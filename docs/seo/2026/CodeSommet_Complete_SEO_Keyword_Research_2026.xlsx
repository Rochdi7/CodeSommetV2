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Executive Summary" sheetId="1" state="visible" r:id="rId1"/>
    <sheet xmlns:r="http://schemas.openxmlformats.org/officeDocument/2006/relationships" name="02 Page Inventory" sheetId="2" state="visible" r:id="rId2"/>
    <sheet xmlns:r="http://schemas.openxmlformats.org/officeDocument/2006/relationships" name="03 MA Competitors" sheetId="3" state="visible" r:id="rId3"/>
    <sheet xmlns:r="http://schemas.openxmlformats.org/officeDocument/2006/relationships" name="04 Master Keywords" sheetId="4" state="visible" r:id="rId4"/>
    <sheet xmlns:r="http://schemas.openxmlformats.org/officeDocument/2006/relationships" name="05 Page Mapping" sheetId="5" state="visible" r:id="rId5"/>
    <sheet xmlns:r="http://schemas.openxmlformats.org/officeDocument/2006/relationships" name="06 Section Mapping" sheetId="6" state="visible" r:id="rId6"/>
    <sheet xmlns:r="http://schemas.openxmlformats.org/officeDocument/2006/relationships" name="07 FAQ Research" sheetId="7" state="visible" r:id="rId7"/>
    <sheet xmlns:r="http://schemas.openxmlformats.org/officeDocument/2006/relationships" name="08 International" sheetId="8" state="visible" r:id="rId8"/>
    <sheet xmlns:r="http://schemas.openxmlformats.org/officeDocument/2006/relationships" name="09 Cannibalization" sheetId="9" state="visible" r:id="rId9"/>
    <sheet xmlns:r="http://schemas.openxmlformats.org/officeDocument/2006/relationships" name="10 Content Gaps" sheetId="10" state="visible" r:id="rId10"/>
    <sheet xmlns:r="http://schemas.openxmlformats.org/officeDocument/2006/relationships" name="11 On-Page Recs" sheetId="11" state="visible" r:id="rId11"/>
    <sheet xmlns:r="http://schemas.openxmlformats.org/officeDocument/2006/relationships" name="12 Semrush Raw" sheetId="12" state="visible" r:id="rId12"/>
    <sheet xmlns:r="http://schemas.openxmlformats.org/officeDocument/2006/relationships" name="13 Methodology" sheetId="13" state="visible" r:id="rId13"/>
  </sheets>
  <definedNames>
    <definedName name="_xlnm._FilterDatabase" localSheetId="1" hidden="1">'02 Page Inventory'!$A$2:$Z$148</definedName>
    <definedName name="_xlnm._FilterDatabase" localSheetId="2" hidden="1">'03 MA Competitors'!$A$2:$S$26</definedName>
    <definedName name="_xlnm._FilterDatabase" localSheetId="3" hidden="1">'04 Master Keywords'!$A$2:$V$1776</definedName>
    <definedName name="_xlnm._FilterDatabase" localSheetId="4" hidden="1">'05 Page Mapping'!$A$2:$Q$727</definedName>
    <definedName name="_xlnm._FilterDatabase" localSheetId="5" hidden="1">'06 Section Mapping'!$A$2:$S$1380</definedName>
    <definedName name="_xlnm._FilterDatabase" localSheetId="6" hidden="1">'07 FAQ Research'!$A$2:$P$799</definedName>
    <definedName name="_xlnm._FilterDatabase" localSheetId="7" hidden="1">'08 International'!$A$2:$N$423</definedName>
    <definedName name="_xlnm._FilterDatabase" localSheetId="8" hidden="1">'09 Cannibalization'!$A$2:$H$36</definedName>
    <definedName name="_xlnm._FilterDatabase" localSheetId="9" hidden="1">'10 Content Gaps'!$A$2:$K$15</definedName>
    <definedName name="_xlnm._FilterDatabase" localSheetId="10" hidden="1">'11 On-Page Recs'!$A$2:$I$136</definedName>
    <definedName name="_xlnm._FilterDatabase" localSheetId="11" hidden="1">'12 Semrush Raw'!$A$2:$G$1609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0563C1"/>
      <u val="single"/>
    </font>
    <font>
      <b val="1"/>
      <sz val="12"/>
    </font>
    <font>
      <b val="1"/>
      <color rgb="00FFFFFF"/>
    </font>
    <font>
      <name val="Calibri"/>
      <family val="2"/>
      <color theme="10"/>
      <sz val="12"/>
      <scheme val="minor"/>
    </font>
    <font>
      <b val="1"/>
    </font>
    <font>
      <b val="1"/>
      <sz val="14"/>
    </font>
    <font>
      <b val="1"/>
      <color rgb="001F2A44"/>
      <sz val="12"/>
    </font>
  </fonts>
  <fills count="7">
    <fill>
      <patternFill/>
    </fill>
    <fill>
      <patternFill patternType="gray125"/>
    </fill>
    <fill>
      <patternFill patternType="solid">
        <fgColor rgb="001F2A44"/>
      </patternFill>
    </fill>
    <fill>
      <patternFill patternType="solid">
        <fgColor rgb="00D9F2D9"/>
      </patternFill>
    </fill>
    <fill>
      <patternFill patternType="solid">
        <fgColor rgb="00FFF2CC"/>
      </patternFill>
    </fill>
    <fill>
      <patternFill patternType="solid">
        <fgColor rgb="00DDEBF7"/>
      </patternFill>
    </fill>
    <fill>
      <patternFill patternType="solid">
        <fgColor rgb="00E7E6E6"/>
      </patternFill>
    </fill>
  </fills>
  <borders count="1">
    <border>
      <left/>
      <right/>
      <top/>
      <bottom/>
      <diagonal/>
    </border>
  </borders>
  <cellStyleXfs count="2">
    <xf numFmtId="0" fontId="0" fillId="0" borderId="0"/>
    <xf numFmtId="0" fontId="4" fillId="0" borderId="0"/>
  </cellStyleXfs>
  <cellXfs count="13">
    <xf numFmtId="0" fontId="0" fillId="0" borderId="0" pivotButton="0" quotePrefix="0" xfId="0"/>
    <xf numFmtId="0" fontId="6" fillId="0" borderId="0" pivotButton="0" quotePrefix="0" xfId="0"/>
    <xf numFmtId="0" fontId="5" fillId="0" borderId="0" pivotButton="0" quotePrefix="0" xfId="0"/>
    <xf numFmtId="0" fontId="4" fillId="0" borderId="0" pivotButton="0" quotePrefix="0" xfId="1"/>
    <xf numFmtId="0" fontId="7" fillId="0" borderId="0" pivotButton="0" quotePrefix="0" xfId="0"/>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2">
    <cellStyle name="Normal" xfId="0" builtinId="0" hidden="0"/>
    <cellStyle name="Hyperlink" xfId="1" builtinId="8" hidden="0"/>
  </cellStyles>
  <dxfs count="10">
    <dxf>
      <fill>
        <patternFill patternType="solid">
          <fgColor rgb="00F8CBAD"/>
        </patternFill>
      </fill>
    </dxf>
    <dxf>
      <fill>
        <patternFill patternType="solid">
          <fgColor rgb="00FFE699"/>
        </patternFill>
      </fill>
    </dxf>
    <dxf>
      <fill>
        <patternFill patternType="solid">
          <fgColor rgb="00D9F2D9"/>
        </patternFill>
      </fill>
    </dxf>
    <dxf>
      <fill>
        <patternFill patternType="solid">
          <fgColor rgb="00FFF2CC"/>
        </patternFill>
      </fill>
    </dxf>
    <dxf>
      <fill>
        <patternFill patternType="solid">
          <fgColor rgb="00DDEBF7"/>
        </patternFill>
      </fill>
    </dxf>
    <dxf>
      <fill>
        <patternFill patternType="solid">
          <fgColor rgb="00E7E6E6"/>
        </patternFill>
      </fill>
    </dxf>
    <dxf>
      <font>
        <b val="1"/>
      </font>
    </dxf>
    <dxf>
      <fill>
        <patternFill patternType="solid">
          <fgColor rgb="00FCE4D6"/>
        </patternFill>
      </fill>
    </dxf>
    <dxf>
      <fill>
        <patternFill patternType="solid">
          <fgColor rgb="00C6EFC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2 Page Inventory'!A1" TargetMode="External" Id="rId1"/><Relationship Type="http://schemas.openxmlformats.org/officeDocument/2006/relationships/hyperlink" Target="#'03 MA Competitors'!A1" TargetMode="External" Id="rId2"/><Relationship Type="http://schemas.openxmlformats.org/officeDocument/2006/relationships/hyperlink" Target="#'04 Master Keywords'!A1" TargetMode="External" Id="rId3"/><Relationship Type="http://schemas.openxmlformats.org/officeDocument/2006/relationships/hyperlink" Target="#'05 Page Mapping'!A1" TargetMode="External" Id="rId4"/><Relationship Type="http://schemas.openxmlformats.org/officeDocument/2006/relationships/hyperlink" Target="#'06 Section Mapping'!A1" TargetMode="External" Id="rId5"/><Relationship Type="http://schemas.openxmlformats.org/officeDocument/2006/relationships/hyperlink" Target="#'07 FAQ Research'!A1" TargetMode="External" Id="rId6"/><Relationship Type="http://schemas.openxmlformats.org/officeDocument/2006/relationships/hyperlink" Target="#'08 International'!A1" TargetMode="External" Id="rId7"/><Relationship Type="http://schemas.openxmlformats.org/officeDocument/2006/relationships/hyperlink" Target="#'09 Cannibalization'!A1" TargetMode="External" Id="rId8"/><Relationship Type="http://schemas.openxmlformats.org/officeDocument/2006/relationships/hyperlink" Target="#'10 Content Gaps'!A1" TargetMode="External" Id="rId9"/><Relationship Type="http://schemas.openxmlformats.org/officeDocument/2006/relationships/hyperlink" Target="#'11 On-Page Recs'!A1" TargetMode="External" Id="rId10"/><Relationship Type="http://schemas.openxmlformats.org/officeDocument/2006/relationships/hyperlink" Target="#'12 Semrush Raw'!A1" TargetMode="External" Id="rId11"/><Relationship Type="http://schemas.openxmlformats.org/officeDocument/2006/relationships/hyperlink" Target="#'13 Methodology'!A1" TargetMode="External" Id="rId12"/></Relationships>
</file>

<file path=xl/worksheets/_rels/sheet2.xml.rels><Relationships xmlns="http://schemas.openxmlformats.org/package/2006/relationships"><Relationship Type="http://schemas.openxmlformats.org/officeDocument/2006/relationships/hyperlink" Target="#'01 Executive Summary'!A1" TargetMode="External" Id="rId1"/><Relationship Type="http://schemas.openxmlformats.org/officeDocument/2006/relationships/hyperlink" Target="https://codesommet.com/" TargetMode="External" Id="rId2"/><Relationship Type="http://schemas.openxmlformats.org/officeDocument/2006/relationships/hyperlink" Target="https://codesommet.com/about" TargetMode="External" Id="rId3"/><Relationship Type="http://schemas.openxmlformats.org/officeDocument/2006/relationships/hyperlink" Target="https://codesommet.com/contact" TargetMode="External" Id="rId4"/><Relationship Type="http://schemas.openxmlformats.org/officeDocument/2006/relationships/hyperlink" Target="https://codesommet.com/get-quote" TargetMode="External" Id="rId5"/><Relationship Type="http://schemas.openxmlformats.org/officeDocument/2006/relationships/hyperlink" Target="https://codesommet.com/our-work" TargetMode="External" Id="rId6"/><Relationship Type="http://schemas.openxmlformats.org/officeDocument/2006/relationships/hyperlink" Target="https://codesommet.com/industries" TargetMode="External" Id="rId7"/><Relationship Type="http://schemas.openxmlformats.org/officeDocument/2006/relationships/hyperlink" Target="https://codesommet.com/locations" TargetMode="External" Id="rId8"/><Relationship Type="http://schemas.openxmlformats.org/officeDocument/2006/relationships/hyperlink" Target="https://codesommet.com/tools" TargetMode="External" Id="rId9"/><Relationship Type="http://schemas.openxmlformats.org/officeDocument/2006/relationships/hyperlink" Target="https://codesommet.com/blog" TargetMode="External" Id="rId10"/><Relationship Type="http://schemas.openxmlformats.org/officeDocument/2006/relationships/hyperlink" Target="https://codesommet.com/legal/privacy-policy" TargetMode="External" Id="rId11"/><Relationship Type="http://schemas.openxmlformats.org/officeDocument/2006/relationships/hyperlink" Target="https://codesommet.com/legal/terms-of-service" TargetMode="External" Id="rId12"/><Relationship Type="http://schemas.openxmlformats.org/officeDocument/2006/relationships/hyperlink" Target="https://codesommet.com/legal/refund-policy" TargetMode="External" Id="rId13"/><Relationship Type="http://schemas.openxmlformats.org/officeDocument/2006/relationships/hyperlink" Target="https://codesommet.com/legal/cookie-policy" TargetMode="External" Id="rId14"/><Relationship Type="http://schemas.openxmlformats.org/officeDocument/2006/relationships/hyperlink" Target="https://codesommet.com/legal/acceptable-use" TargetMode="External" Id="rId15"/><Relationship Type="http://schemas.openxmlformats.org/officeDocument/2006/relationships/hyperlink" Target="https://codesommet.com/services/ecommerce-website-development" TargetMode="External" Id="rId16"/><Relationship Type="http://schemas.openxmlformats.org/officeDocument/2006/relationships/hyperlink" Target="https://codesommet.com/services/saas-platform-development" TargetMode="External" Id="rId17"/><Relationship Type="http://schemas.openxmlformats.org/officeDocument/2006/relationships/hyperlink" Target="https://codesommet.com/services/fintech-platform-development" TargetMode="External" Id="rId18"/><Relationship Type="http://schemas.openxmlformats.org/officeDocument/2006/relationships/hyperlink" Target="https://codesommet.com/services/fintech-website-development" TargetMode="External" Id="rId19"/><Relationship Type="http://schemas.openxmlformats.org/officeDocument/2006/relationships/hyperlink" Target="https://codesommet.com/services/healthcare-website-development" TargetMode="External" Id="rId20"/><Relationship Type="http://schemas.openxmlformats.org/officeDocument/2006/relationships/hyperlink" Target="https://codesommet.com/services/education-website-development" TargetMode="External" Id="rId21"/><Relationship Type="http://schemas.openxmlformats.org/officeDocument/2006/relationships/hyperlink" Target="https://codesommet.com/services/edtech-platform-development" TargetMode="External" Id="rId22"/><Relationship Type="http://schemas.openxmlformats.org/officeDocument/2006/relationships/hyperlink" Target="https://codesommet.com/services/elearning-platform-development" TargetMode="External" Id="rId23"/><Relationship Type="http://schemas.openxmlformats.org/officeDocument/2006/relationships/hyperlink" Target="https://codesommet.com/services/online-course-platform-development" TargetMode="External" Id="rId24"/><Relationship Type="http://schemas.openxmlformats.org/officeDocument/2006/relationships/hyperlink" Target="https://codesommet.com/services/university-website-development" TargetMode="External" Id="rId25"/><Relationship Type="http://schemas.openxmlformats.org/officeDocument/2006/relationships/hyperlink" Target="https://codesommet.com/services/language-school-website-development" TargetMode="External" Id="rId26"/><Relationship Type="http://schemas.openxmlformats.org/officeDocument/2006/relationships/hyperlink" Target="https://codesommet.com/services/study-abroad-website-development" TargetMode="External" Id="rId27"/><Relationship Type="http://schemas.openxmlformats.org/officeDocument/2006/relationships/hyperlink" Target="https://codesommet.com/services/immigration-consultancy-website-development" TargetMode="External" Id="rId28"/><Relationship Type="http://schemas.openxmlformats.org/officeDocument/2006/relationships/hyperlink" Target="https://codesommet.com/services/real-estate-website-development" TargetMode="External" Id="rId29"/><Relationship Type="http://schemas.openxmlformats.org/officeDocument/2006/relationships/hyperlink" Target="https://codesommet.com/services/telemedicine-platform-development" TargetMode="External" Id="rId30"/><Relationship Type="http://schemas.openxmlformats.org/officeDocument/2006/relationships/hyperlink" Target="https://codesommet.com/services/telemedicine-website-development" TargetMode="External" Id="rId31"/><Relationship Type="http://schemas.openxmlformats.org/officeDocument/2006/relationships/hyperlink" Target="https://codesommet.com/services/seo-maroc" TargetMode="External" Id="rId32"/><Relationship Type="http://schemas.openxmlformats.org/officeDocument/2006/relationships/hyperlink" Target="https://codesommet.com/web-development-company/worldwide" TargetMode="External" Id="rId33"/><Relationship Type="http://schemas.openxmlformats.org/officeDocument/2006/relationships/hyperlink" Target="https://codesommet.com/web-development-company/casablanca" TargetMode="External" Id="rId34"/><Relationship Type="http://schemas.openxmlformats.org/officeDocument/2006/relationships/hyperlink" Target="https://codesommet.com/web-development-company/marrakech" TargetMode="External" Id="rId35"/><Relationship Type="http://schemas.openxmlformats.org/officeDocument/2006/relationships/hyperlink" Target="https://codesommet.com/web-development-company/rabat" TargetMode="External" Id="rId36"/><Relationship Type="http://schemas.openxmlformats.org/officeDocument/2006/relationships/hyperlink" Target="https://codesommet.com/web-development-company/tangier" TargetMode="External" Id="rId37"/><Relationship Type="http://schemas.openxmlformats.org/officeDocument/2006/relationships/hyperlink" Target="https://codesommet.com/web-development-company/agadir" TargetMode="External" Id="rId38"/><Relationship Type="http://schemas.openxmlformats.org/officeDocument/2006/relationships/hyperlink" Target="https://codesommet.com/web-development-company/dubai" TargetMode="External" Id="rId39"/><Relationship Type="http://schemas.openxmlformats.org/officeDocument/2006/relationships/hyperlink" Target="https://codesommet.com/web-development-company/abudhabi" TargetMode="External" Id="rId40"/><Relationship Type="http://schemas.openxmlformats.org/officeDocument/2006/relationships/hyperlink" Target="https://codesommet.com/web-development-company/riyadh" TargetMode="External" Id="rId41"/><Relationship Type="http://schemas.openxmlformats.org/officeDocument/2006/relationships/hyperlink" Target="https://codesommet.com/web-development-company/london" TargetMode="External" Id="rId42"/><Relationship Type="http://schemas.openxmlformats.org/officeDocument/2006/relationships/hyperlink" Target="https://codesommet.com/web-development-company/amsterdam" TargetMode="External" Id="rId43"/><Relationship Type="http://schemas.openxmlformats.org/officeDocument/2006/relationships/hyperlink" Target="https://codesommet.com/web-development-company/berlin" TargetMode="External" Id="rId44"/><Relationship Type="http://schemas.openxmlformats.org/officeDocument/2006/relationships/hyperlink" Target="https://codesommet.com/web-development-company/paris" TargetMode="External" Id="rId45"/><Relationship Type="http://schemas.openxmlformats.org/officeDocument/2006/relationships/hyperlink" Target="https://codesommet.com/web-development-company/copenhagen" TargetMode="External" Id="rId46"/><Relationship Type="http://schemas.openxmlformats.org/officeDocument/2006/relationships/hyperlink" Target="https://codesommet.com/web-development-company/dublin" TargetMode="External" Id="rId47"/><Relationship Type="http://schemas.openxmlformats.org/officeDocument/2006/relationships/hyperlink" Target="https://codesommet.com/web-development-company/brussels" TargetMode="External" Id="rId48"/><Relationship Type="http://schemas.openxmlformats.org/officeDocument/2006/relationships/hyperlink" Target="https://codesommet.com/web-development-company/zurich" TargetMode="External" Id="rId49"/><Relationship Type="http://schemas.openxmlformats.org/officeDocument/2006/relationships/hyperlink" Target="https://codesommet.com/web-development-company/stockholm" TargetMode="External" Id="rId50"/><Relationship Type="http://schemas.openxmlformats.org/officeDocument/2006/relationships/hyperlink" Target="https://codesommet.com/web-development-company/madrid" TargetMode="External" Id="rId51"/><Relationship Type="http://schemas.openxmlformats.org/officeDocument/2006/relationships/hyperlink" Target="https://codesommet.com/web-development-company/barcelona" TargetMode="External" Id="rId52"/><Relationship Type="http://schemas.openxmlformats.org/officeDocument/2006/relationships/hyperlink" Target="https://codesommet.com/web-development-company/lisbon" TargetMode="External" Id="rId53"/><Relationship Type="http://schemas.openxmlformats.org/officeDocument/2006/relationships/hyperlink" Target="https://codesommet.com/web-development-company/rome" TargetMode="External" Id="rId54"/><Relationship Type="http://schemas.openxmlformats.org/officeDocument/2006/relationships/hyperlink" Target="https://codesommet.com/web-development-company/milan" TargetMode="External" Id="rId55"/><Relationship Type="http://schemas.openxmlformats.org/officeDocument/2006/relationships/hyperlink" Target="https://codesommet.com/web-development-company/new-york" TargetMode="External" Id="rId56"/><Relationship Type="http://schemas.openxmlformats.org/officeDocument/2006/relationships/hyperlink" Target="https://codesommet.com/web-development-company/san-francisco" TargetMode="External" Id="rId57"/><Relationship Type="http://schemas.openxmlformats.org/officeDocument/2006/relationships/hyperlink" Target="https://codesommet.com/web-development-company/los-angeles" TargetMode="External" Id="rId58"/><Relationship Type="http://schemas.openxmlformats.org/officeDocument/2006/relationships/hyperlink" Target="https://codesommet.com/web-development-company/austin" TargetMode="External" Id="rId59"/><Relationship Type="http://schemas.openxmlformats.org/officeDocument/2006/relationships/hyperlink" Target="https://codesommet.com/web-development-company/seattle" TargetMode="External" Id="rId60"/><Relationship Type="http://schemas.openxmlformats.org/officeDocument/2006/relationships/hyperlink" Target="https://codesommet.com/web-development-company/boston" TargetMode="External" Id="rId61"/><Relationship Type="http://schemas.openxmlformats.org/officeDocument/2006/relationships/hyperlink" Target="https://codesommet.com/web-development-company/chicago" TargetMode="External" Id="rId62"/><Relationship Type="http://schemas.openxmlformats.org/officeDocument/2006/relationships/hyperlink" Target="https://codesommet.com/web-development-company/denver" TargetMode="External" Id="rId63"/><Relationship Type="http://schemas.openxmlformats.org/officeDocument/2006/relationships/hyperlink" Target="https://codesommet.com/web-development-company/toronto" TargetMode="External" Id="rId64"/><Relationship Type="http://schemas.openxmlformats.org/officeDocument/2006/relationships/hyperlink" Target="https://codesommet.com/web-development-company/vancouver" TargetMode="External" Id="rId65"/><Relationship Type="http://schemas.openxmlformats.org/officeDocument/2006/relationships/hyperlink" Target="https://codesommet.com/web-development-company/tunis" TargetMode="External" Id="rId66"/><Relationship Type="http://schemas.openxmlformats.org/officeDocument/2006/relationships/hyperlink" Target="https://codesommet.com/web-development-company/cairo" TargetMode="External" Id="rId67"/><Relationship Type="http://schemas.openxmlformats.org/officeDocument/2006/relationships/hyperlink" Target="https://codesommet.com/web-development-company/lagos" TargetMode="External" Id="rId68"/><Relationship Type="http://schemas.openxmlformats.org/officeDocument/2006/relationships/hyperlink" Target="https://codesommet.com/tools/ai-crawler-access-checker" TargetMode="External" Id="rId69"/><Relationship Type="http://schemas.openxmlformats.org/officeDocument/2006/relationships/hyperlink" Target="https://codesommet.com/tools/ai-readiness-checker" TargetMode="External" Id="rId70"/><Relationship Type="http://schemas.openxmlformats.org/officeDocument/2006/relationships/hyperlink" Target="https://codesommet.com/tools/base64-encoder" TargetMode="External" Id="rId71"/><Relationship Type="http://schemas.openxmlformats.org/officeDocument/2006/relationships/hyperlink" Target="https://codesommet.com/tools/blog-title-generator" TargetMode="External" Id="rId72"/><Relationship Type="http://schemas.openxmlformats.org/officeDocument/2006/relationships/hyperlink" Target="https://codesommet.com/tools/bot-viewer" TargetMode="External" Id="rId73"/><Relationship Type="http://schemas.openxmlformats.org/officeDocument/2006/relationships/hyperlink" Target="https://codesommet.com/tools/broken-link-checker" TargetMode="External" Id="rId74"/><Relationship Type="http://schemas.openxmlformats.org/officeDocument/2006/relationships/hyperlink" Target="https://codesommet.com/tools/canonical-checker" TargetMode="External" Id="rId75"/><Relationship Type="http://schemas.openxmlformats.org/officeDocument/2006/relationships/hyperlink" Target="https://codesommet.com/tools/chatbot-script-generator" TargetMode="External" Id="rId76"/><Relationship Type="http://schemas.openxmlformats.org/officeDocument/2006/relationships/hyperlink" Target="https://codesommet.com/tools/color-palette-generator" TargetMode="External" Id="rId77"/><Relationship Type="http://schemas.openxmlformats.org/officeDocument/2006/relationships/hyperlink" Target="https://codesommet.com/tools/core-web-vitals-checker" TargetMode="External" Id="rId78"/><Relationship Type="http://schemas.openxmlformats.org/officeDocument/2006/relationships/hyperlink" Target="https://codesommet.com/tools/crawl-optimization-checker" TargetMode="External" Id="rId79"/><Relationship Type="http://schemas.openxmlformats.org/officeDocument/2006/relationships/hyperlink" Target="https://codesommet.com/tools/crawl-visualizer" TargetMode="External" Id="rId80"/><Relationship Type="http://schemas.openxmlformats.org/officeDocument/2006/relationships/hyperlink" Target="https://codesommet.com/tools/css-minifier" TargetMode="External" Id="rId81"/><Relationship Type="http://schemas.openxmlformats.org/officeDocument/2006/relationships/hyperlink" Target="https://codesommet.com/tools/domain-authority-checker" TargetMode="External" Id="rId82"/><Relationship Type="http://schemas.openxmlformats.org/officeDocument/2006/relationships/hyperlink" Target="https://codesommet.com/tools/domain-extractor" TargetMode="External" Id="rId83"/><Relationship Type="http://schemas.openxmlformats.org/officeDocument/2006/relationships/hyperlink" Target="https://codesommet.com/tools/domain-health-checker" TargetMode="External" Id="rId84"/><Relationship Type="http://schemas.openxmlformats.org/officeDocument/2006/relationships/hyperlink" Target="https://codesommet.com/tools/duplicate-content-checker" TargetMode="External" Id="rId85"/><Relationship Type="http://schemas.openxmlformats.org/officeDocument/2006/relationships/hyperlink" Target="https://codesommet.com/tools/eeat-signals-checker" TargetMode="External" Id="rId86"/><Relationship Type="http://schemas.openxmlformats.org/officeDocument/2006/relationships/hyperlink" Target="https://codesommet.com/tools/expired-domain-checker" TargetMode="External" Id="rId87"/><Relationship Type="http://schemas.openxmlformats.org/officeDocument/2006/relationships/hyperlink" Target="https://codesommet.com/tools/faq-schema-generator" TargetMode="External" Id="rId88"/><Relationship Type="http://schemas.openxmlformats.org/officeDocument/2006/relationships/hyperlink" Target="https://codesommet.com/tools/heading-analyzer" TargetMode="External" Id="rId89"/><Relationship Type="http://schemas.openxmlformats.org/officeDocument/2006/relationships/hyperlink" Target="https://codesommet.com/tools/hreflang-generator" TargetMode="External" Id="rId90"/><Relationship Type="http://schemas.openxmlformats.org/officeDocument/2006/relationships/hyperlink" Target="https://codesommet.com/tools/html-minifier" TargetMode="External" Id="rId91"/><Relationship Type="http://schemas.openxmlformats.org/officeDocument/2006/relationships/hyperlink" Target="https://codesommet.com/tools/html-to-text" TargetMode="External" Id="rId92"/><Relationship Type="http://schemas.openxmlformats.org/officeDocument/2006/relationships/hyperlink" Target="https://codesommet.com/tools/image-alt-analyzer" TargetMode="External" Id="rId93"/><Relationship Type="http://schemas.openxmlformats.org/officeDocument/2006/relationships/hyperlink" Target="https://codesommet.com/tools/image-compression-analyzer" TargetMode="External" Id="rId94"/><Relationship Type="http://schemas.openxmlformats.org/officeDocument/2006/relationships/hyperlink" Target="https://codesommet.com/tools/image-compressor" TargetMode="External" Id="rId95"/><Relationship Type="http://schemas.openxmlformats.org/officeDocument/2006/relationships/hyperlink" Target="https://codesommet.com/tools/internal-link-analyzer" TargetMode="External" Id="rId96"/><Relationship Type="http://schemas.openxmlformats.org/officeDocument/2006/relationships/hyperlink" Target="https://codesommet.com/tools/invisible-character-cleaner" TargetMode="External" Id="rId97"/><Relationship Type="http://schemas.openxmlformats.org/officeDocument/2006/relationships/hyperlink" Target="https://codesommet.com/tools/json-formatter" TargetMode="External" Id="rId98"/><Relationship Type="http://schemas.openxmlformats.org/officeDocument/2006/relationships/hyperlink" Target="https://codesommet.com/tools/keyword-density-analyzer" TargetMode="External" Id="rId99"/><Relationship Type="http://schemas.openxmlformats.org/officeDocument/2006/relationships/hyperlink" Target="https://codesommet.com/tools/keyword-modifier-generator" TargetMode="External" Id="rId100"/><Relationship Type="http://schemas.openxmlformats.org/officeDocument/2006/relationships/hyperlink" Target="https://codesommet.com/tools/landing-page-generator" TargetMode="External" Id="rId101"/><Relationship Type="http://schemas.openxmlformats.org/officeDocument/2006/relationships/hyperlink" Target="https://codesommet.com/tools/llms-txt-generator" TargetMode="External" Id="rId102"/><Relationship Type="http://schemas.openxmlformats.org/officeDocument/2006/relationships/hyperlink" Target="https://codesommet.com/tools/local-business-schema" TargetMode="External" Id="rId103"/><Relationship Type="http://schemas.openxmlformats.org/officeDocument/2006/relationships/hyperlink" Target="https://codesommet.com/tools/lorem-ipsum-generator" TargetMode="External" Id="rId104"/><Relationship Type="http://schemas.openxmlformats.org/officeDocument/2006/relationships/hyperlink" Target="https://codesommet.com/tools/meta-extractor" TargetMode="External" Id="rId105"/><Relationship Type="http://schemas.openxmlformats.org/officeDocument/2006/relationships/hyperlink" Target="https://codesommet.com/tools/meta-refresh-generator" TargetMode="External" Id="rId106"/><Relationship Type="http://schemas.openxmlformats.org/officeDocument/2006/relationships/hyperlink" Target="https://codesommet.com/tools/meta-tag-generator" TargetMode="External" Id="rId107"/><Relationship Type="http://schemas.openxmlformats.org/officeDocument/2006/relationships/hyperlink" Target="https://codesommet.com/tools/mobile-friendly-test" TargetMode="External" Id="rId108"/><Relationship Type="http://schemas.openxmlformats.org/officeDocument/2006/relationships/hyperlink" Target="https://codesommet.com/tools/ngram-extractor" TargetMode="External" Id="rId109"/><Relationship Type="http://schemas.openxmlformats.org/officeDocument/2006/relationships/hyperlink" Target="https://codesommet.com/tools/nofollow-link-checker" TargetMode="External" Id="rId110"/><Relationship Type="http://schemas.openxmlformats.org/officeDocument/2006/relationships/hyperlink" Target="https://codesommet.com/tools/og-preview-generator" TargetMode="External" Id="rId111"/><Relationship Type="http://schemas.openxmlformats.org/officeDocument/2006/relationships/hyperlink" Target="https://codesommet.com/tools/page-speed-analyzer" TargetMode="External" Id="rId112"/><Relationship Type="http://schemas.openxmlformats.org/officeDocument/2006/relationships/hyperlink" Target="https://codesommet.com/tools/qr-code-generator" TargetMode="External" Id="rId113"/><Relationship Type="http://schemas.openxmlformats.org/officeDocument/2006/relationships/hyperlink" Target="https://codesommet.com/tools/readability-analyzer" TargetMode="External" Id="rId114"/><Relationship Type="http://schemas.openxmlformats.org/officeDocument/2006/relationships/hyperlink" Target="https://codesommet.com/tools/redirect-checker" TargetMode="External" Id="rId115"/><Relationship Type="http://schemas.openxmlformats.org/officeDocument/2006/relationships/hyperlink" Target="https://codesommet.com/tools/robots-txt-generator" TargetMode="External" Id="rId116"/><Relationship Type="http://schemas.openxmlformats.org/officeDocument/2006/relationships/hyperlink" Target="https://codesommet.com/tools/robots-txt-tester" TargetMode="External" Id="rId117"/><Relationship Type="http://schemas.openxmlformats.org/officeDocument/2006/relationships/hyperlink" Target="https://codesommet.com/tools/robots-validator" TargetMode="External" Id="rId118"/><Relationship Type="http://schemas.openxmlformats.org/officeDocument/2006/relationships/hyperlink" Target="https://codesommet.com/tools/schema-generator" TargetMode="External" Id="rId119"/><Relationship Type="http://schemas.openxmlformats.org/officeDocument/2006/relationships/hyperlink" Target="https://codesommet.com/tools/security-headers-checker" TargetMode="External" Id="rId120"/><Relationship Type="http://schemas.openxmlformats.org/officeDocument/2006/relationships/hyperlink" Target="https://codesommet.com/tools/serp-snippet-preview" TargetMode="External" Id="rId121"/><Relationship Type="http://schemas.openxmlformats.org/officeDocument/2006/relationships/hyperlink" Target="https://codesommet.com/tools/sitemap-url-extractor" TargetMode="External" Id="rId122"/><Relationship Type="http://schemas.openxmlformats.org/officeDocument/2006/relationships/hyperlink" Target="https://codesommet.com/tools/sitemap-validator" TargetMode="External" Id="rId123"/><Relationship Type="http://schemas.openxmlformats.org/officeDocument/2006/relationships/hyperlink" Target="https://codesommet.com/tools/ssl-certificate-checker" TargetMode="External" Id="rId124"/><Relationship Type="http://schemas.openxmlformats.org/officeDocument/2006/relationships/hyperlink" Target="https://codesommet.com/tools/structured-data-extractor" TargetMode="External" Id="rId125"/><Relationship Type="http://schemas.openxmlformats.org/officeDocument/2006/relationships/hyperlink" Target="https://codesommet.com/tools/text-case-converter" TargetMode="External" Id="rId126"/><Relationship Type="http://schemas.openxmlformats.org/officeDocument/2006/relationships/hyperlink" Target="https://codesommet.com/tools/text-editor" TargetMode="External" Id="rId127"/><Relationship Type="http://schemas.openxmlformats.org/officeDocument/2006/relationships/hyperlink" Target="https://codesommet.com/tools/url-editor" TargetMode="External" Id="rId128"/><Relationship Type="http://schemas.openxmlformats.org/officeDocument/2006/relationships/hyperlink" Target="https://codesommet.com/tools/url-slug-generator" TargetMode="External" Id="rId129"/><Relationship Type="http://schemas.openxmlformats.org/officeDocument/2006/relationships/hyperlink" Target="https://codesommet.com/tools/utm-builder" TargetMode="External" Id="rId130"/><Relationship Type="http://schemas.openxmlformats.org/officeDocument/2006/relationships/hyperlink" Target="https://codesommet.com/tools/website-analyzer" TargetMode="External" Id="rId131"/><Relationship Type="http://schemas.openxmlformats.org/officeDocument/2006/relationships/hyperlink" Target="https://codesommet.com/tools/website-readiness-checker" TargetMode="External" Id="rId132"/><Relationship Type="http://schemas.openxmlformats.org/officeDocument/2006/relationships/hyperlink" Target="https://codesommet.com/tools/word-counter" TargetMode="External" Id="rId133"/><Relationship Type="http://schemas.openxmlformats.org/officeDocument/2006/relationships/hyperlink" Target="https://codesommet.com/tools/xml-sitemap-generator" TargetMode="External" Id="rId134"/><Relationship Type="http://schemas.openxmlformats.org/officeDocument/2006/relationships/hyperlink" Target="https://codesommet.com/our-work/akoubri" TargetMode="External" Id="rId135"/><Relationship Type="http://schemas.openxmlformats.org/officeDocument/2006/relationships/hyperlink" Target="https://codesommet.com/our-work/authentic-morocco-adventures" TargetMode="External" Id="rId136"/><Relationship Type="http://schemas.openxmlformats.org/officeDocument/2006/relationships/hyperlink" Target="https://codesommet.com/our-work/dental-pro" TargetMode="External" Id="rId137"/><Relationship Type="http://schemas.openxmlformats.org/officeDocument/2006/relationships/hyperlink" Target="https://codesommet.com/our-work/glamworlds" TargetMode="External" Id="rId138"/><Relationship Type="http://schemas.openxmlformats.org/officeDocument/2006/relationships/hyperlink" Target="https://codesommet.com/our-work/gls-sprachenzentrum" TargetMode="External" Id="rId139"/><Relationship Type="http://schemas.openxmlformats.org/officeDocument/2006/relationships/hyperlink" Target="https://codesommet.com/our-work/hssabek" TargetMode="External" Id="rId140"/><Relationship Type="http://schemas.openxmlformats.org/officeDocument/2006/relationships/hyperlink" Target="https://codesommet.com/our-work/mon-asso" TargetMode="External" Id="rId141"/><Relationship Type="http://schemas.openxmlformats.org/officeDocument/2006/relationships/hyperlink" Target="https://codesommet.com/our-work/morocco-quest" TargetMode="External" Id="rId142"/><Relationship Type="http://schemas.openxmlformats.org/officeDocument/2006/relationships/hyperlink" Target="https://codesommet.com/blog/creer-une-plateforme-saas-mvp-multi-tenant-facturation-par-ou-commencer" TargetMode="External" Id="rId143"/><Relationship Type="http://schemas.openxmlformats.org/officeDocument/2006/relationships/hyperlink" Target="https://codesommet.com/blog/site-immobilier-structurer-les-annonces-pour-le-seo-et-la-conversion" TargetMode="External" Id="rId144"/><Relationship Type="http://schemas.openxmlformats.org/officeDocument/2006/relationships/hyperlink" Target="https://codesommet.com/blog/lms-sur-mesure-ou-produit-edtech-quelle-plateforme-e-learning" TargetMode="External" Id="rId145"/><Relationship Type="http://schemas.openxmlformats.org/officeDocument/2006/relationships/hyperlink" Target="https://codesommet.com/blog/site-web-telemedecine-cabinet-clinique-que-doit-il-contenir" TargetMode="External" Id="rId146"/><Relationship Type="http://schemas.openxmlformats.org/officeDocument/2006/relationships/hyperlink" Target="https://codesommet.com/blog/site-web-fintech-7-elements-qui-rassurent-un-visiteur" TargetMode="External" Id="rId147"/></Relationships>
</file>

<file path=xl/worksheets/_rels/sheet3.xml.rels><Relationships xmlns="http://schemas.openxmlformats.org/package/2006/relationships"><Relationship Type="http://schemas.openxmlformats.org/officeDocument/2006/relationships/hyperlink" Target="#'01 Executive Summary'!A1" TargetMode="External" Id="rId1"/><Relationship Type="http://schemas.openxmlformats.org/officeDocument/2006/relationships/hyperlink" Target="https://adk-media.com" TargetMode="External" Id="rId2"/><Relationship Type="http://schemas.openxmlformats.org/officeDocument/2006/relationships/hyperlink" Target="https://void.ma" TargetMode="External" Id="rId3"/><Relationship Type="http://schemas.openxmlformats.org/officeDocument/2006/relationships/hyperlink" Target="https://vala.ma" TargetMode="External" Id="rId4"/><Relationship Type="http://schemas.openxmlformats.org/officeDocument/2006/relationships/hyperlink" Target="https://hostino.ma" TargetMode="External" Id="rId5"/><Relationship Type="http://schemas.openxmlformats.org/officeDocument/2006/relationships/hyperlink" Target="https://rhillane.com" TargetMode="External" Id="rId6"/><Relationship Type="http://schemas.openxmlformats.org/officeDocument/2006/relationships/hyperlink" Target="https://energiedin.com" TargetMode="External" Id="rId7"/><Relationship Type="http://schemas.openxmlformats.org/officeDocument/2006/relationships/hyperlink" Target="https://urikacloud.com" TargetMode="External" Id="rId8"/><Relationship Type="http://schemas.openxmlformats.org/officeDocument/2006/relationships/hyperlink" Target="https://digitalma.ma" TargetMode="External" Id="rId9"/><Relationship Type="http://schemas.openxmlformats.org/officeDocument/2006/relationships/hyperlink" Target="https://elevenmedia.ma" TargetMode="External" Id="rId10"/><Relationship Type="http://schemas.openxmlformats.org/officeDocument/2006/relationships/hyperlink" Target="https://webeuz.com" TargetMode="External" Id="rId11"/><Relationship Type="http://schemas.openxmlformats.org/officeDocument/2006/relationships/hyperlink" Target="https://rimasdigital.ma" TargetMode="External" Id="rId12"/><Relationship Type="http://schemas.openxmlformats.org/officeDocument/2006/relationships/hyperlink" Target="https://website.ma" TargetMode="External" Id="rId13"/><Relationship Type="http://schemas.openxmlformats.org/officeDocument/2006/relationships/hyperlink" Target="https://wikidigital.net" TargetMode="External" Id="rId14"/><Relationship Type="http://schemas.openxmlformats.org/officeDocument/2006/relationships/hyperlink" Target="https://dotma.ma" TargetMode="External" Id="rId15"/><Relationship Type="http://schemas.openxmlformats.org/officeDocument/2006/relationships/hyperlink" Target="https://websuccess.ma" TargetMode="External" Id="rId16"/><Relationship Type="http://schemas.openxmlformats.org/officeDocument/2006/relationships/hyperlink" Target="https://digiseo.ma" TargetMode="External" Id="rId17"/><Relationship Type="http://schemas.openxmlformats.org/officeDocument/2006/relationships/hyperlink" Target="https://siway.ma" TargetMode="External" Id="rId18"/><Relationship Type="http://schemas.openxmlformats.org/officeDocument/2006/relationships/hyperlink" Target="https://monkeylab.ma" TargetMode="External" Id="rId19"/><Relationship Type="http://schemas.openxmlformats.org/officeDocument/2006/relationships/hyperlink" Target="https://baleez.net" TargetMode="External" Id="rId20"/><Relationship Type="http://schemas.openxmlformats.org/officeDocument/2006/relationships/hyperlink" Target="https://rythmedia.com" TargetMode="External" Id="rId21"/><Relationship Type="http://schemas.openxmlformats.org/officeDocument/2006/relationships/hyperlink" Target="https://trtdigital.ma" TargetMode="External" Id="rId22"/><Relationship Type="http://schemas.openxmlformats.org/officeDocument/2006/relationships/hyperlink" Target="https://ranket.ma" TargetMode="External" Id="rId23"/><Relationship Type="http://schemas.openxmlformats.org/officeDocument/2006/relationships/hyperlink" Target="https://itlabspro.com" TargetMode="External" Id="rId24"/><Relationship Type="http://schemas.openxmlformats.org/officeDocument/2006/relationships/hyperlink" Target="https://codesommet.com" TargetMode="External" Id="rId25"/></Relationships>
</file>

<file path=xl/worksheets/_rels/sheet4.xml.rels><Relationships xmlns="http://schemas.openxmlformats.org/package/2006/relationships"><Relationship Type="http://schemas.openxmlformats.org/officeDocument/2006/relationships/hyperlink" Target="#'01 Executive Summary'!A1" TargetMode="External" Id="rId1"/></Relationships>
</file>

<file path=xl/worksheets/_rels/sheet5.xml.rels><Relationships xmlns="http://schemas.openxmlformats.org/package/2006/relationships"><Relationship Type="http://schemas.openxmlformats.org/officeDocument/2006/relationships/hyperlink" Target="#'01 Executive Summary'!A1" TargetMode="External" Id="rId1"/><Relationship Type="http://schemas.openxmlformats.org/officeDocument/2006/relationships/hyperlink" Target="https://codesommet.com/" TargetMode="External" Id="rId2"/><Relationship Type="http://schemas.openxmlformats.org/officeDocument/2006/relationships/hyperlink" Target="https://codesommet.com/" TargetMode="External" Id="rId3"/><Relationship Type="http://schemas.openxmlformats.org/officeDocument/2006/relationships/hyperlink" Target="https://codesommet.com/" TargetMode="External" Id="rId4"/><Relationship Type="http://schemas.openxmlformats.org/officeDocument/2006/relationships/hyperlink" Target="https://codesommet.com/" TargetMode="External" Id="rId5"/><Relationship Type="http://schemas.openxmlformats.org/officeDocument/2006/relationships/hyperlink" Target="https://codesommet.com/" TargetMode="External" Id="rId6"/><Relationship Type="http://schemas.openxmlformats.org/officeDocument/2006/relationships/hyperlink" Target="https://codesommet.com/" TargetMode="External" Id="rId7"/><Relationship Type="http://schemas.openxmlformats.org/officeDocument/2006/relationships/hyperlink" Target="https://codesommet.com/" TargetMode="External" Id="rId8"/><Relationship Type="http://schemas.openxmlformats.org/officeDocument/2006/relationships/hyperlink" Target="https://codesommet.com/" TargetMode="External" Id="rId9"/><Relationship Type="http://schemas.openxmlformats.org/officeDocument/2006/relationships/hyperlink" Target="https://codesommet.com/" TargetMode="External" Id="rId10"/><Relationship Type="http://schemas.openxmlformats.org/officeDocument/2006/relationships/hyperlink" Target="https://codesommet.com/" TargetMode="External" Id="rId11"/><Relationship Type="http://schemas.openxmlformats.org/officeDocument/2006/relationships/hyperlink" Target="https://codesommet.com/" TargetMode="External" Id="rId12"/><Relationship Type="http://schemas.openxmlformats.org/officeDocument/2006/relationships/hyperlink" Target="https://codesommet.com/" TargetMode="External" Id="rId13"/><Relationship Type="http://schemas.openxmlformats.org/officeDocument/2006/relationships/hyperlink" Target="https://codesommet.com/" TargetMode="External" Id="rId14"/><Relationship Type="http://schemas.openxmlformats.org/officeDocument/2006/relationships/hyperlink" Target="https://codesommet.com/" TargetMode="External" Id="rId15"/><Relationship Type="http://schemas.openxmlformats.org/officeDocument/2006/relationships/hyperlink" Target="https://codesommet.com/" TargetMode="External" Id="rId16"/><Relationship Type="http://schemas.openxmlformats.org/officeDocument/2006/relationships/hyperlink" Target="https://codesommet.com/" TargetMode="External" Id="rId17"/><Relationship Type="http://schemas.openxmlformats.org/officeDocument/2006/relationships/hyperlink" Target="https://codesommet.com/" TargetMode="External" Id="rId18"/><Relationship Type="http://schemas.openxmlformats.org/officeDocument/2006/relationships/hyperlink" Target="https://codesommet.com/" TargetMode="External" Id="rId19"/><Relationship Type="http://schemas.openxmlformats.org/officeDocument/2006/relationships/hyperlink" Target="https://codesommet.com/" TargetMode="External" Id="rId20"/><Relationship Type="http://schemas.openxmlformats.org/officeDocument/2006/relationships/hyperlink" Target="https://codesommet.com/about" TargetMode="External" Id="rId21"/><Relationship Type="http://schemas.openxmlformats.org/officeDocument/2006/relationships/hyperlink" Target="https://codesommet.com/about" TargetMode="External" Id="rId22"/><Relationship Type="http://schemas.openxmlformats.org/officeDocument/2006/relationships/hyperlink" Target="https://codesommet.com/about" TargetMode="External" Id="rId23"/><Relationship Type="http://schemas.openxmlformats.org/officeDocument/2006/relationships/hyperlink" Target="https://codesommet.com/about" TargetMode="External" Id="rId24"/><Relationship Type="http://schemas.openxmlformats.org/officeDocument/2006/relationships/hyperlink" Target="https://codesommet.com/blog" TargetMode="External" Id="rId25"/><Relationship Type="http://schemas.openxmlformats.org/officeDocument/2006/relationships/hyperlink" Target="https://codesommet.com/blog" TargetMode="External" Id="rId26"/><Relationship Type="http://schemas.openxmlformats.org/officeDocument/2006/relationships/hyperlink" Target="https://codesommet.com/blog/creer-une-plateforme-saas-mvp-multi-tenant-facturation-par-ou-commencer" TargetMode="External" Id="rId27"/><Relationship Type="http://schemas.openxmlformats.org/officeDocument/2006/relationships/hyperlink" Target="https://codesommet.com/blog/creer-une-plateforme-saas-mvp-multi-tenant-facturation-par-ou-commencer" TargetMode="External" Id="rId28"/><Relationship Type="http://schemas.openxmlformats.org/officeDocument/2006/relationships/hyperlink" Target="https://codesommet.com/blog/creer-une-plateforme-saas-mvp-multi-tenant-facturation-par-ou-commencer" TargetMode="External" Id="rId29"/><Relationship Type="http://schemas.openxmlformats.org/officeDocument/2006/relationships/hyperlink" Target="https://codesommet.com/blog/creer-une-plateforme-saas-mvp-multi-tenant-facturation-par-ou-commencer" TargetMode="External" Id="rId30"/><Relationship Type="http://schemas.openxmlformats.org/officeDocument/2006/relationships/hyperlink" Target="https://codesommet.com/blog/creer-une-plateforme-saas-mvp-multi-tenant-facturation-par-ou-commencer" TargetMode="External" Id="rId31"/><Relationship Type="http://schemas.openxmlformats.org/officeDocument/2006/relationships/hyperlink" Target="https://codesommet.com/blog/creer-une-plateforme-saas-mvp-multi-tenant-facturation-par-ou-commencer" TargetMode="External" Id="rId32"/><Relationship Type="http://schemas.openxmlformats.org/officeDocument/2006/relationships/hyperlink" Target="https://codesommet.com/blog/creer-une-plateforme-saas-mvp-multi-tenant-facturation-par-ou-commencer" TargetMode="External" Id="rId33"/><Relationship Type="http://schemas.openxmlformats.org/officeDocument/2006/relationships/hyperlink" Target="https://codesommet.com/blog/lms-sur-mesure-ou-produit-edtech-quelle-plateforme-e-learning" TargetMode="External" Id="rId34"/><Relationship Type="http://schemas.openxmlformats.org/officeDocument/2006/relationships/hyperlink" Target="https://codesommet.com/blog/lms-sur-mesure-ou-produit-edtech-quelle-plateforme-e-learning" TargetMode="External" Id="rId35"/><Relationship Type="http://schemas.openxmlformats.org/officeDocument/2006/relationships/hyperlink" Target="https://codesommet.com/blog/lms-sur-mesure-ou-produit-edtech-quelle-plateforme-e-learning" TargetMode="External" Id="rId36"/><Relationship Type="http://schemas.openxmlformats.org/officeDocument/2006/relationships/hyperlink" Target="https://codesommet.com/blog/lms-sur-mesure-ou-produit-edtech-quelle-plateforme-e-learning" TargetMode="External" Id="rId37"/><Relationship Type="http://schemas.openxmlformats.org/officeDocument/2006/relationships/hyperlink" Target="https://codesommet.com/blog/site-immobilier-structurer-les-annonces-pour-le-seo-et-la-conversion" TargetMode="External" Id="rId38"/><Relationship Type="http://schemas.openxmlformats.org/officeDocument/2006/relationships/hyperlink" Target="https://codesommet.com/blog/site-immobilier-structurer-les-annonces-pour-le-seo-et-la-conversion" TargetMode="External" Id="rId39"/><Relationship Type="http://schemas.openxmlformats.org/officeDocument/2006/relationships/hyperlink" Target="https://codesommet.com/blog/site-immobilier-structurer-les-annonces-pour-le-seo-et-la-conversion" TargetMode="External" Id="rId40"/><Relationship Type="http://schemas.openxmlformats.org/officeDocument/2006/relationships/hyperlink" Target="https://codesommet.com/blog/site-immobilier-structurer-les-annonces-pour-le-seo-et-la-conversion" TargetMode="External" Id="rId41"/><Relationship Type="http://schemas.openxmlformats.org/officeDocument/2006/relationships/hyperlink" Target="https://codesommet.com/blog/site-web-fintech-7-elements-qui-rassurent-un-visiteur" TargetMode="External" Id="rId42"/><Relationship Type="http://schemas.openxmlformats.org/officeDocument/2006/relationships/hyperlink" Target="https://codesommet.com/blog/site-web-fintech-7-elements-qui-rassurent-un-visiteur" TargetMode="External" Id="rId43"/><Relationship Type="http://schemas.openxmlformats.org/officeDocument/2006/relationships/hyperlink" Target="https://codesommet.com/blog/site-web-fintech-7-elements-qui-rassurent-un-visiteur" TargetMode="External" Id="rId44"/><Relationship Type="http://schemas.openxmlformats.org/officeDocument/2006/relationships/hyperlink" Target="https://codesommet.com/blog/site-web-fintech-7-elements-qui-rassurent-un-visiteur" TargetMode="External" Id="rId45"/><Relationship Type="http://schemas.openxmlformats.org/officeDocument/2006/relationships/hyperlink" Target="https://codesommet.com/blog/site-web-telemedecine-cabinet-clinique-que-doit-il-contenir" TargetMode="External" Id="rId46"/><Relationship Type="http://schemas.openxmlformats.org/officeDocument/2006/relationships/hyperlink" Target="https://codesommet.com/blog/site-web-telemedecine-cabinet-clinique-que-doit-il-contenir" TargetMode="External" Id="rId47"/><Relationship Type="http://schemas.openxmlformats.org/officeDocument/2006/relationships/hyperlink" Target="https://codesommet.com/blog/site-web-telemedecine-cabinet-clinique-que-doit-il-contenir" TargetMode="External" Id="rId48"/><Relationship Type="http://schemas.openxmlformats.org/officeDocument/2006/relationships/hyperlink" Target="https://codesommet.com/contact" TargetMode="External" Id="rId49"/><Relationship Type="http://schemas.openxmlformats.org/officeDocument/2006/relationships/hyperlink" Target="https://codesommet.com/contact" TargetMode="External" Id="rId50"/><Relationship Type="http://schemas.openxmlformats.org/officeDocument/2006/relationships/hyperlink" Target="https://codesommet.com/get-quote" TargetMode="External" Id="rId51"/><Relationship Type="http://schemas.openxmlformats.org/officeDocument/2006/relationships/hyperlink" Target="https://codesommet.com/get-quote" TargetMode="External" Id="rId52"/><Relationship Type="http://schemas.openxmlformats.org/officeDocument/2006/relationships/hyperlink" Target="https://codesommet.com/get-quote" TargetMode="External" Id="rId53"/><Relationship Type="http://schemas.openxmlformats.org/officeDocument/2006/relationships/hyperlink" Target="https://codesommet.com/get-quote" TargetMode="External" Id="rId54"/><Relationship Type="http://schemas.openxmlformats.org/officeDocument/2006/relationships/hyperlink" Target="https://codesommet.com/get-quote" TargetMode="External" Id="rId55"/><Relationship Type="http://schemas.openxmlformats.org/officeDocument/2006/relationships/hyperlink" Target="https://codesommet.com/get-quote" TargetMode="External" Id="rId56"/><Relationship Type="http://schemas.openxmlformats.org/officeDocument/2006/relationships/hyperlink" Target="https://codesommet.com/get-quote" TargetMode="External" Id="rId57"/><Relationship Type="http://schemas.openxmlformats.org/officeDocument/2006/relationships/hyperlink" Target="https://codesommet.com/get-quote" TargetMode="External" Id="rId58"/><Relationship Type="http://schemas.openxmlformats.org/officeDocument/2006/relationships/hyperlink" Target="https://codesommet.com/get-quote" TargetMode="External" Id="rId59"/><Relationship Type="http://schemas.openxmlformats.org/officeDocument/2006/relationships/hyperlink" Target="https://codesommet.com/get-quote" TargetMode="External" Id="rId60"/><Relationship Type="http://schemas.openxmlformats.org/officeDocument/2006/relationships/hyperlink" Target="https://codesommet.com/get-quote" TargetMode="External" Id="rId61"/><Relationship Type="http://schemas.openxmlformats.org/officeDocument/2006/relationships/hyperlink" Target="https://codesommet.com/get-quote" TargetMode="External" Id="rId62"/><Relationship Type="http://schemas.openxmlformats.org/officeDocument/2006/relationships/hyperlink" Target="https://codesommet.com/industries" TargetMode="External" Id="rId63"/><Relationship Type="http://schemas.openxmlformats.org/officeDocument/2006/relationships/hyperlink" Target="https://codesommet.com/industries" TargetMode="External" Id="rId64"/><Relationship Type="http://schemas.openxmlformats.org/officeDocument/2006/relationships/hyperlink" Target="https://codesommet.com/legal/acceptable-use" TargetMode="External" Id="rId65"/><Relationship Type="http://schemas.openxmlformats.org/officeDocument/2006/relationships/hyperlink" Target="https://codesommet.com/legal/cookie-policy" TargetMode="External" Id="rId66"/><Relationship Type="http://schemas.openxmlformats.org/officeDocument/2006/relationships/hyperlink" Target="https://codesommet.com/legal/privacy-policy" TargetMode="External" Id="rId67"/><Relationship Type="http://schemas.openxmlformats.org/officeDocument/2006/relationships/hyperlink" Target="https://codesommet.com/legal/refund-policy" TargetMode="External" Id="rId68"/><Relationship Type="http://schemas.openxmlformats.org/officeDocument/2006/relationships/hyperlink" Target="https://codesommet.com/legal/terms-of-service" TargetMode="External" Id="rId69"/><Relationship Type="http://schemas.openxmlformats.org/officeDocument/2006/relationships/hyperlink" Target="https://codesommet.com/locations" TargetMode="External" Id="rId70"/><Relationship Type="http://schemas.openxmlformats.org/officeDocument/2006/relationships/hyperlink" Target="https://codesommet.com/locations" TargetMode="External" Id="rId71"/><Relationship Type="http://schemas.openxmlformats.org/officeDocument/2006/relationships/hyperlink" Target="https://codesommet.com/locations" TargetMode="External" Id="rId72"/><Relationship Type="http://schemas.openxmlformats.org/officeDocument/2006/relationships/hyperlink" Target="https://codesommet.com/our-work" TargetMode="External" Id="rId73"/><Relationship Type="http://schemas.openxmlformats.org/officeDocument/2006/relationships/hyperlink" Target="https://codesommet.com/our-work" TargetMode="External" Id="rId74"/><Relationship Type="http://schemas.openxmlformats.org/officeDocument/2006/relationships/hyperlink" Target="https://codesommet.com/our-work" TargetMode="External" Id="rId75"/><Relationship Type="http://schemas.openxmlformats.org/officeDocument/2006/relationships/hyperlink" Target="https://codesommet.com/our-work" TargetMode="External" Id="rId76"/><Relationship Type="http://schemas.openxmlformats.org/officeDocument/2006/relationships/hyperlink" Target="https://codesommet.com/our-work/akoubri" TargetMode="External" Id="rId77"/><Relationship Type="http://schemas.openxmlformats.org/officeDocument/2006/relationships/hyperlink" Target="https://codesommet.com/our-work/akoubri" TargetMode="External" Id="rId78"/><Relationship Type="http://schemas.openxmlformats.org/officeDocument/2006/relationships/hyperlink" Target="https://codesommet.com/our-work/akoubri" TargetMode="External" Id="rId79"/><Relationship Type="http://schemas.openxmlformats.org/officeDocument/2006/relationships/hyperlink" Target="https://codesommet.com/our-work/akoubri" TargetMode="External" Id="rId80"/><Relationship Type="http://schemas.openxmlformats.org/officeDocument/2006/relationships/hyperlink" Target="https://codesommet.com/our-work/authentic-morocco-adventures" TargetMode="External" Id="rId81"/><Relationship Type="http://schemas.openxmlformats.org/officeDocument/2006/relationships/hyperlink" Target="https://codesommet.com/our-work/authentic-morocco-adventures" TargetMode="External" Id="rId82"/><Relationship Type="http://schemas.openxmlformats.org/officeDocument/2006/relationships/hyperlink" Target="https://codesommet.com/our-work/dental-pro" TargetMode="External" Id="rId83"/><Relationship Type="http://schemas.openxmlformats.org/officeDocument/2006/relationships/hyperlink" Target="https://codesommet.com/our-work/glamworlds" TargetMode="External" Id="rId84"/><Relationship Type="http://schemas.openxmlformats.org/officeDocument/2006/relationships/hyperlink" Target="https://codesommet.com/our-work/glamworlds" TargetMode="External" Id="rId85"/><Relationship Type="http://schemas.openxmlformats.org/officeDocument/2006/relationships/hyperlink" Target="https://codesommet.com/our-work/gls-sprachenzentrum" TargetMode="External" Id="rId86"/><Relationship Type="http://schemas.openxmlformats.org/officeDocument/2006/relationships/hyperlink" Target="https://codesommet.com/our-work/gls-sprachenzentrum" TargetMode="External" Id="rId87"/><Relationship Type="http://schemas.openxmlformats.org/officeDocument/2006/relationships/hyperlink" Target="https://codesommet.com/our-work/hssabek" TargetMode="External" Id="rId88"/><Relationship Type="http://schemas.openxmlformats.org/officeDocument/2006/relationships/hyperlink" Target="https://codesommet.com/our-work/hssabek" TargetMode="External" Id="rId89"/><Relationship Type="http://schemas.openxmlformats.org/officeDocument/2006/relationships/hyperlink" Target="https://codesommet.com/our-work/hssabek" TargetMode="External" Id="rId90"/><Relationship Type="http://schemas.openxmlformats.org/officeDocument/2006/relationships/hyperlink" Target="https://codesommet.com/our-work/mon-asso" TargetMode="External" Id="rId91"/><Relationship Type="http://schemas.openxmlformats.org/officeDocument/2006/relationships/hyperlink" Target="https://codesommet.com/our-work/mon-asso" TargetMode="External" Id="rId92"/><Relationship Type="http://schemas.openxmlformats.org/officeDocument/2006/relationships/hyperlink" Target="https://codesommet.com/our-work/morocco-quest" TargetMode="External" Id="rId93"/><Relationship Type="http://schemas.openxmlformats.org/officeDocument/2006/relationships/hyperlink" Target="https://codesommet.com/our-work/morocco-quest" TargetMode="External" Id="rId94"/><Relationship Type="http://schemas.openxmlformats.org/officeDocument/2006/relationships/hyperlink" Target="https://codesommet.com/services/ecommerce-website-development" TargetMode="External" Id="rId95"/><Relationship Type="http://schemas.openxmlformats.org/officeDocument/2006/relationships/hyperlink" Target="https://codesommet.com/services/ecommerce-website-development" TargetMode="External" Id="rId96"/><Relationship Type="http://schemas.openxmlformats.org/officeDocument/2006/relationships/hyperlink" Target="https://codesommet.com/services/ecommerce-website-development" TargetMode="External" Id="rId97"/><Relationship Type="http://schemas.openxmlformats.org/officeDocument/2006/relationships/hyperlink" Target="https://codesommet.com/services/ecommerce-website-development" TargetMode="External" Id="rId98"/><Relationship Type="http://schemas.openxmlformats.org/officeDocument/2006/relationships/hyperlink" Target="https://codesommet.com/services/ecommerce-website-development" TargetMode="External" Id="rId99"/><Relationship Type="http://schemas.openxmlformats.org/officeDocument/2006/relationships/hyperlink" Target="https://codesommet.com/services/ecommerce-website-development" TargetMode="External" Id="rId100"/><Relationship Type="http://schemas.openxmlformats.org/officeDocument/2006/relationships/hyperlink" Target="https://codesommet.com/services/ecommerce-website-development" TargetMode="External" Id="rId101"/><Relationship Type="http://schemas.openxmlformats.org/officeDocument/2006/relationships/hyperlink" Target="https://codesommet.com/services/ecommerce-website-development" TargetMode="External" Id="rId102"/><Relationship Type="http://schemas.openxmlformats.org/officeDocument/2006/relationships/hyperlink" Target="https://codesommet.com/services/ecommerce-website-development" TargetMode="External" Id="rId103"/><Relationship Type="http://schemas.openxmlformats.org/officeDocument/2006/relationships/hyperlink" Target="https://codesommet.com/services/ecommerce-website-development" TargetMode="External" Id="rId104"/><Relationship Type="http://schemas.openxmlformats.org/officeDocument/2006/relationships/hyperlink" Target="https://codesommet.com/services/ecommerce-website-development" TargetMode="External" Id="rId105"/><Relationship Type="http://schemas.openxmlformats.org/officeDocument/2006/relationships/hyperlink" Target="https://codesommet.com/services/ecommerce-website-development" TargetMode="External" Id="rId106"/><Relationship Type="http://schemas.openxmlformats.org/officeDocument/2006/relationships/hyperlink" Target="https://codesommet.com/services/ecommerce-website-development" TargetMode="External" Id="rId107"/><Relationship Type="http://schemas.openxmlformats.org/officeDocument/2006/relationships/hyperlink" Target="https://codesommet.com/services/ecommerce-website-development" TargetMode="External" Id="rId108"/><Relationship Type="http://schemas.openxmlformats.org/officeDocument/2006/relationships/hyperlink" Target="https://codesommet.com/services/ecommerce-website-development" TargetMode="External" Id="rId109"/><Relationship Type="http://schemas.openxmlformats.org/officeDocument/2006/relationships/hyperlink" Target="https://codesommet.com/services/ecommerce-website-development" TargetMode="External" Id="rId110"/><Relationship Type="http://schemas.openxmlformats.org/officeDocument/2006/relationships/hyperlink" Target="https://codesommet.com/services/ecommerce-website-development" TargetMode="External" Id="rId111"/><Relationship Type="http://schemas.openxmlformats.org/officeDocument/2006/relationships/hyperlink" Target="https://codesommet.com/services/ecommerce-website-development" TargetMode="External" Id="rId112"/><Relationship Type="http://schemas.openxmlformats.org/officeDocument/2006/relationships/hyperlink" Target="https://codesommet.com/services/ecommerce-website-development" TargetMode="External" Id="rId113"/><Relationship Type="http://schemas.openxmlformats.org/officeDocument/2006/relationships/hyperlink" Target="https://codesommet.com/services/ecommerce-website-development" TargetMode="External" Id="rId114"/><Relationship Type="http://schemas.openxmlformats.org/officeDocument/2006/relationships/hyperlink" Target="https://codesommet.com/services/ecommerce-website-development" TargetMode="External" Id="rId115"/><Relationship Type="http://schemas.openxmlformats.org/officeDocument/2006/relationships/hyperlink" Target="https://codesommet.com/services/edtech-platform-development" TargetMode="External" Id="rId116"/><Relationship Type="http://schemas.openxmlformats.org/officeDocument/2006/relationships/hyperlink" Target="https://codesommet.com/services/edtech-platform-development" TargetMode="External" Id="rId117"/><Relationship Type="http://schemas.openxmlformats.org/officeDocument/2006/relationships/hyperlink" Target="https://codesommet.com/services/edtech-platform-development" TargetMode="External" Id="rId118"/><Relationship Type="http://schemas.openxmlformats.org/officeDocument/2006/relationships/hyperlink" Target="https://codesommet.com/services/education-website-development" TargetMode="External" Id="rId119"/><Relationship Type="http://schemas.openxmlformats.org/officeDocument/2006/relationships/hyperlink" Target="https://codesommet.com/services/education-website-development" TargetMode="External" Id="rId120"/><Relationship Type="http://schemas.openxmlformats.org/officeDocument/2006/relationships/hyperlink" Target="https://codesommet.com/services/education-website-development" TargetMode="External" Id="rId121"/><Relationship Type="http://schemas.openxmlformats.org/officeDocument/2006/relationships/hyperlink" Target="https://codesommet.com/services/education-website-development" TargetMode="External" Id="rId122"/><Relationship Type="http://schemas.openxmlformats.org/officeDocument/2006/relationships/hyperlink" Target="https://codesommet.com/services/education-website-development" TargetMode="External" Id="rId123"/><Relationship Type="http://schemas.openxmlformats.org/officeDocument/2006/relationships/hyperlink" Target="https://codesommet.com/services/elearning-platform-development" TargetMode="External" Id="rId124"/><Relationship Type="http://schemas.openxmlformats.org/officeDocument/2006/relationships/hyperlink" Target="https://codesommet.com/services/elearning-platform-development" TargetMode="External" Id="rId125"/><Relationship Type="http://schemas.openxmlformats.org/officeDocument/2006/relationships/hyperlink" Target="https://codesommet.com/services/elearning-platform-development" TargetMode="External" Id="rId126"/><Relationship Type="http://schemas.openxmlformats.org/officeDocument/2006/relationships/hyperlink" Target="https://codesommet.com/services/elearning-platform-development" TargetMode="External" Id="rId127"/><Relationship Type="http://schemas.openxmlformats.org/officeDocument/2006/relationships/hyperlink" Target="https://codesommet.com/services/elearning-platform-development" TargetMode="External" Id="rId128"/><Relationship Type="http://schemas.openxmlformats.org/officeDocument/2006/relationships/hyperlink" Target="https://codesommet.com/services/elearning-platform-development" TargetMode="External" Id="rId129"/><Relationship Type="http://schemas.openxmlformats.org/officeDocument/2006/relationships/hyperlink" Target="https://codesommet.com/services/elearning-platform-development" TargetMode="External" Id="rId130"/><Relationship Type="http://schemas.openxmlformats.org/officeDocument/2006/relationships/hyperlink" Target="https://codesommet.com/services/elearning-platform-development" TargetMode="External" Id="rId131"/><Relationship Type="http://schemas.openxmlformats.org/officeDocument/2006/relationships/hyperlink" Target="https://codesommet.com/services/elearning-platform-development" TargetMode="External" Id="rId132"/><Relationship Type="http://schemas.openxmlformats.org/officeDocument/2006/relationships/hyperlink" Target="https://codesommet.com/services/fintech-platform-development" TargetMode="External" Id="rId133"/><Relationship Type="http://schemas.openxmlformats.org/officeDocument/2006/relationships/hyperlink" Target="https://codesommet.com/services/fintech-platform-development" TargetMode="External" Id="rId134"/><Relationship Type="http://schemas.openxmlformats.org/officeDocument/2006/relationships/hyperlink" Target="https://codesommet.com/services/fintech-platform-development" TargetMode="External" Id="rId135"/><Relationship Type="http://schemas.openxmlformats.org/officeDocument/2006/relationships/hyperlink" Target="https://codesommet.com/services/fintech-platform-development" TargetMode="External" Id="rId136"/><Relationship Type="http://schemas.openxmlformats.org/officeDocument/2006/relationships/hyperlink" Target="https://codesommet.com/services/fintech-website-development" TargetMode="External" Id="rId137"/><Relationship Type="http://schemas.openxmlformats.org/officeDocument/2006/relationships/hyperlink" Target="https://codesommet.com/services/fintech-website-development" TargetMode="External" Id="rId138"/><Relationship Type="http://schemas.openxmlformats.org/officeDocument/2006/relationships/hyperlink" Target="https://codesommet.com/services/fintech-website-development" TargetMode="External" Id="rId139"/><Relationship Type="http://schemas.openxmlformats.org/officeDocument/2006/relationships/hyperlink" Target="https://codesommet.com/services/fintech-website-development" TargetMode="External" Id="rId140"/><Relationship Type="http://schemas.openxmlformats.org/officeDocument/2006/relationships/hyperlink" Target="https://codesommet.com/services/fintech-website-development" TargetMode="External" Id="rId141"/><Relationship Type="http://schemas.openxmlformats.org/officeDocument/2006/relationships/hyperlink" Target="https://codesommet.com/services/healthcare-website-development" TargetMode="External" Id="rId142"/><Relationship Type="http://schemas.openxmlformats.org/officeDocument/2006/relationships/hyperlink" Target="https://codesommet.com/services/healthcare-website-development" TargetMode="External" Id="rId143"/><Relationship Type="http://schemas.openxmlformats.org/officeDocument/2006/relationships/hyperlink" Target="https://codesommet.com/services/healthcare-website-development" TargetMode="External" Id="rId144"/><Relationship Type="http://schemas.openxmlformats.org/officeDocument/2006/relationships/hyperlink" Target="https://codesommet.com/services/healthcare-website-development" TargetMode="External" Id="rId145"/><Relationship Type="http://schemas.openxmlformats.org/officeDocument/2006/relationships/hyperlink" Target="https://codesommet.com/services/healthcare-website-development" TargetMode="External" Id="rId146"/><Relationship Type="http://schemas.openxmlformats.org/officeDocument/2006/relationships/hyperlink" Target="https://codesommet.com/services/healthcare-website-development" TargetMode="External" Id="rId147"/><Relationship Type="http://schemas.openxmlformats.org/officeDocument/2006/relationships/hyperlink" Target="https://codesommet.com/services/healthcare-website-development" TargetMode="External" Id="rId148"/><Relationship Type="http://schemas.openxmlformats.org/officeDocument/2006/relationships/hyperlink" Target="https://codesommet.com/services/healthcare-website-development" TargetMode="External" Id="rId149"/><Relationship Type="http://schemas.openxmlformats.org/officeDocument/2006/relationships/hyperlink" Target="https://codesommet.com/services/healthcare-website-development" TargetMode="External" Id="rId150"/><Relationship Type="http://schemas.openxmlformats.org/officeDocument/2006/relationships/hyperlink" Target="https://codesommet.com/services/immigration-consultancy-website-development" TargetMode="External" Id="rId151"/><Relationship Type="http://schemas.openxmlformats.org/officeDocument/2006/relationships/hyperlink" Target="https://codesommet.com/services/immigration-consultancy-website-development" TargetMode="External" Id="rId152"/><Relationship Type="http://schemas.openxmlformats.org/officeDocument/2006/relationships/hyperlink" Target="https://codesommet.com/services/language-school-website-development" TargetMode="External" Id="rId153"/><Relationship Type="http://schemas.openxmlformats.org/officeDocument/2006/relationships/hyperlink" Target="https://codesommet.com/services/language-school-website-development" TargetMode="External" Id="rId154"/><Relationship Type="http://schemas.openxmlformats.org/officeDocument/2006/relationships/hyperlink" Target="https://codesommet.com/services/online-course-platform-development" TargetMode="External" Id="rId155"/><Relationship Type="http://schemas.openxmlformats.org/officeDocument/2006/relationships/hyperlink" Target="https://codesommet.com/services/online-course-platform-development" TargetMode="External" Id="rId156"/><Relationship Type="http://schemas.openxmlformats.org/officeDocument/2006/relationships/hyperlink" Target="https://codesommet.com/services/online-course-platform-development" TargetMode="External" Id="rId157"/><Relationship Type="http://schemas.openxmlformats.org/officeDocument/2006/relationships/hyperlink" Target="https://codesommet.com/services/online-course-platform-development" TargetMode="External" Id="rId158"/><Relationship Type="http://schemas.openxmlformats.org/officeDocument/2006/relationships/hyperlink" Target="https://codesommet.com/services/online-course-platform-development" TargetMode="External" Id="rId159"/><Relationship Type="http://schemas.openxmlformats.org/officeDocument/2006/relationships/hyperlink" Target="https://codesommet.com/services/online-course-platform-development" TargetMode="External" Id="rId160"/><Relationship Type="http://schemas.openxmlformats.org/officeDocument/2006/relationships/hyperlink" Target="https://codesommet.com/services/real-estate-website-development" TargetMode="External" Id="rId161"/><Relationship Type="http://schemas.openxmlformats.org/officeDocument/2006/relationships/hyperlink" Target="https://codesommet.com/services/real-estate-website-development" TargetMode="External" Id="rId162"/><Relationship Type="http://schemas.openxmlformats.org/officeDocument/2006/relationships/hyperlink" Target="https://codesommet.com/services/real-estate-website-development" TargetMode="External" Id="rId163"/><Relationship Type="http://schemas.openxmlformats.org/officeDocument/2006/relationships/hyperlink" Target="https://codesommet.com/services/real-estate-website-development" TargetMode="External" Id="rId164"/><Relationship Type="http://schemas.openxmlformats.org/officeDocument/2006/relationships/hyperlink" Target="https://codesommet.com/services/real-estate-website-development" TargetMode="External" Id="rId165"/><Relationship Type="http://schemas.openxmlformats.org/officeDocument/2006/relationships/hyperlink" Target="https://codesommet.com/services/real-estate-website-development" TargetMode="External" Id="rId166"/><Relationship Type="http://schemas.openxmlformats.org/officeDocument/2006/relationships/hyperlink" Target="https://codesommet.com/services/real-estate-website-development" TargetMode="External" Id="rId167"/><Relationship Type="http://schemas.openxmlformats.org/officeDocument/2006/relationships/hyperlink" Target="https://codesommet.com/services/real-estate-website-development" TargetMode="External" Id="rId168"/><Relationship Type="http://schemas.openxmlformats.org/officeDocument/2006/relationships/hyperlink" Target="https://codesommet.com/services/real-estate-website-development" TargetMode="External" Id="rId169"/><Relationship Type="http://schemas.openxmlformats.org/officeDocument/2006/relationships/hyperlink" Target="https://codesommet.com/services/saas-platform-development" TargetMode="External" Id="rId170"/><Relationship Type="http://schemas.openxmlformats.org/officeDocument/2006/relationships/hyperlink" Target="https://codesommet.com/services/saas-platform-development" TargetMode="External" Id="rId171"/><Relationship Type="http://schemas.openxmlformats.org/officeDocument/2006/relationships/hyperlink" Target="https://codesommet.com/services/saas-platform-development" TargetMode="External" Id="rId172"/><Relationship Type="http://schemas.openxmlformats.org/officeDocument/2006/relationships/hyperlink" Target="https://codesommet.com/services/saas-platform-development" TargetMode="External" Id="rId173"/><Relationship Type="http://schemas.openxmlformats.org/officeDocument/2006/relationships/hyperlink" Target="https://codesommet.com/services/saas-platform-development" TargetMode="External" Id="rId174"/><Relationship Type="http://schemas.openxmlformats.org/officeDocument/2006/relationships/hyperlink" Target="https://codesommet.com/services/saas-platform-development" TargetMode="External" Id="rId175"/><Relationship Type="http://schemas.openxmlformats.org/officeDocument/2006/relationships/hyperlink" Target="https://codesommet.com/services/saas-platform-development" TargetMode="External" Id="rId176"/><Relationship Type="http://schemas.openxmlformats.org/officeDocument/2006/relationships/hyperlink" Target="https://codesommet.com/services/saas-platform-development" TargetMode="External" Id="rId177"/><Relationship Type="http://schemas.openxmlformats.org/officeDocument/2006/relationships/hyperlink" Target="https://codesommet.com/services/saas-platform-development" TargetMode="External" Id="rId178"/><Relationship Type="http://schemas.openxmlformats.org/officeDocument/2006/relationships/hyperlink" Target="https://codesommet.com/services/saas-platform-development" TargetMode="External" Id="rId179"/><Relationship Type="http://schemas.openxmlformats.org/officeDocument/2006/relationships/hyperlink" Target="https://codesommet.com/services/saas-platform-development" TargetMode="External" Id="rId180"/><Relationship Type="http://schemas.openxmlformats.org/officeDocument/2006/relationships/hyperlink" Target="https://codesommet.com/services/saas-platform-development" TargetMode="External" Id="rId181"/><Relationship Type="http://schemas.openxmlformats.org/officeDocument/2006/relationships/hyperlink" Target="https://codesommet.com/services/saas-platform-development" TargetMode="External" Id="rId182"/><Relationship Type="http://schemas.openxmlformats.org/officeDocument/2006/relationships/hyperlink" Target="https://codesommet.com/services/saas-platform-development" TargetMode="External" Id="rId183"/><Relationship Type="http://schemas.openxmlformats.org/officeDocument/2006/relationships/hyperlink" Target="https://codesommet.com/services/seo-maroc" TargetMode="External" Id="rId184"/><Relationship Type="http://schemas.openxmlformats.org/officeDocument/2006/relationships/hyperlink" Target="https://codesommet.com/services/seo-maroc" TargetMode="External" Id="rId185"/><Relationship Type="http://schemas.openxmlformats.org/officeDocument/2006/relationships/hyperlink" Target="https://codesommet.com/services/seo-maroc" TargetMode="External" Id="rId186"/><Relationship Type="http://schemas.openxmlformats.org/officeDocument/2006/relationships/hyperlink" Target="https://codesommet.com/services/seo-maroc" TargetMode="External" Id="rId187"/><Relationship Type="http://schemas.openxmlformats.org/officeDocument/2006/relationships/hyperlink" Target="https://codesommet.com/services/seo-maroc" TargetMode="External" Id="rId188"/><Relationship Type="http://schemas.openxmlformats.org/officeDocument/2006/relationships/hyperlink" Target="https://codesommet.com/services/seo-maroc" TargetMode="External" Id="rId189"/><Relationship Type="http://schemas.openxmlformats.org/officeDocument/2006/relationships/hyperlink" Target="https://codesommet.com/services/seo-maroc" TargetMode="External" Id="rId190"/><Relationship Type="http://schemas.openxmlformats.org/officeDocument/2006/relationships/hyperlink" Target="https://codesommet.com/services/seo-maroc" TargetMode="External" Id="rId191"/><Relationship Type="http://schemas.openxmlformats.org/officeDocument/2006/relationships/hyperlink" Target="https://codesommet.com/services/seo-maroc" TargetMode="External" Id="rId192"/><Relationship Type="http://schemas.openxmlformats.org/officeDocument/2006/relationships/hyperlink" Target="https://codesommet.com/services/seo-maroc" TargetMode="External" Id="rId193"/><Relationship Type="http://schemas.openxmlformats.org/officeDocument/2006/relationships/hyperlink" Target="https://codesommet.com/services/seo-maroc" TargetMode="External" Id="rId194"/><Relationship Type="http://schemas.openxmlformats.org/officeDocument/2006/relationships/hyperlink" Target="https://codesommet.com/services/seo-maroc" TargetMode="External" Id="rId195"/><Relationship Type="http://schemas.openxmlformats.org/officeDocument/2006/relationships/hyperlink" Target="https://codesommet.com/services/seo-maroc" TargetMode="External" Id="rId196"/><Relationship Type="http://schemas.openxmlformats.org/officeDocument/2006/relationships/hyperlink" Target="https://codesommet.com/services/seo-maroc" TargetMode="External" Id="rId197"/><Relationship Type="http://schemas.openxmlformats.org/officeDocument/2006/relationships/hyperlink" Target="https://codesommet.com/services/seo-maroc" TargetMode="External" Id="rId198"/><Relationship Type="http://schemas.openxmlformats.org/officeDocument/2006/relationships/hyperlink" Target="https://codesommet.com/services/seo-maroc" TargetMode="External" Id="rId199"/><Relationship Type="http://schemas.openxmlformats.org/officeDocument/2006/relationships/hyperlink" Target="https://codesommet.com/services/seo-maroc" TargetMode="External" Id="rId200"/><Relationship Type="http://schemas.openxmlformats.org/officeDocument/2006/relationships/hyperlink" Target="https://codesommet.com/services/seo-maroc" TargetMode="External" Id="rId201"/><Relationship Type="http://schemas.openxmlformats.org/officeDocument/2006/relationships/hyperlink" Target="https://codesommet.com/services/seo-maroc" TargetMode="External" Id="rId202"/><Relationship Type="http://schemas.openxmlformats.org/officeDocument/2006/relationships/hyperlink" Target="https://codesommet.com/services/seo-maroc" TargetMode="External" Id="rId203"/><Relationship Type="http://schemas.openxmlformats.org/officeDocument/2006/relationships/hyperlink" Target="https://codesommet.com/services/study-abroad-website-development" TargetMode="External" Id="rId204"/><Relationship Type="http://schemas.openxmlformats.org/officeDocument/2006/relationships/hyperlink" Target="https://codesommet.com/services/study-abroad-website-development" TargetMode="External" Id="rId205"/><Relationship Type="http://schemas.openxmlformats.org/officeDocument/2006/relationships/hyperlink" Target="https://codesommet.com/services/telemedicine-platform-development" TargetMode="External" Id="rId206"/><Relationship Type="http://schemas.openxmlformats.org/officeDocument/2006/relationships/hyperlink" Target="https://codesommet.com/services/telemedicine-platform-development" TargetMode="External" Id="rId207"/><Relationship Type="http://schemas.openxmlformats.org/officeDocument/2006/relationships/hyperlink" Target="https://codesommet.com/services/telemedicine-platform-development" TargetMode="External" Id="rId208"/><Relationship Type="http://schemas.openxmlformats.org/officeDocument/2006/relationships/hyperlink" Target="https://codesommet.com/services/telemedicine-platform-development" TargetMode="External" Id="rId209"/><Relationship Type="http://schemas.openxmlformats.org/officeDocument/2006/relationships/hyperlink" Target="https://codesommet.com/services/telemedicine-platform-development" TargetMode="External" Id="rId210"/><Relationship Type="http://schemas.openxmlformats.org/officeDocument/2006/relationships/hyperlink" Target="https://codesommet.com/services/telemedicine-platform-development" TargetMode="External" Id="rId211"/><Relationship Type="http://schemas.openxmlformats.org/officeDocument/2006/relationships/hyperlink" Target="https://codesommet.com/services/telemedicine-website-development" TargetMode="External" Id="rId212"/><Relationship Type="http://schemas.openxmlformats.org/officeDocument/2006/relationships/hyperlink" Target="https://codesommet.com/services/telemedicine-website-development" TargetMode="External" Id="rId213"/><Relationship Type="http://schemas.openxmlformats.org/officeDocument/2006/relationships/hyperlink" Target="https://codesommet.com/services/telemedicine-website-development" TargetMode="External" Id="rId214"/><Relationship Type="http://schemas.openxmlformats.org/officeDocument/2006/relationships/hyperlink" Target="https://codesommet.com/services/telemedicine-website-development" TargetMode="External" Id="rId215"/><Relationship Type="http://schemas.openxmlformats.org/officeDocument/2006/relationships/hyperlink" Target="https://codesommet.com/services/telemedicine-website-development" TargetMode="External" Id="rId216"/><Relationship Type="http://schemas.openxmlformats.org/officeDocument/2006/relationships/hyperlink" Target="https://codesommet.com/services/university-website-development" TargetMode="External" Id="rId217"/><Relationship Type="http://schemas.openxmlformats.org/officeDocument/2006/relationships/hyperlink" Target="https://codesommet.com/services/university-website-development" TargetMode="External" Id="rId218"/><Relationship Type="http://schemas.openxmlformats.org/officeDocument/2006/relationships/hyperlink" Target="https://codesommet.com/services/university-website-development" TargetMode="External" Id="rId219"/><Relationship Type="http://schemas.openxmlformats.org/officeDocument/2006/relationships/hyperlink" Target="https://codesommet.com/services/university-website-development" TargetMode="External" Id="rId220"/><Relationship Type="http://schemas.openxmlformats.org/officeDocument/2006/relationships/hyperlink" Target="https://codesommet.com/services/university-website-development" TargetMode="External" Id="rId221"/><Relationship Type="http://schemas.openxmlformats.org/officeDocument/2006/relationships/hyperlink" Target="https://codesommet.com/tools" TargetMode="External" Id="rId222"/><Relationship Type="http://schemas.openxmlformats.org/officeDocument/2006/relationships/hyperlink" Target="https://codesommet.com/tools" TargetMode="External" Id="rId223"/><Relationship Type="http://schemas.openxmlformats.org/officeDocument/2006/relationships/hyperlink" Target="https://codesommet.com/tools" TargetMode="External" Id="rId224"/><Relationship Type="http://schemas.openxmlformats.org/officeDocument/2006/relationships/hyperlink" Target="https://codesommet.com/tools" TargetMode="External" Id="rId225"/><Relationship Type="http://schemas.openxmlformats.org/officeDocument/2006/relationships/hyperlink" Target="https://codesommet.com/tools" TargetMode="External" Id="rId226"/><Relationship Type="http://schemas.openxmlformats.org/officeDocument/2006/relationships/hyperlink" Target="https://codesommet.com/tools" TargetMode="External" Id="rId227"/><Relationship Type="http://schemas.openxmlformats.org/officeDocument/2006/relationships/hyperlink" Target="https://codesommet.com/tools/ai-crawler-access-checker" TargetMode="External" Id="rId228"/><Relationship Type="http://schemas.openxmlformats.org/officeDocument/2006/relationships/hyperlink" Target="https://codesommet.com/tools/ai-crawler-access-checker" TargetMode="External" Id="rId229"/><Relationship Type="http://schemas.openxmlformats.org/officeDocument/2006/relationships/hyperlink" Target="https://codesommet.com/tools/ai-crawler-access-checker" TargetMode="External" Id="rId230"/><Relationship Type="http://schemas.openxmlformats.org/officeDocument/2006/relationships/hyperlink" Target="https://codesommet.com/tools/ai-crawler-access-checker" TargetMode="External" Id="rId231"/><Relationship Type="http://schemas.openxmlformats.org/officeDocument/2006/relationships/hyperlink" Target="https://codesommet.com/tools/ai-crawler-access-checker" TargetMode="External" Id="rId232"/><Relationship Type="http://schemas.openxmlformats.org/officeDocument/2006/relationships/hyperlink" Target="https://codesommet.com/tools/ai-readiness-checker" TargetMode="External" Id="rId233"/><Relationship Type="http://schemas.openxmlformats.org/officeDocument/2006/relationships/hyperlink" Target="https://codesommet.com/tools/ai-readiness-checker" TargetMode="External" Id="rId234"/><Relationship Type="http://schemas.openxmlformats.org/officeDocument/2006/relationships/hyperlink" Target="https://codesommet.com/tools/ai-readiness-checker" TargetMode="External" Id="rId235"/><Relationship Type="http://schemas.openxmlformats.org/officeDocument/2006/relationships/hyperlink" Target="https://codesommet.com/tools/ai-readiness-checker" TargetMode="External" Id="rId236"/><Relationship Type="http://schemas.openxmlformats.org/officeDocument/2006/relationships/hyperlink" Target="https://codesommet.com/tools/base64-encoder" TargetMode="External" Id="rId237"/><Relationship Type="http://schemas.openxmlformats.org/officeDocument/2006/relationships/hyperlink" Target="https://codesommet.com/tools/base64-encoder" TargetMode="External" Id="rId238"/><Relationship Type="http://schemas.openxmlformats.org/officeDocument/2006/relationships/hyperlink" Target="https://codesommet.com/tools/base64-encoder" TargetMode="External" Id="rId239"/><Relationship Type="http://schemas.openxmlformats.org/officeDocument/2006/relationships/hyperlink" Target="https://codesommet.com/tools/base64-encoder" TargetMode="External" Id="rId240"/><Relationship Type="http://schemas.openxmlformats.org/officeDocument/2006/relationships/hyperlink" Target="https://codesommet.com/tools/base64-encoder" TargetMode="External" Id="rId241"/><Relationship Type="http://schemas.openxmlformats.org/officeDocument/2006/relationships/hyperlink" Target="https://codesommet.com/tools/base64-encoder" TargetMode="External" Id="rId242"/><Relationship Type="http://schemas.openxmlformats.org/officeDocument/2006/relationships/hyperlink" Target="https://codesommet.com/tools/base64-encoder" TargetMode="External" Id="rId243"/><Relationship Type="http://schemas.openxmlformats.org/officeDocument/2006/relationships/hyperlink" Target="https://codesommet.com/tools/blog-title-generator" TargetMode="External" Id="rId244"/><Relationship Type="http://schemas.openxmlformats.org/officeDocument/2006/relationships/hyperlink" Target="https://codesommet.com/tools/blog-title-generator" TargetMode="External" Id="rId245"/><Relationship Type="http://schemas.openxmlformats.org/officeDocument/2006/relationships/hyperlink" Target="https://codesommet.com/tools/blog-title-generator" TargetMode="External" Id="rId246"/><Relationship Type="http://schemas.openxmlformats.org/officeDocument/2006/relationships/hyperlink" Target="https://codesommet.com/tools/blog-title-generator" TargetMode="External" Id="rId247"/><Relationship Type="http://schemas.openxmlformats.org/officeDocument/2006/relationships/hyperlink" Target="https://codesommet.com/tools/bot-viewer" TargetMode="External" Id="rId248"/><Relationship Type="http://schemas.openxmlformats.org/officeDocument/2006/relationships/hyperlink" Target="https://codesommet.com/tools/bot-viewer" TargetMode="External" Id="rId249"/><Relationship Type="http://schemas.openxmlformats.org/officeDocument/2006/relationships/hyperlink" Target="https://codesommet.com/tools/bot-viewer" TargetMode="External" Id="rId250"/><Relationship Type="http://schemas.openxmlformats.org/officeDocument/2006/relationships/hyperlink" Target="https://codesommet.com/tools/bot-viewer" TargetMode="External" Id="rId251"/><Relationship Type="http://schemas.openxmlformats.org/officeDocument/2006/relationships/hyperlink" Target="https://codesommet.com/tools/broken-link-checker" TargetMode="External" Id="rId252"/><Relationship Type="http://schemas.openxmlformats.org/officeDocument/2006/relationships/hyperlink" Target="https://codesommet.com/tools/broken-link-checker" TargetMode="External" Id="rId253"/><Relationship Type="http://schemas.openxmlformats.org/officeDocument/2006/relationships/hyperlink" Target="https://codesommet.com/tools/broken-link-checker" TargetMode="External" Id="rId254"/><Relationship Type="http://schemas.openxmlformats.org/officeDocument/2006/relationships/hyperlink" Target="https://codesommet.com/tools/broken-link-checker" TargetMode="External" Id="rId255"/><Relationship Type="http://schemas.openxmlformats.org/officeDocument/2006/relationships/hyperlink" Target="https://codesommet.com/tools/broken-link-checker" TargetMode="External" Id="rId256"/><Relationship Type="http://schemas.openxmlformats.org/officeDocument/2006/relationships/hyperlink" Target="https://codesommet.com/tools/canonical-checker" TargetMode="External" Id="rId257"/><Relationship Type="http://schemas.openxmlformats.org/officeDocument/2006/relationships/hyperlink" Target="https://codesommet.com/tools/canonical-checker" TargetMode="External" Id="rId258"/><Relationship Type="http://schemas.openxmlformats.org/officeDocument/2006/relationships/hyperlink" Target="https://codesommet.com/tools/canonical-checker" TargetMode="External" Id="rId259"/><Relationship Type="http://schemas.openxmlformats.org/officeDocument/2006/relationships/hyperlink" Target="https://codesommet.com/tools/canonical-checker" TargetMode="External" Id="rId260"/><Relationship Type="http://schemas.openxmlformats.org/officeDocument/2006/relationships/hyperlink" Target="https://codesommet.com/tools/canonical-checker" TargetMode="External" Id="rId261"/><Relationship Type="http://schemas.openxmlformats.org/officeDocument/2006/relationships/hyperlink" Target="https://codesommet.com/tools/chatbot-script-generator" TargetMode="External" Id="rId262"/><Relationship Type="http://schemas.openxmlformats.org/officeDocument/2006/relationships/hyperlink" Target="https://codesommet.com/tools/chatbot-script-generator" TargetMode="External" Id="rId263"/><Relationship Type="http://schemas.openxmlformats.org/officeDocument/2006/relationships/hyperlink" Target="https://codesommet.com/tools/chatbot-script-generator" TargetMode="External" Id="rId264"/><Relationship Type="http://schemas.openxmlformats.org/officeDocument/2006/relationships/hyperlink" Target="https://codesommet.com/tools/chatbot-script-generator" TargetMode="External" Id="rId265"/><Relationship Type="http://schemas.openxmlformats.org/officeDocument/2006/relationships/hyperlink" Target="https://codesommet.com/tools/color-palette-generator" TargetMode="External" Id="rId266"/><Relationship Type="http://schemas.openxmlformats.org/officeDocument/2006/relationships/hyperlink" Target="https://codesommet.com/tools/color-palette-generator" TargetMode="External" Id="rId267"/><Relationship Type="http://schemas.openxmlformats.org/officeDocument/2006/relationships/hyperlink" Target="https://codesommet.com/tools/color-palette-generator" TargetMode="External" Id="rId268"/><Relationship Type="http://schemas.openxmlformats.org/officeDocument/2006/relationships/hyperlink" Target="https://codesommet.com/tools/color-palette-generator" TargetMode="External" Id="rId269"/><Relationship Type="http://schemas.openxmlformats.org/officeDocument/2006/relationships/hyperlink" Target="https://codesommet.com/tools/color-palette-generator" TargetMode="External" Id="rId270"/><Relationship Type="http://schemas.openxmlformats.org/officeDocument/2006/relationships/hyperlink" Target="https://codesommet.com/tools/color-palette-generator" TargetMode="External" Id="rId271"/><Relationship Type="http://schemas.openxmlformats.org/officeDocument/2006/relationships/hyperlink" Target="https://codesommet.com/tools/color-palette-generator" TargetMode="External" Id="rId272"/><Relationship Type="http://schemas.openxmlformats.org/officeDocument/2006/relationships/hyperlink" Target="https://codesommet.com/tools/core-web-vitals-checker" TargetMode="External" Id="rId273"/><Relationship Type="http://schemas.openxmlformats.org/officeDocument/2006/relationships/hyperlink" Target="https://codesommet.com/tools/core-web-vitals-checker" TargetMode="External" Id="rId274"/><Relationship Type="http://schemas.openxmlformats.org/officeDocument/2006/relationships/hyperlink" Target="https://codesommet.com/tools/core-web-vitals-checker" TargetMode="External" Id="rId275"/><Relationship Type="http://schemas.openxmlformats.org/officeDocument/2006/relationships/hyperlink" Target="https://codesommet.com/tools/core-web-vitals-checker" TargetMode="External" Id="rId276"/><Relationship Type="http://schemas.openxmlformats.org/officeDocument/2006/relationships/hyperlink" Target="https://codesommet.com/tools/crawl-optimization-checker" TargetMode="External" Id="rId277"/><Relationship Type="http://schemas.openxmlformats.org/officeDocument/2006/relationships/hyperlink" Target="https://codesommet.com/tools/crawl-optimization-checker" TargetMode="External" Id="rId278"/><Relationship Type="http://schemas.openxmlformats.org/officeDocument/2006/relationships/hyperlink" Target="https://codesommet.com/tools/crawl-optimization-checker" TargetMode="External" Id="rId279"/><Relationship Type="http://schemas.openxmlformats.org/officeDocument/2006/relationships/hyperlink" Target="https://codesommet.com/tools/crawl-visualizer" TargetMode="External" Id="rId280"/><Relationship Type="http://schemas.openxmlformats.org/officeDocument/2006/relationships/hyperlink" Target="https://codesommet.com/tools/crawl-visualizer" TargetMode="External" Id="rId281"/><Relationship Type="http://schemas.openxmlformats.org/officeDocument/2006/relationships/hyperlink" Target="https://codesommet.com/tools/crawl-visualizer" TargetMode="External" Id="rId282"/><Relationship Type="http://schemas.openxmlformats.org/officeDocument/2006/relationships/hyperlink" Target="https://codesommet.com/tools/css-minifier" TargetMode="External" Id="rId283"/><Relationship Type="http://schemas.openxmlformats.org/officeDocument/2006/relationships/hyperlink" Target="https://codesommet.com/tools/css-minifier" TargetMode="External" Id="rId284"/><Relationship Type="http://schemas.openxmlformats.org/officeDocument/2006/relationships/hyperlink" Target="https://codesommet.com/tools/css-minifier" TargetMode="External" Id="rId285"/><Relationship Type="http://schemas.openxmlformats.org/officeDocument/2006/relationships/hyperlink" Target="https://codesommet.com/tools/css-minifier" TargetMode="External" Id="rId286"/><Relationship Type="http://schemas.openxmlformats.org/officeDocument/2006/relationships/hyperlink" Target="https://codesommet.com/tools/css-minifier" TargetMode="External" Id="rId287"/><Relationship Type="http://schemas.openxmlformats.org/officeDocument/2006/relationships/hyperlink" Target="https://codesommet.com/tools/css-minifier" TargetMode="External" Id="rId288"/><Relationship Type="http://schemas.openxmlformats.org/officeDocument/2006/relationships/hyperlink" Target="https://codesommet.com/tools/css-minifier" TargetMode="External" Id="rId289"/><Relationship Type="http://schemas.openxmlformats.org/officeDocument/2006/relationships/hyperlink" Target="https://codesommet.com/tools/css-minifier" TargetMode="External" Id="rId290"/><Relationship Type="http://schemas.openxmlformats.org/officeDocument/2006/relationships/hyperlink" Target="https://codesommet.com/tools/domain-authority-checker" TargetMode="External" Id="rId291"/><Relationship Type="http://schemas.openxmlformats.org/officeDocument/2006/relationships/hyperlink" Target="https://codesommet.com/tools/domain-authority-checker" TargetMode="External" Id="rId292"/><Relationship Type="http://schemas.openxmlformats.org/officeDocument/2006/relationships/hyperlink" Target="https://codesommet.com/tools/domain-authority-checker" TargetMode="External" Id="rId293"/><Relationship Type="http://schemas.openxmlformats.org/officeDocument/2006/relationships/hyperlink" Target="https://codesommet.com/tools/domain-authority-checker" TargetMode="External" Id="rId294"/><Relationship Type="http://schemas.openxmlformats.org/officeDocument/2006/relationships/hyperlink" Target="https://codesommet.com/tools/domain-authority-checker" TargetMode="External" Id="rId295"/><Relationship Type="http://schemas.openxmlformats.org/officeDocument/2006/relationships/hyperlink" Target="https://codesommet.com/tools/domain-extractor" TargetMode="External" Id="rId296"/><Relationship Type="http://schemas.openxmlformats.org/officeDocument/2006/relationships/hyperlink" Target="https://codesommet.com/tools/domain-extractor" TargetMode="External" Id="rId297"/><Relationship Type="http://schemas.openxmlformats.org/officeDocument/2006/relationships/hyperlink" Target="https://codesommet.com/tools/domain-health-checker" TargetMode="External" Id="rId298"/><Relationship Type="http://schemas.openxmlformats.org/officeDocument/2006/relationships/hyperlink" Target="https://codesommet.com/tools/domain-health-checker" TargetMode="External" Id="rId299"/><Relationship Type="http://schemas.openxmlformats.org/officeDocument/2006/relationships/hyperlink" Target="https://codesommet.com/tools/domain-health-checker" TargetMode="External" Id="rId300"/><Relationship Type="http://schemas.openxmlformats.org/officeDocument/2006/relationships/hyperlink" Target="https://codesommet.com/tools/domain-health-checker" TargetMode="External" Id="rId301"/><Relationship Type="http://schemas.openxmlformats.org/officeDocument/2006/relationships/hyperlink" Target="https://codesommet.com/tools/domain-health-checker" TargetMode="External" Id="rId302"/><Relationship Type="http://schemas.openxmlformats.org/officeDocument/2006/relationships/hyperlink" Target="https://codesommet.com/tools/domain-health-checker" TargetMode="External" Id="rId303"/><Relationship Type="http://schemas.openxmlformats.org/officeDocument/2006/relationships/hyperlink" Target="https://codesommet.com/tools/duplicate-content-checker" TargetMode="External" Id="rId304"/><Relationship Type="http://schemas.openxmlformats.org/officeDocument/2006/relationships/hyperlink" Target="https://codesommet.com/tools/duplicate-content-checker" TargetMode="External" Id="rId305"/><Relationship Type="http://schemas.openxmlformats.org/officeDocument/2006/relationships/hyperlink" Target="https://codesommet.com/tools/duplicate-content-checker" TargetMode="External" Id="rId306"/><Relationship Type="http://schemas.openxmlformats.org/officeDocument/2006/relationships/hyperlink" Target="https://codesommet.com/tools/duplicate-content-checker" TargetMode="External" Id="rId307"/><Relationship Type="http://schemas.openxmlformats.org/officeDocument/2006/relationships/hyperlink" Target="https://codesommet.com/tools/duplicate-content-checker" TargetMode="External" Id="rId308"/><Relationship Type="http://schemas.openxmlformats.org/officeDocument/2006/relationships/hyperlink" Target="https://codesommet.com/tools/duplicate-content-checker" TargetMode="External" Id="rId309"/><Relationship Type="http://schemas.openxmlformats.org/officeDocument/2006/relationships/hyperlink" Target="https://codesommet.com/tools/eeat-signals-checker" TargetMode="External" Id="rId310"/><Relationship Type="http://schemas.openxmlformats.org/officeDocument/2006/relationships/hyperlink" Target="https://codesommet.com/tools/eeat-signals-checker" TargetMode="External" Id="rId311"/><Relationship Type="http://schemas.openxmlformats.org/officeDocument/2006/relationships/hyperlink" Target="https://codesommet.com/tools/eeat-signals-checker" TargetMode="External" Id="rId312"/><Relationship Type="http://schemas.openxmlformats.org/officeDocument/2006/relationships/hyperlink" Target="https://codesommet.com/tools/eeat-signals-checker" TargetMode="External" Id="rId313"/><Relationship Type="http://schemas.openxmlformats.org/officeDocument/2006/relationships/hyperlink" Target="https://codesommet.com/tools/expired-domain-checker" TargetMode="External" Id="rId314"/><Relationship Type="http://schemas.openxmlformats.org/officeDocument/2006/relationships/hyperlink" Target="https://codesommet.com/tools/expired-domain-checker" TargetMode="External" Id="rId315"/><Relationship Type="http://schemas.openxmlformats.org/officeDocument/2006/relationships/hyperlink" Target="https://codesommet.com/tools/expired-domain-checker" TargetMode="External" Id="rId316"/><Relationship Type="http://schemas.openxmlformats.org/officeDocument/2006/relationships/hyperlink" Target="https://codesommet.com/tools/expired-domain-checker" TargetMode="External" Id="rId317"/><Relationship Type="http://schemas.openxmlformats.org/officeDocument/2006/relationships/hyperlink" Target="https://codesommet.com/tools/expired-domain-checker" TargetMode="External" Id="rId318"/><Relationship Type="http://schemas.openxmlformats.org/officeDocument/2006/relationships/hyperlink" Target="https://codesommet.com/tools/expired-domain-checker" TargetMode="External" Id="rId319"/><Relationship Type="http://schemas.openxmlformats.org/officeDocument/2006/relationships/hyperlink" Target="https://codesommet.com/tools/faq-schema-generator" TargetMode="External" Id="rId320"/><Relationship Type="http://schemas.openxmlformats.org/officeDocument/2006/relationships/hyperlink" Target="https://codesommet.com/tools/faq-schema-generator" TargetMode="External" Id="rId321"/><Relationship Type="http://schemas.openxmlformats.org/officeDocument/2006/relationships/hyperlink" Target="https://codesommet.com/tools/faq-schema-generator" TargetMode="External" Id="rId322"/><Relationship Type="http://schemas.openxmlformats.org/officeDocument/2006/relationships/hyperlink" Target="https://codesommet.com/tools/faq-schema-generator" TargetMode="External" Id="rId323"/><Relationship Type="http://schemas.openxmlformats.org/officeDocument/2006/relationships/hyperlink" Target="https://codesommet.com/tools/faq-schema-generator" TargetMode="External" Id="rId324"/><Relationship Type="http://schemas.openxmlformats.org/officeDocument/2006/relationships/hyperlink" Target="https://codesommet.com/tools/faq-schema-generator" TargetMode="External" Id="rId325"/><Relationship Type="http://schemas.openxmlformats.org/officeDocument/2006/relationships/hyperlink" Target="https://codesommet.com/tools/heading-analyzer" TargetMode="External" Id="rId326"/><Relationship Type="http://schemas.openxmlformats.org/officeDocument/2006/relationships/hyperlink" Target="https://codesommet.com/tools/heading-analyzer" TargetMode="External" Id="rId327"/><Relationship Type="http://schemas.openxmlformats.org/officeDocument/2006/relationships/hyperlink" Target="https://codesommet.com/tools/heading-analyzer" TargetMode="External" Id="rId328"/><Relationship Type="http://schemas.openxmlformats.org/officeDocument/2006/relationships/hyperlink" Target="https://codesommet.com/tools/heading-analyzer" TargetMode="External" Id="rId329"/><Relationship Type="http://schemas.openxmlformats.org/officeDocument/2006/relationships/hyperlink" Target="https://codesommet.com/tools/heading-analyzer" TargetMode="External" Id="rId330"/><Relationship Type="http://schemas.openxmlformats.org/officeDocument/2006/relationships/hyperlink" Target="https://codesommet.com/tools/hreflang-generator" TargetMode="External" Id="rId331"/><Relationship Type="http://schemas.openxmlformats.org/officeDocument/2006/relationships/hyperlink" Target="https://codesommet.com/tools/hreflang-generator" TargetMode="External" Id="rId332"/><Relationship Type="http://schemas.openxmlformats.org/officeDocument/2006/relationships/hyperlink" Target="https://codesommet.com/tools/hreflang-generator" TargetMode="External" Id="rId333"/><Relationship Type="http://schemas.openxmlformats.org/officeDocument/2006/relationships/hyperlink" Target="https://codesommet.com/tools/hreflang-generator" TargetMode="External" Id="rId334"/><Relationship Type="http://schemas.openxmlformats.org/officeDocument/2006/relationships/hyperlink" Target="https://codesommet.com/tools/hreflang-generator" TargetMode="External" Id="rId335"/><Relationship Type="http://schemas.openxmlformats.org/officeDocument/2006/relationships/hyperlink" Target="https://codesommet.com/tools/html-minifier" TargetMode="External" Id="rId336"/><Relationship Type="http://schemas.openxmlformats.org/officeDocument/2006/relationships/hyperlink" Target="https://codesommet.com/tools/html-minifier" TargetMode="External" Id="rId337"/><Relationship Type="http://schemas.openxmlformats.org/officeDocument/2006/relationships/hyperlink" Target="https://codesommet.com/tools/html-minifier" TargetMode="External" Id="rId338"/><Relationship Type="http://schemas.openxmlformats.org/officeDocument/2006/relationships/hyperlink" Target="https://codesommet.com/tools/html-minifier" TargetMode="External" Id="rId339"/><Relationship Type="http://schemas.openxmlformats.org/officeDocument/2006/relationships/hyperlink" Target="https://codesommet.com/tools/html-minifier" TargetMode="External" Id="rId340"/><Relationship Type="http://schemas.openxmlformats.org/officeDocument/2006/relationships/hyperlink" Target="https://codesommet.com/tools/html-minifier" TargetMode="External" Id="rId341"/><Relationship Type="http://schemas.openxmlformats.org/officeDocument/2006/relationships/hyperlink" Target="https://codesommet.com/tools/html-minifier" TargetMode="External" Id="rId342"/><Relationship Type="http://schemas.openxmlformats.org/officeDocument/2006/relationships/hyperlink" Target="https://codesommet.com/tools/html-minifier" TargetMode="External" Id="rId343"/><Relationship Type="http://schemas.openxmlformats.org/officeDocument/2006/relationships/hyperlink" Target="https://codesommet.com/tools/html-to-text" TargetMode="External" Id="rId344"/><Relationship Type="http://schemas.openxmlformats.org/officeDocument/2006/relationships/hyperlink" Target="https://codesommet.com/tools/html-to-text" TargetMode="External" Id="rId345"/><Relationship Type="http://schemas.openxmlformats.org/officeDocument/2006/relationships/hyperlink" Target="https://codesommet.com/tools/html-to-text" TargetMode="External" Id="rId346"/><Relationship Type="http://schemas.openxmlformats.org/officeDocument/2006/relationships/hyperlink" Target="https://codesommet.com/tools/html-to-text" TargetMode="External" Id="rId347"/><Relationship Type="http://schemas.openxmlformats.org/officeDocument/2006/relationships/hyperlink" Target="https://codesommet.com/tools/html-to-text" TargetMode="External" Id="rId348"/><Relationship Type="http://schemas.openxmlformats.org/officeDocument/2006/relationships/hyperlink" Target="https://codesommet.com/tools/image-alt-analyzer" TargetMode="External" Id="rId349"/><Relationship Type="http://schemas.openxmlformats.org/officeDocument/2006/relationships/hyperlink" Target="https://codesommet.com/tools/image-alt-analyzer" TargetMode="External" Id="rId350"/><Relationship Type="http://schemas.openxmlformats.org/officeDocument/2006/relationships/hyperlink" Target="https://codesommet.com/tools/image-alt-analyzer" TargetMode="External" Id="rId351"/><Relationship Type="http://schemas.openxmlformats.org/officeDocument/2006/relationships/hyperlink" Target="https://codesommet.com/tools/image-alt-analyzer" TargetMode="External" Id="rId352"/><Relationship Type="http://schemas.openxmlformats.org/officeDocument/2006/relationships/hyperlink" Target="https://codesommet.com/tools/image-alt-analyzer" TargetMode="External" Id="rId353"/><Relationship Type="http://schemas.openxmlformats.org/officeDocument/2006/relationships/hyperlink" Target="https://codesommet.com/tools/image-alt-analyzer" TargetMode="External" Id="rId354"/><Relationship Type="http://schemas.openxmlformats.org/officeDocument/2006/relationships/hyperlink" Target="https://codesommet.com/tools/image-alt-analyzer" TargetMode="External" Id="rId355"/><Relationship Type="http://schemas.openxmlformats.org/officeDocument/2006/relationships/hyperlink" Target="https://codesommet.com/tools/image-compression-analyzer" TargetMode="External" Id="rId356"/><Relationship Type="http://schemas.openxmlformats.org/officeDocument/2006/relationships/hyperlink" Target="https://codesommet.com/tools/image-compression-analyzer" TargetMode="External" Id="rId357"/><Relationship Type="http://schemas.openxmlformats.org/officeDocument/2006/relationships/hyperlink" Target="https://codesommet.com/tools/image-compression-analyzer" TargetMode="External" Id="rId358"/><Relationship Type="http://schemas.openxmlformats.org/officeDocument/2006/relationships/hyperlink" Target="https://codesommet.com/tools/image-compressor" TargetMode="External" Id="rId359"/><Relationship Type="http://schemas.openxmlformats.org/officeDocument/2006/relationships/hyperlink" Target="https://codesommet.com/tools/image-compressor" TargetMode="External" Id="rId360"/><Relationship Type="http://schemas.openxmlformats.org/officeDocument/2006/relationships/hyperlink" Target="https://codesommet.com/tools/image-compressor" TargetMode="External" Id="rId361"/><Relationship Type="http://schemas.openxmlformats.org/officeDocument/2006/relationships/hyperlink" Target="https://codesommet.com/tools/image-compressor" TargetMode="External" Id="rId362"/><Relationship Type="http://schemas.openxmlformats.org/officeDocument/2006/relationships/hyperlink" Target="https://codesommet.com/tools/image-compressor" TargetMode="External" Id="rId363"/><Relationship Type="http://schemas.openxmlformats.org/officeDocument/2006/relationships/hyperlink" Target="https://codesommet.com/tools/image-compressor" TargetMode="External" Id="rId364"/><Relationship Type="http://schemas.openxmlformats.org/officeDocument/2006/relationships/hyperlink" Target="https://codesommet.com/tools/image-compressor" TargetMode="External" Id="rId365"/><Relationship Type="http://schemas.openxmlformats.org/officeDocument/2006/relationships/hyperlink" Target="https://codesommet.com/tools/image-compressor" TargetMode="External" Id="rId366"/><Relationship Type="http://schemas.openxmlformats.org/officeDocument/2006/relationships/hyperlink" Target="https://codesommet.com/tools/image-compressor" TargetMode="External" Id="rId367"/><Relationship Type="http://schemas.openxmlformats.org/officeDocument/2006/relationships/hyperlink" Target="https://codesommet.com/tools/image-compressor" TargetMode="External" Id="rId368"/><Relationship Type="http://schemas.openxmlformats.org/officeDocument/2006/relationships/hyperlink" Target="https://codesommet.com/tools/internal-link-analyzer" TargetMode="External" Id="rId369"/><Relationship Type="http://schemas.openxmlformats.org/officeDocument/2006/relationships/hyperlink" Target="https://codesommet.com/tools/internal-link-analyzer" TargetMode="External" Id="rId370"/><Relationship Type="http://schemas.openxmlformats.org/officeDocument/2006/relationships/hyperlink" Target="https://codesommet.com/tools/internal-link-analyzer" TargetMode="External" Id="rId371"/><Relationship Type="http://schemas.openxmlformats.org/officeDocument/2006/relationships/hyperlink" Target="https://codesommet.com/tools/internal-link-analyzer" TargetMode="External" Id="rId372"/><Relationship Type="http://schemas.openxmlformats.org/officeDocument/2006/relationships/hyperlink" Target="https://codesommet.com/tools/internal-link-analyzer" TargetMode="External" Id="rId373"/><Relationship Type="http://schemas.openxmlformats.org/officeDocument/2006/relationships/hyperlink" Target="https://codesommet.com/tools/invisible-character-cleaner" TargetMode="External" Id="rId374"/><Relationship Type="http://schemas.openxmlformats.org/officeDocument/2006/relationships/hyperlink" Target="https://codesommet.com/tools/invisible-character-cleaner" TargetMode="External" Id="rId375"/><Relationship Type="http://schemas.openxmlformats.org/officeDocument/2006/relationships/hyperlink" Target="https://codesommet.com/tools/invisible-character-cleaner" TargetMode="External" Id="rId376"/><Relationship Type="http://schemas.openxmlformats.org/officeDocument/2006/relationships/hyperlink" Target="https://codesommet.com/tools/invisible-character-cleaner" TargetMode="External" Id="rId377"/><Relationship Type="http://schemas.openxmlformats.org/officeDocument/2006/relationships/hyperlink" Target="https://codesommet.com/tools/json-formatter" TargetMode="External" Id="rId378"/><Relationship Type="http://schemas.openxmlformats.org/officeDocument/2006/relationships/hyperlink" Target="https://codesommet.com/tools/json-formatter" TargetMode="External" Id="rId379"/><Relationship Type="http://schemas.openxmlformats.org/officeDocument/2006/relationships/hyperlink" Target="https://codesommet.com/tools/json-formatter" TargetMode="External" Id="rId380"/><Relationship Type="http://schemas.openxmlformats.org/officeDocument/2006/relationships/hyperlink" Target="https://codesommet.com/tools/json-formatter" TargetMode="External" Id="rId381"/><Relationship Type="http://schemas.openxmlformats.org/officeDocument/2006/relationships/hyperlink" Target="https://codesommet.com/tools/json-formatter" TargetMode="External" Id="rId382"/><Relationship Type="http://schemas.openxmlformats.org/officeDocument/2006/relationships/hyperlink" Target="https://codesommet.com/tools/json-formatter" TargetMode="External" Id="rId383"/><Relationship Type="http://schemas.openxmlformats.org/officeDocument/2006/relationships/hyperlink" Target="https://codesommet.com/tools/json-formatter" TargetMode="External" Id="rId384"/><Relationship Type="http://schemas.openxmlformats.org/officeDocument/2006/relationships/hyperlink" Target="https://codesommet.com/tools/json-formatter" TargetMode="External" Id="rId385"/><Relationship Type="http://schemas.openxmlformats.org/officeDocument/2006/relationships/hyperlink" Target="https://codesommet.com/tools/json-formatter" TargetMode="External" Id="rId386"/><Relationship Type="http://schemas.openxmlformats.org/officeDocument/2006/relationships/hyperlink" Target="https://codesommet.com/tools/json-formatter" TargetMode="External" Id="rId387"/><Relationship Type="http://schemas.openxmlformats.org/officeDocument/2006/relationships/hyperlink" Target="https://codesommet.com/tools/keyword-density-analyzer" TargetMode="External" Id="rId388"/><Relationship Type="http://schemas.openxmlformats.org/officeDocument/2006/relationships/hyperlink" Target="https://codesommet.com/tools/keyword-density-analyzer" TargetMode="External" Id="rId389"/><Relationship Type="http://schemas.openxmlformats.org/officeDocument/2006/relationships/hyperlink" Target="https://codesommet.com/tools/keyword-density-analyzer" TargetMode="External" Id="rId390"/><Relationship Type="http://schemas.openxmlformats.org/officeDocument/2006/relationships/hyperlink" Target="https://codesommet.com/tools/keyword-modifier-generator" TargetMode="External" Id="rId391"/><Relationship Type="http://schemas.openxmlformats.org/officeDocument/2006/relationships/hyperlink" Target="https://codesommet.com/tools/keyword-modifier-generator" TargetMode="External" Id="rId392"/><Relationship Type="http://schemas.openxmlformats.org/officeDocument/2006/relationships/hyperlink" Target="https://codesommet.com/tools/keyword-modifier-generator" TargetMode="External" Id="rId393"/><Relationship Type="http://schemas.openxmlformats.org/officeDocument/2006/relationships/hyperlink" Target="https://codesommet.com/tools/keyword-modifier-generator" TargetMode="External" Id="rId394"/><Relationship Type="http://schemas.openxmlformats.org/officeDocument/2006/relationships/hyperlink" Target="https://codesommet.com/tools/keyword-modifier-generator" TargetMode="External" Id="rId395"/><Relationship Type="http://schemas.openxmlformats.org/officeDocument/2006/relationships/hyperlink" Target="https://codesommet.com/tools/keyword-modifier-generator" TargetMode="External" Id="rId396"/><Relationship Type="http://schemas.openxmlformats.org/officeDocument/2006/relationships/hyperlink" Target="https://codesommet.com/tools/landing-page-generator" TargetMode="External" Id="rId397"/><Relationship Type="http://schemas.openxmlformats.org/officeDocument/2006/relationships/hyperlink" Target="https://codesommet.com/tools/landing-page-generator" TargetMode="External" Id="rId398"/><Relationship Type="http://schemas.openxmlformats.org/officeDocument/2006/relationships/hyperlink" Target="https://codesommet.com/tools/landing-page-generator" TargetMode="External" Id="rId399"/><Relationship Type="http://schemas.openxmlformats.org/officeDocument/2006/relationships/hyperlink" Target="https://codesommet.com/tools/landing-page-generator" TargetMode="External" Id="rId400"/><Relationship Type="http://schemas.openxmlformats.org/officeDocument/2006/relationships/hyperlink" Target="https://codesommet.com/tools/landing-page-generator" TargetMode="External" Id="rId401"/><Relationship Type="http://schemas.openxmlformats.org/officeDocument/2006/relationships/hyperlink" Target="https://codesommet.com/tools/landing-page-generator" TargetMode="External" Id="rId402"/><Relationship Type="http://schemas.openxmlformats.org/officeDocument/2006/relationships/hyperlink" Target="https://codesommet.com/tools/landing-page-generator" TargetMode="External" Id="rId403"/><Relationship Type="http://schemas.openxmlformats.org/officeDocument/2006/relationships/hyperlink" Target="https://codesommet.com/tools/llms-txt-generator" TargetMode="External" Id="rId404"/><Relationship Type="http://schemas.openxmlformats.org/officeDocument/2006/relationships/hyperlink" Target="https://codesommet.com/tools/llms-txt-generator" TargetMode="External" Id="rId405"/><Relationship Type="http://schemas.openxmlformats.org/officeDocument/2006/relationships/hyperlink" Target="https://codesommet.com/tools/llms-txt-generator" TargetMode="External" Id="rId406"/><Relationship Type="http://schemas.openxmlformats.org/officeDocument/2006/relationships/hyperlink" Target="https://codesommet.com/tools/local-business-schema" TargetMode="External" Id="rId407"/><Relationship Type="http://schemas.openxmlformats.org/officeDocument/2006/relationships/hyperlink" Target="https://codesommet.com/tools/local-business-schema" TargetMode="External" Id="rId408"/><Relationship Type="http://schemas.openxmlformats.org/officeDocument/2006/relationships/hyperlink" Target="https://codesommet.com/tools/local-business-schema" TargetMode="External" Id="rId409"/><Relationship Type="http://schemas.openxmlformats.org/officeDocument/2006/relationships/hyperlink" Target="https://codesommet.com/tools/lorem-ipsum-generator" TargetMode="External" Id="rId410"/><Relationship Type="http://schemas.openxmlformats.org/officeDocument/2006/relationships/hyperlink" Target="https://codesommet.com/tools/lorem-ipsum-generator" TargetMode="External" Id="rId411"/><Relationship Type="http://schemas.openxmlformats.org/officeDocument/2006/relationships/hyperlink" Target="https://codesommet.com/tools/lorem-ipsum-generator" TargetMode="External" Id="rId412"/><Relationship Type="http://schemas.openxmlformats.org/officeDocument/2006/relationships/hyperlink" Target="https://codesommet.com/tools/lorem-ipsum-generator" TargetMode="External" Id="rId413"/><Relationship Type="http://schemas.openxmlformats.org/officeDocument/2006/relationships/hyperlink" Target="https://codesommet.com/tools/lorem-ipsum-generator" TargetMode="External" Id="rId414"/><Relationship Type="http://schemas.openxmlformats.org/officeDocument/2006/relationships/hyperlink" Target="https://codesommet.com/tools/lorem-ipsum-generator" TargetMode="External" Id="rId415"/><Relationship Type="http://schemas.openxmlformats.org/officeDocument/2006/relationships/hyperlink" Target="https://codesommet.com/tools/lorem-ipsum-generator" TargetMode="External" Id="rId416"/><Relationship Type="http://schemas.openxmlformats.org/officeDocument/2006/relationships/hyperlink" Target="https://codesommet.com/tools/lorem-ipsum-generator" TargetMode="External" Id="rId417"/><Relationship Type="http://schemas.openxmlformats.org/officeDocument/2006/relationships/hyperlink" Target="https://codesommet.com/tools/meta-extractor" TargetMode="External" Id="rId418"/><Relationship Type="http://schemas.openxmlformats.org/officeDocument/2006/relationships/hyperlink" Target="https://codesommet.com/tools/meta-extractor" TargetMode="External" Id="rId419"/><Relationship Type="http://schemas.openxmlformats.org/officeDocument/2006/relationships/hyperlink" Target="https://codesommet.com/tools/meta-extractor" TargetMode="External" Id="rId420"/><Relationship Type="http://schemas.openxmlformats.org/officeDocument/2006/relationships/hyperlink" Target="https://codesommet.com/tools/meta-refresh-generator" TargetMode="External" Id="rId421"/><Relationship Type="http://schemas.openxmlformats.org/officeDocument/2006/relationships/hyperlink" Target="https://codesommet.com/tools/meta-refresh-generator" TargetMode="External" Id="rId422"/><Relationship Type="http://schemas.openxmlformats.org/officeDocument/2006/relationships/hyperlink" Target="https://codesommet.com/tools/meta-refresh-generator" TargetMode="External" Id="rId423"/><Relationship Type="http://schemas.openxmlformats.org/officeDocument/2006/relationships/hyperlink" Target="https://codesommet.com/tools/meta-refresh-generator" TargetMode="External" Id="rId424"/><Relationship Type="http://schemas.openxmlformats.org/officeDocument/2006/relationships/hyperlink" Target="https://codesommet.com/tools/meta-tag-generator" TargetMode="External" Id="rId425"/><Relationship Type="http://schemas.openxmlformats.org/officeDocument/2006/relationships/hyperlink" Target="https://codesommet.com/tools/meta-tag-generator" TargetMode="External" Id="rId426"/><Relationship Type="http://schemas.openxmlformats.org/officeDocument/2006/relationships/hyperlink" Target="https://codesommet.com/tools/meta-tag-generator" TargetMode="External" Id="rId427"/><Relationship Type="http://schemas.openxmlformats.org/officeDocument/2006/relationships/hyperlink" Target="https://codesommet.com/tools/meta-tag-generator" TargetMode="External" Id="rId428"/><Relationship Type="http://schemas.openxmlformats.org/officeDocument/2006/relationships/hyperlink" Target="https://codesommet.com/tools/meta-tag-generator" TargetMode="External" Id="rId429"/><Relationship Type="http://schemas.openxmlformats.org/officeDocument/2006/relationships/hyperlink" Target="https://codesommet.com/tools/meta-tag-generator" TargetMode="External" Id="rId430"/><Relationship Type="http://schemas.openxmlformats.org/officeDocument/2006/relationships/hyperlink" Target="https://codesommet.com/tools/meta-tag-generator" TargetMode="External" Id="rId431"/><Relationship Type="http://schemas.openxmlformats.org/officeDocument/2006/relationships/hyperlink" Target="https://codesommet.com/tools/meta-tag-generator" TargetMode="External" Id="rId432"/><Relationship Type="http://schemas.openxmlformats.org/officeDocument/2006/relationships/hyperlink" Target="https://codesommet.com/tools/mobile-friendly-test" TargetMode="External" Id="rId433"/><Relationship Type="http://schemas.openxmlformats.org/officeDocument/2006/relationships/hyperlink" Target="https://codesommet.com/tools/mobile-friendly-test" TargetMode="External" Id="rId434"/><Relationship Type="http://schemas.openxmlformats.org/officeDocument/2006/relationships/hyperlink" Target="https://codesommet.com/tools/mobile-friendly-test" TargetMode="External" Id="rId435"/><Relationship Type="http://schemas.openxmlformats.org/officeDocument/2006/relationships/hyperlink" Target="https://codesommet.com/tools/mobile-friendly-test" TargetMode="External" Id="rId436"/><Relationship Type="http://schemas.openxmlformats.org/officeDocument/2006/relationships/hyperlink" Target="https://codesommet.com/tools/mobile-friendly-test" TargetMode="External" Id="rId437"/><Relationship Type="http://schemas.openxmlformats.org/officeDocument/2006/relationships/hyperlink" Target="https://codesommet.com/tools/mobile-friendly-test" TargetMode="External" Id="rId438"/><Relationship Type="http://schemas.openxmlformats.org/officeDocument/2006/relationships/hyperlink" Target="https://codesommet.com/tools/mobile-friendly-test" TargetMode="External" Id="rId439"/><Relationship Type="http://schemas.openxmlformats.org/officeDocument/2006/relationships/hyperlink" Target="https://codesommet.com/tools/ngram-extractor" TargetMode="External" Id="rId440"/><Relationship Type="http://schemas.openxmlformats.org/officeDocument/2006/relationships/hyperlink" Target="https://codesommet.com/tools/ngram-extractor" TargetMode="External" Id="rId441"/><Relationship Type="http://schemas.openxmlformats.org/officeDocument/2006/relationships/hyperlink" Target="https://codesommet.com/tools/ngram-extractor" TargetMode="External" Id="rId442"/><Relationship Type="http://schemas.openxmlformats.org/officeDocument/2006/relationships/hyperlink" Target="https://codesommet.com/tools/ngram-extractor" TargetMode="External" Id="rId443"/><Relationship Type="http://schemas.openxmlformats.org/officeDocument/2006/relationships/hyperlink" Target="https://codesommet.com/tools/ngram-extractor" TargetMode="External" Id="rId444"/><Relationship Type="http://schemas.openxmlformats.org/officeDocument/2006/relationships/hyperlink" Target="https://codesommet.com/tools/nofollow-link-checker" TargetMode="External" Id="rId445"/><Relationship Type="http://schemas.openxmlformats.org/officeDocument/2006/relationships/hyperlink" Target="https://codesommet.com/tools/nofollow-link-checker" TargetMode="External" Id="rId446"/><Relationship Type="http://schemas.openxmlformats.org/officeDocument/2006/relationships/hyperlink" Target="https://codesommet.com/tools/nofollow-link-checker" TargetMode="External" Id="rId447"/><Relationship Type="http://schemas.openxmlformats.org/officeDocument/2006/relationships/hyperlink" Target="https://codesommet.com/tools/nofollow-link-checker" TargetMode="External" Id="rId448"/><Relationship Type="http://schemas.openxmlformats.org/officeDocument/2006/relationships/hyperlink" Target="https://codesommet.com/tools/nofollow-link-checker" TargetMode="External" Id="rId449"/><Relationship Type="http://schemas.openxmlformats.org/officeDocument/2006/relationships/hyperlink" Target="https://codesommet.com/tools/nofollow-link-checker" TargetMode="External" Id="rId450"/><Relationship Type="http://schemas.openxmlformats.org/officeDocument/2006/relationships/hyperlink" Target="https://codesommet.com/tools/og-preview-generator" TargetMode="External" Id="rId451"/><Relationship Type="http://schemas.openxmlformats.org/officeDocument/2006/relationships/hyperlink" Target="https://codesommet.com/tools/og-preview-generator" TargetMode="External" Id="rId452"/><Relationship Type="http://schemas.openxmlformats.org/officeDocument/2006/relationships/hyperlink" Target="https://codesommet.com/tools/og-preview-generator" TargetMode="External" Id="rId453"/><Relationship Type="http://schemas.openxmlformats.org/officeDocument/2006/relationships/hyperlink" Target="https://codesommet.com/tools/og-preview-generator" TargetMode="External" Id="rId454"/><Relationship Type="http://schemas.openxmlformats.org/officeDocument/2006/relationships/hyperlink" Target="https://codesommet.com/tools/og-preview-generator" TargetMode="External" Id="rId455"/><Relationship Type="http://schemas.openxmlformats.org/officeDocument/2006/relationships/hyperlink" Target="https://codesommet.com/tools/og-preview-generator" TargetMode="External" Id="rId456"/><Relationship Type="http://schemas.openxmlformats.org/officeDocument/2006/relationships/hyperlink" Target="https://codesommet.com/tools/page-speed-analyzer" TargetMode="External" Id="rId457"/><Relationship Type="http://schemas.openxmlformats.org/officeDocument/2006/relationships/hyperlink" Target="https://codesommet.com/tools/page-speed-analyzer" TargetMode="External" Id="rId458"/><Relationship Type="http://schemas.openxmlformats.org/officeDocument/2006/relationships/hyperlink" Target="https://codesommet.com/tools/page-speed-analyzer" TargetMode="External" Id="rId459"/><Relationship Type="http://schemas.openxmlformats.org/officeDocument/2006/relationships/hyperlink" Target="https://codesommet.com/tools/page-speed-analyzer" TargetMode="External" Id="rId460"/><Relationship Type="http://schemas.openxmlformats.org/officeDocument/2006/relationships/hyperlink" Target="https://codesommet.com/tools/page-speed-analyzer" TargetMode="External" Id="rId461"/><Relationship Type="http://schemas.openxmlformats.org/officeDocument/2006/relationships/hyperlink" Target="https://codesommet.com/tools/page-speed-analyzer" TargetMode="External" Id="rId462"/><Relationship Type="http://schemas.openxmlformats.org/officeDocument/2006/relationships/hyperlink" Target="https://codesommet.com/tools/page-speed-analyzer" TargetMode="External" Id="rId463"/><Relationship Type="http://schemas.openxmlformats.org/officeDocument/2006/relationships/hyperlink" Target="https://codesommet.com/tools/page-speed-analyzer" TargetMode="External" Id="rId464"/><Relationship Type="http://schemas.openxmlformats.org/officeDocument/2006/relationships/hyperlink" Target="https://codesommet.com/tools/page-speed-analyzer" TargetMode="External" Id="rId465"/><Relationship Type="http://schemas.openxmlformats.org/officeDocument/2006/relationships/hyperlink" Target="https://codesommet.com/tools/qr-code-generator" TargetMode="External" Id="rId466"/><Relationship Type="http://schemas.openxmlformats.org/officeDocument/2006/relationships/hyperlink" Target="https://codesommet.com/tools/qr-code-generator" TargetMode="External" Id="rId467"/><Relationship Type="http://schemas.openxmlformats.org/officeDocument/2006/relationships/hyperlink" Target="https://codesommet.com/tools/qr-code-generator" TargetMode="External" Id="rId468"/><Relationship Type="http://schemas.openxmlformats.org/officeDocument/2006/relationships/hyperlink" Target="https://codesommet.com/tools/qr-code-generator" TargetMode="External" Id="rId469"/><Relationship Type="http://schemas.openxmlformats.org/officeDocument/2006/relationships/hyperlink" Target="https://codesommet.com/tools/qr-code-generator" TargetMode="External" Id="rId470"/><Relationship Type="http://schemas.openxmlformats.org/officeDocument/2006/relationships/hyperlink" Target="https://codesommet.com/tools/qr-code-generator" TargetMode="External" Id="rId471"/><Relationship Type="http://schemas.openxmlformats.org/officeDocument/2006/relationships/hyperlink" Target="https://codesommet.com/tools/qr-code-generator" TargetMode="External" Id="rId472"/><Relationship Type="http://schemas.openxmlformats.org/officeDocument/2006/relationships/hyperlink" Target="https://codesommet.com/tools/qr-code-generator" TargetMode="External" Id="rId473"/><Relationship Type="http://schemas.openxmlformats.org/officeDocument/2006/relationships/hyperlink" Target="https://codesommet.com/tools/qr-code-generator" TargetMode="External" Id="rId474"/><Relationship Type="http://schemas.openxmlformats.org/officeDocument/2006/relationships/hyperlink" Target="https://codesommet.com/tools/readability-analyzer" TargetMode="External" Id="rId475"/><Relationship Type="http://schemas.openxmlformats.org/officeDocument/2006/relationships/hyperlink" Target="https://codesommet.com/tools/readability-analyzer" TargetMode="External" Id="rId476"/><Relationship Type="http://schemas.openxmlformats.org/officeDocument/2006/relationships/hyperlink" Target="https://codesommet.com/tools/readability-analyzer" TargetMode="External" Id="rId477"/><Relationship Type="http://schemas.openxmlformats.org/officeDocument/2006/relationships/hyperlink" Target="https://codesommet.com/tools/readability-analyzer" TargetMode="External" Id="rId478"/><Relationship Type="http://schemas.openxmlformats.org/officeDocument/2006/relationships/hyperlink" Target="https://codesommet.com/tools/redirect-checker" TargetMode="External" Id="rId479"/><Relationship Type="http://schemas.openxmlformats.org/officeDocument/2006/relationships/hyperlink" Target="https://codesommet.com/tools/redirect-checker" TargetMode="External" Id="rId480"/><Relationship Type="http://schemas.openxmlformats.org/officeDocument/2006/relationships/hyperlink" Target="https://codesommet.com/tools/redirect-checker" TargetMode="External" Id="rId481"/><Relationship Type="http://schemas.openxmlformats.org/officeDocument/2006/relationships/hyperlink" Target="https://codesommet.com/tools/redirect-checker" TargetMode="External" Id="rId482"/><Relationship Type="http://schemas.openxmlformats.org/officeDocument/2006/relationships/hyperlink" Target="https://codesommet.com/tools/redirect-checker" TargetMode="External" Id="rId483"/><Relationship Type="http://schemas.openxmlformats.org/officeDocument/2006/relationships/hyperlink" Target="https://codesommet.com/tools/redirect-checker" TargetMode="External" Id="rId484"/><Relationship Type="http://schemas.openxmlformats.org/officeDocument/2006/relationships/hyperlink" Target="https://codesommet.com/tools/redirect-checker" TargetMode="External" Id="rId485"/><Relationship Type="http://schemas.openxmlformats.org/officeDocument/2006/relationships/hyperlink" Target="https://codesommet.com/tools/robots-txt-generator" TargetMode="External" Id="rId486"/><Relationship Type="http://schemas.openxmlformats.org/officeDocument/2006/relationships/hyperlink" Target="https://codesommet.com/tools/robots-txt-generator" TargetMode="External" Id="rId487"/><Relationship Type="http://schemas.openxmlformats.org/officeDocument/2006/relationships/hyperlink" Target="https://codesommet.com/tools/robots-txt-generator" TargetMode="External" Id="rId488"/><Relationship Type="http://schemas.openxmlformats.org/officeDocument/2006/relationships/hyperlink" Target="https://codesommet.com/tools/robots-txt-generator" TargetMode="External" Id="rId489"/><Relationship Type="http://schemas.openxmlformats.org/officeDocument/2006/relationships/hyperlink" Target="https://codesommet.com/tools/robots-txt-generator" TargetMode="External" Id="rId490"/><Relationship Type="http://schemas.openxmlformats.org/officeDocument/2006/relationships/hyperlink" Target="https://codesommet.com/tools/robots-txt-generator" TargetMode="External" Id="rId491"/><Relationship Type="http://schemas.openxmlformats.org/officeDocument/2006/relationships/hyperlink" Target="https://codesommet.com/tools/robots-txt-tester" TargetMode="External" Id="rId492"/><Relationship Type="http://schemas.openxmlformats.org/officeDocument/2006/relationships/hyperlink" Target="https://codesommet.com/tools/robots-txt-tester" TargetMode="External" Id="rId493"/><Relationship Type="http://schemas.openxmlformats.org/officeDocument/2006/relationships/hyperlink" Target="https://codesommet.com/tools/robots-txt-tester" TargetMode="External" Id="rId494"/><Relationship Type="http://schemas.openxmlformats.org/officeDocument/2006/relationships/hyperlink" Target="https://codesommet.com/tools/robots-txt-tester" TargetMode="External" Id="rId495"/><Relationship Type="http://schemas.openxmlformats.org/officeDocument/2006/relationships/hyperlink" Target="https://codesommet.com/tools/robots-txt-tester" TargetMode="External" Id="rId496"/><Relationship Type="http://schemas.openxmlformats.org/officeDocument/2006/relationships/hyperlink" Target="https://codesommet.com/tools/robots-validator" TargetMode="External" Id="rId497"/><Relationship Type="http://schemas.openxmlformats.org/officeDocument/2006/relationships/hyperlink" Target="https://codesommet.com/tools/robots-validator" TargetMode="External" Id="rId498"/><Relationship Type="http://schemas.openxmlformats.org/officeDocument/2006/relationships/hyperlink" Target="https://codesommet.com/tools/robots-validator" TargetMode="External" Id="rId499"/><Relationship Type="http://schemas.openxmlformats.org/officeDocument/2006/relationships/hyperlink" Target="https://codesommet.com/tools/schema-generator" TargetMode="External" Id="rId500"/><Relationship Type="http://schemas.openxmlformats.org/officeDocument/2006/relationships/hyperlink" Target="https://codesommet.com/tools/schema-generator" TargetMode="External" Id="rId501"/><Relationship Type="http://schemas.openxmlformats.org/officeDocument/2006/relationships/hyperlink" Target="https://codesommet.com/tools/schema-generator" TargetMode="External" Id="rId502"/><Relationship Type="http://schemas.openxmlformats.org/officeDocument/2006/relationships/hyperlink" Target="https://codesommet.com/tools/schema-generator" TargetMode="External" Id="rId503"/><Relationship Type="http://schemas.openxmlformats.org/officeDocument/2006/relationships/hyperlink" Target="https://codesommet.com/tools/schema-generator" TargetMode="External" Id="rId504"/><Relationship Type="http://schemas.openxmlformats.org/officeDocument/2006/relationships/hyperlink" Target="https://codesommet.com/tools/schema-generator" TargetMode="External" Id="rId505"/><Relationship Type="http://schemas.openxmlformats.org/officeDocument/2006/relationships/hyperlink" Target="https://codesommet.com/tools/schema-generator" TargetMode="External" Id="rId506"/><Relationship Type="http://schemas.openxmlformats.org/officeDocument/2006/relationships/hyperlink" Target="https://codesommet.com/tools/schema-generator" TargetMode="External" Id="rId507"/><Relationship Type="http://schemas.openxmlformats.org/officeDocument/2006/relationships/hyperlink" Target="https://codesommet.com/tools/security-headers-checker" TargetMode="External" Id="rId508"/><Relationship Type="http://schemas.openxmlformats.org/officeDocument/2006/relationships/hyperlink" Target="https://codesommet.com/tools/security-headers-checker" TargetMode="External" Id="rId509"/><Relationship Type="http://schemas.openxmlformats.org/officeDocument/2006/relationships/hyperlink" Target="https://codesommet.com/tools/security-headers-checker" TargetMode="External" Id="rId510"/><Relationship Type="http://schemas.openxmlformats.org/officeDocument/2006/relationships/hyperlink" Target="https://codesommet.com/tools/security-headers-checker" TargetMode="External" Id="rId511"/><Relationship Type="http://schemas.openxmlformats.org/officeDocument/2006/relationships/hyperlink" Target="https://codesommet.com/tools/serp-snippet-preview" TargetMode="External" Id="rId512"/><Relationship Type="http://schemas.openxmlformats.org/officeDocument/2006/relationships/hyperlink" Target="https://codesommet.com/tools/serp-snippet-preview" TargetMode="External" Id="rId513"/><Relationship Type="http://schemas.openxmlformats.org/officeDocument/2006/relationships/hyperlink" Target="https://codesommet.com/tools/serp-snippet-preview" TargetMode="External" Id="rId514"/><Relationship Type="http://schemas.openxmlformats.org/officeDocument/2006/relationships/hyperlink" Target="https://codesommet.com/tools/serp-snippet-preview" TargetMode="External" Id="rId515"/><Relationship Type="http://schemas.openxmlformats.org/officeDocument/2006/relationships/hyperlink" Target="https://codesommet.com/tools/serp-snippet-preview" TargetMode="External" Id="rId516"/><Relationship Type="http://schemas.openxmlformats.org/officeDocument/2006/relationships/hyperlink" Target="https://codesommet.com/tools/sitemap-url-extractor" TargetMode="External" Id="rId517"/><Relationship Type="http://schemas.openxmlformats.org/officeDocument/2006/relationships/hyperlink" Target="https://codesommet.com/tools/sitemap-url-extractor" TargetMode="External" Id="rId518"/><Relationship Type="http://schemas.openxmlformats.org/officeDocument/2006/relationships/hyperlink" Target="https://codesommet.com/tools/sitemap-validator" TargetMode="External" Id="rId519"/><Relationship Type="http://schemas.openxmlformats.org/officeDocument/2006/relationships/hyperlink" Target="https://codesommet.com/tools/sitemap-validator" TargetMode="External" Id="rId520"/><Relationship Type="http://schemas.openxmlformats.org/officeDocument/2006/relationships/hyperlink" Target="https://codesommet.com/tools/sitemap-validator" TargetMode="External" Id="rId521"/><Relationship Type="http://schemas.openxmlformats.org/officeDocument/2006/relationships/hyperlink" Target="https://codesommet.com/tools/sitemap-validator" TargetMode="External" Id="rId522"/><Relationship Type="http://schemas.openxmlformats.org/officeDocument/2006/relationships/hyperlink" Target="https://codesommet.com/tools/ssl-certificate-checker" TargetMode="External" Id="rId523"/><Relationship Type="http://schemas.openxmlformats.org/officeDocument/2006/relationships/hyperlink" Target="https://codesommet.com/tools/ssl-certificate-checker" TargetMode="External" Id="rId524"/><Relationship Type="http://schemas.openxmlformats.org/officeDocument/2006/relationships/hyperlink" Target="https://codesommet.com/tools/ssl-certificate-checker" TargetMode="External" Id="rId525"/><Relationship Type="http://schemas.openxmlformats.org/officeDocument/2006/relationships/hyperlink" Target="https://codesommet.com/tools/ssl-certificate-checker" TargetMode="External" Id="rId526"/><Relationship Type="http://schemas.openxmlformats.org/officeDocument/2006/relationships/hyperlink" Target="https://codesommet.com/tools/ssl-certificate-checker" TargetMode="External" Id="rId527"/><Relationship Type="http://schemas.openxmlformats.org/officeDocument/2006/relationships/hyperlink" Target="https://codesommet.com/tools/ssl-certificate-checker" TargetMode="External" Id="rId528"/><Relationship Type="http://schemas.openxmlformats.org/officeDocument/2006/relationships/hyperlink" Target="https://codesommet.com/tools/ssl-certificate-checker" TargetMode="External" Id="rId529"/><Relationship Type="http://schemas.openxmlformats.org/officeDocument/2006/relationships/hyperlink" Target="https://codesommet.com/tools/structured-data-extractor" TargetMode="External" Id="rId530"/><Relationship Type="http://schemas.openxmlformats.org/officeDocument/2006/relationships/hyperlink" Target="https://codesommet.com/tools/structured-data-extractor" TargetMode="External" Id="rId531"/><Relationship Type="http://schemas.openxmlformats.org/officeDocument/2006/relationships/hyperlink" Target="https://codesommet.com/tools/structured-data-extractor" TargetMode="External" Id="rId532"/><Relationship Type="http://schemas.openxmlformats.org/officeDocument/2006/relationships/hyperlink" Target="https://codesommet.com/tools/text-case-converter" TargetMode="External" Id="rId533"/><Relationship Type="http://schemas.openxmlformats.org/officeDocument/2006/relationships/hyperlink" Target="https://codesommet.com/tools/text-case-converter" TargetMode="External" Id="rId534"/><Relationship Type="http://schemas.openxmlformats.org/officeDocument/2006/relationships/hyperlink" Target="https://codesommet.com/tools/text-case-converter" TargetMode="External" Id="rId535"/><Relationship Type="http://schemas.openxmlformats.org/officeDocument/2006/relationships/hyperlink" Target="https://codesommet.com/tools/text-case-converter" TargetMode="External" Id="rId536"/><Relationship Type="http://schemas.openxmlformats.org/officeDocument/2006/relationships/hyperlink" Target="https://codesommet.com/tools/text-case-converter" TargetMode="External" Id="rId537"/><Relationship Type="http://schemas.openxmlformats.org/officeDocument/2006/relationships/hyperlink" Target="https://codesommet.com/tools/text-case-converter" TargetMode="External" Id="rId538"/><Relationship Type="http://schemas.openxmlformats.org/officeDocument/2006/relationships/hyperlink" Target="https://codesommet.com/tools/text-editor" TargetMode="External" Id="rId539"/><Relationship Type="http://schemas.openxmlformats.org/officeDocument/2006/relationships/hyperlink" Target="https://codesommet.com/tools/text-editor" TargetMode="External" Id="rId540"/><Relationship Type="http://schemas.openxmlformats.org/officeDocument/2006/relationships/hyperlink" Target="https://codesommet.com/tools/text-editor" TargetMode="External" Id="rId541"/><Relationship Type="http://schemas.openxmlformats.org/officeDocument/2006/relationships/hyperlink" Target="https://codesommet.com/tools/text-editor" TargetMode="External" Id="rId542"/><Relationship Type="http://schemas.openxmlformats.org/officeDocument/2006/relationships/hyperlink" Target="https://codesommet.com/tools/url-editor" TargetMode="External" Id="rId543"/><Relationship Type="http://schemas.openxmlformats.org/officeDocument/2006/relationships/hyperlink" Target="https://codesommet.com/tools/url-editor" TargetMode="External" Id="rId544"/><Relationship Type="http://schemas.openxmlformats.org/officeDocument/2006/relationships/hyperlink" Target="https://codesommet.com/tools/url-editor" TargetMode="External" Id="rId545"/><Relationship Type="http://schemas.openxmlformats.org/officeDocument/2006/relationships/hyperlink" Target="https://codesommet.com/tools/url-slug-generator" TargetMode="External" Id="rId546"/><Relationship Type="http://schemas.openxmlformats.org/officeDocument/2006/relationships/hyperlink" Target="https://codesommet.com/tools/url-slug-generator" TargetMode="External" Id="rId547"/><Relationship Type="http://schemas.openxmlformats.org/officeDocument/2006/relationships/hyperlink" Target="https://codesommet.com/tools/url-slug-generator" TargetMode="External" Id="rId548"/><Relationship Type="http://schemas.openxmlformats.org/officeDocument/2006/relationships/hyperlink" Target="https://codesommet.com/tools/url-slug-generator" TargetMode="External" Id="rId549"/><Relationship Type="http://schemas.openxmlformats.org/officeDocument/2006/relationships/hyperlink" Target="https://codesommet.com/tools/url-slug-generator" TargetMode="External" Id="rId550"/><Relationship Type="http://schemas.openxmlformats.org/officeDocument/2006/relationships/hyperlink" Target="https://codesommet.com/tools/utm-builder" TargetMode="External" Id="rId551"/><Relationship Type="http://schemas.openxmlformats.org/officeDocument/2006/relationships/hyperlink" Target="https://codesommet.com/tools/utm-builder" TargetMode="External" Id="rId552"/><Relationship Type="http://schemas.openxmlformats.org/officeDocument/2006/relationships/hyperlink" Target="https://codesommet.com/tools/utm-builder" TargetMode="External" Id="rId553"/><Relationship Type="http://schemas.openxmlformats.org/officeDocument/2006/relationships/hyperlink" Target="https://codesommet.com/tools/utm-builder" TargetMode="External" Id="rId554"/><Relationship Type="http://schemas.openxmlformats.org/officeDocument/2006/relationships/hyperlink" Target="https://codesommet.com/tools/utm-builder" TargetMode="External" Id="rId555"/><Relationship Type="http://schemas.openxmlformats.org/officeDocument/2006/relationships/hyperlink" Target="https://codesommet.com/tools/utm-builder" TargetMode="External" Id="rId556"/><Relationship Type="http://schemas.openxmlformats.org/officeDocument/2006/relationships/hyperlink" Target="https://codesommet.com/tools/utm-builder" TargetMode="External" Id="rId557"/><Relationship Type="http://schemas.openxmlformats.org/officeDocument/2006/relationships/hyperlink" Target="https://codesommet.com/tools/utm-builder" TargetMode="External" Id="rId558"/><Relationship Type="http://schemas.openxmlformats.org/officeDocument/2006/relationships/hyperlink" Target="https://codesommet.com/tools/website-analyzer" TargetMode="External" Id="rId559"/><Relationship Type="http://schemas.openxmlformats.org/officeDocument/2006/relationships/hyperlink" Target="https://codesommet.com/tools/website-analyzer" TargetMode="External" Id="rId560"/><Relationship Type="http://schemas.openxmlformats.org/officeDocument/2006/relationships/hyperlink" Target="https://codesommet.com/tools/website-analyzer" TargetMode="External" Id="rId561"/><Relationship Type="http://schemas.openxmlformats.org/officeDocument/2006/relationships/hyperlink" Target="https://codesommet.com/tools/website-analyzer" TargetMode="External" Id="rId562"/><Relationship Type="http://schemas.openxmlformats.org/officeDocument/2006/relationships/hyperlink" Target="https://codesommet.com/tools/website-analyzer" TargetMode="External" Id="rId563"/><Relationship Type="http://schemas.openxmlformats.org/officeDocument/2006/relationships/hyperlink" Target="https://codesommet.com/tools/website-analyzer" TargetMode="External" Id="rId564"/><Relationship Type="http://schemas.openxmlformats.org/officeDocument/2006/relationships/hyperlink" Target="https://codesommet.com/tools/website-analyzer" TargetMode="External" Id="rId565"/><Relationship Type="http://schemas.openxmlformats.org/officeDocument/2006/relationships/hyperlink" Target="https://codesommet.com/tools/website-analyzer" TargetMode="External" Id="rId566"/><Relationship Type="http://schemas.openxmlformats.org/officeDocument/2006/relationships/hyperlink" Target="https://codesommet.com/tools/website-analyzer" TargetMode="External" Id="rId567"/><Relationship Type="http://schemas.openxmlformats.org/officeDocument/2006/relationships/hyperlink" Target="https://codesommet.com/tools/website-analyzer" TargetMode="External" Id="rId568"/><Relationship Type="http://schemas.openxmlformats.org/officeDocument/2006/relationships/hyperlink" Target="https://codesommet.com/tools/website-analyzer" TargetMode="External" Id="rId569"/><Relationship Type="http://schemas.openxmlformats.org/officeDocument/2006/relationships/hyperlink" Target="https://codesommet.com/tools/website-analyzer" TargetMode="External" Id="rId570"/><Relationship Type="http://schemas.openxmlformats.org/officeDocument/2006/relationships/hyperlink" Target="https://codesommet.com/tools/website-analyzer" TargetMode="External" Id="rId571"/><Relationship Type="http://schemas.openxmlformats.org/officeDocument/2006/relationships/hyperlink" Target="https://codesommet.com/tools/website-analyzer" TargetMode="External" Id="rId572"/><Relationship Type="http://schemas.openxmlformats.org/officeDocument/2006/relationships/hyperlink" Target="https://codesommet.com/tools/website-analyzer" TargetMode="External" Id="rId573"/><Relationship Type="http://schemas.openxmlformats.org/officeDocument/2006/relationships/hyperlink" Target="https://codesommet.com/tools/website-analyzer" TargetMode="External" Id="rId574"/><Relationship Type="http://schemas.openxmlformats.org/officeDocument/2006/relationships/hyperlink" Target="https://codesommet.com/tools/website-analyzer" TargetMode="External" Id="rId575"/><Relationship Type="http://schemas.openxmlformats.org/officeDocument/2006/relationships/hyperlink" Target="https://codesommet.com/tools/website-analyzer" TargetMode="External" Id="rId576"/><Relationship Type="http://schemas.openxmlformats.org/officeDocument/2006/relationships/hyperlink" Target="https://codesommet.com/tools/website-readiness-checker" TargetMode="External" Id="rId577"/><Relationship Type="http://schemas.openxmlformats.org/officeDocument/2006/relationships/hyperlink" Target="https://codesommet.com/tools/website-readiness-checker" TargetMode="External" Id="rId578"/><Relationship Type="http://schemas.openxmlformats.org/officeDocument/2006/relationships/hyperlink" Target="https://codesommet.com/tools/website-readiness-checker" TargetMode="External" Id="rId579"/><Relationship Type="http://schemas.openxmlformats.org/officeDocument/2006/relationships/hyperlink" Target="https://codesommet.com/tools/word-counter" TargetMode="External" Id="rId580"/><Relationship Type="http://schemas.openxmlformats.org/officeDocument/2006/relationships/hyperlink" Target="https://codesommet.com/tools/word-counter" TargetMode="External" Id="rId581"/><Relationship Type="http://schemas.openxmlformats.org/officeDocument/2006/relationships/hyperlink" Target="https://codesommet.com/tools/word-counter" TargetMode="External" Id="rId582"/><Relationship Type="http://schemas.openxmlformats.org/officeDocument/2006/relationships/hyperlink" Target="https://codesommet.com/tools/word-counter" TargetMode="External" Id="rId583"/><Relationship Type="http://schemas.openxmlformats.org/officeDocument/2006/relationships/hyperlink" Target="https://codesommet.com/tools/word-counter" TargetMode="External" Id="rId584"/><Relationship Type="http://schemas.openxmlformats.org/officeDocument/2006/relationships/hyperlink" Target="https://codesommet.com/tools/word-counter" TargetMode="External" Id="rId585"/><Relationship Type="http://schemas.openxmlformats.org/officeDocument/2006/relationships/hyperlink" Target="https://codesommet.com/tools/word-counter" TargetMode="External" Id="rId586"/><Relationship Type="http://schemas.openxmlformats.org/officeDocument/2006/relationships/hyperlink" Target="https://codesommet.com/tools/word-counter" TargetMode="External" Id="rId587"/><Relationship Type="http://schemas.openxmlformats.org/officeDocument/2006/relationships/hyperlink" Target="https://codesommet.com/tools/word-counter" TargetMode="External" Id="rId588"/><Relationship Type="http://schemas.openxmlformats.org/officeDocument/2006/relationships/hyperlink" Target="https://codesommet.com/tools/word-counter" TargetMode="External" Id="rId589"/><Relationship Type="http://schemas.openxmlformats.org/officeDocument/2006/relationships/hyperlink" Target="https://codesommet.com/tools/xml-sitemap-generator" TargetMode="External" Id="rId590"/><Relationship Type="http://schemas.openxmlformats.org/officeDocument/2006/relationships/hyperlink" Target="https://codesommet.com/tools/xml-sitemap-generator" TargetMode="External" Id="rId591"/><Relationship Type="http://schemas.openxmlformats.org/officeDocument/2006/relationships/hyperlink" Target="https://codesommet.com/tools/xml-sitemap-generator" TargetMode="External" Id="rId592"/><Relationship Type="http://schemas.openxmlformats.org/officeDocument/2006/relationships/hyperlink" Target="https://codesommet.com/tools/xml-sitemap-generator" TargetMode="External" Id="rId593"/><Relationship Type="http://schemas.openxmlformats.org/officeDocument/2006/relationships/hyperlink" Target="https://codesommet.com/tools/xml-sitemap-generator" TargetMode="External" Id="rId594"/><Relationship Type="http://schemas.openxmlformats.org/officeDocument/2006/relationships/hyperlink" Target="https://codesommet.com/tools/xml-sitemap-generator" TargetMode="External" Id="rId595"/><Relationship Type="http://schemas.openxmlformats.org/officeDocument/2006/relationships/hyperlink" Target="https://codesommet.com/tools/xml-sitemap-generator" TargetMode="External" Id="rId596"/><Relationship Type="http://schemas.openxmlformats.org/officeDocument/2006/relationships/hyperlink" Target="https://codesommet.com/web-development-company/abudhabi" TargetMode="External" Id="rId597"/><Relationship Type="http://schemas.openxmlformats.org/officeDocument/2006/relationships/hyperlink" Target="https://codesommet.com/web-development-company/abudhabi" TargetMode="External" Id="rId598"/><Relationship Type="http://schemas.openxmlformats.org/officeDocument/2006/relationships/hyperlink" Target="https://codesommet.com/web-development-company/agadir" TargetMode="External" Id="rId599"/><Relationship Type="http://schemas.openxmlformats.org/officeDocument/2006/relationships/hyperlink" Target="https://codesommet.com/web-development-company/agadir" TargetMode="External" Id="rId600"/><Relationship Type="http://schemas.openxmlformats.org/officeDocument/2006/relationships/hyperlink" Target="https://codesommet.com/web-development-company/agadir" TargetMode="External" Id="rId601"/><Relationship Type="http://schemas.openxmlformats.org/officeDocument/2006/relationships/hyperlink" Target="https://codesommet.com/web-development-company/agadir" TargetMode="External" Id="rId602"/><Relationship Type="http://schemas.openxmlformats.org/officeDocument/2006/relationships/hyperlink" Target="https://codesommet.com/web-development-company/agadir" TargetMode="External" Id="rId603"/><Relationship Type="http://schemas.openxmlformats.org/officeDocument/2006/relationships/hyperlink" Target="https://codesommet.com/web-development-company/agadir" TargetMode="External" Id="rId604"/><Relationship Type="http://schemas.openxmlformats.org/officeDocument/2006/relationships/hyperlink" Target="https://codesommet.com/web-development-company/agadir" TargetMode="External" Id="rId605"/><Relationship Type="http://schemas.openxmlformats.org/officeDocument/2006/relationships/hyperlink" Target="https://codesommet.com/web-development-company/amsterdam" TargetMode="External" Id="rId606"/><Relationship Type="http://schemas.openxmlformats.org/officeDocument/2006/relationships/hyperlink" Target="https://codesommet.com/web-development-company/amsterdam" TargetMode="External" Id="rId607"/><Relationship Type="http://schemas.openxmlformats.org/officeDocument/2006/relationships/hyperlink" Target="https://codesommet.com/web-development-company/austin" TargetMode="External" Id="rId608"/><Relationship Type="http://schemas.openxmlformats.org/officeDocument/2006/relationships/hyperlink" Target="https://codesommet.com/web-development-company/austin" TargetMode="External" Id="rId609"/><Relationship Type="http://schemas.openxmlformats.org/officeDocument/2006/relationships/hyperlink" Target="https://codesommet.com/web-development-company/barcelona" TargetMode="External" Id="rId610"/><Relationship Type="http://schemas.openxmlformats.org/officeDocument/2006/relationships/hyperlink" Target="https://codesommet.com/web-development-company/barcelona" TargetMode="External" Id="rId611"/><Relationship Type="http://schemas.openxmlformats.org/officeDocument/2006/relationships/hyperlink" Target="https://codesommet.com/web-development-company/barcelona" TargetMode="External" Id="rId612"/><Relationship Type="http://schemas.openxmlformats.org/officeDocument/2006/relationships/hyperlink" Target="https://codesommet.com/web-development-company/berlin" TargetMode="External" Id="rId613"/><Relationship Type="http://schemas.openxmlformats.org/officeDocument/2006/relationships/hyperlink" Target="https://codesommet.com/web-development-company/berlin" TargetMode="External" Id="rId614"/><Relationship Type="http://schemas.openxmlformats.org/officeDocument/2006/relationships/hyperlink" Target="https://codesommet.com/web-development-company/boston" TargetMode="External" Id="rId615"/><Relationship Type="http://schemas.openxmlformats.org/officeDocument/2006/relationships/hyperlink" Target="https://codesommet.com/web-development-company/boston" TargetMode="External" Id="rId616"/><Relationship Type="http://schemas.openxmlformats.org/officeDocument/2006/relationships/hyperlink" Target="https://codesommet.com/web-development-company/brussels" TargetMode="External" Id="rId617"/><Relationship Type="http://schemas.openxmlformats.org/officeDocument/2006/relationships/hyperlink" Target="https://codesommet.com/web-development-company/brussels" TargetMode="External" Id="rId618"/><Relationship Type="http://schemas.openxmlformats.org/officeDocument/2006/relationships/hyperlink" Target="https://codesommet.com/web-development-company/brussels" TargetMode="External" Id="rId619"/><Relationship Type="http://schemas.openxmlformats.org/officeDocument/2006/relationships/hyperlink" Target="https://codesommet.com/web-development-company/brussels" TargetMode="External" Id="rId620"/><Relationship Type="http://schemas.openxmlformats.org/officeDocument/2006/relationships/hyperlink" Target="https://codesommet.com/web-development-company/brussels" TargetMode="External" Id="rId621"/><Relationship Type="http://schemas.openxmlformats.org/officeDocument/2006/relationships/hyperlink" Target="https://codesommet.com/web-development-company/brussels" TargetMode="External" Id="rId622"/><Relationship Type="http://schemas.openxmlformats.org/officeDocument/2006/relationships/hyperlink" Target="https://codesommet.com/web-development-company/cairo" TargetMode="External" Id="rId623"/><Relationship Type="http://schemas.openxmlformats.org/officeDocument/2006/relationships/hyperlink" Target="https://codesommet.com/web-development-company/cairo" TargetMode="External" Id="rId624"/><Relationship Type="http://schemas.openxmlformats.org/officeDocument/2006/relationships/hyperlink" Target="https://codesommet.com/web-development-company/casablanca" TargetMode="External" Id="rId625"/><Relationship Type="http://schemas.openxmlformats.org/officeDocument/2006/relationships/hyperlink" Target="https://codesommet.com/web-development-company/casablanca" TargetMode="External" Id="rId626"/><Relationship Type="http://schemas.openxmlformats.org/officeDocument/2006/relationships/hyperlink" Target="https://codesommet.com/web-development-company/casablanca" TargetMode="External" Id="rId627"/><Relationship Type="http://schemas.openxmlformats.org/officeDocument/2006/relationships/hyperlink" Target="https://codesommet.com/web-development-company/casablanca" TargetMode="External" Id="rId628"/><Relationship Type="http://schemas.openxmlformats.org/officeDocument/2006/relationships/hyperlink" Target="https://codesommet.com/web-development-company/casablanca" TargetMode="External" Id="rId629"/><Relationship Type="http://schemas.openxmlformats.org/officeDocument/2006/relationships/hyperlink" Target="https://codesommet.com/web-development-company/casablanca" TargetMode="External" Id="rId630"/><Relationship Type="http://schemas.openxmlformats.org/officeDocument/2006/relationships/hyperlink" Target="https://codesommet.com/web-development-company/casablanca" TargetMode="External" Id="rId631"/><Relationship Type="http://schemas.openxmlformats.org/officeDocument/2006/relationships/hyperlink" Target="https://codesommet.com/web-development-company/casablanca" TargetMode="External" Id="rId632"/><Relationship Type="http://schemas.openxmlformats.org/officeDocument/2006/relationships/hyperlink" Target="https://codesommet.com/web-development-company/casablanca" TargetMode="External" Id="rId633"/><Relationship Type="http://schemas.openxmlformats.org/officeDocument/2006/relationships/hyperlink" Target="https://codesommet.com/web-development-company/casablanca" TargetMode="External" Id="rId634"/><Relationship Type="http://schemas.openxmlformats.org/officeDocument/2006/relationships/hyperlink" Target="https://codesommet.com/web-development-company/casablanca" TargetMode="External" Id="rId635"/><Relationship Type="http://schemas.openxmlformats.org/officeDocument/2006/relationships/hyperlink" Target="https://codesommet.com/web-development-company/chicago" TargetMode="External" Id="rId636"/><Relationship Type="http://schemas.openxmlformats.org/officeDocument/2006/relationships/hyperlink" Target="https://codesommet.com/web-development-company/chicago" TargetMode="External" Id="rId637"/><Relationship Type="http://schemas.openxmlformats.org/officeDocument/2006/relationships/hyperlink" Target="https://codesommet.com/web-development-company/copenhagen" TargetMode="External" Id="rId638"/><Relationship Type="http://schemas.openxmlformats.org/officeDocument/2006/relationships/hyperlink" Target="https://codesommet.com/web-development-company/copenhagen" TargetMode="External" Id="rId639"/><Relationship Type="http://schemas.openxmlformats.org/officeDocument/2006/relationships/hyperlink" Target="https://codesommet.com/web-development-company/denver" TargetMode="External" Id="rId640"/><Relationship Type="http://schemas.openxmlformats.org/officeDocument/2006/relationships/hyperlink" Target="https://codesommet.com/web-development-company/denver" TargetMode="External" Id="rId641"/><Relationship Type="http://schemas.openxmlformats.org/officeDocument/2006/relationships/hyperlink" Target="https://codesommet.com/web-development-company/dubai" TargetMode="External" Id="rId642"/><Relationship Type="http://schemas.openxmlformats.org/officeDocument/2006/relationships/hyperlink" Target="https://codesommet.com/web-development-company/dubai" TargetMode="External" Id="rId643"/><Relationship Type="http://schemas.openxmlformats.org/officeDocument/2006/relationships/hyperlink" Target="https://codesommet.com/web-development-company/dubai" TargetMode="External" Id="rId644"/><Relationship Type="http://schemas.openxmlformats.org/officeDocument/2006/relationships/hyperlink" Target="https://codesommet.com/web-development-company/dublin" TargetMode="External" Id="rId645"/><Relationship Type="http://schemas.openxmlformats.org/officeDocument/2006/relationships/hyperlink" Target="https://codesommet.com/web-development-company/dublin" TargetMode="External" Id="rId646"/><Relationship Type="http://schemas.openxmlformats.org/officeDocument/2006/relationships/hyperlink" Target="https://codesommet.com/web-development-company/lagos" TargetMode="External" Id="rId647"/><Relationship Type="http://schemas.openxmlformats.org/officeDocument/2006/relationships/hyperlink" Target="https://codesommet.com/web-development-company/lagos" TargetMode="External" Id="rId648"/><Relationship Type="http://schemas.openxmlformats.org/officeDocument/2006/relationships/hyperlink" Target="https://codesommet.com/web-development-company/lisbon" TargetMode="External" Id="rId649"/><Relationship Type="http://schemas.openxmlformats.org/officeDocument/2006/relationships/hyperlink" Target="https://codesommet.com/web-development-company/lisbon" TargetMode="External" Id="rId650"/><Relationship Type="http://schemas.openxmlformats.org/officeDocument/2006/relationships/hyperlink" Target="https://codesommet.com/web-development-company/lisbon" TargetMode="External" Id="rId651"/><Relationship Type="http://schemas.openxmlformats.org/officeDocument/2006/relationships/hyperlink" Target="https://codesommet.com/web-development-company/london" TargetMode="External" Id="rId652"/><Relationship Type="http://schemas.openxmlformats.org/officeDocument/2006/relationships/hyperlink" Target="https://codesommet.com/web-development-company/london" TargetMode="External" Id="rId653"/><Relationship Type="http://schemas.openxmlformats.org/officeDocument/2006/relationships/hyperlink" Target="https://codesommet.com/web-development-company/london" TargetMode="External" Id="rId654"/><Relationship Type="http://schemas.openxmlformats.org/officeDocument/2006/relationships/hyperlink" Target="https://codesommet.com/web-development-company/los-angeles" TargetMode="External" Id="rId655"/><Relationship Type="http://schemas.openxmlformats.org/officeDocument/2006/relationships/hyperlink" Target="https://codesommet.com/web-development-company/los-angeles" TargetMode="External" Id="rId656"/><Relationship Type="http://schemas.openxmlformats.org/officeDocument/2006/relationships/hyperlink" Target="https://codesommet.com/web-development-company/madrid" TargetMode="External" Id="rId657"/><Relationship Type="http://schemas.openxmlformats.org/officeDocument/2006/relationships/hyperlink" Target="https://codesommet.com/web-development-company/madrid" TargetMode="External" Id="rId658"/><Relationship Type="http://schemas.openxmlformats.org/officeDocument/2006/relationships/hyperlink" Target="https://codesommet.com/web-development-company/marrakech" TargetMode="External" Id="rId659"/><Relationship Type="http://schemas.openxmlformats.org/officeDocument/2006/relationships/hyperlink" Target="https://codesommet.com/web-development-company/marrakech" TargetMode="External" Id="rId660"/><Relationship Type="http://schemas.openxmlformats.org/officeDocument/2006/relationships/hyperlink" Target="https://codesommet.com/web-development-company/marrakech" TargetMode="External" Id="rId661"/><Relationship Type="http://schemas.openxmlformats.org/officeDocument/2006/relationships/hyperlink" Target="https://codesommet.com/web-development-company/marrakech" TargetMode="External" Id="rId662"/><Relationship Type="http://schemas.openxmlformats.org/officeDocument/2006/relationships/hyperlink" Target="https://codesommet.com/web-development-company/marrakech" TargetMode="External" Id="rId663"/><Relationship Type="http://schemas.openxmlformats.org/officeDocument/2006/relationships/hyperlink" Target="https://codesommet.com/web-development-company/marrakech" TargetMode="External" Id="rId664"/><Relationship Type="http://schemas.openxmlformats.org/officeDocument/2006/relationships/hyperlink" Target="https://codesommet.com/web-development-company/marrakech" TargetMode="External" Id="rId665"/><Relationship Type="http://schemas.openxmlformats.org/officeDocument/2006/relationships/hyperlink" Target="https://codesommet.com/web-development-company/marrakech" TargetMode="External" Id="rId666"/><Relationship Type="http://schemas.openxmlformats.org/officeDocument/2006/relationships/hyperlink" Target="https://codesommet.com/web-development-company/marrakech" TargetMode="External" Id="rId667"/><Relationship Type="http://schemas.openxmlformats.org/officeDocument/2006/relationships/hyperlink" Target="https://codesommet.com/web-development-company/marrakech" TargetMode="External" Id="rId668"/><Relationship Type="http://schemas.openxmlformats.org/officeDocument/2006/relationships/hyperlink" Target="https://codesommet.com/web-development-company/marrakech" TargetMode="External" Id="rId669"/><Relationship Type="http://schemas.openxmlformats.org/officeDocument/2006/relationships/hyperlink" Target="https://codesommet.com/web-development-company/marrakech" TargetMode="External" Id="rId670"/><Relationship Type="http://schemas.openxmlformats.org/officeDocument/2006/relationships/hyperlink" Target="https://codesommet.com/web-development-company/milan" TargetMode="External" Id="rId671"/><Relationship Type="http://schemas.openxmlformats.org/officeDocument/2006/relationships/hyperlink" Target="https://codesommet.com/web-development-company/milan" TargetMode="External" Id="rId672"/><Relationship Type="http://schemas.openxmlformats.org/officeDocument/2006/relationships/hyperlink" Target="https://codesommet.com/web-development-company/new-york" TargetMode="External" Id="rId673"/><Relationship Type="http://schemas.openxmlformats.org/officeDocument/2006/relationships/hyperlink" Target="https://codesommet.com/web-development-company/new-york" TargetMode="External" Id="rId674"/><Relationship Type="http://schemas.openxmlformats.org/officeDocument/2006/relationships/hyperlink" Target="https://codesommet.com/web-development-company/new-york" TargetMode="External" Id="rId675"/><Relationship Type="http://schemas.openxmlformats.org/officeDocument/2006/relationships/hyperlink" Target="https://codesommet.com/web-development-company/paris" TargetMode="External" Id="rId676"/><Relationship Type="http://schemas.openxmlformats.org/officeDocument/2006/relationships/hyperlink" Target="https://codesommet.com/web-development-company/paris" TargetMode="External" Id="rId677"/><Relationship Type="http://schemas.openxmlformats.org/officeDocument/2006/relationships/hyperlink" Target="https://codesommet.com/web-development-company/paris" TargetMode="External" Id="rId678"/><Relationship Type="http://schemas.openxmlformats.org/officeDocument/2006/relationships/hyperlink" Target="https://codesommet.com/web-development-company/rabat" TargetMode="External" Id="rId679"/><Relationship Type="http://schemas.openxmlformats.org/officeDocument/2006/relationships/hyperlink" Target="https://codesommet.com/web-development-company/rabat" TargetMode="External" Id="rId680"/><Relationship Type="http://schemas.openxmlformats.org/officeDocument/2006/relationships/hyperlink" Target="https://codesommet.com/web-development-company/rabat" TargetMode="External" Id="rId681"/><Relationship Type="http://schemas.openxmlformats.org/officeDocument/2006/relationships/hyperlink" Target="https://codesommet.com/web-development-company/rabat" TargetMode="External" Id="rId682"/><Relationship Type="http://schemas.openxmlformats.org/officeDocument/2006/relationships/hyperlink" Target="https://codesommet.com/web-development-company/rabat" TargetMode="External" Id="rId683"/><Relationship Type="http://schemas.openxmlformats.org/officeDocument/2006/relationships/hyperlink" Target="https://codesommet.com/web-development-company/rabat" TargetMode="External" Id="rId684"/><Relationship Type="http://schemas.openxmlformats.org/officeDocument/2006/relationships/hyperlink" Target="https://codesommet.com/web-development-company/rabat" TargetMode="External" Id="rId685"/><Relationship Type="http://schemas.openxmlformats.org/officeDocument/2006/relationships/hyperlink" Target="https://codesommet.com/web-development-company/rabat" TargetMode="External" Id="rId686"/><Relationship Type="http://schemas.openxmlformats.org/officeDocument/2006/relationships/hyperlink" Target="https://codesommet.com/web-development-company/rabat" TargetMode="External" Id="rId687"/><Relationship Type="http://schemas.openxmlformats.org/officeDocument/2006/relationships/hyperlink" Target="https://codesommet.com/web-development-company/riyadh" TargetMode="External" Id="rId688"/><Relationship Type="http://schemas.openxmlformats.org/officeDocument/2006/relationships/hyperlink" Target="https://codesommet.com/web-development-company/riyadh" TargetMode="External" Id="rId689"/><Relationship Type="http://schemas.openxmlformats.org/officeDocument/2006/relationships/hyperlink" Target="https://codesommet.com/web-development-company/rome" TargetMode="External" Id="rId690"/><Relationship Type="http://schemas.openxmlformats.org/officeDocument/2006/relationships/hyperlink" Target="https://codesommet.com/web-development-company/rome" TargetMode="External" Id="rId691"/><Relationship Type="http://schemas.openxmlformats.org/officeDocument/2006/relationships/hyperlink" Target="https://codesommet.com/web-development-company/san-francisco" TargetMode="External" Id="rId692"/><Relationship Type="http://schemas.openxmlformats.org/officeDocument/2006/relationships/hyperlink" Target="https://codesommet.com/web-development-company/san-francisco" TargetMode="External" Id="rId693"/><Relationship Type="http://schemas.openxmlformats.org/officeDocument/2006/relationships/hyperlink" Target="https://codesommet.com/web-development-company/seattle" TargetMode="External" Id="rId694"/><Relationship Type="http://schemas.openxmlformats.org/officeDocument/2006/relationships/hyperlink" Target="https://codesommet.com/web-development-company/seattle" TargetMode="External" Id="rId695"/><Relationship Type="http://schemas.openxmlformats.org/officeDocument/2006/relationships/hyperlink" Target="https://codesommet.com/web-development-company/stockholm" TargetMode="External" Id="rId696"/><Relationship Type="http://schemas.openxmlformats.org/officeDocument/2006/relationships/hyperlink" Target="https://codesommet.com/web-development-company/stockholm" TargetMode="External" Id="rId697"/><Relationship Type="http://schemas.openxmlformats.org/officeDocument/2006/relationships/hyperlink" Target="https://codesommet.com/web-development-company/tangier" TargetMode="External" Id="rId698"/><Relationship Type="http://schemas.openxmlformats.org/officeDocument/2006/relationships/hyperlink" Target="https://codesommet.com/web-development-company/tangier" TargetMode="External" Id="rId699"/><Relationship Type="http://schemas.openxmlformats.org/officeDocument/2006/relationships/hyperlink" Target="https://codesommet.com/web-development-company/tangier" TargetMode="External" Id="rId700"/><Relationship Type="http://schemas.openxmlformats.org/officeDocument/2006/relationships/hyperlink" Target="https://codesommet.com/web-development-company/tangier" TargetMode="External" Id="rId701"/><Relationship Type="http://schemas.openxmlformats.org/officeDocument/2006/relationships/hyperlink" Target="https://codesommet.com/web-development-company/tangier" TargetMode="External" Id="rId702"/><Relationship Type="http://schemas.openxmlformats.org/officeDocument/2006/relationships/hyperlink" Target="https://codesommet.com/web-development-company/tangier" TargetMode="External" Id="rId703"/><Relationship Type="http://schemas.openxmlformats.org/officeDocument/2006/relationships/hyperlink" Target="https://codesommet.com/web-development-company/tangier" TargetMode="External" Id="rId704"/><Relationship Type="http://schemas.openxmlformats.org/officeDocument/2006/relationships/hyperlink" Target="https://codesommet.com/web-development-company/toronto" TargetMode="External" Id="rId705"/><Relationship Type="http://schemas.openxmlformats.org/officeDocument/2006/relationships/hyperlink" Target="https://codesommet.com/web-development-company/toronto" TargetMode="External" Id="rId706"/><Relationship Type="http://schemas.openxmlformats.org/officeDocument/2006/relationships/hyperlink" Target="https://codesommet.com/web-development-company/tunis" TargetMode="External" Id="rId707"/><Relationship Type="http://schemas.openxmlformats.org/officeDocument/2006/relationships/hyperlink" Target="https://codesommet.com/web-development-company/tunis" TargetMode="External" Id="rId708"/><Relationship Type="http://schemas.openxmlformats.org/officeDocument/2006/relationships/hyperlink" Target="https://codesommet.com/web-development-company/tunis" TargetMode="External" Id="rId709"/><Relationship Type="http://schemas.openxmlformats.org/officeDocument/2006/relationships/hyperlink" Target="https://codesommet.com/web-development-company/tunis" TargetMode="External" Id="rId710"/><Relationship Type="http://schemas.openxmlformats.org/officeDocument/2006/relationships/hyperlink" Target="https://codesommet.com/web-development-company/vancouver" TargetMode="External" Id="rId711"/><Relationship Type="http://schemas.openxmlformats.org/officeDocument/2006/relationships/hyperlink" Target="https://codesommet.com/web-development-company/vancouver" TargetMode="External" Id="rId712"/><Relationship Type="http://schemas.openxmlformats.org/officeDocument/2006/relationships/hyperlink" Target="https://codesommet.com/web-development-company/worldwide" TargetMode="External" Id="rId713"/><Relationship Type="http://schemas.openxmlformats.org/officeDocument/2006/relationships/hyperlink" Target="https://codesommet.com/web-development-company/worldwide" TargetMode="External" Id="rId714"/><Relationship Type="http://schemas.openxmlformats.org/officeDocument/2006/relationships/hyperlink" Target="https://codesommet.com/web-development-company/worldwide" TargetMode="External" Id="rId715"/><Relationship Type="http://schemas.openxmlformats.org/officeDocument/2006/relationships/hyperlink" Target="https://codesommet.com/web-development-company/worldwide" TargetMode="External" Id="rId716"/><Relationship Type="http://schemas.openxmlformats.org/officeDocument/2006/relationships/hyperlink" Target="https://codesommet.com/web-development-company/worldwide" TargetMode="External" Id="rId717"/><Relationship Type="http://schemas.openxmlformats.org/officeDocument/2006/relationships/hyperlink" Target="https://codesommet.com/web-development-company/worldwide" TargetMode="External" Id="rId718"/><Relationship Type="http://schemas.openxmlformats.org/officeDocument/2006/relationships/hyperlink" Target="https://codesommet.com/web-development-company/worldwide" TargetMode="External" Id="rId719"/><Relationship Type="http://schemas.openxmlformats.org/officeDocument/2006/relationships/hyperlink" Target="https://codesommet.com/web-development-company/worldwide" TargetMode="External" Id="rId720"/><Relationship Type="http://schemas.openxmlformats.org/officeDocument/2006/relationships/hyperlink" Target="https://codesommet.com/web-development-company/worldwide" TargetMode="External" Id="rId721"/><Relationship Type="http://schemas.openxmlformats.org/officeDocument/2006/relationships/hyperlink" Target="https://codesommet.com/web-development-company/worldwide" TargetMode="External" Id="rId722"/><Relationship Type="http://schemas.openxmlformats.org/officeDocument/2006/relationships/hyperlink" Target="https://codesommet.com/web-development-company/worldwide" TargetMode="External" Id="rId723"/><Relationship Type="http://schemas.openxmlformats.org/officeDocument/2006/relationships/hyperlink" Target="https://codesommet.com/web-development-company/zurich" TargetMode="External" Id="rId724"/><Relationship Type="http://schemas.openxmlformats.org/officeDocument/2006/relationships/hyperlink" Target="https://codesommet.com/web-development-company/zurich" TargetMode="External" Id="rId725"/><Relationship Type="http://schemas.openxmlformats.org/officeDocument/2006/relationships/hyperlink" Target="https://codesommet.com/web-development-company/zurich" TargetMode="External" Id="rId726"/></Relationships>
</file>

<file path=xl/worksheets/_rels/sheet6.xml.rels><Relationships xmlns="http://schemas.openxmlformats.org/package/2006/relationships"><Relationship Type="http://schemas.openxmlformats.org/officeDocument/2006/relationships/hyperlink" Target="#'01 Executive Summary'!A1" TargetMode="External" Id="rId1"/><Relationship Type="http://schemas.openxmlformats.org/officeDocument/2006/relationships/hyperlink" Target="https://codesommet.com/" TargetMode="External" Id="rId2"/><Relationship Type="http://schemas.openxmlformats.org/officeDocument/2006/relationships/hyperlink" Target="https://codesommet.com/" TargetMode="External" Id="rId3"/><Relationship Type="http://schemas.openxmlformats.org/officeDocument/2006/relationships/hyperlink" Target="https://codesommet.com/" TargetMode="External" Id="rId4"/><Relationship Type="http://schemas.openxmlformats.org/officeDocument/2006/relationships/hyperlink" Target="https://codesommet.com/" TargetMode="External" Id="rId5"/><Relationship Type="http://schemas.openxmlformats.org/officeDocument/2006/relationships/hyperlink" Target="https://codesommet.com/" TargetMode="External" Id="rId6"/><Relationship Type="http://schemas.openxmlformats.org/officeDocument/2006/relationships/hyperlink" Target="https://codesommet.com/" TargetMode="External" Id="rId7"/><Relationship Type="http://schemas.openxmlformats.org/officeDocument/2006/relationships/hyperlink" Target="https://codesommet.com/" TargetMode="External" Id="rId8"/><Relationship Type="http://schemas.openxmlformats.org/officeDocument/2006/relationships/hyperlink" Target="https://codesommet.com/" TargetMode="External" Id="rId9"/><Relationship Type="http://schemas.openxmlformats.org/officeDocument/2006/relationships/hyperlink" Target="https://codesommet.com/" TargetMode="External" Id="rId10"/><Relationship Type="http://schemas.openxmlformats.org/officeDocument/2006/relationships/hyperlink" Target="https://codesommet.com/" TargetMode="External" Id="rId11"/><Relationship Type="http://schemas.openxmlformats.org/officeDocument/2006/relationships/hyperlink" Target="https://codesommet.com/" TargetMode="External" Id="rId12"/><Relationship Type="http://schemas.openxmlformats.org/officeDocument/2006/relationships/hyperlink" Target="https://codesommet.com/" TargetMode="External" Id="rId13"/><Relationship Type="http://schemas.openxmlformats.org/officeDocument/2006/relationships/hyperlink" Target="https://codesommet.com/" TargetMode="External" Id="rId14"/><Relationship Type="http://schemas.openxmlformats.org/officeDocument/2006/relationships/hyperlink" Target="https://codesommet.com/about" TargetMode="External" Id="rId15"/><Relationship Type="http://schemas.openxmlformats.org/officeDocument/2006/relationships/hyperlink" Target="https://codesommet.com/about" TargetMode="External" Id="rId16"/><Relationship Type="http://schemas.openxmlformats.org/officeDocument/2006/relationships/hyperlink" Target="https://codesommet.com/about" TargetMode="External" Id="rId17"/><Relationship Type="http://schemas.openxmlformats.org/officeDocument/2006/relationships/hyperlink" Target="https://codesommet.com/about" TargetMode="External" Id="rId18"/><Relationship Type="http://schemas.openxmlformats.org/officeDocument/2006/relationships/hyperlink" Target="https://codesommet.com/about" TargetMode="External" Id="rId19"/><Relationship Type="http://schemas.openxmlformats.org/officeDocument/2006/relationships/hyperlink" Target="https://codesommet.com/about" TargetMode="External" Id="rId20"/><Relationship Type="http://schemas.openxmlformats.org/officeDocument/2006/relationships/hyperlink" Target="https://codesommet.com/contact" TargetMode="External" Id="rId21"/><Relationship Type="http://schemas.openxmlformats.org/officeDocument/2006/relationships/hyperlink" Target="https://codesommet.com/contact" TargetMode="External" Id="rId22"/><Relationship Type="http://schemas.openxmlformats.org/officeDocument/2006/relationships/hyperlink" Target="https://codesommet.com/contact" TargetMode="External" Id="rId23"/><Relationship Type="http://schemas.openxmlformats.org/officeDocument/2006/relationships/hyperlink" Target="https://codesommet.com/contact" TargetMode="External" Id="rId24"/><Relationship Type="http://schemas.openxmlformats.org/officeDocument/2006/relationships/hyperlink" Target="https://codesommet.com/contact" TargetMode="External" Id="rId25"/><Relationship Type="http://schemas.openxmlformats.org/officeDocument/2006/relationships/hyperlink" Target="https://codesommet.com/contact" TargetMode="External" Id="rId26"/><Relationship Type="http://schemas.openxmlformats.org/officeDocument/2006/relationships/hyperlink" Target="https://codesommet.com/contact" TargetMode="External" Id="rId27"/><Relationship Type="http://schemas.openxmlformats.org/officeDocument/2006/relationships/hyperlink" Target="https://codesommet.com/contact" TargetMode="External" Id="rId28"/><Relationship Type="http://schemas.openxmlformats.org/officeDocument/2006/relationships/hyperlink" Target="https://codesommet.com/get-quote" TargetMode="External" Id="rId29"/><Relationship Type="http://schemas.openxmlformats.org/officeDocument/2006/relationships/hyperlink" Target="https://codesommet.com/get-quote" TargetMode="External" Id="rId30"/><Relationship Type="http://schemas.openxmlformats.org/officeDocument/2006/relationships/hyperlink" Target="https://codesommet.com/our-work" TargetMode="External" Id="rId31"/><Relationship Type="http://schemas.openxmlformats.org/officeDocument/2006/relationships/hyperlink" Target="https://codesommet.com/our-work" TargetMode="External" Id="rId32"/><Relationship Type="http://schemas.openxmlformats.org/officeDocument/2006/relationships/hyperlink" Target="https://codesommet.com/our-work" TargetMode="External" Id="rId33"/><Relationship Type="http://schemas.openxmlformats.org/officeDocument/2006/relationships/hyperlink" Target="https://codesommet.com/our-work" TargetMode="External" Id="rId34"/><Relationship Type="http://schemas.openxmlformats.org/officeDocument/2006/relationships/hyperlink" Target="https://codesommet.com/our-work" TargetMode="External" Id="rId35"/><Relationship Type="http://schemas.openxmlformats.org/officeDocument/2006/relationships/hyperlink" Target="https://codesommet.com/our-work" TargetMode="External" Id="rId36"/><Relationship Type="http://schemas.openxmlformats.org/officeDocument/2006/relationships/hyperlink" Target="https://codesommet.com/our-work" TargetMode="External" Id="rId37"/><Relationship Type="http://schemas.openxmlformats.org/officeDocument/2006/relationships/hyperlink" Target="https://codesommet.com/our-work" TargetMode="External" Id="rId38"/><Relationship Type="http://schemas.openxmlformats.org/officeDocument/2006/relationships/hyperlink" Target="https://codesommet.com/our-work" TargetMode="External" Id="rId39"/><Relationship Type="http://schemas.openxmlformats.org/officeDocument/2006/relationships/hyperlink" Target="https://codesommet.com/our-work" TargetMode="External" Id="rId40"/><Relationship Type="http://schemas.openxmlformats.org/officeDocument/2006/relationships/hyperlink" Target="https://codesommet.com/our-work" TargetMode="External" Id="rId41"/><Relationship Type="http://schemas.openxmlformats.org/officeDocument/2006/relationships/hyperlink" Target="https://codesommet.com/industries" TargetMode="External" Id="rId42"/><Relationship Type="http://schemas.openxmlformats.org/officeDocument/2006/relationships/hyperlink" Target="https://codesommet.com/industries" TargetMode="External" Id="rId43"/><Relationship Type="http://schemas.openxmlformats.org/officeDocument/2006/relationships/hyperlink" Target="https://codesommet.com/industries" TargetMode="External" Id="rId44"/><Relationship Type="http://schemas.openxmlformats.org/officeDocument/2006/relationships/hyperlink" Target="https://codesommet.com/industries" TargetMode="External" Id="rId45"/><Relationship Type="http://schemas.openxmlformats.org/officeDocument/2006/relationships/hyperlink" Target="https://codesommet.com/industries" TargetMode="External" Id="rId46"/><Relationship Type="http://schemas.openxmlformats.org/officeDocument/2006/relationships/hyperlink" Target="https://codesommet.com/industries" TargetMode="External" Id="rId47"/><Relationship Type="http://schemas.openxmlformats.org/officeDocument/2006/relationships/hyperlink" Target="https://codesommet.com/industries" TargetMode="External" Id="rId48"/><Relationship Type="http://schemas.openxmlformats.org/officeDocument/2006/relationships/hyperlink" Target="https://codesommet.com/locations" TargetMode="External" Id="rId49"/><Relationship Type="http://schemas.openxmlformats.org/officeDocument/2006/relationships/hyperlink" Target="https://codesommet.com/locations" TargetMode="External" Id="rId50"/><Relationship Type="http://schemas.openxmlformats.org/officeDocument/2006/relationships/hyperlink" Target="https://codesommet.com/locations" TargetMode="External" Id="rId51"/><Relationship Type="http://schemas.openxmlformats.org/officeDocument/2006/relationships/hyperlink" Target="https://codesommet.com/locations" TargetMode="External" Id="rId52"/><Relationship Type="http://schemas.openxmlformats.org/officeDocument/2006/relationships/hyperlink" Target="https://codesommet.com/locations" TargetMode="External" Id="rId53"/><Relationship Type="http://schemas.openxmlformats.org/officeDocument/2006/relationships/hyperlink" Target="https://codesommet.com/locations" TargetMode="External" Id="rId54"/><Relationship Type="http://schemas.openxmlformats.org/officeDocument/2006/relationships/hyperlink" Target="https://codesommet.com/locations" TargetMode="External" Id="rId55"/><Relationship Type="http://schemas.openxmlformats.org/officeDocument/2006/relationships/hyperlink" Target="https://codesommet.com/locations" TargetMode="External" Id="rId56"/><Relationship Type="http://schemas.openxmlformats.org/officeDocument/2006/relationships/hyperlink" Target="https://codesommet.com/locations" TargetMode="External" Id="rId57"/><Relationship Type="http://schemas.openxmlformats.org/officeDocument/2006/relationships/hyperlink" Target="https://codesommet.com/tools" TargetMode="External" Id="rId58"/><Relationship Type="http://schemas.openxmlformats.org/officeDocument/2006/relationships/hyperlink" Target="https://codesommet.com/tools" TargetMode="External" Id="rId59"/><Relationship Type="http://schemas.openxmlformats.org/officeDocument/2006/relationships/hyperlink" Target="https://codesommet.com/tools" TargetMode="External" Id="rId60"/><Relationship Type="http://schemas.openxmlformats.org/officeDocument/2006/relationships/hyperlink" Target="https://codesommet.com/blog" TargetMode="External" Id="rId61"/><Relationship Type="http://schemas.openxmlformats.org/officeDocument/2006/relationships/hyperlink" Target="https://codesommet.com/blog" TargetMode="External" Id="rId62"/><Relationship Type="http://schemas.openxmlformats.org/officeDocument/2006/relationships/hyperlink" Target="https://codesommet.com/legal/privacy-policy" TargetMode="External" Id="rId63"/><Relationship Type="http://schemas.openxmlformats.org/officeDocument/2006/relationships/hyperlink" Target="https://codesommet.com/legal/privacy-policy" TargetMode="External" Id="rId64"/><Relationship Type="http://schemas.openxmlformats.org/officeDocument/2006/relationships/hyperlink" Target="https://codesommet.com/legal/privacy-policy" TargetMode="External" Id="rId65"/><Relationship Type="http://schemas.openxmlformats.org/officeDocument/2006/relationships/hyperlink" Target="https://codesommet.com/legal/privacy-policy" TargetMode="External" Id="rId66"/><Relationship Type="http://schemas.openxmlformats.org/officeDocument/2006/relationships/hyperlink" Target="https://codesommet.com/legal/privacy-policy" TargetMode="External" Id="rId67"/><Relationship Type="http://schemas.openxmlformats.org/officeDocument/2006/relationships/hyperlink" Target="https://codesommet.com/legal/privacy-policy" TargetMode="External" Id="rId68"/><Relationship Type="http://schemas.openxmlformats.org/officeDocument/2006/relationships/hyperlink" Target="https://codesommet.com/legal/privacy-policy" TargetMode="External" Id="rId69"/><Relationship Type="http://schemas.openxmlformats.org/officeDocument/2006/relationships/hyperlink" Target="https://codesommet.com/legal/privacy-policy" TargetMode="External" Id="rId70"/><Relationship Type="http://schemas.openxmlformats.org/officeDocument/2006/relationships/hyperlink" Target="https://codesommet.com/legal/privacy-policy" TargetMode="External" Id="rId71"/><Relationship Type="http://schemas.openxmlformats.org/officeDocument/2006/relationships/hyperlink" Target="https://codesommet.com/legal/privacy-policy" TargetMode="External" Id="rId72"/><Relationship Type="http://schemas.openxmlformats.org/officeDocument/2006/relationships/hyperlink" Target="https://codesommet.com/legal/privacy-policy" TargetMode="External" Id="rId73"/><Relationship Type="http://schemas.openxmlformats.org/officeDocument/2006/relationships/hyperlink" Target="https://codesommet.com/legal/privacy-policy" TargetMode="External" Id="rId74"/><Relationship Type="http://schemas.openxmlformats.org/officeDocument/2006/relationships/hyperlink" Target="https://codesommet.com/legal/privacy-policy" TargetMode="External" Id="rId75"/><Relationship Type="http://schemas.openxmlformats.org/officeDocument/2006/relationships/hyperlink" Target="https://codesommet.com/legal/terms-of-service" TargetMode="External" Id="rId76"/><Relationship Type="http://schemas.openxmlformats.org/officeDocument/2006/relationships/hyperlink" Target="https://codesommet.com/legal/terms-of-service" TargetMode="External" Id="rId77"/><Relationship Type="http://schemas.openxmlformats.org/officeDocument/2006/relationships/hyperlink" Target="https://codesommet.com/legal/terms-of-service" TargetMode="External" Id="rId78"/><Relationship Type="http://schemas.openxmlformats.org/officeDocument/2006/relationships/hyperlink" Target="https://codesommet.com/legal/terms-of-service" TargetMode="External" Id="rId79"/><Relationship Type="http://schemas.openxmlformats.org/officeDocument/2006/relationships/hyperlink" Target="https://codesommet.com/legal/terms-of-service" TargetMode="External" Id="rId80"/><Relationship Type="http://schemas.openxmlformats.org/officeDocument/2006/relationships/hyperlink" Target="https://codesommet.com/legal/terms-of-service" TargetMode="External" Id="rId81"/><Relationship Type="http://schemas.openxmlformats.org/officeDocument/2006/relationships/hyperlink" Target="https://codesommet.com/legal/terms-of-service" TargetMode="External" Id="rId82"/><Relationship Type="http://schemas.openxmlformats.org/officeDocument/2006/relationships/hyperlink" Target="https://codesommet.com/legal/terms-of-service" TargetMode="External" Id="rId83"/><Relationship Type="http://schemas.openxmlformats.org/officeDocument/2006/relationships/hyperlink" Target="https://codesommet.com/legal/terms-of-service" TargetMode="External" Id="rId84"/><Relationship Type="http://schemas.openxmlformats.org/officeDocument/2006/relationships/hyperlink" Target="https://codesommet.com/legal/terms-of-service" TargetMode="External" Id="rId85"/><Relationship Type="http://schemas.openxmlformats.org/officeDocument/2006/relationships/hyperlink" Target="https://codesommet.com/legal/terms-of-service" TargetMode="External" Id="rId86"/><Relationship Type="http://schemas.openxmlformats.org/officeDocument/2006/relationships/hyperlink" Target="https://codesommet.com/legal/terms-of-service" TargetMode="External" Id="rId87"/><Relationship Type="http://schemas.openxmlformats.org/officeDocument/2006/relationships/hyperlink" Target="https://codesommet.com/legal/terms-of-service" TargetMode="External" Id="rId88"/><Relationship Type="http://schemas.openxmlformats.org/officeDocument/2006/relationships/hyperlink" Target="https://codesommet.com/legal/terms-of-service" TargetMode="External" Id="rId89"/><Relationship Type="http://schemas.openxmlformats.org/officeDocument/2006/relationships/hyperlink" Target="https://codesommet.com/legal/terms-of-service" TargetMode="External" Id="rId90"/><Relationship Type="http://schemas.openxmlformats.org/officeDocument/2006/relationships/hyperlink" Target="https://codesommet.com/legal/terms-of-service" TargetMode="External" Id="rId91"/><Relationship Type="http://schemas.openxmlformats.org/officeDocument/2006/relationships/hyperlink" Target="https://codesommet.com/legal/terms-of-service" TargetMode="External" Id="rId92"/><Relationship Type="http://schemas.openxmlformats.org/officeDocument/2006/relationships/hyperlink" Target="https://codesommet.com/legal/terms-of-service" TargetMode="External" Id="rId93"/><Relationship Type="http://schemas.openxmlformats.org/officeDocument/2006/relationships/hyperlink" Target="https://codesommet.com/legal/refund-policy" TargetMode="External" Id="rId94"/><Relationship Type="http://schemas.openxmlformats.org/officeDocument/2006/relationships/hyperlink" Target="https://codesommet.com/legal/refund-policy" TargetMode="External" Id="rId95"/><Relationship Type="http://schemas.openxmlformats.org/officeDocument/2006/relationships/hyperlink" Target="https://codesommet.com/legal/refund-policy" TargetMode="External" Id="rId96"/><Relationship Type="http://schemas.openxmlformats.org/officeDocument/2006/relationships/hyperlink" Target="https://codesommet.com/legal/refund-policy" TargetMode="External" Id="rId97"/><Relationship Type="http://schemas.openxmlformats.org/officeDocument/2006/relationships/hyperlink" Target="https://codesommet.com/legal/refund-policy" TargetMode="External" Id="rId98"/><Relationship Type="http://schemas.openxmlformats.org/officeDocument/2006/relationships/hyperlink" Target="https://codesommet.com/legal/refund-policy" TargetMode="External" Id="rId99"/><Relationship Type="http://schemas.openxmlformats.org/officeDocument/2006/relationships/hyperlink" Target="https://codesommet.com/legal/refund-policy" TargetMode="External" Id="rId100"/><Relationship Type="http://schemas.openxmlformats.org/officeDocument/2006/relationships/hyperlink" Target="https://codesommet.com/legal/refund-policy" TargetMode="External" Id="rId101"/><Relationship Type="http://schemas.openxmlformats.org/officeDocument/2006/relationships/hyperlink" Target="https://codesommet.com/legal/refund-policy" TargetMode="External" Id="rId102"/><Relationship Type="http://schemas.openxmlformats.org/officeDocument/2006/relationships/hyperlink" Target="https://codesommet.com/legal/cookie-policy" TargetMode="External" Id="rId103"/><Relationship Type="http://schemas.openxmlformats.org/officeDocument/2006/relationships/hyperlink" Target="https://codesommet.com/legal/cookie-policy" TargetMode="External" Id="rId104"/><Relationship Type="http://schemas.openxmlformats.org/officeDocument/2006/relationships/hyperlink" Target="https://codesommet.com/legal/cookie-policy" TargetMode="External" Id="rId105"/><Relationship Type="http://schemas.openxmlformats.org/officeDocument/2006/relationships/hyperlink" Target="https://codesommet.com/legal/cookie-policy" TargetMode="External" Id="rId106"/><Relationship Type="http://schemas.openxmlformats.org/officeDocument/2006/relationships/hyperlink" Target="https://codesommet.com/legal/cookie-policy" TargetMode="External" Id="rId107"/><Relationship Type="http://schemas.openxmlformats.org/officeDocument/2006/relationships/hyperlink" Target="https://codesommet.com/legal/cookie-policy" TargetMode="External" Id="rId108"/><Relationship Type="http://schemas.openxmlformats.org/officeDocument/2006/relationships/hyperlink" Target="https://codesommet.com/legal/cookie-policy" TargetMode="External" Id="rId109"/><Relationship Type="http://schemas.openxmlformats.org/officeDocument/2006/relationships/hyperlink" Target="https://codesommet.com/legal/cookie-policy" TargetMode="External" Id="rId110"/><Relationship Type="http://schemas.openxmlformats.org/officeDocument/2006/relationships/hyperlink" Target="https://codesommet.com/legal/cookie-policy" TargetMode="External" Id="rId111"/><Relationship Type="http://schemas.openxmlformats.org/officeDocument/2006/relationships/hyperlink" Target="https://codesommet.com/legal/cookie-policy" TargetMode="External" Id="rId112"/><Relationship Type="http://schemas.openxmlformats.org/officeDocument/2006/relationships/hyperlink" Target="https://codesommet.com/legal/acceptable-use" TargetMode="External" Id="rId113"/><Relationship Type="http://schemas.openxmlformats.org/officeDocument/2006/relationships/hyperlink" Target="https://codesommet.com/legal/acceptable-use" TargetMode="External" Id="rId114"/><Relationship Type="http://schemas.openxmlformats.org/officeDocument/2006/relationships/hyperlink" Target="https://codesommet.com/legal/acceptable-use" TargetMode="External" Id="rId115"/><Relationship Type="http://schemas.openxmlformats.org/officeDocument/2006/relationships/hyperlink" Target="https://codesommet.com/legal/acceptable-use" TargetMode="External" Id="rId116"/><Relationship Type="http://schemas.openxmlformats.org/officeDocument/2006/relationships/hyperlink" Target="https://codesommet.com/legal/acceptable-use" TargetMode="External" Id="rId117"/><Relationship Type="http://schemas.openxmlformats.org/officeDocument/2006/relationships/hyperlink" Target="https://codesommet.com/legal/acceptable-use" TargetMode="External" Id="rId118"/><Relationship Type="http://schemas.openxmlformats.org/officeDocument/2006/relationships/hyperlink" Target="https://codesommet.com/legal/acceptable-use" TargetMode="External" Id="rId119"/><Relationship Type="http://schemas.openxmlformats.org/officeDocument/2006/relationships/hyperlink" Target="https://codesommet.com/legal/acceptable-use" TargetMode="External" Id="rId120"/><Relationship Type="http://schemas.openxmlformats.org/officeDocument/2006/relationships/hyperlink" Target="https://codesommet.com/legal/acceptable-use" TargetMode="External" Id="rId121"/><Relationship Type="http://schemas.openxmlformats.org/officeDocument/2006/relationships/hyperlink" Target="https://codesommet.com/services/ecommerce-website-development" TargetMode="External" Id="rId122"/><Relationship Type="http://schemas.openxmlformats.org/officeDocument/2006/relationships/hyperlink" Target="https://codesommet.com/services/ecommerce-website-development" TargetMode="External" Id="rId123"/><Relationship Type="http://schemas.openxmlformats.org/officeDocument/2006/relationships/hyperlink" Target="https://codesommet.com/services/ecommerce-website-development" TargetMode="External" Id="rId124"/><Relationship Type="http://schemas.openxmlformats.org/officeDocument/2006/relationships/hyperlink" Target="https://codesommet.com/services/ecommerce-website-development" TargetMode="External" Id="rId125"/><Relationship Type="http://schemas.openxmlformats.org/officeDocument/2006/relationships/hyperlink" Target="https://codesommet.com/services/ecommerce-website-development" TargetMode="External" Id="rId126"/><Relationship Type="http://schemas.openxmlformats.org/officeDocument/2006/relationships/hyperlink" Target="https://codesommet.com/services/ecommerce-website-development" TargetMode="External" Id="rId127"/><Relationship Type="http://schemas.openxmlformats.org/officeDocument/2006/relationships/hyperlink" Target="https://codesommet.com/services/ecommerce-website-development" TargetMode="External" Id="rId128"/><Relationship Type="http://schemas.openxmlformats.org/officeDocument/2006/relationships/hyperlink" Target="https://codesommet.com/services/ecommerce-website-development" TargetMode="External" Id="rId129"/><Relationship Type="http://schemas.openxmlformats.org/officeDocument/2006/relationships/hyperlink" Target="https://codesommet.com/services/ecommerce-website-development" TargetMode="External" Id="rId130"/><Relationship Type="http://schemas.openxmlformats.org/officeDocument/2006/relationships/hyperlink" Target="https://codesommet.com/services/ecommerce-website-development" TargetMode="External" Id="rId131"/><Relationship Type="http://schemas.openxmlformats.org/officeDocument/2006/relationships/hyperlink" Target="https://codesommet.com/services/ecommerce-website-development" TargetMode="External" Id="rId132"/><Relationship Type="http://schemas.openxmlformats.org/officeDocument/2006/relationships/hyperlink" Target="https://codesommet.com/services/ecommerce-website-development" TargetMode="External" Id="rId133"/><Relationship Type="http://schemas.openxmlformats.org/officeDocument/2006/relationships/hyperlink" Target="https://codesommet.com/services/ecommerce-website-development" TargetMode="External" Id="rId134"/><Relationship Type="http://schemas.openxmlformats.org/officeDocument/2006/relationships/hyperlink" Target="https://codesommet.com/services/ecommerce-website-development" TargetMode="External" Id="rId135"/><Relationship Type="http://schemas.openxmlformats.org/officeDocument/2006/relationships/hyperlink" Target="https://codesommet.com/services/ecommerce-website-development" TargetMode="External" Id="rId136"/><Relationship Type="http://schemas.openxmlformats.org/officeDocument/2006/relationships/hyperlink" Target="https://codesommet.com/services/ecommerce-website-development" TargetMode="External" Id="rId137"/><Relationship Type="http://schemas.openxmlformats.org/officeDocument/2006/relationships/hyperlink" Target="https://codesommet.com/services/saas-platform-development" TargetMode="External" Id="rId138"/><Relationship Type="http://schemas.openxmlformats.org/officeDocument/2006/relationships/hyperlink" Target="https://codesommet.com/services/saas-platform-development" TargetMode="External" Id="rId139"/><Relationship Type="http://schemas.openxmlformats.org/officeDocument/2006/relationships/hyperlink" Target="https://codesommet.com/services/saas-platform-development" TargetMode="External" Id="rId140"/><Relationship Type="http://schemas.openxmlformats.org/officeDocument/2006/relationships/hyperlink" Target="https://codesommet.com/services/saas-platform-development" TargetMode="External" Id="rId141"/><Relationship Type="http://schemas.openxmlformats.org/officeDocument/2006/relationships/hyperlink" Target="https://codesommet.com/services/saas-platform-development" TargetMode="External" Id="rId142"/><Relationship Type="http://schemas.openxmlformats.org/officeDocument/2006/relationships/hyperlink" Target="https://codesommet.com/services/saas-platform-development" TargetMode="External" Id="rId143"/><Relationship Type="http://schemas.openxmlformats.org/officeDocument/2006/relationships/hyperlink" Target="https://codesommet.com/services/saas-platform-development" TargetMode="External" Id="rId144"/><Relationship Type="http://schemas.openxmlformats.org/officeDocument/2006/relationships/hyperlink" Target="https://codesommet.com/services/saas-platform-development" TargetMode="External" Id="rId145"/><Relationship Type="http://schemas.openxmlformats.org/officeDocument/2006/relationships/hyperlink" Target="https://codesommet.com/services/saas-platform-development" TargetMode="External" Id="rId146"/><Relationship Type="http://schemas.openxmlformats.org/officeDocument/2006/relationships/hyperlink" Target="https://codesommet.com/services/saas-platform-development" TargetMode="External" Id="rId147"/><Relationship Type="http://schemas.openxmlformats.org/officeDocument/2006/relationships/hyperlink" Target="https://codesommet.com/services/saas-platform-development" TargetMode="External" Id="rId148"/><Relationship Type="http://schemas.openxmlformats.org/officeDocument/2006/relationships/hyperlink" Target="https://codesommet.com/services/saas-platform-development" TargetMode="External" Id="rId149"/><Relationship Type="http://schemas.openxmlformats.org/officeDocument/2006/relationships/hyperlink" Target="https://codesommet.com/services/saas-platform-development" TargetMode="External" Id="rId150"/><Relationship Type="http://schemas.openxmlformats.org/officeDocument/2006/relationships/hyperlink" Target="https://codesommet.com/services/saas-platform-development" TargetMode="External" Id="rId151"/><Relationship Type="http://schemas.openxmlformats.org/officeDocument/2006/relationships/hyperlink" Target="https://codesommet.com/services/saas-platform-development" TargetMode="External" Id="rId152"/><Relationship Type="http://schemas.openxmlformats.org/officeDocument/2006/relationships/hyperlink" Target="https://codesommet.com/services/saas-platform-development" TargetMode="External" Id="rId153"/><Relationship Type="http://schemas.openxmlformats.org/officeDocument/2006/relationships/hyperlink" Target="https://codesommet.com/services/saas-platform-development" TargetMode="External" Id="rId154"/><Relationship Type="http://schemas.openxmlformats.org/officeDocument/2006/relationships/hyperlink" Target="https://codesommet.com/services/fintech-platform-development" TargetMode="External" Id="rId155"/><Relationship Type="http://schemas.openxmlformats.org/officeDocument/2006/relationships/hyperlink" Target="https://codesommet.com/services/fintech-platform-development" TargetMode="External" Id="rId156"/><Relationship Type="http://schemas.openxmlformats.org/officeDocument/2006/relationships/hyperlink" Target="https://codesommet.com/services/fintech-platform-development" TargetMode="External" Id="rId157"/><Relationship Type="http://schemas.openxmlformats.org/officeDocument/2006/relationships/hyperlink" Target="https://codesommet.com/services/fintech-platform-development" TargetMode="External" Id="rId158"/><Relationship Type="http://schemas.openxmlformats.org/officeDocument/2006/relationships/hyperlink" Target="https://codesommet.com/services/fintech-platform-development" TargetMode="External" Id="rId159"/><Relationship Type="http://schemas.openxmlformats.org/officeDocument/2006/relationships/hyperlink" Target="https://codesommet.com/services/fintech-platform-development" TargetMode="External" Id="rId160"/><Relationship Type="http://schemas.openxmlformats.org/officeDocument/2006/relationships/hyperlink" Target="https://codesommet.com/services/fintech-platform-development" TargetMode="External" Id="rId161"/><Relationship Type="http://schemas.openxmlformats.org/officeDocument/2006/relationships/hyperlink" Target="https://codesommet.com/services/fintech-platform-development" TargetMode="External" Id="rId162"/><Relationship Type="http://schemas.openxmlformats.org/officeDocument/2006/relationships/hyperlink" Target="https://codesommet.com/services/fintech-platform-development" TargetMode="External" Id="rId163"/><Relationship Type="http://schemas.openxmlformats.org/officeDocument/2006/relationships/hyperlink" Target="https://codesommet.com/services/fintech-platform-development" TargetMode="External" Id="rId164"/><Relationship Type="http://schemas.openxmlformats.org/officeDocument/2006/relationships/hyperlink" Target="https://codesommet.com/services/fintech-platform-development" TargetMode="External" Id="rId165"/><Relationship Type="http://schemas.openxmlformats.org/officeDocument/2006/relationships/hyperlink" Target="https://codesommet.com/services/fintech-platform-development" TargetMode="External" Id="rId166"/><Relationship Type="http://schemas.openxmlformats.org/officeDocument/2006/relationships/hyperlink" Target="https://codesommet.com/services/fintech-platform-development" TargetMode="External" Id="rId167"/><Relationship Type="http://schemas.openxmlformats.org/officeDocument/2006/relationships/hyperlink" Target="https://codesommet.com/services/fintech-platform-development" TargetMode="External" Id="rId168"/><Relationship Type="http://schemas.openxmlformats.org/officeDocument/2006/relationships/hyperlink" Target="https://codesommet.com/services/fintech-platform-development" TargetMode="External" Id="rId169"/><Relationship Type="http://schemas.openxmlformats.org/officeDocument/2006/relationships/hyperlink" Target="https://codesommet.com/services/fintech-platform-development" TargetMode="External" Id="rId170"/><Relationship Type="http://schemas.openxmlformats.org/officeDocument/2006/relationships/hyperlink" Target="https://codesommet.com/services/fintech-platform-development" TargetMode="External" Id="rId171"/><Relationship Type="http://schemas.openxmlformats.org/officeDocument/2006/relationships/hyperlink" Target="https://codesommet.com/services/fintech-website-development" TargetMode="External" Id="rId172"/><Relationship Type="http://schemas.openxmlformats.org/officeDocument/2006/relationships/hyperlink" Target="https://codesommet.com/services/fintech-website-development" TargetMode="External" Id="rId173"/><Relationship Type="http://schemas.openxmlformats.org/officeDocument/2006/relationships/hyperlink" Target="https://codesommet.com/services/fintech-website-development" TargetMode="External" Id="rId174"/><Relationship Type="http://schemas.openxmlformats.org/officeDocument/2006/relationships/hyperlink" Target="https://codesommet.com/services/fintech-website-development" TargetMode="External" Id="rId175"/><Relationship Type="http://schemas.openxmlformats.org/officeDocument/2006/relationships/hyperlink" Target="https://codesommet.com/services/fintech-website-development" TargetMode="External" Id="rId176"/><Relationship Type="http://schemas.openxmlformats.org/officeDocument/2006/relationships/hyperlink" Target="https://codesommet.com/services/fintech-website-development" TargetMode="External" Id="rId177"/><Relationship Type="http://schemas.openxmlformats.org/officeDocument/2006/relationships/hyperlink" Target="https://codesommet.com/services/fintech-website-development" TargetMode="External" Id="rId178"/><Relationship Type="http://schemas.openxmlformats.org/officeDocument/2006/relationships/hyperlink" Target="https://codesommet.com/services/fintech-website-development" TargetMode="External" Id="rId179"/><Relationship Type="http://schemas.openxmlformats.org/officeDocument/2006/relationships/hyperlink" Target="https://codesommet.com/services/fintech-website-development" TargetMode="External" Id="rId180"/><Relationship Type="http://schemas.openxmlformats.org/officeDocument/2006/relationships/hyperlink" Target="https://codesommet.com/services/fintech-website-development" TargetMode="External" Id="rId181"/><Relationship Type="http://schemas.openxmlformats.org/officeDocument/2006/relationships/hyperlink" Target="https://codesommet.com/services/fintech-website-development" TargetMode="External" Id="rId182"/><Relationship Type="http://schemas.openxmlformats.org/officeDocument/2006/relationships/hyperlink" Target="https://codesommet.com/services/fintech-website-development" TargetMode="External" Id="rId183"/><Relationship Type="http://schemas.openxmlformats.org/officeDocument/2006/relationships/hyperlink" Target="https://codesommet.com/services/fintech-website-development" TargetMode="External" Id="rId184"/><Relationship Type="http://schemas.openxmlformats.org/officeDocument/2006/relationships/hyperlink" Target="https://codesommet.com/services/fintech-website-development" TargetMode="External" Id="rId185"/><Relationship Type="http://schemas.openxmlformats.org/officeDocument/2006/relationships/hyperlink" Target="https://codesommet.com/services/fintech-website-development" TargetMode="External" Id="rId186"/><Relationship Type="http://schemas.openxmlformats.org/officeDocument/2006/relationships/hyperlink" Target="https://codesommet.com/services/fintech-website-development" TargetMode="External" Id="rId187"/><Relationship Type="http://schemas.openxmlformats.org/officeDocument/2006/relationships/hyperlink" Target="https://codesommet.com/services/fintech-website-development" TargetMode="External" Id="rId188"/><Relationship Type="http://schemas.openxmlformats.org/officeDocument/2006/relationships/hyperlink" Target="https://codesommet.com/services/healthcare-website-development" TargetMode="External" Id="rId189"/><Relationship Type="http://schemas.openxmlformats.org/officeDocument/2006/relationships/hyperlink" Target="https://codesommet.com/services/healthcare-website-development" TargetMode="External" Id="rId190"/><Relationship Type="http://schemas.openxmlformats.org/officeDocument/2006/relationships/hyperlink" Target="https://codesommet.com/services/healthcare-website-development" TargetMode="External" Id="rId191"/><Relationship Type="http://schemas.openxmlformats.org/officeDocument/2006/relationships/hyperlink" Target="https://codesommet.com/services/healthcare-website-development" TargetMode="External" Id="rId192"/><Relationship Type="http://schemas.openxmlformats.org/officeDocument/2006/relationships/hyperlink" Target="https://codesommet.com/services/healthcare-website-development" TargetMode="External" Id="rId193"/><Relationship Type="http://schemas.openxmlformats.org/officeDocument/2006/relationships/hyperlink" Target="https://codesommet.com/services/healthcare-website-development" TargetMode="External" Id="rId194"/><Relationship Type="http://schemas.openxmlformats.org/officeDocument/2006/relationships/hyperlink" Target="https://codesommet.com/services/healthcare-website-development" TargetMode="External" Id="rId195"/><Relationship Type="http://schemas.openxmlformats.org/officeDocument/2006/relationships/hyperlink" Target="https://codesommet.com/services/healthcare-website-development" TargetMode="External" Id="rId196"/><Relationship Type="http://schemas.openxmlformats.org/officeDocument/2006/relationships/hyperlink" Target="https://codesommet.com/services/healthcare-website-development" TargetMode="External" Id="rId197"/><Relationship Type="http://schemas.openxmlformats.org/officeDocument/2006/relationships/hyperlink" Target="https://codesommet.com/services/healthcare-website-development" TargetMode="External" Id="rId198"/><Relationship Type="http://schemas.openxmlformats.org/officeDocument/2006/relationships/hyperlink" Target="https://codesommet.com/services/healthcare-website-development" TargetMode="External" Id="rId199"/><Relationship Type="http://schemas.openxmlformats.org/officeDocument/2006/relationships/hyperlink" Target="https://codesommet.com/services/healthcare-website-development" TargetMode="External" Id="rId200"/><Relationship Type="http://schemas.openxmlformats.org/officeDocument/2006/relationships/hyperlink" Target="https://codesommet.com/services/healthcare-website-development" TargetMode="External" Id="rId201"/><Relationship Type="http://schemas.openxmlformats.org/officeDocument/2006/relationships/hyperlink" Target="https://codesommet.com/services/healthcare-website-development" TargetMode="External" Id="rId202"/><Relationship Type="http://schemas.openxmlformats.org/officeDocument/2006/relationships/hyperlink" Target="https://codesommet.com/services/healthcare-website-development" TargetMode="External" Id="rId203"/><Relationship Type="http://schemas.openxmlformats.org/officeDocument/2006/relationships/hyperlink" Target="https://codesommet.com/services/healthcare-website-development" TargetMode="External" Id="rId204"/><Relationship Type="http://schemas.openxmlformats.org/officeDocument/2006/relationships/hyperlink" Target="https://codesommet.com/services/healthcare-website-development" TargetMode="External" Id="rId205"/><Relationship Type="http://schemas.openxmlformats.org/officeDocument/2006/relationships/hyperlink" Target="https://codesommet.com/services/education-website-development" TargetMode="External" Id="rId206"/><Relationship Type="http://schemas.openxmlformats.org/officeDocument/2006/relationships/hyperlink" Target="https://codesommet.com/services/education-website-development" TargetMode="External" Id="rId207"/><Relationship Type="http://schemas.openxmlformats.org/officeDocument/2006/relationships/hyperlink" Target="https://codesommet.com/services/education-website-development" TargetMode="External" Id="rId208"/><Relationship Type="http://schemas.openxmlformats.org/officeDocument/2006/relationships/hyperlink" Target="https://codesommet.com/services/education-website-development" TargetMode="External" Id="rId209"/><Relationship Type="http://schemas.openxmlformats.org/officeDocument/2006/relationships/hyperlink" Target="https://codesommet.com/services/education-website-development" TargetMode="External" Id="rId210"/><Relationship Type="http://schemas.openxmlformats.org/officeDocument/2006/relationships/hyperlink" Target="https://codesommet.com/services/education-website-development" TargetMode="External" Id="rId211"/><Relationship Type="http://schemas.openxmlformats.org/officeDocument/2006/relationships/hyperlink" Target="https://codesommet.com/services/education-website-development" TargetMode="External" Id="rId212"/><Relationship Type="http://schemas.openxmlformats.org/officeDocument/2006/relationships/hyperlink" Target="https://codesommet.com/services/education-website-development" TargetMode="External" Id="rId213"/><Relationship Type="http://schemas.openxmlformats.org/officeDocument/2006/relationships/hyperlink" Target="https://codesommet.com/services/education-website-development" TargetMode="External" Id="rId214"/><Relationship Type="http://schemas.openxmlformats.org/officeDocument/2006/relationships/hyperlink" Target="https://codesommet.com/services/education-website-development" TargetMode="External" Id="rId215"/><Relationship Type="http://schemas.openxmlformats.org/officeDocument/2006/relationships/hyperlink" Target="https://codesommet.com/services/education-website-development" TargetMode="External" Id="rId216"/><Relationship Type="http://schemas.openxmlformats.org/officeDocument/2006/relationships/hyperlink" Target="https://codesommet.com/services/education-website-development" TargetMode="External" Id="rId217"/><Relationship Type="http://schemas.openxmlformats.org/officeDocument/2006/relationships/hyperlink" Target="https://codesommet.com/services/education-website-development" TargetMode="External" Id="rId218"/><Relationship Type="http://schemas.openxmlformats.org/officeDocument/2006/relationships/hyperlink" Target="https://codesommet.com/services/education-website-development" TargetMode="External" Id="rId219"/><Relationship Type="http://schemas.openxmlformats.org/officeDocument/2006/relationships/hyperlink" Target="https://codesommet.com/services/education-website-development" TargetMode="External" Id="rId220"/><Relationship Type="http://schemas.openxmlformats.org/officeDocument/2006/relationships/hyperlink" Target="https://codesommet.com/services/education-website-development" TargetMode="External" Id="rId221"/><Relationship Type="http://schemas.openxmlformats.org/officeDocument/2006/relationships/hyperlink" Target="https://codesommet.com/services/edtech-platform-development" TargetMode="External" Id="rId222"/><Relationship Type="http://schemas.openxmlformats.org/officeDocument/2006/relationships/hyperlink" Target="https://codesommet.com/services/edtech-platform-development" TargetMode="External" Id="rId223"/><Relationship Type="http://schemas.openxmlformats.org/officeDocument/2006/relationships/hyperlink" Target="https://codesommet.com/services/edtech-platform-development" TargetMode="External" Id="rId224"/><Relationship Type="http://schemas.openxmlformats.org/officeDocument/2006/relationships/hyperlink" Target="https://codesommet.com/services/edtech-platform-development" TargetMode="External" Id="rId225"/><Relationship Type="http://schemas.openxmlformats.org/officeDocument/2006/relationships/hyperlink" Target="https://codesommet.com/services/edtech-platform-development" TargetMode="External" Id="rId226"/><Relationship Type="http://schemas.openxmlformats.org/officeDocument/2006/relationships/hyperlink" Target="https://codesommet.com/services/edtech-platform-development" TargetMode="External" Id="rId227"/><Relationship Type="http://schemas.openxmlformats.org/officeDocument/2006/relationships/hyperlink" Target="https://codesommet.com/services/edtech-platform-development" TargetMode="External" Id="rId228"/><Relationship Type="http://schemas.openxmlformats.org/officeDocument/2006/relationships/hyperlink" Target="https://codesommet.com/services/edtech-platform-development" TargetMode="External" Id="rId229"/><Relationship Type="http://schemas.openxmlformats.org/officeDocument/2006/relationships/hyperlink" Target="https://codesommet.com/services/edtech-platform-development" TargetMode="External" Id="rId230"/><Relationship Type="http://schemas.openxmlformats.org/officeDocument/2006/relationships/hyperlink" Target="https://codesommet.com/services/edtech-platform-development" TargetMode="External" Id="rId231"/><Relationship Type="http://schemas.openxmlformats.org/officeDocument/2006/relationships/hyperlink" Target="https://codesommet.com/services/edtech-platform-development" TargetMode="External" Id="rId232"/><Relationship Type="http://schemas.openxmlformats.org/officeDocument/2006/relationships/hyperlink" Target="https://codesommet.com/services/edtech-platform-development" TargetMode="External" Id="rId233"/><Relationship Type="http://schemas.openxmlformats.org/officeDocument/2006/relationships/hyperlink" Target="https://codesommet.com/services/edtech-platform-development" TargetMode="External" Id="rId234"/><Relationship Type="http://schemas.openxmlformats.org/officeDocument/2006/relationships/hyperlink" Target="https://codesommet.com/services/edtech-platform-development" TargetMode="External" Id="rId235"/><Relationship Type="http://schemas.openxmlformats.org/officeDocument/2006/relationships/hyperlink" Target="https://codesommet.com/services/edtech-platform-development" TargetMode="External" Id="rId236"/><Relationship Type="http://schemas.openxmlformats.org/officeDocument/2006/relationships/hyperlink" Target="https://codesommet.com/services/edtech-platform-development" TargetMode="External" Id="rId237"/><Relationship Type="http://schemas.openxmlformats.org/officeDocument/2006/relationships/hyperlink" Target="https://codesommet.com/services/edtech-platform-development" TargetMode="External" Id="rId238"/><Relationship Type="http://schemas.openxmlformats.org/officeDocument/2006/relationships/hyperlink" Target="https://codesommet.com/services/elearning-platform-development" TargetMode="External" Id="rId239"/><Relationship Type="http://schemas.openxmlformats.org/officeDocument/2006/relationships/hyperlink" Target="https://codesommet.com/services/elearning-platform-development" TargetMode="External" Id="rId240"/><Relationship Type="http://schemas.openxmlformats.org/officeDocument/2006/relationships/hyperlink" Target="https://codesommet.com/services/elearning-platform-development" TargetMode="External" Id="rId241"/><Relationship Type="http://schemas.openxmlformats.org/officeDocument/2006/relationships/hyperlink" Target="https://codesommet.com/services/elearning-platform-development" TargetMode="External" Id="rId242"/><Relationship Type="http://schemas.openxmlformats.org/officeDocument/2006/relationships/hyperlink" Target="https://codesommet.com/services/elearning-platform-development" TargetMode="External" Id="rId243"/><Relationship Type="http://schemas.openxmlformats.org/officeDocument/2006/relationships/hyperlink" Target="https://codesommet.com/services/elearning-platform-development" TargetMode="External" Id="rId244"/><Relationship Type="http://schemas.openxmlformats.org/officeDocument/2006/relationships/hyperlink" Target="https://codesommet.com/services/elearning-platform-development" TargetMode="External" Id="rId245"/><Relationship Type="http://schemas.openxmlformats.org/officeDocument/2006/relationships/hyperlink" Target="https://codesommet.com/services/elearning-platform-development" TargetMode="External" Id="rId246"/><Relationship Type="http://schemas.openxmlformats.org/officeDocument/2006/relationships/hyperlink" Target="https://codesommet.com/services/elearning-platform-development" TargetMode="External" Id="rId247"/><Relationship Type="http://schemas.openxmlformats.org/officeDocument/2006/relationships/hyperlink" Target="https://codesommet.com/services/elearning-platform-development" TargetMode="External" Id="rId248"/><Relationship Type="http://schemas.openxmlformats.org/officeDocument/2006/relationships/hyperlink" Target="https://codesommet.com/services/elearning-platform-development" TargetMode="External" Id="rId249"/><Relationship Type="http://schemas.openxmlformats.org/officeDocument/2006/relationships/hyperlink" Target="https://codesommet.com/services/elearning-platform-development" TargetMode="External" Id="rId250"/><Relationship Type="http://schemas.openxmlformats.org/officeDocument/2006/relationships/hyperlink" Target="https://codesommet.com/services/elearning-platform-development" TargetMode="External" Id="rId251"/><Relationship Type="http://schemas.openxmlformats.org/officeDocument/2006/relationships/hyperlink" Target="https://codesommet.com/services/elearning-platform-development" TargetMode="External" Id="rId252"/><Relationship Type="http://schemas.openxmlformats.org/officeDocument/2006/relationships/hyperlink" Target="https://codesommet.com/services/elearning-platform-development" TargetMode="External" Id="rId253"/><Relationship Type="http://schemas.openxmlformats.org/officeDocument/2006/relationships/hyperlink" Target="https://codesommet.com/services/elearning-platform-development" TargetMode="External" Id="rId254"/><Relationship Type="http://schemas.openxmlformats.org/officeDocument/2006/relationships/hyperlink" Target="https://codesommet.com/services/elearning-platform-development" TargetMode="External" Id="rId255"/><Relationship Type="http://schemas.openxmlformats.org/officeDocument/2006/relationships/hyperlink" Target="https://codesommet.com/services/online-course-platform-development" TargetMode="External" Id="rId256"/><Relationship Type="http://schemas.openxmlformats.org/officeDocument/2006/relationships/hyperlink" Target="https://codesommet.com/services/online-course-platform-development" TargetMode="External" Id="rId257"/><Relationship Type="http://schemas.openxmlformats.org/officeDocument/2006/relationships/hyperlink" Target="https://codesommet.com/services/online-course-platform-development" TargetMode="External" Id="rId258"/><Relationship Type="http://schemas.openxmlformats.org/officeDocument/2006/relationships/hyperlink" Target="https://codesommet.com/services/online-course-platform-development" TargetMode="External" Id="rId259"/><Relationship Type="http://schemas.openxmlformats.org/officeDocument/2006/relationships/hyperlink" Target="https://codesommet.com/services/online-course-platform-development" TargetMode="External" Id="rId260"/><Relationship Type="http://schemas.openxmlformats.org/officeDocument/2006/relationships/hyperlink" Target="https://codesommet.com/services/online-course-platform-development" TargetMode="External" Id="rId261"/><Relationship Type="http://schemas.openxmlformats.org/officeDocument/2006/relationships/hyperlink" Target="https://codesommet.com/services/online-course-platform-development" TargetMode="External" Id="rId262"/><Relationship Type="http://schemas.openxmlformats.org/officeDocument/2006/relationships/hyperlink" Target="https://codesommet.com/services/online-course-platform-development" TargetMode="External" Id="rId263"/><Relationship Type="http://schemas.openxmlformats.org/officeDocument/2006/relationships/hyperlink" Target="https://codesommet.com/services/online-course-platform-development" TargetMode="External" Id="rId264"/><Relationship Type="http://schemas.openxmlformats.org/officeDocument/2006/relationships/hyperlink" Target="https://codesommet.com/services/online-course-platform-development" TargetMode="External" Id="rId265"/><Relationship Type="http://schemas.openxmlformats.org/officeDocument/2006/relationships/hyperlink" Target="https://codesommet.com/services/online-course-platform-development" TargetMode="External" Id="rId266"/><Relationship Type="http://schemas.openxmlformats.org/officeDocument/2006/relationships/hyperlink" Target="https://codesommet.com/services/online-course-platform-development" TargetMode="External" Id="rId267"/><Relationship Type="http://schemas.openxmlformats.org/officeDocument/2006/relationships/hyperlink" Target="https://codesommet.com/services/online-course-platform-development" TargetMode="External" Id="rId268"/><Relationship Type="http://schemas.openxmlformats.org/officeDocument/2006/relationships/hyperlink" Target="https://codesommet.com/services/online-course-platform-development" TargetMode="External" Id="rId269"/><Relationship Type="http://schemas.openxmlformats.org/officeDocument/2006/relationships/hyperlink" Target="https://codesommet.com/services/online-course-platform-development" TargetMode="External" Id="rId270"/><Relationship Type="http://schemas.openxmlformats.org/officeDocument/2006/relationships/hyperlink" Target="https://codesommet.com/services/online-course-platform-development" TargetMode="External" Id="rId271"/><Relationship Type="http://schemas.openxmlformats.org/officeDocument/2006/relationships/hyperlink" Target="https://codesommet.com/services/university-website-development" TargetMode="External" Id="rId272"/><Relationship Type="http://schemas.openxmlformats.org/officeDocument/2006/relationships/hyperlink" Target="https://codesommet.com/services/university-website-development" TargetMode="External" Id="rId273"/><Relationship Type="http://schemas.openxmlformats.org/officeDocument/2006/relationships/hyperlink" Target="https://codesommet.com/services/university-website-development" TargetMode="External" Id="rId274"/><Relationship Type="http://schemas.openxmlformats.org/officeDocument/2006/relationships/hyperlink" Target="https://codesommet.com/services/university-website-development" TargetMode="External" Id="rId275"/><Relationship Type="http://schemas.openxmlformats.org/officeDocument/2006/relationships/hyperlink" Target="https://codesommet.com/services/university-website-development" TargetMode="External" Id="rId276"/><Relationship Type="http://schemas.openxmlformats.org/officeDocument/2006/relationships/hyperlink" Target="https://codesommet.com/services/university-website-development" TargetMode="External" Id="rId277"/><Relationship Type="http://schemas.openxmlformats.org/officeDocument/2006/relationships/hyperlink" Target="https://codesommet.com/services/university-website-development" TargetMode="External" Id="rId278"/><Relationship Type="http://schemas.openxmlformats.org/officeDocument/2006/relationships/hyperlink" Target="https://codesommet.com/services/university-website-development" TargetMode="External" Id="rId279"/><Relationship Type="http://schemas.openxmlformats.org/officeDocument/2006/relationships/hyperlink" Target="https://codesommet.com/services/university-website-development" TargetMode="External" Id="rId280"/><Relationship Type="http://schemas.openxmlformats.org/officeDocument/2006/relationships/hyperlink" Target="https://codesommet.com/services/university-website-development" TargetMode="External" Id="rId281"/><Relationship Type="http://schemas.openxmlformats.org/officeDocument/2006/relationships/hyperlink" Target="https://codesommet.com/services/university-website-development" TargetMode="External" Id="rId282"/><Relationship Type="http://schemas.openxmlformats.org/officeDocument/2006/relationships/hyperlink" Target="https://codesommet.com/services/university-website-development" TargetMode="External" Id="rId283"/><Relationship Type="http://schemas.openxmlformats.org/officeDocument/2006/relationships/hyperlink" Target="https://codesommet.com/services/university-website-development" TargetMode="External" Id="rId284"/><Relationship Type="http://schemas.openxmlformats.org/officeDocument/2006/relationships/hyperlink" Target="https://codesommet.com/services/university-website-development" TargetMode="External" Id="rId285"/><Relationship Type="http://schemas.openxmlformats.org/officeDocument/2006/relationships/hyperlink" Target="https://codesommet.com/services/university-website-development" TargetMode="External" Id="rId286"/><Relationship Type="http://schemas.openxmlformats.org/officeDocument/2006/relationships/hyperlink" Target="https://codesommet.com/services/university-website-development" TargetMode="External" Id="rId287"/><Relationship Type="http://schemas.openxmlformats.org/officeDocument/2006/relationships/hyperlink" Target="https://codesommet.com/services/language-school-website-development" TargetMode="External" Id="rId288"/><Relationship Type="http://schemas.openxmlformats.org/officeDocument/2006/relationships/hyperlink" Target="https://codesommet.com/services/language-school-website-development" TargetMode="External" Id="rId289"/><Relationship Type="http://schemas.openxmlformats.org/officeDocument/2006/relationships/hyperlink" Target="https://codesommet.com/services/language-school-website-development" TargetMode="External" Id="rId290"/><Relationship Type="http://schemas.openxmlformats.org/officeDocument/2006/relationships/hyperlink" Target="https://codesommet.com/services/language-school-website-development" TargetMode="External" Id="rId291"/><Relationship Type="http://schemas.openxmlformats.org/officeDocument/2006/relationships/hyperlink" Target="https://codesommet.com/services/language-school-website-development" TargetMode="External" Id="rId292"/><Relationship Type="http://schemas.openxmlformats.org/officeDocument/2006/relationships/hyperlink" Target="https://codesommet.com/services/language-school-website-development" TargetMode="External" Id="rId293"/><Relationship Type="http://schemas.openxmlformats.org/officeDocument/2006/relationships/hyperlink" Target="https://codesommet.com/services/language-school-website-development" TargetMode="External" Id="rId294"/><Relationship Type="http://schemas.openxmlformats.org/officeDocument/2006/relationships/hyperlink" Target="https://codesommet.com/services/language-school-website-development" TargetMode="External" Id="rId295"/><Relationship Type="http://schemas.openxmlformats.org/officeDocument/2006/relationships/hyperlink" Target="https://codesommet.com/services/language-school-website-development" TargetMode="External" Id="rId296"/><Relationship Type="http://schemas.openxmlformats.org/officeDocument/2006/relationships/hyperlink" Target="https://codesommet.com/services/language-school-website-development" TargetMode="External" Id="rId297"/><Relationship Type="http://schemas.openxmlformats.org/officeDocument/2006/relationships/hyperlink" Target="https://codesommet.com/services/language-school-website-development" TargetMode="External" Id="rId298"/><Relationship Type="http://schemas.openxmlformats.org/officeDocument/2006/relationships/hyperlink" Target="https://codesommet.com/services/language-school-website-development" TargetMode="External" Id="rId299"/><Relationship Type="http://schemas.openxmlformats.org/officeDocument/2006/relationships/hyperlink" Target="https://codesommet.com/services/language-school-website-development" TargetMode="External" Id="rId300"/><Relationship Type="http://schemas.openxmlformats.org/officeDocument/2006/relationships/hyperlink" Target="https://codesommet.com/services/language-school-website-development" TargetMode="External" Id="rId301"/><Relationship Type="http://schemas.openxmlformats.org/officeDocument/2006/relationships/hyperlink" Target="https://codesommet.com/services/language-school-website-development" TargetMode="External" Id="rId302"/><Relationship Type="http://schemas.openxmlformats.org/officeDocument/2006/relationships/hyperlink" Target="https://codesommet.com/services/language-school-website-development" TargetMode="External" Id="rId303"/><Relationship Type="http://schemas.openxmlformats.org/officeDocument/2006/relationships/hyperlink" Target="https://codesommet.com/services/study-abroad-website-development" TargetMode="External" Id="rId304"/><Relationship Type="http://schemas.openxmlformats.org/officeDocument/2006/relationships/hyperlink" Target="https://codesommet.com/services/study-abroad-website-development" TargetMode="External" Id="rId305"/><Relationship Type="http://schemas.openxmlformats.org/officeDocument/2006/relationships/hyperlink" Target="https://codesommet.com/services/study-abroad-website-development" TargetMode="External" Id="rId306"/><Relationship Type="http://schemas.openxmlformats.org/officeDocument/2006/relationships/hyperlink" Target="https://codesommet.com/services/study-abroad-website-development" TargetMode="External" Id="rId307"/><Relationship Type="http://schemas.openxmlformats.org/officeDocument/2006/relationships/hyperlink" Target="https://codesommet.com/services/study-abroad-website-development" TargetMode="External" Id="rId308"/><Relationship Type="http://schemas.openxmlformats.org/officeDocument/2006/relationships/hyperlink" Target="https://codesommet.com/services/study-abroad-website-development" TargetMode="External" Id="rId309"/><Relationship Type="http://schemas.openxmlformats.org/officeDocument/2006/relationships/hyperlink" Target="https://codesommet.com/services/study-abroad-website-development" TargetMode="External" Id="rId310"/><Relationship Type="http://schemas.openxmlformats.org/officeDocument/2006/relationships/hyperlink" Target="https://codesommet.com/services/study-abroad-website-development" TargetMode="External" Id="rId311"/><Relationship Type="http://schemas.openxmlformats.org/officeDocument/2006/relationships/hyperlink" Target="https://codesommet.com/services/study-abroad-website-development" TargetMode="External" Id="rId312"/><Relationship Type="http://schemas.openxmlformats.org/officeDocument/2006/relationships/hyperlink" Target="https://codesommet.com/services/study-abroad-website-development" TargetMode="External" Id="rId313"/><Relationship Type="http://schemas.openxmlformats.org/officeDocument/2006/relationships/hyperlink" Target="https://codesommet.com/services/study-abroad-website-development" TargetMode="External" Id="rId314"/><Relationship Type="http://schemas.openxmlformats.org/officeDocument/2006/relationships/hyperlink" Target="https://codesommet.com/services/study-abroad-website-development" TargetMode="External" Id="rId315"/><Relationship Type="http://schemas.openxmlformats.org/officeDocument/2006/relationships/hyperlink" Target="https://codesommet.com/services/study-abroad-website-development" TargetMode="External" Id="rId316"/><Relationship Type="http://schemas.openxmlformats.org/officeDocument/2006/relationships/hyperlink" Target="https://codesommet.com/services/study-abroad-website-development" TargetMode="External" Id="rId317"/><Relationship Type="http://schemas.openxmlformats.org/officeDocument/2006/relationships/hyperlink" Target="https://codesommet.com/services/study-abroad-website-development" TargetMode="External" Id="rId318"/><Relationship Type="http://schemas.openxmlformats.org/officeDocument/2006/relationships/hyperlink" Target="https://codesommet.com/services/immigration-consultancy-website-development" TargetMode="External" Id="rId319"/><Relationship Type="http://schemas.openxmlformats.org/officeDocument/2006/relationships/hyperlink" Target="https://codesommet.com/services/immigration-consultancy-website-development" TargetMode="External" Id="rId320"/><Relationship Type="http://schemas.openxmlformats.org/officeDocument/2006/relationships/hyperlink" Target="https://codesommet.com/services/immigration-consultancy-website-development" TargetMode="External" Id="rId321"/><Relationship Type="http://schemas.openxmlformats.org/officeDocument/2006/relationships/hyperlink" Target="https://codesommet.com/services/immigration-consultancy-website-development" TargetMode="External" Id="rId322"/><Relationship Type="http://schemas.openxmlformats.org/officeDocument/2006/relationships/hyperlink" Target="https://codesommet.com/services/immigration-consultancy-website-development" TargetMode="External" Id="rId323"/><Relationship Type="http://schemas.openxmlformats.org/officeDocument/2006/relationships/hyperlink" Target="https://codesommet.com/services/immigration-consultancy-website-development" TargetMode="External" Id="rId324"/><Relationship Type="http://schemas.openxmlformats.org/officeDocument/2006/relationships/hyperlink" Target="https://codesommet.com/services/immigration-consultancy-website-development" TargetMode="External" Id="rId325"/><Relationship Type="http://schemas.openxmlformats.org/officeDocument/2006/relationships/hyperlink" Target="https://codesommet.com/services/immigration-consultancy-website-development" TargetMode="External" Id="rId326"/><Relationship Type="http://schemas.openxmlformats.org/officeDocument/2006/relationships/hyperlink" Target="https://codesommet.com/services/immigration-consultancy-website-development" TargetMode="External" Id="rId327"/><Relationship Type="http://schemas.openxmlformats.org/officeDocument/2006/relationships/hyperlink" Target="https://codesommet.com/services/immigration-consultancy-website-development" TargetMode="External" Id="rId328"/><Relationship Type="http://schemas.openxmlformats.org/officeDocument/2006/relationships/hyperlink" Target="https://codesommet.com/services/immigration-consultancy-website-development" TargetMode="External" Id="rId329"/><Relationship Type="http://schemas.openxmlformats.org/officeDocument/2006/relationships/hyperlink" Target="https://codesommet.com/services/immigration-consultancy-website-development" TargetMode="External" Id="rId330"/><Relationship Type="http://schemas.openxmlformats.org/officeDocument/2006/relationships/hyperlink" Target="https://codesommet.com/services/immigration-consultancy-website-development" TargetMode="External" Id="rId331"/><Relationship Type="http://schemas.openxmlformats.org/officeDocument/2006/relationships/hyperlink" Target="https://codesommet.com/services/immigration-consultancy-website-development" TargetMode="External" Id="rId332"/><Relationship Type="http://schemas.openxmlformats.org/officeDocument/2006/relationships/hyperlink" Target="https://codesommet.com/services/immigration-consultancy-website-development" TargetMode="External" Id="rId333"/><Relationship Type="http://schemas.openxmlformats.org/officeDocument/2006/relationships/hyperlink" Target="https://codesommet.com/services/immigration-consultancy-website-development" TargetMode="External" Id="rId334"/><Relationship Type="http://schemas.openxmlformats.org/officeDocument/2006/relationships/hyperlink" Target="https://codesommet.com/services/real-estate-website-development" TargetMode="External" Id="rId335"/><Relationship Type="http://schemas.openxmlformats.org/officeDocument/2006/relationships/hyperlink" Target="https://codesommet.com/services/real-estate-website-development" TargetMode="External" Id="rId336"/><Relationship Type="http://schemas.openxmlformats.org/officeDocument/2006/relationships/hyperlink" Target="https://codesommet.com/services/real-estate-website-development" TargetMode="External" Id="rId337"/><Relationship Type="http://schemas.openxmlformats.org/officeDocument/2006/relationships/hyperlink" Target="https://codesommet.com/services/real-estate-website-development" TargetMode="External" Id="rId338"/><Relationship Type="http://schemas.openxmlformats.org/officeDocument/2006/relationships/hyperlink" Target="https://codesommet.com/services/real-estate-website-development" TargetMode="External" Id="rId339"/><Relationship Type="http://schemas.openxmlformats.org/officeDocument/2006/relationships/hyperlink" Target="https://codesommet.com/services/real-estate-website-development" TargetMode="External" Id="rId340"/><Relationship Type="http://schemas.openxmlformats.org/officeDocument/2006/relationships/hyperlink" Target="https://codesommet.com/services/real-estate-website-development" TargetMode="External" Id="rId341"/><Relationship Type="http://schemas.openxmlformats.org/officeDocument/2006/relationships/hyperlink" Target="https://codesommet.com/services/real-estate-website-development" TargetMode="External" Id="rId342"/><Relationship Type="http://schemas.openxmlformats.org/officeDocument/2006/relationships/hyperlink" Target="https://codesommet.com/services/real-estate-website-development" TargetMode="External" Id="rId343"/><Relationship Type="http://schemas.openxmlformats.org/officeDocument/2006/relationships/hyperlink" Target="https://codesommet.com/services/real-estate-website-development" TargetMode="External" Id="rId344"/><Relationship Type="http://schemas.openxmlformats.org/officeDocument/2006/relationships/hyperlink" Target="https://codesommet.com/services/real-estate-website-development" TargetMode="External" Id="rId345"/><Relationship Type="http://schemas.openxmlformats.org/officeDocument/2006/relationships/hyperlink" Target="https://codesommet.com/services/real-estate-website-development" TargetMode="External" Id="rId346"/><Relationship Type="http://schemas.openxmlformats.org/officeDocument/2006/relationships/hyperlink" Target="https://codesommet.com/services/real-estate-website-development" TargetMode="External" Id="rId347"/><Relationship Type="http://schemas.openxmlformats.org/officeDocument/2006/relationships/hyperlink" Target="https://codesommet.com/services/real-estate-website-development" TargetMode="External" Id="rId348"/><Relationship Type="http://schemas.openxmlformats.org/officeDocument/2006/relationships/hyperlink" Target="https://codesommet.com/services/real-estate-website-development" TargetMode="External" Id="rId349"/><Relationship Type="http://schemas.openxmlformats.org/officeDocument/2006/relationships/hyperlink" Target="https://codesommet.com/services/real-estate-website-development" TargetMode="External" Id="rId350"/><Relationship Type="http://schemas.openxmlformats.org/officeDocument/2006/relationships/hyperlink" Target="https://codesommet.com/services/real-estate-website-development" TargetMode="External" Id="rId351"/><Relationship Type="http://schemas.openxmlformats.org/officeDocument/2006/relationships/hyperlink" Target="https://codesommet.com/services/telemedicine-platform-development" TargetMode="External" Id="rId352"/><Relationship Type="http://schemas.openxmlformats.org/officeDocument/2006/relationships/hyperlink" Target="https://codesommet.com/services/telemedicine-platform-development" TargetMode="External" Id="rId353"/><Relationship Type="http://schemas.openxmlformats.org/officeDocument/2006/relationships/hyperlink" Target="https://codesommet.com/services/telemedicine-platform-development" TargetMode="External" Id="rId354"/><Relationship Type="http://schemas.openxmlformats.org/officeDocument/2006/relationships/hyperlink" Target="https://codesommet.com/services/telemedicine-platform-development" TargetMode="External" Id="rId355"/><Relationship Type="http://schemas.openxmlformats.org/officeDocument/2006/relationships/hyperlink" Target="https://codesommet.com/services/telemedicine-platform-development" TargetMode="External" Id="rId356"/><Relationship Type="http://schemas.openxmlformats.org/officeDocument/2006/relationships/hyperlink" Target="https://codesommet.com/services/telemedicine-platform-development" TargetMode="External" Id="rId357"/><Relationship Type="http://schemas.openxmlformats.org/officeDocument/2006/relationships/hyperlink" Target="https://codesommet.com/services/telemedicine-platform-development" TargetMode="External" Id="rId358"/><Relationship Type="http://schemas.openxmlformats.org/officeDocument/2006/relationships/hyperlink" Target="https://codesommet.com/services/telemedicine-platform-development" TargetMode="External" Id="rId359"/><Relationship Type="http://schemas.openxmlformats.org/officeDocument/2006/relationships/hyperlink" Target="https://codesommet.com/services/telemedicine-platform-development" TargetMode="External" Id="rId360"/><Relationship Type="http://schemas.openxmlformats.org/officeDocument/2006/relationships/hyperlink" Target="https://codesommet.com/services/telemedicine-platform-development" TargetMode="External" Id="rId361"/><Relationship Type="http://schemas.openxmlformats.org/officeDocument/2006/relationships/hyperlink" Target="https://codesommet.com/services/telemedicine-platform-development" TargetMode="External" Id="rId362"/><Relationship Type="http://schemas.openxmlformats.org/officeDocument/2006/relationships/hyperlink" Target="https://codesommet.com/services/telemedicine-platform-development" TargetMode="External" Id="rId363"/><Relationship Type="http://schemas.openxmlformats.org/officeDocument/2006/relationships/hyperlink" Target="https://codesommet.com/services/telemedicine-platform-development" TargetMode="External" Id="rId364"/><Relationship Type="http://schemas.openxmlformats.org/officeDocument/2006/relationships/hyperlink" Target="https://codesommet.com/services/telemedicine-platform-development" TargetMode="External" Id="rId365"/><Relationship Type="http://schemas.openxmlformats.org/officeDocument/2006/relationships/hyperlink" Target="https://codesommet.com/services/telemedicine-platform-development" TargetMode="External" Id="rId366"/><Relationship Type="http://schemas.openxmlformats.org/officeDocument/2006/relationships/hyperlink" Target="https://codesommet.com/services/telemedicine-platform-development" TargetMode="External" Id="rId367"/><Relationship Type="http://schemas.openxmlformats.org/officeDocument/2006/relationships/hyperlink" Target="https://codesommet.com/services/telemedicine-platform-development" TargetMode="External" Id="rId368"/><Relationship Type="http://schemas.openxmlformats.org/officeDocument/2006/relationships/hyperlink" Target="https://codesommet.com/services/telemedicine-website-development" TargetMode="External" Id="rId369"/><Relationship Type="http://schemas.openxmlformats.org/officeDocument/2006/relationships/hyperlink" Target="https://codesommet.com/services/telemedicine-website-development" TargetMode="External" Id="rId370"/><Relationship Type="http://schemas.openxmlformats.org/officeDocument/2006/relationships/hyperlink" Target="https://codesommet.com/services/telemedicine-website-development" TargetMode="External" Id="rId371"/><Relationship Type="http://schemas.openxmlformats.org/officeDocument/2006/relationships/hyperlink" Target="https://codesommet.com/services/telemedicine-website-development" TargetMode="External" Id="rId372"/><Relationship Type="http://schemas.openxmlformats.org/officeDocument/2006/relationships/hyperlink" Target="https://codesommet.com/services/telemedicine-website-development" TargetMode="External" Id="rId373"/><Relationship Type="http://schemas.openxmlformats.org/officeDocument/2006/relationships/hyperlink" Target="https://codesommet.com/services/telemedicine-website-development" TargetMode="External" Id="rId374"/><Relationship Type="http://schemas.openxmlformats.org/officeDocument/2006/relationships/hyperlink" Target="https://codesommet.com/services/telemedicine-website-development" TargetMode="External" Id="rId375"/><Relationship Type="http://schemas.openxmlformats.org/officeDocument/2006/relationships/hyperlink" Target="https://codesommet.com/services/telemedicine-website-development" TargetMode="External" Id="rId376"/><Relationship Type="http://schemas.openxmlformats.org/officeDocument/2006/relationships/hyperlink" Target="https://codesommet.com/services/telemedicine-website-development" TargetMode="External" Id="rId377"/><Relationship Type="http://schemas.openxmlformats.org/officeDocument/2006/relationships/hyperlink" Target="https://codesommet.com/services/telemedicine-website-development" TargetMode="External" Id="rId378"/><Relationship Type="http://schemas.openxmlformats.org/officeDocument/2006/relationships/hyperlink" Target="https://codesommet.com/services/telemedicine-website-development" TargetMode="External" Id="rId379"/><Relationship Type="http://schemas.openxmlformats.org/officeDocument/2006/relationships/hyperlink" Target="https://codesommet.com/services/telemedicine-website-development" TargetMode="External" Id="rId380"/><Relationship Type="http://schemas.openxmlformats.org/officeDocument/2006/relationships/hyperlink" Target="https://codesommet.com/services/telemedicine-website-development" TargetMode="External" Id="rId381"/><Relationship Type="http://schemas.openxmlformats.org/officeDocument/2006/relationships/hyperlink" Target="https://codesommet.com/services/telemedicine-website-development" TargetMode="External" Id="rId382"/><Relationship Type="http://schemas.openxmlformats.org/officeDocument/2006/relationships/hyperlink" Target="https://codesommet.com/services/telemedicine-website-development" TargetMode="External" Id="rId383"/><Relationship Type="http://schemas.openxmlformats.org/officeDocument/2006/relationships/hyperlink" Target="https://codesommet.com/services/telemedicine-website-development" TargetMode="External" Id="rId384"/><Relationship Type="http://schemas.openxmlformats.org/officeDocument/2006/relationships/hyperlink" Target="https://codesommet.com/services/telemedicine-website-development" TargetMode="External" Id="rId385"/><Relationship Type="http://schemas.openxmlformats.org/officeDocument/2006/relationships/hyperlink" Target="https://codesommet.com/services/seo-maroc" TargetMode="External" Id="rId386"/><Relationship Type="http://schemas.openxmlformats.org/officeDocument/2006/relationships/hyperlink" Target="https://codesommet.com/services/seo-maroc" TargetMode="External" Id="rId387"/><Relationship Type="http://schemas.openxmlformats.org/officeDocument/2006/relationships/hyperlink" Target="https://codesommet.com/services/seo-maroc" TargetMode="External" Id="rId388"/><Relationship Type="http://schemas.openxmlformats.org/officeDocument/2006/relationships/hyperlink" Target="https://codesommet.com/services/seo-maroc" TargetMode="External" Id="rId389"/><Relationship Type="http://schemas.openxmlformats.org/officeDocument/2006/relationships/hyperlink" Target="https://codesommet.com/services/seo-maroc" TargetMode="External" Id="rId390"/><Relationship Type="http://schemas.openxmlformats.org/officeDocument/2006/relationships/hyperlink" Target="https://codesommet.com/services/seo-maroc" TargetMode="External" Id="rId391"/><Relationship Type="http://schemas.openxmlformats.org/officeDocument/2006/relationships/hyperlink" Target="https://codesommet.com/services/seo-maroc" TargetMode="External" Id="rId392"/><Relationship Type="http://schemas.openxmlformats.org/officeDocument/2006/relationships/hyperlink" Target="https://codesommet.com/services/seo-maroc" TargetMode="External" Id="rId393"/><Relationship Type="http://schemas.openxmlformats.org/officeDocument/2006/relationships/hyperlink" Target="https://codesommet.com/services/seo-maroc" TargetMode="External" Id="rId394"/><Relationship Type="http://schemas.openxmlformats.org/officeDocument/2006/relationships/hyperlink" Target="https://codesommet.com/services/seo-maroc" TargetMode="External" Id="rId395"/><Relationship Type="http://schemas.openxmlformats.org/officeDocument/2006/relationships/hyperlink" Target="https://codesommet.com/services/seo-maroc" TargetMode="External" Id="rId396"/><Relationship Type="http://schemas.openxmlformats.org/officeDocument/2006/relationships/hyperlink" Target="https://codesommet.com/services/seo-maroc" TargetMode="External" Id="rId397"/><Relationship Type="http://schemas.openxmlformats.org/officeDocument/2006/relationships/hyperlink" Target="https://codesommet.com/services/seo-maroc" TargetMode="External" Id="rId398"/><Relationship Type="http://schemas.openxmlformats.org/officeDocument/2006/relationships/hyperlink" Target="https://codesommet.com/services/seo-maroc" TargetMode="External" Id="rId399"/><Relationship Type="http://schemas.openxmlformats.org/officeDocument/2006/relationships/hyperlink" Target="https://codesommet.com/services/seo-maroc" TargetMode="External" Id="rId400"/><Relationship Type="http://schemas.openxmlformats.org/officeDocument/2006/relationships/hyperlink" Target="https://codesommet.com/services/seo-maroc" TargetMode="External" Id="rId401"/><Relationship Type="http://schemas.openxmlformats.org/officeDocument/2006/relationships/hyperlink" Target="https://codesommet.com/web-development-company/worldwide" TargetMode="External" Id="rId402"/><Relationship Type="http://schemas.openxmlformats.org/officeDocument/2006/relationships/hyperlink" Target="https://codesommet.com/web-development-company/worldwide" TargetMode="External" Id="rId403"/><Relationship Type="http://schemas.openxmlformats.org/officeDocument/2006/relationships/hyperlink" Target="https://codesommet.com/web-development-company/worldwide" TargetMode="External" Id="rId404"/><Relationship Type="http://schemas.openxmlformats.org/officeDocument/2006/relationships/hyperlink" Target="https://codesommet.com/web-development-company/worldwide" TargetMode="External" Id="rId405"/><Relationship Type="http://schemas.openxmlformats.org/officeDocument/2006/relationships/hyperlink" Target="https://codesommet.com/web-development-company/worldwide" TargetMode="External" Id="rId406"/><Relationship Type="http://schemas.openxmlformats.org/officeDocument/2006/relationships/hyperlink" Target="https://codesommet.com/web-development-company/worldwide" TargetMode="External" Id="rId407"/><Relationship Type="http://schemas.openxmlformats.org/officeDocument/2006/relationships/hyperlink" Target="https://codesommet.com/web-development-company/worldwide" TargetMode="External" Id="rId408"/><Relationship Type="http://schemas.openxmlformats.org/officeDocument/2006/relationships/hyperlink" Target="https://codesommet.com/web-development-company/worldwide" TargetMode="External" Id="rId409"/><Relationship Type="http://schemas.openxmlformats.org/officeDocument/2006/relationships/hyperlink" Target="https://codesommet.com/web-development-company/casablanca" TargetMode="External" Id="rId410"/><Relationship Type="http://schemas.openxmlformats.org/officeDocument/2006/relationships/hyperlink" Target="https://codesommet.com/web-development-company/casablanca" TargetMode="External" Id="rId411"/><Relationship Type="http://schemas.openxmlformats.org/officeDocument/2006/relationships/hyperlink" Target="https://codesommet.com/web-development-company/casablanca" TargetMode="External" Id="rId412"/><Relationship Type="http://schemas.openxmlformats.org/officeDocument/2006/relationships/hyperlink" Target="https://codesommet.com/web-development-company/casablanca" TargetMode="External" Id="rId413"/><Relationship Type="http://schemas.openxmlformats.org/officeDocument/2006/relationships/hyperlink" Target="https://codesommet.com/web-development-company/casablanca" TargetMode="External" Id="rId414"/><Relationship Type="http://schemas.openxmlformats.org/officeDocument/2006/relationships/hyperlink" Target="https://codesommet.com/web-development-company/casablanca" TargetMode="External" Id="rId415"/><Relationship Type="http://schemas.openxmlformats.org/officeDocument/2006/relationships/hyperlink" Target="https://codesommet.com/web-development-company/casablanca" TargetMode="External" Id="rId416"/><Relationship Type="http://schemas.openxmlformats.org/officeDocument/2006/relationships/hyperlink" Target="https://codesommet.com/web-development-company/casablanca" TargetMode="External" Id="rId417"/><Relationship Type="http://schemas.openxmlformats.org/officeDocument/2006/relationships/hyperlink" Target="https://codesommet.com/web-development-company/casablanca" TargetMode="External" Id="rId418"/><Relationship Type="http://schemas.openxmlformats.org/officeDocument/2006/relationships/hyperlink" Target="https://codesommet.com/web-development-company/casablanca" TargetMode="External" Id="rId419"/><Relationship Type="http://schemas.openxmlformats.org/officeDocument/2006/relationships/hyperlink" Target="https://codesommet.com/web-development-company/casablanca" TargetMode="External" Id="rId420"/><Relationship Type="http://schemas.openxmlformats.org/officeDocument/2006/relationships/hyperlink" Target="https://codesommet.com/web-development-company/casablanca" TargetMode="External" Id="rId421"/><Relationship Type="http://schemas.openxmlformats.org/officeDocument/2006/relationships/hyperlink" Target="https://codesommet.com/web-development-company/casablanca" TargetMode="External" Id="rId422"/><Relationship Type="http://schemas.openxmlformats.org/officeDocument/2006/relationships/hyperlink" Target="https://codesommet.com/web-development-company/casablanca" TargetMode="External" Id="rId423"/><Relationship Type="http://schemas.openxmlformats.org/officeDocument/2006/relationships/hyperlink" Target="https://codesommet.com/web-development-company/casablanca" TargetMode="External" Id="rId424"/><Relationship Type="http://schemas.openxmlformats.org/officeDocument/2006/relationships/hyperlink" Target="https://codesommet.com/web-development-company/marrakech" TargetMode="External" Id="rId425"/><Relationship Type="http://schemas.openxmlformats.org/officeDocument/2006/relationships/hyperlink" Target="https://codesommet.com/web-development-company/marrakech" TargetMode="External" Id="rId426"/><Relationship Type="http://schemas.openxmlformats.org/officeDocument/2006/relationships/hyperlink" Target="https://codesommet.com/web-development-company/marrakech" TargetMode="External" Id="rId427"/><Relationship Type="http://schemas.openxmlformats.org/officeDocument/2006/relationships/hyperlink" Target="https://codesommet.com/web-development-company/marrakech" TargetMode="External" Id="rId428"/><Relationship Type="http://schemas.openxmlformats.org/officeDocument/2006/relationships/hyperlink" Target="https://codesommet.com/web-development-company/marrakech" TargetMode="External" Id="rId429"/><Relationship Type="http://schemas.openxmlformats.org/officeDocument/2006/relationships/hyperlink" Target="https://codesommet.com/web-development-company/marrakech" TargetMode="External" Id="rId430"/><Relationship Type="http://schemas.openxmlformats.org/officeDocument/2006/relationships/hyperlink" Target="https://codesommet.com/web-development-company/marrakech" TargetMode="External" Id="rId431"/><Relationship Type="http://schemas.openxmlformats.org/officeDocument/2006/relationships/hyperlink" Target="https://codesommet.com/web-development-company/marrakech" TargetMode="External" Id="rId432"/><Relationship Type="http://schemas.openxmlformats.org/officeDocument/2006/relationships/hyperlink" Target="https://codesommet.com/web-development-company/marrakech" TargetMode="External" Id="rId433"/><Relationship Type="http://schemas.openxmlformats.org/officeDocument/2006/relationships/hyperlink" Target="https://codesommet.com/web-development-company/marrakech" TargetMode="External" Id="rId434"/><Relationship Type="http://schemas.openxmlformats.org/officeDocument/2006/relationships/hyperlink" Target="https://codesommet.com/web-development-company/marrakech" TargetMode="External" Id="rId435"/><Relationship Type="http://schemas.openxmlformats.org/officeDocument/2006/relationships/hyperlink" Target="https://codesommet.com/web-development-company/marrakech" TargetMode="External" Id="rId436"/><Relationship Type="http://schemas.openxmlformats.org/officeDocument/2006/relationships/hyperlink" Target="https://codesommet.com/web-development-company/marrakech" TargetMode="External" Id="rId437"/><Relationship Type="http://schemas.openxmlformats.org/officeDocument/2006/relationships/hyperlink" Target="https://codesommet.com/web-development-company/marrakech" TargetMode="External" Id="rId438"/><Relationship Type="http://schemas.openxmlformats.org/officeDocument/2006/relationships/hyperlink" Target="https://codesommet.com/web-development-company/marrakech" TargetMode="External" Id="rId439"/><Relationship Type="http://schemas.openxmlformats.org/officeDocument/2006/relationships/hyperlink" Target="https://codesommet.com/web-development-company/rabat" TargetMode="External" Id="rId440"/><Relationship Type="http://schemas.openxmlformats.org/officeDocument/2006/relationships/hyperlink" Target="https://codesommet.com/web-development-company/rabat" TargetMode="External" Id="rId441"/><Relationship Type="http://schemas.openxmlformats.org/officeDocument/2006/relationships/hyperlink" Target="https://codesommet.com/web-development-company/rabat" TargetMode="External" Id="rId442"/><Relationship Type="http://schemas.openxmlformats.org/officeDocument/2006/relationships/hyperlink" Target="https://codesommet.com/web-development-company/rabat" TargetMode="External" Id="rId443"/><Relationship Type="http://schemas.openxmlformats.org/officeDocument/2006/relationships/hyperlink" Target="https://codesommet.com/web-development-company/rabat" TargetMode="External" Id="rId444"/><Relationship Type="http://schemas.openxmlformats.org/officeDocument/2006/relationships/hyperlink" Target="https://codesommet.com/web-development-company/rabat" TargetMode="External" Id="rId445"/><Relationship Type="http://schemas.openxmlformats.org/officeDocument/2006/relationships/hyperlink" Target="https://codesommet.com/web-development-company/rabat" TargetMode="External" Id="rId446"/><Relationship Type="http://schemas.openxmlformats.org/officeDocument/2006/relationships/hyperlink" Target="https://codesommet.com/web-development-company/rabat" TargetMode="External" Id="rId447"/><Relationship Type="http://schemas.openxmlformats.org/officeDocument/2006/relationships/hyperlink" Target="https://codesommet.com/web-development-company/rabat" TargetMode="External" Id="rId448"/><Relationship Type="http://schemas.openxmlformats.org/officeDocument/2006/relationships/hyperlink" Target="https://codesommet.com/web-development-company/rabat" TargetMode="External" Id="rId449"/><Relationship Type="http://schemas.openxmlformats.org/officeDocument/2006/relationships/hyperlink" Target="https://codesommet.com/web-development-company/rabat" TargetMode="External" Id="rId450"/><Relationship Type="http://schemas.openxmlformats.org/officeDocument/2006/relationships/hyperlink" Target="https://codesommet.com/web-development-company/rabat" TargetMode="External" Id="rId451"/><Relationship Type="http://schemas.openxmlformats.org/officeDocument/2006/relationships/hyperlink" Target="https://codesommet.com/web-development-company/rabat" TargetMode="External" Id="rId452"/><Relationship Type="http://schemas.openxmlformats.org/officeDocument/2006/relationships/hyperlink" Target="https://codesommet.com/web-development-company/rabat" TargetMode="External" Id="rId453"/><Relationship Type="http://schemas.openxmlformats.org/officeDocument/2006/relationships/hyperlink" Target="https://codesommet.com/web-development-company/rabat" TargetMode="External" Id="rId454"/><Relationship Type="http://schemas.openxmlformats.org/officeDocument/2006/relationships/hyperlink" Target="https://codesommet.com/web-development-company/tangier" TargetMode="External" Id="rId455"/><Relationship Type="http://schemas.openxmlformats.org/officeDocument/2006/relationships/hyperlink" Target="https://codesommet.com/web-development-company/tangier" TargetMode="External" Id="rId456"/><Relationship Type="http://schemas.openxmlformats.org/officeDocument/2006/relationships/hyperlink" Target="https://codesommet.com/web-development-company/tangier" TargetMode="External" Id="rId457"/><Relationship Type="http://schemas.openxmlformats.org/officeDocument/2006/relationships/hyperlink" Target="https://codesommet.com/web-development-company/tangier" TargetMode="External" Id="rId458"/><Relationship Type="http://schemas.openxmlformats.org/officeDocument/2006/relationships/hyperlink" Target="https://codesommet.com/web-development-company/tangier" TargetMode="External" Id="rId459"/><Relationship Type="http://schemas.openxmlformats.org/officeDocument/2006/relationships/hyperlink" Target="https://codesommet.com/web-development-company/tangier" TargetMode="External" Id="rId460"/><Relationship Type="http://schemas.openxmlformats.org/officeDocument/2006/relationships/hyperlink" Target="https://codesommet.com/web-development-company/tangier" TargetMode="External" Id="rId461"/><Relationship Type="http://schemas.openxmlformats.org/officeDocument/2006/relationships/hyperlink" Target="https://codesommet.com/web-development-company/tangier" TargetMode="External" Id="rId462"/><Relationship Type="http://schemas.openxmlformats.org/officeDocument/2006/relationships/hyperlink" Target="https://codesommet.com/web-development-company/tangier" TargetMode="External" Id="rId463"/><Relationship Type="http://schemas.openxmlformats.org/officeDocument/2006/relationships/hyperlink" Target="https://codesommet.com/web-development-company/tangier" TargetMode="External" Id="rId464"/><Relationship Type="http://schemas.openxmlformats.org/officeDocument/2006/relationships/hyperlink" Target="https://codesommet.com/web-development-company/tangier" TargetMode="External" Id="rId465"/><Relationship Type="http://schemas.openxmlformats.org/officeDocument/2006/relationships/hyperlink" Target="https://codesommet.com/web-development-company/tangier" TargetMode="External" Id="rId466"/><Relationship Type="http://schemas.openxmlformats.org/officeDocument/2006/relationships/hyperlink" Target="https://codesommet.com/web-development-company/tangier" TargetMode="External" Id="rId467"/><Relationship Type="http://schemas.openxmlformats.org/officeDocument/2006/relationships/hyperlink" Target="https://codesommet.com/web-development-company/tangier" TargetMode="External" Id="rId468"/><Relationship Type="http://schemas.openxmlformats.org/officeDocument/2006/relationships/hyperlink" Target="https://codesommet.com/web-development-company/tangier" TargetMode="External" Id="rId469"/><Relationship Type="http://schemas.openxmlformats.org/officeDocument/2006/relationships/hyperlink" Target="https://codesommet.com/web-development-company/agadir" TargetMode="External" Id="rId470"/><Relationship Type="http://schemas.openxmlformats.org/officeDocument/2006/relationships/hyperlink" Target="https://codesommet.com/web-development-company/agadir" TargetMode="External" Id="rId471"/><Relationship Type="http://schemas.openxmlformats.org/officeDocument/2006/relationships/hyperlink" Target="https://codesommet.com/web-development-company/agadir" TargetMode="External" Id="rId472"/><Relationship Type="http://schemas.openxmlformats.org/officeDocument/2006/relationships/hyperlink" Target="https://codesommet.com/web-development-company/agadir" TargetMode="External" Id="rId473"/><Relationship Type="http://schemas.openxmlformats.org/officeDocument/2006/relationships/hyperlink" Target="https://codesommet.com/web-development-company/agadir" TargetMode="External" Id="rId474"/><Relationship Type="http://schemas.openxmlformats.org/officeDocument/2006/relationships/hyperlink" Target="https://codesommet.com/web-development-company/agadir" TargetMode="External" Id="rId475"/><Relationship Type="http://schemas.openxmlformats.org/officeDocument/2006/relationships/hyperlink" Target="https://codesommet.com/web-development-company/agadir" TargetMode="External" Id="rId476"/><Relationship Type="http://schemas.openxmlformats.org/officeDocument/2006/relationships/hyperlink" Target="https://codesommet.com/web-development-company/agadir" TargetMode="External" Id="rId477"/><Relationship Type="http://schemas.openxmlformats.org/officeDocument/2006/relationships/hyperlink" Target="https://codesommet.com/web-development-company/agadir" TargetMode="External" Id="rId478"/><Relationship Type="http://schemas.openxmlformats.org/officeDocument/2006/relationships/hyperlink" Target="https://codesommet.com/web-development-company/agadir" TargetMode="External" Id="rId479"/><Relationship Type="http://schemas.openxmlformats.org/officeDocument/2006/relationships/hyperlink" Target="https://codesommet.com/web-development-company/agadir" TargetMode="External" Id="rId480"/><Relationship Type="http://schemas.openxmlformats.org/officeDocument/2006/relationships/hyperlink" Target="https://codesommet.com/web-development-company/agadir" TargetMode="External" Id="rId481"/><Relationship Type="http://schemas.openxmlformats.org/officeDocument/2006/relationships/hyperlink" Target="https://codesommet.com/web-development-company/agadir" TargetMode="External" Id="rId482"/><Relationship Type="http://schemas.openxmlformats.org/officeDocument/2006/relationships/hyperlink" Target="https://codesommet.com/web-development-company/agadir" TargetMode="External" Id="rId483"/><Relationship Type="http://schemas.openxmlformats.org/officeDocument/2006/relationships/hyperlink" Target="https://codesommet.com/web-development-company/agadir" TargetMode="External" Id="rId484"/><Relationship Type="http://schemas.openxmlformats.org/officeDocument/2006/relationships/hyperlink" Target="https://codesommet.com/web-development-company/dubai" TargetMode="External" Id="rId485"/><Relationship Type="http://schemas.openxmlformats.org/officeDocument/2006/relationships/hyperlink" Target="https://codesommet.com/web-development-company/dubai" TargetMode="External" Id="rId486"/><Relationship Type="http://schemas.openxmlformats.org/officeDocument/2006/relationships/hyperlink" Target="https://codesommet.com/web-development-company/dubai" TargetMode="External" Id="rId487"/><Relationship Type="http://schemas.openxmlformats.org/officeDocument/2006/relationships/hyperlink" Target="https://codesommet.com/web-development-company/dubai" TargetMode="External" Id="rId488"/><Relationship Type="http://schemas.openxmlformats.org/officeDocument/2006/relationships/hyperlink" Target="https://codesommet.com/web-development-company/dubai" TargetMode="External" Id="rId489"/><Relationship Type="http://schemas.openxmlformats.org/officeDocument/2006/relationships/hyperlink" Target="https://codesommet.com/web-development-company/dubai" TargetMode="External" Id="rId490"/><Relationship Type="http://schemas.openxmlformats.org/officeDocument/2006/relationships/hyperlink" Target="https://codesommet.com/web-development-company/dubai" TargetMode="External" Id="rId491"/><Relationship Type="http://schemas.openxmlformats.org/officeDocument/2006/relationships/hyperlink" Target="https://codesommet.com/web-development-company/dubai" TargetMode="External" Id="rId492"/><Relationship Type="http://schemas.openxmlformats.org/officeDocument/2006/relationships/hyperlink" Target="https://codesommet.com/web-development-company/dubai" TargetMode="External" Id="rId493"/><Relationship Type="http://schemas.openxmlformats.org/officeDocument/2006/relationships/hyperlink" Target="https://codesommet.com/web-development-company/dubai" TargetMode="External" Id="rId494"/><Relationship Type="http://schemas.openxmlformats.org/officeDocument/2006/relationships/hyperlink" Target="https://codesommet.com/web-development-company/dubai" TargetMode="External" Id="rId495"/><Relationship Type="http://schemas.openxmlformats.org/officeDocument/2006/relationships/hyperlink" Target="https://codesommet.com/web-development-company/dubai" TargetMode="External" Id="rId496"/><Relationship Type="http://schemas.openxmlformats.org/officeDocument/2006/relationships/hyperlink" Target="https://codesommet.com/web-development-company/dubai" TargetMode="External" Id="rId497"/><Relationship Type="http://schemas.openxmlformats.org/officeDocument/2006/relationships/hyperlink" Target="https://codesommet.com/web-development-company/dubai" TargetMode="External" Id="rId498"/><Relationship Type="http://schemas.openxmlformats.org/officeDocument/2006/relationships/hyperlink" Target="https://codesommet.com/web-development-company/dubai" TargetMode="External" Id="rId499"/><Relationship Type="http://schemas.openxmlformats.org/officeDocument/2006/relationships/hyperlink" Target="https://codesommet.com/web-development-company/abudhabi" TargetMode="External" Id="rId500"/><Relationship Type="http://schemas.openxmlformats.org/officeDocument/2006/relationships/hyperlink" Target="https://codesommet.com/web-development-company/abudhabi" TargetMode="External" Id="rId501"/><Relationship Type="http://schemas.openxmlformats.org/officeDocument/2006/relationships/hyperlink" Target="https://codesommet.com/web-development-company/abudhabi" TargetMode="External" Id="rId502"/><Relationship Type="http://schemas.openxmlformats.org/officeDocument/2006/relationships/hyperlink" Target="https://codesommet.com/web-development-company/abudhabi" TargetMode="External" Id="rId503"/><Relationship Type="http://schemas.openxmlformats.org/officeDocument/2006/relationships/hyperlink" Target="https://codesommet.com/web-development-company/abudhabi" TargetMode="External" Id="rId504"/><Relationship Type="http://schemas.openxmlformats.org/officeDocument/2006/relationships/hyperlink" Target="https://codesommet.com/web-development-company/abudhabi" TargetMode="External" Id="rId505"/><Relationship Type="http://schemas.openxmlformats.org/officeDocument/2006/relationships/hyperlink" Target="https://codesommet.com/web-development-company/abudhabi" TargetMode="External" Id="rId506"/><Relationship Type="http://schemas.openxmlformats.org/officeDocument/2006/relationships/hyperlink" Target="https://codesommet.com/web-development-company/abudhabi" TargetMode="External" Id="rId507"/><Relationship Type="http://schemas.openxmlformats.org/officeDocument/2006/relationships/hyperlink" Target="https://codesommet.com/web-development-company/abudhabi" TargetMode="External" Id="rId508"/><Relationship Type="http://schemas.openxmlformats.org/officeDocument/2006/relationships/hyperlink" Target="https://codesommet.com/web-development-company/abudhabi" TargetMode="External" Id="rId509"/><Relationship Type="http://schemas.openxmlformats.org/officeDocument/2006/relationships/hyperlink" Target="https://codesommet.com/web-development-company/abudhabi" TargetMode="External" Id="rId510"/><Relationship Type="http://schemas.openxmlformats.org/officeDocument/2006/relationships/hyperlink" Target="https://codesommet.com/web-development-company/abudhabi" TargetMode="External" Id="rId511"/><Relationship Type="http://schemas.openxmlformats.org/officeDocument/2006/relationships/hyperlink" Target="https://codesommet.com/web-development-company/abudhabi" TargetMode="External" Id="rId512"/><Relationship Type="http://schemas.openxmlformats.org/officeDocument/2006/relationships/hyperlink" Target="https://codesommet.com/web-development-company/abudhabi" TargetMode="External" Id="rId513"/><Relationship Type="http://schemas.openxmlformats.org/officeDocument/2006/relationships/hyperlink" Target="https://codesommet.com/web-development-company/abudhabi" TargetMode="External" Id="rId514"/><Relationship Type="http://schemas.openxmlformats.org/officeDocument/2006/relationships/hyperlink" Target="https://codesommet.com/web-development-company/riyadh" TargetMode="External" Id="rId515"/><Relationship Type="http://schemas.openxmlformats.org/officeDocument/2006/relationships/hyperlink" Target="https://codesommet.com/web-development-company/riyadh" TargetMode="External" Id="rId516"/><Relationship Type="http://schemas.openxmlformats.org/officeDocument/2006/relationships/hyperlink" Target="https://codesommet.com/web-development-company/riyadh" TargetMode="External" Id="rId517"/><Relationship Type="http://schemas.openxmlformats.org/officeDocument/2006/relationships/hyperlink" Target="https://codesommet.com/web-development-company/riyadh" TargetMode="External" Id="rId518"/><Relationship Type="http://schemas.openxmlformats.org/officeDocument/2006/relationships/hyperlink" Target="https://codesommet.com/web-development-company/riyadh" TargetMode="External" Id="rId519"/><Relationship Type="http://schemas.openxmlformats.org/officeDocument/2006/relationships/hyperlink" Target="https://codesommet.com/web-development-company/riyadh" TargetMode="External" Id="rId520"/><Relationship Type="http://schemas.openxmlformats.org/officeDocument/2006/relationships/hyperlink" Target="https://codesommet.com/web-development-company/riyadh" TargetMode="External" Id="rId521"/><Relationship Type="http://schemas.openxmlformats.org/officeDocument/2006/relationships/hyperlink" Target="https://codesommet.com/web-development-company/riyadh" TargetMode="External" Id="rId522"/><Relationship Type="http://schemas.openxmlformats.org/officeDocument/2006/relationships/hyperlink" Target="https://codesommet.com/web-development-company/riyadh" TargetMode="External" Id="rId523"/><Relationship Type="http://schemas.openxmlformats.org/officeDocument/2006/relationships/hyperlink" Target="https://codesommet.com/web-development-company/riyadh" TargetMode="External" Id="rId524"/><Relationship Type="http://schemas.openxmlformats.org/officeDocument/2006/relationships/hyperlink" Target="https://codesommet.com/web-development-company/riyadh" TargetMode="External" Id="rId525"/><Relationship Type="http://schemas.openxmlformats.org/officeDocument/2006/relationships/hyperlink" Target="https://codesommet.com/web-development-company/riyadh" TargetMode="External" Id="rId526"/><Relationship Type="http://schemas.openxmlformats.org/officeDocument/2006/relationships/hyperlink" Target="https://codesommet.com/web-development-company/riyadh" TargetMode="External" Id="rId527"/><Relationship Type="http://schemas.openxmlformats.org/officeDocument/2006/relationships/hyperlink" Target="https://codesommet.com/web-development-company/riyadh" TargetMode="External" Id="rId528"/><Relationship Type="http://schemas.openxmlformats.org/officeDocument/2006/relationships/hyperlink" Target="https://codesommet.com/web-development-company/riyadh" TargetMode="External" Id="rId529"/><Relationship Type="http://schemas.openxmlformats.org/officeDocument/2006/relationships/hyperlink" Target="https://codesommet.com/web-development-company/london" TargetMode="External" Id="rId530"/><Relationship Type="http://schemas.openxmlformats.org/officeDocument/2006/relationships/hyperlink" Target="https://codesommet.com/web-development-company/london" TargetMode="External" Id="rId531"/><Relationship Type="http://schemas.openxmlformats.org/officeDocument/2006/relationships/hyperlink" Target="https://codesommet.com/web-development-company/london" TargetMode="External" Id="rId532"/><Relationship Type="http://schemas.openxmlformats.org/officeDocument/2006/relationships/hyperlink" Target="https://codesommet.com/web-development-company/london" TargetMode="External" Id="rId533"/><Relationship Type="http://schemas.openxmlformats.org/officeDocument/2006/relationships/hyperlink" Target="https://codesommet.com/web-development-company/london" TargetMode="External" Id="rId534"/><Relationship Type="http://schemas.openxmlformats.org/officeDocument/2006/relationships/hyperlink" Target="https://codesommet.com/web-development-company/london" TargetMode="External" Id="rId535"/><Relationship Type="http://schemas.openxmlformats.org/officeDocument/2006/relationships/hyperlink" Target="https://codesommet.com/web-development-company/london" TargetMode="External" Id="rId536"/><Relationship Type="http://schemas.openxmlformats.org/officeDocument/2006/relationships/hyperlink" Target="https://codesommet.com/web-development-company/london" TargetMode="External" Id="rId537"/><Relationship Type="http://schemas.openxmlformats.org/officeDocument/2006/relationships/hyperlink" Target="https://codesommet.com/web-development-company/london" TargetMode="External" Id="rId538"/><Relationship Type="http://schemas.openxmlformats.org/officeDocument/2006/relationships/hyperlink" Target="https://codesommet.com/web-development-company/london" TargetMode="External" Id="rId539"/><Relationship Type="http://schemas.openxmlformats.org/officeDocument/2006/relationships/hyperlink" Target="https://codesommet.com/web-development-company/london" TargetMode="External" Id="rId540"/><Relationship Type="http://schemas.openxmlformats.org/officeDocument/2006/relationships/hyperlink" Target="https://codesommet.com/web-development-company/london" TargetMode="External" Id="rId541"/><Relationship Type="http://schemas.openxmlformats.org/officeDocument/2006/relationships/hyperlink" Target="https://codesommet.com/web-development-company/london" TargetMode="External" Id="rId542"/><Relationship Type="http://schemas.openxmlformats.org/officeDocument/2006/relationships/hyperlink" Target="https://codesommet.com/web-development-company/london" TargetMode="External" Id="rId543"/><Relationship Type="http://schemas.openxmlformats.org/officeDocument/2006/relationships/hyperlink" Target="https://codesommet.com/web-development-company/london" TargetMode="External" Id="rId544"/><Relationship Type="http://schemas.openxmlformats.org/officeDocument/2006/relationships/hyperlink" Target="https://codesommet.com/web-development-company/amsterdam" TargetMode="External" Id="rId545"/><Relationship Type="http://schemas.openxmlformats.org/officeDocument/2006/relationships/hyperlink" Target="https://codesommet.com/web-development-company/amsterdam" TargetMode="External" Id="rId546"/><Relationship Type="http://schemas.openxmlformats.org/officeDocument/2006/relationships/hyperlink" Target="https://codesommet.com/web-development-company/amsterdam" TargetMode="External" Id="rId547"/><Relationship Type="http://schemas.openxmlformats.org/officeDocument/2006/relationships/hyperlink" Target="https://codesommet.com/web-development-company/amsterdam" TargetMode="External" Id="rId548"/><Relationship Type="http://schemas.openxmlformats.org/officeDocument/2006/relationships/hyperlink" Target="https://codesommet.com/web-development-company/amsterdam" TargetMode="External" Id="rId549"/><Relationship Type="http://schemas.openxmlformats.org/officeDocument/2006/relationships/hyperlink" Target="https://codesommet.com/web-development-company/amsterdam" TargetMode="External" Id="rId550"/><Relationship Type="http://schemas.openxmlformats.org/officeDocument/2006/relationships/hyperlink" Target="https://codesommet.com/web-development-company/amsterdam" TargetMode="External" Id="rId551"/><Relationship Type="http://schemas.openxmlformats.org/officeDocument/2006/relationships/hyperlink" Target="https://codesommet.com/web-development-company/amsterdam" TargetMode="External" Id="rId552"/><Relationship Type="http://schemas.openxmlformats.org/officeDocument/2006/relationships/hyperlink" Target="https://codesommet.com/web-development-company/amsterdam" TargetMode="External" Id="rId553"/><Relationship Type="http://schemas.openxmlformats.org/officeDocument/2006/relationships/hyperlink" Target="https://codesommet.com/web-development-company/amsterdam" TargetMode="External" Id="rId554"/><Relationship Type="http://schemas.openxmlformats.org/officeDocument/2006/relationships/hyperlink" Target="https://codesommet.com/web-development-company/amsterdam" TargetMode="External" Id="rId555"/><Relationship Type="http://schemas.openxmlformats.org/officeDocument/2006/relationships/hyperlink" Target="https://codesommet.com/web-development-company/amsterdam" TargetMode="External" Id="rId556"/><Relationship Type="http://schemas.openxmlformats.org/officeDocument/2006/relationships/hyperlink" Target="https://codesommet.com/web-development-company/amsterdam" TargetMode="External" Id="rId557"/><Relationship Type="http://schemas.openxmlformats.org/officeDocument/2006/relationships/hyperlink" Target="https://codesommet.com/web-development-company/amsterdam" TargetMode="External" Id="rId558"/><Relationship Type="http://schemas.openxmlformats.org/officeDocument/2006/relationships/hyperlink" Target="https://codesommet.com/web-development-company/amsterdam" TargetMode="External" Id="rId559"/><Relationship Type="http://schemas.openxmlformats.org/officeDocument/2006/relationships/hyperlink" Target="https://codesommet.com/web-development-company/berlin" TargetMode="External" Id="rId560"/><Relationship Type="http://schemas.openxmlformats.org/officeDocument/2006/relationships/hyperlink" Target="https://codesommet.com/web-development-company/berlin" TargetMode="External" Id="rId561"/><Relationship Type="http://schemas.openxmlformats.org/officeDocument/2006/relationships/hyperlink" Target="https://codesommet.com/web-development-company/berlin" TargetMode="External" Id="rId562"/><Relationship Type="http://schemas.openxmlformats.org/officeDocument/2006/relationships/hyperlink" Target="https://codesommet.com/web-development-company/berlin" TargetMode="External" Id="rId563"/><Relationship Type="http://schemas.openxmlformats.org/officeDocument/2006/relationships/hyperlink" Target="https://codesommet.com/web-development-company/berlin" TargetMode="External" Id="rId564"/><Relationship Type="http://schemas.openxmlformats.org/officeDocument/2006/relationships/hyperlink" Target="https://codesommet.com/web-development-company/berlin" TargetMode="External" Id="rId565"/><Relationship Type="http://schemas.openxmlformats.org/officeDocument/2006/relationships/hyperlink" Target="https://codesommet.com/web-development-company/berlin" TargetMode="External" Id="rId566"/><Relationship Type="http://schemas.openxmlformats.org/officeDocument/2006/relationships/hyperlink" Target="https://codesommet.com/web-development-company/berlin" TargetMode="External" Id="rId567"/><Relationship Type="http://schemas.openxmlformats.org/officeDocument/2006/relationships/hyperlink" Target="https://codesommet.com/web-development-company/berlin" TargetMode="External" Id="rId568"/><Relationship Type="http://schemas.openxmlformats.org/officeDocument/2006/relationships/hyperlink" Target="https://codesommet.com/web-development-company/berlin" TargetMode="External" Id="rId569"/><Relationship Type="http://schemas.openxmlformats.org/officeDocument/2006/relationships/hyperlink" Target="https://codesommet.com/web-development-company/berlin" TargetMode="External" Id="rId570"/><Relationship Type="http://schemas.openxmlformats.org/officeDocument/2006/relationships/hyperlink" Target="https://codesommet.com/web-development-company/berlin" TargetMode="External" Id="rId571"/><Relationship Type="http://schemas.openxmlformats.org/officeDocument/2006/relationships/hyperlink" Target="https://codesommet.com/web-development-company/berlin" TargetMode="External" Id="rId572"/><Relationship Type="http://schemas.openxmlformats.org/officeDocument/2006/relationships/hyperlink" Target="https://codesommet.com/web-development-company/berlin" TargetMode="External" Id="rId573"/><Relationship Type="http://schemas.openxmlformats.org/officeDocument/2006/relationships/hyperlink" Target="https://codesommet.com/web-development-company/berlin" TargetMode="External" Id="rId574"/><Relationship Type="http://schemas.openxmlformats.org/officeDocument/2006/relationships/hyperlink" Target="https://codesommet.com/web-development-company/paris" TargetMode="External" Id="rId575"/><Relationship Type="http://schemas.openxmlformats.org/officeDocument/2006/relationships/hyperlink" Target="https://codesommet.com/web-development-company/paris" TargetMode="External" Id="rId576"/><Relationship Type="http://schemas.openxmlformats.org/officeDocument/2006/relationships/hyperlink" Target="https://codesommet.com/web-development-company/paris" TargetMode="External" Id="rId577"/><Relationship Type="http://schemas.openxmlformats.org/officeDocument/2006/relationships/hyperlink" Target="https://codesommet.com/web-development-company/paris" TargetMode="External" Id="rId578"/><Relationship Type="http://schemas.openxmlformats.org/officeDocument/2006/relationships/hyperlink" Target="https://codesommet.com/web-development-company/paris" TargetMode="External" Id="rId579"/><Relationship Type="http://schemas.openxmlformats.org/officeDocument/2006/relationships/hyperlink" Target="https://codesommet.com/web-development-company/paris" TargetMode="External" Id="rId580"/><Relationship Type="http://schemas.openxmlformats.org/officeDocument/2006/relationships/hyperlink" Target="https://codesommet.com/web-development-company/paris" TargetMode="External" Id="rId581"/><Relationship Type="http://schemas.openxmlformats.org/officeDocument/2006/relationships/hyperlink" Target="https://codesommet.com/web-development-company/paris" TargetMode="External" Id="rId582"/><Relationship Type="http://schemas.openxmlformats.org/officeDocument/2006/relationships/hyperlink" Target="https://codesommet.com/web-development-company/paris" TargetMode="External" Id="rId583"/><Relationship Type="http://schemas.openxmlformats.org/officeDocument/2006/relationships/hyperlink" Target="https://codesommet.com/web-development-company/paris" TargetMode="External" Id="rId584"/><Relationship Type="http://schemas.openxmlformats.org/officeDocument/2006/relationships/hyperlink" Target="https://codesommet.com/web-development-company/paris" TargetMode="External" Id="rId585"/><Relationship Type="http://schemas.openxmlformats.org/officeDocument/2006/relationships/hyperlink" Target="https://codesommet.com/web-development-company/paris" TargetMode="External" Id="rId586"/><Relationship Type="http://schemas.openxmlformats.org/officeDocument/2006/relationships/hyperlink" Target="https://codesommet.com/web-development-company/paris" TargetMode="External" Id="rId587"/><Relationship Type="http://schemas.openxmlformats.org/officeDocument/2006/relationships/hyperlink" Target="https://codesommet.com/web-development-company/paris" TargetMode="External" Id="rId588"/><Relationship Type="http://schemas.openxmlformats.org/officeDocument/2006/relationships/hyperlink" Target="https://codesommet.com/web-development-company/paris" TargetMode="External" Id="rId589"/><Relationship Type="http://schemas.openxmlformats.org/officeDocument/2006/relationships/hyperlink" Target="https://codesommet.com/web-development-company/copenhagen" TargetMode="External" Id="rId590"/><Relationship Type="http://schemas.openxmlformats.org/officeDocument/2006/relationships/hyperlink" Target="https://codesommet.com/web-development-company/copenhagen" TargetMode="External" Id="rId591"/><Relationship Type="http://schemas.openxmlformats.org/officeDocument/2006/relationships/hyperlink" Target="https://codesommet.com/web-development-company/copenhagen" TargetMode="External" Id="rId592"/><Relationship Type="http://schemas.openxmlformats.org/officeDocument/2006/relationships/hyperlink" Target="https://codesommet.com/web-development-company/copenhagen" TargetMode="External" Id="rId593"/><Relationship Type="http://schemas.openxmlformats.org/officeDocument/2006/relationships/hyperlink" Target="https://codesommet.com/web-development-company/copenhagen" TargetMode="External" Id="rId594"/><Relationship Type="http://schemas.openxmlformats.org/officeDocument/2006/relationships/hyperlink" Target="https://codesommet.com/web-development-company/copenhagen" TargetMode="External" Id="rId595"/><Relationship Type="http://schemas.openxmlformats.org/officeDocument/2006/relationships/hyperlink" Target="https://codesommet.com/web-development-company/copenhagen" TargetMode="External" Id="rId596"/><Relationship Type="http://schemas.openxmlformats.org/officeDocument/2006/relationships/hyperlink" Target="https://codesommet.com/web-development-company/copenhagen" TargetMode="External" Id="rId597"/><Relationship Type="http://schemas.openxmlformats.org/officeDocument/2006/relationships/hyperlink" Target="https://codesommet.com/web-development-company/copenhagen" TargetMode="External" Id="rId598"/><Relationship Type="http://schemas.openxmlformats.org/officeDocument/2006/relationships/hyperlink" Target="https://codesommet.com/web-development-company/copenhagen" TargetMode="External" Id="rId599"/><Relationship Type="http://schemas.openxmlformats.org/officeDocument/2006/relationships/hyperlink" Target="https://codesommet.com/web-development-company/copenhagen" TargetMode="External" Id="rId600"/><Relationship Type="http://schemas.openxmlformats.org/officeDocument/2006/relationships/hyperlink" Target="https://codesommet.com/web-development-company/copenhagen" TargetMode="External" Id="rId601"/><Relationship Type="http://schemas.openxmlformats.org/officeDocument/2006/relationships/hyperlink" Target="https://codesommet.com/web-development-company/copenhagen" TargetMode="External" Id="rId602"/><Relationship Type="http://schemas.openxmlformats.org/officeDocument/2006/relationships/hyperlink" Target="https://codesommet.com/web-development-company/copenhagen" TargetMode="External" Id="rId603"/><Relationship Type="http://schemas.openxmlformats.org/officeDocument/2006/relationships/hyperlink" Target="https://codesommet.com/web-development-company/copenhagen" TargetMode="External" Id="rId604"/><Relationship Type="http://schemas.openxmlformats.org/officeDocument/2006/relationships/hyperlink" Target="https://codesommet.com/web-development-company/dublin" TargetMode="External" Id="rId605"/><Relationship Type="http://schemas.openxmlformats.org/officeDocument/2006/relationships/hyperlink" Target="https://codesommet.com/web-development-company/dublin" TargetMode="External" Id="rId606"/><Relationship Type="http://schemas.openxmlformats.org/officeDocument/2006/relationships/hyperlink" Target="https://codesommet.com/web-development-company/dublin" TargetMode="External" Id="rId607"/><Relationship Type="http://schemas.openxmlformats.org/officeDocument/2006/relationships/hyperlink" Target="https://codesommet.com/web-development-company/dublin" TargetMode="External" Id="rId608"/><Relationship Type="http://schemas.openxmlformats.org/officeDocument/2006/relationships/hyperlink" Target="https://codesommet.com/web-development-company/dublin" TargetMode="External" Id="rId609"/><Relationship Type="http://schemas.openxmlformats.org/officeDocument/2006/relationships/hyperlink" Target="https://codesommet.com/web-development-company/dublin" TargetMode="External" Id="rId610"/><Relationship Type="http://schemas.openxmlformats.org/officeDocument/2006/relationships/hyperlink" Target="https://codesommet.com/web-development-company/dublin" TargetMode="External" Id="rId611"/><Relationship Type="http://schemas.openxmlformats.org/officeDocument/2006/relationships/hyperlink" Target="https://codesommet.com/web-development-company/dublin" TargetMode="External" Id="rId612"/><Relationship Type="http://schemas.openxmlformats.org/officeDocument/2006/relationships/hyperlink" Target="https://codesommet.com/web-development-company/dublin" TargetMode="External" Id="rId613"/><Relationship Type="http://schemas.openxmlformats.org/officeDocument/2006/relationships/hyperlink" Target="https://codesommet.com/web-development-company/dublin" TargetMode="External" Id="rId614"/><Relationship Type="http://schemas.openxmlformats.org/officeDocument/2006/relationships/hyperlink" Target="https://codesommet.com/web-development-company/dublin" TargetMode="External" Id="rId615"/><Relationship Type="http://schemas.openxmlformats.org/officeDocument/2006/relationships/hyperlink" Target="https://codesommet.com/web-development-company/dublin" TargetMode="External" Id="rId616"/><Relationship Type="http://schemas.openxmlformats.org/officeDocument/2006/relationships/hyperlink" Target="https://codesommet.com/web-development-company/dublin" TargetMode="External" Id="rId617"/><Relationship Type="http://schemas.openxmlformats.org/officeDocument/2006/relationships/hyperlink" Target="https://codesommet.com/web-development-company/dublin" TargetMode="External" Id="rId618"/><Relationship Type="http://schemas.openxmlformats.org/officeDocument/2006/relationships/hyperlink" Target="https://codesommet.com/web-development-company/dublin" TargetMode="External" Id="rId619"/><Relationship Type="http://schemas.openxmlformats.org/officeDocument/2006/relationships/hyperlink" Target="https://codesommet.com/web-development-company/brussels" TargetMode="External" Id="rId620"/><Relationship Type="http://schemas.openxmlformats.org/officeDocument/2006/relationships/hyperlink" Target="https://codesommet.com/web-development-company/brussels" TargetMode="External" Id="rId621"/><Relationship Type="http://schemas.openxmlformats.org/officeDocument/2006/relationships/hyperlink" Target="https://codesommet.com/web-development-company/brussels" TargetMode="External" Id="rId622"/><Relationship Type="http://schemas.openxmlformats.org/officeDocument/2006/relationships/hyperlink" Target="https://codesommet.com/web-development-company/brussels" TargetMode="External" Id="rId623"/><Relationship Type="http://schemas.openxmlformats.org/officeDocument/2006/relationships/hyperlink" Target="https://codesommet.com/web-development-company/brussels" TargetMode="External" Id="rId624"/><Relationship Type="http://schemas.openxmlformats.org/officeDocument/2006/relationships/hyperlink" Target="https://codesommet.com/web-development-company/brussels" TargetMode="External" Id="rId625"/><Relationship Type="http://schemas.openxmlformats.org/officeDocument/2006/relationships/hyperlink" Target="https://codesommet.com/web-development-company/brussels" TargetMode="External" Id="rId626"/><Relationship Type="http://schemas.openxmlformats.org/officeDocument/2006/relationships/hyperlink" Target="https://codesommet.com/web-development-company/brussels" TargetMode="External" Id="rId627"/><Relationship Type="http://schemas.openxmlformats.org/officeDocument/2006/relationships/hyperlink" Target="https://codesommet.com/web-development-company/brussels" TargetMode="External" Id="rId628"/><Relationship Type="http://schemas.openxmlformats.org/officeDocument/2006/relationships/hyperlink" Target="https://codesommet.com/web-development-company/brussels" TargetMode="External" Id="rId629"/><Relationship Type="http://schemas.openxmlformats.org/officeDocument/2006/relationships/hyperlink" Target="https://codesommet.com/web-development-company/brussels" TargetMode="External" Id="rId630"/><Relationship Type="http://schemas.openxmlformats.org/officeDocument/2006/relationships/hyperlink" Target="https://codesommet.com/web-development-company/brussels" TargetMode="External" Id="rId631"/><Relationship Type="http://schemas.openxmlformats.org/officeDocument/2006/relationships/hyperlink" Target="https://codesommet.com/web-development-company/brussels" TargetMode="External" Id="rId632"/><Relationship Type="http://schemas.openxmlformats.org/officeDocument/2006/relationships/hyperlink" Target="https://codesommet.com/web-development-company/brussels" TargetMode="External" Id="rId633"/><Relationship Type="http://schemas.openxmlformats.org/officeDocument/2006/relationships/hyperlink" Target="https://codesommet.com/web-development-company/brussels" TargetMode="External" Id="rId634"/><Relationship Type="http://schemas.openxmlformats.org/officeDocument/2006/relationships/hyperlink" Target="https://codesommet.com/web-development-company/zurich" TargetMode="External" Id="rId635"/><Relationship Type="http://schemas.openxmlformats.org/officeDocument/2006/relationships/hyperlink" Target="https://codesommet.com/web-development-company/zurich" TargetMode="External" Id="rId636"/><Relationship Type="http://schemas.openxmlformats.org/officeDocument/2006/relationships/hyperlink" Target="https://codesommet.com/web-development-company/zurich" TargetMode="External" Id="rId637"/><Relationship Type="http://schemas.openxmlformats.org/officeDocument/2006/relationships/hyperlink" Target="https://codesommet.com/web-development-company/zurich" TargetMode="External" Id="rId638"/><Relationship Type="http://schemas.openxmlformats.org/officeDocument/2006/relationships/hyperlink" Target="https://codesommet.com/web-development-company/zurich" TargetMode="External" Id="rId639"/><Relationship Type="http://schemas.openxmlformats.org/officeDocument/2006/relationships/hyperlink" Target="https://codesommet.com/web-development-company/zurich" TargetMode="External" Id="rId640"/><Relationship Type="http://schemas.openxmlformats.org/officeDocument/2006/relationships/hyperlink" Target="https://codesommet.com/web-development-company/zurich" TargetMode="External" Id="rId641"/><Relationship Type="http://schemas.openxmlformats.org/officeDocument/2006/relationships/hyperlink" Target="https://codesommet.com/web-development-company/zurich" TargetMode="External" Id="rId642"/><Relationship Type="http://schemas.openxmlformats.org/officeDocument/2006/relationships/hyperlink" Target="https://codesommet.com/web-development-company/zurich" TargetMode="External" Id="rId643"/><Relationship Type="http://schemas.openxmlformats.org/officeDocument/2006/relationships/hyperlink" Target="https://codesommet.com/web-development-company/zurich" TargetMode="External" Id="rId644"/><Relationship Type="http://schemas.openxmlformats.org/officeDocument/2006/relationships/hyperlink" Target="https://codesommet.com/web-development-company/zurich" TargetMode="External" Id="rId645"/><Relationship Type="http://schemas.openxmlformats.org/officeDocument/2006/relationships/hyperlink" Target="https://codesommet.com/web-development-company/zurich" TargetMode="External" Id="rId646"/><Relationship Type="http://schemas.openxmlformats.org/officeDocument/2006/relationships/hyperlink" Target="https://codesommet.com/web-development-company/zurich" TargetMode="External" Id="rId647"/><Relationship Type="http://schemas.openxmlformats.org/officeDocument/2006/relationships/hyperlink" Target="https://codesommet.com/web-development-company/zurich" TargetMode="External" Id="rId648"/><Relationship Type="http://schemas.openxmlformats.org/officeDocument/2006/relationships/hyperlink" Target="https://codesommet.com/web-development-company/zurich" TargetMode="External" Id="rId649"/><Relationship Type="http://schemas.openxmlformats.org/officeDocument/2006/relationships/hyperlink" Target="https://codesommet.com/web-development-company/stockholm" TargetMode="External" Id="rId650"/><Relationship Type="http://schemas.openxmlformats.org/officeDocument/2006/relationships/hyperlink" Target="https://codesommet.com/web-development-company/stockholm" TargetMode="External" Id="rId651"/><Relationship Type="http://schemas.openxmlformats.org/officeDocument/2006/relationships/hyperlink" Target="https://codesommet.com/web-development-company/stockholm" TargetMode="External" Id="rId652"/><Relationship Type="http://schemas.openxmlformats.org/officeDocument/2006/relationships/hyperlink" Target="https://codesommet.com/web-development-company/stockholm" TargetMode="External" Id="rId653"/><Relationship Type="http://schemas.openxmlformats.org/officeDocument/2006/relationships/hyperlink" Target="https://codesommet.com/web-development-company/stockholm" TargetMode="External" Id="rId654"/><Relationship Type="http://schemas.openxmlformats.org/officeDocument/2006/relationships/hyperlink" Target="https://codesommet.com/web-development-company/stockholm" TargetMode="External" Id="rId655"/><Relationship Type="http://schemas.openxmlformats.org/officeDocument/2006/relationships/hyperlink" Target="https://codesommet.com/web-development-company/stockholm" TargetMode="External" Id="rId656"/><Relationship Type="http://schemas.openxmlformats.org/officeDocument/2006/relationships/hyperlink" Target="https://codesommet.com/web-development-company/stockholm" TargetMode="External" Id="rId657"/><Relationship Type="http://schemas.openxmlformats.org/officeDocument/2006/relationships/hyperlink" Target="https://codesommet.com/web-development-company/stockholm" TargetMode="External" Id="rId658"/><Relationship Type="http://schemas.openxmlformats.org/officeDocument/2006/relationships/hyperlink" Target="https://codesommet.com/web-development-company/stockholm" TargetMode="External" Id="rId659"/><Relationship Type="http://schemas.openxmlformats.org/officeDocument/2006/relationships/hyperlink" Target="https://codesommet.com/web-development-company/stockholm" TargetMode="External" Id="rId660"/><Relationship Type="http://schemas.openxmlformats.org/officeDocument/2006/relationships/hyperlink" Target="https://codesommet.com/web-development-company/stockholm" TargetMode="External" Id="rId661"/><Relationship Type="http://schemas.openxmlformats.org/officeDocument/2006/relationships/hyperlink" Target="https://codesommet.com/web-development-company/stockholm" TargetMode="External" Id="rId662"/><Relationship Type="http://schemas.openxmlformats.org/officeDocument/2006/relationships/hyperlink" Target="https://codesommet.com/web-development-company/stockholm" TargetMode="External" Id="rId663"/><Relationship Type="http://schemas.openxmlformats.org/officeDocument/2006/relationships/hyperlink" Target="https://codesommet.com/web-development-company/stockholm" TargetMode="External" Id="rId664"/><Relationship Type="http://schemas.openxmlformats.org/officeDocument/2006/relationships/hyperlink" Target="https://codesommet.com/web-development-company/madrid" TargetMode="External" Id="rId665"/><Relationship Type="http://schemas.openxmlformats.org/officeDocument/2006/relationships/hyperlink" Target="https://codesommet.com/web-development-company/madrid" TargetMode="External" Id="rId666"/><Relationship Type="http://schemas.openxmlformats.org/officeDocument/2006/relationships/hyperlink" Target="https://codesommet.com/web-development-company/madrid" TargetMode="External" Id="rId667"/><Relationship Type="http://schemas.openxmlformats.org/officeDocument/2006/relationships/hyperlink" Target="https://codesommet.com/web-development-company/madrid" TargetMode="External" Id="rId668"/><Relationship Type="http://schemas.openxmlformats.org/officeDocument/2006/relationships/hyperlink" Target="https://codesommet.com/web-development-company/madrid" TargetMode="External" Id="rId669"/><Relationship Type="http://schemas.openxmlformats.org/officeDocument/2006/relationships/hyperlink" Target="https://codesommet.com/web-development-company/madrid" TargetMode="External" Id="rId670"/><Relationship Type="http://schemas.openxmlformats.org/officeDocument/2006/relationships/hyperlink" Target="https://codesommet.com/web-development-company/madrid" TargetMode="External" Id="rId671"/><Relationship Type="http://schemas.openxmlformats.org/officeDocument/2006/relationships/hyperlink" Target="https://codesommet.com/web-development-company/madrid" TargetMode="External" Id="rId672"/><Relationship Type="http://schemas.openxmlformats.org/officeDocument/2006/relationships/hyperlink" Target="https://codesommet.com/web-development-company/madrid" TargetMode="External" Id="rId673"/><Relationship Type="http://schemas.openxmlformats.org/officeDocument/2006/relationships/hyperlink" Target="https://codesommet.com/web-development-company/madrid" TargetMode="External" Id="rId674"/><Relationship Type="http://schemas.openxmlformats.org/officeDocument/2006/relationships/hyperlink" Target="https://codesommet.com/web-development-company/madrid" TargetMode="External" Id="rId675"/><Relationship Type="http://schemas.openxmlformats.org/officeDocument/2006/relationships/hyperlink" Target="https://codesommet.com/web-development-company/madrid" TargetMode="External" Id="rId676"/><Relationship Type="http://schemas.openxmlformats.org/officeDocument/2006/relationships/hyperlink" Target="https://codesommet.com/web-development-company/madrid" TargetMode="External" Id="rId677"/><Relationship Type="http://schemas.openxmlformats.org/officeDocument/2006/relationships/hyperlink" Target="https://codesommet.com/web-development-company/madrid" TargetMode="External" Id="rId678"/><Relationship Type="http://schemas.openxmlformats.org/officeDocument/2006/relationships/hyperlink" Target="https://codesommet.com/web-development-company/madrid" TargetMode="External" Id="rId679"/><Relationship Type="http://schemas.openxmlformats.org/officeDocument/2006/relationships/hyperlink" Target="https://codesommet.com/web-development-company/barcelona" TargetMode="External" Id="rId680"/><Relationship Type="http://schemas.openxmlformats.org/officeDocument/2006/relationships/hyperlink" Target="https://codesommet.com/web-development-company/barcelona" TargetMode="External" Id="rId681"/><Relationship Type="http://schemas.openxmlformats.org/officeDocument/2006/relationships/hyperlink" Target="https://codesommet.com/web-development-company/barcelona" TargetMode="External" Id="rId682"/><Relationship Type="http://schemas.openxmlformats.org/officeDocument/2006/relationships/hyperlink" Target="https://codesommet.com/web-development-company/barcelona" TargetMode="External" Id="rId683"/><Relationship Type="http://schemas.openxmlformats.org/officeDocument/2006/relationships/hyperlink" Target="https://codesommet.com/web-development-company/barcelona" TargetMode="External" Id="rId684"/><Relationship Type="http://schemas.openxmlformats.org/officeDocument/2006/relationships/hyperlink" Target="https://codesommet.com/web-development-company/barcelona" TargetMode="External" Id="rId685"/><Relationship Type="http://schemas.openxmlformats.org/officeDocument/2006/relationships/hyperlink" Target="https://codesommet.com/web-development-company/barcelona" TargetMode="External" Id="rId686"/><Relationship Type="http://schemas.openxmlformats.org/officeDocument/2006/relationships/hyperlink" Target="https://codesommet.com/web-development-company/barcelona" TargetMode="External" Id="rId687"/><Relationship Type="http://schemas.openxmlformats.org/officeDocument/2006/relationships/hyperlink" Target="https://codesommet.com/web-development-company/barcelona" TargetMode="External" Id="rId688"/><Relationship Type="http://schemas.openxmlformats.org/officeDocument/2006/relationships/hyperlink" Target="https://codesommet.com/web-development-company/barcelona" TargetMode="External" Id="rId689"/><Relationship Type="http://schemas.openxmlformats.org/officeDocument/2006/relationships/hyperlink" Target="https://codesommet.com/web-development-company/barcelona" TargetMode="External" Id="rId690"/><Relationship Type="http://schemas.openxmlformats.org/officeDocument/2006/relationships/hyperlink" Target="https://codesommet.com/web-development-company/barcelona" TargetMode="External" Id="rId691"/><Relationship Type="http://schemas.openxmlformats.org/officeDocument/2006/relationships/hyperlink" Target="https://codesommet.com/web-development-company/barcelona" TargetMode="External" Id="rId692"/><Relationship Type="http://schemas.openxmlformats.org/officeDocument/2006/relationships/hyperlink" Target="https://codesommet.com/web-development-company/barcelona" TargetMode="External" Id="rId693"/><Relationship Type="http://schemas.openxmlformats.org/officeDocument/2006/relationships/hyperlink" Target="https://codesommet.com/web-development-company/barcelona" TargetMode="External" Id="rId694"/><Relationship Type="http://schemas.openxmlformats.org/officeDocument/2006/relationships/hyperlink" Target="https://codesommet.com/web-development-company/lisbon" TargetMode="External" Id="rId695"/><Relationship Type="http://schemas.openxmlformats.org/officeDocument/2006/relationships/hyperlink" Target="https://codesommet.com/web-development-company/lisbon" TargetMode="External" Id="rId696"/><Relationship Type="http://schemas.openxmlformats.org/officeDocument/2006/relationships/hyperlink" Target="https://codesommet.com/web-development-company/lisbon" TargetMode="External" Id="rId697"/><Relationship Type="http://schemas.openxmlformats.org/officeDocument/2006/relationships/hyperlink" Target="https://codesommet.com/web-development-company/lisbon" TargetMode="External" Id="rId698"/><Relationship Type="http://schemas.openxmlformats.org/officeDocument/2006/relationships/hyperlink" Target="https://codesommet.com/web-development-company/lisbon" TargetMode="External" Id="rId699"/><Relationship Type="http://schemas.openxmlformats.org/officeDocument/2006/relationships/hyperlink" Target="https://codesommet.com/web-development-company/lisbon" TargetMode="External" Id="rId700"/><Relationship Type="http://schemas.openxmlformats.org/officeDocument/2006/relationships/hyperlink" Target="https://codesommet.com/web-development-company/lisbon" TargetMode="External" Id="rId701"/><Relationship Type="http://schemas.openxmlformats.org/officeDocument/2006/relationships/hyperlink" Target="https://codesommet.com/web-development-company/lisbon" TargetMode="External" Id="rId702"/><Relationship Type="http://schemas.openxmlformats.org/officeDocument/2006/relationships/hyperlink" Target="https://codesommet.com/web-development-company/lisbon" TargetMode="External" Id="rId703"/><Relationship Type="http://schemas.openxmlformats.org/officeDocument/2006/relationships/hyperlink" Target="https://codesommet.com/web-development-company/lisbon" TargetMode="External" Id="rId704"/><Relationship Type="http://schemas.openxmlformats.org/officeDocument/2006/relationships/hyperlink" Target="https://codesommet.com/web-development-company/lisbon" TargetMode="External" Id="rId705"/><Relationship Type="http://schemas.openxmlformats.org/officeDocument/2006/relationships/hyperlink" Target="https://codesommet.com/web-development-company/lisbon" TargetMode="External" Id="rId706"/><Relationship Type="http://schemas.openxmlformats.org/officeDocument/2006/relationships/hyperlink" Target="https://codesommet.com/web-development-company/lisbon" TargetMode="External" Id="rId707"/><Relationship Type="http://schemas.openxmlformats.org/officeDocument/2006/relationships/hyperlink" Target="https://codesommet.com/web-development-company/lisbon" TargetMode="External" Id="rId708"/><Relationship Type="http://schemas.openxmlformats.org/officeDocument/2006/relationships/hyperlink" Target="https://codesommet.com/web-development-company/lisbon" TargetMode="External" Id="rId709"/><Relationship Type="http://schemas.openxmlformats.org/officeDocument/2006/relationships/hyperlink" Target="https://codesommet.com/web-development-company/rome" TargetMode="External" Id="rId710"/><Relationship Type="http://schemas.openxmlformats.org/officeDocument/2006/relationships/hyperlink" Target="https://codesommet.com/web-development-company/rome" TargetMode="External" Id="rId711"/><Relationship Type="http://schemas.openxmlformats.org/officeDocument/2006/relationships/hyperlink" Target="https://codesommet.com/web-development-company/rome" TargetMode="External" Id="rId712"/><Relationship Type="http://schemas.openxmlformats.org/officeDocument/2006/relationships/hyperlink" Target="https://codesommet.com/web-development-company/rome" TargetMode="External" Id="rId713"/><Relationship Type="http://schemas.openxmlformats.org/officeDocument/2006/relationships/hyperlink" Target="https://codesommet.com/web-development-company/rome" TargetMode="External" Id="rId714"/><Relationship Type="http://schemas.openxmlformats.org/officeDocument/2006/relationships/hyperlink" Target="https://codesommet.com/web-development-company/rome" TargetMode="External" Id="rId715"/><Relationship Type="http://schemas.openxmlformats.org/officeDocument/2006/relationships/hyperlink" Target="https://codesommet.com/web-development-company/rome" TargetMode="External" Id="rId716"/><Relationship Type="http://schemas.openxmlformats.org/officeDocument/2006/relationships/hyperlink" Target="https://codesommet.com/web-development-company/rome" TargetMode="External" Id="rId717"/><Relationship Type="http://schemas.openxmlformats.org/officeDocument/2006/relationships/hyperlink" Target="https://codesommet.com/web-development-company/rome" TargetMode="External" Id="rId718"/><Relationship Type="http://schemas.openxmlformats.org/officeDocument/2006/relationships/hyperlink" Target="https://codesommet.com/web-development-company/rome" TargetMode="External" Id="rId719"/><Relationship Type="http://schemas.openxmlformats.org/officeDocument/2006/relationships/hyperlink" Target="https://codesommet.com/web-development-company/rome" TargetMode="External" Id="rId720"/><Relationship Type="http://schemas.openxmlformats.org/officeDocument/2006/relationships/hyperlink" Target="https://codesommet.com/web-development-company/rome" TargetMode="External" Id="rId721"/><Relationship Type="http://schemas.openxmlformats.org/officeDocument/2006/relationships/hyperlink" Target="https://codesommet.com/web-development-company/rome" TargetMode="External" Id="rId722"/><Relationship Type="http://schemas.openxmlformats.org/officeDocument/2006/relationships/hyperlink" Target="https://codesommet.com/web-development-company/rome" TargetMode="External" Id="rId723"/><Relationship Type="http://schemas.openxmlformats.org/officeDocument/2006/relationships/hyperlink" Target="https://codesommet.com/web-development-company/rome" TargetMode="External" Id="rId724"/><Relationship Type="http://schemas.openxmlformats.org/officeDocument/2006/relationships/hyperlink" Target="https://codesommet.com/web-development-company/milan" TargetMode="External" Id="rId725"/><Relationship Type="http://schemas.openxmlformats.org/officeDocument/2006/relationships/hyperlink" Target="https://codesommet.com/web-development-company/milan" TargetMode="External" Id="rId726"/><Relationship Type="http://schemas.openxmlformats.org/officeDocument/2006/relationships/hyperlink" Target="https://codesommet.com/web-development-company/milan" TargetMode="External" Id="rId727"/><Relationship Type="http://schemas.openxmlformats.org/officeDocument/2006/relationships/hyperlink" Target="https://codesommet.com/web-development-company/milan" TargetMode="External" Id="rId728"/><Relationship Type="http://schemas.openxmlformats.org/officeDocument/2006/relationships/hyperlink" Target="https://codesommet.com/web-development-company/milan" TargetMode="External" Id="rId729"/><Relationship Type="http://schemas.openxmlformats.org/officeDocument/2006/relationships/hyperlink" Target="https://codesommet.com/web-development-company/milan" TargetMode="External" Id="rId730"/><Relationship Type="http://schemas.openxmlformats.org/officeDocument/2006/relationships/hyperlink" Target="https://codesommet.com/web-development-company/milan" TargetMode="External" Id="rId731"/><Relationship Type="http://schemas.openxmlformats.org/officeDocument/2006/relationships/hyperlink" Target="https://codesommet.com/web-development-company/milan" TargetMode="External" Id="rId732"/><Relationship Type="http://schemas.openxmlformats.org/officeDocument/2006/relationships/hyperlink" Target="https://codesommet.com/web-development-company/milan" TargetMode="External" Id="rId733"/><Relationship Type="http://schemas.openxmlformats.org/officeDocument/2006/relationships/hyperlink" Target="https://codesommet.com/web-development-company/milan" TargetMode="External" Id="rId734"/><Relationship Type="http://schemas.openxmlformats.org/officeDocument/2006/relationships/hyperlink" Target="https://codesommet.com/web-development-company/milan" TargetMode="External" Id="rId735"/><Relationship Type="http://schemas.openxmlformats.org/officeDocument/2006/relationships/hyperlink" Target="https://codesommet.com/web-development-company/milan" TargetMode="External" Id="rId736"/><Relationship Type="http://schemas.openxmlformats.org/officeDocument/2006/relationships/hyperlink" Target="https://codesommet.com/web-development-company/milan" TargetMode="External" Id="rId737"/><Relationship Type="http://schemas.openxmlformats.org/officeDocument/2006/relationships/hyperlink" Target="https://codesommet.com/web-development-company/milan" TargetMode="External" Id="rId738"/><Relationship Type="http://schemas.openxmlformats.org/officeDocument/2006/relationships/hyperlink" Target="https://codesommet.com/web-development-company/milan" TargetMode="External" Id="rId739"/><Relationship Type="http://schemas.openxmlformats.org/officeDocument/2006/relationships/hyperlink" Target="https://codesommet.com/web-development-company/new-york" TargetMode="External" Id="rId740"/><Relationship Type="http://schemas.openxmlformats.org/officeDocument/2006/relationships/hyperlink" Target="https://codesommet.com/web-development-company/new-york" TargetMode="External" Id="rId741"/><Relationship Type="http://schemas.openxmlformats.org/officeDocument/2006/relationships/hyperlink" Target="https://codesommet.com/web-development-company/new-york" TargetMode="External" Id="rId742"/><Relationship Type="http://schemas.openxmlformats.org/officeDocument/2006/relationships/hyperlink" Target="https://codesommet.com/web-development-company/new-york" TargetMode="External" Id="rId743"/><Relationship Type="http://schemas.openxmlformats.org/officeDocument/2006/relationships/hyperlink" Target="https://codesommet.com/web-development-company/new-york" TargetMode="External" Id="rId744"/><Relationship Type="http://schemas.openxmlformats.org/officeDocument/2006/relationships/hyperlink" Target="https://codesommet.com/web-development-company/new-york" TargetMode="External" Id="rId745"/><Relationship Type="http://schemas.openxmlformats.org/officeDocument/2006/relationships/hyperlink" Target="https://codesommet.com/web-development-company/new-york" TargetMode="External" Id="rId746"/><Relationship Type="http://schemas.openxmlformats.org/officeDocument/2006/relationships/hyperlink" Target="https://codesommet.com/web-development-company/new-york" TargetMode="External" Id="rId747"/><Relationship Type="http://schemas.openxmlformats.org/officeDocument/2006/relationships/hyperlink" Target="https://codesommet.com/web-development-company/new-york" TargetMode="External" Id="rId748"/><Relationship Type="http://schemas.openxmlformats.org/officeDocument/2006/relationships/hyperlink" Target="https://codesommet.com/web-development-company/new-york" TargetMode="External" Id="rId749"/><Relationship Type="http://schemas.openxmlformats.org/officeDocument/2006/relationships/hyperlink" Target="https://codesommet.com/web-development-company/new-york" TargetMode="External" Id="rId750"/><Relationship Type="http://schemas.openxmlformats.org/officeDocument/2006/relationships/hyperlink" Target="https://codesommet.com/web-development-company/new-york" TargetMode="External" Id="rId751"/><Relationship Type="http://schemas.openxmlformats.org/officeDocument/2006/relationships/hyperlink" Target="https://codesommet.com/web-development-company/new-york" TargetMode="External" Id="rId752"/><Relationship Type="http://schemas.openxmlformats.org/officeDocument/2006/relationships/hyperlink" Target="https://codesommet.com/web-development-company/new-york" TargetMode="External" Id="rId753"/><Relationship Type="http://schemas.openxmlformats.org/officeDocument/2006/relationships/hyperlink" Target="https://codesommet.com/web-development-company/new-york" TargetMode="External" Id="rId754"/><Relationship Type="http://schemas.openxmlformats.org/officeDocument/2006/relationships/hyperlink" Target="https://codesommet.com/web-development-company/san-francisco" TargetMode="External" Id="rId755"/><Relationship Type="http://schemas.openxmlformats.org/officeDocument/2006/relationships/hyperlink" Target="https://codesommet.com/web-development-company/san-francisco" TargetMode="External" Id="rId756"/><Relationship Type="http://schemas.openxmlformats.org/officeDocument/2006/relationships/hyperlink" Target="https://codesommet.com/web-development-company/san-francisco" TargetMode="External" Id="rId757"/><Relationship Type="http://schemas.openxmlformats.org/officeDocument/2006/relationships/hyperlink" Target="https://codesommet.com/web-development-company/san-francisco" TargetMode="External" Id="rId758"/><Relationship Type="http://schemas.openxmlformats.org/officeDocument/2006/relationships/hyperlink" Target="https://codesommet.com/web-development-company/san-francisco" TargetMode="External" Id="rId759"/><Relationship Type="http://schemas.openxmlformats.org/officeDocument/2006/relationships/hyperlink" Target="https://codesommet.com/web-development-company/san-francisco" TargetMode="External" Id="rId760"/><Relationship Type="http://schemas.openxmlformats.org/officeDocument/2006/relationships/hyperlink" Target="https://codesommet.com/web-development-company/san-francisco" TargetMode="External" Id="rId761"/><Relationship Type="http://schemas.openxmlformats.org/officeDocument/2006/relationships/hyperlink" Target="https://codesommet.com/web-development-company/san-francisco" TargetMode="External" Id="rId762"/><Relationship Type="http://schemas.openxmlformats.org/officeDocument/2006/relationships/hyperlink" Target="https://codesommet.com/web-development-company/san-francisco" TargetMode="External" Id="rId763"/><Relationship Type="http://schemas.openxmlformats.org/officeDocument/2006/relationships/hyperlink" Target="https://codesommet.com/web-development-company/san-francisco" TargetMode="External" Id="rId764"/><Relationship Type="http://schemas.openxmlformats.org/officeDocument/2006/relationships/hyperlink" Target="https://codesommet.com/web-development-company/san-francisco" TargetMode="External" Id="rId765"/><Relationship Type="http://schemas.openxmlformats.org/officeDocument/2006/relationships/hyperlink" Target="https://codesommet.com/web-development-company/san-francisco" TargetMode="External" Id="rId766"/><Relationship Type="http://schemas.openxmlformats.org/officeDocument/2006/relationships/hyperlink" Target="https://codesommet.com/web-development-company/san-francisco" TargetMode="External" Id="rId767"/><Relationship Type="http://schemas.openxmlformats.org/officeDocument/2006/relationships/hyperlink" Target="https://codesommet.com/web-development-company/san-francisco" TargetMode="External" Id="rId768"/><Relationship Type="http://schemas.openxmlformats.org/officeDocument/2006/relationships/hyperlink" Target="https://codesommet.com/web-development-company/san-francisco" TargetMode="External" Id="rId769"/><Relationship Type="http://schemas.openxmlformats.org/officeDocument/2006/relationships/hyperlink" Target="https://codesommet.com/web-development-company/los-angeles" TargetMode="External" Id="rId770"/><Relationship Type="http://schemas.openxmlformats.org/officeDocument/2006/relationships/hyperlink" Target="https://codesommet.com/web-development-company/los-angeles" TargetMode="External" Id="rId771"/><Relationship Type="http://schemas.openxmlformats.org/officeDocument/2006/relationships/hyperlink" Target="https://codesommet.com/web-development-company/los-angeles" TargetMode="External" Id="rId772"/><Relationship Type="http://schemas.openxmlformats.org/officeDocument/2006/relationships/hyperlink" Target="https://codesommet.com/web-development-company/los-angeles" TargetMode="External" Id="rId773"/><Relationship Type="http://schemas.openxmlformats.org/officeDocument/2006/relationships/hyperlink" Target="https://codesommet.com/web-development-company/los-angeles" TargetMode="External" Id="rId774"/><Relationship Type="http://schemas.openxmlformats.org/officeDocument/2006/relationships/hyperlink" Target="https://codesommet.com/web-development-company/los-angeles" TargetMode="External" Id="rId775"/><Relationship Type="http://schemas.openxmlformats.org/officeDocument/2006/relationships/hyperlink" Target="https://codesommet.com/web-development-company/los-angeles" TargetMode="External" Id="rId776"/><Relationship Type="http://schemas.openxmlformats.org/officeDocument/2006/relationships/hyperlink" Target="https://codesommet.com/web-development-company/los-angeles" TargetMode="External" Id="rId777"/><Relationship Type="http://schemas.openxmlformats.org/officeDocument/2006/relationships/hyperlink" Target="https://codesommet.com/web-development-company/los-angeles" TargetMode="External" Id="rId778"/><Relationship Type="http://schemas.openxmlformats.org/officeDocument/2006/relationships/hyperlink" Target="https://codesommet.com/web-development-company/los-angeles" TargetMode="External" Id="rId779"/><Relationship Type="http://schemas.openxmlformats.org/officeDocument/2006/relationships/hyperlink" Target="https://codesommet.com/web-development-company/los-angeles" TargetMode="External" Id="rId780"/><Relationship Type="http://schemas.openxmlformats.org/officeDocument/2006/relationships/hyperlink" Target="https://codesommet.com/web-development-company/los-angeles" TargetMode="External" Id="rId781"/><Relationship Type="http://schemas.openxmlformats.org/officeDocument/2006/relationships/hyperlink" Target="https://codesommet.com/web-development-company/los-angeles" TargetMode="External" Id="rId782"/><Relationship Type="http://schemas.openxmlformats.org/officeDocument/2006/relationships/hyperlink" Target="https://codesommet.com/web-development-company/los-angeles" TargetMode="External" Id="rId783"/><Relationship Type="http://schemas.openxmlformats.org/officeDocument/2006/relationships/hyperlink" Target="https://codesommet.com/web-development-company/los-angeles" TargetMode="External" Id="rId784"/><Relationship Type="http://schemas.openxmlformats.org/officeDocument/2006/relationships/hyperlink" Target="https://codesommet.com/web-development-company/austin" TargetMode="External" Id="rId785"/><Relationship Type="http://schemas.openxmlformats.org/officeDocument/2006/relationships/hyperlink" Target="https://codesommet.com/web-development-company/austin" TargetMode="External" Id="rId786"/><Relationship Type="http://schemas.openxmlformats.org/officeDocument/2006/relationships/hyperlink" Target="https://codesommet.com/web-development-company/austin" TargetMode="External" Id="rId787"/><Relationship Type="http://schemas.openxmlformats.org/officeDocument/2006/relationships/hyperlink" Target="https://codesommet.com/web-development-company/austin" TargetMode="External" Id="rId788"/><Relationship Type="http://schemas.openxmlformats.org/officeDocument/2006/relationships/hyperlink" Target="https://codesommet.com/web-development-company/austin" TargetMode="External" Id="rId789"/><Relationship Type="http://schemas.openxmlformats.org/officeDocument/2006/relationships/hyperlink" Target="https://codesommet.com/web-development-company/austin" TargetMode="External" Id="rId790"/><Relationship Type="http://schemas.openxmlformats.org/officeDocument/2006/relationships/hyperlink" Target="https://codesommet.com/web-development-company/austin" TargetMode="External" Id="rId791"/><Relationship Type="http://schemas.openxmlformats.org/officeDocument/2006/relationships/hyperlink" Target="https://codesommet.com/web-development-company/austin" TargetMode="External" Id="rId792"/><Relationship Type="http://schemas.openxmlformats.org/officeDocument/2006/relationships/hyperlink" Target="https://codesommet.com/web-development-company/austin" TargetMode="External" Id="rId793"/><Relationship Type="http://schemas.openxmlformats.org/officeDocument/2006/relationships/hyperlink" Target="https://codesommet.com/web-development-company/austin" TargetMode="External" Id="rId794"/><Relationship Type="http://schemas.openxmlformats.org/officeDocument/2006/relationships/hyperlink" Target="https://codesommet.com/web-development-company/austin" TargetMode="External" Id="rId795"/><Relationship Type="http://schemas.openxmlformats.org/officeDocument/2006/relationships/hyperlink" Target="https://codesommet.com/web-development-company/austin" TargetMode="External" Id="rId796"/><Relationship Type="http://schemas.openxmlformats.org/officeDocument/2006/relationships/hyperlink" Target="https://codesommet.com/web-development-company/austin" TargetMode="External" Id="rId797"/><Relationship Type="http://schemas.openxmlformats.org/officeDocument/2006/relationships/hyperlink" Target="https://codesommet.com/web-development-company/austin" TargetMode="External" Id="rId798"/><Relationship Type="http://schemas.openxmlformats.org/officeDocument/2006/relationships/hyperlink" Target="https://codesommet.com/web-development-company/austin" TargetMode="External" Id="rId799"/><Relationship Type="http://schemas.openxmlformats.org/officeDocument/2006/relationships/hyperlink" Target="https://codesommet.com/web-development-company/seattle" TargetMode="External" Id="rId800"/><Relationship Type="http://schemas.openxmlformats.org/officeDocument/2006/relationships/hyperlink" Target="https://codesommet.com/web-development-company/seattle" TargetMode="External" Id="rId801"/><Relationship Type="http://schemas.openxmlformats.org/officeDocument/2006/relationships/hyperlink" Target="https://codesommet.com/web-development-company/seattle" TargetMode="External" Id="rId802"/><Relationship Type="http://schemas.openxmlformats.org/officeDocument/2006/relationships/hyperlink" Target="https://codesommet.com/web-development-company/seattle" TargetMode="External" Id="rId803"/><Relationship Type="http://schemas.openxmlformats.org/officeDocument/2006/relationships/hyperlink" Target="https://codesommet.com/web-development-company/seattle" TargetMode="External" Id="rId804"/><Relationship Type="http://schemas.openxmlformats.org/officeDocument/2006/relationships/hyperlink" Target="https://codesommet.com/web-development-company/seattle" TargetMode="External" Id="rId805"/><Relationship Type="http://schemas.openxmlformats.org/officeDocument/2006/relationships/hyperlink" Target="https://codesommet.com/web-development-company/seattle" TargetMode="External" Id="rId806"/><Relationship Type="http://schemas.openxmlformats.org/officeDocument/2006/relationships/hyperlink" Target="https://codesommet.com/web-development-company/seattle" TargetMode="External" Id="rId807"/><Relationship Type="http://schemas.openxmlformats.org/officeDocument/2006/relationships/hyperlink" Target="https://codesommet.com/web-development-company/seattle" TargetMode="External" Id="rId808"/><Relationship Type="http://schemas.openxmlformats.org/officeDocument/2006/relationships/hyperlink" Target="https://codesommet.com/web-development-company/seattle" TargetMode="External" Id="rId809"/><Relationship Type="http://schemas.openxmlformats.org/officeDocument/2006/relationships/hyperlink" Target="https://codesommet.com/web-development-company/seattle" TargetMode="External" Id="rId810"/><Relationship Type="http://schemas.openxmlformats.org/officeDocument/2006/relationships/hyperlink" Target="https://codesommet.com/web-development-company/seattle" TargetMode="External" Id="rId811"/><Relationship Type="http://schemas.openxmlformats.org/officeDocument/2006/relationships/hyperlink" Target="https://codesommet.com/web-development-company/seattle" TargetMode="External" Id="rId812"/><Relationship Type="http://schemas.openxmlformats.org/officeDocument/2006/relationships/hyperlink" Target="https://codesommet.com/web-development-company/seattle" TargetMode="External" Id="rId813"/><Relationship Type="http://schemas.openxmlformats.org/officeDocument/2006/relationships/hyperlink" Target="https://codesommet.com/web-development-company/seattle" TargetMode="External" Id="rId814"/><Relationship Type="http://schemas.openxmlformats.org/officeDocument/2006/relationships/hyperlink" Target="https://codesommet.com/web-development-company/boston" TargetMode="External" Id="rId815"/><Relationship Type="http://schemas.openxmlformats.org/officeDocument/2006/relationships/hyperlink" Target="https://codesommet.com/web-development-company/boston" TargetMode="External" Id="rId816"/><Relationship Type="http://schemas.openxmlformats.org/officeDocument/2006/relationships/hyperlink" Target="https://codesommet.com/web-development-company/boston" TargetMode="External" Id="rId817"/><Relationship Type="http://schemas.openxmlformats.org/officeDocument/2006/relationships/hyperlink" Target="https://codesommet.com/web-development-company/boston" TargetMode="External" Id="rId818"/><Relationship Type="http://schemas.openxmlformats.org/officeDocument/2006/relationships/hyperlink" Target="https://codesommet.com/web-development-company/boston" TargetMode="External" Id="rId819"/><Relationship Type="http://schemas.openxmlformats.org/officeDocument/2006/relationships/hyperlink" Target="https://codesommet.com/web-development-company/boston" TargetMode="External" Id="rId820"/><Relationship Type="http://schemas.openxmlformats.org/officeDocument/2006/relationships/hyperlink" Target="https://codesommet.com/web-development-company/boston" TargetMode="External" Id="rId821"/><Relationship Type="http://schemas.openxmlformats.org/officeDocument/2006/relationships/hyperlink" Target="https://codesommet.com/web-development-company/boston" TargetMode="External" Id="rId822"/><Relationship Type="http://schemas.openxmlformats.org/officeDocument/2006/relationships/hyperlink" Target="https://codesommet.com/web-development-company/boston" TargetMode="External" Id="rId823"/><Relationship Type="http://schemas.openxmlformats.org/officeDocument/2006/relationships/hyperlink" Target="https://codesommet.com/web-development-company/boston" TargetMode="External" Id="rId824"/><Relationship Type="http://schemas.openxmlformats.org/officeDocument/2006/relationships/hyperlink" Target="https://codesommet.com/web-development-company/boston" TargetMode="External" Id="rId825"/><Relationship Type="http://schemas.openxmlformats.org/officeDocument/2006/relationships/hyperlink" Target="https://codesommet.com/web-development-company/boston" TargetMode="External" Id="rId826"/><Relationship Type="http://schemas.openxmlformats.org/officeDocument/2006/relationships/hyperlink" Target="https://codesommet.com/web-development-company/boston" TargetMode="External" Id="rId827"/><Relationship Type="http://schemas.openxmlformats.org/officeDocument/2006/relationships/hyperlink" Target="https://codesommet.com/web-development-company/boston" TargetMode="External" Id="rId828"/><Relationship Type="http://schemas.openxmlformats.org/officeDocument/2006/relationships/hyperlink" Target="https://codesommet.com/web-development-company/boston" TargetMode="External" Id="rId829"/><Relationship Type="http://schemas.openxmlformats.org/officeDocument/2006/relationships/hyperlink" Target="https://codesommet.com/web-development-company/chicago" TargetMode="External" Id="rId830"/><Relationship Type="http://schemas.openxmlformats.org/officeDocument/2006/relationships/hyperlink" Target="https://codesommet.com/web-development-company/chicago" TargetMode="External" Id="rId831"/><Relationship Type="http://schemas.openxmlformats.org/officeDocument/2006/relationships/hyperlink" Target="https://codesommet.com/web-development-company/chicago" TargetMode="External" Id="rId832"/><Relationship Type="http://schemas.openxmlformats.org/officeDocument/2006/relationships/hyperlink" Target="https://codesommet.com/web-development-company/chicago" TargetMode="External" Id="rId833"/><Relationship Type="http://schemas.openxmlformats.org/officeDocument/2006/relationships/hyperlink" Target="https://codesommet.com/web-development-company/chicago" TargetMode="External" Id="rId834"/><Relationship Type="http://schemas.openxmlformats.org/officeDocument/2006/relationships/hyperlink" Target="https://codesommet.com/web-development-company/chicago" TargetMode="External" Id="rId835"/><Relationship Type="http://schemas.openxmlformats.org/officeDocument/2006/relationships/hyperlink" Target="https://codesommet.com/web-development-company/chicago" TargetMode="External" Id="rId836"/><Relationship Type="http://schemas.openxmlformats.org/officeDocument/2006/relationships/hyperlink" Target="https://codesommet.com/web-development-company/chicago" TargetMode="External" Id="rId837"/><Relationship Type="http://schemas.openxmlformats.org/officeDocument/2006/relationships/hyperlink" Target="https://codesommet.com/web-development-company/chicago" TargetMode="External" Id="rId838"/><Relationship Type="http://schemas.openxmlformats.org/officeDocument/2006/relationships/hyperlink" Target="https://codesommet.com/web-development-company/chicago" TargetMode="External" Id="rId839"/><Relationship Type="http://schemas.openxmlformats.org/officeDocument/2006/relationships/hyperlink" Target="https://codesommet.com/web-development-company/chicago" TargetMode="External" Id="rId840"/><Relationship Type="http://schemas.openxmlformats.org/officeDocument/2006/relationships/hyperlink" Target="https://codesommet.com/web-development-company/chicago" TargetMode="External" Id="rId841"/><Relationship Type="http://schemas.openxmlformats.org/officeDocument/2006/relationships/hyperlink" Target="https://codesommet.com/web-development-company/chicago" TargetMode="External" Id="rId842"/><Relationship Type="http://schemas.openxmlformats.org/officeDocument/2006/relationships/hyperlink" Target="https://codesommet.com/web-development-company/chicago" TargetMode="External" Id="rId843"/><Relationship Type="http://schemas.openxmlformats.org/officeDocument/2006/relationships/hyperlink" Target="https://codesommet.com/web-development-company/chicago" TargetMode="External" Id="rId844"/><Relationship Type="http://schemas.openxmlformats.org/officeDocument/2006/relationships/hyperlink" Target="https://codesommet.com/web-development-company/denver" TargetMode="External" Id="rId845"/><Relationship Type="http://schemas.openxmlformats.org/officeDocument/2006/relationships/hyperlink" Target="https://codesommet.com/web-development-company/denver" TargetMode="External" Id="rId846"/><Relationship Type="http://schemas.openxmlformats.org/officeDocument/2006/relationships/hyperlink" Target="https://codesommet.com/web-development-company/denver" TargetMode="External" Id="rId847"/><Relationship Type="http://schemas.openxmlformats.org/officeDocument/2006/relationships/hyperlink" Target="https://codesommet.com/web-development-company/denver" TargetMode="External" Id="rId848"/><Relationship Type="http://schemas.openxmlformats.org/officeDocument/2006/relationships/hyperlink" Target="https://codesommet.com/web-development-company/denver" TargetMode="External" Id="rId849"/><Relationship Type="http://schemas.openxmlformats.org/officeDocument/2006/relationships/hyperlink" Target="https://codesommet.com/web-development-company/denver" TargetMode="External" Id="rId850"/><Relationship Type="http://schemas.openxmlformats.org/officeDocument/2006/relationships/hyperlink" Target="https://codesommet.com/web-development-company/denver" TargetMode="External" Id="rId851"/><Relationship Type="http://schemas.openxmlformats.org/officeDocument/2006/relationships/hyperlink" Target="https://codesommet.com/web-development-company/denver" TargetMode="External" Id="rId852"/><Relationship Type="http://schemas.openxmlformats.org/officeDocument/2006/relationships/hyperlink" Target="https://codesommet.com/web-development-company/denver" TargetMode="External" Id="rId853"/><Relationship Type="http://schemas.openxmlformats.org/officeDocument/2006/relationships/hyperlink" Target="https://codesommet.com/web-development-company/denver" TargetMode="External" Id="rId854"/><Relationship Type="http://schemas.openxmlformats.org/officeDocument/2006/relationships/hyperlink" Target="https://codesommet.com/web-development-company/denver" TargetMode="External" Id="rId855"/><Relationship Type="http://schemas.openxmlformats.org/officeDocument/2006/relationships/hyperlink" Target="https://codesommet.com/web-development-company/denver" TargetMode="External" Id="rId856"/><Relationship Type="http://schemas.openxmlformats.org/officeDocument/2006/relationships/hyperlink" Target="https://codesommet.com/web-development-company/denver" TargetMode="External" Id="rId857"/><Relationship Type="http://schemas.openxmlformats.org/officeDocument/2006/relationships/hyperlink" Target="https://codesommet.com/web-development-company/denver" TargetMode="External" Id="rId858"/><Relationship Type="http://schemas.openxmlformats.org/officeDocument/2006/relationships/hyperlink" Target="https://codesommet.com/web-development-company/denver" TargetMode="External" Id="rId859"/><Relationship Type="http://schemas.openxmlformats.org/officeDocument/2006/relationships/hyperlink" Target="https://codesommet.com/web-development-company/toronto" TargetMode="External" Id="rId860"/><Relationship Type="http://schemas.openxmlformats.org/officeDocument/2006/relationships/hyperlink" Target="https://codesommet.com/web-development-company/toronto" TargetMode="External" Id="rId861"/><Relationship Type="http://schemas.openxmlformats.org/officeDocument/2006/relationships/hyperlink" Target="https://codesommet.com/web-development-company/toronto" TargetMode="External" Id="rId862"/><Relationship Type="http://schemas.openxmlformats.org/officeDocument/2006/relationships/hyperlink" Target="https://codesommet.com/web-development-company/toronto" TargetMode="External" Id="rId863"/><Relationship Type="http://schemas.openxmlformats.org/officeDocument/2006/relationships/hyperlink" Target="https://codesommet.com/web-development-company/toronto" TargetMode="External" Id="rId864"/><Relationship Type="http://schemas.openxmlformats.org/officeDocument/2006/relationships/hyperlink" Target="https://codesommet.com/web-development-company/toronto" TargetMode="External" Id="rId865"/><Relationship Type="http://schemas.openxmlformats.org/officeDocument/2006/relationships/hyperlink" Target="https://codesommet.com/web-development-company/toronto" TargetMode="External" Id="rId866"/><Relationship Type="http://schemas.openxmlformats.org/officeDocument/2006/relationships/hyperlink" Target="https://codesommet.com/web-development-company/toronto" TargetMode="External" Id="rId867"/><Relationship Type="http://schemas.openxmlformats.org/officeDocument/2006/relationships/hyperlink" Target="https://codesommet.com/web-development-company/toronto" TargetMode="External" Id="rId868"/><Relationship Type="http://schemas.openxmlformats.org/officeDocument/2006/relationships/hyperlink" Target="https://codesommet.com/web-development-company/toronto" TargetMode="External" Id="rId869"/><Relationship Type="http://schemas.openxmlformats.org/officeDocument/2006/relationships/hyperlink" Target="https://codesommet.com/web-development-company/toronto" TargetMode="External" Id="rId870"/><Relationship Type="http://schemas.openxmlformats.org/officeDocument/2006/relationships/hyperlink" Target="https://codesommet.com/web-development-company/toronto" TargetMode="External" Id="rId871"/><Relationship Type="http://schemas.openxmlformats.org/officeDocument/2006/relationships/hyperlink" Target="https://codesommet.com/web-development-company/toronto" TargetMode="External" Id="rId872"/><Relationship Type="http://schemas.openxmlformats.org/officeDocument/2006/relationships/hyperlink" Target="https://codesommet.com/web-development-company/toronto" TargetMode="External" Id="rId873"/><Relationship Type="http://schemas.openxmlformats.org/officeDocument/2006/relationships/hyperlink" Target="https://codesommet.com/web-development-company/toronto" TargetMode="External" Id="rId874"/><Relationship Type="http://schemas.openxmlformats.org/officeDocument/2006/relationships/hyperlink" Target="https://codesommet.com/web-development-company/vancouver" TargetMode="External" Id="rId875"/><Relationship Type="http://schemas.openxmlformats.org/officeDocument/2006/relationships/hyperlink" Target="https://codesommet.com/web-development-company/vancouver" TargetMode="External" Id="rId876"/><Relationship Type="http://schemas.openxmlformats.org/officeDocument/2006/relationships/hyperlink" Target="https://codesommet.com/web-development-company/vancouver" TargetMode="External" Id="rId877"/><Relationship Type="http://schemas.openxmlformats.org/officeDocument/2006/relationships/hyperlink" Target="https://codesommet.com/web-development-company/vancouver" TargetMode="External" Id="rId878"/><Relationship Type="http://schemas.openxmlformats.org/officeDocument/2006/relationships/hyperlink" Target="https://codesommet.com/web-development-company/vancouver" TargetMode="External" Id="rId879"/><Relationship Type="http://schemas.openxmlformats.org/officeDocument/2006/relationships/hyperlink" Target="https://codesommet.com/web-development-company/vancouver" TargetMode="External" Id="rId880"/><Relationship Type="http://schemas.openxmlformats.org/officeDocument/2006/relationships/hyperlink" Target="https://codesommet.com/web-development-company/vancouver" TargetMode="External" Id="rId881"/><Relationship Type="http://schemas.openxmlformats.org/officeDocument/2006/relationships/hyperlink" Target="https://codesommet.com/web-development-company/vancouver" TargetMode="External" Id="rId882"/><Relationship Type="http://schemas.openxmlformats.org/officeDocument/2006/relationships/hyperlink" Target="https://codesommet.com/web-development-company/vancouver" TargetMode="External" Id="rId883"/><Relationship Type="http://schemas.openxmlformats.org/officeDocument/2006/relationships/hyperlink" Target="https://codesommet.com/web-development-company/vancouver" TargetMode="External" Id="rId884"/><Relationship Type="http://schemas.openxmlformats.org/officeDocument/2006/relationships/hyperlink" Target="https://codesommet.com/web-development-company/vancouver" TargetMode="External" Id="rId885"/><Relationship Type="http://schemas.openxmlformats.org/officeDocument/2006/relationships/hyperlink" Target="https://codesommet.com/web-development-company/vancouver" TargetMode="External" Id="rId886"/><Relationship Type="http://schemas.openxmlformats.org/officeDocument/2006/relationships/hyperlink" Target="https://codesommet.com/web-development-company/vancouver" TargetMode="External" Id="rId887"/><Relationship Type="http://schemas.openxmlformats.org/officeDocument/2006/relationships/hyperlink" Target="https://codesommet.com/web-development-company/vancouver" TargetMode="External" Id="rId888"/><Relationship Type="http://schemas.openxmlformats.org/officeDocument/2006/relationships/hyperlink" Target="https://codesommet.com/web-development-company/vancouver" TargetMode="External" Id="rId889"/><Relationship Type="http://schemas.openxmlformats.org/officeDocument/2006/relationships/hyperlink" Target="https://codesommet.com/web-development-company/tunis" TargetMode="External" Id="rId890"/><Relationship Type="http://schemas.openxmlformats.org/officeDocument/2006/relationships/hyperlink" Target="https://codesommet.com/web-development-company/tunis" TargetMode="External" Id="rId891"/><Relationship Type="http://schemas.openxmlformats.org/officeDocument/2006/relationships/hyperlink" Target="https://codesommet.com/web-development-company/tunis" TargetMode="External" Id="rId892"/><Relationship Type="http://schemas.openxmlformats.org/officeDocument/2006/relationships/hyperlink" Target="https://codesommet.com/web-development-company/tunis" TargetMode="External" Id="rId893"/><Relationship Type="http://schemas.openxmlformats.org/officeDocument/2006/relationships/hyperlink" Target="https://codesommet.com/web-development-company/tunis" TargetMode="External" Id="rId894"/><Relationship Type="http://schemas.openxmlformats.org/officeDocument/2006/relationships/hyperlink" Target="https://codesommet.com/web-development-company/tunis" TargetMode="External" Id="rId895"/><Relationship Type="http://schemas.openxmlformats.org/officeDocument/2006/relationships/hyperlink" Target="https://codesommet.com/web-development-company/tunis" TargetMode="External" Id="rId896"/><Relationship Type="http://schemas.openxmlformats.org/officeDocument/2006/relationships/hyperlink" Target="https://codesommet.com/web-development-company/tunis" TargetMode="External" Id="rId897"/><Relationship Type="http://schemas.openxmlformats.org/officeDocument/2006/relationships/hyperlink" Target="https://codesommet.com/web-development-company/tunis" TargetMode="External" Id="rId898"/><Relationship Type="http://schemas.openxmlformats.org/officeDocument/2006/relationships/hyperlink" Target="https://codesommet.com/web-development-company/tunis" TargetMode="External" Id="rId899"/><Relationship Type="http://schemas.openxmlformats.org/officeDocument/2006/relationships/hyperlink" Target="https://codesommet.com/web-development-company/tunis" TargetMode="External" Id="rId900"/><Relationship Type="http://schemas.openxmlformats.org/officeDocument/2006/relationships/hyperlink" Target="https://codesommet.com/web-development-company/tunis" TargetMode="External" Id="rId901"/><Relationship Type="http://schemas.openxmlformats.org/officeDocument/2006/relationships/hyperlink" Target="https://codesommet.com/web-development-company/tunis" TargetMode="External" Id="rId902"/><Relationship Type="http://schemas.openxmlformats.org/officeDocument/2006/relationships/hyperlink" Target="https://codesommet.com/web-development-company/tunis" TargetMode="External" Id="rId903"/><Relationship Type="http://schemas.openxmlformats.org/officeDocument/2006/relationships/hyperlink" Target="https://codesommet.com/web-development-company/tunis" TargetMode="External" Id="rId904"/><Relationship Type="http://schemas.openxmlformats.org/officeDocument/2006/relationships/hyperlink" Target="https://codesommet.com/web-development-company/cairo" TargetMode="External" Id="rId905"/><Relationship Type="http://schemas.openxmlformats.org/officeDocument/2006/relationships/hyperlink" Target="https://codesommet.com/web-development-company/cairo" TargetMode="External" Id="rId906"/><Relationship Type="http://schemas.openxmlformats.org/officeDocument/2006/relationships/hyperlink" Target="https://codesommet.com/web-development-company/cairo" TargetMode="External" Id="rId907"/><Relationship Type="http://schemas.openxmlformats.org/officeDocument/2006/relationships/hyperlink" Target="https://codesommet.com/web-development-company/cairo" TargetMode="External" Id="rId908"/><Relationship Type="http://schemas.openxmlformats.org/officeDocument/2006/relationships/hyperlink" Target="https://codesommet.com/web-development-company/cairo" TargetMode="External" Id="rId909"/><Relationship Type="http://schemas.openxmlformats.org/officeDocument/2006/relationships/hyperlink" Target="https://codesommet.com/web-development-company/cairo" TargetMode="External" Id="rId910"/><Relationship Type="http://schemas.openxmlformats.org/officeDocument/2006/relationships/hyperlink" Target="https://codesommet.com/web-development-company/cairo" TargetMode="External" Id="rId911"/><Relationship Type="http://schemas.openxmlformats.org/officeDocument/2006/relationships/hyperlink" Target="https://codesommet.com/web-development-company/cairo" TargetMode="External" Id="rId912"/><Relationship Type="http://schemas.openxmlformats.org/officeDocument/2006/relationships/hyperlink" Target="https://codesommet.com/web-development-company/cairo" TargetMode="External" Id="rId913"/><Relationship Type="http://schemas.openxmlformats.org/officeDocument/2006/relationships/hyperlink" Target="https://codesommet.com/web-development-company/cairo" TargetMode="External" Id="rId914"/><Relationship Type="http://schemas.openxmlformats.org/officeDocument/2006/relationships/hyperlink" Target="https://codesommet.com/web-development-company/cairo" TargetMode="External" Id="rId915"/><Relationship Type="http://schemas.openxmlformats.org/officeDocument/2006/relationships/hyperlink" Target="https://codesommet.com/web-development-company/cairo" TargetMode="External" Id="rId916"/><Relationship Type="http://schemas.openxmlformats.org/officeDocument/2006/relationships/hyperlink" Target="https://codesommet.com/web-development-company/cairo" TargetMode="External" Id="rId917"/><Relationship Type="http://schemas.openxmlformats.org/officeDocument/2006/relationships/hyperlink" Target="https://codesommet.com/web-development-company/cairo" TargetMode="External" Id="rId918"/><Relationship Type="http://schemas.openxmlformats.org/officeDocument/2006/relationships/hyperlink" Target="https://codesommet.com/web-development-company/cairo" TargetMode="External" Id="rId919"/><Relationship Type="http://schemas.openxmlformats.org/officeDocument/2006/relationships/hyperlink" Target="https://codesommet.com/web-development-company/lagos" TargetMode="External" Id="rId920"/><Relationship Type="http://schemas.openxmlformats.org/officeDocument/2006/relationships/hyperlink" Target="https://codesommet.com/web-development-company/lagos" TargetMode="External" Id="rId921"/><Relationship Type="http://schemas.openxmlformats.org/officeDocument/2006/relationships/hyperlink" Target="https://codesommet.com/web-development-company/lagos" TargetMode="External" Id="rId922"/><Relationship Type="http://schemas.openxmlformats.org/officeDocument/2006/relationships/hyperlink" Target="https://codesommet.com/web-development-company/lagos" TargetMode="External" Id="rId923"/><Relationship Type="http://schemas.openxmlformats.org/officeDocument/2006/relationships/hyperlink" Target="https://codesommet.com/web-development-company/lagos" TargetMode="External" Id="rId924"/><Relationship Type="http://schemas.openxmlformats.org/officeDocument/2006/relationships/hyperlink" Target="https://codesommet.com/web-development-company/lagos" TargetMode="External" Id="rId925"/><Relationship Type="http://schemas.openxmlformats.org/officeDocument/2006/relationships/hyperlink" Target="https://codesommet.com/web-development-company/lagos" TargetMode="External" Id="rId926"/><Relationship Type="http://schemas.openxmlformats.org/officeDocument/2006/relationships/hyperlink" Target="https://codesommet.com/web-development-company/lagos" TargetMode="External" Id="rId927"/><Relationship Type="http://schemas.openxmlformats.org/officeDocument/2006/relationships/hyperlink" Target="https://codesommet.com/web-development-company/lagos" TargetMode="External" Id="rId928"/><Relationship Type="http://schemas.openxmlformats.org/officeDocument/2006/relationships/hyperlink" Target="https://codesommet.com/web-development-company/lagos" TargetMode="External" Id="rId929"/><Relationship Type="http://schemas.openxmlformats.org/officeDocument/2006/relationships/hyperlink" Target="https://codesommet.com/web-development-company/lagos" TargetMode="External" Id="rId930"/><Relationship Type="http://schemas.openxmlformats.org/officeDocument/2006/relationships/hyperlink" Target="https://codesommet.com/web-development-company/lagos" TargetMode="External" Id="rId931"/><Relationship Type="http://schemas.openxmlformats.org/officeDocument/2006/relationships/hyperlink" Target="https://codesommet.com/web-development-company/lagos" TargetMode="External" Id="rId932"/><Relationship Type="http://schemas.openxmlformats.org/officeDocument/2006/relationships/hyperlink" Target="https://codesommet.com/web-development-company/lagos" TargetMode="External" Id="rId933"/><Relationship Type="http://schemas.openxmlformats.org/officeDocument/2006/relationships/hyperlink" Target="https://codesommet.com/web-development-company/lagos" TargetMode="External" Id="rId934"/><Relationship Type="http://schemas.openxmlformats.org/officeDocument/2006/relationships/hyperlink" Target="https://codesommet.com/tools/ai-crawler-access-checker" TargetMode="External" Id="rId935"/><Relationship Type="http://schemas.openxmlformats.org/officeDocument/2006/relationships/hyperlink" Target="https://codesommet.com/tools/ai-crawler-access-checker" TargetMode="External" Id="rId936"/><Relationship Type="http://schemas.openxmlformats.org/officeDocument/2006/relationships/hyperlink" Target="https://codesommet.com/tools/ai-crawler-access-checker" TargetMode="External" Id="rId937"/><Relationship Type="http://schemas.openxmlformats.org/officeDocument/2006/relationships/hyperlink" Target="https://codesommet.com/tools/ai-crawler-access-checker" TargetMode="External" Id="rId938"/><Relationship Type="http://schemas.openxmlformats.org/officeDocument/2006/relationships/hyperlink" Target="https://codesommet.com/tools/ai-crawler-access-checker" TargetMode="External" Id="rId939"/><Relationship Type="http://schemas.openxmlformats.org/officeDocument/2006/relationships/hyperlink" Target="https://codesommet.com/tools/ai-crawler-access-checker" TargetMode="External" Id="rId940"/><Relationship Type="http://schemas.openxmlformats.org/officeDocument/2006/relationships/hyperlink" Target="https://codesommet.com/tools/ai-crawler-access-checker" TargetMode="External" Id="rId941"/><Relationship Type="http://schemas.openxmlformats.org/officeDocument/2006/relationships/hyperlink" Target="https://codesommet.com/tools/ai-crawler-access-checker" TargetMode="External" Id="rId942"/><Relationship Type="http://schemas.openxmlformats.org/officeDocument/2006/relationships/hyperlink" Target="https://codesommet.com/tools/ai-readiness-checker" TargetMode="External" Id="rId943"/><Relationship Type="http://schemas.openxmlformats.org/officeDocument/2006/relationships/hyperlink" Target="https://codesommet.com/tools/ai-readiness-checker" TargetMode="External" Id="rId944"/><Relationship Type="http://schemas.openxmlformats.org/officeDocument/2006/relationships/hyperlink" Target="https://codesommet.com/tools/ai-readiness-checker" TargetMode="External" Id="rId945"/><Relationship Type="http://schemas.openxmlformats.org/officeDocument/2006/relationships/hyperlink" Target="https://codesommet.com/tools/ai-readiness-checker" TargetMode="External" Id="rId946"/><Relationship Type="http://schemas.openxmlformats.org/officeDocument/2006/relationships/hyperlink" Target="https://codesommet.com/tools/ai-readiness-checker" TargetMode="External" Id="rId947"/><Relationship Type="http://schemas.openxmlformats.org/officeDocument/2006/relationships/hyperlink" Target="https://codesommet.com/tools/ai-readiness-checker" TargetMode="External" Id="rId948"/><Relationship Type="http://schemas.openxmlformats.org/officeDocument/2006/relationships/hyperlink" Target="https://codesommet.com/tools/base64-encoder" TargetMode="External" Id="rId949"/><Relationship Type="http://schemas.openxmlformats.org/officeDocument/2006/relationships/hyperlink" Target="https://codesommet.com/tools/base64-encoder" TargetMode="External" Id="rId950"/><Relationship Type="http://schemas.openxmlformats.org/officeDocument/2006/relationships/hyperlink" Target="https://codesommet.com/tools/base64-encoder" TargetMode="External" Id="rId951"/><Relationship Type="http://schemas.openxmlformats.org/officeDocument/2006/relationships/hyperlink" Target="https://codesommet.com/tools/base64-encoder" TargetMode="External" Id="rId952"/><Relationship Type="http://schemas.openxmlformats.org/officeDocument/2006/relationships/hyperlink" Target="https://codesommet.com/tools/base64-encoder" TargetMode="External" Id="rId953"/><Relationship Type="http://schemas.openxmlformats.org/officeDocument/2006/relationships/hyperlink" Target="https://codesommet.com/tools/blog-title-generator" TargetMode="External" Id="rId954"/><Relationship Type="http://schemas.openxmlformats.org/officeDocument/2006/relationships/hyperlink" Target="https://codesommet.com/tools/blog-title-generator" TargetMode="External" Id="rId955"/><Relationship Type="http://schemas.openxmlformats.org/officeDocument/2006/relationships/hyperlink" Target="https://codesommet.com/tools/blog-title-generator" TargetMode="External" Id="rId956"/><Relationship Type="http://schemas.openxmlformats.org/officeDocument/2006/relationships/hyperlink" Target="https://codesommet.com/tools/blog-title-generator" TargetMode="External" Id="rId957"/><Relationship Type="http://schemas.openxmlformats.org/officeDocument/2006/relationships/hyperlink" Target="https://codesommet.com/tools/blog-title-generator" TargetMode="External" Id="rId958"/><Relationship Type="http://schemas.openxmlformats.org/officeDocument/2006/relationships/hyperlink" Target="https://codesommet.com/tools/bot-viewer" TargetMode="External" Id="rId959"/><Relationship Type="http://schemas.openxmlformats.org/officeDocument/2006/relationships/hyperlink" Target="https://codesommet.com/tools/bot-viewer" TargetMode="External" Id="rId960"/><Relationship Type="http://schemas.openxmlformats.org/officeDocument/2006/relationships/hyperlink" Target="https://codesommet.com/tools/bot-viewer" TargetMode="External" Id="rId961"/><Relationship Type="http://schemas.openxmlformats.org/officeDocument/2006/relationships/hyperlink" Target="https://codesommet.com/tools/bot-viewer" TargetMode="External" Id="rId962"/><Relationship Type="http://schemas.openxmlformats.org/officeDocument/2006/relationships/hyperlink" Target="https://codesommet.com/tools/bot-viewer" TargetMode="External" Id="rId963"/><Relationship Type="http://schemas.openxmlformats.org/officeDocument/2006/relationships/hyperlink" Target="https://codesommet.com/tools/bot-viewer" TargetMode="External" Id="rId964"/><Relationship Type="http://schemas.openxmlformats.org/officeDocument/2006/relationships/hyperlink" Target="https://codesommet.com/tools/bot-viewer" TargetMode="External" Id="rId965"/><Relationship Type="http://schemas.openxmlformats.org/officeDocument/2006/relationships/hyperlink" Target="https://codesommet.com/tools/broken-link-checker" TargetMode="External" Id="rId966"/><Relationship Type="http://schemas.openxmlformats.org/officeDocument/2006/relationships/hyperlink" Target="https://codesommet.com/tools/broken-link-checker" TargetMode="External" Id="rId967"/><Relationship Type="http://schemas.openxmlformats.org/officeDocument/2006/relationships/hyperlink" Target="https://codesommet.com/tools/broken-link-checker" TargetMode="External" Id="rId968"/><Relationship Type="http://schemas.openxmlformats.org/officeDocument/2006/relationships/hyperlink" Target="https://codesommet.com/tools/broken-link-checker" TargetMode="External" Id="rId969"/><Relationship Type="http://schemas.openxmlformats.org/officeDocument/2006/relationships/hyperlink" Target="https://codesommet.com/tools/broken-link-checker" TargetMode="External" Id="rId970"/><Relationship Type="http://schemas.openxmlformats.org/officeDocument/2006/relationships/hyperlink" Target="https://codesommet.com/tools/canonical-checker" TargetMode="External" Id="rId971"/><Relationship Type="http://schemas.openxmlformats.org/officeDocument/2006/relationships/hyperlink" Target="https://codesommet.com/tools/canonical-checker" TargetMode="External" Id="rId972"/><Relationship Type="http://schemas.openxmlformats.org/officeDocument/2006/relationships/hyperlink" Target="https://codesommet.com/tools/canonical-checker" TargetMode="External" Id="rId973"/><Relationship Type="http://schemas.openxmlformats.org/officeDocument/2006/relationships/hyperlink" Target="https://codesommet.com/tools/canonical-checker" TargetMode="External" Id="rId974"/><Relationship Type="http://schemas.openxmlformats.org/officeDocument/2006/relationships/hyperlink" Target="https://codesommet.com/tools/canonical-checker" TargetMode="External" Id="rId975"/><Relationship Type="http://schemas.openxmlformats.org/officeDocument/2006/relationships/hyperlink" Target="https://codesommet.com/tools/chatbot-script-generator" TargetMode="External" Id="rId976"/><Relationship Type="http://schemas.openxmlformats.org/officeDocument/2006/relationships/hyperlink" Target="https://codesommet.com/tools/chatbot-script-generator" TargetMode="External" Id="rId977"/><Relationship Type="http://schemas.openxmlformats.org/officeDocument/2006/relationships/hyperlink" Target="https://codesommet.com/tools/chatbot-script-generator" TargetMode="External" Id="rId978"/><Relationship Type="http://schemas.openxmlformats.org/officeDocument/2006/relationships/hyperlink" Target="https://codesommet.com/tools/chatbot-script-generator" TargetMode="External" Id="rId979"/><Relationship Type="http://schemas.openxmlformats.org/officeDocument/2006/relationships/hyperlink" Target="https://codesommet.com/tools/color-palette-generator" TargetMode="External" Id="rId980"/><Relationship Type="http://schemas.openxmlformats.org/officeDocument/2006/relationships/hyperlink" Target="https://codesommet.com/tools/color-palette-generator" TargetMode="External" Id="rId981"/><Relationship Type="http://schemas.openxmlformats.org/officeDocument/2006/relationships/hyperlink" Target="https://codesommet.com/tools/color-palette-generator" TargetMode="External" Id="rId982"/><Relationship Type="http://schemas.openxmlformats.org/officeDocument/2006/relationships/hyperlink" Target="https://codesommet.com/tools/color-palette-generator" TargetMode="External" Id="rId983"/><Relationship Type="http://schemas.openxmlformats.org/officeDocument/2006/relationships/hyperlink" Target="https://codesommet.com/tools/core-web-vitals-checker" TargetMode="External" Id="rId984"/><Relationship Type="http://schemas.openxmlformats.org/officeDocument/2006/relationships/hyperlink" Target="https://codesommet.com/tools/core-web-vitals-checker" TargetMode="External" Id="rId985"/><Relationship Type="http://schemas.openxmlformats.org/officeDocument/2006/relationships/hyperlink" Target="https://codesommet.com/tools/core-web-vitals-checker" TargetMode="External" Id="rId986"/><Relationship Type="http://schemas.openxmlformats.org/officeDocument/2006/relationships/hyperlink" Target="https://codesommet.com/tools/crawl-optimization-checker" TargetMode="External" Id="rId987"/><Relationship Type="http://schemas.openxmlformats.org/officeDocument/2006/relationships/hyperlink" Target="https://codesommet.com/tools/crawl-optimization-checker" TargetMode="External" Id="rId988"/><Relationship Type="http://schemas.openxmlformats.org/officeDocument/2006/relationships/hyperlink" Target="https://codesommet.com/tools/crawl-optimization-checker" TargetMode="External" Id="rId989"/><Relationship Type="http://schemas.openxmlformats.org/officeDocument/2006/relationships/hyperlink" Target="https://codesommet.com/tools/crawl-optimization-checker" TargetMode="External" Id="rId990"/><Relationship Type="http://schemas.openxmlformats.org/officeDocument/2006/relationships/hyperlink" Target="https://codesommet.com/tools/crawl-optimization-checker" TargetMode="External" Id="rId991"/><Relationship Type="http://schemas.openxmlformats.org/officeDocument/2006/relationships/hyperlink" Target="https://codesommet.com/tools/crawl-visualizer" TargetMode="External" Id="rId992"/><Relationship Type="http://schemas.openxmlformats.org/officeDocument/2006/relationships/hyperlink" Target="https://codesommet.com/tools/crawl-visualizer" TargetMode="External" Id="rId993"/><Relationship Type="http://schemas.openxmlformats.org/officeDocument/2006/relationships/hyperlink" Target="https://codesommet.com/tools/crawl-visualizer" TargetMode="External" Id="rId994"/><Relationship Type="http://schemas.openxmlformats.org/officeDocument/2006/relationships/hyperlink" Target="https://codesommet.com/tools/crawl-visualizer" TargetMode="External" Id="rId995"/><Relationship Type="http://schemas.openxmlformats.org/officeDocument/2006/relationships/hyperlink" Target="https://codesommet.com/tools/crawl-visualizer" TargetMode="External" Id="rId996"/><Relationship Type="http://schemas.openxmlformats.org/officeDocument/2006/relationships/hyperlink" Target="https://codesommet.com/tools/crawl-visualizer" TargetMode="External" Id="rId997"/><Relationship Type="http://schemas.openxmlformats.org/officeDocument/2006/relationships/hyperlink" Target="https://codesommet.com/tools/css-minifier" TargetMode="External" Id="rId998"/><Relationship Type="http://schemas.openxmlformats.org/officeDocument/2006/relationships/hyperlink" Target="https://codesommet.com/tools/css-minifier" TargetMode="External" Id="rId999"/><Relationship Type="http://schemas.openxmlformats.org/officeDocument/2006/relationships/hyperlink" Target="https://codesommet.com/tools/css-minifier" TargetMode="External" Id="rId1000"/><Relationship Type="http://schemas.openxmlformats.org/officeDocument/2006/relationships/hyperlink" Target="https://codesommet.com/tools/css-minifier" TargetMode="External" Id="rId1001"/><Relationship Type="http://schemas.openxmlformats.org/officeDocument/2006/relationships/hyperlink" Target="https://codesommet.com/tools/css-minifier" TargetMode="External" Id="rId1002"/><Relationship Type="http://schemas.openxmlformats.org/officeDocument/2006/relationships/hyperlink" Target="https://codesommet.com/tools/css-minifier" TargetMode="External" Id="rId1003"/><Relationship Type="http://schemas.openxmlformats.org/officeDocument/2006/relationships/hyperlink" Target="https://codesommet.com/tools/domain-authority-checker" TargetMode="External" Id="rId1004"/><Relationship Type="http://schemas.openxmlformats.org/officeDocument/2006/relationships/hyperlink" Target="https://codesommet.com/tools/domain-authority-checker" TargetMode="External" Id="rId1005"/><Relationship Type="http://schemas.openxmlformats.org/officeDocument/2006/relationships/hyperlink" Target="https://codesommet.com/tools/domain-authority-checker" TargetMode="External" Id="rId1006"/><Relationship Type="http://schemas.openxmlformats.org/officeDocument/2006/relationships/hyperlink" Target="https://codesommet.com/tools/domain-authority-checker" TargetMode="External" Id="rId1007"/><Relationship Type="http://schemas.openxmlformats.org/officeDocument/2006/relationships/hyperlink" Target="https://codesommet.com/tools/domain-extractor" TargetMode="External" Id="rId1008"/><Relationship Type="http://schemas.openxmlformats.org/officeDocument/2006/relationships/hyperlink" Target="https://codesommet.com/tools/domain-extractor" TargetMode="External" Id="rId1009"/><Relationship Type="http://schemas.openxmlformats.org/officeDocument/2006/relationships/hyperlink" Target="https://codesommet.com/tools/domain-extractor" TargetMode="External" Id="rId1010"/><Relationship Type="http://schemas.openxmlformats.org/officeDocument/2006/relationships/hyperlink" Target="https://codesommet.com/tools/domain-extractor" TargetMode="External" Id="rId1011"/><Relationship Type="http://schemas.openxmlformats.org/officeDocument/2006/relationships/hyperlink" Target="https://codesommet.com/tools/domain-extractor" TargetMode="External" Id="rId1012"/><Relationship Type="http://schemas.openxmlformats.org/officeDocument/2006/relationships/hyperlink" Target="https://codesommet.com/tools/domain-extractor" TargetMode="External" Id="rId1013"/><Relationship Type="http://schemas.openxmlformats.org/officeDocument/2006/relationships/hyperlink" Target="https://codesommet.com/tools/domain-health-checker" TargetMode="External" Id="rId1014"/><Relationship Type="http://schemas.openxmlformats.org/officeDocument/2006/relationships/hyperlink" Target="https://codesommet.com/tools/domain-health-checker" TargetMode="External" Id="rId1015"/><Relationship Type="http://schemas.openxmlformats.org/officeDocument/2006/relationships/hyperlink" Target="https://codesommet.com/tools/domain-health-checker" TargetMode="External" Id="rId1016"/><Relationship Type="http://schemas.openxmlformats.org/officeDocument/2006/relationships/hyperlink" Target="https://codesommet.com/tools/domain-health-checker" TargetMode="External" Id="rId1017"/><Relationship Type="http://schemas.openxmlformats.org/officeDocument/2006/relationships/hyperlink" Target="https://codesommet.com/tools/domain-health-checker" TargetMode="External" Id="rId1018"/><Relationship Type="http://schemas.openxmlformats.org/officeDocument/2006/relationships/hyperlink" Target="https://codesommet.com/tools/duplicate-content-checker" TargetMode="External" Id="rId1019"/><Relationship Type="http://schemas.openxmlformats.org/officeDocument/2006/relationships/hyperlink" Target="https://codesommet.com/tools/duplicate-content-checker" TargetMode="External" Id="rId1020"/><Relationship Type="http://schemas.openxmlformats.org/officeDocument/2006/relationships/hyperlink" Target="https://codesommet.com/tools/duplicate-content-checker" TargetMode="External" Id="rId1021"/><Relationship Type="http://schemas.openxmlformats.org/officeDocument/2006/relationships/hyperlink" Target="https://codesommet.com/tools/duplicate-content-checker" TargetMode="External" Id="rId1022"/><Relationship Type="http://schemas.openxmlformats.org/officeDocument/2006/relationships/hyperlink" Target="https://codesommet.com/tools/duplicate-content-checker" TargetMode="External" Id="rId1023"/><Relationship Type="http://schemas.openxmlformats.org/officeDocument/2006/relationships/hyperlink" Target="https://codesommet.com/tools/duplicate-content-checker" TargetMode="External" Id="rId1024"/><Relationship Type="http://schemas.openxmlformats.org/officeDocument/2006/relationships/hyperlink" Target="https://codesommet.com/tools/eeat-signals-checker" TargetMode="External" Id="rId1025"/><Relationship Type="http://schemas.openxmlformats.org/officeDocument/2006/relationships/hyperlink" Target="https://codesommet.com/tools/eeat-signals-checker" TargetMode="External" Id="rId1026"/><Relationship Type="http://schemas.openxmlformats.org/officeDocument/2006/relationships/hyperlink" Target="https://codesommet.com/tools/eeat-signals-checker" TargetMode="External" Id="rId1027"/><Relationship Type="http://schemas.openxmlformats.org/officeDocument/2006/relationships/hyperlink" Target="https://codesommet.com/tools/eeat-signals-checker" TargetMode="External" Id="rId1028"/><Relationship Type="http://schemas.openxmlformats.org/officeDocument/2006/relationships/hyperlink" Target="https://codesommet.com/tools/eeat-signals-checker" TargetMode="External" Id="rId1029"/><Relationship Type="http://schemas.openxmlformats.org/officeDocument/2006/relationships/hyperlink" Target="https://codesommet.com/tools/eeat-signals-checker" TargetMode="External" Id="rId1030"/><Relationship Type="http://schemas.openxmlformats.org/officeDocument/2006/relationships/hyperlink" Target="https://codesommet.com/tools/expired-domain-checker" TargetMode="External" Id="rId1031"/><Relationship Type="http://schemas.openxmlformats.org/officeDocument/2006/relationships/hyperlink" Target="https://codesommet.com/tools/expired-domain-checker" TargetMode="External" Id="rId1032"/><Relationship Type="http://schemas.openxmlformats.org/officeDocument/2006/relationships/hyperlink" Target="https://codesommet.com/tools/expired-domain-checker" TargetMode="External" Id="rId1033"/><Relationship Type="http://schemas.openxmlformats.org/officeDocument/2006/relationships/hyperlink" Target="https://codesommet.com/tools/expired-domain-checker" TargetMode="External" Id="rId1034"/><Relationship Type="http://schemas.openxmlformats.org/officeDocument/2006/relationships/hyperlink" Target="https://codesommet.com/tools/expired-domain-checker" TargetMode="External" Id="rId1035"/><Relationship Type="http://schemas.openxmlformats.org/officeDocument/2006/relationships/hyperlink" Target="https://codesommet.com/tools/expired-domain-checker" TargetMode="External" Id="rId1036"/><Relationship Type="http://schemas.openxmlformats.org/officeDocument/2006/relationships/hyperlink" Target="https://codesommet.com/tools/faq-schema-generator" TargetMode="External" Id="rId1037"/><Relationship Type="http://schemas.openxmlformats.org/officeDocument/2006/relationships/hyperlink" Target="https://codesommet.com/tools/faq-schema-generator" TargetMode="External" Id="rId1038"/><Relationship Type="http://schemas.openxmlformats.org/officeDocument/2006/relationships/hyperlink" Target="https://codesommet.com/tools/faq-schema-generator" TargetMode="External" Id="rId1039"/><Relationship Type="http://schemas.openxmlformats.org/officeDocument/2006/relationships/hyperlink" Target="https://codesommet.com/tools/faq-schema-generator" TargetMode="External" Id="rId1040"/><Relationship Type="http://schemas.openxmlformats.org/officeDocument/2006/relationships/hyperlink" Target="https://codesommet.com/tools/heading-analyzer" TargetMode="External" Id="rId1041"/><Relationship Type="http://schemas.openxmlformats.org/officeDocument/2006/relationships/hyperlink" Target="https://codesommet.com/tools/heading-analyzer" TargetMode="External" Id="rId1042"/><Relationship Type="http://schemas.openxmlformats.org/officeDocument/2006/relationships/hyperlink" Target="https://codesommet.com/tools/heading-analyzer" TargetMode="External" Id="rId1043"/><Relationship Type="http://schemas.openxmlformats.org/officeDocument/2006/relationships/hyperlink" Target="https://codesommet.com/tools/heading-analyzer" TargetMode="External" Id="rId1044"/><Relationship Type="http://schemas.openxmlformats.org/officeDocument/2006/relationships/hyperlink" Target="https://codesommet.com/tools/hreflang-generator" TargetMode="External" Id="rId1045"/><Relationship Type="http://schemas.openxmlformats.org/officeDocument/2006/relationships/hyperlink" Target="https://codesommet.com/tools/hreflang-generator" TargetMode="External" Id="rId1046"/><Relationship Type="http://schemas.openxmlformats.org/officeDocument/2006/relationships/hyperlink" Target="https://codesommet.com/tools/hreflang-generator" TargetMode="External" Id="rId1047"/><Relationship Type="http://schemas.openxmlformats.org/officeDocument/2006/relationships/hyperlink" Target="https://codesommet.com/tools/hreflang-generator" TargetMode="External" Id="rId1048"/><Relationship Type="http://schemas.openxmlformats.org/officeDocument/2006/relationships/hyperlink" Target="https://codesommet.com/tools/hreflang-generator" TargetMode="External" Id="rId1049"/><Relationship Type="http://schemas.openxmlformats.org/officeDocument/2006/relationships/hyperlink" Target="https://codesommet.com/tools/hreflang-generator" TargetMode="External" Id="rId1050"/><Relationship Type="http://schemas.openxmlformats.org/officeDocument/2006/relationships/hyperlink" Target="https://codesommet.com/tools/html-minifier" TargetMode="External" Id="rId1051"/><Relationship Type="http://schemas.openxmlformats.org/officeDocument/2006/relationships/hyperlink" Target="https://codesommet.com/tools/html-minifier" TargetMode="External" Id="rId1052"/><Relationship Type="http://schemas.openxmlformats.org/officeDocument/2006/relationships/hyperlink" Target="https://codesommet.com/tools/html-minifier" TargetMode="External" Id="rId1053"/><Relationship Type="http://schemas.openxmlformats.org/officeDocument/2006/relationships/hyperlink" Target="https://codesommet.com/tools/html-minifier" TargetMode="External" Id="rId1054"/><Relationship Type="http://schemas.openxmlformats.org/officeDocument/2006/relationships/hyperlink" Target="https://codesommet.com/tools/html-to-text" TargetMode="External" Id="rId1055"/><Relationship Type="http://schemas.openxmlformats.org/officeDocument/2006/relationships/hyperlink" Target="https://codesommet.com/tools/html-to-text" TargetMode="External" Id="rId1056"/><Relationship Type="http://schemas.openxmlformats.org/officeDocument/2006/relationships/hyperlink" Target="https://codesommet.com/tools/html-to-text" TargetMode="External" Id="rId1057"/><Relationship Type="http://schemas.openxmlformats.org/officeDocument/2006/relationships/hyperlink" Target="https://codesommet.com/tools/html-to-text" TargetMode="External" Id="rId1058"/><Relationship Type="http://schemas.openxmlformats.org/officeDocument/2006/relationships/hyperlink" Target="https://codesommet.com/tools/html-to-text" TargetMode="External" Id="rId1059"/><Relationship Type="http://schemas.openxmlformats.org/officeDocument/2006/relationships/hyperlink" Target="https://codesommet.com/tools/image-alt-analyzer" TargetMode="External" Id="rId1060"/><Relationship Type="http://schemas.openxmlformats.org/officeDocument/2006/relationships/hyperlink" Target="https://codesommet.com/tools/image-alt-analyzer" TargetMode="External" Id="rId1061"/><Relationship Type="http://schemas.openxmlformats.org/officeDocument/2006/relationships/hyperlink" Target="https://codesommet.com/tools/image-alt-analyzer" TargetMode="External" Id="rId1062"/><Relationship Type="http://schemas.openxmlformats.org/officeDocument/2006/relationships/hyperlink" Target="https://codesommet.com/tools/image-alt-analyzer" TargetMode="External" Id="rId1063"/><Relationship Type="http://schemas.openxmlformats.org/officeDocument/2006/relationships/hyperlink" Target="https://codesommet.com/tools/image-compression-analyzer" TargetMode="External" Id="rId1064"/><Relationship Type="http://schemas.openxmlformats.org/officeDocument/2006/relationships/hyperlink" Target="https://codesommet.com/tools/image-compression-analyzer" TargetMode="External" Id="rId1065"/><Relationship Type="http://schemas.openxmlformats.org/officeDocument/2006/relationships/hyperlink" Target="https://codesommet.com/tools/image-compression-analyzer" TargetMode="External" Id="rId1066"/><Relationship Type="http://schemas.openxmlformats.org/officeDocument/2006/relationships/hyperlink" Target="https://codesommet.com/tools/image-compression-analyzer" TargetMode="External" Id="rId1067"/><Relationship Type="http://schemas.openxmlformats.org/officeDocument/2006/relationships/hyperlink" Target="https://codesommet.com/tools/image-compression-analyzer" TargetMode="External" Id="rId1068"/><Relationship Type="http://schemas.openxmlformats.org/officeDocument/2006/relationships/hyperlink" Target="https://codesommet.com/tools/image-compressor" TargetMode="External" Id="rId1069"/><Relationship Type="http://schemas.openxmlformats.org/officeDocument/2006/relationships/hyperlink" Target="https://codesommet.com/tools/image-compressor" TargetMode="External" Id="rId1070"/><Relationship Type="http://schemas.openxmlformats.org/officeDocument/2006/relationships/hyperlink" Target="https://codesommet.com/tools/image-compressor" TargetMode="External" Id="rId1071"/><Relationship Type="http://schemas.openxmlformats.org/officeDocument/2006/relationships/hyperlink" Target="https://codesommet.com/tools/image-compressor" TargetMode="External" Id="rId1072"/><Relationship Type="http://schemas.openxmlformats.org/officeDocument/2006/relationships/hyperlink" Target="https://codesommet.com/tools/image-compressor" TargetMode="External" Id="rId1073"/><Relationship Type="http://schemas.openxmlformats.org/officeDocument/2006/relationships/hyperlink" Target="https://codesommet.com/tools/image-compressor" TargetMode="External" Id="rId1074"/><Relationship Type="http://schemas.openxmlformats.org/officeDocument/2006/relationships/hyperlink" Target="https://codesommet.com/tools/internal-link-analyzer" TargetMode="External" Id="rId1075"/><Relationship Type="http://schemas.openxmlformats.org/officeDocument/2006/relationships/hyperlink" Target="https://codesommet.com/tools/internal-link-analyzer" TargetMode="External" Id="rId1076"/><Relationship Type="http://schemas.openxmlformats.org/officeDocument/2006/relationships/hyperlink" Target="https://codesommet.com/tools/internal-link-analyzer" TargetMode="External" Id="rId1077"/><Relationship Type="http://schemas.openxmlformats.org/officeDocument/2006/relationships/hyperlink" Target="https://codesommet.com/tools/internal-link-analyzer" TargetMode="External" Id="rId1078"/><Relationship Type="http://schemas.openxmlformats.org/officeDocument/2006/relationships/hyperlink" Target="https://codesommet.com/tools/internal-link-analyzer" TargetMode="External" Id="rId1079"/><Relationship Type="http://schemas.openxmlformats.org/officeDocument/2006/relationships/hyperlink" Target="https://codesommet.com/tools/invisible-character-cleaner" TargetMode="External" Id="rId1080"/><Relationship Type="http://schemas.openxmlformats.org/officeDocument/2006/relationships/hyperlink" Target="https://codesommet.com/tools/invisible-character-cleaner" TargetMode="External" Id="rId1081"/><Relationship Type="http://schemas.openxmlformats.org/officeDocument/2006/relationships/hyperlink" Target="https://codesommet.com/tools/invisible-character-cleaner" TargetMode="External" Id="rId1082"/><Relationship Type="http://schemas.openxmlformats.org/officeDocument/2006/relationships/hyperlink" Target="https://codesommet.com/tools/invisible-character-cleaner" TargetMode="External" Id="rId1083"/><Relationship Type="http://schemas.openxmlformats.org/officeDocument/2006/relationships/hyperlink" Target="https://codesommet.com/tools/invisible-character-cleaner" TargetMode="External" Id="rId1084"/><Relationship Type="http://schemas.openxmlformats.org/officeDocument/2006/relationships/hyperlink" Target="https://codesommet.com/tools/invisible-character-cleaner" TargetMode="External" Id="rId1085"/><Relationship Type="http://schemas.openxmlformats.org/officeDocument/2006/relationships/hyperlink" Target="https://codesommet.com/tools/invisible-character-cleaner" TargetMode="External" Id="rId1086"/><Relationship Type="http://schemas.openxmlformats.org/officeDocument/2006/relationships/hyperlink" Target="https://codesommet.com/tools/json-formatter" TargetMode="External" Id="rId1087"/><Relationship Type="http://schemas.openxmlformats.org/officeDocument/2006/relationships/hyperlink" Target="https://codesommet.com/tools/json-formatter" TargetMode="External" Id="rId1088"/><Relationship Type="http://schemas.openxmlformats.org/officeDocument/2006/relationships/hyperlink" Target="https://codesommet.com/tools/json-formatter" TargetMode="External" Id="rId1089"/><Relationship Type="http://schemas.openxmlformats.org/officeDocument/2006/relationships/hyperlink" Target="https://codesommet.com/tools/json-formatter" TargetMode="External" Id="rId1090"/><Relationship Type="http://schemas.openxmlformats.org/officeDocument/2006/relationships/hyperlink" Target="https://codesommet.com/tools/json-formatter" TargetMode="External" Id="rId1091"/><Relationship Type="http://schemas.openxmlformats.org/officeDocument/2006/relationships/hyperlink" Target="https://codesommet.com/tools/keyword-density-analyzer" TargetMode="External" Id="rId1092"/><Relationship Type="http://schemas.openxmlformats.org/officeDocument/2006/relationships/hyperlink" Target="https://codesommet.com/tools/keyword-density-analyzer" TargetMode="External" Id="rId1093"/><Relationship Type="http://schemas.openxmlformats.org/officeDocument/2006/relationships/hyperlink" Target="https://codesommet.com/tools/keyword-density-analyzer" TargetMode="External" Id="rId1094"/><Relationship Type="http://schemas.openxmlformats.org/officeDocument/2006/relationships/hyperlink" Target="https://codesommet.com/tools/keyword-density-analyzer" TargetMode="External" Id="rId1095"/><Relationship Type="http://schemas.openxmlformats.org/officeDocument/2006/relationships/hyperlink" Target="https://codesommet.com/tools/keyword-modifier-generator" TargetMode="External" Id="rId1096"/><Relationship Type="http://schemas.openxmlformats.org/officeDocument/2006/relationships/hyperlink" Target="https://codesommet.com/tools/keyword-modifier-generator" TargetMode="External" Id="rId1097"/><Relationship Type="http://schemas.openxmlformats.org/officeDocument/2006/relationships/hyperlink" Target="https://codesommet.com/tools/keyword-modifier-generator" TargetMode="External" Id="rId1098"/><Relationship Type="http://schemas.openxmlformats.org/officeDocument/2006/relationships/hyperlink" Target="https://codesommet.com/tools/keyword-modifier-generator" TargetMode="External" Id="rId1099"/><Relationship Type="http://schemas.openxmlformats.org/officeDocument/2006/relationships/hyperlink" Target="https://codesommet.com/tools/keyword-modifier-generator" TargetMode="External" Id="rId1100"/><Relationship Type="http://schemas.openxmlformats.org/officeDocument/2006/relationships/hyperlink" Target="https://codesommet.com/tools/landing-page-generator" TargetMode="External" Id="rId1101"/><Relationship Type="http://schemas.openxmlformats.org/officeDocument/2006/relationships/hyperlink" Target="https://codesommet.com/tools/landing-page-generator" TargetMode="External" Id="rId1102"/><Relationship Type="http://schemas.openxmlformats.org/officeDocument/2006/relationships/hyperlink" Target="https://codesommet.com/tools/landing-page-generator" TargetMode="External" Id="rId1103"/><Relationship Type="http://schemas.openxmlformats.org/officeDocument/2006/relationships/hyperlink" Target="https://codesommet.com/tools/landing-page-generator" TargetMode="External" Id="rId1104"/><Relationship Type="http://schemas.openxmlformats.org/officeDocument/2006/relationships/hyperlink" Target="https://codesommet.com/tools/llms-txt-generator" TargetMode="External" Id="rId1105"/><Relationship Type="http://schemas.openxmlformats.org/officeDocument/2006/relationships/hyperlink" Target="https://codesommet.com/tools/llms-txt-generator" TargetMode="External" Id="rId1106"/><Relationship Type="http://schemas.openxmlformats.org/officeDocument/2006/relationships/hyperlink" Target="https://codesommet.com/tools/llms-txt-generator" TargetMode="External" Id="rId1107"/><Relationship Type="http://schemas.openxmlformats.org/officeDocument/2006/relationships/hyperlink" Target="https://codesommet.com/tools/llms-txt-generator" TargetMode="External" Id="rId1108"/><Relationship Type="http://schemas.openxmlformats.org/officeDocument/2006/relationships/hyperlink" Target="https://codesommet.com/tools/llms-txt-generator" TargetMode="External" Id="rId1109"/><Relationship Type="http://schemas.openxmlformats.org/officeDocument/2006/relationships/hyperlink" Target="https://codesommet.com/tools/llms-txt-generator" TargetMode="External" Id="rId1110"/><Relationship Type="http://schemas.openxmlformats.org/officeDocument/2006/relationships/hyperlink" Target="https://codesommet.com/tools/local-business-schema" TargetMode="External" Id="rId1111"/><Relationship Type="http://schemas.openxmlformats.org/officeDocument/2006/relationships/hyperlink" Target="https://codesommet.com/tools/local-business-schema" TargetMode="External" Id="rId1112"/><Relationship Type="http://schemas.openxmlformats.org/officeDocument/2006/relationships/hyperlink" Target="https://codesommet.com/tools/local-business-schema" TargetMode="External" Id="rId1113"/><Relationship Type="http://schemas.openxmlformats.org/officeDocument/2006/relationships/hyperlink" Target="https://codesommet.com/tools/local-business-schema" TargetMode="External" Id="rId1114"/><Relationship Type="http://schemas.openxmlformats.org/officeDocument/2006/relationships/hyperlink" Target="https://codesommet.com/tools/local-business-schema" TargetMode="External" Id="rId1115"/><Relationship Type="http://schemas.openxmlformats.org/officeDocument/2006/relationships/hyperlink" Target="https://codesommet.com/tools/lorem-ipsum-generator" TargetMode="External" Id="rId1116"/><Relationship Type="http://schemas.openxmlformats.org/officeDocument/2006/relationships/hyperlink" Target="https://codesommet.com/tools/lorem-ipsum-generator" TargetMode="External" Id="rId1117"/><Relationship Type="http://schemas.openxmlformats.org/officeDocument/2006/relationships/hyperlink" Target="https://codesommet.com/tools/lorem-ipsum-generator" TargetMode="External" Id="rId1118"/><Relationship Type="http://schemas.openxmlformats.org/officeDocument/2006/relationships/hyperlink" Target="https://codesommet.com/tools/lorem-ipsum-generator" TargetMode="External" Id="rId1119"/><Relationship Type="http://schemas.openxmlformats.org/officeDocument/2006/relationships/hyperlink" Target="https://codesommet.com/tools/lorem-ipsum-generator" TargetMode="External" Id="rId1120"/><Relationship Type="http://schemas.openxmlformats.org/officeDocument/2006/relationships/hyperlink" Target="https://codesommet.com/tools/meta-extractor" TargetMode="External" Id="rId1121"/><Relationship Type="http://schemas.openxmlformats.org/officeDocument/2006/relationships/hyperlink" Target="https://codesommet.com/tools/meta-extractor" TargetMode="External" Id="rId1122"/><Relationship Type="http://schemas.openxmlformats.org/officeDocument/2006/relationships/hyperlink" Target="https://codesommet.com/tools/meta-extractor" TargetMode="External" Id="rId1123"/><Relationship Type="http://schemas.openxmlformats.org/officeDocument/2006/relationships/hyperlink" Target="https://codesommet.com/tools/meta-extractor" TargetMode="External" Id="rId1124"/><Relationship Type="http://schemas.openxmlformats.org/officeDocument/2006/relationships/hyperlink" Target="https://codesommet.com/tools/meta-extractor" TargetMode="External" Id="rId1125"/><Relationship Type="http://schemas.openxmlformats.org/officeDocument/2006/relationships/hyperlink" Target="https://codesommet.com/tools/meta-extractor" TargetMode="External" Id="rId1126"/><Relationship Type="http://schemas.openxmlformats.org/officeDocument/2006/relationships/hyperlink" Target="https://codesommet.com/tools/meta-refresh-generator" TargetMode="External" Id="rId1127"/><Relationship Type="http://schemas.openxmlformats.org/officeDocument/2006/relationships/hyperlink" Target="https://codesommet.com/tools/meta-refresh-generator" TargetMode="External" Id="rId1128"/><Relationship Type="http://schemas.openxmlformats.org/officeDocument/2006/relationships/hyperlink" Target="https://codesommet.com/tools/meta-refresh-generator" TargetMode="External" Id="rId1129"/><Relationship Type="http://schemas.openxmlformats.org/officeDocument/2006/relationships/hyperlink" Target="https://codesommet.com/tools/meta-refresh-generator" TargetMode="External" Id="rId1130"/><Relationship Type="http://schemas.openxmlformats.org/officeDocument/2006/relationships/hyperlink" Target="https://codesommet.com/tools/meta-refresh-generator" TargetMode="External" Id="rId1131"/><Relationship Type="http://schemas.openxmlformats.org/officeDocument/2006/relationships/hyperlink" Target="https://codesommet.com/tools/meta-refresh-generator" TargetMode="External" Id="rId1132"/><Relationship Type="http://schemas.openxmlformats.org/officeDocument/2006/relationships/hyperlink" Target="https://codesommet.com/tools/meta-refresh-generator" TargetMode="External" Id="rId1133"/><Relationship Type="http://schemas.openxmlformats.org/officeDocument/2006/relationships/hyperlink" Target="https://codesommet.com/tools/meta-tag-generator" TargetMode="External" Id="rId1134"/><Relationship Type="http://schemas.openxmlformats.org/officeDocument/2006/relationships/hyperlink" Target="https://codesommet.com/tools/meta-tag-generator" TargetMode="External" Id="rId1135"/><Relationship Type="http://schemas.openxmlformats.org/officeDocument/2006/relationships/hyperlink" Target="https://codesommet.com/tools/meta-tag-generator" TargetMode="External" Id="rId1136"/><Relationship Type="http://schemas.openxmlformats.org/officeDocument/2006/relationships/hyperlink" Target="https://codesommet.com/tools/meta-tag-generator" TargetMode="External" Id="rId1137"/><Relationship Type="http://schemas.openxmlformats.org/officeDocument/2006/relationships/hyperlink" Target="https://codesommet.com/tools/meta-tag-generator" TargetMode="External" Id="rId1138"/><Relationship Type="http://schemas.openxmlformats.org/officeDocument/2006/relationships/hyperlink" Target="https://codesommet.com/tools/mobile-friendly-test" TargetMode="External" Id="rId1139"/><Relationship Type="http://schemas.openxmlformats.org/officeDocument/2006/relationships/hyperlink" Target="https://codesommet.com/tools/mobile-friendly-test" TargetMode="External" Id="rId1140"/><Relationship Type="http://schemas.openxmlformats.org/officeDocument/2006/relationships/hyperlink" Target="https://codesommet.com/tools/mobile-friendly-test" TargetMode="External" Id="rId1141"/><Relationship Type="http://schemas.openxmlformats.org/officeDocument/2006/relationships/hyperlink" Target="https://codesommet.com/tools/ngram-extractor" TargetMode="External" Id="rId1142"/><Relationship Type="http://schemas.openxmlformats.org/officeDocument/2006/relationships/hyperlink" Target="https://codesommet.com/tools/ngram-extractor" TargetMode="External" Id="rId1143"/><Relationship Type="http://schemas.openxmlformats.org/officeDocument/2006/relationships/hyperlink" Target="https://codesommet.com/tools/ngram-extractor" TargetMode="External" Id="rId1144"/><Relationship Type="http://schemas.openxmlformats.org/officeDocument/2006/relationships/hyperlink" Target="https://codesommet.com/tools/ngram-extractor" TargetMode="External" Id="rId1145"/><Relationship Type="http://schemas.openxmlformats.org/officeDocument/2006/relationships/hyperlink" Target="https://codesommet.com/tools/ngram-extractor" TargetMode="External" Id="rId1146"/><Relationship Type="http://schemas.openxmlformats.org/officeDocument/2006/relationships/hyperlink" Target="https://codesommet.com/tools/nofollow-link-checker" TargetMode="External" Id="rId1147"/><Relationship Type="http://schemas.openxmlformats.org/officeDocument/2006/relationships/hyperlink" Target="https://codesommet.com/tools/nofollow-link-checker" TargetMode="External" Id="rId1148"/><Relationship Type="http://schemas.openxmlformats.org/officeDocument/2006/relationships/hyperlink" Target="https://codesommet.com/tools/nofollow-link-checker" TargetMode="External" Id="rId1149"/><Relationship Type="http://schemas.openxmlformats.org/officeDocument/2006/relationships/hyperlink" Target="https://codesommet.com/tools/nofollow-link-checker" TargetMode="External" Id="rId1150"/><Relationship Type="http://schemas.openxmlformats.org/officeDocument/2006/relationships/hyperlink" Target="https://codesommet.com/tools/nofollow-link-checker" TargetMode="External" Id="rId1151"/><Relationship Type="http://schemas.openxmlformats.org/officeDocument/2006/relationships/hyperlink" Target="https://codesommet.com/tools/og-preview-generator" TargetMode="External" Id="rId1152"/><Relationship Type="http://schemas.openxmlformats.org/officeDocument/2006/relationships/hyperlink" Target="https://codesommet.com/tools/og-preview-generator" TargetMode="External" Id="rId1153"/><Relationship Type="http://schemas.openxmlformats.org/officeDocument/2006/relationships/hyperlink" Target="https://codesommet.com/tools/og-preview-generator" TargetMode="External" Id="rId1154"/><Relationship Type="http://schemas.openxmlformats.org/officeDocument/2006/relationships/hyperlink" Target="https://codesommet.com/tools/og-preview-generator" TargetMode="External" Id="rId1155"/><Relationship Type="http://schemas.openxmlformats.org/officeDocument/2006/relationships/hyperlink" Target="https://codesommet.com/tools/page-speed-analyzer" TargetMode="External" Id="rId1156"/><Relationship Type="http://schemas.openxmlformats.org/officeDocument/2006/relationships/hyperlink" Target="https://codesommet.com/tools/page-speed-analyzer" TargetMode="External" Id="rId1157"/><Relationship Type="http://schemas.openxmlformats.org/officeDocument/2006/relationships/hyperlink" Target="https://codesommet.com/tools/page-speed-analyzer" TargetMode="External" Id="rId1158"/><Relationship Type="http://schemas.openxmlformats.org/officeDocument/2006/relationships/hyperlink" Target="https://codesommet.com/tools/page-speed-analyzer" TargetMode="External" Id="rId1159"/><Relationship Type="http://schemas.openxmlformats.org/officeDocument/2006/relationships/hyperlink" Target="https://codesommet.com/tools/qr-code-generator" TargetMode="External" Id="rId1160"/><Relationship Type="http://schemas.openxmlformats.org/officeDocument/2006/relationships/hyperlink" Target="https://codesommet.com/tools/qr-code-generator" TargetMode="External" Id="rId1161"/><Relationship Type="http://schemas.openxmlformats.org/officeDocument/2006/relationships/hyperlink" Target="https://codesommet.com/tools/qr-code-generator" TargetMode="External" Id="rId1162"/><Relationship Type="http://schemas.openxmlformats.org/officeDocument/2006/relationships/hyperlink" Target="https://codesommet.com/tools/qr-code-generator" TargetMode="External" Id="rId1163"/><Relationship Type="http://schemas.openxmlformats.org/officeDocument/2006/relationships/hyperlink" Target="https://codesommet.com/tools/qr-code-generator" TargetMode="External" Id="rId1164"/><Relationship Type="http://schemas.openxmlformats.org/officeDocument/2006/relationships/hyperlink" Target="https://codesommet.com/tools/readability-analyzer" TargetMode="External" Id="rId1165"/><Relationship Type="http://schemas.openxmlformats.org/officeDocument/2006/relationships/hyperlink" Target="https://codesommet.com/tools/readability-analyzer" TargetMode="External" Id="rId1166"/><Relationship Type="http://schemas.openxmlformats.org/officeDocument/2006/relationships/hyperlink" Target="https://codesommet.com/tools/readability-analyzer" TargetMode="External" Id="rId1167"/><Relationship Type="http://schemas.openxmlformats.org/officeDocument/2006/relationships/hyperlink" Target="https://codesommet.com/tools/readability-analyzer" TargetMode="External" Id="rId1168"/><Relationship Type="http://schemas.openxmlformats.org/officeDocument/2006/relationships/hyperlink" Target="https://codesommet.com/tools/redirect-checker" TargetMode="External" Id="rId1169"/><Relationship Type="http://schemas.openxmlformats.org/officeDocument/2006/relationships/hyperlink" Target="https://codesommet.com/tools/redirect-checker" TargetMode="External" Id="rId1170"/><Relationship Type="http://schemas.openxmlformats.org/officeDocument/2006/relationships/hyperlink" Target="https://codesommet.com/tools/redirect-checker" TargetMode="External" Id="rId1171"/><Relationship Type="http://schemas.openxmlformats.org/officeDocument/2006/relationships/hyperlink" Target="https://codesommet.com/tools/redirect-checker" TargetMode="External" Id="rId1172"/><Relationship Type="http://schemas.openxmlformats.org/officeDocument/2006/relationships/hyperlink" Target="https://codesommet.com/tools/robots-txt-generator" TargetMode="External" Id="rId1173"/><Relationship Type="http://schemas.openxmlformats.org/officeDocument/2006/relationships/hyperlink" Target="https://codesommet.com/tools/robots-txt-generator" TargetMode="External" Id="rId1174"/><Relationship Type="http://schemas.openxmlformats.org/officeDocument/2006/relationships/hyperlink" Target="https://codesommet.com/tools/robots-txt-generator" TargetMode="External" Id="rId1175"/><Relationship Type="http://schemas.openxmlformats.org/officeDocument/2006/relationships/hyperlink" Target="https://codesommet.com/tools/robots-txt-generator" TargetMode="External" Id="rId1176"/><Relationship Type="http://schemas.openxmlformats.org/officeDocument/2006/relationships/hyperlink" Target="https://codesommet.com/tools/robots-txt-generator" TargetMode="External" Id="rId1177"/><Relationship Type="http://schemas.openxmlformats.org/officeDocument/2006/relationships/hyperlink" Target="https://codesommet.com/tools/robots-txt-generator" TargetMode="External" Id="rId1178"/><Relationship Type="http://schemas.openxmlformats.org/officeDocument/2006/relationships/hyperlink" Target="https://codesommet.com/tools/robots-txt-tester" TargetMode="External" Id="rId1179"/><Relationship Type="http://schemas.openxmlformats.org/officeDocument/2006/relationships/hyperlink" Target="https://codesommet.com/tools/robots-txt-tester" TargetMode="External" Id="rId1180"/><Relationship Type="http://schemas.openxmlformats.org/officeDocument/2006/relationships/hyperlink" Target="https://codesommet.com/tools/robots-txt-tester" TargetMode="External" Id="rId1181"/><Relationship Type="http://schemas.openxmlformats.org/officeDocument/2006/relationships/hyperlink" Target="https://codesommet.com/tools/robots-txt-tester" TargetMode="External" Id="rId1182"/><Relationship Type="http://schemas.openxmlformats.org/officeDocument/2006/relationships/hyperlink" Target="https://codesommet.com/tools/robots-txt-tester" TargetMode="External" Id="rId1183"/><Relationship Type="http://schemas.openxmlformats.org/officeDocument/2006/relationships/hyperlink" Target="https://codesommet.com/tools/robots-txt-tester" TargetMode="External" Id="rId1184"/><Relationship Type="http://schemas.openxmlformats.org/officeDocument/2006/relationships/hyperlink" Target="https://codesommet.com/tools/robots-txt-tester" TargetMode="External" Id="rId1185"/><Relationship Type="http://schemas.openxmlformats.org/officeDocument/2006/relationships/hyperlink" Target="https://codesommet.com/tools/robots-txt-tester" TargetMode="External" Id="rId1186"/><Relationship Type="http://schemas.openxmlformats.org/officeDocument/2006/relationships/hyperlink" Target="https://codesommet.com/tools/robots-validator" TargetMode="External" Id="rId1187"/><Relationship Type="http://schemas.openxmlformats.org/officeDocument/2006/relationships/hyperlink" Target="https://codesommet.com/tools/robots-validator" TargetMode="External" Id="rId1188"/><Relationship Type="http://schemas.openxmlformats.org/officeDocument/2006/relationships/hyperlink" Target="https://codesommet.com/tools/robots-validator" TargetMode="External" Id="rId1189"/><Relationship Type="http://schemas.openxmlformats.org/officeDocument/2006/relationships/hyperlink" Target="https://codesommet.com/tools/robots-validator" TargetMode="External" Id="rId1190"/><Relationship Type="http://schemas.openxmlformats.org/officeDocument/2006/relationships/hyperlink" Target="https://codesommet.com/tools/schema-generator" TargetMode="External" Id="rId1191"/><Relationship Type="http://schemas.openxmlformats.org/officeDocument/2006/relationships/hyperlink" Target="https://codesommet.com/tools/schema-generator" TargetMode="External" Id="rId1192"/><Relationship Type="http://schemas.openxmlformats.org/officeDocument/2006/relationships/hyperlink" Target="https://codesommet.com/tools/schema-generator" TargetMode="External" Id="rId1193"/><Relationship Type="http://schemas.openxmlformats.org/officeDocument/2006/relationships/hyperlink" Target="https://codesommet.com/tools/schema-generator" TargetMode="External" Id="rId1194"/><Relationship Type="http://schemas.openxmlformats.org/officeDocument/2006/relationships/hyperlink" Target="https://codesommet.com/tools/security-headers-checker" TargetMode="External" Id="rId1195"/><Relationship Type="http://schemas.openxmlformats.org/officeDocument/2006/relationships/hyperlink" Target="https://codesommet.com/tools/security-headers-checker" TargetMode="External" Id="rId1196"/><Relationship Type="http://schemas.openxmlformats.org/officeDocument/2006/relationships/hyperlink" Target="https://codesommet.com/tools/security-headers-checker" TargetMode="External" Id="rId1197"/><Relationship Type="http://schemas.openxmlformats.org/officeDocument/2006/relationships/hyperlink" Target="https://codesommet.com/tools/security-headers-checker" TargetMode="External" Id="rId1198"/><Relationship Type="http://schemas.openxmlformats.org/officeDocument/2006/relationships/hyperlink" Target="https://codesommet.com/tools/security-headers-checker" TargetMode="External" Id="rId1199"/><Relationship Type="http://schemas.openxmlformats.org/officeDocument/2006/relationships/hyperlink" Target="https://codesommet.com/tools/security-headers-checker" TargetMode="External" Id="rId1200"/><Relationship Type="http://schemas.openxmlformats.org/officeDocument/2006/relationships/hyperlink" Target="https://codesommet.com/tools/security-headers-checker" TargetMode="External" Id="rId1201"/><Relationship Type="http://schemas.openxmlformats.org/officeDocument/2006/relationships/hyperlink" Target="https://codesommet.com/tools/serp-snippet-preview" TargetMode="External" Id="rId1202"/><Relationship Type="http://schemas.openxmlformats.org/officeDocument/2006/relationships/hyperlink" Target="https://codesommet.com/tools/serp-snippet-preview" TargetMode="External" Id="rId1203"/><Relationship Type="http://schemas.openxmlformats.org/officeDocument/2006/relationships/hyperlink" Target="https://codesommet.com/tools/serp-snippet-preview" TargetMode="External" Id="rId1204"/><Relationship Type="http://schemas.openxmlformats.org/officeDocument/2006/relationships/hyperlink" Target="https://codesommet.com/tools/serp-snippet-preview" TargetMode="External" Id="rId1205"/><Relationship Type="http://schemas.openxmlformats.org/officeDocument/2006/relationships/hyperlink" Target="https://codesommet.com/tools/serp-snippet-preview" TargetMode="External" Id="rId1206"/><Relationship Type="http://schemas.openxmlformats.org/officeDocument/2006/relationships/hyperlink" Target="https://codesommet.com/tools/serp-snippet-preview" TargetMode="External" Id="rId1207"/><Relationship Type="http://schemas.openxmlformats.org/officeDocument/2006/relationships/hyperlink" Target="https://codesommet.com/tools/sitemap-url-extractor" TargetMode="External" Id="rId1208"/><Relationship Type="http://schemas.openxmlformats.org/officeDocument/2006/relationships/hyperlink" Target="https://codesommet.com/tools/sitemap-url-extractor" TargetMode="External" Id="rId1209"/><Relationship Type="http://schemas.openxmlformats.org/officeDocument/2006/relationships/hyperlink" Target="https://codesommet.com/tools/sitemap-url-extractor" TargetMode="External" Id="rId1210"/><Relationship Type="http://schemas.openxmlformats.org/officeDocument/2006/relationships/hyperlink" Target="https://codesommet.com/tools/sitemap-url-extractor" TargetMode="External" Id="rId1211"/><Relationship Type="http://schemas.openxmlformats.org/officeDocument/2006/relationships/hyperlink" Target="https://codesommet.com/tools/sitemap-url-extractor" TargetMode="External" Id="rId1212"/><Relationship Type="http://schemas.openxmlformats.org/officeDocument/2006/relationships/hyperlink" Target="https://codesommet.com/tools/sitemap-url-extractor" TargetMode="External" Id="rId1213"/><Relationship Type="http://schemas.openxmlformats.org/officeDocument/2006/relationships/hyperlink" Target="https://codesommet.com/tools/sitemap-url-extractor" TargetMode="External" Id="rId1214"/><Relationship Type="http://schemas.openxmlformats.org/officeDocument/2006/relationships/hyperlink" Target="https://codesommet.com/tools/sitemap-url-extractor" TargetMode="External" Id="rId1215"/><Relationship Type="http://schemas.openxmlformats.org/officeDocument/2006/relationships/hyperlink" Target="https://codesommet.com/tools/sitemap-url-extractor" TargetMode="External" Id="rId1216"/><Relationship Type="http://schemas.openxmlformats.org/officeDocument/2006/relationships/hyperlink" Target="https://codesommet.com/tools/sitemap-validator" TargetMode="External" Id="rId1217"/><Relationship Type="http://schemas.openxmlformats.org/officeDocument/2006/relationships/hyperlink" Target="https://codesommet.com/tools/sitemap-validator" TargetMode="External" Id="rId1218"/><Relationship Type="http://schemas.openxmlformats.org/officeDocument/2006/relationships/hyperlink" Target="https://codesommet.com/tools/sitemap-validator" TargetMode="External" Id="rId1219"/><Relationship Type="http://schemas.openxmlformats.org/officeDocument/2006/relationships/hyperlink" Target="https://codesommet.com/tools/sitemap-validator" TargetMode="External" Id="rId1220"/><Relationship Type="http://schemas.openxmlformats.org/officeDocument/2006/relationships/hyperlink" Target="https://codesommet.com/tools/ssl-certificate-checker" TargetMode="External" Id="rId1221"/><Relationship Type="http://schemas.openxmlformats.org/officeDocument/2006/relationships/hyperlink" Target="https://codesommet.com/tools/ssl-certificate-checker" TargetMode="External" Id="rId1222"/><Relationship Type="http://schemas.openxmlformats.org/officeDocument/2006/relationships/hyperlink" Target="https://codesommet.com/tools/ssl-certificate-checker" TargetMode="External" Id="rId1223"/><Relationship Type="http://schemas.openxmlformats.org/officeDocument/2006/relationships/hyperlink" Target="https://codesommet.com/tools/ssl-certificate-checker" TargetMode="External" Id="rId1224"/><Relationship Type="http://schemas.openxmlformats.org/officeDocument/2006/relationships/hyperlink" Target="https://codesommet.com/tools/structured-data-extractor" TargetMode="External" Id="rId1225"/><Relationship Type="http://schemas.openxmlformats.org/officeDocument/2006/relationships/hyperlink" Target="https://codesommet.com/tools/structured-data-extractor" TargetMode="External" Id="rId1226"/><Relationship Type="http://schemas.openxmlformats.org/officeDocument/2006/relationships/hyperlink" Target="https://codesommet.com/tools/structured-data-extractor" TargetMode="External" Id="rId1227"/><Relationship Type="http://schemas.openxmlformats.org/officeDocument/2006/relationships/hyperlink" Target="https://codesommet.com/tools/structured-data-extractor" TargetMode="External" Id="rId1228"/><Relationship Type="http://schemas.openxmlformats.org/officeDocument/2006/relationships/hyperlink" Target="https://codesommet.com/tools/structured-data-extractor" TargetMode="External" Id="rId1229"/><Relationship Type="http://schemas.openxmlformats.org/officeDocument/2006/relationships/hyperlink" Target="https://codesommet.com/tools/structured-data-extractor" TargetMode="External" Id="rId1230"/><Relationship Type="http://schemas.openxmlformats.org/officeDocument/2006/relationships/hyperlink" Target="https://codesommet.com/tools/structured-data-extractor" TargetMode="External" Id="rId1231"/><Relationship Type="http://schemas.openxmlformats.org/officeDocument/2006/relationships/hyperlink" Target="https://codesommet.com/tools/text-case-converter" TargetMode="External" Id="rId1232"/><Relationship Type="http://schemas.openxmlformats.org/officeDocument/2006/relationships/hyperlink" Target="https://codesommet.com/tools/text-case-converter" TargetMode="External" Id="rId1233"/><Relationship Type="http://schemas.openxmlformats.org/officeDocument/2006/relationships/hyperlink" Target="https://codesommet.com/tools/text-case-converter" TargetMode="External" Id="rId1234"/><Relationship Type="http://schemas.openxmlformats.org/officeDocument/2006/relationships/hyperlink" Target="https://codesommet.com/tools/text-case-converter" TargetMode="External" Id="rId1235"/><Relationship Type="http://schemas.openxmlformats.org/officeDocument/2006/relationships/hyperlink" Target="https://codesommet.com/tools/text-case-converter" TargetMode="External" Id="rId1236"/><Relationship Type="http://schemas.openxmlformats.org/officeDocument/2006/relationships/hyperlink" Target="https://codesommet.com/tools/text-editor" TargetMode="External" Id="rId1237"/><Relationship Type="http://schemas.openxmlformats.org/officeDocument/2006/relationships/hyperlink" Target="https://codesommet.com/tools/text-editor" TargetMode="External" Id="rId1238"/><Relationship Type="http://schemas.openxmlformats.org/officeDocument/2006/relationships/hyperlink" Target="https://codesommet.com/tools/text-editor" TargetMode="External" Id="rId1239"/><Relationship Type="http://schemas.openxmlformats.org/officeDocument/2006/relationships/hyperlink" Target="https://codesommet.com/tools/text-editor" TargetMode="External" Id="rId1240"/><Relationship Type="http://schemas.openxmlformats.org/officeDocument/2006/relationships/hyperlink" Target="https://codesommet.com/tools/text-editor" TargetMode="External" Id="rId1241"/><Relationship Type="http://schemas.openxmlformats.org/officeDocument/2006/relationships/hyperlink" Target="https://codesommet.com/tools/url-editor" TargetMode="External" Id="rId1242"/><Relationship Type="http://schemas.openxmlformats.org/officeDocument/2006/relationships/hyperlink" Target="https://codesommet.com/tools/url-editor" TargetMode="External" Id="rId1243"/><Relationship Type="http://schemas.openxmlformats.org/officeDocument/2006/relationships/hyperlink" Target="https://codesommet.com/tools/url-editor" TargetMode="External" Id="rId1244"/><Relationship Type="http://schemas.openxmlformats.org/officeDocument/2006/relationships/hyperlink" Target="https://codesommet.com/tools/url-editor" TargetMode="External" Id="rId1245"/><Relationship Type="http://schemas.openxmlformats.org/officeDocument/2006/relationships/hyperlink" Target="https://codesommet.com/tools/url-editor" TargetMode="External" Id="rId1246"/><Relationship Type="http://schemas.openxmlformats.org/officeDocument/2006/relationships/hyperlink" Target="https://codesommet.com/tools/url-slug-generator" TargetMode="External" Id="rId1247"/><Relationship Type="http://schemas.openxmlformats.org/officeDocument/2006/relationships/hyperlink" Target="https://codesommet.com/tools/url-slug-generator" TargetMode="External" Id="rId1248"/><Relationship Type="http://schemas.openxmlformats.org/officeDocument/2006/relationships/hyperlink" Target="https://codesommet.com/tools/url-slug-generator" TargetMode="External" Id="rId1249"/><Relationship Type="http://schemas.openxmlformats.org/officeDocument/2006/relationships/hyperlink" Target="https://codesommet.com/tools/url-slug-generator" TargetMode="External" Id="rId1250"/><Relationship Type="http://schemas.openxmlformats.org/officeDocument/2006/relationships/hyperlink" Target="https://codesommet.com/tools/utm-builder" TargetMode="External" Id="rId1251"/><Relationship Type="http://schemas.openxmlformats.org/officeDocument/2006/relationships/hyperlink" Target="https://codesommet.com/tools/utm-builder" TargetMode="External" Id="rId1252"/><Relationship Type="http://schemas.openxmlformats.org/officeDocument/2006/relationships/hyperlink" Target="https://codesommet.com/tools/utm-builder" TargetMode="External" Id="rId1253"/><Relationship Type="http://schemas.openxmlformats.org/officeDocument/2006/relationships/hyperlink" Target="https://codesommet.com/tools/utm-builder" TargetMode="External" Id="rId1254"/><Relationship Type="http://schemas.openxmlformats.org/officeDocument/2006/relationships/hyperlink" Target="https://codesommet.com/tools/utm-builder" TargetMode="External" Id="rId1255"/><Relationship Type="http://schemas.openxmlformats.org/officeDocument/2006/relationships/hyperlink" Target="https://codesommet.com/tools/utm-builder" TargetMode="External" Id="rId1256"/><Relationship Type="http://schemas.openxmlformats.org/officeDocument/2006/relationships/hyperlink" Target="https://codesommet.com/tools/website-analyzer" TargetMode="External" Id="rId1257"/><Relationship Type="http://schemas.openxmlformats.org/officeDocument/2006/relationships/hyperlink" Target="https://codesommet.com/tools/website-analyzer" TargetMode="External" Id="rId1258"/><Relationship Type="http://schemas.openxmlformats.org/officeDocument/2006/relationships/hyperlink" Target="https://codesommet.com/tools/website-analyzer" TargetMode="External" Id="rId1259"/><Relationship Type="http://schemas.openxmlformats.org/officeDocument/2006/relationships/hyperlink" Target="https://codesommet.com/tools/website-analyzer" TargetMode="External" Id="rId1260"/><Relationship Type="http://schemas.openxmlformats.org/officeDocument/2006/relationships/hyperlink" Target="https://codesommet.com/tools/website-analyzer" TargetMode="External" Id="rId1261"/><Relationship Type="http://schemas.openxmlformats.org/officeDocument/2006/relationships/hyperlink" Target="https://codesommet.com/tools/website-analyzer" TargetMode="External" Id="rId1262"/><Relationship Type="http://schemas.openxmlformats.org/officeDocument/2006/relationships/hyperlink" Target="https://codesommet.com/tools/website-analyzer" TargetMode="External" Id="rId1263"/><Relationship Type="http://schemas.openxmlformats.org/officeDocument/2006/relationships/hyperlink" Target="https://codesommet.com/tools/website-analyzer" TargetMode="External" Id="rId1264"/><Relationship Type="http://schemas.openxmlformats.org/officeDocument/2006/relationships/hyperlink" Target="https://codesommet.com/tools/website-readiness-checker" TargetMode="External" Id="rId1265"/><Relationship Type="http://schemas.openxmlformats.org/officeDocument/2006/relationships/hyperlink" Target="https://codesommet.com/tools/website-readiness-checker" TargetMode="External" Id="rId1266"/><Relationship Type="http://schemas.openxmlformats.org/officeDocument/2006/relationships/hyperlink" Target="https://codesommet.com/tools/website-readiness-checker" TargetMode="External" Id="rId1267"/><Relationship Type="http://schemas.openxmlformats.org/officeDocument/2006/relationships/hyperlink" Target="https://codesommet.com/tools/website-readiness-checker" TargetMode="External" Id="rId1268"/><Relationship Type="http://schemas.openxmlformats.org/officeDocument/2006/relationships/hyperlink" Target="https://codesommet.com/tools/word-counter" TargetMode="External" Id="rId1269"/><Relationship Type="http://schemas.openxmlformats.org/officeDocument/2006/relationships/hyperlink" Target="https://codesommet.com/tools/word-counter" TargetMode="External" Id="rId1270"/><Relationship Type="http://schemas.openxmlformats.org/officeDocument/2006/relationships/hyperlink" Target="https://codesommet.com/tools/word-counter" TargetMode="External" Id="rId1271"/><Relationship Type="http://schemas.openxmlformats.org/officeDocument/2006/relationships/hyperlink" Target="https://codesommet.com/tools/word-counter" TargetMode="External" Id="rId1272"/><Relationship Type="http://schemas.openxmlformats.org/officeDocument/2006/relationships/hyperlink" Target="https://codesommet.com/tools/xml-sitemap-generator" TargetMode="External" Id="rId1273"/><Relationship Type="http://schemas.openxmlformats.org/officeDocument/2006/relationships/hyperlink" Target="https://codesommet.com/tools/xml-sitemap-generator" TargetMode="External" Id="rId1274"/><Relationship Type="http://schemas.openxmlformats.org/officeDocument/2006/relationships/hyperlink" Target="https://codesommet.com/tools/xml-sitemap-generator" TargetMode="External" Id="rId1275"/><Relationship Type="http://schemas.openxmlformats.org/officeDocument/2006/relationships/hyperlink" Target="https://codesommet.com/tools/xml-sitemap-generator" TargetMode="External" Id="rId1276"/><Relationship Type="http://schemas.openxmlformats.org/officeDocument/2006/relationships/hyperlink" Target="https://codesommet.com/tools/xml-sitemap-generator" TargetMode="External" Id="rId1277"/><Relationship Type="http://schemas.openxmlformats.org/officeDocument/2006/relationships/hyperlink" Target="https://codesommet.com/tools/xml-sitemap-generator" TargetMode="External" Id="rId1278"/><Relationship Type="http://schemas.openxmlformats.org/officeDocument/2006/relationships/hyperlink" Target="https://codesommet.com/tools/xml-sitemap-generator" TargetMode="External" Id="rId1279"/><Relationship Type="http://schemas.openxmlformats.org/officeDocument/2006/relationships/hyperlink" Target="https://codesommet.com/tools/xml-sitemap-generator" TargetMode="External" Id="rId1280"/><Relationship Type="http://schemas.openxmlformats.org/officeDocument/2006/relationships/hyperlink" Target="https://codesommet.com/our-work/akoubri" TargetMode="External" Id="rId1281"/><Relationship Type="http://schemas.openxmlformats.org/officeDocument/2006/relationships/hyperlink" Target="https://codesommet.com/our-work/akoubri" TargetMode="External" Id="rId1282"/><Relationship Type="http://schemas.openxmlformats.org/officeDocument/2006/relationships/hyperlink" Target="https://codesommet.com/our-work/akoubri" TargetMode="External" Id="rId1283"/><Relationship Type="http://schemas.openxmlformats.org/officeDocument/2006/relationships/hyperlink" Target="https://codesommet.com/our-work/akoubri" TargetMode="External" Id="rId1284"/><Relationship Type="http://schemas.openxmlformats.org/officeDocument/2006/relationships/hyperlink" Target="https://codesommet.com/our-work/akoubri" TargetMode="External" Id="rId1285"/><Relationship Type="http://schemas.openxmlformats.org/officeDocument/2006/relationships/hyperlink" Target="https://codesommet.com/our-work/authentic-morocco-adventures" TargetMode="External" Id="rId1286"/><Relationship Type="http://schemas.openxmlformats.org/officeDocument/2006/relationships/hyperlink" Target="https://codesommet.com/our-work/authentic-morocco-adventures" TargetMode="External" Id="rId1287"/><Relationship Type="http://schemas.openxmlformats.org/officeDocument/2006/relationships/hyperlink" Target="https://codesommet.com/our-work/authentic-morocco-adventures" TargetMode="External" Id="rId1288"/><Relationship Type="http://schemas.openxmlformats.org/officeDocument/2006/relationships/hyperlink" Target="https://codesommet.com/our-work/authentic-morocco-adventures" TargetMode="External" Id="rId1289"/><Relationship Type="http://schemas.openxmlformats.org/officeDocument/2006/relationships/hyperlink" Target="https://codesommet.com/our-work/authentic-morocco-adventures" TargetMode="External" Id="rId1290"/><Relationship Type="http://schemas.openxmlformats.org/officeDocument/2006/relationships/hyperlink" Target="https://codesommet.com/our-work/dental-pro" TargetMode="External" Id="rId1291"/><Relationship Type="http://schemas.openxmlformats.org/officeDocument/2006/relationships/hyperlink" Target="https://codesommet.com/our-work/dental-pro" TargetMode="External" Id="rId1292"/><Relationship Type="http://schemas.openxmlformats.org/officeDocument/2006/relationships/hyperlink" Target="https://codesommet.com/our-work/dental-pro" TargetMode="External" Id="rId1293"/><Relationship Type="http://schemas.openxmlformats.org/officeDocument/2006/relationships/hyperlink" Target="https://codesommet.com/our-work/dental-pro" TargetMode="External" Id="rId1294"/><Relationship Type="http://schemas.openxmlformats.org/officeDocument/2006/relationships/hyperlink" Target="https://codesommet.com/our-work/dental-pro" TargetMode="External" Id="rId1295"/><Relationship Type="http://schemas.openxmlformats.org/officeDocument/2006/relationships/hyperlink" Target="https://codesommet.com/our-work/glamworlds" TargetMode="External" Id="rId1296"/><Relationship Type="http://schemas.openxmlformats.org/officeDocument/2006/relationships/hyperlink" Target="https://codesommet.com/our-work/glamworlds" TargetMode="External" Id="rId1297"/><Relationship Type="http://schemas.openxmlformats.org/officeDocument/2006/relationships/hyperlink" Target="https://codesommet.com/our-work/glamworlds" TargetMode="External" Id="rId1298"/><Relationship Type="http://schemas.openxmlformats.org/officeDocument/2006/relationships/hyperlink" Target="https://codesommet.com/our-work/glamworlds" TargetMode="External" Id="rId1299"/><Relationship Type="http://schemas.openxmlformats.org/officeDocument/2006/relationships/hyperlink" Target="https://codesommet.com/our-work/glamworlds" TargetMode="External" Id="rId1300"/><Relationship Type="http://schemas.openxmlformats.org/officeDocument/2006/relationships/hyperlink" Target="https://codesommet.com/our-work/gls-sprachenzentrum" TargetMode="External" Id="rId1301"/><Relationship Type="http://schemas.openxmlformats.org/officeDocument/2006/relationships/hyperlink" Target="https://codesommet.com/our-work/gls-sprachenzentrum" TargetMode="External" Id="rId1302"/><Relationship Type="http://schemas.openxmlformats.org/officeDocument/2006/relationships/hyperlink" Target="https://codesommet.com/our-work/gls-sprachenzentrum" TargetMode="External" Id="rId1303"/><Relationship Type="http://schemas.openxmlformats.org/officeDocument/2006/relationships/hyperlink" Target="https://codesommet.com/our-work/gls-sprachenzentrum" TargetMode="External" Id="rId1304"/><Relationship Type="http://schemas.openxmlformats.org/officeDocument/2006/relationships/hyperlink" Target="https://codesommet.com/our-work/gls-sprachenzentrum" TargetMode="External" Id="rId1305"/><Relationship Type="http://schemas.openxmlformats.org/officeDocument/2006/relationships/hyperlink" Target="https://codesommet.com/our-work/hssabek" TargetMode="External" Id="rId1306"/><Relationship Type="http://schemas.openxmlformats.org/officeDocument/2006/relationships/hyperlink" Target="https://codesommet.com/our-work/hssabek" TargetMode="External" Id="rId1307"/><Relationship Type="http://schemas.openxmlformats.org/officeDocument/2006/relationships/hyperlink" Target="https://codesommet.com/our-work/hssabek" TargetMode="External" Id="rId1308"/><Relationship Type="http://schemas.openxmlformats.org/officeDocument/2006/relationships/hyperlink" Target="https://codesommet.com/our-work/hssabek" TargetMode="External" Id="rId1309"/><Relationship Type="http://schemas.openxmlformats.org/officeDocument/2006/relationships/hyperlink" Target="https://codesommet.com/our-work/hssabek" TargetMode="External" Id="rId1310"/><Relationship Type="http://schemas.openxmlformats.org/officeDocument/2006/relationships/hyperlink" Target="https://codesommet.com/our-work/mon-asso" TargetMode="External" Id="rId1311"/><Relationship Type="http://schemas.openxmlformats.org/officeDocument/2006/relationships/hyperlink" Target="https://codesommet.com/our-work/mon-asso" TargetMode="External" Id="rId1312"/><Relationship Type="http://schemas.openxmlformats.org/officeDocument/2006/relationships/hyperlink" Target="https://codesommet.com/our-work/mon-asso" TargetMode="External" Id="rId1313"/><Relationship Type="http://schemas.openxmlformats.org/officeDocument/2006/relationships/hyperlink" Target="https://codesommet.com/our-work/mon-asso" TargetMode="External" Id="rId1314"/><Relationship Type="http://schemas.openxmlformats.org/officeDocument/2006/relationships/hyperlink" Target="https://codesommet.com/our-work/mon-asso" TargetMode="External" Id="rId1315"/><Relationship Type="http://schemas.openxmlformats.org/officeDocument/2006/relationships/hyperlink" Target="https://codesommet.com/our-work/morocco-quest" TargetMode="External" Id="rId1316"/><Relationship Type="http://schemas.openxmlformats.org/officeDocument/2006/relationships/hyperlink" Target="https://codesommet.com/our-work/morocco-quest" TargetMode="External" Id="rId1317"/><Relationship Type="http://schemas.openxmlformats.org/officeDocument/2006/relationships/hyperlink" Target="https://codesommet.com/our-work/morocco-quest" TargetMode="External" Id="rId1318"/><Relationship Type="http://schemas.openxmlformats.org/officeDocument/2006/relationships/hyperlink" Target="https://codesommet.com/our-work/morocco-quest" TargetMode="External" Id="rId1319"/><Relationship Type="http://schemas.openxmlformats.org/officeDocument/2006/relationships/hyperlink" Target="https://codesommet.com/our-work/morocco-quest" TargetMode="External" Id="rId1320"/><Relationship Type="http://schemas.openxmlformats.org/officeDocument/2006/relationships/hyperlink" Target="https://codesommet.com/blog/creer-une-plateforme-saas-mvp-multi-tenant-facturation-par-ou-commencer" TargetMode="External" Id="rId1321"/><Relationship Type="http://schemas.openxmlformats.org/officeDocument/2006/relationships/hyperlink" Target="https://codesommet.com/blog/creer-une-plateforme-saas-mvp-multi-tenant-facturation-par-ou-commencer" TargetMode="External" Id="rId1322"/><Relationship Type="http://schemas.openxmlformats.org/officeDocument/2006/relationships/hyperlink" Target="https://codesommet.com/blog/creer-une-plateforme-saas-mvp-multi-tenant-facturation-par-ou-commencer" TargetMode="External" Id="rId1323"/><Relationship Type="http://schemas.openxmlformats.org/officeDocument/2006/relationships/hyperlink" Target="https://codesommet.com/blog/creer-une-plateforme-saas-mvp-multi-tenant-facturation-par-ou-commencer" TargetMode="External" Id="rId1324"/><Relationship Type="http://schemas.openxmlformats.org/officeDocument/2006/relationships/hyperlink" Target="https://codesommet.com/blog/creer-une-plateforme-saas-mvp-multi-tenant-facturation-par-ou-commencer" TargetMode="External" Id="rId1325"/><Relationship Type="http://schemas.openxmlformats.org/officeDocument/2006/relationships/hyperlink" Target="https://codesommet.com/blog/creer-une-plateforme-saas-mvp-multi-tenant-facturation-par-ou-commencer" TargetMode="External" Id="rId1326"/><Relationship Type="http://schemas.openxmlformats.org/officeDocument/2006/relationships/hyperlink" Target="https://codesommet.com/blog/creer-une-plateforme-saas-mvp-multi-tenant-facturation-par-ou-commencer" TargetMode="External" Id="rId1327"/><Relationship Type="http://schemas.openxmlformats.org/officeDocument/2006/relationships/hyperlink" Target="https://codesommet.com/blog/creer-une-plateforme-saas-mvp-multi-tenant-facturation-par-ou-commencer" TargetMode="External" Id="rId1328"/><Relationship Type="http://schemas.openxmlformats.org/officeDocument/2006/relationships/hyperlink" Target="https://codesommet.com/blog/creer-une-plateforme-saas-mvp-multi-tenant-facturation-par-ou-commencer" TargetMode="External" Id="rId1329"/><Relationship Type="http://schemas.openxmlformats.org/officeDocument/2006/relationships/hyperlink" Target="https://codesommet.com/blog/creer-une-plateforme-saas-mvp-multi-tenant-facturation-par-ou-commencer" TargetMode="External" Id="rId1330"/><Relationship Type="http://schemas.openxmlformats.org/officeDocument/2006/relationships/hyperlink" Target="https://codesommet.com/blog/creer-une-plateforme-saas-mvp-multi-tenant-facturation-par-ou-commencer" TargetMode="External" Id="rId1331"/><Relationship Type="http://schemas.openxmlformats.org/officeDocument/2006/relationships/hyperlink" Target="https://codesommet.com/blog/site-immobilier-structurer-les-annonces-pour-le-seo-et-la-conversion" TargetMode="External" Id="rId1332"/><Relationship Type="http://schemas.openxmlformats.org/officeDocument/2006/relationships/hyperlink" Target="https://codesommet.com/blog/site-immobilier-structurer-les-annonces-pour-le-seo-et-la-conversion" TargetMode="External" Id="rId1333"/><Relationship Type="http://schemas.openxmlformats.org/officeDocument/2006/relationships/hyperlink" Target="https://codesommet.com/blog/site-immobilier-structurer-les-annonces-pour-le-seo-et-la-conversion" TargetMode="External" Id="rId1334"/><Relationship Type="http://schemas.openxmlformats.org/officeDocument/2006/relationships/hyperlink" Target="https://codesommet.com/blog/site-immobilier-structurer-les-annonces-pour-le-seo-et-la-conversion" TargetMode="External" Id="rId1335"/><Relationship Type="http://schemas.openxmlformats.org/officeDocument/2006/relationships/hyperlink" Target="https://codesommet.com/blog/site-immobilier-structurer-les-annonces-pour-le-seo-et-la-conversion" TargetMode="External" Id="rId1336"/><Relationship Type="http://schemas.openxmlformats.org/officeDocument/2006/relationships/hyperlink" Target="https://codesommet.com/blog/site-immobilier-structurer-les-annonces-pour-le-seo-et-la-conversion" TargetMode="External" Id="rId1337"/><Relationship Type="http://schemas.openxmlformats.org/officeDocument/2006/relationships/hyperlink" Target="https://codesommet.com/blog/site-immobilier-structurer-les-annonces-pour-le-seo-et-la-conversion" TargetMode="External" Id="rId1338"/><Relationship Type="http://schemas.openxmlformats.org/officeDocument/2006/relationships/hyperlink" Target="https://codesommet.com/blog/site-immobilier-structurer-les-annonces-pour-le-seo-et-la-conversion" TargetMode="External" Id="rId1339"/><Relationship Type="http://schemas.openxmlformats.org/officeDocument/2006/relationships/hyperlink" Target="https://codesommet.com/blog/site-immobilier-structurer-les-annonces-pour-le-seo-et-la-conversion" TargetMode="External" Id="rId1340"/><Relationship Type="http://schemas.openxmlformats.org/officeDocument/2006/relationships/hyperlink" Target="https://codesommet.com/blog/site-immobilier-structurer-les-annonces-pour-le-seo-et-la-conversion" TargetMode="External" Id="rId1341"/><Relationship Type="http://schemas.openxmlformats.org/officeDocument/2006/relationships/hyperlink" Target="https://codesommet.com/blog/site-immobilier-structurer-les-annonces-pour-le-seo-et-la-conversion" TargetMode="External" Id="rId1342"/><Relationship Type="http://schemas.openxmlformats.org/officeDocument/2006/relationships/hyperlink" Target="https://codesommet.com/blog/site-immobilier-structurer-les-annonces-pour-le-seo-et-la-conversion" TargetMode="External" Id="rId1343"/><Relationship Type="http://schemas.openxmlformats.org/officeDocument/2006/relationships/hyperlink" Target="https://codesommet.com/blog/site-immobilier-structurer-les-annonces-pour-le-seo-et-la-conversion" TargetMode="External" Id="rId1344"/><Relationship Type="http://schemas.openxmlformats.org/officeDocument/2006/relationships/hyperlink" Target="https://codesommet.com/blog/lms-sur-mesure-ou-produit-edtech-quelle-plateforme-e-learning" TargetMode="External" Id="rId1345"/><Relationship Type="http://schemas.openxmlformats.org/officeDocument/2006/relationships/hyperlink" Target="https://codesommet.com/blog/lms-sur-mesure-ou-produit-edtech-quelle-plateforme-e-learning" TargetMode="External" Id="rId1346"/><Relationship Type="http://schemas.openxmlformats.org/officeDocument/2006/relationships/hyperlink" Target="https://codesommet.com/blog/lms-sur-mesure-ou-produit-edtech-quelle-plateforme-e-learning" TargetMode="External" Id="rId1347"/><Relationship Type="http://schemas.openxmlformats.org/officeDocument/2006/relationships/hyperlink" Target="https://codesommet.com/blog/lms-sur-mesure-ou-produit-edtech-quelle-plateforme-e-learning" TargetMode="External" Id="rId1348"/><Relationship Type="http://schemas.openxmlformats.org/officeDocument/2006/relationships/hyperlink" Target="https://codesommet.com/blog/lms-sur-mesure-ou-produit-edtech-quelle-plateforme-e-learning" TargetMode="External" Id="rId1349"/><Relationship Type="http://schemas.openxmlformats.org/officeDocument/2006/relationships/hyperlink" Target="https://codesommet.com/blog/lms-sur-mesure-ou-produit-edtech-quelle-plateforme-e-learning" TargetMode="External" Id="rId1350"/><Relationship Type="http://schemas.openxmlformats.org/officeDocument/2006/relationships/hyperlink" Target="https://codesommet.com/blog/lms-sur-mesure-ou-produit-edtech-quelle-plateforme-e-learning" TargetMode="External" Id="rId1351"/><Relationship Type="http://schemas.openxmlformats.org/officeDocument/2006/relationships/hyperlink" Target="https://codesommet.com/blog/lms-sur-mesure-ou-produit-edtech-quelle-plateforme-e-learning" TargetMode="External" Id="rId1352"/><Relationship Type="http://schemas.openxmlformats.org/officeDocument/2006/relationships/hyperlink" Target="https://codesommet.com/blog/lms-sur-mesure-ou-produit-edtech-quelle-plateforme-e-learning" TargetMode="External" Id="rId1353"/><Relationship Type="http://schemas.openxmlformats.org/officeDocument/2006/relationships/hyperlink" Target="https://codesommet.com/blog/lms-sur-mesure-ou-produit-edtech-quelle-plateforme-e-learning" TargetMode="External" Id="rId1354"/><Relationship Type="http://schemas.openxmlformats.org/officeDocument/2006/relationships/hyperlink" Target="https://codesommet.com/blog/site-web-telemedecine-cabinet-clinique-que-doit-il-contenir" TargetMode="External" Id="rId1355"/><Relationship Type="http://schemas.openxmlformats.org/officeDocument/2006/relationships/hyperlink" Target="https://codesommet.com/blog/site-web-telemedecine-cabinet-clinique-que-doit-il-contenir" TargetMode="External" Id="rId1356"/><Relationship Type="http://schemas.openxmlformats.org/officeDocument/2006/relationships/hyperlink" Target="https://codesommet.com/blog/site-web-telemedecine-cabinet-clinique-que-doit-il-contenir" TargetMode="External" Id="rId1357"/><Relationship Type="http://schemas.openxmlformats.org/officeDocument/2006/relationships/hyperlink" Target="https://codesommet.com/blog/site-web-telemedecine-cabinet-clinique-que-doit-il-contenir" TargetMode="External" Id="rId1358"/><Relationship Type="http://schemas.openxmlformats.org/officeDocument/2006/relationships/hyperlink" Target="https://codesommet.com/blog/site-web-telemedecine-cabinet-clinique-que-doit-il-contenir" TargetMode="External" Id="rId1359"/><Relationship Type="http://schemas.openxmlformats.org/officeDocument/2006/relationships/hyperlink" Target="https://codesommet.com/blog/site-web-telemedecine-cabinet-clinique-que-doit-il-contenir" TargetMode="External" Id="rId1360"/><Relationship Type="http://schemas.openxmlformats.org/officeDocument/2006/relationships/hyperlink" Target="https://codesommet.com/blog/site-web-telemedecine-cabinet-clinique-que-doit-il-contenir" TargetMode="External" Id="rId1361"/><Relationship Type="http://schemas.openxmlformats.org/officeDocument/2006/relationships/hyperlink" Target="https://codesommet.com/blog/site-web-telemedecine-cabinet-clinique-que-doit-il-contenir" TargetMode="External" Id="rId1362"/><Relationship Type="http://schemas.openxmlformats.org/officeDocument/2006/relationships/hyperlink" Target="https://codesommet.com/blog/site-web-telemedecine-cabinet-clinique-que-doit-il-contenir" TargetMode="External" Id="rId1363"/><Relationship Type="http://schemas.openxmlformats.org/officeDocument/2006/relationships/hyperlink" Target="https://codesommet.com/blog/site-web-telemedecine-cabinet-clinique-que-doit-il-contenir" TargetMode="External" Id="rId1364"/><Relationship Type="http://schemas.openxmlformats.org/officeDocument/2006/relationships/hyperlink" Target="https://codesommet.com/blog/site-web-telemedecine-cabinet-clinique-que-doit-il-contenir" TargetMode="External" Id="rId1365"/><Relationship Type="http://schemas.openxmlformats.org/officeDocument/2006/relationships/hyperlink" Target="https://codesommet.com/blog/site-web-telemedecine-cabinet-clinique-que-doit-il-contenir" TargetMode="External" Id="rId1366"/><Relationship Type="http://schemas.openxmlformats.org/officeDocument/2006/relationships/hyperlink" Target="https://codesommet.com/blog/site-web-telemedecine-cabinet-clinique-que-doit-il-contenir" TargetMode="External" Id="rId1367"/><Relationship Type="http://schemas.openxmlformats.org/officeDocument/2006/relationships/hyperlink" Target="https://codesommet.com/blog/site-web-fintech-7-elements-qui-rassurent-un-visiteur" TargetMode="External" Id="rId1368"/><Relationship Type="http://schemas.openxmlformats.org/officeDocument/2006/relationships/hyperlink" Target="https://codesommet.com/blog/site-web-fintech-7-elements-qui-rassurent-un-visiteur" TargetMode="External" Id="rId1369"/><Relationship Type="http://schemas.openxmlformats.org/officeDocument/2006/relationships/hyperlink" Target="https://codesommet.com/blog/site-web-fintech-7-elements-qui-rassurent-un-visiteur" TargetMode="External" Id="rId1370"/><Relationship Type="http://schemas.openxmlformats.org/officeDocument/2006/relationships/hyperlink" Target="https://codesommet.com/blog/site-web-fintech-7-elements-qui-rassurent-un-visiteur" TargetMode="External" Id="rId1371"/><Relationship Type="http://schemas.openxmlformats.org/officeDocument/2006/relationships/hyperlink" Target="https://codesommet.com/blog/site-web-fintech-7-elements-qui-rassurent-un-visiteur" TargetMode="External" Id="rId1372"/><Relationship Type="http://schemas.openxmlformats.org/officeDocument/2006/relationships/hyperlink" Target="https://codesommet.com/blog/site-web-fintech-7-elements-qui-rassurent-un-visiteur" TargetMode="External" Id="rId1373"/><Relationship Type="http://schemas.openxmlformats.org/officeDocument/2006/relationships/hyperlink" Target="https://codesommet.com/blog/site-web-fintech-7-elements-qui-rassurent-un-visiteur" TargetMode="External" Id="rId1374"/><Relationship Type="http://schemas.openxmlformats.org/officeDocument/2006/relationships/hyperlink" Target="https://codesommet.com/blog/site-web-fintech-7-elements-qui-rassurent-un-visiteur" TargetMode="External" Id="rId1375"/><Relationship Type="http://schemas.openxmlformats.org/officeDocument/2006/relationships/hyperlink" Target="https://codesommet.com/blog/site-web-fintech-7-elements-qui-rassurent-un-visiteur" TargetMode="External" Id="rId1376"/><Relationship Type="http://schemas.openxmlformats.org/officeDocument/2006/relationships/hyperlink" Target="https://codesommet.com/blog/site-web-fintech-7-elements-qui-rassurent-un-visiteur" TargetMode="External" Id="rId1377"/><Relationship Type="http://schemas.openxmlformats.org/officeDocument/2006/relationships/hyperlink" Target="https://codesommet.com/blog/site-web-fintech-7-elements-qui-rassurent-un-visiteur" TargetMode="External" Id="rId1378"/><Relationship Type="http://schemas.openxmlformats.org/officeDocument/2006/relationships/hyperlink" Target="https://codesommet.com/blog/site-web-fintech-7-elements-qui-rassurent-un-visiteur" TargetMode="External" Id="rId1379"/></Relationships>
</file>

<file path=xl/worksheets/_rels/sheet7.xml.rels><Relationships xmlns="http://schemas.openxmlformats.org/package/2006/relationships"><Relationship Type="http://schemas.openxmlformats.org/officeDocument/2006/relationships/hyperlink" Target="#'01 Executive Summary'!A1" TargetMode="External" Id="rId1"/><Relationship Type="http://schemas.openxmlformats.org/officeDocument/2006/relationships/hyperlink" Target="https://codesommet.com/" TargetMode="External" Id="rId2"/><Relationship Type="http://schemas.openxmlformats.org/officeDocument/2006/relationships/hyperlink" Target="https://codesommet.com/" TargetMode="External" Id="rId3"/><Relationship Type="http://schemas.openxmlformats.org/officeDocument/2006/relationships/hyperlink" Target="https://codesommet.com/" TargetMode="External" Id="rId4"/><Relationship Type="http://schemas.openxmlformats.org/officeDocument/2006/relationships/hyperlink" Target="https://codesommet.com/" TargetMode="External" Id="rId5"/><Relationship Type="http://schemas.openxmlformats.org/officeDocument/2006/relationships/hyperlink" Target="https://codesommet.com/" TargetMode="External" Id="rId6"/><Relationship Type="http://schemas.openxmlformats.org/officeDocument/2006/relationships/hyperlink" Target="https://codesommet.com/" TargetMode="External" Id="rId7"/><Relationship Type="http://schemas.openxmlformats.org/officeDocument/2006/relationships/hyperlink" Target="https://codesommet.com/blog/creer-une-plateforme-saas-mvp-multi-tenant-facturation-par-ou-commencer" TargetMode="External" Id="rId8"/><Relationship Type="http://schemas.openxmlformats.org/officeDocument/2006/relationships/hyperlink" Target="https://codesommet.com/get-quote" TargetMode="External" Id="rId9"/><Relationship Type="http://schemas.openxmlformats.org/officeDocument/2006/relationships/hyperlink" Target="https://codesommet.com/get-quote" TargetMode="External" Id="rId10"/><Relationship Type="http://schemas.openxmlformats.org/officeDocument/2006/relationships/hyperlink" Target="https://codesommet.com/services/ecommerce-website-development" TargetMode="External" Id="rId11"/><Relationship Type="http://schemas.openxmlformats.org/officeDocument/2006/relationships/hyperlink" Target="https://codesommet.com/services/ecommerce-website-development" TargetMode="External" Id="rId12"/><Relationship Type="http://schemas.openxmlformats.org/officeDocument/2006/relationships/hyperlink" Target="https://codesommet.com/services/ecommerce-website-development" TargetMode="External" Id="rId13"/><Relationship Type="http://schemas.openxmlformats.org/officeDocument/2006/relationships/hyperlink" Target="https://codesommet.com/services/ecommerce-website-development" TargetMode="External" Id="rId14"/><Relationship Type="http://schemas.openxmlformats.org/officeDocument/2006/relationships/hyperlink" Target="https://codesommet.com/services/ecommerce-website-development" TargetMode="External" Id="rId15"/><Relationship Type="http://schemas.openxmlformats.org/officeDocument/2006/relationships/hyperlink" Target="https://codesommet.com/services/ecommerce-website-development" TargetMode="External" Id="rId16"/><Relationship Type="http://schemas.openxmlformats.org/officeDocument/2006/relationships/hyperlink" Target="https://codesommet.com/services/ecommerce-website-development" TargetMode="External" Id="rId17"/><Relationship Type="http://schemas.openxmlformats.org/officeDocument/2006/relationships/hyperlink" Target="https://codesommet.com/services/ecommerce-website-development" TargetMode="External" Id="rId18"/><Relationship Type="http://schemas.openxmlformats.org/officeDocument/2006/relationships/hyperlink" Target="https://codesommet.com/services/ecommerce-website-development" TargetMode="External" Id="rId19"/><Relationship Type="http://schemas.openxmlformats.org/officeDocument/2006/relationships/hyperlink" Target="https://codesommet.com/services/ecommerce-website-development" TargetMode="External" Id="rId20"/><Relationship Type="http://schemas.openxmlformats.org/officeDocument/2006/relationships/hyperlink" Target="https://codesommet.com/services/ecommerce-website-development" TargetMode="External" Id="rId21"/><Relationship Type="http://schemas.openxmlformats.org/officeDocument/2006/relationships/hyperlink" Target="https://codesommet.com/services/ecommerce-website-development" TargetMode="External" Id="rId22"/><Relationship Type="http://schemas.openxmlformats.org/officeDocument/2006/relationships/hyperlink" Target="https://codesommet.com/services/edtech-platform-development" TargetMode="External" Id="rId23"/><Relationship Type="http://schemas.openxmlformats.org/officeDocument/2006/relationships/hyperlink" Target="https://codesommet.com/services/edtech-platform-development" TargetMode="External" Id="rId24"/><Relationship Type="http://schemas.openxmlformats.org/officeDocument/2006/relationships/hyperlink" Target="https://codesommet.com/services/edtech-platform-development" TargetMode="External" Id="rId25"/><Relationship Type="http://schemas.openxmlformats.org/officeDocument/2006/relationships/hyperlink" Target="https://codesommet.com/services/edtech-platform-development" TargetMode="External" Id="rId26"/><Relationship Type="http://schemas.openxmlformats.org/officeDocument/2006/relationships/hyperlink" Target="https://codesommet.com/services/edtech-platform-development" TargetMode="External" Id="rId27"/><Relationship Type="http://schemas.openxmlformats.org/officeDocument/2006/relationships/hyperlink" Target="https://codesommet.com/services/edtech-platform-development" TargetMode="External" Id="rId28"/><Relationship Type="http://schemas.openxmlformats.org/officeDocument/2006/relationships/hyperlink" Target="https://codesommet.com/services/edtech-platform-development" TargetMode="External" Id="rId29"/><Relationship Type="http://schemas.openxmlformats.org/officeDocument/2006/relationships/hyperlink" Target="https://codesommet.com/services/edtech-platform-development" TargetMode="External" Id="rId30"/><Relationship Type="http://schemas.openxmlformats.org/officeDocument/2006/relationships/hyperlink" Target="https://codesommet.com/services/education-website-development" TargetMode="External" Id="rId31"/><Relationship Type="http://schemas.openxmlformats.org/officeDocument/2006/relationships/hyperlink" Target="https://codesommet.com/services/education-website-development" TargetMode="External" Id="rId32"/><Relationship Type="http://schemas.openxmlformats.org/officeDocument/2006/relationships/hyperlink" Target="https://codesommet.com/services/education-website-development" TargetMode="External" Id="rId33"/><Relationship Type="http://schemas.openxmlformats.org/officeDocument/2006/relationships/hyperlink" Target="https://codesommet.com/services/education-website-development" TargetMode="External" Id="rId34"/><Relationship Type="http://schemas.openxmlformats.org/officeDocument/2006/relationships/hyperlink" Target="https://codesommet.com/services/education-website-development" TargetMode="External" Id="rId35"/><Relationship Type="http://schemas.openxmlformats.org/officeDocument/2006/relationships/hyperlink" Target="https://codesommet.com/services/education-website-development" TargetMode="External" Id="rId36"/><Relationship Type="http://schemas.openxmlformats.org/officeDocument/2006/relationships/hyperlink" Target="https://codesommet.com/services/education-website-development" TargetMode="External" Id="rId37"/><Relationship Type="http://schemas.openxmlformats.org/officeDocument/2006/relationships/hyperlink" Target="https://codesommet.com/services/education-website-development" TargetMode="External" Id="rId38"/><Relationship Type="http://schemas.openxmlformats.org/officeDocument/2006/relationships/hyperlink" Target="https://codesommet.com/services/elearning-platform-development" TargetMode="External" Id="rId39"/><Relationship Type="http://schemas.openxmlformats.org/officeDocument/2006/relationships/hyperlink" Target="https://codesommet.com/services/elearning-platform-development" TargetMode="External" Id="rId40"/><Relationship Type="http://schemas.openxmlformats.org/officeDocument/2006/relationships/hyperlink" Target="https://codesommet.com/services/elearning-platform-development" TargetMode="External" Id="rId41"/><Relationship Type="http://schemas.openxmlformats.org/officeDocument/2006/relationships/hyperlink" Target="https://codesommet.com/services/elearning-platform-development" TargetMode="External" Id="rId42"/><Relationship Type="http://schemas.openxmlformats.org/officeDocument/2006/relationships/hyperlink" Target="https://codesommet.com/services/elearning-platform-development" TargetMode="External" Id="rId43"/><Relationship Type="http://schemas.openxmlformats.org/officeDocument/2006/relationships/hyperlink" Target="https://codesommet.com/services/elearning-platform-development" TargetMode="External" Id="rId44"/><Relationship Type="http://schemas.openxmlformats.org/officeDocument/2006/relationships/hyperlink" Target="https://codesommet.com/services/elearning-platform-development" TargetMode="External" Id="rId45"/><Relationship Type="http://schemas.openxmlformats.org/officeDocument/2006/relationships/hyperlink" Target="https://codesommet.com/services/elearning-platform-development" TargetMode="External" Id="rId46"/><Relationship Type="http://schemas.openxmlformats.org/officeDocument/2006/relationships/hyperlink" Target="https://codesommet.com/services/elearning-platform-development" TargetMode="External" Id="rId47"/><Relationship Type="http://schemas.openxmlformats.org/officeDocument/2006/relationships/hyperlink" Target="https://codesommet.com/services/elearning-platform-development" TargetMode="External" Id="rId48"/><Relationship Type="http://schemas.openxmlformats.org/officeDocument/2006/relationships/hyperlink" Target="https://codesommet.com/services/fintech-platform-development" TargetMode="External" Id="rId49"/><Relationship Type="http://schemas.openxmlformats.org/officeDocument/2006/relationships/hyperlink" Target="https://codesommet.com/services/fintech-platform-development" TargetMode="External" Id="rId50"/><Relationship Type="http://schemas.openxmlformats.org/officeDocument/2006/relationships/hyperlink" Target="https://codesommet.com/services/fintech-platform-development" TargetMode="External" Id="rId51"/><Relationship Type="http://schemas.openxmlformats.org/officeDocument/2006/relationships/hyperlink" Target="https://codesommet.com/services/fintech-platform-development" TargetMode="External" Id="rId52"/><Relationship Type="http://schemas.openxmlformats.org/officeDocument/2006/relationships/hyperlink" Target="https://codesommet.com/services/fintech-platform-development" TargetMode="External" Id="rId53"/><Relationship Type="http://schemas.openxmlformats.org/officeDocument/2006/relationships/hyperlink" Target="https://codesommet.com/services/fintech-platform-development" TargetMode="External" Id="rId54"/><Relationship Type="http://schemas.openxmlformats.org/officeDocument/2006/relationships/hyperlink" Target="https://codesommet.com/services/fintech-platform-development" TargetMode="External" Id="rId55"/><Relationship Type="http://schemas.openxmlformats.org/officeDocument/2006/relationships/hyperlink" Target="https://codesommet.com/services/fintech-platform-development" TargetMode="External" Id="rId56"/><Relationship Type="http://schemas.openxmlformats.org/officeDocument/2006/relationships/hyperlink" Target="https://codesommet.com/services/fintech-website-development" TargetMode="External" Id="rId57"/><Relationship Type="http://schemas.openxmlformats.org/officeDocument/2006/relationships/hyperlink" Target="https://codesommet.com/services/fintech-website-development" TargetMode="External" Id="rId58"/><Relationship Type="http://schemas.openxmlformats.org/officeDocument/2006/relationships/hyperlink" Target="https://codesommet.com/services/fintech-website-development" TargetMode="External" Id="rId59"/><Relationship Type="http://schemas.openxmlformats.org/officeDocument/2006/relationships/hyperlink" Target="https://codesommet.com/services/fintech-website-development" TargetMode="External" Id="rId60"/><Relationship Type="http://schemas.openxmlformats.org/officeDocument/2006/relationships/hyperlink" Target="https://codesommet.com/services/fintech-website-development" TargetMode="External" Id="rId61"/><Relationship Type="http://schemas.openxmlformats.org/officeDocument/2006/relationships/hyperlink" Target="https://codesommet.com/services/fintech-website-development" TargetMode="External" Id="rId62"/><Relationship Type="http://schemas.openxmlformats.org/officeDocument/2006/relationships/hyperlink" Target="https://codesommet.com/services/fintech-website-development" TargetMode="External" Id="rId63"/><Relationship Type="http://schemas.openxmlformats.org/officeDocument/2006/relationships/hyperlink" Target="https://codesommet.com/services/fintech-website-development" TargetMode="External" Id="rId64"/><Relationship Type="http://schemas.openxmlformats.org/officeDocument/2006/relationships/hyperlink" Target="https://codesommet.com/services/healthcare-website-development" TargetMode="External" Id="rId65"/><Relationship Type="http://schemas.openxmlformats.org/officeDocument/2006/relationships/hyperlink" Target="https://codesommet.com/services/healthcare-website-development" TargetMode="External" Id="rId66"/><Relationship Type="http://schemas.openxmlformats.org/officeDocument/2006/relationships/hyperlink" Target="https://codesommet.com/services/healthcare-website-development" TargetMode="External" Id="rId67"/><Relationship Type="http://schemas.openxmlformats.org/officeDocument/2006/relationships/hyperlink" Target="https://codesommet.com/services/healthcare-website-development" TargetMode="External" Id="rId68"/><Relationship Type="http://schemas.openxmlformats.org/officeDocument/2006/relationships/hyperlink" Target="https://codesommet.com/services/healthcare-website-development" TargetMode="External" Id="rId69"/><Relationship Type="http://schemas.openxmlformats.org/officeDocument/2006/relationships/hyperlink" Target="https://codesommet.com/services/healthcare-website-development" TargetMode="External" Id="rId70"/><Relationship Type="http://schemas.openxmlformats.org/officeDocument/2006/relationships/hyperlink" Target="https://codesommet.com/services/healthcare-website-development" TargetMode="External" Id="rId71"/><Relationship Type="http://schemas.openxmlformats.org/officeDocument/2006/relationships/hyperlink" Target="https://codesommet.com/services/healthcare-website-development" TargetMode="External" Id="rId72"/><Relationship Type="http://schemas.openxmlformats.org/officeDocument/2006/relationships/hyperlink" Target="https://codesommet.com/services/healthcare-website-development" TargetMode="External" Id="rId73"/><Relationship Type="http://schemas.openxmlformats.org/officeDocument/2006/relationships/hyperlink" Target="https://codesommet.com/services/immigration-consultancy-website-development" TargetMode="External" Id="rId74"/><Relationship Type="http://schemas.openxmlformats.org/officeDocument/2006/relationships/hyperlink" Target="https://codesommet.com/services/immigration-consultancy-website-development" TargetMode="External" Id="rId75"/><Relationship Type="http://schemas.openxmlformats.org/officeDocument/2006/relationships/hyperlink" Target="https://codesommet.com/services/immigration-consultancy-website-development" TargetMode="External" Id="rId76"/><Relationship Type="http://schemas.openxmlformats.org/officeDocument/2006/relationships/hyperlink" Target="https://codesommet.com/services/immigration-consultancy-website-development" TargetMode="External" Id="rId77"/><Relationship Type="http://schemas.openxmlformats.org/officeDocument/2006/relationships/hyperlink" Target="https://codesommet.com/services/immigration-consultancy-website-development" TargetMode="External" Id="rId78"/><Relationship Type="http://schemas.openxmlformats.org/officeDocument/2006/relationships/hyperlink" Target="https://codesommet.com/services/immigration-consultancy-website-development" TargetMode="External" Id="rId79"/><Relationship Type="http://schemas.openxmlformats.org/officeDocument/2006/relationships/hyperlink" Target="https://codesommet.com/services/immigration-consultancy-website-development" TargetMode="External" Id="rId80"/><Relationship Type="http://schemas.openxmlformats.org/officeDocument/2006/relationships/hyperlink" Target="https://codesommet.com/services/immigration-consultancy-website-development" TargetMode="External" Id="rId81"/><Relationship Type="http://schemas.openxmlformats.org/officeDocument/2006/relationships/hyperlink" Target="https://codesommet.com/services/language-school-website-development" TargetMode="External" Id="rId82"/><Relationship Type="http://schemas.openxmlformats.org/officeDocument/2006/relationships/hyperlink" Target="https://codesommet.com/services/language-school-website-development" TargetMode="External" Id="rId83"/><Relationship Type="http://schemas.openxmlformats.org/officeDocument/2006/relationships/hyperlink" Target="https://codesommet.com/services/language-school-website-development" TargetMode="External" Id="rId84"/><Relationship Type="http://schemas.openxmlformats.org/officeDocument/2006/relationships/hyperlink" Target="https://codesommet.com/services/language-school-website-development" TargetMode="External" Id="rId85"/><Relationship Type="http://schemas.openxmlformats.org/officeDocument/2006/relationships/hyperlink" Target="https://codesommet.com/services/language-school-website-development" TargetMode="External" Id="rId86"/><Relationship Type="http://schemas.openxmlformats.org/officeDocument/2006/relationships/hyperlink" Target="https://codesommet.com/services/language-school-website-development" TargetMode="External" Id="rId87"/><Relationship Type="http://schemas.openxmlformats.org/officeDocument/2006/relationships/hyperlink" Target="https://codesommet.com/services/language-school-website-development" TargetMode="External" Id="rId88"/><Relationship Type="http://schemas.openxmlformats.org/officeDocument/2006/relationships/hyperlink" Target="https://codesommet.com/services/language-school-website-development" TargetMode="External" Id="rId89"/><Relationship Type="http://schemas.openxmlformats.org/officeDocument/2006/relationships/hyperlink" Target="https://codesommet.com/services/online-course-platform-development" TargetMode="External" Id="rId90"/><Relationship Type="http://schemas.openxmlformats.org/officeDocument/2006/relationships/hyperlink" Target="https://codesommet.com/services/online-course-platform-development" TargetMode="External" Id="rId91"/><Relationship Type="http://schemas.openxmlformats.org/officeDocument/2006/relationships/hyperlink" Target="https://codesommet.com/services/online-course-platform-development" TargetMode="External" Id="rId92"/><Relationship Type="http://schemas.openxmlformats.org/officeDocument/2006/relationships/hyperlink" Target="https://codesommet.com/services/online-course-platform-development" TargetMode="External" Id="rId93"/><Relationship Type="http://schemas.openxmlformats.org/officeDocument/2006/relationships/hyperlink" Target="https://codesommet.com/services/online-course-platform-development" TargetMode="External" Id="rId94"/><Relationship Type="http://schemas.openxmlformats.org/officeDocument/2006/relationships/hyperlink" Target="https://codesommet.com/services/online-course-platform-development" TargetMode="External" Id="rId95"/><Relationship Type="http://schemas.openxmlformats.org/officeDocument/2006/relationships/hyperlink" Target="https://codesommet.com/services/online-course-platform-development" TargetMode="External" Id="rId96"/><Relationship Type="http://schemas.openxmlformats.org/officeDocument/2006/relationships/hyperlink" Target="https://codesommet.com/services/online-course-platform-development" TargetMode="External" Id="rId97"/><Relationship Type="http://schemas.openxmlformats.org/officeDocument/2006/relationships/hyperlink" Target="https://codesommet.com/services/online-course-platform-development" TargetMode="External" Id="rId98"/><Relationship Type="http://schemas.openxmlformats.org/officeDocument/2006/relationships/hyperlink" Target="https://codesommet.com/services/real-estate-website-development" TargetMode="External" Id="rId99"/><Relationship Type="http://schemas.openxmlformats.org/officeDocument/2006/relationships/hyperlink" Target="https://codesommet.com/services/real-estate-website-development" TargetMode="External" Id="rId100"/><Relationship Type="http://schemas.openxmlformats.org/officeDocument/2006/relationships/hyperlink" Target="https://codesommet.com/services/real-estate-website-development" TargetMode="External" Id="rId101"/><Relationship Type="http://schemas.openxmlformats.org/officeDocument/2006/relationships/hyperlink" Target="https://codesommet.com/services/real-estate-website-development" TargetMode="External" Id="rId102"/><Relationship Type="http://schemas.openxmlformats.org/officeDocument/2006/relationships/hyperlink" Target="https://codesommet.com/services/real-estate-website-development" TargetMode="External" Id="rId103"/><Relationship Type="http://schemas.openxmlformats.org/officeDocument/2006/relationships/hyperlink" Target="https://codesommet.com/services/real-estate-website-development" TargetMode="External" Id="rId104"/><Relationship Type="http://schemas.openxmlformats.org/officeDocument/2006/relationships/hyperlink" Target="https://codesommet.com/services/real-estate-website-development" TargetMode="External" Id="rId105"/><Relationship Type="http://schemas.openxmlformats.org/officeDocument/2006/relationships/hyperlink" Target="https://codesommet.com/services/real-estate-website-development" TargetMode="External" Id="rId106"/><Relationship Type="http://schemas.openxmlformats.org/officeDocument/2006/relationships/hyperlink" Target="https://codesommet.com/services/real-estate-website-development" TargetMode="External" Id="rId107"/><Relationship Type="http://schemas.openxmlformats.org/officeDocument/2006/relationships/hyperlink" Target="https://codesommet.com/services/saas-platform-development" TargetMode="External" Id="rId108"/><Relationship Type="http://schemas.openxmlformats.org/officeDocument/2006/relationships/hyperlink" Target="https://codesommet.com/services/saas-platform-development" TargetMode="External" Id="rId109"/><Relationship Type="http://schemas.openxmlformats.org/officeDocument/2006/relationships/hyperlink" Target="https://codesommet.com/services/saas-platform-development" TargetMode="External" Id="rId110"/><Relationship Type="http://schemas.openxmlformats.org/officeDocument/2006/relationships/hyperlink" Target="https://codesommet.com/services/saas-platform-development" TargetMode="External" Id="rId111"/><Relationship Type="http://schemas.openxmlformats.org/officeDocument/2006/relationships/hyperlink" Target="https://codesommet.com/services/saas-platform-development" TargetMode="External" Id="rId112"/><Relationship Type="http://schemas.openxmlformats.org/officeDocument/2006/relationships/hyperlink" Target="https://codesommet.com/services/saas-platform-development" TargetMode="External" Id="rId113"/><Relationship Type="http://schemas.openxmlformats.org/officeDocument/2006/relationships/hyperlink" Target="https://codesommet.com/services/saas-platform-development" TargetMode="External" Id="rId114"/><Relationship Type="http://schemas.openxmlformats.org/officeDocument/2006/relationships/hyperlink" Target="https://codesommet.com/services/saas-platform-development" TargetMode="External" Id="rId115"/><Relationship Type="http://schemas.openxmlformats.org/officeDocument/2006/relationships/hyperlink" Target="https://codesommet.com/services/saas-platform-development" TargetMode="External" Id="rId116"/><Relationship Type="http://schemas.openxmlformats.org/officeDocument/2006/relationships/hyperlink" Target="https://codesommet.com/services/saas-platform-development" TargetMode="External" Id="rId117"/><Relationship Type="http://schemas.openxmlformats.org/officeDocument/2006/relationships/hyperlink" Target="https://codesommet.com/services/seo-maroc" TargetMode="External" Id="rId118"/><Relationship Type="http://schemas.openxmlformats.org/officeDocument/2006/relationships/hyperlink" Target="https://codesommet.com/services/seo-maroc" TargetMode="External" Id="rId119"/><Relationship Type="http://schemas.openxmlformats.org/officeDocument/2006/relationships/hyperlink" Target="https://codesommet.com/services/seo-maroc" TargetMode="External" Id="rId120"/><Relationship Type="http://schemas.openxmlformats.org/officeDocument/2006/relationships/hyperlink" Target="https://codesommet.com/services/seo-maroc" TargetMode="External" Id="rId121"/><Relationship Type="http://schemas.openxmlformats.org/officeDocument/2006/relationships/hyperlink" Target="https://codesommet.com/services/seo-maroc" TargetMode="External" Id="rId122"/><Relationship Type="http://schemas.openxmlformats.org/officeDocument/2006/relationships/hyperlink" Target="https://codesommet.com/services/seo-maroc" TargetMode="External" Id="rId123"/><Relationship Type="http://schemas.openxmlformats.org/officeDocument/2006/relationships/hyperlink" Target="https://codesommet.com/services/seo-maroc" TargetMode="External" Id="rId124"/><Relationship Type="http://schemas.openxmlformats.org/officeDocument/2006/relationships/hyperlink" Target="https://codesommet.com/services/seo-maroc" TargetMode="External" Id="rId125"/><Relationship Type="http://schemas.openxmlformats.org/officeDocument/2006/relationships/hyperlink" Target="https://codesommet.com/services/seo-maroc" TargetMode="External" Id="rId126"/><Relationship Type="http://schemas.openxmlformats.org/officeDocument/2006/relationships/hyperlink" Target="https://codesommet.com/services/seo-maroc" TargetMode="External" Id="rId127"/><Relationship Type="http://schemas.openxmlformats.org/officeDocument/2006/relationships/hyperlink" Target="https://codesommet.com/services/seo-maroc" TargetMode="External" Id="rId128"/><Relationship Type="http://schemas.openxmlformats.org/officeDocument/2006/relationships/hyperlink" Target="https://codesommet.com/services/seo-maroc" TargetMode="External" Id="rId129"/><Relationship Type="http://schemas.openxmlformats.org/officeDocument/2006/relationships/hyperlink" Target="https://codesommet.com/services/study-abroad-website-development" TargetMode="External" Id="rId130"/><Relationship Type="http://schemas.openxmlformats.org/officeDocument/2006/relationships/hyperlink" Target="https://codesommet.com/services/study-abroad-website-development" TargetMode="External" Id="rId131"/><Relationship Type="http://schemas.openxmlformats.org/officeDocument/2006/relationships/hyperlink" Target="https://codesommet.com/services/study-abroad-website-development" TargetMode="External" Id="rId132"/><Relationship Type="http://schemas.openxmlformats.org/officeDocument/2006/relationships/hyperlink" Target="https://codesommet.com/services/study-abroad-website-development" TargetMode="External" Id="rId133"/><Relationship Type="http://schemas.openxmlformats.org/officeDocument/2006/relationships/hyperlink" Target="https://codesommet.com/services/study-abroad-website-development" TargetMode="External" Id="rId134"/><Relationship Type="http://schemas.openxmlformats.org/officeDocument/2006/relationships/hyperlink" Target="https://codesommet.com/services/study-abroad-website-development" TargetMode="External" Id="rId135"/><Relationship Type="http://schemas.openxmlformats.org/officeDocument/2006/relationships/hyperlink" Target="https://codesommet.com/services/study-abroad-website-development" TargetMode="External" Id="rId136"/><Relationship Type="http://schemas.openxmlformats.org/officeDocument/2006/relationships/hyperlink" Target="https://codesommet.com/services/study-abroad-website-development" TargetMode="External" Id="rId137"/><Relationship Type="http://schemas.openxmlformats.org/officeDocument/2006/relationships/hyperlink" Target="https://codesommet.com/services/telemedicine-platform-development" TargetMode="External" Id="rId138"/><Relationship Type="http://schemas.openxmlformats.org/officeDocument/2006/relationships/hyperlink" Target="https://codesommet.com/services/telemedicine-platform-development" TargetMode="External" Id="rId139"/><Relationship Type="http://schemas.openxmlformats.org/officeDocument/2006/relationships/hyperlink" Target="https://codesommet.com/services/telemedicine-platform-development" TargetMode="External" Id="rId140"/><Relationship Type="http://schemas.openxmlformats.org/officeDocument/2006/relationships/hyperlink" Target="https://codesommet.com/services/telemedicine-platform-development" TargetMode="External" Id="rId141"/><Relationship Type="http://schemas.openxmlformats.org/officeDocument/2006/relationships/hyperlink" Target="https://codesommet.com/services/telemedicine-platform-development" TargetMode="External" Id="rId142"/><Relationship Type="http://schemas.openxmlformats.org/officeDocument/2006/relationships/hyperlink" Target="https://codesommet.com/services/telemedicine-platform-development" TargetMode="External" Id="rId143"/><Relationship Type="http://schemas.openxmlformats.org/officeDocument/2006/relationships/hyperlink" Target="https://codesommet.com/services/telemedicine-platform-development" TargetMode="External" Id="rId144"/><Relationship Type="http://schemas.openxmlformats.org/officeDocument/2006/relationships/hyperlink" Target="https://codesommet.com/services/telemedicine-platform-development" TargetMode="External" Id="rId145"/><Relationship Type="http://schemas.openxmlformats.org/officeDocument/2006/relationships/hyperlink" Target="https://codesommet.com/services/telemedicine-website-development" TargetMode="External" Id="rId146"/><Relationship Type="http://schemas.openxmlformats.org/officeDocument/2006/relationships/hyperlink" Target="https://codesommet.com/services/telemedicine-website-development" TargetMode="External" Id="rId147"/><Relationship Type="http://schemas.openxmlformats.org/officeDocument/2006/relationships/hyperlink" Target="https://codesommet.com/services/telemedicine-website-development" TargetMode="External" Id="rId148"/><Relationship Type="http://schemas.openxmlformats.org/officeDocument/2006/relationships/hyperlink" Target="https://codesommet.com/services/telemedicine-website-development" TargetMode="External" Id="rId149"/><Relationship Type="http://schemas.openxmlformats.org/officeDocument/2006/relationships/hyperlink" Target="https://codesommet.com/services/telemedicine-website-development" TargetMode="External" Id="rId150"/><Relationship Type="http://schemas.openxmlformats.org/officeDocument/2006/relationships/hyperlink" Target="https://codesommet.com/services/telemedicine-website-development" TargetMode="External" Id="rId151"/><Relationship Type="http://schemas.openxmlformats.org/officeDocument/2006/relationships/hyperlink" Target="https://codesommet.com/services/telemedicine-website-development" TargetMode="External" Id="rId152"/><Relationship Type="http://schemas.openxmlformats.org/officeDocument/2006/relationships/hyperlink" Target="https://codesommet.com/services/telemedicine-website-development" TargetMode="External" Id="rId153"/><Relationship Type="http://schemas.openxmlformats.org/officeDocument/2006/relationships/hyperlink" Target="https://codesommet.com/services/university-website-development" TargetMode="External" Id="rId154"/><Relationship Type="http://schemas.openxmlformats.org/officeDocument/2006/relationships/hyperlink" Target="https://codesommet.com/services/university-website-development" TargetMode="External" Id="rId155"/><Relationship Type="http://schemas.openxmlformats.org/officeDocument/2006/relationships/hyperlink" Target="https://codesommet.com/services/university-website-development" TargetMode="External" Id="rId156"/><Relationship Type="http://schemas.openxmlformats.org/officeDocument/2006/relationships/hyperlink" Target="https://codesommet.com/services/university-website-development" TargetMode="External" Id="rId157"/><Relationship Type="http://schemas.openxmlformats.org/officeDocument/2006/relationships/hyperlink" Target="https://codesommet.com/services/university-website-development" TargetMode="External" Id="rId158"/><Relationship Type="http://schemas.openxmlformats.org/officeDocument/2006/relationships/hyperlink" Target="https://codesommet.com/services/university-website-development" TargetMode="External" Id="rId159"/><Relationship Type="http://schemas.openxmlformats.org/officeDocument/2006/relationships/hyperlink" Target="https://codesommet.com/services/university-website-development" TargetMode="External" Id="rId160"/><Relationship Type="http://schemas.openxmlformats.org/officeDocument/2006/relationships/hyperlink" Target="https://codesommet.com/services/university-website-development" TargetMode="External" Id="rId161"/><Relationship Type="http://schemas.openxmlformats.org/officeDocument/2006/relationships/hyperlink" Target="https://codesommet.com/tools/ai-crawler-access-checker" TargetMode="External" Id="rId162"/><Relationship Type="http://schemas.openxmlformats.org/officeDocument/2006/relationships/hyperlink" Target="https://codesommet.com/tools/ai-crawler-access-checker" TargetMode="External" Id="rId163"/><Relationship Type="http://schemas.openxmlformats.org/officeDocument/2006/relationships/hyperlink" Target="https://codesommet.com/tools/ai-crawler-access-checker" TargetMode="External" Id="rId164"/><Relationship Type="http://schemas.openxmlformats.org/officeDocument/2006/relationships/hyperlink" Target="https://codesommet.com/tools/ai-crawler-access-checker" TargetMode="External" Id="rId165"/><Relationship Type="http://schemas.openxmlformats.org/officeDocument/2006/relationships/hyperlink" Target="https://codesommet.com/tools/ai-crawler-access-checker" TargetMode="External" Id="rId166"/><Relationship Type="http://schemas.openxmlformats.org/officeDocument/2006/relationships/hyperlink" Target="https://codesommet.com/tools/ai-crawler-access-checker" TargetMode="External" Id="rId167"/><Relationship Type="http://schemas.openxmlformats.org/officeDocument/2006/relationships/hyperlink" Target="https://codesommet.com/tools/ai-readiness-checker" TargetMode="External" Id="rId168"/><Relationship Type="http://schemas.openxmlformats.org/officeDocument/2006/relationships/hyperlink" Target="https://codesommet.com/tools/ai-readiness-checker" TargetMode="External" Id="rId169"/><Relationship Type="http://schemas.openxmlformats.org/officeDocument/2006/relationships/hyperlink" Target="https://codesommet.com/tools/ai-readiness-checker" TargetMode="External" Id="rId170"/><Relationship Type="http://schemas.openxmlformats.org/officeDocument/2006/relationships/hyperlink" Target="https://codesommet.com/tools/ai-readiness-checker" TargetMode="External" Id="rId171"/><Relationship Type="http://schemas.openxmlformats.org/officeDocument/2006/relationships/hyperlink" Target="https://codesommet.com/tools/base64-encoder" TargetMode="External" Id="rId172"/><Relationship Type="http://schemas.openxmlformats.org/officeDocument/2006/relationships/hyperlink" Target="https://codesommet.com/tools/base64-encoder" TargetMode="External" Id="rId173"/><Relationship Type="http://schemas.openxmlformats.org/officeDocument/2006/relationships/hyperlink" Target="https://codesommet.com/tools/base64-encoder" TargetMode="External" Id="rId174"/><Relationship Type="http://schemas.openxmlformats.org/officeDocument/2006/relationships/hyperlink" Target="https://codesommet.com/tools/base64-encoder" TargetMode="External" Id="rId175"/><Relationship Type="http://schemas.openxmlformats.org/officeDocument/2006/relationships/hyperlink" Target="https://codesommet.com/tools/base64-encoder" TargetMode="External" Id="rId176"/><Relationship Type="http://schemas.openxmlformats.org/officeDocument/2006/relationships/hyperlink" Target="https://codesommet.com/tools/base64-encoder" TargetMode="External" Id="rId177"/><Relationship Type="http://schemas.openxmlformats.org/officeDocument/2006/relationships/hyperlink" Target="https://codesommet.com/tools/base64-encoder" TargetMode="External" Id="rId178"/><Relationship Type="http://schemas.openxmlformats.org/officeDocument/2006/relationships/hyperlink" Target="https://codesommet.com/tools/blog-title-generator" TargetMode="External" Id="rId179"/><Relationship Type="http://schemas.openxmlformats.org/officeDocument/2006/relationships/hyperlink" Target="https://codesommet.com/tools/blog-title-generator" TargetMode="External" Id="rId180"/><Relationship Type="http://schemas.openxmlformats.org/officeDocument/2006/relationships/hyperlink" Target="https://codesommet.com/tools/blog-title-generator" TargetMode="External" Id="rId181"/><Relationship Type="http://schemas.openxmlformats.org/officeDocument/2006/relationships/hyperlink" Target="https://codesommet.com/tools/blog-title-generator" TargetMode="External" Id="rId182"/><Relationship Type="http://schemas.openxmlformats.org/officeDocument/2006/relationships/hyperlink" Target="https://codesommet.com/tools/blog-title-generator" TargetMode="External" Id="rId183"/><Relationship Type="http://schemas.openxmlformats.org/officeDocument/2006/relationships/hyperlink" Target="https://codesommet.com/tools/blog-title-generator" TargetMode="External" Id="rId184"/><Relationship Type="http://schemas.openxmlformats.org/officeDocument/2006/relationships/hyperlink" Target="https://codesommet.com/tools/blog-title-generator" TargetMode="External" Id="rId185"/><Relationship Type="http://schemas.openxmlformats.org/officeDocument/2006/relationships/hyperlink" Target="https://codesommet.com/tools/bot-viewer" TargetMode="External" Id="rId186"/><Relationship Type="http://schemas.openxmlformats.org/officeDocument/2006/relationships/hyperlink" Target="https://codesommet.com/tools/bot-viewer" TargetMode="External" Id="rId187"/><Relationship Type="http://schemas.openxmlformats.org/officeDocument/2006/relationships/hyperlink" Target="https://codesommet.com/tools/bot-viewer" TargetMode="External" Id="rId188"/><Relationship Type="http://schemas.openxmlformats.org/officeDocument/2006/relationships/hyperlink" Target="https://codesommet.com/tools/bot-viewer" TargetMode="External" Id="rId189"/><Relationship Type="http://schemas.openxmlformats.org/officeDocument/2006/relationships/hyperlink" Target="https://codesommet.com/tools/bot-viewer" TargetMode="External" Id="rId190"/><Relationship Type="http://schemas.openxmlformats.org/officeDocument/2006/relationships/hyperlink" Target="https://codesommet.com/tools/bot-viewer" TargetMode="External" Id="rId191"/><Relationship Type="http://schemas.openxmlformats.org/officeDocument/2006/relationships/hyperlink" Target="https://codesommet.com/tools/broken-link-checker" TargetMode="External" Id="rId192"/><Relationship Type="http://schemas.openxmlformats.org/officeDocument/2006/relationships/hyperlink" Target="https://codesommet.com/tools/broken-link-checker" TargetMode="External" Id="rId193"/><Relationship Type="http://schemas.openxmlformats.org/officeDocument/2006/relationships/hyperlink" Target="https://codesommet.com/tools/broken-link-checker" TargetMode="External" Id="rId194"/><Relationship Type="http://schemas.openxmlformats.org/officeDocument/2006/relationships/hyperlink" Target="https://codesommet.com/tools/broken-link-checker" TargetMode="External" Id="rId195"/><Relationship Type="http://schemas.openxmlformats.org/officeDocument/2006/relationships/hyperlink" Target="https://codesommet.com/tools/broken-link-checker" TargetMode="External" Id="rId196"/><Relationship Type="http://schemas.openxmlformats.org/officeDocument/2006/relationships/hyperlink" Target="https://codesommet.com/tools/broken-link-checker" TargetMode="External" Id="rId197"/><Relationship Type="http://schemas.openxmlformats.org/officeDocument/2006/relationships/hyperlink" Target="https://codesommet.com/tools/broken-link-checker" TargetMode="External" Id="rId198"/><Relationship Type="http://schemas.openxmlformats.org/officeDocument/2006/relationships/hyperlink" Target="https://codesommet.com/tools/canonical-checker" TargetMode="External" Id="rId199"/><Relationship Type="http://schemas.openxmlformats.org/officeDocument/2006/relationships/hyperlink" Target="https://codesommet.com/tools/canonical-checker" TargetMode="External" Id="rId200"/><Relationship Type="http://schemas.openxmlformats.org/officeDocument/2006/relationships/hyperlink" Target="https://codesommet.com/tools/canonical-checker" TargetMode="External" Id="rId201"/><Relationship Type="http://schemas.openxmlformats.org/officeDocument/2006/relationships/hyperlink" Target="https://codesommet.com/tools/canonical-checker" TargetMode="External" Id="rId202"/><Relationship Type="http://schemas.openxmlformats.org/officeDocument/2006/relationships/hyperlink" Target="https://codesommet.com/tools/canonical-checker" TargetMode="External" Id="rId203"/><Relationship Type="http://schemas.openxmlformats.org/officeDocument/2006/relationships/hyperlink" Target="https://codesommet.com/tools/canonical-checker" TargetMode="External" Id="rId204"/><Relationship Type="http://schemas.openxmlformats.org/officeDocument/2006/relationships/hyperlink" Target="https://codesommet.com/tools/canonical-checker" TargetMode="External" Id="rId205"/><Relationship Type="http://schemas.openxmlformats.org/officeDocument/2006/relationships/hyperlink" Target="https://codesommet.com/tools/chatbot-script-generator" TargetMode="External" Id="rId206"/><Relationship Type="http://schemas.openxmlformats.org/officeDocument/2006/relationships/hyperlink" Target="https://codesommet.com/tools/chatbot-script-generator" TargetMode="External" Id="rId207"/><Relationship Type="http://schemas.openxmlformats.org/officeDocument/2006/relationships/hyperlink" Target="https://codesommet.com/tools/chatbot-script-generator" TargetMode="External" Id="rId208"/><Relationship Type="http://schemas.openxmlformats.org/officeDocument/2006/relationships/hyperlink" Target="https://codesommet.com/tools/chatbot-script-generator" TargetMode="External" Id="rId209"/><Relationship Type="http://schemas.openxmlformats.org/officeDocument/2006/relationships/hyperlink" Target="https://codesommet.com/tools/chatbot-script-generator" TargetMode="External" Id="rId210"/><Relationship Type="http://schemas.openxmlformats.org/officeDocument/2006/relationships/hyperlink" Target="https://codesommet.com/tools/chatbot-script-generator" TargetMode="External" Id="rId211"/><Relationship Type="http://schemas.openxmlformats.org/officeDocument/2006/relationships/hyperlink" Target="https://codesommet.com/tools/chatbot-script-generator" TargetMode="External" Id="rId212"/><Relationship Type="http://schemas.openxmlformats.org/officeDocument/2006/relationships/hyperlink" Target="https://codesommet.com/tools/color-palette-generator" TargetMode="External" Id="rId213"/><Relationship Type="http://schemas.openxmlformats.org/officeDocument/2006/relationships/hyperlink" Target="https://codesommet.com/tools/color-palette-generator" TargetMode="External" Id="rId214"/><Relationship Type="http://schemas.openxmlformats.org/officeDocument/2006/relationships/hyperlink" Target="https://codesommet.com/tools/color-palette-generator" TargetMode="External" Id="rId215"/><Relationship Type="http://schemas.openxmlformats.org/officeDocument/2006/relationships/hyperlink" Target="https://codesommet.com/tools/color-palette-generator" TargetMode="External" Id="rId216"/><Relationship Type="http://schemas.openxmlformats.org/officeDocument/2006/relationships/hyperlink" Target="https://codesommet.com/tools/color-palette-generator" TargetMode="External" Id="rId217"/><Relationship Type="http://schemas.openxmlformats.org/officeDocument/2006/relationships/hyperlink" Target="https://codesommet.com/tools/color-palette-generator" TargetMode="External" Id="rId218"/><Relationship Type="http://schemas.openxmlformats.org/officeDocument/2006/relationships/hyperlink" Target="https://codesommet.com/tools/color-palette-generator" TargetMode="External" Id="rId219"/><Relationship Type="http://schemas.openxmlformats.org/officeDocument/2006/relationships/hyperlink" Target="https://codesommet.com/tools/core-web-vitals-checker" TargetMode="External" Id="rId220"/><Relationship Type="http://schemas.openxmlformats.org/officeDocument/2006/relationships/hyperlink" Target="https://codesommet.com/tools/core-web-vitals-checker" TargetMode="External" Id="rId221"/><Relationship Type="http://schemas.openxmlformats.org/officeDocument/2006/relationships/hyperlink" Target="https://codesommet.com/tools/core-web-vitals-checker" TargetMode="External" Id="rId222"/><Relationship Type="http://schemas.openxmlformats.org/officeDocument/2006/relationships/hyperlink" Target="https://codesommet.com/tools/core-web-vitals-checker" TargetMode="External" Id="rId223"/><Relationship Type="http://schemas.openxmlformats.org/officeDocument/2006/relationships/hyperlink" Target="https://codesommet.com/tools/core-web-vitals-checker" TargetMode="External" Id="rId224"/><Relationship Type="http://schemas.openxmlformats.org/officeDocument/2006/relationships/hyperlink" Target="https://codesommet.com/tools/core-web-vitals-checker" TargetMode="External" Id="rId225"/><Relationship Type="http://schemas.openxmlformats.org/officeDocument/2006/relationships/hyperlink" Target="https://codesommet.com/tools/core-web-vitals-checker" TargetMode="External" Id="rId226"/><Relationship Type="http://schemas.openxmlformats.org/officeDocument/2006/relationships/hyperlink" Target="https://codesommet.com/tools/crawl-optimization-checker" TargetMode="External" Id="rId227"/><Relationship Type="http://schemas.openxmlformats.org/officeDocument/2006/relationships/hyperlink" Target="https://codesommet.com/tools/crawl-optimization-checker" TargetMode="External" Id="rId228"/><Relationship Type="http://schemas.openxmlformats.org/officeDocument/2006/relationships/hyperlink" Target="https://codesommet.com/tools/crawl-optimization-checker" TargetMode="External" Id="rId229"/><Relationship Type="http://schemas.openxmlformats.org/officeDocument/2006/relationships/hyperlink" Target="https://codesommet.com/tools/crawl-optimization-checker" TargetMode="External" Id="rId230"/><Relationship Type="http://schemas.openxmlformats.org/officeDocument/2006/relationships/hyperlink" Target="https://codesommet.com/tools/crawl-visualizer" TargetMode="External" Id="rId231"/><Relationship Type="http://schemas.openxmlformats.org/officeDocument/2006/relationships/hyperlink" Target="https://codesommet.com/tools/crawl-visualizer" TargetMode="External" Id="rId232"/><Relationship Type="http://schemas.openxmlformats.org/officeDocument/2006/relationships/hyperlink" Target="https://codesommet.com/tools/crawl-visualizer" TargetMode="External" Id="rId233"/><Relationship Type="http://schemas.openxmlformats.org/officeDocument/2006/relationships/hyperlink" Target="https://codesommet.com/tools/crawl-visualizer" TargetMode="External" Id="rId234"/><Relationship Type="http://schemas.openxmlformats.org/officeDocument/2006/relationships/hyperlink" Target="https://codesommet.com/tools/crawl-visualizer" TargetMode="External" Id="rId235"/><Relationship Type="http://schemas.openxmlformats.org/officeDocument/2006/relationships/hyperlink" Target="https://codesommet.com/tools/crawl-visualizer" TargetMode="External" Id="rId236"/><Relationship Type="http://schemas.openxmlformats.org/officeDocument/2006/relationships/hyperlink" Target="https://codesommet.com/tools/css-minifier" TargetMode="External" Id="rId237"/><Relationship Type="http://schemas.openxmlformats.org/officeDocument/2006/relationships/hyperlink" Target="https://codesommet.com/tools/css-minifier" TargetMode="External" Id="rId238"/><Relationship Type="http://schemas.openxmlformats.org/officeDocument/2006/relationships/hyperlink" Target="https://codesommet.com/tools/css-minifier" TargetMode="External" Id="rId239"/><Relationship Type="http://schemas.openxmlformats.org/officeDocument/2006/relationships/hyperlink" Target="https://codesommet.com/tools/css-minifier" TargetMode="External" Id="rId240"/><Relationship Type="http://schemas.openxmlformats.org/officeDocument/2006/relationships/hyperlink" Target="https://codesommet.com/tools/css-minifier" TargetMode="External" Id="rId241"/><Relationship Type="http://schemas.openxmlformats.org/officeDocument/2006/relationships/hyperlink" Target="https://codesommet.com/tools/css-minifier" TargetMode="External" Id="rId242"/><Relationship Type="http://schemas.openxmlformats.org/officeDocument/2006/relationships/hyperlink" Target="https://codesommet.com/tools/css-minifier" TargetMode="External" Id="rId243"/><Relationship Type="http://schemas.openxmlformats.org/officeDocument/2006/relationships/hyperlink" Target="https://codesommet.com/tools/domain-authority-checker" TargetMode="External" Id="rId244"/><Relationship Type="http://schemas.openxmlformats.org/officeDocument/2006/relationships/hyperlink" Target="https://codesommet.com/tools/domain-authority-checker" TargetMode="External" Id="rId245"/><Relationship Type="http://schemas.openxmlformats.org/officeDocument/2006/relationships/hyperlink" Target="https://codesommet.com/tools/domain-authority-checker" TargetMode="External" Id="rId246"/><Relationship Type="http://schemas.openxmlformats.org/officeDocument/2006/relationships/hyperlink" Target="https://codesommet.com/tools/domain-authority-checker" TargetMode="External" Id="rId247"/><Relationship Type="http://schemas.openxmlformats.org/officeDocument/2006/relationships/hyperlink" Target="https://codesommet.com/tools/domain-authority-checker" TargetMode="External" Id="rId248"/><Relationship Type="http://schemas.openxmlformats.org/officeDocument/2006/relationships/hyperlink" Target="https://codesommet.com/tools/domain-authority-checker" TargetMode="External" Id="rId249"/><Relationship Type="http://schemas.openxmlformats.org/officeDocument/2006/relationships/hyperlink" Target="https://codesommet.com/tools/domain-authority-checker" TargetMode="External" Id="rId250"/><Relationship Type="http://schemas.openxmlformats.org/officeDocument/2006/relationships/hyperlink" Target="https://codesommet.com/tools/domain-extractor" TargetMode="External" Id="rId251"/><Relationship Type="http://schemas.openxmlformats.org/officeDocument/2006/relationships/hyperlink" Target="https://codesommet.com/tools/domain-extractor" TargetMode="External" Id="rId252"/><Relationship Type="http://schemas.openxmlformats.org/officeDocument/2006/relationships/hyperlink" Target="https://codesommet.com/tools/domain-extractor" TargetMode="External" Id="rId253"/><Relationship Type="http://schemas.openxmlformats.org/officeDocument/2006/relationships/hyperlink" Target="https://codesommet.com/tools/domain-extractor" TargetMode="External" Id="rId254"/><Relationship Type="http://schemas.openxmlformats.org/officeDocument/2006/relationships/hyperlink" Target="https://codesommet.com/tools/domain-health-checker" TargetMode="External" Id="rId255"/><Relationship Type="http://schemas.openxmlformats.org/officeDocument/2006/relationships/hyperlink" Target="https://codesommet.com/tools/domain-health-checker" TargetMode="External" Id="rId256"/><Relationship Type="http://schemas.openxmlformats.org/officeDocument/2006/relationships/hyperlink" Target="https://codesommet.com/tools/domain-health-checker" TargetMode="External" Id="rId257"/><Relationship Type="http://schemas.openxmlformats.org/officeDocument/2006/relationships/hyperlink" Target="https://codesommet.com/tools/domain-health-checker" TargetMode="External" Id="rId258"/><Relationship Type="http://schemas.openxmlformats.org/officeDocument/2006/relationships/hyperlink" Target="https://codesommet.com/tools/domain-health-checker" TargetMode="External" Id="rId259"/><Relationship Type="http://schemas.openxmlformats.org/officeDocument/2006/relationships/hyperlink" Target="https://codesommet.com/tools/domain-health-checker" TargetMode="External" Id="rId260"/><Relationship Type="http://schemas.openxmlformats.org/officeDocument/2006/relationships/hyperlink" Target="https://codesommet.com/tools/domain-health-checker" TargetMode="External" Id="rId261"/><Relationship Type="http://schemas.openxmlformats.org/officeDocument/2006/relationships/hyperlink" Target="https://codesommet.com/tools/duplicate-content-checker" TargetMode="External" Id="rId262"/><Relationship Type="http://schemas.openxmlformats.org/officeDocument/2006/relationships/hyperlink" Target="https://codesommet.com/tools/duplicate-content-checker" TargetMode="External" Id="rId263"/><Relationship Type="http://schemas.openxmlformats.org/officeDocument/2006/relationships/hyperlink" Target="https://codesommet.com/tools/duplicate-content-checker" TargetMode="External" Id="rId264"/><Relationship Type="http://schemas.openxmlformats.org/officeDocument/2006/relationships/hyperlink" Target="https://codesommet.com/tools/duplicate-content-checker" TargetMode="External" Id="rId265"/><Relationship Type="http://schemas.openxmlformats.org/officeDocument/2006/relationships/hyperlink" Target="https://codesommet.com/tools/duplicate-content-checker" TargetMode="External" Id="rId266"/><Relationship Type="http://schemas.openxmlformats.org/officeDocument/2006/relationships/hyperlink" Target="https://codesommet.com/tools/duplicate-content-checker" TargetMode="External" Id="rId267"/><Relationship Type="http://schemas.openxmlformats.org/officeDocument/2006/relationships/hyperlink" Target="https://codesommet.com/tools/eeat-signals-checker" TargetMode="External" Id="rId268"/><Relationship Type="http://schemas.openxmlformats.org/officeDocument/2006/relationships/hyperlink" Target="https://codesommet.com/tools/eeat-signals-checker" TargetMode="External" Id="rId269"/><Relationship Type="http://schemas.openxmlformats.org/officeDocument/2006/relationships/hyperlink" Target="https://codesommet.com/tools/eeat-signals-checker" TargetMode="External" Id="rId270"/><Relationship Type="http://schemas.openxmlformats.org/officeDocument/2006/relationships/hyperlink" Target="https://codesommet.com/tools/eeat-signals-checker" TargetMode="External" Id="rId271"/><Relationship Type="http://schemas.openxmlformats.org/officeDocument/2006/relationships/hyperlink" Target="https://codesommet.com/tools/expired-domain-checker" TargetMode="External" Id="rId272"/><Relationship Type="http://schemas.openxmlformats.org/officeDocument/2006/relationships/hyperlink" Target="https://codesommet.com/tools/expired-domain-checker" TargetMode="External" Id="rId273"/><Relationship Type="http://schemas.openxmlformats.org/officeDocument/2006/relationships/hyperlink" Target="https://codesommet.com/tools/expired-domain-checker" TargetMode="External" Id="rId274"/><Relationship Type="http://schemas.openxmlformats.org/officeDocument/2006/relationships/hyperlink" Target="https://codesommet.com/tools/expired-domain-checker" TargetMode="External" Id="rId275"/><Relationship Type="http://schemas.openxmlformats.org/officeDocument/2006/relationships/hyperlink" Target="https://codesommet.com/tools/faq-schema-generator" TargetMode="External" Id="rId276"/><Relationship Type="http://schemas.openxmlformats.org/officeDocument/2006/relationships/hyperlink" Target="https://codesommet.com/tools/faq-schema-generator" TargetMode="External" Id="rId277"/><Relationship Type="http://schemas.openxmlformats.org/officeDocument/2006/relationships/hyperlink" Target="https://codesommet.com/tools/faq-schema-generator" TargetMode="External" Id="rId278"/><Relationship Type="http://schemas.openxmlformats.org/officeDocument/2006/relationships/hyperlink" Target="https://codesommet.com/tools/faq-schema-generator" TargetMode="External" Id="rId279"/><Relationship Type="http://schemas.openxmlformats.org/officeDocument/2006/relationships/hyperlink" Target="https://codesommet.com/tools/faq-schema-generator" TargetMode="External" Id="rId280"/><Relationship Type="http://schemas.openxmlformats.org/officeDocument/2006/relationships/hyperlink" Target="https://codesommet.com/tools/faq-schema-generator" TargetMode="External" Id="rId281"/><Relationship Type="http://schemas.openxmlformats.org/officeDocument/2006/relationships/hyperlink" Target="https://codesommet.com/tools/faq-schema-generator" TargetMode="External" Id="rId282"/><Relationship Type="http://schemas.openxmlformats.org/officeDocument/2006/relationships/hyperlink" Target="https://codesommet.com/tools/heading-analyzer" TargetMode="External" Id="rId283"/><Relationship Type="http://schemas.openxmlformats.org/officeDocument/2006/relationships/hyperlink" Target="https://codesommet.com/tools/heading-analyzer" TargetMode="External" Id="rId284"/><Relationship Type="http://schemas.openxmlformats.org/officeDocument/2006/relationships/hyperlink" Target="https://codesommet.com/tools/heading-analyzer" TargetMode="External" Id="rId285"/><Relationship Type="http://schemas.openxmlformats.org/officeDocument/2006/relationships/hyperlink" Target="https://codesommet.com/tools/heading-analyzer" TargetMode="External" Id="rId286"/><Relationship Type="http://schemas.openxmlformats.org/officeDocument/2006/relationships/hyperlink" Target="https://codesommet.com/tools/heading-analyzer" TargetMode="External" Id="rId287"/><Relationship Type="http://schemas.openxmlformats.org/officeDocument/2006/relationships/hyperlink" Target="https://codesommet.com/tools/heading-analyzer" TargetMode="External" Id="rId288"/><Relationship Type="http://schemas.openxmlformats.org/officeDocument/2006/relationships/hyperlink" Target="https://codesommet.com/tools/heading-analyzer" TargetMode="External" Id="rId289"/><Relationship Type="http://schemas.openxmlformats.org/officeDocument/2006/relationships/hyperlink" Target="https://codesommet.com/tools/hreflang-generator" TargetMode="External" Id="rId290"/><Relationship Type="http://schemas.openxmlformats.org/officeDocument/2006/relationships/hyperlink" Target="https://codesommet.com/tools/hreflang-generator" TargetMode="External" Id="rId291"/><Relationship Type="http://schemas.openxmlformats.org/officeDocument/2006/relationships/hyperlink" Target="https://codesommet.com/tools/hreflang-generator" TargetMode="External" Id="rId292"/><Relationship Type="http://schemas.openxmlformats.org/officeDocument/2006/relationships/hyperlink" Target="https://codesommet.com/tools/hreflang-generator" TargetMode="External" Id="rId293"/><Relationship Type="http://schemas.openxmlformats.org/officeDocument/2006/relationships/hyperlink" Target="https://codesommet.com/tools/hreflang-generator" TargetMode="External" Id="rId294"/><Relationship Type="http://schemas.openxmlformats.org/officeDocument/2006/relationships/hyperlink" Target="https://codesommet.com/tools/hreflang-generator" TargetMode="External" Id="rId295"/><Relationship Type="http://schemas.openxmlformats.org/officeDocument/2006/relationships/hyperlink" Target="https://codesommet.com/tools/hreflang-generator" TargetMode="External" Id="rId296"/><Relationship Type="http://schemas.openxmlformats.org/officeDocument/2006/relationships/hyperlink" Target="https://codesommet.com/tools/html-minifier" TargetMode="External" Id="rId297"/><Relationship Type="http://schemas.openxmlformats.org/officeDocument/2006/relationships/hyperlink" Target="https://codesommet.com/tools/html-minifier" TargetMode="External" Id="rId298"/><Relationship Type="http://schemas.openxmlformats.org/officeDocument/2006/relationships/hyperlink" Target="https://codesommet.com/tools/html-minifier" TargetMode="External" Id="rId299"/><Relationship Type="http://schemas.openxmlformats.org/officeDocument/2006/relationships/hyperlink" Target="https://codesommet.com/tools/html-minifier" TargetMode="External" Id="rId300"/><Relationship Type="http://schemas.openxmlformats.org/officeDocument/2006/relationships/hyperlink" Target="https://codesommet.com/tools/html-minifier" TargetMode="External" Id="rId301"/><Relationship Type="http://schemas.openxmlformats.org/officeDocument/2006/relationships/hyperlink" Target="https://codesommet.com/tools/html-minifier" TargetMode="External" Id="rId302"/><Relationship Type="http://schemas.openxmlformats.org/officeDocument/2006/relationships/hyperlink" Target="https://codesommet.com/tools/html-minifier" TargetMode="External" Id="rId303"/><Relationship Type="http://schemas.openxmlformats.org/officeDocument/2006/relationships/hyperlink" Target="https://codesommet.com/tools/html-to-text" TargetMode="External" Id="rId304"/><Relationship Type="http://schemas.openxmlformats.org/officeDocument/2006/relationships/hyperlink" Target="https://codesommet.com/tools/html-to-text" TargetMode="External" Id="rId305"/><Relationship Type="http://schemas.openxmlformats.org/officeDocument/2006/relationships/hyperlink" Target="https://codesommet.com/tools/html-to-text" TargetMode="External" Id="rId306"/><Relationship Type="http://schemas.openxmlformats.org/officeDocument/2006/relationships/hyperlink" Target="https://codesommet.com/tools/html-to-text" TargetMode="External" Id="rId307"/><Relationship Type="http://schemas.openxmlformats.org/officeDocument/2006/relationships/hyperlink" Target="https://codesommet.com/tools/html-to-text" TargetMode="External" Id="rId308"/><Relationship Type="http://schemas.openxmlformats.org/officeDocument/2006/relationships/hyperlink" Target="https://codesommet.com/tools/html-to-text" TargetMode="External" Id="rId309"/><Relationship Type="http://schemas.openxmlformats.org/officeDocument/2006/relationships/hyperlink" Target="https://codesommet.com/tools/html-to-text" TargetMode="External" Id="rId310"/><Relationship Type="http://schemas.openxmlformats.org/officeDocument/2006/relationships/hyperlink" Target="https://codesommet.com/tools/image-alt-analyzer" TargetMode="External" Id="rId311"/><Relationship Type="http://schemas.openxmlformats.org/officeDocument/2006/relationships/hyperlink" Target="https://codesommet.com/tools/image-alt-analyzer" TargetMode="External" Id="rId312"/><Relationship Type="http://schemas.openxmlformats.org/officeDocument/2006/relationships/hyperlink" Target="https://codesommet.com/tools/image-alt-analyzer" TargetMode="External" Id="rId313"/><Relationship Type="http://schemas.openxmlformats.org/officeDocument/2006/relationships/hyperlink" Target="https://codesommet.com/tools/image-alt-analyzer" TargetMode="External" Id="rId314"/><Relationship Type="http://schemas.openxmlformats.org/officeDocument/2006/relationships/hyperlink" Target="https://codesommet.com/tools/image-alt-analyzer" TargetMode="External" Id="rId315"/><Relationship Type="http://schemas.openxmlformats.org/officeDocument/2006/relationships/hyperlink" Target="https://codesommet.com/tools/image-alt-analyzer" TargetMode="External" Id="rId316"/><Relationship Type="http://schemas.openxmlformats.org/officeDocument/2006/relationships/hyperlink" Target="https://codesommet.com/tools/image-alt-analyzer" TargetMode="External" Id="rId317"/><Relationship Type="http://schemas.openxmlformats.org/officeDocument/2006/relationships/hyperlink" Target="https://codesommet.com/tools/image-compression-analyzer" TargetMode="External" Id="rId318"/><Relationship Type="http://schemas.openxmlformats.org/officeDocument/2006/relationships/hyperlink" Target="https://codesommet.com/tools/image-compression-analyzer" TargetMode="External" Id="rId319"/><Relationship Type="http://schemas.openxmlformats.org/officeDocument/2006/relationships/hyperlink" Target="https://codesommet.com/tools/image-compression-analyzer" TargetMode="External" Id="rId320"/><Relationship Type="http://schemas.openxmlformats.org/officeDocument/2006/relationships/hyperlink" Target="https://codesommet.com/tools/image-compression-analyzer" TargetMode="External" Id="rId321"/><Relationship Type="http://schemas.openxmlformats.org/officeDocument/2006/relationships/hyperlink" Target="https://codesommet.com/tools/image-compression-analyzer" TargetMode="External" Id="rId322"/><Relationship Type="http://schemas.openxmlformats.org/officeDocument/2006/relationships/hyperlink" Target="https://codesommet.com/tools/image-compression-analyzer" TargetMode="External" Id="rId323"/><Relationship Type="http://schemas.openxmlformats.org/officeDocument/2006/relationships/hyperlink" Target="https://codesommet.com/tools/image-compressor" TargetMode="External" Id="rId324"/><Relationship Type="http://schemas.openxmlformats.org/officeDocument/2006/relationships/hyperlink" Target="https://codesommet.com/tools/image-compressor" TargetMode="External" Id="rId325"/><Relationship Type="http://schemas.openxmlformats.org/officeDocument/2006/relationships/hyperlink" Target="https://codesommet.com/tools/image-compressor" TargetMode="External" Id="rId326"/><Relationship Type="http://schemas.openxmlformats.org/officeDocument/2006/relationships/hyperlink" Target="https://codesommet.com/tools/image-compressor" TargetMode="External" Id="rId327"/><Relationship Type="http://schemas.openxmlformats.org/officeDocument/2006/relationships/hyperlink" Target="https://codesommet.com/tools/image-compressor" TargetMode="External" Id="rId328"/><Relationship Type="http://schemas.openxmlformats.org/officeDocument/2006/relationships/hyperlink" Target="https://codesommet.com/tools/image-compressor" TargetMode="External" Id="rId329"/><Relationship Type="http://schemas.openxmlformats.org/officeDocument/2006/relationships/hyperlink" Target="https://codesommet.com/tools/internal-link-analyzer" TargetMode="External" Id="rId330"/><Relationship Type="http://schemas.openxmlformats.org/officeDocument/2006/relationships/hyperlink" Target="https://codesommet.com/tools/internal-link-analyzer" TargetMode="External" Id="rId331"/><Relationship Type="http://schemas.openxmlformats.org/officeDocument/2006/relationships/hyperlink" Target="https://codesommet.com/tools/internal-link-analyzer" TargetMode="External" Id="rId332"/><Relationship Type="http://schemas.openxmlformats.org/officeDocument/2006/relationships/hyperlink" Target="https://codesommet.com/tools/internal-link-analyzer" TargetMode="External" Id="rId333"/><Relationship Type="http://schemas.openxmlformats.org/officeDocument/2006/relationships/hyperlink" Target="https://codesommet.com/tools/internal-link-analyzer" TargetMode="External" Id="rId334"/><Relationship Type="http://schemas.openxmlformats.org/officeDocument/2006/relationships/hyperlink" Target="https://codesommet.com/tools/internal-link-analyzer" TargetMode="External" Id="rId335"/><Relationship Type="http://schemas.openxmlformats.org/officeDocument/2006/relationships/hyperlink" Target="https://codesommet.com/tools/invisible-character-cleaner" TargetMode="External" Id="rId336"/><Relationship Type="http://schemas.openxmlformats.org/officeDocument/2006/relationships/hyperlink" Target="https://codesommet.com/tools/invisible-character-cleaner" TargetMode="External" Id="rId337"/><Relationship Type="http://schemas.openxmlformats.org/officeDocument/2006/relationships/hyperlink" Target="https://codesommet.com/tools/invisible-character-cleaner" TargetMode="External" Id="rId338"/><Relationship Type="http://schemas.openxmlformats.org/officeDocument/2006/relationships/hyperlink" Target="https://codesommet.com/tools/invisible-character-cleaner" TargetMode="External" Id="rId339"/><Relationship Type="http://schemas.openxmlformats.org/officeDocument/2006/relationships/hyperlink" Target="https://codesommet.com/tools/invisible-character-cleaner" TargetMode="External" Id="rId340"/><Relationship Type="http://schemas.openxmlformats.org/officeDocument/2006/relationships/hyperlink" Target="https://codesommet.com/tools/json-formatter" TargetMode="External" Id="rId341"/><Relationship Type="http://schemas.openxmlformats.org/officeDocument/2006/relationships/hyperlink" Target="https://codesommet.com/tools/json-formatter" TargetMode="External" Id="rId342"/><Relationship Type="http://schemas.openxmlformats.org/officeDocument/2006/relationships/hyperlink" Target="https://codesommet.com/tools/json-formatter" TargetMode="External" Id="rId343"/><Relationship Type="http://schemas.openxmlformats.org/officeDocument/2006/relationships/hyperlink" Target="https://codesommet.com/tools/json-formatter" TargetMode="External" Id="rId344"/><Relationship Type="http://schemas.openxmlformats.org/officeDocument/2006/relationships/hyperlink" Target="https://codesommet.com/tools/json-formatter" TargetMode="External" Id="rId345"/><Relationship Type="http://schemas.openxmlformats.org/officeDocument/2006/relationships/hyperlink" Target="https://codesommet.com/tools/json-formatter" TargetMode="External" Id="rId346"/><Relationship Type="http://schemas.openxmlformats.org/officeDocument/2006/relationships/hyperlink" Target="https://codesommet.com/tools/json-formatter" TargetMode="External" Id="rId347"/><Relationship Type="http://schemas.openxmlformats.org/officeDocument/2006/relationships/hyperlink" Target="https://codesommet.com/tools/keyword-density-analyzer" TargetMode="External" Id="rId348"/><Relationship Type="http://schemas.openxmlformats.org/officeDocument/2006/relationships/hyperlink" Target="https://codesommet.com/tools/keyword-density-analyzer" TargetMode="External" Id="rId349"/><Relationship Type="http://schemas.openxmlformats.org/officeDocument/2006/relationships/hyperlink" Target="https://codesommet.com/tools/keyword-density-analyzer" TargetMode="External" Id="rId350"/><Relationship Type="http://schemas.openxmlformats.org/officeDocument/2006/relationships/hyperlink" Target="https://codesommet.com/tools/keyword-density-analyzer" TargetMode="External" Id="rId351"/><Relationship Type="http://schemas.openxmlformats.org/officeDocument/2006/relationships/hyperlink" Target="https://codesommet.com/tools/keyword-density-analyzer" TargetMode="External" Id="rId352"/><Relationship Type="http://schemas.openxmlformats.org/officeDocument/2006/relationships/hyperlink" Target="https://codesommet.com/tools/keyword-density-analyzer" TargetMode="External" Id="rId353"/><Relationship Type="http://schemas.openxmlformats.org/officeDocument/2006/relationships/hyperlink" Target="https://codesommet.com/tools/keyword-density-analyzer" TargetMode="External" Id="rId354"/><Relationship Type="http://schemas.openxmlformats.org/officeDocument/2006/relationships/hyperlink" Target="https://codesommet.com/tools/keyword-modifier-generator" TargetMode="External" Id="rId355"/><Relationship Type="http://schemas.openxmlformats.org/officeDocument/2006/relationships/hyperlink" Target="https://codesommet.com/tools/keyword-modifier-generator" TargetMode="External" Id="rId356"/><Relationship Type="http://schemas.openxmlformats.org/officeDocument/2006/relationships/hyperlink" Target="https://codesommet.com/tools/keyword-modifier-generator" TargetMode="External" Id="rId357"/><Relationship Type="http://schemas.openxmlformats.org/officeDocument/2006/relationships/hyperlink" Target="https://codesommet.com/tools/keyword-modifier-generator" TargetMode="External" Id="rId358"/><Relationship Type="http://schemas.openxmlformats.org/officeDocument/2006/relationships/hyperlink" Target="https://codesommet.com/tools/landing-page-generator" TargetMode="External" Id="rId359"/><Relationship Type="http://schemas.openxmlformats.org/officeDocument/2006/relationships/hyperlink" Target="https://codesommet.com/tools/landing-page-generator" TargetMode="External" Id="rId360"/><Relationship Type="http://schemas.openxmlformats.org/officeDocument/2006/relationships/hyperlink" Target="https://codesommet.com/tools/landing-page-generator" TargetMode="External" Id="rId361"/><Relationship Type="http://schemas.openxmlformats.org/officeDocument/2006/relationships/hyperlink" Target="https://codesommet.com/tools/landing-page-generator" TargetMode="External" Id="rId362"/><Relationship Type="http://schemas.openxmlformats.org/officeDocument/2006/relationships/hyperlink" Target="https://codesommet.com/tools/landing-page-generator" TargetMode="External" Id="rId363"/><Relationship Type="http://schemas.openxmlformats.org/officeDocument/2006/relationships/hyperlink" Target="https://codesommet.com/tools/llms-txt-generator" TargetMode="External" Id="rId364"/><Relationship Type="http://schemas.openxmlformats.org/officeDocument/2006/relationships/hyperlink" Target="https://codesommet.com/tools/llms-txt-generator" TargetMode="External" Id="rId365"/><Relationship Type="http://schemas.openxmlformats.org/officeDocument/2006/relationships/hyperlink" Target="https://codesommet.com/tools/llms-txt-generator" TargetMode="External" Id="rId366"/><Relationship Type="http://schemas.openxmlformats.org/officeDocument/2006/relationships/hyperlink" Target="https://codesommet.com/tools/llms-txt-generator" TargetMode="External" Id="rId367"/><Relationship Type="http://schemas.openxmlformats.org/officeDocument/2006/relationships/hyperlink" Target="https://codesommet.com/tools/llms-txt-generator" TargetMode="External" Id="rId368"/><Relationship Type="http://schemas.openxmlformats.org/officeDocument/2006/relationships/hyperlink" Target="https://codesommet.com/tools/local-business-schema" TargetMode="External" Id="rId369"/><Relationship Type="http://schemas.openxmlformats.org/officeDocument/2006/relationships/hyperlink" Target="https://codesommet.com/tools/local-business-schema" TargetMode="External" Id="rId370"/><Relationship Type="http://schemas.openxmlformats.org/officeDocument/2006/relationships/hyperlink" Target="https://codesommet.com/tools/local-business-schema" TargetMode="External" Id="rId371"/><Relationship Type="http://schemas.openxmlformats.org/officeDocument/2006/relationships/hyperlink" Target="https://codesommet.com/tools/local-business-schema" TargetMode="External" Id="rId372"/><Relationship Type="http://schemas.openxmlformats.org/officeDocument/2006/relationships/hyperlink" Target="https://codesommet.com/tools/local-business-schema" TargetMode="External" Id="rId373"/><Relationship Type="http://schemas.openxmlformats.org/officeDocument/2006/relationships/hyperlink" Target="https://codesommet.com/tools/local-business-schema" TargetMode="External" Id="rId374"/><Relationship Type="http://schemas.openxmlformats.org/officeDocument/2006/relationships/hyperlink" Target="https://codesommet.com/tools/local-business-schema" TargetMode="External" Id="rId375"/><Relationship Type="http://schemas.openxmlformats.org/officeDocument/2006/relationships/hyperlink" Target="https://codesommet.com/tools/lorem-ipsum-generator" TargetMode="External" Id="rId376"/><Relationship Type="http://schemas.openxmlformats.org/officeDocument/2006/relationships/hyperlink" Target="https://codesommet.com/tools/lorem-ipsum-generator" TargetMode="External" Id="rId377"/><Relationship Type="http://schemas.openxmlformats.org/officeDocument/2006/relationships/hyperlink" Target="https://codesommet.com/tools/lorem-ipsum-generator" TargetMode="External" Id="rId378"/><Relationship Type="http://schemas.openxmlformats.org/officeDocument/2006/relationships/hyperlink" Target="https://codesommet.com/tools/lorem-ipsum-generator" TargetMode="External" Id="rId379"/><Relationship Type="http://schemas.openxmlformats.org/officeDocument/2006/relationships/hyperlink" Target="https://codesommet.com/tools/lorem-ipsum-generator" TargetMode="External" Id="rId380"/><Relationship Type="http://schemas.openxmlformats.org/officeDocument/2006/relationships/hyperlink" Target="https://codesommet.com/tools/lorem-ipsum-generator" TargetMode="External" Id="rId381"/><Relationship Type="http://schemas.openxmlformats.org/officeDocument/2006/relationships/hyperlink" Target="https://codesommet.com/tools/lorem-ipsum-generator" TargetMode="External" Id="rId382"/><Relationship Type="http://schemas.openxmlformats.org/officeDocument/2006/relationships/hyperlink" Target="https://codesommet.com/tools/meta-extractor" TargetMode="External" Id="rId383"/><Relationship Type="http://schemas.openxmlformats.org/officeDocument/2006/relationships/hyperlink" Target="https://codesommet.com/tools/meta-extractor" TargetMode="External" Id="rId384"/><Relationship Type="http://schemas.openxmlformats.org/officeDocument/2006/relationships/hyperlink" Target="https://codesommet.com/tools/meta-extractor" TargetMode="External" Id="rId385"/><Relationship Type="http://schemas.openxmlformats.org/officeDocument/2006/relationships/hyperlink" Target="https://codesommet.com/tools/meta-extractor" TargetMode="External" Id="rId386"/><Relationship Type="http://schemas.openxmlformats.org/officeDocument/2006/relationships/hyperlink" Target="https://codesommet.com/tools/meta-refresh-generator" TargetMode="External" Id="rId387"/><Relationship Type="http://schemas.openxmlformats.org/officeDocument/2006/relationships/hyperlink" Target="https://codesommet.com/tools/meta-refresh-generator" TargetMode="External" Id="rId388"/><Relationship Type="http://schemas.openxmlformats.org/officeDocument/2006/relationships/hyperlink" Target="https://codesommet.com/tools/meta-refresh-generator" TargetMode="External" Id="rId389"/><Relationship Type="http://schemas.openxmlformats.org/officeDocument/2006/relationships/hyperlink" Target="https://codesommet.com/tools/meta-refresh-generator" TargetMode="External" Id="rId390"/><Relationship Type="http://schemas.openxmlformats.org/officeDocument/2006/relationships/hyperlink" Target="https://codesommet.com/tools/meta-refresh-generator" TargetMode="External" Id="rId391"/><Relationship Type="http://schemas.openxmlformats.org/officeDocument/2006/relationships/hyperlink" Target="https://codesommet.com/tools/meta-refresh-generator" TargetMode="External" Id="rId392"/><Relationship Type="http://schemas.openxmlformats.org/officeDocument/2006/relationships/hyperlink" Target="https://codesommet.com/tools/meta-refresh-generator" TargetMode="External" Id="rId393"/><Relationship Type="http://schemas.openxmlformats.org/officeDocument/2006/relationships/hyperlink" Target="https://codesommet.com/tools/meta-tag-generator" TargetMode="External" Id="rId394"/><Relationship Type="http://schemas.openxmlformats.org/officeDocument/2006/relationships/hyperlink" Target="https://codesommet.com/tools/meta-tag-generator" TargetMode="External" Id="rId395"/><Relationship Type="http://schemas.openxmlformats.org/officeDocument/2006/relationships/hyperlink" Target="https://codesommet.com/tools/meta-tag-generator" TargetMode="External" Id="rId396"/><Relationship Type="http://schemas.openxmlformats.org/officeDocument/2006/relationships/hyperlink" Target="https://codesommet.com/tools/meta-tag-generator" TargetMode="External" Id="rId397"/><Relationship Type="http://schemas.openxmlformats.org/officeDocument/2006/relationships/hyperlink" Target="https://codesommet.com/tools/meta-tag-generator" TargetMode="External" Id="rId398"/><Relationship Type="http://schemas.openxmlformats.org/officeDocument/2006/relationships/hyperlink" Target="https://codesommet.com/tools/meta-tag-generator" TargetMode="External" Id="rId399"/><Relationship Type="http://schemas.openxmlformats.org/officeDocument/2006/relationships/hyperlink" Target="https://codesommet.com/tools/meta-tag-generator" TargetMode="External" Id="rId400"/><Relationship Type="http://schemas.openxmlformats.org/officeDocument/2006/relationships/hyperlink" Target="https://codesommet.com/tools/mobile-friendly-test" TargetMode="External" Id="rId401"/><Relationship Type="http://schemas.openxmlformats.org/officeDocument/2006/relationships/hyperlink" Target="https://codesommet.com/tools/mobile-friendly-test" TargetMode="External" Id="rId402"/><Relationship Type="http://schemas.openxmlformats.org/officeDocument/2006/relationships/hyperlink" Target="https://codesommet.com/tools/mobile-friendly-test" TargetMode="External" Id="rId403"/><Relationship Type="http://schemas.openxmlformats.org/officeDocument/2006/relationships/hyperlink" Target="https://codesommet.com/tools/mobile-friendly-test" TargetMode="External" Id="rId404"/><Relationship Type="http://schemas.openxmlformats.org/officeDocument/2006/relationships/hyperlink" Target="https://codesommet.com/tools/mobile-friendly-test" TargetMode="External" Id="rId405"/><Relationship Type="http://schemas.openxmlformats.org/officeDocument/2006/relationships/hyperlink" Target="https://codesommet.com/tools/mobile-friendly-test" TargetMode="External" Id="rId406"/><Relationship Type="http://schemas.openxmlformats.org/officeDocument/2006/relationships/hyperlink" Target="https://codesommet.com/tools/ngram-extractor" TargetMode="External" Id="rId407"/><Relationship Type="http://schemas.openxmlformats.org/officeDocument/2006/relationships/hyperlink" Target="https://codesommet.com/tools/ngram-extractor" TargetMode="External" Id="rId408"/><Relationship Type="http://schemas.openxmlformats.org/officeDocument/2006/relationships/hyperlink" Target="https://codesommet.com/tools/ngram-extractor" TargetMode="External" Id="rId409"/><Relationship Type="http://schemas.openxmlformats.org/officeDocument/2006/relationships/hyperlink" Target="https://codesommet.com/tools/ngram-extractor" TargetMode="External" Id="rId410"/><Relationship Type="http://schemas.openxmlformats.org/officeDocument/2006/relationships/hyperlink" Target="https://codesommet.com/tools/ngram-extractor" TargetMode="External" Id="rId411"/><Relationship Type="http://schemas.openxmlformats.org/officeDocument/2006/relationships/hyperlink" Target="https://codesommet.com/tools/ngram-extractor" TargetMode="External" Id="rId412"/><Relationship Type="http://schemas.openxmlformats.org/officeDocument/2006/relationships/hyperlink" Target="https://codesommet.com/tools/nofollow-link-checker" TargetMode="External" Id="rId413"/><Relationship Type="http://schemas.openxmlformats.org/officeDocument/2006/relationships/hyperlink" Target="https://codesommet.com/tools/nofollow-link-checker" TargetMode="External" Id="rId414"/><Relationship Type="http://schemas.openxmlformats.org/officeDocument/2006/relationships/hyperlink" Target="https://codesommet.com/tools/nofollow-link-checker" TargetMode="External" Id="rId415"/><Relationship Type="http://schemas.openxmlformats.org/officeDocument/2006/relationships/hyperlink" Target="https://codesommet.com/tools/nofollow-link-checker" TargetMode="External" Id="rId416"/><Relationship Type="http://schemas.openxmlformats.org/officeDocument/2006/relationships/hyperlink" Target="https://codesommet.com/tools/nofollow-link-checker" TargetMode="External" Id="rId417"/><Relationship Type="http://schemas.openxmlformats.org/officeDocument/2006/relationships/hyperlink" Target="https://codesommet.com/tools/nofollow-link-checker" TargetMode="External" Id="rId418"/><Relationship Type="http://schemas.openxmlformats.org/officeDocument/2006/relationships/hyperlink" Target="https://codesommet.com/tools/nofollow-link-checker" TargetMode="External" Id="rId419"/><Relationship Type="http://schemas.openxmlformats.org/officeDocument/2006/relationships/hyperlink" Target="https://codesommet.com/tools/og-preview-generator" TargetMode="External" Id="rId420"/><Relationship Type="http://schemas.openxmlformats.org/officeDocument/2006/relationships/hyperlink" Target="https://codesommet.com/tools/og-preview-generator" TargetMode="External" Id="rId421"/><Relationship Type="http://schemas.openxmlformats.org/officeDocument/2006/relationships/hyperlink" Target="https://codesommet.com/tools/og-preview-generator" TargetMode="External" Id="rId422"/><Relationship Type="http://schemas.openxmlformats.org/officeDocument/2006/relationships/hyperlink" Target="https://codesommet.com/tools/og-preview-generator" TargetMode="External" Id="rId423"/><Relationship Type="http://schemas.openxmlformats.org/officeDocument/2006/relationships/hyperlink" Target="https://codesommet.com/tools/og-preview-generator" TargetMode="External" Id="rId424"/><Relationship Type="http://schemas.openxmlformats.org/officeDocument/2006/relationships/hyperlink" Target="https://codesommet.com/tools/og-preview-generator" TargetMode="External" Id="rId425"/><Relationship Type="http://schemas.openxmlformats.org/officeDocument/2006/relationships/hyperlink" Target="https://codesommet.com/tools/og-preview-generator" TargetMode="External" Id="rId426"/><Relationship Type="http://schemas.openxmlformats.org/officeDocument/2006/relationships/hyperlink" Target="https://codesommet.com/tools/page-speed-analyzer" TargetMode="External" Id="rId427"/><Relationship Type="http://schemas.openxmlformats.org/officeDocument/2006/relationships/hyperlink" Target="https://codesommet.com/tools/page-speed-analyzer" TargetMode="External" Id="rId428"/><Relationship Type="http://schemas.openxmlformats.org/officeDocument/2006/relationships/hyperlink" Target="https://codesommet.com/tools/page-speed-analyzer" TargetMode="External" Id="rId429"/><Relationship Type="http://schemas.openxmlformats.org/officeDocument/2006/relationships/hyperlink" Target="https://codesommet.com/tools/page-speed-analyzer" TargetMode="External" Id="rId430"/><Relationship Type="http://schemas.openxmlformats.org/officeDocument/2006/relationships/hyperlink" Target="https://codesommet.com/tools/page-speed-analyzer" TargetMode="External" Id="rId431"/><Relationship Type="http://schemas.openxmlformats.org/officeDocument/2006/relationships/hyperlink" Target="https://codesommet.com/tools/page-speed-analyzer" TargetMode="External" Id="rId432"/><Relationship Type="http://schemas.openxmlformats.org/officeDocument/2006/relationships/hyperlink" Target="https://codesommet.com/tools/page-speed-analyzer" TargetMode="External" Id="rId433"/><Relationship Type="http://schemas.openxmlformats.org/officeDocument/2006/relationships/hyperlink" Target="https://codesommet.com/tools/qr-code-generator" TargetMode="External" Id="rId434"/><Relationship Type="http://schemas.openxmlformats.org/officeDocument/2006/relationships/hyperlink" Target="https://codesommet.com/tools/qr-code-generator" TargetMode="External" Id="rId435"/><Relationship Type="http://schemas.openxmlformats.org/officeDocument/2006/relationships/hyperlink" Target="https://codesommet.com/tools/qr-code-generator" TargetMode="External" Id="rId436"/><Relationship Type="http://schemas.openxmlformats.org/officeDocument/2006/relationships/hyperlink" Target="https://codesommet.com/tools/qr-code-generator" TargetMode="External" Id="rId437"/><Relationship Type="http://schemas.openxmlformats.org/officeDocument/2006/relationships/hyperlink" Target="https://codesommet.com/tools/qr-code-generator" TargetMode="External" Id="rId438"/><Relationship Type="http://schemas.openxmlformats.org/officeDocument/2006/relationships/hyperlink" Target="https://codesommet.com/tools/qr-code-generator" TargetMode="External" Id="rId439"/><Relationship Type="http://schemas.openxmlformats.org/officeDocument/2006/relationships/hyperlink" Target="https://codesommet.com/tools/qr-code-generator" TargetMode="External" Id="rId440"/><Relationship Type="http://schemas.openxmlformats.org/officeDocument/2006/relationships/hyperlink" Target="https://codesommet.com/tools/qr-code-generator" TargetMode="External" Id="rId441"/><Relationship Type="http://schemas.openxmlformats.org/officeDocument/2006/relationships/hyperlink" Target="https://codesommet.com/tools/readability-analyzer" TargetMode="External" Id="rId442"/><Relationship Type="http://schemas.openxmlformats.org/officeDocument/2006/relationships/hyperlink" Target="https://codesommet.com/tools/readability-analyzer" TargetMode="External" Id="rId443"/><Relationship Type="http://schemas.openxmlformats.org/officeDocument/2006/relationships/hyperlink" Target="https://codesommet.com/tools/readability-analyzer" TargetMode="External" Id="rId444"/><Relationship Type="http://schemas.openxmlformats.org/officeDocument/2006/relationships/hyperlink" Target="https://codesommet.com/tools/readability-analyzer" TargetMode="External" Id="rId445"/><Relationship Type="http://schemas.openxmlformats.org/officeDocument/2006/relationships/hyperlink" Target="https://codesommet.com/tools/readability-analyzer" TargetMode="External" Id="rId446"/><Relationship Type="http://schemas.openxmlformats.org/officeDocument/2006/relationships/hyperlink" Target="https://codesommet.com/tools/redirect-checker" TargetMode="External" Id="rId447"/><Relationship Type="http://schemas.openxmlformats.org/officeDocument/2006/relationships/hyperlink" Target="https://codesommet.com/tools/redirect-checker" TargetMode="External" Id="rId448"/><Relationship Type="http://schemas.openxmlformats.org/officeDocument/2006/relationships/hyperlink" Target="https://codesommet.com/tools/redirect-checker" TargetMode="External" Id="rId449"/><Relationship Type="http://schemas.openxmlformats.org/officeDocument/2006/relationships/hyperlink" Target="https://codesommet.com/tools/redirect-checker" TargetMode="External" Id="rId450"/><Relationship Type="http://schemas.openxmlformats.org/officeDocument/2006/relationships/hyperlink" Target="https://codesommet.com/tools/redirect-checker" TargetMode="External" Id="rId451"/><Relationship Type="http://schemas.openxmlformats.org/officeDocument/2006/relationships/hyperlink" Target="https://codesommet.com/tools/redirect-checker" TargetMode="External" Id="rId452"/><Relationship Type="http://schemas.openxmlformats.org/officeDocument/2006/relationships/hyperlink" Target="https://codesommet.com/tools/redirect-checker" TargetMode="External" Id="rId453"/><Relationship Type="http://schemas.openxmlformats.org/officeDocument/2006/relationships/hyperlink" Target="https://codesommet.com/tools/robots-txt-generator" TargetMode="External" Id="rId454"/><Relationship Type="http://schemas.openxmlformats.org/officeDocument/2006/relationships/hyperlink" Target="https://codesommet.com/tools/robots-txt-generator" TargetMode="External" Id="rId455"/><Relationship Type="http://schemas.openxmlformats.org/officeDocument/2006/relationships/hyperlink" Target="https://codesommet.com/tools/robots-txt-generator" TargetMode="External" Id="rId456"/><Relationship Type="http://schemas.openxmlformats.org/officeDocument/2006/relationships/hyperlink" Target="https://codesommet.com/tools/robots-txt-generator" TargetMode="External" Id="rId457"/><Relationship Type="http://schemas.openxmlformats.org/officeDocument/2006/relationships/hyperlink" Target="https://codesommet.com/tools/robots-txt-generator" TargetMode="External" Id="rId458"/><Relationship Type="http://schemas.openxmlformats.org/officeDocument/2006/relationships/hyperlink" Target="https://codesommet.com/tools/robots-txt-generator" TargetMode="External" Id="rId459"/><Relationship Type="http://schemas.openxmlformats.org/officeDocument/2006/relationships/hyperlink" Target="https://codesommet.com/tools/robots-txt-generator" TargetMode="External" Id="rId460"/><Relationship Type="http://schemas.openxmlformats.org/officeDocument/2006/relationships/hyperlink" Target="https://codesommet.com/tools/robots-txt-tester" TargetMode="External" Id="rId461"/><Relationship Type="http://schemas.openxmlformats.org/officeDocument/2006/relationships/hyperlink" Target="https://codesommet.com/tools/robots-txt-tester" TargetMode="External" Id="rId462"/><Relationship Type="http://schemas.openxmlformats.org/officeDocument/2006/relationships/hyperlink" Target="https://codesommet.com/tools/robots-txt-tester" TargetMode="External" Id="rId463"/><Relationship Type="http://schemas.openxmlformats.org/officeDocument/2006/relationships/hyperlink" Target="https://codesommet.com/tools/robots-txt-tester" TargetMode="External" Id="rId464"/><Relationship Type="http://schemas.openxmlformats.org/officeDocument/2006/relationships/hyperlink" Target="https://codesommet.com/tools/robots-txt-tester" TargetMode="External" Id="rId465"/><Relationship Type="http://schemas.openxmlformats.org/officeDocument/2006/relationships/hyperlink" Target="https://codesommet.com/tools/robots-txt-tester" TargetMode="External" Id="rId466"/><Relationship Type="http://schemas.openxmlformats.org/officeDocument/2006/relationships/hyperlink" Target="https://codesommet.com/tools/robots-validator" TargetMode="External" Id="rId467"/><Relationship Type="http://schemas.openxmlformats.org/officeDocument/2006/relationships/hyperlink" Target="https://codesommet.com/tools/robots-validator" TargetMode="External" Id="rId468"/><Relationship Type="http://schemas.openxmlformats.org/officeDocument/2006/relationships/hyperlink" Target="https://codesommet.com/tools/robots-validator" TargetMode="External" Id="rId469"/><Relationship Type="http://schemas.openxmlformats.org/officeDocument/2006/relationships/hyperlink" Target="https://codesommet.com/tools/robots-validator" TargetMode="External" Id="rId470"/><Relationship Type="http://schemas.openxmlformats.org/officeDocument/2006/relationships/hyperlink" Target="https://codesommet.com/tools/robots-validator" TargetMode="External" Id="rId471"/><Relationship Type="http://schemas.openxmlformats.org/officeDocument/2006/relationships/hyperlink" Target="https://codesommet.com/tools/robots-validator" TargetMode="External" Id="rId472"/><Relationship Type="http://schemas.openxmlformats.org/officeDocument/2006/relationships/hyperlink" Target="https://codesommet.com/tools/robots-validator" TargetMode="External" Id="rId473"/><Relationship Type="http://schemas.openxmlformats.org/officeDocument/2006/relationships/hyperlink" Target="https://codesommet.com/tools/schema-generator" TargetMode="External" Id="rId474"/><Relationship Type="http://schemas.openxmlformats.org/officeDocument/2006/relationships/hyperlink" Target="https://codesommet.com/tools/schema-generator" TargetMode="External" Id="rId475"/><Relationship Type="http://schemas.openxmlformats.org/officeDocument/2006/relationships/hyperlink" Target="https://codesommet.com/tools/schema-generator" TargetMode="External" Id="rId476"/><Relationship Type="http://schemas.openxmlformats.org/officeDocument/2006/relationships/hyperlink" Target="https://codesommet.com/tools/schema-generator" TargetMode="External" Id="rId477"/><Relationship Type="http://schemas.openxmlformats.org/officeDocument/2006/relationships/hyperlink" Target="https://codesommet.com/tools/schema-generator" TargetMode="External" Id="rId478"/><Relationship Type="http://schemas.openxmlformats.org/officeDocument/2006/relationships/hyperlink" Target="https://codesommet.com/tools/security-headers-checker" TargetMode="External" Id="rId479"/><Relationship Type="http://schemas.openxmlformats.org/officeDocument/2006/relationships/hyperlink" Target="https://codesommet.com/tools/security-headers-checker" TargetMode="External" Id="rId480"/><Relationship Type="http://schemas.openxmlformats.org/officeDocument/2006/relationships/hyperlink" Target="https://codesommet.com/tools/security-headers-checker" TargetMode="External" Id="rId481"/><Relationship Type="http://schemas.openxmlformats.org/officeDocument/2006/relationships/hyperlink" Target="https://codesommet.com/tools/security-headers-checker" TargetMode="External" Id="rId482"/><Relationship Type="http://schemas.openxmlformats.org/officeDocument/2006/relationships/hyperlink" Target="https://codesommet.com/tools/security-headers-checker" TargetMode="External" Id="rId483"/><Relationship Type="http://schemas.openxmlformats.org/officeDocument/2006/relationships/hyperlink" Target="https://codesommet.com/tools/security-headers-checker" TargetMode="External" Id="rId484"/><Relationship Type="http://schemas.openxmlformats.org/officeDocument/2006/relationships/hyperlink" Target="https://codesommet.com/tools/serp-snippet-preview" TargetMode="External" Id="rId485"/><Relationship Type="http://schemas.openxmlformats.org/officeDocument/2006/relationships/hyperlink" Target="https://codesommet.com/tools/serp-snippet-preview" TargetMode="External" Id="rId486"/><Relationship Type="http://schemas.openxmlformats.org/officeDocument/2006/relationships/hyperlink" Target="https://codesommet.com/tools/serp-snippet-preview" TargetMode="External" Id="rId487"/><Relationship Type="http://schemas.openxmlformats.org/officeDocument/2006/relationships/hyperlink" Target="https://codesommet.com/tools/serp-snippet-preview" TargetMode="External" Id="rId488"/><Relationship Type="http://schemas.openxmlformats.org/officeDocument/2006/relationships/hyperlink" Target="https://codesommet.com/tools/serp-snippet-preview" TargetMode="External" Id="rId489"/><Relationship Type="http://schemas.openxmlformats.org/officeDocument/2006/relationships/hyperlink" Target="https://codesommet.com/tools/serp-snippet-preview" TargetMode="External" Id="rId490"/><Relationship Type="http://schemas.openxmlformats.org/officeDocument/2006/relationships/hyperlink" Target="https://codesommet.com/tools/sitemap-url-extractor" TargetMode="External" Id="rId491"/><Relationship Type="http://schemas.openxmlformats.org/officeDocument/2006/relationships/hyperlink" Target="https://codesommet.com/tools/sitemap-url-extractor" TargetMode="External" Id="rId492"/><Relationship Type="http://schemas.openxmlformats.org/officeDocument/2006/relationships/hyperlink" Target="https://codesommet.com/tools/sitemap-url-extractor" TargetMode="External" Id="rId493"/><Relationship Type="http://schemas.openxmlformats.org/officeDocument/2006/relationships/hyperlink" Target="https://codesommet.com/tools/sitemap-url-extractor" TargetMode="External" Id="rId494"/><Relationship Type="http://schemas.openxmlformats.org/officeDocument/2006/relationships/hyperlink" Target="https://codesommet.com/tools/sitemap-url-extractor" TargetMode="External" Id="rId495"/><Relationship Type="http://schemas.openxmlformats.org/officeDocument/2006/relationships/hyperlink" Target="https://codesommet.com/tools/sitemap-url-extractor" TargetMode="External" Id="rId496"/><Relationship Type="http://schemas.openxmlformats.org/officeDocument/2006/relationships/hyperlink" Target="https://codesommet.com/tools/sitemap-validator" TargetMode="External" Id="rId497"/><Relationship Type="http://schemas.openxmlformats.org/officeDocument/2006/relationships/hyperlink" Target="https://codesommet.com/tools/sitemap-validator" TargetMode="External" Id="rId498"/><Relationship Type="http://schemas.openxmlformats.org/officeDocument/2006/relationships/hyperlink" Target="https://codesommet.com/tools/sitemap-validator" TargetMode="External" Id="rId499"/><Relationship Type="http://schemas.openxmlformats.org/officeDocument/2006/relationships/hyperlink" Target="https://codesommet.com/tools/sitemap-validator" TargetMode="External" Id="rId500"/><Relationship Type="http://schemas.openxmlformats.org/officeDocument/2006/relationships/hyperlink" Target="https://codesommet.com/tools/sitemap-validator" TargetMode="External" Id="rId501"/><Relationship Type="http://schemas.openxmlformats.org/officeDocument/2006/relationships/hyperlink" Target="https://codesommet.com/tools/sitemap-validator" TargetMode="External" Id="rId502"/><Relationship Type="http://schemas.openxmlformats.org/officeDocument/2006/relationships/hyperlink" Target="https://codesommet.com/tools/sitemap-validator" TargetMode="External" Id="rId503"/><Relationship Type="http://schemas.openxmlformats.org/officeDocument/2006/relationships/hyperlink" Target="https://codesommet.com/tools/ssl-certificate-checker" TargetMode="External" Id="rId504"/><Relationship Type="http://schemas.openxmlformats.org/officeDocument/2006/relationships/hyperlink" Target="https://codesommet.com/tools/ssl-certificate-checker" TargetMode="External" Id="rId505"/><Relationship Type="http://schemas.openxmlformats.org/officeDocument/2006/relationships/hyperlink" Target="https://codesommet.com/tools/ssl-certificate-checker" TargetMode="External" Id="rId506"/><Relationship Type="http://schemas.openxmlformats.org/officeDocument/2006/relationships/hyperlink" Target="https://codesommet.com/tools/ssl-certificate-checker" TargetMode="External" Id="rId507"/><Relationship Type="http://schemas.openxmlformats.org/officeDocument/2006/relationships/hyperlink" Target="https://codesommet.com/tools/ssl-certificate-checker" TargetMode="External" Id="rId508"/><Relationship Type="http://schemas.openxmlformats.org/officeDocument/2006/relationships/hyperlink" Target="https://codesommet.com/tools/ssl-certificate-checker" TargetMode="External" Id="rId509"/><Relationship Type="http://schemas.openxmlformats.org/officeDocument/2006/relationships/hyperlink" Target="https://codesommet.com/tools/structured-data-extractor" TargetMode="External" Id="rId510"/><Relationship Type="http://schemas.openxmlformats.org/officeDocument/2006/relationships/hyperlink" Target="https://codesommet.com/tools/structured-data-extractor" TargetMode="External" Id="rId511"/><Relationship Type="http://schemas.openxmlformats.org/officeDocument/2006/relationships/hyperlink" Target="https://codesommet.com/tools/structured-data-extractor" TargetMode="External" Id="rId512"/><Relationship Type="http://schemas.openxmlformats.org/officeDocument/2006/relationships/hyperlink" Target="https://codesommet.com/tools/structured-data-extractor" TargetMode="External" Id="rId513"/><Relationship Type="http://schemas.openxmlformats.org/officeDocument/2006/relationships/hyperlink" Target="https://codesommet.com/tools/structured-data-extractor" TargetMode="External" Id="rId514"/><Relationship Type="http://schemas.openxmlformats.org/officeDocument/2006/relationships/hyperlink" Target="https://codesommet.com/tools/structured-data-extractor" TargetMode="External" Id="rId515"/><Relationship Type="http://schemas.openxmlformats.org/officeDocument/2006/relationships/hyperlink" Target="https://codesommet.com/tools/text-case-converter" TargetMode="External" Id="rId516"/><Relationship Type="http://schemas.openxmlformats.org/officeDocument/2006/relationships/hyperlink" Target="https://codesommet.com/tools/text-case-converter" TargetMode="External" Id="rId517"/><Relationship Type="http://schemas.openxmlformats.org/officeDocument/2006/relationships/hyperlink" Target="https://codesommet.com/tools/text-case-converter" TargetMode="External" Id="rId518"/><Relationship Type="http://schemas.openxmlformats.org/officeDocument/2006/relationships/hyperlink" Target="https://codesommet.com/tools/text-case-converter" TargetMode="External" Id="rId519"/><Relationship Type="http://schemas.openxmlformats.org/officeDocument/2006/relationships/hyperlink" Target="https://codesommet.com/tools/text-case-converter" TargetMode="External" Id="rId520"/><Relationship Type="http://schemas.openxmlformats.org/officeDocument/2006/relationships/hyperlink" Target="https://codesommet.com/tools/text-case-converter" TargetMode="External" Id="rId521"/><Relationship Type="http://schemas.openxmlformats.org/officeDocument/2006/relationships/hyperlink" Target="https://codesommet.com/tools/text-case-converter" TargetMode="External" Id="rId522"/><Relationship Type="http://schemas.openxmlformats.org/officeDocument/2006/relationships/hyperlink" Target="https://codesommet.com/tools/text-editor" TargetMode="External" Id="rId523"/><Relationship Type="http://schemas.openxmlformats.org/officeDocument/2006/relationships/hyperlink" Target="https://codesommet.com/tools/text-editor" TargetMode="External" Id="rId524"/><Relationship Type="http://schemas.openxmlformats.org/officeDocument/2006/relationships/hyperlink" Target="https://codesommet.com/tools/text-editor" TargetMode="External" Id="rId525"/><Relationship Type="http://schemas.openxmlformats.org/officeDocument/2006/relationships/hyperlink" Target="https://codesommet.com/tools/text-editor" TargetMode="External" Id="rId526"/><Relationship Type="http://schemas.openxmlformats.org/officeDocument/2006/relationships/hyperlink" Target="https://codesommet.com/tools/url-editor" TargetMode="External" Id="rId527"/><Relationship Type="http://schemas.openxmlformats.org/officeDocument/2006/relationships/hyperlink" Target="https://codesommet.com/tools/url-editor" TargetMode="External" Id="rId528"/><Relationship Type="http://schemas.openxmlformats.org/officeDocument/2006/relationships/hyperlink" Target="https://codesommet.com/tools/url-editor" TargetMode="External" Id="rId529"/><Relationship Type="http://schemas.openxmlformats.org/officeDocument/2006/relationships/hyperlink" Target="https://codesommet.com/tools/url-editor" TargetMode="External" Id="rId530"/><Relationship Type="http://schemas.openxmlformats.org/officeDocument/2006/relationships/hyperlink" Target="https://codesommet.com/tools/url-editor" TargetMode="External" Id="rId531"/><Relationship Type="http://schemas.openxmlformats.org/officeDocument/2006/relationships/hyperlink" Target="https://codesommet.com/tools/url-slug-generator" TargetMode="External" Id="rId532"/><Relationship Type="http://schemas.openxmlformats.org/officeDocument/2006/relationships/hyperlink" Target="https://codesommet.com/tools/url-slug-generator" TargetMode="External" Id="rId533"/><Relationship Type="http://schemas.openxmlformats.org/officeDocument/2006/relationships/hyperlink" Target="https://codesommet.com/tools/url-slug-generator" TargetMode="External" Id="rId534"/><Relationship Type="http://schemas.openxmlformats.org/officeDocument/2006/relationships/hyperlink" Target="https://codesommet.com/tools/utm-builder" TargetMode="External" Id="rId535"/><Relationship Type="http://schemas.openxmlformats.org/officeDocument/2006/relationships/hyperlink" Target="https://codesommet.com/tools/utm-builder" TargetMode="External" Id="rId536"/><Relationship Type="http://schemas.openxmlformats.org/officeDocument/2006/relationships/hyperlink" Target="https://codesommet.com/tools/utm-builder" TargetMode="External" Id="rId537"/><Relationship Type="http://schemas.openxmlformats.org/officeDocument/2006/relationships/hyperlink" Target="https://codesommet.com/tools/utm-builder" TargetMode="External" Id="rId538"/><Relationship Type="http://schemas.openxmlformats.org/officeDocument/2006/relationships/hyperlink" Target="https://codesommet.com/tools/utm-builder" TargetMode="External" Id="rId539"/><Relationship Type="http://schemas.openxmlformats.org/officeDocument/2006/relationships/hyperlink" Target="https://codesommet.com/tools/utm-builder" TargetMode="External" Id="rId540"/><Relationship Type="http://schemas.openxmlformats.org/officeDocument/2006/relationships/hyperlink" Target="https://codesommet.com/tools/utm-builder" TargetMode="External" Id="rId541"/><Relationship Type="http://schemas.openxmlformats.org/officeDocument/2006/relationships/hyperlink" Target="https://codesommet.com/tools/website-analyzer" TargetMode="External" Id="rId542"/><Relationship Type="http://schemas.openxmlformats.org/officeDocument/2006/relationships/hyperlink" Target="https://codesommet.com/tools/website-analyzer" TargetMode="External" Id="rId543"/><Relationship Type="http://schemas.openxmlformats.org/officeDocument/2006/relationships/hyperlink" Target="https://codesommet.com/tools/website-analyzer" TargetMode="External" Id="rId544"/><Relationship Type="http://schemas.openxmlformats.org/officeDocument/2006/relationships/hyperlink" Target="https://codesommet.com/tools/website-analyzer" TargetMode="External" Id="rId545"/><Relationship Type="http://schemas.openxmlformats.org/officeDocument/2006/relationships/hyperlink" Target="https://codesommet.com/tools/website-analyzer" TargetMode="External" Id="rId546"/><Relationship Type="http://schemas.openxmlformats.org/officeDocument/2006/relationships/hyperlink" Target="https://codesommet.com/tools/website-analyzer" TargetMode="External" Id="rId547"/><Relationship Type="http://schemas.openxmlformats.org/officeDocument/2006/relationships/hyperlink" Target="https://codesommet.com/tools/website-analyzer" TargetMode="External" Id="rId548"/><Relationship Type="http://schemas.openxmlformats.org/officeDocument/2006/relationships/hyperlink" Target="https://codesommet.com/tools/website-analyzer" TargetMode="External" Id="rId549"/><Relationship Type="http://schemas.openxmlformats.org/officeDocument/2006/relationships/hyperlink" Target="https://codesommet.com/tools/website-analyzer" TargetMode="External" Id="rId550"/><Relationship Type="http://schemas.openxmlformats.org/officeDocument/2006/relationships/hyperlink" Target="https://codesommet.com/tools/website-readiness-checker" TargetMode="External" Id="rId551"/><Relationship Type="http://schemas.openxmlformats.org/officeDocument/2006/relationships/hyperlink" Target="https://codesommet.com/tools/website-readiness-checker" TargetMode="External" Id="rId552"/><Relationship Type="http://schemas.openxmlformats.org/officeDocument/2006/relationships/hyperlink" Target="https://codesommet.com/tools/website-readiness-checker" TargetMode="External" Id="rId553"/><Relationship Type="http://schemas.openxmlformats.org/officeDocument/2006/relationships/hyperlink" Target="https://codesommet.com/tools/website-readiness-checker" TargetMode="External" Id="rId554"/><Relationship Type="http://schemas.openxmlformats.org/officeDocument/2006/relationships/hyperlink" Target="https://codesommet.com/tools/website-readiness-checker" TargetMode="External" Id="rId555"/><Relationship Type="http://schemas.openxmlformats.org/officeDocument/2006/relationships/hyperlink" Target="https://codesommet.com/tools/website-readiness-checker" TargetMode="External" Id="rId556"/><Relationship Type="http://schemas.openxmlformats.org/officeDocument/2006/relationships/hyperlink" Target="https://codesommet.com/tools/website-readiness-checker" TargetMode="External" Id="rId557"/><Relationship Type="http://schemas.openxmlformats.org/officeDocument/2006/relationships/hyperlink" Target="https://codesommet.com/tools/website-readiness-checker" TargetMode="External" Id="rId558"/><Relationship Type="http://schemas.openxmlformats.org/officeDocument/2006/relationships/hyperlink" Target="https://codesommet.com/tools/website-readiness-checker" TargetMode="External" Id="rId559"/><Relationship Type="http://schemas.openxmlformats.org/officeDocument/2006/relationships/hyperlink" Target="https://codesommet.com/tools/website-readiness-checker" TargetMode="External" Id="rId560"/><Relationship Type="http://schemas.openxmlformats.org/officeDocument/2006/relationships/hyperlink" Target="https://codesommet.com/tools/word-counter" TargetMode="External" Id="rId561"/><Relationship Type="http://schemas.openxmlformats.org/officeDocument/2006/relationships/hyperlink" Target="https://codesommet.com/tools/word-counter" TargetMode="External" Id="rId562"/><Relationship Type="http://schemas.openxmlformats.org/officeDocument/2006/relationships/hyperlink" Target="https://codesommet.com/tools/word-counter" TargetMode="External" Id="rId563"/><Relationship Type="http://schemas.openxmlformats.org/officeDocument/2006/relationships/hyperlink" Target="https://codesommet.com/tools/word-counter" TargetMode="External" Id="rId564"/><Relationship Type="http://schemas.openxmlformats.org/officeDocument/2006/relationships/hyperlink" Target="https://codesommet.com/tools/word-counter" TargetMode="External" Id="rId565"/><Relationship Type="http://schemas.openxmlformats.org/officeDocument/2006/relationships/hyperlink" Target="https://codesommet.com/tools/word-counter" TargetMode="External" Id="rId566"/><Relationship Type="http://schemas.openxmlformats.org/officeDocument/2006/relationships/hyperlink" Target="https://codesommet.com/tools/word-counter" TargetMode="External" Id="rId567"/><Relationship Type="http://schemas.openxmlformats.org/officeDocument/2006/relationships/hyperlink" Target="https://codesommet.com/tools/xml-sitemap-generator" TargetMode="External" Id="rId568"/><Relationship Type="http://schemas.openxmlformats.org/officeDocument/2006/relationships/hyperlink" Target="https://codesommet.com/tools/xml-sitemap-generator" TargetMode="External" Id="rId569"/><Relationship Type="http://schemas.openxmlformats.org/officeDocument/2006/relationships/hyperlink" Target="https://codesommet.com/tools/xml-sitemap-generator" TargetMode="External" Id="rId570"/><Relationship Type="http://schemas.openxmlformats.org/officeDocument/2006/relationships/hyperlink" Target="https://codesommet.com/tools/xml-sitemap-generator" TargetMode="External" Id="rId571"/><Relationship Type="http://schemas.openxmlformats.org/officeDocument/2006/relationships/hyperlink" Target="https://codesommet.com/tools/xml-sitemap-generator" TargetMode="External" Id="rId572"/><Relationship Type="http://schemas.openxmlformats.org/officeDocument/2006/relationships/hyperlink" Target="https://codesommet.com/tools/xml-sitemap-generator" TargetMode="External" Id="rId573"/><Relationship Type="http://schemas.openxmlformats.org/officeDocument/2006/relationships/hyperlink" Target="https://codesommet.com/tools/xml-sitemap-generator" TargetMode="External" Id="rId574"/><Relationship Type="http://schemas.openxmlformats.org/officeDocument/2006/relationships/hyperlink" Target="https://codesommet.com/web-development-company/abudhabi" TargetMode="External" Id="rId575"/><Relationship Type="http://schemas.openxmlformats.org/officeDocument/2006/relationships/hyperlink" Target="https://codesommet.com/web-development-company/abudhabi" TargetMode="External" Id="rId576"/><Relationship Type="http://schemas.openxmlformats.org/officeDocument/2006/relationships/hyperlink" Target="https://codesommet.com/web-development-company/abudhabi" TargetMode="External" Id="rId577"/><Relationship Type="http://schemas.openxmlformats.org/officeDocument/2006/relationships/hyperlink" Target="https://codesommet.com/web-development-company/abudhabi" TargetMode="External" Id="rId578"/><Relationship Type="http://schemas.openxmlformats.org/officeDocument/2006/relationships/hyperlink" Target="https://codesommet.com/web-development-company/abudhabi" TargetMode="External" Id="rId579"/><Relationship Type="http://schemas.openxmlformats.org/officeDocument/2006/relationships/hyperlink" Target="https://codesommet.com/web-development-company/abudhabi" TargetMode="External" Id="rId580"/><Relationship Type="http://schemas.openxmlformats.org/officeDocument/2006/relationships/hyperlink" Target="https://codesommet.com/web-development-company/agadir" TargetMode="External" Id="rId581"/><Relationship Type="http://schemas.openxmlformats.org/officeDocument/2006/relationships/hyperlink" Target="https://codesommet.com/web-development-company/agadir" TargetMode="External" Id="rId582"/><Relationship Type="http://schemas.openxmlformats.org/officeDocument/2006/relationships/hyperlink" Target="https://codesommet.com/web-development-company/agadir" TargetMode="External" Id="rId583"/><Relationship Type="http://schemas.openxmlformats.org/officeDocument/2006/relationships/hyperlink" Target="https://codesommet.com/web-development-company/agadir" TargetMode="External" Id="rId584"/><Relationship Type="http://schemas.openxmlformats.org/officeDocument/2006/relationships/hyperlink" Target="https://codesommet.com/web-development-company/agadir" TargetMode="External" Id="rId585"/><Relationship Type="http://schemas.openxmlformats.org/officeDocument/2006/relationships/hyperlink" Target="https://codesommet.com/web-development-company/agadir" TargetMode="External" Id="rId586"/><Relationship Type="http://schemas.openxmlformats.org/officeDocument/2006/relationships/hyperlink" Target="https://codesommet.com/web-development-company/agadir" TargetMode="External" Id="rId587"/><Relationship Type="http://schemas.openxmlformats.org/officeDocument/2006/relationships/hyperlink" Target="https://codesommet.com/web-development-company/amsterdam" TargetMode="External" Id="rId588"/><Relationship Type="http://schemas.openxmlformats.org/officeDocument/2006/relationships/hyperlink" Target="https://codesommet.com/web-development-company/amsterdam" TargetMode="External" Id="rId589"/><Relationship Type="http://schemas.openxmlformats.org/officeDocument/2006/relationships/hyperlink" Target="https://codesommet.com/web-development-company/amsterdam" TargetMode="External" Id="rId590"/><Relationship Type="http://schemas.openxmlformats.org/officeDocument/2006/relationships/hyperlink" Target="https://codesommet.com/web-development-company/amsterdam" TargetMode="External" Id="rId591"/><Relationship Type="http://schemas.openxmlformats.org/officeDocument/2006/relationships/hyperlink" Target="https://codesommet.com/web-development-company/amsterdam" TargetMode="External" Id="rId592"/><Relationship Type="http://schemas.openxmlformats.org/officeDocument/2006/relationships/hyperlink" Target="https://codesommet.com/web-development-company/amsterdam" TargetMode="External" Id="rId593"/><Relationship Type="http://schemas.openxmlformats.org/officeDocument/2006/relationships/hyperlink" Target="https://codesommet.com/web-development-company/austin" TargetMode="External" Id="rId594"/><Relationship Type="http://schemas.openxmlformats.org/officeDocument/2006/relationships/hyperlink" Target="https://codesommet.com/web-development-company/austin" TargetMode="External" Id="rId595"/><Relationship Type="http://schemas.openxmlformats.org/officeDocument/2006/relationships/hyperlink" Target="https://codesommet.com/web-development-company/austin" TargetMode="External" Id="rId596"/><Relationship Type="http://schemas.openxmlformats.org/officeDocument/2006/relationships/hyperlink" Target="https://codesommet.com/web-development-company/austin" TargetMode="External" Id="rId597"/><Relationship Type="http://schemas.openxmlformats.org/officeDocument/2006/relationships/hyperlink" Target="https://codesommet.com/web-development-company/austin" TargetMode="External" Id="rId598"/><Relationship Type="http://schemas.openxmlformats.org/officeDocument/2006/relationships/hyperlink" Target="https://codesommet.com/web-development-company/austin" TargetMode="External" Id="rId599"/><Relationship Type="http://schemas.openxmlformats.org/officeDocument/2006/relationships/hyperlink" Target="https://codesommet.com/web-development-company/barcelona" TargetMode="External" Id="rId600"/><Relationship Type="http://schemas.openxmlformats.org/officeDocument/2006/relationships/hyperlink" Target="https://codesommet.com/web-development-company/barcelona" TargetMode="External" Id="rId601"/><Relationship Type="http://schemas.openxmlformats.org/officeDocument/2006/relationships/hyperlink" Target="https://codesommet.com/web-development-company/barcelona" TargetMode="External" Id="rId602"/><Relationship Type="http://schemas.openxmlformats.org/officeDocument/2006/relationships/hyperlink" Target="https://codesommet.com/web-development-company/barcelona" TargetMode="External" Id="rId603"/><Relationship Type="http://schemas.openxmlformats.org/officeDocument/2006/relationships/hyperlink" Target="https://codesommet.com/web-development-company/barcelona" TargetMode="External" Id="rId604"/><Relationship Type="http://schemas.openxmlformats.org/officeDocument/2006/relationships/hyperlink" Target="https://codesommet.com/web-development-company/barcelona" TargetMode="External" Id="rId605"/><Relationship Type="http://schemas.openxmlformats.org/officeDocument/2006/relationships/hyperlink" Target="https://codesommet.com/web-development-company/berlin" TargetMode="External" Id="rId606"/><Relationship Type="http://schemas.openxmlformats.org/officeDocument/2006/relationships/hyperlink" Target="https://codesommet.com/web-development-company/berlin" TargetMode="External" Id="rId607"/><Relationship Type="http://schemas.openxmlformats.org/officeDocument/2006/relationships/hyperlink" Target="https://codesommet.com/web-development-company/berlin" TargetMode="External" Id="rId608"/><Relationship Type="http://schemas.openxmlformats.org/officeDocument/2006/relationships/hyperlink" Target="https://codesommet.com/web-development-company/berlin" TargetMode="External" Id="rId609"/><Relationship Type="http://schemas.openxmlformats.org/officeDocument/2006/relationships/hyperlink" Target="https://codesommet.com/web-development-company/berlin" TargetMode="External" Id="rId610"/><Relationship Type="http://schemas.openxmlformats.org/officeDocument/2006/relationships/hyperlink" Target="https://codesommet.com/web-development-company/berlin" TargetMode="External" Id="rId611"/><Relationship Type="http://schemas.openxmlformats.org/officeDocument/2006/relationships/hyperlink" Target="https://codesommet.com/web-development-company/boston" TargetMode="External" Id="rId612"/><Relationship Type="http://schemas.openxmlformats.org/officeDocument/2006/relationships/hyperlink" Target="https://codesommet.com/web-development-company/boston" TargetMode="External" Id="rId613"/><Relationship Type="http://schemas.openxmlformats.org/officeDocument/2006/relationships/hyperlink" Target="https://codesommet.com/web-development-company/boston" TargetMode="External" Id="rId614"/><Relationship Type="http://schemas.openxmlformats.org/officeDocument/2006/relationships/hyperlink" Target="https://codesommet.com/web-development-company/boston" TargetMode="External" Id="rId615"/><Relationship Type="http://schemas.openxmlformats.org/officeDocument/2006/relationships/hyperlink" Target="https://codesommet.com/web-development-company/boston" TargetMode="External" Id="rId616"/><Relationship Type="http://schemas.openxmlformats.org/officeDocument/2006/relationships/hyperlink" Target="https://codesommet.com/web-development-company/boston" TargetMode="External" Id="rId617"/><Relationship Type="http://schemas.openxmlformats.org/officeDocument/2006/relationships/hyperlink" Target="https://codesommet.com/web-development-company/brussels" TargetMode="External" Id="rId618"/><Relationship Type="http://schemas.openxmlformats.org/officeDocument/2006/relationships/hyperlink" Target="https://codesommet.com/web-development-company/brussels" TargetMode="External" Id="rId619"/><Relationship Type="http://schemas.openxmlformats.org/officeDocument/2006/relationships/hyperlink" Target="https://codesommet.com/web-development-company/brussels" TargetMode="External" Id="rId620"/><Relationship Type="http://schemas.openxmlformats.org/officeDocument/2006/relationships/hyperlink" Target="https://codesommet.com/web-development-company/brussels" TargetMode="External" Id="rId621"/><Relationship Type="http://schemas.openxmlformats.org/officeDocument/2006/relationships/hyperlink" Target="https://codesommet.com/web-development-company/brussels" TargetMode="External" Id="rId622"/><Relationship Type="http://schemas.openxmlformats.org/officeDocument/2006/relationships/hyperlink" Target="https://codesommet.com/web-development-company/brussels" TargetMode="External" Id="rId623"/><Relationship Type="http://schemas.openxmlformats.org/officeDocument/2006/relationships/hyperlink" Target="https://codesommet.com/web-development-company/cairo" TargetMode="External" Id="rId624"/><Relationship Type="http://schemas.openxmlformats.org/officeDocument/2006/relationships/hyperlink" Target="https://codesommet.com/web-development-company/cairo" TargetMode="External" Id="rId625"/><Relationship Type="http://schemas.openxmlformats.org/officeDocument/2006/relationships/hyperlink" Target="https://codesommet.com/web-development-company/cairo" TargetMode="External" Id="rId626"/><Relationship Type="http://schemas.openxmlformats.org/officeDocument/2006/relationships/hyperlink" Target="https://codesommet.com/web-development-company/cairo" TargetMode="External" Id="rId627"/><Relationship Type="http://schemas.openxmlformats.org/officeDocument/2006/relationships/hyperlink" Target="https://codesommet.com/web-development-company/cairo" TargetMode="External" Id="rId628"/><Relationship Type="http://schemas.openxmlformats.org/officeDocument/2006/relationships/hyperlink" Target="https://codesommet.com/web-development-company/cairo" TargetMode="External" Id="rId629"/><Relationship Type="http://schemas.openxmlformats.org/officeDocument/2006/relationships/hyperlink" Target="https://codesommet.com/web-development-company/casablanca" TargetMode="External" Id="rId630"/><Relationship Type="http://schemas.openxmlformats.org/officeDocument/2006/relationships/hyperlink" Target="https://codesommet.com/web-development-company/casablanca" TargetMode="External" Id="rId631"/><Relationship Type="http://schemas.openxmlformats.org/officeDocument/2006/relationships/hyperlink" Target="https://codesommet.com/web-development-company/casablanca" TargetMode="External" Id="rId632"/><Relationship Type="http://schemas.openxmlformats.org/officeDocument/2006/relationships/hyperlink" Target="https://codesommet.com/web-development-company/casablanca" TargetMode="External" Id="rId633"/><Relationship Type="http://schemas.openxmlformats.org/officeDocument/2006/relationships/hyperlink" Target="https://codesommet.com/web-development-company/casablanca" TargetMode="External" Id="rId634"/><Relationship Type="http://schemas.openxmlformats.org/officeDocument/2006/relationships/hyperlink" Target="https://codesommet.com/web-development-company/casablanca" TargetMode="External" Id="rId635"/><Relationship Type="http://schemas.openxmlformats.org/officeDocument/2006/relationships/hyperlink" Target="https://codesommet.com/web-development-company/casablanca" TargetMode="External" Id="rId636"/><Relationship Type="http://schemas.openxmlformats.org/officeDocument/2006/relationships/hyperlink" Target="https://codesommet.com/web-development-company/chicago" TargetMode="External" Id="rId637"/><Relationship Type="http://schemas.openxmlformats.org/officeDocument/2006/relationships/hyperlink" Target="https://codesommet.com/web-development-company/chicago" TargetMode="External" Id="rId638"/><Relationship Type="http://schemas.openxmlformats.org/officeDocument/2006/relationships/hyperlink" Target="https://codesommet.com/web-development-company/chicago" TargetMode="External" Id="rId639"/><Relationship Type="http://schemas.openxmlformats.org/officeDocument/2006/relationships/hyperlink" Target="https://codesommet.com/web-development-company/chicago" TargetMode="External" Id="rId640"/><Relationship Type="http://schemas.openxmlformats.org/officeDocument/2006/relationships/hyperlink" Target="https://codesommet.com/web-development-company/chicago" TargetMode="External" Id="rId641"/><Relationship Type="http://schemas.openxmlformats.org/officeDocument/2006/relationships/hyperlink" Target="https://codesommet.com/web-development-company/chicago" TargetMode="External" Id="rId642"/><Relationship Type="http://schemas.openxmlformats.org/officeDocument/2006/relationships/hyperlink" Target="https://codesommet.com/web-development-company/copenhagen" TargetMode="External" Id="rId643"/><Relationship Type="http://schemas.openxmlformats.org/officeDocument/2006/relationships/hyperlink" Target="https://codesommet.com/web-development-company/copenhagen" TargetMode="External" Id="rId644"/><Relationship Type="http://schemas.openxmlformats.org/officeDocument/2006/relationships/hyperlink" Target="https://codesommet.com/web-development-company/copenhagen" TargetMode="External" Id="rId645"/><Relationship Type="http://schemas.openxmlformats.org/officeDocument/2006/relationships/hyperlink" Target="https://codesommet.com/web-development-company/copenhagen" TargetMode="External" Id="rId646"/><Relationship Type="http://schemas.openxmlformats.org/officeDocument/2006/relationships/hyperlink" Target="https://codesommet.com/web-development-company/copenhagen" TargetMode="External" Id="rId647"/><Relationship Type="http://schemas.openxmlformats.org/officeDocument/2006/relationships/hyperlink" Target="https://codesommet.com/web-development-company/copenhagen" TargetMode="External" Id="rId648"/><Relationship Type="http://schemas.openxmlformats.org/officeDocument/2006/relationships/hyperlink" Target="https://codesommet.com/web-development-company/denver" TargetMode="External" Id="rId649"/><Relationship Type="http://schemas.openxmlformats.org/officeDocument/2006/relationships/hyperlink" Target="https://codesommet.com/web-development-company/denver" TargetMode="External" Id="rId650"/><Relationship Type="http://schemas.openxmlformats.org/officeDocument/2006/relationships/hyperlink" Target="https://codesommet.com/web-development-company/denver" TargetMode="External" Id="rId651"/><Relationship Type="http://schemas.openxmlformats.org/officeDocument/2006/relationships/hyperlink" Target="https://codesommet.com/web-development-company/denver" TargetMode="External" Id="rId652"/><Relationship Type="http://schemas.openxmlformats.org/officeDocument/2006/relationships/hyperlink" Target="https://codesommet.com/web-development-company/denver" TargetMode="External" Id="rId653"/><Relationship Type="http://schemas.openxmlformats.org/officeDocument/2006/relationships/hyperlink" Target="https://codesommet.com/web-development-company/denver" TargetMode="External" Id="rId654"/><Relationship Type="http://schemas.openxmlformats.org/officeDocument/2006/relationships/hyperlink" Target="https://codesommet.com/web-development-company/dubai" TargetMode="External" Id="rId655"/><Relationship Type="http://schemas.openxmlformats.org/officeDocument/2006/relationships/hyperlink" Target="https://codesommet.com/web-development-company/dubai" TargetMode="External" Id="rId656"/><Relationship Type="http://schemas.openxmlformats.org/officeDocument/2006/relationships/hyperlink" Target="https://codesommet.com/web-development-company/dubai" TargetMode="External" Id="rId657"/><Relationship Type="http://schemas.openxmlformats.org/officeDocument/2006/relationships/hyperlink" Target="https://codesommet.com/web-development-company/dubai" TargetMode="External" Id="rId658"/><Relationship Type="http://schemas.openxmlformats.org/officeDocument/2006/relationships/hyperlink" Target="https://codesommet.com/web-development-company/dubai" TargetMode="External" Id="rId659"/><Relationship Type="http://schemas.openxmlformats.org/officeDocument/2006/relationships/hyperlink" Target="https://codesommet.com/web-development-company/dubai" TargetMode="External" Id="rId660"/><Relationship Type="http://schemas.openxmlformats.org/officeDocument/2006/relationships/hyperlink" Target="https://codesommet.com/web-development-company/dublin" TargetMode="External" Id="rId661"/><Relationship Type="http://schemas.openxmlformats.org/officeDocument/2006/relationships/hyperlink" Target="https://codesommet.com/web-development-company/dublin" TargetMode="External" Id="rId662"/><Relationship Type="http://schemas.openxmlformats.org/officeDocument/2006/relationships/hyperlink" Target="https://codesommet.com/web-development-company/dublin" TargetMode="External" Id="rId663"/><Relationship Type="http://schemas.openxmlformats.org/officeDocument/2006/relationships/hyperlink" Target="https://codesommet.com/web-development-company/dublin" TargetMode="External" Id="rId664"/><Relationship Type="http://schemas.openxmlformats.org/officeDocument/2006/relationships/hyperlink" Target="https://codesommet.com/web-development-company/dublin" TargetMode="External" Id="rId665"/><Relationship Type="http://schemas.openxmlformats.org/officeDocument/2006/relationships/hyperlink" Target="https://codesommet.com/web-development-company/dublin" TargetMode="External" Id="rId666"/><Relationship Type="http://schemas.openxmlformats.org/officeDocument/2006/relationships/hyperlink" Target="https://codesommet.com/web-development-company/lagos" TargetMode="External" Id="rId667"/><Relationship Type="http://schemas.openxmlformats.org/officeDocument/2006/relationships/hyperlink" Target="https://codesommet.com/web-development-company/lagos" TargetMode="External" Id="rId668"/><Relationship Type="http://schemas.openxmlformats.org/officeDocument/2006/relationships/hyperlink" Target="https://codesommet.com/web-development-company/lagos" TargetMode="External" Id="rId669"/><Relationship Type="http://schemas.openxmlformats.org/officeDocument/2006/relationships/hyperlink" Target="https://codesommet.com/web-development-company/lagos" TargetMode="External" Id="rId670"/><Relationship Type="http://schemas.openxmlformats.org/officeDocument/2006/relationships/hyperlink" Target="https://codesommet.com/web-development-company/lagos" TargetMode="External" Id="rId671"/><Relationship Type="http://schemas.openxmlformats.org/officeDocument/2006/relationships/hyperlink" Target="https://codesommet.com/web-development-company/lagos" TargetMode="External" Id="rId672"/><Relationship Type="http://schemas.openxmlformats.org/officeDocument/2006/relationships/hyperlink" Target="https://codesommet.com/web-development-company/lisbon" TargetMode="External" Id="rId673"/><Relationship Type="http://schemas.openxmlformats.org/officeDocument/2006/relationships/hyperlink" Target="https://codesommet.com/web-development-company/lisbon" TargetMode="External" Id="rId674"/><Relationship Type="http://schemas.openxmlformats.org/officeDocument/2006/relationships/hyperlink" Target="https://codesommet.com/web-development-company/lisbon" TargetMode="External" Id="rId675"/><Relationship Type="http://schemas.openxmlformats.org/officeDocument/2006/relationships/hyperlink" Target="https://codesommet.com/web-development-company/lisbon" TargetMode="External" Id="rId676"/><Relationship Type="http://schemas.openxmlformats.org/officeDocument/2006/relationships/hyperlink" Target="https://codesommet.com/web-development-company/lisbon" TargetMode="External" Id="rId677"/><Relationship Type="http://schemas.openxmlformats.org/officeDocument/2006/relationships/hyperlink" Target="https://codesommet.com/web-development-company/lisbon" TargetMode="External" Id="rId678"/><Relationship Type="http://schemas.openxmlformats.org/officeDocument/2006/relationships/hyperlink" Target="https://codesommet.com/web-development-company/london" TargetMode="External" Id="rId679"/><Relationship Type="http://schemas.openxmlformats.org/officeDocument/2006/relationships/hyperlink" Target="https://codesommet.com/web-development-company/london" TargetMode="External" Id="rId680"/><Relationship Type="http://schemas.openxmlformats.org/officeDocument/2006/relationships/hyperlink" Target="https://codesommet.com/web-development-company/london" TargetMode="External" Id="rId681"/><Relationship Type="http://schemas.openxmlformats.org/officeDocument/2006/relationships/hyperlink" Target="https://codesommet.com/web-development-company/london" TargetMode="External" Id="rId682"/><Relationship Type="http://schemas.openxmlformats.org/officeDocument/2006/relationships/hyperlink" Target="https://codesommet.com/web-development-company/london" TargetMode="External" Id="rId683"/><Relationship Type="http://schemas.openxmlformats.org/officeDocument/2006/relationships/hyperlink" Target="https://codesommet.com/web-development-company/london" TargetMode="External" Id="rId684"/><Relationship Type="http://schemas.openxmlformats.org/officeDocument/2006/relationships/hyperlink" Target="https://codesommet.com/web-development-company/los-angeles" TargetMode="External" Id="rId685"/><Relationship Type="http://schemas.openxmlformats.org/officeDocument/2006/relationships/hyperlink" Target="https://codesommet.com/web-development-company/los-angeles" TargetMode="External" Id="rId686"/><Relationship Type="http://schemas.openxmlformats.org/officeDocument/2006/relationships/hyperlink" Target="https://codesommet.com/web-development-company/los-angeles" TargetMode="External" Id="rId687"/><Relationship Type="http://schemas.openxmlformats.org/officeDocument/2006/relationships/hyperlink" Target="https://codesommet.com/web-development-company/los-angeles" TargetMode="External" Id="rId688"/><Relationship Type="http://schemas.openxmlformats.org/officeDocument/2006/relationships/hyperlink" Target="https://codesommet.com/web-development-company/los-angeles" TargetMode="External" Id="rId689"/><Relationship Type="http://schemas.openxmlformats.org/officeDocument/2006/relationships/hyperlink" Target="https://codesommet.com/web-development-company/los-angeles" TargetMode="External" Id="rId690"/><Relationship Type="http://schemas.openxmlformats.org/officeDocument/2006/relationships/hyperlink" Target="https://codesommet.com/web-development-company/madrid" TargetMode="External" Id="rId691"/><Relationship Type="http://schemas.openxmlformats.org/officeDocument/2006/relationships/hyperlink" Target="https://codesommet.com/web-development-company/madrid" TargetMode="External" Id="rId692"/><Relationship Type="http://schemas.openxmlformats.org/officeDocument/2006/relationships/hyperlink" Target="https://codesommet.com/web-development-company/madrid" TargetMode="External" Id="rId693"/><Relationship Type="http://schemas.openxmlformats.org/officeDocument/2006/relationships/hyperlink" Target="https://codesommet.com/web-development-company/madrid" TargetMode="External" Id="rId694"/><Relationship Type="http://schemas.openxmlformats.org/officeDocument/2006/relationships/hyperlink" Target="https://codesommet.com/web-development-company/madrid" TargetMode="External" Id="rId695"/><Relationship Type="http://schemas.openxmlformats.org/officeDocument/2006/relationships/hyperlink" Target="https://codesommet.com/web-development-company/madrid" TargetMode="External" Id="rId696"/><Relationship Type="http://schemas.openxmlformats.org/officeDocument/2006/relationships/hyperlink" Target="https://codesommet.com/web-development-company/marrakech" TargetMode="External" Id="rId697"/><Relationship Type="http://schemas.openxmlformats.org/officeDocument/2006/relationships/hyperlink" Target="https://codesommet.com/web-development-company/marrakech" TargetMode="External" Id="rId698"/><Relationship Type="http://schemas.openxmlformats.org/officeDocument/2006/relationships/hyperlink" Target="https://codesommet.com/web-development-company/marrakech" TargetMode="External" Id="rId699"/><Relationship Type="http://schemas.openxmlformats.org/officeDocument/2006/relationships/hyperlink" Target="https://codesommet.com/web-development-company/marrakech" TargetMode="External" Id="rId700"/><Relationship Type="http://schemas.openxmlformats.org/officeDocument/2006/relationships/hyperlink" Target="https://codesommet.com/web-development-company/marrakech" TargetMode="External" Id="rId701"/><Relationship Type="http://schemas.openxmlformats.org/officeDocument/2006/relationships/hyperlink" Target="https://codesommet.com/web-development-company/marrakech" TargetMode="External" Id="rId702"/><Relationship Type="http://schemas.openxmlformats.org/officeDocument/2006/relationships/hyperlink" Target="https://codesommet.com/web-development-company/marrakech" TargetMode="External" Id="rId703"/><Relationship Type="http://schemas.openxmlformats.org/officeDocument/2006/relationships/hyperlink" Target="https://codesommet.com/web-development-company/marrakech" TargetMode="External" Id="rId704"/><Relationship Type="http://schemas.openxmlformats.org/officeDocument/2006/relationships/hyperlink" Target="https://codesommet.com/web-development-company/milan" TargetMode="External" Id="rId705"/><Relationship Type="http://schemas.openxmlformats.org/officeDocument/2006/relationships/hyperlink" Target="https://codesommet.com/web-development-company/milan" TargetMode="External" Id="rId706"/><Relationship Type="http://schemas.openxmlformats.org/officeDocument/2006/relationships/hyperlink" Target="https://codesommet.com/web-development-company/milan" TargetMode="External" Id="rId707"/><Relationship Type="http://schemas.openxmlformats.org/officeDocument/2006/relationships/hyperlink" Target="https://codesommet.com/web-development-company/milan" TargetMode="External" Id="rId708"/><Relationship Type="http://schemas.openxmlformats.org/officeDocument/2006/relationships/hyperlink" Target="https://codesommet.com/web-development-company/milan" TargetMode="External" Id="rId709"/><Relationship Type="http://schemas.openxmlformats.org/officeDocument/2006/relationships/hyperlink" Target="https://codesommet.com/web-development-company/milan" TargetMode="External" Id="rId710"/><Relationship Type="http://schemas.openxmlformats.org/officeDocument/2006/relationships/hyperlink" Target="https://codesommet.com/web-development-company/new-york" TargetMode="External" Id="rId711"/><Relationship Type="http://schemas.openxmlformats.org/officeDocument/2006/relationships/hyperlink" Target="https://codesommet.com/web-development-company/new-york" TargetMode="External" Id="rId712"/><Relationship Type="http://schemas.openxmlformats.org/officeDocument/2006/relationships/hyperlink" Target="https://codesommet.com/web-development-company/new-york" TargetMode="External" Id="rId713"/><Relationship Type="http://schemas.openxmlformats.org/officeDocument/2006/relationships/hyperlink" Target="https://codesommet.com/web-development-company/new-york" TargetMode="External" Id="rId714"/><Relationship Type="http://schemas.openxmlformats.org/officeDocument/2006/relationships/hyperlink" Target="https://codesommet.com/web-development-company/new-york" TargetMode="External" Id="rId715"/><Relationship Type="http://schemas.openxmlformats.org/officeDocument/2006/relationships/hyperlink" Target="https://codesommet.com/web-development-company/new-york" TargetMode="External" Id="rId716"/><Relationship Type="http://schemas.openxmlformats.org/officeDocument/2006/relationships/hyperlink" Target="https://codesommet.com/web-development-company/paris" TargetMode="External" Id="rId717"/><Relationship Type="http://schemas.openxmlformats.org/officeDocument/2006/relationships/hyperlink" Target="https://codesommet.com/web-development-company/paris" TargetMode="External" Id="rId718"/><Relationship Type="http://schemas.openxmlformats.org/officeDocument/2006/relationships/hyperlink" Target="https://codesommet.com/web-development-company/paris" TargetMode="External" Id="rId719"/><Relationship Type="http://schemas.openxmlformats.org/officeDocument/2006/relationships/hyperlink" Target="https://codesommet.com/web-development-company/paris" TargetMode="External" Id="rId720"/><Relationship Type="http://schemas.openxmlformats.org/officeDocument/2006/relationships/hyperlink" Target="https://codesommet.com/web-development-company/paris" TargetMode="External" Id="rId721"/><Relationship Type="http://schemas.openxmlformats.org/officeDocument/2006/relationships/hyperlink" Target="https://codesommet.com/web-development-company/paris" TargetMode="External" Id="rId722"/><Relationship Type="http://schemas.openxmlformats.org/officeDocument/2006/relationships/hyperlink" Target="https://codesommet.com/web-development-company/rabat" TargetMode="External" Id="rId723"/><Relationship Type="http://schemas.openxmlformats.org/officeDocument/2006/relationships/hyperlink" Target="https://codesommet.com/web-development-company/rabat" TargetMode="External" Id="rId724"/><Relationship Type="http://schemas.openxmlformats.org/officeDocument/2006/relationships/hyperlink" Target="https://codesommet.com/web-development-company/rabat" TargetMode="External" Id="rId725"/><Relationship Type="http://schemas.openxmlformats.org/officeDocument/2006/relationships/hyperlink" Target="https://codesommet.com/web-development-company/rabat" TargetMode="External" Id="rId726"/><Relationship Type="http://schemas.openxmlformats.org/officeDocument/2006/relationships/hyperlink" Target="https://codesommet.com/web-development-company/rabat" TargetMode="External" Id="rId727"/><Relationship Type="http://schemas.openxmlformats.org/officeDocument/2006/relationships/hyperlink" Target="https://codesommet.com/web-development-company/rabat" TargetMode="External" Id="rId728"/><Relationship Type="http://schemas.openxmlformats.org/officeDocument/2006/relationships/hyperlink" Target="https://codesommet.com/web-development-company/rabat" TargetMode="External" Id="rId729"/><Relationship Type="http://schemas.openxmlformats.org/officeDocument/2006/relationships/hyperlink" Target="https://codesommet.com/web-development-company/riyadh" TargetMode="External" Id="rId730"/><Relationship Type="http://schemas.openxmlformats.org/officeDocument/2006/relationships/hyperlink" Target="https://codesommet.com/web-development-company/riyadh" TargetMode="External" Id="rId731"/><Relationship Type="http://schemas.openxmlformats.org/officeDocument/2006/relationships/hyperlink" Target="https://codesommet.com/web-development-company/riyadh" TargetMode="External" Id="rId732"/><Relationship Type="http://schemas.openxmlformats.org/officeDocument/2006/relationships/hyperlink" Target="https://codesommet.com/web-development-company/riyadh" TargetMode="External" Id="rId733"/><Relationship Type="http://schemas.openxmlformats.org/officeDocument/2006/relationships/hyperlink" Target="https://codesommet.com/web-development-company/riyadh" TargetMode="External" Id="rId734"/><Relationship Type="http://schemas.openxmlformats.org/officeDocument/2006/relationships/hyperlink" Target="https://codesommet.com/web-development-company/riyadh" TargetMode="External" Id="rId735"/><Relationship Type="http://schemas.openxmlformats.org/officeDocument/2006/relationships/hyperlink" Target="https://codesommet.com/web-development-company/rome" TargetMode="External" Id="rId736"/><Relationship Type="http://schemas.openxmlformats.org/officeDocument/2006/relationships/hyperlink" Target="https://codesommet.com/web-development-company/rome" TargetMode="External" Id="rId737"/><Relationship Type="http://schemas.openxmlformats.org/officeDocument/2006/relationships/hyperlink" Target="https://codesommet.com/web-development-company/rome" TargetMode="External" Id="rId738"/><Relationship Type="http://schemas.openxmlformats.org/officeDocument/2006/relationships/hyperlink" Target="https://codesommet.com/web-development-company/rome" TargetMode="External" Id="rId739"/><Relationship Type="http://schemas.openxmlformats.org/officeDocument/2006/relationships/hyperlink" Target="https://codesommet.com/web-development-company/rome" TargetMode="External" Id="rId740"/><Relationship Type="http://schemas.openxmlformats.org/officeDocument/2006/relationships/hyperlink" Target="https://codesommet.com/web-development-company/rome" TargetMode="External" Id="rId741"/><Relationship Type="http://schemas.openxmlformats.org/officeDocument/2006/relationships/hyperlink" Target="https://codesommet.com/web-development-company/san-francisco" TargetMode="External" Id="rId742"/><Relationship Type="http://schemas.openxmlformats.org/officeDocument/2006/relationships/hyperlink" Target="https://codesommet.com/web-development-company/san-francisco" TargetMode="External" Id="rId743"/><Relationship Type="http://schemas.openxmlformats.org/officeDocument/2006/relationships/hyperlink" Target="https://codesommet.com/web-development-company/san-francisco" TargetMode="External" Id="rId744"/><Relationship Type="http://schemas.openxmlformats.org/officeDocument/2006/relationships/hyperlink" Target="https://codesommet.com/web-development-company/san-francisco" TargetMode="External" Id="rId745"/><Relationship Type="http://schemas.openxmlformats.org/officeDocument/2006/relationships/hyperlink" Target="https://codesommet.com/web-development-company/san-francisco" TargetMode="External" Id="rId746"/><Relationship Type="http://schemas.openxmlformats.org/officeDocument/2006/relationships/hyperlink" Target="https://codesommet.com/web-development-company/san-francisco" TargetMode="External" Id="rId747"/><Relationship Type="http://schemas.openxmlformats.org/officeDocument/2006/relationships/hyperlink" Target="https://codesommet.com/web-development-company/seattle" TargetMode="External" Id="rId748"/><Relationship Type="http://schemas.openxmlformats.org/officeDocument/2006/relationships/hyperlink" Target="https://codesommet.com/web-development-company/seattle" TargetMode="External" Id="rId749"/><Relationship Type="http://schemas.openxmlformats.org/officeDocument/2006/relationships/hyperlink" Target="https://codesommet.com/web-development-company/seattle" TargetMode="External" Id="rId750"/><Relationship Type="http://schemas.openxmlformats.org/officeDocument/2006/relationships/hyperlink" Target="https://codesommet.com/web-development-company/seattle" TargetMode="External" Id="rId751"/><Relationship Type="http://schemas.openxmlformats.org/officeDocument/2006/relationships/hyperlink" Target="https://codesommet.com/web-development-company/seattle" TargetMode="External" Id="rId752"/><Relationship Type="http://schemas.openxmlformats.org/officeDocument/2006/relationships/hyperlink" Target="https://codesommet.com/web-development-company/seattle" TargetMode="External" Id="rId753"/><Relationship Type="http://schemas.openxmlformats.org/officeDocument/2006/relationships/hyperlink" Target="https://codesommet.com/web-development-company/stockholm" TargetMode="External" Id="rId754"/><Relationship Type="http://schemas.openxmlformats.org/officeDocument/2006/relationships/hyperlink" Target="https://codesommet.com/web-development-company/stockholm" TargetMode="External" Id="rId755"/><Relationship Type="http://schemas.openxmlformats.org/officeDocument/2006/relationships/hyperlink" Target="https://codesommet.com/web-development-company/stockholm" TargetMode="External" Id="rId756"/><Relationship Type="http://schemas.openxmlformats.org/officeDocument/2006/relationships/hyperlink" Target="https://codesommet.com/web-development-company/stockholm" TargetMode="External" Id="rId757"/><Relationship Type="http://schemas.openxmlformats.org/officeDocument/2006/relationships/hyperlink" Target="https://codesommet.com/web-development-company/stockholm" TargetMode="External" Id="rId758"/><Relationship Type="http://schemas.openxmlformats.org/officeDocument/2006/relationships/hyperlink" Target="https://codesommet.com/web-development-company/stockholm" TargetMode="External" Id="rId759"/><Relationship Type="http://schemas.openxmlformats.org/officeDocument/2006/relationships/hyperlink" Target="https://codesommet.com/web-development-company/tangier" TargetMode="External" Id="rId760"/><Relationship Type="http://schemas.openxmlformats.org/officeDocument/2006/relationships/hyperlink" Target="https://codesommet.com/web-development-company/tangier" TargetMode="External" Id="rId761"/><Relationship Type="http://schemas.openxmlformats.org/officeDocument/2006/relationships/hyperlink" Target="https://codesommet.com/web-development-company/tangier" TargetMode="External" Id="rId762"/><Relationship Type="http://schemas.openxmlformats.org/officeDocument/2006/relationships/hyperlink" Target="https://codesommet.com/web-development-company/tangier" TargetMode="External" Id="rId763"/><Relationship Type="http://schemas.openxmlformats.org/officeDocument/2006/relationships/hyperlink" Target="https://codesommet.com/web-development-company/tangier" TargetMode="External" Id="rId764"/><Relationship Type="http://schemas.openxmlformats.org/officeDocument/2006/relationships/hyperlink" Target="https://codesommet.com/web-development-company/tangier" TargetMode="External" Id="rId765"/><Relationship Type="http://schemas.openxmlformats.org/officeDocument/2006/relationships/hyperlink" Target="https://codesommet.com/web-development-company/tangier" TargetMode="External" Id="rId766"/><Relationship Type="http://schemas.openxmlformats.org/officeDocument/2006/relationships/hyperlink" Target="https://codesommet.com/web-development-company/toronto" TargetMode="External" Id="rId767"/><Relationship Type="http://schemas.openxmlformats.org/officeDocument/2006/relationships/hyperlink" Target="https://codesommet.com/web-development-company/toronto" TargetMode="External" Id="rId768"/><Relationship Type="http://schemas.openxmlformats.org/officeDocument/2006/relationships/hyperlink" Target="https://codesommet.com/web-development-company/toronto" TargetMode="External" Id="rId769"/><Relationship Type="http://schemas.openxmlformats.org/officeDocument/2006/relationships/hyperlink" Target="https://codesommet.com/web-development-company/toronto" TargetMode="External" Id="rId770"/><Relationship Type="http://schemas.openxmlformats.org/officeDocument/2006/relationships/hyperlink" Target="https://codesommet.com/web-development-company/toronto" TargetMode="External" Id="rId771"/><Relationship Type="http://schemas.openxmlformats.org/officeDocument/2006/relationships/hyperlink" Target="https://codesommet.com/web-development-company/toronto" TargetMode="External" Id="rId772"/><Relationship Type="http://schemas.openxmlformats.org/officeDocument/2006/relationships/hyperlink" Target="https://codesommet.com/web-development-company/tunis" TargetMode="External" Id="rId773"/><Relationship Type="http://schemas.openxmlformats.org/officeDocument/2006/relationships/hyperlink" Target="https://codesommet.com/web-development-company/tunis" TargetMode="External" Id="rId774"/><Relationship Type="http://schemas.openxmlformats.org/officeDocument/2006/relationships/hyperlink" Target="https://codesommet.com/web-development-company/tunis" TargetMode="External" Id="rId775"/><Relationship Type="http://schemas.openxmlformats.org/officeDocument/2006/relationships/hyperlink" Target="https://codesommet.com/web-development-company/tunis" TargetMode="External" Id="rId776"/><Relationship Type="http://schemas.openxmlformats.org/officeDocument/2006/relationships/hyperlink" Target="https://codesommet.com/web-development-company/tunis" TargetMode="External" Id="rId777"/><Relationship Type="http://schemas.openxmlformats.org/officeDocument/2006/relationships/hyperlink" Target="https://codesommet.com/web-development-company/tunis" TargetMode="External" Id="rId778"/><Relationship Type="http://schemas.openxmlformats.org/officeDocument/2006/relationships/hyperlink" Target="https://codesommet.com/web-development-company/vancouver" TargetMode="External" Id="rId779"/><Relationship Type="http://schemas.openxmlformats.org/officeDocument/2006/relationships/hyperlink" Target="https://codesommet.com/web-development-company/vancouver" TargetMode="External" Id="rId780"/><Relationship Type="http://schemas.openxmlformats.org/officeDocument/2006/relationships/hyperlink" Target="https://codesommet.com/web-development-company/vancouver" TargetMode="External" Id="rId781"/><Relationship Type="http://schemas.openxmlformats.org/officeDocument/2006/relationships/hyperlink" Target="https://codesommet.com/web-development-company/vancouver" TargetMode="External" Id="rId782"/><Relationship Type="http://schemas.openxmlformats.org/officeDocument/2006/relationships/hyperlink" Target="https://codesommet.com/web-development-company/vancouver" TargetMode="External" Id="rId783"/><Relationship Type="http://schemas.openxmlformats.org/officeDocument/2006/relationships/hyperlink" Target="https://codesommet.com/web-development-company/vancouver" TargetMode="External" Id="rId784"/><Relationship Type="http://schemas.openxmlformats.org/officeDocument/2006/relationships/hyperlink" Target="https://codesommet.com/web-development-company/worldwide" TargetMode="External" Id="rId785"/><Relationship Type="http://schemas.openxmlformats.org/officeDocument/2006/relationships/hyperlink" Target="https://codesommet.com/web-development-company/worldwide" TargetMode="External" Id="rId786"/><Relationship Type="http://schemas.openxmlformats.org/officeDocument/2006/relationships/hyperlink" Target="https://codesommet.com/web-development-company/worldwide" TargetMode="External" Id="rId787"/><Relationship Type="http://schemas.openxmlformats.org/officeDocument/2006/relationships/hyperlink" Target="https://codesommet.com/web-development-company/worldwide" TargetMode="External" Id="rId788"/><Relationship Type="http://schemas.openxmlformats.org/officeDocument/2006/relationships/hyperlink" Target="https://codesommet.com/web-development-company/worldwide" TargetMode="External" Id="rId789"/><Relationship Type="http://schemas.openxmlformats.org/officeDocument/2006/relationships/hyperlink" Target="https://codesommet.com/web-development-company/worldwide" TargetMode="External" Id="rId790"/><Relationship Type="http://schemas.openxmlformats.org/officeDocument/2006/relationships/hyperlink" Target="https://codesommet.com/web-development-company/worldwide" TargetMode="External" Id="rId791"/><Relationship Type="http://schemas.openxmlformats.org/officeDocument/2006/relationships/hyperlink" Target="https://codesommet.com/web-development-company/worldwide" TargetMode="External" Id="rId792"/><Relationship Type="http://schemas.openxmlformats.org/officeDocument/2006/relationships/hyperlink" Target="https://codesommet.com/web-development-company/zurich" TargetMode="External" Id="rId793"/><Relationship Type="http://schemas.openxmlformats.org/officeDocument/2006/relationships/hyperlink" Target="https://codesommet.com/web-development-company/zurich" TargetMode="External" Id="rId794"/><Relationship Type="http://schemas.openxmlformats.org/officeDocument/2006/relationships/hyperlink" Target="https://codesommet.com/web-development-company/zurich" TargetMode="External" Id="rId795"/><Relationship Type="http://schemas.openxmlformats.org/officeDocument/2006/relationships/hyperlink" Target="https://codesommet.com/web-development-company/zurich" TargetMode="External" Id="rId796"/><Relationship Type="http://schemas.openxmlformats.org/officeDocument/2006/relationships/hyperlink" Target="https://codesommet.com/web-development-company/zurich" TargetMode="External" Id="rId797"/><Relationship Type="http://schemas.openxmlformats.org/officeDocument/2006/relationships/hyperlink" Target="https://codesommet.com/web-development-company/zurich" TargetMode="External" Id="rId798"/></Relationships>
</file>

<file path=xl/worksheets/_rels/sheet8.xml.rels><Relationships xmlns="http://schemas.openxmlformats.org/package/2006/relationships"><Relationship Type="http://schemas.openxmlformats.org/officeDocument/2006/relationships/hyperlink" Target="#'01 Executive Summary'!A1" TargetMode="External" Id="rId1"/><Relationship Type="http://schemas.openxmlformats.org/officeDocument/2006/relationships/hyperlink" Target="https://codesommet.com/web-development-company/worldwide" TargetMode="External" Id="rId2"/><Relationship Type="http://schemas.openxmlformats.org/officeDocument/2006/relationships/hyperlink" Target="https://codesommet.com/web-development-company/worldwide" TargetMode="External" Id="rId3"/><Relationship Type="http://schemas.openxmlformats.org/officeDocument/2006/relationships/hyperlink" Target="https://codesommet.com/web-development-company/worldwide" TargetMode="External" Id="rId4"/><Relationship Type="http://schemas.openxmlformats.org/officeDocument/2006/relationships/hyperlink" Target="https://codesommet.com/web-development-company/worldwide" TargetMode="External" Id="rId5"/><Relationship Type="http://schemas.openxmlformats.org/officeDocument/2006/relationships/hyperlink" Target="https://codesommet.com/web-development-company/worldwide" TargetMode="External" Id="rId6"/><Relationship Type="http://schemas.openxmlformats.org/officeDocument/2006/relationships/hyperlink" Target="https://codesommet.com/web-development-company/worldwide" TargetMode="External" Id="rId7"/><Relationship Type="http://schemas.openxmlformats.org/officeDocument/2006/relationships/hyperlink" Target="https://codesommet.com/web-development-company/worldwide" TargetMode="External" Id="rId8"/><Relationship Type="http://schemas.openxmlformats.org/officeDocument/2006/relationships/hyperlink" Target="https://codesommet.com/web-development-company/worldwide" TargetMode="External" Id="rId9"/><Relationship Type="http://schemas.openxmlformats.org/officeDocument/2006/relationships/hyperlink" Target="https://codesommet.com/web-development-company/worldwide" TargetMode="External" Id="rId10"/><Relationship Type="http://schemas.openxmlformats.org/officeDocument/2006/relationships/hyperlink" Target="https://codesommet.com/web-development-company/worldwide" TargetMode="External" Id="rId11"/><Relationship Type="http://schemas.openxmlformats.org/officeDocument/2006/relationships/hyperlink" Target="https://codesommet.com/web-development-company/worldwide" TargetMode="External" Id="rId12"/><Relationship Type="http://schemas.openxmlformats.org/officeDocument/2006/relationships/hyperlink" Target="https://codesommet.com/web-development-company/worldwide" TargetMode="External" Id="rId13"/><Relationship Type="http://schemas.openxmlformats.org/officeDocument/2006/relationships/hyperlink" Target="https://codesommet.com/web-development-company/worldwide" TargetMode="External" Id="rId14"/><Relationship Type="http://schemas.openxmlformats.org/officeDocument/2006/relationships/hyperlink" Target="https://codesommet.com/web-development-company/worldwide" TargetMode="External" Id="rId15"/><Relationship Type="http://schemas.openxmlformats.org/officeDocument/2006/relationships/hyperlink" Target="https://codesommet.com/web-development-company/worldwide" TargetMode="External" Id="rId16"/><Relationship Type="http://schemas.openxmlformats.org/officeDocument/2006/relationships/hyperlink" Target="https://codesommet.com/web-development-company/worldwide" TargetMode="External" Id="rId17"/><Relationship Type="http://schemas.openxmlformats.org/officeDocument/2006/relationships/hyperlink" Target="https://codesommet.com/web-development-company/worldwide" TargetMode="External" Id="rId18"/><Relationship Type="http://schemas.openxmlformats.org/officeDocument/2006/relationships/hyperlink" Target="https://codesommet.com/web-development-company/worldwide" TargetMode="External" Id="rId19"/><Relationship Type="http://schemas.openxmlformats.org/officeDocument/2006/relationships/hyperlink" Target="https://codesommet.com/web-development-company/worldwide" TargetMode="External" Id="rId20"/><Relationship Type="http://schemas.openxmlformats.org/officeDocument/2006/relationships/hyperlink" Target="https://codesommet.com/web-development-company/worldwide" TargetMode="External" Id="rId21"/><Relationship Type="http://schemas.openxmlformats.org/officeDocument/2006/relationships/hyperlink" Target="https://codesommet.com/web-development-company/worldwide" TargetMode="External" Id="rId22"/><Relationship Type="http://schemas.openxmlformats.org/officeDocument/2006/relationships/hyperlink" Target="https://codesommet.com/web-development-company/worldwide" TargetMode="External" Id="rId23"/><Relationship Type="http://schemas.openxmlformats.org/officeDocument/2006/relationships/hyperlink" Target="https://codesommet.com/web-development-company/worldwide" TargetMode="External" Id="rId24"/><Relationship Type="http://schemas.openxmlformats.org/officeDocument/2006/relationships/hyperlink" Target="https://codesommet.com/web-development-company/worldwide" TargetMode="External" Id="rId25"/><Relationship Type="http://schemas.openxmlformats.org/officeDocument/2006/relationships/hyperlink" Target="https://codesommet.com/web-development-company/worldwide" TargetMode="External" Id="rId26"/><Relationship Type="http://schemas.openxmlformats.org/officeDocument/2006/relationships/hyperlink" Target="https://codesommet.com/web-development-company/worldwide" TargetMode="External" Id="rId27"/><Relationship Type="http://schemas.openxmlformats.org/officeDocument/2006/relationships/hyperlink" Target="https://codesommet.com/web-development-company/worldwide" TargetMode="External" Id="rId28"/><Relationship Type="http://schemas.openxmlformats.org/officeDocument/2006/relationships/hyperlink" Target="https://codesommet.com/web-development-company/worldwide" TargetMode="External" Id="rId29"/><Relationship Type="http://schemas.openxmlformats.org/officeDocument/2006/relationships/hyperlink" Target="https://codesommet.com/web-development-company/worldwide" TargetMode="External" Id="rId30"/><Relationship Type="http://schemas.openxmlformats.org/officeDocument/2006/relationships/hyperlink" Target="https://codesommet.com/web-development-company/worldwide" TargetMode="External" Id="rId31"/><Relationship Type="http://schemas.openxmlformats.org/officeDocument/2006/relationships/hyperlink" Target="https://codesommet.com/web-development-company/paris" TargetMode="External" Id="rId32"/><Relationship Type="http://schemas.openxmlformats.org/officeDocument/2006/relationships/hyperlink" Target="https://codesommet.com/web-development-company/paris" TargetMode="External" Id="rId33"/><Relationship Type="http://schemas.openxmlformats.org/officeDocument/2006/relationships/hyperlink" Target="https://codesommet.com/web-development-company/worldwide" TargetMode="External" Id="rId34"/><Relationship Type="http://schemas.openxmlformats.org/officeDocument/2006/relationships/hyperlink" Target="https://codesommet.com/web-development-company/worldwide" TargetMode="External" Id="rId35"/><Relationship Type="http://schemas.openxmlformats.org/officeDocument/2006/relationships/hyperlink" Target="https://codesommet.com/web-development-company/worldwide" TargetMode="External" Id="rId36"/><Relationship Type="http://schemas.openxmlformats.org/officeDocument/2006/relationships/hyperlink" Target="https://codesommet.com/web-development-company/worldwide" TargetMode="External" Id="rId37"/><Relationship Type="http://schemas.openxmlformats.org/officeDocument/2006/relationships/hyperlink" Target="https://codesommet.com/web-development-company/worldwide" TargetMode="External" Id="rId38"/><Relationship Type="http://schemas.openxmlformats.org/officeDocument/2006/relationships/hyperlink" Target="https://codesommet.com/web-development-company/worldwide" TargetMode="External" Id="rId39"/><Relationship Type="http://schemas.openxmlformats.org/officeDocument/2006/relationships/hyperlink" Target="https://codesommet.com/web-development-company/worldwide" TargetMode="External" Id="rId40"/><Relationship Type="http://schemas.openxmlformats.org/officeDocument/2006/relationships/hyperlink" Target="https://codesommet.com/web-development-company/worldwide" TargetMode="External" Id="rId41"/><Relationship Type="http://schemas.openxmlformats.org/officeDocument/2006/relationships/hyperlink" Target="https://codesommet.com/web-development-company/worldwide" TargetMode="External" Id="rId42"/><Relationship Type="http://schemas.openxmlformats.org/officeDocument/2006/relationships/hyperlink" Target="https://codesommet.com/web-development-company/worldwide" TargetMode="External" Id="rId43"/><Relationship Type="http://schemas.openxmlformats.org/officeDocument/2006/relationships/hyperlink" Target="https://codesommet.com/web-development-company/worldwide" TargetMode="External" Id="rId44"/><Relationship Type="http://schemas.openxmlformats.org/officeDocument/2006/relationships/hyperlink" Target="https://codesommet.com/web-development-company/worldwide" TargetMode="External" Id="rId45"/><Relationship Type="http://schemas.openxmlformats.org/officeDocument/2006/relationships/hyperlink" Target="https://codesommet.com/web-development-company/worldwide" TargetMode="External" Id="rId46"/><Relationship Type="http://schemas.openxmlformats.org/officeDocument/2006/relationships/hyperlink" Target="https://codesommet.com/web-development-company/worldwide" TargetMode="External" Id="rId47"/><Relationship Type="http://schemas.openxmlformats.org/officeDocument/2006/relationships/hyperlink" Target="https://codesommet.com/web-development-company/worldwide" TargetMode="External" Id="rId48"/><Relationship Type="http://schemas.openxmlformats.org/officeDocument/2006/relationships/hyperlink" Target="https://codesommet.com/web-development-company/worldwide" TargetMode="External" Id="rId49"/><Relationship Type="http://schemas.openxmlformats.org/officeDocument/2006/relationships/hyperlink" Target="https://codesommet.com/web-development-company/worldwide" TargetMode="External" Id="rId50"/><Relationship Type="http://schemas.openxmlformats.org/officeDocument/2006/relationships/hyperlink" Target="https://codesommet.com/web-development-company/worldwide" TargetMode="External" Id="rId51"/><Relationship Type="http://schemas.openxmlformats.org/officeDocument/2006/relationships/hyperlink" Target="https://codesommet.com/web-development-company/worldwide" TargetMode="External" Id="rId52"/><Relationship Type="http://schemas.openxmlformats.org/officeDocument/2006/relationships/hyperlink" Target="https://codesommet.com/web-development-company/worldwide" TargetMode="External" Id="rId53"/><Relationship Type="http://schemas.openxmlformats.org/officeDocument/2006/relationships/hyperlink" Target="https://codesommet.com/web-development-company/worldwide" TargetMode="External" Id="rId54"/><Relationship Type="http://schemas.openxmlformats.org/officeDocument/2006/relationships/hyperlink" Target="https://codesommet.com/web-development-company/worldwide" TargetMode="External" Id="rId55"/><Relationship Type="http://schemas.openxmlformats.org/officeDocument/2006/relationships/hyperlink" Target="https://codesommet.com/web-development-company/worldwide" TargetMode="External" Id="rId56"/><Relationship Type="http://schemas.openxmlformats.org/officeDocument/2006/relationships/hyperlink" Target="https://codesommet.com/web-development-company/worldwide" TargetMode="External" Id="rId57"/><Relationship Type="http://schemas.openxmlformats.org/officeDocument/2006/relationships/hyperlink" Target="https://codesommet.com/web-development-company/worldwide" TargetMode="External" Id="rId58"/><Relationship Type="http://schemas.openxmlformats.org/officeDocument/2006/relationships/hyperlink" Target="https://codesommet.com/web-development-company/worldwide" TargetMode="External" Id="rId59"/><Relationship Type="http://schemas.openxmlformats.org/officeDocument/2006/relationships/hyperlink" Target="https://codesommet.com/web-development-company/worldwide" TargetMode="External" Id="rId60"/><Relationship Type="http://schemas.openxmlformats.org/officeDocument/2006/relationships/hyperlink" Target="https://codesommet.com/web-development-company/worldwide" TargetMode="External" Id="rId61"/><Relationship Type="http://schemas.openxmlformats.org/officeDocument/2006/relationships/hyperlink" Target="https://codesommet.com/web-development-company/worldwide" TargetMode="External" Id="rId62"/><Relationship Type="http://schemas.openxmlformats.org/officeDocument/2006/relationships/hyperlink" Target="https://codesommet.com/web-development-company/worldwide" TargetMode="External" Id="rId63"/><Relationship Type="http://schemas.openxmlformats.org/officeDocument/2006/relationships/hyperlink" Target="https://codesommet.com/web-development-company/brussels" TargetMode="External" Id="rId64"/><Relationship Type="http://schemas.openxmlformats.org/officeDocument/2006/relationships/hyperlink" Target="https://codesommet.com/web-development-company/brussels" TargetMode="External" Id="rId65"/><Relationship Type="http://schemas.openxmlformats.org/officeDocument/2006/relationships/hyperlink" Target="https://codesommet.com/web-development-company/worldwide" TargetMode="External" Id="rId66"/><Relationship Type="http://schemas.openxmlformats.org/officeDocument/2006/relationships/hyperlink" Target="https://codesommet.com/web-development-company/worldwide" TargetMode="External" Id="rId67"/><Relationship Type="http://schemas.openxmlformats.org/officeDocument/2006/relationships/hyperlink" Target="https://codesommet.com/web-development-company/worldwide" TargetMode="External" Id="rId68"/><Relationship Type="http://schemas.openxmlformats.org/officeDocument/2006/relationships/hyperlink" Target="https://codesommet.com/web-development-company/worldwide" TargetMode="External" Id="rId69"/><Relationship Type="http://schemas.openxmlformats.org/officeDocument/2006/relationships/hyperlink" Target="https://codesommet.com/web-development-company/worldwide" TargetMode="External" Id="rId70"/><Relationship Type="http://schemas.openxmlformats.org/officeDocument/2006/relationships/hyperlink" Target="https://codesommet.com/web-development-company/worldwide" TargetMode="External" Id="rId71"/><Relationship Type="http://schemas.openxmlformats.org/officeDocument/2006/relationships/hyperlink" Target="https://codesommet.com/web-development-company/worldwide" TargetMode="External" Id="rId72"/><Relationship Type="http://schemas.openxmlformats.org/officeDocument/2006/relationships/hyperlink" Target="https://codesommet.com/web-development-company/worldwide" TargetMode="External" Id="rId73"/><Relationship Type="http://schemas.openxmlformats.org/officeDocument/2006/relationships/hyperlink" Target="https://codesommet.com/web-development-company/worldwide" TargetMode="External" Id="rId74"/><Relationship Type="http://schemas.openxmlformats.org/officeDocument/2006/relationships/hyperlink" Target="https://codesommet.com/web-development-company/worldwide" TargetMode="External" Id="rId75"/><Relationship Type="http://schemas.openxmlformats.org/officeDocument/2006/relationships/hyperlink" Target="https://codesommet.com/web-development-company/worldwide" TargetMode="External" Id="rId76"/><Relationship Type="http://schemas.openxmlformats.org/officeDocument/2006/relationships/hyperlink" Target="https://codesommet.com/web-development-company/worldwide" TargetMode="External" Id="rId77"/><Relationship Type="http://schemas.openxmlformats.org/officeDocument/2006/relationships/hyperlink" Target="https://codesommet.com/web-development-company/worldwide" TargetMode="External" Id="rId78"/><Relationship Type="http://schemas.openxmlformats.org/officeDocument/2006/relationships/hyperlink" Target="https://codesommet.com/web-development-company/worldwide" TargetMode="External" Id="rId79"/><Relationship Type="http://schemas.openxmlformats.org/officeDocument/2006/relationships/hyperlink" Target="https://codesommet.com/web-development-company/worldwide" TargetMode="External" Id="rId80"/><Relationship Type="http://schemas.openxmlformats.org/officeDocument/2006/relationships/hyperlink" Target="https://codesommet.com/web-development-company/worldwide" TargetMode="External" Id="rId81"/><Relationship Type="http://schemas.openxmlformats.org/officeDocument/2006/relationships/hyperlink" Target="https://codesommet.com/web-development-company/worldwide" TargetMode="External" Id="rId82"/><Relationship Type="http://schemas.openxmlformats.org/officeDocument/2006/relationships/hyperlink" Target="https://codesommet.com/web-development-company/worldwide" TargetMode="External" Id="rId83"/><Relationship Type="http://schemas.openxmlformats.org/officeDocument/2006/relationships/hyperlink" Target="https://codesommet.com/web-development-company/worldwide" TargetMode="External" Id="rId84"/><Relationship Type="http://schemas.openxmlformats.org/officeDocument/2006/relationships/hyperlink" Target="https://codesommet.com/web-development-company/worldwide" TargetMode="External" Id="rId85"/><Relationship Type="http://schemas.openxmlformats.org/officeDocument/2006/relationships/hyperlink" Target="https://codesommet.com/web-development-company/worldwide" TargetMode="External" Id="rId86"/><Relationship Type="http://schemas.openxmlformats.org/officeDocument/2006/relationships/hyperlink" Target="https://codesommet.com/web-development-company/worldwide" TargetMode="External" Id="rId87"/><Relationship Type="http://schemas.openxmlformats.org/officeDocument/2006/relationships/hyperlink" Target="https://codesommet.com/web-development-company/worldwide" TargetMode="External" Id="rId88"/><Relationship Type="http://schemas.openxmlformats.org/officeDocument/2006/relationships/hyperlink" Target="https://codesommet.com/web-development-company/worldwide" TargetMode="External" Id="rId89"/><Relationship Type="http://schemas.openxmlformats.org/officeDocument/2006/relationships/hyperlink" Target="https://codesommet.com/web-development-company/worldwide" TargetMode="External" Id="rId90"/><Relationship Type="http://schemas.openxmlformats.org/officeDocument/2006/relationships/hyperlink" Target="https://codesommet.com/web-development-company/worldwide" TargetMode="External" Id="rId91"/><Relationship Type="http://schemas.openxmlformats.org/officeDocument/2006/relationships/hyperlink" Target="https://codesommet.com/web-development-company/worldwide" TargetMode="External" Id="rId92"/><Relationship Type="http://schemas.openxmlformats.org/officeDocument/2006/relationships/hyperlink" Target="https://codesommet.com/web-development-company/worldwide" TargetMode="External" Id="rId93"/><Relationship Type="http://schemas.openxmlformats.org/officeDocument/2006/relationships/hyperlink" Target="https://codesommet.com/web-development-company/worldwide" TargetMode="External" Id="rId94"/><Relationship Type="http://schemas.openxmlformats.org/officeDocument/2006/relationships/hyperlink" Target="https://codesommet.com/web-development-company/worldwide" TargetMode="External" Id="rId95"/><Relationship Type="http://schemas.openxmlformats.org/officeDocument/2006/relationships/hyperlink" Target="https://codesommet.com/web-development-company/worldwide" TargetMode="External" Id="rId96"/><Relationship Type="http://schemas.openxmlformats.org/officeDocument/2006/relationships/hyperlink" Target="https://codesommet.com/web-development-company/worldwide" TargetMode="External" Id="rId97"/><Relationship Type="http://schemas.openxmlformats.org/officeDocument/2006/relationships/hyperlink" Target="https://codesommet.com/web-development-company/worldwide" TargetMode="External" Id="rId98"/><Relationship Type="http://schemas.openxmlformats.org/officeDocument/2006/relationships/hyperlink" Target="https://codesommet.com/web-development-company/worldwide" TargetMode="External" Id="rId99"/><Relationship Type="http://schemas.openxmlformats.org/officeDocument/2006/relationships/hyperlink" Target="https://codesommet.com/web-development-company/worldwide" TargetMode="External" Id="rId100"/><Relationship Type="http://schemas.openxmlformats.org/officeDocument/2006/relationships/hyperlink" Target="https://codesommet.com/web-development-company/worldwide" TargetMode="External" Id="rId101"/><Relationship Type="http://schemas.openxmlformats.org/officeDocument/2006/relationships/hyperlink" Target="https://codesommet.com/web-development-company/worldwide" TargetMode="External" Id="rId102"/><Relationship Type="http://schemas.openxmlformats.org/officeDocument/2006/relationships/hyperlink" Target="https://codesommet.com/web-development-company/worldwide" TargetMode="External" Id="rId103"/><Relationship Type="http://schemas.openxmlformats.org/officeDocument/2006/relationships/hyperlink" Target="https://codesommet.com/web-development-company/worldwide" TargetMode="External" Id="rId104"/><Relationship Type="http://schemas.openxmlformats.org/officeDocument/2006/relationships/hyperlink" Target="https://codesommet.com/web-development-company/worldwide" TargetMode="External" Id="rId105"/><Relationship Type="http://schemas.openxmlformats.org/officeDocument/2006/relationships/hyperlink" Target="https://codesommet.com/web-development-company/worldwide" TargetMode="External" Id="rId106"/><Relationship Type="http://schemas.openxmlformats.org/officeDocument/2006/relationships/hyperlink" Target="https://codesommet.com/web-development-company/worldwide" TargetMode="External" Id="rId107"/><Relationship Type="http://schemas.openxmlformats.org/officeDocument/2006/relationships/hyperlink" Target="https://codesommet.com/web-development-company/worldwide" TargetMode="External" Id="rId108"/><Relationship Type="http://schemas.openxmlformats.org/officeDocument/2006/relationships/hyperlink" Target="https://codesommet.com/web-development-company/worldwide" TargetMode="External" Id="rId109"/><Relationship Type="http://schemas.openxmlformats.org/officeDocument/2006/relationships/hyperlink" Target="https://codesommet.com/web-development-company/worldwide" TargetMode="External" Id="rId110"/><Relationship Type="http://schemas.openxmlformats.org/officeDocument/2006/relationships/hyperlink" Target="https://codesommet.com/web-development-company/worldwide" TargetMode="External" Id="rId111"/><Relationship Type="http://schemas.openxmlformats.org/officeDocument/2006/relationships/hyperlink" Target="https://codesommet.com/web-development-company/worldwide" TargetMode="External" Id="rId112"/><Relationship Type="http://schemas.openxmlformats.org/officeDocument/2006/relationships/hyperlink" Target="https://codesommet.com/web-development-company/worldwide" TargetMode="External" Id="rId113"/><Relationship Type="http://schemas.openxmlformats.org/officeDocument/2006/relationships/hyperlink" Target="https://codesommet.com/web-development-company/worldwide" TargetMode="External" Id="rId114"/><Relationship Type="http://schemas.openxmlformats.org/officeDocument/2006/relationships/hyperlink" Target="https://codesommet.com/web-development-company/worldwide" TargetMode="External" Id="rId115"/><Relationship Type="http://schemas.openxmlformats.org/officeDocument/2006/relationships/hyperlink" Target="https://codesommet.com/web-development-company/worldwide" TargetMode="External" Id="rId116"/><Relationship Type="http://schemas.openxmlformats.org/officeDocument/2006/relationships/hyperlink" Target="https://codesommet.com/web-development-company/worldwide" TargetMode="External" Id="rId117"/><Relationship Type="http://schemas.openxmlformats.org/officeDocument/2006/relationships/hyperlink" Target="https://codesommet.com/web-development-company/worldwide" TargetMode="External" Id="rId118"/><Relationship Type="http://schemas.openxmlformats.org/officeDocument/2006/relationships/hyperlink" Target="https://codesommet.com/web-development-company/worldwide" TargetMode="External" Id="rId119"/><Relationship Type="http://schemas.openxmlformats.org/officeDocument/2006/relationships/hyperlink" Target="https://codesommet.com/web-development-company/worldwide" TargetMode="External" Id="rId120"/><Relationship Type="http://schemas.openxmlformats.org/officeDocument/2006/relationships/hyperlink" Target="https://codesommet.com/web-development-company/worldwide" TargetMode="External" Id="rId121"/><Relationship Type="http://schemas.openxmlformats.org/officeDocument/2006/relationships/hyperlink" Target="https://codesommet.com/web-development-company/worldwide" TargetMode="External" Id="rId122"/><Relationship Type="http://schemas.openxmlformats.org/officeDocument/2006/relationships/hyperlink" Target="https://codesommet.com/web-development-company/worldwide" TargetMode="External" Id="rId123"/><Relationship Type="http://schemas.openxmlformats.org/officeDocument/2006/relationships/hyperlink" Target="https://codesommet.com/web-development-company/worldwide" TargetMode="External" Id="rId124"/><Relationship Type="http://schemas.openxmlformats.org/officeDocument/2006/relationships/hyperlink" Target="https://codesommet.com/web-development-company/worldwide" TargetMode="External" Id="rId125"/><Relationship Type="http://schemas.openxmlformats.org/officeDocument/2006/relationships/hyperlink" Target="https://codesommet.com/web-development-company/worldwide" TargetMode="External" Id="rId126"/><Relationship Type="http://schemas.openxmlformats.org/officeDocument/2006/relationships/hyperlink" Target="https://codesommet.com/web-development-company/worldwide" TargetMode="External" Id="rId127"/><Relationship Type="http://schemas.openxmlformats.org/officeDocument/2006/relationships/hyperlink" Target="https://codesommet.com/web-development-company/worldwide" TargetMode="External" Id="rId128"/><Relationship Type="http://schemas.openxmlformats.org/officeDocument/2006/relationships/hyperlink" Target="https://codesommet.com/web-development-company/worldwide" TargetMode="External" Id="rId129"/><Relationship Type="http://schemas.openxmlformats.org/officeDocument/2006/relationships/hyperlink" Target="https://codesommet.com/web-development-company/worldwide" TargetMode="External" Id="rId130"/><Relationship Type="http://schemas.openxmlformats.org/officeDocument/2006/relationships/hyperlink" Target="https://codesommet.com/web-development-company/worldwide" TargetMode="External" Id="rId131"/><Relationship Type="http://schemas.openxmlformats.org/officeDocument/2006/relationships/hyperlink" Target="https://codesommet.com/web-development-company/worldwide" TargetMode="External" Id="rId132"/><Relationship Type="http://schemas.openxmlformats.org/officeDocument/2006/relationships/hyperlink" Target="https://codesommet.com/web-development-company/worldwide" TargetMode="External" Id="rId133"/><Relationship Type="http://schemas.openxmlformats.org/officeDocument/2006/relationships/hyperlink" Target="https://codesommet.com/web-development-company/worldwide" TargetMode="External" Id="rId134"/><Relationship Type="http://schemas.openxmlformats.org/officeDocument/2006/relationships/hyperlink" Target="https://codesommet.com/web-development-company/worldwide" TargetMode="External" Id="rId135"/><Relationship Type="http://schemas.openxmlformats.org/officeDocument/2006/relationships/hyperlink" Target="https://codesommet.com/web-development-company/worldwide" TargetMode="External" Id="rId136"/><Relationship Type="http://schemas.openxmlformats.org/officeDocument/2006/relationships/hyperlink" Target="https://codesommet.com/web-development-company/worldwide" TargetMode="External" Id="rId137"/><Relationship Type="http://schemas.openxmlformats.org/officeDocument/2006/relationships/hyperlink" Target="https://codesommet.com/web-development-company/worldwide" TargetMode="External" Id="rId138"/><Relationship Type="http://schemas.openxmlformats.org/officeDocument/2006/relationships/hyperlink" Target="https://codesommet.com/web-development-company/worldwide" TargetMode="External" Id="rId139"/><Relationship Type="http://schemas.openxmlformats.org/officeDocument/2006/relationships/hyperlink" Target="https://codesommet.com/web-development-company/worldwide" TargetMode="External" Id="rId140"/><Relationship Type="http://schemas.openxmlformats.org/officeDocument/2006/relationships/hyperlink" Target="https://codesommet.com/web-development-company/worldwide" TargetMode="External" Id="rId141"/><Relationship Type="http://schemas.openxmlformats.org/officeDocument/2006/relationships/hyperlink" Target="https://codesommet.com/web-development-company/worldwide" TargetMode="External" Id="rId142"/><Relationship Type="http://schemas.openxmlformats.org/officeDocument/2006/relationships/hyperlink" Target="https://codesommet.com/web-development-company/worldwide" TargetMode="External" Id="rId143"/><Relationship Type="http://schemas.openxmlformats.org/officeDocument/2006/relationships/hyperlink" Target="https://codesommet.com/web-development-company/worldwide" TargetMode="External" Id="rId144"/><Relationship Type="http://schemas.openxmlformats.org/officeDocument/2006/relationships/hyperlink" Target="https://codesommet.com/web-development-company/worldwide" TargetMode="External" Id="rId145"/><Relationship Type="http://schemas.openxmlformats.org/officeDocument/2006/relationships/hyperlink" Target="https://codesommet.com/web-development-company/worldwide" TargetMode="External" Id="rId146"/><Relationship Type="http://schemas.openxmlformats.org/officeDocument/2006/relationships/hyperlink" Target="https://codesommet.com/web-development-company/worldwide" TargetMode="External" Id="rId147"/><Relationship Type="http://schemas.openxmlformats.org/officeDocument/2006/relationships/hyperlink" Target="https://codesommet.com/web-development-company/worldwide" TargetMode="External" Id="rId148"/><Relationship Type="http://schemas.openxmlformats.org/officeDocument/2006/relationships/hyperlink" Target="https://codesommet.com/web-development-company/worldwide" TargetMode="External" Id="rId149"/><Relationship Type="http://schemas.openxmlformats.org/officeDocument/2006/relationships/hyperlink" Target="https://codesommet.com/web-development-company/worldwide" TargetMode="External" Id="rId150"/><Relationship Type="http://schemas.openxmlformats.org/officeDocument/2006/relationships/hyperlink" Target="https://codesommet.com/web-development-company/worldwide" TargetMode="External" Id="rId151"/><Relationship Type="http://schemas.openxmlformats.org/officeDocument/2006/relationships/hyperlink" Target="https://codesommet.com/web-development-company/worldwide" TargetMode="External" Id="rId152"/><Relationship Type="http://schemas.openxmlformats.org/officeDocument/2006/relationships/hyperlink" Target="https://codesommet.com/web-development-company/worldwide" TargetMode="External" Id="rId153"/><Relationship Type="http://schemas.openxmlformats.org/officeDocument/2006/relationships/hyperlink" Target="https://codesommet.com/web-development-company/worldwide" TargetMode="External" Id="rId154"/><Relationship Type="http://schemas.openxmlformats.org/officeDocument/2006/relationships/hyperlink" Target="https://codesommet.com/web-development-company/worldwide" TargetMode="External" Id="rId155"/><Relationship Type="http://schemas.openxmlformats.org/officeDocument/2006/relationships/hyperlink" Target="https://codesommet.com/web-development-company/worldwide" TargetMode="External" Id="rId156"/><Relationship Type="http://schemas.openxmlformats.org/officeDocument/2006/relationships/hyperlink" Target="https://codesommet.com/web-development-company/worldwide" TargetMode="External" Id="rId157"/><Relationship Type="http://schemas.openxmlformats.org/officeDocument/2006/relationships/hyperlink" Target="https://codesommet.com/web-development-company/worldwide" TargetMode="External" Id="rId158"/><Relationship Type="http://schemas.openxmlformats.org/officeDocument/2006/relationships/hyperlink" Target="https://codesommet.com/web-development-company/worldwide" TargetMode="External" Id="rId159"/><Relationship Type="http://schemas.openxmlformats.org/officeDocument/2006/relationships/hyperlink" Target="https://codesommet.com/web-development-company/worldwide" TargetMode="External" Id="rId160"/><Relationship Type="http://schemas.openxmlformats.org/officeDocument/2006/relationships/hyperlink" Target="https://codesommet.com/web-development-company/worldwide" TargetMode="External" Id="rId161"/><Relationship Type="http://schemas.openxmlformats.org/officeDocument/2006/relationships/hyperlink" Target="https://codesommet.com/web-development-company/worldwide" TargetMode="External" Id="rId162"/><Relationship Type="http://schemas.openxmlformats.org/officeDocument/2006/relationships/hyperlink" Target="https://codesommet.com/web-development-company/worldwide" TargetMode="External" Id="rId163"/><Relationship Type="http://schemas.openxmlformats.org/officeDocument/2006/relationships/hyperlink" Target="https://codesommet.com/web-development-company/worldwide" TargetMode="External" Id="rId164"/><Relationship Type="http://schemas.openxmlformats.org/officeDocument/2006/relationships/hyperlink" Target="https://codesommet.com/web-development-company/worldwide" TargetMode="External" Id="rId165"/><Relationship Type="http://schemas.openxmlformats.org/officeDocument/2006/relationships/hyperlink" Target="https://codesommet.com/web-development-company/worldwide" TargetMode="External" Id="rId166"/><Relationship Type="http://schemas.openxmlformats.org/officeDocument/2006/relationships/hyperlink" Target="https://codesommet.com/web-development-company/worldwide" TargetMode="External" Id="rId167"/><Relationship Type="http://schemas.openxmlformats.org/officeDocument/2006/relationships/hyperlink" Target="https://codesommet.com/web-development-company/worldwide" TargetMode="External" Id="rId168"/><Relationship Type="http://schemas.openxmlformats.org/officeDocument/2006/relationships/hyperlink" Target="https://codesommet.com/web-development-company/worldwide" TargetMode="External" Id="rId169"/><Relationship Type="http://schemas.openxmlformats.org/officeDocument/2006/relationships/hyperlink" Target="https://codesommet.com/web-development-company/worldwide" TargetMode="External" Id="rId170"/><Relationship Type="http://schemas.openxmlformats.org/officeDocument/2006/relationships/hyperlink" Target="https://codesommet.com/web-development-company/worldwide" TargetMode="External" Id="rId171"/><Relationship Type="http://schemas.openxmlformats.org/officeDocument/2006/relationships/hyperlink" Target="https://codesommet.com/web-development-company/worldwide" TargetMode="External" Id="rId172"/><Relationship Type="http://schemas.openxmlformats.org/officeDocument/2006/relationships/hyperlink" Target="https://codesommet.com/web-development-company/worldwide" TargetMode="External" Id="rId173"/><Relationship Type="http://schemas.openxmlformats.org/officeDocument/2006/relationships/hyperlink" Target="https://codesommet.com/web-development-company/worldwide" TargetMode="External" Id="rId174"/><Relationship Type="http://schemas.openxmlformats.org/officeDocument/2006/relationships/hyperlink" Target="https://codesommet.com/web-development-company/worldwide" TargetMode="External" Id="rId175"/><Relationship Type="http://schemas.openxmlformats.org/officeDocument/2006/relationships/hyperlink" Target="https://codesommet.com/web-development-company/worldwide" TargetMode="External" Id="rId176"/><Relationship Type="http://schemas.openxmlformats.org/officeDocument/2006/relationships/hyperlink" Target="https://codesommet.com/web-development-company/worldwide" TargetMode="External" Id="rId177"/><Relationship Type="http://schemas.openxmlformats.org/officeDocument/2006/relationships/hyperlink" Target="https://codesommet.com/web-development-company/worldwide" TargetMode="External" Id="rId178"/><Relationship Type="http://schemas.openxmlformats.org/officeDocument/2006/relationships/hyperlink" Target="https://codesommet.com/web-development-company/worldwide" TargetMode="External" Id="rId179"/><Relationship Type="http://schemas.openxmlformats.org/officeDocument/2006/relationships/hyperlink" Target="https://codesommet.com/web-development-company/worldwide" TargetMode="External" Id="rId180"/><Relationship Type="http://schemas.openxmlformats.org/officeDocument/2006/relationships/hyperlink" Target="https://codesommet.com/web-development-company/worldwide" TargetMode="External" Id="rId181"/><Relationship Type="http://schemas.openxmlformats.org/officeDocument/2006/relationships/hyperlink" Target="https://codesommet.com/web-development-company/worldwide" TargetMode="External" Id="rId182"/><Relationship Type="http://schemas.openxmlformats.org/officeDocument/2006/relationships/hyperlink" Target="https://codesommet.com/web-development-company/worldwide" TargetMode="External" Id="rId183"/><Relationship Type="http://schemas.openxmlformats.org/officeDocument/2006/relationships/hyperlink" Target="https://codesommet.com/web-development-company/worldwide" TargetMode="External" Id="rId184"/><Relationship Type="http://schemas.openxmlformats.org/officeDocument/2006/relationships/hyperlink" Target="https://codesommet.com/web-development-company/worldwide" TargetMode="External" Id="rId185"/><Relationship Type="http://schemas.openxmlformats.org/officeDocument/2006/relationships/hyperlink" Target="https://codesommet.com/web-development-company/worldwide" TargetMode="External" Id="rId186"/><Relationship Type="http://schemas.openxmlformats.org/officeDocument/2006/relationships/hyperlink" Target="https://codesommet.com/web-development-company/tunis" TargetMode="External" Id="rId187"/><Relationship Type="http://schemas.openxmlformats.org/officeDocument/2006/relationships/hyperlink" Target="https://codesommet.com/web-development-company/worldwide" TargetMode="External" Id="rId188"/><Relationship Type="http://schemas.openxmlformats.org/officeDocument/2006/relationships/hyperlink" Target="https://codesommet.com/web-development-company/worldwide" TargetMode="External" Id="rId189"/><Relationship Type="http://schemas.openxmlformats.org/officeDocument/2006/relationships/hyperlink" Target="https://codesommet.com/web-development-company/worldwide" TargetMode="External" Id="rId190"/><Relationship Type="http://schemas.openxmlformats.org/officeDocument/2006/relationships/hyperlink" Target="https://codesommet.com/web-development-company/worldwide" TargetMode="External" Id="rId191"/><Relationship Type="http://schemas.openxmlformats.org/officeDocument/2006/relationships/hyperlink" Target="https://codesommet.com/web-development-company/worldwide" TargetMode="External" Id="rId192"/><Relationship Type="http://schemas.openxmlformats.org/officeDocument/2006/relationships/hyperlink" Target="https://codesommet.com/web-development-company/worldwide" TargetMode="External" Id="rId193"/><Relationship Type="http://schemas.openxmlformats.org/officeDocument/2006/relationships/hyperlink" Target="https://codesommet.com/web-development-company/worldwide" TargetMode="External" Id="rId194"/><Relationship Type="http://schemas.openxmlformats.org/officeDocument/2006/relationships/hyperlink" Target="https://codesommet.com/web-development-company/worldwide" TargetMode="External" Id="rId195"/><Relationship Type="http://schemas.openxmlformats.org/officeDocument/2006/relationships/hyperlink" Target="https://codesommet.com/web-development-company/worldwide" TargetMode="External" Id="rId196"/><Relationship Type="http://schemas.openxmlformats.org/officeDocument/2006/relationships/hyperlink" Target="https://codesommet.com/web-development-company/worldwide" TargetMode="External" Id="rId197"/><Relationship Type="http://schemas.openxmlformats.org/officeDocument/2006/relationships/hyperlink" Target="https://codesommet.com/web-development-company/worldwide" TargetMode="External" Id="rId198"/><Relationship Type="http://schemas.openxmlformats.org/officeDocument/2006/relationships/hyperlink" Target="https://codesommet.com/web-development-company/worldwide" TargetMode="External" Id="rId199"/><Relationship Type="http://schemas.openxmlformats.org/officeDocument/2006/relationships/hyperlink" Target="https://codesommet.com/web-development-company/worldwide" TargetMode="External" Id="rId200"/><Relationship Type="http://schemas.openxmlformats.org/officeDocument/2006/relationships/hyperlink" Target="https://codesommet.com/web-development-company/worldwide" TargetMode="External" Id="rId201"/><Relationship Type="http://schemas.openxmlformats.org/officeDocument/2006/relationships/hyperlink" Target="https://codesommet.com/web-development-company/worldwide" TargetMode="External" Id="rId202"/><Relationship Type="http://schemas.openxmlformats.org/officeDocument/2006/relationships/hyperlink" Target="https://codesommet.com/web-development-company/worldwide" TargetMode="External" Id="rId203"/><Relationship Type="http://schemas.openxmlformats.org/officeDocument/2006/relationships/hyperlink" Target="https://codesommet.com/web-development-company/worldwide" TargetMode="External" Id="rId204"/><Relationship Type="http://schemas.openxmlformats.org/officeDocument/2006/relationships/hyperlink" Target="https://codesommet.com/web-development-company/worldwide" TargetMode="External" Id="rId205"/><Relationship Type="http://schemas.openxmlformats.org/officeDocument/2006/relationships/hyperlink" Target="https://codesommet.com/web-development-company/worldwide" TargetMode="External" Id="rId206"/><Relationship Type="http://schemas.openxmlformats.org/officeDocument/2006/relationships/hyperlink" Target="https://codesommet.com/web-development-company/worldwide" TargetMode="External" Id="rId207"/><Relationship Type="http://schemas.openxmlformats.org/officeDocument/2006/relationships/hyperlink" Target="https://codesommet.com/web-development-company/worldwide" TargetMode="External" Id="rId208"/><Relationship Type="http://schemas.openxmlformats.org/officeDocument/2006/relationships/hyperlink" Target="https://codesommet.com/web-development-company/worldwide" TargetMode="External" Id="rId209"/><Relationship Type="http://schemas.openxmlformats.org/officeDocument/2006/relationships/hyperlink" Target="https://codesommet.com/web-development-company/worldwide" TargetMode="External" Id="rId210"/><Relationship Type="http://schemas.openxmlformats.org/officeDocument/2006/relationships/hyperlink" Target="https://codesommet.com/web-development-company/worldwide" TargetMode="External" Id="rId211"/><Relationship Type="http://schemas.openxmlformats.org/officeDocument/2006/relationships/hyperlink" Target="https://codesommet.com/web-development-company/worldwide" TargetMode="External" Id="rId212"/><Relationship Type="http://schemas.openxmlformats.org/officeDocument/2006/relationships/hyperlink" Target="https://codesommet.com/web-development-company/worldwide" TargetMode="External" Id="rId213"/><Relationship Type="http://schemas.openxmlformats.org/officeDocument/2006/relationships/hyperlink" Target="https://codesommet.com/web-development-company/worldwide" TargetMode="External" Id="rId214"/><Relationship Type="http://schemas.openxmlformats.org/officeDocument/2006/relationships/hyperlink" Target="https://codesommet.com/web-development-company/worldwide" TargetMode="External" Id="rId215"/><Relationship Type="http://schemas.openxmlformats.org/officeDocument/2006/relationships/hyperlink" Target="https://codesommet.com/web-development-company/worldwide" TargetMode="External" Id="rId216"/><Relationship Type="http://schemas.openxmlformats.org/officeDocument/2006/relationships/hyperlink" Target="https://codesommet.com/web-development-company/worldwide" TargetMode="External" Id="rId217"/><Relationship Type="http://schemas.openxmlformats.org/officeDocument/2006/relationships/hyperlink" Target="https://codesommet.com/web-development-company/worldwide" TargetMode="External" Id="rId218"/><Relationship Type="http://schemas.openxmlformats.org/officeDocument/2006/relationships/hyperlink" Target="https://codesommet.com/web-development-company/worldwide" TargetMode="External" Id="rId219"/><Relationship Type="http://schemas.openxmlformats.org/officeDocument/2006/relationships/hyperlink" Target="https://codesommet.com/web-development-company/worldwide" TargetMode="External" Id="rId220"/><Relationship Type="http://schemas.openxmlformats.org/officeDocument/2006/relationships/hyperlink" Target="https://codesommet.com/web-development-company/worldwide" TargetMode="External" Id="rId221"/><Relationship Type="http://schemas.openxmlformats.org/officeDocument/2006/relationships/hyperlink" Target="https://codesommet.com/web-development-company/worldwide" TargetMode="External" Id="rId222"/><Relationship Type="http://schemas.openxmlformats.org/officeDocument/2006/relationships/hyperlink" Target="https://codesommet.com/web-development-company/worldwide" TargetMode="External" Id="rId223"/><Relationship Type="http://schemas.openxmlformats.org/officeDocument/2006/relationships/hyperlink" Target="https://codesommet.com/web-development-company/worldwide" TargetMode="External" Id="rId224"/><Relationship Type="http://schemas.openxmlformats.org/officeDocument/2006/relationships/hyperlink" Target="https://codesommet.com/web-development-company/worldwide" TargetMode="External" Id="rId225"/><Relationship Type="http://schemas.openxmlformats.org/officeDocument/2006/relationships/hyperlink" Target="https://codesommet.com/web-development-company/worldwide" TargetMode="External" Id="rId226"/><Relationship Type="http://schemas.openxmlformats.org/officeDocument/2006/relationships/hyperlink" Target="https://codesommet.com/web-development-company/worldwide" TargetMode="External" Id="rId227"/><Relationship Type="http://schemas.openxmlformats.org/officeDocument/2006/relationships/hyperlink" Target="https://codesommet.com/web-development-company/worldwide" TargetMode="External" Id="rId228"/><Relationship Type="http://schemas.openxmlformats.org/officeDocument/2006/relationships/hyperlink" Target="https://codesommet.com/web-development-company/worldwide" TargetMode="External" Id="rId229"/><Relationship Type="http://schemas.openxmlformats.org/officeDocument/2006/relationships/hyperlink" Target="https://codesommet.com/web-development-company/worldwide" TargetMode="External" Id="rId230"/><Relationship Type="http://schemas.openxmlformats.org/officeDocument/2006/relationships/hyperlink" Target="https://codesommet.com/web-development-company/worldwide" TargetMode="External" Id="rId231"/><Relationship Type="http://schemas.openxmlformats.org/officeDocument/2006/relationships/hyperlink" Target="https://codesommet.com/web-development-company/worldwide" TargetMode="External" Id="rId232"/><Relationship Type="http://schemas.openxmlformats.org/officeDocument/2006/relationships/hyperlink" Target="https://codesommet.com/web-development-company/worldwide" TargetMode="External" Id="rId233"/><Relationship Type="http://schemas.openxmlformats.org/officeDocument/2006/relationships/hyperlink" Target="https://codesommet.com/web-development-company/worldwide" TargetMode="External" Id="rId234"/><Relationship Type="http://schemas.openxmlformats.org/officeDocument/2006/relationships/hyperlink" Target="https://codesommet.com/web-development-company/worldwide" TargetMode="External" Id="rId235"/><Relationship Type="http://schemas.openxmlformats.org/officeDocument/2006/relationships/hyperlink" Target="https://codesommet.com/web-development-company/worldwide" TargetMode="External" Id="rId236"/><Relationship Type="http://schemas.openxmlformats.org/officeDocument/2006/relationships/hyperlink" Target="https://codesommet.com/web-development-company/worldwide" TargetMode="External" Id="rId237"/><Relationship Type="http://schemas.openxmlformats.org/officeDocument/2006/relationships/hyperlink" Target="https://codesommet.com/web-development-company/worldwide" TargetMode="External" Id="rId238"/><Relationship Type="http://schemas.openxmlformats.org/officeDocument/2006/relationships/hyperlink" Target="https://codesommet.com/web-development-company/worldwide" TargetMode="External" Id="rId239"/><Relationship Type="http://schemas.openxmlformats.org/officeDocument/2006/relationships/hyperlink" Target="https://codesommet.com/web-development-company/worldwide" TargetMode="External" Id="rId240"/><Relationship Type="http://schemas.openxmlformats.org/officeDocument/2006/relationships/hyperlink" Target="https://codesommet.com/web-development-company/worldwide" TargetMode="External" Id="rId241"/><Relationship Type="http://schemas.openxmlformats.org/officeDocument/2006/relationships/hyperlink" Target="https://codesommet.com/web-development-company/worldwide" TargetMode="External" Id="rId242"/><Relationship Type="http://schemas.openxmlformats.org/officeDocument/2006/relationships/hyperlink" Target="https://codesommet.com/web-development-company/worldwide" TargetMode="External" Id="rId243"/><Relationship Type="http://schemas.openxmlformats.org/officeDocument/2006/relationships/hyperlink" Target="https://codesommet.com/web-development-company/worldwide" TargetMode="External" Id="rId244"/><Relationship Type="http://schemas.openxmlformats.org/officeDocument/2006/relationships/hyperlink" Target="https://codesommet.com/web-development-company/worldwide" TargetMode="External" Id="rId245"/><Relationship Type="http://schemas.openxmlformats.org/officeDocument/2006/relationships/hyperlink" Target="https://codesommet.com/web-development-company/worldwide" TargetMode="External" Id="rId246"/><Relationship Type="http://schemas.openxmlformats.org/officeDocument/2006/relationships/hyperlink" Target="https://codesommet.com/web-development-company/worldwide" TargetMode="External" Id="rId247"/><Relationship Type="http://schemas.openxmlformats.org/officeDocument/2006/relationships/hyperlink" Target="https://codesommet.com/" TargetMode="External" Id="rId248"/><Relationship Type="http://schemas.openxmlformats.org/officeDocument/2006/relationships/hyperlink" Target="https://codesommet.com/" TargetMode="External" Id="rId249"/><Relationship Type="http://schemas.openxmlformats.org/officeDocument/2006/relationships/hyperlink" Target="https://codesommet.com/" TargetMode="External" Id="rId250"/><Relationship Type="http://schemas.openxmlformats.org/officeDocument/2006/relationships/hyperlink" Target="https://codesommet.com/" TargetMode="External" Id="rId251"/><Relationship Type="http://schemas.openxmlformats.org/officeDocument/2006/relationships/hyperlink" Target="https://codesommet.com/" TargetMode="External" Id="rId252"/><Relationship Type="http://schemas.openxmlformats.org/officeDocument/2006/relationships/hyperlink" Target="https://codesommet.com/" TargetMode="External" Id="rId253"/><Relationship Type="http://schemas.openxmlformats.org/officeDocument/2006/relationships/hyperlink" Target="https://codesommet.com/" TargetMode="External" Id="rId254"/><Relationship Type="http://schemas.openxmlformats.org/officeDocument/2006/relationships/hyperlink" Target="https://codesommet.com/" TargetMode="External" Id="rId255"/><Relationship Type="http://schemas.openxmlformats.org/officeDocument/2006/relationships/hyperlink" Target="https://codesommet.com/" TargetMode="External" Id="rId256"/><Relationship Type="http://schemas.openxmlformats.org/officeDocument/2006/relationships/hyperlink" Target="https://codesommet.com/" TargetMode="External" Id="rId257"/><Relationship Type="http://schemas.openxmlformats.org/officeDocument/2006/relationships/hyperlink" Target="https://codesommet.com/" TargetMode="External" Id="rId258"/><Relationship Type="http://schemas.openxmlformats.org/officeDocument/2006/relationships/hyperlink" Target="https://codesommet.com/" TargetMode="External" Id="rId259"/><Relationship Type="http://schemas.openxmlformats.org/officeDocument/2006/relationships/hyperlink" Target="https://codesommet.com/" TargetMode="External" Id="rId260"/><Relationship Type="http://schemas.openxmlformats.org/officeDocument/2006/relationships/hyperlink" Target="https://codesommet.com/" TargetMode="External" Id="rId261"/><Relationship Type="http://schemas.openxmlformats.org/officeDocument/2006/relationships/hyperlink" Target="https://codesommet.com/" TargetMode="External" Id="rId262"/><Relationship Type="http://schemas.openxmlformats.org/officeDocument/2006/relationships/hyperlink" Target="https://codesommet.com/" TargetMode="External" Id="rId263"/><Relationship Type="http://schemas.openxmlformats.org/officeDocument/2006/relationships/hyperlink" Target="https://codesommet.com/" TargetMode="External" Id="rId264"/><Relationship Type="http://schemas.openxmlformats.org/officeDocument/2006/relationships/hyperlink" Target="https://codesommet.com/" TargetMode="External" Id="rId265"/><Relationship Type="http://schemas.openxmlformats.org/officeDocument/2006/relationships/hyperlink" Target="https://codesommet.com/" TargetMode="External" Id="rId266"/><Relationship Type="http://schemas.openxmlformats.org/officeDocument/2006/relationships/hyperlink" Target="https://codesommet.com/" TargetMode="External" Id="rId267"/><Relationship Type="http://schemas.openxmlformats.org/officeDocument/2006/relationships/hyperlink" Target="https://codesommet.com/" TargetMode="External" Id="rId268"/><Relationship Type="http://schemas.openxmlformats.org/officeDocument/2006/relationships/hyperlink" Target="https://codesommet.com/" TargetMode="External" Id="rId269"/><Relationship Type="http://schemas.openxmlformats.org/officeDocument/2006/relationships/hyperlink" Target="https://codesommet.com/" TargetMode="External" Id="rId270"/><Relationship Type="http://schemas.openxmlformats.org/officeDocument/2006/relationships/hyperlink" Target="https://codesommet.com/" TargetMode="External" Id="rId271"/><Relationship Type="http://schemas.openxmlformats.org/officeDocument/2006/relationships/hyperlink" Target="https://codesommet.com/" TargetMode="External" Id="rId272"/><Relationship Type="http://schemas.openxmlformats.org/officeDocument/2006/relationships/hyperlink" Target="https://codesommet.com/" TargetMode="External" Id="rId273"/><Relationship Type="http://schemas.openxmlformats.org/officeDocument/2006/relationships/hyperlink" Target="https://codesommet.com/" TargetMode="External" Id="rId274"/><Relationship Type="http://schemas.openxmlformats.org/officeDocument/2006/relationships/hyperlink" Target="https://codesommet.com/" TargetMode="External" Id="rId275"/><Relationship Type="http://schemas.openxmlformats.org/officeDocument/2006/relationships/hyperlink" Target="https://codesommet.com/" TargetMode="External" Id="rId276"/><Relationship Type="http://schemas.openxmlformats.org/officeDocument/2006/relationships/hyperlink" Target="https://codesommet.com/" TargetMode="External" Id="rId277"/><Relationship Type="http://schemas.openxmlformats.org/officeDocument/2006/relationships/hyperlink" Target="https://codesommet.com/web-development-company/dubai" TargetMode="External" Id="rId278"/><Relationship Type="http://schemas.openxmlformats.org/officeDocument/2006/relationships/hyperlink" Target="https://codesommet.com/web-development-company/dubai" TargetMode="External" Id="rId279"/><Relationship Type="http://schemas.openxmlformats.org/officeDocument/2006/relationships/hyperlink" Target="https://codesommet.com/web-development-company/dubai" TargetMode="External" Id="rId280"/><Relationship Type="http://schemas.openxmlformats.org/officeDocument/2006/relationships/hyperlink" Target="https://codesommet.com/web-development-company/dubai" TargetMode="External" Id="rId281"/><Relationship Type="http://schemas.openxmlformats.org/officeDocument/2006/relationships/hyperlink" Target="https://codesommet.com/web-development-company/abudhabi" TargetMode="External" Id="rId282"/><Relationship Type="http://schemas.openxmlformats.org/officeDocument/2006/relationships/hyperlink" Target="https://codesommet.com/web-development-company/abudhabi" TargetMode="External" Id="rId283"/><Relationship Type="http://schemas.openxmlformats.org/officeDocument/2006/relationships/hyperlink" Target="https://codesommet.com/web-development-company/abudhabi" TargetMode="External" Id="rId284"/><Relationship Type="http://schemas.openxmlformats.org/officeDocument/2006/relationships/hyperlink" Target="https://codesommet.com/web-development-company/abudhabi" TargetMode="External" Id="rId285"/><Relationship Type="http://schemas.openxmlformats.org/officeDocument/2006/relationships/hyperlink" Target="https://codesommet.com/web-development-company/riyadh" TargetMode="External" Id="rId286"/><Relationship Type="http://schemas.openxmlformats.org/officeDocument/2006/relationships/hyperlink" Target="https://codesommet.com/web-development-company/riyadh" TargetMode="External" Id="rId287"/><Relationship Type="http://schemas.openxmlformats.org/officeDocument/2006/relationships/hyperlink" Target="https://codesommet.com/web-development-company/riyadh" TargetMode="External" Id="rId288"/><Relationship Type="http://schemas.openxmlformats.org/officeDocument/2006/relationships/hyperlink" Target="https://codesommet.com/web-development-company/riyadh" TargetMode="External" Id="rId289"/><Relationship Type="http://schemas.openxmlformats.org/officeDocument/2006/relationships/hyperlink" Target="https://codesommet.com/web-development-company/london" TargetMode="External" Id="rId290"/><Relationship Type="http://schemas.openxmlformats.org/officeDocument/2006/relationships/hyperlink" Target="https://codesommet.com/web-development-company/london" TargetMode="External" Id="rId291"/><Relationship Type="http://schemas.openxmlformats.org/officeDocument/2006/relationships/hyperlink" Target="https://codesommet.com/web-development-company/london" TargetMode="External" Id="rId292"/><Relationship Type="http://schemas.openxmlformats.org/officeDocument/2006/relationships/hyperlink" Target="https://codesommet.com/web-development-company/london" TargetMode="External" Id="rId293"/><Relationship Type="http://schemas.openxmlformats.org/officeDocument/2006/relationships/hyperlink" Target="https://codesommet.com/web-development-company/amsterdam" TargetMode="External" Id="rId294"/><Relationship Type="http://schemas.openxmlformats.org/officeDocument/2006/relationships/hyperlink" Target="https://codesommet.com/web-development-company/amsterdam" TargetMode="External" Id="rId295"/><Relationship Type="http://schemas.openxmlformats.org/officeDocument/2006/relationships/hyperlink" Target="https://codesommet.com/web-development-company/amsterdam" TargetMode="External" Id="rId296"/><Relationship Type="http://schemas.openxmlformats.org/officeDocument/2006/relationships/hyperlink" Target="https://codesommet.com/web-development-company/amsterdam" TargetMode="External" Id="rId297"/><Relationship Type="http://schemas.openxmlformats.org/officeDocument/2006/relationships/hyperlink" Target="https://codesommet.com/web-development-company/berlin" TargetMode="External" Id="rId298"/><Relationship Type="http://schemas.openxmlformats.org/officeDocument/2006/relationships/hyperlink" Target="https://codesommet.com/web-development-company/berlin" TargetMode="External" Id="rId299"/><Relationship Type="http://schemas.openxmlformats.org/officeDocument/2006/relationships/hyperlink" Target="https://codesommet.com/web-development-company/berlin" TargetMode="External" Id="rId300"/><Relationship Type="http://schemas.openxmlformats.org/officeDocument/2006/relationships/hyperlink" Target="https://codesommet.com/web-development-company/berlin" TargetMode="External" Id="rId301"/><Relationship Type="http://schemas.openxmlformats.org/officeDocument/2006/relationships/hyperlink" Target="https://codesommet.com/web-development-company/paris" TargetMode="External" Id="rId302"/><Relationship Type="http://schemas.openxmlformats.org/officeDocument/2006/relationships/hyperlink" Target="https://codesommet.com/web-development-company/paris" TargetMode="External" Id="rId303"/><Relationship Type="http://schemas.openxmlformats.org/officeDocument/2006/relationships/hyperlink" Target="https://codesommet.com/web-development-company/paris" TargetMode="External" Id="rId304"/><Relationship Type="http://schemas.openxmlformats.org/officeDocument/2006/relationships/hyperlink" Target="https://codesommet.com/web-development-company/copenhagen" TargetMode="External" Id="rId305"/><Relationship Type="http://schemas.openxmlformats.org/officeDocument/2006/relationships/hyperlink" Target="https://codesommet.com/web-development-company/copenhagen" TargetMode="External" Id="rId306"/><Relationship Type="http://schemas.openxmlformats.org/officeDocument/2006/relationships/hyperlink" Target="https://codesommet.com/web-development-company/copenhagen" TargetMode="External" Id="rId307"/><Relationship Type="http://schemas.openxmlformats.org/officeDocument/2006/relationships/hyperlink" Target="https://codesommet.com/web-development-company/copenhagen" TargetMode="External" Id="rId308"/><Relationship Type="http://schemas.openxmlformats.org/officeDocument/2006/relationships/hyperlink" Target="https://codesommet.com/web-development-company/dublin" TargetMode="External" Id="rId309"/><Relationship Type="http://schemas.openxmlformats.org/officeDocument/2006/relationships/hyperlink" Target="https://codesommet.com/web-development-company/dublin" TargetMode="External" Id="rId310"/><Relationship Type="http://schemas.openxmlformats.org/officeDocument/2006/relationships/hyperlink" Target="https://codesommet.com/web-development-company/dublin" TargetMode="External" Id="rId311"/><Relationship Type="http://schemas.openxmlformats.org/officeDocument/2006/relationships/hyperlink" Target="https://codesommet.com/web-development-company/dublin" TargetMode="External" Id="rId312"/><Relationship Type="http://schemas.openxmlformats.org/officeDocument/2006/relationships/hyperlink" Target="https://codesommet.com/web-development-company/brussels" TargetMode="External" Id="rId313"/><Relationship Type="http://schemas.openxmlformats.org/officeDocument/2006/relationships/hyperlink" Target="https://codesommet.com/web-development-company/brussels" TargetMode="External" Id="rId314"/><Relationship Type="http://schemas.openxmlformats.org/officeDocument/2006/relationships/hyperlink" Target="https://codesommet.com/web-development-company/brussels" TargetMode="External" Id="rId315"/><Relationship Type="http://schemas.openxmlformats.org/officeDocument/2006/relationships/hyperlink" Target="https://codesommet.com/web-development-company/zurich" TargetMode="External" Id="rId316"/><Relationship Type="http://schemas.openxmlformats.org/officeDocument/2006/relationships/hyperlink" Target="https://codesommet.com/web-development-company/zurich" TargetMode="External" Id="rId317"/><Relationship Type="http://schemas.openxmlformats.org/officeDocument/2006/relationships/hyperlink" Target="https://codesommet.com/web-development-company/zurich" TargetMode="External" Id="rId318"/><Relationship Type="http://schemas.openxmlformats.org/officeDocument/2006/relationships/hyperlink" Target="https://codesommet.com/web-development-company/zurich" TargetMode="External" Id="rId319"/><Relationship Type="http://schemas.openxmlformats.org/officeDocument/2006/relationships/hyperlink" Target="https://codesommet.com/web-development-company/stockholm" TargetMode="External" Id="rId320"/><Relationship Type="http://schemas.openxmlformats.org/officeDocument/2006/relationships/hyperlink" Target="https://codesommet.com/web-development-company/stockholm" TargetMode="External" Id="rId321"/><Relationship Type="http://schemas.openxmlformats.org/officeDocument/2006/relationships/hyperlink" Target="https://codesommet.com/web-development-company/stockholm" TargetMode="External" Id="rId322"/><Relationship Type="http://schemas.openxmlformats.org/officeDocument/2006/relationships/hyperlink" Target="https://codesommet.com/web-development-company/stockholm" TargetMode="External" Id="rId323"/><Relationship Type="http://schemas.openxmlformats.org/officeDocument/2006/relationships/hyperlink" Target="https://codesommet.com/web-development-company/madrid" TargetMode="External" Id="rId324"/><Relationship Type="http://schemas.openxmlformats.org/officeDocument/2006/relationships/hyperlink" Target="https://codesommet.com/web-development-company/madrid" TargetMode="External" Id="rId325"/><Relationship Type="http://schemas.openxmlformats.org/officeDocument/2006/relationships/hyperlink" Target="https://codesommet.com/web-development-company/madrid" TargetMode="External" Id="rId326"/><Relationship Type="http://schemas.openxmlformats.org/officeDocument/2006/relationships/hyperlink" Target="https://codesommet.com/web-development-company/madrid" TargetMode="External" Id="rId327"/><Relationship Type="http://schemas.openxmlformats.org/officeDocument/2006/relationships/hyperlink" Target="https://codesommet.com/web-development-company/barcelona" TargetMode="External" Id="rId328"/><Relationship Type="http://schemas.openxmlformats.org/officeDocument/2006/relationships/hyperlink" Target="https://codesommet.com/web-development-company/barcelona" TargetMode="External" Id="rId329"/><Relationship Type="http://schemas.openxmlformats.org/officeDocument/2006/relationships/hyperlink" Target="https://codesommet.com/web-development-company/barcelona" TargetMode="External" Id="rId330"/><Relationship Type="http://schemas.openxmlformats.org/officeDocument/2006/relationships/hyperlink" Target="https://codesommet.com/web-development-company/barcelona" TargetMode="External" Id="rId331"/><Relationship Type="http://schemas.openxmlformats.org/officeDocument/2006/relationships/hyperlink" Target="https://codesommet.com/web-development-company/lisbon" TargetMode="External" Id="rId332"/><Relationship Type="http://schemas.openxmlformats.org/officeDocument/2006/relationships/hyperlink" Target="https://codesommet.com/web-development-company/lisbon" TargetMode="External" Id="rId333"/><Relationship Type="http://schemas.openxmlformats.org/officeDocument/2006/relationships/hyperlink" Target="https://codesommet.com/web-development-company/lisbon" TargetMode="External" Id="rId334"/><Relationship Type="http://schemas.openxmlformats.org/officeDocument/2006/relationships/hyperlink" Target="https://codesommet.com/web-development-company/lisbon" TargetMode="External" Id="rId335"/><Relationship Type="http://schemas.openxmlformats.org/officeDocument/2006/relationships/hyperlink" Target="https://codesommet.com/web-development-company/rome" TargetMode="External" Id="rId336"/><Relationship Type="http://schemas.openxmlformats.org/officeDocument/2006/relationships/hyperlink" Target="https://codesommet.com/web-development-company/rome" TargetMode="External" Id="rId337"/><Relationship Type="http://schemas.openxmlformats.org/officeDocument/2006/relationships/hyperlink" Target="https://codesommet.com/web-development-company/rome" TargetMode="External" Id="rId338"/><Relationship Type="http://schemas.openxmlformats.org/officeDocument/2006/relationships/hyperlink" Target="https://codesommet.com/web-development-company/rome" TargetMode="External" Id="rId339"/><Relationship Type="http://schemas.openxmlformats.org/officeDocument/2006/relationships/hyperlink" Target="https://codesommet.com/web-development-company/milan" TargetMode="External" Id="rId340"/><Relationship Type="http://schemas.openxmlformats.org/officeDocument/2006/relationships/hyperlink" Target="https://codesommet.com/web-development-company/milan" TargetMode="External" Id="rId341"/><Relationship Type="http://schemas.openxmlformats.org/officeDocument/2006/relationships/hyperlink" Target="https://codesommet.com/web-development-company/milan" TargetMode="External" Id="rId342"/><Relationship Type="http://schemas.openxmlformats.org/officeDocument/2006/relationships/hyperlink" Target="https://codesommet.com/web-development-company/milan" TargetMode="External" Id="rId343"/><Relationship Type="http://schemas.openxmlformats.org/officeDocument/2006/relationships/hyperlink" Target="https://codesommet.com/web-development-company/new-york" TargetMode="External" Id="rId344"/><Relationship Type="http://schemas.openxmlformats.org/officeDocument/2006/relationships/hyperlink" Target="https://codesommet.com/web-development-company/new-york" TargetMode="External" Id="rId345"/><Relationship Type="http://schemas.openxmlformats.org/officeDocument/2006/relationships/hyperlink" Target="https://codesommet.com/web-development-company/new-york" TargetMode="External" Id="rId346"/><Relationship Type="http://schemas.openxmlformats.org/officeDocument/2006/relationships/hyperlink" Target="https://codesommet.com/web-development-company/new-york" TargetMode="External" Id="rId347"/><Relationship Type="http://schemas.openxmlformats.org/officeDocument/2006/relationships/hyperlink" Target="https://codesommet.com/web-development-company/san-francisco" TargetMode="External" Id="rId348"/><Relationship Type="http://schemas.openxmlformats.org/officeDocument/2006/relationships/hyperlink" Target="https://codesommet.com/web-development-company/san-francisco" TargetMode="External" Id="rId349"/><Relationship Type="http://schemas.openxmlformats.org/officeDocument/2006/relationships/hyperlink" Target="https://codesommet.com/web-development-company/san-francisco" TargetMode="External" Id="rId350"/><Relationship Type="http://schemas.openxmlformats.org/officeDocument/2006/relationships/hyperlink" Target="https://codesommet.com/web-development-company/san-francisco" TargetMode="External" Id="rId351"/><Relationship Type="http://schemas.openxmlformats.org/officeDocument/2006/relationships/hyperlink" Target="https://codesommet.com/web-development-company/los-angeles" TargetMode="External" Id="rId352"/><Relationship Type="http://schemas.openxmlformats.org/officeDocument/2006/relationships/hyperlink" Target="https://codesommet.com/web-development-company/los-angeles" TargetMode="External" Id="rId353"/><Relationship Type="http://schemas.openxmlformats.org/officeDocument/2006/relationships/hyperlink" Target="https://codesommet.com/web-development-company/los-angeles" TargetMode="External" Id="rId354"/><Relationship Type="http://schemas.openxmlformats.org/officeDocument/2006/relationships/hyperlink" Target="https://codesommet.com/web-development-company/los-angeles" TargetMode="External" Id="rId355"/><Relationship Type="http://schemas.openxmlformats.org/officeDocument/2006/relationships/hyperlink" Target="https://codesommet.com/web-development-company/austin" TargetMode="External" Id="rId356"/><Relationship Type="http://schemas.openxmlformats.org/officeDocument/2006/relationships/hyperlink" Target="https://codesommet.com/web-development-company/austin" TargetMode="External" Id="rId357"/><Relationship Type="http://schemas.openxmlformats.org/officeDocument/2006/relationships/hyperlink" Target="https://codesommet.com/web-development-company/austin" TargetMode="External" Id="rId358"/><Relationship Type="http://schemas.openxmlformats.org/officeDocument/2006/relationships/hyperlink" Target="https://codesommet.com/web-development-company/austin" TargetMode="External" Id="rId359"/><Relationship Type="http://schemas.openxmlformats.org/officeDocument/2006/relationships/hyperlink" Target="https://codesommet.com/web-development-company/seattle" TargetMode="External" Id="rId360"/><Relationship Type="http://schemas.openxmlformats.org/officeDocument/2006/relationships/hyperlink" Target="https://codesommet.com/web-development-company/seattle" TargetMode="External" Id="rId361"/><Relationship Type="http://schemas.openxmlformats.org/officeDocument/2006/relationships/hyperlink" Target="https://codesommet.com/web-development-company/seattle" TargetMode="External" Id="rId362"/><Relationship Type="http://schemas.openxmlformats.org/officeDocument/2006/relationships/hyperlink" Target="https://codesommet.com/web-development-company/seattle" TargetMode="External" Id="rId363"/><Relationship Type="http://schemas.openxmlformats.org/officeDocument/2006/relationships/hyperlink" Target="https://codesommet.com/web-development-company/boston" TargetMode="External" Id="rId364"/><Relationship Type="http://schemas.openxmlformats.org/officeDocument/2006/relationships/hyperlink" Target="https://codesommet.com/web-development-company/boston" TargetMode="External" Id="rId365"/><Relationship Type="http://schemas.openxmlformats.org/officeDocument/2006/relationships/hyperlink" Target="https://codesommet.com/web-development-company/boston" TargetMode="External" Id="rId366"/><Relationship Type="http://schemas.openxmlformats.org/officeDocument/2006/relationships/hyperlink" Target="https://codesommet.com/web-development-company/boston" TargetMode="External" Id="rId367"/><Relationship Type="http://schemas.openxmlformats.org/officeDocument/2006/relationships/hyperlink" Target="https://codesommet.com/web-development-company/chicago" TargetMode="External" Id="rId368"/><Relationship Type="http://schemas.openxmlformats.org/officeDocument/2006/relationships/hyperlink" Target="https://codesommet.com/web-development-company/chicago" TargetMode="External" Id="rId369"/><Relationship Type="http://schemas.openxmlformats.org/officeDocument/2006/relationships/hyperlink" Target="https://codesommet.com/web-development-company/chicago" TargetMode="External" Id="rId370"/><Relationship Type="http://schemas.openxmlformats.org/officeDocument/2006/relationships/hyperlink" Target="https://codesommet.com/web-development-company/chicago" TargetMode="External" Id="rId371"/><Relationship Type="http://schemas.openxmlformats.org/officeDocument/2006/relationships/hyperlink" Target="https://codesommet.com/web-development-company/denver" TargetMode="External" Id="rId372"/><Relationship Type="http://schemas.openxmlformats.org/officeDocument/2006/relationships/hyperlink" Target="https://codesommet.com/web-development-company/denver" TargetMode="External" Id="rId373"/><Relationship Type="http://schemas.openxmlformats.org/officeDocument/2006/relationships/hyperlink" Target="https://codesommet.com/web-development-company/denver" TargetMode="External" Id="rId374"/><Relationship Type="http://schemas.openxmlformats.org/officeDocument/2006/relationships/hyperlink" Target="https://codesommet.com/web-development-company/denver" TargetMode="External" Id="rId375"/><Relationship Type="http://schemas.openxmlformats.org/officeDocument/2006/relationships/hyperlink" Target="https://codesommet.com/web-development-company/toronto" TargetMode="External" Id="rId376"/><Relationship Type="http://schemas.openxmlformats.org/officeDocument/2006/relationships/hyperlink" Target="https://codesommet.com/web-development-company/toronto" TargetMode="External" Id="rId377"/><Relationship Type="http://schemas.openxmlformats.org/officeDocument/2006/relationships/hyperlink" Target="https://codesommet.com/web-development-company/toronto" TargetMode="External" Id="rId378"/><Relationship Type="http://schemas.openxmlformats.org/officeDocument/2006/relationships/hyperlink" Target="https://codesommet.com/web-development-company/toronto" TargetMode="External" Id="rId379"/><Relationship Type="http://schemas.openxmlformats.org/officeDocument/2006/relationships/hyperlink" Target="https://codesommet.com/web-development-company/vancouver" TargetMode="External" Id="rId380"/><Relationship Type="http://schemas.openxmlformats.org/officeDocument/2006/relationships/hyperlink" Target="https://codesommet.com/web-development-company/vancouver" TargetMode="External" Id="rId381"/><Relationship Type="http://schemas.openxmlformats.org/officeDocument/2006/relationships/hyperlink" Target="https://codesommet.com/web-development-company/vancouver" TargetMode="External" Id="rId382"/><Relationship Type="http://schemas.openxmlformats.org/officeDocument/2006/relationships/hyperlink" Target="https://codesommet.com/web-development-company/vancouver" TargetMode="External" Id="rId383"/><Relationship Type="http://schemas.openxmlformats.org/officeDocument/2006/relationships/hyperlink" Target="https://codesommet.com/web-development-company/tunis" TargetMode="External" Id="rId384"/><Relationship Type="http://schemas.openxmlformats.org/officeDocument/2006/relationships/hyperlink" Target="https://codesommet.com/web-development-company/tunis" TargetMode="External" Id="rId385"/><Relationship Type="http://schemas.openxmlformats.org/officeDocument/2006/relationships/hyperlink" Target="https://codesommet.com/web-development-company/tunis" TargetMode="External" Id="rId386"/><Relationship Type="http://schemas.openxmlformats.org/officeDocument/2006/relationships/hyperlink" Target="https://codesommet.com/web-development-company/cairo" TargetMode="External" Id="rId387"/><Relationship Type="http://schemas.openxmlformats.org/officeDocument/2006/relationships/hyperlink" Target="https://codesommet.com/web-development-company/cairo" TargetMode="External" Id="rId388"/><Relationship Type="http://schemas.openxmlformats.org/officeDocument/2006/relationships/hyperlink" Target="https://codesommet.com/web-development-company/cairo" TargetMode="External" Id="rId389"/><Relationship Type="http://schemas.openxmlformats.org/officeDocument/2006/relationships/hyperlink" Target="https://codesommet.com/web-development-company/cairo" TargetMode="External" Id="rId390"/><Relationship Type="http://schemas.openxmlformats.org/officeDocument/2006/relationships/hyperlink" Target="https://codesommet.com/web-development-company/lagos" TargetMode="External" Id="rId391"/><Relationship Type="http://schemas.openxmlformats.org/officeDocument/2006/relationships/hyperlink" Target="https://codesommet.com/web-development-company/lagos" TargetMode="External" Id="rId392"/><Relationship Type="http://schemas.openxmlformats.org/officeDocument/2006/relationships/hyperlink" Target="https://codesommet.com/web-development-company/lagos" TargetMode="External" Id="rId393"/><Relationship Type="http://schemas.openxmlformats.org/officeDocument/2006/relationships/hyperlink" Target="https://codesommet.com/web-development-company/lagos" TargetMode="External" Id="rId394"/></Relationships>
</file>

<file path=xl/worksheets/_rels/sheet9.xml.rels><Relationships xmlns="http://schemas.openxmlformats.org/package/2006/relationships"><Relationship Type="http://schemas.openxmlformats.org/officeDocument/2006/relationships/hyperlink" Target="#'01 Executive Summary'!A1" TargetMode="External" Id="rId1"/><Relationship Type="http://schemas.openxmlformats.org/officeDocument/2006/relationships/hyperlink" Target="https://codesommet.com/" TargetMode="External" Id="rId2"/><Relationship Type="http://schemas.openxmlformats.org/officeDocument/2006/relationships/hyperlink" Target="https://codesommet.com/locations" TargetMode="External" Id="rId3"/><Relationship Type="http://schemas.openxmlformats.org/officeDocument/2006/relationships/hyperlink" Target="https://codesommet.com/" TargetMode="External" Id="rId4"/><Relationship Type="http://schemas.openxmlformats.org/officeDocument/2006/relationships/hyperlink" Target="https://codesommet.com/our-work" TargetMode="External" Id="rId5"/><Relationship Type="http://schemas.openxmlformats.org/officeDocument/2006/relationships/hyperlink" Target="https://codesommet.com/" TargetMode="External" Id="rId6"/><Relationship Type="http://schemas.openxmlformats.org/officeDocument/2006/relationships/hyperlink" Target="https://codesommet.com/contact" TargetMode="External" Id="rId7"/><Relationship Type="http://schemas.openxmlformats.org/officeDocument/2006/relationships/hyperlink" Target="https://codesommet.com/" TargetMode="External" Id="rId8"/><Relationship Type="http://schemas.openxmlformats.org/officeDocument/2006/relationships/hyperlink" Target="https://codesommet.com/about" TargetMode="External" Id="rId9"/><Relationship Type="http://schemas.openxmlformats.org/officeDocument/2006/relationships/hyperlink" Target="https://codesommet.com/" TargetMode="External" Id="rId10"/><Relationship Type="http://schemas.openxmlformats.org/officeDocument/2006/relationships/hyperlink" Target="https://codesommet.com/web-development-company/worldwide" TargetMode="External" Id="rId11"/><Relationship Type="http://schemas.openxmlformats.org/officeDocument/2006/relationships/hyperlink" Target="https://codesommet.com/services/seo-maroc" TargetMode="External" Id="rId12"/><Relationship Type="http://schemas.openxmlformats.org/officeDocument/2006/relationships/hyperlink" Target="https://codesommet.com/web-development-company/marrakech" TargetMode="External" Id="rId13"/><Relationship Type="http://schemas.openxmlformats.org/officeDocument/2006/relationships/hyperlink" Target="https://codesommet.com/services/seo-maroc" TargetMode="External" Id="rId14"/><Relationship Type="http://schemas.openxmlformats.org/officeDocument/2006/relationships/hyperlink" Target="https://codesommet.com/web-development-company/casablanca" TargetMode="External" Id="rId15"/><Relationship Type="http://schemas.openxmlformats.org/officeDocument/2006/relationships/hyperlink" Target="https://codesommet.com/services/healthcare-website-development" TargetMode="External" Id="rId16"/><Relationship Type="http://schemas.openxmlformats.org/officeDocument/2006/relationships/hyperlink" Target="https://codesommet.com/services/telemedicine-website-development" TargetMode="External" Id="rId17"/><Relationship Type="http://schemas.openxmlformats.org/officeDocument/2006/relationships/hyperlink" Target="https://codesommet.com/services/telemedicine-platform-development" TargetMode="External" Id="rId18"/><Relationship Type="http://schemas.openxmlformats.org/officeDocument/2006/relationships/hyperlink" Target="https://codesommet.com/services/telemedicine-website-development" TargetMode="External" Id="rId19"/><Relationship Type="http://schemas.openxmlformats.org/officeDocument/2006/relationships/hyperlink" Target="https://codesommet.com/services/telemedicine-website-development" TargetMode="External" Id="rId20"/><Relationship Type="http://schemas.openxmlformats.org/officeDocument/2006/relationships/hyperlink" Target="https://codesommet.com/blog/site-web-telemedecine-cabinet-clinique-que-doit-il-contenir" TargetMode="External" Id="rId21"/><Relationship Type="http://schemas.openxmlformats.org/officeDocument/2006/relationships/hyperlink" Target="https://codesommet.com/services/elearning-platform-development" TargetMode="External" Id="rId22"/><Relationship Type="http://schemas.openxmlformats.org/officeDocument/2006/relationships/hyperlink" Target="https://codesommet.com/services/online-course-platform-development" TargetMode="External" Id="rId23"/><Relationship Type="http://schemas.openxmlformats.org/officeDocument/2006/relationships/hyperlink" Target="https://codesommet.com/services/elearning-platform-development" TargetMode="External" Id="rId24"/><Relationship Type="http://schemas.openxmlformats.org/officeDocument/2006/relationships/hyperlink" Target="https://codesommet.com/services/edtech-platform-development" TargetMode="External" Id="rId25"/><Relationship Type="http://schemas.openxmlformats.org/officeDocument/2006/relationships/hyperlink" Target="https://codesommet.com/services/elearning-platform-development" TargetMode="External" Id="rId26"/><Relationship Type="http://schemas.openxmlformats.org/officeDocument/2006/relationships/hyperlink" Target="https://codesommet.com/blog/lms-sur-mesure-ou-produit-edtech-quelle-plateforme-e-learning" TargetMode="External" Id="rId27"/><Relationship Type="http://schemas.openxmlformats.org/officeDocument/2006/relationships/hyperlink" Target="https://codesommet.com/services/education-website-development" TargetMode="External" Id="rId28"/><Relationship Type="http://schemas.openxmlformats.org/officeDocument/2006/relationships/hyperlink" Target="https://codesommet.com/services/university-website-development" TargetMode="External" Id="rId29"/><Relationship Type="http://schemas.openxmlformats.org/officeDocument/2006/relationships/hyperlink" Target="https://codesommet.com/services/education-website-development" TargetMode="External" Id="rId30"/><Relationship Type="http://schemas.openxmlformats.org/officeDocument/2006/relationships/hyperlink" Target="https://codesommet.com/services/elearning-platform-development" TargetMode="External" Id="rId31"/><Relationship Type="http://schemas.openxmlformats.org/officeDocument/2006/relationships/hyperlink" Target="https://codesommet.com/services/study-abroad-website-development" TargetMode="External" Id="rId32"/><Relationship Type="http://schemas.openxmlformats.org/officeDocument/2006/relationships/hyperlink" Target="https://codesommet.com/services/immigration-consultancy-website-development" TargetMode="External" Id="rId33"/><Relationship Type="http://schemas.openxmlformats.org/officeDocument/2006/relationships/hyperlink" Target="https://codesommet.com/services/fintech-platform-development" TargetMode="External" Id="rId34"/><Relationship Type="http://schemas.openxmlformats.org/officeDocument/2006/relationships/hyperlink" Target="https://codesommet.com/services/fintech-website-development" TargetMode="External" Id="rId35"/><Relationship Type="http://schemas.openxmlformats.org/officeDocument/2006/relationships/hyperlink" Target="https://codesommet.com/services/fintech-website-development" TargetMode="External" Id="rId36"/><Relationship Type="http://schemas.openxmlformats.org/officeDocument/2006/relationships/hyperlink" Target="https://codesommet.com/blog/site-web-fintech-7-elements-qui-rassurent-un-visiteur" TargetMode="External" Id="rId37"/><Relationship Type="http://schemas.openxmlformats.org/officeDocument/2006/relationships/hyperlink" Target="https://codesommet.com/services/saas-platform-development" TargetMode="External" Id="rId38"/><Relationship Type="http://schemas.openxmlformats.org/officeDocument/2006/relationships/hyperlink" Target="https://codesommet.com/blog/creer-une-plateforme-saas-mvp-multi-tenant-facturation-par-ou-commencer" TargetMode="External" Id="rId39"/><Relationship Type="http://schemas.openxmlformats.org/officeDocument/2006/relationships/hyperlink" Target="https://codesommet.com/services/saas-platform-development" TargetMode="External" Id="rId40"/><Relationship Type="http://schemas.openxmlformats.org/officeDocument/2006/relationships/hyperlink" Target="https://codesommet.com/our-work/hssabek" TargetMode="External" Id="rId41"/><Relationship Type="http://schemas.openxmlformats.org/officeDocument/2006/relationships/hyperlink" Target="https://codesommet.com/services/real-estate-website-development" TargetMode="External" Id="rId42"/><Relationship Type="http://schemas.openxmlformats.org/officeDocument/2006/relationships/hyperlink" Target="https://codesommet.com/blog/site-immobilier-structurer-les-annonces-pour-le-seo-et-la-conversion" TargetMode="External" Id="rId43"/><Relationship Type="http://schemas.openxmlformats.org/officeDocument/2006/relationships/hyperlink" Target="https://codesommet.com/our-work/morocco-quest" TargetMode="External" Id="rId44"/><Relationship Type="http://schemas.openxmlformats.org/officeDocument/2006/relationships/hyperlink" Target="https://codesommet.com/our-work/authentic-morocco-adventures" TargetMode="External" Id="rId45"/><Relationship Type="http://schemas.openxmlformats.org/officeDocument/2006/relationships/hyperlink" Target="https://codesommet.com/tools/robots-txt-generator" TargetMode="External" Id="rId46"/><Relationship Type="http://schemas.openxmlformats.org/officeDocument/2006/relationships/hyperlink" Target="https://codesommet.com/tools/robots-txt-tester" TargetMode="External" Id="rId47"/><Relationship Type="http://schemas.openxmlformats.org/officeDocument/2006/relationships/hyperlink" Target="https://codesommet.com/tools/robots-txt-tester" TargetMode="External" Id="rId48"/><Relationship Type="http://schemas.openxmlformats.org/officeDocument/2006/relationships/hyperlink" Target="https://codesommet.com/tools/robots-validator" TargetMode="External" Id="rId49"/><Relationship Type="http://schemas.openxmlformats.org/officeDocument/2006/relationships/hyperlink" Target="https://codesommet.com/tools/xml-sitemap-generator" TargetMode="External" Id="rId50"/><Relationship Type="http://schemas.openxmlformats.org/officeDocument/2006/relationships/hyperlink" Target="https://codesommet.com/tools/sitemap-validator" TargetMode="External" Id="rId51"/><Relationship Type="http://schemas.openxmlformats.org/officeDocument/2006/relationships/hyperlink" Target="https://codesommet.com/tools/schema-generator" TargetMode="External" Id="rId52"/><Relationship Type="http://schemas.openxmlformats.org/officeDocument/2006/relationships/hyperlink" Target="https://codesommet.com/tools/structured-data-extractor" TargetMode="External" Id="rId53"/><Relationship Type="http://schemas.openxmlformats.org/officeDocument/2006/relationships/hyperlink" Target="https://codesommet.com/tools/schema-generator" TargetMode="External" Id="rId54"/><Relationship Type="http://schemas.openxmlformats.org/officeDocument/2006/relationships/hyperlink" Target="https://codesommet.com/tools/faq-schema-generator" TargetMode="External" Id="rId55"/><Relationship Type="http://schemas.openxmlformats.org/officeDocument/2006/relationships/hyperlink" Target="https://codesommet.com/tools/page-speed-analyzer" TargetMode="External" Id="rId56"/><Relationship Type="http://schemas.openxmlformats.org/officeDocument/2006/relationships/hyperlink" Target="https://codesommet.com/tools/core-web-vitals-checker" TargetMode="External" Id="rId57"/><Relationship Type="http://schemas.openxmlformats.org/officeDocument/2006/relationships/hyperlink" Target="https://codesommet.com/tools/image-compressor" TargetMode="External" Id="rId58"/><Relationship Type="http://schemas.openxmlformats.org/officeDocument/2006/relationships/hyperlink" Target="https://codesommet.com/tools/image-compression-analyzer" TargetMode="External" Id="rId59"/><Relationship Type="http://schemas.openxmlformats.org/officeDocument/2006/relationships/hyperlink" Target="https://codesommet.com/tools/internal-link-analyzer" TargetMode="External" Id="rId60"/><Relationship Type="http://schemas.openxmlformats.org/officeDocument/2006/relationships/hyperlink" Target="https://codesommet.com/tools/crawl-visualizer" TargetMode="External" Id="rId61"/><Relationship Type="http://schemas.openxmlformats.org/officeDocument/2006/relationships/hyperlink" Target="https://codesommet.com/tools/ssl-certificate-checker" TargetMode="External" Id="rId62"/><Relationship Type="http://schemas.openxmlformats.org/officeDocument/2006/relationships/hyperlink" Target="https://codesommet.com/tools/domain-health-checker" TargetMode="External" Id="rId63"/><Relationship Type="http://schemas.openxmlformats.org/officeDocument/2006/relationships/hyperlink" Target="https://codesommet.com/tools/website-analyzer" TargetMode="External" Id="rId64"/><Relationship Type="http://schemas.openxmlformats.org/officeDocument/2006/relationships/hyperlink" Target="https://codesommet.com/tools/website-readiness-checker" TargetMode="External" Id="rId65"/><Relationship Type="http://schemas.openxmlformats.org/officeDocument/2006/relationships/hyperlink" Target="https://codesommet.com/tools/html-minifier" TargetMode="External" Id="rId66"/><Relationship Type="http://schemas.openxmlformats.org/officeDocument/2006/relationships/hyperlink" Target="https://codesommet.com/tools/css-minifier" TargetMode="External" Id="rId67"/><Relationship Type="http://schemas.openxmlformats.org/officeDocument/2006/relationships/hyperlink" Target="https://codesommet.com/web-development-company/worldwide" TargetMode="External" Id="rId68"/></Relationships>
</file>

<file path=xl/worksheets/_rels/sheet10.xml.rels><Relationships xmlns="http://schemas.openxmlformats.org/package/2006/relationships"><Relationship Type="http://schemas.openxmlformats.org/officeDocument/2006/relationships/hyperlink" Target="#'01 Executive Summary'!A1" TargetMode="External" Id="rId1"/><Relationship Type="http://schemas.openxmlformats.org/officeDocument/2006/relationships/hyperlink" Target="https://codesommet.com/" TargetMode="External" Id="rId2"/><Relationship Type="http://schemas.openxmlformats.org/officeDocument/2006/relationships/hyperlink" Target="https://codesommet.com/services/ecommerce-website-development" TargetMode="External" Id="rId3"/><Relationship Type="http://schemas.openxmlformats.org/officeDocument/2006/relationships/hyperlink" Target="https://codesommet.com/services/ecommerce-website-development" TargetMode="External" Id="rId4"/><Relationship Type="http://schemas.openxmlformats.org/officeDocument/2006/relationships/hyperlink" Target="https://codesommet.com/web-development-company/worldwide" TargetMode="External" Id="rId5"/><Relationship Type="http://schemas.openxmlformats.org/officeDocument/2006/relationships/hyperlink" Target="https://codesommet.com/services/saas-platform-development" TargetMode="External" Id="rId6"/><Relationship Type="http://schemas.openxmlformats.org/officeDocument/2006/relationships/hyperlink" Target="https://codesommet.com/" TargetMode="External" Id="rId7"/><Relationship Type="http://schemas.openxmlformats.org/officeDocument/2006/relationships/hyperlink" Target="https://codesommet.com/" TargetMode="External" Id="rId8"/><Relationship Type="http://schemas.openxmlformats.org/officeDocument/2006/relationships/hyperlink" Target="https://codesommet.com/services/seo-maroc" TargetMode="External" Id="rId9"/><Relationship Type="http://schemas.openxmlformats.org/officeDocument/2006/relationships/hyperlink" Target="https://codesommet.com/tools/website-analyzer" TargetMode="External" Id="rId10"/><Relationship Type="http://schemas.openxmlformats.org/officeDocument/2006/relationships/hyperlink" Target="https://codesommet.com/services/healthcare-website-development" TargetMode="External" Id="rId11"/><Relationship Type="http://schemas.openxmlformats.org/officeDocument/2006/relationships/hyperlink" Target="https://codesommet.com/" TargetMode="External" Id="rId12"/><Relationship Type="http://schemas.openxmlformats.org/officeDocument/2006/relationships/hyperlink" Target="https://codesommet.com/web-development-company/marrakech" TargetMode="External" Id="rId13"/><Relationship Type="http://schemas.openxmlformats.org/officeDocument/2006/relationships/hyperlink" Target="https://codesommet.com/blog" TargetMode="External" Id="rId14"/></Relationships>
</file>

<file path=xl/worksheets/_rels/sheet11.xml.rels><Relationships xmlns="http://schemas.openxmlformats.org/package/2006/relationships"><Relationship Type="http://schemas.openxmlformats.org/officeDocument/2006/relationships/hyperlink" Target="#'01 Executive Summary'!A1" TargetMode="External" Id="rId1"/><Relationship Type="http://schemas.openxmlformats.org/officeDocument/2006/relationships/hyperlink" Target="https://codesommet.com/" TargetMode="External" Id="rId2"/><Relationship Type="http://schemas.openxmlformats.org/officeDocument/2006/relationships/hyperlink" Target="https://codesommet.com/" TargetMode="External" Id="rId3"/><Relationship Type="http://schemas.openxmlformats.org/officeDocument/2006/relationships/hyperlink" Target="https://codesommet.com/" TargetMode="External" Id="rId4"/><Relationship Type="http://schemas.openxmlformats.org/officeDocument/2006/relationships/hyperlink" Target="https://codesommet.com/get-quote" TargetMode="External" Id="rId5"/><Relationship Type="http://schemas.openxmlformats.org/officeDocument/2006/relationships/hyperlink" Target="https://codesommet.com/services/ecommerce-website-development" TargetMode="External" Id="rId6"/><Relationship Type="http://schemas.openxmlformats.org/officeDocument/2006/relationships/hyperlink" Target="https://codesommet.com/services/ecommerce-website-development" TargetMode="External" Id="rId7"/><Relationship Type="http://schemas.openxmlformats.org/officeDocument/2006/relationships/hyperlink" Target="https://codesommet.com/services/seo-maroc" TargetMode="External" Id="rId8"/><Relationship Type="http://schemas.openxmlformats.org/officeDocument/2006/relationships/hyperlink" Target="https://codesommet.com/services/seo-maroc" TargetMode="External" Id="rId9"/><Relationship Type="http://schemas.openxmlformats.org/officeDocument/2006/relationships/hyperlink" Target="https://codesommet.com/services/seo-maroc" TargetMode="External" Id="rId10"/><Relationship Type="http://schemas.openxmlformats.org/officeDocument/2006/relationships/hyperlink" Target="https://codesommet.com/tools/website-analyzer" TargetMode="External" Id="rId11"/><Relationship Type="http://schemas.openxmlformats.org/officeDocument/2006/relationships/hyperlink" Target="https://codesommet.com/web-development-company/casablanca" TargetMode="External" Id="rId12"/><Relationship Type="http://schemas.openxmlformats.org/officeDocument/2006/relationships/hyperlink" Target="https://codesommet.com/web-development-company/marrakech" TargetMode="External" Id="rId13"/><Relationship Type="http://schemas.openxmlformats.org/officeDocument/2006/relationships/hyperlink" Target="https://codesommet.com/web-development-company/worldwide" TargetMode="External" Id="rId14"/><Relationship Type="http://schemas.openxmlformats.org/officeDocument/2006/relationships/hyperlink" Target="https://codesommet.com/" TargetMode="External" Id="rId15"/><Relationship Type="http://schemas.openxmlformats.org/officeDocument/2006/relationships/hyperlink" Target="https://codesommet.com/" TargetMode="External" Id="rId16"/><Relationship Type="http://schemas.openxmlformats.org/officeDocument/2006/relationships/hyperlink" Target="https://codesommet.com/" TargetMode="External" Id="rId17"/><Relationship Type="http://schemas.openxmlformats.org/officeDocument/2006/relationships/hyperlink" Target="https://codesommet.com/blog/site-web-fintech-7-elements-qui-rassurent-un-visiteur" TargetMode="External" Id="rId18"/><Relationship Type="http://schemas.openxmlformats.org/officeDocument/2006/relationships/hyperlink" Target="https://codesommet.com/our-work/akoubri" TargetMode="External" Id="rId19"/><Relationship Type="http://schemas.openxmlformats.org/officeDocument/2006/relationships/hyperlink" Target="https://codesommet.com/our-work/authentic-morocco-adventures" TargetMode="External" Id="rId20"/><Relationship Type="http://schemas.openxmlformats.org/officeDocument/2006/relationships/hyperlink" Target="https://codesommet.com/our-work/glamworlds" TargetMode="External" Id="rId21"/><Relationship Type="http://schemas.openxmlformats.org/officeDocument/2006/relationships/hyperlink" Target="https://codesommet.com/our-work/morocco-quest" TargetMode="External" Id="rId22"/><Relationship Type="http://schemas.openxmlformats.org/officeDocument/2006/relationships/hyperlink" Target="https://codesommet.com/our-work/morocco-quest" TargetMode="External" Id="rId23"/><Relationship Type="http://schemas.openxmlformats.org/officeDocument/2006/relationships/hyperlink" Target="https://codesommet.com/services/ecommerce-website-development" TargetMode="External" Id="rId24"/><Relationship Type="http://schemas.openxmlformats.org/officeDocument/2006/relationships/hyperlink" Target="https://codesommet.com/services/fintech-website-development" TargetMode="External" Id="rId25"/><Relationship Type="http://schemas.openxmlformats.org/officeDocument/2006/relationships/hyperlink" Target="https://codesommet.com/services/healthcare-website-development" TargetMode="External" Id="rId26"/><Relationship Type="http://schemas.openxmlformats.org/officeDocument/2006/relationships/hyperlink" Target="https://codesommet.com/services/healthcare-website-development" TargetMode="External" Id="rId27"/><Relationship Type="http://schemas.openxmlformats.org/officeDocument/2006/relationships/hyperlink" Target="https://codesommet.com/services/language-school-website-development" TargetMode="External" Id="rId28"/><Relationship Type="http://schemas.openxmlformats.org/officeDocument/2006/relationships/hyperlink" Target="https://codesommet.com/services/online-course-platform-development" TargetMode="External" Id="rId29"/><Relationship Type="http://schemas.openxmlformats.org/officeDocument/2006/relationships/hyperlink" Target="https://codesommet.com/services/real-estate-website-development" TargetMode="External" Id="rId30"/><Relationship Type="http://schemas.openxmlformats.org/officeDocument/2006/relationships/hyperlink" Target="https://codesommet.com/services/real-estate-website-development" TargetMode="External" Id="rId31"/><Relationship Type="http://schemas.openxmlformats.org/officeDocument/2006/relationships/hyperlink" Target="https://codesommet.com/services/saas-platform-development" TargetMode="External" Id="rId32"/><Relationship Type="http://schemas.openxmlformats.org/officeDocument/2006/relationships/hyperlink" Target="https://codesommet.com/services/seo-maroc" TargetMode="External" Id="rId33"/><Relationship Type="http://schemas.openxmlformats.org/officeDocument/2006/relationships/hyperlink" Target="https://codesommet.com/services/telemedicine-platform-development" TargetMode="External" Id="rId34"/><Relationship Type="http://schemas.openxmlformats.org/officeDocument/2006/relationships/hyperlink" Target="https://codesommet.com/services/telemedicine-platform-development" TargetMode="External" Id="rId35"/><Relationship Type="http://schemas.openxmlformats.org/officeDocument/2006/relationships/hyperlink" Target="https://codesommet.com/tools/ai-readiness-checker" TargetMode="External" Id="rId36"/><Relationship Type="http://schemas.openxmlformats.org/officeDocument/2006/relationships/hyperlink" Target="https://codesommet.com/tools/broken-link-checker" TargetMode="External" Id="rId37"/><Relationship Type="http://schemas.openxmlformats.org/officeDocument/2006/relationships/hyperlink" Target="https://codesommet.com/tools/duplicate-content-checker" TargetMode="External" Id="rId38"/><Relationship Type="http://schemas.openxmlformats.org/officeDocument/2006/relationships/hyperlink" Target="https://codesommet.com/tools/image-compressor" TargetMode="External" Id="rId39"/><Relationship Type="http://schemas.openxmlformats.org/officeDocument/2006/relationships/hyperlink" Target="https://codesommet.com/tools/image-compressor" TargetMode="External" Id="rId40"/><Relationship Type="http://schemas.openxmlformats.org/officeDocument/2006/relationships/hyperlink" Target="https://codesommet.com/tools/internal-link-analyzer" TargetMode="External" Id="rId41"/><Relationship Type="http://schemas.openxmlformats.org/officeDocument/2006/relationships/hyperlink" Target="https://codesommet.com/tools/json-formatter" TargetMode="External" Id="rId42"/><Relationship Type="http://schemas.openxmlformats.org/officeDocument/2006/relationships/hyperlink" Target="https://codesommet.com/tools/landing-page-generator" TargetMode="External" Id="rId43"/><Relationship Type="http://schemas.openxmlformats.org/officeDocument/2006/relationships/hyperlink" Target="https://codesommet.com/tools/structured-data-extractor" TargetMode="External" Id="rId44"/><Relationship Type="http://schemas.openxmlformats.org/officeDocument/2006/relationships/hyperlink" Target="https://codesommet.com/tools/text-case-converter" TargetMode="External" Id="rId45"/><Relationship Type="http://schemas.openxmlformats.org/officeDocument/2006/relationships/hyperlink" Target="https://codesommet.com/tools/text-case-converter" TargetMode="External" Id="rId46"/><Relationship Type="http://schemas.openxmlformats.org/officeDocument/2006/relationships/hyperlink" Target="https://codesommet.com/tools/utm-builder" TargetMode="External" Id="rId47"/><Relationship Type="http://schemas.openxmlformats.org/officeDocument/2006/relationships/hyperlink" Target="https://codesommet.com/tools/website-analyzer" TargetMode="External" Id="rId48"/><Relationship Type="http://schemas.openxmlformats.org/officeDocument/2006/relationships/hyperlink" Target="https://codesommet.com/tools/website-analyzer" TargetMode="External" Id="rId49"/><Relationship Type="http://schemas.openxmlformats.org/officeDocument/2006/relationships/hyperlink" Target="https://codesommet.com/web-development-company/agadir" TargetMode="External" Id="rId50"/><Relationship Type="http://schemas.openxmlformats.org/officeDocument/2006/relationships/hyperlink" Target="https://codesommet.com/web-development-company/brussels" TargetMode="External" Id="rId51"/><Relationship Type="http://schemas.openxmlformats.org/officeDocument/2006/relationships/hyperlink" Target="https://codesommet.com/web-development-company/casablanca" TargetMode="External" Id="rId52"/><Relationship Type="http://schemas.openxmlformats.org/officeDocument/2006/relationships/hyperlink" Target="https://codesommet.com/web-development-company/casablanca" TargetMode="External" Id="rId53"/><Relationship Type="http://schemas.openxmlformats.org/officeDocument/2006/relationships/hyperlink" Target="https://codesommet.com/web-development-company/marrakech" TargetMode="External" Id="rId54"/><Relationship Type="http://schemas.openxmlformats.org/officeDocument/2006/relationships/hyperlink" Target="https://codesommet.com/web-development-company/marrakech" TargetMode="External" Id="rId55"/><Relationship Type="http://schemas.openxmlformats.org/officeDocument/2006/relationships/hyperlink" Target="https://codesommet.com/web-development-company/rabat" TargetMode="External" Id="rId56"/><Relationship Type="http://schemas.openxmlformats.org/officeDocument/2006/relationships/hyperlink" Target="https://codesommet.com/web-development-company/tangier" TargetMode="External" Id="rId57"/><Relationship Type="http://schemas.openxmlformats.org/officeDocument/2006/relationships/hyperlink" Target="https://codesommet.com/about" TargetMode="External" Id="rId58"/><Relationship Type="http://schemas.openxmlformats.org/officeDocument/2006/relationships/hyperlink" Target="https://codesommet.com/contact" TargetMode="External" Id="rId59"/><Relationship Type="http://schemas.openxmlformats.org/officeDocument/2006/relationships/hyperlink" Target="https://codesommet.com/get-quote" TargetMode="External" Id="rId60"/><Relationship Type="http://schemas.openxmlformats.org/officeDocument/2006/relationships/hyperlink" Target="https://codesommet.com/our-work/gls-sprachenzentrum" TargetMode="External" Id="rId61"/><Relationship Type="http://schemas.openxmlformats.org/officeDocument/2006/relationships/hyperlink" Target="https://codesommet.com/services/ecommerce-website-development" TargetMode="External" Id="rId62"/><Relationship Type="http://schemas.openxmlformats.org/officeDocument/2006/relationships/hyperlink" Target="https://codesommet.com/services/elearning-platform-development" TargetMode="External" Id="rId63"/><Relationship Type="http://schemas.openxmlformats.org/officeDocument/2006/relationships/hyperlink" Target="https://codesommet.com/services/fintech-platform-development" TargetMode="External" Id="rId64"/><Relationship Type="http://schemas.openxmlformats.org/officeDocument/2006/relationships/hyperlink" Target="https://codesommet.com/services/online-course-platform-development" TargetMode="External" Id="rId65"/><Relationship Type="http://schemas.openxmlformats.org/officeDocument/2006/relationships/hyperlink" Target="https://codesommet.com/services/saas-platform-development" TargetMode="External" Id="rId66"/><Relationship Type="http://schemas.openxmlformats.org/officeDocument/2006/relationships/hyperlink" Target="https://codesommet.com/services/seo-maroc" TargetMode="External" Id="rId67"/><Relationship Type="http://schemas.openxmlformats.org/officeDocument/2006/relationships/hyperlink" Target="https://codesommet.com/tools/css-minifier" TargetMode="External" Id="rId68"/><Relationship Type="http://schemas.openxmlformats.org/officeDocument/2006/relationships/hyperlink" Target="https://codesommet.com/tools/invisible-character-cleaner" TargetMode="External" Id="rId69"/><Relationship Type="http://schemas.openxmlformats.org/officeDocument/2006/relationships/hyperlink" Target="https://codesommet.com/tools/qr-code-generator" TargetMode="External" Id="rId70"/><Relationship Type="http://schemas.openxmlformats.org/officeDocument/2006/relationships/hyperlink" Target="https://codesommet.com/tools/website-analyzer" TargetMode="External" Id="rId71"/><Relationship Type="http://schemas.openxmlformats.org/officeDocument/2006/relationships/hyperlink" Target="https://codesommet.com/tools/website-analyzer" TargetMode="External" Id="rId72"/><Relationship Type="http://schemas.openxmlformats.org/officeDocument/2006/relationships/hyperlink" Target="https://codesommet.com/web-development-company/agadir" TargetMode="External" Id="rId73"/><Relationship Type="http://schemas.openxmlformats.org/officeDocument/2006/relationships/hyperlink" Target="https://codesommet.com/web-development-company/casablanca" TargetMode="External" Id="rId74"/><Relationship Type="http://schemas.openxmlformats.org/officeDocument/2006/relationships/hyperlink" Target="https://codesommet.com/web-development-company/marrakech" TargetMode="External" Id="rId75"/><Relationship Type="http://schemas.openxmlformats.org/officeDocument/2006/relationships/hyperlink" Target="https://codesommet.com/web-development-company/rabat" TargetMode="External" Id="rId76"/><Relationship Type="http://schemas.openxmlformats.org/officeDocument/2006/relationships/hyperlink" Target="https://codesommet.com/web-development-company/tangier" TargetMode="External" Id="rId77"/><Relationship Type="http://schemas.openxmlformats.org/officeDocument/2006/relationships/hyperlink" Target="https://codesommet.com/web-development-company/worldwide" TargetMode="External" Id="rId78"/><Relationship Type="http://schemas.openxmlformats.org/officeDocument/2006/relationships/hyperlink" Target="https://codesommet.com/blog/creer-une-plateforme-saas-mvp-multi-tenant-facturation-par-ou-commencer" TargetMode="External" Id="rId79"/><Relationship Type="http://schemas.openxmlformats.org/officeDocument/2006/relationships/hyperlink" Target="https://codesommet.com/blog/lms-sur-mesure-ou-produit-edtech-quelle-plateforme-e-learning" TargetMode="External" Id="rId80"/><Relationship Type="http://schemas.openxmlformats.org/officeDocument/2006/relationships/hyperlink" Target="https://codesommet.com/blog/site-immobilier-structurer-les-annonces-pour-le-seo-et-la-conversion" TargetMode="External" Id="rId81"/><Relationship Type="http://schemas.openxmlformats.org/officeDocument/2006/relationships/hyperlink" Target="https://codesommet.com/blog/site-web-fintech-7-elements-qui-rassurent-un-visiteur" TargetMode="External" Id="rId82"/><Relationship Type="http://schemas.openxmlformats.org/officeDocument/2006/relationships/hyperlink" Target="https://codesommet.com/blog/site-web-telemedecine-cabinet-clinique-que-doit-il-contenir" TargetMode="External" Id="rId83"/><Relationship Type="http://schemas.openxmlformats.org/officeDocument/2006/relationships/hyperlink" Target="https://codesommet.com/legal/refund-policy" TargetMode="External" Id="rId84"/><Relationship Type="http://schemas.openxmlformats.org/officeDocument/2006/relationships/hyperlink" Target="https://codesommet.com/legal/terms-of-service" TargetMode="External" Id="rId85"/><Relationship Type="http://schemas.openxmlformats.org/officeDocument/2006/relationships/hyperlink" Target="https://codesommet.com/our-work/akoubri" TargetMode="External" Id="rId86"/><Relationship Type="http://schemas.openxmlformats.org/officeDocument/2006/relationships/hyperlink" Target="https://codesommet.com/our-work/gls-sprachenzentrum" TargetMode="External" Id="rId87"/><Relationship Type="http://schemas.openxmlformats.org/officeDocument/2006/relationships/hyperlink" Target="https://codesommet.com/services/edtech-platform-development" TargetMode="External" Id="rId88"/><Relationship Type="http://schemas.openxmlformats.org/officeDocument/2006/relationships/hyperlink" Target="https://codesommet.com/services/education-website-development" TargetMode="External" Id="rId89"/><Relationship Type="http://schemas.openxmlformats.org/officeDocument/2006/relationships/hyperlink" Target="https://codesommet.com/services/elearning-platform-development" TargetMode="External" Id="rId90"/><Relationship Type="http://schemas.openxmlformats.org/officeDocument/2006/relationships/hyperlink" Target="https://codesommet.com/services/fintech-platform-development" TargetMode="External" Id="rId91"/><Relationship Type="http://schemas.openxmlformats.org/officeDocument/2006/relationships/hyperlink" Target="https://codesommet.com/services/fintech-website-development" TargetMode="External" Id="rId92"/><Relationship Type="http://schemas.openxmlformats.org/officeDocument/2006/relationships/hyperlink" Target="https://codesommet.com/services/healthcare-website-development" TargetMode="External" Id="rId93"/><Relationship Type="http://schemas.openxmlformats.org/officeDocument/2006/relationships/hyperlink" Target="https://codesommet.com/services/healthcare-website-development" TargetMode="External" Id="rId94"/><Relationship Type="http://schemas.openxmlformats.org/officeDocument/2006/relationships/hyperlink" Target="https://codesommet.com/services/immigration-consultancy-website-development" TargetMode="External" Id="rId95"/><Relationship Type="http://schemas.openxmlformats.org/officeDocument/2006/relationships/hyperlink" Target="https://codesommet.com/services/language-school-website-development" TargetMode="External" Id="rId96"/><Relationship Type="http://schemas.openxmlformats.org/officeDocument/2006/relationships/hyperlink" Target="https://codesommet.com/services/online-course-platform-development" TargetMode="External" Id="rId97"/><Relationship Type="http://schemas.openxmlformats.org/officeDocument/2006/relationships/hyperlink" Target="https://codesommet.com/services/real-estate-website-development" TargetMode="External" Id="rId98"/><Relationship Type="http://schemas.openxmlformats.org/officeDocument/2006/relationships/hyperlink" Target="https://codesommet.com/services/saas-platform-development" TargetMode="External" Id="rId99"/><Relationship Type="http://schemas.openxmlformats.org/officeDocument/2006/relationships/hyperlink" Target="https://codesommet.com/services/seo-maroc" TargetMode="External" Id="rId100"/><Relationship Type="http://schemas.openxmlformats.org/officeDocument/2006/relationships/hyperlink" Target="https://codesommet.com/services/study-abroad-website-development" TargetMode="External" Id="rId101"/><Relationship Type="http://schemas.openxmlformats.org/officeDocument/2006/relationships/hyperlink" Target="https://codesommet.com/services/telemedicine-platform-development" TargetMode="External" Id="rId102"/><Relationship Type="http://schemas.openxmlformats.org/officeDocument/2006/relationships/hyperlink" Target="https://codesommet.com/services/telemedicine-website-development" TargetMode="External" Id="rId103"/><Relationship Type="http://schemas.openxmlformats.org/officeDocument/2006/relationships/hyperlink" Target="https://codesommet.com/services/telemedicine-website-development" TargetMode="External" Id="rId104"/><Relationship Type="http://schemas.openxmlformats.org/officeDocument/2006/relationships/hyperlink" Target="https://codesommet.com/services/university-website-development" TargetMode="External" Id="rId105"/><Relationship Type="http://schemas.openxmlformats.org/officeDocument/2006/relationships/hyperlink" Target="https://codesommet.com/web-development-company/abudhabi" TargetMode="External" Id="rId106"/><Relationship Type="http://schemas.openxmlformats.org/officeDocument/2006/relationships/hyperlink" Target="https://codesommet.com/web-development-company/amsterdam" TargetMode="External" Id="rId107"/><Relationship Type="http://schemas.openxmlformats.org/officeDocument/2006/relationships/hyperlink" Target="https://codesommet.com/web-development-company/austin" TargetMode="External" Id="rId108"/><Relationship Type="http://schemas.openxmlformats.org/officeDocument/2006/relationships/hyperlink" Target="https://codesommet.com/web-development-company/barcelona" TargetMode="External" Id="rId109"/><Relationship Type="http://schemas.openxmlformats.org/officeDocument/2006/relationships/hyperlink" Target="https://codesommet.com/web-development-company/berlin" TargetMode="External" Id="rId110"/><Relationship Type="http://schemas.openxmlformats.org/officeDocument/2006/relationships/hyperlink" Target="https://codesommet.com/web-development-company/boston" TargetMode="External" Id="rId111"/><Relationship Type="http://schemas.openxmlformats.org/officeDocument/2006/relationships/hyperlink" Target="https://codesommet.com/web-development-company/brussels" TargetMode="External" Id="rId112"/><Relationship Type="http://schemas.openxmlformats.org/officeDocument/2006/relationships/hyperlink" Target="https://codesommet.com/web-development-company/cairo" TargetMode="External" Id="rId113"/><Relationship Type="http://schemas.openxmlformats.org/officeDocument/2006/relationships/hyperlink" Target="https://codesommet.com/web-development-company/chicago" TargetMode="External" Id="rId114"/><Relationship Type="http://schemas.openxmlformats.org/officeDocument/2006/relationships/hyperlink" Target="https://codesommet.com/web-development-company/copenhagen" TargetMode="External" Id="rId115"/><Relationship Type="http://schemas.openxmlformats.org/officeDocument/2006/relationships/hyperlink" Target="https://codesommet.com/web-development-company/denver" TargetMode="External" Id="rId116"/><Relationship Type="http://schemas.openxmlformats.org/officeDocument/2006/relationships/hyperlink" Target="https://codesommet.com/web-development-company/dubai" TargetMode="External" Id="rId117"/><Relationship Type="http://schemas.openxmlformats.org/officeDocument/2006/relationships/hyperlink" Target="https://codesommet.com/web-development-company/dublin" TargetMode="External" Id="rId118"/><Relationship Type="http://schemas.openxmlformats.org/officeDocument/2006/relationships/hyperlink" Target="https://codesommet.com/web-development-company/lagos" TargetMode="External" Id="rId119"/><Relationship Type="http://schemas.openxmlformats.org/officeDocument/2006/relationships/hyperlink" Target="https://codesommet.com/web-development-company/lisbon" TargetMode="External" Id="rId120"/><Relationship Type="http://schemas.openxmlformats.org/officeDocument/2006/relationships/hyperlink" Target="https://codesommet.com/web-development-company/london" TargetMode="External" Id="rId121"/><Relationship Type="http://schemas.openxmlformats.org/officeDocument/2006/relationships/hyperlink" Target="https://codesommet.com/web-development-company/los-angeles" TargetMode="External" Id="rId122"/><Relationship Type="http://schemas.openxmlformats.org/officeDocument/2006/relationships/hyperlink" Target="https://codesommet.com/web-development-company/madrid" TargetMode="External" Id="rId123"/><Relationship Type="http://schemas.openxmlformats.org/officeDocument/2006/relationships/hyperlink" Target="https://codesommet.com/web-development-company/milan" TargetMode="External" Id="rId124"/><Relationship Type="http://schemas.openxmlformats.org/officeDocument/2006/relationships/hyperlink" Target="https://codesommet.com/web-development-company/new-york" TargetMode="External" Id="rId125"/><Relationship Type="http://schemas.openxmlformats.org/officeDocument/2006/relationships/hyperlink" Target="https://codesommet.com/web-development-company/paris" TargetMode="External" Id="rId126"/><Relationship Type="http://schemas.openxmlformats.org/officeDocument/2006/relationships/hyperlink" Target="https://codesommet.com/web-development-company/riyadh" TargetMode="External" Id="rId127"/><Relationship Type="http://schemas.openxmlformats.org/officeDocument/2006/relationships/hyperlink" Target="https://codesommet.com/web-development-company/rome" TargetMode="External" Id="rId128"/><Relationship Type="http://schemas.openxmlformats.org/officeDocument/2006/relationships/hyperlink" Target="https://codesommet.com/web-development-company/san-francisco" TargetMode="External" Id="rId129"/><Relationship Type="http://schemas.openxmlformats.org/officeDocument/2006/relationships/hyperlink" Target="https://codesommet.com/web-development-company/seattle" TargetMode="External" Id="rId130"/><Relationship Type="http://schemas.openxmlformats.org/officeDocument/2006/relationships/hyperlink" Target="https://codesommet.com/web-development-company/stockholm" TargetMode="External" Id="rId131"/><Relationship Type="http://schemas.openxmlformats.org/officeDocument/2006/relationships/hyperlink" Target="https://codesommet.com/web-development-company/toronto" TargetMode="External" Id="rId132"/><Relationship Type="http://schemas.openxmlformats.org/officeDocument/2006/relationships/hyperlink" Target="https://codesommet.com/web-development-company/tunis" TargetMode="External" Id="rId133"/><Relationship Type="http://schemas.openxmlformats.org/officeDocument/2006/relationships/hyperlink" Target="https://codesommet.com/web-development-company/vancouver" TargetMode="External" Id="rId134"/><Relationship Type="http://schemas.openxmlformats.org/officeDocument/2006/relationships/hyperlink" Target="https://codesommet.com/web-development-company/zurich" TargetMode="External" Id="rId135"/></Relationships>
</file>

<file path=xl/worksheets/_rels/sheet12.xml.rels><Relationships xmlns="http://schemas.openxmlformats.org/package/2006/relationships"><Relationship Type="http://schemas.openxmlformats.org/officeDocument/2006/relationships/hyperlink" Target="#'01 Executive Summary'!A1" TargetMode="External" Id="rId1"/></Relationships>
</file>

<file path=xl/worksheets/_rels/sheet13.xml.rels><Relationships xmlns="http://schemas.openxmlformats.org/package/2006/relationships"><Relationship Type="http://schemas.openxmlformats.org/officeDocument/2006/relationships/hyperlink" Target="#'01 Executive Summary'!A1" TargetMode="External" Id="rId1"/></Relationships>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cols>
    <col width="46" customWidth="1" min="1" max="1"/>
    <col width="120" customWidth="1" min="2" max="2"/>
  </cols>
  <sheetData>
    <row r="1">
      <c r="A1" s="1" t="inlineStr">
        <is>
          <t>CodeSommet - Complete SEO Keyword Research 2026</t>
        </is>
      </c>
    </row>
    <row r="2">
      <c r="A2" t="inlineStr">
        <is>
          <t>Research date 2026-10-30 · Semrush (ma primary) · research only, no website file modified</t>
        </is>
      </c>
    </row>
    <row r="4">
      <c r="A4" s="2" t="inlineStr">
        <is>
          <t>SHEET INDEX</t>
        </is>
      </c>
    </row>
    <row r="5">
      <c r="A5" s="3" t="inlineStr">
        <is>
          <t>02 Page Inventory</t>
        </is>
      </c>
    </row>
    <row r="6">
      <c r="A6" s="3" t="inlineStr">
        <is>
          <t>03 MA Competitors</t>
        </is>
      </c>
    </row>
    <row r="7">
      <c r="A7" s="3" t="inlineStr">
        <is>
          <t>04 Master Keywords</t>
        </is>
      </c>
    </row>
    <row r="8">
      <c r="A8" s="3" t="inlineStr">
        <is>
          <t>05 Page Mapping</t>
        </is>
      </c>
    </row>
    <row r="9">
      <c r="A9" s="3" t="inlineStr">
        <is>
          <t>06 Section Mapping</t>
        </is>
      </c>
    </row>
    <row r="10">
      <c r="A10" s="3" t="inlineStr">
        <is>
          <t>07 FAQ Research</t>
        </is>
      </c>
    </row>
    <row r="11">
      <c r="A11" s="3" t="inlineStr">
        <is>
          <t>08 International</t>
        </is>
      </c>
    </row>
    <row r="12">
      <c r="A12" s="3" t="inlineStr">
        <is>
          <t>09 Cannibalization</t>
        </is>
      </c>
    </row>
    <row r="13">
      <c r="A13" s="3" t="inlineStr">
        <is>
          <t>10 Content Gaps</t>
        </is>
      </c>
    </row>
    <row r="14">
      <c r="A14" s="3" t="inlineStr">
        <is>
          <t>11 On-Page Recs</t>
        </is>
      </c>
    </row>
    <row r="15">
      <c r="A15" s="3" t="inlineStr">
        <is>
          <t>12 Semrush Raw</t>
        </is>
      </c>
    </row>
    <row r="16">
      <c r="A16" s="3" t="inlineStr">
        <is>
          <t>13 Methodology</t>
        </is>
      </c>
    </row>
    <row r="19">
      <c r="A19" s="4" t="inlineStr">
        <is>
          <t>KEY NUMBERS</t>
        </is>
      </c>
    </row>
    <row r="20">
      <c r="A20" s="5" t="inlineStr">
        <is>
          <t>Pages analysed (live sitemap, all indexable)</t>
        </is>
      </c>
      <c r="B20" s="5" t="n">
        <v>146</v>
      </c>
    </row>
    <row r="21">
      <c r="A21" s="5" t="inlineStr">
        <is>
          <t>Sections analysed (H1/H2 blocks)</t>
        </is>
      </c>
      <c r="B21" s="5" t="n">
        <v>1378</v>
      </c>
    </row>
    <row r="22">
      <c r="A22" s="5" t="inlineStr">
        <is>
          <t>Existing FAQs analysed (visible)</t>
        </is>
      </c>
      <c r="B22" s="5" t="n">
        <v>758</v>
      </c>
    </row>
    <row r="23">
      <c r="A23" s="5" t="inlineStr">
        <is>
          <t>New FAQ opportunities</t>
        </is>
      </c>
      <c r="B23" s="5" t="n">
        <v>39</v>
      </c>
    </row>
    <row r="24">
      <c r="A24" s="5" t="inlineStr">
        <is>
          <t>Keywords in master database</t>
        </is>
      </c>
      <c r="B24" s="5" t="n">
        <v>1774</v>
      </c>
    </row>
    <row r="25">
      <c r="A25" s="5" t="inlineStr">
        <is>
          <t>Measured keywords (Semrush)</t>
        </is>
      </c>
      <c r="B25" s="5" t="inlineStr">
        <is>
          <t>1193 (1046 with volume &gt; 0)</t>
        </is>
      </c>
    </row>
    <row r="26">
      <c r="A26" s="5" t="inlineStr">
        <is>
          <t>Unavailable (queried, no Semrush data)</t>
        </is>
      </c>
      <c r="B26" s="5" t="n">
        <v>564</v>
      </c>
    </row>
    <row r="27">
      <c r="A27" s="5" t="inlineStr">
        <is>
          <t>Suggested (not validated)</t>
        </is>
      </c>
      <c r="B27" s="5" t="n">
        <v>17</v>
      </c>
    </row>
    <row r="28">
      <c r="A28" s="5" t="inlineStr">
        <is>
          <t>Semrush databases researched</t>
        </is>
      </c>
      <c r="B28" s="5" t="inlineStr">
        <is>
          <t>23: ae, be, ca, ch, de, dk, dz, eg, es, fr, ie, it, lu, ma, ng, nl, pt, sa, se, sn, tn, uk, us</t>
        </is>
      </c>
    </row>
    <row r="29">
      <c r="A29" s="5" t="inlineStr">
        <is>
          <t>Competitors benchmarked (Morocco)</t>
        </is>
      </c>
      <c r="B29" s="5" t="n">
        <v>23</v>
      </c>
    </row>
    <row r="30">
      <c r="A30" s="5" t="inlineStr">
        <is>
          <t>Keyword-to-page mapping rows</t>
        </is>
      </c>
      <c r="B30" s="5" t="n">
        <v>725</v>
      </c>
    </row>
    <row r="31">
      <c r="A31" s="5" t="inlineStr">
        <is>
          <t>Semrush units used this session</t>
        </is>
      </c>
      <c r="B31" s="5" t="inlineStr">
        <is>
          <t>15,340 (98 calls)</t>
        </is>
      </c>
    </row>
    <row r="33">
      <c r="A33" s="4" t="inlineStr">
        <is>
          <t>MOST VALUABLE COMMERCIAL KEYWORDS - MOROCCO (ma)</t>
        </is>
      </c>
    </row>
    <row r="34">
      <c r="A34" s="5" t="inlineStr">
        <is>
          <t>Top mapped service/location opportunities (score × relevance)</t>
        </is>
      </c>
      <c r="B34" s="5" t="inlineStr">
        <is>
          <t>création site web marrakech - 590/mo, KD 19, Commercial → /web-development-company/marrakech (PRIMARY)
creation site web tanger - 320/mo, KD 11, Commercial → /web-development-company/tangier (PRIMARY)
agence seo maroc - 880/mo, KD 44, Commercial → /services/seo-maroc (PRIMARY)
agence web casablanca - 1000/mo, KD 52, Commercial → /web-development-company/casablanca (PRIMARY)
création site web maroc - 1000/mo, KD 22, Informational → / (PRIMARY)
agence seo marrakech - 320/mo, KD 20, Commercial → /services/seo-maroc (SECONDARY)
agence web marrakech - 320/mo, KD 33, Commercial → /web-development-company/marrakech (SECONDARY)
seo maroc - 320/mo, KD 41, Commercial → /services/seo-maroc (SECONDARY)
agence web maroc - 480/mo, KD 53, Commercial → / (SECONDARY)
agence digitale maroc - 320/mo, KD 57, Commercial → / (SECONDARY)
agence web rabat - 260/mo, KD n/a, intent n/a → /web-development-company/rabat (PRIMARY)
agence web offshore maroc - 140/mo, KD n/a, intent n/a → /web-development-company/worldwide (PRIMARY)</t>
        </is>
      </c>
    </row>
    <row r="36">
      <c r="A36" s="4" t="inlineStr">
        <is>
          <t>FRANCOPHONE OPPORTUNITIES (fr, separate database)</t>
        </is>
      </c>
    </row>
    <row r="37">
      <c r="A37" s="5" t="inlineStr">
        <is>
          <t>Top mapped service/location opportunities</t>
        </is>
      </c>
      <c r="B37" s="5" t="inlineStr">
        <is>
          <t>développement web paris - 260/mo, KD 31, Commercial → /web-development-company/paris (PRIMARY)
agence e-commerce - 1900/mo, KD 36, Commercial → /services/ecommerce-website-development (SECONDARY)
agence de développement web - 1300/mo, KD 32, Commercial → /web-development-company/worldwide (SECONDARY)
plateforme e-learning - 2400/mo, KD 31, Informational → /services/elearning-platform-development (PRIMARY)
site web architecte - 70/mo, KD 5, Commercial → /our-work/akoubri (SECONDARY)
vendre des formations en ligne - 260/mo, KD 10, Informational → /services/online-course-platform-development (PRIMARY)
création site web paris - 320/mo, KD 28, Commercial → /web-development-company/paris (SECONDARY)
création site immobilier - 390/mo, KD 19, Informational → /services/real-estate-website-development (PRIMARY)
agence web immobilier - 260/mo, KD 29, Commercial → /services/real-estate-website-development (SECONDARY)
développement saas - 170/mo, KD 11, Informational → /services/saas-platform-development (PRIMARY)
agence web santé - 590/mo, KD 28, Informational → /services/healthcare-website-development (PRIMARY)
créer un saas - 170/mo, KD 10, Informational → /blog/creer-une-plateforme-saas-mvp-multi-tenant-facturation-par-ou-commencer (PRIMARY)</t>
        </is>
      </c>
    </row>
    <row r="39">
      <c r="A39" s="4" t="inlineStr">
        <is>
          <t>FREE-TOOL TRAFFIC OPPORTUNITIES (fr, informational - brand/link value, low lead value)</t>
        </is>
      </c>
    </row>
    <row r="40">
      <c r="A40" s="5" t="inlineStr">
        <is>
          <t>Top mapped tool queries</t>
        </is>
      </c>
      <c r="B40" s="5" t="inlineStr">
        <is>
          <t>simulateur serp - 260/mo, KD 11, Informational, Commercial → /tools/serp-snippet-preview (PRIMARY)
créer une landing page - 590/mo, KD 31, Commercial → /tools/landing-page-generator (PRIMARY)
json formatter - 12100/mo, KD 74, Commercial → /tools/json-formatter (PRIMARY)
html minifier - 260/mo, KD 29, Commercial → /tools/html-minifier (PRIMARY)
caractère invisible - 6600/mo, KD 16, Informational → /tools/invisible-character-cleaner (PRIMARY)
test ssl - 320/mo, KD 37, Commercial → /tools/ssl-certificate-checker (PRIMARY)
compteur de caractères - 9900/mo, KD 29, Commercial → /tools/word-counter (SECONDARY)
test vitesse site web - 260/mo, KD 36, Commercial → /tools/page-speed-analyzer (PRIMARY)
réduire taille image - 8100/mo, KD 33, Commercial → /tools/image-compressor (SECONDARY)
compresser image - 22200/mo, KD 28, Informational → /tools/image-compressor (PRIMARY)</t>
        </is>
      </c>
    </row>
    <row r="42">
      <c r="A42" s="4" t="inlineStr">
        <is>
          <t>COMPETITOR INSIGHTS</t>
        </is>
      </c>
    </row>
    <row r="43">
      <c r="A43" s="5" t="inlineStr">
        <is>
          <t>Leaders by Semrush MA traffic estimate</t>
        </is>
      </c>
      <c r="B43" s="5" t="inlineStr">
        <is>
          <t>adk-media.com: est. traffic 3220, 63 kw, AS 29, 4540 ref. domains
void.ma: est. traffic 1457, 83 kw, AS 26, 434 ref. domains
vala.ma: est. traffic 933, 42 kw, AS 25, 964 ref. domains
hostino.ma: est. traffic 893, 39 kw, AS 27, 6764 ref. domains
rhillane.com: est. traffic 849, 119 kw, AS 31, 2888 ref. domains
energiedin.com: est. traffic 775, 37 kw, AS 26, 2783 ref. domains
urikacloud.com: est. traffic 744, 26 kw, AS 14, 1776 ref. domains
digitalma.ma: est. traffic 555, 25 kw, AS 24, 455 ref. domains</t>
        </is>
      </c>
    </row>
    <row r="44">
      <c r="A44" s="5" t="inlineStr">
        <is>
          <t>What wins in MA</t>
        </is>
      </c>
      <c r="B44" s="5" t="inlineStr">
        <is>
          <t>Exact-match service and city landing pages (urikacloud #1 "seo maroc" with AS 14; website.ma #1 "creation site web maroc" with AS 9) plus price guides. Authority helps (hostino, vala = hosting brands) but is not decisive at MA volumes.</t>
        </is>
      </c>
    </row>
    <row r="45">
      <c r="A45" s="5" t="inlineStr">
        <is>
          <t>CodeSommet baseline</t>
        </is>
      </c>
      <c r="B45" s="5" t="inlineStr">
        <is>
          <t>Semrush ma: no keyword in tracked top-100 (no_data). Backlinks: Authority Score 7; 1,080 referring domains reported by Semrush vs 10 by Seobility - quality audit needed.</t>
        </is>
      </c>
    </row>
    <row r="47">
      <c r="A47" s="4" t="inlineStr">
        <is>
          <t>SEO RISKS</t>
        </is>
      </c>
    </row>
    <row r="48">
      <c r="A48" s="5" t="inlineStr">
        <is>
          <t>1. International city pages</t>
        </is>
      </c>
      <c r="B48" s="5" t="inlineStr">
        <is>
          <t>30 French-language pages for non-francophone cities: ~0 French demand, local-language demand only → thin/doorway risk (owner decision F-02 pending).</t>
        </is>
      </c>
    </row>
    <row r="49">
      <c r="A49" s="5" t="inlineStr">
        <is>
          <t>2. Service-page overlaps</t>
        </is>
      </c>
      <c r="B49" s="5" t="inlineStr">
        <is>
          <t>healthcare vs telemedicine-website (HIGH), robots-txt-tester vs robots-validator (HIGH), e-learning/online-course/edtech (MEDIUM).</t>
        </is>
      </c>
    </row>
    <row r="50">
      <c r="A50" s="5" t="inlineStr">
        <is>
          <t>3. FAQ template bugs</t>
        </is>
      </c>
      <c r="B50" s="5" t="inlineStr">
        <is>
          <t>2 city FAQs contain untranslated "Morocco" ("…des données du Morocco ?").</t>
        </is>
      </c>
    </row>
    <row r="51">
      <c r="A51" s="5" t="inlineStr">
        <is>
          <t>4. H1 grammar</t>
        </is>
      </c>
      <c r="B51" s="5" t="inlineStr">
        <is>
          <t>Rotating-word H1s produce "qui génèrent des CROISSANCE FINANCIÈRE", "des Écoles de Langues" etc. on several service/city pages.</t>
        </is>
      </c>
    </row>
    <row r="52">
      <c r="A52" s="5" t="inlineStr">
        <is>
          <t>5. Homepage</t>
        </is>
      </c>
      <c r="B52" s="5" t="inlineStr">
        <is>
          <t>Title 582 px (&gt;580), 30 headings for ~2,200 words (Seobility), repeated anchors - fixable without content loss.</t>
        </is>
      </c>
    </row>
    <row r="54">
      <c r="A54" s="4" t="inlineStr">
        <is>
          <t>PRIORITY RECOMMENDATIONS</t>
        </is>
      </c>
    </row>
    <row r="55">
      <c r="A55" s="5" t="inlineStr">
        <is>
          <t>P1 quick wins</t>
        </is>
      </c>
      <c r="B55" s="5" t="inlineStr">
        <is>
          <t>Homepage title ≤580 px (en dash variant keeps wording); price FAQ + CMI payment FAQ/section on e-commerce; price/offshore FAQs on /get-quote, /worldwide; fix "Morocco" FAQ bug; Marrakech + Casablanca local FAQs; link Marrakech/Casablanca → /services/seo-maroc with local SEO anchors.</t>
        </is>
      </c>
    </row>
    <row r="56">
      <c r="A56" s="5" t="inlineStr">
        <is>
          <t>P2 content</t>
        </is>
      </c>
      <c r="B56" s="5" t="inlineStr">
        <is>
          <t>Blog guides: "prix d'un site web au Maroc" and "e-commerce au Maroc" (competitors rank with both); differentiate healthcare/telemedicine; tool titles for high-demand queries (compresser image 22,200 fr; compteur de mots 18,100; caractère invisible 6,600 at KD 16).</t>
        </is>
      </c>
    </row>
    <row r="57">
      <c r="A57" s="5" t="inlineStr">
        <is>
          <t>P3 new opportunities</t>
        </is>
      </c>
      <c r="B57" s="5" t="inlineStr">
        <is>
          <t>FR-market "développement web sur mesure" (1,600, KD 10) and "agence web offshore" (480, KD 19) on /worldwide; Brussels page → "création site web bruxelles" (140, KD 5); evaluate "développement application web" page (fr 1,000, KD 16).</t>
        </is>
      </c>
    </row>
    <row r="58">
      <c r="A58" s="5" t="inlineStr">
        <is>
          <t>P4 authority</t>
        </is>
      </c>
      <c r="B58" s="5" t="inlineStr">
        <is>
          <t>Brand-anchored citations (Google Business Profile Marrakech, Sortlist - present in 5 MA SERPs, Clutch/GoodFirms, Kerix), client credit links, free tools as linkable assets; audit the 1,080 Semrush referring domains first. No paid links / PBNs.</t>
        </is>
      </c>
    </row>
    <row r="60">
      <c r="A60" s="2" t="inlineStr">
        <is>
          <t>LEGEND - Data Status colours</t>
        </is>
      </c>
    </row>
    <row r="61">
      <c r="A61" s="6" t="inlineStr">
        <is>
          <t>MEASURED</t>
        </is>
      </c>
      <c r="B61" t="inlineStr">
        <is>
          <t>Returned by Semrush (this session or historical 26-27 Oct 2026)</t>
        </is>
      </c>
    </row>
    <row r="62">
      <c r="A62" s="7" t="inlineStr">
        <is>
          <t>ESTIMATED</t>
        </is>
      </c>
      <c r="B62" t="inlineStr">
        <is>
          <t>Semrush model estimate (competitor traffic/rank)</t>
        </is>
      </c>
    </row>
    <row r="63">
      <c r="A63" s="8" t="inlineStr">
        <is>
          <t>SUGGESTED</t>
        </is>
      </c>
      <c r="B63" t="inlineStr">
        <is>
          <t>Keyword idea not validated in Semrush - never treat as measured</t>
        </is>
      </c>
    </row>
    <row r="64">
      <c r="A64" s="9" t="inlineStr">
        <is>
          <t>UNAVAILABLE</t>
        </is>
      </c>
      <c r="B64" t="inlineStr">
        <is>
          <t>Queried in Semrush, no data returned (database too thin) - not zero</t>
        </is>
      </c>
    </row>
  </sheetData>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4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48" customWidth="1" min="2" max="2"/>
    <col width="40" customWidth="1" min="3" max="3"/>
    <col width="18" customWidth="1" min="4" max="4"/>
    <col width="8" customWidth="1" min="5" max="5"/>
    <col width="22" customWidth="1" min="6" max="6"/>
    <col width="44" customWidth="1" min="7" max="7"/>
    <col width="10" customWidth="1" min="8" max="8"/>
    <col width="50" customWidth="1" min="9" max="9"/>
    <col width="9" customWidth="1" min="10" max="10"/>
    <col width="44" customWidth="1" min="11" max="11"/>
    <col width="70" customWidth="1" min="12" max="12"/>
    <col width="9" customWidth="1" min="13" max="13"/>
    <col width="9" customWidth="1" min="14" max="14"/>
    <col width="22" customWidth="1" min="15" max="15"/>
    <col width="18" customWidth="1" min="16" max="16"/>
    <col width="40" customWidth="1" min="17" max="17"/>
    <col width="10" customWidth="1" min="18" max="18"/>
    <col width="8" customWidth="1" min="19" max="19"/>
    <col width="9" customWidth="1" min="20" max="20"/>
    <col width="9" customWidth="1" min="21" max="21"/>
    <col width="8" customWidth="1" min="22" max="22"/>
    <col width="9" customWidth="1" min="23" max="23"/>
    <col width="30" customWidth="1" min="24" max="24"/>
    <col width="30" customWidth="1" min="25" max="25"/>
    <col width="34" customWidth="1" min="26" max="26"/>
  </cols>
  <sheetData>
    <row r="1">
      <c r="A1" s="10" t="inlineStr">
        <is>
          <t>← 01 Executive Summary</t>
        </is>
      </c>
      <c r="B1" s="11" t="inlineStr">
        <is>
          <t>Website page inventory - 146 indexable URLs from the live sitemap, crawled 2026-10-30</t>
        </is>
      </c>
    </row>
    <row r="2" ht="32" customHeight="1">
      <c r="A2" s="12" t="inlineStr">
        <is>
          <t>Page ID</t>
        </is>
      </c>
      <c r="B2" s="12" t="inlineStr">
        <is>
          <t>URL</t>
        </is>
      </c>
      <c r="C2" s="12" t="inlineStr">
        <is>
          <t>Page Name (H1)</t>
        </is>
      </c>
      <c r="D2" s="12" t="inlineStr">
        <is>
          <t>Page Type</t>
        </is>
      </c>
      <c r="E2" s="12" t="inlineStr">
        <is>
          <t>Language</t>
        </is>
      </c>
      <c r="F2" s="12" t="inlineStr">
        <is>
          <t>Country</t>
        </is>
      </c>
      <c r="G2" s="12" t="inlineStr">
        <is>
          <t>Current Title</t>
        </is>
      </c>
      <c r="H2" s="12" t="inlineStr">
        <is>
          <t>Title px (Arial 20)</t>
        </is>
      </c>
      <c r="I2" s="12" t="inlineStr">
        <is>
          <t>Meta Description</t>
        </is>
      </c>
      <c r="J2" s="12" t="inlineStr">
        <is>
          <t>Desc. chars</t>
        </is>
      </c>
      <c r="K2" s="12" t="inlineStr">
        <is>
          <t>H1</t>
        </is>
      </c>
      <c r="L2" s="12" t="inlineStr">
        <is>
          <t>H2/H3 Structure</t>
        </is>
      </c>
      <c r="M2" s="12" t="inlineStr">
        <is>
          <t>Sections Count</t>
        </is>
      </c>
      <c r="N2" s="12" t="inlineStr">
        <is>
          <t>FAQs Count</t>
        </is>
      </c>
      <c r="O2" s="12" t="inlineStr">
        <is>
          <t>Primary Intent</t>
        </is>
      </c>
      <c r="P2" s="12" t="inlineStr">
        <is>
          <t>Indexability</t>
        </is>
      </c>
      <c r="Q2" s="12" t="inlineStr">
        <is>
          <t>Canonical</t>
        </is>
      </c>
      <c r="R2" s="12" t="inlineStr">
        <is>
          <t>Canonical type</t>
        </is>
      </c>
      <c r="S2" s="12" t="inlineStr">
        <is>
          <t>Words</t>
        </is>
      </c>
      <c r="T2" s="12" t="inlineStr">
        <is>
          <t>Headings</t>
        </is>
      </c>
      <c r="U2" s="12" t="inlineStr">
        <is>
          <t>Internal links</t>
        </is>
      </c>
      <c r="V2" s="12" t="inlineStr">
        <is>
          <t>Images</t>
        </is>
      </c>
      <c r="W2" s="12" t="inlineStr">
        <is>
          <t>Images w/o alt</t>
        </is>
      </c>
      <c r="X2" s="12" t="inlineStr">
        <is>
          <t>Structured data (JSON-LD)</t>
        </is>
      </c>
      <c r="Y2" s="12" t="inlineStr">
        <is>
          <t>Mapped primary keyword</t>
        </is>
      </c>
      <c r="Z2" s="12" t="inlineStr">
        <is>
          <t>Current SEO Status</t>
        </is>
      </c>
    </row>
    <row r="3">
      <c r="A3" t="inlineStr">
        <is>
          <t>P001</t>
        </is>
      </c>
      <c r="B3" s="3" t="inlineStr">
        <is>
          <t>https://codesommet.com/</t>
        </is>
      </c>
      <c r="C3" s="5" t="inlineStr">
        <is>
          <t>Création Site Web au Maroc : Agence Web &amp; SaaS qui génère DES RÉSULTATS</t>
        </is>
      </c>
      <c r="D3" t="inlineStr">
        <is>
          <t>Homepage</t>
        </is>
      </c>
      <c r="E3" t="inlineStr">
        <is>
          <t>fr</t>
        </is>
      </c>
      <c r="F3" t="inlineStr">
        <is>
          <t>Morocco</t>
        </is>
      </c>
      <c r="G3" s="5" t="inlineStr">
        <is>
          <t>Création Site Web Maroc — Agence Web &amp; SaaS | CodeSommet</t>
        </is>
      </c>
      <c r="H3" t="n">
        <v>582</v>
      </c>
      <c r="I3" s="5" t="inlineStr">
        <is>
          <t>Agence web au Maroc : création de sites web sur mesure, e-commerce et plateformes SaaS qui génèrent des résultats. Devis gratuit sous 24h.</t>
        </is>
      </c>
      <c r="J3" t="n">
        <v>138</v>
      </c>
      <c r="K3" s="5" t="inlineStr">
        <is>
          <t>Création Site Web au Maroc : Agence Web &amp; SaaS qui génère DES RÉSULTATS</t>
        </is>
      </c>
      <c r="L3" s="5" t="inlineStr">
        <is>
          <t>H2: Un Design Pixel-Perfect Allié à une Technologie Puissante | H2: Des Résultats Prouvés Qui Parlent d'Eux-Mêmes | H2: 18 Fonctionnalités Premium. Intégrées à Chaque Projet. | H2: Pourquoi les Leaders du Secteur Choisissent CodeSommet | H3: Intelligence Alimentée par l'IA | H3: Design de Tableau de Bord Époustouflant | H3: Stratégie Axée sur la Croissance | H3: Solution Digitale Complète | H3: Expertise Sectorielle | H3: Technologie de Pointe | H2: Impact Réel, Histoires Réelles | H2: Comment Commencer en 3 étapes Simples | H3: Choisissez Votre Formule | H3: Soumettez Votre Demande | H3: Regardez-nous Livrer | H2: Le Choix d'Investissement Intelligent | H2: 6 Problèmes Courants de Sites Web que Nous Résolvons | H3: 1. Mauvaise Expérience Utilisateur | H3: 2. Pas d'Intégration IA | H3: 3. Des Mois d'Attente | H3: 4. Image de Marque Non Professionnelle | H3: 5. Tarification Opaque | H3: 6. Faible Taux de Conversion | H2: Solutions Personnalisées, Conçues pour Vous | H3: Développement de Site Web | H3: Retainer +Social | H2: Un Mois Trop Chargé ? Mettez en Pause à Tout Moment. | H2: Prêt à Construire Quelque Chose d'Extraordinaire ? | H2: Derniers Articles du Blog</t>
        </is>
      </c>
      <c r="M3" t="n">
        <v>13</v>
      </c>
      <c r="N3" t="n">
        <v>0</v>
      </c>
      <c r="O3" t="inlineStr">
        <is>
          <t>Commercial / transactional</t>
        </is>
      </c>
      <c r="P3" t="inlineStr">
        <is>
          <t>index, follow; HTTP 200</t>
        </is>
      </c>
      <c r="Q3" t="inlineStr">
        <is>
          <t>https://codesommet.com</t>
        </is>
      </c>
      <c r="R3" t="inlineStr">
        <is>
          <t>self</t>
        </is>
      </c>
      <c r="S3" t="n">
        <v>2093</v>
      </c>
      <c r="T3" t="n">
        <v>30</v>
      </c>
      <c r="U3" t="n">
        <v>71</v>
      </c>
      <c r="V3" t="n">
        <v>95</v>
      </c>
      <c r="W3" t="n">
        <v>0</v>
      </c>
      <c r="X3" t="inlineStr">
        <is>
          <t>Organization, WebPage, WebSite</t>
        </is>
      </c>
      <c r="Y3" t="inlineStr">
        <is>
          <t>création site web maroc [ma]</t>
        </is>
      </c>
      <c r="Z3" s="5" t="inlineStr">
        <is>
          <t>Review: title 582px; 30 headings</t>
        </is>
      </c>
    </row>
    <row r="4">
      <c r="A4" t="inlineStr">
        <is>
          <t>P002</t>
        </is>
      </c>
      <c r="B4" s="3" t="inlineStr">
        <is>
          <t>https://codesommet.com/about</t>
        </is>
      </c>
      <c r="C4" s="5" t="inlineStr">
        <is>
          <t>À Propos : Agence Digitale au Maroc Depuis 2018</t>
        </is>
      </c>
      <c r="D4" t="inlineStr">
        <is>
          <t>Core - About</t>
        </is>
      </c>
      <c r="E4" t="inlineStr">
        <is>
          <t>fr</t>
        </is>
      </c>
      <c r="F4" t="inlineStr">
        <is>
          <t>Morocco</t>
        </is>
      </c>
      <c r="G4" s="5" t="inlineStr">
        <is>
          <t>À Propos - Agence Digitale au Maroc depuis 2018 | CodeSommet</t>
        </is>
      </c>
      <c r="H4" t="n">
        <v>582</v>
      </c>
      <c r="I4" s="5" t="inlineStr">
        <is>
          <t>Découvrez CodeSommet : notre histoire depuis 2018, notre approche du développement web sur mesure et les valeurs qui guident chaque projet.</t>
        </is>
      </c>
      <c r="J4" t="n">
        <v>139</v>
      </c>
      <c r="K4" s="5" t="inlineStr">
        <is>
          <t>À Propos : Agence Digitale au Maroc Depuis 2018</t>
        </is>
      </c>
      <c r="L4" s="5" t="inlineStr">
        <is>
          <t>H2: Des Solutions Digitales Complètes Qui Génèrent des Résultats | H2: Nous Ne Sommes Pas une Agence Ordinaire | H3: Agences Traditionnelles | H3: CodeSommet | H2: Découvrez Notre Expertise en Action | H3: Notre Équipe d'Experts | H2: Notre Bureau à Marrakech | H3: Marrakech (Bureau Principal) | H2: Prêt à Créer Quelque Chose d'Extraordinaire ?</t>
        </is>
      </c>
      <c r="M4" t="n">
        <v>6</v>
      </c>
      <c r="N4" t="n">
        <v>0</v>
      </c>
      <c r="O4" t="inlineStr">
        <is>
          <t>Navigational / commercial investigation</t>
        </is>
      </c>
      <c r="P4" t="inlineStr">
        <is>
          <t>index, follow; HTTP 200</t>
        </is>
      </c>
      <c r="Q4" t="inlineStr">
        <is>
          <t>https://codesommet.com/about</t>
        </is>
      </c>
      <c r="R4" t="inlineStr">
        <is>
          <t>self</t>
        </is>
      </c>
      <c r="S4" t="n">
        <v>579</v>
      </c>
      <c r="T4" t="n">
        <v>13</v>
      </c>
      <c r="U4" t="n">
        <v>62</v>
      </c>
      <c r="V4" t="n">
        <v>4</v>
      </c>
      <c r="W4" t="n">
        <v>0</v>
      </c>
      <c r="X4" t="inlineStr">
        <is>
          <t>Organization, WebSite</t>
        </is>
      </c>
      <c r="Y4" t="inlineStr">
        <is>
          <t>codesommet [ma]</t>
        </is>
      </c>
      <c r="Z4" s="5" t="inlineStr">
        <is>
          <t>Review: title 582px</t>
        </is>
      </c>
    </row>
    <row r="5">
      <c r="A5" t="inlineStr">
        <is>
          <t>P003</t>
        </is>
      </c>
      <c r="B5" s="3" t="inlineStr">
        <is>
          <t>https://codesommet.com/contact</t>
        </is>
      </c>
      <c r="C5" s="5" t="inlineStr">
        <is>
          <t>Contact : Agence Web au Maroc, Réponse sous 24h</t>
        </is>
      </c>
      <c r="D5" t="inlineStr">
        <is>
          <t>Core - Contact</t>
        </is>
      </c>
      <c r="E5" t="inlineStr">
        <is>
          <t>fr</t>
        </is>
      </c>
      <c r="F5" t="inlineStr">
        <is>
          <t>Morocco</t>
        </is>
      </c>
      <c r="G5" s="5" t="inlineStr">
        <is>
          <t>Contact — Agence Web au Maroc, Réponse sous 24h | CodeSommet</t>
        </is>
      </c>
      <c r="H5" t="n">
        <v>622</v>
      </c>
      <c r="I5" s="5" t="inlineStr">
        <is>
          <t>Contactez CodeSommet, agence web au Maroc : réservez un appel découverte gratuit ou écrivez-nous par e-mail ou WhatsApp. Réponse sous 24 heures.</t>
        </is>
      </c>
      <c r="J5" t="n">
        <v>144</v>
      </c>
      <c r="K5" s="5" t="inlineStr">
        <is>
          <t>Contact : Agence Web au Maroc, Réponse sous 24h</t>
        </is>
      </c>
      <c r="L5" s="5" t="inlineStr">
        <is>
          <t>H2: Envoyez-nous un Email | H2: WhatsApp | H2: Heures d'Ouverture | H2: Où Nous Trouver | H3: Contactez-Nous | H3: Discutez sur WhatsApp | H2: Contactez-Nous | H2: Que Se Passe-t-il Ensuite ? | H3: Réponse Rapide | H3: Appel Stratégique | H3: Proposition Personnalisée | H2: Prêt à Créer Quelque Chose d'Extraordinaire ?</t>
        </is>
      </c>
      <c r="M5" t="n">
        <v>8</v>
      </c>
      <c r="N5" t="n">
        <v>0</v>
      </c>
      <c r="O5" t="inlineStr">
        <is>
          <t>Navigational / commercial investigation</t>
        </is>
      </c>
      <c r="P5" t="inlineStr">
        <is>
          <t>index, follow; HTTP 200</t>
        </is>
      </c>
      <c r="Q5" t="inlineStr">
        <is>
          <t>https://codesommet.com/contact</t>
        </is>
      </c>
      <c r="R5" t="inlineStr">
        <is>
          <t>self</t>
        </is>
      </c>
      <c r="S5" t="n">
        <v>503</v>
      </c>
      <c r="T5" t="n">
        <v>13</v>
      </c>
      <c r="U5" t="n">
        <v>58</v>
      </c>
      <c r="V5" t="n">
        <v>3</v>
      </c>
      <c r="W5" t="n">
        <v>0</v>
      </c>
      <c r="X5" t="inlineStr">
        <is>
          <t>Organization, WebSite</t>
        </is>
      </c>
      <c r="Y5" t="inlineStr">
        <is>
          <t>contact agence web [ma]</t>
        </is>
      </c>
      <c r="Z5" s="5" t="inlineStr">
        <is>
          <t>Review: title 622px</t>
        </is>
      </c>
    </row>
    <row r="6">
      <c r="A6" t="inlineStr">
        <is>
          <t>P004</t>
        </is>
      </c>
      <c r="B6" s="3" t="inlineStr">
        <is>
          <t>https://codesommet.com/get-quote</t>
        </is>
      </c>
      <c r="C6" s="5" t="inlineStr">
        <is>
          <t>Obtenir un Devis Gratuit pour Votre Site Web</t>
        </is>
      </c>
      <c r="D6" t="inlineStr">
        <is>
          <t>Core - Conversion</t>
        </is>
      </c>
      <c r="E6" t="inlineStr">
        <is>
          <t>fr</t>
        </is>
      </c>
      <c r="F6" t="inlineStr">
        <is>
          <t>Morocco</t>
        </is>
      </c>
      <c r="G6" s="5" t="inlineStr">
        <is>
          <t>Obtenir un Devis Gratuit | CodeSommet</t>
        </is>
      </c>
      <c r="H6" t="n">
        <v>355</v>
      </c>
      <c r="I6" s="5" t="inlineStr">
        <is>
          <t>Parlez-nous de votre projet et obtenez un devis personnalisé sous 24 heures. Devis gratuit, sans engagement, tarification sur mesure.</t>
        </is>
      </c>
      <c r="J6" t="n">
        <v>133</v>
      </c>
      <c r="K6" s="5" t="inlineStr">
        <is>
          <t>Obtenir un Devis Gratuit pour Votre Site Web</t>
        </is>
      </c>
      <c r="L6" s="5" t="inlineStr">
        <is>
          <t>H2: Demande de devis envoyée !</t>
        </is>
      </c>
      <c r="M6" t="n">
        <v>2</v>
      </c>
      <c r="N6" t="n">
        <v>0</v>
      </c>
      <c r="O6" t="inlineStr">
        <is>
          <t>Transactional</t>
        </is>
      </c>
      <c r="P6" t="inlineStr">
        <is>
          <t>index, follow; HTTP 200</t>
        </is>
      </c>
      <c r="Q6" t="inlineStr">
        <is>
          <t>https://codesommet.com/get-quote</t>
        </is>
      </c>
      <c r="R6" t="inlineStr">
        <is>
          <t>self</t>
        </is>
      </c>
      <c r="S6" t="n">
        <v>290</v>
      </c>
      <c r="T6" t="n">
        <v>2</v>
      </c>
      <c r="U6" t="n">
        <v>3</v>
      </c>
      <c r="V6" t="n">
        <v>0</v>
      </c>
      <c r="W6" t="n">
        <v>0</v>
      </c>
      <c r="X6" t="inlineStr">
        <is>
          <t>Organization, WebSite</t>
        </is>
      </c>
      <c r="Y6" t="inlineStr">
        <is>
          <t>devis site web [ma]</t>
        </is>
      </c>
      <c r="Z6" s="5" t="inlineStr">
        <is>
          <t>OK</t>
        </is>
      </c>
    </row>
    <row r="7">
      <c r="A7" t="inlineStr">
        <is>
          <t>P005</t>
        </is>
      </c>
      <c r="B7" s="3" t="inlineStr">
        <is>
          <t>https://codesommet.com/our-work</t>
        </is>
      </c>
      <c r="C7" s="5" t="inlineStr">
        <is>
          <t>Portfolio &amp; Études de Cas, Agence Web Maroc : Nos Projets Génèrent de Vrais Résultats</t>
        </is>
      </c>
      <c r="D7" t="inlineStr">
        <is>
          <t>Core - Portfolio hub</t>
        </is>
      </c>
      <c r="E7" t="inlineStr">
        <is>
          <t>fr</t>
        </is>
      </c>
      <c r="F7" t="inlineStr">
        <is>
          <t>Morocco</t>
        </is>
      </c>
      <c r="G7" s="5" t="inlineStr">
        <is>
          <t>Portfolio &amp; Études de Cas — Agence Web Maroc | CodeSommet</t>
        </is>
      </c>
      <c r="H7" t="n">
        <v>576</v>
      </c>
      <c r="I7" s="5" t="inlineStr">
        <is>
          <t>Notre portfolio : boutiques e-commerce, plateformes SaaS multi-tenant, sites de voyage et solutions métier sur mesure, avec études de cas détaillées.</t>
        </is>
      </c>
      <c r="J7" t="n">
        <v>149</v>
      </c>
      <c r="K7" s="5" t="inlineStr">
        <is>
          <t>Portfolio &amp; Études de Cas, Agence Web Maroc : Nos Projets Génèrent de Vrais Résultats</t>
        </is>
      </c>
      <c r="L7" s="5" t="inlineStr">
        <is>
          <t>H2: GLS Sprachenzentrum | H2: Akoubri | H2: Authentic Morocco Adventures | H2: GlamWorlds | H2: Mon Asso | H2: Morocco Quest | H2: Dental Pro | H2: Hssabek | H2: Vous vous demandez comment se positionne votre site web ? | H2: Prêt à Créer Quelque Chose d'Extraordinaire ?</t>
        </is>
      </c>
      <c r="M7" t="n">
        <v>11</v>
      </c>
      <c r="N7" t="n">
        <v>0</v>
      </c>
      <c r="O7" t="inlineStr">
        <is>
          <t>Navigational / commercial investigation</t>
        </is>
      </c>
      <c r="P7" t="inlineStr">
        <is>
          <t>index, follow; HTTP 200</t>
        </is>
      </c>
      <c r="Q7" t="inlineStr">
        <is>
          <t>https://codesommet.com/our-work</t>
        </is>
      </c>
      <c r="R7" t="inlineStr">
        <is>
          <t>self</t>
        </is>
      </c>
      <c r="S7" t="n">
        <v>450</v>
      </c>
      <c r="T7" t="n">
        <v>11</v>
      </c>
      <c r="U7" t="n">
        <v>70</v>
      </c>
      <c r="V7" t="n">
        <v>2</v>
      </c>
      <c r="W7" t="n">
        <v>0</v>
      </c>
      <c r="X7" t="inlineStr">
        <is>
          <t>Organization, WebSite</t>
        </is>
      </c>
      <c r="Y7" t="inlineStr">
        <is>
          <t>exemple de site web [ma]</t>
        </is>
      </c>
      <c r="Z7" s="5" t="inlineStr">
        <is>
          <t>OK</t>
        </is>
      </c>
    </row>
    <row r="8">
      <c r="A8" t="inlineStr">
        <is>
          <t>P006</t>
        </is>
      </c>
      <c r="B8" s="3" t="inlineStr">
        <is>
          <t>https://codesommet.com/industries</t>
        </is>
      </c>
      <c r="C8" s="5" t="inlineStr">
        <is>
          <t>Sites Web par Secteur : E-commerce, Santé et Sites Spécialisés Chaque Secteur</t>
        </is>
      </c>
      <c r="D8" t="inlineStr">
        <is>
          <t>Core - Industry hub</t>
        </is>
      </c>
      <c r="E8" t="inlineStr">
        <is>
          <t>fr</t>
        </is>
      </c>
      <c r="F8" t="inlineStr">
        <is>
          <t>Morocco</t>
        </is>
      </c>
      <c r="G8" s="5" t="inlineStr">
        <is>
          <t>Sites Web par Secteur : E-commerce, Santé | CodeSommet</t>
        </is>
      </c>
      <c r="H8" t="n">
        <v>536</v>
      </c>
      <c r="I8" s="5" t="inlineStr">
        <is>
          <t>Sites web et plateformes adaptés à votre secteur : e-commerce, santé, éducation, immobilier, fintech, SaaS. L'approche CodeSommet par industrie.</t>
        </is>
      </c>
      <c r="J8" t="n">
        <v>144</v>
      </c>
      <c r="K8" s="5" t="inlineStr">
        <is>
          <t>Sites Web par Secteur : E-commerce, Santé et Sites Spécialisés Chaque Secteur</t>
        </is>
      </c>
      <c r="L8" s="5" t="inlineStr">
        <is>
          <t>H2: Éducation &amp; Formation ( 8 secteurs ) | H2: Santé &amp; Médecine ( 3 secteurs ) | H2: SaaS &amp; Technologie ( 2 secteurs ) | H2: Finance &amp; Professionnel ( 2 secteur ) | H2: Immobilier &amp; Propriété ( 1 secteur ) | H2: Vous ne trouvez pas votre secteur ?</t>
        </is>
      </c>
      <c r="M8" t="n">
        <v>7</v>
      </c>
      <c r="N8" t="n">
        <v>0</v>
      </c>
      <c r="O8" t="inlineStr">
        <is>
          <t>Navigational / commercial investigation</t>
        </is>
      </c>
      <c r="P8" t="inlineStr">
        <is>
          <t>index, follow; HTTP 200</t>
        </is>
      </c>
      <c r="Q8" t="inlineStr">
        <is>
          <t>https://codesommet.com/industries</t>
        </is>
      </c>
      <c r="R8" t="inlineStr">
        <is>
          <t>self</t>
        </is>
      </c>
      <c r="S8" t="n">
        <v>147</v>
      </c>
      <c r="T8" t="n">
        <v>7</v>
      </c>
      <c r="U8" t="n">
        <v>76</v>
      </c>
      <c r="V8" t="n">
        <v>1</v>
      </c>
      <c r="W8" t="n">
        <v>0</v>
      </c>
      <c r="X8" t="inlineStr">
        <is>
          <t>Organization, WebSite</t>
        </is>
      </c>
      <c r="Y8" t="inlineStr">
        <is>
          <t>création site web par secteur [ma]</t>
        </is>
      </c>
      <c r="Z8" s="5" t="inlineStr">
        <is>
          <t>OK</t>
        </is>
      </c>
    </row>
    <row r="9">
      <c r="A9" t="inlineStr">
        <is>
          <t>P007</t>
        </is>
      </c>
      <c r="B9" s="3" t="inlineStr">
        <is>
          <t>https://codesommet.com/locations</t>
        </is>
      </c>
      <c r="C9" s="5" t="inlineStr">
        <is>
          <t>Agence Web au Maroc et à l'International : des Sites Pour les Entreprises Internationales</t>
        </is>
      </c>
      <c r="D9" t="inlineStr">
        <is>
          <t>Core - Locations hub</t>
        </is>
      </c>
      <c r="E9" t="inlineStr">
        <is>
          <t>fr</t>
        </is>
      </c>
      <c r="F9" t="inlineStr">
        <is>
          <t>Morocco</t>
        </is>
      </c>
      <c r="G9" s="5" t="inlineStr">
        <is>
          <t>Agence Web au Maroc et à l'International | CodeSommet</t>
        </is>
      </c>
      <c r="H9" t="n">
        <v>507</v>
      </c>
      <c r="I9" s="5" t="inlineStr">
        <is>
          <t>CodeSommet accompagne les entreprises depuis le Maroc et à distance : Casablanca, Paris, Dubaï, Londres, Toronto et plus de 30 villes.</t>
        </is>
      </c>
      <c r="J9" t="n">
        <v>134</v>
      </c>
      <c r="K9" s="5" t="inlineStr">
        <is>
          <t>Agence Web au Maroc et à l'International : des Sites Pour les Entreprises Internationales</t>
        </is>
      </c>
      <c r="L9" s="5" t="inlineStr">
        <is>
          <t>H2: Maroc (4 villes ) | H2: Moyen-Orient ( 3 villes ) | H2: Afrique (3 villes ) | H2: Europe du Sud (5 villes ) | H2: Europe ( 9 villes ) | H2: États-Unis ( 8 villes ) | H2: Canada ( 2 villes ) | H2: Votre Ville n'Apparaît Pas ?</t>
        </is>
      </c>
      <c r="M9" t="n">
        <v>9</v>
      </c>
      <c r="N9" t="n">
        <v>0</v>
      </c>
      <c r="O9" t="inlineStr">
        <is>
          <t>Navigational / commercial investigation</t>
        </is>
      </c>
      <c r="P9" t="inlineStr">
        <is>
          <t>index, follow; HTTP 200</t>
        </is>
      </c>
      <c r="Q9" t="inlineStr">
        <is>
          <t>https://codesommet.com/locations</t>
        </is>
      </c>
      <c r="R9" t="inlineStr">
        <is>
          <t>self</t>
        </is>
      </c>
      <c r="S9" t="n">
        <v>189</v>
      </c>
      <c r="T9" t="n">
        <v>9</v>
      </c>
      <c r="U9" t="n">
        <v>94</v>
      </c>
      <c r="V9" t="n">
        <v>1</v>
      </c>
      <c r="W9" t="n">
        <v>0</v>
      </c>
      <c r="X9" t="inlineStr">
        <is>
          <t>Organization, WebSite</t>
        </is>
      </c>
      <c r="Y9" t="inlineStr">
        <is>
          <t>agence web au maroc [ma]</t>
        </is>
      </c>
      <c r="Z9" s="5" t="inlineStr">
        <is>
          <t>OK</t>
        </is>
      </c>
    </row>
    <row r="10">
      <c r="A10" t="inlineStr">
        <is>
          <t>P008</t>
        </is>
      </c>
      <c r="B10" s="3" t="inlineStr">
        <is>
          <t>https://codesommet.com/tools</t>
        </is>
      </c>
      <c r="C10" s="5" t="inlineStr">
        <is>
          <t>40+ Outils SEO &amp; IA Gratuits en Ligne Pour Votre Site Web</t>
        </is>
      </c>
      <c r="D10" t="inlineStr">
        <is>
          <t>Core - Tools hub</t>
        </is>
      </c>
      <c r="E10" t="inlineStr">
        <is>
          <t>fr</t>
        </is>
      </c>
      <c r="F10" t="inlineStr">
        <is>
          <t>Francophone (FR proxy) + Morocco</t>
        </is>
      </c>
      <c r="G10" s="5" t="inlineStr">
        <is>
          <t>40+ Outils SEO &amp; IA Gratuits en Ligne | CodeSommet</t>
        </is>
      </c>
      <c r="H10" t="n">
        <v>481</v>
      </c>
      <c r="I10" s="5" t="inlineStr">
        <is>
          <t>Plus de 40 outils SEO et IA gratuits : audit de site, liens brisés, générateurs de schémas, minificateurs, analyseurs de performance. Sans inscription.</t>
        </is>
      </c>
      <c r="J10" t="n">
        <v>151</v>
      </c>
      <c r="K10" s="5" t="inlineStr">
        <is>
          <t>40+ Outils SEO &amp; IA Gratuits en Ligne Pour Votre Site Web</t>
        </is>
      </c>
      <c r="L10" s="5" t="inlineStr">
        <is>
          <t>H2: Aucun outil trouvé | H2: Besoin d'une Solution Sur Mesure ?</t>
        </is>
      </c>
      <c r="M10" t="n">
        <v>3</v>
      </c>
      <c r="N10" t="n">
        <v>0</v>
      </c>
      <c r="O10" t="inlineStr">
        <is>
          <t>Navigational / commercial investigation</t>
        </is>
      </c>
      <c r="P10" t="inlineStr">
        <is>
          <t>index, follow; HTTP 200</t>
        </is>
      </c>
      <c r="Q10" t="inlineStr">
        <is>
          <t>https://codesommet.com/tools</t>
        </is>
      </c>
      <c r="R10" t="inlineStr">
        <is>
          <t>self</t>
        </is>
      </c>
      <c r="S10" t="n">
        <v>1343</v>
      </c>
      <c r="T10" t="n">
        <v>3</v>
      </c>
      <c r="U10" t="n">
        <v>123</v>
      </c>
      <c r="V10" t="n">
        <v>1</v>
      </c>
      <c r="W10" t="n">
        <v>0</v>
      </c>
      <c r="X10" t="inlineStr">
        <is>
          <t>Organization, WebSite</t>
        </is>
      </c>
      <c r="Y10" t="inlineStr">
        <is>
          <t>outil seo gratuit [fr]</t>
        </is>
      </c>
      <c r="Z10" s="5" t="inlineStr">
        <is>
          <t>OK</t>
        </is>
      </c>
    </row>
    <row r="11">
      <c r="A11" t="inlineStr">
        <is>
          <t>P009</t>
        </is>
      </c>
      <c r="B11" s="3" t="inlineStr">
        <is>
          <t>https://codesommet.com/blog</t>
        </is>
      </c>
      <c r="C11" s="5" t="inlineStr">
        <is>
          <t>Blog Développement Web, SEO &amp; Design</t>
        </is>
      </c>
      <c r="D11" t="inlineStr">
        <is>
          <t>Core - Blog hub</t>
        </is>
      </c>
      <c r="E11" t="inlineStr">
        <is>
          <t>fr</t>
        </is>
      </c>
      <c r="F11" t="inlineStr">
        <is>
          <t>Francophone (FR proxy) + Morocco</t>
        </is>
      </c>
      <c r="G11" s="5" t="inlineStr">
        <is>
          <t>Blog Développement Web, SEO &amp; Design | CodeSommet</t>
        </is>
      </c>
      <c r="H11" t="n">
        <v>510</v>
      </c>
      <c r="I11" s="5" t="inlineStr">
        <is>
          <t>Découvrez nos articles sur le développement web, le design UI/UX, le SEO, les tendances tech et les meilleures pratiques pour votre projet digital.</t>
        </is>
      </c>
      <c r="J11" t="n">
        <v>147</v>
      </c>
      <c r="K11" s="5" t="inlineStr">
        <is>
          <t>Blog Développement Web, SEO &amp; Design</t>
        </is>
      </c>
      <c r="L11" s="5" t="inlineStr">
        <is>
          <t>H2: NE MANQUEZ AUCUN ARTICLE</t>
        </is>
      </c>
      <c r="M11" t="n">
        <v>2</v>
      </c>
      <c r="N11" t="n">
        <v>0</v>
      </c>
      <c r="O11" t="inlineStr">
        <is>
          <t>Navigational / commercial investigation</t>
        </is>
      </c>
      <c r="P11" t="inlineStr">
        <is>
          <t>index, follow; HTTP 200</t>
        </is>
      </c>
      <c r="Q11" t="inlineStr">
        <is>
          <t>https://codesommet.com/blog</t>
        </is>
      </c>
      <c r="R11" t="inlineStr">
        <is>
          <t>self</t>
        </is>
      </c>
      <c r="S11" t="n">
        <v>457</v>
      </c>
      <c r="T11" t="n">
        <v>2</v>
      </c>
      <c r="U11" t="n">
        <v>59</v>
      </c>
      <c r="V11" t="n">
        <v>10</v>
      </c>
      <c r="W11" t="n">
        <v>0</v>
      </c>
      <c r="X11" t="inlineStr">
        <is>
          <t>Organization, WebSite</t>
        </is>
      </c>
      <c r="Y11" t="inlineStr">
        <is>
          <t>blog développement web [fr]</t>
        </is>
      </c>
      <c r="Z11" s="5" t="inlineStr">
        <is>
          <t>OK</t>
        </is>
      </c>
    </row>
    <row r="12">
      <c r="A12" t="inlineStr">
        <is>
          <t>P010</t>
        </is>
      </c>
      <c r="B12" s="3" t="inlineStr">
        <is>
          <t>https://codesommet.com/legal/privacy-policy</t>
        </is>
      </c>
      <c r="C12" s="5" t="inlineStr">
        <is>
          <t>Politique de Confidentialité</t>
        </is>
      </c>
      <c r="D12" t="inlineStr">
        <is>
          <t>Legal</t>
        </is>
      </c>
      <c r="E12" t="inlineStr">
        <is>
          <t>fr</t>
        </is>
      </c>
      <c r="F12" t="inlineStr">
        <is>
          <t>Morocco</t>
        </is>
      </c>
      <c r="G12" s="5" t="inlineStr">
        <is>
          <t>Politique de Confidentialité | CodeSommet</t>
        </is>
      </c>
      <c r="H12" t="n">
        <v>373</v>
      </c>
      <c r="I12" s="5" t="inlineStr">
        <is>
          <t>Comment CodeSommet collecte, utilise et protège vos données personnelles : cookies, formulaires, newsletter, analytics et vos droits.</t>
        </is>
      </c>
      <c r="J12" t="n">
        <v>133</v>
      </c>
      <c r="K12" s="5" t="inlineStr">
        <is>
          <t>Politique de Confidentialité</t>
        </is>
      </c>
      <c r="L12" s="5" t="inlineStr">
        <is>
          <t>H2: Introduction | H2: Informations que nous collectons | H3: 1. Informations personnelles que vous fournissez | H3: 2. Informations collectées automatiquement | H3: 3. Informations provenant de tiers | H2: Comment nous utilisons vos informations | H2: Partage et divulgation des données | H2: Sécurité des données | H2: Vos droits en matière de vie privée | H3: En vertu du RGPD (pour les résidents de l'UE/Royaume-Uni) : | H3: En vertu du CCPA (pour les résidents de Californie) : | H2: Cookies et technologies de suivi | H3: Types de cookies que nous utilisons : | H2: Transferts internationaux de données | H2: Conservation des données | H2: Protection des données des enfants | H2: Modifications de cette politique de confidentialité | H2: Contactez-nous</t>
        </is>
      </c>
      <c r="M12" t="n">
        <v>13</v>
      </c>
      <c r="N12" t="n">
        <v>0</v>
      </c>
      <c r="O12" t="inlineStr">
        <is>
          <t>Navigational / compliance</t>
        </is>
      </c>
      <c r="P12" t="inlineStr">
        <is>
          <t>index, follow; HTTP 200</t>
        </is>
      </c>
      <c r="Q12" t="inlineStr">
        <is>
          <t>https://codesommet.com/legal/privacy-policy</t>
        </is>
      </c>
      <c r="R12" t="inlineStr">
        <is>
          <t>self</t>
        </is>
      </c>
      <c r="S12" t="n">
        <v>1450</v>
      </c>
      <c r="T12" t="n">
        <v>20</v>
      </c>
      <c r="U12" t="n">
        <v>60</v>
      </c>
      <c r="V12" t="n">
        <v>0</v>
      </c>
      <c r="W12" t="n">
        <v>0</v>
      </c>
      <c r="X12" t="inlineStr">
        <is>
          <t>Article, Organization, WebSite</t>
        </is>
      </c>
      <c r="Y12" t="inlineStr"/>
      <c r="Z12" s="5" t="inlineStr">
        <is>
          <t>OK</t>
        </is>
      </c>
    </row>
    <row r="13">
      <c r="A13" t="inlineStr">
        <is>
          <t>P011</t>
        </is>
      </c>
      <c r="B13" s="3" t="inlineStr">
        <is>
          <t>https://codesommet.com/legal/terms-of-service</t>
        </is>
      </c>
      <c r="C13" s="5" t="inlineStr">
        <is>
          <t>Conditions d'Utilisation</t>
        </is>
      </c>
      <c r="D13" t="inlineStr">
        <is>
          <t>Legal</t>
        </is>
      </c>
      <c r="E13" t="inlineStr">
        <is>
          <t>fr</t>
        </is>
      </c>
      <c r="F13" t="inlineStr">
        <is>
          <t>Morocco</t>
        </is>
      </c>
      <c r="G13" s="5" t="inlineStr">
        <is>
          <t>Conditions d'Utilisation | CodeSommet</t>
        </is>
      </c>
      <c r="H13" t="n">
        <v>338</v>
      </c>
      <c r="I13" s="5" t="inlineStr">
        <is>
          <t>Conditions d'utilisation des services CodeSommet : prestations de développement web, obligations des parties, propriété intellectuelle, responsabilité.</t>
        </is>
      </c>
      <c r="J13" t="n">
        <v>151</v>
      </c>
      <c r="K13" s="5" t="inlineStr">
        <is>
          <t>Conditions d'Utilisation</t>
        </is>
      </c>
      <c r="L13" s="5" t="inlineStr">
        <is>
          <t>H2: Acceptation des conditions | H2: Définitions | H2: Services fournis | H3: 1. Services de forfait | H3: 2. Développement de site web (Projets ponctuels) | H2: Responsabilités du client | H2: Conditions de paiement | H3: 1. Tarification et frais | H3: 2. Modes de paiement | H3: 3. Calendrier de paiement | H3: 4. Retards de paiement | H3: 5. Remboursements | H3: 6. Taxes | H2: Droits de propriété intellectuelle | H3: 1. Propriété des livrables finaux | H3: 2. Droits conservés par CodeSommet | H3: 3. Matériaux tiers | H3: 4. Matériaux fournis par le client | H2: Calendrier et livraison du projet | H3: Délais standards | H2: Révisions et modifications | H3: Révisions incluses | H3: Ce qui constitue une révision | H3: Changements de portée | H2: Garanties et clauses de non-responsabilité | H3: Nos garanties | H3: Clauses de non-responsabilité | H2: Limitation de responsabilité | H2: Indemnisation | H2: Résiliation | H3: Résiliation par le client | H3: Nos droits de résiliation | H3: Effets de la résiliation | H2: Confidentialité | H3: Nos obligations de confidentialité | H3: Exceptions | H2: Résolution des litiges | H3: 1. Résolution informelle | H3: 2. Arbitrage contraignant | H3: 3. Renonciation aux actions collectives | H3: 4. Exceptions à l'arbitrage | H2: Droit applicable | H2: Dispositions diverses | H3: Intégralité de l'accord | H3: Modifications | H3: Divisibilité | H3: Renonciation | H3: Cession | H3: Force majeure | H3: Survie | H2: Des questions sur ces conditions ?</t>
        </is>
      </c>
      <c r="M13" t="n">
        <v>18</v>
      </c>
      <c r="N13" t="n">
        <v>0</v>
      </c>
      <c r="O13" t="inlineStr">
        <is>
          <t>Navigational / compliance</t>
        </is>
      </c>
      <c r="P13" t="inlineStr">
        <is>
          <t>index, follow; HTTP 200</t>
        </is>
      </c>
      <c r="Q13" t="inlineStr">
        <is>
          <t>https://codesommet.com/legal/terms-of-service</t>
        </is>
      </c>
      <c r="R13" t="inlineStr">
        <is>
          <t>self</t>
        </is>
      </c>
      <c r="S13" t="n">
        <v>2903</v>
      </c>
      <c r="T13" t="n">
        <v>58</v>
      </c>
      <c r="U13" t="n">
        <v>60</v>
      </c>
      <c r="V13" t="n">
        <v>0</v>
      </c>
      <c r="W13" t="n">
        <v>0</v>
      </c>
      <c r="X13" t="inlineStr">
        <is>
          <t>Article, Organization, WebSite</t>
        </is>
      </c>
      <c r="Y13" t="inlineStr"/>
      <c r="Z13" s="5" t="inlineStr">
        <is>
          <t>Review: 58 headings</t>
        </is>
      </c>
    </row>
    <row r="14">
      <c r="A14" t="inlineStr">
        <is>
          <t>P012</t>
        </is>
      </c>
      <c r="B14" s="3" t="inlineStr">
        <is>
          <t>https://codesommet.com/legal/refund-policy</t>
        </is>
      </c>
      <c r="C14" s="5" t="inlineStr">
        <is>
          <t>Politique de Remboursement et d'Annulation</t>
        </is>
      </c>
      <c r="D14" t="inlineStr">
        <is>
          <t>Legal</t>
        </is>
      </c>
      <c r="E14" t="inlineStr">
        <is>
          <t>fr</t>
        </is>
      </c>
      <c r="F14" t="inlineStr">
        <is>
          <t>Morocco</t>
        </is>
      </c>
      <c r="G14" s="5" t="inlineStr">
        <is>
          <t>Politique de Remboursement et d'Annulation | CodeSommet</t>
        </is>
      </c>
      <c r="H14" t="n">
        <v>533</v>
      </c>
      <c r="I14" s="5" t="inlineStr">
        <is>
          <t>Modalités de remboursement et d'annulation des projets CodeSommet : conditions applicables aux acomptes, jalons de paiement et arrêt de prestation.</t>
        </is>
      </c>
      <c r="J14" t="n">
        <v>147</v>
      </c>
      <c r="K14" s="5" t="inlineStr">
        <is>
          <t>Politique de Remboursement et d'Annulation</t>
        </is>
      </c>
      <c r="L14" s="5" t="inlineStr">
        <is>
          <t>H2: Notre engagement d'équité | H3: Notre philosophie de remboursement | H2: Services de forfait mensuel | H3: Conditions d'annulation | H3: Éligibilité au remboursement | H3: Mise en pause de votre forfait | H3: Ce qui se passe après l'annulation | H2: Développement de site web (Projets ponctuels) | H3: Structure de paiement | H3: Politique de remboursement par étape du projet | H3: Résiliation par le client | H3: Garantie de satisfaction | H2: Frais et charges supplémentaires | H3: Services complémentaires | H3: Frais de traitement des paiements | H3: Contestations de paiement | H2: Comment demander un remboursement | H3: Processus de demande de remboursement | H3: Résolution des litiges | H2: Circonstances particulières | H3: Situations d'urgence | H3: Défaillances de service | H3: Remboursements de bonne volonté | H2: Des questions sur les remboursements ? | H2: Mentions légales importantes</t>
        </is>
      </c>
      <c r="M14" t="n">
        <v>9</v>
      </c>
      <c r="N14" t="n">
        <v>0</v>
      </c>
      <c r="O14" t="inlineStr">
        <is>
          <t>Navigational / compliance</t>
        </is>
      </c>
      <c r="P14" t="inlineStr">
        <is>
          <t>index, follow; HTTP 200</t>
        </is>
      </c>
      <c r="Q14" t="inlineStr">
        <is>
          <t>https://codesommet.com/legal/refund-policy</t>
        </is>
      </c>
      <c r="R14" t="inlineStr">
        <is>
          <t>self</t>
        </is>
      </c>
      <c r="S14" t="n">
        <v>1935</v>
      </c>
      <c r="T14" t="n">
        <v>35</v>
      </c>
      <c r="U14" t="n">
        <v>61</v>
      </c>
      <c r="V14" t="n">
        <v>0</v>
      </c>
      <c r="W14" t="n">
        <v>0</v>
      </c>
      <c r="X14" t="inlineStr">
        <is>
          <t>Article, Organization, WebSite</t>
        </is>
      </c>
      <c r="Y14" t="inlineStr"/>
      <c r="Z14" s="5" t="inlineStr">
        <is>
          <t>Review: 35 headings</t>
        </is>
      </c>
    </row>
    <row r="15">
      <c r="A15" t="inlineStr">
        <is>
          <t>P013</t>
        </is>
      </c>
      <c r="B15" s="3" t="inlineStr">
        <is>
          <t>https://codesommet.com/legal/cookie-policy</t>
        </is>
      </c>
      <c r="C15" s="5" t="inlineStr">
        <is>
          <t>Politique de Cookies</t>
        </is>
      </c>
      <c r="D15" t="inlineStr">
        <is>
          <t>Legal</t>
        </is>
      </c>
      <c r="E15" t="inlineStr">
        <is>
          <t>fr</t>
        </is>
      </c>
      <c r="F15" t="inlineStr">
        <is>
          <t>Morocco</t>
        </is>
      </c>
      <c r="G15" s="5" t="inlineStr">
        <is>
          <t>Politique de Cookies | CodeSommet</t>
        </is>
      </c>
      <c r="H15" t="n">
        <v>319</v>
      </c>
      <c r="I15" s="5" t="inlineStr">
        <is>
          <t>Les cookies utilisés sur codesommet.com : cookies techniques, mesure d'audience Google Analytics, durées de conservation et gestion de vos préférences.</t>
        </is>
      </c>
      <c r="J15" t="n">
        <v>151</v>
      </c>
      <c r="K15" s="5" t="inlineStr">
        <is>
          <t>Politique de Cookies</t>
        </is>
      </c>
      <c r="L15" s="5" t="inlineStr">
        <is>
          <t>H2: Introduction | H2: Que sont les cookies ? | H3: Types de technologies de cookies | H3: Durée des cookies | H2: Types de cookies que nous utilisons | H3: 1. Cookies essentiels (strictement nécessaires) | H3: 2. Cookies d'analyse et de performance | H3: 3. Cookies de préférences (fonctionnels) | H3: 4. Cookies marketing et publicitaires (avec consentement) | H2: Cookies tiers | H3: Google Analytics 4 | H3: Stripe (Traitement des paiements) | H2: Comment contrôler et supprimer les cookies | H3: Paramètres du navigateur | H3: Instructions par navigateur | H2: Vos choix de consentement aux cookies | H2: Do Not Track (DNT) | H2: Mises à jour de cette politique de cookies | H2: Des questions sur les cookies ?</t>
        </is>
      </c>
      <c r="M15" t="n">
        <v>10</v>
      </c>
      <c r="N15" t="n">
        <v>0</v>
      </c>
      <c r="O15" t="inlineStr">
        <is>
          <t>Navigational / compliance</t>
        </is>
      </c>
      <c r="P15" t="inlineStr">
        <is>
          <t>index, follow; HTTP 200</t>
        </is>
      </c>
      <c r="Q15" t="inlineStr">
        <is>
          <t>https://codesommet.com/legal/cookie-policy</t>
        </is>
      </c>
      <c r="R15" t="inlineStr">
        <is>
          <t>self</t>
        </is>
      </c>
      <c r="S15" t="n">
        <v>1159</v>
      </c>
      <c r="T15" t="n">
        <v>24</v>
      </c>
      <c r="U15" t="n">
        <v>58</v>
      </c>
      <c r="V15" t="n">
        <v>0</v>
      </c>
      <c r="W15" t="n">
        <v>0</v>
      </c>
      <c r="X15" t="inlineStr">
        <is>
          <t>Article, Organization, WebSite</t>
        </is>
      </c>
      <c r="Y15" t="inlineStr"/>
      <c r="Z15" s="5" t="inlineStr">
        <is>
          <t>OK</t>
        </is>
      </c>
    </row>
    <row r="16">
      <c r="A16" t="inlineStr">
        <is>
          <t>P014</t>
        </is>
      </c>
      <c r="B16" s="3" t="inlineStr">
        <is>
          <t>https://codesommet.com/legal/acceptable-use</t>
        </is>
      </c>
      <c r="C16" s="5" t="inlineStr">
        <is>
          <t>Politique d'Utilisation Acceptable</t>
        </is>
      </c>
      <c r="D16" t="inlineStr">
        <is>
          <t>Legal</t>
        </is>
      </c>
      <c r="E16" t="inlineStr">
        <is>
          <t>fr</t>
        </is>
      </c>
      <c r="F16" t="inlineStr">
        <is>
          <t>Morocco</t>
        </is>
      </c>
      <c r="G16" s="5" t="inlineStr">
        <is>
          <t>Politique d'Utilisation Acceptable | CodeSommet</t>
        </is>
      </c>
      <c r="H16" t="n">
        <v>424</v>
      </c>
      <c r="I16" s="5" t="inlineStr">
        <is>
          <t>Règles d'utilisation acceptable des services et outils CodeSommet : usages autorisés, usages interdits et mesures en cas d'abus.</t>
        </is>
      </c>
      <c r="J16" t="n">
        <v>128</v>
      </c>
      <c r="K16" s="5" t="inlineStr">
        <is>
          <t>Politique d'Utilisation Acceptable</t>
        </is>
      </c>
      <c r="L16" s="5" t="inlineStr">
        <is>
          <t>H2: Introduction | H2: Utilisations autorisées | H2: Utilisations interdites | H3: 1. Activités illégales | H3: 2. Contenu nuisible ou abusif | H3: 3. Spam et activités malveillantes | H3: 4. Violations de la propriété intellectuelle | H3: 5. Abus de service | H3: 6. Pratiques trompeuses | H3: 7. Contenu adulte et explicite (restrictions applicables) | H3: 8. Violations de la vie privée | H2: Sécurité et utilisation responsable | H3: Bonnes pratiques de sécurité | H2: Conséquences des violations | H3: 1. Avertissement | H3: 2. Suppression de contenu | H3: 3. Suspension du service | H3: 4. Résiliation du compte | H3: 5. Action en justice | H3: 6. Responsabilité financière | H2: Signalement des violations | H3: Comment signaler | H2: Mises à jour de cette politique | H2: Des questions ou des préoccupations ?</t>
        </is>
      </c>
      <c r="M16" t="n">
        <v>9</v>
      </c>
      <c r="N16" t="n">
        <v>0</v>
      </c>
      <c r="O16" t="inlineStr">
        <is>
          <t>Navigational / compliance</t>
        </is>
      </c>
      <c r="P16" t="inlineStr">
        <is>
          <t>index, follow; HTTP 200</t>
        </is>
      </c>
      <c r="Q16" t="inlineStr">
        <is>
          <t>https://codesommet.com/legal/acceptable-use</t>
        </is>
      </c>
      <c r="R16" t="inlineStr">
        <is>
          <t>self</t>
        </is>
      </c>
      <c r="S16" t="n">
        <v>1475</v>
      </c>
      <c r="T16" t="n">
        <v>25</v>
      </c>
      <c r="U16" t="n">
        <v>58</v>
      </c>
      <c r="V16" t="n">
        <v>0</v>
      </c>
      <c r="W16" t="n">
        <v>0</v>
      </c>
      <c r="X16" t="inlineStr">
        <is>
          <t>Article, Organization, WebSite</t>
        </is>
      </c>
      <c r="Y16" t="inlineStr"/>
      <c r="Z16" s="5" t="inlineStr">
        <is>
          <t>OK</t>
        </is>
      </c>
    </row>
    <row r="17">
      <c r="A17" t="inlineStr">
        <is>
          <t>P015</t>
        </is>
      </c>
      <c r="B17" s="3" t="inlineStr">
        <is>
          <t>https://codesommet.com/services/ecommerce-website-development</t>
        </is>
      </c>
      <c r="C17" s="5" t="inlineStr">
        <is>
          <t>Création Site E-commerce au Maroc : une Boutique qui génère des VENTES EN LIGNE</t>
        </is>
      </c>
      <c r="D17" t="inlineStr">
        <is>
          <t>Service landing page</t>
        </is>
      </c>
      <c r="E17" t="inlineStr">
        <is>
          <t>fr</t>
        </is>
      </c>
      <c r="F17" t="inlineStr">
        <is>
          <t>Morocco</t>
        </is>
      </c>
      <c r="G17" s="5" t="inlineStr">
        <is>
          <t>Création Site E-commerce Maroc — Boutique | CodeSommet</t>
        </is>
      </c>
      <c r="H17" t="n">
        <v>546</v>
      </c>
      <c r="I17" s="5" t="inlineStr">
        <is>
          <t>Création de sites e-commerce au Maroc : boutique en ligne sur mesure, paiements sécurisés, gestion des stocks et optimisation de conversion. Devis gratuit.</t>
        </is>
      </c>
      <c r="J17" t="n">
        <v>155</v>
      </c>
      <c r="K17" s="5" t="inlineStr">
        <is>
          <t>Création Site E-commerce au Maroc : une Boutique qui génère des VENTES EN LIGNE</t>
        </is>
      </c>
      <c r="L17" s="5" t="inlineStr">
        <is>
          <t>H2: Pourquoi Choisir CodeSommet dans le secteur E-commerce ? | H3: Paiement Optimisé pour la Conversion | H3: Traitement Sécurisé des Paiements | H3: Gestion d'Inventaire en Temps Réel | H3: Recommandations de Produits par IA | H3: Tableau de Bord d'Analyse des Ventes | H3: Expérience d'Achat Mobile-First | H2: Adopté par les E-commerce Entreprises | H2: Le Défi : E-commerce Les Entreprises Font Face à des Défis Web Uniques | H3: Taux Élevés d'Abandon de Panier | H3: Options de Paiement Limitées | H3: Chaos dans la Gestion des Stocks | H3: Faible Valeur Moyenne de Commande | H3: Temps de Chargement Lents | H3: Préoccupations de Sécurité et de Confiance | H2: Fonctionnalités Essentielles for E-commerce Sites Web | H3: Flux de Paiement Optimisé | H3: Système d'Inventaire en Temps Réel | H3: Recommandations de Produits par IA | H3: Tableau de Bord d'Analyse des Ventes | H2: Histoires de Succès en E-commerce | H2: Notre Processus de Développement for E-commerce | H3: Découverte et Design de Boutique | H3: Développement de la Plateforme Principale | H3: Inventaire et Recommandations | H3: Tests, Analytique et Lancement | H2: Solutions Personnalisées, Tarification Transparente | H3: Développement de Sites Web | H3: Abonnement | H2: Prêt à Transformer Votre Site Web E-commerce ? | H2: CodeSommet E-commerce vs Autres | H2: Ce que Nos Clients en E-commerce Disent de Nous | H2: Questions Fréquemment Posées sur le Développement Web en E-commerce | H3: Combien de temps faut-il pour const</t>
        </is>
      </c>
      <c r="M17" t="n">
        <v>16</v>
      </c>
      <c r="N17" t="n">
        <v>8</v>
      </c>
      <c r="O17" t="inlineStr">
        <is>
          <t>Commercial</t>
        </is>
      </c>
      <c r="P17" t="inlineStr">
        <is>
          <t>index, follow; HTTP 200</t>
        </is>
      </c>
      <c r="Q17" t="inlineStr">
        <is>
          <t>https://codesommet.com/services/ecommerce-website-development</t>
        </is>
      </c>
      <c r="R17" t="inlineStr">
        <is>
          <t>self</t>
        </is>
      </c>
      <c r="S17" t="n">
        <v>2599</v>
      </c>
      <c r="T17" t="n">
        <v>46</v>
      </c>
      <c r="U17" t="n">
        <v>83</v>
      </c>
      <c r="V17" t="n">
        <v>9</v>
      </c>
      <c r="W17" t="n">
        <v>0</v>
      </c>
      <c r="X17" t="inlineStr">
        <is>
          <t>BreadcrumbList, FAQPage, Organization, Service, WebSite</t>
        </is>
      </c>
      <c r="Y17" t="inlineStr">
        <is>
          <t>création site e-commerce maroc [ma]</t>
        </is>
      </c>
      <c r="Z17" s="5" t="inlineStr">
        <is>
          <t>Review: 46 headings</t>
        </is>
      </c>
    </row>
    <row r="18">
      <c r="A18" t="inlineStr">
        <is>
          <t>P016</t>
        </is>
      </c>
      <c r="B18" s="3" t="inlineStr">
        <is>
          <t>https://codesommet.com/services/saas-platform-development</t>
        </is>
      </c>
      <c r="C18" s="5" t="inlineStr">
        <is>
          <t>Développement de Plateformes SaaS &amp; B2B qui génèrent des TABLEAUX DE BORD UTILISATEURS</t>
        </is>
      </c>
      <c r="D18" t="inlineStr">
        <is>
          <t>Service landing page</t>
        </is>
      </c>
      <c r="E18" t="inlineStr">
        <is>
          <t>fr</t>
        </is>
      </c>
      <c r="F18" t="inlineStr">
        <is>
          <t>Francophone (FR) + Morocco</t>
        </is>
      </c>
      <c r="G18" s="5" t="inlineStr">
        <is>
          <t>Développement de Plateformes SaaS &amp; B2B | CodeSommet</t>
        </is>
      </c>
      <c r="H18" t="n">
        <v>535</v>
      </c>
      <c r="I18" s="5" t="inlineStr">
        <is>
          <t>Développement de plateformes SaaS sur mesure : tableaux de bord, administration, intégrations API et facturation par abonnement. Devis gratuit.</t>
        </is>
      </c>
      <c r="J18" t="n">
        <v>143</v>
      </c>
      <c r="K18" s="5" t="inlineStr">
        <is>
          <t>Développement de Plateformes SaaS &amp; B2B qui génèrent des TABLEAUX DE BORD UTILISATEURS</t>
        </is>
      </c>
      <c r="L18" s="5" t="inlineStr">
        <is>
          <t>H2: Pourquoi Choisir CodeSommet dans le secteur SaaS &amp; Logiciels B2B ? | H3: Une Part Importante de Nos Clients est dans le SaaS | H3: Fonctionnalités SaaS Alimentées par l'IA | H3: Parcours Utilisateur Complet | H3: Design SaaS Axé sur la Croissance | H3: Architecture Multi-Tenant | H3: MVP Rapide vers le Marché | H2: Adopté par les SaaS &amp; Logiciels B2B Entreprises | H2: Le Défi : SaaS &amp; Logiciels B2B Les Entreprises Font Face à des Défis Web Uniques | H3: Le MVP ne Passe pas à l'Échelle en Production | H3: Taux d'Attrition Élevé la Première Semaine | H3: Aucune Analytique sur le Comportement Utilisateur | H3: Facturation et Factures Manuelles | H3: Documentation API Obsolète | H3: Chaos d'Intégration | H2: Fonctionnalités Essentielles pour SaaS &amp; Logiciels B2B Sites Web | H3: Tableau de Bord Utilisateur | H3: Panneau d'Administration | H3: Hub d'Intégration API | H3: Facturation par Abonnement | H2: Histoires de Succès en SaaS &amp; Logiciels B2B | H2: Notre Processus de Développement pour SaaS &amp; Logiciels B2B | H3: Découverte &amp; Architecture | H3: Design et Prototypage | H3: Développement et Intégration | H3: Tests &amp; Lancement | H2: Solutions Personnalisées, Tarification Transparente | H3: Développement de Sites Web | H3: Abonnement | H2: Prêt à Transformer Votre Site Web SaaS &amp; Logiciels B2B ? | H2: CodeSommet SaaS &amp; Logiciels B2B vs Autres | H2: Ce que Nos Clients en SaaS &amp; Logiciels B2B Disent de Nous | H2: Questions Fréquemment Posées sur le Développement Web en SaaS &amp; Logi</t>
        </is>
      </c>
      <c r="M18" t="n">
        <v>17</v>
      </c>
      <c r="N18" t="n">
        <v>8</v>
      </c>
      <c r="O18" t="inlineStr">
        <is>
          <t>Commercial</t>
        </is>
      </c>
      <c r="P18" t="inlineStr">
        <is>
          <t>index, follow; HTTP 200</t>
        </is>
      </c>
      <c r="Q18" t="inlineStr">
        <is>
          <t>https://codesommet.com/services/saas-platform-development</t>
        </is>
      </c>
      <c r="R18" t="inlineStr">
        <is>
          <t>self</t>
        </is>
      </c>
      <c r="S18" t="n">
        <v>2684</v>
      </c>
      <c r="T18" t="n">
        <v>47</v>
      </c>
      <c r="U18" t="n">
        <v>88</v>
      </c>
      <c r="V18" t="n">
        <v>12</v>
      </c>
      <c r="W18" t="n">
        <v>0</v>
      </c>
      <c r="X18" t="inlineStr">
        <is>
          <t>BreadcrumbList, FAQPage, Organization, Service, WebSite</t>
        </is>
      </c>
      <c r="Y18" t="inlineStr">
        <is>
          <t>développement saas [fr]</t>
        </is>
      </c>
      <c r="Z18" s="5" t="inlineStr">
        <is>
          <t>Review: 47 headings</t>
        </is>
      </c>
    </row>
    <row r="19">
      <c r="A19" t="inlineStr">
        <is>
          <t>P017</t>
        </is>
      </c>
      <c r="B19" s="3" t="inlineStr">
        <is>
          <t>https://codesommet.com/services/fintech-platform-development</t>
        </is>
      </c>
      <c r="C19" s="5" t="inlineStr">
        <is>
          <t>Développement de Plateformes FinTech qui génèrent des PASSERELLES DE PAIEMENT</t>
        </is>
      </c>
      <c r="D19" t="inlineStr">
        <is>
          <t>Service landing page</t>
        </is>
      </c>
      <c r="E19" t="inlineStr">
        <is>
          <t>fr</t>
        </is>
      </c>
      <c r="F19" t="inlineStr">
        <is>
          <t>Francophone (FR) + Morocco</t>
        </is>
      </c>
      <c r="G19" s="5" t="inlineStr">
        <is>
          <t>Développement de Plateformes FinTech &amp; Paiement | CodeSommet</t>
        </is>
      </c>
      <c r="H19" t="n">
        <v>605</v>
      </c>
      <c r="I19" s="5" t="inlineStr">
        <is>
          <t>Développement de plateformes FinTech : passerelles de paiement, tableaux de bord de trading, vérification KYC et conformité réglementaire. Devis gratuit.</t>
        </is>
      </c>
      <c r="J19" t="n">
        <v>153</v>
      </c>
      <c r="K19" s="5" t="inlineStr">
        <is>
          <t>Développement de Plateformes FinTech qui génèrent des PASSERELLES DE PAIEMENT</t>
        </is>
      </c>
      <c r="L19" s="5" t="inlineStr">
        <is>
          <t>H2: Pourquoi Choisir CodeSommet dans le secteur FinTech et Services Financiers ? | H3: Une Part Importante de Nos Clients Est dans la FinTech | H3: Fonctionnalités FinTech Alimentées par l'IA | H3: Parcours de Paiement Complet | H3: Optimisation des Transactions | H3: Multi-Devises et Transfrontalier | H3: Conformité Réglementaire Rapide | H2: Adopté par les FinTech et Services Financiers Entreprises | H2: Le Défi : FinTech et Services Financiers Les Entreprises Font Face à des Défis Web Uniques | H3: La Sécurité des Paiements est Critique | H3: Le KYC Manuel est Lent et Coûteux | H3: Taux Élevés de Rétrofacturation et de Fraude | H3: Le Règlement Prend des Jours | H3: Les Rapports de Conformité Sont Manuels | H3: Les Frais de Transaction Rongent les Marges | H2: Articles liés | H2: Fonctionnalités Essentielles for FinTech et Services Financiers Sites Web | H3: Passerelle de Paiement | H3: Tableau de Bord de Trading | H3: Vérification KYC | H3: Analyses Financières | H2: Histoires de Succès en FinTech et Services Financiers | H2: Notre Processus de Développement for FinTech et Services Financiers | H3: Découverte et Planification de Conformité | H3: Design et Architecture de Sécurité | H3: Développement et Intégration | H3: Audit de Sécurité et Lancement | H2: Solutions Personnalisées, Tarification Transparente | H3: Développement de Sites Web | H3: Abonnement | H2: Prêt à Transformer Votre Site Web FinTech et de Services Financiers ? | H2: CodeSommet FinTech et Services Fina</t>
        </is>
      </c>
      <c r="M19" t="n">
        <v>17</v>
      </c>
      <c r="N19" t="n">
        <v>8</v>
      </c>
      <c r="O19" t="inlineStr">
        <is>
          <t>Commercial</t>
        </is>
      </c>
      <c r="P19" t="inlineStr">
        <is>
          <t>index, follow; HTTP 200</t>
        </is>
      </c>
      <c r="Q19" t="inlineStr">
        <is>
          <t>https://codesommet.com/services/fintech-platform-development</t>
        </is>
      </c>
      <c r="R19" t="inlineStr">
        <is>
          <t>self</t>
        </is>
      </c>
      <c r="S19" t="n">
        <v>2780</v>
      </c>
      <c r="T19" t="n">
        <v>47</v>
      </c>
      <c r="U19" t="n">
        <v>88</v>
      </c>
      <c r="V19" t="n">
        <v>11</v>
      </c>
      <c r="W19" t="n">
        <v>0</v>
      </c>
      <c r="X19" t="inlineStr">
        <is>
          <t>BreadcrumbList, FAQPage, Organization, Service, WebSite</t>
        </is>
      </c>
      <c r="Y19" t="inlineStr">
        <is>
          <t>développement fintech [fr]</t>
        </is>
      </c>
      <c r="Z19" s="5" t="inlineStr">
        <is>
          <t>Review: title 605px; 47 headings</t>
        </is>
      </c>
    </row>
    <row r="20">
      <c r="A20" t="inlineStr">
        <is>
          <t>P018</t>
        </is>
      </c>
      <c r="B20" s="3" t="inlineStr">
        <is>
          <t>https://codesommet.com/services/fintech-website-development</t>
        </is>
      </c>
      <c r="C20" s="5" t="inlineStr">
        <is>
          <t>Création de Sites Web FinTech &amp; Finance qui génèrent des CROISSANCE FINANCIÈRE</t>
        </is>
      </c>
      <c r="D20" t="inlineStr">
        <is>
          <t>Service landing page</t>
        </is>
      </c>
      <c r="E20" t="inlineStr">
        <is>
          <t>fr</t>
        </is>
      </c>
      <c r="F20" t="inlineStr">
        <is>
          <t>Francophone (FR) + Morocco</t>
        </is>
      </c>
      <c r="G20" s="5" t="inlineStr">
        <is>
          <t>Création de Sites Web FinTech &amp; Finance | CodeSommet</t>
        </is>
      </c>
      <c r="H20" t="n">
        <v>511</v>
      </c>
      <c r="I20" s="5" t="inlineStr">
        <is>
          <t>Création de sites web FinTech : paiements sécurisés, design conforme à la réglementation et pages optimisées pour la conversion. Devis gratuit.</t>
        </is>
      </c>
      <c r="J20" t="n">
        <v>143</v>
      </c>
      <c r="K20" s="5" t="inlineStr">
        <is>
          <t>Création de Sites Web FinTech &amp; Finance qui génèrent des CROISSANCE FINANCIÈRE</t>
        </is>
      </c>
      <c r="L20" s="5" t="inlineStr">
        <is>
          <t>H2: Pourquoi Choisir CodeSommet dans le secteur FinTech et Services Financiers ? | H3: Une Part Importante de Nos Clients Sont dans la FinTech | H3: Fonctionnalités FinTech Alimentées par l'IA | H3: Parcours de Paiement Complet | H3: Optimisation des Transactions | H3: Multi-Devises et Transfrontalier | H3: Conformité Réglementaire Rapide | H2: Articles liés | H2: Adopté par les FinTech et Services Financiers Entreprises | H2: Le Défi : FinTech et Services Financiers Les Entreprises Font Face à des Défis Web Uniques | H3: Votre Site N'Inspire Pas Confiance dès la Première Seconde | H3: Un Site Lent Fait Fuir les Prospects Prudents | H3: Un Template Générique Ne Convertit Pas | H3: Votre Offre N'Est Pas Claire en 10 Secondes | H3: Vos Certifications Sont Invisibles pour le Visiteur | H3: Sans Simulateur, Vous Perdez des Leads Qualifiés | H2: Fonctionnalités Essentielles for FinTech et Services Financiers Sites Web | H3: Sécurité et Conformité Mises en Valeur | H3: Présentation de Vos Produits Financiers | H3: Parcours d'Inscription et de Contact Clairs | H3: Suivi des Performances du Site | H2: Histoires de Succès en FinTech et Services Financiers | H2: Notre Processus de Développement for FinTech et Services Financiers | H3: Découverte et Planification de Conformité | H3: Design et Architecture de Sécurité | H3: Développement et Intégration | H3: Audit de Sécurité et Lancement | H2: Solutions Personnalisées, Tarification Transparente | H3: Développement de Sites Web | H3: Abo</t>
        </is>
      </c>
      <c r="M20" t="n">
        <v>17</v>
      </c>
      <c r="N20" t="n">
        <v>8</v>
      </c>
      <c r="O20" t="inlineStr">
        <is>
          <t>Commercial</t>
        </is>
      </c>
      <c r="P20" t="inlineStr">
        <is>
          <t>index, follow; HTTP 200</t>
        </is>
      </c>
      <c r="Q20" t="inlineStr">
        <is>
          <t>https://codesommet.com/services/fintech-website-development</t>
        </is>
      </c>
      <c r="R20" t="inlineStr">
        <is>
          <t>self</t>
        </is>
      </c>
      <c r="S20" t="n">
        <v>2812</v>
      </c>
      <c r="T20" t="n">
        <v>47</v>
      </c>
      <c r="U20" t="n">
        <v>87</v>
      </c>
      <c r="V20" t="n">
        <v>10</v>
      </c>
      <c r="W20" t="n">
        <v>0</v>
      </c>
      <c r="X20" t="inlineStr">
        <is>
          <t>BreadcrumbList, FAQPage, Organization, Service, WebSite</t>
        </is>
      </c>
      <c r="Y20" t="inlineStr">
        <is>
          <t>site web fintech [fr]</t>
        </is>
      </c>
      <c r="Z20" s="5" t="inlineStr">
        <is>
          <t>Review: 47 headings</t>
        </is>
      </c>
    </row>
    <row r="21">
      <c r="A21" t="inlineStr">
        <is>
          <t>P019</t>
        </is>
      </c>
      <c r="B21" s="3" t="inlineStr">
        <is>
          <t>https://codesommet.com/services/healthcare-website-development</t>
        </is>
      </c>
      <c r="C21" s="5" t="inlineStr">
        <is>
          <t>Développement de Sites Web Santé &amp; Télésanté qui génèrent des PORTAILS PATIENTS</t>
        </is>
      </c>
      <c r="D21" t="inlineStr">
        <is>
          <t>Service landing page</t>
        </is>
      </c>
      <c r="E21" t="inlineStr">
        <is>
          <t>fr</t>
        </is>
      </c>
      <c r="F21" t="inlineStr">
        <is>
          <t>Francophone (FR) + Morocco</t>
        </is>
      </c>
      <c r="G21" s="5" t="inlineStr">
        <is>
          <t>Développement de Sites Web Santé &amp; Télésanté | CodeSommet</t>
        </is>
      </c>
      <c r="H21" t="n">
        <v>573</v>
      </c>
      <c r="I21" s="5" t="inlineStr">
        <is>
          <t>Sites web pour cliniques et professionnels de santé : portails patients, télémédecine et prise de rendez-vous en ligne, avec IA. Devis gratuit.</t>
        </is>
      </c>
      <c r="J21" t="n">
        <v>143</v>
      </c>
      <c r="K21" s="5" t="inlineStr">
        <is>
          <t>Développement de Sites Web Santé &amp; Télésanté qui génèrent des PORTAILS PATIENTS</t>
        </is>
      </c>
      <c r="L21" s="5" t="inlineStr">
        <is>
          <t>H2: Pourquoi Choisir CodeSommet dans le secteur Santé et Médical ? | H3: La Santé Est au Cœur de Notre Activité | H3: Engagement Patient Alimenté par l'IA | H3: Conformité HIPAA Intégrée | H3: Experts en Acquisition de Patients | H3: Réduire les Rendez-vous Manqués | H3: Lancement Rapide pour les Nouveaux Cabinets | H2: Adopté par les Santé et Médical Entreprises | H2: Le Défi : Santé et Médical Les Entreprises Font Face à des Défis Web Uniques | H3: Les Portails Patients Ne Répondent Pas aux Normes HIPAA | H3: Le Personnel Lutte avec les Backends CMS Complexes | H3: Faibles Taux de Conversion des Rendez-vous en Ligne | H3: Pas d'Engagement Patient Après la Première Visite | H3: Perte de Patients au Profit des Concurrents sur Google | H3: Accueil Submergé de Questions Répétitives | H2: Fonctionnalités Essentielles for Santé et Médical Sites Web | H3: Système de Prise de Rendez-vous | H3: Plateforme de Télémédecine | H3: Portail Patient | H3: Analytique du Cabinet | H2: Articles liés | H2: Histoires de Succès en Santé et Médical | H2: Notre Processus de Développement for Santé et Médical | H3: Découverte et Planification de Conformité HIPAA | H3: Design et Développement de Portail Patient | H3: Développement et Intégration | H3: Tests, Audit de Conformité et Lancement | H2: Solutions Personnalisées, Tarification Transparente | H3: Développement de Sites Web | H3: Abonnement | H2: Prêt à Transformer Votre Site Web de Santé et Médical ? | H2: CodeSommet Santé et Médical vs Autre</t>
        </is>
      </c>
      <c r="M21" t="n">
        <v>17</v>
      </c>
      <c r="N21" t="n">
        <v>8</v>
      </c>
      <c r="O21" t="inlineStr">
        <is>
          <t>Commercial</t>
        </is>
      </c>
      <c r="P21" t="inlineStr">
        <is>
          <t>index, follow; HTTP 200</t>
        </is>
      </c>
      <c r="Q21" t="inlineStr">
        <is>
          <t>https://codesommet.com/services/healthcare-website-development</t>
        </is>
      </c>
      <c r="R21" t="inlineStr">
        <is>
          <t>self</t>
        </is>
      </c>
      <c r="S21" t="n">
        <v>2736</v>
      </c>
      <c r="T21" t="n">
        <v>47</v>
      </c>
      <c r="U21" t="n">
        <v>86</v>
      </c>
      <c r="V21" t="n">
        <v>10</v>
      </c>
      <c r="W21" t="n">
        <v>0</v>
      </c>
      <c r="X21" t="inlineStr">
        <is>
          <t>BreadcrumbList, FAQPage, Organization, Service, WebSite</t>
        </is>
      </c>
      <c r="Y21" t="inlineStr">
        <is>
          <t>agence web santé [fr]</t>
        </is>
      </c>
      <c r="Z21" s="5" t="inlineStr">
        <is>
          <t>Review: 47 headings</t>
        </is>
      </c>
    </row>
    <row r="22">
      <c r="A22" t="inlineStr">
        <is>
          <t>P020</t>
        </is>
      </c>
      <c r="B22" s="3" t="inlineStr">
        <is>
          <t>https://codesommet.com/services/education-website-development</t>
        </is>
      </c>
      <c r="C22" s="5" t="inlineStr">
        <is>
          <t>Création de Sites Web Éducatifs &amp; E-Learning qui génèrent des PORTAILS DE CANDIDATURE ÉTUD</t>
        </is>
      </c>
      <c r="D22" t="inlineStr">
        <is>
          <t>Service landing page</t>
        </is>
      </c>
      <c r="E22" t="inlineStr">
        <is>
          <t>fr</t>
        </is>
      </c>
      <c r="F22" t="inlineStr">
        <is>
          <t>Francophone (FR) + Morocco</t>
        </is>
      </c>
      <c r="G22" s="5" t="inlineStr">
        <is>
          <t>Création de Sites Web Éducatifs &amp; E-Learning | CodeSommet</t>
        </is>
      </c>
      <c r="H22" t="n">
        <v>549</v>
      </c>
      <c r="I22" s="5" t="inlineStr">
        <is>
          <t>Sites web éducatifs sur mesure : portails d'études à l'étranger, LMS et tableaux de bord étudiants, avec fonctionnalités IA. Devis gratuit.</t>
        </is>
      </c>
      <c r="J22" t="n">
        <v>139</v>
      </c>
      <c r="K22" s="5" t="inlineStr">
        <is>
          <t>Création de Sites Web Éducatifs &amp; E-Learning qui génèrent des PORTAILS DE CANDIDATURE ÉTUDIANTS</t>
        </is>
      </c>
      <c r="L22" s="5" t="inlineStr">
        <is>
          <t xml:space="preserve">H2: Pourquoi Choisir CodeSommet dans le secteur Éducation et EdTech ? | H3: L'Éducation au Cœur de Notre Activité | H3: Engagement Étudiant Alimenté par l'IA | H3: Parcours Étudiant Complet | H3: Experts en Génération de Leads | H3: Multilingue et Multi-Devises | H3: Déploiement Rapide pour les Admissions | H2: Adopté par les Éducation et EdTech Entreprises | H2: Le Défi : Éducation et EdTech Les Entreprises Font Face à des Défis Web Uniques | H3: Les Constructeurs de Sites Génériques Ne Fonctionnent Pas | H3: Communication Étudiante Chaotique | H3: Pas de Qualification de Leads | H3: Le Support Multilingue est Coûteux | H3: Mauvais Classements SEO | H3: Chaos dans la Gestion Manuelle des Documents | H2: Fonctionnalités Essentielles for Éducation et EdTech Sites Web | H3: Portail de Candidature | H3: Chatbot IA | H3: Tableau de Bord Étudiant | H3: CRM et Pipeline | H2: Histoires de Succès en Éducation et EdTech | H2: Notre Processus de Développement for Éducation et EdTech | H3: Découverte et Analyse | H3: Design et Prototypage | H3: Développement et Intégration | H3: Lancement et Support | H2: Solutions Personnalisées, Tarification Transparente | H3: Développement de Sites Web | H3: Abonnement | H2: Prêt à Transformer Votre Site Web Éducation et EdTech ? | H2: CodeSommet Éducation et EdTech vs Autres | H2: Ce que Nos Clients en Éducation et EdTech Disent de Nous | H2: Questions Fréquemment Posées sur le Développement Web en Éducation et EdTech | H3: Combien de temps faut-il </t>
        </is>
      </c>
      <c r="M22" t="n">
        <v>16</v>
      </c>
      <c r="N22" t="n">
        <v>8</v>
      </c>
      <c r="O22" t="inlineStr">
        <is>
          <t>Commercial</t>
        </is>
      </c>
      <c r="P22" t="inlineStr">
        <is>
          <t>index, follow; HTTP 200</t>
        </is>
      </c>
      <c r="Q22" t="inlineStr">
        <is>
          <t>https://codesommet.com/services/education-website-development</t>
        </is>
      </c>
      <c r="R22" t="inlineStr">
        <is>
          <t>self</t>
        </is>
      </c>
      <c r="S22" t="n">
        <v>2631</v>
      </c>
      <c r="T22" t="n">
        <v>46</v>
      </c>
      <c r="U22" t="n">
        <v>86</v>
      </c>
      <c r="V22" t="n">
        <v>9</v>
      </c>
      <c r="W22" t="n">
        <v>0</v>
      </c>
      <c r="X22" t="inlineStr">
        <is>
          <t>BreadcrumbList, FAQPage, Organization, Service, WebSite</t>
        </is>
      </c>
      <c r="Y22" t="inlineStr">
        <is>
          <t>site internet école [fr]</t>
        </is>
      </c>
      <c r="Z22" s="5" t="inlineStr">
        <is>
          <t>Review: 46 headings</t>
        </is>
      </c>
    </row>
    <row r="23">
      <c r="A23" t="inlineStr">
        <is>
          <t>P021</t>
        </is>
      </c>
      <c r="B23" s="3" t="inlineStr">
        <is>
          <t>https://codesommet.com/services/edtech-platform-development</t>
        </is>
      </c>
      <c r="C23" s="5" t="inlineStr">
        <is>
          <t>Développement de Plateformes EdTech qui génèrent des PLATEFORMES EDTECH B2B</t>
        </is>
      </c>
      <c r="D23" t="inlineStr">
        <is>
          <t>Service landing page</t>
        </is>
      </c>
      <c r="E23" t="inlineStr">
        <is>
          <t>fr</t>
        </is>
      </c>
      <c r="F23" t="inlineStr">
        <is>
          <t>Francophone (FR) + Morocco</t>
        </is>
      </c>
      <c r="G23" s="5" t="inlineStr">
        <is>
          <t>Développement de Plateformes EdTech B2B | CodeSommet</t>
        </is>
      </c>
      <c r="H23" t="n">
        <v>536</v>
      </c>
      <c r="I23" s="5" t="inlineStr">
        <is>
          <t>Développement de produits EdTech B2B : LMS commercialisables, marketplaces de cours et plateformes d'engagement étudiant pour éditeurs et startups.</t>
        </is>
      </c>
      <c r="J23" t="n">
        <v>147</v>
      </c>
      <c r="K23" s="5" t="inlineStr">
        <is>
          <t>Développement de Plateformes EdTech qui génèrent des PLATEFORMES EDTECH B2B</t>
        </is>
      </c>
      <c r="L23" s="5" t="inlineStr">
        <is>
          <t>H2: Articles liés | H2: Pourquoi Choisir CodeSommet dans le secteur EdTech et E-Learning ? | H3: Spécialistes en Technologie Éducative | H3: Accent sur la Rétention Étudiante | H3: Analyses d'Apprentissage Intégrées | H3: Apprentissage Mobile-First | H3: Sécurisé et Conforme FERPA | H3: Calendrier de Lancement en 2-5 Jours | H2: Adopté par les EdTech et E-Learning Entreprises | H2: Le Défi : EdTech et E-Learning Les Entreprises Font Face à des Défis Web Uniques | H3: Aucune Plateforme No-Code Ne Supporte le Multi-Tenant | H3: Pas de Système de Partage des Revenus Intégré | H3: Aucune Visibilité sur l'Usage par Client | H3: Marque Blanche à Usage Unique, Pas Revendable | H3: Vos Clients Institutionnels Exigent l'Isolation des Données | H3: Pas d'Intégration LTI ni SSO pour les Institutions | H2: Fonctionnalités Essentielles for EdTech et E-Learning Sites Web | H3: Plateforme d'Apprentissage Vidéo | H3: Tableau de Bord Étudiant | H3: Marketplace de Cours | H3: Analytique des Instructeurs | H2: Histoires de Succès en EdTech et E-Learning | H2: Notre Processus de Développement for EdTech et E-Learning | H3: Design et Architecture de Plateforme | H3: Développement LMS Principal | H3: Monétisation et Engagement | H3: Lancement et Formation | H2: Solutions Personnalisées, Tarification Transparente | H3: Développement de Sites Web | H3: Abonnement | H2: Prêt à Transformer Votre Site Web EdTech et E-Learning ? | H2: CodeSommet EdTech et E-Learning vs Autres | H2: Ce que Nos Clients en</t>
        </is>
      </c>
      <c r="M23" t="n">
        <v>17</v>
      </c>
      <c r="N23" t="n">
        <v>8</v>
      </c>
      <c r="O23" t="inlineStr">
        <is>
          <t>Commercial</t>
        </is>
      </c>
      <c r="P23" t="inlineStr">
        <is>
          <t>index, follow; HTTP 200</t>
        </is>
      </c>
      <c r="Q23" t="inlineStr">
        <is>
          <t>https://codesommet.com/services/edtech-platform-development</t>
        </is>
      </c>
      <c r="R23" t="inlineStr">
        <is>
          <t>self</t>
        </is>
      </c>
      <c r="S23" t="n">
        <v>2643</v>
      </c>
      <c r="T23" t="n">
        <v>47</v>
      </c>
      <c r="U23" t="n">
        <v>89</v>
      </c>
      <c r="V23" t="n">
        <v>11</v>
      </c>
      <c r="W23" t="n">
        <v>0</v>
      </c>
      <c r="X23" t="inlineStr">
        <is>
          <t>BreadcrumbList, FAQPage, Organization, Service, WebSite</t>
        </is>
      </c>
      <c r="Y23" t="inlineStr">
        <is>
          <t>plateforme edtech [fr]</t>
        </is>
      </c>
      <c r="Z23" s="5" t="inlineStr">
        <is>
          <t>Review: 47 headings</t>
        </is>
      </c>
    </row>
    <row r="24">
      <c r="A24" t="inlineStr">
        <is>
          <t>P022</t>
        </is>
      </c>
      <c r="B24" s="3" t="inlineStr">
        <is>
          <t>https://codesommet.com/services/elearning-platform-development</t>
        </is>
      </c>
      <c r="C24" s="5" t="inlineStr">
        <is>
          <t>Développement de Plateformes E-Learning qui génèrent des LMS POUR ÉCOLES, CENTRES DE FORMA</t>
        </is>
      </c>
      <c r="D24" t="inlineStr">
        <is>
          <t>Service landing page</t>
        </is>
      </c>
      <c r="E24" t="inlineStr">
        <is>
          <t>fr</t>
        </is>
      </c>
      <c r="F24" t="inlineStr">
        <is>
          <t>Francophone (FR) + Morocco</t>
        </is>
      </c>
      <c r="G24" s="5" t="inlineStr">
        <is>
          <t>Développement de Plateformes E-Learning (LMS) | CodeSommet</t>
        </is>
      </c>
      <c r="H24" t="n">
        <v>583</v>
      </c>
      <c r="I24" s="5" t="inlineStr">
        <is>
          <t>Plateformes e-learning et LMS sur mesure pour écoles, centres de formation et entreprises : parcours d'apprentissage, suivi des apprenants, certification.</t>
        </is>
      </c>
      <c r="J24" t="n">
        <v>154</v>
      </c>
      <c r="K24" s="5" t="inlineStr">
        <is>
          <t>Développement de Plateformes E-Learning qui génèrent des LMS POUR ÉCOLES, CENTRES DE FORMATION ET ENTREPRISES</t>
        </is>
      </c>
      <c r="L24" s="5" t="inlineStr">
        <is>
          <t>H2: Pourquoi Choisir CodeSommet dans le secteur E-Learning ? | H3: Spécialistes en Technologie E-Learning | H3: Accent sur la Rétention Étudiante | H3: Analyses d'Apprentissage Intégrées | H3: Apprentissage Mobile-First | H3: Sécurisé et Conforme FERPA | H3: Calendrier de Lancement en 2-5 Jours | H2: Adopté par les E-Learning Entreprises | H2: Le Défi : E-Learning Les Entreprises Font Face à des Défis Web Uniques | H3: Un LMS Générique Ne Suit Pas Vos Parcours | H3: Des Licences par Utilisateur Qui Explosent | H3: Des Formations Commencées Mais Rarement Terminées | H3: Pas de Branding en Marque Blanche | H3: Pas de Suivi Fiable pour Prouver la Formation | H3: Pas d'Intégration avec Votre SIRH ou Votre SIS | H2: Fonctionnalités Essentielles for E-Learning Platform Sites Web | H3: Plateforme d'Apprentissage Vidéo | H3: Assistant d'Apprentissage Alimenté par l'IA | H3: Tableau de Bord Étudiant | H3: Analytique des Instructeurs | H2: Histoires de Succès en E-Learning | H2: Notre Processus de Développement for E-Learning Platform | H3: Design et Architecture de Plateforme | H3: Développement LMS Principal | H3: Monétisation et Engagement | H3: Lancement et Formation | H2: Solutions Personnalisées, Tarification Transparente | H3: Développement de Sites Web | H3: Abonnement | H2: Prêt à Transformer Votre Site Web E-Learning ? | H2: CodeSommet E-Learning vs Autres | H2: Ce que Nos Clients E-Learning Disent de Nous | H2: Questions Fréquemment Posées sur le Développement Web E-Learning</t>
        </is>
      </c>
      <c r="M24" t="n">
        <v>17</v>
      </c>
      <c r="N24" t="n">
        <v>8</v>
      </c>
      <c r="O24" t="inlineStr">
        <is>
          <t>Commercial</t>
        </is>
      </c>
      <c r="P24" t="inlineStr">
        <is>
          <t>index, follow; HTTP 200</t>
        </is>
      </c>
      <c r="Q24" t="inlineStr">
        <is>
          <t>https://codesommet.com/services/elearning-platform-development</t>
        </is>
      </c>
      <c r="R24" t="inlineStr">
        <is>
          <t>self</t>
        </is>
      </c>
      <c r="S24" t="n">
        <v>2408</v>
      </c>
      <c r="T24" t="n">
        <v>47</v>
      </c>
      <c r="U24" t="n">
        <v>87</v>
      </c>
      <c r="V24" t="n">
        <v>10</v>
      </c>
      <c r="W24" t="n">
        <v>0</v>
      </c>
      <c r="X24" t="inlineStr">
        <is>
          <t>BreadcrumbList, FAQPage, Organization, Service, WebSite</t>
        </is>
      </c>
      <c r="Y24" t="inlineStr">
        <is>
          <t>plateforme e-learning [fr]</t>
        </is>
      </c>
      <c r="Z24" s="5" t="inlineStr">
        <is>
          <t>Review: title 583px; 47 headings</t>
        </is>
      </c>
    </row>
    <row r="25">
      <c r="A25" t="inlineStr">
        <is>
          <t>P023</t>
        </is>
      </c>
      <c r="B25" s="3" t="inlineStr">
        <is>
          <t>https://codesommet.com/services/online-course-platform-development</t>
        </is>
      </c>
      <c r="C25" s="5" t="inlineStr">
        <is>
          <t>Développement de Plateformes de Cours en Ligne qui génèrent des SITES WEB DE COURS PERSONN</t>
        </is>
      </c>
      <c r="D25" t="inlineStr">
        <is>
          <t>Service landing page</t>
        </is>
      </c>
      <c r="E25" t="inlineStr">
        <is>
          <t>fr</t>
        </is>
      </c>
      <c r="F25" t="inlineStr">
        <is>
          <t>Francophone (FR) + Morocco</t>
        </is>
      </c>
      <c r="G25" s="5" t="inlineStr">
        <is>
          <t>Développement de Plateformes de Cours en Ligne | CodeSommet</t>
        </is>
      </c>
      <c r="H25" t="n">
        <v>588</v>
      </c>
      <c r="I25" s="5" t="inlineStr">
        <is>
          <t>Plateformes de cours en ligne sur mesure pour coachs, créateurs et formateurs : vidéo, paiements intégrés et engagement étudiant. Devis gratuit.</t>
        </is>
      </c>
      <c r="J25" t="n">
        <v>144</v>
      </c>
      <c r="K25" s="5" t="inlineStr">
        <is>
          <t>Développement de Plateformes de Cours en Ligne qui génèrent des SITES WEB DE COURS PERSONNALISÉS</t>
        </is>
      </c>
      <c r="L25" s="5" t="inlineStr">
        <is>
          <t>H2: Pourquoi Choisir CodeSommet dans le secteur Plateformes de Cours en Ligne ? | H3: Spécialistes en Plateformes de Cours | H3: Design Axé sur la Monétisation | H3: Optimisation du Taux de Complétion | H3: Outils Instructeur &amp; Créateur | H3: Streaming Vidéo Optimisé | H3: Calendrier de Lancement en 2-5 Jours | H2: Adopté par les Plateformes de Cours en Ligne Entreprises | H2: Le Défi : Plateformes de Cours en Ligne Les Entreprises Font Face à des Défis Web Uniques | H3: Les Frais de Plateforme Tuent Vos Profits | H3: Personnalisation Limitée | H3: Aucun Contrôle sur l'Expérience Étudiant | H3: Risque de Verrouillage de Plateforme | H3: Mauvais SEO &amp; Découvrabilité | H3: Impossible d'Intégrer Vos Outils | H2: Fonctionnalités Essentielles pour Plateformes de Cours en Ligne Sites Web | H3: Lecteur Vidéo de Cours | H3: Adhésion &amp; Contrôle d'Accès | H3: Suivi des Progrès Étudiants | H3: Communauté &amp; Discussion | H2: Histoires de Succès en Plateformes de Cours en Ligne | H2: Notre Processus de Développement pour Plateformes de Cours en Ligne | H3: Structure &amp; Design de Cours | H3: Développement de Plateforme de Cours | H3: Paiement &amp; Migration de Contenu | H3: Lancement &amp; Transition | H2: Solutions Personnalisées, Tarification Transparente | H3: Développement de Sites Web | H3: Abonnement | H2: Prêt à Transformer Votre Site Web de Plateformes de Cours en Ligne ? | H2: CodeSommet Plateformes de Cours en Ligne vs Autres | H2: Ce que Nos Clients en Plateformes de Cours en Ligne Disen</t>
        </is>
      </c>
      <c r="M25" t="n">
        <v>16</v>
      </c>
      <c r="N25" t="n">
        <v>8</v>
      </c>
      <c r="O25" t="inlineStr">
        <is>
          <t>Commercial</t>
        </is>
      </c>
      <c r="P25" t="inlineStr">
        <is>
          <t>index, follow; HTTP 200</t>
        </is>
      </c>
      <c r="Q25" t="inlineStr">
        <is>
          <t>https://codesommet.com/services/online-course-platform-development</t>
        </is>
      </c>
      <c r="R25" t="inlineStr">
        <is>
          <t>self</t>
        </is>
      </c>
      <c r="S25" t="n">
        <v>2546</v>
      </c>
      <c r="T25" t="n">
        <v>46</v>
      </c>
      <c r="U25" t="n">
        <v>84</v>
      </c>
      <c r="V25" t="n">
        <v>9</v>
      </c>
      <c r="W25" t="n">
        <v>0</v>
      </c>
      <c r="X25" t="inlineStr">
        <is>
          <t>BreadcrumbList, FAQPage, Organization, Service, WebSite</t>
        </is>
      </c>
      <c r="Y25" t="inlineStr">
        <is>
          <t>vendre des formations en ligne [fr]</t>
        </is>
      </c>
      <c r="Z25" s="5" t="inlineStr">
        <is>
          <t>Review: title 588px; 46 headings</t>
        </is>
      </c>
    </row>
    <row r="26">
      <c r="A26" t="inlineStr">
        <is>
          <t>P024</t>
        </is>
      </c>
      <c r="B26" s="3" t="inlineStr">
        <is>
          <t>https://codesommet.com/services/university-website-development</t>
        </is>
      </c>
      <c r="C26" s="5" t="inlineStr">
        <is>
          <t>Développement de Sites Web Universitaires qui génèrent des PORTAILS D'ADMISSION ÉTUDIANTE</t>
        </is>
      </c>
      <c r="D26" t="inlineStr">
        <is>
          <t>Service landing page</t>
        </is>
      </c>
      <c r="E26" t="inlineStr">
        <is>
          <t>fr</t>
        </is>
      </c>
      <c r="F26" t="inlineStr">
        <is>
          <t>Francophone (FR) + Morocco</t>
        </is>
      </c>
      <c r="G26" s="5" t="inlineStr">
        <is>
          <t>Développement de Sites Web Universitaires | CodeSommet</t>
        </is>
      </c>
      <c r="H26" t="n">
        <v>529</v>
      </c>
      <c r="I26" s="5" t="inlineStr">
        <is>
          <t>Sites web universitaires sur mesure : admissions en ligne, portails étudiants et enseignants, catalogues de cours et gestion de campus. Devis gratuit.</t>
        </is>
      </c>
      <c r="J26" t="n">
        <v>150</v>
      </c>
      <c r="K26" s="5" t="inlineStr">
        <is>
          <t>Développement de Sites Web Universitaires qui génèrent des PORTAILS D'ADMISSION ÉTUDIANTE</t>
        </is>
      </c>
      <c r="L26" s="5" t="inlineStr">
        <is>
          <t xml:space="preserve">H2: Pourquoi Choisir CodeSommet dans le secteur Universités &amp; Enseignement Supérieur ? | H3: Experts Web en Enseignement Supérieur | H3: Design Axé sur les Admissions | H3: Prêt pour les Étudiants Internationaux | H3: Systèmes Étudiants Intégrés | H3: Conformité &amp; Accessibilité | H3: Calendrier de Lancement en 2-5 Jours | H2: Adopté par les Universités &amp; Enseignement Supérieur Entreprises | H2: Le Défi : Universités &amp; Enseignement Supérieur Les Entreprises Font Face à des Défis Web Uniques | H3: Sites Web Universitaires Obsolètes | H3: Admissions Manuelles sur Papier | H3: Aucun Portail en Libre-Service Étudiant | H3: Mauvaise Expérience pour les Étudiants Internationaux | H3: Faibles Taux de Conversion des Candidatures | H3: Systèmes Déconnectés | H2: Fonctionnalités Essentielles pour Universités &amp; Enseignement Supérieur Sites Web | H3: Portail d'Admissions Étudiantes | H3: Catalogue de Cours &amp; Inscription | H3: Tableau de Bord Étudiant | H3: Portail Enseignants &amp; Personnel | H2: Histoires de Succès en Universités &amp; Enseignement Supérieur | H2: Notre Processus de Développement pour Universités &amp; Enseignement Supérieur | H3: Découverte &amp; Planification | H3: Design et Prototypage | H3: Développement et Intégration | H3: Tests &amp; Lancement | H2: Solutions Personnalisées, Tarification Transparente | H3: Développement de Sites Web | H3: Abonnement | H2: Prêt à Transformer Votre Site Web d'Universités &amp; Enseignement Supérieur ? | H2: CodeSommet Universités &amp; Enseignement Supérieur </t>
        </is>
      </c>
      <c r="M26" t="n">
        <v>16</v>
      </c>
      <c r="N26" t="n">
        <v>8</v>
      </c>
      <c r="O26" t="inlineStr">
        <is>
          <t>Commercial</t>
        </is>
      </c>
      <c r="P26" t="inlineStr">
        <is>
          <t>index, follow; HTTP 200</t>
        </is>
      </c>
      <c r="Q26" t="inlineStr">
        <is>
          <t>https://codesommet.com/services/university-website-development</t>
        </is>
      </c>
      <c r="R26" t="inlineStr">
        <is>
          <t>self</t>
        </is>
      </c>
      <c r="S26" t="n">
        <v>2425</v>
      </c>
      <c r="T26" t="n">
        <v>46</v>
      </c>
      <c r="U26" t="n">
        <v>83</v>
      </c>
      <c r="V26" t="n">
        <v>9</v>
      </c>
      <c r="W26" t="n">
        <v>0</v>
      </c>
      <c r="X26" t="inlineStr">
        <is>
          <t>BreadcrumbList, FAQPage, Organization, Service, WebSite</t>
        </is>
      </c>
      <c r="Y26" t="inlineStr">
        <is>
          <t>site web université [fr]</t>
        </is>
      </c>
      <c r="Z26" s="5" t="inlineStr">
        <is>
          <t>Review: 46 headings</t>
        </is>
      </c>
    </row>
    <row r="27">
      <c r="A27" t="inlineStr">
        <is>
          <t>P025</t>
        </is>
      </c>
      <c r="B27" s="3" t="inlineStr">
        <is>
          <t>https://codesommet.com/services/language-school-website-development</t>
        </is>
      </c>
      <c r="C27" s="5" t="inlineStr">
        <is>
          <t>Création de Sites Web pour Écoles de Langues qui génèrent des Écoles de Langues</t>
        </is>
      </c>
      <c r="D27" t="inlineStr">
        <is>
          <t>Service landing page</t>
        </is>
      </c>
      <c r="E27" t="inlineStr">
        <is>
          <t>fr</t>
        </is>
      </c>
      <c r="F27" t="inlineStr">
        <is>
          <t>Francophone (FR) + Morocco</t>
        </is>
      </c>
      <c r="G27" s="5" t="inlineStr">
        <is>
          <t>Création de Sites Web pour Écoles de Langues | CodeSommet</t>
        </is>
      </c>
      <c r="H27" t="n">
        <v>560</v>
      </c>
      <c r="I27" s="5" t="inlineStr">
        <is>
          <t>Création de sites web pour écoles de langues : présentation des cours, inscriptions en ligne et outils d'apprentissage interactifs. Devis gratuit.</t>
        </is>
      </c>
      <c r="J27" t="n">
        <v>146</v>
      </c>
      <c r="K27" s="5" t="inlineStr">
        <is>
          <t>Création de Sites Web pour Écoles de Langues qui génèrent des Écoles de Langues</t>
        </is>
      </c>
      <c r="L27" s="5" t="inlineStr">
        <is>
          <t>H2: Pourquoi Choisir CodeSommet dans le secteur Écoles de Langues ? | H3: Spécialistes en Éducation Linguistique | H3: Prononciation &amp; Retour Alimentés par l'IA | H3: Suivi des Progrès &amp; Certification | H3: Fonctionnalités de tutorat en direct et de communauté | H3: Contenu d'Apprentissage Multimédia | H3: Inscription &amp; Rétention des Étudiants | H2: Adopté par les Écoles de Langues Entreprises | H2: Le Défi : Écoles de Langues Les Entreprises Font Face à des Défis Web Uniques | H3: Faible Engagement Étudiant &amp; Abandons | H3: Gestion de Programmes Multilingues | H3: Modèles de Tarification &amp; Paiement Complexes | H3: Contrôle Qualité des Tuteurs en Ligne | H3: Pratique orale interactive limitée | H3: Difficulté à Mesurer la Maîtrise Linguistique | H2: Fonctionnalités Essentielles pour Écoles de Langues Sites Web | H3: Inscription aux Cours &amp; Test de Placement | H3: Chatbot IA de Pratique Linguistique | H3: Tableau de Bord d'Apprentissage Étudiant | H3: CRM de Gestion &amp; Planification des Tuteurs | H2: Histoires de Succès en Écoles de Langues | H2: Notre Processus de Développement pour Écoles de Langues | H3: Découverte et Analyse | H3: Design et Prototypage | H3: Fonctionnalités interactives &amp; Intégration IA | H3: Lancement et Support | H2: Solutions Personnalisées, Tarification Transparente | H3: Développement de Sites Web | H3: Abonnement | H2: Prêt à Transformer Votre Site Web d'Écoles de Langues ? | H2: CodeSommet Écoles de Langues vs Autres | H2: Ce que Nos Clients en École</t>
        </is>
      </c>
      <c r="M27" t="n">
        <v>16</v>
      </c>
      <c r="N27" t="n">
        <v>8</v>
      </c>
      <c r="O27" t="inlineStr">
        <is>
          <t>Commercial</t>
        </is>
      </c>
      <c r="P27" t="inlineStr">
        <is>
          <t>index, follow; HTTP 200</t>
        </is>
      </c>
      <c r="Q27" t="inlineStr">
        <is>
          <t>https://codesommet.com/services/language-school-website-development</t>
        </is>
      </c>
      <c r="R27" t="inlineStr">
        <is>
          <t>self</t>
        </is>
      </c>
      <c r="S27" t="n">
        <v>2665</v>
      </c>
      <c r="T27" t="n">
        <v>46</v>
      </c>
      <c r="U27" t="n">
        <v>84</v>
      </c>
      <c r="V27" t="n">
        <v>9</v>
      </c>
      <c r="W27" t="n">
        <v>0</v>
      </c>
      <c r="X27" t="inlineStr">
        <is>
          <t>BreadcrumbList, FAQPage, Organization, Service, WebSite</t>
        </is>
      </c>
      <c r="Y27" t="inlineStr">
        <is>
          <t>site web école de langues [fr]</t>
        </is>
      </c>
      <c r="Z27" s="5" t="inlineStr">
        <is>
          <t>Review: 46 headings</t>
        </is>
      </c>
    </row>
    <row r="28">
      <c r="A28" t="inlineStr">
        <is>
          <t>P026</t>
        </is>
      </c>
      <c r="B28" s="3" t="inlineStr">
        <is>
          <t>https://codesommet.com/services/study-abroad-website-development</t>
        </is>
      </c>
      <c r="C28" s="5" t="inlineStr">
        <is>
          <t>Création de Sites Web Études à l'Étranger qui génèrent des PORTAILS DE CANDIDATURE ÉTUDIAN</t>
        </is>
      </c>
      <c r="D28" t="inlineStr">
        <is>
          <t>Service landing page</t>
        </is>
      </c>
      <c r="E28" t="inlineStr">
        <is>
          <t>fr</t>
        </is>
      </c>
      <c r="F28" t="inlineStr">
        <is>
          <t>Francophone (FR) + Morocco</t>
        </is>
      </c>
      <c r="G28" s="5" t="inlineStr">
        <is>
          <t>Création de Sites Web Études à l'Étranger | CodeSommet</t>
        </is>
      </c>
      <c r="H28" t="n">
        <v>515</v>
      </c>
      <c r="I28" s="5" t="inlineStr">
        <is>
          <t>Sites web pour agences d'études à l'étranger : portails étudiants, suivi des dossiers visa et chatbots multilingues. Devis gratuit.</t>
        </is>
      </c>
      <c r="J28" t="n">
        <v>131</v>
      </c>
      <c r="K28" s="5" t="inlineStr">
        <is>
          <t>Création de Sites Web Études à l'Étranger qui génèrent des PORTAILS DE CANDIDATURE ÉTUDIANTS</t>
        </is>
      </c>
      <c r="L28" s="5" t="inlineStr">
        <is>
          <t>H2: Pourquoi Choisir CodeSommet dans le secteur Études à l'Étranger &amp; Conseil en Visa ? | H3: Une Grande Partie de Nos Clients sont des Cabinets de Conseil en Études à l'Étranger | H3: Conseil Étudiant Alimenté par l'IA | H3: Parcours Étudiant Complet | H3: Experts en Génération de Leads pour Study Abroad | H3: Multilingue et Multi-Devises | H3: Déploiement Rapide pour les Saisons d'Admission | H2: Adopté par les Études à l'Étranger &amp; Conseil en Visa Entreprises | H2: Le Défi | H3: Les Constructeurs de Sites Génériques Ne Fonctionnent Pas pour Study Abroad | H3: Communication Étudiante Chaotique à Travers les Canaux | H3: Aucune Qualification de Prospects - Temps Perdu sur des Étudiants Non Qualifiés | H3: Le Support Multilingue est Coûteux et Incohérent | H3: Mauvais Classement SEO - Perte d'Étudiants au Profit des Concurrents | H3: Chaos dans la Gestion Manuelle des Documents | H2: Fonctionnalités Essentielles pour | H3: Portail de Candidature | H3: Chatbot IA | H3: Tableau de Bord Étudiant | H3: CRM et Pipeline | H2: Histoires de Succès en Études à l'Étranger &amp; Conseil en Visa | H2: Notre Processus de Développement pour Études à l'Étranger &amp; Conseil en Visa | H3: Découverte &amp; Analyse du Marché | H3: Portail de Candidature Design | H3: Développement &amp; Intégration IA | H3: Tests &amp; Lancement | H2: Solutions Personnalisées, Tarification Transparente | H3: Développement de Sites Web | H3: Abonnement | H2: Prêt à Transformer Votre Site Web d'Études à l'Étranger &amp; Conseil en Visa</t>
        </is>
      </c>
      <c r="M28" t="n">
        <v>15</v>
      </c>
      <c r="N28" t="n">
        <v>8</v>
      </c>
      <c r="O28" t="inlineStr">
        <is>
          <t>Commercial</t>
        </is>
      </c>
      <c r="P28" t="inlineStr">
        <is>
          <t>index, follow; HTTP 200</t>
        </is>
      </c>
      <c r="Q28" t="inlineStr">
        <is>
          <t>https://codesommet.com/services/study-abroad-website-development</t>
        </is>
      </c>
      <c r="R28" t="inlineStr">
        <is>
          <t>self</t>
        </is>
      </c>
      <c r="S28" t="n">
        <v>2719</v>
      </c>
      <c r="T28" t="n">
        <v>46</v>
      </c>
      <c r="U28" t="n">
        <v>84</v>
      </c>
      <c r="V28" t="n">
        <v>9</v>
      </c>
      <c r="W28" t="n">
        <v>0</v>
      </c>
      <c r="X28" t="inlineStr">
        <is>
          <t>BreadcrumbList, FAQPage, Organization, Service, WebSite</t>
        </is>
      </c>
      <c r="Y28" t="inlineStr">
        <is>
          <t>site web agence études à l'étranger [fr]</t>
        </is>
      </c>
      <c r="Z28" s="5" t="inlineStr">
        <is>
          <t>Review: 46 headings</t>
        </is>
      </c>
    </row>
    <row r="29">
      <c r="A29" t="inlineStr">
        <is>
          <t>P027</t>
        </is>
      </c>
      <c r="B29" s="3" t="inlineStr">
        <is>
          <t>https://codesommet.com/services/immigration-consultancy-website-development</t>
        </is>
      </c>
      <c r="C29" s="5" t="inlineStr">
        <is>
          <t>Sites Web pour Cabinets d'Immigration qui génèrent des PORTAILS DE DEMANDE DE VISA</t>
        </is>
      </c>
      <c r="D29" t="inlineStr">
        <is>
          <t>Service landing page</t>
        </is>
      </c>
      <c r="E29" t="inlineStr">
        <is>
          <t>fr</t>
        </is>
      </c>
      <c r="F29" t="inlineStr">
        <is>
          <t>Francophone (FR) + Morocco</t>
        </is>
      </c>
      <c r="G29" s="5" t="inlineStr">
        <is>
          <t>Sites Web pour Cabinets d'Immigration | CodeSommet</t>
        </is>
      </c>
      <c r="H29" t="n">
        <v>486</v>
      </c>
      <c r="I29" s="5" t="inlineStr">
        <is>
          <t>Sites web pour cabinets de conseil en immigration : suivi de dossiers, gestion de documents, calculateurs d'éligibilité et portail client. Devis gratuit.</t>
        </is>
      </c>
      <c r="J29" t="n">
        <v>153</v>
      </c>
      <c r="K29" s="5" t="inlineStr">
        <is>
          <t>Sites Web pour Cabinets d'Immigration qui génèrent des PORTAILS DE DEMANDE DE VISA</t>
        </is>
      </c>
      <c r="L29" s="5" t="inlineStr">
        <is>
          <t>H2: Pourquoi Choisir CodeSommet dans le secteur Conseil en Immigration ? | H3: Une Clientèle Ancrée dans les Cabinets d'Immigration | H3: Vérificateur d'Éligibilité Visa par IA | H3: Gestion Complète des Dossiers | H3: Génération de Leads Optimisée | H3: Support Multi-Pays | H3: Lancement Rapide pour les Hautes Saisons | H2: Adopté par les Conseil en Immigration Entreprises | H2: Le Défi : Conseil en Immigration Les Entreprises Font Face à des Défis Web Uniques | H3: Les Sites Web Génériques Ne Peuvent Pas Gérer les Flux de Visa | H3: Chaos dans la Gestion des Documents | H3: Les Clients Ne Connaissent Pas Leur Éligibilité | H3: Le Suivi Manuel des Dossiers Fait Perdre du Temps | H3: Exigences Différentes Par Pays | H3: Risques de Sécurité des Données et de Conformité | H2: Fonctionnalités Essentielles for Conseil en Immigration Sites Web | H3: Calculateur d'Éligibilité Visa | H3: Système de Suivi de Dossiers | H3: Portail de Gestion de Documents | H3: Chatbot IA d'Immigration | H2: Histoires de Succès en Conseil en Immigration | H2: Notre Processus de Développement for Conseil en Immigration | H3: Découverte et Analyse de Conformité | H3: Développement de la Plateforme Principale | H3: Portail de Documents et Intégration IA | H3: Tests, SEO et Lancement | H2: Solutions Personnalisées, Tarification Transparente | H3: Développement de Sites Web | H3: Abonnement | H2: Prêt à Transformer Votre Site Web de Conseil en Immigration ? | H2: CodeSommet Conseil en Immigration vs Autres</t>
        </is>
      </c>
      <c r="M29" t="n">
        <v>16</v>
      </c>
      <c r="N29" t="n">
        <v>8</v>
      </c>
      <c r="O29" t="inlineStr">
        <is>
          <t>Commercial</t>
        </is>
      </c>
      <c r="P29" t="inlineStr">
        <is>
          <t>index, follow; HTTP 200</t>
        </is>
      </c>
      <c r="Q29" t="inlineStr">
        <is>
          <t>https://codesommet.com/services/immigration-consultancy-website-development</t>
        </is>
      </c>
      <c r="R29" t="inlineStr">
        <is>
          <t>self</t>
        </is>
      </c>
      <c r="S29" t="n">
        <v>2852</v>
      </c>
      <c r="T29" t="n">
        <v>46</v>
      </c>
      <c r="U29" t="n">
        <v>83</v>
      </c>
      <c r="V29" t="n">
        <v>9</v>
      </c>
      <c r="W29" t="n">
        <v>0</v>
      </c>
      <c r="X29" t="inlineStr">
        <is>
          <t>BreadcrumbList, FAQPage, Organization, Service, WebSite</t>
        </is>
      </c>
      <c r="Y29" t="inlineStr">
        <is>
          <t>site web cabinet immigration [fr]</t>
        </is>
      </c>
      <c r="Z29" s="5" t="inlineStr">
        <is>
          <t>Review: 46 headings</t>
        </is>
      </c>
    </row>
    <row r="30">
      <c r="A30" t="inlineStr">
        <is>
          <t>P028</t>
        </is>
      </c>
      <c r="B30" s="3" t="inlineStr">
        <is>
          <t>https://codesommet.com/services/real-estate-website-development</t>
        </is>
      </c>
      <c r="C30" s="5" t="inlineStr">
        <is>
          <t>Sites Web Immobiliers &amp; Portails Sur Mesure qui génèrent des ANNONCES IMMOBILIÈRES</t>
        </is>
      </c>
      <c r="D30" t="inlineStr">
        <is>
          <t>Service landing page</t>
        </is>
      </c>
      <c r="E30" t="inlineStr">
        <is>
          <t>fr</t>
        </is>
      </c>
      <c r="F30" t="inlineStr">
        <is>
          <t>Francophone (FR) + Morocco</t>
        </is>
      </c>
      <c r="G30" s="5" t="inlineStr">
        <is>
          <t>Sites Web Immobiliers &amp; Portails Sur Mesure | CodeSommet</t>
        </is>
      </c>
      <c r="H30" t="n">
        <v>539</v>
      </c>
      <c r="I30" s="5" t="inlineStr">
        <is>
          <t>Sites web immobiliers sur mesure : recherche avancée de biens, visites virtuelles, tableau de bord agents et gestion des leads. Devis gratuit.</t>
        </is>
      </c>
      <c r="J30" t="n">
        <v>142</v>
      </c>
      <c r="K30" s="5" t="inlineStr">
        <is>
          <t>Sites Web Immobiliers &amp; Portails Sur Mesure qui génèrent des ANNONCES IMMOBILIÈRES</t>
        </is>
      </c>
      <c r="L30" s="5" t="inlineStr">
        <is>
          <t>H2: Pourquoi Choisir CodeSommet dans le secteur Immobilier ? | H3: Recherche Avancée de Biens | H3: Visites Virtuelles 360° | H3: Tableaux de Bord Agents | H3: CRM de Gestion de Prospects | H3: Analytique du Marché | H3: Intégration MLS | H2: Adopté par les Immobilier Entreprises | H2: Le Défi : Immobilier Les Entreprises Font Face à des Défis Web Uniques | H3: Les Acheteurs ne Trouvent pas les Biens | H3: Défis de Visite de Biens | H3: Les Agents Manquent d'Outils de Gestion | H3: Les Prospects Passent entre les Mailles | H3: Aucune Analyse du Marché | H3: Informations d'Annonces Obsolètes | H2: Fonctionnalités Essentielles pour Immobilier Sites Web | H3: Recherche Avancée de Biens | H3: Plateforme de Visite Virtuelle 360° | H3: Tableau de Bord Agent &amp; CRM | H3: Tableau de Bord Analytique du Marché | H2: Histoires de Succès en Immobilier | H2: Notre Processus de Développement pour Immobilier | H3: Découverte &amp; Design du Portail Immobilier | H3: Développement de la Plateforme Principale | H3: Outils Agents &amp; Gestion de Prospects | H3: Tests, Analytique et Lancement | H2: Solutions Personnalisées, Tarification Transparente | H3: Développement de Sites Web | H3: Abonnement | H2: Prêt à Transformer Votre Site Web Immobilier ? | H2: CodeSommet Immobilier vs Autres | H2: Ce que Nos Clients en Immobilier Disent de Nous | H2: Questions Fréquemment Posées sur le Développement Web en Immobilier | H3: Combien de temps faut-il pour créer un site web immobilier ? | H3: Pouvez-vous intégr</t>
        </is>
      </c>
      <c r="M30" t="n">
        <v>17</v>
      </c>
      <c r="N30" t="n">
        <v>8</v>
      </c>
      <c r="O30" t="inlineStr">
        <is>
          <t>Commercial</t>
        </is>
      </c>
      <c r="P30" t="inlineStr">
        <is>
          <t>index, follow; HTTP 200</t>
        </is>
      </c>
      <c r="Q30" t="inlineStr">
        <is>
          <t>https://codesommet.com/services/real-estate-website-development</t>
        </is>
      </c>
      <c r="R30" t="inlineStr">
        <is>
          <t>self</t>
        </is>
      </c>
      <c r="S30" t="n">
        <v>2723</v>
      </c>
      <c r="T30" t="n">
        <v>47</v>
      </c>
      <c r="U30" t="n">
        <v>87</v>
      </c>
      <c r="V30" t="n">
        <v>10</v>
      </c>
      <c r="W30" t="n">
        <v>0</v>
      </c>
      <c r="X30" t="inlineStr">
        <is>
          <t>BreadcrumbList, FAQPage, Organization, Service, WebSite</t>
        </is>
      </c>
      <c r="Y30" t="inlineStr">
        <is>
          <t>création site immobilier [fr]</t>
        </is>
      </c>
      <c r="Z30" s="5" t="inlineStr">
        <is>
          <t>Review: 47 headings</t>
        </is>
      </c>
    </row>
    <row r="31">
      <c r="A31" t="inlineStr">
        <is>
          <t>P029</t>
        </is>
      </c>
      <c r="B31" s="3" t="inlineStr">
        <is>
          <t>https://codesommet.com/services/telemedicine-platform-development</t>
        </is>
      </c>
      <c r="C31" s="5" t="inlineStr">
        <is>
          <t>Développement de PLATEFORMES DE TÉLÉMÉDECINE</t>
        </is>
      </c>
      <c r="D31" t="inlineStr">
        <is>
          <t>Service landing page</t>
        </is>
      </c>
      <c r="E31" t="inlineStr">
        <is>
          <t>fr</t>
        </is>
      </c>
      <c r="F31" t="inlineStr">
        <is>
          <t>Francophone (FR) + Morocco</t>
        </is>
      </c>
      <c r="G31" s="5" t="inlineStr">
        <is>
          <t>Développement de Plateformes de Télémédecine | CodeSommet</t>
        </is>
      </c>
      <c r="H31" t="n">
        <v>577</v>
      </c>
      <c r="I31" s="5" t="inlineStr">
        <is>
          <t>Applications de télémédecine complètes : consultations vidéo, dossiers patients, ordonnances et paiements, conformes à la confidentialité santé.</t>
        </is>
      </c>
      <c r="J31" t="n">
        <v>144</v>
      </c>
      <c r="K31" s="5" t="inlineStr">
        <is>
          <t>Développement de PLATEFORMES DE TÉLÉMÉDECINE</t>
        </is>
      </c>
      <c r="L31" s="5" t="inlineStr">
        <is>
          <t>H2: Articles liés | H2: Pourquoi Choisir CodeSommet dans le secteur Télémédecine &amp; Virtual Care ? | H3: Les Plateformes de Télémédecine Sont Notre Cœur de Métier | H3: Fonctionnalités Santé Alimentées par l'IA | H3: Conforme HIPAA par Défaut | H3: Parcours Patient Complet | H3: Multilingue et Multi-Devises | H3: Déploiement Rapide pour la Santé | H2: Adopté par les Télémédecine &amp; Virtual Care Entreprises | H2: Le Défi : Télémédecine &amp; Virtual Care Les Entreprises de Télémédecine Font Face à des Défis Uniques | H3: Les Plateformes Génériques ne sont pas Conformes HIPAA | H3: Les Médecins Perdent du Temps avec les Absences | H3: Mauvaise Gestion des Dossiers Patients | H3: Communication Patient Chaotique | H3: Traitement Manuel des Paiements &amp; Assurances | H3: Faible Rétention &amp; Engagement des Patients | H2: Fonctionnalités Essentielles pour Télémédecine &amp; Virtual Care Plateformes | H3: Plateforme de Consultation Vidéo | H3: Portail Patient | H3: Vérificateur de Symptômes IA | H3: Tableau de Bord de Rendez-vous &amp; Analytiques | H2: Histoires de Succès en Télémédecine &amp; Virtual Care | H2: Notre Processus de Développement pour Télémédecine &amp; Virtual Care | H3: Discovery &amp; Stratégie Télémédecine | H3: Design &amp; Expérience Patient | H3: Développement &amp; Intégration Vidéo | H3: Tests, Conformité &amp; Lancement | H2: Solutions Personnalisées, Tarification Transparente | H3: Développement de Plateforme | H3: Abonnement | H2: Prêt à Transformer Votre Plateforme de Télémédecine &amp; Soins Virtue</t>
        </is>
      </c>
      <c r="M31" t="n">
        <v>17</v>
      </c>
      <c r="N31" t="n">
        <v>8</v>
      </c>
      <c r="O31" t="inlineStr">
        <is>
          <t>Commercial</t>
        </is>
      </c>
      <c r="P31" t="inlineStr">
        <is>
          <t>index, follow; HTTP 200</t>
        </is>
      </c>
      <c r="Q31" t="inlineStr">
        <is>
          <t>https://codesommet.com/services/telemedicine-platform-development</t>
        </is>
      </c>
      <c r="R31" t="inlineStr">
        <is>
          <t>self</t>
        </is>
      </c>
      <c r="S31" t="n">
        <v>2736</v>
      </c>
      <c r="T31" t="n">
        <v>47</v>
      </c>
      <c r="U31" t="n">
        <v>86</v>
      </c>
      <c r="V31" t="n">
        <v>10</v>
      </c>
      <c r="W31" t="n">
        <v>0</v>
      </c>
      <c r="X31" t="inlineStr">
        <is>
          <t>BreadcrumbList, FAQPage, Organization, Service, WebSite</t>
        </is>
      </c>
      <c r="Y31" t="inlineStr">
        <is>
          <t>logiciel téléconsultation [fr]</t>
        </is>
      </c>
      <c r="Z31" s="5" t="inlineStr">
        <is>
          <t>Review: 47 headings</t>
        </is>
      </c>
    </row>
    <row r="32">
      <c r="A32" t="inlineStr">
        <is>
          <t>P030</t>
        </is>
      </c>
      <c r="B32" s="3" t="inlineStr">
        <is>
          <t>https://codesommet.com/services/telemedicine-website-development</t>
        </is>
      </c>
      <c r="C32" s="5" t="inlineStr">
        <is>
          <t>Site Web Cabinet Médical &amp; Télémédecine : nous créons des SITES WEB MÉDICAUX</t>
        </is>
      </c>
      <c r="D32" t="inlineStr">
        <is>
          <t>Service landing page</t>
        </is>
      </c>
      <c r="E32" t="inlineStr">
        <is>
          <t>fr</t>
        </is>
      </c>
      <c r="F32" t="inlineStr">
        <is>
          <t>Francophone (FR) + Morocco</t>
        </is>
      </c>
      <c r="G32" s="5" t="inlineStr">
        <is>
          <t>Site Web Cabinet Médical &amp; Télémédecine | CodeSommet</t>
        </is>
      </c>
      <c r="H32" t="n">
        <v>517</v>
      </c>
      <c r="I32" s="5" t="inlineStr">
        <is>
          <t>Sites web pour médecins et cliniques de télémédecine : présentation du cabinet, rendez-vous en ligne et parcours patient clair, optimisés SEO local.</t>
        </is>
      </c>
      <c r="J32" t="n">
        <v>148</v>
      </c>
      <c r="K32" s="5" t="inlineStr">
        <is>
          <t>Site Web Cabinet Médical &amp; Télémédecine : nous créons des SITES WEB MÉDICAUX</t>
        </is>
      </c>
      <c r="L32" s="5" t="inlineStr">
        <is>
          <t>H2: Articles liés | H2: Pourquoi Choisir CodeSommet dans le secteur Télémédecine &amp; Virtual Care ? | H3: Une Expertise Dédiée aux Cabinets Proposant la Téléconsultation | H3: Un Site Pensé pour Orienter le Patient | H3: Formulaires de Contact Respectueux des Données Patients | H3: Parcours Patient Complet | H3: Multilingue et Multi-Devises | H3: Un Site en Ligne Rapidement | H2: Adopté par les Télémédecine &amp; Virtual Care Entreprises | H2: Le Défi : Télémédecine &amp; Virtual Care Les Entreprises Font Face à des Défis Web Uniques | H3: Un Site Générique Ne Rassure Pas un Patient | H3: Introuvable dans les Recherches Locales | H3: Un Site Illisible sur Mobile | H3: Communication Patient Chaotique | H3: Des Informations Pratiques Introuvables | H3: Des Patients Qui Ne Reviennent Pas sur le Site | H2: Fonctionnalités Essentielles pour Télémédecine &amp; Virtual Care Sites Web | H3: Présentation de Vos Spécialités et de Votre Équipe | H3: Prise de Rendez-vous en Ligne | H3: Orientation du Patient vers la Bonne Spécialité | H3: Espace d'Administration Simple | H2: Histoires de Succès en Télémédecine &amp; Virtual Care | H2: Notre Processus de Développement pour Télémédecine &amp; Virtual Care | H3: Découverte &amp; Structure du Site | H3: Design &amp; Expérience Patient | H3: Développement &amp; Intégration | H3: Tests, Conformité &amp; Lancement | H2: Solutions Personnalisées, Tarification Transparente | H3: Développement de Sites Web | H3: Abonnement | H2: Prêt à Transformer le Site Web de Votre Cabinet ou Clini</t>
        </is>
      </c>
      <c r="M32" t="n">
        <v>17</v>
      </c>
      <c r="N32" t="n">
        <v>8</v>
      </c>
      <c r="O32" t="inlineStr">
        <is>
          <t>Commercial</t>
        </is>
      </c>
      <c r="P32" t="inlineStr">
        <is>
          <t>index, follow; HTTP 200</t>
        </is>
      </c>
      <c r="Q32" t="inlineStr">
        <is>
          <t>https://codesommet.com/services/telemedicine-website-development</t>
        </is>
      </c>
      <c r="R32" t="inlineStr">
        <is>
          <t>self</t>
        </is>
      </c>
      <c r="S32" t="n">
        <v>2952</v>
      </c>
      <c r="T32" t="n">
        <v>47</v>
      </c>
      <c r="U32" t="n">
        <v>86</v>
      </c>
      <c r="V32" t="n">
        <v>10</v>
      </c>
      <c r="W32" t="n">
        <v>0</v>
      </c>
      <c r="X32" t="inlineStr">
        <is>
          <t>BreadcrumbList, FAQPage, Organization, Service, WebSite</t>
        </is>
      </c>
      <c r="Y32" t="inlineStr">
        <is>
          <t>site web cabinet médical [fr]</t>
        </is>
      </c>
      <c r="Z32" s="5" t="inlineStr">
        <is>
          <t>Review: 47 headings</t>
        </is>
      </c>
    </row>
    <row r="33">
      <c r="A33" t="inlineStr">
        <is>
          <t>P031</t>
        </is>
      </c>
      <c r="B33" s="3" t="inlineStr">
        <is>
          <t>https://codesommet.com/services/seo-maroc</t>
        </is>
      </c>
      <c r="C33" s="5" t="inlineStr">
        <is>
          <t>Agence SEO Maroc : un Référencement Naturel Google qui génère des DEMANDES DE DEVIS</t>
        </is>
      </c>
      <c r="D33" t="inlineStr">
        <is>
          <t>Service landing page</t>
        </is>
      </c>
      <c r="E33" t="inlineStr">
        <is>
          <t>fr</t>
        </is>
      </c>
      <c r="F33" t="inlineStr">
        <is>
          <t>Morocco</t>
        </is>
      </c>
      <c r="G33" s="5" t="inlineStr">
        <is>
          <t>Agence SEO Maroc — Référencement Naturel Google | CodeSommet</t>
        </is>
      </c>
      <c r="H33" t="n">
        <v>625</v>
      </c>
      <c r="I33" s="5" t="inlineStr">
        <is>
          <t>Agence SEO au Maroc : audit technique, mots-clés, contenu et netlinking pour classer votre site sur Google, de Casablanca à Agadir. Devis gratuit.</t>
        </is>
      </c>
      <c r="J33" t="n">
        <v>146</v>
      </c>
      <c r="K33" s="5" t="inlineStr">
        <is>
          <t>Agence SEO Maroc : un Référencement Naturel Google qui génère des DEMANDES DE DEVIS</t>
        </is>
      </c>
      <c r="L33" s="5" t="inlineStr">
        <is>
          <t>H2: Pourquoi Choisir CodeSommet pour votre Référencement au Maroc ? | H3: Données Réelles du Marché Marocain | H3: Audit Technique Approfondi | H3: Développeurs et Référenceurs Ensemble | H3: Suivi des Positions et du Trafic | H3: Approche Honnête et Mesurée | H2: Adopté par les Entreprises Marocaines | H2: Le Défi : Les Entreprises Marocaines Font Face à des Problèmes de Visibilité Récurrents | H3: Un Site Invisible sur Google | H3: Des Mots-clés Choisis au Hasard | H3: Des Blocages Techniques Ignorés | H3: Un Contenu qui ne Répond à Aucune Recherche | H3: Des Pages Lentes sur Mobile | H3: Aucun Suivi des Résultats | H2: Ce que Comprend Notre Accompagnement | H3: Audit SEO Technique Complet | H3: Recherche de Mots-clés pour le Maroc | H3: Optimisation On-page et Contenu | H3: Suivi des Positions et du Trafic | H2: Projets Livrés avec une Base SEO Solide | H2: Notre Méthode de Référencement | H3: Audit Technique et Cadrage | H3: Optimisation On-page | H3: Contenu et Autorité | H3: Suivi, Mesure et Itération | H2: Offres SEO Claires, Tarification Transparente | H3: Audit &amp; Optimisation SEO | H3: Accompagnement SEO Mensuel | H2: Prêt à Améliorer Votre Référencement au Maroc ? | H2: CodeSommet SEO vs Autres | H2: Ce que Nos Clients Disent de Nous | H2: Questions Fréquemment Posées sur le Référencement Naturel au Maroc | H3: Combien de temps faut-il pour voir des résultats en référencement naturel ? | H3: Garantissez-vous la première position sur Google ? | H3: Travaillez-vous le</t>
        </is>
      </c>
      <c r="M33" t="n">
        <v>16</v>
      </c>
      <c r="N33" t="n">
        <v>8</v>
      </c>
      <c r="O33" t="inlineStr">
        <is>
          <t>Commercial</t>
        </is>
      </c>
      <c r="P33" t="inlineStr">
        <is>
          <t>index, follow; HTTP 200</t>
        </is>
      </c>
      <c r="Q33" t="inlineStr">
        <is>
          <t>https://codesommet.com/services/seo-maroc</t>
        </is>
      </c>
      <c r="R33" t="inlineStr">
        <is>
          <t>self</t>
        </is>
      </c>
      <c r="S33" t="n">
        <v>2605</v>
      </c>
      <c r="T33" t="n">
        <v>45</v>
      </c>
      <c r="U33" t="n">
        <v>83</v>
      </c>
      <c r="V33" t="n">
        <v>9</v>
      </c>
      <c r="W33" t="n">
        <v>0</v>
      </c>
      <c r="X33" t="inlineStr">
        <is>
          <t>BreadcrumbList, FAQPage, Organization, Service, WebSite</t>
        </is>
      </c>
      <c r="Y33" t="inlineStr">
        <is>
          <t>agence seo maroc [ma]</t>
        </is>
      </c>
      <c r="Z33" s="5" t="inlineStr">
        <is>
          <t>Review: title 625px; 45 headings</t>
        </is>
      </c>
    </row>
    <row r="34">
      <c r="A34" t="inlineStr">
        <is>
          <t>P032</t>
        </is>
      </c>
      <c r="B34" s="3" t="inlineStr">
        <is>
          <t>https://codesommet.com/web-development-company/worldwide</t>
        </is>
      </c>
      <c r="C34" s="5" t="inlineStr">
        <is>
          <t>Agence Web Offshore au Maroc : nous travaillons à distance, où que vous soyez PARTOUT OÙ Q</t>
        </is>
      </c>
      <c r="D34" t="inlineStr">
        <is>
          <t>Location page</t>
        </is>
      </c>
      <c r="E34" t="inlineStr">
        <is>
          <t>fr</t>
        </is>
      </c>
      <c r="F34" t="inlineStr">
        <is>
          <t>International (FR/BE/CH/CA)</t>
        </is>
      </c>
      <c r="G34" s="5" t="inlineStr">
        <is>
          <t>Agence Web Offshore au Maroc — À Distance | CodeSommet</t>
        </is>
      </c>
      <c r="H34" t="n">
        <v>555</v>
      </c>
      <c r="I34" s="5" t="inlineStr">
        <is>
          <t>Agence web offshore basée au Maroc : sites web, tableaux de bord et plateformes SaaS développés à distance pour des entreprises du monde entier.</t>
        </is>
      </c>
      <c r="J34" t="n">
        <v>144</v>
      </c>
      <c r="K34" s="5" t="inlineStr">
        <is>
          <t>Agence Web Offshore au Maroc : nous travaillons à distance, où que vous soyez PARTOUT OÙ QUE VOUS SOYEZ</t>
        </is>
      </c>
      <c r="L34" s="5" t="inlineStr">
        <is>
          <t>H2: Pourquoi les entreprises du monde entier choisissent CodeSommet | H3: Entièrement à Distance, Disponible Partout | H3: Experts en IA | H3: Spécialistes Dashboard &amp; SaaS | H3: Axé Génération de Prospects | H3: Service Complet de A à Z | H3: Spécialistes Sectoriels | H2: Comment nous travaillons avec des clients dans le monde entier | H3: Appel découverte | H3: Design &amp; Prototype | H3: Développement | H3: Lancement &amp; Support | H2: Secteurs que Nous Servons dans le Monde | H2: Histoires de réussite à travers le monde | H2: Questions fréquemment posées | H3: Où êtes-vous basés ? | H3: Pouvez-vous travailler dans mon fuseau horaire ? | H3: Comment communiquons-nous pendant le projet ? | H3: Quels modes de paiement acceptez-vous ? | H3: En combien de temps pouvez-vous livrer un site web ? | H3: Offrez-vous un support continu après le lancement ? | H2: Explorer davantage | H2: Prêt à Créer Quelque Chose d'Extraordinaire ?</t>
        </is>
      </c>
      <c r="M34" t="n">
        <v>8</v>
      </c>
      <c r="N34" t="n">
        <v>6</v>
      </c>
      <c r="O34" t="inlineStr">
        <is>
          <t>Commercial (local)</t>
        </is>
      </c>
      <c r="P34" t="inlineStr">
        <is>
          <t>index, follow; HTTP 200</t>
        </is>
      </c>
      <c r="Q34" t="inlineStr">
        <is>
          <t>https://codesommet.com/web-development-company/worldwide</t>
        </is>
      </c>
      <c r="R34" t="inlineStr">
        <is>
          <t>self</t>
        </is>
      </c>
      <c r="S34" t="n">
        <v>934</v>
      </c>
      <c r="T34" t="n">
        <v>24</v>
      </c>
      <c r="U34" t="n">
        <v>73</v>
      </c>
      <c r="V34" t="n">
        <v>0</v>
      </c>
      <c r="W34" t="n">
        <v>0</v>
      </c>
      <c r="X34" t="inlineStr">
        <is>
          <t>BreadcrumbList, FAQPage, Organization, WebSite</t>
        </is>
      </c>
      <c r="Y34" t="inlineStr">
        <is>
          <t>agence web offshore maroc [ma]</t>
        </is>
      </c>
      <c r="Z34" s="5" t="inlineStr">
        <is>
          <t>OK</t>
        </is>
      </c>
    </row>
    <row r="35">
      <c r="A35" t="inlineStr">
        <is>
          <t>P033</t>
        </is>
      </c>
      <c r="B35" s="3" t="inlineStr">
        <is>
          <t>https://codesommet.com/web-development-company/casablanca</t>
        </is>
      </c>
      <c r="C35" s="5" t="inlineStr">
        <is>
          <t>Agence Web Casablanca : Création de Sites qui génèrent LA CROISSANCE DES ENTREPRISES À CAS</t>
        </is>
      </c>
      <c r="D35" t="inlineStr">
        <is>
          <t>Location page</t>
        </is>
      </c>
      <c r="E35" t="inlineStr">
        <is>
          <t>fr</t>
        </is>
      </c>
      <c r="F35" t="inlineStr">
        <is>
          <t>Morocco</t>
        </is>
      </c>
      <c r="G35" s="5" t="inlineStr">
        <is>
          <t>Agence Web Casablanca — Création de Sites | CodeSommet</t>
        </is>
      </c>
      <c r="H35" t="n">
        <v>548</v>
      </c>
      <c r="I35" s="5" t="inlineStr">
        <is>
          <t>Agence web à Casablanca : création de sites vitrines, e-commerce et plateformes sur mesure pour les entreprises casablancaises, avec SEO et devis gratuit.</t>
        </is>
      </c>
      <c r="J35" t="n">
        <v>154</v>
      </c>
      <c r="K35" s="5" t="inlineStr">
        <is>
          <t>Agence Web Casablanca : Création de Sites qui génèrent LA CROISSANCE DES ENTREPRISES À CASABLANCA</t>
        </is>
      </c>
      <c r="L35" s="5" t="inlineStr">
        <is>
          <t>H2: Pourquoi Choisir CodeSommet à Casablanca ? | H3: Experts en IA | H3: Spécialistes Dashboard &amp; SaaS | H3: Axé Génération de Prospects | H3: Service Complet de Bout en Bout | H3: Spécialistes Sectoriels | H3: Stack Technologique Moderne | H2: Approuvé par Casablanca Entreprises | H2: Casablanca Nos Secteurs de Spécialisation | H2: Histoires de Succès de Casablanca | H2: Des Plateformes Immobilières Pensées pour le Marché de Casablanca | H2: Solutions Personnalisées, Tarification Transparente | H3: Développement Web | H3: Forfait Mensuel | H2: Prêt à Améliorer Votre Site Web à Casablanca ? | H2: CodeSommet Casablanca vs Autres | H2: Quoi Casablanca Nos Clients Disent de Nous | H2: Comment démarrer en 3 étapes simples | H3: Choisissez votre formule | H3: Envoyez votre demande | H3: Suivez notre livraison | H2: Questions Fréquemment Posées Sur le Développement Web à Casablanca | H3: Avez-vous un bureau physique à Casablanca ? | H3: Pouvez-vous travailler avec les entreprises de Casablanca à distance ? | H3: Quels modes de paiement acceptez-vous à Casablanca ? | H3: Comprenez-vous les lois de conformité et de protection des données au Maroc ? | H3: À quelle vitesse pouvez-vous lancer un site web pour mon entreprise à Casablanca ? | H3: Pouvez-vous aider avec l'enregistrement de domaine .ma ? | H2: Nous Servons Également | H2: En Savoir Plus | H2: Prêt à Créer Quelque Chose d'Extraordinaire ?</t>
        </is>
      </c>
      <c r="M35" t="n">
        <v>15</v>
      </c>
      <c r="N35" t="n">
        <v>6</v>
      </c>
      <c r="O35" t="inlineStr">
        <is>
          <t>Commercial (local)</t>
        </is>
      </c>
      <c r="P35" t="inlineStr">
        <is>
          <t>index, follow; HTTP 200</t>
        </is>
      </c>
      <c r="Q35" t="inlineStr">
        <is>
          <t>https://codesommet.com/web-development-company/casablanca</t>
        </is>
      </c>
      <c r="R35" t="inlineStr">
        <is>
          <t>self</t>
        </is>
      </c>
      <c r="S35" t="n">
        <v>2126</v>
      </c>
      <c r="T35" t="n">
        <v>32</v>
      </c>
      <c r="U35" t="n">
        <v>78</v>
      </c>
      <c r="V35" t="n">
        <v>12</v>
      </c>
      <c r="W35" t="n">
        <v>0</v>
      </c>
      <c r="X35" t="inlineStr">
        <is>
          <t>BreadcrumbList, FAQPage, Organization, WebSite</t>
        </is>
      </c>
      <c r="Y35" t="inlineStr">
        <is>
          <t>agence web casablanca [ma]</t>
        </is>
      </c>
      <c r="Z35" s="5" t="inlineStr">
        <is>
          <t>Review: 32 headings</t>
        </is>
      </c>
    </row>
    <row r="36">
      <c r="A36" t="inlineStr">
        <is>
          <t>P034</t>
        </is>
      </c>
      <c r="B36" s="3" t="inlineStr">
        <is>
          <t>https://codesommet.com/web-development-company/marrakech</t>
        </is>
      </c>
      <c r="C36" s="5" t="inlineStr">
        <is>
          <t>Création Site Web Marrakech : votre Agence Web pour des sites qui génèrent LA CROISSANCE C</t>
        </is>
      </c>
      <c r="D36" t="inlineStr">
        <is>
          <t>Location page</t>
        </is>
      </c>
      <c r="E36" t="inlineStr">
        <is>
          <t>fr</t>
        </is>
      </c>
      <c r="F36" t="inlineStr">
        <is>
          <t>Morocco</t>
        </is>
      </c>
      <c r="G36" s="5" t="inlineStr">
        <is>
          <t>Création Site Web Marrakech — Agence Web | CodeSommet</t>
        </is>
      </c>
      <c r="H36" t="n">
        <v>548</v>
      </c>
      <c r="I36" s="5" t="inlineStr">
        <is>
          <t>Création de sites web pour les entreprises de Marrakech : hôtellerie, tourisme et services. Développement sur mesure, SEO et maintenance par CodeSommet.</t>
        </is>
      </c>
      <c r="J36" t="n">
        <v>152</v>
      </c>
      <c r="K36" s="5" t="inlineStr">
        <is>
          <t>Création Site Web Marrakech : votre Agence Web pour des sites qui génèrent LA CROISSANCE COMMERCIALE À MARRAKECH</t>
        </is>
      </c>
      <c r="L36" s="5" t="inlineStr">
        <is>
          <t>H2: Pourquoi Choisir CodeSommet à Marrakech ? | H3: Experts en IA | H3: Spécialistes Dashboard &amp; SaaS | H3: Axé Génération de Prospects | H3: Service Complet de Bout en Bout | H3: Spécialistes Sectoriels | H3: Stack Technologique Moderne | H2: Approuvé par les Entreprises de Marrakech | H2: Marrakech Nos Secteurs de Spécialisation | H2: Histoires de réussite à Marrakech | H2: Des Plateformes Immobilières Pensées pour le Marché de Marrakech | H2: Solutions Sur Mesure, Tarification Transparente | H3: Développement de Sites Web | H3: Forfait Mensuel | H2: Prêt à Améliorer Votre Site Web à Marrakech ? | H2: CodeSommet Marrakech vs Autres | H2: Ce Que les Clients de Marrakech Disent de Nous | H2: Comment démarrer en 3 étapes simples | H3: Choisissez votre formule | H3: Envoyez votre demande | H3: Suivez notre livraison | H2: Questions Fréquemment Posées sur le Développement Web à Marrakech | H3: Avez-vous un bureau physique à Marrakech ? | H3: Pouvez-vous travailler avec les entreprises de Marrakech à distance ? | H3: Quels modes de paiement acceptez-vous à Marrakech ? | H3: Comprenez-vous les lois de conformité et de protection des données du Morocco ? | H3: À quelle vitesse pouvez-vous lancer un site web pour mon entreprise à Marrakech ? | H3: Pouvez-vous aider avec l'enregistrement de domaine .ma ? | H2: Nous Desservons Aussi | H2: Explorer Plus | H2: Prêt à Créer Quelque Chose d'Extraordinaire ?</t>
        </is>
      </c>
      <c r="M36" t="n">
        <v>15</v>
      </c>
      <c r="N36" t="n">
        <v>6</v>
      </c>
      <c r="O36" t="inlineStr">
        <is>
          <t>Commercial (local)</t>
        </is>
      </c>
      <c r="P36" t="inlineStr">
        <is>
          <t>index, follow; HTTP 200</t>
        </is>
      </c>
      <c r="Q36" t="inlineStr">
        <is>
          <t>https://codesommet.com/web-development-company/marrakech</t>
        </is>
      </c>
      <c r="R36" t="inlineStr">
        <is>
          <t>self</t>
        </is>
      </c>
      <c r="S36" t="n">
        <v>2141</v>
      </c>
      <c r="T36" t="n">
        <v>32</v>
      </c>
      <c r="U36" t="n">
        <v>79</v>
      </c>
      <c r="V36" t="n">
        <v>12</v>
      </c>
      <c r="W36" t="n">
        <v>0</v>
      </c>
      <c r="X36" t="inlineStr">
        <is>
          <t>BreadcrumbList, FAQPage, Organization, WebSite</t>
        </is>
      </c>
      <c r="Y36" t="inlineStr">
        <is>
          <t>création site web marrakech [ma]</t>
        </is>
      </c>
      <c r="Z36" s="5" t="inlineStr">
        <is>
          <t>Review: 32 headings; FAQ template bug</t>
        </is>
      </c>
    </row>
    <row r="37">
      <c r="A37" t="inlineStr">
        <is>
          <t>P035</t>
        </is>
      </c>
      <c r="B37" s="3" t="inlineStr">
        <is>
          <t>https://codesommet.com/web-development-company/rabat</t>
        </is>
      </c>
      <c r="C37" s="5" t="inlineStr">
        <is>
          <t>Agence Web Rabat : Création de Sites qui génèrent LA CROISSANCE COMMERCIALE À RABAT</t>
        </is>
      </c>
      <c r="D37" t="inlineStr">
        <is>
          <t>Location page</t>
        </is>
      </c>
      <c r="E37" t="inlineStr">
        <is>
          <t>fr</t>
        </is>
      </c>
      <c r="F37" t="inlineStr">
        <is>
          <t>Morocco</t>
        </is>
      </c>
      <c r="G37" s="5" t="inlineStr">
        <is>
          <t>Agence Web Rabat — Création de Sites | CodeSommet</t>
        </is>
      </c>
      <c r="H37" t="n">
        <v>497</v>
      </c>
      <c r="I37" s="5" t="inlineStr">
        <is>
          <t>Développement web pour les entreprises et institutions de Rabat : sites modernes, plateformes métier et SEO, réalisés au Maroc par l'équipe CodeSommet.</t>
        </is>
      </c>
      <c r="J37" t="n">
        <v>151</v>
      </c>
      <c r="K37" s="5" t="inlineStr">
        <is>
          <t>Agence Web Rabat : Création de Sites qui génèrent LA CROISSANCE COMMERCIALE À RABAT</t>
        </is>
      </c>
      <c r="L37" s="5" t="inlineStr">
        <is>
          <t>H2: Pourquoi Choisir CodeSommet à Rabat ? | H3: Experts en IA | H3: Spécialistes Dashboard &amp; SaaS | H3: Axé Génération de Prospects | H3: Service Complet de Bout en Bout | H3: Spécialistes Sectoriels | H3: Stack Technologique Moderne | H2: Approuvé par les Entreprises de Rabat | H2: Rabat Nos Secteurs de Spécialisation | H2: Histoires de réussite à Rabat | H2: Des Plateformes Immobilières Pensées pour les Entreprises de Rabat | H2: Solutions Sur Mesure, Tarification Transparente | H3: Développement de Sites Web | H3: Forfait Mensuel | H2: Prêt à Améliorer Votre Site Web à Rabat ? | H2: CodeSommet Rabat vs Autres | H2: Ce Que les Clients de Rabat Disent de Nous | H2: Comment démarrer en 3 étapes simples | H3: Choisissez votre formule | H3: Envoyez votre demande | H3: Suivez notre livraison | H2: Questions Fréquemment Posées sur le Développement Web à Rabat | H3: Avez-vous un bureau physique à Rabat ? | H3: Pouvez-vous travailler avec les entreprises de Rabat à distance ? | H3: Quels modes de paiement acceptez-vous à Rabat ? | H3: Comprenez-vous les lois de conformité et de protection des données du Morocco ? | H3: À quelle vitesse pouvez-vous lancer un site web pour mon entreprise à Rabat ? | H3: Pouvez-vous aider avec l'enregistrement de domaine .ma ? | H2: Nous Desservons Aussi | H2: Explorer Plus | H2: Prêt à Créer Quelque Chose d'Extraordinaire ?</t>
        </is>
      </c>
      <c r="M37" t="n">
        <v>15</v>
      </c>
      <c r="N37" t="n">
        <v>6</v>
      </c>
      <c r="O37" t="inlineStr">
        <is>
          <t>Commercial (local)</t>
        </is>
      </c>
      <c r="P37" t="inlineStr">
        <is>
          <t>index, follow; HTTP 200</t>
        </is>
      </c>
      <c r="Q37" t="inlineStr">
        <is>
          <t>https://codesommet.com/web-development-company/rabat</t>
        </is>
      </c>
      <c r="R37" t="inlineStr">
        <is>
          <t>self</t>
        </is>
      </c>
      <c r="S37" t="n">
        <v>2156</v>
      </c>
      <c r="T37" t="n">
        <v>32</v>
      </c>
      <c r="U37" t="n">
        <v>79</v>
      </c>
      <c r="V37" t="n">
        <v>12</v>
      </c>
      <c r="W37" t="n">
        <v>0</v>
      </c>
      <c r="X37" t="inlineStr">
        <is>
          <t>BreadcrumbList, FAQPage, Organization, WebSite</t>
        </is>
      </c>
      <c r="Y37" t="inlineStr">
        <is>
          <t>agence web rabat [ma]</t>
        </is>
      </c>
      <c r="Z37" s="5" t="inlineStr">
        <is>
          <t>Review: 32 headings; FAQ template bug</t>
        </is>
      </c>
    </row>
    <row r="38">
      <c r="A38" t="inlineStr">
        <is>
          <t>P036</t>
        </is>
      </c>
      <c r="B38" s="3" t="inlineStr">
        <is>
          <t>https://codesommet.com/web-development-company/tangier</t>
        </is>
      </c>
      <c r="C38" s="5" t="inlineStr">
        <is>
          <t>Création Site Web Tanger : votre Agence Web pour des sites qui génèrent LA CROISSANCE COMM</t>
        </is>
      </c>
      <c r="D38" t="inlineStr">
        <is>
          <t>Location page</t>
        </is>
      </c>
      <c r="E38" t="inlineStr">
        <is>
          <t>fr</t>
        </is>
      </c>
      <c r="F38" t="inlineStr">
        <is>
          <t>Morocco</t>
        </is>
      </c>
      <c r="G38" s="5" t="inlineStr">
        <is>
          <t>Création Site Web Tanger — Agence Web | CodeSommet</t>
        </is>
      </c>
      <c r="H38" t="n">
        <v>516</v>
      </c>
      <c r="I38" s="5" t="inlineStr">
        <is>
          <t>Création de sites web à Tanger : sites vitrines, e-commerce et plateformes sur mesure pour les entreprises tangéroises, avec SEO, par CodeSommet.</t>
        </is>
      </c>
      <c r="J38" t="n">
        <v>145</v>
      </c>
      <c r="K38" s="5" t="inlineStr">
        <is>
          <t>Création Site Web Tanger : votre Agence Web pour des sites qui génèrent LA CROISSANCE COMMERCIALE À TANGER</t>
        </is>
      </c>
      <c r="L38" s="5" t="inlineStr">
        <is>
          <t>H2: Pourquoi Choisir CodeSommet in Tanger ? | H3: Experts en IA | H3: Spécialistes Dashboard &amp; SaaS | H3: Axé Génération de Prospects | H3: Service Complet de Bout en Bout | H3: Spécialistes Sectoriels | H3: Stack Technologique Moderne | H2: Approuvé par Tanger Entreprises | H2: Tanger Nos Secteurs de Spécialisation | H2: Histoires de réussite à Tanger | H2: Comment Nous Concevons des Plateformes Immobilières Pensées pour le Marché de Tanger | H2: Solutions sur mesure, tarification transparente | H3: Développement Web | H3: Forfait | H2: Prêt à Améliorer Votre Site Web à Tanger ? | H2: CodeSommet Tanger vs Others | H2: Ce que nos clients de Tanger disent de nous | H2: Comment démarrer en 3 étapes simples | H3: Choisissez votre formule | H3: Envoyez votre demande | H3: Suivez notre livraison | H2: Questions fréquemment posées sur le Développement Web à Tanger | H3: Avez-vous un bureau physique à Tanger ? | H3: Pouvez-vous travailler avec les entreprises de Tanger à distance ? | H3: Quels modes de paiement acceptez-vous à Tanger ? | H3: Comprenez-vous les lois de conformité et de protection des données au Maroc ? | H3: En combien de temps pouvez-vous lancer un site web pour mon entreprise à Tanger ? | H3: Pouvez-vous aider avec l'enregistrement de domaine ? | H2: Nous Desservons Également | H2: Explorer davantage | H2: Prêt à Créer Quelque Chose d'Extraordinaire ?</t>
        </is>
      </c>
      <c r="M38" t="n">
        <v>15</v>
      </c>
      <c r="N38" t="n">
        <v>6</v>
      </c>
      <c r="O38" t="inlineStr">
        <is>
          <t>Commercial (local)</t>
        </is>
      </c>
      <c r="P38" t="inlineStr">
        <is>
          <t>index, follow; HTTP 200</t>
        </is>
      </c>
      <c r="Q38" t="inlineStr">
        <is>
          <t>https://codesommet.com/web-development-company/tangier</t>
        </is>
      </c>
      <c r="R38" t="inlineStr">
        <is>
          <t>self</t>
        </is>
      </c>
      <c r="S38" t="n">
        <v>2107</v>
      </c>
      <c r="T38" t="n">
        <v>32</v>
      </c>
      <c r="U38" t="n">
        <v>78</v>
      </c>
      <c r="V38" t="n">
        <v>12</v>
      </c>
      <c r="W38" t="n">
        <v>0</v>
      </c>
      <c r="X38" t="inlineStr">
        <is>
          <t>BreadcrumbList, FAQPage, Organization, WebSite</t>
        </is>
      </c>
      <c r="Y38" t="inlineStr">
        <is>
          <t>creation site web tanger [ma]</t>
        </is>
      </c>
      <c r="Z38" s="5" t="inlineStr">
        <is>
          <t>Review: 32 headings</t>
        </is>
      </c>
    </row>
    <row r="39">
      <c r="A39" t="inlineStr">
        <is>
          <t>P037</t>
        </is>
      </c>
      <c r="B39" s="3" t="inlineStr">
        <is>
          <t>https://codesommet.com/web-development-company/agadir</t>
        </is>
      </c>
      <c r="C39" s="5" t="inlineStr">
        <is>
          <t>Agence Web Agadir : Création de Sites qui génèrent LA CROISSANCE DES ENTREPRISES À AGADIR</t>
        </is>
      </c>
      <c r="D39" t="inlineStr">
        <is>
          <t>Location page</t>
        </is>
      </c>
      <c r="E39" t="inlineStr">
        <is>
          <t>fr</t>
        </is>
      </c>
      <c r="F39" t="inlineStr">
        <is>
          <t>Morocco</t>
        </is>
      </c>
      <c r="G39" s="5" t="inlineStr">
        <is>
          <t>Agence Web Agadir — Création de Sites | CodeSommet</t>
        </is>
      </c>
      <c r="H39" t="n">
        <v>501</v>
      </c>
      <c r="I39" s="5" t="inlineStr">
        <is>
          <t>Agence web à Agadir : sites vitrines, réservation en ligne, e-commerce et plateformes sur mesure pour les entreprises du Souss-Massa. SEO et devis gratuit.</t>
        </is>
      </c>
      <c r="J39" t="n">
        <v>155</v>
      </c>
      <c r="K39" s="5" t="inlineStr">
        <is>
          <t>Agence Web Agadir : Création de Sites qui génèrent LA CROISSANCE DES ENTREPRISES À AGADIR</t>
        </is>
      </c>
      <c r="L39" s="5" t="inlineStr">
        <is>
          <t>H2: Pourquoi Choisir CodeSommet à Agadir ? | H3: Experts en IA | H3: Réservation &amp; Paiement en Ligne | H3: Axé Génération de Prospects | H3: Service Complet de Bout en Bout | H3: Spécialistes Sectoriels | H3: Stack Technologique Moderne | H2: Approuvé par les Entreprises Marocaines | H2: Nos Secteurs de Spécialisation à Agadir | H2: Réalisations Utiles aux Entreprises d' Agadir | H2: Des Sites de Réservation Pensés pour le Tourisme à Agadir | H2: Solutions Personnalisées, Tarification Transparente | H3: Développement Web | H3: Forfait Mensuel | H2: Prêt à Améliorer Votre Site Web à Agadir ? | H2: CodeSommet Agadir vs Autres | H2: Ce que Nos Clients Marocains Disent de Nous | H2: Comment démarrer en 3 étapes simples | H3: Choisissez votre formule | H3: Envoyez votre demande | H3: Suivez notre livraison | H2: Questions Fréquemment Posées Sur la Création de Site Web à Agadir | H3: Avez-vous un bureau physique à Agadir ? | H3: Pouvez-vous créer un site de réservation pour un hôtel ou une agence d'Agadir ? | H3: Quels modes de paiement acceptez-vous à Agadir ? | H3: Le site peut-il être en français, anglais et arabe ? | H3: À quelle vitesse pouvez-vous lancer un site web pour mon entreprise à Agadir ? | H3: Pouvez-vous aider avec l'enregistrement de domaine .ma ? | H2: Nous Servons Également | H2: En Savoir Plus | H2: Prêt à Créer Quelque Chose d'Extraordinaire ?</t>
        </is>
      </c>
      <c r="M39" t="n">
        <v>15</v>
      </c>
      <c r="N39" t="n">
        <v>6</v>
      </c>
      <c r="O39" t="inlineStr">
        <is>
          <t>Commercial (local)</t>
        </is>
      </c>
      <c r="P39" t="inlineStr">
        <is>
          <t>index, follow; HTTP 200</t>
        </is>
      </c>
      <c r="Q39" t="inlineStr">
        <is>
          <t>https://codesommet.com/web-development-company/agadir</t>
        </is>
      </c>
      <c r="R39" t="inlineStr">
        <is>
          <t>self</t>
        </is>
      </c>
      <c r="S39" t="n">
        <v>2199</v>
      </c>
      <c r="T39" t="n">
        <v>32</v>
      </c>
      <c r="U39" t="n">
        <v>77</v>
      </c>
      <c r="V39" t="n">
        <v>12</v>
      </c>
      <c r="W39" t="n">
        <v>0</v>
      </c>
      <c r="X39" t="inlineStr">
        <is>
          <t>BreadcrumbList, FAQPage, Organization, WebSite</t>
        </is>
      </c>
      <c r="Y39" t="inlineStr">
        <is>
          <t>agence web agadir [ma]</t>
        </is>
      </c>
      <c r="Z39" s="5" t="inlineStr">
        <is>
          <t>Review: 32 headings</t>
        </is>
      </c>
    </row>
    <row r="40">
      <c r="A40" t="inlineStr">
        <is>
          <t>P038</t>
        </is>
      </c>
      <c r="B40" s="3" t="inlineStr">
        <is>
          <t>https://codesommet.com/web-development-company/dubai</t>
        </is>
      </c>
      <c r="C40" s="5" t="inlineStr">
        <is>
          <t>Développement Web à Dubaï, EAU : des sites web qui génèrent CROISSANCE COMMERCIALE À DUBAÏ</t>
        </is>
      </c>
      <c r="D40" t="inlineStr">
        <is>
          <t>Location page</t>
        </is>
      </c>
      <c r="E40" t="inlineStr">
        <is>
          <t>fr</t>
        </is>
      </c>
      <c r="F40" t="inlineStr">
        <is>
          <t>United Arab Emirates (city page)</t>
        </is>
      </c>
      <c r="G40" s="5" t="inlineStr">
        <is>
          <t>Développement Web à Dubaï, EAU | CodeSommet</t>
        </is>
      </c>
      <c r="H40" t="n">
        <v>453</v>
      </c>
      <c r="I40" s="5" t="inlineStr">
        <is>
          <t>Développement web pour les entreprises de Dubaï : sites premium, e-commerce et tableaux de bord, livrés à distance par CodeSommet avec un suivi réactif.</t>
        </is>
      </c>
      <c r="J40" t="n">
        <v>152</v>
      </c>
      <c r="K40" s="5" t="inlineStr">
        <is>
          <t>Développement Web à Dubaï, EAU : des sites web qui génèrent CROISSANCE COMMERCIALE À DUBAÏ</t>
        </is>
      </c>
      <c r="L40" s="5" t="inlineStr">
        <is>
          <t>H2: Pourquoi Choisir CodeSommet à Dubai ? | H3: Experts en IA | H3: Spécialistes Dashboard &amp; SaaS | H3: Axé Génération de Prospects | H3: Service Complet de Bout en Bout | H3: Spécialistes Sectoriels | H3: Stack Technologique Moderne | H2: Approuvé par les Entreprises de Dubai | H2: Dubai Nos Secteurs de Spécialisation | H2: Histoires de réussite à Dubai | H2: Comment Nous Concevons des Plateformes Immobilières Performantes pour le Marché de Dubai | H2: Solutions Sur Mesure, Tarification Transparente | H3: Développement de Sites Web | H3: Forfait Mensuel | H2: Prêt à Améliorer Votre Site Web à Dubai ? | H2: CodeSommet Dubai vs Autres | H2: Ce Que les Clients de Dubai Disent de Nous | H2: Comment démarrer en 3 étapes simples | H3: Choisissez votre formule | H3: Envoyez votre demande | H3: Suivez notre livraison | H2: Questions Fréquemment Posées sur le Développement Web à Dubai | H3: Avez-vous un bureau physique à Dubai ? | H3: Pouvez-vous travailler avec les entreprises de Dubai à distance ? | H3: Quels modes de paiement acceptez-vous à Dubai ? | H3: Comprenez-vous les lois de conformité et de protection des données des UAE ? | H3: À quelle vitesse pouvez-vous lancer un site web pour mon entreprise à Dubai ? | H3: Pouvez-vous aider avec l'enregistrement de domaine .ae ? | H2: Nous Desservons Aussi | H2: Explorer Plus | H2: Prêt à Créer Quelque Chose d'Extraordinaire ?</t>
        </is>
      </c>
      <c r="M40" t="n">
        <v>15</v>
      </c>
      <c r="N40" t="n">
        <v>6</v>
      </c>
      <c r="O40" t="inlineStr">
        <is>
          <t>Commercial (local)</t>
        </is>
      </c>
      <c r="P40" t="inlineStr">
        <is>
          <t>index, follow; HTTP 200</t>
        </is>
      </c>
      <c r="Q40" t="inlineStr">
        <is>
          <t>https://codesommet.com/web-development-company/dubai</t>
        </is>
      </c>
      <c r="R40" t="inlineStr">
        <is>
          <t>self</t>
        </is>
      </c>
      <c r="S40" t="n">
        <v>2140</v>
      </c>
      <c r="T40" t="n">
        <v>32</v>
      </c>
      <c r="U40" t="n">
        <v>77</v>
      </c>
      <c r="V40" t="n">
        <v>12</v>
      </c>
      <c r="W40" t="n">
        <v>0</v>
      </c>
      <c r="X40" t="inlineStr">
        <is>
          <t>BreadcrumbList, FAQPage, Organization, WebSite</t>
        </is>
      </c>
      <c r="Y40" t="inlineStr">
        <is>
          <t>développement web dubai [ae]</t>
        </is>
      </c>
      <c r="Z40" s="5" t="inlineStr">
        <is>
          <t>Review: 32 headings</t>
        </is>
      </c>
    </row>
    <row r="41">
      <c r="A41" t="inlineStr">
        <is>
          <t>P039</t>
        </is>
      </c>
      <c r="B41" s="3" t="inlineStr">
        <is>
          <t>https://codesommet.com/web-development-company/abudhabi</t>
        </is>
      </c>
      <c r="C41" s="5" t="inlineStr">
        <is>
          <t>Développement Web à Abu Dhabi, EAU : des sites web qui génèrent Portails Immobiliers</t>
        </is>
      </c>
      <c r="D41" t="inlineStr">
        <is>
          <t>Location page</t>
        </is>
      </c>
      <c r="E41" t="inlineStr">
        <is>
          <t>fr</t>
        </is>
      </c>
      <c r="F41" t="inlineStr">
        <is>
          <t>United Arab Emirates (city page)</t>
        </is>
      </c>
      <c r="G41" s="5" t="inlineStr">
        <is>
          <t>Développement Web à Abu Dhabi, EAU | CodeSommet</t>
        </is>
      </c>
      <c r="H41" t="n">
        <v>492</v>
      </c>
      <c r="I41" s="5" t="inlineStr">
        <is>
          <t>Développement web pour les entreprises d'Abu Dhabi : portails immobiliers, sites corporate et plateformes sur mesure, livrés à distance par CodeSommet.</t>
        </is>
      </c>
      <c r="J41" t="n">
        <v>151</v>
      </c>
      <c r="K41" s="5" t="inlineStr">
        <is>
          <t>Développement Web à Abu Dhabi, EAU : des sites web qui génèrent Portails Immobiliers</t>
        </is>
      </c>
      <c r="L41" s="5" t="inlineStr">
        <is>
          <t>H2: Pourquoi Choisir CodeSommet à Abu Dhabi ? | H3: Experts en IA | H3: Spécialistes Dashboard &amp; SaaS | H3: Axé Génération de Prospects | H3: Qualité Prête pour l'Entreprise | H3: Spécialistes Sectoriels | H3: Stack Technologique Moderne | H2: Approuvé par Abu Dhabi Entreprises | H2: Abu Dhabi Nos Secteurs de Spécialisation | H2: Histoires de Succès de Abu Dhabi | H2: Notre Approche pour les Plateformes Gouvernementales et Institutionnelles | H2: Solutions Personnalisées, Tarification Transparente | H3: Développement Web | H3: Forfait Mensuel | H2: Prêt à Améliorer Votre Site Web à Abu Dhabi ? | H2: CodeSommet Abu Dhabi vs Autres | H2: Quoi Abu Dhabi Nos Clients Disent de Nous | H2: Comment démarrer en 3 étapes simples | H3: Choisissez votre formule | H3: Envoyez votre demande | H3: Suivez notre livraison | H2: Questions Fréquemment Posées Sur le Développement Web à Abu Dhabi | H3: Pourquoi choisir CodeSommet plutôt que les agences de développement web d'Abu Dhabi ? | H3: Travaillez-vous avec les entités gouvernementales et semi-gouvernementales d'Abu Dhabi ? | H3: Quelles technologies utilisez-vous pour les projets à Abu Dhabi ? | H3: Pouvez-vous intégrer les passerelles de paiement UAE et les systèmes locaux ? | H3: Comment fonctionne le modèle de révisions illimitées à Abu Dhabi ? | H3: Fournissez-vous un support continu pour les clients d'Abu Dhabi après le lancement ? | H2: Nous Servons Également | H2: En Savoir Plus | H2: Prêt à Créer Quelque Chose d'Extraordinaire ?</t>
        </is>
      </c>
      <c r="M41" t="n">
        <v>15</v>
      </c>
      <c r="N41" t="n">
        <v>6</v>
      </c>
      <c r="O41" t="inlineStr">
        <is>
          <t>Commercial (local)</t>
        </is>
      </c>
      <c r="P41" t="inlineStr">
        <is>
          <t>index, follow; HTTP 200</t>
        </is>
      </c>
      <c r="Q41" t="inlineStr">
        <is>
          <t>https://codesommet.com/web-development-company/abudhabi</t>
        </is>
      </c>
      <c r="R41" t="inlineStr">
        <is>
          <t>self</t>
        </is>
      </c>
      <c r="S41" t="n">
        <v>2061</v>
      </c>
      <c r="T41" t="n">
        <v>32</v>
      </c>
      <c r="U41" t="n">
        <v>77</v>
      </c>
      <c r="V41" t="n">
        <v>12</v>
      </c>
      <c r="W41" t="n">
        <v>0</v>
      </c>
      <c r="X41" t="inlineStr">
        <is>
          <t>BreadcrumbList, FAQPage, Organization, WebSite</t>
        </is>
      </c>
      <c r="Y41" t="inlineStr">
        <is>
          <t>développement web abu dhabi [ae]</t>
        </is>
      </c>
      <c r="Z41" s="5" t="inlineStr">
        <is>
          <t>Review: 32 headings</t>
        </is>
      </c>
    </row>
    <row r="42">
      <c r="A42" t="inlineStr">
        <is>
          <t>P040</t>
        </is>
      </c>
      <c r="B42" s="3" t="inlineStr">
        <is>
          <t>https://codesommet.com/web-development-company/riyadh</t>
        </is>
      </c>
      <c r="C42" s="5" t="inlineStr">
        <is>
          <t>Développement Web à Riyad, Arabie Saoudite : des sites web qui génèrent CROISSANCE COMMERC</t>
        </is>
      </c>
      <c r="D42" t="inlineStr">
        <is>
          <t>Location page</t>
        </is>
      </c>
      <c r="E42" t="inlineStr">
        <is>
          <t>fr</t>
        </is>
      </c>
      <c r="F42" t="inlineStr">
        <is>
          <t>Saudi Arabia (city page)</t>
        </is>
      </c>
      <c r="G42" s="5" t="inlineStr">
        <is>
          <t>Développement Web à Riyad, Arabie Saoudite | CodeSommet</t>
        </is>
      </c>
      <c r="H42" t="n">
        <v>551</v>
      </c>
      <c r="I42" s="5" t="inlineStr">
        <is>
          <t>Votre partenaire digital pour Riyad : CodeSommet conçoit sites vitrines, boutiques en ligne et plateformes métier, avec un accompagnement SEO complet.</t>
        </is>
      </c>
      <c r="J42" t="n">
        <v>150</v>
      </c>
      <c r="K42" s="5" t="inlineStr">
        <is>
          <t>Développement Web à Riyad, Arabie Saoudite : des sites web qui génèrent CROISSANCE COMMERCIALE À RIYAD</t>
        </is>
      </c>
      <c r="L42" s="5" t="inlineStr">
        <is>
          <t>H2: Pourquoi Choisir CodeSommet in Riyad ? | H3: Experts en IA | H3: Spécialistes Dashboard &amp; SaaS | H3: Axé Génération de Prospects | H3: Service Complet de Bout en Bout | H3: Spécialistes Sectoriels | H3: Stack Technologique Moderne | H2: Approuvé par Riyad Entreprises | H2: Riyad Nos Secteurs de Spécialisation | H2: Histoires de réussite à Riyad | H2: Comment Nous Concevons des Plateformes Immobilières Pensées pour Générer des Prospects Qualifiés à Riyad | H2: Solutions sur mesure, tarification transparente | H3: Développement Web | H3: Forfait | H2: Prêt à Améliorer Votre Site Web à Riyad ? | H2: CodeSommet Riyad vs Others | H2: Ce que nos clients de Riyad disent de nous | H2: Comment démarrer en 3 étapes simples | H3: Choisissez votre formule | H3: Envoyez votre demande | H3: Suivez notre livraison | H2: Questions Fréquemment Posées sur le Développement Web à Riyad | H3: Avez-vous un bureau physique à Riyad ? | H3: Pouvez-vous travailler avec les entreprises de Riyad à distance ? | H3: Quels modes de paiement acceptez-vous à Riyad ? | H3: Comprenez-vous les lois de conformité et de protection des données en Arabie Saoudite ? | H3: En combien de temps pouvez-vous lancer un site web pour mon entreprise à Riyad ? | H3: Pouvez-vous aider avec l'enregistrement de domaine .ae ? | H2: Nous Desservons Également | H2: Explorer davantage | H2: Prêt à Créer Quelque Chose d'Extraordinaire ?</t>
        </is>
      </c>
      <c r="M42" t="n">
        <v>15</v>
      </c>
      <c r="N42" t="n">
        <v>6</v>
      </c>
      <c r="O42" t="inlineStr">
        <is>
          <t>Commercial (local)</t>
        </is>
      </c>
      <c r="P42" t="inlineStr">
        <is>
          <t>index, follow; HTTP 200</t>
        </is>
      </c>
      <c r="Q42" t="inlineStr">
        <is>
          <t>https://codesommet.com/web-development-company/riyadh</t>
        </is>
      </c>
      <c r="R42" t="inlineStr">
        <is>
          <t>self</t>
        </is>
      </c>
      <c r="S42" t="n">
        <v>2127</v>
      </c>
      <c r="T42" t="n">
        <v>32</v>
      </c>
      <c r="U42" t="n">
        <v>77</v>
      </c>
      <c r="V42" t="n">
        <v>12</v>
      </c>
      <c r="W42" t="n">
        <v>0</v>
      </c>
      <c r="X42" t="inlineStr">
        <is>
          <t>BreadcrumbList, FAQPage, Organization, WebSite</t>
        </is>
      </c>
      <c r="Y42" t="inlineStr">
        <is>
          <t>développement web riyad [sa]</t>
        </is>
      </c>
      <c r="Z42" s="5" t="inlineStr">
        <is>
          <t>Review: 32 headings</t>
        </is>
      </c>
    </row>
    <row r="43">
      <c r="A43" t="inlineStr">
        <is>
          <t>P041</t>
        </is>
      </c>
      <c r="B43" s="3" t="inlineStr">
        <is>
          <t>https://codesommet.com/web-development-company/london</t>
        </is>
      </c>
      <c r="C43" s="5" t="inlineStr">
        <is>
          <t>Développement Web à Londres, Royaume-Uni : des sites web qui génèrent Plateformes FinTech</t>
        </is>
      </c>
      <c r="D43" t="inlineStr">
        <is>
          <t>Location page</t>
        </is>
      </c>
      <c r="E43" t="inlineStr">
        <is>
          <t>fr</t>
        </is>
      </c>
      <c r="F43" t="inlineStr">
        <is>
          <t>United Kingdom (city page)</t>
        </is>
      </c>
      <c r="G43" s="5" t="inlineStr">
        <is>
          <t>Développement Web à Londres, Royaume-Uni | CodeSommet</t>
        </is>
      </c>
      <c r="H43" t="n">
        <v>553</v>
      </c>
      <c r="I43" s="5" t="inlineStr">
        <is>
          <t>Startups et scale-ups de Londres : CodeSommet développe vos plateformes FinTech, sites corporate et tableaux de bord, en collaboration à distance.</t>
        </is>
      </c>
      <c r="J43" t="n">
        <v>146</v>
      </c>
      <c r="K43" s="5" t="inlineStr">
        <is>
          <t>Développement Web à Londres, Royaume-Uni : des sites web qui génèrent Plateformes FinTech</t>
        </is>
      </c>
      <c r="L43" s="5" t="inlineStr">
        <is>
          <t>H2: Pourquoi Choisir CodeSommet à Londres ? | H3: Experts en IA | H3: Spécialistes Dashboard &amp; SaaS | H3: Axé Génération de Prospects | H3: Rapidité Startup | H3: Spécialistes Sectoriels | H3: Stack Technologique Moderne | H2: Approuvé par les Entreprises de Londres | H2: Londres Nos Secteurs de Spécialisation | H2: Histoires de réussite à Londres | H2: Comment Nous Concevons des Tableaux de Bord Bancaires en Temps Réel pour les Fintechs de Londres | H2: Solutions Sur Mesure, Tarification Transparente | H3: Développement de Sites Web | H3: Forfait Mensuel | H2: Prêt à Améliorer Votre Site Web à Londres ? | H2: CodeSommet Londres vs Autres | H2: Ce Que les Clients de Londres Disent de Nous | H2: Comment démarrer en 3 étapes simples | H3: Choisissez votre formule | H3: Envoyez votre demande | H3: Suivez notre livraison | H2: Questions Fréquemment Posées sur le Développement Web à Londres | H3: Pourquoi choisir CodeSommet plutôt que les nombreuses agences de développement web de Londres ? | H3: Travaillez-vous avec les startups et les entreprises en phase de démarrage de Londres ? | H3: Quelles technologies utilisez-vous pour les projets de Londres ? | H3: Pouvez-vous vous intégrer aux systèmes existants utilisés par les entreprises de Londres ? | H3: Comment fonctionne le modèle de révisions illimitées pour les clients de Londres ? | H3: Fournissez-vous un support continu après le lancement pour les projets de Londres ? | H2: Nous Desservons Aussi | H2: Explorer Plus | H2: Prêt</t>
        </is>
      </c>
      <c r="M43" t="n">
        <v>15</v>
      </c>
      <c r="N43" t="n">
        <v>6</v>
      </c>
      <c r="O43" t="inlineStr">
        <is>
          <t>Commercial (local)</t>
        </is>
      </c>
      <c r="P43" t="inlineStr">
        <is>
          <t>index, follow; HTTP 200</t>
        </is>
      </c>
      <c r="Q43" t="inlineStr">
        <is>
          <t>https://codesommet.com/web-development-company/london</t>
        </is>
      </c>
      <c r="R43" t="inlineStr">
        <is>
          <t>self</t>
        </is>
      </c>
      <c r="S43" t="n">
        <v>2195</v>
      </c>
      <c r="T43" t="n">
        <v>32</v>
      </c>
      <c r="U43" t="n">
        <v>81</v>
      </c>
      <c r="V43" t="n">
        <v>12</v>
      </c>
      <c r="W43" t="n">
        <v>0</v>
      </c>
      <c r="X43" t="inlineStr">
        <is>
          <t>BreadcrumbList, FAQPage, Organization, WebSite</t>
        </is>
      </c>
      <c r="Y43" t="inlineStr">
        <is>
          <t>développement web londres [uk]</t>
        </is>
      </c>
      <c r="Z43" s="5" t="inlineStr">
        <is>
          <t>Review: 32 headings</t>
        </is>
      </c>
    </row>
    <row r="44">
      <c r="A44" t="inlineStr">
        <is>
          <t>P042</t>
        </is>
      </c>
      <c r="B44" s="3" t="inlineStr">
        <is>
          <t>https://codesommet.com/web-development-company/amsterdam</t>
        </is>
      </c>
      <c r="C44" s="5" t="inlineStr">
        <is>
          <t>Développement Web à Amsterdam, Pays-Bas : des sites web qui génèrent Plateformes FinTech</t>
        </is>
      </c>
      <c r="D44" t="inlineStr">
        <is>
          <t>Location page</t>
        </is>
      </c>
      <c r="E44" t="inlineStr">
        <is>
          <t>fr</t>
        </is>
      </c>
      <c r="F44" t="inlineStr">
        <is>
          <t>Netherlands (city page)</t>
        </is>
      </c>
      <c r="G44" s="5" t="inlineStr">
        <is>
          <t>Développement Web à Amsterdam, Pays-Bas | CodeSommet</t>
        </is>
      </c>
      <c r="H44" t="n">
        <v>548</v>
      </c>
      <c r="I44" s="5" t="inlineStr">
        <is>
          <t>Développement web pour les entreprises d'Amsterdam : plateformes fintech, sites pour startups tech et santé, livrés à distance par CodeSommet.</t>
        </is>
      </c>
      <c r="J44" t="n">
        <v>142</v>
      </c>
      <c r="K44" s="5" t="inlineStr">
        <is>
          <t>Développement Web à Amsterdam, Pays-Bas : des sites web qui génèrent Plateformes FinTech</t>
        </is>
      </c>
      <c r="L44" s="5" t="inlineStr">
        <is>
          <t>H2: Pourquoi Choisir CodeSommet à Amsterdam ? | H3: Experts en IA | H3: Spécialistes Tableau de Bord &amp; SaaS | H3: Axé Génération de Prospects | H3: Rapidité Startup | H3: Spécialistes Sectoriels | H3: Stack Technologique Moderne | H2: Approuvé par Amsterdam Entreprises | H2: Amsterdam Nos Secteurs de Spécialisation | H2: Histoires de Succès de Amsterdam | H2: Comment Nous Concevons des Plateformes de Paiement Fiables pour les Startups Fintech d'Amsterdam | H2: Solutions Personnalisées, Tarification Transparente | H3: Développement Web | H3: Forfait Mensuel | H2: Prêt à Améliorer Votre Site Web à Amsterdam ? | H2: CodeSommet Amsterdam vs Autres | H2: Quoi Amsterdam Nos Clients Disent de Nous | H2: Comment démarrer en 3 étapes simples | H3: Choisissez votre formule | H3: Envoyez votre demande | H3: Suivez notre livraison | H2: Questions Fréquemment Posées Sur le Développement Web à Amsterdam | H3: Pourquoi choisir CodeSommet plutôt que les nombreuses agences de développement web d'Amsterdam ? | H3: Travaillez-vous avec les startups d'Amsterdam et les entreprises en phase de démarrage ? | H3: Quelles technologies utilisez-vous pour les projets à Amsterdam ? | H3: Pouvez-vous intégrer les systèmes existants utilisés par les entreprises d'Amsterdam ? | H3: Comment fonctionne le modèle de révisions illimitées pour les clients d'Amsterdam ? | H3: Fournissez-vous un support continu après le lancement à Amsterdam ? | H2: Nous Servons Également | H2: En Savoir Plus | H2: Prêt à Créer Q</t>
        </is>
      </c>
      <c r="M44" t="n">
        <v>15</v>
      </c>
      <c r="N44" t="n">
        <v>6</v>
      </c>
      <c r="O44" t="inlineStr">
        <is>
          <t>Commercial (local)</t>
        </is>
      </c>
      <c r="P44" t="inlineStr">
        <is>
          <t>index, follow; HTTP 200</t>
        </is>
      </c>
      <c r="Q44" t="inlineStr">
        <is>
          <t>https://codesommet.com/web-development-company/amsterdam</t>
        </is>
      </c>
      <c r="R44" t="inlineStr">
        <is>
          <t>self</t>
        </is>
      </c>
      <c r="S44" t="n">
        <v>2195</v>
      </c>
      <c r="T44" t="n">
        <v>32</v>
      </c>
      <c r="U44" t="n">
        <v>81</v>
      </c>
      <c r="V44" t="n">
        <v>12</v>
      </c>
      <c r="W44" t="n">
        <v>0</v>
      </c>
      <c r="X44" t="inlineStr">
        <is>
          <t>BreadcrumbList, FAQPage, Organization, WebSite</t>
        </is>
      </c>
      <c r="Y44" t="inlineStr">
        <is>
          <t>développement web amsterdam [nl]</t>
        </is>
      </c>
      <c r="Z44" s="5" t="inlineStr">
        <is>
          <t>Review: 32 headings</t>
        </is>
      </c>
    </row>
    <row r="45">
      <c r="A45" t="inlineStr">
        <is>
          <t>P043</t>
        </is>
      </c>
      <c r="B45" s="3" t="inlineStr">
        <is>
          <t>https://codesommet.com/web-development-company/berlin</t>
        </is>
      </c>
      <c r="C45" s="5" t="inlineStr">
        <is>
          <t>Développement Web à Berlin, Allemagne : des sites web qui génèrent Tableaux de Bord SaaS</t>
        </is>
      </c>
      <c r="D45" t="inlineStr">
        <is>
          <t>Location page</t>
        </is>
      </c>
      <c r="E45" t="inlineStr">
        <is>
          <t>fr</t>
        </is>
      </c>
      <c r="F45" t="inlineStr">
        <is>
          <t>Germany (city page)</t>
        </is>
      </c>
      <c r="G45" s="5" t="inlineStr">
        <is>
          <t>Développement Web à Berlin, Allemagne | CodeSommet</t>
        </is>
      </c>
      <c r="H45" t="n">
        <v>503</v>
      </c>
      <c r="I45" s="5" t="inlineStr">
        <is>
          <t>Berlin : CodeSommet développe tableaux de bord SaaS et sites tech pour startups et PME allemandes, avec design soigné et livraison à distance.</t>
        </is>
      </c>
      <c r="J45" t="n">
        <v>142</v>
      </c>
      <c r="K45" s="5" t="inlineStr">
        <is>
          <t>Développement Web à Berlin, Allemagne : des sites web qui génèrent Tableaux de Bord SaaS</t>
        </is>
      </c>
      <c r="L45" s="5" t="inlineStr">
        <is>
          <t>H2: Pourquoi Choisir CodeSommet à Berlin ? | H3: Experts en IA | H3: Spécialistes Dashboard &amp; SaaS | H3: Axé Génération de Prospects | H3: Rapidité Startup | H3: Spécialistes Sectoriels | H3: Stack Technologique Moderne | H2: Approuvé par Berlin Entreprises | H2: Berlin Nos Secteurs de Spécialisation | H2: Histoires de Succès de Berlin | H2: Comment Nous Concevons des Plateformes SaaS et Fintech Sur Mesure pour Berlin | H2: Solutions Personnalisées, Tarification Transparente | H3: Développement Web | H3: Forfait Mensuel | H2: Prêt à Améliorer Votre Site Web à Berlin ? | H2: CodeSommet Berlin vs Autres | H2: Quoi Berlin Nos Clients Disent de Nous | H2: Comment démarrer en 3 étapes simples | H3: Choisissez votre formule | H3: Envoyez votre demande | H3: Suivez notre livraison | H2: Questions Fréquemment Posées Sur le Développement Web à Berlin | H3: Pourquoi choisir CodeSommet plutôt que les nombreuses agences de développement web de Berlin ? | H3: Travaillez-vous avec les startups de Berlin et les entreprises en phase de démarrage ? | H3: Quelles technologies utilisez-vous pour les projets à Berlin ? | H3: Pouvez-vous intégrer les systèmes existants utilisés par les entreprises de Berlin ? | H3: Comment fonctionne le modèle de révisions illimitées pour les clients de Berlin ? | H3: Fournissez-vous un support continu pour les entreprises de Berlin après le lancement ? | H2: Nous Servons Également | H2: En Savoir Plus | H2: Prêt à Créer Quelque Chose d'Extraordinaire ?</t>
        </is>
      </c>
      <c r="M45" t="n">
        <v>15</v>
      </c>
      <c r="N45" t="n">
        <v>6</v>
      </c>
      <c r="O45" t="inlineStr">
        <is>
          <t>Commercial (local)</t>
        </is>
      </c>
      <c r="P45" t="inlineStr">
        <is>
          <t>index, follow; HTTP 200</t>
        </is>
      </c>
      <c r="Q45" t="inlineStr">
        <is>
          <t>https://codesommet.com/web-development-company/berlin</t>
        </is>
      </c>
      <c r="R45" t="inlineStr">
        <is>
          <t>self</t>
        </is>
      </c>
      <c r="S45" t="n">
        <v>2131</v>
      </c>
      <c r="T45" t="n">
        <v>32</v>
      </c>
      <c r="U45" t="n">
        <v>81</v>
      </c>
      <c r="V45" t="n">
        <v>12</v>
      </c>
      <c r="W45" t="n">
        <v>0</v>
      </c>
      <c r="X45" t="inlineStr">
        <is>
          <t>BreadcrumbList, FAQPage, Organization, WebSite</t>
        </is>
      </c>
      <c r="Y45" t="inlineStr">
        <is>
          <t>développement web berlin [de]</t>
        </is>
      </c>
      <c r="Z45" s="5" t="inlineStr">
        <is>
          <t>Review: 32 headings</t>
        </is>
      </c>
    </row>
    <row r="46">
      <c r="A46" t="inlineStr">
        <is>
          <t>P044</t>
        </is>
      </c>
      <c r="B46" s="3" t="inlineStr">
        <is>
          <t>https://codesommet.com/web-development-company/paris</t>
        </is>
      </c>
      <c r="C46" s="5" t="inlineStr">
        <is>
          <t>Développement Web à Paris, France : des sites web qui génèrent Tableaux de Bord SaaS</t>
        </is>
      </c>
      <c r="D46" t="inlineStr">
        <is>
          <t>Location page</t>
        </is>
      </c>
      <c r="E46" t="inlineStr">
        <is>
          <t>fr</t>
        </is>
      </c>
      <c r="F46" t="inlineStr">
        <is>
          <t>France (city page)</t>
        </is>
      </c>
      <c r="G46" s="5" t="inlineStr">
        <is>
          <t>Développement Web à Paris, France | CodeSommet</t>
        </is>
      </c>
      <c r="H46" t="n">
        <v>467</v>
      </c>
      <c r="I46" s="5" t="inlineStr">
        <is>
          <t>Agence web pour les entreprises de Paris : CodeSommet conçoit plateformes SaaS, sites vitrines et outils métier, du cadrage au déploiement.</t>
        </is>
      </c>
      <c r="J46" t="n">
        <v>139</v>
      </c>
      <c r="K46" s="5" t="inlineStr">
        <is>
          <t>Développement Web à Paris, France : des sites web qui génèrent Tableaux de Bord SaaS</t>
        </is>
      </c>
      <c r="L46" s="5" t="inlineStr">
        <is>
          <t>H2: Pourquoi Choisir CodeSommet à Paris ? | H3: Experts en IA | H3: Spécialistes Dashboard &amp; SaaS | H3: Axé Génération de Prospects | H3: Rapidité Startup | H3: Spécialistes Sectoriels | H3: Stack Technologique Moderne | H2: Approuvé par les Entreprises de Paris | H2: Paris Nos Secteurs de Spécialisation | H2: Histoires de réussite à Paris | H2: Comment Nous Concevons des Plateformes E-Commerce de Luxe Adaptées aux Marques Parisiennes | H2: Solutions Sur Mesure, Tarification Transparente | H3: Développement de Sites Web | H3: Forfait Mensuel | H2: Prêt à Améliorer Votre Site Web à Paris ? | H2: CodeSommet Paris vs Autres | H2: Ce Que les Clients de Paris Disent de Nous | H2: Comment démarrer en 3 étapes simples | H3: Choisissez votre formule | H3: Envoyez votre demande | H3: Suivez notre livraison | H2: Questions Fréquemment Posées sur le Développement Web à Paris | H3: Pourquoi choisir CodeSommet parmi les nombreuses agences web de Paris ? | H3: Travaillez-vous avec les startups et les entreprises en phase de démarrage de Paris ? | H3: Quelles technologies utilisez-vous pour les projets de Paris ? | H3: Pouvez-vous vous intégrer aux systèmes existants utilisés par les entreprises de Paris ? | H3: Comment fonctionne le modèle de révisions illimitées de Paris ? | H3: Fournissez-vous un support continu après le lancement à Paris ? | H2: Nous Desservons Aussi | H2: Explorer Plus | H2: Prêt à Créer Quelque Chose d'Extraordinaire ?</t>
        </is>
      </c>
      <c r="M46" t="n">
        <v>15</v>
      </c>
      <c r="N46" t="n">
        <v>6</v>
      </c>
      <c r="O46" t="inlineStr">
        <is>
          <t>Commercial (local)</t>
        </is>
      </c>
      <c r="P46" t="inlineStr">
        <is>
          <t>index, follow; HTTP 200</t>
        </is>
      </c>
      <c r="Q46" t="inlineStr">
        <is>
          <t>https://codesommet.com/web-development-company/paris</t>
        </is>
      </c>
      <c r="R46" t="inlineStr">
        <is>
          <t>self</t>
        </is>
      </c>
      <c r="S46" t="n">
        <v>2194</v>
      </c>
      <c r="T46" t="n">
        <v>32</v>
      </c>
      <c r="U46" t="n">
        <v>81</v>
      </c>
      <c r="V46" t="n">
        <v>12</v>
      </c>
      <c r="W46" t="n">
        <v>0</v>
      </c>
      <c r="X46" t="inlineStr">
        <is>
          <t>BreadcrumbList, FAQPage, Organization, WebSite</t>
        </is>
      </c>
      <c r="Y46" t="inlineStr">
        <is>
          <t>développement web paris [fr]</t>
        </is>
      </c>
      <c r="Z46" s="5" t="inlineStr">
        <is>
          <t>Review: 32 headings</t>
        </is>
      </c>
    </row>
    <row r="47">
      <c r="A47" t="inlineStr">
        <is>
          <t>P045</t>
        </is>
      </c>
      <c r="B47" s="3" t="inlineStr">
        <is>
          <t>https://codesommet.com/web-development-company/copenhagen</t>
        </is>
      </c>
      <c r="C47" s="5" t="inlineStr">
        <is>
          <t>Développement Web à Copenhague, Danemark : des sites web qui génèrent Plateformes SaaS</t>
        </is>
      </c>
      <c r="D47" t="inlineStr">
        <is>
          <t>Location page</t>
        </is>
      </c>
      <c r="E47" t="inlineStr">
        <is>
          <t>fr</t>
        </is>
      </c>
      <c r="F47" t="inlineStr">
        <is>
          <t>Denmark (city page)</t>
        </is>
      </c>
      <c r="G47" s="5" t="inlineStr">
        <is>
          <t>Développement Web à Copenhague, Danemark | CodeSommet</t>
        </is>
      </c>
      <c r="H47" t="n">
        <v>565</v>
      </c>
      <c r="I47" s="5" t="inlineStr">
        <is>
          <t>À Copenhague, CodeSommet conçoit des plateformes SaaS et des sites d'entreprise épurés, développés à distance avec un haut niveau de finition.</t>
        </is>
      </c>
      <c r="J47" t="n">
        <v>142</v>
      </c>
      <c r="K47" s="5" t="inlineStr">
        <is>
          <t>Développement Web à Copenhague, Danemark : des sites web qui génèrent Plateformes SaaS</t>
        </is>
      </c>
      <c r="L47" s="5" t="inlineStr">
        <is>
          <t>H2: Pourquoi Choisir CodeSommet à Copenhague ? | H3: Experts en IA | H3: Spécialistes Dashboard &amp; SaaS | H3: Axé Génération de Prospects | H3: Rapidité Startup | H3: Spécialistes Sectoriels | H3: Stack Technologique Moderne | H2: Approuvé par Copenhague Entreprises | H2: Copenhague Nos Secteurs de Spécialisation | H2: Histoires de Succès de Copenhague | H2: Comment Nous Concevons des Plateformes SaaS et Tableaux de Bord pour les Entreprises de Copenhague | H2: Solutions Personnalisées, Tarification Transparente | H3: Développement Web | H3: Forfait Mensuel | H2: Prêt à Améliorer Votre Site Web à Copenhague ? | H2: CodeSommet Copenhague vs Autres | H2: Quoi Copenhague Nos Clients Disent de Nous | H2: Comment démarrer en 3 étapes simples | H3: Choisissez votre formule | H3: Envoyez votre demande | H3: Suivez notre livraison | H2: Questions Fréquemment Posées Sur le Développement Web à Copenhague | H3: Pourquoi choisir CodeSommet plutôt que les nombreuses agences de développement web de Copenhague ? | H3: Travaillez-vous avec les startups de Copenhague et les entreprises en phase de démarrage ? | H3: Quelles technologies utilisez-vous pour les projets à Copenhague ? | H3: Pouvez-vous intégrer les systèmes existants utilisés par les entreprises de Copenhague ? | H3: Comment fonctionne le modèle de révisions illimitées à Copenhague ? | H3: Fournissez-vous un support continu après le lancement à Copenhague ? | H2: Nous Servons Également | H2: En Savoir Plus | H2: Prêt à Créer Quelq</t>
        </is>
      </c>
      <c r="M47" t="n">
        <v>15</v>
      </c>
      <c r="N47" t="n">
        <v>6</v>
      </c>
      <c r="O47" t="inlineStr">
        <is>
          <t>Commercial (local)</t>
        </is>
      </c>
      <c r="P47" t="inlineStr">
        <is>
          <t>index, follow; HTTP 200</t>
        </is>
      </c>
      <c r="Q47" t="inlineStr">
        <is>
          <t>https://codesommet.com/web-development-company/copenhagen</t>
        </is>
      </c>
      <c r="R47" t="inlineStr">
        <is>
          <t>self</t>
        </is>
      </c>
      <c r="S47" t="n">
        <v>2163</v>
      </c>
      <c r="T47" t="n">
        <v>32</v>
      </c>
      <c r="U47" t="n">
        <v>81</v>
      </c>
      <c r="V47" t="n">
        <v>12</v>
      </c>
      <c r="W47" t="n">
        <v>0</v>
      </c>
      <c r="X47" t="inlineStr">
        <is>
          <t>BreadcrumbList, FAQPage, Organization, WebSite</t>
        </is>
      </c>
      <c r="Y47" t="inlineStr">
        <is>
          <t>développement web copenhague [dk]</t>
        </is>
      </c>
      <c r="Z47" s="5" t="inlineStr">
        <is>
          <t>Review: 32 headings</t>
        </is>
      </c>
    </row>
    <row r="48">
      <c r="A48" t="inlineStr">
        <is>
          <t>P046</t>
        </is>
      </c>
      <c r="B48" s="3" t="inlineStr">
        <is>
          <t>https://codesommet.com/web-development-company/dublin</t>
        </is>
      </c>
      <c r="C48" s="5" t="inlineStr">
        <is>
          <t>Développement Web à Dublin, Irlande : des sites web qui génèrent Tableaux de Bord SaaS</t>
        </is>
      </c>
      <c r="D48" t="inlineStr">
        <is>
          <t>Location page</t>
        </is>
      </c>
      <c r="E48" t="inlineStr">
        <is>
          <t>fr</t>
        </is>
      </c>
      <c r="F48" t="inlineStr">
        <is>
          <t>Ireland (city page)</t>
        </is>
      </c>
      <c r="G48" s="5" t="inlineStr">
        <is>
          <t>Développement Web à Dublin, Irlande | CodeSommet</t>
        </is>
      </c>
      <c r="H48" t="n">
        <v>476</v>
      </c>
      <c r="I48" s="5" t="inlineStr">
        <is>
          <t>Pour les entreprises de Dublin, CodeSommet crée tableaux de bord SaaS, sites corporate et boutiques en ligne — collaboration 100 % à distance.</t>
        </is>
      </c>
      <c r="J48" t="n">
        <v>142</v>
      </c>
      <c r="K48" s="5" t="inlineStr">
        <is>
          <t>Développement Web à Dublin, Irlande : des sites web qui génèrent Tableaux de Bord SaaS</t>
        </is>
      </c>
      <c r="L48" s="5" t="inlineStr">
        <is>
          <t xml:space="preserve">H2: Pourquoi Choisir CodeSommet à Dublin ? | H3: Experts en IA | H3: Spécialistes Dashboard &amp; SaaS | H3: Axé Génération de Prospects | H3: Rapidité Startup | H3: Spécialistes Sectoriels | H3: Stack Technologique Moderne | H2: Ce que nous apportons aux entreprises de Dublin | H2: Dublin Nos Secteurs de Spécialisation | H2: Ce que nous construisons pour Dublin | H2: Comment Nous Concevons des Plateformes Healthtech Conformes pour le Secteur Santé Européen | H2: Solutions Sur Mesure, Tarification Transparente | H3: Développement de Sites Web | H3: Forfait Mensuel | H2: Prêt à Améliorer Votre Site Web à Dublin ? | H2: CodeSommet Dublin vs Autres | H2: Ce Que les Clients de Dublin Disent de Nous | H2: Comment démarrer en 3 étapes simples | H3: Choisissez votre formule | H3: Envoyez votre demande | H3: Suivez notre livraison | H2: Questions Fréquemment Posées sur le Développement Web à Dublin | H3: Pourquoi choisir CodeSommet plutôt que les nombreuses agences de développement web de Dublin ? | H3: Travaillez-vous avec les startups et les entreprises en phase de démarrage de Dublin ? | H3: Quelles technologies utilisez-vous pour les projets de Dublin ? | H3: Pouvez-vous vous intégrer aux systèmes existants utilisés par les entreprises de Dublin ? | H3: Comment fonctionne le modèle de révisions illimitées pour les projets de Dublin ? | H3: Fournissez-vous un support continu après le lancement pour les entreprises de Dublin ? | H2: Nous Desservons Aussi | H2: Explorer Plus | H2: Prêt </t>
        </is>
      </c>
      <c r="M48" t="n">
        <v>15</v>
      </c>
      <c r="N48" t="n">
        <v>6</v>
      </c>
      <c r="O48" t="inlineStr">
        <is>
          <t>Commercial (local)</t>
        </is>
      </c>
      <c r="P48" t="inlineStr">
        <is>
          <t>index, follow; HTTP 200</t>
        </is>
      </c>
      <c r="Q48" t="inlineStr">
        <is>
          <t>https://codesommet.com/web-development-company/dublin</t>
        </is>
      </c>
      <c r="R48" t="inlineStr">
        <is>
          <t>self</t>
        </is>
      </c>
      <c r="S48" t="n">
        <v>2209</v>
      </c>
      <c r="T48" t="n">
        <v>32</v>
      </c>
      <c r="U48" t="n">
        <v>81</v>
      </c>
      <c r="V48" t="n">
        <v>12</v>
      </c>
      <c r="W48" t="n">
        <v>0</v>
      </c>
      <c r="X48" t="inlineStr">
        <is>
          <t>BreadcrumbList, FAQPage, Organization, WebSite</t>
        </is>
      </c>
      <c r="Y48" t="inlineStr">
        <is>
          <t>développement web dublin [ie]</t>
        </is>
      </c>
      <c r="Z48" s="5" t="inlineStr">
        <is>
          <t>Review: 32 headings</t>
        </is>
      </c>
    </row>
    <row r="49">
      <c r="A49" t="inlineStr">
        <is>
          <t>P047</t>
        </is>
      </c>
      <c r="B49" s="3" t="inlineStr">
        <is>
          <t>https://codesommet.com/web-development-company/brussels</t>
        </is>
      </c>
      <c r="C49" s="5" t="inlineStr">
        <is>
          <t>Développement Web à Bruxelles, Belgique : des sites web qui génèrent Plateformes FinTech</t>
        </is>
      </c>
      <c r="D49" t="inlineStr">
        <is>
          <t>Location page</t>
        </is>
      </c>
      <c r="E49" t="inlineStr">
        <is>
          <t>fr</t>
        </is>
      </c>
      <c r="F49" t="inlineStr">
        <is>
          <t>Belgium (city page)</t>
        </is>
      </c>
      <c r="G49" s="5" t="inlineStr">
        <is>
          <t>Développement Web à Bruxelles, Belgique | CodeSommet</t>
        </is>
      </c>
      <c r="H49" t="n">
        <v>517</v>
      </c>
      <c r="I49" s="5" t="inlineStr">
        <is>
          <t>Entreprises de Bruxelles : plateformes FinTech, sites institutionnels et e-commerce développés sur mesure et à distance par CodeSommet.</t>
        </is>
      </c>
      <c r="J49" t="n">
        <v>135</v>
      </c>
      <c r="K49" s="5" t="inlineStr">
        <is>
          <t>Développement Web à Bruxelles, Belgique : des sites web qui génèrent Plateformes FinTech</t>
        </is>
      </c>
      <c r="L49" s="5" t="inlineStr">
        <is>
          <t>H2: Pourquoi Choisir CodeSommet à Bruxelles ? | H3: Experts en IA | H3: Spécialistes Dashboard &amp; SaaS | H3: Axé Génération de Prospects | H3: Rapidité Startup | H3: Spécialistes Sectoriels | H3: Stack Technologique Moderne | H2: Ce que nous apportons aux entreprises de Bruxelles | H2: Bruxelles Nos Secteurs de Spécialisation | H2: Ce que nous construisons pour Bruxelles | H2: Comment Nous Concevons des Plateformes SaaS et Regtech pour les Entreprises Bruxelloises | H2: Solutions Personnalisées, Tarification Transparente | H3: Développement Web | H3: Forfait Mensuel | H2: Prêt à Améliorer Votre Site Web à Bruxelles ? | H2: CodeSommet Bruxelles vs Autres | H2: Quoi Bruxelles Nos Clients Disent de Nous | H2: Comment démarrer en 3 étapes simples | H3: Choisissez votre formule | H3: Envoyez votre demande | H3: Suivez notre livraison | H2: Questions Fréquemment Posées Sur le Développement Web à Bruxelles | H3: Pourquoi choisir CodeSommet plutôt que les nombreuses agences de développement web de Bruxelles ? | H3: Travaillez-vous avec les startups de Bruxelles et les entreprises en phase de démarrage ? | H3: Quelles technologies utilisez-vous pour les projets à Bruxelles ? | H3: Pouvez-vous intégrer les systèmes existants utilisés par les entreprises de Bruxelles ? | H3: Comment fonctionne le modèle de révisions illimitées pour les clients de Bruxelles ? | H3: Fournissez-vous un support continu après le lancement à Bruxelles ? | H2: Nous Servons Également | H2: En Savoir Plus | H2: P</t>
        </is>
      </c>
      <c r="M49" t="n">
        <v>15</v>
      </c>
      <c r="N49" t="n">
        <v>6</v>
      </c>
      <c r="O49" t="inlineStr">
        <is>
          <t>Commercial (local)</t>
        </is>
      </c>
      <c r="P49" t="inlineStr">
        <is>
          <t>index, follow; HTTP 200</t>
        </is>
      </c>
      <c r="Q49" t="inlineStr">
        <is>
          <t>https://codesommet.com/web-development-company/brussels</t>
        </is>
      </c>
      <c r="R49" t="inlineStr">
        <is>
          <t>self</t>
        </is>
      </c>
      <c r="S49" t="n">
        <v>2207</v>
      </c>
      <c r="T49" t="n">
        <v>32</v>
      </c>
      <c r="U49" t="n">
        <v>81</v>
      </c>
      <c r="V49" t="n">
        <v>12</v>
      </c>
      <c r="W49" t="n">
        <v>0</v>
      </c>
      <c r="X49" t="inlineStr">
        <is>
          <t>BreadcrumbList, FAQPage, Organization, WebSite</t>
        </is>
      </c>
      <c r="Y49" t="inlineStr">
        <is>
          <t>création site web bruxelles [be]</t>
        </is>
      </c>
      <c r="Z49" s="5" t="inlineStr">
        <is>
          <t>Review: 32 headings</t>
        </is>
      </c>
    </row>
    <row r="50">
      <c r="A50" t="inlineStr">
        <is>
          <t>P048</t>
        </is>
      </c>
      <c r="B50" s="3" t="inlineStr">
        <is>
          <t>https://codesommet.com/web-development-company/zurich</t>
        </is>
      </c>
      <c r="C50" s="5" t="inlineStr">
        <is>
          <t>Développement Web à Zurich, Suisse : des sites web qui génèrent Plateformes FinTech</t>
        </is>
      </c>
      <c r="D50" t="inlineStr">
        <is>
          <t>Location page</t>
        </is>
      </c>
      <c r="E50" t="inlineStr">
        <is>
          <t>fr</t>
        </is>
      </c>
      <c r="F50" t="inlineStr">
        <is>
          <t>Switzerland (city page)</t>
        </is>
      </c>
      <c r="G50" s="5" t="inlineStr">
        <is>
          <t>Développement Web à Zurich, Suisse | CodeSommet</t>
        </is>
      </c>
      <c r="H50" t="n">
        <v>474</v>
      </c>
      <c r="I50" s="5" t="inlineStr">
        <is>
          <t>CodeSommet réalise pour les sociétés de Zurich des plateformes FinTech et des sites corporate exigeants, développés et maintenus à distance.</t>
        </is>
      </c>
      <c r="J50" t="n">
        <v>140</v>
      </c>
      <c r="K50" s="5" t="inlineStr">
        <is>
          <t>Développement Web à Zurich, Suisse : des sites web qui génèrent Plateformes FinTech</t>
        </is>
      </c>
      <c r="L50" s="5" t="inlineStr">
        <is>
          <t>H2: Pourquoi Choisir CodeSommet in Zurich ? | H3: Experts en IA | H3: Spécialistes Dashboard &amp; SaaS | H3: Axé Génération de Prospects | H3: Rapidité Startup | H3: Spécialistes Sectoriels | H3: Stack Technologique Moderne | H2: Ce que nous apportons aux entreprises de Zurich | H2: Zurich Nos Secteurs de Spécialisation | H2: Ce que nous construisons pour Zurich | H2: Comment Nous Concevons des Plateformes Fintech et de Gestion de Patrimoine Sécurisées pour Zurich | H2: Solutions sur mesure, tarification transparente | H3: Développement Web | H3: Forfait | H2: Prêt à améliorer votre site web ? Zurich ? | H2: CodeSommet Zurich vs Others | H2: Ce que nos clients de Zurich disent de nous | H2: Comment démarrer en 3 étapes simples | H3: Choisissez votre formule | H3: Envoyez votre demande | H3: Suivez notre livraison | H2: Questions fréquemment posées sur le Développement Web à Zurich | H3: Pourquoi choisir CodeSommet parmi les nombreuses agences de développement web de Zurich ? | H3: Travaillez-vous avec les startups et entreprises early-stage de Zurich ? | H3: Quelles technologies utilisez-vous pour les projets ? Zurich ? | H3: Pouvez-vous vous intégrer aux systèmes existants utilisés par les entreprises de Zurich ? | H3: Comment fonctionne le modèle de révisions illimitées pour les clients de Zurich ? | H3: Fournissez-vous un support continu pour les projets de Zurich après le lancement ? | H2: Nous Desservons Également | H2: Explorer davantage | H2: Prêt à Créer Quelque Chose d'</t>
        </is>
      </c>
      <c r="M50" t="n">
        <v>15</v>
      </c>
      <c r="N50" t="n">
        <v>6</v>
      </c>
      <c r="O50" t="inlineStr">
        <is>
          <t>Commercial (local)</t>
        </is>
      </c>
      <c r="P50" t="inlineStr">
        <is>
          <t>index, follow; HTTP 200</t>
        </is>
      </c>
      <c r="Q50" t="inlineStr">
        <is>
          <t>https://codesommet.com/web-development-company/zurich</t>
        </is>
      </c>
      <c r="R50" t="inlineStr">
        <is>
          <t>self</t>
        </is>
      </c>
      <c r="S50" t="n">
        <v>2182</v>
      </c>
      <c r="T50" t="n">
        <v>32</v>
      </c>
      <c r="U50" t="n">
        <v>81</v>
      </c>
      <c r="V50" t="n">
        <v>12</v>
      </c>
      <c r="W50" t="n">
        <v>0</v>
      </c>
      <c r="X50" t="inlineStr">
        <is>
          <t>BreadcrumbList, FAQPage, Organization, WebSite</t>
        </is>
      </c>
      <c r="Y50" t="inlineStr">
        <is>
          <t>développement web zurich [ch]</t>
        </is>
      </c>
      <c r="Z50" s="5" t="inlineStr">
        <is>
          <t>Review: 32 headings</t>
        </is>
      </c>
    </row>
    <row r="51">
      <c r="A51" t="inlineStr">
        <is>
          <t>P049</t>
        </is>
      </c>
      <c r="B51" s="3" t="inlineStr">
        <is>
          <t>https://codesommet.com/web-development-company/stockholm</t>
        </is>
      </c>
      <c r="C51" s="5" t="inlineStr">
        <is>
          <t>Développement Web à Stockholm, Suède : des sites web qui génèrent Tableaux de Bord SaaS</t>
        </is>
      </c>
      <c r="D51" t="inlineStr">
        <is>
          <t>Location page</t>
        </is>
      </c>
      <c r="E51" t="inlineStr">
        <is>
          <t>fr</t>
        </is>
      </c>
      <c r="F51" t="inlineStr">
        <is>
          <t>Sweden (city page)</t>
        </is>
      </c>
      <c r="G51" s="5" t="inlineStr">
        <is>
          <t>Développement Web à Stockholm, Suède | CodeSommet</t>
        </is>
      </c>
      <c r="H51" t="n">
        <v>510</v>
      </c>
      <c r="I51" s="5" t="inlineStr">
        <is>
          <t>Sites web et tableaux de bord SaaS pour les entreprises de Stockholm : développement sur mesure à distance, design soigné et SEO par CodeSommet.</t>
        </is>
      </c>
      <c r="J51" t="n">
        <v>144</v>
      </c>
      <c r="K51" s="5" t="inlineStr">
        <is>
          <t>Développement Web à Stockholm, Suède : des sites web qui génèrent Tableaux de Bord SaaS</t>
        </is>
      </c>
      <c r="L51" s="5" t="inlineStr">
        <is>
          <t>H2: Pourquoi Choisir CodeSommet in Stockholm ? | H3: Experts en IA | H3: Spécialistes Dashboard &amp; SaaS | H3: Axé Génération de Prospects | H3: Rapidité Startup | H3: Spécialistes Sectoriels | H3: Stack Technologique Moderne | H2: Ce que nous apportons aux entreprises de Stockholm | H2: Stockholm Nos Secteurs de Spécialisation | H2: Ce que nous construisons pour Stockholm | H2: Comment Nous Avons Construit une Plateforme de Jeux Servant 10M de Joueurs dans 50 Pays | H2: Solutions sur mesure, tarification transparente | H3: Développement Web | H3: Forfait | H2: Prêt à améliorer votre site web ? Stockholm ? | H2: CodeSommet Stockholm vs Others | H2: Ce que nos clients de Stockholm disent de nous | H2: Comment démarrer en 3 étapes simples | H3: Choisissez votre formule | H3: Envoyez votre demande | H3: Suivez notre livraison | H2: Questions fréquemment posées sur le Développement Web à Stockholm | H3: Pourquoi choisir CodeSommet parmi les nombreuses agences de développement web de Stockholm ? | H3: Travaillez-vous avec les startups et entreprises early-stage de Stockholm ? | H3: Quelles technologies utilisez-vous pour les projets ? Stockholm ? | H3: Pouvez-vous vous intégrer aux systèmes existants utilisés par les entreprises de Stockholm ? | H3: Comment fonctionne le modèle à révisions illimitées pour Stockholm ? | H3: Fournissez-vous un support continu pour Stockholm après le lancement ? | H2: Nous Desservons Également | H2: Explorer davantage | H2: Prêt à Créer Quelque Chose d</t>
        </is>
      </c>
      <c r="M51" t="n">
        <v>15</v>
      </c>
      <c r="N51" t="n">
        <v>6</v>
      </c>
      <c r="O51" t="inlineStr">
        <is>
          <t>Commercial (local)</t>
        </is>
      </c>
      <c r="P51" t="inlineStr">
        <is>
          <t>index, follow; HTTP 200</t>
        </is>
      </c>
      <c r="Q51" t="inlineStr">
        <is>
          <t>https://codesommet.com/web-development-company/stockholm</t>
        </is>
      </c>
      <c r="R51" t="inlineStr">
        <is>
          <t>self</t>
        </is>
      </c>
      <c r="S51" t="n">
        <v>2096</v>
      </c>
      <c r="T51" t="n">
        <v>32</v>
      </c>
      <c r="U51" t="n">
        <v>80</v>
      </c>
      <c r="V51" t="n">
        <v>12</v>
      </c>
      <c r="W51" t="n">
        <v>0</v>
      </c>
      <c r="X51" t="inlineStr">
        <is>
          <t>BreadcrumbList, FAQPage, Organization, WebSite</t>
        </is>
      </c>
      <c r="Y51" t="inlineStr">
        <is>
          <t>développement web stockholm [se]</t>
        </is>
      </c>
      <c r="Z51" s="5" t="inlineStr">
        <is>
          <t>Review: 32 headings</t>
        </is>
      </c>
    </row>
    <row r="52">
      <c r="A52" t="inlineStr">
        <is>
          <t>P050</t>
        </is>
      </c>
      <c r="B52" s="3" t="inlineStr">
        <is>
          <t>https://codesommet.com/web-development-company/madrid</t>
        </is>
      </c>
      <c r="C52" s="5" t="inlineStr">
        <is>
          <t xml:space="preserve">Développement Web à Madrid, Espagne : des sites web qui génèrent CROISSANCE COMMERCIALE À </t>
        </is>
      </c>
      <c r="D52" t="inlineStr">
        <is>
          <t>Location page</t>
        </is>
      </c>
      <c r="E52" t="inlineStr">
        <is>
          <t>fr</t>
        </is>
      </c>
      <c r="F52" t="inlineStr">
        <is>
          <t>Spain (city page)</t>
        </is>
      </c>
      <c r="G52" s="5" t="inlineStr">
        <is>
          <t>Développement Web à Madrid, Espagne | CodeSommet</t>
        </is>
      </c>
      <c r="H52" t="n">
        <v>499</v>
      </c>
      <c r="I52" s="5" t="inlineStr">
        <is>
          <t>À Madrid, faites développer votre site ou votre plateforme par CodeSommet : conception sur mesure, e-commerce et référencement, pilotés à distance.</t>
        </is>
      </c>
      <c r="J52" t="n">
        <v>147</v>
      </c>
      <c r="K52" s="5" t="inlineStr">
        <is>
          <t>Développement Web à Madrid, Espagne : des sites web qui génèrent CROISSANCE COMMERCIALE À MADRID</t>
        </is>
      </c>
      <c r="L52" s="5" t="inlineStr">
        <is>
          <t>H2: Pourquoi Choisir CodeSommet à Madrid ? | H3: Experts en IA | H3: Spécialistes Dashboard &amp; SaaS | H3: Axé Génération de Prospects | H3: Service Complet de Bout en Bout | H3: Spécialistes Sectoriels | H3: Stack Technologique Moderne | H2: Ce que nous apportons aux entreprises de Madrid | H2: Madrid Nos Secteurs de Spécialisation | H2: Ce que nous construisons pour Madrid | H2: Des Plateformes Immobilières Pensées pour le Marché de Madrid | H2: Solutions Sur Mesure, Tarification Transparente | H3: Développement de Sites Web | H3: Forfait Mensuel | H2: Prêt à Améliorer Votre Site Web à Madrid ? | H2: CodeSommet Madrid vs Autres | H2: Ce Que les Clients de Madrid Disent de Nous | H2: Comment démarrer en 3 étapes simples | H3: Choisissez votre formule | H3: Envoyez votre demande | H3: Suivez notre livraison | H2: Questions Fréquemment Posées sur le Développement Web à Madrid | H3: Avez-vous un bureau physique à Madrid ? | H3: Pouvez-vous travailler avec les entreprises de Madrid à distance ? | H3: Quels modes de paiement acceptez-vous à Madrid ? | H3: Comprenez-vous les lois de conformité et de protection des données d'Espagne ? | H3: À quelle vitesse pouvez-vous lancer un site web pour mon entreprise à Madrid ? | H3: Pouvez-vous aider avec l'enregistrement de domaine .es ? | H2: Nous Desservons Aussi | H2: Explorer Plus | H2: Prêt à Créer Quelque Chose d'Extraordinaire ?</t>
        </is>
      </c>
      <c r="M52" t="n">
        <v>15</v>
      </c>
      <c r="N52" t="n">
        <v>6</v>
      </c>
      <c r="O52" t="inlineStr">
        <is>
          <t>Commercial (local)</t>
        </is>
      </c>
      <c r="P52" t="inlineStr">
        <is>
          <t>index, follow; HTTP 200</t>
        </is>
      </c>
      <c r="Q52" t="inlineStr">
        <is>
          <t>https://codesommet.com/web-development-company/madrid</t>
        </is>
      </c>
      <c r="R52" t="inlineStr">
        <is>
          <t>self</t>
        </is>
      </c>
      <c r="S52" t="n">
        <v>2141</v>
      </c>
      <c r="T52" t="n">
        <v>32</v>
      </c>
      <c r="U52" t="n">
        <v>79</v>
      </c>
      <c r="V52" t="n">
        <v>12</v>
      </c>
      <c r="W52" t="n">
        <v>0</v>
      </c>
      <c r="X52" t="inlineStr">
        <is>
          <t>BreadcrumbList, FAQPage, Organization, WebSite</t>
        </is>
      </c>
      <c r="Y52" t="inlineStr">
        <is>
          <t>développement web madrid [es]</t>
        </is>
      </c>
      <c r="Z52" s="5" t="inlineStr">
        <is>
          <t>Review: 32 headings</t>
        </is>
      </c>
    </row>
    <row r="53">
      <c r="A53" t="inlineStr">
        <is>
          <t>P051</t>
        </is>
      </c>
      <c r="B53" s="3" t="inlineStr">
        <is>
          <t>https://codesommet.com/web-development-company/barcelona</t>
        </is>
      </c>
      <c r="C53" s="5" t="inlineStr">
        <is>
          <t>Développement Web à Barcelone, Espagne : des sites web qui génèrent CROISSANCE DES ENTREPR</t>
        </is>
      </c>
      <c r="D53" t="inlineStr">
        <is>
          <t>Location page</t>
        </is>
      </c>
      <c r="E53" t="inlineStr">
        <is>
          <t>fr</t>
        </is>
      </c>
      <c r="F53" t="inlineStr">
        <is>
          <t>Spain (city page)</t>
        </is>
      </c>
      <c r="G53" s="5" t="inlineStr">
        <is>
          <t>Développement Web à Barcelone, Espagne | CodeSommet</t>
        </is>
      </c>
      <c r="H53" t="n">
        <v>527</v>
      </c>
      <c r="I53" s="5" t="inlineStr">
        <is>
          <t>Entreprises de Barcelone : confiez votre projet web à CodeSommet — sites élégants, boutiques en ligne et outils métier développés à distance.</t>
        </is>
      </c>
      <c r="J53" t="n">
        <v>141</v>
      </c>
      <c r="K53" s="5" t="inlineStr">
        <is>
          <t>Développement Web à Barcelone, Espagne : des sites web qui génèrent CROISSANCE DES ENTREPRISES À BARCELONE</t>
        </is>
      </c>
      <c r="L53" s="5" t="inlineStr">
        <is>
          <t>H2: Pourquoi Choisir CodeSommet à Barcelone ? | H3: Experts en IA | H3: Spécialistes Dashboard &amp; SaaS | H3: Axé Génération de Prospects | H3: Service Complet de Bout en Bout | H3: Spécialistes Sectoriels | H3: Stack Technologique Moderne | H2: Ce que nous apportons aux entreprises de Barcelone | H2: Barcelone Nos Secteurs de Spécialisation | H2: Ce que nous construisons pour Barcelone | H2: Des Plateformes Web Immobilières Pensées pour le Marché de Barcelone | H2: Solutions Personnalisées, Tarification Transparente | H3: Développement Web | H3: Forfait Mensuel | H2: Prêt à Améliorer Votre Site Web à Barcelone ? | H2: CodeSommet Barcelone vs Autres | H2: Quoi Barcelone Nos Clients Disent de Nous | H2: Comment démarrer en 3 étapes simples | H3: Choisissez votre formule | H3: Envoyez votre demande | H3: Suivez notre livraison | H2: Questions Fréquemment Posées Sur le Développement Web à Barcelone | H3: Avez-vous un bureau physique à Barcelone ? | H3: Pouvez-vous travailler avec les entreprises de Barcelone à distance ? | H3: Quels modes de paiement acceptez-vous à Barcelone ? | H3: Comprenez-vous les lois de conformité et de protection des données en Espagne ? | H3: À quelle vitesse pouvez-vous lancer un site web pour mon entreprise à Barcelone ? | H3: Pouvez-vous aider avec l'enregistrement de domaine .es ? | H2: Nous Servons Également | H2: En Savoir Plus | H2: Prêt à Créer Quelque Chose d'Extraordinaire ?</t>
        </is>
      </c>
      <c r="M53" t="n">
        <v>15</v>
      </c>
      <c r="N53" t="n">
        <v>6</v>
      </c>
      <c r="O53" t="inlineStr">
        <is>
          <t>Commercial (local)</t>
        </is>
      </c>
      <c r="P53" t="inlineStr">
        <is>
          <t>index, follow; HTTP 200</t>
        </is>
      </c>
      <c r="Q53" t="inlineStr">
        <is>
          <t>https://codesommet.com/web-development-company/barcelona</t>
        </is>
      </c>
      <c r="R53" t="inlineStr">
        <is>
          <t>self</t>
        </is>
      </c>
      <c r="S53" t="n">
        <v>2117</v>
      </c>
      <c r="T53" t="n">
        <v>32</v>
      </c>
      <c r="U53" t="n">
        <v>79</v>
      </c>
      <c r="V53" t="n">
        <v>12</v>
      </c>
      <c r="W53" t="n">
        <v>0</v>
      </c>
      <c r="X53" t="inlineStr">
        <is>
          <t>BreadcrumbList, FAQPage, Organization, WebSite</t>
        </is>
      </c>
      <c r="Y53" t="inlineStr">
        <is>
          <t>développement web barcelone [es]</t>
        </is>
      </c>
      <c r="Z53" s="5" t="inlineStr">
        <is>
          <t>Review: 32 headings</t>
        </is>
      </c>
    </row>
    <row r="54">
      <c r="A54" t="inlineStr">
        <is>
          <t>P052</t>
        </is>
      </c>
      <c r="B54" s="3" t="inlineStr">
        <is>
          <t>https://codesommet.com/web-development-company/lisbon</t>
        </is>
      </c>
      <c r="C54" s="5" t="inlineStr">
        <is>
          <t>Développement Web à Lisbonne, Portugal : des sites web qui génèrent CROISSANCE COMMERCIALE</t>
        </is>
      </c>
      <c r="D54" t="inlineStr">
        <is>
          <t>Location page</t>
        </is>
      </c>
      <c r="E54" t="inlineStr">
        <is>
          <t>fr</t>
        </is>
      </c>
      <c r="F54" t="inlineStr">
        <is>
          <t>Portugal (city page)</t>
        </is>
      </c>
      <c r="G54" s="5" t="inlineStr">
        <is>
          <t>Développement Web à Lisbonne, Portugal | CodeSommet</t>
        </is>
      </c>
      <c r="H54" t="n">
        <v>514</v>
      </c>
      <c r="I54" s="5" t="inlineStr">
        <is>
          <t>Lisbonne : création de sites modernes, boutiques en ligne et plateformes sur mesure par CodeSommet, avec un interlocuteur unique à distance.</t>
        </is>
      </c>
      <c r="J54" t="n">
        <v>140</v>
      </c>
      <c r="K54" s="5" t="inlineStr">
        <is>
          <t>Développement Web à Lisbonne, Portugal : des sites web qui génèrent CROISSANCE COMMERCIALE À LISBONNE</t>
        </is>
      </c>
      <c r="L54" s="5" t="inlineStr">
        <is>
          <t>H2: Pourquoi Choisir CodeSommet à Lisbonne ? | H3: Experts en IA | H3: Spécialistes Dashboard &amp; SaaS | H3: Axé Génération de Prospects | H3: Service Complet de Bout en Bout | H3: Spécialistes Sectoriels | H3: Stack Technologique Moderne | H2: Ce que nous apportons aux entreprises de Lisbonne | H2: Lisbonne Nos Secteurs de Spécialisation | H2: Ce que nous construisons pour Lisbonne | H2: Comment Nous Concevons des Plateformes Immobilières Sur Mesure pour les Entreprises de Lisbonne | H2: Solutions Sur Mesure, Tarification Transparente | H3: Développement de Sites Web | H3: Forfait Mensuel | H2: Prêt à Améliorer Votre Site Web à Lisbonne ? | H2: CodeSommet Lisbonne vs Autres | H2: Ce Que les Clients de Lisbonne Disent de Nous | H2: Comment démarrer en 3 étapes simples | H3: Choisissez votre formule | H3: Envoyez votre demande | H3: Suivez notre livraison | H2: Questions Fréquemment Posées sur le Développement Web à Lisbonne | H3: Avez-vous un bureau physique à Lisbonne ? | H3: Pouvez-vous travailler avec les entreprises de Lisbonne à distance ? | H3: Quels modes de paiement acceptez-vous à Lisbonne ? | H3: Comprenez-vous les lois de conformité et de protection des données du Portugal ? | H3: À quelle vitesse pouvez-vous lancer un site web pour mon entreprise à Lisbonne ? | H3: Pouvez-vous aider avec l'enregistrement de domaine .pt ? | H2: Nous Desservons Aussi | H2: Explorer Plus | H2: Prêt à Créer Quelque Chose d'Extraordinaire ?</t>
        </is>
      </c>
      <c r="M54" t="n">
        <v>15</v>
      </c>
      <c r="N54" t="n">
        <v>6</v>
      </c>
      <c r="O54" t="inlineStr">
        <is>
          <t>Commercial (local)</t>
        </is>
      </c>
      <c r="P54" t="inlineStr">
        <is>
          <t>index, follow; HTTP 200</t>
        </is>
      </c>
      <c r="Q54" t="inlineStr">
        <is>
          <t>https://codesommet.com/web-development-company/lisbon</t>
        </is>
      </c>
      <c r="R54" t="inlineStr">
        <is>
          <t>self</t>
        </is>
      </c>
      <c r="S54" t="n">
        <v>2167</v>
      </c>
      <c r="T54" t="n">
        <v>32</v>
      </c>
      <c r="U54" t="n">
        <v>80</v>
      </c>
      <c r="V54" t="n">
        <v>12</v>
      </c>
      <c r="W54" t="n">
        <v>0</v>
      </c>
      <c r="X54" t="inlineStr">
        <is>
          <t>BreadcrumbList, FAQPage, Organization, WebSite</t>
        </is>
      </c>
      <c r="Y54" t="inlineStr">
        <is>
          <t>développement web lisbonne [pt]</t>
        </is>
      </c>
      <c r="Z54" s="5" t="inlineStr">
        <is>
          <t>Review: 32 headings</t>
        </is>
      </c>
    </row>
    <row r="55">
      <c r="A55" t="inlineStr">
        <is>
          <t>P053</t>
        </is>
      </c>
      <c r="B55" s="3" t="inlineStr">
        <is>
          <t>https://codesommet.com/web-development-company/rome</t>
        </is>
      </c>
      <c r="C55" s="5" t="inlineStr">
        <is>
          <t>Développement Web à Rome, Italie : des sites web qui génèrent CROISSANCE COMMERCIALE À ROM</t>
        </is>
      </c>
      <c r="D55" t="inlineStr">
        <is>
          <t>Location page</t>
        </is>
      </c>
      <c r="E55" t="inlineStr">
        <is>
          <t>fr</t>
        </is>
      </c>
      <c r="F55" t="inlineStr">
        <is>
          <t>Italy (city page)</t>
        </is>
      </c>
      <c r="G55" s="5" t="inlineStr">
        <is>
          <t>Développement Web à Rome, Italie | CodeSommet</t>
        </is>
      </c>
      <c r="H55" t="n">
        <v>455</v>
      </c>
      <c r="I55" s="5" t="inlineStr">
        <is>
          <t>CodeSommet accompagne les entreprises de Rome dans la création de sites professionnels, boutiques e-commerce et outils sur mesure, avec SEO inclus.</t>
        </is>
      </c>
      <c r="J55" t="n">
        <v>147</v>
      </c>
      <c r="K55" s="5" t="inlineStr">
        <is>
          <t>Développement Web à Rome, Italie : des sites web qui génèrent CROISSANCE COMMERCIALE À ROME</t>
        </is>
      </c>
      <c r="L55" s="5" t="inlineStr">
        <is>
          <t>H2: Pourquoi Choisir CodeSommet in Rome ? | H3: Experts en IA | H3: Spécialistes Dashboard &amp; SaaS | H3: Axé Génération de Prospects | H3: Service Complet de Bout en Bout | H3: Spécialistes Sectoriels | H3: Stack Technologique Moderne | H2: Ce que nous apportons aux entreprises de Rome | H2: Rome Nos Secteurs de Spécialisation | H2: Ce que nous construisons pour Rome | H2: Comment Nous Concevons des Plateformes Immobilières Sur Mesure pour les Entreprises de Rome | H2: Solutions sur mesure, tarification transparente | H3: Développement Web | H3: Forfait | H2: Prêt à Améliorer Votre Site Web à Rome ? | H2: CodeSommet Rome vs Others | H2: Ce que nos clients de Rome disent de nous | H2: Comment démarrer en 3 étapes simples | H3: Choisissez votre formule | H3: Envoyez votre demande | H3: Suivez notre livraison | H2: Questions Fréquemment Posées sur le Développement Web à Rome | H3: Avez-vous un bureau physique à Rome ? | H3: Pouvez-vous travailler avec les entreprises de Rome à distance ? | H3: Quels modes de paiement acceptez-vous à Rome ? | H3: Comprenez-vous les lois de conformité et de protection des données en Italie ? | H3: En combien de temps pouvez-vous lancer un site web pour mon entreprise à Rome ? | H3: Pouvez-vous aider avec l'enregistrement de domaine ? | H2: Nous Desservons Également | H2: Explorer davantage | H2: Prêt à Créer Quelque Chose d'Extraordinaire ?</t>
        </is>
      </c>
      <c r="M55" t="n">
        <v>15</v>
      </c>
      <c r="N55" t="n">
        <v>6</v>
      </c>
      <c r="O55" t="inlineStr">
        <is>
          <t>Commercial (local)</t>
        </is>
      </c>
      <c r="P55" t="inlineStr">
        <is>
          <t>index, follow; HTTP 200</t>
        </is>
      </c>
      <c r="Q55" t="inlineStr">
        <is>
          <t>https://codesommet.com/web-development-company/rome</t>
        </is>
      </c>
      <c r="R55" t="inlineStr">
        <is>
          <t>self</t>
        </is>
      </c>
      <c r="S55" t="n">
        <v>2118</v>
      </c>
      <c r="T55" t="n">
        <v>32</v>
      </c>
      <c r="U55" t="n">
        <v>79</v>
      </c>
      <c r="V55" t="n">
        <v>12</v>
      </c>
      <c r="W55" t="n">
        <v>0</v>
      </c>
      <c r="X55" t="inlineStr">
        <is>
          <t>BreadcrumbList, FAQPage, Organization, WebSite</t>
        </is>
      </c>
      <c r="Y55" t="inlineStr">
        <is>
          <t>développement web rome [it]</t>
        </is>
      </c>
      <c r="Z55" s="5" t="inlineStr">
        <is>
          <t>Review: 32 headings</t>
        </is>
      </c>
    </row>
    <row r="56">
      <c r="A56" t="inlineStr">
        <is>
          <t>P054</t>
        </is>
      </c>
      <c r="B56" s="3" t="inlineStr">
        <is>
          <t>https://codesommet.com/web-development-company/milan</t>
        </is>
      </c>
      <c r="C56" s="5" t="inlineStr">
        <is>
          <t>Développement Web à Milan, Italie : des sites web qui génèrent CROISSANCE COMMERCIALE À MI</t>
        </is>
      </c>
      <c r="D56" t="inlineStr">
        <is>
          <t>Location page</t>
        </is>
      </c>
      <c r="E56" t="inlineStr">
        <is>
          <t>fr</t>
        </is>
      </c>
      <c r="F56" t="inlineStr">
        <is>
          <t>Italy (city page)</t>
        </is>
      </c>
      <c r="G56" s="5" t="inlineStr">
        <is>
          <t>Développement Web à Milan, Italie | CodeSommet</t>
        </is>
      </c>
      <c r="H56" t="n">
        <v>449</v>
      </c>
      <c r="I56" s="5" t="inlineStr">
        <is>
          <t>Les entreprises de Milan font appel à CodeSommet pour créer sites vitrines, e-commerce et plateformes métier au design soigné, à distance.</t>
        </is>
      </c>
      <c r="J56" t="n">
        <v>138</v>
      </c>
      <c r="K56" s="5" t="inlineStr">
        <is>
          <t>Développement Web à Milan, Italie : des sites web qui génèrent CROISSANCE COMMERCIALE À MILAN</t>
        </is>
      </c>
      <c r="L56" s="5" t="inlineStr">
        <is>
          <t>H2: Pourquoi Choisir CodeSommet à Milan ? | H3: Experts en IA | H3: Spécialistes Dashboard &amp; SaaS | H3: Axé Génération de Prospects | H3: Service Complet de Bout en Bout | H3: Spécialistes Sectoriels | H3: Stack Technologique Moderne | H2: Ce que nous apportons aux entreprises de Milan | H2: Milan Nos Secteurs de Spécialisation | H2: Ce que nous construisons pour Milan | H2: Comment Nous Concevons des Plateformes Immobilières Sur Mesure pour les Entreprises de Milan | H2: Solutions Sur Mesure, Tarification Transparente | H3: Développement de Sites Web | H3: Forfait Mensuel | H2: Prêt à Améliorer Votre Site Web à Milan ? | H2: CodeSommet Milan vs Autres | H2: Ce Que les Clients de Milan Disent de Nous | H2: Comment démarrer en 3 étapes simples | H3: Choisissez votre formule | H3: Envoyez votre demande | H3: Suivez notre livraison | H2: Questions Fréquemment Posées sur le Développement Web à Milan | H3: Avez-vous un bureau physique à Milan ? | H3: Pouvez-vous travailler avec les entreprises de Milan à distance ? | H3: Quels modes de paiement acceptez-vous à Milan ? | H3: Comprenez-vous les lois de conformité et de protection des données d'Italy ? | H3: À quelle vitesse pouvez-vous lancer un site web pour mon entreprise à Milan ? | H3: Pouvez-vous aider avec l'enregistrement de domaine .it ? | H2: Nous Desservons Aussi | H2: Explorer Plus | H2: Prêt à Créer Quelque Chose d'Extraordinaire ?</t>
        </is>
      </c>
      <c r="M56" t="n">
        <v>15</v>
      </c>
      <c r="N56" t="n">
        <v>6</v>
      </c>
      <c r="O56" t="inlineStr">
        <is>
          <t>Commercial (local)</t>
        </is>
      </c>
      <c r="P56" t="inlineStr">
        <is>
          <t>index, follow; HTTP 200</t>
        </is>
      </c>
      <c r="Q56" t="inlineStr">
        <is>
          <t>https://codesommet.com/web-development-company/milan</t>
        </is>
      </c>
      <c r="R56" t="inlineStr">
        <is>
          <t>self</t>
        </is>
      </c>
      <c r="S56" t="n">
        <v>2149</v>
      </c>
      <c r="T56" t="n">
        <v>32</v>
      </c>
      <c r="U56" t="n">
        <v>79</v>
      </c>
      <c r="V56" t="n">
        <v>12</v>
      </c>
      <c r="W56" t="n">
        <v>0</v>
      </c>
      <c r="X56" t="inlineStr">
        <is>
          <t>BreadcrumbList, FAQPage, Organization, WebSite</t>
        </is>
      </c>
      <c r="Y56" t="inlineStr">
        <is>
          <t>développement web milan [it]</t>
        </is>
      </c>
      <c r="Z56" s="5" t="inlineStr">
        <is>
          <t>Review: 32 headings</t>
        </is>
      </c>
    </row>
    <row r="57">
      <c r="A57" t="inlineStr">
        <is>
          <t>P055</t>
        </is>
      </c>
      <c r="B57" s="3" t="inlineStr">
        <is>
          <t>https://codesommet.com/web-development-company/new-york</t>
        </is>
      </c>
      <c r="C57" s="5" t="inlineStr">
        <is>
          <t>Développement Web à New York, États-Unis : des sites web qui génèrent Plateformes FinTech</t>
        </is>
      </c>
      <c r="D57" t="inlineStr">
        <is>
          <t>Location page</t>
        </is>
      </c>
      <c r="E57" t="inlineStr">
        <is>
          <t>fr</t>
        </is>
      </c>
      <c r="F57" t="inlineStr">
        <is>
          <t>United States (city page)</t>
        </is>
      </c>
      <c r="G57" s="5" t="inlineStr">
        <is>
          <t>Développement Web à New York, États-Unis | CodeSommet</t>
        </is>
      </c>
      <c r="H57" t="n">
        <v>538</v>
      </c>
      <c r="I57" s="5" t="inlineStr">
        <is>
          <t>Plateformes FinTech, sites corporate et tableaux de bord pour les entreprises de New York, développés à distance par l'agence CodeSommet.</t>
        </is>
      </c>
      <c r="J57" t="n">
        <v>137</v>
      </c>
      <c r="K57" s="5" t="inlineStr">
        <is>
          <t>Développement Web à New York, États-Unis : des sites web qui génèrent Plateformes FinTech</t>
        </is>
      </c>
      <c r="L57" s="5" t="inlineStr">
        <is>
          <t>H2: Pourquoi Choisir CodeSommet à New York ? | H3: Experts en IA | H3: Spécialistes Dashboard &amp; SaaS | H3: Axé Génération de Prospects | H3: Rapidité Startup | H3: Spécialistes Sectoriels | H3: Stack Technologique Moderne | H2: Ce que nous apportons aux entreprises de New York | H2: New York Nos Secteurs de Spécialisation | H2: Ce que nous construisons pour New York | H2: Comment Nous Concevons des Plateformes Fintech Prêtes pour la Production à New York | H2: Solutions Sur Mesure, Tarification Transparente | H3: Développement de Sites Web | H3: Forfait Mensuel | H2: Prêt à Améliorer Votre Site Web à New York ? | H2: CodeSommet New York vs Autres | H2: Ce Que les Clients de New York Disent de Nous | H2: Comment démarrer en 3 étapes simples | H3: Choisissez votre formule | H3: Envoyez votre demande | H3: Suivez notre livraison | H2: Questions Fréquemment Posées sur le Développement Web à New York | H3: Pourquoi choisir CodeSommet plutôt que les nombreuses agences de développement web de New York ? | H3: Travaillez-vous avec les startups et les entreprises en phase de démarrage de New York ? | H3: Quelles technologies utilisez-vous pour les projets de New York ? | H3: Pouvez-vous vous intégrer aux systèmes existants utilisés par les entreprises de New York ? | H3: Comment fonctionne le modèle de révisions illimitées à New York ? | H3: Fournissez-vous un support continu après le lancement pour les clients de New York ? | H2: Nous Desservons Aussi | H2: Explorer Plus | H2: Prêt à</t>
        </is>
      </c>
      <c r="M57" t="n">
        <v>15</v>
      </c>
      <c r="N57" t="n">
        <v>6</v>
      </c>
      <c r="O57" t="inlineStr">
        <is>
          <t>Commercial (local)</t>
        </is>
      </c>
      <c r="P57" t="inlineStr">
        <is>
          <t>index, follow; HTTP 200</t>
        </is>
      </c>
      <c r="Q57" t="inlineStr">
        <is>
          <t>https://codesommet.com/web-development-company/new-york</t>
        </is>
      </c>
      <c r="R57" t="inlineStr">
        <is>
          <t>self</t>
        </is>
      </c>
      <c r="S57" t="n">
        <v>2220</v>
      </c>
      <c r="T57" t="n">
        <v>32</v>
      </c>
      <c r="U57" t="n">
        <v>81</v>
      </c>
      <c r="V57" t="n">
        <v>12</v>
      </c>
      <c r="W57" t="n">
        <v>0</v>
      </c>
      <c r="X57" t="inlineStr">
        <is>
          <t>BreadcrumbList, FAQPage, Organization, WebSite</t>
        </is>
      </c>
      <c r="Y57" t="inlineStr">
        <is>
          <t>développement web new york [us]</t>
        </is>
      </c>
      <c r="Z57" s="5" t="inlineStr">
        <is>
          <t>Review: 32 headings</t>
        </is>
      </c>
    </row>
    <row r="58">
      <c r="A58" t="inlineStr">
        <is>
          <t>P056</t>
        </is>
      </c>
      <c r="B58" s="3" t="inlineStr">
        <is>
          <t>https://codesommet.com/web-development-company/san-francisco</t>
        </is>
      </c>
      <c r="C58" s="5" t="inlineStr">
        <is>
          <t>Développement Web à San Francisco, États-Unis : des sites web qui génèrent Tableaux de Bor</t>
        </is>
      </c>
      <c r="D58" t="inlineStr">
        <is>
          <t>Location page</t>
        </is>
      </c>
      <c r="E58" t="inlineStr">
        <is>
          <t>fr</t>
        </is>
      </c>
      <c r="F58" t="inlineStr">
        <is>
          <t>United States (city page)</t>
        </is>
      </c>
      <c r="G58" s="5" t="inlineStr">
        <is>
          <t>Développement Web à San Francisco, États-Unis | CodeSommet</t>
        </is>
      </c>
      <c r="H58" t="n">
        <v>579</v>
      </c>
      <c r="I58" s="5" t="inlineStr">
        <is>
          <t>Développement de sites et tableaux de bord SaaS pour les startups de San Francisco : plateformes sur mesure livrées à distance par CodeSommet.</t>
        </is>
      </c>
      <c r="J58" t="n">
        <v>142</v>
      </c>
      <c r="K58" s="5" t="inlineStr">
        <is>
          <t>Développement Web à San Francisco, États-Unis : des sites web qui génèrent Tableaux de Bord SaaS</t>
        </is>
      </c>
      <c r="L58" s="5" t="inlineStr">
        <is>
          <t>H2: Pourquoi Choisir CodeSommet in San Francisco ? | H3: Experts en IA | H3: Spécialistes Dashboard &amp; SaaS | H3: Axé Génération de Prospects | H3: Rapidité Startup | H3: Spécialistes Sectoriels | H3: Stack Technologique Moderne | H2: Ce que nous apportons aux entreprises de San Francisco | H2: San Francisco Nos Secteurs de Spécialisation | H2: Ce que nous construisons pour San Francisco | H2: Comment Nous Accompagnons les Startups SaaS de San Francisco dans leur Croissance | H2: Solutions sur mesure, tarification transparente | H3: Développement Web | H3: Forfait | H2: Prêt à améliorer votre site web ? San Francisco ? | H2: CodeSommet San Francisco vs Others | H2: Ce que nos clients de San Francisco disent de nous | H2: Comment démarrer en 3 étapes simples | H3: Choisissez votre formule | H3: Envoyez votre demande | H3: Suivez notre livraison | H2: Questions Fréquemment Posées sur le Développement Web à San Francisco | H3: Pourquoi choisir CodeSommet parmi les nombreuses agences de développement web de San Francisco ? | H3: Travaillez-vous avec les startups et entreprises early-stage de San Francisco ? | H3: Quelles technologies utilisez-vous pour les projets ? San Francisco ? | H3: Pouvez-vous vous intégrer aux systèmes existants utilisés par les entreprises de San Francisco ? | H3: Comment fonctionne le modèle à révisions illimitées pour San Francisco ? | H3: Fournissez-vous un support continu aux clients de San Francisco après le lancement ? | H2: Nous Desservons Également</t>
        </is>
      </c>
      <c r="M58" t="n">
        <v>15</v>
      </c>
      <c r="N58" t="n">
        <v>6</v>
      </c>
      <c r="O58" t="inlineStr">
        <is>
          <t>Commercial (local)</t>
        </is>
      </c>
      <c r="P58" t="inlineStr">
        <is>
          <t>index, follow; HTTP 200</t>
        </is>
      </c>
      <c r="Q58" t="inlineStr">
        <is>
          <t>https://codesommet.com/web-development-company/san-francisco</t>
        </is>
      </c>
      <c r="R58" t="inlineStr">
        <is>
          <t>self</t>
        </is>
      </c>
      <c r="S58" t="n">
        <v>2169</v>
      </c>
      <c r="T58" t="n">
        <v>32</v>
      </c>
      <c r="U58" t="n">
        <v>81</v>
      </c>
      <c r="V58" t="n">
        <v>12</v>
      </c>
      <c r="W58" t="n">
        <v>0</v>
      </c>
      <c r="X58" t="inlineStr">
        <is>
          <t>BreadcrumbList, FAQPage, Organization, WebSite</t>
        </is>
      </c>
      <c r="Y58" t="inlineStr">
        <is>
          <t>développement web san francisco [us]</t>
        </is>
      </c>
      <c r="Z58" s="5" t="inlineStr">
        <is>
          <t>Review: 32 headings</t>
        </is>
      </c>
    </row>
    <row r="59">
      <c r="A59" t="inlineStr">
        <is>
          <t>P057</t>
        </is>
      </c>
      <c r="B59" s="3" t="inlineStr">
        <is>
          <t>https://codesommet.com/web-development-company/los-angeles</t>
        </is>
      </c>
      <c r="C59" s="5" t="inlineStr">
        <is>
          <t xml:space="preserve">Développement Web à Los Angeles, États-Unis : des sites web qui génèrent Tableaux de Bord </t>
        </is>
      </c>
      <c r="D59" t="inlineStr">
        <is>
          <t>Location page</t>
        </is>
      </c>
      <c r="E59" t="inlineStr">
        <is>
          <t>fr</t>
        </is>
      </c>
      <c r="F59" t="inlineStr">
        <is>
          <t>United States (city page)</t>
        </is>
      </c>
      <c r="G59" s="5" t="inlineStr">
        <is>
          <t>Développement Web à Los Angeles, États-Unis | CodeSommet</t>
        </is>
      </c>
      <c r="H59" t="n">
        <v>561</v>
      </c>
      <c r="I59" s="5" t="inlineStr">
        <is>
          <t>Développement web pour les entreprises de Los Angeles : sites de marque, plateformes SaaS et e-commerce sur mesure, réalisés à distance par CodeSommet.</t>
        </is>
      </c>
      <c r="J59" t="n">
        <v>151</v>
      </c>
      <c r="K59" s="5" t="inlineStr">
        <is>
          <t>Développement Web à Los Angeles, États-Unis : des sites web qui génèrent Tableaux de Bord SaaS</t>
        </is>
      </c>
      <c r="L59" s="5" t="inlineStr">
        <is>
          <t>H2: Pourquoi Choisir CodeSommet à Los Angeles ? | H3: Experts en IA | H3: Spécialistes Dashboard &amp; SaaS | H3: Axé Génération de Prospects | H3: Rapidité Startup | H3: Spécialistes Sectoriels | H3: Stack Technologique Moderne | H2: Ce que nous apportons aux entreprises de Los Angeles | H2: Los Angeles Nos Secteurs de Spécialisation | H2: Ce que nous construisons pour Los Angeles | H2: Comment Nous Concevons des Plateformes de Créateurs et de Médias Numériques | H2: Solutions Sur Mesure, Tarification Transparente | H3: Développement de Sites Web | H3: Forfait Mensuel | H2: Prêt à Améliorer Votre Site Web à Los Angeles ? | H2: CodeSommet Los Angeles vs Autres | H2: Ce Que les Clients de Los Angeles Disent de Nous | H2: Comment démarrer en 3 étapes simples | H3: Choisissez votre formule | H3: Envoyez votre demande | H3: Suivez notre livraison | H2: Questions Fréquemment Posées sur le Développement Web à Los Angeles | H3: Pourquoi choisir CodeSommet plutôt que les nombreuses agences de développement web de Los Angeles ? | H3: Travaillez-vous avec les startups et les entreprises en phase de démarrage de Los Angeles ? | H3: Quelles technologies utilisez-vous pour les projets de Los Angeles ? | H3: Pouvez-vous vous intégrer aux systèmes existants utilisés par les entreprises de Los Angeles ? | H3: Comment fonctionne le modèle de révisions illimitées pour les clients de Los Angeles ? | H3: Fournissez-vous un support continu après le lancement pour les projets de Los Angeles ? | H2: No</t>
        </is>
      </c>
      <c r="M59" t="n">
        <v>15</v>
      </c>
      <c r="N59" t="n">
        <v>6</v>
      </c>
      <c r="O59" t="inlineStr">
        <is>
          <t>Commercial (local)</t>
        </is>
      </c>
      <c r="P59" t="inlineStr">
        <is>
          <t>index, follow; HTTP 200</t>
        </is>
      </c>
      <c r="Q59" t="inlineStr">
        <is>
          <t>https://codesommet.com/web-development-company/los-angeles</t>
        </is>
      </c>
      <c r="R59" t="inlineStr">
        <is>
          <t>self</t>
        </is>
      </c>
      <c r="S59" t="n">
        <v>2243</v>
      </c>
      <c r="T59" t="n">
        <v>32</v>
      </c>
      <c r="U59" t="n">
        <v>80</v>
      </c>
      <c r="V59" t="n">
        <v>12</v>
      </c>
      <c r="W59" t="n">
        <v>0</v>
      </c>
      <c r="X59" t="inlineStr">
        <is>
          <t>BreadcrumbList, FAQPage, Organization, WebSite</t>
        </is>
      </c>
      <c r="Y59" t="inlineStr">
        <is>
          <t>développement web los angeles [us]</t>
        </is>
      </c>
      <c r="Z59" s="5" t="inlineStr">
        <is>
          <t>Review: 32 headings</t>
        </is>
      </c>
    </row>
    <row r="60">
      <c r="A60" t="inlineStr">
        <is>
          <t>P058</t>
        </is>
      </c>
      <c r="B60" s="3" t="inlineStr">
        <is>
          <t>https://codesommet.com/web-development-company/austin</t>
        </is>
      </c>
      <c r="C60" s="5" t="inlineStr">
        <is>
          <t>Développement Web à Austin, États-Unis : des sites web qui génèrent Tableaux de Bord SaaS</t>
        </is>
      </c>
      <c r="D60" t="inlineStr">
        <is>
          <t>Location page</t>
        </is>
      </c>
      <c r="E60" t="inlineStr">
        <is>
          <t>fr</t>
        </is>
      </c>
      <c r="F60" t="inlineStr">
        <is>
          <t>United States (city page)</t>
        </is>
      </c>
      <c r="G60" s="5" t="inlineStr">
        <is>
          <t>Développement Web à Austin, États-Unis | CodeSommet</t>
        </is>
      </c>
      <c r="H60" t="n">
        <v>507</v>
      </c>
      <c r="I60" s="5" t="inlineStr">
        <is>
          <t>Sites web et tableaux de bord SaaS pour les startups d'Austin : développement sur mesure orienté produit, livré à distance par l'agence CodeSommet.</t>
        </is>
      </c>
      <c r="J60" t="n">
        <v>147</v>
      </c>
      <c r="K60" s="5" t="inlineStr">
        <is>
          <t>Développement Web à Austin, États-Unis : des sites web qui génèrent Tableaux de Bord SaaS</t>
        </is>
      </c>
      <c r="L60" s="5" t="inlineStr">
        <is>
          <t>H2: Pourquoi Choisir CodeSommet à Austin ? | H3: Experts en IA | H3: Spécialistes Dashboard &amp; SaaS | H3: Axé Génération de Prospects | H3: Rapidité Startup | H3: Spécialistes Sectoriels | H3: Stack Technologique Moderne | H2: Au service des entreprises à Austin | H2: Austin Nos Secteurs de Spécialisation | H2: Histoires de Succès de Austin | H2: Comment Nous Accompagnons les Startups d'Austin dans le Lancement Rapide de leur MVP | H2: Solutions Personnalisées, Tarification Transparente | H3: Développement Web | H3: Forfait Mensuel | H2: Prêt à Améliorer Votre Site Web à Austin ? | H2: CodeSommet Austin vs Autres | H2: Quoi Austin Nos Clients Disent de Nous | H2: Comment démarrer en 3 étapes simples | H3: Choisissez votre formule | H3: Envoyez votre demande | H3: Suivez notre livraison | H2: Questions Fréquemment Posées Sur le Développement Web à Austin | H3: Pourquoi choisir CodeSommet plutôt que les nombreuses agences de développement web d'Austin ? | H3: Travaillez-vous avec les startups d'Austin et les entreprises en phase de démarrage ? | H3: Quelles technologies utilisez-vous pour les projets à Austin ? | H3: Pouvez-vous intégrer les systèmes existants utilisés par les entreprises d'Austin ? | H3: Comment fonctionne votre modèle de révisions illimitées pour les clients d'Austin ? | H3: Fournissez-vous un support continu pour les projets à Austin après le lancement ? | H2: Nous Servons Également | H2: En Savoir Plus | H2: Prêt à Créer Quelque Chose d'Extraordinaire ?</t>
        </is>
      </c>
      <c r="M60" t="n">
        <v>15</v>
      </c>
      <c r="N60" t="n">
        <v>6</v>
      </c>
      <c r="O60" t="inlineStr">
        <is>
          <t>Commercial (local)</t>
        </is>
      </c>
      <c r="P60" t="inlineStr">
        <is>
          <t>index, follow; HTTP 200</t>
        </is>
      </c>
      <c r="Q60" t="inlineStr">
        <is>
          <t>https://codesommet.com/web-development-company/austin</t>
        </is>
      </c>
      <c r="R60" t="inlineStr">
        <is>
          <t>self</t>
        </is>
      </c>
      <c r="S60" t="n">
        <v>2172</v>
      </c>
      <c r="T60" t="n">
        <v>32</v>
      </c>
      <c r="U60" t="n">
        <v>81</v>
      </c>
      <c r="V60" t="n">
        <v>12</v>
      </c>
      <c r="W60" t="n">
        <v>0</v>
      </c>
      <c r="X60" t="inlineStr">
        <is>
          <t>BreadcrumbList, FAQPage, Organization, WebSite</t>
        </is>
      </c>
      <c r="Y60" t="inlineStr">
        <is>
          <t>développement web austin [us]</t>
        </is>
      </c>
      <c r="Z60" s="5" t="inlineStr">
        <is>
          <t>Review: 32 headings</t>
        </is>
      </c>
    </row>
    <row r="61">
      <c r="A61" t="inlineStr">
        <is>
          <t>P059</t>
        </is>
      </c>
      <c r="B61" s="3" t="inlineStr">
        <is>
          <t>https://codesommet.com/web-development-company/seattle</t>
        </is>
      </c>
      <c r="C61" s="5" t="inlineStr">
        <is>
          <t>Développement Web à Seattle, États-Unis : des sites web qui génèrent Tableaux de Bord SaaS</t>
        </is>
      </c>
      <c r="D61" t="inlineStr">
        <is>
          <t>Location page</t>
        </is>
      </c>
      <c r="E61" t="inlineStr">
        <is>
          <t>fr</t>
        </is>
      </c>
      <c r="F61" t="inlineStr">
        <is>
          <t>United States (city page)</t>
        </is>
      </c>
      <c r="G61" s="5" t="inlineStr">
        <is>
          <t>Développement Web à Seattle, États-Unis | CodeSommet</t>
        </is>
      </c>
      <c r="H61" t="n">
        <v>514</v>
      </c>
      <c r="I61" s="5" t="inlineStr">
        <is>
          <t>Développement à distance pour les entreprises de Seattle : sites web performants, tableaux de bord SaaS et SEO technique par l'équipe CodeSommet.</t>
        </is>
      </c>
      <c r="J61" t="n">
        <v>145</v>
      </c>
      <c r="K61" s="5" t="inlineStr">
        <is>
          <t>Développement Web à Seattle, États-Unis : des sites web qui génèrent Tableaux de Bord SaaS</t>
        </is>
      </c>
      <c r="L61" s="5" t="inlineStr">
        <is>
          <t xml:space="preserve">H2: Pourquoi Choisir CodeSommet in Seattle ? | H3: Experts en IA | H3: Spécialistes Dashboard &amp; SaaS | H3: Axé Génération de Prospects | H3: Rapidité Startup | H3: Spécialistes Sectoriels | H3: Stack Technologique Moderne | H2: Au service des entreprises à Seattle | H2: Seattle Nos Secteurs de Spécialisation | H2: Histoires de réussite à Seattle | H2: Comment Nous Avons Construit un Tableau de Bord Entreprise Conçu pour un Usage Quotidien à Grande Échelle | H2: Solutions sur mesure, tarification transparente | H3: Développement Web | H3: Forfait | H2: Prêt à améliorer votre site web ? Seattle ? | H2: CodeSommet Seattle vs Others | H2: Ce que nos clients de Seattle disent de nous | H2: Comment démarrer en 3 étapes simples | H3: Choisissez votre formule | H3: Envoyez votre demande | H3: Suivez notre livraison | H2: Questions fréquemment posées sur le Développement Web à Seattle | H3: Pourquoi choisir CodeSommet parmi les nombreuses agences de développement web de Seattle ? | H3: Travaillez-vous avec les startups et entreprises early-stage de Seattle ? | H3: Quelles technologies utilisez-vous pour les projets ? Seattle ? | H3: Pouvez-vous vous intégrer aux systèmes existants utilisés par les entreprises de Seattle ? | H3: Comment fonctionne le modèle de révisions illimitées pour les clients de Seattle ? | H3: Fournissez-vous un support continu après le lancement pour les entreprises de Seattle ? | H2: Nous Desservons Également | H2: Explorer davantage | H2: Prêt à Créer Quelque </t>
        </is>
      </c>
      <c r="M61" t="n">
        <v>15</v>
      </c>
      <c r="N61" t="n">
        <v>6</v>
      </c>
      <c r="O61" t="inlineStr">
        <is>
          <t>Commercial (local)</t>
        </is>
      </c>
      <c r="P61" t="inlineStr">
        <is>
          <t>index, follow; HTTP 200</t>
        </is>
      </c>
      <c r="Q61" t="inlineStr">
        <is>
          <t>https://codesommet.com/web-development-company/seattle</t>
        </is>
      </c>
      <c r="R61" t="inlineStr">
        <is>
          <t>self</t>
        </is>
      </c>
      <c r="S61" t="n">
        <v>2112</v>
      </c>
      <c r="T61" t="n">
        <v>32</v>
      </c>
      <c r="U61" t="n">
        <v>81</v>
      </c>
      <c r="V61" t="n">
        <v>12</v>
      </c>
      <c r="W61" t="n">
        <v>0</v>
      </c>
      <c r="X61" t="inlineStr">
        <is>
          <t>BreadcrumbList, FAQPage, Organization, WebSite</t>
        </is>
      </c>
      <c r="Y61" t="inlineStr">
        <is>
          <t>développement web seattle [us]</t>
        </is>
      </c>
      <c r="Z61" s="5" t="inlineStr">
        <is>
          <t>Review: 32 headings</t>
        </is>
      </c>
    </row>
    <row r="62">
      <c r="A62" t="inlineStr">
        <is>
          <t>P060</t>
        </is>
      </c>
      <c r="B62" s="3" t="inlineStr">
        <is>
          <t>https://codesommet.com/web-development-company/boston</t>
        </is>
      </c>
      <c r="C62" s="5" t="inlineStr">
        <is>
          <t>Développement Web à Boston, États-Unis : des sites web qui génèrent Plateformes EdTech</t>
        </is>
      </c>
      <c r="D62" t="inlineStr">
        <is>
          <t>Location page</t>
        </is>
      </c>
      <c r="E62" t="inlineStr">
        <is>
          <t>fr</t>
        </is>
      </c>
      <c r="F62" t="inlineStr">
        <is>
          <t>United States (city page)</t>
        </is>
      </c>
      <c r="G62" s="5" t="inlineStr">
        <is>
          <t>Développement Web à Boston, États-Unis | CodeSommet</t>
        </is>
      </c>
      <c r="H62" t="n">
        <v>514</v>
      </c>
      <c r="I62" s="5" t="inlineStr">
        <is>
          <t>Plateformes EdTech, santé et sites web sur mesure pour les organisations de Boston, développés à distance par l'équipe CodeSommet.</t>
        </is>
      </c>
      <c r="J62" t="n">
        <v>130</v>
      </c>
      <c r="K62" s="5" t="inlineStr">
        <is>
          <t>Développement Web à Boston, États-Unis : des sites web qui génèrent Plateformes EdTech</t>
        </is>
      </c>
      <c r="L62" s="5" t="inlineStr">
        <is>
          <t>H2: Pourquoi Choisir CodeSommet à Boston ? | H3: Experts en IA | H3: Spécialistes Dashboard &amp; SaaS | H3: Axé Génération de Prospects | H3: Rapidité Startup | H3: Spécialistes Sectoriels | H3: Stack Technologique Moderne | H2: Au service des entreprises à Boston | H2: Boston Nos Secteurs de Spécialisation | H2: Histoires de Succès de Boston | H2: Comment Nous Avons Construit un Portail Patient Conforme HIPAA avec Prise de Rendez-vous en Ligne | H2: Solutions Personnalisées, Tarification Transparente | H3: Développement Web | H3: Forfait Mensuel | H2: Prêt à Améliorer Votre Site Web à Boston ? | H2: CodeSommet Boston vs Autres | H2: Quoi Boston Nos Clients Disent de Nous | H2: Comment démarrer en 3 étapes simples | H3: Choisissez votre formule | H3: Envoyez votre demande | H3: Suivez notre livraison | H2: Questions Fréquemment Posées Sur le Développement Web à Boston | H3: Pourquoi choisir CodeSommet plutôt que les nombreuses agences de développement web de Boston ? | H3: Travaillez-vous avec les startups de Boston et les entreprises en phase de démarrage ? | H3: Quelles technologies utilisez-vous pour les projets à Boston ? | H3: Pouvez-vous intégrer les systèmes existants utilisés par les entreprises de Boston ? | H3: Comment fonctionne le modèle de révisions illimitées pour les clients de Boston ? | H3: Fournissez-vous un support continu après le lancement pour les entreprises de Boston ? | H2: Nous Servons Également | H2: En Savoir Plus | H2: Prêt à Créer Quelque Chose d'Ex</t>
        </is>
      </c>
      <c r="M62" t="n">
        <v>15</v>
      </c>
      <c r="N62" t="n">
        <v>6</v>
      </c>
      <c r="O62" t="inlineStr">
        <is>
          <t>Commercial (local)</t>
        </is>
      </c>
      <c r="P62" t="inlineStr">
        <is>
          <t>index, follow; HTTP 200</t>
        </is>
      </c>
      <c r="Q62" t="inlineStr">
        <is>
          <t>https://codesommet.com/web-development-company/boston</t>
        </is>
      </c>
      <c r="R62" t="inlineStr">
        <is>
          <t>self</t>
        </is>
      </c>
      <c r="S62" t="n">
        <v>2165</v>
      </c>
      <c r="T62" t="n">
        <v>32</v>
      </c>
      <c r="U62" t="n">
        <v>81</v>
      </c>
      <c r="V62" t="n">
        <v>12</v>
      </c>
      <c r="W62" t="n">
        <v>0</v>
      </c>
      <c r="X62" t="inlineStr">
        <is>
          <t>BreadcrumbList, FAQPage, Organization, WebSite</t>
        </is>
      </c>
      <c r="Y62" t="inlineStr">
        <is>
          <t>développement web boston [us]</t>
        </is>
      </c>
      <c r="Z62" s="5" t="inlineStr">
        <is>
          <t>Review: 32 headings</t>
        </is>
      </c>
    </row>
    <row r="63">
      <c r="A63" t="inlineStr">
        <is>
          <t>P061</t>
        </is>
      </c>
      <c r="B63" s="3" t="inlineStr">
        <is>
          <t>https://codesommet.com/web-development-company/chicago</t>
        </is>
      </c>
      <c r="C63" s="5" t="inlineStr">
        <is>
          <t>Développement Web à Chicago, États-Unis : des sites web qui génèrent Tableaux de Bord SaaS</t>
        </is>
      </c>
      <c r="D63" t="inlineStr">
        <is>
          <t>Location page</t>
        </is>
      </c>
      <c r="E63" t="inlineStr">
        <is>
          <t>fr</t>
        </is>
      </c>
      <c r="F63" t="inlineStr">
        <is>
          <t>United States (city page)</t>
        </is>
      </c>
      <c r="G63" s="5" t="inlineStr">
        <is>
          <t>Développement Web à Chicago, États-Unis | CodeSommet</t>
        </is>
      </c>
      <c r="H63" t="n">
        <v>524</v>
      </c>
      <c r="I63" s="5" t="inlineStr">
        <is>
          <t>À Chicago, appuyez-vous sur CodeSommet pour vos tableaux de bord métier, sites corporate et boutiques en ligne développés sur mesure.</t>
        </is>
      </c>
      <c r="J63" t="n">
        <v>133</v>
      </c>
      <c r="K63" s="5" t="inlineStr">
        <is>
          <t>Développement Web à Chicago, États-Unis : des sites web qui génèrent Tableaux de Bord SaaS</t>
        </is>
      </c>
      <c r="L63" s="5" t="inlineStr">
        <is>
          <t>H2: Pourquoi Choisir CodeSommet à Chicago ? | H3: Experts en IA | H3: Spécialistes Dashboard &amp; SaaS | H3: Axé Génération de Prospects | H3: Rapidité Startup | H3: Spécialistes Sectoriels | H3: Stack Technologique Moderne | H2: Au service des entreprises à Chicago | H2: Chicago Nos Secteurs de Spécialisation | H2: Histoires de Succès de Chicago | H2: Comment Nous Avons Construit un Tableau de Bord de Trading Traitant 2 Milliards $ de Volume Quotidien | H2: Solutions Personnalisées, Tarification Transparente | H3: Développement Web | H3: Forfait Mensuel | H2: Prêt à Améliorer Votre Site Web à Chicago ? | H2: CodeSommet Chicago vs Autres | H2: Quoi Chicago Nos Clients Disent de Nous | H2: Comment démarrer en 3 étapes simples | H3: Choisissez votre formule | H3: Envoyez votre demande | H3: Suivez notre livraison | H2: Questions Fréquemment Posées Sur le Développement Web à Chicago | H3: Pourquoi choisir CodeSommet plutôt que les nombreuses agences de développement web de Chicago ? | H3: Travaillez-vous avec les startups de Chicago et les entreprises en phase de démarrage ? | H3: Quelles technologies utilisez-vous pour les projets à Chicago ? | H3: Pouvez-vous intégrer les systèmes existants utilisés par les entreprises de Chicago ? | H3: Comment fonctionne le modèle de révisions illimitées pour les clients de Chicago ? | H3: Fournissez-vous un support continu après le lancement à Chicago ? | H2: Nous Servons Également | H2: En Savoir Plus | H2: Prêt à Créer Quelque Chose d'Extrao</t>
        </is>
      </c>
      <c r="M63" t="n">
        <v>15</v>
      </c>
      <c r="N63" t="n">
        <v>6</v>
      </c>
      <c r="O63" t="inlineStr">
        <is>
          <t>Commercial (local)</t>
        </is>
      </c>
      <c r="P63" t="inlineStr">
        <is>
          <t>index, follow; HTTP 200</t>
        </is>
      </c>
      <c r="Q63" t="inlineStr">
        <is>
          <t>https://codesommet.com/web-development-company/chicago</t>
        </is>
      </c>
      <c r="R63" t="inlineStr">
        <is>
          <t>self</t>
        </is>
      </c>
      <c r="S63" t="n">
        <v>2165</v>
      </c>
      <c r="T63" t="n">
        <v>32</v>
      </c>
      <c r="U63" t="n">
        <v>81</v>
      </c>
      <c r="V63" t="n">
        <v>12</v>
      </c>
      <c r="W63" t="n">
        <v>0</v>
      </c>
      <c r="X63" t="inlineStr">
        <is>
          <t>BreadcrumbList, FAQPage, Organization, WebSite</t>
        </is>
      </c>
      <c r="Y63" t="inlineStr">
        <is>
          <t>développement web chicago [us]</t>
        </is>
      </c>
      <c r="Z63" s="5" t="inlineStr">
        <is>
          <t>Review: 32 headings</t>
        </is>
      </c>
    </row>
    <row r="64">
      <c r="A64" t="inlineStr">
        <is>
          <t>P062</t>
        </is>
      </c>
      <c r="B64" s="3" t="inlineStr">
        <is>
          <t>https://codesommet.com/web-development-company/denver</t>
        </is>
      </c>
      <c r="C64" s="5" t="inlineStr">
        <is>
          <t>Développement Web à Denver, États-Unis : des sites web qui génèrent Tableaux de Bord SaaS</t>
        </is>
      </c>
      <c r="D64" t="inlineStr">
        <is>
          <t>Location page</t>
        </is>
      </c>
      <c r="E64" t="inlineStr">
        <is>
          <t>fr</t>
        </is>
      </c>
      <c r="F64" t="inlineStr">
        <is>
          <t>United States (city page)</t>
        </is>
      </c>
      <c r="G64" s="5" t="inlineStr">
        <is>
          <t>Développement Web à Denver, États-Unis | CodeSommet</t>
        </is>
      </c>
      <c r="H64" t="n">
        <v>516</v>
      </c>
      <c r="I64" s="5" t="inlineStr">
        <is>
          <t>Sites web modernes et tableaux de bord SaaS pour les entreprises de Denver : conception, développement et SEO à distance par CodeSommet.</t>
        </is>
      </c>
      <c r="J64" t="n">
        <v>136</v>
      </c>
      <c r="K64" s="5" t="inlineStr">
        <is>
          <t>Développement Web à Denver, États-Unis : des sites web qui génèrent Tableaux de Bord SaaS</t>
        </is>
      </c>
      <c r="L64" s="5" t="inlineStr">
        <is>
          <t>H2: Pourquoi Choisir CodeSommet à Denver ? | H3: Experts en IA | H3: Spécialistes Dashboard &amp; SaaS | H3: Axé Génération de Prospects | H3: Rapidité Startup | H3: Spécialistes Sectoriels | H3: Stack Technologique Moderne | H2: Au service des entreprises à Denver | H2: Denver Nos Secteurs de Spécialisation | H2: Histoires de Succès de Denver | H2: Comment Nous Concevons des Plateformes SaaS et des Tableaux de Bord pour les Équipes à Distance | H2: Solutions Personnalisées, Tarification Transparente | H3: Développement Web | H3: Forfait Mensuel | H2: Prêt à Améliorer Votre Site Web à Denver ? | H2: CodeSommet Denver vs Autres | H2: Quoi Denver Nos Clients Disent de Nous | H2: Comment démarrer en 3 étapes simples | H3: Choisissez votre formule | H3: Envoyez votre demande | H3: Suivez notre livraison | H2: Questions Fréquemment Posées Sur le Développement Web à Denver | H3: Pourquoi choisir CodeSommet plutôt que les nombreuses agences de développement web de Denver ? | H3: Travaillez-vous avec les startups de Denver et les entreprises en phase de démarrage ? | H3: Quelles technologies utilisez-vous pour les projets à Denver ? | H3: Pouvez-vous intégrer les systèmes existants utilisés par les entreprises de Denver ? | H3: Comment fonctionne votre modèle de révisions illimitées à Denver ? | H3: Fournissez-vous un support continu après le lancement à Denver ? | H2: Nous Servons Également | H2: En Savoir Plus | H2: Prêt à Créer Quelque Chose d'Extraordinaire ?</t>
        </is>
      </c>
      <c r="M64" t="n">
        <v>15</v>
      </c>
      <c r="N64" t="n">
        <v>6</v>
      </c>
      <c r="O64" t="inlineStr">
        <is>
          <t>Commercial (local)</t>
        </is>
      </c>
      <c r="P64" t="inlineStr">
        <is>
          <t>index, follow; HTTP 200</t>
        </is>
      </c>
      <c r="Q64" t="inlineStr">
        <is>
          <t>https://codesommet.com/web-development-company/denver</t>
        </is>
      </c>
      <c r="R64" t="inlineStr">
        <is>
          <t>self</t>
        </is>
      </c>
      <c r="S64" t="n">
        <v>2160</v>
      </c>
      <c r="T64" t="n">
        <v>32</v>
      </c>
      <c r="U64" t="n">
        <v>81</v>
      </c>
      <c r="V64" t="n">
        <v>12</v>
      </c>
      <c r="W64" t="n">
        <v>0</v>
      </c>
      <c r="X64" t="inlineStr">
        <is>
          <t>BreadcrumbList, FAQPage, Organization, WebSite</t>
        </is>
      </c>
      <c r="Y64" t="inlineStr">
        <is>
          <t>développement web denver [us]</t>
        </is>
      </c>
      <c r="Z64" s="5" t="inlineStr">
        <is>
          <t>Review: 32 headings</t>
        </is>
      </c>
    </row>
    <row r="65">
      <c r="A65" t="inlineStr">
        <is>
          <t>P063</t>
        </is>
      </c>
      <c r="B65" s="3" t="inlineStr">
        <is>
          <t>https://codesommet.com/web-development-company/toronto</t>
        </is>
      </c>
      <c r="C65" s="5" t="inlineStr">
        <is>
          <t>Développement Web à Toronto, Canada : des sites web qui génèrent Tableaux de Bord SaaS</t>
        </is>
      </c>
      <c r="D65" t="inlineStr">
        <is>
          <t>Location page</t>
        </is>
      </c>
      <c r="E65" t="inlineStr">
        <is>
          <t>fr</t>
        </is>
      </c>
      <c r="F65" t="inlineStr">
        <is>
          <t>Canada (city page)</t>
        </is>
      </c>
      <c r="G65" s="5" t="inlineStr">
        <is>
          <t>Développement Web à Toronto, Canada | CodeSommet</t>
        </is>
      </c>
      <c r="H65" t="n">
        <v>498</v>
      </c>
      <c r="I65" s="5" t="inlineStr">
        <is>
          <t>Développement web pour les entreprises de Toronto : sites sur mesure, tableaux de bord SaaS et e-commerce, livrés à distance par CodeSommet.</t>
        </is>
      </c>
      <c r="J65" t="n">
        <v>140</v>
      </c>
      <c r="K65" s="5" t="inlineStr">
        <is>
          <t>Développement Web à Toronto, Canada : des sites web qui génèrent Tableaux de Bord SaaS</t>
        </is>
      </c>
      <c r="L65" s="5" t="inlineStr">
        <is>
          <t>H2: Pourquoi Choisir CodeSommet in Toronto ? | H3: Experts en IA | H3: Spécialistes Dashboard &amp; SaaS | H3: Axé Génération de Prospects | H3: Rapidité Startup | H3: Spécialistes Sectoriels | H3: Stack Technologique Moderne | H2: Au service des entreprises à Toronto | H2: Toronto Nos Secteurs de Spécialisation | H2: Histoires de réussite à Toronto | H2: Comment Nous Avons Construit une Plateforme de Shopping IA Traitant 500M CAD de Volume Brut Annuel | H2: Solutions sur mesure, tarification transparente | H3: Développement Web | H3: Forfait | H2: Prêt à améliorer votre site web ? Toronto ? | H2: CodeSommet Toronto vs Others | H2: Ce que nos clients de Toronto disent de nous | H2: Comment démarrer en 3 étapes simples | H3: Choisissez votre formule | H3: Envoyez votre demande | H3: Suivez notre livraison | H2: Questions fréquemment posées sur le Développement Web à Toronto | H3: Pourquoi choisir CodeSommet parmi les nombreuses agences de développement web de Toronto ? | H3: Travaillez-vous avec les startups et entreprises early-stage de Toronto ? | H3: Quelles technologies utilisez-vous pour les projets ? Toronto ? | H3: Pouvez-vous vous intégrer aux systèmes existants utilisés par les entreprises de Toronto ? | H3: Comment fonctionne le modèle de révisions illimitées pour les clients de Toronto ? | H3: Fournissez-vous un support continu après le lancement à Toronto ? | H2: Nous Desservons Également | H2: Explorer davantage | H2: Prêt à Créer Quelque Chose d'Extraordinaire ?</t>
        </is>
      </c>
      <c r="M65" t="n">
        <v>15</v>
      </c>
      <c r="N65" t="n">
        <v>6</v>
      </c>
      <c r="O65" t="inlineStr">
        <is>
          <t>Commercial (local)</t>
        </is>
      </c>
      <c r="P65" t="inlineStr">
        <is>
          <t>index, follow; HTTP 200</t>
        </is>
      </c>
      <c r="Q65" t="inlineStr">
        <is>
          <t>https://codesommet.com/web-development-company/toronto</t>
        </is>
      </c>
      <c r="R65" t="inlineStr">
        <is>
          <t>self</t>
        </is>
      </c>
      <c r="S65" t="n">
        <v>2040</v>
      </c>
      <c r="T65" t="n">
        <v>32</v>
      </c>
      <c r="U65" t="n">
        <v>80</v>
      </c>
      <c r="V65" t="n">
        <v>12</v>
      </c>
      <c r="W65" t="n">
        <v>0</v>
      </c>
      <c r="X65" t="inlineStr">
        <is>
          <t>BreadcrumbList, FAQPage, Organization, WebSite</t>
        </is>
      </c>
      <c r="Y65" t="inlineStr">
        <is>
          <t>développement web toronto [ca]</t>
        </is>
      </c>
      <c r="Z65" s="5" t="inlineStr">
        <is>
          <t>Review: 32 headings</t>
        </is>
      </c>
    </row>
    <row r="66">
      <c r="A66" t="inlineStr">
        <is>
          <t>P064</t>
        </is>
      </c>
      <c r="B66" s="3" t="inlineStr">
        <is>
          <t>https://codesommet.com/web-development-company/vancouver</t>
        </is>
      </c>
      <c r="C66" s="5" t="inlineStr">
        <is>
          <t>Développement Web à Vancouver, Canada : des sites web qui génèrent Tableaux de Bord SaaS</t>
        </is>
      </c>
      <c r="D66" t="inlineStr">
        <is>
          <t>Location page</t>
        </is>
      </c>
      <c r="E66" t="inlineStr">
        <is>
          <t>fr</t>
        </is>
      </c>
      <c r="F66" t="inlineStr">
        <is>
          <t>Canada (city page)</t>
        </is>
      </c>
      <c r="G66" s="5" t="inlineStr">
        <is>
          <t>Développement Web à Vancouver, Canada | CodeSommet</t>
        </is>
      </c>
      <c r="H66" t="n">
        <v>524</v>
      </c>
      <c r="I66" s="5" t="inlineStr">
        <is>
          <t>Création de sites web et tableaux de bord SaaS pour les entreprises de Vancouver : développement sur mesure à distance par l'agence CodeSommet.</t>
        </is>
      </c>
      <c r="J66" t="n">
        <v>143</v>
      </c>
      <c r="K66" s="5" t="inlineStr">
        <is>
          <t>Développement Web à Vancouver, Canada : des sites web qui génèrent Tableaux de Bord SaaS</t>
        </is>
      </c>
      <c r="L66" s="5" t="inlineStr">
        <is>
          <t>H2: Pourquoi Choisir CodeSommet in Vancouver ? | H3: Experts en IA | H3: Spécialistes Dashboard &amp; SaaS | H3: Axé Génération de Prospects | H3: Rapidité Startup | H3: Spécialistes Sectoriels | H3: Stack Technologique Moderne | H2: Au service des entreprises à Vancouver | H2: Vancouver Nos Secteurs de Spécialisation | H2: Histoires de réussite à Vancouver | H2: Comment Nous Concevons des Plateformes Web Sur Mesure pour les Entreprises de Vancouver | H2: Solutions sur mesure, tarification transparente | H3: Développement Web | H3: Forfait | H2: Prêt à améliorer votre site web ? Vancouver ? | H2: CodeSommet Vancouver vs Others | H2: Ce que nos clients de Vancouver disent de nous | H2: Comment démarrer en 3 étapes simples | H3: Choisissez votre formule | H3: Envoyez votre demande | H3: Suivez notre livraison | H2: Questions fréquemment posées sur le Développement Web à Vancouver | H3: Pourquoi choisir CodeSommet parmi les nombreuses agences de développement web de Vancouver ? | H3: Travaillez-vous avec les startups et entreprises early-stage de Vancouver ? | H3: Quelles technologies utilisez-vous pour les projets ? Vancouver ? | H3: Pouvez-vous vous intégrer aux systèmes existants utilisés par les entreprises de Vancouver ? | H3: Comment fonctionne le modèle de révisions illimitées pour les clients de Vancouver ? | H3: Fournissez-vous un support continu pour les entreprises de Vancouver après le lancement ? | H2: Nous Desservons Également | H2: Explorer davantage | H2: Prêt à Crée</t>
        </is>
      </c>
      <c r="M66" t="n">
        <v>15</v>
      </c>
      <c r="N66" t="n">
        <v>6</v>
      </c>
      <c r="O66" t="inlineStr">
        <is>
          <t>Commercial (local)</t>
        </is>
      </c>
      <c r="P66" t="inlineStr">
        <is>
          <t>index, follow; HTTP 200</t>
        </is>
      </c>
      <c r="Q66" t="inlineStr">
        <is>
          <t>https://codesommet.com/web-development-company/vancouver</t>
        </is>
      </c>
      <c r="R66" t="inlineStr">
        <is>
          <t>self</t>
        </is>
      </c>
      <c r="S66" t="n">
        <v>2056</v>
      </c>
      <c r="T66" t="n">
        <v>32</v>
      </c>
      <c r="U66" t="n">
        <v>80</v>
      </c>
      <c r="V66" t="n">
        <v>12</v>
      </c>
      <c r="W66" t="n">
        <v>0</v>
      </c>
      <c r="X66" t="inlineStr">
        <is>
          <t>BreadcrumbList, FAQPage, Organization, WebSite</t>
        </is>
      </c>
      <c r="Y66" t="inlineStr">
        <is>
          <t>développement web vancouver [ca]</t>
        </is>
      </c>
      <c r="Z66" s="5" t="inlineStr">
        <is>
          <t>Review: 32 headings</t>
        </is>
      </c>
    </row>
    <row r="67">
      <c r="A67" t="inlineStr">
        <is>
          <t>P065</t>
        </is>
      </c>
      <c r="B67" s="3" t="inlineStr">
        <is>
          <t>https://codesommet.com/web-development-company/tunis</t>
        </is>
      </c>
      <c r="C67" s="5" t="inlineStr">
        <is>
          <t>Développement Web à Tunis, Tunisie : des sites web qui génèrent CROISSANCE COMMERCIALE À T</t>
        </is>
      </c>
      <c r="D67" t="inlineStr">
        <is>
          <t>Location page</t>
        </is>
      </c>
      <c r="E67" t="inlineStr">
        <is>
          <t>fr</t>
        </is>
      </c>
      <c r="F67" t="inlineStr">
        <is>
          <t>Tunisia (city page)</t>
        </is>
      </c>
      <c r="G67" s="5" t="inlineStr">
        <is>
          <t>Développement Web à Tunis, Tunisie | CodeSommet</t>
        </is>
      </c>
      <c r="H67" t="n">
        <v>471</v>
      </c>
      <c r="I67" s="5" t="inlineStr">
        <is>
          <t>Développement web pour les entreprises de Tunis : sites modernes, e-commerce et plateformes sur mesure, réalisés par CodeSommet, agence basée au Maroc.</t>
        </is>
      </c>
      <c r="J67" t="n">
        <v>151</v>
      </c>
      <c r="K67" s="5" t="inlineStr">
        <is>
          <t>Développement Web à Tunis, Tunisie : des sites web qui génèrent CROISSANCE COMMERCIALE À TUNIS</t>
        </is>
      </c>
      <c r="L67" s="5" t="inlineStr">
        <is>
          <t>H2: Pourquoi Choisir CodeSommet in Tunis ? | H3: Experts en IA | H3: Spécialistes Dashboard &amp; SaaS | H3: Axé Génération de Prospects | H3: Service Complet de Bout en Bout | H3: Spécialistes Sectoriels | H3: Stack Technologique Moderne | H2: Au service des entreprises à Tunis | H2: Tunis Nos Secteurs de Spécialisation | H2: Histoires de réussite à Tunis | H2: Comment Nous Concevons des Plateformes Immobilières Sur Mesure pour les Entreprises de Tunis | H2: Solutions sur mesure, tarification transparente | H3: Développement Web | H3: Forfait | H2: Prêt à Améliorer Votre Site Web à Tunis ? | H2: CodeSommet Tunis vs Others | H2: Ce que nos clients de Tunis disent de nous | H2: Comment démarrer en 3 étapes simples | H3: Choisissez votre formule | H3: Envoyez votre demande | H3: Suivez notre livraison | H2: Questions fréquemment posées sur le Développement Web à Tunis | H3: Avez-vous un bureau physique à Tunis ? | H3: Pouvez-vous travailler avec les entreprises de Tunis à distance ? | H3: Quels modes de paiement acceptez-vous à Tunis ? | H3: Comprenez-vous les lois de conformité et de protection des données en Tunisie ? | H3: En combien de temps pouvez-vous lancer un site web pour mon entreprise à Tunis ? | H3: Pouvez-vous aider avec l'enregistrement de domaine ? | H2: Nous Desservons Également | H2: Explorer davantage | H2: Prêt à Créer Quelque Chose d'Extraordinaire ?</t>
        </is>
      </c>
      <c r="M67" t="n">
        <v>15</v>
      </c>
      <c r="N67" t="n">
        <v>6</v>
      </c>
      <c r="O67" t="inlineStr">
        <is>
          <t>Commercial (local)</t>
        </is>
      </c>
      <c r="P67" t="inlineStr">
        <is>
          <t>index, follow; HTTP 200</t>
        </is>
      </c>
      <c r="Q67" t="inlineStr">
        <is>
          <t>https://codesommet.com/web-development-company/tunis</t>
        </is>
      </c>
      <c r="R67" t="inlineStr">
        <is>
          <t>self</t>
        </is>
      </c>
      <c r="S67" t="n">
        <v>2087</v>
      </c>
      <c r="T67" t="n">
        <v>32</v>
      </c>
      <c r="U67" t="n">
        <v>77</v>
      </c>
      <c r="V67" t="n">
        <v>12</v>
      </c>
      <c r="W67" t="n">
        <v>0</v>
      </c>
      <c r="X67" t="inlineStr">
        <is>
          <t>BreadcrumbList, FAQPage, Organization, WebSite</t>
        </is>
      </c>
      <c r="Y67" t="inlineStr">
        <is>
          <t>développement web tunis [tn]</t>
        </is>
      </c>
      <c r="Z67" s="5" t="inlineStr">
        <is>
          <t>Review: 32 headings</t>
        </is>
      </c>
    </row>
    <row r="68">
      <c r="A68" t="inlineStr">
        <is>
          <t>P066</t>
        </is>
      </c>
      <c r="B68" s="3" t="inlineStr">
        <is>
          <t>https://codesommet.com/web-development-company/cairo</t>
        </is>
      </c>
      <c r="C68" s="5" t="inlineStr">
        <is>
          <t>Développement Web au Caire, Égypte : des sites web qui génèrent CROISSANCE DES ENTREPRISES</t>
        </is>
      </c>
      <c r="D68" t="inlineStr">
        <is>
          <t>Location page</t>
        </is>
      </c>
      <c r="E68" t="inlineStr">
        <is>
          <t>fr</t>
        </is>
      </c>
      <c r="F68" t="inlineStr">
        <is>
          <t>Egypt (city page)</t>
        </is>
      </c>
      <c r="G68" s="5" t="inlineStr">
        <is>
          <t>Développement Web au Caire, Égypte | CodeSommet</t>
        </is>
      </c>
      <c r="H68" t="n">
        <v>480</v>
      </c>
      <c r="I68" s="5" t="inlineStr">
        <is>
          <t>Du Caire, collaborez à distance avec CodeSommet : conception de sites, plateformes e-commerce et référencement pour les entreprises égyptiennes.</t>
        </is>
      </c>
      <c r="J68" t="n">
        <v>144</v>
      </c>
      <c r="K68" s="5" t="inlineStr">
        <is>
          <t>Développement Web au Caire, Égypte : des sites web qui génèrent CROISSANCE DES ENTREPRISES AU CAIRE</t>
        </is>
      </c>
      <c r="L68" s="5" t="inlineStr">
        <is>
          <t>H2: Pourquoi Choisir CodeSommet à Le Caire ? | H3: Experts en IA | H3: Spécialistes Dashboard &amp; SaaS | H3: Axé Génération de Prospects | H3: Service Complet de Bout en Bout | H3: Spécialistes Sectoriels | H3: Stack Technologique Moderne | H2: Au service des entreprises du Caire | H2: Le Caire Nos Secteurs de Spécialisation | H2: Histoires de Succès de Le Caire | H2: Ce Que Nous Construisons pour les Plateformes Immobilières et de Gestion de Prospects au Caire | H2: Solutions Personnalisées, Tarification Transparente | H3: Développement Web | H3: Forfait Mensuel | H2: Prêt à Améliorer Votre Site Web au Caire ? | H2: CodeSommet Le Caire vs Autres | H2: Quoi Le Caire Nos Clients Disent de Nous | H2: Comment démarrer en 3 étapes simples | H3: Choisissez votre formule | H3: Envoyez votre demande | H3: Suivez notre livraison | H2: Questions Fréquemment Posées Sur le Développement Web à Le Caire | H3: Avez-vous un bureau physique au Le Caire ? | H3: Pouvez-vous travailler avec les entreprises du Caire à distance ? | H3: Quels modes de paiement acceptez-vous au Caire ? | H3: Comprenez-vous les lois de conformité et de protection des données en Égypte ? | H3: À quelle vitesse pouvez-vous lancer un site web pour mon entreprise au Caire ? | H3: Pouvez-vous aider avec l'enregistrement de domaine .eg ? | H2: Nous Servons Également | H2: En Savoir Plus | H2: Prêt à Créer Quelque Chose d'Extraordinaire ?</t>
        </is>
      </c>
      <c r="M68" t="n">
        <v>15</v>
      </c>
      <c r="N68" t="n">
        <v>6</v>
      </c>
      <c r="O68" t="inlineStr">
        <is>
          <t>Commercial (local)</t>
        </is>
      </c>
      <c r="P68" t="inlineStr">
        <is>
          <t>index, follow; HTTP 200</t>
        </is>
      </c>
      <c r="Q68" t="inlineStr">
        <is>
          <t>https://codesommet.com/web-development-company/cairo</t>
        </is>
      </c>
      <c r="R68" t="inlineStr">
        <is>
          <t>self</t>
        </is>
      </c>
      <c r="S68" t="n">
        <v>2170</v>
      </c>
      <c r="T68" t="n">
        <v>32</v>
      </c>
      <c r="U68" t="n">
        <v>78</v>
      </c>
      <c r="V68" t="n">
        <v>12</v>
      </c>
      <c r="W68" t="n">
        <v>0</v>
      </c>
      <c r="X68" t="inlineStr">
        <is>
          <t>BreadcrumbList, FAQPage, Organization, WebSite</t>
        </is>
      </c>
      <c r="Y68" t="inlineStr">
        <is>
          <t>développement web le caire [eg]</t>
        </is>
      </c>
      <c r="Z68" s="5" t="inlineStr">
        <is>
          <t>Review: 32 headings</t>
        </is>
      </c>
    </row>
    <row r="69">
      <c r="A69" t="inlineStr">
        <is>
          <t>P067</t>
        </is>
      </c>
      <c r="B69" s="3" t="inlineStr">
        <is>
          <t>https://codesommet.com/web-development-company/lagos</t>
        </is>
      </c>
      <c r="C69" s="5" t="inlineStr">
        <is>
          <t>Développement Web à Lagos, Nigeria : des sites web qui génèrent CROISSANCE COMMERCIALE À L</t>
        </is>
      </c>
      <c r="D69" t="inlineStr">
        <is>
          <t>Location page</t>
        </is>
      </c>
      <c r="E69" t="inlineStr">
        <is>
          <t>fr</t>
        </is>
      </c>
      <c r="F69" t="inlineStr">
        <is>
          <t>Nigeria (city page)</t>
        </is>
      </c>
      <c r="G69" s="5" t="inlineStr">
        <is>
          <t>Développement Web à Lagos, Nigeria | CodeSommet</t>
        </is>
      </c>
      <c r="H69" t="n">
        <v>476</v>
      </c>
      <c r="I69" s="5" t="inlineStr">
        <is>
          <t>CodeSommet développe pour les entreprises de Lagos des sites performants, boutiques en ligne et outils métier, avec collaboration à distance.</t>
        </is>
      </c>
      <c r="J69" t="n">
        <v>141</v>
      </c>
      <c r="K69" s="5" t="inlineStr">
        <is>
          <t>Développement Web à Lagos, Nigeria : des sites web qui génèrent CROISSANCE COMMERCIALE À LAGOS</t>
        </is>
      </c>
      <c r="L69" s="5" t="inlineStr">
        <is>
          <t>H2: Pourquoi Choisir CodeSommet à Lagos ? | H3: Experts en IA | H3: Spécialistes Dashboard &amp; SaaS | H3: Axé Génération de Prospects | H3: Service Complet de Bout en Bout | H3: Spécialistes Sectoriels | H3: Stack Technologique Moderne | H2: Au service des entreprises de Lagos | H2: Lagos Nos Secteurs de Spécialisation | H2: Histoires de réussite à Lagos | H2: Comment Nous Concevons des Portails Immobiliers Next.js Pensés pour le Marché de Lagos | H2: Solutions Sur Mesure, Tarification Transparente | H3: Développement de Sites Web | H3: Forfait Mensuel | H2: Prêt à Améliorer Votre Site Web à Lagos ? | H2: CodeSommet Lagos vs Autres | H2: Ce Que les Clients de Lagos Disent de Nous | H2: Comment démarrer en 3 étapes simples | H3: Choisissez votre formule | H3: Envoyez votre demande | H3: Suivez notre livraison | H2: Questions Fréquemment Posées sur le Développement Web à Lagos | H3: Avez-vous un bureau physique à Lagos ? | H3: Pouvez-vous travailler avec les entreprises de Lagos à distance ? | H3: Quels modes de paiement acceptez-vous à Lagos ? | H3: Comprenez-vous les lois de conformité et de protection des données du Nigeria ? | H3: À quelle vitesse pouvez-vous lancer un site web pour mon entreprise à Lagos ? | H3: Pouvez-vous aider avec l'enregistrement de domaine .ng ? | H2: Nous Desservons Aussi | H2: Explorer Plus | H2: Prêt à Créer Quelque Chose d'Extraordinaire ?</t>
        </is>
      </c>
      <c r="M69" t="n">
        <v>15</v>
      </c>
      <c r="N69" t="n">
        <v>6</v>
      </c>
      <c r="O69" t="inlineStr">
        <is>
          <t>Commercial (local)</t>
        </is>
      </c>
      <c r="P69" t="inlineStr">
        <is>
          <t>index, follow; HTTP 200</t>
        </is>
      </c>
      <c r="Q69" t="inlineStr">
        <is>
          <t>https://codesommet.com/web-development-company/lagos</t>
        </is>
      </c>
      <c r="R69" t="inlineStr">
        <is>
          <t>self</t>
        </is>
      </c>
      <c r="S69" t="n">
        <v>2151</v>
      </c>
      <c r="T69" t="n">
        <v>32</v>
      </c>
      <c r="U69" t="n">
        <v>77</v>
      </c>
      <c r="V69" t="n">
        <v>12</v>
      </c>
      <c r="W69" t="n">
        <v>0</v>
      </c>
      <c r="X69" t="inlineStr">
        <is>
          <t>BreadcrumbList, FAQPage, Organization, WebSite</t>
        </is>
      </c>
      <c r="Y69" t="inlineStr">
        <is>
          <t>développement web lagos [ng]</t>
        </is>
      </c>
      <c r="Z69" s="5" t="inlineStr">
        <is>
          <t>Review: 32 headings</t>
        </is>
      </c>
    </row>
    <row r="70">
      <c r="A70" t="inlineStr">
        <is>
          <t>P068</t>
        </is>
      </c>
      <c r="B70" s="3" t="inlineStr">
        <is>
          <t>https://codesommet.com/tools/ai-crawler-access-checker</t>
        </is>
      </c>
      <c r="C70" s="5" t="inlineStr">
        <is>
          <t>Accès des Robots d'IA : GPTBot, ClaudeBot</t>
        </is>
      </c>
      <c r="D70" t="inlineStr">
        <is>
          <t>Free tool</t>
        </is>
      </c>
      <c r="E70" t="inlineStr">
        <is>
          <t>fr</t>
        </is>
      </c>
      <c r="F70" t="inlineStr">
        <is>
          <t>Francophone (FR proxy) + Morocco</t>
        </is>
      </c>
      <c r="G70" s="5" t="inlineStr">
        <is>
          <t>Accès des Robots d'IA - GPTBot, ClaudeBot | CodeSommet</t>
        </is>
      </c>
      <c r="H70" t="n">
        <v>534</v>
      </c>
      <c r="I70" s="5" t="inlineStr">
        <is>
          <t>Vérifiez ce que votre robots.txt, vos balises meta et votre llms.txt autorisent pour GPTBot, ClaudeBot, PerplexityBot et 15 autres robots d'IA.</t>
        </is>
      </c>
      <c r="J70" t="n">
        <v>143</v>
      </c>
      <c r="K70" s="5" t="inlineStr">
        <is>
          <t>Accès des Robots d'IA : GPTBot, ClaudeBot</t>
        </is>
      </c>
      <c r="L70" s="5" t="inlineStr">
        <is>
          <t>H2: Robots d'IA | H2: Signaux de la page | H2: robots.txt prêt à copier | H2: Comment Utiliser Cet Outil | H2: Questions Fréquemment Posées | H3: Faut-il bloquer les robots d'IA ? | H3: Google-Extended bloque-t-il Google Search ? | H3: Qu'est-ce que llms.txt ? | H3: À quoi servent noai et max-snippet ? | H3: Un robot peut-il ignorer mon robots.txt ? | H3: Pourquoi le résultat diffère entre la page d'accueil et une autre page ? | H2: Outils Connexes Qui Pourraient Vous Intéresser | H2: Une Stratégie de Visibilité dans les Réponses IA ?</t>
        </is>
      </c>
      <c r="M70" t="n">
        <v>8</v>
      </c>
      <c r="N70" t="n">
        <v>6</v>
      </c>
      <c r="O70" t="inlineStr">
        <is>
          <t>Informational / tool use</t>
        </is>
      </c>
      <c r="P70" t="inlineStr">
        <is>
          <t>index, follow; HTTP 200</t>
        </is>
      </c>
      <c r="Q70" t="inlineStr">
        <is>
          <t>https://codesommet.com/tools/ai-crawler-access-checker</t>
        </is>
      </c>
      <c r="R70" t="inlineStr">
        <is>
          <t>self</t>
        </is>
      </c>
      <c r="S70" t="n">
        <v>669</v>
      </c>
      <c r="T70" t="n">
        <v>14</v>
      </c>
      <c r="U70" t="n">
        <v>60</v>
      </c>
      <c r="V70" t="n">
        <v>1</v>
      </c>
      <c r="W70" t="n">
        <v>0</v>
      </c>
      <c r="X70" t="inlineStr">
        <is>
          <t>Article, BreadcrumbList, Organization, WebApplication, WebSite</t>
        </is>
      </c>
      <c r="Y70" t="inlineStr">
        <is>
          <t>robots ia [fr]</t>
        </is>
      </c>
      <c r="Z70" s="5" t="inlineStr">
        <is>
          <t>OK</t>
        </is>
      </c>
    </row>
    <row r="71">
      <c r="A71" t="inlineStr">
        <is>
          <t>P069</t>
        </is>
      </c>
      <c r="B71" s="3" t="inlineStr">
        <is>
          <t>https://codesommet.com/tools/ai-readiness-checker</t>
        </is>
      </c>
      <c r="C71" s="5" t="inlineStr">
        <is>
          <t>Test de Préparation aux Moteurs IA (GEO)</t>
        </is>
      </c>
      <c r="D71" t="inlineStr">
        <is>
          <t>Free tool</t>
        </is>
      </c>
      <c r="E71" t="inlineStr">
        <is>
          <t>fr</t>
        </is>
      </c>
      <c r="F71" t="inlineStr">
        <is>
          <t>Francophone (FR proxy) + Morocco</t>
        </is>
      </c>
      <c r="G71" s="5" t="inlineStr">
        <is>
          <t>Test de Préparation aux Moteurs IA (GEO) | CodeSommet</t>
        </is>
      </c>
      <c r="H71" t="n">
        <v>522</v>
      </c>
      <c r="I71" s="5" t="inlineStr">
        <is>
          <t>Votre page peut-elle être citée par ChatGPT, Perplexity ou AI Overviews ? Accès des robots IA, noindex, texte sans JavaScript, schema, llms.txt.</t>
        </is>
      </c>
      <c r="J71" t="n">
        <v>144</v>
      </c>
      <c r="K71" s="5" t="inlineStr">
        <is>
          <t>Test de Préparation aux Moteurs IA (GEO)</t>
        </is>
      </c>
      <c r="L71" s="5" t="inlineStr">
        <is>
          <t>H2: Robots de recherche et d'assistants IA | H2: Comment Utiliser Cet Outil | H2: Questions Fréquemment Posées | H3: Pourquoi le texte sans JavaScript est-il si important ? | H3: nosnippet bloque-t-il les AI Overviews ? | H3: Faut-il bloquer GPTBot ou Google-Extended ? | H3: Le fichier llms.txt est-il obligatoire ? | H2: Outils Connexes Qui Pourraient Vous Intéresser | H2: Être Cité par les Moteurs IA ?</t>
        </is>
      </c>
      <c r="M71" t="n">
        <v>6</v>
      </c>
      <c r="N71" t="n">
        <v>4</v>
      </c>
      <c r="O71" t="inlineStr">
        <is>
          <t>Informational / tool use</t>
        </is>
      </c>
      <c r="P71" t="inlineStr">
        <is>
          <t>index, follow; HTTP 200</t>
        </is>
      </c>
      <c r="Q71" t="inlineStr">
        <is>
          <t>https://codesommet.com/tools/ai-readiness-checker</t>
        </is>
      </c>
      <c r="R71" t="inlineStr">
        <is>
          <t>self</t>
        </is>
      </c>
      <c r="S71" t="n">
        <v>568</v>
      </c>
      <c r="T71" t="n">
        <v>10</v>
      </c>
      <c r="U71" t="n">
        <v>61</v>
      </c>
      <c r="V71" t="n">
        <v>1</v>
      </c>
      <c r="W71" t="n">
        <v>0</v>
      </c>
      <c r="X71" t="inlineStr">
        <is>
          <t>Article, BreadcrumbList, Organization, WebApplication, WebSite</t>
        </is>
      </c>
      <c r="Y71" t="inlineStr">
        <is>
          <t>geo seo [fr]</t>
        </is>
      </c>
      <c r="Z71" s="5" t="inlineStr">
        <is>
          <t>OK</t>
        </is>
      </c>
    </row>
    <row r="72">
      <c r="A72" t="inlineStr">
        <is>
          <t>P070</t>
        </is>
      </c>
      <c r="B72" s="3" t="inlineStr">
        <is>
          <t>https://codesommet.com/tools/base64-encoder</t>
        </is>
      </c>
      <c r="C72" s="5" t="inlineStr">
        <is>
          <t>Encodeur/Décodeur Base64 en Ligne Gratuit</t>
        </is>
      </c>
      <c r="D72" t="inlineStr">
        <is>
          <t>Free tool</t>
        </is>
      </c>
      <c r="E72" t="inlineStr">
        <is>
          <t>fr</t>
        </is>
      </c>
      <c r="F72" t="inlineStr">
        <is>
          <t>Francophone (FR proxy) + Morocco</t>
        </is>
      </c>
      <c r="G72" s="5" t="inlineStr">
        <is>
          <t>Encodeur/Décodeur Base64 en Ligne Gratuit | CodeSommet</t>
        </is>
      </c>
      <c r="H72" t="n">
        <v>538</v>
      </c>
      <c r="I72" s="5" t="inlineStr">
        <is>
          <t>Encodez et décodez du texte ou des fichiers en Base64 instantanément, directement dans votre navigateur. Outil gratuit et sans inscription.</t>
        </is>
      </c>
      <c r="J72" t="n">
        <v>139</v>
      </c>
      <c r="K72" s="5" t="inlineStr">
        <is>
          <t>Encodeur/Décodeur Base64 en Ligne Gratuit</t>
        </is>
      </c>
      <c r="L72" s="5" t="inlineStr">
        <is>
          <t>H2: Qu'est-ce que l'Encodage Base64 ? | H2: Questions Fréquemment Posées | H3: Qu'est-ce que l'encodage Base64 et pourquoi est-il utilisé ? | H3: L'encodage Base64 est-il une forme de chiffrement ou sécurisé ? | H3: Pourquoi l'encodage Base64 augmente-t-il la taille des fichiers ? | H3: Quand dois-je utiliser l'encodage Base64 pour les images ? | H3: Qu'est-ce que l'encodage Base64 sécurisé pour les URL ? | H3: L'encodage Base64 peut-il corrompre mes données ? | H3: Quels sont les cas d'utilisation courants du Base64 en développement web ? | H2: Outils Connexes Qui Pourraient Vous Intéresser | H2: Besoin d'un Outil Personnalisé pour Votre Entreprise ?</t>
        </is>
      </c>
      <c r="M72" t="n">
        <v>5</v>
      </c>
      <c r="N72" t="n">
        <v>7</v>
      </c>
      <c r="O72" t="inlineStr">
        <is>
          <t>Informational / tool use</t>
        </is>
      </c>
      <c r="P72" t="inlineStr">
        <is>
          <t>index, follow; HTTP 200</t>
        </is>
      </c>
      <c r="Q72" t="inlineStr">
        <is>
          <t>https://codesommet.com/tools/base64-encoder</t>
        </is>
      </c>
      <c r="R72" t="inlineStr">
        <is>
          <t>self</t>
        </is>
      </c>
      <c r="S72" t="n">
        <v>927</v>
      </c>
      <c r="T72" t="n">
        <v>12</v>
      </c>
      <c r="U72" t="n">
        <v>61</v>
      </c>
      <c r="V72" t="n">
        <v>1</v>
      </c>
      <c r="W72" t="n">
        <v>0</v>
      </c>
      <c r="X72" t="inlineStr">
        <is>
          <t>Article, BreadcrumbList, Organization, WebApplication, WebSite</t>
        </is>
      </c>
      <c r="Y72" t="inlineStr">
        <is>
          <t>base64 decode [fr]</t>
        </is>
      </c>
      <c r="Z72" s="5" t="inlineStr">
        <is>
          <t>OK</t>
        </is>
      </c>
    </row>
    <row r="73">
      <c r="A73" t="inlineStr">
        <is>
          <t>P071</t>
        </is>
      </c>
      <c r="B73" s="3" t="inlineStr">
        <is>
          <t>https://codesommet.com/tools/blog-title-generator</t>
        </is>
      </c>
      <c r="C73" s="5" t="inlineStr">
        <is>
          <t>Générateur de Titres de Blog IA Gratuit</t>
        </is>
      </c>
      <c r="D73" t="inlineStr">
        <is>
          <t>Free tool</t>
        </is>
      </c>
      <c r="E73" t="inlineStr">
        <is>
          <t>fr</t>
        </is>
      </c>
      <c r="F73" t="inlineStr">
        <is>
          <t>Francophone (FR proxy) + Morocco</t>
        </is>
      </c>
      <c r="G73" s="5" t="inlineStr">
        <is>
          <t>Générateur de Titres de Blog IA Gratuit | CodeSommet</t>
        </is>
      </c>
      <c r="H73" t="n">
        <v>490</v>
      </c>
      <c r="I73" s="5" t="inlineStr">
        <is>
          <t>Générez 10 titres de blog avec l'IA, avec score SEO, estimation de CTR et accroches émotionnelles. Outil gratuit pour créateurs et marketeurs.</t>
        </is>
      </c>
      <c r="J73" t="n">
        <v>142</v>
      </c>
      <c r="K73" s="5" t="inlineStr">
        <is>
          <t>Générateur de Titres de Blog IA Gratuit</t>
        </is>
      </c>
      <c r="L73" s="5" t="inlineStr">
        <is>
          <t>H2: Entrez Votre Sujet | H3: Comment ça Fonctionne | H3: Bonnes Pratiques pour les Titres de Blog | H2: Questions Fréquemment Posées | H3: Qu'est-ce qui fait un bon titre de blog ? | H3: Comment fonctionne le score SEO ? | H3: Que sont les accroches émotionnelles et pourquoi sont-elles importantes ? | H3: Quelle est la précision de l'estimation du CTR ? | H3: Que sont les mots puissants et lesquels fonctionnent le mieux ? | H3: Pourquoi y a-t-il une limite de caractères pour les titres de blog ? | H3: Comment choisir le meilleur titre parmi les 10 options générées ? | H2: Outils Connexes Qui Pourraient Vous Intéresser | H2: Besoin d'un Outil Personnalisé pour Votre Entreprise ?</t>
        </is>
      </c>
      <c r="M73" t="n">
        <v>5</v>
      </c>
      <c r="N73" t="n">
        <v>7</v>
      </c>
      <c r="O73" t="inlineStr">
        <is>
          <t>Informational / tool use</t>
        </is>
      </c>
      <c r="P73" t="inlineStr">
        <is>
          <t>index, follow; HTTP 200</t>
        </is>
      </c>
      <c r="Q73" t="inlineStr">
        <is>
          <t>https://codesommet.com/tools/blog-title-generator</t>
        </is>
      </c>
      <c r="R73" t="inlineStr">
        <is>
          <t>self</t>
        </is>
      </c>
      <c r="S73" t="n">
        <v>936</v>
      </c>
      <c r="T73" t="n">
        <v>17</v>
      </c>
      <c r="U73" t="n">
        <v>60</v>
      </c>
      <c r="V73" t="n">
        <v>1</v>
      </c>
      <c r="W73" t="n">
        <v>0</v>
      </c>
      <c r="X73" t="inlineStr">
        <is>
          <t>Article, BreadcrumbList, Organization, WebApplication, WebSite</t>
        </is>
      </c>
      <c r="Y73" t="inlineStr">
        <is>
          <t>générateur de titre [fr]</t>
        </is>
      </c>
      <c r="Z73" s="5" t="inlineStr">
        <is>
          <t>OK</t>
        </is>
      </c>
    </row>
    <row r="74">
      <c r="A74" t="inlineStr">
        <is>
          <t>P072</t>
        </is>
      </c>
      <c r="B74" s="3" t="inlineStr">
        <is>
          <t>https://codesommet.com/tools/bot-viewer</t>
        </is>
      </c>
      <c r="C74" s="5" t="inlineStr">
        <is>
          <t>Bot Viewer : Votre Page Vue par Googlebot</t>
        </is>
      </c>
      <c r="D74" t="inlineStr">
        <is>
          <t>Free tool</t>
        </is>
      </c>
      <c r="E74" t="inlineStr">
        <is>
          <t>fr</t>
        </is>
      </c>
      <c r="F74" t="inlineStr">
        <is>
          <t>Francophone (FR proxy) + Morocco</t>
        </is>
      </c>
      <c r="G74" s="5" t="inlineStr">
        <is>
          <t>Bot Viewer - Votre Page Vue par Googlebot | CodeSommet</t>
        </is>
      </c>
      <c r="H74" t="n">
        <v>528</v>
      </c>
      <c r="I74" s="5" t="inlineStr">
        <is>
          <t>Chargez une page comme Googlebot, Bingbot, GPTBot ou ClaudeBot et comparez avec un navigateur : statut, redirections, contenu, cloaking. Gratuit.</t>
        </is>
      </c>
      <c r="J74" t="n">
        <v>145</v>
      </c>
      <c r="K74" s="5" t="inlineStr">
        <is>
          <t>Bot Viewer : Votre Page Vue par Googlebot</t>
        </is>
      </c>
      <c r="L74" s="5" t="inlineStr">
        <is>
          <t>H2: Comparaison | H2: Texte reçu par chaque robot | H2: Comment Utiliser Cet Outil | H2: Questions Fréquemment Posées | H3: Qu'est-ce que le cloaking ? | H3: Mon site renvoie 403 ou 503 à Googlebot : est-ce grave ? | H3: Les robots exécutent-ils le JavaScript ? | H3: Pourquoi le navigateur de référence est-il Chrome sur Windows ? | H3: Que signifie « texte légèrement différent » ? | H3: L'outil se fait-il passer pour Google ? | H2: Outils Connexes Qui Pourraient Vous Intéresser | H2: Un Pare-feu Qui Bloque les Moteurs ?</t>
        </is>
      </c>
      <c r="M74" t="n">
        <v>7</v>
      </c>
      <c r="N74" t="n">
        <v>6</v>
      </c>
      <c r="O74" t="inlineStr">
        <is>
          <t>Informational / tool use</t>
        </is>
      </c>
      <c r="P74" t="inlineStr">
        <is>
          <t>index, follow; HTTP 200</t>
        </is>
      </c>
      <c r="Q74" t="inlineStr">
        <is>
          <t>https://codesommet.com/tools/bot-viewer</t>
        </is>
      </c>
      <c r="R74" t="inlineStr">
        <is>
          <t>self</t>
        </is>
      </c>
      <c r="S74" t="n">
        <v>641</v>
      </c>
      <c r="T74" t="n">
        <v>13</v>
      </c>
      <c r="U74" t="n">
        <v>60</v>
      </c>
      <c r="V74" t="n">
        <v>1</v>
      </c>
      <c r="W74" t="n">
        <v>0</v>
      </c>
      <c r="X74" t="inlineStr">
        <is>
          <t>Article, BreadcrumbList, Organization, WebApplication, WebSite</t>
        </is>
      </c>
      <c r="Y74" t="inlineStr">
        <is>
          <t>googlebot [fr]</t>
        </is>
      </c>
      <c r="Z74" s="5" t="inlineStr">
        <is>
          <t>OK</t>
        </is>
      </c>
    </row>
    <row r="75">
      <c r="A75" t="inlineStr">
        <is>
          <t>P073</t>
        </is>
      </c>
      <c r="B75" s="3" t="inlineStr">
        <is>
          <t>https://codesommet.com/tools/broken-link-checker</t>
        </is>
      </c>
      <c r="C75" s="5" t="inlineStr">
        <is>
          <t>Vérificateur de Liens Brisés Gratuit</t>
        </is>
      </c>
      <c r="D75" t="inlineStr">
        <is>
          <t>Free tool</t>
        </is>
      </c>
      <c r="E75" t="inlineStr">
        <is>
          <t>fr</t>
        </is>
      </c>
      <c r="F75" t="inlineStr">
        <is>
          <t>Francophone (FR proxy) + Morocco</t>
        </is>
      </c>
      <c r="G75" s="5" t="inlineStr">
        <is>
          <t>Vérificateur de Liens Brisés Gratuit | CodeSommet</t>
        </is>
      </c>
      <c r="H75" t="n">
        <v>449</v>
      </c>
      <c r="I75" s="5" t="inlineStr">
        <is>
          <t>Détectez les liens brisés et les erreurs 404 de votre site en un clic. Rapport clair pour corriger vos URL mortes et préserver votre SEO.</t>
        </is>
      </c>
      <c r="J75" t="n">
        <v>137</v>
      </c>
      <c r="K75" s="5" t="inlineStr">
        <is>
          <t>Vérificateur de Liens Brisés Gratuit</t>
        </is>
      </c>
      <c r="L75" s="5" t="inlineStr">
        <is>
          <t>H2: Vérifier les liens de tout le site | H2: Questions Fréquemment Posées | H3: Que sont les liens brisés et pourquoi nuisent-ils au SEO ? | H3: À quelle fréquence dois-je vérifier les liens brisés sur mon site ? | H3: Quelle est la différence entre les liens brisés internes et externes ? | H3: Comment corriger les erreurs 404 trouvées par cet outil ? | H3: Que sont les chaînes de redirection et pourquoi les corriger ? | H3: Puis-je automatiser la surveillance des liens brisés ? | H3: Les liens brisés affectent-ils mon classement Google ? | H2: Outils Connexes Qui Pourraient Vous Intéresser | H2: Besoin d'un Outil Personnalisé pour Votre Entreprise ?</t>
        </is>
      </c>
      <c r="M75" t="n">
        <v>5</v>
      </c>
      <c r="N75" t="n">
        <v>7</v>
      </c>
      <c r="O75" t="inlineStr">
        <is>
          <t>Informational / tool use</t>
        </is>
      </c>
      <c r="P75" t="inlineStr">
        <is>
          <t>index, follow; HTTP 200</t>
        </is>
      </c>
      <c r="Q75" t="inlineStr">
        <is>
          <t>https://codesommet.com/tools/broken-link-checker</t>
        </is>
      </c>
      <c r="R75" t="inlineStr">
        <is>
          <t>self</t>
        </is>
      </c>
      <c r="S75" t="n">
        <v>905</v>
      </c>
      <c r="T75" t="n">
        <v>12</v>
      </c>
      <c r="U75" t="n">
        <v>62</v>
      </c>
      <c r="V75" t="n">
        <v>1</v>
      </c>
      <c r="W75" t="n">
        <v>0</v>
      </c>
      <c r="X75" t="inlineStr">
        <is>
          <t>Article, BreadcrumbList, Organization, WebApplication, WebSite</t>
        </is>
      </c>
      <c r="Y75" t="inlineStr">
        <is>
          <t>broken link checker [fr]</t>
        </is>
      </c>
      <c r="Z75" s="5" t="inlineStr">
        <is>
          <t>OK</t>
        </is>
      </c>
    </row>
    <row r="76">
      <c r="A76" t="inlineStr">
        <is>
          <t>P074</t>
        </is>
      </c>
      <c r="B76" s="3" t="inlineStr">
        <is>
          <t>https://codesommet.com/tools/canonical-checker</t>
        </is>
      </c>
      <c r="C76" s="5" t="inlineStr">
        <is>
          <t>Vérificateur de Balise Canonical Gratuit</t>
        </is>
      </c>
      <c r="D76" t="inlineStr">
        <is>
          <t>Free tool</t>
        </is>
      </c>
      <c r="E76" t="inlineStr">
        <is>
          <t>fr</t>
        </is>
      </c>
      <c r="F76" t="inlineStr">
        <is>
          <t>Francophone (FR proxy) + Morocco</t>
        </is>
      </c>
      <c r="G76" s="5" t="inlineStr">
        <is>
          <t>Vérificateur de Balise Canonical Gratuit | CodeSommet</t>
        </is>
      </c>
      <c r="H76" t="n">
        <v>487</v>
      </c>
      <c r="I76" s="5" t="inlineStr">
        <is>
          <t>Vérifiez la balise canonical de n'importe quelle page : URL valide, problèmes détectés et risques de contenu dupliqué. Outil SEO gratuit.</t>
        </is>
      </c>
      <c r="J76" t="n">
        <v>137</v>
      </c>
      <c r="K76" s="5" t="inlineStr">
        <is>
          <t>Vérificateur de Balise Canonical Gratuit</t>
        </is>
      </c>
      <c r="L76" s="5" t="inlineStr">
        <is>
          <t>H2: Comment utiliser cet outil | H2: Questions Fréquemment Posées | H3: Qu'est-ce qu'une URL canonical et pourquoi est-ce important ? | H3: Qu'est-ce qu'une balise canonical auto-référente ? | H3: Quand utiliser des balises canonical inter-domaines ? | H3: Que se passe-t-il avec plusieurs balises canonical sur une page ? | H3: Les balises canonical peuvent-elles nuire au SEO si mal implémentées ? | H3: Comment Google gère les balises canonical vs les redirections 301 ? | H3: Quelles sont les erreurs d'URL canonical les plus courantes ? | H2: Outils Connexes Qui Pourraient Vous Intéresser | H2: Besoin d'un Outil Personnalisé pour Votre Entreprise ?</t>
        </is>
      </c>
      <c r="M76" t="n">
        <v>5</v>
      </c>
      <c r="N76" t="n">
        <v>7</v>
      </c>
      <c r="O76" t="inlineStr">
        <is>
          <t>Informational / tool use</t>
        </is>
      </c>
      <c r="P76" t="inlineStr">
        <is>
          <t>index, follow; HTTP 200</t>
        </is>
      </c>
      <c r="Q76" t="inlineStr">
        <is>
          <t>https://codesommet.com/tools/canonical-checker</t>
        </is>
      </c>
      <c r="R76" t="inlineStr">
        <is>
          <t>self</t>
        </is>
      </c>
      <c r="S76" t="n">
        <v>824</v>
      </c>
      <c r="T76" t="n">
        <v>12</v>
      </c>
      <c r="U76" t="n">
        <v>61</v>
      </c>
      <c r="V76" t="n">
        <v>1</v>
      </c>
      <c r="W76" t="n">
        <v>0</v>
      </c>
      <c r="X76" t="inlineStr">
        <is>
          <t>Article, BreadcrumbList, Organization, WebApplication, WebSite</t>
        </is>
      </c>
      <c r="Y76" t="inlineStr">
        <is>
          <t>url canonique [fr]</t>
        </is>
      </c>
      <c r="Z76" s="5" t="inlineStr">
        <is>
          <t>OK</t>
        </is>
      </c>
    </row>
    <row r="77">
      <c r="A77" t="inlineStr">
        <is>
          <t>P075</t>
        </is>
      </c>
      <c r="B77" s="3" t="inlineStr">
        <is>
          <t>https://codesommet.com/tools/chatbot-script-generator</t>
        </is>
      </c>
      <c r="C77" s="5" t="inlineStr">
        <is>
          <t>Générateur de Script Chatbot IA Gratuit</t>
        </is>
      </c>
      <c r="D77" t="inlineStr">
        <is>
          <t>Free tool</t>
        </is>
      </c>
      <c r="E77" t="inlineStr">
        <is>
          <t>fr</t>
        </is>
      </c>
      <c r="F77" t="inlineStr">
        <is>
          <t>Francophone (FR proxy) + Morocco</t>
        </is>
      </c>
      <c r="G77" s="5" t="inlineStr">
        <is>
          <t>Générateur de Script Chatbot IA Gratuit | CodeSommet</t>
        </is>
      </c>
      <c r="H77" t="n">
        <v>494</v>
      </c>
      <c r="I77" s="5" t="inlineStr">
        <is>
          <t>Générez avec l'IA des flux de conversation chatbot adaptés à votre secteur : support client, vente et FAQ. Outil gratuit, résultat instantané.</t>
        </is>
      </c>
      <c r="J77" t="n">
        <v>142</v>
      </c>
      <c r="K77" s="5" t="inlineStr">
        <is>
          <t>Générateur de Script Chatbot IA Gratuit</t>
        </is>
      </c>
      <c r="L77" s="5" t="inlineStr">
        <is>
          <t>H2: Questions Fréquemment Posées | H3: Qu'est-ce qu'un script de conversation chatbot et pourquoi en ai-je besoin ? | H3: Comment les flux de conversation et la logique de branchement améliorent-ils mon chatbot ? | H3: Qu'est-ce que la qualification de prospects et comment le chatbot la réalise-t-il ? | H3: Puis-je personnaliser le script pour mon industrie ? | H3: Quelles plateformes chatbot sont compatibles avec ces scripts ? | H3: Comment implémenter le script généré dans ma plateforme chatbot ? | H3: Comment tester et optimiser mon chatbot après l'implémentation ? | H2: Outils Connexes Qui Pourraient Vous Intéresser | H2: Besoin d'un Outil Personnalisé pour Votre Entreprise ?</t>
        </is>
      </c>
      <c r="M77" t="n">
        <v>4</v>
      </c>
      <c r="N77" t="n">
        <v>7</v>
      </c>
      <c r="O77" t="inlineStr">
        <is>
          <t>Informational / tool use</t>
        </is>
      </c>
      <c r="P77" t="inlineStr">
        <is>
          <t>index, follow; HTTP 200</t>
        </is>
      </c>
      <c r="Q77" t="inlineStr">
        <is>
          <t>https://codesommet.com/tools/chatbot-script-generator</t>
        </is>
      </c>
      <c r="R77" t="inlineStr">
        <is>
          <t>self</t>
        </is>
      </c>
      <c r="S77" t="n">
        <v>909</v>
      </c>
      <c r="T77" t="n">
        <v>11</v>
      </c>
      <c r="U77" t="n">
        <v>61</v>
      </c>
      <c r="V77" t="n">
        <v>1</v>
      </c>
      <c r="W77" t="n">
        <v>0</v>
      </c>
      <c r="X77" t="inlineStr">
        <is>
          <t>Article, BreadcrumbList, Organization, WebApplication, WebSite</t>
        </is>
      </c>
      <c r="Y77" t="inlineStr">
        <is>
          <t>créer un chatbot [fr]</t>
        </is>
      </c>
      <c r="Z77" s="5" t="inlineStr">
        <is>
          <t>OK</t>
        </is>
      </c>
    </row>
    <row r="78">
      <c r="A78" t="inlineStr">
        <is>
          <t>P076</t>
        </is>
      </c>
      <c r="B78" s="3" t="inlineStr">
        <is>
          <t>https://codesommet.com/tools/color-palette-generator</t>
        </is>
      </c>
      <c r="C78" s="5" t="inlineStr">
        <is>
          <t>Générateur de Palette de Couleurs Gratuit</t>
        </is>
      </c>
      <c r="D78" t="inlineStr">
        <is>
          <t>Free tool</t>
        </is>
      </c>
      <c r="E78" t="inlineStr">
        <is>
          <t>fr</t>
        </is>
      </c>
      <c r="F78" t="inlineStr">
        <is>
          <t>Francophone (FR proxy) + Morocco</t>
        </is>
      </c>
      <c r="G78" s="5" t="inlineStr">
        <is>
          <t>Générateur de Palette de Couleurs Gratuit | CodeSommet</t>
        </is>
      </c>
      <c r="H78" t="n">
        <v>517</v>
      </c>
      <c r="I78" s="5" t="inlineStr">
        <is>
          <t>Extrayez une palette de couleurs harmonieuse depuis n'importe quelle image et récupérez les codes HEX prêts à l'emploi. Outil gratuit.</t>
        </is>
      </c>
      <c r="J78" t="n">
        <v>134</v>
      </c>
      <c r="K78" s="5" t="inlineStr">
        <is>
          <t>Générateur de Palette de Couleurs Gratuit</t>
        </is>
      </c>
      <c r="L78" s="5" t="inlineStr">
        <is>
          <t>H2: Questions Fréquemment Posées | H3: Comment l'IA extrait-elle les couleurs de mon image de marque ? | H3: Quelle est la différence entre les formats hex, RGB et HSL ? | H3: Que signifie la conformité WCAG AA pour ma palette ? | H3: Comment choisir les couleurs primaire, secondaire et accent ? | H3: Puis-je utiliser ces palettes pour l'impression ou seulement le web ? | H3: Que sont les règles d'harmonie des couleurs et pourquoi comptent-elles ? | H3: Comment tester ma palette avant de l'implémenter sur mon site ? | H2: Outils Connexes Qui Pourraient Vous Intéresser | H2: Besoin d'un Outil Personnalisé pour Votre Entreprise ?</t>
        </is>
      </c>
      <c r="M78" t="n">
        <v>4</v>
      </c>
      <c r="N78" t="n">
        <v>7</v>
      </c>
      <c r="O78" t="inlineStr">
        <is>
          <t>Informational / tool use</t>
        </is>
      </c>
      <c r="P78" t="inlineStr">
        <is>
          <t>index, follow; HTTP 200</t>
        </is>
      </c>
      <c r="Q78" t="inlineStr">
        <is>
          <t>https://codesommet.com/tools/color-palette-generator</t>
        </is>
      </c>
      <c r="R78" t="inlineStr">
        <is>
          <t>self</t>
        </is>
      </c>
      <c r="S78" t="n">
        <v>812</v>
      </c>
      <c r="T78" t="n">
        <v>11</v>
      </c>
      <c r="U78" t="n">
        <v>60</v>
      </c>
      <c r="V78" t="n">
        <v>1</v>
      </c>
      <c r="W78" t="n">
        <v>0</v>
      </c>
      <c r="X78" t="inlineStr">
        <is>
          <t>Article, BreadcrumbList, Organization, WebApplication, WebSite</t>
        </is>
      </c>
      <c r="Y78" t="inlineStr">
        <is>
          <t>palette de couleurs [fr]</t>
        </is>
      </c>
      <c r="Z78" s="5" t="inlineStr">
        <is>
          <t>OK</t>
        </is>
      </c>
    </row>
    <row r="79">
      <c r="A79" t="inlineStr">
        <is>
          <t>P077</t>
        </is>
      </c>
      <c r="B79" s="3" t="inlineStr">
        <is>
          <t>https://codesommet.com/tools/core-web-vitals-checker</t>
        </is>
      </c>
      <c r="C79" s="5" t="inlineStr">
        <is>
          <t>Test Core Web Vitals Gratuit : LCP, INP, CLS</t>
        </is>
      </c>
      <c r="D79" t="inlineStr">
        <is>
          <t>Free tool</t>
        </is>
      </c>
      <c r="E79" t="inlineStr">
        <is>
          <t>fr</t>
        </is>
      </c>
      <c r="F79" t="inlineStr">
        <is>
          <t>Francophone (FR proxy) + Morocco</t>
        </is>
      </c>
      <c r="G79" s="5" t="inlineStr">
        <is>
          <t>Test Core Web Vitals Gratuit - LCP, INP, CLS | CodeSommet</t>
        </is>
      </c>
      <c r="H79" t="n">
        <v>547</v>
      </c>
      <c r="I79" s="5" t="inlineStr">
        <is>
          <t>Mesurez les Core Web Vitals de votre site (LCP, INP, CLS) sur mobile et desktop, avec des recommandations concrètes pour mieux vous classer.</t>
        </is>
      </c>
      <c r="J79" t="n">
        <v>140</v>
      </c>
      <c r="K79" s="5" t="inlineStr">
        <is>
          <t>Test Core Web Vitals Gratuit : LCP, INP, CLS</t>
        </is>
      </c>
      <c r="L79" s="5" t="inlineStr">
        <is>
          <t>H2: Questions Fréquemment Posées | H3: Que sont les Core Web Vitals et pourquoi sont-ils importants pour le SEO ? | H3: Quelle est la différence entre les Core Web Vitals mobile et desktop ? | H3: Qu'est-ce que l'INP et pourquoi a-t-il remplacé le FID ? | H3: Comment améliorer mon score LCP (Largest Contentful Paint) ? | H3: Qu'est-ce qui cause de mauvais scores CLS ? | H3: À quelle fréquence vérifier mes Core Web Vitals ? | H3: Qu'est-ce qu'un bon score global de Core Web Vitals ? | H2: Besoin d'un Outil Personnalisé pour Votre Entreprise ?</t>
        </is>
      </c>
      <c r="M79" t="n">
        <v>3</v>
      </c>
      <c r="N79" t="n">
        <v>7</v>
      </c>
      <c r="O79" t="inlineStr">
        <is>
          <t>Informational / tool use</t>
        </is>
      </c>
      <c r="P79" t="inlineStr">
        <is>
          <t>index, follow; HTTP 200</t>
        </is>
      </c>
      <c r="Q79" t="inlineStr">
        <is>
          <t>https://codesommet.com/tools/core-web-vitals-checker</t>
        </is>
      </c>
      <c r="R79" t="inlineStr">
        <is>
          <t>self</t>
        </is>
      </c>
      <c r="S79" t="n">
        <v>894</v>
      </c>
      <c r="T79" t="n">
        <v>10</v>
      </c>
      <c r="U79" t="n">
        <v>60</v>
      </c>
      <c r="V79" t="n">
        <v>1</v>
      </c>
      <c r="W79" t="n">
        <v>0</v>
      </c>
      <c r="X79" t="inlineStr">
        <is>
          <t>Article, BreadcrumbList, Organization, WebApplication, WebSite</t>
        </is>
      </c>
      <c r="Y79" t="inlineStr">
        <is>
          <t>test core web vitals [fr]</t>
        </is>
      </c>
      <c r="Z79" s="5" t="inlineStr">
        <is>
          <t>OK</t>
        </is>
      </c>
    </row>
    <row r="80">
      <c r="A80" t="inlineStr">
        <is>
          <t>P078</t>
        </is>
      </c>
      <c r="B80" s="3" t="inlineStr">
        <is>
          <t>https://codesommet.com/tools/crawl-optimization-checker</t>
        </is>
      </c>
      <c r="C80" s="5" t="inlineStr">
        <is>
          <t>Test d'Optimisation du Budget de Crawl</t>
        </is>
      </c>
      <c r="D80" t="inlineStr">
        <is>
          <t>Free tool</t>
        </is>
      </c>
      <c r="E80" t="inlineStr">
        <is>
          <t>fr</t>
        </is>
      </c>
      <c r="F80" t="inlineStr">
        <is>
          <t>Francophone (FR proxy) + Morocco</t>
        </is>
      </c>
      <c r="G80" s="5" t="inlineStr">
        <is>
          <t>Test d'Optimisation du Budget de Crawl | CodeSommet</t>
        </is>
      </c>
      <c r="H80" t="n">
        <v>491</v>
      </c>
      <c r="I80" s="5" t="inlineStr">
        <is>
          <t>Explorez jusqu'à 50 pages comme un robot : liens vers erreurs, redirections ou noindex, pages profondes, URL à paramètres, titres dupliqués.</t>
        </is>
      </c>
      <c r="J80" t="n">
        <v>140</v>
      </c>
      <c r="K80" s="5" t="inlineStr">
        <is>
          <t>Test d'Optimisation du Budget de Crawl</t>
        </is>
      </c>
      <c r="L80" s="5" t="inlineStr">
        <is>
          <t>H2: Comment Utiliser Cet Outil | H2: Questions Fréquemment Posées | H3: Le budget de crawl concerne-t-il les petits sites ? | H3: Pourquoi corriger les liens qui pointent vers une redirection ? | H3: Quelle différence avec le visualiseur de crawl ? | H3: Mon site a plus de 50 pages, l'analyse est-elle complète ? | H2: Outils Connexes Qui Pourraient Vous Intéresser | H2: Une Structure de Site à Remettre à Plat ?</t>
        </is>
      </c>
      <c r="M80" t="n">
        <v>5</v>
      </c>
      <c r="N80" t="n">
        <v>4</v>
      </c>
      <c r="O80" t="inlineStr">
        <is>
          <t>Informational / tool use</t>
        </is>
      </c>
      <c r="P80" t="inlineStr">
        <is>
          <t>index, follow; HTTP 200</t>
        </is>
      </c>
      <c r="Q80" t="inlineStr">
        <is>
          <t>https://codesommet.com/tools/crawl-optimization-checker</t>
        </is>
      </c>
      <c r="R80" t="inlineStr">
        <is>
          <t>self</t>
        </is>
      </c>
      <c r="S80" t="n">
        <v>563</v>
      </c>
      <c r="T80" t="n">
        <v>9</v>
      </c>
      <c r="U80" t="n">
        <v>60</v>
      </c>
      <c r="V80" t="n">
        <v>1</v>
      </c>
      <c r="W80" t="n">
        <v>0</v>
      </c>
      <c r="X80" t="inlineStr">
        <is>
          <t>Article, BreadcrumbList, Organization, WebApplication, WebSite</t>
        </is>
      </c>
      <c r="Y80" t="inlineStr">
        <is>
          <t>crawl budget [fr]</t>
        </is>
      </c>
      <c r="Z80" s="5" t="inlineStr">
        <is>
          <t>OK</t>
        </is>
      </c>
    </row>
    <row r="81">
      <c r="A81" t="inlineStr">
        <is>
          <t>P079</t>
        </is>
      </c>
      <c r="B81" s="3" t="inlineStr">
        <is>
          <t>https://codesommet.com/tools/crawl-visualizer</t>
        </is>
      </c>
      <c r="C81" s="5" t="inlineStr">
        <is>
          <t>Visualiseur de Crawl : Carte des Liens Internes</t>
        </is>
      </c>
      <c r="D81" t="inlineStr">
        <is>
          <t>Free tool</t>
        </is>
      </c>
      <c r="E81" t="inlineStr">
        <is>
          <t>fr</t>
        </is>
      </c>
      <c r="F81" t="inlineStr">
        <is>
          <t>Francophone (FR proxy) + Morocco</t>
        </is>
      </c>
      <c r="G81" s="5" t="inlineStr">
        <is>
          <t>Visualiseur de Crawl - Carte des Liens Internes | CodeSommet</t>
        </is>
      </c>
      <c r="H81" t="n">
        <v>557</v>
      </c>
      <c r="I81" s="5" t="inlineStr">
        <is>
          <t>Explorez jusqu'à 500 pages et visualisez votre maillage interne en graphe interactif : profondeur, pages orphelines, redirections, noindex.</t>
        </is>
      </c>
      <c r="J81" t="n">
        <v>139</v>
      </c>
      <c r="K81" s="5" t="inlineStr">
        <is>
          <t>Visualiseur de Crawl : Carte des Liens Internes</t>
        </is>
      </c>
      <c r="L81" s="5" t="inlineStr">
        <is>
          <t>H2: Pages explorées | H2: Comment Utiliser Cet Outil | H2: Questions Fréquemment Posées | H3: Que montre le graphe d'exploration ? | H3: Qu'est-ce que la profondeur de clic ? | H3: Comment l'outil repère-t-il les pages orphelines ? | H3: Pourquoi une page est-elle marquée « non indexable » ? | H3: L'exploration respecte-t-elle mon serveur ? | H3: Mon site affiche son contenu en JavaScript, est-ce un problème ? | H2: Outils Connexes Qui Pourraient Vous Intéresser | H2: Besoin d'une Refonte de Votre Architecture de Site ?</t>
        </is>
      </c>
      <c r="M81" t="n">
        <v>6</v>
      </c>
      <c r="N81" t="n">
        <v>6</v>
      </c>
      <c r="O81" t="inlineStr">
        <is>
          <t>Informational / tool use</t>
        </is>
      </c>
      <c r="P81" t="inlineStr">
        <is>
          <t>index, follow; HTTP 200</t>
        </is>
      </c>
      <c r="Q81" t="inlineStr">
        <is>
          <t>https://codesommet.com/tools/crawl-visualizer</t>
        </is>
      </c>
      <c r="R81" t="inlineStr">
        <is>
          <t>self</t>
        </is>
      </c>
      <c r="S81" t="n">
        <v>898</v>
      </c>
      <c r="T81" t="n">
        <v>12</v>
      </c>
      <c r="U81" t="n">
        <v>60</v>
      </c>
      <c r="V81" t="n">
        <v>1</v>
      </c>
      <c r="W81" t="n">
        <v>0</v>
      </c>
      <c r="X81" t="inlineStr">
        <is>
          <t>Article, BreadcrumbList, Organization, WebApplication, WebSite</t>
        </is>
      </c>
      <c r="Y81" t="inlineStr">
        <is>
          <t>visualisation crawl [fr]</t>
        </is>
      </c>
      <c r="Z81" s="5" t="inlineStr">
        <is>
          <t>OK</t>
        </is>
      </c>
    </row>
    <row r="82">
      <c r="A82" t="inlineStr">
        <is>
          <t>P080</t>
        </is>
      </c>
      <c r="B82" s="3" t="inlineStr">
        <is>
          <t>https://codesommet.com/tools/css-minifier</t>
        </is>
      </c>
      <c r="C82" s="5" t="inlineStr">
        <is>
          <t>Minificateur CSS : Compression de Code Gratuite</t>
        </is>
      </c>
      <c r="D82" t="inlineStr">
        <is>
          <t>Free tool</t>
        </is>
      </c>
      <c r="E82" t="inlineStr">
        <is>
          <t>fr</t>
        </is>
      </c>
      <c r="F82" t="inlineStr">
        <is>
          <t>Francophone (FR proxy) + Morocco</t>
        </is>
      </c>
      <c r="G82" s="5" t="inlineStr">
        <is>
          <t>Minificateur CSS - Compression de Code Gratuite | CodeSommet</t>
        </is>
      </c>
      <c r="H82" t="n">
        <v>582</v>
      </c>
      <c r="I82" s="5" t="inlineStr">
        <is>
          <t>Minifiez vos fichiers CSS en ligne pour réduire leur taille et accélérer le chargement : espaces, commentaires et code redondant supprimés. Gratuit.</t>
        </is>
      </c>
      <c r="J82" t="n">
        <v>148</v>
      </c>
      <c r="K82" s="5" t="inlineStr">
        <is>
          <t>Minificateur CSS : Compression de Code Gratuite</t>
        </is>
      </c>
      <c r="L82" s="5" t="inlineStr">
        <is>
          <t>H2: Comment Fonctionne la Minification CSS | H2: Bonnes Pratiques | H2: Questions Fréquemment Posées | H3: Que fait réellement la minification CSS ? | H3: Quelle réduction de taille puis-je attendre ? | H3: La minification CSS va-t-elle casser le style de mon site ? | H3: Dois-je utiliser le CSS minifié ou la compression Gzip ? | H3: Ai-je besoin de source maps avec le CSS minifié ? | H3: Comment intégrer la minification CSS dans mon processus de build ? | H3: Quand minifier le CSS et quand l'éviter ? | H2: Outils Connexes Qui Pourraient Vous Intéresser | H2: Besoin d'un Outil Personnalisé pour Votre Entreprise ?</t>
        </is>
      </c>
      <c r="M82" t="n">
        <v>6</v>
      </c>
      <c r="N82" t="n">
        <v>7</v>
      </c>
      <c r="O82" t="inlineStr">
        <is>
          <t>Informational / tool use</t>
        </is>
      </c>
      <c r="P82" t="inlineStr">
        <is>
          <t>index, follow; HTTP 200</t>
        </is>
      </c>
      <c r="Q82" t="inlineStr">
        <is>
          <t>https://codesommet.com/tools/css-minifier</t>
        </is>
      </c>
      <c r="R82" t="inlineStr">
        <is>
          <t>self</t>
        </is>
      </c>
      <c r="S82" t="n">
        <v>914</v>
      </c>
      <c r="T82" t="n">
        <v>13</v>
      </c>
      <c r="U82" t="n">
        <v>61</v>
      </c>
      <c r="V82" t="n">
        <v>1</v>
      </c>
      <c r="W82" t="n">
        <v>0</v>
      </c>
      <c r="X82" t="inlineStr">
        <is>
          <t>Article, BreadcrumbList, Organization, WebApplication, WebSite</t>
        </is>
      </c>
      <c r="Y82" t="inlineStr">
        <is>
          <t>minify css [fr]</t>
        </is>
      </c>
      <c r="Z82" s="5" t="inlineStr">
        <is>
          <t>Review: title 582px</t>
        </is>
      </c>
    </row>
    <row r="83">
      <c r="A83" t="inlineStr">
        <is>
          <t>P081</t>
        </is>
      </c>
      <c r="B83" s="3" t="inlineStr">
        <is>
          <t>https://codesommet.com/tools/domain-authority-checker</t>
        </is>
      </c>
      <c r="C83" s="5" t="inlineStr">
        <is>
          <t>Score de Fondations SEO Techniques Gratuit</t>
        </is>
      </c>
      <c r="D83" t="inlineStr">
        <is>
          <t>Free tool</t>
        </is>
      </c>
      <c r="E83" t="inlineStr">
        <is>
          <t>fr</t>
        </is>
      </c>
      <c r="F83" t="inlineStr">
        <is>
          <t>Francophone (FR proxy) + Morocco</t>
        </is>
      </c>
      <c r="G83" s="5" t="inlineStr">
        <is>
          <t>Score de Fondations SEO Techniques Gratuit | CodeSommet</t>
        </is>
      </c>
      <c r="H83" t="n">
        <v>546</v>
      </c>
      <c r="I83" s="5" t="inlineStr">
        <is>
          <t>Évaluez les fondations SEO techniques de votre domaine : HTTPS, SSL, sitemap.xml, robots.txt, redirection WWW. Score sur 100 et recommandations.</t>
        </is>
      </c>
      <c r="J83" t="n">
        <v>144</v>
      </c>
      <c r="K83" s="5" t="inlineStr">
        <is>
          <t>Score de Fondations SEO Techniques Gratuit</t>
        </is>
      </c>
      <c r="L83" s="5" t="inlineStr">
        <is>
          <t>H2: Questions Fréquemment Posées | H3: Qu'est-ce que le Score de Fondations SEO Techniques et pourquoi est-ce important ? | H3: Comment le Score de Fondations SEO Techniques est-il calculé ? | H3: Qu'est-ce qu'un bon Score de Fondations SEO Techniques ? | H3: Comment améliorer mon Score de Fondations SEO Techniques ? | H3: Ce score est-il un facteur de classement Google ? | H3: Quelle différence avec le Domain Authority (DA) et le Page Authority (PA) de Moz ? | H3: À quelle fréquence vérifier mes fondations SEO techniques ? | H3: Comment utiliser cet outil | H2: Outils Connexes Qui Pourraient Vous Intéresser | H2: Besoin d'un Outil Personnalisé pour Votre Entreprise ?</t>
        </is>
      </c>
      <c r="M83" t="n">
        <v>4</v>
      </c>
      <c r="N83" t="n">
        <v>7</v>
      </c>
      <c r="O83" t="inlineStr">
        <is>
          <t>Informational / tool use</t>
        </is>
      </c>
      <c r="P83" t="inlineStr">
        <is>
          <t>index, follow; HTTP 200</t>
        </is>
      </c>
      <c r="Q83" t="inlineStr">
        <is>
          <t>https://codesommet.com/tools/domain-authority-checker</t>
        </is>
      </c>
      <c r="R83" t="inlineStr">
        <is>
          <t>self</t>
        </is>
      </c>
      <c r="S83" t="n">
        <v>822</v>
      </c>
      <c r="T83" t="n">
        <v>12</v>
      </c>
      <c r="U83" t="n">
        <v>61</v>
      </c>
      <c r="V83" t="n">
        <v>1</v>
      </c>
      <c r="W83" t="n">
        <v>0</v>
      </c>
      <c r="X83" t="inlineStr">
        <is>
          <t>Article, BreadcrumbList, Organization, WebApplication, WebSite</t>
        </is>
      </c>
      <c r="Y83" t="inlineStr">
        <is>
          <t>audit seo technique [fr]</t>
        </is>
      </c>
      <c r="Z83" s="5" t="inlineStr">
        <is>
          <t>OK</t>
        </is>
      </c>
    </row>
    <row r="84">
      <c r="A84" t="inlineStr">
        <is>
          <t>P082</t>
        </is>
      </c>
      <c r="B84" s="3" t="inlineStr">
        <is>
          <t>https://codesommet.com/tools/domain-extractor</t>
        </is>
      </c>
      <c r="C84" s="5" t="inlineStr">
        <is>
          <t>Extracteur de Domaines d'une Liste d'URL</t>
        </is>
      </c>
      <c r="D84" t="inlineStr">
        <is>
          <t>Free tool</t>
        </is>
      </c>
      <c r="E84" t="inlineStr">
        <is>
          <t>fr</t>
        </is>
      </c>
      <c r="F84" t="inlineStr">
        <is>
          <t>Francophone (FR proxy) + Morocco</t>
        </is>
      </c>
      <c r="G84" s="5" t="inlineStr">
        <is>
          <t>Extracteur de Domaines d'une Liste d'URL | CodeSommet</t>
        </is>
      </c>
      <c r="H84" t="n">
        <v>516</v>
      </c>
      <c r="I84" s="5" t="inlineStr">
        <is>
          <t>Extrayez les domaines uniques d'une liste d'URL ou de backlinks, avec le nombre d'URL par domaine et les suffixes .co.ma ou .co.uk. 100 % local.</t>
        </is>
      </c>
      <c r="J84" t="n">
        <v>144</v>
      </c>
      <c r="K84" s="5" t="inlineStr">
        <is>
          <t>Extracteur de Domaines d'une Liste d'URL</t>
        </is>
      </c>
      <c r="L84" s="5" t="inlineStr">
        <is>
          <t>H2: URL par domaine | H2: Comment Utiliser Cet Outil | H2: Questions Fréquemment Posées | H3: Qu'est-ce que le domaine racine ? | H3: Quelles extensions à plusieurs niveaux sont reconnues ? | H3: À quoi cela sert-il en SEO ? | H3: Mes données sont-elles envoyées ? | H2: Outils Connexes Qui Pourraient Vous Intéresser | H2: Besoin d'un Audit de Votre Profil de Liens ?</t>
        </is>
      </c>
      <c r="M84" t="n">
        <v>6</v>
      </c>
      <c r="N84" t="n">
        <v>4</v>
      </c>
      <c r="O84" t="inlineStr">
        <is>
          <t>Informational / tool use</t>
        </is>
      </c>
      <c r="P84" t="inlineStr">
        <is>
          <t>index, follow; HTTP 200</t>
        </is>
      </c>
      <c r="Q84" t="inlineStr">
        <is>
          <t>https://codesommet.com/tools/domain-extractor</t>
        </is>
      </c>
      <c r="R84" t="inlineStr">
        <is>
          <t>self</t>
        </is>
      </c>
      <c r="S84" t="n">
        <v>445</v>
      </c>
      <c r="T84" t="n">
        <v>10</v>
      </c>
      <c r="U84" t="n">
        <v>60</v>
      </c>
      <c r="V84" t="n">
        <v>1</v>
      </c>
      <c r="W84" t="n">
        <v>0</v>
      </c>
      <c r="X84" t="inlineStr">
        <is>
          <t>Article, BreadcrumbList, Organization, WebApplication, WebSite</t>
        </is>
      </c>
      <c r="Y84" t="inlineStr">
        <is>
          <t>extraire domaine url [fr]</t>
        </is>
      </c>
      <c r="Z84" s="5" t="inlineStr">
        <is>
          <t>OK</t>
        </is>
      </c>
    </row>
    <row r="85">
      <c r="A85" t="inlineStr">
        <is>
          <t>P083</t>
        </is>
      </c>
      <c r="B85" s="3" t="inlineStr">
        <is>
          <t>https://codesommet.com/tools/domain-health-checker</t>
        </is>
      </c>
      <c r="C85" s="5" t="inlineStr">
        <is>
          <t>Santé de Domaine : Testeur DNS &amp; SSL Gratuit</t>
        </is>
      </c>
      <c r="D85" t="inlineStr">
        <is>
          <t>Free tool</t>
        </is>
      </c>
      <c r="E85" t="inlineStr">
        <is>
          <t>fr</t>
        </is>
      </c>
      <c r="F85" t="inlineStr">
        <is>
          <t>Francophone (FR proxy) + Morocco</t>
        </is>
      </c>
      <c r="G85" s="5" t="inlineStr">
        <is>
          <t>Santé de Domaine - Testeur DNS &amp; SSL Gratuit | CodeSommet</t>
        </is>
      </c>
      <c r="H85" t="n">
        <v>567</v>
      </c>
      <c r="I85" s="5" t="inlineStr">
        <is>
          <t>Contrôlez la santé d'un domaine : DNS, certificat SSL, temps de réponse serveur et configuration e-mail, dans un rapport unique et gratuit.</t>
        </is>
      </c>
      <c r="J85" t="n">
        <v>139</v>
      </c>
      <c r="K85" s="5" t="inlineStr">
        <is>
          <t>Santé de Domaine : Testeur DNS &amp; SSL Gratuit</t>
        </is>
      </c>
      <c r="L85" s="5" t="inlineStr">
        <is>
          <t>H2: Ce que Cet Outil Vérifie | H2: Questions Fréquemment Posées | H3: Qu'est-ce que la santé du domaine et pourquoi est-ce important pour le SEO ? | H3: À quelle fréquence vérifier la santé de mon domaine ? | H3: Pourquoi HTTPS/SSL est-il si important pour mon site ? | H3: Que signifie l'indexation mobile-first et pourquoi une balise viewport ? | H3: Comment les Core Web Vitals sont-ils liés à la santé du domaine ? | H3: J'ai un score faible - que corriger en premier ? | H3: Quelle différence entre sitemap.xml et robots.txt ? | H2: Outils Connexes Qui Pourraient Vous Intéresser | H2: Besoin d'un Outil Personnalisé pour Votre Entreprise ?</t>
        </is>
      </c>
      <c r="M85" t="n">
        <v>5</v>
      </c>
      <c r="N85" t="n">
        <v>7</v>
      </c>
      <c r="O85" t="inlineStr">
        <is>
          <t>Informational / tool use</t>
        </is>
      </c>
      <c r="P85" t="inlineStr">
        <is>
          <t>index, follow; HTTP 200</t>
        </is>
      </c>
      <c r="Q85" t="inlineStr">
        <is>
          <t>https://codesommet.com/tools/domain-health-checker</t>
        </is>
      </c>
      <c r="R85" t="inlineStr">
        <is>
          <t>self</t>
        </is>
      </c>
      <c r="S85" t="n">
        <v>855</v>
      </c>
      <c r="T85" t="n">
        <v>12</v>
      </c>
      <c r="U85" t="n">
        <v>61</v>
      </c>
      <c r="V85" t="n">
        <v>1</v>
      </c>
      <c r="W85" t="n">
        <v>0</v>
      </c>
      <c r="X85" t="inlineStr">
        <is>
          <t>Article, BreadcrumbList, Organization, WebApplication, WebSite</t>
        </is>
      </c>
      <c r="Y85" t="inlineStr">
        <is>
          <t>test dns [fr]</t>
        </is>
      </c>
      <c r="Z85" s="5" t="inlineStr">
        <is>
          <t>OK</t>
        </is>
      </c>
    </row>
    <row r="86">
      <c r="A86" t="inlineStr">
        <is>
          <t>P084</t>
        </is>
      </c>
      <c r="B86" s="3" t="inlineStr">
        <is>
          <t>https://codesommet.com/tools/duplicate-content-checker</t>
        </is>
      </c>
      <c r="C86" s="5" t="inlineStr">
        <is>
          <t>Vérificateur de Contenu Dupliqué Gratuit</t>
        </is>
      </c>
      <c r="D86" t="inlineStr">
        <is>
          <t>Free tool</t>
        </is>
      </c>
      <c r="E86" t="inlineStr">
        <is>
          <t>fr</t>
        </is>
      </c>
      <c r="F86" t="inlineStr">
        <is>
          <t>Francophone (FR proxy) + Morocco</t>
        </is>
      </c>
      <c r="G86" s="5" t="inlineStr">
        <is>
          <t>Vérificateur de Contenu Dupliqué Gratuit | CodeSommet</t>
        </is>
      </c>
      <c r="H86" t="n">
        <v>499</v>
      </c>
      <c r="I86" s="5" t="inlineStr">
        <is>
          <t>Détectez le contenu dupliqué et le plagiat : mesurez la similarité, évitez les pénalités SEO et assurez l'unicité de vos pages. Analyse gratuite.</t>
        </is>
      </c>
      <c r="J86" t="n">
        <v>145</v>
      </c>
      <c r="K86" s="5" t="inlineStr">
        <is>
          <t>Vérificateur de Contenu Dupliqué Gratuit</t>
        </is>
      </c>
      <c r="L86" s="5" t="inlineStr">
        <is>
          <t>H2: Comparer toutes les pages de votre site | H2: Comment utiliser cet outil | H2: Questions Fréquemment Posées | H3: Qu'est-ce que le contenu dupliqué et pourquoi est-ce important pour le SEO ? | H3: Quel pourcentage de similarité est problématique ? | H3: Quelle différence entre contenu dupliqué interne et externe ? | H3: Comment les balises canonical aident-elles avec le contenu dupliqué ? | H3: Est-il acceptable de syndiquer ou republier du contenu ? | H3: Comment éviter le contenu dupliqué avec des pages similaires ? | H3: Les citations comptent-elles comme du contenu dupliqué ? | H2: Outils Connexes Qui Pourraient Vous Intéresser | H2: Besoin d'un Outil Personnalisé pour Votre Entreprise ?</t>
        </is>
      </c>
      <c r="M86" t="n">
        <v>6</v>
      </c>
      <c r="N86" t="n">
        <v>6</v>
      </c>
      <c r="O86" t="inlineStr">
        <is>
          <t>Informational / tool use</t>
        </is>
      </c>
      <c r="P86" t="inlineStr">
        <is>
          <t>index, follow; HTTP 200</t>
        </is>
      </c>
      <c r="Q86" t="inlineStr">
        <is>
          <t>https://codesommet.com/tools/duplicate-content-checker</t>
        </is>
      </c>
      <c r="R86" t="inlineStr">
        <is>
          <t>self</t>
        </is>
      </c>
      <c r="S86" t="n">
        <v>834</v>
      </c>
      <c r="T86" t="n">
        <v>13</v>
      </c>
      <c r="U86" t="n">
        <v>61</v>
      </c>
      <c r="V86" t="n">
        <v>1</v>
      </c>
      <c r="W86" t="n">
        <v>0</v>
      </c>
      <c r="X86" t="inlineStr">
        <is>
          <t>Article, BreadcrumbList, Organization, WebApplication, WebSite</t>
        </is>
      </c>
      <c r="Y86" t="inlineStr">
        <is>
          <t>duplicate content [fr]</t>
        </is>
      </c>
      <c r="Z86" s="5" t="inlineStr">
        <is>
          <t>OK</t>
        </is>
      </c>
    </row>
    <row r="87">
      <c r="A87" t="inlineStr">
        <is>
          <t>P085</t>
        </is>
      </c>
      <c r="B87" s="3" t="inlineStr">
        <is>
          <t>https://codesommet.com/tools/eeat-signals-checker</t>
        </is>
      </c>
      <c r="C87" s="5" t="inlineStr">
        <is>
          <t>Vérificateur de Signaux E-E-A-T Gratuit</t>
        </is>
      </c>
      <c r="D87" t="inlineStr">
        <is>
          <t>Free tool</t>
        </is>
      </c>
      <c r="E87" t="inlineStr">
        <is>
          <t>fr</t>
        </is>
      </c>
      <c r="F87" t="inlineStr">
        <is>
          <t>Francophone (FR proxy) + Morocco</t>
        </is>
      </c>
      <c r="G87" s="5" t="inlineStr">
        <is>
          <t>Vérificateur de Signaux E-E-A-T Gratuit | CodeSommet</t>
        </is>
      </c>
      <c r="H87" t="n">
        <v>490</v>
      </c>
      <c r="I87" s="5" t="inlineStr">
        <is>
          <t>Contrôlez les signaux E-E-A-T d'une page : HTTPS, pages légales, contact, schema Organization, auteur, dates, profils externes et sources citées.</t>
        </is>
      </c>
      <c r="J87" t="n">
        <v>145</v>
      </c>
      <c r="K87" s="5" t="inlineStr">
        <is>
          <t>Vérificateur de Signaux E-E-A-T Gratuit</t>
        </is>
      </c>
      <c r="L87" s="5" t="inlineStr">
        <is>
          <t>H2: Signaux trouvés sur la page | H2: Comment Utiliser Cet Outil | H2: Questions Fréquemment Posées | H3: Que signifie E-E-A-T ? | H3: Ce score est-il celui de Google ? | H3: Pourquoi l'auteur est-il « non noté » sur ma page ? | H3: Comment l'outil repère-t-il les pages « À propos » ou les mentions légales ? | H2: Outils Connexes Qui Pourraient Vous Intéresser | H2: Renforcer la Crédibilité de Votre Site ?</t>
        </is>
      </c>
      <c r="M87" t="n">
        <v>6</v>
      </c>
      <c r="N87" t="n">
        <v>4</v>
      </c>
      <c r="O87" t="inlineStr">
        <is>
          <t>Informational / tool use</t>
        </is>
      </c>
      <c r="P87" t="inlineStr">
        <is>
          <t>index, follow; HTTP 200</t>
        </is>
      </c>
      <c r="Q87" t="inlineStr">
        <is>
          <t>https://codesommet.com/tools/eeat-signals-checker</t>
        </is>
      </c>
      <c r="R87" t="inlineStr">
        <is>
          <t>self</t>
        </is>
      </c>
      <c r="S87" t="n">
        <v>566</v>
      </c>
      <c r="T87" t="n">
        <v>10</v>
      </c>
      <c r="U87" t="n">
        <v>60</v>
      </c>
      <c r="V87" t="n">
        <v>1</v>
      </c>
      <c r="W87" t="n">
        <v>0</v>
      </c>
      <c r="X87" t="inlineStr">
        <is>
          <t>Article, BreadcrumbList, Organization, WebApplication, WebSite</t>
        </is>
      </c>
      <c r="Y87" t="inlineStr">
        <is>
          <t>e-e-a-t [fr]</t>
        </is>
      </c>
      <c r="Z87" s="5" t="inlineStr">
        <is>
          <t>OK</t>
        </is>
      </c>
    </row>
    <row r="88">
      <c r="A88" t="inlineStr">
        <is>
          <t>P086</t>
        </is>
      </c>
      <c r="B88" s="3" t="inlineStr">
        <is>
          <t>https://codesommet.com/tools/expired-domain-checker</t>
        </is>
      </c>
      <c r="C88" s="5" t="inlineStr">
        <is>
          <t>Vérificateur de Domaines Expirés (RDAP)</t>
        </is>
      </c>
      <c r="D88" t="inlineStr">
        <is>
          <t>Free tool</t>
        </is>
      </c>
      <c r="E88" t="inlineStr">
        <is>
          <t>fr</t>
        </is>
      </c>
      <c r="F88" t="inlineStr">
        <is>
          <t>Francophone (FR proxy) + Morocco</t>
        </is>
      </c>
      <c r="G88" s="5" t="inlineStr">
        <is>
          <t>Vérificateur de Domaines Expirés (RDAP) | CodeSommet</t>
        </is>
      </c>
      <c r="H88" t="n">
        <v>509</v>
      </c>
      <c r="I88" s="5" t="inlineStr">
        <is>
          <t>Vérifiez jusqu'à 25 domaines : disponibilité, registraire, dates de création et d'expiration, via les registres officiels (RDAP) et le DNS.</t>
        </is>
      </c>
      <c r="J88" t="n">
        <v>139</v>
      </c>
      <c r="K88" s="5" t="inlineStr">
        <is>
          <t>Vérificateur de Domaines Expirés (RDAP)</t>
        </is>
      </c>
      <c r="L88" s="5" t="inlineStr">
        <is>
          <t>H2: Résultats | H2: Comment Utiliser Cet Outil | H2: Questions Fréquemment Posées | H3: D'où viennent les informations ? | H3: Quand un domaine est-il considéré comme disponible ? | H3: Pourquoi certaines extensions sont-elles « à vérifier » ? | H3: Un domaine expiré est-il immédiatement disponible ? | H2: Outils Connexes Qui Pourraient Vous Intéresser | H2: Un Nouveau Nom de Domaine pour Votre Projet ?</t>
        </is>
      </c>
      <c r="M88" t="n">
        <v>6</v>
      </c>
      <c r="N88" t="n">
        <v>4</v>
      </c>
      <c r="O88" t="inlineStr">
        <is>
          <t>Informational / tool use</t>
        </is>
      </c>
      <c r="P88" t="inlineStr">
        <is>
          <t>index, follow; HTTP 200</t>
        </is>
      </c>
      <c r="Q88" t="inlineStr">
        <is>
          <t>https://codesommet.com/tools/expired-domain-checker</t>
        </is>
      </c>
      <c r="R88" t="inlineStr">
        <is>
          <t>self</t>
        </is>
      </c>
      <c r="S88" t="n">
        <v>493</v>
      </c>
      <c r="T88" t="n">
        <v>10</v>
      </c>
      <c r="U88" t="n">
        <v>60</v>
      </c>
      <c r="V88" t="n">
        <v>1</v>
      </c>
      <c r="W88" t="n">
        <v>0</v>
      </c>
      <c r="X88" t="inlineStr">
        <is>
          <t>Article, BreadcrumbList, Organization, WebApplication, WebSite</t>
        </is>
      </c>
      <c r="Y88" t="inlineStr">
        <is>
          <t>nom de domaine expiré [fr]</t>
        </is>
      </c>
      <c r="Z88" s="5" t="inlineStr">
        <is>
          <t>OK</t>
        </is>
      </c>
    </row>
    <row r="89">
      <c r="A89" t="inlineStr">
        <is>
          <t>P087</t>
        </is>
      </c>
      <c r="B89" s="3" t="inlineStr">
        <is>
          <t>https://codesommet.com/tools/faq-schema-generator</t>
        </is>
      </c>
      <c r="C89" s="5" t="inlineStr">
        <is>
          <t>Générateur de Schéma FAQ JSON-LD Gratuit</t>
        </is>
      </c>
      <c r="D89" t="inlineStr">
        <is>
          <t>Free tool</t>
        </is>
      </c>
      <c r="E89" t="inlineStr">
        <is>
          <t>fr</t>
        </is>
      </c>
      <c r="F89" t="inlineStr">
        <is>
          <t>Francophone (FR proxy) + Morocco</t>
        </is>
      </c>
      <c r="G89" s="5" t="inlineStr">
        <is>
          <t>Générateur de Schéma FAQ JSON-LD Gratuit | CodeSommet</t>
        </is>
      </c>
      <c r="H89" t="n">
        <v>553</v>
      </c>
      <c r="I89" s="5" t="inlineStr">
        <is>
          <t>Générez le balisage de schéma FAQ (JSON-LD) de votre site pour gagner en visibilité. Générateur de données structurées FAQ gratuit.</t>
        </is>
      </c>
      <c r="J89" t="n">
        <v>131</v>
      </c>
      <c r="K89" s="5" t="inlineStr">
        <is>
          <t>Générateur de Schéma FAQ JSON-LD Gratuit</t>
        </is>
      </c>
      <c r="L89" s="5" t="inlineStr">
        <is>
          <t>H2: Questions Fréquemment Posées | H3: Qu'est-ce que le balisage FAQ et pourquoi est-ce important ? | H3: Comment le schéma FAQ améliore-t-il mon SEO ? | H3: Combien de FAQ inclure sur une page ? | H3: Quelle est la longueur idéale pour les questions et réponses ? | H3: Comment implémenter le schéma FAQ généré sur mon site ? | H3: Mes FAQ apparaîtront-elles dans la section 'Autres questions posées' de Google ? | H3: Y a-t-il des directives Google à suivre pour le schéma FAQ ? | H2: Outils Connexes Qui Pourraient Vous Intéresser | H2: Besoin d'un Outil Personnalisé pour Votre Entreprise ?</t>
        </is>
      </c>
      <c r="M89" t="n">
        <v>4</v>
      </c>
      <c r="N89" t="n">
        <v>7</v>
      </c>
      <c r="O89" t="inlineStr">
        <is>
          <t>Informational / tool use</t>
        </is>
      </c>
      <c r="P89" t="inlineStr">
        <is>
          <t>index, follow; HTTP 200</t>
        </is>
      </c>
      <c r="Q89" t="inlineStr">
        <is>
          <t>https://codesommet.com/tools/faq-schema-generator</t>
        </is>
      </c>
      <c r="R89" t="inlineStr">
        <is>
          <t>self</t>
        </is>
      </c>
      <c r="S89" t="n">
        <v>807</v>
      </c>
      <c r="T89" t="n">
        <v>11</v>
      </c>
      <c r="U89" t="n">
        <v>62</v>
      </c>
      <c r="V89" t="n">
        <v>1</v>
      </c>
      <c r="W89" t="n">
        <v>0</v>
      </c>
      <c r="X89" t="inlineStr">
        <is>
          <t>Article, BreadcrumbList, Organization, WebApplication, WebSite</t>
        </is>
      </c>
      <c r="Y89" t="inlineStr">
        <is>
          <t>faq schema [fr]</t>
        </is>
      </c>
      <c r="Z89" s="5" t="inlineStr">
        <is>
          <t>OK</t>
        </is>
      </c>
    </row>
    <row r="90">
      <c r="A90" t="inlineStr">
        <is>
          <t>P088</t>
        </is>
      </c>
      <c r="B90" s="3" t="inlineStr">
        <is>
          <t>https://codesommet.com/tools/heading-analyzer</t>
        </is>
      </c>
      <c r="C90" s="5" t="inlineStr">
        <is>
          <t>Analyseur de Titres H1-H6 : Outil SEO</t>
        </is>
      </c>
      <c r="D90" t="inlineStr">
        <is>
          <t>Free tool</t>
        </is>
      </c>
      <c r="E90" t="inlineStr">
        <is>
          <t>fr</t>
        </is>
      </c>
      <c r="F90" t="inlineStr">
        <is>
          <t>Francophone (FR proxy) + Morocco</t>
        </is>
      </c>
      <c r="G90" s="5" t="inlineStr">
        <is>
          <t>Analyseur de Titres H1-H6 - Outil SEO | CodeSommet</t>
        </is>
      </c>
      <c r="H90" t="n">
        <v>482</v>
      </c>
      <c r="I90" s="5" t="inlineStr">
        <is>
          <t>Analysez la hiérarchie des titres H1-H6 de votre page : structure, problèmes détectés et organisation du contenu. Outil SEO gratuit.</t>
        </is>
      </c>
      <c r="J90" t="n">
        <v>132</v>
      </c>
      <c r="K90" s="5" t="inlineStr">
        <is>
          <t>Analyseur de Titres H1-H6 : Outil SEO</t>
        </is>
      </c>
      <c r="L90" s="5" t="inlineStr">
        <is>
          <t>H2: Questions Fréquemment Posées | H3: Pourquoi la hiérarchie des titres est-elle importante pour le SEO ? | H3: Combien de balises H1 par page ? | H3: Que se passe-t-il si je saute des niveaux (ex. : H1 → H3) ? | H3: Dois-je inclure des mots-clés dans mes titres ? | H3: Comment les titres aident-ils l'accessibilité ? | H3: Quelles sont les erreurs courantes de structure de titres ? | H3: Comment corriger les problèmes de structure de titres ? | H2: Outils Connexes Qui Pourraient Vous Intéresser | H2: Besoin d'un Outil Personnalisé pour Votre Entreprise ?</t>
        </is>
      </c>
      <c r="M90" t="n">
        <v>4</v>
      </c>
      <c r="N90" t="n">
        <v>7</v>
      </c>
      <c r="O90" t="inlineStr">
        <is>
          <t>Informational / tool use</t>
        </is>
      </c>
      <c r="P90" t="inlineStr">
        <is>
          <t>index, follow; HTTP 200</t>
        </is>
      </c>
      <c r="Q90" t="inlineStr">
        <is>
          <t>https://codesommet.com/tools/heading-analyzer</t>
        </is>
      </c>
      <c r="R90" t="inlineStr">
        <is>
          <t>self</t>
        </is>
      </c>
      <c r="S90" t="n">
        <v>690</v>
      </c>
      <c r="T90" t="n">
        <v>11</v>
      </c>
      <c r="U90" t="n">
        <v>60</v>
      </c>
      <c r="V90" t="n">
        <v>1</v>
      </c>
      <c r="W90" t="n">
        <v>0</v>
      </c>
      <c r="X90" t="inlineStr">
        <is>
          <t>Article, BreadcrumbList, Organization, WebApplication, WebSite</t>
        </is>
      </c>
      <c r="Y90" t="inlineStr">
        <is>
          <t>balise h1 [fr]</t>
        </is>
      </c>
      <c r="Z90" s="5" t="inlineStr">
        <is>
          <t>OK</t>
        </is>
      </c>
    </row>
    <row r="91">
      <c r="A91" t="inlineStr">
        <is>
          <t>P089</t>
        </is>
      </c>
      <c r="B91" s="3" t="inlineStr">
        <is>
          <t>https://codesommet.com/tools/hreflang-generator</t>
        </is>
      </c>
      <c r="C91" s="5" t="inlineStr">
        <is>
          <t>Générateur de Balises Hreflang Gratuit</t>
        </is>
      </c>
      <c r="D91" t="inlineStr">
        <is>
          <t>Free tool</t>
        </is>
      </c>
      <c r="E91" t="inlineStr">
        <is>
          <t>fr</t>
        </is>
      </c>
      <c r="F91" t="inlineStr">
        <is>
          <t>Francophone (FR proxy) + Morocco</t>
        </is>
      </c>
      <c r="G91" s="5" t="inlineStr">
        <is>
          <t>Générateur de Balises Hreflang Gratuit | CodeSommet</t>
        </is>
      </c>
      <c r="H91" t="n">
        <v>486</v>
      </c>
      <c r="I91" s="5" t="inlineStr">
        <is>
          <t>Générez des balises hreflang pour les sites multilingues et multi-régionaux. Configuration SEO internationale en secondes. Générateur hreflang gratuit.</t>
        </is>
      </c>
      <c r="J91" t="n">
        <v>151</v>
      </c>
      <c r="K91" s="5" t="inlineStr">
        <is>
          <t>Générateur de Balises Hreflang Gratuit</t>
        </is>
      </c>
      <c r="L91" s="5" t="inlineStr">
        <is>
          <t>H2: Versions Linguistiques | H2: Comment utiliser cet outil | H2: Questions Fréquemment Posées | H3: Que sont les balises hreflang et pourquoi en ai-je besoin ? | H3: Quelle différence entre codes de langue (en) et codes régionaux (en-US) ? | H3: Qu'est-ce que x-default et quand l'utiliser ? | H3: Dois-je utiliser des balises HTML ou des en-têtes HTTP pour hreflang ? | H3: Dois-je ajouter des balises hreflang à chaque version ? | H3: Comment vérifier que mon implémentation hreflang est correcte ? | H3: Quelles sont les erreurs hreflang les plus courantes ? | H2: Outils Connexes Qui Pourraient Vous Intéresser | H2: Besoin d'un Outil Personnalisé pour Votre Entreprise ?</t>
        </is>
      </c>
      <c r="M91" t="n">
        <v>6</v>
      </c>
      <c r="N91" t="n">
        <v>7</v>
      </c>
      <c r="O91" t="inlineStr">
        <is>
          <t>Informational / tool use</t>
        </is>
      </c>
      <c r="P91" t="inlineStr">
        <is>
          <t>index, follow; HTTP 200</t>
        </is>
      </c>
      <c r="Q91" t="inlineStr">
        <is>
          <t>https://codesommet.com/tools/hreflang-generator</t>
        </is>
      </c>
      <c r="R91" t="inlineStr">
        <is>
          <t>self</t>
        </is>
      </c>
      <c r="S91" t="n">
        <v>730</v>
      </c>
      <c r="T91" t="n">
        <v>13</v>
      </c>
      <c r="U91" t="n">
        <v>60</v>
      </c>
      <c r="V91" t="n">
        <v>1</v>
      </c>
      <c r="W91" t="n">
        <v>0</v>
      </c>
      <c r="X91" t="inlineStr">
        <is>
          <t>Article, BreadcrumbList, Organization, WebApplication, WebSite</t>
        </is>
      </c>
      <c r="Y91" t="inlineStr">
        <is>
          <t>hreflang [fr]</t>
        </is>
      </c>
      <c r="Z91" s="5" t="inlineStr">
        <is>
          <t>OK</t>
        </is>
      </c>
    </row>
    <row r="92">
      <c r="A92" t="inlineStr">
        <is>
          <t>P090</t>
        </is>
      </c>
      <c r="B92" s="3" t="inlineStr">
        <is>
          <t>https://codesommet.com/tools/html-minifier</t>
        </is>
      </c>
      <c r="C92" s="5" t="inlineStr">
        <is>
          <t>Minificateur HTML/CSS/JS Gratuit</t>
        </is>
      </c>
      <c r="D92" t="inlineStr">
        <is>
          <t>Free tool</t>
        </is>
      </c>
      <c r="E92" t="inlineStr">
        <is>
          <t>fr</t>
        </is>
      </c>
      <c r="F92" t="inlineStr">
        <is>
          <t>Francophone (FR proxy) + Morocco</t>
        </is>
      </c>
      <c r="G92" s="5" t="inlineStr">
        <is>
          <t>Minificateur HTML/CSS/JS Gratuit | CodeSommet</t>
        </is>
      </c>
      <c r="H92" t="n">
        <v>443</v>
      </c>
      <c r="I92" s="5" t="inlineStr">
        <is>
          <t>Minifiez votre code HTML, CSS et JavaScript en ligne pour alléger vos pages et accélérer leur chargement. Outil gratuit, sans inscription.</t>
        </is>
      </c>
      <c r="J92" t="n">
        <v>138</v>
      </c>
      <c r="K92" s="5" t="inlineStr">
        <is>
          <t>Minificateur HTML/CSS/JS Gratuit</t>
        </is>
      </c>
      <c r="L92" s="5" t="inlineStr">
        <is>
          <t>H2: Questions Fréquemment Posées | H3: Qu'est-ce que la minification de code et pourquoi est-ce important ? | H3: De combien la minification peut-elle réduire la taille de mes fichiers ? | H3: La minification va-t-elle casser mon code ou changer sa fonctionnalité ? | H3: Quelle est la différence entre les fichiers minifiés et gzippés ? | H3: Dois-je utiliser du code minifié en développement ou seulement en production ? | H3: La minification améliore-t-elle le SEO et les Core Web Vitals ? | H3: Quand dois-je minifier mon code ? | H2: Outils Connexes Qui Pourraient Vous Intéresser | H2: Besoin d'un Outil Personnalisé pour Votre Entreprise ?</t>
        </is>
      </c>
      <c r="M92" t="n">
        <v>4</v>
      </c>
      <c r="N92" t="n">
        <v>7</v>
      </c>
      <c r="O92" t="inlineStr">
        <is>
          <t>Informational / tool use</t>
        </is>
      </c>
      <c r="P92" t="inlineStr">
        <is>
          <t>index, follow; HTTP 200</t>
        </is>
      </c>
      <c r="Q92" t="inlineStr">
        <is>
          <t>https://codesommet.com/tools/html-minifier</t>
        </is>
      </c>
      <c r="R92" t="inlineStr">
        <is>
          <t>self</t>
        </is>
      </c>
      <c r="S92" t="n">
        <v>833</v>
      </c>
      <c r="T92" t="n">
        <v>11</v>
      </c>
      <c r="U92" t="n">
        <v>62</v>
      </c>
      <c r="V92" t="n">
        <v>1</v>
      </c>
      <c r="W92" t="n">
        <v>0</v>
      </c>
      <c r="X92" t="inlineStr">
        <is>
          <t>Article, BreadcrumbList, Organization, WebApplication, WebSite</t>
        </is>
      </c>
      <c r="Y92" t="inlineStr">
        <is>
          <t>html minifier [fr]</t>
        </is>
      </c>
      <c r="Z92" s="5" t="inlineStr">
        <is>
          <t>OK</t>
        </is>
      </c>
    </row>
    <row r="93">
      <c r="A93" t="inlineStr">
        <is>
          <t>P091</t>
        </is>
      </c>
      <c r="B93" s="3" t="inlineStr">
        <is>
          <t>https://codesommet.com/tools/html-to-text</t>
        </is>
      </c>
      <c r="C93" s="5" t="inlineStr">
        <is>
          <t>Convertisseur HTML en Texte Brut Gratuit</t>
        </is>
      </c>
      <c r="D93" t="inlineStr">
        <is>
          <t>Free tool</t>
        </is>
      </c>
      <c r="E93" t="inlineStr">
        <is>
          <t>fr</t>
        </is>
      </c>
      <c r="F93" t="inlineStr">
        <is>
          <t>Francophone (FR proxy) + Morocco</t>
        </is>
      </c>
      <c r="G93" s="5" t="inlineStr">
        <is>
          <t>Convertisseur HTML en Texte Brut Gratuit | CodeSommet</t>
        </is>
      </c>
      <c r="H93" t="n">
        <v>516</v>
      </c>
      <c r="I93" s="5" t="inlineStr">
        <is>
          <t>Convertissez du HTML en texte brut : balises supprimées, contenu propre prêt à copier. Pratique pour l'édition et l'analyse de contenu.</t>
        </is>
      </c>
      <c r="J93" t="n">
        <v>135</v>
      </c>
      <c r="K93" s="5" t="inlineStr">
        <is>
          <t>Convertisseur HTML en Texte Brut Gratuit</t>
        </is>
      </c>
      <c r="L93" s="5" t="inlineStr">
        <is>
          <t>H2: Cas d'Utilisation | H2: Questions Fréquemment Posées | H3: Pourquoi aurais-je besoin de convertir du HTML en texte brut ? | H3: En quoi cela diffère-t-il de la simple suppression des balises HTML ? | H3: Le convertisseur préservera-t-il le formatage et la structure de mon contenu ? | H3: Que devient les images et médias dans le HTML ? | H3: Puis-je utiliser ceci pour des campagnes de marketing par e-mail ? | H3: Comment puis-je utiliser cet outil pour l'extraction de données ou le web scraping ? | H3: Y a-t-il une limite de caractères pour la conversion HTML ? | H2: Outils Connexes Qui Pourraient Vous Intéresser | H2: Besoin d'un Outil Personnalisé pour Votre Entreprise ?</t>
        </is>
      </c>
      <c r="M93" t="n">
        <v>5</v>
      </c>
      <c r="N93" t="n">
        <v>7</v>
      </c>
      <c r="O93" t="inlineStr">
        <is>
          <t>Informational / tool use</t>
        </is>
      </c>
      <c r="P93" t="inlineStr">
        <is>
          <t>index, follow; HTTP 200</t>
        </is>
      </c>
      <c r="Q93" t="inlineStr">
        <is>
          <t>https://codesommet.com/tools/html-to-text</t>
        </is>
      </c>
      <c r="R93" t="inlineStr">
        <is>
          <t>self</t>
        </is>
      </c>
      <c r="S93" t="n">
        <v>817</v>
      </c>
      <c r="T93" t="n">
        <v>12</v>
      </c>
      <c r="U93" t="n">
        <v>62</v>
      </c>
      <c r="V93" t="n">
        <v>1</v>
      </c>
      <c r="W93" t="n">
        <v>0</v>
      </c>
      <c r="X93" t="inlineStr">
        <is>
          <t>Article, BreadcrumbList, Organization, WebApplication, WebSite</t>
        </is>
      </c>
      <c r="Y93" t="inlineStr">
        <is>
          <t>html to text [fr]</t>
        </is>
      </c>
      <c r="Z93" s="5" t="inlineStr">
        <is>
          <t>OK</t>
        </is>
      </c>
    </row>
    <row r="94">
      <c r="A94" t="inlineStr">
        <is>
          <t>P092</t>
        </is>
      </c>
      <c r="B94" s="3" t="inlineStr">
        <is>
          <t>https://codesommet.com/tools/image-alt-analyzer</t>
        </is>
      </c>
      <c r="C94" s="5" t="inlineStr">
        <is>
          <t>Analyseur de Texte Alt d'Image : SEO</t>
        </is>
      </c>
      <c r="D94" t="inlineStr">
        <is>
          <t>Free tool</t>
        </is>
      </c>
      <c r="E94" t="inlineStr">
        <is>
          <t>fr</t>
        </is>
      </c>
      <c r="F94" t="inlineStr">
        <is>
          <t>Francophone (FR proxy) + Morocco</t>
        </is>
      </c>
      <c r="G94" s="5" t="inlineStr">
        <is>
          <t>Analyseur de Texte Alt d'Image - SEO | CodeSommet</t>
        </is>
      </c>
      <c r="H94" t="n">
        <v>478</v>
      </c>
      <c r="I94" s="5" t="inlineStr">
        <is>
          <t>Analysez les textes alternatifs des images d'une page : attributs alt manquants ou vides repérés instantanément, pour le SEO et l'accessibilité.</t>
        </is>
      </c>
      <c r="J94" t="n">
        <v>144</v>
      </c>
      <c r="K94" s="5" t="inlineStr">
        <is>
          <t>Analyseur de Texte Alt d'Image : SEO</t>
        </is>
      </c>
      <c r="L94" s="5" t="inlineStr">
        <is>
          <t>H2: Questions Fréquemment Posées | H3: Qu'est-ce que le texte alt d'image et pourquoi est-ce important ? | H3: Quelle longueur doit avoir mon texte alt ? | H3: Dois-je inclure des mots-clés dans mon texte alt pour le SEO ? | H3: Quand dois-je utiliser un texte alt vide (alt=') ? | H3: Quelles sont les erreurs courantes de texte alt à éviter ? | H3: Le texte alt manquant affecte-t-il mon classement Google ? | H3: À quelle fréquence dois-je auditer le texte alt des images de mon site web ? | H2: Outils Connexes Qui Pourraient Vous Intéresser | H2: Besoin d'un Outil Personnalisé pour Votre Entreprise ?</t>
        </is>
      </c>
      <c r="M94" t="n">
        <v>4</v>
      </c>
      <c r="N94" t="n">
        <v>7</v>
      </c>
      <c r="O94" t="inlineStr">
        <is>
          <t>Informational / tool use</t>
        </is>
      </c>
      <c r="P94" t="inlineStr">
        <is>
          <t>index, follow; HTTP 200</t>
        </is>
      </c>
      <c r="Q94" t="inlineStr">
        <is>
          <t>https://codesommet.com/tools/image-alt-analyzer</t>
        </is>
      </c>
      <c r="R94" t="inlineStr">
        <is>
          <t>self</t>
        </is>
      </c>
      <c r="S94" t="n">
        <v>714</v>
      </c>
      <c r="T94" t="n">
        <v>11</v>
      </c>
      <c r="U94" t="n">
        <v>61</v>
      </c>
      <c r="V94" t="n">
        <v>1</v>
      </c>
      <c r="W94" t="n">
        <v>0</v>
      </c>
      <c r="X94" t="inlineStr">
        <is>
          <t>Article, BreadcrumbList, Organization, WebApplication, WebSite</t>
        </is>
      </c>
      <c r="Y94" t="inlineStr">
        <is>
          <t>balise alt [fr]</t>
        </is>
      </c>
      <c r="Z94" s="5" t="inlineStr">
        <is>
          <t>OK</t>
        </is>
      </c>
    </row>
    <row r="95">
      <c r="A95" t="inlineStr">
        <is>
          <t>P093</t>
        </is>
      </c>
      <c r="B95" s="3" t="inlineStr">
        <is>
          <t>https://codesommet.com/tools/image-compression-analyzer</t>
        </is>
      </c>
      <c r="C95" s="5" t="inlineStr">
        <is>
          <t>Analyseur de Compression d'Images Gratuit</t>
        </is>
      </c>
      <c r="D95" t="inlineStr">
        <is>
          <t>Free tool</t>
        </is>
      </c>
      <c r="E95" t="inlineStr">
        <is>
          <t>fr</t>
        </is>
      </c>
      <c r="F95" t="inlineStr">
        <is>
          <t>Francophone (FR proxy) + Morocco</t>
        </is>
      </c>
      <c r="G95" s="5" t="inlineStr">
        <is>
          <t>Analyseur de Compression d'Images Gratuit | CodeSommet</t>
        </is>
      </c>
      <c r="H95" t="n">
        <v>532</v>
      </c>
      <c r="I95" s="5" t="inlineStr">
        <is>
          <t>Analysez vos images pour le web : taille des fichiers, formats et qualité de compression, avec des recommandations pour accélérer vos pages.</t>
        </is>
      </c>
      <c r="J95" t="n">
        <v>140</v>
      </c>
      <c r="K95" s="5" t="inlineStr">
        <is>
          <t>Analyseur de Compression d'Images Gratuit</t>
        </is>
      </c>
      <c r="L95" s="5" t="inlineStr">
        <is>
          <t>H2: Comment Utiliser Cet Outil | H2: Questions Fréquemment Posées | H3: Pourquoi la compression d'images est-elle importante pour le SEO ? | H3: Quelle est la différence entre les formats WebP, JPEG et PNG ? | H3: Comment équilibrer la qualité d'image avec la taille du fichier ? | H3: Qu'est-ce que le lazy loading et dois-je l'utiliser ? | H3: Dois-je utiliser un CDN pour les images ? | H3: Quelle taille dois-je donner aux images responsives ? | H3: Quels sont les meilleurs outils gratuits de compression d'images ? | H2: Outils Connexes Qui Pourraient Vous Intéresser | H2: Besoin d'un Outil Personnalisé pour Votre Entreprise ?</t>
        </is>
      </c>
      <c r="M95" t="n">
        <v>5</v>
      </c>
      <c r="N95" t="n">
        <v>6</v>
      </c>
      <c r="O95" t="inlineStr">
        <is>
          <t>Informational / tool use</t>
        </is>
      </c>
      <c r="P95" t="inlineStr">
        <is>
          <t>index, follow; HTTP 200</t>
        </is>
      </c>
      <c r="Q95" t="inlineStr">
        <is>
          <t>https://codesommet.com/tools/image-compression-analyzer</t>
        </is>
      </c>
      <c r="R95" t="inlineStr">
        <is>
          <t>self</t>
        </is>
      </c>
      <c r="S95" t="n">
        <v>771</v>
      </c>
      <c r="T95" t="n">
        <v>12</v>
      </c>
      <c r="U95" t="n">
        <v>62</v>
      </c>
      <c r="V95" t="n">
        <v>1</v>
      </c>
      <c r="W95" t="n">
        <v>0</v>
      </c>
      <c r="X95" t="inlineStr">
        <is>
          <t>Article, BreadcrumbList, Organization, WebApplication, WebSite</t>
        </is>
      </c>
      <c r="Y95" t="inlineStr">
        <is>
          <t>optimisation image seo [fr]</t>
        </is>
      </c>
      <c r="Z95" s="5" t="inlineStr">
        <is>
          <t>OK</t>
        </is>
      </c>
    </row>
    <row r="96">
      <c r="A96" t="inlineStr">
        <is>
          <t>P094</t>
        </is>
      </c>
      <c r="B96" s="3" t="inlineStr">
        <is>
          <t>https://codesommet.com/tools/image-compressor</t>
        </is>
      </c>
      <c r="C96" s="5" t="inlineStr">
        <is>
          <t>Compresseur d'Images Gratuit : WebP, JPEG</t>
        </is>
      </c>
      <c r="D96" t="inlineStr">
        <is>
          <t>Free tool</t>
        </is>
      </c>
      <c r="E96" t="inlineStr">
        <is>
          <t>fr</t>
        </is>
      </c>
      <c r="F96" t="inlineStr">
        <is>
          <t>Francophone (FR proxy) + Morocco</t>
        </is>
      </c>
      <c r="G96" s="5" t="inlineStr">
        <is>
          <t>Compresseur d'Images Gratuit - WebP, JPEG | CodeSommet</t>
        </is>
      </c>
      <c r="H96" t="n">
        <v>550</v>
      </c>
      <c r="I96" s="5" t="inlineStr">
        <is>
          <t>Compressez et convertissez jusqu'à 30 images en WebP, JPEG ou PNG, avec redimensionnement. Traitement dans votre navigateur, aucun envoi.</t>
        </is>
      </c>
      <c r="J96" t="n">
        <v>137</v>
      </c>
      <c r="K96" s="5" t="inlineStr">
        <is>
          <t>Compresseur d'Images Gratuit : WebP, JPEG</t>
        </is>
      </c>
      <c r="L96" s="5" t="inlineStr">
        <is>
          <t>H2: Images optimisées | H2: Comment Utiliser Cet Outil | H2: Questions Fréquemment Posées | H3: Mes images sont-elles envoyées sur un serveur ? | H3: Quel format choisir ? | H3: Quelle qualité utiliser ? | H3: Les métadonnées sont-elles conservées ? | H3: Et si l'image compressée est plus lourde ? | H2: Outils Connexes Qui Pourraient Vous Intéresser | H2: Un Site Trop Lent ?</t>
        </is>
      </c>
      <c r="M96" t="n">
        <v>6</v>
      </c>
      <c r="N96" t="n">
        <v>5</v>
      </c>
      <c r="O96" t="inlineStr">
        <is>
          <t>Informational / tool use</t>
        </is>
      </c>
      <c r="P96" t="inlineStr">
        <is>
          <t>index, follow; HTTP 200</t>
        </is>
      </c>
      <c r="Q96" t="inlineStr">
        <is>
          <t>https://codesommet.com/tools/image-compressor</t>
        </is>
      </c>
      <c r="R96" t="inlineStr">
        <is>
          <t>self</t>
        </is>
      </c>
      <c r="S96" t="n">
        <v>503</v>
      </c>
      <c r="T96" t="n">
        <v>11</v>
      </c>
      <c r="U96" t="n">
        <v>60</v>
      </c>
      <c r="V96" t="n">
        <v>1</v>
      </c>
      <c r="W96" t="n">
        <v>0</v>
      </c>
      <c r="X96" t="inlineStr">
        <is>
          <t>Article, BreadcrumbList, Organization, WebApplication, WebSite</t>
        </is>
      </c>
      <c r="Y96" t="inlineStr">
        <is>
          <t>compresser image [fr]</t>
        </is>
      </c>
      <c r="Z96" s="5" t="inlineStr">
        <is>
          <t>OK</t>
        </is>
      </c>
    </row>
    <row r="97">
      <c r="A97" t="inlineStr">
        <is>
          <t>P095</t>
        </is>
      </c>
      <c r="B97" s="3" t="inlineStr">
        <is>
          <t>https://codesommet.com/tools/internal-link-analyzer</t>
        </is>
      </c>
      <c r="C97" s="5" t="inlineStr">
        <is>
          <t>Analyseur de Liens Internes Gratuit</t>
        </is>
      </c>
      <c r="D97" t="inlineStr">
        <is>
          <t>Free tool</t>
        </is>
      </c>
      <c r="E97" t="inlineStr">
        <is>
          <t>fr</t>
        </is>
      </c>
      <c r="F97" t="inlineStr">
        <is>
          <t>Francophone (FR proxy) + Morocco</t>
        </is>
      </c>
      <c r="G97" s="5" t="inlineStr">
        <is>
          <t>Analyseur de Liens Internes Gratuit | CodeSommet</t>
        </is>
      </c>
      <c r="H97" t="n">
        <v>454</v>
      </c>
      <c r="I97" s="5" t="inlineStr">
        <is>
          <t>Cartographiez les liens internes d'une page : nombre de liens, ancres et pages orphelines potentielles, pour renforcer votre maillage interne.</t>
        </is>
      </c>
      <c r="J97" t="n">
        <v>142</v>
      </c>
      <c r="K97" s="5" t="inlineStr">
        <is>
          <t>Analyseur de Liens Internes Gratuit</t>
        </is>
      </c>
      <c r="L97" s="5" t="inlineStr">
        <is>
          <t>H2: Comment Utiliser Cet Outil | H2: Questions Fréquemment Posées | H3: Pourquoi le maillage interne est-il important pour le SEO ? | H3: Combien de liens internes dois-je avoir par page ? | H3: Quel est le meilleur texte d'ancrage pour les liens internes ? | H3: Qu'est-ce que la profondeur de lien et pourquoi est-ce important ? | H3: Que sont les pages orphelines et comment les corriger ? | H3: Dois-je utiliser nofollow sur les liens internes ? | H3: Comment corriger les liens internes cassés ? | H2: Outils Connexes Qui Pourraient Vous Intéresser | H2: Besoin d'un Outil Personnalisé pour Votre Entreprise ?</t>
        </is>
      </c>
      <c r="M97" t="n">
        <v>5</v>
      </c>
      <c r="N97" t="n">
        <v>6</v>
      </c>
      <c r="O97" t="inlineStr">
        <is>
          <t>Informational / tool use</t>
        </is>
      </c>
      <c r="P97" t="inlineStr">
        <is>
          <t>index, follow; HTTP 200</t>
        </is>
      </c>
      <c r="Q97" t="inlineStr">
        <is>
          <t>https://codesommet.com/tools/internal-link-analyzer</t>
        </is>
      </c>
      <c r="R97" t="inlineStr">
        <is>
          <t>self</t>
        </is>
      </c>
      <c r="S97" t="n">
        <v>714</v>
      </c>
      <c r="T97" t="n">
        <v>12</v>
      </c>
      <c r="U97" t="n">
        <v>62</v>
      </c>
      <c r="V97" t="n">
        <v>1</v>
      </c>
      <c r="W97" t="n">
        <v>0</v>
      </c>
      <c r="X97" t="inlineStr">
        <is>
          <t>Article, BreadcrumbList, Organization, WebApplication, WebSite</t>
        </is>
      </c>
      <c r="Y97" t="inlineStr">
        <is>
          <t>maillage interne [fr]</t>
        </is>
      </c>
      <c r="Z97" s="5" t="inlineStr">
        <is>
          <t>OK</t>
        </is>
      </c>
    </row>
    <row r="98">
      <c r="A98" t="inlineStr">
        <is>
          <t>P096</t>
        </is>
      </c>
      <c r="B98" s="3" t="inlineStr">
        <is>
          <t>https://codesommet.com/tools/invisible-character-cleaner</t>
        </is>
      </c>
      <c r="C98" s="5" t="inlineStr">
        <is>
          <t>Nettoyeur de Caractères Invisibles Gratuit</t>
        </is>
      </c>
      <c r="D98" t="inlineStr">
        <is>
          <t>Free tool</t>
        </is>
      </c>
      <c r="E98" t="inlineStr">
        <is>
          <t>fr</t>
        </is>
      </c>
      <c r="F98" t="inlineStr">
        <is>
          <t>Francophone (FR proxy) + Morocco</t>
        </is>
      </c>
      <c r="G98" s="5" t="inlineStr">
        <is>
          <t>Nettoyeur de Caractères Invisibles Gratuit | CodeSommet</t>
        </is>
      </c>
      <c r="H98" t="n">
        <v>512</v>
      </c>
      <c r="I98" s="5" t="inlineStr">
        <is>
          <t>Détectez et supprimez les caractères invisibles d'un texte : largeur nulle, marques de direction, espaces insécables. Rapport détaillé, 100 % local.</t>
        </is>
      </c>
      <c r="J98" t="n">
        <v>148</v>
      </c>
      <c r="K98" s="5" t="inlineStr">
        <is>
          <t>Nettoyeur de Caractères Invisibles Gratuit</t>
        </is>
      </c>
      <c r="L98" s="5" t="inlineStr">
        <is>
          <t>H2: Texte d'origine (caractères surlignés) | H2: Caractères trouvés | H2: Comment Utiliser Cet Outil | H2: Questions Fréquemment Posées | H3: Quels caractères sont toujours supprimés ? | H3: Pourquoi c'est un problème pour le SEO ? | H3: Les emojis sont-ils conservés ? | H3: Cet outil rend-il un texte « indétectable » ? | H2: Outils Connexes Qui Pourraient Vous Intéresser | H2: Des Contenus à Fiabiliser à Grande Échelle ?</t>
        </is>
      </c>
      <c r="M98" t="n">
        <v>7</v>
      </c>
      <c r="N98" t="n">
        <v>4</v>
      </c>
      <c r="O98" t="inlineStr">
        <is>
          <t>Informational / tool use</t>
        </is>
      </c>
      <c r="P98" t="inlineStr">
        <is>
          <t>index, follow; HTTP 200</t>
        </is>
      </c>
      <c r="Q98" t="inlineStr">
        <is>
          <t>https://codesommet.com/tools/invisible-character-cleaner</t>
        </is>
      </c>
      <c r="R98" t="inlineStr">
        <is>
          <t>self</t>
        </is>
      </c>
      <c r="S98" t="n">
        <v>503</v>
      </c>
      <c r="T98" t="n">
        <v>11</v>
      </c>
      <c r="U98" t="n">
        <v>60</v>
      </c>
      <c r="V98" t="n">
        <v>1</v>
      </c>
      <c r="W98" t="n">
        <v>0</v>
      </c>
      <c r="X98" t="inlineStr">
        <is>
          <t>Article, BreadcrumbList, Organization, WebApplication, WebSite</t>
        </is>
      </c>
      <c r="Y98" t="inlineStr">
        <is>
          <t>caractère invisible [fr]</t>
        </is>
      </c>
      <c r="Z98" s="5" t="inlineStr">
        <is>
          <t>OK</t>
        </is>
      </c>
    </row>
    <row r="99">
      <c r="A99" t="inlineStr">
        <is>
          <t>P097</t>
        </is>
      </c>
      <c r="B99" s="3" t="inlineStr">
        <is>
          <t>https://codesommet.com/tools/json-formatter</t>
        </is>
      </c>
      <c r="C99" s="5" t="inlineStr">
        <is>
          <t>Formateur et Validateur JSON Gratuit</t>
        </is>
      </c>
      <c r="D99" t="inlineStr">
        <is>
          <t>Free tool</t>
        </is>
      </c>
      <c r="E99" t="inlineStr">
        <is>
          <t>fr</t>
        </is>
      </c>
      <c r="F99" t="inlineStr">
        <is>
          <t>Francophone (FR proxy) + Morocco</t>
        </is>
      </c>
      <c r="G99" s="5" t="inlineStr">
        <is>
          <t>Formateur et Validateur JSON Gratuit | CodeSommet</t>
        </is>
      </c>
      <c r="H99" t="n">
        <v>476</v>
      </c>
      <c r="I99" s="5" t="inlineStr">
        <is>
          <t>Formatez, validez et minifiez vos données JSON instantanément : validation de syntaxe et détection d'erreurs. Idéal pour développeurs et tests API.</t>
        </is>
      </c>
      <c r="J99" t="n">
        <v>147</v>
      </c>
      <c r="K99" s="5" t="inlineStr">
        <is>
          <t>Formateur et Validateur JSON Gratuit</t>
        </is>
      </c>
      <c r="L99" s="5" t="inlineStr">
        <is>
          <t>H2: Comment Utiliser le Formateur JSON | H2: Questions Fréquemment Posées | H3: Qu'est-ce que le JSON et pourquoi est-ce important ? | H3: Quelles sont les erreurs de syntaxe JSON les plus courantes ? | H3: Quand dois-je formater ou minifier le JSON ? | H3: Pourquoi dois-je valider le JSON avant de l'utiliser en production ? | H3: Comment le JSON aide-t-il au développement d'API ? | H3: Quelle est la différence entre JSON et XML ? | H3: Quelles sont les bonnes pratiques pour travailler avec le JSON ? | H2: Outils Connexes Qui Pourraient Vous Intéresser | H2: Besoin d'un Outil Personnalisé pour Votre Entreprise ?</t>
        </is>
      </c>
      <c r="M99" t="n">
        <v>5</v>
      </c>
      <c r="N99" t="n">
        <v>7</v>
      </c>
      <c r="O99" t="inlineStr">
        <is>
          <t>Informational / tool use</t>
        </is>
      </c>
      <c r="P99" t="inlineStr">
        <is>
          <t>index, follow; HTTP 200</t>
        </is>
      </c>
      <c r="Q99" t="inlineStr">
        <is>
          <t>https://codesommet.com/tools/json-formatter</t>
        </is>
      </c>
      <c r="R99" t="inlineStr">
        <is>
          <t>self</t>
        </is>
      </c>
      <c r="S99" t="n">
        <v>844</v>
      </c>
      <c r="T99" t="n">
        <v>12</v>
      </c>
      <c r="U99" t="n">
        <v>61</v>
      </c>
      <c r="V99" t="n">
        <v>1</v>
      </c>
      <c r="W99" t="n">
        <v>0</v>
      </c>
      <c r="X99" t="inlineStr">
        <is>
          <t>Article, BreadcrumbList, Organization, WebApplication, WebSite</t>
        </is>
      </c>
      <c r="Y99" t="inlineStr">
        <is>
          <t>json formatter [fr]</t>
        </is>
      </c>
      <c r="Z99" s="5" t="inlineStr">
        <is>
          <t>OK</t>
        </is>
      </c>
    </row>
    <row r="100">
      <c r="A100" t="inlineStr">
        <is>
          <t>P098</t>
        </is>
      </c>
      <c r="B100" s="3" t="inlineStr">
        <is>
          <t>https://codesommet.com/tools/keyword-density-analyzer</t>
        </is>
      </c>
      <c r="C100" s="5" t="inlineStr">
        <is>
          <t>Analyseur de Densité de Mots-Clés Gratuit</t>
        </is>
      </c>
      <c r="D100" t="inlineStr">
        <is>
          <t>Free tool</t>
        </is>
      </c>
      <c r="E100" t="inlineStr">
        <is>
          <t>fr</t>
        </is>
      </c>
      <c r="F100" t="inlineStr">
        <is>
          <t>Francophone (FR proxy) + Morocco</t>
        </is>
      </c>
      <c r="G100" s="5" t="inlineStr">
        <is>
          <t>Analyseur de Densité de Mots-Clés Gratuit | CodeSommet</t>
        </is>
      </c>
      <c r="H100" t="n">
        <v>519</v>
      </c>
      <c r="I100" s="5" t="inlineStr">
        <is>
          <t>Analysez la densité et la fréquence des mots-clés de n'importe quelle page pour éviter la sur-optimisation et améliorer le SEO du contenu.</t>
        </is>
      </c>
      <c r="J100" t="n">
        <v>138</v>
      </c>
      <c r="K100" s="5" t="inlineStr">
        <is>
          <t>Analyseur de Densité de Mots-Clés Gratuit</t>
        </is>
      </c>
      <c r="L100" s="5" t="inlineStr">
        <is>
          <t>H2: Questions Fréquemment Posées | H3: Quelle est la densité de mots-clés idéale pour le SEO ? | H3: Comment la densité de mots-clés affecte-t-elle les classements SEO ? | H3: Qu'est-ce que le bourrage de mots-clés et pourquoi est-il pénalisé ? | H3: Dois-je analyser des mots simples ou des expressions de mots-clés ? | H3: Que sont les mots-clés LSI et quel est leur rapport avec la densité de mots-clés ? | H3: À quelle fréquence dois-je analyser ma densité de mots-clés ? | H3: Ma densité de mots-clés est supérieure à 3% - comment la corriger ? | H2: Outils Connexes Qui Pourraient Vous Intéresser | H2: Besoin d'un Outil Personnalisé pour Votre Entreprise ?</t>
        </is>
      </c>
      <c r="M100" t="n">
        <v>4</v>
      </c>
      <c r="N100" t="n">
        <v>7</v>
      </c>
      <c r="O100" t="inlineStr">
        <is>
          <t>Informational / tool use</t>
        </is>
      </c>
      <c r="P100" t="inlineStr">
        <is>
          <t>index, follow; HTTP 200</t>
        </is>
      </c>
      <c r="Q100" t="inlineStr">
        <is>
          <t>https://codesommet.com/tools/keyword-density-analyzer</t>
        </is>
      </c>
      <c r="R100" t="inlineStr">
        <is>
          <t>self</t>
        </is>
      </c>
      <c r="S100" t="n">
        <v>709</v>
      </c>
      <c r="T100" t="n">
        <v>11</v>
      </c>
      <c r="U100" t="n">
        <v>61</v>
      </c>
      <c r="V100" t="n">
        <v>1</v>
      </c>
      <c r="W100" t="n">
        <v>0</v>
      </c>
      <c r="X100" t="inlineStr">
        <is>
          <t>Article, BreadcrumbList, Organization, WebApplication, WebSite</t>
        </is>
      </c>
      <c r="Y100" t="inlineStr">
        <is>
          <t>densité mot clé [fr]</t>
        </is>
      </c>
      <c r="Z100" s="5" t="inlineStr">
        <is>
          <t>OK</t>
        </is>
      </c>
    </row>
    <row r="101">
      <c r="A101" t="inlineStr">
        <is>
          <t>P099</t>
        </is>
      </c>
      <c r="B101" s="3" t="inlineStr">
        <is>
          <t>https://codesommet.com/tools/keyword-modifier-generator</t>
        </is>
      </c>
      <c r="C101" s="5" t="inlineStr">
        <is>
          <t>Générateur de Variantes de Mots-Clés</t>
        </is>
      </c>
      <c r="D101" t="inlineStr">
        <is>
          <t>Free tool</t>
        </is>
      </c>
      <c r="E101" t="inlineStr">
        <is>
          <t>fr</t>
        </is>
      </c>
      <c r="F101" t="inlineStr">
        <is>
          <t>Francophone (FR proxy) + Morocco</t>
        </is>
      </c>
      <c r="G101" s="5" t="inlineStr">
        <is>
          <t>Générateur de Variantes de Mots-Clés | CodeSommet</t>
        </is>
      </c>
      <c r="H101" t="n">
        <v>483</v>
      </c>
      <c r="I101" s="5" t="inlineStr">
        <is>
          <t>Déclinez un mot-clé en questions, comparaisons, intentions commerciales et variantes locales pour trouver la longue traîne. Sans volume inventé.</t>
        </is>
      </c>
      <c r="J101" t="n">
        <v>144</v>
      </c>
      <c r="K101" s="5" t="inlineStr">
        <is>
          <t>Générateur de Variantes de Mots-Clés</t>
        </is>
      </c>
      <c r="L101" s="5" t="inlineStr">
        <is>
          <t>H2: Comment Utiliser Cet Outil | H2: Questions Fréquemment Posées | H3: D'où viennent ces variantes ? | H3: Pourquoi n'y a-t-il pas de volume de recherche ? | H3: Toutes les variantes sont-elles pertinentes ? | H3: Comment s'en servir pour mon site ? | H2: Outils Connexes Qui Pourraient Vous Intéresser | H2: Un Plan de Contenus à Bâtir ?</t>
        </is>
      </c>
      <c r="M101" t="n">
        <v>5</v>
      </c>
      <c r="N101" t="n">
        <v>4</v>
      </c>
      <c r="O101" t="inlineStr">
        <is>
          <t>Informational / tool use</t>
        </is>
      </c>
      <c r="P101" t="inlineStr">
        <is>
          <t>index, follow; HTTP 200</t>
        </is>
      </c>
      <c r="Q101" t="inlineStr">
        <is>
          <t>https://codesommet.com/tools/keyword-modifier-generator</t>
        </is>
      </c>
      <c r="R101" t="inlineStr">
        <is>
          <t>self</t>
        </is>
      </c>
      <c r="S101" t="n">
        <v>500</v>
      </c>
      <c r="T101" t="n">
        <v>9</v>
      </c>
      <c r="U101" t="n">
        <v>60</v>
      </c>
      <c r="V101" t="n">
        <v>1</v>
      </c>
      <c r="W101" t="n">
        <v>0</v>
      </c>
      <c r="X101" t="inlineStr">
        <is>
          <t>Article, BreadcrumbList, Organization, WebApplication, WebSite</t>
        </is>
      </c>
      <c r="Y101" t="inlineStr">
        <is>
          <t>générateur de mots clés [fr]</t>
        </is>
      </c>
      <c r="Z101" s="5" t="inlineStr">
        <is>
          <t>OK</t>
        </is>
      </c>
    </row>
    <row r="102">
      <c r="A102" t="inlineStr">
        <is>
          <t>P100</t>
        </is>
      </c>
      <c r="B102" s="3" t="inlineStr">
        <is>
          <t>https://codesommet.com/tools/landing-page-generator</t>
        </is>
      </c>
      <c r="C102" s="5" t="inlineStr">
        <is>
          <t>Générateur de Landing Page IA Gratuit</t>
        </is>
      </c>
      <c r="D102" t="inlineStr">
        <is>
          <t>Free tool</t>
        </is>
      </c>
      <c r="E102" t="inlineStr">
        <is>
          <t>fr</t>
        </is>
      </c>
      <c r="F102" t="inlineStr">
        <is>
          <t>Francophone (FR proxy) + Morocco</t>
        </is>
      </c>
      <c r="G102" s="5" t="inlineStr">
        <is>
          <t>Générateur de Landing Page IA Gratuit | CodeSommet</t>
        </is>
      </c>
      <c r="H102" t="n">
        <v>489</v>
      </c>
      <c r="I102" s="5" t="inlineStr">
        <is>
          <t>Générez avec l'IA le texte d'une page d'atterrissage orientée conversion : titres, avantages, CTA et fonctionnalités. Gratuit pour marketeurs.</t>
        </is>
      </c>
      <c r="J102" t="n">
        <v>142</v>
      </c>
      <c r="K102" s="5" t="inlineStr">
        <is>
          <t>Générateur de Landing Page IA Gratuit</t>
        </is>
      </c>
      <c r="L102" s="5" t="inlineStr">
        <is>
          <t>H2: Questions Fréquemment Posées | H3: Qu'est-ce qui fait une page d'atterrissage à fort taux de conversion ? | H3: Comment écrire un titre efficace ? | H3: Quelle est la longueur idéale pour une page d'atterrissage ? | H3: Comment optimiser mes boutons CTA ? | H3: Dois-je faire des tests A/B sur le texte généré ? | H3: Comment personnaliser le texte généré pour ma voix de marque ? | H3: Quelles sections dois-je prioriser si j'ai besoin d'une page plus courte ? | H2: Outils Connexes Qui Pourraient Vous Intéresser | H2: Besoin d'un Outil Personnalisé pour Votre Entreprise ?</t>
        </is>
      </c>
      <c r="M102" t="n">
        <v>4</v>
      </c>
      <c r="N102" t="n">
        <v>5</v>
      </c>
      <c r="O102" t="inlineStr">
        <is>
          <t>Informational / tool use</t>
        </is>
      </c>
      <c r="P102" t="inlineStr">
        <is>
          <t>index, follow; HTTP 200</t>
        </is>
      </c>
      <c r="Q102" t="inlineStr">
        <is>
          <t>https://codesommet.com/tools/landing-page-generator</t>
        </is>
      </c>
      <c r="R102" t="inlineStr">
        <is>
          <t>self</t>
        </is>
      </c>
      <c r="S102" t="n">
        <v>649</v>
      </c>
      <c r="T102" t="n">
        <v>11</v>
      </c>
      <c r="U102" t="n">
        <v>61</v>
      </c>
      <c r="V102" t="n">
        <v>1</v>
      </c>
      <c r="W102" t="n">
        <v>0</v>
      </c>
      <c r="X102" t="inlineStr">
        <is>
          <t>Article, BreadcrumbList, Organization, WebApplication, WebSite</t>
        </is>
      </c>
      <c r="Y102" t="inlineStr">
        <is>
          <t>créer une landing page [fr]</t>
        </is>
      </c>
      <c r="Z102" s="5" t="inlineStr">
        <is>
          <t>OK</t>
        </is>
      </c>
    </row>
    <row r="103">
      <c r="A103" t="inlineStr">
        <is>
          <t>P101</t>
        </is>
      </c>
      <c r="B103" s="3" t="inlineStr">
        <is>
          <t>https://codesommet.com/tools/llms-txt-generator</t>
        </is>
      </c>
      <c r="C103" s="5" t="inlineStr">
        <is>
          <t>Générateur de Fichier llms.txt Gratuit</t>
        </is>
      </c>
      <c r="D103" t="inlineStr">
        <is>
          <t>Free tool</t>
        </is>
      </c>
      <c r="E103" t="inlineStr">
        <is>
          <t>fr</t>
        </is>
      </c>
      <c r="F103" t="inlineStr">
        <is>
          <t>Francophone (FR proxy) + Morocco</t>
        </is>
      </c>
      <c r="G103" s="5" t="inlineStr">
        <is>
          <t>Générateur de Fichier llms.txt Gratuit | CodeSommet</t>
        </is>
      </c>
      <c r="H103" t="n">
        <v>470</v>
      </c>
      <c r="I103" s="5" t="inlineStr">
        <is>
          <t>Générez un fichier llms.txt au format llmstxt.org à partir des pages réelles de votre site, pour aider ChatGPT, Claude et Perplexity à le lire.</t>
        </is>
      </c>
      <c r="J103" t="n">
        <v>143</v>
      </c>
      <c r="K103" s="5" t="inlineStr">
        <is>
          <t>Générateur de Fichier llms.txt Gratuit</t>
        </is>
      </c>
      <c r="L103" s="5" t="inlineStr">
        <is>
          <t>H2: Votre fichier llms.txt | H2: Comment Utiliser Cet Outil | H2: Questions Fréquemment Posées | H3: Qu'est-ce qu'un fichier llms.txt ? | H3: Le llms.txt améliore-t-il mon référencement ? | H3: Quelles pages sont incluses ? | H3: Puis-je modifier le fichier généré ? | H2: Outils Connexes Qui Pourraient Vous Intéresser | H2: Votre Site Est-il Prêt pour la Recherche IA ?</t>
        </is>
      </c>
      <c r="M103" t="n">
        <v>6</v>
      </c>
      <c r="N103" t="n">
        <v>4</v>
      </c>
      <c r="O103" t="inlineStr">
        <is>
          <t>Informational / tool use</t>
        </is>
      </c>
      <c r="P103" t="inlineStr">
        <is>
          <t>index, follow; HTTP 200</t>
        </is>
      </c>
      <c r="Q103" t="inlineStr">
        <is>
          <t>https://codesommet.com/tools/llms-txt-generator</t>
        </is>
      </c>
      <c r="R103" t="inlineStr">
        <is>
          <t>self</t>
        </is>
      </c>
      <c r="S103" t="n">
        <v>506</v>
      </c>
      <c r="T103" t="n">
        <v>10</v>
      </c>
      <c r="U103" t="n">
        <v>60</v>
      </c>
      <c r="V103" t="n">
        <v>1</v>
      </c>
      <c r="W103" t="n">
        <v>0</v>
      </c>
      <c r="X103" t="inlineStr">
        <is>
          <t>Article, BreadcrumbList, Organization, WebApplication, WebSite</t>
        </is>
      </c>
      <c r="Y103" t="inlineStr">
        <is>
          <t>llms.txt [fr]</t>
        </is>
      </c>
      <c r="Z103" s="5" t="inlineStr">
        <is>
          <t>OK</t>
        </is>
      </c>
    </row>
    <row r="104">
      <c r="A104" t="inlineStr">
        <is>
          <t>P102</t>
        </is>
      </c>
      <c r="B104" s="3" t="inlineStr">
        <is>
          <t>https://codesommet.com/tools/local-business-schema</t>
        </is>
      </c>
      <c r="C104" s="5" t="inlineStr">
        <is>
          <t>Générateur de Schéma LocalBusiness Gratuit</t>
        </is>
      </c>
      <c r="D104" t="inlineStr">
        <is>
          <t>Free tool</t>
        </is>
      </c>
      <c r="E104" t="inlineStr">
        <is>
          <t>fr</t>
        </is>
      </c>
      <c r="F104" t="inlineStr">
        <is>
          <t>Francophone (FR proxy) + Morocco</t>
        </is>
      </c>
      <c r="G104" s="5" t="inlineStr">
        <is>
          <t>Générateur de Schéma LocalBusiness Gratuit | CodeSommet</t>
        </is>
      </c>
      <c r="H104" t="n">
        <v>548</v>
      </c>
      <c r="I104" s="5" t="inlineStr">
        <is>
          <t>Générez le balisage JSON-LD LocalBusiness de votre entreprise locale et renforcez votre SEO local avec des données structurées correctes.</t>
        </is>
      </c>
      <c r="J104" t="n">
        <v>137</v>
      </c>
      <c r="K104" s="5" t="inlineStr">
        <is>
          <t>Générateur de Schéma LocalBusiness Gratuit</t>
        </is>
      </c>
      <c r="L104" s="5" t="inlineStr">
        <is>
          <t>H2: Optionnel (Recommandé pour un Meilleur SEO) | H2: Questions Fréquemment Posées | H3: Qu'est-ce que le Schéma d'Entreprise Locale et pourquoi en ai-je besoin ? | H3: Comment cela aide-t-il mon classement Google Maps ? | H3: Quels champs sont obligatoires ou optionnels ? | H3: Puis-je ajouter les horaires d'ouverture et comment les mettre à jour ? | H3: Puis-je utiliser ce schéma pour plusieurs emplacements d'entreprise ? | H3: Quel est le rapport avec mon profil Google Business ? | H3: Ce schéma m'aidera-t-il à obtenir des résultats enrichis avec des étoiles ? | H2: Outils Connexes Qui Pourraient Vous Intéresser | H2: Besoin d'un Outil Personnalisé pour Votre Entreprise ?</t>
        </is>
      </c>
      <c r="M104" t="n">
        <v>5</v>
      </c>
      <c r="N104" t="n">
        <v>7</v>
      </c>
      <c r="O104" t="inlineStr">
        <is>
          <t>Informational / tool use</t>
        </is>
      </c>
      <c r="P104" t="inlineStr">
        <is>
          <t>index, follow; HTTP 200</t>
        </is>
      </c>
      <c r="Q104" t="inlineStr">
        <is>
          <t>https://codesommet.com/tools/local-business-schema</t>
        </is>
      </c>
      <c r="R104" t="inlineStr">
        <is>
          <t>self</t>
        </is>
      </c>
      <c r="S104" t="n">
        <v>828</v>
      </c>
      <c r="T104" t="n">
        <v>12</v>
      </c>
      <c r="U104" t="n">
        <v>61</v>
      </c>
      <c r="V104" t="n">
        <v>1</v>
      </c>
      <c r="W104" t="n">
        <v>0</v>
      </c>
      <c r="X104" t="inlineStr">
        <is>
          <t>Article, BreadcrumbList, Organization, WebApplication, WebSite</t>
        </is>
      </c>
      <c r="Y104" t="inlineStr">
        <is>
          <t>local business schema [fr]</t>
        </is>
      </c>
      <c r="Z104" s="5" t="inlineStr">
        <is>
          <t>OK</t>
        </is>
      </c>
    </row>
    <row r="105">
      <c r="A105" t="inlineStr">
        <is>
          <t>P103</t>
        </is>
      </c>
      <c r="B105" s="3" t="inlineStr">
        <is>
          <t>https://codesommet.com/tools/lorem-ipsum-generator</t>
        </is>
      </c>
      <c r="C105" s="5" t="inlineStr">
        <is>
          <t>Générateur Lorem Ipsum Gratuit</t>
        </is>
      </c>
      <c r="D105" t="inlineStr">
        <is>
          <t>Free tool</t>
        </is>
      </c>
      <c r="E105" t="inlineStr">
        <is>
          <t>fr</t>
        </is>
      </c>
      <c r="F105" t="inlineStr">
        <is>
          <t>Francophone (FR proxy) + Morocco</t>
        </is>
      </c>
      <c r="G105" s="5" t="inlineStr">
        <is>
          <t>Générateur Lorem Ipsum Gratuit | CodeSommet</t>
        </is>
      </c>
      <c r="H105" t="n">
        <v>432</v>
      </c>
      <c r="I105" s="5" t="inlineStr">
        <is>
          <t>Générez du texte de remplissage Lorem Ipsum instantanément : paragraphes, phrases ou mots pour vos maquettes. Générateur gratuit.</t>
        </is>
      </c>
      <c r="J105" t="n">
        <v>129</v>
      </c>
      <c r="K105" s="5" t="inlineStr">
        <is>
          <t>Générateur Lorem Ipsum Gratuit</t>
        </is>
      </c>
      <c r="L105" s="5" t="inlineStr">
        <is>
          <t>H2: Qu'est-ce que Lorem Ipsum ? | H3: Cas d'Utilisation Courants : | H3: Pourquoi Utiliser Lorem Ipsum ? | H2: Questions Fréquemment Posées | H3: Qu'est-ce que Lorem Ipsum et d'où vient-il ? | H3: Pourquoi les designers et développeurs utilisent-ils Lorem Ipsum au lieu de vrai contenu ? | H3: Quand dois-je utiliser Lorem Ipsum plutôt que du vrai contenu ? | H3: Quelle est la différence entre la génération Lorem Ipsum basée sur les paragraphes et celle basée sur les mots ? | H3: Existe-t-il des alternatives à Lorem Ipsum ? | H3: Comment savoir quand passer de Lorem Ipsum à du vrai contenu ? | H3: L'utilisation de Lorem Ipsum peut-elle affecter le SEO de mon site web ? | H2: Outils Connexes Qui Pourraient Vous Intéresser | H2: Besoin d'un Outil Personnalisé pour Votre Entreprise ?</t>
        </is>
      </c>
      <c r="M105" t="n">
        <v>5</v>
      </c>
      <c r="N105" t="n">
        <v>7</v>
      </c>
      <c r="O105" t="inlineStr">
        <is>
          <t>Informational / tool use</t>
        </is>
      </c>
      <c r="P105" t="inlineStr">
        <is>
          <t>index, follow; HTTP 200</t>
        </is>
      </c>
      <c r="Q105" t="inlineStr">
        <is>
          <t>https://codesommet.com/tools/lorem-ipsum-generator</t>
        </is>
      </c>
      <c r="R105" t="inlineStr">
        <is>
          <t>self</t>
        </is>
      </c>
      <c r="S105" t="n">
        <v>945</v>
      </c>
      <c r="T105" t="n">
        <v>14</v>
      </c>
      <c r="U105" t="n">
        <v>61</v>
      </c>
      <c r="V105" t="n">
        <v>1</v>
      </c>
      <c r="W105" t="n">
        <v>0</v>
      </c>
      <c r="X105" t="inlineStr">
        <is>
          <t>Article, BreadcrumbList, Organization, WebApplication, WebSite</t>
        </is>
      </c>
      <c r="Y105" t="inlineStr">
        <is>
          <t>lorem ipsum [fr]</t>
        </is>
      </c>
      <c r="Z105" s="5" t="inlineStr">
        <is>
          <t>OK</t>
        </is>
      </c>
    </row>
    <row r="106">
      <c r="A106" t="inlineStr">
        <is>
          <t>P104</t>
        </is>
      </c>
      <c r="B106" s="3" t="inlineStr">
        <is>
          <t>https://codesommet.com/tools/meta-extractor</t>
        </is>
      </c>
      <c r="C106" s="5" t="inlineStr">
        <is>
          <t>Extracteur de Métadonnées en Masse</t>
        </is>
      </c>
      <c r="D106" t="inlineStr">
        <is>
          <t>Free tool</t>
        </is>
      </c>
      <c r="E106" t="inlineStr">
        <is>
          <t>fr</t>
        </is>
      </c>
      <c r="F106" t="inlineStr">
        <is>
          <t>Francophone (FR proxy) + Morocco</t>
        </is>
      </c>
      <c r="G106" s="5" t="inlineStr">
        <is>
          <t>Extracteur de Métadonnées en Masse | CodeSommet</t>
        </is>
      </c>
      <c r="H106" t="n">
        <v>479</v>
      </c>
      <c r="I106" s="5" t="inlineStr">
        <is>
          <t>Récupérez en une fois le titre, la meta description, la canonical, la balise robots, le H1 et le nombre de mots de 20 pages. Doublons signalés, export CSV.</t>
        </is>
      </c>
      <c r="J106" t="n">
        <v>155</v>
      </c>
      <c r="K106" s="5" t="inlineStr">
        <is>
          <t>Extracteur de Métadonnées en Masse</t>
        </is>
      </c>
      <c r="L106" s="5" t="inlineStr">
        <is>
          <t>H2: Métadonnées par page | H2: Comment Utiliser Cet Outil | H2: Questions Fréquemment Posées | H3: Quelle longueur pour le titre et la description ? | H3: Pourquoi signaler les doublons ? | H3: Une page est affichée en erreur, pourquoi ? | H3: Les pages construites en JavaScript sont-elles analysées ? | H2: Outils Connexes Qui Pourraient Vous Intéresser | H2: Des Balises SEO à Reprendre sur Tout le Site ?</t>
        </is>
      </c>
      <c r="M106" t="n">
        <v>6</v>
      </c>
      <c r="N106" t="n">
        <v>4</v>
      </c>
      <c r="O106" t="inlineStr">
        <is>
          <t>Informational / tool use</t>
        </is>
      </c>
      <c r="P106" t="inlineStr">
        <is>
          <t>index, follow; HTTP 200</t>
        </is>
      </c>
      <c r="Q106" t="inlineStr">
        <is>
          <t>https://codesommet.com/tools/meta-extractor</t>
        </is>
      </c>
      <c r="R106" t="inlineStr">
        <is>
          <t>self</t>
        </is>
      </c>
      <c r="S106" t="n">
        <v>449</v>
      </c>
      <c r="T106" t="n">
        <v>10</v>
      </c>
      <c r="U106" t="n">
        <v>60</v>
      </c>
      <c r="V106" t="n">
        <v>1</v>
      </c>
      <c r="W106" t="n">
        <v>0</v>
      </c>
      <c r="X106" t="inlineStr">
        <is>
          <t>Article, BreadcrumbList, Organization, WebApplication, WebSite</t>
        </is>
      </c>
      <c r="Y106" t="inlineStr">
        <is>
          <t>extraire meta title [fr]</t>
        </is>
      </c>
      <c r="Z106" s="5" t="inlineStr">
        <is>
          <t>OK</t>
        </is>
      </c>
    </row>
    <row r="107">
      <c r="A107" t="inlineStr">
        <is>
          <t>P105</t>
        </is>
      </c>
      <c r="B107" s="3" t="inlineStr">
        <is>
          <t>https://codesommet.com/tools/meta-refresh-generator</t>
        </is>
      </c>
      <c r="C107" s="5" t="inlineStr">
        <is>
          <t>Générateur de Balise Meta Refresh Gratuit</t>
        </is>
      </c>
      <c r="D107" t="inlineStr">
        <is>
          <t>Free tool</t>
        </is>
      </c>
      <c r="E107" t="inlineStr">
        <is>
          <t>fr</t>
        </is>
      </c>
      <c r="F107" t="inlineStr">
        <is>
          <t>Francophone (FR proxy) + Morocco</t>
        </is>
      </c>
      <c r="G107" s="5" t="inlineStr">
        <is>
          <t>Générateur de Balise Meta Refresh Gratuit | CodeSommet</t>
        </is>
      </c>
      <c r="H107" t="n">
        <v>522</v>
      </c>
      <c r="I107" s="5" t="inlineStr">
        <is>
          <t>Générez une balise meta refresh avec le délai de votre choix pour créer une redirection HTML simple, sans configuration serveur.</t>
        </is>
      </c>
      <c r="J107" t="n">
        <v>128</v>
      </c>
      <c r="K107" s="5" t="inlineStr">
        <is>
          <t>Générateur de Balise Meta Refresh Gratuit</t>
        </is>
      </c>
      <c r="L107" s="5" t="inlineStr">
        <is>
          <t>H2: Configuration de Redirection | H2: Avertissement Impact SEO | H2: Quand Utiliser Meta Refresh | H2: Questions Fréquemment Posées | H3: Qu'est-ce qu'une redirection meta refresh et comment fonctionne-t-elle ? | H3: Quand dois-je utiliser les redirections meta refresh au lieu des redirections 301 ? | H3: Quel est le meilleur réglage de délai pour une redirection meta refresh ? | H3: Les redirections meta refresh nuisent-elles au SEO ? | H3: Quelle est la différence entre les redirections meta refresh et JavaScript ? | H3: Puis-je utiliser les redirections meta refresh pour les utilisateurs mobiles ? | H3: Quels sont les meilleurs cas d'utilisation pour les redirections meta refresh ? | H2: Outils Connexes Qui Pourraient Vous Intéresser | H2: Besoin d'un Outil Personnalisé pour Votre Entreprise ?</t>
        </is>
      </c>
      <c r="M107" t="n">
        <v>7</v>
      </c>
      <c r="N107" t="n">
        <v>7</v>
      </c>
      <c r="O107" t="inlineStr">
        <is>
          <t>Informational / tool use</t>
        </is>
      </c>
      <c r="P107" t="inlineStr">
        <is>
          <t>index, follow; HTTP 200</t>
        </is>
      </c>
      <c r="Q107" t="inlineStr">
        <is>
          <t>https://codesommet.com/tools/meta-refresh-generator</t>
        </is>
      </c>
      <c r="R107" t="inlineStr">
        <is>
          <t>self</t>
        </is>
      </c>
      <c r="S107" t="n">
        <v>955</v>
      </c>
      <c r="T107" t="n">
        <v>14</v>
      </c>
      <c r="U107" t="n">
        <v>61</v>
      </c>
      <c r="V107" t="n">
        <v>1</v>
      </c>
      <c r="W107" t="n">
        <v>0</v>
      </c>
      <c r="X107" t="inlineStr">
        <is>
          <t>Article, BreadcrumbList, Organization, WebApplication, WebSite</t>
        </is>
      </c>
      <c r="Y107" t="inlineStr">
        <is>
          <t>meta refresh [fr]</t>
        </is>
      </c>
      <c r="Z107" s="5" t="inlineStr">
        <is>
          <t>OK</t>
        </is>
      </c>
    </row>
    <row r="108">
      <c r="A108" t="inlineStr">
        <is>
          <t>P106</t>
        </is>
      </c>
      <c r="B108" s="3" t="inlineStr">
        <is>
          <t>https://codesommet.com/tools/meta-tag-generator</t>
        </is>
      </c>
      <c r="C108" s="5" t="inlineStr">
        <is>
          <t>Générateur de Balises Méta IA Gratuit</t>
        </is>
      </c>
      <c r="D108" t="inlineStr">
        <is>
          <t>Free tool</t>
        </is>
      </c>
      <c r="E108" t="inlineStr">
        <is>
          <t>fr</t>
        </is>
      </c>
      <c r="F108" t="inlineStr">
        <is>
          <t>Francophone (FR proxy) + Morocco</t>
        </is>
      </c>
      <c r="G108" s="5" t="inlineStr">
        <is>
          <t>Générateur de Balises Méta IA Gratuit | CodeSommet</t>
        </is>
      </c>
      <c r="H108" t="n">
        <v>481</v>
      </c>
      <c r="I108" s="5" t="inlineStr">
        <is>
          <t>Générez avec l'IA des balises title, meta description et Open Graph optimisées pour le SEO. Outil gratuit, résultat instantané.</t>
        </is>
      </c>
      <c r="J108" t="n">
        <v>127</v>
      </c>
      <c r="K108" s="5" t="inlineStr">
        <is>
          <t>Générateur de Balises Méta IA Gratuit</t>
        </is>
      </c>
      <c r="L108" s="5" t="inlineStr">
        <is>
          <t>H2: Entrez l'URL de Votre Site Web | H3: Comment Ça Fonctionne | H3: Bonnes Pratiques SEO | H2: Questions Fréquemment Posées | H3: Qu'est-ce qu'un générateur de balises méta et pourquoi en ai-je besoin ? | H3: Comment utiliser le Générateur de Balises Méta ? | H3: Quelles sont les limites de caractères idéales pour les balises méta ? | H3: Que sont les balises Open Graph et pourquoi sont-elles importantes ? | H3: Quelles sont les erreurs courantes de balises méta à éviter ? | H3: À quelle fréquence dois-je mettre à jour mes balises méta ? | H3: Puis-je personnaliser les balises méta générées ? | H2: Outils Connexes Qui Pourraient Vous Intéresser | H2: Besoin d'un Outil Personnalisé pour Votre Entreprise ?</t>
        </is>
      </c>
      <c r="M108" t="n">
        <v>5</v>
      </c>
      <c r="N108" t="n">
        <v>7</v>
      </c>
      <c r="O108" t="inlineStr">
        <is>
          <t>Informational / tool use</t>
        </is>
      </c>
      <c r="P108" t="inlineStr">
        <is>
          <t>index, follow; HTTP 200</t>
        </is>
      </c>
      <c r="Q108" t="inlineStr">
        <is>
          <t>https://codesommet.com/tools/meta-tag-generator</t>
        </is>
      </c>
      <c r="R108" t="inlineStr">
        <is>
          <t>self</t>
        </is>
      </c>
      <c r="S108" t="n">
        <v>909</v>
      </c>
      <c r="T108" t="n">
        <v>17</v>
      </c>
      <c r="U108" t="n">
        <v>61</v>
      </c>
      <c r="V108" t="n">
        <v>1</v>
      </c>
      <c r="W108" t="n">
        <v>0</v>
      </c>
      <c r="X108" t="inlineStr">
        <is>
          <t>Article, BreadcrumbList, Organization, WebApplication, WebSite</t>
        </is>
      </c>
      <c r="Y108" t="inlineStr">
        <is>
          <t>balise meta [fr]</t>
        </is>
      </c>
      <c r="Z108" s="5" t="inlineStr">
        <is>
          <t>OK</t>
        </is>
      </c>
    </row>
    <row r="109">
      <c r="A109" t="inlineStr">
        <is>
          <t>P107</t>
        </is>
      </c>
      <c r="B109" s="3" t="inlineStr">
        <is>
          <t>https://codesommet.com/tools/mobile-friendly-test</t>
        </is>
      </c>
      <c r="C109" s="5" t="inlineStr">
        <is>
          <t>Test de Compatibilité Mobile Gratuit</t>
        </is>
      </c>
      <c r="D109" t="inlineStr">
        <is>
          <t>Free tool</t>
        </is>
      </c>
      <c r="E109" t="inlineStr">
        <is>
          <t>fr</t>
        </is>
      </c>
      <c r="F109" t="inlineStr">
        <is>
          <t>Francophone (FR proxy) + Morocco</t>
        </is>
      </c>
      <c r="G109" s="5" t="inlineStr">
        <is>
          <t>Test de Compatibilité Mobile Gratuit | CodeSommet</t>
        </is>
      </c>
      <c r="H109" t="n">
        <v>457</v>
      </c>
      <c r="I109" s="5" t="inlineStr">
        <is>
          <t>Analysez l'utilisabilité mobile de votre site : viewport, tailles de police, cibles tactiles, avec des recommandations concrètes. Outil gratuit.</t>
        </is>
      </c>
      <c r="J109" t="n">
        <v>144</v>
      </c>
      <c r="K109" s="5" t="inlineStr">
        <is>
          <t>Test de Compatibilité Mobile Gratuit</t>
        </is>
      </c>
      <c r="L109" s="5" t="inlineStr">
        <is>
          <t>H2: Questions Fréquemment Posées | H3: Pourquoi la compatibilité mobile est-elle importante pour le SEO ? | H3: Qu'est-ce que la balise méta viewport et pourquoi est-elle essentielle ? | H3: Quelle est la taille de police minimale pour la lisibilité mobile ? | H3: Que sont les cibles tactiles et pourquoi sont-elles importantes ? | H3: Comment empêcher le défilement horizontal sur mobile ? | H3: Que sont les media queries et en ai-je besoin ? | H3: À quelle fréquence dois-je tester la compatibilité mobile de mon site ? | H2: Besoin d'un Outil Personnalisé pour Votre Entreprise ?</t>
        </is>
      </c>
      <c r="M109" t="n">
        <v>3</v>
      </c>
      <c r="N109" t="n">
        <v>6</v>
      </c>
      <c r="O109" t="inlineStr">
        <is>
          <t>Informational / tool use</t>
        </is>
      </c>
      <c r="P109" t="inlineStr">
        <is>
          <t>index, follow; HTTP 200</t>
        </is>
      </c>
      <c r="Q109" t="inlineStr">
        <is>
          <t>https://codesommet.com/tools/mobile-friendly-test</t>
        </is>
      </c>
      <c r="R109" t="inlineStr">
        <is>
          <t>self</t>
        </is>
      </c>
      <c r="S109" t="n">
        <v>695</v>
      </c>
      <c r="T109" t="n">
        <v>10</v>
      </c>
      <c r="U109" t="n">
        <v>58</v>
      </c>
      <c r="V109" t="n">
        <v>1</v>
      </c>
      <c r="W109" t="n">
        <v>0</v>
      </c>
      <c r="X109" t="inlineStr">
        <is>
          <t>Article, BreadcrumbList, Organization, WebApplication, WebSite</t>
        </is>
      </c>
      <c r="Y109" t="inlineStr">
        <is>
          <t>mobile friendly test [fr]</t>
        </is>
      </c>
      <c r="Z109" s="5" t="inlineStr">
        <is>
          <t>OK</t>
        </is>
      </c>
    </row>
    <row r="110">
      <c r="A110" t="inlineStr">
        <is>
          <t>P108</t>
        </is>
      </c>
      <c r="B110" s="3" t="inlineStr">
        <is>
          <t>https://codesommet.com/tools/ngram-extractor</t>
        </is>
      </c>
      <c r="C110" s="5" t="inlineStr">
        <is>
          <t>Extracteur de N-grammes : Mots Fréquents</t>
        </is>
      </c>
      <c r="D110" t="inlineStr">
        <is>
          <t>Free tool</t>
        </is>
      </c>
      <c r="E110" t="inlineStr">
        <is>
          <t>fr</t>
        </is>
      </c>
      <c r="F110" t="inlineStr">
        <is>
          <t>Francophone (FR proxy) + Morocco</t>
        </is>
      </c>
      <c r="G110" s="5" t="inlineStr">
        <is>
          <t>Extracteur de N-grammes - Mots Fréquents | CodeSommet</t>
        </is>
      </c>
      <c r="H110" t="n">
        <v>529</v>
      </c>
      <c r="I110" s="5" t="inlineStr">
        <is>
          <t>Extrayez les expressions de 1 à 4 mots les plus fréquentes d'un texte ou d'une URL, avec densité et présence dans les titres. Gratuit.</t>
        </is>
      </c>
      <c r="J110" t="n">
        <v>134</v>
      </c>
      <c r="K110" s="5" t="inlineStr">
        <is>
          <t>Extracteur de N-grammes : Mots Fréquents</t>
        </is>
      </c>
      <c r="L110" s="5" t="inlineStr">
        <is>
          <t>H2: Comment Utiliser Cet Outil | H2: Questions Fréquemment Posées | H3: Qu'est-ce qu'un n-gramme ? | H3: À quoi cela sert-il en SEO ? | H3: Quelle densité viser ? | H3: Pourquoi ignorer les mots-outils ? | H3: Le texte est-il envoyé à un serveur ? | H3: Pourquoi le texte chargé diffère-t-il de la page ? | H2: Outils Connexes Qui Pourraient Vous Intéresser | H2: Besoin de Contenus Qui Se Classent ?</t>
        </is>
      </c>
      <c r="M110" t="n">
        <v>5</v>
      </c>
      <c r="N110" t="n">
        <v>6</v>
      </c>
      <c r="O110" t="inlineStr">
        <is>
          <t>Informational / tool use</t>
        </is>
      </c>
      <c r="P110" t="inlineStr">
        <is>
          <t>index, follow; HTTP 200</t>
        </is>
      </c>
      <c r="Q110" t="inlineStr">
        <is>
          <t>https://codesommet.com/tools/ngram-extractor</t>
        </is>
      </c>
      <c r="R110" t="inlineStr">
        <is>
          <t>self</t>
        </is>
      </c>
      <c r="S110" t="n">
        <v>602</v>
      </c>
      <c r="T110" t="n">
        <v>11</v>
      </c>
      <c r="U110" t="n">
        <v>60</v>
      </c>
      <c r="V110" t="n">
        <v>1</v>
      </c>
      <c r="W110" t="n">
        <v>0</v>
      </c>
      <c r="X110" t="inlineStr">
        <is>
          <t>Article, BreadcrumbList, Organization, WebApplication, WebSite</t>
        </is>
      </c>
      <c r="Y110" t="inlineStr">
        <is>
          <t>n-gram [fr]</t>
        </is>
      </c>
      <c r="Z110" s="5" t="inlineStr">
        <is>
          <t>OK</t>
        </is>
      </c>
    </row>
    <row r="111">
      <c r="A111" t="inlineStr">
        <is>
          <t>P109</t>
        </is>
      </c>
      <c r="B111" s="3" t="inlineStr">
        <is>
          <t>https://codesommet.com/tools/nofollow-link-checker</t>
        </is>
      </c>
      <c r="C111" s="5" t="inlineStr">
        <is>
          <t>Vérificateur de Liens Nofollow Gratuit</t>
        </is>
      </c>
      <c r="D111" t="inlineStr">
        <is>
          <t>Free tool</t>
        </is>
      </c>
      <c r="E111" t="inlineStr">
        <is>
          <t>fr</t>
        </is>
      </c>
      <c r="F111" t="inlineStr">
        <is>
          <t>Francophone (FR proxy) + Morocco</t>
        </is>
      </c>
      <c r="G111" s="5" t="inlineStr">
        <is>
          <t>Vérificateur de Liens Nofollow Gratuit | CodeSommet</t>
        </is>
      </c>
      <c r="H111" t="n">
        <v>469</v>
      </c>
      <c r="I111" s="5" t="inlineStr">
        <is>
          <t>Analysez les attributs rel nofollow, sponsored et ugc des liens de n'importe quelle page et repérez ceux qui transmettent l'autorité. Gratuit.</t>
        </is>
      </c>
      <c r="J111" t="n">
        <v>142</v>
      </c>
      <c r="K111" s="5" t="inlineStr">
        <is>
          <t>Vérificateur de Liens Nofollow Gratuit</t>
        </is>
      </c>
      <c r="L111" s="5" t="inlineStr">
        <is>
          <t>H2: Comprendre les Liens Nofollow | H2: Questions Fréquemment Posées | H3: Qu'est-ce qu'un lien nofollow et pourquoi est-ce important pour le SEO ? | H3: Quand dois-je utiliser les liens nofollow vs dofollow ? | H3: Quelle est la différence entre les attributs nofollow, sponsored et UGC ? | H3: Le PageRank sculpting avec nofollow fonctionne-t-il encore ? | H3: Dois-je utiliser nofollow sur les liens internes ? | H3: À quelle fréquence dois-je auditer les liens nofollow de mon site ? | H3: Trop de liens nofollow peuvent-ils nuire à mon SEO ? | H2: Outils Connexes Qui Pourraient Vous Intéresser | H2: Besoin d'un Outil Personnalisé pour Votre Entreprise ?</t>
        </is>
      </c>
      <c r="M111" t="n">
        <v>5</v>
      </c>
      <c r="N111" t="n">
        <v>7</v>
      </c>
      <c r="O111" t="inlineStr">
        <is>
          <t>Informational / tool use</t>
        </is>
      </c>
      <c r="P111" t="inlineStr">
        <is>
          <t>index, follow; HTTP 200</t>
        </is>
      </c>
      <c r="Q111" t="inlineStr">
        <is>
          <t>https://codesommet.com/tools/nofollow-link-checker</t>
        </is>
      </c>
      <c r="R111" t="inlineStr">
        <is>
          <t>self</t>
        </is>
      </c>
      <c r="S111" t="n">
        <v>910</v>
      </c>
      <c r="T111" t="n">
        <v>12</v>
      </c>
      <c r="U111" t="n">
        <v>60</v>
      </c>
      <c r="V111" t="n">
        <v>1</v>
      </c>
      <c r="W111" t="n">
        <v>0</v>
      </c>
      <c r="X111" t="inlineStr">
        <is>
          <t>Article, BreadcrumbList, Organization, WebApplication, WebSite</t>
        </is>
      </c>
      <c r="Y111" t="inlineStr">
        <is>
          <t>nofollow [fr]</t>
        </is>
      </c>
      <c r="Z111" s="5" t="inlineStr">
        <is>
          <t>OK</t>
        </is>
      </c>
    </row>
    <row r="112">
      <c r="A112" t="inlineStr">
        <is>
          <t>P110</t>
        </is>
      </c>
      <c r="B112" s="3" t="inlineStr">
        <is>
          <t>https://codesommet.com/tools/og-preview-generator</t>
        </is>
      </c>
      <c r="C112" s="5" t="inlineStr">
        <is>
          <t>Aperçu Open Graph : Testeur Image OG</t>
        </is>
      </c>
      <c r="D112" t="inlineStr">
        <is>
          <t>Free tool</t>
        </is>
      </c>
      <c r="E112" t="inlineStr">
        <is>
          <t>fr</t>
        </is>
      </c>
      <c r="F112" t="inlineStr">
        <is>
          <t>Francophone (FR proxy) + Morocco</t>
        </is>
      </c>
      <c r="G112" s="5" t="inlineStr">
        <is>
          <t>Aperçu Open Graph - Testeur Image OG | CodeSommet</t>
        </is>
      </c>
      <c r="H112" t="n">
        <v>506</v>
      </c>
      <c r="I112" s="5" t="inlineStr">
        <is>
          <t>Prévisualisez votre page sur Facebook, X et LinkedIn : testez vos balises Open Graph et vos cartes de réseaux sociaux. Outil d'aperçu OG gratuit.</t>
        </is>
      </c>
      <c r="J112" t="n">
        <v>145</v>
      </c>
      <c r="K112" s="5" t="inlineStr">
        <is>
          <t>Aperçu Open Graph : Testeur Image OG</t>
        </is>
      </c>
      <c r="L112" s="5" t="inlineStr">
        <is>
          <t>H2: Questions Fréquemment Posées | H3: Que sont les balises Open Graph et pourquoi sont-elles importantes ? | H3: En quoi les balises OG diffèrent-elles entre Facebook, Twitter et LinkedIn ? | H3: Quelles sont les dimensions d'image idéales pour les aperçus sur les réseaux sociaux ? | H3: Quelle longueur doivent avoir mon titre et ma description pour de meilleurs résultats ? | H3: Comment tester si mes balises OG fonctionnent correctement ? | H3: Quelle est la différence entre og:image et twitter:image ? | H3: À quelle fréquence dois-je mettre à jour mes balises Open Graph ? | H2: Outils Connexes Qui Pourraient Vous Intéresser | H2: Besoin d'un Outil Personnalisé pour Votre Entreprise ?</t>
        </is>
      </c>
      <c r="M112" t="n">
        <v>4</v>
      </c>
      <c r="N112" t="n">
        <v>7</v>
      </c>
      <c r="O112" t="inlineStr">
        <is>
          <t>Informational / tool use</t>
        </is>
      </c>
      <c r="P112" t="inlineStr">
        <is>
          <t>index, follow; HTTP 200</t>
        </is>
      </c>
      <c r="Q112" t="inlineStr">
        <is>
          <t>https://codesommet.com/tools/og-preview-generator</t>
        </is>
      </c>
      <c r="R112" t="inlineStr">
        <is>
          <t>self</t>
        </is>
      </c>
      <c r="S112" t="n">
        <v>823</v>
      </c>
      <c r="T112" t="n">
        <v>11</v>
      </c>
      <c r="U112" t="n">
        <v>62</v>
      </c>
      <c r="V112" t="n">
        <v>1</v>
      </c>
      <c r="W112" t="n">
        <v>0</v>
      </c>
      <c r="X112" t="inlineStr">
        <is>
          <t>Article, BreadcrumbList, Organization, WebApplication, WebSite</t>
        </is>
      </c>
      <c r="Y112" t="inlineStr">
        <is>
          <t>open graph [fr]</t>
        </is>
      </c>
      <c r="Z112" s="5" t="inlineStr">
        <is>
          <t>OK</t>
        </is>
      </c>
    </row>
    <row r="113">
      <c r="A113" t="inlineStr">
        <is>
          <t>P111</t>
        </is>
      </c>
      <c r="B113" s="3" t="inlineStr">
        <is>
          <t>https://codesommet.com/tools/page-speed-analyzer</t>
        </is>
      </c>
      <c r="C113" s="5" t="inlineStr">
        <is>
          <t>Analyseur de Vitesse de Page Gratuit</t>
        </is>
      </c>
      <c r="D113" t="inlineStr">
        <is>
          <t>Free tool</t>
        </is>
      </c>
      <c r="E113" t="inlineStr">
        <is>
          <t>fr</t>
        </is>
      </c>
      <c r="F113" t="inlineStr">
        <is>
          <t>Francophone (FR proxy) + Morocco</t>
        </is>
      </c>
      <c r="G113" s="5" t="inlineStr">
        <is>
          <t>Analyseur de Vitesse de Page Gratuit | CodeSommet</t>
        </is>
      </c>
      <c r="H113" t="n">
        <v>473</v>
      </c>
      <c r="I113" s="5" t="inlineStr">
        <is>
          <t>Testez la vitesse de chargement d'une page et identifiez les optimisations prioritaires : poids, requêtes et bonnes pratiques de performance.</t>
        </is>
      </c>
      <c r="J113" t="n">
        <v>141</v>
      </c>
      <c r="K113" s="5" t="inlineStr">
        <is>
          <t>Analyseur de Vitesse de Page Gratuit</t>
        </is>
      </c>
      <c r="L113" s="5" t="inlineStr">
        <is>
          <t>H2: Questions Fréquemment Posées | H3: Pourquoi la vitesse de page est-elle importante pour le SEO et l'expérience utilisateur ? | H3: Que sont les Core Web Vitals et comment affectent-ils mon classement ? | H3: Quel est un bon temps de chargement de page en 2026 ? | H3: Pourquoi ma vitesse mobile est-elle plus lente que sur ordinateur, et est-ce important ? | H3: Quelles sont les actions rapides pour améliorer la vitesse de ma page aujourd'hui ? | H3: Comment l'utilisation d'un CDN améliore-t-elle la vitesse de page ? | H3: À quelle fréquence dois-je surveiller la vitesse de ma page ? | H2: Outils Connexes Qui Pourraient Vous Intéresser | H2: Besoin d'un Outil Personnalisé pour Votre Entreprise ?</t>
        </is>
      </c>
      <c r="M113" t="n">
        <v>4</v>
      </c>
      <c r="N113" t="n">
        <v>7</v>
      </c>
      <c r="O113" t="inlineStr">
        <is>
          <t>Informational / tool use</t>
        </is>
      </c>
      <c r="P113" t="inlineStr">
        <is>
          <t>index, follow; HTTP 200</t>
        </is>
      </c>
      <c r="Q113" t="inlineStr">
        <is>
          <t>https://codesommet.com/tools/page-speed-analyzer</t>
        </is>
      </c>
      <c r="R113" t="inlineStr">
        <is>
          <t>self</t>
        </is>
      </c>
      <c r="S113" t="n">
        <v>938</v>
      </c>
      <c r="T113" t="n">
        <v>11</v>
      </c>
      <c r="U113" t="n">
        <v>63</v>
      </c>
      <c r="V113" t="n">
        <v>1</v>
      </c>
      <c r="W113" t="n">
        <v>0</v>
      </c>
      <c r="X113" t="inlineStr">
        <is>
          <t>Article, BreadcrumbList, Organization, WebApplication, WebSite</t>
        </is>
      </c>
      <c r="Y113" t="inlineStr">
        <is>
          <t>test vitesse site web [fr]</t>
        </is>
      </c>
      <c r="Z113" s="5" t="inlineStr">
        <is>
          <t>OK</t>
        </is>
      </c>
    </row>
    <row r="114">
      <c r="A114" t="inlineStr">
        <is>
          <t>P112</t>
        </is>
      </c>
      <c r="B114" s="3" t="inlineStr">
        <is>
          <t>https://codesommet.com/tools/qr-code-generator</t>
        </is>
      </c>
      <c r="C114" s="5" t="inlineStr">
        <is>
          <t>Générateur de QR Code Gratuit</t>
        </is>
      </c>
      <c r="D114" t="inlineStr">
        <is>
          <t>Free tool</t>
        </is>
      </c>
      <c r="E114" t="inlineStr">
        <is>
          <t>fr</t>
        </is>
      </c>
      <c r="F114" t="inlineStr">
        <is>
          <t>Francophone (FR proxy) + Morocco</t>
        </is>
      </c>
      <c r="G114" s="5" t="inlineStr">
        <is>
          <t>Générateur de QR Code Gratuit | CodeSommet</t>
        </is>
      </c>
      <c r="H114" t="n">
        <v>425</v>
      </c>
      <c r="I114" s="5" t="inlineStr">
        <is>
          <t>Créez des QR codes personnalisés (URL, texte, Wi-Fi, vCard) et téléchargez-les en haute résolution. Générateur gratuit, sans inscription.</t>
        </is>
      </c>
      <c r="J114" t="n">
        <v>137</v>
      </c>
      <c r="K114" s="5" t="inlineStr">
        <is>
          <t>Générateur de QR Code Gratuit</t>
        </is>
      </c>
      <c r="L114" s="5" t="inlineStr">
        <is>
          <t>H2: Cas d'Utilisation | H2: Questions Fréquemment Posées | H3: Comment fonctionnent les QR codes ? | H3: Quelle taille d'impression pour mon QR code ? | H3: Que sont les niveaux de correction d'erreur et lequel choisir ? | H3: Puis-je personnaliser les couleurs de mon QR code ? | H3: Comment suivre le nombre de personnes qui scannent mon QR code ? | H3: Quelle est la quantité maximale de données qu'un QR code peut stocker ? | H3: Comment tester si mon QR code fonctionne correctement ? | H2: Outils Connexes Qui Pourraient Vous Intéresser | H2: Besoin d'un Outil Personnalisé pour Votre Entreprise ?</t>
        </is>
      </c>
      <c r="M114" t="n">
        <v>5</v>
      </c>
      <c r="N114" t="n">
        <v>7</v>
      </c>
      <c r="O114" t="inlineStr">
        <is>
          <t>Informational / tool use</t>
        </is>
      </c>
      <c r="P114" t="inlineStr">
        <is>
          <t>index, follow; HTTP 200</t>
        </is>
      </c>
      <c r="Q114" t="inlineStr">
        <is>
          <t>https://codesommet.com/tools/qr-code-generator</t>
        </is>
      </c>
      <c r="R114" t="inlineStr">
        <is>
          <t>self</t>
        </is>
      </c>
      <c r="S114" t="n">
        <v>789</v>
      </c>
      <c r="T114" t="n">
        <v>12</v>
      </c>
      <c r="U114" t="n">
        <v>61</v>
      </c>
      <c r="V114" t="n">
        <v>1</v>
      </c>
      <c r="W114" t="n">
        <v>0</v>
      </c>
      <c r="X114" t="inlineStr">
        <is>
          <t>Article, BreadcrumbList, Organization, WebApplication, WebSite</t>
        </is>
      </c>
      <c r="Y114" t="inlineStr">
        <is>
          <t>générateur qr code [fr]</t>
        </is>
      </c>
      <c r="Z114" s="5" t="inlineStr">
        <is>
          <t>OK</t>
        </is>
      </c>
    </row>
    <row r="115">
      <c r="A115" t="inlineStr">
        <is>
          <t>P113</t>
        </is>
      </c>
      <c r="B115" s="3" t="inlineStr">
        <is>
          <t>https://codesommet.com/tools/readability-analyzer</t>
        </is>
      </c>
      <c r="C115" s="5" t="inlineStr">
        <is>
          <t>Analyseur de Lisibilité de Contenu Gratuit</t>
        </is>
      </c>
      <c r="D115" t="inlineStr">
        <is>
          <t>Free tool</t>
        </is>
      </c>
      <c r="E115" t="inlineStr">
        <is>
          <t>fr</t>
        </is>
      </c>
      <c r="F115" t="inlineStr">
        <is>
          <t>Francophone (FR proxy) + Morocco</t>
        </is>
      </c>
      <c r="G115" s="5" t="inlineStr">
        <is>
          <t>Analyseur de Lisibilité de Contenu Gratuit | CodeSommet</t>
        </is>
      </c>
      <c r="H115" t="n">
        <v>506</v>
      </c>
      <c r="I115" s="5" t="inlineStr">
        <is>
          <t>Vérifiez la lisibilité de vos contenus avec les scores Flesch-Kincaid : niveau de lecture et pistes pour un texte plus clair. Outil gratuit.</t>
        </is>
      </c>
      <c r="J115" t="n">
        <v>140</v>
      </c>
      <c r="K115" s="5" t="inlineStr">
        <is>
          <t>Analyseur de Lisibilité de Contenu Gratuit</t>
        </is>
      </c>
      <c r="L115" s="5" t="inlineStr">
        <is>
          <t>H2: Questions Fréquentes | H3: Quelle est la différence entre Flesch Reading Ease et Flesch-Kincaid Grade ? | H3: Dois-je toujours viser le score de lisibilité le plus élevé ? | H3: Comment améliorer mon score de lisibilité sans simplifier le contenu ? | H3: Que signifient les 'mots complexes' dans l'analyse de lisibilité ? | H3: Puis-je utiliser cet outil pour vérifier la lisibilité dans d'autres langues que l'anglais ? | H2: Outils Connexes Qui Pourraient Vous Intéresser | H2: Besoin d'un Outil Personnalisé pour Votre Entreprise ?</t>
        </is>
      </c>
      <c r="M115" t="n">
        <v>4</v>
      </c>
      <c r="N115" t="n">
        <v>5</v>
      </c>
      <c r="O115" t="inlineStr">
        <is>
          <t>Informational / tool use</t>
        </is>
      </c>
      <c r="P115" t="inlineStr">
        <is>
          <t>index, follow; HTTP 200</t>
        </is>
      </c>
      <c r="Q115" t="inlineStr">
        <is>
          <t>https://codesommet.com/tools/readability-analyzer</t>
        </is>
      </c>
      <c r="R115" t="inlineStr">
        <is>
          <t>self</t>
        </is>
      </c>
      <c r="S115" t="n">
        <v>658</v>
      </c>
      <c r="T115" t="n">
        <v>9</v>
      </c>
      <c r="U115" t="n">
        <v>61</v>
      </c>
      <c r="V115" t="n">
        <v>1</v>
      </c>
      <c r="W115" t="n">
        <v>0</v>
      </c>
      <c r="X115" t="inlineStr">
        <is>
          <t>Article, BreadcrumbList, Organization, WebApplication, WebSite</t>
        </is>
      </c>
      <c r="Y115" t="inlineStr">
        <is>
          <t>test lisibilité [fr]</t>
        </is>
      </c>
      <c r="Z115" s="5" t="inlineStr">
        <is>
          <t>OK</t>
        </is>
      </c>
    </row>
    <row r="116">
      <c r="A116" t="inlineStr">
        <is>
          <t>P114</t>
        </is>
      </c>
      <c r="B116" s="3" t="inlineStr">
        <is>
          <t>https://codesommet.com/tools/redirect-checker</t>
        </is>
      </c>
      <c r="C116" s="5" t="inlineStr">
        <is>
          <t>Vérificateur de Redirections 301 et 302</t>
        </is>
      </c>
      <c r="D116" t="inlineStr">
        <is>
          <t>Free tool</t>
        </is>
      </c>
      <c r="E116" t="inlineStr">
        <is>
          <t>fr</t>
        </is>
      </c>
      <c r="F116" t="inlineStr">
        <is>
          <t>Francophone (FR proxy) + Morocco</t>
        </is>
      </c>
      <c r="G116" s="5" t="inlineStr">
        <is>
          <t>Vérificateur de Redirections 301 et 302 | CodeSommet</t>
        </is>
      </c>
      <c r="H116" t="n">
        <v>485</v>
      </c>
      <c r="I116" s="5" t="inlineStr">
        <is>
          <t>Vérifiez les redirections HTTP (301, 302, 307, 308) et les chaînes de redirection d'une URL, et corrigez les problèmes SEO. Outil gratuit.</t>
        </is>
      </c>
      <c r="J116" t="n">
        <v>138</v>
      </c>
      <c r="K116" s="5" t="inlineStr">
        <is>
          <t>Vérificateur de Redirections 301 et 302</t>
        </is>
      </c>
      <c r="L116" s="5" t="inlineStr">
        <is>
          <t>H2: Questions Fréquemment Posées | H3: Quelle est la différence entre les redirections 301 et 302 ? | H3: Qu'est-ce qu'une chaîne de redirection et pourquoi est-ce problématique ? | H3: Quelles sont les causes des boucles de redirection et comment les corriger ? | H3: Comment les redirections impactent-elles le SEO ? | H3: Combien de redirections sont de trop ? | H3: Dois-je rediriger HTTP vers HTTPS ? | H3: Quand dois-je utiliser une redirection 307 ou 308 ? | H2: Outils Connexes Qui Pourraient Vous Intéresser | H2: Besoin d'un Outil Personnalisé pour Votre Entreprise ?</t>
        </is>
      </c>
      <c r="M116" t="n">
        <v>4</v>
      </c>
      <c r="N116" t="n">
        <v>7</v>
      </c>
      <c r="O116" t="inlineStr">
        <is>
          <t>Informational / tool use</t>
        </is>
      </c>
      <c r="P116" t="inlineStr">
        <is>
          <t>index, follow; HTTP 200</t>
        </is>
      </c>
      <c r="Q116" t="inlineStr">
        <is>
          <t>https://codesommet.com/tools/redirect-checker</t>
        </is>
      </c>
      <c r="R116" t="inlineStr">
        <is>
          <t>self</t>
        </is>
      </c>
      <c r="S116" t="n">
        <v>766</v>
      </c>
      <c r="T116" t="n">
        <v>11</v>
      </c>
      <c r="U116" t="n">
        <v>62</v>
      </c>
      <c r="V116" t="n">
        <v>1</v>
      </c>
      <c r="W116" t="n">
        <v>0</v>
      </c>
      <c r="X116" t="inlineStr">
        <is>
          <t>Article, BreadcrumbList, Organization, WebApplication, WebSite</t>
        </is>
      </c>
      <c r="Y116" t="inlineStr">
        <is>
          <t>redirect checker [fr]</t>
        </is>
      </c>
      <c r="Z116" s="5" t="inlineStr">
        <is>
          <t>OK</t>
        </is>
      </c>
    </row>
    <row r="117">
      <c r="A117" t="inlineStr">
        <is>
          <t>P115</t>
        </is>
      </c>
      <c r="B117" s="3" t="inlineStr">
        <is>
          <t>https://codesommet.com/tools/robots-txt-generator</t>
        </is>
      </c>
      <c r="C117" s="5" t="inlineStr">
        <is>
          <t>Générateur de Fichier Robots.txt Gratuit</t>
        </is>
      </c>
      <c r="D117" t="inlineStr">
        <is>
          <t>Free tool</t>
        </is>
      </c>
      <c r="E117" t="inlineStr">
        <is>
          <t>fr</t>
        </is>
      </c>
      <c r="F117" t="inlineStr">
        <is>
          <t>Francophone (FR proxy) + Morocco</t>
        </is>
      </c>
      <c r="G117" s="5" t="inlineStr">
        <is>
          <t>Générateur de Fichier Robots.txt Gratuit | CodeSommet</t>
        </is>
      </c>
      <c r="H117" t="n">
        <v>498</v>
      </c>
      <c r="I117" s="5" t="inlineStr">
        <is>
          <t>Générez un fichier robots.txt conforme en quelques clics : règles par robot, chemins bloqués et référence sitemap incluse. Outil gratuit.</t>
        </is>
      </c>
      <c r="J117" t="n">
        <v>137</v>
      </c>
      <c r="K117" s="5" t="inlineStr">
        <is>
          <t>Générateur de Fichier Robots.txt Gratuit</t>
        </is>
      </c>
      <c r="L117" s="5" t="inlineStr">
        <is>
          <t>H2: Configurer le Robots.txt | H2: Comment Utiliser Cet Outil | H2: Questions Fréquemment Posées | H3: Qu'est-ce qu'un fichier robots.txt et pourquoi en ai-je besoin ? | H3: Où placer le fichier robots.txt sur mon site web ? | H3: Que signifient les directives User-agent et laquelle utiliser ? | H3: Comment bloquer des robots de moteurs de recherche spécifiques tout en en autorisant d'autres ? | H3: Dois-je inclure l'URL de mon sitemap dans robots.txt ? | H3: Puis-je utiliser des caractères génériques dans les règles de chemin robots.txt ? | H3: Comment tester mon fichier robots.txt avant de le déployer ? | H2: Outils Connexes Qui Pourraient Vous Intéresser | H2: Besoin d'un Outil Personnalisé pour Votre Entreprise ?</t>
        </is>
      </c>
      <c r="M117" t="n">
        <v>6</v>
      </c>
      <c r="N117" t="n">
        <v>7</v>
      </c>
      <c r="O117" t="inlineStr">
        <is>
          <t>Informational / tool use</t>
        </is>
      </c>
      <c r="P117" t="inlineStr">
        <is>
          <t>index, follow; HTTP 200</t>
        </is>
      </c>
      <c r="Q117" t="inlineStr">
        <is>
          <t>https://codesommet.com/tools/robots-txt-generator</t>
        </is>
      </c>
      <c r="R117" t="inlineStr">
        <is>
          <t>self</t>
        </is>
      </c>
      <c r="S117" t="n">
        <v>840</v>
      </c>
      <c r="T117" t="n">
        <v>13</v>
      </c>
      <c r="U117" t="n">
        <v>60</v>
      </c>
      <c r="V117" t="n">
        <v>1</v>
      </c>
      <c r="W117" t="n">
        <v>0</v>
      </c>
      <c r="X117" t="inlineStr">
        <is>
          <t>Article, BreadcrumbList, Organization, WebApplication, WebSite</t>
        </is>
      </c>
      <c r="Y117" t="inlineStr">
        <is>
          <t>robots.txt [fr]</t>
        </is>
      </c>
      <c r="Z117" s="5" t="inlineStr">
        <is>
          <t>OK</t>
        </is>
      </c>
    </row>
    <row r="118">
      <c r="A118" t="inlineStr">
        <is>
          <t>P116</t>
        </is>
      </c>
      <c r="B118" s="3" t="inlineStr">
        <is>
          <t>https://codesommet.com/tools/robots-txt-tester</t>
        </is>
      </c>
      <c r="C118" s="5" t="inlineStr">
        <is>
          <t>Testeur Robots.txt : URL Bloquée ou Non ?</t>
        </is>
      </c>
      <c r="D118" t="inlineStr">
        <is>
          <t>Free tool</t>
        </is>
      </c>
      <c r="E118" t="inlineStr">
        <is>
          <t>fr</t>
        </is>
      </c>
      <c r="F118" t="inlineStr">
        <is>
          <t>Francophone (FR proxy) + Morocco</t>
        </is>
      </c>
      <c r="G118" s="5" t="inlineStr">
        <is>
          <t>Testeur Robots.txt - URL Bloquée ou Non ? | CodeSommet</t>
        </is>
      </c>
      <c r="H118" t="n">
        <v>527</v>
      </c>
      <c r="I118" s="5" t="inlineStr">
        <is>
          <t>Testez vos URL contre votre robots.txt pour Googlebot, Bingbot, GPTBot ou tout robot : règle appliquée, groupes, sitemaps, erreurs. Gratuit.</t>
        </is>
      </c>
      <c r="J118" t="n">
        <v>140</v>
      </c>
      <c r="K118" s="5" t="inlineStr">
        <is>
          <t>Testeur Robots.txt : URL Bloquée ou Non ?</t>
        </is>
      </c>
      <c r="L118" s="5" t="inlineStr">
        <is>
          <t>H2: Résultats par URL | H2: Groupes et règles | H2: Avertissements de syntaxe | H3: Contenu analysé | H2: Comment Utiliser Cet Outil | H2: Questions Fréquemment Posées | H3: Comment un robot choisit-il son groupe de règles ? | H3: Quelle règle gagne quand plusieurs correspondent ? | H3: Que signifient « * » et « $ » dans un motif ? | H3: Un robots.txt empêche-t-il l'indexation ? | H3: Que se passe-t-il si le fichier est absent ou en erreur ? | H3: Crawl-delay et Noindex sont-ils pris en compte ? | H2: Outils Connexes Qui Pourraient Vous Intéresser | H2: Un Problème d'Exploration Plus Large ?</t>
        </is>
      </c>
      <c r="M118" t="n">
        <v>8</v>
      </c>
      <c r="N118" t="n">
        <v>6</v>
      </c>
      <c r="O118" t="inlineStr">
        <is>
          <t>Informational / tool use</t>
        </is>
      </c>
      <c r="P118" t="inlineStr">
        <is>
          <t>index, follow; HTTP 200</t>
        </is>
      </c>
      <c r="Q118" t="inlineStr">
        <is>
          <t>https://codesommet.com/tools/robots-txt-tester</t>
        </is>
      </c>
      <c r="R118" t="inlineStr">
        <is>
          <t>self</t>
        </is>
      </c>
      <c r="S118" t="n">
        <v>621</v>
      </c>
      <c r="T118" t="n">
        <v>15</v>
      </c>
      <c r="U118" t="n">
        <v>60</v>
      </c>
      <c r="V118" t="n">
        <v>1</v>
      </c>
      <c r="W118" t="n">
        <v>0</v>
      </c>
      <c r="X118" t="inlineStr">
        <is>
          <t>Article, BreadcrumbList, Organization, WebApplication, WebSite</t>
        </is>
      </c>
      <c r="Y118" t="inlineStr">
        <is>
          <t>test robots.txt [fr]</t>
        </is>
      </c>
      <c r="Z118" s="5" t="inlineStr">
        <is>
          <t>OK</t>
        </is>
      </c>
    </row>
    <row r="119">
      <c r="A119" t="inlineStr">
        <is>
          <t>P117</t>
        </is>
      </c>
      <c r="B119" s="3" t="inlineStr">
        <is>
          <t>https://codesommet.com/tools/robots-validator</t>
        </is>
      </c>
      <c r="C119" s="5" t="inlineStr">
        <is>
          <t>Validateur Robots.txt Gratuit</t>
        </is>
      </c>
      <c r="D119" t="inlineStr">
        <is>
          <t>Free tool</t>
        </is>
      </c>
      <c r="E119" t="inlineStr">
        <is>
          <t>fr</t>
        </is>
      </c>
      <c r="F119" t="inlineStr">
        <is>
          <t>Francophone (FR proxy) + Morocco</t>
        </is>
      </c>
      <c r="G119" s="5" t="inlineStr">
        <is>
          <t>Validateur Robots.txt Gratuit | CodeSommet</t>
        </is>
      </c>
      <c r="H119" t="n">
        <v>392</v>
      </c>
      <c r="I119" s="5" t="inlineStr">
        <is>
          <t>Validez la syntaxe de votre fichier robots.txt, vérifiez les directives de crawl et le blocage d'URL pour les moteurs de recherche. Outil gratuit.</t>
        </is>
      </c>
      <c r="J119" t="n">
        <v>146</v>
      </c>
      <c r="K119" s="5" t="inlineStr">
        <is>
          <t>Validateur Robots.txt Gratuit</t>
        </is>
      </c>
      <c r="L119" s="5" t="inlineStr">
        <is>
          <t>H2: Questions Fréquemment Posées | H3: Qu'est-ce que robots.txt et pourquoi est-il important pour le SEO ? | H3: Quelles sont les erreurs de syntaxe les plus courantes dans les fichiers robots.txt ? | H3: Le robots.txt peut-il accidentellement bloquer tout mon site web des moteurs de recherche ? | H3: Quelle est la différence entre les directives Allow et Disallow ? | H3: Dois-je inclure l'emplacement de mon sitemap dans robots.txt ? | H3: Comment tester si mon robots.txt bloque des URL spécifiques ? | H3: Puis-je utiliser robots.txt pour cacher des informations sensibles ? | H2: Outils Connexes Qui Pourraient Vous Intéresser | H2: Besoin d'un Outil Personnalisé pour Votre Entreprise ?</t>
        </is>
      </c>
      <c r="M119" t="n">
        <v>4</v>
      </c>
      <c r="N119" t="n">
        <v>7</v>
      </c>
      <c r="O119" t="inlineStr">
        <is>
          <t>Informational / tool use</t>
        </is>
      </c>
      <c r="P119" t="inlineStr">
        <is>
          <t>index, follow; HTTP 200</t>
        </is>
      </c>
      <c r="Q119" t="inlineStr">
        <is>
          <t>https://codesommet.com/tools/robots-validator</t>
        </is>
      </c>
      <c r="R119" t="inlineStr">
        <is>
          <t>self</t>
        </is>
      </c>
      <c r="S119" t="n">
        <v>782</v>
      </c>
      <c r="T119" t="n">
        <v>11</v>
      </c>
      <c r="U119" t="n">
        <v>60</v>
      </c>
      <c r="V119" t="n">
        <v>1</v>
      </c>
      <c r="W119" t="n">
        <v>0</v>
      </c>
      <c r="X119" t="inlineStr">
        <is>
          <t>Article, BreadcrumbList, Organization, WebApplication, WebSite</t>
        </is>
      </c>
      <c r="Y119" t="inlineStr">
        <is>
          <t>valider robots.txt [fr]</t>
        </is>
      </c>
      <c r="Z119" s="5" t="inlineStr">
        <is>
          <t>OK</t>
        </is>
      </c>
    </row>
    <row r="120">
      <c r="A120" t="inlineStr">
        <is>
          <t>P118</t>
        </is>
      </c>
      <c r="B120" s="3" t="inlineStr">
        <is>
          <t>https://codesommet.com/tools/schema-generator</t>
        </is>
      </c>
      <c r="C120" s="5" t="inlineStr">
        <is>
          <t>Générateur de Schema Markup JSON-LD</t>
        </is>
      </c>
      <c r="D120" t="inlineStr">
        <is>
          <t>Free tool</t>
        </is>
      </c>
      <c r="E120" t="inlineStr">
        <is>
          <t>fr</t>
        </is>
      </c>
      <c r="F120" t="inlineStr">
        <is>
          <t>Francophone (FR proxy) + Morocco</t>
        </is>
      </c>
      <c r="G120" s="5" t="inlineStr">
        <is>
          <t>Générateur de Schema Markup JSON-LD | CodeSommet</t>
        </is>
      </c>
      <c r="H120" t="n">
        <v>512</v>
      </c>
      <c r="I120" s="5" t="inlineStr">
        <is>
          <t>Générez tout type de balisage schema.org en JSON-LD : articles, produits, événements et plus encore. Générateur de schema gratuit.</t>
        </is>
      </c>
      <c r="J120" t="n">
        <v>130</v>
      </c>
      <c r="K120" s="5" t="inlineStr">
        <is>
          <t>Générateur de Schema Markup JSON-LD</t>
        </is>
      </c>
      <c r="L120" s="5" t="inlineStr">
        <is>
          <t>H2: Questions Fréquemment Posées | H3: Qu'est-ce que le schema markup (JSON-LD) et pourquoi est-il important pour le SEO ? | H3: Comment implémenter le schema markup sur mon site web ? | H3: Comment valider mon schema markup après l'avoir ajouté à mon site ? | H3: Le schema markup améliorera-t-il directement mon classement dans les recherches ? | H3: Puis-je utiliser plusieurs types de schema sur la même page ? | H2: Outils Connexes Qui Pourraient Vous Intéresser | H2: Besoin d'un Outil Personnalisé pour Votre Entreprise ?</t>
        </is>
      </c>
      <c r="M120" t="n">
        <v>4</v>
      </c>
      <c r="N120" t="n">
        <v>5</v>
      </c>
      <c r="O120" t="inlineStr">
        <is>
          <t>Informational / tool use</t>
        </is>
      </c>
      <c r="P120" t="inlineStr">
        <is>
          <t>index, follow; HTTP 200</t>
        </is>
      </c>
      <c r="Q120" t="inlineStr">
        <is>
          <t>https://codesommet.com/tools/schema-generator</t>
        </is>
      </c>
      <c r="R120" t="inlineStr">
        <is>
          <t>self</t>
        </is>
      </c>
      <c r="S120" t="n">
        <v>790</v>
      </c>
      <c r="T120" t="n">
        <v>9</v>
      </c>
      <c r="U120" t="n">
        <v>62</v>
      </c>
      <c r="V120" t="n">
        <v>1</v>
      </c>
      <c r="W120" t="n">
        <v>0</v>
      </c>
      <c r="X120" t="inlineStr">
        <is>
          <t>Article, BreadcrumbList, Organization, WebApplication, WebSite</t>
        </is>
      </c>
      <c r="Y120" t="inlineStr">
        <is>
          <t>schema markup [fr]</t>
        </is>
      </c>
      <c r="Z120" s="5" t="inlineStr">
        <is>
          <t>OK</t>
        </is>
      </c>
    </row>
    <row r="121">
      <c r="A121" t="inlineStr">
        <is>
          <t>P119</t>
        </is>
      </c>
      <c r="B121" s="3" t="inlineStr">
        <is>
          <t>https://codesommet.com/tools/security-headers-checker</t>
        </is>
      </c>
      <c r="C121" s="5" t="inlineStr">
        <is>
          <t>Test des En-têtes de Sécurité HTTP (A à F)</t>
        </is>
      </c>
      <c r="D121" t="inlineStr">
        <is>
          <t>Free tool</t>
        </is>
      </c>
      <c r="E121" t="inlineStr">
        <is>
          <t>fr</t>
        </is>
      </c>
      <c r="F121" t="inlineStr">
        <is>
          <t>Francophone (FR proxy) + Morocco</t>
        </is>
      </c>
      <c r="G121" s="5" t="inlineStr">
        <is>
          <t>Test des En-têtes de Sécurité HTTP (A à F) | CodeSommet</t>
        </is>
      </c>
      <c r="H121" t="n">
        <v>529</v>
      </c>
      <c r="I121" s="5" t="inlineStr">
        <is>
          <t>Analysez les en-têtes de sécurité de votre site (HSTS, CSP, X-Frame-Options, cookies) : note de A à F et corrections à appliquer. Gratuit.</t>
        </is>
      </c>
      <c r="J121" t="n">
        <v>138</v>
      </c>
      <c r="K121" s="5" t="inlineStr">
        <is>
          <t>Test des En-têtes de Sécurité HTTP (A à F)</t>
        </is>
      </c>
      <c r="L121" s="5" t="inlineStr">
        <is>
          <t>H2: Vérifications | H2: En-têtes de réponse reçus | H2: Comment Utiliser Cet Outil | H2: Questions Fréquemment Posées | H3: Les en-têtes de sécurité influencent-ils le référencement ? | H3: Qu'est-ce que Strict-Transport-Security (HSTS) ? | H3: Comment déployer une Content-Security-Policy sans tout casser ? | H3: X-Frame-Options ou frame-ancestors ? | H3: Pourquoi signaler l'en-tête Server ou X-Powered-By ? | H3: La note s'applique-t-elle à tout le site ? | H2: Outils Connexes Qui Pourraient Vous Intéresser | H2: Besoin de Sécuriser Votre Infrastructure ?</t>
        </is>
      </c>
      <c r="M121" t="n">
        <v>7</v>
      </c>
      <c r="N121" t="n">
        <v>6</v>
      </c>
      <c r="O121" t="inlineStr">
        <is>
          <t>Informational / tool use</t>
        </is>
      </c>
      <c r="P121" t="inlineStr">
        <is>
          <t>index, follow; HTTP 200</t>
        </is>
      </c>
      <c r="Q121" t="inlineStr">
        <is>
          <t>https://codesommet.com/tools/security-headers-checker</t>
        </is>
      </c>
      <c r="R121" t="inlineStr">
        <is>
          <t>self</t>
        </is>
      </c>
      <c r="S121" t="n">
        <v>590</v>
      </c>
      <c r="T121" t="n">
        <v>13</v>
      </c>
      <c r="U121" t="n">
        <v>60</v>
      </c>
      <c r="V121" t="n">
        <v>1</v>
      </c>
      <c r="W121" t="n">
        <v>0</v>
      </c>
      <c r="X121" t="inlineStr">
        <is>
          <t>Article, BreadcrumbList, Organization, WebApplication, WebSite</t>
        </is>
      </c>
      <c r="Y121" t="inlineStr">
        <is>
          <t>security headers [fr]</t>
        </is>
      </c>
      <c r="Z121" s="5" t="inlineStr">
        <is>
          <t>OK</t>
        </is>
      </c>
    </row>
    <row r="122">
      <c r="A122" t="inlineStr">
        <is>
          <t>P120</t>
        </is>
      </c>
      <c r="B122" s="3" t="inlineStr">
        <is>
          <t>https://codesommet.com/tools/serp-snippet-preview</t>
        </is>
      </c>
      <c r="C122" s="5" t="inlineStr">
        <is>
          <t>Aperçu SERP Google : Titre et Meta</t>
        </is>
      </c>
      <c r="D122" t="inlineStr">
        <is>
          <t>Free tool</t>
        </is>
      </c>
      <c r="E122" t="inlineStr">
        <is>
          <t>fr</t>
        </is>
      </c>
      <c r="F122" t="inlineStr">
        <is>
          <t>Francophone (FR proxy) + Morocco</t>
        </is>
      </c>
      <c r="G122" s="5" t="inlineStr">
        <is>
          <t>Aperçu SERP Google - Titre et Meta | CodeSommet</t>
        </is>
      </c>
      <c r="H122" t="n">
        <v>464</v>
      </c>
      <c r="I122" s="5" t="inlineStr">
        <is>
          <t>Prévisualisez votre résultat Google sur ordinateur et mobile et mesurez la largeur en pixels du titre et de la meta description avant publication.</t>
        </is>
      </c>
      <c r="J122" t="n">
        <v>146</v>
      </c>
      <c r="K122" s="5" t="inlineStr">
        <is>
          <t>Aperçu SERP Google : Titre et Meta</t>
        </is>
      </c>
      <c r="L122" s="5" t="inlineStr">
        <is>
          <t>H2: Vérifications | H2: Comment Utiliser Cet Outil | H2: Questions Fréquemment Posées | H3: Pourquoi mesurer en pixels plutôt qu'en caractères ? | H3: Quelles sont les limites utilisées ? | H3: Google réécrit-il mes titres ? | H3: La meta description influence-t-elle le classement ? | H3: Que signifie l'aperçu en mode sombre ? | H3: L'outil enregistre-t-il mes textes ? | H2: Outils Connexes Qui Pourraient Vous Intéresser | H2: Besoin d'Optimiser Toutes Vos Pages ?</t>
        </is>
      </c>
      <c r="M122" t="n">
        <v>6</v>
      </c>
      <c r="N122" t="n">
        <v>6</v>
      </c>
      <c r="O122" t="inlineStr">
        <is>
          <t>Informational / tool use</t>
        </is>
      </c>
      <c r="P122" t="inlineStr">
        <is>
          <t>index, follow; HTTP 200</t>
        </is>
      </c>
      <c r="Q122" t="inlineStr">
        <is>
          <t>https://codesommet.com/tools/serp-snippet-preview</t>
        </is>
      </c>
      <c r="R122" t="inlineStr">
        <is>
          <t>self</t>
        </is>
      </c>
      <c r="S122" t="n">
        <v>658</v>
      </c>
      <c r="T122" t="n">
        <v>12</v>
      </c>
      <c r="U122" t="n">
        <v>60</v>
      </c>
      <c r="V122" t="n">
        <v>1</v>
      </c>
      <c r="W122" t="n">
        <v>0</v>
      </c>
      <c r="X122" t="inlineStr">
        <is>
          <t>Article, BreadcrumbList, Organization, WebApplication, WebSite</t>
        </is>
      </c>
      <c r="Y122" t="inlineStr">
        <is>
          <t>simulateur serp [fr]</t>
        </is>
      </c>
      <c r="Z122" s="5" t="inlineStr">
        <is>
          <t>OK</t>
        </is>
      </c>
    </row>
    <row r="123">
      <c r="A123" t="inlineStr">
        <is>
          <t>P121</t>
        </is>
      </c>
      <c r="B123" s="3" t="inlineStr">
        <is>
          <t>https://codesommet.com/tools/sitemap-url-extractor</t>
        </is>
      </c>
      <c r="C123" s="5" t="inlineStr">
        <is>
          <t>Extracteur d'URL de Sitemap XML Gratuit</t>
        </is>
      </c>
      <c r="D123" t="inlineStr">
        <is>
          <t>Free tool</t>
        </is>
      </c>
      <c r="E123" t="inlineStr">
        <is>
          <t>fr</t>
        </is>
      </c>
      <c r="F123" t="inlineStr">
        <is>
          <t>Francophone (FR proxy) + Morocco</t>
        </is>
      </c>
      <c r="G123" s="5" t="inlineStr">
        <is>
          <t>Extracteur d'URL de Sitemap XML Gratuit | CodeSommet</t>
        </is>
      </c>
      <c r="H123" t="n">
        <v>512</v>
      </c>
      <c r="I123" s="5" t="inlineStr">
        <is>
          <t>Extrayez toutes les URL des sitemaps XML d'un site (index, gzip) avec lastmod et images, et repérez doublons et hôtes mixtes. Export CSV gratuit.</t>
        </is>
      </c>
      <c r="J123" t="n">
        <v>145</v>
      </c>
      <c r="K123" s="5" t="inlineStr">
        <is>
          <t>Extracteur d'URL de Sitemap XML Gratuit</t>
        </is>
      </c>
      <c r="L123" s="5" t="inlineStr">
        <is>
          <t>H2: Anomalies | H2: Par dossier | H2: Fichiers lus | H2: URL extraites | H2: Comment Utiliser Cet Outil | H2: Questions Fréquemment Posées | H3: À quoi sert d'extraire les URL d'un sitemap ? | H3: Quelles sont les limites d'un sitemap ? | H3: Le lastmod est-il important ? | H3: Pourquoi signaler les URL d'un autre hôte ? | H3: Un sitemap suffit-il à faire indexer mes pages ? | H3: L'outil lit-il les sitemaps d'images, de vidéos et d'actualités ? | H2: Outils Connexes Qui Pourraient Vous Intéresser | H2: Des Milliers de Pages à Mettre en Ordre ?</t>
        </is>
      </c>
      <c r="M123" t="n">
        <v>9</v>
      </c>
      <c r="N123" t="n">
        <v>6</v>
      </c>
      <c r="O123" t="inlineStr">
        <is>
          <t>Informational / tool use</t>
        </is>
      </c>
      <c r="P123" t="inlineStr">
        <is>
          <t>index, follow; HTTP 200</t>
        </is>
      </c>
      <c r="Q123" t="inlineStr">
        <is>
          <t>https://codesommet.com/tools/sitemap-url-extractor</t>
        </is>
      </c>
      <c r="R123" t="inlineStr">
        <is>
          <t>self</t>
        </is>
      </c>
      <c r="S123" t="n">
        <v>613</v>
      </c>
      <c r="T123" t="n">
        <v>15</v>
      </c>
      <c r="U123" t="n">
        <v>60</v>
      </c>
      <c r="V123" t="n">
        <v>1</v>
      </c>
      <c r="W123" t="n">
        <v>0</v>
      </c>
      <c r="X123" t="inlineStr">
        <is>
          <t>Article, BreadcrumbList, Organization, WebApplication, WebSite</t>
        </is>
      </c>
      <c r="Y123" t="inlineStr">
        <is>
          <t>sitemap url extractor [fr]</t>
        </is>
      </c>
      <c r="Z123" s="5" t="inlineStr">
        <is>
          <t>OK</t>
        </is>
      </c>
    </row>
    <row r="124">
      <c r="A124" t="inlineStr">
        <is>
          <t>P122</t>
        </is>
      </c>
      <c r="B124" s="3" t="inlineStr">
        <is>
          <t>https://codesommet.com/tools/sitemap-validator</t>
        </is>
      </c>
      <c r="C124" s="5" t="inlineStr">
        <is>
          <t>Validateur de Sitemap XML Gratuit</t>
        </is>
      </c>
      <c r="D124" t="inlineStr">
        <is>
          <t>Free tool</t>
        </is>
      </c>
      <c r="E124" t="inlineStr">
        <is>
          <t>fr</t>
        </is>
      </c>
      <c r="F124" t="inlineStr">
        <is>
          <t>Francophone (FR proxy) + Morocco</t>
        </is>
      </c>
      <c r="G124" s="5" t="inlineStr">
        <is>
          <t>Validateur de Sitemap XML Gratuit | CodeSommet</t>
        </is>
      </c>
      <c r="H124" t="n">
        <v>449</v>
      </c>
      <c r="I124" s="5" t="inlineStr">
        <is>
          <t>Validez votre sitemap XML : structure, statut des URL et erreurs bloquant l'indexation. Outil gratuit de validation de sitemap.</t>
        </is>
      </c>
      <c r="J124" t="n">
        <v>127</v>
      </c>
      <c r="K124" s="5" t="inlineStr">
        <is>
          <t>Validateur de Sitemap XML Gratuit</t>
        </is>
      </c>
      <c r="L124" s="5" t="inlineStr">
        <is>
          <t>H2: Questions Fréquemment Posées | H3: Que vérifie la validation de sitemap ? | H3: Quelles sont les erreurs de sitemap les plus courantes ? | H3: Comment corriger les erreurs de validation trouvées par cet outil ? | H3: Que sont les fichiers d'index de sitemap et quand les utiliser ? | H3: À quelle fréquence dois-je resoumettre mon sitemap à Google ? | H3: Pourquoi mon sitemap n'est-il pas exploré par les moteurs de recherche ? | H3: Dois-je inclure des images et des vidéos dans mon sitemap ? | H2: Outils Connexes Qui Pourraient Vous Intéresser | H2: Besoin d'un Outil Personnalisé pour Votre Entreprise ?</t>
        </is>
      </c>
      <c r="M124" t="n">
        <v>4</v>
      </c>
      <c r="N124" t="n">
        <v>7</v>
      </c>
      <c r="O124" t="inlineStr">
        <is>
          <t>Informational / tool use</t>
        </is>
      </c>
      <c r="P124" t="inlineStr">
        <is>
          <t>index, follow; HTTP 200</t>
        </is>
      </c>
      <c r="Q124" t="inlineStr">
        <is>
          <t>https://codesommet.com/tools/sitemap-validator</t>
        </is>
      </c>
      <c r="R124" t="inlineStr">
        <is>
          <t>self</t>
        </is>
      </c>
      <c r="S124" t="n">
        <v>726</v>
      </c>
      <c r="T124" t="n">
        <v>11</v>
      </c>
      <c r="U124" t="n">
        <v>60</v>
      </c>
      <c r="V124" t="n">
        <v>1</v>
      </c>
      <c r="W124" t="n">
        <v>0</v>
      </c>
      <c r="X124" t="inlineStr">
        <is>
          <t>Article, BreadcrumbList, Organization, WebApplication, WebSite</t>
        </is>
      </c>
      <c r="Y124" t="inlineStr">
        <is>
          <t>sitemap validator [fr]</t>
        </is>
      </c>
      <c r="Z124" s="5" t="inlineStr">
        <is>
          <t>OK</t>
        </is>
      </c>
    </row>
    <row r="125">
      <c r="A125" t="inlineStr">
        <is>
          <t>P123</t>
        </is>
      </c>
      <c r="B125" s="3" t="inlineStr">
        <is>
          <t>https://codesommet.com/tools/ssl-certificate-checker</t>
        </is>
      </c>
      <c r="C125" s="5" t="inlineStr">
        <is>
          <t>Vérificateur de Certificat SSL/TLS Gratuit</t>
        </is>
      </c>
      <c r="D125" t="inlineStr">
        <is>
          <t>Free tool</t>
        </is>
      </c>
      <c r="E125" t="inlineStr">
        <is>
          <t>fr</t>
        </is>
      </c>
      <c r="F125" t="inlineStr">
        <is>
          <t>Francophone (FR proxy) + Morocco</t>
        </is>
      </c>
      <c r="G125" s="5" t="inlineStr">
        <is>
          <t>Vérificateur de Certificat SSL/TLS Gratuit | CodeSommet</t>
        </is>
      </c>
      <c r="H125" t="n">
        <v>505</v>
      </c>
      <c r="I125" s="5" t="inlineStr">
        <is>
          <t>Vérifiez le certificat SSL/TLS d'un domaine : émetteur, date d'expiration, chaîne de certificats et version du protocole. Outil gratuit.</t>
        </is>
      </c>
      <c r="J125" t="n">
        <v>136</v>
      </c>
      <c r="K125" s="5" t="inlineStr">
        <is>
          <t>Vérificateur de Certificat SSL/TLS Gratuit</t>
        </is>
      </c>
      <c r="L125" s="5" t="inlineStr">
        <is>
          <t>H2: Ce que Cet Outil Vérifie | H2: Questions Fréquemment Posées | H3: Qu'est-ce qu'un certificat SSL et pourquoi est-il important ? | H3: À quelle fréquence dois-je vérifier mon certificat SSL ? | H3: Que signifie 'chaîne de certificat invalide' ? | H3: Un certificat SSL auto-signé est-il sûr à utiliser ? | H3: Quelle version du protocole SSL/TLS dois-je utiliser ? | H3: Mon certificat SSL expire bientôt - que dois-je faire ? | H2: Besoin d'un Outil Personnalisé pour Votre Entreprise ?</t>
        </is>
      </c>
      <c r="M125" t="n">
        <v>4</v>
      </c>
      <c r="N125" t="n">
        <v>6</v>
      </c>
      <c r="O125" t="inlineStr">
        <is>
          <t>Informational / tool use</t>
        </is>
      </c>
      <c r="P125" t="inlineStr">
        <is>
          <t>index, follow; HTTP 200</t>
        </is>
      </c>
      <c r="Q125" t="inlineStr">
        <is>
          <t>https://codesommet.com/tools/ssl-certificate-checker</t>
        </is>
      </c>
      <c r="R125" t="inlineStr">
        <is>
          <t>self</t>
        </is>
      </c>
      <c r="S125" t="n">
        <v>716</v>
      </c>
      <c r="T125" t="n">
        <v>10</v>
      </c>
      <c r="U125" t="n">
        <v>58</v>
      </c>
      <c r="V125" t="n">
        <v>1</v>
      </c>
      <c r="W125" t="n">
        <v>0</v>
      </c>
      <c r="X125" t="inlineStr">
        <is>
          <t>Article, BreadcrumbList, Organization, WebApplication, WebSite</t>
        </is>
      </c>
      <c r="Y125" t="inlineStr">
        <is>
          <t>test ssl [fr]</t>
        </is>
      </c>
      <c r="Z125" s="5" t="inlineStr">
        <is>
          <t>OK</t>
        </is>
      </c>
    </row>
    <row r="126">
      <c r="A126" t="inlineStr">
        <is>
          <t>P124</t>
        </is>
      </c>
      <c r="B126" s="3" t="inlineStr">
        <is>
          <t>https://codesommet.com/tools/structured-data-extractor</t>
        </is>
      </c>
      <c r="C126" s="5" t="inlineStr">
        <is>
          <t>Extracteur de Données Structurées JSON-LD</t>
        </is>
      </c>
      <c r="D126" t="inlineStr">
        <is>
          <t>Free tool</t>
        </is>
      </c>
      <c r="E126" t="inlineStr">
        <is>
          <t>fr</t>
        </is>
      </c>
      <c r="F126" t="inlineStr">
        <is>
          <t>Francophone (FR proxy) + Morocco</t>
        </is>
      </c>
      <c r="G126" s="5" t="inlineStr">
        <is>
          <t>Extracteur de Données Structurées JSON-LD | CodeSommet</t>
        </is>
      </c>
      <c r="H126" t="n">
        <v>544</v>
      </c>
      <c r="I126" s="5" t="inlineStr">
        <is>
          <t>Extrayez JSON-LD, microdonnées et RDFa d'une page et validez chaque entité schema.org pour les résultats enrichis Google. Gratuit.</t>
        </is>
      </c>
      <c r="J126" t="n">
        <v>130</v>
      </c>
      <c r="K126" s="5" t="inlineStr">
        <is>
          <t>Extracteur de Données Structurées JSON-LD</t>
        </is>
      </c>
      <c r="L126" s="5" t="inlineStr">
        <is>
          <t>H2: Entités détectées | H2: Blocs JSON-LD | H2: Comment Utiliser Cet Outil | H2: Questions Fréquemment Posées | H3: Quelle différence entre JSON-LD, microdonnées et RDFa ? | H3: Qu'est-ce qu'une propriété « requise » ou « recommandée » ? | H3: Pourquoi mon bloc est-il « JSON invalide » ? | H3: Un balisage valide garantit-il un résultat enrichi ? | H3: Faut-il un seul bloc ou plusieurs ? | H3: Quels types sont vérifiés ? | H2: Outils Connexes Qui Pourraient Vous Intéresser | H2: Besoin d'un Balisage Complet sur Tout le Site ?</t>
        </is>
      </c>
      <c r="M126" t="n">
        <v>7</v>
      </c>
      <c r="N126" t="n">
        <v>6</v>
      </c>
      <c r="O126" t="inlineStr">
        <is>
          <t>Informational / tool use</t>
        </is>
      </c>
      <c r="P126" t="inlineStr">
        <is>
          <t>index, follow; HTTP 200</t>
        </is>
      </c>
      <c r="Q126" t="inlineStr">
        <is>
          <t>https://codesommet.com/tools/structured-data-extractor</t>
        </is>
      </c>
      <c r="R126" t="inlineStr">
        <is>
          <t>self</t>
        </is>
      </c>
      <c r="S126" t="n">
        <v>608</v>
      </c>
      <c r="T126" t="n">
        <v>13</v>
      </c>
      <c r="U126" t="n">
        <v>60</v>
      </c>
      <c r="V126" t="n">
        <v>1</v>
      </c>
      <c r="W126" t="n">
        <v>0</v>
      </c>
      <c r="X126" t="inlineStr">
        <is>
          <t>Article, BreadcrumbList, Organization, WebApplication, WebSite</t>
        </is>
      </c>
      <c r="Y126" t="inlineStr">
        <is>
          <t>test données structurées [fr]</t>
        </is>
      </c>
      <c r="Z126" s="5" t="inlineStr">
        <is>
          <t>OK</t>
        </is>
      </c>
    </row>
    <row r="127">
      <c r="A127" t="inlineStr">
        <is>
          <t>P125</t>
        </is>
      </c>
      <c r="B127" s="3" t="inlineStr">
        <is>
          <t>https://codesommet.com/tools/text-case-converter</t>
        </is>
      </c>
      <c r="C127" s="5" t="inlineStr">
        <is>
          <t>Convertisseur de Casse de Texte Gratuit</t>
        </is>
      </c>
      <c r="D127" t="inlineStr">
        <is>
          <t>Free tool</t>
        </is>
      </c>
      <c r="E127" t="inlineStr">
        <is>
          <t>fr</t>
        </is>
      </c>
      <c r="F127" t="inlineStr">
        <is>
          <t>Francophone (FR proxy) + Morocco</t>
        </is>
      </c>
      <c r="G127" s="5" t="inlineStr">
        <is>
          <t>Convertisseur de Casse de Texte Gratuit | CodeSommet</t>
        </is>
      </c>
      <c r="H127" t="n">
        <v>503</v>
      </c>
      <c r="I127" s="5" t="inlineStr">
        <is>
          <t>Convertissez un texte en majuscules, minuscules, casse de titre, casse de phrase ou camelCase. Conversion instantanée et gratuite.</t>
        </is>
      </c>
      <c r="J127" t="n">
        <v>130</v>
      </c>
      <c r="K127" s="5" t="inlineStr">
        <is>
          <t>Convertisseur de Casse de Texte Gratuit</t>
        </is>
      </c>
      <c r="L127" s="5" t="inlineStr">
        <is>
          <t>H2: Ce que Cet Outil Fait | H2: Questions Fréquemment Posées | H3: Quand utiliser la Casse de Titre vs la Casse de Phrase ? | H3: La casse des URL (majuscules vs minuscules) affecte-t-elle le SEO ? | H3: Quelles sont les conventions de nommage en programmation ? | H3: Quelles sont les règles correctes pour la Casse de Titre ? | H3: Comment la casse du texte affecte-t-elle l'accessibilité pour les lecteurs d'écran ? | H3: Puis-je convertir de grands blocs de texte ou plusieurs paragraphes ? | H3: Pourquoi aurais-je besoin de snake_case ou camelCase pour des tâches non liées au code ? | H2: Outils Connexes Qui Pourraient Vous Intéresser | H2: Besoin d'un Outil Personnalisé pour Votre Entreprise ?</t>
        </is>
      </c>
      <c r="M127" t="n">
        <v>5</v>
      </c>
      <c r="N127" t="n">
        <v>6</v>
      </c>
      <c r="O127" t="inlineStr">
        <is>
          <t>Informational / tool use</t>
        </is>
      </c>
      <c r="P127" t="inlineStr">
        <is>
          <t>index, follow; HTTP 200</t>
        </is>
      </c>
      <c r="Q127" t="inlineStr">
        <is>
          <t>https://codesommet.com/tools/text-case-converter</t>
        </is>
      </c>
      <c r="R127" t="inlineStr">
        <is>
          <t>self</t>
        </is>
      </c>
      <c r="S127" t="n">
        <v>792</v>
      </c>
      <c r="T127" t="n">
        <v>12</v>
      </c>
      <c r="U127" t="n">
        <v>62</v>
      </c>
      <c r="V127" t="n">
        <v>1</v>
      </c>
      <c r="W127" t="n">
        <v>0</v>
      </c>
      <c r="X127" t="inlineStr">
        <is>
          <t>Article, BreadcrumbList, Organization, WebApplication, WebSite</t>
        </is>
      </c>
      <c r="Y127" t="inlineStr">
        <is>
          <t>majuscule en minuscule [fr]</t>
        </is>
      </c>
      <c r="Z127" s="5" t="inlineStr">
        <is>
          <t>OK</t>
        </is>
      </c>
    </row>
    <row r="128">
      <c r="A128" t="inlineStr">
        <is>
          <t>P126</t>
        </is>
      </c>
      <c r="B128" s="3" t="inlineStr">
        <is>
          <t>https://codesommet.com/tools/text-editor</t>
        </is>
      </c>
      <c r="C128" s="5" t="inlineStr">
        <is>
          <t>Éditeur de Texte Ligne par Ligne Gratuit</t>
        </is>
      </c>
      <c r="D128" t="inlineStr">
        <is>
          <t>Free tool</t>
        </is>
      </c>
      <c r="E128" t="inlineStr">
        <is>
          <t>fr</t>
        </is>
      </c>
      <c r="F128" t="inlineStr">
        <is>
          <t>Francophone (FR proxy) + Morocco</t>
        </is>
      </c>
      <c r="G128" s="5" t="inlineStr">
        <is>
          <t>Éditeur de Texte Ligne par Ligne Gratuit | CodeSommet</t>
        </is>
      </c>
      <c r="H128" t="n">
        <v>496</v>
      </c>
      <c r="I128" s="5" t="inlineStr">
        <is>
          <t>Traitez des listes de mots-clés ou de lignes : doublons et lignes vides supprimés, tri, filtres, rechercher-remplacer. 100 % dans le navigateur.</t>
        </is>
      </c>
      <c r="J128" t="n">
        <v>144</v>
      </c>
      <c r="K128" s="5" t="inlineStr">
        <is>
          <t>Éditeur de Texte Ligne par Ligne Gratuit</t>
        </is>
      </c>
      <c r="L128" s="5" t="inlineStr">
        <is>
          <t>H2: Comment Utiliser Cet Outil | H2: Questions Fréquemment Posées | H3: Dans quel ordre les opérations sont-elles appliquées ? | H3: La suppression des doublons tient-elle compte des majuscules ? | H3: Comment utiliser une expression régulière ? | H3: Et pour changer la casse ? | H2: Outils Connexes Qui Pourraient Vous Intéresser | H2: Une Stratégie de Mots-Clés à Construire ?</t>
        </is>
      </c>
      <c r="M128" t="n">
        <v>5</v>
      </c>
      <c r="N128" t="n">
        <v>4</v>
      </c>
      <c r="O128" t="inlineStr">
        <is>
          <t>Informational / tool use</t>
        </is>
      </c>
      <c r="P128" t="inlineStr">
        <is>
          <t>index, follow; HTTP 200</t>
        </is>
      </c>
      <c r="Q128" t="inlineStr">
        <is>
          <t>https://codesommet.com/tools/text-editor</t>
        </is>
      </c>
      <c r="R128" t="inlineStr">
        <is>
          <t>self</t>
        </is>
      </c>
      <c r="S128" t="n">
        <v>483</v>
      </c>
      <c r="T128" t="n">
        <v>9</v>
      </c>
      <c r="U128" t="n">
        <v>60</v>
      </c>
      <c r="V128" t="n">
        <v>1</v>
      </c>
      <c r="W128" t="n">
        <v>0</v>
      </c>
      <c r="X128" t="inlineStr">
        <is>
          <t>Article, BreadcrumbList, Organization, WebApplication, WebSite</t>
        </is>
      </c>
      <c r="Y128" t="inlineStr">
        <is>
          <t>éditeur de texte en ligne [fr]</t>
        </is>
      </c>
      <c r="Z128" s="5" t="inlineStr">
        <is>
          <t>OK</t>
        </is>
      </c>
    </row>
    <row r="129">
      <c r="A129" t="inlineStr">
        <is>
          <t>P127</t>
        </is>
      </c>
      <c r="B129" s="3" t="inlineStr">
        <is>
          <t>https://codesommet.com/tools/url-editor</t>
        </is>
      </c>
      <c r="C129" s="5" t="inlineStr">
        <is>
          <t>Éditeur d'URL en Masse : Nettoyer les URL</t>
        </is>
      </c>
      <c r="D129" t="inlineStr">
        <is>
          <t>Free tool</t>
        </is>
      </c>
      <c r="E129" t="inlineStr">
        <is>
          <t>fr</t>
        </is>
      </c>
      <c r="F129" t="inlineStr">
        <is>
          <t>Francophone (FR proxy) + Morocco</t>
        </is>
      </c>
      <c r="G129" s="5" t="inlineStr">
        <is>
          <t>Éditeur d'URL en Masse - Nettoyer les URL | CodeSommet</t>
        </is>
      </c>
      <c r="H129" t="n">
        <v>526</v>
      </c>
      <c r="I129" s="5" t="inlineStr">
        <is>
          <t>Nettoyez des centaines d'URL : paramètres de suivi (utm, gclid), ancres et doublons supprimés, HTTPS forcé, réduction à la racine. 100 % local.</t>
        </is>
      </c>
      <c r="J129" t="n">
        <v>143</v>
      </c>
      <c r="K129" s="5" t="inlineStr">
        <is>
          <t>Éditeur d'URL en Masse : Nettoyer les URL</t>
        </is>
      </c>
      <c r="L129" s="5" t="inlineStr">
        <is>
          <t>H2: Comment Utiliser Cet Outil | H2: Questions Fréquemment Posées | H3: Pourquoi retirer les paramètres de suivi ? | H3: Quelle différence entre « retirer le suivi » et « tout retirer » ? | H3: Les URL sont-elles envoyées quelque part ? | H3: Que deviennent les lignes qui ne sont pas des URL ? | H3: La barre oblique finale est-elle importante ? | H2: Outils Connexes Qui Pourraient Vous Intéresser | H2: Une Migration d'URL à Préparer ?</t>
        </is>
      </c>
      <c r="M129" t="n">
        <v>5</v>
      </c>
      <c r="N129" t="n">
        <v>5</v>
      </c>
      <c r="O129" t="inlineStr">
        <is>
          <t>Informational / tool use</t>
        </is>
      </c>
      <c r="P129" t="inlineStr">
        <is>
          <t>index, follow; HTTP 200</t>
        </is>
      </c>
      <c r="Q129" t="inlineStr">
        <is>
          <t>https://codesommet.com/tools/url-editor</t>
        </is>
      </c>
      <c r="R129" t="inlineStr">
        <is>
          <t>self</t>
        </is>
      </c>
      <c r="S129" t="n">
        <v>546</v>
      </c>
      <c r="T129" t="n">
        <v>10</v>
      </c>
      <c r="U129" t="n">
        <v>60</v>
      </c>
      <c r="V129" t="n">
        <v>1</v>
      </c>
      <c r="W129" t="n">
        <v>0</v>
      </c>
      <c r="X129" t="inlineStr">
        <is>
          <t>Article, BreadcrumbList, Organization, WebApplication, WebSite</t>
        </is>
      </c>
      <c r="Y129" t="inlineStr">
        <is>
          <t>nettoyer url [fr]</t>
        </is>
      </c>
      <c r="Z129" s="5" t="inlineStr">
        <is>
          <t>OK</t>
        </is>
      </c>
    </row>
    <row r="130">
      <c r="A130" t="inlineStr">
        <is>
          <t>P128</t>
        </is>
      </c>
      <c r="B130" s="3" t="inlineStr">
        <is>
          <t>https://codesommet.com/tools/url-slug-generator</t>
        </is>
      </c>
      <c r="C130" s="5" t="inlineStr">
        <is>
          <t>Générateur de Slug d'URL SEO Gratuit</t>
        </is>
      </c>
      <c r="D130" t="inlineStr">
        <is>
          <t>Free tool</t>
        </is>
      </c>
      <c r="E130" t="inlineStr">
        <is>
          <t>fr</t>
        </is>
      </c>
      <c r="F130" t="inlineStr">
        <is>
          <t>Francophone (FR proxy) + Morocco</t>
        </is>
      </c>
      <c r="G130" s="5" t="inlineStr">
        <is>
          <t>Générateur de Slug d'URL SEO Gratuit | CodeSommet</t>
        </is>
      </c>
      <c r="H130" t="n">
        <v>489</v>
      </c>
      <c r="I130" s="5" t="inlineStr">
        <is>
          <t>Convertissez vos titres en slugs d'URL propres, lisibles et optimisés pour le SEO. Générateur de slug gratuit avec formatage automatique.</t>
        </is>
      </c>
      <c r="J130" t="n">
        <v>137</v>
      </c>
      <c r="K130" s="5" t="inlineStr">
        <is>
          <t>Générateur de Slug d'URL SEO Gratuit</t>
        </is>
      </c>
      <c r="L130" s="5" t="inlineStr">
        <is>
          <t>H2: Questions Fréquemment Posées | H3: Qu'est-ce qu'un slug URL et pourquoi est-il important pour le SEO ? | H3: Dois-je utiliser des tirets ou des tirets bas dans les slugs URL ? | H3: Quelle est la longueur idéale pour un slug URL ? | H3: Comment gérer les caractères spéciaux et les mots vides ? | H3: Où placer les mots-clés dans mon slug URL ? | H3: Puis-je changer un slug URL existant sans nuire au SEO ? | H3: Quelles sont les différentes variantes de slug et quand les utiliser ? | H2: Outils Connexes Qui Pourraient Vous Intéresser | H2: Besoin d'un Outil Personnalisé pour Votre Entreprise ?</t>
        </is>
      </c>
      <c r="M130" t="n">
        <v>4</v>
      </c>
      <c r="N130" t="n">
        <v>3</v>
      </c>
      <c r="O130" t="inlineStr">
        <is>
          <t>Informational / tool use</t>
        </is>
      </c>
      <c r="P130" t="inlineStr">
        <is>
          <t>index, follow; HTTP 200</t>
        </is>
      </c>
      <c r="Q130" t="inlineStr">
        <is>
          <t>https://codesommet.com/tools/url-slug-generator</t>
        </is>
      </c>
      <c r="R130" t="inlineStr">
        <is>
          <t>self</t>
        </is>
      </c>
      <c r="S130" t="n">
        <v>601</v>
      </c>
      <c r="T130" t="n">
        <v>11</v>
      </c>
      <c r="U130" t="n">
        <v>61</v>
      </c>
      <c r="V130" t="n">
        <v>1</v>
      </c>
      <c r="W130" t="n">
        <v>0</v>
      </c>
      <c r="X130" t="inlineStr">
        <is>
          <t>Article, BreadcrumbList, Organization, WebApplication, WebSite</t>
        </is>
      </c>
      <c r="Y130" t="inlineStr">
        <is>
          <t>slug seo [fr]</t>
        </is>
      </c>
      <c r="Z130" s="5" t="inlineStr">
        <is>
          <t>OK</t>
        </is>
      </c>
    </row>
    <row r="131">
      <c r="A131" t="inlineStr">
        <is>
          <t>P129</t>
        </is>
      </c>
      <c r="B131" s="3" t="inlineStr">
        <is>
          <t>https://codesommet.com/tools/utm-builder</t>
        </is>
      </c>
      <c r="C131" s="5" t="inlineStr">
        <is>
          <t>Générateur d'URL UTM Gratuit</t>
        </is>
      </c>
      <c r="D131" t="inlineStr">
        <is>
          <t>Free tool</t>
        </is>
      </c>
      <c r="E131" t="inlineStr">
        <is>
          <t>fr</t>
        </is>
      </c>
      <c r="F131" t="inlineStr">
        <is>
          <t>Francophone (FR proxy) + Morocco</t>
        </is>
      </c>
      <c r="G131" s="5" t="inlineStr">
        <is>
          <t>Générateur d'URL UTM Gratuit | CodeSommet</t>
        </is>
      </c>
      <c r="H131" t="n">
        <v>417</v>
      </c>
      <c r="I131" s="5" t="inlineStr">
        <is>
          <t>Créez les URL de suivi UTM de vos campagnes (utm_source, utm_medium, utm_campaign) et suivez leurs performances dans Google Analytics.</t>
        </is>
      </c>
      <c r="J131" t="n">
        <v>134</v>
      </c>
      <c r="K131" s="5" t="inlineStr">
        <is>
          <t>Générateur d'URL UTM Gratuit</t>
        </is>
      </c>
      <c r="L131" s="5" t="inlineStr">
        <is>
          <t>H2: Générateur d'URL de Campagne | H2: Comment Utiliser les Paramètres UTM | H2: Questions Fréquemment Posées | H3: Que sont les paramètres UTM et pourquoi les utiliser ? | H3: Quels paramètres UTM sont requis vs optionnels ? | H3: Quelles conventions de nommage suivre pour les paramètres UTM ? | H3: Comment les paramètres UTM fonctionnent-ils avec Google Analytics ? | H3: Dois-je raccourcir les URL avec UTM avant de les partager ? | H3: Quelles sont les erreurs courantes à éviter avec les paramètres UTM ? | H3: Puis-je utiliser des paramètres UTM pour le trafic non payant ? | H2: Outils Connexes Qui Pourraient Vous Intéresser | H2: Besoin d'un Outil Personnalisé pour Votre Entreprise ?</t>
        </is>
      </c>
      <c r="M131" t="n">
        <v>6</v>
      </c>
      <c r="N131" t="n">
        <v>7</v>
      </c>
      <c r="O131" t="inlineStr">
        <is>
          <t>Informational / tool use</t>
        </is>
      </c>
      <c r="P131" t="inlineStr">
        <is>
          <t>index, follow; HTTP 200</t>
        </is>
      </c>
      <c r="Q131" t="inlineStr">
        <is>
          <t>https://codesommet.com/tools/utm-builder</t>
        </is>
      </c>
      <c r="R131" t="inlineStr">
        <is>
          <t>self</t>
        </is>
      </c>
      <c r="S131" t="n">
        <v>949</v>
      </c>
      <c r="T131" t="n">
        <v>13</v>
      </c>
      <c r="U131" t="n">
        <v>61</v>
      </c>
      <c r="V131" t="n">
        <v>1</v>
      </c>
      <c r="W131" t="n">
        <v>0</v>
      </c>
      <c r="X131" t="inlineStr">
        <is>
          <t>Article, BreadcrumbList, Organization, WebApplication, WebSite</t>
        </is>
      </c>
      <c r="Y131" t="inlineStr">
        <is>
          <t>utm builder [fr]</t>
        </is>
      </c>
      <c r="Z131" s="5" t="inlineStr">
        <is>
          <t>OK</t>
        </is>
      </c>
    </row>
    <row r="132">
      <c r="A132" t="inlineStr">
        <is>
          <t>P130</t>
        </is>
      </c>
      <c r="B132" s="3" t="inlineStr">
        <is>
          <t>https://codesommet.com/tools/website-analyzer</t>
        </is>
      </c>
      <c r="C132" s="5" t="inlineStr">
        <is>
          <t>Analyseur de Site Web : Audit SEO Gratuit</t>
        </is>
      </c>
      <c r="D132" t="inlineStr">
        <is>
          <t>Free tool</t>
        </is>
      </c>
      <c r="E132" t="inlineStr">
        <is>
          <t>fr</t>
        </is>
      </c>
      <c r="F132" t="inlineStr">
        <is>
          <t>Francophone (FR proxy) + Morocco</t>
        </is>
      </c>
      <c r="G132" s="5" t="inlineStr">
        <is>
          <t>Analyseur de Site Web - Audit SEO Gratuit | CodeSommet</t>
        </is>
      </c>
      <c r="H132" t="n">
        <v>521</v>
      </c>
      <c r="I132" s="5" t="inlineStr">
        <is>
          <t>Auditez votre site gratuitement : plus de 40 vérifications SEO, performance, sécurité et accessibilité, avec un score global et des conseils concrets.</t>
        </is>
      </c>
      <c r="J132" t="n">
        <v>150</v>
      </c>
      <c r="K132" s="5" t="inlineStr">
        <is>
          <t>Analyseur de Site Web : Audit SEO Gratuit</t>
        </is>
      </c>
      <c r="L132" s="5" t="inlineStr">
        <is>
          <t>H2: Analyser Votre Site Web | H2: Comment Fonctionne l'Analyseur de Site Web | H3: Saisie de l'URL &amp; vérifications instantanées | H3: Analyse SEO | H3: Métriques de Performance | H3: Analyse de la Qualité du Design | H3: Personalized Improvement Plan | H2: Ce que Nous Analysons : 40+ Points de Contrôle | H3: Analyse SEO | H3: Métriques de Performance | H3: Analyse de la Qualité du Design | H3: Audit de Sécurité | H3: Vérifications Instantanées de Santé | H2: Pourquoi utiliser cet outil gratuit ? | H3: Analyse Visuelle Avancée | H3: 40+ Vérifications Complètes | H3: Feuille de Route Personnalisée | H3: Résultats Progressifs Instantanés | H3: Références Sectorielles Spécifiques | H3: 100 % gratuit pour toujours | H3: Prêt à analyser votre site web ? | H2: Analyseur de site web vs audit SEO manuel | H2: Questions Fréquemment Posées | H3: Que vérifie l'Analyseur de site web ? | H3: Comment fonctionne l'analyse du design ? | H3: Que sont les Core Web Vitals et pourquoi sont-ils importants ? | H3: Quel est le niveau de précision de la détection du secteur ? | H3: Qu'est-ce qui est inclus dans le plan d'amélioration personnalisé ? | H3: ? quelle fréquence l'analyse est-elle mise en cache ? | H3: Puis-je partager les résultats de mon analyse de site web ? | H3: Qu'est-ce qui différencie cet outil des autres analyseurs de site web ? | H2: Besoin d'un Outil Personnalisé pour Votre Entreprise ?</t>
        </is>
      </c>
      <c r="M132" t="n">
        <v>8</v>
      </c>
      <c r="N132" t="n">
        <v>8</v>
      </c>
      <c r="O132" t="inlineStr">
        <is>
          <t>Informational / tool use</t>
        </is>
      </c>
      <c r="P132" t="inlineStr">
        <is>
          <t>index, follow; HTTP 200</t>
        </is>
      </c>
      <c r="Q132" t="inlineStr">
        <is>
          <t>https://codesommet.com/tools/website-analyzer</t>
        </is>
      </c>
      <c r="R132" t="inlineStr">
        <is>
          <t>self</t>
        </is>
      </c>
      <c r="S132" t="n">
        <v>1607</v>
      </c>
      <c r="T132" t="n">
        <v>33</v>
      </c>
      <c r="U132" t="n">
        <v>63</v>
      </c>
      <c r="V132" t="n">
        <v>1</v>
      </c>
      <c r="W132" t="n">
        <v>0</v>
      </c>
      <c r="X132" t="inlineStr">
        <is>
          <t>Article, BreadcrumbList, Organization, WebApplication, WebSite</t>
        </is>
      </c>
      <c r="Y132" t="inlineStr">
        <is>
          <t>audit seo gratuit [fr]</t>
        </is>
      </c>
      <c r="Z132" s="5" t="inlineStr">
        <is>
          <t>Review: 33 headings</t>
        </is>
      </c>
    </row>
    <row r="133">
      <c r="A133" t="inlineStr">
        <is>
          <t>P131</t>
        </is>
      </c>
      <c r="B133" s="3" t="inlineStr">
        <is>
          <t>https://codesommet.com/tools/website-readiness-checker</t>
        </is>
      </c>
      <c r="C133" s="5" t="inlineStr">
        <is>
          <t>Vérificateur de Préparation de Site Web Gratuit</t>
        </is>
      </c>
      <c r="D133" t="inlineStr">
        <is>
          <t>Free tool</t>
        </is>
      </c>
      <c r="E133" t="inlineStr">
        <is>
          <t>fr</t>
        </is>
      </c>
      <c r="F133" t="inlineStr">
        <is>
          <t>Francophone (FR proxy) + Morocco</t>
        </is>
      </c>
      <c r="G133" s="5" t="inlineStr">
        <is>
          <t>Vérificateur de Préparation de Site Web Gratuit | CodeSommet</t>
        </is>
      </c>
      <c r="H133" t="n">
        <v>559</v>
      </c>
      <c r="I133" s="5" t="inlineStr">
        <is>
          <t>Vérifiez que votre site est prêt pour le lancement : SEO, sécurité, performance et accessibilité passés en revue par une checklist automatisée.</t>
        </is>
      </c>
      <c r="J133" t="n">
        <v>143</v>
      </c>
      <c r="K133" s="5" t="inlineStr">
        <is>
          <t>Vérificateur de Préparation de Site Web Gratuit</t>
        </is>
      </c>
      <c r="L133" s="5" t="inlineStr">
        <is>
          <t>H2: Questions Fréquemment Posées | H3: Qu'analyse le Vérificateur de Préparation du Site Web ? | H3: Comment le score de préparation est-il calculé ? | H3: Quelle est la différence entre ceci et le Vérificateur de Santé de Domaine ? | H3: Pourquoi le SEO est-il important pour mon site web ? | H3: Que vérifie la vérification de Configuration Analytique ? | H3: Pourquoi HTTPS et SSL sont-ils importants ? | H3: Que sont les Pages de Politique et pourquoi en ai-je besoin ? | H3: À quelle fréquence dois-je vérifier la préparation de mon site web ? | H3: Puis-je utiliser cet outil pour l'analyse de la concurrence ? | H3: Cet outil est-il entièrement gratuit ? | H2: Outils Connexes Qui Pourraient Vous Intéresser | H2: Besoin d'un Outil Personnalisé pour Votre Entreprise ?</t>
        </is>
      </c>
      <c r="M133" t="n">
        <v>4</v>
      </c>
      <c r="N133" t="n">
        <v>10</v>
      </c>
      <c r="O133" t="inlineStr">
        <is>
          <t>Informational / tool use</t>
        </is>
      </c>
      <c r="P133" t="inlineStr">
        <is>
          <t>index, follow; HTTP 200</t>
        </is>
      </c>
      <c r="Q133" t="inlineStr">
        <is>
          <t>https://codesommet.com/tools/website-readiness-checker</t>
        </is>
      </c>
      <c r="R133" t="inlineStr">
        <is>
          <t>self</t>
        </is>
      </c>
      <c r="S133" t="n">
        <v>910</v>
      </c>
      <c r="T133" t="n">
        <v>14</v>
      </c>
      <c r="U133" t="n">
        <v>64</v>
      </c>
      <c r="V133" t="n">
        <v>1</v>
      </c>
      <c r="W133" t="n">
        <v>0</v>
      </c>
      <c r="X133" t="inlineStr">
        <is>
          <t>Article, BreadcrumbList, Organization, WebApplication, WebSite</t>
        </is>
      </c>
      <c r="Y133" t="inlineStr">
        <is>
          <t>checklist mise en ligne site [fr]</t>
        </is>
      </c>
      <c r="Z133" s="5" t="inlineStr">
        <is>
          <t>OK</t>
        </is>
      </c>
    </row>
    <row r="134">
      <c r="A134" t="inlineStr">
        <is>
          <t>P132</t>
        </is>
      </c>
      <c r="B134" s="3" t="inlineStr">
        <is>
          <t>https://codesommet.com/tools/word-counter</t>
        </is>
      </c>
      <c r="C134" s="5" t="inlineStr">
        <is>
          <t>Compteur de Mots et de Caractères Gratuit</t>
        </is>
      </c>
      <c r="D134" t="inlineStr">
        <is>
          <t>Free tool</t>
        </is>
      </c>
      <c r="E134" t="inlineStr">
        <is>
          <t>fr</t>
        </is>
      </c>
      <c r="F134" t="inlineStr">
        <is>
          <t>Francophone (FR proxy) + Morocco</t>
        </is>
      </c>
      <c r="G134" s="5" t="inlineStr">
        <is>
          <t>Compteur de Mots et de Caractères Gratuit | CodeSommet</t>
        </is>
      </c>
      <c r="H134" t="n">
        <v>527</v>
      </c>
      <c r="I134" s="5" t="inlineStr">
        <is>
          <t>Comptez mots, caractères, phrases et paragraphes instantanément, avec temps de lecture estimé et fréquence des mots-clés. Gratuit.</t>
        </is>
      </c>
      <c r="J134" t="n">
        <v>130</v>
      </c>
      <c r="K134" s="5" t="inlineStr">
        <is>
          <t>Compteur de Mots et de Caractères Gratuit</t>
        </is>
      </c>
      <c r="L134" s="5" t="inlineStr">
        <is>
          <t>H2: Questions Fréquemment Posées | H3: Quelle est la longueur idéale d'un article de blog pour le SEO ? | H3: Combien de caractères puis-je utiliser sur Twitter/X, Instagram et LinkedIn ? | H3: Quelle est la différence entre les mots, les paragraphes et les phrases ? | H3: Comment le temps de lecture est-il calculé ? | H3: Quelle est la longueur optimale de la meta description pour le SEO ? | H3: Combien de mots ma page d'accueil devrait-elle avoir ? | H3: Puis-je analyser du texte à partir d'une URL ou dois-je coller le contenu ? | H2: Outils Connexes Qui Pourraient Vous Intéresser | H2: Besoin d'un Outil Personnalisé pour Votre Entreprise ?</t>
        </is>
      </c>
      <c r="M134" t="n">
        <v>4</v>
      </c>
      <c r="N134" t="n">
        <v>6</v>
      </c>
      <c r="O134" t="inlineStr">
        <is>
          <t>Informational / tool use</t>
        </is>
      </c>
      <c r="P134" t="inlineStr">
        <is>
          <t>index, follow; HTTP 200</t>
        </is>
      </c>
      <c r="Q134" t="inlineStr">
        <is>
          <t>https://codesommet.com/tools/word-counter</t>
        </is>
      </c>
      <c r="R134" t="inlineStr">
        <is>
          <t>self</t>
        </is>
      </c>
      <c r="S134" t="n">
        <v>765</v>
      </c>
      <c r="T134" t="n">
        <v>11</v>
      </c>
      <c r="U134" t="n">
        <v>62</v>
      </c>
      <c r="V134" t="n">
        <v>1</v>
      </c>
      <c r="W134" t="n">
        <v>0</v>
      </c>
      <c r="X134" t="inlineStr">
        <is>
          <t>Article, BreadcrumbList, Organization, WebApplication, WebSite</t>
        </is>
      </c>
      <c r="Y134" t="inlineStr">
        <is>
          <t>compteur de mots [fr]</t>
        </is>
      </c>
      <c r="Z134" s="5" t="inlineStr">
        <is>
          <t>OK</t>
        </is>
      </c>
    </row>
    <row r="135">
      <c r="A135" t="inlineStr">
        <is>
          <t>P133</t>
        </is>
      </c>
      <c r="B135" s="3" t="inlineStr">
        <is>
          <t>https://codesommet.com/tools/xml-sitemap-generator</t>
        </is>
      </c>
      <c r="C135" s="5" t="inlineStr">
        <is>
          <t>Générateur de Sitemap XML Gratuit</t>
        </is>
      </c>
      <c r="D135" t="inlineStr">
        <is>
          <t>Free tool</t>
        </is>
      </c>
      <c r="E135" t="inlineStr">
        <is>
          <t>fr</t>
        </is>
      </c>
      <c r="F135" t="inlineStr">
        <is>
          <t>Francophone (FR proxy) + Morocco</t>
        </is>
      </c>
      <c r="G135" s="5" t="inlineStr">
        <is>
          <t>Générateur de Sitemap XML Gratuit | CodeSommet</t>
        </is>
      </c>
      <c r="H135" t="n">
        <v>462</v>
      </c>
      <c r="I135" s="5" t="inlineStr">
        <is>
          <t>Générez le sitemap XML de votre site pour aider les moteurs de recherche à découvrir et indexer vos pages. Gratuit, téléchargement instantané.</t>
        </is>
      </c>
      <c r="J135" t="n">
        <v>142</v>
      </c>
      <c r="K135" s="5" t="inlineStr">
        <is>
          <t>Générateur de Sitemap XML Gratuit</t>
        </is>
      </c>
      <c r="L135" s="5" t="inlineStr">
        <is>
          <t>H2: Trouver les URL en explorant votre site | H2: Comment utiliser cet outil | H2: Meilleures Pratiques pour les Sitemaps XML | H2: Comprendre les Paramètres du Sitemap | H2: Questions Fréquemment Posées | H3: Qu'est-ce qu'un sitemap XML et pourquoi en ai-je besoin ? | H3: À quelle fréquence dois-je mettre à jour mon sitemap XML ? | H3: Comment soumettre mon sitemap à Google Search Console ? | H3: Que dois-je définir pour les valeurs de priorité et changefreq ? | H3: Dois-je inclure chaque page de mon site web ? | H3: Quelles sont les erreurs courantes de sitemap XML à éviter ? | H3: Où dois-je uploader mon fichier sitemap.xml ? | H2: Outils Connexes Qui Pourraient Vous Intéresser | H2: Besoin d'un Outil Personnalisé pour Votre Entreprise ?</t>
        </is>
      </c>
      <c r="M135" t="n">
        <v>8</v>
      </c>
      <c r="N135" t="n">
        <v>7</v>
      </c>
      <c r="O135" t="inlineStr">
        <is>
          <t>Informational / tool use</t>
        </is>
      </c>
      <c r="P135" t="inlineStr">
        <is>
          <t>index, follow; HTTP 200</t>
        </is>
      </c>
      <c r="Q135" t="inlineStr">
        <is>
          <t>https://codesommet.com/tools/xml-sitemap-generator</t>
        </is>
      </c>
      <c r="R135" t="inlineStr">
        <is>
          <t>self</t>
        </is>
      </c>
      <c r="S135" t="n">
        <v>1131</v>
      </c>
      <c r="T135" t="n">
        <v>15</v>
      </c>
      <c r="U135" t="n">
        <v>61</v>
      </c>
      <c r="V135" t="n">
        <v>1</v>
      </c>
      <c r="W135" t="n">
        <v>0</v>
      </c>
      <c r="X135" t="inlineStr">
        <is>
          <t>Article, BreadcrumbList, Organization, WebApplication, WebSite</t>
        </is>
      </c>
      <c r="Y135" t="inlineStr">
        <is>
          <t>sitemap xml [fr]</t>
        </is>
      </c>
      <c r="Z135" s="5" t="inlineStr">
        <is>
          <t>OK</t>
        </is>
      </c>
    </row>
    <row r="136">
      <c r="A136" t="inlineStr">
        <is>
          <t>P134</t>
        </is>
      </c>
      <c r="B136" s="3" t="inlineStr">
        <is>
          <t>https://codesommet.com/our-work/akoubri</t>
        </is>
      </c>
      <c r="C136" s="5" t="inlineStr">
        <is>
          <t>Akoubri Site d'Architecte à Marrakech</t>
        </is>
      </c>
      <c r="D136" t="inlineStr">
        <is>
          <t>Case study</t>
        </is>
      </c>
      <c r="E136" t="inlineStr">
        <is>
          <t>fr</t>
        </is>
      </c>
      <c r="F136" t="inlineStr">
        <is>
          <t>Morocco</t>
        </is>
      </c>
      <c r="G136" s="5" t="inlineStr">
        <is>
          <t>Akoubri - Site d'Architecte à Marrakech | CodeSommet</t>
        </is>
      </c>
      <c r="H136" t="n">
        <v>487</v>
      </c>
      <c r="I136" s="5" t="inlineStr">
        <is>
          <t>Akoubri : site vitrine premium pour un cabinet d'architecture et de design d'intérieur à Marrakech. Portfolio, images 3D, journal SEO et devis en ligne.</t>
        </is>
      </c>
      <c r="J136" t="n">
        <v>152</v>
      </c>
      <c r="K136" s="5" t="inlineStr">
        <is>
          <t>Akoubri Site d'Architecte à Marrakech</t>
        </is>
      </c>
      <c r="L136" s="5" t="inlineStr">
        <is>
          <t>H2: Le Parcours | H3: Le Défi | H3: Notre Solution | H3: Fonctionnalités Clés | H3: Stack Technologique | H2: Aperçu de l'Interface | H3: Optimisé Bureau | H3: Adapté Mobile | H2: Impact Mesurable | H3: Comparez les Performances de Votre Site Web | H2: Prêt à Créer Quelque Chose d'Extraordinaire ?</t>
        </is>
      </c>
      <c r="M136" t="n">
        <v>5</v>
      </c>
      <c r="N136" t="n">
        <v>0</v>
      </c>
      <c r="O136" t="inlineStr">
        <is>
          <t>Commercial investigation (proof)</t>
        </is>
      </c>
      <c r="P136" t="inlineStr">
        <is>
          <t>index, follow; HTTP 200</t>
        </is>
      </c>
      <c r="Q136" t="inlineStr">
        <is>
          <t>https://codesommet.com/our-work/akoubri</t>
        </is>
      </c>
      <c r="R136" t="inlineStr">
        <is>
          <t>self</t>
        </is>
      </c>
      <c r="S136" t="n">
        <v>770</v>
      </c>
      <c r="T136" t="n">
        <v>15</v>
      </c>
      <c r="U136" t="n">
        <v>62</v>
      </c>
      <c r="V136" t="n">
        <v>1</v>
      </c>
      <c r="W136" t="n">
        <v>0</v>
      </c>
      <c r="X136" t="inlineStr">
        <is>
          <t>BreadcrumbList, Organization, Product, WebSite</t>
        </is>
      </c>
      <c r="Y136" t="inlineStr">
        <is>
          <t>création site web architecte [fr]</t>
        </is>
      </c>
      <c r="Z136" s="5" t="inlineStr">
        <is>
          <t>OK</t>
        </is>
      </c>
    </row>
    <row r="137">
      <c r="A137" t="inlineStr">
        <is>
          <t>P135</t>
        </is>
      </c>
      <c r="B137" s="3" t="inlineStr">
        <is>
          <t>https://codesommet.com/our-work/authentic-morocco-adventures</t>
        </is>
      </c>
      <c r="C137" s="5" t="inlineStr">
        <is>
          <t>Authentic Morocco Adventures Circuits Privés</t>
        </is>
      </c>
      <c r="D137" t="inlineStr">
        <is>
          <t>Case study</t>
        </is>
      </c>
      <c r="E137" t="inlineStr">
        <is>
          <t>fr</t>
        </is>
      </c>
      <c r="F137" t="inlineStr">
        <is>
          <t>Morocco</t>
        </is>
      </c>
      <c r="G137" s="5" t="inlineStr">
        <is>
          <t>Authentic Morocco Adventures - Circuits Privés | CodeSommet</t>
        </is>
      </c>
      <c r="H137" t="n">
        <v>558</v>
      </c>
      <c r="I137" s="5" t="inlineStr">
        <is>
          <t>Refonte du site d'un guide privé basé à Marrakech : 62 circuits, activités, treks dans l'Atlas, guides de destinations et réservation WhatsApp.</t>
        </is>
      </c>
      <c r="J137" t="n">
        <v>143</v>
      </c>
      <c r="K137" s="5" t="inlineStr">
        <is>
          <t>Authentic Morocco Adventures Circuits Privés</t>
        </is>
      </c>
      <c r="L137" s="5" t="inlineStr">
        <is>
          <t>H2: Le Parcours | H3: Le Défi | H3: Notre Solution | H3: Fonctionnalités Clés | H3: Stack Technologique | H2: Aperçu de l'Interface | H3: Optimisé Bureau | H3: Adapté Mobile | H2: Impact Mesurable | H3: Comparez les Performances de Votre Site Web | H2: Prêt à Créer Quelque Chose d'Extraordinaire ?</t>
        </is>
      </c>
      <c r="M137" t="n">
        <v>5</v>
      </c>
      <c r="N137" t="n">
        <v>0</v>
      </c>
      <c r="O137" t="inlineStr">
        <is>
          <t>Commercial investigation (proof)</t>
        </is>
      </c>
      <c r="P137" t="inlineStr">
        <is>
          <t>index, follow; HTTP 200</t>
        </is>
      </c>
      <c r="Q137" t="inlineStr">
        <is>
          <t>https://codesommet.com/our-work/authentic-morocco-adventures</t>
        </is>
      </c>
      <c r="R137" t="inlineStr">
        <is>
          <t>self</t>
        </is>
      </c>
      <c r="S137" t="n">
        <v>754</v>
      </c>
      <c r="T137" t="n">
        <v>15</v>
      </c>
      <c r="U137" t="n">
        <v>62</v>
      </c>
      <c r="V137" t="n">
        <v>1</v>
      </c>
      <c r="W137" t="n">
        <v>0</v>
      </c>
      <c r="X137" t="inlineStr">
        <is>
          <t>BreadcrumbList, Organization, Product, WebSite</t>
        </is>
      </c>
      <c r="Y137" t="inlineStr">
        <is>
          <t>site web agence de voyage [fr]</t>
        </is>
      </c>
      <c r="Z137" s="5" t="inlineStr">
        <is>
          <t>OK</t>
        </is>
      </c>
    </row>
    <row r="138">
      <c r="A138" t="inlineStr">
        <is>
          <t>P136</t>
        </is>
      </c>
      <c r="B138" s="3" t="inlineStr">
        <is>
          <t>https://codesommet.com/our-work/dental-pro</t>
        </is>
      </c>
      <c r="C138" s="5" t="inlineStr">
        <is>
          <t>Dental Pro E-commerce &amp; CMS Dentaire</t>
        </is>
      </c>
      <c r="D138" t="inlineStr">
        <is>
          <t>Case study</t>
        </is>
      </c>
      <c r="E138" t="inlineStr">
        <is>
          <t>fr</t>
        </is>
      </c>
      <c r="F138" t="inlineStr">
        <is>
          <t>Morocco</t>
        </is>
      </c>
      <c r="G138" s="5" t="inlineStr">
        <is>
          <t>Dental Pro - E-commerce &amp; CMS Dentaire | CodeSommet</t>
        </is>
      </c>
      <c r="H138" t="n">
        <v>516</v>
      </c>
      <c r="I138" s="5" t="inlineStr">
        <is>
          <t>Étude de cas Dental Pro : plateforme e-commerce et CMS pour le secteur dentaire, avec vitrine client, catalogue produits, blog et backoffice unifié.</t>
        </is>
      </c>
      <c r="J138" t="n">
        <v>148</v>
      </c>
      <c r="K138" s="5" t="inlineStr">
        <is>
          <t>Dental Pro E-commerce &amp; CMS Dentaire</t>
        </is>
      </c>
      <c r="L138" s="5" t="inlineStr">
        <is>
          <t>H2: Le Parcours | H3: Le Défi | H3: Notre Solution | H3: Fonctionnalités Clés | H3: Stack Technologique | H2: Aperçu de l'Interface | H3: Optimisé Bureau | H3: Adapté Mobile | H2: Impact Mesurable | H3: Comparez les Performances de Votre Site Web | H2: Prêt à Créer Quelque Chose d'Extraordinaire ?</t>
        </is>
      </c>
      <c r="M138" t="n">
        <v>5</v>
      </c>
      <c r="N138" t="n">
        <v>0</v>
      </c>
      <c r="O138" t="inlineStr">
        <is>
          <t>Commercial investigation (proof)</t>
        </is>
      </c>
      <c r="P138" t="inlineStr">
        <is>
          <t>index, follow; HTTP 200</t>
        </is>
      </c>
      <c r="Q138" t="inlineStr">
        <is>
          <t>https://codesommet.com/our-work/dental-pro</t>
        </is>
      </c>
      <c r="R138" t="inlineStr">
        <is>
          <t>self</t>
        </is>
      </c>
      <c r="S138" t="n">
        <v>626</v>
      </c>
      <c r="T138" t="n">
        <v>15</v>
      </c>
      <c r="U138" t="n">
        <v>62</v>
      </c>
      <c r="V138" t="n">
        <v>1</v>
      </c>
      <c r="W138" t="n">
        <v>0</v>
      </c>
      <c r="X138" t="inlineStr">
        <is>
          <t>BreadcrumbList, Organization, Product, WebSite</t>
        </is>
      </c>
      <c r="Y138" t="inlineStr">
        <is>
          <t>site e-commerce dentaire [fr]</t>
        </is>
      </c>
      <c r="Z138" s="5" t="inlineStr">
        <is>
          <t>OK</t>
        </is>
      </c>
    </row>
    <row r="139">
      <c r="A139" t="inlineStr">
        <is>
          <t>P137</t>
        </is>
      </c>
      <c r="B139" s="3" t="inlineStr">
        <is>
          <t>https://codesommet.com/our-work/glamworlds</t>
        </is>
      </c>
      <c r="C139" s="5" t="inlineStr">
        <is>
          <t>GlamWorlds Boutique Shopify de Lunettes</t>
        </is>
      </c>
      <c r="D139" t="inlineStr">
        <is>
          <t>Case study</t>
        </is>
      </c>
      <c r="E139" t="inlineStr">
        <is>
          <t>fr</t>
        </is>
      </c>
      <c r="F139" t="inlineStr">
        <is>
          <t>Morocco</t>
        </is>
      </c>
      <c r="G139" s="5" t="inlineStr">
        <is>
          <t>GlamWorlds - Boutique Shopify de Lunettes | CodeSommet</t>
        </is>
      </c>
      <c r="H139" t="n">
        <v>529</v>
      </c>
      <c r="I139" s="5" t="inlineStr">
        <is>
          <t>Comment nous avons créé la boutique Shopify de GlamWorlds, spécialiste des lunettes de soleil de luxe : SEO technique avancé et achat premium.</t>
        </is>
      </c>
      <c r="J139" t="n">
        <v>142</v>
      </c>
      <c r="K139" s="5" t="inlineStr">
        <is>
          <t>GlamWorlds Boutique Shopify de Lunettes</t>
        </is>
      </c>
      <c r="L139" s="5" t="inlineStr">
        <is>
          <t>H2: Le Parcours | H3: Le Défi | H3: Notre Solution | H3: Fonctionnalités Clés | H3: Stack Technologique | H2: Aperçu de l'Interface | H3: Optimisé Bureau | H3: Adapté Mobile | H2: Impact Mesurable | H3: Comparez les Performances de Votre Site Web | H2: Prêt à Créer Quelque Chose d'Extraordinaire ?</t>
        </is>
      </c>
      <c r="M139" t="n">
        <v>5</v>
      </c>
      <c r="N139" t="n">
        <v>0</v>
      </c>
      <c r="O139" t="inlineStr">
        <is>
          <t>Commercial investigation (proof)</t>
        </is>
      </c>
      <c r="P139" t="inlineStr">
        <is>
          <t>index, follow; HTTP 200</t>
        </is>
      </c>
      <c r="Q139" t="inlineStr">
        <is>
          <t>https://codesommet.com/our-work/glamworlds</t>
        </is>
      </c>
      <c r="R139" t="inlineStr">
        <is>
          <t>self</t>
        </is>
      </c>
      <c r="S139" t="n">
        <v>592</v>
      </c>
      <c r="T139" t="n">
        <v>15</v>
      </c>
      <c r="U139" t="n">
        <v>61</v>
      </c>
      <c r="V139" t="n">
        <v>1</v>
      </c>
      <c r="W139" t="n">
        <v>0</v>
      </c>
      <c r="X139" t="inlineStr">
        <is>
          <t>BreadcrumbList, Organization, Product, WebSite</t>
        </is>
      </c>
      <c r="Y139" t="inlineStr">
        <is>
          <t>création boutique shopify [fr]</t>
        </is>
      </c>
      <c r="Z139" s="5" t="inlineStr">
        <is>
          <t>OK</t>
        </is>
      </c>
    </row>
    <row r="140">
      <c r="A140" t="inlineStr">
        <is>
          <t>P138</t>
        </is>
      </c>
      <c r="B140" s="3" t="inlineStr">
        <is>
          <t>https://codesommet.com/our-work/gls-sprachenzentrum</t>
        </is>
      </c>
      <c r="C140" s="5" t="inlineStr">
        <is>
          <t>GLS Sprachenzentrum École de Langue Allemande</t>
        </is>
      </c>
      <c r="D140" t="inlineStr">
        <is>
          <t>Case study</t>
        </is>
      </c>
      <c r="E140" t="inlineStr">
        <is>
          <t>fr</t>
        </is>
      </c>
      <c r="F140" t="inlineStr">
        <is>
          <t>Morocco</t>
        </is>
      </c>
      <c r="G140" s="5" t="inlineStr">
        <is>
          <t>GLS Sprachenzentrum - École de Langue Allemande | CodeSommet</t>
        </is>
      </c>
      <c r="H140" t="n">
        <v>610</v>
      </c>
      <c r="I140" s="5" t="inlineStr">
        <is>
          <t>Étude de cas GLS Sprachenzentrum : site bilingue FR/EN et tableau de bord de gestion pour école de langue allemande (CRM, paie, certificats).</t>
        </is>
      </c>
      <c r="J140" t="n">
        <v>141</v>
      </c>
      <c r="K140" s="5" t="inlineStr">
        <is>
          <t>GLS Sprachenzentrum École de Langue Allemande</t>
        </is>
      </c>
      <c r="L140" s="5" t="inlineStr">
        <is>
          <t>H2: Le Parcours | H3: Le Défi | H3: Notre Solution | H3: Fonctionnalités Clés | H3: Stack Technologique | H2: Aperçu de l'Interface | H3: Optimisé Bureau | H3: Adapté Mobile | H2: Impact Mesurable | H3: Comparez les Performances de Votre Site Web | H2: Prêt à Créer Quelque Chose d'Extraordinaire ?</t>
        </is>
      </c>
      <c r="M140" t="n">
        <v>5</v>
      </c>
      <c r="N140" t="n">
        <v>0</v>
      </c>
      <c r="O140" t="inlineStr">
        <is>
          <t>Commercial investigation (proof)</t>
        </is>
      </c>
      <c r="P140" t="inlineStr">
        <is>
          <t>index, follow; HTTP 200</t>
        </is>
      </c>
      <c r="Q140" t="inlineStr">
        <is>
          <t>https://codesommet.com/our-work/gls-sprachenzentrum</t>
        </is>
      </c>
      <c r="R140" t="inlineStr">
        <is>
          <t>self</t>
        </is>
      </c>
      <c r="S140" t="n">
        <v>788</v>
      </c>
      <c r="T140" t="n">
        <v>15</v>
      </c>
      <c r="U140" t="n">
        <v>62</v>
      </c>
      <c r="V140" t="n">
        <v>1</v>
      </c>
      <c r="W140" t="n">
        <v>0</v>
      </c>
      <c r="X140" t="inlineStr">
        <is>
          <t>BreadcrumbList, Organization, Product, WebSite</t>
        </is>
      </c>
      <c r="Y140" t="inlineStr">
        <is>
          <t>site web école de langues [ma]</t>
        </is>
      </c>
      <c r="Z140" s="5" t="inlineStr">
        <is>
          <t>Review: title 610px</t>
        </is>
      </c>
    </row>
    <row r="141">
      <c r="A141" t="inlineStr">
        <is>
          <t>P139</t>
        </is>
      </c>
      <c r="B141" s="3" t="inlineStr">
        <is>
          <t>https://codesommet.com/our-work/hssabek</t>
        </is>
      </c>
      <c r="C141" s="5" t="inlineStr">
        <is>
          <t>Hssabek SaaS de Facturation Multi-Tenant</t>
        </is>
      </c>
      <c r="D141" t="inlineStr">
        <is>
          <t>Case study</t>
        </is>
      </c>
      <c r="E141" t="inlineStr">
        <is>
          <t>fr</t>
        </is>
      </c>
      <c r="F141" t="inlineStr">
        <is>
          <t>Morocco</t>
        </is>
      </c>
      <c r="G141" s="5" t="inlineStr">
        <is>
          <t>Hssabek - SaaS de Facturation Multi-Tenant | CodeSommet</t>
        </is>
      </c>
      <c r="H141" t="n">
        <v>534</v>
      </c>
      <c r="I141" s="5" t="inlineStr">
        <is>
          <t>Hssabek : SaaS de facturation multi-tenant pour TPE, PME et freelances. Devis, factures, avoirs, stock, paiements et rapports TVA, en français.</t>
        </is>
      </c>
      <c r="J141" t="n">
        <v>143</v>
      </c>
      <c r="K141" s="5" t="inlineStr">
        <is>
          <t>Hssabek SaaS de Facturation Multi-Tenant</t>
        </is>
      </c>
      <c r="L141" s="5" t="inlineStr">
        <is>
          <t>H2: Le Parcours | H3: Le Défi | H3: Notre Solution | H3: Fonctionnalités Clés | H3: Stack Technologique | H2: Aperçu de l'Interface | H3: Optimisé Bureau | H3: Adapté Mobile | H2: Impact Mesurable | H3: Comparez les Performances de Votre Site Web | H2: Prêt à Créer Quelque Chose d'Extraordinaire ?</t>
        </is>
      </c>
      <c r="M141" t="n">
        <v>5</v>
      </c>
      <c r="N141" t="n">
        <v>0</v>
      </c>
      <c r="O141" t="inlineStr">
        <is>
          <t>Commercial investigation (proof)</t>
        </is>
      </c>
      <c r="P141" t="inlineStr">
        <is>
          <t>index, follow; HTTP 200</t>
        </is>
      </c>
      <c r="Q141" t="inlineStr">
        <is>
          <t>https://codesommet.com/our-work/hssabek</t>
        </is>
      </c>
      <c r="R141" t="inlineStr">
        <is>
          <t>self</t>
        </is>
      </c>
      <c r="S141" t="n">
        <v>761</v>
      </c>
      <c r="T141" t="n">
        <v>15</v>
      </c>
      <c r="U141" t="n">
        <v>62</v>
      </c>
      <c r="V141" t="n">
        <v>1</v>
      </c>
      <c r="W141" t="n">
        <v>0</v>
      </c>
      <c r="X141" t="inlineStr">
        <is>
          <t>BreadcrumbList, Organization, Product, WebSite</t>
        </is>
      </c>
      <c r="Y141" t="inlineStr">
        <is>
          <t>saas facturation [fr]</t>
        </is>
      </c>
      <c r="Z141" s="5" t="inlineStr">
        <is>
          <t>OK</t>
        </is>
      </c>
    </row>
    <row r="142">
      <c r="A142" t="inlineStr">
        <is>
          <t>P140</t>
        </is>
      </c>
      <c r="B142" s="3" t="inlineStr">
        <is>
          <t>https://codesommet.com/our-work/mon-asso</t>
        </is>
      </c>
      <c r="C142" s="5" t="inlineStr">
        <is>
          <t>Mon Asso SaaS de Gestion Associative</t>
        </is>
      </c>
      <c r="D142" t="inlineStr">
        <is>
          <t>Case study</t>
        </is>
      </c>
      <c r="E142" t="inlineStr">
        <is>
          <t>fr</t>
        </is>
      </c>
      <c r="F142" t="inlineStr">
        <is>
          <t>Morocco</t>
        </is>
      </c>
      <c r="G142" s="5" t="inlineStr">
        <is>
          <t>Mon Asso - SaaS de Gestion Associative | CodeSommet</t>
        </is>
      </c>
      <c r="H142" t="n">
        <v>504</v>
      </c>
      <c r="I142" s="5" t="inlineStr">
        <is>
          <t>Plateforme SaaS Laravel de gestion d'associations : membres, réunions, cotisations, événements, documents et dépenses réunis dans un seul espace.</t>
        </is>
      </c>
      <c r="J142" t="n">
        <v>145</v>
      </c>
      <c r="K142" s="5" t="inlineStr">
        <is>
          <t>Mon Asso SaaS de Gestion Associative</t>
        </is>
      </c>
      <c r="L142" s="5" t="inlineStr">
        <is>
          <t>H2: Le Parcours | H3: Le Défi | H3: Notre Solution | H3: Fonctionnalités Clés | H3: Stack Technologique | H2: Aperçu de l'Interface | H3: Optimisé Bureau | H3: Adapté Mobile | H2: Impact Mesurable | H3: Comparez les Performances de Votre Site Web | H2: Prêt à Créer Quelque Chose d'Extraordinaire ?</t>
        </is>
      </c>
      <c r="M142" t="n">
        <v>5</v>
      </c>
      <c r="N142" t="n">
        <v>0</v>
      </c>
      <c r="O142" t="inlineStr">
        <is>
          <t>Commercial investigation (proof)</t>
        </is>
      </c>
      <c r="P142" t="inlineStr">
        <is>
          <t>index, follow; HTTP 200</t>
        </is>
      </c>
      <c r="Q142" t="inlineStr">
        <is>
          <t>https://codesommet.com/our-work/mon-asso</t>
        </is>
      </c>
      <c r="R142" t="inlineStr">
        <is>
          <t>self</t>
        </is>
      </c>
      <c r="S142" t="n">
        <v>682</v>
      </c>
      <c r="T142" t="n">
        <v>15</v>
      </c>
      <c r="U142" t="n">
        <v>61</v>
      </c>
      <c r="V142" t="n">
        <v>1</v>
      </c>
      <c r="W142" t="n">
        <v>0</v>
      </c>
      <c r="X142" t="inlineStr">
        <is>
          <t>BreadcrumbList, Organization, Product, WebSite</t>
        </is>
      </c>
      <c r="Y142" t="inlineStr">
        <is>
          <t>développement saas association [fr]</t>
        </is>
      </c>
      <c r="Z142" s="5" t="inlineStr">
        <is>
          <t>OK</t>
        </is>
      </c>
    </row>
    <row r="143">
      <c r="A143" t="inlineStr">
        <is>
          <t>P141</t>
        </is>
      </c>
      <c r="B143" s="3" t="inlineStr">
        <is>
          <t>https://codesommet.com/our-work/morocco-quest</t>
        </is>
      </c>
      <c r="C143" s="5" t="inlineStr">
        <is>
          <t>Morocco Quest Agence de Voyage de Luxe</t>
        </is>
      </c>
      <c r="D143" t="inlineStr">
        <is>
          <t>Case study</t>
        </is>
      </c>
      <c r="E143" t="inlineStr">
        <is>
          <t>fr</t>
        </is>
      </c>
      <c r="F143" t="inlineStr">
        <is>
          <t>Morocco</t>
        </is>
      </c>
      <c r="G143" s="5" t="inlineStr">
        <is>
          <t>Morocco Quest - Agence de Voyage de Luxe | CodeSommet</t>
        </is>
      </c>
      <c r="H143" t="n">
        <v>540</v>
      </c>
      <c r="I143" s="5" t="inlineStr">
        <is>
          <t>Agence de voyage de luxe au Maroc : circuits privés, aventures dans le Sahara et expériences sur mesure. Laravel + administration Filament.</t>
        </is>
      </c>
      <c r="J143" t="n">
        <v>139</v>
      </c>
      <c r="K143" s="5" t="inlineStr">
        <is>
          <t>Morocco Quest Agence de Voyage de Luxe</t>
        </is>
      </c>
      <c r="L143" s="5" t="inlineStr">
        <is>
          <t>H2: Le Parcours | H3: Le Défi | H3: Notre Solution | H3: Fonctionnalités Clés | H3: Stack Technologique | H2: Aperçu de l'Interface | H3: Optimisé Bureau | H3: Adapté Mobile | H2: Impact Mesurable | H3: Comparez les Performances de Votre Site Web | H2: Prêt à Créer Quelque Chose d'Extraordinaire ?</t>
        </is>
      </c>
      <c r="M143" t="n">
        <v>5</v>
      </c>
      <c r="N143" t="n">
        <v>0</v>
      </c>
      <c r="O143" t="inlineStr">
        <is>
          <t>Commercial investigation (proof)</t>
        </is>
      </c>
      <c r="P143" t="inlineStr">
        <is>
          <t>index, follow; HTTP 200</t>
        </is>
      </c>
      <c r="Q143" t="inlineStr">
        <is>
          <t>https://codesommet.com/our-work/morocco-quest</t>
        </is>
      </c>
      <c r="R143" t="inlineStr">
        <is>
          <t>self</t>
        </is>
      </c>
      <c r="S143" t="n">
        <v>831</v>
      </c>
      <c r="T143" t="n">
        <v>15</v>
      </c>
      <c r="U143" t="n">
        <v>61</v>
      </c>
      <c r="V143" t="n">
        <v>1</v>
      </c>
      <c r="W143" t="n">
        <v>0</v>
      </c>
      <c r="X143" t="inlineStr">
        <is>
          <t>BreadcrumbList, Organization, Product, WebSite</t>
        </is>
      </c>
      <c r="Y143" t="inlineStr">
        <is>
          <t>création site agence de voyage [fr]</t>
        </is>
      </c>
      <c r="Z143" s="5" t="inlineStr">
        <is>
          <t>OK</t>
        </is>
      </c>
    </row>
    <row r="144">
      <c r="A144" t="inlineStr">
        <is>
          <t>P142</t>
        </is>
      </c>
      <c r="B144" s="3" t="inlineStr">
        <is>
          <t>https://codesommet.com/blog/creer-une-plateforme-saas-mvp-multi-tenant-facturation-par-ou-commencer</t>
        </is>
      </c>
      <c r="C144" s="5" t="inlineStr">
        <is>
          <t>Créer une plateforme SaaS : MVP, multi-tenant, facturation — par où commencer ?</t>
        </is>
      </c>
      <c r="D144" t="inlineStr">
        <is>
          <t>Blog article</t>
        </is>
      </c>
      <c r="E144" t="inlineStr">
        <is>
          <t>fr</t>
        </is>
      </c>
      <c r="F144" t="inlineStr">
        <is>
          <t>Francophone (FR proxy) + Morocco</t>
        </is>
      </c>
      <c r="G144" s="5" t="inlineStr">
        <is>
          <t>Créer une plateforme SaaS : MVP et multi-tenant | CodeSommet</t>
        </is>
      </c>
      <c r="H144" t="n">
        <v>578</v>
      </c>
      <c r="I144" s="5" t="inlineStr">
        <is>
          <t>Périmètre du MVP, architecture multi-tenant, abonnements, facturation, sécurité : les décisions à prendre dans l'ordre pour lancer un SaaS.</t>
        </is>
      </c>
      <c r="J144" t="n">
        <v>139</v>
      </c>
      <c r="K144" s="5" t="inlineStr">
        <is>
          <t>Créer une plateforme SaaS : MVP, multi-tenant, facturation — par où commencer ?</t>
        </is>
      </c>
      <c r="L144" s="5" t="inlineStr">
        <is>
          <t>H2: Étape 1 : réduire le MVP à un seul problème résolu | H2: Étape 2 : choisir le modèle multi-tenant dès le premier jour | H3: Base de données partagée, isolation par colonne | H3: Base de données par client | H3: Modèle hybride | H2: Étape 3 : décider ce que « compte » et « utilisateur » veulent dire | H2: Étape 4 : abonnements et facturation — simple d'abord, mais bien fait | H2: Étape 5 : sécurité et données, sans attendre le premier incident | H2: Étape 6 : la performance comme argument commercial | H2: Étape 7 : ce qui peut attendre la version 2 | H2: Par où commencer, concrètement | H3: CodeSommet | H2: Articles Similaires | H2: Prêt à Construire Quelque Chose d'Extraordinaire ?</t>
        </is>
      </c>
      <c r="M144" t="n">
        <v>11</v>
      </c>
      <c r="N144" t="n">
        <v>0</v>
      </c>
      <c r="O144" t="inlineStr">
        <is>
          <t>Informational</t>
        </is>
      </c>
      <c r="P144" t="inlineStr">
        <is>
          <t>index, follow; HTTP 200</t>
        </is>
      </c>
      <c r="Q144" t="inlineStr">
        <is>
          <t>https://codesommet.com/blog/creer-une-plateforme-saas-mvp-multi-tenant-facturation-par-ou-commencer</t>
        </is>
      </c>
      <c r="R144" t="inlineStr">
        <is>
          <t>self</t>
        </is>
      </c>
      <c r="S144" t="n">
        <v>1451</v>
      </c>
      <c r="T144" t="n">
        <v>15</v>
      </c>
      <c r="U144" t="n">
        <v>63</v>
      </c>
      <c r="V144" t="n">
        <v>6</v>
      </c>
      <c r="W144" t="n">
        <v>0</v>
      </c>
      <c r="X144" t="inlineStr">
        <is>
          <t>BlogPosting, BreadcrumbList, Organization, WebSite</t>
        </is>
      </c>
      <c r="Y144" t="inlineStr">
        <is>
          <t>créer un saas [fr]</t>
        </is>
      </c>
      <c r="Z144" s="5" t="inlineStr">
        <is>
          <t>OK</t>
        </is>
      </c>
    </row>
    <row r="145">
      <c r="A145" t="inlineStr">
        <is>
          <t>P143</t>
        </is>
      </c>
      <c r="B145" s="3" t="inlineStr">
        <is>
          <t>https://codesommet.com/blog/site-immobilier-structurer-les-annonces-pour-le-seo-et-la-conversion</t>
        </is>
      </c>
      <c r="C145" s="5" t="inlineStr">
        <is>
          <t>Site immobilier : comment structurer les annonces pour le SEO et la conversion</t>
        </is>
      </c>
      <c r="D145" t="inlineStr">
        <is>
          <t>Blog article</t>
        </is>
      </c>
      <c r="E145" t="inlineStr">
        <is>
          <t>fr</t>
        </is>
      </c>
      <c r="F145" t="inlineStr">
        <is>
          <t>Francophone (FR proxy) + Morocco</t>
        </is>
      </c>
      <c r="G145" s="5" t="inlineStr">
        <is>
          <t>Site immobilier : des annonces qui convertissent</t>
        </is>
      </c>
      <c r="H145" t="n">
        <v>428</v>
      </c>
      <c r="I145" s="5" t="inlineStr">
        <is>
          <t>URL, titres, contenu, données structurées, photos, formulaire : construire des pages d'annonces immobilières qui se positionnent et convertissent.</t>
        </is>
      </c>
      <c r="J145" t="n">
        <v>146</v>
      </c>
      <c r="K145" s="5" t="inlineStr">
        <is>
          <t>Site immobilier : comment structurer les annonces pour le SEO et la conversion</t>
        </is>
      </c>
      <c r="L145" s="5" t="inlineStr">
        <is>
          <t>H2: Penser l'annonce comme une page à part entière | H3: Une URL lisible | H2: Le titre : précis, complet, sans superlatifs | H2: Le contenu descriptif : ce que la fiche technique ne dit pas | H2: Les données structurées : rendre l'annonce compréhensible par les moteurs | H3: Ne pas oublier l'agence elle-même | H2: Les photos : le premier facteur de conversion | H2: Le prix et les informations financières | H2: L'appel à l'action : plusieurs niveaux d'engagement | H2: Le maillage entre les annonces et les pages de secteur | H2: Que faire des annonces vendues ou louées ? | H2: En résumé | H3: CodeSommet | H2: Articles Similaires | H2: Prêt à Construire Quelque Chose d'Extraordinaire ?</t>
        </is>
      </c>
      <c r="M145" t="n">
        <v>13</v>
      </c>
      <c r="N145" t="n">
        <v>0</v>
      </c>
      <c r="O145" t="inlineStr">
        <is>
          <t>Informational</t>
        </is>
      </c>
      <c r="P145" t="inlineStr">
        <is>
          <t>index, follow; HTTP 200</t>
        </is>
      </c>
      <c r="Q145" t="inlineStr">
        <is>
          <t>https://codesommet.com/blog/site-immobilier-structurer-les-annonces-pour-le-seo-et-la-conversion</t>
        </is>
      </c>
      <c r="R145" t="inlineStr">
        <is>
          <t>self</t>
        </is>
      </c>
      <c r="S145" t="n">
        <v>1496</v>
      </c>
      <c r="T145" t="n">
        <v>16</v>
      </c>
      <c r="U145" t="n">
        <v>61</v>
      </c>
      <c r="V145" t="n">
        <v>6</v>
      </c>
      <c r="W145" t="n">
        <v>0</v>
      </c>
      <c r="X145" t="inlineStr">
        <is>
          <t>BlogPosting, BreadcrumbList, Organization, WebSite</t>
        </is>
      </c>
      <c r="Y145" t="inlineStr">
        <is>
          <t>seo immobilier [fr]</t>
        </is>
      </c>
      <c r="Z145" s="5" t="inlineStr">
        <is>
          <t>OK</t>
        </is>
      </c>
    </row>
    <row r="146">
      <c r="A146" t="inlineStr">
        <is>
          <t>P144</t>
        </is>
      </c>
      <c r="B146" s="3" t="inlineStr">
        <is>
          <t>https://codesommet.com/blog/lms-sur-mesure-ou-produit-edtech-quelle-plateforme-e-learning</t>
        </is>
      </c>
      <c r="C146" s="5" t="inlineStr">
        <is>
          <t>LMS sur mesure ou produit EdTech : quelle plateforme e-learning pour votre organisation ?</t>
        </is>
      </c>
      <c r="D146" t="inlineStr">
        <is>
          <t>Blog article</t>
        </is>
      </c>
      <c r="E146" t="inlineStr">
        <is>
          <t>fr</t>
        </is>
      </c>
      <c r="F146" t="inlineStr">
        <is>
          <t>Francophone (FR proxy) + Morocco</t>
        </is>
      </c>
      <c r="G146" s="5" t="inlineStr">
        <is>
          <t>LMS sur mesure ou EdTech : que choisir ? | CodeSommet</t>
        </is>
      </c>
      <c r="H146" t="n">
        <v>520</v>
      </c>
      <c r="I146" s="5" t="inlineStr">
        <is>
          <t>Former en interne ou vendre des formations ? LMS sur mesure, LMS open source ou produit EdTech : critères pour choisir la bonne plateforme e-learning.</t>
        </is>
      </c>
      <c r="J146" t="n">
        <v>150</v>
      </c>
      <c r="K146" s="5" t="inlineStr">
        <is>
          <t>LMS sur mesure ou produit EdTech : quelle plateforme e-learning pour votre organisation ?</t>
        </is>
      </c>
      <c r="L146" s="5" t="inlineStr">
        <is>
          <t>H2: Outil interne ou produit : la distinction qui change tout | H3: Le LMS comme outil | H3: Le produit EdTech | H2: Les questions à se poser avant toute décision | H2: Option 1 : une solution existante (SaaS ou open source) | H2: Option 2 : un LMS sur mesure | H2: Option 3 : un produit EdTech à part entière | H3: L'expérience d'apprentissage | H3: La gestion multi-organisations | H3: La facturation et les accès | H3: La mesure | H2: Les erreurs fréquentes, quel que soit le choix | H2: Comment trancher | H3: CodeSommet | H2: Articles Similaires | H2: Prêt à Construire Quelque Chose d'Extraordinaire ?</t>
        </is>
      </c>
      <c r="M146" t="n">
        <v>10</v>
      </c>
      <c r="N146" t="n">
        <v>0</v>
      </c>
      <c r="O146" t="inlineStr">
        <is>
          <t>Informational</t>
        </is>
      </c>
      <c r="P146" t="inlineStr">
        <is>
          <t>index, follow; HTTP 200</t>
        </is>
      </c>
      <c r="Q146" t="inlineStr">
        <is>
          <t>https://codesommet.com/blog/lms-sur-mesure-ou-produit-edtech-quelle-plateforme-e-learning</t>
        </is>
      </c>
      <c r="R146" t="inlineStr">
        <is>
          <t>self</t>
        </is>
      </c>
      <c r="S146" t="n">
        <v>1370</v>
      </c>
      <c r="T146" t="n">
        <v>17</v>
      </c>
      <c r="U146" t="n">
        <v>62</v>
      </c>
      <c r="V146" t="n">
        <v>6</v>
      </c>
      <c r="W146" t="n">
        <v>0</v>
      </c>
      <c r="X146" t="inlineStr">
        <is>
          <t>BlogPosting, BreadcrumbList, Organization, WebSite</t>
        </is>
      </c>
      <c r="Y146" t="inlineStr">
        <is>
          <t>lms sur mesure [fr]</t>
        </is>
      </c>
      <c r="Z146" s="5" t="inlineStr">
        <is>
          <t>OK</t>
        </is>
      </c>
    </row>
    <row r="147">
      <c r="A147" t="inlineStr">
        <is>
          <t>P145</t>
        </is>
      </c>
      <c r="B147" s="3" t="inlineStr">
        <is>
          <t>https://codesommet.com/blog/site-web-telemedecine-cabinet-clinique-que-doit-il-contenir</t>
        </is>
      </c>
      <c r="C147" s="5" t="inlineStr">
        <is>
          <t>Site web de télémédecine pour cabinet ou clinique : que doit-il contenir ?</t>
        </is>
      </c>
      <c r="D147" t="inlineStr">
        <is>
          <t>Blog article</t>
        </is>
      </c>
      <c r="E147" t="inlineStr">
        <is>
          <t>fr</t>
        </is>
      </c>
      <c r="F147" t="inlineStr">
        <is>
          <t>Francophone (FR proxy) + Morocco</t>
        </is>
      </c>
      <c r="G147" s="5" t="inlineStr">
        <is>
          <t>Site de télémédecine : le contenu essentiel | CodeSommet</t>
        </is>
      </c>
      <c r="H147" t="n">
        <v>519</v>
      </c>
      <c r="I147" s="5" t="inlineStr">
        <is>
          <t>Pages, infos pratiques, prise de rendez-vous, confidentialité, mobile : ce qu'un site de télémédecine doit contenir pour un cabinet ou une clinique.</t>
        </is>
      </c>
      <c r="J147" t="n">
        <v>148</v>
      </c>
      <c r="K147" s="5" t="inlineStr">
        <is>
          <t>Site web de télémédecine pour cabinet ou clinique : que doit-il contenir ?</t>
        </is>
      </c>
      <c r="L147" s="5" t="inlineStr">
        <is>
          <t>H2: Une page d'accueil qui répond aux trois questions du patient | H2: Une page « Comment se déroule une téléconsultation » | H2: Les motifs pris en charge — et ceux qui ne le sont pas | H3: Une page par spécialité | H2: Les informations sur les praticiens | H2: La prise de rendez-vous, intégrée et sans friction | H2: Confidentialité et données de santé : une page dédiée, en langage simple | H2: Tarifs, remboursement et moyens de paiement | H2: Une FAQ construite à partir des vraies questions | H2: Un site réellement utilisable sur mobile | H2: Ce que le site n'a pas besoin de contenir | H3: CodeSommet | H2: Articles Similaires | H2: Prêt à Construire Quelque Chose d'Extraordinaire ?</t>
        </is>
      </c>
      <c r="M147" t="n">
        <v>13</v>
      </c>
      <c r="N147" t="n">
        <v>0</v>
      </c>
      <c r="O147" t="inlineStr">
        <is>
          <t>Informational</t>
        </is>
      </c>
      <c r="P147" t="inlineStr">
        <is>
          <t>index, follow; HTTP 200</t>
        </is>
      </c>
      <c r="Q147" t="inlineStr">
        <is>
          <t>https://codesommet.com/blog/site-web-telemedecine-cabinet-clinique-que-doit-il-contenir</t>
        </is>
      </c>
      <c r="R147" t="inlineStr">
        <is>
          <t>self</t>
        </is>
      </c>
      <c r="S147" t="n">
        <v>1432</v>
      </c>
      <c r="T147" t="n">
        <v>15</v>
      </c>
      <c r="U147" t="n">
        <v>63</v>
      </c>
      <c r="V147" t="n">
        <v>6</v>
      </c>
      <c r="W147" t="n">
        <v>0</v>
      </c>
      <c r="X147" t="inlineStr">
        <is>
          <t>BlogPosting, BreadcrumbList, Organization, WebSite</t>
        </is>
      </c>
      <c r="Y147" t="inlineStr">
        <is>
          <t>site de télémédecine [fr]</t>
        </is>
      </c>
      <c r="Z147" s="5" t="inlineStr">
        <is>
          <t>OK</t>
        </is>
      </c>
    </row>
    <row r="148">
      <c r="A148" t="inlineStr">
        <is>
          <t>P146</t>
        </is>
      </c>
      <c r="B148" s="3" t="inlineStr">
        <is>
          <t>https://codesommet.com/blog/site-web-fintech-7-elements-qui-rassurent-un-visiteur</t>
        </is>
      </c>
      <c r="C148" s="5" t="inlineStr">
        <is>
          <t>Site web fintech : les 7 éléments qui rassurent un visiteur avant qu'il ne vous contacte</t>
        </is>
      </c>
      <c r="D148" t="inlineStr">
        <is>
          <t>Blog article</t>
        </is>
      </c>
      <c r="E148" t="inlineStr">
        <is>
          <t>fr</t>
        </is>
      </c>
      <c r="F148" t="inlineStr">
        <is>
          <t>Francophone (FR proxy) + Morocco</t>
        </is>
      </c>
      <c r="G148" s="5" t="inlineStr">
        <is>
          <t>Site fintech : 7 éléments qui rassurent | CodeSommet</t>
        </is>
      </c>
      <c r="H148" t="n">
        <v>476</v>
      </c>
      <c r="I148" s="5" t="inlineStr">
        <is>
          <t>Confiance, sécurité, conformité, transparence : les 7 éléments qu'un site fintech doit afficher pour qu'un prospect ose vous contacter.</t>
        </is>
      </c>
      <c r="J148" t="n">
        <v>135</v>
      </c>
      <c r="K148" s="5" t="inlineStr">
        <is>
          <t>Site web fintech : les 7 éléments qui rassurent un visiteur avant qu'il ne vous contacte</t>
        </is>
      </c>
      <c r="L148" s="5" t="inlineStr">
        <is>
          <t>H2: 1. Une proposition de valeur qui dit ce que vous faites, pas ce que vous rêvez d'être | H2: 2. Les mentions réglementaires, visibles et lisibles | H3: Où les placer | H2: 3. Un chapitre sécurité qui explique, sans jargon marketing | H2: 4. Une tarification lisible, sans astérisques cachés | H2: 5. Des preuves d'existence réelle : équipe, adresse, interlocuteurs | H3: Les témoignages clients | H2: 6. Des captures ou une démonstration du produit réel | H2: 7. Un parcours de contact adapté au niveau d'engagement | H2: Bonus : la performance et l'accessibilité font partie de la confiance | H2: Par où commencer ? | H3: CodeSommet | H2: Articles Similaires | H2: Prêt à Construire Quelque Chose d'Extraordinaire ?</t>
        </is>
      </c>
      <c r="M148" t="n">
        <v>12</v>
      </c>
      <c r="N148" t="n">
        <v>0</v>
      </c>
      <c r="O148" t="inlineStr">
        <is>
          <t>Informational</t>
        </is>
      </c>
      <c r="P148" t="inlineStr">
        <is>
          <t>index, follow; HTTP 200</t>
        </is>
      </c>
      <c r="Q148" t="inlineStr">
        <is>
          <t>https://codesommet.com/blog/site-web-fintech-7-elements-qui-rassurent-un-visiteur</t>
        </is>
      </c>
      <c r="R148" t="inlineStr">
        <is>
          <t>self</t>
        </is>
      </c>
      <c r="S148" t="n">
        <v>1476</v>
      </c>
      <c r="T148" t="n">
        <v>15</v>
      </c>
      <c r="U148" t="n">
        <v>63</v>
      </c>
      <c r="V148" t="n">
        <v>6</v>
      </c>
      <c r="W148" t="n">
        <v>0</v>
      </c>
      <c r="X148" t="inlineStr">
        <is>
          <t>BlogPosting, BreadcrumbList, Organization, WebSite</t>
        </is>
      </c>
      <c r="Y148" t="inlineStr">
        <is>
          <t>éléments de réassurance site web [fr]</t>
        </is>
      </c>
      <c r="Z148" s="5" t="inlineStr">
        <is>
          <t>OK</t>
        </is>
      </c>
    </row>
  </sheetData>
  <autoFilter ref="A2:Z148"/>
  <conditionalFormatting sqref="H3:H148">
    <cfRule type="expression" priority="1" dxfId="0">
      <formula>H3&gt;580</formula>
    </cfRule>
  </conditionalFormatting>
  <conditionalFormatting sqref="Z3:Z148">
    <cfRule type="expression" priority="2" dxfId="1">
      <formula>LEFT(Z3,6)="Review"</formula>
    </cfRule>
  </conditionalFormatting>
  <hyperlinks>
    <hyperlink xmlns:r="http://schemas.openxmlformats.org/officeDocument/2006/relationships" ref="A1"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30" customWidth="1" min="3" max="3"/>
    <col width="11" customWidth="1" min="4" max="4"/>
    <col width="11" customWidth="1" min="5" max="5"/>
    <col width="13" customWidth="1" min="6" max="6"/>
    <col width="11" customWidth="1" min="7" max="7"/>
    <col width="9" customWidth="1" min="8" max="8"/>
    <col width="9" customWidth="1" min="9" max="9"/>
    <col width="50" customWidth="1" min="10" max="10"/>
    <col width="50" customWidth="1" min="11" max="11"/>
    <col width="60" customWidth="1" min="12" max="12"/>
    <col width="50" customWidth="1" min="13" max="13"/>
    <col width="44" customWidth="1" min="14" max="14"/>
    <col width="9" customWidth="1" min="15" max="15"/>
    <col width="10" customWidth="1" min="16" max="16"/>
    <col width="10" customWidth="1" min="17" max="17"/>
    <col width="12" customWidth="1" min="18" max="18"/>
    <col width="40" customWidth="1" min="19" max="19"/>
  </cols>
  <sheetData>
    <row r="1">
      <c r="A1" s="10" t="inlineStr">
        <is>
          <t>← 01 Executive Summary</t>
        </is>
      </c>
      <c r="B1" s="11" t="inlineStr">
        <is>
          <t>Morocco competitor benchmark - competitors discovered from top-10 SERPs of commercial seeds (Semrush ma)</t>
        </is>
      </c>
    </row>
    <row r="2" ht="32" customHeight="1">
      <c r="A2" s="12" t="inlineStr">
        <is>
          <t>Competitor</t>
        </is>
      </c>
      <c r="B2" s="12" t="inlineStr">
        <is>
          <t>URL</t>
        </is>
      </c>
      <c r="C2" s="12" t="inlineStr">
        <is>
          <t>Main Services</t>
        </is>
      </c>
      <c r="D2" s="12" t="inlineStr">
        <is>
          <t>Semrush Rank (MA)</t>
        </is>
      </c>
      <c r="E2" s="12" t="inlineStr">
        <is>
          <t>Ranking Keywords (MA)</t>
        </is>
      </c>
      <c r="F2" s="12" t="inlineStr">
        <is>
          <t>Organic Traffic Estimate (MA, Semrush estimate)</t>
        </is>
      </c>
      <c r="G2" s="12" t="inlineStr">
        <is>
          <t>Organic Traffic Cost (USD, estimate)</t>
        </is>
      </c>
      <c r="H2" s="12" t="inlineStr">
        <is>
          <t>Keywords in top 3</t>
        </is>
      </c>
      <c r="I2" s="12" t="inlineStr">
        <is>
          <t>Keywords in pos. 4-10</t>
        </is>
      </c>
      <c r="J2" s="12" t="inlineStr">
        <is>
          <t>Visibility in pulled MA SERPs</t>
        </is>
      </c>
      <c r="K2" s="12" t="inlineStr">
        <is>
          <t>Strongest Pages (by est. traffic)</t>
        </is>
      </c>
      <c r="L2" s="12" t="inlineStr">
        <is>
          <t>Important Ranking Keywords (top 8 by traffic)</t>
        </is>
      </c>
      <c r="M2" s="12" t="inlineStr">
        <is>
          <t>Keyword Opportunities for CodeSommet</t>
        </is>
      </c>
      <c r="N2" s="12" t="inlineStr">
        <is>
          <t>Content Model / Gaps</t>
        </is>
      </c>
      <c r="O2" s="12" t="inlineStr">
        <is>
          <t>Authority Score</t>
        </is>
      </c>
      <c r="P2" s="12" t="inlineStr">
        <is>
          <t>Referring Domains</t>
        </is>
      </c>
      <c r="Q2" s="12" t="inlineStr">
        <is>
          <t>Backlinks</t>
        </is>
      </c>
      <c r="R2" s="12" t="inlineStr">
        <is>
          <t>Data Status</t>
        </is>
      </c>
      <c r="S2" s="12" t="inlineStr">
        <is>
          <t>Notes</t>
        </is>
      </c>
    </row>
    <row r="3">
      <c r="A3" t="inlineStr">
        <is>
          <t>adk-media.com</t>
        </is>
      </c>
      <c r="B3" s="3" t="inlineStr">
        <is>
          <t>https://adk-media.com</t>
        </is>
      </c>
      <c r="C3" s="5" t="inlineStr">
        <is>
          <t>Agence web</t>
        </is>
      </c>
      <c r="D3" t="n">
        <v>6549</v>
      </c>
      <c r="E3" t="n">
        <v>63</v>
      </c>
      <c r="F3" t="n">
        <v>3220</v>
      </c>
      <c r="G3" t="n">
        <v>1955</v>
      </c>
      <c r="H3" t="n">
        <v>8</v>
      </c>
      <c r="I3" t="n">
        <v>9</v>
      </c>
      <c r="J3" s="5" t="inlineStr">
        <is>
          <t>creation site web maroc #7</t>
        </is>
      </c>
      <c r="K3" s="5" t="inlineStr">
        <is>
          <t>NOT AVAILABLE (organic report not pulled)</t>
        </is>
      </c>
      <c r="L3" s="5" t="inlineStr">
        <is>
          <t>creation site web maroc #7</t>
        </is>
      </c>
      <c r="M3" s="5" t="inlineStr">
        <is>
          <t>see SERP column</t>
        </is>
      </c>
      <c r="N3" s="5" t="inlineStr"/>
      <c r="O3" t="n">
        <v>29</v>
      </c>
      <c r="P3" t="n">
        <v>4540</v>
      </c>
      <c r="Q3" t="n">
        <v>91907</v>
      </c>
      <c r="R3" t="inlineStr">
        <is>
          <t>ESTIMATED</t>
        </is>
      </c>
      <c r="S3" s="5" t="inlineStr">
        <is>
          <t>#7 "creation site web maroc" (creation-site-web-maroc.php)</t>
        </is>
      </c>
    </row>
    <row r="4">
      <c r="A4" t="inlineStr">
        <is>
          <t>void.ma</t>
        </is>
      </c>
      <c r="B4" s="3" t="inlineStr">
        <is>
          <t>https://void.ma</t>
        </is>
      </c>
      <c r="C4" s="5" t="inlineStr">
        <is>
          <t>Agence digitale / produit (secteurs, publications)</t>
        </is>
      </c>
      <c r="D4" t="n">
        <v>11344</v>
      </c>
      <c r="E4" t="n">
        <v>83</v>
      </c>
      <c r="F4" t="n">
        <v>1457</v>
      </c>
      <c r="G4" t="n">
        <v>1087</v>
      </c>
      <c r="H4" t="n">
        <v>3</v>
      </c>
      <c r="I4" t="n">
        <v>24</v>
      </c>
      <c r="J4" s="5" t="inlineStr">
        <is>
          <t>agence digitale maroc #2; agence web maroc #6; agence web marrakech #5; seo maroc #8</t>
        </is>
      </c>
      <c r="K4" s="5" t="inlineStr">
        <is>
          <t>void.ma/; void.ma/services/agence-communication-casablanca/; void.ma/publications/customer-experience-cx-guide-complet-maroc/; void.ma/secteurs/portail-patient/</t>
        </is>
      </c>
      <c r="L4" s="5" t="inlineStr">
        <is>
          <t>www void ma #1 (320); boite de communication casablanca #6 (6600); cx #3 (3600); portail santé #7 (2400); marketplace #17 (27100); e banking #8 (2900); système d'authentification #7 (2400); void #2 (880)</t>
        </is>
      </c>
      <c r="M4" s="5" t="inlineStr">
        <is>
          <t>agence web casablanca (880, KD 36.00) #6; agence seo maroc (720, KD 47.00) #6; agence marketing digital (590, KD 51.00) #5; digital marketing agency (390, KD 56.00) #4; agence web maroc (390, KD 44.00) #6; agence marketing digital casablanca (390, KD 39.00) #6</t>
        </is>
      </c>
      <c r="N4" s="5" t="inlineStr">
        <is>
          <t>Thought-leadership content at scale - not a direct local-service model</t>
        </is>
      </c>
      <c r="O4" t="n">
        <v>26</v>
      </c>
      <c r="P4" t="n">
        <v>434</v>
      </c>
      <c r="Q4" t="n">
        <v>1015</v>
      </c>
      <c r="R4" t="inlineStr">
        <is>
          <t>ESTIMATED</t>
        </is>
      </c>
      <c r="S4" s="5" t="inlineStr">
        <is>
          <t>Highest traffic (Semrush 1457): long-form guides (CX, CNDP, n8n), sector pages (portail patient, e-banking), "meilleures agences" listicles</t>
        </is>
      </c>
    </row>
    <row r="5">
      <c r="A5" t="inlineStr">
        <is>
          <t>vala.ma</t>
        </is>
      </c>
      <c r="B5" s="3" t="inlineStr">
        <is>
          <t>https://vala.ma</t>
        </is>
      </c>
      <c r="C5" s="5" t="inlineStr">
        <is>
          <t>Hébergeur + agence SEO</t>
        </is>
      </c>
      <c r="D5" t="n">
        <v>15279</v>
      </c>
      <c r="E5" t="n">
        <v>42</v>
      </c>
      <c r="F5" t="n">
        <v>933</v>
      </c>
      <c r="G5" t="n">
        <v>463</v>
      </c>
      <c r="H5" t="n">
        <v>4</v>
      </c>
      <c r="I5" t="n">
        <v>8</v>
      </c>
      <c r="J5" s="5" t="inlineStr">
        <is>
          <t>agence seo maroc #10; seo maroc #3</t>
        </is>
      </c>
      <c r="K5" s="5" t="inlineStr">
        <is>
          <t>www.vala.ma/; www.vala.ma/serveurs/vps-pro; www.vala.ma/domaine; www.vala.ma/agence-referencement-seo-maroc</t>
        </is>
      </c>
      <c r="L5" s="5" t="inlineStr">
        <is>
          <t>vala bleu #1 (480); vala #1 (320); vps #4 (1900); nom de domaine au maroc #7 (1000); agence seo maroc #3 (720); e commerce #13 (8100); domaine #13 (4400); nom de domaine ma #9 (1000)</t>
        </is>
      </c>
      <c r="M5" s="5" t="inlineStr">
        <is>
          <t>agence seo maroc (720, KD 47.00) #3; e commerce (8100, KD 27.00) #13; hebergement web maroc (480, KD 62.00) #6; seo maroc (320, KD 39.00) #3; seo (4400, KD 64.00) #15; hébergement web maroc (480, KD 55.00) #7</t>
        </is>
      </c>
      <c r="N5" s="5" t="inlineStr">
        <is>
          <t>Hosting authority</t>
        </is>
      </c>
      <c r="O5" t="n">
        <v>25</v>
      </c>
      <c r="P5" t="n">
        <v>964</v>
      </c>
      <c r="Q5" t="n">
        <v>8393</v>
      </c>
      <c r="R5" t="inlineStr">
        <is>
          <t>ESTIMATED</t>
        </is>
      </c>
      <c r="S5" s="5" t="inlineStr">
        <is>
          <t>Brand + hosting; #3 "agence seo maroc"</t>
        </is>
      </c>
    </row>
    <row r="6">
      <c r="A6" t="inlineStr">
        <is>
          <t>hostino.ma</t>
        </is>
      </c>
      <c r="B6" s="3" t="inlineStr">
        <is>
          <t>https://hostino.ma</t>
        </is>
      </c>
      <c r="C6" s="5" t="inlineStr">
        <is>
          <t>Hébergeur + agence SEO/web</t>
        </is>
      </c>
      <c r="D6" t="n">
        <v>15700</v>
      </c>
      <c r="E6" t="n">
        <v>39</v>
      </c>
      <c r="F6" t="n">
        <v>893</v>
      </c>
      <c r="G6" t="n">
        <v>1094</v>
      </c>
      <c r="H6" t="n">
        <v>3</v>
      </c>
      <c r="I6" t="n">
        <v>11</v>
      </c>
      <c r="J6" s="5" t="inlineStr">
        <is>
          <t>agence seo maroc #2; creation site web maroc #5; seo maroc #2</t>
        </is>
      </c>
      <c r="K6" s="5" t="inlineStr">
        <is>
          <t>www.hostino.ma/google-my-business-maroc/; www.hostino.ma/; www.hostino.ma/nom-de-domaine-ma/; www.hostino.ma/agence-seo-maroc/</t>
        </is>
      </c>
      <c r="L6" s="5" t="inlineStr">
        <is>
          <t>my business #9 (14800); mon entreprise #11 (22200); web hosting #5 (2400); agence seo maroc #2 (720); creation site web maroc #5 (1000); seo maroc #2 (320); nom de domaine maroc #8 (880); domaine ma #9 (720)</t>
        </is>
      </c>
      <c r="M6" s="5" t="inlineStr">
        <is>
          <t>web hosting (2400, KD 65.00) #5; agence seo maroc (720, KD 47.00) #2; creation site web maroc (1000, KD 22.00) #5; seo maroc (320, KD 39.00) #2; creation site web tanger (320, KD 10.00) #3; hébergement web maroc (480, KD 55.00) #5</t>
        </is>
      </c>
      <c r="N6" s="5" t="inlineStr">
        <is>
          <t>Hosting brand authority (6.7k ref. domains) carries service pages</t>
        </is>
      </c>
      <c r="O6" t="n">
        <v>27</v>
      </c>
      <c r="P6" t="n">
        <v>6764</v>
      </c>
      <c r="Q6" t="n">
        <v>196207</v>
      </c>
      <c r="R6" t="inlineStr">
        <is>
          <t>ESTIMATED</t>
        </is>
      </c>
      <c r="S6" s="5" t="inlineStr">
        <is>
          <t>#2 "agence seo maroc", #5 "creation site web maroc", #3 "creation site web tanger", GMB guide (high traffic)</t>
        </is>
      </c>
    </row>
    <row r="7">
      <c r="A7" t="inlineStr">
        <is>
          <t>rhillane.com</t>
        </is>
      </c>
      <c r="B7" s="3" t="inlineStr">
        <is>
          <t>https://rhillane.com</t>
        </is>
      </c>
      <c r="C7" s="5" t="inlineStr">
        <is>
          <t>Agence marketing digital + création site web</t>
        </is>
      </c>
      <c r="D7" t="n">
        <v>16206</v>
      </c>
      <c r="E7" t="n">
        <v>119</v>
      </c>
      <c r="F7" t="n">
        <v>849</v>
      </c>
      <c r="G7" t="n">
        <v>600</v>
      </c>
      <c r="H7" t="n">
        <v>14</v>
      </c>
      <c r="I7" t="n">
        <v>10</v>
      </c>
      <c r="J7" s="5" t="inlineStr">
        <is>
          <t>agence digitale maroc #5; agence seo maroc #4; agence web casablanca #6; agence web maroc #1; creation site web maroc #3; seo maroc #9</t>
        </is>
      </c>
      <c r="K7" s="5" t="inlineStr">
        <is>
          <t>rhillane.com/; rhillane.com/creation-site-web-casablanca/; rhillane.com/blog/prix-creation-site-web-maroc/; rhillane.com/portfolio/ajanef/</t>
        </is>
      </c>
      <c r="L7" s="5" t="inlineStr">
        <is>
          <t>agence de marketing digital #1 (320); marketing agency #1 (720); agence web casablanca #1 (880); agence marketing digital #1 (590); digital marketing agency #1 (390); agence web #2 (480); creation site web maroc #3 (1000); agence web maroc #1 (390)</t>
        </is>
      </c>
      <c r="M7" s="5" t="inlineStr">
        <is>
          <t>agence de marketing digital (320, KD 27.00) #1; agence web casablanca (880, KD 36.00) #1; agence marketing digital (590, KD 51.00) #1; digital marketing agency (390, KD 56.00) #1; agence web (480, KD 25.00) #2; creation site web maroc (1000, KD 22.00) #3</t>
        </is>
      </c>
      <c r="N7" s="5" t="inlineStr">
        <is>
          <t>Price guide + city landing pages + portfolio pages ranking for client names</t>
        </is>
      </c>
      <c r="O7" t="n">
        <v>31</v>
      </c>
      <c r="P7" t="n">
        <v>2888</v>
      </c>
      <c r="Q7" t="n">
        <v>11991</v>
      </c>
      <c r="R7" t="inlineStr">
        <is>
          <t>ESTIMATED</t>
        </is>
      </c>
      <c r="S7" s="5" t="inlineStr">
        <is>
          <t>Broadest MA visibility among agencies: #1 "agence web maroc", #1 "agence web casablanca" (creation-site-web-casablanca page), price blog #3 for "creation site web maroc"</t>
        </is>
      </c>
    </row>
    <row r="8">
      <c r="A8" t="inlineStr">
        <is>
          <t>energiedin.com</t>
        </is>
      </c>
      <c r="B8" s="3" t="inlineStr">
        <is>
          <t>https://energiedin.com</t>
        </is>
      </c>
      <c r="C8" s="5" t="inlineStr">
        <is>
          <t>Agence digitale (web, SEO, marketing) multi-villes</t>
        </is>
      </c>
      <c r="D8" t="n">
        <v>17254</v>
      </c>
      <c r="E8" t="n">
        <v>37</v>
      </c>
      <c r="F8" t="n">
        <v>775</v>
      </c>
      <c r="G8" t="n">
        <v>750</v>
      </c>
      <c r="H8" t="n">
        <v>0</v>
      </c>
      <c r="I8" t="n">
        <v>9</v>
      </c>
      <c r="J8" s="5" t="inlineStr">
        <is>
          <t>agence seo maroc #7; agence web casablanca #2; agence web maroc #5; agence web marrakech #6; seo maroc #5</t>
        </is>
      </c>
      <c r="K8" s="5" t="inlineStr">
        <is>
          <t>www.energiedin.com/agence-digitale-casablanca/; www.energiedin.com/agence-digitale-rabat/; www.energiedin.com/agence-referencement-naturel-seo/; www.energiedin.com/marketing-digital/</t>
        </is>
      </c>
      <c r="L8" s="5" t="inlineStr">
        <is>
          <t>agence web casablanca #7 (880); agence marketing rabat #5 (880); agence seo maroc #7 (720); marketing digital #8 (2400); agence web maroc #5 (390); agence seo marrakech #5 (320); e commerce au maroc #9 (480); agence de marketing digital #9 (320)</t>
        </is>
      </c>
      <c r="M8" s="5" t="inlineStr">
        <is>
          <t>agence web casablanca (880, KD 36.00) #7; agence seo maroc (720, KD 47.00) #7; marketing digital (2400, KD 27.00) #8; agence web maroc (390, KD 44.00) #5; agence seo marrakech (320, KD 20.00) #5; e commerce au maroc (480, KD 11.00) #9</t>
        </is>
      </c>
      <c r="N8" s="5" t="inlineStr">
        <is>
          <t>Same multi-city model as CodeSommet, with service x city pages for SEO</t>
        </is>
      </c>
      <c r="O8" t="n">
        <v>26</v>
      </c>
      <c r="P8" t="n">
        <v>2783</v>
      </c>
      <c r="Q8" t="n">
        <v>81853</v>
      </c>
      <c r="R8" t="inlineStr">
        <is>
          <t>ESTIMATED</t>
        </is>
      </c>
      <c r="S8" s="5" t="inlineStr">
        <is>
          <t>City pages per service (agence-digitale-casablanca, -rabat, agence-seo-marrakech, creation-site-web-marrakech)</t>
        </is>
      </c>
    </row>
    <row r="9">
      <c r="A9" t="inlineStr">
        <is>
          <t>urikacloud.com</t>
        </is>
      </c>
      <c r="B9" s="3" t="inlineStr">
        <is>
          <t>https://urikacloud.com</t>
        </is>
      </c>
      <c r="C9" s="5" t="inlineStr">
        <is>
          <t>Création site web + SEO + services aux entreprises</t>
        </is>
      </c>
      <c r="D9" t="n">
        <v>17753</v>
      </c>
      <c r="E9" t="n">
        <v>26</v>
      </c>
      <c r="F9" t="n">
        <v>744</v>
      </c>
      <c r="G9" t="n">
        <v>568</v>
      </c>
      <c r="H9" t="n">
        <v>3</v>
      </c>
      <c r="I9" t="n">
        <v>2</v>
      </c>
      <c r="J9" s="5" t="inlineStr">
        <is>
          <t>agence seo maroc #1; seo maroc #1</t>
        </is>
      </c>
      <c r="K9" s="5" t="inlineStr">
        <is>
          <t>urikacloud.com/agence-creation-site-web-marrakech.htm; urikacloud.com/seo-maroc.htm; urikacloud.com/comptable-casablanca-maroc.htm; urikacloud.com/invest-in-morocco.htm</t>
        </is>
      </c>
      <c r="L9" s="5" t="inlineStr">
        <is>
          <t>seo maroc #1 (320); comptable casablanca #2 (720); agence web marrakech #1 (390); creation site web marrakech #5 (590); invest in morocco #16 (720); creation site web tanger #9 (320); agence seo maroc #13 (720); invest in morocco #20 (720)</t>
        </is>
      </c>
      <c r="M9" s="5" t="inlineStr">
        <is>
          <t>seo maroc (320, KD 39.00) #1; agence web marrakech (390, KD 39.00) #1; creation site web marrakech (590, KD 12.00) #5; creation site web tanger (320, KD 10.00) #9; agence seo maroc (720, KD 47.00) #13; agence web casablanca (880, KD 36.00) #21</t>
        </is>
      </c>
      <c r="N9" s="5" t="inlineStr">
        <is>
          <t>Proof that exact-match pages win with modest authority (AS 14)</t>
        </is>
      </c>
      <c r="O9" t="n">
        <v>14</v>
      </c>
      <c r="P9" t="n">
        <v>1776</v>
      </c>
      <c r="Q9" t="n">
        <v>6090</v>
      </c>
      <c r="R9" t="inlineStr">
        <is>
          <t>ESTIMATED</t>
        </is>
      </c>
      <c r="S9" s="5" t="inlineStr">
        <is>
          <t>#1 "seo maroc", #1 "agence web marrakech" with old-style .htm pages</t>
        </is>
      </c>
    </row>
    <row r="10">
      <c r="A10" t="inlineStr">
        <is>
          <t>digitalma.ma</t>
        </is>
      </c>
      <c r="B10" s="3" t="inlineStr">
        <is>
          <t>https://digitalma.ma</t>
        </is>
      </c>
      <c r="C10" s="5" t="inlineStr">
        <is>
          <t>Agence de communication / marketing digital</t>
        </is>
      </c>
      <c r="D10" t="n">
        <v>21337</v>
      </c>
      <c r="E10" t="n">
        <v>25</v>
      </c>
      <c r="F10" t="n">
        <v>555</v>
      </c>
      <c r="G10" t="n">
        <v>255</v>
      </c>
      <c r="H10" t="n">
        <v>5</v>
      </c>
      <c r="I10" t="n">
        <v>3</v>
      </c>
      <c r="J10" s="5" t="inlineStr">
        <is>
          <t>agence digitale maroc #6</t>
        </is>
      </c>
      <c r="K10" s="5" t="inlineStr">
        <is>
          <t>digitalma.ma/; digitalma.ma/articles/comment-reussir-votre-marketing-digital/; digitalma.ma/case-studies/</t>
        </is>
      </c>
      <c r="L10" s="5" t="inlineStr">
        <is>
          <t>boite de communication casablanca #3 (6600); agence de communication #1 (1300); agence de marketing digital #2 (320); agence de communication casablanca #3 (590); digital marketing agency #3 (390); agence marketing digital #4 (590); agence de communication à casablanca #7 (480); agence digitale maroc #6 (390)</t>
        </is>
      </c>
      <c r="M10" s="5" t="inlineStr">
        <is>
          <t>agence de marketing digital (320, KD 27.00) #2; digital marketing agency (390, KD 56.00) #3; agence marketing digital (590, KD 51.00) #4; agence digitale maroc (390, KD 50.00) #6; digital (3600, KD 32.00) #21; agence web maroc (390, KD 44.00) #15</t>
        </is>
      </c>
      <c r="N10" s="5" t="inlineStr">
        <is>
          <t>Not a direct competitor on web development</t>
        </is>
      </c>
      <c r="O10" t="n">
        <v>24</v>
      </c>
      <c r="P10" t="n">
        <v>455</v>
      </c>
      <c r="Q10" t="n">
        <v>8567</v>
      </c>
      <c r="R10" t="inlineStr">
        <is>
          <t>ESTIMATED</t>
        </is>
      </c>
      <c r="S10" s="5" t="inlineStr">
        <is>
          <t>Communication head terms</t>
        </is>
      </c>
    </row>
    <row r="11">
      <c r="A11" t="inlineStr">
        <is>
          <t>elevenmedia.ma</t>
        </is>
      </c>
      <c r="B11" s="3" t="inlineStr">
        <is>
          <t>https://elevenmedia.ma</t>
        </is>
      </c>
      <c r="C11" s="5" t="inlineStr">
        <is>
          <t>Agence de communication Casablanca</t>
        </is>
      </c>
      <c r="D11" t="n">
        <v>25277</v>
      </c>
      <c r="E11" t="n">
        <v>36</v>
      </c>
      <c r="F11" t="n">
        <v>418</v>
      </c>
      <c r="G11" t="n">
        <v>102</v>
      </c>
      <c r="H11" t="n">
        <v>1</v>
      </c>
      <c r="I11" t="n">
        <v>4</v>
      </c>
      <c r="J11" s="5" t="inlineStr">
        <is>
          <t>agence digitale maroc #8; agence web casablanca #1</t>
        </is>
      </c>
      <c r="K11" s="5" t="inlineStr">
        <is>
          <t>elevenmedia.ma/; elevenmedia.ma/projets/lydec; elevenmedia.ma/services/digital-marketing; elevenmedia.ma/projets/casamenagement</t>
        </is>
      </c>
      <c r="L11" s="5" t="inlineStr">
        <is>
          <t>boite de communication casablanca #5 (6600); lydec #11 (18100); agence marketing digital casablanca #1 (390); agence de communication casablanca #5 (590); lydec maroc #10 (590); casa aménagement #8 (590); byd maroc #23 (12100); agence web casablanca #26 (880)</t>
        </is>
      </c>
      <c r="M11" s="5" t="inlineStr">
        <is>
          <t>agence marketing digital casablanca (390, KD 39.00) #1; agence web casablanca (880, KD 36.00) #26; agence web casablanca (880, KD 36.00) #75; agence digitale maroc (390, KD 50.00) #29; agence digitale maroc (390, KD 50.00) #89; agence marketing digital (590, KD 51.00) #19</t>
        </is>
      </c>
      <c r="N11" s="5" t="inlineStr">
        <is>
          <t>Communication-agency positioning</t>
        </is>
      </c>
      <c r="O11" t="n">
        <v>25</v>
      </c>
      <c r="P11" t="n">
        <v>346</v>
      </c>
      <c r="Q11" t="n">
        <v>2935</v>
      </c>
      <c r="R11" t="inlineStr">
        <is>
          <t>ESTIMATED</t>
        </is>
      </c>
      <c r="S11" s="5" t="inlineStr">
        <is>
          <t>#1 "agence web casablanca" (homepage); portfolio pages rank for client brands (lydec)</t>
        </is>
      </c>
    </row>
    <row r="12">
      <c r="A12" t="inlineStr">
        <is>
          <t>webeuz.com</t>
        </is>
      </c>
      <c r="B12" s="3" t="inlineStr">
        <is>
          <t>https://webeuz.com</t>
        </is>
      </c>
      <c r="C12" s="5" t="inlineStr">
        <is>
          <t>Agence digitale</t>
        </is>
      </c>
      <c r="D12" t="n">
        <v>25348</v>
      </c>
      <c r="E12" t="n">
        <v>25</v>
      </c>
      <c r="F12" t="n">
        <v>416</v>
      </c>
      <c r="G12" t="n">
        <v>206</v>
      </c>
      <c r="H12" t="n">
        <v>8</v>
      </c>
      <c r="I12" t="n">
        <v>4</v>
      </c>
      <c r="J12" s="5" t="inlineStr">
        <is>
          <t>agence digitale maroc #1; agence web maroc #3</t>
        </is>
      </c>
      <c r="K12" s="5" t="inlineStr">
        <is>
          <t>NOT AVAILABLE (organic report not pulled)</t>
        </is>
      </c>
      <c r="L12" s="5" t="inlineStr">
        <is>
          <t>agence digitale maroc #1; agence web maroc #3</t>
        </is>
      </c>
      <c r="M12" s="5" t="inlineStr">
        <is>
          <t>see SERP column</t>
        </is>
      </c>
      <c r="N12" s="5" t="inlineStr"/>
      <c r="O12" t="n">
        <v>20</v>
      </c>
      <c r="P12" t="n">
        <v>1906</v>
      </c>
      <c r="Q12" t="n">
        <v>6262</v>
      </c>
      <c r="R12" t="inlineStr">
        <is>
          <t>ESTIMATED</t>
        </is>
      </c>
      <c r="S12" s="5" t="inlineStr">
        <is>
          <t>#1 "agence digitale maroc"</t>
        </is>
      </c>
    </row>
    <row r="13">
      <c r="A13" t="inlineStr">
        <is>
          <t>rimasdigital.ma</t>
        </is>
      </c>
      <c r="B13" s="3" t="inlineStr">
        <is>
          <t>https://rimasdigital.ma</t>
        </is>
      </c>
      <c r="C13" s="5" t="inlineStr">
        <is>
          <t>Agence digitale</t>
        </is>
      </c>
      <c r="D13" t="n">
        <v>25357</v>
      </c>
      <c r="E13" t="n">
        <v>12</v>
      </c>
      <c r="F13" t="n">
        <v>416</v>
      </c>
      <c r="G13" t="n">
        <v>463</v>
      </c>
      <c r="H13" t="n">
        <v>2</v>
      </c>
      <c r="I13" t="n">
        <v>2</v>
      </c>
      <c r="J13" s="5" t="inlineStr">
        <is>
          <t>agence digitale maroc #3</t>
        </is>
      </c>
      <c r="K13" s="5" t="inlineStr">
        <is>
          <t>NOT AVAILABLE (organic report not pulled)</t>
        </is>
      </c>
      <c r="L13" s="5" t="inlineStr">
        <is>
          <t>agence digitale maroc #3</t>
        </is>
      </c>
      <c r="M13" s="5" t="inlineStr">
        <is>
          <t>see SERP column</t>
        </is>
      </c>
      <c r="N13" s="5" t="inlineStr"/>
      <c r="O13" t="n">
        <v>17</v>
      </c>
      <c r="P13" t="n">
        <v>316</v>
      </c>
      <c r="Q13" t="n">
        <v>953</v>
      </c>
      <c r="R13" t="inlineStr">
        <is>
          <t>ESTIMATED</t>
        </is>
      </c>
      <c r="S13" s="5" t="inlineStr">
        <is>
          <t>#3 "agence digitale maroc"</t>
        </is>
      </c>
    </row>
    <row r="14">
      <c r="A14" t="inlineStr">
        <is>
          <t>website.ma</t>
        </is>
      </c>
      <c r="B14" s="3" t="inlineStr">
        <is>
          <t>https://website.ma</t>
        </is>
      </c>
      <c r="C14" s="5" t="inlineStr">
        <is>
          <t>Création de sites web</t>
        </is>
      </c>
      <c r="D14" t="n">
        <v>35505</v>
      </c>
      <c r="E14" t="n">
        <v>9</v>
      </c>
      <c r="F14" t="n">
        <v>231</v>
      </c>
      <c r="G14" t="n">
        <v>134</v>
      </c>
      <c r="H14" t="n">
        <v>3</v>
      </c>
      <c r="I14" t="n">
        <v>1</v>
      </c>
      <c r="J14" s="5" t="inlineStr">
        <is>
          <t>creation site web maroc #1</t>
        </is>
      </c>
      <c r="K14" s="5" t="inlineStr">
        <is>
          <t>www.website.ma/; www.website.ma/contact/</t>
        </is>
      </c>
      <c r="L14" s="5" t="inlineStr">
        <is>
          <t>creation des sites web #3 (880); site web #8 (1900); creation site web #1 (390); creation site web maroc #1 (1000); contacter nous #24 (590); website #45 (2400)</t>
        </is>
      </c>
      <c r="M14" s="5" t="inlineStr">
        <is>
          <t>creation des sites web (880, KD 58.00) #3; site web (1900, KD 62.00) #8; creation site web (390, KD 69.00) #1; creation site web maroc (1000, KD 22.00) #1; website (2400, KD 58.00) #45</t>
        </is>
      </c>
      <c r="N14" s="5" t="inlineStr">
        <is>
          <t>Exact-match domain + homepage focus beats higher-authority sites</t>
        </is>
      </c>
      <c r="O14" t="n">
        <v>9</v>
      </c>
      <c r="P14" t="n">
        <v>351</v>
      </c>
      <c r="Q14" t="n">
        <v>2558</v>
      </c>
      <c r="R14" t="inlineStr">
        <is>
          <t>ESTIMATED</t>
        </is>
      </c>
      <c r="S14" s="5" t="inlineStr">
        <is>
          <t>#1 "creation site web maroc" with homepage (AS 9!)</t>
        </is>
      </c>
    </row>
    <row r="15">
      <c r="A15" t="inlineStr">
        <is>
          <t>wikidigital.net</t>
        </is>
      </c>
      <c r="B15" s="3" t="inlineStr">
        <is>
          <t>https://wikidigital.net</t>
        </is>
      </c>
      <c r="C15" s="5" t="inlineStr">
        <is>
          <t>Agence digitale</t>
        </is>
      </c>
      <c r="D15" t="n">
        <v>38584</v>
      </c>
      <c r="E15" t="n">
        <v>13</v>
      </c>
      <c r="F15" t="n">
        <v>196</v>
      </c>
      <c r="G15" t="n">
        <v>88</v>
      </c>
      <c r="H15" t="n">
        <v>0</v>
      </c>
      <c r="I15" t="n">
        <v>6</v>
      </c>
      <c r="J15" s="5" t="inlineStr">
        <is>
          <t>agence digitale maroc #9; agence web casablanca #10; agence web maroc #10</t>
        </is>
      </c>
      <c r="K15" s="5" t="inlineStr">
        <is>
          <t>NOT AVAILABLE (organic report not pulled)</t>
        </is>
      </c>
      <c r="L15" s="5" t="inlineStr">
        <is>
          <t>agence digitale maroc #9; agence web casablanca #10; agence web maroc #10</t>
        </is>
      </c>
      <c r="M15" s="5" t="inlineStr">
        <is>
          <t>see SERP column</t>
        </is>
      </c>
      <c r="N15" s="5" t="inlineStr"/>
      <c r="O15" t="inlineStr">
        <is>
          <t>NOT AVAILABLE</t>
        </is>
      </c>
      <c r="P15" t="inlineStr">
        <is>
          <t>NOT AVAILABLE</t>
        </is>
      </c>
      <c r="Q15" t="inlineStr">
        <is>
          <t>NOT AVAILABLE</t>
        </is>
      </c>
      <c r="R15" t="inlineStr">
        <is>
          <t>ESTIMATED</t>
        </is>
      </c>
      <c r="S15" s="5" t="inlineStr">
        <is>
          <t>Top-10 for agence web maroc/casablanca, agence digitale maroc</t>
        </is>
      </c>
    </row>
    <row r="16">
      <c r="A16" t="inlineStr">
        <is>
          <t>dotma.ma</t>
        </is>
      </c>
      <c r="B16" s="3" t="inlineStr">
        <is>
          <t>https://dotma.ma</t>
        </is>
      </c>
      <c r="C16" s="5" t="inlineStr">
        <is>
          <t>Agence web</t>
        </is>
      </c>
      <c r="D16" t="n">
        <v>40697</v>
      </c>
      <c r="E16" t="n">
        <v>40</v>
      </c>
      <c r="F16" t="n">
        <v>176</v>
      </c>
      <c r="G16" t="n">
        <v>177</v>
      </c>
      <c r="H16" t="n">
        <v>1</v>
      </c>
      <c r="I16" t="n">
        <v>1</v>
      </c>
      <c r="J16" s="5" t="inlineStr">
        <is>
          <t>creation site web maroc #9</t>
        </is>
      </c>
      <c r="K16" s="5" t="inlineStr">
        <is>
          <t>NOT AVAILABLE (organic report not pulled)</t>
        </is>
      </c>
      <c r="L16" s="5" t="inlineStr">
        <is>
          <t>creation site web maroc #9</t>
        </is>
      </c>
      <c r="M16" s="5" t="inlineStr">
        <is>
          <t>see SERP column</t>
        </is>
      </c>
      <c r="N16" s="5" t="inlineStr"/>
      <c r="O16" t="n">
        <v>9</v>
      </c>
      <c r="P16" t="n">
        <v>321</v>
      </c>
      <c r="Q16" t="n">
        <v>2261</v>
      </c>
      <c r="R16" t="inlineStr">
        <is>
          <t>ESTIMATED</t>
        </is>
      </c>
      <c r="S16" s="5" t="inlineStr">
        <is>
          <t>#9 "creation site web maroc" price page</t>
        </is>
      </c>
    </row>
    <row r="17">
      <c r="A17" t="inlineStr">
        <is>
          <t>websuccess.ma</t>
        </is>
      </c>
      <c r="B17" s="3" t="inlineStr">
        <is>
          <t>https://websuccess.ma</t>
        </is>
      </c>
      <c r="C17" s="5" t="inlineStr">
        <is>
          <t>Agence web</t>
        </is>
      </c>
      <c r="D17" t="n">
        <v>42776</v>
      </c>
      <c r="E17" t="n">
        <v>24</v>
      </c>
      <c r="F17" t="n">
        <v>158</v>
      </c>
      <c r="G17" t="n">
        <v>148</v>
      </c>
      <c r="H17" t="n">
        <v>3</v>
      </c>
      <c r="I17" t="n">
        <v>6</v>
      </c>
      <c r="J17" s="5" t="inlineStr">
        <is>
          <t>agence web casablanca #9; agence web maroc #2; creation site web maroc #2</t>
        </is>
      </c>
      <c r="K17" s="5" t="inlineStr">
        <is>
          <t>websuccess.ma/blog/cout-creation-site-web-maroc; websuccess.ma/blog/e-commerce-maroc-guide-complet; websuccess.ma/villes/agence-web-marrakech; websuccess.ma/</t>
        </is>
      </c>
      <c r="L17" s="5" t="inlineStr">
        <is>
          <t>creation site web maroc #2 (1000); e commerce au maroc #3 (480); agence web maroc #2 (390); agence web marrakech #4 (390); creation site web marrakech #7 (590); e commerce maroc #5 (480); agence web #5 (480); snapchat maroc dossier #5 (880)</t>
        </is>
      </c>
      <c r="M17" s="5" t="inlineStr">
        <is>
          <t>creation site web maroc (1000, KD 22.00) #2; e commerce au maroc (480, KD 11.00) #3; agence web maroc (390, KD 44.00) #2; agence web marrakech (390, KD 39.00) #4; creation site web marrakech (590, KD 12.00) #7; e commerce maroc (480, KD 11.00) #5</t>
        </is>
      </c>
      <c r="N17" s="5" t="inlineStr">
        <is>
          <t>Same content model as recommended here</t>
        </is>
      </c>
      <c r="O17" t="n">
        <v>18</v>
      </c>
      <c r="P17" t="n">
        <v>270</v>
      </c>
      <c r="Q17" t="n">
        <v>2812</v>
      </c>
      <c r="R17" t="inlineStr">
        <is>
          <t>ESTIMATED</t>
        </is>
      </c>
      <c r="S17" s="5" t="inlineStr">
        <is>
          <t>#2 price guide, city pages (/villes/agence-web-marrakech), e-commerce guide</t>
        </is>
      </c>
    </row>
    <row r="18">
      <c r="A18" t="inlineStr">
        <is>
          <t>digiseo.ma</t>
        </is>
      </c>
      <c r="B18" s="3" t="inlineStr">
        <is>
          <t>https://digiseo.ma</t>
        </is>
      </c>
      <c r="C18" s="5" t="inlineStr">
        <is>
          <t>Agence SEO</t>
        </is>
      </c>
      <c r="D18" t="n">
        <v>68695</v>
      </c>
      <c r="E18" t="n">
        <v>15</v>
      </c>
      <c r="F18" t="n">
        <v>59</v>
      </c>
      <c r="G18" t="n">
        <v>73</v>
      </c>
      <c r="H18" t="n">
        <v>0</v>
      </c>
      <c r="I18" t="n">
        <v>1</v>
      </c>
      <c r="J18" s="5" t="inlineStr">
        <is>
          <t>agence seo maroc #6</t>
        </is>
      </c>
      <c r="K18" s="5" t="inlineStr">
        <is>
          <t>NOT AVAILABLE (organic report not pulled)</t>
        </is>
      </c>
      <c r="L18" s="5" t="inlineStr">
        <is>
          <t>agence seo maroc #6</t>
        </is>
      </c>
      <c r="M18" s="5" t="inlineStr">
        <is>
          <t>see SERP column</t>
        </is>
      </c>
      <c r="N18" s="5" t="inlineStr"/>
      <c r="O18" t="inlineStr">
        <is>
          <t>NOT AVAILABLE</t>
        </is>
      </c>
      <c r="P18" t="inlineStr">
        <is>
          <t>NOT AVAILABLE</t>
        </is>
      </c>
      <c r="Q18" t="inlineStr">
        <is>
          <t>NOT AVAILABLE</t>
        </is>
      </c>
      <c r="R18" t="inlineStr">
        <is>
          <t>ESTIMATED</t>
        </is>
      </c>
      <c r="S18" s="5" t="inlineStr">
        <is>
          <t>#6 "agence seo maroc"</t>
        </is>
      </c>
    </row>
    <row r="19">
      <c r="A19" t="inlineStr">
        <is>
          <t>siway.ma</t>
        </is>
      </c>
      <c r="B19" s="3" t="inlineStr">
        <is>
          <t>https://siway.ma</t>
        </is>
      </c>
      <c r="C19" s="5" t="inlineStr">
        <is>
          <t>Agence web</t>
        </is>
      </c>
      <c r="D19" t="n">
        <v>71451</v>
      </c>
      <c r="E19" t="n">
        <v>6</v>
      </c>
      <c r="F19" t="n">
        <v>54</v>
      </c>
      <c r="G19" t="n">
        <v>7</v>
      </c>
      <c r="H19" t="n">
        <v>0</v>
      </c>
      <c r="I19" t="n">
        <v>2</v>
      </c>
      <c r="J19" s="5" t="inlineStr">
        <is>
          <t>agence web maroc #8</t>
        </is>
      </c>
      <c r="K19" s="5" t="inlineStr">
        <is>
          <t>NOT AVAILABLE (organic report not pulled)</t>
        </is>
      </c>
      <c r="L19" s="5" t="inlineStr">
        <is>
          <t>agence web maroc #8</t>
        </is>
      </c>
      <c r="M19" s="5" t="inlineStr">
        <is>
          <t>see SERP column</t>
        </is>
      </c>
      <c r="N19" s="5" t="inlineStr"/>
      <c r="O19" t="inlineStr">
        <is>
          <t>NOT AVAILABLE</t>
        </is>
      </c>
      <c r="P19" t="inlineStr">
        <is>
          <t>NOT AVAILABLE</t>
        </is>
      </c>
      <c r="Q19" t="inlineStr">
        <is>
          <t>NOT AVAILABLE</t>
        </is>
      </c>
      <c r="R19" t="inlineStr">
        <is>
          <t>ESTIMATED</t>
        </is>
      </c>
      <c r="S19" s="5" t="inlineStr">
        <is>
          <t>#8 "agence web maroc"</t>
        </is>
      </c>
    </row>
    <row r="20">
      <c r="A20" t="inlineStr">
        <is>
          <t>monkeylab.ma</t>
        </is>
      </c>
      <c r="B20" s="3" t="inlineStr">
        <is>
          <t>https://monkeylab.ma</t>
        </is>
      </c>
      <c r="C20" s="5" t="inlineStr">
        <is>
          <t>Agence web Casablanca</t>
        </is>
      </c>
      <c r="D20" t="n">
        <v>75125</v>
      </c>
      <c r="E20" t="n">
        <v>8</v>
      </c>
      <c r="F20" t="n">
        <v>49</v>
      </c>
      <c r="G20" t="n">
        <v>42</v>
      </c>
      <c r="H20" t="n">
        <v>1</v>
      </c>
      <c r="I20" t="n">
        <v>1</v>
      </c>
      <c r="J20" s="5" t="inlineStr">
        <is>
          <t>agence web casablanca #4</t>
        </is>
      </c>
      <c r="K20" s="5" t="inlineStr">
        <is>
          <t>NOT AVAILABLE (organic report not pulled)</t>
        </is>
      </c>
      <c r="L20" s="5" t="inlineStr">
        <is>
          <t>agence web casablanca #4</t>
        </is>
      </c>
      <c r="M20" s="5" t="inlineStr">
        <is>
          <t>see SERP column</t>
        </is>
      </c>
      <c r="N20" s="5" t="inlineStr"/>
      <c r="O20" t="inlineStr">
        <is>
          <t>NOT AVAILABLE</t>
        </is>
      </c>
      <c r="P20" t="inlineStr">
        <is>
          <t>NOT AVAILABLE</t>
        </is>
      </c>
      <c r="Q20" t="inlineStr">
        <is>
          <t>NOT AVAILABLE</t>
        </is>
      </c>
      <c r="R20" t="inlineStr">
        <is>
          <t>ESTIMATED</t>
        </is>
      </c>
      <c r="S20" s="5" t="inlineStr">
        <is>
          <t>#4 "agence web casablanca"</t>
        </is>
      </c>
    </row>
    <row r="21">
      <c r="A21" t="inlineStr">
        <is>
          <t>baleez.net</t>
        </is>
      </c>
      <c r="B21" s="3" t="inlineStr">
        <is>
          <t>https://baleez.net</t>
        </is>
      </c>
      <c r="C21" s="5" t="inlineStr">
        <is>
          <t>Agence web</t>
        </is>
      </c>
      <c r="D21" t="n">
        <v>87356</v>
      </c>
      <c r="E21" t="n">
        <v>6</v>
      </c>
      <c r="F21" t="n">
        <v>35</v>
      </c>
      <c r="G21" t="n">
        <v>24</v>
      </c>
      <c r="H21" t="n">
        <v>0</v>
      </c>
      <c r="I21" t="n">
        <v>1</v>
      </c>
      <c r="J21" s="5" t="inlineStr">
        <is>
          <t>creation site web maroc #4</t>
        </is>
      </c>
      <c r="K21" s="5" t="inlineStr">
        <is>
          <t>NOT AVAILABLE (organic report not pulled)</t>
        </is>
      </c>
      <c r="L21" s="5" t="inlineStr">
        <is>
          <t>creation site web maroc #4</t>
        </is>
      </c>
      <c r="M21" s="5" t="inlineStr">
        <is>
          <t>see SERP column</t>
        </is>
      </c>
      <c r="N21" s="5" t="inlineStr"/>
      <c r="O21" t="inlineStr">
        <is>
          <t>NOT AVAILABLE</t>
        </is>
      </c>
      <c r="P21" t="inlineStr">
        <is>
          <t>NOT AVAILABLE</t>
        </is>
      </c>
      <c r="Q21" t="inlineStr">
        <is>
          <t>NOT AVAILABLE</t>
        </is>
      </c>
      <c r="R21" t="inlineStr">
        <is>
          <t>ESTIMATED</t>
        </is>
      </c>
      <c r="S21" s="5" t="inlineStr">
        <is>
          <t>#4 "creation site web maroc"</t>
        </is>
      </c>
    </row>
    <row r="22">
      <c r="A22" t="inlineStr">
        <is>
          <t>rythmedia.com</t>
        </is>
      </c>
      <c r="B22" s="3" t="inlineStr">
        <is>
          <t>https://rythmedia.com</t>
        </is>
      </c>
      <c r="C22" s="5" t="inlineStr">
        <is>
          <t>Agence web Casablanca</t>
        </is>
      </c>
      <c r="D22" t="n">
        <v>95658</v>
      </c>
      <c r="E22" t="n">
        <v>13</v>
      </c>
      <c r="F22" t="n">
        <v>28</v>
      </c>
      <c r="G22" t="n">
        <v>23</v>
      </c>
      <c r="H22" t="n">
        <v>0</v>
      </c>
      <c r="I22" t="n">
        <v>2</v>
      </c>
      <c r="J22" s="5" t="inlineStr">
        <is>
          <t>agence web casablanca #3</t>
        </is>
      </c>
      <c r="K22" s="5" t="inlineStr">
        <is>
          <t>NOT AVAILABLE (organic report not pulled)</t>
        </is>
      </c>
      <c r="L22" s="5" t="inlineStr">
        <is>
          <t>agence web casablanca #3</t>
        </is>
      </c>
      <c r="M22" s="5" t="inlineStr">
        <is>
          <t>see SERP column</t>
        </is>
      </c>
      <c r="N22" s="5" t="inlineStr"/>
      <c r="O22" t="inlineStr">
        <is>
          <t>NOT AVAILABLE</t>
        </is>
      </c>
      <c r="P22" t="inlineStr">
        <is>
          <t>NOT AVAILABLE</t>
        </is>
      </c>
      <c r="Q22" t="inlineStr">
        <is>
          <t>NOT AVAILABLE</t>
        </is>
      </c>
      <c r="R22" t="inlineStr">
        <is>
          <t>ESTIMATED</t>
        </is>
      </c>
      <c r="S22" s="5" t="inlineStr">
        <is>
          <t>#3 "agence web casablanca"</t>
        </is>
      </c>
    </row>
    <row r="23">
      <c r="A23" t="inlineStr">
        <is>
          <t>trtdigital.ma</t>
        </is>
      </c>
      <c r="B23" s="3" t="inlineStr">
        <is>
          <t>https://trtdigital.ma</t>
        </is>
      </c>
      <c r="C23" s="5" t="inlineStr">
        <is>
          <t>Agence SEO</t>
        </is>
      </c>
      <c r="D23" t="n">
        <v>105113</v>
      </c>
      <c r="E23" t="n">
        <v>25</v>
      </c>
      <c r="F23" t="n">
        <v>22</v>
      </c>
      <c r="G23" t="n">
        <v>26</v>
      </c>
      <c r="H23" t="n">
        <v>0</v>
      </c>
      <c r="I23" t="n">
        <v>1</v>
      </c>
      <c r="J23" s="5" t="inlineStr">
        <is>
          <t>agence seo maroc #3; seo maroc #4</t>
        </is>
      </c>
      <c r="K23" s="5" t="inlineStr">
        <is>
          <t>NOT AVAILABLE (organic report not pulled)</t>
        </is>
      </c>
      <c r="L23" s="5" t="inlineStr">
        <is>
          <t>agence seo maroc #3; seo maroc #4</t>
        </is>
      </c>
      <c r="M23" s="5" t="inlineStr">
        <is>
          <t>see SERP column</t>
        </is>
      </c>
      <c r="N23" s="5" t="inlineStr"/>
      <c r="O23" t="inlineStr">
        <is>
          <t>NOT AVAILABLE</t>
        </is>
      </c>
      <c r="P23" t="inlineStr">
        <is>
          <t>NOT AVAILABLE</t>
        </is>
      </c>
      <c r="Q23" t="inlineStr">
        <is>
          <t>NOT AVAILABLE</t>
        </is>
      </c>
      <c r="R23" t="inlineStr">
        <is>
          <t>ESTIMATED</t>
        </is>
      </c>
      <c r="S23" s="5" t="inlineStr">
        <is>
          <t>#3-4 "agence seo maroc"/"seo maroc"</t>
        </is>
      </c>
    </row>
    <row r="24">
      <c r="A24" t="inlineStr">
        <is>
          <t>ranket.ma</t>
        </is>
      </c>
      <c r="B24" s="3" t="inlineStr">
        <is>
          <t>https://ranket.ma</t>
        </is>
      </c>
      <c r="C24" s="5" t="inlineStr">
        <is>
          <t>Agence SEO</t>
        </is>
      </c>
      <c r="D24" t="n">
        <v>130170</v>
      </c>
      <c r="E24" t="n">
        <v>18</v>
      </c>
      <c r="F24" t="n">
        <v>12</v>
      </c>
      <c r="G24" t="n">
        <v>12</v>
      </c>
      <c r="H24" t="n">
        <v>0</v>
      </c>
      <c r="I24" t="n">
        <v>2</v>
      </c>
      <c r="J24" s="5" t="inlineStr">
        <is>
          <t>agence seo maroc #9</t>
        </is>
      </c>
      <c r="K24" s="5" t="inlineStr">
        <is>
          <t>NOT AVAILABLE (organic report not pulled)</t>
        </is>
      </c>
      <c r="L24" s="5" t="inlineStr">
        <is>
          <t>agence seo maroc #9</t>
        </is>
      </c>
      <c r="M24" s="5" t="inlineStr">
        <is>
          <t>see SERP column</t>
        </is>
      </c>
      <c r="N24" s="5" t="inlineStr"/>
      <c r="O24" t="inlineStr">
        <is>
          <t>NOT AVAILABLE</t>
        </is>
      </c>
      <c r="P24" t="inlineStr">
        <is>
          <t>NOT AVAILABLE</t>
        </is>
      </c>
      <c r="Q24" t="inlineStr">
        <is>
          <t>NOT AVAILABLE</t>
        </is>
      </c>
      <c r="R24" t="inlineStr">
        <is>
          <t>ESTIMATED</t>
        </is>
      </c>
      <c r="S24" s="5" t="inlineStr">
        <is>
          <t>#9 "agence seo maroc"</t>
        </is>
      </c>
    </row>
    <row r="25">
      <c r="A25" t="inlineStr">
        <is>
          <t>itlabspro.com</t>
        </is>
      </c>
      <c r="B25" s="3" t="inlineStr">
        <is>
          <t>https://itlabspro.com</t>
        </is>
      </c>
      <c r="C25" s="5" t="inlineStr">
        <is>
          <t>Agence web</t>
        </is>
      </c>
      <c r="D25" t="n">
        <v>134090</v>
      </c>
      <c r="E25" t="n">
        <v>8</v>
      </c>
      <c r="F25" t="n">
        <v>11</v>
      </c>
      <c r="G25" t="n">
        <v>6</v>
      </c>
      <c r="H25" t="n">
        <v>0</v>
      </c>
      <c r="I25" t="n">
        <v>1</v>
      </c>
      <c r="J25" s="5" t="inlineStr">
        <is>
          <t>creation site web maroc #8</t>
        </is>
      </c>
      <c r="K25" s="5" t="inlineStr">
        <is>
          <t>NOT AVAILABLE (organic report not pulled)</t>
        </is>
      </c>
      <c r="L25" s="5" t="inlineStr">
        <is>
          <t>creation site web maroc #8</t>
        </is>
      </c>
      <c r="M25" s="5" t="inlineStr">
        <is>
          <t>see SERP column</t>
        </is>
      </c>
      <c r="N25" s="5" t="inlineStr"/>
      <c r="O25" t="inlineStr">
        <is>
          <t>NOT AVAILABLE</t>
        </is>
      </c>
      <c r="P25" t="inlineStr">
        <is>
          <t>NOT AVAILABLE</t>
        </is>
      </c>
      <c r="Q25" t="inlineStr">
        <is>
          <t>NOT AVAILABLE</t>
        </is>
      </c>
      <c r="R25" t="inlineStr">
        <is>
          <t>ESTIMATED</t>
        </is>
      </c>
      <c r="S25" s="5" t="inlineStr">
        <is>
          <t>#8 "creation site web maroc" price blog</t>
        </is>
      </c>
    </row>
    <row r="26">
      <c r="A26" t="inlineStr">
        <is>
          <t>codesommet.com</t>
        </is>
      </c>
      <c r="B26" s="3" t="inlineStr">
        <is>
          <t>https://codesommet.com</t>
        </is>
      </c>
      <c r="C26" s="5" t="inlineStr">
        <is>
          <t>CodeSommet (baseline)</t>
        </is>
      </c>
      <c r="D26" t="inlineStr">
        <is>
          <t>NOT AVAILABLE</t>
        </is>
      </c>
      <c r="E26" t="inlineStr">
        <is>
          <t>NOT AVAILABLE</t>
        </is>
      </c>
      <c r="F26" t="inlineStr">
        <is>
          <t>NOT AVAILABLE</t>
        </is>
      </c>
      <c r="G26" t="inlineStr">
        <is>
          <t>NOT AVAILABLE</t>
        </is>
      </c>
      <c r="H26" t="inlineStr">
        <is>
          <t>NOT AVAILABLE</t>
        </is>
      </c>
      <c r="I26" t="inlineStr">
        <is>
          <t>NOT AVAILABLE</t>
        </is>
      </c>
      <c r="J26" s="5" t="inlineStr">
        <is>
          <t>not in any pulled top-10</t>
        </is>
      </c>
      <c r="K26" s="5" t="inlineStr">
        <is>
          <t>Semrush ma: no_data (no keyword in tracked top-100)</t>
        </is>
      </c>
      <c r="L26" s="5" t="inlineStr"/>
      <c r="M26" s="5" t="inlineStr">
        <is>
          <t>Baseline = zero visibility in Semrush MA: every ranking gained is measurable</t>
        </is>
      </c>
      <c r="N26" s="5" t="inlineStr">
        <is>
          <t>Service x city pages already exist; authority is the bottleneck</t>
        </is>
      </c>
      <c r="O26" t="n">
        <v>7</v>
      </c>
      <c r="P26" t="n">
        <v>1080</v>
      </c>
      <c r="Q26" t="n">
        <v>5367</v>
      </c>
      <c r="R26" t="inlineStr">
        <is>
          <t>MEASURED</t>
        </is>
      </c>
      <c r="S26" s="5" t="inlineStr">
        <is>
          <t>Semrush AS 7 with 1,080 referring domains vs Seobility 10 -&gt; most referring domains are likely low-quality/auto-generated; audit before link building</t>
        </is>
      </c>
    </row>
  </sheetData>
  <autoFilter ref="A2:S26"/>
  <conditionalFormatting sqref="A3:S26">
    <cfRule type="expression" priority="1" dxfId="2">
      <formula>$R3="MEASURED"</formula>
    </cfRule>
    <cfRule type="expression" priority="2" dxfId="3">
      <formula>$R3="ESTIMATED"</formula>
    </cfRule>
    <cfRule type="expression" priority="3" dxfId="4">
      <formula>$R3="SUGGESTED"</formula>
    </cfRule>
    <cfRule type="expression" priority="4" dxfId="5">
      <formula>$R3="UNAVAILABLE"</formula>
    </cfRule>
  </conditionalFormatting>
  <hyperlinks>
    <hyperlink xmlns:r="http://schemas.openxmlformats.org/officeDocument/2006/relationships" ref="A1"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77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9" customWidth="1" min="1" max="1"/>
    <col width="40" customWidth="1" min="2" max="2"/>
    <col width="14" customWidth="1" min="3" max="3"/>
    <col width="8" customWidth="1" min="4" max="4"/>
    <col width="8" customWidth="1" min="5" max="5"/>
    <col width="10" customWidth="1" min="6" max="6"/>
    <col width="7" customWidth="1" min="7" max="7"/>
    <col width="9" customWidth="1" min="8" max="8"/>
    <col width="10" customWidth="1" min="9" max="9"/>
    <col width="22" customWidth="1" min="10" max="10"/>
    <col width="22" customWidth="1" min="11" max="11"/>
    <col width="15" customWidth="1" min="12" max="12"/>
    <col width="13" customWidth="1" min="13" max="13"/>
    <col width="44" customWidth="1" min="14" max="14"/>
    <col width="11" customWidth="1" min="15" max="15"/>
    <col width="8" customWidth="1" min="16" max="16"/>
    <col width="8" customWidth="1" min="17" max="17"/>
    <col width="8" customWidth="1" min="18" max="18"/>
    <col width="8" customWidth="1" min="19" max="19"/>
    <col width="10" customWidth="1" min="20" max="20"/>
    <col width="60" customWidth="1" min="21" max="21"/>
    <col width="50" customWidth="1" min="22" max="22"/>
  </cols>
  <sheetData>
    <row r="1">
      <c r="A1" s="10" t="inlineStr">
        <is>
          <t>← 01 Executive Summary</t>
        </is>
      </c>
      <c r="B1" s="11" t="inlineStr">
        <is>
          <t>Master keyword database - one keyword per row per database (volumes NEVER summed across databases)</t>
        </is>
      </c>
    </row>
    <row r="2" ht="32" customHeight="1">
      <c r="A2" s="12" t="inlineStr">
        <is>
          <t>Keyword ID</t>
        </is>
      </c>
      <c r="B2" s="12" t="inlineStr">
        <is>
          <t>Keyword</t>
        </is>
      </c>
      <c r="C2" s="12" t="inlineStr">
        <is>
          <t>Country</t>
        </is>
      </c>
      <c r="D2" s="12" t="inlineStr">
        <is>
          <t>Database</t>
        </is>
      </c>
      <c r="E2" s="12" t="inlineStr">
        <is>
          <t>Language</t>
        </is>
      </c>
      <c r="F2" s="12" t="inlineStr">
        <is>
          <t>Search Volume</t>
        </is>
      </c>
      <c r="G2" s="12" t="inlineStr">
        <is>
          <t>KD%</t>
        </is>
      </c>
      <c r="H2" s="12" t="inlineStr">
        <is>
          <t>CPC (USD)</t>
        </is>
      </c>
      <c r="I2" s="12" t="inlineStr">
        <is>
          <t>Competitive Density</t>
        </is>
      </c>
      <c r="J2" s="12" t="inlineStr">
        <is>
          <t>Search Intent</t>
        </is>
      </c>
      <c r="K2" s="12" t="inlineStr">
        <is>
          <t>SERP Features</t>
        </is>
      </c>
      <c r="L2" s="12" t="inlineStr">
        <is>
          <t>Trend (12 m)</t>
        </is>
      </c>
      <c r="M2" s="12" t="inlineStr">
        <is>
          <t>Data Status</t>
        </is>
      </c>
      <c r="N2" s="12" t="inlineStr">
        <is>
          <t>Data Source</t>
        </is>
      </c>
      <c r="O2" s="12" t="inlineStr">
        <is>
          <t>Research Date</t>
        </is>
      </c>
      <c r="P2" s="12" t="inlineStr">
        <is>
          <t>Intent pts (calc.)</t>
        </is>
      </c>
      <c r="Q2" s="12" t="inlineStr">
        <is>
          <t>Volume pts (calc.)</t>
        </is>
      </c>
      <c r="R2" s="12" t="inlineStr">
        <is>
          <t>Feasibility pts (calc.)</t>
        </is>
      </c>
      <c r="S2" s="12" t="inlineStr">
        <is>
          <t>Country pts (calc.)</t>
        </is>
      </c>
      <c r="T2" s="12" t="inlineStr">
        <is>
          <t>Base Opportunity 0-100 (calc.)</t>
        </is>
      </c>
      <c r="U2" s="12" t="inlineStr">
        <is>
          <t>Competitor rankings (MA, Semrush)</t>
        </is>
      </c>
      <c r="V2" s="12" t="inlineStr">
        <is>
          <t>Mapped to page(s)</t>
        </is>
      </c>
    </row>
    <row r="3">
      <c r="A3" t="inlineStr">
        <is>
          <t>K0001</t>
        </is>
      </c>
      <c r="B3" t="inlineStr">
        <is>
          <t>marketplace</t>
        </is>
      </c>
      <c r="C3" t="inlineStr">
        <is>
          <t>Morocco</t>
        </is>
      </c>
      <c r="D3" t="inlineStr">
        <is>
          <t>ma</t>
        </is>
      </c>
      <c r="E3" t="inlineStr">
        <is>
          <t>fr</t>
        </is>
      </c>
      <c r="F3" t="n">
        <v>27100</v>
      </c>
      <c r="G3" t="n">
        <v>38</v>
      </c>
      <c r="H3" t="n">
        <v>0.17</v>
      </c>
      <c r="I3" t="n">
        <v>0.02</v>
      </c>
      <c r="J3" t="inlineStr">
        <is>
          <t>Navigational</t>
        </is>
      </c>
      <c r="K3" t="inlineStr">
        <is>
          <t>NOT AVAILABLE (report not requested)</t>
        </is>
      </c>
      <c r="L3" t="inlineStr">
        <is>
          <t>rising (calc.)</t>
        </is>
      </c>
      <c r="M3" t="inlineStr">
        <is>
          <t>MEASURED</t>
        </is>
      </c>
      <c r="N3" s="5" t="inlineStr">
        <is>
          <t>Semrush resource_organic (competitor void.ma)</t>
        </is>
      </c>
      <c r="O3" t="inlineStr">
        <is>
          <t>2026-10-30</t>
        </is>
      </c>
      <c r="P3">
        <f>IF(IF(J3="NOT AVAILABLE","",J3)="",12,IF(OR(ISNUMBER(SEARCH("Transactional",IF(J3="NOT AVAILABLE","",J3))),ISNUMBER(SEARCH("Commercial",IF(J3="NOT AVAILABLE","",J3)))),25,IF(ISNUMBER(SEARCH("Informational",IF(J3="NOT AVAILABLE","",J3))),10,IF(ISNUMBER(SEARCH("Navigational",IF(J3="NOT AVAILABLE","",J3))),0,12))))</f>
        <v/>
      </c>
      <c r="Q3">
        <f>IF(ISNUMBER(F3),MIN(30,ROUND(30*LOG10(F3+1)/4,1)),0)</f>
        <v/>
      </c>
      <c r="R3">
        <f>IF(ISNUMBER(G3),ROUND(25*(100-G3)/100,1),12.5)</f>
        <v/>
      </c>
      <c r="S3" t="n">
        <v>20</v>
      </c>
      <c r="T3">
        <f>ROUND(P3+Q3+R3+S3,0)</f>
        <v/>
      </c>
      <c r="U3" s="5" t="inlineStr">
        <is>
          <t>void.ma #17 https://void.ma/secteurs/marketplace-maroc/</t>
        </is>
      </c>
      <c r="V3" s="5" t="inlineStr"/>
    </row>
    <row r="4">
      <c r="A4" t="inlineStr">
        <is>
          <t>K0002</t>
        </is>
      </c>
      <c r="B4" t="inlineStr">
        <is>
          <t>mon entreprise</t>
        </is>
      </c>
      <c r="C4" t="inlineStr">
        <is>
          <t>Morocco</t>
        </is>
      </c>
      <c r="D4" t="inlineStr">
        <is>
          <t>ma</t>
        </is>
      </c>
      <c r="E4" t="inlineStr">
        <is>
          <t>fr</t>
        </is>
      </c>
      <c r="F4" t="n">
        <v>22200</v>
      </c>
      <c r="G4" t="n">
        <v>53</v>
      </c>
      <c r="H4" t="n">
        <v>1.01</v>
      </c>
      <c r="I4" t="n">
        <v>0.01</v>
      </c>
      <c r="J4" t="inlineStr">
        <is>
          <t>Informational, Transactional</t>
        </is>
      </c>
      <c r="K4" t="inlineStr">
        <is>
          <t>NOT AVAILABLE (report not requested)</t>
        </is>
      </c>
      <c r="L4" t="inlineStr">
        <is>
          <t>declining (calc.)</t>
        </is>
      </c>
      <c r="M4" t="inlineStr">
        <is>
          <t>MEASURED</t>
        </is>
      </c>
      <c r="N4" s="5" t="inlineStr">
        <is>
          <t>Semrush resource_organic (competitor hostino.ma)</t>
        </is>
      </c>
      <c r="O4" t="inlineStr">
        <is>
          <t>2026-10-30</t>
        </is>
      </c>
      <c r="P4">
        <f>IF(IF(J4="NOT AVAILABLE","",J4)="",12,IF(OR(ISNUMBER(SEARCH("Transactional",IF(J4="NOT AVAILABLE","",J4))),ISNUMBER(SEARCH("Commercial",IF(J4="NOT AVAILABLE","",J4)))),25,IF(ISNUMBER(SEARCH("Informational",IF(J4="NOT AVAILABLE","",J4))),10,IF(ISNUMBER(SEARCH("Navigational",IF(J4="NOT AVAILABLE","",J4))),0,12))))</f>
        <v/>
      </c>
      <c r="Q4">
        <f>IF(ISNUMBER(F4),MIN(30,ROUND(30*LOG10(F4+1)/4,1)),0)</f>
        <v/>
      </c>
      <c r="R4">
        <f>IF(ISNUMBER(G4),ROUND(25*(100-G4)/100,1),12.5)</f>
        <v/>
      </c>
      <c r="S4" t="n">
        <v>20</v>
      </c>
      <c r="T4">
        <f>ROUND(P4+Q4+R4+S4,0)</f>
        <v/>
      </c>
      <c r="U4" s="5" t="inlineStr">
        <is>
          <t>hostino.ma #11 https://www.hostino.ma/google-my-business-maroc/ | hostino.ma #29 https://www.hostino.ma/google-my-business-maroc/</t>
        </is>
      </c>
      <c r="V4" s="5" t="inlineStr"/>
    </row>
    <row r="5">
      <c r="A5" t="inlineStr">
        <is>
          <t>K0003</t>
        </is>
      </c>
      <c r="B5" t="inlineStr">
        <is>
          <t>lydec</t>
        </is>
      </c>
      <c r="C5" t="inlineStr">
        <is>
          <t>Morocco</t>
        </is>
      </c>
      <c r="D5" t="inlineStr">
        <is>
          <t>ma</t>
        </is>
      </c>
      <c r="E5" t="inlineStr">
        <is>
          <t>fr</t>
        </is>
      </c>
      <c r="F5" t="n">
        <v>18100</v>
      </c>
      <c r="G5" t="n">
        <v>31</v>
      </c>
      <c r="H5" t="n">
        <v>0</v>
      </c>
      <c r="I5" t="n">
        <v>0.33</v>
      </c>
      <c r="J5" t="inlineStr">
        <is>
          <t>Navigational</t>
        </is>
      </c>
      <c r="K5" t="inlineStr">
        <is>
          <t>NOT AVAILABLE (report not requested)</t>
        </is>
      </c>
      <c r="L5" t="inlineStr">
        <is>
          <t>stable (calc.)</t>
        </is>
      </c>
      <c r="M5" t="inlineStr">
        <is>
          <t>MEASURED</t>
        </is>
      </c>
      <c r="N5" s="5" t="inlineStr">
        <is>
          <t>Semrush resource_organic (competitor elevenmedia.ma)</t>
        </is>
      </c>
      <c r="O5" t="inlineStr">
        <is>
          <t>2026-10-30</t>
        </is>
      </c>
      <c r="P5">
        <f>IF(IF(J5="NOT AVAILABLE","",J5)="",12,IF(OR(ISNUMBER(SEARCH("Transactional",IF(J5="NOT AVAILABLE","",J5))),ISNUMBER(SEARCH("Commercial",IF(J5="NOT AVAILABLE","",J5)))),25,IF(ISNUMBER(SEARCH("Informational",IF(J5="NOT AVAILABLE","",J5))),10,IF(ISNUMBER(SEARCH("Navigational",IF(J5="NOT AVAILABLE","",J5))),0,12))))</f>
        <v/>
      </c>
      <c r="Q5">
        <f>IF(ISNUMBER(F5),MIN(30,ROUND(30*LOG10(F5+1)/4,1)),0)</f>
        <v/>
      </c>
      <c r="R5">
        <f>IF(ISNUMBER(G5),ROUND(25*(100-G5)/100,1),12.5)</f>
        <v/>
      </c>
      <c r="S5" t="n">
        <v>20</v>
      </c>
      <c r="T5">
        <f>ROUND(P5+Q5+R5+S5,0)</f>
        <v/>
      </c>
      <c r="U5" s="5" t="inlineStr">
        <is>
          <t>elevenmedia.ma #11 https://elevenmedia.ma/projets/lydec</t>
        </is>
      </c>
      <c r="V5" s="5" t="inlineStr"/>
    </row>
    <row r="6">
      <c r="A6" t="inlineStr">
        <is>
          <t>K0004</t>
        </is>
      </c>
      <c r="B6" t="inlineStr">
        <is>
          <t>n8n</t>
        </is>
      </c>
      <c r="C6" t="inlineStr">
        <is>
          <t>Morocco</t>
        </is>
      </c>
      <c r="D6" t="inlineStr">
        <is>
          <t>ma</t>
        </is>
      </c>
      <c r="E6" t="inlineStr">
        <is>
          <t>fr</t>
        </is>
      </c>
      <c r="F6" t="n">
        <v>18100</v>
      </c>
      <c r="G6" t="n">
        <v>61</v>
      </c>
      <c r="H6" t="n">
        <v>0.19</v>
      </c>
      <c r="I6" t="n">
        <v>0.18</v>
      </c>
      <c r="J6" t="inlineStr">
        <is>
          <t>Navigational</t>
        </is>
      </c>
      <c r="K6" t="inlineStr">
        <is>
          <t>NOT AVAILABLE (report not requested)</t>
        </is>
      </c>
      <c r="L6" t="inlineStr">
        <is>
          <t>declining (calc.)</t>
        </is>
      </c>
      <c r="M6" t="inlineStr">
        <is>
          <t>MEASURED</t>
        </is>
      </c>
      <c r="N6" s="5" t="inlineStr">
        <is>
          <t>Semrush resource_organic (competitor void.ma)</t>
        </is>
      </c>
      <c r="O6" t="inlineStr">
        <is>
          <t>2026-10-30</t>
        </is>
      </c>
      <c r="P6">
        <f>IF(IF(J6="NOT AVAILABLE","",J6)="",12,IF(OR(ISNUMBER(SEARCH("Transactional",IF(J6="NOT AVAILABLE","",J6))),ISNUMBER(SEARCH("Commercial",IF(J6="NOT AVAILABLE","",J6)))),25,IF(ISNUMBER(SEARCH("Informational",IF(J6="NOT AVAILABLE","",J6))),10,IF(ISNUMBER(SEARCH("Navigational",IF(J6="NOT AVAILABLE","",J6))),0,12))))</f>
        <v/>
      </c>
      <c r="Q6">
        <f>IF(ISNUMBER(F6),MIN(30,ROUND(30*LOG10(F6+1)/4,1)),0)</f>
        <v/>
      </c>
      <c r="R6">
        <f>IF(ISNUMBER(G6),ROUND(25*(100-G6)/100,1),12.5)</f>
        <v/>
      </c>
      <c r="S6" t="n">
        <v>20</v>
      </c>
      <c r="T6">
        <f>ROUND(P6+Q6+R6+S6,0)</f>
        <v/>
      </c>
      <c r="U6" s="5" t="inlineStr">
        <is>
          <t>void.ma #6 https://void.ma/publications/n8n-automatisation-workflows-ia-entreprise-guide-strategique/</t>
        </is>
      </c>
      <c r="V6" s="5" t="inlineStr"/>
    </row>
    <row r="7">
      <c r="A7" t="inlineStr">
        <is>
          <t>K0005</t>
        </is>
      </c>
      <c r="B7" t="inlineStr">
        <is>
          <t>my business</t>
        </is>
      </c>
      <c r="C7" t="inlineStr">
        <is>
          <t>Morocco</t>
        </is>
      </c>
      <c r="D7" t="inlineStr">
        <is>
          <t>ma</t>
        </is>
      </c>
      <c r="E7" t="inlineStr">
        <is>
          <t>fr</t>
        </is>
      </c>
      <c r="F7" t="n">
        <v>14800</v>
      </c>
      <c r="G7" t="n">
        <v>38</v>
      </c>
      <c r="H7" t="n">
        <v>1.78</v>
      </c>
      <c r="I7" t="n">
        <v>0.02</v>
      </c>
      <c r="J7" t="inlineStr">
        <is>
          <t>Informational</t>
        </is>
      </c>
      <c r="K7" t="inlineStr">
        <is>
          <t>NOT AVAILABLE (report not requested)</t>
        </is>
      </c>
      <c r="L7" t="inlineStr">
        <is>
          <t>stable (calc.)</t>
        </is>
      </c>
      <c r="M7" t="inlineStr">
        <is>
          <t>MEASURED</t>
        </is>
      </c>
      <c r="N7" s="5" t="inlineStr">
        <is>
          <t>Semrush resource_organic (competitor hostino.ma)</t>
        </is>
      </c>
      <c r="O7" t="inlineStr">
        <is>
          <t>2026-10-30</t>
        </is>
      </c>
      <c r="P7">
        <f>IF(IF(J7="NOT AVAILABLE","",J7)="",12,IF(OR(ISNUMBER(SEARCH("Transactional",IF(J7="NOT AVAILABLE","",J7))),ISNUMBER(SEARCH("Commercial",IF(J7="NOT AVAILABLE","",J7)))),25,IF(ISNUMBER(SEARCH("Informational",IF(J7="NOT AVAILABLE","",J7))),10,IF(ISNUMBER(SEARCH("Navigational",IF(J7="NOT AVAILABLE","",J7))),0,12))))</f>
        <v/>
      </c>
      <c r="Q7">
        <f>IF(ISNUMBER(F7),MIN(30,ROUND(30*LOG10(F7+1)/4,1)),0)</f>
        <v/>
      </c>
      <c r="R7">
        <f>IF(ISNUMBER(G7),ROUND(25*(100-G7)/100,1),12.5)</f>
        <v/>
      </c>
      <c r="S7" t="n">
        <v>20</v>
      </c>
      <c r="T7">
        <f>ROUND(P7+Q7+R7+S7,0)</f>
        <v/>
      </c>
      <c r="U7" s="5" t="inlineStr">
        <is>
          <t>hostino.ma #9 https://www.hostino.ma/google-my-business-maroc/</t>
        </is>
      </c>
      <c r="V7" s="5" t="inlineStr"/>
    </row>
    <row r="8">
      <c r="A8" t="inlineStr">
        <is>
          <t>K0006</t>
        </is>
      </c>
      <c r="B8" t="inlineStr">
        <is>
          <t>qr code</t>
        </is>
      </c>
      <c r="C8" t="inlineStr">
        <is>
          <t>Morocco</t>
        </is>
      </c>
      <c r="D8" t="inlineStr">
        <is>
          <t>ma</t>
        </is>
      </c>
      <c r="E8" t="inlineStr">
        <is>
          <t>fr</t>
        </is>
      </c>
      <c r="F8" t="n">
        <v>14800</v>
      </c>
      <c r="G8" t="n">
        <v>56</v>
      </c>
      <c r="H8" t="n">
        <v>0.07000000000000001</v>
      </c>
      <c r="I8" t="n">
        <v>0.33</v>
      </c>
      <c r="J8" t="inlineStr">
        <is>
          <t>Informational</t>
        </is>
      </c>
      <c r="K8" t="inlineStr">
        <is>
          <t>NOT AVAILABLE (report not requested)</t>
        </is>
      </c>
      <c r="L8" t="inlineStr">
        <is>
          <t>declining (calc.)</t>
        </is>
      </c>
      <c r="M8" t="inlineStr">
        <is>
          <t>MEASURED</t>
        </is>
      </c>
      <c r="N8" s="5" t="inlineStr">
        <is>
          <t>Semrush phrase_these (live, this session)</t>
        </is>
      </c>
      <c r="O8" t="inlineStr">
        <is>
          <t>2026-10-30</t>
        </is>
      </c>
      <c r="P8">
        <f>IF(IF(J8="NOT AVAILABLE","",J8)="",12,IF(OR(ISNUMBER(SEARCH("Transactional",IF(J8="NOT AVAILABLE","",J8))),ISNUMBER(SEARCH("Commercial",IF(J8="NOT AVAILABLE","",J8)))),25,IF(ISNUMBER(SEARCH("Informational",IF(J8="NOT AVAILABLE","",J8))),10,IF(ISNUMBER(SEARCH("Navigational",IF(J8="NOT AVAILABLE","",J8))),0,12))))</f>
        <v/>
      </c>
      <c r="Q8">
        <f>IF(ISNUMBER(F8),MIN(30,ROUND(30*LOG10(F8+1)/4,1)),0)</f>
        <v/>
      </c>
      <c r="R8">
        <f>IF(ISNUMBER(G8),ROUND(25*(100-G8)/100,1),12.5)</f>
        <v/>
      </c>
      <c r="S8" t="n">
        <v>20</v>
      </c>
      <c r="T8">
        <f>ROUND(P8+Q8+R8+S8,0)</f>
        <v/>
      </c>
      <c r="U8" s="5" t="inlineStr"/>
      <c r="V8" s="5" t="inlineStr"/>
    </row>
    <row r="9">
      <c r="A9" t="inlineStr">
        <is>
          <t>K0007</t>
        </is>
      </c>
      <c r="B9" t="inlineStr">
        <is>
          <t>byd maroc</t>
        </is>
      </c>
      <c r="C9" t="inlineStr">
        <is>
          <t>Morocco</t>
        </is>
      </c>
      <c r="D9" t="inlineStr">
        <is>
          <t>ma</t>
        </is>
      </c>
      <c r="E9" t="inlineStr">
        <is>
          <t>fr</t>
        </is>
      </c>
      <c r="F9" t="n">
        <v>12100</v>
      </c>
      <c r="G9" t="n">
        <v>28</v>
      </c>
      <c r="H9" t="n">
        <v>0.05</v>
      </c>
      <c r="I9" t="n">
        <v>0.21</v>
      </c>
      <c r="J9" t="inlineStr">
        <is>
          <t>Navigational</t>
        </is>
      </c>
      <c r="K9" t="inlineStr">
        <is>
          <t>NOT AVAILABLE (report not requested)</t>
        </is>
      </c>
      <c r="L9" t="inlineStr">
        <is>
          <t>stable (calc.)</t>
        </is>
      </c>
      <c r="M9" t="inlineStr">
        <is>
          <t>MEASURED</t>
        </is>
      </c>
      <c r="N9" s="5" t="inlineStr">
        <is>
          <t>Semrush resource_organic (competitor elevenmedia.ma)</t>
        </is>
      </c>
      <c r="O9" t="inlineStr">
        <is>
          <t>2026-10-30</t>
        </is>
      </c>
      <c r="P9">
        <f>IF(IF(J9="NOT AVAILABLE","",J9)="",12,IF(OR(ISNUMBER(SEARCH("Transactional",IF(J9="NOT AVAILABLE","",J9))),ISNUMBER(SEARCH("Commercial",IF(J9="NOT AVAILABLE","",J9)))),25,IF(ISNUMBER(SEARCH("Informational",IF(J9="NOT AVAILABLE","",J9))),10,IF(ISNUMBER(SEARCH("Navigational",IF(J9="NOT AVAILABLE","",J9))),0,12))))</f>
        <v/>
      </c>
      <c r="Q9">
        <f>IF(ISNUMBER(F9),MIN(30,ROUND(30*LOG10(F9+1)/4,1)),0)</f>
        <v/>
      </c>
      <c r="R9">
        <f>IF(ISNUMBER(G9),ROUND(25*(100-G9)/100,1),12.5)</f>
        <v/>
      </c>
      <c r="S9" t="n">
        <v>20</v>
      </c>
      <c r="T9">
        <f>ROUND(P9+Q9+R9+S9,0)</f>
        <v/>
      </c>
      <c r="U9" s="5" t="inlineStr">
        <is>
          <t>elevenmedia.ma #23 https://elevenmedia.ma/projets/BYD</t>
        </is>
      </c>
      <c r="V9" s="5" t="inlineStr"/>
    </row>
    <row r="10">
      <c r="A10" t="inlineStr">
        <is>
          <t>K0008</t>
        </is>
      </c>
      <c r="B10" t="inlineStr">
        <is>
          <t>anti gravity</t>
        </is>
      </c>
      <c r="C10" t="inlineStr">
        <is>
          <t>Morocco</t>
        </is>
      </c>
      <c r="D10" t="inlineStr">
        <is>
          <t>ma</t>
        </is>
      </c>
      <c r="E10" t="inlineStr">
        <is>
          <t>fr</t>
        </is>
      </c>
      <c r="F10" t="n">
        <v>8100</v>
      </c>
      <c r="G10" t="n">
        <v>47</v>
      </c>
      <c r="H10" t="n">
        <v>0.58</v>
      </c>
      <c r="I10" t="n">
        <v>0.02</v>
      </c>
      <c r="J10" t="inlineStr">
        <is>
          <t>Navigational</t>
        </is>
      </c>
      <c r="K10" t="inlineStr">
        <is>
          <t>NOT AVAILABLE (report not requested)</t>
        </is>
      </c>
      <c r="L10" t="inlineStr">
        <is>
          <t>rising (calc.)</t>
        </is>
      </c>
      <c r="M10" t="inlineStr">
        <is>
          <t>MEASURED</t>
        </is>
      </c>
      <c r="N10" s="5" t="inlineStr">
        <is>
          <t>Semrush resource_organic (competitor void.ma)</t>
        </is>
      </c>
      <c r="O10" t="inlineStr">
        <is>
          <t>2026-10-30</t>
        </is>
      </c>
      <c r="P10">
        <f>IF(IF(J10="NOT AVAILABLE","",J10)="",12,IF(OR(ISNUMBER(SEARCH("Transactional",IF(J10="NOT AVAILABLE","",J10))),ISNUMBER(SEARCH("Commercial",IF(J10="NOT AVAILABLE","",J10)))),25,IF(ISNUMBER(SEARCH("Informational",IF(J10="NOT AVAILABLE","",J10))),10,IF(ISNUMBER(SEARCH("Navigational",IF(J10="NOT AVAILABLE","",J10))),0,12))))</f>
        <v/>
      </c>
      <c r="Q10">
        <f>IF(ISNUMBER(F10),MIN(30,ROUND(30*LOG10(F10+1)/4,1)),0)</f>
        <v/>
      </c>
      <c r="R10">
        <f>IF(ISNUMBER(G10),ROUND(25*(100-G10)/100,1),12.5)</f>
        <v/>
      </c>
      <c r="S10" t="n">
        <v>20</v>
      </c>
      <c r="T10">
        <f>ROUND(P10+Q10+R10+S10,0)</f>
        <v/>
      </c>
      <c r="U10" s="5" t="inlineStr">
        <is>
          <t>void.ma #7 https://void.ma/publications/google-antigravity-ide-agentic-gemini-3/</t>
        </is>
      </c>
      <c r="V10" s="5" t="inlineStr"/>
    </row>
    <row r="11">
      <c r="A11" t="inlineStr">
        <is>
          <t>K0009</t>
        </is>
      </c>
      <c r="B11" t="inlineStr">
        <is>
          <t>e commerce</t>
        </is>
      </c>
      <c r="C11" t="inlineStr">
        <is>
          <t>Morocco</t>
        </is>
      </c>
      <c r="D11" t="inlineStr">
        <is>
          <t>ma</t>
        </is>
      </c>
      <c r="E11" t="inlineStr">
        <is>
          <t>fr</t>
        </is>
      </c>
      <c r="F11" t="n">
        <v>8100</v>
      </c>
      <c r="G11" t="n">
        <v>27</v>
      </c>
      <c r="H11" t="n">
        <v>0.43</v>
      </c>
      <c r="I11" t="n">
        <v>0.21</v>
      </c>
      <c r="J11" t="inlineStr">
        <is>
          <t>Informational</t>
        </is>
      </c>
      <c r="K11" t="inlineStr">
        <is>
          <t>NOT AVAILABLE (report not requested)</t>
        </is>
      </c>
      <c r="L11" t="inlineStr">
        <is>
          <t>stable (calc.)</t>
        </is>
      </c>
      <c r="M11" t="inlineStr">
        <is>
          <t>MEASURED</t>
        </is>
      </c>
      <c r="N11" s="5" t="inlineStr">
        <is>
          <t>Semrush resource_organic (competitor vala.ma)</t>
        </is>
      </c>
      <c r="O11" t="inlineStr">
        <is>
          <t>2026-10-30</t>
        </is>
      </c>
      <c r="P11">
        <f>IF(IF(J11="NOT AVAILABLE","",J11)="",12,IF(OR(ISNUMBER(SEARCH("Transactional",IF(J11="NOT AVAILABLE","",J11))),ISNUMBER(SEARCH("Commercial",IF(J11="NOT AVAILABLE","",J11)))),25,IF(ISNUMBER(SEARCH("Informational",IF(J11="NOT AVAILABLE","",J11))),10,IF(ISNUMBER(SEARCH("Navigational",IF(J11="NOT AVAILABLE","",J11))),0,12))))</f>
        <v/>
      </c>
      <c r="Q11">
        <f>IF(ISNUMBER(F11),MIN(30,ROUND(30*LOG10(F11+1)/4,1)),0)</f>
        <v/>
      </c>
      <c r="R11">
        <f>IF(ISNUMBER(G11),ROUND(25*(100-G11)/100,1),12.5)</f>
        <v/>
      </c>
      <c r="S11" t="n">
        <v>20</v>
      </c>
      <c r="T11">
        <f>ROUND(P11+Q11+R11+S11,0)</f>
        <v/>
      </c>
      <c r="U11" s="5" t="inlineStr">
        <is>
          <t>vala.ma #13 https://www.vala.ma/blog/post/e-commerce-maroc</t>
        </is>
      </c>
      <c r="V11" s="5" t="inlineStr"/>
    </row>
    <row r="12">
      <c r="A12" t="inlineStr">
        <is>
          <t>K0010</t>
        </is>
      </c>
      <c r="B12" t="inlineStr">
        <is>
          <t>boite de communication casablanca</t>
        </is>
      </c>
      <c r="C12" t="inlineStr">
        <is>
          <t>Morocco</t>
        </is>
      </c>
      <c r="D12" t="inlineStr">
        <is>
          <t>ma</t>
        </is>
      </c>
      <c r="E12" t="inlineStr">
        <is>
          <t>fr</t>
        </is>
      </c>
      <c r="F12" t="n">
        <v>6600</v>
      </c>
      <c r="G12" t="n">
        <v>38</v>
      </c>
      <c r="H12" t="n">
        <v>0.4</v>
      </c>
      <c r="I12" t="n">
        <v>0.58</v>
      </c>
      <c r="J12" t="inlineStr">
        <is>
          <t>Commercial</t>
        </is>
      </c>
      <c r="K12" t="inlineStr">
        <is>
          <t>NOT AVAILABLE (report not requested)</t>
        </is>
      </c>
      <c r="L12" t="inlineStr">
        <is>
          <t>declining (calc.)</t>
        </is>
      </c>
      <c r="M12" t="inlineStr">
        <is>
          <t>MEASURED</t>
        </is>
      </c>
      <c r="N12" s="5" t="inlineStr">
        <is>
          <t>Semrush resource_organic (competitor digitalma.ma)</t>
        </is>
      </c>
      <c r="O12" t="inlineStr">
        <is>
          <t>2026-10-30</t>
        </is>
      </c>
      <c r="P12">
        <f>IF(IF(J12="NOT AVAILABLE","",J12)="",12,IF(OR(ISNUMBER(SEARCH("Transactional",IF(J12="NOT AVAILABLE","",J12))),ISNUMBER(SEARCH("Commercial",IF(J12="NOT AVAILABLE","",J12)))),25,IF(ISNUMBER(SEARCH("Informational",IF(J12="NOT AVAILABLE","",J12))),10,IF(ISNUMBER(SEARCH("Navigational",IF(J12="NOT AVAILABLE","",J12))),0,12))))</f>
        <v/>
      </c>
      <c r="Q12">
        <f>IF(ISNUMBER(F12),MIN(30,ROUND(30*LOG10(F12+1)/4,1)),0)</f>
        <v/>
      </c>
      <c r="R12">
        <f>IF(ISNUMBER(G12),ROUND(25*(100-G12)/100,1),12.5)</f>
        <v/>
      </c>
      <c r="S12" t="n">
        <v>20</v>
      </c>
      <c r="T12">
        <f>ROUND(P12+Q12+R12+S12,0)</f>
        <v/>
      </c>
      <c r="U12" s="5" t="inlineStr">
        <is>
          <t>digitalma.ma #3 https://digitalma.ma/ | elevenmedia.ma #5 https://elevenmedia.ma/ | elevenmedia.ma #42 https://elevenmedia.ma/agence | rhillane.com #12 https://rhillane.com/</t>
        </is>
      </c>
      <c r="V12" s="5" t="inlineStr"/>
    </row>
    <row r="13">
      <c r="A13" t="inlineStr">
        <is>
          <t>K0011</t>
        </is>
      </c>
      <c r="B13" t="inlineStr">
        <is>
          <t>siteinfo</t>
        </is>
      </c>
      <c r="C13" t="inlineStr">
        <is>
          <t>Morocco</t>
        </is>
      </c>
      <c r="D13" t="inlineStr">
        <is>
          <t>ma</t>
        </is>
      </c>
      <c r="E13" t="inlineStr">
        <is>
          <t>fr</t>
        </is>
      </c>
      <c r="F13" t="n">
        <v>6600</v>
      </c>
      <c r="G13" t="n">
        <v>42</v>
      </c>
      <c r="H13" t="n">
        <v>0</v>
      </c>
      <c r="I13" t="n">
        <v>0</v>
      </c>
      <c r="J13" t="inlineStr">
        <is>
          <t>Navigational</t>
        </is>
      </c>
      <c r="K13" t="inlineStr">
        <is>
          <t>NOT AVAILABLE (report not requested)</t>
        </is>
      </c>
      <c r="L13" t="inlineStr">
        <is>
          <t>stable (calc.)</t>
        </is>
      </c>
      <c r="M13" t="inlineStr">
        <is>
          <t>MEASURED</t>
        </is>
      </c>
      <c r="N13" s="5" t="inlineStr">
        <is>
          <t>Semrush resource_organic (competitor hostino.ma)</t>
        </is>
      </c>
      <c r="O13" t="inlineStr">
        <is>
          <t>2026-10-30</t>
        </is>
      </c>
      <c r="P13">
        <f>IF(IF(J13="NOT AVAILABLE","",J13)="",12,IF(OR(ISNUMBER(SEARCH("Transactional",IF(J13="NOT AVAILABLE","",J13))),ISNUMBER(SEARCH("Commercial",IF(J13="NOT AVAILABLE","",J13)))),25,IF(ISNUMBER(SEARCH("Informational",IF(J13="NOT AVAILABLE","",J13))),10,IF(ISNUMBER(SEARCH("Navigational",IF(J13="NOT AVAILABLE","",J13))),0,12))))</f>
        <v/>
      </c>
      <c r="Q13">
        <f>IF(ISNUMBER(F13),MIN(30,ROUND(30*LOG10(F13+1)/4,1)),0)</f>
        <v/>
      </c>
      <c r="R13">
        <f>IF(ISNUMBER(G13),ROUND(25*(100-G13)/100,1),12.5)</f>
        <v/>
      </c>
      <c r="S13" t="n">
        <v>20</v>
      </c>
      <c r="T13">
        <f>ROUND(P13+Q13+R13+S13,0)</f>
        <v/>
      </c>
      <c r="U13" s="5" t="inlineStr">
        <is>
          <t>hostino.ma #19 https://www.hostino.ma/</t>
        </is>
      </c>
      <c r="V13" s="5" t="inlineStr"/>
    </row>
    <row r="14">
      <c r="A14" t="inlineStr">
        <is>
          <t>K0012</t>
        </is>
      </c>
      <c r="B14" t="inlineStr">
        <is>
          <t>affiliate marketing</t>
        </is>
      </c>
      <c r="C14" t="inlineStr">
        <is>
          <t>Morocco</t>
        </is>
      </c>
      <c r="D14" t="inlineStr">
        <is>
          <t>ma</t>
        </is>
      </c>
      <c r="E14" t="inlineStr">
        <is>
          <t>fr</t>
        </is>
      </c>
      <c r="F14" t="n">
        <v>5400</v>
      </c>
      <c r="G14" t="n">
        <v>30</v>
      </c>
      <c r="H14" t="n">
        <v>7.15</v>
      </c>
      <c r="I14" t="n">
        <v>0.22</v>
      </c>
      <c r="J14" t="inlineStr">
        <is>
          <t>Informational</t>
        </is>
      </c>
      <c r="K14" t="inlineStr">
        <is>
          <t>NOT AVAILABLE (report not requested)</t>
        </is>
      </c>
      <c r="L14" t="inlineStr">
        <is>
          <t>rising (calc.)</t>
        </is>
      </c>
      <c r="M14" t="inlineStr">
        <is>
          <t>MEASURED</t>
        </is>
      </c>
      <c r="N14" s="5" t="inlineStr">
        <is>
          <t>Semrush resource_organic (competitor rhillane.com)</t>
        </is>
      </c>
      <c r="O14" t="inlineStr">
        <is>
          <t>2026-10-30</t>
        </is>
      </c>
      <c r="P14">
        <f>IF(IF(J14="NOT AVAILABLE","",J14)="",12,IF(OR(ISNUMBER(SEARCH("Transactional",IF(J14="NOT AVAILABLE","",J14))),ISNUMBER(SEARCH("Commercial",IF(J14="NOT AVAILABLE","",J14)))),25,IF(ISNUMBER(SEARCH("Informational",IF(J14="NOT AVAILABLE","",J14))),10,IF(ISNUMBER(SEARCH("Navigational",IF(J14="NOT AVAILABLE","",J14))),0,12))))</f>
        <v/>
      </c>
      <c r="Q14">
        <f>IF(ISNUMBER(F14),MIN(30,ROUND(30*LOG10(F14+1)/4,1)),0)</f>
        <v/>
      </c>
      <c r="R14">
        <f>IF(ISNUMBER(G14),ROUND(25*(100-G14)/100,1),12.5)</f>
        <v/>
      </c>
      <c r="S14" t="n">
        <v>20</v>
      </c>
      <c r="T14">
        <f>ROUND(P14+Q14+R14+S14,0)</f>
        <v/>
      </c>
      <c r="U14" s="5" t="inlineStr">
        <is>
          <t>rhillane.com #19 https://rhillane.com/blog/marketing-affiliation/</t>
        </is>
      </c>
      <c r="V14" s="5" t="inlineStr"/>
    </row>
    <row r="15">
      <c r="A15" t="inlineStr">
        <is>
          <t>K0013</t>
        </is>
      </c>
      <c r="B15" t="inlineStr">
        <is>
          <t>compresser image</t>
        </is>
      </c>
      <c r="C15" t="inlineStr">
        <is>
          <t>Morocco</t>
        </is>
      </c>
      <c r="D15" t="inlineStr">
        <is>
          <t>ma</t>
        </is>
      </c>
      <c r="E15" t="inlineStr">
        <is>
          <t>fr</t>
        </is>
      </c>
      <c r="F15" t="n">
        <v>5400</v>
      </c>
      <c r="G15" t="n">
        <v>42</v>
      </c>
      <c r="H15" t="n">
        <v>0</v>
      </c>
      <c r="I15" t="n">
        <v>0.1</v>
      </c>
      <c r="J15" t="inlineStr">
        <is>
          <t>Informational, Commercial</t>
        </is>
      </c>
      <c r="K15" t="inlineStr">
        <is>
          <t>NOT AVAILABLE (report not requested)</t>
        </is>
      </c>
      <c r="L15" t="inlineStr">
        <is>
          <t>stable (calc.)</t>
        </is>
      </c>
      <c r="M15" t="inlineStr">
        <is>
          <t>MEASURED</t>
        </is>
      </c>
      <c r="N15" s="5" t="inlineStr">
        <is>
          <t>Semrush phrase_these (live, this session)</t>
        </is>
      </c>
      <c r="O15" t="inlineStr">
        <is>
          <t>2026-10-30</t>
        </is>
      </c>
      <c r="P15">
        <f>IF(IF(J15="NOT AVAILABLE","",J15)="",12,IF(OR(ISNUMBER(SEARCH("Transactional",IF(J15="NOT AVAILABLE","",J15))),ISNUMBER(SEARCH("Commercial",IF(J15="NOT AVAILABLE","",J15)))),25,IF(ISNUMBER(SEARCH("Informational",IF(J15="NOT AVAILABLE","",J15))),10,IF(ISNUMBER(SEARCH("Navigational",IF(J15="NOT AVAILABLE","",J15))),0,12))))</f>
        <v/>
      </c>
      <c r="Q15">
        <f>IF(ISNUMBER(F15),MIN(30,ROUND(30*LOG10(F15+1)/4,1)),0)</f>
        <v/>
      </c>
      <c r="R15">
        <f>IF(ISNUMBER(G15),ROUND(25*(100-G15)/100,1),12.5)</f>
        <v/>
      </c>
      <c r="S15" t="n">
        <v>20</v>
      </c>
      <c r="T15">
        <f>ROUND(P15+Q15+R15+S15,0)</f>
        <v/>
      </c>
      <c r="U15" s="5" t="inlineStr"/>
      <c r="V15" s="5" t="inlineStr">
        <is>
          <t>SECONDARY /tools/image-compressor</t>
        </is>
      </c>
    </row>
    <row r="16">
      <c r="A16" t="inlineStr">
        <is>
          <t>K0014</t>
        </is>
      </c>
      <c r="B16" t="inlineStr">
        <is>
          <t>compression image</t>
        </is>
      </c>
      <c r="C16" t="inlineStr">
        <is>
          <t>Morocco</t>
        </is>
      </c>
      <c r="D16" t="inlineStr">
        <is>
          <t>ma</t>
        </is>
      </c>
      <c r="E16" t="inlineStr">
        <is>
          <t>fr</t>
        </is>
      </c>
      <c r="F16" t="n">
        <v>5400</v>
      </c>
      <c r="G16" t="n">
        <v>42</v>
      </c>
      <c r="H16" t="n">
        <v>0</v>
      </c>
      <c r="I16" t="n">
        <v>0.1</v>
      </c>
      <c r="J16" t="inlineStr">
        <is>
          <t>Informational, Commercial</t>
        </is>
      </c>
      <c r="K16" t="inlineStr">
        <is>
          <t>NOT AVAILABLE (report not requested)</t>
        </is>
      </c>
      <c r="L16" t="inlineStr">
        <is>
          <t>stable (calc.)</t>
        </is>
      </c>
      <c r="M16" t="inlineStr">
        <is>
          <t>MEASURED</t>
        </is>
      </c>
      <c r="N16" s="5" t="inlineStr">
        <is>
          <t>Semrush phrase_these (live, this session)</t>
        </is>
      </c>
      <c r="O16" t="inlineStr">
        <is>
          <t>2026-10-30</t>
        </is>
      </c>
      <c r="P16">
        <f>IF(IF(J16="NOT AVAILABLE","",J16)="",12,IF(OR(ISNUMBER(SEARCH("Transactional",IF(J16="NOT AVAILABLE","",J16))),ISNUMBER(SEARCH("Commercial",IF(J16="NOT AVAILABLE","",J16)))),25,IF(ISNUMBER(SEARCH("Informational",IF(J16="NOT AVAILABLE","",J16))),10,IF(ISNUMBER(SEARCH("Navigational",IF(J16="NOT AVAILABLE","",J16))),0,12))))</f>
        <v/>
      </c>
      <c r="Q16">
        <f>IF(ISNUMBER(F16),MIN(30,ROUND(30*LOG10(F16+1)/4,1)),0)</f>
        <v/>
      </c>
      <c r="R16">
        <f>IF(ISNUMBER(G16),ROUND(25*(100-G16)/100,1),12.5)</f>
        <v/>
      </c>
      <c r="S16" t="n">
        <v>20</v>
      </c>
      <c r="T16">
        <f>ROUND(P16+Q16+R16+S16,0)</f>
        <v/>
      </c>
      <c r="U16" s="5" t="inlineStr"/>
      <c r="V16" s="5" t="inlineStr">
        <is>
          <t>SUPPORTING /tools/image-compressor</t>
        </is>
      </c>
    </row>
    <row r="17">
      <c r="A17" t="inlineStr">
        <is>
          <t>K0015</t>
        </is>
      </c>
      <c r="B17" t="inlineStr">
        <is>
          <t>digital marketing</t>
        </is>
      </c>
      <c r="C17" t="inlineStr">
        <is>
          <t>Morocco</t>
        </is>
      </c>
      <c r="D17" t="inlineStr">
        <is>
          <t>ma</t>
        </is>
      </c>
      <c r="E17" t="inlineStr">
        <is>
          <t>fr</t>
        </is>
      </c>
      <c r="F17" t="n">
        <v>5400</v>
      </c>
      <c r="G17" t="n">
        <v>51</v>
      </c>
      <c r="H17" t="n">
        <v>0.55</v>
      </c>
      <c r="I17" t="n">
        <v>0.15</v>
      </c>
      <c r="J17" t="inlineStr">
        <is>
          <t>Commercial</t>
        </is>
      </c>
      <c r="K17" t="inlineStr">
        <is>
          <t>NOT AVAILABLE (report not requested)</t>
        </is>
      </c>
      <c r="L17" t="inlineStr">
        <is>
          <t>rising (calc.)</t>
        </is>
      </c>
      <c r="M17" t="inlineStr">
        <is>
          <t>MEASURED</t>
        </is>
      </c>
      <c r="N17" s="5" t="inlineStr">
        <is>
          <t>Semrush resource_organic (competitor digitalma.ma)</t>
        </is>
      </c>
      <c r="O17" t="inlineStr">
        <is>
          <t>2026-10-30</t>
        </is>
      </c>
      <c r="P17">
        <f>IF(IF(J17="NOT AVAILABLE","",J17)="",12,IF(OR(ISNUMBER(SEARCH("Transactional",IF(J17="NOT AVAILABLE","",J17))),ISNUMBER(SEARCH("Commercial",IF(J17="NOT AVAILABLE","",J17)))),25,IF(ISNUMBER(SEARCH("Informational",IF(J17="NOT AVAILABLE","",J17))),10,IF(ISNUMBER(SEARCH("Navigational",IF(J17="NOT AVAILABLE","",J17))),0,12))))</f>
        <v/>
      </c>
      <c r="Q17">
        <f>IF(ISNUMBER(F17),MIN(30,ROUND(30*LOG10(F17+1)/4,1)),0)</f>
        <v/>
      </c>
      <c r="R17">
        <f>IF(ISNUMBER(G17),ROUND(25*(100-G17)/100,1),12.5)</f>
        <v/>
      </c>
      <c r="S17" t="n">
        <v>20</v>
      </c>
      <c r="T17">
        <f>ROUND(P17+Q17+R17+S17,0)</f>
        <v/>
      </c>
      <c r="U17" s="5" t="inlineStr">
        <is>
          <t>digitalma.ma #42 https://digitalma.ma/</t>
        </is>
      </c>
      <c r="V17" s="5" t="inlineStr"/>
    </row>
    <row r="18">
      <c r="A18" t="inlineStr">
        <is>
          <t>K0016</t>
        </is>
      </c>
      <c r="B18" t="inlineStr">
        <is>
          <t>cndp</t>
        </is>
      </c>
      <c r="C18" t="inlineStr">
        <is>
          <t>Morocco</t>
        </is>
      </c>
      <c r="D18" t="inlineStr">
        <is>
          <t>ma</t>
        </is>
      </c>
      <c r="E18" t="inlineStr">
        <is>
          <t>fr</t>
        </is>
      </c>
      <c r="F18" t="n">
        <v>4400</v>
      </c>
      <c r="G18" t="n">
        <v>32</v>
      </c>
      <c r="H18" t="n">
        <v>0</v>
      </c>
      <c r="I18" t="n">
        <v>0.33</v>
      </c>
      <c r="J18" t="inlineStr">
        <is>
          <t>Navigational</t>
        </is>
      </c>
      <c r="K18" t="inlineStr">
        <is>
          <t>NOT AVAILABLE (report not requested)</t>
        </is>
      </c>
      <c r="L18" t="inlineStr">
        <is>
          <t>rising (calc.)</t>
        </is>
      </c>
      <c r="M18" t="inlineStr">
        <is>
          <t>MEASURED</t>
        </is>
      </c>
      <c r="N18" s="5" t="inlineStr">
        <is>
          <t>Semrush resource_organic (competitor void.ma)</t>
        </is>
      </c>
      <c r="O18" t="inlineStr">
        <is>
          <t>2026-10-30</t>
        </is>
      </c>
      <c r="P18">
        <f>IF(IF(J18="NOT AVAILABLE","",J18)="",12,IF(OR(ISNUMBER(SEARCH("Transactional",IF(J18="NOT AVAILABLE","",J18))),ISNUMBER(SEARCH("Commercial",IF(J18="NOT AVAILABLE","",J18)))),25,IF(ISNUMBER(SEARCH("Informational",IF(J18="NOT AVAILABLE","",J18))),10,IF(ISNUMBER(SEARCH("Navigational",IF(J18="NOT AVAILABLE","",J18))),0,12))))</f>
        <v/>
      </c>
      <c r="Q18">
        <f>IF(ISNUMBER(F18),MIN(30,ROUND(30*LOG10(F18+1)/4,1)),0)</f>
        <v/>
      </c>
      <c r="R18">
        <f>IF(ISNUMBER(G18),ROUND(25*(100-G18)/100,1),12.5)</f>
        <v/>
      </c>
      <c r="S18" t="n">
        <v>20</v>
      </c>
      <c r="T18">
        <f>ROUND(P18+Q18+R18+S18,0)</f>
        <v/>
      </c>
      <c r="U18" s="5" t="inlineStr">
        <is>
          <t>void.ma #7 https://void.ma/guides/conformite-cndp-donnees-personnelles/</t>
        </is>
      </c>
      <c r="V18" s="5" t="inlineStr"/>
    </row>
    <row r="19">
      <c r="A19" t="inlineStr">
        <is>
          <t>K0017</t>
        </is>
      </c>
      <c r="B19" t="inlineStr">
        <is>
          <t>domaine</t>
        </is>
      </c>
      <c r="C19" t="inlineStr">
        <is>
          <t>Morocco</t>
        </is>
      </c>
      <c r="D19" t="inlineStr">
        <is>
          <t>ma</t>
        </is>
      </c>
      <c r="E19" t="inlineStr">
        <is>
          <t>fr</t>
        </is>
      </c>
      <c r="F19" t="n">
        <v>4400</v>
      </c>
      <c r="G19" t="n">
        <v>52</v>
      </c>
      <c r="H19" t="n">
        <v>0.53</v>
      </c>
      <c r="I19" t="n">
        <v>0.43</v>
      </c>
      <c r="J19" t="inlineStr">
        <is>
          <t>Informational</t>
        </is>
      </c>
      <c r="K19" t="inlineStr">
        <is>
          <t>NOT AVAILABLE (report not requested)</t>
        </is>
      </c>
      <c r="L19" t="inlineStr">
        <is>
          <t>stable (calc.)</t>
        </is>
      </c>
      <c r="M19" t="inlineStr">
        <is>
          <t>MEASURED</t>
        </is>
      </c>
      <c r="N19" s="5" t="inlineStr">
        <is>
          <t>Semrush resource_organic (competitor hostino.ma)</t>
        </is>
      </c>
      <c r="O19" t="inlineStr">
        <is>
          <t>2026-10-30</t>
        </is>
      </c>
      <c r="P19">
        <f>IF(IF(J19="NOT AVAILABLE","",J19)="",12,IF(OR(ISNUMBER(SEARCH("Transactional",IF(J19="NOT AVAILABLE","",J19))),ISNUMBER(SEARCH("Commercial",IF(J19="NOT AVAILABLE","",J19)))),25,IF(ISNUMBER(SEARCH("Informational",IF(J19="NOT AVAILABLE","",J19))),10,IF(ISNUMBER(SEARCH("Navigational",IF(J19="NOT AVAILABLE","",J19))),0,12))))</f>
        <v/>
      </c>
      <c r="Q19">
        <f>IF(ISNUMBER(F19),MIN(30,ROUND(30*LOG10(F19+1)/4,1)),0)</f>
        <v/>
      </c>
      <c r="R19">
        <f>IF(ISNUMBER(G19),ROUND(25*(100-G19)/100,1),12.5)</f>
        <v/>
      </c>
      <c r="S19" t="n">
        <v>20</v>
      </c>
      <c r="T19">
        <f>ROUND(P19+Q19+R19+S19,0)</f>
        <v/>
      </c>
      <c r="U19" s="5" t="inlineStr">
        <is>
          <t>hostino.ma #31 https://www.hostino.ma/nom-de-domaine-ma/ | vala.ma #13 https://www.vala.ma/domaine</t>
        </is>
      </c>
      <c r="V19" s="5" t="inlineStr"/>
    </row>
    <row r="20">
      <c r="A20" t="inlineStr">
        <is>
          <t>K0018</t>
        </is>
      </c>
      <c r="B20" t="inlineStr">
        <is>
          <t>seo</t>
        </is>
      </c>
      <c r="C20" t="inlineStr">
        <is>
          <t>Morocco</t>
        </is>
      </c>
      <c r="D20" t="inlineStr">
        <is>
          <t>ma</t>
        </is>
      </c>
      <c r="E20" t="inlineStr">
        <is>
          <t>fr</t>
        </is>
      </c>
      <c r="F20" t="n">
        <v>4400</v>
      </c>
      <c r="G20" t="n">
        <v>64</v>
      </c>
      <c r="H20" t="n">
        <v>0.53</v>
      </c>
      <c r="I20" t="n">
        <v>0.15</v>
      </c>
      <c r="J20" t="inlineStr">
        <is>
          <t>Informational</t>
        </is>
      </c>
      <c r="K20" t="inlineStr">
        <is>
          <t>NOT AVAILABLE (report not requested)</t>
        </is>
      </c>
      <c r="L20" t="inlineStr">
        <is>
          <t>stable (calc.)</t>
        </is>
      </c>
      <c r="M20" t="inlineStr">
        <is>
          <t>MEASURED</t>
        </is>
      </c>
      <c r="N20" s="5" t="inlineStr">
        <is>
          <t>Semrush resource_organic (competitor rhillane.com)</t>
        </is>
      </c>
      <c r="O20" t="inlineStr">
        <is>
          <t>2026-10-30</t>
        </is>
      </c>
      <c r="P20">
        <f>IF(IF(J20="NOT AVAILABLE","",J20)="",12,IF(OR(ISNUMBER(SEARCH("Transactional",IF(J20="NOT AVAILABLE","",J20))),ISNUMBER(SEARCH("Commercial",IF(J20="NOT AVAILABLE","",J20)))),25,IF(ISNUMBER(SEARCH("Informational",IF(J20="NOT AVAILABLE","",J20))),10,IF(ISNUMBER(SEARCH("Navigational",IF(J20="NOT AVAILABLE","",J20))),0,12))))</f>
        <v/>
      </c>
      <c r="Q20">
        <f>IF(ISNUMBER(F20),MIN(30,ROUND(30*LOG10(F20+1)/4,1)),0)</f>
        <v/>
      </c>
      <c r="R20">
        <f>IF(ISNUMBER(G20),ROUND(25*(100-G20)/100,1),12.5)</f>
        <v/>
      </c>
      <c r="S20" t="n">
        <v>20</v>
      </c>
      <c r="T20">
        <f>ROUND(P20+Q20+R20+S20,0)</f>
        <v/>
      </c>
      <c r="U20" s="5" t="inlineStr">
        <is>
          <t>rhillane.com #22 https://rhillane.com/blog/seo-marketing/ | vala.ma #15 https://www.vala.ma/blog/post/quest-ce-que-le-seo-search-engine-optimization</t>
        </is>
      </c>
      <c r="V20" s="5" t="inlineStr"/>
    </row>
    <row r="21">
      <c r="A21" t="inlineStr">
        <is>
          <t>K0019</t>
        </is>
      </c>
      <c r="B21" t="inlineStr">
        <is>
          <t>cx</t>
        </is>
      </c>
      <c r="C21" t="inlineStr">
        <is>
          <t>Morocco</t>
        </is>
      </c>
      <c r="D21" t="inlineStr">
        <is>
          <t>ma</t>
        </is>
      </c>
      <c r="E21" t="inlineStr">
        <is>
          <t>fr</t>
        </is>
      </c>
      <c r="F21" t="n">
        <v>3600</v>
      </c>
      <c r="G21" t="n">
        <v>21</v>
      </c>
      <c r="H21" t="n">
        <v>0.54</v>
      </c>
      <c r="I21" t="n">
        <v>0.33</v>
      </c>
      <c r="J21" t="inlineStr">
        <is>
          <t>Informational</t>
        </is>
      </c>
      <c r="K21" t="inlineStr">
        <is>
          <t>NOT AVAILABLE (report not requested)</t>
        </is>
      </c>
      <c r="L21" t="inlineStr">
        <is>
          <t>stable (calc.)</t>
        </is>
      </c>
      <c r="M21" t="inlineStr">
        <is>
          <t>MEASURED</t>
        </is>
      </c>
      <c r="N21" s="5" t="inlineStr">
        <is>
          <t>Semrush resource_organic (competitor void.ma)</t>
        </is>
      </c>
      <c r="O21" t="inlineStr">
        <is>
          <t>2026-10-30</t>
        </is>
      </c>
      <c r="P21">
        <f>IF(IF(J21="NOT AVAILABLE","",J21)="",12,IF(OR(ISNUMBER(SEARCH("Transactional",IF(J21="NOT AVAILABLE","",J21))),ISNUMBER(SEARCH("Commercial",IF(J21="NOT AVAILABLE","",J21)))),25,IF(ISNUMBER(SEARCH("Informational",IF(J21="NOT AVAILABLE","",J21))),10,IF(ISNUMBER(SEARCH("Navigational",IF(J21="NOT AVAILABLE","",J21))),0,12))))</f>
        <v/>
      </c>
      <c r="Q21">
        <f>IF(ISNUMBER(F21),MIN(30,ROUND(30*LOG10(F21+1)/4,1)),0)</f>
        <v/>
      </c>
      <c r="R21">
        <f>IF(ISNUMBER(G21),ROUND(25*(100-G21)/100,1),12.5)</f>
        <v/>
      </c>
      <c r="S21" t="n">
        <v>20</v>
      </c>
      <c r="T21">
        <f>ROUND(P21+Q21+R21+S21,0)</f>
        <v/>
      </c>
      <c r="U21" s="5" t="inlineStr">
        <is>
          <t>void.ma #3 https://void.ma/publications/customer-experience-cx-guide-complet-maroc/</t>
        </is>
      </c>
      <c r="V21" s="5" t="inlineStr"/>
    </row>
    <row r="22">
      <c r="A22" t="inlineStr">
        <is>
          <t>K0020</t>
        </is>
      </c>
      <c r="B22" t="inlineStr">
        <is>
          <t>digital</t>
        </is>
      </c>
      <c r="C22" t="inlineStr">
        <is>
          <t>Morocco</t>
        </is>
      </c>
      <c r="D22" t="inlineStr">
        <is>
          <t>ma</t>
        </is>
      </c>
      <c r="E22" t="inlineStr">
        <is>
          <t>fr</t>
        </is>
      </c>
      <c r="F22" t="n">
        <v>3600</v>
      </c>
      <c r="G22" t="n">
        <v>32</v>
      </c>
      <c r="H22" t="n">
        <v>2.05</v>
      </c>
      <c r="I22" t="n">
        <v>0.02</v>
      </c>
      <c r="J22" t="inlineStr">
        <is>
          <t>Informational</t>
        </is>
      </c>
      <c r="K22" t="inlineStr">
        <is>
          <t>NOT AVAILABLE (report not requested)</t>
        </is>
      </c>
      <c r="L22" t="inlineStr">
        <is>
          <t>stable (calc.)</t>
        </is>
      </c>
      <c r="M22" t="inlineStr">
        <is>
          <t>MEASURED</t>
        </is>
      </c>
      <c r="N22" s="5" t="inlineStr">
        <is>
          <t>Semrush resource_organic (competitor digitalma.ma)</t>
        </is>
      </c>
      <c r="O22" t="inlineStr">
        <is>
          <t>2026-10-30</t>
        </is>
      </c>
      <c r="P22">
        <f>IF(IF(J22="NOT AVAILABLE","",J22)="",12,IF(OR(ISNUMBER(SEARCH("Transactional",IF(J22="NOT AVAILABLE","",J22))),ISNUMBER(SEARCH("Commercial",IF(J22="NOT AVAILABLE","",J22)))),25,IF(ISNUMBER(SEARCH("Informational",IF(J22="NOT AVAILABLE","",J22))),10,IF(ISNUMBER(SEARCH("Navigational",IF(J22="NOT AVAILABLE","",J22))),0,12))))</f>
        <v/>
      </c>
      <c r="Q22">
        <f>IF(ISNUMBER(F22),MIN(30,ROUND(30*LOG10(F22+1)/4,1)),0)</f>
        <v/>
      </c>
      <c r="R22">
        <f>IF(ISNUMBER(G22),ROUND(25*(100-G22)/100,1),12.5)</f>
        <v/>
      </c>
      <c r="S22" t="n">
        <v>20</v>
      </c>
      <c r="T22">
        <f>ROUND(P22+Q22+R22+S22,0)</f>
        <v/>
      </c>
      <c r="U22" s="5" t="inlineStr">
        <is>
          <t>digitalma.ma #21 https://digitalma.ma/</t>
        </is>
      </c>
      <c r="V22" s="5" t="inlineStr"/>
    </row>
    <row r="23">
      <c r="A23" t="inlineStr">
        <is>
          <t>K0021</t>
        </is>
      </c>
      <c r="B23" t="inlineStr">
        <is>
          <t>cabinet comptable</t>
        </is>
      </c>
      <c r="C23" t="inlineStr">
        <is>
          <t>Morocco</t>
        </is>
      </c>
      <c r="D23" t="inlineStr">
        <is>
          <t>ma</t>
        </is>
      </c>
      <c r="E23" t="inlineStr">
        <is>
          <t>fr</t>
        </is>
      </c>
      <c r="F23" t="n">
        <v>2900</v>
      </c>
      <c r="G23" t="n">
        <v>28</v>
      </c>
      <c r="H23" t="n">
        <v>0.71</v>
      </c>
      <c r="I23" t="n">
        <v>0.05</v>
      </c>
      <c r="J23" t="inlineStr">
        <is>
          <t>Commercial</t>
        </is>
      </c>
      <c r="K23" t="inlineStr">
        <is>
          <t>NOT AVAILABLE (report not requested)</t>
        </is>
      </c>
      <c r="L23" t="inlineStr">
        <is>
          <t>stable (calc.)</t>
        </is>
      </c>
      <c r="M23" t="inlineStr">
        <is>
          <t>MEASURED</t>
        </is>
      </c>
      <c r="N23" s="5" t="inlineStr">
        <is>
          <t>Semrush resource_organic (competitor urikacloud.com)</t>
        </is>
      </c>
      <c r="O23" t="inlineStr">
        <is>
          <t>2026-10-30</t>
        </is>
      </c>
      <c r="P23">
        <f>IF(IF(J23="NOT AVAILABLE","",J23)="",12,IF(OR(ISNUMBER(SEARCH("Transactional",IF(J23="NOT AVAILABLE","",J23))),ISNUMBER(SEARCH("Commercial",IF(J23="NOT AVAILABLE","",J23)))),25,IF(ISNUMBER(SEARCH("Informational",IF(J23="NOT AVAILABLE","",J23))),10,IF(ISNUMBER(SEARCH("Navigational",IF(J23="NOT AVAILABLE","",J23))),0,12))))</f>
        <v/>
      </c>
      <c r="Q23">
        <f>IF(ISNUMBER(F23),MIN(30,ROUND(30*LOG10(F23+1)/4,1)),0)</f>
        <v/>
      </c>
      <c r="R23">
        <f>IF(ISNUMBER(G23),ROUND(25*(100-G23)/100,1),12.5)</f>
        <v/>
      </c>
      <c r="S23" t="n">
        <v>20</v>
      </c>
      <c r="T23">
        <f>ROUND(P23+Q23+R23+S23,0)</f>
        <v/>
      </c>
      <c r="U23" s="5" t="inlineStr">
        <is>
          <t>urikacloud.com #38 https://urikacloud.com/comptable-casablanca-maroc.htm</t>
        </is>
      </c>
      <c r="V23" s="5" t="inlineStr"/>
    </row>
    <row r="24">
      <c r="A24" t="inlineStr">
        <is>
          <t>K0022</t>
        </is>
      </c>
      <c r="B24" t="inlineStr">
        <is>
          <t>e banking</t>
        </is>
      </c>
      <c r="C24" t="inlineStr">
        <is>
          <t>Morocco</t>
        </is>
      </c>
      <c r="D24" t="inlineStr">
        <is>
          <t>ma</t>
        </is>
      </c>
      <c r="E24" t="inlineStr">
        <is>
          <t>fr</t>
        </is>
      </c>
      <c r="F24" t="n">
        <v>2900</v>
      </c>
      <c r="G24" t="n">
        <v>32</v>
      </c>
      <c r="H24" t="n">
        <v>0.47</v>
      </c>
      <c r="I24" t="n">
        <v>0.02</v>
      </c>
      <c r="J24" t="inlineStr">
        <is>
          <t>NOT AVAILABLE</t>
        </is>
      </c>
      <c r="K24" t="inlineStr">
        <is>
          <t>NOT AVAILABLE (report not requested)</t>
        </is>
      </c>
      <c r="L24" t="inlineStr">
        <is>
          <t>stable (calc.)</t>
        </is>
      </c>
      <c r="M24" t="inlineStr">
        <is>
          <t>MEASURED</t>
        </is>
      </c>
      <c r="N24" s="5" t="inlineStr">
        <is>
          <t>Semrush resource_organic (competitor void.ma)</t>
        </is>
      </c>
      <c r="O24" t="inlineStr">
        <is>
          <t>2026-10-30</t>
        </is>
      </c>
      <c r="P24">
        <f>IF(IF(J24="NOT AVAILABLE","",J24)="",12,IF(OR(ISNUMBER(SEARCH("Transactional",IF(J24="NOT AVAILABLE","",J24))),ISNUMBER(SEARCH("Commercial",IF(J24="NOT AVAILABLE","",J24)))),25,IF(ISNUMBER(SEARCH("Informational",IF(J24="NOT AVAILABLE","",J24))),10,IF(ISNUMBER(SEARCH("Navigational",IF(J24="NOT AVAILABLE","",J24))),0,12))))</f>
        <v/>
      </c>
      <c r="Q24">
        <f>IF(ISNUMBER(F24),MIN(30,ROUND(30*LOG10(F24+1)/4,1)),0)</f>
        <v/>
      </c>
      <c r="R24">
        <f>IF(ISNUMBER(G24),ROUND(25*(100-G24)/100,1),12.5)</f>
        <v/>
      </c>
      <c r="S24" t="n">
        <v>20</v>
      </c>
      <c r="T24">
        <f>ROUND(P24+Q24+R24+S24,0)</f>
        <v/>
      </c>
      <c r="U24" s="5" t="inlineStr">
        <is>
          <t>void.ma #8 https://void.ma/secteurs/digital-banking-maroc/</t>
        </is>
      </c>
      <c r="V24" s="5" t="inlineStr"/>
    </row>
    <row r="25">
      <c r="A25" t="inlineStr">
        <is>
          <t>K0023</t>
        </is>
      </c>
      <c r="B25" t="inlineStr">
        <is>
          <t>marketing digital</t>
        </is>
      </c>
      <c r="C25" t="inlineStr">
        <is>
          <t>Morocco</t>
        </is>
      </c>
      <c r="D25" t="inlineStr">
        <is>
          <t>ma</t>
        </is>
      </c>
      <c r="E25" t="inlineStr">
        <is>
          <t>fr</t>
        </is>
      </c>
      <c r="F25" t="n">
        <v>2400</v>
      </c>
      <c r="G25" t="n">
        <v>27</v>
      </c>
      <c r="H25" t="n">
        <v>0.46</v>
      </c>
      <c r="I25" t="n">
        <v>0.42</v>
      </c>
      <c r="J25" t="inlineStr">
        <is>
          <t>Informational</t>
        </is>
      </c>
      <c r="K25" t="inlineStr">
        <is>
          <t>NOT AVAILABLE (report not requested)</t>
        </is>
      </c>
      <c r="L25" t="inlineStr">
        <is>
          <t>declining (calc.)</t>
        </is>
      </c>
      <c r="M25" t="inlineStr">
        <is>
          <t>MEASURED</t>
        </is>
      </c>
      <c r="N25" s="5" t="inlineStr">
        <is>
          <t>Semrush resource_organic (competitor energiedin.com)</t>
        </is>
      </c>
      <c r="O25" t="inlineStr">
        <is>
          <t>2026-10-30</t>
        </is>
      </c>
      <c r="P25">
        <f>IF(IF(J25="NOT AVAILABLE","",J25)="",12,IF(OR(ISNUMBER(SEARCH("Transactional",IF(J25="NOT AVAILABLE","",J25))),ISNUMBER(SEARCH("Commercial",IF(J25="NOT AVAILABLE","",J25)))),25,IF(ISNUMBER(SEARCH("Informational",IF(J25="NOT AVAILABLE","",J25))),10,IF(ISNUMBER(SEARCH("Navigational",IF(J25="NOT AVAILABLE","",J25))),0,12))))</f>
        <v/>
      </c>
      <c r="Q25">
        <f>IF(ISNUMBER(F25),MIN(30,ROUND(30*LOG10(F25+1)/4,1)),0)</f>
        <v/>
      </c>
      <c r="R25">
        <f>IF(ISNUMBER(G25),ROUND(25*(100-G25)/100,1),12.5)</f>
        <v/>
      </c>
      <c r="S25" t="n">
        <v>20</v>
      </c>
      <c r="T25">
        <f>ROUND(P25+Q25+R25+S25,0)</f>
        <v/>
      </c>
      <c r="U25" s="5" t="inlineStr">
        <is>
          <t>energiedin.com #8 https://www.energiedin.com/marketing-digital/</t>
        </is>
      </c>
      <c r="V25" s="5" t="inlineStr"/>
    </row>
    <row r="26">
      <c r="A26" t="inlineStr">
        <is>
          <t>K0024</t>
        </is>
      </c>
      <c r="B26" t="inlineStr">
        <is>
          <t>marketplace maroc</t>
        </is>
      </c>
      <c r="C26" t="inlineStr">
        <is>
          <t>Morocco</t>
        </is>
      </c>
      <c r="D26" t="inlineStr">
        <is>
          <t>ma</t>
        </is>
      </c>
      <c r="E26" t="inlineStr">
        <is>
          <t>fr</t>
        </is>
      </c>
      <c r="F26" t="n">
        <v>2400</v>
      </c>
      <c r="G26" t="n">
        <v>36</v>
      </c>
      <c r="H26" t="n">
        <v>0.11</v>
      </c>
      <c r="I26" t="n">
        <v>0.04</v>
      </c>
      <c r="J26" t="inlineStr">
        <is>
          <t>Informational</t>
        </is>
      </c>
      <c r="K26" t="inlineStr">
        <is>
          <t>NOT AVAILABLE (report not requested)</t>
        </is>
      </c>
      <c r="L26" t="inlineStr">
        <is>
          <t>declining (calc.)</t>
        </is>
      </c>
      <c r="M26" t="inlineStr">
        <is>
          <t>MEASURED</t>
        </is>
      </c>
      <c r="N26" s="5" t="inlineStr">
        <is>
          <t>Semrush resource_organic (competitor void.ma)</t>
        </is>
      </c>
      <c r="O26" t="inlineStr">
        <is>
          <t>2026-10-30</t>
        </is>
      </c>
      <c r="P26">
        <f>IF(IF(J26="NOT AVAILABLE","",J26)="",12,IF(OR(ISNUMBER(SEARCH("Transactional",IF(J26="NOT AVAILABLE","",J26))),ISNUMBER(SEARCH("Commercial",IF(J26="NOT AVAILABLE","",J26)))),25,IF(ISNUMBER(SEARCH("Informational",IF(J26="NOT AVAILABLE","",J26))),10,IF(ISNUMBER(SEARCH("Navigational",IF(J26="NOT AVAILABLE","",J26))),0,12))))</f>
        <v/>
      </c>
      <c r="Q26">
        <f>IF(ISNUMBER(F26),MIN(30,ROUND(30*LOG10(F26+1)/4,1)),0)</f>
        <v/>
      </c>
      <c r="R26">
        <f>IF(ISNUMBER(G26),ROUND(25*(100-G26)/100,1),12.5)</f>
        <v/>
      </c>
      <c r="S26" t="n">
        <v>20</v>
      </c>
      <c r="T26">
        <f>ROUND(P26+Q26+R26+S26,0)</f>
        <v/>
      </c>
      <c r="U26" s="5" t="inlineStr">
        <is>
          <t>void.ma #10 https://void.ma/secteurs/marketplace-maroc/</t>
        </is>
      </c>
      <c r="V26" s="5" t="inlineStr"/>
    </row>
    <row r="27">
      <c r="A27" t="inlineStr">
        <is>
          <t>K0025</t>
        </is>
      </c>
      <c r="B27" t="inlineStr">
        <is>
          <t>portail santé</t>
        </is>
      </c>
      <c r="C27" t="inlineStr">
        <is>
          <t>Morocco</t>
        </is>
      </c>
      <c r="D27" t="inlineStr">
        <is>
          <t>ma</t>
        </is>
      </c>
      <c r="E27" t="inlineStr">
        <is>
          <t>fr</t>
        </is>
      </c>
      <c r="F27" t="n">
        <v>2400</v>
      </c>
      <c r="G27" t="n">
        <v>28</v>
      </c>
      <c r="H27" t="n">
        <v>0</v>
      </c>
      <c r="I27" t="n">
        <v>0.33</v>
      </c>
      <c r="J27" t="inlineStr">
        <is>
          <t>Informational</t>
        </is>
      </c>
      <c r="K27" t="inlineStr">
        <is>
          <t>NOT AVAILABLE (report not requested)</t>
        </is>
      </c>
      <c r="L27" t="inlineStr">
        <is>
          <t>declining (calc.)</t>
        </is>
      </c>
      <c r="M27" t="inlineStr">
        <is>
          <t>MEASURED</t>
        </is>
      </c>
      <c r="N27" s="5" t="inlineStr">
        <is>
          <t>Semrush resource_organic (competitor void.ma)</t>
        </is>
      </c>
      <c r="O27" t="inlineStr">
        <is>
          <t>2026-10-30</t>
        </is>
      </c>
      <c r="P27">
        <f>IF(IF(J27="NOT AVAILABLE","",J27)="",12,IF(OR(ISNUMBER(SEARCH("Transactional",IF(J27="NOT AVAILABLE","",J27))),ISNUMBER(SEARCH("Commercial",IF(J27="NOT AVAILABLE","",J27)))),25,IF(ISNUMBER(SEARCH("Informational",IF(J27="NOT AVAILABLE","",J27))),10,IF(ISNUMBER(SEARCH("Navigational",IF(J27="NOT AVAILABLE","",J27))),0,12))))</f>
        <v/>
      </c>
      <c r="Q27">
        <f>IF(ISNUMBER(F27),MIN(30,ROUND(30*LOG10(F27+1)/4,1)),0)</f>
        <v/>
      </c>
      <c r="R27">
        <f>IF(ISNUMBER(G27),ROUND(25*(100-G27)/100,1),12.5)</f>
        <v/>
      </c>
      <c r="S27" t="n">
        <v>20</v>
      </c>
      <c r="T27">
        <f>ROUND(P27+Q27+R27+S27,0)</f>
        <v/>
      </c>
      <c r="U27" s="5" t="inlineStr">
        <is>
          <t>void.ma #7 https://void.ma/secteurs/portail-patient/</t>
        </is>
      </c>
      <c r="V27" s="5" t="inlineStr"/>
    </row>
    <row r="28">
      <c r="A28" t="inlineStr">
        <is>
          <t>K0026</t>
        </is>
      </c>
      <c r="B28" t="inlineStr">
        <is>
          <t>système d'authentification</t>
        </is>
      </c>
      <c r="C28" t="inlineStr">
        <is>
          <t>Morocco</t>
        </is>
      </c>
      <c r="D28" t="inlineStr">
        <is>
          <t>ma</t>
        </is>
      </c>
      <c r="E28" t="inlineStr">
        <is>
          <t>fr</t>
        </is>
      </c>
      <c r="F28" t="n">
        <v>2400</v>
      </c>
      <c r="G28" t="n">
        <v>27</v>
      </c>
      <c r="H28" t="n">
        <v>0.43</v>
      </c>
      <c r="I28" t="n">
        <v>0.02</v>
      </c>
      <c r="J28" t="inlineStr">
        <is>
          <t>Informational</t>
        </is>
      </c>
      <c r="K28" t="inlineStr">
        <is>
          <t>NOT AVAILABLE (report not requested)</t>
        </is>
      </c>
      <c r="L28" t="inlineStr">
        <is>
          <t>rising (calc.)</t>
        </is>
      </c>
      <c r="M28" t="inlineStr">
        <is>
          <t>MEASURED</t>
        </is>
      </c>
      <c r="N28" s="5" t="inlineStr">
        <is>
          <t>Semrush resource_organic (competitor void.ma)</t>
        </is>
      </c>
      <c r="O28" t="inlineStr">
        <is>
          <t>2026-10-30</t>
        </is>
      </c>
      <c r="P28">
        <f>IF(IF(J28="NOT AVAILABLE","",J28)="",12,IF(OR(ISNUMBER(SEARCH("Transactional",IF(J28="NOT AVAILABLE","",J28))),ISNUMBER(SEARCH("Commercial",IF(J28="NOT AVAILABLE","",J28)))),25,IF(ISNUMBER(SEARCH("Informational",IF(J28="NOT AVAILABLE","",J28))),10,IF(ISNUMBER(SEARCH("Navigational",IF(J28="NOT AVAILABLE","",J28))),0,12))))</f>
        <v/>
      </c>
      <c r="Q28">
        <f>IF(ISNUMBER(F28),MIN(30,ROUND(30*LOG10(F28+1)/4,1)),0)</f>
        <v/>
      </c>
      <c r="R28">
        <f>IF(ISNUMBER(G28),ROUND(25*(100-G28)/100,1),12.5)</f>
        <v/>
      </c>
      <c r="S28" t="n">
        <v>20</v>
      </c>
      <c r="T28">
        <f>ROUND(P28+Q28+R28+S28,0)</f>
        <v/>
      </c>
      <c r="U28" s="5" t="inlineStr">
        <is>
          <t>void.ma #7 https://void.ma/publications/mfa-authentification-double-facteur-maroc-guide-dsi/</t>
        </is>
      </c>
      <c r="V28" s="5" t="inlineStr"/>
    </row>
    <row r="29">
      <c r="A29" t="inlineStr">
        <is>
          <t>K0027</t>
        </is>
      </c>
      <c r="B29" t="inlineStr">
        <is>
          <t>web hosting</t>
        </is>
      </c>
      <c r="C29" t="inlineStr">
        <is>
          <t>Morocco</t>
        </is>
      </c>
      <c r="D29" t="inlineStr">
        <is>
          <t>ma</t>
        </is>
      </c>
      <c r="E29" t="inlineStr">
        <is>
          <t>fr</t>
        </is>
      </c>
      <c r="F29" t="n">
        <v>2400</v>
      </c>
      <c r="G29" t="n">
        <v>65</v>
      </c>
      <c r="H29" t="n">
        <v>0.79</v>
      </c>
      <c r="I29" t="n">
        <v>0.4</v>
      </c>
      <c r="J29" t="inlineStr">
        <is>
          <t>Informational</t>
        </is>
      </c>
      <c r="K29" t="inlineStr">
        <is>
          <t>NOT AVAILABLE (report not requested)</t>
        </is>
      </c>
      <c r="L29" t="inlineStr">
        <is>
          <t>rising (calc.)</t>
        </is>
      </c>
      <c r="M29" t="inlineStr">
        <is>
          <t>MEASURED</t>
        </is>
      </c>
      <c r="N29" s="5" t="inlineStr">
        <is>
          <t>Semrush resource_organic (competitor hostino.ma)</t>
        </is>
      </c>
      <c r="O29" t="inlineStr">
        <is>
          <t>2026-10-30</t>
        </is>
      </c>
      <c r="P29">
        <f>IF(IF(J29="NOT AVAILABLE","",J29)="",12,IF(OR(ISNUMBER(SEARCH("Transactional",IF(J29="NOT AVAILABLE","",J29))),ISNUMBER(SEARCH("Commercial",IF(J29="NOT AVAILABLE","",J29)))),25,IF(ISNUMBER(SEARCH("Informational",IF(J29="NOT AVAILABLE","",J29))),10,IF(ISNUMBER(SEARCH("Navigational",IF(J29="NOT AVAILABLE","",J29))),0,12))))</f>
        <v/>
      </c>
      <c r="Q29">
        <f>IF(ISNUMBER(F29),MIN(30,ROUND(30*LOG10(F29+1)/4,1)),0)</f>
        <v/>
      </c>
      <c r="R29">
        <f>IF(ISNUMBER(G29),ROUND(25*(100-G29)/100,1),12.5)</f>
        <v/>
      </c>
      <c r="S29" t="n">
        <v>20</v>
      </c>
      <c r="T29">
        <f>ROUND(P29+Q29+R29+S29,0)</f>
        <v/>
      </c>
      <c r="U29" s="5" t="inlineStr">
        <is>
          <t>hostino.ma #5 https://www.hostino.ma/</t>
        </is>
      </c>
      <c r="V29" s="5" t="inlineStr"/>
    </row>
    <row r="30">
      <c r="A30" t="inlineStr">
        <is>
          <t>K0028</t>
        </is>
      </c>
      <c r="B30" t="inlineStr">
        <is>
          <t>website</t>
        </is>
      </c>
      <c r="C30" t="inlineStr">
        <is>
          <t>Morocco</t>
        </is>
      </c>
      <c r="D30" t="inlineStr">
        <is>
          <t>ma</t>
        </is>
      </c>
      <c r="E30" t="inlineStr">
        <is>
          <t>fr</t>
        </is>
      </c>
      <c r="F30" t="n">
        <v>2400</v>
      </c>
      <c r="G30" t="n">
        <v>58</v>
      </c>
      <c r="H30" t="n">
        <v>0.15</v>
      </c>
      <c r="I30" t="n">
        <v>0.19</v>
      </c>
      <c r="J30" t="inlineStr">
        <is>
          <t>Informational</t>
        </is>
      </c>
      <c r="K30" t="inlineStr">
        <is>
          <t>NOT AVAILABLE (report not requested)</t>
        </is>
      </c>
      <c r="L30" t="inlineStr">
        <is>
          <t>declining (calc.)</t>
        </is>
      </c>
      <c r="M30" t="inlineStr">
        <is>
          <t>MEASURED</t>
        </is>
      </c>
      <c r="N30" s="5" t="inlineStr">
        <is>
          <t>Semrush resource_organic (competitor website.ma)</t>
        </is>
      </c>
      <c r="O30" t="inlineStr">
        <is>
          <t>2026-10-30</t>
        </is>
      </c>
      <c r="P30">
        <f>IF(IF(J30="NOT AVAILABLE","",J30)="",12,IF(OR(ISNUMBER(SEARCH("Transactional",IF(J30="NOT AVAILABLE","",J30))),ISNUMBER(SEARCH("Commercial",IF(J30="NOT AVAILABLE","",J30)))),25,IF(ISNUMBER(SEARCH("Informational",IF(J30="NOT AVAILABLE","",J30))),10,IF(ISNUMBER(SEARCH("Navigational",IF(J30="NOT AVAILABLE","",J30))),0,12))))</f>
        <v/>
      </c>
      <c r="Q30">
        <f>IF(ISNUMBER(F30),MIN(30,ROUND(30*LOG10(F30+1)/4,1)),0)</f>
        <v/>
      </c>
      <c r="R30">
        <f>IF(ISNUMBER(G30),ROUND(25*(100-G30)/100,1),12.5)</f>
        <v/>
      </c>
      <c r="S30" t="n">
        <v>20</v>
      </c>
      <c r="T30">
        <f>ROUND(P30+Q30+R30+S30,0)</f>
        <v/>
      </c>
      <c r="U30" s="5" t="inlineStr">
        <is>
          <t>website.ma #45 https://www.website.ma/</t>
        </is>
      </c>
      <c r="V30" s="5" t="inlineStr"/>
    </row>
    <row r="31">
      <c r="A31" t="inlineStr">
        <is>
          <t>K0029</t>
        </is>
      </c>
      <c r="B31" t="inlineStr">
        <is>
          <t>cndp maroc</t>
        </is>
      </c>
      <c r="C31" t="inlineStr">
        <is>
          <t>Morocco</t>
        </is>
      </c>
      <c r="D31" t="inlineStr">
        <is>
          <t>ma</t>
        </is>
      </c>
      <c r="E31" t="inlineStr">
        <is>
          <t>fr</t>
        </is>
      </c>
      <c r="F31" t="n">
        <v>1900</v>
      </c>
      <c r="G31" t="n">
        <v>28</v>
      </c>
      <c r="H31" t="n">
        <v>0</v>
      </c>
      <c r="I31" t="n">
        <v>0.33</v>
      </c>
      <c r="J31" t="inlineStr">
        <is>
          <t>Navigational</t>
        </is>
      </c>
      <c r="K31" t="inlineStr">
        <is>
          <t>NOT AVAILABLE (report not requested)</t>
        </is>
      </c>
      <c r="L31" t="inlineStr">
        <is>
          <t>rising (calc.)</t>
        </is>
      </c>
      <c r="M31" t="inlineStr">
        <is>
          <t>MEASURED</t>
        </is>
      </c>
      <c r="N31" s="5" t="inlineStr">
        <is>
          <t>Semrush resource_organic (competitor void.ma)</t>
        </is>
      </c>
      <c r="O31" t="inlineStr">
        <is>
          <t>2026-10-30</t>
        </is>
      </c>
      <c r="P31">
        <f>IF(IF(J31="NOT AVAILABLE","",J31)="",12,IF(OR(ISNUMBER(SEARCH("Transactional",IF(J31="NOT AVAILABLE","",J31))),ISNUMBER(SEARCH("Commercial",IF(J31="NOT AVAILABLE","",J31)))),25,IF(ISNUMBER(SEARCH("Informational",IF(J31="NOT AVAILABLE","",J31))),10,IF(ISNUMBER(SEARCH("Navigational",IF(J31="NOT AVAILABLE","",J31))),0,12))))</f>
        <v/>
      </c>
      <c r="Q31">
        <f>IF(ISNUMBER(F31),MIN(30,ROUND(30*LOG10(F31+1)/4,1)),0)</f>
        <v/>
      </c>
      <c r="R31">
        <f>IF(ISNUMBER(G31),ROUND(25*(100-G31)/100,1),12.5)</f>
        <v/>
      </c>
      <c r="S31" t="n">
        <v>20</v>
      </c>
      <c r="T31">
        <f>ROUND(P31+Q31+R31+S31,0)</f>
        <v/>
      </c>
      <c r="U31" s="5" t="inlineStr">
        <is>
          <t>void.ma #6 https://void.ma/guides/conformite-cndp-donnees-personnelles/</t>
        </is>
      </c>
      <c r="V31" s="5" t="inlineStr"/>
    </row>
    <row r="32">
      <c r="A32" t="inlineStr">
        <is>
          <t>K0030</t>
        </is>
      </c>
      <c r="B32" t="inlineStr">
        <is>
          <t>commerce</t>
        </is>
      </c>
      <c r="C32" t="inlineStr">
        <is>
          <t>Morocco</t>
        </is>
      </c>
      <c r="D32" t="inlineStr">
        <is>
          <t>ma</t>
        </is>
      </c>
      <c r="E32" t="inlineStr">
        <is>
          <t>fr</t>
        </is>
      </c>
      <c r="F32" t="n">
        <v>1900</v>
      </c>
      <c r="G32" t="n">
        <v>32</v>
      </c>
      <c r="H32" t="n">
        <v>0.29</v>
      </c>
      <c r="I32" t="n">
        <v>0.02</v>
      </c>
      <c r="J32" t="inlineStr">
        <is>
          <t>Informational</t>
        </is>
      </c>
      <c r="K32" t="inlineStr">
        <is>
          <t>NOT AVAILABLE (report not requested)</t>
        </is>
      </c>
      <c r="L32" t="inlineStr">
        <is>
          <t>rising (calc.)</t>
        </is>
      </c>
      <c r="M32" t="inlineStr">
        <is>
          <t>MEASURED</t>
        </is>
      </c>
      <c r="N32" s="5" t="inlineStr">
        <is>
          <t>Semrush resource_organic (competitor vala.ma)</t>
        </is>
      </c>
      <c r="O32" t="inlineStr">
        <is>
          <t>2026-10-30</t>
        </is>
      </c>
      <c r="P32">
        <f>IF(IF(J32="NOT AVAILABLE","",J32)="",12,IF(OR(ISNUMBER(SEARCH("Transactional",IF(J32="NOT AVAILABLE","",J32))),ISNUMBER(SEARCH("Commercial",IF(J32="NOT AVAILABLE","",J32)))),25,IF(ISNUMBER(SEARCH("Informational",IF(J32="NOT AVAILABLE","",J32))),10,IF(ISNUMBER(SEARCH("Navigational",IF(J32="NOT AVAILABLE","",J32))),0,12))))</f>
        <v/>
      </c>
      <c r="Q32">
        <f>IF(ISNUMBER(F32),MIN(30,ROUND(30*LOG10(F32+1)/4,1)),0)</f>
        <v/>
      </c>
      <c r="R32">
        <f>IF(ISNUMBER(G32),ROUND(25*(100-G32)/100,1),12.5)</f>
        <v/>
      </c>
      <c r="S32" t="n">
        <v>20</v>
      </c>
      <c r="T32">
        <f>ROUND(P32+Q32+R32+S32,0)</f>
        <v/>
      </c>
      <c r="U32" s="5" t="inlineStr">
        <is>
          <t>vala.ma #22 https://www.vala.ma/blog/post/e-commerce-maroc</t>
        </is>
      </c>
      <c r="V32" s="5" t="inlineStr"/>
    </row>
    <row r="33">
      <c r="A33" t="inlineStr">
        <is>
          <t>K0031</t>
        </is>
      </c>
      <c r="B33" t="inlineStr">
        <is>
          <t>landing page</t>
        </is>
      </c>
      <c r="C33" t="inlineStr">
        <is>
          <t>Morocco</t>
        </is>
      </c>
      <c r="D33" t="inlineStr">
        <is>
          <t>ma</t>
        </is>
      </c>
      <c r="E33" t="inlineStr">
        <is>
          <t>fr</t>
        </is>
      </c>
      <c r="F33" t="n">
        <v>1900</v>
      </c>
      <c r="G33" t="n">
        <v>35</v>
      </c>
      <c r="H33" t="n">
        <v>0.37</v>
      </c>
      <c r="I33" t="n">
        <v>0.31</v>
      </c>
      <c r="J33" t="inlineStr">
        <is>
          <t>Informational, Commercial</t>
        </is>
      </c>
      <c r="K33" t="inlineStr">
        <is>
          <t>NOT AVAILABLE (report not requested)</t>
        </is>
      </c>
      <c r="L33" t="inlineStr">
        <is>
          <t>stable (calc.)</t>
        </is>
      </c>
      <c r="M33" t="inlineStr">
        <is>
          <t>MEASURED</t>
        </is>
      </c>
      <c r="N33" s="5" t="inlineStr">
        <is>
          <t>Semrush phrase_these (live, this session)</t>
        </is>
      </c>
      <c r="O33" t="inlineStr">
        <is>
          <t>2026-10-30</t>
        </is>
      </c>
      <c r="P33">
        <f>IF(IF(J33="NOT AVAILABLE","",J33)="",12,IF(OR(ISNUMBER(SEARCH("Transactional",IF(J33="NOT AVAILABLE","",J33))),ISNUMBER(SEARCH("Commercial",IF(J33="NOT AVAILABLE","",J33)))),25,IF(ISNUMBER(SEARCH("Informational",IF(J33="NOT AVAILABLE","",J33))),10,IF(ISNUMBER(SEARCH("Navigational",IF(J33="NOT AVAILABLE","",J33))),0,12))))</f>
        <v/>
      </c>
      <c r="Q33">
        <f>IF(ISNUMBER(F33),MIN(30,ROUND(30*LOG10(F33+1)/4,1)),0)</f>
        <v/>
      </c>
      <c r="R33">
        <f>IF(ISNUMBER(G33),ROUND(25*(100-G33)/100,1),12.5)</f>
        <v/>
      </c>
      <c r="S33" t="n">
        <v>20</v>
      </c>
      <c r="T33">
        <f>ROUND(P33+Q33+R33+S33,0)</f>
        <v/>
      </c>
      <c r="U33" s="5" t="inlineStr"/>
      <c r="V33" s="5" t="inlineStr">
        <is>
          <t>SUPPORTING /tools/landing-page-generator</t>
        </is>
      </c>
    </row>
    <row r="34">
      <c r="A34" t="inlineStr">
        <is>
          <t>K0032</t>
        </is>
      </c>
      <c r="B34" t="inlineStr">
        <is>
          <t>lorem ipsum</t>
        </is>
      </c>
      <c r="C34" t="inlineStr">
        <is>
          <t>Morocco</t>
        </is>
      </c>
      <c r="D34" t="inlineStr">
        <is>
          <t>ma</t>
        </is>
      </c>
      <c r="E34" t="inlineStr">
        <is>
          <t>fr</t>
        </is>
      </c>
      <c r="F34" t="n">
        <v>1900</v>
      </c>
      <c r="G34" t="n">
        <v>49</v>
      </c>
      <c r="H34" t="n">
        <v>0</v>
      </c>
      <c r="I34" t="n">
        <v>0.33</v>
      </c>
      <c r="J34" t="inlineStr">
        <is>
          <t>Navigational</t>
        </is>
      </c>
      <c r="K34" t="inlineStr">
        <is>
          <t>NOT AVAILABLE (report not requested)</t>
        </is>
      </c>
      <c r="L34" t="inlineStr">
        <is>
          <t>declining (calc.)</t>
        </is>
      </c>
      <c r="M34" t="inlineStr">
        <is>
          <t>MEASURED</t>
        </is>
      </c>
      <c r="N34" s="5" t="inlineStr">
        <is>
          <t>Semrush phrase_these (live, this session)</t>
        </is>
      </c>
      <c r="O34" t="inlineStr">
        <is>
          <t>2026-10-30</t>
        </is>
      </c>
      <c r="P34">
        <f>IF(IF(J34="NOT AVAILABLE","",J34)="",12,IF(OR(ISNUMBER(SEARCH("Transactional",IF(J34="NOT AVAILABLE","",J34))),ISNUMBER(SEARCH("Commercial",IF(J34="NOT AVAILABLE","",J34)))),25,IF(ISNUMBER(SEARCH("Informational",IF(J34="NOT AVAILABLE","",J34))),10,IF(ISNUMBER(SEARCH("Navigational",IF(J34="NOT AVAILABLE","",J34))),0,12))))</f>
        <v/>
      </c>
      <c r="Q34">
        <f>IF(ISNUMBER(F34),MIN(30,ROUND(30*LOG10(F34+1)/4,1)),0)</f>
        <v/>
      </c>
      <c r="R34">
        <f>IF(ISNUMBER(G34),ROUND(25*(100-G34)/100,1),12.5)</f>
        <v/>
      </c>
      <c r="S34" t="n">
        <v>20</v>
      </c>
      <c r="T34">
        <f>ROUND(P34+Q34+R34+S34,0)</f>
        <v/>
      </c>
      <c r="U34" s="5" t="inlineStr"/>
      <c r="V34" s="5" t="inlineStr">
        <is>
          <t>SECONDARY /tools/lorem-ipsum-generator</t>
        </is>
      </c>
    </row>
    <row r="35">
      <c r="A35" t="inlineStr">
        <is>
          <t>K0033</t>
        </is>
      </c>
      <c r="B35" t="inlineStr">
        <is>
          <t>site web</t>
        </is>
      </c>
      <c r="C35" t="inlineStr">
        <is>
          <t>Morocco</t>
        </is>
      </c>
      <c r="D35" t="inlineStr">
        <is>
          <t>ma</t>
        </is>
      </c>
      <c r="E35" t="inlineStr">
        <is>
          <t>fr</t>
        </is>
      </c>
      <c r="F35" t="n">
        <v>1900</v>
      </c>
      <c r="G35" t="n">
        <v>62</v>
      </c>
      <c r="H35" t="n">
        <v>0.4</v>
      </c>
      <c r="I35" t="n">
        <v>0.39</v>
      </c>
      <c r="J35" t="inlineStr">
        <is>
          <t>Informational</t>
        </is>
      </c>
      <c r="K35" t="inlineStr">
        <is>
          <t>NOT AVAILABLE (report not requested)</t>
        </is>
      </c>
      <c r="L35" t="inlineStr">
        <is>
          <t>stable (calc.)</t>
        </is>
      </c>
      <c r="M35" t="inlineStr">
        <is>
          <t>MEASURED</t>
        </is>
      </c>
      <c r="N35" s="5" t="inlineStr">
        <is>
          <t>Semrush resource_organic (competitor website.ma)</t>
        </is>
      </c>
      <c r="O35" t="inlineStr">
        <is>
          <t>2026-10-30</t>
        </is>
      </c>
      <c r="P35">
        <f>IF(IF(J35="NOT AVAILABLE","",J35)="",12,IF(OR(ISNUMBER(SEARCH("Transactional",IF(J35="NOT AVAILABLE","",J35))),ISNUMBER(SEARCH("Commercial",IF(J35="NOT AVAILABLE","",J35)))),25,IF(ISNUMBER(SEARCH("Informational",IF(J35="NOT AVAILABLE","",J35))),10,IF(ISNUMBER(SEARCH("Navigational",IF(J35="NOT AVAILABLE","",J35))),0,12))))</f>
        <v/>
      </c>
      <c r="Q35">
        <f>IF(ISNUMBER(F35),MIN(30,ROUND(30*LOG10(F35+1)/4,1)),0)</f>
        <v/>
      </c>
      <c r="R35">
        <f>IF(ISNUMBER(G35),ROUND(25*(100-G35)/100,1),12.5)</f>
        <v/>
      </c>
      <c r="S35" t="n">
        <v>20</v>
      </c>
      <c r="T35">
        <f>ROUND(P35+Q35+R35+S35,0)</f>
        <v/>
      </c>
      <c r="U35" s="5" t="inlineStr">
        <is>
          <t>website.ma #8 https://www.website.ma/</t>
        </is>
      </c>
      <c r="V35" s="5" t="inlineStr"/>
    </row>
    <row r="36">
      <c r="A36" t="inlineStr">
        <is>
          <t>K0034</t>
        </is>
      </c>
      <c r="B36" t="inlineStr">
        <is>
          <t>vps</t>
        </is>
      </c>
      <c r="C36" t="inlineStr">
        <is>
          <t>Morocco</t>
        </is>
      </c>
      <c r="D36" t="inlineStr">
        <is>
          <t>ma</t>
        </is>
      </c>
      <c r="E36" t="inlineStr">
        <is>
          <t>fr</t>
        </is>
      </c>
      <c r="F36" t="n">
        <v>1900</v>
      </c>
      <c r="G36" t="n">
        <v>69</v>
      </c>
      <c r="H36" t="n">
        <v>1.52</v>
      </c>
      <c r="I36" t="n">
        <v>0.62</v>
      </c>
      <c r="J36" t="inlineStr">
        <is>
          <t>Informational</t>
        </is>
      </c>
      <c r="K36" t="inlineStr">
        <is>
          <t>NOT AVAILABLE (report not requested)</t>
        </is>
      </c>
      <c r="L36" t="inlineStr">
        <is>
          <t>rising (calc.)</t>
        </is>
      </c>
      <c r="M36" t="inlineStr">
        <is>
          <t>MEASURED</t>
        </is>
      </c>
      <c r="N36" s="5" t="inlineStr">
        <is>
          <t>Semrush resource_organic (competitor vala.ma)</t>
        </is>
      </c>
      <c r="O36" t="inlineStr">
        <is>
          <t>2026-10-30</t>
        </is>
      </c>
      <c r="P36">
        <f>IF(IF(J36="NOT AVAILABLE","",J36)="",12,IF(OR(ISNUMBER(SEARCH("Transactional",IF(J36="NOT AVAILABLE","",J36))),ISNUMBER(SEARCH("Commercial",IF(J36="NOT AVAILABLE","",J36)))),25,IF(ISNUMBER(SEARCH("Informational",IF(J36="NOT AVAILABLE","",J36))),10,IF(ISNUMBER(SEARCH("Navigational",IF(J36="NOT AVAILABLE","",J36))),0,12))))</f>
        <v/>
      </c>
      <c r="Q36">
        <f>IF(ISNUMBER(F36),MIN(30,ROUND(30*LOG10(F36+1)/4,1)),0)</f>
        <v/>
      </c>
      <c r="R36">
        <f>IF(ISNUMBER(G36),ROUND(25*(100-G36)/100,1),12.5)</f>
        <v/>
      </c>
      <c r="S36" t="n">
        <v>20</v>
      </c>
      <c r="T36">
        <f>ROUND(P36+Q36+R36+S36,0)</f>
        <v/>
      </c>
      <c r="U36" s="5" t="inlineStr">
        <is>
          <t>vala.ma #4 https://www.vala.ma/serveurs/vps-pro | vala.ma #32 https://www.vala.ma/serveurs/serveurs-vps-maroc | vala.ma #46 https://www.vala.ma/serveurs/serveurs-vps-maroc</t>
        </is>
      </c>
      <c r="V36" s="5" t="inlineStr"/>
    </row>
    <row r="37">
      <c r="A37" t="inlineStr">
        <is>
          <t>K0035</t>
        </is>
      </c>
      <c r="B37" t="inlineStr">
        <is>
          <t>json formatter</t>
        </is>
      </c>
      <c r="C37" t="inlineStr">
        <is>
          <t>Morocco</t>
        </is>
      </c>
      <c r="D37" t="inlineStr">
        <is>
          <t>ma</t>
        </is>
      </c>
      <c r="E37" t="inlineStr">
        <is>
          <t>fr</t>
        </is>
      </c>
      <c r="F37" t="n">
        <v>1600</v>
      </c>
      <c r="G37" t="n">
        <v>68</v>
      </c>
      <c r="H37" t="n">
        <v>0.01</v>
      </c>
      <c r="I37" t="n">
        <v>0.02</v>
      </c>
      <c r="J37" t="inlineStr">
        <is>
          <t>Commercial</t>
        </is>
      </c>
      <c r="K37" t="inlineStr">
        <is>
          <t>NOT AVAILABLE (report not requested)</t>
        </is>
      </c>
      <c r="L37" t="inlineStr">
        <is>
          <t>declining (calc.)</t>
        </is>
      </c>
      <c r="M37" t="inlineStr">
        <is>
          <t>MEASURED</t>
        </is>
      </c>
      <c r="N37" s="5" t="inlineStr">
        <is>
          <t>Semrush phrase_these (live, this session)</t>
        </is>
      </c>
      <c r="O37" t="inlineStr">
        <is>
          <t>2026-10-30</t>
        </is>
      </c>
      <c r="P37">
        <f>IF(IF(J37="NOT AVAILABLE","",J37)="",12,IF(OR(ISNUMBER(SEARCH("Transactional",IF(J37="NOT AVAILABLE","",J37))),ISNUMBER(SEARCH("Commercial",IF(J37="NOT AVAILABLE","",J37)))),25,IF(ISNUMBER(SEARCH("Informational",IF(J37="NOT AVAILABLE","",J37))),10,IF(ISNUMBER(SEARCH("Navigational",IF(J37="NOT AVAILABLE","",J37))),0,12))))</f>
        <v/>
      </c>
      <c r="Q37">
        <f>IF(ISNUMBER(F37),MIN(30,ROUND(30*LOG10(F37+1)/4,1)),0)</f>
        <v/>
      </c>
      <c r="R37">
        <f>IF(ISNUMBER(G37),ROUND(25*(100-G37)/100,1),12.5)</f>
        <v/>
      </c>
      <c r="S37" t="n">
        <v>20</v>
      </c>
      <c r="T37">
        <f>ROUND(P37+Q37+R37+S37,0)</f>
        <v/>
      </c>
      <c r="U37" s="5" t="inlineStr"/>
      <c r="V37" s="5" t="inlineStr">
        <is>
          <t>SECONDARY /tools/json-formatter</t>
        </is>
      </c>
    </row>
    <row r="38">
      <c r="A38" t="inlineStr">
        <is>
          <t>K0036</t>
        </is>
      </c>
      <c r="B38" t="inlineStr">
        <is>
          <t>pagespeed</t>
        </is>
      </c>
      <c r="C38" t="inlineStr">
        <is>
          <t>Morocco</t>
        </is>
      </c>
      <c r="D38" t="inlineStr">
        <is>
          <t>ma</t>
        </is>
      </c>
      <c r="E38" t="inlineStr">
        <is>
          <t>fr</t>
        </is>
      </c>
      <c r="F38" t="n">
        <v>1600</v>
      </c>
      <c r="G38" t="n">
        <v>36</v>
      </c>
      <c r="H38" t="n">
        <v>1.03</v>
      </c>
      <c r="I38" t="n">
        <v>0.01</v>
      </c>
      <c r="J38" t="inlineStr">
        <is>
          <t>Navigational</t>
        </is>
      </c>
      <c r="K38" t="inlineStr">
        <is>
          <t>NOT AVAILABLE (report not requested)</t>
        </is>
      </c>
      <c r="L38" t="inlineStr">
        <is>
          <t>stable (calc.)</t>
        </is>
      </c>
      <c r="M38" t="inlineStr">
        <is>
          <t>MEASURED</t>
        </is>
      </c>
      <c r="N38" s="5" t="inlineStr">
        <is>
          <t>Semrush phrase_these (live, this session)</t>
        </is>
      </c>
      <c r="O38" t="inlineStr">
        <is>
          <t>2026-10-30</t>
        </is>
      </c>
      <c r="P38">
        <f>IF(IF(J38="NOT AVAILABLE","",J38)="",12,IF(OR(ISNUMBER(SEARCH("Transactional",IF(J38="NOT AVAILABLE","",J38))),ISNUMBER(SEARCH("Commercial",IF(J38="NOT AVAILABLE","",J38)))),25,IF(ISNUMBER(SEARCH("Informational",IF(J38="NOT AVAILABLE","",J38))),10,IF(ISNUMBER(SEARCH("Navigational",IF(J38="NOT AVAILABLE","",J38))),0,12))))</f>
        <v/>
      </c>
      <c r="Q38">
        <f>IF(ISNUMBER(F38),MIN(30,ROUND(30*LOG10(F38+1)/4,1)),0)</f>
        <v/>
      </c>
      <c r="R38">
        <f>IF(ISNUMBER(G38),ROUND(25*(100-G38)/100,1),12.5)</f>
        <v/>
      </c>
      <c r="S38" t="n">
        <v>20</v>
      </c>
      <c r="T38">
        <f>ROUND(P38+Q38+R38+S38,0)</f>
        <v/>
      </c>
      <c r="U38" s="5" t="inlineStr"/>
      <c r="V38" s="5" t="inlineStr"/>
    </row>
    <row r="39">
      <c r="A39" t="inlineStr">
        <is>
          <t>K0037</t>
        </is>
      </c>
      <c r="B39" t="inlineStr">
        <is>
          <t>sea</t>
        </is>
      </c>
      <c r="C39" t="inlineStr">
        <is>
          <t>Morocco</t>
        </is>
      </c>
      <c r="D39" t="inlineStr">
        <is>
          <t>ma</t>
        </is>
      </c>
      <c r="E39" t="inlineStr">
        <is>
          <t>fr</t>
        </is>
      </c>
      <c r="F39" t="n">
        <v>1600</v>
      </c>
      <c r="G39" t="n">
        <v>30</v>
      </c>
      <c r="H39" t="n">
        <v>0</v>
      </c>
      <c r="I39" t="n">
        <v>0.33</v>
      </c>
      <c r="J39" t="inlineStr">
        <is>
          <t>Informational</t>
        </is>
      </c>
      <c r="K39" t="inlineStr">
        <is>
          <t>NOT AVAILABLE (report not requested)</t>
        </is>
      </c>
      <c r="L39" t="inlineStr">
        <is>
          <t>rising (calc.)</t>
        </is>
      </c>
      <c r="M39" t="inlineStr">
        <is>
          <t>MEASURED</t>
        </is>
      </c>
      <c r="N39" s="5" t="inlineStr">
        <is>
          <t>Semrush resource_organic (competitor vala.ma)</t>
        </is>
      </c>
      <c r="O39" t="inlineStr">
        <is>
          <t>2026-10-30</t>
        </is>
      </c>
      <c r="P39">
        <f>IF(IF(J39="NOT AVAILABLE","",J39)="",12,IF(OR(ISNUMBER(SEARCH("Transactional",IF(J39="NOT AVAILABLE","",J39))),ISNUMBER(SEARCH("Commercial",IF(J39="NOT AVAILABLE","",J39)))),25,IF(ISNUMBER(SEARCH("Informational",IF(J39="NOT AVAILABLE","",J39))),10,IF(ISNUMBER(SEARCH("Navigational",IF(J39="NOT AVAILABLE","",J39))),0,12))))</f>
        <v/>
      </c>
      <c r="Q39">
        <f>IF(ISNUMBER(F39),MIN(30,ROUND(30*LOG10(F39+1)/4,1)),0)</f>
        <v/>
      </c>
      <c r="R39">
        <f>IF(ISNUMBER(G39),ROUND(25*(100-G39)/100,1),12.5)</f>
        <v/>
      </c>
      <c r="S39" t="n">
        <v>20</v>
      </c>
      <c r="T39">
        <f>ROUND(P39+Q39+R39+S39,0)</f>
        <v/>
      </c>
      <c r="U39" s="5" t="inlineStr">
        <is>
          <t>vala.ma #9 https://www.vala.ma/blog/post/difference-seo-sea</t>
        </is>
      </c>
      <c r="V39" s="5" t="inlineStr"/>
    </row>
    <row r="40">
      <c r="A40" t="inlineStr">
        <is>
          <t>K0038</t>
        </is>
      </c>
      <c r="B40" t="inlineStr">
        <is>
          <t>agence de communication</t>
        </is>
      </c>
      <c r="C40" t="inlineStr">
        <is>
          <t>Morocco</t>
        </is>
      </c>
      <c r="D40" t="inlineStr">
        <is>
          <t>ma</t>
        </is>
      </c>
      <c r="E40" t="inlineStr">
        <is>
          <t>fr</t>
        </is>
      </c>
      <c r="F40" t="n">
        <v>1300</v>
      </c>
      <c r="G40" t="n">
        <v>53</v>
      </c>
      <c r="H40" t="n">
        <v>0.44</v>
      </c>
      <c r="I40" t="n">
        <v>0.13</v>
      </c>
      <c r="J40" t="inlineStr">
        <is>
          <t>Transactional</t>
        </is>
      </c>
      <c r="K40" t="inlineStr">
        <is>
          <t>NOT AVAILABLE (report not requested)</t>
        </is>
      </c>
      <c r="L40" t="inlineStr">
        <is>
          <t>stable (calc.)</t>
        </is>
      </c>
      <c r="M40" t="inlineStr">
        <is>
          <t>MEASURED</t>
        </is>
      </c>
      <c r="N40" s="5" t="inlineStr">
        <is>
          <t>Semrush resource_organic (competitor digitalma.ma)</t>
        </is>
      </c>
      <c r="O40" t="inlineStr">
        <is>
          <t>2026-10-30</t>
        </is>
      </c>
      <c r="P40">
        <f>IF(IF(J40="NOT AVAILABLE","",J40)="",12,IF(OR(ISNUMBER(SEARCH("Transactional",IF(J40="NOT AVAILABLE","",J40))),ISNUMBER(SEARCH("Commercial",IF(J40="NOT AVAILABLE","",J40)))),25,IF(ISNUMBER(SEARCH("Informational",IF(J40="NOT AVAILABLE","",J40))),10,IF(ISNUMBER(SEARCH("Navigational",IF(J40="NOT AVAILABLE","",J40))),0,12))))</f>
        <v/>
      </c>
      <c r="Q40">
        <f>IF(ISNUMBER(F40),MIN(30,ROUND(30*LOG10(F40+1)/4,1)),0)</f>
        <v/>
      </c>
      <c r="R40">
        <f>IF(ISNUMBER(G40),ROUND(25*(100-G40)/100,1),12.5)</f>
        <v/>
      </c>
      <c r="S40" t="n">
        <v>20</v>
      </c>
      <c r="T40">
        <f>ROUND(P40+Q40+R40+S40,0)</f>
        <v/>
      </c>
      <c r="U40" s="5" t="inlineStr">
        <is>
          <t>digitalma.ma #1 https://digitalma.ma/ | elevenmedia.ma #20 https://elevenmedia.ma/ | elevenmedia.ma #68 https://elevenmedia.ma/services/digital-marketing | energiedin.com #19 https://www.energiedin.com/agence-digitale-casablanca/</t>
        </is>
      </c>
      <c r="V40" s="5" t="inlineStr"/>
    </row>
    <row r="41">
      <c r="A41" t="inlineStr">
        <is>
          <t>K0039</t>
        </is>
      </c>
      <c r="B41" t="inlineStr">
        <is>
          <t>base64 decode</t>
        </is>
      </c>
      <c r="C41" t="inlineStr">
        <is>
          <t>Morocco</t>
        </is>
      </c>
      <c r="D41" t="inlineStr">
        <is>
          <t>ma</t>
        </is>
      </c>
      <c r="E41" t="inlineStr">
        <is>
          <t>fr</t>
        </is>
      </c>
      <c r="F41" t="n">
        <v>1300</v>
      </c>
      <c r="G41" t="n">
        <v>63</v>
      </c>
      <c r="H41" t="n">
        <v>0</v>
      </c>
      <c r="I41" t="n">
        <v>0.33</v>
      </c>
      <c r="J41" t="inlineStr">
        <is>
          <t>Informational</t>
        </is>
      </c>
      <c r="K41" t="inlineStr">
        <is>
          <t>NOT AVAILABLE (report not requested)</t>
        </is>
      </c>
      <c r="L41" t="inlineStr">
        <is>
          <t>declining (calc.)</t>
        </is>
      </c>
      <c r="M41" t="inlineStr">
        <is>
          <t>MEASURED</t>
        </is>
      </c>
      <c r="N41" s="5" t="inlineStr">
        <is>
          <t>Semrush phrase_these (live, this session)</t>
        </is>
      </c>
      <c r="O41" t="inlineStr">
        <is>
          <t>2026-10-30</t>
        </is>
      </c>
      <c r="P41">
        <f>IF(IF(J41="NOT AVAILABLE","",J41)="",12,IF(OR(ISNUMBER(SEARCH("Transactional",IF(J41="NOT AVAILABLE","",J41))),ISNUMBER(SEARCH("Commercial",IF(J41="NOT AVAILABLE","",J41)))),25,IF(ISNUMBER(SEARCH("Informational",IF(J41="NOT AVAILABLE","",J41))),10,IF(ISNUMBER(SEARCH("Navigational",IF(J41="NOT AVAILABLE","",J41))),0,12))))</f>
        <v/>
      </c>
      <c r="Q41">
        <f>IF(ISNUMBER(F41),MIN(30,ROUND(30*LOG10(F41+1)/4,1)),0)</f>
        <v/>
      </c>
      <c r="R41">
        <f>IF(ISNUMBER(G41),ROUND(25*(100-G41)/100,1),12.5)</f>
        <v/>
      </c>
      <c r="S41" t="n">
        <v>20</v>
      </c>
      <c r="T41">
        <f>ROUND(P41+Q41+R41+S41,0)</f>
        <v/>
      </c>
      <c r="U41" s="5" t="inlineStr"/>
      <c r="V41" s="5" t="inlineStr">
        <is>
          <t>SECONDARY /tools/base64-encoder</t>
        </is>
      </c>
    </row>
    <row r="42">
      <c r="A42" t="inlineStr">
        <is>
          <t>K0040</t>
        </is>
      </c>
      <c r="B42" t="inlineStr">
        <is>
          <t>palette de couleurs</t>
        </is>
      </c>
      <c r="C42" t="inlineStr">
        <is>
          <t>Morocco</t>
        </is>
      </c>
      <c r="D42" t="inlineStr">
        <is>
          <t>ma</t>
        </is>
      </c>
      <c r="E42" t="inlineStr">
        <is>
          <t>fr</t>
        </is>
      </c>
      <c r="F42" t="n">
        <v>1300</v>
      </c>
      <c r="G42" t="n">
        <v>53</v>
      </c>
      <c r="H42" t="n">
        <v>0.49</v>
      </c>
      <c r="I42" t="n">
        <v>0.33</v>
      </c>
      <c r="J42" t="inlineStr">
        <is>
          <t>Informational</t>
        </is>
      </c>
      <c r="K42" t="inlineStr">
        <is>
          <t>NOT AVAILABLE (report not requested)</t>
        </is>
      </c>
      <c r="L42" t="inlineStr">
        <is>
          <t>declining (calc.)</t>
        </is>
      </c>
      <c r="M42" t="inlineStr">
        <is>
          <t>MEASURED</t>
        </is>
      </c>
      <c r="N42" s="5" t="inlineStr">
        <is>
          <t>Semrush phrase_these (live, this session)</t>
        </is>
      </c>
      <c r="O42" t="inlineStr">
        <is>
          <t>2026-10-30</t>
        </is>
      </c>
      <c r="P42">
        <f>IF(IF(J42="NOT AVAILABLE","",J42)="",12,IF(OR(ISNUMBER(SEARCH("Transactional",IF(J42="NOT AVAILABLE","",J42))),ISNUMBER(SEARCH("Commercial",IF(J42="NOT AVAILABLE","",J42)))),25,IF(ISNUMBER(SEARCH("Informational",IF(J42="NOT AVAILABLE","",J42))),10,IF(ISNUMBER(SEARCH("Navigational",IF(J42="NOT AVAILABLE","",J42))),0,12))))</f>
        <v/>
      </c>
      <c r="Q42">
        <f>IF(ISNUMBER(F42),MIN(30,ROUND(30*LOG10(F42+1)/4,1)),0)</f>
        <v/>
      </c>
      <c r="R42">
        <f>IF(ISNUMBER(G42),ROUND(25*(100-G42)/100,1),12.5)</f>
        <v/>
      </c>
      <c r="S42" t="n">
        <v>20</v>
      </c>
      <c r="T42">
        <f>ROUND(P42+Q42+R42+S42,0)</f>
        <v/>
      </c>
      <c r="U42" s="5" t="inlineStr"/>
      <c r="V42" s="5" t="inlineStr">
        <is>
          <t>SECONDARY /tools/color-palette-generator</t>
        </is>
      </c>
    </row>
    <row r="43">
      <c r="A43" t="inlineStr">
        <is>
          <t>K0041</t>
        </is>
      </c>
      <c r="B43" t="inlineStr">
        <is>
          <t>agence de communication marrakech</t>
        </is>
      </c>
      <c r="C43" t="inlineStr">
        <is>
          <t>Morocco</t>
        </is>
      </c>
      <c r="D43" t="inlineStr">
        <is>
          <t>ma</t>
        </is>
      </c>
      <c r="E43" t="inlineStr">
        <is>
          <t>fr</t>
        </is>
      </c>
      <c r="F43" t="n">
        <v>1000</v>
      </c>
      <c r="G43" t="n">
        <v>36</v>
      </c>
      <c r="H43" t="n">
        <v>0.47</v>
      </c>
      <c r="I43" t="n">
        <v>0.09</v>
      </c>
      <c r="J43" t="inlineStr">
        <is>
          <t>Commercial</t>
        </is>
      </c>
      <c r="K43" t="inlineStr">
        <is>
          <t>NOT AVAILABLE (report not requested)</t>
        </is>
      </c>
      <c r="L43" t="inlineStr">
        <is>
          <t>declining (calc.)</t>
        </is>
      </c>
      <c r="M43" t="inlineStr">
        <is>
          <t>MEASURED</t>
        </is>
      </c>
      <c r="N43" s="5" t="inlineStr">
        <is>
          <t>Semrush phrase_these (live, this session)</t>
        </is>
      </c>
      <c r="O43" t="inlineStr">
        <is>
          <t>2026-10-30</t>
        </is>
      </c>
      <c r="P43">
        <f>IF(IF(J43="NOT AVAILABLE","",J43)="",12,IF(OR(ISNUMBER(SEARCH("Transactional",IF(J43="NOT AVAILABLE","",J43))),ISNUMBER(SEARCH("Commercial",IF(J43="NOT AVAILABLE","",J43)))),25,IF(ISNUMBER(SEARCH("Informational",IF(J43="NOT AVAILABLE","",J43))),10,IF(ISNUMBER(SEARCH("Navigational",IF(J43="NOT AVAILABLE","",J43))),0,12))))</f>
        <v/>
      </c>
      <c r="Q43">
        <f>IF(ISNUMBER(F43),MIN(30,ROUND(30*LOG10(F43+1)/4,1)),0)</f>
        <v/>
      </c>
      <c r="R43">
        <f>IF(ISNUMBER(G43),ROUND(25*(100-G43)/100,1),12.5)</f>
        <v/>
      </c>
      <c r="S43" t="n">
        <v>20</v>
      </c>
      <c r="T43">
        <f>ROUND(P43+Q43+R43+S43,0)</f>
        <v/>
      </c>
      <c r="U43" s="5" t="inlineStr">
        <is>
          <t>energiedin.com #20 https://www.energiedin.com/agence-digitale-marrakech/</t>
        </is>
      </c>
      <c r="V43" s="5" t="inlineStr">
        <is>
          <t>NOT RECOMMENDED /web-development-company/marrakech</t>
        </is>
      </c>
    </row>
    <row r="44">
      <c r="A44" t="inlineStr">
        <is>
          <t>K0042</t>
        </is>
      </c>
      <c r="B44" t="inlineStr">
        <is>
          <t>agence web casablanca</t>
        </is>
      </c>
      <c r="C44" t="inlineStr">
        <is>
          <t>Morocco</t>
        </is>
      </c>
      <c r="D44" t="inlineStr">
        <is>
          <t>ma</t>
        </is>
      </c>
      <c r="E44" t="inlineStr">
        <is>
          <t>fr</t>
        </is>
      </c>
      <c r="F44" t="n">
        <v>1000</v>
      </c>
      <c r="G44" t="n">
        <v>52</v>
      </c>
      <c r="H44" t="n">
        <v>0.73</v>
      </c>
      <c r="I44" t="n">
        <v>0.16</v>
      </c>
      <c r="J44" t="inlineStr">
        <is>
          <t>Commercial</t>
        </is>
      </c>
      <c r="K44" t="inlineStr">
        <is>
          <t>NOT AVAILABLE (report not requested)</t>
        </is>
      </c>
      <c r="L44" t="inlineStr">
        <is>
          <t>declining (calc.)</t>
        </is>
      </c>
      <c r="M44" t="inlineStr">
        <is>
          <t>MEASURED</t>
        </is>
      </c>
      <c r="N44" s="5" t="inlineStr">
        <is>
          <t>Semrush phrase_these (live, this session)</t>
        </is>
      </c>
      <c r="O44" t="inlineStr">
        <is>
          <t>2026-10-30</t>
        </is>
      </c>
      <c r="P44">
        <f>IF(IF(J44="NOT AVAILABLE","",J44)="",12,IF(OR(ISNUMBER(SEARCH("Transactional",IF(J44="NOT AVAILABLE","",J44))),ISNUMBER(SEARCH("Commercial",IF(J44="NOT AVAILABLE","",J44)))),25,IF(ISNUMBER(SEARCH("Informational",IF(J44="NOT AVAILABLE","",J44))),10,IF(ISNUMBER(SEARCH("Navigational",IF(J44="NOT AVAILABLE","",J44))),0,12))))</f>
        <v/>
      </c>
      <c r="Q44">
        <f>IF(ISNUMBER(F44),MIN(30,ROUND(30*LOG10(F44+1)/4,1)),0)</f>
        <v/>
      </c>
      <c r="R44">
        <f>IF(ISNUMBER(G44),ROUND(25*(100-G44)/100,1),12.5)</f>
        <v/>
      </c>
      <c r="S44" t="n">
        <v>20</v>
      </c>
      <c r="T44">
        <f>ROUND(P44+Q44+R44+S44,0)</f>
        <v/>
      </c>
      <c r="U44" s="5" t="inlineStr">
        <is>
          <t>digitalma.ma #28 https://digitalma.ma/ | elevenmedia.ma #26 https://elevenmedia.ma/services/sites-web | elevenmedia.ma #75 https://elevenmedia.ma/services/e-commerce | energiedin.com #7 https://www.energiedin.com/agence-digitale-casablanca/</t>
        </is>
      </c>
      <c r="V44" s="5" t="inlineStr">
        <is>
          <t>PRIMARY /web-development-company/casablanca</t>
        </is>
      </c>
    </row>
    <row r="45">
      <c r="A45" t="inlineStr">
        <is>
          <t>K0043</t>
        </is>
      </c>
      <c r="B45" t="inlineStr">
        <is>
          <t>architecte marrakech</t>
        </is>
      </c>
      <c r="C45" t="inlineStr">
        <is>
          <t>Morocco</t>
        </is>
      </c>
      <c r="D45" t="inlineStr">
        <is>
          <t>ma</t>
        </is>
      </c>
      <c r="E45" t="inlineStr">
        <is>
          <t>fr</t>
        </is>
      </c>
      <c r="F45" t="n">
        <v>1000</v>
      </c>
      <c r="G45" t="n">
        <v>31</v>
      </c>
      <c r="H45" t="n">
        <v>0.46</v>
      </c>
      <c r="I45" t="n">
        <v>0.23</v>
      </c>
      <c r="J45" t="inlineStr">
        <is>
          <t>Commercial</t>
        </is>
      </c>
      <c r="K45" t="inlineStr">
        <is>
          <t>NOT AVAILABLE (report not requested)</t>
        </is>
      </c>
      <c r="L45" t="inlineStr">
        <is>
          <t>declining (calc.)</t>
        </is>
      </c>
      <c r="M45" t="inlineStr">
        <is>
          <t>MEASURED</t>
        </is>
      </c>
      <c r="N45" s="5" t="inlineStr">
        <is>
          <t>Semrush phrase_these (live, this session)</t>
        </is>
      </c>
      <c r="O45" t="inlineStr">
        <is>
          <t>2026-10-30</t>
        </is>
      </c>
      <c r="P45">
        <f>IF(IF(J45="NOT AVAILABLE","",J45)="",12,IF(OR(ISNUMBER(SEARCH("Transactional",IF(J45="NOT AVAILABLE","",J45))),ISNUMBER(SEARCH("Commercial",IF(J45="NOT AVAILABLE","",J45)))),25,IF(ISNUMBER(SEARCH("Informational",IF(J45="NOT AVAILABLE","",J45))),10,IF(ISNUMBER(SEARCH("Navigational",IF(J45="NOT AVAILABLE","",J45))),0,12))))</f>
        <v/>
      </c>
      <c r="Q45">
        <f>IF(ISNUMBER(F45),MIN(30,ROUND(30*LOG10(F45+1)/4,1)),0)</f>
        <v/>
      </c>
      <c r="R45">
        <f>IF(ISNUMBER(G45),ROUND(25*(100-G45)/100,1),12.5)</f>
        <v/>
      </c>
      <c r="S45" t="n">
        <v>20</v>
      </c>
      <c r="T45">
        <f>ROUND(P45+Q45+R45+S45,0)</f>
        <v/>
      </c>
      <c r="U45" s="5" t="inlineStr"/>
      <c r="V45" s="5" t="inlineStr">
        <is>
          <t>NOT RECOMMENDED /our-work/akoubri</t>
        </is>
      </c>
    </row>
    <row r="46">
      <c r="A46" t="inlineStr">
        <is>
          <t>K0044</t>
        </is>
      </c>
      <c r="B46" t="inlineStr">
        <is>
          <t>creation site web maroc</t>
        </is>
      </c>
      <c r="C46" t="inlineStr">
        <is>
          <t>Morocco</t>
        </is>
      </c>
      <c r="D46" t="inlineStr">
        <is>
          <t>ma</t>
        </is>
      </c>
      <c r="E46" t="inlineStr">
        <is>
          <t>fr</t>
        </is>
      </c>
      <c r="F46" t="n">
        <v>1000</v>
      </c>
      <c r="G46" t="n">
        <v>22</v>
      </c>
      <c r="H46" t="n">
        <v>0.77</v>
      </c>
      <c r="I46" t="n">
        <v>0.22</v>
      </c>
      <c r="J46" t="inlineStr">
        <is>
          <t>Informational</t>
        </is>
      </c>
      <c r="K46" t="inlineStr">
        <is>
          <t>NOT AVAILABLE (report not requested)</t>
        </is>
      </c>
      <c r="L46" t="inlineStr">
        <is>
          <t>declining (calc.)</t>
        </is>
      </c>
      <c r="M46" t="inlineStr">
        <is>
          <t>MEASURED</t>
        </is>
      </c>
      <c r="N46" s="5" t="inlineStr">
        <is>
          <t>Semrush phrase_these (live, this session)</t>
        </is>
      </c>
      <c r="O46" t="inlineStr">
        <is>
          <t>2026-10-30</t>
        </is>
      </c>
      <c r="P46">
        <f>IF(IF(J46="NOT AVAILABLE","",J46)="",12,IF(OR(ISNUMBER(SEARCH("Transactional",IF(J46="NOT AVAILABLE","",J46))),ISNUMBER(SEARCH("Commercial",IF(J46="NOT AVAILABLE","",J46)))),25,IF(ISNUMBER(SEARCH("Informational",IF(J46="NOT AVAILABLE","",J46))),10,IF(ISNUMBER(SEARCH("Navigational",IF(J46="NOT AVAILABLE","",J46))),0,12))))</f>
        <v/>
      </c>
      <c r="Q46">
        <f>IF(ISNUMBER(F46),MIN(30,ROUND(30*LOG10(F46+1)/4,1)),0)</f>
        <v/>
      </c>
      <c r="R46">
        <f>IF(ISNUMBER(G46),ROUND(25*(100-G46)/100,1),12.5)</f>
        <v/>
      </c>
      <c r="S46" t="n">
        <v>20</v>
      </c>
      <c r="T46">
        <f>ROUND(P46+Q46+R46+S46,0)</f>
        <v/>
      </c>
      <c r="U46" s="5" t="inlineStr">
        <is>
          <t>hostino.ma #5 https://www.hostino.ma/creation-site-web-maroc/ | rhillane.com #3 https://rhillane.com/blog/prix-creation-site-web-maroc/ | website.ma #1 https://www.website.ma/ | websuccess.ma #2 https://websuccess.ma/blog/cout-creation-site-web-maroc</t>
        </is>
      </c>
      <c r="V46" s="5" t="inlineStr">
        <is>
          <t>SECONDARY /</t>
        </is>
      </c>
    </row>
    <row r="47">
      <c r="A47" t="inlineStr">
        <is>
          <t>K0045</t>
        </is>
      </c>
      <c r="B47" t="inlineStr">
        <is>
          <t>création site web maroc</t>
        </is>
      </c>
      <c r="C47" t="inlineStr">
        <is>
          <t>Morocco</t>
        </is>
      </c>
      <c r="D47" t="inlineStr">
        <is>
          <t>ma</t>
        </is>
      </c>
      <c r="E47" t="inlineStr">
        <is>
          <t>fr</t>
        </is>
      </c>
      <c r="F47" t="n">
        <v>1000</v>
      </c>
      <c r="G47" t="n">
        <v>22</v>
      </c>
      <c r="H47" t="n">
        <v>0.77</v>
      </c>
      <c r="I47" t="n">
        <v>0.22</v>
      </c>
      <c r="J47" t="inlineStr">
        <is>
          <t>Informational</t>
        </is>
      </c>
      <c r="K47" t="inlineStr">
        <is>
          <t>NOT AVAILABLE (report not requested)</t>
        </is>
      </c>
      <c r="L47" t="inlineStr">
        <is>
          <t>declining (calc.)</t>
        </is>
      </c>
      <c r="M47" t="inlineStr">
        <is>
          <t>MEASURED</t>
        </is>
      </c>
      <c r="N47" s="5" t="inlineStr">
        <is>
          <t>Semrush phrase_these (live, this session)</t>
        </is>
      </c>
      <c r="O47" t="inlineStr">
        <is>
          <t>2026-10-30</t>
        </is>
      </c>
      <c r="P47">
        <f>IF(IF(J47="NOT AVAILABLE","",J47)="",12,IF(OR(ISNUMBER(SEARCH("Transactional",IF(J47="NOT AVAILABLE","",J47))),ISNUMBER(SEARCH("Commercial",IF(J47="NOT AVAILABLE","",J47)))),25,IF(ISNUMBER(SEARCH("Informational",IF(J47="NOT AVAILABLE","",J47))),10,IF(ISNUMBER(SEARCH("Navigational",IF(J47="NOT AVAILABLE","",J47))),0,12))))</f>
        <v/>
      </c>
      <c r="Q47">
        <f>IF(ISNUMBER(F47),MIN(30,ROUND(30*LOG10(F47+1)/4,1)),0)</f>
        <v/>
      </c>
      <c r="R47">
        <f>IF(ISNUMBER(G47),ROUND(25*(100-G47)/100,1),12.5)</f>
        <v/>
      </c>
      <c r="S47" t="n">
        <v>20</v>
      </c>
      <c r="T47">
        <f>ROUND(P47+Q47+R47+S47,0)</f>
        <v/>
      </c>
      <c r="U47" s="5" t="inlineStr"/>
      <c r="V47" s="5" t="inlineStr">
        <is>
          <t>PRIMARY /</t>
        </is>
      </c>
    </row>
    <row r="48">
      <c r="A48" t="inlineStr">
        <is>
          <t>K0046</t>
        </is>
      </c>
      <c r="B48" t="inlineStr">
        <is>
          <t>lms</t>
        </is>
      </c>
      <c r="C48" t="inlineStr">
        <is>
          <t>Morocco</t>
        </is>
      </c>
      <c r="D48" t="inlineStr">
        <is>
          <t>ma</t>
        </is>
      </c>
      <c r="E48" t="inlineStr">
        <is>
          <t>fr</t>
        </is>
      </c>
      <c r="F48" t="n">
        <v>1000</v>
      </c>
      <c r="G48" t="n">
        <v>32</v>
      </c>
      <c r="H48" t="n">
        <v>0.48</v>
      </c>
      <c r="I48" t="n">
        <v>0.08</v>
      </c>
      <c r="J48" t="inlineStr">
        <is>
          <t>Informational</t>
        </is>
      </c>
      <c r="K48" t="inlineStr">
        <is>
          <t>NOT AVAILABLE (report not requested)</t>
        </is>
      </c>
      <c r="L48" t="inlineStr">
        <is>
          <t>stable (calc.)</t>
        </is>
      </c>
      <c r="M48" t="inlineStr">
        <is>
          <t>MEASURED</t>
        </is>
      </c>
      <c r="N48" s="5" t="inlineStr">
        <is>
          <t>Semrush phrase_these (live, this session)</t>
        </is>
      </c>
      <c r="O48" t="inlineStr">
        <is>
          <t>2026-10-30</t>
        </is>
      </c>
      <c r="P48">
        <f>IF(IF(J48="NOT AVAILABLE","",J48)="",12,IF(OR(ISNUMBER(SEARCH("Transactional",IF(J48="NOT AVAILABLE","",J48))),ISNUMBER(SEARCH("Commercial",IF(J48="NOT AVAILABLE","",J48)))),25,IF(ISNUMBER(SEARCH("Informational",IF(J48="NOT AVAILABLE","",J48))),10,IF(ISNUMBER(SEARCH("Navigational",IF(J48="NOT AVAILABLE","",J48))),0,12))))</f>
        <v/>
      </c>
      <c r="Q48">
        <f>IF(ISNUMBER(F48),MIN(30,ROUND(30*LOG10(F48+1)/4,1)),0)</f>
        <v/>
      </c>
      <c r="R48">
        <f>IF(ISNUMBER(G48),ROUND(25*(100-G48)/100,1),12.5)</f>
        <v/>
      </c>
      <c r="S48" t="n">
        <v>20</v>
      </c>
      <c r="T48">
        <f>ROUND(P48+Q48+R48+S48,0)</f>
        <v/>
      </c>
      <c r="U48" s="5" t="inlineStr"/>
      <c r="V48" s="5" t="inlineStr">
        <is>
          <t>OPTIONAL /blog/lms-sur-mesure-ou-produit-edtech-quelle-plateforme-e-learning</t>
        </is>
      </c>
    </row>
    <row r="49">
      <c r="A49" t="inlineStr">
        <is>
          <t>K0047</t>
        </is>
      </c>
      <c r="B49" t="inlineStr">
        <is>
          <t>ma domain</t>
        </is>
      </c>
      <c r="C49" t="inlineStr">
        <is>
          <t>Morocco</t>
        </is>
      </c>
      <c r="D49" t="inlineStr">
        <is>
          <t>ma</t>
        </is>
      </c>
      <c r="E49" t="inlineStr">
        <is>
          <t>fr</t>
        </is>
      </c>
      <c r="F49" t="n">
        <v>1000</v>
      </c>
      <c r="G49" t="n">
        <v>45</v>
      </c>
      <c r="H49" t="n">
        <v>0.44</v>
      </c>
      <c r="I49" t="n">
        <v>0.57</v>
      </c>
      <c r="J49" t="inlineStr">
        <is>
          <t>Informational</t>
        </is>
      </c>
      <c r="K49" t="inlineStr">
        <is>
          <t>NOT AVAILABLE (report not requested)</t>
        </is>
      </c>
      <c r="L49" t="inlineStr">
        <is>
          <t>stable (calc.)</t>
        </is>
      </c>
      <c r="M49" t="inlineStr">
        <is>
          <t>MEASURED</t>
        </is>
      </c>
      <c r="N49" s="5" t="inlineStr">
        <is>
          <t>Semrush resource_organic (competitor hostino.ma)</t>
        </is>
      </c>
      <c r="O49" t="inlineStr">
        <is>
          <t>2026-10-30</t>
        </is>
      </c>
      <c r="P49">
        <f>IF(IF(J49="NOT AVAILABLE","",J49)="",12,IF(OR(ISNUMBER(SEARCH("Transactional",IF(J49="NOT AVAILABLE","",J49))),ISNUMBER(SEARCH("Commercial",IF(J49="NOT AVAILABLE","",J49)))),25,IF(ISNUMBER(SEARCH("Informational",IF(J49="NOT AVAILABLE","",J49))),10,IF(ISNUMBER(SEARCH("Navigational",IF(J49="NOT AVAILABLE","",J49))),0,12))))</f>
        <v/>
      </c>
      <c r="Q49">
        <f>IF(ISNUMBER(F49),MIN(30,ROUND(30*LOG10(F49+1)/4,1)),0)</f>
        <v/>
      </c>
      <c r="R49">
        <f>IF(ISNUMBER(G49),ROUND(25*(100-G49)/100,1),12.5)</f>
        <v/>
      </c>
      <c r="S49" t="n">
        <v>20</v>
      </c>
      <c r="T49">
        <f>ROUND(P49+Q49+R49+S49,0)</f>
        <v/>
      </c>
      <c r="U49" s="5" t="inlineStr">
        <is>
          <t>hostino.ma #13 https://www.hostino.ma/nom-de-domaine-ma/ | vala.ma #21 https://www.vala.ma/domaine</t>
        </is>
      </c>
      <c r="V49" s="5" t="inlineStr"/>
    </row>
    <row r="50">
      <c r="A50" t="inlineStr">
        <is>
          <t>K0048</t>
        </is>
      </c>
      <c r="B50" t="inlineStr">
        <is>
          <t>nom de domaine .ma</t>
        </is>
      </c>
      <c r="C50" t="inlineStr">
        <is>
          <t>Morocco</t>
        </is>
      </c>
      <c r="D50" t="inlineStr">
        <is>
          <t>ma</t>
        </is>
      </c>
      <c r="E50" t="inlineStr">
        <is>
          <t>fr</t>
        </is>
      </c>
      <c r="F50" t="n">
        <v>1000</v>
      </c>
      <c r="G50" t="n">
        <v>42</v>
      </c>
      <c r="H50" t="n">
        <v>0.53</v>
      </c>
      <c r="I50" t="n">
        <v>0.44</v>
      </c>
      <c r="J50" t="inlineStr">
        <is>
          <t>Commercial</t>
        </is>
      </c>
      <c r="K50" t="inlineStr">
        <is>
          <t>NOT AVAILABLE (report not requested)</t>
        </is>
      </c>
      <c r="L50" t="inlineStr">
        <is>
          <t>rising (calc.)</t>
        </is>
      </c>
      <c r="M50" t="inlineStr">
        <is>
          <t>MEASURED</t>
        </is>
      </c>
      <c r="N50" s="5" t="inlineStr">
        <is>
          <t>Semrush phrase_these (live, this session)</t>
        </is>
      </c>
      <c r="O50" t="inlineStr">
        <is>
          <t>2026-10-30</t>
        </is>
      </c>
      <c r="P50">
        <f>IF(IF(J50="NOT AVAILABLE","",J50)="",12,IF(OR(ISNUMBER(SEARCH("Transactional",IF(J50="NOT AVAILABLE","",J50))),ISNUMBER(SEARCH("Commercial",IF(J50="NOT AVAILABLE","",J50)))),25,IF(ISNUMBER(SEARCH("Informational",IF(J50="NOT AVAILABLE","",J50))),10,IF(ISNUMBER(SEARCH("Navigational",IF(J50="NOT AVAILABLE","",J50))),0,12))))</f>
        <v/>
      </c>
      <c r="Q50">
        <f>IF(ISNUMBER(F50),MIN(30,ROUND(30*LOG10(F50+1)/4,1)),0)</f>
        <v/>
      </c>
      <c r="R50">
        <f>IF(ISNUMBER(G50),ROUND(25*(100-G50)/100,1),12.5)</f>
        <v/>
      </c>
      <c r="S50" t="n">
        <v>20</v>
      </c>
      <c r="T50">
        <f>ROUND(P50+Q50+R50+S50,0)</f>
        <v/>
      </c>
      <c r="U50" s="5" t="inlineStr"/>
      <c r="V50" s="5" t="inlineStr"/>
    </row>
    <row r="51">
      <c r="A51" t="inlineStr">
        <is>
          <t>K0049</t>
        </is>
      </c>
      <c r="B51" t="inlineStr">
        <is>
          <t>nom de domaine au maroc</t>
        </is>
      </c>
      <c r="C51" t="inlineStr">
        <is>
          <t>Morocco</t>
        </is>
      </c>
      <c r="D51" t="inlineStr">
        <is>
          <t>ma</t>
        </is>
      </c>
      <c r="E51" t="inlineStr">
        <is>
          <t>fr</t>
        </is>
      </c>
      <c r="F51" t="n">
        <v>1000</v>
      </c>
      <c r="G51" t="n">
        <v>42</v>
      </c>
      <c r="H51" t="n">
        <v>0.51</v>
      </c>
      <c r="I51" t="n">
        <v>0.48</v>
      </c>
      <c r="J51" t="inlineStr">
        <is>
          <t>Informational</t>
        </is>
      </c>
      <c r="K51" t="inlineStr">
        <is>
          <t>NOT AVAILABLE (report not requested)</t>
        </is>
      </c>
      <c r="L51" t="inlineStr">
        <is>
          <t>rising (calc.)</t>
        </is>
      </c>
      <c r="M51" t="inlineStr">
        <is>
          <t>MEASURED</t>
        </is>
      </c>
      <c r="N51" s="5" t="inlineStr">
        <is>
          <t>Semrush resource_organic (competitor hostino.ma)</t>
        </is>
      </c>
      <c r="O51" t="inlineStr">
        <is>
          <t>2026-10-30</t>
        </is>
      </c>
      <c r="P51">
        <f>IF(IF(J51="NOT AVAILABLE","",J51)="",12,IF(OR(ISNUMBER(SEARCH("Transactional",IF(J51="NOT AVAILABLE","",J51))),ISNUMBER(SEARCH("Commercial",IF(J51="NOT AVAILABLE","",J51)))),25,IF(ISNUMBER(SEARCH("Informational",IF(J51="NOT AVAILABLE","",J51))),10,IF(ISNUMBER(SEARCH("Navigational",IF(J51="NOT AVAILABLE","",J51))),0,12))))</f>
        <v/>
      </c>
      <c r="Q51">
        <f>IF(ISNUMBER(F51),MIN(30,ROUND(30*LOG10(F51+1)/4,1)),0)</f>
        <v/>
      </c>
      <c r="R51">
        <f>IF(ISNUMBER(G51),ROUND(25*(100-G51)/100,1),12.5)</f>
        <v/>
      </c>
      <c r="S51" t="n">
        <v>20</v>
      </c>
      <c r="T51">
        <f>ROUND(P51+Q51+R51+S51,0)</f>
        <v/>
      </c>
      <c r="U51" s="5" t="inlineStr">
        <is>
          <t>hostino.ma #9 https://www.hostino.ma/nom-de-domaine-ma/ | vala.ma #7 https://www.vala.ma/domaine</t>
        </is>
      </c>
      <c r="V51" s="5" t="inlineStr"/>
    </row>
    <row r="52">
      <c r="A52" t="inlineStr">
        <is>
          <t>K0050</t>
        </is>
      </c>
      <c r="B52" t="inlineStr">
        <is>
          <t>nom de domaine ma</t>
        </is>
      </c>
      <c r="C52" t="inlineStr">
        <is>
          <t>Morocco</t>
        </is>
      </c>
      <c r="D52" t="inlineStr">
        <is>
          <t>ma</t>
        </is>
      </c>
      <c r="E52" t="inlineStr">
        <is>
          <t>fr</t>
        </is>
      </c>
      <c r="F52" t="n">
        <v>1000</v>
      </c>
      <c r="G52" t="n">
        <v>47</v>
      </c>
      <c r="H52" t="n">
        <v>0.51</v>
      </c>
      <c r="I52" t="n">
        <v>0.48</v>
      </c>
      <c r="J52" t="inlineStr">
        <is>
          <t>NOT AVAILABLE</t>
        </is>
      </c>
      <c r="K52" t="inlineStr">
        <is>
          <t>NOT AVAILABLE (report not requested)</t>
        </is>
      </c>
      <c r="L52" t="inlineStr">
        <is>
          <t>rising (calc.)</t>
        </is>
      </c>
      <c r="M52" t="inlineStr">
        <is>
          <t>MEASURED</t>
        </is>
      </c>
      <c r="N52" s="5" t="inlineStr">
        <is>
          <t>Semrush resource_organic (competitor hostino.ma)</t>
        </is>
      </c>
      <c r="O52" t="inlineStr">
        <is>
          <t>2026-10-30</t>
        </is>
      </c>
      <c r="P52">
        <f>IF(IF(J52="NOT AVAILABLE","",J52)="",12,IF(OR(ISNUMBER(SEARCH("Transactional",IF(J52="NOT AVAILABLE","",J52))),ISNUMBER(SEARCH("Commercial",IF(J52="NOT AVAILABLE","",J52)))),25,IF(ISNUMBER(SEARCH("Informational",IF(J52="NOT AVAILABLE","",J52))),10,IF(ISNUMBER(SEARCH("Navigational",IF(J52="NOT AVAILABLE","",J52))),0,12))))</f>
        <v/>
      </c>
      <c r="Q52">
        <f>IF(ISNUMBER(F52),MIN(30,ROUND(30*LOG10(F52+1)/4,1)),0)</f>
        <v/>
      </c>
      <c r="R52">
        <f>IF(ISNUMBER(G52),ROUND(25*(100-G52)/100,1),12.5)</f>
        <v/>
      </c>
      <c r="S52" t="n">
        <v>20</v>
      </c>
      <c r="T52">
        <f>ROUND(P52+Q52+R52+S52,0)</f>
        <v/>
      </c>
      <c r="U52" s="5" t="inlineStr">
        <is>
          <t>hostino.ma #10 https://www.hostino.ma/nom-de-domaine-ma/ | vala.ma #9 https://www.vala.ma/domaine</t>
        </is>
      </c>
      <c r="V52" s="5" t="inlineStr"/>
    </row>
    <row r="53">
      <c r="A53" t="inlineStr">
        <is>
          <t>K0051</t>
        </is>
      </c>
      <c r="B53" t="inlineStr">
        <is>
          <t>orika</t>
        </is>
      </c>
      <c r="C53" t="inlineStr">
        <is>
          <t>Morocco</t>
        </is>
      </c>
      <c r="D53" t="inlineStr">
        <is>
          <t>ma</t>
        </is>
      </c>
      <c r="E53" t="inlineStr">
        <is>
          <t>fr</t>
        </is>
      </c>
      <c r="F53" t="n">
        <v>1000</v>
      </c>
      <c r="G53" t="n">
        <v>36</v>
      </c>
      <c r="H53" t="n">
        <v>0.44</v>
      </c>
      <c r="I53" t="n">
        <v>0.01</v>
      </c>
      <c r="J53" t="inlineStr">
        <is>
          <t>Navigational</t>
        </is>
      </c>
      <c r="K53" t="inlineStr">
        <is>
          <t>NOT AVAILABLE (report not requested)</t>
        </is>
      </c>
      <c r="L53" t="inlineStr">
        <is>
          <t>rising (calc.)</t>
        </is>
      </c>
      <c r="M53" t="inlineStr">
        <is>
          <t>MEASURED</t>
        </is>
      </c>
      <c r="N53" s="5" t="inlineStr">
        <is>
          <t>Semrush resource_organic (competitor urikacloud.com)</t>
        </is>
      </c>
      <c r="O53" t="inlineStr">
        <is>
          <t>2026-10-30</t>
        </is>
      </c>
      <c r="P53">
        <f>IF(IF(J53="NOT AVAILABLE","",J53)="",12,IF(OR(ISNUMBER(SEARCH("Transactional",IF(J53="NOT AVAILABLE","",J53))),ISNUMBER(SEARCH("Commercial",IF(J53="NOT AVAILABLE","",J53)))),25,IF(ISNUMBER(SEARCH("Informational",IF(J53="NOT AVAILABLE","",J53))),10,IF(ISNUMBER(SEARCH("Navigational",IF(J53="NOT AVAILABLE","",J53))),0,12))))</f>
        <v/>
      </c>
      <c r="Q53">
        <f>IF(ISNUMBER(F53),MIN(30,ROUND(30*LOG10(F53+1)/4,1)),0)</f>
        <v/>
      </c>
      <c r="R53">
        <f>IF(ISNUMBER(G53),ROUND(25*(100-G53)/100,1),12.5)</f>
        <v/>
      </c>
      <c r="S53" t="n">
        <v>20</v>
      </c>
      <c r="T53">
        <f>ROUND(P53+Q53+R53+S53,0)</f>
        <v/>
      </c>
      <c r="U53" s="5" t="inlineStr">
        <is>
          <t>urikacloud.com #52 https://urikacloud.com/</t>
        </is>
      </c>
      <c r="V53" s="5" t="inlineStr"/>
    </row>
    <row r="54">
      <c r="A54" t="inlineStr">
        <is>
          <t>K0052</t>
        </is>
      </c>
      <c r="B54" t="inlineStr">
        <is>
          <t>réduire taille image</t>
        </is>
      </c>
      <c r="C54" t="inlineStr">
        <is>
          <t>Morocco</t>
        </is>
      </c>
      <c r="D54" t="inlineStr">
        <is>
          <t>ma</t>
        </is>
      </c>
      <c r="E54" t="inlineStr">
        <is>
          <t>fr</t>
        </is>
      </c>
      <c r="F54" t="n">
        <v>1000</v>
      </c>
      <c r="G54" t="n">
        <v>39</v>
      </c>
      <c r="H54" t="n">
        <v>0.03</v>
      </c>
      <c r="I54" t="n">
        <v>0.08</v>
      </c>
      <c r="J54" t="inlineStr">
        <is>
          <t>Informational</t>
        </is>
      </c>
      <c r="K54" t="inlineStr">
        <is>
          <t>NOT AVAILABLE (report not requested)</t>
        </is>
      </c>
      <c r="L54" t="inlineStr">
        <is>
          <t>declining (calc.)</t>
        </is>
      </c>
      <c r="M54" t="inlineStr">
        <is>
          <t>MEASURED</t>
        </is>
      </c>
      <c r="N54" s="5" t="inlineStr">
        <is>
          <t>Semrush phrase_these (live, this session)</t>
        </is>
      </c>
      <c r="O54" t="inlineStr">
        <is>
          <t>2026-10-30</t>
        </is>
      </c>
      <c r="P54">
        <f>IF(IF(J54="NOT AVAILABLE","",J54)="",12,IF(OR(ISNUMBER(SEARCH("Transactional",IF(J54="NOT AVAILABLE","",J54))),ISNUMBER(SEARCH("Commercial",IF(J54="NOT AVAILABLE","",J54)))),25,IF(ISNUMBER(SEARCH("Informational",IF(J54="NOT AVAILABLE","",J54))),10,IF(ISNUMBER(SEARCH("Navigational",IF(J54="NOT AVAILABLE","",J54))),0,12))))</f>
        <v/>
      </c>
      <c r="Q54">
        <f>IF(ISNUMBER(F54),MIN(30,ROUND(30*LOG10(F54+1)/4,1)),0)</f>
        <v/>
      </c>
      <c r="R54">
        <f>IF(ISNUMBER(G54),ROUND(25*(100-G54)/100,1),12.5)</f>
        <v/>
      </c>
      <c r="S54" t="n">
        <v>20</v>
      </c>
      <c r="T54">
        <f>ROUND(P54+Q54+R54+S54,0)</f>
        <v/>
      </c>
      <c r="U54" s="5" t="inlineStr"/>
      <c r="V54" s="5" t="inlineStr">
        <is>
          <t>SUPPORTING /tools/image-compressor</t>
        </is>
      </c>
    </row>
    <row r="55">
      <c r="A55" t="inlineStr">
        <is>
          <t>K0053</t>
        </is>
      </c>
      <c r="B55" t="inlineStr">
        <is>
          <t>agence marketing rabat</t>
        </is>
      </c>
      <c r="C55" t="inlineStr">
        <is>
          <t>Morocco</t>
        </is>
      </c>
      <c r="D55" t="inlineStr">
        <is>
          <t>ma</t>
        </is>
      </c>
      <c r="E55" t="inlineStr">
        <is>
          <t>fr</t>
        </is>
      </c>
      <c r="F55" t="n">
        <v>880</v>
      </c>
      <c r="G55" t="n">
        <v>26</v>
      </c>
      <c r="H55" t="n">
        <v>0.35</v>
      </c>
      <c r="I55" t="n">
        <v>0.16</v>
      </c>
      <c r="J55" t="inlineStr">
        <is>
          <t>Commercial</t>
        </is>
      </c>
      <c r="K55" t="inlineStr">
        <is>
          <t>NOT AVAILABLE (report not requested)</t>
        </is>
      </c>
      <c r="L55" t="inlineStr">
        <is>
          <t>declining (calc.)</t>
        </is>
      </c>
      <c r="M55" t="inlineStr">
        <is>
          <t>MEASURED</t>
        </is>
      </c>
      <c r="N55" s="5" t="inlineStr">
        <is>
          <t>Semrush resource_organic (competitor energiedin.com)</t>
        </is>
      </c>
      <c r="O55" t="inlineStr">
        <is>
          <t>2026-10-30</t>
        </is>
      </c>
      <c r="P55">
        <f>IF(IF(J55="NOT AVAILABLE","",J55)="",12,IF(OR(ISNUMBER(SEARCH("Transactional",IF(J55="NOT AVAILABLE","",J55))),ISNUMBER(SEARCH("Commercial",IF(J55="NOT AVAILABLE","",J55)))),25,IF(ISNUMBER(SEARCH("Informational",IF(J55="NOT AVAILABLE","",J55))),10,IF(ISNUMBER(SEARCH("Navigational",IF(J55="NOT AVAILABLE","",J55))),0,12))))</f>
        <v/>
      </c>
      <c r="Q55">
        <f>IF(ISNUMBER(F55),MIN(30,ROUND(30*LOG10(F55+1)/4,1)),0)</f>
        <v/>
      </c>
      <c r="R55">
        <f>IF(ISNUMBER(G55),ROUND(25*(100-G55)/100,1),12.5)</f>
        <v/>
      </c>
      <c r="S55" t="n">
        <v>20</v>
      </c>
      <c r="T55">
        <f>ROUND(P55+Q55+R55+S55,0)</f>
        <v/>
      </c>
      <c r="U55" s="5" t="inlineStr">
        <is>
          <t>energiedin.com #5 https://www.energiedin.com/agence-digitale-rabat/</t>
        </is>
      </c>
      <c r="V55" s="5" t="inlineStr"/>
    </row>
    <row r="56">
      <c r="A56" t="inlineStr">
        <is>
          <t>K0054</t>
        </is>
      </c>
      <c r="B56" t="inlineStr">
        <is>
          <t>agence seo maroc</t>
        </is>
      </c>
      <c r="C56" t="inlineStr">
        <is>
          <t>Morocco</t>
        </is>
      </c>
      <c r="D56" t="inlineStr">
        <is>
          <t>ma</t>
        </is>
      </c>
      <c r="E56" t="inlineStr">
        <is>
          <t>fr</t>
        </is>
      </c>
      <c r="F56" t="n">
        <v>880</v>
      </c>
      <c r="G56" t="n">
        <v>44</v>
      </c>
      <c r="H56" t="n">
        <v>2.48</v>
      </c>
      <c r="I56" t="n">
        <v>0.06</v>
      </c>
      <c r="J56" t="inlineStr">
        <is>
          <t>Commercial</t>
        </is>
      </c>
      <c r="K56" t="inlineStr">
        <is>
          <t>NOT AVAILABLE (report not requested)</t>
        </is>
      </c>
      <c r="L56" t="inlineStr">
        <is>
          <t>declining (calc.)</t>
        </is>
      </c>
      <c r="M56" t="inlineStr">
        <is>
          <t>MEASURED</t>
        </is>
      </c>
      <c r="N56" s="5" t="inlineStr">
        <is>
          <t>Semrush phrase_these (live, this session)</t>
        </is>
      </c>
      <c r="O56" t="inlineStr">
        <is>
          <t>2026-10-30</t>
        </is>
      </c>
      <c r="P56">
        <f>IF(IF(J56="NOT AVAILABLE","",J56)="",12,IF(OR(ISNUMBER(SEARCH("Transactional",IF(J56="NOT AVAILABLE","",J56))),ISNUMBER(SEARCH("Commercial",IF(J56="NOT AVAILABLE","",J56)))),25,IF(ISNUMBER(SEARCH("Informational",IF(J56="NOT AVAILABLE","",J56))),10,IF(ISNUMBER(SEARCH("Navigational",IF(J56="NOT AVAILABLE","",J56))),0,12))))</f>
        <v/>
      </c>
      <c r="Q56">
        <f>IF(ISNUMBER(F56),MIN(30,ROUND(30*LOG10(F56+1)/4,1)),0)</f>
        <v/>
      </c>
      <c r="R56">
        <f>IF(ISNUMBER(G56),ROUND(25*(100-G56)/100,1),12.5)</f>
        <v/>
      </c>
      <c r="S56" t="n">
        <v>20</v>
      </c>
      <c r="T56">
        <f>ROUND(P56+Q56+R56+S56,0)</f>
        <v/>
      </c>
      <c r="U56" s="5" t="inlineStr">
        <is>
          <t>energiedin.com #7 https://www.energiedin.com/agence-referencement-naturel-seo/ | hostino.ma #2 https://www.hostino.ma/agence-seo-maroc/ | urikacloud.com #13 https://urikacloud.com/seo-maroc.htm | vala.ma #3 https://www.vala.ma/agence-referencement-seo-maroc</t>
        </is>
      </c>
      <c r="V56" s="5" t="inlineStr">
        <is>
          <t>PRIMARY /services/seo-maroc</t>
        </is>
      </c>
    </row>
    <row r="57">
      <c r="A57" t="inlineStr">
        <is>
          <t>K0055</t>
        </is>
      </c>
      <c r="B57" t="inlineStr">
        <is>
          <t>ajanef</t>
        </is>
      </c>
      <c r="C57" t="inlineStr">
        <is>
          <t>Morocco</t>
        </is>
      </c>
      <c r="D57" t="inlineStr">
        <is>
          <t>ma</t>
        </is>
      </c>
      <c r="E57" t="inlineStr">
        <is>
          <t>fr</t>
        </is>
      </c>
      <c r="F57" t="n">
        <v>880</v>
      </c>
      <c r="G57" t="n">
        <v>33</v>
      </c>
      <c r="H57" t="n">
        <v>0</v>
      </c>
      <c r="I57" t="n">
        <v>0.01</v>
      </c>
      <c r="J57" t="inlineStr">
        <is>
          <t>Transactional</t>
        </is>
      </c>
      <c r="K57" t="inlineStr">
        <is>
          <t>NOT AVAILABLE (report not requested)</t>
        </is>
      </c>
      <c r="L57" t="inlineStr">
        <is>
          <t>rising (calc.)</t>
        </is>
      </c>
      <c r="M57" t="inlineStr">
        <is>
          <t>MEASURED</t>
        </is>
      </c>
      <c r="N57" s="5" t="inlineStr">
        <is>
          <t>Semrush resource_organic (competitor rhillane.com)</t>
        </is>
      </c>
      <c r="O57" t="inlineStr">
        <is>
          <t>2026-10-30</t>
        </is>
      </c>
      <c r="P57">
        <f>IF(IF(J57="NOT AVAILABLE","",J57)="",12,IF(OR(ISNUMBER(SEARCH("Transactional",IF(J57="NOT AVAILABLE","",J57))),ISNUMBER(SEARCH("Commercial",IF(J57="NOT AVAILABLE","",J57)))),25,IF(ISNUMBER(SEARCH("Informational",IF(J57="NOT AVAILABLE","",J57))),10,IF(ISNUMBER(SEARCH("Navigational",IF(J57="NOT AVAILABLE","",J57))),0,12))))</f>
        <v/>
      </c>
      <c r="Q57">
        <f>IF(ISNUMBER(F57),MIN(30,ROUND(30*LOG10(F57+1)/4,1)),0)</f>
        <v/>
      </c>
      <c r="R57">
        <f>IF(ISNUMBER(G57),ROUND(25*(100-G57)/100,1),12.5)</f>
        <v/>
      </c>
      <c r="S57" t="n">
        <v>20</v>
      </c>
      <c r="T57">
        <f>ROUND(P57+Q57+R57+S57,0)</f>
        <v/>
      </c>
      <c r="U57" s="5" t="inlineStr">
        <is>
          <t>rhillane.com #4 https://rhillane.com/portfolio/ajanef/</t>
        </is>
      </c>
      <c r="V57" s="5" t="inlineStr"/>
    </row>
    <row r="58">
      <c r="A58" t="inlineStr">
        <is>
          <t>K0056</t>
        </is>
      </c>
      <c r="B58" t="inlineStr">
        <is>
          <t>creation des sites web</t>
        </is>
      </c>
      <c r="C58" t="inlineStr">
        <is>
          <t>Morocco</t>
        </is>
      </c>
      <c r="D58" t="inlineStr">
        <is>
          <t>ma</t>
        </is>
      </c>
      <c r="E58" t="inlineStr">
        <is>
          <t>fr</t>
        </is>
      </c>
      <c r="F58" t="n">
        <v>880</v>
      </c>
      <c r="G58" t="n">
        <v>58</v>
      </c>
      <c r="H58" t="n">
        <v>0.46</v>
      </c>
      <c r="I58" t="n">
        <v>0.39</v>
      </c>
      <c r="J58" t="inlineStr">
        <is>
          <t>Informational</t>
        </is>
      </c>
      <c r="K58" t="inlineStr">
        <is>
          <t>NOT AVAILABLE (report not requested)</t>
        </is>
      </c>
      <c r="L58" t="inlineStr">
        <is>
          <t>stable (calc.)</t>
        </is>
      </c>
      <c r="M58" t="inlineStr">
        <is>
          <t>MEASURED</t>
        </is>
      </c>
      <c r="N58" s="5" t="inlineStr">
        <is>
          <t>Semrush resource_organic (competitor website.ma)</t>
        </is>
      </c>
      <c r="O58" t="inlineStr">
        <is>
          <t>2026-10-30</t>
        </is>
      </c>
      <c r="P58">
        <f>IF(IF(J58="NOT AVAILABLE","",J58)="",12,IF(OR(ISNUMBER(SEARCH("Transactional",IF(J58="NOT AVAILABLE","",J58))),ISNUMBER(SEARCH("Commercial",IF(J58="NOT AVAILABLE","",J58)))),25,IF(ISNUMBER(SEARCH("Informational",IF(J58="NOT AVAILABLE","",J58))),10,IF(ISNUMBER(SEARCH("Navigational",IF(J58="NOT AVAILABLE","",J58))),0,12))))</f>
        <v/>
      </c>
      <c r="Q58">
        <f>IF(ISNUMBER(F58),MIN(30,ROUND(30*LOG10(F58+1)/4,1)),0)</f>
        <v/>
      </c>
      <c r="R58">
        <f>IF(ISNUMBER(G58),ROUND(25*(100-G58)/100,1),12.5)</f>
        <v/>
      </c>
      <c r="S58" t="n">
        <v>20</v>
      </c>
      <c r="T58">
        <f>ROUND(P58+Q58+R58+S58,0)</f>
        <v/>
      </c>
      <c r="U58" s="5" t="inlineStr">
        <is>
          <t>website.ma #3 https://www.website.ma/</t>
        </is>
      </c>
      <c r="V58" s="5" t="inlineStr"/>
    </row>
    <row r="59">
      <c r="A59" t="inlineStr">
        <is>
          <t>K0057</t>
        </is>
      </c>
      <c r="B59" t="inlineStr">
        <is>
          <t>nom de domaine maroc</t>
        </is>
      </c>
      <c r="C59" t="inlineStr">
        <is>
          <t>Morocco</t>
        </is>
      </c>
      <c r="D59" t="inlineStr">
        <is>
          <t>ma</t>
        </is>
      </c>
      <c r="E59" t="inlineStr">
        <is>
          <t>fr</t>
        </is>
      </c>
      <c r="F59" t="n">
        <v>880</v>
      </c>
      <c r="G59" t="n">
        <v>42</v>
      </c>
      <c r="H59" t="n">
        <v>0.57</v>
      </c>
      <c r="I59" t="n">
        <v>0.41</v>
      </c>
      <c r="J59" t="inlineStr">
        <is>
          <t>Informational</t>
        </is>
      </c>
      <c r="K59" t="inlineStr">
        <is>
          <t>NOT AVAILABLE (report not requested)</t>
        </is>
      </c>
      <c r="L59" t="inlineStr">
        <is>
          <t>stable (calc.)</t>
        </is>
      </c>
      <c r="M59" t="inlineStr">
        <is>
          <t>MEASURED</t>
        </is>
      </c>
      <c r="N59" s="5" t="inlineStr">
        <is>
          <t>Semrush phrase_these (live, this session)</t>
        </is>
      </c>
      <c r="O59" t="inlineStr">
        <is>
          <t>2026-10-30</t>
        </is>
      </c>
      <c r="P59">
        <f>IF(IF(J59="NOT AVAILABLE","",J59)="",12,IF(OR(ISNUMBER(SEARCH("Transactional",IF(J59="NOT AVAILABLE","",J59))),ISNUMBER(SEARCH("Commercial",IF(J59="NOT AVAILABLE","",J59)))),25,IF(ISNUMBER(SEARCH("Informational",IF(J59="NOT AVAILABLE","",J59))),10,IF(ISNUMBER(SEARCH("Navigational",IF(J59="NOT AVAILABLE","",J59))),0,12))))</f>
        <v/>
      </c>
      <c r="Q59">
        <f>IF(ISNUMBER(F59),MIN(30,ROUND(30*LOG10(F59+1)/4,1)),0)</f>
        <v/>
      </c>
      <c r="R59">
        <f>IF(ISNUMBER(G59),ROUND(25*(100-G59)/100,1),12.5)</f>
        <v/>
      </c>
      <c r="S59" t="n">
        <v>20</v>
      </c>
      <c r="T59">
        <f>ROUND(P59+Q59+R59+S59,0)</f>
        <v/>
      </c>
      <c r="U59" s="5" t="inlineStr">
        <is>
          <t>hostino.ma #8 https://www.hostino.ma/nom-de-domaine-ma/ | hostino.ma #80 https://www.hostino.ma/en/ma-domain-name/</t>
        </is>
      </c>
      <c r="V59" s="5" t="inlineStr">
        <is>
          <t>NOT RECOMMENDED /</t>
        </is>
      </c>
    </row>
    <row r="60">
      <c r="A60" t="inlineStr">
        <is>
          <t>K0058</t>
        </is>
      </c>
      <c r="B60" t="inlineStr">
        <is>
          <t>photographe casablanca</t>
        </is>
      </c>
      <c r="C60" t="inlineStr">
        <is>
          <t>Morocco</t>
        </is>
      </c>
      <c r="D60" t="inlineStr">
        <is>
          <t>ma</t>
        </is>
      </c>
      <c r="E60" t="inlineStr">
        <is>
          <t>fr</t>
        </is>
      </c>
      <c r="F60" t="n">
        <v>880</v>
      </c>
      <c r="G60" t="n">
        <v>24</v>
      </c>
      <c r="H60" t="n">
        <v>0.33</v>
      </c>
      <c r="I60" t="n">
        <v>0.08</v>
      </c>
      <c r="J60" t="inlineStr">
        <is>
          <t>Commercial</t>
        </is>
      </c>
      <c r="K60" t="inlineStr">
        <is>
          <t>NOT AVAILABLE (report not requested)</t>
        </is>
      </c>
      <c r="L60" t="inlineStr">
        <is>
          <t>stable (calc.)</t>
        </is>
      </c>
      <c r="M60" t="inlineStr">
        <is>
          <t>MEASURED</t>
        </is>
      </c>
      <c r="N60" s="5" t="inlineStr">
        <is>
          <t>Semrush resource_organic (competitor urikacloud.com)</t>
        </is>
      </c>
      <c r="O60" t="inlineStr">
        <is>
          <t>2026-10-30</t>
        </is>
      </c>
      <c r="P60">
        <f>IF(IF(J60="NOT AVAILABLE","",J60)="",12,IF(OR(ISNUMBER(SEARCH("Transactional",IF(J60="NOT AVAILABLE","",J60))),ISNUMBER(SEARCH("Commercial",IF(J60="NOT AVAILABLE","",J60)))),25,IF(ISNUMBER(SEARCH("Informational",IF(J60="NOT AVAILABLE","",J60))),10,IF(ISNUMBER(SEARCH("Navigational",IF(J60="NOT AVAILABLE","",J60))),0,12))))</f>
        <v/>
      </c>
      <c r="Q60">
        <f>IF(ISNUMBER(F60),MIN(30,ROUND(30*LOG10(F60+1)/4,1)),0)</f>
        <v/>
      </c>
      <c r="R60">
        <f>IF(ISNUMBER(G60),ROUND(25*(100-G60)/100,1),12.5)</f>
        <v/>
      </c>
      <c r="S60" t="n">
        <v>20</v>
      </c>
      <c r="T60">
        <f>ROUND(P60+Q60+R60+S60,0)</f>
        <v/>
      </c>
      <c r="U60" s="5" t="inlineStr">
        <is>
          <t>urikacloud.com #25 https://urikacloud.com/photographe-casablanca.htm</t>
        </is>
      </c>
      <c r="V60" s="5" t="inlineStr"/>
    </row>
    <row r="61">
      <c r="A61" t="inlineStr">
        <is>
          <t>K0059</t>
        </is>
      </c>
      <c r="B61" t="inlineStr">
        <is>
          <t>snapchat maroc dossier</t>
        </is>
      </c>
      <c r="C61" t="inlineStr">
        <is>
          <t>Morocco</t>
        </is>
      </c>
      <c r="D61" t="inlineStr">
        <is>
          <t>ma</t>
        </is>
      </c>
      <c r="E61" t="inlineStr">
        <is>
          <t>fr</t>
        </is>
      </c>
      <c r="F61" t="n">
        <v>880</v>
      </c>
      <c r="G61" t="n">
        <v>31</v>
      </c>
      <c r="H61" t="n">
        <v>0</v>
      </c>
      <c r="I61" t="n">
        <v>0</v>
      </c>
      <c r="J61" t="inlineStr">
        <is>
          <t>Informational</t>
        </is>
      </c>
      <c r="K61" t="inlineStr">
        <is>
          <t>NOT AVAILABLE (report not requested)</t>
        </is>
      </c>
      <c r="L61" t="inlineStr">
        <is>
          <t>rising (calc.)</t>
        </is>
      </c>
      <c r="M61" t="inlineStr">
        <is>
          <t>MEASURED</t>
        </is>
      </c>
      <c r="N61" s="5" t="inlineStr">
        <is>
          <t>Semrush resource_organic (competitor websuccess.ma)</t>
        </is>
      </c>
      <c r="O61" t="inlineStr">
        <is>
          <t>2026-10-30</t>
        </is>
      </c>
      <c r="P61">
        <f>IF(IF(J61="NOT AVAILABLE","",J61)="",12,IF(OR(ISNUMBER(SEARCH("Transactional",IF(J61="NOT AVAILABLE","",J61))),ISNUMBER(SEARCH("Commercial",IF(J61="NOT AVAILABLE","",J61)))),25,IF(ISNUMBER(SEARCH("Informational",IF(J61="NOT AVAILABLE","",J61))),10,IF(ISNUMBER(SEARCH("Navigational",IF(J61="NOT AVAILABLE","",J61))),0,12))))</f>
        <v/>
      </c>
      <c r="Q61">
        <f>IF(ISNUMBER(F61),MIN(30,ROUND(30*LOG10(F61+1)/4,1)),0)</f>
        <v/>
      </c>
      <c r="R61">
        <f>IF(ISNUMBER(G61),ROUND(25*(100-G61)/100,1),12.5)</f>
        <v/>
      </c>
      <c r="S61" t="n">
        <v>20</v>
      </c>
      <c r="T61">
        <f>ROUND(P61+Q61+R61+S61,0)</f>
        <v/>
      </c>
      <c r="U61" s="5" t="inlineStr">
        <is>
          <t>websuccess.ma #5 https://websuccess.ma/blog/statistiques-snapchat</t>
        </is>
      </c>
      <c r="V61" s="5" t="inlineStr"/>
    </row>
    <row r="62">
      <c r="A62" t="inlineStr">
        <is>
          <t>K0060</t>
        </is>
      </c>
      <c r="B62" t="inlineStr">
        <is>
          <t>stratégie marketing digital</t>
        </is>
      </c>
      <c r="C62" t="inlineStr">
        <is>
          <t>Morocco</t>
        </is>
      </c>
      <c r="D62" t="inlineStr">
        <is>
          <t>ma</t>
        </is>
      </c>
      <c r="E62" t="inlineStr">
        <is>
          <t>fr</t>
        </is>
      </c>
      <c r="F62" t="n">
        <v>880</v>
      </c>
      <c r="G62" t="n">
        <v>34</v>
      </c>
      <c r="H62" t="n">
        <v>0.36</v>
      </c>
      <c r="I62" t="n">
        <v>0.26</v>
      </c>
      <c r="J62" t="inlineStr">
        <is>
          <t>Informational</t>
        </is>
      </c>
      <c r="K62" t="inlineStr">
        <is>
          <t>NOT AVAILABLE (report not requested)</t>
        </is>
      </c>
      <c r="L62" t="inlineStr">
        <is>
          <t>declining (calc.)</t>
        </is>
      </c>
      <c r="M62" t="inlineStr">
        <is>
          <t>MEASURED</t>
        </is>
      </c>
      <c r="N62" s="5" t="inlineStr">
        <is>
          <t>Semrush resource_organic (competitor digitalma.ma)</t>
        </is>
      </c>
      <c r="O62" t="inlineStr">
        <is>
          <t>2026-10-30</t>
        </is>
      </c>
      <c r="P62">
        <f>IF(IF(J62="NOT AVAILABLE","",J62)="",12,IF(OR(ISNUMBER(SEARCH("Transactional",IF(J62="NOT AVAILABLE","",J62))),ISNUMBER(SEARCH("Commercial",IF(J62="NOT AVAILABLE","",J62)))),25,IF(ISNUMBER(SEARCH("Informational",IF(J62="NOT AVAILABLE","",J62))),10,IF(ISNUMBER(SEARCH("Navigational",IF(J62="NOT AVAILABLE","",J62))),0,12))))</f>
        <v/>
      </c>
      <c r="Q62">
        <f>IF(ISNUMBER(F62),MIN(30,ROUND(30*LOG10(F62+1)/4,1)),0)</f>
        <v/>
      </c>
      <c r="R62">
        <f>IF(ISNUMBER(G62),ROUND(25*(100-G62)/100,1),12.5)</f>
        <v/>
      </c>
      <c r="S62" t="n">
        <v>20</v>
      </c>
      <c r="T62">
        <f>ROUND(P62+Q62+R62+S62,0)</f>
        <v/>
      </c>
      <c r="U62" s="5" t="inlineStr">
        <is>
          <t>digitalma.ma #52 https://digitalma.ma/articles/comment-reussir-votre-marketing-digital/</t>
        </is>
      </c>
      <c r="V62" s="5" t="inlineStr"/>
    </row>
    <row r="63">
      <c r="A63" t="inlineStr">
        <is>
          <t>K0061</t>
        </is>
      </c>
      <c r="B63" t="inlineStr">
        <is>
          <t>void</t>
        </is>
      </c>
      <c r="C63" t="inlineStr">
        <is>
          <t>Morocco</t>
        </is>
      </c>
      <c r="D63" t="inlineStr">
        <is>
          <t>ma</t>
        </is>
      </c>
      <c r="E63" t="inlineStr">
        <is>
          <t>fr</t>
        </is>
      </c>
      <c r="F63" t="n">
        <v>880</v>
      </c>
      <c r="G63" t="n">
        <v>23</v>
      </c>
      <c r="H63" t="n">
        <v>0.89</v>
      </c>
      <c r="I63" t="n">
        <v>0.01</v>
      </c>
      <c r="J63" t="inlineStr">
        <is>
          <t>Informational, Transactional</t>
        </is>
      </c>
      <c r="K63" t="inlineStr">
        <is>
          <t>NOT AVAILABLE (report not requested)</t>
        </is>
      </c>
      <c r="L63" t="inlineStr">
        <is>
          <t>rising (calc.)</t>
        </is>
      </c>
      <c r="M63" t="inlineStr">
        <is>
          <t>MEASURED</t>
        </is>
      </c>
      <c r="N63" s="5" t="inlineStr">
        <is>
          <t>Semrush resource_organic (competitor void.ma)</t>
        </is>
      </c>
      <c r="O63" t="inlineStr">
        <is>
          <t>2026-10-30</t>
        </is>
      </c>
      <c r="P63">
        <f>IF(IF(J63="NOT AVAILABLE","",J63)="",12,IF(OR(ISNUMBER(SEARCH("Transactional",IF(J63="NOT AVAILABLE","",J63))),ISNUMBER(SEARCH("Commercial",IF(J63="NOT AVAILABLE","",J63)))),25,IF(ISNUMBER(SEARCH("Informational",IF(J63="NOT AVAILABLE","",J63))),10,IF(ISNUMBER(SEARCH("Navigational",IF(J63="NOT AVAILABLE","",J63))),0,12))))</f>
        <v/>
      </c>
      <c r="Q63">
        <f>IF(ISNUMBER(F63),MIN(30,ROUND(30*LOG10(F63+1)/4,1)),0)</f>
        <v/>
      </c>
      <c r="R63">
        <f>IF(ISNUMBER(G63),ROUND(25*(100-G63)/100,1),12.5)</f>
        <v/>
      </c>
      <c r="S63" t="n">
        <v>20</v>
      </c>
      <c r="T63">
        <f>ROUND(P63+Q63+R63+S63,0)</f>
        <v/>
      </c>
      <c r="U63" s="5" t="inlineStr">
        <is>
          <t>void.ma #2 https://void.ma/</t>
        </is>
      </c>
      <c r="V63" s="5" t="inlineStr"/>
    </row>
    <row r="64">
      <c r="A64" t="inlineStr">
        <is>
          <t>K0062</t>
        </is>
      </c>
      <c r="B64" t="inlineStr">
        <is>
          <t>compresser photo</t>
        </is>
      </c>
      <c r="C64" t="inlineStr">
        <is>
          <t>Morocco</t>
        </is>
      </c>
      <c r="D64" t="inlineStr">
        <is>
          <t>ma</t>
        </is>
      </c>
      <c r="E64" t="inlineStr">
        <is>
          <t>fr</t>
        </is>
      </c>
      <c r="F64" t="n">
        <v>720</v>
      </c>
      <c r="G64" t="n">
        <v>43</v>
      </c>
      <c r="H64" t="n">
        <v>0.03</v>
      </c>
      <c r="I64" t="n">
        <v>0.1</v>
      </c>
      <c r="J64" t="inlineStr">
        <is>
          <t>Informational, Commercial</t>
        </is>
      </c>
      <c r="K64" t="inlineStr">
        <is>
          <t>NOT AVAILABLE (report not requested)</t>
        </is>
      </c>
      <c r="L64" t="inlineStr">
        <is>
          <t>rising (calc.)</t>
        </is>
      </c>
      <c r="M64" t="inlineStr">
        <is>
          <t>MEASURED</t>
        </is>
      </c>
      <c r="N64" s="5" t="inlineStr">
        <is>
          <t>Semrush phrase_these (live, this session)</t>
        </is>
      </c>
      <c r="O64" t="inlineStr">
        <is>
          <t>2026-10-30</t>
        </is>
      </c>
      <c r="P64">
        <f>IF(IF(J64="NOT AVAILABLE","",J64)="",12,IF(OR(ISNUMBER(SEARCH("Transactional",IF(J64="NOT AVAILABLE","",J64))),ISNUMBER(SEARCH("Commercial",IF(J64="NOT AVAILABLE","",J64)))),25,IF(ISNUMBER(SEARCH("Informational",IF(J64="NOT AVAILABLE","",J64))),10,IF(ISNUMBER(SEARCH("Navigational",IF(J64="NOT AVAILABLE","",J64))),0,12))))</f>
        <v/>
      </c>
      <c r="Q64">
        <f>IF(ISNUMBER(F64),MIN(30,ROUND(30*LOG10(F64+1)/4,1)),0)</f>
        <v/>
      </c>
      <c r="R64">
        <f>IF(ISNUMBER(G64),ROUND(25*(100-G64)/100,1),12.5)</f>
        <v/>
      </c>
      <c r="S64" t="n">
        <v>20</v>
      </c>
      <c r="T64">
        <f>ROUND(P64+Q64+R64+S64,0)</f>
        <v/>
      </c>
      <c r="U64" s="5" t="inlineStr"/>
      <c r="V64" s="5" t="inlineStr">
        <is>
          <t>SUPPORTING /tools/image-compressor</t>
        </is>
      </c>
    </row>
    <row r="65">
      <c r="A65" t="inlineStr">
        <is>
          <t>K0063</t>
        </is>
      </c>
      <c r="B65" t="inlineStr">
        <is>
          <t>comptable casablanca</t>
        </is>
      </c>
      <c r="C65" t="inlineStr">
        <is>
          <t>Morocco</t>
        </is>
      </c>
      <c r="D65" t="inlineStr">
        <is>
          <t>ma</t>
        </is>
      </c>
      <c r="E65" t="inlineStr">
        <is>
          <t>fr</t>
        </is>
      </c>
      <c r="F65" t="n">
        <v>720</v>
      </c>
      <c r="G65" t="n">
        <v>40</v>
      </c>
      <c r="H65" t="n">
        <v>0.34</v>
      </c>
      <c r="I65" t="n">
        <v>0.21</v>
      </c>
      <c r="J65" t="inlineStr">
        <is>
          <t>Commercial</t>
        </is>
      </c>
      <c r="K65" t="inlineStr">
        <is>
          <t>NOT AVAILABLE (report not requested)</t>
        </is>
      </c>
      <c r="L65" t="inlineStr">
        <is>
          <t>declining (calc.)</t>
        </is>
      </c>
      <c r="M65" t="inlineStr">
        <is>
          <t>MEASURED</t>
        </is>
      </c>
      <c r="N65" s="5" t="inlineStr">
        <is>
          <t>Semrush resource_organic (competitor urikacloud.com)</t>
        </is>
      </c>
      <c r="O65" t="inlineStr">
        <is>
          <t>2026-10-30</t>
        </is>
      </c>
      <c r="P65">
        <f>IF(IF(J65="NOT AVAILABLE","",J65)="",12,IF(OR(ISNUMBER(SEARCH("Transactional",IF(J65="NOT AVAILABLE","",J65))),ISNUMBER(SEARCH("Commercial",IF(J65="NOT AVAILABLE","",J65)))),25,IF(ISNUMBER(SEARCH("Informational",IF(J65="NOT AVAILABLE","",J65))),10,IF(ISNUMBER(SEARCH("Navigational",IF(J65="NOT AVAILABLE","",J65))),0,12))))</f>
        <v/>
      </c>
      <c r="Q65">
        <f>IF(ISNUMBER(F65),MIN(30,ROUND(30*LOG10(F65+1)/4,1)),0)</f>
        <v/>
      </c>
      <c r="R65">
        <f>IF(ISNUMBER(G65),ROUND(25*(100-G65)/100,1),12.5)</f>
        <v/>
      </c>
      <c r="S65" t="n">
        <v>20</v>
      </c>
      <c r="T65">
        <f>ROUND(P65+Q65+R65+S65,0)</f>
        <v/>
      </c>
      <c r="U65" s="5" t="inlineStr">
        <is>
          <t>urikacloud.com #2 https://urikacloud.com/comptable-casablanca-maroc.htm</t>
        </is>
      </c>
      <c r="V65" s="5" t="inlineStr"/>
    </row>
    <row r="66">
      <c r="A66" t="inlineStr">
        <is>
          <t>K0064</t>
        </is>
      </c>
      <c r="B66" t="inlineStr">
        <is>
          <t>domaine ma</t>
        </is>
      </c>
      <c r="C66" t="inlineStr">
        <is>
          <t>Morocco</t>
        </is>
      </c>
      <c r="D66" t="inlineStr">
        <is>
          <t>ma</t>
        </is>
      </c>
      <c r="E66" t="inlineStr">
        <is>
          <t>fr</t>
        </is>
      </c>
      <c r="F66" t="n">
        <v>720</v>
      </c>
      <c r="G66" t="n">
        <v>42</v>
      </c>
      <c r="H66" t="n">
        <v>0.38</v>
      </c>
      <c r="I66" t="n">
        <v>0.67</v>
      </c>
      <c r="J66" t="inlineStr">
        <is>
          <t>Commercial</t>
        </is>
      </c>
      <c r="K66" t="inlineStr">
        <is>
          <t>NOT AVAILABLE (report not requested)</t>
        </is>
      </c>
      <c r="L66" t="inlineStr">
        <is>
          <t>stable (calc.)</t>
        </is>
      </c>
      <c r="M66" t="inlineStr">
        <is>
          <t>MEASURED</t>
        </is>
      </c>
      <c r="N66" s="5" t="inlineStr">
        <is>
          <t>Semrush resource_organic (competitor hostino.ma)</t>
        </is>
      </c>
      <c r="O66" t="inlineStr">
        <is>
          <t>2026-10-30</t>
        </is>
      </c>
      <c r="P66">
        <f>IF(IF(J66="NOT AVAILABLE","",J66)="",12,IF(OR(ISNUMBER(SEARCH("Transactional",IF(J66="NOT AVAILABLE","",J66))),ISNUMBER(SEARCH("Commercial",IF(J66="NOT AVAILABLE","",J66)))),25,IF(ISNUMBER(SEARCH("Informational",IF(J66="NOT AVAILABLE","",J66))),10,IF(ISNUMBER(SEARCH("Navigational",IF(J66="NOT AVAILABLE","",J66))),0,12))))</f>
        <v/>
      </c>
      <c r="Q66">
        <f>IF(ISNUMBER(F66),MIN(30,ROUND(30*LOG10(F66+1)/4,1)),0)</f>
        <v/>
      </c>
      <c r="R66">
        <f>IF(ISNUMBER(G66),ROUND(25*(100-G66)/100,1),12.5)</f>
        <v/>
      </c>
      <c r="S66" t="n">
        <v>20</v>
      </c>
      <c r="T66">
        <f>ROUND(P66+Q66+R66+S66,0)</f>
        <v/>
      </c>
      <c r="U66" s="5" t="inlineStr">
        <is>
          <t>hostino.ma #9 https://www.hostino.ma/nom-de-domaine-ma/ | vala.ma #17 https://www.vala.ma/domaine</t>
        </is>
      </c>
      <c r="V66" s="5" t="inlineStr"/>
    </row>
    <row r="67">
      <c r="A67" t="inlineStr">
        <is>
          <t>K0065</t>
        </is>
      </c>
      <c r="B67" t="inlineStr">
        <is>
          <t>domaine maroc</t>
        </is>
      </c>
      <c r="C67" t="inlineStr">
        <is>
          <t>Morocco</t>
        </is>
      </c>
      <c r="D67" t="inlineStr">
        <is>
          <t>ma</t>
        </is>
      </c>
      <c r="E67" t="inlineStr">
        <is>
          <t>fr</t>
        </is>
      </c>
      <c r="F67" t="n">
        <v>720</v>
      </c>
      <c r="G67" t="n">
        <v>47</v>
      </c>
      <c r="H67" t="n">
        <v>0.42</v>
      </c>
      <c r="I67" t="n">
        <v>0.67</v>
      </c>
      <c r="J67" t="inlineStr">
        <is>
          <t>Informational</t>
        </is>
      </c>
      <c r="K67" t="inlineStr">
        <is>
          <t>NOT AVAILABLE (report not requested)</t>
        </is>
      </c>
      <c r="L67" t="inlineStr">
        <is>
          <t>stable (calc.)</t>
        </is>
      </c>
      <c r="M67" t="inlineStr">
        <is>
          <t>MEASURED</t>
        </is>
      </c>
      <c r="N67" s="5" t="inlineStr">
        <is>
          <t>Semrush resource_organic (competitor hostino.ma)</t>
        </is>
      </c>
      <c r="O67" t="inlineStr">
        <is>
          <t>2026-10-30</t>
        </is>
      </c>
      <c r="P67">
        <f>IF(IF(J67="NOT AVAILABLE","",J67)="",12,IF(OR(ISNUMBER(SEARCH("Transactional",IF(J67="NOT AVAILABLE","",J67))),ISNUMBER(SEARCH("Commercial",IF(J67="NOT AVAILABLE","",J67)))),25,IF(ISNUMBER(SEARCH("Informational",IF(J67="NOT AVAILABLE","",J67))),10,IF(ISNUMBER(SEARCH("Navigational",IF(J67="NOT AVAILABLE","",J67))),0,12))))</f>
        <v/>
      </c>
      <c r="Q67">
        <f>IF(ISNUMBER(F67),MIN(30,ROUND(30*LOG10(F67+1)/4,1)),0)</f>
        <v/>
      </c>
      <c r="R67">
        <f>IF(ISNUMBER(G67),ROUND(25*(100-G67)/100,1),12.5)</f>
        <v/>
      </c>
      <c r="S67" t="n">
        <v>20</v>
      </c>
      <c r="T67">
        <f>ROUND(P67+Q67+R67+S67,0)</f>
        <v/>
      </c>
      <c r="U67" s="5" t="inlineStr">
        <is>
          <t>hostino.ma #9 https://www.hostino.ma/nom-de-domaine-ma/ | vala.ma #11 https://www.vala.ma/domaine</t>
        </is>
      </c>
      <c r="V67" s="5" t="inlineStr"/>
    </row>
    <row r="68">
      <c r="A68" t="inlineStr">
        <is>
          <t>K0066</t>
        </is>
      </c>
      <c r="B68" t="inlineStr">
        <is>
          <t>invest in morocco</t>
        </is>
      </c>
      <c r="C68" t="inlineStr">
        <is>
          <t>Morocco</t>
        </is>
      </c>
      <c r="D68" t="inlineStr">
        <is>
          <t>ma</t>
        </is>
      </c>
      <c r="E68" t="inlineStr">
        <is>
          <t>fr</t>
        </is>
      </c>
      <c r="F68" t="n">
        <v>720</v>
      </c>
      <c r="G68" t="n">
        <v>18</v>
      </c>
      <c r="H68" t="n">
        <v>0.52</v>
      </c>
      <c r="I68" t="n">
        <v>0.06</v>
      </c>
      <c r="J68" t="inlineStr">
        <is>
          <t>Informational</t>
        </is>
      </c>
      <c r="K68" t="inlineStr">
        <is>
          <t>NOT AVAILABLE (report not requested)</t>
        </is>
      </c>
      <c r="L68" t="inlineStr">
        <is>
          <t>stable (calc.)</t>
        </is>
      </c>
      <c r="M68" t="inlineStr">
        <is>
          <t>MEASURED</t>
        </is>
      </c>
      <c r="N68" s="5" t="inlineStr">
        <is>
          <t>Semrush resource_organic (competitor urikacloud.com)</t>
        </is>
      </c>
      <c r="O68" t="inlineStr">
        <is>
          <t>2026-10-30</t>
        </is>
      </c>
      <c r="P68">
        <f>IF(IF(J68="NOT AVAILABLE","",J68)="",12,IF(OR(ISNUMBER(SEARCH("Transactional",IF(J68="NOT AVAILABLE","",J68))),ISNUMBER(SEARCH("Commercial",IF(J68="NOT AVAILABLE","",J68)))),25,IF(ISNUMBER(SEARCH("Informational",IF(J68="NOT AVAILABLE","",J68))),10,IF(ISNUMBER(SEARCH("Navigational",IF(J68="NOT AVAILABLE","",J68))),0,12))))</f>
        <v/>
      </c>
      <c r="Q68">
        <f>IF(ISNUMBER(F68),MIN(30,ROUND(30*LOG10(F68+1)/4,1)),0)</f>
        <v/>
      </c>
      <c r="R68">
        <f>IF(ISNUMBER(G68),ROUND(25*(100-G68)/100,1),12.5)</f>
        <v/>
      </c>
      <c r="S68" t="n">
        <v>20</v>
      </c>
      <c r="T68">
        <f>ROUND(P68+Q68+R68+S68,0)</f>
        <v/>
      </c>
      <c r="U68" s="5" t="inlineStr">
        <is>
          <t>urikacloud.com #16 https://urikacloud.com/invest-in-morocco.htm | urikacloud.com #20 https://urikacloud.com/invest-in-morocco.htm</t>
        </is>
      </c>
      <c r="V68" s="5" t="inlineStr"/>
    </row>
    <row r="69">
      <c r="A69" t="inlineStr">
        <is>
          <t>K0067</t>
        </is>
      </c>
      <c r="B69" t="inlineStr">
        <is>
          <t>marketing agency</t>
        </is>
      </c>
      <c r="C69" t="inlineStr">
        <is>
          <t>Morocco</t>
        </is>
      </c>
      <c r="D69" t="inlineStr">
        <is>
          <t>ma</t>
        </is>
      </c>
      <c r="E69" t="inlineStr">
        <is>
          <t>fr</t>
        </is>
      </c>
      <c r="F69" t="n">
        <v>720</v>
      </c>
      <c r="G69" t="n">
        <v>37</v>
      </c>
      <c r="H69" t="n">
        <v>0.6899999999999999</v>
      </c>
      <c r="I69" t="n">
        <v>0.11</v>
      </c>
      <c r="J69" t="inlineStr">
        <is>
          <t>Informational</t>
        </is>
      </c>
      <c r="K69" t="inlineStr">
        <is>
          <t>NOT AVAILABLE (report not requested)</t>
        </is>
      </c>
      <c r="L69" t="inlineStr">
        <is>
          <t>rising (calc.)</t>
        </is>
      </c>
      <c r="M69" t="inlineStr">
        <is>
          <t>MEASURED</t>
        </is>
      </c>
      <c r="N69" s="5" t="inlineStr">
        <is>
          <t>Semrush resource_organic (competitor digitalma.ma)</t>
        </is>
      </c>
      <c r="O69" t="inlineStr">
        <is>
          <t>2026-10-30</t>
        </is>
      </c>
      <c r="P69">
        <f>IF(IF(J69="NOT AVAILABLE","",J69)="",12,IF(OR(ISNUMBER(SEARCH("Transactional",IF(J69="NOT AVAILABLE","",J69))),ISNUMBER(SEARCH("Commercial",IF(J69="NOT AVAILABLE","",J69)))),25,IF(ISNUMBER(SEARCH("Informational",IF(J69="NOT AVAILABLE","",J69))),10,IF(ISNUMBER(SEARCH("Navigational",IF(J69="NOT AVAILABLE","",J69))),0,12))))</f>
        <v/>
      </c>
      <c r="Q69">
        <f>IF(ISNUMBER(F69),MIN(30,ROUND(30*LOG10(F69+1)/4,1)),0)</f>
        <v/>
      </c>
      <c r="R69">
        <f>IF(ISNUMBER(G69),ROUND(25*(100-G69)/100,1),12.5)</f>
        <v/>
      </c>
      <c r="S69" t="n">
        <v>20</v>
      </c>
      <c r="T69">
        <f>ROUND(P69+Q69+R69+S69,0)</f>
        <v/>
      </c>
      <c r="U69" s="5" t="inlineStr">
        <is>
          <t>digitalma.ma #28 https://digitalma.ma/ | digitalma.ma #31 https://digitalma.ma/ | elevenmedia.ma #54 https://elevenmedia.ma/services/digital-marketing | rhillane.com #1 https://rhillane.com/</t>
        </is>
      </c>
      <c r="V69" s="5" t="inlineStr"/>
    </row>
    <row r="70">
      <c r="A70" t="inlineStr">
        <is>
          <t>K0068</t>
        </is>
      </c>
      <c r="B70" t="inlineStr">
        <is>
          <t>morocco invest</t>
        </is>
      </c>
      <c r="C70" t="inlineStr">
        <is>
          <t>Morocco</t>
        </is>
      </c>
      <c r="D70" t="inlineStr">
        <is>
          <t>ma</t>
        </is>
      </c>
      <c r="E70" t="inlineStr">
        <is>
          <t>fr</t>
        </is>
      </c>
      <c r="F70" t="n">
        <v>720</v>
      </c>
      <c r="G70" t="n">
        <v>19</v>
      </c>
      <c r="H70" t="n">
        <v>0.52</v>
      </c>
      <c r="I70" t="n">
        <v>0.06</v>
      </c>
      <c r="J70" t="inlineStr">
        <is>
          <t>Commercial</t>
        </is>
      </c>
      <c r="K70" t="inlineStr">
        <is>
          <t>NOT AVAILABLE (report not requested)</t>
        </is>
      </c>
      <c r="L70" t="inlineStr">
        <is>
          <t>stable (calc.)</t>
        </is>
      </c>
      <c r="M70" t="inlineStr">
        <is>
          <t>MEASURED</t>
        </is>
      </c>
      <c r="N70" s="5" t="inlineStr">
        <is>
          <t>Semrush resource_organic (competitor urikacloud.com)</t>
        </is>
      </c>
      <c r="O70" t="inlineStr">
        <is>
          <t>2026-10-30</t>
        </is>
      </c>
      <c r="P70">
        <f>IF(IF(J70="NOT AVAILABLE","",J70)="",12,IF(OR(ISNUMBER(SEARCH("Transactional",IF(J70="NOT AVAILABLE","",J70))),ISNUMBER(SEARCH("Commercial",IF(J70="NOT AVAILABLE","",J70)))),25,IF(ISNUMBER(SEARCH("Informational",IF(J70="NOT AVAILABLE","",J70))),10,IF(ISNUMBER(SEARCH("Navigational",IF(J70="NOT AVAILABLE","",J70))),0,12))))</f>
        <v/>
      </c>
      <c r="Q70">
        <f>IF(ISNUMBER(F70),MIN(30,ROUND(30*LOG10(F70+1)/4,1)),0)</f>
        <v/>
      </c>
      <c r="R70">
        <f>IF(ISNUMBER(G70),ROUND(25*(100-G70)/100,1),12.5)</f>
        <v/>
      </c>
      <c r="S70" t="n">
        <v>20</v>
      </c>
      <c r="T70">
        <f>ROUND(P70+Q70+R70+S70,0)</f>
        <v/>
      </c>
      <c r="U70" s="5" t="inlineStr">
        <is>
          <t>urikacloud.com #35 https://urikacloud.com/invest-in-morocco.htm</t>
        </is>
      </c>
      <c r="V70" s="5" t="inlineStr"/>
    </row>
    <row r="71">
      <c r="A71" t="inlineStr">
        <is>
          <t>K0069</t>
        </is>
      </c>
      <c r="B71" t="inlineStr">
        <is>
          <t>vvlog</t>
        </is>
      </c>
      <c r="C71" t="inlineStr">
        <is>
          <t>Morocco</t>
        </is>
      </c>
      <c r="D71" t="inlineStr">
        <is>
          <t>ma</t>
        </is>
      </c>
      <c r="E71" t="inlineStr">
        <is>
          <t>fr</t>
        </is>
      </c>
      <c r="F71" t="n">
        <v>720</v>
      </c>
      <c r="G71" t="n">
        <v>26</v>
      </c>
      <c r="H71" t="n">
        <v>0</v>
      </c>
      <c r="I71" t="n">
        <v>0.02</v>
      </c>
      <c r="J71" t="inlineStr">
        <is>
          <t>Informational</t>
        </is>
      </c>
      <c r="K71" t="inlineStr">
        <is>
          <t>NOT AVAILABLE (report not requested)</t>
        </is>
      </c>
      <c r="L71" t="inlineStr">
        <is>
          <t>rising (calc.)</t>
        </is>
      </c>
      <c r="M71" t="inlineStr">
        <is>
          <t>MEASURED</t>
        </is>
      </c>
      <c r="N71" s="5" t="inlineStr">
        <is>
          <t>Semrush resource_organic (competitor vala.ma)</t>
        </is>
      </c>
      <c r="O71" t="inlineStr">
        <is>
          <t>2026-10-30</t>
        </is>
      </c>
      <c r="P71">
        <f>IF(IF(J71="NOT AVAILABLE","",J71)="",12,IF(OR(ISNUMBER(SEARCH("Transactional",IF(J71="NOT AVAILABLE","",J71))),ISNUMBER(SEARCH("Commercial",IF(J71="NOT AVAILABLE","",J71)))),25,IF(ISNUMBER(SEARCH("Informational",IF(J71="NOT AVAILABLE","",J71))),10,IF(ISNUMBER(SEARCH("Navigational",IF(J71="NOT AVAILABLE","",J71))),0,12))))</f>
        <v/>
      </c>
      <c r="Q71">
        <f>IF(ISNUMBER(F71),MIN(30,ROUND(30*LOG10(F71+1)/4,1)),0)</f>
        <v/>
      </c>
      <c r="R71">
        <f>IF(ISNUMBER(G71),ROUND(25*(100-G71)/100,1),12.5)</f>
        <v/>
      </c>
      <c r="S71" t="n">
        <v>20</v>
      </c>
      <c r="T71">
        <f>ROUND(P71+Q71+R71+S71,0)</f>
        <v/>
      </c>
      <c r="U71" s="5" t="inlineStr">
        <is>
          <t>vala.ma #41 https://www.vala.ma/</t>
        </is>
      </c>
      <c r="V71" s="5" t="inlineStr"/>
    </row>
    <row r="72">
      <c r="A72" t="inlineStr">
        <is>
          <t>K0070</t>
        </is>
      </c>
      <c r="B72" t="inlineStr">
        <is>
          <t>agence de communication casablanca</t>
        </is>
      </c>
      <c r="C72" t="inlineStr">
        <is>
          <t>Morocco</t>
        </is>
      </c>
      <c r="D72" t="inlineStr">
        <is>
          <t>ma</t>
        </is>
      </c>
      <c r="E72" t="inlineStr">
        <is>
          <t>fr</t>
        </is>
      </c>
      <c r="F72" t="n">
        <v>590</v>
      </c>
      <c r="G72" t="n">
        <v>51</v>
      </c>
      <c r="H72" t="n">
        <v>0.44</v>
      </c>
      <c r="I72" t="n">
        <v>0.35</v>
      </c>
      <c r="J72" t="inlineStr">
        <is>
          <t>Commercial</t>
        </is>
      </c>
      <c r="K72" t="inlineStr">
        <is>
          <t>NOT AVAILABLE (report not requested)</t>
        </is>
      </c>
      <c r="L72" t="inlineStr">
        <is>
          <t>stable (calc.)</t>
        </is>
      </c>
      <c r="M72" t="inlineStr">
        <is>
          <t>MEASURED</t>
        </is>
      </c>
      <c r="N72" s="5" t="inlineStr">
        <is>
          <t>Semrush phrase_these (live, this session)</t>
        </is>
      </c>
      <c r="O72" t="inlineStr">
        <is>
          <t>2026-10-30</t>
        </is>
      </c>
      <c r="P72">
        <f>IF(IF(J72="NOT AVAILABLE","",J72)="",12,IF(OR(ISNUMBER(SEARCH("Transactional",IF(J72="NOT AVAILABLE","",J72))),ISNUMBER(SEARCH("Commercial",IF(J72="NOT AVAILABLE","",J72)))),25,IF(ISNUMBER(SEARCH("Informational",IF(J72="NOT AVAILABLE","",J72))),10,IF(ISNUMBER(SEARCH("Navigational",IF(J72="NOT AVAILABLE","",J72))),0,12))))</f>
        <v/>
      </c>
      <c r="Q72">
        <f>IF(ISNUMBER(F72),MIN(30,ROUND(30*LOG10(F72+1)/4,1)),0)</f>
        <v/>
      </c>
      <c r="R72">
        <f>IF(ISNUMBER(G72),ROUND(25*(100-G72)/100,1),12.5)</f>
        <v/>
      </c>
      <c r="S72" t="n">
        <v>20</v>
      </c>
      <c r="T72">
        <f>ROUND(P72+Q72+R72+S72,0)</f>
        <v/>
      </c>
      <c r="U72" s="5" t="inlineStr">
        <is>
          <t>digitalma.ma #3 https://digitalma.ma/ | elevenmedia.ma #5 https://elevenmedia.ma/ | energiedin.com #22 https://www.energiedin.com/agence-digitale-casablanca/ | void.ma #6 https://void.ma/publications/agence-communication-digitale-casablanca-maroc/</t>
        </is>
      </c>
      <c r="V72" s="5" t="inlineStr">
        <is>
          <t>NOT RECOMMENDED /web-development-company/casablanca</t>
        </is>
      </c>
    </row>
    <row r="73">
      <c r="A73" t="inlineStr">
        <is>
          <t>K0071</t>
        </is>
      </c>
      <c r="B73" t="inlineStr">
        <is>
          <t>agence marketing digital</t>
        </is>
      </c>
      <c r="C73" t="inlineStr">
        <is>
          <t>Morocco</t>
        </is>
      </c>
      <c r="D73" t="inlineStr">
        <is>
          <t>ma</t>
        </is>
      </c>
      <c r="E73" t="inlineStr">
        <is>
          <t>fr</t>
        </is>
      </c>
      <c r="F73" t="n">
        <v>590</v>
      </c>
      <c r="G73" t="n">
        <v>51</v>
      </c>
      <c r="H73" t="n">
        <v>0.72</v>
      </c>
      <c r="I73" t="n">
        <v>0.17</v>
      </c>
      <c r="J73" t="inlineStr">
        <is>
          <t>Commercial</t>
        </is>
      </c>
      <c r="K73" t="inlineStr">
        <is>
          <t>NOT AVAILABLE (report not requested)</t>
        </is>
      </c>
      <c r="L73" t="inlineStr">
        <is>
          <t>stable (calc.)</t>
        </is>
      </c>
      <c r="M73" t="inlineStr">
        <is>
          <t>MEASURED</t>
        </is>
      </c>
      <c r="N73" s="5" t="inlineStr">
        <is>
          <t>Semrush resource_organic (competitor digitalma.ma)</t>
        </is>
      </c>
      <c r="O73" t="inlineStr">
        <is>
          <t>2026-10-30</t>
        </is>
      </c>
      <c r="P73">
        <f>IF(IF(J73="NOT AVAILABLE","",J73)="",12,IF(OR(ISNUMBER(SEARCH("Transactional",IF(J73="NOT AVAILABLE","",J73))),ISNUMBER(SEARCH("Commercial",IF(J73="NOT AVAILABLE","",J73)))),25,IF(ISNUMBER(SEARCH("Informational",IF(J73="NOT AVAILABLE","",J73))),10,IF(ISNUMBER(SEARCH("Navigational",IF(J73="NOT AVAILABLE","",J73))),0,12))))</f>
        <v/>
      </c>
      <c r="Q73">
        <f>IF(ISNUMBER(F73),MIN(30,ROUND(30*LOG10(F73+1)/4,1)),0)</f>
        <v/>
      </c>
      <c r="R73">
        <f>IF(ISNUMBER(G73),ROUND(25*(100-G73)/100,1),12.5)</f>
        <v/>
      </c>
      <c r="S73" t="n">
        <v>20</v>
      </c>
      <c r="T73">
        <f>ROUND(P73+Q73+R73+S73,0)</f>
        <v/>
      </c>
      <c r="U73" s="5" t="inlineStr">
        <is>
          <t>digitalma.ma #4 https://digitalma.ma/ | elevenmedia.ma #19 https://elevenmedia.ma/ | elevenmedia.ma #73 https://elevenmedia.ma/services/digital-marketing | rhillane.com #1 https://rhillane.com/</t>
        </is>
      </c>
      <c r="V73" s="5" t="inlineStr"/>
    </row>
    <row r="74">
      <c r="A74" t="inlineStr">
        <is>
          <t>K0072</t>
        </is>
      </c>
      <c r="B74" t="inlineStr">
        <is>
          <t>buy domain</t>
        </is>
      </c>
      <c r="C74" t="inlineStr">
        <is>
          <t>Morocco</t>
        </is>
      </c>
      <c r="D74" t="inlineStr">
        <is>
          <t>ma</t>
        </is>
      </c>
      <c r="E74" t="inlineStr">
        <is>
          <t>fr</t>
        </is>
      </c>
      <c r="F74" t="n">
        <v>590</v>
      </c>
      <c r="G74" t="n">
        <v>67</v>
      </c>
      <c r="H74" t="n">
        <v>0.86</v>
      </c>
      <c r="I74" t="n">
        <v>0.75</v>
      </c>
      <c r="J74" t="inlineStr">
        <is>
          <t>Informational</t>
        </is>
      </c>
      <c r="K74" t="inlineStr">
        <is>
          <t>NOT AVAILABLE (report not requested)</t>
        </is>
      </c>
      <c r="L74" t="inlineStr">
        <is>
          <t>stable (calc.)</t>
        </is>
      </c>
      <c r="M74" t="inlineStr">
        <is>
          <t>MEASURED</t>
        </is>
      </c>
      <c r="N74" s="5" t="inlineStr">
        <is>
          <t>Semrush resource_organic (competitor hostino.ma)</t>
        </is>
      </c>
      <c r="O74" t="inlineStr">
        <is>
          <t>2026-10-30</t>
        </is>
      </c>
      <c r="P74">
        <f>IF(IF(J74="NOT AVAILABLE","",J74)="",12,IF(OR(ISNUMBER(SEARCH("Transactional",IF(J74="NOT AVAILABLE","",J74))),ISNUMBER(SEARCH("Commercial",IF(J74="NOT AVAILABLE","",J74)))),25,IF(ISNUMBER(SEARCH("Informational",IF(J74="NOT AVAILABLE","",J74))),10,IF(ISNUMBER(SEARCH("Navigational",IF(J74="NOT AVAILABLE","",J74))),0,12))))</f>
        <v/>
      </c>
      <c r="Q74">
        <f>IF(ISNUMBER(F74),MIN(30,ROUND(30*LOG10(F74+1)/4,1)),0)</f>
        <v/>
      </c>
      <c r="R74">
        <f>IF(ISNUMBER(G74),ROUND(25*(100-G74)/100,1),12.5)</f>
        <v/>
      </c>
      <c r="S74" t="n">
        <v>20</v>
      </c>
      <c r="T74">
        <f>ROUND(P74+Q74+R74+S74,0)</f>
        <v/>
      </c>
      <c r="U74" s="5" t="inlineStr">
        <is>
          <t>hostino.ma #33 https://www.hostino.ma/en/ma-domain-name/ | vala.ma #46 https://www.vala.ma/domaine</t>
        </is>
      </c>
      <c r="V74" s="5" t="inlineStr"/>
    </row>
    <row r="75">
      <c r="A75" t="inlineStr">
        <is>
          <t>K0073</t>
        </is>
      </c>
      <c r="B75" t="inlineStr">
        <is>
          <t>casa aménagement</t>
        </is>
      </c>
      <c r="C75" t="inlineStr">
        <is>
          <t>Morocco</t>
        </is>
      </c>
      <c r="D75" t="inlineStr">
        <is>
          <t>ma</t>
        </is>
      </c>
      <c r="E75" t="inlineStr">
        <is>
          <t>fr</t>
        </is>
      </c>
      <c r="F75" t="n">
        <v>590</v>
      </c>
      <c r="G75" t="n">
        <v>18</v>
      </c>
      <c r="H75" t="n">
        <v>0</v>
      </c>
      <c r="I75" t="n">
        <v>0.02</v>
      </c>
      <c r="J75" t="inlineStr">
        <is>
          <t>Navigational</t>
        </is>
      </c>
      <c r="K75" t="inlineStr">
        <is>
          <t>NOT AVAILABLE (report not requested)</t>
        </is>
      </c>
      <c r="L75" t="inlineStr">
        <is>
          <t>declining (calc.)</t>
        </is>
      </c>
      <c r="M75" t="inlineStr">
        <is>
          <t>MEASURED</t>
        </is>
      </c>
      <c r="N75" s="5" t="inlineStr">
        <is>
          <t>Semrush resource_organic (competitor elevenmedia.ma)</t>
        </is>
      </c>
      <c r="O75" t="inlineStr">
        <is>
          <t>2026-10-30</t>
        </is>
      </c>
      <c r="P75">
        <f>IF(IF(J75="NOT AVAILABLE","",J75)="",12,IF(OR(ISNUMBER(SEARCH("Transactional",IF(J75="NOT AVAILABLE","",J75))),ISNUMBER(SEARCH("Commercial",IF(J75="NOT AVAILABLE","",J75)))),25,IF(ISNUMBER(SEARCH("Informational",IF(J75="NOT AVAILABLE","",J75))),10,IF(ISNUMBER(SEARCH("Navigational",IF(J75="NOT AVAILABLE","",J75))),0,12))))</f>
        <v/>
      </c>
      <c r="Q75">
        <f>IF(ISNUMBER(F75),MIN(30,ROUND(30*LOG10(F75+1)/4,1)),0)</f>
        <v/>
      </c>
      <c r="R75">
        <f>IF(ISNUMBER(G75),ROUND(25*(100-G75)/100,1),12.5)</f>
        <v/>
      </c>
      <c r="S75" t="n">
        <v>20</v>
      </c>
      <c r="T75">
        <f>ROUND(P75+Q75+R75+S75,0)</f>
        <v/>
      </c>
      <c r="U75" s="5" t="inlineStr">
        <is>
          <t>elevenmedia.ma #8 https://elevenmedia.ma/projets/casamenagement</t>
        </is>
      </c>
      <c r="V75" s="5" t="inlineStr"/>
    </row>
    <row r="76">
      <c r="A76" t="inlineStr">
        <is>
          <t>K0074</t>
        </is>
      </c>
      <c r="B76" t="inlineStr">
        <is>
          <t>contacter nous</t>
        </is>
      </c>
      <c r="C76" t="inlineStr">
        <is>
          <t>Morocco</t>
        </is>
      </c>
      <c r="D76" t="inlineStr">
        <is>
          <t>ma</t>
        </is>
      </c>
      <c r="E76" t="inlineStr">
        <is>
          <t>fr</t>
        </is>
      </c>
      <c r="F76" t="n">
        <v>590</v>
      </c>
      <c r="G76" t="n">
        <v>7</v>
      </c>
      <c r="H76" t="n">
        <v>0</v>
      </c>
      <c r="I76" t="n">
        <v>0.33</v>
      </c>
      <c r="J76" t="inlineStr">
        <is>
          <t>Informational</t>
        </is>
      </c>
      <c r="K76" t="inlineStr">
        <is>
          <t>NOT AVAILABLE (report not requested)</t>
        </is>
      </c>
      <c r="L76" t="inlineStr">
        <is>
          <t>declining (calc.)</t>
        </is>
      </c>
      <c r="M76" t="inlineStr">
        <is>
          <t>MEASURED</t>
        </is>
      </c>
      <c r="N76" s="5" t="inlineStr">
        <is>
          <t>Semrush resource_organic (competitor website.ma)</t>
        </is>
      </c>
      <c r="O76" t="inlineStr">
        <is>
          <t>2026-10-30</t>
        </is>
      </c>
      <c r="P76">
        <f>IF(IF(J76="NOT AVAILABLE","",J76)="",12,IF(OR(ISNUMBER(SEARCH("Transactional",IF(J76="NOT AVAILABLE","",J76))),ISNUMBER(SEARCH("Commercial",IF(J76="NOT AVAILABLE","",J76)))),25,IF(ISNUMBER(SEARCH("Informational",IF(J76="NOT AVAILABLE","",J76))),10,IF(ISNUMBER(SEARCH("Navigational",IF(J76="NOT AVAILABLE","",J76))),0,12))))</f>
        <v/>
      </c>
      <c r="Q76">
        <f>IF(ISNUMBER(F76),MIN(30,ROUND(30*LOG10(F76+1)/4,1)),0)</f>
        <v/>
      </c>
      <c r="R76">
        <f>IF(ISNUMBER(G76),ROUND(25*(100-G76)/100,1),12.5)</f>
        <v/>
      </c>
      <c r="S76" t="n">
        <v>20</v>
      </c>
      <c r="T76">
        <f>ROUND(P76+Q76+R76+S76,0)</f>
        <v/>
      </c>
      <c r="U76" s="5" t="inlineStr">
        <is>
          <t>website.ma #24 https://www.website.ma/contact/</t>
        </is>
      </c>
      <c r="V76" s="5" t="inlineStr"/>
    </row>
    <row r="77">
      <c r="A77" t="inlineStr">
        <is>
          <t>K0075</t>
        </is>
      </c>
      <c r="B77" t="inlineStr">
        <is>
          <t>creation site web marrakech</t>
        </is>
      </c>
      <c r="C77" t="inlineStr">
        <is>
          <t>Morocco</t>
        </is>
      </c>
      <c r="D77" t="inlineStr">
        <is>
          <t>ma</t>
        </is>
      </c>
      <c r="E77" t="inlineStr">
        <is>
          <t>fr</t>
        </is>
      </c>
      <c r="F77" t="n">
        <v>590</v>
      </c>
      <c r="G77" t="n">
        <v>19</v>
      </c>
      <c r="H77" t="n">
        <v>0.58</v>
      </c>
      <c r="I77" t="n">
        <v>0.1</v>
      </c>
      <c r="J77" t="inlineStr">
        <is>
          <t>Commercial</t>
        </is>
      </c>
      <c r="K77" t="inlineStr">
        <is>
          <t>NOT AVAILABLE (report not requested)</t>
        </is>
      </c>
      <c r="L77" t="inlineStr">
        <is>
          <t>declining (calc.)</t>
        </is>
      </c>
      <c r="M77" t="inlineStr">
        <is>
          <t>MEASURED</t>
        </is>
      </c>
      <c r="N77" s="5" t="inlineStr">
        <is>
          <t>Semrush phrase_these (live, this session)</t>
        </is>
      </c>
      <c r="O77" t="inlineStr">
        <is>
          <t>2026-10-30</t>
        </is>
      </c>
      <c r="P77">
        <f>IF(IF(J77="NOT AVAILABLE","",J77)="",12,IF(OR(ISNUMBER(SEARCH("Transactional",IF(J77="NOT AVAILABLE","",J77))),ISNUMBER(SEARCH("Commercial",IF(J77="NOT AVAILABLE","",J77)))),25,IF(ISNUMBER(SEARCH("Informational",IF(J77="NOT AVAILABLE","",J77))),10,IF(ISNUMBER(SEARCH("Navigational",IF(J77="NOT AVAILABLE","",J77))),0,12))))</f>
        <v/>
      </c>
      <c r="Q77">
        <f>IF(ISNUMBER(F77),MIN(30,ROUND(30*LOG10(F77+1)/4,1)),0)</f>
        <v/>
      </c>
      <c r="R77">
        <f>IF(ISNUMBER(G77),ROUND(25*(100-G77)/100,1),12.5)</f>
        <v/>
      </c>
      <c r="S77" t="n">
        <v>20</v>
      </c>
      <c r="T77">
        <f>ROUND(P77+Q77+R77+S77,0)</f>
        <v/>
      </c>
      <c r="U77" s="5" t="inlineStr">
        <is>
          <t>energiedin.com #13 https://www.energiedin.com/creation-site-web-marrakech/ | energiedin.com #35 https://www.energiedin.com/agence-web-marrakech/ | urikacloud.com #5 https://urikacloud.com/agence-creation-site-web-marrakech.htm | websuccess.ma #7 https://websuccess.ma/villes/agence-web-marrakech</t>
        </is>
      </c>
      <c r="V77" s="5" t="inlineStr">
        <is>
          <t>SECONDARY /web-development-company/marrakech</t>
        </is>
      </c>
    </row>
    <row r="78">
      <c r="A78" t="inlineStr">
        <is>
          <t>K0076</t>
        </is>
      </c>
      <c r="B78" t="inlineStr">
        <is>
          <t>création site web marrakech</t>
        </is>
      </c>
      <c r="C78" t="inlineStr">
        <is>
          <t>Morocco</t>
        </is>
      </c>
      <c r="D78" t="inlineStr">
        <is>
          <t>ma</t>
        </is>
      </c>
      <c r="E78" t="inlineStr">
        <is>
          <t>fr</t>
        </is>
      </c>
      <c r="F78" t="n">
        <v>590</v>
      </c>
      <c r="G78" t="n">
        <v>19</v>
      </c>
      <c r="H78" t="n">
        <v>0.58</v>
      </c>
      <c r="I78" t="n">
        <v>0.1</v>
      </c>
      <c r="J78" t="inlineStr">
        <is>
          <t>Commercial</t>
        </is>
      </c>
      <c r="K78" t="inlineStr">
        <is>
          <t>NOT AVAILABLE (report not requested)</t>
        </is>
      </c>
      <c r="L78" t="inlineStr">
        <is>
          <t>declining (calc.)</t>
        </is>
      </c>
      <c r="M78" t="inlineStr">
        <is>
          <t>MEASURED</t>
        </is>
      </c>
      <c r="N78" s="5" t="inlineStr">
        <is>
          <t>Semrush phrase_these (live, this session)</t>
        </is>
      </c>
      <c r="O78" t="inlineStr">
        <is>
          <t>2026-10-30</t>
        </is>
      </c>
      <c r="P78">
        <f>IF(IF(J78="NOT AVAILABLE","",J78)="",12,IF(OR(ISNUMBER(SEARCH("Transactional",IF(J78="NOT AVAILABLE","",J78))),ISNUMBER(SEARCH("Commercial",IF(J78="NOT AVAILABLE","",J78)))),25,IF(ISNUMBER(SEARCH("Informational",IF(J78="NOT AVAILABLE","",J78))),10,IF(ISNUMBER(SEARCH("Navigational",IF(J78="NOT AVAILABLE","",J78))),0,12))))</f>
        <v/>
      </c>
      <c r="Q78">
        <f>IF(ISNUMBER(F78),MIN(30,ROUND(30*LOG10(F78+1)/4,1)),0)</f>
        <v/>
      </c>
      <c r="R78">
        <f>IF(ISNUMBER(G78),ROUND(25*(100-G78)/100,1),12.5)</f>
        <v/>
      </c>
      <c r="S78" t="n">
        <v>20</v>
      </c>
      <c r="T78">
        <f>ROUND(P78+Q78+R78+S78,0)</f>
        <v/>
      </c>
      <c r="U78" s="5" t="inlineStr"/>
      <c r="V78" s="5" t="inlineStr">
        <is>
          <t>PRIMARY /web-development-company/marrakech</t>
        </is>
      </c>
    </row>
    <row r="79">
      <c r="A79" t="inlineStr">
        <is>
          <t>K0077</t>
        </is>
      </c>
      <c r="B79" t="inlineStr">
        <is>
          <t>json viewer</t>
        </is>
      </c>
      <c r="C79" t="inlineStr">
        <is>
          <t>Morocco</t>
        </is>
      </c>
      <c r="D79" t="inlineStr">
        <is>
          <t>ma</t>
        </is>
      </c>
      <c r="E79" t="inlineStr">
        <is>
          <t>fr</t>
        </is>
      </c>
      <c r="F79" t="n">
        <v>590</v>
      </c>
      <c r="G79" t="n">
        <v>75</v>
      </c>
      <c r="H79" t="n">
        <v>0</v>
      </c>
      <c r="I79" t="n">
        <v>0.33</v>
      </c>
      <c r="J79" t="inlineStr">
        <is>
          <t>Informational</t>
        </is>
      </c>
      <c r="K79" t="inlineStr">
        <is>
          <t>NOT AVAILABLE (report not requested)</t>
        </is>
      </c>
      <c r="L79" t="inlineStr">
        <is>
          <t>declining (calc.)</t>
        </is>
      </c>
      <c r="M79" t="inlineStr">
        <is>
          <t>MEASURED</t>
        </is>
      </c>
      <c r="N79" s="5" t="inlineStr">
        <is>
          <t>Semrush phrase_these (live, this session)</t>
        </is>
      </c>
      <c r="O79" t="inlineStr">
        <is>
          <t>2026-10-30</t>
        </is>
      </c>
      <c r="P79">
        <f>IF(IF(J79="NOT AVAILABLE","",J79)="",12,IF(OR(ISNUMBER(SEARCH("Transactional",IF(J79="NOT AVAILABLE","",J79))),ISNUMBER(SEARCH("Commercial",IF(J79="NOT AVAILABLE","",J79)))),25,IF(ISNUMBER(SEARCH("Informational",IF(J79="NOT AVAILABLE","",J79))),10,IF(ISNUMBER(SEARCH("Navigational",IF(J79="NOT AVAILABLE","",J79))),0,12))))</f>
        <v/>
      </c>
      <c r="Q79">
        <f>IF(ISNUMBER(F79),MIN(30,ROUND(30*LOG10(F79+1)/4,1)),0)</f>
        <v/>
      </c>
      <c r="R79">
        <f>IF(ISNUMBER(G79),ROUND(25*(100-G79)/100,1),12.5)</f>
        <v/>
      </c>
      <c r="S79" t="n">
        <v>20</v>
      </c>
      <c r="T79">
        <f>ROUND(P79+Q79+R79+S79,0)</f>
        <v/>
      </c>
      <c r="U79" s="5" t="inlineStr"/>
      <c r="V79" s="5" t="inlineStr">
        <is>
          <t>SUPPORTING /tools/json-formatter</t>
        </is>
      </c>
    </row>
    <row r="80">
      <c r="A80" t="inlineStr">
        <is>
          <t>K0078</t>
        </is>
      </c>
      <c r="B80" t="inlineStr">
        <is>
          <t>lydec maroc</t>
        </is>
      </c>
      <c r="C80" t="inlineStr">
        <is>
          <t>Morocco</t>
        </is>
      </c>
      <c r="D80" t="inlineStr">
        <is>
          <t>ma</t>
        </is>
      </c>
      <c r="E80" t="inlineStr">
        <is>
          <t>fr</t>
        </is>
      </c>
      <c r="F80" t="n">
        <v>590</v>
      </c>
      <c r="G80" t="n">
        <v>24</v>
      </c>
      <c r="H80" t="n">
        <v>0</v>
      </c>
      <c r="I80" t="n">
        <v>0.08</v>
      </c>
      <c r="J80" t="inlineStr">
        <is>
          <t>Informational</t>
        </is>
      </c>
      <c r="K80" t="inlineStr">
        <is>
          <t>NOT AVAILABLE (report not requested)</t>
        </is>
      </c>
      <c r="L80" t="inlineStr">
        <is>
          <t>rising (calc.)</t>
        </is>
      </c>
      <c r="M80" t="inlineStr">
        <is>
          <t>MEASURED</t>
        </is>
      </c>
      <c r="N80" s="5" t="inlineStr">
        <is>
          <t>Semrush resource_organic (competitor elevenmedia.ma)</t>
        </is>
      </c>
      <c r="O80" t="inlineStr">
        <is>
          <t>2026-10-30</t>
        </is>
      </c>
      <c r="P80">
        <f>IF(IF(J80="NOT AVAILABLE","",J80)="",12,IF(OR(ISNUMBER(SEARCH("Transactional",IF(J80="NOT AVAILABLE","",J80))),ISNUMBER(SEARCH("Commercial",IF(J80="NOT AVAILABLE","",J80)))),25,IF(ISNUMBER(SEARCH("Informational",IF(J80="NOT AVAILABLE","",J80))),10,IF(ISNUMBER(SEARCH("Navigational",IF(J80="NOT AVAILABLE","",J80))),0,12))))</f>
        <v/>
      </c>
      <c r="Q80">
        <f>IF(ISNUMBER(F80),MIN(30,ROUND(30*LOG10(F80+1)/4,1)),0)</f>
        <v/>
      </c>
      <c r="R80">
        <f>IF(ISNUMBER(G80),ROUND(25*(100-G80)/100,1),12.5)</f>
        <v/>
      </c>
      <c r="S80" t="n">
        <v>20</v>
      </c>
      <c r="T80">
        <f>ROUND(P80+Q80+R80+S80,0)</f>
        <v/>
      </c>
      <c r="U80" s="5" t="inlineStr">
        <is>
          <t>elevenmedia.ma #10 https://elevenmedia.ma/projets/lydec</t>
        </is>
      </c>
      <c r="V80" s="5" t="inlineStr"/>
    </row>
    <row r="81">
      <c r="A81" t="inlineStr">
        <is>
          <t>K0079</t>
        </is>
      </c>
      <c r="B81" t="inlineStr">
        <is>
          <t>photographe professionnel</t>
        </is>
      </c>
      <c r="C81" t="inlineStr">
        <is>
          <t>Morocco</t>
        </is>
      </c>
      <c r="D81" t="inlineStr">
        <is>
          <t>ma</t>
        </is>
      </c>
      <c r="E81" t="inlineStr">
        <is>
          <t>fr</t>
        </is>
      </c>
      <c r="F81" t="n">
        <v>590</v>
      </c>
      <c r="G81" t="n">
        <v>19</v>
      </c>
      <c r="H81" t="n">
        <v>0.32</v>
      </c>
      <c r="I81" t="n">
        <v>0.12</v>
      </c>
      <c r="J81" t="inlineStr">
        <is>
          <t>Transactional</t>
        </is>
      </c>
      <c r="K81" t="inlineStr">
        <is>
          <t>NOT AVAILABLE (report not requested)</t>
        </is>
      </c>
      <c r="L81" t="inlineStr">
        <is>
          <t>stable (calc.)</t>
        </is>
      </c>
      <c r="M81" t="inlineStr">
        <is>
          <t>MEASURED</t>
        </is>
      </c>
      <c r="N81" s="5" t="inlineStr">
        <is>
          <t>Semrush resource_organic (competitor urikacloud.com)</t>
        </is>
      </c>
      <c r="O81" t="inlineStr">
        <is>
          <t>2026-10-30</t>
        </is>
      </c>
      <c r="P81">
        <f>IF(IF(J81="NOT AVAILABLE","",J81)="",12,IF(OR(ISNUMBER(SEARCH("Transactional",IF(J81="NOT AVAILABLE","",J81))),ISNUMBER(SEARCH("Commercial",IF(J81="NOT AVAILABLE","",J81)))),25,IF(ISNUMBER(SEARCH("Informational",IF(J81="NOT AVAILABLE","",J81))),10,IF(ISNUMBER(SEARCH("Navigational",IF(J81="NOT AVAILABLE","",J81))),0,12))))</f>
        <v/>
      </c>
      <c r="Q81">
        <f>IF(ISNUMBER(F81),MIN(30,ROUND(30*LOG10(F81+1)/4,1)),0)</f>
        <v/>
      </c>
      <c r="R81">
        <f>IF(ISNUMBER(G81),ROUND(25*(100-G81)/100,1),12.5)</f>
        <v/>
      </c>
      <c r="S81" t="n">
        <v>20</v>
      </c>
      <c r="T81">
        <f>ROUND(P81+Q81+R81+S81,0)</f>
        <v/>
      </c>
      <c r="U81" s="5" t="inlineStr">
        <is>
          <t>urikacloud.com #31 https://urikacloud.com/photographe-casablanca.htm</t>
        </is>
      </c>
      <c r="V81" s="5" t="inlineStr"/>
    </row>
    <row r="82">
      <c r="A82" t="inlineStr">
        <is>
          <t>K0080</t>
        </is>
      </c>
      <c r="B82" t="inlineStr">
        <is>
          <t>qr code gratuit</t>
        </is>
      </c>
      <c r="C82" t="inlineStr">
        <is>
          <t>Morocco</t>
        </is>
      </c>
      <c r="D82" t="inlineStr">
        <is>
          <t>ma</t>
        </is>
      </c>
      <c r="E82" t="inlineStr">
        <is>
          <t>fr</t>
        </is>
      </c>
      <c r="F82" t="n">
        <v>590</v>
      </c>
      <c r="G82" t="n">
        <v>47</v>
      </c>
      <c r="H82" t="n">
        <v>0.1</v>
      </c>
      <c r="I82" t="n">
        <v>0.58</v>
      </c>
      <c r="J82" t="inlineStr">
        <is>
          <t>Commercial</t>
        </is>
      </c>
      <c r="K82" t="inlineStr">
        <is>
          <t>NOT AVAILABLE (report not requested)</t>
        </is>
      </c>
      <c r="L82" t="inlineStr">
        <is>
          <t>stable (calc.)</t>
        </is>
      </c>
      <c r="M82" t="inlineStr">
        <is>
          <t>MEASURED</t>
        </is>
      </c>
      <c r="N82" s="5" t="inlineStr">
        <is>
          <t>Semrush phrase_these (live, this session)</t>
        </is>
      </c>
      <c r="O82" t="inlineStr">
        <is>
          <t>2026-10-30</t>
        </is>
      </c>
      <c r="P82">
        <f>IF(IF(J82="NOT AVAILABLE","",J82)="",12,IF(OR(ISNUMBER(SEARCH("Transactional",IF(J82="NOT AVAILABLE","",J82))),ISNUMBER(SEARCH("Commercial",IF(J82="NOT AVAILABLE","",J82)))),25,IF(ISNUMBER(SEARCH("Informational",IF(J82="NOT AVAILABLE","",J82))),10,IF(ISNUMBER(SEARCH("Navigational",IF(J82="NOT AVAILABLE","",J82))),0,12))))</f>
        <v/>
      </c>
      <c r="Q82">
        <f>IF(ISNUMBER(F82),MIN(30,ROUND(30*LOG10(F82+1)/4,1)),0)</f>
        <v/>
      </c>
      <c r="R82">
        <f>IF(ISNUMBER(G82),ROUND(25*(100-G82)/100,1),12.5)</f>
        <v/>
      </c>
      <c r="S82" t="n">
        <v>20</v>
      </c>
      <c r="T82">
        <f>ROUND(P82+Q82+R82+S82,0)</f>
        <v/>
      </c>
      <c r="U82" s="5" t="inlineStr"/>
      <c r="V82" s="5" t="inlineStr">
        <is>
          <t>SUPPORTING /tools/qr-code-generator</t>
        </is>
      </c>
    </row>
    <row r="83">
      <c r="A83" t="inlineStr">
        <is>
          <t>K0081</t>
        </is>
      </c>
      <c r="B83" t="inlineStr">
        <is>
          <t>sih</t>
        </is>
      </c>
      <c r="C83" t="inlineStr">
        <is>
          <t>Morocco</t>
        </is>
      </c>
      <c r="D83" t="inlineStr">
        <is>
          <t>ma</t>
        </is>
      </c>
      <c r="E83" t="inlineStr">
        <is>
          <t>fr</t>
        </is>
      </c>
      <c r="F83" t="n">
        <v>590</v>
      </c>
      <c r="G83" t="n">
        <v>14</v>
      </c>
      <c r="H83" t="n">
        <v>0</v>
      </c>
      <c r="I83" t="n">
        <v>0.1</v>
      </c>
      <c r="J83" t="inlineStr">
        <is>
          <t>Informational</t>
        </is>
      </c>
      <c r="K83" t="inlineStr">
        <is>
          <t>NOT AVAILABLE (report not requested)</t>
        </is>
      </c>
      <c r="L83" t="inlineStr">
        <is>
          <t>rising (calc.)</t>
        </is>
      </c>
      <c r="M83" t="inlineStr">
        <is>
          <t>MEASURED</t>
        </is>
      </c>
      <c r="N83" s="5" t="inlineStr">
        <is>
          <t>Semrush resource_organic (competitor void.ma)</t>
        </is>
      </c>
      <c r="O83" t="inlineStr">
        <is>
          <t>2026-10-30</t>
        </is>
      </c>
      <c r="P83">
        <f>IF(IF(J83="NOT AVAILABLE","",J83)="",12,IF(OR(ISNUMBER(SEARCH("Transactional",IF(J83="NOT AVAILABLE","",J83))),ISNUMBER(SEARCH("Commercial",IF(J83="NOT AVAILABLE","",J83)))),25,IF(ISNUMBER(SEARCH("Informational",IF(J83="NOT AVAILABLE","",J83))),10,IF(ISNUMBER(SEARCH("Navigational",IF(J83="NOT AVAILABLE","",J83))),0,12))))</f>
        <v/>
      </c>
      <c r="Q83">
        <f>IF(ISNUMBER(F83),MIN(30,ROUND(30*LOG10(F83+1)/4,1)),0)</f>
        <v/>
      </c>
      <c r="R83">
        <f>IF(ISNUMBER(G83),ROUND(25*(100-G83)/100,1),12.5)</f>
        <v/>
      </c>
      <c r="S83" t="n">
        <v>20</v>
      </c>
      <c r="T83">
        <f>ROUND(P83+Q83+R83+S83,0)</f>
        <v/>
      </c>
      <c r="U83" s="5" t="inlineStr">
        <is>
          <t>void.ma #9 https://void.ma/secteurs/systeme-information-hospitalier/</t>
        </is>
      </c>
      <c r="V83" s="5" t="inlineStr"/>
    </row>
    <row r="84">
      <c r="A84" t="inlineStr">
        <is>
          <t>K0082</t>
        </is>
      </c>
      <c r="B84" t="inlineStr">
        <is>
          <t>utm</t>
        </is>
      </c>
      <c r="C84" t="inlineStr">
        <is>
          <t>Morocco</t>
        </is>
      </c>
      <c r="D84" t="inlineStr">
        <is>
          <t>ma</t>
        </is>
      </c>
      <c r="E84" t="inlineStr">
        <is>
          <t>fr</t>
        </is>
      </c>
      <c r="F84" t="n">
        <v>590</v>
      </c>
      <c r="G84" t="n">
        <v>62</v>
      </c>
      <c r="H84" t="n">
        <v>0</v>
      </c>
      <c r="I84" t="n">
        <v>0.33</v>
      </c>
      <c r="J84" t="inlineStr">
        <is>
          <t>Navigational</t>
        </is>
      </c>
      <c r="K84" t="inlineStr">
        <is>
          <t>NOT AVAILABLE (report not requested)</t>
        </is>
      </c>
      <c r="L84" t="inlineStr">
        <is>
          <t>declining (calc.)</t>
        </is>
      </c>
      <c r="M84" t="inlineStr">
        <is>
          <t>MEASURED</t>
        </is>
      </c>
      <c r="N84" s="5" t="inlineStr">
        <is>
          <t>Semrush phrase_these (live, this session)</t>
        </is>
      </c>
      <c r="O84" t="inlineStr">
        <is>
          <t>2026-10-30</t>
        </is>
      </c>
      <c r="P84">
        <f>IF(IF(J84="NOT AVAILABLE","",J84)="",12,IF(OR(ISNUMBER(SEARCH("Transactional",IF(J84="NOT AVAILABLE","",J84))),ISNUMBER(SEARCH("Commercial",IF(J84="NOT AVAILABLE","",J84)))),25,IF(ISNUMBER(SEARCH("Informational",IF(J84="NOT AVAILABLE","",J84))),10,IF(ISNUMBER(SEARCH("Navigational",IF(J84="NOT AVAILABLE","",J84))),0,12))))</f>
        <v/>
      </c>
      <c r="Q84">
        <f>IF(ISNUMBER(F84),MIN(30,ROUND(30*LOG10(F84+1)/4,1)),0)</f>
        <v/>
      </c>
      <c r="R84">
        <f>IF(ISNUMBER(G84),ROUND(25*(100-G84)/100,1),12.5)</f>
        <v/>
      </c>
      <c r="S84" t="n">
        <v>20</v>
      </c>
      <c r="T84">
        <f>ROUND(P84+Q84+R84+S84,0)</f>
        <v/>
      </c>
      <c r="U84" s="5" t="inlineStr"/>
      <c r="V84" s="5" t="inlineStr">
        <is>
          <t>SUPPORTING /tools/utm-builder</t>
        </is>
      </c>
    </row>
    <row r="85">
      <c r="A85" t="inlineStr">
        <is>
          <t>K0083</t>
        </is>
      </c>
      <c r="B85" t="inlineStr">
        <is>
          <t>agence de communication à casablanca</t>
        </is>
      </c>
      <c r="C85" t="inlineStr">
        <is>
          <t>Morocco</t>
        </is>
      </c>
      <c r="D85" t="inlineStr">
        <is>
          <t>ma</t>
        </is>
      </c>
      <c r="E85" t="inlineStr">
        <is>
          <t>fr</t>
        </is>
      </c>
      <c r="F85" t="n">
        <v>480</v>
      </c>
      <c r="G85" t="n">
        <v>50</v>
      </c>
      <c r="H85" t="n">
        <v>0.38</v>
      </c>
      <c r="I85" t="n">
        <v>0.23</v>
      </c>
      <c r="J85" t="inlineStr">
        <is>
          <t>Commercial</t>
        </is>
      </c>
      <c r="K85" t="inlineStr">
        <is>
          <t>NOT AVAILABLE (report not requested)</t>
        </is>
      </c>
      <c r="L85" t="inlineStr">
        <is>
          <t>declining (calc.)</t>
        </is>
      </c>
      <c r="M85" t="inlineStr">
        <is>
          <t>MEASURED</t>
        </is>
      </c>
      <c r="N85" s="5" t="inlineStr">
        <is>
          <t>Semrush resource_organic (competitor digitalma.ma)</t>
        </is>
      </c>
      <c r="O85" t="inlineStr">
        <is>
          <t>2026-10-30</t>
        </is>
      </c>
      <c r="P85">
        <f>IF(IF(J85="NOT AVAILABLE","",J85)="",12,IF(OR(ISNUMBER(SEARCH("Transactional",IF(J85="NOT AVAILABLE","",J85))),ISNUMBER(SEARCH("Commercial",IF(J85="NOT AVAILABLE","",J85)))),25,IF(ISNUMBER(SEARCH("Informational",IF(J85="NOT AVAILABLE","",J85))),10,IF(ISNUMBER(SEARCH("Navigational",IF(J85="NOT AVAILABLE","",J85))),0,12))))</f>
        <v/>
      </c>
      <c r="Q85">
        <f>IF(ISNUMBER(F85),MIN(30,ROUND(30*LOG10(F85+1)/4,1)),0)</f>
        <v/>
      </c>
      <c r="R85">
        <f>IF(ISNUMBER(G85),ROUND(25*(100-G85)/100,1),12.5)</f>
        <v/>
      </c>
      <c r="S85" t="n">
        <v>20</v>
      </c>
      <c r="T85">
        <f>ROUND(P85+Q85+R85+S85,0)</f>
        <v/>
      </c>
      <c r="U85" s="5" t="inlineStr">
        <is>
          <t>digitalma.ma #7 https://digitalma.ma/ | digitalma.ma #11 https://digitalma.ma/ | elevenmedia.ma #28 https://elevenmedia.ma/agence | elevenmedia.ma #55 https://elevenmedia.ma/services/digital-marketing</t>
        </is>
      </c>
      <c r="V85" s="5" t="inlineStr"/>
    </row>
    <row r="86">
      <c r="A86" t="inlineStr">
        <is>
          <t>K0084</t>
        </is>
      </c>
      <c r="B86" t="inlineStr">
        <is>
          <t>agence de marketing</t>
        </is>
      </c>
      <c r="C86" t="inlineStr">
        <is>
          <t>Morocco</t>
        </is>
      </c>
      <c r="D86" t="inlineStr">
        <is>
          <t>ma</t>
        </is>
      </c>
      <c r="E86" t="inlineStr">
        <is>
          <t>fr</t>
        </is>
      </c>
      <c r="F86" t="n">
        <v>480</v>
      </c>
      <c r="G86" t="n">
        <v>47</v>
      </c>
      <c r="H86" t="n">
        <v>0.47</v>
      </c>
      <c r="I86" t="n">
        <v>0.09</v>
      </c>
      <c r="J86" t="inlineStr">
        <is>
          <t>Commercial</t>
        </is>
      </c>
      <c r="K86" t="inlineStr">
        <is>
          <t>NOT AVAILABLE (report not requested)</t>
        </is>
      </c>
      <c r="L86" t="inlineStr">
        <is>
          <t>rising (calc.)</t>
        </is>
      </c>
      <c r="M86" t="inlineStr">
        <is>
          <t>MEASURED</t>
        </is>
      </c>
      <c r="N86" s="5" t="inlineStr">
        <is>
          <t>Semrush resource_organic (competitor rhillane.com)</t>
        </is>
      </c>
      <c r="O86" t="inlineStr">
        <is>
          <t>2026-10-30</t>
        </is>
      </c>
      <c r="P86">
        <f>IF(IF(J86="NOT AVAILABLE","",J86)="",12,IF(OR(ISNUMBER(SEARCH("Transactional",IF(J86="NOT AVAILABLE","",J86))),ISNUMBER(SEARCH("Commercial",IF(J86="NOT AVAILABLE","",J86)))),25,IF(ISNUMBER(SEARCH("Informational",IF(J86="NOT AVAILABLE","",J86))),10,IF(ISNUMBER(SEARCH("Navigational",IF(J86="NOT AVAILABLE","",J86))),0,12))))</f>
        <v/>
      </c>
      <c r="Q86">
        <f>IF(ISNUMBER(F86),MIN(30,ROUND(30*LOG10(F86+1)/4,1)),0)</f>
        <v/>
      </c>
      <c r="R86">
        <f>IF(ISNUMBER(G86),ROUND(25*(100-G86)/100,1),12.5)</f>
        <v/>
      </c>
      <c r="S86" t="n">
        <v>20</v>
      </c>
      <c r="T86">
        <f>ROUND(P86+Q86+R86+S86,0)</f>
        <v/>
      </c>
      <c r="U86" s="5" t="inlineStr">
        <is>
          <t>rhillane.com #1 https://rhillane.com/</t>
        </is>
      </c>
      <c r="V86" s="5" t="inlineStr"/>
    </row>
    <row r="87">
      <c r="A87" t="inlineStr">
        <is>
          <t>K0085</t>
        </is>
      </c>
      <c r="B87" t="inlineStr">
        <is>
          <t>agence marketing</t>
        </is>
      </c>
      <c r="C87" t="inlineStr">
        <is>
          <t>Morocco</t>
        </is>
      </c>
      <c r="D87" t="inlineStr">
        <is>
          <t>ma</t>
        </is>
      </c>
      <c r="E87" t="inlineStr">
        <is>
          <t>fr</t>
        </is>
      </c>
      <c r="F87" t="n">
        <v>480</v>
      </c>
      <c r="G87" t="n">
        <v>47</v>
      </c>
      <c r="H87" t="n">
        <v>0.47</v>
      </c>
      <c r="I87" t="n">
        <v>0.1</v>
      </c>
      <c r="J87" t="inlineStr">
        <is>
          <t>Commercial</t>
        </is>
      </c>
      <c r="K87" t="inlineStr">
        <is>
          <t>NOT AVAILABLE (report not requested)</t>
        </is>
      </c>
      <c r="L87" t="inlineStr">
        <is>
          <t>stable (calc.)</t>
        </is>
      </c>
      <c r="M87" t="inlineStr">
        <is>
          <t>MEASURED</t>
        </is>
      </c>
      <c r="N87" s="5" t="inlineStr">
        <is>
          <t>Semrush resource_organic (competitor digitalma.ma)</t>
        </is>
      </c>
      <c r="O87" t="inlineStr">
        <is>
          <t>2026-10-30</t>
        </is>
      </c>
      <c r="P87">
        <f>IF(IF(J87="NOT AVAILABLE","",J87)="",12,IF(OR(ISNUMBER(SEARCH("Transactional",IF(J87="NOT AVAILABLE","",J87))),ISNUMBER(SEARCH("Commercial",IF(J87="NOT AVAILABLE","",J87)))),25,IF(ISNUMBER(SEARCH("Informational",IF(J87="NOT AVAILABLE","",J87))),10,IF(ISNUMBER(SEARCH("Navigational",IF(J87="NOT AVAILABLE","",J87))),0,12))))</f>
        <v/>
      </c>
      <c r="Q87">
        <f>IF(ISNUMBER(F87),MIN(30,ROUND(30*LOG10(F87+1)/4,1)),0)</f>
        <v/>
      </c>
      <c r="R87">
        <f>IF(ISNUMBER(G87),ROUND(25*(100-G87)/100,1),12.5)</f>
        <v/>
      </c>
      <c r="S87" t="n">
        <v>20</v>
      </c>
      <c r="T87">
        <f>ROUND(P87+Q87+R87+S87,0)</f>
        <v/>
      </c>
      <c r="U87" s="5" t="inlineStr">
        <is>
          <t>digitalma.ma #11 https://digitalma.ma/ | elevenmedia.ma #13 https://elevenmedia.ma/ | rhillane.com #1 https://rhillane.com/ | void.ma #5 https://void.ma/publications/choisir-marketing-agency-digitale-maroc/</t>
        </is>
      </c>
      <c r="V87" s="5" t="inlineStr"/>
    </row>
    <row r="88">
      <c r="A88" t="inlineStr">
        <is>
          <t>K0086</t>
        </is>
      </c>
      <c r="B88" t="inlineStr">
        <is>
          <t>agence web</t>
        </is>
      </c>
      <c r="C88" t="inlineStr">
        <is>
          <t>Morocco</t>
        </is>
      </c>
      <c r="D88" t="inlineStr">
        <is>
          <t>ma</t>
        </is>
      </c>
      <c r="E88" t="inlineStr">
        <is>
          <t>fr</t>
        </is>
      </c>
      <c r="F88" t="n">
        <v>480</v>
      </c>
      <c r="G88" t="n">
        <v>51</v>
      </c>
      <c r="H88" t="n">
        <v>0.63</v>
      </c>
      <c r="I88" t="n">
        <v>0.12</v>
      </c>
      <c r="J88" t="inlineStr">
        <is>
          <t>Commercial</t>
        </is>
      </c>
      <c r="K88" t="inlineStr">
        <is>
          <t>NOT AVAILABLE (report not requested)</t>
        </is>
      </c>
      <c r="L88" t="inlineStr">
        <is>
          <t>stable (calc.)</t>
        </is>
      </c>
      <c r="M88" t="inlineStr">
        <is>
          <t>MEASURED</t>
        </is>
      </c>
      <c r="N88" s="5" t="inlineStr">
        <is>
          <t>Semrush phrase_these (live, this session)</t>
        </is>
      </c>
      <c r="O88" t="inlineStr">
        <is>
          <t>2026-10-30</t>
        </is>
      </c>
      <c r="P88">
        <f>IF(IF(J88="NOT AVAILABLE","",J88)="",12,IF(OR(ISNUMBER(SEARCH("Transactional",IF(J88="NOT AVAILABLE","",J88))),ISNUMBER(SEARCH("Commercial",IF(J88="NOT AVAILABLE","",J88)))),25,IF(ISNUMBER(SEARCH("Informational",IF(J88="NOT AVAILABLE","",J88))),10,IF(ISNUMBER(SEARCH("Navigational",IF(J88="NOT AVAILABLE","",J88))),0,12))))</f>
        <v/>
      </c>
      <c r="Q88">
        <f>IF(ISNUMBER(F88),MIN(30,ROUND(30*LOG10(F88+1)/4,1)),0)</f>
        <v/>
      </c>
      <c r="R88">
        <f>IF(ISNUMBER(G88),ROUND(25*(100-G88)/100,1),12.5)</f>
        <v/>
      </c>
      <c r="S88" t="n">
        <v>20</v>
      </c>
      <c r="T88">
        <f>ROUND(P88+Q88+R88+S88,0)</f>
        <v/>
      </c>
      <c r="U88" s="5" t="inlineStr">
        <is>
          <t>digitalma.ma #27 https://digitalma.ma/ | rhillane.com #2 https://rhillane.com/ | websuccess.ma #5 https://websuccess.ma/contact | websuccess.ma #75 https://websuccess.ma/villes/agence-web-casablanca</t>
        </is>
      </c>
      <c r="V88" s="5" t="inlineStr">
        <is>
          <t>SUPPORTING /</t>
        </is>
      </c>
    </row>
    <row r="89">
      <c r="A89" t="inlineStr">
        <is>
          <t>K0087</t>
        </is>
      </c>
      <c r="B89" t="inlineStr">
        <is>
          <t>agence web maroc</t>
        </is>
      </c>
      <c r="C89" t="inlineStr">
        <is>
          <t>Morocco</t>
        </is>
      </c>
      <c r="D89" t="inlineStr">
        <is>
          <t>ma</t>
        </is>
      </c>
      <c r="E89" t="inlineStr">
        <is>
          <t>fr</t>
        </is>
      </c>
      <c r="F89" t="n">
        <v>480</v>
      </c>
      <c r="G89" t="n">
        <v>53</v>
      </c>
      <c r="H89" t="n">
        <v>0.62</v>
      </c>
      <c r="I89" t="n">
        <v>0.12</v>
      </c>
      <c r="J89" t="inlineStr">
        <is>
          <t>Commercial</t>
        </is>
      </c>
      <c r="K89" t="inlineStr">
        <is>
          <t>NOT AVAILABLE (report not requested)</t>
        </is>
      </c>
      <c r="L89" t="inlineStr">
        <is>
          <t>stable (calc.)</t>
        </is>
      </c>
      <c r="M89" t="inlineStr">
        <is>
          <t>MEASURED</t>
        </is>
      </c>
      <c r="N89" s="5" t="inlineStr">
        <is>
          <t>Semrush phrase_these (live, this session)</t>
        </is>
      </c>
      <c r="O89" t="inlineStr">
        <is>
          <t>2026-10-30</t>
        </is>
      </c>
      <c r="P89">
        <f>IF(IF(J89="NOT AVAILABLE","",J89)="",12,IF(OR(ISNUMBER(SEARCH("Transactional",IF(J89="NOT AVAILABLE","",J89))),ISNUMBER(SEARCH("Commercial",IF(J89="NOT AVAILABLE","",J89)))),25,IF(ISNUMBER(SEARCH("Informational",IF(J89="NOT AVAILABLE","",J89))),10,IF(ISNUMBER(SEARCH("Navigational",IF(J89="NOT AVAILABLE","",J89))),0,12))))</f>
        <v/>
      </c>
      <c r="Q89">
        <f>IF(ISNUMBER(F89),MIN(30,ROUND(30*LOG10(F89+1)/4,1)),0)</f>
        <v/>
      </c>
      <c r="R89">
        <f>IF(ISNUMBER(G89),ROUND(25*(100-G89)/100,1),12.5)</f>
        <v/>
      </c>
      <c r="S89" t="n">
        <v>20</v>
      </c>
      <c r="T89">
        <f>ROUND(P89+Q89+R89+S89,0)</f>
        <v/>
      </c>
      <c r="U89" s="5" t="inlineStr">
        <is>
          <t>digitalma.ma #15 https://digitalma.ma/ | energiedin.com #5 https://www.energiedin.com/ | rhillane.com #1 https://rhillane.com/ | urikacloud.com #18 https://creation-site-web-maroc.urikacloud.com/</t>
        </is>
      </c>
      <c r="V89" s="5" t="inlineStr">
        <is>
          <t>SECONDARY /; NOT RECOMMENDED /contact; NOT RECOMMENDED /our-work; NOT RECOMMENDED /locations; NOT RECOMMENDED /web-development-company/worldwide</t>
        </is>
      </c>
    </row>
    <row r="90">
      <c r="A90" t="inlineStr">
        <is>
          <t>K0088</t>
        </is>
      </c>
      <c r="B90" t="inlineStr">
        <is>
          <t>compteur de mots</t>
        </is>
      </c>
      <c r="C90" t="inlineStr">
        <is>
          <t>Morocco</t>
        </is>
      </c>
      <c r="D90" t="inlineStr">
        <is>
          <t>ma</t>
        </is>
      </c>
      <c r="E90" t="inlineStr">
        <is>
          <t>fr</t>
        </is>
      </c>
      <c r="F90" t="n">
        <v>480</v>
      </c>
      <c r="G90" t="n">
        <v>32</v>
      </c>
      <c r="H90" t="n">
        <v>0.02</v>
      </c>
      <c r="I90" t="n">
        <v>0.19</v>
      </c>
      <c r="J90" t="inlineStr">
        <is>
          <t>Informational</t>
        </is>
      </c>
      <c r="K90" t="inlineStr">
        <is>
          <t>NOT AVAILABLE (report not requested)</t>
        </is>
      </c>
      <c r="L90" t="inlineStr">
        <is>
          <t>declining (calc.)</t>
        </is>
      </c>
      <c r="M90" t="inlineStr">
        <is>
          <t>MEASURED</t>
        </is>
      </c>
      <c r="N90" s="5" t="inlineStr">
        <is>
          <t>Semrush phrase_these (live, this session)</t>
        </is>
      </c>
      <c r="O90" t="inlineStr">
        <is>
          <t>2026-10-30</t>
        </is>
      </c>
      <c r="P90">
        <f>IF(IF(J90="NOT AVAILABLE","",J90)="",12,IF(OR(ISNUMBER(SEARCH("Transactional",IF(J90="NOT AVAILABLE","",J90))),ISNUMBER(SEARCH("Commercial",IF(J90="NOT AVAILABLE","",J90)))),25,IF(ISNUMBER(SEARCH("Informational",IF(J90="NOT AVAILABLE","",J90))),10,IF(ISNUMBER(SEARCH("Navigational",IF(J90="NOT AVAILABLE","",J90))),0,12))))</f>
        <v/>
      </c>
      <c r="Q90">
        <f>IF(ISNUMBER(F90),MIN(30,ROUND(30*LOG10(F90+1)/4,1)),0)</f>
        <v/>
      </c>
      <c r="R90">
        <f>IF(ISNUMBER(G90),ROUND(25*(100-G90)/100,1),12.5)</f>
        <v/>
      </c>
      <c r="S90" t="n">
        <v>20</v>
      </c>
      <c r="T90">
        <f>ROUND(P90+Q90+R90+S90,0)</f>
        <v/>
      </c>
      <c r="U90" s="5" t="inlineStr"/>
      <c r="V90" s="5" t="inlineStr">
        <is>
          <t>SECONDARY /tools/word-counter</t>
        </is>
      </c>
    </row>
    <row r="91">
      <c r="A91" t="inlineStr">
        <is>
          <t>K0089</t>
        </is>
      </c>
      <c r="B91" t="inlineStr">
        <is>
          <t>digit</t>
        </is>
      </c>
      <c r="C91" t="inlineStr">
        <is>
          <t>Morocco</t>
        </is>
      </c>
      <c r="D91" t="inlineStr">
        <is>
          <t>ma</t>
        </is>
      </c>
      <c r="E91" t="inlineStr">
        <is>
          <t>fr</t>
        </is>
      </c>
      <c r="F91" t="n">
        <v>480</v>
      </c>
      <c r="G91" t="n">
        <v>14</v>
      </c>
      <c r="H91" t="n">
        <v>0</v>
      </c>
      <c r="I91" t="n">
        <v>0</v>
      </c>
      <c r="J91" t="inlineStr">
        <is>
          <t>Informational</t>
        </is>
      </c>
      <c r="K91" t="inlineStr">
        <is>
          <t>NOT AVAILABLE (report not requested)</t>
        </is>
      </c>
      <c r="L91" t="inlineStr">
        <is>
          <t>rising (calc.)</t>
        </is>
      </c>
      <c r="M91" t="inlineStr">
        <is>
          <t>MEASURED</t>
        </is>
      </c>
      <c r="N91" s="5" t="inlineStr">
        <is>
          <t>Semrush resource_organic (competitor digitalma.ma)</t>
        </is>
      </c>
      <c r="O91" t="inlineStr">
        <is>
          <t>2026-10-30</t>
        </is>
      </c>
      <c r="P91">
        <f>IF(IF(J91="NOT AVAILABLE","",J91)="",12,IF(OR(ISNUMBER(SEARCH("Transactional",IF(J91="NOT AVAILABLE","",J91))),ISNUMBER(SEARCH("Commercial",IF(J91="NOT AVAILABLE","",J91)))),25,IF(ISNUMBER(SEARCH("Informational",IF(J91="NOT AVAILABLE","",J91))),10,IF(ISNUMBER(SEARCH("Navigational",IF(J91="NOT AVAILABLE","",J91))),0,12))))</f>
        <v/>
      </c>
      <c r="Q91">
        <f>IF(ISNUMBER(F91),MIN(30,ROUND(30*LOG10(F91+1)/4,1)),0)</f>
        <v/>
      </c>
      <c r="R91">
        <f>IF(ISNUMBER(G91),ROUND(25*(100-G91)/100,1),12.5)</f>
        <v/>
      </c>
      <c r="S91" t="n">
        <v>20</v>
      </c>
      <c r="T91">
        <f>ROUND(P91+Q91+R91+S91,0)</f>
        <v/>
      </c>
      <c r="U91" s="5" t="inlineStr">
        <is>
          <t>digitalma.ma #70 https://digitalma.ma/</t>
        </is>
      </c>
      <c r="V91" s="5" t="inlineStr"/>
    </row>
    <row r="92">
      <c r="A92" t="inlineStr">
        <is>
          <t>K0090</t>
        </is>
      </c>
      <c r="B92" t="inlineStr">
        <is>
          <t>démarche marketing</t>
        </is>
      </c>
      <c r="C92" t="inlineStr">
        <is>
          <t>Morocco</t>
        </is>
      </c>
      <c r="D92" t="inlineStr">
        <is>
          <t>ma</t>
        </is>
      </c>
      <c r="E92" t="inlineStr">
        <is>
          <t>fr</t>
        </is>
      </c>
      <c r="F92" t="n">
        <v>480</v>
      </c>
      <c r="G92" t="n">
        <v>20</v>
      </c>
      <c r="H92" t="n">
        <v>0.41</v>
      </c>
      <c r="I92" t="n">
        <v>0.11</v>
      </c>
      <c r="J92" t="inlineStr">
        <is>
          <t>Informational</t>
        </is>
      </c>
      <c r="K92" t="inlineStr">
        <is>
          <t>NOT AVAILABLE (report not requested)</t>
        </is>
      </c>
      <c r="L92" t="inlineStr">
        <is>
          <t>declining (calc.)</t>
        </is>
      </c>
      <c r="M92" t="inlineStr">
        <is>
          <t>MEASURED</t>
        </is>
      </c>
      <c r="N92" s="5" t="inlineStr">
        <is>
          <t>Semrush resource_organic (competitor rhillane.com)</t>
        </is>
      </c>
      <c r="O92" t="inlineStr">
        <is>
          <t>2026-10-30</t>
        </is>
      </c>
      <c r="P92">
        <f>IF(IF(J92="NOT AVAILABLE","",J92)="",12,IF(OR(ISNUMBER(SEARCH("Transactional",IF(J92="NOT AVAILABLE","",J92))),ISNUMBER(SEARCH("Commercial",IF(J92="NOT AVAILABLE","",J92)))),25,IF(ISNUMBER(SEARCH("Informational",IF(J92="NOT AVAILABLE","",J92))),10,IF(ISNUMBER(SEARCH("Navigational",IF(J92="NOT AVAILABLE","",J92))),0,12))))</f>
        <v/>
      </c>
      <c r="Q92">
        <f>IF(ISNUMBER(F92),MIN(30,ROUND(30*LOG10(F92+1)/4,1)),0)</f>
        <v/>
      </c>
      <c r="R92">
        <f>IF(ISNUMBER(G92),ROUND(25*(100-G92)/100,1),12.5)</f>
        <v/>
      </c>
      <c r="S92" t="n">
        <v>20</v>
      </c>
      <c r="T92">
        <f>ROUND(P92+Q92+R92+S92,0)</f>
        <v/>
      </c>
      <c r="U92" s="5" t="inlineStr">
        <is>
          <t>rhillane.com #4 https://rhillane.com/blog/demarche-marketing/</t>
        </is>
      </c>
      <c r="V92" s="5" t="inlineStr"/>
    </row>
    <row r="93">
      <c r="A93" t="inlineStr">
        <is>
          <t>K0091</t>
        </is>
      </c>
      <c r="B93" t="inlineStr">
        <is>
          <t>e commerce au maroc</t>
        </is>
      </c>
      <c r="C93" t="inlineStr">
        <is>
          <t>Morocco</t>
        </is>
      </c>
      <c r="D93" t="inlineStr">
        <is>
          <t>ma</t>
        </is>
      </c>
      <c r="E93" t="inlineStr">
        <is>
          <t>fr</t>
        </is>
      </c>
      <c r="F93" t="n">
        <v>480</v>
      </c>
      <c r="G93" t="n">
        <v>11</v>
      </c>
      <c r="H93" t="n">
        <v>0.28</v>
      </c>
      <c r="I93" t="n">
        <v>0.33</v>
      </c>
      <c r="J93" t="inlineStr">
        <is>
          <t>Informational</t>
        </is>
      </c>
      <c r="K93" t="inlineStr">
        <is>
          <t>NOT AVAILABLE (report not requested)</t>
        </is>
      </c>
      <c r="L93" t="inlineStr">
        <is>
          <t>declining (calc.)</t>
        </is>
      </c>
      <c r="M93" t="inlineStr">
        <is>
          <t>MEASURED</t>
        </is>
      </c>
      <c r="N93" s="5" t="inlineStr">
        <is>
          <t>Semrush resource_organic (competitor energiedin.com)</t>
        </is>
      </c>
      <c r="O93" t="inlineStr">
        <is>
          <t>2026-10-30</t>
        </is>
      </c>
      <c r="P93">
        <f>IF(IF(J93="NOT AVAILABLE","",J93)="",12,IF(OR(ISNUMBER(SEARCH("Transactional",IF(J93="NOT AVAILABLE","",J93))),ISNUMBER(SEARCH("Commercial",IF(J93="NOT AVAILABLE","",J93)))),25,IF(ISNUMBER(SEARCH("Informational",IF(J93="NOT AVAILABLE","",J93))),10,IF(ISNUMBER(SEARCH("Navigational",IF(J93="NOT AVAILABLE","",J93))),0,12))))</f>
        <v/>
      </c>
      <c r="Q93">
        <f>IF(ISNUMBER(F93),MIN(30,ROUND(30*LOG10(F93+1)/4,1)),0)</f>
        <v/>
      </c>
      <c r="R93">
        <f>IF(ISNUMBER(G93),ROUND(25*(100-G93)/100,1),12.5)</f>
        <v/>
      </c>
      <c r="S93" t="n">
        <v>20</v>
      </c>
      <c r="T93">
        <f>ROUND(P93+Q93+R93+S93,0)</f>
        <v/>
      </c>
      <c r="U93" s="5" t="inlineStr">
        <is>
          <t>energiedin.com #9 https://www.energiedin.com/blog/e-commerce-maroc/ | rhillane.com #2 https://rhillane.com/blog/e-commerce-maroc/ | vala.ma #13 https://www.vala.ma/blog/post/e-commerce-maroc | websuccess.ma #3 https://websuccess.ma/blog/e-commerce-maroc-guide-complet</t>
        </is>
      </c>
      <c r="V93" s="5" t="inlineStr"/>
    </row>
    <row r="94">
      <c r="A94" t="inlineStr">
        <is>
          <t>K0092</t>
        </is>
      </c>
      <c r="B94" t="inlineStr">
        <is>
          <t>e commerce maroc</t>
        </is>
      </c>
      <c r="C94" t="inlineStr">
        <is>
          <t>Morocco</t>
        </is>
      </c>
      <c r="D94" t="inlineStr">
        <is>
          <t>ma</t>
        </is>
      </c>
      <c r="E94" t="inlineStr">
        <is>
          <t>fr</t>
        </is>
      </c>
      <c r="F94" t="n">
        <v>480</v>
      </c>
      <c r="G94" t="n">
        <v>11</v>
      </c>
      <c r="H94" t="n">
        <v>0.16</v>
      </c>
      <c r="I94" t="n">
        <v>0.21</v>
      </c>
      <c r="J94" t="inlineStr">
        <is>
          <t>Informational</t>
        </is>
      </c>
      <c r="K94" t="inlineStr">
        <is>
          <t>NOT AVAILABLE (report not requested)</t>
        </is>
      </c>
      <c r="L94" t="inlineStr">
        <is>
          <t>stable (calc.)</t>
        </is>
      </c>
      <c r="M94" t="inlineStr">
        <is>
          <t>MEASURED</t>
        </is>
      </c>
      <c r="N94" s="5" t="inlineStr">
        <is>
          <t>Semrush resource_organic (competitor energiedin.com)</t>
        </is>
      </c>
      <c r="O94" t="inlineStr">
        <is>
          <t>2026-10-30</t>
        </is>
      </c>
      <c r="P94">
        <f>IF(IF(J94="NOT AVAILABLE","",J94)="",12,IF(OR(ISNUMBER(SEARCH("Transactional",IF(J94="NOT AVAILABLE","",J94))),ISNUMBER(SEARCH("Commercial",IF(J94="NOT AVAILABLE","",J94)))),25,IF(ISNUMBER(SEARCH("Informational",IF(J94="NOT AVAILABLE","",J94))),10,IF(ISNUMBER(SEARCH("Navigational",IF(J94="NOT AVAILABLE","",J94))),0,12))))</f>
        <v/>
      </c>
      <c r="Q94">
        <f>IF(ISNUMBER(F94),MIN(30,ROUND(30*LOG10(F94+1)/4,1)),0)</f>
        <v/>
      </c>
      <c r="R94">
        <f>IF(ISNUMBER(G94),ROUND(25*(100-G94)/100,1),12.5)</f>
        <v/>
      </c>
      <c r="S94" t="n">
        <v>20</v>
      </c>
      <c r="T94">
        <f>ROUND(P94+Q94+R94+S94,0)</f>
        <v/>
      </c>
      <c r="U94" s="5" t="inlineStr">
        <is>
          <t>energiedin.com #20 https://www.energiedin.com/blog/e-commerce-maroc/ | websuccess.ma #5 https://websuccess.ma/blog/e-commerce-maroc-guide-complet</t>
        </is>
      </c>
      <c r="V94" s="5" t="inlineStr"/>
    </row>
    <row r="95">
      <c r="A95" t="inlineStr">
        <is>
          <t>K0093</t>
        </is>
      </c>
      <c r="B95" t="inlineStr">
        <is>
          <t>e-commerce maroc</t>
        </is>
      </c>
      <c r="C95" t="inlineStr">
        <is>
          <t>Morocco</t>
        </is>
      </c>
      <c r="D95" t="inlineStr">
        <is>
          <t>ma</t>
        </is>
      </c>
      <c r="E95" t="inlineStr">
        <is>
          <t>fr</t>
        </is>
      </c>
      <c r="F95" t="n">
        <v>480</v>
      </c>
      <c r="G95" t="n">
        <v>11</v>
      </c>
      <c r="H95" t="n">
        <v>0.16</v>
      </c>
      <c r="I95" t="n">
        <v>0.21</v>
      </c>
      <c r="J95" t="inlineStr">
        <is>
          <t>Informational</t>
        </is>
      </c>
      <c r="K95" t="inlineStr">
        <is>
          <t>NOT AVAILABLE (report not requested)</t>
        </is>
      </c>
      <c r="L95" t="inlineStr">
        <is>
          <t>declining (calc.)</t>
        </is>
      </c>
      <c r="M95" t="inlineStr">
        <is>
          <t>MEASURED</t>
        </is>
      </c>
      <c r="N95" s="5" t="inlineStr">
        <is>
          <t>Semrush phrase_these (live, this session)</t>
        </is>
      </c>
      <c r="O95" t="inlineStr">
        <is>
          <t>2026-10-30</t>
        </is>
      </c>
      <c r="P95">
        <f>IF(IF(J95="NOT AVAILABLE","",J95)="",12,IF(OR(ISNUMBER(SEARCH("Transactional",IF(J95="NOT AVAILABLE","",J95))),ISNUMBER(SEARCH("Commercial",IF(J95="NOT AVAILABLE","",J95)))),25,IF(ISNUMBER(SEARCH("Informational",IF(J95="NOT AVAILABLE","",J95))),10,IF(ISNUMBER(SEARCH("Navigational",IF(J95="NOT AVAILABLE","",J95))),0,12))))</f>
        <v/>
      </c>
      <c r="Q95">
        <f>IF(ISNUMBER(F95),MIN(30,ROUND(30*LOG10(F95+1)/4,1)),0)</f>
        <v/>
      </c>
      <c r="R95">
        <f>IF(ISNUMBER(G95),ROUND(25*(100-G95)/100,1),12.5)</f>
        <v/>
      </c>
      <c r="S95" t="n">
        <v>20</v>
      </c>
      <c r="T95">
        <f>ROUND(P95+Q95+R95+S95,0)</f>
        <v/>
      </c>
      <c r="U95" s="5" t="inlineStr"/>
      <c r="V95" s="5" t="inlineStr">
        <is>
          <t>OPTIONAL /services/ecommerce-website-development</t>
        </is>
      </c>
    </row>
    <row r="96">
      <c r="A96" t="inlineStr">
        <is>
          <t>K0094</t>
        </is>
      </c>
      <c r="B96" t="inlineStr">
        <is>
          <t>expert comptable casablanca</t>
        </is>
      </c>
      <c r="C96" t="inlineStr">
        <is>
          <t>Morocco</t>
        </is>
      </c>
      <c r="D96" t="inlineStr">
        <is>
          <t>ma</t>
        </is>
      </c>
      <c r="E96" t="inlineStr">
        <is>
          <t>fr</t>
        </is>
      </c>
      <c r="F96" t="n">
        <v>480</v>
      </c>
      <c r="G96" t="n">
        <v>37</v>
      </c>
      <c r="H96" t="n">
        <v>0.34</v>
      </c>
      <c r="I96" t="n">
        <v>0.29</v>
      </c>
      <c r="J96" t="inlineStr">
        <is>
          <t>Commercial</t>
        </is>
      </c>
      <c r="K96" t="inlineStr">
        <is>
          <t>NOT AVAILABLE (report not requested)</t>
        </is>
      </c>
      <c r="L96" t="inlineStr">
        <is>
          <t>stable (calc.)</t>
        </is>
      </c>
      <c r="M96" t="inlineStr">
        <is>
          <t>MEASURED</t>
        </is>
      </c>
      <c r="N96" s="5" t="inlineStr">
        <is>
          <t>Semrush resource_organic (competitor urikacloud.com)</t>
        </is>
      </c>
      <c r="O96" t="inlineStr">
        <is>
          <t>2026-10-30</t>
        </is>
      </c>
      <c r="P96">
        <f>IF(IF(J96="NOT AVAILABLE","",J96)="",12,IF(OR(ISNUMBER(SEARCH("Transactional",IF(J96="NOT AVAILABLE","",J96))),ISNUMBER(SEARCH("Commercial",IF(J96="NOT AVAILABLE","",J96)))),25,IF(ISNUMBER(SEARCH("Informational",IF(J96="NOT AVAILABLE","",J96))),10,IF(ISNUMBER(SEARCH("Navigational",IF(J96="NOT AVAILABLE","",J96))),0,12))))</f>
        <v/>
      </c>
      <c r="Q96">
        <f>IF(ISNUMBER(F96),MIN(30,ROUND(30*LOG10(F96+1)/4,1)),0)</f>
        <v/>
      </c>
      <c r="R96">
        <f>IF(ISNUMBER(G96),ROUND(25*(100-G96)/100,1),12.5)</f>
        <v/>
      </c>
      <c r="S96" t="n">
        <v>20</v>
      </c>
      <c r="T96">
        <f>ROUND(P96+Q96+R96+S96,0)</f>
        <v/>
      </c>
      <c r="U96" s="5" t="inlineStr">
        <is>
          <t>urikacloud.com #36 https://urikacloud.com/comptable-casablanca-maroc.htm</t>
        </is>
      </c>
      <c r="V96" s="5" t="inlineStr"/>
    </row>
    <row r="97">
      <c r="A97" t="inlineStr">
        <is>
          <t>K0095</t>
        </is>
      </c>
      <c r="B97" t="inlineStr">
        <is>
          <t>hebergement web maroc</t>
        </is>
      </c>
      <c r="C97" t="inlineStr">
        <is>
          <t>Morocco</t>
        </is>
      </c>
      <c r="D97" t="inlineStr">
        <is>
          <t>ma</t>
        </is>
      </c>
      <c r="E97" t="inlineStr">
        <is>
          <t>fr</t>
        </is>
      </c>
      <c r="F97" t="n">
        <v>480</v>
      </c>
      <c r="G97" t="n">
        <v>62</v>
      </c>
      <c r="H97" t="n">
        <v>0.75</v>
      </c>
      <c r="I97" t="n">
        <v>0.31</v>
      </c>
      <c r="J97" t="inlineStr">
        <is>
          <t>NOT AVAILABLE</t>
        </is>
      </c>
      <c r="K97" t="inlineStr">
        <is>
          <t>NOT AVAILABLE (report not requested)</t>
        </is>
      </c>
      <c r="L97" t="inlineStr">
        <is>
          <t>declining (calc.)</t>
        </is>
      </c>
      <c r="M97" t="inlineStr">
        <is>
          <t>MEASURED</t>
        </is>
      </c>
      <c r="N97" s="5" t="inlineStr">
        <is>
          <t>Semrush resource_organic (competitor hostino.ma)</t>
        </is>
      </c>
      <c r="O97" t="inlineStr">
        <is>
          <t>2026-10-30</t>
        </is>
      </c>
      <c r="P97">
        <f>IF(IF(J97="NOT AVAILABLE","",J97)="",12,IF(OR(ISNUMBER(SEARCH("Transactional",IF(J97="NOT AVAILABLE","",J97))),ISNUMBER(SEARCH("Commercial",IF(J97="NOT AVAILABLE","",J97)))),25,IF(ISNUMBER(SEARCH("Informational",IF(J97="NOT AVAILABLE","",J97))),10,IF(ISNUMBER(SEARCH("Navigational",IF(J97="NOT AVAILABLE","",J97))),0,12))))</f>
        <v/>
      </c>
      <c r="Q97">
        <f>IF(ISNUMBER(F97),MIN(30,ROUND(30*LOG10(F97+1)/4,1)),0)</f>
        <v/>
      </c>
      <c r="R97">
        <f>IF(ISNUMBER(G97),ROUND(25*(100-G97)/100,1),12.5)</f>
        <v/>
      </c>
      <c r="S97" t="n">
        <v>20</v>
      </c>
      <c r="T97">
        <f>ROUND(P97+Q97+R97+S97,0)</f>
        <v/>
      </c>
      <c r="U97" s="5" t="inlineStr">
        <is>
          <t>hostino.ma #5 https://www.hostino.ma/ | vala.ma #6 https://www.vala.ma/blog/post/pourquoi-choisir-un-hebergement-web-au-maroc-5-criteres-pour-bien-choisir</t>
        </is>
      </c>
      <c r="V97" s="5" t="inlineStr"/>
    </row>
    <row r="98">
      <c r="A98" t="inlineStr">
        <is>
          <t>K0096</t>
        </is>
      </c>
      <c r="B98" t="inlineStr">
        <is>
          <t>hébergement web maroc</t>
        </is>
      </c>
      <c r="C98" t="inlineStr">
        <is>
          <t>Morocco</t>
        </is>
      </c>
      <c r="D98" t="inlineStr">
        <is>
          <t>ma</t>
        </is>
      </c>
      <c r="E98" t="inlineStr">
        <is>
          <t>fr</t>
        </is>
      </c>
      <c r="F98" t="n">
        <v>480</v>
      </c>
      <c r="G98" t="n">
        <v>55</v>
      </c>
      <c r="H98" t="n">
        <v>0.75</v>
      </c>
      <c r="I98" t="n">
        <v>0.31</v>
      </c>
      <c r="J98" t="inlineStr">
        <is>
          <t>NOT AVAILABLE</t>
        </is>
      </c>
      <c r="K98" t="inlineStr">
        <is>
          <t>NOT AVAILABLE (report not requested)</t>
        </is>
      </c>
      <c r="L98" t="inlineStr">
        <is>
          <t>declining (calc.)</t>
        </is>
      </c>
      <c r="M98" t="inlineStr">
        <is>
          <t>MEASURED</t>
        </is>
      </c>
      <c r="N98" s="5" t="inlineStr">
        <is>
          <t>Semrush resource_organic (competitor hostino.ma)</t>
        </is>
      </c>
      <c r="O98" t="inlineStr">
        <is>
          <t>2026-10-30</t>
        </is>
      </c>
      <c r="P98">
        <f>IF(IF(J98="NOT AVAILABLE","",J98)="",12,IF(OR(ISNUMBER(SEARCH("Transactional",IF(J98="NOT AVAILABLE","",J98))),ISNUMBER(SEARCH("Commercial",IF(J98="NOT AVAILABLE","",J98)))),25,IF(ISNUMBER(SEARCH("Informational",IF(J98="NOT AVAILABLE","",J98))),10,IF(ISNUMBER(SEARCH("Navigational",IF(J98="NOT AVAILABLE","",J98))),0,12))))</f>
        <v/>
      </c>
      <c r="Q98">
        <f>IF(ISNUMBER(F98),MIN(30,ROUND(30*LOG10(F98+1)/4,1)),0)</f>
        <v/>
      </c>
      <c r="R98">
        <f>IF(ISNUMBER(G98),ROUND(25*(100-G98)/100,1),12.5)</f>
        <v/>
      </c>
      <c r="S98" t="n">
        <v>20</v>
      </c>
      <c r="T98">
        <f>ROUND(P98+Q98+R98+S98,0)</f>
        <v/>
      </c>
      <c r="U98" s="5" t="inlineStr">
        <is>
          <t>hostino.ma #5 https://www.hostino.ma/ | vala.ma #7 https://www.vala.ma/blog/post/pourquoi-choisir-un-hebergement-web-au-maroc-5-criteres-pour-bien-choisir</t>
        </is>
      </c>
      <c r="V98" s="5" t="inlineStr"/>
    </row>
    <row r="99">
      <c r="A99" t="inlineStr">
        <is>
          <t>K0097</t>
        </is>
      </c>
      <c r="B99" t="inlineStr">
        <is>
          <t>média marketing</t>
        </is>
      </c>
      <c r="C99" t="inlineStr">
        <is>
          <t>Morocco</t>
        </is>
      </c>
      <c r="D99" t="inlineStr">
        <is>
          <t>ma</t>
        </is>
      </c>
      <c r="E99" t="inlineStr">
        <is>
          <t>fr</t>
        </is>
      </c>
      <c r="F99" t="n">
        <v>480</v>
      </c>
      <c r="G99" t="n">
        <v>60</v>
      </c>
      <c r="H99" t="n">
        <v>0.43</v>
      </c>
      <c r="I99" t="n">
        <v>0.16</v>
      </c>
      <c r="J99" t="inlineStr">
        <is>
          <t>Navigational</t>
        </is>
      </c>
      <c r="K99" t="inlineStr">
        <is>
          <t>NOT AVAILABLE (report not requested)</t>
        </is>
      </c>
      <c r="L99" t="inlineStr">
        <is>
          <t>rising (calc.)</t>
        </is>
      </c>
      <c r="M99" t="inlineStr">
        <is>
          <t>MEASURED</t>
        </is>
      </c>
      <c r="N99" s="5" t="inlineStr">
        <is>
          <t>Semrush resource_organic (competitor digitalma.ma)</t>
        </is>
      </c>
      <c r="O99" t="inlineStr">
        <is>
          <t>2026-10-30</t>
        </is>
      </c>
      <c r="P99">
        <f>IF(IF(J99="NOT AVAILABLE","",J99)="",12,IF(OR(ISNUMBER(SEARCH("Transactional",IF(J99="NOT AVAILABLE","",J99))),ISNUMBER(SEARCH("Commercial",IF(J99="NOT AVAILABLE","",J99)))),25,IF(ISNUMBER(SEARCH("Informational",IF(J99="NOT AVAILABLE","",J99))),10,IF(ISNUMBER(SEARCH("Navigational",IF(J99="NOT AVAILABLE","",J99))),0,12))))</f>
        <v/>
      </c>
      <c r="Q99">
        <f>IF(ISNUMBER(F99),MIN(30,ROUND(30*LOG10(F99+1)/4,1)),0)</f>
        <v/>
      </c>
      <c r="R99">
        <f>IF(ISNUMBER(G99),ROUND(25*(100-G99)/100,1),12.5)</f>
        <v/>
      </c>
      <c r="S99" t="n">
        <v>20</v>
      </c>
      <c r="T99">
        <f>ROUND(P99+Q99+R99+S99,0)</f>
        <v/>
      </c>
      <c r="U99" s="5" t="inlineStr">
        <is>
          <t>digitalma.ma #25 https://digitalma.ma/</t>
        </is>
      </c>
      <c r="V99" s="5" t="inlineStr"/>
    </row>
    <row r="100">
      <c r="A100" t="inlineStr">
        <is>
          <t>K0098</t>
        </is>
      </c>
      <c r="B100" t="inlineStr">
        <is>
          <t>vala bleu</t>
        </is>
      </c>
      <c r="C100" t="inlineStr">
        <is>
          <t>Morocco</t>
        </is>
      </c>
      <c r="D100" t="inlineStr">
        <is>
          <t>ma</t>
        </is>
      </c>
      <c r="E100" t="inlineStr">
        <is>
          <t>fr</t>
        </is>
      </c>
      <c r="F100" t="n">
        <v>480</v>
      </c>
      <c r="G100" t="n">
        <v>32</v>
      </c>
      <c r="H100" t="n">
        <v>0</v>
      </c>
      <c r="I100" t="n">
        <v>0.03</v>
      </c>
      <c r="J100" t="inlineStr">
        <is>
          <t>Navigational</t>
        </is>
      </c>
      <c r="K100" t="inlineStr">
        <is>
          <t>NOT AVAILABLE (report not requested)</t>
        </is>
      </c>
      <c r="L100" t="inlineStr">
        <is>
          <t>rising (calc.)</t>
        </is>
      </c>
      <c r="M100" t="inlineStr">
        <is>
          <t>MEASURED</t>
        </is>
      </c>
      <c r="N100" s="5" t="inlineStr">
        <is>
          <t>Semrush resource_organic (competitor vala.ma)</t>
        </is>
      </c>
      <c r="O100" t="inlineStr">
        <is>
          <t>2026-10-30</t>
        </is>
      </c>
      <c r="P100">
        <f>IF(IF(J100="NOT AVAILABLE","",J100)="",12,IF(OR(ISNUMBER(SEARCH("Transactional",IF(J100="NOT AVAILABLE","",J100))),ISNUMBER(SEARCH("Commercial",IF(J100="NOT AVAILABLE","",J100)))),25,IF(ISNUMBER(SEARCH("Informational",IF(J100="NOT AVAILABLE","",J100))),10,IF(ISNUMBER(SEARCH("Navigational",IF(J100="NOT AVAILABLE","",J100))),0,12))))</f>
        <v/>
      </c>
      <c r="Q100">
        <f>IF(ISNUMBER(F100),MIN(30,ROUND(30*LOG10(F100+1)/4,1)),0)</f>
        <v/>
      </c>
      <c r="R100">
        <f>IF(ISNUMBER(G100),ROUND(25*(100-G100)/100,1),12.5)</f>
        <v/>
      </c>
      <c r="S100" t="n">
        <v>20</v>
      </c>
      <c r="T100">
        <f>ROUND(P100+Q100+R100+S100,0)</f>
        <v/>
      </c>
      <c r="U100" s="5" t="inlineStr">
        <is>
          <t>vala.ma #1 https://www.vala.ma/</t>
        </is>
      </c>
      <c r="V100" s="5" t="inlineStr"/>
    </row>
    <row r="101">
      <c r="A101" t="inlineStr">
        <is>
          <t>K0099</t>
        </is>
      </c>
      <c r="B101" t="inlineStr">
        <is>
          <t>agence de communication rabat</t>
        </is>
      </c>
      <c r="C101" t="inlineStr">
        <is>
          <t>Morocco</t>
        </is>
      </c>
      <c r="D101" t="inlineStr">
        <is>
          <t>ma</t>
        </is>
      </c>
      <c r="E101" t="inlineStr">
        <is>
          <t>fr</t>
        </is>
      </c>
      <c r="F101" t="n">
        <v>390</v>
      </c>
      <c r="G101" t="n">
        <v>26</v>
      </c>
      <c r="H101" t="n">
        <v>0.92</v>
      </c>
      <c r="I101" t="n">
        <v>0.15</v>
      </c>
      <c r="J101" t="inlineStr">
        <is>
          <t>Commercial</t>
        </is>
      </c>
      <c r="K101" t="inlineStr">
        <is>
          <t>NOT AVAILABLE (report not requested)</t>
        </is>
      </c>
      <c r="L101" t="inlineStr">
        <is>
          <t>declining (calc.)</t>
        </is>
      </c>
      <c r="M101" t="inlineStr">
        <is>
          <t>MEASURED</t>
        </is>
      </c>
      <c r="N101" s="5" t="inlineStr">
        <is>
          <t>Semrush phrase_these (live, this session)</t>
        </is>
      </c>
      <c r="O101" t="inlineStr">
        <is>
          <t>2026-10-30</t>
        </is>
      </c>
      <c r="P101">
        <f>IF(IF(J101="NOT AVAILABLE","",J101)="",12,IF(OR(ISNUMBER(SEARCH("Transactional",IF(J101="NOT AVAILABLE","",J101))),ISNUMBER(SEARCH("Commercial",IF(J101="NOT AVAILABLE","",J101)))),25,IF(ISNUMBER(SEARCH("Informational",IF(J101="NOT AVAILABLE","",J101))),10,IF(ISNUMBER(SEARCH("Navigational",IF(J101="NOT AVAILABLE","",J101))),0,12))))</f>
        <v/>
      </c>
      <c r="Q101">
        <f>IF(ISNUMBER(F101),MIN(30,ROUND(30*LOG10(F101+1)/4,1)),0)</f>
        <v/>
      </c>
      <c r="R101">
        <f>IF(ISNUMBER(G101),ROUND(25*(100-G101)/100,1),12.5)</f>
        <v/>
      </c>
      <c r="S101" t="n">
        <v>20</v>
      </c>
      <c r="T101">
        <f>ROUND(P101+Q101+R101+S101,0)</f>
        <v/>
      </c>
      <c r="U101" s="5" t="inlineStr">
        <is>
          <t>energiedin.com #11 https://www.energiedin.com/agence-digitale-rabat/ | rhillane.com #4 https://rhillane.com/agence-de-communication-rabat/</t>
        </is>
      </c>
      <c r="V101" s="5" t="inlineStr">
        <is>
          <t>NOT RECOMMENDED /web-development-company/rabat</t>
        </is>
      </c>
    </row>
    <row r="102">
      <c r="A102" t="inlineStr">
        <is>
          <t>K0100</t>
        </is>
      </c>
      <c r="B102" t="inlineStr">
        <is>
          <t>agence marketing digital casablanca</t>
        </is>
      </c>
      <c r="C102" t="inlineStr">
        <is>
          <t>Morocco</t>
        </is>
      </c>
      <c r="D102" t="inlineStr">
        <is>
          <t>ma</t>
        </is>
      </c>
      <c r="E102" t="inlineStr">
        <is>
          <t>fr</t>
        </is>
      </c>
      <c r="F102" t="n">
        <v>390</v>
      </c>
      <c r="G102" t="n">
        <v>39</v>
      </c>
      <c r="H102" t="n">
        <v>0.62</v>
      </c>
      <c r="I102" t="n">
        <v>0.16</v>
      </c>
      <c r="J102" t="inlineStr">
        <is>
          <t>Commercial</t>
        </is>
      </c>
      <c r="K102" t="inlineStr">
        <is>
          <t>NOT AVAILABLE (report not requested)</t>
        </is>
      </c>
      <c r="L102" t="inlineStr">
        <is>
          <t>stable (calc.)</t>
        </is>
      </c>
      <c r="M102" t="inlineStr">
        <is>
          <t>MEASURED</t>
        </is>
      </c>
      <c r="N102" s="5" t="inlineStr">
        <is>
          <t>Semrush phrase_these (live, this session)</t>
        </is>
      </c>
      <c r="O102" t="inlineStr">
        <is>
          <t>2026-10-30</t>
        </is>
      </c>
      <c r="P102">
        <f>IF(IF(J102="NOT AVAILABLE","",J102)="",12,IF(OR(ISNUMBER(SEARCH("Transactional",IF(J102="NOT AVAILABLE","",J102))),ISNUMBER(SEARCH("Commercial",IF(J102="NOT AVAILABLE","",J102)))),25,IF(ISNUMBER(SEARCH("Informational",IF(J102="NOT AVAILABLE","",J102))),10,IF(ISNUMBER(SEARCH("Navigational",IF(J102="NOT AVAILABLE","",J102))),0,12))))</f>
        <v/>
      </c>
      <c r="Q102">
        <f>IF(ISNUMBER(F102),MIN(30,ROUND(30*LOG10(F102+1)/4,1)),0)</f>
        <v/>
      </c>
      <c r="R102">
        <f>IF(ISNUMBER(G102),ROUND(25*(100-G102)/100,1),12.5)</f>
        <v/>
      </c>
      <c r="S102" t="n">
        <v>20</v>
      </c>
      <c r="T102">
        <f>ROUND(P102+Q102+R102+S102,0)</f>
        <v/>
      </c>
      <c r="U102" s="5" t="inlineStr">
        <is>
          <t>digitalma.ma #11 https://digitalma.ma/ | elevenmedia.ma #1 https://elevenmedia.ma/ | rhillane.com #5 https://rhillane.com/ | void.ma #6 https://void.ma/services/agence-marketing-digital-maroc/</t>
        </is>
      </c>
      <c r="V102" s="5" t="inlineStr">
        <is>
          <t>NOT RECOMMENDED /web-development-company/casablanca</t>
        </is>
      </c>
    </row>
    <row r="103">
      <c r="A103" t="inlineStr">
        <is>
          <t>K0101</t>
        </is>
      </c>
      <c r="B103" t="inlineStr">
        <is>
          <t>communication au maroc</t>
        </is>
      </c>
      <c r="C103" t="inlineStr">
        <is>
          <t>Morocco</t>
        </is>
      </c>
      <c r="D103" t="inlineStr">
        <is>
          <t>ma</t>
        </is>
      </c>
      <c r="E103" t="inlineStr">
        <is>
          <t>fr</t>
        </is>
      </c>
      <c r="F103" t="n">
        <v>390</v>
      </c>
      <c r="G103" t="n">
        <v>9</v>
      </c>
      <c r="H103" t="n">
        <v>0</v>
      </c>
      <c r="I103" t="n">
        <v>0.05</v>
      </c>
      <c r="J103" t="inlineStr">
        <is>
          <t>Informational</t>
        </is>
      </c>
      <c r="K103" t="inlineStr">
        <is>
          <t>NOT AVAILABLE (report not requested)</t>
        </is>
      </c>
      <c r="L103" t="inlineStr">
        <is>
          <t>declining (calc.)</t>
        </is>
      </c>
      <c r="M103" t="inlineStr">
        <is>
          <t>MEASURED</t>
        </is>
      </c>
      <c r="N103" s="5" t="inlineStr">
        <is>
          <t>Semrush resource_organic (competitor digitalma.ma)</t>
        </is>
      </c>
      <c r="O103" t="inlineStr">
        <is>
          <t>2026-10-30</t>
        </is>
      </c>
      <c r="P103">
        <f>IF(IF(J103="NOT AVAILABLE","",J103)="",12,IF(OR(ISNUMBER(SEARCH("Transactional",IF(J103="NOT AVAILABLE","",J103))),ISNUMBER(SEARCH("Commercial",IF(J103="NOT AVAILABLE","",J103)))),25,IF(ISNUMBER(SEARCH("Informational",IF(J103="NOT AVAILABLE","",J103))),10,IF(ISNUMBER(SEARCH("Navigational",IF(J103="NOT AVAILABLE","",J103))),0,12))))</f>
        <v/>
      </c>
      <c r="Q103">
        <f>IF(ISNUMBER(F103),MIN(30,ROUND(30*LOG10(F103+1)/4,1)),0)</f>
        <v/>
      </c>
      <c r="R103">
        <f>IF(ISNUMBER(G103),ROUND(25*(100-G103)/100,1),12.5)</f>
        <v/>
      </c>
      <c r="S103" t="n">
        <v>20</v>
      </c>
      <c r="T103">
        <f>ROUND(P103+Q103+R103+S103,0)</f>
        <v/>
      </c>
      <c r="U103" s="5" t="inlineStr">
        <is>
          <t>digitalma.ma #20 https://digitalma.ma/ | elevenmedia.ma #28 https://elevenmedia.ma/ | elevenmedia.ma #30 https://elevenmedia.ma/ | rhillane.com #5 https://rhillane.com/</t>
        </is>
      </c>
      <c r="V103" s="5" t="inlineStr"/>
    </row>
    <row r="104">
      <c r="A104" t="inlineStr">
        <is>
          <t>K0102</t>
        </is>
      </c>
      <c r="B104" t="inlineStr">
        <is>
          <t>comptable maroc</t>
        </is>
      </c>
      <c r="C104" t="inlineStr">
        <is>
          <t>Morocco</t>
        </is>
      </c>
      <c r="D104" t="inlineStr">
        <is>
          <t>ma</t>
        </is>
      </c>
      <c r="E104" t="inlineStr">
        <is>
          <t>fr</t>
        </is>
      </c>
      <c r="F104" t="n">
        <v>390</v>
      </c>
      <c r="G104" t="n">
        <v>20</v>
      </c>
      <c r="H104" t="n">
        <v>0.31</v>
      </c>
      <c r="I104" t="n">
        <v>0.05</v>
      </c>
      <c r="J104" t="inlineStr">
        <is>
          <t>Commercial</t>
        </is>
      </c>
      <c r="K104" t="inlineStr">
        <is>
          <t>NOT AVAILABLE (report not requested)</t>
        </is>
      </c>
      <c r="L104" t="inlineStr">
        <is>
          <t>stable (calc.)</t>
        </is>
      </c>
      <c r="M104" t="inlineStr">
        <is>
          <t>MEASURED</t>
        </is>
      </c>
      <c r="N104" s="5" t="inlineStr">
        <is>
          <t>Semrush resource_organic (competitor urikacloud.com)</t>
        </is>
      </c>
      <c r="O104" t="inlineStr">
        <is>
          <t>2026-10-30</t>
        </is>
      </c>
      <c r="P104">
        <f>IF(IF(J104="NOT AVAILABLE","",J104)="",12,IF(OR(ISNUMBER(SEARCH("Transactional",IF(J104="NOT AVAILABLE","",J104))),ISNUMBER(SEARCH("Commercial",IF(J104="NOT AVAILABLE","",J104)))),25,IF(ISNUMBER(SEARCH("Informational",IF(J104="NOT AVAILABLE","",J104))),10,IF(ISNUMBER(SEARCH("Navigational",IF(J104="NOT AVAILABLE","",J104))),0,12))))</f>
        <v/>
      </c>
      <c r="Q104">
        <f>IF(ISNUMBER(F104),MIN(30,ROUND(30*LOG10(F104+1)/4,1)),0)</f>
        <v/>
      </c>
      <c r="R104">
        <f>IF(ISNUMBER(G104),ROUND(25*(100-G104)/100,1),12.5)</f>
        <v/>
      </c>
      <c r="S104" t="n">
        <v>20</v>
      </c>
      <c r="T104">
        <f>ROUND(P104+Q104+R104+S104,0)</f>
        <v/>
      </c>
      <c r="U104" s="5" t="inlineStr">
        <is>
          <t>urikacloud.com #38 https://urikacloud.com/comptable-casablanca-maroc.htm</t>
        </is>
      </c>
      <c r="V104" s="5" t="inlineStr"/>
    </row>
    <row r="105">
      <c r="A105" t="inlineStr">
        <is>
          <t>K0103</t>
        </is>
      </c>
      <c r="B105" t="inlineStr">
        <is>
          <t>creation site web</t>
        </is>
      </c>
      <c r="C105" t="inlineStr">
        <is>
          <t>Morocco</t>
        </is>
      </c>
      <c r="D105" t="inlineStr">
        <is>
          <t>ma</t>
        </is>
      </c>
      <c r="E105" t="inlineStr">
        <is>
          <t>fr</t>
        </is>
      </c>
      <c r="F105" t="n">
        <v>390</v>
      </c>
      <c r="G105" t="n">
        <v>69</v>
      </c>
      <c r="H105" t="n">
        <v>0.75</v>
      </c>
      <c r="I105" t="n">
        <v>0.49</v>
      </c>
      <c r="J105" t="inlineStr">
        <is>
          <t>Informational</t>
        </is>
      </c>
      <c r="K105" t="inlineStr">
        <is>
          <t>NOT AVAILABLE (report not requested)</t>
        </is>
      </c>
      <c r="L105" t="inlineStr">
        <is>
          <t>declining (calc.)</t>
        </is>
      </c>
      <c r="M105" t="inlineStr">
        <is>
          <t>MEASURED</t>
        </is>
      </c>
      <c r="N105" s="5" t="inlineStr">
        <is>
          <t>Semrush phrase_these (live, this session)</t>
        </is>
      </c>
      <c r="O105" t="inlineStr">
        <is>
          <t>2026-10-30</t>
        </is>
      </c>
      <c r="P105">
        <f>IF(IF(J105="NOT AVAILABLE","",J105)="",12,IF(OR(ISNUMBER(SEARCH("Transactional",IF(J105="NOT AVAILABLE","",J105))),ISNUMBER(SEARCH("Commercial",IF(J105="NOT AVAILABLE","",J105)))),25,IF(ISNUMBER(SEARCH("Informational",IF(J105="NOT AVAILABLE","",J105))),10,IF(ISNUMBER(SEARCH("Navigational",IF(J105="NOT AVAILABLE","",J105))),0,12))))</f>
        <v/>
      </c>
      <c r="Q105">
        <f>IF(ISNUMBER(F105),MIN(30,ROUND(30*LOG10(F105+1)/4,1)),0)</f>
        <v/>
      </c>
      <c r="R105">
        <f>IF(ISNUMBER(G105),ROUND(25*(100-G105)/100,1),12.5)</f>
        <v/>
      </c>
      <c r="S105" t="n">
        <v>20</v>
      </c>
      <c r="T105">
        <f>ROUND(P105+Q105+R105+S105,0)</f>
        <v/>
      </c>
      <c r="U105" s="5" t="inlineStr">
        <is>
          <t>website.ma #1 https://www.website.ma/</t>
        </is>
      </c>
      <c r="V105" s="5" t="inlineStr"/>
    </row>
    <row r="106">
      <c r="A106" t="inlineStr">
        <is>
          <t>K0104</t>
        </is>
      </c>
      <c r="B106" t="inlineStr">
        <is>
          <t>création site web</t>
        </is>
      </c>
      <c r="C106" t="inlineStr">
        <is>
          <t>Morocco</t>
        </is>
      </c>
      <c r="D106" t="inlineStr">
        <is>
          <t>ma</t>
        </is>
      </c>
      <c r="E106" t="inlineStr">
        <is>
          <t>fr</t>
        </is>
      </c>
      <c r="F106" t="n">
        <v>390</v>
      </c>
      <c r="G106" t="n">
        <v>69</v>
      </c>
      <c r="H106" t="n">
        <v>0.75</v>
      </c>
      <c r="I106" t="n">
        <v>0.49</v>
      </c>
      <c r="J106" t="inlineStr">
        <is>
          <t>Informational</t>
        </is>
      </c>
      <c r="K106" t="inlineStr">
        <is>
          <t>NOT AVAILABLE (report not requested)</t>
        </is>
      </c>
      <c r="L106" t="inlineStr">
        <is>
          <t>declining (calc.)</t>
        </is>
      </c>
      <c r="M106" t="inlineStr">
        <is>
          <t>MEASURED</t>
        </is>
      </c>
      <c r="N106" s="5" t="inlineStr">
        <is>
          <t>Semrush phrase_these (live, this session)</t>
        </is>
      </c>
      <c r="O106" t="inlineStr">
        <is>
          <t>2026-10-30</t>
        </is>
      </c>
      <c r="P106">
        <f>IF(IF(J106="NOT AVAILABLE","",J106)="",12,IF(OR(ISNUMBER(SEARCH("Transactional",IF(J106="NOT AVAILABLE","",J106))),ISNUMBER(SEARCH("Commercial",IF(J106="NOT AVAILABLE","",J106)))),25,IF(ISNUMBER(SEARCH("Informational",IF(J106="NOT AVAILABLE","",J106))),10,IF(ISNUMBER(SEARCH("Navigational",IF(J106="NOT AVAILABLE","",J106))),0,12))))</f>
        <v/>
      </c>
      <c r="Q106">
        <f>IF(ISNUMBER(F106),MIN(30,ROUND(30*LOG10(F106+1)/4,1)),0)</f>
        <v/>
      </c>
      <c r="R106">
        <f>IF(ISNUMBER(G106),ROUND(25*(100-G106)/100,1),12.5)</f>
        <v/>
      </c>
      <c r="S106" t="n">
        <v>20</v>
      </c>
      <c r="T106">
        <f>ROUND(P106+Q106+R106+S106,0)</f>
        <v/>
      </c>
      <c r="U106" s="5" t="inlineStr"/>
      <c r="V106" s="5" t="inlineStr">
        <is>
          <t>SUPPORTING /</t>
        </is>
      </c>
    </row>
    <row r="107">
      <c r="A107" t="inlineStr">
        <is>
          <t>K0105</t>
        </is>
      </c>
      <c r="B107" t="inlineStr">
        <is>
          <t>digital marketing agency</t>
        </is>
      </c>
      <c r="C107" t="inlineStr">
        <is>
          <t>Morocco</t>
        </is>
      </c>
      <c r="D107" t="inlineStr">
        <is>
          <t>ma</t>
        </is>
      </c>
      <c r="E107" t="inlineStr">
        <is>
          <t>fr</t>
        </is>
      </c>
      <c r="F107" t="n">
        <v>390</v>
      </c>
      <c r="G107" t="n">
        <v>56</v>
      </c>
      <c r="H107" t="n">
        <v>0.64</v>
      </c>
      <c r="I107" t="n">
        <v>0.16</v>
      </c>
      <c r="J107" t="inlineStr">
        <is>
          <t>Informational</t>
        </is>
      </c>
      <c r="K107" t="inlineStr">
        <is>
          <t>NOT AVAILABLE (report not requested)</t>
        </is>
      </c>
      <c r="L107" t="inlineStr">
        <is>
          <t>rising (calc.)</t>
        </is>
      </c>
      <c r="M107" t="inlineStr">
        <is>
          <t>MEASURED</t>
        </is>
      </c>
      <c r="N107" s="5" t="inlineStr">
        <is>
          <t>Semrush resource_organic (competitor digitalma.ma)</t>
        </is>
      </c>
      <c r="O107" t="inlineStr">
        <is>
          <t>2026-10-30</t>
        </is>
      </c>
      <c r="P107">
        <f>IF(IF(J107="NOT AVAILABLE","",J107)="",12,IF(OR(ISNUMBER(SEARCH("Transactional",IF(J107="NOT AVAILABLE","",J107))),ISNUMBER(SEARCH("Commercial",IF(J107="NOT AVAILABLE","",J107)))),25,IF(ISNUMBER(SEARCH("Informational",IF(J107="NOT AVAILABLE","",J107))),10,IF(ISNUMBER(SEARCH("Navigational",IF(J107="NOT AVAILABLE","",J107))),0,12))))</f>
        <v/>
      </c>
      <c r="Q107">
        <f>IF(ISNUMBER(F107),MIN(30,ROUND(30*LOG10(F107+1)/4,1)),0)</f>
        <v/>
      </c>
      <c r="R107">
        <f>IF(ISNUMBER(G107),ROUND(25*(100-G107)/100,1),12.5)</f>
        <v/>
      </c>
      <c r="S107" t="n">
        <v>20</v>
      </c>
      <c r="T107">
        <f>ROUND(P107+Q107+R107+S107,0)</f>
        <v/>
      </c>
      <c r="U107" s="5" t="inlineStr">
        <is>
          <t>digitalma.ma #3 https://digitalma.ma/ | digitalma.ma #95 https://digitalma.ma/case-studies/ | elevenmedia.ma #25 https://elevenmedia.ma/ | energiedin.com #35 https://www.energiedin.com/agence-digitale-casablanca/</t>
        </is>
      </c>
      <c r="V107" s="5" t="inlineStr"/>
    </row>
    <row r="108">
      <c r="A108" t="inlineStr">
        <is>
          <t>K0106</t>
        </is>
      </c>
      <c r="B108" t="inlineStr">
        <is>
          <t>investissement au maroc</t>
        </is>
      </c>
      <c r="C108" t="inlineStr">
        <is>
          <t>Morocco</t>
        </is>
      </c>
      <c r="D108" t="inlineStr">
        <is>
          <t>ma</t>
        </is>
      </c>
      <c r="E108" t="inlineStr">
        <is>
          <t>fr</t>
        </is>
      </c>
      <c r="F108" t="n">
        <v>390</v>
      </c>
      <c r="G108" t="n">
        <v>20</v>
      </c>
      <c r="H108" t="n">
        <v>0.42</v>
      </c>
      <c r="I108" t="n">
        <v>0.09</v>
      </c>
      <c r="J108" t="inlineStr">
        <is>
          <t>Informational</t>
        </is>
      </c>
      <c r="K108" t="inlineStr">
        <is>
          <t>NOT AVAILABLE (report not requested)</t>
        </is>
      </c>
      <c r="L108" t="inlineStr">
        <is>
          <t>declining (calc.)</t>
        </is>
      </c>
      <c r="M108" t="inlineStr">
        <is>
          <t>MEASURED</t>
        </is>
      </c>
      <c r="N108" s="5" t="inlineStr">
        <is>
          <t>Semrush resource_organic (competitor urikacloud.com)</t>
        </is>
      </c>
      <c r="O108" t="inlineStr">
        <is>
          <t>2026-10-30</t>
        </is>
      </c>
      <c r="P108">
        <f>IF(IF(J108="NOT AVAILABLE","",J108)="",12,IF(OR(ISNUMBER(SEARCH("Transactional",IF(J108="NOT AVAILABLE","",J108))),ISNUMBER(SEARCH("Commercial",IF(J108="NOT AVAILABLE","",J108)))),25,IF(ISNUMBER(SEARCH("Informational",IF(J108="NOT AVAILABLE","",J108))),10,IF(ISNUMBER(SEARCH("Navigational",IF(J108="NOT AVAILABLE","",J108))),0,12))))</f>
        <v/>
      </c>
      <c r="Q108">
        <f>IF(ISNUMBER(F108),MIN(30,ROUND(30*LOG10(F108+1)/4,1)),0)</f>
        <v/>
      </c>
      <c r="R108">
        <f>IF(ISNUMBER(G108),ROUND(25*(100-G108)/100,1),12.5)</f>
        <v/>
      </c>
      <c r="S108" t="n">
        <v>20</v>
      </c>
      <c r="T108">
        <f>ROUND(P108+Q108+R108+S108,0)</f>
        <v/>
      </c>
      <c r="U108" s="5" t="inlineStr">
        <is>
          <t>urikacloud.com #88 https://urikacloud.com/investir-maroc.htm</t>
        </is>
      </c>
      <c r="V108" s="5" t="inlineStr"/>
    </row>
    <row r="109">
      <c r="A109" t="inlineStr">
        <is>
          <t>K0107</t>
        </is>
      </c>
      <c r="B109" t="inlineStr">
        <is>
          <t>outsourcing</t>
        </is>
      </c>
      <c r="C109" t="inlineStr">
        <is>
          <t>Morocco</t>
        </is>
      </c>
      <c r="D109" t="inlineStr">
        <is>
          <t>ma</t>
        </is>
      </c>
      <c r="E109" t="inlineStr">
        <is>
          <t>fr</t>
        </is>
      </c>
      <c r="F109" t="n">
        <v>390</v>
      </c>
      <c r="G109" t="n">
        <v>20</v>
      </c>
      <c r="H109" t="n">
        <v>1.25</v>
      </c>
      <c r="I109" t="n">
        <v>0.03</v>
      </c>
      <c r="J109" t="inlineStr">
        <is>
          <t>Informational</t>
        </is>
      </c>
      <c r="K109" t="inlineStr">
        <is>
          <t>NOT AVAILABLE (report not requested)</t>
        </is>
      </c>
      <c r="L109" t="inlineStr">
        <is>
          <t>rising (calc.)</t>
        </is>
      </c>
      <c r="M109" t="inlineStr">
        <is>
          <t>MEASURED</t>
        </is>
      </c>
      <c r="N109" s="5" t="inlineStr">
        <is>
          <t>Semrush resource_organic (competitor urikacloud.com)</t>
        </is>
      </c>
      <c r="O109" t="inlineStr">
        <is>
          <t>2026-10-30</t>
        </is>
      </c>
      <c r="P109">
        <f>IF(IF(J109="NOT AVAILABLE","",J109)="",12,IF(OR(ISNUMBER(SEARCH("Transactional",IF(J109="NOT AVAILABLE","",J109))),ISNUMBER(SEARCH("Commercial",IF(J109="NOT AVAILABLE","",J109)))),25,IF(ISNUMBER(SEARCH("Informational",IF(J109="NOT AVAILABLE","",J109))),10,IF(ISNUMBER(SEARCH("Navigational",IF(J109="NOT AVAILABLE","",J109))),0,12))))</f>
        <v/>
      </c>
      <c r="Q109">
        <f>IF(ISNUMBER(F109),MIN(30,ROUND(30*LOG10(F109+1)/4,1)),0)</f>
        <v/>
      </c>
      <c r="R109">
        <f>IF(ISNUMBER(G109),ROUND(25*(100-G109)/100,1),12.5)</f>
        <v/>
      </c>
      <c r="S109" t="n">
        <v>20</v>
      </c>
      <c r="T109">
        <f>ROUND(P109+Q109+R109+S109,0)</f>
        <v/>
      </c>
      <c r="U109" s="5" t="inlineStr">
        <is>
          <t>urikacloud.com #16 https://urikacloud.com/outsourcing-maroc.htm</t>
        </is>
      </c>
      <c r="V109" s="5" t="inlineStr"/>
    </row>
    <row r="110">
      <c r="A110" t="inlineStr">
        <is>
          <t>K0108</t>
        </is>
      </c>
      <c r="B110" t="inlineStr">
        <is>
          <t>ratp dev</t>
        </is>
      </c>
      <c r="C110" t="inlineStr">
        <is>
          <t>Morocco</t>
        </is>
      </c>
      <c r="D110" t="inlineStr">
        <is>
          <t>ma</t>
        </is>
      </c>
      <c r="E110" t="inlineStr">
        <is>
          <t>fr</t>
        </is>
      </c>
      <c r="F110" t="n">
        <v>390</v>
      </c>
      <c r="G110" t="n">
        <v>22</v>
      </c>
      <c r="H110" t="n">
        <v>0</v>
      </c>
      <c r="I110" t="n">
        <v>0.33</v>
      </c>
      <c r="J110" t="inlineStr">
        <is>
          <t>Navigational</t>
        </is>
      </c>
      <c r="K110" t="inlineStr">
        <is>
          <t>NOT AVAILABLE (report not requested)</t>
        </is>
      </c>
      <c r="L110" t="inlineStr">
        <is>
          <t>stable (calc.)</t>
        </is>
      </c>
      <c r="M110" t="inlineStr">
        <is>
          <t>MEASURED</t>
        </is>
      </c>
      <c r="N110" s="5" t="inlineStr">
        <is>
          <t>Semrush resource_organic (competitor elevenmedia.ma)</t>
        </is>
      </c>
      <c r="O110" t="inlineStr">
        <is>
          <t>2026-10-30</t>
        </is>
      </c>
      <c r="P110">
        <f>IF(IF(J110="NOT AVAILABLE","",J110)="",12,IF(OR(ISNUMBER(SEARCH("Transactional",IF(J110="NOT AVAILABLE","",J110))),ISNUMBER(SEARCH("Commercial",IF(J110="NOT AVAILABLE","",J110)))),25,IF(ISNUMBER(SEARCH("Informational",IF(J110="NOT AVAILABLE","",J110))),10,IF(ISNUMBER(SEARCH("Navigational",IF(J110="NOT AVAILABLE","",J110))),0,12))))</f>
        <v/>
      </c>
      <c r="Q110">
        <f>IF(ISNUMBER(F110),MIN(30,ROUND(30*LOG10(F110+1)/4,1)),0)</f>
        <v/>
      </c>
      <c r="R110">
        <f>IF(ISNUMBER(G110),ROUND(25*(100-G110)/100,1),12.5)</f>
        <v/>
      </c>
      <c r="S110" t="n">
        <v>20</v>
      </c>
      <c r="T110">
        <f>ROUND(P110+Q110+R110+S110,0)</f>
        <v/>
      </c>
      <c r="U110" s="5" t="inlineStr">
        <is>
          <t>elevenmedia.ma #13 https://elevenmedia.ma/projets/casatramway</t>
        </is>
      </c>
      <c r="V110" s="5" t="inlineStr"/>
    </row>
    <row r="111">
      <c r="A111" t="inlineStr">
        <is>
          <t>K0109</t>
        </is>
      </c>
      <c r="B111" t="inlineStr">
        <is>
          <t>agence de marketing digital</t>
        </is>
      </c>
      <c r="C111" t="inlineStr">
        <is>
          <t>Morocco</t>
        </is>
      </c>
      <c r="D111" t="inlineStr">
        <is>
          <t>ma</t>
        </is>
      </c>
      <c r="E111" t="inlineStr">
        <is>
          <t>fr</t>
        </is>
      </c>
      <c r="F111" t="n">
        <v>320</v>
      </c>
      <c r="G111" t="n">
        <v>27</v>
      </c>
      <c r="H111" t="n">
        <v>0.75</v>
      </c>
      <c r="I111" t="n">
        <v>0.18</v>
      </c>
      <c r="J111" t="inlineStr">
        <is>
          <t>Commercial</t>
        </is>
      </c>
      <c r="K111" t="inlineStr">
        <is>
          <t>NOT AVAILABLE (report not requested)</t>
        </is>
      </c>
      <c r="L111" t="inlineStr">
        <is>
          <t>declining (calc.)</t>
        </is>
      </c>
      <c r="M111" t="inlineStr">
        <is>
          <t>MEASURED</t>
        </is>
      </c>
      <c r="N111" s="5" t="inlineStr">
        <is>
          <t>Semrush resource_organic (competitor digitalma.ma)</t>
        </is>
      </c>
      <c r="O111" t="inlineStr">
        <is>
          <t>2026-10-30</t>
        </is>
      </c>
      <c r="P111">
        <f>IF(IF(J111="NOT AVAILABLE","",J111)="",12,IF(OR(ISNUMBER(SEARCH("Transactional",IF(J111="NOT AVAILABLE","",J111))),ISNUMBER(SEARCH("Commercial",IF(J111="NOT AVAILABLE","",J111)))),25,IF(ISNUMBER(SEARCH("Informational",IF(J111="NOT AVAILABLE","",J111))),10,IF(ISNUMBER(SEARCH("Navigational",IF(J111="NOT AVAILABLE","",J111))),0,12))))</f>
        <v/>
      </c>
      <c r="Q111">
        <f>IF(ISNUMBER(F111),MIN(30,ROUND(30*LOG10(F111+1)/4,1)),0)</f>
        <v/>
      </c>
      <c r="R111">
        <f>IF(ISNUMBER(G111),ROUND(25*(100-G111)/100,1),12.5)</f>
        <v/>
      </c>
      <c r="S111" t="n">
        <v>20</v>
      </c>
      <c r="T111">
        <f>ROUND(P111+Q111+R111+S111,0)</f>
        <v/>
      </c>
      <c r="U111" s="5" t="inlineStr">
        <is>
          <t>digitalma.ma #2 https://digitalma.ma/ | energiedin.com #9 https://www.energiedin.com/agence-digitale-marrakech/ | energiedin.com #11 https://www.energiedin.com/agence-digitale-rabat/ | rhillane.com #1 https://rhillane.com/</t>
        </is>
      </c>
      <c r="V111" s="5" t="inlineStr"/>
    </row>
    <row r="112">
      <c r="A112" t="inlineStr">
        <is>
          <t>K0110</t>
        </is>
      </c>
      <c r="B112" t="inlineStr">
        <is>
          <t>agence digitale maroc</t>
        </is>
      </c>
      <c r="C112" t="inlineStr">
        <is>
          <t>Morocco</t>
        </is>
      </c>
      <c r="D112" t="inlineStr">
        <is>
          <t>ma</t>
        </is>
      </c>
      <c r="E112" t="inlineStr">
        <is>
          <t>fr</t>
        </is>
      </c>
      <c r="F112" t="n">
        <v>320</v>
      </c>
      <c r="G112" t="n">
        <v>57</v>
      </c>
      <c r="H112" t="n">
        <v>0.79</v>
      </c>
      <c r="I112" t="n">
        <v>0.13</v>
      </c>
      <c r="J112" t="inlineStr">
        <is>
          <t>Commercial</t>
        </is>
      </c>
      <c r="K112" t="inlineStr">
        <is>
          <t>NOT AVAILABLE (report not requested)</t>
        </is>
      </c>
      <c r="L112" t="inlineStr">
        <is>
          <t>stable (calc.)</t>
        </is>
      </c>
      <c r="M112" t="inlineStr">
        <is>
          <t>MEASURED</t>
        </is>
      </c>
      <c r="N112" s="5" t="inlineStr">
        <is>
          <t>Semrush phrase_these (live, this session)</t>
        </is>
      </c>
      <c r="O112" t="inlineStr">
        <is>
          <t>2026-10-30</t>
        </is>
      </c>
      <c r="P112">
        <f>IF(IF(J112="NOT AVAILABLE","",J112)="",12,IF(OR(ISNUMBER(SEARCH("Transactional",IF(J112="NOT AVAILABLE","",J112))),ISNUMBER(SEARCH("Commercial",IF(J112="NOT AVAILABLE","",J112)))),25,IF(ISNUMBER(SEARCH("Informational",IF(J112="NOT AVAILABLE","",J112))),10,IF(ISNUMBER(SEARCH("Navigational",IF(J112="NOT AVAILABLE","",J112))),0,12))))</f>
        <v/>
      </c>
      <c r="Q112">
        <f>IF(ISNUMBER(F112),MIN(30,ROUND(30*LOG10(F112+1)/4,1)),0)</f>
        <v/>
      </c>
      <c r="R112">
        <f>IF(ISNUMBER(G112),ROUND(25*(100-G112)/100,1),12.5)</f>
        <v/>
      </c>
      <c r="S112" t="n">
        <v>20</v>
      </c>
      <c r="T112">
        <f>ROUND(P112+Q112+R112+S112,0)</f>
        <v/>
      </c>
      <c r="U112" s="5" t="inlineStr">
        <is>
          <t>digitalma.ma #6 https://digitalma.ma/ | elevenmedia.ma #29 https://elevenmedia.ma/services/digital-marketing | elevenmedia.ma #89 https://elevenmedia.ma/ | energiedin.com #13 https://www.energiedin.com/agence-digitale-rabat/</t>
        </is>
      </c>
      <c r="V112" s="5" t="inlineStr">
        <is>
          <t>SECONDARY /; NOT RECOMMENDED /about</t>
        </is>
      </c>
    </row>
    <row r="113">
      <c r="A113" t="inlineStr">
        <is>
          <t>K0111</t>
        </is>
      </c>
      <c r="B113" t="inlineStr">
        <is>
          <t>agence seo marrakech</t>
        </is>
      </c>
      <c r="C113" t="inlineStr">
        <is>
          <t>Morocco</t>
        </is>
      </c>
      <c r="D113" t="inlineStr">
        <is>
          <t>ma</t>
        </is>
      </c>
      <c r="E113" t="inlineStr">
        <is>
          <t>fr</t>
        </is>
      </c>
      <c r="F113" t="n">
        <v>320</v>
      </c>
      <c r="G113" t="n">
        <v>20</v>
      </c>
      <c r="H113" t="n">
        <v>6.43</v>
      </c>
      <c r="I113" t="n">
        <v>0.08</v>
      </c>
      <c r="J113" t="inlineStr">
        <is>
          <t>Commercial</t>
        </is>
      </c>
      <c r="K113" t="inlineStr">
        <is>
          <t>NOT AVAILABLE (report not requested)</t>
        </is>
      </c>
      <c r="L113" t="inlineStr">
        <is>
          <t>stable (calc.)</t>
        </is>
      </c>
      <c r="M113" t="inlineStr">
        <is>
          <t>MEASURED</t>
        </is>
      </c>
      <c r="N113" s="5" t="inlineStr">
        <is>
          <t>Semrush phrase_these (live, this session)</t>
        </is>
      </c>
      <c r="O113" t="inlineStr">
        <is>
          <t>2026-10-30</t>
        </is>
      </c>
      <c r="P113">
        <f>IF(IF(J113="NOT AVAILABLE","",J113)="",12,IF(OR(ISNUMBER(SEARCH("Transactional",IF(J113="NOT AVAILABLE","",J113))),ISNUMBER(SEARCH("Commercial",IF(J113="NOT AVAILABLE","",J113)))),25,IF(ISNUMBER(SEARCH("Informational",IF(J113="NOT AVAILABLE","",J113))),10,IF(ISNUMBER(SEARCH("Navigational",IF(J113="NOT AVAILABLE","",J113))),0,12))))</f>
        <v/>
      </c>
      <c r="Q113">
        <f>IF(ISNUMBER(F113),MIN(30,ROUND(30*LOG10(F113+1)/4,1)),0)</f>
        <v/>
      </c>
      <c r="R113">
        <f>IF(ISNUMBER(G113),ROUND(25*(100-G113)/100,1),12.5)</f>
        <v/>
      </c>
      <c r="S113" t="n">
        <v>20</v>
      </c>
      <c r="T113">
        <f>ROUND(P113+Q113+R113+S113,0)</f>
        <v/>
      </c>
      <c r="U113" s="5" t="inlineStr">
        <is>
          <t>energiedin.com #5 https://www.energiedin.com/agence-seo-marrakech/ | hostino.ma #8 https://www.hostino.ma/agence-seo-marrakech/ | rhillane.com #4 https://rhillane.com/marrakech-seo-expert/</t>
        </is>
      </c>
      <c r="V113" s="5" t="inlineStr">
        <is>
          <t>SECONDARY /services/seo-maroc; NOT RECOMMENDED /web-development-company/marrakech</t>
        </is>
      </c>
    </row>
    <row r="114">
      <c r="A114" t="inlineStr">
        <is>
          <t>K0112</t>
        </is>
      </c>
      <c r="B114" t="inlineStr">
        <is>
          <t>agence web marrakech</t>
        </is>
      </c>
      <c r="C114" t="inlineStr">
        <is>
          <t>Morocco</t>
        </is>
      </c>
      <c r="D114" t="inlineStr">
        <is>
          <t>ma</t>
        </is>
      </c>
      <c r="E114" t="inlineStr">
        <is>
          <t>fr</t>
        </is>
      </c>
      <c r="F114" t="n">
        <v>320</v>
      </c>
      <c r="G114" t="n">
        <v>33</v>
      </c>
      <c r="H114" t="n">
        <v>0.75</v>
      </c>
      <c r="I114" t="n">
        <v>0.1</v>
      </c>
      <c r="J114" t="inlineStr">
        <is>
          <t>Commercial</t>
        </is>
      </c>
      <c r="K114" t="inlineStr">
        <is>
          <t>NOT AVAILABLE (report not requested)</t>
        </is>
      </c>
      <c r="L114" t="inlineStr">
        <is>
          <t>rising (calc.)</t>
        </is>
      </c>
      <c r="M114" t="inlineStr">
        <is>
          <t>MEASURED</t>
        </is>
      </c>
      <c r="N114" s="5" t="inlineStr">
        <is>
          <t>Semrush phrase_these (live, this session)</t>
        </is>
      </c>
      <c r="O114" t="inlineStr">
        <is>
          <t>2026-10-30</t>
        </is>
      </c>
      <c r="P114">
        <f>IF(IF(J114="NOT AVAILABLE","",J114)="",12,IF(OR(ISNUMBER(SEARCH("Transactional",IF(J114="NOT AVAILABLE","",J114))),ISNUMBER(SEARCH("Commercial",IF(J114="NOT AVAILABLE","",J114)))),25,IF(ISNUMBER(SEARCH("Informational",IF(J114="NOT AVAILABLE","",J114))),10,IF(ISNUMBER(SEARCH("Navigational",IF(J114="NOT AVAILABLE","",J114))),0,12))))</f>
        <v/>
      </c>
      <c r="Q114">
        <f>IF(ISNUMBER(F114),MIN(30,ROUND(30*LOG10(F114+1)/4,1)),0)</f>
        <v/>
      </c>
      <c r="R114">
        <f>IF(ISNUMBER(G114),ROUND(25*(100-G114)/100,1),12.5)</f>
        <v/>
      </c>
      <c r="S114" t="n">
        <v>20</v>
      </c>
      <c r="T114">
        <f>ROUND(P114+Q114+R114+S114,0)</f>
        <v/>
      </c>
      <c r="U114" s="5" t="inlineStr">
        <is>
          <t>energiedin.com #36 https://www.energiedin.com/agence-digitale-marrakech/ | urikacloud.com #1 https://urikacloud.com/agence-creation-site-web-marrakech.htm | websuccess.ma #4 https://websuccess.ma/villes/agence-web-marrakech | websuccess.ma #35 https://websuccess.ma/</t>
        </is>
      </c>
      <c r="V114" s="5" t="inlineStr">
        <is>
          <t>NOT RECOMMENDED /about; SECONDARY /web-development-company/marrakech</t>
        </is>
      </c>
    </row>
    <row r="115">
      <c r="A115" t="inlineStr">
        <is>
          <t>K0113</t>
        </is>
      </c>
      <c r="B115" t="inlineStr">
        <is>
          <t>cpa marketing</t>
        </is>
      </c>
      <c r="C115" t="inlineStr">
        <is>
          <t>Morocco</t>
        </is>
      </c>
      <c r="D115" t="inlineStr">
        <is>
          <t>ma</t>
        </is>
      </c>
      <c r="E115" t="inlineStr">
        <is>
          <t>fr</t>
        </is>
      </c>
      <c r="F115" t="n">
        <v>320</v>
      </c>
      <c r="G115" t="n">
        <v>16</v>
      </c>
      <c r="H115" t="n">
        <v>0.73</v>
      </c>
      <c r="I115" t="n">
        <v>0.23</v>
      </c>
      <c r="J115" t="inlineStr">
        <is>
          <t>Informational</t>
        </is>
      </c>
      <c r="K115" t="inlineStr">
        <is>
          <t>NOT AVAILABLE (report not requested)</t>
        </is>
      </c>
      <c r="L115" t="inlineStr">
        <is>
          <t>declining (calc.)</t>
        </is>
      </c>
      <c r="M115" t="inlineStr">
        <is>
          <t>MEASURED</t>
        </is>
      </c>
      <c r="N115" s="5" t="inlineStr">
        <is>
          <t>Semrush resource_organic (competitor rhillane.com)</t>
        </is>
      </c>
      <c r="O115" t="inlineStr">
        <is>
          <t>2026-10-30</t>
        </is>
      </c>
      <c r="P115">
        <f>IF(IF(J115="NOT AVAILABLE","",J115)="",12,IF(OR(ISNUMBER(SEARCH("Transactional",IF(J115="NOT AVAILABLE","",J115))),ISNUMBER(SEARCH("Commercial",IF(J115="NOT AVAILABLE","",J115)))),25,IF(ISNUMBER(SEARCH("Informational",IF(J115="NOT AVAILABLE","",J115))),10,IF(ISNUMBER(SEARCH("Navigational",IF(J115="NOT AVAILABLE","",J115))),0,12))))</f>
        <v/>
      </c>
      <c r="Q115">
        <f>IF(ISNUMBER(F115),MIN(30,ROUND(30*LOG10(F115+1)/4,1)),0)</f>
        <v/>
      </c>
      <c r="R115">
        <f>IF(ISNUMBER(G115),ROUND(25*(100-G115)/100,1),12.5)</f>
        <v/>
      </c>
      <c r="S115" t="n">
        <v>20</v>
      </c>
      <c r="T115">
        <f>ROUND(P115+Q115+R115+S115,0)</f>
        <v/>
      </c>
      <c r="U115" s="5" t="inlineStr">
        <is>
          <t>rhillane.com #3 https://rhillane.com/blog/cpa-marketing/</t>
        </is>
      </c>
      <c r="V115" s="5" t="inlineStr"/>
    </row>
    <row r="116">
      <c r="A116" t="inlineStr">
        <is>
          <t>K0114</t>
        </is>
      </c>
      <c r="B116" t="inlineStr">
        <is>
          <t>creation site web tanger</t>
        </is>
      </c>
      <c r="C116" t="inlineStr">
        <is>
          <t>Morocco</t>
        </is>
      </c>
      <c r="D116" t="inlineStr">
        <is>
          <t>ma</t>
        </is>
      </c>
      <c r="E116" t="inlineStr">
        <is>
          <t>fr</t>
        </is>
      </c>
      <c r="F116" t="n">
        <v>320</v>
      </c>
      <c r="G116" t="n">
        <v>11</v>
      </c>
      <c r="H116" t="n">
        <v>0.76</v>
      </c>
      <c r="I116" t="n">
        <v>0.04</v>
      </c>
      <c r="J116" t="inlineStr">
        <is>
          <t>Commercial</t>
        </is>
      </c>
      <c r="K116" t="inlineStr">
        <is>
          <t>NOT AVAILABLE (report not requested)</t>
        </is>
      </c>
      <c r="L116" t="inlineStr">
        <is>
          <t>rising (calc.)</t>
        </is>
      </c>
      <c r="M116" t="inlineStr">
        <is>
          <t>MEASURED</t>
        </is>
      </c>
      <c r="N116" s="5" t="inlineStr">
        <is>
          <t>Semrush phrase_these (live, this session)</t>
        </is>
      </c>
      <c r="O116" t="inlineStr">
        <is>
          <t>2026-10-30</t>
        </is>
      </c>
      <c r="P116">
        <f>IF(IF(J116="NOT AVAILABLE","",J116)="",12,IF(OR(ISNUMBER(SEARCH("Transactional",IF(J116="NOT AVAILABLE","",J116))),ISNUMBER(SEARCH("Commercial",IF(J116="NOT AVAILABLE","",J116)))),25,IF(ISNUMBER(SEARCH("Informational",IF(J116="NOT AVAILABLE","",J116))),10,IF(ISNUMBER(SEARCH("Navigational",IF(J116="NOT AVAILABLE","",J116))),0,12))))</f>
        <v/>
      </c>
      <c r="Q116">
        <f>IF(ISNUMBER(F116),MIN(30,ROUND(30*LOG10(F116+1)/4,1)),0)</f>
        <v/>
      </c>
      <c r="R116">
        <f>IF(ISNUMBER(G116),ROUND(25*(100-G116)/100,1),12.5)</f>
        <v/>
      </c>
      <c r="S116" t="n">
        <v>20</v>
      </c>
      <c r="T116">
        <f>ROUND(P116+Q116+R116+S116,0)</f>
        <v/>
      </c>
      <c r="U116" s="5" t="inlineStr">
        <is>
          <t>energiedin.com #13 https://www.energiedin.com/creation-site-web-tanger/ | hostino.ma #3 https://www.hostino.ma/creation-site-web-tanger/ | rhillane.com #2 https://rhillane.com/creation-siteweb-tanger/ | urikacloud.com #9 https://urikacloud.com/agence-creation-site-web-tanger.htm</t>
        </is>
      </c>
      <c r="V116" s="5" t="inlineStr">
        <is>
          <t>PRIMARY /web-development-company/tangier</t>
        </is>
      </c>
    </row>
    <row r="117">
      <c r="A117" t="inlineStr">
        <is>
          <t>K0115</t>
        </is>
      </c>
      <c r="B117" t="inlineStr">
        <is>
          <t>créer un site web gratuit</t>
        </is>
      </c>
      <c r="C117" t="inlineStr">
        <is>
          <t>Morocco</t>
        </is>
      </c>
      <c r="D117" t="inlineStr">
        <is>
          <t>ma</t>
        </is>
      </c>
      <c r="E117" t="inlineStr">
        <is>
          <t>fr</t>
        </is>
      </c>
      <c r="F117" t="n">
        <v>320</v>
      </c>
      <c r="G117" t="n">
        <v>54</v>
      </c>
      <c r="H117" t="n">
        <v>0.67</v>
      </c>
      <c r="I117" t="n">
        <v>0.7</v>
      </c>
      <c r="J117" t="inlineStr">
        <is>
          <t>Informational</t>
        </is>
      </c>
      <c r="K117" t="inlineStr">
        <is>
          <t>NOT AVAILABLE (report not requested)</t>
        </is>
      </c>
      <c r="L117" t="inlineStr">
        <is>
          <t>declining (calc.)</t>
        </is>
      </c>
      <c r="M117" t="inlineStr">
        <is>
          <t>MEASURED</t>
        </is>
      </c>
      <c r="N117" s="5" t="inlineStr">
        <is>
          <t>Semrush phrase_these (live, this session)</t>
        </is>
      </c>
      <c r="O117" t="inlineStr">
        <is>
          <t>2026-10-30</t>
        </is>
      </c>
      <c r="P117">
        <f>IF(IF(J117="NOT AVAILABLE","",J117)="",12,IF(OR(ISNUMBER(SEARCH("Transactional",IF(J117="NOT AVAILABLE","",J117))),ISNUMBER(SEARCH("Commercial",IF(J117="NOT AVAILABLE","",J117)))),25,IF(ISNUMBER(SEARCH("Informational",IF(J117="NOT AVAILABLE","",J117))),10,IF(ISNUMBER(SEARCH("Navigational",IF(J117="NOT AVAILABLE","",J117))),0,12))))</f>
        <v/>
      </c>
      <c r="Q117">
        <f>IF(ISNUMBER(F117),MIN(30,ROUND(30*LOG10(F117+1)/4,1)),0)</f>
        <v/>
      </c>
      <c r="R117">
        <f>IF(ISNUMBER(G117),ROUND(25*(100-G117)/100,1),12.5)</f>
        <v/>
      </c>
      <c r="S117" t="n">
        <v>20</v>
      </c>
      <c r="T117">
        <f>ROUND(P117+Q117+R117+S117,0)</f>
        <v/>
      </c>
      <c r="U117" s="5" t="inlineStr"/>
      <c r="V117" s="5" t="inlineStr">
        <is>
          <t>FAQ /</t>
        </is>
      </c>
    </row>
    <row r="118">
      <c r="A118" t="inlineStr">
        <is>
          <t>K0116</t>
        </is>
      </c>
      <c r="B118" t="inlineStr">
        <is>
          <t>email professionnel</t>
        </is>
      </c>
      <c r="C118" t="inlineStr">
        <is>
          <t>Morocco</t>
        </is>
      </c>
      <c r="D118" t="inlineStr">
        <is>
          <t>ma</t>
        </is>
      </c>
      <c r="E118" t="inlineStr">
        <is>
          <t>fr</t>
        </is>
      </c>
      <c r="F118" t="n">
        <v>320</v>
      </c>
      <c r="G118" t="n">
        <v>36</v>
      </c>
      <c r="H118" t="n">
        <v>1.07</v>
      </c>
      <c r="I118" t="n">
        <v>0.54</v>
      </c>
      <c r="J118" t="inlineStr">
        <is>
          <t>Informational</t>
        </is>
      </c>
      <c r="K118" t="inlineStr">
        <is>
          <t>NOT AVAILABLE (report not requested)</t>
        </is>
      </c>
      <c r="L118" t="inlineStr">
        <is>
          <t>stable (calc.)</t>
        </is>
      </c>
      <c r="M118" t="inlineStr">
        <is>
          <t>MEASURED</t>
        </is>
      </c>
      <c r="N118" s="5" t="inlineStr">
        <is>
          <t>Semrush resource_organic (competitor hostino.ma)</t>
        </is>
      </c>
      <c r="O118" t="inlineStr">
        <is>
          <t>2026-10-30</t>
        </is>
      </c>
      <c r="P118">
        <f>IF(IF(J118="NOT AVAILABLE","",J118)="",12,IF(OR(ISNUMBER(SEARCH("Transactional",IF(J118="NOT AVAILABLE","",J118))),ISNUMBER(SEARCH("Commercial",IF(J118="NOT AVAILABLE","",J118)))),25,IF(ISNUMBER(SEARCH("Informational",IF(J118="NOT AVAILABLE","",J118))),10,IF(ISNUMBER(SEARCH("Navigational",IF(J118="NOT AVAILABLE","",J118))),0,12))))</f>
        <v/>
      </c>
      <c r="Q118">
        <f>IF(ISNUMBER(F118),MIN(30,ROUND(30*LOG10(F118+1)/4,1)),0)</f>
        <v/>
      </c>
      <c r="R118">
        <f>IF(ISNUMBER(G118),ROUND(25*(100-G118)/100,1),12.5)</f>
        <v/>
      </c>
      <c r="S118" t="n">
        <v>20</v>
      </c>
      <c r="T118">
        <f>ROUND(P118+Q118+R118+S118,0)</f>
        <v/>
      </c>
      <c r="U118" s="5" t="inlineStr">
        <is>
          <t>hostino.ma #18 https://www.hostino.ma/email-professionnel/ | hostino.ma #20 https://www.hostino.ma/email-professionnel/</t>
        </is>
      </c>
      <c r="V118" s="5" t="inlineStr"/>
    </row>
    <row r="119">
      <c r="A119" t="inlineStr">
        <is>
          <t>K0117</t>
        </is>
      </c>
      <c r="B119" t="inlineStr">
        <is>
          <t>hebergement web</t>
        </is>
      </c>
      <c r="C119" t="inlineStr">
        <is>
          <t>Morocco</t>
        </is>
      </c>
      <c r="D119" t="inlineStr">
        <is>
          <t>ma</t>
        </is>
      </c>
      <c r="E119" t="inlineStr">
        <is>
          <t>fr</t>
        </is>
      </c>
      <c r="F119" t="n">
        <v>320</v>
      </c>
      <c r="G119" t="n">
        <v>49</v>
      </c>
      <c r="H119" t="n">
        <v>1</v>
      </c>
      <c r="I119" t="n">
        <v>0.68</v>
      </c>
      <c r="J119" t="inlineStr">
        <is>
          <t>Informational</t>
        </is>
      </c>
      <c r="K119" t="inlineStr">
        <is>
          <t>NOT AVAILABLE (report not requested)</t>
        </is>
      </c>
      <c r="L119" t="inlineStr">
        <is>
          <t>declining (calc.)</t>
        </is>
      </c>
      <c r="M119" t="inlineStr">
        <is>
          <t>MEASURED</t>
        </is>
      </c>
      <c r="N119" s="5" t="inlineStr">
        <is>
          <t>Semrush resource_organic (competitor hostino.ma)</t>
        </is>
      </c>
      <c r="O119" t="inlineStr">
        <is>
          <t>2026-10-30</t>
        </is>
      </c>
      <c r="P119">
        <f>IF(IF(J119="NOT AVAILABLE","",J119)="",12,IF(OR(ISNUMBER(SEARCH("Transactional",IF(J119="NOT AVAILABLE","",J119))),ISNUMBER(SEARCH("Commercial",IF(J119="NOT AVAILABLE","",J119)))),25,IF(ISNUMBER(SEARCH("Informational",IF(J119="NOT AVAILABLE","",J119))),10,IF(ISNUMBER(SEARCH("Navigational",IF(J119="NOT AVAILABLE","",J119))),0,12))))</f>
        <v/>
      </c>
      <c r="Q119">
        <f>IF(ISNUMBER(F119),MIN(30,ROUND(30*LOG10(F119+1)/4,1)),0)</f>
        <v/>
      </c>
      <c r="R119">
        <f>IF(ISNUMBER(G119),ROUND(25*(100-G119)/100,1),12.5)</f>
        <v/>
      </c>
      <c r="S119" t="n">
        <v>20</v>
      </c>
      <c r="T119">
        <f>ROUND(P119+Q119+R119+S119,0)</f>
        <v/>
      </c>
      <c r="U119" s="5" t="inlineStr">
        <is>
          <t>hostino.ma #12 https://www.hostino.ma/ | vala.ma #11 https://www.vala.ma/blog/post/pourquoi-choisir-un-hebergement-web-au-maroc-5-criteres-pour-bien-choisir</t>
        </is>
      </c>
      <c r="V119" s="5" t="inlineStr"/>
    </row>
    <row r="120">
      <c r="A120" t="inlineStr">
        <is>
          <t>K0118</t>
        </is>
      </c>
      <c r="B120" t="inlineStr">
        <is>
          <t>ika</t>
        </is>
      </c>
      <c r="C120" t="inlineStr">
        <is>
          <t>Morocco</t>
        </is>
      </c>
      <c r="D120" t="inlineStr">
        <is>
          <t>ma</t>
        </is>
      </c>
      <c r="E120" t="inlineStr">
        <is>
          <t>fr</t>
        </is>
      </c>
      <c r="F120" t="n">
        <v>320</v>
      </c>
      <c r="G120" t="n">
        <v>46</v>
      </c>
      <c r="H120" t="n">
        <v>1.05</v>
      </c>
      <c r="I120" t="n">
        <v>0.01</v>
      </c>
      <c r="J120" t="inlineStr">
        <is>
          <t>Navigational</t>
        </is>
      </c>
      <c r="K120" t="inlineStr">
        <is>
          <t>NOT AVAILABLE (report not requested)</t>
        </is>
      </c>
      <c r="L120" t="inlineStr">
        <is>
          <t>stable (calc.)</t>
        </is>
      </c>
      <c r="M120" t="inlineStr">
        <is>
          <t>MEASURED</t>
        </is>
      </c>
      <c r="N120" s="5" t="inlineStr">
        <is>
          <t>Semrush resource_organic (competitor urikacloud.com)</t>
        </is>
      </c>
      <c r="O120" t="inlineStr">
        <is>
          <t>2026-10-30</t>
        </is>
      </c>
      <c r="P120">
        <f>IF(IF(J120="NOT AVAILABLE","",J120)="",12,IF(OR(ISNUMBER(SEARCH("Transactional",IF(J120="NOT AVAILABLE","",J120))),ISNUMBER(SEARCH("Commercial",IF(J120="NOT AVAILABLE","",J120)))),25,IF(ISNUMBER(SEARCH("Informational",IF(J120="NOT AVAILABLE","",J120))),10,IF(ISNUMBER(SEARCH("Navigational",IF(J120="NOT AVAILABLE","",J120))),0,12))))</f>
        <v/>
      </c>
      <c r="Q120">
        <f>IF(ISNUMBER(F120),MIN(30,ROUND(30*LOG10(F120+1)/4,1)),0)</f>
        <v/>
      </c>
      <c r="R120">
        <f>IF(ISNUMBER(G120),ROUND(25*(100-G120)/100,1),12.5)</f>
        <v/>
      </c>
      <c r="S120" t="n">
        <v>20</v>
      </c>
      <c r="T120">
        <f>ROUND(P120+Q120+R120+S120,0)</f>
        <v/>
      </c>
      <c r="U120" s="5" t="inlineStr">
        <is>
          <t>urikacloud.com #49 https://urikacloud.com/</t>
        </is>
      </c>
      <c r="V120" s="5" t="inlineStr"/>
    </row>
    <row r="121">
      <c r="A121" t="inlineStr">
        <is>
          <t>K0119</t>
        </is>
      </c>
      <c r="B121" t="inlineStr">
        <is>
          <t>nom domaine</t>
        </is>
      </c>
      <c r="C121" t="inlineStr">
        <is>
          <t>Morocco</t>
        </is>
      </c>
      <c r="D121" t="inlineStr">
        <is>
          <t>ma</t>
        </is>
      </c>
      <c r="E121" t="inlineStr">
        <is>
          <t>fr</t>
        </is>
      </c>
      <c r="F121" t="n">
        <v>320</v>
      </c>
      <c r="G121" t="n">
        <v>45</v>
      </c>
      <c r="H121" t="n">
        <v>0.59</v>
      </c>
      <c r="I121" t="n">
        <v>0.75</v>
      </c>
      <c r="J121" t="inlineStr">
        <is>
          <t>Informational</t>
        </is>
      </c>
      <c r="K121" t="inlineStr">
        <is>
          <t>NOT AVAILABLE (report not requested)</t>
        </is>
      </c>
      <c r="L121" t="inlineStr">
        <is>
          <t>stable (calc.)</t>
        </is>
      </c>
      <c r="M121" t="inlineStr">
        <is>
          <t>MEASURED</t>
        </is>
      </c>
      <c r="N121" s="5" t="inlineStr">
        <is>
          <t>Semrush resource_organic (competitor hostino.ma)</t>
        </is>
      </c>
      <c r="O121" t="inlineStr">
        <is>
          <t>2026-10-30</t>
        </is>
      </c>
      <c r="P121">
        <f>IF(IF(J121="NOT AVAILABLE","",J121)="",12,IF(OR(ISNUMBER(SEARCH("Transactional",IF(J121="NOT AVAILABLE","",J121))),ISNUMBER(SEARCH("Commercial",IF(J121="NOT AVAILABLE","",J121)))),25,IF(ISNUMBER(SEARCH("Informational",IF(J121="NOT AVAILABLE","",J121))),10,IF(ISNUMBER(SEARCH("Navigational",IF(J121="NOT AVAILABLE","",J121))),0,12))))</f>
        <v/>
      </c>
      <c r="Q121">
        <f>IF(ISNUMBER(F121),MIN(30,ROUND(30*LOG10(F121+1)/4,1)),0)</f>
        <v/>
      </c>
      <c r="R121">
        <f>IF(ISNUMBER(G121),ROUND(25*(100-G121)/100,1),12.5)</f>
        <v/>
      </c>
      <c r="S121" t="n">
        <v>20</v>
      </c>
      <c r="T121">
        <f>ROUND(P121+Q121+R121+S121,0)</f>
        <v/>
      </c>
      <c r="U121" s="5" t="inlineStr">
        <is>
          <t>hostino.ma #32 https://www.hostino.ma/nom-de-domaine-ma/</t>
        </is>
      </c>
      <c r="V121" s="5" t="inlineStr"/>
    </row>
    <row r="122">
      <c r="A122" t="inlineStr">
        <is>
          <t>K0120</t>
        </is>
      </c>
      <c r="B122" t="inlineStr">
        <is>
          <t>open banking</t>
        </is>
      </c>
      <c r="C122" t="inlineStr">
        <is>
          <t>Morocco</t>
        </is>
      </c>
      <c r="D122" t="inlineStr">
        <is>
          <t>ma</t>
        </is>
      </c>
      <c r="E122" t="inlineStr">
        <is>
          <t>fr</t>
        </is>
      </c>
      <c r="F122" t="n">
        <v>320</v>
      </c>
      <c r="G122" t="n">
        <v>26</v>
      </c>
      <c r="H122" t="n">
        <v>0.65</v>
      </c>
      <c r="I122" t="n">
        <v>0.06</v>
      </c>
      <c r="J122" t="inlineStr">
        <is>
          <t>Informational</t>
        </is>
      </c>
      <c r="K122" t="inlineStr">
        <is>
          <t>NOT AVAILABLE (report not requested)</t>
        </is>
      </c>
      <c r="L122" t="inlineStr">
        <is>
          <t>stable (calc.)</t>
        </is>
      </c>
      <c r="M122" t="inlineStr">
        <is>
          <t>MEASURED</t>
        </is>
      </c>
      <c r="N122" s="5" t="inlineStr">
        <is>
          <t>Semrush resource_organic (competitor void.ma)</t>
        </is>
      </c>
      <c r="O122" t="inlineStr">
        <is>
          <t>2026-10-30</t>
        </is>
      </c>
      <c r="P122">
        <f>IF(IF(J122="NOT AVAILABLE","",J122)="",12,IF(OR(ISNUMBER(SEARCH("Transactional",IF(J122="NOT AVAILABLE","",J122))),ISNUMBER(SEARCH("Commercial",IF(J122="NOT AVAILABLE","",J122)))),25,IF(ISNUMBER(SEARCH("Informational",IF(J122="NOT AVAILABLE","",J122))),10,IF(ISNUMBER(SEARCH("Navigational",IF(J122="NOT AVAILABLE","",J122))),0,12))))</f>
        <v/>
      </c>
      <c r="Q122">
        <f>IF(ISNUMBER(F122),MIN(30,ROUND(30*LOG10(F122+1)/4,1)),0)</f>
        <v/>
      </c>
      <c r="R122">
        <f>IF(ISNUMBER(G122),ROUND(25*(100-G122)/100,1),12.5)</f>
        <v/>
      </c>
      <c r="S122" t="n">
        <v>20</v>
      </c>
      <c r="T122">
        <f>ROUND(P122+Q122+R122+S122,0)</f>
        <v/>
      </c>
      <c r="U122" s="5" t="inlineStr">
        <is>
          <t>void.ma #5 https://void.ma/secteurs/open-banking-maroc/</t>
        </is>
      </c>
      <c r="V122" s="5" t="inlineStr"/>
    </row>
    <row r="123">
      <c r="A123" t="inlineStr">
        <is>
          <t>K0121</t>
        </is>
      </c>
      <c r="B123" t="inlineStr">
        <is>
          <t>seo maroc</t>
        </is>
      </c>
      <c r="C123" t="inlineStr">
        <is>
          <t>Morocco</t>
        </is>
      </c>
      <c r="D123" t="inlineStr">
        <is>
          <t>ma</t>
        </is>
      </c>
      <c r="E123" t="inlineStr">
        <is>
          <t>fr</t>
        </is>
      </c>
      <c r="F123" t="n">
        <v>320</v>
      </c>
      <c r="G123" t="n">
        <v>41</v>
      </c>
      <c r="H123" t="n">
        <v>0.83</v>
      </c>
      <c r="I123" t="n">
        <v>0.08</v>
      </c>
      <c r="J123" t="inlineStr">
        <is>
          <t>Commercial</t>
        </is>
      </c>
      <c r="K123" t="inlineStr">
        <is>
          <t>NOT AVAILABLE (report not requested)</t>
        </is>
      </c>
      <c r="L123" t="inlineStr">
        <is>
          <t>declining (calc.)</t>
        </is>
      </c>
      <c r="M123" t="inlineStr">
        <is>
          <t>MEASURED</t>
        </is>
      </c>
      <c r="N123" s="5" t="inlineStr">
        <is>
          <t>Semrush phrase_these (live, this session)</t>
        </is>
      </c>
      <c r="O123" t="inlineStr">
        <is>
          <t>2026-10-30</t>
        </is>
      </c>
      <c r="P123">
        <f>IF(IF(J123="NOT AVAILABLE","",J123)="",12,IF(OR(ISNUMBER(SEARCH("Transactional",IF(J123="NOT AVAILABLE","",J123))),ISNUMBER(SEARCH("Commercial",IF(J123="NOT AVAILABLE","",J123)))),25,IF(ISNUMBER(SEARCH("Informational",IF(J123="NOT AVAILABLE","",J123))),10,IF(ISNUMBER(SEARCH("Navigational",IF(J123="NOT AVAILABLE","",J123))),0,12))))</f>
        <v/>
      </c>
      <c r="Q123">
        <f>IF(ISNUMBER(F123),MIN(30,ROUND(30*LOG10(F123+1)/4,1)),0)</f>
        <v/>
      </c>
      <c r="R123">
        <f>IF(ISNUMBER(G123),ROUND(25*(100-G123)/100,1),12.5)</f>
        <v/>
      </c>
      <c r="S123" t="n">
        <v>20</v>
      </c>
      <c r="T123">
        <f>ROUND(P123+Q123+R123+S123,0)</f>
        <v/>
      </c>
      <c r="U123" s="5" t="inlineStr">
        <is>
          <t>energiedin.com #10 https://www.energiedin.com/agence-referencement-naturel-seo/ | energiedin.com #11 https://www.energiedin.com/agence-referencement-naturel-seo/ | hostino.ma #2 https://www.hostino.ma/agence-seo-maroc/ | urikacloud.com #1 https://urikacloud.com/seo-maroc.htm</t>
        </is>
      </c>
      <c r="V123" s="5" t="inlineStr">
        <is>
          <t>SECONDARY /services/seo-maroc</t>
        </is>
      </c>
    </row>
    <row r="124">
      <c r="A124" t="inlineStr">
        <is>
          <t>K0122</t>
        </is>
      </c>
      <c r="B124" t="inlineStr">
        <is>
          <t>shopify maroc</t>
        </is>
      </c>
      <c r="C124" t="inlineStr">
        <is>
          <t>Morocco</t>
        </is>
      </c>
      <c r="D124" t="inlineStr">
        <is>
          <t>ma</t>
        </is>
      </c>
      <c r="E124" t="inlineStr">
        <is>
          <t>fr</t>
        </is>
      </c>
      <c r="F124" t="n">
        <v>320</v>
      </c>
      <c r="G124" t="n">
        <v>18</v>
      </c>
      <c r="H124" t="n">
        <v>18.76</v>
      </c>
      <c r="I124" t="n">
        <v>0.39</v>
      </c>
      <c r="J124" t="inlineStr">
        <is>
          <t>Informational, Navigational</t>
        </is>
      </c>
      <c r="K124" t="inlineStr">
        <is>
          <t>NOT AVAILABLE (report not requested)</t>
        </is>
      </c>
      <c r="L124" t="inlineStr">
        <is>
          <t>declining (calc.)</t>
        </is>
      </c>
      <c r="M124" t="inlineStr">
        <is>
          <t>MEASURED</t>
        </is>
      </c>
      <c r="N124" s="5" t="inlineStr">
        <is>
          <t>Semrush resource_organic (competitor websuccess.ma)</t>
        </is>
      </c>
      <c r="O124" t="inlineStr">
        <is>
          <t>2026-10-30</t>
        </is>
      </c>
      <c r="P124">
        <f>IF(IF(J124="NOT AVAILABLE","",J124)="",12,IF(OR(ISNUMBER(SEARCH("Transactional",IF(J124="NOT AVAILABLE","",J124))),ISNUMBER(SEARCH("Commercial",IF(J124="NOT AVAILABLE","",J124)))),25,IF(ISNUMBER(SEARCH("Informational",IF(J124="NOT AVAILABLE","",J124))),10,IF(ISNUMBER(SEARCH("Navigational",IF(J124="NOT AVAILABLE","",J124))),0,12))))</f>
        <v/>
      </c>
      <c r="Q124">
        <f>IF(ISNUMBER(F124),MIN(30,ROUND(30*LOG10(F124+1)/4,1)),0)</f>
        <v/>
      </c>
      <c r="R124">
        <f>IF(ISNUMBER(G124),ROUND(25*(100-G124)/100,1),12.5)</f>
        <v/>
      </c>
      <c r="S124" t="n">
        <v>20</v>
      </c>
      <c r="T124">
        <f>ROUND(P124+Q124+R124+S124,0)</f>
        <v/>
      </c>
      <c r="U124" s="5" t="inlineStr">
        <is>
          <t>websuccess.ma #4 https://websuccess.ma/services/creation-site-web-maroc/agence-shopify</t>
        </is>
      </c>
      <c r="V124" s="5" t="inlineStr">
        <is>
          <t>NOT RECOMMENDED /services/ecommerce-website-development</t>
        </is>
      </c>
    </row>
    <row r="125">
      <c r="A125" t="inlineStr">
        <is>
          <t>K0123</t>
        </is>
      </c>
      <c r="B125" t="inlineStr">
        <is>
          <t>vala</t>
        </is>
      </c>
      <c r="C125" t="inlineStr">
        <is>
          <t>Morocco</t>
        </is>
      </c>
      <c r="D125" t="inlineStr">
        <is>
          <t>ma</t>
        </is>
      </c>
      <c r="E125" t="inlineStr">
        <is>
          <t>fr</t>
        </is>
      </c>
      <c r="F125" t="n">
        <v>320</v>
      </c>
      <c r="G125" t="n">
        <v>54</v>
      </c>
      <c r="H125" t="n">
        <v>0.74</v>
      </c>
      <c r="I125" t="n">
        <v>0.02</v>
      </c>
      <c r="J125" t="inlineStr">
        <is>
          <t>Navigational</t>
        </is>
      </c>
      <c r="K125" t="inlineStr">
        <is>
          <t>NOT AVAILABLE (report not requested)</t>
        </is>
      </c>
      <c r="L125" t="inlineStr">
        <is>
          <t>stable (calc.)</t>
        </is>
      </c>
      <c r="M125" t="inlineStr">
        <is>
          <t>MEASURED</t>
        </is>
      </c>
      <c r="N125" s="5" t="inlineStr">
        <is>
          <t>Semrush resource_organic (competitor vala.ma)</t>
        </is>
      </c>
      <c r="O125" t="inlineStr">
        <is>
          <t>2026-10-30</t>
        </is>
      </c>
      <c r="P125">
        <f>IF(IF(J125="NOT AVAILABLE","",J125)="",12,IF(OR(ISNUMBER(SEARCH("Transactional",IF(J125="NOT AVAILABLE","",J125))),ISNUMBER(SEARCH("Commercial",IF(J125="NOT AVAILABLE","",J125)))),25,IF(ISNUMBER(SEARCH("Informational",IF(J125="NOT AVAILABLE","",J125))),10,IF(ISNUMBER(SEARCH("Navigational",IF(J125="NOT AVAILABLE","",J125))),0,12))))</f>
        <v/>
      </c>
      <c r="Q125">
        <f>IF(ISNUMBER(F125),MIN(30,ROUND(30*LOG10(F125+1)/4,1)),0)</f>
        <v/>
      </c>
      <c r="R125">
        <f>IF(ISNUMBER(G125),ROUND(25*(100-G125)/100,1),12.5)</f>
        <v/>
      </c>
      <c r="S125" t="n">
        <v>20</v>
      </c>
      <c r="T125">
        <f>ROUND(P125+Q125+R125+S125,0)</f>
        <v/>
      </c>
      <c r="U125" s="5" t="inlineStr">
        <is>
          <t>vala.ma #1 https://www.vala.ma/</t>
        </is>
      </c>
      <c r="V125" s="5" t="inlineStr"/>
    </row>
    <row r="126">
      <c r="A126" t="inlineStr">
        <is>
          <t>K0124</t>
        </is>
      </c>
      <c r="B126" t="inlineStr">
        <is>
          <t>vps hosting</t>
        </is>
      </c>
      <c r="C126" t="inlineStr">
        <is>
          <t>Morocco</t>
        </is>
      </c>
      <c r="D126" t="inlineStr">
        <is>
          <t>ma</t>
        </is>
      </c>
      <c r="E126" t="inlineStr">
        <is>
          <t>fr</t>
        </is>
      </c>
      <c r="F126" t="n">
        <v>320</v>
      </c>
      <c r="G126" t="n">
        <v>66</v>
      </c>
      <c r="H126" t="n">
        <v>1.98</v>
      </c>
      <c r="I126" t="n">
        <v>0.72</v>
      </c>
      <c r="J126" t="inlineStr">
        <is>
          <t>Informational</t>
        </is>
      </c>
      <c r="K126" t="inlineStr">
        <is>
          <t>NOT AVAILABLE (report not requested)</t>
        </is>
      </c>
      <c r="L126" t="inlineStr">
        <is>
          <t>rising (calc.)</t>
        </is>
      </c>
      <c r="M126" t="inlineStr">
        <is>
          <t>MEASURED</t>
        </is>
      </c>
      <c r="N126" s="5" t="inlineStr">
        <is>
          <t>Semrush resource_organic (competitor vala.ma)</t>
        </is>
      </c>
      <c r="O126" t="inlineStr">
        <is>
          <t>2026-10-30</t>
        </is>
      </c>
      <c r="P126">
        <f>IF(IF(J126="NOT AVAILABLE","",J126)="",12,IF(OR(ISNUMBER(SEARCH("Transactional",IF(J126="NOT AVAILABLE","",J126))),ISNUMBER(SEARCH("Commercial",IF(J126="NOT AVAILABLE","",J126)))),25,IF(ISNUMBER(SEARCH("Informational",IF(J126="NOT AVAILABLE","",J126))),10,IF(ISNUMBER(SEARCH("Navigational",IF(J126="NOT AVAILABLE","",J126))),0,12))))</f>
        <v/>
      </c>
      <c r="Q126">
        <f>IF(ISNUMBER(F126),MIN(30,ROUND(30*LOG10(F126+1)/4,1)),0)</f>
        <v/>
      </c>
      <c r="R126">
        <f>IF(ISNUMBER(G126),ROUND(25*(100-G126)/100,1),12.5)</f>
        <v/>
      </c>
      <c r="S126" t="n">
        <v>20</v>
      </c>
      <c r="T126">
        <f>ROUND(P126+Q126+R126+S126,0)</f>
        <v/>
      </c>
      <c r="U126" s="5" t="inlineStr">
        <is>
          <t>vala.ma #7 https://www.vala.ma/serveurs/vps-pro</t>
        </is>
      </c>
      <c r="V126" s="5" t="inlineStr"/>
    </row>
    <row r="127">
      <c r="A127" t="inlineStr">
        <is>
          <t>K0125</t>
        </is>
      </c>
      <c r="B127" t="inlineStr">
        <is>
          <t>vps server</t>
        </is>
      </c>
      <c r="C127" t="inlineStr">
        <is>
          <t>Morocco</t>
        </is>
      </c>
      <c r="D127" t="inlineStr">
        <is>
          <t>ma</t>
        </is>
      </c>
      <c r="E127" t="inlineStr">
        <is>
          <t>fr</t>
        </is>
      </c>
      <c r="F127" t="n">
        <v>320</v>
      </c>
      <c r="G127" t="n">
        <v>60</v>
      </c>
      <c r="H127" t="n">
        <v>2.86</v>
      </c>
      <c r="I127" t="n">
        <v>0.72</v>
      </c>
      <c r="J127" t="inlineStr">
        <is>
          <t>Informational</t>
        </is>
      </c>
      <c r="K127" t="inlineStr">
        <is>
          <t>NOT AVAILABLE (report not requested)</t>
        </is>
      </c>
      <c r="L127" t="inlineStr">
        <is>
          <t>stable (calc.)</t>
        </is>
      </c>
      <c r="M127" t="inlineStr">
        <is>
          <t>MEASURED</t>
        </is>
      </c>
      <c r="N127" s="5" t="inlineStr">
        <is>
          <t>Semrush resource_organic (competitor vala.ma)</t>
        </is>
      </c>
      <c r="O127" t="inlineStr">
        <is>
          <t>2026-10-30</t>
        </is>
      </c>
      <c r="P127">
        <f>IF(IF(J127="NOT AVAILABLE","",J127)="",12,IF(OR(ISNUMBER(SEARCH("Transactional",IF(J127="NOT AVAILABLE","",J127))),ISNUMBER(SEARCH("Commercial",IF(J127="NOT AVAILABLE","",J127)))),25,IF(ISNUMBER(SEARCH("Informational",IF(J127="NOT AVAILABLE","",J127))),10,IF(ISNUMBER(SEARCH("Navigational",IF(J127="NOT AVAILABLE","",J127))),0,12))))</f>
        <v/>
      </c>
      <c r="Q127">
        <f>IF(ISNUMBER(F127),MIN(30,ROUND(30*LOG10(F127+1)/4,1)),0)</f>
        <v/>
      </c>
      <c r="R127">
        <f>IF(ISNUMBER(G127),ROUND(25*(100-G127)/100,1),12.5)</f>
        <v/>
      </c>
      <c r="S127" t="n">
        <v>20</v>
      </c>
      <c r="T127">
        <f>ROUND(P127+Q127+R127+S127,0)</f>
        <v/>
      </c>
      <c r="U127" s="5" t="inlineStr">
        <is>
          <t>vala.ma #10 https://www.vala.ma/serveurs/vps-pro</t>
        </is>
      </c>
      <c r="V127" s="5" t="inlineStr"/>
    </row>
    <row r="128">
      <c r="A128" t="inlineStr">
        <is>
          <t>K0126</t>
        </is>
      </c>
      <c r="B128" t="inlineStr">
        <is>
          <t>www void ma</t>
        </is>
      </c>
      <c r="C128" t="inlineStr">
        <is>
          <t>Morocco</t>
        </is>
      </c>
      <c r="D128" t="inlineStr">
        <is>
          <t>ma</t>
        </is>
      </c>
      <c r="E128" t="inlineStr">
        <is>
          <t>fr</t>
        </is>
      </c>
      <c r="F128" t="n">
        <v>320</v>
      </c>
      <c r="G128" t="n">
        <v>25</v>
      </c>
      <c r="H128" t="n">
        <v>1.99</v>
      </c>
      <c r="I128" t="n">
        <v>0.02</v>
      </c>
      <c r="J128" t="inlineStr">
        <is>
          <t>Informational, Navigational</t>
        </is>
      </c>
      <c r="K128" t="inlineStr">
        <is>
          <t>NOT AVAILABLE (report not requested)</t>
        </is>
      </c>
      <c r="L128" t="inlineStr">
        <is>
          <t>stable (calc.)</t>
        </is>
      </c>
      <c r="M128" t="inlineStr">
        <is>
          <t>MEASURED</t>
        </is>
      </c>
      <c r="N128" s="5" t="inlineStr">
        <is>
          <t>Semrush resource_organic (competitor void.ma)</t>
        </is>
      </c>
      <c r="O128" t="inlineStr">
        <is>
          <t>2026-10-30</t>
        </is>
      </c>
      <c r="P128">
        <f>IF(IF(J128="NOT AVAILABLE","",J128)="",12,IF(OR(ISNUMBER(SEARCH("Transactional",IF(J128="NOT AVAILABLE","",J128))),ISNUMBER(SEARCH("Commercial",IF(J128="NOT AVAILABLE","",J128)))),25,IF(ISNUMBER(SEARCH("Informational",IF(J128="NOT AVAILABLE","",J128))),10,IF(ISNUMBER(SEARCH("Navigational",IF(J128="NOT AVAILABLE","",J128))),0,12))))</f>
        <v/>
      </c>
      <c r="Q128">
        <f>IF(ISNUMBER(F128),MIN(30,ROUND(30*LOG10(F128+1)/4,1)),0)</f>
        <v/>
      </c>
      <c r="R128">
        <f>IF(ISNUMBER(G128),ROUND(25*(100-G128)/100,1),12.5)</f>
        <v/>
      </c>
      <c r="S128" t="n">
        <v>20</v>
      </c>
      <c r="T128">
        <f>ROUND(P128+Q128+R128+S128,0)</f>
        <v/>
      </c>
      <c r="U128" s="5" t="inlineStr">
        <is>
          <t>void.ma #1 https://void.ma/</t>
        </is>
      </c>
      <c r="V128" s="5" t="inlineStr"/>
    </row>
    <row r="129">
      <c r="A129" t="inlineStr">
        <is>
          <t>K0127</t>
        </is>
      </c>
      <c r="B129" t="inlineStr">
        <is>
          <t>agence digitale casablanca</t>
        </is>
      </c>
      <c r="C129" t="inlineStr">
        <is>
          <t>Morocco</t>
        </is>
      </c>
      <c r="D129" t="inlineStr">
        <is>
          <t>ma</t>
        </is>
      </c>
      <c r="E129" t="inlineStr">
        <is>
          <t>fr</t>
        </is>
      </c>
      <c r="F129" t="n">
        <v>260</v>
      </c>
      <c r="G129" t="inlineStr">
        <is>
          <t>NOT AVAILABLE</t>
        </is>
      </c>
      <c r="H129" t="n">
        <v>0.78</v>
      </c>
      <c r="I129" t="n">
        <v>0.3</v>
      </c>
      <c r="J129" t="inlineStr">
        <is>
          <t>NOT AVAILABLE</t>
        </is>
      </c>
      <c r="K129" t="inlineStr">
        <is>
          <t>NOT AVAILABLE (report not requested)</t>
        </is>
      </c>
      <c r="L129" t="inlineStr">
        <is>
          <t>declining (calc.)</t>
        </is>
      </c>
      <c r="M129" t="inlineStr">
        <is>
          <t>MEASURED</t>
        </is>
      </c>
      <c r="N129" s="5" t="inlineStr">
        <is>
          <t>Semrush phrase_these (live, this session)</t>
        </is>
      </c>
      <c r="O129" t="inlineStr">
        <is>
          <t>2026-10-30</t>
        </is>
      </c>
      <c r="P129">
        <f>IF(IF(J129="NOT AVAILABLE","",J129)="",12,IF(OR(ISNUMBER(SEARCH("Transactional",IF(J129="NOT AVAILABLE","",J129))),ISNUMBER(SEARCH("Commercial",IF(J129="NOT AVAILABLE","",J129)))),25,IF(ISNUMBER(SEARCH("Informational",IF(J129="NOT AVAILABLE","",J129))),10,IF(ISNUMBER(SEARCH("Navigational",IF(J129="NOT AVAILABLE","",J129))),0,12))))</f>
        <v/>
      </c>
      <c r="Q129">
        <f>IF(ISNUMBER(F129),MIN(30,ROUND(30*LOG10(F129+1)/4,1)),0)</f>
        <v/>
      </c>
      <c r="R129">
        <f>IF(ISNUMBER(G129),ROUND(25*(100-G129)/100,1),12.5)</f>
        <v/>
      </c>
      <c r="S129" t="n">
        <v>20</v>
      </c>
      <c r="T129">
        <f>ROUND(P129+Q129+R129+S129,0)</f>
        <v/>
      </c>
      <c r="U129" s="5" t="inlineStr"/>
      <c r="V129" s="5" t="inlineStr">
        <is>
          <t>SECONDARY /web-development-company/casablanca</t>
        </is>
      </c>
    </row>
    <row r="130">
      <c r="A130" t="inlineStr">
        <is>
          <t>K0128</t>
        </is>
      </c>
      <c r="B130" t="inlineStr">
        <is>
          <t>agence web rabat</t>
        </is>
      </c>
      <c r="C130" t="inlineStr">
        <is>
          <t>Morocco</t>
        </is>
      </c>
      <c r="D130" t="inlineStr">
        <is>
          <t>ma</t>
        </is>
      </c>
      <c r="E130" t="inlineStr">
        <is>
          <t>fr</t>
        </is>
      </c>
      <c r="F130" t="n">
        <v>260</v>
      </c>
      <c r="G130" t="inlineStr">
        <is>
          <t>NOT AVAILABLE</t>
        </is>
      </c>
      <c r="H130" t="n">
        <v>0.8</v>
      </c>
      <c r="I130" t="n">
        <v>0.16</v>
      </c>
      <c r="J130" t="inlineStr">
        <is>
          <t>NOT AVAILABLE</t>
        </is>
      </c>
      <c r="K130" t="inlineStr">
        <is>
          <t>NOT AVAILABLE (report not requested)</t>
        </is>
      </c>
      <c r="L130" t="inlineStr">
        <is>
          <t>rising (calc.)</t>
        </is>
      </c>
      <c r="M130" t="inlineStr">
        <is>
          <t>MEASURED</t>
        </is>
      </c>
      <c r="N130" s="5" t="inlineStr">
        <is>
          <t>Semrush phrase_these (live, this session)</t>
        </is>
      </c>
      <c r="O130" t="inlineStr">
        <is>
          <t>2026-10-30</t>
        </is>
      </c>
      <c r="P130">
        <f>IF(IF(J130="NOT AVAILABLE","",J130)="",12,IF(OR(ISNUMBER(SEARCH("Transactional",IF(J130="NOT AVAILABLE","",J130))),ISNUMBER(SEARCH("Commercial",IF(J130="NOT AVAILABLE","",J130)))),25,IF(ISNUMBER(SEARCH("Informational",IF(J130="NOT AVAILABLE","",J130))),10,IF(ISNUMBER(SEARCH("Navigational",IF(J130="NOT AVAILABLE","",J130))),0,12))))</f>
        <v/>
      </c>
      <c r="Q130">
        <f>IF(ISNUMBER(F130),MIN(30,ROUND(30*LOG10(F130+1)/4,1)),0)</f>
        <v/>
      </c>
      <c r="R130">
        <f>IF(ISNUMBER(G130),ROUND(25*(100-G130)/100,1),12.5)</f>
        <v/>
      </c>
      <c r="S130" t="n">
        <v>20</v>
      </c>
      <c r="T130">
        <f>ROUND(P130+Q130+R130+S130,0)</f>
        <v/>
      </c>
      <c r="U130" s="5" t="inlineStr"/>
      <c r="V130" s="5" t="inlineStr">
        <is>
          <t>PRIMARY /web-development-company/rabat</t>
        </is>
      </c>
    </row>
    <row r="131">
      <c r="A131" t="inlineStr">
        <is>
          <t>K0129</t>
        </is>
      </c>
      <c r="B131" t="inlineStr">
        <is>
          <t>caractère invisible</t>
        </is>
      </c>
      <c r="C131" t="inlineStr">
        <is>
          <t>Morocco</t>
        </is>
      </c>
      <c r="D131" t="inlineStr">
        <is>
          <t>ma</t>
        </is>
      </c>
      <c r="E131" t="inlineStr">
        <is>
          <t>fr</t>
        </is>
      </c>
      <c r="F131" t="n">
        <v>260</v>
      </c>
      <c r="G131" t="inlineStr">
        <is>
          <t>NOT AVAILABLE</t>
        </is>
      </c>
      <c r="H131" t="n">
        <v>0</v>
      </c>
      <c r="I131" t="n">
        <v>0.33</v>
      </c>
      <c r="J131" t="inlineStr">
        <is>
          <t>NOT AVAILABLE</t>
        </is>
      </c>
      <c r="K131" t="inlineStr">
        <is>
          <t>NOT AVAILABLE (report not requested)</t>
        </is>
      </c>
      <c r="L131" t="inlineStr">
        <is>
          <t>rising (calc.)</t>
        </is>
      </c>
      <c r="M131" t="inlineStr">
        <is>
          <t>MEASURED</t>
        </is>
      </c>
      <c r="N131" s="5" t="inlineStr">
        <is>
          <t>Semrush phrase_these (live, this session)</t>
        </is>
      </c>
      <c r="O131" t="inlineStr">
        <is>
          <t>2026-10-30</t>
        </is>
      </c>
      <c r="P131">
        <f>IF(IF(J131="NOT AVAILABLE","",J131)="",12,IF(OR(ISNUMBER(SEARCH("Transactional",IF(J131="NOT AVAILABLE","",J131))),ISNUMBER(SEARCH("Commercial",IF(J131="NOT AVAILABLE","",J131)))),25,IF(ISNUMBER(SEARCH("Informational",IF(J131="NOT AVAILABLE","",J131))),10,IF(ISNUMBER(SEARCH("Navigational",IF(J131="NOT AVAILABLE","",J131))),0,12))))</f>
        <v/>
      </c>
      <c r="Q131">
        <f>IF(ISNUMBER(F131),MIN(30,ROUND(30*LOG10(F131+1)/4,1)),0)</f>
        <v/>
      </c>
      <c r="R131">
        <f>IF(ISNUMBER(G131),ROUND(25*(100-G131)/100,1),12.5)</f>
        <v/>
      </c>
      <c r="S131" t="n">
        <v>20</v>
      </c>
      <c r="T131">
        <f>ROUND(P131+Q131+R131+S131,0)</f>
        <v/>
      </c>
      <c r="U131" s="5" t="inlineStr"/>
      <c r="V131" s="5" t="inlineStr">
        <is>
          <t>SECONDARY /tools/invisible-character-cleaner</t>
        </is>
      </c>
    </row>
    <row r="132">
      <c r="A132" t="inlineStr">
        <is>
          <t>K0130</t>
        </is>
      </c>
      <c r="B132" t="inlineStr">
        <is>
          <t>crm maroc</t>
        </is>
      </c>
      <c r="C132" t="inlineStr">
        <is>
          <t>Morocco</t>
        </is>
      </c>
      <c r="D132" t="inlineStr">
        <is>
          <t>ma</t>
        </is>
      </c>
      <c r="E132" t="inlineStr">
        <is>
          <t>fr</t>
        </is>
      </c>
      <c r="F132" t="n">
        <v>260</v>
      </c>
      <c r="G132" t="inlineStr">
        <is>
          <t>NOT AVAILABLE</t>
        </is>
      </c>
      <c r="H132" t="n">
        <v>0.49</v>
      </c>
      <c r="I132" t="n">
        <v>0.15</v>
      </c>
      <c r="J132" t="inlineStr">
        <is>
          <t>NOT AVAILABLE</t>
        </is>
      </c>
      <c r="K132" t="inlineStr">
        <is>
          <t>NOT AVAILABLE (report not requested)</t>
        </is>
      </c>
      <c r="L132" t="inlineStr">
        <is>
          <t>rising (calc.)</t>
        </is>
      </c>
      <c r="M132" t="inlineStr">
        <is>
          <t>MEASURED</t>
        </is>
      </c>
      <c r="N132" s="5" t="inlineStr">
        <is>
          <t>Semrush phrase_these (historical w3-validate-D-software.csv)</t>
        </is>
      </c>
      <c r="O132" t="inlineStr">
        <is>
          <t>2026-10-27</t>
        </is>
      </c>
      <c r="P132">
        <f>IF(IF(J132="NOT AVAILABLE","",J132)="",12,IF(OR(ISNUMBER(SEARCH("Transactional",IF(J132="NOT AVAILABLE","",J132))),ISNUMBER(SEARCH("Commercial",IF(J132="NOT AVAILABLE","",J132)))),25,IF(ISNUMBER(SEARCH("Informational",IF(J132="NOT AVAILABLE","",J132))),10,IF(ISNUMBER(SEARCH("Navigational",IF(J132="NOT AVAILABLE","",J132))),0,12))))</f>
        <v/>
      </c>
      <c r="Q132">
        <f>IF(ISNUMBER(F132),MIN(30,ROUND(30*LOG10(F132+1)/4,1)),0)</f>
        <v/>
      </c>
      <c r="R132">
        <f>IF(ISNUMBER(G132),ROUND(25*(100-G132)/100,1),12.5)</f>
        <v/>
      </c>
      <c r="S132" t="n">
        <v>20</v>
      </c>
      <c r="T132">
        <f>ROUND(P132+Q132+R132+S132,0)</f>
        <v/>
      </c>
      <c r="U132" s="5" t="inlineStr"/>
      <c r="V132" s="5" t="inlineStr"/>
    </row>
    <row r="133">
      <c r="A133" t="inlineStr">
        <is>
          <t>K0131</t>
        </is>
      </c>
      <c r="B133" t="inlineStr">
        <is>
          <t>création de site web</t>
        </is>
      </c>
      <c r="C133" t="inlineStr">
        <is>
          <t>Morocco</t>
        </is>
      </c>
      <c r="D133" t="inlineStr">
        <is>
          <t>ma</t>
        </is>
      </c>
      <c r="E133" t="inlineStr">
        <is>
          <t>fr</t>
        </is>
      </c>
      <c r="F133" t="n">
        <v>260</v>
      </c>
      <c r="G133" t="inlineStr">
        <is>
          <t>NOT AVAILABLE</t>
        </is>
      </c>
      <c r="H133" t="n">
        <v>1.03</v>
      </c>
      <c r="I133" t="n">
        <v>0.59</v>
      </c>
      <c r="J133" t="inlineStr">
        <is>
          <t>NOT AVAILABLE</t>
        </is>
      </c>
      <c r="K133" t="inlineStr">
        <is>
          <t>NOT AVAILABLE (report not requested)</t>
        </is>
      </c>
      <c r="L133" t="inlineStr">
        <is>
          <t>declining (calc.)</t>
        </is>
      </c>
      <c r="M133" t="inlineStr">
        <is>
          <t>MEASURED</t>
        </is>
      </c>
      <c r="N133" s="5" t="inlineStr">
        <is>
          <t>Semrush phrase_these (live, this session)</t>
        </is>
      </c>
      <c r="O133" t="inlineStr">
        <is>
          <t>2026-10-30</t>
        </is>
      </c>
      <c r="P133">
        <f>IF(IF(J133="NOT AVAILABLE","",J133)="",12,IF(OR(ISNUMBER(SEARCH("Transactional",IF(J133="NOT AVAILABLE","",J133))),ISNUMBER(SEARCH("Commercial",IF(J133="NOT AVAILABLE","",J133)))),25,IF(ISNUMBER(SEARCH("Informational",IF(J133="NOT AVAILABLE","",J133))),10,IF(ISNUMBER(SEARCH("Navigational",IF(J133="NOT AVAILABLE","",J133))),0,12))))</f>
        <v/>
      </c>
      <c r="Q133">
        <f>IF(ISNUMBER(F133),MIN(30,ROUND(30*LOG10(F133+1)/4,1)),0)</f>
        <v/>
      </c>
      <c r="R133">
        <f>IF(ISNUMBER(G133),ROUND(25*(100-G133)/100,1),12.5)</f>
        <v/>
      </c>
      <c r="S133" t="n">
        <v>20</v>
      </c>
      <c r="T133">
        <f>ROUND(P133+Q133+R133+S133,0)</f>
        <v/>
      </c>
      <c r="U133" s="5" t="inlineStr"/>
      <c r="V133" s="5" t="inlineStr">
        <is>
          <t>SUPPORTING /</t>
        </is>
      </c>
    </row>
    <row r="134">
      <c r="A134" t="inlineStr">
        <is>
          <t>K0132</t>
        </is>
      </c>
      <c r="B134" t="inlineStr">
        <is>
          <t>création site web tanger</t>
        </is>
      </c>
      <c r="C134" t="inlineStr">
        <is>
          <t>Morocco</t>
        </is>
      </c>
      <c r="D134" t="inlineStr">
        <is>
          <t>ma</t>
        </is>
      </c>
      <c r="E134" t="inlineStr">
        <is>
          <t>fr</t>
        </is>
      </c>
      <c r="F134" t="n">
        <v>260</v>
      </c>
      <c r="G134" t="inlineStr">
        <is>
          <t>NOT AVAILABLE</t>
        </is>
      </c>
      <c r="H134" t="n">
        <v>0.66</v>
      </c>
      <c r="I134" t="n">
        <v>0.02</v>
      </c>
      <c r="J134" t="inlineStr">
        <is>
          <t>NOT AVAILABLE</t>
        </is>
      </c>
      <c r="K134" t="inlineStr">
        <is>
          <t>NOT AVAILABLE (report not requested)</t>
        </is>
      </c>
      <c r="L134" t="inlineStr">
        <is>
          <t>rising (calc.)</t>
        </is>
      </c>
      <c r="M134" t="inlineStr">
        <is>
          <t>MEASURED</t>
        </is>
      </c>
      <c r="N134" s="5" t="inlineStr">
        <is>
          <t>Semrush phrase_these (live, this session)</t>
        </is>
      </c>
      <c r="O134" t="inlineStr">
        <is>
          <t>2026-10-30</t>
        </is>
      </c>
      <c r="P134">
        <f>IF(IF(J134="NOT AVAILABLE","",J134)="",12,IF(OR(ISNUMBER(SEARCH("Transactional",IF(J134="NOT AVAILABLE","",J134))),ISNUMBER(SEARCH("Commercial",IF(J134="NOT AVAILABLE","",J134)))),25,IF(ISNUMBER(SEARCH("Informational",IF(J134="NOT AVAILABLE","",J134))),10,IF(ISNUMBER(SEARCH("Navigational",IF(J134="NOT AVAILABLE","",J134))),0,12))))</f>
        <v/>
      </c>
      <c r="Q134">
        <f>IF(ISNUMBER(F134),MIN(30,ROUND(30*LOG10(F134+1)/4,1)),0)</f>
        <v/>
      </c>
      <c r="R134">
        <f>IF(ISNUMBER(G134),ROUND(25*(100-G134)/100,1),12.5)</f>
        <v/>
      </c>
      <c r="S134" t="n">
        <v>20</v>
      </c>
      <c r="T134">
        <f>ROUND(P134+Q134+R134+S134,0)</f>
        <v/>
      </c>
      <c r="U134" s="5" t="inlineStr"/>
      <c r="V134" s="5" t="inlineStr">
        <is>
          <t>SECONDARY /web-development-company/tangier</t>
        </is>
      </c>
    </row>
    <row r="135">
      <c r="A135" t="inlineStr">
        <is>
          <t>K0133</t>
        </is>
      </c>
      <c r="B135" t="inlineStr">
        <is>
          <t>créer qr code</t>
        </is>
      </c>
      <c r="C135" t="inlineStr">
        <is>
          <t>Morocco</t>
        </is>
      </c>
      <c r="D135" t="inlineStr">
        <is>
          <t>ma</t>
        </is>
      </c>
      <c r="E135" t="inlineStr">
        <is>
          <t>fr</t>
        </is>
      </c>
      <c r="F135" t="n">
        <v>260</v>
      </c>
      <c r="G135" t="inlineStr">
        <is>
          <t>NOT AVAILABLE</t>
        </is>
      </c>
      <c r="H135" t="n">
        <v>0.14</v>
      </c>
      <c r="I135" t="n">
        <v>0.62</v>
      </c>
      <c r="J135" t="inlineStr">
        <is>
          <t>NOT AVAILABLE</t>
        </is>
      </c>
      <c r="K135" t="inlineStr">
        <is>
          <t>NOT AVAILABLE (report not requested)</t>
        </is>
      </c>
      <c r="L135" t="inlineStr">
        <is>
          <t>declining (calc.)</t>
        </is>
      </c>
      <c r="M135" t="inlineStr">
        <is>
          <t>MEASURED</t>
        </is>
      </c>
      <c r="N135" s="5" t="inlineStr">
        <is>
          <t>Semrush phrase_these (live, this session)</t>
        </is>
      </c>
      <c r="O135" t="inlineStr">
        <is>
          <t>2026-10-30</t>
        </is>
      </c>
      <c r="P135">
        <f>IF(IF(J135="NOT AVAILABLE","",J135)="",12,IF(OR(ISNUMBER(SEARCH("Transactional",IF(J135="NOT AVAILABLE","",J135))),ISNUMBER(SEARCH("Commercial",IF(J135="NOT AVAILABLE","",J135)))),25,IF(ISNUMBER(SEARCH("Informational",IF(J135="NOT AVAILABLE","",J135))),10,IF(ISNUMBER(SEARCH("Navigational",IF(J135="NOT AVAILABLE","",J135))),0,12))))</f>
        <v/>
      </c>
      <c r="Q135">
        <f>IF(ISNUMBER(F135),MIN(30,ROUND(30*LOG10(F135+1)/4,1)),0)</f>
        <v/>
      </c>
      <c r="R135">
        <f>IF(ISNUMBER(G135),ROUND(25*(100-G135)/100,1),12.5)</f>
        <v/>
      </c>
      <c r="S135" t="n">
        <v>20</v>
      </c>
      <c r="T135">
        <f>ROUND(P135+Q135+R135+S135,0)</f>
        <v/>
      </c>
      <c r="U135" s="5" t="inlineStr"/>
      <c r="V135" s="5" t="inlineStr">
        <is>
          <t>SUPPORTING /tools/qr-code-generator</t>
        </is>
      </c>
    </row>
    <row r="136">
      <c r="A136" t="inlineStr">
        <is>
          <t>K0134</t>
        </is>
      </c>
      <c r="B136" t="inlineStr">
        <is>
          <t>ecommerce maroc</t>
        </is>
      </c>
      <c r="C136" t="inlineStr">
        <is>
          <t>Morocco</t>
        </is>
      </c>
      <c r="D136" t="inlineStr">
        <is>
          <t>ma</t>
        </is>
      </c>
      <c r="E136" t="inlineStr">
        <is>
          <t>fr</t>
        </is>
      </c>
      <c r="F136" t="n">
        <v>260</v>
      </c>
      <c r="G136" t="inlineStr">
        <is>
          <t>NOT AVAILABLE</t>
        </is>
      </c>
      <c r="H136" t="n">
        <v>0.28</v>
      </c>
      <c r="I136" t="n">
        <v>0.33</v>
      </c>
      <c r="J136" t="inlineStr">
        <is>
          <t>NOT AVAILABLE</t>
        </is>
      </c>
      <c r="K136" t="inlineStr">
        <is>
          <t>NOT AVAILABLE (report not requested)</t>
        </is>
      </c>
      <c r="L136" t="inlineStr">
        <is>
          <t>rising (calc.)</t>
        </is>
      </c>
      <c r="M136" t="inlineStr">
        <is>
          <t>MEASURED</t>
        </is>
      </c>
      <c r="N136" s="5" t="inlineStr">
        <is>
          <t>Semrush phrase_these (live, this session)</t>
        </is>
      </c>
      <c r="O136" t="inlineStr">
        <is>
          <t>2026-10-30</t>
        </is>
      </c>
      <c r="P136">
        <f>IF(IF(J136="NOT AVAILABLE","",J136)="",12,IF(OR(ISNUMBER(SEARCH("Transactional",IF(J136="NOT AVAILABLE","",J136))),ISNUMBER(SEARCH("Commercial",IF(J136="NOT AVAILABLE","",J136)))),25,IF(ISNUMBER(SEARCH("Informational",IF(J136="NOT AVAILABLE","",J136))),10,IF(ISNUMBER(SEARCH("Navigational",IF(J136="NOT AVAILABLE","",J136))),0,12))))</f>
        <v/>
      </c>
      <c r="Q136">
        <f>IF(ISNUMBER(F136),MIN(30,ROUND(30*LOG10(F136+1)/4,1)),0)</f>
        <v/>
      </c>
      <c r="R136">
        <f>IF(ISNUMBER(G136),ROUND(25*(100-G136)/100,1),12.5)</f>
        <v/>
      </c>
      <c r="S136" t="n">
        <v>20</v>
      </c>
      <c r="T136">
        <f>ROUND(P136+Q136+R136+S136,0)</f>
        <v/>
      </c>
      <c r="U136" s="5" t="inlineStr"/>
      <c r="V136" s="5" t="inlineStr">
        <is>
          <t>SUPPORTING /services/ecommerce-website-development</t>
        </is>
      </c>
    </row>
    <row r="137">
      <c r="A137" t="inlineStr">
        <is>
          <t>K0135</t>
        </is>
      </c>
      <c r="B137" t="inlineStr">
        <is>
          <t>robots.txt</t>
        </is>
      </c>
      <c r="C137" t="inlineStr">
        <is>
          <t>Morocco</t>
        </is>
      </c>
      <c r="D137" t="inlineStr">
        <is>
          <t>ma</t>
        </is>
      </c>
      <c r="E137" t="inlineStr">
        <is>
          <t>fr</t>
        </is>
      </c>
      <c r="F137" t="n">
        <v>260</v>
      </c>
      <c r="G137" t="inlineStr">
        <is>
          <t>NOT AVAILABLE</t>
        </is>
      </c>
      <c r="H137" t="n">
        <v>0.34</v>
      </c>
      <c r="I137" t="n">
        <v>0.02</v>
      </c>
      <c r="J137" t="inlineStr">
        <is>
          <t>NOT AVAILABLE</t>
        </is>
      </c>
      <c r="K137" t="inlineStr">
        <is>
          <t>NOT AVAILABLE (report not requested)</t>
        </is>
      </c>
      <c r="L137" t="inlineStr">
        <is>
          <t>stable (calc.)</t>
        </is>
      </c>
      <c r="M137" t="inlineStr">
        <is>
          <t>MEASURED</t>
        </is>
      </c>
      <c r="N137" s="5" t="inlineStr">
        <is>
          <t>Semrush phrase_these (live, this session)</t>
        </is>
      </c>
      <c r="O137" t="inlineStr">
        <is>
          <t>2026-10-30</t>
        </is>
      </c>
      <c r="P137">
        <f>IF(IF(J137="NOT AVAILABLE","",J137)="",12,IF(OR(ISNUMBER(SEARCH("Transactional",IF(J137="NOT AVAILABLE","",J137))),ISNUMBER(SEARCH("Commercial",IF(J137="NOT AVAILABLE","",J137)))),25,IF(ISNUMBER(SEARCH("Informational",IF(J137="NOT AVAILABLE","",J137))),10,IF(ISNUMBER(SEARCH("Navigational",IF(J137="NOT AVAILABLE","",J137))),0,12))))</f>
        <v/>
      </c>
      <c r="Q137">
        <f>IF(ISNUMBER(F137),MIN(30,ROUND(30*LOG10(F137+1)/4,1)),0)</f>
        <v/>
      </c>
      <c r="R137">
        <f>IF(ISNUMBER(G137),ROUND(25*(100-G137)/100,1),12.5)</f>
        <v/>
      </c>
      <c r="S137" t="n">
        <v>20</v>
      </c>
      <c r="T137">
        <f>ROUND(P137+Q137+R137+S137,0)</f>
        <v/>
      </c>
      <c r="U137" s="5" t="inlineStr"/>
      <c r="V137" s="5" t="inlineStr">
        <is>
          <t>SECONDARY /tools/robots-txt-generator</t>
        </is>
      </c>
    </row>
    <row r="138">
      <c r="A138" t="inlineStr">
        <is>
          <t>K0136</t>
        </is>
      </c>
      <c r="B138" t="inlineStr">
        <is>
          <t>ssl checker</t>
        </is>
      </c>
      <c r="C138" t="inlineStr">
        <is>
          <t>Morocco</t>
        </is>
      </c>
      <c r="D138" t="inlineStr">
        <is>
          <t>ma</t>
        </is>
      </c>
      <c r="E138" t="inlineStr">
        <is>
          <t>fr</t>
        </is>
      </c>
      <c r="F138" t="n">
        <v>260</v>
      </c>
      <c r="G138" t="inlineStr">
        <is>
          <t>NOT AVAILABLE</t>
        </is>
      </c>
      <c r="H138" t="n">
        <v>0.6899999999999999</v>
      </c>
      <c r="I138" t="n">
        <v>0.05</v>
      </c>
      <c r="J138" t="inlineStr">
        <is>
          <t>NOT AVAILABLE</t>
        </is>
      </c>
      <c r="K138" t="inlineStr">
        <is>
          <t>NOT AVAILABLE (report not requested)</t>
        </is>
      </c>
      <c r="L138" t="inlineStr">
        <is>
          <t>declining (calc.)</t>
        </is>
      </c>
      <c r="M138" t="inlineStr">
        <is>
          <t>MEASURED</t>
        </is>
      </c>
      <c r="N138" s="5" t="inlineStr">
        <is>
          <t>Semrush phrase_these (live, this session)</t>
        </is>
      </c>
      <c r="O138" t="inlineStr">
        <is>
          <t>2026-10-30</t>
        </is>
      </c>
      <c r="P138">
        <f>IF(IF(J138="NOT AVAILABLE","",J138)="",12,IF(OR(ISNUMBER(SEARCH("Transactional",IF(J138="NOT AVAILABLE","",J138))),ISNUMBER(SEARCH("Commercial",IF(J138="NOT AVAILABLE","",J138)))),25,IF(ISNUMBER(SEARCH("Informational",IF(J138="NOT AVAILABLE","",J138))),10,IF(ISNUMBER(SEARCH("Navigational",IF(J138="NOT AVAILABLE","",J138))),0,12))))</f>
        <v/>
      </c>
      <c r="Q138">
        <f>IF(ISNUMBER(F138),MIN(30,ROUND(30*LOG10(F138+1)/4,1)),0)</f>
        <v/>
      </c>
      <c r="R138">
        <f>IF(ISNUMBER(G138),ROUND(25*(100-G138)/100,1),12.5)</f>
        <v/>
      </c>
      <c r="S138" t="n">
        <v>20</v>
      </c>
      <c r="T138">
        <f>ROUND(P138+Q138+R138+S138,0)</f>
        <v/>
      </c>
      <c r="U138" s="5" t="inlineStr"/>
      <c r="V138" s="5" t="inlineStr">
        <is>
          <t>SUPPORTING /tools/ssl-certificate-checker</t>
        </is>
      </c>
    </row>
    <row r="139">
      <c r="A139" t="inlineStr">
        <is>
          <t>K0137</t>
        </is>
      </c>
      <c r="B139" t="inlineStr">
        <is>
          <t>agence digitale</t>
        </is>
      </c>
      <c r="C139" t="inlineStr">
        <is>
          <t>Morocco</t>
        </is>
      </c>
      <c r="D139" t="inlineStr">
        <is>
          <t>ma</t>
        </is>
      </c>
      <c r="E139" t="inlineStr">
        <is>
          <t>fr</t>
        </is>
      </c>
      <c r="F139" t="n">
        <v>210</v>
      </c>
      <c r="G139" t="inlineStr">
        <is>
          <t>NOT AVAILABLE</t>
        </is>
      </c>
      <c r="H139" t="n">
        <v>0.43</v>
      </c>
      <c r="I139" t="n">
        <v>0.41</v>
      </c>
      <c r="J139" t="inlineStr">
        <is>
          <t>NOT AVAILABLE</t>
        </is>
      </c>
      <c r="K139" t="inlineStr">
        <is>
          <t>NOT AVAILABLE (report not requested)</t>
        </is>
      </c>
      <c r="L139" t="inlineStr">
        <is>
          <t>declining (calc.)</t>
        </is>
      </c>
      <c r="M139" t="inlineStr">
        <is>
          <t>MEASURED</t>
        </is>
      </c>
      <c r="N139" s="5" t="inlineStr">
        <is>
          <t>Semrush phrase_these (live, this session)</t>
        </is>
      </c>
      <c r="O139" t="inlineStr">
        <is>
          <t>2026-10-30</t>
        </is>
      </c>
      <c r="P139">
        <f>IF(IF(J139="NOT AVAILABLE","",J139)="",12,IF(OR(ISNUMBER(SEARCH("Transactional",IF(J139="NOT AVAILABLE","",J139))),ISNUMBER(SEARCH("Commercial",IF(J139="NOT AVAILABLE","",J139)))),25,IF(ISNUMBER(SEARCH("Informational",IF(J139="NOT AVAILABLE","",J139))),10,IF(ISNUMBER(SEARCH("Navigational",IF(J139="NOT AVAILABLE","",J139))),0,12))))</f>
        <v/>
      </c>
      <c r="Q139">
        <f>IF(ISNUMBER(F139),MIN(30,ROUND(30*LOG10(F139+1)/4,1)),0)</f>
        <v/>
      </c>
      <c r="R139">
        <f>IF(ISNUMBER(G139),ROUND(25*(100-G139)/100,1),12.5)</f>
        <v/>
      </c>
      <c r="S139" t="n">
        <v>20</v>
      </c>
      <c r="T139">
        <f>ROUND(P139+Q139+R139+S139,0)</f>
        <v/>
      </c>
      <c r="U139" s="5" t="inlineStr"/>
      <c r="V139" s="5" t="inlineStr"/>
    </row>
    <row r="140">
      <c r="A140" t="inlineStr">
        <is>
          <t>K0138</t>
        </is>
      </c>
      <c r="B140" t="inlineStr">
        <is>
          <t>agence marketing digital maroc</t>
        </is>
      </c>
      <c r="C140" t="inlineStr">
        <is>
          <t>Morocco</t>
        </is>
      </c>
      <c r="D140" t="inlineStr">
        <is>
          <t>ma</t>
        </is>
      </c>
      <c r="E140" t="inlineStr">
        <is>
          <t>fr</t>
        </is>
      </c>
      <c r="F140" t="n">
        <v>210</v>
      </c>
      <c r="G140" t="inlineStr">
        <is>
          <t>NOT AVAILABLE</t>
        </is>
      </c>
      <c r="H140" t="n">
        <v>0.61</v>
      </c>
      <c r="I140" t="n">
        <v>0.22</v>
      </c>
      <c r="J140" t="inlineStr">
        <is>
          <t>NOT AVAILABLE</t>
        </is>
      </c>
      <c r="K140" t="inlineStr">
        <is>
          <t>NOT AVAILABLE (report not requested)</t>
        </is>
      </c>
      <c r="L140" t="inlineStr">
        <is>
          <t>stable (calc.)</t>
        </is>
      </c>
      <c r="M140" t="inlineStr">
        <is>
          <t>MEASURED</t>
        </is>
      </c>
      <c r="N140" s="5" t="inlineStr">
        <is>
          <t>Semrush phrase_these (live, this session)</t>
        </is>
      </c>
      <c r="O140" t="inlineStr">
        <is>
          <t>2026-10-30</t>
        </is>
      </c>
      <c r="P140">
        <f>IF(IF(J140="NOT AVAILABLE","",J140)="",12,IF(OR(ISNUMBER(SEARCH("Transactional",IF(J140="NOT AVAILABLE","",J140))),ISNUMBER(SEARCH("Commercial",IF(J140="NOT AVAILABLE","",J140)))),25,IF(ISNUMBER(SEARCH("Informational",IF(J140="NOT AVAILABLE","",J140))),10,IF(ISNUMBER(SEARCH("Navigational",IF(J140="NOT AVAILABLE","",J140))),0,12))))</f>
        <v/>
      </c>
      <c r="Q140">
        <f>IF(ISNUMBER(F140),MIN(30,ROUND(30*LOG10(F140+1)/4,1)),0)</f>
        <v/>
      </c>
      <c r="R140">
        <f>IF(ISNUMBER(G140),ROUND(25*(100-G140)/100,1),12.5)</f>
        <v/>
      </c>
      <c r="S140" t="n">
        <v>20</v>
      </c>
      <c r="T140">
        <f>ROUND(P140+Q140+R140+S140,0)</f>
        <v/>
      </c>
      <c r="U140" s="5" t="inlineStr"/>
      <c r="V140" s="5" t="inlineStr">
        <is>
          <t>NOT RECOMMENDED /</t>
        </is>
      </c>
    </row>
    <row r="141">
      <c r="A141" t="inlineStr">
        <is>
          <t>K0139</t>
        </is>
      </c>
      <c r="B141" t="inlineStr">
        <is>
          <t>agence marketing digital marrakech</t>
        </is>
      </c>
      <c r="C141" t="inlineStr">
        <is>
          <t>Morocco</t>
        </is>
      </c>
      <c r="D141" t="inlineStr">
        <is>
          <t>ma</t>
        </is>
      </c>
      <c r="E141" t="inlineStr">
        <is>
          <t>fr</t>
        </is>
      </c>
      <c r="F141" t="n">
        <v>210</v>
      </c>
      <c r="G141" t="inlineStr">
        <is>
          <t>NOT AVAILABLE</t>
        </is>
      </c>
      <c r="H141" t="n">
        <v>1.11</v>
      </c>
      <c r="I141" t="n">
        <v>0.12</v>
      </c>
      <c r="J141" t="inlineStr">
        <is>
          <t>NOT AVAILABLE</t>
        </is>
      </c>
      <c r="K141" t="inlineStr">
        <is>
          <t>NOT AVAILABLE (report not requested)</t>
        </is>
      </c>
      <c r="L141" t="inlineStr">
        <is>
          <t>rising (calc.)</t>
        </is>
      </c>
      <c r="M141" t="inlineStr">
        <is>
          <t>MEASURED</t>
        </is>
      </c>
      <c r="N141" s="5" t="inlineStr">
        <is>
          <t>Semrush phrase_these (live, this session)</t>
        </is>
      </c>
      <c r="O141" t="inlineStr">
        <is>
          <t>2026-10-30</t>
        </is>
      </c>
      <c r="P141">
        <f>IF(IF(J141="NOT AVAILABLE","",J141)="",12,IF(OR(ISNUMBER(SEARCH("Transactional",IF(J141="NOT AVAILABLE","",J141))),ISNUMBER(SEARCH("Commercial",IF(J141="NOT AVAILABLE","",J141)))),25,IF(ISNUMBER(SEARCH("Informational",IF(J141="NOT AVAILABLE","",J141))),10,IF(ISNUMBER(SEARCH("Navigational",IF(J141="NOT AVAILABLE","",J141))),0,12))))</f>
        <v/>
      </c>
      <c r="Q141">
        <f>IF(ISNUMBER(F141),MIN(30,ROUND(30*LOG10(F141+1)/4,1)),0)</f>
        <v/>
      </c>
      <c r="R141">
        <f>IF(ISNUMBER(G141),ROUND(25*(100-G141)/100,1),12.5)</f>
        <v/>
      </c>
      <c r="S141" t="n">
        <v>20</v>
      </c>
      <c r="T141">
        <f>ROUND(P141+Q141+R141+S141,0)</f>
        <v/>
      </c>
      <c r="U141" s="5" t="inlineStr"/>
      <c r="V141" s="5" t="inlineStr">
        <is>
          <t>NOT RECOMMENDED /web-development-company/marrakech</t>
        </is>
      </c>
    </row>
    <row r="142">
      <c r="A142" t="inlineStr">
        <is>
          <t>K0140</t>
        </is>
      </c>
      <c r="B142" t="inlineStr">
        <is>
          <t>base64 encode</t>
        </is>
      </c>
      <c r="C142" t="inlineStr">
        <is>
          <t>Morocco</t>
        </is>
      </c>
      <c r="D142" t="inlineStr">
        <is>
          <t>ma</t>
        </is>
      </c>
      <c r="E142" t="inlineStr">
        <is>
          <t>fr</t>
        </is>
      </c>
      <c r="F142" t="n">
        <v>210</v>
      </c>
      <c r="G142" t="inlineStr">
        <is>
          <t>NOT AVAILABLE</t>
        </is>
      </c>
      <c r="H142" t="n">
        <v>0</v>
      </c>
      <c r="I142" t="n">
        <v>0.33</v>
      </c>
      <c r="J142" t="inlineStr">
        <is>
          <t>NOT AVAILABLE</t>
        </is>
      </c>
      <c r="K142" t="inlineStr">
        <is>
          <t>NOT AVAILABLE (report not requested)</t>
        </is>
      </c>
      <c r="L142" t="inlineStr">
        <is>
          <t>declining (calc.)</t>
        </is>
      </c>
      <c r="M142" t="inlineStr">
        <is>
          <t>MEASURED</t>
        </is>
      </c>
      <c r="N142" s="5" t="inlineStr">
        <is>
          <t>Semrush phrase_these (live, this session)</t>
        </is>
      </c>
      <c r="O142" t="inlineStr">
        <is>
          <t>2026-10-30</t>
        </is>
      </c>
      <c r="P142">
        <f>IF(IF(J142="NOT AVAILABLE","",J142)="",12,IF(OR(ISNUMBER(SEARCH("Transactional",IF(J142="NOT AVAILABLE","",J142))),ISNUMBER(SEARCH("Commercial",IF(J142="NOT AVAILABLE","",J142)))),25,IF(ISNUMBER(SEARCH("Informational",IF(J142="NOT AVAILABLE","",J142))),10,IF(ISNUMBER(SEARCH("Navigational",IF(J142="NOT AVAILABLE","",J142))),0,12))))</f>
        <v/>
      </c>
      <c r="Q142">
        <f>IF(ISNUMBER(F142),MIN(30,ROUND(30*LOG10(F142+1)/4,1)),0)</f>
        <v/>
      </c>
      <c r="R142">
        <f>IF(ISNUMBER(G142),ROUND(25*(100-G142)/100,1),12.5)</f>
        <v/>
      </c>
      <c r="S142" t="n">
        <v>20</v>
      </c>
      <c r="T142">
        <f>ROUND(P142+Q142+R142+S142,0)</f>
        <v/>
      </c>
      <c r="U142" s="5" t="inlineStr"/>
      <c r="V142" s="5" t="inlineStr">
        <is>
          <t>SUPPORTING /tools/base64-encoder</t>
        </is>
      </c>
    </row>
    <row r="143">
      <c r="A143" t="inlineStr">
        <is>
          <t>K0141</t>
        </is>
      </c>
      <c r="B143" t="inlineStr">
        <is>
          <t>creation site web casablanca</t>
        </is>
      </c>
      <c r="C143" t="inlineStr">
        <is>
          <t>Morocco</t>
        </is>
      </c>
      <c r="D143" t="inlineStr">
        <is>
          <t>ma</t>
        </is>
      </c>
      <c r="E143" t="inlineStr">
        <is>
          <t>fr</t>
        </is>
      </c>
      <c r="F143" t="n">
        <v>210</v>
      </c>
      <c r="G143" t="inlineStr">
        <is>
          <t>NOT AVAILABLE</t>
        </is>
      </c>
      <c r="H143" t="n">
        <v>0.91</v>
      </c>
      <c r="I143" t="n">
        <v>0.22</v>
      </c>
      <c r="J143" t="inlineStr">
        <is>
          <t>NOT AVAILABLE</t>
        </is>
      </c>
      <c r="K143" t="inlineStr">
        <is>
          <t>NOT AVAILABLE (report not requested)</t>
        </is>
      </c>
      <c r="L143" t="inlineStr">
        <is>
          <t>declining (calc.)</t>
        </is>
      </c>
      <c r="M143" t="inlineStr">
        <is>
          <t>MEASURED</t>
        </is>
      </c>
      <c r="N143" s="5" t="inlineStr">
        <is>
          <t>Semrush phrase_these (live, this session)</t>
        </is>
      </c>
      <c r="O143" t="inlineStr">
        <is>
          <t>2026-10-30</t>
        </is>
      </c>
      <c r="P143">
        <f>IF(IF(J143="NOT AVAILABLE","",J143)="",12,IF(OR(ISNUMBER(SEARCH("Transactional",IF(J143="NOT AVAILABLE","",J143))),ISNUMBER(SEARCH("Commercial",IF(J143="NOT AVAILABLE","",J143)))),25,IF(ISNUMBER(SEARCH("Informational",IF(J143="NOT AVAILABLE","",J143))),10,IF(ISNUMBER(SEARCH("Navigational",IF(J143="NOT AVAILABLE","",J143))),0,12))))</f>
        <v/>
      </c>
      <c r="Q143">
        <f>IF(ISNUMBER(F143),MIN(30,ROUND(30*LOG10(F143+1)/4,1)),0)</f>
        <v/>
      </c>
      <c r="R143">
        <f>IF(ISNUMBER(G143),ROUND(25*(100-G143)/100,1),12.5)</f>
        <v/>
      </c>
      <c r="S143" t="n">
        <v>20</v>
      </c>
      <c r="T143">
        <f>ROUND(P143+Q143+R143+S143,0)</f>
        <v/>
      </c>
      <c r="U143" s="5" t="inlineStr"/>
      <c r="V143" s="5" t="inlineStr"/>
    </row>
    <row r="144">
      <c r="A144" t="inlineStr">
        <is>
          <t>K0142</t>
        </is>
      </c>
      <c r="B144" t="inlineStr">
        <is>
          <t>création site web casablanca</t>
        </is>
      </c>
      <c r="C144" t="inlineStr">
        <is>
          <t>Morocco</t>
        </is>
      </c>
      <c r="D144" t="inlineStr">
        <is>
          <t>ma</t>
        </is>
      </c>
      <c r="E144" t="inlineStr">
        <is>
          <t>fr</t>
        </is>
      </c>
      <c r="F144" t="n">
        <v>210</v>
      </c>
      <c r="G144" t="inlineStr">
        <is>
          <t>NOT AVAILABLE</t>
        </is>
      </c>
      <c r="H144" t="n">
        <v>0.91</v>
      </c>
      <c r="I144" t="n">
        <v>0.22</v>
      </c>
      <c r="J144" t="inlineStr">
        <is>
          <t>NOT AVAILABLE</t>
        </is>
      </c>
      <c r="K144" t="inlineStr">
        <is>
          <t>NOT AVAILABLE (report not requested)</t>
        </is>
      </c>
      <c r="L144" t="inlineStr">
        <is>
          <t>declining (calc.)</t>
        </is>
      </c>
      <c r="M144" t="inlineStr">
        <is>
          <t>MEASURED</t>
        </is>
      </c>
      <c r="N144" s="5" t="inlineStr">
        <is>
          <t>Semrush phrase_these (live, this session)</t>
        </is>
      </c>
      <c r="O144" t="inlineStr">
        <is>
          <t>2026-10-30</t>
        </is>
      </c>
      <c r="P144">
        <f>IF(IF(J144="NOT AVAILABLE","",J144)="",12,IF(OR(ISNUMBER(SEARCH("Transactional",IF(J144="NOT AVAILABLE","",J144))),ISNUMBER(SEARCH("Commercial",IF(J144="NOT AVAILABLE","",J144)))),25,IF(ISNUMBER(SEARCH("Informational",IF(J144="NOT AVAILABLE","",J144))),10,IF(ISNUMBER(SEARCH("Navigational",IF(J144="NOT AVAILABLE","",J144))),0,12))))</f>
        <v/>
      </c>
      <c r="Q144">
        <f>IF(ISNUMBER(F144),MIN(30,ROUND(30*LOG10(F144+1)/4,1)),0)</f>
        <v/>
      </c>
      <c r="R144">
        <f>IF(ISNUMBER(G144),ROUND(25*(100-G144)/100,1),12.5)</f>
        <v/>
      </c>
      <c r="S144" t="n">
        <v>20</v>
      </c>
      <c r="T144">
        <f>ROUND(P144+Q144+R144+S144,0)</f>
        <v/>
      </c>
      <c r="U144" s="5" t="inlineStr"/>
      <c r="V144" s="5" t="inlineStr">
        <is>
          <t>SECONDARY /web-development-company/casablanca</t>
        </is>
      </c>
    </row>
    <row r="145">
      <c r="A145" t="inlineStr">
        <is>
          <t>K0143</t>
        </is>
      </c>
      <c r="B145" t="inlineStr">
        <is>
          <t>développeur web freelance maroc</t>
        </is>
      </c>
      <c r="C145" t="inlineStr">
        <is>
          <t>Morocco</t>
        </is>
      </c>
      <c r="D145" t="inlineStr">
        <is>
          <t>ma</t>
        </is>
      </c>
      <c r="E145" t="inlineStr">
        <is>
          <t>fr</t>
        </is>
      </c>
      <c r="F145" t="n">
        <v>210</v>
      </c>
      <c r="G145" t="inlineStr">
        <is>
          <t>NOT AVAILABLE</t>
        </is>
      </c>
      <c r="H145" t="n">
        <v>0</v>
      </c>
      <c r="I145" t="n">
        <v>0.02</v>
      </c>
      <c r="J145" t="inlineStr">
        <is>
          <t>NOT AVAILABLE</t>
        </is>
      </c>
      <c r="K145" t="inlineStr">
        <is>
          <t>NOT AVAILABLE (report not requested)</t>
        </is>
      </c>
      <c r="L145" t="inlineStr">
        <is>
          <t>stable (calc.)</t>
        </is>
      </c>
      <c r="M145" t="inlineStr">
        <is>
          <t>MEASURED</t>
        </is>
      </c>
      <c r="N145" s="5" t="inlineStr">
        <is>
          <t>Semrush phrase_these (historical w3-validate-A-creation.csv)</t>
        </is>
      </c>
      <c r="O145" t="inlineStr">
        <is>
          <t>2026-10-27</t>
        </is>
      </c>
      <c r="P145">
        <f>IF(IF(J145="NOT AVAILABLE","",J145)="",12,IF(OR(ISNUMBER(SEARCH("Transactional",IF(J145="NOT AVAILABLE","",J145))),ISNUMBER(SEARCH("Commercial",IF(J145="NOT AVAILABLE","",J145)))),25,IF(ISNUMBER(SEARCH("Informational",IF(J145="NOT AVAILABLE","",J145))),10,IF(ISNUMBER(SEARCH("Navigational",IF(J145="NOT AVAILABLE","",J145))),0,12))))</f>
        <v/>
      </c>
      <c r="Q145">
        <f>IF(ISNUMBER(F145),MIN(30,ROUND(30*LOG10(F145+1)/4,1)),0)</f>
        <v/>
      </c>
      <c r="R145">
        <f>IF(ISNUMBER(G145),ROUND(25*(100-G145)/100,1),12.5)</f>
        <v/>
      </c>
      <c r="S145" t="n">
        <v>20</v>
      </c>
      <c r="T145">
        <f>ROUND(P145+Q145+R145+S145,0)</f>
        <v/>
      </c>
      <c r="U145" s="5" t="inlineStr"/>
      <c r="V145" s="5" t="inlineStr"/>
    </row>
    <row r="146">
      <c r="A146" t="inlineStr">
        <is>
          <t>K0144</t>
        </is>
      </c>
      <c r="B146" t="inlineStr">
        <is>
          <t>fintech maroc</t>
        </is>
      </c>
      <c r="C146" t="inlineStr">
        <is>
          <t>Morocco</t>
        </is>
      </c>
      <c r="D146" t="inlineStr">
        <is>
          <t>ma</t>
        </is>
      </c>
      <c r="E146" t="inlineStr">
        <is>
          <t>fr</t>
        </is>
      </c>
      <c r="F146" t="n">
        <v>210</v>
      </c>
      <c r="G146" t="inlineStr">
        <is>
          <t>NOT AVAILABLE</t>
        </is>
      </c>
      <c r="H146" t="n">
        <v>2.33</v>
      </c>
      <c r="I146" t="n">
        <v>0.03</v>
      </c>
      <c r="J146" t="inlineStr">
        <is>
          <t>NOT AVAILABLE</t>
        </is>
      </c>
      <c r="K146" t="inlineStr">
        <is>
          <t>NOT AVAILABLE (report not requested)</t>
        </is>
      </c>
      <c r="L146" t="inlineStr">
        <is>
          <t>declining (calc.)</t>
        </is>
      </c>
      <c r="M146" t="inlineStr">
        <is>
          <t>MEASURED</t>
        </is>
      </c>
      <c r="N146" s="5" t="inlineStr">
        <is>
          <t>Semrush phrase_these (live, this session)</t>
        </is>
      </c>
      <c r="O146" t="inlineStr">
        <is>
          <t>2026-10-30</t>
        </is>
      </c>
      <c r="P146">
        <f>IF(IF(J146="NOT AVAILABLE","",J146)="",12,IF(OR(ISNUMBER(SEARCH("Transactional",IF(J146="NOT AVAILABLE","",J146))),ISNUMBER(SEARCH("Commercial",IF(J146="NOT AVAILABLE","",J146)))),25,IF(ISNUMBER(SEARCH("Informational",IF(J146="NOT AVAILABLE","",J146))),10,IF(ISNUMBER(SEARCH("Navigational",IF(J146="NOT AVAILABLE","",J146))),0,12))))</f>
        <v/>
      </c>
      <c r="Q146">
        <f>IF(ISNUMBER(F146),MIN(30,ROUND(30*LOG10(F146+1)/4,1)),0)</f>
        <v/>
      </c>
      <c r="R146">
        <f>IF(ISNUMBER(G146),ROUND(25*(100-G146)/100,1),12.5)</f>
        <v/>
      </c>
      <c r="S146" t="n">
        <v>20</v>
      </c>
      <c r="T146">
        <f>ROUND(P146+Q146+R146+S146,0)</f>
        <v/>
      </c>
      <c r="U146" s="5" t="inlineStr"/>
      <c r="V146" s="5" t="inlineStr">
        <is>
          <t>OPTIONAL /services/fintech-platform-development</t>
        </is>
      </c>
    </row>
    <row r="147">
      <c r="A147" t="inlineStr">
        <is>
          <t>K0145</t>
        </is>
      </c>
      <c r="B147" t="inlineStr">
        <is>
          <t>générateur qr code</t>
        </is>
      </c>
      <c r="C147" t="inlineStr">
        <is>
          <t>Morocco</t>
        </is>
      </c>
      <c r="D147" t="inlineStr">
        <is>
          <t>ma</t>
        </is>
      </c>
      <c r="E147" t="inlineStr">
        <is>
          <t>fr</t>
        </is>
      </c>
      <c r="F147" t="n">
        <v>210</v>
      </c>
      <c r="G147" t="inlineStr">
        <is>
          <t>NOT AVAILABLE</t>
        </is>
      </c>
      <c r="H147" t="n">
        <v>0.32</v>
      </c>
      <c r="I147" t="n">
        <v>0.66</v>
      </c>
      <c r="J147" t="inlineStr">
        <is>
          <t>NOT AVAILABLE</t>
        </is>
      </c>
      <c r="K147" t="inlineStr">
        <is>
          <t>NOT AVAILABLE (report not requested)</t>
        </is>
      </c>
      <c r="L147" t="inlineStr">
        <is>
          <t>declining (calc.)</t>
        </is>
      </c>
      <c r="M147" t="inlineStr">
        <is>
          <t>MEASURED</t>
        </is>
      </c>
      <c r="N147" s="5" t="inlineStr">
        <is>
          <t>Semrush phrase_these (live, this session)</t>
        </is>
      </c>
      <c r="O147" t="inlineStr">
        <is>
          <t>2026-10-30</t>
        </is>
      </c>
      <c r="P147">
        <f>IF(IF(J147="NOT AVAILABLE","",J147)="",12,IF(OR(ISNUMBER(SEARCH("Transactional",IF(J147="NOT AVAILABLE","",J147))),ISNUMBER(SEARCH("Commercial",IF(J147="NOT AVAILABLE","",J147)))),25,IF(ISNUMBER(SEARCH("Informational",IF(J147="NOT AVAILABLE","",J147))),10,IF(ISNUMBER(SEARCH("Navigational",IF(J147="NOT AVAILABLE","",J147))),0,12))))</f>
        <v/>
      </c>
      <c r="Q147">
        <f>IF(ISNUMBER(F147),MIN(30,ROUND(30*LOG10(F147+1)/4,1)),0)</f>
        <v/>
      </c>
      <c r="R147">
        <f>IF(ISNUMBER(G147),ROUND(25*(100-G147)/100,1),12.5)</f>
        <v/>
      </c>
      <c r="S147" t="n">
        <v>20</v>
      </c>
      <c r="T147">
        <f>ROUND(P147+Q147+R147+S147,0)</f>
        <v/>
      </c>
      <c r="U147" s="5" t="inlineStr"/>
      <c r="V147" s="5" t="inlineStr">
        <is>
          <t>SECONDARY /tools/qr-code-generator</t>
        </is>
      </c>
    </row>
    <row r="148">
      <c r="A148" t="inlineStr">
        <is>
          <t>K0146</t>
        </is>
      </c>
      <c r="B148" t="inlineStr">
        <is>
          <t>minifier css</t>
        </is>
      </c>
      <c r="C148" t="inlineStr">
        <is>
          <t>Morocco</t>
        </is>
      </c>
      <c r="D148" t="inlineStr">
        <is>
          <t>ma</t>
        </is>
      </c>
      <c r="E148" t="inlineStr">
        <is>
          <t>fr</t>
        </is>
      </c>
      <c r="F148" t="n">
        <v>210</v>
      </c>
      <c r="G148" t="inlineStr">
        <is>
          <t>NOT AVAILABLE</t>
        </is>
      </c>
      <c r="H148" t="n">
        <v>0</v>
      </c>
      <c r="I148" t="n">
        <v>0</v>
      </c>
      <c r="J148" t="inlineStr">
        <is>
          <t>NOT AVAILABLE</t>
        </is>
      </c>
      <c r="K148" t="inlineStr">
        <is>
          <t>NOT AVAILABLE (report not requested)</t>
        </is>
      </c>
      <c r="L148" t="inlineStr">
        <is>
          <t>stable (calc.)</t>
        </is>
      </c>
      <c r="M148" t="inlineStr">
        <is>
          <t>MEASURED</t>
        </is>
      </c>
      <c r="N148" s="5" t="inlineStr">
        <is>
          <t>Semrush phrase_these (live, this session)</t>
        </is>
      </c>
      <c r="O148" t="inlineStr">
        <is>
          <t>2026-10-30</t>
        </is>
      </c>
      <c r="P148">
        <f>IF(IF(J148="NOT AVAILABLE","",J148)="",12,IF(OR(ISNUMBER(SEARCH("Transactional",IF(J148="NOT AVAILABLE","",J148))),ISNUMBER(SEARCH("Commercial",IF(J148="NOT AVAILABLE","",J148)))),25,IF(ISNUMBER(SEARCH("Informational",IF(J148="NOT AVAILABLE","",J148))),10,IF(ISNUMBER(SEARCH("Navigational",IF(J148="NOT AVAILABLE","",J148))),0,12))))</f>
        <v/>
      </c>
      <c r="Q148">
        <f>IF(ISNUMBER(F148),MIN(30,ROUND(30*LOG10(F148+1)/4,1)),0)</f>
        <v/>
      </c>
      <c r="R148">
        <f>IF(ISNUMBER(G148),ROUND(25*(100-G148)/100,1),12.5)</f>
        <v/>
      </c>
      <c r="S148" t="n">
        <v>20</v>
      </c>
      <c r="T148">
        <f>ROUND(P148+Q148+R148+S148,0)</f>
        <v/>
      </c>
      <c r="U148" s="5" t="inlineStr"/>
      <c r="V148" s="5" t="inlineStr">
        <is>
          <t>SUPPORTING /tools/css-minifier</t>
        </is>
      </c>
    </row>
    <row r="149">
      <c r="A149" t="inlineStr">
        <is>
          <t>K0147</t>
        </is>
      </c>
      <c r="B149" t="inlineStr">
        <is>
          <t>portail étudiant</t>
        </is>
      </c>
      <c r="C149" t="inlineStr">
        <is>
          <t>Morocco</t>
        </is>
      </c>
      <c r="D149" t="inlineStr">
        <is>
          <t>ma</t>
        </is>
      </c>
      <c r="E149" t="inlineStr">
        <is>
          <t>fr</t>
        </is>
      </c>
      <c r="F149" t="n">
        <v>210</v>
      </c>
      <c r="G149" t="inlineStr">
        <is>
          <t>NOT AVAILABLE</t>
        </is>
      </c>
      <c r="H149" t="n">
        <v>0</v>
      </c>
      <c r="I149" t="n">
        <v>0.33</v>
      </c>
      <c r="J149" t="inlineStr">
        <is>
          <t>NOT AVAILABLE</t>
        </is>
      </c>
      <c r="K149" t="inlineStr">
        <is>
          <t>NOT AVAILABLE (report not requested)</t>
        </is>
      </c>
      <c r="L149" t="inlineStr">
        <is>
          <t>rising (calc.)</t>
        </is>
      </c>
      <c r="M149" t="inlineStr">
        <is>
          <t>MEASURED</t>
        </is>
      </c>
      <c r="N149" s="5" t="inlineStr">
        <is>
          <t>Semrush phrase_these (live, this session)</t>
        </is>
      </c>
      <c r="O149" t="inlineStr">
        <is>
          <t>2026-10-30</t>
        </is>
      </c>
      <c r="P149">
        <f>IF(IF(J149="NOT AVAILABLE","",J149)="",12,IF(OR(ISNUMBER(SEARCH("Transactional",IF(J149="NOT AVAILABLE","",J149))),ISNUMBER(SEARCH("Commercial",IF(J149="NOT AVAILABLE","",J149)))),25,IF(ISNUMBER(SEARCH("Informational",IF(J149="NOT AVAILABLE","",J149))),10,IF(ISNUMBER(SEARCH("Navigational",IF(J149="NOT AVAILABLE","",J149))),0,12))))</f>
        <v/>
      </c>
      <c r="Q149">
        <f>IF(ISNUMBER(F149),MIN(30,ROUND(30*LOG10(F149+1)/4,1)),0)</f>
        <v/>
      </c>
      <c r="R149">
        <f>IF(ISNUMBER(G149),ROUND(25*(100-G149)/100,1),12.5)</f>
        <v/>
      </c>
      <c r="S149" t="n">
        <v>20</v>
      </c>
      <c r="T149">
        <f>ROUND(P149+Q149+R149+S149,0)</f>
        <v/>
      </c>
      <c r="U149" s="5" t="inlineStr"/>
      <c r="V149" s="5" t="inlineStr">
        <is>
          <t>NOT RECOMMENDED /services/university-website-development</t>
        </is>
      </c>
    </row>
    <row r="150">
      <c r="A150" t="inlineStr">
        <is>
          <t>K0148</t>
        </is>
      </c>
      <c r="B150" t="inlineStr">
        <is>
          <t>sitemap generator</t>
        </is>
      </c>
      <c r="C150" t="inlineStr">
        <is>
          <t>Morocco</t>
        </is>
      </c>
      <c r="D150" t="inlineStr">
        <is>
          <t>ma</t>
        </is>
      </c>
      <c r="E150" t="inlineStr">
        <is>
          <t>fr</t>
        </is>
      </c>
      <c r="F150" t="n">
        <v>210</v>
      </c>
      <c r="G150" t="inlineStr">
        <is>
          <t>NOT AVAILABLE</t>
        </is>
      </c>
      <c r="H150" t="n">
        <v>2.08</v>
      </c>
      <c r="I150" t="n">
        <v>0.05</v>
      </c>
      <c r="J150" t="inlineStr">
        <is>
          <t>NOT AVAILABLE</t>
        </is>
      </c>
      <c r="K150" t="inlineStr">
        <is>
          <t>NOT AVAILABLE (report not requested)</t>
        </is>
      </c>
      <c r="L150" t="inlineStr">
        <is>
          <t>declining (calc.)</t>
        </is>
      </c>
      <c r="M150" t="inlineStr">
        <is>
          <t>MEASURED</t>
        </is>
      </c>
      <c r="N150" s="5" t="inlineStr">
        <is>
          <t>Semrush phrase_these (live, this session)</t>
        </is>
      </c>
      <c r="O150" t="inlineStr">
        <is>
          <t>2026-10-30</t>
        </is>
      </c>
      <c r="P150">
        <f>IF(IF(J150="NOT AVAILABLE","",J150)="",12,IF(OR(ISNUMBER(SEARCH("Transactional",IF(J150="NOT AVAILABLE","",J150))),ISNUMBER(SEARCH("Commercial",IF(J150="NOT AVAILABLE","",J150)))),25,IF(ISNUMBER(SEARCH("Informational",IF(J150="NOT AVAILABLE","",J150))),10,IF(ISNUMBER(SEARCH("Navigational",IF(J150="NOT AVAILABLE","",J150))),0,12))))</f>
        <v/>
      </c>
      <c r="Q150">
        <f>IF(ISNUMBER(F150),MIN(30,ROUND(30*LOG10(F150+1)/4,1)),0)</f>
        <v/>
      </c>
      <c r="R150">
        <f>IF(ISNUMBER(G150),ROUND(25*(100-G150)/100,1),12.5)</f>
        <v/>
      </c>
      <c r="S150" t="n">
        <v>20</v>
      </c>
      <c r="T150">
        <f>ROUND(P150+Q150+R150+S150,0)</f>
        <v/>
      </c>
      <c r="U150" s="5" t="inlineStr"/>
      <c r="V150" s="5" t="inlineStr">
        <is>
          <t>SUPPORTING /tools/xml-sitemap-generator</t>
        </is>
      </c>
    </row>
    <row r="151">
      <c r="A151" t="inlineStr">
        <is>
          <t>K0149</t>
        </is>
      </c>
      <c r="B151" t="inlineStr">
        <is>
          <t>sitemap xml</t>
        </is>
      </c>
      <c r="C151" t="inlineStr">
        <is>
          <t>Morocco</t>
        </is>
      </c>
      <c r="D151" t="inlineStr">
        <is>
          <t>ma</t>
        </is>
      </c>
      <c r="E151" t="inlineStr">
        <is>
          <t>fr</t>
        </is>
      </c>
      <c r="F151" t="n">
        <v>210</v>
      </c>
      <c r="G151" t="inlineStr">
        <is>
          <t>NOT AVAILABLE</t>
        </is>
      </c>
      <c r="H151" t="n">
        <v>1.54</v>
      </c>
      <c r="I151" t="n">
        <v>0.04</v>
      </c>
      <c r="J151" t="inlineStr">
        <is>
          <t>NOT AVAILABLE</t>
        </is>
      </c>
      <c r="K151" t="inlineStr">
        <is>
          <t>NOT AVAILABLE (report not requested)</t>
        </is>
      </c>
      <c r="L151" t="inlineStr">
        <is>
          <t>rising (calc.)</t>
        </is>
      </c>
      <c r="M151" t="inlineStr">
        <is>
          <t>MEASURED</t>
        </is>
      </c>
      <c r="N151" s="5" t="inlineStr">
        <is>
          <t>Semrush phrase_these (live, this session)</t>
        </is>
      </c>
      <c r="O151" t="inlineStr">
        <is>
          <t>2026-10-30</t>
        </is>
      </c>
      <c r="P151">
        <f>IF(IF(J151="NOT AVAILABLE","",J151)="",12,IF(OR(ISNUMBER(SEARCH("Transactional",IF(J151="NOT AVAILABLE","",J151))),ISNUMBER(SEARCH("Commercial",IF(J151="NOT AVAILABLE","",J151)))),25,IF(ISNUMBER(SEARCH("Informational",IF(J151="NOT AVAILABLE","",J151))),10,IF(ISNUMBER(SEARCH("Navigational",IF(J151="NOT AVAILABLE","",J151))),0,12))))</f>
        <v/>
      </c>
      <c r="Q151">
        <f>IF(ISNUMBER(F151),MIN(30,ROUND(30*LOG10(F151+1)/4,1)),0)</f>
        <v/>
      </c>
      <c r="R151">
        <f>IF(ISNUMBER(G151),ROUND(25*(100-G151)/100,1),12.5)</f>
        <v/>
      </c>
      <c r="S151" t="n">
        <v>20</v>
      </c>
      <c r="T151">
        <f>ROUND(P151+Q151+R151+S151,0)</f>
        <v/>
      </c>
      <c r="U151" s="5" t="inlineStr"/>
      <c r="V151" s="5" t="inlineStr">
        <is>
          <t>SECONDARY /tools/xml-sitemap-generator</t>
        </is>
      </c>
    </row>
    <row r="152">
      <c r="A152" t="inlineStr">
        <is>
          <t>K0150</t>
        </is>
      </c>
      <c r="B152" t="inlineStr">
        <is>
          <t>utm builder</t>
        </is>
      </c>
      <c r="C152" t="inlineStr">
        <is>
          <t>Morocco</t>
        </is>
      </c>
      <c r="D152" t="inlineStr">
        <is>
          <t>ma</t>
        </is>
      </c>
      <c r="E152" t="inlineStr">
        <is>
          <t>fr</t>
        </is>
      </c>
      <c r="F152" t="n">
        <v>210</v>
      </c>
      <c r="G152" t="inlineStr">
        <is>
          <t>NOT AVAILABLE</t>
        </is>
      </c>
      <c r="H152" t="n">
        <v>0</v>
      </c>
      <c r="I152" t="n">
        <v>0.33</v>
      </c>
      <c r="J152" t="inlineStr">
        <is>
          <t>NOT AVAILABLE</t>
        </is>
      </c>
      <c r="K152" t="inlineStr">
        <is>
          <t>NOT AVAILABLE (report not requested)</t>
        </is>
      </c>
      <c r="L152" t="inlineStr">
        <is>
          <t>declining (calc.)</t>
        </is>
      </c>
      <c r="M152" t="inlineStr">
        <is>
          <t>MEASURED</t>
        </is>
      </c>
      <c r="N152" s="5" t="inlineStr">
        <is>
          <t>Semrush phrase_these (live, this session)</t>
        </is>
      </c>
      <c r="O152" t="inlineStr">
        <is>
          <t>2026-10-30</t>
        </is>
      </c>
      <c r="P152">
        <f>IF(IF(J152="NOT AVAILABLE","",J152)="",12,IF(OR(ISNUMBER(SEARCH("Transactional",IF(J152="NOT AVAILABLE","",J152))),ISNUMBER(SEARCH("Commercial",IF(J152="NOT AVAILABLE","",J152)))),25,IF(ISNUMBER(SEARCH("Informational",IF(J152="NOT AVAILABLE","",J152))),10,IF(ISNUMBER(SEARCH("Navigational",IF(J152="NOT AVAILABLE","",J152))),0,12))))</f>
        <v/>
      </c>
      <c r="Q152">
        <f>IF(ISNUMBER(F152),MIN(30,ROUND(30*LOG10(F152+1)/4,1)),0)</f>
        <v/>
      </c>
      <c r="R152">
        <f>IF(ISNUMBER(G152),ROUND(25*(100-G152)/100,1),12.5)</f>
        <v/>
      </c>
      <c r="S152" t="n">
        <v>20</v>
      </c>
      <c r="T152">
        <f>ROUND(P152+Q152+R152+S152,0)</f>
        <v/>
      </c>
      <c r="U152" s="5" t="inlineStr"/>
      <c r="V152" s="5" t="inlineStr">
        <is>
          <t>SECONDARY /tools/utm-builder</t>
        </is>
      </c>
    </row>
    <row r="153">
      <c r="A153" t="inlineStr">
        <is>
          <t>K0151</t>
        </is>
      </c>
      <c r="B153" t="inlineStr">
        <is>
          <t>agence digitale rabat</t>
        </is>
      </c>
      <c r="C153" t="inlineStr">
        <is>
          <t>Morocco</t>
        </is>
      </c>
      <c r="D153" t="inlineStr">
        <is>
          <t>ma</t>
        </is>
      </c>
      <c r="E153" t="inlineStr">
        <is>
          <t>fr</t>
        </is>
      </c>
      <c r="F153" t="n">
        <v>170</v>
      </c>
      <c r="G153" t="inlineStr">
        <is>
          <t>NOT AVAILABLE</t>
        </is>
      </c>
      <c r="H153" t="n">
        <v>0.54</v>
      </c>
      <c r="I153" t="n">
        <v>0.16</v>
      </c>
      <c r="J153" t="inlineStr">
        <is>
          <t>NOT AVAILABLE</t>
        </is>
      </c>
      <c r="K153" t="inlineStr">
        <is>
          <t>NOT AVAILABLE (report not requested)</t>
        </is>
      </c>
      <c r="L153" t="inlineStr">
        <is>
          <t>stable (calc.)</t>
        </is>
      </c>
      <c r="M153" t="inlineStr">
        <is>
          <t>MEASURED</t>
        </is>
      </c>
      <c r="N153" s="5" t="inlineStr">
        <is>
          <t>Semrush phrase_these (live, this session)</t>
        </is>
      </c>
      <c r="O153" t="inlineStr">
        <is>
          <t>2026-10-30</t>
        </is>
      </c>
      <c r="P153">
        <f>IF(IF(J153="NOT AVAILABLE","",J153)="",12,IF(OR(ISNUMBER(SEARCH("Transactional",IF(J153="NOT AVAILABLE","",J153))),ISNUMBER(SEARCH("Commercial",IF(J153="NOT AVAILABLE","",J153)))),25,IF(ISNUMBER(SEARCH("Informational",IF(J153="NOT AVAILABLE","",J153))),10,IF(ISNUMBER(SEARCH("Navigational",IF(J153="NOT AVAILABLE","",J153))),0,12))))</f>
        <v/>
      </c>
      <c r="Q153">
        <f>IF(ISNUMBER(F153),MIN(30,ROUND(30*LOG10(F153+1)/4,1)),0)</f>
        <v/>
      </c>
      <c r="R153">
        <f>IF(ISNUMBER(G153),ROUND(25*(100-G153)/100,1),12.5)</f>
        <v/>
      </c>
      <c r="S153" t="n">
        <v>20</v>
      </c>
      <c r="T153">
        <f>ROUND(P153+Q153+R153+S153,0)</f>
        <v/>
      </c>
      <c r="U153" s="5" t="inlineStr"/>
      <c r="V153" s="5" t="inlineStr">
        <is>
          <t>SECONDARY /web-development-company/rabat</t>
        </is>
      </c>
    </row>
    <row r="154">
      <c r="A154" t="inlineStr">
        <is>
          <t>K0152</t>
        </is>
      </c>
      <c r="B154" t="inlineStr">
        <is>
          <t>agence marketing digital rabat</t>
        </is>
      </c>
      <c r="C154" t="inlineStr">
        <is>
          <t>Morocco</t>
        </is>
      </c>
      <c r="D154" t="inlineStr">
        <is>
          <t>ma</t>
        </is>
      </c>
      <c r="E154" t="inlineStr">
        <is>
          <t>fr</t>
        </is>
      </c>
      <c r="F154" t="n">
        <v>170</v>
      </c>
      <c r="G154" t="inlineStr">
        <is>
          <t>NOT AVAILABLE</t>
        </is>
      </c>
      <c r="H154" t="n">
        <v>0.75</v>
      </c>
      <c r="I154" t="n">
        <v>0.21</v>
      </c>
      <c r="J154" t="inlineStr">
        <is>
          <t>NOT AVAILABLE</t>
        </is>
      </c>
      <c r="K154" t="inlineStr">
        <is>
          <t>NOT AVAILABLE (report not requested)</t>
        </is>
      </c>
      <c r="L154" t="inlineStr">
        <is>
          <t>rising (calc.)</t>
        </is>
      </c>
      <c r="M154" t="inlineStr">
        <is>
          <t>MEASURED</t>
        </is>
      </c>
      <c r="N154" s="5" t="inlineStr">
        <is>
          <t>Semrush phrase_these (live, this session)</t>
        </is>
      </c>
      <c r="O154" t="inlineStr">
        <is>
          <t>2026-10-30</t>
        </is>
      </c>
      <c r="P154">
        <f>IF(IF(J154="NOT AVAILABLE","",J154)="",12,IF(OR(ISNUMBER(SEARCH("Transactional",IF(J154="NOT AVAILABLE","",J154))),ISNUMBER(SEARCH("Commercial",IF(J154="NOT AVAILABLE","",J154)))),25,IF(ISNUMBER(SEARCH("Informational",IF(J154="NOT AVAILABLE","",J154))),10,IF(ISNUMBER(SEARCH("Navigational",IF(J154="NOT AVAILABLE","",J154))),0,12))))</f>
        <v/>
      </c>
      <c r="Q154">
        <f>IF(ISNUMBER(F154),MIN(30,ROUND(30*LOG10(F154+1)/4,1)),0)</f>
        <v/>
      </c>
      <c r="R154">
        <f>IF(ISNUMBER(G154),ROUND(25*(100-G154)/100,1),12.5)</f>
        <v/>
      </c>
      <c r="S154" t="n">
        <v>20</v>
      </c>
      <c r="T154">
        <f>ROUND(P154+Q154+R154+S154,0)</f>
        <v/>
      </c>
      <c r="U154" s="5" t="inlineStr"/>
      <c r="V154" s="5" t="inlineStr">
        <is>
          <t>NOT RECOMMENDED /web-development-company/rabat</t>
        </is>
      </c>
    </row>
    <row r="155">
      <c r="A155" t="inlineStr">
        <is>
          <t>K0153</t>
        </is>
      </c>
      <c r="B155" t="inlineStr">
        <is>
          <t>agence marketing digital tanger</t>
        </is>
      </c>
      <c r="C155" t="inlineStr">
        <is>
          <t>Morocco</t>
        </is>
      </c>
      <c r="D155" t="inlineStr">
        <is>
          <t>ma</t>
        </is>
      </c>
      <c r="E155" t="inlineStr">
        <is>
          <t>fr</t>
        </is>
      </c>
      <c r="F155" t="n">
        <v>170</v>
      </c>
      <c r="G155" t="inlineStr">
        <is>
          <t>NOT AVAILABLE</t>
        </is>
      </c>
      <c r="H155" t="n">
        <v>1.02</v>
      </c>
      <c r="I155" t="n">
        <v>0.2</v>
      </c>
      <c r="J155" t="inlineStr">
        <is>
          <t>NOT AVAILABLE</t>
        </is>
      </c>
      <c r="K155" t="inlineStr">
        <is>
          <t>NOT AVAILABLE (report not requested)</t>
        </is>
      </c>
      <c r="L155" t="inlineStr">
        <is>
          <t>rising (calc.)</t>
        </is>
      </c>
      <c r="M155" t="inlineStr">
        <is>
          <t>MEASURED</t>
        </is>
      </c>
      <c r="N155" s="5" t="inlineStr">
        <is>
          <t>Semrush phrase_these (live, this session)</t>
        </is>
      </c>
      <c r="O155" t="inlineStr">
        <is>
          <t>2026-10-30</t>
        </is>
      </c>
      <c r="P155">
        <f>IF(IF(J155="NOT AVAILABLE","",J155)="",12,IF(OR(ISNUMBER(SEARCH("Transactional",IF(J155="NOT AVAILABLE","",J155))),ISNUMBER(SEARCH("Commercial",IF(J155="NOT AVAILABLE","",J155)))),25,IF(ISNUMBER(SEARCH("Informational",IF(J155="NOT AVAILABLE","",J155))),10,IF(ISNUMBER(SEARCH("Navigational",IF(J155="NOT AVAILABLE","",J155))),0,12))))</f>
        <v/>
      </c>
      <c r="Q155">
        <f>IF(ISNUMBER(F155),MIN(30,ROUND(30*LOG10(F155+1)/4,1)),0)</f>
        <v/>
      </c>
      <c r="R155">
        <f>IF(ISNUMBER(G155),ROUND(25*(100-G155)/100,1),12.5)</f>
        <v/>
      </c>
      <c r="S155" t="n">
        <v>20</v>
      </c>
      <c r="T155">
        <f>ROUND(P155+Q155+R155+S155,0)</f>
        <v/>
      </c>
      <c r="U155" s="5" t="inlineStr"/>
      <c r="V155" s="5" t="inlineStr">
        <is>
          <t>NOT RECOMMENDED /web-development-company/tangier</t>
        </is>
      </c>
    </row>
    <row r="156">
      <c r="A156" t="inlineStr">
        <is>
          <t>K0154</t>
        </is>
      </c>
      <c r="B156" t="inlineStr">
        <is>
          <t>agence seo casablanca</t>
        </is>
      </c>
      <c r="C156" t="inlineStr">
        <is>
          <t>Morocco</t>
        </is>
      </c>
      <c r="D156" t="inlineStr">
        <is>
          <t>ma</t>
        </is>
      </c>
      <c r="E156" t="inlineStr">
        <is>
          <t>fr</t>
        </is>
      </c>
      <c r="F156" t="n">
        <v>170</v>
      </c>
      <c r="G156" t="inlineStr">
        <is>
          <t>NOT AVAILABLE</t>
        </is>
      </c>
      <c r="H156" t="n">
        <v>1.18</v>
      </c>
      <c r="I156" t="n">
        <v>0.17</v>
      </c>
      <c r="J156" t="inlineStr">
        <is>
          <t>NOT AVAILABLE</t>
        </is>
      </c>
      <c r="K156" t="inlineStr">
        <is>
          <t>NOT AVAILABLE (report not requested)</t>
        </is>
      </c>
      <c r="L156" t="inlineStr">
        <is>
          <t>stable (calc.)</t>
        </is>
      </c>
      <c r="M156" t="inlineStr">
        <is>
          <t>MEASURED</t>
        </is>
      </c>
      <c r="N156" s="5" t="inlineStr">
        <is>
          <t>Semrush phrase_these (live, this session)</t>
        </is>
      </c>
      <c r="O156" t="inlineStr">
        <is>
          <t>2026-10-30</t>
        </is>
      </c>
      <c r="P156">
        <f>IF(IF(J156="NOT AVAILABLE","",J156)="",12,IF(OR(ISNUMBER(SEARCH("Transactional",IF(J156="NOT AVAILABLE","",J156))),ISNUMBER(SEARCH("Commercial",IF(J156="NOT AVAILABLE","",J156)))),25,IF(ISNUMBER(SEARCH("Informational",IF(J156="NOT AVAILABLE","",J156))),10,IF(ISNUMBER(SEARCH("Navigational",IF(J156="NOT AVAILABLE","",J156))),0,12))))</f>
        <v/>
      </c>
      <c r="Q156">
        <f>IF(ISNUMBER(F156),MIN(30,ROUND(30*LOG10(F156+1)/4,1)),0)</f>
        <v/>
      </c>
      <c r="R156">
        <f>IF(ISNUMBER(G156),ROUND(25*(100-G156)/100,1),12.5)</f>
        <v/>
      </c>
      <c r="S156" t="n">
        <v>20</v>
      </c>
      <c r="T156">
        <f>ROUND(P156+Q156+R156+S156,0)</f>
        <v/>
      </c>
      <c r="U156" s="5" t="inlineStr"/>
      <c r="V156" s="5" t="inlineStr">
        <is>
          <t>SECONDARY /services/seo-maroc; NOT RECOMMENDED /web-development-company/casablanca</t>
        </is>
      </c>
    </row>
    <row r="157">
      <c r="A157" t="inlineStr">
        <is>
          <t>K0155</t>
        </is>
      </c>
      <c r="B157" t="inlineStr">
        <is>
          <t>cmi paiement en ligne</t>
        </is>
      </c>
      <c r="C157" t="inlineStr">
        <is>
          <t>Morocco</t>
        </is>
      </c>
      <c r="D157" t="inlineStr">
        <is>
          <t>ma</t>
        </is>
      </c>
      <c r="E157" t="inlineStr">
        <is>
          <t>fr</t>
        </is>
      </c>
      <c r="F157" t="n">
        <v>170</v>
      </c>
      <c r="G157" t="inlineStr">
        <is>
          <t>NOT AVAILABLE</t>
        </is>
      </c>
      <c r="H157" t="n">
        <v>0</v>
      </c>
      <c r="I157" t="n">
        <v>0.33</v>
      </c>
      <c r="J157" t="inlineStr">
        <is>
          <t>NOT AVAILABLE</t>
        </is>
      </c>
      <c r="K157" t="inlineStr">
        <is>
          <t>NOT AVAILABLE (report not requested)</t>
        </is>
      </c>
      <c r="L157" t="inlineStr">
        <is>
          <t>stable (calc.)</t>
        </is>
      </c>
      <c r="M157" t="inlineStr">
        <is>
          <t>MEASURED</t>
        </is>
      </c>
      <c r="N157" s="5" t="inlineStr">
        <is>
          <t>Semrush phrase_these (live, this session)</t>
        </is>
      </c>
      <c r="O157" t="inlineStr">
        <is>
          <t>2026-10-30</t>
        </is>
      </c>
      <c r="P157">
        <f>IF(IF(J157="NOT AVAILABLE","",J157)="",12,IF(OR(ISNUMBER(SEARCH("Transactional",IF(J157="NOT AVAILABLE","",J157))),ISNUMBER(SEARCH("Commercial",IF(J157="NOT AVAILABLE","",J157)))),25,IF(ISNUMBER(SEARCH("Informational",IF(J157="NOT AVAILABLE","",J157))),10,IF(ISNUMBER(SEARCH("Navigational",IF(J157="NOT AVAILABLE","",J157))),0,12))))</f>
        <v/>
      </c>
      <c r="Q157">
        <f>IF(ISNUMBER(F157),MIN(30,ROUND(30*LOG10(F157+1)/4,1)),0)</f>
        <v/>
      </c>
      <c r="R157">
        <f>IF(ISNUMBER(G157),ROUND(25*(100-G157)/100,1),12.5)</f>
        <v/>
      </c>
      <c r="S157" t="n">
        <v>20</v>
      </c>
      <c r="T157">
        <f>ROUND(P157+Q157+R157+S157,0)</f>
        <v/>
      </c>
      <c r="U157" s="5" t="inlineStr"/>
      <c r="V157" s="5" t="inlineStr">
        <is>
          <t>FAQ /services/ecommerce-website-development</t>
        </is>
      </c>
    </row>
    <row r="158">
      <c r="A158" t="inlineStr">
        <is>
          <t>K0156</t>
        </is>
      </c>
      <c r="B158" t="inlineStr">
        <is>
          <t>comment créer un site web</t>
        </is>
      </c>
      <c r="C158" t="inlineStr">
        <is>
          <t>Morocco</t>
        </is>
      </c>
      <c r="D158" t="inlineStr">
        <is>
          <t>ma</t>
        </is>
      </c>
      <c r="E158" t="inlineStr">
        <is>
          <t>fr</t>
        </is>
      </c>
      <c r="F158" t="n">
        <v>170</v>
      </c>
      <c r="G158" t="inlineStr">
        <is>
          <t>NOT AVAILABLE</t>
        </is>
      </c>
      <c r="H158" t="n">
        <v>0.4</v>
      </c>
      <c r="I158" t="n">
        <v>0.67</v>
      </c>
      <c r="J158" t="inlineStr">
        <is>
          <t>NOT AVAILABLE</t>
        </is>
      </c>
      <c r="K158" t="inlineStr">
        <is>
          <t>NOT AVAILABLE (report not requested)</t>
        </is>
      </c>
      <c r="L158" t="inlineStr">
        <is>
          <t>declining (calc.)</t>
        </is>
      </c>
      <c r="M158" t="inlineStr">
        <is>
          <t>MEASURED</t>
        </is>
      </c>
      <c r="N158" s="5" t="inlineStr">
        <is>
          <t>Semrush phrase_these (live, this session)</t>
        </is>
      </c>
      <c r="O158" t="inlineStr">
        <is>
          <t>2026-10-30</t>
        </is>
      </c>
      <c r="P158">
        <f>IF(IF(J158="NOT AVAILABLE","",J158)="",12,IF(OR(ISNUMBER(SEARCH("Transactional",IF(J158="NOT AVAILABLE","",J158))),ISNUMBER(SEARCH("Commercial",IF(J158="NOT AVAILABLE","",J158)))),25,IF(ISNUMBER(SEARCH("Informational",IF(J158="NOT AVAILABLE","",J158))),10,IF(ISNUMBER(SEARCH("Navigational",IF(J158="NOT AVAILABLE","",J158))),0,12))))</f>
        <v/>
      </c>
      <c r="Q158">
        <f>IF(ISNUMBER(F158),MIN(30,ROUND(30*LOG10(F158+1)/4,1)),0)</f>
        <v/>
      </c>
      <c r="R158">
        <f>IF(ISNUMBER(G158),ROUND(25*(100-G158)/100,1),12.5)</f>
        <v/>
      </c>
      <c r="S158" t="n">
        <v>20</v>
      </c>
      <c r="T158">
        <f>ROUND(P158+Q158+R158+S158,0)</f>
        <v/>
      </c>
      <c r="U158" s="5" t="inlineStr"/>
      <c r="V158" s="5" t="inlineStr">
        <is>
          <t>FAQ /</t>
        </is>
      </c>
    </row>
    <row r="159">
      <c r="A159" t="inlineStr">
        <is>
          <t>K0157</t>
        </is>
      </c>
      <c r="B159" t="inlineStr">
        <is>
          <t>compteur de caractères</t>
        </is>
      </c>
      <c r="C159" t="inlineStr">
        <is>
          <t>Morocco</t>
        </is>
      </c>
      <c r="D159" t="inlineStr">
        <is>
          <t>ma</t>
        </is>
      </c>
      <c r="E159" t="inlineStr">
        <is>
          <t>fr</t>
        </is>
      </c>
      <c r="F159" t="n">
        <v>170</v>
      </c>
      <c r="G159" t="inlineStr">
        <is>
          <t>NOT AVAILABLE</t>
        </is>
      </c>
      <c r="H159" t="n">
        <v>0.01</v>
      </c>
      <c r="I159" t="n">
        <v>0.24</v>
      </c>
      <c r="J159" t="inlineStr">
        <is>
          <t>NOT AVAILABLE</t>
        </is>
      </c>
      <c r="K159" t="inlineStr">
        <is>
          <t>NOT AVAILABLE (report not requested)</t>
        </is>
      </c>
      <c r="L159" t="inlineStr">
        <is>
          <t>declining (calc.)</t>
        </is>
      </c>
      <c r="M159" t="inlineStr">
        <is>
          <t>MEASURED</t>
        </is>
      </c>
      <c r="N159" s="5" t="inlineStr">
        <is>
          <t>Semrush phrase_these (live, this session)</t>
        </is>
      </c>
      <c r="O159" t="inlineStr">
        <is>
          <t>2026-10-30</t>
        </is>
      </c>
      <c r="P159">
        <f>IF(IF(J159="NOT AVAILABLE","",J159)="",12,IF(OR(ISNUMBER(SEARCH("Transactional",IF(J159="NOT AVAILABLE","",J159))),ISNUMBER(SEARCH("Commercial",IF(J159="NOT AVAILABLE","",J159)))),25,IF(ISNUMBER(SEARCH("Informational",IF(J159="NOT AVAILABLE","",J159))),10,IF(ISNUMBER(SEARCH("Navigational",IF(J159="NOT AVAILABLE","",J159))),0,12))))</f>
        <v/>
      </c>
      <c r="Q159">
        <f>IF(ISNUMBER(F159),MIN(30,ROUND(30*LOG10(F159+1)/4,1)),0)</f>
        <v/>
      </c>
      <c r="R159">
        <f>IF(ISNUMBER(G159),ROUND(25*(100-G159)/100,1),12.5)</f>
        <v/>
      </c>
      <c r="S159" t="n">
        <v>20</v>
      </c>
      <c r="T159">
        <f>ROUND(P159+Q159+R159+S159,0)</f>
        <v/>
      </c>
      <c r="U159" s="5" t="inlineStr"/>
      <c r="V159" s="5" t="inlineStr">
        <is>
          <t>SUPPORTING /tools/word-counter</t>
        </is>
      </c>
    </row>
    <row r="160">
      <c r="A160" t="inlineStr">
        <is>
          <t>K0158</t>
        </is>
      </c>
      <c r="B160" t="inlineStr">
        <is>
          <t>création site internet marrakech</t>
        </is>
      </c>
      <c r="C160" t="inlineStr">
        <is>
          <t>Morocco</t>
        </is>
      </c>
      <c r="D160" t="inlineStr">
        <is>
          <t>ma</t>
        </is>
      </c>
      <c r="E160" t="inlineStr">
        <is>
          <t>fr</t>
        </is>
      </c>
      <c r="F160" t="n">
        <v>170</v>
      </c>
      <c r="G160" t="inlineStr">
        <is>
          <t>NOT AVAILABLE</t>
        </is>
      </c>
      <c r="H160" t="n">
        <v>1.24</v>
      </c>
      <c r="I160" t="n">
        <v>0.14</v>
      </c>
      <c r="J160" t="inlineStr">
        <is>
          <t>NOT AVAILABLE</t>
        </is>
      </c>
      <c r="K160" t="inlineStr">
        <is>
          <t>NOT AVAILABLE (report not requested)</t>
        </is>
      </c>
      <c r="L160" t="inlineStr">
        <is>
          <t>declining (calc.)</t>
        </is>
      </c>
      <c r="M160" t="inlineStr">
        <is>
          <t>MEASURED</t>
        </is>
      </c>
      <c r="N160" s="5" t="inlineStr">
        <is>
          <t>Semrush phrase_these (live, this session)</t>
        </is>
      </c>
      <c r="O160" t="inlineStr">
        <is>
          <t>2026-10-30</t>
        </is>
      </c>
      <c r="P160">
        <f>IF(IF(J160="NOT AVAILABLE","",J160)="",12,IF(OR(ISNUMBER(SEARCH("Transactional",IF(J160="NOT AVAILABLE","",J160))),ISNUMBER(SEARCH("Commercial",IF(J160="NOT AVAILABLE","",J160)))),25,IF(ISNUMBER(SEARCH("Informational",IF(J160="NOT AVAILABLE","",J160))),10,IF(ISNUMBER(SEARCH("Navigational",IF(J160="NOT AVAILABLE","",J160))),0,12))))</f>
        <v/>
      </c>
      <c r="Q160">
        <f>IF(ISNUMBER(F160),MIN(30,ROUND(30*LOG10(F160+1)/4,1)),0)</f>
        <v/>
      </c>
      <c r="R160">
        <f>IF(ISNUMBER(G160),ROUND(25*(100-G160)/100,1),12.5)</f>
        <v/>
      </c>
      <c r="S160" t="n">
        <v>20</v>
      </c>
      <c r="T160">
        <f>ROUND(P160+Q160+R160+S160,0)</f>
        <v/>
      </c>
      <c r="U160" s="5" t="inlineStr"/>
      <c r="V160" s="5" t="inlineStr">
        <is>
          <t>SECONDARY /web-development-company/marrakech</t>
        </is>
      </c>
    </row>
    <row r="161">
      <c r="A161" t="inlineStr">
        <is>
          <t>K0159</t>
        </is>
      </c>
      <c r="B161" t="inlineStr">
        <is>
          <t>css minifier</t>
        </is>
      </c>
      <c r="C161" t="inlineStr">
        <is>
          <t>Morocco</t>
        </is>
      </c>
      <c r="D161" t="inlineStr">
        <is>
          <t>ma</t>
        </is>
      </c>
      <c r="E161" t="inlineStr">
        <is>
          <t>fr</t>
        </is>
      </c>
      <c r="F161" t="n">
        <v>170</v>
      </c>
      <c r="G161" t="inlineStr">
        <is>
          <t>NOT AVAILABLE</t>
        </is>
      </c>
      <c r="H161" t="n">
        <v>0</v>
      </c>
      <c r="I161" t="n">
        <v>0</v>
      </c>
      <c r="J161" t="inlineStr">
        <is>
          <t>NOT AVAILABLE</t>
        </is>
      </c>
      <c r="K161" t="inlineStr">
        <is>
          <t>NOT AVAILABLE (report not requested)</t>
        </is>
      </c>
      <c r="L161" t="inlineStr">
        <is>
          <t>stable (calc.)</t>
        </is>
      </c>
      <c r="M161" t="inlineStr">
        <is>
          <t>MEASURED</t>
        </is>
      </c>
      <c r="N161" s="5" t="inlineStr">
        <is>
          <t>Semrush phrase_these (live, this session)</t>
        </is>
      </c>
      <c r="O161" t="inlineStr">
        <is>
          <t>2026-10-30</t>
        </is>
      </c>
      <c r="P161">
        <f>IF(IF(J161="NOT AVAILABLE","",J161)="",12,IF(OR(ISNUMBER(SEARCH("Transactional",IF(J161="NOT AVAILABLE","",J161))),ISNUMBER(SEARCH("Commercial",IF(J161="NOT AVAILABLE","",J161)))),25,IF(ISNUMBER(SEARCH("Informational",IF(J161="NOT AVAILABLE","",J161))),10,IF(ISNUMBER(SEARCH("Navigational",IF(J161="NOT AVAILABLE","",J161))),0,12))))</f>
        <v/>
      </c>
      <c r="Q161">
        <f>IF(ISNUMBER(F161),MIN(30,ROUND(30*LOG10(F161+1)/4,1)),0)</f>
        <v/>
      </c>
      <c r="R161">
        <f>IF(ISNUMBER(G161),ROUND(25*(100-G161)/100,1),12.5)</f>
        <v/>
      </c>
      <c r="S161" t="n">
        <v>20</v>
      </c>
      <c r="T161">
        <f>ROUND(P161+Q161+R161+S161,0)</f>
        <v/>
      </c>
      <c r="U161" s="5" t="inlineStr"/>
      <c r="V161" s="5" t="inlineStr">
        <is>
          <t>SUPPORTING /tools/css-minifier</t>
        </is>
      </c>
    </row>
    <row r="162">
      <c r="A162" t="inlineStr">
        <is>
          <t>K0160</t>
        </is>
      </c>
      <c r="B162" t="inlineStr">
        <is>
          <t>json validator</t>
        </is>
      </c>
      <c r="C162" t="inlineStr">
        <is>
          <t>Morocco</t>
        </is>
      </c>
      <c r="D162" t="inlineStr">
        <is>
          <t>ma</t>
        </is>
      </c>
      <c r="E162" t="inlineStr">
        <is>
          <t>fr</t>
        </is>
      </c>
      <c r="F162" t="n">
        <v>170</v>
      </c>
      <c r="G162" t="inlineStr">
        <is>
          <t>NOT AVAILABLE</t>
        </is>
      </c>
      <c r="H162" t="n">
        <v>0</v>
      </c>
      <c r="I162" t="n">
        <v>0.33</v>
      </c>
      <c r="J162" t="inlineStr">
        <is>
          <t>NOT AVAILABLE</t>
        </is>
      </c>
      <c r="K162" t="inlineStr">
        <is>
          <t>NOT AVAILABLE (report not requested)</t>
        </is>
      </c>
      <c r="L162" t="inlineStr">
        <is>
          <t>declining (calc.)</t>
        </is>
      </c>
      <c r="M162" t="inlineStr">
        <is>
          <t>MEASURED</t>
        </is>
      </c>
      <c r="N162" s="5" t="inlineStr">
        <is>
          <t>Semrush phrase_these (live, this session)</t>
        </is>
      </c>
      <c r="O162" t="inlineStr">
        <is>
          <t>2026-10-30</t>
        </is>
      </c>
      <c r="P162">
        <f>IF(IF(J162="NOT AVAILABLE","",J162)="",12,IF(OR(ISNUMBER(SEARCH("Transactional",IF(J162="NOT AVAILABLE","",J162))),ISNUMBER(SEARCH("Commercial",IF(J162="NOT AVAILABLE","",J162)))),25,IF(ISNUMBER(SEARCH("Informational",IF(J162="NOT AVAILABLE","",J162))),10,IF(ISNUMBER(SEARCH("Navigational",IF(J162="NOT AVAILABLE","",J162))),0,12))))</f>
        <v/>
      </c>
      <c r="Q162">
        <f>IF(ISNUMBER(F162),MIN(30,ROUND(30*LOG10(F162+1)/4,1)),0)</f>
        <v/>
      </c>
      <c r="R162">
        <f>IF(ISNUMBER(G162),ROUND(25*(100-G162)/100,1),12.5)</f>
        <v/>
      </c>
      <c r="S162" t="n">
        <v>20</v>
      </c>
      <c r="T162">
        <f>ROUND(P162+Q162+R162+S162,0)</f>
        <v/>
      </c>
      <c r="U162" s="5" t="inlineStr"/>
      <c r="V162" s="5" t="inlineStr">
        <is>
          <t>SUPPORTING /tools/json-formatter</t>
        </is>
      </c>
    </row>
    <row r="163">
      <c r="A163" t="inlineStr">
        <is>
          <t>K0161</t>
        </is>
      </c>
      <c r="B163" t="inlineStr">
        <is>
          <t>minify css</t>
        </is>
      </c>
      <c r="C163" t="inlineStr">
        <is>
          <t>Morocco</t>
        </is>
      </c>
      <c r="D163" t="inlineStr">
        <is>
          <t>ma</t>
        </is>
      </c>
      <c r="E163" t="inlineStr">
        <is>
          <t>fr</t>
        </is>
      </c>
      <c r="F163" t="n">
        <v>170</v>
      </c>
      <c r="G163" t="inlineStr">
        <is>
          <t>NOT AVAILABLE</t>
        </is>
      </c>
      <c r="H163" t="n">
        <v>0</v>
      </c>
      <c r="I163" t="n">
        <v>0</v>
      </c>
      <c r="J163" t="inlineStr">
        <is>
          <t>NOT AVAILABLE</t>
        </is>
      </c>
      <c r="K163" t="inlineStr">
        <is>
          <t>NOT AVAILABLE (report not requested)</t>
        </is>
      </c>
      <c r="L163" t="inlineStr">
        <is>
          <t>stable (calc.)</t>
        </is>
      </c>
      <c r="M163" t="inlineStr">
        <is>
          <t>MEASURED</t>
        </is>
      </c>
      <c r="N163" s="5" t="inlineStr">
        <is>
          <t>Semrush phrase_these (live, this session)</t>
        </is>
      </c>
      <c r="O163" t="inlineStr">
        <is>
          <t>2026-10-30</t>
        </is>
      </c>
      <c r="P163">
        <f>IF(IF(J163="NOT AVAILABLE","",J163)="",12,IF(OR(ISNUMBER(SEARCH("Transactional",IF(J163="NOT AVAILABLE","",J163))),ISNUMBER(SEARCH("Commercial",IF(J163="NOT AVAILABLE","",J163)))),25,IF(ISNUMBER(SEARCH("Informational",IF(J163="NOT AVAILABLE","",J163))),10,IF(ISNUMBER(SEARCH("Navigational",IF(J163="NOT AVAILABLE","",J163))),0,12))))</f>
        <v/>
      </c>
      <c r="Q163">
        <f>IF(ISNUMBER(F163),MIN(30,ROUND(30*LOG10(F163+1)/4,1)),0)</f>
        <v/>
      </c>
      <c r="R163">
        <f>IF(ISNUMBER(G163),ROUND(25*(100-G163)/100,1),12.5)</f>
        <v/>
      </c>
      <c r="S163" t="n">
        <v>20</v>
      </c>
      <c r="T163">
        <f>ROUND(P163+Q163+R163+S163,0)</f>
        <v/>
      </c>
      <c r="U163" s="5" t="inlineStr"/>
      <c r="V163" s="5" t="inlineStr">
        <is>
          <t>SECONDARY /tools/css-minifier</t>
        </is>
      </c>
    </row>
    <row r="164">
      <c r="A164" t="inlineStr">
        <is>
          <t>K0162</t>
        </is>
      </c>
      <c r="B164" t="inlineStr">
        <is>
          <t>redirect checker</t>
        </is>
      </c>
      <c r="C164" t="inlineStr">
        <is>
          <t>Morocco</t>
        </is>
      </c>
      <c r="D164" t="inlineStr">
        <is>
          <t>ma</t>
        </is>
      </c>
      <c r="E164" t="inlineStr">
        <is>
          <t>fr</t>
        </is>
      </c>
      <c r="F164" t="n">
        <v>170</v>
      </c>
      <c r="G164" t="inlineStr">
        <is>
          <t>NOT AVAILABLE</t>
        </is>
      </c>
      <c r="H164" t="n">
        <v>0</v>
      </c>
      <c r="I164" t="n">
        <v>0.01</v>
      </c>
      <c r="J164" t="inlineStr">
        <is>
          <t>NOT AVAILABLE</t>
        </is>
      </c>
      <c r="K164" t="inlineStr">
        <is>
          <t>NOT AVAILABLE (report not requested)</t>
        </is>
      </c>
      <c r="L164" t="inlineStr">
        <is>
          <t>declining (calc.)</t>
        </is>
      </c>
      <c r="M164" t="inlineStr">
        <is>
          <t>MEASURED</t>
        </is>
      </c>
      <c r="N164" s="5" t="inlineStr">
        <is>
          <t>Semrush phrase_these (live, this session)</t>
        </is>
      </c>
      <c r="O164" t="inlineStr">
        <is>
          <t>2026-10-30</t>
        </is>
      </c>
      <c r="P164">
        <f>IF(IF(J164="NOT AVAILABLE","",J164)="",12,IF(OR(ISNUMBER(SEARCH("Transactional",IF(J164="NOT AVAILABLE","",J164))),ISNUMBER(SEARCH("Commercial",IF(J164="NOT AVAILABLE","",J164)))),25,IF(ISNUMBER(SEARCH("Informational",IF(J164="NOT AVAILABLE","",J164))),10,IF(ISNUMBER(SEARCH("Navigational",IF(J164="NOT AVAILABLE","",J164))),0,12))))</f>
        <v/>
      </c>
      <c r="Q164">
        <f>IF(ISNUMBER(F164),MIN(30,ROUND(30*LOG10(F164+1)/4,1)),0)</f>
        <v/>
      </c>
      <c r="R164">
        <f>IF(ISNUMBER(G164),ROUND(25*(100-G164)/100,1),12.5)</f>
        <v/>
      </c>
      <c r="S164" t="n">
        <v>20</v>
      </c>
      <c r="T164">
        <f>ROUND(P164+Q164+R164+S164,0)</f>
        <v/>
      </c>
      <c r="U164" s="5" t="inlineStr"/>
      <c r="V164" s="5" t="inlineStr">
        <is>
          <t>SECONDARY /tools/redirect-checker</t>
        </is>
      </c>
    </row>
    <row r="165">
      <c r="A165" t="inlineStr">
        <is>
          <t>K0163</t>
        </is>
      </c>
      <c r="B165" t="inlineStr">
        <is>
          <t>site immobilier maroc</t>
        </is>
      </c>
      <c r="C165" t="inlineStr">
        <is>
          <t>Morocco</t>
        </is>
      </c>
      <c r="D165" t="inlineStr">
        <is>
          <t>ma</t>
        </is>
      </c>
      <c r="E165" t="inlineStr">
        <is>
          <t>fr</t>
        </is>
      </c>
      <c r="F165" t="n">
        <v>170</v>
      </c>
      <c r="G165" t="inlineStr">
        <is>
          <t>NOT AVAILABLE</t>
        </is>
      </c>
      <c r="H165" t="n">
        <v>0.14</v>
      </c>
      <c r="I165" t="n">
        <v>0.51</v>
      </c>
      <c r="J165" t="inlineStr">
        <is>
          <t>NOT AVAILABLE</t>
        </is>
      </c>
      <c r="K165" t="inlineStr">
        <is>
          <t>NOT AVAILABLE (report not requested)</t>
        </is>
      </c>
      <c r="L165" t="inlineStr">
        <is>
          <t>stable (calc.)</t>
        </is>
      </c>
      <c r="M165" t="inlineStr">
        <is>
          <t>MEASURED</t>
        </is>
      </c>
      <c r="N165" s="5" t="inlineStr">
        <is>
          <t>Semrush phrase_these (live, this session)</t>
        </is>
      </c>
      <c r="O165" t="inlineStr">
        <is>
          <t>2026-10-30</t>
        </is>
      </c>
      <c r="P165">
        <f>IF(IF(J165="NOT AVAILABLE","",J165)="",12,IF(OR(ISNUMBER(SEARCH("Transactional",IF(J165="NOT AVAILABLE","",J165))),ISNUMBER(SEARCH("Commercial",IF(J165="NOT AVAILABLE","",J165)))),25,IF(ISNUMBER(SEARCH("Informational",IF(J165="NOT AVAILABLE","",J165))),10,IF(ISNUMBER(SEARCH("Navigational",IF(J165="NOT AVAILABLE","",J165))),0,12))))</f>
        <v/>
      </c>
      <c r="Q165">
        <f>IF(ISNUMBER(F165),MIN(30,ROUND(30*LOG10(F165+1)/4,1)),0)</f>
        <v/>
      </c>
      <c r="R165">
        <f>IF(ISNUMBER(G165),ROUND(25*(100-G165)/100,1),12.5)</f>
        <v/>
      </c>
      <c r="S165" t="n">
        <v>20</v>
      </c>
      <c r="T165">
        <f>ROUND(P165+Q165+R165+S165,0)</f>
        <v/>
      </c>
      <c r="U165" s="5" t="inlineStr"/>
      <c r="V165" s="5" t="inlineStr">
        <is>
          <t>NOT RECOMMENDED /services/real-estate-website-development</t>
        </is>
      </c>
    </row>
    <row r="166">
      <c r="A166" t="inlineStr">
        <is>
          <t>K0164</t>
        </is>
      </c>
      <c r="B166" t="inlineStr">
        <is>
          <t>agence de communication agadir</t>
        </is>
      </c>
      <c r="C166" t="inlineStr">
        <is>
          <t>Morocco</t>
        </is>
      </c>
      <c r="D166" t="inlineStr">
        <is>
          <t>ma</t>
        </is>
      </c>
      <c r="E166" t="inlineStr">
        <is>
          <t>fr</t>
        </is>
      </c>
      <c r="F166" t="n">
        <v>140</v>
      </c>
      <c r="G166" t="inlineStr">
        <is>
          <t>NOT AVAILABLE</t>
        </is>
      </c>
      <c r="H166" t="n">
        <v>0.31</v>
      </c>
      <c r="I166" t="n">
        <v>0.04</v>
      </c>
      <c r="J166" t="inlineStr">
        <is>
          <t>NOT AVAILABLE</t>
        </is>
      </c>
      <c r="K166" t="inlineStr">
        <is>
          <t>NOT AVAILABLE (report not requested)</t>
        </is>
      </c>
      <c r="L166" t="inlineStr">
        <is>
          <t>declining (calc.)</t>
        </is>
      </c>
      <c r="M166" t="inlineStr">
        <is>
          <t>MEASURED</t>
        </is>
      </c>
      <c r="N166" s="5" t="inlineStr">
        <is>
          <t>Semrush phrase_these (live, this session)</t>
        </is>
      </c>
      <c r="O166" t="inlineStr">
        <is>
          <t>2026-10-30</t>
        </is>
      </c>
      <c r="P166">
        <f>IF(IF(J166="NOT AVAILABLE","",J166)="",12,IF(OR(ISNUMBER(SEARCH("Transactional",IF(J166="NOT AVAILABLE","",J166))),ISNUMBER(SEARCH("Commercial",IF(J166="NOT AVAILABLE","",J166)))),25,IF(ISNUMBER(SEARCH("Informational",IF(J166="NOT AVAILABLE","",J166))),10,IF(ISNUMBER(SEARCH("Navigational",IF(J166="NOT AVAILABLE","",J166))),0,12))))</f>
        <v/>
      </c>
      <c r="Q166">
        <f>IF(ISNUMBER(F166),MIN(30,ROUND(30*LOG10(F166+1)/4,1)),0)</f>
        <v/>
      </c>
      <c r="R166">
        <f>IF(ISNUMBER(G166),ROUND(25*(100-G166)/100,1),12.5)</f>
        <v/>
      </c>
      <c r="S166" t="n">
        <v>20</v>
      </c>
      <c r="T166">
        <f>ROUND(P166+Q166+R166+S166,0)</f>
        <v/>
      </c>
      <c r="U166" s="5" t="inlineStr"/>
      <c r="V166" s="5" t="inlineStr">
        <is>
          <t>NOT RECOMMENDED /web-development-company/agadir</t>
        </is>
      </c>
    </row>
    <row r="167">
      <c r="A167" t="inlineStr">
        <is>
          <t>K0165</t>
        </is>
      </c>
      <c r="B167" t="inlineStr">
        <is>
          <t>agence digitale marrakech</t>
        </is>
      </c>
      <c r="C167" t="inlineStr">
        <is>
          <t>Morocco</t>
        </is>
      </c>
      <c r="D167" t="inlineStr">
        <is>
          <t>ma</t>
        </is>
      </c>
      <c r="E167" t="inlineStr">
        <is>
          <t>fr</t>
        </is>
      </c>
      <c r="F167" t="n">
        <v>140</v>
      </c>
      <c r="G167" t="inlineStr">
        <is>
          <t>NOT AVAILABLE</t>
        </is>
      </c>
      <c r="H167" t="n">
        <v>0.82</v>
      </c>
      <c r="I167" t="n">
        <v>0.17</v>
      </c>
      <c r="J167" t="inlineStr">
        <is>
          <t>NOT AVAILABLE</t>
        </is>
      </c>
      <c r="K167" t="inlineStr">
        <is>
          <t>NOT AVAILABLE (report not requested)</t>
        </is>
      </c>
      <c r="L167" t="inlineStr">
        <is>
          <t>rising (calc.)</t>
        </is>
      </c>
      <c r="M167" t="inlineStr">
        <is>
          <t>MEASURED</t>
        </is>
      </c>
      <c r="N167" s="5" t="inlineStr">
        <is>
          <t>Semrush phrase_these (live, this session)</t>
        </is>
      </c>
      <c r="O167" t="inlineStr">
        <is>
          <t>2026-10-30</t>
        </is>
      </c>
      <c r="P167">
        <f>IF(IF(J167="NOT AVAILABLE","",J167)="",12,IF(OR(ISNUMBER(SEARCH("Transactional",IF(J167="NOT AVAILABLE","",J167))),ISNUMBER(SEARCH("Commercial",IF(J167="NOT AVAILABLE","",J167)))),25,IF(ISNUMBER(SEARCH("Informational",IF(J167="NOT AVAILABLE","",J167))),10,IF(ISNUMBER(SEARCH("Navigational",IF(J167="NOT AVAILABLE","",J167))),0,12))))</f>
        <v/>
      </c>
      <c r="Q167">
        <f>IF(ISNUMBER(F167),MIN(30,ROUND(30*LOG10(F167+1)/4,1)),0)</f>
        <v/>
      </c>
      <c r="R167">
        <f>IF(ISNUMBER(G167),ROUND(25*(100-G167)/100,1),12.5)</f>
        <v/>
      </c>
      <c r="S167" t="n">
        <v>20</v>
      </c>
      <c r="T167">
        <f>ROUND(P167+Q167+R167+S167,0)</f>
        <v/>
      </c>
      <c r="U167" s="5" t="inlineStr"/>
      <c r="V167" s="5" t="inlineStr">
        <is>
          <t>SUPPORTING /about; SECONDARY /web-development-company/marrakech</t>
        </is>
      </c>
    </row>
    <row r="168">
      <c r="A168" t="inlineStr">
        <is>
          <t>K0166</t>
        </is>
      </c>
      <c r="B168" t="inlineStr">
        <is>
          <t>agence seo</t>
        </is>
      </c>
      <c r="C168" t="inlineStr">
        <is>
          <t>Morocco</t>
        </is>
      </c>
      <c r="D168" t="inlineStr">
        <is>
          <t>ma</t>
        </is>
      </c>
      <c r="E168" t="inlineStr">
        <is>
          <t>fr</t>
        </is>
      </c>
      <c r="F168" t="n">
        <v>140</v>
      </c>
      <c r="G168" t="inlineStr">
        <is>
          <t>NOT AVAILABLE</t>
        </is>
      </c>
      <c r="H168" t="n">
        <v>0.99</v>
      </c>
      <c r="I168" t="n">
        <v>0.24</v>
      </c>
      <c r="J168" t="inlineStr">
        <is>
          <t>NOT AVAILABLE</t>
        </is>
      </c>
      <c r="K168" t="inlineStr">
        <is>
          <t>NOT AVAILABLE (report not requested)</t>
        </is>
      </c>
      <c r="L168" t="inlineStr">
        <is>
          <t>stable (calc.)</t>
        </is>
      </c>
      <c r="M168" t="inlineStr">
        <is>
          <t>MEASURED</t>
        </is>
      </c>
      <c r="N168" s="5" t="inlineStr">
        <is>
          <t>Semrush phrase_these (live, this session)</t>
        </is>
      </c>
      <c r="O168" t="inlineStr">
        <is>
          <t>2026-10-30</t>
        </is>
      </c>
      <c r="P168">
        <f>IF(IF(J168="NOT AVAILABLE","",J168)="",12,IF(OR(ISNUMBER(SEARCH("Transactional",IF(J168="NOT AVAILABLE","",J168))),ISNUMBER(SEARCH("Commercial",IF(J168="NOT AVAILABLE","",J168)))),25,IF(ISNUMBER(SEARCH("Informational",IF(J168="NOT AVAILABLE","",J168))),10,IF(ISNUMBER(SEARCH("Navigational",IF(J168="NOT AVAILABLE","",J168))),0,12))))</f>
        <v/>
      </c>
      <c r="Q168">
        <f>IF(ISNUMBER(F168),MIN(30,ROUND(30*LOG10(F168+1)/4,1)),0)</f>
        <v/>
      </c>
      <c r="R168">
        <f>IF(ISNUMBER(G168),ROUND(25*(100-G168)/100,1),12.5)</f>
        <v/>
      </c>
      <c r="S168" t="n">
        <v>20</v>
      </c>
      <c r="T168">
        <f>ROUND(P168+Q168+R168+S168,0)</f>
        <v/>
      </c>
      <c r="U168" s="5" t="inlineStr"/>
      <c r="V168" s="5" t="inlineStr">
        <is>
          <t>SUPPORTING /services/seo-maroc</t>
        </is>
      </c>
    </row>
    <row r="169">
      <c r="A169" t="inlineStr">
        <is>
          <t>K0167</t>
        </is>
      </c>
      <c r="B169" t="inlineStr">
        <is>
          <t>agence web agadir</t>
        </is>
      </c>
      <c r="C169" t="inlineStr">
        <is>
          <t>Morocco</t>
        </is>
      </c>
      <c r="D169" t="inlineStr">
        <is>
          <t>ma</t>
        </is>
      </c>
      <c r="E169" t="inlineStr">
        <is>
          <t>fr</t>
        </is>
      </c>
      <c r="F169" t="n">
        <v>140</v>
      </c>
      <c r="G169" t="inlineStr">
        <is>
          <t>NOT AVAILABLE</t>
        </is>
      </c>
      <c r="H169" t="n">
        <v>0.57</v>
      </c>
      <c r="I169" t="n">
        <v>0.19</v>
      </c>
      <c r="J169" t="inlineStr">
        <is>
          <t>NOT AVAILABLE</t>
        </is>
      </c>
      <c r="K169" t="inlineStr">
        <is>
          <t>NOT AVAILABLE (report not requested)</t>
        </is>
      </c>
      <c r="L169" t="inlineStr">
        <is>
          <t>declining (calc.)</t>
        </is>
      </c>
      <c r="M169" t="inlineStr">
        <is>
          <t>MEASURED</t>
        </is>
      </c>
      <c r="N169" s="5" t="inlineStr">
        <is>
          <t>Semrush phrase_these (live, this session)</t>
        </is>
      </c>
      <c r="O169" t="inlineStr">
        <is>
          <t>2026-10-30</t>
        </is>
      </c>
      <c r="P169">
        <f>IF(IF(J169="NOT AVAILABLE","",J169)="",12,IF(OR(ISNUMBER(SEARCH("Transactional",IF(J169="NOT AVAILABLE","",J169))),ISNUMBER(SEARCH("Commercial",IF(J169="NOT AVAILABLE","",J169)))),25,IF(ISNUMBER(SEARCH("Informational",IF(J169="NOT AVAILABLE","",J169))),10,IF(ISNUMBER(SEARCH("Navigational",IF(J169="NOT AVAILABLE","",J169))),0,12))))</f>
        <v/>
      </c>
      <c r="Q169">
        <f>IF(ISNUMBER(F169),MIN(30,ROUND(30*LOG10(F169+1)/4,1)),0)</f>
        <v/>
      </c>
      <c r="R169">
        <f>IF(ISNUMBER(G169),ROUND(25*(100-G169)/100,1),12.5)</f>
        <v/>
      </c>
      <c r="S169" t="n">
        <v>20</v>
      </c>
      <c r="T169">
        <f>ROUND(P169+Q169+R169+S169,0)</f>
        <v/>
      </c>
      <c r="U169" s="5" t="inlineStr"/>
      <c r="V169" s="5" t="inlineStr">
        <is>
          <t>PRIMARY /web-development-company/agadir</t>
        </is>
      </c>
    </row>
    <row r="170">
      <c r="A170" t="inlineStr">
        <is>
          <t>K0168</t>
        </is>
      </c>
      <c r="B170" t="inlineStr">
        <is>
          <t>agence web offshore maroc</t>
        </is>
      </c>
      <c r="C170" t="inlineStr">
        <is>
          <t>Morocco</t>
        </is>
      </c>
      <c r="D170" t="inlineStr">
        <is>
          <t>ma</t>
        </is>
      </c>
      <c r="E170" t="inlineStr">
        <is>
          <t>fr</t>
        </is>
      </c>
      <c r="F170" t="n">
        <v>140</v>
      </c>
      <c r="G170" t="inlineStr">
        <is>
          <t>NOT AVAILABLE</t>
        </is>
      </c>
      <c r="H170" t="n">
        <v>0</v>
      </c>
      <c r="I170" t="n">
        <v>0.05</v>
      </c>
      <c r="J170" t="inlineStr">
        <is>
          <t>NOT AVAILABLE</t>
        </is>
      </c>
      <c r="K170" t="inlineStr">
        <is>
          <t>NOT AVAILABLE (report not requested)</t>
        </is>
      </c>
      <c r="L170" t="inlineStr">
        <is>
          <t>rising (calc.)</t>
        </is>
      </c>
      <c r="M170" t="inlineStr">
        <is>
          <t>MEASURED</t>
        </is>
      </c>
      <c r="N170" s="5" t="inlineStr">
        <is>
          <t>Semrush phrase_these (live, this session)</t>
        </is>
      </c>
      <c r="O170" t="inlineStr">
        <is>
          <t>2026-10-30</t>
        </is>
      </c>
      <c r="P170">
        <f>IF(IF(J170="NOT AVAILABLE","",J170)="",12,IF(OR(ISNUMBER(SEARCH("Transactional",IF(J170="NOT AVAILABLE","",J170))),ISNUMBER(SEARCH("Commercial",IF(J170="NOT AVAILABLE","",J170)))),25,IF(ISNUMBER(SEARCH("Informational",IF(J170="NOT AVAILABLE","",J170))),10,IF(ISNUMBER(SEARCH("Navigational",IF(J170="NOT AVAILABLE","",J170))),0,12))))</f>
        <v/>
      </c>
      <c r="Q170">
        <f>IF(ISNUMBER(F170),MIN(30,ROUND(30*LOG10(F170+1)/4,1)),0)</f>
        <v/>
      </c>
      <c r="R170">
        <f>IF(ISNUMBER(G170),ROUND(25*(100-G170)/100,1),12.5)</f>
        <v/>
      </c>
      <c r="S170" t="n">
        <v>20</v>
      </c>
      <c r="T170">
        <f>ROUND(P170+Q170+R170+S170,0)</f>
        <v/>
      </c>
      <c r="U170" s="5" t="inlineStr"/>
      <c r="V170" s="5" t="inlineStr">
        <is>
          <t>PRIMARY /web-development-company/worldwide</t>
        </is>
      </c>
    </row>
    <row r="171">
      <c r="A171" t="inlineStr">
        <is>
          <t>K0169</t>
        </is>
      </c>
      <c r="B171" t="inlineStr">
        <is>
          <t>boutique en ligne maroc</t>
        </is>
      </c>
      <c r="C171" t="inlineStr">
        <is>
          <t>Morocco</t>
        </is>
      </c>
      <c r="D171" t="inlineStr">
        <is>
          <t>ma</t>
        </is>
      </c>
      <c r="E171" t="inlineStr">
        <is>
          <t>fr</t>
        </is>
      </c>
      <c r="F171" t="n">
        <v>140</v>
      </c>
      <c r="G171" t="inlineStr">
        <is>
          <t>NOT AVAILABLE</t>
        </is>
      </c>
      <c r="H171" t="n">
        <v>0.15</v>
      </c>
      <c r="I171" t="n">
        <v>0.3</v>
      </c>
      <c r="J171" t="inlineStr">
        <is>
          <t>NOT AVAILABLE</t>
        </is>
      </c>
      <c r="K171" t="inlineStr">
        <is>
          <t>NOT AVAILABLE (report not requested)</t>
        </is>
      </c>
      <c r="L171" t="inlineStr">
        <is>
          <t>stable (calc.)</t>
        </is>
      </c>
      <c r="M171" t="inlineStr">
        <is>
          <t>MEASURED</t>
        </is>
      </c>
      <c r="N171" s="5" t="inlineStr">
        <is>
          <t>Semrush phrase_these (live, this session)</t>
        </is>
      </c>
      <c r="O171" t="inlineStr">
        <is>
          <t>2026-10-30</t>
        </is>
      </c>
      <c r="P171">
        <f>IF(IF(J171="NOT AVAILABLE","",J171)="",12,IF(OR(ISNUMBER(SEARCH("Transactional",IF(J171="NOT AVAILABLE","",J171))),ISNUMBER(SEARCH("Commercial",IF(J171="NOT AVAILABLE","",J171)))),25,IF(ISNUMBER(SEARCH("Informational",IF(J171="NOT AVAILABLE","",J171))),10,IF(ISNUMBER(SEARCH("Navigational",IF(J171="NOT AVAILABLE","",J171))),0,12))))</f>
        <v/>
      </c>
      <c r="Q171">
        <f>IF(ISNUMBER(F171),MIN(30,ROUND(30*LOG10(F171+1)/4,1)),0)</f>
        <v/>
      </c>
      <c r="R171">
        <f>IF(ISNUMBER(G171),ROUND(25*(100-G171)/100,1),12.5)</f>
        <v/>
      </c>
      <c r="S171" t="n">
        <v>20</v>
      </c>
      <c r="T171">
        <f>ROUND(P171+Q171+R171+S171,0)</f>
        <v/>
      </c>
      <c r="U171" s="5" t="inlineStr"/>
      <c r="V171" s="5" t="inlineStr">
        <is>
          <t>SECONDARY /services/ecommerce-website-development</t>
        </is>
      </c>
    </row>
    <row r="172">
      <c r="A172" t="inlineStr">
        <is>
          <t>K0170</t>
        </is>
      </c>
      <c r="B172" t="inlineStr">
        <is>
          <t>creation site web rabat</t>
        </is>
      </c>
      <c r="C172" t="inlineStr">
        <is>
          <t>Morocco</t>
        </is>
      </c>
      <c r="D172" t="inlineStr">
        <is>
          <t>ma</t>
        </is>
      </c>
      <c r="E172" t="inlineStr">
        <is>
          <t>fr</t>
        </is>
      </c>
      <c r="F172" t="n">
        <v>140</v>
      </c>
      <c r="G172" t="inlineStr">
        <is>
          <t>NOT AVAILABLE</t>
        </is>
      </c>
      <c r="H172" t="n">
        <v>0.67</v>
      </c>
      <c r="I172" t="n">
        <v>0.21</v>
      </c>
      <c r="J172" t="inlineStr">
        <is>
          <t>NOT AVAILABLE</t>
        </is>
      </c>
      <c r="K172" t="inlineStr">
        <is>
          <t>NOT AVAILABLE (report not requested)</t>
        </is>
      </c>
      <c r="L172" t="inlineStr">
        <is>
          <t>stable (calc.)</t>
        </is>
      </c>
      <c r="M172" t="inlineStr">
        <is>
          <t>MEASURED</t>
        </is>
      </c>
      <c r="N172" s="5" t="inlineStr">
        <is>
          <t>Semrush phrase_these (live, this session)</t>
        </is>
      </c>
      <c r="O172" t="inlineStr">
        <is>
          <t>2026-10-30</t>
        </is>
      </c>
      <c r="P172">
        <f>IF(IF(J172="NOT AVAILABLE","",J172)="",12,IF(OR(ISNUMBER(SEARCH("Transactional",IF(J172="NOT AVAILABLE","",J172))),ISNUMBER(SEARCH("Commercial",IF(J172="NOT AVAILABLE","",J172)))),25,IF(ISNUMBER(SEARCH("Informational",IF(J172="NOT AVAILABLE","",J172))),10,IF(ISNUMBER(SEARCH("Navigational",IF(J172="NOT AVAILABLE","",J172))),0,12))))</f>
        <v/>
      </c>
      <c r="Q172">
        <f>IF(ISNUMBER(F172),MIN(30,ROUND(30*LOG10(F172+1)/4,1)),0)</f>
        <v/>
      </c>
      <c r="R172">
        <f>IF(ISNUMBER(G172),ROUND(25*(100-G172)/100,1),12.5)</f>
        <v/>
      </c>
      <c r="S172" t="n">
        <v>20</v>
      </c>
      <c r="T172">
        <f>ROUND(P172+Q172+R172+S172,0)</f>
        <v/>
      </c>
      <c r="U172" s="5" t="inlineStr"/>
      <c r="V172" s="5" t="inlineStr"/>
    </row>
    <row r="173">
      <c r="A173" t="inlineStr">
        <is>
          <t>K0171</t>
        </is>
      </c>
      <c r="B173" t="inlineStr">
        <is>
          <t>création site web rabat</t>
        </is>
      </c>
      <c r="C173" t="inlineStr">
        <is>
          <t>Morocco</t>
        </is>
      </c>
      <c r="D173" t="inlineStr">
        <is>
          <t>ma</t>
        </is>
      </c>
      <c r="E173" t="inlineStr">
        <is>
          <t>fr</t>
        </is>
      </c>
      <c r="F173" t="n">
        <v>140</v>
      </c>
      <c r="G173" t="inlineStr">
        <is>
          <t>NOT AVAILABLE</t>
        </is>
      </c>
      <c r="H173" t="n">
        <v>0.67</v>
      </c>
      <c r="I173" t="n">
        <v>0.21</v>
      </c>
      <c r="J173" t="inlineStr">
        <is>
          <t>NOT AVAILABLE</t>
        </is>
      </c>
      <c r="K173" t="inlineStr">
        <is>
          <t>NOT AVAILABLE (report not requested)</t>
        </is>
      </c>
      <c r="L173" t="inlineStr">
        <is>
          <t>stable (calc.)</t>
        </is>
      </c>
      <c r="M173" t="inlineStr">
        <is>
          <t>MEASURED</t>
        </is>
      </c>
      <c r="N173" s="5" t="inlineStr">
        <is>
          <t>Semrush phrase_these (live, this session)</t>
        </is>
      </c>
      <c r="O173" t="inlineStr">
        <is>
          <t>2026-10-30</t>
        </is>
      </c>
      <c r="P173">
        <f>IF(IF(J173="NOT AVAILABLE","",J173)="",12,IF(OR(ISNUMBER(SEARCH("Transactional",IF(J173="NOT AVAILABLE","",J173))),ISNUMBER(SEARCH("Commercial",IF(J173="NOT AVAILABLE","",J173)))),25,IF(ISNUMBER(SEARCH("Informational",IF(J173="NOT AVAILABLE","",J173))),10,IF(ISNUMBER(SEARCH("Navigational",IF(J173="NOT AVAILABLE","",J173))),0,12))))</f>
        <v/>
      </c>
      <c r="Q173">
        <f>IF(ISNUMBER(F173),MIN(30,ROUND(30*LOG10(F173+1)/4,1)),0)</f>
        <v/>
      </c>
      <c r="R173">
        <f>IF(ISNUMBER(G173),ROUND(25*(100-G173)/100,1),12.5)</f>
        <v/>
      </c>
      <c r="S173" t="n">
        <v>20</v>
      </c>
      <c r="T173">
        <f>ROUND(P173+Q173+R173+S173,0)</f>
        <v/>
      </c>
      <c r="U173" s="5" t="inlineStr"/>
      <c r="V173" s="5" t="inlineStr">
        <is>
          <t>SECONDARY /web-development-company/rabat</t>
        </is>
      </c>
    </row>
    <row r="174">
      <c r="A174" t="inlineStr">
        <is>
          <t>K0172</t>
        </is>
      </c>
      <c r="B174" t="inlineStr">
        <is>
          <t>domain authority</t>
        </is>
      </c>
      <c r="C174" t="inlineStr">
        <is>
          <t>Morocco</t>
        </is>
      </c>
      <c r="D174" t="inlineStr">
        <is>
          <t>ma</t>
        </is>
      </c>
      <c r="E174" t="inlineStr">
        <is>
          <t>fr</t>
        </is>
      </c>
      <c r="F174" t="n">
        <v>140</v>
      </c>
      <c r="G174" t="inlineStr">
        <is>
          <t>NOT AVAILABLE</t>
        </is>
      </c>
      <c r="H174" t="n">
        <v>0</v>
      </c>
      <c r="I174" t="n">
        <v>0.03</v>
      </c>
      <c r="J174" t="inlineStr">
        <is>
          <t>NOT AVAILABLE</t>
        </is>
      </c>
      <c r="K174" t="inlineStr">
        <is>
          <t>NOT AVAILABLE (report not requested)</t>
        </is>
      </c>
      <c r="L174" t="inlineStr">
        <is>
          <t>declining (calc.)</t>
        </is>
      </c>
      <c r="M174" t="inlineStr">
        <is>
          <t>MEASURED</t>
        </is>
      </c>
      <c r="N174" s="5" t="inlineStr">
        <is>
          <t>Semrush phrase_these (live, this session)</t>
        </is>
      </c>
      <c r="O174" t="inlineStr">
        <is>
          <t>2026-10-30</t>
        </is>
      </c>
      <c r="P174">
        <f>IF(IF(J174="NOT AVAILABLE","",J174)="",12,IF(OR(ISNUMBER(SEARCH("Transactional",IF(J174="NOT AVAILABLE","",J174))),ISNUMBER(SEARCH("Commercial",IF(J174="NOT AVAILABLE","",J174)))),25,IF(ISNUMBER(SEARCH("Informational",IF(J174="NOT AVAILABLE","",J174))),10,IF(ISNUMBER(SEARCH("Navigational",IF(J174="NOT AVAILABLE","",J174))),0,12))))</f>
        <v/>
      </c>
      <c r="Q174">
        <f>IF(ISNUMBER(F174),MIN(30,ROUND(30*LOG10(F174+1)/4,1)),0)</f>
        <v/>
      </c>
      <c r="R174">
        <f>IF(ISNUMBER(G174),ROUND(25*(100-G174)/100,1),12.5)</f>
        <v/>
      </c>
      <c r="S174" t="n">
        <v>20</v>
      </c>
      <c r="T174">
        <f>ROUND(P174+Q174+R174+S174,0)</f>
        <v/>
      </c>
      <c r="U174" s="5" t="inlineStr"/>
      <c r="V174" s="5" t="inlineStr"/>
    </row>
    <row r="175">
      <c r="A175" t="inlineStr">
        <is>
          <t>K0173</t>
        </is>
      </c>
      <c r="B175" t="inlineStr">
        <is>
          <t>erp maroc</t>
        </is>
      </c>
      <c r="C175" t="inlineStr">
        <is>
          <t>Morocco</t>
        </is>
      </c>
      <c r="D175" t="inlineStr">
        <is>
          <t>ma</t>
        </is>
      </c>
      <c r="E175" t="inlineStr">
        <is>
          <t>fr</t>
        </is>
      </c>
      <c r="F175" t="n">
        <v>140</v>
      </c>
      <c r="G175" t="inlineStr">
        <is>
          <t>NOT AVAILABLE</t>
        </is>
      </c>
      <c r="H175" t="n">
        <v>0.5</v>
      </c>
      <c r="I175" t="n">
        <v>0.29</v>
      </c>
      <c r="J175" t="inlineStr">
        <is>
          <t>NOT AVAILABLE</t>
        </is>
      </c>
      <c r="K175" t="inlineStr">
        <is>
          <t>NOT AVAILABLE (report not requested)</t>
        </is>
      </c>
      <c r="L175" t="inlineStr">
        <is>
          <t>rising (calc.)</t>
        </is>
      </c>
      <c r="M175" t="inlineStr">
        <is>
          <t>MEASURED</t>
        </is>
      </c>
      <c r="N175" s="5" t="inlineStr">
        <is>
          <t>Semrush phrase_these (historical w3-validate-D-software.csv)</t>
        </is>
      </c>
      <c r="O175" t="inlineStr">
        <is>
          <t>2026-10-27</t>
        </is>
      </c>
      <c r="P175">
        <f>IF(IF(J175="NOT AVAILABLE","",J175)="",12,IF(OR(ISNUMBER(SEARCH("Transactional",IF(J175="NOT AVAILABLE","",J175))),ISNUMBER(SEARCH("Commercial",IF(J175="NOT AVAILABLE","",J175)))),25,IF(ISNUMBER(SEARCH("Informational",IF(J175="NOT AVAILABLE","",J175))),10,IF(ISNUMBER(SEARCH("Navigational",IF(J175="NOT AVAILABLE","",J175))),0,12))))</f>
        <v/>
      </c>
      <c r="Q175">
        <f>IF(ISNUMBER(F175),MIN(30,ROUND(30*LOG10(F175+1)/4,1)),0)</f>
        <v/>
      </c>
      <c r="R175">
        <f>IF(ISNUMBER(G175),ROUND(25*(100-G175)/100,1),12.5)</f>
        <v/>
      </c>
      <c r="S175" t="n">
        <v>20</v>
      </c>
      <c r="T175">
        <f>ROUND(P175+Q175+R175+S175,0)</f>
        <v/>
      </c>
      <c r="U175" s="5" t="inlineStr"/>
      <c r="V175" s="5" t="inlineStr"/>
    </row>
    <row r="176">
      <c r="A176" t="inlineStr">
        <is>
          <t>K0174</t>
        </is>
      </c>
      <c r="B176" t="inlineStr">
        <is>
          <t>html to text</t>
        </is>
      </c>
      <c r="C176" t="inlineStr">
        <is>
          <t>Morocco</t>
        </is>
      </c>
      <c r="D176" t="inlineStr">
        <is>
          <t>ma</t>
        </is>
      </c>
      <c r="E176" t="inlineStr">
        <is>
          <t>fr</t>
        </is>
      </c>
      <c r="F176" t="n">
        <v>140</v>
      </c>
      <c r="G176" t="inlineStr">
        <is>
          <t>NOT AVAILABLE</t>
        </is>
      </c>
      <c r="H176" t="n">
        <v>0</v>
      </c>
      <c r="I176" t="n">
        <v>0.33</v>
      </c>
      <c r="J176" t="inlineStr">
        <is>
          <t>NOT AVAILABLE</t>
        </is>
      </c>
      <c r="K176" t="inlineStr">
        <is>
          <t>NOT AVAILABLE (report not requested)</t>
        </is>
      </c>
      <c r="L176" t="inlineStr">
        <is>
          <t>declining (calc.)</t>
        </is>
      </c>
      <c r="M176" t="inlineStr">
        <is>
          <t>MEASURED</t>
        </is>
      </c>
      <c r="N176" s="5" t="inlineStr">
        <is>
          <t>Semrush phrase_these (live, this session)</t>
        </is>
      </c>
      <c r="O176" t="inlineStr">
        <is>
          <t>2026-10-30</t>
        </is>
      </c>
      <c r="P176">
        <f>IF(IF(J176="NOT AVAILABLE","",J176)="",12,IF(OR(ISNUMBER(SEARCH("Transactional",IF(J176="NOT AVAILABLE","",J176))),ISNUMBER(SEARCH("Commercial",IF(J176="NOT AVAILABLE","",J176)))),25,IF(ISNUMBER(SEARCH("Informational",IF(J176="NOT AVAILABLE","",J176))),10,IF(ISNUMBER(SEARCH("Navigational",IF(J176="NOT AVAILABLE","",J176))),0,12))))</f>
        <v/>
      </c>
      <c r="Q176">
        <f>IF(ISNUMBER(F176),MIN(30,ROUND(30*LOG10(F176+1)/4,1)),0)</f>
        <v/>
      </c>
      <c r="R176">
        <f>IF(ISNUMBER(G176),ROUND(25*(100-G176)/100,1),12.5)</f>
        <v/>
      </c>
      <c r="S176" t="n">
        <v>20</v>
      </c>
      <c r="T176">
        <f>ROUND(P176+Q176+R176+S176,0)</f>
        <v/>
      </c>
      <c r="U176" s="5" t="inlineStr"/>
      <c r="V176" s="5" t="inlineStr">
        <is>
          <t>SECONDARY /tools/html-to-text</t>
        </is>
      </c>
    </row>
    <row r="177">
      <c r="A177" t="inlineStr">
        <is>
          <t>K0175</t>
        </is>
      </c>
      <c r="B177" t="inlineStr">
        <is>
          <t>site de vente en ligne maroc</t>
        </is>
      </c>
      <c r="C177" t="inlineStr">
        <is>
          <t>Morocco</t>
        </is>
      </c>
      <c r="D177" t="inlineStr">
        <is>
          <t>ma</t>
        </is>
      </c>
      <c r="E177" t="inlineStr">
        <is>
          <t>fr</t>
        </is>
      </c>
      <c r="F177" t="n">
        <v>140</v>
      </c>
      <c r="G177" t="inlineStr">
        <is>
          <t>NOT AVAILABLE</t>
        </is>
      </c>
      <c r="H177" t="n">
        <v>0.12</v>
      </c>
      <c r="I177" t="n">
        <v>0.51</v>
      </c>
      <c r="J177" t="inlineStr">
        <is>
          <t>NOT AVAILABLE</t>
        </is>
      </c>
      <c r="K177" t="inlineStr">
        <is>
          <t>NOT AVAILABLE (report not requested)</t>
        </is>
      </c>
      <c r="L177" t="inlineStr">
        <is>
          <t>declining (calc.)</t>
        </is>
      </c>
      <c r="M177" t="inlineStr">
        <is>
          <t>MEASURED</t>
        </is>
      </c>
      <c r="N177" s="5" t="inlineStr">
        <is>
          <t>Semrush phrase_these (live, this session)</t>
        </is>
      </c>
      <c r="O177" t="inlineStr">
        <is>
          <t>2026-10-30</t>
        </is>
      </c>
      <c r="P177">
        <f>IF(IF(J177="NOT AVAILABLE","",J177)="",12,IF(OR(ISNUMBER(SEARCH("Transactional",IF(J177="NOT AVAILABLE","",J177))),ISNUMBER(SEARCH("Commercial",IF(J177="NOT AVAILABLE","",J177)))),25,IF(ISNUMBER(SEARCH("Informational",IF(J177="NOT AVAILABLE","",J177))),10,IF(ISNUMBER(SEARCH("Navigational",IF(J177="NOT AVAILABLE","",J177))),0,12))))</f>
        <v/>
      </c>
      <c r="Q177">
        <f>IF(ISNUMBER(F177),MIN(30,ROUND(30*LOG10(F177+1)/4,1)),0)</f>
        <v/>
      </c>
      <c r="R177">
        <f>IF(ISNUMBER(G177),ROUND(25*(100-G177)/100,1),12.5)</f>
        <v/>
      </c>
      <c r="S177" t="n">
        <v>20</v>
      </c>
      <c r="T177">
        <f>ROUND(P177+Q177+R177+S177,0)</f>
        <v/>
      </c>
      <c r="U177" s="5" t="inlineStr"/>
      <c r="V177" s="5" t="inlineStr">
        <is>
          <t>SECONDARY /services/ecommerce-website-development</t>
        </is>
      </c>
    </row>
    <row r="178">
      <c r="A178" t="inlineStr">
        <is>
          <t>K0176</t>
        </is>
      </c>
      <c r="B178" t="inlineStr">
        <is>
          <t>site e commerce</t>
        </is>
      </c>
      <c r="C178" t="inlineStr">
        <is>
          <t>Morocco</t>
        </is>
      </c>
      <c r="D178" t="inlineStr">
        <is>
          <t>ma</t>
        </is>
      </c>
      <c r="E178" t="inlineStr">
        <is>
          <t>fr</t>
        </is>
      </c>
      <c r="F178" t="n">
        <v>140</v>
      </c>
      <c r="G178" t="inlineStr">
        <is>
          <t>NOT AVAILABLE</t>
        </is>
      </c>
      <c r="H178" t="n">
        <v>0.38</v>
      </c>
      <c r="I178" t="n">
        <v>0.44</v>
      </c>
      <c r="J178" t="inlineStr">
        <is>
          <t>NOT AVAILABLE</t>
        </is>
      </c>
      <c r="K178" t="inlineStr">
        <is>
          <t>NOT AVAILABLE (report not requested)</t>
        </is>
      </c>
      <c r="L178" t="inlineStr">
        <is>
          <t>declining (calc.)</t>
        </is>
      </c>
      <c r="M178" t="inlineStr">
        <is>
          <t>MEASURED</t>
        </is>
      </c>
      <c r="N178" s="5" t="inlineStr">
        <is>
          <t>Semrush phrase_these (live, this session)</t>
        </is>
      </c>
      <c r="O178" t="inlineStr">
        <is>
          <t>2026-10-30</t>
        </is>
      </c>
      <c r="P178">
        <f>IF(IF(J178="NOT AVAILABLE","",J178)="",12,IF(OR(ISNUMBER(SEARCH("Transactional",IF(J178="NOT AVAILABLE","",J178))),ISNUMBER(SEARCH("Commercial",IF(J178="NOT AVAILABLE","",J178)))),25,IF(ISNUMBER(SEARCH("Informational",IF(J178="NOT AVAILABLE","",J178))),10,IF(ISNUMBER(SEARCH("Navigational",IF(J178="NOT AVAILABLE","",J178))),0,12))))</f>
        <v/>
      </c>
      <c r="Q178">
        <f>IF(ISNUMBER(F178),MIN(30,ROUND(30*LOG10(F178+1)/4,1)),0)</f>
        <v/>
      </c>
      <c r="R178">
        <f>IF(ISNUMBER(G178),ROUND(25*(100-G178)/100,1),12.5)</f>
        <v/>
      </c>
      <c r="S178" t="n">
        <v>20</v>
      </c>
      <c r="T178">
        <f>ROUND(P178+Q178+R178+S178,0)</f>
        <v/>
      </c>
      <c r="U178" s="5" t="inlineStr"/>
      <c r="V178" s="5" t="inlineStr">
        <is>
          <t>SUPPORTING /services/ecommerce-website-development</t>
        </is>
      </c>
    </row>
    <row r="179">
      <c r="A179" t="inlineStr">
        <is>
          <t>K0177</t>
        </is>
      </c>
      <c r="B179" t="inlineStr">
        <is>
          <t>agence de communication maroc</t>
        </is>
      </c>
      <c r="C179" t="inlineStr">
        <is>
          <t>Morocco</t>
        </is>
      </c>
      <c r="D179" t="inlineStr">
        <is>
          <t>ma</t>
        </is>
      </c>
      <c r="E179" t="inlineStr">
        <is>
          <t>fr</t>
        </is>
      </c>
      <c r="F179" t="n">
        <v>110</v>
      </c>
      <c r="G179" t="inlineStr">
        <is>
          <t>NOT AVAILABLE</t>
        </is>
      </c>
      <c r="H179" t="n">
        <v>0.35</v>
      </c>
      <c r="I179" t="n">
        <v>0.19</v>
      </c>
      <c r="J179" t="inlineStr">
        <is>
          <t>NOT AVAILABLE</t>
        </is>
      </c>
      <c r="K179" t="inlineStr">
        <is>
          <t>NOT AVAILABLE (report not requested)</t>
        </is>
      </c>
      <c r="L179" t="inlineStr">
        <is>
          <t>declining (calc.)</t>
        </is>
      </c>
      <c r="M179" t="inlineStr">
        <is>
          <t>MEASURED</t>
        </is>
      </c>
      <c r="N179" s="5" t="inlineStr">
        <is>
          <t>Semrush phrase_these (live, this session)</t>
        </is>
      </c>
      <c r="O179" t="inlineStr">
        <is>
          <t>2026-10-30</t>
        </is>
      </c>
      <c r="P179">
        <f>IF(IF(J179="NOT AVAILABLE","",J179)="",12,IF(OR(ISNUMBER(SEARCH("Transactional",IF(J179="NOT AVAILABLE","",J179))),ISNUMBER(SEARCH("Commercial",IF(J179="NOT AVAILABLE","",J179)))),25,IF(ISNUMBER(SEARCH("Informational",IF(J179="NOT AVAILABLE","",J179))),10,IF(ISNUMBER(SEARCH("Navigational",IF(J179="NOT AVAILABLE","",J179))),0,12))))</f>
        <v/>
      </c>
      <c r="Q179">
        <f>IF(ISNUMBER(F179),MIN(30,ROUND(30*LOG10(F179+1)/4,1)),0)</f>
        <v/>
      </c>
      <c r="R179">
        <f>IF(ISNUMBER(G179),ROUND(25*(100-G179)/100,1),12.5)</f>
        <v/>
      </c>
      <c r="S179" t="n">
        <v>20</v>
      </c>
      <c r="T179">
        <f>ROUND(P179+Q179+R179+S179,0)</f>
        <v/>
      </c>
      <c r="U179" s="5" t="inlineStr"/>
      <c r="V179" s="5" t="inlineStr">
        <is>
          <t>NOT RECOMMENDED /</t>
        </is>
      </c>
    </row>
    <row r="180">
      <c r="A180" t="inlineStr">
        <is>
          <t>K0178</t>
        </is>
      </c>
      <c r="B180" t="inlineStr">
        <is>
          <t>agence de communication tanger</t>
        </is>
      </c>
      <c r="C180" t="inlineStr">
        <is>
          <t>Morocco</t>
        </is>
      </c>
      <c r="D180" t="inlineStr">
        <is>
          <t>ma</t>
        </is>
      </c>
      <c r="E180" t="inlineStr">
        <is>
          <t>fr</t>
        </is>
      </c>
      <c r="F180" t="n">
        <v>110</v>
      </c>
      <c r="G180" t="inlineStr">
        <is>
          <t>NOT AVAILABLE</t>
        </is>
      </c>
      <c r="H180" t="n">
        <v>0.61</v>
      </c>
      <c r="I180" t="n">
        <v>0.21</v>
      </c>
      <c r="J180" t="inlineStr">
        <is>
          <t>NOT AVAILABLE</t>
        </is>
      </c>
      <c r="K180" t="inlineStr">
        <is>
          <t>NOT AVAILABLE (report not requested)</t>
        </is>
      </c>
      <c r="L180" t="inlineStr">
        <is>
          <t>declining (calc.)</t>
        </is>
      </c>
      <c r="M180" t="inlineStr">
        <is>
          <t>MEASURED</t>
        </is>
      </c>
      <c r="N180" s="5" t="inlineStr">
        <is>
          <t>Semrush phrase_these (live, this session)</t>
        </is>
      </c>
      <c r="O180" t="inlineStr">
        <is>
          <t>2026-10-30</t>
        </is>
      </c>
      <c r="P180">
        <f>IF(IF(J180="NOT AVAILABLE","",J180)="",12,IF(OR(ISNUMBER(SEARCH("Transactional",IF(J180="NOT AVAILABLE","",J180))),ISNUMBER(SEARCH("Commercial",IF(J180="NOT AVAILABLE","",J180)))),25,IF(ISNUMBER(SEARCH("Informational",IF(J180="NOT AVAILABLE","",J180))),10,IF(ISNUMBER(SEARCH("Navigational",IF(J180="NOT AVAILABLE","",J180))),0,12))))</f>
        <v/>
      </c>
      <c r="Q180">
        <f>IF(ISNUMBER(F180),MIN(30,ROUND(30*LOG10(F180+1)/4,1)),0)</f>
        <v/>
      </c>
      <c r="R180">
        <f>IF(ISNUMBER(G180),ROUND(25*(100-G180)/100,1),12.5)</f>
        <v/>
      </c>
      <c r="S180" t="n">
        <v>20</v>
      </c>
      <c r="T180">
        <f>ROUND(P180+Q180+R180+S180,0)</f>
        <v/>
      </c>
      <c r="U180" s="5" t="inlineStr"/>
      <c r="V180" s="5" t="inlineStr">
        <is>
          <t>NOT RECOMMENDED /web-development-company/tangier</t>
        </is>
      </c>
    </row>
    <row r="181">
      <c r="A181" t="inlineStr">
        <is>
          <t>K0179</t>
        </is>
      </c>
      <c r="B181" t="inlineStr">
        <is>
          <t>agence de creation site web</t>
        </is>
      </c>
      <c r="C181" t="inlineStr">
        <is>
          <t>Morocco</t>
        </is>
      </c>
      <c r="D181" t="inlineStr">
        <is>
          <t>ma</t>
        </is>
      </c>
      <c r="E181" t="inlineStr">
        <is>
          <t>fr</t>
        </is>
      </c>
      <c r="F181" t="n">
        <v>110</v>
      </c>
      <c r="G181" t="inlineStr">
        <is>
          <t>NOT AVAILABLE</t>
        </is>
      </c>
      <c r="H181" t="n">
        <v>0.74</v>
      </c>
      <c r="I181" t="n">
        <v>0.5</v>
      </c>
      <c r="J181" t="inlineStr">
        <is>
          <t>NOT AVAILABLE</t>
        </is>
      </c>
      <c r="K181" t="inlineStr">
        <is>
          <t>NOT AVAILABLE (report not requested)</t>
        </is>
      </c>
      <c r="L181" t="inlineStr">
        <is>
          <t>declining (calc.)</t>
        </is>
      </c>
      <c r="M181" t="inlineStr">
        <is>
          <t>MEASURED</t>
        </is>
      </c>
      <c r="N181" s="5" t="inlineStr">
        <is>
          <t>Semrush phrase_fullsearch (historical broad-agence-web-ma.csv)</t>
        </is>
      </c>
      <c r="O181" t="inlineStr">
        <is>
          <t>2026-10-26</t>
        </is>
      </c>
      <c r="P181">
        <f>IF(IF(J181="NOT AVAILABLE","",J181)="",12,IF(OR(ISNUMBER(SEARCH("Transactional",IF(J181="NOT AVAILABLE","",J181))),ISNUMBER(SEARCH("Commercial",IF(J181="NOT AVAILABLE","",J181)))),25,IF(ISNUMBER(SEARCH("Informational",IF(J181="NOT AVAILABLE","",J181))),10,IF(ISNUMBER(SEARCH("Navigational",IF(J181="NOT AVAILABLE","",J181))),0,12))))</f>
        <v/>
      </c>
      <c r="Q181">
        <f>IF(ISNUMBER(F181),MIN(30,ROUND(30*LOG10(F181+1)/4,1)),0)</f>
        <v/>
      </c>
      <c r="R181">
        <f>IF(ISNUMBER(G181),ROUND(25*(100-G181)/100,1),12.5)</f>
        <v/>
      </c>
      <c r="S181" t="n">
        <v>20</v>
      </c>
      <c r="T181">
        <f>ROUND(P181+Q181+R181+S181,0)</f>
        <v/>
      </c>
      <c r="U181" s="5" t="inlineStr"/>
      <c r="V181" s="5" t="inlineStr"/>
    </row>
    <row r="182">
      <c r="A182" t="inlineStr">
        <is>
          <t>K0180</t>
        </is>
      </c>
      <c r="B182" t="inlineStr">
        <is>
          <t>broken link checker</t>
        </is>
      </c>
      <c r="C182" t="inlineStr">
        <is>
          <t>Morocco</t>
        </is>
      </c>
      <c r="D182" t="inlineStr">
        <is>
          <t>ma</t>
        </is>
      </c>
      <c r="E182" t="inlineStr">
        <is>
          <t>fr</t>
        </is>
      </c>
      <c r="F182" t="n">
        <v>110</v>
      </c>
      <c r="G182" t="inlineStr">
        <is>
          <t>NOT AVAILABLE</t>
        </is>
      </c>
      <c r="H182" t="n">
        <v>0.52</v>
      </c>
      <c r="I182" t="n">
        <v>0.09</v>
      </c>
      <c r="J182" t="inlineStr">
        <is>
          <t>NOT AVAILABLE</t>
        </is>
      </c>
      <c r="K182" t="inlineStr">
        <is>
          <t>NOT AVAILABLE (report not requested)</t>
        </is>
      </c>
      <c r="L182" t="inlineStr">
        <is>
          <t>declining (calc.)</t>
        </is>
      </c>
      <c r="M182" t="inlineStr">
        <is>
          <t>MEASURED</t>
        </is>
      </c>
      <c r="N182" s="5" t="inlineStr">
        <is>
          <t>Semrush phrase_these (live, this session)</t>
        </is>
      </c>
      <c r="O182" t="inlineStr">
        <is>
          <t>2026-10-30</t>
        </is>
      </c>
      <c r="P182">
        <f>IF(IF(J182="NOT AVAILABLE","",J182)="",12,IF(OR(ISNUMBER(SEARCH("Transactional",IF(J182="NOT AVAILABLE","",J182))),ISNUMBER(SEARCH("Commercial",IF(J182="NOT AVAILABLE","",J182)))),25,IF(ISNUMBER(SEARCH("Informational",IF(J182="NOT AVAILABLE","",J182))),10,IF(ISNUMBER(SEARCH("Navigational",IF(J182="NOT AVAILABLE","",J182))),0,12))))</f>
        <v/>
      </c>
      <c r="Q182">
        <f>IF(ISNUMBER(F182),MIN(30,ROUND(30*LOG10(F182+1)/4,1)),0)</f>
        <v/>
      </c>
      <c r="R182">
        <f>IF(ISNUMBER(G182),ROUND(25*(100-G182)/100,1),12.5)</f>
        <v/>
      </c>
      <c r="S182" t="n">
        <v>20</v>
      </c>
      <c r="T182">
        <f>ROUND(P182+Q182+R182+S182,0)</f>
        <v/>
      </c>
      <c r="U182" s="5" t="inlineStr"/>
      <c r="V182" s="5" t="inlineStr">
        <is>
          <t>SECONDARY /tools/broken-link-checker</t>
        </is>
      </c>
    </row>
    <row r="183">
      <c r="A183" t="inlineStr">
        <is>
          <t>K0181</t>
        </is>
      </c>
      <c r="B183" t="inlineStr">
        <is>
          <t>compter les mots</t>
        </is>
      </c>
      <c r="C183" t="inlineStr">
        <is>
          <t>Morocco</t>
        </is>
      </c>
      <c r="D183" t="inlineStr">
        <is>
          <t>ma</t>
        </is>
      </c>
      <c r="E183" t="inlineStr">
        <is>
          <t>fr</t>
        </is>
      </c>
      <c r="F183" t="n">
        <v>110</v>
      </c>
      <c r="G183" t="inlineStr">
        <is>
          <t>NOT AVAILABLE</t>
        </is>
      </c>
      <c r="H183" t="n">
        <v>0.02</v>
      </c>
      <c r="I183" t="n">
        <v>0.23</v>
      </c>
      <c r="J183" t="inlineStr">
        <is>
          <t>NOT AVAILABLE</t>
        </is>
      </c>
      <c r="K183" t="inlineStr">
        <is>
          <t>NOT AVAILABLE (report not requested)</t>
        </is>
      </c>
      <c r="L183" t="inlineStr">
        <is>
          <t>declining (calc.)</t>
        </is>
      </c>
      <c r="M183" t="inlineStr">
        <is>
          <t>MEASURED</t>
        </is>
      </c>
      <c r="N183" s="5" t="inlineStr">
        <is>
          <t>Semrush phrase_these (live, this session)</t>
        </is>
      </c>
      <c r="O183" t="inlineStr">
        <is>
          <t>2026-10-30</t>
        </is>
      </c>
      <c r="P183">
        <f>IF(IF(J183="NOT AVAILABLE","",J183)="",12,IF(OR(ISNUMBER(SEARCH("Transactional",IF(J183="NOT AVAILABLE","",J183))),ISNUMBER(SEARCH("Commercial",IF(J183="NOT AVAILABLE","",J183)))),25,IF(ISNUMBER(SEARCH("Informational",IF(J183="NOT AVAILABLE","",J183))),10,IF(ISNUMBER(SEARCH("Navigational",IF(J183="NOT AVAILABLE","",J183))),0,12))))</f>
        <v/>
      </c>
      <c r="Q183">
        <f>IF(ISNUMBER(F183),MIN(30,ROUND(30*LOG10(F183+1)/4,1)),0)</f>
        <v/>
      </c>
      <c r="R183">
        <f>IF(ISNUMBER(G183),ROUND(25*(100-G183)/100,1),12.5)</f>
        <v/>
      </c>
      <c r="S183" t="n">
        <v>20</v>
      </c>
      <c r="T183">
        <f>ROUND(P183+Q183+R183+S183,0)</f>
        <v/>
      </c>
      <c r="U183" s="5" t="inlineStr"/>
      <c r="V183" s="5" t="inlineStr">
        <is>
          <t>SUPPORTING /tools/word-counter</t>
        </is>
      </c>
    </row>
    <row r="184">
      <c r="A184" t="inlineStr">
        <is>
          <t>K0182</t>
        </is>
      </c>
      <c r="B184" t="inlineStr">
        <is>
          <t>facebook debugger</t>
        </is>
      </c>
      <c r="C184" t="inlineStr">
        <is>
          <t>Morocco</t>
        </is>
      </c>
      <c r="D184" t="inlineStr">
        <is>
          <t>ma</t>
        </is>
      </c>
      <c r="E184" t="inlineStr">
        <is>
          <t>fr</t>
        </is>
      </c>
      <c r="F184" t="n">
        <v>110</v>
      </c>
      <c r="G184" t="inlineStr">
        <is>
          <t>NOT AVAILABLE</t>
        </is>
      </c>
      <c r="H184" t="n">
        <v>0</v>
      </c>
      <c r="I184" t="n">
        <v>0.33</v>
      </c>
      <c r="J184" t="inlineStr">
        <is>
          <t>NOT AVAILABLE</t>
        </is>
      </c>
      <c r="K184" t="inlineStr">
        <is>
          <t>NOT AVAILABLE (report not requested)</t>
        </is>
      </c>
      <c r="L184" t="inlineStr">
        <is>
          <t>declining (calc.)</t>
        </is>
      </c>
      <c r="M184" t="inlineStr">
        <is>
          <t>MEASURED</t>
        </is>
      </c>
      <c r="N184" s="5" t="inlineStr">
        <is>
          <t>Semrush phrase_these (live, this session)</t>
        </is>
      </c>
      <c r="O184" t="inlineStr">
        <is>
          <t>2026-10-30</t>
        </is>
      </c>
      <c r="P184">
        <f>IF(IF(J184="NOT AVAILABLE","",J184)="",12,IF(OR(ISNUMBER(SEARCH("Transactional",IF(J184="NOT AVAILABLE","",J184))),ISNUMBER(SEARCH("Commercial",IF(J184="NOT AVAILABLE","",J184)))),25,IF(ISNUMBER(SEARCH("Informational",IF(J184="NOT AVAILABLE","",J184))),10,IF(ISNUMBER(SEARCH("Navigational",IF(J184="NOT AVAILABLE","",J184))),0,12))))</f>
        <v/>
      </c>
      <c r="Q184">
        <f>IF(ISNUMBER(F184),MIN(30,ROUND(30*LOG10(F184+1)/4,1)),0)</f>
        <v/>
      </c>
      <c r="R184">
        <f>IF(ISNUMBER(G184),ROUND(25*(100-G184)/100,1),12.5)</f>
        <v/>
      </c>
      <c r="S184" t="n">
        <v>20</v>
      </c>
      <c r="T184">
        <f>ROUND(P184+Q184+R184+S184,0)</f>
        <v/>
      </c>
      <c r="U184" s="5" t="inlineStr"/>
      <c r="V184" s="5" t="inlineStr"/>
    </row>
    <row r="185">
      <c r="A185" t="inlineStr">
        <is>
          <t>K0183</t>
        </is>
      </c>
      <c r="B185" t="inlineStr">
        <is>
          <t>générer qr code</t>
        </is>
      </c>
      <c r="C185" t="inlineStr">
        <is>
          <t>Morocco</t>
        </is>
      </c>
      <c r="D185" t="inlineStr">
        <is>
          <t>ma</t>
        </is>
      </c>
      <c r="E185" t="inlineStr">
        <is>
          <t>fr</t>
        </is>
      </c>
      <c r="F185" t="n">
        <v>110</v>
      </c>
      <c r="G185" t="inlineStr">
        <is>
          <t>NOT AVAILABLE</t>
        </is>
      </c>
      <c r="H185" t="n">
        <v>0.31</v>
      </c>
      <c r="I185" t="n">
        <v>0.68</v>
      </c>
      <c r="J185" t="inlineStr">
        <is>
          <t>NOT AVAILABLE</t>
        </is>
      </c>
      <c r="K185" t="inlineStr">
        <is>
          <t>NOT AVAILABLE (report not requested)</t>
        </is>
      </c>
      <c r="L185" t="inlineStr">
        <is>
          <t>declining (calc.)</t>
        </is>
      </c>
      <c r="M185" t="inlineStr">
        <is>
          <t>MEASURED</t>
        </is>
      </c>
      <c r="N185" s="5" t="inlineStr">
        <is>
          <t>Semrush phrase_these (live, this session)</t>
        </is>
      </c>
      <c r="O185" t="inlineStr">
        <is>
          <t>2026-10-30</t>
        </is>
      </c>
      <c r="P185">
        <f>IF(IF(J185="NOT AVAILABLE","",J185)="",12,IF(OR(ISNUMBER(SEARCH("Transactional",IF(J185="NOT AVAILABLE","",J185))),ISNUMBER(SEARCH("Commercial",IF(J185="NOT AVAILABLE","",J185)))),25,IF(ISNUMBER(SEARCH("Informational",IF(J185="NOT AVAILABLE","",J185))),10,IF(ISNUMBER(SEARCH("Navigational",IF(J185="NOT AVAILABLE","",J185))),0,12))))</f>
        <v/>
      </c>
      <c r="Q185">
        <f>IF(ISNUMBER(F185),MIN(30,ROUND(30*LOG10(F185+1)/4,1)),0)</f>
        <v/>
      </c>
      <c r="R185">
        <f>IF(ISNUMBER(G185),ROUND(25*(100-G185)/100,1),12.5)</f>
        <v/>
      </c>
      <c r="S185" t="n">
        <v>20</v>
      </c>
      <c r="T185">
        <f>ROUND(P185+Q185+R185+S185,0)</f>
        <v/>
      </c>
      <c r="U185" s="5" t="inlineStr"/>
      <c r="V185" s="5" t="inlineStr">
        <is>
          <t>SUPPORTING /tools/qr-code-generator</t>
        </is>
      </c>
    </row>
    <row r="186">
      <c r="A186" t="inlineStr">
        <is>
          <t>K0184</t>
        </is>
      </c>
      <c r="B186" t="inlineStr">
        <is>
          <t>test dns</t>
        </is>
      </c>
      <c r="C186" t="inlineStr">
        <is>
          <t>Morocco</t>
        </is>
      </c>
      <c r="D186" t="inlineStr">
        <is>
          <t>ma</t>
        </is>
      </c>
      <c r="E186" t="inlineStr">
        <is>
          <t>fr</t>
        </is>
      </c>
      <c r="F186" t="n">
        <v>110</v>
      </c>
      <c r="G186" t="inlineStr">
        <is>
          <t>NOT AVAILABLE</t>
        </is>
      </c>
      <c r="H186" t="n">
        <v>0</v>
      </c>
      <c r="I186" t="n">
        <v>0.01</v>
      </c>
      <c r="J186" t="inlineStr">
        <is>
          <t>NOT AVAILABLE</t>
        </is>
      </c>
      <c r="K186" t="inlineStr">
        <is>
          <t>NOT AVAILABLE (report not requested)</t>
        </is>
      </c>
      <c r="L186" t="inlineStr">
        <is>
          <t>stable (calc.)</t>
        </is>
      </c>
      <c r="M186" t="inlineStr">
        <is>
          <t>MEASURED</t>
        </is>
      </c>
      <c r="N186" s="5" t="inlineStr">
        <is>
          <t>Semrush phrase_these (live, this session)</t>
        </is>
      </c>
      <c r="O186" t="inlineStr">
        <is>
          <t>2026-10-30</t>
        </is>
      </c>
      <c r="P186">
        <f>IF(IF(J186="NOT AVAILABLE","",J186)="",12,IF(OR(ISNUMBER(SEARCH("Transactional",IF(J186="NOT AVAILABLE","",J186))),ISNUMBER(SEARCH("Commercial",IF(J186="NOT AVAILABLE","",J186)))),25,IF(ISNUMBER(SEARCH("Informational",IF(J186="NOT AVAILABLE","",J186))),10,IF(ISNUMBER(SEARCH("Navigational",IF(J186="NOT AVAILABLE","",J186))),0,12))))</f>
        <v/>
      </c>
      <c r="Q186">
        <f>IF(ISNUMBER(F186),MIN(30,ROUND(30*LOG10(F186+1)/4,1)),0)</f>
        <v/>
      </c>
      <c r="R186">
        <f>IF(ISNUMBER(G186),ROUND(25*(100-G186)/100,1),12.5)</f>
        <v/>
      </c>
      <c r="S186" t="n">
        <v>20</v>
      </c>
      <c r="T186">
        <f>ROUND(P186+Q186+R186+S186,0)</f>
        <v/>
      </c>
      <c r="U186" s="5" t="inlineStr"/>
      <c r="V186" s="5" t="inlineStr">
        <is>
          <t>SECONDARY /tools/domain-health-checker</t>
        </is>
      </c>
    </row>
    <row r="187">
      <c r="A187" t="inlineStr">
        <is>
          <t>K0185</t>
        </is>
      </c>
      <c r="B187" t="inlineStr">
        <is>
          <t>agence de création de site web</t>
        </is>
      </c>
      <c r="C187" t="inlineStr">
        <is>
          <t>Morocco</t>
        </is>
      </c>
      <c r="D187" t="inlineStr">
        <is>
          <t>ma</t>
        </is>
      </c>
      <c r="E187" t="inlineStr">
        <is>
          <t>fr</t>
        </is>
      </c>
      <c r="F187" t="n">
        <v>90</v>
      </c>
      <c r="G187" t="inlineStr">
        <is>
          <t>NOT AVAILABLE</t>
        </is>
      </c>
      <c r="H187" t="n">
        <v>0.74</v>
      </c>
      <c r="I187" t="n">
        <v>0.5</v>
      </c>
      <c r="J187" t="inlineStr">
        <is>
          <t>NOT AVAILABLE</t>
        </is>
      </c>
      <c r="K187" t="inlineStr">
        <is>
          <t>NOT AVAILABLE (report not requested)</t>
        </is>
      </c>
      <c r="L187" t="inlineStr">
        <is>
          <t>declining (calc.)</t>
        </is>
      </c>
      <c r="M187" t="inlineStr">
        <is>
          <t>MEASURED</t>
        </is>
      </c>
      <c r="N187" s="5" t="inlineStr">
        <is>
          <t>Semrush phrase_these (live, this session)</t>
        </is>
      </c>
      <c r="O187" t="inlineStr">
        <is>
          <t>2026-10-30</t>
        </is>
      </c>
      <c r="P187">
        <f>IF(IF(J187="NOT AVAILABLE","",J187)="",12,IF(OR(ISNUMBER(SEARCH("Transactional",IF(J187="NOT AVAILABLE","",J187))),ISNUMBER(SEARCH("Commercial",IF(J187="NOT AVAILABLE","",J187)))),25,IF(ISNUMBER(SEARCH("Informational",IF(J187="NOT AVAILABLE","",J187))),10,IF(ISNUMBER(SEARCH("Navigational",IF(J187="NOT AVAILABLE","",J187))),0,12))))</f>
        <v/>
      </c>
      <c r="Q187">
        <f>IF(ISNUMBER(F187),MIN(30,ROUND(30*LOG10(F187+1)/4,1)),0)</f>
        <v/>
      </c>
      <c r="R187">
        <f>IF(ISNUMBER(G187),ROUND(25*(100-G187)/100,1),12.5)</f>
        <v/>
      </c>
      <c r="S187" t="n">
        <v>20</v>
      </c>
      <c r="T187">
        <f>ROUND(P187+Q187+R187+S187,0)</f>
        <v/>
      </c>
      <c r="U187" s="5" t="inlineStr"/>
      <c r="V187" s="5" t="inlineStr">
        <is>
          <t>SUPPORTING /</t>
        </is>
      </c>
    </row>
    <row r="188">
      <c r="A188" t="inlineStr">
        <is>
          <t>K0186</t>
        </is>
      </c>
      <c r="B188" t="inlineStr">
        <is>
          <t>agence web fes</t>
        </is>
      </c>
      <c r="C188" t="inlineStr">
        <is>
          <t>Morocco</t>
        </is>
      </c>
      <c r="D188" t="inlineStr">
        <is>
          <t>ma</t>
        </is>
      </c>
      <c r="E188" t="inlineStr">
        <is>
          <t>fr</t>
        </is>
      </c>
      <c r="F188" t="n">
        <v>90</v>
      </c>
      <c r="G188" t="inlineStr">
        <is>
          <t>NOT AVAILABLE</t>
        </is>
      </c>
      <c r="H188" t="n">
        <v>0.52</v>
      </c>
      <c r="I188" t="n">
        <v>0.07000000000000001</v>
      </c>
      <c r="J188" t="inlineStr">
        <is>
          <t>NOT AVAILABLE</t>
        </is>
      </c>
      <c r="K188" t="inlineStr">
        <is>
          <t>NOT AVAILABLE (report not requested)</t>
        </is>
      </c>
      <c r="L188" t="inlineStr">
        <is>
          <t>declining (calc.)</t>
        </is>
      </c>
      <c r="M188" t="inlineStr">
        <is>
          <t>MEASURED</t>
        </is>
      </c>
      <c r="N188" s="5" t="inlineStr">
        <is>
          <t>Semrush phrase_fullsearch (historical broad-agence-web-ma.csv)</t>
        </is>
      </c>
      <c r="O188" t="inlineStr">
        <is>
          <t>2026-10-26</t>
        </is>
      </c>
      <c r="P188">
        <f>IF(IF(J188="NOT AVAILABLE","",J188)="",12,IF(OR(ISNUMBER(SEARCH("Transactional",IF(J188="NOT AVAILABLE","",J188))),ISNUMBER(SEARCH("Commercial",IF(J188="NOT AVAILABLE","",J188)))),25,IF(ISNUMBER(SEARCH("Informational",IF(J188="NOT AVAILABLE","",J188))),10,IF(ISNUMBER(SEARCH("Navigational",IF(J188="NOT AVAILABLE","",J188))),0,12))))</f>
        <v/>
      </c>
      <c r="Q188">
        <f>IF(ISNUMBER(F188),MIN(30,ROUND(30*LOG10(F188+1)/4,1)),0)</f>
        <v/>
      </c>
      <c r="R188">
        <f>IF(ISNUMBER(G188),ROUND(25*(100-G188)/100,1),12.5)</f>
        <v/>
      </c>
      <c r="S188" t="n">
        <v>20</v>
      </c>
      <c r="T188">
        <f>ROUND(P188+Q188+R188+S188,0)</f>
        <v/>
      </c>
      <c r="U188" s="5" t="inlineStr"/>
      <c r="V188" s="5" t="inlineStr"/>
    </row>
    <row r="189">
      <c r="A189" t="inlineStr">
        <is>
          <t>K0187</t>
        </is>
      </c>
      <c r="B189" t="inlineStr">
        <is>
          <t>audit seo</t>
        </is>
      </c>
      <c r="C189" t="inlineStr">
        <is>
          <t>Morocco</t>
        </is>
      </c>
      <c r="D189" t="inlineStr">
        <is>
          <t>ma</t>
        </is>
      </c>
      <c r="E189" t="inlineStr">
        <is>
          <t>fr</t>
        </is>
      </c>
      <c r="F189" t="n">
        <v>90</v>
      </c>
      <c r="G189" t="inlineStr">
        <is>
          <t>NOT AVAILABLE</t>
        </is>
      </c>
      <c r="H189" t="n">
        <v>0.97</v>
      </c>
      <c r="I189" t="n">
        <v>0.18</v>
      </c>
      <c r="J189" t="inlineStr">
        <is>
          <t>NOT AVAILABLE</t>
        </is>
      </c>
      <c r="K189" t="inlineStr">
        <is>
          <t>NOT AVAILABLE (report not requested)</t>
        </is>
      </c>
      <c r="L189" t="inlineStr">
        <is>
          <t>rising (calc.)</t>
        </is>
      </c>
      <c r="M189" t="inlineStr">
        <is>
          <t>MEASURED</t>
        </is>
      </c>
      <c r="N189" s="5" t="inlineStr">
        <is>
          <t>Semrush phrase_these (live, this session)</t>
        </is>
      </c>
      <c r="O189" t="inlineStr">
        <is>
          <t>2026-10-30</t>
        </is>
      </c>
      <c r="P189">
        <f>IF(IF(J189="NOT AVAILABLE","",J189)="",12,IF(OR(ISNUMBER(SEARCH("Transactional",IF(J189="NOT AVAILABLE","",J189))),ISNUMBER(SEARCH("Commercial",IF(J189="NOT AVAILABLE","",J189)))),25,IF(ISNUMBER(SEARCH("Informational",IF(J189="NOT AVAILABLE","",J189))),10,IF(ISNUMBER(SEARCH("Navigational",IF(J189="NOT AVAILABLE","",J189))),0,12))))</f>
        <v/>
      </c>
      <c r="Q189">
        <f>IF(ISNUMBER(F189),MIN(30,ROUND(30*LOG10(F189+1)/4,1)),0)</f>
        <v/>
      </c>
      <c r="R189">
        <f>IF(ISNUMBER(G189),ROUND(25*(100-G189)/100,1),12.5)</f>
        <v/>
      </c>
      <c r="S189" t="n">
        <v>20</v>
      </c>
      <c r="T189">
        <f>ROUND(P189+Q189+R189+S189,0)</f>
        <v/>
      </c>
      <c r="U189" s="5" t="inlineStr"/>
      <c r="V189" s="5" t="inlineStr">
        <is>
          <t>SUPPORTING /tools/website-analyzer</t>
        </is>
      </c>
    </row>
    <row r="190">
      <c r="A190" t="inlineStr">
        <is>
          <t>K0188</t>
        </is>
      </c>
      <c r="B190" t="inlineStr">
        <is>
          <t>certificat ssl</t>
        </is>
      </c>
      <c r="C190" t="inlineStr">
        <is>
          <t>Morocco</t>
        </is>
      </c>
      <c r="D190" t="inlineStr">
        <is>
          <t>ma</t>
        </is>
      </c>
      <c r="E190" t="inlineStr">
        <is>
          <t>fr</t>
        </is>
      </c>
      <c r="F190" t="n">
        <v>90</v>
      </c>
      <c r="G190" t="inlineStr">
        <is>
          <t>NOT AVAILABLE</t>
        </is>
      </c>
      <c r="H190" t="n">
        <v>0.8</v>
      </c>
      <c r="I190" t="n">
        <v>0.3</v>
      </c>
      <c r="J190" t="inlineStr">
        <is>
          <t>NOT AVAILABLE</t>
        </is>
      </c>
      <c r="K190" t="inlineStr">
        <is>
          <t>NOT AVAILABLE (report not requested)</t>
        </is>
      </c>
      <c r="L190" t="inlineStr">
        <is>
          <t>declining (calc.)</t>
        </is>
      </c>
      <c r="M190" t="inlineStr">
        <is>
          <t>MEASURED</t>
        </is>
      </c>
      <c r="N190" s="5" t="inlineStr">
        <is>
          <t>Semrush phrase_these (live, this session)</t>
        </is>
      </c>
      <c r="O190" t="inlineStr">
        <is>
          <t>2026-10-30</t>
        </is>
      </c>
      <c r="P190">
        <f>IF(IF(J190="NOT AVAILABLE","",J190)="",12,IF(OR(ISNUMBER(SEARCH("Transactional",IF(J190="NOT AVAILABLE","",J190))),ISNUMBER(SEARCH("Commercial",IF(J190="NOT AVAILABLE","",J190)))),25,IF(ISNUMBER(SEARCH("Informational",IF(J190="NOT AVAILABLE","",J190))),10,IF(ISNUMBER(SEARCH("Navigational",IF(J190="NOT AVAILABLE","",J190))),0,12))))</f>
        <v/>
      </c>
      <c r="Q190">
        <f>IF(ISNUMBER(F190),MIN(30,ROUND(30*LOG10(F190+1)/4,1)),0)</f>
        <v/>
      </c>
      <c r="R190">
        <f>IF(ISNUMBER(G190),ROUND(25*(100-G190)/100,1),12.5)</f>
        <v/>
      </c>
      <c r="S190" t="n">
        <v>20</v>
      </c>
      <c r="T190">
        <f>ROUND(P190+Q190+R190+S190,0)</f>
        <v/>
      </c>
      <c r="U190" s="5" t="inlineStr"/>
      <c r="V190" s="5" t="inlineStr"/>
    </row>
    <row r="191">
      <c r="A191" t="inlineStr">
        <is>
          <t>K0189</t>
        </is>
      </c>
      <c r="B191" t="inlineStr">
        <is>
          <t>compresser image en ligne</t>
        </is>
      </c>
      <c r="C191" t="inlineStr">
        <is>
          <t>Morocco</t>
        </is>
      </c>
      <c r="D191" t="inlineStr">
        <is>
          <t>ma</t>
        </is>
      </c>
      <c r="E191" t="inlineStr">
        <is>
          <t>fr</t>
        </is>
      </c>
      <c r="F191" t="n">
        <v>90</v>
      </c>
      <c r="G191" t="inlineStr">
        <is>
          <t>NOT AVAILABLE</t>
        </is>
      </c>
      <c r="H191" t="n">
        <v>0</v>
      </c>
      <c r="I191" t="n">
        <v>0.01</v>
      </c>
      <c r="J191" t="inlineStr">
        <is>
          <t>NOT AVAILABLE</t>
        </is>
      </c>
      <c r="K191" t="inlineStr">
        <is>
          <t>NOT AVAILABLE (report not requested)</t>
        </is>
      </c>
      <c r="L191" t="inlineStr">
        <is>
          <t>stable (calc.)</t>
        </is>
      </c>
      <c r="M191" t="inlineStr">
        <is>
          <t>MEASURED</t>
        </is>
      </c>
      <c r="N191" s="5" t="inlineStr">
        <is>
          <t>Semrush phrase_these (live, this session)</t>
        </is>
      </c>
      <c r="O191" t="inlineStr">
        <is>
          <t>2026-10-30</t>
        </is>
      </c>
      <c r="P191">
        <f>IF(IF(J191="NOT AVAILABLE","",J191)="",12,IF(OR(ISNUMBER(SEARCH("Transactional",IF(J191="NOT AVAILABLE","",J191))),ISNUMBER(SEARCH("Commercial",IF(J191="NOT AVAILABLE","",J191)))),25,IF(ISNUMBER(SEARCH("Informational",IF(J191="NOT AVAILABLE","",J191))),10,IF(ISNUMBER(SEARCH("Navigational",IF(J191="NOT AVAILABLE","",J191))),0,12))))</f>
        <v/>
      </c>
      <c r="Q191">
        <f>IF(ISNUMBER(F191),MIN(30,ROUND(30*LOG10(F191+1)/4,1)),0)</f>
        <v/>
      </c>
      <c r="R191">
        <f>IF(ISNUMBER(G191),ROUND(25*(100-G191)/100,1),12.5)</f>
        <v/>
      </c>
      <c r="S191" t="n">
        <v>20</v>
      </c>
      <c r="T191">
        <f>ROUND(P191+Q191+R191+S191,0)</f>
        <v/>
      </c>
      <c r="U191" s="5" t="inlineStr"/>
      <c r="V191" s="5" t="inlineStr">
        <is>
          <t>SUPPORTING /tools/image-compressor</t>
        </is>
      </c>
    </row>
    <row r="192">
      <c r="A192" t="inlineStr">
        <is>
          <t>K0190</t>
        </is>
      </c>
      <c r="B192" t="inlineStr">
        <is>
          <t>compteur de mot</t>
        </is>
      </c>
      <c r="C192" t="inlineStr">
        <is>
          <t>Morocco</t>
        </is>
      </c>
      <c r="D192" t="inlineStr">
        <is>
          <t>ma</t>
        </is>
      </c>
      <c r="E192" t="inlineStr">
        <is>
          <t>fr</t>
        </is>
      </c>
      <c r="F192" t="n">
        <v>90</v>
      </c>
      <c r="G192" t="inlineStr">
        <is>
          <t>NOT AVAILABLE</t>
        </is>
      </c>
      <c r="H192" t="n">
        <v>0.03</v>
      </c>
      <c r="I192" t="n">
        <v>0.17</v>
      </c>
      <c r="J192" t="inlineStr">
        <is>
          <t>NOT AVAILABLE</t>
        </is>
      </c>
      <c r="K192" t="inlineStr">
        <is>
          <t>NOT AVAILABLE (report not requested)</t>
        </is>
      </c>
      <c r="L192" t="inlineStr">
        <is>
          <t>declining (calc.)</t>
        </is>
      </c>
      <c r="M192" t="inlineStr">
        <is>
          <t>MEASURED</t>
        </is>
      </c>
      <c r="N192" s="5" t="inlineStr">
        <is>
          <t>Semrush phrase_these (live, this session)</t>
        </is>
      </c>
      <c r="O192" t="inlineStr">
        <is>
          <t>2026-10-30</t>
        </is>
      </c>
      <c r="P192">
        <f>IF(IF(J192="NOT AVAILABLE","",J192)="",12,IF(OR(ISNUMBER(SEARCH("Transactional",IF(J192="NOT AVAILABLE","",J192))),ISNUMBER(SEARCH("Commercial",IF(J192="NOT AVAILABLE","",J192)))),25,IF(ISNUMBER(SEARCH("Informational",IF(J192="NOT AVAILABLE","",J192))),10,IF(ISNUMBER(SEARCH("Navigational",IF(J192="NOT AVAILABLE","",J192))),0,12))))</f>
        <v/>
      </c>
      <c r="Q192">
        <f>IF(ISNUMBER(F192),MIN(30,ROUND(30*LOG10(F192+1)/4,1)),0)</f>
        <v/>
      </c>
      <c r="R192">
        <f>IF(ISNUMBER(G192),ROUND(25*(100-G192)/100,1),12.5)</f>
        <v/>
      </c>
      <c r="S192" t="n">
        <v>20</v>
      </c>
      <c r="T192">
        <f>ROUND(P192+Q192+R192+S192,0)</f>
        <v/>
      </c>
      <c r="U192" s="5" t="inlineStr"/>
      <c r="V192" s="5" t="inlineStr">
        <is>
          <t>SUPPORTING /tools/word-counter</t>
        </is>
      </c>
    </row>
    <row r="193">
      <c r="A193" t="inlineStr">
        <is>
          <t>K0191</t>
        </is>
      </c>
      <c r="B193" t="inlineStr">
        <is>
          <t>creation site web agadir</t>
        </is>
      </c>
      <c r="C193" t="inlineStr">
        <is>
          <t>Morocco</t>
        </is>
      </c>
      <c r="D193" t="inlineStr">
        <is>
          <t>ma</t>
        </is>
      </c>
      <c r="E193" t="inlineStr">
        <is>
          <t>fr</t>
        </is>
      </c>
      <c r="F193" t="n">
        <v>90</v>
      </c>
      <c r="G193" t="inlineStr">
        <is>
          <t>NOT AVAILABLE</t>
        </is>
      </c>
      <c r="H193" t="n">
        <v>0</v>
      </c>
      <c r="I193" t="n">
        <v>0.05</v>
      </c>
      <c r="J193" t="inlineStr">
        <is>
          <t>NOT AVAILABLE</t>
        </is>
      </c>
      <c r="K193" t="inlineStr">
        <is>
          <t>NOT AVAILABLE (report not requested)</t>
        </is>
      </c>
      <c r="L193" t="inlineStr">
        <is>
          <t>declining (calc.)</t>
        </is>
      </c>
      <c r="M193" t="inlineStr">
        <is>
          <t>MEASURED</t>
        </is>
      </c>
      <c r="N193" s="5" t="inlineStr">
        <is>
          <t>Semrush phrase_these (live, this session)</t>
        </is>
      </c>
      <c r="O193" t="inlineStr">
        <is>
          <t>2026-10-30</t>
        </is>
      </c>
      <c r="P193">
        <f>IF(IF(J193="NOT AVAILABLE","",J193)="",12,IF(OR(ISNUMBER(SEARCH("Transactional",IF(J193="NOT AVAILABLE","",J193))),ISNUMBER(SEARCH("Commercial",IF(J193="NOT AVAILABLE","",J193)))),25,IF(ISNUMBER(SEARCH("Informational",IF(J193="NOT AVAILABLE","",J193))),10,IF(ISNUMBER(SEARCH("Navigational",IF(J193="NOT AVAILABLE","",J193))),0,12))))</f>
        <v/>
      </c>
      <c r="Q193">
        <f>IF(ISNUMBER(F193),MIN(30,ROUND(30*LOG10(F193+1)/4,1)),0)</f>
        <v/>
      </c>
      <c r="R193">
        <f>IF(ISNUMBER(G193),ROUND(25*(100-G193)/100,1),12.5)</f>
        <v/>
      </c>
      <c r="S193" t="n">
        <v>20</v>
      </c>
      <c r="T193">
        <f>ROUND(P193+Q193+R193+S193,0)</f>
        <v/>
      </c>
      <c r="U193" s="5" t="inlineStr"/>
      <c r="V193" s="5" t="inlineStr"/>
    </row>
    <row r="194">
      <c r="A194" t="inlineStr">
        <is>
          <t>K0192</t>
        </is>
      </c>
      <c r="B194" t="inlineStr">
        <is>
          <t>création site web agadir</t>
        </is>
      </c>
      <c r="C194" t="inlineStr">
        <is>
          <t>Morocco</t>
        </is>
      </c>
      <c r="D194" t="inlineStr">
        <is>
          <t>ma</t>
        </is>
      </c>
      <c r="E194" t="inlineStr">
        <is>
          <t>fr</t>
        </is>
      </c>
      <c r="F194" t="n">
        <v>90</v>
      </c>
      <c r="G194" t="inlineStr">
        <is>
          <t>NOT AVAILABLE</t>
        </is>
      </c>
      <c r="H194" t="n">
        <v>0</v>
      </c>
      <c r="I194" t="n">
        <v>0.05</v>
      </c>
      <c r="J194" t="inlineStr">
        <is>
          <t>NOT AVAILABLE</t>
        </is>
      </c>
      <c r="K194" t="inlineStr">
        <is>
          <t>NOT AVAILABLE (report not requested)</t>
        </is>
      </c>
      <c r="L194" t="inlineStr">
        <is>
          <t>declining (calc.)</t>
        </is>
      </c>
      <c r="M194" t="inlineStr">
        <is>
          <t>MEASURED</t>
        </is>
      </c>
      <c r="N194" s="5" t="inlineStr">
        <is>
          <t>Semrush phrase_these (live, this session)</t>
        </is>
      </c>
      <c r="O194" t="inlineStr">
        <is>
          <t>2026-10-30</t>
        </is>
      </c>
      <c r="P194">
        <f>IF(IF(J194="NOT AVAILABLE","",J194)="",12,IF(OR(ISNUMBER(SEARCH("Transactional",IF(J194="NOT AVAILABLE","",J194))),ISNUMBER(SEARCH("Commercial",IF(J194="NOT AVAILABLE","",J194)))),25,IF(ISNUMBER(SEARCH("Informational",IF(J194="NOT AVAILABLE","",J194))),10,IF(ISNUMBER(SEARCH("Navigational",IF(J194="NOT AVAILABLE","",J194))),0,12))))</f>
        <v/>
      </c>
      <c r="Q194">
        <f>IF(ISNUMBER(F194),MIN(30,ROUND(30*LOG10(F194+1)/4,1)),0)</f>
        <v/>
      </c>
      <c r="R194">
        <f>IF(ISNUMBER(G194),ROUND(25*(100-G194)/100,1),12.5)</f>
        <v/>
      </c>
      <c r="S194" t="n">
        <v>20</v>
      </c>
      <c r="T194">
        <f>ROUND(P194+Q194+R194+S194,0)</f>
        <v/>
      </c>
      <c r="U194" s="5" t="inlineStr"/>
      <c r="V194" s="5" t="inlineStr">
        <is>
          <t>SECONDARY /web-development-company/agadir</t>
        </is>
      </c>
    </row>
    <row r="195">
      <c r="A195" t="inlineStr">
        <is>
          <t>K0193</t>
        </is>
      </c>
      <c r="B195" t="inlineStr">
        <is>
          <t>faux texte</t>
        </is>
      </c>
      <c r="C195" t="inlineStr">
        <is>
          <t>Morocco</t>
        </is>
      </c>
      <c r="D195" t="inlineStr">
        <is>
          <t>ma</t>
        </is>
      </c>
      <c r="E195" t="inlineStr">
        <is>
          <t>fr</t>
        </is>
      </c>
      <c r="F195" t="n">
        <v>90</v>
      </c>
      <c r="G195" t="inlineStr">
        <is>
          <t>NOT AVAILABLE</t>
        </is>
      </c>
      <c r="H195" t="n">
        <v>0</v>
      </c>
      <c r="I195" t="n">
        <v>0.33</v>
      </c>
      <c r="J195" t="inlineStr">
        <is>
          <t>NOT AVAILABLE</t>
        </is>
      </c>
      <c r="K195" t="inlineStr">
        <is>
          <t>NOT AVAILABLE (report not requested)</t>
        </is>
      </c>
      <c r="L195" t="inlineStr">
        <is>
          <t>declining (calc.)</t>
        </is>
      </c>
      <c r="M195" t="inlineStr">
        <is>
          <t>MEASURED</t>
        </is>
      </c>
      <c r="N195" s="5" t="inlineStr">
        <is>
          <t>Semrush phrase_these (live, this session)</t>
        </is>
      </c>
      <c r="O195" t="inlineStr">
        <is>
          <t>2026-10-30</t>
        </is>
      </c>
      <c r="P195">
        <f>IF(IF(J195="NOT AVAILABLE","",J195)="",12,IF(OR(ISNUMBER(SEARCH("Transactional",IF(J195="NOT AVAILABLE","",J195))),ISNUMBER(SEARCH("Commercial",IF(J195="NOT AVAILABLE","",J195)))),25,IF(ISNUMBER(SEARCH("Informational",IF(J195="NOT AVAILABLE","",J195))),10,IF(ISNUMBER(SEARCH("Navigational",IF(J195="NOT AVAILABLE","",J195))),0,12))))</f>
        <v/>
      </c>
      <c r="Q195">
        <f>IF(ISNUMBER(F195),MIN(30,ROUND(30*LOG10(F195+1)/4,1)),0)</f>
        <v/>
      </c>
      <c r="R195">
        <f>IF(ISNUMBER(G195),ROUND(25*(100-G195)/100,1),12.5)</f>
        <v/>
      </c>
      <c r="S195" t="n">
        <v>20</v>
      </c>
      <c r="T195">
        <f>ROUND(P195+Q195+R195+S195,0)</f>
        <v/>
      </c>
      <c r="U195" s="5" t="inlineStr"/>
      <c r="V195" s="5" t="inlineStr">
        <is>
          <t>SUPPORTING /tools/lorem-ipsum-generator</t>
        </is>
      </c>
    </row>
    <row r="196">
      <c r="A196" t="inlineStr">
        <is>
          <t>K0194</t>
        </is>
      </c>
      <c r="B196" t="inlineStr">
        <is>
          <t>seo marrakech</t>
        </is>
      </c>
      <c r="C196" t="inlineStr">
        <is>
          <t>Morocco</t>
        </is>
      </c>
      <c r="D196" t="inlineStr">
        <is>
          <t>ma</t>
        </is>
      </c>
      <c r="E196" t="inlineStr">
        <is>
          <t>fr</t>
        </is>
      </c>
      <c r="F196" t="n">
        <v>90</v>
      </c>
      <c r="G196" t="inlineStr">
        <is>
          <t>NOT AVAILABLE</t>
        </is>
      </c>
      <c r="H196" t="n">
        <v>1.35</v>
      </c>
      <c r="I196" t="n">
        <v>0.13</v>
      </c>
      <c r="J196" t="inlineStr">
        <is>
          <t>NOT AVAILABLE</t>
        </is>
      </c>
      <c r="K196" t="inlineStr">
        <is>
          <t>NOT AVAILABLE (report not requested)</t>
        </is>
      </c>
      <c r="L196" t="inlineStr">
        <is>
          <t>declining (calc.)</t>
        </is>
      </c>
      <c r="M196" t="inlineStr">
        <is>
          <t>MEASURED</t>
        </is>
      </c>
      <c r="N196" s="5" t="inlineStr">
        <is>
          <t>Semrush phrase_these (live, this session)</t>
        </is>
      </c>
      <c r="O196" t="inlineStr">
        <is>
          <t>2026-10-30</t>
        </is>
      </c>
      <c r="P196">
        <f>IF(IF(J196="NOT AVAILABLE","",J196)="",12,IF(OR(ISNUMBER(SEARCH("Transactional",IF(J196="NOT AVAILABLE","",J196))),ISNUMBER(SEARCH("Commercial",IF(J196="NOT AVAILABLE","",J196)))),25,IF(ISNUMBER(SEARCH("Informational",IF(J196="NOT AVAILABLE","",J196))),10,IF(ISNUMBER(SEARCH("Navigational",IF(J196="NOT AVAILABLE","",J196))),0,12))))</f>
        <v/>
      </c>
      <c r="Q196">
        <f>IF(ISNUMBER(F196),MIN(30,ROUND(30*LOG10(F196+1)/4,1)),0)</f>
        <v/>
      </c>
      <c r="R196">
        <f>IF(ISNUMBER(G196),ROUND(25*(100-G196)/100,1),12.5)</f>
        <v/>
      </c>
      <c r="S196" t="n">
        <v>20</v>
      </c>
      <c r="T196">
        <f>ROUND(P196+Q196+R196+S196,0)</f>
        <v/>
      </c>
      <c r="U196" s="5" t="inlineStr"/>
      <c r="V196" s="5" t="inlineStr">
        <is>
          <t>SUPPORTING /services/seo-maroc</t>
        </is>
      </c>
    </row>
    <row r="197">
      <c r="A197" t="inlineStr">
        <is>
          <t>K0195</t>
        </is>
      </c>
      <c r="B197" t="inlineStr">
        <is>
          <t>site web marrakech</t>
        </is>
      </c>
      <c r="C197" t="inlineStr">
        <is>
          <t>Morocco</t>
        </is>
      </c>
      <c r="D197" t="inlineStr">
        <is>
          <t>ma</t>
        </is>
      </c>
      <c r="E197" t="inlineStr">
        <is>
          <t>fr</t>
        </is>
      </c>
      <c r="F197" t="n">
        <v>90</v>
      </c>
      <c r="G197" t="inlineStr">
        <is>
          <t>NOT AVAILABLE</t>
        </is>
      </c>
      <c r="H197" t="n">
        <v>0.76</v>
      </c>
      <c r="I197" t="n">
        <v>0.18</v>
      </c>
      <c r="J197" t="inlineStr">
        <is>
          <t>NOT AVAILABLE</t>
        </is>
      </c>
      <c r="K197" t="inlineStr">
        <is>
          <t>NOT AVAILABLE (report not requested)</t>
        </is>
      </c>
      <c r="L197" t="inlineStr">
        <is>
          <t>stable (calc.)</t>
        </is>
      </c>
      <c r="M197" t="inlineStr">
        <is>
          <t>MEASURED</t>
        </is>
      </c>
      <c r="N197" s="5" t="inlineStr">
        <is>
          <t>Semrush phrase_these (live, this session)</t>
        </is>
      </c>
      <c r="O197" t="inlineStr">
        <is>
          <t>2026-10-30</t>
        </is>
      </c>
      <c r="P197">
        <f>IF(IF(J197="NOT AVAILABLE","",J197)="",12,IF(OR(ISNUMBER(SEARCH("Transactional",IF(J197="NOT AVAILABLE","",J197))),ISNUMBER(SEARCH("Commercial",IF(J197="NOT AVAILABLE","",J197)))),25,IF(ISNUMBER(SEARCH("Informational",IF(J197="NOT AVAILABLE","",J197))),10,IF(ISNUMBER(SEARCH("Navigational",IF(J197="NOT AVAILABLE","",J197))),0,12))))</f>
        <v/>
      </c>
      <c r="Q197">
        <f>IF(ISNUMBER(F197),MIN(30,ROUND(30*LOG10(F197+1)/4,1)),0)</f>
        <v/>
      </c>
      <c r="R197">
        <f>IF(ISNUMBER(G197),ROUND(25*(100-G197)/100,1),12.5)</f>
        <v/>
      </c>
      <c r="S197" t="n">
        <v>20</v>
      </c>
      <c r="T197">
        <f>ROUND(P197+Q197+R197+S197,0)</f>
        <v/>
      </c>
      <c r="U197" s="5" t="inlineStr"/>
      <c r="V197" s="5" t="inlineStr">
        <is>
          <t>SECONDARY /web-development-company/marrakech</t>
        </is>
      </c>
    </row>
    <row r="198">
      <c r="A198" t="inlineStr">
        <is>
          <t>K0196</t>
        </is>
      </c>
      <c r="B198" t="inlineStr">
        <is>
          <t>texte lorem ipsum</t>
        </is>
      </c>
      <c r="C198" t="inlineStr">
        <is>
          <t>Morocco</t>
        </is>
      </c>
      <c r="D198" t="inlineStr">
        <is>
          <t>ma</t>
        </is>
      </c>
      <c r="E198" t="inlineStr">
        <is>
          <t>fr</t>
        </is>
      </c>
      <c r="F198" t="n">
        <v>90</v>
      </c>
      <c r="G198" t="inlineStr">
        <is>
          <t>NOT AVAILABLE</t>
        </is>
      </c>
      <c r="H198" t="n">
        <v>0</v>
      </c>
      <c r="I198" t="n">
        <v>0</v>
      </c>
      <c r="J198" t="inlineStr">
        <is>
          <t>NOT AVAILABLE</t>
        </is>
      </c>
      <c r="K198" t="inlineStr">
        <is>
          <t>NOT AVAILABLE (report not requested)</t>
        </is>
      </c>
      <c r="L198" t="inlineStr">
        <is>
          <t>rising (calc.)</t>
        </is>
      </c>
      <c r="M198" t="inlineStr">
        <is>
          <t>MEASURED</t>
        </is>
      </c>
      <c r="N198" s="5" t="inlineStr">
        <is>
          <t>Semrush phrase_these (live, this session)</t>
        </is>
      </c>
      <c r="O198" t="inlineStr">
        <is>
          <t>2026-10-30</t>
        </is>
      </c>
      <c r="P198">
        <f>IF(IF(J198="NOT AVAILABLE","",J198)="",12,IF(OR(ISNUMBER(SEARCH("Transactional",IF(J198="NOT AVAILABLE","",J198))),ISNUMBER(SEARCH("Commercial",IF(J198="NOT AVAILABLE","",J198)))),25,IF(ISNUMBER(SEARCH("Informational",IF(J198="NOT AVAILABLE","",J198))),10,IF(ISNUMBER(SEARCH("Navigational",IF(J198="NOT AVAILABLE","",J198))),0,12))))</f>
        <v/>
      </c>
      <c r="Q198">
        <f>IF(ISNUMBER(F198),MIN(30,ROUND(30*LOG10(F198+1)/4,1)),0)</f>
        <v/>
      </c>
      <c r="R198">
        <f>IF(ISNUMBER(G198),ROUND(25*(100-G198)/100,1),12.5)</f>
        <v/>
      </c>
      <c r="S198" t="n">
        <v>20</v>
      </c>
      <c r="T198">
        <f>ROUND(P198+Q198+R198+S198,0)</f>
        <v/>
      </c>
      <c r="U198" s="5" t="inlineStr"/>
      <c r="V198" s="5" t="inlineStr">
        <is>
          <t>SUPPORTING /tools/lorem-ipsum-generator</t>
        </is>
      </c>
    </row>
    <row r="199">
      <c r="A199" t="inlineStr">
        <is>
          <t>K0197</t>
        </is>
      </c>
      <c r="B199" t="inlineStr">
        <is>
          <t>web agence</t>
        </is>
      </c>
      <c r="C199" t="inlineStr">
        <is>
          <t>Morocco</t>
        </is>
      </c>
      <c r="D199" t="inlineStr">
        <is>
          <t>ma</t>
        </is>
      </c>
      <c r="E199" t="inlineStr">
        <is>
          <t>fr</t>
        </is>
      </c>
      <c r="F199" t="n">
        <v>90</v>
      </c>
      <c r="G199" t="inlineStr">
        <is>
          <t>NOT AVAILABLE</t>
        </is>
      </c>
      <c r="H199" t="n">
        <v>0</v>
      </c>
      <c r="I199" t="n">
        <v>0.09</v>
      </c>
      <c r="J199" t="inlineStr">
        <is>
          <t>NOT AVAILABLE</t>
        </is>
      </c>
      <c r="K199" t="inlineStr">
        <is>
          <t>NOT AVAILABLE (report not requested)</t>
        </is>
      </c>
      <c r="L199" t="inlineStr">
        <is>
          <t>declining (calc.)</t>
        </is>
      </c>
      <c r="M199" t="inlineStr">
        <is>
          <t>MEASURED</t>
        </is>
      </c>
      <c r="N199" s="5" t="inlineStr">
        <is>
          <t>Semrush phrase_fullsearch (historical broad-agence-web-ma.csv)</t>
        </is>
      </c>
      <c r="O199" t="inlineStr">
        <is>
          <t>2026-10-26</t>
        </is>
      </c>
      <c r="P199">
        <f>IF(IF(J199="NOT AVAILABLE","",J199)="",12,IF(OR(ISNUMBER(SEARCH("Transactional",IF(J199="NOT AVAILABLE","",J199))),ISNUMBER(SEARCH("Commercial",IF(J199="NOT AVAILABLE","",J199)))),25,IF(ISNUMBER(SEARCH("Informational",IF(J199="NOT AVAILABLE","",J199))),10,IF(ISNUMBER(SEARCH("Navigational",IF(J199="NOT AVAILABLE","",J199))),0,12))))</f>
        <v/>
      </c>
      <c r="Q199">
        <f>IF(ISNUMBER(F199),MIN(30,ROUND(30*LOG10(F199+1)/4,1)),0)</f>
        <v/>
      </c>
      <c r="R199">
        <f>IF(ISNUMBER(G199),ROUND(25*(100-G199)/100,1),12.5)</f>
        <v/>
      </c>
      <c r="S199" t="n">
        <v>20</v>
      </c>
      <c r="T199">
        <f>ROUND(P199+Q199+R199+S199,0)</f>
        <v/>
      </c>
      <c r="U199" s="5" t="inlineStr"/>
      <c r="V199" s="5" t="inlineStr"/>
    </row>
    <row r="200">
      <c r="A200" t="inlineStr">
        <is>
          <t>K0198</t>
        </is>
      </c>
      <c r="B200" t="inlineStr">
        <is>
          <t>agence création de site web</t>
        </is>
      </c>
      <c r="C200" t="inlineStr">
        <is>
          <t>Morocco</t>
        </is>
      </c>
      <c r="D200" t="inlineStr">
        <is>
          <t>ma</t>
        </is>
      </c>
      <c r="E200" t="inlineStr">
        <is>
          <t>fr</t>
        </is>
      </c>
      <c r="F200" t="n">
        <v>70</v>
      </c>
      <c r="G200" t="inlineStr">
        <is>
          <t>NOT AVAILABLE</t>
        </is>
      </c>
      <c r="H200" t="n">
        <v>0.74</v>
      </c>
      <c r="I200" t="n">
        <v>0.5</v>
      </c>
      <c r="J200" t="inlineStr">
        <is>
          <t>NOT AVAILABLE</t>
        </is>
      </c>
      <c r="K200" t="inlineStr">
        <is>
          <t>NOT AVAILABLE (report not requested)</t>
        </is>
      </c>
      <c r="L200" t="inlineStr">
        <is>
          <t>declining (calc.)</t>
        </is>
      </c>
      <c r="M200" t="inlineStr">
        <is>
          <t>MEASURED</t>
        </is>
      </c>
      <c r="N200" s="5" t="inlineStr">
        <is>
          <t>Semrush phrase_fullsearch (historical broad-agence-web-ma.csv)</t>
        </is>
      </c>
      <c r="O200" t="inlineStr">
        <is>
          <t>2026-10-26</t>
        </is>
      </c>
      <c r="P200">
        <f>IF(IF(J200="NOT AVAILABLE","",J200)="",12,IF(OR(ISNUMBER(SEARCH("Transactional",IF(J200="NOT AVAILABLE","",J200))),ISNUMBER(SEARCH("Commercial",IF(J200="NOT AVAILABLE","",J200)))),25,IF(ISNUMBER(SEARCH("Informational",IF(J200="NOT AVAILABLE","",J200))),10,IF(ISNUMBER(SEARCH("Navigational",IF(J200="NOT AVAILABLE","",J200))),0,12))))</f>
        <v/>
      </c>
      <c r="Q200">
        <f>IF(ISNUMBER(F200),MIN(30,ROUND(30*LOG10(F200+1)/4,1)),0)</f>
        <v/>
      </c>
      <c r="R200">
        <f>IF(ISNUMBER(G200),ROUND(25*(100-G200)/100,1),12.5)</f>
        <v/>
      </c>
      <c r="S200" t="n">
        <v>20</v>
      </c>
      <c r="T200">
        <f>ROUND(P200+Q200+R200+S200,0)</f>
        <v/>
      </c>
      <c r="U200" s="5" t="inlineStr"/>
      <c r="V200" s="5" t="inlineStr"/>
    </row>
    <row r="201">
      <c r="A201" t="inlineStr">
        <is>
          <t>K0199</t>
        </is>
      </c>
      <c r="B201" t="inlineStr">
        <is>
          <t>consultant seo maroc</t>
        </is>
      </c>
      <c r="C201" t="inlineStr">
        <is>
          <t>Morocco</t>
        </is>
      </c>
      <c r="D201" t="inlineStr">
        <is>
          <t>ma</t>
        </is>
      </c>
      <c r="E201" t="inlineStr">
        <is>
          <t>fr</t>
        </is>
      </c>
      <c r="F201" t="n">
        <v>70</v>
      </c>
      <c r="G201" t="inlineStr">
        <is>
          <t>NOT AVAILABLE</t>
        </is>
      </c>
      <c r="H201" t="n">
        <v>0</v>
      </c>
      <c r="I201" t="n">
        <v>0.09</v>
      </c>
      <c r="J201" t="inlineStr">
        <is>
          <t>NOT AVAILABLE</t>
        </is>
      </c>
      <c r="K201" t="inlineStr">
        <is>
          <t>NOT AVAILABLE (report not requested)</t>
        </is>
      </c>
      <c r="L201" t="inlineStr">
        <is>
          <t>declining (calc.)</t>
        </is>
      </c>
      <c r="M201" t="inlineStr">
        <is>
          <t>MEASURED</t>
        </is>
      </c>
      <c r="N201" s="5" t="inlineStr">
        <is>
          <t>Semrush phrase_these (live, this session)</t>
        </is>
      </c>
      <c r="O201" t="inlineStr">
        <is>
          <t>2026-10-30</t>
        </is>
      </c>
      <c r="P201">
        <f>IF(IF(J201="NOT AVAILABLE","",J201)="",12,IF(OR(ISNUMBER(SEARCH("Transactional",IF(J201="NOT AVAILABLE","",J201))),ISNUMBER(SEARCH("Commercial",IF(J201="NOT AVAILABLE","",J201)))),25,IF(ISNUMBER(SEARCH("Informational",IF(J201="NOT AVAILABLE","",J201))),10,IF(ISNUMBER(SEARCH("Navigational",IF(J201="NOT AVAILABLE","",J201))),0,12))))</f>
        <v/>
      </c>
      <c r="Q201">
        <f>IF(ISNUMBER(F201),MIN(30,ROUND(30*LOG10(F201+1)/4,1)),0)</f>
        <v/>
      </c>
      <c r="R201">
        <f>IF(ISNUMBER(G201),ROUND(25*(100-G201)/100,1),12.5)</f>
        <v/>
      </c>
      <c r="S201" t="n">
        <v>20</v>
      </c>
      <c r="T201">
        <f>ROUND(P201+Q201+R201+S201,0)</f>
        <v/>
      </c>
      <c r="U201" s="5" t="inlineStr"/>
      <c r="V201" s="5" t="inlineStr">
        <is>
          <t>SECONDARY /services/seo-maroc</t>
        </is>
      </c>
    </row>
    <row r="202">
      <c r="A202" t="inlineStr">
        <is>
          <t>K0200</t>
        </is>
      </c>
      <c r="B202" t="inlineStr">
        <is>
          <t>création site web fes</t>
        </is>
      </c>
      <c r="C202" t="inlineStr">
        <is>
          <t>Morocco</t>
        </is>
      </c>
      <c r="D202" t="inlineStr">
        <is>
          <t>ma</t>
        </is>
      </c>
      <c r="E202" t="inlineStr">
        <is>
          <t>fr</t>
        </is>
      </c>
      <c r="F202" t="n">
        <v>70</v>
      </c>
      <c r="G202" t="inlineStr">
        <is>
          <t>NOT AVAILABLE</t>
        </is>
      </c>
      <c r="H202" t="n">
        <v>0</v>
      </c>
      <c r="I202" t="n">
        <v>0.06</v>
      </c>
      <c r="J202" t="inlineStr">
        <is>
          <t>NOT AVAILABLE</t>
        </is>
      </c>
      <c r="K202" t="inlineStr">
        <is>
          <t>NOT AVAILABLE (report not requested)</t>
        </is>
      </c>
      <c r="L202" t="inlineStr">
        <is>
          <t>declining (calc.)</t>
        </is>
      </c>
      <c r="M202" t="inlineStr">
        <is>
          <t>MEASURED</t>
        </is>
      </c>
      <c r="N202" s="5" t="inlineStr">
        <is>
          <t>Semrush phrase_these (historical validate-ma-wave2.csv)</t>
        </is>
      </c>
      <c r="O202" t="inlineStr">
        <is>
          <t>2026-10-26</t>
        </is>
      </c>
      <c r="P202">
        <f>IF(IF(J202="NOT AVAILABLE","",J202)="",12,IF(OR(ISNUMBER(SEARCH("Transactional",IF(J202="NOT AVAILABLE","",J202))),ISNUMBER(SEARCH("Commercial",IF(J202="NOT AVAILABLE","",J202)))),25,IF(ISNUMBER(SEARCH("Informational",IF(J202="NOT AVAILABLE","",J202))),10,IF(ISNUMBER(SEARCH("Navigational",IF(J202="NOT AVAILABLE","",J202))),0,12))))</f>
        <v/>
      </c>
      <c r="Q202">
        <f>IF(ISNUMBER(F202),MIN(30,ROUND(30*LOG10(F202+1)/4,1)),0)</f>
        <v/>
      </c>
      <c r="R202">
        <f>IF(ISNUMBER(G202),ROUND(25*(100-G202)/100,1),12.5)</f>
        <v/>
      </c>
      <c r="S202" t="n">
        <v>20</v>
      </c>
      <c r="T202">
        <f>ROUND(P202+Q202+R202+S202,0)</f>
        <v/>
      </c>
      <c r="U202" s="5" t="inlineStr"/>
      <c r="V202" s="5" t="inlineStr"/>
    </row>
    <row r="203">
      <c r="A203" t="inlineStr">
        <is>
          <t>K0201</t>
        </is>
      </c>
      <c r="B203" t="inlineStr">
        <is>
          <t>développeur web maroc</t>
        </is>
      </c>
      <c r="C203" t="inlineStr">
        <is>
          <t>Morocco</t>
        </is>
      </c>
      <c r="D203" t="inlineStr">
        <is>
          <t>ma</t>
        </is>
      </c>
      <c r="E203" t="inlineStr">
        <is>
          <t>fr</t>
        </is>
      </c>
      <c r="F203" t="n">
        <v>70</v>
      </c>
      <c r="G203" t="inlineStr">
        <is>
          <t>NOT AVAILABLE</t>
        </is>
      </c>
      <c r="H203" t="n">
        <v>0.6</v>
      </c>
      <c r="I203" t="n">
        <v>0.22</v>
      </c>
      <c r="J203" t="inlineStr">
        <is>
          <t>NOT AVAILABLE</t>
        </is>
      </c>
      <c r="K203" t="inlineStr">
        <is>
          <t>NOT AVAILABLE (report not requested)</t>
        </is>
      </c>
      <c r="L203" t="inlineStr">
        <is>
          <t>rising (calc.)</t>
        </is>
      </c>
      <c r="M203" t="inlineStr">
        <is>
          <t>MEASURED</t>
        </is>
      </c>
      <c r="N203" s="5" t="inlineStr">
        <is>
          <t>Semrush phrase_these (live, this session)</t>
        </is>
      </c>
      <c r="O203" t="inlineStr">
        <is>
          <t>2026-10-30</t>
        </is>
      </c>
      <c r="P203">
        <f>IF(IF(J203="NOT AVAILABLE","",J203)="",12,IF(OR(ISNUMBER(SEARCH("Transactional",IF(J203="NOT AVAILABLE","",J203))),ISNUMBER(SEARCH("Commercial",IF(J203="NOT AVAILABLE","",J203)))),25,IF(ISNUMBER(SEARCH("Informational",IF(J203="NOT AVAILABLE","",J203))),10,IF(ISNUMBER(SEARCH("Navigational",IF(J203="NOT AVAILABLE","",J203))),0,12))))</f>
        <v/>
      </c>
      <c r="Q203">
        <f>IF(ISNUMBER(F203),MIN(30,ROUND(30*LOG10(F203+1)/4,1)),0)</f>
        <v/>
      </c>
      <c r="R203">
        <f>IF(ISNUMBER(G203),ROUND(25*(100-G203)/100,1),12.5)</f>
        <v/>
      </c>
      <c r="S203" t="n">
        <v>20</v>
      </c>
      <c r="T203">
        <f>ROUND(P203+Q203+R203+S203,0)</f>
        <v/>
      </c>
      <c r="U203" s="5" t="inlineStr"/>
      <c r="V203" s="5" t="inlineStr">
        <is>
          <t>SUPPORTING /</t>
        </is>
      </c>
    </row>
    <row r="204">
      <c r="A204" t="inlineStr">
        <is>
          <t>K0202</t>
        </is>
      </c>
      <c r="B204" t="inlineStr">
        <is>
          <t>html minifier</t>
        </is>
      </c>
      <c r="C204" t="inlineStr">
        <is>
          <t>Morocco</t>
        </is>
      </c>
      <c r="D204" t="inlineStr">
        <is>
          <t>ma</t>
        </is>
      </c>
      <c r="E204" t="inlineStr">
        <is>
          <t>fr</t>
        </is>
      </c>
      <c r="F204" t="n">
        <v>70</v>
      </c>
      <c r="G204" t="inlineStr">
        <is>
          <t>NOT AVAILABLE</t>
        </is>
      </c>
      <c r="H204" t="n">
        <v>0</v>
      </c>
      <c r="I204" t="n">
        <v>0</v>
      </c>
      <c r="J204" t="inlineStr">
        <is>
          <t>NOT AVAILABLE</t>
        </is>
      </c>
      <c r="K204" t="inlineStr">
        <is>
          <t>NOT AVAILABLE (report not requested)</t>
        </is>
      </c>
      <c r="L204" t="inlineStr">
        <is>
          <t>rising (calc.)</t>
        </is>
      </c>
      <c r="M204" t="inlineStr">
        <is>
          <t>MEASURED</t>
        </is>
      </c>
      <c r="N204" s="5" t="inlineStr">
        <is>
          <t>Semrush phrase_these (live, this session)</t>
        </is>
      </c>
      <c r="O204" t="inlineStr">
        <is>
          <t>2026-10-30</t>
        </is>
      </c>
      <c r="P204">
        <f>IF(IF(J204="NOT AVAILABLE","",J204)="",12,IF(OR(ISNUMBER(SEARCH("Transactional",IF(J204="NOT AVAILABLE","",J204))),ISNUMBER(SEARCH("Commercial",IF(J204="NOT AVAILABLE","",J204)))),25,IF(ISNUMBER(SEARCH("Informational",IF(J204="NOT AVAILABLE","",J204))),10,IF(ISNUMBER(SEARCH("Navigational",IF(J204="NOT AVAILABLE","",J204))),0,12))))</f>
        <v/>
      </c>
      <c r="Q204">
        <f>IF(ISNUMBER(F204),MIN(30,ROUND(30*LOG10(F204+1)/4,1)),0)</f>
        <v/>
      </c>
      <c r="R204">
        <f>IF(ISNUMBER(G204),ROUND(25*(100-G204)/100,1),12.5)</f>
        <v/>
      </c>
      <c r="S204" t="n">
        <v>20</v>
      </c>
      <c r="T204">
        <f>ROUND(P204+Q204+R204+S204,0)</f>
        <v/>
      </c>
      <c r="U204" s="5" t="inlineStr"/>
      <c r="V204" s="5" t="inlineStr">
        <is>
          <t>SECONDARY /tools/html-minifier</t>
        </is>
      </c>
    </row>
    <row r="205">
      <c r="A205" t="inlineStr">
        <is>
          <t>K0203</t>
        </is>
      </c>
      <c r="B205" t="inlineStr">
        <is>
          <t>minify html</t>
        </is>
      </c>
      <c r="C205" t="inlineStr">
        <is>
          <t>Morocco</t>
        </is>
      </c>
      <c r="D205" t="inlineStr">
        <is>
          <t>ma</t>
        </is>
      </c>
      <c r="E205" t="inlineStr">
        <is>
          <t>fr</t>
        </is>
      </c>
      <c r="F205" t="n">
        <v>70</v>
      </c>
      <c r="G205" t="inlineStr">
        <is>
          <t>NOT AVAILABLE</t>
        </is>
      </c>
      <c r="H205" t="n">
        <v>0</v>
      </c>
      <c r="I205" t="n">
        <v>0</v>
      </c>
      <c r="J205" t="inlineStr">
        <is>
          <t>NOT AVAILABLE</t>
        </is>
      </c>
      <c r="K205" t="inlineStr">
        <is>
          <t>NOT AVAILABLE (report not requested)</t>
        </is>
      </c>
      <c r="L205" t="inlineStr">
        <is>
          <t>rising (calc.)</t>
        </is>
      </c>
      <c r="M205" t="inlineStr">
        <is>
          <t>MEASURED</t>
        </is>
      </c>
      <c r="N205" s="5" t="inlineStr">
        <is>
          <t>Semrush phrase_these (live, this session)</t>
        </is>
      </c>
      <c r="O205" t="inlineStr">
        <is>
          <t>2026-10-30</t>
        </is>
      </c>
      <c r="P205">
        <f>IF(IF(J205="NOT AVAILABLE","",J205)="",12,IF(OR(ISNUMBER(SEARCH("Transactional",IF(J205="NOT AVAILABLE","",J205))),ISNUMBER(SEARCH("Commercial",IF(J205="NOT AVAILABLE","",J205)))),25,IF(ISNUMBER(SEARCH("Informational",IF(J205="NOT AVAILABLE","",J205))),10,IF(ISNUMBER(SEARCH("Navigational",IF(J205="NOT AVAILABLE","",J205))),0,12))))</f>
        <v/>
      </c>
      <c r="Q205">
        <f>IF(ISNUMBER(F205),MIN(30,ROUND(30*LOG10(F205+1)/4,1)),0)</f>
        <v/>
      </c>
      <c r="R205">
        <f>IF(ISNUMBER(G205),ROUND(25*(100-G205)/100,1),12.5)</f>
        <v/>
      </c>
      <c r="S205" t="n">
        <v>20</v>
      </c>
      <c r="T205">
        <f>ROUND(P205+Q205+R205+S205,0)</f>
        <v/>
      </c>
      <c r="U205" s="5" t="inlineStr"/>
      <c r="V205" s="5" t="inlineStr">
        <is>
          <t>SUPPORTING /tools/html-minifier</t>
        </is>
      </c>
    </row>
    <row r="206">
      <c r="A206" t="inlineStr">
        <is>
          <t>K0204</t>
        </is>
      </c>
      <c r="B206" t="inlineStr">
        <is>
          <t>site web maroc</t>
        </is>
      </c>
      <c r="C206" t="inlineStr">
        <is>
          <t>Morocco</t>
        </is>
      </c>
      <c r="D206" t="inlineStr">
        <is>
          <t>ma</t>
        </is>
      </c>
      <c r="E206" t="inlineStr">
        <is>
          <t>fr</t>
        </is>
      </c>
      <c r="F206" t="n">
        <v>70</v>
      </c>
      <c r="G206" t="inlineStr">
        <is>
          <t>NOT AVAILABLE</t>
        </is>
      </c>
      <c r="H206" t="n">
        <v>0.6899999999999999</v>
      </c>
      <c r="I206" t="n">
        <v>0.57</v>
      </c>
      <c r="J206" t="inlineStr">
        <is>
          <t>NOT AVAILABLE</t>
        </is>
      </c>
      <c r="K206" t="inlineStr">
        <is>
          <t>NOT AVAILABLE (report not requested)</t>
        </is>
      </c>
      <c r="L206" t="inlineStr">
        <is>
          <t>declining (calc.)</t>
        </is>
      </c>
      <c r="M206" t="inlineStr">
        <is>
          <t>MEASURED</t>
        </is>
      </c>
      <c r="N206" s="5" t="inlineStr">
        <is>
          <t>Semrush phrase_these (live, this session)</t>
        </is>
      </c>
      <c r="O206" t="inlineStr">
        <is>
          <t>2026-10-30</t>
        </is>
      </c>
      <c r="P206">
        <f>IF(IF(J206="NOT AVAILABLE","",J206)="",12,IF(OR(ISNUMBER(SEARCH("Transactional",IF(J206="NOT AVAILABLE","",J206))),ISNUMBER(SEARCH("Commercial",IF(J206="NOT AVAILABLE","",J206)))),25,IF(ISNUMBER(SEARCH("Informational",IF(J206="NOT AVAILABLE","",J206))),10,IF(ISNUMBER(SEARCH("Navigational",IF(J206="NOT AVAILABLE","",J206))),0,12))))</f>
        <v/>
      </c>
      <c r="Q206">
        <f>IF(ISNUMBER(F206),MIN(30,ROUND(30*LOG10(F206+1)/4,1)),0)</f>
        <v/>
      </c>
      <c r="R206">
        <f>IF(ISNUMBER(G206),ROUND(25*(100-G206)/100,1),12.5)</f>
        <v/>
      </c>
      <c r="S206" t="n">
        <v>20</v>
      </c>
      <c r="T206">
        <f>ROUND(P206+Q206+R206+S206,0)</f>
        <v/>
      </c>
      <c r="U206" s="5" t="inlineStr"/>
      <c r="V206" s="5" t="inlineStr">
        <is>
          <t>SUPPORTING /</t>
        </is>
      </c>
    </row>
    <row r="207">
      <c r="A207" t="inlineStr">
        <is>
          <t>K0205</t>
        </is>
      </c>
      <c r="B207" t="inlineStr">
        <is>
          <t>web agency</t>
        </is>
      </c>
      <c r="C207" t="inlineStr">
        <is>
          <t>Morocco</t>
        </is>
      </c>
      <c r="D207" t="inlineStr">
        <is>
          <t>ma</t>
        </is>
      </c>
      <c r="E207" t="inlineStr">
        <is>
          <t>fr</t>
        </is>
      </c>
      <c r="F207" t="n">
        <v>70</v>
      </c>
      <c r="G207" t="inlineStr">
        <is>
          <t>NOT AVAILABLE</t>
        </is>
      </c>
      <c r="H207" t="n">
        <v>0.5</v>
      </c>
      <c r="I207" t="n">
        <v>0.39</v>
      </c>
      <c r="J207" t="inlineStr">
        <is>
          <t>NOT AVAILABLE</t>
        </is>
      </c>
      <c r="K207" t="inlineStr">
        <is>
          <t>NOT AVAILABLE (report not requested)</t>
        </is>
      </c>
      <c r="L207" t="inlineStr">
        <is>
          <t>rising (calc.)</t>
        </is>
      </c>
      <c r="M207" t="inlineStr">
        <is>
          <t>MEASURED</t>
        </is>
      </c>
      <c r="N207" s="5" t="inlineStr">
        <is>
          <t>Semrush phrase_fullsearch (historical broad-agence-web-ma.csv)</t>
        </is>
      </c>
      <c r="O207" t="inlineStr">
        <is>
          <t>2026-10-26</t>
        </is>
      </c>
      <c r="P207">
        <f>IF(IF(J207="NOT AVAILABLE","",J207)="",12,IF(OR(ISNUMBER(SEARCH("Transactional",IF(J207="NOT AVAILABLE","",J207))),ISNUMBER(SEARCH("Commercial",IF(J207="NOT AVAILABLE","",J207)))),25,IF(ISNUMBER(SEARCH("Informational",IF(J207="NOT AVAILABLE","",J207))),10,IF(ISNUMBER(SEARCH("Navigational",IF(J207="NOT AVAILABLE","",J207))),0,12))))</f>
        <v/>
      </c>
      <c r="Q207">
        <f>IF(ISNUMBER(F207),MIN(30,ROUND(30*LOG10(F207+1)/4,1)),0)</f>
        <v/>
      </c>
      <c r="R207">
        <f>IF(ISNUMBER(G207),ROUND(25*(100-G207)/100,1),12.5)</f>
        <v/>
      </c>
      <c r="S207" t="n">
        <v>20</v>
      </c>
      <c r="T207">
        <f>ROUND(P207+Q207+R207+S207,0)</f>
        <v/>
      </c>
      <c r="U207" s="5" t="inlineStr"/>
      <c r="V207" s="5" t="inlineStr"/>
    </row>
    <row r="208">
      <c r="A208" t="inlineStr">
        <is>
          <t>K0206</t>
        </is>
      </c>
      <c r="B208" t="inlineStr">
        <is>
          <t>agence marketing digital agadir</t>
        </is>
      </c>
      <c r="C208" t="inlineStr">
        <is>
          <t>Morocco</t>
        </is>
      </c>
      <c r="D208" t="inlineStr">
        <is>
          <t>ma</t>
        </is>
      </c>
      <c r="E208" t="inlineStr">
        <is>
          <t>fr</t>
        </is>
      </c>
      <c r="F208" t="n">
        <v>50</v>
      </c>
      <c r="G208" t="inlineStr">
        <is>
          <t>NOT AVAILABLE</t>
        </is>
      </c>
      <c r="H208" t="n">
        <v>0.91</v>
      </c>
      <c r="I208" t="n">
        <v>0.06</v>
      </c>
      <c r="J208" t="inlineStr">
        <is>
          <t>NOT AVAILABLE</t>
        </is>
      </c>
      <c r="K208" t="inlineStr">
        <is>
          <t>NOT AVAILABLE (report not requested)</t>
        </is>
      </c>
      <c r="L208" t="inlineStr">
        <is>
          <t>declining (calc.)</t>
        </is>
      </c>
      <c r="M208" t="inlineStr">
        <is>
          <t>MEASURED</t>
        </is>
      </c>
      <c r="N208" s="5" t="inlineStr">
        <is>
          <t>Semrush phrase_these (live, this session)</t>
        </is>
      </c>
      <c r="O208" t="inlineStr">
        <is>
          <t>2026-10-30</t>
        </is>
      </c>
      <c r="P208">
        <f>IF(IF(J208="NOT AVAILABLE","",J208)="",12,IF(OR(ISNUMBER(SEARCH("Transactional",IF(J208="NOT AVAILABLE","",J208))),ISNUMBER(SEARCH("Commercial",IF(J208="NOT AVAILABLE","",J208)))),25,IF(ISNUMBER(SEARCH("Informational",IF(J208="NOT AVAILABLE","",J208))),10,IF(ISNUMBER(SEARCH("Navigational",IF(J208="NOT AVAILABLE","",J208))),0,12))))</f>
        <v/>
      </c>
      <c r="Q208">
        <f>IF(ISNUMBER(F208),MIN(30,ROUND(30*LOG10(F208+1)/4,1)),0)</f>
        <v/>
      </c>
      <c r="R208">
        <f>IF(ISNUMBER(G208),ROUND(25*(100-G208)/100,1),12.5)</f>
        <v/>
      </c>
      <c r="S208" t="n">
        <v>20</v>
      </c>
      <c r="T208">
        <f>ROUND(P208+Q208+R208+S208,0)</f>
        <v/>
      </c>
      <c r="U208" s="5" t="inlineStr"/>
      <c r="V208" s="5" t="inlineStr"/>
    </row>
    <row r="209">
      <c r="A209" t="inlineStr">
        <is>
          <t>K0207</t>
        </is>
      </c>
      <c r="B209" t="inlineStr">
        <is>
          <t>agence web en france</t>
        </is>
      </c>
      <c r="C209" t="inlineStr">
        <is>
          <t>Morocco</t>
        </is>
      </c>
      <c r="D209" t="inlineStr">
        <is>
          <t>ma</t>
        </is>
      </c>
      <c r="E209" t="inlineStr">
        <is>
          <t>fr</t>
        </is>
      </c>
      <c r="F209" t="n">
        <v>50</v>
      </c>
      <c r="G209" t="inlineStr">
        <is>
          <t>NOT AVAILABLE</t>
        </is>
      </c>
      <c r="H209" t="n">
        <v>1.83</v>
      </c>
      <c r="I209" t="n">
        <v>0.47</v>
      </c>
      <c r="J209" t="inlineStr">
        <is>
          <t>NOT AVAILABLE</t>
        </is>
      </c>
      <c r="K209" t="inlineStr">
        <is>
          <t>NOT AVAILABLE (report not requested)</t>
        </is>
      </c>
      <c r="L209" t="inlineStr">
        <is>
          <t>declining (calc.)</t>
        </is>
      </c>
      <c r="M209" t="inlineStr">
        <is>
          <t>MEASURED</t>
        </is>
      </c>
      <c r="N209" s="5" t="inlineStr">
        <is>
          <t>Semrush phrase_fullsearch (historical broad-agence-web-ma.csv)</t>
        </is>
      </c>
      <c r="O209" t="inlineStr">
        <is>
          <t>2026-10-26</t>
        </is>
      </c>
      <c r="P209">
        <f>IF(IF(J209="NOT AVAILABLE","",J209)="",12,IF(OR(ISNUMBER(SEARCH("Transactional",IF(J209="NOT AVAILABLE","",J209))),ISNUMBER(SEARCH("Commercial",IF(J209="NOT AVAILABLE","",J209)))),25,IF(ISNUMBER(SEARCH("Informational",IF(J209="NOT AVAILABLE","",J209))),10,IF(ISNUMBER(SEARCH("Navigational",IF(J209="NOT AVAILABLE","",J209))),0,12))))</f>
        <v/>
      </c>
      <c r="Q209">
        <f>IF(ISNUMBER(F209),MIN(30,ROUND(30*LOG10(F209+1)/4,1)),0)</f>
        <v/>
      </c>
      <c r="R209">
        <f>IF(ISNUMBER(G209),ROUND(25*(100-G209)/100,1),12.5)</f>
        <v/>
      </c>
      <c r="S209" t="n">
        <v>20</v>
      </c>
      <c r="T209">
        <f>ROUND(P209+Q209+R209+S209,0)</f>
        <v/>
      </c>
      <c r="U209" s="5" t="inlineStr"/>
      <c r="V209" s="5" t="inlineStr"/>
    </row>
    <row r="210">
      <c r="A210" t="inlineStr">
        <is>
          <t>K0208</t>
        </is>
      </c>
      <c r="B210" t="inlineStr">
        <is>
          <t>détecteur de plagiat</t>
        </is>
      </c>
      <c r="C210" t="inlineStr">
        <is>
          <t>Morocco</t>
        </is>
      </c>
      <c r="D210" t="inlineStr">
        <is>
          <t>ma</t>
        </is>
      </c>
      <c r="E210" t="inlineStr">
        <is>
          <t>fr</t>
        </is>
      </c>
      <c r="F210" t="n">
        <v>50</v>
      </c>
      <c r="G210" t="inlineStr">
        <is>
          <t>NOT AVAILABLE</t>
        </is>
      </c>
      <c r="H210" t="n">
        <v>0.17</v>
      </c>
      <c r="I210" t="n">
        <v>0.05</v>
      </c>
      <c r="J210" t="inlineStr">
        <is>
          <t>NOT AVAILABLE</t>
        </is>
      </c>
      <c r="K210" t="inlineStr">
        <is>
          <t>NOT AVAILABLE (report not requested)</t>
        </is>
      </c>
      <c r="L210" t="inlineStr">
        <is>
          <t>rising (calc.)</t>
        </is>
      </c>
      <c r="M210" t="inlineStr">
        <is>
          <t>MEASURED</t>
        </is>
      </c>
      <c r="N210" s="5" t="inlineStr">
        <is>
          <t>Semrush phrase_these (live, this session)</t>
        </is>
      </c>
      <c r="O210" t="inlineStr">
        <is>
          <t>2026-10-30</t>
        </is>
      </c>
      <c r="P210">
        <f>IF(IF(J210="NOT AVAILABLE","",J210)="",12,IF(OR(ISNUMBER(SEARCH("Transactional",IF(J210="NOT AVAILABLE","",J210))),ISNUMBER(SEARCH("Commercial",IF(J210="NOT AVAILABLE","",J210)))),25,IF(ISNUMBER(SEARCH("Informational",IF(J210="NOT AVAILABLE","",J210))),10,IF(ISNUMBER(SEARCH("Navigational",IF(J210="NOT AVAILABLE","",J210))),0,12))))</f>
        <v/>
      </c>
      <c r="Q210">
        <f>IF(ISNUMBER(F210),MIN(30,ROUND(30*LOG10(F210+1)/4,1)),0)</f>
        <v/>
      </c>
      <c r="R210">
        <f>IF(ISNUMBER(G210),ROUND(25*(100-G210)/100,1),12.5)</f>
        <v/>
      </c>
      <c r="S210" t="n">
        <v>20</v>
      </c>
      <c r="T210">
        <f>ROUND(P210+Q210+R210+S210,0)</f>
        <v/>
      </c>
      <c r="U210" s="5" t="inlineStr"/>
      <c r="V210" s="5" t="inlineStr"/>
    </row>
    <row r="211">
      <c r="A211" t="inlineStr">
        <is>
          <t>K0209</t>
        </is>
      </c>
      <c r="B211" t="inlineStr">
        <is>
          <t>logiciel de facturation</t>
        </is>
      </c>
      <c r="C211" t="inlineStr">
        <is>
          <t>Morocco</t>
        </is>
      </c>
      <c r="D211" t="inlineStr">
        <is>
          <t>ma</t>
        </is>
      </c>
      <c r="E211" t="inlineStr">
        <is>
          <t>fr</t>
        </is>
      </c>
      <c r="F211" t="n">
        <v>50</v>
      </c>
      <c r="G211" t="inlineStr">
        <is>
          <t>NOT AVAILABLE</t>
        </is>
      </c>
      <c r="H211" t="n">
        <v>0.72</v>
      </c>
      <c r="I211" t="n">
        <v>0.54</v>
      </c>
      <c r="J211" t="inlineStr">
        <is>
          <t>NOT AVAILABLE</t>
        </is>
      </c>
      <c r="K211" t="inlineStr">
        <is>
          <t>NOT AVAILABLE (report not requested)</t>
        </is>
      </c>
      <c r="L211" t="inlineStr">
        <is>
          <t>declining (calc.)</t>
        </is>
      </c>
      <c r="M211" t="inlineStr">
        <is>
          <t>MEASURED</t>
        </is>
      </c>
      <c r="N211" s="5" t="inlineStr">
        <is>
          <t>Semrush phrase_these (live, this session)</t>
        </is>
      </c>
      <c r="O211" t="inlineStr">
        <is>
          <t>2026-10-30</t>
        </is>
      </c>
      <c r="P211">
        <f>IF(IF(J211="NOT AVAILABLE","",J211)="",12,IF(OR(ISNUMBER(SEARCH("Transactional",IF(J211="NOT AVAILABLE","",J211))),ISNUMBER(SEARCH("Commercial",IF(J211="NOT AVAILABLE","",J211)))),25,IF(ISNUMBER(SEARCH("Informational",IF(J211="NOT AVAILABLE","",J211))),10,IF(ISNUMBER(SEARCH("Navigational",IF(J211="NOT AVAILABLE","",J211))),0,12))))</f>
        <v/>
      </c>
      <c r="Q211">
        <f>IF(ISNUMBER(F211),MIN(30,ROUND(30*LOG10(F211+1)/4,1)),0)</f>
        <v/>
      </c>
      <c r="R211">
        <f>IF(ISNUMBER(G211),ROUND(25*(100-G211)/100,1),12.5)</f>
        <v/>
      </c>
      <c r="S211" t="n">
        <v>20</v>
      </c>
      <c r="T211">
        <f>ROUND(P211+Q211+R211+S211,0)</f>
        <v/>
      </c>
      <c r="U211" s="5" t="inlineStr"/>
      <c r="V211" s="5" t="inlineStr"/>
    </row>
    <row r="212">
      <c r="A212" t="inlineStr">
        <is>
          <t>K0210</t>
        </is>
      </c>
      <c r="B212" t="inlineStr">
        <is>
          <t>schema markup</t>
        </is>
      </c>
      <c r="C212" t="inlineStr">
        <is>
          <t>Morocco</t>
        </is>
      </c>
      <c r="D212" t="inlineStr">
        <is>
          <t>ma</t>
        </is>
      </c>
      <c r="E212" t="inlineStr">
        <is>
          <t>fr</t>
        </is>
      </c>
      <c r="F212" t="n">
        <v>50</v>
      </c>
      <c r="G212" t="inlineStr">
        <is>
          <t>NOT AVAILABLE</t>
        </is>
      </c>
      <c r="H212" t="n">
        <v>0</v>
      </c>
      <c r="I212" t="n">
        <v>0.01</v>
      </c>
      <c r="J212" t="inlineStr">
        <is>
          <t>NOT AVAILABLE</t>
        </is>
      </c>
      <c r="K212" t="inlineStr">
        <is>
          <t>NOT AVAILABLE (report not requested)</t>
        </is>
      </c>
      <c r="L212" t="inlineStr">
        <is>
          <t>rising (calc.)</t>
        </is>
      </c>
      <c r="M212" t="inlineStr">
        <is>
          <t>MEASURED</t>
        </is>
      </c>
      <c r="N212" s="5" t="inlineStr">
        <is>
          <t>Semrush phrase_these (live, this session)</t>
        </is>
      </c>
      <c r="O212" t="inlineStr">
        <is>
          <t>2026-10-30</t>
        </is>
      </c>
      <c r="P212">
        <f>IF(IF(J212="NOT AVAILABLE","",J212)="",12,IF(OR(ISNUMBER(SEARCH("Transactional",IF(J212="NOT AVAILABLE","",J212))),ISNUMBER(SEARCH("Commercial",IF(J212="NOT AVAILABLE","",J212)))),25,IF(ISNUMBER(SEARCH("Informational",IF(J212="NOT AVAILABLE","",J212))),10,IF(ISNUMBER(SEARCH("Navigational",IF(J212="NOT AVAILABLE","",J212))),0,12))))</f>
        <v/>
      </c>
      <c r="Q212">
        <f>IF(ISNUMBER(F212),MIN(30,ROUND(30*LOG10(F212+1)/4,1)),0)</f>
        <v/>
      </c>
      <c r="R212">
        <f>IF(ISNUMBER(G212),ROUND(25*(100-G212)/100,1),12.5)</f>
        <v/>
      </c>
      <c r="S212" t="n">
        <v>20</v>
      </c>
      <c r="T212">
        <f>ROUND(P212+Q212+R212+S212,0)</f>
        <v/>
      </c>
      <c r="U212" s="5" t="inlineStr"/>
      <c r="V212" s="5" t="inlineStr">
        <is>
          <t>SECONDARY /tools/schema-generator</t>
        </is>
      </c>
    </row>
    <row r="213">
      <c r="A213" t="inlineStr">
        <is>
          <t>K0211</t>
        </is>
      </c>
      <c r="B213" t="inlineStr">
        <is>
          <t>security headers</t>
        </is>
      </c>
      <c r="C213" t="inlineStr">
        <is>
          <t>Morocco</t>
        </is>
      </c>
      <c r="D213" t="inlineStr">
        <is>
          <t>ma</t>
        </is>
      </c>
      <c r="E213" t="inlineStr">
        <is>
          <t>fr</t>
        </is>
      </c>
      <c r="F213" t="n">
        <v>50</v>
      </c>
      <c r="G213" t="inlineStr">
        <is>
          <t>NOT AVAILABLE</t>
        </is>
      </c>
      <c r="H213" t="n">
        <v>0</v>
      </c>
      <c r="I213" t="n">
        <v>0.02</v>
      </c>
      <c r="J213" t="inlineStr">
        <is>
          <t>NOT AVAILABLE</t>
        </is>
      </c>
      <c r="K213" t="inlineStr">
        <is>
          <t>NOT AVAILABLE (report not requested)</t>
        </is>
      </c>
      <c r="L213" t="inlineStr">
        <is>
          <t>declining (calc.)</t>
        </is>
      </c>
      <c r="M213" t="inlineStr">
        <is>
          <t>MEASURED</t>
        </is>
      </c>
      <c r="N213" s="5" t="inlineStr">
        <is>
          <t>Semrush phrase_these (live, this session)</t>
        </is>
      </c>
      <c r="O213" t="inlineStr">
        <is>
          <t>2026-10-30</t>
        </is>
      </c>
      <c r="P213">
        <f>IF(IF(J213="NOT AVAILABLE","",J213)="",12,IF(OR(ISNUMBER(SEARCH("Transactional",IF(J213="NOT AVAILABLE","",J213))),ISNUMBER(SEARCH("Commercial",IF(J213="NOT AVAILABLE","",J213)))),25,IF(ISNUMBER(SEARCH("Informational",IF(J213="NOT AVAILABLE","",J213))),10,IF(ISNUMBER(SEARCH("Navigational",IF(J213="NOT AVAILABLE","",J213))),0,12))))</f>
        <v/>
      </c>
      <c r="Q213">
        <f>IF(ISNUMBER(F213),MIN(30,ROUND(30*LOG10(F213+1)/4,1)),0)</f>
        <v/>
      </c>
      <c r="R213">
        <f>IF(ISNUMBER(G213),ROUND(25*(100-G213)/100,1),12.5)</f>
        <v/>
      </c>
      <c r="S213" t="n">
        <v>20</v>
      </c>
      <c r="T213">
        <f>ROUND(P213+Q213+R213+S213,0)</f>
        <v/>
      </c>
      <c r="U213" s="5" t="inlineStr"/>
      <c r="V213" s="5" t="inlineStr">
        <is>
          <t>SECONDARY /tools/security-headers-checker</t>
        </is>
      </c>
    </row>
    <row r="214">
      <c r="A214" t="inlineStr">
        <is>
          <t>K0212</t>
        </is>
      </c>
      <c r="B214" t="inlineStr">
        <is>
          <t>web design agency</t>
        </is>
      </c>
      <c r="C214" t="inlineStr">
        <is>
          <t>Morocco</t>
        </is>
      </c>
      <c r="D214" t="inlineStr">
        <is>
          <t>ma</t>
        </is>
      </c>
      <c r="E214" t="inlineStr">
        <is>
          <t>fr</t>
        </is>
      </c>
      <c r="F214" t="n">
        <v>50</v>
      </c>
      <c r="G214" t="inlineStr">
        <is>
          <t>NOT AVAILABLE</t>
        </is>
      </c>
      <c r="H214" t="n">
        <v>0.52</v>
      </c>
      <c r="I214" t="n">
        <v>0.4</v>
      </c>
      <c r="J214" t="inlineStr">
        <is>
          <t>NOT AVAILABLE</t>
        </is>
      </c>
      <c r="K214" t="inlineStr">
        <is>
          <t>NOT AVAILABLE (report not requested)</t>
        </is>
      </c>
      <c r="L214" t="inlineStr">
        <is>
          <t>rising (calc.)</t>
        </is>
      </c>
      <c r="M214" t="inlineStr">
        <is>
          <t>MEASURED</t>
        </is>
      </c>
      <c r="N214" s="5" t="inlineStr">
        <is>
          <t>Semrush phrase_fullsearch (historical broad-agence-web-ma.csv)</t>
        </is>
      </c>
      <c r="O214" t="inlineStr">
        <is>
          <t>2026-10-26</t>
        </is>
      </c>
      <c r="P214">
        <f>IF(IF(J214="NOT AVAILABLE","",J214)="",12,IF(OR(ISNUMBER(SEARCH("Transactional",IF(J214="NOT AVAILABLE","",J214))),ISNUMBER(SEARCH("Commercial",IF(J214="NOT AVAILABLE","",J214)))),25,IF(ISNUMBER(SEARCH("Informational",IF(J214="NOT AVAILABLE","",J214))),10,IF(ISNUMBER(SEARCH("Navigational",IF(J214="NOT AVAILABLE","",J214))),0,12))))</f>
        <v/>
      </c>
      <c r="Q214">
        <f>IF(ISNUMBER(F214),MIN(30,ROUND(30*LOG10(F214+1)/4,1)),0)</f>
        <v/>
      </c>
      <c r="R214">
        <f>IF(ISNUMBER(G214),ROUND(25*(100-G214)/100,1),12.5)</f>
        <v/>
      </c>
      <c r="S214" t="n">
        <v>20</v>
      </c>
      <c r="T214">
        <f>ROUND(P214+Q214+R214+S214,0)</f>
        <v/>
      </c>
      <c r="U214" s="5" t="inlineStr"/>
      <c r="V214" s="5" t="inlineStr"/>
    </row>
    <row r="215">
      <c r="A215" t="inlineStr">
        <is>
          <t>K0213</t>
        </is>
      </c>
      <c r="B215" t="inlineStr">
        <is>
          <t>agence web tanger</t>
        </is>
      </c>
      <c r="C215" t="inlineStr">
        <is>
          <t>Morocco</t>
        </is>
      </c>
      <c r="D215" t="inlineStr">
        <is>
          <t>ma</t>
        </is>
      </c>
      <c r="E215" t="inlineStr">
        <is>
          <t>fr</t>
        </is>
      </c>
      <c r="F215" t="n">
        <v>40</v>
      </c>
      <c r="G215" t="inlineStr">
        <is>
          <t>NOT AVAILABLE</t>
        </is>
      </c>
      <c r="H215" t="n">
        <v>0.84</v>
      </c>
      <c r="I215" t="n">
        <v>0.26</v>
      </c>
      <c r="J215" t="inlineStr">
        <is>
          <t>NOT AVAILABLE</t>
        </is>
      </c>
      <c r="K215" t="inlineStr">
        <is>
          <t>NOT AVAILABLE (report not requested)</t>
        </is>
      </c>
      <c r="L215" t="inlineStr">
        <is>
          <t>declining (calc.)</t>
        </is>
      </c>
      <c r="M215" t="inlineStr">
        <is>
          <t>MEASURED</t>
        </is>
      </c>
      <c r="N215" s="5" t="inlineStr">
        <is>
          <t>Semrush phrase_these (live, this session)</t>
        </is>
      </c>
      <c r="O215" t="inlineStr">
        <is>
          <t>2026-10-30</t>
        </is>
      </c>
      <c r="P215">
        <f>IF(IF(J215="NOT AVAILABLE","",J215)="",12,IF(OR(ISNUMBER(SEARCH("Transactional",IF(J215="NOT AVAILABLE","",J215))),ISNUMBER(SEARCH("Commercial",IF(J215="NOT AVAILABLE","",J215)))),25,IF(ISNUMBER(SEARCH("Informational",IF(J215="NOT AVAILABLE","",J215))),10,IF(ISNUMBER(SEARCH("Navigational",IF(J215="NOT AVAILABLE","",J215))),0,12))))</f>
        <v/>
      </c>
      <c r="Q215">
        <f>IF(ISNUMBER(F215),MIN(30,ROUND(30*LOG10(F215+1)/4,1)),0)</f>
        <v/>
      </c>
      <c r="R215">
        <f>IF(ISNUMBER(G215),ROUND(25*(100-G215)/100,1),12.5)</f>
        <v/>
      </c>
      <c r="S215" t="n">
        <v>20</v>
      </c>
      <c r="T215">
        <f>ROUND(P215+Q215+R215+S215,0)</f>
        <v/>
      </c>
      <c r="U215" s="5" t="inlineStr"/>
      <c r="V215" s="5" t="inlineStr">
        <is>
          <t>SECONDARY /web-development-company/tangier</t>
        </is>
      </c>
    </row>
    <row r="216">
      <c r="A216" t="inlineStr">
        <is>
          <t>K0214</t>
        </is>
      </c>
      <c r="B216" t="inlineStr">
        <is>
          <t>comment creer un site web de vente en ligne</t>
        </is>
      </c>
      <c r="C216" t="inlineStr">
        <is>
          <t>Morocco</t>
        </is>
      </c>
      <c r="D216" t="inlineStr">
        <is>
          <t>ma</t>
        </is>
      </c>
      <c r="E216" t="inlineStr">
        <is>
          <t>fr</t>
        </is>
      </c>
      <c r="F216" t="n">
        <v>40</v>
      </c>
      <c r="G216" t="inlineStr">
        <is>
          <t>NOT AVAILABLE</t>
        </is>
      </c>
      <c r="H216" t="n">
        <v>0.54</v>
      </c>
      <c r="I216" t="n">
        <v>0.73</v>
      </c>
      <c r="J216" t="inlineStr">
        <is>
          <t>NOT AVAILABLE</t>
        </is>
      </c>
      <c r="K216" t="inlineStr">
        <is>
          <t>NOT AVAILABLE (report not requested)</t>
        </is>
      </c>
      <c r="L216" t="inlineStr">
        <is>
          <t>NOT AVAILABLE</t>
        </is>
      </c>
      <c r="M216" t="inlineStr">
        <is>
          <t>MEASURED</t>
        </is>
      </c>
      <c r="N216" s="5" t="inlineStr">
        <is>
          <t>Semrush phrase_questions seed "site web"</t>
        </is>
      </c>
      <c r="O216" t="inlineStr">
        <is>
          <t>2026-10-30</t>
        </is>
      </c>
      <c r="P216">
        <f>IF(IF(J216="NOT AVAILABLE","",J216)="",12,IF(OR(ISNUMBER(SEARCH("Transactional",IF(J216="NOT AVAILABLE","",J216))),ISNUMBER(SEARCH("Commercial",IF(J216="NOT AVAILABLE","",J216)))),25,IF(ISNUMBER(SEARCH("Informational",IF(J216="NOT AVAILABLE","",J216))),10,IF(ISNUMBER(SEARCH("Navigational",IF(J216="NOT AVAILABLE","",J216))),0,12))))</f>
        <v/>
      </c>
      <c r="Q216">
        <f>IF(ISNUMBER(F216),MIN(30,ROUND(30*LOG10(F216+1)/4,1)),0)</f>
        <v/>
      </c>
      <c r="R216">
        <f>IF(ISNUMBER(G216),ROUND(25*(100-G216)/100,1),12.5)</f>
        <v/>
      </c>
      <c r="S216" t="n">
        <v>20</v>
      </c>
      <c r="T216">
        <f>ROUND(P216+Q216+R216+S216,0)</f>
        <v/>
      </c>
      <c r="U216" s="5" t="inlineStr"/>
      <c r="V216" s="5" t="inlineStr"/>
    </row>
    <row r="217">
      <c r="A217" t="inlineStr">
        <is>
          <t>K0215</t>
        </is>
      </c>
      <c r="B217" t="inlineStr">
        <is>
          <t>contenu dupliqué</t>
        </is>
      </c>
      <c r="C217" t="inlineStr">
        <is>
          <t>Morocco</t>
        </is>
      </c>
      <c r="D217" t="inlineStr">
        <is>
          <t>ma</t>
        </is>
      </c>
      <c r="E217" t="inlineStr">
        <is>
          <t>fr</t>
        </is>
      </c>
      <c r="F217" t="n">
        <v>40</v>
      </c>
      <c r="G217" t="inlineStr">
        <is>
          <t>NOT AVAILABLE</t>
        </is>
      </c>
      <c r="H217" t="n">
        <v>0</v>
      </c>
      <c r="I217" t="n">
        <v>0.33</v>
      </c>
      <c r="J217" t="inlineStr">
        <is>
          <t>NOT AVAILABLE</t>
        </is>
      </c>
      <c r="K217" t="inlineStr">
        <is>
          <t>NOT AVAILABLE (report not requested)</t>
        </is>
      </c>
      <c r="L217" t="inlineStr">
        <is>
          <t>declining (calc.)</t>
        </is>
      </c>
      <c r="M217" t="inlineStr">
        <is>
          <t>MEASURED</t>
        </is>
      </c>
      <c r="N217" s="5" t="inlineStr">
        <is>
          <t>Semrush phrase_these (live, this session)</t>
        </is>
      </c>
      <c r="O217" t="inlineStr">
        <is>
          <t>2026-10-30</t>
        </is>
      </c>
      <c r="P217">
        <f>IF(IF(J217="NOT AVAILABLE","",J217)="",12,IF(OR(ISNUMBER(SEARCH("Transactional",IF(J217="NOT AVAILABLE","",J217))),ISNUMBER(SEARCH("Commercial",IF(J217="NOT AVAILABLE","",J217)))),25,IF(ISNUMBER(SEARCH("Informational",IF(J217="NOT AVAILABLE","",J217))),10,IF(ISNUMBER(SEARCH("Navigational",IF(J217="NOT AVAILABLE","",J217))),0,12))))</f>
        <v/>
      </c>
      <c r="Q217">
        <f>IF(ISNUMBER(F217),MIN(30,ROUND(30*LOG10(F217+1)/4,1)),0)</f>
        <v/>
      </c>
      <c r="R217">
        <f>IF(ISNUMBER(G217),ROUND(25*(100-G217)/100,1),12.5)</f>
        <v/>
      </c>
      <c r="S217" t="n">
        <v>20</v>
      </c>
      <c r="T217">
        <f>ROUND(P217+Q217+R217+S217,0)</f>
        <v/>
      </c>
      <c r="U217" s="5" t="inlineStr"/>
      <c r="V217" s="5" t="inlineStr">
        <is>
          <t>SUPPORTING /tools/duplicate-content-checker</t>
        </is>
      </c>
    </row>
    <row r="218">
      <c r="A218" t="inlineStr">
        <is>
          <t>K0216</t>
        </is>
      </c>
      <c r="B218" t="inlineStr">
        <is>
          <t>création site web freelance</t>
        </is>
      </c>
      <c r="C218" t="inlineStr">
        <is>
          <t>Morocco</t>
        </is>
      </c>
      <c r="D218" t="inlineStr">
        <is>
          <t>ma</t>
        </is>
      </c>
      <c r="E218" t="inlineStr">
        <is>
          <t>fr</t>
        </is>
      </c>
      <c r="F218" t="n">
        <v>40</v>
      </c>
      <c r="G218" t="inlineStr">
        <is>
          <t>NOT AVAILABLE</t>
        </is>
      </c>
      <c r="H218" t="n">
        <v>0</v>
      </c>
      <c r="I218" t="n">
        <v>0.43</v>
      </c>
      <c r="J218" t="inlineStr">
        <is>
          <t>NOT AVAILABLE</t>
        </is>
      </c>
      <c r="K218" t="inlineStr">
        <is>
          <t>NOT AVAILABLE (report not requested)</t>
        </is>
      </c>
      <c r="L218" t="inlineStr">
        <is>
          <t>rising (calc.)</t>
        </is>
      </c>
      <c r="M218" t="inlineStr">
        <is>
          <t>MEASURED</t>
        </is>
      </c>
      <c r="N218" s="5" t="inlineStr">
        <is>
          <t>Semrush phrase_fullsearch (historical broad-creation-site-web-ma.csv)</t>
        </is>
      </c>
      <c r="O218" t="inlineStr">
        <is>
          <t>2026-10-26</t>
        </is>
      </c>
      <c r="P218">
        <f>IF(IF(J218="NOT AVAILABLE","",J218)="",12,IF(OR(ISNUMBER(SEARCH("Transactional",IF(J218="NOT AVAILABLE","",J218))),ISNUMBER(SEARCH("Commercial",IF(J218="NOT AVAILABLE","",J218)))),25,IF(ISNUMBER(SEARCH("Informational",IF(J218="NOT AVAILABLE","",J218))),10,IF(ISNUMBER(SEARCH("Navigational",IF(J218="NOT AVAILABLE","",J218))),0,12))))</f>
        <v/>
      </c>
      <c r="Q218">
        <f>IF(ISNUMBER(F218),MIN(30,ROUND(30*LOG10(F218+1)/4,1)),0)</f>
        <v/>
      </c>
      <c r="R218">
        <f>IF(ISNUMBER(G218),ROUND(25*(100-G218)/100,1),12.5)</f>
        <v/>
      </c>
      <c r="S218" t="n">
        <v>20</v>
      </c>
      <c r="T218">
        <f>ROUND(P218+Q218+R218+S218,0)</f>
        <v/>
      </c>
      <c r="U218" s="5" t="inlineStr"/>
      <c r="V218" s="5" t="inlineStr"/>
    </row>
    <row r="219">
      <c r="A219" t="inlineStr">
        <is>
          <t>K0217</t>
        </is>
      </c>
      <c r="B219" t="inlineStr">
        <is>
          <t>création site web sur mesure</t>
        </is>
      </c>
      <c r="C219" t="inlineStr">
        <is>
          <t>Morocco</t>
        </is>
      </c>
      <c r="D219" t="inlineStr">
        <is>
          <t>ma</t>
        </is>
      </c>
      <c r="E219" t="inlineStr">
        <is>
          <t>fr</t>
        </is>
      </c>
      <c r="F219" t="n">
        <v>40</v>
      </c>
      <c r="G219" t="inlineStr">
        <is>
          <t>NOT AVAILABLE</t>
        </is>
      </c>
      <c r="H219" t="n">
        <v>0</v>
      </c>
      <c r="I219" t="n">
        <v>0.12</v>
      </c>
      <c r="J219" t="inlineStr">
        <is>
          <t>NOT AVAILABLE</t>
        </is>
      </c>
      <c r="K219" t="inlineStr">
        <is>
          <t>NOT AVAILABLE (report not requested)</t>
        </is>
      </c>
      <c r="L219" t="inlineStr">
        <is>
          <t>rising (calc.)</t>
        </is>
      </c>
      <c r="M219" t="inlineStr">
        <is>
          <t>MEASURED</t>
        </is>
      </c>
      <c r="N219" s="5" t="inlineStr">
        <is>
          <t>Semrush phrase_these (live, this session)</t>
        </is>
      </c>
      <c r="O219" t="inlineStr">
        <is>
          <t>2026-10-30</t>
        </is>
      </c>
      <c r="P219">
        <f>IF(IF(J219="NOT AVAILABLE","",J219)="",12,IF(OR(ISNUMBER(SEARCH("Transactional",IF(J219="NOT AVAILABLE","",J219))),ISNUMBER(SEARCH("Commercial",IF(J219="NOT AVAILABLE","",J219)))),25,IF(ISNUMBER(SEARCH("Informational",IF(J219="NOT AVAILABLE","",J219))),10,IF(ISNUMBER(SEARCH("Navigational",IF(J219="NOT AVAILABLE","",J219))),0,12))))</f>
        <v/>
      </c>
      <c r="Q219">
        <f>IF(ISNUMBER(F219),MIN(30,ROUND(30*LOG10(F219+1)/4,1)),0)</f>
        <v/>
      </c>
      <c r="R219">
        <f>IF(ISNUMBER(G219),ROUND(25*(100-G219)/100,1),12.5)</f>
        <v/>
      </c>
      <c r="S219" t="n">
        <v>20</v>
      </c>
      <c r="T219">
        <f>ROUND(P219+Q219+R219+S219,0)</f>
        <v/>
      </c>
      <c r="U219" s="5" t="inlineStr"/>
      <c r="V219" s="5" t="inlineStr">
        <is>
          <t>SUPPORTING /</t>
        </is>
      </c>
    </row>
    <row r="220">
      <c r="A220" t="inlineStr">
        <is>
          <t>K0218</t>
        </is>
      </c>
      <c r="B220" t="inlineStr">
        <is>
          <t>générateur couleur</t>
        </is>
      </c>
      <c r="C220" t="inlineStr">
        <is>
          <t>Morocco</t>
        </is>
      </c>
      <c r="D220" t="inlineStr">
        <is>
          <t>ma</t>
        </is>
      </c>
      <c r="E220" t="inlineStr">
        <is>
          <t>fr</t>
        </is>
      </c>
      <c r="F220" t="n">
        <v>40</v>
      </c>
      <c r="G220" t="inlineStr">
        <is>
          <t>NOT AVAILABLE</t>
        </is>
      </c>
      <c r="H220" t="n">
        <v>0</v>
      </c>
      <c r="I220" t="n">
        <v>0.33</v>
      </c>
      <c r="J220" t="inlineStr">
        <is>
          <t>NOT AVAILABLE</t>
        </is>
      </c>
      <c r="K220" t="inlineStr">
        <is>
          <t>NOT AVAILABLE (report not requested)</t>
        </is>
      </c>
      <c r="L220" t="inlineStr">
        <is>
          <t>declining (calc.)</t>
        </is>
      </c>
      <c r="M220" t="inlineStr">
        <is>
          <t>MEASURED</t>
        </is>
      </c>
      <c r="N220" s="5" t="inlineStr">
        <is>
          <t>Semrush phrase_these (live, this session)</t>
        </is>
      </c>
      <c r="O220" t="inlineStr">
        <is>
          <t>2026-10-30</t>
        </is>
      </c>
      <c r="P220">
        <f>IF(IF(J220="NOT AVAILABLE","",J220)="",12,IF(OR(ISNUMBER(SEARCH("Transactional",IF(J220="NOT AVAILABLE","",J220))),ISNUMBER(SEARCH("Commercial",IF(J220="NOT AVAILABLE","",J220)))),25,IF(ISNUMBER(SEARCH("Informational",IF(J220="NOT AVAILABLE","",J220))),10,IF(ISNUMBER(SEARCH("Navigational",IF(J220="NOT AVAILABLE","",J220))),0,12))))</f>
        <v/>
      </c>
      <c r="Q220">
        <f>IF(ISNUMBER(F220),MIN(30,ROUND(30*LOG10(F220+1)/4,1)),0)</f>
        <v/>
      </c>
      <c r="R220">
        <f>IF(ISNUMBER(G220),ROUND(25*(100-G220)/100,1),12.5)</f>
        <v/>
      </c>
      <c r="S220" t="n">
        <v>20</v>
      </c>
      <c r="T220">
        <f>ROUND(P220+Q220+R220+S220,0)</f>
        <v/>
      </c>
      <c r="U220" s="5" t="inlineStr"/>
      <c r="V220" s="5" t="inlineStr">
        <is>
          <t>SUPPORTING /tools/color-palette-generator</t>
        </is>
      </c>
    </row>
    <row r="221">
      <c r="A221" t="inlineStr">
        <is>
          <t>K0219</t>
        </is>
      </c>
      <c r="B221" t="inlineStr">
        <is>
          <t>nombre de mots</t>
        </is>
      </c>
      <c r="C221" t="inlineStr">
        <is>
          <t>Morocco</t>
        </is>
      </c>
      <c r="D221" t="inlineStr">
        <is>
          <t>ma</t>
        </is>
      </c>
      <c r="E221" t="inlineStr">
        <is>
          <t>fr</t>
        </is>
      </c>
      <c r="F221" t="n">
        <v>40</v>
      </c>
      <c r="G221" t="inlineStr">
        <is>
          <t>NOT AVAILABLE</t>
        </is>
      </c>
      <c r="H221" t="n">
        <v>0.02</v>
      </c>
      <c r="I221" t="n">
        <v>0.23</v>
      </c>
      <c r="J221" t="inlineStr">
        <is>
          <t>NOT AVAILABLE</t>
        </is>
      </c>
      <c r="K221" t="inlineStr">
        <is>
          <t>NOT AVAILABLE (report not requested)</t>
        </is>
      </c>
      <c r="L221" t="inlineStr">
        <is>
          <t>declining (calc.)</t>
        </is>
      </c>
      <c r="M221" t="inlineStr">
        <is>
          <t>MEASURED</t>
        </is>
      </c>
      <c r="N221" s="5" t="inlineStr">
        <is>
          <t>Semrush phrase_these (live, this session)</t>
        </is>
      </c>
      <c r="O221" t="inlineStr">
        <is>
          <t>2026-10-30</t>
        </is>
      </c>
      <c r="P221">
        <f>IF(IF(J221="NOT AVAILABLE","",J221)="",12,IF(OR(ISNUMBER(SEARCH("Transactional",IF(J221="NOT AVAILABLE","",J221))),ISNUMBER(SEARCH("Commercial",IF(J221="NOT AVAILABLE","",J221)))),25,IF(ISNUMBER(SEARCH("Informational",IF(J221="NOT AVAILABLE","",J221))),10,IF(ISNUMBER(SEARCH("Navigational",IF(J221="NOT AVAILABLE","",J221))),0,12))))</f>
        <v/>
      </c>
      <c r="Q221">
        <f>IF(ISNUMBER(F221),MIN(30,ROUND(30*LOG10(F221+1)/4,1)),0)</f>
        <v/>
      </c>
      <c r="R221">
        <f>IF(ISNUMBER(G221),ROUND(25*(100-G221)/100,1),12.5)</f>
        <v/>
      </c>
      <c r="S221" t="n">
        <v>20</v>
      </c>
      <c r="T221">
        <f>ROUND(P221+Q221+R221+S221,0)</f>
        <v/>
      </c>
      <c r="U221" s="5" t="inlineStr"/>
      <c r="V221" s="5" t="inlineStr">
        <is>
          <t>SUPPORTING /tools/word-counter</t>
        </is>
      </c>
    </row>
    <row r="222">
      <c r="A222" t="inlineStr">
        <is>
          <t>K0220</t>
        </is>
      </c>
      <c r="B222" t="inlineStr">
        <is>
          <t>référencement naturel</t>
        </is>
      </c>
      <c r="C222" t="inlineStr">
        <is>
          <t>Morocco</t>
        </is>
      </c>
      <c r="D222" t="inlineStr">
        <is>
          <t>ma</t>
        </is>
      </c>
      <c r="E222" t="inlineStr">
        <is>
          <t>fr</t>
        </is>
      </c>
      <c r="F222" t="n">
        <v>40</v>
      </c>
      <c r="G222" t="inlineStr">
        <is>
          <t>NOT AVAILABLE</t>
        </is>
      </c>
      <c r="H222" t="n">
        <v>0.17</v>
      </c>
      <c r="I222" t="n">
        <v>0.09</v>
      </c>
      <c r="J222" t="inlineStr">
        <is>
          <t>NOT AVAILABLE</t>
        </is>
      </c>
      <c r="K222" t="inlineStr">
        <is>
          <t>NOT AVAILABLE (report not requested)</t>
        </is>
      </c>
      <c r="L222" t="inlineStr">
        <is>
          <t>rising (calc.)</t>
        </is>
      </c>
      <c r="M222" t="inlineStr">
        <is>
          <t>MEASURED</t>
        </is>
      </c>
      <c r="N222" s="5" t="inlineStr">
        <is>
          <t>Semrush phrase_these (live, this session)</t>
        </is>
      </c>
      <c r="O222" t="inlineStr">
        <is>
          <t>2026-10-30</t>
        </is>
      </c>
      <c r="P222">
        <f>IF(IF(J222="NOT AVAILABLE","",J222)="",12,IF(OR(ISNUMBER(SEARCH("Transactional",IF(J222="NOT AVAILABLE","",J222))),ISNUMBER(SEARCH("Commercial",IF(J222="NOT AVAILABLE","",J222)))),25,IF(ISNUMBER(SEARCH("Informational",IF(J222="NOT AVAILABLE","",J222))),10,IF(ISNUMBER(SEARCH("Navigational",IF(J222="NOT AVAILABLE","",J222))),0,12))))</f>
        <v/>
      </c>
      <c r="Q222">
        <f>IF(ISNUMBER(F222),MIN(30,ROUND(30*LOG10(F222+1)/4,1)),0)</f>
        <v/>
      </c>
      <c r="R222">
        <f>IF(ISNUMBER(G222),ROUND(25*(100-G222)/100,1),12.5)</f>
        <v/>
      </c>
      <c r="S222" t="n">
        <v>20</v>
      </c>
      <c r="T222">
        <f>ROUND(P222+Q222+R222+S222,0)</f>
        <v/>
      </c>
      <c r="U222" s="5" t="inlineStr"/>
      <c r="V222" s="5" t="inlineStr">
        <is>
          <t>SUPPORTING /services/seo-maroc</t>
        </is>
      </c>
    </row>
    <row r="223">
      <c r="A223" t="inlineStr">
        <is>
          <t>K0221</t>
        </is>
      </c>
      <c r="B223" t="inlineStr">
        <is>
          <t>agence création site web</t>
        </is>
      </c>
      <c r="C223" t="inlineStr">
        <is>
          <t>Morocco</t>
        </is>
      </c>
      <c r="D223" t="inlineStr">
        <is>
          <t>ma</t>
        </is>
      </c>
      <c r="E223" t="inlineStr">
        <is>
          <t>fr</t>
        </is>
      </c>
      <c r="F223" t="n">
        <v>30</v>
      </c>
      <c r="G223" t="inlineStr">
        <is>
          <t>NOT AVAILABLE</t>
        </is>
      </c>
      <c r="H223" t="n">
        <v>0.36</v>
      </c>
      <c r="I223" t="n">
        <v>0.36</v>
      </c>
      <c r="J223" t="inlineStr">
        <is>
          <t>NOT AVAILABLE</t>
        </is>
      </c>
      <c r="K223" t="inlineStr">
        <is>
          <t>NOT AVAILABLE (report not requested)</t>
        </is>
      </c>
      <c r="L223" t="inlineStr">
        <is>
          <t>rising (calc.)</t>
        </is>
      </c>
      <c r="M223" t="inlineStr">
        <is>
          <t>MEASURED</t>
        </is>
      </c>
      <c r="N223" s="5" t="inlineStr">
        <is>
          <t>Semrush phrase_fullsearch (historical broad-creation-site-web-ma.csv)</t>
        </is>
      </c>
      <c r="O223" t="inlineStr">
        <is>
          <t>2026-10-26</t>
        </is>
      </c>
      <c r="P223">
        <f>IF(IF(J223="NOT AVAILABLE","",J223)="",12,IF(OR(ISNUMBER(SEARCH("Transactional",IF(J223="NOT AVAILABLE","",J223))),ISNUMBER(SEARCH("Commercial",IF(J223="NOT AVAILABLE","",J223)))),25,IF(ISNUMBER(SEARCH("Informational",IF(J223="NOT AVAILABLE","",J223))),10,IF(ISNUMBER(SEARCH("Navigational",IF(J223="NOT AVAILABLE","",J223))),0,12))))</f>
        <v/>
      </c>
      <c r="Q223">
        <f>IF(ISNUMBER(F223),MIN(30,ROUND(30*LOG10(F223+1)/4,1)),0)</f>
        <v/>
      </c>
      <c r="R223">
        <f>IF(ISNUMBER(G223),ROUND(25*(100-G223)/100,1),12.5)</f>
        <v/>
      </c>
      <c r="S223" t="n">
        <v>20</v>
      </c>
      <c r="T223">
        <f>ROUND(P223+Q223+R223+S223,0)</f>
        <v/>
      </c>
      <c r="U223" s="5" t="inlineStr"/>
      <c r="V223" s="5" t="inlineStr"/>
    </row>
    <row r="224">
      <c r="A224" t="inlineStr">
        <is>
          <t>K0222</t>
        </is>
      </c>
      <c r="B224" t="inlineStr">
        <is>
          <t>agence création site web casablanca</t>
        </is>
      </c>
      <c r="C224" t="inlineStr">
        <is>
          <t>Morocco</t>
        </is>
      </c>
      <c r="D224" t="inlineStr">
        <is>
          <t>ma</t>
        </is>
      </c>
      <c r="E224" t="inlineStr">
        <is>
          <t>fr</t>
        </is>
      </c>
      <c r="F224" t="n">
        <v>30</v>
      </c>
      <c r="G224" t="inlineStr">
        <is>
          <t>NOT AVAILABLE</t>
        </is>
      </c>
      <c r="H224" t="n">
        <v>0.63</v>
      </c>
      <c r="I224" t="n">
        <v>0.07000000000000001</v>
      </c>
      <c r="J224" t="inlineStr">
        <is>
          <t>NOT AVAILABLE</t>
        </is>
      </c>
      <c r="K224" t="inlineStr">
        <is>
          <t>NOT AVAILABLE (report not requested)</t>
        </is>
      </c>
      <c r="L224" t="inlineStr">
        <is>
          <t>rising (calc.)</t>
        </is>
      </c>
      <c r="M224" t="inlineStr">
        <is>
          <t>MEASURED</t>
        </is>
      </c>
      <c r="N224" s="5" t="inlineStr">
        <is>
          <t>Semrush phrase_these (live, this session)</t>
        </is>
      </c>
      <c r="O224" t="inlineStr">
        <is>
          <t>2026-10-30</t>
        </is>
      </c>
      <c r="P224">
        <f>IF(IF(J224="NOT AVAILABLE","",J224)="",12,IF(OR(ISNUMBER(SEARCH("Transactional",IF(J224="NOT AVAILABLE","",J224))),ISNUMBER(SEARCH("Commercial",IF(J224="NOT AVAILABLE","",J224)))),25,IF(ISNUMBER(SEARCH("Informational",IF(J224="NOT AVAILABLE","",J224))),10,IF(ISNUMBER(SEARCH("Navigational",IF(J224="NOT AVAILABLE","",J224))),0,12))))</f>
        <v/>
      </c>
      <c r="Q224">
        <f>IF(ISNUMBER(F224),MIN(30,ROUND(30*LOG10(F224+1)/4,1)),0)</f>
        <v/>
      </c>
      <c r="R224">
        <f>IF(ISNUMBER(G224),ROUND(25*(100-G224)/100,1),12.5)</f>
        <v/>
      </c>
      <c r="S224" t="n">
        <v>20</v>
      </c>
      <c r="T224">
        <f>ROUND(P224+Q224+R224+S224,0)</f>
        <v/>
      </c>
      <c r="U224" s="5" t="inlineStr"/>
      <c r="V224" s="5" t="inlineStr">
        <is>
          <t>SECONDARY /web-development-company/casablanca</t>
        </is>
      </c>
    </row>
    <row r="225">
      <c r="A225" t="inlineStr">
        <is>
          <t>K0223</t>
        </is>
      </c>
      <c r="B225" t="inlineStr">
        <is>
          <t>agence de développement web maroc</t>
        </is>
      </c>
      <c r="C225" t="inlineStr">
        <is>
          <t>Morocco</t>
        </is>
      </c>
      <c r="D225" t="inlineStr">
        <is>
          <t>ma</t>
        </is>
      </c>
      <c r="E225" t="inlineStr">
        <is>
          <t>fr</t>
        </is>
      </c>
      <c r="F225" t="n">
        <v>30</v>
      </c>
      <c r="G225" t="inlineStr">
        <is>
          <t>NOT AVAILABLE</t>
        </is>
      </c>
      <c r="H225" t="n">
        <v>0.15</v>
      </c>
      <c r="I225" t="n">
        <v>0.79</v>
      </c>
      <c r="J225" t="inlineStr">
        <is>
          <t>NOT AVAILABLE</t>
        </is>
      </c>
      <c r="K225" t="inlineStr">
        <is>
          <t>NOT AVAILABLE (report not requested)</t>
        </is>
      </c>
      <c r="L225" t="inlineStr">
        <is>
          <t>rising (calc.)</t>
        </is>
      </c>
      <c r="M225" t="inlineStr">
        <is>
          <t>MEASURED</t>
        </is>
      </c>
      <c r="N225" s="5" t="inlineStr">
        <is>
          <t>Semrush phrase_these (live, this session)</t>
        </is>
      </c>
      <c r="O225" t="inlineStr">
        <is>
          <t>2026-10-30</t>
        </is>
      </c>
      <c r="P225">
        <f>IF(IF(J225="NOT AVAILABLE","",J225)="",12,IF(OR(ISNUMBER(SEARCH("Transactional",IF(J225="NOT AVAILABLE","",J225))),ISNUMBER(SEARCH("Commercial",IF(J225="NOT AVAILABLE","",J225)))),25,IF(ISNUMBER(SEARCH("Informational",IF(J225="NOT AVAILABLE","",J225))),10,IF(ISNUMBER(SEARCH("Navigational",IF(J225="NOT AVAILABLE","",J225))),0,12))))</f>
        <v/>
      </c>
      <c r="Q225">
        <f>IF(ISNUMBER(F225),MIN(30,ROUND(30*LOG10(F225+1)/4,1)),0)</f>
        <v/>
      </c>
      <c r="R225">
        <f>IF(ISNUMBER(G225),ROUND(25*(100-G225)/100,1),12.5)</f>
        <v/>
      </c>
      <c r="S225" t="n">
        <v>20</v>
      </c>
      <c r="T225">
        <f>ROUND(P225+Q225+R225+S225,0)</f>
        <v/>
      </c>
      <c r="U225" s="5" t="inlineStr"/>
      <c r="V225" s="5" t="inlineStr">
        <is>
          <t>SUPPORTING /</t>
        </is>
      </c>
    </row>
    <row r="226">
      <c r="A226" t="inlineStr">
        <is>
          <t>K0224</t>
        </is>
      </c>
      <c r="B226" t="inlineStr">
        <is>
          <t>agence digitale tanger</t>
        </is>
      </c>
      <c r="C226" t="inlineStr">
        <is>
          <t>Morocco</t>
        </is>
      </c>
      <c r="D226" t="inlineStr">
        <is>
          <t>ma</t>
        </is>
      </c>
      <c r="E226" t="inlineStr">
        <is>
          <t>fr</t>
        </is>
      </c>
      <c r="F226" t="n">
        <v>30</v>
      </c>
      <c r="G226" t="inlineStr">
        <is>
          <t>NOT AVAILABLE</t>
        </is>
      </c>
      <c r="H226" t="n">
        <v>0.92</v>
      </c>
      <c r="I226" t="n">
        <v>0.25</v>
      </c>
      <c r="J226" t="inlineStr">
        <is>
          <t>NOT AVAILABLE</t>
        </is>
      </c>
      <c r="K226" t="inlineStr">
        <is>
          <t>NOT AVAILABLE (report not requested)</t>
        </is>
      </c>
      <c r="L226" t="inlineStr">
        <is>
          <t>declining (calc.)</t>
        </is>
      </c>
      <c r="M226" t="inlineStr">
        <is>
          <t>MEASURED</t>
        </is>
      </c>
      <c r="N226" s="5" t="inlineStr">
        <is>
          <t>Semrush phrase_these (live, this session)</t>
        </is>
      </c>
      <c r="O226" t="inlineStr">
        <is>
          <t>2026-10-30</t>
        </is>
      </c>
      <c r="P226">
        <f>IF(IF(J226="NOT AVAILABLE","",J226)="",12,IF(OR(ISNUMBER(SEARCH("Transactional",IF(J226="NOT AVAILABLE","",J226))),ISNUMBER(SEARCH("Commercial",IF(J226="NOT AVAILABLE","",J226)))),25,IF(ISNUMBER(SEARCH("Informational",IF(J226="NOT AVAILABLE","",J226))),10,IF(ISNUMBER(SEARCH("Navigational",IF(J226="NOT AVAILABLE","",J226))),0,12))))</f>
        <v/>
      </c>
      <c r="Q226">
        <f>IF(ISNUMBER(F226),MIN(30,ROUND(30*LOG10(F226+1)/4,1)),0)</f>
        <v/>
      </c>
      <c r="R226">
        <f>IF(ISNUMBER(G226),ROUND(25*(100-G226)/100,1),12.5)</f>
        <v/>
      </c>
      <c r="S226" t="n">
        <v>20</v>
      </c>
      <c r="T226">
        <f>ROUND(P226+Q226+R226+S226,0)</f>
        <v/>
      </c>
      <c r="U226" s="5" t="inlineStr"/>
      <c r="V226" s="5" t="inlineStr">
        <is>
          <t>SUPPORTING /web-development-company/tangier</t>
        </is>
      </c>
    </row>
    <row r="227">
      <c r="A227" t="inlineStr">
        <is>
          <t>K0225</t>
        </is>
      </c>
      <c r="B227" t="inlineStr">
        <is>
          <t>agence développement web</t>
        </is>
      </c>
      <c r="C227" t="inlineStr">
        <is>
          <t>Morocco</t>
        </is>
      </c>
      <c r="D227" t="inlineStr">
        <is>
          <t>ma</t>
        </is>
      </c>
      <c r="E227" t="inlineStr">
        <is>
          <t>fr</t>
        </is>
      </c>
      <c r="F227" t="n">
        <v>30</v>
      </c>
      <c r="G227" t="inlineStr">
        <is>
          <t>NOT AVAILABLE</t>
        </is>
      </c>
      <c r="H227" t="n">
        <v>0</v>
      </c>
      <c r="I227" t="n">
        <v>0.14</v>
      </c>
      <c r="J227" t="inlineStr">
        <is>
          <t>NOT AVAILABLE</t>
        </is>
      </c>
      <c r="K227" t="inlineStr">
        <is>
          <t>NOT AVAILABLE (report not requested)</t>
        </is>
      </c>
      <c r="L227" t="inlineStr">
        <is>
          <t>rising (calc.)</t>
        </is>
      </c>
      <c r="M227" t="inlineStr">
        <is>
          <t>MEASURED</t>
        </is>
      </c>
      <c r="N227" s="5" t="inlineStr">
        <is>
          <t>Semrush phrase_these (live, this session)</t>
        </is>
      </c>
      <c r="O227" t="inlineStr">
        <is>
          <t>2026-10-30</t>
        </is>
      </c>
      <c r="P227">
        <f>IF(IF(J227="NOT AVAILABLE","",J227)="",12,IF(OR(ISNUMBER(SEARCH("Transactional",IF(J227="NOT AVAILABLE","",J227))),ISNUMBER(SEARCH("Commercial",IF(J227="NOT AVAILABLE","",J227)))),25,IF(ISNUMBER(SEARCH("Informational",IF(J227="NOT AVAILABLE","",J227))),10,IF(ISNUMBER(SEARCH("Navigational",IF(J227="NOT AVAILABLE","",J227))),0,12))))</f>
        <v/>
      </c>
      <c r="Q227">
        <f>IF(ISNUMBER(F227),MIN(30,ROUND(30*LOG10(F227+1)/4,1)),0)</f>
        <v/>
      </c>
      <c r="R227">
        <f>IF(ISNUMBER(G227),ROUND(25*(100-G227)/100,1),12.5)</f>
        <v/>
      </c>
      <c r="S227" t="n">
        <v>20</v>
      </c>
      <c r="T227">
        <f>ROUND(P227+Q227+R227+S227,0)</f>
        <v/>
      </c>
      <c r="U227" s="5" t="inlineStr"/>
      <c r="V227" s="5" t="inlineStr"/>
    </row>
    <row r="228">
      <c r="A228" t="inlineStr">
        <is>
          <t>K0226</t>
        </is>
      </c>
      <c r="B228" t="inlineStr">
        <is>
          <t>agence web au maroc</t>
        </is>
      </c>
      <c r="C228" t="inlineStr">
        <is>
          <t>Morocco</t>
        </is>
      </c>
      <c r="D228" t="inlineStr">
        <is>
          <t>ma</t>
        </is>
      </c>
      <c r="E228" t="inlineStr">
        <is>
          <t>fr</t>
        </is>
      </c>
      <c r="F228" t="n">
        <v>30</v>
      </c>
      <c r="G228" t="inlineStr">
        <is>
          <t>NOT AVAILABLE</t>
        </is>
      </c>
      <c r="H228" t="n">
        <v>0.55</v>
      </c>
      <c r="I228" t="n">
        <v>0.15</v>
      </c>
      <c r="J228" t="inlineStr">
        <is>
          <t>NOT AVAILABLE</t>
        </is>
      </c>
      <c r="K228" t="inlineStr">
        <is>
          <t>NOT AVAILABLE (report not requested)</t>
        </is>
      </c>
      <c r="L228" t="inlineStr">
        <is>
          <t>declining (calc.)</t>
        </is>
      </c>
      <c r="M228" t="inlineStr">
        <is>
          <t>MEASURED</t>
        </is>
      </c>
      <c r="N228" s="5" t="inlineStr">
        <is>
          <t>Semrush phrase_these (live, this session)</t>
        </is>
      </c>
      <c r="O228" t="inlineStr">
        <is>
          <t>2026-10-30</t>
        </is>
      </c>
      <c r="P228">
        <f>IF(IF(J228="NOT AVAILABLE","",J228)="",12,IF(OR(ISNUMBER(SEARCH("Transactional",IF(J228="NOT AVAILABLE","",J228))),ISNUMBER(SEARCH("Commercial",IF(J228="NOT AVAILABLE","",J228)))),25,IF(ISNUMBER(SEARCH("Informational",IF(J228="NOT AVAILABLE","",J228))),10,IF(ISNUMBER(SEARCH("Navigational",IF(J228="NOT AVAILABLE","",J228))),0,12))))</f>
        <v/>
      </c>
      <c r="Q228">
        <f>IF(ISNUMBER(F228),MIN(30,ROUND(30*LOG10(F228+1)/4,1)),0)</f>
        <v/>
      </c>
      <c r="R228">
        <f>IF(ISNUMBER(G228),ROUND(25*(100-G228)/100,1),12.5)</f>
        <v/>
      </c>
      <c r="S228" t="n">
        <v>20</v>
      </c>
      <c r="T228">
        <f>ROUND(P228+Q228+R228+S228,0)</f>
        <v/>
      </c>
      <c r="U228" s="5" t="inlineStr"/>
      <c r="V228" s="5" t="inlineStr">
        <is>
          <t>PRIMARY /locations</t>
        </is>
      </c>
    </row>
    <row r="229">
      <c r="A229" t="inlineStr">
        <is>
          <t>K0227</t>
        </is>
      </c>
      <c r="B229" t="inlineStr">
        <is>
          <t>agence web offshore</t>
        </is>
      </c>
      <c r="C229" t="inlineStr">
        <is>
          <t>Morocco</t>
        </is>
      </c>
      <c r="D229" t="inlineStr">
        <is>
          <t>ma</t>
        </is>
      </c>
      <c r="E229" t="inlineStr">
        <is>
          <t>fr</t>
        </is>
      </c>
      <c r="F229" t="n">
        <v>30</v>
      </c>
      <c r="G229" t="inlineStr">
        <is>
          <t>NOT AVAILABLE</t>
        </is>
      </c>
      <c r="H229" t="n">
        <v>0</v>
      </c>
      <c r="I229" t="n">
        <v>0.33</v>
      </c>
      <c r="J229" t="inlineStr">
        <is>
          <t>NOT AVAILABLE</t>
        </is>
      </c>
      <c r="K229" t="inlineStr">
        <is>
          <t>NOT AVAILABLE (report not requested)</t>
        </is>
      </c>
      <c r="L229" t="inlineStr">
        <is>
          <t>stable (calc.)</t>
        </is>
      </c>
      <c r="M229" t="inlineStr">
        <is>
          <t>MEASURED</t>
        </is>
      </c>
      <c r="N229" s="5" t="inlineStr">
        <is>
          <t>Semrush phrase_these (live, this session)</t>
        </is>
      </c>
      <c r="O229" t="inlineStr">
        <is>
          <t>2026-10-30</t>
        </is>
      </c>
      <c r="P229">
        <f>IF(IF(J229="NOT AVAILABLE","",J229)="",12,IF(OR(ISNUMBER(SEARCH("Transactional",IF(J229="NOT AVAILABLE","",J229))),ISNUMBER(SEARCH("Commercial",IF(J229="NOT AVAILABLE","",J229)))),25,IF(ISNUMBER(SEARCH("Informational",IF(J229="NOT AVAILABLE","",J229))),10,IF(ISNUMBER(SEARCH("Navigational",IF(J229="NOT AVAILABLE","",J229))),0,12))))</f>
        <v/>
      </c>
      <c r="Q229">
        <f>IF(ISNUMBER(F229),MIN(30,ROUND(30*LOG10(F229+1)/4,1)),0)</f>
        <v/>
      </c>
      <c r="R229">
        <f>IF(ISNUMBER(G229),ROUND(25*(100-G229)/100,1),12.5)</f>
        <v/>
      </c>
      <c r="S229" t="n">
        <v>20</v>
      </c>
      <c r="T229">
        <f>ROUND(P229+Q229+R229+S229,0)</f>
        <v/>
      </c>
      <c r="U229" s="5" t="inlineStr"/>
      <c r="V229" s="5" t="inlineStr">
        <is>
          <t>SUPPORTING /locations</t>
        </is>
      </c>
    </row>
    <row r="230">
      <c r="A230" t="inlineStr">
        <is>
          <t>K0228</t>
        </is>
      </c>
      <c r="B230" t="inlineStr">
        <is>
          <t>audit site web gratuit</t>
        </is>
      </c>
      <c r="C230" t="inlineStr">
        <is>
          <t>Morocco</t>
        </is>
      </c>
      <c r="D230" t="inlineStr">
        <is>
          <t>ma</t>
        </is>
      </c>
      <c r="E230" t="inlineStr">
        <is>
          <t>fr</t>
        </is>
      </c>
      <c r="F230" t="n">
        <v>30</v>
      </c>
      <c r="G230" t="inlineStr">
        <is>
          <t>NOT AVAILABLE</t>
        </is>
      </c>
      <c r="H230" t="n">
        <v>0</v>
      </c>
      <c r="I230" t="n">
        <v>0.71</v>
      </c>
      <c r="J230" t="inlineStr">
        <is>
          <t>NOT AVAILABLE</t>
        </is>
      </c>
      <c r="K230" t="inlineStr">
        <is>
          <t>NOT AVAILABLE (report not requested)</t>
        </is>
      </c>
      <c r="L230" t="inlineStr">
        <is>
          <t>declining (calc.)</t>
        </is>
      </c>
      <c r="M230" t="inlineStr">
        <is>
          <t>MEASURED</t>
        </is>
      </c>
      <c r="N230" s="5" t="inlineStr">
        <is>
          <t>Semrush phrase_these (live, this session)</t>
        </is>
      </c>
      <c r="O230" t="inlineStr">
        <is>
          <t>2026-10-30</t>
        </is>
      </c>
      <c r="P230">
        <f>IF(IF(J230="NOT AVAILABLE","",J230)="",12,IF(OR(ISNUMBER(SEARCH("Transactional",IF(J230="NOT AVAILABLE","",J230))),ISNUMBER(SEARCH("Commercial",IF(J230="NOT AVAILABLE","",J230)))),25,IF(ISNUMBER(SEARCH("Informational",IF(J230="NOT AVAILABLE","",J230))),10,IF(ISNUMBER(SEARCH("Navigational",IF(J230="NOT AVAILABLE","",J230))),0,12))))</f>
        <v/>
      </c>
      <c r="Q230">
        <f>IF(ISNUMBER(F230),MIN(30,ROUND(30*LOG10(F230+1)/4,1)),0)</f>
        <v/>
      </c>
      <c r="R230">
        <f>IF(ISNUMBER(G230),ROUND(25*(100-G230)/100,1),12.5)</f>
        <v/>
      </c>
      <c r="S230" t="n">
        <v>20</v>
      </c>
      <c r="T230">
        <f>ROUND(P230+Q230+R230+S230,0)</f>
        <v/>
      </c>
      <c r="U230" s="5" t="inlineStr"/>
      <c r="V230" s="5" t="inlineStr">
        <is>
          <t>SUPPORTING /tools/website-analyzer</t>
        </is>
      </c>
    </row>
    <row r="231">
      <c r="A231" t="inlineStr">
        <is>
          <t>K0229</t>
        </is>
      </c>
      <c r="B231" t="inlineStr">
        <is>
          <t>comment creer mon site web</t>
        </is>
      </c>
      <c r="C231" t="inlineStr">
        <is>
          <t>Morocco</t>
        </is>
      </c>
      <c r="D231" t="inlineStr">
        <is>
          <t>ma</t>
        </is>
      </c>
      <c r="E231" t="inlineStr">
        <is>
          <t>fr</t>
        </is>
      </c>
      <c r="F231" t="n">
        <v>30</v>
      </c>
      <c r="G231" t="inlineStr">
        <is>
          <t>NOT AVAILABLE</t>
        </is>
      </c>
      <c r="H231" t="n">
        <v>0</v>
      </c>
      <c r="I231" t="n">
        <v>0.79</v>
      </c>
      <c r="J231" t="inlineStr">
        <is>
          <t>NOT AVAILABLE</t>
        </is>
      </c>
      <c r="K231" t="inlineStr">
        <is>
          <t>NOT AVAILABLE (report not requested)</t>
        </is>
      </c>
      <c r="L231" t="inlineStr">
        <is>
          <t>NOT AVAILABLE</t>
        </is>
      </c>
      <c r="M231" t="inlineStr">
        <is>
          <t>MEASURED</t>
        </is>
      </c>
      <c r="N231" s="5" t="inlineStr">
        <is>
          <t>Semrush phrase_questions seed "site web"</t>
        </is>
      </c>
      <c r="O231" t="inlineStr">
        <is>
          <t>2026-10-30</t>
        </is>
      </c>
      <c r="P231">
        <f>IF(IF(J231="NOT AVAILABLE","",J231)="",12,IF(OR(ISNUMBER(SEARCH("Transactional",IF(J231="NOT AVAILABLE","",J231))),ISNUMBER(SEARCH("Commercial",IF(J231="NOT AVAILABLE","",J231)))),25,IF(ISNUMBER(SEARCH("Informational",IF(J231="NOT AVAILABLE","",J231))),10,IF(ISNUMBER(SEARCH("Navigational",IF(J231="NOT AVAILABLE","",J231))),0,12))))</f>
        <v/>
      </c>
      <c r="Q231">
        <f>IF(ISNUMBER(F231),MIN(30,ROUND(30*LOG10(F231+1)/4,1)),0)</f>
        <v/>
      </c>
      <c r="R231">
        <f>IF(ISNUMBER(G231),ROUND(25*(100-G231)/100,1),12.5)</f>
        <v/>
      </c>
      <c r="S231" t="n">
        <v>20</v>
      </c>
      <c r="T231">
        <f>ROUND(P231+Q231+R231+S231,0)</f>
        <v/>
      </c>
      <c r="U231" s="5" t="inlineStr"/>
      <c r="V231" s="5" t="inlineStr"/>
    </row>
    <row r="232">
      <c r="A232" t="inlineStr">
        <is>
          <t>K0230</t>
        </is>
      </c>
      <c r="B232" t="inlineStr">
        <is>
          <t>comment créer site web gratuit</t>
        </is>
      </c>
      <c r="C232" t="inlineStr">
        <is>
          <t>Morocco</t>
        </is>
      </c>
      <c r="D232" t="inlineStr">
        <is>
          <t>ma</t>
        </is>
      </c>
      <c r="E232" t="inlineStr">
        <is>
          <t>fr</t>
        </is>
      </c>
      <c r="F232" t="n">
        <v>30</v>
      </c>
      <c r="G232" t="inlineStr">
        <is>
          <t>NOT AVAILABLE</t>
        </is>
      </c>
      <c r="H232" t="n">
        <v>0.25</v>
      </c>
      <c r="I232" t="n">
        <v>0.71</v>
      </c>
      <c r="J232" t="inlineStr">
        <is>
          <t>NOT AVAILABLE</t>
        </is>
      </c>
      <c r="K232" t="inlineStr">
        <is>
          <t>NOT AVAILABLE (report not requested)</t>
        </is>
      </c>
      <c r="L232" t="inlineStr">
        <is>
          <t>NOT AVAILABLE</t>
        </is>
      </c>
      <c r="M232" t="inlineStr">
        <is>
          <t>MEASURED</t>
        </is>
      </c>
      <c r="N232" s="5" t="inlineStr">
        <is>
          <t>Semrush phrase_questions seed "site web"</t>
        </is>
      </c>
      <c r="O232" t="inlineStr">
        <is>
          <t>2026-10-30</t>
        </is>
      </c>
      <c r="P232">
        <f>IF(IF(J232="NOT AVAILABLE","",J232)="",12,IF(OR(ISNUMBER(SEARCH("Transactional",IF(J232="NOT AVAILABLE","",J232))),ISNUMBER(SEARCH("Commercial",IF(J232="NOT AVAILABLE","",J232)))),25,IF(ISNUMBER(SEARCH("Informational",IF(J232="NOT AVAILABLE","",J232))),10,IF(ISNUMBER(SEARCH("Navigational",IF(J232="NOT AVAILABLE","",J232))),0,12))))</f>
        <v/>
      </c>
      <c r="Q232">
        <f>IF(ISNUMBER(F232),MIN(30,ROUND(30*LOG10(F232+1)/4,1)),0)</f>
        <v/>
      </c>
      <c r="R232">
        <f>IF(ISNUMBER(G232),ROUND(25*(100-G232)/100,1),12.5)</f>
        <v/>
      </c>
      <c r="S232" t="n">
        <v>20</v>
      </c>
      <c r="T232">
        <f>ROUND(P232+Q232+R232+S232,0)</f>
        <v/>
      </c>
      <c r="U232" s="5" t="inlineStr"/>
      <c r="V232" s="5" t="inlineStr"/>
    </row>
    <row r="233">
      <c r="A233" t="inlineStr">
        <is>
          <t>K0231</t>
        </is>
      </c>
      <c r="B233" t="inlineStr">
        <is>
          <t>comment créer un site web avec wordpress</t>
        </is>
      </c>
      <c r="C233" t="inlineStr">
        <is>
          <t>Morocco</t>
        </is>
      </c>
      <c r="D233" t="inlineStr">
        <is>
          <t>ma</t>
        </is>
      </c>
      <c r="E233" t="inlineStr">
        <is>
          <t>fr</t>
        </is>
      </c>
      <c r="F233" t="n">
        <v>30</v>
      </c>
      <c r="G233" t="inlineStr">
        <is>
          <t>NOT AVAILABLE</t>
        </is>
      </c>
      <c r="H233" t="n">
        <v>0</v>
      </c>
      <c r="I233" t="n">
        <v>1</v>
      </c>
      <c r="J233" t="inlineStr">
        <is>
          <t>NOT AVAILABLE</t>
        </is>
      </c>
      <c r="K233" t="inlineStr">
        <is>
          <t>NOT AVAILABLE (report not requested)</t>
        </is>
      </c>
      <c r="L233" t="inlineStr">
        <is>
          <t>NOT AVAILABLE</t>
        </is>
      </c>
      <c r="M233" t="inlineStr">
        <is>
          <t>MEASURED</t>
        </is>
      </c>
      <c r="N233" s="5" t="inlineStr">
        <is>
          <t>Semrush phrase_questions seed "site web"</t>
        </is>
      </c>
      <c r="O233" t="inlineStr">
        <is>
          <t>2026-10-30</t>
        </is>
      </c>
      <c r="P233">
        <f>IF(IF(J233="NOT AVAILABLE","",J233)="",12,IF(OR(ISNUMBER(SEARCH("Transactional",IF(J233="NOT AVAILABLE","",J233))),ISNUMBER(SEARCH("Commercial",IF(J233="NOT AVAILABLE","",J233)))),25,IF(ISNUMBER(SEARCH("Informational",IF(J233="NOT AVAILABLE","",J233))),10,IF(ISNUMBER(SEARCH("Navigational",IF(J233="NOT AVAILABLE","",J233))),0,12))))</f>
        <v/>
      </c>
      <c r="Q233">
        <f>IF(ISNUMBER(F233),MIN(30,ROUND(30*LOG10(F233+1)/4,1)),0)</f>
        <v/>
      </c>
      <c r="R233">
        <f>IF(ISNUMBER(G233),ROUND(25*(100-G233)/100,1),12.5)</f>
        <v/>
      </c>
      <c r="S233" t="n">
        <v>20</v>
      </c>
      <c r="T233">
        <f>ROUND(P233+Q233+R233+S233,0)</f>
        <v/>
      </c>
      <c r="U233" s="5" t="inlineStr"/>
      <c r="V233" s="5" t="inlineStr"/>
    </row>
    <row r="234">
      <c r="A234" t="inlineStr">
        <is>
          <t>K0232</t>
        </is>
      </c>
      <c r="B234" t="inlineStr">
        <is>
          <t>comment créer un site web facilement</t>
        </is>
      </c>
      <c r="C234" t="inlineStr">
        <is>
          <t>Morocco</t>
        </is>
      </c>
      <c r="D234" t="inlineStr">
        <is>
          <t>ma</t>
        </is>
      </c>
      <c r="E234" t="inlineStr">
        <is>
          <t>fr</t>
        </is>
      </c>
      <c r="F234" t="n">
        <v>30</v>
      </c>
      <c r="G234" t="inlineStr">
        <is>
          <t>NOT AVAILABLE</t>
        </is>
      </c>
      <c r="H234" t="n">
        <v>0</v>
      </c>
      <c r="I234" t="n">
        <v>0.86</v>
      </c>
      <c r="J234" t="inlineStr">
        <is>
          <t>NOT AVAILABLE</t>
        </is>
      </c>
      <c r="K234" t="inlineStr">
        <is>
          <t>NOT AVAILABLE (report not requested)</t>
        </is>
      </c>
      <c r="L234" t="inlineStr">
        <is>
          <t>NOT AVAILABLE</t>
        </is>
      </c>
      <c r="M234" t="inlineStr">
        <is>
          <t>MEASURED</t>
        </is>
      </c>
      <c r="N234" s="5" t="inlineStr">
        <is>
          <t>Semrush phrase_questions seed "site web"</t>
        </is>
      </c>
      <c r="O234" t="inlineStr">
        <is>
          <t>2026-10-30</t>
        </is>
      </c>
      <c r="P234">
        <f>IF(IF(J234="NOT AVAILABLE","",J234)="",12,IF(OR(ISNUMBER(SEARCH("Transactional",IF(J234="NOT AVAILABLE","",J234))),ISNUMBER(SEARCH("Commercial",IF(J234="NOT AVAILABLE","",J234)))),25,IF(ISNUMBER(SEARCH("Informational",IF(J234="NOT AVAILABLE","",J234))),10,IF(ISNUMBER(SEARCH("Navigational",IF(J234="NOT AVAILABLE","",J234))),0,12))))</f>
        <v/>
      </c>
      <c r="Q234">
        <f>IF(ISNUMBER(F234),MIN(30,ROUND(30*LOG10(F234+1)/4,1)),0)</f>
        <v/>
      </c>
      <c r="R234">
        <f>IF(ISNUMBER(G234),ROUND(25*(100-G234)/100,1),12.5)</f>
        <v/>
      </c>
      <c r="S234" t="n">
        <v>20</v>
      </c>
      <c r="T234">
        <f>ROUND(P234+Q234+R234+S234,0)</f>
        <v/>
      </c>
      <c r="U234" s="5" t="inlineStr"/>
      <c r="V234" s="5" t="inlineStr"/>
    </row>
    <row r="235">
      <c r="A235" t="inlineStr">
        <is>
          <t>K0233</t>
        </is>
      </c>
      <c r="B235" t="inlineStr">
        <is>
          <t>comment créer un site web gratuit</t>
        </is>
      </c>
      <c r="C235" t="inlineStr">
        <is>
          <t>Morocco</t>
        </is>
      </c>
      <c r="D235" t="inlineStr">
        <is>
          <t>ma</t>
        </is>
      </c>
      <c r="E235" t="inlineStr">
        <is>
          <t>fr</t>
        </is>
      </c>
      <c r="F235" t="n">
        <v>30</v>
      </c>
      <c r="G235" t="inlineStr">
        <is>
          <t>NOT AVAILABLE</t>
        </is>
      </c>
      <c r="H235" t="n">
        <v>0.25</v>
      </c>
      <c r="I235" t="n">
        <v>0.99</v>
      </c>
      <c r="J235" t="inlineStr">
        <is>
          <t>NOT AVAILABLE</t>
        </is>
      </c>
      <c r="K235" t="inlineStr">
        <is>
          <t>NOT AVAILABLE (report not requested)</t>
        </is>
      </c>
      <c r="L235" t="inlineStr">
        <is>
          <t>NOT AVAILABLE</t>
        </is>
      </c>
      <c r="M235" t="inlineStr">
        <is>
          <t>MEASURED</t>
        </is>
      </c>
      <c r="N235" s="5" t="inlineStr">
        <is>
          <t>Semrush phrase_questions seed "site web"</t>
        </is>
      </c>
      <c r="O235" t="inlineStr">
        <is>
          <t>2026-10-30</t>
        </is>
      </c>
      <c r="P235">
        <f>IF(IF(J235="NOT AVAILABLE","",J235)="",12,IF(OR(ISNUMBER(SEARCH("Transactional",IF(J235="NOT AVAILABLE","",J235))),ISNUMBER(SEARCH("Commercial",IF(J235="NOT AVAILABLE","",J235)))),25,IF(ISNUMBER(SEARCH("Informational",IF(J235="NOT AVAILABLE","",J235))),10,IF(ISNUMBER(SEARCH("Navigational",IF(J235="NOT AVAILABLE","",J235))),0,12))))</f>
        <v/>
      </c>
      <c r="Q235">
        <f>IF(ISNUMBER(F235),MIN(30,ROUND(30*LOG10(F235+1)/4,1)),0)</f>
        <v/>
      </c>
      <c r="R235">
        <f>IF(ISNUMBER(G235),ROUND(25*(100-G235)/100,1),12.5)</f>
        <v/>
      </c>
      <c r="S235" t="n">
        <v>20</v>
      </c>
      <c r="T235">
        <f>ROUND(P235+Q235+R235+S235,0)</f>
        <v/>
      </c>
      <c r="U235" s="5" t="inlineStr"/>
      <c r="V235" s="5" t="inlineStr"/>
    </row>
    <row r="236">
      <c r="A236" t="inlineStr">
        <is>
          <t>K0234</t>
        </is>
      </c>
      <c r="B236" t="inlineStr">
        <is>
          <t>comment créer un site web html</t>
        </is>
      </c>
      <c r="C236" t="inlineStr">
        <is>
          <t>Morocco</t>
        </is>
      </c>
      <c r="D236" t="inlineStr">
        <is>
          <t>ma</t>
        </is>
      </c>
      <c r="E236" t="inlineStr">
        <is>
          <t>fr</t>
        </is>
      </c>
      <c r="F236" t="n">
        <v>30</v>
      </c>
      <c r="G236" t="inlineStr">
        <is>
          <t>NOT AVAILABLE</t>
        </is>
      </c>
      <c r="H236" t="n">
        <v>0</v>
      </c>
      <c r="I236" t="n">
        <v>0.21</v>
      </c>
      <c r="J236" t="inlineStr">
        <is>
          <t>NOT AVAILABLE</t>
        </is>
      </c>
      <c r="K236" t="inlineStr">
        <is>
          <t>NOT AVAILABLE (report not requested)</t>
        </is>
      </c>
      <c r="L236" t="inlineStr">
        <is>
          <t>NOT AVAILABLE</t>
        </is>
      </c>
      <c r="M236" t="inlineStr">
        <is>
          <t>MEASURED</t>
        </is>
      </c>
      <c r="N236" s="5" t="inlineStr">
        <is>
          <t>Semrush phrase_questions seed "site web"</t>
        </is>
      </c>
      <c r="O236" t="inlineStr">
        <is>
          <t>2026-10-30</t>
        </is>
      </c>
      <c r="P236">
        <f>IF(IF(J236="NOT AVAILABLE","",J236)="",12,IF(OR(ISNUMBER(SEARCH("Transactional",IF(J236="NOT AVAILABLE","",J236))),ISNUMBER(SEARCH("Commercial",IF(J236="NOT AVAILABLE","",J236)))),25,IF(ISNUMBER(SEARCH("Informational",IF(J236="NOT AVAILABLE","",J236))),10,IF(ISNUMBER(SEARCH("Navigational",IF(J236="NOT AVAILABLE","",J236))),0,12))))</f>
        <v/>
      </c>
      <c r="Q236">
        <f>IF(ISNUMBER(F236),MIN(30,ROUND(30*LOG10(F236+1)/4,1)),0)</f>
        <v/>
      </c>
      <c r="R236">
        <f>IF(ISNUMBER(G236),ROUND(25*(100-G236)/100,1),12.5)</f>
        <v/>
      </c>
      <c r="S236" t="n">
        <v>20</v>
      </c>
      <c r="T236">
        <f>ROUND(P236+Q236+R236+S236,0)</f>
        <v/>
      </c>
      <c r="U236" s="5" t="inlineStr"/>
      <c r="V236" s="5" t="inlineStr"/>
    </row>
    <row r="237">
      <c r="A237" t="inlineStr">
        <is>
          <t>K0235</t>
        </is>
      </c>
      <c r="B237" t="inlineStr">
        <is>
          <t>comment créer un site web professionnel</t>
        </is>
      </c>
      <c r="C237" t="inlineStr">
        <is>
          <t>Morocco</t>
        </is>
      </c>
      <c r="D237" t="inlineStr">
        <is>
          <t>ma</t>
        </is>
      </c>
      <c r="E237" t="inlineStr">
        <is>
          <t>fr</t>
        </is>
      </c>
      <c r="F237" t="n">
        <v>30</v>
      </c>
      <c r="G237" t="inlineStr">
        <is>
          <t>NOT AVAILABLE</t>
        </is>
      </c>
      <c r="H237" t="n">
        <v>0.26</v>
      </c>
      <c r="I237" t="n">
        <v>0.79</v>
      </c>
      <c r="J237" t="inlineStr">
        <is>
          <t>NOT AVAILABLE</t>
        </is>
      </c>
      <c r="K237" t="inlineStr">
        <is>
          <t>NOT AVAILABLE (report not requested)</t>
        </is>
      </c>
      <c r="L237" t="inlineStr">
        <is>
          <t>NOT AVAILABLE</t>
        </is>
      </c>
      <c r="M237" t="inlineStr">
        <is>
          <t>MEASURED</t>
        </is>
      </c>
      <c r="N237" s="5" t="inlineStr">
        <is>
          <t>Semrush phrase_questions seed "site web"</t>
        </is>
      </c>
      <c r="O237" t="inlineStr">
        <is>
          <t>2026-10-30</t>
        </is>
      </c>
      <c r="P237">
        <f>IF(IF(J237="NOT AVAILABLE","",J237)="",12,IF(OR(ISNUMBER(SEARCH("Transactional",IF(J237="NOT AVAILABLE","",J237))),ISNUMBER(SEARCH("Commercial",IF(J237="NOT AVAILABLE","",J237)))),25,IF(ISNUMBER(SEARCH("Informational",IF(J237="NOT AVAILABLE","",J237))),10,IF(ISNUMBER(SEARCH("Navigational",IF(J237="NOT AVAILABLE","",J237))),0,12))))</f>
        <v/>
      </c>
      <c r="Q237">
        <f>IF(ISNUMBER(F237),MIN(30,ROUND(30*LOG10(F237+1)/4,1)),0)</f>
        <v/>
      </c>
      <c r="R237">
        <f>IF(ISNUMBER(G237),ROUND(25*(100-G237)/100,1),12.5)</f>
        <v/>
      </c>
      <c r="S237" t="n">
        <v>20</v>
      </c>
      <c r="T237">
        <f>ROUND(P237+Q237+R237+S237,0)</f>
        <v/>
      </c>
      <c r="U237" s="5" t="inlineStr"/>
      <c r="V237" s="5" t="inlineStr"/>
    </row>
    <row r="238">
      <c r="A238" t="inlineStr">
        <is>
          <t>K0236</t>
        </is>
      </c>
      <c r="B238" t="inlineStr">
        <is>
          <t>comment développer un site web</t>
        </is>
      </c>
      <c r="C238" t="inlineStr">
        <is>
          <t>Morocco</t>
        </is>
      </c>
      <c r="D238" t="inlineStr">
        <is>
          <t>ma</t>
        </is>
      </c>
      <c r="E238" t="inlineStr">
        <is>
          <t>fr</t>
        </is>
      </c>
      <c r="F238" t="n">
        <v>30</v>
      </c>
      <c r="G238" t="inlineStr">
        <is>
          <t>NOT AVAILABLE</t>
        </is>
      </c>
      <c r="H238" t="n">
        <v>0.1</v>
      </c>
      <c r="I238" t="n">
        <v>0.43</v>
      </c>
      <c r="J238" t="inlineStr">
        <is>
          <t>NOT AVAILABLE</t>
        </is>
      </c>
      <c r="K238" t="inlineStr">
        <is>
          <t>NOT AVAILABLE (report not requested)</t>
        </is>
      </c>
      <c r="L238" t="inlineStr">
        <is>
          <t>NOT AVAILABLE</t>
        </is>
      </c>
      <c r="M238" t="inlineStr">
        <is>
          <t>MEASURED</t>
        </is>
      </c>
      <c r="N238" s="5" t="inlineStr">
        <is>
          <t>Semrush phrase_questions seed "site web"</t>
        </is>
      </c>
      <c r="O238" t="inlineStr">
        <is>
          <t>2026-10-30</t>
        </is>
      </c>
      <c r="P238">
        <f>IF(IF(J238="NOT AVAILABLE","",J238)="",12,IF(OR(ISNUMBER(SEARCH("Transactional",IF(J238="NOT AVAILABLE","",J238))),ISNUMBER(SEARCH("Commercial",IF(J238="NOT AVAILABLE","",J238)))),25,IF(ISNUMBER(SEARCH("Informational",IF(J238="NOT AVAILABLE","",J238))),10,IF(ISNUMBER(SEARCH("Navigational",IF(J238="NOT AVAILABLE","",J238))),0,12))))</f>
        <v/>
      </c>
      <c r="Q238">
        <f>IF(ISNUMBER(F238),MIN(30,ROUND(30*LOG10(F238+1)/4,1)),0)</f>
        <v/>
      </c>
      <c r="R238">
        <f>IF(ISNUMBER(G238),ROUND(25*(100-G238)/100,1),12.5)</f>
        <v/>
      </c>
      <c r="S238" t="n">
        <v>20</v>
      </c>
      <c r="T238">
        <f>ROUND(P238+Q238+R238+S238,0)</f>
        <v/>
      </c>
      <c r="U238" s="5" t="inlineStr"/>
      <c r="V238" s="5" t="inlineStr"/>
    </row>
    <row r="239">
      <c r="A239" t="inlineStr">
        <is>
          <t>K0237</t>
        </is>
      </c>
      <c r="B239" t="inlineStr">
        <is>
          <t>création de site web marrakech</t>
        </is>
      </c>
      <c r="C239" t="inlineStr">
        <is>
          <t>Morocco</t>
        </is>
      </c>
      <c r="D239" t="inlineStr">
        <is>
          <t>ma</t>
        </is>
      </c>
      <c r="E239" t="inlineStr">
        <is>
          <t>fr</t>
        </is>
      </c>
      <c r="F239" t="n">
        <v>30</v>
      </c>
      <c r="G239" t="inlineStr">
        <is>
          <t>NOT AVAILABLE</t>
        </is>
      </c>
      <c r="H239" t="n">
        <v>0.8100000000000001</v>
      </c>
      <c r="I239" t="n">
        <v>0.38</v>
      </c>
      <c r="J239" t="inlineStr">
        <is>
          <t>NOT AVAILABLE</t>
        </is>
      </c>
      <c r="K239" t="inlineStr">
        <is>
          <t>NOT AVAILABLE (report not requested)</t>
        </is>
      </c>
      <c r="L239" t="inlineStr">
        <is>
          <t>declining (calc.)</t>
        </is>
      </c>
      <c r="M239" t="inlineStr">
        <is>
          <t>MEASURED</t>
        </is>
      </c>
      <c r="N239" s="5" t="inlineStr">
        <is>
          <t>Semrush phrase_these (live, this session)</t>
        </is>
      </c>
      <c r="O239" t="inlineStr">
        <is>
          <t>2026-10-30</t>
        </is>
      </c>
      <c r="P239">
        <f>IF(IF(J239="NOT AVAILABLE","",J239)="",12,IF(OR(ISNUMBER(SEARCH("Transactional",IF(J239="NOT AVAILABLE","",J239))),ISNUMBER(SEARCH("Commercial",IF(J239="NOT AVAILABLE","",J239)))),25,IF(ISNUMBER(SEARCH("Informational",IF(J239="NOT AVAILABLE","",J239))),10,IF(ISNUMBER(SEARCH("Navigational",IF(J239="NOT AVAILABLE","",J239))),0,12))))</f>
        <v/>
      </c>
      <c r="Q239">
        <f>IF(ISNUMBER(F239),MIN(30,ROUND(30*LOG10(F239+1)/4,1)),0)</f>
        <v/>
      </c>
      <c r="R239">
        <f>IF(ISNUMBER(G239),ROUND(25*(100-G239)/100,1),12.5)</f>
        <v/>
      </c>
      <c r="S239" t="n">
        <v>20</v>
      </c>
      <c r="T239">
        <f>ROUND(P239+Q239+R239+S239,0)</f>
        <v/>
      </c>
      <c r="U239" s="5" t="inlineStr"/>
      <c r="V239" s="5" t="inlineStr">
        <is>
          <t>SUPPORTING /web-development-company/marrakech</t>
        </is>
      </c>
    </row>
    <row r="240">
      <c r="A240" t="inlineStr">
        <is>
          <t>K0238</t>
        </is>
      </c>
      <c r="B240" t="inlineStr">
        <is>
          <t>création des sites web pdf</t>
        </is>
      </c>
      <c r="C240" t="inlineStr">
        <is>
          <t>Morocco</t>
        </is>
      </c>
      <c r="D240" t="inlineStr">
        <is>
          <t>ma</t>
        </is>
      </c>
      <c r="E240" t="inlineStr">
        <is>
          <t>fr</t>
        </is>
      </c>
      <c r="F240" t="n">
        <v>30</v>
      </c>
      <c r="G240" t="inlineStr">
        <is>
          <t>NOT AVAILABLE</t>
        </is>
      </c>
      <c r="H240" t="n">
        <v>0</v>
      </c>
      <c r="I240" t="n">
        <v>0.14</v>
      </c>
      <c r="J240" t="inlineStr">
        <is>
          <t>NOT AVAILABLE</t>
        </is>
      </c>
      <c r="K240" t="inlineStr">
        <is>
          <t>NOT AVAILABLE (report not requested)</t>
        </is>
      </c>
      <c r="L240" t="inlineStr">
        <is>
          <t>rising (calc.)</t>
        </is>
      </c>
      <c r="M240" t="inlineStr">
        <is>
          <t>MEASURED</t>
        </is>
      </c>
      <c r="N240" s="5" t="inlineStr">
        <is>
          <t>Semrush phrase_fullsearch (historical broad-creation-site-web-ma.csv)</t>
        </is>
      </c>
      <c r="O240" t="inlineStr">
        <is>
          <t>2026-10-26</t>
        </is>
      </c>
      <c r="P240">
        <f>IF(IF(J240="NOT AVAILABLE","",J240)="",12,IF(OR(ISNUMBER(SEARCH("Transactional",IF(J240="NOT AVAILABLE","",J240))),ISNUMBER(SEARCH("Commercial",IF(J240="NOT AVAILABLE","",J240)))),25,IF(ISNUMBER(SEARCH("Informational",IF(J240="NOT AVAILABLE","",J240))),10,IF(ISNUMBER(SEARCH("Navigational",IF(J240="NOT AVAILABLE","",J240))),0,12))))</f>
        <v/>
      </c>
      <c r="Q240">
        <f>IF(ISNUMBER(F240),MIN(30,ROUND(30*LOG10(F240+1)/4,1)),0)</f>
        <v/>
      </c>
      <c r="R240">
        <f>IF(ISNUMBER(G240),ROUND(25*(100-G240)/100,1),12.5)</f>
        <v/>
      </c>
      <c r="S240" t="n">
        <v>20</v>
      </c>
      <c r="T240">
        <f>ROUND(P240+Q240+R240+S240,0)</f>
        <v/>
      </c>
      <c r="U240" s="5" t="inlineStr"/>
      <c r="V240" s="5" t="inlineStr"/>
    </row>
    <row r="241">
      <c r="A241" t="inlineStr">
        <is>
          <t>K0239</t>
        </is>
      </c>
      <c r="B241" t="inlineStr">
        <is>
          <t>création site internet maroc</t>
        </is>
      </c>
      <c r="C241" t="inlineStr">
        <is>
          <t>Morocco</t>
        </is>
      </c>
      <c r="D241" t="inlineStr">
        <is>
          <t>ma</t>
        </is>
      </c>
      <c r="E241" t="inlineStr">
        <is>
          <t>fr</t>
        </is>
      </c>
      <c r="F241" t="n">
        <v>30</v>
      </c>
      <c r="G241" t="inlineStr">
        <is>
          <t>NOT AVAILABLE</t>
        </is>
      </c>
      <c r="H241" t="n">
        <v>0</v>
      </c>
      <c r="I241" t="n">
        <v>0.05</v>
      </c>
      <c r="J241" t="inlineStr">
        <is>
          <t>NOT AVAILABLE</t>
        </is>
      </c>
      <c r="K241" t="inlineStr">
        <is>
          <t>NOT AVAILABLE (report not requested)</t>
        </is>
      </c>
      <c r="L241" t="inlineStr">
        <is>
          <t>declining (calc.)</t>
        </is>
      </c>
      <c r="M241" t="inlineStr">
        <is>
          <t>MEASURED</t>
        </is>
      </c>
      <c r="N241" s="5" t="inlineStr">
        <is>
          <t>Semrush phrase_these (live, this session)</t>
        </is>
      </c>
      <c r="O241" t="inlineStr">
        <is>
          <t>2026-10-30</t>
        </is>
      </c>
      <c r="P241">
        <f>IF(IF(J241="NOT AVAILABLE","",J241)="",12,IF(OR(ISNUMBER(SEARCH("Transactional",IF(J241="NOT AVAILABLE","",J241))),ISNUMBER(SEARCH("Commercial",IF(J241="NOT AVAILABLE","",J241)))),25,IF(ISNUMBER(SEARCH("Informational",IF(J241="NOT AVAILABLE","",J241))),10,IF(ISNUMBER(SEARCH("Navigational",IF(J241="NOT AVAILABLE","",J241))),0,12))))</f>
        <v/>
      </c>
      <c r="Q241">
        <f>IF(ISNUMBER(F241),MIN(30,ROUND(30*LOG10(F241+1)/4,1)),0)</f>
        <v/>
      </c>
      <c r="R241">
        <f>IF(ISNUMBER(G241),ROUND(25*(100-G241)/100,1),12.5)</f>
        <v/>
      </c>
      <c r="S241" t="n">
        <v>20</v>
      </c>
      <c r="T241">
        <f>ROUND(P241+Q241+R241+S241,0)</f>
        <v/>
      </c>
      <c r="U241" s="5" t="inlineStr"/>
      <c r="V241" s="5" t="inlineStr">
        <is>
          <t>SUPPORTING /</t>
        </is>
      </c>
    </row>
    <row r="242">
      <c r="A242" t="inlineStr">
        <is>
          <t>K0240</t>
        </is>
      </c>
      <c r="B242" t="inlineStr">
        <is>
          <t>création site web prix maroc</t>
        </is>
      </c>
      <c r="C242" t="inlineStr">
        <is>
          <t>Morocco</t>
        </is>
      </c>
      <c r="D242" t="inlineStr">
        <is>
          <t>ma</t>
        </is>
      </c>
      <c r="E242" t="inlineStr">
        <is>
          <t>fr</t>
        </is>
      </c>
      <c r="F242" t="n">
        <v>30</v>
      </c>
      <c r="G242" t="inlineStr">
        <is>
          <t>NOT AVAILABLE</t>
        </is>
      </c>
      <c r="H242" t="n">
        <v>0.28</v>
      </c>
      <c r="I242" t="n">
        <v>0.96</v>
      </c>
      <c r="J242" t="inlineStr">
        <is>
          <t>NOT AVAILABLE</t>
        </is>
      </c>
      <c r="K242" t="inlineStr">
        <is>
          <t>NOT AVAILABLE (report not requested)</t>
        </is>
      </c>
      <c r="L242" t="inlineStr">
        <is>
          <t>declining (calc.)</t>
        </is>
      </c>
      <c r="M242" t="inlineStr">
        <is>
          <t>MEASURED</t>
        </is>
      </c>
      <c r="N242" s="5" t="inlineStr">
        <is>
          <t>Semrush phrase_these (live, this session)</t>
        </is>
      </c>
      <c r="O242" t="inlineStr">
        <is>
          <t>2026-10-30</t>
        </is>
      </c>
      <c r="P242">
        <f>IF(IF(J242="NOT AVAILABLE","",J242)="",12,IF(OR(ISNUMBER(SEARCH("Transactional",IF(J242="NOT AVAILABLE","",J242))),ISNUMBER(SEARCH("Commercial",IF(J242="NOT AVAILABLE","",J242)))),25,IF(ISNUMBER(SEARCH("Informational",IF(J242="NOT AVAILABLE","",J242))),10,IF(ISNUMBER(SEARCH("Navigational",IF(J242="NOT AVAILABLE","",J242))),0,12))))</f>
        <v/>
      </c>
      <c r="Q242">
        <f>IF(ISNUMBER(F242),MIN(30,ROUND(30*LOG10(F242+1)/4,1)),0)</f>
        <v/>
      </c>
      <c r="R242">
        <f>IF(ISNUMBER(G242),ROUND(25*(100-G242)/100,1),12.5)</f>
        <v/>
      </c>
      <c r="S242" t="n">
        <v>20</v>
      </c>
      <c r="T242">
        <f>ROUND(P242+Q242+R242+S242,0)</f>
        <v/>
      </c>
      <c r="U242" s="5" t="inlineStr"/>
      <c r="V242" s="5" t="inlineStr">
        <is>
          <t>SECONDARY /get-quote</t>
        </is>
      </c>
    </row>
    <row r="243">
      <c r="A243" t="inlineStr">
        <is>
          <t>K0241</t>
        </is>
      </c>
      <c r="B243" t="inlineStr">
        <is>
          <t>création site web wordpress</t>
        </is>
      </c>
      <c r="C243" t="inlineStr">
        <is>
          <t>Morocco</t>
        </is>
      </c>
      <c r="D243" t="inlineStr">
        <is>
          <t>ma</t>
        </is>
      </c>
      <c r="E243" t="inlineStr">
        <is>
          <t>fr</t>
        </is>
      </c>
      <c r="F243" t="n">
        <v>30</v>
      </c>
      <c r="G243" t="inlineStr">
        <is>
          <t>NOT AVAILABLE</t>
        </is>
      </c>
      <c r="H243" t="n">
        <v>0.36</v>
      </c>
      <c r="I243" t="n">
        <v>0.61</v>
      </c>
      <c r="J243" t="inlineStr">
        <is>
          <t>NOT AVAILABLE</t>
        </is>
      </c>
      <c r="K243" t="inlineStr">
        <is>
          <t>NOT AVAILABLE (report not requested)</t>
        </is>
      </c>
      <c r="L243" t="inlineStr">
        <is>
          <t>rising (calc.)</t>
        </is>
      </c>
      <c r="M243" t="inlineStr">
        <is>
          <t>MEASURED</t>
        </is>
      </c>
      <c r="N243" s="5" t="inlineStr">
        <is>
          <t>Semrush phrase_fullsearch (historical broad-creation-site-web-ma.csv)</t>
        </is>
      </c>
      <c r="O243" t="inlineStr">
        <is>
          <t>2026-10-26</t>
        </is>
      </c>
      <c r="P243">
        <f>IF(IF(J243="NOT AVAILABLE","",J243)="",12,IF(OR(ISNUMBER(SEARCH("Transactional",IF(J243="NOT AVAILABLE","",J243))),ISNUMBER(SEARCH("Commercial",IF(J243="NOT AVAILABLE","",J243)))),25,IF(ISNUMBER(SEARCH("Informational",IF(J243="NOT AVAILABLE","",J243))),10,IF(ISNUMBER(SEARCH("Navigational",IF(J243="NOT AVAILABLE","",J243))),0,12))))</f>
        <v/>
      </c>
      <c r="Q243">
        <f>IF(ISNUMBER(F243),MIN(30,ROUND(30*LOG10(F243+1)/4,1)),0)</f>
        <v/>
      </c>
      <c r="R243">
        <f>IF(ISNUMBER(G243),ROUND(25*(100-G243)/100,1),12.5)</f>
        <v/>
      </c>
      <c r="S243" t="n">
        <v>20</v>
      </c>
      <c r="T243">
        <f>ROUND(P243+Q243+R243+S243,0)</f>
        <v/>
      </c>
      <c r="U243" s="5" t="inlineStr"/>
      <c r="V243" s="5" t="inlineStr"/>
    </row>
    <row r="244">
      <c r="A244" t="inlineStr">
        <is>
          <t>K0242</t>
        </is>
      </c>
      <c r="B244" t="inlineStr">
        <is>
          <t>devis site web</t>
        </is>
      </c>
      <c r="C244" t="inlineStr">
        <is>
          <t>Morocco</t>
        </is>
      </c>
      <c r="D244" t="inlineStr">
        <is>
          <t>ma</t>
        </is>
      </c>
      <c r="E244" t="inlineStr">
        <is>
          <t>fr</t>
        </is>
      </c>
      <c r="F244" t="n">
        <v>30</v>
      </c>
      <c r="G244" t="inlineStr">
        <is>
          <t>NOT AVAILABLE</t>
        </is>
      </c>
      <c r="H244" t="n">
        <v>0.37</v>
      </c>
      <c r="I244" t="n">
        <v>0.35</v>
      </c>
      <c r="J244" t="inlineStr">
        <is>
          <t>NOT AVAILABLE</t>
        </is>
      </c>
      <c r="K244" t="inlineStr">
        <is>
          <t>NOT AVAILABLE (report not requested)</t>
        </is>
      </c>
      <c r="L244" t="inlineStr">
        <is>
          <t>declining (calc.)</t>
        </is>
      </c>
      <c r="M244" t="inlineStr">
        <is>
          <t>MEASURED</t>
        </is>
      </c>
      <c r="N244" s="5" t="inlineStr">
        <is>
          <t>Semrush phrase_these (live, this session)</t>
        </is>
      </c>
      <c r="O244" t="inlineStr">
        <is>
          <t>2026-10-30</t>
        </is>
      </c>
      <c r="P244">
        <f>IF(IF(J244="NOT AVAILABLE","",J244)="",12,IF(OR(ISNUMBER(SEARCH("Transactional",IF(J244="NOT AVAILABLE","",J244))),ISNUMBER(SEARCH("Commercial",IF(J244="NOT AVAILABLE","",J244)))),25,IF(ISNUMBER(SEARCH("Informational",IF(J244="NOT AVAILABLE","",J244))),10,IF(ISNUMBER(SEARCH("Navigational",IF(J244="NOT AVAILABLE","",J244))),0,12))))</f>
        <v/>
      </c>
      <c r="Q244">
        <f>IF(ISNUMBER(F244),MIN(30,ROUND(30*LOG10(F244+1)/4,1)),0)</f>
        <v/>
      </c>
      <c r="R244">
        <f>IF(ISNUMBER(G244),ROUND(25*(100-G244)/100,1),12.5)</f>
        <v/>
      </c>
      <c r="S244" t="n">
        <v>20</v>
      </c>
      <c r="T244">
        <f>ROUND(P244+Q244+R244+S244,0)</f>
        <v/>
      </c>
      <c r="U244" s="5" t="inlineStr"/>
      <c r="V244" s="5" t="inlineStr">
        <is>
          <t>PRIMARY /get-quote</t>
        </is>
      </c>
    </row>
    <row r="245">
      <c r="A245" t="inlineStr">
        <is>
          <t>K0243</t>
        </is>
      </c>
      <c r="B245" t="inlineStr">
        <is>
          <t>données structurées</t>
        </is>
      </c>
      <c r="C245" t="inlineStr">
        <is>
          <t>Morocco</t>
        </is>
      </c>
      <c r="D245" t="inlineStr">
        <is>
          <t>ma</t>
        </is>
      </c>
      <c r="E245" t="inlineStr">
        <is>
          <t>fr</t>
        </is>
      </c>
      <c r="F245" t="n">
        <v>30</v>
      </c>
      <c r="G245" t="inlineStr">
        <is>
          <t>NOT AVAILABLE</t>
        </is>
      </c>
      <c r="H245" t="n">
        <v>0</v>
      </c>
      <c r="I245" t="n">
        <v>0.33</v>
      </c>
      <c r="J245" t="inlineStr">
        <is>
          <t>NOT AVAILABLE</t>
        </is>
      </c>
      <c r="K245" t="inlineStr">
        <is>
          <t>NOT AVAILABLE (report not requested)</t>
        </is>
      </c>
      <c r="L245" t="inlineStr">
        <is>
          <t>stable (calc.)</t>
        </is>
      </c>
      <c r="M245" t="inlineStr">
        <is>
          <t>MEASURED</t>
        </is>
      </c>
      <c r="N245" s="5" t="inlineStr">
        <is>
          <t>Semrush phrase_these (live, this session)</t>
        </is>
      </c>
      <c r="O245" t="inlineStr">
        <is>
          <t>2026-10-30</t>
        </is>
      </c>
      <c r="P245">
        <f>IF(IF(J245="NOT AVAILABLE","",J245)="",12,IF(OR(ISNUMBER(SEARCH("Transactional",IF(J245="NOT AVAILABLE","",J245))),ISNUMBER(SEARCH("Commercial",IF(J245="NOT AVAILABLE","",J245)))),25,IF(ISNUMBER(SEARCH("Informational",IF(J245="NOT AVAILABLE","",J245))),10,IF(ISNUMBER(SEARCH("Navigational",IF(J245="NOT AVAILABLE","",J245))),0,12))))</f>
        <v/>
      </c>
      <c r="Q245">
        <f>IF(ISNUMBER(F245),MIN(30,ROUND(30*LOG10(F245+1)/4,1)),0)</f>
        <v/>
      </c>
      <c r="R245">
        <f>IF(ISNUMBER(G245),ROUND(25*(100-G245)/100,1),12.5)</f>
        <v/>
      </c>
      <c r="S245" t="n">
        <v>20</v>
      </c>
      <c r="T245">
        <f>ROUND(P245+Q245+R245+S245,0)</f>
        <v/>
      </c>
      <c r="U245" s="5" t="inlineStr"/>
      <c r="V245" s="5" t="inlineStr">
        <is>
          <t>SUPPORTING /tools/schema-generator</t>
        </is>
      </c>
    </row>
    <row r="246">
      <c r="A246" t="inlineStr">
        <is>
          <t>K0244</t>
        </is>
      </c>
      <c r="B246" t="inlineStr">
        <is>
          <t>duplicate content</t>
        </is>
      </c>
      <c r="C246" t="inlineStr">
        <is>
          <t>Morocco</t>
        </is>
      </c>
      <c r="D246" t="inlineStr">
        <is>
          <t>ma</t>
        </is>
      </c>
      <c r="E246" t="inlineStr">
        <is>
          <t>fr</t>
        </is>
      </c>
      <c r="F246" t="n">
        <v>30</v>
      </c>
      <c r="G246" t="inlineStr">
        <is>
          <t>NOT AVAILABLE</t>
        </is>
      </c>
      <c r="H246" t="n">
        <v>0</v>
      </c>
      <c r="I246" t="n">
        <v>0.33</v>
      </c>
      <c r="J246" t="inlineStr">
        <is>
          <t>NOT AVAILABLE</t>
        </is>
      </c>
      <c r="K246" t="inlineStr">
        <is>
          <t>NOT AVAILABLE (report not requested)</t>
        </is>
      </c>
      <c r="L246" t="inlineStr">
        <is>
          <t>declining (calc.)</t>
        </is>
      </c>
      <c r="M246" t="inlineStr">
        <is>
          <t>MEASURED</t>
        </is>
      </c>
      <c r="N246" s="5" t="inlineStr">
        <is>
          <t>Semrush phrase_these (live, this session)</t>
        </is>
      </c>
      <c r="O246" t="inlineStr">
        <is>
          <t>2026-10-30</t>
        </is>
      </c>
      <c r="P246">
        <f>IF(IF(J246="NOT AVAILABLE","",J246)="",12,IF(OR(ISNUMBER(SEARCH("Transactional",IF(J246="NOT AVAILABLE","",J246))),ISNUMBER(SEARCH("Commercial",IF(J246="NOT AVAILABLE","",J246)))),25,IF(ISNUMBER(SEARCH("Informational",IF(J246="NOT AVAILABLE","",J246))),10,IF(ISNUMBER(SEARCH("Navigational",IF(J246="NOT AVAILABLE","",J246))),0,12))))</f>
        <v/>
      </c>
      <c r="Q246">
        <f>IF(ISNUMBER(F246),MIN(30,ROUND(30*LOG10(F246+1)/4,1)),0)</f>
        <v/>
      </c>
      <c r="R246">
        <f>IF(ISNUMBER(G246),ROUND(25*(100-G246)/100,1),12.5)</f>
        <v/>
      </c>
      <c r="S246" t="n">
        <v>20</v>
      </c>
      <c r="T246">
        <f>ROUND(P246+Q246+R246+S246,0)</f>
        <v/>
      </c>
      <c r="U246" s="5" t="inlineStr"/>
      <c r="V246" s="5" t="inlineStr">
        <is>
          <t>SECONDARY /tools/duplicate-content-checker</t>
        </is>
      </c>
    </row>
    <row r="247">
      <c r="A247" t="inlineStr">
        <is>
          <t>K0245</t>
        </is>
      </c>
      <c r="B247" t="inlineStr">
        <is>
          <t>développement application web</t>
        </is>
      </c>
      <c r="C247" t="inlineStr">
        <is>
          <t>Morocco</t>
        </is>
      </c>
      <c r="D247" t="inlineStr">
        <is>
          <t>ma</t>
        </is>
      </c>
      <c r="E247" t="inlineStr">
        <is>
          <t>fr</t>
        </is>
      </c>
      <c r="F247" t="n">
        <v>30</v>
      </c>
      <c r="G247" t="inlineStr">
        <is>
          <t>NOT AVAILABLE</t>
        </is>
      </c>
      <c r="H247" t="n">
        <v>0</v>
      </c>
      <c r="I247" t="n">
        <v>0.33</v>
      </c>
      <c r="J247" t="inlineStr">
        <is>
          <t>NOT AVAILABLE</t>
        </is>
      </c>
      <c r="K247" t="inlineStr">
        <is>
          <t>NOT AVAILABLE (report not requested)</t>
        </is>
      </c>
      <c r="L247" t="inlineStr">
        <is>
          <t>rising (calc.)</t>
        </is>
      </c>
      <c r="M247" t="inlineStr">
        <is>
          <t>MEASURED</t>
        </is>
      </c>
      <c r="N247" s="5" t="inlineStr">
        <is>
          <t>Semrush phrase_these (live, this session)</t>
        </is>
      </c>
      <c r="O247" t="inlineStr">
        <is>
          <t>2026-10-30</t>
        </is>
      </c>
      <c r="P247">
        <f>IF(IF(J247="NOT AVAILABLE","",J247)="",12,IF(OR(ISNUMBER(SEARCH("Transactional",IF(J247="NOT AVAILABLE","",J247))),ISNUMBER(SEARCH("Commercial",IF(J247="NOT AVAILABLE","",J247)))),25,IF(ISNUMBER(SEARCH("Informational",IF(J247="NOT AVAILABLE","",J247))),10,IF(ISNUMBER(SEARCH("Navigational",IF(J247="NOT AVAILABLE","",J247))),0,12))))</f>
        <v/>
      </c>
      <c r="Q247">
        <f>IF(ISNUMBER(F247),MIN(30,ROUND(30*LOG10(F247+1)/4,1)),0)</f>
        <v/>
      </c>
      <c r="R247">
        <f>IF(ISNUMBER(G247),ROUND(25*(100-G247)/100,1),12.5)</f>
        <v/>
      </c>
      <c r="S247" t="n">
        <v>20</v>
      </c>
      <c r="T247">
        <f>ROUND(P247+Q247+R247+S247,0)</f>
        <v/>
      </c>
      <c r="U247" s="5" t="inlineStr"/>
      <c r="V247" s="5" t="inlineStr">
        <is>
          <t>SUPPORTING /services/saas-platform-development</t>
        </is>
      </c>
    </row>
    <row r="248">
      <c r="A248" t="inlineStr">
        <is>
          <t>K0246</t>
        </is>
      </c>
      <c r="B248" t="inlineStr">
        <is>
          <t>développement site e-commerce</t>
        </is>
      </c>
      <c r="C248" t="inlineStr">
        <is>
          <t>Morocco</t>
        </is>
      </c>
      <c r="D248" t="inlineStr">
        <is>
          <t>ma</t>
        </is>
      </c>
      <c r="E248" t="inlineStr">
        <is>
          <t>fr</t>
        </is>
      </c>
      <c r="F248" t="n">
        <v>30</v>
      </c>
      <c r="G248" t="inlineStr">
        <is>
          <t>NOT AVAILABLE</t>
        </is>
      </c>
      <c r="H248" t="n">
        <v>0</v>
      </c>
      <c r="I248" t="n">
        <v>0.29</v>
      </c>
      <c r="J248" t="inlineStr">
        <is>
          <t>NOT AVAILABLE</t>
        </is>
      </c>
      <c r="K248" t="inlineStr">
        <is>
          <t>NOT AVAILABLE (report not requested)</t>
        </is>
      </c>
      <c r="L248" t="inlineStr">
        <is>
          <t>rising (calc.)</t>
        </is>
      </c>
      <c r="M248" t="inlineStr">
        <is>
          <t>MEASURED</t>
        </is>
      </c>
      <c r="N248" s="5" t="inlineStr">
        <is>
          <t>Semrush phrase_these (live, this session)</t>
        </is>
      </c>
      <c r="O248" t="inlineStr">
        <is>
          <t>2026-10-30</t>
        </is>
      </c>
      <c r="P248">
        <f>IF(IF(J248="NOT AVAILABLE","",J248)="",12,IF(OR(ISNUMBER(SEARCH("Transactional",IF(J248="NOT AVAILABLE","",J248))),ISNUMBER(SEARCH("Commercial",IF(J248="NOT AVAILABLE","",J248)))),25,IF(ISNUMBER(SEARCH("Informational",IF(J248="NOT AVAILABLE","",J248))),10,IF(ISNUMBER(SEARCH("Navigational",IF(J248="NOT AVAILABLE","",J248))),0,12))))</f>
        <v/>
      </c>
      <c r="Q248">
        <f>IF(ISNUMBER(F248),MIN(30,ROUND(30*LOG10(F248+1)/4,1)),0)</f>
        <v/>
      </c>
      <c r="R248">
        <f>IF(ISNUMBER(G248),ROUND(25*(100-G248)/100,1),12.5)</f>
        <v/>
      </c>
      <c r="S248" t="n">
        <v>20</v>
      </c>
      <c r="T248">
        <f>ROUND(P248+Q248+R248+S248,0)</f>
        <v/>
      </c>
      <c r="U248" s="5" t="inlineStr"/>
      <c r="V248" s="5" t="inlineStr">
        <is>
          <t>SECONDARY /services/ecommerce-website-development</t>
        </is>
      </c>
    </row>
    <row r="249">
      <c r="A249" t="inlineStr">
        <is>
          <t>K0247</t>
        </is>
      </c>
      <c r="B249" t="inlineStr">
        <is>
          <t>développeur web marrakech</t>
        </is>
      </c>
      <c r="C249" t="inlineStr">
        <is>
          <t>Morocco</t>
        </is>
      </c>
      <c r="D249" t="inlineStr">
        <is>
          <t>ma</t>
        </is>
      </c>
      <c r="E249" t="inlineStr">
        <is>
          <t>fr</t>
        </is>
      </c>
      <c r="F249" t="n">
        <v>30</v>
      </c>
      <c r="G249" t="inlineStr">
        <is>
          <t>NOT AVAILABLE</t>
        </is>
      </c>
      <c r="H249" t="n">
        <v>0.75</v>
      </c>
      <c r="I249" t="n">
        <v>0.25</v>
      </c>
      <c r="J249" t="inlineStr">
        <is>
          <t>NOT AVAILABLE</t>
        </is>
      </c>
      <c r="K249" t="inlineStr">
        <is>
          <t>NOT AVAILABLE (report not requested)</t>
        </is>
      </c>
      <c r="L249" t="inlineStr">
        <is>
          <t>rising (calc.)</t>
        </is>
      </c>
      <c r="M249" t="inlineStr">
        <is>
          <t>MEASURED</t>
        </is>
      </c>
      <c r="N249" s="5" t="inlineStr">
        <is>
          <t>Semrush phrase_these (live, this session)</t>
        </is>
      </c>
      <c r="O249" t="inlineStr">
        <is>
          <t>2026-10-30</t>
        </is>
      </c>
      <c r="P249">
        <f>IF(IF(J249="NOT AVAILABLE","",J249)="",12,IF(OR(ISNUMBER(SEARCH("Transactional",IF(J249="NOT AVAILABLE","",J249))),ISNUMBER(SEARCH("Commercial",IF(J249="NOT AVAILABLE","",J249)))),25,IF(ISNUMBER(SEARCH("Informational",IF(J249="NOT AVAILABLE","",J249))),10,IF(ISNUMBER(SEARCH("Navigational",IF(J249="NOT AVAILABLE","",J249))),0,12))))</f>
        <v/>
      </c>
      <c r="Q249">
        <f>IF(ISNUMBER(F249),MIN(30,ROUND(30*LOG10(F249+1)/4,1)),0)</f>
        <v/>
      </c>
      <c r="R249">
        <f>IF(ISNUMBER(G249),ROUND(25*(100-G249)/100,1),12.5)</f>
        <v/>
      </c>
      <c r="S249" t="n">
        <v>20</v>
      </c>
      <c r="T249">
        <f>ROUND(P249+Q249+R249+S249,0)</f>
        <v/>
      </c>
      <c r="U249" s="5" t="inlineStr"/>
      <c r="V249" s="5" t="inlineStr">
        <is>
          <t>SUPPORTING /web-development-company/marrakech</t>
        </is>
      </c>
    </row>
    <row r="250">
      <c r="A250" t="inlineStr">
        <is>
          <t>K0248</t>
        </is>
      </c>
      <c r="B250" t="inlineStr">
        <is>
          <t>fichier robots.txt</t>
        </is>
      </c>
      <c r="C250" t="inlineStr">
        <is>
          <t>Morocco</t>
        </is>
      </c>
      <c r="D250" t="inlineStr">
        <is>
          <t>ma</t>
        </is>
      </c>
      <c r="E250" t="inlineStr">
        <is>
          <t>fr</t>
        </is>
      </c>
      <c r="F250" t="n">
        <v>30</v>
      </c>
      <c r="G250" t="inlineStr">
        <is>
          <t>NOT AVAILABLE</t>
        </is>
      </c>
      <c r="H250" t="n">
        <v>0</v>
      </c>
      <c r="I250" t="n">
        <v>0.04</v>
      </c>
      <c r="J250" t="inlineStr">
        <is>
          <t>NOT AVAILABLE</t>
        </is>
      </c>
      <c r="K250" t="inlineStr">
        <is>
          <t>NOT AVAILABLE (report not requested)</t>
        </is>
      </c>
      <c r="L250" t="inlineStr">
        <is>
          <t>stable (calc.)</t>
        </is>
      </c>
      <c r="M250" t="inlineStr">
        <is>
          <t>MEASURED</t>
        </is>
      </c>
      <c r="N250" s="5" t="inlineStr">
        <is>
          <t>Semrush phrase_these (live, this session)</t>
        </is>
      </c>
      <c r="O250" t="inlineStr">
        <is>
          <t>2026-10-30</t>
        </is>
      </c>
      <c r="P250">
        <f>IF(IF(J250="NOT AVAILABLE","",J250)="",12,IF(OR(ISNUMBER(SEARCH("Transactional",IF(J250="NOT AVAILABLE","",J250))),ISNUMBER(SEARCH("Commercial",IF(J250="NOT AVAILABLE","",J250)))),25,IF(ISNUMBER(SEARCH("Informational",IF(J250="NOT AVAILABLE","",J250))),10,IF(ISNUMBER(SEARCH("Navigational",IF(J250="NOT AVAILABLE","",J250))),0,12))))</f>
        <v/>
      </c>
      <c r="Q250">
        <f>IF(ISNUMBER(F250),MIN(30,ROUND(30*LOG10(F250+1)/4,1)),0)</f>
        <v/>
      </c>
      <c r="R250">
        <f>IF(ISNUMBER(G250),ROUND(25*(100-G250)/100,1),12.5)</f>
        <v/>
      </c>
      <c r="S250" t="n">
        <v>20</v>
      </c>
      <c r="T250">
        <f>ROUND(P250+Q250+R250+S250,0)</f>
        <v/>
      </c>
      <c r="U250" s="5" t="inlineStr"/>
      <c r="V250" s="5" t="inlineStr">
        <is>
          <t>SUPPORTING /tools/robots-txt-generator</t>
        </is>
      </c>
    </row>
    <row r="251">
      <c r="A251" t="inlineStr">
        <is>
          <t>K0249</t>
        </is>
      </c>
      <c r="B251" t="inlineStr">
        <is>
          <t>formater json</t>
        </is>
      </c>
      <c r="C251" t="inlineStr">
        <is>
          <t>Morocco</t>
        </is>
      </c>
      <c r="D251" t="inlineStr">
        <is>
          <t>ma</t>
        </is>
      </c>
      <c r="E251" t="inlineStr">
        <is>
          <t>fr</t>
        </is>
      </c>
      <c r="F251" t="n">
        <v>30</v>
      </c>
      <c r="G251" t="inlineStr">
        <is>
          <t>NOT AVAILABLE</t>
        </is>
      </c>
      <c r="H251" t="n">
        <v>0</v>
      </c>
      <c r="I251" t="n">
        <v>0.33</v>
      </c>
      <c r="J251" t="inlineStr">
        <is>
          <t>NOT AVAILABLE</t>
        </is>
      </c>
      <c r="K251" t="inlineStr">
        <is>
          <t>NOT AVAILABLE (report not requested)</t>
        </is>
      </c>
      <c r="L251" t="inlineStr">
        <is>
          <t>declining (calc.)</t>
        </is>
      </c>
      <c r="M251" t="inlineStr">
        <is>
          <t>MEASURED</t>
        </is>
      </c>
      <c r="N251" s="5" t="inlineStr">
        <is>
          <t>Semrush phrase_these (live, this session)</t>
        </is>
      </c>
      <c r="O251" t="inlineStr">
        <is>
          <t>2026-10-30</t>
        </is>
      </c>
      <c r="P251">
        <f>IF(IF(J251="NOT AVAILABLE","",J251)="",12,IF(OR(ISNUMBER(SEARCH("Transactional",IF(J251="NOT AVAILABLE","",J251))),ISNUMBER(SEARCH("Commercial",IF(J251="NOT AVAILABLE","",J251)))),25,IF(ISNUMBER(SEARCH("Informational",IF(J251="NOT AVAILABLE","",J251))),10,IF(ISNUMBER(SEARCH("Navigational",IF(J251="NOT AVAILABLE","",J251))),0,12))))</f>
        <v/>
      </c>
      <c r="Q251">
        <f>IF(ISNUMBER(F251),MIN(30,ROUND(30*LOG10(F251+1)/4,1)),0)</f>
        <v/>
      </c>
      <c r="R251">
        <f>IF(ISNUMBER(G251),ROUND(25*(100-G251)/100,1),12.5)</f>
        <v/>
      </c>
      <c r="S251" t="n">
        <v>20</v>
      </c>
      <c r="T251">
        <f>ROUND(P251+Q251+R251+S251,0)</f>
        <v/>
      </c>
      <c r="U251" s="5" t="inlineStr"/>
      <c r="V251" s="5" t="inlineStr">
        <is>
          <t>SUPPORTING /tools/json-formatter</t>
        </is>
      </c>
    </row>
    <row r="252">
      <c r="A252" t="inlineStr">
        <is>
          <t>K0250</t>
        </is>
      </c>
      <c r="B252" t="inlineStr">
        <is>
          <t>logiciel de création de site web</t>
        </is>
      </c>
      <c r="C252" t="inlineStr">
        <is>
          <t>Morocco</t>
        </is>
      </c>
      <c r="D252" t="inlineStr">
        <is>
          <t>ma</t>
        </is>
      </c>
      <c r="E252" t="inlineStr">
        <is>
          <t>fr</t>
        </is>
      </c>
      <c r="F252" t="n">
        <v>30</v>
      </c>
      <c r="G252" t="inlineStr">
        <is>
          <t>NOT AVAILABLE</t>
        </is>
      </c>
      <c r="H252" t="n">
        <v>0</v>
      </c>
      <c r="I252" t="n">
        <v>0.86</v>
      </c>
      <c r="J252" t="inlineStr">
        <is>
          <t>NOT AVAILABLE</t>
        </is>
      </c>
      <c r="K252" t="inlineStr">
        <is>
          <t>NOT AVAILABLE (report not requested)</t>
        </is>
      </c>
      <c r="L252" t="inlineStr">
        <is>
          <t>rising (calc.)</t>
        </is>
      </c>
      <c r="M252" t="inlineStr">
        <is>
          <t>MEASURED</t>
        </is>
      </c>
      <c r="N252" s="5" t="inlineStr">
        <is>
          <t>Semrush phrase_fullsearch (historical broad-creation-site-web-ma.csv)</t>
        </is>
      </c>
      <c r="O252" t="inlineStr">
        <is>
          <t>2026-10-26</t>
        </is>
      </c>
      <c r="P252">
        <f>IF(IF(J252="NOT AVAILABLE","",J252)="",12,IF(OR(ISNUMBER(SEARCH("Transactional",IF(J252="NOT AVAILABLE","",J252))),ISNUMBER(SEARCH("Commercial",IF(J252="NOT AVAILABLE","",J252)))),25,IF(ISNUMBER(SEARCH("Informational",IF(J252="NOT AVAILABLE","",J252))),10,IF(ISNUMBER(SEARCH("Navigational",IF(J252="NOT AVAILABLE","",J252))),0,12))))</f>
        <v/>
      </c>
      <c r="Q252">
        <f>IF(ISNUMBER(F252),MIN(30,ROUND(30*LOG10(F252+1)/4,1)),0)</f>
        <v/>
      </c>
      <c r="R252">
        <f>IF(ISNUMBER(G252),ROUND(25*(100-G252)/100,1),12.5)</f>
        <v/>
      </c>
      <c r="S252" t="n">
        <v>20</v>
      </c>
      <c r="T252">
        <f>ROUND(P252+Q252+R252+S252,0)</f>
        <v/>
      </c>
      <c r="U252" s="5" t="inlineStr"/>
      <c r="V252" s="5" t="inlineStr"/>
    </row>
    <row r="253">
      <c r="A253" t="inlineStr">
        <is>
          <t>K0251</t>
        </is>
      </c>
      <c r="B253" t="inlineStr">
        <is>
          <t>logiciel sur mesure</t>
        </is>
      </c>
      <c r="C253" t="inlineStr">
        <is>
          <t>Morocco</t>
        </is>
      </c>
      <c r="D253" t="inlineStr">
        <is>
          <t>ma</t>
        </is>
      </c>
      <c r="E253" t="inlineStr">
        <is>
          <t>fr</t>
        </is>
      </c>
      <c r="F253" t="n">
        <v>30</v>
      </c>
      <c r="G253" t="inlineStr">
        <is>
          <t>NOT AVAILABLE</t>
        </is>
      </c>
      <c r="H253" t="n">
        <v>0</v>
      </c>
      <c r="I253" t="n">
        <v>0.33</v>
      </c>
      <c r="J253" t="inlineStr">
        <is>
          <t>NOT AVAILABLE</t>
        </is>
      </c>
      <c r="K253" t="inlineStr">
        <is>
          <t>NOT AVAILABLE (report not requested)</t>
        </is>
      </c>
      <c r="L253" t="inlineStr">
        <is>
          <t>rising (calc.)</t>
        </is>
      </c>
      <c r="M253" t="inlineStr">
        <is>
          <t>MEASURED</t>
        </is>
      </c>
      <c r="N253" s="5" t="inlineStr">
        <is>
          <t>Semrush phrase_these (live, this session)</t>
        </is>
      </c>
      <c r="O253" t="inlineStr">
        <is>
          <t>2026-10-30</t>
        </is>
      </c>
      <c r="P253">
        <f>IF(IF(J253="NOT AVAILABLE","",J253)="",12,IF(OR(ISNUMBER(SEARCH("Transactional",IF(J253="NOT AVAILABLE","",J253))),ISNUMBER(SEARCH("Commercial",IF(J253="NOT AVAILABLE","",J253)))),25,IF(ISNUMBER(SEARCH("Informational",IF(J253="NOT AVAILABLE","",J253))),10,IF(ISNUMBER(SEARCH("Navigational",IF(J253="NOT AVAILABLE","",J253))),0,12))))</f>
        <v/>
      </c>
      <c r="Q253">
        <f>IF(ISNUMBER(F253),MIN(30,ROUND(30*LOG10(F253+1)/4,1)),0)</f>
        <v/>
      </c>
      <c r="R253">
        <f>IF(ISNUMBER(G253),ROUND(25*(100-G253)/100,1),12.5)</f>
        <v/>
      </c>
      <c r="S253" t="n">
        <v>20</v>
      </c>
      <c r="T253">
        <f>ROUND(P253+Q253+R253+S253,0)</f>
        <v/>
      </c>
      <c r="U253" s="5" t="inlineStr"/>
      <c r="V253" s="5" t="inlineStr">
        <is>
          <t>SUPPORTING /services/saas-platform-development</t>
        </is>
      </c>
    </row>
    <row r="254">
      <c r="A254" t="inlineStr">
        <is>
          <t>K0252</t>
        </is>
      </c>
      <c r="B254" t="inlineStr">
        <is>
          <t>maintenance site web</t>
        </is>
      </c>
      <c r="C254" t="inlineStr">
        <is>
          <t>Morocco</t>
        </is>
      </c>
      <c r="D254" t="inlineStr">
        <is>
          <t>ma</t>
        </is>
      </c>
      <c r="E254" t="inlineStr">
        <is>
          <t>fr</t>
        </is>
      </c>
      <c r="F254" t="n">
        <v>30</v>
      </c>
      <c r="G254" t="inlineStr">
        <is>
          <t>NOT AVAILABLE</t>
        </is>
      </c>
      <c r="H254" t="n">
        <v>0</v>
      </c>
      <c r="I254" t="n">
        <v>0.19</v>
      </c>
      <c r="J254" t="inlineStr">
        <is>
          <t>NOT AVAILABLE</t>
        </is>
      </c>
      <c r="K254" t="inlineStr">
        <is>
          <t>NOT AVAILABLE (report not requested)</t>
        </is>
      </c>
      <c r="L254" t="inlineStr">
        <is>
          <t>rising (calc.)</t>
        </is>
      </c>
      <c r="M254" t="inlineStr">
        <is>
          <t>MEASURED</t>
        </is>
      </c>
      <c r="N254" s="5" t="inlineStr">
        <is>
          <t>Semrush phrase_these (live, this session)</t>
        </is>
      </c>
      <c r="O254" t="inlineStr">
        <is>
          <t>2026-10-30</t>
        </is>
      </c>
      <c r="P254">
        <f>IF(IF(J254="NOT AVAILABLE","",J254)="",12,IF(OR(ISNUMBER(SEARCH("Transactional",IF(J254="NOT AVAILABLE","",J254))),ISNUMBER(SEARCH("Commercial",IF(J254="NOT AVAILABLE","",J254)))),25,IF(ISNUMBER(SEARCH("Informational",IF(J254="NOT AVAILABLE","",J254))),10,IF(ISNUMBER(SEARCH("Navigational",IF(J254="NOT AVAILABLE","",J254))),0,12))))</f>
        <v/>
      </c>
      <c r="Q254">
        <f>IF(ISNUMBER(F254),MIN(30,ROUND(30*LOG10(F254+1)/4,1)),0)</f>
        <v/>
      </c>
      <c r="R254">
        <f>IF(ISNUMBER(G254),ROUND(25*(100-G254)/100,1),12.5)</f>
        <v/>
      </c>
      <c r="S254" t="n">
        <v>20</v>
      </c>
      <c r="T254">
        <f>ROUND(P254+Q254+R254+S254,0)</f>
        <v/>
      </c>
      <c r="U254" s="5" t="inlineStr"/>
      <c r="V254" s="5" t="inlineStr"/>
    </row>
    <row r="255">
      <c r="A255" t="inlineStr">
        <is>
          <t>K0253</t>
        </is>
      </c>
      <c r="B255" t="inlineStr">
        <is>
          <t>minifier html</t>
        </is>
      </c>
      <c r="C255" t="inlineStr">
        <is>
          <t>Morocco</t>
        </is>
      </c>
      <c r="D255" t="inlineStr">
        <is>
          <t>ma</t>
        </is>
      </c>
      <c r="E255" t="inlineStr">
        <is>
          <t>fr</t>
        </is>
      </c>
      <c r="F255" t="n">
        <v>30</v>
      </c>
      <c r="G255" t="inlineStr">
        <is>
          <t>NOT AVAILABLE</t>
        </is>
      </c>
      <c r="H255" t="n">
        <v>0</v>
      </c>
      <c r="I255" t="n">
        <v>0.33</v>
      </c>
      <c r="J255" t="inlineStr">
        <is>
          <t>NOT AVAILABLE</t>
        </is>
      </c>
      <c r="K255" t="inlineStr">
        <is>
          <t>NOT AVAILABLE (report not requested)</t>
        </is>
      </c>
      <c r="L255" t="inlineStr">
        <is>
          <t>declining (calc.)</t>
        </is>
      </c>
      <c r="M255" t="inlineStr">
        <is>
          <t>MEASURED</t>
        </is>
      </c>
      <c r="N255" s="5" t="inlineStr">
        <is>
          <t>Semrush phrase_these (live, this session)</t>
        </is>
      </c>
      <c r="O255" t="inlineStr">
        <is>
          <t>2026-10-30</t>
        </is>
      </c>
      <c r="P255">
        <f>IF(IF(J255="NOT AVAILABLE","",J255)="",12,IF(OR(ISNUMBER(SEARCH("Transactional",IF(J255="NOT AVAILABLE","",J255))),ISNUMBER(SEARCH("Commercial",IF(J255="NOT AVAILABLE","",J255)))),25,IF(ISNUMBER(SEARCH("Informational",IF(J255="NOT AVAILABLE","",J255))),10,IF(ISNUMBER(SEARCH("Navigational",IF(J255="NOT AVAILABLE","",J255))),0,12))))</f>
        <v/>
      </c>
      <c r="Q255">
        <f>IF(ISNUMBER(F255),MIN(30,ROUND(30*LOG10(F255+1)/4,1)),0)</f>
        <v/>
      </c>
      <c r="R255">
        <f>IF(ISNUMBER(G255),ROUND(25*(100-G255)/100,1),12.5)</f>
        <v/>
      </c>
      <c r="S255" t="n">
        <v>20</v>
      </c>
      <c r="T255">
        <f>ROUND(P255+Q255+R255+S255,0)</f>
        <v/>
      </c>
      <c r="U255" s="5" t="inlineStr"/>
      <c r="V255" s="5" t="inlineStr">
        <is>
          <t>SUPPORTING /tools/html-minifier</t>
        </is>
      </c>
    </row>
    <row r="256">
      <c r="A256" t="inlineStr">
        <is>
          <t>K0254</t>
        </is>
      </c>
      <c r="B256" t="inlineStr">
        <is>
          <t>og image</t>
        </is>
      </c>
      <c r="C256" t="inlineStr">
        <is>
          <t>Morocco</t>
        </is>
      </c>
      <c r="D256" t="inlineStr">
        <is>
          <t>ma</t>
        </is>
      </c>
      <c r="E256" t="inlineStr">
        <is>
          <t>fr</t>
        </is>
      </c>
      <c r="F256" t="n">
        <v>30</v>
      </c>
      <c r="G256" t="inlineStr">
        <is>
          <t>NOT AVAILABLE</t>
        </is>
      </c>
      <c r="H256" t="n">
        <v>0</v>
      </c>
      <c r="I256" t="n">
        <v>0.33</v>
      </c>
      <c r="J256" t="inlineStr">
        <is>
          <t>NOT AVAILABLE</t>
        </is>
      </c>
      <c r="K256" t="inlineStr">
        <is>
          <t>NOT AVAILABLE (report not requested)</t>
        </is>
      </c>
      <c r="L256" t="inlineStr">
        <is>
          <t>stable (calc.)</t>
        </is>
      </c>
      <c r="M256" t="inlineStr">
        <is>
          <t>MEASURED</t>
        </is>
      </c>
      <c r="N256" s="5" t="inlineStr">
        <is>
          <t>Semrush phrase_these (live, this session)</t>
        </is>
      </c>
      <c r="O256" t="inlineStr">
        <is>
          <t>2026-10-30</t>
        </is>
      </c>
      <c r="P256">
        <f>IF(IF(J256="NOT AVAILABLE","",J256)="",12,IF(OR(ISNUMBER(SEARCH("Transactional",IF(J256="NOT AVAILABLE","",J256))),ISNUMBER(SEARCH("Commercial",IF(J256="NOT AVAILABLE","",J256)))),25,IF(ISNUMBER(SEARCH("Informational",IF(J256="NOT AVAILABLE","",J256))),10,IF(ISNUMBER(SEARCH("Navigational",IF(J256="NOT AVAILABLE","",J256))),0,12))))</f>
        <v/>
      </c>
      <c r="Q256">
        <f>IF(ISNUMBER(F256),MIN(30,ROUND(30*LOG10(F256+1)/4,1)),0)</f>
        <v/>
      </c>
      <c r="R256">
        <f>IF(ISNUMBER(G256),ROUND(25*(100-G256)/100,1),12.5)</f>
        <v/>
      </c>
      <c r="S256" t="n">
        <v>20</v>
      </c>
      <c r="T256">
        <f>ROUND(P256+Q256+R256+S256,0)</f>
        <v/>
      </c>
      <c r="U256" s="5" t="inlineStr"/>
      <c r="V256" s="5" t="inlineStr">
        <is>
          <t>SUPPORTING /tools/og-preview-generator</t>
        </is>
      </c>
    </row>
    <row r="257">
      <c r="A257" t="inlineStr">
        <is>
          <t>K0255</t>
        </is>
      </c>
      <c r="B257" t="inlineStr">
        <is>
          <t>plateforme de paiement</t>
        </is>
      </c>
      <c r="C257" t="inlineStr">
        <is>
          <t>Morocco</t>
        </is>
      </c>
      <c r="D257" t="inlineStr">
        <is>
          <t>ma</t>
        </is>
      </c>
      <c r="E257" t="inlineStr">
        <is>
          <t>fr</t>
        </is>
      </c>
      <c r="F257" t="n">
        <v>30</v>
      </c>
      <c r="G257" t="inlineStr">
        <is>
          <t>NOT AVAILABLE</t>
        </is>
      </c>
      <c r="H257" t="n">
        <v>0</v>
      </c>
      <c r="I257" t="n">
        <v>0.32</v>
      </c>
      <c r="J257" t="inlineStr">
        <is>
          <t>NOT AVAILABLE</t>
        </is>
      </c>
      <c r="K257" t="inlineStr">
        <is>
          <t>NOT AVAILABLE (report not requested)</t>
        </is>
      </c>
      <c r="L257" t="inlineStr">
        <is>
          <t>rising (calc.)</t>
        </is>
      </c>
      <c r="M257" t="inlineStr">
        <is>
          <t>MEASURED</t>
        </is>
      </c>
      <c r="N257" s="5" t="inlineStr">
        <is>
          <t>Semrush phrase_these (live, this session)</t>
        </is>
      </c>
      <c r="O257" t="inlineStr">
        <is>
          <t>2026-10-30</t>
        </is>
      </c>
      <c r="P257">
        <f>IF(IF(J257="NOT AVAILABLE","",J257)="",12,IF(OR(ISNUMBER(SEARCH("Transactional",IF(J257="NOT AVAILABLE","",J257))),ISNUMBER(SEARCH("Commercial",IF(J257="NOT AVAILABLE","",J257)))),25,IF(ISNUMBER(SEARCH("Informational",IF(J257="NOT AVAILABLE","",J257))),10,IF(ISNUMBER(SEARCH("Navigational",IF(J257="NOT AVAILABLE","",J257))),0,12))))</f>
        <v/>
      </c>
      <c r="Q257">
        <f>IF(ISNUMBER(F257),MIN(30,ROUND(30*LOG10(F257+1)/4,1)),0)</f>
        <v/>
      </c>
      <c r="R257">
        <f>IF(ISNUMBER(G257),ROUND(25*(100-G257)/100,1),12.5)</f>
        <v/>
      </c>
      <c r="S257" t="n">
        <v>20</v>
      </c>
      <c r="T257">
        <f>ROUND(P257+Q257+R257+S257,0)</f>
        <v/>
      </c>
      <c r="U257" s="5" t="inlineStr"/>
      <c r="V257" s="5" t="inlineStr"/>
    </row>
    <row r="258">
      <c r="A258" t="inlineStr">
        <is>
          <t>K0256</t>
        </is>
      </c>
      <c r="B258" t="inlineStr">
        <is>
          <t>prix création site web</t>
        </is>
      </c>
      <c r="C258" t="inlineStr">
        <is>
          <t>Morocco</t>
        </is>
      </c>
      <c r="D258" t="inlineStr">
        <is>
          <t>ma</t>
        </is>
      </c>
      <c r="E258" t="inlineStr">
        <is>
          <t>fr</t>
        </is>
      </c>
      <c r="F258" t="n">
        <v>30</v>
      </c>
      <c r="G258" t="inlineStr">
        <is>
          <t>NOT AVAILABLE</t>
        </is>
      </c>
      <c r="H258" t="n">
        <v>0.3</v>
      </c>
      <c r="I258" t="n">
        <v>0.73</v>
      </c>
      <c r="J258" t="inlineStr">
        <is>
          <t>NOT AVAILABLE</t>
        </is>
      </c>
      <c r="K258" t="inlineStr">
        <is>
          <t>NOT AVAILABLE (report not requested)</t>
        </is>
      </c>
      <c r="L258" t="inlineStr">
        <is>
          <t>rising (calc.)</t>
        </is>
      </c>
      <c r="M258" t="inlineStr">
        <is>
          <t>MEASURED</t>
        </is>
      </c>
      <c r="N258" s="5" t="inlineStr">
        <is>
          <t>Semrush phrase_these (live, this session)</t>
        </is>
      </c>
      <c r="O258" t="inlineStr">
        <is>
          <t>2026-10-30</t>
        </is>
      </c>
      <c r="P258">
        <f>IF(IF(J258="NOT AVAILABLE","",J258)="",12,IF(OR(ISNUMBER(SEARCH("Transactional",IF(J258="NOT AVAILABLE","",J258))),ISNUMBER(SEARCH("Commercial",IF(J258="NOT AVAILABLE","",J258)))),25,IF(ISNUMBER(SEARCH("Informational",IF(J258="NOT AVAILABLE","",J258))),10,IF(ISNUMBER(SEARCH("Navigational",IF(J258="NOT AVAILABLE","",J258))),0,12))))</f>
        <v/>
      </c>
      <c r="Q258">
        <f>IF(ISNUMBER(F258),MIN(30,ROUND(30*LOG10(F258+1)/4,1)),0)</f>
        <v/>
      </c>
      <c r="R258">
        <f>IF(ISNUMBER(G258),ROUND(25*(100-G258)/100,1),12.5)</f>
        <v/>
      </c>
      <c r="S258" t="n">
        <v>20</v>
      </c>
      <c r="T258">
        <f>ROUND(P258+Q258+R258+S258,0)</f>
        <v/>
      </c>
      <c r="U258" s="5" t="inlineStr"/>
      <c r="V258" s="5" t="inlineStr">
        <is>
          <t>SECONDARY /get-quote</t>
        </is>
      </c>
    </row>
    <row r="259">
      <c r="A259" t="inlineStr">
        <is>
          <t>K0257</t>
        </is>
      </c>
      <c r="B259" t="inlineStr">
        <is>
          <t>référencement naturel maroc</t>
        </is>
      </c>
      <c r="C259" t="inlineStr">
        <is>
          <t>Morocco</t>
        </is>
      </c>
      <c r="D259" t="inlineStr">
        <is>
          <t>ma</t>
        </is>
      </c>
      <c r="E259" t="inlineStr">
        <is>
          <t>fr</t>
        </is>
      </c>
      <c r="F259" t="n">
        <v>30</v>
      </c>
      <c r="G259" t="inlineStr">
        <is>
          <t>NOT AVAILABLE</t>
        </is>
      </c>
      <c r="H259" t="n">
        <v>0</v>
      </c>
      <c r="I259" t="n">
        <v>0.04</v>
      </c>
      <c r="J259" t="inlineStr">
        <is>
          <t>NOT AVAILABLE</t>
        </is>
      </c>
      <c r="K259" t="inlineStr">
        <is>
          <t>NOT AVAILABLE (report not requested)</t>
        </is>
      </c>
      <c r="L259" t="inlineStr">
        <is>
          <t>rising (calc.)</t>
        </is>
      </c>
      <c r="M259" t="inlineStr">
        <is>
          <t>MEASURED</t>
        </is>
      </c>
      <c r="N259" s="5" t="inlineStr">
        <is>
          <t>Semrush phrase_these (live, this session)</t>
        </is>
      </c>
      <c r="O259" t="inlineStr">
        <is>
          <t>2026-10-30</t>
        </is>
      </c>
      <c r="P259">
        <f>IF(IF(J259="NOT AVAILABLE","",J259)="",12,IF(OR(ISNUMBER(SEARCH("Transactional",IF(J259="NOT AVAILABLE","",J259))),ISNUMBER(SEARCH("Commercial",IF(J259="NOT AVAILABLE","",J259)))),25,IF(ISNUMBER(SEARCH("Informational",IF(J259="NOT AVAILABLE","",J259))),10,IF(ISNUMBER(SEARCH("Navigational",IF(J259="NOT AVAILABLE","",J259))),0,12))))</f>
        <v/>
      </c>
      <c r="Q259">
        <f>IF(ISNUMBER(F259),MIN(30,ROUND(30*LOG10(F259+1)/4,1)),0)</f>
        <v/>
      </c>
      <c r="R259">
        <f>IF(ISNUMBER(G259),ROUND(25*(100-G259)/100,1),12.5)</f>
        <v/>
      </c>
      <c r="S259" t="n">
        <v>20</v>
      </c>
      <c r="T259">
        <f>ROUND(P259+Q259+R259+S259,0)</f>
        <v/>
      </c>
      <c r="U259" s="5" t="inlineStr"/>
      <c r="V259" s="5" t="inlineStr">
        <is>
          <t>SUPPORTING /services/seo-maroc</t>
        </is>
      </c>
    </row>
    <row r="260">
      <c r="A260" t="inlineStr">
        <is>
          <t>K0258</t>
        </is>
      </c>
      <c r="B260" t="inlineStr">
        <is>
          <t>site agence de voyage</t>
        </is>
      </c>
      <c r="C260" t="inlineStr">
        <is>
          <t>Morocco</t>
        </is>
      </c>
      <c r="D260" t="inlineStr">
        <is>
          <t>ma</t>
        </is>
      </c>
      <c r="E260" t="inlineStr">
        <is>
          <t>fr</t>
        </is>
      </c>
      <c r="F260" t="n">
        <v>30</v>
      </c>
      <c r="G260" t="inlineStr">
        <is>
          <t>NOT AVAILABLE</t>
        </is>
      </c>
      <c r="H260" t="n">
        <v>0.14</v>
      </c>
      <c r="I260" t="n">
        <v>0.54</v>
      </c>
      <c r="J260" t="inlineStr">
        <is>
          <t>NOT AVAILABLE</t>
        </is>
      </c>
      <c r="K260" t="inlineStr">
        <is>
          <t>NOT AVAILABLE (report not requested)</t>
        </is>
      </c>
      <c r="L260" t="inlineStr">
        <is>
          <t>declining (calc.)</t>
        </is>
      </c>
      <c r="M260" t="inlineStr">
        <is>
          <t>MEASURED</t>
        </is>
      </c>
      <c r="N260" s="5" t="inlineStr">
        <is>
          <t>Semrush phrase_these (live, this session)</t>
        </is>
      </c>
      <c r="O260" t="inlineStr">
        <is>
          <t>2026-10-30</t>
        </is>
      </c>
      <c r="P260">
        <f>IF(IF(J260="NOT AVAILABLE","",J260)="",12,IF(OR(ISNUMBER(SEARCH("Transactional",IF(J260="NOT AVAILABLE","",J260))),ISNUMBER(SEARCH("Commercial",IF(J260="NOT AVAILABLE","",J260)))),25,IF(ISNUMBER(SEARCH("Informational",IF(J260="NOT AVAILABLE","",J260))),10,IF(ISNUMBER(SEARCH("Navigational",IF(J260="NOT AVAILABLE","",J260))),0,12))))</f>
        <v/>
      </c>
      <c r="Q260">
        <f>IF(ISNUMBER(F260),MIN(30,ROUND(30*LOG10(F260+1)/4,1)),0)</f>
        <v/>
      </c>
      <c r="R260">
        <f>IF(ISNUMBER(G260),ROUND(25*(100-G260)/100,1),12.5)</f>
        <v/>
      </c>
      <c r="S260" t="n">
        <v>20</v>
      </c>
      <c r="T260">
        <f>ROUND(P260+Q260+R260+S260,0)</f>
        <v/>
      </c>
      <c r="U260" s="5" t="inlineStr"/>
      <c r="V260" s="5" t="inlineStr"/>
    </row>
    <row r="261">
      <c r="A261" t="inlineStr">
        <is>
          <t>K0259</t>
        </is>
      </c>
      <c r="B261" t="inlineStr">
        <is>
          <t>site e-commerce maroc</t>
        </is>
      </c>
      <c r="C261" t="inlineStr">
        <is>
          <t>Morocco</t>
        </is>
      </c>
      <c r="D261" t="inlineStr">
        <is>
          <t>ma</t>
        </is>
      </c>
      <c r="E261" t="inlineStr">
        <is>
          <t>fr</t>
        </is>
      </c>
      <c r="F261" t="n">
        <v>30</v>
      </c>
      <c r="G261" t="inlineStr">
        <is>
          <t>NOT AVAILABLE</t>
        </is>
      </c>
      <c r="H261" t="n">
        <v>0.28</v>
      </c>
      <c r="I261" t="n">
        <v>0.24</v>
      </c>
      <c r="J261" t="inlineStr">
        <is>
          <t>NOT AVAILABLE</t>
        </is>
      </c>
      <c r="K261" t="inlineStr">
        <is>
          <t>NOT AVAILABLE (report not requested)</t>
        </is>
      </c>
      <c r="L261" t="inlineStr">
        <is>
          <t>declining (calc.)</t>
        </is>
      </c>
      <c r="M261" t="inlineStr">
        <is>
          <t>MEASURED</t>
        </is>
      </c>
      <c r="N261" s="5" t="inlineStr">
        <is>
          <t>Semrush phrase_these (live, this session)</t>
        </is>
      </c>
      <c r="O261" t="inlineStr">
        <is>
          <t>2026-10-30</t>
        </is>
      </c>
      <c r="P261">
        <f>IF(IF(J261="NOT AVAILABLE","",J261)="",12,IF(OR(ISNUMBER(SEARCH("Transactional",IF(J261="NOT AVAILABLE","",J261))),ISNUMBER(SEARCH("Commercial",IF(J261="NOT AVAILABLE","",J261)))),25,IF(ISNUMBER(SEARCH("Informational",IF(J261="NOT AVAILABLE","",J261))),10,IF(ISNUMBER(SEARCH("Navigational",IF(J261="NOT AVAILABLE","",J261))),0,12))))</f>
        <v/>
      </c>
      <c r="Q261">
        <f>IF(ISNUMBER(F261),MIN(30,ROUND(30*LOG10(F261+1)/4,1)),0)</f>
        <v/>
      </c>
      <c r="R261">
        <f>IF(ISNUMBER(G261),ROUND(25*(100-G261)/100,1),12.5)</f>
        <v/>
      </c>
      <c r="S261" t="n">
        <v>20</v>
      </c>
      <c r="T261">
        <f>ROUND(P261+Q261+R261+S261,0)</f>
        <v/>
      </c>
      <c r="U261" s="5" t="inlineStr"/>
      <c r="V261" s="5" t="inlineStr">
        <is>
          <t>SECONDARY /services/ecommerce-website-development</t>
        </is>
      </c>
    </row>
    <row r="262">
      <c r="A262" t="inlineStr">
        <is>
          <t>K0260</t>
        </is>
      </c>
      <c r="B262" t="inlineStr">
        <is>
          <t>site web agadir</t>
        </is>
      </c>
      <c r="C262" t="inlineStr">
        <is>
          <t>Morocco</t>
        </is>
      </c>
      <c r="D262" t="inlineStr">
        <is>
          <t>ma</t>
        </is>
      </c>
      <c r="E262" t="inlineStr">
        <is>
          <t>fr</t>
        </is>
      </c>
      <c r="F262" t="n">
        <v>30</v>
      </c>
      <c r="G262" t="inlineStr">
        <is>
          <t>NOT AVAILABLE</t>
        </is>
      </c>
      <c r="H262" t="n">
        <v>0</v>
      </c>
      <c r="I262" t="n">
        <v>0.27</v>
      </c>
      <c r="J262" t="inlineStr">
        <is>
          <t>NOT AVAILABLE</t>
        </is>
      </c>
      <c r="K262" t="inlineStr">
        <is>
          <t>NOT AVAILABLE (report not requested)</t>
        </is>
      </c>
      <c r="L262" t="inlineStr">
        <is>
          <t>rising (calc.)</t>
        </is>
      </c>
      <c r="M262" t="inlineStr">
        <is>
          <t>MEASURED</t>
        </is>
      </c>
      <c r="N262" s="5" t="inlineStr">
        <is>
          <t>Semrush phrase_these (live, this session)</t>
        </is>
      </c>
      <c r="O262" t="inlineStr">
        <is>
          <t>2026-10-30</t>
        </is>
      </c>
      <c r="P262">
        <f>IF(IF(J262="NOT AVAILABLE","",J262)="",12,IF(OR(ISNUMBER(SEARCH("Transactional",IF(J262="NOT AVAILABLE","",J262))),ISNUMBER(SEARCH("Commercial",IF(J262="NOT AVAILABLE","",J262)))),25,IF(ISNUMBER(SEARCH("Informational",IF(J262="NOT AVAILABLE","",J262))),10,IF(ISNUMBER(SEARCH("Navigational",IF(J262="NOT AVAILABLE","",J262))),0,12))))</f>
        <v/>
      </c>
      <c r="Q262">
        <f>IF(ISNUMBER(F262),MIN(30,ROUND(30*LOG10(F262+1)/4,1)),0)</f>
        <v/>
      </c>
      <c r="R262">
        <f>IF(ISNUMBER(G262),ROUND(25*(100-G262)/100,1),12.5)</f>
        <v/>
      </c>
      <c r="S262" t="n">
        <v>20</v>
      </c>
      <c r="T262">
        <f>ROUND(P262+Q262+R262+S262,0)</f>
        <v/>
      </c>
      <c r="U262" s="5" t="inlineStr"/>
      <c r="V262" s="5" t="inlineStr">
        <is>
          <t>SUPPORTING /web-development-company/agadir</t>
        </is>
      </c>
    </row>
    <row r="263">
      <c r="A263" t="inlineStr">
        <is>
          <t>K0261</t>
        </is>
      </c>
      <c r="B263" t="inlineStr">
        <is>
          <t>site web gratuit maroc</t>
        </is>
      </c>
      <c r="C263" t="inlineStr">
        <is>
          <t>Morocco</t>
        </is>
      </c>
      <c r="D263" t="inlineStr">
        <is>
          <t>ma</t>
        </is>
      </c>
      <c r="E263" t="inlineStr">
        <is>
          <t>fr</t>
        </is>
      </c>
      <c r="F263" t="n">
        <v>30</v>
      </c>
      <c r="G263" t="inlineStr">
        <is>
          <t>NOT AVAILABLE</t>
        </is>
      </c>
      <c r="H263" t="n">
        <v>0</v>
      </c>
      <c r="I263" t="n">
        <v>0.74</v>
      </c>
      <c r="J263" t="inlineStr">
        <is>
          <t>NOT AVAILABLE</t>
        </is>
      </c>
      <c r="K263" t="inlineStr">
        <is>
          <t>NOT AVAILABLE (report not requested)</t>
        </is>
      </c>
      <c r="L263" t="inlineStr">
        <is>
          <t>rising (calc.)</t>
        </is>
      </c>
      <c r="M263" t="inlineStr">
        <is>
          <t>MEASURED</t>
        </is>
      </c>
      <c r="N263" s="5" t="inlineStr">
        <is>
          <t>Semrush phrase_these (live, this session)</t>
        </is>
      </c>
      <c r="O263" t="inlineStr">
        <is>
          <t>2026-10-30</t>
        </is>
      </c>
      <c r="P263">
        <f>IF(IF(J263="NOT AVAILABLE","",J263)="",12,IF(OR(ISNUMBER(SEARCH("Transactional",IF(J263="NOT AVAILABLE","",J263))),ISNUMBER(SEARCH("Commercial",IF(J263="NOT AVAILABLE","",J263)))),25,IF(ISNUMBER(SEARCH("Informational",IF(J263="NOT AVAILABLE","",J263))),10,IF(ISNUMBER(SEARCH("Navigational",IF(J263="NOT AVAILABLE","",J263))),0,12))))</f>
        <v/>
      </c>
      <c r="Q263">
        <f>IF(ISNUMBER(F263),MIN(30,ROUND(30*LOG10(F263+1)/4,1)),0)</f>
        <v/>
      </c>
      <c r="R263">
        <f>IF(ISNUMBER(G263),ROUND(25*(100-G263)/100,1),12.5)</f>
        <v/>
      </c>
      <c r="S263" t="n">
        <v>20</v>
      </c>
      <c r="T263">
        <f>ROUND(P263+Q263+R263+S263,0)</f>
        <v/>
      </c>
      <c r="U263" s="5" t="inlineStr"/>
      <c r="V263" s="5" t="inlineStr"/>
    </row>
    <row r="264">
      <c r="A264" t="inlineStr">
        <is>
          <t>K0262</t>
        </is>
      </c>
      <c r="B264" t="inlineStr">
        <is>
          <t>site web tanger</t>
        </is>
      </c>
      <c r="C264" t="inlineStr">
        <is>
          <t>Morocco</t>
        </is>
      </c>
      <c r="D264" t="inlineStr">
        <is>
          <t>ma</t>
        </is>
      </c>
      <c r="E264" t="inlineStr">
        <is>
          <t>fr</t>
        </is>
      </c>
      <c r="F264" t="n">
        <v>30</v>
      </c>
      <c r="G264" t="inlineStr">
        <is>
          <t>NOT AVAILABLE</t>
        </is>
      </c>
      <c r="H264" t="n">
        <v>0.68</v>
      </c>
      <c r="I264" t="n">
        <v>0.52</v>
      </c>
      <c r="J264" t="inlineStr">
        <is>
          <t>NOT AVAILABLE</t>
        </is>
      </c>
      <c r="K264" t="inlineStr">
        <is>
          <t>NOT AVAILABLE (report not requested)</t>
        </is>
      </c>
      <c r="L264" t="inlineStr">
        <is>
          <t>rising (calc.)</t>
        </is>
      </c>
      <c r="M264" t="inlineStr">
        <is>
          <t>MEASURED</t>
        </is>
      </c>
      <c r="N264" s="5" t="inlineStr">
        <is>
          <t>Semrush phrase_these (live, this session)</t>
        </is>
      </c>
      <c r="O264" t="inlineStr">
        <is>
          <t>2026-10-30</t>
        </is>
      </c>
      <c r="P264">
        <f>IF(IF(J264="NOT AVAILABLE","",J264)="",12,IF(OR(ISNUMBER(SEARCH("Transactional",IF(J264="NOT AVAILABLE","",J264))),ISNUMBER(SEARCH("Commercial",IF(J264="NOT AVAILABLE","",J264)))),25,IF(ISNUMBER(SEARCH("Informational",IF(J264="NOT AVAILABLE","",J264))),10,IF(ISNUMBER(SEARCH("Navigational",IF(J264="NOT AVAILABLE","",J264))),0,12))))</f>
        <v/>
      </c>
      <c r="Q264">
        <f>IF(ISNUMBER(F264),MIN(30,ROUND(30*LOG10(F264+1)/4,1)),0)</f>
        <v/>
      </c>
      <c r="R264">
        <f>IF(ISNUMBER(G264),ROUND(25*(100-G264)/100,1),12.5)</f>
        <v/>
      </c>
      <c r="S264" t="n">
        <v>20</v>
      </c>
      <c r="T264">
        <f>ROUND(P264+Q264+R264+S264,0)</f>
        <v/>
      </c>
      <c r="U264" s="5" t="inlineStr"/>
      <c r="V264" s="5" t="inlineStr">
        <is>
          <t>SUPPORTING /web-development-company/tangier</t>
        </is>
      </c>
    </row>
    <row r="265">
      <c r="A265" t="inlineStr">
        <is>
          <t>K0263</t>
        </is>
      </c>
      <c r="B265" t="inlineStr">
        <is>
          <t>société création de site web</t>
        </is>
      </c>
      <c r="C265" t="inlineStr">
        <is>
          <t>Morocco</t>
        </is>
      </c>
      <c r="D265" t="inlineStr">
        <is>
          <t>ma</t>
        </is>
      </c>
      <c r="E265" t="inlineStr">
        <is>
          <t>fr</t>
        </is>
      </c>
      <c r="F265" t="n">
        <v>30</v>
      </c>
      <c r="G265" t="inlineStr">
        <is>
          <t>NOT AVAILABLE</t>
        </is>
      </c>
      <c r="H265" t="n">
        <v>0</v>
      </c>
      <c r="I265" t="n">
        <v>0.14</v>
      </c>
      <c r="J265" t="inlineStr">
        <is>
          <t>NOT AVAILABLE</t>
        </is>
      </c>
      <c r="K265" t="inlineStr">
        <is>
          <t>NOT AVAILABLE (report not requested)</t>
        </is>
      </c>
      <c r="L265" t="inlineStr">
        <is>
          <t>rising (calc.)</t>
        </is>
      </c>
      <c r="M265" t="inlineStr">
        <is>
          <t>MEASURED</t>
        </is>
      </c>
      <c r="N265" s="5" t="inlineStr">
        <is>
          <t>Semrush phrase_fullsearch (historical broad-creation-site-web-ma.csv)</t>
        </is>
      </c>
      <c r="O265" t="inlineStr">
        <is>
          <t>2026-10-26</t>
        </is>
      </c>
      <c r="P265">
        <f>IF(IF(J265="NOT AVAILABLE","",J265)="",12,IF(OR(ISNUMBER(SEARCH("Transactional",IF(J265="NOT AVAILABLE","",J265))),ISNUMBER(SEARCH("Commercial",IF(J265="NOT AVAILABLE","",J265)))),25,IF(ISNUMBER(SEARCH("Informational",IF(J265="NOT AVAILABLE","",J265))),10,IF(ISNUMBER(SEARCH("Navigational",IF(J265="NOT AVAILABLE","",J265))),0,12))))</f>
        <v/>
      </c>
      <c r="Q265">
        <f>IF(ISNUMBER(F265),MIN(30,ROUND(30*LOG10(F265+1)/4,1)),0)</f>
        <v/>
      </c>
      <c r="R265">
        <f>IF(ISNUMBER(G265),ROUND(25*(100-G265)/100,1),12.5)</f>
        <v/>
      </c>
      <c r="S265" t="n">
        <v>20</v>
      </c>
      <c r="T265">
        <f>ROUND(P265+Q265+R265+S265,0)</f>
        <v/>
      </c>
      <c r="U265" s="5" t="inlineStr"/>
      <c r="V265" s="5" t="inlineStr"/>
    </row>
    <row r="266">
      <c r="A266" t="inlineStr">
        <is>
          <t>K0264</t>
        </is>
      </c>
      <c r="B266" t="inlineStr">
        <is>
          <t>société de création de site web</t>
        </is>
      </c>
      <c r="C266" t="inlineStr">
        <is>
          <t>Morocco</t>
        </is>
      </c>
      <c r="D266" t="inlineStr">
        <is>
          <t>ma</t>
        </is>
      </c>
      <c r="E266" t="inlineStr">
        <is>
          <t>fr</t>
        </is>
      </c>
      <c r="F266" t="n">
        <v>30</v>
      </c>
      <c r="G266" t="inlineStr">
        <is>
          <t>NOT AVAILABLE</t>
        </is>
      </c>
      <c r="H266" t="n">
        <v>0</v>
      </c>
      <c r="I266" t="n">
        <v>0.14</v>
      </c>
      <c r="J266" t="inlineStr">
        <is>
          <t>NOT AVAILABLE</t>
        </is>
      </c>
      <c r="K266" t="inlineStr">
        <is>
          <t>NOT AVAILABLE (report not requested)</t>
        </is>
      </c>
      <c r="L266" t="inlineStr">
        <is>
          <t>declining (calc.)</t>
        </is>
      </c>
      <c r="M266" t="inlineStr">
        <is>
          <t>MEASURED</t>
        </is>
      </c>
      <c r="N266" s="5" t="inlineStr">
        <is>
          <t>Semrush phrase_fullsearch (historical broad-creation-site-web-ma.csv)</t>
        </is>
      </c>
      <c r="O266" t="inlineStr">
        <is>
          <t>2026-10-26</t>
        </is>
      </c>
      <c r="P266">
        <f>IF(IF(J266="NOT AVAILABLE","",J266)="",12,IF(OR(ISNUMBER(SEARCH("Transactional",IF(J266="NOT AVAILABLE","",J266))),ISNUMBER(SEARCH("Commercial",IF(J266="NOT AVAILABLE","",J266)))),25,IF(ISNUMBER(SEARCH("Informational",IF(J266="NOT AVAILABLE","",J266))),10,IF(ISNUMBER(SEARCH("Navigational",IF(J266="NOT AVAILABLE","",J266))),0,12))))</f>
        <v/>
      </c>
      <c r="Q266">
        <f>IF(ISNUMBER(F266),MIN(30,ROUND(30*LOG10(F266+1)/4,1)),0)</f>
        <v/>
      </c>
      <c r="R266">
        <f>IF(ISNUMBER(G266),ROUND(25*(100-G266)/100,1),12.5)</f>
        <v/>
      </c>
      <c r="S266" t="n">
        <v>20</v>
      </c>
      <c r="T266">
        <f>ROUND(P266+Q266+R266+S266,0)</f>
        <v/>
      </c>
      <c r="U266" s="5" t="inlineStr"/>
      <c r="V266" s="5" t="inlineStr"/>
    </row>
    <row r="267">
      <c r="A267" t="inlineStr">
        <is>
          <t>K0265</t>
        </is>
      </c>
      <c r="B267" t="inlineStr">
        <is>
          <t>transformation digitale maroc</t>
        </is>
      </c>
      <c r="C267" t="inlineStr">
        <is>
          <t>Morocco</t>
        </is>
      </c>
      <c r="D267" t="inlineStr">
        <is>
          <t>ma</t>
        </is>
      </c>
      <c r="E267" t="inlineStr">
        <is>
          <t>fr</t>
        </is>
      </c>
      <c r="F267" t="n">
        <v>30</v>
      </c>
      <c r="G267" t="inlineStr">
        <is>
          <t>NOT AVAILABLE</t>
        </is>
      </c>
      <c r="H267" t="n">
        <v>0</v>
      </c>
      <c r="I267" t="n">
        <v>0.33</v>
      </c>
      <c r="J267" t="inlineStr">
        <is>
          <t>NOT AVAILABLE</t>
        </is>
      </c>
      <c r="K267" t="inlineStr">
        <is>
          <t>NOT AVAILABLE (report not requested)</t>
        </is>
      </c>
      <c r="L267" t="inlineStr">
        <is>
          <t>stable (calc.)</t>
        </is>
      </c>
      <c r="M267" t="inlineStr">
        <is>
          <t>MEASURED</t>
        </is>
      </c>
      <c r="N267" s="5" t="inlineStr">
        <is>
          <t>Semrush phrase_these (historical w3-validate-D-software.csv)</t>
        </is>
      </c>
      <c r="O267" t="inlineStr">
        <is>
          <t>2026-10-27</t>
        </is>
      </c>
      <c r="P267">
        <f>IF(IF(J267="NOT AVAILABLE","",J267)="",12,IF(OR(ISNUMBER(SEARCH("Transactional",IF(J267="NOT AVAILABLE","",J267))),ISNUMBER(SEARCH("Commercial",IF(J267="NOT AVAILABLE","",J267)))),25,IF(ISNUMBER(SEARCH("Informational",IF(J267="NOT AVAILABLE","",J267))),10,IF(ISNUMBER(SEARCH("Navigational",IF(J267="NOT AVAILABLE","",J267))),0,12))))</f>
        <v/>
      </c>
      <c r="Q267">
        <f>IF(ISNUMBER(F267),MIN(30,ROUND(30*LOG10(F267+1)/4,1)),0)</f>
        <v/>
      </c>
      <c r="R267">
        <f>IF(ISNUMBER(G267),ROUND(25*(100-G267)/100,1),12.5)</f>
        <v/>
      </c>
      <c r="S267" t="n">
        <v>20</v>
      </c>
      <c r="T267">
        <f>ROUND(P267+Q267+R267+S267,0)</f>
        <v/>
      </c>
      <c r="U267" s="5" t="inlineStr"/>
      <c r="V267" s="5" t="inlineStr"/>
    </row>
    <row r="268">
      <c r="A268" t="inlineStr">
        <is>
          <t>K0266</t>
        </is>
      </c>
      <c r="B268" t="inlineStr">
        <is>
          <t>url canonique</t>
        </is>
      </c>
      <c r="C268" t="inlineStr">
        <is>
          <t>Morocco</t>
        </is>
      </c>
      <c r="D268" t="inlineStr">
        <is>
          <t>ma</t>
        </is>
      </c>
      <c r="E268" t="inlineStr">
        <is>
          <t>fr</t>
        </is>
      </c>
      <c r="F268" t="n">
        <v>30</v>
      </c>
      <c r="G268" t="inlineStr">
        <is>
          <t>NOT AVAILABLE</t>
        </is>
      </c>
      <c r="H268" t="n">
        <v>0</v>
      </c>
      <c r="I268" t="n">
        <v>0.33</v>
      </c>
      <c r="J268" t="inlineStr">
        <is>
          <t>NOT AVAILABLE</t>
        </is>
      </c>
      <c r="K268" t="inlineStr">
        <is>
          <t>NOT AVAILABLE (report not requested)</t>
        </is>
      </c>
      <c r="L268" t="inlineStr">
        <is>
          <t>rising (calc.)</t>
        </is>
      </c>
      <c r="M268" t="inlineStr">
        <is>
          <t>MEASURED</t>
        </is>
      </c>
      <c r="N268" s="5" t="inlineStr">
        <is>
          <t>Semrush phrase_these (live, this session)</t>
        </is>
      </c>
      <c r="O268" t="inlineStr">
        <is>
          <t>2026-10-30</t>
        </is>
      </c>
      <c r="P268">
        <f>IF(IF(J268="NOT AVAILABLE","",J268)="",12,IF(OR(ISNUMBER(SEARCH("Transactional",IF(J268="NOT AVAILABLE","",J268))),ISNUMBER(SEARCH("Commercial",IF(J268="NOT AVAILABLE","",J268)))),25,IF(ISNUMBER(SEARCH("Informational",IF(J268="NOT AVAILABLE","",J268))),10,IF(ISNUMBER(SEARCH("Navigational",IF(J268="NOT AVAILABLE","",J268))),0,12))))</f>
        <v/>
      </c>
      <c r="Q268">
        <f>IF(ISNUMBER(F268),MIN(30,ROUND(30*LOG10(F268+1)/4,1)),0)</f>
        <v/>
      </c>
      <c r="R268">
        <f>IF(ISNUMBER(G268),ROUND(25*(100-G268)/100,1),12.5)</f>
        <v/>
      </c>
      <c r="S268" t="n">
        <v>20</v>
      </c>
      <c r="T268">
        <f>ROUND(P268+Q268+R268+S268,0)</f>
        <v/>
      </c>
      <c r="U268" s="5" t="inlineStr"/>
      <c r="V268" s="5" t="inlineStr">
        <is>
          <t>SECONDARY /tools/canonical-checker</t>
        </is>
      </c>
    </row>
    <row r="269">
      <c r="A269" t="inlineStr">
        <is>
          <t>K0267</t>
        </is>
      </c>
      <c r="B269" t="inlineStr">
        <is>
          <t>vitesse site web</t>
        </is>
      </c>
      <c r="C269" t="inlineStr">
        <is>
          <t>Morocco</t>
        </is>
      </c>
      <c r="D269" t="inlineStr">
        <is>
          <t>ma</t>
        </is>
      </c>
      <c r="E269" t="inlineStr">
        <is>
          <t>fr</t>
        </is>
      </c>
      <c r="F269" t="n">
        <v>30</v>
      </c>
      <c r="G269" t="inlineStr">
        <is>
          <t>NOT AVAILABLE</t>
        </is>
      </c>
      <c r="H269" t="n">
        <v>0</v>
      </c>
      <c r="I269" t="n">
        <v>0.01</v>
      </c>
      <c r="J269" t="inlineStr">
        <is>
          <t>NOT AVAILABLE</t>
        </is>
      </c>
      <c r="K269" t="inlineStr">
        <is>
          <t>NOT AVAILABLE (report not requested)</t>
        </is>
      </c>
      <c r="L269" t="inlineStr">
        <is>
          <t>stable (calc.)</t>
        </is>
      </c>
      <c r="M269" t="inlineStr">
        <is>
          <t>MEASURED</t>
        </is>
      </c>
      <c r="N269" s="5" t="inlineStr">
        <is>
          <t>Semrush phrase_these (live, this session)</t>
        </is>
      </c>
      <c r="O269" t="inlineStr">
        <is>
          <t>2026-10-30</t>
        </is>
      </c>
      <c r="P269">
        <f>IF(IF(J269="NOT AVAILABLE","",J269)="",12,IF(OR(ISNUMBER(SEARCH("Transactional",IF(J269="NOT AVAILABLE","",J269))),ISNUMBER(SEARCH("Commercial",IF(J269="NOT AVAILABLE","",J269)))),25,IF(ISNUMBER(SEARCH("Informational",IF(J269="NOT AVAILABLE","",J269))),10,IF(ISNUMBER(SEARCH("Navigational",IF(J269="NOT AVAILABLE","",J269))),0,12))))</f>
        <v/>
      </c>
      <c r="Q269">
        <f>IF(ISNUMBER(F269),MIN(30,ROUND(30*LOG10(F269+1)/4,1)),0)</f>
        <v/>
      </c>
      <c r="R269">
        <f>IF(ISNUMBER(G269),ROUND(25*(100-G269)/100,1),12.5)</f>
        <v/>
      </c>
      <c r="S269" t="n">
        <v>20</v>
      </c>
      <c r="T269">
        <f>ROUND(P269+Q269+R269+S269,0)</f>
        <v/>
      </c>
      <c r="U269" s="5" t="inlineStr"/>
      <c r="V269" s="5" t="inlineStr">
        <is>
          <t>SUPPORTING /tools/page-speed-analyzer</t>
        </is>
      </c>
    </row>
    <row r="270">
      <c r="A270" t="inlineStr">
        <is>
          <t>K0268</t>
        </is>
      </c>
      <c r="B270" t="inlineStr">
        <is>
          <t>agence de création de site internet</t>
        </is>
      </c>
      <c r="C270" t="inlineStr">
        <is>
          <t>Morocco</t>
        </is>
      </c>
      <c r="D270" t="inlineStr">
        <is>
          <t>ma</t>
        </is>
      </c>
      <c r="E270" t="inlineStr">
        <is>
          <t>fr</t>
        </is>
      </c>
      <c r="F270" t="n">
        <v>20</v>
      </c>
      <c r="G270" t="inlineStr">
        <is>
          <t>NOT AVAILABLE</t>
        </is>
      </c>
      <c r="H270" t="n">
        <v>0</v>
      </c>
      <c r="I270" t="n">
        <v>0.52</v>
      </c>
      <c r="J270" t="inlineStr">
        <is>
          <t>NOT AVAILABLE</t>
        </is>
      </c>
      <c r="K270" t="inlineStr">
        <is>
          <t>NOT AVAILABLE (report not requested)</t>
        </is>
      </c>
      <c r="L270" t="inlineStr">
        <is>
          <t>rising (calc.)</t>
        </is>
      </c>
      <c r="M270" t="inlineStr">
        <is>
          <t>MEASURED</t>
        </is>
      </c>
      <c r="N270" s="5" t="inlineStr">
        <is>
          <t>Semrush phrase_these (historical w3-validate-A-creation.csv)</t>
        </is>
      </c>
      <c r="O270" t="inlineStr">
        <is>
          <t>2026-10-27</t>
        </is>
      </c>
      <c r="P270">
        <f>IF(IF(J270="NOT AVAILABLE","",J270)="",12,IF(OR(ISNUMBER(SEARCH("Transactional",IF(J270="NOT AVAILABLE","",J270))),ISNUMBER(SEARCH("Commercial",IF(J270="NOT AVAILABLE","",J270)))),25,IF(ISNUMBER(SEARCH("Informational",IF(J270="NOT AVAILABLE","",J270))),10,IF(ISNUMBER(SEARCH("Navigational",IF(J270="NOT AVAILABLE","",J270))),0,12))))</f>
        <v/>
      </c>
      <c r="Q270">
        <f>IF(ISNUMBER(F270),MIN(30,ROUND(30*LOG10(F270+1)/4,1)),0)</f>
        <v/>
      </c>
      <c r="R270">
        <f>IF(ISNUMBER(G270),ROUND(25*(100-G270)/100,1),12.5)</f>
        <v/>
      </c>
      <c r="S270" t="n">
        <v>20</v>
      </c>
      <c r="T270">
        <f>ROUND(P270+Q270+R270+S270,0)</f>
        <v/>
      </c>
      <c r="U270" s="5" t="inlineStr"/>
      <c r="V270" s="5" t="inlineStr"/>
    </row>
    <row r="271">
      <c r="A271" t="inlineStr">
        <is>
          <t>K0269</t>
        </is>
      </c>
      <c r="B271" t="inlineStr">
        <is>
          <t>agence de développement web</t>
        </is>
      </c>
      <c r="C271" t="inlineStr">
        <is>
          <t>Morocco</t>
        </is>
      </c>
      <c r="D271" t="inlineStr">
        <is>
          <t>ma</t>
        </is>
      </c>
      <c r="E271" t="inlineStr">
        <is>
          <t>fr</t>
        </is>
      </c>
      <c r="F271" t="n">
        <v>20</v>
      </c>
      <c r="G271" t="inlineStr">
        <is>
          <t>NOT AVAILABLE</t>
        </is>
      </c>
      <c r="H271" t="n">
        <v>0.44</v>
      </c>
      <c r="I271" t="n">
        <v>0.33</v>
      </c>
      <c r="J271" t="inlineStr">
        <is>
          <t>NOT AVAILABLE</t>
        </is>
      </c>
      <c r="K271" t="inlineStr">
        <is>
          <t>NOT AVAILABLE (report not requested)</t>
        </is>
      </c>
      <c r="L271" t="inlineStr">
        <is>
          <t>rising (calc.)</t>
        </is>
      </c>
      <c r="M271" t="inlineStr">
        <is>
          <t>MEASURED</t>
        </is>
      </c>
      <c r="N271" s="5" t="inlineStr">
        <is>
          <t>Semrush phrase_these (historical validate-ma-core.csv)</t>
        </is>
      </c>
      <c r="O271" t="inlineStr">
        <is>
          <t>2026-10-26</t>
        </is>
      </c>
      <c r="P271">
        <f>IF(IF(J271="NOT AVAILABLE","",J271)="",12,IF(OR(ISNUMBER(SEARCH("Transactional",IF(J271="NOT AVAILABLE","",J271))),ISNUMBER(SEARCH("Commercial",IF(J271="NOT AVAILABLE","",J271)))),25,IF(ISNUMBER(SEARCH("Informational",IF(J271="NOT AVAILABLE","",J271))),10,IF(ISNUMBER(SEARCH("Navigational",IF(J271="NOT AVAILABLE","",J271))),0,12))))</f>
        <v/>
      </c>
      <c r="Q271">
        <f>IF(ISNUMBER(F271),MIN(30,ROUND(30*LOG10(F271+1)/4,1)),0)</f>
        <v/>
      </c>
      <c r="R271">
        <f>IF(ISNUMBER(G271),ROUND(25*(100-G271)/100,1),12.5)</f>
        <v/>
      </c>
      <c r="S271" t="n">
        <v>20</v>
      </c>
      <c r="T271">
        <f>ROUND(P271+Q271+R271+S271,0)</f>
        <v/>
      </c>
      <c r="U271" s="5" t="inlineStr"/>
      <c r="V271" s="5" t="inlineStr"/>
    </row>
    <row r="272">
      <c r="A272" t="inlineStr">
        <is>
          <t>K0270</t>
        </is>
      </c>
      <c r="B272" t="inlineStr">
        <is>
          <t>agence digitale agadir</t>
        </is>
      </c>
      <c r="C272" t="inlineStr">
        <is>
          <t>Morocco</t>
        </is>
      </c>
      <c r="D272" t="inlineStr">
        <is>
          <t>ma</t>
        </is>
      </c>
      <c r="E272" t="inlineStr">
        <is>
          <t>fr</t>
        </is>
      </c>
      <c r="F272" t="n">
        <v>20</v>
      </c>
      <c r="G272" t="inlineStr">
        <is>
          <t>NOT AVAILABLE</t>
        </is>
      </c>
      <c r="H272" t="n">
        <v>0.37</v>
      </c>
      <c r="I272" t="n">
        <v>0.39</v>
      </c>
      <c r="J272" t="inlineStr">
        <is>
          <t>NOT AVAILABLE</t>
        </is>
      </c>
      <c r="K272" t="inlineStr">
        <is>
          <t>NOT AVAILABLE (report not requested)</t>
        </is>
      </c>
      <c r="L272" t="inlineStr">
        <is>
          <t>stable (calc.)</t>
        </is>
      </c>
      <c r="M272" t="inlineStr">
        <is>
          <t>MEASURED</t>
        </is>
      </c>
      <c r="N272" s="5" t="inlineStr">
        <is>
          <t>Semrush phrase_these (live, this session)</t>
        </is>
      </c>
      <c r="O272" t="inlineStr">
        <is>
          <t>2026-10-30</t>
        </is>
      </c>
      <c r="P272">
        <f>IF(IF(J272="NOT AVAILABLE","",J272)="",12,IF(OR(ISNUMBER(SEARCH("Transactional",IF(J272="NOT AVAILABLE","",J272))),ISNUMBER(SEARCH("Commercial",IF(J272="NOT AVAILABLE","",J272)))),25,IF(ISNUMBER(SEARCH("Informational",IF(J272="NOT AVAILABLE","",J272))),10,IF(ISNUMBER(SEARCH("Navigational",IF(J272="NOT AVAILABLE","",J272))),0,12))))</f>
        <v/>
      </c>
      <c r="Q272">
        <f>IF(ISNUMBER(F272),MIN(30,ROUND(30*LOG10(F272+1)/4,1)),0)</f>
        <v/>
      </c>
      <c r="R272">
        <f>IF(ISNUMBER(G272),ROUND(25*(100-G272)/100,1),12.5)</f>
        <v/>
      </c>
      <c r="S272" t="n">
        <v>20</v>
      </c>
      <c r="T272">
        <f>ROUND(P272+Q272+R272+S272,0)</f>
        <v/>
      </c>
      <c r="U272" s="5" t="inlineStr"/>
      <c r="V272" s="5" t="inlineStr">
        <is>
          <t>SUPPORTING /web-development-company/agadir</t>
        </is>
      </c>
    </row>
    <row r="273">
      <c r="A273" t="inlineStr">
        <is>
          <t>K0271</t>
        </is>
      </c>
      <c r="B273" t="inlineStr">
        <is>
          <t>agence e-commerce maroc</t>
        </is>
      </c>
      <c r="C273" t="inlineStr">
        <is>
          <t>Morocco</t>
        </is>
      </c>
      <c r="D273" t="inlineStr">
        <is>
          <t>ma</t>
        </is>
      </c>
      <c r="E273" t="inlineStr">
        <is>
          <t>fr</t>
        </is>
      </c>
      <c r="F273" t="n">
        <v>20</v>
      </c>
      <c r="G273" t="inlineStr">
        <is>
          <t>NOT AVAILABLE</t>
        </is>
      </c>
      <c r="H273" t="n">
        <v>0.35</v>
      </c>
      <c r="I273" t="n">
        <v>0.33</v>
      </c>
      <c r="J273" t="inlineStr">
        <is>
          <t>NOT AVAILABLE</t>
        </is>
      </c>
      <c r="K273" t="inlineStr">
        <is>
          <t>NOT AVAILABLE (report not requested)</t>
        </is>
      </c>
      <c r="L273" t="inlineStr">
        <is>
          <t>rising (calc.)</t>
        </is>
      </c>
      <c r="M273" t="inlineStr">
        <is>
          <t>MEASURED</t>
        </is>
      </c>
      <c r="N273" s="5" t="inlineStr">
        <is>
          <t>Semrush phrase_these (live, this session)</t>
        </is>
      </c>
      <c r="O273" t="inlineStr">
        <is>
          <t>2026-10-30</t>
        </is>
      </c>
      <c r="P273">
        <f>IF(IF(J273="NOT AVAILABLE","",J273)="",12,IF(OR(ISNUMBER(SEARCH("Transactional",IF(J273="NOT AVAILABLE","",J273))),ISNUMBER(SEARCH("Commercial",IF(J273="NOT AVAILABLE","",J273)))),25,IF(ISNUMBER(SEARCH("Informational",IF(J273="NOT AVAILABLE","",J273))),10,IF(ISNUMBER(SEARCH("Navigational",IF(J273="NOT AVAILABLE","",J273))),0,12))))</f>
        <v/>
      </c>
      <c r="Q273">
        <f>IF(ISNUMBER(F273),MIN(30,ROUND(30*LOG10(F273+1)/4,1)),0)</f>
        <v/>
      </c>
      <c r="R273">
        <f>IF(ISNUMBER(G273),ROUND(25*(100-G273)/100,1),12.5)</f>
        <v/>
      </c>
      <c r="S273" t="n">
        <v>20</v>
      </c>
      <c r="T273">
        <f>ROUND(P273+Q273+R273+S273,0)</f>
        <v/>
      </c>
      <c r="U273" s="5" t="inlineStr"/>
      <c r="V273" s="5" t="inlineStr">
        <is>
          <t>SECONDARY /services/ecommerce-website-development</t>
        </is>
      </c>
    </row>
    <row r="274">
      <c r="A274" t="inlineStr">
        <is>
          <t>K0272</t>
        </is>
      </c>
      <c r="B274" t="inlineStr">
        <is>
          <t>agence ecommerce maroc</t>
        </is>
      </c>
      <c r="C274" t="inlineStr">
        <is>
          <t>Morocco</t>
        </is>
      </c>
      <c r="D274" t="inlineStr">
        <is>
          <t>ma</t>
        </is>
      </c>
      <c r="E274" t="inlineStr">
        <is>
          <t>fr</t>
        </is>
      </c>
      <c r="F274" t="n">
        <v>20</v>
      </c>
      <c r="G274" t="inlineStr">
        <is>
          <t>NOT AVAILABLE</t>
        </is>
      </c>
      <c r="H274" t="n">
        <v>0.35</v>
      </c>
      <c r="I274" t="n">
        <v>0.33</v>
      </c>
      <c r="J274" t="inlineStr">
        <is>
          <t>NOT AVAILABLE</t>
        </is>
      </c>
      <c r="K274" t="inlineStr">
        <is>
          <t>NOT AVAILABLE (report not requested)</t>
        </is>
      </c>
      <c r="L274" t="inlineStr">
        <is>
          <t>declining (calc.)</t>
        </is>
      </c>
      <c r="M274" t="inlineStr">
        <is>
          <t>MEASURED</t>
        </is>
      </c>
      <c r="N274" s="5" t="inlineStr">
        <is>
          <t>Semrush phrase_these (live, this session)</t>
        </is>
      </c>
      <c r="O274" t="inlineStr">
        <is>
          <t>2026-10-30</t>
        </is>
      </c>
      <c r="P274">
        <f>IF(IF(J274="NOT AVAILABLE","",J274)="",12,IF(OR(ISNUMBER(SEARCH("Transactional",IF(J274="NOT AVAILABLE","",J274))),ISNUMBER(SEARCH("Commercial",IF(J274="NOT AVAILABLE","",J274)))),25,IF(ISNUMBER(SEARCH("Informational",IF(J274="NOT AVAILABLE","",J274))),10,IF(ISNUMBER(SEARCH("Navigational",IF(J274="NOT AVAILABLE","",J274))),0,12))))</f>
        <v/>
      </c>
      <c r="Q274">
        <f>IF(ISNUMBER(F274),MIN(30,ROUND(30*LOG10(F274+1)/4,1)),0)</f>
        <v/>
      </c>
      <c r="R274">
        <f>IF(ISNUMBER(G274),ROUND(25*(100-G274)/100,1),12.5)</f>
        <v/>
      </c>
      <c r="S274" t="n">
        <v>20</v>
      </c>
      <c r="T274">
        <f>ROUND(P274+Q274+R274+S274,0)</f>
        <v/>
      </c>
      <c r="U274" s="5" t="inlineStr"/>
      <c r="V274" s="5" t="inlineStr"/>
    </row>
    <row r="275">
      <c r="A275" t="inlineStr">
        <is>
          <t>K0273</t>
        </is>
      </c>
      <c r="B275" t="inlineStr">
        <is>
          <t>agence référencement maroc</t>
        </is>
      </c>
      <c r="C275" t="inlineStr">
        <is>
          <t>Morocco</t>
        </is>
      </c>
      <c r="D275" t="inlineStr">
        <is>
          <t>ma</t>
        </is>
      </c>
      <c r="E275" t="inlineStr">
        <is>
          <t>fr</t>
        </is>
      </c>
      <c r="F275" t="n">
        <v>20</v>
      </c>
      <c r="G275" t="inlineStr">
        <is>
          <t>NOT AVAILABLE</t>
        </is>
      </c>
      <c r="H275" t="n">
        <v>0</v>
      </c>
      <c r="I275" t="n">
        <v>0.33</v>
      </c>
      <c r="J275" t="inlineStr">
        <is>
          <t>NOT AVAILABLE</t>
        </is>
      </c>
      <c r="K275" t="inlineStr">
        <is>
          <t>NOT AVAILABLE (report not requested)</t>
        </is>
      </c>
      <c r="L275" t="inlineStr">
        <is>
          <t>declining (calc.)</t>
        </is>
      </c>
      <c r="M275" t="inlineStr">
        <is>
          <t>MEASURED</t>
        </is>
      </c>
      <c r="N275" s="5" t="inlineStr">
        <is>
          <t>Semrush phrase_these (live, this session)</t>
        </is>
      </c>
      <c r="O275" t="inlineStr">
        <is>
          <t>2026-10-30</t>
        </is>
      </c>
      <c r="P275">
        <f>IF(IF(J275="NOT AVAILABLE","",J275)="",12,IF(OR(ISNUMBER(SEARCH("Transactional",IF(J275="NOT AVAILABLE","",J275))),ISNUMBER(SEARCH("Commercial",IF(J275="NOT AVAILABLE","",J275)))),25,IF(ISNUMBER(SEARCH("Informational",IF(J275="NOT AVAILABLE","",J275))),10,IF(ISNUMBER(SEARCH("Navigational",IF(J275="NOT AVAILABLE","",J275))),0,12))))</f>
        <v/>
      </c>
      <c r="Q275">
        <f>IF(ISNUMBER(F275),MIN(30,ROUND(30*LOG10(F275+1)/4,1)),0)</f>
        <v/>
      </c>
      <c r="R275">
        <f>IF(ISNUMBER(G275),ROUND(25*(100-G275)/100,1),12.5)</f>
        <v/>
      </c>
      <c r="S275" t="n">
        <v>20</v>
      </c>
      <c r="T275">
        <f>ROUND(P275+Q275+R275+S275,0)</f>
        <v/>
      </c>
      <c r="U275" s="5" t="inlineStr"/>
      <c r="V275" s="5" t="inlineStr">
        <is>
          <t>SUPPORTING /services/seo-maroc</t>
        </is>
      </c>
    </row>
    <row r="276">
      <c r="A276" t="inlineStr">
        <is>
          <t>K0274</t>
        </is>
      </c>
      <c r="B276" t="inlineStr">
        <is>
          <t>agence seo agadir</t>
        </is>
      </c>
      <c r="C276" t="inlineStr">
        <is>
          <t>Morocco</t>
        </is>
      </c>
      <c r="D276" t="inlineStr">
        <is>
          <t>ma</t>
        </is>
      </c>
      <c r="E276" t="inlineStr">
        <is>
          <t>fr</t>
        </is>
      </c>
      <c r="F276" t="n">
        <v>20</v>
      </c>
      <c r="G276" t="inlineStr">
        <is>
          <t>NOT AVAILABLE</t>
        </is>
      </c>
      <c r="H276" t="n">
        <v>0</v>
      </c>
      <c r="I276" t="n">
        <v>0.02</v>
      </c>
      <c r="J276" t="inlineStr">
        <is>
          <t>NOT AVAILABLE</t>
        </is>
      </c>
      <c r="K276" t="inlineStr">
        <is>
          <t>NOT AVAILABLE (report not requested)</t>
        </is>
      </c>
      <c r="L276" t="inlineStr">
        <is>
          <t>stable (calc.)</t>
        </is>
      </c>
      <c r="M276" t="inlineStr">
        <is>
          <t>MEASURED</t>
        </is>
      </c>
      <c r="N276" s="5" t="inlineStr">
        <is>
          <t>Semrush phrase_these (live, this session)</t>
        </is>
      </c>
      <c r="O276" t="inlineStr">
        <is>
          <t>2026-10-30</t>
        </is>
      </c>
      <c r="P276">
        <f>IF(IF(J276="NOT AVAILABLE","",J276)="",12,IF(OR(ISNUMBER(SEARCH("Transactional",IF(J276="NOT AVAILABLE","",J276))),ISNUMBER(SEARCH("Commercial",IF(J276="NOT AVAILABLE","",J276)))),25,IF(ISNUMBER(SEARCH("Informational",IF(J276="NOT AVAILABLE","",J276))),10,IF(ISNUMBER(SEARCH("Navigational",IF(J276="NOT AVAILABLE","",J276))),0,12))))</f>
        <v/>
      </c>
      <c r="Q276">
        <f>IF(ISNUMBER(F276),MIN(30,ROUND(30*LOG10(F276+1)/4,1)),0)</f>
        <v/>
      </c>
      <c r="R276">
        <f>IF(ISNUMBER(G276),ROUND(25*(100-G276)/100,1),12.5)</f>
        <v/>
      </c>
      <c r="S276" t="n">
        <v>20</v>
      </c>
      <c r="T276">
        <f>ROUND(P276+Q276+R276+S276,0)</f>
        <v/>
      </c>
      <c r="U276" s="5" t="inlineStr"/>
      <c r="V276" s="5" t="inlineStr">
        <is>
          <t>SUPPORTING /services/seo-maroc; NOT RECOMMENDED /web-development-company/agadir</t>
        </is>
      </c>
    </row>
    <row r="277">
      <c r="A277" t="inlineStr">
        <is>
          <t>K0275</t>
        </is>
      </c>
      <c r="B277" t="inlineStr">
        <is>
          <t>agence web kenitra</t>
        </is>
      </c>
      <c r="C277" t="inlineStr">
        <is>
          <t>Morocco</t>
        </is>
      </c>
      <c r="D277" t="inlineStr">
        <is>
          <t>ma</t>
        </is>
      </c>
      <c r="E277" t="inlineStr">
        <is>
          <t>fr</t>
        </is>
      </c>
      <c r="F277" t="n">
        <v>20</v>
      </c>
      <c r="G277" t="inlineStr">
        <is>
          <t>NOT AVAILABLE</t>
        </is>
      </c>
      <c r="H277" t="n">
        <v>0</v>
      </c>
      <c r="I277" t="n">
        <v>0.43</v>
      </c>
      <c r="J277" t="inlineStr">
        <is>
          <t>NOT AVAILABLE</t>
        </is>
      </c>
      <c r="K277" t="inlineStr">
        <is>
          <t>NOT AVAILABLE (report not requested)</t>
        </is>
      </c>
      <c r="L277" t="inlineStr">
        <is>
          <t>stable (calc.)</t>
        </is>
      </c>
      <c r="M277" t="inlineStr">
        <is>
          <t>MEASURED</t>
        </is>
      </c>
      <c r="N277" s="5" t="inlineStr">
        <is>
          <t>Semrush phrase_these (historical w3-validate-F-cities.csv)</t>
        </is>
      </c>
      <c r="O277" t="inlineStr">
        <is>
          <t>2026-10-27</t>
        </is>
      </c>
      <c r="P277">
        <f>IF(IF(J277="NOT AVAILABLE","",J277)="",12,IF(OR(ISNUMBER(SEARCH("Transactional",IF(J277="NOT AVAILABLE","",J277))),ISNUMBER(SEARCH("Commercial",IF(J277="NOT AVAILABLE","",J277)))),25,IF(ISNUMBER(SEARCH("Informational",IF(J277="NOT AVAILABLE","",J277))),10,IF(ISNUMBER(SEARCH("Navigational",IF(J277="NOT AVAILABLE","",J277))),0,12))))</f>
        <v/>
      </c>
      <c r="Q277">
        <f>IF(ISNUMBER(F277),MIN(30,ROUND(30*LOG10(F277+1)/4,1)),0)</f>
        <v/>
      </c>
      <c r="R277">
        <f>IF(ISNUMBER(G277),ROUND(25*(100-G277)/100,1),12.5)</f>
        <v/>
      </c>
      <c r="S277" t="n">
        <v>20</v>
      </c>
      <c r="T277">
        <f>ROUND(P277+Q277+R277+S277,0)</f>
        <v/>
      </c>
      <c r="U277" s="5" t="inlineStr"/>
      <c r="V277" s="5" t="inlineStr"/>
    </row>
    <row r="278">
      <c r="A278" t="inlineStr">
        <is>
          <t>K0276</t>
        </is>
      </c>
      <c r="B278" t="inlineStr">
        <is>
          <t>agence web meknes</t>
        </is>
      </c>
      <c r="C278" t="inlineStr">
        <is>
          <t>Morocco</t>
        </is>
      </c>
      <c r="D278" t="inlineStr">
        <is>
          <t>ma</t>
        </is>
      </c>
      <c r="E278" t="inlineStr">
        <is>
          <t>fr</t>
        </is>
      </c>
      <c r="F278" t="n">
        <v>20</v>
      </c>
      <c r="G278" t="inlineStr">
        <is>
          <t>NOT AVAILABLE</t>
        </is>
      </c>
      <c r="H278" t="n">
        <v>0</v>
      </c>
      <c r="I278" t="n">
        <v>0.14</v>
      </c>
      <c r="J278" t="inlineStr">
        <is>
          <t>NOT AVAILABLE</t>
        </is>
      </c>
      <c r="K278" t="inlineStr">
        <is>
          <t>NOT AVAILABLE (report not requested)</t>
        </is>
      </c>
      <c r="L278" t="inlineStr">
        <is>
          <t>rising (calc.)</t>
        </is>
      </c>
      <c r="M278" t="inlineStr">
        <is>
          <t>MEASURED</t>
        </is>
      </c>
      <c r="N278" s="5" t="inlineStr">
        <is>
          <t>Semrush phrase_these (historical w3-validate-F-cities.csv)</t>
        </is>
      </c>
      <c r="O278" t="inlineStr">
        <is>
          <t>2026-10-27</t>
        </is>
      </c>
      <c r="P278">
        <f>IF(IF(J278="NOT AVAILABLE","",J278)="",12,IF(OR(ISNUMBER(SEARCH("Transactional",IF(J278="NOT AVAILABLE","",J278))),ISNUMBER(SEARCH("Commercial",IF(J278="NOT AVAILABLE","",J278)))),25,IF(ISNUMBER(SEARCH("Informational",IF(J278="NOT AVAILABLE","",J278))),10,IF(ISNUMBER(SEARCH("Navigational",IF(J278="NOT AVAILABLE","",J278))),0,12))))</f>
        <v/>
      </c>
      <c r="Q278">
        <f>IF(ISNUMBER(F278),MIN(30,ROUND(30*LOG10(F278+1)/4,1)),0)</f>
        <v/>
      </c>
      <c r="R278">
        <f>IF(ISNUMBER(G278),ROUND(25*(100-G278)/100,1),12.5)</f>
        <v/>
      </c>
      <c r="S278" t="n">
        <v>20</v>
      </c>
      <c r="T278">
        <f>ROUND(P278+Q278+R278+S278,0)</f>
        <v/>
      </c>
      <c r="U278" s="5" t="inlineStr"/>
      <c r="V278" s="5" t="inlineStr"/>
    </row>
    <row r="279">
      <c r="A279" t="inlineStr">
        <is>
          <t>K0277</t>
        </is>
      </c>
      <c r="B279" t="inlineStr">
        <is>
          <t>agence web mohammedia</t>
        </is>
      </c>
      <c r="C279" t="inlineStr">
        <is>
          <t>Morocco</t>
        </is>
      </c>
      <c r="D279" t="inlineStr">
        <is>
          <t>ma</t>
        </is>
      </c>
      <c r="E279" t="inlineStr">
        <is>
          <t>fr</t>
        </is>
      </c>
      <c r="F279" t="n">
        <v>20</v>
      </c>
      <c r="G279" t="inlineStr">
        <is>
          <t>NOT AVAILABLE</t>
        </is>
      </c>
      <c r="H279" t="n">
        <v>0</v>
      </c>
      <c r="I279" t="n">
        <v>0.1</v>
      </c>
      <c r="J279" t="inlineStr">
        <is>
          <t>NOT AVAILABLE</t>
        </is>
      </c>
      <c r="K279" t="inlineStr">
        <is>
          <t>NOT AVAILABLE (report not requested)</t>
        </is>
      </c>
      <c r="L279" t="inlineStr">
        <is>
          <t>rising (calc.)</t>
        </is>
      </c>
      <c r="M279" t="inlineStr">
        <is>
          <t>MEASURED</t>
        </is>
      </c>
      <c r="N279" s="5" t="inlineStr">
        <is>
          <t>Semrush phrase_these (historical w3-validate-F-cities.csv)</t>
        </is>
      </c>
      <c r="O279" t="inlineStr">
        <is>
          <t>2026-10-27</t>
        </is>
      </c>
      <c r="P279">
        <f>IF(IF(J279="NOT AVAILABLE","",J279)="",12,IF(OR(ISNUMBER(SEARCH("Transactional",IF(J279="NOT AVAILABLE","",J279))),ISNUMBER(SEARCH("Commercial",IF(J279="NOT AVAILABLE","",J279)))),25,IF(ISNUMBER(SEARCH("Informational",IF(J279="NOT AVAILABLE","",J279))),10,IF(ISNUMBER(SEARCH("Navigational",IF(J279="NOT AVAILABLE","",J279))),0,12))))</f>
        <v/>
      </c>
      <c r="Q279">
        <f>IF(ISNUMBER(F279),MIN(30,ROUND(30*LOG10(F279+1)/4,1)),0)</f>
        <v/>
      </c>
      <c r="R279">
        <f>IF(ISNUMBER(G279),ROUND(25*(100-G279)/100,1),12.5)</f>
        <v/>
      </c>
      <c r="S279" t="n">
        <v>20</v>
      </c>
      <c r="T279">
        <f>ROUND(P279+Q279+R279+S279,0)</f>
        <v/>
      </c>
      <c r="U279" s="5" t="inlineStr"/>
      <c r="V279" s="5" t="inlineStr"/>
    </row>
    <row r="280">
      <c r="A280" t="inlineStr">
        <is>
          <t>K0278</t>
        </is>
      </c>
      <c r="B280" t="inlineStr">
        <is>
          <t>agence web oujda</t>
        </is>
      </c>
      <c r="C280" t="inlineStr">
        <is>
          <t>Morocco</t>
        </is>
      </c>
      <c r="D280" t="inlineStr">
        <is>
          <t>ma</t>
        </is>
      </c>
      <c r="E280" t="inlineStr">
        <is>
          <t>fr</t>
        </is>
      </c>
      <c r="F280" t="n">
        <v>20</v>
      </c>
      <c r="G280" t="inlineStr">
        <is>
          <t>NOT AVAILABLE</t>
        </is>
      </c>
      <c r="H280" t="n">
        <v>0</v>
      </c>
      <c r="I280" t="n">
        <v>0.06</v>
      </c>
      <c r="J280" t="inlineStr">
        <is>
          <t>NOT AVAILABLE</t>
        </is>
      </c>
      <c r="K280" t="inlineStr">
        <is>
          <t>NOT AVAILABLE (report not requested)</t>
        </is>
      </c>
      <c r="L280" t="inlineStr">
        <is>
          <t>stable (calc.)</t>
        </is>
      </c>
      <c r="M280" t="inlineStr">
        <is>
          <t>MEASURED</t>
        </is>
      </c>
      <c r="N280" s="5" t="inlineStr">
        <is>
          <t>Semrush phrase_these (historical w3-validate-F-cities.csv)</t>
        </is>
      </c>
      <c r="O280" t="inlineStr">
        <is>
          <t>2026-10-27</t>
        </is>
      </c>
      <c r="P280">
        <f>IF(IF(J280="NOT AVAILABLE","",J280)="",12,IF(OR(ISNUMBER(SEARCH("Transactional",IF(J280="NOT AVAILABLE","",J280))),ISNUMBER(SEARCH("Commercial",IF(J280="NOT AVAILABLE","",J280)))),25,IF(ISNUMBER(SEARCH("Informational",IF(J280="NOT AVAILABLE","",J280))),10,IF(ISNUMBER(SEARCH("Navigational",IF(J280="NOT AVAILABLE","",J280))),0,12))))</f>
        <v/>
      </c>
      <c r="Q280">
        <f>IF(ISNUMBER(F280),MIN(30,ROUND(30*LOG10(F280+1)/4,1)),0)</f>
        <v/>
      </c>
      <c r="R280">
        <f>IF(ISNUMBER(G280),ROUND(25*(100-G280)/100,1),12.5)</f>
        <v/>
      </c>
      <c r="S280" t="n">
        <v>20</v>
      </c>
      <c r="T280">
        <f>ROUND(P280+Q280+R280+S280,0)</f>
        <v/>
      </c>
      <c r="U280" s="5" t="inlineStr"/>
      <c r="V280" s="5" t="inlineStr"/>
    </row>
    <row r="281">
      <c r="A281" t="inlineStr">
        <is>
          <t>K0279</t>
        </is>
      </c>
      <c r="B281" t="inlineStr">
        <is>
          <t>agence web à marrakech</t>
        </is>
      </c>
      <c r="C281" t="inlineStr">
        <is>
          <t>Morocco</t>
        </is>
      </c>
      <c r="D281" t="inlineStr">
        <is>
          <t>ma</t>
        </is>
      </c>
      <c r="E281" t="inlineStr">
        <is>
          <t>fr</t>
        </is>
      </c>
      <c r="F281" t="n">
        <v>20</v>
      </c>
      <c r="G281" t="inlineStr">
        <is>
          <t>NOT AVAILABLE</t>
        </is>
      </c>
      <c r="H281" t="n">
        <v>0</v>
      </c>
      <c r="I281" t="n">
        <v>0.12</v>
      </c>
      <c r="J281" t="inlineStr">
        <is>
          <t>NOT AVAILABLE</t>
        </is>
      </c>
      <c r="K281" t="inlineStr">
        <is>
          <t>NOT AVAILABLE (report not requested)</t>
        </is>
      </c>
      <c r="L281" t="inlineStr">
        <is>
          <t>declining (calc.)</t>
        </is>
      </c>
      <c r="M281" t="inlineStr">
        <is>
          <t>MEASURED</t>
        </is>
      </c>
      <c r="N281" s="5" t="inlineStr">
        <is>
          <t>Semrush phrase_these (live, this session)</t>
        </is>
      </c>
      <c r="O281" t="inlineStr">
        <is>
          <t>2026-10-30</t>
        </is>
      </c>
      <c r="P281">
        <f>IF(IF(J281="NOT AVAILABLE","",J281)="",12,IF(OR(ISNUMBER(SEARCH("Transactional",IF(J281="NOT AVAILABLE","",J281))),ISNUMBER(SEARCH("Commercial",IF(J281="NOT AVAILABLE","",J281)))),25,IF(ISNUMBER(SEARCH("Informational",IF(J281="NOT AVAILABLE","",J281))),10,IF(ISNUMBER(SEARCH("Navigational",IF(J281="NOT AVAILABLE","",J281))),0,12))))</f>
        <v/>
      </c>
      <c r="Q281">
        <f>IF(ISNUMBER(F281),MIN(30,ROUND(30*LOG10(F281+1)/4,1)),0)</f>
        <v/>
      </c>
      <c r="R281">
        <f>IF(ISNUMBER(G281),ROUND(25*(100-G281)/100,1),12.5)</f>
        <v/>
      </c>
      <c r="S281" t="n">
        <v>20</v>
      </c>
      <c r="T281">
        <f>ROUND(P281+Q281+R281+S281,0)</f>
        <v/>
      </c>
      <c r="U281" s="5" t="inlineStr"/>
      <c r="V281" s="5" t="inlineStr"/>
    </row>
    <row r="282">
      <c r="A282" t="inlineStr">
        <is>
          <t>K0280</t>
        </is>
      </c>
      <c r="B282" t="inlineStr">
        <is>
          <t>analyse seo gratuit</t>
        </is>
      </c>
      <c r="C282" t="inlineStr">
        <is>
          <t>Morocco</t>
        </is>
      </c>
      <c r="D282" t="inlineStr">
        <is>
          <t>ma</t>
        </is>
      </c>
      <c r="E282" t="inlineStr">
        <is>
          <t>fr</t>
        </is>
      </c>
      <c r="F282" t="n">
        <v>20</v>
      </c>
      <c r="G282" t="inlineStr">
        <is>
          <t>NOT AVAILABLE</t>
        </is>
      </c>
      <c r="H282" t="n">
        <v>0</v>
      </c>
      <c r="I282" t="n">
        <v>0.6</v>
      </c>
      <c r="J282" t="inlineStr">
        <is>
          <t>NOT AVAILABLE</t>
        </is>
      </c>
      <c r="K282" t="inlineStr">
        <is>
          <t>NOT AVAILABLE (report not requested)</t>
        </is>
      </c>
      <c r="L282" t="inlineStr">
        <is>
          <t>stable (calc.)</t>
        </is>
      </c>
      <c r="M282" t="inlineStr">
        <is>
          <t>MEASURED</t>
        </is>
      </c>
      <c r="N282" s="5" t="inlineStr">
        <is>
          <t>Semrush phrase_these (live, this session)</t>
        </is>
      </c>
      <c r="O282" t="inlineStr">
        <is>
          <t>2026-10-30</t>
        </is>
      </c>
      <c r="P282">
        <f>IF(IF(J282="NOT AVAILABLE","",J282)="",12,IF(OR(ISNUMBER(SEARCH("Transactional",IF(J282="NOT AVAILABLE","",J282))),ISNUMBER(SEARCH("Commercial",IF(J282="NOT AVAILABLE","",J282)))),25,IF(ISNUMBER(SEARCH("Informational",IF(J282="NOT AVAILABLE","",J282))),10,IF(ISNUMBER(SEARCH("Navigational",IF(J282="NOT AVAILABLE","",J282))),0,12))))</f>
        <v/>
      </c>
      <c r="Q282">
        <f>IF(ISNUMBER(F282),MIN(30,ROUND(30*LOG10(F282+1)/4,1)),0)</f>
        <v/>
      </c>
      <c r="R282">
        <f>IF(ISNUMBER(G282),ROUND(25*(100-G282)/100,1),12.5)</f>
        <v/>
      </c>
      <c r="S282" t="n">
        <v>20</v>
      </c>
      <c r="T282">
        <f>ROUND(P282+Q282+R282+S282,0)</f>
        <v/>
      </c>
      <c r="U282" s="5" t="inlineStr"/>
      <c r="V282" s="5" t="inlineStr">
        <is>
          <t>SUPPORTING /tools/website-analyzer</t>
        </is>
      </c>
    </row>
    <row r="283">
      <c r="A283" t="inlineStr">
        <is>
          <t>K0281</t>
        </is>
      </c>
      <c r="B283" t="inlineStr">
        <is>
          <t>analyse seo gratuite</t>
        </is>
      </c>
      <c r="C283" t="inlineStr">
        <is>
          <t>Morocco</t>
        </is>
      </c>
      <c r="D283" t="inlineStr">
        <is>
          <t>ma</t>
        </is>
      </c>
      <c r="E283" t="inlineStr">
        <is>
          <t>fr</t>
        </is>
      </c>
      <c r="F283" t="n">
        <v>20</v>
      </c>
      <c r="G283" t="inlineStr">
        <is>
          <t>NOT AVAILABLE</t>
        </is>
      </c>
      <c r="H283" t="n">
        <v>0</v>
      </c>
      <c r="I283" t="n">
        <v>0.6</v>
      </c>
      <c r="J283" t="inlineStr">
        <is>
          <t>NOT AVAILABLE</t>
        </is>
      </c>
      <c r="K283" t="inlineStr">
        <is>
          <t>NOT AVAILABLE (report not requested)</t>
        </is>
      </c>
      <c r="L283" t="inlineStr">
        <is>
          <t>stable (calc.)</t>
        </is>
      </c>
      <c r="M283" t="inlineStr">
        <is>
          <t>MEASURED</t>
        </is>
      </c>
      <c r="N283" s="5" t="inlineStr">
        <is>
          <t>Semrush phrase_these (historical validate-ma-wave2.csv)</t>
        </is>
      </c>
      <c r="O283" t="inlineStr">
        <is>
          <t>2026-10-26</t>
        </is>
      </c>
      <c r="P283">
        <f>IF(IF(J283="NOT AVAILABLE","",J283)="",12,IF(OR(ISNUMBER(SEARCH("Transactional",IF(J283="NOT AVAILABLE","",J283))),ISNUMBER(SEARCH("Commercial",IF(J283="NOT AVAILABLE","",J283)))),25,IF(ISNUMBER(SEARCH("Informational",IF(J283="NOT AVAILABLE","",J283))),10,IF(ISNUMBER(SEARCH("Navigational",IF(J283="NOT AVAILABLE","",J283))),0,12))))</f>
        <v/>
      </c>
      <c r="Q283">
        <f>IF(ISNUMBER(F283),MIN(30,ROUND(30*LOG10(F283+1)/4,1)),0)</f>
        <v/>
      </c>
      <c r="R283">
        <f>IF(ISNUMBER(G283),ROUND(25*(100-G283)/100,1),12.5)</f>
        <v/>
      </c>
      <c r="S283" t="n">
        <v>20</v>
      </c>
      <c r="T283">
        <f>ROUND(P283+Q283+R283+S283,0)</f>
        <v/>
      </c>
      <c r="U283" s="5" t="inlineStr"/>
      <c r="V283" s="5" t="inlineStr"/>
    </row>
    <row r="284">
      <c r="A284" t="inlineStr">
        <is>
          <t>K0282</t>
        </is>
      </c>
      <c r="B284" t="inlineStr">
        <is>
          <t>analyse site web gratuit</t>
        </is>
      </c>
      <c r="C284" t="inlineStr">
        <is>
          <t>Morocco</t>
        </is>
      </c>
      <c r="D284" t="inlineStr">
        <is>
          <t>ma</t>
        </is>
      </c>
      <c r="E284" t="inlineStr">
        <is>
          <t>fr</t>
        </is>
      </c>
      <c r="F284" t="n">
        <v>20</v>
      </c>
      <c r="G284" t="inlineStr">
        <is>
          <t>NOT AVAILABLE</t>
        </is>
      </c>
      <c r="H284" t="n">
        <v>0.3</v>
      </c>
      <c r="I284" t="n">
        <v>0.21</v>
      </c>
      <c r="J284" t="inlineStr">
        <is>
          <t>NOT AVAILABLE</t>
        </is>
      </c>
      <c r="K284" t="inlineStr">
        <is>
          <t>NOT AVAILABLE (report not requested)</t>
        </is>
      </c>
      <c r="L284" t="inlineStr">
        <is>
          <t>rising (calc.)</t>
        </is>
      </c>
      <c r="M284" t="inlineStr">
        <is>
          <t>MEASURED</t>
        </is>
      </c>
      <c r="N284" s="5" t="inlineStr">
        <is>
          <t>Semrush phrase_these (live, this session)</t>
        </is>
      </c>
      <c r="O284" t="inlineStr">
        <is>
          <t>2026-10-30</t>
        </is>
      </c>
      <c r="P284">
        <f>IF(IF(J284="NOT AVAILABLE","",J284)="",12,IF(OR(ISNUMBER(SEARCH("Transactional",IF(J284="NOT AVAILABLE","",J284))),ISNUMBER(SEARCH("Commercial",IF(J284="NOT AVAILABLE","",J284)))),25,IF(ISNUMBER(SEARCH("Informational",IF(J284="NOT AVAILABLE","",J284))),10,IF(ISNUMBER(SEARCH("Navigational",IF(J284="NOT AVAILABLE","",J284))),0,12))))</f>
        <v/>
      </c>
      <c r="Q284">
        <f>IF(ISNUMBER(F284),MIN(30,ROUND(30*LOG10(F284+1)/4,1)),0)</f>
        <v/>
      </c>
      <c r="R284">
        <f>IF(ISNUMBER(G284),ROUND(25*(100-G284)/100,1),12.5)</f>
        <v/>
      </c>
      <c r="S284" t="n">
        <v>20</v>
      </c>
      <c r="T284">
        <f>ROUND(P284+Q284+R284+S284,0)</f>
        <v/>
      </c>
      <c r="U284" s="5" t="inlineStr"/>
      <c r="V284" s="5" t="inlineStr">
        <is>
          <t>SUPPORTING /tools/website-analyzer</t>
        </is>
      </c>
    </row>
    <row r="285">
      <c r="A285" t="inlineStr">
        <is>
          <t>K0283</t>
        </is>
      </c>
      <c r="B285" t="inlineStr">
        <is>
          <t>analyseur site web</t>
        </is>
      </c>
      <c r="C285" t="inlineStr">
        <is>
          <t>Morocco</t>
        </is>
      </c>
      <c r="D285" t="inlineStr">
        <is>
          <t>ma</t>
        </is>
      </c>
      <c r="E285" t="inlineStr">
        <is>
          <t>fr</t>
        </is>
      </c>
      <c r="F285" t="n">
        <v>20</v>
      </c>
      <c r="G285" t="inlineStr">
        <is>
          <t>NOT AVAILABLE</t>
        </is>
      </c>
      <c r="H285" t="n">
        <v>0.26</v>
      </c>
      <c r="I285" t="n">
        <v>0.13</v>
      </c>
      <c r="J285" t="inlineStr">
        <is>
          <t>NOT AVAILABLE</t>
        </is>
      </c>
      <c r="K285" t="inlineStr">
        <is>
          <t>NOT AVAILABLE (report not requested)</t>
        </is>
      </c>
      <c r="L285" t="inlineStr">
        <is>
          <t>declining (calc.)</t>
        </is>
      </c>
      <c r="M285" t="inlineStr">
        <is>
          <t>MEASURED</t>
        </is>
      </c>
      <c r="N285" s="5" t="inlineStr">
        <is>
          <t>Semrush phrase_these (live, this session)</t>
        </is>
      </c>
      <c r="O285" t="inlineStr">
        <is>
          <t>2026-10-30</t>
        </is>
      </c>
      <c r="P285">
        <f>IF(IF(J285="NOT AVAILABLE","",J285)="",12,IF(OR(ISNUMBER(SEARCH("Transactional",IF(J285="NOT AVAILABLE","",J285))),ISNUMBER(SEARCH("Commercial",IF(J285="NOT AVAILABLE","",J285)))),25,IF(ISNUMBER(SEARCH("Informational",IF(J285="NOT AVAILABLE","",J285))),10,IF(ISNUMBER(SEARCH("Navigational",IF(J285="NOT AVAILABLE","",J285))),0,12))))</f>
        <v/>
      </c>
      <c r="Q285">
        <f>IF(ISNUMBER(F285),MIN(30,ROUND(30*LOG10(F285+1)/4,1)),0)</f>
        <v/>
      </c>
      <c r="R285">
        <f>IF(ISNUMBER(G285),ROUND(25*(100-G285)/100,1),12.5)</f>
        <v/>
      </c>
      <c r="S285" t="n">
        <v>20</v>
      </c>
      <c r="T285">
        <f>ROUND(P285+Q285+R285+S285,0)</f>
        <v/>
      </c>
      <c r="U285" s="5" t="inlineStr"/>
      <c r="V285" s="5" t="inlineStr">
        <is>
          <t>SUPPORTING /tools/website-analyzer</t>
        </is>
      </c>
    </row>
    <row r="286">
      <c r="A286" t="inlineStr">
        <is>
          <t>K0284</t>
        </is>
      </c>
      <c r="B286" t="inlineStr">
        <is>
          <t>attribut alt</t>
        </is>
      </c>
      <c r="C286" t="inlineStr">
        <is>
          <t>Morocco</t>
        </is>
      </c>
      <c r="D286" t="inlineStr">
        <is>
          <t>ma</t>
        </is>
      </c>
      <c r="E286" t="inlineStr">
        <is>
          <t>fr</t>
        </is>
      </c>
      <c r="F286" t="n">
        <v>20</v>
      </c>
      <c r="G286" t="inlineStr">
        <is>
          <t>NOT AVAILABLE</t>
        </is>
      </c>
      <c r="H286" t="n">
        <v>0</v>
      </c>
      <c r="I286" t="n">
        <v>0.33</v>
      </c>
      <c r="J286" t="inlineStr">
        <is>
          <t>NOT AVAILABLE</t>
        </is>
      </c>
      <c r="K286" t="inlineStr">
        <is>
          <t>NOT AVAILABLE (report not requested)</t>
        </is>
      </c>
      <c r="L286" t="inlineStr">
        <is>
          <t>declining (calc.)</t>
        </is>
      </c>
      <c r="M286" t="inlineStr">
        <is>
          <t>MEASURED</t>
        </is>
      </c>
      <c r="N286" s="5" t="inlineStr">
        <is>
          <t>Semrush phrase_these (live, this session)</t>
        </is>
      </c>
      <c r="O286" t="inlineStr">
        <is>
          <t>2026-10-30</t>
        </is>
      </c>
      <c r="P286">
        <f>IF(IF(J286="NOT AVAILABLE","",J286)="",12,IF(OR(ISNUMBER(SEARCH("Transactional",IF(J286="NOT AVAILABLE","",J286))),ISNUMBER(SEARCH("Commercial",IF(J286="NOT AVAILABLE","",J286)))),25,IF(ISNUMBER(SEARCH("Informational",IF(J286="NOT AVAILABLE","",J286))),10,IF(ISNUMBER(SEARCH("Navigational",IF(J286="NOT AVAILABLE","",J286))),0,12))))</f>
        <v/>
      </c>
      <c r="Q286">
        <f>IF(ISNUMBER(F286),MIN(30,ROUND(30*LOG10(F286+1)/4,1)),0)</f>
        <v/>
      </c>
      <c r="R286">
        <f>IF(ISNUMBER(G286),ROUND(25*(100-G286)/100,1),12.5)</f>
        <v/>
      </c>
      <c r="S286" t="n">
        <v>20</v>
      </c>
      <c r="T286">
        <f>ROUND(P286+Q286+R286+S286,0)</f>
        <v/>
      </c>
      <c r="U286" s="5" t="inlineStr"/>
      <c r="V286" s="5" t="inlineStr">
        <is>
          <t>SUPPORTING /tools/image-alt-analyzer</t>
        </is>
      </c>
    </row>
    <row r="287">
      <c r="A287" t="inlineStr">
        <is>
          <t>K0285</t>
        </is>
      </c>
      <c r="B287" t="inlineStr">
        <is>
          <t>audit seo gratuit</t>
        </is>
      </c>
      <c r="C287" t="inlineStr">
        <is>
          <t>Morocco</t>
        </is>
      </c>
      <c r="D287" t="inlineStr">
        <is>
          <t>ma</t>
        </is>
      </c>
      <c r="E287" t="inlineStr">
        <is>
          <t>fr</t>
        </is>
      </c>
      <c r="F287" t="n">
        <v>20</v>
      </c>
      <c r="G287" t="inlineStr">
        <is>
          <t>NOT AVAILABLE</t>
        </is>
      </c>
      <c r="H287" t="n">
        <v>0.11</v>
      </c>
      <c r="I287" t="n">
        <v>0.33</v>
      </c>
      <c r="J287" t="inlineStr">
        <is>
          <t>NOT AVAILABLE</t>
        </is>
      </c>
      <c r="K287" t="inlineStr">
        <is>
          <t>NOT AVAILABLE (report not requested)</t>
        </is>
      </c>
      <c r="L287" t="inlineStr">
        <is>
          <t>declining (calc.)</t>
        </is>
      </c>
      <c r="M287" t="inlineStr">
        <is>
          <t>MEASURED</t>
        </is>
      </c>
      <c r="N287" s="5" t="inlineStr">
        <is>
          <t>Semrush phrase_these (live, this session)</t>
        </is>
      </c>
      <c r="O287" t="inlineStr">
        <is>
          <t>2026-10-30</t>
        </is>
      </c>
      <c r="P287">
        <f>IF(IF(J287="NOT AVAILABLE","",J287)="",12,IF(OR(ISNUMBER(SEARCH("Transactional",IF(J287="NOT AVAILABLE","",J287))),ISNUMBER(SEARCH("Commercial",IF(J287="NOT AVAILABLE","",J287)))),25,IF(ISNUMBER(SEARCH("Informational",IF(J287="NOT AVAILABLE","",J287))),10,IF(ISNUMBER(SEARCH("Navigational",IF(J287="NOT AVAILABLE","",J287))),0,12))))</f>
        <v/>
      </c>
      <c r="Q287">
        <f>IF(ISNUMBER(F287),MIN(30,ROUND(30*LOG10(F287+1)/4,1)),0)</f>
        <v/>
      </c>
      <c r="R287">
        <f>IF(ISNUMBER(G287),ROUND(25*(100-G287)/100,1),12.5)</f>
        <v/>
      </c>
      <c r="S287" t="n">
        <v>20</v>
      </c>
      <c r="T287">
        <f>ROUND(P287+Q287+R287+S287,0)</f>
        <v/>
      </c>
      <c r="U287" s="5" t="inlineStr"/>
      <c r="V287" s="5" t="inlineStr">
        <is>
          <t>FAQ /services/seo-maroc; SECONDARY /tools/website-analyzer</t>
        </is>
      </c>
    </row>
    <row r="288">
      <c r="A288" t="inlineStr">
        <is>
          <t>K0286</t>
        </is>
      </c>
      <c r="B288" t="inlineStr">
        <is>
          <t>automatisation processus métier</t>
        </is>
      </c>
      <c r="C288" t="inlineStr">
        <is>
          <t>Morocco</t>
        </is>
      </c>
      <c r="D288" t="inlineStr">
        <is>
          <t>ma</t>
        </is>
      </c>
      <c r="E288" t="inlineStr">
        <is>
          <t>fr</t>
        </is>
      </c>
      <c r="F288" t="n">
        <v>20</v>
      </c>
      <c r="G288" t="inlineStr">
        <is>
          <t>NOT AVAILABLE</t>
        </is>
      </c>
      <c r="H288" t="n">
        <v>0</v>
      </c>
      <c r="I288" t="n">
        <v>0</v>
      </c>
      <c r="J288" t="inlineStr">
        <is>
          <t>NOT AVAILABLE</t>
        </is>
      </c>
      <c r="K288" t="inlineStr">
        <is>
          <t>NOT AVAILABLE (report not requested)</t>
        </is>
      </c>
      <c r="L288" t="inlineStr">
        <is>
          <t>declining (calc.)</t>
        </is>
      </c>
      <c r="M288" t="inlineStr">
        <is>
          <t>MEASURED</t>
        </is>
      </c>
      <c r="N288" s="5" t="inlineStr">
        <is>
          <t>Semrush phrase_these (historical w3-validate-D-software.csv)</t>
        </is>
      </c>
      <c r="O288" t="inlineStr">
        <is>
          <t>2026-10-27</t>
        </is>
      </c>
      <c r="P288">
        <f>IF(IF(J288="NOT AVAILABLE","",J288)="",12,IF(OR(ISNUMBER(SEARCH("Transactional",IF(J288="NOT AVAILABLE","",J288))),ISNUMBER(SEARCH("Commercial",IF(J288="NOT AVAILABLE","",J288)))),25,IF(ISNUMBER(SEARCH("Informational",IF(J288="NOT AVAILABLE","",J288))),10,IF(ISNUMBER(SEARCH("Navigational",IF(J288="NOT AVAILABLE","",J288))),0,12))))</f>
        <v/>
      </c>
      <c r="Q288">
        <f>IF(ISNUMBER(F288),MIN(30,ROUND(30*LOG10(F288+1)/4,1)),0)</f>
        <v/>
      </c>
      <c r="R288">
        <f>IF(ISNUMBER(G288),ROUND(25*(100-G288)/100,1),12.5)</f>
        <v/>
      </c>
      <c r="S288" t="n">
        <v>20</v>
      </c>
      <c r="T288">
        <f>ROUND(P288+Q288+R288+S288,0)</f>
        <v/>
      </c>
      <c r="U288" s="5" t="inlineStr"/>
      <c r="V288" s="5" t="inlineStr"/>
    </row>
    <row r="289">
      <c r="A289" t="inlineStr">
        <is>
          <t>K0287</t>
        </is>
      </c>
      <c r="B289" t="inlineStr">
        <is>
          <t>balise h1</t>
        </is>
      </c>
      <c r="C289" t="inlineStr">
        <is>
          <t>Morocco</t>
        </is>
      </c>
      <c r="D289" t="inlineStr">
        <is>
          <t>ma</t>
        </is>
      </c>
      <c r="E289" t="inlineStr">
        <is>
          <t>fr</t>
        </is>
      </c>
      <c r="F289" t="n">
        <v>20</v>
      </c>
      <c r="G289" t="inlineStr">
        <is>
          <t>NOT AVAILABLE</t>
        </is>
      </c>
      <c r="H289" t="n">
        <v>0</v>
      </c>
      <c r="I289" t="n">
        <v>0</v>
      </c>
      <c r="J289" t="inlineStr">
        <is>
          <t>NOT AVAILABLE</t>
        </is>
      </c>
      <c r="K289" t="inlineStr">
        <is>
          <t>NOT AVAILABLE (report not requested)</t>
        </is>
      </c>
      <c r="L289" t="inlineStr">
        <is>
          <t>declining (calc.)</t>
        </is>
      </c>
      <c r="M289" t="inlineStr">
        <is>
          <t>MEASURED</t>
        </is>
      </c>
      <c r="N289" s="5" t="inlineStr">
        <is>
          <t>Semrush phrase_these (live, this session)</t>
        </is>
      </c>
      <c r="O289" t="inlineStr">
        <is>
          <t>2026-10-30</t>
        </is>
      </c>
      <c r="P289">
        <f>IF(IF(J289="NOT AVAILABLE","",J289)="",12,IF(OR(ISNUMBER(SEARCH("Transactional",IF(J289="NOT AVAILABLE","",J289))),ISNUMBER(SEARCH("Commercial",IF(J289="NOT AVAILABLE","",J289)))),25,IF(ISNUMBER(SEARCH("Informational",IF(J289="NOT AVAILABLE","",J289))),10,IF(ISNUMBER(SEARCH("Navigational",IF(J289="NOT AVAILABLE","",J289))),0,12))))</f>
        <v/>
      </c>
      <c r="Q289">
        <f>IF(ISNUMBER(F289),MIN(30,ROUND(30*LOG10(F289+1)/4,1)),0)</f>
        <v/>
      </c>
      <c r="R289">
        <f>IF(ISNUMBER(G289),ROUND(25*(100-G289)/100,1),12.5)</f>
        <v/>
      </c>
      <c r="S289" t="n">
        <v>20</v>
      </c>
      <c r="T289">
        <f>ROUND(P289+Q289+R289+S289,0)</f>
        <v/>
      </c>
      <c r="U289" s="5" t="inlineStr"/>
      <c r="V289" s="5" t="inlineStr">
        <is>
          <t>SECONDARY /tools/heading-analyzer</t>
        </is>
      </c>
    </row>
    <row r="290">
      <c r="A290" t="inlineStr">
        <is>
          <t>K0288</t>
        </is>
      </c>
      <c r="B290" t="inlineStr">
        <is>
          <t>balise hreflang</t>
        </is>
      </c>
      <c r="C290" t="inlineStr">
        <is>
          <t>Morocco</t>
        </is>
      </c>
      <c r="D290" t="inlineStr">
        <is>
          <t>ma</t>
        </is>
      </c>
      <c r="E290" t="inlineStr">
        <is>
          <t>fr</t>
        </is>
      </c>
      <c r="F290" t="n">
        <v>20</v>
      </c>
      <c r="G290" t="inlineStr">
        <is>
          <t>NOT AVAILABLE</t>
        </is>
      </c>
      <c r="H290" t="n">
        <v>0</v>
      </c>
      <c r="I290" t="n">
        <v>0.33</v>
      </c>
      <c r="J290" t="inlineStr">
        <is>
          <t>NOT AVAILABLE</t>
        </is>
      </c>
      <c r="K290" t="inlineStr">
        <is>
          <t>NOT AVAILABLE (report not requested)</t>
        </is>
      </c>
      <c r="L290" t="inlineStr">
        <is>
          <t>declining (calc.)</t>
        </is>
      </c>
      <c r="M290" t="inlineStr">
        <is>
          <t>MEASURED</t>
        </is>
      </c>
      <c r="N290" s="5" t="inlineStr">
        <is>
          <t>Semrush phrase_these (live, this session)</t>
        </is>
      </c>
      <c r="O290" t="inlineStr">
        <is>
          <t>2026-10-30</t>
        </is>
      </c>
      <c r="P290">
        <f>IF(IF(J290="NOT AVAILABLE","",J290)="",12,IF(OR(ISNUMBER(SEARCH("Transactional",IF(J290="NOT AVAILABLE","",J290))),ISNUMBER(SEARCH("Commercial",IF(J290="NOT AVAILABLE","",J290)))),25,IF(ISNUMBER(SEARCH("Informational",IF(J290="NOT AVAILABLE","",J290))),10,IF(ISNUMBER(SEARCH("Navigational",IF(J290="NOT AVAILABLE","",J290))),0,12))))</f>
        <v/>
      </c>
      <c r="Q290">
        <f>IF(ISNUMBER(F290),MIN(30,ROUND(30*LOG10(F290+1)/4,1)),0)</f>
        <v/>
      </c>
      <c r="R290">
        <f>IF(ISNUMBER(G290),ROUND(25*(100-G290)/100,1),12.5)</f>
        <v/>
      </c>
      <c r="S290" t="n">
        <v>20</v>
      </c>
      <c r="T290">
        <f>ROUND(P290+Q290+R290+S290,0)</f>
        <v/>
      </c>
      <c r="U290" s="5" t="inlineStr"/>
      <c r="V290" s="5" t="inlineStr">
        <is>
          <t>SUPPORTING /tools/hreflang-generator</t>
        </is>
      </c>
    </row>
    <row r="291">
      <c r="A291" t="inlineStr">
        <is>
          <t>K0289</t>
        </is>
      </c>
      <c r="B291" t="inlineStr">
        <is>
          <t>balise meta</t>
        </is>
      </c>
      <c r="C291" t="inlineStr">
        <is>
          <t>Morocco</t>
        </is>
      </c>
      <c r="D291" t="inlineStr">
        <is>
          <t>ma</t>
        </is>
      </c>
      <c r="E291" t="inlineStr">
        <is>
          <t>fr</t>
        </is>
      </c>
      <c r="F291" t="n">
        <v>20</v>
      </c>
      <c r="G291" t="inlineStr">
        <is>
          <t>NOT AVAILABLE</t>
        </is>
      </c>
      <c r="H291" t="n">
        <v>0</v>
      </c>
      <c r="I291" t="n">
        <v>0.33</v>
      </c>
      <c r="J291" t="inlineStr">
        <is>
          <t>NOT AVAILABLE</t>
        </is>
      </c>
      <c r="K291" t="inlineStr">
        <is>
          <t>NOT AVAILABLE (report not requested)</t>
        </is>
      </c>
      <c r="L291" t="inlineStr">
        <is>
          <t>rising (calc.)</t>
        </is>
      </c>
      <c r="M291" t="inlineStr">
        <is>
          <t>MEASURED</t>
        </is>
      </c>
      <c r="N291" s="5" t="inlineStr">
        <is>
          <t>Semrush phrase_these (live, this session)</t>
        </is>
      </c>
      <c r="O291" t="inlineStr">
        <is>
          <t>2026-10-30</t>
        </is>
      </c>
      <c r="P291">
        <f>IF(IF(J291="NOT AVAILABLE","",J291)="",12,IF(OR(ISNUMBER(SEARCH("Transactional",IF(J291="NOT AVAILABLE","",J291))),ISNUMBER(SEARCH("Commercial",IF(J291="NOT AVAILABLE","",J291)))),25,IF(ISNUMBER(SEARCH("Informational",IF(J291="NOT AVAILABLE","",J291))),10,IF(ISNUMBER(SEARCH("Navigational",IF(J291="NOT AVAILABLE","",J291))),0,12))))</f>
        <v/>
      </c>
      <c r="Q291">
        <f>IF(ISNUMBER(F291),MIN(30,ROUND(30*LOG10(F291+1)/4,1)),0)</f>
        <v/>
      </c>
      <c r="R291">
        <f>IF(ISNUMBER(G291),ROUND(25*(100-G291)/100,1),12.5)</f>
        <v/>
      </c>
      <c r="S291" t="n">
        <v>20</v>
      </c>
      <c r="T291">
        <f>ROUND(P291+Q291+R291+S291,0)</f>
        <v/>
      </c>
      <c r="U291" s="5" t="inlineStr"/>
      <c r="V291" s="5" t="inlineStr">
        <is>
          <t>SECONDARY /tools/meta-tag-generator</t>
        </is>
      </c>
    </row>
    <row r="292">
      <c r="A292" t="inlineStr">
        <is>
          <t>K0290</t>
        </is>
      </c>
      <c r="B292" t="inlineStr">
        <is>
          <t>c'est quoi le seo</t>
        </is>
      </c>
      <c r="C292" t="inlineStr">
        <is>
          <t>Morocco</t>
        </is>
      </c>
      <c r="D292" t="inlineStr">
        <is>
          <t>ma</t>
        </is>
      </c>
      <c r="E292" t="inlineStr">
        <is>
          <t>fr</t>
        </is>
      </c>
      <c r="F292" t="n">
        <v>20</v>
      </c>
      <c r="G292" t="inlineStr">
        <is>
          <t>NOT AVAILABLE</t>
        </is>
      </c>
      <c r="H292" t="n">
        <v>0</v>
      </c>
      <c r="I292" t="n">
        <v>0.09</v>
      </c>
      <c r="J292" t="inlineStr">
        <is>
          <t>NOT AVAILABLE</t>
        </is>
      </c>
      <c r="K292" t="inlineStr">
        <is>
          <t>NOT AVAILABLE (report not requested)</t>
        </is>
      </c>
      <c r="L292" t="inlineStr">
        <is>
          <t>stable (calc.)</t>
        </is>
      </c>
      <c r="M292" t="inlineStr">
        <is>
          <t>MEASURED</t>
        </is>
      </c>
      <c r="N292" s="5" t="inlineStr">
        <is>
          <t>Semrush phrase_these (live, this session)</t>
        </is>
      </c>
      <c r="O292" t="inlineStr">
        <is>
          <t>2026-10-30</t>
        </is>
      </c>
      <c r="P292">
        <f>IF(IF(J292="NOT AVAILABLE","",J292)="",12,IF(OR(ISNUMBER(SEARCH("Transactional",IF(J292="NOT AVAILABLE","",J292))),ISNUMBER(SEARCH("Commercial",IF(J292="NOT AVAILABLE","",J292)))),25,IF(ISNUMBER(SEARCH("Informational",IF(J292="NOT AVAILABLE","",J292))),10,IF(ISNUMBER(SEARCH("Navigational",IF(J292="NOT AVAILABLE","",J292))),0,12))))</f>
        <v/>
      </c>
      <c r="Q292">
        <f>IF(ISNUMBER(F292),MIN(30,ROUND(30*LOG10(F292+1)/4,1)),0)</f>
        <v/>
      </c>
      <c r="R292">
        <f>IF(ISNUMBER(G292),ROUND(25*(100-G292)/100,1),12.5)</f>
        <v/>
      </c>
      <c r="S292" t="n">
        <v>20</v>
      </c>
      <c r="T292">
        <f>ROUND(P292+Q292+R292+S292,0)</f>
        <v/>
      </c>
      <c r="U292" s="5" t="inlineStr"/>
      <c r="V292" s="5" t="inlineStr">
        <is>
          <t>FAQ /services/seo-maroc</t>
        </is>
      </c>
    </row>
    <row r="293">
      <c r="A293" t="inlineStr">
        <is>
          <t>K0291</t>
        </is>
      </c>
      <c r="B293" t="inlineStr">
        <is>
          <t>cabinet immigration canada maroc</t>
        </is>
      </c>
      <c r="C293" t="inlineStr">
        <is>
          <t>Morocco</t>
        </is>
      </c>
      <c r="D293" t="inlineStr">
        <is>
          <t>ma</t>
        </is>
      </c>
      <c r="E293" t="inlineStr">
        <is>
          <t>fr</t>
        </is>
      </c>
      <c r="F293" t="n">
        <v>20</v>
      </c>
      <c r="G293" t="inlineStr">
        <is>
          <t>NOT AVAILABLE</t>
        </is>
      </c>
      <c r="H293" t="n">
        <v>0</v>
      </c>
      <c r="I293" t="n">
        <v>0.33</v>
      </c>
      <c r="J293" t="inlineStr">
        <is>
          <t>NOT AVAILABLE</t>
        </is>
      </c>
      <c r="K293" t="inlineStr">
        <is>
          <t>NOT AVAILABLE (report not requested)</t>
        </is>
      </c>
      <c r="L293" t="inlineStr">
        <is>
          <t>rising (calc.)</t>
        </is>
      </c>
      <c r="M293" t="inlineStr">
        <is>
          <t>MEASURED</t>
        </is>
      </c>
      <c r="N293" s="5" t="inlineStr">
        <is>
          <t>Semrush phrase_these (live, this session)</t>
        </is>
      </c>
      <c r="O293" t="inlineStr">
        <is>
          <t>2026-10-30</t>
        </is>
      </c>
      <c r="P293">
        <f>IF(IF(J293="NOT AVAILABLE","",J293)="",12,IF(OR(ISNUMBER(SEARCH("Transactional",IF(J293="NOT AVAILABLE","",J293))),ISNUMBER(SEARCH("Commercial",IF(J293="NOT AVAILABLE","",J293)))),25,IF(ISNUMBER(SEARCH("Informational",IF(J293="NOT AVAILABLE","",J293))),10,IF(ISNUMBER(SEARCH("Navigational",IF(J293="NOT AVAILABLE","",J293))),0,12))))</f>
        <v/>
      </c>
      <c r="Q293">
        <f>IF(ISNUMBER(F293),MIN(30,ROUND(30*LOG10(F293+1)/4,1)),0)</f>
        <v/>
      </c>
      <c r="R293">
        <f>IF(ISNUMBER(G293),ROUND(25*(100-G293)/100,1),12.5)</f>
        <v/>
      </c>
      <c r="S293" t="n">
        <v>20</v>
      </c>
      <c r="T293">
        <f>ROUND(P293+Q293+R293+S293,0)</f>
        <v/>
      </c>
      <c r="U293" s="5" t="inlineStr"/>
      <c r="V293" s="5" t="inlineStr">
        <is>
          <t>NOT RECOMMENDED /services/immigration-consultancy-website-development</t>
        </is>
      </c>
    </row>
    <row r="294">
      <c r="A294" t="inlineStr">
        <is>
          <t>K0292</t>
        </is>
      </c>
      <c r="B294" t="inlineStr">
        <is>
          <t>combien coute un site internet</t>
        </is>
      </c>
      <c r="C294" t="inlineStr">
        <is>
          <t>Morocco</t>
        </is>
      </c>
      <c r="D294" t="inlineStr">
        <is>
          <t>ma</t>
        </is>
      </c>
      <c r="E294" t="inlineStr">
        <is>
          <t>fr</t>
        </is>
      </c>
      <c r="F294" t="n">
        <v>20</v>
      </c>
      <c r="G294" t="inlineStr">
        <is>
          <t>NOT AVAILABLE</t>
        </is>
      </c>
      <c r="H294" t="n">
        <v>0</v>
      </c>
      <c r="I294" t="n">
        <v>0.86</v>
      </c>
      <c r="J294" t="inlineStr">
        <is>
          <t>NOT AVAILABLE</t>
        </is>
      </c>
      <c r="K294" t="inlineStr">
        <is>
          <t>NOT AVAILABLE (report not requested)</t>
        </is>
      </c>
      <c r="L294" t="inlineStr">
        <is>
          <t>stable (calc.)</t>
        </is>
      </c>
      <c r="M294" t="inlineStr">
        <is>
          <t>MEASURED</t>
        </is>
      </c>
      <c r="N294" s="5" t="inlineStr">
        <is>
          <t>Semrush phrase_these (live, this session)</t>
        </is>
      </c>
      <c r="O294" t="inlineStr">
        <is>
          <t>2026-10-30</t>
        </is>
      </c>
      <c r="P294">
        <f>IF(IF(J294="NOT AVAILABLE","",J294)="",12,IF(OR(ISNUMBER(SEARCH("Transactional",IF(J294="NOT AVAILABLE","",J294))),ISNUMBER(SEARCH("Commercial",IF(J294="NOT AVAILABLE","",J294)))),25,IF(ISNUMBER(SEARCH("Informational",IF(J294="NOT AVAILABLE","",J294))),10,IF(ISNUMBER(SEARCH("Navigational",IF(J294="NOT AVAILABLE","",J294))),0,12))))</f>
        <v/>
      </c>
      <c r="Q294">
        <f>IF(ISNUMBER(F294),MIN(30,ROUND(30*LOG10(F294+1)/4,1)),0)</f>
        <v/>
      </c>
      <c r="R294">
        <f>IF(ISNUMBER(G294),ROUND(25*(100-G294)/100,1),12.5)</f>
        <v/>
      </c>
      <c r="S294" t="n">
        <v>20</v>
      </c>
      <c r="T294">
        <f>ROUND(P294+Q294+R294+S294,0)</f>
        <v/>
      </c>
      <c r="U294" s="5" t="inlineStr"/>
      <c r="V294" s="5" t="inlineStr">
        <is>
          <t>FAQ /get-quote</t>
        </is>
      </c>
    </row>
    <row r="295">
      <c r="A295" t="inlineStr">
        <is>
          <t>K0293</t>
        </is>
      </c>
      <c r="B295" t="inlineStr">
        <is>
          <t>comment créer un site e-commerce</t>
        </is>
      </c>
      <c r="C295" t="inlineStr">
        <is>
          <t>Morocco</t>
        </is>
      </c>
      <c r="D295" t="inlineStr">
        <is>
          <t>ma</t>
        </is>
      </c>
      <c r="E295" t="inlineStr">
        <is>
          <t>fr</t>
        </is>
      </c>
      <c r="F295" t="n">
        <v>20</v>
      </c>
      <c r="G295" t="inlineStr">
        <is>
          <t>NOT AVAILABLE</t>
        </is>
      </c>
      <c r="H295" t="n">
        <v>0.25</v>
      </c>
      <c r="I295" t="n">
        <v>0.3</v>
      </c>
      <c r="J295" t="inlineStr">
        <is>
          <t>NOT AVAILABLE</t>
        </is>
      </c>
      <c r="K295" t="inlineStr">
        <is>
          <t>NOT AVAILABLE (report not requested)</t>
        </is>
      </c>
      <c r="L295" t="inlineStr">
        <is>
          <t>declining (calc.)</t>
        </is>
      </c>
      <c r="M295" t="inlineStr">
        <is>
          <t>MEASURED</t>
        </is>
      </c>
      <c r="N295" s="5" t="inlineStr">
        <is>
          <t>Semrush phrase_these (live, this session)</t>
        </is>
      </c>
      <c r="O295" t="inlineStr">
        <is>
          <t>2026-10-30</t>
        </is>
      </c>
      <c r="P295">
        <f>IF(IF(J295="NOT AVAILABLE","",J295)="",12,IF(OR(ISNUMBER(SEARCH("Transactional",IF(J295="NOT AVAILABLE","",J295))),ISNUMBER(SEARCH("Commercial",IF(J295="NOT AVAILABLE","",J295)))),25,IF(ISNUMBER(SEARCH("Informational",IF(J295="NOT AVAILABLE","",J295))),10,IF(ISNUMBER(SEARCH("Navigational",IF(J295="NOT AVAILABLE","",J295))),0,12))))</f>
        <v/>
      </c>
      <c r="Q295">
        <f>IF(ISNUMBER(F295),MIN(30,ROUND(30*LOG10(F295+1)/4,1)),0)</f>
        <v/>
      </c>
      <c r="R295">
        <f>IF(ISNUMBER(G295),ROUND(25*(100-G295)/100,1),12.5)</f>
        <v/>
      </c>
      <c r="S295" t="n">
        <v>20</v>
      </c>
      <c r="T295">
        <f>ROUND(P295+Q295+R295+S295,0)</f>
        <v/>
      </c>
      <c r="U295" s="5" t="inlineStr"/>
      <c r="V295" s="5" t="inlineStr"/>
    </row>
    <row r="296">
      <c r="A296" t="inlineStr">
        <is>
          <t>K0294</t>
        </is>
      </c>
      <c r="B296" t="inlineStr">
        <is>
          <t>comment créer un site internet</t>
        </is>
      </c>
      <c r="C296" t="inlineStr">
        <is>
          <t>Morocco</t>
        </is>
      </c>
      <c r="D296" t="inlineStr">
        <is>
          <t>ma</t>
        </is>
      </c>
      <c r="E296" t="inlineStr">
        <is>
          <t>fr</t>
        </is>
      </c>
      <c r="F296" t="n">
        <v>20</v>
      </c>
      <c r="G296" t="inlineStr">
        <is>
          <t>NOT AVAILABLE</t>
        </is>
      </c>
      <c r="H296" t="n">
        <v>0.35</v>
      </c>
      <c r="I296" t="n">
        <v>0.5600000000000001</v>
      </c>
      <c r="J296" t="inlineStr">
        <is>
          <t>NOT AVAILABLE</t>
        </is>
      </c>
      <c r="K296" t="inlineStr">
        <is>
          <t>NOT AVAILABLE (report not requested)</t>
        </is>
      </c>
      <c r="L296" t="inlineStr">
        <is>
          <t>rising (calc.)</t>
        </is>
      </c>
      <c r="M296" t="inlineStr">
        <is>
          <t>MEASURED</t>
        </is>
      </c>
      <c r="N296" s="5" t="inlineStr">
        <is>
          <t>Semrush phrase_these (live, this session)</t>
        </is>
      </c>
      <c r="O296" t="inlineStr">
        <is>
          <t>2026-10-30</t>
        </is>
      </c>
      <c r="P296">
        <f>IF(IF(J296="NOT AVAILABLE","",J296)="",12,IF(OR(ISNUMBER(SEARCH("Transactional",IF(J296="NOT AVAILABLE","",J296))),ISNUMBER(SEARCH("Commercial",IF(J296="NOT AVAILABLE","",J296)))),25,IF(ISNUMBER(SEARCH("Informational",IF(J296="NOT AVAILABLE","",J296))),10,IF(ISNUMBER(SEARCH("Navigational",IF(J296="NOT AVAILABLE","",J296))),0,12))))</f>
        <v/>
      </c>
      <c r="Q296">
        <f>IF(ISNUMBER(F296),MIN(30,ROUND(30*LOG10(F296+1)/4,1)),0)</f>
        <v/>
      </c>
      <c r="R296">
        <f>IF(ISNUMBER(G296),ROUND(25*(100-G296)/100,1),12.5)</f>
        <v/>
      </c>
      <c r="S296" t="n">
        <v>20</v>
      </c>
      <c r="T296">
        <f>ROUND(P296+Q296+R296+S296,0)</f>
        <v/>
      </c>
      <c r="U296" s="5" t="inlineStr"/>
      <c r="V296" s="5" t="inlineStr"/>
    </row>
    <row r="297">
      <c r="A297" t="inlineStr">
        <is>
          <t>K0295</t>
        </is>
      </c>
      <c r="B297" t="inlineStr">
        <is>
          <t>comment créer une application web</t>
        </is>
      </c>
      <c r="C297" t="inlineStr">
        <is>
          <t>Morocco</t>
        </is>
      </c>
      <c r="D297" t="inlineStr">
        <is>
          <t>ma</t>
        </is>
      </c>
      <c r="E297" t="inlineStr">
        <is>
          <t>fr</t>
        </is>
      </c>
      <c r="F297" t="n">
        <v>20</v>
      </c>
      <c r="G297" t="inlineStr">
        <is>
          <t>NOT AVAILABLE</t>
        </is>
      </c>
      <c r="H297" t="n">
        <v>0</v>
      </c>
      <c r="I297" t="n">
        <v>0.61</v>
      </c>
      <c r="J297" t="inlineStr">
        <is>
          <t>NOT AVAILABLE</t>
        </is>
      </c>
      <c r="K297" t="inlineStr">
        <is>
          <t>NOT AVAILABLE (report not requested)</t>
        </is>
      </c>
      <c r="L297" t="inlineStr">
        <is>
          <t>rising (calc.)</t>
        </is>
      </c>
      <c r="M297" t="inlineStr">
        <is>
          <t>MEASURED</t>
        </is>
      </c>
      <c r="N297" s="5" t="inlineStr">
        <is>
          <t>Semrush phrase_these (live, this session)</t>
        </is>
      </c>
      <c r="O297" t="inlineStr">
        <is>
          <t>2026-10-30</t>
        </is>
      </c>
      <c r="P297">
        <f>IF(IF(J297="NOT AVAILABLE","",J297)="",12,IF(OR(ISNUMBER(SEARCH("Transactional",IF(J297="NOT AVAILABLE","",J297))),ISNUMBER(SEARCH("Commercial",IF(J297="NOT AVAILABLE","",J297)))),25,IF(ISNUMBER(SEARCH("Informational",IF(J297="NOT AVAILABLE","",J297))),10,IF(ISNUMBER(SEARCH("Navigational",IF(J297="NOT AVAILABLE","",J297))),0,12))))</f>
        <v/>
      </c>
      <c r="Q297">
        <f>IF(ISNUMBER(F297),MIN(30,ROUND(30*LOG10(F297+1)/4,1)),0)</f>
        <v/>
      </c>
      <c r="R297">
        <f>IF(ISNUMBER(G297),ROUND(25*(100-G297)/100,1),12.5)</f>
        <v/>
      </c>
      <c r="S297" t="n">
        <v>20</v>
      </c>
      <c r="T297">
        <f>ROUND(P297+Q297+R297+S297,0)</f>
        <v/>
      </c>
      <c r="U297" s="5" t="inlineStr"/>
      <c r="V297" s="5" t="inlineStr"/>
    </row>
    <row r="298">
      <c r="A298" t="inlineStr">
        <is>
          <t>K0296</t>
        </is>
      </c>
      <c r="B298" t="inlineStr">
        <is>
          <t>comment faire du seo</t>
        </is>
      </c>
      <c r="C298" t="inlineStr">
        <is>
          <t>Morocco</t>
        </is>
      </c>
      <c r="D298" t="inlineStr">
        <is>
          <t>ma</t>
        </is>
      </c>
      <c r="E298" t="inlineStr">
        <is>
          <t>fr</t>
        </is>
      </c>
      <c r="F298" t="n">
        <v>20</v>
      </c>
      <c r="G298" t="inlineStr">
        <is>
          <t>NOT AVAILABLE</t>
        </is>
      </c>
      <c r="H298" t="n">
        <v>0</v>
      </c>
      <c r="I298" t="n">
        <v>0.33</v>
      </c>
      <c r="J298" t="inlineStr">
        <is>
          <t>NOT AVAILABLE</t>
        </is>
      </c>
      <c r="K298" t="inlineStr">
        <is>
          <t>NOT AVAILABLE (report not requested)</t>
        </is>
      </c>
      <c r="L298" t="inlineStr">
        <is>
          <t>declining (calc.)</t>
        </is>
      </c>
      <c r="M298" t="inlineStr">
        <is>
          <t>MEASURED</t>
        </is>
      </c>
      <c r="N298" s="5" t="inlineStr">
        <is>
          <t>Semrush phrase_these (live, this session)</t>
        </is>
      </c>
      <c r="O298" t="inlineStr">
        <is>
          <t>2026-10-30</t>
        </is>
      </c>
      <c r="P298">
        <f>IF(IF(J298="NOT AVAILABLE","",J298)="",12,IF(OR(ISNUMBER(SEARCH("Transactional",IF(J298="NOT AVAILABLE","",J298))),ISNUMBER(SEARCH("Commercial",IF(J298="NOT AVAILABLE","",J298)))),25,IF(ISNUMBER(SEARCH("Informational",IF(J298="NOT AVAILABLE","",J298))),10,IF(ISNUMBER(SEARCH("Navigational",IF(J298="NOT AVAILABLE","",J298))),0,12))))</f>
        <v/>
      </c>
      <c r="Q298">
        <f>IF(ISNUMBER(F298),MIN(30,ROUND(30*LOG10(F298+1)/4,1)),0)</f>
        <v/>
      </c>
      <c r="R298">
        <f>IF(ISNUMBER(G298),ROUND(25*(100-G298)/100,1),12.5)</f>
        <v/>
      </c>
      <c r="S298" t="n">
        <v>20</v>
      </c>
      <c r="T298">
        <f>ROUND(P298+Q298+R298+S298,0)</f>
        <v/>
      </c>
      <c r="U298" s="5" t="inlineStr"/>
      <c r="V298" s="5" t="inlineStr">
        <is>
          <t>FAQ /services/seo-maroc</t>
        </is>
      </c>
    </row>
    <row r="299">
      <c r="A299" t="inlineStr">
        <is>
          <t>K0297</t>
        </is>
      </c>
      <c r="B299" t="inlineStr">
        <is>
          <t>compresser css</t>
        </is>
      </c>
      <c r="C299" t="inlineStr">
        <is>
          <t>Morocco</t>
        </is>
      </c>
      <c r="D299" t="inlineStr">
        <is>
          <t>ma</t>
        </is>
      </c>
      <c r="E299" t="inlineStr">
        <is>
          <t>fr</t>
        </is>
      </c>
      <c r="F299" t="n">
        <v>20</v>
      </c>
      <c r="G299" t="inlineStr">
        <is>
          <t>NOT AVAILABLE</t>
        </is>
      </c>
      <c r="H299" t="n">
        <v>0</v>
      </c>
      <c r="I299" t="n">
        <v>0</v>
      </c>
      <c r="J299" t="inlineStr">
        <is>
          <t>NOT AVAILABLE</t>
        </is>
      </c>
      <c r="K299" t="inlineStr">
        <is>
          <t>NOT AVAILABLE (report not requested)</t>
        </is>
      </c>
      <c r="L299" t="inlineStr">
        <is>
          <t>rising (calc.)</t>
        </is>
      </c>
      <c r="M299" t="inlineStr">
        <is>
          <t>MEASURED</t>
        </is>
      </c>
      <c r="N299" s="5" t="inlineStr">
        <is>
          <t>Semrush phrase_these (live, this session)</t>
        </is>
      </c>
      <c r="O299" t="inlineStr">
        <is>
          <t>2026-10-30</t>
        </is>
      </c>
      <c r="P299">
        <f>IF(IF(J299="NOT AVAILABLE","",J299)="",12,IF(OR(ISNUMBER(SEARCH("Transactional",IF(J299="NOT AVAILABLE","",J299))),ISNUMBER(SEARCH("Commercial",IF(J299="NOT AVAILABLE","",J299)))),25,IF(ISNUMBER(SEARCH("Informational",IF(J299="NOT AVAILABLE","",J299))),10,IF(ISNUMBER(SEARCH("Navigational",IF(J299="NOT AVAILABLE","",J299))),0,12))))</f>
        <v/>
      </c>
      <c r="Q299">
        <f>IF(ISNUMBER(F299),MIN(30,ROUND(30*LOG10(F299+1)/4,1)),0)</f>
        <v/>
      </c>
      <c r="R299">
        <f>IF(ISNUMBER(G299),ROUND(25*(100-G299)/100,1),12.5)</f>
        <v/>
      </c>
      <c r="S299" t="n">
        <v>20</v>
      </c>
      <c r="T299">
        <f>ROUND(P299+Q299+R299+S299,0)</f>
        <v/>
      </c>
      <c r="U299" s="5" t="inlineStr"/>
      <c r="V299" s="5" t="inlineStr">
        <is>
          <t>SUPPORTING /tools/css-minifier</t>
        </is>
      </c>
    </row>
    <row r="300">
      <c r="A300" t="inlineStr">
        <is>
          <t>K0298</t>
        </is>
      </c>
      <c r="B300" t="inlineStr">
        <is>
          <t>conception site web</t>
        </is>
      </c>
      <c r="C300" t="inlineStr">
        <is>
          <t>Morocco</t>
        </is>
      </c>
      <c r="D300" t="inlineStr">
        <is>
          <t>ma</t>
        </is>
      </c>
      <c r="E300" t="inlineStr">
        <is>
          <t>fr</t>
        </is>
      </c>
      <c r="F300" t="n">
        <v>20</v>
      </c>
      <c r="G300" t="inlineStr">
        <is>
          <t>NOT AVAILABLE</t>
        </is>
      </c>
      <c r="H300" t="n">
        <v>0.52</v>
      </c>
      <c r="I300" t="n">
        <v>0.62</v>
      </c>
      <c r="J300" t="inlineStr">
        <is>
          <t>NOT AVAILABLE</t>
        </is>
      </c>
      <c r="K300" t="inlineStr">
        <is>
          <t>NOT AVAILABLE (report not requested)</t>
        </is>
      </c>
      <c r="L300" t="inlineStr">
        <is>
          <t>declining (calc.)</t>
        </is>
      </c>
      <c r="M300" t="inlineStr">
        <is>
          <t>MEASURED</t>
        </is>
      </c>
      <c r="N300" s="5" t="inlineStr">
        <is>
          <t>Semrush phrase_these (historical w3-validate-A-creation.csv)</t>
        </is>
      </c>
      <c r="O300" t="inlineStr">
        <is>
          <t>2026-10-27</t>
        </is>
      </c>
      <c r="P300">
        <f>IF(IF(J300="NOT AVAILABLE","",J300)="",12,IF(OR(ISNUMBER(SEARCH("Transactional",IF(J300="NOT AVAILABLE","",J300))),ISNUMBER(SEARCH("Commercial",IF(J300="NOT AVAILABLE","",J300)))),25,IF(ISNUMBER(SEARCH("Informational",IF(J300="NOT AVAILABLE","",J300))),10,IF(ISNUMBER(SEARCH("Navigational",IF(J300="NOT AVAILABLE","",J300))),0,12))))</f>
        <v/>
      </c>
      <c r="Q300">
        <f>IF(ISNUMBER(F300),MIN(30,ROUND(30*LOG10(F300+1)/4,1)),0)</f>
        <v/>
      </c>
      <c r="R300">
        <f>IF(ISNUMBER(G300),ROUND(25*(100-G300)/100,1),12.5)</f>
        <v/>
      </c>
      <c r="S300" t="n">
        <v>20</v>
      </c>
      <c r="T300">
        <f>ROUND(P300+Q300+R300+S300,0)</f>
        <v/>
      </c>
      <c r="U300" s="5" t="inlineStr"/>
      <c r="V300" s="5" t="inlineStr"/>
    </row>
    <row r="301">
      <c r="A301" t="inlineStr">
        <is>
          <t>K0299</t>
        </is>
      </c>
      <c r="B301" t="inlineStr">
        <is>
          <t>conception site web casablanca</t>
        </is>
      </c>
      <c r="C301" t="inlineStr">
        <is>
          <t>Morocco</t>
        </is>
      </c>
      <c r="D301" t="inlineStr">
        <is>
          <t>ma</t>
        </is>
      </c>
      <c r="E301" t="inlineStr">
        <is>
          <t>fr</t>
        </is>
      </c>
      <c r="F301" t="n">
        <v>20</v>
      </c>
      <c r="G301" t="inlineStr">
        <is>
          <t>NOT AVAILABLE</t>
        </is>
      </c>
      <c r="H301" t="n">
        <v>0</v>
      </c>
      <c r="I301" t="n">
        <v>0.5</v>
      </c>
      <c r="J301" t="inlineStr">
        <is>
          <t>NOT AVAILABLE</t>
        </is>
      </c>
      <c r="K301" t="inlineStr">
        <is>
          <t>NOT AVAILABLE (report not requested)</t>
        </is>
      </c>
      <c r="L301" t="inlineStr">
        <is>
          <t>rising (calc.)</t>
        </is>
      </c>
      <c r="M301" t="inlineStr">
        <is>
          <t>MEASURED</t>
        </is>
      </c>
      <c r="N301" s="5" t="inlineStr">
        <is>
          <t>Semrush phrase_these (live, this session)</t>
        </is>
      </c>
      <c r="O301" t="inlineStr">
        <is>
          <t>2026-10-30</t>
        </is>
      </c>
      <c r="P301">
        <f>IF(IF(J301="NOT AVAILABLE","",J301)="",12,IF(OR(ISNUMBER(SEARCH("Transactional",IF(J301="NOT AVAILABLE","",J301))),ISNUMBER(SEARCH("Commercial",IF(J301="NOT AVAILABLE","",J301)))),25,IF(ISNUMBER(SEARCH("Informational",IF(J301="NOT AVAILABLE","",J301))),10,IF(ISNUMBER(SEARCH("Navigational",IF(J301="NOT AVAILABLE","",J301))),0,12))))</f>
        <v/>
      </c>
      <c r="Q301">
        <f>IF(ISNUMBER(F301),MIN(30,ROUND(30*LOG10(F301+1)/4,1)),0)</f>
        <v/>
      </c>
      <c r="R301">
        <f>IF(ISNUMBER(G301),ROUND(25*(100-G301)/100,1),12.5)</f>
        <v/>
      </c>
      <c r="S301" t="n">
        <v>20</v>
      </c>
      <c r="T301">
        <f>ROUND(P301+Q301+R301+S301,0)</f>
        <v/>
      </c>
      <c r="U301" s="5" t="inlineStr"/>
      <c r="V301" s="5" t="inlineStr">
        <is>
          <t>SUPPORTING /web-development-company/casablanca</t>
        </is>
      </c>
    </row>
    <row r="302">
      <c r="A302" t="inlineStr">
        <is>
          <t>K0300</t>
        </is>
      </c>
      <c r="B302" t="inlineStr">
        <is>
          <t>conception site web maroc</t>
        </is>
      </c>
      <c r="C302" t="inlineStr">
        <is>
          <t>Morocco</t>
        </is>
      </c>
      <c r="D302" t="inlineStr">
        <is>
          <t>ma</t>
        </is>
      </c>
      <c r="E302" t="inlineStr">
        <is>
          <t>fr</t>
        </is>
      </c>
      <c r="F302" t="n">
        <v>20</v>
      </c>
      <c r="G302" t="inlineStr">
        <is>
          <t>NOT AVAILABLE</t>
        </is>
      </c>
      <c r="H302" t="n">
        <v>0</v>
      </c>
      <c r="I302" t="n">
        <v>0</v>
      </c>
      <c r="J302" t="inlineStr">
        <is>
          <t>NOT AVAILABLE</t>
        </is>
      </c>
      <c r="K302" t="inlineStr">
        <is>
          <t>NOT AVAILABLE (report not requested)</t>
        </is>
      </c>
      <c r="L302" t="inlineStr">
        <is>
          <t>declining (calc.)</t>
        </is>
      </c>
      <c r="M302" t="inlineStr">
        <is>
          <t>MEASURED</t>
        </is>
      </c>
      <c r="N302" s="5" t="inlineStr">
        <is>
          <t>Semrush phrase_these (live, this session)</t>
        </is>
      </c>
      <c r="O302" t="inlineStr">
        <is>
          <t>2026-10-30</t>
        </is>
      </c>
      <c r="P302">
        <f>IF(IF(J302="NOT AVAILABLE","",J302)="",12,IF(OR(ISNUMBER(SEARCH("Transactional",IF(J302="NOT AVAILABLE","",J302))),ISNUMBER(SEARCH("Commercial",IF(J302="NOT AVAILABLE","",J302)))),25,IF(ISNUMBER(SEARCH("Informational",IF(J302="NOT AVAILABLE","",J302))),10,IF(ISNUMBER(SEARCH("Navigational",IF(J302="NOT AVAILABLE","",J302))),0,12))))</f>
        <v/>
      </c>
      <c r="Q302">
        <f>IF(ISNUMBER(F302),MIN(30,ROUND(30*LOG10(F302+1)/4,1)),0)</f>
        <v/>
      </c>
      <c r="R302">
        <f>IF(ISNUMBER(G302),ROUND(25*(100-G302)/100,1),12.5)</f>
        <v/>
      </c>
      <c r="S302" t="n">
        <v>20</v>
      </c>
      <c r="T302">
        <f>ROUND(P302+Q302+R302+S302,0)</f>
        <v/>
      </c>
      <c r="U302" s="5" t="inlineStr"/>
      <c r="V302" s="5" t="inlineStr"/>
    </row>
    <row r="303">
      <c r="A303" t="inlineStr">
        <is>
          <t>K0301</t>
        </is>
      </c>
      <c r="B303" t="inlineStr">
        <is>
          <t>convertir html en texte</t>
        </is>
      </c>
      <c r="C303" t="inlineStr">
        <is>
          <t>Morocco</t>
        </is>
      </c>
      <c r="D303" t="inlineStr">
        <is>
          <t>ma</t>
        </is>
      </c>
      <c r="E303" t="inlineStr">
        <is>
          <t>fr</t>
        </is>
      </c>
      <c r="F303" t="n">
        <v>20</v>
      </c>
      <c r="G303" t="inlineStr">
        <is>
          <t>NOT AVAILABLE</t>
        </is>
      </c>
      <c r="H303" t="n">
        <v>0</v>
      </c>
      <c r="I303" t="n">
        <v>0.33</v>
      </c>
      <c r="J303" t="inlineStr">
        <is>
          <t>NOT AVAILABLE</t>
        </is>
      </c>
      <c r="K303" t="inlineStr">
        <is>
          <t>NOT AVAILABLE (report not requested)</t>
        </is>
      </c>
      <c r="L303" t="inlineStr">
        <is>
          <t>declining (calc.)</t>
        </is>
      </c>
      <c r="M303" t="inlineStr">
        <is>
          <t>MEASURED</t>
        </is>
      </c>
      <c r="N303" s="5" t="inlineStr">
        <is>
          <t>Semrush phrase_these (live, this session)</t>
        </is>
      </c>
      <c r="O303" t="inlineStr">
        <is>
          <t>2026-10-30</t>
        </is>
      </c>
      <c r="P303">
        <f>IF(IF(J303="NOT AVAILABLE","",J303)="",12,IF(OR(ISNUMBER(SEARCH("Transactional",IF(J303="NOT AVAILABLE","",J303))),ISNUMBER(SEARCH("Commercial",IF(J303="NOT AVAILABLE","",J303)))),25,IF(ISNUMBER(SEARCH("Informational",IF(J303="NOT AVAILABLE","",J303))),10,IF(ISNUMBER(SEARCH("Navigational",IF(J303="NOT AVAILABLE","",J303))),0,12))))</f>
        <v/>
      </c>
      <c r="Q303">
        <f>IF(ISNUMBER(F303),MIN(30,ROUND(30*LOG10(F303+1)/4,1)),0)</f>
        <v/>
      </c>
      <c r="R303">
        <f>IF(ISNUMBER(G303),ROUND(25*(100-G303)/100,1),12.5)</f>
        <v/>
      </c>
      <c r="S303" t="n">
        <v>20</v>
      </c>
      <c r="T303">
        <f>ROUND(P303+Q303+R303+S303,0)</f>
        <v/>
      </c>
      <c r="U303" s="5" t="inlineStr"/>
      <c r="V303" s="5" t="inlineStr">
        <is>
          <t>SUPPORTING /tools/html-to-text</t>
        </is>
      </c>
    </row>
    <row r="304">
      <c r="A304" t="inlineStr">
        <is>
          <t>K0302</t>
        </is>
      </c>
      <c r="B304" t="inlineStr">
        <is>
          <t>cours allemand casablanca</t>
        </is>
      </c>
      <c r="C304" t="inlineStr">
        <is>
          <t>Morocco</t>
        </is>
      </c>
      <c r="D304" t="inlineStr">
        <is>
          <t>ma</t>
        </is>
      </c>
      <c r="E304" t="inlineStr">
        <is>
          <t>fr</t>
        </is>
      </c>
      <c r="F304" t="n">
        <v>20</v>
      </c>
      <c r="G304" t="inlineStr">
        <is>
          <t>NOT AVAILABLE</t>
        </is>
      </c>
      <c r="H304" t="n">
        <v>0.32</v>
      </c>
      <c r="I304" t="n">
        <v>0.66</v>
      </c>
      <c r="J304" t="inlineStr">
        <is>
          <t>NOT AVAILABLE</t>
        </is>
      </c>
      <c r="K304" t="inlineStr">
        <is>
          <t>NOT AVAILABLE (report not requested)</t>
        </is>
      </c>
      <c r="L304" t="inlineStr">
        <is>
          <t>declining (calc.)</t>
        </is>
      </c>
      <c r="M304" t="inlineStr">
        <is>
          <t>MEASURED</t>
        </is>
      </c>
      <c r="N304" s="5" t="inlineStr">
        <is>
          <t>Semrush phrase_these (live, this session)</t>
        </is>
      </c>
      <c r="O304" t="inlineStr">
        <is>
          <t>2026-10-30</t>
        </is>
      </c>
      <c r="P304">
        <f>IF(IF(J304="NOT AVAILABLE","",J304)="",12,IF(OR(ISNUMBER(SEARCH("Transactional",IF(J304="NOT AVAILABLE","",J304))),ISNUMBER(SEARCH("Commercial",IF(J304="NOT AVAILABLE","",J304)))),25,IF(ISNUMBER(SEARCH("Informational",IF(J304="NOT AVAILABLE","",J304))),10,IF(ISNUMBER(SEARCH("Navigational",IF(J304="NOT AVAILABLE","",J304))),0,12))))</f>
        <v/>
      </c>
      <c r="Q304">
        <f>IF(ISNUMBER(F304),MIN(30,ROUND(30*LOG10(F304+1)/4,1)),0)</f>
        <v/>
      </c>
      <c r="R304">
        <f>IF(ISNUMBER(G304),ROUND(25*(100-G304)/100,1),12.5)</f>
        <v/>
      </c>
      <c r="S304" t="n">
        <v>20</v>
      </c>
      <c r="T304">
        <f>ROUND(P304+Q304+R304+S304,0)</f>
        <v/>
      </c>
      <c r="U304" s="5" t="inlineStr"/>
      <c r="V304" s="5" t="inlineStr">
        <is>
          <t>NOT RECOMMENDED /our-work/gls-sprachenzentrum</t>
        </is>
      </c>
    </row>
    <row r="305">
      <c r="A305" t="inlineStr">
        <is>
          <t>K0303</t>
        </is>
      </c>
      <c r="B305" t="inlineStr">
        <is>
          <t>création application web</t>
        </is>
      </c>
      <c r="C305" t="inlineStr">
        <is>
          <t>Morocco</t>
        </is>
      </c>
      <c r="D305" t="inlineStr">
        <is>
          <t>ma</t>
        </is>
      </c>
      <c r="E305" t="inlineStr">
        <is>
          <t>fr</t>
        </is>
      </c>
      <c r="F305" t="n">
        <v>20</v>
      </c>
      <c r="G305" t="inlineStr">
        <is>
          <t>NOT AVAILABLE</t>
        </is>
      </c>
      <c r="H305" t="n">
        <v>0</v>
      </c>
      <c r="I305" t="n">
        <v>0.33</v>
      </c>
      <c r="J305" t="inlineStr">
        <is>
          <t>NOT AVAILABLE</t>
        </is>
      </c>
      <c r="K305" t="inlineStr">
        <is>
          <t>NOT AVAILABLE (report not requested)</t>
        </is>
      </c>
      <c r="L305" t="inlineStr">
        <is>
          <t>rising (calc.)</t>
        </is>
      </c>
      <c r="M305" t="inlineStr">
        <is>
          <t>MEASURED</t>
        </is>
      </c>
      <c r="N305" s="5" t="inlineStr">
        <is>
          <t>Semrush phrase_these (live, this session)</t>
        </is>
      </c>
      <c r="O305" t="inlineStr">
        <is>
          <t>2026-10-30</t>
        </is>
      </c>
      <c r="P305">
        <f>IF(IF(J305="NOT AVAILABLE","",J305)="",12,IF(OR(ISNUMBER(SEARCH("Transactional",IF(J305="NOT AVAILABLE","",J305))),ISNUMBER(SEARCH("Commercial",IF(J305="NOT AVAILABLE","",J305)))),25,IF(ISNUMBER(SEARCH("Informational",IF(J305="NOT AVAILABLE","",J305))),10,IF(ISNUMBER(SEARCH("Navigational",IF(J305="NOT AVAILABLE","",J305))),0,12))))</f>
        <v/>
      </c>
      <c r="Q305">
        <f>IF(ISNUMBER(F305),MIN(30,ROUND(30*LOG10(F305+1)/4,1)),0)</f>
        <v/>
      </c>
      <c r="R305">
        <f>IF(ISNUMBER(G305),ROUND(25*(100-G305)/100,1),12.5)</f>
        <v/>
      </c>
      <c r="S305" t="n">
        <v>20</v>
      </c>
      <c r="T305">
        <f>ROUND(P305+Q305+R305+S305,0)</f>
        <v/>
      </c>
      <c r="U305" s="5" t="inlineStr"/>
      <c r="V305" s="5" t="inlineStr"/>
    </row>
    <row r="306">
      <c r="A306" t="inlineStr">
        <is>
          <t>K0304</t>
        </is>
      </c>
      <c r="B306" t="inlineStr">
        <is>
          <t>création boutique en ligne</t>
        </is>
      </c>
      <c r="C306" t="inlineStr">
        <is>
          <t>Morocco</t>
        </is>
      </c>
      <c r="D306" t="inlineStr">
        <is>
          <t>ma</t>
        </is>
      </c>
      <c r="E306" t="inlineStr">
        <is>
          <t>fr</t>
        </is>
      </c>
      <c r="F306" t="n">
        <v>20</v>
      </c>
      <c r="G306" t="inlineStr">
        <is>
          <t>NOT AVAILABLE</t>
        </is>
      </c>
      <c r="H306" t="n">
        <v>0.5600000000000001</v>
      </c>
      <c r="I306" t="n">
        <v>0.62</v>
      </c>
      <c r="J306" t="inlineStr">
        <is>
          <t>NOT AVAILABLE</t>
        </is>
      </c>
      <c r="K306" t="inlineStr">
        <is>
          <t>NOT AVAILABLE (report not requested)</t>
        </is>
      </c>
      <c r="L306" t="inlineStr">
        <is>
          <t>rising (calc.)</t>
        </is>
      </c>
      <c r="M306" t="inlineStr">
        <is>
          <t>MEASURED</t>
        </is>
      </c>
      <c r="N306" s="5" t="inlineStr">
        <is>
          <t>Semrush phrase_these (live, this session)</t>
        </is>
      </c>
      <c r="O306" t="inlineStr">
        <is>
          <t>2026-10-30</t>
        </is>
      </c>
      <c r="P306">
        <f>IF(IF(J306="NOT AVAILABLE","",J306)="",12,IF(OR(ISNUMBER(SEARCH("Transactional",IF(J306="NOT AVAILABLE","",J306))),ISNUMBER(SEARCH("Commercial",IF(J306="NOT AVAILABLE","",J306)))),25,IF(ISNUMBER(SEARCH("Informational",IF(J306="NOT AVAILABLE","",J306))),10,IF(ISNUMBER(SEARCH("Navigational",IF(J306="NOT AVAILABLE","",J306))),0,12))))</f>
        <v/>
      </c>
      <c r="Q306">
        <f>IF(ISNUMBER(F306),MIN(30,ROUND(30*LOG10(F306+1)/4,1)),0)</f>
        <v/>
      </c>
      <c r="R306">
        <f>IF(ISNUMBER(G306),ROUND(25*(100-G306)/100,1),12.5)</f>
        <v/>
      </c>
      <c r="S306" t="n">
        <v>20</v>
      </c>
      <c r="T306">
        <f>ROUND(P306+Q306+R306+S306,0)</f>
        <v/>
      </c>
      <c r="U306" s="5" t="inlineStr"/>
      <c r="V306" s="5" t="inlineStr"/>
    </row>
    <row r="307">
      <c r="A307" t="inlineStr">
        <is>
          <t>K0305</t>
        </is>
      </c>
      <c r="B307" t="inlineStr">
        <is>
          <t>création de site internet</t>
        </is>
      </c>
      <c r="C307" t="inlineStr">
        <is>
          <t>Morocco</t>
        </is>
      </c>
      <c r="D307" t="inlineStr">
        <is>
          <t>ma</t>
        </is>
      </c>
      <c r="E307" t="inlineStr">
        <is>
          <t>fr</t>
        </is>
      </c>
      <c r="F307" t="n">
        <v>20</v>
      </c>
      <c r="G307" t="inlineStr">
        <is>
          <t>NOT AVAILABLE</t>
        </is>
      </c>
      <c r="H307" t="n">
        <v>0.83</v>
      </c>
      <c r="I307" t="n">
        <v>0.62</v>
      </c>
      <c r="J307" t="inlineStr">
        <is>
          <t>NOT AVAILABLE</t>
        </is>
      </c>
      <c r="K307" t="inlineStr">
        <is>
          <t>NOT AVAILABLE (report not requested)</t>
        </is>
      </c>
      <c r="L307" t="inlineStr">
        <is>
          <t>declining (calc.)</t>
        </is>
      </c>
      <c r="M307" t="inlineStr">
        <is>
          <t>MEASURED</t>
        </is>
      </c>
      <c r="N307" s="5" t="inlineStr">
        <is>
          <t>Semrush phrase_these (historical w3-validate-A-creation.csv)</t>
        </is>
      </c>
      <c r="O307" t="inlineStr">
        <is>
          <t>2026-10-27</t>
        </is>
      </c>
      <c r="P307">
        <f>IF(IF(J307="NOT AVAILABLE","",J307)="",12,IF(OR(ISNUMBER(SEARCH("Transactional",IF(J307="NOT AVAILABLE","",J307))),ISNUMBER(SEARCH("Commercial",IF(J307="NOT AVAILABLE","",J307)))),25,IF(ISNUMBER(SEARCH("Informational",IF(J307="NOT AVAILABLE","",J307))),10,IF(ISNUMBER(SEARCH("Navigational",IF(J307="NOT AVAILABLE","",J307))),0,12))))</f>
        <v/>
      </c>
      <c r="Q307">
        <f>IF(ISNUMBER(F307),MIN(30,ROUND(30*LOG10(F307+1)/4,1)),0)</f>
        <v/>
      </c>
      <c r="R307">
        <f>IF(ISNUMBER(G307),ROUND(25*(100-G307)/100,1),12.5)</f>
        <v/>
      </c>
      <c r="S307" t="n">
        <v>20</v>
      </c>
      <c r="T307">
        <f>ROUND(P307+Q307+R307+S307,0)</f>
        <v/>
      </c>
      <c r="U307" s="5" t="inlineStr"/>
      <c r="V307" s="5" t="inlineStr"/>
    </row>
    <row r="308">
      <c r="A308" t="inlineStr">
        <is>
          <t>K0306</t>
        </is>
      </c>
      <c r="B308" t="inlineStr">
        <is>
          <t>création de site web rabat</t>
        </is>
      </c>
      <c r="C308" t="inlineStr">
        <is>
          <t>Morocco</t>
        </is>
      </c>
      <c r="D308" t="inlineStr">
        <is>
          <t>ma</t>
        </is>
      </c>
      <c r="E308" t="inlineStr">
        <is>
          <t>fr</t>
        </is>
      </c>
      <c r="F308" t="n">
        <v>20</v>
      </c>
      <c r="G308" t="inlineStr">
        <is>
          <t>NOT AVAILABLE</t>
        </is>
      </c>
      <c r="H308" t="n">
        <v>0.55</v>
      </c>
      <c r="I308" t="n">
        <v>1</v>
      </c>
      <c r="J308" t="inlineStr">
        <is>
          <t>NOT AVAILABLE</t>
        </is>
      </c>
      <c r="K308" t="inlineStr">
        <is>
          <t>NOT AVAILABLE (report not requested)</t>
        </is>
      </c>
      <c r="L308" t="inlineStr">
        <is>
          <t>rising (calc.)</t>
        </is>
      </c>
      <c r="M308" t="inlineStr">
        <is>
          <t>MEASURED</t>
        </is>
      </c>
      <c r="N308" s="5" t="inlineStr">
        <is>
          <t>Semrush phrase_these (live, this session)</t>
        </is>
      </c>
      <c r="O308" t="inlineStr">
        <is>
          <t>2026-10-30</t>
        </is>
      </c>
      <c r="P308">
        <f>IF(IF(J308="NOT AVAILABLE","",J308)="",12,IF(OR(ISNUMBER(SEARCH("Transactional",IF(J308="NOT AVAILABLE","",J308))),ISNUMBER(SEARCH("Commercial",IF(J308="NOT AVAILABLE","",J308)))),25,IF(ISNUMBER(SEARCH("Informational",IF(J308="NOT AVAILABLE","",J308))),10,IF(ISNUMBER(SEARCH("Navigational",IF(J308="NOT AVAILABLE","",J308))),0,12))))</f>
        <v/>
      </c>
      <c r="Q308">
        <f>IF(ISNUMBER(F308),MIN(30,ROUND(30*LOG10(F308+1)/4,1)),0)</f>
        <v/>
      </c>
      <c r="R308">
        <f>IF(ISNUMBER(G308),ROUND(25*(100-G308)/100,1),12.5)</f>
        <v/>
      </c>
      <c r="S308" t="n">
        <v>20</v>
      </c>
      <c r="T308">
        <f>ROUND(P308+Q308+R308+S308,0)</f>
        <v/>
      </c>
      <c r="U308" s="5" t="inlineStr"/>
      <c r="V308" s="5" t="inlineStr">
        <is>
          <t>SUPPORTING /web-development-company/rabat</t>
        </is>
      </c>
    </row>
    <row r="309">
      <c r="A309" t="inlineStr">
        <is>
          <t>K0307</t>
        </is>
      </c>
      <c r="B309" t="inlineStr">
        <is>
          <t>création site e-commerce</t>
        </is>
      </c>
      <c r="C309" t="inlineStr">
        <is>
          <t>Morocco</t>
        </is>
      </c>
      <c r="D309" t="inlineStr">
        <is>
          <t>ma</t>
        </is>
      </c>
      <c r="E309" t="inlineStr">
        <is>
          <t>fr</t>
        </is>
      </c>
      <c r="F309" t="n">
        <v>20</v>
      </c>
      <c r="G309" t="inlineStr">
        <is>
          <t>NOT AVAILABLE</t>
        </is>
      </c>
      <c r="H309" t="n">
        <v>0.6</v>
      </c>
      <c r="I309" t="n">
        <v>0.68</v>
      </c>
      <c r="J309" t="inlineStr">
        <is>
          <t>NOT AVAILABLE</t>
        </is>
      </c>
      <c r="K309" t="inlineStr">
        <is>
          <t>NOT AVAILABLE (report not requested)</t>
        </is>
      </c>
      <c r="L309" t="inlineStr">
        <is>
          <t>rising (calc.)</t>
        </is>
      </c>
      <c r="M309" t="inlineStr">
        <is>
          <t>MEASURED</t>
        </is>
      </c>
      <c r="N309" s="5" t="inlineStr">
        <is>
          <t>Semrush phrase_these (live, this session)</t>
        </is>
      </c>
      <c r="O309" t="inlineStr">
        <is>
          <t>2026-10-30</t>
        </is>
      </c>
      <c r="P309">
        <f>IF(IF(J309="NOT AVAILABLE","",J309)="",12,IF(OR(ISNUMBER(SEARCH("Transactional",IF(J309="NOT AVAILABLE","",J309))),ISNUMBER(SEARCH("Commercial",IF(J309="NOT AVAILABLE","",J309)))),25,IF(ISNUMBER(SEARCH("Informational",IF(J309="NOT AVAILABLE","",J309))),10,IF(ISNUMBER(SEARCH("Navigational",IF(J309="NOT AVAILABLE","",J309))),0,12))))</f>
        <v/>
      </c>
      <c r="Q309">
        <f>IF(ISNUMBER(F309),MIN(30,ROUND(30*LOG10(F309+1)/4,1)),0)</f>
        <v/>
      </c>
      <c r="R309">
        <f>IF(ISNUMBER(G309),ROUND(25*(100-G309)/100,1),12.5)</f>
        <v/>
      </c>
      <c r="S309" t="n">
        <v>20</v>
      </c>
      <c r="T309">
        <f>ROUND(P309+Q309+R309+S309,0)</f>
        <v/>
      </c>
      <c r="U309" s="5" t="inlineStr"/>
      <c r="V309" s="5" t="inlineStr"/>
    </row>
    <row r="310">
      <c r="A310" t="inlineStr">
        <is>
          <t>K0308</t>
        </is>
      </c>
      <c r="B310" t="inlineStr">
        <is>
          <t>création site e-commerce maroc</t>
        </is>
      </c>
      <c r="C310" t="inlineStr">
        <is>
          <t>Morocco</t>
        </is>
      </c>
      <c r="D310" t="inlineStr">
        <is>
          <t>ma</t>
        </is>
      </c>
      <c r="E310" t="inlineStr">
        <is>
          <t>fr</t>
        </is>
      </c>
      <c r="F310" t="n">
        <v>20</v>
      </c>
      <c r="G310" t="inlineStr">
        <is>
          <t>NOT AVAILABLE</t>
        </is>
      </c>
      <c r="H310" t="n">
        <v>0.61</v>
      </c>
      <c r="I310" t="n">
        <v>0.45</v>
      </c>
      <c r="J310" t="inlineStr">
        <is>
          <t>NOT AVAILABLE</t>
        </is>
      </c>
      <c r="K310" t="inlineStr">
        <is>
          <t>NOT AVAILABLE (report not requested)</t>
        </is>
      </c>
      <c r="L310" t="inlineStr">
        <is>
          <t>declining (calc.)</t>
        </is>
      </c>
      <c r="M310" t="inlineStr">
        <is>
          <t>MEASURED</t>
        </is>
      </c>
      <c r="N310" s="5" t="inlineStr">
        <is>
          <t>Semrush phrase_these (live, this session)</t>
        </is>
      </c>
      <c r="O310" t="inlineStr">
        <is>
          <t>2026-10-30</t>
        </is>
      </c>
      <c r="P310">
        <f>IF(IF(J310="NOT AVAILABLE","",J310)="",12,IF(OR(ISNUMBER(SEARCH("Transactional",IF(J310="NOT AVAILABLE","",J310))),ISNUMBER(SEARCH("Commercial",IF(J310="NOT AVAILABLE","",J310)))),25,IF(ISNUMBER(SEARCH("Informational",IF(J310="NOT AVAILABLE","",J310))),10,IF(ISNUMBER(SEARCH("Navigational",IF(J310="NOT AVAILABLE","",J310))),0,12))))</f>
        <v/>
      </c>
      <c r="Q310">
        <f>IF(ISNUMBER(F310),MIN(30,ROUND(30*LOG10(F310+1)/4,1)),0)</f>
        <v/>
      </c>
      <c r="R310">
        <f>IF(ISNUMBER(G310),ROUND(25*(100-G310)/100,1),12.5)</f>
        <v/>
      </c>
      <c r="S310" t="n">
        <v>20</v>
      </c>
      <c r="T310">
        <f>ROUND(P310+Q310+R310+S310,0)</f>
        <v/>
      </c>
      <c r="U310" s="5" t="inlineStr"/>
      <c r="V310" s="5" t="inlineStr">
        <is>
          <t>PRIMARY /services/ecommerce-website-development</t>
        </is>
      </c>
    </row>
    <row r="311">
      <c r="A311" t="inlineStr">
        <is>
          <t>K0309</t>
        </is>
      </c>
      <c r="B311" t="inlineStr">
        <is>
          <t>création site internet casablanca</t>
        </is>
      </c>
      <c r="C311" t="inlineStr">
        <is>
          <t>Morocco</t>
        </is>
      </c>
      <c r="D311" t="inlineStr">
        <is>
          <t>ma</t>
        </is>
      </c>
      <c r="E311" t="inlineStr">
        <is>
          <t>fr</t>
        </is>
      </c>
      <c r="F311" t="n">
        <v>20</v>
      </c>
      <c r="G311" t="inlineStr">
        <is>
          <t>NOT AVAILABLE</t>
        </is>
      </c>
      <c r="H311" t="n">
        <v>0</v>
      </c>
      <c r="I311" t="n">
        <v>0.32</v>
      </c>
      <c r="J311" t="inlineStr">
        <is>
          <t>NOT AVAILABLE</t>
        </is>
      </c>
      <c r="K311" t="inlineStr">
        <is>
          <t>NOT AVAILABLE (report not requested)</t>
        </is>
      </c>
      <c r="L311" t="inlineStr">
        <is>
          <t>stable (calc.)</t>
        </is>
      </c>
      <c r="M311" t="inlineStr">
        <is>
          <t>MEASURED</t>
        </is>
      </c>
      <c r="N311" s="5" t="inlineStr">
        <is>
          <t>Semrush phrase_these (live, this session)</t>
        </is>
      </c>
      <c r="O311" t="inlineStr">
        <is>
          <t>2026-10-30</t>
        </is>
      </c>
      <c r="P311">
        <f>IF(IF(J311="NOT AVAILABLE","",J311)="",12,IF(OR(ISNUMBER(SEARCH("Transactional",IF(J311="NOT AVAILABLE","",J311))),ISNUMBER(SEARCH("Commercial",IF(J311="NOT AVAILABLE","",J311)))),25,IF(ISNUMBER(SEARCH("Informational",IF(J311="NOT AVAILABLE","",J311))),10,IF(ISNUMBER(SEARCH("Navigational",IF(J311="NOT AVAILABLE","",J311))),0,12))))</f>
        <v/>
      </c>
      <c r="Q311">
        <f>IF(ISNUMBER(F311),MIN(30,ROUND(30*LOG10(F311+1)/4,1)),0)</f>
        <v/>
      </c>
      <c r="R311">
        <f>IF(ISNUMBER(G311),ROUND(25*(100-G311)/100,1),12.5)</f>
        <v/>
      </c>
      <c r="S311" t="n">
        <v>20</v>
      </c>
      <c r="T311">
        <f>ROUND(P311+Q311+R311+S311,0)</f>
        <v/>
      </c>
      <c r="U311" s="5" t="inlineStr"/>
      <c r="V311" s="5" t="inlineStr">
        <is>
          <t>SUPPORTING /web-development-company/casablanca</t>
        </is>
      </c>
    </row>
    <row r="312">
      <c r="A312" t="inlineStr">
        <is>
          <t>K0310</t>
        </is>
      </c>
      <c r="B312" t="inlineStr">
        <is>
          <t>création site internet rabat</t>
        </is>
      </c>
      <c r="C312" t="inlineStr">
        <is>
          <t>Morocco</t>
        </is>
      </c>
      <c r="D312" t="inlineStr">
        <is>
          <t>ma</t>
        </is>
      </c>
      <c r="E312" t="inlineStr">
        <is>
          <t>fr</t>
        </is>
      </c>
      <c r="F312" t="n">
        <v>20</v>
      </c>
      <c r="G312" t="inlineStr">
        <is>
          <t>NOT AVAILABLE</t>
        </is>
      </c>
      <c r="H312" t="n">
        <v>0</v>
      </c>
      <c r="I312" t="n">
        <v>0.86</v>
      </c>
      <c r="J312" t="inlineStr">
        <is>
          <t>NOT AVAILABLE</t>
        </is>
      </c>
      <c r="K312" t="inlineStr">
        <is>
          <t>NOT AVAILABLE (report not requested)</t>
        </is>
      </c>
      <c r="L312" t="inlineStr">
        <is>
          <t>rising (calc.)</t>
        </is>
      </c>
      <c r="M312" t="inlineStr">
        <is>
          <t>MEASURED</t>
        </is>
      </c>
      <c r="N312" s="5" t="inlineStr">
        <is>
          <t>Semrush phrase_these (live, this session)</t>
        </is>
      </c>
      <c r="O312" t="inlineStr">
        <is>
          <t>2026-10-30</t>
        </is>
      </c>
      <c r="P312">
        <f>IF(IF(J312="NOT AVAILABLE","",J312)="",12,IF(OR(ISNUMBER(SEARCH("Transactional",IF(J312="NOT AVAILABLE","",J312))),ISNUMBER(SEARCH("Commercial",IF(J312="NOT AVAILABLE","",J312)))),25,IF(ISNUMBER(SEARCH("Informational",IF(J312="NOT AVAILABLE","",J312))),10,IF(ISNUMBER(SEARCH("Navigational",IF(J312="NOT AVAILABLE","",J312))),0,12))))</f>
        <v/>
      </c>
      <c r="Q312">
        <f>IF(ISNUMBER(F312),MIN(30,ROUND(30*LOG10(F312+1)/4,1)),0)</f>
        <v/>
      </c>
      <c r="R312">
        <f>IF(ISNUMBER(G312),ROUND(25*(100-G312)/100,1),12.5)</f>
        <v/>
      </c>
      <c r="S312" t="n">
        <v>20</v>
      </c>
      <c r="T312">
        <f>ROUND(P312+Q312+R312+S312,0)</f>
        <v/>
      </c>
      <c r="U312" s="5" t="inlineStr"/>
      <c r="V312" s="5" t="inlineStr">
        <is>
          <t>SUPPORTING /web-development-company/rabat</t>
        </is>
      </c>
    </row>
    <row r="313">
      <c r="A313" t="inlineStr">
        <is>
          <t>K0311</t>
        </is>
      </c>
      <c r="B313" t="inlineStr">
        <is>
          <t>création site professionnel</t>
        </is>
      </c>
      <c r="C313" t="inlineStr">
        <is>
          <t>Morocco</t>
        </is>
      </c>
      <c r="D313" t="inlineStr">
        <is>
          <t>ma</t>
        </is>
      </c>
      <c r="E313" t="inlineStr">
        <is>
          <t>fr</t>
        </is>
      </c>
      <c r="F313" t="n">
        <v>20</v>
      </c>
      <c r="G313" t="inlineStr">
        <is>
          <t>NOT AVAILABLE</t>
        </is>
      </c>
      <c r="H313" t="n">
        <v>0</v>
      </c>
      <c r="I313" t="n">
        <v>1</v>
      </c>
      <c r="J313" t="inlineStr">
        <is>
          <t>NOT AVAILABLE</t>
        </is>
      </c>
      <c r="K313" t="inlineStr">
        <is>
          <t>NOT AVAILABLE (report not requested)</t>
        </is>
      </c>
      <c r="L313" t="inlineStr">
        <is>
          <t>rising (calc.)</t>
        </is>
      </c>
      <c r="M313" t="inlineStr">
        <is>
          <t>MEASURED</t>
        </is>
      </c>
      <c r="N313" s="5" t="inlineStr">
        <is>
          <t>Semrush phrase_these (historical w3-validate-A-creation.csv)</t>
        </is>
      </c>
      <c r="O313" t="inlineStr">
        <is>
          <t>2026-10-27</t>
        </is>
      </c>
      <c r="P313">
        <f>IF(IF(J313="NOT AVAILABLE","",J313)="",12,IF(OR(ISNUMBER(SEARCH("Transactional",IF(J313="NOT AVAILABLE","",J313))),ISNUMBER(SEARCH("Commercial",IF(J313="NOT AVAILABLE","",J313)))),25,IF(ISNUMBER(SEARCH("Informational",IF(J313="NOT AVAILABLE","",J313))),10,IF(ISNUMBER(SEARCH("Navigational",IF(J313="NOT AVAILABLE","",J313))),0,12))))</f>
        <v/>
      </c>
      <c r="Q313">
        <f>IF(ISNUMBER(F313),MIN(30,ROUND(30*LOG10(F313+1)/4,1)),0)</f>
        <v/>
      </c>
      <c r="R313">
        <f>IF(ISNUMBER(G313),ROUND(25*(100-G313)/100,1),12.5)</f>
        <v/>
      </c>
      <c r="S313" t="n">
        <v>20</v>
      </c>
      <c r="T313">
        <f>ROUND(P313+Q313+R313+S313,0)</f>
        <v/>
      </c>
      <c r="U313" s="5" t="inlineStr"/>
      <c r="V313" s="5" t="inlineStr"/>
    </row>
    <row r="314">
      <c r="A314" t="inlineStr">
        <is>
          <t>K0312</t>
        </is>
      </c>
      <c r="B314" t="inlineStr">
        <is>
          <t>création site vitrine</t>
        </is>
      </c>
      <c r="C314" t="inlineStr">
        <is>
          <t>Morocco</t>
        </is>
      </c>
      <c r="D314" t="inlineStr">
        <is>
          <t>ma</t>
        </is>
      </c>
      <c r="E314" t="inlineStr">
        <is>
          <t>fr</t>
        </is>
      </c>
      <c r="F314" t="n">
        <v>20</v>
      </c>
      <c r="G314" t="inlineStr">
        <is>
          <t>NOT AVAILABLE</t>
        </is>
      </c>
      <c r="H314" t="n">
        <v>0</v>
      </c>
      <c r="I314" t="n">
        <v>0.23</v>
      </c>
      <c r="J314" t="inlineStr">
        <is>
          <t>NOT AVAILABLE</t>
        </is>
      </c>
      <c r="K314" t="inlineStr">
        <is>
          <t>NOT AVAILABLE (report not requested)</t>
        </is>
      </c>
      <c r="L314" t="inlineStr">
        <is>
          <t>declining (calc.)</t>
        </is>
      </c>
      <c r="M314" t="inlineStr">
        <is>
          <t>MEASURED</t>
        </is>
      </c>
      <c r="N314" s="5" t="inlineStr">
        <is>
          <t>Semrush phrase_these (live, this session)</t>
        </is>
      </c>
      <c r="O314" t="inlineStr">
        <is>
          <t>2026-10-30</t>
        </is>
      </c>
      <c r="P314">
        <f>IF(IF(J314="NOT AVAILABLE","",J314)="",12,IF(OR(ISNUMBER(SEARCH("Transactional",IF(J314="NOT AVAILABLE","",J314))),ISNUMBER(SEARCH("Commercial",IF(J314="NOT AVAILABLE","",J314)))),25,IF(ISNUMBER(SEARCH("Informational",IF(J314="NOT AVAILABLE","",J314))),10,IF(ISNUMBER(SEARCH("Navigational",IF(J314="NOT AVAILABLE","",J314))),0,12))))</f>
        <v/>
      </c>
      <c r="Q314">
        <f>IF(ISNUMBER(F314),MIN(30,ROUND(30*LOG10(F314+1)/4,1)),0)</f>
        <v/>
      </c>
      <c r="R314">
        <f>IF(ISNUMBER(G314),ROUND(25*(100-G314)/100,1),12.5)</f>
        <v/>
      </c>
      <c r="S314" t="n">
        <v>20</v>
      </c>
      <c r="T314">
        <f>ROUND(P314+Q314+R314+S314,0)</f>
        <v/>
      </c>
      <c r="U314" s="5" t="inlineStr"/>
      <c r="V314" s="5" t="inlineStr"/>
    </row>
    <row r="315">
      <c r="A315" t="inlineStr">
        <is>
          <t>K0313</t>
        </is>
      </c>
      <c r="B315" t="inlineStr">
        <is>
          <t>créer un chatbot</t>
        </is>
      </c>
      <c r="C315" t="inlineStr">
        <is>
          <t>Morocco</t>
        </is>
      </c>
      <c r="D315" t="inlineStr">
        <is>
          <t>ma</t>
        </is>
      </c>
      <c r="E315" t="inlineStr">
        <is>
          <t>fr</t>
        </is>
      </c>
      <c r="F315" t="n">
        <v>20</v>
      </c>
      <c r="G315" t="inlineStr">
        <is>
          <t>NOT AVAILABLE</t>
        </is>
      </c>
      <c r="H315" t="n">
        <v>0.13</v>
      </c>
      <c r="I315" t="n">
        <v>0.29</v>
      </c>
      <c r="J315" t="inlineStr">
        <is>
          <t>NOT AVAILABLE</t>
        </is>
      </c>
      <c r="K315" t="inlineStr">
        <is>
          <t>NOT AVAILABLE (report not requested)</t>
        </is>
      </c>
      <c r="L315" t="inlineStr">
        <is>
          <t>declining (calc.)</t>
        </is>
      </c>
      <c r="M315" t="inlineStr">
        <is>
          <t>MEASURED</t>
        </is>
      </c>
      <c r="N315" s="5" t="inlineStr">
        <is>
          <t>Semrush phrase_these (live, this session)</t>
        </is>
      </c>
      <c r="O315" t="inlineStr">
        <is>
          <t>2026-10-30</t>
        </is>
      </c>
      <c r="P315">
        <f>IF(IF(J315="NOT AVAILABLE","",J315)="",12,IF(OR(ISNUMBER(SEARCH("Transactional",IF(J315="NOT AVAILABLE","",J315))),ISNUMBER(SEARCH("Commercial",IF(J315="NOT AVAILABLE","",J315)))),25,IF(ISNUMBER(SEARCH("Informational",IF(J315="NOT AVAILABLE","",J315))),10,IF(ISNUMBER(SEARCH("Navigational",IF(J315="NOT AVAILABLE","",J315))),0,12))))</f>
        <v/>
      </c>
      <c r="Q315">
        <f>IF(ISNUMBER(F315),MIN(30,ROUND(30*LOG10(F315+1)/4,1)),0)</f>
        <v/>
      </c>
      <c r="R315">
        <f>IF(ISNUMBER(G315),ROUND(25*(100-G315)/100,1),12.5)</f>
        <v/>
      </c>
      <c r="S315" t="n">
        <v>20</v>
      </c>
      <c r="T315">
        <f>ROUND(P315+Q315+R315+S315,0)</f>
        <v/>
      </c>
      <c r="U315" s="5" t="inlineStr"/>
      <c r="V315" s="5" t="inlineStr">
        <is>
          <t>SECONDARY /tools/chatbot-script-generator</t>
        </is>
      </c>
    </row>
    <row r="316">
      <c r="A316" t="inlineStr">
        <is>
          <t>K0314</t>
        </is>
      </c>
      <c r="B316" t="inlineStr">
        <is>
          <t>créer une landing page</t>
        </is>
      </c>
      <c r="C316" t="inlineStr">
        <is>
          <t>Morocco</t>
        </is>
      </c>
      <c r="D316" t="inlineStr">
        <is>
          <t>ma</t>
        </is>
      </c>
      <c r="E316" t="inlineStr">
        <is>
          <t>fr</t>
        </is>
      </c>
      <c r="F316" t="n">
        <v>20</v>
      </c>
      <c r="G316" t="inlineStr">
        <is>
          <t>NOT AVAILABLE</t>
        </is>
      </c>
      <c r="H316" t="n">
        <v>0.37</v>
      </c>
      <c r="I316" t="n">
        <v>0.79</v>
      </c>
      <c r="J316" t="inlineStr">
        <is>
          <t>NOT AVAILABLE</t>
        </is>
      </c>
      <c r="K316" t="inlineStr">
        <is>
          <t>NOT AVAILABLE (report not requested)</t>
        </is>
      </c>
      <c r="L316" t="inlineStr">
        <is>
          <t>declining (calc.)</t>
        </is>
      </c>
      <c r="M316" t="inlineStr">
        <is>
          <t>MEASURED</t>
        </is>
      </c>
      <c r="N316" s="5" t="inlineStr">
        <is>
          <t>Semrush phrase_these (live, this session)</t>
        </is>
      </c>
      <c r="O316" t="inlineStr">
        <is>
          <t>2026-10-30</t>
        </is>
      </c>
      <c r="P316">
        <f>IF(IF(J316="NOT AVAILABLE","",J316)="",12,IF(OR(ISNUMBER(SEARCH("Transactional",IF(J316="NOT AVAILABLE","",J316))),ISNUMBER(SEARCH("Commercial",IF(J316="NOT AVAILABLE","",J316)))),25,IF(ISNUMBER(SEARCH("Informational",IF(J316="NOT AVAILABLE","",J316))),10,IF(ISNUMBER(SEARCH("Navigational",IF(J316="NOT AVAILABLE","",J316))),0,12))))</f>
        <v/>
      </c>
      <c r="Q316">
        <f>IF(ISNUMBER(F316),MIN(30,ROUND(30*LOG10(F316+1)/4,1)),0)</f>
        <v/>
      </c>
      <c r="R316">
        <f>IF(ISNUMBER(G316),ROUND(25*(100-G316)/100,1),12.5)</f>
        <v/>
      </c>
      <c r="S316" t="n">
        <v>20</v>
      </c>
      <c r="T316">
        <f>ROUND(P316+Q316+R316+S316,0)</f>
        <v/>
      </c>
      <c r="U316" s="5" t="inlineStr"/>
      <c r="V316" s="5" t="inlineStr">
        <is>
          <t>SECONDARY /tools/landing-page-generator</t>
        </is>
      </c>
    </row>
    <row r="317">
      <c r="A317" t="inlineStr">
        <is>
          <t>K0315</t>
        </is>
      </c>
      <c r="B317" t="inlineStr">
        <is>
          <t>devis création site web</t>
        </is>
      </c>
      <c r="C317" t="inlineStr">
        <is>
          <t>Morocco</t>
        </is>
      </c>
      <c r="D317" t="inlineStr">
        <is>
          <t>ma</t>
        </is>
      </c>
      <c r="E317" t="inlineStr">
        <is>
          <t>fr</t>
        </is>
      </c>
      <c r="F317" t="n">
        <v>20</v>
      </c>
      <c r="G317" t="inlineStr">
        <is>
          <t>NOT AVAILABLE</t>
        </is>
      </c>
      <c r="H317" t="n">
        <v>0.33</v>
      </c>
      <c r="I317" t="n">
        <v>0.38</v>
      </c>
      <c r="J317" t="inlineStr">
        <is>
          <t>NOT AVAILABLE</t>
        </is>
      </c>
      <c r="K317" t="inlineStr">
        <is>
          <t>NOT AVAILABLE (report not requested)</t>
        </is>
      </c>
      <c r="L317" t="inlineStr">
        <is>
          <t>declining (calc.)</t>
        </is>
      </c>
      <c r="M317" t="inlineStr">
        <is>
          <t>MEASURED</t>
        </is>
      </c>
      <c r="N317" s="5" t="inlineStr">
        <is>
          <t>Semrush phrase_these (live, this session)</t>
        </is>
      </c>
      <c r="O317" t="inlineStr">
        <is>
          <t>2026-10-30</t>
        </is>
      </c>
      <c r="P317">
        <f>IF(IF(J317="NOT AVAILABLE","",J317)="",12,IF(OR(ISNUMBER(SEARCH("Transactional",IF(J317="NOT AVAILABLE","",J317))),ISNUMBER(SEARCH("Commercial",IF(J317="NOT AVAILABLE","",J317)))),25,IF(ISNUMBER(SEARCH("Informational",IF(J317="NOT AVAILABLE","",J317))),10,IF(ISNUMBER(SEARCH("Navigational",IF(J317="NOT AVAILABLE","",J317))),0,12))))</f>
        <v/>
      </c>
      <c r="Q317">
        <f>IF(ISNUMBER(F317),MIN(30,ROUND(30*LOG10(F317+1)/4,1)),0)</f>
        <v/>
      </c>
      <c r="R317">
        <f>IF(ISNUMBER(G317),ROUND(25*(100-G317)/100,1),12.5)</f>
        <v/>
      </c>
      <c r="S317" t="n">
        <v>20</v>
      </c>
      <c r="T317">
        <f>ROUND(P317+Q317+R317+S317,0)</f>
        <v/>
      </c>
      <c r="U317" s="5" t="inlineStr"/>
      <c r="V317" s="5" t="inlineStr">
        <is>
          <t>SECONDARY /get-quote</t>
        </is>
      </c>
    </row>
    <row r="318">
      <c r="A318" t="inlineStr">
        <is>
          <t>K0316</t>
        </is>
      </c>
      <c r="B318" t="inlineStr">
        <is>
          <t>devis site internet</t>
        </is>
      </c>
      <c r="C318" t="inlineStr">
        <is>
          <t>Morocco</t>
        </is>
      </c>
      <c r="D318" t="inlineStr">
        <is>
          <t>ma</t>
        </is>
      </c>
      <c r="E318" t="inlineStr">
        <is>
          <t>fr</t>
        </is>
      </c>
      <c r="F318" t="n">
        <v>20</v>
      </c>
      <c r="G318" t="inlineStr">
        <is>
          <t>NOT AVAILABLE</t>
        </is>
      </c>
      <c r="H318" t="n">
        <v>0</v>
      </c>
      <c r="I318" t="n">
        <v>0</v>
      </c>
      <c r="J318" t="inlineStr">
        <is>
          <t>NOT AVAILABLE</t>
        </is>
      </c>
      <c r="K318" t="inlineStr">
        <is>
          <t>NOT AVAILABLE (report not requested)</t>
        </is>
      </c>
      <c r="L318" t="inlineStr">
        <is>
          <t>declining (calc.)</t>
        </is>
      </c>
      <c r="M318" t="inlineStr">
        <is>
          <t>MEASURED</t>
        </is>
      </c>
      <c r="N318" s="5" t="inlineStr">
        <is>
          <t>Semrush phrase_these (live, this session)</t>
        </is>
      </c>
      <c r="O318" t="inlineStr">
        <is>
          <t>2026-10-30</t>
        </is>
      </c>
      <c r="P318">
        <f>IF(IF(J318="NOT AVAILABLE","",J318)="",12,IF(OR(ISNUMBER(SEARCH("Transactional",IF(J318="NOT AVAILABLE","",J318))),ISNUMBER(SEARCH("Commercial",IF(J318="NOT AVAILABLE","",J318)))),25,IF(ISNUMBER(SEARCH("Informational",IF(J318="NOT AVAILABLE","",J318))),10,IF(ISNUMBER(SEARCH("Navigational",IF(J318="NOT AVAILABLE","",J318))),0,12))))</f>
        <v/>
      </c>
      <c r="Q318">
        <f>IF(ISNUMBER(F318),MIN(30,ROUND(30*LOG10(F318+1)/4,1)),0)</f>
        <v/>
      </c>
      <c r="R318">
        <f>IF(ISNUMBER(G318),ROUND(25*(100-G318)/100,1),12.5)</f>
        <v/>
      </c>
      <c r="S318" t="n">
        <v>20</v>
      </c>
      <c r="T318">
        <f>ROUND(P318+Q318+R318+S318,0)</f>
        <v/>
      </c>
      <c r="U318" s="5" t="inlineStr"/>
      <c r="V318" s="5" t="inlineStr">
        <is>
          <t>SECONDARY /get-quote</t>
        </is>
      </c>
    </row>
    <row r="319">
      <c r="A319" t="inlineStr">
        <is>
          <t>K0317</t>
        </is>
      </c>
      <c r="B319" t="inlineStr">
        <is>
          <t>domaine expiré</t>
        </is>
      </c>
      <c r="C319" t="inlineStr">
        <is>
          <t>Morocco</t>
        </is>
      </c>
      <c r="D319" t="inlineStr">
        <is>
          <t>ma</t>
        </is>
      </c>
      <c r="E319" t="inlineStr">
        <is>
          <t>fr</t>
        </is>
      </c>
      <c r="F319" t="n">
        <v>20</v>
      </c>
      <c r="G319" t="inlineStr">
        <is>
          <t>NOT AVAILABLE</t>
        </is>
      </c>
      <c r="H319" t="n">
        <v>0</v>
      </c>
      <c r="I319" t="n">
        <v>0.43</v>
      </c>
      <c r="J319" t="inlineStr">
        <is>
          <t>NOT AVAILABLE</t>
        </is>
      </c>
      <c r="K319" t="inlineStr">
        <is>
          <t>NOT AVAILABLE (report not requested)</t>
        </is>
      </c>
      <c r="L319" t="inlineStr">
        <is>
          <t>declining (calc.)</t>
        </is>
      </c>
      <c r="M319" t="inlineStr">
        <is>
          <t>MEASURED</t>
        </is>
      </c>
      <c r="N319" s="5" t="inlineStr">
        <is>
          <t>Semrush phrase_these (live, this session)</t>
        </is>
      </c>
      <c r="O319" t="inlineStr">
        <is>
          <t>2026-10-30</t>
        </is>
      </c>
      <c r="P319">
        <f>IF(IF(J319="NOT AVAILABLE","",J319)="",12,IF(OR(ISNUMBER(SEARCH("Transactional",IF(J319="NOT AVAILABLE","",J319))),ISNUMBER(SEARCH("Commercial",IF(J319="NOT AVAILABLE","",J319)))),25,IF(ISNUMBER(SEARCH("Informational",IF(J319="NOT AVAILABLE","",J319))),10,IF(ISNUMBER(SEARCH("Navigational",IF(J319="NOT AVAILABLE","",J319))),0,12))))</f>
        <v/>
      </c>
      <c r="Q319">
        <f>IF(ISNUMBER(F319),MIN(30,ROUND(30*LOG10(F319+1)/4,1)),0)</f>
        <v/>
      </c>
      <c r="R319">
        <f>IF(ISNUMBER(G319),ROUND(25*(100-G319)/100,1),12.5)</f>
        <v/>
      </c>
      <c r="S319" t="n">
        <v>20</v>
      </c>
      <c r="T319">
        <f>ROUND(P319+Q319+R319+S319,0)</f>
        <v/>
      </c>
      <c r="U319" s="5" t="inlineStr"/>
      <c r="V319" s="5" t="inlineStr">
        <is>
          <t>SUPPORTING /tools/expired-domain-checker</t>
        </is>
      </c>
    </row>
    <row r="320">
      <c r="A320" t="inlineStr">
        <is>
          <t>K0318</t>
        </is>
      </c>
      <c r="B320" t="inlineStr">
        <is>
          <t>domaines expirés</t>
        </is>
      </c>
      <c r="C320" t="inlineStr">
        <is>
          <t>Morocco</t>
        </is>
      </c>
      <c r="D320" t="inlineStr">
        <is>
          <t>ma</t>
        </is>
      </c>
      <c r="E320" t="inlineStr">
        <is>
          <t>fr</t>
        </is>
      </c>
      <c r="F320" t="n">
        <v>20</v>
      </c>
      <c r="G320" t="inlineStr">
        <is>
          <t>NOT AVAILABLE</t>
        </is>
      </c>
      <c r="H320" t="n">
        <v>0</v>
      </c>
      <c r="I320" t="n">
        <v>0.6899999999999999</v>
      </c>
      <c r="J320" t="inlineStr">
        <is>
          <t>NOT AVAILABLE</t>
        </is>
      </c>
      <c r="K320" t="inlineStr">
        <is>
          <t>NOT AVAILABLE (report not requested)</t>
        </is>
      </c>
      <c r="L320" t="inlineStr">
        <is>
          <t>declining (calc.)</t>
        </is>
      </c>
      <c r="M320" t="inlineStr">
        <is>
          <t>MEASURED</t>
        </is>
      </c>
      <c r="N320" s="5" t="inlineStr">
        <is>
          <t>Semrush phrase_these (live, this session)</t>
        </is>
      </c>
      <c r="O320" t="inlineStr">
        <is>
          <t>2026-10-30</t>
        </is>
      </c>
      <c r="P320">
        <f>IF(IF(J320="NOT AVAILABLE","",J320)="",12,IF(OR(ISNUMBER(SEARCH("Transactional",IF(J320="NOT AVAILABLE","",J320))),ISNUMBER(SEARCH("Commercial",IF(J320="NOT AVAILABLE","",J320)))),25,IF(ISNUMBER(SEARCH("Informational",IF(J320="NOT AVAILABLE","",J320))),10,IF(ISNUMBER(SEARCH("Navigational",IF(J320="NOT AVAILABLE","",J320))),0,12))))</f>
        <v/>
      </c>
      <c r="Q320">
        <f>IF(ISNUMBER(F320),MIN(30,ROUND(30*LOG10(F320+1)/4,1)),0)</f>
        <v/>
      </c>
      <c r="R320">
        <f>IF(ISNUMBER(G320),ROUND(25*(100-G320)/100,1),12.5)</f>
        <v/>
      </c>
      <c r="S320" t="n">
        <v>20</v>
      </c>
      <c r="T320">
        <f>ROUND(P320+Q320+R320+S320,0)</f>
        <v/>
      </c>
      <c r="U320" s="5" t="inlineStr"/>
      <c r="V320" s="5" t="inlineStr">
        <is>
          <t>SUPPORTING /tools/expired-domain-checker</t>
        </is>
      </c>
    </row>
    <row r="321">
      <c r="A321" t="inlineStr">
        <is>
          <t>K0319</t>
        </is>
      </c>
      <c r="B321" t="inlineStr">
        <is>
          <t>développement application mobile maroc</t>
        </is>
      </c>
      <c r="C321" t="inlineStr">
        <is>
          <t>Morocco</t>
        </is>
      </c>
      <c r="D321" t="inlineStr">
        <is>
          <t>ma</t>
        </is>
      </c>
      <c r="E321" t="inlineStr">
        <is>
          <t>fr</t>
        </is>
      </c>
      <c r="F321" t="n">
        <v>20</v>
      </c>
      <c r="G321" t="inlineStr">
        <is>
          <t>NOT AVAILABLE</t>
        </is>
      </c>
      <c r="H321" t="n">
        <v>0.45</v>
      </c>
      <c r="I321" t="n">
        <v>0.43</v>
      </c>
      <c r="J321" t="inlineStr">
        <is>
          <t>NOT AVAILABLE</t>
        </is>
      </c>
      <c r="K321" t="inlineStr">
        <is>
          <t>NOT AVAILABLE (report not requested)</t>
        </is>
      </c>
      <c r="L321" t="inlineStr">
        <is>
          <t>stable (calc.)</t>
        </is>
      </c>
      <c r="M321" t="inlineStr">
        <is>
          <t>MEASURED</t>
        </is>
      </c>
      <c r="N321" s="5" t="inlineStr">
        <is>
          <t>Semrush phrase_these (historical validate-ma-wave2.csv)</t>
        </is>
      </c>
      <c r="O321" t="inlineStr">
        <is>
          <t>2026-10-26</t>
        </is>
      </c>
      <c r="P321">
        <f>IF(IF(J321="NOT AVAILABLE","",J321)="",12,IF(OR(ISNUMBER(SEARCH("Transactional",IF(J321="NOT AVAILABLE","",J321))),ISNUMBER(SEARCH("Commercial",IF(J321="NOT AVAILABLE","",J321)))),25,IF(ISNUMBER(SEARCH("Informational",IF(J321="NOT AVAILABLE","",J321))),10,IF(ISNUMBER(SEARCH("Navigational",IF(J321="NOT AVAILABLE","",J321))),0,12))))</f>
        <v/>
      </c>
      <c r="Q321">
        <f>IF(ISNUMBER(F321),MIN(30,ROUND(30*LOG10(F321+1)/4,1)),0)</f>
        <v/>
      </c>
      <c r="R321">
        <f>IF(ISNUMBER(G321),ROUND(25*(100-G321)/100,1),12.5)</f>
        <v/>
      </c>
      <c r="S321" t="n">
        <v>20</v>
      </c>
      <c r="T321">
        <f>ROUND(P321+Q321+R321+S321,0)</f>
        <v/>
      </c>
      <c r="U321" s="5" t="inlineStr"/>
      <c r="V321" s="5" t="inlineStr"/>
    </row>
    <row r="322">
      <c r="A322" t="inlineStr">
        <is>
          <t>K0320</t>
        </is>
      </c>
      <c r="B322" t="inlineStr">
        <is>
          <t>développement logiciel maroc</t>
        </is>
      </c>
      <c r="C322" t="inlineStr">
        <is>
          <t>Morocco</t>
        </is>
      </c>
      <c r="D322" t="inlineStr">
        <is>
          <t>ma</t>
        </is>
      </c>
      <c r="E322" t="inlineStr">
        <is>
          <t>fr</t>
        </is>
      </c>
      <c r="F322" t="n">
        <v>20</v>
      </c>
      <c r="G322" t="inlineStr">
        <is>
          <t>NOT AVAILABLE</t>
        </is>
      </c>
      <c r="H322" t="n">
        <v>0</v>
      </c>
      <c r="I322" t="n">
        <v>0.03</v>
      </c>
      <c r="J322" t="inlineStr">
        <is>
          <t>NOT AVAILABLE</t>
        </is>
      </c>
      <c r="K322" t="inlineStr">
        <is>
          <t>NOT AVAILABLE (report not requested)</t>
        </is>
      </c>
      <c r="L322" t="inlineStr">
        <is>
          <t>declining (calc.)</t>
        </is>
      </c>
      <c r="M322" t="inlineStr">
        <is>
          <t>MEASURED</t>
        </is>
      </c>
      <c r="N322" s="5" t="inlineStr">
        <is>
          <t>Semrush phrase_these (live, this session)</t>
        </is>
      </c>
      <c r="O322" t="inlineStr">
        <is>
          <t>2026-10-30</t>
        </is>
      </c>
      <c r="P322">
        <f>IF(IF(J322="NOT AVAILABLE","",J322)="",12,IF(OR(ISNUMBER(SEARCH("Transactional",IF(J322="NOT AVAILABLE","",J322))),ISNUMBER(SEARCH("Commercial",IF(J322="NOT AVAILABLE","",J322)))),25,IF(ISNUMBER(SEARCH("Informational",IF(J322="NOT AVAILABLE","",J322))),10,IF(ISNUMBER(SEARCH("Navigational",IF(J322="NOT AVAILABLE","",J322))),0,12))))</f>
        <v/>
      </c>
      <c r="Q322">
        <f>IF(ISNUMBER(F322),MIN(30,ROUND(30*LOG10(F322+1)/4,1)),0)</f>
        <v/>
      </c>
      <c r="R322">
        <f>IF(ISNUMBER(G322),ROUND(25*(100-G322)/100,1),12.5)</f>
        <v/>
      </c>
      <c r="S322" t="n">
        <v>20</v>
      </c>
      <c r="T322">
        <f>ROUND(P322+Q322+R322+S322,0)</f>
        <v/>
      </c>
      <c r="U322" s="5" t="inlineStr"/>
      <c r="V322" s="5" t="inlineStr"/>
    </row>
    <row r="323">
      <c r="A323" t="inlineStr">
        <is>
          <t>K0321</t>
        </is>
      </c>
      <c r="B323" t="inlineStr">
        <is>
          <t>développement site web maroc</t>
        </is>
      </c>
      <c r="C323" t="inlineStr">
        <is>
          <t>Morocco</t>
        </is>
      </c>
      <c r="D323" t="inlineStr">
        <is>
          <t>ma</t>
        </is>
      </c>
      <c r="E323" t="inlineStr">
        <is>
          <t>fr</t>
        </is>
      </c>
      <c r="F323" t="n">
        <v>20</v>
      </c>
      <c r="G323" t="inlineStr">
        <is>
          <t>NOT AVAILABLE</t>
        </is>
      </c>
      <c r="H323" t="n">
        <v>0</v>
      </c>
      <c r="I323" t="n">
        <v>0.86</v>
      </c>
      <c r="J323" t="inlineStr">
        <is>
          <t>NOT AVAILABLE</t>
        </is>
      </c>
      <c r="K323" t="inlineStr">
        <is>
          <t>NOT AVAILABLE (report not requested)</t>
        </is>
      </c>
      <c r="L323" t="inlineStr">
        <is>
          <t>declining (calc.)</t>
        </is>
      </c>
      <c r="M323" t="inlineStr">
        <is>
          <t>MEASURED</t>
        </is>
      </c>
      <c r="N323" s="5" t="inlineStr">
        <is>
          <t>Semrush phrase_these (live, this session)</t>
        </is>
      </c>
      <c r="O323" t="inlineStr">
        <is>
          <t>2026-10-30</t>
        </is>
      </c>
      <c r="P323">
        <f>IF(IF(J323="NOT AVAILABLE","",J323)="",12,IF(OR(ISNUMBER(SEARCH("Transactional",IF(J323="NOT AVAILABLE","",J323))),ISNUMBER(SEARCH("Commercial",IF(J323="NOT AVAILABLE","",J323)))),25,IF(ISNUMBER(SEARCH("Informational",IF(J323="NOT AVAILABLE","",J323))),10,IF(ISNUMBER(SEARCH("Navigational",IF(J323="NOT AVAILABLE","",J323))),0,12))))</f>
        <v/>
      </c>
      <c r="Q323">
        <f>IF(ISNUMBER(F323),MIN(30,ROUND(30*LOG10(F323+1)/4,1)),0)</f>
        <v/>
      </c>
      <c r="R323">
        <f>IF(ISNUMBER(G323),ROUND(25*(100-G323)/100,1),12.5)</f>
        <v/>
      </c>
      <c r="S323" t="n">
        <v>20</v>
      </c>
      <c r="T323">
        <f>ROUND(P323+Q323+R323+S323,0)</f>
        <v/>
      </c>
      <c r="U323" s="5" t="inlineStr"/>
      <c r="V323" s="5" t="inlineStr"/>
    </row>
    <row r="324">
      <c r="A324" t="inlineStr">
        <is>
          <t>K0322</t>
        </is>
      </c>
      <c r="B324" t="inlineStr">
        <is>
          <t>développement web entreprise</t>
        </is>
      </c>
      <c r="C324" t="inlineStr">
        <is>
          <t>Morocco</t>
        </is>
      </c>
      <c r="D324" t="inlineStr">
        <is>
          <t>ma</t>
        </is>
      </c>
      <c r="E324" t="inlineStr">
        <is>
          <t>fr</t>
        </is>
      </c>
      <c r="F324" t="n">
        <v>20</v>
      </c>
      <c r="G324" t="inlineStr">
        <is>
          <t>NOT AVAILABLE</t>
        </is>
      </c>
      <c r="H324" t="n">
        <v>0.55</v>
      </c>
      <c r="I324" t="n">
        <v>0.33</v>
      </c>
      <c r="J324" t="inlineStr">
        <is>
          <t>NOT AVAILABLE</t>
        </is>
      </c>
      <c r="K324" t="inlineStr">
        <is>
          <t>NOT AVAILABLE (report not requested)</t>
        </is>
      </c>
      <c r="L324" t="inlineStr">
        <is>
          <t>rising (calc.)</t>
        </is>
      </c>
      <c r="M324" t="inlineStr">
        <is>
          <t>MEASURED</t>
        </is>
      </c>
      <c r="N324" s="5" t="inlineStr">
        <is>
          <t>Semrush phrase_these (historical w3-validate-A-creation.csv)</t>
        </is>
      </c>
      <c r="O324" t="inlineStr">
        <is>
          <t>2026-10-27</t>
        </is>
      </c>
      <c r="P324">
        <f>IF(IF(J324="NOT AVAILABLE","",J324)="",12,IF(OR(ISNUMBER(SEARCH("Transactional",IF(J324="NOT AVAILABLE","",J324))),ISNUMBER(SEARCH("Commercial",IF(J324="NOT AVAILABLE","",J324)))),25,IF(ISNUMBER(SEARCH("Informational",IF(J324="NOT AVAILABLE","",J324))),10,IF(ISNUMBER(SEARCH("Navigational",IF(J324="NOT AVAILABLE","",J324))),0,12))))</f>
        <v/>
      </c>
      <c r="Q324">
        <f>IF(ISNUMBER(F324),MIN(30,ROUND(30*LOG10(F324+1)/4,1)),0)</f>
        <v/>
      </c>
      <c r="R324">
        <f>IF(ISNUMBER(G324),ROUND(25*(100-G324)/100,1),12.5)</f>
        <v/>
      </c>
      <c r="S324" t="n">
        <v>20</v>
      </c>
      <c r="T324">
        <f>ROUND(P324+Q324+R324+S324,0)</f>
        <v/>
      </c>
      <c r="U324" s="5" t="inlineStr"/>
      <c r="V324" s="5" t="inlineStr"/>
    </row>
    <row r="325">
      <c r="A325" t="inlineStr">
        <is>
          <t>K0323</t>
        </is>
      </c>
      <c r="B325" t="inlineStr">
        <is>
          <t>développeur application mobile maroc</t>
        </is>
      </c>
      <c r="C325" t="inlineStr">
        <is>
          <t>Morocco</t>
        </is>
      </c>
      <c r="D325" t="inlineStr">
        <is>
          <t>ma</t>
        </is>
      </c>
      <c r="E325" t="inlineStr">
        <is>
          <t>fr</t>
        </is>
      </c>
      <c r="F325" t="n">
        <v>20</v>
      </c>
      <c r="G325" t="inlineStr">
        <is>
          <t>NOT AVAILABLE</t>
        </is>
      </c>
      <c r="H325" t="n">
        <v>0.45</v>
      </c>
      <c r="I325" t="n">
        <v>0.43</v>
      </c>
      <c r="J325" t="inlineStr">
        <is>
          <t>NOT AVAILABLE</t>
        </is>
      </c>
      <c r="K325" t="inlineStr">
        <is>
          <t>NOT AVAILABLE (report not requested)</t>
        </is>
      </c>
      <c r="L325" t="inlineStr">
        <is>
          <t>stable (calc.)</t>
        </is>
      </c>
      <c r="M325" t="inlineStr">
        <is>
          <t>MEASURED</t>
        </is>
      </c>
      <c r="N325" s="5" t="inlineStr">
        <is>
          <t>Semrush phrase_these (historical w3-validate-D-software.csv)</t>
        </is>
      </c>
      <c r="O325" t="inlineStr">
        <is>
          <t>2026-10-27</t>
        </is>
      </c>
      <c r="P325">
        <f>IF(IF(J325="NOT AVAILABLE","",J325)="",12,IF(OR(ISNUMBER(SEARCH("Transactional",IF(J325="NOT AVAILABLE","",J325))),ISNUMBER(SEARCH("Commercial",IF(J325="NOT AVAILABLE","",J325)))),25,IF(ISNUMBER(SEARCH("Informational",IF(J325="NOT AVAILABLE","",J325))),10,IF(ISNUMBER(SEARCH("Navigational",IF(J325="NOT AVAILABLE","",J325))),0,12))))</f>
        <v/>
      </c>
      <c r="Q325">
        <f>IF(ISNUMBER(F325),MIN(30,ROUND(30*LOG10(F325+1)/4,1)),0)</f>
        <v/>
      </c>
      <c r="R325">
        <f>IF(ISNUMBER(G325),ROUND(25*(100-G325)/100,1),12.5)</f>
        <v/>
      </c>
      <c r="S325" t="n">
        <v>20</v>
      </c>
      <c r="T325">
        <f>ROUND(P325+Q325+R325+S325,0)</f>
        <v/>
      </c>
      <c r="U325" s="5" t="inlineStr"/>
      <c r="V325" s="5" t="inlineStr"/>
    </row>
    <row r="326">
      <c r="A326" t="inlineStr">
        <is>
          <t>K0324</t>
        </is>
      </c>
      <c r="B326" t="inlineStr">
        <is>
          <t>développeur web agadir</t>
        </is>
      </c>
      <c r="C326" t="inlineStr">
        <is>
          <t>Morocco</t>
        </is>
      </c>
      <c r="D326" t="inlineStr">
        <is>
          <t>ma</t>
        </is>
      </c>
      <c r="E326" t="inlineStr">
        <is>
          <t>fr</t>
        </is>
      </c>
      <c r="F326" t="n">
        <v>20</v>
      </c>
      <c r="G326" t="inlineStr">
        <is>
          <t>NOT AVAILABLE</t>
        </is>
      </c>
      <c r="H326" t="n">
        <v>0</v>
      </c>
      <c r="I326" t="n">
        <v>0.07000000000000001</v>
      </c>
      <c r="J326" t="inlineStr">
        <is>
          <t>NOT AVAILABLE</t>
        </is>
      </c>
      <c r="K326" t="inlineStr">
        <is>
          <t>NOT AVAILABLE (report not requested)</t>
        </is>
      </c>
      <c r="L326" t="inlineStr">
        <is>
          <t>rising (calc.)</t>
        </is>
      </c>
      <c r="M326" t="inlineStr">
        <is>
          <t>MEASURED</t>
        </is>
      </c>
      <c r="N326" s="5" t="inlineStr">
        <is>
          <t>Semrush phrase_these (live, this session)</t>
        </is>
      </c>
      <c r="O326" t="inlineStr">
        <is>
          <t>2026-10-30</t>
        </is>
      </c>
      <c r="P326">
        <f>IF(IF(J326="NOT AVAILABLE","",J326)="",12,IF(OR(ISNUMBER(SEARCH("Transactional",IF(J326="NOT AVAILABLE","",J326))),ISNUMBER(SEARCH("Commercial",IF(J326="NOT AVAILABLE","",J326)))),25,IF(ISNUMBER(SEARCH("Informational",IF(J326="NOT AVAILABLE","",J326))),10,IF(ISNUMBER(SEARCH("Navigational",IF(J326="NOT AVAILABLE","",J326))),0,12))))</f>
        <v/>
      </c>
      <c r="Q326">
        <f>IF(ISNUMBER(F326),MIN(30,ROUND(30*LOG10(F326+1)/4,1)),0)</f>
        <v/>
      </c>
      <c r="R326">
        <f>IF(ISNUMBER(G326),ROUND(25*(100-G326)/100,1),12.5)</f>
        <v/>
      </c>
      <c r="S326" t="n">
        <v>20</v>
      </c>
      <c r="T326">
        <f>ROUND(P326+Q326+R326+S326,0)</f>
        <v/>
      </c>
      <c r="U326" s="5" t="inlineStr"/>
      <c r="V326" s="5" t="inlineStr">
        <is>
          <t>SUPPORTING /web-development-company/agadir</t>
        </is>
      </c>
    </row>
    <row r="327">
      <c r="A327" t="inlineStr">
        <is>
          <t>K0325</t>
        </is>
      </c>
      <c r="B327" t="inlineStr">
        <is>
          <t>développeur web casablanca</t>
        </is>
      </c>
      <c r="C327" t="inlineStr">
        <is>
          <t>Morocco</t>
        </is>
      </c>
      <c r="D327" t="inlineStr">
        <is>
          <t>ma</t>
        </is>
      </c>
      <c r="E327" t="inlineStr">
        <is>
          <t>fr</t>
        </is>
      </c>
      <c r="F327" t="n">
        <v>20</v>
      </c>
      <c r="G327" t="inlineStr">
        <is>
          <t>NOT AVAILABLE</t>
        </is>
      </c>
      <c r="H327" t="n">
        <v>0.28</v>
      </c>
      <c r="I327" t="n">
        <v>0.15</v>
      </c>
      <c r="J327" t="inlineStr">
        <is>
          <t>NOT AVAILABLE</t>
        </is>
      </c>
      <c r="K327" t="inlineStr">
        <is>
          <t>NOT AVAILABLE (report not requested)</t>
        </is>
      </c>
      <c r="L327" t="inlineStr">
        <is>
          <t>declining (calc.)</t>
        </is>
      </c>
      <c r="M327" t="inlineStr">
        <is>
          <t>MEASURED</t>
        </is>
      </c>
      <c r="N327" s="5" t="inlineStr">
        <is>
          <t>Semrush phrase_these (live, this session)</t>
        </is>
      </c>
      <c r="O327" t="inlineStr">
        <is>
          <t>2026-10-30</t>
        </is>
      </c>
      <c r="P327">
        <f>IF(IF(J327="NOT AVAILABLE","",J327)="",12,IF(OR(ISNUMBER(SEARCH("Transactional",IF(J327="NOT AVAILABLE","",J327))),ISNUMBER(SEARCH("Commercial",IF(J327="NOT AVAILABLE","",J327)))),25,IF(ISNUMBER(SEARCH("Informational",IF(J327="NOT AVAILABLE","",J327))),10,IF(ISNUMBER(SEARCH("Navigational",IF(J327="NOT AVAILABLE","",J327))),0,12))))</f>
        <v/>
      </c>
      <c r="Q327">
        <f>IF(ISNUMBER(F327),MIN(30,ROUND(30*LOG10(F327+1)/4,1)),0)</f>
        <v/>
      </c>
      <c r="R327">
        <f>IF(ISNUMBER(G327),ROUND(25*(100-G327)/100,1),12.5)</f>
        <v/>
      </c>
      <c r="S327" t="n">
        <v>20</v>
      </c>
      <c r="T327">
        <f>ROUND(P327+Q327+R327+S327,0)</f>
        <v/>
      </c>
      <c r="U327" s="5" t="inlineStr"/>
      <c r="V327" s="5" t="inlineStr">
        <is>
          <t>SUPPORTING /web-development-company/casablanca</t>
        </is>
      </c>
    </row>
    <row r="328">
      <c r="A328" t="inlineStr">
        <is>
          <t>K0326</t>
        </is>
      </c>
      <c r="B328" t="inlineStr">
        <is>
          <t>développeur web rabat</t>
        </is>
      </c>
      <c r="C328" t="inlineStr">
        <is>
          <t>Morocco</t>
        </is>
      </c>
      <c r="D328" t="inlineStr">
        <is>
          <t>ma</t>
        </is>
      </c>
      <c r="E328" t="inlineStr">
        <is>
          <t>fr</t>
        </is>
      </c>
      <c r="F328" t="n">
        <v>20</v>
      </c>
      <c r="G328" t="inlineStr">
        <is>
          <t>NOT AVAILABLE</t>
        </is>
      </c>
      <c r="H328" t="n">
        <v>0</v>
      </c>
      <c r="I328" t="n">
        <v>0.14</v>
      </c>
      <c r="J328" t="inlineStr">
        <is>
          <t>NOT AVAILABLE</t>
        </is>
      </c>
      <c r="K328" t="inlineStr">
        <is>
          <t>NOT AVAILABLE (report not requested)</t>
        </is>
      </c>
      <c r="L328" t="inlineStr">
        <is>
          <t>rising (calc.)</t>
        </is>
      </c>
      <c r="M328" t="inlineStr">
        <is>
          <t>MEASURED</t>
        </is>
      </c>
      <c r="N328" s="5" t="inlineStr">
        <is>
          <t>Semrush phrase_these (live, this session)</t>
        </is>
      </c>
      <c r="O328" t="inlineStr">
        <is>
          <t>2026-10-30</t>
        </is>
      </c>
      <c r="P328">
        <f>IF(IF(J328="NOT AVAILABLE","",J328)="",12,IF(OR(ISNUMBER(SEARCH("Transactional",IF(J328="NOT AVAILABLE","",J328))),ISNUMBER(SEARCH("Commercial",IF(J328="NOT AVAILABLE","",J328)))),25,IF(ISNUMBER(SEARCH("Informational",IF(J328="NOT AVAILABLE","",J328))),10,IF(ISNUMBER(SEARCH("Navigational",IF(J328="NOT AVAILABLE","",J328))),0,12))))</f>
        <v/>
      </c>
      <c r="Q328">
        <f>IF(ISNUMBER(F328),MIN(30,ROUND(30*LOG10(F328+1)/4,1)),0)</f>
        <v/>
      </c>
      <c r="R328">
        <f>IF(ISNUMBER(G328),ROUND(25*(100-G328)/100,1),12.5)</f>
        <v/>
      </c>
      <c r="S328" t="n">
        <v>20</v>
      </c>
      <c r="T328">
        <f>ROUND(P328+Q328+R328+S328,0)</f>
        <v/>
      </c>
      <c r="U328" s="5" t="inlineStr"/>
      <c r="V328" s="5" t="inlineStr">
        <is>
          <t>SUPPORTING /web-development-company/rabat</t>
        </is>
      </c>
    </row>
    <row r="329">
      <c r="A329" t="inlineStr">
        <is>
          <t>K0327</t>
        </is>
      </c>
      <c r="B329" t="inlineStr">
        <is>
          <t>e-learning maroc</t>
        </is>
      </c>
      <c r="C329" t="inlineStr">
        <is>
          <t>Morocco</t>
        </is>
      </c>
      <c r="D329" t="inlineStr">
        <is>
          <t>ma</t>
        </is>
      </c>
      <c r="E329" t="inlineStr">
        <is>
          <t>fr</t>
        </is>
      </c>
      <c r="F329" t="n">
        <v>20</v>
      </c>
      <c r="G329" t="inlineStr">
        <is>
          <t>NOT AVAILABLE</t>
        </is>
      </c>
      <c r="H329" t="n">
        <v>0.18</v>
      </c>
      <c r="I329" t="n">
        <v>0.33</v>
      </c>
      <c r="J329" t="inlineStr">
        <is>
          <t>NOT AVAILABLE</t>
        </is>
      </c>
      <c r="K329" t="inlineStr">
        <is>
          <t>NOT AVAILABLE (report not requested)</t>
        </is>
      </c>
      <c r="L329" t="inlineStr">
        <is>
          <t>declining (calc.)</t>
        </is>
      </c>
      <c r="M329" t="inlineStr">
        <is>
          <t>MEASURED</t>
        </is>
      </c>
      <c r="N329" s="5" t="inlineStr">
        <is>
          <t>Semrush phrase_these (live, this session)</t>
        </is>
      </c>
      <c r="O329" t="inlineStr">
        <is>
          <t>2026-10-30</t>
        </is>
      </c>
      <c r="P329">
        <f>IF(IF(J329="NOT AVAILABLE","",J329)="",12,IF(OR(ISNUMBER(SEARCH("Transactional",IF(J329="NOT AVAILABLE","",J329))),ISNUMBER(SEARCH("Commercial",IF(J329="NOT AVAILABLE","",J329)))),25,IF(ISNUMBER(SEARCH("Informational",IF(J329="NOT AVAILABLE","",J329))),10,IF(ISNUMBER(SEARCH("Navigational",IF(J329="NOT AVAILABLE","",J329))),0,12))))</f>
        <v/>
      </c>
      <c r="Q329">
        <f>IF(ISNUMBER(F329),MIN(30,ROUND(30*LOG10(F329+1)/4,1)),0)</f>
        <v/>
      </c>
      <c r="R329">
        <f>IF(ISNUMBER(G329),ROUND(25*(100-G329)/100,1),12.5)</f>
        <v/>
      </c>
      <c r="S329" t="n">
        <v>20</v>
      </c>
      <c r="T329">
        <f>ROUND(P329+Q329+R329+S329,0)</f>
        <v/>
      </c>
      <c r="U329" s="5" t="inlineStr"/>
      <c r="V329" s="5" t="inlineStr">
        <is>
          <t>SUPPORTING /services/elearning-platform-development</t>
        </is>
      </c>
    </row>
    <row r="330">
      <c r="A330" t="inlineStr">
        <is>
          <t>K0328</t>
        </is>
      </c>
      <c r="B330" t="inlineStr">
        <is>
          <t>edtech maroc</t>
        </is>
      </c>
      <c r="C330" t="inlineStr">
        <is>
          <t>Morocco</t>
        </is>
      </c>
      <c r="D330" t="inlineStr">
        <is>
          <t>ma</t>
        </is>
      </c>
      <c r="E330" t="inlineStr">
        <is>
          <t>fr</t>
        </is>
      </c>
      <c r="F330" t="n">
        <v>20</v>
      </c>
      <c r="G330" t="inlineStr">
        <is>
          <t>NOT AVAILABLE</t>
        </is>
      </c>
      <c r="H330" t="n">
        <v>0</v>
      </c>
      <c r="I330" t="n">
        <v>0.33</v>
      </c>
      <c r="J330" t="inlineStr">
        <is>
          <t>NOT AVAILABLE</t>
        </is>
      </c>
      <c r="K330" t="inlineStr">
        <is>
          <t>NOT AVAILABLE (report not requested)</t>
        </is>
      </c>
      <c r="L330" t="inlineStr">
        <is>
          <t>rising (calc.)</t>
        </is>
      </c>
      <c r="M330" t="inlineStr">
        <is>
          <t>MEASURED</t>
        </is>
      </c>
      <c r="N330" s="5" t="inlineStr">
        <is>
          <t>Semrush phrase_these (live, this session)</t>
        </is>
      </c>
      <c r="O330" t="inlineStr">
        <is>
          <t>2026-10-30</t>
        </is>
      </c>
      <c r="P330">
        <f>IF(IF(J330="NOT AVAILABLE","",J330)="",12,IF(OR(ISNUMBER(SEARCH("Transactional",IF(J330="NOT AVAILABLE","",J330))),ISNUMBER(SEARCH("Commercial",IF(J330="NOT AVAILABLE","",J330)))),25,IF(ISNUMBER(SEARCH("Informational",IF(J330="NOT AVAILABLE","",J330))),10,IF(ISNUMBER(SEARCH("Navigational",IF(J330="NOT AVAILABLE","",J330))),0,12))))</f>
        <v/>
      </c>
      <c r="Q330">
        <f>IF(ISNUMBER(F330),MIN(30,ROUND(30*LOG10(F330+1)/4,1)),0)</f>
        <v/>
      </c>
      <c r="R330">
        <f>IF(ISNUMBER(G330),ROUND(25*(100-G330)/100,1),12.5)</f>
        <v/>
      </c>
      <c r="S330" t="n">
        <v>20</v>
      </c>
      <c r="T330">
        <f>ROUND(P330+Q330+R330+S330,0)</f>
        <v/>
      </c>
      <c r="U330" s="5" t="inlineStr"/>
      <c r="V330" s="5" t="inlineStr">
        <is>
          <t>SUPPORTING /services/edtech-platform-development</t>
        </is>
      </c>
    </row>
    <row r="331">
      <c r="A331" t="inlineStr">
        <is>
          <t>K0329</t>
        </is>
      </c>
      <c r="B331" t="inlineStr">
        <is>
          <t>eeat</t>
        </is>
      </c>
      <c r="C331" t="inlineStr">
        <is>
          <t>Morocco</t>
        </is>
      </c>
      <c r="D331" t="inlineStr">
        <is>
          <t>ma</t>
        </is>
      </c>
      <c r="E331" t="inlineStr">
        <is>
          <t>fr</t>
        </is>
      </c>
      <c r="F331" t="n">
        <v>20</v>
      </c>
      <c r="G331" t="inlineStr">
        <is>
          <t>NOT AVAILABLE</t>
        </is>
      </c>
      <c r="H331" t="n">
        <v>0</v>
      </c>
      <c r="I331" t="n">
        <v>0.33</v>
      </c>
      <c r="J331" t="inlineStr">
        <is>
          <t>NOT AVAILABLE</t>
        </is>
      </c>
      <c r="K331" t="inlineStr">
        <is>
          <t>NOT AVAILABLE (report not requested)</t>
        </is>
      </c>
      <c r="L331" t="inlineStr">
        <is>
          <t>declining (calc.)</t>
        </is>
      </c>
      <c r="M331" t="inlineStr">
        <is>
          <t>MEASURED</t>
        </is>
      </c>
      <c r="N331" s="5" t="inlineStr">
        <is>
          <t>Semrush phrase_these (live, this session)</t>
        </is>
      </c>
      <c r="O331" t="inlineStr">
        <is>
          <t>2026-10-30</t>
        </is>
      </c>
      <c r="P331">
        <f>IF(IF(J331="NOT AVAILABLE","",J331)="",12,IF(OR(ISNUMBER(SEARCH("Transactional",IF(J331="NOT AVAILABLE","",J331))),ISNUMBER(SEARCH("Commercial",IF(J331="NOT AVAILABLE","",J331)))),25,IF(ISNUMBER(SEARCH("Informational",IF(J331="NOT AVAILABLE","",J331))),10,IF(ISNUMBER(SEARCH("Navigational",IF(J331="NOT AVAILABLE","",J331))),0,12))))</f>
        <v/>
      </c>
      <c r="Q331">
        <f>IF(ISNUMBER(F331),MIN(30,ROUND(30*LOG10(F331+1)/4,1)),0)</f>
        <v/>
      </c>
      <c r="R331">
        <f>IF(ISNUMBER(G331),ROUND(25*(100-G331)/100,1),12.5)</f>
        <v/>
      </c>
      <c r="S331" t="n">
        <v>20</v>
      </c>
      <c r="T331">
        <f>ROUND(P331+Q331+R331+S331,0)</f>
        <v/>
      </c>
      <c r="U331" s="5" t="inlineStr"/>
      <c r="V331" s="5" t="inlineStr">
        <is>
          <t>SUPPORTING /tools/eeat-signals-checker</t>
        </is>
      </c>
    </row>
    <row r="332">
      <c r="A332" t="inlineStr">
        <is>
          <t>K0330</t>
        </is>
      </c>
      <c r="B332" t="inlineStr">
        <is>
          <t>exemple de site web</t>
        </is>
      </c>
      <c r="C332" t="inlineStr">
        <is>
          <t>Morocco</t>
        </is>
      </c>
      <c r="D332" t="inlineStr">
        <is>
          <t>ma</t>
        </is>
      </c>
      <c r="E332" t="inlineStr">
        <is>
          <t>fr</t>
        </is>
      </c>
      <c r="F332" t="n">
        <v>20</v>
      </c>
      <c r="G332" t="inlineStr">
        <is>
          <t>NOT AVAILABLE</t>
        </is>
      </c>
      <c r="H332" t="n">
        <v>0.14</v>
      </c>
      <c r="I332" t="n">
        <v>0.17</v>
      </c>
      <c r="J332" t="inlineStr">
        <is>
          <t>NOT AVAILABLE</t>
        </is>
      </c>
      <c r="K332" t="inlineStr">
        <is>
          <t>NOT AVAILABLE (report not requested)</t>
        </is>
      </c>
      <c r="L332" t="inlineStr">
        <is>
          <t>declining (calc.)</t>
        </is>
      </c>
      <c r="M332" t="inlineStr">
        <is>
          <t>MEASURED</t>
        </is>
      </c>
      <c r="N332" s="5" t="inlineStr">
        <is>
          <t>Semrush phrase_these (live, this session)</t>
        </is>
      </c>
      <c r="O332" t="inlineStr">
        <is>
          <t>2026-10-30</t>
        </is>
      </c>
      <c r="P332">
        <f>IF(IF(J332="NOT AVAILABLE","",J332)="",12,IF(OR(ISNUMBER(SEARCH("Transactional",IF(J332="NOT AVAILABLE","",J332))),ISNUMBER(SEARCH("Commercial",IF(J332="NOT AVAILABLE","",J332)))),25,IF(ISNUMBER(SEARCH("Informational",IF(J332="NOT AVAILABLE","",J332))),10,IF(ISNUMBER(SEARCH("Navigational",IF(J332="NOT AVAILABLE","",J332))),0,12))))</f>
        <v/>
      </c>
      <c r="Q332">
        <f>IF(ISNUMBER(F332),MIN(30,ROUND(30*LOG10(F332+1)/4,1)),0)</f>
        <v/>
      </c>
      <c r="R332">
        <f>IF(ISNUMBER(G332),ROUND(25*(100-G332)/100,1),12.5)</f>
        <v/>
      </c>
      <c r="S332" t="n">
        <v>20</v>
      </c>
      <c r="T332">
        <f>ROUND(P332+Q332+R332+S332,0)</f>
        <v/>
      </c>
      <c r="U332" s="5" t="inlineStr"/>
      <c r="V332" s="5" t="inlineStr">
        <is>
          <t>PRIMARY /our-work</t>
        </is>
      </c>
    </row>
    <row r="333">
      <c r="A333" t="inlineStr">
        <is>
          <t>K0331</t>
        </is>
      </c>
      <c r="B333" t="inlineStr">
        <is>
          <t>exemple site web</t>
        </is>
      </c>
      <c r="C333" t="inlineStr">
        <is>
          <t>Morocco</t>
        </is>
      </c>
      <c r="D333" t="inlineStr">
        <is>
          <t>ma</t>
        </is>
      </c>
      <c r="E333" t="inlineStr">
        <is>
          <t>fr</t>
        </is>
      </c>
      <c r="F333" t="n">
        <v>20</v>
      </c>
      <c r="G333" t="inlineStr">
        <is>
          <t>NOT AVAILABLE</t>
        </is>
      </c>
      <c r="H333" t="n">
        <v>0.11</v>
      </c>
      <c r="I333" t="n">
        <v>0.47</v>
      </c>
      <c r="J333" t="inlineStr">
        <is>
          <t>NOT AVAILABLE</t>
        </is>
      </c>
      <c r="K333" t="inlineStr">
        <is>
          <t>NOT AVAILABLE (report not requested)</t>
        </is>
      </c>
      <c r="L333" t="inlineStr">
        <is>
          <t>declining (calc.)</t>
        </is>
      </c>
      <c r="M333" t="inlineStr">
        <is>
          <t>MEASURED</t>
        </is>
      </c>
      <c r="N333" s="5" t="inlineStr">
        <is>
          <t>Semrush phrase_these (live, this session)</t>
        </is>
      </c>
      <c r="O333" t="inlineStr">
        <is>
          <t>2026-10-30</t>
        </is>
      </c>
      <c r="P333">
        <f>IF(IF(J333="NOT AVAILABLE","",J333)="",12,IF(OR(ISNUMBER(SEARCH("Transactional",IF(J333="NOT AVAILABLE","",J333))),ISNUMBER(SEARCH("Commercial",IF(J333="NOT AVAILABLE","",J333)))),25,IF(ISNUMBER(SEARCH("Informational",IF(J333="NOT AVAILABLE","",J333))),10,IF(ISNUMBER(SEARCH("Navigational",IF(J333="NOT AVAILABLE","",J333))),0,12))))</f>
        <v/>
      </c>
      <c r="Q333">
        <f>IF(ISNUMBER(F333),MIN(30,ROUND(30*LOG10(F333+1)/4,1)),0)</f>
        <v/>
      </c>
      <c r="R333">
        <f>IF(ISNUMBER(G333),ROUND(25*(100-G333)/100,1),12.5)</f>
        <v/>
      </c>
      <c r="S333" t="n">
        <v>20</v>
      </c>
      <c r="T333">
        <f>ROUND(P333+Q333+R333+S333,0)</f>
        <v/>
      </c>
      <c r="U333" s="5" t="inlineStr"/>
      <c r="V333" s="5" t="inlineStr">
        <is>
          <t>SECONDARY /our-work</t>
        </is>
      </c>
    </row>
    <row r="334">
      <c r="A334" t="inlineStr">
        <is>
          <t>K0332</t>
        </is>
      </c>
      <c r="B334" t="inlineStr">
        <is>
          <t>expert seo maroc</t>
        </is>
      </c>
      <c r="C334" t="inlineStr">
        <is>
          <t>Morocco</t>
        </is>
      </c>
      <c r="D334" t="inlineStr">
        <is>
          <t>ma</t>
        </is>
      </c>
      <c r="E334" t="inlineStr">
        <is>
          <t>fr</t>
        </is>
      </c>
      <c r="F334" t="n">
        <v>20</v>
      </c>
      <c r="G334" t="inlineStr">
        <is>
          <t>NOT AVAILABLE</t>
        </is>
      </c>
      <c r="H334" t="n">
        <v>0</v>
      </c>
      <c r="I334" t="n">
        <v>0.07000000000000001</v>
      </c>
      <c r="J334" t="inlineStr">
        <is>
          <t>NOT AVAILABLE</t>
        </is>
      </c>
      <c r="K334" t="inlineStr">
        <is>
          <t>NOT AVAILABLE (report not requested)</t>
        </is>
      </c>
      <c r="L334" t="inlineStr">
        <is>
          <t>declining (calc.)</t>
        </is>
      </c>
      <c r="M334" t="inlineStr">
        <is>
          <t>MEASURED</t>
        </is>
      </c>
      <c r="N334" s="5" t="inlineStr">
        <is>
          <t>Semrush phrase_these (live, this session)</t>
        </is>
      </c>
      <c r="O334" t="inlineStr">
        <is>
          <t>2026-10-30</t>
        </is>
      </c>
      <c r="P334">
        <f>IF(IF(J334="NOT AVAILABLE","",J334)="",12,IF(OR(ISNUMBER(SEARCH("Transactional",IF(J334="NOT AVAILABLE","",J334))),ISNUMBER(SEARCH("Commercial",IF(J334="NOT AVAILABLE","",J334)))),25,IF(ISNUMBER(SEARCH("Informational",IF(J334="NOT AVAILABLE","",J334))),10,IF(ISNUMBER(SEARCH("Navigational",IF(J334="NOT AVAILABLE","",J334))),0,12))))</f>
        <v/>
      </c>
      <c r="Q334">
        <f>IF(ISNUMBER(F334),MIN(30,ROUND(30*LOG10(F334+1)/4,1)),0)</f>
        <v/>
      </c>
      <c r="R334">
        <f>IF(ISNUMBER(G334),ROUND(25*(100-G334)/100,1),12.5)</f>
        <v/>
      </c>
      <c r="S334" t="n">
        <v>20</v>
      </c>
      <c r="T334">
        <f>ROUND(P334+Q334+R334+S334,0)</f>
        <v/>
      </c>
      <c r="U334" s="5" t="inlineStr"/>
      <c r="V334" s="5" t="inlineStr">
        <is>
          <t>SUPPORTING /services/seo-maroc</t>
        </is>
      </c>
    </row>
    <row r="335">
      <c r="A335" t="inlineStr">
        <is>
          <t>K0333</t>
        </is>
      </c>
      <c r="B335" t="inlineStr">
        <is>
          <t>faq schema</t>
        </is>
      </c>
      <c r="C335" t="inlineStr">
        <is>
          <t>Morocco</t>
        </is>
      </c>
      <c r="D335" t="inlineStr">
        <is>
          <t>ma</t>
        </is>
      </c>
      <c r="E335" t="inlineStr">
        <is>
          <t>fr</t>
        </is>
      </c>
      <c r="F335" t="n">
        <v>20</v>
      </c>
      <c r="G335" t="inlineStr">
        <is>
          <t>NOT AVAILABLE</t>
        </is>
      </c>
      <c r="H335" t="n">
        <v>0</v>
      </c>
      <c r="I335" t="n">
        <v>0.33</v>
      </c>
      <c r="J335" t="inlineStr">
        <is>
          <t>NOT AVAILABLE</t>
        </is>
      </c>
      <c r="K335" t="inlineStr">
        <is>
          <t>NOT AVAILABLE (report not requested)</t>
        </is>
      </c>
      <c r="L335" t="inlineStr">
        <is>
          <t>rising (calc.)</t>
        </is>
      </c>
      <c r="M335" t="inlineStr">
        <is>
          <t>MEASURED</t>
        </is>
      </c>
      <c r="N335" s="5" t="inlineStr">
        <is>
          <t>Semrush phrase_these (live, this session)</t>
        </is>
      </c>
      <c r="O335" t="inlineStr">
        <is>
          <t>2026-10-30</t>
        </is>
      </c>
      <c r="P335">
        <f>IF(IF(J335="NOT AVAILABLE","",J335)="",12,IF(OR(ISNUMBER(SEARCH("Transactional",IF(J335="NOT AVAILABLE","",J335))),ISNUMBER(SEARCH("Commercial",IF(J335="NOT AVAILABLE","",J335)))),25,IF(ISNUMBER(SEARCH("Informational",IF(J335="NOT AVAILABLE","",J335))),10,IF(ISNUMBER(SEARCH("Navigational",IF(J335="NOT AVAILABLE","",J335))),0,12))))</f>
        <v/>
      </c>
      <c r="Q335">
        <f>IF(ISNUMBER(F335),MIN(30,ROUND(30*LOG10(F335+1)/4,1)),0)</f>
        <v/>
      </c>
      <c r="R335">
        <f>IF(ISNUMBER(G335),ROUND(25*(100-G335)/100,1),12.5)</f>
        <v/>
      </c>
      <c r="S335" t="n">
        <v>20</v>
      </c>
      <c r="T335">
        <f>ROUND(P335+Q335+R335+S335,0)</f>
        <v/>
      </c>
      <c r="U335" s="5" t="inlineStr"/>
      <c r="V335" s="5" t="inlineStr">
        <is>
          <t>SECONDARY /tools/faq-schema-generator</t>
        </is>
      </c>
    </row>
    <row r="336">
      <c r="A336" t="inlineStr">
        <is>
          <t>K0334</t>
        </is>
      </c>
      <c r="B336" t="inlineStr">
        <is>
          <t>gestion association</t>
        </is>
      </c>
      <c r="C336" t="inlineStr">
        <is>
          <t>Morocco</t>
        </is>
      </c>
      <c r="D336" t="inlineStr">
        <is>
          <t>ma</t>
        </is>
      </c>
      <c r="E336" t="inlineStr">
        <is>
          <t>fr</t>
        </is>
      </c>
      <c r="F336" t="n">
        <v>20</v>
      </c>
      <c r="G336" t="inlineStr">
        <is>
          <t>NOT AVAILABLE</t>
        </is>
      </c>
      <c r="H336" t="n">
        <v>0</v>
      </c>
      <c r="I336" t="n">
        <v>0.33</v>
      </c>
      <c r="J336" t="inlineStr">
        <is>
          <t>NOT AVAILABLE</t>
        </is>
      </c>
      <c r="K336" t="inlineStr">
        <is>
          <t>NOT AVAILABLE (report not requested)</t>
        </is>
      </c>
      <c r="L336" t="inlineStr">
        <is>
          <t>rising (calc.)</t>
        </is>
      </c>
      <c r="M336" t="inlineStr">
        <is>
          <t>MEASURED</t>
        </is>
      </c>
      <c r="N336" s="5" t="inlineStr">
        <is>
          <t>Semrush phrase_these (live, this session)</t>
        </is>
      </c>
      <c r="O336" t="inlineStr">
        <is>
          <t>2026-10-30</t>
        </is>
      </c>
      <c r="P336">
        <f>IF(IF(J336="NOT AVAILABLE","",J336)="",12,IF(OR(ISNUMBER(SEARCH("Transactional",IF(J336="NOT AVAILABLE","",J336))),ISNUMBER(SEARCH("Commercial",IF(J336="NOT AVAILABLE","",J336)))),25,IF(ISNUMBER(SEARCH("Informational",IF(J336="NOT AVAILABLE","",J336))),10,IF(ISNUMBER(SEARCH("Navigational",IF(J336="NOT AVAILABLE","",J336))),0,12))))</f>
        <v/>
      </c>
      <c r="Q336">
        <f>IF(ISNUMBER(F336),MIN(30,ROUND(30*LOG10(F336+1)/4,1)),0)</f>
        <v/>
      </c>
      <c r="R336">
        <f>IF(ISNUMBER(G336),ROUND(25*(100-G336)/100,1),12.5)</f>
        <v/>
      </c>
      <c r="S336" t="n">
        <v>20</v>
      </c>
      <c r="T336">
        <f>ROUND(P336+Q336+R336+S336,0)</f>
        <v/>
      </c>
      <c r="U336" s="5" t="inlineStr"/>
      <c r="V336" s="5" t="inlineStr"/>
    </row>
    <row r="337">
      <c r="A337" t="inlineStr">
        <is>
          <t>K0335</t>
        </is>
      </c>
      <c r="B337" t="inlineStr">
        <is>
          <t>googlebot</t>
        </is>
      </c>
      <c r="C337" t="inlineStr">
        <is>
          <t>Morocco</t>
        </is>
      </c>
      <c r="D337" t="inlineStr">
        <is>
          <t>ma</t>
        </is>
      </c>
      <c r="E337" t="inlineStr">
        <is>
          <t>fr</t>
        </is>
      </c>
      <c r="F337" t="n">
        <v>20</v>
      </c>
      <c r="G337" t="inlineStr">
        <is>
          <t>NOT AVAILABLE</t>
        </is>
      </c>
      <c r="H337" t="n">
        <v>0</v>
      </c>
      <c r="I337" t="n">
        <v>0.33</v>
      </c>
      <c r="J337" t="inlineStr">
        <is>
          <t>NOT AVAILABLE</t>
        </is>
      </c>
      <c r="K337" t="inlineStr">
        <is>
          <t>NOT AVAILABLE (report not requested)</t>
        </is>
      </c>
      <c r="L337" t="inlineStr">
        <is>
          <t>rising (calc.)</t>
        </is>
      </c>
      <c r="M337" t="inlineStr">
        <is>
          <t>MEASURED</t>
        </is>
      </c>
      <c r="N337" s="5" t="inlineStr">
        <is>
          <t>Semrush phrase_these (live, this session)</t>
        </is>
      </c>
      <c r="O337" t="inlineStr">
        <is>
          <t>2026-10-30</t>
        </is>
      </c>
      <c r="P337">
        <f>IF(IF(J337="NOT AVAILABLE","",J337)="",12,IF(OR(ISNUMBER(SEARCH("Transactional",IF(J337="NOT AVAILABLE","",J337))),ISNUMBER(SEARCH("Commercial",IF(J337="NOT AVAILABLE","",J337)))),25,IF(ISNUMBER(SEARCH("Informational",IF(J337="NOT AVAILABLE","",J337))),10,IF(ISNUMBER(SEARCH("Navigational",IF(J337="NOT AVAILABLE","",J337))),0,12))))</f>
        <v/>
      </c>
      <c r="Q337">
        <f>IF(ISNUMBER(F337),MIN(30,ROUND(30*LOG10(F337+1)/4,1)),0)</f>
        <v/>
      </c>
      <c r="R337">
        <f>IF(ISNUMBER(G337),ROUND(25*(100-G337)/100,1),12.5)</f>
        <v/>
      </c>
      <c r="S337" t="n">
        <v>20</v>
      </c>
      <c r="T337">
        <f>ROUND(P337+Q337+R337+S337,0)</f>
        <v/>
      </c>
      <c r="U337" s="5" t="inlineStr"/>
      <c r="V337" s="5" t="inlineStr">
        <is>
          <t>SECONDARY /tools/bot-viewer</t>
        </is>
      </c>
    </row>
    <row r="338">
      <c r="A338" t="inlineStr">
        <is>
          <t>K0336</t>
        </is>
      </c>
      <c r="B338" t="inlineStr">
        <is>
          <t>générateur mots clés</t>
        </is>
      </c>
      <c r="C338" t="inlineStr">
        <is>
          <t>Morocco</t>
        </is>
      </c>
      <c r="D338" t="inlineStr">
        <is>
          <t>ma</t>
        </is>
      </c>
      <c r="E338" t="inlineStr">
        <is>
          <t>fr</t>
        </is>
      </c>
      <c r="F338" t="n">
        <v>20</v>
      </c>
      <c r="G338" t="inlineStr">
        <is>
          <t>NOT AVAILABLE</t>
        </is>
      </c>
      <c r="H338" t="n">
        <v>0</v>
      </c>
      <c r="I338" t="n">
        <v>0.07000000000000001</v>
      </c>
      <c r="J338" t="inlineStr">
        <is>
          <t>NOT AVAILABLE</t>
        </is>
      </c>
      <c r="K338" t="inlineStr">
        <is>
          <t>NOT AVAILABLE (report not requested)</t>
        </is>
      </c>
      <c r="L338" t="inlineStr">
        <is>
          <t>declining (calc.)</t>
        </is>
      </c>
      <c r="M338" t="inlineStr">
        <is>
          <t>MEASURED</t>
        </is>
      </c>
      <c r="N338" s="5" t="inlineStr">
        <is>
          <t>Semrush phrase_these (live, this session)</t>
        </is>
      </c>
      <c r="O338" t="inlineStr">
        <is>
          <t>2026-10-30</t>
        </is>
      </c>
      <c r="P338">
        <f>IF(IF(J338="NOT AVAILABLE","",J338)="",12,IF(OR(ISNUMBER(SEARCH("Transactional",IF(J338="NOT AVAILABLE","",J338))),ISNUMBER(SEARCH("Commercial",IF(J338="NOT AVAILABLE","",J338)))),25,IF(ISNUMBER(SEARCH("Informational",IF(J338="NOT AVAILABLE","",J338))),10,IF(ISNUMBER(SEARCH("Navigational",IF(J338="NOT AVAILABLE","",J338))),0,12))))</f>
        <v/>
      </c>
      <c r="Q338">
        <f>IF(ISNUMBER(F338),MIN(30,ROUND(30*LOG10(F338+1)/4,1)),0)</f>
        <v/>
      </c>
      <c r="R338">
        <f>IF(ISNUMBER(G338),ROUND(25*(100-G338)/100,1),12.5)</f>
        <v/>
      </c>
      <c r="S338" t="n">
        <v>20</v>
      </c>
      <c r="T338">
        <f>ROUND(P338+Q338+R338+S338,0)</f>
        <v/>
      </c>
      <c r="U338" s="5" t="inlineStr"/>
      <c r="V338" s="5" t="inlineStr">
        <is>
          <t>SUPPORTING /tools/keyword-modifier-generator</t>
        </is>
      </c>
    </row>
    <row r="339">
      <c r="A339" t="inlineStr">
        <is>
          <t>K0337</t>
        </is>
      </c>
      <c r="B339" t="inlineStr">
        <is>
          <t>générateur sitemap</t>
        </is>
      </c>
      <c r="C339" t="inlineStr">
        <is>
          <t>Morocco</t>
        </is>
      </c>
      <c r="D339" t="inlineStr">
        <is>
          <t>ma</t>
        </is>
      </c>
      <c r="E339" t="inlineStr">
        <is>
          <t>fr</t>
        </is>
      </c>
      <c r="F339" t="n">
        <v>20</v>
      </c>
      <c r="G339" t="inlineStr">
        <is>
          <t>NOT AVAILABLE</t>
        </is>
      </c>
      <c r="H339" t="n">
        <v>0</v>
      </c>
      <c r="I339" t="n">
        <v>0.33</v>
      </c>
      <c r="J339" t="inlineStr">
        <is>
          <t>NOT AVAILABLE</t>
        </is>
      </c>
      <c r="K339" t="inlineStr">
        <is>
          <t>NOT AVAILABLE (report not requested)</t>
        </is>
      </c>
      <c r="L339" t="inlineStr">
        <is>
          <t>declining (calc.)</t>
        </is>
      </c>
      <c r="M339" t="inlineStr">
        <is>
          <t>MEASURED</t>
        </is>
      </c>
      <c r="N339" s="5" t="inlineStr">
        <is>
          <t>Semrush phrase_these (live, this session)</t>
        </is>
      </c>
      <c r="O339" t="inlineStr">
        <is>
          <t>2026-10-30</t>
        </is>
      </c>
      <c r="P339">
        <f>IF(IF(J339="NOT AVAILABLE","",J339)="",12,IF(OR(ISNUMBER(SEARCH("Transactional",IF(J339="NOT AVAILABLE","",J339))),ISNUMBER(SEARCH("Commercial",IF(J339="NOT AVAILABLE","",J339)))),25,IF(ISNUMBER(SEARCH("Informational",IF(J339="NOT AVAILABLE","",J339))),10,IF(ISNUMBER(SEARCH("Navigational",IF(J339="NOT AVAILABLE","",J339))),0,12))))</f>
        <v/>
      </c>
      <c r="Q339">
        <f>IF(ISNUMBER(F339),MIN(30,ROUND(30*LOG10(F339+1)/4,1)),0)</f>
        <v/>
      </c>
      <c r="R339">
        <f>IF(ISNUMBER(G339),ROUND(25*(100-G339)/100,1),12.5)</f>
        <v/>
      </c>
      <c r="S339" t="n">
        <v>20</v>
      </c>
      <c r="T339">
        <f>ROUND(P339+Q339+R339+S339,0)</f>
        <v/>
      </c>
      <c r="U339" s="5" t="inlineStr"/>
      <c r="V339" s="5" t="inlineStr">
        <is>
          <t>SUPPORTING /tools/xml-sitemap-generator</t>
        </is>
      </c>
    </row>
    <row r="340">
      <c r="A340" t="inlineStr">
        <is>
          <t>K0338</t>
        </is>
      </c>
      <c r="B340" t="inlineStr">
        <is>
          <t>hreflang</t>
        </is>
      </c>
      <c r="C340" t="inlineStr">
        <is>
          <t>Morocco</t>
        </is>
      </c>
      <c r="D340" t="inlineStr">
        <is>
          <t>ma</t>
        </is>
      </c>
      <c r="E340" t="inlineStr">
        <is>
          <t>fr</t>
        </is>
      </c>
      <c r="F340" t="n">
        <v>20</v>
      </c>
      <c r="G340" t="inlineStr">
        <is>
          <t>NOT AVAILABLE</t>
        </is>
      </c>
      <c r="H340" t="n">
        <v>0</v>
      </c>
      <c r="I340" t="n">
        <v>0.33</v>
      </c>
      <c r="J340" t="inlineStr">
        <is>
          <t>NOT AVAILABLE</t>
        </is>
      </c>
      <c r="K340" t="inlineStr">
        <is>
          <t>NOT AVAILABLE (report not requested)</t>
        </is>
      </c>
      <c r="L340" t="inlineStr">
        <is>
          <t>stable (calc.)</t>
        </is>
      </c>
      <c r="M340" t="inlineStr">
        <is>
          <t>MEASURED</t>
        </is>
      </c>
      <c r="N340" s="5" t="inlineStr">
        <is>
          <t>Semrush phrase_these (live, this session)</t>
        </is>
      </c>
      <c r="O340" t="inlineStr">
        <is>
          <t>2026-10-30</t>
        </is>
      </c>
      <c r="P340">
        <f>IF(IF(J340="NOT AVAILABLE","",J340)="",12,IF(OR(ISNUMBER(SEARCH("Transactional",IF(J340="NOT AVAILABLE","",J340))),ISNUMBER(SEARCH("Commercial",IF(J340="NOT AVAILABLE","",J340)))),25,IF(ISNUMBER(SEARCH("Informational",IF(J340="NOT AVAILABLE","",J340))),10,IF(ISNUMBER(SEARCH("Navigational",IF(J340="NOT AVAILABLE","",J340))),0,12))))</f>
        <v/>
      </c>
      <c r="Q340">
        <f>IF(ISNUMBER(F340),MIN(30,ROUND(30*LOG10(F340+1)/4,1)),0)</f>
        <v/>
      </c>
      <c r="R340">
        <f>IF(ISNUMBER(G340),ROUND(25*(100-G340)/100,1),12.5)</f>
        <v/>
      </c>
      <c r="S340" t="n">
        <v>20</v>
      </c>
      <c r="T340">
        <f>ROUND(P340+Q340+R340+S340,0)</f>
        <v/>
      </c>
      <c r="U340" s="5" t="inlineStr"/>
      <c r="V340" s="5" t="inlineStr">
        <is>
          <t>SECONDARY /tools/hreflang-generator</t>
        </is>
      </c>
    </row>
    <row r="341">
      <c r="A341" t="inlineStr">
        <is>
          <t>K0339</t>
        </is>
      </c>
      <c r="B341" t="inlineStr">
        <is>
          <t>hébergement site web maroc</t>
        </is>
      </c>
      <c r="C341" t="inlineStr">
        <is>
          <t>Morocco</t>
        </is>
      </c>
      <c r="D341" t="inlineStr">
        <is>
          <t>ma</t>
        </is>
      </c>
      <c r="E341" t="inlineStr">
        <is>
          <t>fr</t>
        </is>
      </c>
      <c r="F341" t="n">
        <v>20</v>
      </c>
      <c r="G341" t="inlineStr">
        <is>
          <t>NOT AVAILABLE</t>
        </is>
      </c>
      <c r="H341" t="n">
        <v>0.7</v>
      </c>
      <c r="I341" t="n">
        <v>0.53</v>
      </c>
      <c r="J341" t="inlineStr">
        <is>
          <t>NOT AVAILABLE</t>
        </is>
      </c>
      <c r="K341" t="inlineStr">
        <is>
          <t>NOT AVAILABLE (report not requested)</t>
        </is>
      </c>
      <c r="L341" t="inlineStr">
        <is>
          <t>rising (calc.)</t>
        </is>
      </c>
      <c r="M341" t="inlineStr">
        <is>
          <t>MEASURED</t>
        </is>
      </c>
      <c r="N341" s="5" t="inlineStr">
        <is>
          <t>Semrush phrase_these (live, this session)</t>
        </is>
      </c>
      <c r="O341" t="inlineStr">
        <is>
          <t>2026-10-30</t>
        </is>
      </c>
      <c r="P341">
        <f>IF(IF(J341="NOT AVAILABLE","",J341)="",12,IF(OR(ISNUMBER(SEARCH("Transactional",IF(J341="NOT AVAILABLE","",J341))),ISNUMBER(SEARCH("Commercial",IF(J341="NOT AVAILABLE","",J341)))),25,IF(ISNUMBER(SEARCH("Informational",IF(J341="NOT AVAILABLE","",J341))),10,IF(ISNUMBER(SEARCH("Navigational",IF(J341="NOT AVAILABLE","",J341))),0,12))))</f>
        <v/>
      </c>
      <c r="Q341">
        <f>IF(ISNUMBER(F341),MIN(30,ROUND(30*LOG10(F341+1)/4,1)),0)</f>
        <v/>
      </c>
      <c r="R341">
        <f>IF(ISNUMBER(G341),ROUND(25*(100-G341)/100,1),12.5)</f>
        <v/>
      </c>
      <c r="S341" t="n">
        <v>20</v>
      </c>
      <c r="T341">
        <f>ROUND(P341+Q341+R341+S341,0)</f>
        <v/>
      </c>
      <c r="U341" s="5" t="inlineStr"/>
      <c r="V341" s="5" t="inlineStr"/>
    </row>
    <row r="342">
      <c r="A342" t="inlineStr">
        <is>
          <t>K0340</t>
        </is>
      </c>
      <c r="B342" t="inlineStr">
        <is>
          <t>json en ligne</t>
        </is>
      </c>
      <c r="C342" t="inlineStr">
        <is>
          <t>Morocco</t>
        </is>
      </c>
      <c r="D342" t="inlineStr">
        <is>
          <t>ma</t>
        </is>
      </c>
      <c r="E342" t="inlineStr">
        <is>
          <t>fr</t>
        </is>
      </c>
      <c r="F342" t="n">
        <v>20</v>
      </c>
      <c r="G342" t="inlineStr">
        <is>
          <t>NOT AVAILABLE</t>
        </is>
      </c>
      <c r="H342" t="n">
        <v>0</v>
      </c>
      <c r="I342" t="n">
        <v>0.33</v>
      </c>
      <c r="J342" t="inlineStr">
        <is>
          <t>NOT AVAILABLE</t>
        </is>
      </c>
      <c r="K342" t="inlineStr">
        <is>
          <t>NOT AVAILABLE (report not requested)</t>
        </is>
      </c>
      <c r="L342" t="inlineStr">
        <is>
          <t>declining (calc.)</t>
        </is>
      </c>
      <c r="M342" t="inlineStr">
        <is>
          <t>MEASURED</t>
        </is>
      </c>
      <c r="N342" s="5" t="inlineStr">
        <is>
          <t>Semrush phrase_these (live, this session)</t>
        </is>
      </c>
      <c r="O342" t="inlineStr">
        <is>
          <t>2026-10-30</t>
        </is>
      </c>
      <c r="P342">
        <f>IF(IF(J342="NOT AVAILABLE","",J342)="",12,IF(OR(ISNUMBER(SEARCH("Transactional",IF(J342="NOT AVAILABLE","",J342))),ISNUMBER(SEARCH("Commercial",IF(J342="NOT AVAILABLE","",J342)))),25,IF(ISNUMBER(SEARCH("Informational",IF(J342="NOT AVAILABLE","",J342))),10,IF(ISNUMBER(SEARCH("Navigational",IF(J342="NOT AVAILABLE","",J342))),0,12))))</f>
        <v/>
      </c>
      <c r="Q342">
        <f>IF(ISNUMBER(F342),MIN(30,ROUND(30*LOG10(F342+1)/4,1)),0)</f>
        <v/>
      </c>
      <c r="R342">
        <f>IF(ISNUMBER(G342),ROUND(25*(100-G342)/100,1),12.5)</f>
        <v/>
      </c>
      <c r="S342" t="n">
        <v>20</v>
      </c>
      <c r="T342">
        <f>ROUND(P342+Q342+R342+S342,0)</f>
        <v/>
      </c>
      <c r="U342" s="5" t="inlineStr"/>
      <c r="V342" s="5" t="inlineStr">
        <is>
          <t>SUPPORTING /tools/json-formatter</t>
        </is>
      </c>
    </row>
    <row r="343">
      <c r="A343" t="inlineStr">
        <is>
          <t>K0341</t>
        </is>
      </c>
      <c r="B343" t="inlineStr">
        <is>
          <t>landing page gratuite</t>
        </is>
      </c>
      <c r="C343" t="inlineStr">
        <is>
          <t>Morocco</t>
        </is>
      </c>
      <c r="D343" t="inlineStr">
        <is>
          <t>ma</t>
        </is>
      </c>
      <c r="E343" t="inlineStr">
        <is>
          <t>fr</t>
        </is>
      </c>
      <c r="F343" t="n">
        <v>20</v>
      </c>
      <c r="G343" t="inlineStr">
        <is>
          <t>NOT AVAILABLE</t>
        </is>
      </c>
      <c r="H343" t="n">
        <v>0.25</v>
      </c>
      <c r="I343" t="n">
        <v>0.83</v>
      </c>
      <c r="J343" t="inlineStr">
        <is>
          <t>NOT AVAILABLE</t>
        </is>
      </c>
      <c r="K343" t="inlineStr">
        <is>
          <t>NOT AVAILABLE (report not requested)</t>
        </is>
      </c>
      <c r="L343" t="inlineStr">
        <is>
          <t>rising (calc.)</t>
        </is>
      </c>
      <c r="M343" t="inlineStr">
        <is>
          <t>MEASURED</t>
        </is>
      </c>
      <c r="N343" s="5" t="inlineStr">
        <is>
          <t>Semrush phrase_these (live, this session)</t>
        </is>
      </c>
      <c r="O343" t="inlineStr">
        <is>
          <t>2026-10-30</t>
        </is>
      </c>
      <c r="P343">
        <f>IF(IF(J343="NOT AVAILABLE","",J343)="",12,IF(OR(ISNUMBER(SEARCH("Transactional",IF(J343="NOT AVAILABLE","",J343))),ISNUMBER(SEARCH("Commercial",IF(J343="NOT AVAILABLE","",J343)))),25,IF(ISNUMBER(SEARCH("Informational",IF(J343="NOT AVAILABLE","",J343))),10,IF(ISNUMBER(SEARCH("Navigational",IF(J343="NOT AVAILABLE","",J343))),0,12))))</f>
        <v/>
      </c>
      <c r="Q343">
        <f>IF(ISNUMBER(F343),MIN(30,ROUND(30*LOG10(F343+1)/4,1)),0)</f>
        <v/>
      </c>
      <c r="R343">
        <f>IF(ISNUMBER(G343),ROUND(25*(100-G343)/100,1),12.5)</f>
        <v/>
      </c>
      <c r="S343" t="n">
        <v>20</v>
      </c>
      <c r="T343">
        <f>ROUND(P343+Q343+R343+S343,0)</f>
        <v/>
      </c>
      <c r="U343" s="5" t="inlineStr"/>
      <c r="V343" s="5" t="inlineStr">
        <is>
          <t>SUPPORTING /tools/landing-page-generator</t>
        </is>
      </c>
    </row>
    <row r="344">
      <c r="A344" t="inlineStr">
        <is>
          <t>K0342</t>
        </is>
      </c>
      <c r="B344" t="inlineStr">
        <is>
          <t>lms maroc</t>
        </is>
      </c>
      <c r="C344" t="inlineStr">
        <is>
          <t>Morocco</t>
        </is>
      </c>
      <c r="D344" t="inlineStr">
        <is>
          <t>ma</t>
        </is>
      </c>
      <c r="E344" t="inlineStr">
        <is>
          <t>fr</t>
        </is>
      </c>
      <c r="F344" t="n">
        <v>20</v>
      </c>
      <c r="G344" t="inlineStr">
        <is>
          <t>NOT AVAILABLE</t>
        </is>
      </c>
      <c r="H344" t="n">
        <v>0</v>
      </c>
      <c r="I344" t="n">
        <v>0.05</v>
      </c>
      <c r="J344" t="inlineStr">
        <is>
          <t>NOT AVAILABLE</t>
        </is>
      </c>
      <c r="K344" t="inlineStr">
        <is>
          <t>NOT AVAILABLE (report not requested)</t>
        </is>
      </c>
      <c r="L344" t="inlineStr">
        <is>
          <t>rising (calc.)</t>
        </is>
      </c>
      <c r="M344" t="inlineStr">
        <is>
          <t>MEASURED</t>
        </is>
      </c>
      <c r="N344" s="5" t="inlineStr">
        <is>
          <t>Semrush phrase_these (live, this session)</t>
        </is>
      </c>
      <c r="O344" t="inlineStr">
        <is>
          <t>2026-10-30</t>
        </is>
      </c>
      <c r="P344">
        <f>IF(IF(J344="NOT AVAILABLE","",J344)="",12,IF(OR(ISNUMBER(SEARCH("Transactional",IF(J344="NOT AVAILABLE","",J344))),ISNUMBER(SEARCH("Commercial",IF(J344="NOT AVAILABLE","",J344)))),25,IF(ISNUMBER(SEARCH("Informational",IF(J344="NOT AVAILABLE","",J344))),10,IF(ISNUMBER(SEARCH("Navigational",IF(J344="NOT AVAILABLE","",J344))),0,12))))</f>
        <v/>
      </c>
      <c r="Q344">
        <f>IF(ISNUMBER(F344),MIN(30,ROUND(30*LOG10(F344+1)/4,1)),0)</f>
        <v/>
      </c>
      <c r="R344">
        <f>IF(ISNUMBER(G344),ROUND(25*(100-G344)/100,1),12.5)</f>
        <v/>
      </c>
      <c r="S344" t="n">
        <v>20</v>
      </c>
      <c r="T344">
        <f>ROUND(P344+Q344+R344+S344,0)</f>
        <v/>
      </c>
      <c r="U344" s="5" t="inlineStr"/>
      <c r="V344" s="5" t="inlineStr">
        <is>
          <t>SUPPORTING /services/elearning-platform-development</t>
        </is>
      </c>
    </row>
    <row r="345">
      <c r="A345" t="inlineStr">
        <is>
          <t>K0343</t>
        </is>
      </c>
      <c r="B345" t="inlineStr">
        <is>
          <t>logiciel association</t>
        </is>
      </c>
      <c r="C345" t="inlineStr">
        <is>
          <t>Morocco</t>
        </is>
      </c>
      <c r="D345" t="inlineStr">
        <is>
          <t>ma</t>
        </is>
      </c>
      <c r="E345" t="inlineStr">
        <is>
          <t>fr</t>
        </is>
      </c>
      <c r="F345" t="n">
        <v>20</v>
      </c>
      <c r="G345" t="inlineStr">
        <is>
          <t>NOT AVAILABLE</t>
        </is>
      </c>
      <c r="H345" t="n">
        <v>0</v>
      </c>
      <c r="I345" t="n">
        <v>0.29</v>
      </c>
      <c r="J345" t="inlineStr">
        <is>
          <t>NOT AVAILABLE</t>
        </is>
      </c>
      <c r="K345" t="inlineStr">
        <is>
          <t>NOT AVAILABLE (report not requested)</t>
        </is>
      </c>
      <c r="L345" t="inlineStr">
        <is>
          <t>declining (calc.)</t>
        </is>
      </c>
      <c r="M345" t="inlineStr">
        <is>
          <t>MEASURED</t>
        </is>
      </c>
      <c r="N345" s="5" t="inlineStr">
        <is>
          <t>Semrush phrase_these (live, this session)</t>
        </is>
      </c>
      <c r="O345" t="inlineStr">
        <is>
          <t>2026-10-30</t>
        </is>
      </c>
      <c r="P345">
        <f>IF(IF(J345="NOT AVAILABLE","",J345)="",12,IF(OR(ISNUMBER(SEARCH("Transactional",IF(J345="NOT AVAILABLE","",J345))),ISNUMBER(SEARCH("Commercial",IF(J345="NOT AVAILABLE","",J345)))),25,IF(ISNUMBER(SEARCH("Informational",IF(J345="NOT AVAILABLE","",J345))),10,IF(ISNUMBER(SEARCH("Navigational",IF(J345="NOT AVAILABLE","",J345))),0,12))))</f>
        <v/>
      </c>
      <c r="Q345">
        <f>IF(ISNUMBER(F345),MIN(30,ROUND(30*LOG10(F345+1)/4,1)),0)</f>
        <v/>
      </c>
      <c r="R345">
        <f>IF(ISNUMBER(G345),ROUND(25*(100-G345)/100,1),12.5)</f>
        <v/>
      </c>
      <c r="S345" t="n">
        <v>20</v>
      </c>
      <c r="T345">
        <f>ROUND(P345+Q345+R345+S345,0)</f>
        <v/>
      </c>
      <c r="U345" s="5" t="inlineStr"/>
      <c r="V345" s="5" t="inlineStr"/>
    </row>
    <row r="346">
      <c r="A346" t="inlineStr">
        <is>
          <t>K0344</t>
        </is>
      </c>
      <c r="B346" t="inlineStr">
        <is>
          <t>logiciel facturation maroc</t>
        </is>
      </c>
      <c r="C346" t="inlineStr">
        <is>
          <t>Morocco</t>
        </is>
      </c>
      <c r="D346" t="inlineStr">
        <is>
          <t>ma</t>
        </is>
      </c>
      <c r="E346" t="inlineStr">
        <is>
          <t>fr</t>
        </is>
      </c>
      <c r="F346" t="n">
        <v>20</v>
      </c>
      <c r="G346" t="inlineStr">
        <is>
          <t>NOT AVAILABLE</t>
        </is>
      </c>
      <c r="H346" t="n">
        <v>0.4</v>
      </c>
      <c r="I346" t="n">
        <v>0.44</v>
      </c>
      <c r="J346" t="inlineStr">
        <is>
          <t>NOT AVAILABLE</t>
        </is>
      </c>
      <c r="K346" t="inlineStr">
        <is>
          <t>NOT AVAILABLE (report not requested)</t>
        </is>
      </c>
      <c r="L346" t="inlineStr">
        <is>
          <t>rising (calc.)</t>
        </is>
      </c>
      <c r="M346" t="inlineStr">
        <is>
          <t>MEASURED</t>
        </is>
      </c>
      <c r="N346" s="5" t="inlineStr">
        <is>
          <t>Semrush phrase_these (live, this session)</t>
        </is>
      </c>
      <c r="O346" t="inlineStr">
        <is>
          <t>2026-10-30</t>
        </is>
      </c>
      <c r="P346">
        <f>IF(IF(J346="NOT AVAILABLE","",J346)="",12,IF(OR(ISNUMBER(SEARCH("Transactional",IF(J346="NOT AVAILABLE","",J346))),ISNUMBER(SEARCH("Commercial",IF(J346="NOT AVAILABLE","",J346)))),25,IF(ISNUMBER(SEARCH("Informational",IF(J346="NOT AVAILABLE","",J346))),10,IF(ISNUMBER(SEARCH("Navigational",IF(J346="NOT AVAILABLE","",J346))),0,12))))</f>
        <v/>
      </c>
      <c r="Q346">
        <f>IF(ISNUMBER(F346),MIN(30,ROUND(30*LOG10(F346+1)/4,1)),0)</f>
        <v/>
      </c>
      <c r="R346">
        <f>IF(ISNUMBER(G346),ROUND(25*(100-G346)/100,1),12.5)</f>
        <v/>
      </c>
      <c r="S346" t="n">
        <v>20</v>
      </c>
      <c r="T346">
        <f>ROUND(P346+Q346+R346+S346,0)</f>
        <v/>
      </c>
      <c r="U346" s="5" t="inlineStr"/>
      <c r="V346" s="5" t="inlineStr">
        <is>
          <t>NOT RECOMMENDED /our-work/hssabek</t>
        </is>
      </c>
    </row>
    <row r="347">
      <c r="A347" t="inlineStr">
        <is>
          <t>K0345</t>
        </is>
      </c>
      <c r="B347" t="inlineStr">
        <is>
          <t>logiciel gestion association</t>
        </is>
      </c>
      <c r="C347" t="inlineStr">
        <is>
          <t>Morocco</t>
        </is>
      </c>
      <c r="D347" t="inlineStr">
        <is>
          <t>ma</t>
        </is>
      </c>
      <c r="E347" t="inlineStr">
        <is>
          <t>fr</t>
        </is>
      </c>
      <c r="F347" t="n">
        <v>20</v>
      </c>
      <c r="G347" t="inlineStr">
        <is>
          <t>NOT AVAILABLE</t>
        </is>
      </c>
      <c r="H347" t="n">
        <v>0</v>
      </c>
      <c r="I347" t="n">
        <v>0</v>
      </c>
      <c r="J347" t="inlineStr">
        <is>
          <t>NOT AVAILABLE</t>
        </is>
      </c>
      <c r="K347" t="inlineStr">
        <is>
          <t>NOT AVAILABLE (report not requested)</t>
        </is>
      </c>
      <c r="L347" t="inlineStr">
        <is>
          <t>rising (calc.)</t>
        </is>
      </c>
      <c r="M347" t="inlineStr">
        <is>
          <t>MEASURED</t>
        </is>
      </c>
      <c r="N347" s="5" t="inlineStr">
        <is>
          <t>Semrush phrase_these (live, this session)</t>
        </is>
      </c>
      <c r="O347" t="inlineStr">
        <is>
          <t>2026-10-30</t>
        </is>
      </c>
      <c r="P347">
        <f>IF(IF(J347="NOT AVAILABLE","",J347)="",12,IF(OR(ISNUMBER(SEARCH("Transactional",IF(J347="NOT AVAILABLE","",J347))),ISNUMBER(SEARCH("Commercial",IF(J347="NOT AVAILABLE","",J347)))),25,IF(ISNUMBER(SEARCH("Informational",IF(J347="NOT AVAILABLE","",J347))),10,IF(ISNUMBER(SEARCH("Navigational",IF(J347="NOT AVAILABLE","",J347))),0,12))))</f>
        <v/>
      </c>
      <c r="Q347">
        <f>IF(ISNUMBER(F347),MIN(30,ROUND(30*LOG10(F347+1)/4,1)),0)</f>
        <v/>
      </c>
      <c r="R347">
        <f>IF(ISNUMBER(G347),ROUND(25*(100-G347)/100,1),12.5)</f>
        <v/>
      </c>
      <c r="S347" t="n">
        <v>20</v>
      </c>
      <c r="T347">
        <f>ROUND(P347+Q347+R347+S347,0)</f>
        <v/>
      </c>
      <c r="U347" s="5" t="inlineStr"/>
      <c r="V347" s="5" t="inlineStr"/>
    </row>
    <row r="348">
      <c r="A348" t="inlineStr">
        <is>
          <t>K0346</t>
        </is>
      </c>
      <c r="B348" t="inlineStr">
        <is>
          <t>logiciel gestion commerciale maroc</t>
        </is>
      </c>
      <c r="C348" t="inlineStr">
        <is>
          <t>Morocco</t>
        </is>
      </c>
      <c r="D348" t="inlineStr">
        <is>
          <t>ma</t>
        </is>
      </c>
      <c r="E348" t="inlineStr">
        <is>
          <t>fr</t>
        </is>
      </c>
      <c r="F348" t="n">
        <v>20</v>
      </c>
      <c r="G348" t="inlineStr">
        <is>
          <t>NOT AVAILABLE</t>
        </is>
      </c>
      <c r="H348" t="n">
        <v>0.43</v>
      </c>
      <c r="I348" t="n">
        <v>0.66</v>
      </c>
      <c r="J348" t="inlineStr">
        <is>
          <t>NOT AVAILABLE</t>
        </is>
      </c>
      <c r="K348" t="inlineStr">
        <is>
          <t>NOT AVAILABLE (report not requested)</t>
        </is>
      </c>
      <c r="L348" t="inlineStr">
        <is>
          <t>declining (calc.)</t>
        </is>
      </c>
      <c r="M348" t="inlineStr">
        <is>
          <t>MEASURED</t>
        </is>
      </c>
      <c r="N348" s="5" t="inlineStr">
        <is>
          <t>Semrush phrase_these (historical w3-validate-D-software.csv)</t>
        </is>
      </c>
      <c r="O348" t="inlineStr">
        <is>
          <t>2026-10-27</t>
        </is>
      </c>
      <c r="P348">
        <f>IF(IF(J348="NOT AVAILABLE","",J348)="",12,IF(OR(ISNUMBER(SEARCH("Transactional",IF(J348="NOT AVAILABLE","",J348))),ISNUMBER(SEARCH("Commercial",IF(J348="NOT AVAILABLE","",J348)))),25,IF(ISNUMBER(SEARCH("Informational",IF(J348="NOT AVAILABLE","",J348))),10,IF(ISNUMBER(SEARCH("Navigational",IF(J348="NOT AVAILABLE","",J348))),0,12))))</f>
        <v/>
      </c>
      <c r="Q348">
        <f>IF(ISNUMBER(F348),MIN(30,ROUND(30*LOG10(F348+1)/4,1)),0)</f>
        <v/>
      </c>
      <c r="R348">
        <f>IF(ISNUMBER(G348),ROUND(25*(100-G348)/100,1),12.5)</f>
        <v/>
      </c>
      <c r="S348" t="n">
        <v>20</v>
      </c>
      <c r="T348">
        <f>ROUND(P348+Q348+R348+S348,0)</f>
        <v/>
      </c>
      <c r="U348" s="5" t="inlineStr"/>
      <c r="V348" s="5" t="inlineStr"/>
    </row>
    <row r="349">
      <c r="A349" t="inlineStr">
        <is>
          <t>K0347</t>
        </is>
      </c>
      <c r="B349" t="inlineStr">
        <is>
          <t>logiciel immobilier maroc</t>
        </is>
      </c>
      <c r="C349" t="inlineStr">
        <is>
          <t>Morocco</t>
        </is>
      </c>
      <c r="D349" t="inlineStr">
        <is>
          <t>ma</t>
        </is>
      </c>
      <c r="E349" t="inlineStr">
        <is>
          <t>fr</t>
        </is>
      </c>
      <c r="F349" t="n">
        <v>20</v>
      </c>
      <c r="G349" t="inlineStr">
        <is>
          <t>NOT AVAILABLE</t>
        </is>
      </c>
      <c r="H349" t="n">
        <v>0</v>
      </c>
      <c r="I349" t="n">
        <v>0.02</v>
      </c>
      <c r="J349" t="inlineStr">
        <is>
          <t>NOT AVAILABLE</t>
        </is>
      </c>
      <c r="K349" t="inlineStr">
        <is>
          <t>NOT AVAILABLE (report not requested)</t>
        </is>
      </c>
      <c r="L349" t="inlineStr">
        <is>
          <t>rising (calc.)</t>
        </is>
      </c>
      <c r="M349" t="inlineStr">
        <is>
          <t>MEASURED</t>
        </is>
      </c>
      <c r="N349" s="5" t="inlineStr">
        <is>
          <t>Semrush phrase_these (live, this session)</t>
        </is>
      </c>
      <c r="O349" t="inlineStr">
        <is>
          <t>2026-10-30</t>
        </is>
      </c>
      <c r="P349">
        <f>IF(IF(J349="NOT AVAILABLE","",J349)="",12,IF(OR(ISNUMBER(SEARCH("Transactional",IF(J349="NOT AVAILABLE","",J349))),ISNUMBER(SEARCH("Commercial",IF(J349="NOT AVAILABLE","",J349)))),25,IF(ISNUMBER(SEARCH("Informational",IF(J349="NOT AVAILABLE","",J349))),10,IF(ISNUMBER(SEARCH("Navigational",IF(J349="NOT AVAILABLE","",J349))),0,12))))</f>
        <v/>
      </c>
      <c r="Q349">
        <f>IF(ISNUMBER(F349),MIN(30,ROUND(30*LOG10(F349+1)/4,1)),0)</f>
        <v/>
      </c>
      <c r="R349">
        <f>IF(ISNUMBER(G349),ROUND(25*(100-G349)/100,1),12.5)</f>
        <v/>
      </c>
      <c r="S349" t="n">
        <v>20</v>
      </c>
      <c r="T349">
        <f>ROUND(P349+Q349+R349+S349,0)</f>
        <v/>
      </c>
      <c r="U349" s="5" t="inlineStr"/>
      <c r="V349" s="5" t="inlineStr"/>
    </row>
    <row r="350">
      <c r="A350" t="inlineStr">
        <is>
          <t>K0348</t>
        </is>
      </c>
      <c r="B350" t="inlineStr">
        <is>
          <t>magento maroc</t>
        </is>
      </c>
      <c r="C350" t="inlineStr">
        <is>
          <t>Morocco</t>
        </is>
      </c>
      <c r="D350" t="inlineStr">
        <is>
          <t>ma</t>
        </is>
      </c>
      <c r="E350" t="inlineStr">
        <is>
          <t>fr</t>
        </is>
      </c>
      <c r="F350" t="n">
        <v>20</v>
      </c>
      <c r="G350" t="inlineStr">
        <is>
          <t>NOT AVAILABLE</t>
        </is>
      </c>
      <c r="H350" t="n">
        <v>0</v>
      </c>
      <c r="I350" t="n">
        <v>0.33</v>
      </c>
      <c r="J350" t="inlineStr">
        <is>
          <t>NOT AVAILABLE</t>
        </is>
      </c>
      <c r="K350" t="inlineStr">
        <is>
          <t>NOT AVAILABLE (report not requested)</t>
        </is>
      </c>
      <c r="L350" t="inlineStr">
        <is>
          <t>stable (calc.)</t>
        </is>
      </c>
      <c r="M350" t="inlineStr">
        <is>
          <t>MEASURED</t>
        </is>
      </c>
      <c r="N350" s="5" t="inlineStr">
        <is>
          <t>Semrush phrase_these (live, this session)</t>
        </is>
      </c>
      <c r="O350" t="inlineStr">
        <is>
          <t>2026-10-30</t>
        </is>
      </c>
      <c r="P350">
        <f>IF(IF(J350="NOT AVAILABLE","",J350)="",12,IF(OR(ISNUMBER(SEARCH("Transactional",IF(J350="NOT AVAILABLE","",J350))),ISNUMBER(SEARCH("Commercial",IF(J350="NOT AVAILABLE","",J350)))),25,IF(ISNUMBER(SEARCH("Informational",IF(J350="NOT AVAILABLE","",J350))),10,IF(ISNUMBER(SEARCH("Navigational",IF(J350="NOT AVAILABLE","",J350))),0,12))))</f>
        <v/>
      </c>
      <c r="Q350">
        <f>IF(ISNUMBER(F350),MIN(30,ROUND(30*LOG10(F350+1)/4,1)),0)</f>
        <v/>
      </c>
      <c r="R350">
        <f>IF(ISNUMBER(G350),ROUND(25*(100-G350)/100,1),12.5)</f>
        <v/>
      </c>
      <c r="S350" t="n">
        <v>20</v>
      </c>
      <c r="T350">
        <f>ROUND(P350+Q350+R350+S350,0)</f>
        <v/>
      </c>
      <c r="U350" s="5" t="inlineStr"/>
      <c r="V350" s="5" t="inlineStr"/>
    </row>
    <row r="351">
      <c r="A351" t="inlineStr">
        <is>
          <t>K0349</t>
        </is>
      </c>
      <c r="B351" t="inlineStr">
        <is>
          <t>maillage interne</t>
        </is>
      </c>
      <c r="C351" t="inlineStr">
        <is>
          <t>Morocco</t>
        </is>
      </c>
      <c r="D351" t="inlineStr">
        <is>
          <t>ma</t>
        </is>
      </c>
      <c r="E351" t="inlineStr">
        <is>
          <t>fr</t>
        </is>
      </c>
      <c r="F351" t="n">
        <v>20</v>
      </c>
      <c r="G351" t="inlineStr">
        <is>
          <t>NOT AVAILABLE</t>
        </is>
      </c>
      <c r="H351" t="n">
        <v>0</v>
      </c>
      <c r="I351" t="n">
        <v>0.33</v>
      </c>
      <c r="J351" t="inlineStr">
        <is>
          <t>NOT AVAILABLE</t>
        </is>
      </c>
      <c r="K351" t="inlineStr">
        <is>
          <t>NOT AVAILABLE (report not requested)</t>
        </is>
      </c>
      <c r="L351" t="inlineStr">
        <is>
          <t>declining (calc.)</t>
        </is>
      </c>
      <c r="M351" t="inlineStr">
        <is>
          <t>MEASURED</t>
        </is>
      </c>
      <c r="N351" s="5" t="inlineStr">
        <is>
          <t>Semrush phrase_these (live, this session)</t>
        </is>
      </c>
      <c r="O351" t="inlineStr">
        <is>
          <t>2026-10-30</t>
        </is>
      </c>
      <c r="P351">
        <f>IF(IF(J351="NOT AVAILABLE","",J351)="",12,IF(OR(ISNUMBER(SEARCH("Transactional",IF(J351="NOT AVAILABLE","",J351))),ISNUMBER(SEARCH("Commercial",IF(J351="NOT AVAILABLE","",J351)))),25,IF(ISNUMBER(SEARCH("Informational",IF(J351="NOT AVAILABLE","",J351))),10,IF(ISNUMBER(SEARCH("Navigational",IF(J351="NOT AVAILABLE","",J351))),0,12))))</f>
        <v/>
      </c>
      <c r="Q351">
        <f>IF(ISNUMBER(F351),MIN(30,ROUND(30*LOG10(F351+1)/4,1)),0)</f>
        <v/>
      </c>
      <c r="R351">
        <f>IF(ISNUMBER(G351),ROUND(25*(100-G351)/100,1),12.5)</f>
        <v/>
      </c>
      <c r="S351" t="n">
        <v>20</v>
      </c>
      <c r="T351">
        <f>ROUND(P351+Q351+R351+S351,0)</f>
        <v/>
      </c>
      <c r="U351" s="5" t="inlineStr"/>
      <c r="V351" s="5" t="inlineStr">
        <is>
          <t>SECONDARY /tools/internal-link-analyzer</t>
        </is>
      </c>
    </row>
    <row r="352">
      <c r="A352" t="inlineStr">
        <is>
          <t>K0350</t>
        </is>
      </c>
      <c r="B352" t="inlineStr">
        <is>
          <t>majuscule en minuscule</t>
        </is>
      </c>
      <c r="C352" t="inlineStr">
        <is>
          <t>Morocco</t>
        </is>
      </c>
      <c r="D352" t="inlineStr">
        <is>
          <t>ma</t>
        </is>
      </c>
      <c r="E352" t="inlineStr">
        <is>
          <t>fr</t>
        </is>
      </c>
      <c r="F352" t="n">
        <v>20</v>
      </c>
      <c r="G352" t="inlineStr">
        <is>
          <t>NOT AVAILABLE</t>
        </is>
      </c>
      <c r="H352" t="n">
        <v>0</v>
      </c>
      <c r="I352" t="n">
        <v>0</v>
      </c>
      <c r="J352" t="inlineStr">
        <is>
          <t>NOT AVAILABLE</t>
        </is>
      </c>
      <c r="K352" t="inlineStr">
        <is>
          <t>NOT AVAILABLE (report not requested)</t>
        </is>
      </c>
      <c r="L352" t="inlineStr">
        <is>
          <t>declining (calc.)</t>
        </is>
      </c>
      <c r="M352" t="inlineStr">
        <is>
          <t>MEASURED</t>
        </is>
      </c>
      <c r="N352" s="5" t="inlineStr">
        <is>
          <t>Semrush phrase_these (live, this session)</t>
        </is>
      </c>
      <c r="O352" t="inlineStr">
        <is>
          <t>2026-10-30</t>
        </is>
      </c>
      <c r="P352">
        <f>IF(IF(J352="NOT AVAILABLE","",J352)="",12,IF(OR(ISNUMBER(SEARCH("Transactional",IF(J352="NOT AVAILABLE","",J352))),ISNUMBER(SEARCH("Commercial",IF(J352="NOT AVAILABLE","",J352)))),25,IF(ISNUMBER(SEARCH("Informational",IF(J352="NOT AVAILABLE","",J352))),10,IF(ISNUMBER(SEARCH("Navigational",IF(J352="NOT AVAILABLE","",J352))),0,12))))</f>
        <v/>
      </c>
      <c r="Q352">
        <f>IF(ISNUMBER(F352),MIN(30,ROUND(30*LOG10(F352+1)/4,1)),0)</f>
        <v/>
      </c>
      <c r="R352">
        <f>IF(ISNUMBER(G352),ROUND(25*(100-G352)/100,1),12.5)</f>
        <v/>
      </c>
      <c r="S352" t="n">
        <v>20</v>
      </c>
      <c r="T352">
        <f>ROUND(P352+Q352+R352+S352,0)</f>
        <v/>
      </c>
      <c r="U352" s="5" t="inlineStr"/>
      <c r="V352" s="5" t="inlineStr">
        <is>
          <t>SECONDARY /tools/text-case-converter</t>
        </is>
      </c>
    </row>
    <row r="353">
      <c r="A353" t="inlineStr">
        <is>
          <t>K0351</t>
        </is>
      </c>
      <c r="B353" t="inlineStr">
        <is>
          <t>meta description</t>
        </is>
      </c>
      <c r="C353" t="inlineStr">
        <is>
          <t>Morocco</t>
        </is>
      </c>
      <c r="D353" t="inlineStr">
        <is>
          <t>ma</t>
        </is>
      </c>
      <c r="E353" t="inlineStr">
        <is>
          <t>fr</t>
        </is>
      </c>
      <c r="F353" t="n">
        <v>20</v>
      </c>
      <c r="G353" t="inlineStr">
        <is>
          <t>NOT AVAILABLE</t>
        </is>
      </c>
      <c r="H353" t="n">
        <v>0</v>
      </c>
      <c r="I353" t="n">
        <v>0.33</v>
      </c>
      <c r="J353" t="inlineStr">
        <is>
          <t>NOT AVAILABLE</t>
        </is>
      </c>
      <c r="K353" t="inlineStr">
        <is>
          <t>NOT AVAILABLE (report not requested)</t>
        </is>
      </c>
      <c r="L353" t="inlineStr">
        <is>
          <t>stable (calc.)</t>
        </is>
      </c>
      <c r="M353" t="inlineStr">
        <is>
          <t>MEASURED</t>
        </is>
      </c>
      <c r="N353" s="5" t="inlineStr">
        <is>
          <t>Semrush phrase_these (live, this session)</t>
        </is>
      </c>
      <c r="O353" t="inlineStr">
        <is>
          <t>2026-10-30</t>
        </is>
      </c>
      <c r="P353">
        <f>IF(IF(J353="NOT AVAILABLE","",J353)="",12,IF(OR(ISNUMBER(SEARCH("Transactional",IF(J353="NOT AVAILABLE","",J353))),ISNUMBER(SEARCH("Commercial",IF(J353="NOT AVAILABLE","",J353)))),25,IF(ISNUMBER(SEARCH("Informational",IF(J353="NOT AVAILABLE","",J353))),10,IF(ISNUMBER(SEARCH("Navigational",IF(J353="NOT AVAILABLE","",J353))),0,12))))</f>
        <v/>
      </c>
      <c r="Q353">
        <f>IF(ISNUMBER(F353),MIN(30,ROUND(30*LOG10(F353+1)/4,1)),0)</f>
        <v/>
      </c>
      <c r="R353">
        <f>IF(ISNUMBER(G353),ROUND(25*(100-G353)/100,1),12.5)</f>
        <v/>
      </c>
      <c r="S353" t="n">
        <v>20</v>
      </c>
      <c r="T353">
        <f>ROUND(P353+Q353+R353+S353,0)</f>
        <v/>
      </c>
      <c r="U353" s="5" t="inlineStr"/>
      <c r="V353" s="5" t="inlineStr">
        <is>
          <t>SUPPORTING /tools/meta-tag-generator</t>
        </is>
      </c>
    </row>
    <row r="354">
      <c r="A354" t="inlineStr">
        <is>
          <t>K0352</t>
        </is>
      </c>
      <c r="B354" t="inlineStr">
        <is>
          <t>meta refresh</t>
        </is>
      </c>
      <c r="C354" t="inlineStr">
        <is>
          <t>Morocco</t>
        </is>
      </c>
      <c r="D354" t="inlineStr">
        <is>
          <t>ma</t>
        </is>
      </c>
      <c r="E354" t="inlineStr">
        <is>
          <t>fr</t>
        </is>
      </c>
      <c r="F354" t="n">
        <v>20</v>
      </c>
      <c r="G354" t="inlineStr">
        <is>
          <t>NOT AVAILABLE</t>
        </is>
      </c>
      <c r="H354" t="n">
        <v>0</v>
      </c>
      <c r="I354" t="n">
        <v>0.33</v>
      </c>
      <c r="J354" t="inlineStr">
        <is>
          <t>NOT AVAILABLE</t>
        </is>
      </c>
      <c r="K354" t="inlineStr">
        <is>
          <t>NOT AVAILABLE (report not requested)</t>
        </is>
      </c>
      <c r="L354" t="inlineStr">
        <is>
          <t>stable (calc.)</t>
        </is>
      </c>
      <c r="M354" t="inlineStr">
        <is>
          <t>MEASURED</t>
        </is>
      </c>
      <c r="N354" s="5" t="inlineStr">
        <is>
          <t>Semrush phrase_these (live, this session)</t>
        </is>
      </c>
      <c r="O354" t="inlineStr">
        <is>
          <t>2026-10-30</t>
        </is>
      </c>
      <c r="P354">
        <f>IF(IF(J354="NOT AVAILABLE","",J354)="",12,IF(OR(ISNUMBER(SEARCH("Transactional",IF(J354="NOT AVAILABLE","",J354))),ISNUMBER(SEARCH("Commercial",IF(J354="NOT AVAILABLE","",J354)))),25,IF(ISNUMBER(SEARCH("Informational",IF(J354="NOT AVAILABLE","",J354))),10,IF(ISNUMBER(SEARCH("Navigational",IF(J354="NOT AVAILABLE","",J354))),0,12))))</f>
        <v/>
      </c>
      <c r="Q354">
        <f>IF(ISNUMBER(F354),MIN(30,ROUND(30*LOG10(F354+1)/4,1)),0)</f>
        <v/>
      </c>
      <c r="R354">
        <f>IF(ISNUMBER(G354),ROUND(25*(100-G354)/100,1),12.5)</f>
        <v/>
      </c>
      <c r="S354" t="n">
        <v>20</v>
      </c>
      <c r="T354">
        <f>ROUND(P354+Q354+R354+S354,0)</f>
        <v/>
      </c>
      <c r="U354" s="5" t="inlineStr"/>
      <c r="V354" s="5" t="inlineStr">
        <is>
          <t>SECONDARY /tools/meta-refresh-generator</t>
        </is>
      </c>
    </row>
    <row r="355">
      <c r="A355" t="inlineStr">
        <is>
          <t>K0353</t>
        </is>
      </c>
      <c r="B355" t="inlineStr">
        <is>
          <t>meta tag generator</t>
        </is>
      </c>
      <c r="C355" t="inlineStr">
        <is>
          <t>Morocco</t>
        </is>
      </c>
      <c r="D355" t="inlineStr">
        <is>
          <t>ma</t>
        </is>
      </c>
      <c r="E355" t="inlineStr">
        <is>
          <t>fr</t>
        </is>
      </c>
      <c r="F355" t="n">
        <v>20</v>
      </c>
      <c r="G355" t="inlineStr">
        <is>
          <t>NOT AVAILABLE</t>
        </is>
      </c>
      <c r="H355" t="n">
        <v>0</v>
      </c>
      <c r="I355" t="n">
        <v>0.33</v>
      </c>
      <c r="J355" t="inlineStr">
        <is>
          <t>NOT AVAILABLE</t>
        </is>
      </c>
      <c r="K355" t="inlineStr">
        <is>
          <t>NOT AVAILABLE (report not requested)</t>
        </is>
      </c>
      <c r="L355" t="inlineStr">
        <is>
          <t>declining (calc.)</t>
        </is>
      </c>
      <c r="M355" t="inlineStr">
        <is>
          <t>MEASURED</t>
        </is>
      </c>
      <c r="N355" s="5" t="inlineStr">
        <is>
          <t>Semrush phrase_these (live, this session)</t>
        </is>
      </c>
      <c r="O355" t="inlineStr">
        <is>
          <t>2026-10-30</t>
        </is>
      </c>
      <c r="P355">
        <f>IF(IF(J355="NOT AVAILABLE","",J355)="",12,IF(OR(ISNUMBER(SEARCH("Transactional",IF(J355="NOT AVAILABLE","",J355))),ISNUMBER(SEARCH("Commercial",IF(J355="NOT AVAILABLE","",J355)))),25,IF(ISNUMBER(SEARCH("Informational",IF(J355="NOT AVAILABLE","",J355))),10,IF(ISNUMBER(SEARCH("Navigational",IF(J355="NOT AVAILABLE","",J355))),0,12))))</f>
        <v/>
      </c>
      <c r="Q355">
        <f>IF(ISNUMBER(F355),MIN(30,ROUND(30*LOG10(F355+1)/4,1)),0)</f>
        <v/>
      </c>
      <c r="R355">
        <f>IF(ISNUMBER(G355),ROUND(25*(100-G355)/100,1),12.5)</f>
        <v/>
      </c>
      <c r="S355" t="n">
        <v>20</v>
      </c>
      <c r="T355">
        <f>ROUND(P355+Q355+R355+S355,0)</f>
        <v/>
      </c>
      <c r="U355" s="5" t="inlineStr"/>
      <c r="V355" s="5" t="inlineStr">
        <is>
          <t>SUPPORTING /tools/meta-tag-generator</t>
        </is>
      </c>
    </row>
    <row r="356">
      <c r="A356" t="inlineStr">
        <is>
          <t>K0354</t>
        </is>
      </c>
      <c r="B356" t="inlineStr">
        <is>
          <t>mettre en majuscule</t>
        </is>
      </c>
      <c r="C356" t="inlineStr">
        <is>
          <t>Morocco</t>
        </is>
      </c>
      <c r="D356" t="inlineStr">
        <is>
          <t>ma</t>
        </is>
      </c>
      <c r="E356" t="inlineStr">
        <is>
          <t>fr</t>
        </is>
      </c>
      <c r="F356" t="n">
        <v>20</v>
      </c>
      <c r="G356" t="inlineStr">
        <is>
          <t>NOT AVAILABLE</t>
        </is>
      </c>
      <c r="H356" t="n">
        <v>0</v>
      </c>
      <c r="I356" t="n">
        <v>0.33</v>
      </c>
      <c r="J356" t="inlineStr">
        <is>
          <t>NOT AVAILABLE</t>
        </is>
      </c>
      <c r="K356" t="inlineStr">
        <is>
          <t>NOT AVAILABLE (report not requested)</t>
        </is>
      </c>
      <c r="L356" t="inlineStr">
        <is>
          <t>declining (calc.)</t>
        </is>
      </c>
      <c r="M356" t="inlineStr">
        <is>
          <t>MEASURED</t>
        </is>
      </c>
      <c r="N356" s="5" t="inlineStr">
        <is>
          <t>Semrush phrase_these (live, this session)</t>
        </is>
      </c>
      <c r="O356" t="inlineStr">
        <is>
          <t>2026-10-30</t>
        </is>
      </c>
      <c r="P356">
        <f>IF(IF(J356="NOT AVAILABLE","",J356)="",12,IF(OR(ISNUMBER(SEARCH("Transactional",IF(J356="NOT AVAILABLE","",J356))),ISNUMBER(SEARCH("Commercial",IF(J356="NOT AVAILABLE","",J356)))),25,IF(ISNUMBER(SEARCH("Informational",IF(J356="NOT AVAILABLE","",J356))),10,IF(ISNUMBER(SEARCH("Navigational",IF(J356="NOT AVAILABLE","",J356))),0,12))))</f>
        <v/>
      </c>
      <c r="Q356">
        <f>IF(ISNUMBER(F356),MIN(30,ROUND(30*LOG10(F356+1)/4,1)),0)</f>
        <v/>
      </c>
      <c r="R356">
        <f>IF(ISNUMBER(G356),ROUND(25*(100-G356)/100,1),12.5)</f>
        <v/>
      </c>
      <c r="S356" t="n">
        <v>20</v>
      </c>
      <c r="T356">
        <f>ROUND(P356+Q356+R356+S356,0)</f>
        <v/>
      </c>
      <c r="U356" s="5" t="inlineStr"/>
      <c r="V356" s="5" t="inlineStr">
        <is>
          <t>SUPPORTING /tools/text-case-converter</t>
        </is>
      </c>
    </row>
    <row r="357">
      <c r="A357" t="inlineStr">
        <is>
          <t>K0355</t>
        </is>
      </c>
      <c r="B357" t="inlineStr">
        <is>
          <t>n-gram</t>
        </is>
      </c>
      <c r="C357" t="inlineStr">
        <is>
          <t>Morocco</t>
        </is>
      </c>
      <c r="D357" t="inlineStr">
        <is>
          <t>ma</t>
        </is>
      </c>
      <c r="E357" t="inlineStr">
        <is>
          <t>fr</t>
        </is>
      </c>
      <c r="F357" t="n">
        <v>20</v>
      </c>
      <c r="G357" t="inlineStr">
        <is>
          <t>NOT AVAILABLE</t>
        </is>
      </c>
      <c r="H357" t="n">
        <v>0</v>
      </c>
      <c r="I357" t="n">
        <v>0.33</v>
      </c>
      <c r="J357" t="inlineStr">
        <is>
          <t>NOT AVAILABLE</t>
        </is>
      </c>
      <c r="K357" t="inlineStr">
        <is>
          <t>NOT AVAILABLE (report not requested)</t>
        </is>
      </c>
      <c r="L357" t="inlineStr">
        <is>
          <t>rising (calc.)</t>
        </is>
      </c>
      <c r="M357" t="inlineStr">
        <is>
          <t>MEASURED</t>
        </is>
      </c>
      <c r="N357" s="5" t="inlineStr">
        <is>
          <t>Semrush phrase_these (live, this session)</t>
        </is>
      </c>
      <c r="O357" t="inlineStr">
        <is>
          <t>2026-10-30</t>
        </is>
      </c>
      <c r="P357">
        <f>IF(IF(J357="NOT AVAILABLE","",J357)="",12,IF(OR(ISNUMBER(SEARCH("Transactional",IF(J357="NOT AVAILABLE","",J357))),ISNUMBER(SEARCH("Commercial",IF(J357="NOT AVAILABLE","",J357)))),25,IF(ISNUMBER(SEARCH("Informational",IF(J357="NOT AVAILABLE","",J357))),10,IF(ISNUMBER(SEARCH("Navigational",IF(J357="NOT AVAILABLE","",J357))),0,12))))</f>
        <v/>
      </c>
      <c r="Q357">
        <f>IF(ISNUMBER(F357),MIN(30,ROUND(30*LOG10(F357+1)/4,1)),0)</f>
        <v/>
      </c>
      <c r="R357">
        <f>IF(ISNUMBER(G357),ROUND(25*(100-G357)/100,1),12.5)</f>
        <v/>
      </c>
      <c r="S357" t="n">
        <v>20</v>
      </c>
      <c r="T357">
        <f>ROUND(P357+Q357+R357+S357,0)</f>
        <v/>
      </c>
      <c r="U357" s="5" t="inlineStr"/>
      <c r="V357" s="5" t="inlineStr">
        <is>
          <t>SECONDARY /tools/ngram-extractor</t>
        </is>
      </c>
    </row>
    <row r="358">
      <c r="A358" t="inlineStr">
        <is>
          <t>K0356</t>
        </is>
      </c>
      <c r="B358" t="inlineStr">
        <is>
          <t>nearshore maroc</t>
        </is>
      </c>
      <c r="C358" t="inlineStr">
        <is>
          <t>Morocco</t>
        </is>
      </c>
      <c r="D358" t="inlineStr">
        <is>
          <t>ma</t>
        </is>
      </c>
      <c r="E358" t="inlineStr">
        <is>
          <t>fr</t>
        </is>
      </c>
      <c r="F358" t="n">
        <v>20</v>
      </c>
      <c r="G358" t="inlineStr">
        <is>
          <t>NOT AVAILABLE</t>
        </is>
      </c>
      <c r="H358" t="n">
        <v>0</v>
      </c>
      <c r="I358" t="n">
        <v>0.33</v>
      </c>
      <c r="J358" t="inlineStr">
        <is>
          <t>NOT AVAILABLE</t>
        </is>
      </c>
      <c r="K358" t="inlineStr">
        <is>
          <t>NOT AVAILABLE (report not requested)</t>
        </is>
      </c>
      <c r="L358" t="inlineStr">
        <is>
          <t>rising (calc.)</t>
        </is>
      </c>
      <c r="M358" t="inlineStr">
        <is>
          <t>MEASURED</t>
        </is>
      </c>
      <c r="N358" s="5" t="inlineStr">
        <is>
          <t>Semrush phrase_these (live, this session)</t>
        </is>
      </c>
      <c r="O358" t="inlineStr">
        <is>
          <t>2026-10-30</t>
        </is>
      </c>
      <c r="P358">
        <f>IF(IF(J358="NOT AVAILABLE","",J358)="",12,IF(OR(ISNUMBER(SEARCH("Transactional",IF(J358="NOT AVAILABLE","",J358))),ISNUMBER(SEARCH("Commercial",IF(J358="NOT AVAILABLE","",J358)))),25,IF(ISNUMBER(SEARCH("Informational",IF(J358="NOT AVAILABLE","",J358))),10,IF(ISNUMBER(SEARCH("Navigational",IF(J358="NOT AVAILABLE","",J358))),0,12))))</f>
        <v/>
      </c>
      <c r="Q358">
        <f>IF(ISNUMBER(F358),MIN(30,ROUND(30*LOG10(F358+1)/4,1)),0)</f>
        <v/>
      </c>
      <c r="R358">
        <f>IF(ISNUMBER(G358),ROUND(25*(100-G358)/100,1),12.5)</f>
        <v/>
      </c>
      <c r="S358" t="n">
        <v>20</v>
      </c>
      <c r="T358">
        <f>ROUND(P358+Q358+R358+S358,0)</f>
        <v/>
      </c>
      <c r="U358" s="5" t="inlineStr"/>
      <c r="V358" s="5" t="inlineStr"/>
    </row>
    <row r="359">
      <c r="A359" t="inlineStr">
        <is>
          <t>K0357</t>
        </is>
      </c>
      <c r="B359" t="inlineStr">
        <is>
          <t>ngram</t>
        </is>
      </c>
      <c r="C359" t="inlineStr">
        <is>
          <t>Morocco</t>
        </is>
      </c>
      <c r="D359" t="inlineStr">
        <is>
          <t>ma</t>
        </is>
      </c>
      <c r="E359" t="inlineStr">
        <is>
          <t>fr</t>
        </is>
      </c>
      <c r="F359" t="n">
        <v>20</v>
      </c>
      <c r="G359" t="inlineStr">
        <is>
          <t>NOT AVAILABLE</t>
        </is>
      </c>
      <c r="H359" t="n">
        <v>0</v>
      </c>
      <c r="I359" t="n">
        <v>0.33</v>
      </c>
      <c r="J359" t="inlineStr">
        <is>
          <t>NOT AVAILABLE</t>
        </is>
      </c>
      <c r="K359" t="inlineStr">
        <is>
          <t>NOT AVAILABLE (report not requested)</t>
        </is>
      </c>
      <c r="L359" t="inlineStr">
        <is>
          <t>rising (calc.)</t>
        </is>
      </c>
      <c r="M359" t="inlineStr">
        <is>
          <t>MEASURED</t>
        </is>
      </c>
      <c r="N359" s="5" t="inlineStr">
        <is>
          <t>Semrush phrase_these (live, this session)</t>
        </is>
      </c>
      <c r="O359" t="inlineStr">
        <is>
          <t>2026-10-30</t>
        </is>
      </c>
      <c r="P359">
        <f>IF(IF(J359="NOT AVAILABLE","",J359)="",12,IF(OR(ISNUMBER(SEARCH("Transactional",IF(J359="NOT AVAILABLE","",J359))),ISNUMBER(SEARCH("Commercial",IF(J359="NOT AVAILABLE","",J359)))),25,IF(ISNUMBER(SEARCH("Informational",IF(J359="NOT AVAILABLE","",J359))),10,IF(ISNUMBER(SEARCH("Navigational",IF(J359="NOT AVAILABLE","",J359))),0,12))))</f>
        <v/>
      </c>
      <c r="Q359">
        <f>IF(ISNUMBER(F359),MIN(30,ROUND(30*LOG10(F359+1)/4,1)),0)</f>
        <v/>
      </c>
      <c r="R359">
        <f>IF(ISNUMBER(G359),ROUND(25*(100-G359)/100,1),12.5)</f>
        <v/>
      </c>
      <c r="S359" t="n">
        <v>20</v>
      </c>
      <c r="T359">
        <f>ROUND(P359+Q359+R359+S359,0)</f>
        <v/>
      </c>
      <c r="U359" s="5" t="inlineStr"/>
      <c r="V359" s="5" t="inlineStr"/>
    </row>
    <row r="360">
      <c r="A360" t="inlineStr">
        <is>
          <t>K0358</t>
        </is>
      </c>
      <c r="B360" t="inlineStr">
        <is>
          <t>nofollow</t>
        </is>
      </c>
      <c r="C360" t="inlineStr">
        <is>
          <t>Morocco</t>
        </is>
      </c>
      <c r="D360" t="inlineStr">
        <is>
          <t>ma</t>
        </is>
      </c>
      <c r="E360" t="inlineStr">
        <is>
          <t>fr</t>
        </is>
      </c>
      <c r="F360" t="n">
        <v>20</v>
      </c>
      <c r="G360" t="inlineStr">
        <is>
          <t>NOT AVAILABLE</t>
        </is>
      </c>
      <c r="H360" t="n">
        <v>0</v>
      </c>
      <c r="I360" t="n">
        <v>0.05</v>
      </c>
      <c r="J360" t="inlineStr">
        <is>
          <t>NOT AVAILABLE</t>
        </is>
      </c>
      <c r="K360" t="inlineStr">
        <is>
          <t>NOT AVAILABLE (report not requested)</t>
        </is>
      </c>
      <c r="L360" t="inlineStr">
        <is>
          <t>declining (calc.)</t>
        </is>
      </c>
      <c r="M360" t="inlineStr">
        <is>
          <t>MEASURED</t>
        </is>
      </c>
      <c r="N360" s="5" t="inlineStr">
        <is>
          <t>Semrush phrase_these (live, this session)</t>
        </is>
      </c>
      <c r="O360" t="inlineStr">
        <is>
          <t>2026-10-30</t>
        </is>
      </c>
      <c r="P360">
        <f>IF(IF(J360="NOT AVAILABLE","",J360)="",12,IF(OR(ISNUMBER(SEARCH("Transactional",IF(J360="NOT AVAILABLE","",J360))),ISNUMBER(SEARCH("Commercial",IF(J360="NOT AVAILABLE","",J360)))),25,IF(ISNUMBER(SEARCH("Informational",IF(J360="NOT AVAILABLE","",J360))),10,IF(ISNUMBER(SEARCH("Navigational",IF(J360="NOT AVAILABLE","",J360))),0,12))))</f>
        <v/>
      </c>
      <c r="Q360">
        <f>IF(ISNUMBER(F360),MIN(30,ROUND(30*LOG10(F360+1)/4,1)),0)</f>
        <v/>
      </c>
      <c r="R360">
        <f>IF(ISNUMBER(G360),ROUND(25*(100-G360)/100,1),12.5)</f>
        <v/>
      </c>
      <c r="S360" t="n">
        <v>20</v>
      </c>
      <c r="T360">
        <f>ROUND(P360+Q360+R360+S360,0)</f>
        <v/>
      </c>
      <c r="U360" s="5" t="inlineStr"/>
      <c r="V360" s="5" t="inlineStr">
        <is>
          <t>SECONDARY /tools/nofollow-link-checker</t>
        </is>
      </c>
    </row>
    <row r="361">
      <c r="A361" t="inlineStr">
        <is>
          <t>K0359</t>
        </is>
      </c>
      <c r="B361" t="inlineStr">
        <is>
          <t>nom de domaine expiré</t>
        </is>
      </c>
      <c r="C361" t="inlineStr">
        <is>
          <t>Morocco</t>
        </is>
      </c>
      <c r="D361" t="inlineStr">
        <is>
          <t>ma</t>
        </is>
      </c>
      <c r="E361" t="inlineStr">
        <is>
          <t>fr</t>
        </is>
      </c>
      <c r="F361" t="n">
        <v>20</v>
      </c>
      <c r="G361" t="inlineStr">
        <is>
          <t>NOT AVAILABLE</t>
        </is>
      </c>
      <c r="H361" t="n">
        <v>0</v>
      </c>
      <c r="I361" t="n">
        <v>0.79</v>
      </c>
      <c r="J361" t="inlineStr">
        <is>
          <t>NOT AVAILABLE</t>
        </is>
      </c>
      <c r="K361" t="inlineStr">
        <is>
          <t>NOT AVAILABLE (report not requested)</t>
        </is>
      </c>
      <c r="L361" t="inlineStr">
        <is>
          <t>declining (calc.)</t>
        </is>
      </c>
      <c r="M361" t="inlineStr">
        <is>
          <t>MEASURED</t>
        </is>
      </c>
      <c r="N361" s="5" t="inlineStr">
        <is>
          <t>Semrush phrase_these (live, this session)</t>
        </is>
      </c>
      <c r="O361" t="inlineStr">
        <is>
          <t>2026-10-30</t>
        </is>
      </c>
      <c r="P361">
        <f>IF(IF(J361="NOT AVAILABLE","",J361)="",12,IF(OR(ISNUMBER(SEARCH("Transactional",IF(J361="NOT AVAILABLE","",J361))),ISNUMBER(SEARCH("Commercial",IF(J361="NOT AVAILABLE","",J361)))),25,IF(ISNUMBER(SEARCH("Informational",IF(J361="NOT AVAILABLE","",J361))),10,IF(ISNUMBER(SEARCH("Navigational",IF(J361="NOT AVAILABLE","",J361))),0,12))))</f>
        <v/>
      </c>
      <c r="Q361">
        <f>IF(ISNUMBER(F361),MIN(30,ROUND(30*LOG10(F361+1)/4,1)),0)</f>
        <v/>
      </c>
      <c r="R361">
        <f>IF(ISNUMBER(G361),ROUND(25*(100-G361)/100,1),12.5)</f>
        <v/>
      </c>
      <c r="S361" t="n">
        <v>20</v>
      </c>
      <c r="T361">
        <f>ROUND(P361+Q361+R361+S361,0)</f>
        <v/>
      </c>
      <c r="U361" s="5" t="inlineStr"/>
      <c r="V361" s="5" t="inlineStr">
        <is>
          <t>SECONDARY /tools/expired-domain-checker</t>
        </is>
      </c>
    </row>
    <row r="362">
      <c r="A362" t="inlineStr">
        <is>
          <t>K0360</t>
        </is>
      </c>
      <c r="B362" t="inlineStr">
        <is>
          <t>offshore maroc</t>
        </is>
      </c>
      <c r="C362" t="inlineStr">
        <is>
          <t>Morocco</t>
        </is>
      </c>
      <c r="D362" t="inlineStr">
        <is>
          <t>ma</t>
        </is>
      </c>
      <c r="E362" t="inlineStr">
        <is>
          <t>fr</t>
        </is>
      </c>
      <c r="F362" t="n">
        <v>20</v>
      </c>
      <c r="G362" t="inlineStr">
        <is>
          <t>NOT AVAILABLE</t>
        </is>
      </c>
      <c r="H362" t="n">
        <v>0</v>
      </c>
      <c r="I362" t="n">
        <v>0.01</v>
      </c>
      <c r="J362" t="inlineStr">
        <is>
          <t>NOT AVAILABLE</t>
        </is>
      </c>
      <c r="K362" t="inlineStr">
        <is>
          <t>NOT AVAILABLE (report not requested)</t>
        </is>
      </c>
      <c r="L362" t="inlineStr">
        <is>
          <t>stable (calc.)</t>
        </is>
      </c>
      <c r="M362" t="inlineStr">
        <is>
          <t>MEASURED</t>
        </is>
      </c>
      <c r="N362" s="5" t="inlineStr">
        <is>
          <t>Semrush phrase_these (live, this session)</t>
        </is>
      </c>
      <c r="O362" t="inlineStr">
        <is>
          <t>2026-10-30</t>
        </is>
      </c>
      <c r="P362">
        <f>IF(IF(J362="NOT AVAILABLE","",J362)="",12,IF(OR(ISNUMBER(SEARCH("Transactional",IF(J362="NOT AVAILABLE","",J362))),ISNUMBER(SEARCH("Commercial",IF(J362="NOT AVAILABLE","",J362)))),25,IF(ISNUMBER(SEARCH("Informational",IF(J362="NOT AVAILABLE","",J362))),10,IF(ISNUMBER(SEARCH("Navigational",IF(J362="NOT AVAILABLE","",J362))),0,12))))</f>
        <v/>
      </c>
      <c r="Q362">
        <f>IF(ISNUMBER(F362),MIN(30,ROUND(30*LOG10(F362+1)/4,1)),0)</f>
        <v/>
      </c>
      <c r="R362">
        <f>IF(ISNUMBER(G362),ROUND(25*(100-G362)/100,1),12.5)</f>
        <v/>
      </c>
      <c r="S362" t="n">
        <v>20</v>
      </c>
      <c r="T362">
        <f>ROUND(P362+Q362+R362+S362,0)</f>
        <v/>
      </c>
      <c r="U362" s="5" t="inlineStr"/>
      <c r="V362" s="5" t="inlineStr"/>
    </row>
    <row r="363">
      <c r="A363" t="inlineStr">
        <is>
          <t>K0361</t>
        </is>
      </c>
      <c r="B363" t="inlineStr">
        <is>
          <t>open graph</t>
        </is>
      </c>
      <c r="C363" t="inlineStr">
        <is>
          <t>Morocco</t>
        </is>
      </c>
      <c r="D363" t="inlineStr">
        <is>
          <t>ma</t>
        </is>
      </c>
      <c r="E363" t="inlineStr">
        <is>
          <t>fr</t>
        </is>
      </c>
      <c r="F363" t="n">
        <v>20</v>
      </c>
      <c r="G363" t="inlineStr">
        <is>
          <t>NOT AVAILABLE</t>
        </is>
      </c>
      <c r="H363" t="n">
        <v>0</v>
      </c>
      <c r="I363" t="n">
        <v>0.33</v>
      </c>
      <c r="J363" t="inlineStr">
        <is>
          <t>NOT AVAILABLE</t>
        </is>
      </c>
      <c r="K363" t="inlineStr">
        <is>
          <t>NOT AVAILABLE (report not requested)</t>
        </is>
      </c>
      <c r="L363" t="inlineStr">
        <is>
          <t>rising (calc.)</t>
        </is>
      </c>
      <c r="M363" t="inlineStr">
        <is>
          <t>MEASURED</t>
        </is>
      </c>
      <c r="N363" s="5" t="inlineStr">
        <is>
          <t>Semrush phrase_these (live, this session)</t>
        </is>
      </c>
      <c r="O363" t="inlineStr">
        <is>
          <t>2026-10-30</t>
        </is>
      </c>
      <c r="P363">
        <f>IF(IF(J363="NOT AVAILABLE","",J363)="",12,IF(OR(ISNUMBER(SEARCH("Transactional",IF(J363="NOT AVAILABLE","",J363))),ISNUMBER(SEARCH("Commercial",IF(J363="NOT AVAILABLE","",J363)))),25,IF(ISNUMBER(SEARCH("Informational",IF(J363="NOT AVAILABLE","",J363))),10,IF(ISNUMBER(SEARCH("Navigational",IF(J363="NOT AVAILABLE","",J363))),0,12))))</f>
        <v/>
      </c>
      <c r="Q363">
        <f>IF(ISNUMBER(F363),MIN(30,ROUND(30*LOG10(F363+1)/4,1)),0)</f>
        <v/>
      </c>
      <c r="R363">
        <f>IF(ISNUMBER(G363),ROUND(25*(100-G363)/100,1),12.5)</f>
        <v/>
      </c>
      <c r="S363" t="n">
        <v>20</v>
      </c>
      <c r="T363">
        <f>ROUND(P363+Q363+R363+S363,0)</f>
        <v/>
      </c>
      <c r="U363" s="5" t="inlineStr"/>
      <c r="V363" s="5" t="inlineStr">
        <is>
          <t>SECONDARY /tools/og-preview-generator</t>
        </is>
      </c>
    </row>
    <row r="364">
      <c r="A364" t="inlineStr">
        <is>
          <t>K0362</t>
        </is>
      </c>
      <c r="B364" t="inlineStr">
        <is>
          <t>outil seo</t>
        </is>
      </c>
      <c r="C364" t="inlineStr">
        <is>
          <t>Morocco</t>
        </is>
      </c>
      <c r="D364" t="inlineStr">
        <is>
          <t>ma</t>
        </is>
      </c>
      <c r="E364" t="inlineStr">
        <is>
          <t>fr</t>
        </is>
      </c>
      <c r="F364" t="n">
        <v>20</v>
      </c>
      <c r="G364" t="inlineStr">
        <is>
          <t>NOT AVAILABLE</t>
        </is>
      </c>
      <c r="H364" t="n">
        <v>0.22</v>
      </c>
      <c r="I364" t="n">
        <v>0.18</v>
      </c>
      <c r="J364" t="inlineStr">
        <is>
          <t>NOT AVAILABLE</t>
        </is>
      </c>
      <c r="K364" t="inlineStr">
        <is>
          <t>NOT AVAILABLE (report not requested)</t>
        </is>
      </c>
      <c r="L364" t="inlineStr">
        <is>
          <t>declining (calc.)</t>
        </is>
      </c>
      <c r="M364" t="inlineStr">
        <is>
          <t>MEASURED</t>
        </is>
      </c>
      <c r="N364" s="5" t="inlineStr">
        <is>
          <t>Semrush phrase_these (live, this session)</t>
        </is>
      </c>
      <c r="O364" t="inlineStr">
        <is>
          <t>2026-10-30</t>
        </is>
      </c>
      <c r="P364">
        <f>IF(IF(J364="NOT AVAILABLE","",J364)="",12,IF(OR(ISNUMBER(SEARCH("Transactional",IF(J364="NOT AVAILABLE","",J364))),ISNUMBER(SEARCH("Commercial",IF(J364="NOT AVAILABLE","",J364)))),25,IF(ISNUMBER(SEARCH("Informational",IF(J364="NOT AVAILABLE","",J364))),10,IF(ISNUMBER(SEARCH("Navigational",IF(J364="NOT AVAILABLE","",J364))),0,12))))</f>
        <v/>
      </c>
      <c r="Q364">
        <f>IF(ISNUMBER(F364),MIN(30,ROUND(30*LOG10(F364+1)/4,1)),0)</f>
        <v/>
      </c>
      <c r="R364">
        <f>IF(ISNUMBER(G364),ROUND(25*(100-G364)/100,1),12.5)</f>
        <v/>
      </c>
      <c r="S364" t="n">
        <v>20</v>
      </c>
      <c r="T364">
        <f>ROUND(P364+Q364+R364+S364,0)</f>
        <v/>
      </c>
      <c r="U364" s="5" t="inlineStr"/>
      <c r="V364" s="5" t="inlineStr"/>
    </row>
    <row r="365">
      <c r="A365" t="inlineStr">
        <is>
          <t>K0363</t>
        </is>
      </c>
      <c r="B365" t="inlineStr">
        <is>
          <t>outil seo gratuit</t>
        </is>
      </c>
      <c r="C365" t="inlineStr">
        <is>
          <t>Morocco</t>
        </is>
      </c>
      <c r="D365" t="inlineStr">
        <is>
          <t>ma</t>
        </is>
      </c>
      <c r="E365" t="inlineStr">
        <is>
          <t>fr</t>
        </is>
      </c>
      <c r="F365" t="n">
        <v>20</v>
      </c>
      <c r="G365" t="inlineStr">
        <is>
          <t>NOT AVAILABLE</t>
        </is>
      </c>
      <c r="H365" t="n">
        <v>0</v>
      </c>
      <c r="I365" t="n">
        <v>0.36</v>
      </c>
      <c r="J365" t="inlineStr">
        <is>
          <t>NOT AVAILABLE</t>
        </is>
      </c>
      <c r="K365" t="inlineStr">
        <is>
          <t>NOT AVAILABLE (report not requested)</t>
        </is>
      </c>
      <c r="L365" t="inlineStr">
        <is>
          <t>declining (calc.)</t>
        </is>
      </c>
      <c r="M365" t="inlineStr">
        <is>
          <t>MEASURED</t>
        </is>
      </c>
      <c r="N365" s="5" t="inlineStr">
        <is>
          <t>Semrush phrase_these (live, this session)</t>
        </is>
      </c>
      <c r="O365" t="inlineStr">
        <is>
          <t>2026-10-30</t>
        </is>
      </c>
      <c r="P365">
        <f>IF(IF(J365="NOT AVAILABLE","",J365)="",12,IF(OR(ISNUMBER(SEARCH("Transactional",IF(J365="NOT AVAILABLE","",J365))),ISNUMBER(SEARCH("Commercial",IF(J365="NOT AVAILABLE","",J365)))),25,IF(ISNUMBER(SEARCH("Informational",IF(J365="NOT AVAILABLE","",J365))),10,IF(ISNUMBER(SEARCH("Navigational",IF(J365="NOT AVAILABLE","",J365))),0,12))))</f>
        <v/>
      </c>
      <c r="Q365">
        <f>IF(ISNUMBER(F365),MIN(30,ROUND(30*LOG10(F365+1)/4,1)),0)</f>
        <v/>
      </c>
      <c r="R365">
        <f>IF(ISNUMBER(G365),ROUND(25*(100-G365)/100,1),12.5)</f>
        <v/>
      </c>
      <c r="S365" t="n">
        <v>20</v>
      </c>
      <c r="T365">
        <f>ROUND(P365+Q365+R365+S365,0)</f>
        <v/>
      </c>
      <c r="U365" s="5" t="inlineStr"/>
      <c r="V365" s="5" t="inlineStr">
        <is>
          <t>SECONDARY /tools</t>
        </is>
      </c>
    </row>
    <row r="366">
      <c r="A366" t="inlineStr">
        <is>
          <t>K0364</t>
        </is>
      </c>
      <c r="B366" t="inlineStr">
        <is>
          <t>outils seo</t>
        </is>
      </c>
      <c r="C366" t="inlineStr">
        <is>
          <t>Morocco</t>
        </is>
      </c>
      <c r="D366" t="inlineStr">
        <is>
          <t>ma</t>
        </is>
      </c>
      <c r="E366" t="inlineStr">
        <is>
          <t>fr</t>
        </is>
      </c>
      <c r="F366" t="n">
        <v>20</v>
      </c>
      <c r="G366" t="inlineStr">
        <is>
          <t>NOT AVAILABLE</t>
        </is>
      </c>
      <c r="H366" t="n">
        <v>0.22</v>
      </c>
      <c r="I366" t="n">
        <v>0.18</v>
      </c>
      <c r="J366" t="inlineStr">
        <is>
          <t>NOT AVAILABLE</t>
        </is>
      </c>
      <c r="K366" t="inlineStr">
        <is>
          <t>NOT AVAILABLE (report not requested)</t>
        </is>
      </c>
      <c r="L366" t="inlineStr">
        <is>
          <t>declining (calc.)</t>
        </is>
      </c>
      <c r="M366" t="inlineStr">
        <is>
          <t>MEASURED</t>
        </is>
      </c>
      <c r="N366" s="5" t="inlineStr">
        <is>
          <t>Semrush phrase_these (live, this session)</t>
        </is>
      </c>
      <c r="O366" t="inlineStr">
        <is>
          <t>2026-10-30</t>
        </is>
      </c>
      <c r="P366">
        <f>IF(IF(J366="NOT AVAILABLE","",J366)="",12,IF(OR(ISNUMBER(SEARCH("Transactional",IF(J366="NOT AVAILABLE","",J366))),ISNUMBER(SEARCH("Commercial",IF(J366="NOT AVAILABLE","",J366)))),25,IF(ISNUMBER(SEARCH("Informational",IF(J366="NOT AVAILABLE","",J366))),10,IF(ISNUMBER(SEARCH("Navigational",IF(J366="NOT AVAILABLE","",J366))),0,12))))</f>
        <v/>
      </c>
      <c r="Q366">
        <f>IF(ISNUMBER(F366),MIN(30,ROUND(30*LOG10(F366+1)/4,1)),0)</f>
        <v/>
      </c>
      <c r="R366">
        <f>IF(ISNUMBER(G366),ROUND(25*(100-G366)/100,1),12.5)</f>
        <v/>
      </c>
      <c r="S366" t="n">
        <v>20</v>
      </c>
      <c r="T366">
        <f>ROUND(P366+Q366+R366+S366,0)</f>
        <v/>
      </c>
      <c r="U366" s="5" t="inlineStr"/>
      <c r="V366" s="5" t="inlineStr"/>
    </row>
    <row r="367">
      <c r="A367" t="inlineStr">
        <is>
          <t>K0365</t>
        </is>
      </c>
      <c r="B367" t="inlineStr">
        <is>
          <t>outils seo gratuits</t>
        </is>
      </c>
      <c r="C367" t="inlineStr">
        <is>
          <t>Morocco</t>
        </is>
      </c>
      <c r="D367" t="inlineStr">
        <is>
          <t>ma</t>
        </is>
      </c>
      <c r="E367" t="inlineStr">
        <is>
          <t>fr</t>
        </is>
      </c>
      <c r="F367" t="n">
        <v>20</v>
      </c>
      <c r="G367" t="inlineStr">
        <is>
          <t>NOT AVAILABLE</t>
        </is>
      </c>
      <c r="H367" t="n">
        <v>0</v>
      </c>
      <c r="I367" t="n">
        <v>0.36</v>
      </c>
      <c r="J367" t="inlineStr">
        <is>
          <t>NOT AVAILABLE</t>
        </is>
      </c>
      <c r="K367" t="inlineStr">
        <is>
          <t>NOT AVAILABLE (report not requested)</t>
        </is>
      </c>
      <c r="L367" t="inlineStr">
        <is>
          <t>declining (calc.)</t>
        </is>
      </c>
      <c r="M367" t="inlineStr">
        <is>
          <t>MEASURED</t>
        </is>
      </c>
      <c r="N367" s="5" t="inlineStr">
        <is>
          <t>Semrush phrase_these (live, this session)</t>
        </is>
      </c>
      <c r="O367" t="inlineStr">
        <is>
          <t>2026-10-30</t>
        </is>
      </c>
      <c r="P367">
        <f>IF(IF(J367="NOT AVAILABLE","",J367)="",12,IF(OR(ISNUMBER(SEARCH("Transactional",IF(J367="NOT AVAILABLE","",J367))),ISNUMBER(SEARCH("Commercial",IF(J367="NOT AVAILABLE","",J367)))),25,IF(ISNUMBER(SEARCH("Informational",IF(J367="NOT AVAILABLE","",J367))),10,IF(ISNUMBER(SEARCH("Navigational",IF(J367="NOT AVAILABLE","",J367))),0,12))))</f>
        <v/>
      </c>
      <c r="Q367">
        <f>IF(ISNUMBER(F367),MIN(30,ROUND(30*LOG10(F367+1)/4,1)),0)</f>
        <v/>
      </c>
      <c r="R367">
        <f>IF(ISNUMBER(G367),ROUND(25*(100-G367)/100,1),12.5)</f>
        <v/>
      </c>
      <c r="S367" t="n">
        <v>20</v>
      </c>
      <c r="T367">
        <f>ROUND(P367+Q367+R367+S367,0)</f>
        <v/>
      </c>
      <c r="U367" s="5" t="inlineStr"/>
      <c r="V367" s="5" t="inlineStr"/>
    </row>
    <row r="368">
      <c r="A368" t="inlineStr">
        <is>
          <t>K0366</t>
        </is>
      </c>
      <c r="B368" t="inlineStr">
        <is>
          <t>paiement en ligne maroc</t>
        </is>
      </c>
      <c r="C368" t="inlineStr">
        <is>
          <t>Morocco</t>
        </is>
      </c>
      <c r="D368" t="inlineStr">
        <is>
          <t>ma</t>
        </is>
      </c>
      <c r="E368" t="inlineStr">
        <is>
          <t>fr</t>
        </is>
      </c>
      <c r="F368" t="n">
        <v>20</v>
      </c>
      <c r="G368" t="inlineStr">
        <is>
          <t>NOT AVAILABLE</t>
        </is>
      </c>
      <c r="H368" t="n">
        <v>0.7</v>
      </c>
      <c r="I368" t="n">
        <v>0.33</v>
      </c>
      <c r="J368" t="inlineStr">
        <is>
          <t>NOT AVAILABLE</t>
        </is>
      </c>
      <c r="K368" t="inlineStr">
        <is>
          <t>NOT AVAILABLE (report not requested)</t>
        </is>
      </c>
      <c r="L368" t="inlineStr">
        <is>
          <t>declining (calc.)</t>
        </is>
      </c>
      <c r="M368" t="inlineStr">
        <is>
          <t>MEASURED</t>
        </is>
      </c>
      <c r="N368" s="5" t="inlineStr">
        <is>
          <t>Semrush phrase_these (live, this session)</t>
        </is>
      </c>
      <c r="O368" t="inlineStr">
        <is>
          <t>2026-10-30</t>
        </is>
      </c>
      <c r="P368">
        <f>IF(IF(J368="NOT AVAILABLE","",J368)="",12,IF(OR(ISNUMBER(SEARCH("Transactional",IF(J368="NOT AVAILABLE","",J368))),ISNUMBER(SEARCH("Commercial",IF(J368="NOT AVAILABLE","",J368)))),25,IF(ISNUMBER(SEARCH("Informational",IF(J368="NOT AVAILABLE","",J368))),10,IF(ISNUMBER(SEARCH("Navigational",IF(J368="NOT AVAILABLE","",J368))),0,12))))</f>
        <v/>
      </c>
      <c r="Q368">
        <f>IF(ISNUMBER(F368),MIN(30,ROUND(30*LOG10(F368+1)/4,1)),0)</f>
        <v/>
      </c>
      <c r="R368">
        <f>IF(ISNUMBER(G368),ROUND(25*(100-G368)/100,1),12.5)</f>
        <v/>
      </c>
      <c r="S368" t="n">
        <v>20</v>
      </c>
      <c r="T368">
        <f>ROUND(P368+Q368+R368+S368,0)</f>
        <v/>
      </c>
      <c r="U368" s="5" t="inlineStr"/>
      <c r="V368" s="5" t="inlineStr">
        <is>
          <t>FAQ /services/ecommerce-website-development</t>
        </is>
      </c>
    </row>
    <row r="369">
      <c r="A369" t="inlineStr">
        <is>
          <t>K0367</t>
        </is>
      </c>
      <c r="B369" t="inlineStr">
        <is>
          <t>palette couleur site web</t>
        </is>
      </c>
      <c r="C369" t="inlineStr">
        <is>
          <t>Morocco</t>
        </is>
      </c>
      <c r="D369" t="inlineStr">
        <is>
          <t>ma</t>
        </is>
      </c>
      <c r="E369" t="inlineStr">
        <is>
          <t>fr</t>
        </is>
      </c>
      <c r="F369" t="n">
        <v>20</v>
      </c>
      <c r="G369" t="inlineStr">
        <is>
          <t>NOT AVAILABLE</t>
        </is>
      </c>
      <c r="H369" t="n">
        <v>0</v>
      </c>
      <c r="I369" t="n">
        <v>0.03</v>
      </c>
      <c r="J369" t="inlineStr">
        <is>
          <t>NOT AVAILABLE</t>
        </is>
      </c>
      <c r="K369" t="inlineStr">
        <is>
          <t>NOT AVAILABLE (report not requested)</t>
        </is>
      </c>
      <c r="L369" t="inlineStr">
        <is>
          <t>stable (calc.)</t>
        </is>
      </c>
      <c r="M369" t="inlineStr">
        <is>
          <t>MEASURED</t>
        </is>
      </c>
      <c r="N369" s="5" t="inlineStr">
        <is>
          <t>Semrush phrase_these (live, this session)</t>
        </is>
      </c>
      <c r="O369" t="inlineStr">
        <is>
          <t>2026-10-30</t>
        </is>
      </c>
      <c r="P369">
        <f>IF(IF(J369="NOT AVAILABLE","",J369)="",12,IF(OR(ISNUMBER(SEARCH("Transactional",IF(J369="NOT AVAILABLE","",J369))),ISNUMBER(SEARCH("Commercial",IF(J369="NOT AVAILABLE","",J369)))),25,IF(ISNUMBER(SEARCH("Informational",IF(J369="NOT AVAILABLE","",J369))),10,IF(ISNUMBER(SEARCH("Navigational",IF(J369="NOT AVAILABLE","",J369))),0,12))))</f>
        <v/>
      </c>
      <c r="Q369">
        <f>IF(ISNUMBER(F369),MIN(30,ROUND(30*LOG10(F369+1)/4,1)),0)</f>
        <v/>
      </c>
      <c r="R369">
        <f>IF(ISNUMBER(G369),ROUND(25*(100-G369)/100,1),12.5)</f>
        <v/>
      </c>
      <c r="S369" t="n">
        <v>20</v>
      </c>
      <c r="T369">
        <f>ROUND(P369+Q369+R369+S369,0)</f>
        <v/>
      </c>
      <c r="U369" s="5" t="inlineStr"/>
      <c r="V369" s="5" t="inlineStr">
        <is>
          <t>SUPPORTING /tools/color-palette-generator</t>
        </is>
      </c>
    </row>
    <row r="370">
      <c r="A370" t="inlineStr">
        <is>
          <t>K0368</t>
        </is>
      </c>
      <c r="B370" t="inlineStr">
        <is>
          <t>plateforme b2b</t>
        </is>
      </c>
      <c r="C370" t="inlineStr">
        <is>
          <t>Morocco</t>
        </is>
      </c>
      <c r="D370" t="inlineStr">
        <is>
          <t>ma</t>
        </is>
      </c>
      <c r="E370" t="inlineStr">
        <is>
          <t>fr</t>
        </is>
      </c>
      <c r="F370" t="n">
        <v>20</v>
      </c>
      <c r="G370" t="inlineStr">
        <is>
          <t>NOT AVAILABLE</t>
        </is>
      </c>
      <c r="H370" t="n">
        <v>0.32</v>
      </c>
      <c r="I370" t="n">
        <v>0.63</v>
      </c>
      <c r="J370" t="inlineStr">
        <is>
          <t>NOT AVAILABLE</t>
        </is>
      </c>
      <c r="K370" t="inlineStr">
        <is>
          <t>NOT AVAILABLE (report not requested)</t>
        </is>
      </c>
      <c r="L370" t="inlineStr">
        <is>
          <t>declining (calc.)</t>
        </is>
      </c>
      <c r="M370" t="inlineStr">
        <is>
          <t>MEASURED</t>
        </is>
      </c>
      <c r="N370" s="5" t="inlineStr">
        <is>
          <t>Semrush phrase_these (live, this session)</t>
        </is>
      </c>
      <c r="O370" t="inlineStr">
        <is>
          <t>2026-10-30</t>
        </is>
      </c>
      <c r="P370">
        <f>IF(IF(J370="NOT AVAILABLE","",J370)="",12,IF(OR(ISNUMBER(SEARCH("Transactional",IF(J370="NOT AVAILABLE","",J370))),ISNUMBER(SEARCH("Commercial",IF(J370="NOT AVAILABLE","",J370)))),25,IF(ISNUMBER(SEARCH("Informational",IF(J370="NOT AVAILABLE","",J370))),10,IF(ISNUMBER(SEARCH("Navigational",IF(J370="NOT AVAILABLE","",J370))),0,12))))</f>
        <v/>
      </c>
      <c r="Q370">
        <f>IF(ISNUMBER(F370),MIN(30,ROUND(30*LOG10(F370+1)/4,1)),0)</f>
        <v/>
      </c>
      <c r="R370">
        <f>IF(ISNUMBER(G370),ROUND(25*(100-G370)/100,1),12.5)</f>
        <v/>
      </c>
      <c r="S370" t="n">
        <v>20</v>
      </c>
      <c r="T370">
        <f>ROUND(P370+Q370+R370+S370,0)</f>
        <v/>
      </c>
      <c r="U370" s="5" t="inlineStr"/>
      <c r="V370" s="5" t="inlineStr"/>
    </row>
    <row r="371">
      <c r="A371" t="inlineStr">
        <is>
          <t>K0369</t>
        </is>
      </c>
      <c r="B371" t="inlineStr">
        <is>
          <t>plateforme de réservation en ligne</t>
        </is>
      </c>
      <c r="C371" t="inlineStr">
        <is>
          <t>Morocco</t>
        </is>
      </c>
      <c r="D371" t="inlineStr">
        <is>
          <t>ma</t>
        </is>
      </c>
      <c r="E371" t="inlineStr">
        <is>
          <t>fr</t>
        </is>
      </c>
      <c r="F371" t="n">
        <v>20</v>
      </c>
      <c r="G371" t="inlineStr">
        <is>
          <t>NOT AVAILABLE</t>
        </is>
      </c>
      <c r="H371" t="n">
        <v>0.93</v>
      </c>
      <c r="I371" t="n">
        <v>0.49</v>
      </c>
      <c r="J371" t="inlineStr">
        <is>
          <t>NOT AVAILABLE</t>
        </is>
      </c>
      <c r="K371" t="inlineStr">
        <is>
          <t>NOT AVAILABLE (report not requested)</t>
        </is>
      </c>
      <c r="L371" t="inlineStr">
        <is>
          <t>stable (calc.)</t>
        </is>
      </c>
      <c r="M371" t="inlineStr">
        <is>
          <t>MEASURED</t>
        </is>
      </c>
      <c r="N371" s="5" t="inlineStr">
        <is>
          <t>Semrush phrase_these (historical w3-validate-D-software.csv)</t>
        </is>
      </c>
      <c r="O371" t="inlineStr">
        <is>
          <t>2026-10-27</t>
        </is>
      </c>
      <c r="P371">
        <f>IF(IF(J371="NOT AVAILABLE","",J371)="",12,IF(OR(ISNUMBER(SEARCH("Transactional",IF(J371="NOT AVAILABLE","",J371))),ISNUMBER(SEARCH("Commercial",IF(J371="NOT AVAILABLE","",J371)))),25,IF(ISNUMBER(SEARCH("Informational",IF(J371="NOT AVAILABLE","",J371))),10,IF(ISNUMBER(SEARCH("Navigational",IF(J371="NOT AVAILABLE","",J371))),0,12))))</f>
        <v/>
      </c>
      <c r="Q371">
        <f>IF(ISNUMBER(F371),MIN(30,ROUND(30*LOG10(F371+1)/4,1)),0)</f>
        <v/>
      </c>
      <c r="R371">
        <f>IF(ISNUMBER(G371),ROUND(25*(100-G371)/100,1),12.5)</f>
        <v/>
      </c>
      <c r="S371" t="n">
        <v>20</v>
      </c>
      <c r="T371">
        <f>ROUND(P371+Q371+R371+S371,0)</f>
        <v/>
      </c>
      <c r="U371" s="5" t="inlineStr"/>
      <c r="V371" s="5" t="inlineStr"/>
    </row>
    <row r="372">
      <c r="A372" t="inlineStr">
        <is>
          <t>K0370</t>
        </is>
      </c>
      <c r="B372" t="inlineStr">
        <is>
          <t>plateforme de télémédecine</t>
        </is>
      </c>
      <c r="C372" t="inlineStr">
        <is>
          <t>Morocco</t>
        </is>
      </c>
      <c r="D372" t="inlineStr">
        <is>
          <t>ma</t>
        </is>
      </c>
      <c r="E372" t="inlineStr">
        <is>
          <t>fr</t>
        </is>
      </c>
      <c r="F372" t="n">
        <v>20</v>
      </c>
      <c r="G372" t="inlineStr">
        <is>
          <t>NOT AVAILABLE</t>
        </is>
      </c>
      <c r="H372" t="n">
        <v>0</v>
      </c>
      <c r="I372" t="n">
        <v>0.29</v>
      </c>
      <c r="J372" t="inlineStr">
        <is>
          <t>NOT AVAILABLE</t>
        </is>
      </c>
      <c r="K372" t="inlineStr">
        <is>
          <t>NOT AVAILABLE (report not requested)</t>
        </is>
      </c>
      <c r="L372" t="inlineStr">
        <is>
          <t>stable (calc.)</t>
        </is>
      </c>
      <c r="M372" t="inlineStr">
        <is>
          <t>MEASURED</t>
        </is>
      </c>
      <c r="N372" s="5" t="inlineStr">
        <is>
          <t>Semrush phrase_these (live, this session)</t>
        </is>
      </c>
      <c r="O372" t="inlineStr">
        <is>
          <t>2026-10-30</t>
        </is>
      </c>
      <c r="P372">
        <f>IF(IF(J372="NOT AVAILABLE","",J372)="",12,IF(OR(ISNUMBER(SEARCH("Transactional",IF(J372="NOT AVAILABLE","",J372))),ISNUMBER(SEARCH("Commercial",IF(J372="NOT AVAILABLE","",J372)))),25,IF(ISNUMBER(SEARCH("Informational",IF(J372="NOT AVAILABLE","",J372))),10,IF(ISNUMBER(SEARCH("Navigational",IF(J372="NOT AVAILABLE","",J372))),0,12))))</f>
        <v/>
      </c>
      <c r="Q372">
        <f>IF(ISNUMBER(F372),MIN(30,ROUND(30*LOG10(F372+1)/4,1)),0)</f>
        <v/>
      </c>
      <c r="R372">
        <f>IF(ISNUMBER(G372),ROUND(25*(100-G372)/100,1),12.5)</f>
        <v/>
      </c>
      <c r="S372" t="n">
        <v>20</v>
      </c>
      <c r="T372">
        <f>ROUND(P372+Q372+R372+S372,0)</f>
        <v/>
      </c>
      <c r="U372" s="5" t="inlineStr"/>
      <c r="V372" s="5" t="inlineStr">
        <is>
          <t>SUPPORTING /services/telemedicine-platform-development</t>
        </is>
      </c>
    </row>
    <row r="373">
      <c r="A373" t="inlineStr">
        <is>
          <t>K0371</t>
        </is>
      </c>
      <c r="B373" t="inlineStr">
        <is>
          <t>plateforme e-learning</t>
        </is>
      </c>
      <c r="C373" t="inlineStr">
        <is>
          <t>Morocco</t>
        </is>
      </c>
      <c r="D373" t="inlineStr">
        <is>
          <t>ma</t>
        </is>
      </c>
      <c r="E373" t="inlineStr">
        <is>
          <t>fr</t>
        </is>
      </c>
      <c r="F373" t="n">
        <v>20</v>
      </c>
      <c r="G373" t="inlineStr">
        <is>
          <t>NOT AVAILABLE</t>
        </is>
      </c>
      <c r="H373" t="n">
        <v>0.25</v>
      </c>
      <c r="I373" t="n">
        <v>0.31</v>
      </c>
      <c r="J373" t="inlineStr">
        <is>
          <t>NOT AVAILABLE</t>
        </is>
      </c>
      <c r="K373" t="inlineStr">
        <is>
          <t>NOT AVAILABLE (report not requested)</t>
        </is>
      </c>
      <c r="L373" t="inlineStr">
        <is>
          <t>rising (calc.)</t>
        </is>
      </c>
      <c r="M373" t="inlineStr">
        <is>
          <t>MEASURED</t>
        </is>
      </c>
      <c r="N373" s="5" t="inlineStr">
        <is>
          <t>Semrush phrase_these (live, this session)</t>
        </is>
      </c>
      <c r="O373" t="inlineStr">
        <is>
          <t>2026-10-30</t>
        </is>
      </c>
      <c r="P373">
        <f>IF(IF(J373="NOT AVAILABLE","",J373)="",12,IF(OR(ISNUMBER(SEARCH("Transactional",IF(J373="NOT AVAILABLE","",J373))),ISNUMBER(SEARCH("Commercial",IF(J373="NOT AVAILABLE","",J373)))),25,IF(ISNUMBER(SEARCH("Informational",IF(J373="NOT AVAILABLE","",J373))),10,IF(ISNUMBER(SEARCH("Navigational",IF(J373="NOT AVAILABLE","",J373))),0,12))))</f>
        <v/>
      </c>
      <c r="Q373">
        <f>IF(ISNUMBER(F373),MIN(30,ROUND(30*LOG10(F373+1)/4,1)),0)</f>
        <v/>
      </c>
      <c r="R373">
        <f>IF(ISNUMBER(G373),ROUND(25*(100-G373)/100,1),12.5)</f>
        <v/>
      </c>
      <c r="S373" t="n">
        <v>20</v>
      </c>
      <c r="T373">
        <f>ROUND(P373+Q373+R373+S373,0)</f>
        <v/>
      </c>
      <c r="U373" s="5" t="inlineStr"/>
      <c r="V373" s="5" t="inlineStr">
        <is>
          <t>SUPPORTING /services/elearning-platform-development</t>
        </is>
      </c>
    </row>
    <row r="374">
      <c r="A374" t="inlineStr">
        <is>
          <t>K0372</t>
        </is>
      </c>
      <c r="B374" t="inlineStr">
        <is>
          <t>prix application mobile maroc</t>
        </is>
      </c>
      <c r="C374" t="inlineStr">
        <is>
          <t>Morocco</t>
        </is>
      </c>
      <c r="D374" t="inlineStr">
        <is>
          <t>ma</t>
        </is>
      </c>
      <c r="E374" t="inlineStr">
        <is>
          <t>fr</t>
        </is>
      </c>
      <c r="F374" t="n">
        <v>20</v>
      </c>
      <c r="G374" t="inlineStr">
        <is>
          <t>NOT AVAILABLE</t>
        </is>
      </c>
      <c r="H374" t="n">
        <v>0</v>
      </c>
      <c r="I374" t="n">
        <v>0</v>
      </c>
      <c r="J374" t="inlineStr">
        <is>
          <t>NOT AVAILABLE</t>
        </is>
      </c>
      <c r="K374" t="inlineStr">
        <is>
          <t>NOT AVAILABLE (report not requested)</t>
        </is>
      </c>
      <c r="L374" t="inlineStr">
        <is>
          <t>stable (calc.)</t>
        </is>
      </c>
      <c r="M374" t="inlineStr">
        <is>
          <t>MEASURED</t>
        </is>
      </c>
      <c r="N374" s="5" t="inlineStr">
        <is>
          <t>Semrush phrase_these (live, this session)</t>
        </is>
      </c>
      <c r="O374" t="inlineStr">
        <is>
          <t>2026-10-30</t>
        </is>
      </c>
      <c r="P374">
        <f>IF(IF(J374="NOT AVAILABLE","",J374)="",12,IF(OR(ISNUMBER(SEARCH("Transactional",IF(J374="NOT AVAILABLE","",J374))),ISNUMBER(SEARCH("Commercial",IF(J374="NOT AVAILABLE","",J374)))),25,IF(ISNUMBER(SEARCH("Informational",IF(J374="NOT AVAILABLE","",J374))),10,IF(ISNUMBER(SEARCH("Navigational",IF(J374="NOT AVAILABLE","",J374))),0,12))))</f>
        <v/>
      </c>
      <c r="Q374">
        <f>IF(ISNUMBER(F374),MIN(30,ROUND(30*LOG10(F374+1)/4,1)),0)</f>
        <v/>
      </c>
      <c r="R374">
        <f>IF(ISNUMBER(G374),ROUND(25*(100-G374)/100,1),12.5)</f>
        <v/>
      </c>
      <c r="S374" t="n">
        <v>20</v>
      </c>
      <c r="T374">
        <f>ROUND(P374+Q374+R374+S374,0)</f>
        <v/>
      </c>
      <c r="U374" s="5" t="inlineStr"/>
      <c r="V374" s="5" t="inlineStr"/>
    </row>
    <row r="375">
      <c r="A375" t="inlineStr">
        <is>
          <t>K0373</t>
        </is>
      </c>
      <c r="B375" t="inlineStr">
        <is>
          <t>prix creation site web maroc</t>
        </is>
      </c>
      <c r="C375" t="inlineStr">
        <is>
          <t>Morocco</t>
        </is>
      </c>
      <c r="D375" t="inlineStr">
        <is>
          <t>ma</t>
        </is>
      </c>
      <c r="E375" t="inlineStr">
        <is>
          <t>fr</t>
        </is>
      </c>
      <c r="F375" t="n">
        <v>20</v>
      </c>
      <c r="G375" t="inlineStr">
        <is>
          <t>NOT AVAILABLE</t>
        </is>
      </c>
      <c r="H375" t="n">
        <v>0.28</v>
      </c>
      <c r="I375" t="n">
        <v>0.76</v>
      </c>
      <c r="J375" t="inlineStr">
        <is>
          <t>NOT AVAILABLE</t>
        </is>
      </c>
      <c r="K375" t="inlineStr">
        <is>
          <t>NOT AVAILABLE (report not requested)</t>
        </is>
      </c>
      <c r="L375" t="inlineStr">
        <is>
          <t>declining (calc.)</t>
        </is>
      </c>
      <c r="M375" t="inlineStr">
        <is>
          <t>MEASURED</t>
        </is>
      </c>
      <c r="N375" s="5" t="inlineStr">
        <is>
          <t>Semrush phrase_these (live, this session)</t>
        </is>
      </c>
      <c r="O375" t="inlineStr">
        <is>
          <t>2026-10-30</t>
        </is>
      </c>
      <c r="P375">
        <f>IF(IF(J375="NOT AVAILABLE","",J375)="",12,IF(OR(ISNUMBER(SEARCH("Transactional",IF(J375="NOT AVAILABLE","",J375))),ISNUMBER(SEARCH("Commercial",IF(J375="NOT AVAILABLE","",J375)))),25,IF(ISNUMBER(SEARCH("Informational",IF(J375="NOT AVAILABLE","",J375))),10,IF(ISNUMBER(SEARCH("Navigational",IF(J375="NOT AVAILABLE","",J375))),0,12))))</f>
        <v/>
      </c>
      <c r="Q375">
        <f>IF(ISNUMBER(F375),MIN(30,ROUND(30*LOG10(F375+1)/4,1)),0)</f>
        <v/>
      </c>
      <c r="R375">
        <f>IF(ISNUMBER(G375),ROUND(25*(100-G375)/100,1),12.5)</f>
        <v/>
      </c>
      <c r="S375" t="n">
        <v>20</v>
      </c>
      <c r="T375">
        <f>ROUND(P375+Q375+R375+S375,0)</f>
        <v/>
      </c>
      <c r="U375" s="5" t="inlineStr"/>
      <c r="V375" s="5" t="inlineStr">
        <is>
          <t>SECONDARY /get-quote</t>
        </is>
      </c>
    </row>
    <row r="376">
      <c r="A376" t="inlineStr">
        <is>
          <t>K0374</t>
        </is>
      </c>
      <c r="B376" t="inlineStr">
        <is>
          <t>prix d'un site web</t>
        </is>
      </c>
      <c r="C376" t="inlineStr">
        <is>
          <t>Morocco</t>
        </is>
      </c>
      <c r="D376" t="inlineStr">
        <is>
          <t>ma</t>
        </is>
      </c>
      <c r="E376" t="inlineStr">
        <is>
          <t>fr</t>
        </is>
      </c>
      <c r="F376" t="n">
        <v>20</v>
      </c>
      <c r="G376" t="inlineStr">
        <is>
          <t>NOT AVAILABLE</t>
        </is>
      </c>
      <c r="H376" t="n">
        <v>0.28</v>
      </c>
      <c r="I376" t="n">
        <v>0.54</v>
      </c>
      <c r="J376" t="inlineStr">
        <is>
          <t>NOT AVAILABLE</t>
        </is>
      </c>
      <c r="K376" t="inlineStr">
        <is>
          <t>NOT AVAILABLE (report not requested)</t>
        </is>
      </c>
      <c r="L376" t="inlineStr">
        <is>
          <t>stable (calc.)</t>
        </is>
      </c>
      <c r="M376" t="inlineStr">
        <is>
          <t>MEASURED</t>
        </is>
      </c>
      <c r="N376" s="5" t="inlineStr">
        <is>
          <t>Semrush phrase_these (live, this session)</t>
        </is>
      </c>
      <c r="O376" t="inlineStr">
        <is>
          <t>2026-10-30</t>
        </is>
      </c>
      <c r="P376">
        <f>IF(IF(J376="NOT AVAILABLE","",J376)="",12,IF(OR(ISNUMBER(SEARCH("Transactional",IF(J376="NOT AVAILABLE","",J376))),ISNUMBER(SEARCH("Commercial",IF(J376="NOT AVAILABLE","",J376)))),25,IF(ISNUMBER(SEARCH("Informational",IF(J376="NOT AVAILABLE","",J376))),10,IF(ISNUMBER(SEARCH("Navigational",IF(J376="NOT AVAILABLE","",J376))),0,12))))</f>
        <v/>
      </c>
      <c r="Q376">
        <f>IF(ISNUMBER(F376),MIN(30,ROUND(30*LOG10(F376+1)/4,1)),0)</f>
        <v/>
      </c>
      <c r="R376">
        <f>IF(ISNUMBER(G376),ROUND(25*(100-G376)/100,1),12.5)</f>
        <v/>
      </c>
      <c r="S376" t="n">
        <v>20</v>
      </c>
      <c r="T376">
        <f>ROUND(P376+Q376+R376+S376,0)</f>
        <v/>
      </c>
      <c r="U376" s="5" t="inlineStr"/>
      <c r="V376" s="5" t="inlineStr"/>
    </row>
    <row r="377">
      <c r="A377" t="inlineStr">
        <is>
          <t>K0375</t>
        </is>
      </c>
      <c r="B377" t="inlineStr">
        <is>
          <t>prix site web maroc</t>
        </is>
      </c>
      <c r="C377" t="inlineStr">
        <is>
          <t>Morocco</t>
        </is>
      </c>
      <c r="D377" t="inlineStr">
        <is>
          <t>ma</t>
        </is>
      </c>
      <c r="E377" t="inlineStr">
        <is>
          <t>fr</t>
        </is>
      </c>
      <c r="F377" t="n">
        <v>20</v>
      </c>
      <c r="G377" t="inlineStr">
        <is>
          <t>NOT AVAILABLE</t>
        </is>
      </c>
      <c r="H377" t="n">
        <v>0.29</v>
      </c>
      <c r="I377" t="n">
        <v>0.54</v>
      </c>
      <c r="J377" t="inlineStr">
        <is>
          <t>NOT AVAILABLE</t>
        </is>
      </c>
      <c r="K377" t="inlineStr">
        <is>
          <t>NOT AVAILABLE (report not requested)</t>
        </is>
      </c>
      <c r="L377" t="inlineStr">
        <is>
          <t>stable (calc.)</t>
        </is>
      </c>
      <c r="M377" t="inlineStr">
        <is>
          <t>MEASURED</t>
        </is>
      </c>
      <c r="N377" s="5" t="inlineStr">
        <is>
          <t>Semrush phrase_these (live, this session)</t>
        </is>
      </c>
      <c r="O377" t="inlineStr">
        <is>
          <t>2026-10-30</t>
        </is>
      </c>
      <c r="P377">
        <f>IF(IF(J377="NOT AVAILABLE","",J377)="",12,IF(OR(ISNUMBER(SEARCH("Transactional",IF(J377="NOT AVAILABLE","",J377))),ISNUMBER(SEARCH("Commercial",IF(J377="NOT AVAILABLE","",J377)))),25,IF(ISNUMBER(SEARCH("Informational",IF(J377="NOT AVAILABLE","",J377))),10,IF(ISNUMBER(SEARCH("Navigational",IF(J377="NOT AVAILABLE","",J377))),0,12))))</f>
        <v/>
      </c>
      <c r="Q377">
        <f>IF(ISNUMBER(F377),MIN(30,ROUND(30*LOG10(F377+1)/4,1)),0)</f>
        <v/>
      </c>
      <c r="R377">
        <f>IF(ISNUMBER(G377),ROUND(25*(100-G377)/100,1),12.5)</f>
        <v/>
      </c>
      <c r="S377" t="n">
        <v>20</v>
      </c>
      <c r="T377">
        <f>ROUND(P377+Q377+R377+S377,0)</f>
        <v/>
      </c>
      <c r="U377" s="5" t="inlineStr"/>
      <c r="V377" s="5" t="inlineStr">
        <is>
          <t>SECONDARY /get-quote</t>
        </is>
      </c>
    </row>
    <row r="378">
      <c r="A378" t="inlineStr">
        <is>
          <t>K0376</t>
        </is>
      </c>
      <c r="B378" t="inlineStr">
        <is>
          <t>qu'est ce que le seo</t>
        </is>
      </c>
      <c r="C378" t="inlineStr">
        <is>
          <t>Morocco</t>
        </is>
      </c>
      <c r="D378" t="inlineStr">
        <is>
          <t>ma</t>
        </is>
      </c>
      <c r="E378" t="inlineStr">
        <is>
          <t>fr</t>
        </is>
      </c>
      <c r="F378" t="n">
        <v>20</v>
      </c>
      <c r="G378" t="inlineStr">
        <is>
          <t>NOT AVAILABLE</t>
        </is>
      </c>
      <c r="H378" t="n">
        <v>0</v>
      </c>
      <c r="I378" t="n">
        <v>0.03</v>
      </c>
      <c r="J378" t="inlineStr">
        <is>
          <t>NOT AVAILABLE</t>
        </is>
      </c>
      <c r="K378" t="inlineStr">
        <is>
          <t>NOT AVAILABLE (report not requested)</t>
        </is>
      </c>
      <c r="L378" t="inlineStr">
        <is>
          <t>declining (calc.)</t>
        </is>
      </c>
      <c r="M378" t="inlineStr">
        <is>
          <t>MEASURED</t>
        </is>
      </c>
      <c r="N378" s="5" t="inlineStr">
        <is>
          <t>Semrush phrase_these (live, this session)</t>
        </is>
      </c>
      <c r="O378" t="inlineStr">
        <is>
          <t>2026-10-30</t>
        </is>
      </c>
      <c r="P378">
        <f>IF(IF(J378="NOT AVAILABLE","",J378)="",12,IF(OR(ISNUMBER(SEARCH("Transactional",IF(J378="NOT AVAILABLE","",J378))),ISNUMBER(SEARCH("Commercial",IF(J378="NOT AVAILABLE","",J378)))),25,IF(ISNUMBER(SEARCH("Informational",IF(J378="NOT AVAILABLE","",J378))),10,IF(ISNUMBER(SEARCH("Navigational",IF(J378="NOT AVAILABLE","",J378))),0,12))))</f>
        <v/>
      </c>
      <c r="Q378">
        <f>IF(ISNUMBER(F378),MIN(30,ROUND(30*LOG10(F378+1)/4,1)),0)</f>
        <v/>
      </c>
      <c r="R378">
        <f>IF(ISNUMBER(G378),ROUND(25*(100-G378)/100,1),12.5)</f>
        <v/>
      </c>
      <c r="S378" t="n">
        <v>20</v>
      </c>
      <c r="T378">
        <f>ROUND(P378+Q378+R378+S378,0)</f>
        <v/>
      </c>
      <c r="U378" s="5" t="inlineStr"/>
      <c r="V378" s="5" t="inlineStr">
        <is>
          <t>FAQ /services/seo-maroc</t>
        </is>
      </c>
    </row>
    <row r="379">
      <c r="A379" t="inlineStr">
        <is>
          <t>K0377</t>
        </is>
      </c>
      <c r="B379" t="inlineStr">
        <is>
          <t>redirection 301</t>
        </is>
      </c>
      <c r="C379" t="inlineStr">
        <is>
          <t>Morocco</t>
        </is>
      </c>
      <c r="D379" t="inlineStr">
        <is>
          <t>ma</t>
        </is>
      </c>
      <c r="E379" t="inlineStr">
        <is>
          <t>fr</t>
        </is>
      </c>
      <c r="F379" t="n">
        <v>20</v>
      </c>
      <c r="G379" t="inlineStr">
        <is>
          <t>NOT AVAILABLE</t>
        </is>
      </c>
      <c r="H379" t="n">
        <v>0</v>
      </c>
      <c r="I379" t="n">
        <v>0.33</v>
      </c>
      <c r="J379" t="inlineStr">
        <is>
          <t>NOT AVAILABLE</t>
        </is>
      </c>
      <c r="K379" t="inlineStr">
        <is>
          <t>NOT AVAILABLE (report not requested)</t>
        </is>
      </c>
      <c r="L379" t="inlineStr">
        <is>
          <t>declining (calc.)</t>
        </is>
      </c>
      <c r="M379" t="inlineStr">
        <is>
          <t>MEASURED</t>
        </is>
      </c>
      <c r="N379" s="5" t="inlineStr">
        <is>
          <t>Semrush phrase_these (live, this session)</t>
        </is>
      </c>
      <c r="O379" t="inlineStr">
        <is>
          <t>2026-10-30</t>
        </is>
      </c>
      <c r="P379">
        <f>IF(IF(J379="NOT AVAILABLE","",J379)="",12,IF(OR(ISNUMBER(SEARCH("Transactional",IF(J379="NOT AVAILABLE","",J379))),ISNUMBER(SEARCH("Commercial",IF(J379="NOT AVAILABLE","",J379)))),25,IF(ISNUMBER(SEARCH("Informational",IF(J379="NOT AVAILABLE","",J379))),10,IF(ISNUMBER(SEARCH("Navigational",IF(J379="NOT AVAILABLE","",J379))),0,12))))</f>
        <v/>
      </c>
      <c r="Q379">
        <f>IF(ISNUMBER(F379),MIN(30,ROUND(30*LOG10(F379+1)/4,1)),0)</f>
        <v/>
      </c>
      <c r="R379">
        <f>IF(ISNUMBER(G379),ROUND(25*(100-G379)/100,1),12.5)</f>
        <v/>
      </c>
      <c r="S379" t="n">
        <v>20</v>
      </c>
      <c r="T379">
        <f>ROUND(P379+Q379+R379+S379,0)</f>
        <v/>
      </c>
      <c r="U379" s="5" t="inlineStr"/>
      <c r="V379" s="5" t="inlineStr">
        <is>
          <t>SUPPORTING /tools/redirect-checker</t>
        </is>
      </c>
    </row>
    <row r="380">
      <c r="A380" t="inlineStr">
        <is>
          <t>K0378</t>
        </is>
      </c>
      <c r="B380" t="inlineStr">
        <is>
          <t>refonte site web</t>
        </is>
      </c>
      <c r="C380" t="inlineStr">
        <is>
          <t>Morocco</t>
        </is>
      </c>
      <c r="D380" t="inlineStr">
        <is>
          <t>ma</t>
        </is>
      </c>
      <c r="E380" t="inlineStr">
        <is>
          <t>fr</t>
        </is>
      </c>
      <c r="F380" t="n">
        <v>20</v>
      </c>
      <c r="G380" t="inlineStr">
        <is>
          <t>NOT AVAILABLE</t>
        </is>
      </c>
      <c r="H380" t="n">
        <v>0</v>
      </c>
      <c r="I380" t="n">
        <v>0.11</v>
      </c>
      <c r="J380" t="inlineStr">
        <is>
          <t>NOT AVAILABLE</t>
        </is>
      </c>
      <c r="K380" t="inlineStr">
        <is>
          <t>NOT AVAILABLE (report not requested)</t>
        </is>
      </c>
      <c r="L380" t="inlineStr">
        <is>
          <t>declining (calc.)</t>
        </is>
      </c>
      <c r="M380" t="inlineStr">
        <is>
          <t>MEASURED</t>
        </is>
      </c>
      <c r="N380" s="5" t="inlineStr">
        <is>
          <t>Semrush phrase_these (live, this session)</t>
        </is>
      </c>
      <c r="O380" t="inlineStr">
        <is>
          <t>2026-10-30</t>
        </is>
      </c>
      <c r="P380">
        <f>IF(IF(J380="NOT AVAILABLE","",J380)="",12,IF(OR(ISNUMBER(SEARCH("Transactional",IF(J380="NOT AVAILABLE","",J380))),ISNUMBER(SEARCH("Commercial",IF(J380="NOT AVAILABLE","",J380)))),25,IF(ISNUMBER(SEARCH("Informational",IF(J380="NOT AVAILABLE","",J380))),10,IF(ISNUMBER(SEARCH("Navigational",IF(J380="NOT AVAILABLE","",J380))),0,12))))</f>
        <v/>
      </c>
      <c r="Q380">
        <f>IF(ISNUMBER(F380),MIN(30,ROUND(30*LOG10(F380+1)/4,1)),0)</f>
        <v/>
      </c>
      <c r="R380">
        <f>IF(ISNUMBER(G380),ROUND(25*(100-G380)/100,1),12.5)</f>
        <v/>
      </c>
      <c r="S380" t="n">
        <v>20</v>
      </c>
      <c r="T380">
        <f>ROUND(P380+Q380+R380+S380,0)</f>
        <v/>
      </c>
      <c r="U380" s="5" t="inlineStr"/>
      <c r="V380" s="5" t="inlineStr"/>
    </row>
    <row r="381">
      <c r="A381" t="inlineStr">
        <is>
          <t>K0379</t>
        </is>
      </c>
      <c r="B381" t="inlineStr">
        <is>
          <t>robots ia</t>
        </is>
      </c>
      <c r="C381" t="inlineStr">
        <is>
          <t>Morocco</t>
        </is>
      </c>
      <c r="D381" t="inlineStr">
        <is>
          <t>ma</t>
        </is>
      </c>
      <c r="E381" t="inlineStr">
        <is>
          <t>fr</t>
        </is>
      </c>
      <c r="F381" t="n">
        <v>20</v>
      </c>
      <c r="G381" t="inlineStr">
        <is>
          <t>NOT AVAILABLE</t>
        </is>
      </c>
      <c r="H381" t="n">
        <v>0</v>
      </c>
      <c r="I381" t="n">
        <v>0.07000000000000001</v>
      </c>
      <c r="J381" t="inlineStr">
        <is>
          <t>NOT AVAILABLE</t>
        </is>
      </c>
      <c r="K381" t="inlineStr">
        <is>
          <t>NOT AVAILABLE (report not requested)</t>
        </is>
      </c>
      <c r="L381" t="inlineStr">
        <is>
          <t>declining (calc.)</t>
        </is>
      </c>
      <c r="M381" t="inlineStr">
        <is>
          <t>MEASURED</t>
        </is>
      </c>
      <c r="N381" s="5" t="inlineStr">
        <is>
          <t>Semrush phrase_these (live, this session)</t>
        </is>
      </c>
      <c r="O381" t="inlineStr">
        <is>
          <t>2026-10-30</t>
        </is>
      </c>
      <c r="P381">
        <f>IF(IF(J381="NOT AVAILABLE","",J381)="",12,IF(OR(ISNUMBER(SEARCH("Transactional",IF(J381="NOT AVAILABLE","",J381))),ISNUMBER(SEARCH("Commercial",IF(J381="NOT AVAILABLE","",J381)))),25,IF(ISNUMBER(SEARCH("Informational",IF(J381="NOT AVAILABLE","",J381))),10,IF(ISNUMBER(SEARCH("Navigational",IF(J381="NOT AVAILABLE","",J381))),0,12))))</f>
        <v/>
      </c>
      <c r="Q381">
        <f>IF(ISNUMBER(F381),MIN(30,ROUND(30*LOG10(F381+1)/4,1)),0)</f>
        <v/>
      </c>
      <c r="R381">
        <f>IF(ISNUMBER(G381),ROUND(25*(100-G381)/100,1),12.5)</f>
        <v/>
      </c>
      <c r="S381" t="n">
        <v>20</v>
      </c>
      <c r="T381">
        <f>ROUND(P381+Q381+R381+S381,0)</f>
        <v/>
      </c>
      <c r="U381" s="5" t="inlineStr"/>
      <c r="V381" s="5" t="inlineStr">
        <is>
          <t>SECONDARY /tools/ai-crawler-access-checker</t>
        </is>
      </c>
    </row>
    <row r="382">
      <c r="A382" t="inlineStr">
        <is>
          <t>K0380</t>
        </is>
      </c>
      <c r="B382" t="inlineStr">
        <is>
          <t>robots.txt tester</t>
        </is>
      </c>
      <c r="C382" t="inlineStr">
        <is>
          <t>Morocco</t>
        </is>
      </c>
      <c r="D382" t="inlineStr">
        <is>
          <t>ma</t>
        </is>
      </c>
      <c r="E382" t="inlineStr">
        <is>
          <t>fr</t>
        </is>
      </c>
      <c r="F382" t="n">
        <v>20</v>
      </c>
      <c r="G382" t="inlineStr">
        <is>
          <t>NOT AVAILABLE</t>
        </is>
      </c>
      <c r="H382" t="n">
        <v>0</v>
      </c>
      <c r="I382" t="n">
        <v>0.04</v>
      </c>
      <c r="J382" t="inlineStr">
        <is>
          <t>NOT AVAILABLE</t>
        </is>
      </c>
      <c r="K382" t="inlineStr">
        <is>
          <t>NOT AVAILABLE (report not requested)</t>
        </is>
      </c>
      <c r="L382" t="inlineStr">
        <is>
          <t>rising (calc.)</t>
        </is>
      </c>
      <c r="M382" t="inlineStr">
        <is>
          <t>MEASURED</t>
        </is>
      </c>
      <c r="N382" s="5" t="inlineStr">
        <is>
          <t>Semrush phrase_these (live, this session)</t>
        </is>
      </c>
      <c r="O382" t="inlineStr">
        <is>
          <t>2026-10-30</t>
        </is>
      </c>
      <c r="P382">
        <f>IF(IF(J382="NOT AVAILABLE","",J382)="",12,IF(OR(ISNUMBER(SEARCH("Transactional",IF(J382="NOT AVAILABLE","",J382))),ISNUMBER(SEARCH("Commercial",IF(J382="NOT AVAILABLE","",J382)))),25,IF(ISNUMBER(SEARCH("Informational",IF(J382="NOT AVAILABLE","",J382))),10,IF(ISNUMBER(SEARCH("Navigational",IF(J382="NOT AVAILABLE","",J382))),0,12))))</f>
        <v/>
      </c>
      <c r="Q382">
        <f>IF(ISNUMBER(F382),MIN(30,ROUND(30*LOG10(F382+1)/4,1)),0)</f>
        <v/>
      </c>
      <c r="R382">
        <f>IF(ISNUMBER(G382),ROUND(25*(100-G382)/100,1),12.5)</f>
        <v/>
      </c>
      <c r="S382" t="n">
        <v>20</v>
      </c>
      <c r="T382">
        <f>ROUND(P382+Q382+R382+S382,0)</f>
        <v/>
      </c>
      <c r="U382" s="5" t="inlineStr"/>
      <c r="V382" s="5" t="inlineStr">
        <is>
          <t>SUPPORTING /tools/robots-txt-tester</t>
        </is>
      </c>
    </row>
    <row r="383">
      <c r="A383" t="inlineStr">
        <is>
          <t>K0381</t>
        </is>
      </c>
      <c r="B383" t="inlineStr">
        <is>
          <t>référencement maroc</t>
        </is>
      </c>
      <c r="C383" t="inlineStr">
        <is>
          <t>Morocco</t>
        </is>
      </c>
      <c r="D383" t="inlineStr">
        <is>
          <t>ma</t>
        </is>
      </c>
      <c r="E383" t="inlineStr">
        <is>
          <t>fr</t>
        </is>
      </c>
      <c r="F383" t="n">
        <v>20</v>
      </c>
      <c r="G383" t="inlineStr">
        <is>
          <t>NOT AVAILABLE</t>
        </is>
      </c>
      <c r="H383" t="n">
        <v>0.64</v>
      </c>
      <c r="I383" t="n">
        <v>0.34</v>
      </c>
      <c r="J383" t="inlineStr">
        <is>
          <t>NOT AVAILABLE</t>
        </is>
      </c>
      <c r="K383" t="inlineStr">
        <is>
          <t>NOT AVAILABLE (report not requested)</t>
        </is>
      </c>
      <c r="L383" t="inlineStr">
        <is>
          <t>rising (calc.)</t>
        </is>
      </c>
      <c r="M383" t="inlineStr">
        <is>
          <t>MEASURED</t>
        </is>
      </c>
      <c r="N383" s="5" t="inlineStr">
        <is>
          <t>Semrush phrase_these (live, this session)</t>
        </is>
      </c>
      <c r="O383" t="inlineStr">
        <is>
          <t>2026-10-30</t>
        </is>
      </c>
      <c r="P383">
        <f>IF(IF(J383="NOT AVAILABLE","",J383)="",12,IF(OR(ISNUMBER(SEARCH("Transactional",IF(J383="NOT AVAILABLE","",J383))),ISNUMBER(SEARCH("Commercial",IF(J383="NOT AVAILABLE","",J383)))),25,IF(ISNUMBER(SEARCH("Informational",IF(J383="NOT AVAILABLE","",J383))),10,IF(ISNUMBER(SEARCH("Navigational",IF(J383="NOT AVAILABLE","",J383))),0,12))))</f>
        <v/>
      </c>
      <c r="Q383">
        <f>IF(ISNUMBER(F383),MIN(30,ROUND(30*LOG10(F383+1)/4,1)),0)</f>
        <v/>
      </c>
      <c r="R383">
        <f>IF(ISNUMBER(G383),ROUND(25*(100-G383)/100,1),12.5)</f>
        <v/>
      </c>
      <c r="S383" t="n">
        <v>20</v>
      </c>
      <c r="T383">
        <f>ROUND(P383+Q383+R383+S383,0)</f>
        <v/>
      </c>
      <c r="U383" s="5" t="inlineStr"/>
      <c r="V383" s="5" t="inlineStr">
        <is>
          <t>SUPPORTING /services/seo-maroc</t>
        </is>
      </c>
    </row>
    <row r="384">
      <c r="A384" t="inlineStr">
        <is>
          <t>K0382</t>
        </is>
      </c>
      <c r="B384" t="inlineStr">
        <is>
          <t>référencement naturel casablanca</t>
        </is>
      </c>
      <c r="C384" t="inlineStr">
        <is>
          <t>Morocco</t>
        </is>
      </c>
      <c r="D384" t="inlineStr">
        <is>
          <t>ma</t>
        </is>
      </c>
      <c r="E384" t="inlineStr">
        <is>
          <t>fr</t>
        </is>
      </c>
      <c r="F384" t="n">
        <v>20</v>
      </c>
      <c r="G384" t="inlineStr">
        <is>
          <t>NOT AVAILABLE</t>
        </is>
      </c>
      <c r="H384" t="n">
        <v>0</v>
      </c>
      <c r="I384" t="n">
        <v>0.04</v>
      </c>
      <c r="J384" t="inlineStr">
        <is>
          <t>NOT AVAILABLE</t>
        </is>
      </c>
      <c r="K384" t="inlineStr">
        <is>
          <t>NOT AVAILABLE (report not requested)</t>
        </is>
      </c>
      <c r="L384" t="inlineStr">
        <is>
          <t>declining (calc.)</t>
        </is>
      </c>
      <c r="M384" t="inlineStr">
        <is>
          <t>MEASURED</t>
        </is>
      </c>
      <c r="N384" s="5" t="inlineStr">
        <is>
          <t>Semrush phrase_these (historical w3-validate-C-seo.csv)</t>
        </is>
      </c>
      <c r="O384" t="inlineStr">
        <is>
          <t>2026-10-27</t>
        </is>
      </c>
      <c r="P384">
        <f>IF(IF(J384="NOT AVAILABLE","",J384)="",12,IF(OR(ISNUMBER(SEARCH("Transactional",IF(J384="NOT AVAILABLE","",J384))),ISNUMBER(SEARCH("Commercial",IF(J384="NOT AVAILABLE","",J384)))),25,IF(ISNUMBER(SEARCH("Informational",IF(J384="NOT AVAILABLE","",J384))),10,IF(ISNUMBER(SEARCH("Navigational",IF(J384="NOT AVAILABLE","",J384))),0,12))))</f>
        <v/>
      </c>
      <c r="Q384">
        <f>IF(ISNUMBER(F384),MIN(30,ROUND(30*LOG10(F384+1)/4,1)),0)</f>
        <v/>
      </c>
      <c r="R384">
        <f>IF(ISNUMBER(G384),ROUND(25*(100-G384)/100,1),12.5)</f>
        <v/>
      </c>
      <c r="S384" t="n">
        <v>20</v>
      </c>
      <c r="T384">
        <f>ROUND(P384+Q384+R384+S384,0)</f>
        <v/>
      </c>
      <c r="U384" s="5" t="inlineStr"/>
      <c r="V384" s="5" t="inlineStr"/>
    </row>
    <row r="385">
      <c r="A385" t="inlineStr">
        <is>
          <t>K0383</t>
        </is>
      </c>
      <c r="B385" t="inlineStr">
        <is>
          <t>référencement seo maroc</t>
        </is>
      </c>
      <c r="C385" t="inlineStr">
        <is>
          <t>Morocco</t>
        </is>
      </c>
      <c r="D385" t="inlineStr">
        <is>
          <t>ma</t>
        </is>
      </c>
      <c r="E385" t="inlineStr">
        <is>
          <t>fr</t>
        </is>
      </c>
      <c r="F385" t="n">
        <v>20</v>
      </c>
      <c r="G385" t="inlineStr">
        <is>
          <t>NOT AVAILABLE</t>
        </is>
      </c>
      <c r="H385" t="n">
        <v>0</v>
      </c>
      <c r="I385" t="n">
        <v>0.31</v>
      </c>
      <c r="J385" t="inlineStr">
        <is>
          <t>NOT AVAILABLE</t>
        </is>
      </c>
      <c r="K385" t="inlineStr">
        <is>
          <t>NOT AVAILABLE (report not requested)</t>
        </is>
      </c>
      <c r="L385" t="inlineStr">
        <is>
          <t>rising (calc.)</t>
        </is>
      </c>
      <c r="M385" t="inlineStr">
        <is>
          <t>MEASURED</t>
        </is>
      </c>
      <c r="N385" s="5" t="inlineStr">
        <is>
          <t>Semrush phrase_these (historical validate-ma-wave2.csv)</t>
        </is>
      </c>
      <c r="O385" t="inlineStr">
        <is>
          <t>2026-10-26</t>
        </is>
      </c>
      <c r="P385">
        <f>IF(IF(J385="NOT AVAILABLE","",J385)="",12,IF(OR(ISNUMBER(SEARCH("Transactional",IF(J385="NOT AVAILABLE","",J385))),ISNUMBER(SEARCH("Commercial",IF(J385="NOT AVAILABLE","",J385)))),25,IF(ISNUMBER(SEARCH("Informational",IF(J385="NOT AVAILABLE","",J385))),10,IF(ISNUMBER(SEARCH("Navigational",IF(J385="NOT AVAILABLE","",J385))),0,12))))</f>
        <v/>
      </c>
      <c r="Q385">
        <f>IF(ISNUMBER(F385),MIN(30,ROUND(30*LOG10(F385+1)/4,1)),0)</f>
        <v/>
      </c>
      <c r="R385">
        <f>IF(ISNUMBER(G385),ROUND(25*(100-G385)/100,1),12.5)</f>
        <v/>
      </c>
      <c r="S385" t="n">
        <v>20</v>
      </c>
      <c r="T385">
        <f>ROUND(P385+Q385+R385+S385,0)</f>
        <v/>
      </c>
      <c r="U385" s="5" t="inlineStr"/>
      <c r="V385" s="5" t="inlineStr"/>
    </row>
    <row r="386">
      <c r="A386" t="inlineStr">
        <is>
          <t>K0384</t>
        </is>
      </c>
      <c r="B386" t="inlineStr">
        <is>
          <t>référencement site web maroc</t>
        </is>
      </c>
      <c r="C386" t="inlineStr">
        <is>
          <t>Morocco</t>
        </is>
      </c>
      <c r="D386" t="inlineStr">
        <is>
          <t>ma</t>
        </is>
      </c>
      <c r="E386" t="inlineStr">
        <is>
          <t>fr</t>
        </is>
      </c>
      <c r="F386" t="n">
        <v>20</v>
      </c>
      <c r="G386" t="inlineStr">
        <is>
          <t>NOT AVAILABLE</t>
        </is>
      </c>
      <c r="H386" t="n">
        <v>0</v>
      </c>
      <c r="I386" t="n">
        <v>0.27</v>
      </c>
      <c r="J386" t="inlineStr">
        <is>
          <t>NOT AVAILABLE</t>
        </is>
      </c>
      <c r="K386" t="inlineStr">
        <is>
          <t>NOT AVAILABLE (report not requested)</t>
        </is>
      </c>
      <c r="L386" t="inlineStr">
        <is>
          <t>stable (calc.)</t>
        </is>
      </c>
      <c r="M386" t="inlineStr">
        <is>
          <t>MEASURED</t>
        </is>
      </c>
      <c r="N386" s="5" t="inlineStr">
        <is>
          <t>Semrush phrase_these (live, this session)</t>
        </is>
      </c>
      <c r="O386" t="inlineStr">
        <is>
          <t>2026-10-30</t>
        </is>
      </c>
      <c r="P386">
        <f>IF(IF(J386="NOT AVAILABLE","",J386)="",12,IF(OR(ISNUMBER(SEARCH("Transactional",IF(J386="NOT AVAILABLE","",J386))),ISNUMBER(SEARCH("Commercial",IF(J386="NOT AVAILABLE","",J386)))),25,IF(ISNUMBER(SEARCH("Informational",IF(J386="NOT AVAILABLE","",J386))),10,IF(ISNUMBER(SEARCH("Navigational",IF(J386="NOT AVAILABLE","",J386))),0,12))))</f>
        <v/>
      </c>
      <c r="Q386">
        <f>IF(ISNUMBER(F386),MIN(30,ROUND(30*LOG10(F386+1)/4,1)),0)</f>
        <v/>
      </c>
      <c r="R386">
        <f>IF(ISNUMBER(G386),ROUND(25*(100-G386)/100,1),12.5)</f>
        <v/>
      </c>
      <c r="S386" t="n">
        <v>20</v>
      </c>
      <c r="T386">
        <f>ROUND(P386+Q386+R386+S386,0)</f>
        <v/>
      </c>
      <c r="U386" s="5" t="inlineStr"/>
      <c r="V386" s="5" t="inlineStr">
        <is>
          <t>SUPPORTING /services/seo-maroc</t>
        </is>
      </c>
    </row>
    <row r="387">
      <c r="A387" t="inlineStr">
        <is>
          <t>K0385</t>
        </is>
      </c>
      <c r="B387" t="inlineStr">
        <is>
          <t>schema faq</t>
        </is>
      </c>
      <c r="C387" t="inlineStr">
        <is>
          <t>Morocco</t>
        </is>
      </c>
      <c r="D387" t="inlineStr">
        <is>
          <t>ma</t>
        </is>
      </c>
      <c r="E387" t="inlineStr">
        <is>
          <t>fr</t>
        </is>
      </c>
      <c r="F387" t="n">
        <v>20</v>
      </c>
      <c r="G387" t="inlineStr">
        <is>
          <t>NOT AVAILABLE</t>
        </is>
      </c>
      <c r="H387" t="n">
        <v>0</v>
      </c>
      <c r="I387" t="n">
        <v>0.33</v>
      </c>
      <c r="J387" t="inlineStr">
        <is>
          <t>NOT AVAILABLE</t>
        </is>
      </c>
      <c r="K387" t="inlineStr">
        <is>
          <t>NOT AVAILABLE (report not requested)</t>
        </is>
      </c>
      <c r="L387" t="inlineStr">
        <is>
          <t>rising (calc.)</t>
        </is>
      </c>
      <c r="M387" t="inlineStr">
        <is>
          <t>MEASURED</t>
        </is>
      </c>
      <c r="N387" s="5" t="inlineStr">
        <is>
          <t>Semrush phrase_these (live, this session)</t>
        </is>
      </c>
      <c r="O387" t="inlineStr">
        <is>
          <t>2026-10-30</t>
        </is>
      </c>
      <c r="P387">
        <f>IF(IF(J387="NOT AVAILABLE","",J387)="",12,IF(OR(ISNUMBER(SEARCH("Transactional",IF(J387="NOT AVAILABLE","",J387))),ISNUMBER(SEARCH("Commercial",IF(J387="NOT AVAILABLE","",J387)))),25,IF(ISNUMBER(SEARCH("Informational",IF(J387="NOT AVAILABLE","",J387))),10,IF(ISNUMBER(SEARCH("Navigational",IF(J387="NOT AVAILABLE","",J387))),0,12))))</f>
        <v/>
      </c>
      <c r="Q387">
        <f>IF(ISNUMBER(F387),MIN(30,ROUND(30*LOG10(F387+1)/4,1)),0)</f>
        <v/>
      </c>
      <c r="R387">
        <f>IF(ISNUMBER(G387),ROUND(25*(100-G387)/100,1),12.5)</f>
        <v/>
      </c>
      <c r="S387" t="n">
        <v>20</v>
      </c>
      <c r="T387">
        <f>ROUND(P387+Q387+R387+S387,0)</f>
        <v/>
      </c>
      <c r="U387" s="5" t="inlineStr"/>
      <c r="V387" s="5" t="inlineStr">
        <is>
          <t>SUPPORTING /tools/faq-schema-generator</t>
        </is>
      </c>
    </row>
    <row r="388">
      <c r="A388" t="inlineStr">
        <is>
          <t>K0386</t>
        </is>
      </c>
      <c r="B388" t="inlineStr">
        <is>
          <t>seo casablanca</t>
        </is>
      </c>
      <c r="C388" t="inlineStr">
        <is>
          <t>Morocco</t>
        </is>
      </c>
      <c r="D388" t="inlineStr">
        <is>
          <t>ma</t>
        </is>
      </c>
      <c r="E388" t="inlineStr">
        <is>
          <t>fr</t>
        </is>
      </c>
      <c r="F388" t="n">
        <v>20</v>
      </c>
      <c r="G388" t="inlineStr">
        <is>
          <t>NOT AVAILABLE</t>
        </is>
      </c>
      <c r="H388" t="n">
        <v>0.63</v>
      </c>
      <c r="I388" t="n">
        <v>0.24</v>
      </c>
      <c r="J388" t="inlineStr">
        <is>
          <t>NOT AVAILABLE</t>
        </is>
      </c>
      <c r="K388" t="inlineStr">
        <is>
          <t>NOT AVAILABLE (report not requested)</t>
        </is>
      </c>
      <c r="L388" t="inlineStr">
        <is>
          <t>declining (calc.)</t>
        </is>
      </c>
      <c r="M388" t="inlineStr">
        <is>
          <t>MEASURED</t>
        </is>
      </c>
      <c r="N388" s="5" t="inlineStr">
        <is>
          <t>Semrush phrase_these (live, this session)</t>
        </is>
      </c>
      <c r="O388" t="inlineStr">
        <is>
          <t>2026-10-30</t>
        </is>
      </c>
      <c r="P388">
        <f>IF(IF(J388="NOT AVAILABLE","",J388)="",12,IF(OR(ISNUMBER(SEARCH("Transactional",IF(J388="NOT AVAILABLE","",J388))),ISNUMBER(SEARCH("Commercial",IF(J388="NOT AVAILABLE","",J388)))),25,IF(ISNUMBER(SEARCH("Informational",IF(J388="NOT AVAILABLE","",J388))),10,IF(ISNUMBER(SEARCH("Navigational",IF(J388="NOT AVAILABLE","",J388))),0,12))))</f>
        <v/>
      </c>
      <c r="Q388">
        <f>IF(ISNUMBER(F388),MIN(30,ROUND(30*LOG10(F388+1)/4,1)),0)</f>
        <v/>
      </c>
      <c r="R388">
        <f>IF(ISNUMBER(G388),ROUND(25*(100-G388)/100,1),12.5)</f>
        <v/>
      </c>
      <c r="S388" t="n">
        <v>20</v>
      </c>
      <c r="T388">
        <f>ROUND(P388+Q388+R388+S388,0)</f>
        <v/>
      </c>
      <c r="U388" s="5" t="inlineStr"/>
      <c r="V388" s="5" t="inlineStr"/>
    </row>
    <row r="389">
      <c r="A389" t="inlineStr">
        <is>
          <t>K0387</t>
        </is>
      </c>
      <c r="B389" t="inlineStr">
        <is>
          <t>serp preview</t>
        </is>
      </c>
      <c r="C389" t="inlineStr">
        <is>
          <t>Morocco</t>
        </is>
      </c>
      <c r="D389" t="inlineStr">
        <is>
          <t>ma</t>
        </is>
      </c>
      <c r="E389" t="inlineStr">
        <is>
          <t>fr</t>
        </is>
      </c>
      <c r="F389" t="n">
        <v>20</v>
      </c>
      <c r="G389" t="inlineStr">
        <is>
          <t>NOT AVAILABLE</t>
        </is>
      </c>
      <c r="H389" t="n">
        <v>0</v>
      </c>
      <c r="I389" t="n">
        <v>0.33</v>
      </c>
      <c r="J389" t="inlineStr">
        <is>
          <t>NOT AVAILABLE</t>
        </is>
      </c>
      <c r="K389" t="inlineStr">
        <is>
          <t>NOT AVAILABLE (report not requested)</t>
        </is>
      </c>
      <c r="L389" t="inlineStr">
        <is>
          <t>rising (calc.)</t>
        </is>
      </c>
      <c r="M389" t="inlineStr">
        <is>
          <t>MEASURED</t>
        </is>
      </c>
      <c r="N389" s="5" t="inlineStr">
        <is>
          <t>Semrush phrase_these (live, this session)</t>
        </is>
      </c>
      <c r="O389" t="inlineStr">
        <is>
          <t>2026-10-30</t>
        </is>
      </c>
      <c r="P389">
        <f>IF(IF(J389="NOT AVAILABLE","",J389)="",12,IF(OR(ISNUMBER(SEARCH("Transactional",IF(J389="NOT AVAILABLE","",J389))),ISNUMBER(SEARCH("Commercial",IF(J389="NOT AVAILABLE","",J389)))),25,IF(ISNUMBER(SEARCH("Informational",IF(J389="NOT AVAILABLE","",J389))),10,IF(ISNUMBER(SEARCH("Navigational",IF(J389="NOT AVAILABLE","",J389))),0,12))))</f>
        <v/>
      </c>
      <c r="Q389">
        <f>IF(ISNUMBER(F389),MIN(30,ROUND(30*LOG10(F389+1)/4,1)),0)</f>
        <v/>
      </c>
      <c r="R389">
        <f>IF(ISNUMBER(G389),ROUND(25*(100-G389)/100,1),12.5)</f>
        <v/>
      </c>
      <c r="S389" t="n">
        <v>20</v>
      </c>
      <c r="T389">
        <f>ROUND(P389+Q389+R389+S389,0)</f>
        <v/>
      </c>
      <c r="U389" s="5" t="inlineStr"/>
      <c r="V389" s="5" t="inlineStr">
        <is>
          <t>SUPPORTING /tools/serp-snippet-preview</t>
        </is>
      </c>
    </row>
    <row r="390">
      <c r="A390" t="inlineStr">
        <is>
          <t>K0388</t>
        </is>
      </c>
      <c r="B390" t="inlineStr">
        <is>
          <t>site architecte</t>
        </is>
      </c>
      <c r="C390" t="inlineStr">
        <is>
          <t>Morocco</t>
        </is>
      </c>
      <c r="D390" t="inlineStr">
        <is>
          <t>ma</t>
        </is>
      </c>
      <c r="E390" t="inlineStr">
        <is>
          <t>fr</t>
        </is>
      </c>
      <c r="F390" t="n">
        <v>20</v>
      </c>
      <c r="G390" t="inlineStr">
        <is>
          <t>NOT AVAILABLE</t>
        </is>
      </c>
      <c r="H390" t="n">
        <v>0</v>
      </c>
      <c r="I390" t="n">
        <v>0.33</v>
      </c>
      <c r="J390" t="inlineStr">
        <is>
          <t>NOT AVAILABLE</t>
        </is>
      </c>
      <c r="K390" t="inlineStr">
        <is>
          <t>NOT AVAILABLE (report not requested)</t>
        </is>
      </c>
      <c r="L390" t="inlineStr">
        <is>
          <t>rising (calc.)</t>
        </is>
      </c>
      <c r="M390" t="inlineStr">
        <is>
          <t>MEASURED</t>
        </is>
      </c>
      <c r="N390" s="5" t="inlineStr">
        <is>
          <t>Semrush phrase_these (live, this session)</t>
        </is>
      </c>
      <c r="O390" t="inlineStr">
        <is>
          <t>2026-10-30</t>
        </is>
      </c>
      <c r="P390">
        <f>IF(IF(J390="NOT AVAILABLE","",J390)="",12,IF(OR(ISNUMBER(SEARCH("Transactional",IF(J390="NOT AVAILABLE","",J390))),ISNUMBER(SEARCH("Commercial",IF(J390="NOT AVAILABLE","",J390)))),25,IF(ISNUMBER(SEARCH("Informational",IF(J390="NOT AVAILABLE","",J390))),10,IF(ISNUMBER(SEARCH("Navigational",IF(J390="NOT AVAILABLE","",J390))),0,12))))</f>
        <v/>
      </c>
      <c r="Q390">
        <f>IF(ISNUMBER(F390),MIN(30,ROUND(30*LOG10(F390+1)/4,1)),0)</f>
        <v/>
      </c>
      <c r="R390">
        <f>IF(ISNUMBER(G390),ROUND(25*(100-G390)/100,1),12.5)</f>
        <v/>
      </c>
      <c r="S390" t="n">
        <v>20</v>
      </c>
      <c r="T390">
        <f>ROUND(P390+Q390+R390+S390,0)</f>
        <v/>
      </c>
      <c r="U390" s="5" t="inlineStr"/>
      <c r="V390" s="5" t="inlineStr"/>
    </row>
    <row r="391">
      <c r="A391" t="inlineStr">
        <is>
          <t>K0389</t>
        </is>
      </c>
      <c r="B391" t="inlineStr">
        <is>
          <t>site ecommerce maroc</t>
        </is>
      </c>
      <c r="C391" t="inlineStr">
        <is>
          <t>Morocco</t>
        </is>
      </c>
      <c r="D391" t="inlineStr">
        <is>
          <t>ma</t>
        </is>
      </c>
      <c r="E391" t="inlineStr">
        <is>
          <t>fr</t>
        </is>
      </c>
      <c r="F391" t="n">
        <v>20</v>
      </c>
      <c r="G391" t="inlineStr">
        <is>
          <t>NOT AVAILABLE</t>
        </is>
      </c>
      <c r="H391" t="n">
        <v>0.42</v>
      </c>
      <c r="I391" t="n">
        <v>0.16</v>
      </c>
      <c r="J391" t="inlineStr">
        <is>
          <t>NOT AVAILABLE</t>
        </is>
      </c>
      <c r="K391" t="inlineStr">
        <is>
          <t>NOT AVAILABLE (report not requested)</t>
        </is>
      </c>
      <c r="L391" t="inlineStr">
        <is>
          <t>declining (calc.)</t>
        </is>
      </c>
      <c r="M391" t="inlineStr">
        <is>
          <t>MEASURED</t>
        </is>
      </c>
      <c r="N391" s="5" t="inlineStr">
        <is>
          <t>Semrush phrase_these (live, this session)</t>
        </is>
      </c>
      <c r="O391" t="inlineStr">
        <is>
          <t>2026-10-30</t>
        </is>
      </c>
      <c r="P391">
        <f>IF(IF(J391="NOT AVAILABLE","",J391)="",12,IF(OR(ISNUMBER(SEARCH("Transactional",IF(J391="NOT AVAILABLE","",J391))),ISNUMBER(SEARCH("Commercial",IF(J391="NOT AVAILABLE","",J391)))),25,IF(ISNUMBER(SEARCH("Informational",IF(J391="NOT AVAILABLE","",J391))),10,IF(ISNUMBER(SEARCH("Navigational",IF(J391="NOT AVAILABLE","",J391))),0,12))))</f>
        <v/>
      </c>
      <c r="Q391">
        <f>IF(ISNUMBER(F391),MIN(30,ROUND(30*LOG10(F391+1)/4,1)),0)</f>
        <v/>
      </c>
      <c r="R391">
        <f>IF(ISNUMBER(G391),ROUND(25*(100-G391)/100,1),12.5)</f>
        <v/>
      </c>
      <c r="S391" t="n">
        <v>20</v>
      </c>
      <c r="T391">
        <f>ROUND(P391+Q391+R391+S391,0)</f>
        <v/>
      </c>
      <c r="U391" s="5" t="inlineStr"/>
      <c r="V391" s="5" t="inlineStr"/>
    </row>
    <row r="392">
      <c r="A392" t="inlineStr">
        <is>
          <t>K0390</t>
        </is>
      </c>
      <c r="B392" t="inlineStr">
        <is>
          <t>site internet maroc</t>
        </is>
      </c>
      <c r="C392" t="inlineStr">
        <is>
          <t>Morocco</t>
        </is>
      </c>
      <c r="D392" t="inlineStr">
        <is>
          <t>ma</t>
        </is>
      </c>
      <c r="E392" t="inlineStr">
        <is>
          <t>fr</t>
        </is>
      </c>
      <c r="F392" t="n">
        <v>20</v>
      </c>
      <c r="G392" t="inlineStr">
        <is>
          <t>NOT AVAILABLE</t>
        </is>
      </c>
      <c r="H392" t="n">
        <v>0.43</v>
      </c>
      <c r="I392" t="n">
        <v>0.57</v>
      </c>
      <c r="J392" t="inlineStr">
        <is>
          <t>NOT AVAILABLE</t>
        </is>
      </c>
      <c r="K392" t="inlineStr">
        <is>
          <t>NOT AVAILABLE (report not requested)</t>
        </is>
      </c>
      <c r="L392" t="inlineStr">
        <is>
          <t>rising (calc.)</t>
        </is>
      </c>
      <c r="M392" t="inlineStr">
        <is>
          <t>MEASURED</t>
        </is>
      </c>
      <c r="N392" s="5" t="inlineStr">
        <is>
          <t>Semrush phrase_these (live, this session)</t>
        </is>
      </c>
      <c r="O392" t="inlineStr">
        <is>
          <t>2026-10-30</t>
        </is>
      </c>
      <c r="P392">
        <f>IF(IF(J392="NOT AVAILABLE","",J392)="",12,IF(OR(ISNUMBER(SEARCH("Transactional",IF(J392="NOT AVAILABLE","",J392))),ISNUMBER(SEARCH("Commercial",IF(J392="NOT AVAILABLE","",J392)))),25,IF(ISNUMBER(SEARCH("Informational",IF(J392="NOT AVAILABLE","",J392))),10,IF(ISNUMBER(SEARCH("Navigational",IF(J392="NOT AVAILABLE","",J392))),0,12))))</f>
        <v/>
      </c>
      <c r="Q392">
        <f>IF(ISNUMBER(F392),MIN(30,ROUND(30*LOG10(F392+1)/4,1)),0)</f>
        <v/>
      </c>
      <c r="R392">
        <f>IF(ISNUMBER(G392),ROUND(25*(100-G392)/100,1),12.5)</f>
        <v/>
      </c>
      <c r="S392" t="n">
        <v>20</v>
      </c>
      <c r="T392">
        <f>ROUND(P392+Q392+R392+S392,0)</f>
        <v/>
      </c>
      <c r="U392" s="5" t="inlineStr"/>
      <c r="V392" s="5" t="inlineStr"/>
    </row>
    <row r="393">
      <c r="A393" t="inlineStr">
        <is>
          <t>K0391</t>
        </is>
      </c>
      <c r="B393" t="inlineStr">
        <is>
          <t>site médecin</t>
        </is>
      </c>
      <c r="C393" t="inlineStr">
        <is>
          <t>Morocco</t>
        </is>
      </c>
      <c r="D393" t="inlineStr">
        <is>
          <t>ma</t>
        </is>
      </c>
      <c r="E393" t="inlineStr">
        <is>
          <t>fr</t>
        </is>
      </c>
      <c r="F393" t="n">
        <v>20</v>
      </c>
      <c r="G393" t="inlineStr">
        <is>
          <t>NOT AVAILABLE</t>
        </is>
      </c>
      <c r="H393" t="n">
        <v>0</v>
      </c>
      <c r="I393" t="n">
        <v>0.29</v>
      </c>
      <c r="J393" t="inlineStr">
        <is>
          <t>NOT AVAILABLE</t>
        </is>
      </c>
      <c r="K393" t="inlineStr">
        <is>
          <t>NOT AVAILABLE (report not requested)</t>
        </is>
      </c>
      <c r="L393" t="inlineStr">
        <is>
          <t>stable (calc.)</t>
        </is>
      </c>
      <c r="M393" t="inlineStr">
        <is>
          <t>MEASURED</t>
        </is>
      </c>
      <c r="N393" s="5" t="inlineStr">
        <is>
          <t>Semrush phrase_these (live, this session)</t>
        </is>
      </c>
      <c r="O393" t="inlineStr">
        <is>
          <t>2026-10-30</t>
        </is>
      </c>
      <c r="P393">
        <f>IF(IF(J393="NOT AVAILABLE","",J393)="",12,IF(OR(ISNUMBER(SEARCH("Transactional",IF(J393="NOT AVAILABLE","",J393))),ISNUMBER(SEARCH("Commercial",IF(J393="NOT AVAILABLE","",J393)))),25,IF(ISNUMBER(SEARCH("Informational",IF(J393="NOT AVAILABLE","",J393))),10,IF(ISNUMBER(SEARCH("Navigational",IF(J393="NOT AVAILABLE","",J393))),0,12))))</f>
        <v/>
      </c>
      <c r="Q393">
        <f>IF(ISNUMBER(F393),MIN(30,ROUND(30*LOG10(F393+1)/4,1)),0)</f>
        <v/>
      </c>
      <c r="R393">
        <f>IF(ISNUMBER(G393),ROUND(25*(100-G393)/100,1),12.5)</f>
        <v/>
      </c>
      <c r="S393" t="n">
        <v>20</v>
      </c>
      <c r="T393">
        <f>ROUND(P393+Q393+R393+S393,0)</f>
        <v/>
      </c>
      <c r="U393" s="5" t="inlineStr"/>
      <c r="V393" s="5" t="inlineStr">
        <is>
          <t>SECONDARY /services/telemedicine-website-development</t>
        </is>
      </c>
    </row>
    <row r="394">
      <c r="A394" t="inlineStr">
        <is>
          <t>K0392</t>
        </is>
      </c>
      <c r="B394" t="inlineStr">
        <is>
          <t>site responsive test</t>
        </is>
      </c>
      <c r="C394" t="inlineStr">
        <is>
          <t>Morocco</t>
        </is>
      </c>
      <c r="D394" t="inlineStr">
        <is>
          <t>ma</t>
        </is>
      </c>
      <c r="E394" t="inlineStr">
        <is>
          <t>fr</t>
        </is>
      </c>
      <c r="F394" t="n">
        <v>20</v>
      </c>
      <c r="G394" t="inlineStr">
        <is>
          <t>NOT AVAILABLE</t>
        </is>
      </c>
      <c r="H394" t="n">
        <v>0</v>
      </c>
      <c r="I394" t="n">
        <v>0.14</v>
      </c>
      <c r="J394" t="inlineStr">
        <is>
          <t>NOT AVAILABLE</t>
        </is>
      </c>
      <c r="K394" t="inlineStr">
        <is>
          <t>NOT AVAILABLE (report not requested)</t>
        </is>
      </c>
      <c r="L394" t="inlineStr">
        <is>
          <t>declining (calc.)</t>
        </is>
      </c>
      <c r="M394" t="inlineStr">
        <is>
          <t>MEASURED</t>
        </is>
      </c>
      <c r="N394" s="5" t="inlineStr">
        <is>
          <t>Semrush phrase_these (live, this session)</t>
        </is>
      </c>
      <c r="O394" t="inlineStr">
        <is>
          <t>2026-10-30</t>
        </is>
      </c>
      <c r="P394">
        <f>IF(IF(J394="NOT AVAILABLE","",J394)="",12,IF(OR(ISNUMBER(SEARCH("Transactional",IF(J394="NOT AVAILABLE","",J394))),ISNUMBER(SEARCH("Commercial",IF(J394="NOT AVAILABLE","",J394)))),25,IF(ISNUMBER(SEARCH("Informational",IF(J394="NOT AVAILABLE","",J394))),10,IF(ISNUMBER(SEARCH("Navigational",IF(J394="NOT AVAILABLE","",J394))),0,12))))</f>
        <v/>
      </c>
      <c r="Q394">
        <f>IF(ISNUMBER(F394),MIN(30,ROUND(30*LOG10(F394+1)/4,1)),0)</f>
        <v/>
      </c>
      <c r="R394">
        <f>IF(ISNUMBER(G394),ROUND(25*(100-G394)/100,1),12.5)</f>
        <v/>
      </c>
      <c r="S394" t="n">
        <v>20</v>
      </c>
      <c r="T394">
        <f>ROUND(P394+Q394+R394+S394,0)</f>
        <v/>
      </c>
      <c r="U394" s="5" t="inlineStr"/>
      <c r="V394" s="5" t="inlineStr">
        <is>
          <t>SUPPORTING /tools/mobile-friendly-test</t>
        </is>
      </c>
    </row>
    <row r="395">
      <c r="A395" t="inlineStr">
        <is>
          <t>K0393</t>
        </is>
      </c>
      <c r="B395" t="inlineStr">
        <is>
          <t>site universitaire</t>
        </is>
      </c>
      <c r="C395" t="inlineStr">
        <is>
          <t>Morocco</t>
        </is>
      </c>
      <c r="D395" t="inlineStr">
        <is>
          <t>ma</t>
        </is>
      </c>
      <c r="E395" t="inlineStr">
        <is>
          <t>fr</t>
        </is>
      </c>
      <c r="F395" t="n">
        <v>20</v>
      </c>
      <c r="G395" t="inlineStr">
        <is>
          <t>NOT AVAILABLE</t>
        </is>
      </c>
      <c r="H395" t="n">
        <v>0</v>
      </c>
      <c r="I395" t="n">
        <v>0.2</v>
      </c>
      <c r="J395" t="inlineStr">
        <is>
          <t>NOT AVAILABLE</t>
        </is>
      </c>
      <c r="K395" t="inlineStr">
        <is>
          <t>NOT AVAILABLE (report not requested)</t>
        </is>
      </c>
      <c r="L395" t="inlineStr">
        <is>
          <t>declining (calc.)</t>
        </is>
      </c>
      <c r="M395" t="inlineStr">
        <is>
          <t>MEASURED</t>
        </is>
      </c>
      <c r="N395" s="5" t="inlineStr">
        <is>
          <t>Semrush phrase_these (live, this session)</t>
        </is>
      </c>
      <c r="O395" t="inlineStr">
        <is>
          <t>2026-10-30</t>
        </is>
      </c>
      <c r="P395">
        <f>IF(IF(J395="NOT AVAILABLE","",J395)="",12,IF(OR(ISNUMBER(SEARCH("Transactional",IF(J395="NOT AVAILABLE","",J395))),ISNUMBER(SEARCH("Commercial",IF(J395="NOT AVAILABLE","",J395)))),25,IF(ISNUMBER(SEARCH("Informational",IF(J395="NOT AVAILABLE","",J395))),10,IF(ISNUMBER(SEARCH("Navigational",IF(J395="NOT AVAILABLE","",J395))),0,12))))</f>
        <v/>
      </c>
      <c r="Q395">
        <f>IF(ISNUMBER(F395),MIN(30,ROUND(30*LOG10(F395+1)/4,1)),0)</f>
        <v/>
      </c>
      <c r="R395">
        <f>IF(ISNUMBER(G395),ROUND(25*(100-G395)/100,1),12.5)</f>
        <v/>
      </c>
      <c r="S395" t="n">
        <v>20</v>
      </c>
      <c r="T395">
        <f>ROUND(P395+Q395+R395+S395,0)</f>
        <v/>
      </c>
      <c r="U395" s="5" t="inlineStr"/>
      <c r="V395" s="5" t="inlineStr"/>
    </row>
    <row r="396">
      <c r="A396" t="inlineStr">
        <is>
          <t>K0394</t>
        </is>
      </c>
      <c r="B396" t="inlineStr">
        <is>
          <t>site vitrine maroc</t>
        </is>
      </c>
      <c r="C396" t="inlineStr">
        <is>
          <t>Morocco</t>
        </is>
      </c>
      <c r="D396" t="inlineStr">
        <is>
          <t>ma</t>
        </is>
      </c>
      <c r="E396" t="inlineStr">
        <is>
          <t>fr</t>
        </is>
      </c>
      <c r="F396" t="n">
        <v>20</v>
      </c>
      <c r="G396" t="inlineStr">
        <is>
          <t>NOT AVAILABLE</t>
        </is>
      </c>
      <c r="H396" t="n">
        <v>0.3</v>
      </c>
      <c r="I396" t="n">
        <v>0.23</v>
      </c>
      <c r="J396" t="inlineStr">
        <is>
          <t>NOT AVAILABLE</t>
        </is>
      </c>
      <c r="K396" t="inlineStr">
        <is>
          <t>NOT AVAILABLE (report not requested)</t>
        </is>
      </c>
      <c r="L396" t="inlineStr">
        <is>
          <t>stable (calc.)</t>
        </is>
      </c>
      <c r="M396" t="inlineStr">
        <is>
          <t>MEASURED</t>
        </is>
      </c>
      <c r="N396" s="5" t="inlineStr">
        <is>
          <t>Semrush phrase_these (live, this session)</t>
        </is>
      </c>
      <c r="O396" t="inlineStr">
        <is>
          <t>2026-10-30</t>
        </is>
      </c>
      <c r="P396">
        <f>IF(IF(J396="NOT AVAILABLE","",J396)="",12,IF(OR(ISNUMBER(SEARCH("Transactional",IF(J396="NOT AVAILABLE","",J396))),ISNUMBER(SEARCH("Commercial",IF(J396="NOT AVAILABLE","",J396)))),25,IF(ISNUMBER(SEARCH("Informational",IF(J396="NOT AVAILABLE","",J396))),10,IF(ISNUMBER(SEARCH("Navigational",IF(J396="NOT AVAILABLE","",J396))),0,12))))</f>
        <v/>
      </c>
      <c r="Q396">
        <f>IF(ISNUMBER(F396),MIN(30,ROUND(30*LOG10(F396+1)/4,1)),0)</f>
        <v/>
      </c>
      <c r="R396">
        <f>IF(ISNUMBER(G396),ROUND(25*(100-G396)/100,1),12.5)</f>
        <v/>
      </c>
      <c r="S396" t="n">
        <v>20</v>
      </c>
      <c r="T396">
        <f>ROUND(P396+Q396+R396+S396,0)</f>
        <v/>
      </c>
      <c r="U396" s="5" t="inlineStr"/>
      <c r="V396" s="5" t="inlineStr"/>
    </row>
    <row r="397">
      <c r="A397" t="inlineStr">
        <is>
          <t>K0395</t>
        </is>
      </c>
      <c r="B397" t="inlineStr">
        <is>
          <t>site web agence de voyage</t>
        </is>
      </c>
      <c r="C397" t="inlineStr">
        <is>
          <t>Morocco</t>
        </is>
      </c>
      <c r="D397" t="inlineStr">
        <is>
          <t>ma</t>
        </is>
      </c>
      <c r="E397" t="inlineStr">
        <is>
          <t>fr</t>
        </is>
      </c>
      <c r="F397" t="n">
        <v>20</v>
      </c>
      <c r="G397" t="inlineStr">
        <is>
          <t>NOT AVAILABLE</t>
        </is>
      </c>
      <c r="H397" t="n">
        <v>0.12</v>
      </c>
      <c r="I397" t="n">
        <v>0.86</v>
      </c>
      <c r="J397" t="inlineStr">
        <is>
          <t>NOT AVAILABLE</t>
        </is>
      </c>
      <c r="K397" t="inlineStr">
        <is>
          <t>NOT AVAILABLE (report not requested)</t>
        </is>
      </c>
      <c r="L397" t="inlineStr">
        <is>
          <t>declining (calc.)</t>
        </is>
      </c>
      <c r="M397" t="inlineStr">
        <is>
          <t>MEASURED</t>
        </is>
      </c>
      <c r="N397" s="5" t="inlineStr">
        <is>
          <t>Semrush phrase_these (live, this session)</t>
        </is>
      </c>
      <c r="O397" t="inlineStr">
        <is>
          <t>2026-10-30</t>
        </is>
      </c>
      <c r="P397">
        <f>IF(IF(J397="NOT AVAILABLE","",J397)="",12,IF(OR(ISNUMBER(SEARCH("Transactional",IF(J397="NOT AVAILABLE","",J397))),ISNUMBER(SEARCH("Commercial",IF(J397="NOT AVAILABLE","",J397)))),25,IF(ISNUMBER(SEARCH("Informational",IF(J397="NOT AVAILABLE","",J397))),10,IF(ISNUMBER(SEARCH("Navigational",IF(J397="NOT AVAILABLE","",J397))),0,12))))</f>
        <v/>
      </c>
      <c r="Q397">
        <f>IF(ISNUMBER(F397),MIN(30,ROUND(30*LOG10(F397+1)/4,1)),0)</f>
        <v/>
      </c>
      <c r="R397">
        <f>IF(ISNUMBER(G397),ROUND(25*(100-G397)/100,1),12.5)</f>
        <v/>
      </c>
      <c r="S397" t="n">
        <v>20</v>
      </c>
      <c r="T397">
        <f>ROUND(P397+Q397+R397+S397,0)</f>
        <v/>
      </c>
      <c r="U397" s="5" t="inlineStr"/>
      <c r="V397" s="5" t="inlineStr">
        <is>
          <t>SUPPORTING /industries; SUPPORTING /our-work/authentic-morocco-adventures</t>
        </is>
      </c>
    </row>
    <row r="398">
      <c r="A398" t="inlineStr">
        <is>
          <t>K0396</t>
        </is>
      </c>
      <c r="B398" t="inlineStr">
        <is>
          <t>site web architecte</t>
        </is>
      </c>
      <c r="C398" t="inlineStr">
        <is>
          <t>Morocco</t>
        </is>
      </c>
      <c r="D398" t="inlineStr">
        <is>
          <t>ma</t>
        </is>
      </c>
      <c r="E398" t="inlineStr">
        <is>
          <t>fr</t>
        </is>
      </c>
      <c r="F398" t="n">
        <v>20</v>
      </c>
      <c r="G398" t="inlineStr">
        <is>
          <t>NOT AVAILABLE</t>
        </is>
      </c>
      <c r="H398" t="n">
        <v>0</v>
      </c>
      <c r="I398" t="n">
        <v>0.33</v>
      </c>
      <c r="J398" t="inlineStr">
        <is>
          <t>NOT AVAILABLE</t>
        </is>
      </c>
      <c r="K398" t="inlineStr">
        <is>
          <t>NOT AVAILABLE (report not requested)</t>
        </is>
      </c>
      <c r="L398" t="inlineStr">
        <is>
          <t>stable (calc.)</t>
        </is>
      </c>
      <c r="M398" t="inlineStr">
        <is>
          <t>MEASURED</t>
        </is>
      </c>
      <c r="N398" s="5" t="inlineStr">
        <is>
          <t>Semrush phrase_these (live, this session)</t>
        </is>
      </c>
      <c r="O398" t="inlineStr">
        <is>
          <t>2026-10-30</t>
        </is>
      </c>
      <c r="P398">
        <f>IF(IF(J398="NOT AVAILABLE","",J398)="",12,IF(OR(ISNUMBER(SEARCH("Transactional",IF(J398="NOT AVAILABLE","",J398))),ISNUMBER(SEARCH("Commercial",IF(J398="NOT AVAILABLE","",J398)))),25,IF(ISNUMBER(SEARCH("Informational",IF(J398="NOT AVAILABLE","",J398))),10,IF(ISNUMBER(SEARCH("Navigational",IF(J398="NOT AVAILABLE","",J398))),0,12))))</f>
        <v/>
      </c>
      <c r="Q398">
        <f>IF(ISNUMBER(F398),MIN(30,ROUND(30*LOG10(F398+1)/4,1)),0)</f>
        <v/>
      </c>
      <c r="R398">
        <f>IF(ISNUMBER(G398),ROUND(25*(100-G398)/100,1),12.5)</f>
        <v/>
      </c>
      <c r="S398" t="n">
        <v>20</v>
      </c>
      <c r="T398">
        <f>ROUND(P398+Q398+R398+S398,0)</f>
        <v/>
      </c>
      <c r="U398" s="5" t="inlineStr"/>
      <c r="V398" s="5" t="inlineStr"/>
    </row>
    <row r="399">
      <c r="A399" t="inlineStr">
        <is>
          <t>K0397</t>
        </is>
      </c>
      <c r="B399" t="inlineStr">
        <is>
          <t>site web casablanca</t>
        </is>
      </c>
      <c r="C399" t="inlineStr">
        <is>
          <t>Morocco</t>
        </is>
      </c>
      <c r="D399" t="inlineStr">
        <is>
          <t>ma</t>
        </is>
      </c>
      <c r="E399" t="inlineStr">
        <is>
          <t>fr</t>
        </is>
      </c>
      <c r="F399" t="n">
        <v>20</v>
      </c>
      <c r="G399" t="inlineStr">
        <is>
          <t>NOT AVAILABLE</t>
        </is>
      </c>
      <c r="H399" t="n">
        <v>0.61</v>
      </c>
      <c r="I399" t="n">
        <v>0.47</v>
      </c>
      <c r="J399" t="inlineStr">
        <is>
          <t>NOT AVAILABLE</t>
        </is>
      </c>
      <c r="K399" t="inlineStr">
        <is>
          <t>NOT AVAILABLE (report not requested)</t>
        </is>
      </c>
      <c r="L399" t="inlineStr">
        <is>
          <t>stable (calc.)</t>
        </is>
      </c>
      <c r="M399" t="inlineStr">
        <is>
          <t>MEASURED</t>
        </is>
      </c>
      <c r="N399" s="5" t="inlineStr">
        <is>
          <t>Semrush phrase_these (live, this session)</t>
        </is>
      </c>
      <c r="O399" t="inlineStr">
        <is>
          <t>2026-10-30</t>
        </is>
      </c>
      <c r="P399">
        <f>IF(IF(J399="NOT AVAILABLE","",J399)="",12,IF(OR(ISNUMBER(SEARCH("Transactional",IF(J399="NOT AVAILABLE","",J399))),ISNUMBER(SEARCH("Commercial",IF(J399="NOT AVAILABLE","",J399)))),25,IF(ISNUMBER(SEARCH("Informational",IF(J399="NOT AVAILABLE","",J399))),10,IF(ISNUMBER(SEARCH("Navigational",IF(J399="NOT AVAILABLE","",J399))),0,12))))</f>
        <v/>
      </c>
      <c r="Q399">
        <f>IF(ISNUMBER(F399),MIN(30,ROUND(30*LOG10(F399+1)/4,1)),0)</f>
        <v/>
      </c>
      <c r="R399">
        <f>IF(ISNUMBER(G399),ROUND(25*(100-G399)/100,1),12.5)</f>
        <v/>
      </c>
      <c r="S399" t="n">
        <v>20</v>
      </c>
      <c r="T399">
        <f>ROUND(P399+Q399+R399+S399,0)</f>
        <v/>
      </c>
      <c r="U399" s="5" t="inlineStr"/>
      <c r="V399" s="5" t="inlineStr">
        <is>
          <t>SUPPORTING /web-development-company/casablanca</t>
        </is>
      </c>
    </row>
    <row r="400">
      <c r="A400" t="inlineStr">
        <is>
          <t>K0398</t>
        </is>
      </c>
      <c r="B400" t="inlineStr">
        <is>
          <t>site web dentiste</t>
        </is>
      </c>
      <c r="C400" t="inlineStr">
        <is>
          <t>Morocco</t>
        </is>
      </c>
      <c r="D400" t="inlineStr">
        <is>
          <t>ma</t>
        </is>
      </c>
      <c r="E400" t="inlineStr">
        <is>
          <t>fr</t>
        </is>
      </c>
      <c r="F400" t="n">
        <v>20</v>
      </c>
      <c r="G400" t="inlineStr">
        <is>
          <t>NOT AVAILABLE</t>
        </is>
      </c>
      <c r="H400" t="n">
        <v>0.15</v>
      </c>
      <c r="I400" t="n">
        <v>0.24</v>
      </c>
      <c r="J400" t="inlineStr">
        <is>
          <t>NOT AVAILABLE</t>
        </is>
      </c>
      <c r="K400" t="inlineStr">
        <is>
          <t>NOT AVAILABLE (report not requested)</t>
        </is>
      </c>
      <c r="L400" t="inlineStr">
        <is>
          <t>declining (calc.)</t>
        </is>
      </c>
      <c r="M400" t="inlineStr">
        <is>
          <t>MEASURED</t>
        </is>
      </c>
      <c r="N400" s="5" t="inlineStr">
        <is>
          <t>Semrush phrase_these (live, this session)</t>
        </is>
      </c>
      <c r="O400" t="inlineStr">
        <is>
          <t>2026-10-30</t>
        </is>
      </c>
      <c r="P400">
        <f>IF(IF(J400="NOT AVAILABLE","",J400)="",12,IF(OR(ISNUMBER(SEARCH("Transactional",IF(J400="NOT AVAILABLE","",J400))),ISNUMBER(SEARCH("Commercial",IF(J400="NOT AVAILABLE","",J400)))),25,IF(ISNUMBER(SEARCH("Informational",IF(J400="NOT AVAILABLE","",J400))),10,IF(ISNUMBER(SEARCH("Navigational",IF(J400="NOT AVAILABLE","",J400))),0,12))))</f>
        <v/>
      </c>
      <c r="Q400">
        <f>IF(ISNUMBER(F400),MIN(30,ROUND(30*LOG10(F400+1)/4,1)),0)</f>
        <v/>
      </c>
      <c r="R400">
        <f>IF(ISNUMBER(G400),ROUND(25*(100-G400)/100,1),12.5)</f>
        <v/>
      </c>
      <c r="S400" t="n">
        <v>20</v>
      </c>
      <c r="T400">
        <f>ROUND(P400+Q400+R400+S400,0)</f>
        <v/>
      </c>
      <c r="U400" s="5" t="inlineStr"/>
      <c r="V400" s="5" t="inlineStr">
        <is>
          <t>SUPPORTING /services/healthcare-website-development</t>
        </is>
      </c>
    </row>
    <row r="401">
      <c r="A401" t="inlineStr">
        <is>
          <t>K0399</t>
        </is>
      </c>
      <c r="B401" t="inlineStr">
        <is>
          <t>site web professionnel</t>
        </is>
      </c>
      <c r="C401" t="inlineStr">
        <is>
          <t>Morocco</t>
        </is>
      </c>
      <c r="D401" t="inlineStr">
        <is>
          <t>ma</t>
        </is>
      </c>
      <c r="E401" t="inlineStr">
        <is>
          <t>fr</t>
        </is>
      </c>
      <c r="F401" t="n">
        <v>20</v>
      </c>
      <c r="G401" t="inlineStr">
        <is>
          <t>NOT AVAILABLE</t>
        </is>
      </c>
      <c r="H401" t="n">
        <v>0.41</v>
      </c>
      <c r="I401" t="n">
        <v>0.74</v>
      </c>
      <c r="J401" t="inlineStr">
        <is>
          <t>NOT AVAILABLE</t>
        </is>
      </c>
      <c r="K401" t="inlineStr">
        <is>
          <t>NOT AVAILABLE (report not requested)</t>
        </is>
      </c>
      <c r="L401" t="inlineStr">
        <is>
          <t>declining (calc.)</t>
        </is>
      </c>
      <c r="M401" t="inlineStr">
        <is>
          <t>MEASURED</t>
        </is>
      </c>
      <c r="N401" s="5" t="inlineStr">
        <is>
          <t>Semrush phrase_these (live, this session)</t>
        </is>
      </c>
      <c r="O401" t="inlineStr">
        <is>
          <t>2026-10-30</t>
        </is>
      </c>
      <c r="P401">
        <f>IF(IF(J401="NOT AVAILABLE","",J401)="",12,IF(OR(ISNUMBER(SEARCH("Transactional",IF(J401="NOT AVAILABLE","",J401))),ISNUMBER(SEARCH("Commercial",IF(J401="NOT AVAILABLE","",J401)))),25,IF(ISNUMBER(SEARCH("Informational",IF(J401="NOT AVAILABLE","",J401))),10,IF(ISNUMBER(SEARCH("Navigational",IF(J401="NOT AVAILABLE","",J401))),0,12))))</f>
        <v/>
      </c>
      <c r="Q401">
        <f>IF(ISNUMBER(F401),MIN(30,ROUND(30*LOG10(F401+1)/4,1)),0)</f>
        <v/>
      </c>
      <c r="R401">
        <f>IF(ISNUMBER(G401),ROUND(25*(100-G401)/100,1),12.5)</f>
        <v/>
      </c>
      <c r="S401" t="n">
        <v>20</v>
      </c>
      <c r="T401">
        <f>ROUND(P401+Q401+R401+S401,0)</f>
        <v/>
      </c>
      <c r="U401" s="5" t="inlineStr"/>
      <c r="V401" s="5" t="inlineStr"/>
    </row>
    <row r="402">
      <c r="A402" t="inlineStr">
        <is>
          <t>K0400</t>
        </is>
      </c>
      <c r="B402" t="inlineStr">
        <is>
          <t>site web rabat</t>
        </is>
      </c>
      <c r="C402" t="inlineStr">
        <is>
          <t>Morocco</t>
        </is>
      </c>
      <c r="D402" t="inlineStr">
        <is>
          <t>ma</t>
        </is>
      </c>
      <c r="E402" t="inlineStr">
        <is>
          <t>fr</t>
        </is>
      </c>
      <c r="F402" t="n">
        <v>20</v>
      </c>
      <c r="G402" t="inlineStr">
        <is>
          <t>NOT AVAILABLE</t>
        </is>
      </c>
      <c r="H402" t="n">
        <v>0</v>
      </c>
      <c r="I402" t="n">
        <v>0.41</v>
      </c>
      <c r="J402" t="inlineStr">
        <is>
          <t>NOT AVAILABLE</t>
        </is>
      </c>
      <c r="K402" t="inlineStr">
        <is>
          <t>NOT AVAILABLE (report not requested)</t>
        </is>
      </c>
      <c r="L402" t="inlineStr">
        <is>
          <t>stable (calc.)</t>
        </is>
      </c>
      <c r="M402" t="inlineStr">
        <is>
          <t>MEASURED</t>
        </is>
      </c>
      <c r="N402" s="5" t="inlineStr">
        <is>
          <t>Semrush phrase_these (live, this session)</t>
        </is>
      </c>
      <c r="O402" t="inlineStr">
        <is>
          <t>2026-10-30</t>
        </is>
      </c>
      <c r="P402">
        <f>IF(IF(J402="NOT AVAILABLE","",J402)="",12,IF(OR(ISNUMBER(SEARCH("Transactional",IF(J402="NOT AVAILABLE","",J402))),ISNUMBER(SEARCH("Commercial",IF(J402="NOT AVAILABLE","",J402)))),25,IF(ISNUMBER(SEARCH("Informational",IF(J402="NOT AVAILABLE","",J402))),10,IF(ISNUMBER(SEARCH("Navigational",IF(J402="NOT AVAILABLE","",J402))),0,12))))</f>
        <v/>
      </c>
      <c r="Q402">
        <f>IF(ISNUMBER(F402),MIN(30,ROUND(30*LOG10(F402+1)/4,1)),0)</f>
        <v/>
      </c>
      <c r="R402">
        <f>IF(ISNUMBER(G402),ROUND(25*(100-G402)/100,1),12.5)</f>
        <v/>
      </c>
      <c r="S402" t="n">
        <v>20</v>
      </c>
      <c r="T402">
        <f>ROUND(P402+Q402+R402+S402,0)</f>
        <v/>
      </c>
      <c r="U402" s="5" t="inlineStr"/>
      <c r="V402" s="5" t="inlineStr">
        <is>
          <t>SUPPORTING /web-development-company/rabat</t>
        </is>
      </c>
    </row>
    <row r="403">
      <c r="A403" t="inlineStr">
        <is>
          <t>K0401</t>
        </is>
      </c>
      <c r="B403" t="inlineStr">
        <is>
          <t>slug url</t>
        </is>
      </c>
      <c r="C403" t="inlineStr">
        <is>
          <t>Morocco</t>
        </is>
      </c>
      <c r="D403" t="inlineStr">
        <is>
          <t>ma</t>
        </is>
      </c>
      <c r="E403" t="inlineStr">
        <is>
          <t>fr</t>
        </is>
      </c>
      <c r="F403" t="n">
        <v>20</v>
      </c>
      <c r="G403" t="inlineStr">
        <is>
          <t>NOT AVAILABLE</t>
        </is>
      </c>
      <c r="H403" t="n">
        <v>0</v>
      </c>
      <c r="I403" t="n">
        <v>0.33</v>
      </c>
      <c r="J403" t="inlineStr">
        <is>
          <t>NOT AVAILABLE</t>
        </is>
      </c>
      <c r="K403" t="inlineStr">
        <is>
          <t>NOT AVAILABLE (report not requested)</t>
        </is>
      </c>
      <c r="L403" t="inlineStr">
        <is>
          <t>declining (calc.)</t>
        </is>
      </c>
      <c r="M403" t="inlineStr">
        <is>
          <t>MEASURED</t>
        </is>
      </c>
      <c r="N403" s="5" t="inlineStr">
        <is>
          <t>Semrush phrase_these (live, this session)</t>
        </is>
      </c>
      <c r="O403" t="inlineStr">
        <is>
          <t>2026-10-30</t>
        </is>
      </c>
      <c r="P403">
        <f>IF(IF(J403="NOT AVAILABLE","",J403)="",12,IF(OR(ISNUMBER(SEARCH("Transactional",IF(J403="NOT AVAILABLE","",J403))),ISNUMBER(SEARCH("Commercial",IF(J403="NOT AVAILABLE","",J403)))),25,IF(ISNUMBER(SEARCH("Informational",IF(J403="NOT AVAILABLE","",J403))),10,IF(ISNUMBER(SEARCH("Navigational",IF(J403="NOT AVAILABLE","",J403))),0,12))))</f>
        <v/>
      </c>
      <c r="Q403">
        <f>IF(ISNUMBER(F403),MIN(30,ROUND(30*LOG10(F403+1)/4,1)),0)</f>
        <v/>
      </c>
      <c r="R403">
        <f>IF(ISNUMBER(G403),ROUND(25*(100-G403)/100,1),12.5)</f>
        <v/>
      </c>
      <c r="S403" t="n">
        <v>20</v>
      </c>
      <c r="T403">
        <f>ROUND(P403+Q403+R403+S403,0)</f>
        <v/>
      </c>
      <c r="U403" s="5" t="inlineStr"/>
      <c r="V403" s="5" t="inlineStr">
        <is>
          <t>SUPPORTING /tools/url-slug-generator</t>
        </is>
      </c>
    </row>
    <row r="404">
      <c r="A404" t="inlineStr">
        <is>
          <t>K0402</t>
        </is>
      </c>
      <c r="B404" t="inlineStr">
        <is>
          <t>test robots.txt</t>
        </is>
      </c>
      <c r="C404" t="inlineStr">
        <is>
          <t>Morocco</t>
        </is>
      </c>
      <c r="D404" t="inlineStr">
        <is>
          <t>ma</t>
        </is>
      </c>
      <c r="E404" t="inlineStr">
        <is>
          <t>fr</t>
        </is>
      </c>
      <c r="F404" t="n">
        <v>20</v>
      </c>
      <c r="G404" t="inlineStr">
        <is>
          <t>NOT AVAILABLE</t>
        </is>
      </c>
      <c r="H404" t="n">
        <v>0</v>
      </c>
      <c r="I404" t="n">
        <v>0.04</v>
      </c>
      <c r="J404" t="inlineStr">
        <is>
          <t>NOT AVAILABLE</t>
        </is>
      </c>
      <c r="K404" t="inlineStr">
        <is>
          <t>NOT AVAILABLE (report not requested)</t>
        </is>
      </c>
      <c r="L404" t="inlineStr">
        <is>
          <t>rising (calc.)</t>
        </is>
      </c>
      <c r="M404" t="inlineStr">
        <is>
          <t>MEASURED</t>
        </is>
      </c>
      <c r="N404" s="5" t="inlineStr">
        <is>
          <t>Semrush phrase_these (live, this session)</t>
        </is>
      </c>
      <c r="O404" t="inlineStr">
        <is>
          <t>2026-10-30</t>
        </is>
      </c>
      <c r="P404">
        <f>IF(IF(J404="NOT AVAILABLE","",J404)="",12,IF(OR(ISNUMBER(SEARCH("Transactional",IF(J404="NOT AVAILABLE","",J404))),ISNUMBER(SEARCH("Commercial",IF(J404="NOT AVAILABLE","",J404)))),25,IF(ISNUMBER(SEARCH("Informational",IF(J404="NOT AVAILABLE","",J404))),10,IF(ISNUMBER(SEARCH("Navigational",IF(J404="NOT AVAILABLE","",J404))),0,12))))</f>
        <v/>
      </c>
      <c r="Q404">
        <f>IF(ISNUMBER(F404),MIN(30,ROUND(30*LOG10(F404+1)/4,1)),0)</f>
        <v/>
      </c>
      <c r="R404">
        <f>IF(ISNUMBER(G404),ROUND(25*(100-G404)/100,1),12.5)</f>
        <v/>
      </c>
      <c r="S404" t="n">
        <v>20</v>
      </c>
      <c r="T404">
        <f>ROUND(P404+Q404+R404+S404,0)</f>
        <v/>
      </c>
      <c r="U404" s="5" t="inlineStr"/>
      <c r="V404" s="5" t="inlineStr">
        <is>
          <t>SECONDARY /tools/robots-txt-tester</t>
        </is>
      </c>
    </row>
    <row r="405">
      <c r="A405" t="inlineStr">
        <is>
          <t>K0403</t>
        </is>
      </c>
      <c r="B405" t="inlineStr">
        <is>
          <t>test site web gratuit</t>
        </is>
      </c>
      <c r="C405" t="inlineStr">
        <is>
          <t>Morocco</t>
        </is>
      </c>
      <c r="D405" t="inlineStr">
        <is>
          <t>ma</t>
        </is>
      </c>
      <c r="E405" t="inlineStr">
        <is>
          <t>fr</t>
        </is>
      </c>
      <c r="F405" t="n">
        <v>20</v>
      </c>
      <c r="G405" t="inlineStr">
        <is>
          <t>NOT AVAILABLE</t>
        </is>
      </c>
      <c r="H405" t="n">
        <v>0</v>
      </c>
      <c r="I405" t="n">
        <v>0.39</v>
      </c>
      <c r="J405" t="inlineStr">
        <is>
          <t>NOT AVAILABLE</t>
        </is>
      </c>
      <c r="K405" t="inlineStr">
        <is>
          <t>NOT AVAILABLE (report not requested)</t>
        </is>
      </c>
      <c r="L405" t="inlineStr">
        <is>
          <t>declining (calc.)</t>
        </is>
      </c>
      <c r="M405" t="inlineStr">
        <is>
          <t>MEASURED</t>
        </is>
      </c>
      <c r="N405" s="5" t="inlineStr">
        <is>
          <t>Semrush phrase_these (live, this session)</t>
        </is>
      </c>
      <c r="O405" t="inlineStr">
        <is>
          <t>2026-10-30</t>
        </is>
      </c>
      <c r="P405">
        <f>IF(IF(J405="NOT AVAILABLE","",J405)="",12,IF(OR(ISNUMBER(SEARCH("Transactional",IF(J405="NOT AVAILABLE","",J405))),ISNUMBER(SEARCH("Commercial",IF(J405="NOT AVAILABLE","",J405)))),25,IF(ISNUMBER(SEARCH("Informational",IF(J405="NOT AVAILABLE","",J405))),10,IF(ISNUMBER(SEARCH("Navigational",IF(J405="NOT AVAILABLE","",J405))),0,12))))</f>
        <v/>
      </c>
      <c r="Q405">
        <f>IF(ISNUMBER(F405),MIN(30,ROUND(30*LOG10(F405+1)/4,1)),0)</f>
        <v/>
      </c>
      <c r="R405">
        <f>IF(ISNUMBER(G405),ROUND(25*(100-G405)/100,1),12.5)</f>
        <v/>
      </c>
      <c r="S405" t="n">
        <v>20</v>
      </c>
      <c r="T405">
        <f>ROUND(P405+Q405+R405+S405,0)</f>
        <v/>
      </c>
      <c r="U405" s="5" t="inlineStr"/>
      <c r="V405" s="5" t="inlineStr">
        <is>
          <t>SUPPORTING /tools/website-analyzer</t>
        </is>
      </c>
    </row>
    <row r="406">
      <c r="A406" t="inlineStr">
        <is>
          <t>K0404</t>
        </is>
      </c>
      <c r="B406" t="inlineStr">
        <is>
          <t>test ssl</t>
        </is>
      </c>
      <c r="C406" t="inlineStr">
        <is>
          <t>Morocco</t>
        </is>
      </c>
      <c r="D406" t="inlineStr">
        <is>
          <t>ma</t>
        </is>
      </c>
      <c r="E406" t="inlineStr">
        <is>
          <t>fr</t>
        </is>
      </c>
      <c r="F406" t="n">
        <v>20</v>
      </c>
      <c r="G406" t="inlineStr">
        <is>
          <t>NOT AVAILABLE</t>
        </is>
      </c>
      <c r="H406" t="n">
        <v>0</v>
      </c>
      <c r="I406" t="n">
        <v>0.02</v>
      </c>
      <c r="J406" t="inlineStr">
        <is>
          <t>NOT AVAILABLE</t>
        </is>
      </c>
      <c r="K406" t="inlineStr">
        <is>
          <t>NOT AVAILABLE (report not requested)</t>
        </is>
      </c>
      <c r="L406" t="inlineStr">
        <is>
          <t>declining (calc.)</t>
        </is>
      </c>
      <c r="M406" t="inlineStr">
        <is>
          <t>MEASURED</t>
        </is>
      </c>
      <c r="N406" s="5" t="inlineStr">
        <is>
          <t>Semrush phrase_these (live, this session)</t>
        </is>
      </c>
      <c r="O406" t="inlineStr">
        <is>
          <t>2026-10-30</t>
        </is>
      </c>
      <c r="P406">
        <f>IF(IF(J406="NOT AVAILABLE","",J406)="",12,IF(OR(ISNUMBER(SEARCH("Transactional",IF(J406="NOT AVAILABLE","",J406))),ISNUMBER(SEARCH("Commercial",IF(J406="NOT AVAILABLE","",J406)))),25,IF(ISNUMBER(SEARCH("Informational",IF(J406="NOT AVAILABLE","",J406))),10,IF(ISNUMBER(SEARCH("Navigational",IF(J406="NOT AVAILABLE","",J406))),0,12))))</f>
        <v/>
      </c>
      <c r="Q406">
        <f>IF(ISNUMBER(F406),MIN(30,ROUND(30*LOG10(F406+1)/4,1)),0)</f>
        <v/>
      </c>
      <c r="R406">
        <f>IF(ISNUMBER(G406),ROUND(25*(100-G406)/100,1),12.5)</f>
        <v/>
      </c>
      <c r="S406" t="n">
        <v>20</v>
      </c>
      <c r="T406">
        <f>ROUND(P406+Q406+R406+S406,0)</f>
        <v/>
      </c>
      <c r="U406" s="5" t="inlineStr"/>
      <c r="V406" s="5" t="inlineStr">
        <is>
          <t>SECONDARY /tools/ssl-certificate-checker</t>
        </is>
      </c>
    </row>
    <row r="407">
      <c r="A407" t="inlineStr">
        <is>
          <t>K0405</t>
        </is>
      </c>
      <c r="B407" t="inlineStr">
        <is>
          <t>test vitesse site web</t>
        </is>
      </c>
      <c r="C407" t="inlineStr">
        <is>
          <t>Morocco</t>
        </is>
      </c>
      <c r="D407" t="inlineStr">
        <is>
          <t>ma</t>
        </is>
      </c>
      <c r="E407" t="inlineStr">
        <is>
          <t>fr</t>
        </is>
      </c>
      <c r="F407" t="n">
        <v>20</v>
      </c>
      <c r="G407" t="inlineStr">
        <is>
          <t>NOT AVAILABLE</t>
        </is>
      </c>
      <c r="H407" t="n">
        <v>0</v>
      </c>
      <c r="I407" t="n">
        <v>0.08</v>
      </c>
      <c r="J407" t="inlineStr">
        <is>
          <t>NOT AVAILABLE</t>
        </is>
      </c>
      <c r="K407" t="inlineStr">
        <is>
          <t>NOT AVAILABLE (report not requested)</t>
        </is>
      </c>
      <c r="L407" t="inlineStr">
        <is>
          <t>declining (calc.)</t>
        </is>
      </c>
      <c r="M407" t="inlineStr">
        <is>
          <t>MEASURED</t>
        </is>
      </c>
      <c r="N407" s="5" t="inlineStr">
        <is>
          <t>Semrush phrase_these (live, this session)</t>
        </is>
      </c>
      <c r="O407" t="inlineStr">
        <is>
          <t>2026-10-30</t>
        </is>
      </c>
      <c r="P407">
        <f>IF(IF(J407="NOT AVAILABLE","",J407)="",12,IF(OR(ISNUMBER(SEARCH("Transactional",IF(J407="NOT AVAILABLE","",J407))),ISNUMBER(SEARCH("Commercial",IF(J407="NOT AVAILABLE","",J407)))),25,IF(ISNUMBER(SEARCH("Informational",IF(J407="NOT AVAILABLE","",J407))),10,IF(ISNUMBER(SEARCH("Navigational",IF(J407="NOT AVAILABLE","",J407))),0,12))))</f>
        <v/>
      </c>
      <c r="Q407">
        <f>IF(ISNUMBER(F407),MIN(30,ROUND(30*LOG10(F407+1)/4,1)),0)</f>
        <v/>
      </c>
      <c r="R407">
        <f>IF(ISNUMBER(G407),ROUND(25*(100-G407)/100,1),12.5)</f>
        <v/>
      </c>
      <c r="S407" t="n">
        <v>20</v>
      </c>
      <c r="T407">
        <f>ROUND(P407+Q407+R407+S407,0)</f>
        <v/>
      </c>
      <c r="U407" s="5" t="inlineStr"/>
      <c r="V407" s="5" t="inlineStr">
        <is>
          <t>SECONDARY /tools/page-speed-analyzer</t>
        </is>
      </c>
    </row>
    <row r="408">
      <c r="A408" t="inlineStr">
        <is>
          <t>K0406</t>
        </is>
      </c>
      <c r="B408" t="inlineStr">
        <is>
          <t>tester vitesse site web</t>
        </is>
      </c>
      <c r="C408" t="inlineStr">
        <is>
          <t>Morocco</t>
        </is>
      </c>
      <c r="D408" t="inlineStr">
        <is>
          <t>ma</t>
        </is>
      </c>
      <c r="E408" t="inlineStr">
        <is>
          <t>fr</t>
        </is>
      </c>
      <c r="F408" t="n">
        <v>20</v>
      </c>
      <c r="G408" t="inlineStr">
        <is>
          <t>NOT AVAILABLE</t>
        </is>
      </c>
      <c r="H408" t="n">
        <v>0</v>
      </c>
      <c r="I408" t="n">
        <v>0.08</v>
      </c>
      <c r="J408" t="inlineStr">
        <is>
          <t>NOT AVAILABLE</t>
        </is>
      </c>
      <c r="K408" t="inlineStr">
        <is>
          <t>NOT AVAILABLE (report not requested)</t>
        </is>
      </c>
      <c r="L408" t="inlineStr">
        <is>
          <t>declining (calc.)</t>
        </is>
      </c>
      <c r="M408" t="inlineStr">
        <is>
          <t>MEASURED</t>
        </is>
      </c>
      <c r="N408" s="5" t="inlineStr">
        <is>
          <t>Semrush phrase_these (live, this session)</t>
        </is>
      </c>
      <c r="O408" t="inlineStr">
        <is>
          <t>2026-10-30</t>
        </is>
      </c>
      <c r="P408">
        <f>IF(IF(J408="NOT AVAILABLE","",J408)="",12,IF(OR(ISNUMBER(SEARCH("Transactional",IF(J408="NOT AVAILABLE","",J408))),ISNUMBER(SEARCH("Commercial",IF(J408="NOT AVAILABLE","",J408)))),25,IF(ISNUMBER(SEARCH("Informational",IF(J408="NOT AVAILABLE","",J408))),10,IF(ISNUMBER(SEARCH("Navigational",IF(J408="NOT AVAILABLE","",J408))),0,12))))</f>
        <v/>
      </c>
      <c r="Q408">
        <f>IF(ISNUMBER(F408),MIN(30,ROUND(30*LOG10(F408+1)/4,1)),0)</f>
        <v/>
      </c>
      <c r="R408">
        <f>IF(ISNUMBER(G408),ROUND(25*(100-G408)/100,1),12.5)</f>
        <v/>
      </c>
      <c r="S408" t="n">
        <v>20</v>
      </c>
      <c r="T408">
        <f>ROUND(P408+Q408+R408+S408,0)</f>
        <v/>
      </c>
      <c r="U408" s="5" t="inlineStr"/>
      <c r="V408" s="5" t="inlineStr">
        <is>
          <t>SUPPORTING /tools/page-speed-analyzer</t>
        </is>
      </c>
    </row>
    <row r="409">
      <c r="A409" t="inlineStr">
        <is>
          <t>K0407</t>
        </is>
      </c>
      <c r="B409" t="inlineStr">
        <is>
          <t>vendre des formations en ligne</t>
        </is>
      </c>
      <c r="C409" t="inlineStr">
        <is>
          <t>Morocco</t>
        </is>
      </c>
      <c r="D409" t="inlineStr">
        <is>
          <t>ma</t>
        </is>
      </c>
      <c r="E409" t="inlineStr">
        <is>
          <t>fr</t>
        </is>
      </c>
      <c r="F409" t="n">
        <v>20</v>
      </c>
      <c r="G409" t="inlineStr">
        <is>
          <t>NOT AVAILABLE</t>
        </is>
      </c>
      <c r="H409" t="n">
        <v>0</v>
      </c>
      <c r="I409" t="n">
        <v>0.23</v>
      </c>
      <c r="J409" t="inlineStr">
        <is>
          <t>NOT AVAILABLE</t>
        </is>
      </c>
      <c r="K409" t="inlineStr">
        <is>
          <t>NOT AVAILABLE (report not requested)</t>
        </is>
      </c>
      <c r="L409" t="inlineStr">
        <is>
          <t>rising (calc.)</t>
        </is>
      </c>
      <c r="M409" t="inlineStr">
        <is>
          <t>MEASURED</t>
        </is>
      </c>
      <c r="N409" s="5" t="inlineStr">
        <is>
          <t>Semrush phrase_these (live, this session)</t>
        </is>
      </c>
      <c r="O409" t="inlineStr">
        <is>
          <t>2026-10-30</t>
        </is>
      </c>
      <c r="P409">
        <f>IF(IF(J409="NOT AVAILABLE","",J409)="",12,IF(OR(ISNUMBER(SEARCH("Transactional",IF(J409="NOT AVAILABLE","",J409))),ISNUMBER(SEARCH("Commercial",IF(J409="NOT AVAILABLE","",J409)))),25,IF(ISNUMBER(SEARCH("Informational",IF(J409="NOT AVAILABLE","",J409))),10,IF(ISNUMBER(SEARCH("Navigational",IF(J409="NOT AVAILABLE","",J409))),0,12))))</f>
        <v/>
      </c>
      <c r="Q409">
        <f>IF(ISNUMBER(F409),MIN(30,ROUND(30*LOG10(F409+1)/4,1)),0)</f>
        <v/>
      </c>
      <c r="R409">
        <f>IF(ISNUMBER(G409),ROUND(25*(100-G409)/100,1),12.5)</f>
        <v/>
      </c>
      <c r="S409" t="n">
        <v>20</v>
      </c>
      <c r="T409">
        <f>ROUND(P409+Q409+R409+S409,0)</f>
        <v/>
      </c>
      <c r="U409" s="5" t="inlineStr"/>
      <c r="V409" s="5" t="inlineStr">
        <is>
          <t>SUPPORTING /services/online-course-platform-development</t>
        </is>
      </c>
    </row>
    <row r="410">
      <c r="A410" t="inlineStr">
        <is>
          <t>K0408</t>
        </is>
      </c>
      <c r="B410" t="inlineStr">
        <is>
          <t>vendre en ligne maroc</t>
        </is>
      </c>
      <c r="C410" t="inlineStr">
        <is>
          <t>Morocco</t>
        </is>
      </c>
      <c r="D410" t="inlineStr">
        <is>
          <t>ma</t>
        </is>
      </c>
      <c r="E410" t="inlineStr">
        <is>
          <t>fr</t>
        </is>
      </c>
      <c r="F410" t="n">
        <v>20</v>
      </c>
      <c r="G410" t="inlineStr">
        <is>
          <t>NOT AVAILABLE</t>
        </is>
      </c>
      <c r="H410" t="n">
        <v>0.3</v>
      </c>
      <c r="I410" t="n">
        <v>0.33</v>
      </c>
      <c r="J410" t="inlineStr">
        <is>
          <t>NOT AVAILABLE</t>
        </is>
      </c>
      <c r="K410" t="inlineStr">
        <is>
          <t>NOT AVAILABLE (report not requested)</t>
        </is>
      </c>
      <c r="L410" t="inlineStr">
        <is>
          <t>declining (calc.)</t>
        </is>
      </c>
      <c r="M410" t="inlineStr">
        <is>
          <t>MEASURED</t>
        </is>
      </c>
      <c r="N410" s="5" t="inlineStr">
        <is>
          <t>Semrush phrase_these (historical w3-validate-B-ecommerce.csv)</t>
        </is>
      </c>
      <c r="O410" t="inlineStr">
        <is>
          <t>2026-10-27</t>
        </is>
      </c>
      <c r="P410">
        <f>IF(IF(J410="NOT AVAILABLE","",J410)="",12,IF(OR(ISNUMBER(SEARCH("Transactional",IF(J410="NOT AVAILABLE","",J410))),ISNUMBER(SEARCH("Commercial",IF(J410="NOT AVAILABLE","",J410)))),25,IF(ISNUMBER(SEARCH("Informational",IF(J410="NOT AVAILABLE","",J410))),10,IF(ISNUMBER(SEARCH("Navigational",IF(J410="NOT AVAILABLE","",J410))),0,12))))</f>
        <v/>
      </c>
      <c r="Q410">
        <f>IF(ISNUMBER(F410),MIN(30,ROUND(30*LOG10(F410+1)/4,1)),0)</f>
        <v/>
      </c>
      <c r="R410">
        <f>IF(ISNUMBER(G410),ROUND(25*(100-G410)/100,1),12.5)</f>
        <v/>
      </c>
      <c r="S410" t="n">
        <v>20</v>
      </c>
      <c r="T410">
        <f>ROUND(P410+Q410+R410+S410,0)</f>
        <v/>
      </c>
      <c r="U410" s="5" t="inlineStr"/>
      <c r="V410" s="5" t="inlineStr"/>
    </row>
    <row r="411">
      <c r="A411" t="inlineStr">
        <is>
          <t>K0409</t>
        </is>
      </c>
      <c r="B411" t="inlineStr">
        <is>
          <t>vérifier certificat ssl</t>
        </is>
      </c>
      <c r="C411" t="inlineStr">
        <is>
          <t>Morocco</t>
        </is>
      </c>
      <c r="D411" t="inlineStr">
        <is>
          <t>ma</t>
        </is>
      </c>
      <c r="E411" t="inlineStr">
        <is>
          <t>fr</t>
        </is>
      </c>
      <c r="F411" t="n">
        <v>20</v>
      </c>
      <c r="G411" t="inlineStr">
        <is>
          <t>NOT AVAILABLE</t>
        </is>
      </c>
      <c r="H411" t="n">
        <v>0</v>
      </c>
      <c r="I411" t="n">
        <v>0.33</v>
      </c>
      <c r="J411" t="inlineStr">
        <is>
          <t>NOT AVAILABLE</t>
        </is>
      </c>
      <c r="K411" t="inlineStr">
        <is>
          <t>NOT AVAILABLE (report not requested)</t>
        </is>
      </c>
      <c r="L411" t="inlineStr">
        <is>
          <t>rising (calc.)</t>
        </is>
      </c>
      <c r="M411" t="inlineStr">
        <is>
          <t>MEASURED</t>
        </is>
      </c>
      <c r="N411" s="5" t="inlineStr">
        <is>
          <t>Semrush phrase_these (live, this session)</t>
        </is>
      </c>
      <c r="O411" t="inlineStr">
        <is>
          <t>2026-10-30</t>
        </is>
      </c>
      <c r="P411">
        <f>IF(IF(J411="NOT AVAILABLE","",J411)="",12,IF(OR(ISNUMBER(SEARCH("Transactional",IF(J411="NOT AVAILABLE","",J411))),ISNUMBER(SEARCH("Commercial",IF(J411="NOT AVAILABLE","",J411)))),25,IF(ISNUMBER(SEARCH("Informational",IF(J411="NOT AVAILABLE","",J411))),10,IF(ISNUMBER(SEARCH("Navigational",IF(J411="NOT AVAILABLE","",J411))),0,12))))</f>
        <v/>
      </c>
      <c r="Q411">
        <f>IF(ISNUMBER(F411),MIN(30,ROUND(30*LOG10(F411+1)/4,1)),0)</f>
        <v/>
      </c>
      <c r="R411">
        <f>IF(ISNUMBER(G411),ROUND(25*(100-G411)/100,1),12.5)</f>
        <v/>
      </c>
      <c r="S411" t="n">
        <v>20</v>
      </c>
      <c r="T411">
        <f>ROUND(P411+Q411+R411+S411,0)</f>
        <v/>
      </c>
      <c r="U411" s="5" t="inlineStr"/>
      <c r="V411" s="5" t="inlineStr">
        <is>
          <t>SUPPORTING /tools/ssl-certificate-checker</t>
        </is>
      </c>
    </row>
    <row r="412">
      <c r="A412" t="inlineStr">
        <is>
          <t>K0410</t>
        </is>
      </c>
      <c r="B412" t="inlineStr">
        <is>
          <t>vérifier domaine</t>
        </is>
      </c>
      <c r="C412" t="inlineStr">
        <is>
          <t>Morocco</t>
        </is>
      </c>
      <c r="D412" t="inlineStr">
        <is>
          <t>ma</t>
        </is>
      </c>
      <c r="E412" t="inlineStr">
        <is>
          <t>fr</t>
        </is>
      </c>
      <c r="F412" t="n">
        <v>20</v>
      </c>
      <c r="G412" t="inlineStr">
        <is>
          <t>NOT AVAILABLE</t>
        </is>
      </c>
      <c r="H412" t="n">
        <v>0.43</v>
      </c>
      <c r="I412" t="n">
        <v>0.91</v>
      </c>
      <c r="J412" t="inlineStr">
        <is>
          <t>NOT AVAILABLE</t>
        </is>
      </c>
      <c r="K412" t="inlineStr">
        <is>
          <t>NOT AVAILABLE (report not requested)</t>
        </is>
      </c>
      <c r="L412" t="inlineStr">
        <is>
          <t>rising (calc.)</t>
        </is>
      </c>
      <c r="M412" t="inlineStr">
        <is>
          <t>MEASURED</t>
        </is>
      </c>
      <c r="N412" s="5" t="inlineStr">
        <is>
          <t>Semrush phrase_these (live, this session)</t>
        </is>
      </c>
      <c r="O412" t="inlineStr">
        <is>
          <t>2026-10-30</t>
        </is>
      </c>
      <c r="P412">
        <f>IF(IF(J412="NOT AVAILABLE","",J412)="",12,IF(OR(ISNUMBER(SEARCH("Transactional",IF(J412="NOT AVAILABLE","",J412))),ISNUMBER(SEARCH("Commercial",IF(J412="NOT AVAILABLE","",J412)))),25,IF(ISNUMBER(SEARCH("Informational",IF(J412="NOT AVAILABLE","",J412))),10,IF(ISNUMBER(SEARCH("Navigational",IF(J412="NOT AVAILABLE","",J412))),0,12))))</f>
        <v/>
      </c>
      <c r="Q412">
        <f>IF(ISNUMBER(F412),MIN(30,ROUND(30*LOG10(F412+1)/4,1)),0)</f>
        <v/>
      </c>
      <c r="R412">
        <f>IF(ISNUMBER(G412),ROUND(25*(100-G412)/100,1),12.5)</f>
        <v/>
      </c>
      <c r="S412" t="n">
        <v>20</v>
      </c>
      <c r="T412">
        <f>ROUND(P412+Q412+R412+S412,0)</f>
        <v/>
      </c>
      <c r="U412" s="5" t="inlineStr"/>
      <c r="V412" s="5" t="inlineStr">
        <is>
          <t>SUPPORTING /tools/domain-health-checker</t>
        </is>
      </c>
    </row>
    <row r="413">
      <c r="A413" t="inlineStr">
        <is>
          <t>K0411</t>
        </is>
      </c>
      <c r="B413" t="inlineStr">
        <is>
          <t>web agency marrakech</t>
        </is>
      </c>
      <c r="C413" t="inlineStr">
        <is>
          <t>Morocco</t>
        </is>
      </c>
      <c r="D413" t="inlineStr">
        <is>
          <t>ma</t>
        </is>
      </c>
      <c r="E413" t="inlineStr">
        <is>
          <t>fr</t>
        </is>
      </c>
      <c r="F413" t="n">
        <v>20</v>
      </c>
      <c r="G413" t="inlineStr">
        <is>
          <t>NOT AVAILABLE</t>
        </is>
      </c>
      <c r="H413" t="n">
        <v>0</v>
      </c>
      <c r="I413" t="n">
        <v>0.18</v>
      </c>
      <c r="J413" t="inlineStr">
        <is>
          <t>NOT AVAILABLE</t>
        </is>
      </c>
      <c r="K413" t="inlineStr">
        <is>
          <t>NOT AVAILABLE (report not requested)</t>
        </is>
      </c>
      <c r="L413" t="inlineStr">
        <is>
          <t>stable (calc.)</t>
        </is>
      </c>
      <c r="M413" t="inlineStr">
        <is>
          <t>MEASURED</t>
        </is>
      </c>
      <c r="N413" s="5" t="inlineStr">
        <is>
          <t>Semrush phrase_these (live, this session)</t>
        </is>
      </c>
      <c r="O413" t="inlineStr">
        <is>
          <t>2026-10-30</t>
        </is>
      </c>
      <c r="P413">
        <f>IF(IF(J413="NOT AVAILABLE","",J413)="",12,IF(OR(ISNUMBER(SEARCH("Transactional",IF(J413="NOT AVAILABLE","",J413))),ISNUMBER(SEARCH("Commercial",IF(J413="NOT AVAILABLE","",J413)))),25,IF(ISNUMBER(SEARCH("Informational",IF(J413="NOT AVAILABLE","",J413))),10,IF(ISNUMBER(SEARCH("Navigational",IF(J413="NOT AVAILABLE","",J413))),0,12))))</f>
        <v/>
      </c>
      <c r="Q413">
        <f>IF(ISNUMBER(F413),MIN(30,ROUND(30*LOG10(F413+1)/4,1)),0)</f>
        <v/>
      </c>
      <c r="R413">
        <f>IF(ISNUMBER(G413),ROUND(25*(100-G413)/100,1),12.5)</f>
        <v/>
      </c>
      <c r="S413" t="n">
        <v>20</v>
      </c>
      <c r="T413">
        <f>ROUND(P413+Q413+R413+S413,0)</f>
        <v/>
      </c>
      <c r="U413" s="5" t="inlineStr"/>
      <c r="V413" s="5" t="inlineStr">
        <is>
          <t>SUPPORTING /web-development-company/marrakech</t>
        </is>
      </c>
    </row>
    <row r="414">
      <c r="A414" t="inlineStr">
        <is>
          <t>K0412</t>
        </is>
      </c>
      <c r="B414" t="inlineStr">
        <is>
          <t>woocommerce maroc</t>
        </is>
      </c>
      <c r="C414" t="inlineStr">
        <is>
          <t>Morocco</t>
        </is>
      </c>
      <c r="D414" t="inlineStr">
        <is>
          <t>ma</t>
        </is>
      </c>
      <c r="E414" t="inlineStr">
        <is>
          <t>fr</t>
        </is>
      </c>
      <c r="F414" t="n">
        <v>20</v>
      </c>
      <c r="G414" t="inlineStr">
        <is>
          <t>NOT AVAILABLE</t>
        </is>
      </c>
      <c r="H414" t="n">
        <v>0.27</v>
      </c>
      <c r="I414" t="n">
        <v>0.71</v>
      </c>
      <c r="J414" t="inlineStr">
        <is>
          <t>NOT AVAILABLE</t>
        </is>
      </c>
      <c r="K414" t="inlineStr">
        <is>
          <t>NOT AVAILABLE (report not requested)</t>
        </is>
      </c>
      <c r="L414" t="inlineStr">
        <is>
          <t>rising (calc.)</t>
        </is>
      </c>
      <c r="M414" t="inlineStr">
        <is>
          <t>MEASURED</t>
        </is>
      </c>
      <c r="N414" s="5" t="inlineStr">
        <is>
          <t>Semrush phrase_these (live, this session)</t>
        </is>
      </c>
      <c r="O414" t="inlineStr">
        <is>
          <t>2026-10-30</t>
        </is>
      </c>
      <c r="P414">
        <f>IF(IF(J414="NOT AVAILABLE","",J414)="",12,IF(OR(ISNUMBER(SEARCH("Transactional",IF(J414="NOT AVAILABLE","",J414))),ISNUMBER(SEARCH("Commercial",IF(J414="NOT AVAILABLE","",J414)))),25,IF(ISNUMBER(SEARCH("Informational",IF(J414="NOT AVAILABLE","",J414))),10,IF(ISNUMBER(SEARCH("Navigational",IF(J414="NOT AVAILABLE","",J414))),0,12))))</f>
        <v/>
      </c>
      <c r="Q414">
        <f>IF(ISNUMBER(F414),MIN(30,ROUND(30*LOG10(F414+1)/4,1)),0)</f>
        <v/>
      </c>
      <c r="R414">
        <f>IF(ISNUMBER(G414),ROUND(25*(100-G414)/100,1),12.5)</f>
        <v/>
      </c>
      <c r="S414" t="n">
        <v>20</v>
      </c>
      <c r="T414">
        <f>ROUND(P414+Q414+R414+S414,0)</f>
        <v/>
      </c>
      <c r="U414" s="5" t="inlineStr"/>
      <c r="V414" s="5" t="inlineStr">
        <is>
          <t>SUPPORTING /services/ecommerce-website-development</t>
        </is>
      </c>
    </row>
    <row r="415">
      <c r="A415" t="inlineStr">
        <is>
          <t>K0413</t>
        </is>
      </c>
      <c r="B415" t="inlineStr">
        <is>
          <t>agence création site web maroc</t>
        </is>
      </c>
      <c r="C415" t="inlineStr">
        <is>
          <t>Morocco</t>
        </is>
      </c>
      <c r="D415" t="inlineStr">
        <is>
          <t>ma</t>
        </is>
      </c>
      <c r="E415" t="inlineStr">
        <is>
          <t>fr</t>
        </is>
      </c>
      <c r="F415" t="n">
        <v>10</v>
      </c>
      <c r="G415" t="inlineStr">
        <is>
          <t>NOT AVAILABLE</t>
        </is>
      </c>
      <c r="H415" t="n">
        <v>0.5</v>
      </c>
      <c r="I415" t="n">
        <v>0.26</v>
      </c>
      <c r="J415" t="inlineStr">
        <is>
          <t>NOT AVAILABLE</t>
        </is>
      </c>
      <c r="K415" t="inlineStr">
        <is>
          <t>NOT AVAILABLE (report not requested)</t>
        </is>
      </c>
      <c r="L415" t="inlineStr">
        <is>
          <t>rising (calc.)</t>
        </is>
      </c>
      <c r="M415" t="inlineStr">
        <is>
          <t>MEASURED</t>
        </is>
      </c>
      <c r="N415" s="5" t="inlineStr">
        <is>
          <t>Semrush phrase_these (live, this session)</t>
        </is>
      </c>
      <c r="O415" t="inlineStr">
        <is>
          <t>2026-10-30</t>
        </is>
      </c>
      <c r="P415">
        <f>IF(IF(J415="NOT AVAILABLE","",J415)="",12,IF(OR(ISNUMBER(SEARCH("Transactional",IF(J415="NOT AVAILABLE","",J415))),ISNUMBER(SEARCH("Commercial",IF(J415="NOT AVAILABLE","",J415)))),25,IF(ISNUMBER(SEARCH("Informational",IF(J415="NOT AVAILABLE","",J415))),10,IF(ISNUMBER(SEARCH("Navigational",IF(J415="NOT AVAILABLE","",J415))),0,12))))</f>
        <v/>
      </c>
      <c r="Q415">
        <f>IF(ISNUMBER(F415),MIN(30,ROUND(30*LOG10(F415+1)/4,1)),0)</f>
        <v/>
      </c>
      <c r="R415">
        <f>IF(ISNUMBER(G415),ROUND(25*(100-G415)/100,1),12.5)</f>
        <v/>
      </c>
      <c r="S415" t="n">
        <v>20</v>
      </c>
      <c r="T415">
        <f>ROUND(P415+Q415+R415+S415,0)</f>
        <v/>
      </c>
      <c r="U415" s="5" t="inlineStr"/>
      <c r="V415" s="5" t="inlineStr"/>
    </row>
    <row r="416">
      <c r="A416" t="inlineStr">
        <is>
          <t>K0414</t>
        </is>
      </c>
      <c r="B416" t="inlineStr">
        <is>
          <t>agence de communication fes</t>
        </is>
      </c>
      <c r="C416" t="inlineStr">
        <is>
          <t>Morocco</t>
        </is>
      </c>
      <c r="D416" t="inlineStr">
        <is>
          <t>ma</t>
        </is>
      </c>
      <c r="E416" t="inlineStr">
        <is>
          <t>fr</t>
        </is>
      </c>
      <c r="F416" t="n">
        <v>10</v>
      </c>
      <c r="G416" t="inlineStr">
        <is>
          <t>NOT AVAILABLE</t>
        </is>
      </c>
      <c r="H416" t="n">
        <v>0.27</v>
      </c>
      <c r="I416" t="n">
        <v>0.12</v>
      </c>
      <c r="J416" t="inlineStr">
        <is>
          <t>NOT AVAILABLE</t>
        </is>
      </c>
      <c r="K416" t="inlineStr">
        <is>
          <t>NOT AVAILABLE (report not requested)</t>
        </is>
      </c>
      <c r="L416" t="inlineStr">
        <is>
          <t>declining (calc.)</t>
        </is>
      </c>
      <c r="M416" t="inlineStr">
        <is>
          <t>MEASURED</t>
        </is>
      </c>
      <c r="N416" s="5" t="inlineStr">
        <is>
          <t>Semrush phrase_these (historical w3-validate-F-cities.csv)</t>
        </is>
      </c>
      <c r="O416" t="inlineStr">
        <is>
          <t>2026-10-27</t>
        </is>
      </c>
      <c r="P416">
        <f>IF(IF(J416="NOT AVAILABLE","",J416)="",12,IF(OR(ISNUMBER(SEARCH("Transactional",IF(J416="NOT AVAILABLE","",J416))),ISNUMBER(SEARCH("Commercial",IF(J416="NOT AVAILABLE","",J416)))),25,IF(ISNUMBER(SEARCH("Informational",IF(J416="NOT AVAILABLE","",J416))),10,IF(ISNUMBER(SEARCH("Navigational",IF(J416="NOT AVAILABLE","",J416))),0,12))))</f>
        <v/>
      </c>
      <c r="Q416">
        <f>IF(ISNUMBER(F416),MIN(30,ROUND(30*LOG10(F416+1)/4,1)),0)</f>
        <v/>
      </c>
      <c r="R416">
        <f>IF(ISNUMBER(G416),ROUND(25*(100-G416)/100,1),12.5)</f>
        <v/>
      </c>
      <c r="S416" t="n">
        <v>20</v>
      </c>
      <c r="T416">
        <f>ROUND(P416+Q416+R416+S416,0)</f>
        <v/>
      </c>
      <c r="U416" s="5" t="inlineStr"/>
      <c r="V416" s="5" t="inlineStr"/>
    </row>
    <row r="417">
      <c r="A417" t="inlineStr">
        <is>
          <t>K0415</t>
        </is>
      </c>
      <c r="B417" t="inlineStr">
        <is>
          <t>agence de référencement casablanca</t>
        </is>
      </c>
      <c r="C417" t="inlineStr">
        <is>
          <t>Morocco</t>
        </is>
      </c>
      <c r="D417" t="inlineStr">
        <is>
          <t>ma</t>
        </is>
      </c>
      <c r="E417" t="inlineStr">
        <is>
          <t>fr</t>
        </is>
      </c>
      <c r="F417" t="n">
        <v>10</v>
      </c>
      <c r="G417" t="inlineStr">
        <is>
          <t>NOT AVAILABLE</t>
        </is>
      </c>
      <c r="H417" t="n">
        <v>0</v>
      </c>
      <c r="I417" t="n">
        <v>0.33</v>
      </c>
      <c r="J417" t="inlineStr">
        <is>
          <t>NOT AVAILABLE</t>
        </is>
      </c>
      <c r="K417" t="inlineStr">
        <is>
          <t>NOT AVAILABLE (report not requested)</t>
        </is>
      </c>
      <c r="L417" t="inlineStr">
        <is>
          <t>rising (calc.)</t>
        </is>
      </c>
      <c r="M417" t="inlineStr">
        <is>
          <t>MEASURED</t>
        </is>
      </c>
      <c r="N417" s="5" t="inlineStr">
        <is>
          <t>Semrush phrase_these (historical w3-validate-C-seo.csv)</t>
        </is>
      </c>
      <c r="O417" t="inlineStr">
        <is>
          <t>2026-10-27</t>
        </is>
      </c>
      <c r="P417">
        <f>IF(IF(J417="NOT AVAILABLE","",J417)="",12,IF(OR(ISNUMBER(SEARCH("Transactional",IF(J417="NOT AVAILABLE","",J417))),ISNUMBER(SEARCH("Commercial",IF(J417="NOT AVAILABLE","",J417)))),25,IF(ISNUMBER(SEARCH("Informational",IF(J417="NOT AVAILABLE","",J417))),10,IF(ISNUMBER(SEARCH("Navigational",IF(J417="NOT AVAILABLE","",J417))),0,12))))</f>
        <v/>
      </c>
      <c r="Q417">
        <f>IF(ISNUMBER(F417),MIN(30,ROUND(30*LOG10(F417+1)/4,1)),0)</f>
        <v/>
      </c>
      <c r="R417">
        <f>IF(ISNUMBER(G417),ROUND(25*(100-G417)/100,1),12.5)</f>
        <v/>
      </c>
      <c r="S417" t="n">
        <v>20</v>
      </c>
      <c r="T417">
        <f>ROUND(P417+Q417+R417+S417,0)</f>
        <v/>
      </c>
      <c r="U417" s="5" t="inlineStr"/>
      <c r="V417" s="5" t="inlineStr"/>
    </row>
    <row r="418">
      <c r="A418" t="inlineStr">
        <is>
          <t>K0416</t>
        </is>
      </c>
      <c r="B418" t="inlineStr">
        <is>
          <t>agence de référencement naturel</t>
        </is>
      </c>
      <c r="C418" t="inlineStr">
        <is>
          <t>Morocco</t>
        </is>
      </c>
      <c r="D418" t="inlineStr">
        <is>
          <t>ma</t>
        </is>
      </c>
      <c r="E418" t="inlineStr">
        <is>
          <t>fr</t>
        </is>
      </c>
      <c r="F418" t="n">
        <v>10</v>
      </c>
      <c r="G418" t="inlineStr">
        <is>
          <t>NOT AVAILABLE</t>
        </is>
      </c>
      <c r="H418" t="n">
        <v>0</v>
      </c>
      <c r="I418" t="n">
        <v>0.33</v>
      </c>
      <c r="J418" t="inlineStr">
        <is>
          <t>NOT AVAILABLE</t>
        </is>
      </c>
      <c r="K418" t="inlineStr">
        <is>
          <t>NOT AVAILABLE (report not requested)</t>
        </is>
      </c>
      <c r="L418" t="inlineStr">
        <is>
          <t>stable (calc.)</t>
        </is>
      </c>
      <c r="M418" t="inlineStr">
        <is>
          <t>MEASURED</t>
        </is>
      </c>
      <c r="N418" s="5" t="inlineStr">
        <is>
          <t>Semrush phrase_these (live, this session)</t>
        </is>
      </c>
      <c r="O418" t="inlineStr">
        <is>
          <t>2026-10-30</t>
        </is>
      </c>
      <c r="P418">
        <f>IF(IF(J418="NOT AVAILABLE","",J418)="",12,IF(OR(ISNUMBER(SEARCH("Transactional",IF(J418="NOT AVAILABLE","",J418))),ISNUMBER(SEARCH("Commercial",IF(J418="NOT AVAILABLE","",J418)))),25,IF(ISNUMBER(SEARCH("Informational",IF(J418="NOT AVAILABLE","",J418))),10,IF(ISNUMBER(SEARCH("Navigational",IF(J418="NOT AVAILABLE","",J418))),0,12))))</f>
        <v/>
      </c>
      <c r="Q418">
        <f>IF(ISNUMBER(F418),MIN(30,ROUND(30*LOG10(F418+1)/4,1)),0)</f>
        <v/>
      </c>
      <c r="R418">
        <f>IF(ISNUMBER(G418),ROUND(25*(100-G418)/100,1),12.5)</f>
        <v/>
      </c>
      <c r="S418" t="n">
        <v>20</v>
      </c>
      <c r="T418">
        <f>ROUND(P418+Q418+R418+S418,0)</f>
        <v/>
      </c>
      <c r="U418" s="5" t="inlineStr"/>
      <c r="V418" s="5" t="inlineStr"/>
    </row>
    <row r="419">
      <c r="A419" t="inlineStr">
        <is>
          <t>K0417</t>
        </is>
      </c>
      <c r="B419" t="inlineStr">
        <is>
          <t>agence offshore maroc</t>
        </is>
      </c>
      <c r="C419" t="inlineStr">
        <is>
          <t>Morocco</t>
        </is>
      </c>
      <c r="D419" t="inlineStr">
        <is>
          <t>ma</t>
        </is>
      </c>
      <c r="E419" t="inlineStr">
        <is>
          <t>fr</t>
        </is>
      </c>
      <c r="F419" t="n">
        <v>10</v>
      </c>
      <c r="G419" t="inlineStr">
        <is>
          <t>NOT AVAILABLE</t>
        </is>
      </c>
      <c r="H419" t="n">
        <v>0</v>
      </c>
      <c r="I419" t="n">
        <v>0</v>
      </c>
      <c r="J419" t="inlineStr">
        <is>
          <t>NOT AVAILABLE</t>
        </is>
      </c>
      <c r="K419" t="inlineStr">
        <is>
          <t>NOT AVAILABLE (report not requested)</t>
        </is>
      </c>
      <c r="L419" t="inlineStr">
        <is>
          <t>stable (calc.)</t>
        </is>
      </c>
      <c r="M419" t="inlineStr">
        <is>
          <t>MEASURED</t>
        </is>
      </c>
      <c r="N419" s="5" t="inlineStr">
        <is>
          <t>Semrush phrase_these (live, this session)</t>
        </is>
      </c>
      <c r="O419" t="inlineStr">
        <is>
          <t>2026-10-30</t>
        </is>
      </c>
      <c r="P419">
        <f>IF(IF(J419="NOT AVAILABLE","",J419)="",12,IF(OR(ISNUMBER(SEARCH("Transactional",IF(J419="NOT AVAILABLE","",J419))),ISNUMBER(SEARCH("Commercial",IF(J419="NOT AVAILABLE","",J419)))),25,IF(ISNUMBER(SEARCH("Informational",IF(J419="NOT AVAILABLE","",J419))),10,IF(ISNUMBER(SEARCH("Navigational",IF(J419="NOT AVAILABLE","",J419))),0,12))))</f>
        <v/>
      </c>
      <c r="Q419">
        <f>IF(ISNUMBER(F419),MIN(30,ROUND(30*LOG10(F419+1)/4,1)),0)</f>
        <v/>
      </c>
      <c r="R419">
        <f>IF(ISNUMBER(G419),ROUND(25*(100-G419)/100,1),12.5)</f>
        <v/>
      </c>
      <c r="S419" t="n">
        <v>20</v>
      </c>
      <c r="T419">
        <f>ROUND(P419+Q419+R419+S419,0)</f>
        <v/>
      </c>
      <c r="U419" s="5" t="inlineStr"/>
      <c r="V419" s="5" t="inlineStr"/>
    </row>
    <row r="420">
      <c r="A420" t="inlineStr">
        <is>
          <t>K0418</t>
        </is>
      </c>
      <c r="B420" t="inlineStr">
        <is>
          <t>agence référencement casablanca</t>
        </is>
      </c>
      <c r="C420" t="inlineStr">
        <is>
          <t>Morocco</t>
        </is>
      </c>
      <c r="D420" t="inlineStr">
        <is>
          <t>ma</t>
        </is>
      </c>
      <c r="E420" t="inlineStr">
        <is>
          <t>fr</t>
        </is>
      </c>
      <c r="F420" t="n">
        <v>10</v>
      </c>
      <c r="G420" t="inlineStr">
        <is>
          <t>NOT AVAILABLE</t>
        </is>
      </c>
      <c r="H420" t="n">
        <v>0</v>
      </c>
      <c r="I420" t="n">
        <v>0.33</v>
      </c>
      <c r="J420" t="inlineStr">
        <is>
          <t>NOT AVAILABLE</t>
        </is>
      </c>
      <c r="K420" t="inlineStr">
        <is>
          <t>NOT AVAILABLE (report not requested)</t>
        </is>
      </c>
      <c r="L420" t="inlineStr">
        <is>
          <t>declining (calc.)</t>
        </is>
      </c>
      <c r="M420" t="inlineStr">
        <is>
          <t>MEASURED</t>
        </is>
      </c>
      <c r="N420" s="5" t="inlineStr">
        <is>
          <t>Semrush phrase_these (live, this session)</t>
        </is>
      </c>
      <c r="O420" t="inlineStr">
        <is>
          <t>2026-10-30</t>
        </is>
      </c>
      <c r="P420">
        <f>IF(IF(J420="NOT AVAILABLE","",J420)="",12,IF(OR(ISNUMBER(SEARCH("Transactional",IF(J420="NOT AVAILABLE","",J420))),ISNUMBER(SEARCH("Commercial",IF(J420="NOT AVAILABLE","",J420)))),25,IF(ISNUMBER(SEARCH("Informational",IF(J420="NOT AVAILABLE","",J420))),10,IF(ISNUMBER(SEARCH("Navigational",IF(J420="NOT AVAILABLE","",J420))),0,12))))</f>
        <v/>
      </c>
      <c r="Q420">
        <f>IF(ISNUMBER(F420),MIN(30,ROUND(30*LOG10(F420+1)/4,1)),0)</f>
        <v/>
      </c>
      <c r="R420">
        <f>IF(ISNUMBER(G420),ROUND(25*(100-G420)/100,1),12.5)</f>
        <v/>
      </c>
      <c r="S420" t="n">
        <v>20</v>
      </c>
      <c r="T420">
        <f>ROUND(P420+Q420+R420+S420,0)</f>
        <v/>
      </c>
      <c r="U420" s="5" t="inlineStr"/>
      <c r="V420" s="5" t="inlineStr"/>
    </row>
    <row r="421">
      <c r="A421" t="inlineStr">
        <is>
          <t>K0419</t>
        </is>
      </c>
      <c r="B421" t="inlineStr">
        <is>
          <t>agence seo rabat</t>
        </is>
      </c>
      <c r="C421" t="inlineStr">
        <is>
          <t>Morocco</t>
        </is>
      </c>
      <c r="D421" t="inlineStr">
        <is>
          <t>ma</t>
        </is>
      </c>
      <c r="E421" t="inlineStr">
        <is>
          <t>fr</t>
        </is>
      </c>
      <c r="F421" t="n">
        <v>10</v>
      </c>
      <c r="G421" t="inlineStr">
        <is>
          <t>NOT AVAILABLE</t>
        </is>
      </c>
      <c r="H421" t="n">
        <v>0</v>
      </c>
      <c r="I421" t="n">
        <v>0.02</v>
      </c>
      <c r="J421" t="inlineStr">
        <is>
          <t>NOT AVAILABLE</t>
        </is>
      </c>
      <c r="K421" t="inlineStr">
        <is>
          <t>NOT AVAILABLE (report not requested)</t>
        </is>
      </c>
      <c r="L421" t="inlineStr">
        <is>
          <t>declining (calc.)</t>
        </is>
      </c>
      <c r="M421" t="inlineStr">
        <is>
          <t>MEASURED</t>
        </is>
      </c>
      <c r="N421" s="5" t="inlineStr">
        <is>
          <t>Semrush phrase_these (live, this session)</t>
        </is>
      </c>
      <c r="O421" t="inlineStr">
        <is>
          <t>2026-10-30</t>
        </is>
      </c>
      <c r="P421">
        <f>IF(IF(J421="NOT AVAILABLE","",J421)="",12,IF(OR(ISNUMBER(SEARCH("Transactional",IF(J421="NOT AVAILABLE","",J421))),ISNUMBER(SEARCH("Commercial",IF(J421="NOT AVAILABLE","",J421)))),25,IF(ISNUMBER(SEARCH("Informational",IF(J421="NOT AVAILABLE","",J421))),10,IF(ISNUMBER(SEARCH("Navigational",IF(J421="NOT AVAILABLE","",J421))),0,12))))</f>
        <v/>
      </c>
      <c r="Q421">
        <f>IF(ISNUMBER(F421),MIN(30,ROUND(30*LOG10(F421+1)/4,1)),0)</f>
        <v/>
      </c>
      <c r="R421">
        <f>IF(ISNUMBER(G421),ROUND(25*(100-G421)/100,1),12.5)</f>
        <v/>
      </c>
      <c r="S421" t="n">
        <v>20</v>
      </c>
      <c r="T421">
        <f>ROUND(P421+Q421+R421+S421,0)</f>
        <v/>
      </c>
      <c r="U421" s="5" t="inlineStr"/>
      <c r="V421" s="5" t="inlineStr"/>
    </row>
    <row r="422">
      <c r="A422" t="inlineStr">
        <is>
          <t>K0420</t>
        </is>
      </c>
      <c r="B422" t="inlineStr">
        <is>
          <t>agence web à casablanca</t>
        </is>
      </c>
      <c r="C422" t="inlineStr">
        <is>
          <t>Morocco</t>
        </is>
      </c>
      <c r="D422" t="inlineStr">
        <is>
          <t>ma</t>
        </is>
      </c>
      <c r="E422" t="inlineStr">
        <is>
          <t>fr</t>
        </is>
      </c>
      <c r="F422" t="n">
        <v>10</v>
      </c>
      <c r="G422" t="inlineStr">
        <is>
          <t>NOT AVAILABLE</t>
        </is>
      </c>
      <c r="H422" t="n">
        <v>0</v>
      </c>
      <c r="I422" t="n">
        <v>0.01</v>
      </c>
      <c r="J422" t="inlineStr">
        <is>
          <t>NOT AVAILABLE</t>
        </is>
      </c>
      <c r="K422" t="inlineStr">
        <is>
          <t>NOT AVAILABLE (report not requested)</t>
        </is>
      </c>
      <c r="L422" t="inlineStr">
        <is>
          <t>stable (calc.)</t>
        </is>
      </c>
      <c r="M422" t="inlineStr">
        <is>
          <t>MEASURED</t>
        </is>
      </c>
      <c r="N422" s="5" t="inlineStr">
        <is>
          <t>Semrush phrase_these (live, this session)</t>
        </is>
      </c>
      <c r="O422" t="inlineStr">
        <is>
          <t>2026-10-30</t>
        </is>
      </c>
      <c r="P422">
        <f>IF(IF(J422="NOT AVAILABLE","",J422)="",12,IF(OR(ISNUMBER(SEARCH("Transactional",IF(J422="NOT AVAILABLE","",J422))),ISNUMBER(SEARCH("Commercial",IF(J422="NOT AVAILABLE","",J422)))),25,IF(ISNUMBER(SEARCH("Informational",IF(J422="NOT AVAILABLE","",J422))),10,IF(ISNUMBER(SEARCH("Navigational",IF(J422="NOT AVAILABLE","",J422))),0,12))))</f>
        <v/>
      </c>
      <c r="Q422">
        <f>IF(ISNUMBER(F422),MIN(30,ROUND(30*LOG10(F422+1)/4,1)),0)</f>
        <v/>
      </c>
      <c r="R422">
        <f>IF(ISNUMBER(G422),ROUND(25*(100-G422)/100,1),12.5)</f>
        <v/>
      </c>
      <c r="S422" t="n">
        <v>20</v>
      </c>
      <c r="T422">
        <f>ROUND(P422+Q422+R422+S422,0)</f>
        <v/>
      </c>
      <c r="U422" s="5" t="inlineStr"/>
      <c r="V422" s="5" t="inlineStr"/>
    </row>
    <row r="423">
      <c r="A423" t="inlineStr">
        <is>
          <t>K0421</t>
        </is>
      </c>
      <c r="B423" t="inlineStr">
        <is>
          <t>alt image seo</t>
        </is>
      </c>
      <c r="C423" t="inlineStr">
        <is>
          <t>Morocco</t>
        </is>
      </c>
      <c r="D423" t="inlineStr">
        <is>
          <t>ma</t>
        </is>
      </c>
      <c r="E423" t="inlineStr">
        <is>
          <t>fr</t>
        </is>
      </c>
      <c r="F423" t="n">
        <v>10</v>
      </c>
      <c r="G423" t="inlineStr">
        <is>
          <t>NOT AVAILABLE</t>
        </is>
      </c>
      <c r="H423" t="n">
        <v>0</v>
      </c>
      <c r="I423" t="n">
        <v>0.33</v>
      </c>
      <c r="J423" t="inlineStr">
        <is>
          <t>NOT AVAILABLE</t>
        </is>
      </c>
      <c r="K423" t="inlineStr">
        <is>
          <t>NOT AVAILABLE (report not requested)</t>
        </is>
      </c>
      <c r="L423" t="inlineStr">
        <is>
          <t>rising (calc.)</t>
        </is>
      </c>
      <c r="M423" t="inlineStr">
        <is>
          <t>MEASURED</t>
        </is>
      </c>
      <c r="N423" s="5" t="inlineStr">
        <is>
          <t>Semrush phrase_these (live, this session)</t>
        </is>
      </c>
      <c r="O423" t="inlineStr">
        <is>
          <t>2026-10-30</t>
        </is>
      </c>
      <c r="P423">
        <f>IF(IF(J423="NOT AVAILABLE","",J423)="",12,IF(OR(ISNUMBER(SEARCH("Transactional",IF(J423="NOT AVAILABLE","",J423))),ISNUMBER(SEARCH("Commercial",IF(J423="NOT AVAILABLE","",J423)))),25,IF(ISNUMBER(SEARCH("Informational",IF(J423="NOT AVAILABLE","",J423))),10,IF(ISNUMBER(SEARCH("Navigational",IF(J423="NOT AVAILABLE","",J423))),0,12))))</f>
        <v/>
      </c>
      <c r="Q423">
        <f>IF(ISNUMBER(F423),MIN(30,ROUND(30*LOG10(F423+1)/4,1)),0)</f>
        <v/>
      </c>
      <c r="R423">
        <f>IF(ISNUMBER(G423),ROUND(25*(100-G423)/100,1),12.5)</f>
        <v/>
      </c>
      <c r="S423" t="n">
        <v>20</v>
      </c>
      <c r="T423">
        <f>ROUND(P423+Q423+R423+S423,0)</f>
        <v/>
      </c>
      <c r="U423" s="5" t="inlineStr"/>
      <c r="V423" s="5" t="inlineStr">
        <is>
          <t>SUPPORTING /tools/image-alt-analyzer</t>
        </is>
      </c>
    </row>
    <row r="424">
      <c r="A424" t="inlineStr">
        <is>
          <t>K0422</t>
        </is>
      </c>
      <c r="B424" t="inlineStr">
        <is>
          <t>analyser mon site web</t>
        </is>
      </c>
      <c r="C424" t="inlineStr">
        <is>
          <t>Morocco</t>
        </is>
      </c>
      <c r="D424" t="inlineStr">
        <is>
          <t>ma</t>
        </is>
      </c>
      <c r="E424" t="inlineStr">
        <is>
          <t>fr</t>
        </is>
      </c>
      <c r="F424" t="n">
        <v>10</v>
      </c>
      <c r="G424" t="inlineStr">
        <is>
          <t>NOT AVAILABLE</t>
        </is>
      </c>
      <c r="H424" t="n">
        <v>0</v>
      </c>
      <c r="I424" t="n">
        <v>0</v>
      </c>
      <c r="J424" t="inlineStr">
        <is>
          <t>NOT AVAILABLE</t>
        </is>
      </c>
      <c r="K424" t="inlineStr">
        <is>
          <t>NOT AVAILABLE (report not requested)</t>
        </is>
      </c>
      <c r="L424" t="inlineStr">
        <is>
          <t>declining (calc.)</t>
        </is>
      </c>
      <c r="M424" t="inlineStr">
        <is>
          <t>MEASURED</t>
        </is>
      </c>
      <c r="N424" s="5" t="inlineStr">
        <is>
          <t>Semrush phrase_these (live, this session)</t>
        </is>
      </c>
      <c r="O424" t="inlineStr">
        <is>
          <t>2026-10-30</t>
        </is>
      </c>
      <c r="P424">
        <f>IF(IF(J424="NOT AVAILABLE","",J424)="",12,IF(OR(ISNUMBER(SEARCH("Transactional",IF(J424="NOT AVAILABLE","",J424))),ISNUMBER(SEARCH("Commercial",IF(J424="NOT AVAILABLE","",J424)))),25,IF(ISNUMBER(SEARCH("Informational",IF(J424="NOT AVAILABLE","",J424))),10,IF(ISNUMBER(SEARCH("Navigational",IF(J424="NOT AVAILABLE","",J424))),0,12))))</f>
        <v/>
      </c>
      <c r="Q424">
        <f>IF(ISNUMBER(F424),MIN(30,ROUND(30*LOG10(F424+1)/4,1)),0)</f>
        <v/>
      </c>
      <c r="R424">
        <f>IF(ISNUMBER(G424),ROUND(25*(100-G424)/100,1),12.5)</f>
        <v/>
      </c>
      <c r="S424" t="n">
        <v>20</v>
      </c>
      <c r="T424">
        <f>ROUND(P424+Q424+R424+S424,0)</f>
        <v/>
      </c>
      <c r="U424" s="5" t="inlineStr"/>
      <c r="V424" s="5" t="inlineStr">
        <is>
          <t>SUPPORTING /tools/website-analyzer</t>
        </is>
      </c>
    </row>
    <row r="425">
      <c r="A425" t="inlineStr">
        <is>
          <t>K0423</t>
        </is>
      </c>
      <c r="B425" t="inlineStr">
        <is>
          <t>application métier</t>
        </is>
      </c>
      <c r="C425" t="inlineStr">
        <is>
          <t>Morocco</t>
        </is>
      </c>
      <c r="D425" t="inlineStr">
        <is>
          <t>ma</t>
        </is>
      </c>
      <c r="E425" t="inlineStr">
        <is>
          <t>fr</t>
        </is>
      </c>
      <c r="F425" t="n">
        <v>10</v>
      </c>
      <c r="G425" t="inlineStr">
        <is>
          <t>NOT AVAILABLE</t>
        </is>
      </c>
      <c r="H425" t="n">
        <v>0</v>
      </c>
      <c r="I425" t="n">
        <v>0.33</v>
      </c>
      <c r="J425" t="inlineStr">
        <is>
          <t>NOT AVAILABLE</t>
        </is>
      </c>
      <c r="K425" t="inlineStr">
        <is>
          <t>NOT AVAILABLE (report not requested)</t>
        </is>
      </c>
      <c r="L425" t="inlineStr">
        <is>
          <t>declining (calc.)</t>
        </is>
      </c>
      <c r="M425" t="inlineStr">
        <is>
          <t>MEASURED</t>
        </is>
      </c>
      <c r="N425" s="5" t="inlineStr">
        <is>
          <t>Semrush phrase_these (historical w3-validate-D-software.csv)</t>
        </is>
      </c>
      <c r="O425" t="inlineStr">
        <is>
          <t>2026-10-27</t>
        </is>
      </c>
      <c r="P425">
        <f>IF(IF(J425="NOT AVAILABLE","",J425)="",12,IF(OR(ISNUMBER(SEARCH("Transactional",IF(J425="NOT AVAILABLE","",J425))),ISNUMBER(SEARCH("Commercial",IF(J425="NOT AVAILABLE","",J425)))),25,IF(ISNUMBER(SEARCH("Informational",IF(J425="NOT AVAILABLE","",J425))),10,IF(ISNUMBER(SEARCH("Navigational",IF(J425="NOT AVAILABLE","",J425))),0,12))))</f>
        <v/>
      </c>
      <c r="Q425">
        <f>IF(ISNUMBER(F425),MIN(30,ROUND(30*LOG10(F425+1)/4,1)),0)</f>
        <v/>
      </c>
      <c r="R425">
        <f>IF(ISNUMBER(G425),ROUND(25*(100-G425)/100,1),12.5)</f>
        <v/>
      </c>
      <c r="S425" t="n">
        <v>20</v>
      </c>
      <c r="T425">
        <f>ROUND(P425+Q425+R425+S425,0)</f>
        <v/>
      </c>
      <c r="U425" s="5" t="inlineStr"/>
      <c r="V425" s="5" t="inlineStr"/>
    </row>
    <row r="426">
      <c r="A426" t="inlineStr">
        <is>
          <t>K0424</t>
        </is>
      </c>
      <c r="B426" t="inlineStr">
        <is>
          <t>audit site web</t>
        </is>
      </c>
      <c r="C426" t="inlineStr">
        <is>
          <t>Morocco</t>
        </is>
      </c>
      <c r="D426" t="inlineStr">
        <is>
          <t>ma</t>
        </is>
      </c>
      <c r="E426" t="inlineStr">
        <is>
          <t>fr</t>
        </is>
      </c>
      <c r="F426" t="n">
        <v>10</v>
      </c>
      <c r="G426" t="inlineStr">
        <is>
          <t>NOT AVAILABLE</t>
        </is>
      </c>
      <c r="H426" t="n">
        <v>0.32</v>
      </c>
      <c r="I426" t="n">
        <v>0.14</v>
      </c>
      <c r="J426" t="inlineStr">
        <is>
          <t>NOT AVAILABLE</t>
        </is>
      </c>
      <c r="K426" t="inlineStr">
        <is>
          <t>NOT AVAILABLE (report not requested)</t>
        </is>
      </c>
      <c r="L426" t="inlineStr">
        <is>
          <t>stable (calc.)</t>
        </is>
      </c>
      <c r="M426" t="inlineStr">
        <is>
          <t>MEASURED</t>
        </is>
      </c>
      <c r="N426" s="5" t="inlineStr">
        <is>
          <t>Semrush phrase_these (live, this session)</t>
        </is>
      </c>
      <c r="O426" t="inlineStr">
        <is>
          <t>2026-10-30</t>
        </is>
      </c>
      <c r="P426">
        <f>IF(IF(J426="NOT AVAILABLE","",J426)="",12,IF(OR(ISNUMBER(SEARCH("Transactional",IF(J426="NOT AVAILABLE","",J426))),ISNUMBER(SEARCH("Commercial",IF(J426="NOT AVAILABLE","",J426)))),25,IF(ISNUMBER(SEARCH("Informational",IF(J426="NOT AVAILABLE","",J426))),10,IF(ISNUMBER(SEARCH("Navigational",IF(J426="NOT AVAILABLE","",J426))),0,12))))</f>
        <v/>
      </c>
      <c r="Q426">
        <f>IF(ISNUMBER(F426),MIN(30,ROUND(30*LOG10(F426+1)/4,1)),0)</f>
        <v/>
      </c>
      <c r="R426">
        <f>IF(ISNUMBER(G426),ROUND(25*(100-G426)/100,1),12.5)</f>
        <v/>
      </c>
      <c r="S426" t="n">
        <v>20</v>
      </c>
      <c r="T426">
        <f>ROUND(P426+Q426+R426+S426,0)</f>
        <v/>
      </c>
      <c r="U426" s="5" t="inlineStr"/>
      <c r="V426" s="5" t="inlineStr">
        <is>
          <t>SUPPORTING /tools/website-analyzer</t>
        </is>
      </c>
    </row>
    <row r="427">
      <c r="A427" t="inlineStr">
        <is>
          <t>K0425</t>
        </is>
      </c>
      <c r="B427" t="inlineStr">
        <is>
          <t>balise alt</t>
        </is>
      </c>
      <c r="C427" t="inlineStr">
        <is>
          <t>Morocco</t>
        </is>
      </c>
      <c r="D427" t="inlineStr">
        <is>
          <t>ma</t>
        </is>
      </c>
      <c r="E427" t="inlineStr">
        <is>
          <t>fr</t>
        </is>
      </c>
      <c r="F427" t="n">
        <v>10</v>
      </c>
      <c r="G427" t="inlineStr">
        <is>
          <t>NOT AVAILABLE</t>
        </is>
      </c>
      <c r="H427" t="n">
        <v>0</v>
      </c>
      <c r="I427" t="n">
        <v>0.33</v>
      </c>
      <c r="J427" t="inlineStr">
        <is>
          <t>NOT AVAILABLE</t>
        </is>
      </c>
      <c r="K427" t="inlineStr">
        <is>
          <t>NOT AVAILABLE (report not requested)</t>
        </is>
      </c>
      <c r="L427" t="inlineStr">
        <is>
          <t>rising (calc.)</t>
        </is>
      </c>
      <c r="M427" t="inlineStr">
        <is>
          <t>MEASURED</t>
        </is>
      </c>
      <c r="N427" s="5" t="inlineStr">
        <is>
          <t>Semrush phrase_these (live, this session)</t>
        </is>
      </c>
      <c r="O427" t="inlineStr">
        <is>
          <t>2026-10-30</t>
        </is>
      </c>
      <c r="P427">
        <f>IF(IF(J427="NOT AVAILABLE","",J427)="",12,IF(OR(ISNUMBER(SEARCH("Transactional",IF(J427="NOT AVAILABLE","",J427))),ISNUMBER(SEARCH("Commercial",IF(J427="NOT AVAILABLE","",J427)))),25,IF(ISNUMBER(SEARCH("Informational",IF(J427="NOT AVAILABLE","",J427))),10,IF(ISNUMBER(SEARCH("Navigational",IF(J427="NOT AVAILABLE","",J427))),0,12))))</f>
        <v/>
      </c>
      <c r="Q427">
        <f>IF(ISNUMBER(F427),MIN(30,ROUND(30*LOG10(F427+1)/4,1)),0)</f>
        <v/>
      </c>
      <c r="R427">
        <f>IF(ISNUMBER(G427),ROUND(25*(100-G427)/100,1),12.5)</f>
        <v/>
      </c>
      <c r="S427" t="n">
        <v>20</v>
      </c>
      <c r="T427">
        <f>ROUND(P427+Q427+R427+S427,0)</f>
        <v/>
      </c>
      <c r="U427" s="5" t="inlineStr"/>
      <c r="V427" s="5" t="inlineStr">
        <is>
          <t>SECONDARY /tools/image-alt-analyzer</t>
        </is>
      </c>
    </row>
    <row r="428">
      <c r="A428" t="inlineStr">
        <is>
          <t>K0426</t>
        </is>
      </c>
      <c r="B428" t="inlineStr">
        <is>
          <t>blog seo</t>
        </is>
      </c>
      <c r="C428" t="inlineStr">
        <is>
          <t>Morocco</t>
        </is>
      </c>
      <c r="D428" t="inlineStr">
        <is>
          <t>ma</t>
        </is>
      </c>
      <c r="E428" t="inlineStr">
        <is>
          <t>fr</t>
        </is>
      </c>
      <c r="F428" t="n">
        <v>10</v>
      </c>
      <c r="G428" t="inlineStr">
        <is>
          <t>NOT AVAILABLE</t>
        </is>
      </c>
      <c r="H428" t="n">
        <v>0.32</v>
      </c>
      <c r="I428" t="n">
        <v>0.33</v>
      </c>
      <c r="J428" t="inlineStr">
        <is>
          <t>NOT AVAILABLE</t>
        </is>
      </c>
      <c r="K428" t="inlineStr">
        <is>
          <t>NOT AVAILABLE (report not requested)</t>
        </is>
      </c>
      <c r="L428" t="inlineStr">
        <is>
          <t>rising (calc.)</t>
        </is>
      </c>
      <c r="M428" t="inlineStr">
        <is>
          <t>MEASURED</t>
        </is>
      </c>
      <c r="N428" s="5" t="inlineStr">
        <is>
          <t>Semrush phrase_these (live, this session)</t>
        </is>
      </c>
      <c r="O428" t="inlineStr">
        <is>
          <t>2026-10-30</t>
        </is>
      </c>
      <c r="P428">
        <f>IF(IF(J428="NOT AVAILABLE","",J428)="",12,IF(OR(ISNUMBER(SEARCH("Transactional",IF(J428="NOT AVAILABLE","",J428))),ISNUMBER(SEARCH("Commercial",IF(J428="NOT AVAILABLE","",J428)))),25,IF(ISNUMBER(SEARCH("Informational",IF(J428="NOT AVAILABLE","",J428))),10,IF(ISNUMBER(SEARCH("Navigational",IF(J428="NOT AVAILABLE","",J428))),0,12))))</f>
        <v/>
      </c>
      <c r="Q428">
        <f>IF(ISNUMBER(F428),MIN(30,ROUND(30*LOG10(F428+1)/4,1)),0)</f>
        <v/>
      </c>
      <c r="R428">
        <f>IF(ISNUMBER(G428),ROUND(25*(100-G428)/100,1),12.5)</f>
        <v/>
      </c>
      <c r="S428" t="n">
        <v>20</v>
      </c>
      <c r="T428">
        <f>ROUND(P428+Q428+R428+S428,0)</f>
        <v/>
      </c>
      <c r="U428" s="5" t="inlineStr"/>
      <c r="V428" s="5" t="inlineStr"/>
    </row>
    <row r="429">
      <c r="A429" t="inlineStr">
        <is>
          <t>K0427</t>
        </is>
      </c>
      <c r="B429" t="inlineStr">
        <is>
          <t>boutique shopify</t>
        </is>
      </c>
      <c r="C429" t="inlineStr">
        <is>
          <t>Morocco</t>
        </is>
      </c>
      <c r="D429" t="inlineStr">
        <is>
          <t>ma</t>
        </is>
      </c>
      <c r="E429" t="inlineStr">
        <is>
          <t>fr</t>
        </is>
      </c>
      <c r="F429" t="n">
        <v>10</v>
      </c>
      <c r="G429" t="inlineStr">
        <is>
          <t>NOT AVAILABLE</t>
        </is>
      </c>
      <c r="H429" t="n">
        <v>1.23</v>
      </c>
      <c r="I429" t="n">
        <v>0.24</v>
      </c>
      <c r="J429" t="inlineStr">
        <is>
          <t>NOT AVAILABLE</t>
        </is>
      </c>
      <c r="K429" t="inlineStr">
        <is>
          <t>NOT AVAILABLE (report not requested)</t>
        </is>
      </c>
      <c r="L429" t="inlineStr">
        <is>
          <t>rising (calc.)</t>
        </is>
      </c>
      <c r="M429" t="inlineStr">
        <is>
          <t>MEASURED</t>
        </is>
      </c>
      <c r="N429" s="5" t="inlineStr">
        <is>
          <t>Semrush phrase_these (live, this session)</t>
        </is>
      </c>
      <c r="O429" t="inlineStr">
        <is>
          <t>2026-10-30</t>
        </is>
      </c>
      <c r="P429">
        <f>IF(IF(J429="NOT AVAILABLE","",J429)="",12,IF(OR(ISNUMBER(SEARCH("Transactional",IF(J429="NOT AVAILABLE","",J429))),ISNUMBER(SEARCH("Commercial",IF(J429="NOT AVAILABLE","",J429)))),25,IF(ISNUMBER(SEARCH("Informational",IF(J429="NOT AVAILABLE","",J429))),10,IF(ISNUMBER(SEARCH("Navigational",IF(J429="NOT AVAILABLE","",J429))),0,12))))</f>
        <v/>
      </c>
      <c r="Q429">
        <f>IF(ISNUMBER(F429),MIN(30,ROUND(30*LOG10(F429+1)/4,1)),0)</f>
        <v/>
      </c>
      <c r="R429">
        <f>IF(ISNUMBER(G429),ROUND(25*(100-G429)/100,1),12.5)</f>
        <v/>
      </c>
      <c r="S429" t="n">
        <v>20</v>
      </c>
      <c r="T429">
        <f>ROUND(P429+Q429+R429+S429,0)</f>
        <v/>
      </c>
      <c r="U429" s="5" t="inlineStr"/>
      <c r="V429" s="5" t="inlineStr"/>
    </row>
    <row r="430">
      <c r="A430" t="inlineStr">
        <is>
          <t>K0428</t>
        </is>
      </c>
      <c r="B430" t="inlineStr">
        <is>
          <t>compresser html</t>
        </is>
      </c>
      <c r="C430" t="inlineStr">
        <is>
          <t>Morocco</t>
        </is>
      </c>
      <c r="D430" t="inlineStr">
        <is>
          <t>ma</t>
        </is>
      </c>
      <c r="E430" t="inlineStr">
        <is>
          <t>fr</t>
        </is>
      </c>
      <c r="F430" t="n">
        <v>10</v>
      </c>
      <c r="G430" t="inlineStr">
        <is>
          <t>NOT AVAILABLE</t>
        </is>
      </c>
      <c r="H430" t="n">
        <v>0</v>
      </c>
      <c r="I430" t="n">
        <v>0.33</v>
      </c>
      <c r="J430" t="inlineStr">
        <is>
          <t>NOT AVAILABLE</t>
        </is>
      </c>
      <c r="K430" t="inlineStr">
        <is>
          <t>NOT AVAILABLE (report not requested)</t>
        </is>
      </c>
      <c r="L430" t="inlineStr">
        <is>
          <t>stable (calc.)</t>
        </is>
      </c>
      <c r="M430" t="inlineStr">
        <is>
          <t>MEASURED</t>
        </is>
      </c>
      <c r="N430" s="5" t="inlineStr">
        <is>
          <t>Semrush phrase_these (live, this session)</t>
        </is>
      </c>
      <c r="O430" t="inlineStr">
        <is>
          <t>2026-10-30</t>
        </is>
      </c>
      <c r="P430">
        <f>IF(IF(J430="NOT AVAILABLE","",J430)="",12,IF(OR(ISNUMBER(SEARCH("Transactional",IF(J430="NOT AVAILABLE","",J430))),ISNUMBER(SEARCH("Commercial",IF(J430="NOT AVAILABLE","",J430)))),25,IF(ISNUMBER(SEARCH("Informational",IF(J430="NOT AVAILABLE","",J430))),10,IF(ISNUMBER(SEARCH("Navigational",IF(J430="NOT AVAILABLE","",J430))),0,12))))</f>
        <v/>
      </c>
      <c r="Q430">
        <f>IF(ISNUMBER(F430),MIN(30,ROUND(30*LOG10(F430+1)/4,1)),0)</f>
        <v/>
      </c>
      <c r="R430">
        <f>IF(ISNUMBER(G430),ROUND(25*(100-G430)/100,1),12.5)</f>
        <v/>
      </c>
      <c r="S430" t="n">
        <v>20</v>
      </c>
      <c r="T430">
        <f>ROUND(P430+Q430+R430+S430,0)</f>
        <v/>
      </c>
      <c r="U430" s="5" t="inlineStr"/>
      <c r="V430" s="5" t="inlineStr">
        <is>
          <t>SUPPORTING /tools/html-minifier</t>
        </is>
      </c>
    </row>
    <row r="431">
      <c r="A431" t="inlineStr">
        <is>
          <t>K0429</t>
        </is>
      </c>
      <c r="B431" t="inlineStr">
        <is>
          <t>consultant seo</t>
        </is>
      </c>
      <c r="C431" t="inlineStr">
        <is>
          <t>Morocco</t>
        </is>
      </c>
      <c r="D431" t="inlineStr">
        <is>
          <t>ma</t>
        </is>
      </c>
      <c r="E431" t="inlineStr">
        <is>
          <t>fr</t>
        </is>
      </c>
      <c r="F431" t="n">
        <v>10</v>
      </c>
      <c r="G431" t="inlineStr">
        <is>
          <t>NOT AVAILABLE</t>
        </is>
      </c>
      <c r="H431" t="n">
        <v>0</v>
      </c>
      <c r="I431" t="n">
        <v>0.06</v>
      </c>
      <c r="J431" t="inlineStr">
        <is>
          <t>NOT AVAILABLE</t>
        </is>
      </c>
      <c r="K431" t="inlineStr">
        <is>
          <t>NOT AVAILABLE (report not requested)</t>
        </is>
      </c>
      <c r="L431" t="inlineStr">
        <is>
          <t>declining (calc.)</t>
        </is>
      </c>
      <c r="M431" t="inlineStr">
        <is>
          <t>MEASURED</t>
        </is>
      </c>
      <c r="N431" s="5" t="inlineStr">
        <is>
          <t>Semrush phrase_these (live, this session)</t>
        </is>
      </c>
      <c r="O431" t="inlineStr">
        <is>
          <t>2026-10-30</t>
        </is>
      </c>
      <c r="P431">
        <f>IF(IF(J431="NOT AVAILABLE","",J431)="",12,IF(OR(ISNUMBER(SEARCH("Transactional",IF(J431="NOT AVAILABLE","",J431))),ISNUMBER(SEARCH("Commercial",IF(J431="NOT AVAILABLE","",J431)))),25,IF(ISNUMBER(SEARCH("Informational",IF(J431="NOT AVAILABLE","",J431))),10,IF(ISNUMBER(SEARCH("Navigational",IF(J431="NOT AVAILABLE","",J431))),0,12))))</f>
        <v/>
      </c>
      <c r="Q431">
        <f>IF(ISNUMBER(F431),MIN(30,ROUND(30*LOG10(F431+1)/4,1)),0)</f>
        <v/>
      </c>
      <c r="R431">
        <f>IF(ISNUMBER(G431),ROUND(25*(100-G431)/100,1),12.5)</f>
        <v/>
      </c>
      <c r="S431" t="n">
        <v>20</v>
      </c>
      <c r="T431">
        <f>ROUND(P431+Q431+R431+S431,0)</f>
        <v/>
      </c>
      <c r="U431" s="5" t="inlineStr"/>
      <c r="V431" s="5" t="inlineStr"/>
    </row>
    <row r="432">
      <c r="A432" t="inlineStr">
        <is>
          <t>K0430</t>
        </is>
      </c>
      <c r="B432" t="inlineStr">
        <is>
          <t>création application mobile maroc</t>
        </is>
      </c>
      <c r="C432" t="inlineStr">
        <is>
          <t>Morocco</t>
        </is>
      </c>
      <c r="D432" t="inlineStr">
        <is>
          <t>ma</t>
        </is>
      </c>
      <c r="E432" t="inlineStr">
        <is>
          <t>fr</t>
        </is>
      </c>
      <c r="F432" t="n">
        <v>10</v>
      </c>
      <c r="G432" t="inlineStr">
        <is>
          <t>NOT AVAILABLE</t>
        </is>
      </c>
      <c r="H432" t="n">
        <v>0</v>
      </c>
      <c r="I432" t="n">
        <v>0.45</v>
      </c>
      <c r="J432" t="inlineStr">
        <is>
          <t>NOT AVAILABLE</t>
        </is>
      </c>
      <c r="K432" t="inlineStr">
        <is>
          <t>NOT AVAILABLE (report not requested)</t>
        </is>
      </c>
      <c r="L432" t="inlineStr">
        <is>
          <t>rising (calc.)</t>
        </is>
      </c>
      <c r="M432" t="inlineStr">
        <is>
          <t>MEASURED</t>
        </is>
      </c>
      <c r="N432" s="5" t="inlineStr">
        <is>
          <t>Semrush phrase_these (historical w3-validate-D-software.csv)</t>
        </is>
      </c>
      <c r="O432" t="inlineStr">
        <is>
          <t>2026-10-27</t>
        </is>
      </c>
      <c r="P432">
        <f>IF(IF(J432="NOT AVAILABLE","",J432)="",12,IF(OR(ISNUMBER(SEARCH("Transactional",IF(J432="NOT AVAILABLE","",J432))),ISNUMBER(SEARCH("Commercial",IF(J432="NOT AVAILABLE","",J432)))),25,IF(ISNUMBER(SEARCH("Informational",IF(J432="NOT AVAILABLE","",J432))),10,IF(ISNUMBER(SEARCH("Navigational",IF(J432="NOT AVAILABLE","",J432))),0,12))))</f>
        <v/>
      </c>
      <c r="Q432">
        <f>IF(ISNUMBER(F432),MIN(30,ROUND(30*LOG10(F432+1)/4,1)),0)</f>
        <v/>
      </c>
      <c r="R432">
        <f>IF(ISNUMBER(G432),ROUND(25*(100-G432)/100,1),12.5)</f>
        <v/>
      </c>
      <c r="S432" t="n">
        <v>20</v>
      </c>
      <c r="T432">
        <f>ROUND(P432+Q432+R432+S432,0)</f>
        <v/>
      </c>
      <c r="U432" s="5" t="inlineStr"/>
      <c r="V432" s="5" t="inlineStr"/>
    </row>
    <row r="433">
      <c r="A433" t="inlineStr">
        <is>
          <t>K0431</t>
        </is>
      </c>
      <c r="B433" t="inlineStr">
        <is>
          <t>création de site web casablanca</t>
        </is>
      </c>
      <c r="C433" t="inlineStr">
        <is>
          <t>Morocco</t>
        </is>
      </c>
      <c r="D433" t="inlineStr">
        <is>
          <t>ma</t>
        </is>
      </c>
      <c r="E433" t="inlineStr">
        <is>
          <t>fr</t>
        </is>
      </c>
      <c r="F433" t="n">
        <v>10</v>
      </c>
      <c r="G433" t="inlineStr">
        <is>
          <t>NOT AVAILABLE</t>
        </is>
      </c>
      <c r="H433" t="n">
        <v>0</v>
      </c>
      <c r="I433" t="n">
        <v>0.07000000000000001</v>
      </c>
      <c r="J433" t="inlineStr">
        <is>
          <t>NOT AVAILABLE</t>
        </is>
      </c>
      <c r="K433" t="inlineStr">
        <is>
          <t>NOT AVAILABLE (report not requested)</t>
        </is>
      </c>
      <c r="L433" t="inlineStr">
        <is>
          <t>stable (calc.)</t>
        </is>
      </c>
      <c r="M433" t="inlineStr">
        <is>
          <t>MEASURED</t>
        </is>
      </c>
      <c r="N433" s="5" t="inlineStr">
        <is>
          <t>Semrush phrase_these (live, this session)</t>
        </is>
      </c>
      <c r="O433" t="inlineStr">
        <is>
          <t>2026-10-30</t>
        </is>
      </c>
      <c r="P433">
        <f>IF(IF(J433="NOT AVAILABLE","",J433)="",12,IF(OR(ISNUMBER(SEARCH("Transactional",IF(J433="NOT AVAILABLE","",J433))),ISNUMBER(SEARCH("Commercial",IF(J433="NOT AVAILABLE","",J433)))),25,IF(ISNUMBER(SEARCH("Informational",IF(J433="NOT AVAILABLE","",J433))),10,IF(ISNUMBER(SEARCH("Navigational",IF(J433="NOT AVAILABLE","",J433))),0,12))))</f>
        <v/>
      </c>
      <c r="Q433">
        <f>IF(ISNUMBER(F433),MIN(30,ROUND(30*LOG10(F433+1)/4,1)),0)</f>
        <v/>
      </c>
      <c r="R433">
        <f>IF(ISNUMBER(G433),ROUND(25*(100-G433)/100,1),12.5)</f>
        <v/>
      </c>
      <c r="S433" t="n">
        <v>20</v>
      </c>
      <c r="T433">
        <f>ROUND(P433+Q433+R433+S433,0)</f>
        <v/>
      </c>
      <c r="U433" s="5" t="inlineStr"/>
      <c r="V433" s="5" t="inlineStr"/>
    </row>
    <row r="434">
      <c r="A434" t="inlineStr">
        <is>
          <t>K0432</t>
        </is>
      </c>
      <c r="B434" t="inlineStr">
        <is>
          <t>création site web prix</t>
        </is>
      </c>
      <c r="C434" t="inlineStr">
        <is>
          <t>Morocco</t>
        </is>
      </c>
      <c r="D434" t="inlineStr">
        <is>
          <t>ma</t>
        </is>
      </c>
      <c r="E434" t="inlineStr">
        <is>
          <t>fr</t>
        </is>
      </c>
      <c r="F434" t="n">
        <v>10</v>
      </c>
      <c r="G434" t="inlineStr">
        <is>
          <t>NOT AVAILABLE</t>
        </is>
      </c>
      <c r="H434" t="n">
        <v>0.3</v>
      </c>
      <c r="I434" t="n">
        <v>0.73</v>
      </c>
      <c r="J434" t="inlineStr">
        <is>
          <t>NOT AVAILABLE</t>
        </is>
      </c>
      <c r="K434" t="inlineStr">
        <is>
          <t>NOT AVAILABLE (report not requested)</t>
        </is>
      </c>
      <c r="L434" t="inlineStr">
        <is>
          <t>rising (calc.)</t>
        </is>
      </c>
      <c r="M434" t="inlineStr">
        <is>
          <t>MEASURED</t>
        </is>
      </c>
      <c r="N434" s="5" t="inlineStr">
        <is>
          <t>Semrush phrase_these (live, this session)</t>
        </is>
      </c>
      <c r="O434" t="inlineStr">
        <is>
          <t>2026-10-30</t>
        </is>
      </c>
      <c r="P434">
        <f>IF(IF(J434="NOT AVAILABLE","",J434)="",12,IF(OR(ISNUMBER(SEARCH("Transactional",IF(J434="NOT AVAILABLE","",J434))),ISNUMBER(SEARCH("Commercial",IF(J434="NOT AVAILABLE","",J434)))),25,IF(ISNUMBER(SEARCH("Informational",IF(J434="NOT AVAILABLE","",J434))),10,IF(ISNUMBER(SEARCH("Navigational",IF(J434="NOT AVAILABLE","",J434))),0,12))))</f>
        <v/>
      </c>
      <c r="Q434">
        <f>IF(ISNUMBER(F434),MIN(30,ROUND(30*LOG10(F434+1)/4,1)),0)</f>
        <v/>
      </c>
      <c r="R434">
        <f>IF(ISNUMBER(G434),ROUND(25*(100-G434)/100,1),12.5)</f>
        <v/>
      </c>
      <c r="S434" t="n">
        <v>20</v>
      </c>
      <c r="T434">
        <f>ROUND(P434+Q434+R434+S434,0)</f>
        <v/>
      </c>
      <c r="U434" s="5" t="inlineStr"/>
      <c r="V434" s="5" t="inlineStr"/>
    </row>
    <row r="435">
      <c r="A435" t="inlineStr">
        <is>
          <t>K0433</t>
        </is>
      </c>
      <c r="B435" t="inlineStr">
        <is>
          <t>créer un site de formation en ligne</t>
        </is>
      </c>
      <c r="C435" t="inlineStr">
        <is>
          <t>Morocco</t>
        </is>
      </c>
      <c r="D435" t="inlineStr">
        <is>
          <t>ma</t>
        </is>
      </c>
      <c r="E435" t="inlineStr">
        <is>
          <t>fr</t>
        </is>
      </c>
      <c r="F435" t="n">
        <v>10</v>
      </c>
      <c r="G435" t="inlineStr">
        <is>
          <t>NOT AVAILABLE</t>
        </is>
      </c>
      <c r="H435" t="n">
        <v>0</v>
      </c>
      <c r="I435" t="n">
        <v>0.93</v>
      </c>
      <c r="J435" t="inlineStr">
        <is>
          <t>NOT AVAILABLE</t>
        </is>
      </c>
      <c r="K435" t="inlineStr">
        <is>
          <t>NOT AVAILABLE (report not requested)</t>
        </is>
      </c>
      <c r="L435" t="inlineStr">
        <is>
          <t>declining (calc.)</t>
        </is>
      </c>
      <c r="M435" t="inlineStr">
        <is>
          <t>MEASURED</t>
        </is>
      </c>
      <c r="N435" s="5" t="inlineStr">
        <is>
          <t>Semrush phrase_these (live, this session)</t>
        </is>
      </c>
      <c r="O435" t="inlineStr">
        <is>
          <t>2026-10-30</t>
        </is>
      </c>
      <c r="P435">
        <f>IF(IF(J435="NOT AVAILABLE","",J435)="",12,IF(OR(ISNUMBER(SEARCH("Transactional",IF(J435="NOT AVAILABLE","",J435))),ISNUMBER(SEARCH("Commercial",IF(J435="NOT AVAILABLE","",J435)))),25,IF(ISNUMBER(SEARCH("Informational",IF(J435="NOT AVAILABLE","",J435))),10,IF(ISNUMBER(SEARCH("Navigational",IF(J435="NOT AVAILABLE","",J435))),0,12))))</f>
        <v/>
      </c>
      <c r="Q435">
        <f>IF(ISNUMBER(F435),MIN(30,ROUND(30*LOG10(F435+1)/4,1)),0)</f>
        <v/>
      </c>
      <c r="R435">
        <f>IF(ISNUMBER(G435),ROUND(25*(100-G435)/100,1),12.5)</f>
        <v/>
      </c>
      <c r="S435" t="n">
        <v>20</v>
      </c>
      <c r="T435">
        <f>ROUND(P435+Q435+R435+S435,0)</f>
        <v/>
      </c>
      <c r="U435" s="5" t="inlineStr"/>
      <c r="V435" s="5" t="inlineStr"/>
    </row>
    <row r="436">
      <c r="A436" t="inlineStr">
        <is>
          <t>K0434</t>
        </is>
      </c>
      <c r="B436" t="inlineStr">
        <is>
          <t>développement web sur mesure</t>
        </is>
      </c>
      <c r="C436" t="inlineStr">
        <is>
          <t>Morocco</t>
        </is>
      </c>
      <c r="D436" t="inlineStr">
        <is>
          <t>ma</t>
        </is>
      </c>
      <c r="E436" t="inlineStr">
        <is>
          <t>fr</t>
        </is>
      </c>
      <c r="F436" t="n">
        <v>10</v>
      </c>
      <c r="G436" t="inlineStr">
        <is>
          <t>NOT AVAILABLE</t>
        </is>
      </c>
      <c r="H436" t="n">
        <v>0</v>
      </c>
      <c r="I436" t="n">
        <v>0.33</v>
      </c>
      <c r="J436" t="inlineStr">
        <is>
          <t>NOT AVAILABLE</t>
        </is>
      </c>
      <c r="K436" t="inlineStr">
        <is>
          <t>NOT AVAILABLE (report not requested)</t>
        </is>
      </c>
      <c r="L436" t="inlineStr">
        <is>
          <t>rising (calc.)</t>
        </is>
      </c>
      <c r="M436" t="inlineStr">
        <is>
          <t>MEASURED</t>
        </is>
      </c>
      <c r="N436" s="5" t="inlineStr">
        <is>
          <t>Semrush phrase_these (historical validate-ma-core.csv)</t>
        </is>
      </c>
      <c r="O436" t="inlineStr">
        <is>
          <t>2026-10-26</t>
        </is>
      </c>
      <c r="P436">
        <f>IF(IF(J436="NOT AVAILABLE","",J436)="",12,IF(OR(ISNUMBER(SEARCH("Transactional",IF(J436="NOT AVAILABLE","",J436))),ISNUMBER(SEARCH("Commercial",IF(J436="NOT AVAILABLE","",J436)))),25,IF(ISNUMBER(SEARCH("Informational",IF(J436="NOT AVAILABLE","",J436))),10,IF(ISNUMBER(SEARCH("Navigational",IF(J436="NOT AVAILABLE","",J436))),0,12))))</f>
        <v/>
      </c>
      <c r="Q436">
        <f>IF(ISNUMBER(F436),MIN(30,ROUND(30*LOG10(F436+1)/4,1)),0)</f>
        <v/>
      </c>
      <c r="R436">
        <f>IF(ISNUMBER(G436),ROUND(25*(100-G436)/100,1),12.5)</f>
        <v/>
      </c>
      <c r="S436" t="n">
        <v>20</v>
      </c>
      <c r="T436">
        <f>ROUND(P436+Q436+R436+S436,0)</f>
        <v/>
      </c>
      <c r="U436" s="5" t="inlineStr"/>
      <c r="V436" s="5" t="inlineStr"/>
    </row>
    <row r="437">
      <c r="A437" t="inlineStr">
        <is>
          <t>K0435</t>
        </is>
      </c>
      <c r="B437" t="inlineStr">
        <is>
          <t>générateur de mots clés</t>
        </is>
      </c>
      <c r="C437" t="inlineStr">
        <is>
          <t>Morocco</t>
        </is>
      </c>
      <c r="D437" t="inlineStr">
        <is>
          <t>ma</t>
        </is>
      </c>
      <c r="E437" t="inlineStr">
        <is>
          <t>fr</t>
        </is>
      </c>
      <c r="F437" t="n">
        <v>10</v>
      </c>
      <c r="G437" t="inlineStr">
        <is>
          <t>NOT AVAILABLE</t>
        </is>
      </c>
      <c r="H437" t="n">
        <v>0</v>
      </c>
      <c r="I437" t="n">
        <v>0</v>
      </c>
      <c r="J437" t="inlineStr">
        <is>
          <t>NOT AVAILABLE</t>
        </is>
      </c>
      <c r="K437" t="inlineStr">
        <is>
          <t>NOT AVAILABLE (report not requested)</t>
        </is>
      </c>
      <c r="L437" t="inlineStr">
        <is>
          <t>rising (calc.)</t>
        </is>
      </c>
      <c r="M437" t="inlineStr">
        <is>
          <t>MEASURED</t>
        </is>
      </c>
      <c r="N437" s="5" t="inlineStr">
        <is>
          <t>Semrush phrase_these (live, this session)</t>
        </is>
      </c>
      <c r="O437" t="inlineStr">
        <is>
          <t>2026-10-30</t>
        </is>
      </c>
      <c r="P437">
        <f>IF(IF(J437="NOT AVAILABLE","",J437)="",12,IF(OR(ISNUMBER(SEARCH("Transactional",IF(J437="NOT AVAILABLE","",J437))),ISNUMBER(SEARCH("Commercial",IF(J437="NOT AVAILABLE","",J437)))),25,IF(ISNUMBER(SEARCH("Informational",IF(J437="NOT AVAILABLE","",J437))),10,IF(ISNUMBER(SEARCH("Navigational",IF(J437="NOT AVAILABLE","",J437))),0,12))))</f>
        <v/>
      </c>
      <c r="Q437">
        <f>IF(ISNUMBER(F437),MIN(30,ROUND(30*LOG10(F437+1)/4,1)),0)</f>
        <v/>
      </c>
      <c r="R437">
        <f>IF(ISNUMBER(G437),ROUND(25*(100-G437)/100,1),12.5)</f>
        <v/>
      </c>
      <c r="S437" t="n">
        <v>20</v>
      </c>
      <c r="T437">
        <f>ROUND(P437+Q437+R437+S437,0)</f>
        <v/>
      </c>
      <c r="U437" s="5" t="inlineStr"/>
      <c r="V437" s="5" t="inlineStr">
        <is>
          <t>SECONDARY /tools/keyword-modifier-generator</t>
        </is>
      </c>
    </row>
    <row r="438">
      <c r="A438" t="inlineStr">
        <is>
          <t>K0436</t>
        </is>
      </c>
      <c r="B438" t="inlineStr">
        <is>
          <t>générateur lorem ipsum</t>
        </is>
      </c>
      <c r="C438" t="inlineStr">
        <is>
          <t>Morocco</t>
        </is>
      </c>
      <c r="D438" t="inlineStr">
        <is>
          <t>ma</t>
        </is>
      </c>
      <c r="E438" t="inlineStr">
        <is>
          <t>fr</t>
        </is>
      </c>
      <c r="F438" t="n">
        <v>10</v>
      </c>
      <c r="G438" t="inlineStr">
        <is>
          <t>NOT AVAILABLE</t>
        </is>
      </c>
      <c r="H438" t="n">
        <v>0</v>
      </c>
      <c r="I438" t="n">
        <v>0.33</v>
      </c>
      <c r="J438" t="inlineStr">
        <is>
          <t>NOT AVAILABLE</t>
        </is>
      </c>
      <c r="K438" t="inlineStr">
        <is>
          <t>NOT AVAILABLE (report not requested)</t>
        </is>
      </c>
      <c r="L438" t="inlineStr">
        <is>
          <t>rising (calc.)</t>
        </is>
      </c>
      <c r="M438" t="inlineStr">
        <is>
          <t>MEASURED</t>
        </is>
      </c>
      <c r="N438" s="5" t="inlineStr">
        <is>
          <t>Semrush phrase_these (live, this session)</t>
        </is>
      </c>
      <c r="O438" t="inlineStr">
        <is>
          <t>2026-10-30</t>
        </is>
      </c>
      <c r="P438">
        <f>IF(IF(J438="NOT AVAILABLE","",J438)="",12,IF(OR(ISNUMBER(SEARCH("Transactional",IF(J438="NOT AVAILABLE","",J438))),ISNUMBER(SEARCH("Commercial",IF(J438="NOT AVAILABLE","",J438)))),25,IF(ISNUMBER(SEARCH("Informational",IF(J438="NOT AVAILABLE","",J438))),10,IF(ISNUMBER(SEARCH("Navigational",IF(J438="NOT AVAILABLE","",J438))),0,12))))</f>
        <v/>
      </c>
      <c r="Q438">
        <f>IF(ISNUMBER(F438),MIN(30,ROUND(30*LOG10(F438+1)/4,1)),0)</f>
        <v/>
      </c>
      <c r="R438">
        <f>IF(ISNUMBER(G438),ROUND(25*(100-G438)/100,1),12.5)</f>
        <v/>
      </c>
      <c r="S438" t="n">
        <v>20</v>
      </c>
      <c r="T438">
        <f>ROUND(P438+Q438+R438+S438,0)</f>
        <v/>
      </c>
      <c r="U438" s="5" t="inlineStr"/>
      <c r="V438" s="5" t="inlineStr">
        <is>
          <t>SUPPORTING /tools/lorem-ipsum-generator</t>
        </is>
      </c>
    </row>
    <row r="439">
      <c r="A439" t="inlineStr">
        <is>
          <t>K0437</t>
        </is>
      </c>
      <c r="B439" t="inlineStr">
        <is>
          <t>json-ld</t>
        </is>
      </c>
      <c r="C439" t="inlineStr">
        <is>
          <t>Morocco</t>
        </is>
      </c>
      <c r="D439" t="inlineStr">
        <is>
          <t>ma</t>
        </is>
      </c>
      <c r="E439" t="inlineStr">
        <is>
          <t>fr</t>
        </is>
      </c>
      <c r="F439" t="n">
        <v>10</v>
      </c>
      <c r="G439" t="inlineStr">
        <is>
          <t>NOT AVAILABLE</t>
        </is>
      </c>
      <c r="H439" t="n">
        <v>0</v>
      </c>
      <c r="I439" t="n">
        <v>0.33</v>
      </c>
      <c r="J439" t="inlineStr">
        <is>
          <t>NOT AVAILABLE</t>
        </is>
      </c>
      <c r="K439" t="inlineStr">
        <is>
          <t>NOT AVAILABLE (report not requested)</t>
        </is>
      </c>
      <c r="L439" t="inlineStr">
        <is>
          <t>declining (calc.)</t>
        </is>
      </c>
      <c r="M439" t="inlineStr">
        <is>
          <t>MEASURED</t>
        </is>
      </c>
      <c r="N439" s="5" t="inlineStr">
        <is>
          <t>Semrush phrase_these (live, this session)</t>
        </is>
      </c>
      <c r="O439" t="inlineStr">
        <is>
          <t>2026-10-30</t>
        </is>
      </c>
      <c r="P439">
        <f>IF(IF(J439="NOT AVAILABLE","",J439)="",12,IF(OR(ISNUMBER(SEARCH("Transactional",IF(J439="NOT AVAILABLE","",J439))),ISNUMBER(SEARCH("Commercial",IF(J439="NOT AVAILABLE","",J439)))),25,IF(ISNUMBER(SEARCH("Informational",IF(J439="NOT AVAILABLE","",J439))),10,IF(ISNUMBER(SEARCH("Navigational",IF(J439="NOT AVAILABLE","",J439))),0,12))))</f>
        <v/>
      </c>
      <c r="Q439">
        <f>IF(ISNUMBER(F439),MIN(30,ROUND(30*LOG10(F439+1)/4,1)),0)</f>
        <v/>
      </c>
      <c r="R439">
        <f>IF(ISNUMBER(G439),ROUND(25*(100-G439)/100,1),12.5)</f>
        <v/>
      </c>
      <c r="S439" t="n">
        <v>20</v>
      </c>
      <c r="T439">
        <f>ROUND(P439+Q439+R439+S439,0)</f>
        <v/>
      </c>
      <c r="U439" s="5" t="inlineStr"/>
      <c r="V439" s="5" t="inlineStr">
        <is>
          <t>SUPPORTING /tools/schema-generator</t>
        </is>
      </c>
    </row>
    <row r="440">
      <c r="A440" t="inlineStr">
        <is>
          <t>K0438</t>
        </is>
      </c>
      <c r="B440" t="inlineStr">
        <is>
          <t>lien utm</t>
        </is>
      </c>
      <c r="C440" t="inlineStr">
        <is>
          <t>Morocco</t>
        </is>
      </c>
      <c r="D440" t="inlineStr">
        <is>
          <t>ma</t>
        </is>
      </c>
      <c r="E440" t="inlineStr">
        <is>
          <t>fr</t>
        </is>
      </c>
      <c r="F440" t="n">
        <v>10</v>
      </c>
      <c r="G440" t="inlineStr">
        <is>
          <t>NOT AVAILABLE</t>
        </is>
      </c>
      <c r="H440" t="n">
        <v>0</v>
      </c>
      <c r="I440" t="n">
        <v>0.04</v>
      </c>
      <c r="J440" t="inlineStr">
        <is>
          <t>NOT AVAILABLE</t>
        </is>
      </c>
      <c r="K440" t="inlineStr">
        <is>
          <t>NOT AVAILABLE (report not requested)</t>
        </is>
      </c>
      <c r="L440" t="inlineStr">
        <is>
          <t>stable (calc.)</t>
        </is>
      </c>
      <c r="M440" t="inlineStr">
        <is>
          <t>MEASURED</t>
        </is>
      </c>
      <c r="N440" s="5" t="inlineStr">
        <is>
          <t>Semrush phrase_these (live, this session)</t>
        </is>
      </c>
      <c r="O440" t="inlineStr">
        <is>
          <t>2026-10-30</t>
        </is>
      </c>
      <c r="P440">
        <f>IF(IF(J440="NOT AVAILABLE","",J440)="",12,IF(OR(ISNUMBER(SEARCH("Transactional",IF(J440="NOT AVAILABLE","",J440))),ISNUMBER(SEARCH("Commercial",IF(J440="NOT AVAILABLE","",J440)))),25,IF(ISNUMBER(SEARCH("Informational",IF(J440="NOT AVAILABLE","",J440))),10,IF(ISNUMBER(SEARCH("Navigational",IF(J440="NOT AVAILABLE","",J440))),0,12))))</f>
        <v/>
      </c>
      <c r="Q440">
        <f>IF(ISNUMBER(F440),MIN(30,ROUND(30*LOG10(F440+1)/4,1)),0)</f>
        <v/>
      </c>
      <c r="R440">
        <f>IF(ISNUMBER(G440),ROUND(25*(100-G440)/100,1),12.5)</f>
        <v/>
      </c>
      <c r="S440" t="n">
        <v>20</v>
      </c>
      <c r="T440">
        <f>ROUND(P440+Q440+R440+S440,0)</f>
        <v/>
      </c>
      <c r="U440" s="5" t="inlineStr"/>
      <c r="V440" s="5" t="inlineStr">
        <is>
          <t>SUPPORTING /tools/utm-builder</t>
        </is>
      </c>
    </row>
    <row r="441">
      <c r="A441" t="inlineStr">
        <is>
          <t>K0439</t>
        </is>
      </c>
      <c r="B441" t="inlineStr">
        <is>
          <t>logiciel de gestion maroc</t>
        </is>
      </c>
      <c r="C441" t="inlineStr">
        <is>
          <t>Morocco</t>
        </is>
      </c>
      <c r="D441" t="inlineStr">
        <is>
          <t>ma</t>
        </is>
      </c>
      <c r="E441" t="inlineStr">
        <is>
          <t>fr</t>
        </is>
      </c>
      <c r="F441" t="n">
        <v>10</v>
      </c>
      <c r="G441" t="inlineStr">
        <is>
          <t>NOT AVAILABLE</t>
        </is>
      </c>
      <c r="H441" t="n">
        <v>0.34</v>
      </c>
      <c r="I441" t="n">
        <v>0.57</v>
      </c>
      <c r="J441" t="inlineStr">
        <is>
          <t>NOT AVAILABLE</t>
        </is>
      </c>
      <c r="K441" t="inlineStr">
        <is>
          <t>NOT AVAILABLE (report not requested)</t>
        </is>
      </c>
      <c r="L441" t="inlineStr">
        <is>
          <t>declining (calc.)</t>
        </is>
      </c>
      <c r="M441" t="inlineStr">
        <is>
          <t>MEASURED</t>
        </is>
      </c>
      <c r="N441" s="5" t="inlineStr">
        <is>
          <t>Semrush phrase_these (historical w3-validate-D-software.csv)</t>
        </is>
      </c>
      <c r="O441" t="inlineStr">
        <is>
          <t>2026-10-27</t>
        </is>
      </c>
      <c r="P441">
        <f>IF(IF(J441="NOT AVAILABLE","",J441)="",12,IF(OR(ISNUMBER(SEARCH("Transactional",IF(J441="NOT AVAILABLE","",J441))),ISNUMBER(SEARCH("Commercial",IF(J441="NOT AVAILABLE","",J441)))),25,IF(ISNUMBER(SEARCH("Informational",IF(J441="NOT AVAILABLE","",J441))),10,IF(ISNUMBER(SEARCH("Navigational",IF(J441="NOT AVAILABLE","",J441))),0,12))))</f>
        <v/>
      </c>
      <c r="Q441">
        <f>IF(ISNUMBER(F441),MIN(30,ROUND(30*LOG10(F441+1)/4,1)),0)</f>
        <v/>
      </c>
      <c r="R441">
        <f>IF(ISNUMBER(G441),ROUND(25*(100-G441)/100,1),12.5)</f>
        <v/>
      </c>
      <c r="S441" t="n">
        <v>20</v>
      </c>
      <c r="T441">
        <f>ROUND(P441+Q441+R441+S441,0)</f>
        <v/>
      </c>
      <c r="U441" s="5" t="inlineStr"/>
      <c r="V441" s="5" t="inlineStr"/>
    </row>
    <row r="442">
      <c r="A442" t="inlineStr">
        <is>
          <t>K0440</t>
        </is>
      </c>
      <c r="B442" t="inlineStr">
        <is>
          <t>mobile friendly test</t>
        </is>
      </c>
      <c r="C442" t="inlineStr">
        <is>
          <t>Morocco</t>
        </is>
      </c>
      <c r="D442" t="inlineStr">
        <is>
          <t>ma</t>
        </is>
      </c>
      <c r="E442" t="inlineStr">
        <is>
          <t>fr</t>
        </is>
      </c>
      <c r="F442" t="n">
        <v>10</v>
      </c>
      <c r="G442" t="inlineStr">
        <is>
          <t>NOT AVAILABLE</t>
        </is>
      </c>
      <c r="H442" t="n">
        <v>0</v>
      </c>
      <c r="I442" t="n">
        <v>0.33</v>
      </c>
      <c r="J442" t="inlineStr">
        <is>
          <t>NOT AVAILABLE</t>
        </is>
      </c>
      <c r="K442" t="inlineStr">
        <is>
          <t>NOT AVAILABLE (report not requested)</t>
        </is>
      </c>
      <c r="L442" t="inlineStr">
        <is>
          <t>rising (calc.)</t>
        </is>
      </c>
      <c r="M442" t="inlineStr">
        <is>
          <t>MEASURED</t>
        </is>
      </c>
      <c r="N442" s="5" t="inlineStr">
        <is>
          <t>Semrush phrase_these (live, this session)</t>
        </is>
      </c>
      <c r="O442" t="inlineStr">
        <is>
          <t>2026-10-30</t>
        </is>
      </c>
      <c r="P442">
        <f>IF(IF(J442="NOT AVAILABLE","",J442)="",12,IF(OR(ISNUMBER(SEARCH("Transactional",IF(J442="NOT AVAILABLE","",J442))),ISNUMBER(SEARCH("Commercial",IF(J442="NOT AVAILABLE","",J442)))),25,IF(ISNUMBER(SEARCH("Informational",IF(J442="NOT AVAILABLE","",J442))),10,IF(ISNUMBER(SEARCH("Navigational",IF(J442="NOT AVAILABLE","",J442))),0,12))))</f>
        <v/>
      </c>
      <c r="Q442">
        <f>IF(ISNUMBER(F442),MIN(30,ROUND(30*LOG10(F442+1)/4,1)),0)</f>
        <v/>
      </c>
      <c r="R442">
        <f>IF(ISNUMBER(G442),ROUND(25*(100-G442)/100,1),12.5)</f>
        <v/>
      </c>
      <c r="S442" t="n">
        <v>20</v>
      </c>
      <c r="T442">
        <f>ROUND(P442+Q442+R442+S442,0)</f>
        <v/>
      </c>
      <c r="U442" s="5" t="inlineStr"/>
      <c r="V442" s="5" t="inlineStr">
        <is>
          <t>SECONDARY /tools/mobile-friendly-test</t>
        </is>
      </c>
    </row>
    <row r="443">
      <c r="A443" t="inlineStr">
        <is>
          <t>K0441</t>
        </is>
      </c>
      <c r="B443" t="inlineStr">
        <is>
          <t>nofollow dofollow</t>
        </is>
      </c>
      <c r="C443" t="inlineStr">
        <is>
          <t>Morocco</t>
        </is>
      </c>
      <c r="D443" t="inlineStr">
        <is>
          <t>ma</t>
        </is>
      </c>
      <c r="E443" t="inlineStr">
        <is>
          <t>fr</t>
        </is>
      </c>
      <c r="F443" t="n">
        <v>10</v>
      </c>
      <c r="G443" t="inlineStr">
        <is>
          <t>NOT AVAILABLE</t>
        </is>
      </c>
      <c r="H443" t="n">
        <v>0</v>
      </c>
      <c r="I443" t="n">
        <v>0</v>
      </c>
      <c r="J443" t="inlineStr">
        <is>
          <t>NOT AVAILABLE</t>
        </is>
      </c>
      <c r="K443" t="inlineStr">
        <is>
          <t>NOT AVAILABLE (report not requested)</t>
        </is>
      </c>
      <c r="L443" t="inlineStr">
        <is>
          <t>declining (calc.)</t>
        </is>
      </c>
      <c r="M443" t="inlineStr">
        <is>
          <t>MEASURED</t>
        </is>
      </c>
      <c r="N443" s="5" t="inlineStr">
        <is>
          <t>Semrush phrase_these (live, this session)</t>
        </is>
      </c>
      <c r="O443" t="inlineStr">
        <is>
          <t>2026-10-30</t>
        </is>
      </c>
      <c r="P443">
        <f>IF(IF(J443="NOT AVAILABLE","",J443)="",12,IF(OR(ISNUMBER(SEARCH("Transactional",IF(J443="NOT AVAILABLE","",J443))),ISNUMBER(SEARCH("Commercial",IF(J443="NOT AVAILABLE","",J443)))),25,IF(ISNUMBER(SEARCH("Informational",IF(J443="NOT AVAILABLE","",J443))),10,IF(ISNUMBER(SEARCH("Navigational",IF(J443="NOT AVAILABLE","",J443))),0,12))))</f>
        <v/>
      </c>
      <c r="Q443">
        <f>IF(ISNUMBER(F443),MIN(30,ROUND(30*LOG10(F443+1)/4,1)),0)</f>
        <v/>
      </c>
      <c r="R443">
        <f>IF(ISNUMBER(G443),ROUND(25*(100-G443)/100,1),12.5)</f>
        <v/>
      </c>
      <c r="S443" t="n">
        <v>20</v>
      </c>
      <c r="T443">
        <f>ROUND(P443+Q443+R443+S443,0)</f>
        <v/>
      </c>
      <c r="U443" s="5" t="inlineStr"/>
      <c r="V443" s="5" t="inlineStr">
        <is>
          <t>SUPPORTING /tools/nofollow-link-checker</t>
        </is>
      </c>
    </row>
    <row r="444">
      <c r="A444" t="inlineStr">
        <is>
          <t>K0442</t>
        </is>
      </c>
      <c r="B444" t="inlineStr">
        <is>
          <t>outil audit seo</t>
        </is>
      </c>
      <c r="C444" t="inlineStr">
        <is>
          <t>Morocco</t>
        </is>
      </c>
      <c r="D444" t="inlineStr">
        <is>
          <t>ma</t>
        </is>
      </c>
      <c r="E444" t="inlineStr">
        <is>
          <t>fr</t>
        </is>
      </c>
      <c r="F444" t="n">
        <v>10</v>
      </c>
      <c r="G444" t="inlineStr">
        <is>
          <t>NOT AVAILABLE</t>
        </is>
      </c>
      <c r="H444" t="n">
        <v>0</v>
      </c>
      <c r="I444" t="n">
        <v>0.33</v>
      </c>
      <c r="J444" t="inlineStr">
        <is>
          <t>NOT AVAILABLE</t>
        </is>
      </c>
      <c r="K444" t="inlineStr">
        <is>
          <t>NOT AVAILABLE (report not requested)</t>
        </is>
      </c>
      <c r="L444" t="inlineStr">
        <is>
          <t>rising (calc.)</t>
        </is>
      </c>
      <c r="M444" t="inlineStr">
        <is>
          <t>MEASURED</t>
        </is>
      </c>
      <c r="N444" s="5" t="inlineStr">
        <is>
          <t>Semrush phrase_these (historical w3-validate-G-tools.csv)</t>
        </is>
      </c>
      <c r="O444" t="inlineStr">
        <is>
          <t>2026-10-27</t>
        </is>
      </c>
      <c r="P444">
        <f>IF(IF(J444="NOT AVAILABLE","",J444)="",12,IF(OR(ISNUMBER(SEARCH("Transactional",IF(J444="NOT AVAILABLE","",J444))),ISNUMBER(SEARCH("Commercial",IF(J444="NOT AVAILABLE","",J444)))),25,IF(ISNUMBER(SEARCH("Informational",IF(J444="NOT AVAILABLE","",J444))),10,IF(ISNUMBER(SEARCH("Navigational",IF(J444="NOT AVAILABLE","",J444))),0,12))))</f>
        <v/>
      </c>
      <c r="Q444">
        <f>IF(ISNUMBER(F444),MIN(30,ROUND(30*LOG10(F444+1)/4,1)),0)</f>
        <v/>
      </c>
      <c r="R444">
        <f>IF(ISNUMBER(G444),ROUND(25*(100-G444)/100,1),12.5)</f>
        <v/>
      </c>
      <c r="S444" t="n">
        <v>20</v>
      </c>
      <c r="T444">
        <f>ROUND(P444+Q444+R444+S444,0)</f>
        <v/>
      </c>
      <c r="U444" s="5" t="inlineStr"/>
      <c r="V444" s="5" t="inlineStr"/>
    </row>
    <row r="445">
      <c r="A445" t="inlineStr">
        <is>
          <t>K0443</t>
        </is>
      </c>
      <c r="B445" t="inlineStr">
        <is>
          <t>plateforme de cours en ligne</t>
        </is>
      </c>
      <c r="C445" t="inlineStr">
        <is>
          <t>Morocco</t>
        </is>
      </c>
      <c r="D445" t="inlineStr">
        <is>
          <t>ma</t>
        </is>
      </c>
      <c r="E445" t="inlineStr">
        <is>
          <t>fr</t>
        </is>
      </c>
      <c r="F445" t="n">
        <v>10</v>
      </c>
      <c r="G445" t="inlineStr">
        <is>
          <t>NOT AVAILABLE</t>
        </is>
      </c>
      <c r="H445" t="n">
        <v>0.22</v>
      </c>
      <c r="I445" t="n">
        <v>0.46</v>
      </c>
      <c r="J445" t="inlineStr">
        <is>
          <t>NOT AVAILABLE</t>
        </is>
      </c>
      <c r="K445" t="inlineStr">
        <is>
          <t>NOT AVAILABLE (report not requested)</t>
        </is>
      </c>
      <c r="L445" t="inlineStr">
        <is>
          <t>declining (calc.)</t>
        </is>
      </c>
      <c r="M445" t="inlineStr">
        <is>
          <t>MEASURED</t>
        </is>
      </c>
      <c r="N445" s="5" t="inlineStr">
        <is>
          <t>Semrush phrase_these (live, this session)</t>
        </is>
      </c>
      <c r="O445" t="inlineStr">
        <is>
          <t>2026-10-30</t>
        </is>
      </c>
      <c r="P445">
        <f>IF(IF(J445="NOT AVAILABLE","",J445)="",12,IF(OR(ISNUMBER(SEARCH("Transactional",IF(J445="NOT AVAILABLE","",J445))),ISNUMBER(SEARCH("Commercial",IF(J445="NOT AVAILABLE","",J445)))),25,IF(ISNUMBER(SEARCH("Informational",IF(J445="NOT AVAILABLE","",J445))),10,IF(ISNUMBER(SEARCH("Navigational",IF(J445="NOT AVAILABLE","",J445))),0,12))))</f>
        <v/>
      </c>
      <c r="Q445">
        <f>IF(ISNUMBER(F445),MIN(30,ROUND(30*LOG10(F445+1)/4,1)),0)</f>
        <v/>
      </c>
      <c r="R445">
        <f>IF(ISNUMBER(G445),ROUND(25*(100-G445)/100,1),12.5)</f>
        <v/>
      </c>
      <c r="S445" t="n">
        <v>20</v>
      </c>
      <c r="T445">
        <f>ROUND(P445+Q445+R445+S445,0)</f>
        <v/>
      </c>
      <c r="U445" s="5" t="inlineStr"/>
      <c r="V445" s="5" t="inlineStr"/>
    </row>
    <row r="446">
      <c r="A446" t="inlineStr">
        <is>
          <t>K0444</t>
        </is>
      </c>
      <c r="B446" t="inlineStr">
        <is>
          <t>plateforme lms</t>
        </is>
      </c>
      <c r="C446" t="inlineStr">
        <is>
          <t>Morocco</t>
        </is>
      </c>
      <c r="D446" t="inlineStr">
        <is>
          <t>ma</t>
        </is>
      </c>
      <c r="E446" t="inlineStr">
        <is>
          <t>fr</t>
        </is>
      </c>
      <c r="F446" t="n">
        <v>10</v>
      </c>
      <c r="G446" t="inlineStr">
        <is>
          <t>NOT AVAILABLE</t>
        </is>
      </c>
      <c r="H446" t="n">
        <v>0.3</v>
      </c>
      <c r="I446" t="n">
        <v>0.16</v>
      </c>
      <c r="J446" t="inlineStr">
        <is>
          <t>NOT AVAILABLE</t>
        </is>
      </c>
      <c r="K446" t="inlineStr">
        <is>
          <t>NOT AVAILABLE (report not requested)</t>
        </is>
      </c>
      <c r="L446" t="inlineStr">
        <is>
          <t>stable (calc.)</t>
        </is>
      </c>
      <c r="M446" t="inlineStr">
        <is>
          <t>MEASURED</t>
        </is>
      </c>
      <c r="N446" s="5" t="inlineStr">
        <is>
          <t>Semrush phrase_these (live, this session)</t>
        </is>
      </c>
      <c r="O446" t="inlineStr">
        <is>
          <t>2026-10-30</t>
        </is>
      </c>
      <c r="P446">
        <f>IF(IF(J446="NOT AVAILABLE","",J446)="",12,IF(OR(ISNUMBER(SEARCH("Transactional",IF(J446="NOT AVAILABLE","",J446))),ISNUMBER(SEARCH("Commercial",IF(J446="NOT AVAILABLE","",J446)))),25,IF(ISNUMBER(SEARCH("Informational",IF(J446="NOT AVAILABLE","",J446))),10,IF(ISNUMBER(SEARCH("Navigational",IF(J446="NOT AVAILABLE","",J446))),0,12))))</f>
        <v/>
      </c>
      <c r="Q446">
        <f>IF(ISNUMBER(F446),MIN(30,ROUND(30*LOG10(F446+1)/4,1)),0)</f>
        <v/>
      </c>
      <c r="R446">
        <f>IF(ISNUMBER(G446),ROUND(25*(100-G446)/100,1),12.5)</f>
        <v/>
      </c>
      <c r="S446" t="n">
        <v>20</v>
      </c>
      <c r="T446">
        <f>ROUND(P446+Q446+R446+S446,0)</f>
        <v/>
      </c>
      <c r="U446" s="5" t="inlineStr"/>
      <c r="V446" s="5" t="inlineStr"/>
    </row>
    <row r="447">
      <c r="A447" t="inlineStr">
        <is>
          <t>K0445</t>
        </is>
      </c>
      <c r="B447" t="inlineStr">
        <is>
          <t>portail immobilier maroc</t>
        </is>
      </c>
      <c r="C447" t="inlineStr">
        <is>
          <t>Morocco</t>
        </is>
      </c>
      <c r="D447" t="inlineStr">
        <is>
          <t>ma</t>
        </is>
      </c>
      <c r="E447" t="inlineStr">
        <is>
          <t>fr</t>
        </is>
      </c>
      <c r="F447" t="n">
        <v>10</v>
      </c>
      <c r="G447" t="inlineStr">
        <is>
          <t>NOT AVAILABLE</t>
        </is>
      </c>
      <c r="H447" t="n">
        <v>0.16</v>
      </c>
      <c r="I447" t="n">
        <v>0.49</v>
      </c>
      <c r="J447" t="inlineStr">
        <is>
          <t>NOT AVAILABLE</t>
        </is>
      </c>
      <c r="K447" t="inlineStr">
        <is>
          <t>NOT AVAILABLE (report not requested)</t>
        </is>
      </c>
      <c r="L447" t="inlineStr">
        <is>
          <t>stable (calc.)</t>
        </is>
      </c>
      <c r="M447" t="inlineStr">
        <is>
          <t>MEASURED</t>
        </is>
      </c>
      <c r="N447" s="5" t="inlineStr">
        <is>
          <t>Semrush phrase_these (live, this session)</t>
        </is>
      </c>
      <c r="O447" t="inlineStr">
        <is>
          <t>2026-10-30</t>
        </is>
      </c>
      <c r="P447">
        <f>IF(IF(J447="NOT AVAILABLE","",J447)="",12,IF(OR(ISNUMBER(SEARCH("Transactional",IF(J447="NOT AVAILABLE","",J447))),ISNUMBER(SEARCH("Commercial",IF(J447="NOT AVAILABLE","",J447)))),25,IF(ISNUMBER(SEARCH("Informational",IF(J447="NOT AVAILABLE","",J447))),10,IF(ISNUMBER(SEARCH("Navigational",IF(J447="NOT AVAILABLE","",J447))),0,12))))</f>
        <v/>
      </c>
      <c r="Q447">
        <f>IF(ISNUMBER(F447),MIN(30,ROUND(30*LOG10(F447+1)/4,1)),0)</f>
        <v/>
      </c>
      <c r="R447">
        <f>IF(ISNUMBER(G447),ROUND(25*(100-G447)/100,1),12.5)</f>
        <v/>
      </c>
      <c r="S447" t="n">
        <v>20</v>
      </c>
      <c r="T447">
        <f>ROUND(P447+Q447+R447+S447,0)</f>
        <v/>
      </c>
      <c r="U447" s="5" t="inlineStr"/>
      <c r="V447" s="5" t="inlineStr"/>
    </row>
    <row r="448">
      <c r="A448" t="inlineStr">
        <is>
          <t>K0446</t>
        </is>
      </c>
      <c r="B448" t="inlineStr">
        <is>
          <t>portfolio site web</t>
        </is>
      </c>
      <c r="C448" t="inlineStr">
        <is>
          <t>Morocco</t>
        </is>
      </c>
      <c r="D448" t="inlineStr">
        <is>
          <t>ma</t>
        </is>
      </c>
      <c r="E448" t="inlineStr">
        <is>
          <t>fr</t>
        </is>
      </c>
      <c r="F448" t="n">
        <v>10</v>
      </c>
      <c r="G448" t="inlineStr">
        <is>
          <t>NOT AVAILABLE</t>
        </is>
      </c>
      <c r="H448" t="n">
        <v>0.1</v>
      </c>
      <c r="I448" t="n">
        <v>0.27</v>
      </c>
      <c r="J448" t="inlineStr">
        <is>
          <t>NOT AVAILABLE</t>
        </is>
      </c>
      <c r="K448" t="inlineStr">
        <is>
          <t>NOT AVAILABLE (report not requested)</t>
        </is>
      </c>
      <c r="L448" t="inlineStr">
        <is>
          <t>stable (calc.)</t>
        </is>
      </c>
      <c r="M448" t="inlineStr">
        <is>
          <t>MEASURED</t>
        </is>
      </c>
      <c r="N448" s="5" t="inlineStr">
        <is>
          <t>Semrush phrase_these (live, this session)</t>
        </is>
      </c>
      <c r="O448" t="inlineStr">
        <is>
          <t>2026-10-30</t>
        </is>
      </c>
      <c r="P448">
        <f>IF(IF(J448="NOT AVAILABLE","",J448)="",12,IF(OR(ISNUMBER(SEARCH("Transactional",IF(J448="NOT AVAILABLE","",J448))),ISNUMBER(SEARCH("Commercial",IF(J448="NOT AVAILABLE","",J448)))),25,IF(ISNUMBER(SEARCH("Informational",IF(J448="NOT AVAILABLE","",J448))),10,IF(ISNUMBER(SEARCH("Navigational",IF(J448="NOT AVAILABLE","",J448))),0,12))))</f>
        <v/>
      </c>
      <c r="Q448">
        <f>IF(ISNUMBER(F448),MIN(30,ROUND(30*LOG10(F448+1)/4,1)),0)</f>
        <v/>
      </c>
      <c r="R448">
        <f>IF(ISNUMBER(G448),ROUND(25*(100-G448)/100,1),12.5)</f>
        <v/>
      </c>
      <c r="S448" t="n">
        <v>20</v>
      </c>
      <c r="T448">
        <f>ROUND(P448+Q448+R448+S448,0)</f>
        <v/>
      </c>
      <c r="U448" s="5" t="inlineStr"/>
      <c r="V448" s="5" t="inlineStr">
        <is>
          <t>SUPPORTING /our-work</t>
        </is>
      </c>
    </row>
    <row r="449">
      <c r="A449" t="inlineStr">
        <is>
          <t>K0447</t>
        </is>
      </c>
      <c r="B449" t="inlineStr">
        <is>
          <t>pourquoi créer un site web</t>
        </is>
      </c>
      <c r="C449" t="inlineStr">
        <is>
          <t>Morocco</t>
        </is>
      </c>
      <c r="D449" t="inlineStr">
        <is>
          <t>ma</t>
        </is>
      </c>
      <c r="E449" t="inlineStr">
        <is>
          <t>fr</t>
        </is>
      </c>
      <c r="F449" t="n">
        <v>10</v>
      </c>
      <c r="G449" t="inlineStr">
        <is>
          <t>NOT AVAILABLE</t>
        </is>
      </c>
      <c r="H449" t="n">
        <v>0</v>
      </c>
      <c r="I449" t="n">
        <v>0</v>
      </c>
      <c r="J449" t="inlineStr">
        <is>
          <t>NOT AVAILABLE</t>
        </is>
      </c>
      <c r="K449" t="inlineStr">
        <is>
          <t>NOT AVAILABLE (report not requested)</t>
        </is>
      </c>
      <c r="L449" t="inlineStr">
        <is>
          <t>stable (calc.)</t>
        </is>
      </c>
      <c r="M449" t="inlineStr">
        <is>
          <t>MEASURED</t>
        </is>
      </c>
      <c r="N449" s="5" t="inlineStr">
        <is>
          <t>Semrush phrase_these (live, this session)</t>
        </is>
      </c>
      <c r="O449" t="inlineStr">
        <is>
          <t>2026-10-30</t>
        </is>
      </c>
      <c r="P449">
        <f>IF(IF(J449="NOT AVAILABLE","",J449)="",12,IF(OR(ISNUMBER(SEARCH("Transactional",IF(J449="NOT AVAILABLE","",J449))),ISNUMBER(SEARCH("Commercial",IF(J449="NOT AVAILABLE","",J449)))),25,IF(ISNUMBER(SEARCH("Informational",IF(J449="NOT AVAILABLE","",J449))),10,IF(ISNUMBER(SEARCH("Navigational",IF(J449="NOT AVAILABLE","",J449))),0,12))))</f>
        <v/>
      </c>
      <c r="Q449">
        <f>IF(ISNUMBER(F449),MIN(30,ROUND(30*LOG10(F449+1)/4,1)),0)</f>
        <v/>
      </c>
      <c r="R449">
        <f>IF(ISNUMBER(G449),ROUND(25*(100-G449)/100,1),12.5)</f>
        <v/>
      </c>
      <c r="S449" t="n">
        <v>20</v>
      </c>
      <c r="T449">
        <f>ROUND(P449+Q449+R449+S449,0)</f>
        <v/>
      </c>
      <c r="U449" s="5" t="inlineStr"/>
      <c r="V449" s="5" t="inlineStr"/>
    </row>
    <row r="450">
      <c r="A450" t="inlineStr">
        <is>
          <t>K0448</t>
        </is>
      </c>
      <c r="B450" t="inlineStr">
        <is>
          <t>prestashop maroc</t>
        </is>
      </c>
      <c r="C450" t="inlineStr">
        <is>
          <t>Morocco</t>
        </is>
      </c>
      <c r="D450" t="inlineStr">
        <is>
          <t>ma</t>
        </is>
      </c>
      <c r="E450" t="inlineStr">
        <is>
          <t>fr</t>
        </is>
      </c>
      <c r="F450" t="n">
        <v>10</v>
      </c>
      <c r="G450" t="inlineStr">
        <is>
          <t>NOT AVAILABLE</t>
        </is>
      </c>
      <c r="H450" t="n">
        <v>0</v>
      </c>
      <c r="I450" t="n">
        <v>0.83</v>
      </c>
      <c r="J450" t="inlineStr">
        <is>
          <t>NOT AVAILABLE</t>
        </is>
      </c>
      <c r="K450" t="inlineStr">
        <is>
          <t>NOT AVAILABLE (report not requested)</t>
        </is>
      </c>
      <c r="L450" t="inlineStr">
        <is>
          <t>stable (calc.)</t>
        </is>
      </c>
      <c r="M450" t="inlineStr">
        <is>
          <t>MEASURED</t>
        </is>
      </c>
      <c r="N450" s="5" t="inlineStr">
        <is>
          <t>Semrush phrase_these (live, this session)</t>
        </is>
      </c>
      <c r="O450" t="inlineStr">
        <is>
          <t>2026-10-30</t>
        </is>
      </c>
      <c r="P450">
        <f>IF(IF(J450="NOT AVAILABLE","",J450)="",12,IF(OR(ISNUMBER(SEARCH("Transactional",IF(J450="NOT AVAILABLE","",J450))),ISNUMBER(SEARCH("Commercial",IF(J450="NOT AVAILABLE","",J450)))),25,IF(ISNUMBER(SEARCH("Informational",IF(J450="NOT AVAILABLE","",J450))),10,IF(ISNUMBER(SEARCH("Navigational",IF(J450="NOT AVAILABLE","",J450))),0,12))))</f>
        <v/>
      </c>
      <c r="Q450">
        <f>IF(ISNUMBER(F450),MIN(30,ROUND(30*LOG10(F450+1)/4,1)),0)</f>
        <v/>
      </c>
      <c r="R450">
        <f>IF(ISNUMBER(G450),ROUND(25*(100-G450)/100,1),12.5)</f>
        <v/>
      </c>
      <c r="S450" t="n">
        <v>20</v>
      </c>
      <c r="T450">
        <f>ROUND(P450+Q450+R450+S450,0)</f>
        <v/>
      </c>
      <c r="U450" s="5" t="inlineStr"/>
      <c r="V450" s="5" t="inlineStr"/>
    </row>
    <row r="451">
      <c r="A451" t="inlineStr">
        <is>
          <t>K0449</t>
        </is>
      </c>
      <c r="B451" t="inlineStr">
        <is>
          <t>prix site e-commerce maroc</t>
        </is>
      </c>
      <c r="C451" t="inlineStr">
        <is>
          <t>Morocco</t>
        </is>
      </c>
      <c r="D451" t="inlineStr">
        <is>
          <t>ma</t>
        </is>
      </c>
      <c r="E451" t="inlineStr">
        <is>
          <t>fr</t>
        </is>
      </c>
      <c r="F451" t="n">
        <v>10</v>
      </c>
      <c r="G451" t="inlineStr">
        <is>
          <t>NOT AVAILABLE</t>
        </is>
      </c>
      <c r="H451" t="n">
        <v>0</v>
      </c>
      <c r="I451" t="n">
        <v>0.37</v>
      </c>
      <c r="J451" t="inlineStr">
        <is>
          <t>NOT AVAILABLE</t>
        </is>
      </c>
      <c r="K451" t="inlineStr">
        <is>
          <t>NOT AVAILABLE (report not requested)</t>
        </is>
      </c>
      <c r="L451" t="inlineStr">
        <is>
          <t>stable (calc.)</t>
        </is>
      </c>
      <c r="M451" t="inlineStr">
        <is>
          <t>MEASURED</t>
        </is>
      </c>
      <c r="N451" s="5" t="inlineStr">
        <is>
          <t>Semrush phrase_these (live, this session)</t>
        </is>
      </c>
      <c r="O451" t="inlineStr">
        <is>
          <t>2026-10-30</t>
        </is>
      </c>
      <c r="P451">
        <f>IF(IF(J451="NOT AVAILABLE","",J451)="",12,IF(OR(ISNUMBER(SEARCH("Transactional",IF(J451="NOT AVAILABLE","",J451))),ISNUMBER(SEARCH("Commercial",IF(J451="NOT AVAILABLE","",J451)))),25,IF(ISNUMBER(SEARCH("Informational",IF(J451="NOT AVAILABLE","",J451))),10,IF(ISNUMBER(SEARCH("Navigational",IF(J451="NOT AVAILABLE","",J451))),0,12))))</f>
        <v/>
      </c>
      <c r="Q451">
        <f>IF(ISNUMBER(F451),MIN(30,ROUND(30*LOG10(F451+1)/4,1)),0)</f>
        <v/>
      </c>
      <c r="R451">
        <f>IF(ISNUMBER(G451),ROUND(25*(100-G451)/100,1),12.5)</f>
        <v/>
      </c>
      <c r="S451" t="n">
        <v>20</v>
      </c>
      <c r="T451">
        <f>ROUND(P451+Q451+R451+S451,0)</f>
        <v/>
      </c>
      <c r="U451" s="5" t="inlineStr"/>
      <c r="V451" s="5" t="inlineStr">
        <is>
          <t>FAQ /services/ecommerce-website-development</t>
        </is>
      </c>
    </row>
    <row r="452">
      <c r="A452" t="inlineStr">
        <is>
          <t>K0450</t>
        </is>
      </c>
      <c r="B452" t="inlineStr">
        <is>
          <t>qu'est ce qu'un site vitrine</t>
        </is>
      </c>
      <c r="C452" t="inlineStr">
        <is>
          <t>Morocco</t>
        </is>
      </c>
      <c r="D452" t="inlineStr">
        <is>
          <t>ma</t>
        </is>
      </c>
      <c r="E452" t="inlineStr">
        <is>
          <t>fr</t>
        </is>
      </c>
      <c r="F452" t="n">
        <v>10</v>
      </c>
      <c r="G452" t="inlineStr">
        <is>
          <t>NOT AVAILABLE</t>
        </is>
      </c>
      <c r="H452" t="n">
        <v>0</v>
      </c>
      <c r="I452" t="n">
        <v>0</v>
      </c>
      <c r="J452" t="inlineStr">
        <is>
          <t>NOT AVAILABLE</t>
        </is>
      </c>
      <c r="K452" t="inlineStr">
        <is>
          <t>NOT AVAILABLE (report not requested)</t>
        </is>
      </c>
      <c r="L452" t="inlineStr">
        <is>
          <t>stable (calc.)</t>
        </is>
      </c>
      <c r="M452" t="inlineStr">
        <is>
          <t>MEASURED</t>
        </is>
      </c>
      <c r="N452" s="5" t="inlineStr">
        <is>
          <t>Semrush phrase_these (live, this session)</t>
        </is>
      </c>
      <c r="O452" t="inlineStr">
        <is>
          <t>2026-10-30</t>
        </is>
      </c>
      <c r="P452">
        <f>IF(IF(J452="NOT AVAILABLE","",J452)="",12,IF(OR(ISNUMBER(SEARCH("Transactional",IF(J452="NOT AVAILABLE","",J452))),ISNUMBER(SEARCH("Commercial",IF(J452="NOT AVAILABLE","",J452)))),25,IF(ISNUMBER(SEARCH("Informational",IF(J452="NOT AVAILABLE","",J452))),10,IF(ISNUMBER(SEARCH("Navigational",IF(J452="NOT AVAILABLE","",J452))),0,12))))</f>
        <v/>
      </c>
      <c r="Q452">
        <f>IF(ISNUMBER(F452),MIN(30,ROUND(30*LOG10(F452+1)/4,1)),0)</f>
        <v/>
      </c>
      <c r="R452">
        <f>IF(ISNUMBER(G452),ROUND(25*(100-G452)/100,1),12.5)</f>
        <v/>
      </c>
      <c r="S452" t="n">
        <v>20</v>
      </c>
      <c r="T452">
        <f>ROUND(P452+Q452+R452+S452,0)</f>
        <v/>
      </c>
      <c r="U452" s="5" t="inlineStr"/>
      <c r="V452" s="5" t="inlineStr"/>
    </row>
    <row r="453">
      <c r="A453" t="inlineStr">
        <is>
          <t>K0451</t>
        </is>
      </c>
      <c r="B453" t="inlineStr">
        <is>
          <t>refonte site internet</t>
        </is>
      </c>
      <c r="C453" t="inlineStr">
        <is>
          <t>Morocco</t>
        </is>
      </c>
      <c r="D453" t="inlineStr">
        <is>
          <t>ma</t>
        </is>
      </c>
      <c r="E453" t="inlineStr">
        <is>
          <t>fr</t>
        </is>
      </c>
      <c r="F453" t="n">
        <v>10</v>
      </c>
      <c r="G453" t="inlineStr">
        <is>
          <t>NOT AVAILABLE</t>
        </is>
      </c>
      <c r="H453" t="n">
        <v>0</v>
      </c>
      <c r="I453" t="n">
        <v>0</v>
      </c>
      <c r="J453" t="inlineStr">
        <is>
          <t>NOT AVAILABLE</t>
        </is>
      </c>
      <c r="K453" t="inlineStr">
        <is>
          <t>NOT AVAILABLE (report not requested)</t>
        </is>
      </c>
      <c r="L453" t="inlineStr">
        <is>
          <t>rising (calc.)</t>
        </is>
      </c>
      <c r="M453" t="inlineStr">
        <is>
          <t>MEASURED</t>
        </is>
      </c>
      <c r="N453" s="5" t="inlineStr">
        <is>
          <t>Semrush phrase_these (historical w3-validate-A-creation.csv)</t>
        </is>
      </c>
      <c r="O453" t="inlineStr">
        <is>
          <t>2026-10-27</t>
        </is>
      </c>
      <c r="P453">
        <f>IF(IF(J453="NOT AVAILABLE","",J453)="",12,IF(OR(ISNUMBER(SEARCH("Transactional",IF(J453="NOT AVAILABLE","",J453))),ISNUMBER(SEARCH("Commercial",IF(J453="NOT AVAILABLE","",J453)))),25,IF(ISNUMBER(SEARCH("Informational",IF(J453="NOT AVAILABLE","",J453))),10,IF(ISNUMBER(SEARCH("Navigational",IF(J453="NOT AVAILABLE","",J453))),0,12))))</f>
        <v/>
      </c>
      <c r="Q453">
        <f>IF(ISNUMBER(F453),MIN(30,ROUND(30*LOG10(F453+1)/4,1)),0)</f>
        <v/>
      </c>
      <c r="R453">
        <f>IF(ISNUMBER(G453),ROUND(25*(100-G453)/100,1),12.5)</f>
        <v/>
      </c>
      <c r="S453" t="n">
        <v>20</v>
      </c>
      <c r="T453">
        <f>ROUND(P453+Q453+R453+S453,0)</f>
        <v/>
      </c>
      <c r="U453" s="5" t="inlineStr"/>
      <c r="V453" s="5" t="inlineStr"/>
    </row>
    <row r="454">
      <c r="A454" t="inlineStr">
        <is>
          <t>K0452</t>
        </is>
      </c>
      <c r="B454" t="inlineStr">
        <is>
          <t>saas maroc</t>
        </is>
      </c>
      <c r="C454" t="inlineStr">
        <is>
          <t>Morocco</t>
        </is>
      </c>
      <c r="D454" t="inlineStr">
        <is>
          <t>ma</t>
        </is>
      </c>
      <c r="E454" t="inlineStr">
        <is>
          <t>fr</t>
        </is>
      </c>
      <c r="F454" t="n">
        <v>10</v>
      </c>
      <c r="G454" t="inlineStr">
        <is>
          <t>NOT AVAILABLE</t>
        </is>
      </c>
      <c r="H454" t="n">
        <v>0.14</v>
      </c>
      <c r="I454" t="n">
        <v>0.15</v>
      </c>
      <c r="J454" t="inlineStr">
        <is>
          <t>NOT AVAILABLE</t>
        </is>
      </c>
      <c r="K454" t="inlineStr">
        <is>
          <t>NOT AVAILABLE (report not requested)</t>
        </is>
      </c>
      <c r="L454" t="inlineStr">
        <is>
          <t>declining (calc.)</t>
        </is>
      </c>
      <c r="M454" t="inlineStr">
        <is>
          <t>MEASURED</t>
        </is>
      </c>
      <c r="N454" s="5" t="inlineStr">
        <is>
          <t>Semrush phrase_these (live, this session)</t>
        </is>
      </c>
      <c r="O454" t="inlineStr">
        <is>
          <t>2026-10-30</t>
        </is>
      </c>
      <c r="P454">
        <f>IF(IF(J454="NOT AVAILABLE","",J454)="",12,IF(OR(ISNUMBER(SEARCH("Transactional",IF(J454="NOT AVAILABLE","",J454))),ISNUMBER(SEARCH("Commercial",IF(J454="NOT AVAILABLE","",J454)))),25,IF(ISNUMBER(SEARCH("Informational",IF(J454="NOT AVAILABLE","",J454))),10,IF(ISNUMBER(SEARCH("Navigational",IF(J454="NOT AVAILABLE","",J454))),0,12))))</f>
        <v/>
      </c>
      <c r="Q454">
        <f>IF(ISNUMBER(F454),MIN(30,ROUND(30*LOG10(F454+1)/4,1)),0)</f>
        <v/>
      </c>
      <c r="R454">
        <f>IF(ISNUMBER(G454),ROUND(25*(100-G454)/100,1),12.5)</f>
        <v/>
      </c>
      <c r="S454" t="n">
        <v>20</v>
      </c>
      <c r="T454">
        <f>ROUND(P454+Q454+R454+S454,0)</f>
        <v/>
      </c>
      <c r="U454" s="5" t="inlineStr"/>
      <c r="V454" s="5" t="inlineStr"/>
    </row>
    <row r="455">
      <c r="A455" t="inlineStr">
        <is>
          <t>K0453</t>
        </is>
      </c>
      <c r="B455" t="inlineStr">
        <is>
          <t>saas multi tenant</t>
        </is>
      </c>
      <c r="C455" t="inlineStr">
        <is>
          <t>Morocco</t>
        </is>
      </c>
      <c r="D455" t="inlineStr">
        <is>
          <t>ma</t>
        </is>
      </c>
      <c r="E455" t="inlineStr">
        <is>
          <t>fr</t>
        </is>
      </c>
      <c r="F455" t="n">
        <v>10</v>
      </c>
      <c r="G455" t="inlineStr">
        <is>
          <t>NOT AVAILABLE</t>
        </is>
      </c>
      <c r="H455" t="n">
        <v>0</v>
      </c>
      <c r="I455" t="n">
        <v>0</v>
      </c>
      <c r="J455" t="inlineStr">
        <is>
          <t>NOT AVAILABLE</t>
        </is>
      </c>
      <c r="K455" t="inlineStr">
        <is>
          <t>NOT AVAILABLE (report not requested)</t>
        </is>
      </c>
      <c r="L455" t="inlineStr">
        <is>
          <t>declining (calc.)</t>
        </is>
      </c>
      <c r="M455" t="inlineStr">
        <is>
          <t>MEASURED</t>
        </is>
      </c>
      <c r="N455" s="5" t="inlineStr">
        <is>
          <t>Semrush phrase_these (live, this session)</t>
        </is>
      </c>
      <c r="O455" t="inlineStr">
        <is>
          <t>2026-10-30</t>
        </is>
      </c>
      <c r="P455">
        <f>IF(IF(J455="NOT AVAILABLE","",J455)="",12,IF(OR(ISNUMBER(SEARCH("Transactional",IF(J455="NOT AVAILABLE","",J455))),ISNUMBER(SEARCH("Commercial",IF(J455="NOT AVAILABLE","",J455)))),25,IF(ISNUMBER(SEARCH("Informational",IF(J455="NOT AVAILABLE","",J455))),10,IF(ISNUMBER(SEARCH("Navigational",IF(J455="NOT AVAILABLE","",J455))),0,12))))</f>
        <v/>
      </c>
      <c r="Q455">
        <f>IF(ISNUMBER(F455),MIN(30,ROUND(30*LOG10(F455+1)/4,1)),0)</f>
        <v/>
      </c>
      <c r="R455">
        <f>IF(ISNUMBER(G455),ROUND(25*(100-G455)/100,1),12.5)</f>
        <v/>
      </c>
      <c r="S455" t="n">
        <v>20</v>
      </c>
      <c r="T455">
        <f>ROUND(P455+Q455+R455+S455,0)</f>
        <v/>
      </c>
      <c r="U455" s="5" t="inlineStr"/>
      <c r="V455" s="5" t="inlineStr"/>
    </row>
    <row r="456">
      <c r="A456" t="inlineStr">
        <is>
          <t>K0454</t>
        </is>
      </c>
      <c r="B456" t="inlineStr">
        <is>
          <t>site e-commerce casablanca</t>
        </is>
      </c>
      <c r="C456" t="inlineStr">
        <is>
          <t>Morocco</t>
        </is>
      </c>
      <c r="D456" t="inlineStr">
        <is>
          <t>ma</t>
        </is>
      </c>
      <c r="E456" t="inlineStr">
        <is>
          <t>fr</t>
        </is>
      </c>
      <c r="F456" t="n">
        <v>10</v>
      </c>
      <c r="G456" t="inlineStr">
        <is>
          <t>NOT AVAILABLE</t>
        </is>
      </c>
      <c r="H456" t="n">
        <v>0</v>
      </c>
      <c r="I456" t="n">
        <v>0</v>
      </c>
      <c r="J456" t="inlineStr">
        <is>
          <t>NOT AVAILABLE</t>
        </is>
      </c>
      <c r="K456" t="inlineStr">
        <is>
          <t>NOT AVAILABLE (report not requested)</t>
        </is>
      </c>
      <c r="L456" t="inlineStr">
        <is>
          <t>declining (calc.)</t>
        </is>
      </c>
      <c r="M456" t="inlineStr">
        <is>
          <t>MEASURED</t>
        </is>
      </c>
      <c r="N456" s="5" t="inlineStr">
        <is>
          <t>Semrush phrase_these (historical w3-validate-B-ecommerce.csv)</t>
        </is>
      </c>
      <c r="O456" t="inlineStr">
        <is>
          <t>2026-10-27</t>
        </is>
      </c>
      <c r="P456">
        <f>IF(IF(J456="NOT AVAILABLE","",J456)="",12,IF(OR(ISNUMBER(SEARCH("Transactional",IF(J456="NOT AVAILABLE","",J456))),ISNUMBER(SEARCH("Commercial",IF(J456="NOT AVAILABLE","",J456)))),25,IF(ISNUMBER(SEARCH("Informational",IF(J456="NOT AVAILABLE","",J456))),10,IF(ISNUMBER(SEARCH("Navigational",IF(J456="NOT AVAILABLE","",J456))),0,12))))</f>
        <v/>
      </c>
      <c r="Q456">
        <f>IF(ISNUMBER(F456),MIN(30,ROUND(30*LOG10(F456+1)/4,1)),0)</f>
        <v/>
      </c>
      <c r="R456">
        <f>IF(ISNUMBER(G456),ROUND(25*(100-G456)/100,1),12.5)</f>
        <v/>
      </c>
      <c r="S456" t="n">
        <v>20</v>
      </c>
      <c r="T456">
        <f>ROUND(P456+Q456+R456+S456,0)</f>
        <v/>
      </c>
      <c r="U456" s="5" t="inlineStr"/>
      <c r="V456" s="5" t="inlineStr"/>
    </row>
    <row r="457">
      <c r="A457" t="inlineStr">
        <is>
          <t>K0455</t>
        </is>
      </c>
      <c r="B457" t="inlineStr">
        <is>
          <t>site immobilier</t>
        </is>
      </c>
      <c r="C457" t="inlineStr">
        <is>
          <t>Morocco</t>
        </is>
      </c>
      <c r="D457" t="inlineStr">
        <is>
          <t>ma</t>
        </is>
      </c>
      <c r="E457" t="inlineStr">
        <is>
          <t>fr</t>
        </is>
      </c>
      <c r="F457" t="n">
        <v>10</v>
      </c>
      <c r="G457" t="inlineStr">
        <is>
          <t>NOT AVAILABLE</t>
        </is>
      </c>
      <c r="H457" t="n">
        <v>0.21</v>
      </c>
      <c r="I457" t="n">
        <v>0.49</v>
      </c>
      <c r="J457" t="inlineStr">
        <is>
          <t>NOT AVAILABLE</t>
        </is>
      </c>
      <c r="K457" t="inlineStr">
        <is>
          <t>NOT AVAILABLE (report not requested)</t>
        </is>
      </c>
      <c r="L457" t="inlineStr">
        <is>
          <t>stable (calc.)</t>
        </is>
      </c>
      <c r="M457" t="inlineStr">
        <is>
          <t>MEASURED</t>
        </is>
      </c>
      <c r="N457" s="5" t="inlineStr">
        <is>
          <t>Semrush phrase_these (live, this session)</t>
        </is>
      </c>
      <c r="O457" t="inlineStr">
        <is>
          <t>2026-10-30</t>
        </is>
      </c>
      <c r="P457">
        <f>IF(IF(J457="NOT AVAILABLE","",J457)="",12,IF(OR(ISNUMBER(SEARCH("Transactional",IF(J457="NOT AVAILABLE","",J457))),ISNUMBER(SEARCH("Commercial",IF(J457="NOT AVAILABLE","",J457)))),25,IF(ISNUMBER(SEARCH("Informational",IF(J457="NOT AVAILABLE","",J457))),10,IF(ISNUMBER(SEARCH("Navigational",IF(J457="NOT AVAILABLE","",J457))),0,12))))</f>
        <v/>
      </c>
      <c r="Q457">
        <f>IF(ISNUMBER(F457),MIN(30,ROUND(30*LOG10(F457+1)/4,1)),0)</f>
        <v/>
      </c>
      <c r="R457">
        <f>IF(ISNUMBER(G457),ROUND(25*(100-G457)/100,1),12.5)</f>
        <v/>
      </c>
      <c r="S457" t="n">
        <v>20</v>
      </c>
      <c r="T457">
        <f>ROUND(P457+Q457+R457+S457,0)</f>
        <v/>
      </c>
      <c r="U457" s="5" t="inlineStr"/>
      <c r="V457" s="5" t="inlineStr"/>
    </row>
    <row r="458">
      <c r="A458" t="inlineStr">
        <is>
          <t>K0456</t>
        </is>
      </c>
      <c r="B458" t="inlineStr">
        <is>
          <t>site web immobilier</t>
        </is>
      </c>
      <c r="C458" t="inlineStr">
        <is>
          <t>Morocco</t>
        </is>
      </c>
      <c r="D458" t="inlineStr">
        <is>
          <t>ma</t>
        </is>
      </c>
      <c r="E458" t="inlineStr">
        <is>
          <t>fr</t>
        </is>
      </c>
      <c r="F458" t="n">
        <v>10</v>
      </c>
      <c r="G458" t="inlineStr">
        <is>
          <t>NOT AVAILABLE</t>
        </is>
      </c>
      <c r="H458" t="n">
        <v>0</v>
      </c>
      <c r="I458" t="n">
        <v>0.86</v>
      </c>
      <c r="J458" t="inlineStr">
        <is>
          <t>NOT AVAILABLE</t>
        </is>
      </c>
      <c r="K458" t="inlineStr">
        <is>
          <t>NOT AVAILABLE (report not requested)</t>
        </is>
      </c>
      <c r="L458" t="inlineStr">
        <is>
          <t>declining (calc.)</t>
        </is>
      </c>
      <c r="M458" t="inlineStr">
        <is>
          <t>MEASURED</t>
        </is>
      </c>
      <c r="N458" s="5" t="inlineStr">
        <is>
          <t>Semrush phrase_these (live, this session)</t>
        </is>
      </c>
      <c r="O458" t="inlineStr">
        <is>
          <t>2026-10-30</t>
        </is>
      </c>
      <c r="P458">
        <f>IF(IF(J458="NOT AVAILABLE","",J458)="",12,IF(OR(ISNUMBER(SEARCH("Transactional",IF(J458="NOT AVAILABLE","",J458))),ISNUMBER(SEARCH("Commercial",IF(J458="NOT AVAILABLE","",J458)))),25,IF(ISNUMBER(SEARCH("Informational",IF(J458="NOT AVAILABLE","",J458))),10,IF(ISNUMBER(SEARCH("Navigational",IF(J458="NOT AVAILABLE","",J458))),0,12))))</f>
        <v/>
      </c>
      <c r="Q458">
        <f>IF(ISNUMBER(F458),MIN(30,ROUND(30*LOG10(F458+1)/4,1)),0)</f>
        <v/>
      </c>
      <c r="R458">
        <f>IF(ISNUMBER(G458),ROUND(25*(100-G458)/100,1),12.5)</f>
        <v/>
      </c>
      <c r="S458" t="n">
        <v>20</v>
      </c>
      <c r="T458">
        <f>ROUND(P458+Q458+R458+S458,0)</f>
        <v/>
      </c>
      <c r="U458" s="5" t="inlineStr"/>
      <c r="V458" s="5" t="inlineStr"/>
    </row>
    <row r="459">
      <c r="A459" t="inlineStr">
        <is>
          <t>K0457</t>
        </is>
      </c>
      <c r="B459" t="inlineStr">
        <is>
          <t>site web pharmacie</t>
        </is>
      </c>
      <c r="C459" t="inlineStr">
        <is>
          <t>Morocco</t>
        </is>
      </c>
      <c r="D459" t="inlineStr">
        <is>
          <t>ma</t>
        </is>
      </c>
      <c r="E459" t="inlineStr">
        <is>
          <t>fr</t>
        </is>
      </c>
      <c r="F459" t="n">
        <v>10</v>
      </c>
      <c r="G459" t="inlineStr">
        <is>
          <t>NOT AVAILABLE</t>
        </is>
      </c>
      <c r="H459" t="n">
        <v>0</v>
      </c>
      <c r="I459" t="n">
        <v>0.08</v>
      </c>
      <c r="J459" t="inlineStr">
        <is>
          <t>NOT AVAILABLE</t>
        </is>
      </c>
      <c r="K459" t="inlineStr">
        <is>
          <t>NOT AVAILABLE (report not requested)</t>
        </is>
      </c>
      <c r="L459" t="inlineStr">
        <is>
          <t>stable (calc.)</t>
        </is>
      </c>
      <c r="M459" t="inlineStr">
        <is>
          <t>MEASURED</t>
        </is>
      </c>
      <c r="N459" s="5" t="inlineStr">
        <is>
          <t>Semrush phrase_these (live, this session)</t>
        </is>
      </c>
      <c r="O459" t="inlineStr">
        <is>
          <t>2026-10-30</t>
        </is>
      </c>
      <c r="P459">
        <f>IF(IF(J459="NOT AVAILABLE","",J459)="",12,IF(OR(ISNUMBER(SEARCH("Transactional",IF(J459="NOT AVAILABLE","",J459))),ISNUMBER(SEARCH("Commercial",IF(J459="NOT AVAILABLE","",J459)))),25,IF(ISNUMBER(SEARCH("Informational",IF(J459="NOT AVAILABLE","",J459))),10,IF(ISNUMBER(SEARCH("Navigational",IF(J459="NOT AVAILABLE","",J459))),0,12))))</f>
        <v/>
      </c>
      <c r="Q459">
        <f>IF(ISNUMBER(F459),MIN(30,ROUND(30*LOG10(F459+1)/4,1)),0)</f>
        <v/>
      </c>
      <c r="R459">
        <f>IF(ISNUMBER(G459),ROUND(25*(100-G459)/100,1),12.5)</f>
        <v/>
      </c>
      <c r="S459" t="n">
        <v>20</v>
      </c>
      <c r="T459">
        <f>ROUND(P459+Q459+R459+S459,0)</f>
        <v/>
      </c>
      <c r="U459" s="5" t="inlineStr"/>
      <c r="V459" s="5" t="inlineStr"/>
    </row>
    <row r="460">
      <c r="A460" t="inlineStr">
        <is>
          <t>K0458</t>
        </is>
      </c>
      <c r="B460" t="inlineStr">
        <is>
          <t>site web université</t>
        </is>
      </c>
      <c r="C460" t="inlineStr">
        <is>
          <t>Morocco</t>
        </is>
      </c>
      <c r="D460" t="inlineStr">
        <is>
          <t>ma</t>
        </is>
      </c>
      <c r="E460" t="inlineStr">
        <is>
          <t>fr</t>
        </is>
      </c>
      <c r="F460" t="n">
        <v>10</v>
      </c>
      <c r="G460" t="inlineStr">
        <is>
          <t>NOT AVAILABLE</t>
        </is>
      </c>
      <c r="H460" t="n">
        <v>0</v>
      </c>
      <c r="I460" t="n">
        <v>0.33</v>
      </c>
      <c r="J460" t="inlineStr">
        <is>
          <t>NOT AVAILABLE</t>
        </is>
      </c>
      <c r="K460" t="inlineStr">
        <is>
          <t>NOT AVAILABLE (report not requested)</t>
        </is>
      </c>
      <c r="L460" t="inlineStr">
        <is>
          <t>declining (calc.)</t>
        </is>
      </c>
      <c r="M460" t="inlineStr">
        <is>
          <t>MEASURED</t>
        </is>
      </c>
      <c r="N460" s="5" t="inlineStr">
        <is>
          <t>Semrush phrase_these (live, this session)</t>
        </is>
      </c>
      <c r="O460" t="inlineStr">
        <is>
          <t>2026-10-30</t>
        </is>
      </c>
      <c r="P460">
        <f>IF(IF(J460="NOT AVAILABLE","",J460)="",12,IF(OR(ISNUMBER(SEARCH("Transactional",IF(J460="NOT AVAILABLE","",J460))),ISNUMBER(SEARCH("Commercial",IF(J460="NOT AVAILABLE","",J460)))),25,IF(ISNUMBER(SEARCH("Informational",IF(J460="NOT AVAILABLE","",J460))),10,IF(ISNUMBER(SEARCH("Navigational",IF(J460="NOT AVAILABLE","",J460))),0,12))))</f>
        <v/>
      </c>
      <c r="Q460">
        <f>IF(ISNUMBER(F460),MIN(30,ROUND(30*LOG10(F460+1)/4,1)),0)</f>
        <v/>
      </c>
      <c r="R460">
        <f>IF(ISNUMBER(G460),ROUND(25*(100-G460)/100,1),12.5)</f>
        <v/>
      </c>
      <c r="S460" t="n">
        <v>20</v>
      </c>
      <c r="T460">
        <f>ROUND(P460+Q460+R460+S460,0)</f>
        <v/>
      </c>
      <c r="U460" s="5" t="inlineStr"/>
      <c r="V460" s="5" t="inlineStr">
        <is>
          <t>SUPPORTING /services/university-website-development</t>
        </is>
      </c>
    </row>
    <row r="461">
      <c r="A461" t="inlineStr">
        <is>
          <t>K0459</t>
        </is>
      </c>
      <c r="B461" t="inlineStr">
        <is>
          <t>sitemap validator</t>
        </is>
      </c>
      <c r="C461" t="inlineStr">
        <is>
          <t>Morocco</t>
        </is>
      </c>
      <c r="D461" t="inlineStr">
        <is>
          <t>ma</t>
        </is>
      </c>
      <c r="E461" t="inlineStr">
        <is>
          <t>fr</t>
        </is>
      </c>
      <c r="F461" t="n">
        <v>10</v>
      </c>
      <c r="G461" t="inlineStr">
        <is>
          <t>NOT AVAILABLE</t>
        </is>
      </c>
      <c r="H461" t="n">
        <v>0</v>
      </c>
      <c r="I461" t="n">
        <v>0.03</v>
      </c>
      <c r="J461" t="inlineStr">
        <is>
          <t>NOT AVAILABLE</t>
        </is>
      </c>
      <c r="K461" t="inlineStr">
        <is>
          <t>NOT AVAILABLE (report not requested)</t>
        </is>
      </c>
      <c r="L461" t="inlineStr">
        <is>
          <t>rising (calc.)</t>
        </is>
      </c>
      <c r="M461" t="inlineStr">
        <is>
          <t>MEASURED</t>
        </is>
      </c>
      <c r="N461" s="5" t="inlineStr">
        <is>
          <t>Semrush phrase_these (live, this session)</t>
        </is>
      </c>
      <c r="O461" t="inlineStr">
        <is>
          <t>2026-10-30</t>
        </is>
      </c>
      <c r="P461">
        <f>IF(IF(J461="NOT AVAILABLE","",J461)="",12,IF(OR(ISNUMBER(SEARCH("Transactional",IF(J461="NOT AVAILABLE","",J461))),ISNUMBER(SEARCH("Commercial",IF(J461="NOT AVAILABLE","",J461)))),25,IF(ISNUMBER(SEARCH("Informational",IF(J461="NOT AVAILABLE","",J461))),10,IF(ISNUMBER(SEARCH("Navigational",IF(J461="NOT AVAILABLE","",J461))),0,12))))</f>
        <v/>
      </c>
      <c r="Q461">
        <f>IF(ISNUMBER(F461),MIN(30,ROUND(30*LOG10(F461+1)/4,1)),0)</f>
        <v/>
      </c>
      <c r="R461">
        <f>IF(ISNUMBER(G461),ROUND(25*(100-G461)/100,1),12.5)</f>
        <v/>
      </c>
      <c r="S461" t="n">
        <v>20</v>
      </c>
      <c r="T461">
        <f>ROUND(P461+Q461+R461+S461,0)</f>
        <v/>
      </c>
      <c r="U461" s="5" t="inlineStr"/>
      <c r="V461" s="5" t="inlineStr">
        <is>
          <t>SECONDARY /tools/sitemap-validator</t>
        </is>
      </c>
    </row>
    <row r="462">
      <c r="A462" t="inlineStr">
        <is>
          <t>K0460</t>
        </is>
      </c>
      <c r="B462" t="inlineStr">
        <is>
          <t>slug seo</t>
        </is>
      </c>
      <c r="C462" t="inlineStr">
        <is>
          <t>Morocco</t>
        </is>
      </c>
      <c r="D462" t="inlineStr">
        <is>
          <t>ma</t>
        </is>
      </c>
      <c r="E462" t="inlineStr">
        <is>
          <t>fr</t>
        </is>
      </c>
      <c r="F462" t="n">
        <v>10</v>
      </c>
      <c r="G462" t="inlineStr">
        <is>
          <t>NOT AVAILABLE</t>
        </is>
      </c>
      <c r="H462" t="n">
        <v>0</v>
      </c>
      <c r="I462" t="n">
        <v>0</v>
      </c>
      <c r="J462" t="inlineStr">
        <is>
          <t>NOT AVAILABLE</t>
        </is>
      </c>
      <c r="K462" t="inlineStr">
        <is>
          <t>NOT AVAILABLE (report not requested)</t>
        </is>
      </c>
      <c r="L462" t="inlineStr">
        <is>
          <t>declining (calc.)</t>
        </is>
      </c>
      <c r="M462" t="inlineStr">
        <is>
          <t>MEASURED</t>
        </is>
      </c>
      <c r="N462" s="5" t="inlineStr">
        <is>
          <t>Semrush phrase_these (live, this session)</t>
        </is>
      </c>
      <c r="O462" t="inlineStr">
        <is>
          <t>2026-10-30</t>
        </is>
      </c>
      <c r="P462">
        <f>IF(IF(J462="NOT AVAILABLE","",J462)="",12,IF(OR(ISNUMBER(SEARCH("Transactional",IF(J462="NOT AVAILABLE","",J462))),ISNUMBER(SEARCH("Commercial",IF(J462="NOT AVAILABLE","",J462)))),25,IF(ISNUMBER(SEARCH("Informational",IF(J462="NOT AVAILABLE","",J462))),10,IF(ISNUMBER(SEARCH("Navigational",IF(J462="NOT AVAILABLE","",J462))),0,12))))</f>
        <v/>
      </c>
      <c r="Q462">
        <f>IF(ISNUMBER(F462),MIN(30,ROUND(30*LOG10(F462+1)/4,1)),0)</f>
        <v/>
      </c>
      <c r="R462">
        <f>IF(ISNUMBER(G462),ROUND(25*(100-G462)/100,1),12.5)</f>
        <v/>
      </c>
      <c r="S462" t="n">
        <v>20</v>
      </c>
      <c r="T462">
        <f>ROUND(P462+Q462+R462+S462,0)</f>
        <v/>
      </c>
      <c r="U462" s="5" t="inlineStr"/>
      <c r="V462" s="5" t="inlineStr">
        <is>
          <t>SECONDARY /tools/url-slug-generator</t>
        </is>
      </c>
    </row>
    <row r="463">
      <c r="A463" t="inlineStr">
        <is>
          <t>K0461</t>
        </is>
      </c>
      <c r="B463" t="inlineStr">
        <is>
          <t>tarif site internet</t>
        </is>
      </c>
      <c r="C463" t="inlineStr">
        <is>
          <t>Morocco</t>
        </is>
      </c>
      <c r="D463" t="inlineStr">
        <is>
          <t>ma</t>
        </is>
      </c>
      <c r="E463" t="inlineStr">
        <is>
          <t>fr</t>
        </is>
      </c>
      <c r="F463" t="n">
        <v>10</v>
      </c>
      <c r="G463" t="inlineStr">
        <is>
          <t>NOT AVAILABLE</t>
        </is>
      </c>
      <c r="H463" t="n">
        <v>0</v>
      </c>
      <c r="I463" t="n">
        <v>0</v>
      </c>
      <c r="J463" t="inlineStr">
        <is>
          <t>NOT AVAILABLE</t>
        </is>
      </c>
      <c r="K463" t="inlineStr">
        <is>
          <t>NOT AVAILABLE (report not requested)</t>
        </is>
      </c>
      <c r="L463" t="inlineStr">
        <is>
          <t>declining (calc.)</t>
        </is>
      </c>
      <c r="M463" t="inlineStr">
        <is>
          <t>MEASURED</t>
        </is>
      </c>
      <c r="N463" s="5" t="inlineStr">
        <is>
          <t>Semrush phrase_these (historical w3-validate-A-creation.csv)</t>
        </is>
      </c>
      <c r="O463" t="inlineStr">
        <is>
          <t>2026-10-27</t>
        </is>
      </c>
      <c r="P463">
        <f>IF(IF(J463="NOT AVAILABLE","",J463)="",12,IF(OR(ISNUMBER(SEARCH("Transactional",IF(J463="NOT AVAILABLE","",J463))),ISNUMBER(SEARCH("Commercial",IF(J463="NOT AVAILABLE","",J463)))),25,IF(ISNUMBER(SEARCH("Informational",IF(J463="NOT AVAILABLE","",J463))),10,IF(ISNUMBER(SEARCH("Navigational",IF(J463="NOT AVAILABLE","",J463))),0,12))))</f>
        <v/>
      </c>
      <c r="Q463">
        <f>IF(ISNUMBER(F463),MIN(30,ROUND(30*LOG10(F463+1)/4,1)),0)</f>
        <v/>
      </c>
      <c r="R463">
        <f>IF(ISNUMBER(G463),ROUND(25*(100-G463)/100,1),12.5)</f>
        <v/>
      </c>
      <c r="S463" t="n">
        <v>20</v>
      </c>
      <c r="T463">
        <f>ROUND(P463+Q463+R463+S463,0)</f>
        <v/>
      </c>
      <c r="U463" s="5" t="inlineStr"/>
      <c r="V463" s="5" t="inlineStr"/>
    </row>
    <row r="464">
      <c r="A464" t="inlineStr">
        <is>
          <t>K0462</t>
        </is>
      </c>
      <c r="B464" t="inlineStr">
        <is>
          <t>tarif site web</t>
        </is>
      </c>
      <c r="C464" t="inlineStr">
        <is>
          <t>Morocco</t>
        </is>
      </c>
      <c r="D464" t="inlineStr">
        <is>
          <t>ma</t>
        </is>
      </c>
      <c r="E464" t="inlineStr">
        <is>
          <t>fr</t>
        </is>
      </c>
      <c r="F464" t="n">
        <v>10</v>
      </c>
      <c r="G464" t="inlineStr">
        <is>
          <t>NOT AVAILABLE</t>
        </is>
      </c>
      <c r="H464" t="n">
        <v>0</v>
      </c>
      <c r="I464" t="n">
        <v>0</v>
      </c>
      <c r="J464" t="inlineStr">
        <is>
          <t>NOT AVAILABLE</t>
        </is>
      </c>
      <c r="K464" t="inlineStr">
        <is>
          <t>NOT AVAILABLE (report not requested)</t>
        </is>
      </c>
      <c r="L464" t="inlineStr">
        <is>
          <t>declining (calc.)</t>
        </is>
      </c>
      <c r="M464" t="inlineStr">
        <is>
          <t>MEASURED</t>
        </is>
      </c>
      <c r="N464" s="5" t="inlineStr">
        <is>
          <t>Semrush phrase_these (live, this session)</t>
        </is>
      </c>
      <c r="O464" t="inlineStr">
        <is>
          <t>2026-10-30</t>
        </is>
      </c>
      <c r="P464">
        <f>IF(IF(J464="NOT AVAILABLE","",J464)="",12,IF(OR(ISNUMBER(SEARCH("Transactional",IF(J464="NOT AVAILABLE","",J464))),ISNUMBER(SEARCH("Commercial",IF(J464="NOT AVAILABLE","",J464)))),25,IF(ISNUMBER(SEARCH("Informational",IF(J464="NOT AVAILABLE","",J464))),10,IF(ISNUMBER(SEARCH("Navigational",IF(J464="NOT AVAILABLE","",J464))),0,12))))</f>
        <v/>
      </c>
      <c r="Q464">
        <f>IF(ISNUMBER(F464),MIN(30,ROUND(30*LOG10(F464+1)/4,1)),0)</f>
        <v/>
      </c>
      <c r="R464">
        <f>IF(ISNUMBER(G464),ROUND(25*(100-G464)/100,1),12.5)</f>
        <v/>
      </c>
      <c r="S464" t="n">
        <v>20</v>
      </c>
      <c r="T464">
        <f>ROUND(P464+Q464+R464+S464,0)</f>
        <v/>
      </c>
      <c r="U464" s="5" t="inlineStr"/>
      <c r="V464" s="5" t="inlineStr"/>
    </row>
    <row r="465">
      <c r="A465" t="inlineStr">
        <is>
          <t>K0463</t>
        </is>
      </c>
      <c r="B465" t="inlineStr">
        <is>
          <t>test mobile friendly</t>
        </is>
      </c>
      <c r="C465" t="inlineStr">
        <is>
          <t>Morocco</t>
        </is>
      </c>
      <c r="D465" t="inlineStr">
        <is>
          <t>ma</t>
        </is>
      </c>
      <c r="E465" t="inlineStr">
        <is>
          <t>fr</t>
        </is>
      </c>
      <c r="F465" t="n">
        <v>10</v>
      </c>
      <c r="G465" t="inlineStr">
        <is>
          <t>NOT AVAILABLE</t>
        </is>
      </c>
      <c r="H465" t="n">
        <v>0</v>
      </c>
      <c r="I465" t="n">
        <v>0.33</v>
      </c>
      <c r="J465" t="inlineStr">
        <is>
          <t>NOT AVAILABLE</t>
        </is>
      </c>
      <c r="K465" t="inlineStr">
        <is>
          <t>NOT AVAILABLE (report not requested)</t>
        </is>
      </c>
      <c r="L465" t="inlineStr">
        <is>
          <t>rising (calc.)</t>
        </is>
      </c>
      <c r="M465" t="inlineStr">
        <is>
          <t>MEASURED</t>
        </is>
      </c>
      <c r="N465" s="5" t="inlineStr">
        <is>
          <t>Semrush phrase_these (live, this session)</t>
        </is>
      </c>
      <c r="O465" t="inlineStr">
        <is>
          <t>2026-10-30</t>
        </is>
      </c>
      <c r="P465">
        <f>IF(IF(J465="NOT AVAILABLE","",J465)="",12,IF(OR(ISNUMBER(SEARCH("Transactional",IF(J465="NOT AVAILABLE","",J465))),ISNUMBER(SEARCH("Commercial",IF(J465="NOT AVAILABLE","",J465)))),25,IF(ISNUMBER(SEARCH("Informational",IF(J465="NOT AVAILABLE","",J465))),10,IF(ISNUMBER(SEARCH("Navigational",IF(J465="NOT AVAILABLE","",J465))),0,12))))</f>
        <v/>
      </c>
      <c r="Q465">
        <f>IF(ISNUMBER(F465),MIN(30,ROUND(30*LOG10(F465+1)/4,1)),0)</f>
        <v/>
      </c>
      <c r="R465">
        <f>IF(ISNUMBER(G465),ROUND(25*(100-G465)/100,1),12.5)</f>
        <v/>
      </c>
      <c r="S465" t="n">
        <v>20</v>
      </c>
      <c r="T465">
        <f>ROUND(P465+Q465+R465+S465,0)</f>
        <v/>
      </c>
      <c r="U465" s="5" t="inlineStr"/>
      <c r="V465" s="5" t="inlineStr">
        <is>
          <t>SUPPORTING /tools/mobile-friendly-test</t>
        </is>
      </c>
    </row>
    <row r="466">
      <c r="A466" t="inlineStr">
        <is>
          <t>K0464</t>
        </is>
      </c>
      <c r="B466" t="inlineStr">
        <is>
          <t>test redirection</t>
        </is>
      </c>
      <c r="C466" t="inlineStr">
        <is>
          <t>Morocco</t>
        </is>
      </c>
      <c r="D466" t="inlineStr">
        <is>
          <t>ma</t>
        </is>
      </c>
      <c r="E466" t="inlineStr">
        <is>
          <t>fr</t>
        </is>
      </c>
      <c r="F466" t="n">
        <v>10</v>
      </c>
      <c r="G466" t="inlineStr">
        <is>
          <t>NOT AVAILABLE</t>
        </is>
      </c>
      <c r="H466" t="n">
        <v>0</v>
      </c>
      <c r="I466" t="n">
        <v>0.33</v>
      </c>
      <c r="J466" t="inlineStr">
        <is>
          <t>NOT AVAILABLE</t>
        </is>
      </c>
      <c r="K466" t="inlineStr">
        <is>
          <t>NOT AVAILABLE (report not requested)</t>
        </is>
      </c>
      <c r="L466" t="inlineStr">
        <is>
          <t>rising (calc.)</t>
        </is>
      </c>
      <c r="M466" t="inlineStr">
        <is>
          <t>MEASURED</t>
        </is>
      </c>
      <c r="N466" s="5" t="inlineStr">
        <is>
          <t>Semrush phrase_these (live, this session)</t>
        </is>
      </c>
      <c r="O466" t="inlineStr">
        <is>
          <t>2026-10-30</t>
        </is>
      </c>
      <c r="P466">
        <f>IF(IF(J466="NOT AVAILABLE","",J466)="",12,IF(OR(ISNUMBER(SEARCH("Transactional",IF(J466="NOT AVAILABLE","",J466))),ISNUMBER(SEARCH("Commercial",IF(J466="NOT AVAILABLE","",J466)))),25,IF(ISNUMBER(SEARCH("Informational",IF(J466="NOT AVAILABLE","",J466))),10,IF(ISNUMBER(SEARCH("Navigational",IF(J466="NOT AVAILABLE","",J466))),0,12))))</f>
        <v/>
      </c>
      <c r="Q466">
        <f>IF(ISNUMBER(F466),MIN(30,ROUND(30*LOG10(F466+1)/4,1)),0)</f>
        <v/>
      </c>
      <c r="R466">
        <f>IF(ISNUMBER(G466),ROUND(25*(100-G466)/100,1),12.5)</f>
        <v/>
      </c>
      <c r="S466" t="n">
        <v>20</v>
      </c>
      <c r="T466">
        <f>ROUND(P466+Q466+R466+S466,0)</f>
        <v/>
      </c>
      <c r="U466" s="5" t="inlineStr"/>
      <c r="V466" s="5" t="inlineStr">
        <is>
          <t>SUPPORTING /tools/redirect-checker</t>
        </is>
      </c>
    </row>
    <row r="467">
      <c r="A467" t="inlineStr">
        <is>
          <t>K0465</t>
        </is>
      </c>
      <c r="B467" t="inlineStr">
        <is>
          <t>test vitesse site</t>
        </is>
      </c>
      <c r="C467" t="inlineStr">
        <is>
          <t>Morocco</t>
        </is>
      </c>
      <c r="D467" t="inlineStr">
        <is>
          <t>ma</t>
        </is>
      </c>
      <c r="E467" t="inlineStr">
        <is>
          <t>fr</t>
        </is>
      </c>
      <c r="F467" t="n">
        <v>10</v>
      </c>
      <c r="G467" t="inlineStr">
        <is>
          <t>NOT AVAILABLE</t>
        </is>
      </c>
      <c r="H467" t="n">
        <v>0</v>
      </c>
      <c r="I467" t="n">
        <v>0.33</v>
      </c>
      <c r="J467" t="inlineStr">
        <is>
          <t>NOT AVAILABLE</t>
        </is>
      </c>
      <c r="K467" t="inlineStr">
        <is>
          <t>NOT AVAILABLE (report not requested)</t>
        </is>
      </c>
      <c r="L467" t="inlineStr">
        <is>
          <t>declining (calc.)</t>
        </is>
      </c>
      <c r="M467" t="inlineStr">
        <is>
          <t>MEASURED</t>
        </is>
      </c>
      <c r="N467" s="5" t="inlineStr">
        <is>
          <t>Semrush phrase_these (live, this session)</t>
        </is>
      </c>
      <c r="O467" t="inlineStr">
        <is>
          <t>2026-10-30</t>
        </is>
      </c>
      <c r="P467">
        <f>IF(IF(J467="NOT AVAILABLE","",J467)="",12,IF(OR(ISNUMBER(SEARCH("Transactional",IF(J467="NOT AVAILABLE","",J467))),ISNUMBER(SEARCH("Commercial",IF(J467="NOT AVAILABLE","",J467)))),25,IF(ISNUMBER(SEARCH("Informational",IF(J467="NOT AVAILABLE","",J467))),10,IF(ISNUMBER(SEARCH("Navigational",IF(J467="NOT AVAILABLE","",J467))),0,12))))</f>
        <v/>
      </c>
      <c r="Q467">
        <f>IF(ISNUMBER(F467),MIN(30,ROUND(30*LOG10(F467+1)/4,1)),0)</f>
        <v/>
      </c>
      <c r="R467">
        <f>IF(ISNUMBER(G467),ROUND(25*(100-G467)/100,1),12.5)</f>
        <v/>
      </c>
      <c r="S467" t="n">
        <v>20</v>
      </c>
      <c r="T467">
        <f>ROUND(P467+Q467+R467+S467,0)</f>
        <v/>
      </c>
      <c r="U467" s="5" t="inlineStr"/>
      <c r="V467" s="5" t="inlineStr">
        <is>
          <t>SUPPORTING /tools/page-speed-analyzer</t>
        </is>
      </c>
    </row>
    <row r="468">
      <c r="A468" t="inlineStr">
        <is>
          <t>K0466</t>
        </is>
      </c>
      <c r="B468" t="inlineStr">
        <is>
          <t>télémédecine maroc</t>
        </is>
      </c>
      <c r="C468" t="inlineStr">
        <is>
          <t>Morocco</t>
        </is>
      </c>
      <c r="D468" t="inlineStr">
        <is>
          <t>ma</t>
        </is>
      </c>
      <c r="E468" t="inlineStr">
        <is>
          <t>fr</t>
        </is>
      </c>
      <c r="F468" t="n">
        <v>10</v>
      </c>
      <c r="G468" t="inlineStr">
        <is>
          <t>NOT AVAILABLE</t>
        </is>
      </c>
      <c r="H468" t="n">
        <v>0.47</v>
      </c>
      <c r="I468" t="n">
        <v>0.17</v>
      </c>
      <c r="J468" t="inlineStr">
        <is>
          <t>NOT AVAILABLE</t>
        </is>
      </c>
      <c r="K468" t="inlineStr">
        <is>
          <t>NOT AVAILABLE (report not requested)</t>
        </is>
      </c>
      <c r="L468" t="inlineStr">
        <is>
          <t>declining (calc.)</t>
        </is>
      </c>
      <c r="M468" t="inlineStr">
        <is>
          <t>MEASURED</t>
        </is>
      </c>
      <c r="N468" s="5" t="inlineStr">
        <is>
          <t>Semrush phrase_these (live, this session)</t>
        </is>
      </c>
      <c r="O468" t="inlineStr">
        <is>
          <t>2026-10-30</t>
        </is>
      </c>
      <c r="P468">
        <f>IF(IF(J468="NOT AVAILABLE","",J468)="",12,IF(OR(ISNUMBER(SEARCH("Transactional",IF(J468="NOT AVAILABLE","",J468))),ISNUMBER(SEARCH("Commercial",IF(J468="NOT AVAILABLE","",J468)))),25,IF(ISNUMBER(SEARCH("Informational",IF(J468="NOT AVAILABLE","",J468))),10,IF(ISNUMBER(SEARCH("Navigational",IF(J468="NOT AVAILABLE","",J468))),0,12))))</f>
        <v/>
      </c>
      <c r="Q468">
        <f>IF(ISNUMBER(F468),MIN(30,ROUND(30*LOG10(F468+1)/4,1)),0)</f>
        <v/>
      </c>
      <c r="R468">
        <f>IF(ISNUMBER(G468),ROUND(25*(100-G468)/100,1),12.5)</f>
        <v/>
      </c>
      <c r="S468" t="n">
        <v>20</v>
      </c>
      <c r="T468">
        <f>ROUND(P468+Q468+R468+S468,0)</f>
        <v/>
      </c>
      <c r="U468" s="5" t="inlineStr"/>
      <c r="V468" s="5" t="inlineStr">
        <is>
          <t>SUPPORTING /services/telemedicine-platform-development</t>
        </is>
      </c>
    </row>
    <row r="469">
      <c r="A469" t="inlineStr">
        <is>
          <t>K0467</t>
        </is>
      </c>
      <c r="B469" t="inlineStr">
        <is>
          <t>web agency casablanca</t>
        </is>
      </c>
      <c r="C469" t="inlineStr">
        <is>
          <t>Morocco</t>
        </is>
      </c>
      <c r="D469" t="inlineStr">
        <is>
          <t>ma</t>
        </is>
      </c>
      <c r="E469" t="inlineStr">
        <is>
          <t>fr</t>
        </is>
      </c>
      <c r="F469" t="n">
        <v>10</v>
      </c>
      <c r="G469" t="inlineStr">
        <is>
          <t>NOT AVAILABLE</t>
        </is>
      </c>
      <c r="H469" t="n">
        <v>0.43</v>
      </c>
      <c r="I469" t="n">
        <v>0.44</v>
      </c>
      <c r="J469" t="inlineStr">
        <is>
          <t>NOT AVAILABLE</t>
        </is>
      </c>
      <c r="K469" t="inlineStr">
        <is>
          <t>NOT AVAILABLE (report not requested)</t>
        </is>
      </c>
      <c r="L469" t="inlineStr">
        <is>
          <t>rising (calc.)</t>
        </is>
      </c>
      <c r="M469" t="inlineStr">
        <is>
          <t>MEASURED</t>
        </is>
      </c>
      <c r="N469" s="5" t="inlineStr">
        <is>
          <t>Semrush phrase_these (live, this session)</t>
        </is>
      </c>
      <c r="O469" t="inlineStr">
        <is>
          <t>2026-10-30</t>
        </is>
      </c>
      <c r="P469">
        <f>IF(IF(J469="NOT AVAILABLE","",J469)="",12,IF(OR(ISNUMBER(SEARCH("Transactional",IF(J469="NOT AVAILABLE","",J469))),ISNUMBER(SEARCH("Commercial",IF(J469="NOT AVAILABLE","",J469)))),25,IF(ISNUMBER(SEARCH("Informational",IF(J469="NOT AVAILABLE","",J469))),10,IF(ISNUMBER(SEARCH("Navigational",IF(J469="NOT AVAILABLE","",J469))),0,12))))</f>
        <v/>
      </c>
      <c r="Q469">
        <f>IF(ISNUMBER(F469),MIN(30,ROUND(30*LOG10(F469+1)/4,1)),0)</f>
        <v/>
      </c>
      <c r="R469">
        <f>IF(ISNUMBER(G469),ROUND(25*(100-G469)/100,1),12.5)</f>
        <v/>
      </c>
      <c r="S469" t="n">
        <v>20</v>
      </c>
      <c r="T469">
        <f>ROUND(P469+Q469+R469+S469,0)</f>
        <v/>
      </c>
      <c r="U469" s="5" t="inlineStr"/>
      <c r="V469" s="5" t="inlineStr"/>
    </row>
    <row r="470">
      <c r="A470" t="inlineStr">
        <is>
          <t>K0468</t>
        </is>
      </c>
      <c r="B470" t="inlineStr">
        <is>
          <t>éditeur de texte en ligne</t>
        </is>
      </c>
      <c r="C470" t="inlineStr">
        <is>
          <t>Morocco</t>
        </is>
      </c>
      <c r="D470" t="inlineStr">
        <is>
          <t>ma</t>
        </is>
      </c>
      <c r="E470" t="inlineStr">
        <is>
          <t>fr</t>
        </is>
      </c>
      <c r="F470" t="n">
        <v>10</v>
      </c>
      <c r="G470" t="inlineStr">
        <is>
          <t>NOT AVAILABLE</t>
        </is>
      </c>
      <c r="H470" t="n">
        <v>0</v>
      </c>
      <c r="I470" t="n">
        <v>0.05</v>
      </c>
      <c r="J470" t="inlineStr">
        <is>
          <t>NOT AVAILABLE</t>
        </is>
      </c>
      <c r="K470" t="inlineStr">
        <is>
          <t>NOT AVAILABLE (report not requested)</t>
        </is>
      </c>
      <c r="L470" t="inlineStr">
        <is>
          <t>declining (calc.)</t>
        </is>
      </c>
      <c r="M470" t="inlineStr">
        <is>
          <t>MEASURED</t>
        </is>
      </c>
      <c r="N470" s="5" t="inlineStr">
        <is>
          <t>Semrush phrase_these (live, this session)</t>
        </is>
      </c>
      <c r="O470" t="inlineStr">
        <is>
          <t>2026-10-30</t>
        </is>
      </c>
      <c r="P470">
        <f>IF(IF(J470="NOT AVAILABLE","",J470)="",12,IF(OR(ISNUMBER(SEARCH("Transactional",IF(J470="NOT AVAILABLE","",J470))),ISNUMBER(SEARCH("Commercial",IF(J470="NOT AVAILABLE","",J470)))),25,IF(ISNUMBER(SEARCH("Informational",IF(J470="NOT AVAILABLE","",J470))),10,IF(ISNUMBER(SEARCH("Navigational",IF(J470="NOT AVAILABLE","",J470))),0,12))))</f>
        <v/>
      </c>
      <c r="Q470">
        <f>IF(ISNUMBER(F470),MIN(30,ROUND(30*LOG10(F470+1)/4,1)),0)</f>
        <v/>
      </c>
      <c r="R470">
        <f>IF(ISNUMBER(G470),ROUND(25*(100-G470)/100,1),12.5)</f>
        <v/>
      </c>
      <c r="S470" t="n">
        <v>20</v>
      </c>
      <c r="T470">
        <f>ROUND(P470+Q470+R470+S470,0)</f>
        <v/>
      </c>
      <c r="U470" s="5" t="inlineStr"/>
      <c r="V470" s="5" t="inlineStr">
        <is>
          <t>SECONDARY /tools/text-editor</t>
        </is>
      </c>
    </row>
    <row r="471">
      <c r="A471" t="inlineStr">
        <is>
          <t>K0469</t>
        </is>
      </c>
      <c r="B471" t="inlineStr">
        <is>
          <t>agence création site internet maroc</t>
        </is>
      </c>
      <c r="C471" t="inlineStr">
        <is>
          <t>Morocco</t>
        </is>
      </c>
      <c r="D471" t="inlineStr">
        <is>
          <t>ma</t>
        </is>
      </c>
      <c r="E471" t="inlineStr">
        <is>
          <t>fr</t>
        </is>
      </c>
      <c r="F471" t="inlineStr">
        <is>
          <t>NOT AVAILABLE</t>
        </is>
      </c>
      <c r="G471" t="inlineStr">
        <is>
          <t>NOT AVAILABLE</t>
        </is>
      </c>
      <c r="H471" t="inlineStr">
        <is>
          <t>NOT AVAILABLE</t>
        </is>
      </c>
      <c r="I471" t="inlineStr">
        <is>
          <t>NOT AVAILABLE</t>
        </is>
      </c>
      <c r="J471" t="inlineStr">
        <is>
          <t>NOT AVAILABLE</t>
        </is>
      </c>
      <c r="K471" t="inlineStr">
        <is>
          <t>NOT AVAILABLE</t>
        </is>
      </c>
      <c r="L471" t="inlineStr">
        <is>
          <t>NOT AVAILABLE</t>
        </is>
      </c>
      <c r="M471" t="inlineStr">
        <is>
          <t>UNAVAILABLE</t>
        </is>
      </c>
      <c r="N471" s="5" t="inlineStr">
        <is>
          <t>Semrush phrase_these returned no data (not billed)</t>
        </is>
      </c>
      <c r="O471" t="inlineStr">
        <is>
          <t>2026-10-30</t>
        </is>
      </c>
      <c r="P471">
        <f>IF(IF(J471="NOT AVAILABLE","",J471)="",12,IF(OR(ISNUMBER(SEARCH("Transactional",IF(J471="NOT AVAILABLE","",J471))),ISNUMBER(SEARCH("Commercial",IF(J471="NOT AVAILABLE","",J471)))),25,IF(ISNUMBER(SEARCH("Informational",IF(J471="NOT AVAILABLE","",J471))),10,IF(ISNUMBER(SEARCH("Navigational",IF(J471="NOT AVAILABLE","",J471))),0,12))))</f>
        <v/>
      </c>
      <c r="Q471">
        <f>IF(ISNUMBER(F471),MIN(30,ROUND(30*LOG10(F471+1)/4,1)),0)</f>
        <v/>
      </c>
      <c r="R471">
        <f>IF(ISNUMBER(G471),ROUND(25*(100-G471)/100,1),12.5)</f>
        <v/>
      </c>
      <c r="S471" t="n">
        <v>20</v>
      </c>
      <c r="T471">
        <f>ROUND(P471+Q471+R471+S471,0)</f>
        <v/>
      </c>
      <c r="U471" s="5" t="inlineStr"/>
      <c r="V471" s="5" t="inlineStr"/>
    </row>
    <row r="472">
      <c r="A472" t="inlineStr">
        <is>
          <t>K0470</t>
        </is>
      </c>
      <c r="B472" t="inlineStr">
        <is>
          <t>agence création site web agadir</t>
        </is>
      </c>
      <c r="C472" t="inlineStr">
        <is>
          <t>Morocco</t>
        </is>
      </c>
      <c r="D472" t="inlineStr">
        <is>
          <t>ma</t>
        </is>
      </c>
      <c r="E472" t="inlineStr">
        <is>
          <t>fr</t>
        </is>
      </c>
      <c r="F472" t="inlineStr">
        <is>
          <t>NOT AVAILABLE</t>
        </is>
      </c>
      <c r="G472" t="inlineStr">
        <is>
          <t>NOT AVAILABLE</t>
        </is>
      </c>
      <c r="H472" t="inlineStr">
        <is>
          <t>NOT AVAILABLE</t>
        </is>
      </c>
      <c r="I472" t="inlineStr">
        <is>
          <t>NOT AVAILABLE</t>
        </is>
      </c>
      <c r="J472" t="inlineStr">
        <is>
          <t>NOT AVAILABLE</t>
        </is>
      </c>
      <c r="K472" t="inlineStr">
        <is>
          <t>NOT AVAILABLE</t>
        </is>
      </c>
      <c r="L472" t="inlineStr">
        <is>
          <t>NOT AVAILABLE</t>
        </is>
      </c>
      <c r="M472" t="inlineStr">
        <is>
          <t>UNAVAILABLE</t>
        </is>
      </c>
      <c r="N472" s="5" t="inlineStr">
        <is>
          <t>Semrush phrase_these returned no data (not billed)</t>
        </is>
      </c>
      <c r="O472" t="inlineStr">
        <is>
          <t>2026-10-30</t>
        </is>
      </c>
      <c r="P472">
        <f>IF(IF(J472="NOT AVAILABLE","",J472)="",12,IF(OR(ISNUMBER(SEARCH("Transactional",IF(J472="NOT AVAILABLE","",J472))),ISNUMBER(SEARCH("Commercial",IF(J472="NOT AVAILABLE","",J472)))),25,IF(ISNUMBER(SEARCH("Informational",IF(J472="NOT AVAILABLE","",J472))),10,IF(ISNUMBER(SEARCH("Navigational",IF(J472="NOT AVAILABLE","",J472))),0,12))))</f>
        <v/>
      </c>
      <c r="Q472">
        <f>IF(ISNUMBER(F472),MIN(30,ROUND(30*LOG10(F472+1)/4,1)),0)</f>
        <v/>
      </c>
      <c r="R472">
        <f>IF(ISNUMBER(G472),ROUND(25*(100-G472)/100,1),12.5)</f>
        <v/>
      </c>
      <c r="S472" t="n">
        <v>20</v>
      </c>
      <c r="T472">
        <f>ROUND(P472+Q472+R472+S472,0)</f>
        <v/>
      </c>
      <c r="U472" s="5" t="inlineStr"/>
      <c r="V472" s="5" t="inlineStr"/>
    </row>
    <row r="473">
      <c r="A473" t="inlineStr">
        <is>
          <t>K0471</t>
        </is>
      </c>
      <c r="B473" t="inlineStr">
        <is>
          <t>agence création site web marrakech</t>
        </is>
      </c>
      <c r="C473" t="inlineStr">
        <is>
          <t>Morocco</t>
        </is>
      </c>
      <c r="D473" t="inlineStr">
        <is>
          <t>ma</t>
        </is>
      </c>
      <c r="E473" t="inlineStr">
        <is>
          <t>fr</t>
        </is>
      </c>
      <c r="F473" t="inlineStr">
        <is>
          <t>NOT AVAILABLE</t>
        </is>
      </c>
      <c r="G473" t="inlineStr">
        <is>
          <t>NOT AVAILABLE</t>
        </is>
      </c>
      <c r="H473" t="inlineStr">
        <is>
          <t>NOT AVAILABLE</t>
        </is>
      </c>
      <c r="I473" t="inlineStr">
        <is>
          <t>NOT AVAILABLE</t>
        </is>
      </c>
      <c r="J473" t="inlineStr">
        <is>
          <t>NOT AVAILABLE</t>
        </is>
      </c>
      <c r="K473" t="inlineStr">
        <is>
          <t>NOT AVAILABLE</t>
        </is>
      </c>
      <c r="L473" t="inlineStr">
        <is>
          <t>NOT AVAILABLE</t>
        </is>
      </c>
      <c r="M473" t="inlineStr">
        <is>
          <t>UNAVAILABLE</t>
        </is>
      </c>
      <c r="N473" s="5" t="inlineStr">
        <is>
          <t>Semrush phrase_these returned no data (not billed)</t>
        </is>
      </c>
      <c r="O473" t="inlineStr">
        <is>
          <t>2026-10-30</t>
        </is>
      </c>
      <c r="P473">
        <f>IF(IF(J473="NOT AVAILABLE","",J473)="",12,IF(OR(ISNUMBER(SEARCH("Transactional",IF(J473="NOT AVAILABLE","",J473))),ISNUMBER(SEARCH("Commercial",IF(J473="NOT AVAILABLE","",J473)))),25,IF(ISNUMBER(SEARCH("Informational",IF(J473="NOT AVAILABLE","",J473))),10,IF(ISNUMBER(SEARCH("Navigational",IF(J473="NOT AVAILABLE","",J473))),0,12))))</f>
        <v/>
      </c>
      <c r="Q473">
        <f>IF(ISNUMBER(F473),MIN(30,ROUND(30*LOG10(F473+1)/4,1)),0)</f>
        <v/>
      </c>
      <c r="R473">
        <f>IF(ISNUMBER(G473),ROUND(25*(100-G473)/100,1),12.5)</f>
        <v/>
      </c>
      <c r="S473" t="n">
        <v>20</v>
      </c>
      <c r="T473">
        <f>ROUND(P473+Q473+R473+S473,0)</f>
        <v/>
      </c>
      <c r="U473" s="5" t="inlineStr"/>
      <c r="V473" s="5" t="inlineStr"/>
    </row>
    <row r="474">
      <c r="A474" t="inlineStr">
        <is>
          <t>K0472</t>
        </is>
      </c>
      <c r="B474" t="inlineStr">
        <is>
          <t>agence création site web rabat</t>
        </is>
      </c>
      <c r="C474" t="inlineStr">
        <is>
          <t>Morocco</t>
        </is>
      </c>
      <c r="D474" t="inlineStr">
        <is>
          <t>ma</t>
        </is>
      </c>
      <c r="E474" t="inlineStr">
        <is>
          <t>fr</t>
        </is>
      </c>
      <c r="F474" t="inlineStr">
        <is>
          <t>NOT AVAILABLE</t>
        </is>
      </c>
      <c r="G474" t="inlineStr">
        <is>
          <t>NOT AVAILABLE</t>
        </is>
      </c>
      <c r="H474" t="inlineStr">
        <is>
          <t>NOT AVAILABLE</t>
        </is>
      </c>
      <c r="I474" t="inlineStr">
        <is>
          <t>NOT AVAILABLE</t>
        </is>
      </c>
      <c r="J474" t="inlineStr">
        <is>
          <t>NOT AVAILABLE</t>
        </is>
      </c>
      <c r="K474" t="inlineStr">
        <is>
          <t>NOT AVAILABLE</t>
        </is>
      </c>
      <c r="L474" t="inlineStr">
        <is>
          <t>NOT AVAILABLE</t>
        </is>
      </c>
      <c r="M474" t="inlineStr">
        <is>
          <t>UNAVAILABLE</t>
        </is>
      </c>
      <c r="N474" s="5" t="inlineStr">
        <is>
          <t>Semrush phrase_these returned no data (not billed)</t>
        </is>
      </c>
      <c r="O474" t="inlineStr">
        <is>
          <t>2026-10-30</t>
        </is>
      </c>
      <c r="P474">
        <f>IF(IF(J474="NOT AVAILABLE","",J474)="",12,IF(OR(ISNUMBER(SEARCH("Transactional",IF(J474="NOT AVAILABLE","",J474))),ISNUMBER(SEARCH("Commercial",IF(J474="NOT AVAILABLE","",J474)))),25,IF(ISNUMBER(SEARCH("Informational",IF(J474="NOT AVAILABLE","",J474))),10,IF(ISNUMBER(SEARCH("Navigational",IF(J474="NOT AVAILABLE","",J474))),0,12))))</f>
        <v/>
      </c>
      <c r="Q474">
        <f>IF(ISNUMBER(F474),MIN(30,ROUND(30*LOG10(F474+1)/4,1)),0)</f>
        <v/>
      </c>
      <c r="R474">
        <f>IF(ISNUMBER(G474),ROUND(25*(100-G474)/100,1),12.5)</f>
        <v/>
      </c>
      <c r="S474" t="n">
        <v>20</v>
      </c>
      <c r="T474">
        <f>ROUND(P474+Q474+R474+S474,0)</f>
        <v/>
      </c>
      <c r="U474" s="5" t="inlineStr"/>
      <c r="V474" s="5" t="inlineStr"/>
    </row>
    <row r="475">
      <c r="A475" t="inlineStr">
        <is>
          <t>K0473</t>
        </is>
      </c>
      <c r="B475" t="inlineStr">
        <is>
          <t>agence création site web tanger</t>
        </is>
      </c>
      <c r="C475" t="inlineStr">
        <is>
          <t>Morocco</t>
        </is>
      </c>
      <c r="D475" t="inlineStr">
        <is>
          <t>ma</t>
        </is>
      </c>
      <c r="E475" t="inlineStr">
        <is>
          <t>fr</t>
        </is>
      </c>
      <c r="F475" t="inlineStr">
        <is>
          <t>NOT AVAILABLE</t>
        </is>
      </c>
      <c r="G475" t="inlineStr">
        <is>
          <t>NOT AVAILABLE</t>
        </is>
      </c>
      <c r="H475" t="inlineStr">
        <is>
          <t>NOT AVAILABLE</t>
        </is>
      </c>
      <c r="I475" t="inlineStr">
        <is>
          <t>NOT AVAILABLE</t>
        </is>
      </c>
      <c r="J475" t="inlineStr">
        <is>
          <t>NOT AVAILABLE</t>
        </is>
      </c>
      <c r="K475" t="inlineStr">
        <is>
          <t>NOT AVAILABLE</t>
        </is>
      </c>
      <c r="L475" t="inlineStr">
        <is>
          <t>NOT AVAILABLE</t>
        </is>
      </c>
      <c r="M475" t="inlineStr">
        <is>
          <t>UNAVAILABLE</t>
        </is>
      </c>
      <c r="N475" s="5" t="inlineStr">
        <is>
          <t>Semrush phrase_these returned no data (not billed)</t>
        </is>
      </c>
      <c r="O475" t="inlineStr">
        <is>
          <t>2026-10-30</t>
        </is>
      </c>
      <c r="P475">
        <f>IF(IF(J475="NOT AVAILABLE","",J475)="",12,IF(OR(ISNUMBER(SEARCH("Transactional",IF(J475="NOT AVAILABLE","",J475))),ISNUMBER(SEARCH("Commercial",IF(J475="NOT AVAILABLE","",J475)))),25,IF(ISNUMBER(SEARCH("Informational",IF(J475="NOT AVAILABLE","",J475))),10,IF(ISNUMBER(SEARCH("Navigational",IF(J475="NOT AVAILABLE","",J475))),0,12))))</f>
        <v/>
      </c>
      <c r="Q475">
        <f>IF(ISNUMBER(F475),MIN(30,ROUND(30*LOG10(F475+1)/4,1)),0)</f>
        <v/>
      </c>
      <c r="R475">
        <f>IF(ISNUMBER(G475),ROUND(25*(100-G475)/100,1),12.5)</f>
        <v/>
      </c>
      <c r="S475" t="n">
        <v>20</v>
      </c>
      <c r="T475">
        <f>ROUND(P475+Q475+R475+S475,0)</f>
        <v/>
      </c>
      <c r="U475" s="5" t="inlineStr"/>
      <c r="V475" s="5" t="inlineStr"/>
    </row>
    <row r="476">
      <c r="A476" t="inlineStr">
        <is>
          <t>K0474</t>
        </is>
      </c>
      <c r="B476" t="inlineStr">
        <is>
          <t>agence de voyage de luxe maroc</t>
        </is>
      </c>
      <c r="C476" t="inlineStr">
        <is>
          <t>Morocco</t>
        </is>
      </c>
      <c r="D476" t="inlineStr">
        <is>
          <t>ma</t>
        </is>
      </c>
      <c r="E476" t="inlineStr">
        <is>
          <t>fr</t>
        </is>
      </c>
      <c r="F476" t="inlineStr">
        <is>
          <t>NOT AVAILABLE</t>
        </is>
      </c>
      <c r="G476" t="inlineStr">
        <is>
          <t>NOT AVAILABLE</t>
        </is>
      </c>
      <c r="H476" t="inlineStr">
        <is>
          <t>NOT AVAILABLE</t>
        </is>
      </c>
      <c r="I476" t="inlineStr">
        <is>
          <t>NOT AVAILABLE</t>
        </is>
      </c>
      <c r="J476" t="inlineStr">
        <is>
          <t>NOT AVAILABLE</t>
        </is>
      </c>
      <c r="K476" t="inlineStr">
        <is>
          <t>NOT AVAILABLE</t>
        </is>
      </c>
      <c r="L476" t="inlineStr">
        <is>
          <t>NOT AVAILABLE</t>
        </is>
      </c>
      <c r="M476" t="inlineStr">
        <is>
          <t>UNAVAILABLE</t>
        </is>
      </c>
      <c r="N476" s="5" t="inlineStr">
        <is>
          <t>Semrush phrase_these returned no data (not billed)</t>
        </is>
      </c>
      <c r="O476" t="inlineStr">
        <is>
          <t>2026-10-30</t>
        </is>
      </c>
      <c r="P476">
        <f>IF(IF(J476="NOT AVAILABLE","",J476)="",12,IF(OR(ISNUMBER(SEARCH("Transactional",IF(J476="NOT AVAILABLE","",J476))),ISNUMBER(SEARCH("Commercial",IF(J476="NOT AVAILABLE","",J476)))),25,IF(ISNUMBER(SEARCH("Informational",IF(J476="NOT AVAILABLE","",J476))),10,IF(ISNUMBER(SEARCH("Navigational",IF(J476="NOT AVAILABLE","",J476))),0,12))))</f>
        <v/>
      </c>
      <c r="Q476">
        <f>IF(ISNUMBER(F476),MIN(30,ROUND(30*LOG10(F476+1)/4,1)),0)</f>
        <v/>
      </c>
      <c r="R476">
        <f>IF(ISNUMBER(G476),ROUND(25*(100-G476)/100,1),12.5)</f>
        <v/>
      </c>
      <c r="S476" t="n">
        <v>20</v>
      </c>
      <c r="T476">
        <f>ROUND(P476+Q476+R476+S476,0)</f>
        <v/>
      </c>
      <c r="U476" s="5" t="inlineStr"/>
      <c r="V476" s="5" t="inlineStr"/>
    </row>
    <row r="477">
      <c r="A477" t="inlineStr">
        <is>
          <t>K0475</t>
        </is>
      </c>
      <c r="B477" t="inlineStr">
        <is>
          <t>agence digitale fes</t>
        </is>
      </c>
      <c r="C477" t="inlineStr">
        <is>
          <t>Morocco</t>
        </is>
      </c>
      <c r="D477" t="inlineStr">
        <is>
          <t>ma</t>
        </is>
      </c>
      <c r="E477" t="inlineStr">
        <is>
          <t>fr</t>
        </is>
      </c>
      <c r="F477" t="n">
        <v>0</v>
      </c>
      <c r="G477" t="inlineStr">
        <is>
          <t>NOT AVAILABLE</t>
        </is>
      </c>
      <c r="H477" t="n">
        <v>0</v>
      </c>
      <c r="I477" t="n">
        <v>0</v>
      </c>
      <c r="J477" t="inlineStr">
        <is>
          <t>NOT AVAILABLE</t>
        </is>
      </c>
      <c r="K477" t="inlineStr">
        <is>
          <t>NOT AVAILABLE (report not requested)</t>
        </is>
      </c>
      <c r="L477" t="inlineStr">
        <is>
          <t>flat (no data)</t>
        </is>
      </c>
      <c r="M477" t="inlineStr">
        <is>
          <t>MEASURED</t>
        </is>
      </c>
      <c r="N477" s="5" t="inlineStr">
        <is>
          <t>Semrush phrase_these (historical w3-validate-F-cities.csv)</t>
        </is>
      </c>
      <c r="O477" t="inlineStr">
        <is>
          <t>2026-10-27</t>
        </is>
      </c>
      <c r="P477">
        <f>IF(IF(J477="NOT AVAILABLE","",J477)="",12,IF(OR(ISNUMBER(SEARCH("Transactional",IF(J477="NOT AVAILABLE","",J477))),ISNUMBER(SEARCH("Commercial",IF(J477="NOT AVAILABLE","",J477)))),25,IF(ISNUMBER(SEARCH("Informational",IF(J477="NOT AVAILABLE","",J477))),10,IF(ISNUMBER(SEARCH("Navigational",IF(J477="NOT AVAILABLE","",J477))),0,12))))</f>
        <v/>
      </c>
      <c r="Q477">
        <f>IF(ISNUMBER(F477),MIN(30,ROUND(30*LOG10(F477+1)/4,1)),0)</f>
        <v/>
      </c>
      <c r="R477">
        <f>IF(ISNUMBER(G477),ROUND(25*(100-G477)/100,1),12.5)</f>
        <v/>
      </c>
      <c r="S477" t="n">
        <v>20</v>
      </c>
      <c r="T477">
        <f>ROUND(P477+Q477+R477+S477,0)</f>
        <v/>
      </c>
      <c r="U477" s="5" t="inlineStr"/>
      <c r="V477" s="5" t="inlineStr"/>
    </row>
    <row r="478">
      <c r="A478" t="inlineStr">
        <is>
          <t>K0476</t>
        </is>
      </c>
      <c r="B478" t="inlineStr">
        <is>
          <t>agence etude a l'etranger maroc</t>
        </is>
      </c>
      <c r="C478" t="inlineStr">
        <is>
          <t>Morocco</t>
        </is>
      </c>
      <c r="D478" t="inlineStr">
        <is>
          <t>ma</t>
        </is>
      </c>
      <c r="E478" t="inlineStr">
        <is>
          <t>fr</t>
        </is>
      </c>
      <c r="F478" t="inlineStr">
        <is>
          <t>NOT AVAILABLE</t>
        </is>
      </c>
      <c r="G478" t="inlineStr">
        <is>
          <t>NOT AVAILABLE</t>
        </is>
      </c>
      <c r="H478" t="inlineStr">
        <is>
          <t>NOT AVAILABLE</t>
        </is>
      </c>
      <c r="I478" t="inlineStr">
        <is>
          <t>NOT AVAILABLE</t>
        </is>
      </c>
      <c r="J478" t="inlineStr">
        <is>
          <t>NOT AVAILABLE</t>
        </is>
      </c>
      <c r="K478" t="inlineStr">
        <is>
          <t>NOT AVAILABLE</t>
        </is>
      </c>
      <c r="L478" t="inlineStr">
        <is>
          <t>NOT AVAILABLE</t>
        </is>
      </c>
      <c r="M478" t="inlineStr">
        <is>
          <t>UNAVAILABLE</t>
        </is>
      </c>
      <c r="N478" s="5" t="inlineStr">
        <is>
          <t>Semrush phrase_these returned no data (not billed)</t>
        </is>
      </c>
      <c r="O478" t="inlineStr">
        <is>
          <t>2026-10-30</t>
        </is>
      </c>
      <c r="P478">
        <f>IF(IF(J478="NOT AVAILABLE","",J478)="",12,IF(OR(ISNUMBER(SEARCH("Transactional",IF(J478="NOT AVAILABLE","",J478))),ISNUMBER(SEARCH("Commercial",IF(J478="NOT AVAILABLE","",J478)))),25,IF(ISNUMBER(SEARCH("Informational",IF(J478="NOT AVAILABLE","",J478))),10,IF(ISNUMBER(SEARCH("Navigational",IF(J478="NOT AVAILABLE","",J478))),0,12))))</f>
        <v/>
      </c>
      <c r="Q478">
        <f>IF(ISNUMBER(F478),MIN(30,ROUND(30*LOG10(F478+1)/4,1)),0)</f>
        <v/>
      </c>
      <c r="R478">
        <f>IF(ISNUMBER(G478),ROUND(25*(100-G478)/100,1),12.5)</f>
        <v/>
      </c>
      <c r="S478" t="n">
        <v>20</v>
      </c>
      <c r="T478">
        <f>ROUND(P478+Q478+R478+S478,0)</f>
        <v/>
      </c>
      <c r="U478" s="5" t="inlineStr"/>
      <c r="V478" s="5" t="inlineStr"/>
    </row>
    <row r="479">
      <c r="A479" t="inlineStr">
        <is>
          <t>K0477</t>
        </is>
      </c>
      <c r="B479" t="inlineStr">
        <is>
          <t>agence saas maroc</t>
        </is>
      </c>
      <c r="C479" t="inlineStr">
        <is>
          <t>Morocco</t>
        </is>
      </c>
      <c r="D479" t="inlineStr">
        <is>
          <t>ma</t>
        </is>
      </c>
      <c r="E479" t="inlineStr">
        <is>
          <t>fr</t>
        </is>
      </c>
      <c r="F479" t="inlineStr">
        <is>
          <t>NOT AVAILABLE</t>
        </is>
      </c>
      <c r="G479" t="inlineStr">
        <is>
          <t>NOT AVAILABLE</t>
        </is>
      </c>
      <c r="H479" t="inlineStr">
        <is>
          <t>NOT AVAILABLE</t>
        </is>
      </c>
      <c r="I479" t="inlineStr">
        <is>
          <t>NOT AVAILABLE</t>
        </is>
      </c>
      <c r="J479" t="inlineStr">
        <is>
          <t>NOT AVAILABLE</t>
        </is>
      </c>
      <c r="K479" t="inlineStr">
        <is>
          <t>NOT AVAILABLE</t>
        </is>
      </c>
      <c r="L479" t="inlineStr">
        <is>
          <t>NOT AVAILABLE</t>
        </is>
      </c>
      <c r="M479" t="inlineStr">
        <is>
          <t>UNAVAILABLE</t>
        </is>
      </c>
      <c r="N479" s="5" t="inlineStr">
        <is>
          <t>Semrush phrase_these returned no data (not billed)</t>
        </is>
      </c>
      <c r="O479" t="inlineStr">
        <is>
          <t>2026-10-30</t>
        </is>
      </c>
      <c r="P479">
        <f>IF(IF(J479="NOT AVAILABLE","",J479)="",12,IF(OR(ISNUMBER(SEARCH("Transactional",IF(J479="NOT AVAILABLE","",J479))),ISNUMBER(SEARCH("Commercial",IF(J479="NOT AVAILABLE","",J479)))),25,IF(ISNUMBER(SEARCH("Informational",IF(J479="NOT AVAILABLE","",J479))),10,IF(ISNUMBER(SEARCH("Navigational",IF(J479="NOT AVAILABLE","",J479))),0,12))))</f>
        <v/>
      </c>
      <c r="Q479">
        <f>IF(ISNUMBER(F479),MIN(30,ROUND(30*LOG10(F479+1)/4,1)),0)</f>
        <v/>
      </c>
      <c r="R479">
        <f>IF(ISNUMBER(G479),ROUND(25*(100-G479)/100,1),12.5)</f>
        <v/>
      </c>
      <c r="S479" t="n">
        <v>20</v>
      </c>
      <c r="T479">
        <f>ROUND(P479+Q479+R479+S479,0)</f>
        <v/>
      </c>
      <c r="U479" s="5" t="inlineStr"/>
      <c r="V479" s="5" t="inlineStr"/>
    </row>
    <row r="480">
      <c r="A480" t="inlineStr">
        <is>
          <t>K0478</t>
        </is>
      </c>
      <c r="B480" t="inlineStr">
        <is>
          <t>agence seo prix</t>
        </is>
      </c>
      <c r="C480" t="inlineStr">
        <is>
          <t>Morocco</t>
        </is>
      </c>
      <c r="D480" t="inlineStr">
        <is>
          <t>ma</t>
        </is>
      </c>
      <c r="E480" t="inlineStr">
        <is>
          <t>fr</t>
        </is>
      </c>
      <c r="F480" t="inlineStr">
        <is>
          <t>NOT AVAILABLE</t>
        </is>
      </c>
      <c r="G480" t="inlineStr">
        <is>
          <t>NOT AVAILABLE</t>
        </is>
      </c>
      <c r="H480" t="inlineStr">
        <is>
          <t>NOT AVAILABLE</t>
        </is>
      </c>
      <c r="I480" t="inlineStr">
        <is>
          <t>NOT AVAILABLE</t>
        </is>
      </c>
      <c r="J480" t="inlineStr">
        <is>
          <t>NOT AVAILABLE</t>
        </is>
      </c>
      <c r="K480" t="inlineStr">
        <is>
          <t>NOT AVAILABLE</t>
        </is>
      </c>
      <c r="L480" t="inlineStr">
        <is>
          <t>NOT AVAILABLE</t>
        </is>
      </c>
      <c r="M480" t="inlineStr">
        <is>
          <t>UNAVAILABLE</t>
        </is>
      </c>
      <c r="N480" s="5" t="inlineStr">
        <is>
          <t>Semrush phrase_these returned no data (not billed)</t>
        </is>
      </c>
      <c r="O480" t="inlineStr">
        <is>
          <t>2026-10-30</t>
        </is>
      </c>
      <c r="P480">
        <f>IF(IF(J480="NOT AVAILABLE","",J480)="",12,IF(OR(ISNUMBER(SEARCH("Transactional",IF(J480="NOT AVAILABLE","",J480))),ISNUMBER(SEARCH("Commercial",IF(J480="NOT AVAILABLE","",J480)))),25,IF(ISNUMBER(SEARCH("Informational",IF(J480="NOT AVAILABLE","",J480))),10,IF(ISNUMBER(SEARCH("Navigational",IF(J480="NOT AVAILABLE","",J480))),0,12))))</f>
        <v/>
      </c>
      <c r="Q480">
        <f>IF(ISNUMBER(F480),MIN(30,ROUND(30*LOG10(F480+1)/4,1)),0)</f>
        <v/>
      </c>
      <c r="R480">
        <f>IF(ISNUMBER(G480),ROUND(25*(100-G480)/100,1),12.5)</f>
        <v/>
      </c>
      <c r="S480" t="n">
        <v>20</v>
      </c>
      <c r="T480">
        <f>ROUND(P480+Q480+R480+S480,0)</f>
        <v/>
      </c>
      <c r="U480" s="5" t="inlineStr"/>
      <c r="V480" s="5" t="inlineStr"/>
    </row>
    <row r="481">
      <c r="A481" t="inlineStr">
        <is>
          <t>K0479</t>
        </is>
      </c>
      <c r="B481" t="inlineStr">
        <is>
          <t>agence seo tanger</t>
        </is>
      </c>
      <c r="C481" t="inlineStr">
        <is>
          <t>Morocco</t>
        </is>
      </c>
      <c r="D481" t="inlineStr">
        <is>
          <t>ma</t>
        </is>
      </c>
      <c r="E481" t="inlineStr">
        <is>
          <t>fr</t>
        </is>
      </c>
      <c r="F481" t="inlineStr">
        <is>
          <t>NOT AVAILABLE</t>
        </is>
      </c>
      <c r="G481" t="inlineStr">
        <is>
          <t>NOT AVAILABLE</t>
        </is>
      </c>
      <c r="H481" t="inlineStr">
        <is>
          <t>NOT AVAILABLE</t>
        </is>
      </c>
      <c r="I481" t="inlineStr">
        <is>
          <t>NOT AVAILABLE</t>
        </is>
      </c>
      <c r="J481" t="inlineStr">
        <is>
          <t>NOT AVAILABLE</t>
        </is>
      </c>
      <c r="K481" t="inlineStr">
        <is>
          <t>NOT AVAILABLE</t>
        </is>
      </c>
      <c r="L481" t="inlineStr">
        <is>
          <t>NOT AVAILABLE</t>
        </is>
      </c>
      <c r="M481" t="inlineStr">
        <is>
          <t>UNAVAILABLE</t>
        </is>
      </c>
      <c r="N481" s="5" t="inlineStr">
        <is>
          <t>Semrush phrase_these returned no data (not billed)</t>
        </is>
      </c>
      <c r="O481" t="inlineStr">
        <is>
          <t>2026-10-30</t>
        </is>
      </c>
      <c r="P481">
        <f>IF(IF(J481="NOT AVAILABLE","",J481)="",12,IF(OR(ISNUMBER(SEARCH("Transactional",IF(J481="NOT AVAILABLE","",J481))),ISNUMBER(SEARCH("Commercial",IF(J481="NOT AVAILABLE","",J481)))),25,IF(ISNUMBER(SEARCH("Informational",IF(J481="NOT AVAILABLE","",J481))),10,IF(ISNUMBER(SEARCH("Navigational",IF(J481="NOT AVAILABLE","",J481))),0,12))))</f>
        <v/>
      </c>
      <c r="Q481">
        <f>IF(ISNUMBER(F481),MIN(30,ROUND(30*LOG10(F481+1)/4,1)),0)</f>
        <v/>
      </c>
      <c r="R481">
        <f>IF(ISNUMBER(G481),ROUND(25*(100-G481)/100,1),12.5)</f>
        <v/>
      </c>
      <c r="S481" t="n">
        <v>20</v>
      </c>
      <c r="T481">
        <f>ROUND(P481+Q481+R481+S481,0)</f>
        <v/>
      </c>
      <c r="U481" s="5" t="inlineStr"/>
      <c r="V481" s="5" t="inlineStr"/>
    </row>
    <row r="482">
      <c r="A482" t="inlineStr">
        <is>
          <t>K0480</t>
        </is>
      </c>
      <c r="B482" t="inlineStr">
        <is>
          <t>agence web internationale</t>
        </is>
      </c>
      <c r="C482" t="inlineStr">
        <is>
          <t>Morocco</t>
        </is>
      </c>
      <c r="D482" t="inlineStr">
        <is>
          <t>ma</t>
        </is>
      </c>
      <c r="E482" t="inlineStr">
        <is>
          <t>fr</t>
        </is>
      </c>
      <c r="F482" t="inlineStr">
        <is>
          <t>NOT AVAILABLE</t>
        </is>
      </c>
      <c r="G482" t="inlineStr">
        <is>
          <t>NOT AVAILABLE</t>
        </is>
      </c>
      <c r="H482" t="inlineStr">
        <is>
          <t>NOT AVAILABLE</t>
        </is>
      </c>
      <c r="I482" t="inlineStr">
        <is>
          <t>NOT AVAILABLE</t>
        </is>
      </c>
      <c r="J482" t="inlineStr">
        <is>
          <t>NOT AVAILABLE</t>
        </is>
      </c>
      <c r="K482" t="inlineStr">
        <is>
          <t>NOT AVAILABLE</t>
        </is>
      </c>
      <c r="L482" t="inlineStr">
        <is>
          <t>NOT AVAILABLE</t>
        </is>
      </c>
      <c r="M482" t="inlineStr">
        <is>
          <t>UNAVAILABLE</t>
        </is>
      </c>
      <c r="N482" s="5" t="inlineStr">
        <is>
          <t>Semrush phrase_these returned no data (not billed)</t>
        </is>
      </c>
      <c r="O482" t="inlineStr">
        <is>
          <t>2026-10-30</t>
        </is>
      </c>
      <c r="P482">
        <f>IF(IF(J482="NOT AVAILABLE","",J482)="",12,IF(OR(ISNUMBER(SEARCH("Transactional",IF(J482="NOT AVAILABLE","",J482))),ISNUMBER(SEARCH("Commercial",IF(J482="NOT AVAILABLE","",J482)))),25,IF(ISNUMBER(SEARCH("Informational",IF(J482="NOT AVAILABLE","",J482))),10,IF(ISNUMBER(SEARCH("Navigational",IF(J482="NOT AVAILABLE","",J482))),0,12))))</f>
        <v/>
      </c>
      <c r="Q482">
        <f>IF(ISNUMBER(F482),MIN(30,ROUND(30*LOG10(F482+1)/4,1)),0)</f>
        <v/>
      </c>
      <c r="R482">
        <f>IF(ISNUMBER(G482),ROUND(25*(100-G482)/100,1),12.5)</f>
        <v/>
      </c>
      <c r="S482" t="n">
        <v>20</v>
      </c>
      <c r="T482">
        <f>ROUND(P482+Q482+R482+S482,0)</f>
        <v/>
      </c>
      <c r="U482" s="5" t="inlineStr"/>
      <c r="V482" s="5" t="inlineStr"/>
    </row>
    <row r="483">
      <c r="A483" t="inlineStr">
        <is>
          <t>K0481</t>
        </is>
      </c>
      <c r="B483" t="inlineStr">
        <is>
          <t>agence web maroc contact</t>
        </is>
      </c>
      <c r="C483" t="inlineStr">
        <is>
          <t>Morocco</t>
        </is>
      </c>
      <c r="D483" t="inlineStr">
        <is>
          <t>ma</t>
        </is>
      </c>
      <c r="E483" t="inlineStr">
        <is>
          <t>fr</t>
        </is>
      </c>
      <c r="F483" t="inlineStr">
        <is>
          <t>NOT AVAILABLE</t>
        </is>
      </c>
      <c r="G483" t="inlineStr">
        <is>
          <t>NOT AVAILABLE</t>
        </is>
      </c>
      <c r="H483" t="inlineStr">
        <is>
          <t>NOT AVAILABLE</t>
        </is>
      </c>
      <c r="I483" t="inlineStr">
        <is>
          <t>NOT AVAILABLE</t>
        </is>
      </c>
      <c r="J483" t="inlineStr">
        <is>
          <t>NOT AVAILABLE</t>
        </is>
      </c>
      <c r="K483" t="inlineStr">
        <is>
          <t>NOT AVAILABLE</t>
        </is>
      </c>
      <c r="L483" t="inlineStr">
        <is>
          <t>NOT AVAILABLE</t>
        </is>
      </c>
      <c r="M483" t="inlineStr">
        <is>
          <t>UNAVAILABLE</t>
        </is>
      </c>
      <c r="N483" s="5" t="inlineStr">
        <is>
          <t>Semrush phrase_these returned no data (not billed)</t>
        </is>
      </c>
      <c r="O483" t="inlineStr">
        <is>
          <t>2026-10-30</t>
        </is>
      </c>
      <c r="P483">
        <f>IF(IF(J483="NOT AVAILABLE","",J483)="",12,IF(OR(ISNUMBER(SEARCH("Transactional",IF(J483="NOT AVAILABLE","",J483))),ISNUMBER(SEARCH("Commercial",IF(J483="NOT AVAILABLE","",J483)))),25,IF(ISNUMBER(SEARCH("Informational",IF(J483="NOT AVAILABLE","",J483))),10,IF(ISNUMBER(SEARCH("Navigational",IF(J483="NOT AVAILABLE","",J483))),0,12))))</f>
        <v/>
      </c>
      <c r="Q483">
        <f>IF(ISNUMBER(F483),MIN(30,ROUND(30*LOG10(F483+1)/4,1)),0)</f>
        <v/>
      </c>
      <c r="R483">
        <f>IF(ISNUMBER(G483),ROUND(25*(100-G483)/100,1),12.5)</f>
        <v/>
      </c>
      <c r="S483" t="n">
        <v>20</v>
      </c>
      <c r="T483">
        <f>ROUND(P483+Q483+R483+S483,0)</f>
        <v/>
      </c>
      <c r="U483" s="5" t="inlineStr"/>
      <c r="V483" s="5" t="inlineStr"/>
    </row>
    <row r="484">
      <c r="A484" t="inlineStr">
        <is>
          <t>K0482</t>
        </is>
      </c>
      <c r="B484" t="inlineStr">
        <is>
          <t>agence web maroc villes</t>
        </is>
      </c>
      <c r="C484" t="inlineStr">
        <is>
          <t>Morocco</t>
        </is>
      </c>
      <c r="D484" t="inlineStr">
        <is>
          <t>ma</t>
        </is>
      </c>
      <c r="E484" t="inlineStr">
        <is>
          <t>fr</t>
        </is>
      </c>
      <c r="F484" t="inlineStr">
        <is>
          <t>NOT AVAILABLE</t>
        </is>
      </c>
      <c r="G484" t="inlineStr">
        <is>
          <t>NOT AVAILABLE</t>
        </is>
      </c>
      <c r="H484" t="inlineStr">
        <is>
          <t>NOT AVAILABLE</t>
        </is>
      </c>
      <c r="I484" t="inlineStr">
        <is>
          <t>NOT AVAILABLE</t>
        </is>
      </c>
      <c r="J484" t="inlineStr">
        <is>
          <t>NOT AVAILABLE</t>
        </is>
      </c>
      <c r="K484" t="inlineStr">
        <is>
          <t>NOT AVAILABLE</t>
        </is>
      </c>
      <c r="L484" t="inlineStr">
        <is>
          <t>NOT AVAILABLE</t>
        </is>
      </c>
      <c r="M484" t="inlineStr">
        <is>
          <t>UNAVAILABLE</t>
        </is>
      </c>
      <c r="N484" s="5" t="inlineStr">
        <is>
          <t>Semrush phrase_these returned no data (not billed)</t>
        </is>
      </c>
      <c r="O484" t="inlineStr">
        <is>
          <t>2026-10-30</t>
        </is>
      </c>
      <c r="P484">
        <f>IF(IF(J484="NOT AVAILABLE","",J484)="",12,IF(OR(ISNUMBER(SEARCH("Transactional",IF(J484="NOT AVAILABLE","",J484))),ISNUMBER(SEARCH("Commercial",IF(J484="NOT AVAILABLE","",J484)))),25,IF(ISNUMBER(SEARCH("Informational",IF(J484="NOT AVAILABLE","",J484))),10,IF(ISNUMBER(SEARCH("Navigational",IF(J484="NOT AVAILABLE","",J484))),0,12))))</f>
        <v/>
      </c>
      <c r="Q484">
        <f>IF(ISNUMBER(F484),MIN(30,ROUND(30*LOG10(F484+1)/4,1)),0)</f>
        <v/>
      </c>
      <c r="R484">
        <f>IF(ISNUMBER(G484),ROUND(25*(100-G484)/100,1),12.5)</f>
        <v/>
      </c>
      <c r="S484" t="n">
        <v>20</v>
      </c>
      <c r="T484">
        <f>ROUND(P484+Q484+R484+S484,0)</f>
        <v/>
      </c>
      <c r="U484" s="5" t="inlineStr"/>
      <c r="V484" s="5" t="inlineStr"/>
    </row>
    <row r="485">
      <c r="A485" t="inlineStr">
        <is>
          <t>K0483</t>
        </is>
      </c>
      <c r="B485" t="inlineStr">
        <is>
          <t>agence web marocaine</t>
        </is>
      </c>
      <c r="C485" t="inlineStr">
        <is>
          <t>Morocco</t>
        </is>
      </c>
      <c r="D485" t="inlineStr">
        <is>
          <t>ma</t>
        </is>
      </c>
      <c r="E485" t="inlineStr">
        <is>
          <t>fr</t>
        </is>
      </c>
      <c r="F485" t="inlineStr">
        <is>
          <t>NOT AVAILABLE</t>
        </is>
      </c>
      <c r="G485" t="inlineStr">
        <is>
          <t>NOT AVAILABLE</t>
        </is>
      </c>
      <c r="H485" t="inlineStr">
        <is>
          <t>NOT AVAILABLE</t>
        </is>
      </c>
      <c r="I485" t="inlineStr">
        <is>
          <t>NOT AVAILABLE</t>
        </is>
      </c>
      <c r="J485" t="inlineStr">
        <is>
          <t>NOT AVAILABLE</t>
        </is>
      </c>
      <c r="K485" t="inlineStr">
        <is>
          <t>NOT AVAILABLE</t>
        </is>
      </c>
      <c r="L485" t="inlineStr">
        <is>
          <t>NOT AVAILABLE</t>
        </is>
      </c>
      <c r="M485" t="inlineStr">
        <is>
          <t>UNAVAILABLE</t>
        </is>
      </c>
      <c r="N485" s="5" t="inlineStr">
        <is>
          <t>Semrush phrase_these returned no data (not billed)</t>
        </is>
      </c>
      <c r="O485" t="inlineStr">
        <is>
          <t>2026-10-30</t>
        </is>
      </c>
      <c r="P485">
        <f>IF(IF(J485="NOT AVAILABLE","",J485)="",12,IF(OR(ISNUMBER(SEARCH("Transactional",IF(J485="NOT AVAILABLE","",J485))),ISNUMBER(SEARCH("Commercial",IF(J485="NOT AVAILABLE","",J485)))),25,IF(ISNUMBER(SEARCH("Informational",IF(J485="NOT AVAILABLE","",J485))),10,IF(ISNUMBER(SEARCH("Navigational",IF(J485="NOT AVAILABLE","",J485))),0,12))))</f>
        <v/>
      </c>
      <c r="Q485">
        <f>IF(ISNUMBER(F485),MIN(30,ROUND(30*LOG10(F485+1)/4,1)),0)</f>
        <v/>
      </c>
      <c r="R485">
        <f>IF(ISNUMBER(G485),ROUND(25*(100-G485)/100,1),12.5)</f>
        <v/>
      </c>
      <c r="S485" t="n">
        <v>20</v>
      </c>
      <c r="T485">
        <f>ROUND(P485+Q485+R485+S485,0)</f>
        <v/>
      </c>
      <c r="U485" s="5" t="inlineStr"/>
      <c r="V485" s="5" t="inlineStr"/>
    </row>
    <row r="486">
      <c r="A486" t="inlineStr">
        <is>
          <t>K0484</t>
        </is>
      </c>
      <c r="B486" t="inlineStr">
        <is>
          <t>agence web marrakech contact</t>
        </is>
      </c>
      <c r="C486" t="inlineStr">
        <is>
          <t>Morocco</t>
        </is>
      </c>
      <c r="D486" t="inlineStr">
        <is>
          <t>ma</t>
        </is>
      </c>
      <c r="E486" t="inlineStr">
        <is>
          <t>fr</t>
        </is>
      </c>
      <c r="F486" t="inlineStr">
        <is>
          <t>NOT AVAILABLE</t>
        </is>
      </c>
      <c r="G486" t="inlineStr">
        <is>
          <t>NOT AVAILABLE</t>
        </is>
      </c>
      <c r="H486" t="inlineStr">
        <is>
          <t>NOT AVAILABLE</t>
        </is>
      </c>
      <c r="I486" t="inlineStr">
        <is>
          <t>NOT AVAILABLE</t>
        </is>
      </c>
      <c r="J486" t="inlineStr">
        <is>
          <t>NOT AVAILABLE</t>
        </is>
      </c>
      <c r="K486" t="inlineStr">
        <is>
          <t>NOT AVAILABLE</t>
        </is>
      </c>
      <c r="L486" t="inlineStr">
        <is>
          <t>NOT AVAILABLE</t>
        </is>
      </c>
      <c r="M486" t="inlineStr">
        <is>
          <t>UNAVAILABLE</t>
        </is>
      </c>
      <c r="N486" s="5" t="inlineStr">
        <is>
          <t>Semrush phrase_these returned no data (not billed)</t>
        </is>
      </c>
      <c r="O486" t="inlineStr">
        <is>
          <t>2026-10-30</t>
        </is>
      </c>
      <c r="P486">
        <f>IF(IF(J486="NOT AVAILABLE","",J486)="",12,IF(OR(ISNUMBER(SEARCH("Transactional",IF(J486="NOT AVAILABLE","",J486))),ISNUMBER(SEARCH("Commercial",IF(J486="NOT AVAILABLE","",J486)))),25,IF(ISNUMBER(SEARCH("Informational",IF(J486="NOT AVAILABLE","",J486))),10,IF(ISNUMBER(SEARCH("Navigational",IF(J486="NOT AVAILABLE","",J486))),0,12))))</f>
        <v/>
      </c>
      <c r="Q486">
        <f>IF(ISNUMBER(F486),MIN(30,ROUND(30*LOG10(F486+1)/4,1)),0)</f>
        <v/>
      </c>
      <c r="R486">
        <f>IF(ISNUMBER(G486),ROUND(25*(100-G486)/100,1),12.5)</f>
        <v/>
      </c>
      <c r="S486" t="n">
        <v>20</v>
      </c>
      <c r="T486">
        <f>ROUND(P486+Q486+R486+S486,0)</f>
        <v/>
      </c>
      <c r="U486" s="5" t="inlineStr"/>
      <c r="V486" s="5" t="inlineStr"/>
    </row>
    <row r="487">
      <c r="A487" t="inlineStr">
        <is>
          <t>K0485</t>
        </is>
      </c>
      <c r="B487" t="inlineStr">
        <is>
          <t>agence web nador</t>
        </is>
      </c>
      <c r="C487" t="inlineStr">
        <is>
          <t>Morocco</t>
        </is>
      </c>
      <c r="D487" t="inlineStr">
        <is>
          <t>ma</t>
        </is>
      </c>
      <c r="E487" t="inlineStr">
        <is>
          <t>fr</t>
        </is>
      </c>
      <c r="F487" t="n">
        <v>0</v>
      </c>
      <c r="G487" t="inlineStr">
        <is>
          <t>NOT AVAILABLE</t>
        </is>
      </c>
      <c r="H487" t="n">
        <v>0</v>
      </c>
      <c r="I487" t="n">
        <v>0</v>
      </c>
      <c r="J487" t="inlineStr">
        <is>
          <t>NOT AVAILABLE</t>
        </is>
      </c>
      <c r="K487" t="inlineStr">
        <is>
          <t>NOT AVAILABLE (report not requested)</t>
        </is>
      </c>
      <c r="L487" t="inlineStr">
        <is>
          <t>flat (no data)</t>
        </is>
      </c>
      <c r="M487" t="inlineStr">
        <is>
          <t>MEASURED</t>
        </is>
      </c>
      <c r="N487" s="5" t="inlineStr">
        <is>
          <t>Semrush phrase_these (historical w3-validate-F-cities.csv)</t>
        </is>
      </c>
      <c r="O487" t="inlineStr">
        <is>
          <t>2026-10-27</t>
        </is>
      </c>
      <c r="P487">
        <f>IF(IF(J487="NOT AVAILABLE","",J487)="",12,IF(OR(ISNUMBER(SEARCH("Transactional",IF(J487="NOT AVAILABLE","",J487))),ISNUMBER(SEARCH("Commercial",IF(J487="NOT AVAILABLE","",J487)))),25,IF(ISNUMBER(SEARCH("Informational",IF(J487="NOT AVAILABLE","",J487))),10,IF(ISNUMBER(SEARCH("Navigational",IF(J487="NOT AVAILABLE","",J487))),0,12))))</f>
        <v/>
      </c>
      <c r="Q487">
        <f>IF(ISNUMBER(F487),MIN(30,ROUND(30*LOG10(F487+1)/4,1)),0)</f>
        <v/>
      </c>
      <c r="R487">
        <f>IF(ISNUMBER(G487),ROUND(25*(100-G487)/100,1),12.5)</f>
        <v/>
      </c>
      <c r="S487" t="n">
        <v>20</v>
      </c>
      <c r="T487">
        <f>ROUND(P487+Q487+R487+S487,0)</f>
        <v/>
      </c>
      <c r="U487" s="5" t="inlineStr"/>
      <c r="V487" s="5" t="inlineStr"/>
    </row>
    <row r="488">
      <c r="A488" t="inlineStr">
        <is>
          <t>K0486</t>
        </is>
      </c>
      <c r="B488" t="inlineStr">
        <is>
          <t>agence web nearshore</t>
        </is>
      </c>
      <c r="C488" t="inlineStr">
        <is>
          <t>Morocco</t>
        </is>
      </c>
      <c r="D488" t="inlineStr">
        <is>
          <t>ma</t>
        </is>
      </c>
      <c r="E488" t="inlineStr">
        <is>
          <t>fr</t>
        </is>
      </c>
      <c r="F488" t="inlineStr">
        <is>
          <t>NOT AVAILABLE</t>
        </is>
      </c>
      <c r="G488" t="inlineStr">
        <is>
          <t>NOT AVAILABLE</t>
        </is>
      </c>
      <c r="H488" t="inlineStr">
        <is>
          <t>NOT AVAILABLE</t>
        </is>
      </c>
      <c r="I488" t="inlineStr">
        <is>
          <t>NOT AVAILABLE</t>
        </is>
      </c>
      <c r="J488" t="inlineStr">
        <is>
          <t>NOT AVAILABLE</t>
        </is>
      </c>
      <c r="K488" t="inlineStr">
        <is>
          <t>NOT AVAILABLE</t>
        </is>
      </c>
      <c r="L488" t="inlineStr">
        <is>
          <t>NOT AVAILABLE</t>
        </is>
      </c>
      <c r="M488" t="inlineStr">
        <is>
          <t>SUGGESTED</t>
        </is>
      </c>
      <c r="N488" s="5" t="inlineStr">
        <is>
          <t>Analyst suggestion - not validated in Semrush</t>
        </is>
      </c>
      <c r="O488" t="inlineStr">
        <is>
          <t>NOT AVAILABLE</t>
        </is>
      </c>
      <c r="P488">
        <f>IF(IF(J488="NOT AVAILABLE","",J488)="",12,IF(OR(ISNUMBER(SEARCH("Transactional",IF(J488="NOT AVAILABLE","",J488))),ISNUMBER(SEARCH("Commercial",IF(J488="NOT AVAILABLE","",J488)))),25,IF(ISNUMBER(SEARCH("Informational",IF(J488="NOT AVAILABLE","",J488))),10,IF(ISNUMBER(SEARCH("Navigational",IF(J488="NOT AVAILABLE","",J488))),0,12))))</f>
        <v/>
      </c>
      <c r="Q488">
        <f>IF(ISNUMBER(F488),MIN(30,ROUND(30*LOG10(F488+1)/4,1)),0)</f>
        <v/>
      </c>
      <c r="R488">
        <f>IF(ISNUMBER(G488),ROUND(25*(100-G488)/100,1),12.5)</f>
        <v/>
      </c>
      <c r="S488" t="n">
        <v>20</v>
      </c>
      <c r="T488">
        <f>ROUND(P488+Q488+R488+S488,0)</f>
        <v/>
      </c>
      <c r="U488" s="5" t="inlineStr"/>
      <c r="V488" s="5" t="inlineStr"/>
    </row>
    <row r="489">
      <c r="A489" t="inlineStr">
        <is>
          <t>K0487</t>
        </is>
      </c>
      <c r="B489" t="inlineStr">
        <is>
          <t>agence web pas cher</t>
        </is>
      </c>
      <c r="C489" t="inlineStr">
        <is>
          <t>Morocco</t>
        </is>
      </c>
      <c r="D489" t="inlineStr">
        <is>
          <t>ma</t>
        </is>
      </c>
      <c r="E489" t="inlineStr">
        <is>
          <t>fr</t>
        </is>
      </c>
      <c r="F489" t="inlineStr">
        <is>
          <t>NOT AVAILABLE</t>
        </is>
      </c>
      <c r="G489" t="inlineStr">
        <is>
          <t>NOT AVAILABLE</t>
        </is>
      </c>
      <c r="H489" t="inlineStr">
        <is>
          <t>NOT AVAILABLE</t>
        </is>
      </c>
      <c r="I489" t="inlineStr">
        <is>
          <t>NOT AVAILABLE</t>
        </is>
      </c>
      <c r="J489" t="inlineStr">
        <is>
          <t>NOT AVAILABLE</t>
        </is>
      </c>
      <c r="K489" t="inlineStr">
        <is>
          <t>NOT AVAILABLE</t>
        </is>
      </c>
      <c r="L489" t="inlineStr">
        <is>
          <t>NOT AVAILABLE</t>
        </is>
      </c>
      <c r="M489" t="inlineStr">
        <is>
          <t>SUGGESTED</t>
        </is>
      </c>
      <c r="N489" s="5" t="inlineStr">
        <is>
          <t>Analyst suggestion - not validated in Semrush</t>
        </is>
      </c>
      <c r="O489" t="inlineStr">
        <is>
          <t>NOT AVAILABLE</t>
        </is>
      </c>
      <c r="P489">
        <f>IF(IF(J489="NOT AVAILABLE","",J489)="",12,IF(OR(ISNUMBER(SEARCH("Transactional",IF(J489="NOT AVAILABLE","",J489))),ISNUMBER(SEARCH("Commercial",IF(J489="NOT AVAILABLE","",J489)))),25,IF(ISNUMBER(SEARCH("Informational",IF(J489="NOT AVAILABLE","",J489))),10,IF(ISNUMBER(SEARCH("Navigational",IF(J489="NOT AVAILABLE","",J489))),0,12))))</f>
        <v/>
      </c>
      <c r="Q489">
        <f>IF(ISNUMBER(F489),MIN(30,ROUND(30*LOG10(F489+1)/4,1)),0)</f>
        <v/>
      </c>
      <c r="R489">
        <f>IF(ISNUMBER(G489),ROUND(25*(100-G489)/100,1),12.5)</f>
        <v/>
      </c>
      <c r="S489" t="n">
        <v>20</v>
      </c>
      <c r="T489">
        <f>ROUND(P489+Q489+R489+S489,0)</f>
        <v/>
      </c>
      <c r="U489" s="5" t="inlineStr"/>
      <c r="V489" s="5" t="inlineStr"/>
    </row>
    <row r="490">
      <c r="A490" t="inlineStr">
        <is>
          <t>K0488</t>
        </is>
      </c>
      <c r="B490" t="inlineStr">
        <is>
          <t>agence web pas cher maroc</t>
        </is>
      </c>
      <c r="C490" t="inlineStr">
        <is>
          <t>Morocco</t>
        </is>
      </c>
      <c r="D490" t="inlineStr">
        <is>
          <t>ma</t>
        </is>
      </c>
      <c r="E490" t="inlineStr">
        <is>
          <t>fr</t>
        </is>
      </c>
      <c r="F490" t="inlineStr">
        <is>
          <t>NOT AVAILABLE</t>
        </is>
      </c>
      <c r="G490" t="inlineStr">
        <is>
          <t>NOT AVAILABLE</t>
        </is>
      </c>
      <c r="H490" t="inlineStr">
        <is>
          <t>NOT AVAILABLE</t>
        </is>
      </c>
      <c r="I490" t="inlineStr">
        <is>
          <t>NOT AVAILABLE</t>
        </is>
      </c>
      <c r="J490" t="inlineStr">
        <is>
          <t>NOT AVAILABLE</t>
        </is>
      </c>
      <c r="K490" t="inlineStr">
        <is>
          <t>NOT AVAILABLE</t>
        </is>
      </c>
      <c r="L490" t="inlineStr">
        <is>
          <t>NOT AVAILABLE</t>
        </is>
      </c>
      <c r="M490" t="inlineStr">
        <is>
          <t>UNAVAILABLE</t>
        </is>
      </c>
      <c r="N490" s="5" t="inlineStr">
        <is>
          <t>Semrush phrase_these returned no data (not billed)</t>
        </is>
      </c>
      <c r="O490" t="inlineStr">
        <is>
          <t>2026-10-30</t>
        </is>
      </c>
      <c r="P490">
        <f>IF(IF(J490="NOT AVAILABLE","",J490)="",12,IF(OR(ISNUMBER(SEARCH("Transactional",IF(J490="NOT AVAILABLE","",J490))),ISNUMBER(SEARCH("Commercial",IF(J490="NOT AVAILABLE","",J490)))),25,IF(ISNUMBER(SEARCH("Informational",IF(J490="NOT AVAILABLE","",J490))),10,IF(ISNUMBER(SEARCH("Navigational",IF(J490="NOT AVAILABLE","",J490))),0,12))))</f>
        <v/>
      </c>
      <c r="Q490">
        <f>IF(ISNUMBER(F490),MIN(30,ROUND(30*LOG10(F490+1)/4,1)),0)</f>
        <v/>
      </c>
      <c r="R490">
        <f>IF(ISNUMBER(G490),ROUND(25*(100-G490)/100,1),12.5)</f>
        <v/>
      </c>
      <c r="S490" t="n">
        <v>20</v>
      </c>
      <c r="T490">
        <f>ROUND(P490+Q490+R490+S490,0)</f>
        <v/>
      </c>
      <c r="U490" s="5" t="inlineStr"/>
      <c r="V490" s="5" t="inlineStr"/>
    </row>
    <row r="491">
      <c r="A491" t="inlineStr">
        <is>
          <t>K0489</t>
        </is>
      </c>
      <c r="B491" t="inlineStr">
        <is>
          <t>agence web tangier</t>
        </is>
      </c>
      <c r="C491" t="inlineStr">
        <is>
          <t>Morocco</t>
        </is>
      </c>
      <c r="D491" t="inlineStr">
        <is>
          <t>ma</t>
        </is>
      </c>
      <c r="E491" t="inlineStr">
        <is>
          <t>fr</t>
        </is>
      </c>
      <c r="F491" t="inlineStr">
        <is>
          <t>NOT AVAILABLE</t>
        </is>
      </c>
      <c r="G491" t="inlineStr">
        <is>
          <t>NOT AVAILABLE</t>
        </is>
      </c>
      <c r="H491" t="inlineStr">
        <is>
          <t>NOT AVAILABLE</t>
        </is>
      </c>
      <c r="I491" t="inlineStr">
        <is>
          <t>NOT AVAILABLE</t>
        </is>
      </c>
      <c r="J491" t="inlineStr">
        <is>
          <t>NOT AVAILABLE</t>
        </is>
      </c>
      <c r="K491" t="inlineStr">
        <is>
          <t>NOT AVAILABLE</t>
        </is>
      </c>
      <c r="L491" t="inlineStr">
        <is>
          <t>NOT AVAILABLE</t>
        </is>
      </c>
      <c r="M491" t="inlineStr">
        <is>
          <t>UNAVAILABLE</t>
        </is>
      </c>
      <c r="N491" s="5" t="inlineStr">
        <is>
          <t>Semrush phrase_these returned no data (not billed)</t>
        </is>
      </c>
      <c r="O491" t="inlineStr">
        <is>
          <t>2026-10-30</t>
        </is>
      </c>
      <c r="P491">
        <f>IF(IF(J491="NOT AVAILABLE","",J491)="",12,IF(OR(ISNUMBER(SEARCH("Transactional",IF(J491="NOT AVAILABLE","",J491))),ISNUMBER(SEARCH("Commercial",IF(J491="NOT AVAILABLE","",J491)))),25,IF(ISNUMBER(SEARCH("Informational",IF(J491="NOT AVAILABLE","",J491))),10,IF(ISNUMBER(SEARCH("Navigational",IF(J491="NOT AVAILABLE","",J491))),0,12))))</f>
        <v/>
      </c>
      <c r="Q491">
        <f>IF(ISNUMBER(F491),MIN(30,ROUND(30*LOG10(F491+1)/4,1)),0)</f>
        <v/>
      </c>
      <c r="R491">
        <f>IF(ISNUMBER(G491),ROUND(25*(100-G491)/100,1),12.5)</f>
        <v/>
      </c>
      <c r="S491" t="n">
        <v>20</v>
      </c>
      <c r="T491">
        <f>ROUND(P491+Q491+R491+S491,0)</f>
        <v/>
      </c>
      <c r="U491" s="5" t="inlineStr"/>
      <c r="V491" s="5" t="inlineStr"/>
    </row>
    <row r="492">
      <c r="A492" t="inlineStr">
        <is>
          <t>K0490</t>
        </is>
      </c>
      <c r="B492" t="inlineStr">
        <is>
          <t>agence web tetouan</t>
        </is>
      </c>
      <c r="C492" t="inlineStr">
        <is>
          <t>Morocco</t>
        </is>
      </c>
      <c r="D492" t="inlineStr">
        <is>
          <t>ma</t>
        </is>
      </c>
      <c r="E492" t="inlineStr">
        <is>
          <t>fr</t>
        </is>
      </c>
      <c r="F492" t="n">
        <v>0</v>
      </c>
      <c r="G492" t="inlineStr">
        <is>
          <t>NOT AVAILABLE</t>
        </is>
      </c>
      <c r="H492" t="n">
        <v>0</v>
      </c>
      <c r="I492" t="n">
        <v>0</v>
      </c>
      <c r="J492" t="inlineStr">
        <is>
          <t>NOT AVAILABLE</t>
        </is>
      </c>
      <c r="K492" t="inlineStr">
        <is>
          <t>NOT AVAILABLE (report not requested)</t>
        </is>
      </c>
      <c r="L492" t="inlineStr">
        <is>
          <t>flat (no data)</t>
        </is>
      </c>
      <c r="M492" t="inlineStr">
        <is>
          <t>MEASURED</t>
        </is>
      </c>
      <c r="N492" s="5" t="inlineStr">
        <is>
          <t>Semrush phrase_these (historical w3-validate-F-cities.csv)</t>
        </is>
      </c>
      <c r="O492" t="inlineStr">
        <is>
          <t>2026-10-27</t>
        </is>
      </c>
      <c r="P492">
        <f>IF(IF(J492="NOT AVAILABLE","",J492)="",12,IF(OR(ISNUMBER(SEARCH("Transactional",IF(J492="NOT AVAILABLE","",J492))),ISNUMBER(SEARCH("Commercial",IF(J492="NOT AVAILABLE","",J492)))),25,IF(ISNUMBER(SEARCH("Informational",IF(J492="NOT AVAILABLE","",J492))),10,IF(ISNUMBER(SEARCH("Navigational",IF(J492="NOT AVAILABLE","",J492))),0,12))))</f>
        <v/>
      </c>
      <c r="Q492">
        <f>IF(ISNUMBER(F492),MIN(30,ROUND(30*LOG10(F492+1)/4,1)),0)</f>
        <v/>
      </c>
      <c r="R492">
        <f>IF(ISNUMBER(G492),ROUND(25*(100-G492)/100,1),12.5)</f>
        <v/>
      </c>
      <c r="S492" t="n">
        <v>20</v>
      </c>
      <c r="T492">
        <f>ROUND(P492+Q492+R492+S492,0)</f>
        <v/>
      </c>
      <c r="U492" s="5" t="inlineStr"/>
      <c r="V492" s="5" t="inlineStr"/>
    </row>
    <row r="493">
      <c r="A493" t="inlineStr">
        <is>
          <t>K0491</t>
        </is>
      </c>
      <c r="B493" t="inlineStr">
        <is>
          <t>agence web à agadir</t>
        </is>
      </c>
      <c r="C493" t="inlineStr">
        <is>
          <t>Morocco</t>
        </is>
      </c>
      <c r="D493" t="inlineStr">
        <is>
          <t>ma</t>
        </is>
      </c>
      <c r="E493" t="inlineStr">
        <is>
          <t>fr</t>
        </is>
      </c>
      <c r="F493" t="inlineStr">
        <is>
          <t>NOT AVAILABLE</t>
        </is>
      </c>
      <c r="G493" t="inlineStr">
        <is>
          <t>NOT AVAILABLE</t>
        </is>
      </c>
      <c r="H493" t="inlineStr">
        <is>
          <t>NOT AVAILABLE</t>
        </is>
      </c>
      <c r="I493" t="inlineStr">
        <is>
          <t>NOT AVAILABLE</t>
        </is>
      </c>
      <c r="J493" t="inlineStr">
        <is>
          <t>NOT AVAILABLE</t>
        </is>
      </c>
      <c r="K493" t="inlineStr">
        <is>
          <t>NOT AVAILABLE</t>
        </is>
      </c>
      <c r="L493" t="inlineStr">
        <is>
          <t>NOT AVAILABLE</t>
        </is>
      </c>
      <c r="M493" t="inlineStr">
        <is>
          <t>UNAVAILABLE</t>
        </is>
      </c>
      <c r="N493" s="5" t="inlineStr">
        <is>
          <t>Semrush phrase_these returned no data (not billed)</t>
        </is>
      </c>
      <c r="O493" t="inlineStr">
        <is>
          <t>2026-10-30</t>
        </is>
      </c>
      <c r="P493">
        <f>IF(IF(J493="NOT AVAILABLE","",J493)="",12,IF(OR(ISNUMBER(SEARCH("Transactional",IF(J493="NOT AVAILABLE","",J493))),ISNUMBER(SEARCH("Commercial",IF(J493="NOT AVAILABLE","",J493)))),25,IF(ISNUMBER(SEARCH("Informational",IF(J493="NOT AVAILABLE","",J493))),10,IF(ISNUMBER(SEARCH("Navigational",IF(J493="NOT AVAILABLE","",J493))),0,12))))</f>
        <v/>
      </c>
      <c r="Q493">
        <f>IF(ISNUMBER(F493),MIN(30,ROUND(30*LOG10(F493+1)/4,1)),0)</f>
        <v/>
      </c>
      <c r="R493">
        <f>IF(ISNUMBER(G493),ROUND(25*(100-G493)/100,1),12.5)</f>
        <v/>
      </c>
      <c r="S493" t="n">
        <v>20</v>
      </c>
      <c r="T493">
        <f>ROUND(P493+Q493+R493+S493,0)</f>
        <v/>
      </c>
      <c r="U493" s="5" t="inlineStr"/>
      <c r="V493" s="5" t="inlineStr"/>
    </row>
    <row r="494">
      <c r="A494" t="inlineStr">
        <is>
          <t>K0492</t>
        </is>
      </c>
      <c r="B494" t="inlineStr">
        <is>
          <t>agence web à rabat</t>
        </is>
      </c>
      <c r="C494" t="inlineStr">
        <is>
          <t>Morocco</t>
        </is>
      </c>
      <c r="D494" t="inlineStr">
        <is>
          <t>ma</t>
        </is>
      </c>
      <c r="E494" t="inlineStr">
        <is>
          <t>fr</t>
        </is>
      </c>
      <c r="F494" t="inlineStr">
        <is>
          <t>NOT AVAILABLE</t>
        </is>
      </c>
      <c r="G494" t="inlineStr">
        <is>
          <t>NOT AVAILABLE</t>
        </is>
      </c>
      <c r="H494" t="inlineStr">
        <is>
          <t>NOT AVAILABLE</t>
        </is>
      </c>
      <c r="I494" t="inlineStr">
        <is>
          <t>NOT AVAILABLE</t>
        </is>
      </c>
      <c r="J494" t="inlineStr">
        <is>
          <t>NOT AVAILABLE</t>
        </is>
      </c>
      <c r="K494" t="inlineStr">
        <is>
          <t>NOT AVAILABLE</t>
        </is>
      </c>
      <c r="L494" t="inlineStr">
        <is>
          <t>NOT AVAILABLE</t>
        </is>
      </c>
      <c r="M494" t="inlineStr">
        <is>
          <t>UNAVAILABLE</t>
        </is>
      </c>
      <c r="N494" s="5" t="inlineStr">
        <is>
          <t>Semrush phrase_these returned no data (not billed)</t>
        </is>
      </c>
      <c r="O494" t="inlineStr">
        <is>
          <t>2026-10-30</t>
        </is>
      </c>
      <c r="P494">
        <f>IF(IF(J494="NOT AVAILABLE","",J494)="",12,IF(OR(ISNUMBER(SEARCH("Transactional",IF(J494="NOT AVAILABLE","",J494))),ISNUMBER(SEARCH("Commercial",IF(J494="NOT AVAILABLE","",J494)))),25,IF(ISNUMBER(SEARCH("Informational",IF(J494="NOT AVAILABLE","",J494))),10,IF(ISNUMBER(SEARCH("Navigational",IF(J494="NOT AVAILABLE","",J494))),0,12))))</f>
        <v/>
      </c>
      <c r="Q494">
        <f>IF(ISNUMBER(F494),MIN(30,ROUND(30*LOG10(F494+1)/4,1)),0)</f>
        <v/>
      </c>
      <c r="R494">
        <f>IF(ISNUMBER(G494),ROUND(25*(100-G494)/100,1),12.5)</f>
        <v/>
      </c>
      <c r="S494" t="n">
        <v>20</v>
      </c>
      <c r="T494">
        <f>ROUND(P494+Q494+R494+S494,0)</f>
        <v/>
      </c>
      <c r="U494" s="5" t="inlineStr"/>
      <c r="V494" s="5" t="inlineStr"/>
    </row>
    <row r="495">
      <c r="A495" t="inlineStr">
        <is>
          <t>K0493</t>
        </is>
      </c>
      <c r="B495" t="inlineStr">
        <is>
          <t>agence web à tanger</t>
        </is>
      </c>
      <c r="C495" t="inlineStr">
        <is>
          <t>Morocco</t>
        </is>
      </c>
      <c r="D495" t="inlineStr">
        <is>
          <t>ma</t>
        </is>
      </c>
      <c r="E495" t="inlineStr">
        <is>
          <t>fr</t>
        </is>
      </c>
      <c r="F495" t="inlineStr">
        <is>
          <t>NOT AVAILABLE</t>
        </is>
      </c>
      <c r="G495" t="inlineStr">
        <is>
          <t>NOT AVAILABLE</t>
        </is>
      </c>
      <c r="H495" t="inlineStr">
        <is>
          <t>NOT AVAILABLE</t>
        </is>
      </c>
      <c r="I495" t="inlineStr">
        <is>
          <t>NOT AVAILABLE</t>
        </is>
      </c>
      <c r="J495" t="inlineStr">
        <is>
          <t>NOT AVAILABLE</t>
        </is>
      </c>
      <c r="K495" t="inlineStr">
        <is>
          <t>NOT AVAILABLE</t>
        </is>
      </c>
      <c r="L495" t="inlineStr">
        <is>
          <t>NOT AVAILABLE</t>
        </is>
      </c>
      <c r="M495" t="inlineStr">
        <is>
          <t>UNAVAILABLE</t>
        </is>
      </c>
      <c r="N495" s="5" t="inlineStr">
        <is>
          <t>Semrush phrase_these returned no data (not billed)</t>
        </is>
      </c>
      <c r="O495" t="inlineStr">
        <is>
          <t>2026-10-30</t>
        </is>
      </c>
      <c r="P495">
        <f>IF(IF(J495="NOT AVAILABLE","",J495)="",12,IF(OR(ISNUMBER(SEARCH("Transactional",IF(J495="NOT AVAILABLE","",J495))),ISNUMBER(SEARCH("Commercial",IF(J495="NOT AVAILABLE","",J495)))),25,IF(ISNUMBER(SEARCH("Informational",IF(J495="NOT AVAILABLE","",J495))),10,IF(ISNUMBER(SEARCH("Navigational",IF(J495="NOT AVAILABLE","",J495))),0,12))))</f>
        <v/>
      </c>
      <c r="Q495">
        <f>IF(ISNUMBER(F495),MIN(30,ROUND(30*LOG10(F495+1)/4,1)),0)</f>
        <v/>
      </c>
      <c r="R495">
        <f>IF(ISNUMBER(G495),ROUND(25*(100-G495)/100,1),12.5)</f>
        <v/>
      </c>
      <c r="S495" t="n">
        <v>20</v>
      </c>
      <c r="T495">
        <f>ROUND(P495+Q495+R495+S495,0)</f>
        <v/>
      </c>
      <c r="U495" s="5" t="inlineStr"/>
      <c r="V495" s="5" t="inlineStr"/>
    </row>
    <row r="496">
      <c r="A496" t="inlineStr">
        <is>
          <t>K0494</t>
        </is>
      </c>
      <c r="B496" t="inlineStr">
        <is>
          <t>agence étude à l'étranger</t>
        </is>
      </c>
      <c r="C496" t="inlineStr">
        <is>
          <t>Morocco</t>
        </is>
      </c>
      <c r="D496" t="inlineStr">
        <is>
          <t>ma</t>
        </is>
      </c>
      <c r="E496" t="inlineStr">
        <is>
          <t>fr</t>
        </is>
      </c>
      <c r="F496" t="inlineStr">
        <is>
          <t>NOT AVAILABLE</t>
        </is>
      </c>
      <c r="G496" t="inlineStr">
        <is>
          <t>NOT AVAILABLE</t>
        </is>
      </c>
      <c r="H496" t="inlineStr">
        <is>
          <t>NOT AVAILABLE</t>
        </is>
      </c>
      <c r="I496" t="inlineStr">
        <is>
          <t>NOT AVAILABLE</t>
        </is>
      </c>
      <c r="J496" t="inlineStr">
        <is>
          <t>NOT AVAILABLE</t>
        </is>
      </c>
      <c r="K496" t="inlineStr">
        <is>
          <t>NOT AVAILABLE</t>
        </is>
      </c>
      <c r="L496" t="inlineStr">
        <is>
          <t>NOT AVAILABLE</t>
        </is>
      </c>
      <c r="M496" t="inlineStr">
        <is>
          <t>UNAVAILABLE</t>
        </is>
      </c>
      <c r="N496" s="5" t="inlineStr">
        <is>
          <t>Semrush phrase_these returned no data (not billed)</t>
        </is>
      </c>
      <c r="O496" t="inlineStr">
        <is>
          <t>2026-10-30</t>
        </is>
      </c>
      <c r="P496">
        <f>IF(IF(J496="NOT AVAILABLE","",J496)="",12,IF(OR(ISNUMBER(SEARCH("Transactional",IF(J496="NOT AVAILABLE","",J496))),ISNUMBER(SEARCH("Commercial",IF(J496="NOT AVAILABLE","",J496)))),25,IF(ISNUMBER(SEARCH("Informational",IF(J496="NOT AVAILABLE","",J496))),10,IF(ISNUMBER(SEARCH("Navigational",IF(J496="NOT AVAILABLE","",J496))),0,12))))</f>
        <v/>
      </c>
      <c r="Q496">
        <f>IF(ISNUMBER(F496),MIN(30,ROUND(30*LOG10(F496+1)/4,1)),0)</f>
        <v/>
      </c>
      <c r="R496">
        <f>IF(ISNUMBER(G496),ROUND(25*(100-G496)/100,1),12.5)</f>
        <v/>
      </c>
      <c r="S496" t="n">
        <v>20</v>
      </c>
      <c r="T496">
        <f>ROUND(P496+Q496+R496+S496,0)</f>
        <v/>
      </c>
      <c r="U496" s="5" t="inlineStr"/>
      <c r="V496" s="5" t="inlineStr">
        <is>
          <t>NOT RECOMMENDED /services/study-abroad-website-development</t>
        </is>
      </c>
    </row>
    <row r="497">
      <c r="A497" t="inlineStr">
        <is>
          <t>K0495</t>
        </is>
      </c>
      <c r="B497" t="inlineStr">
        <is>
          <t>analyse fréquence mots</t>
        </is>
      </c>
      <c r="C497" t="inlineStr">
        <is>
          <t>Morocco</t>
        </is>
      </c>
      <c r="D497" t="inlineStr">
        <is>
          <t>ma</t>
        </is>
      </c>
      <c r="E497" t="inlineStr">
        <is>
          <t>fr</t>
        </is>
      </c>
      <c r="F497" t="inlineStr">
        <is>
          <t>NOT AVAILABLE</t>
        </is>
      </c>
      <c r="G497" t="inlineStr">
        <is>
          <t>NOT AVAILABLE</t>
        </is>
      </c>
      <c r="H497" t="inlineStr">
        <is>
          <t>NOT AVAILABLE</t>
        </is>
      </c>
      <c r="I497" t="inlineStr">
        <is>
          <t>NOT AVAILABLE</t>
        </is>
      </c>
      <c r="J497" t="inlineStr">
        <is>
          <t>NOT AVAILABLE</t>
        </is>
      </c>
      <c r="K497" t="inlineStr">
        <is>
          <t>NOT AVAILABLE</t>
        </is>
      </c>
      <c r="L497" t="inlineStr">
        <is>
          <t>NOT AVAILABLE</t>
        </is>
      </c>
      <c r="M497" t="inlineStr">
        <is>
          <t>UNAVAILABLE</t>
        </is>
      </c>
      <c r="N497" s="5" t="inlineStr">
        <is>
          <t>Semrush phrase_these returned no data (not billed)</t>
        </is>
      </c>
      <c r="O497" t="inlineStr">
        <is>
          <t>2026-10-30</t>
        </is>
      </c>
      <c r="P497">
        <f>IF(IF(J497="NOT AVAILABLE","",J497)="",12,IF(OR(ISNUMBER(SEARCH("Transactional",IF(J497="NOT AVAILABLE","",J497))),ISNUMBER(SEARCH("Commercial",IF(J497="NOT AVAILABLE","",J497)))),25,IF(ISNUMBER(SEARCH("Informational",IF(J497="NOT AVAILABLE","",J497))),10,IF(ISNUMBER(SEARCH("Navigational",IF(J497="NOT AVAILABLE","",J497))),0,12))))</f>
        <v/>
      </c>
      <c r="Q497">
        <f>IF(ISNUMBER(F497),MIN(30,ROUND(30*LOG10(F497+1)/4,1)),0)</f>
        <v/>
      </c>
      <c r="R497">
        <f>IF(ISNUMBER(G497),ROUND(25*(100-G497)/100,1),12.5)</f>
        <v/>
      </c>
      <c r="S497" t="n">
        <v>20</v>
      </c>
      <c r="T497">
        <f>ROUND(P497+Q497+R497+S497,0)</f>
        <v/>
      </c>
      <c r="U497" s="5" t="inlineStr"/>
      <c r="V497" s="5" t="inlineStr"/>
    </row>
    <row r="498">
      <c r="A498" t="inlineStr">
        <is>
          <t>K0496</t>
        </is>
      </c>
      <c r="B498" t="inlineStr">
        <is>
          <t>analyse maillage interne</t>
        </is>
      </c>
      <c r="C498" t="inlineStr">
        <is>
          <t>Morocco</t>
        </is>
      </c>
      <c r="D498" t="inlineStr">
        <is>
          <t>ma</t>
        </is>
      </c>
      <c r="E498" t="inlineStr">
        <is>
          <t>fr</t>
        </is>
      </c>
      <c r="F498" t="inlineStr">
        <is>
          <t>NOT AVAILABLE</t>
        </is>
      </c>
      <c r="G498" t="inlineStr">
        <is>
          <t>NOT AVAILABLE</t>
        </is>
      </c>
      <c r="H498" t="inlineStr">
        <is>
          <t>NOT AVAILABLE</t>
        </is>
      </c>
      <c r="I498" t="inlineStr">
        <is>
          <t>NOT AVAILABLE</t>
        </is>
      </c>
      <c r="J498" t="inlineStr">
        <is>
          <t>NOT AVAILABLE</t>
        </is>
      </c>
      <c r="K498" t="inlineStr">
        <is>
          <t>NOT AVAILABLE</t>
        </is>
      </c>
      <c r="L498" t="inlineStr">
        <is>
          <t>NOT AVAILABLE</t>
        </is>
      </c>
      <c r="M498" t="inlineStr">
        <is>
          <t>UNAVAILABLE</t>
        </is>
      </c>
      <c r="N498" s="5" t="inlineStr">
        <is>
          <t>Semrush phrase_these returned no data (not billed)</t>
        </is>
      </c>
      <c r="O498" t="inlineStr">
        <is>
          <t>2026-10-30</t>
        </is>
      </c>
      <c r="P498">
        <f>IF(IF(J498="NOT AVAILABLE","",J498)="",12,IF(OR(ISNUMBER(SEARCH("Transactional",IF(J498="NOT AVAILABLE","",J498))),ISNUMBER(SEARCH("Commercial",IF(J498="NOT AVAILABLE","",J498)))),25,IF(ISNUMBER(SEARCH("Informational",IF(J498="NOT AVAILABLE","",J498))),10,IF(ISNUMBER(SEARCH("Navigational",IF(J498="NOT AVAILABLE","",J498))),0,12))))</f>
        <v/>
      </c>
      <c r="Q498">
        <f>IF(ISNUMBER(F498),MIN(30,ROUND(30*LOG10(F498+1)/4,1)),0)</f>
        <v/>
      </c>
      <c r="R498">
        <f>IF(ISNUMBER(G498),ROUND(25*(100-G498)/100,1),12.5)</f>
        <v/>
      </c>
      <c r="S498" t="n">
        <v>20</v>
      </c>
      <c r="T498">
        <f>ROUND(P498+Q498+R498+S498,0)</f>
        <v/>
      </c>
      <c r="U498" s="5" t="inlineStr"/>
      <c r="V498" s="5" t="inlineStr"/>
    </row>
    <row r="499">
      <c r="A499" t="inlineStr">
        <is>
          <t>K0497</t>
        </is>
      </c>
      <c r="B499" t="inlineStr">
        <is>
          <t>analyse poids image</t>
        </is>
      </c>
      <c r="C499" t="inlineStr">
        <is>
          <t>Morocco</t>
        </is>
      </c>
      <c r="D499" t="inlineStr">
        <is>
          <t>ma</t>
        </is>
      </c>
      <c r="E499" t="inlineStr">
        <is>
          <t>fr</t>
        </is>
      </c>
      <c r="F499" t="inlineStr">
        <is>
          <t>NOT AVAILABLE</t>
        </is>
      </c>
      <c r="G499" t="inlineStr">
        <is>
          <t>NOT AVAILABLE</t>
        </is>
      </c>
      <c r="H499" t="inlineStr">
        <is>
          <t>NOT AVAILABLE</t>
        </is>
      </c>
      <c r="I499" t="inlineStr">
        <is>
          <t>NOT AVAILABLE</t>
        </is>
      </c>
      <c r="J499" t="inlineStr">
        <is>
          <t>NOT AVAILABLE</t>
        </is>
      </c>
      <c r="K499" t="inlineStr">
        <is>
          <t>NOT AVAILABLE</t>
        </is>
      </c>
      <c r="L499" t="inlineStr">
        <is>
          <t>NOT AVAILABLE</t>
        </is>
      </c>
      <c r="M499" t="inlineStr">
        <is>
          <t>UNAVAILABLE</t>
        </is>
      </c>
      <c r="N499" s="5" t="inlineStr">
        <is>
          <t>Semrush phrase_these returned no data (not billed)</t>
        </is>
      </c>
      <c r="O499" t="inlineStr">
        <is>
          <t>2026-10-30</t>
        </is>
      </c>
      <c r="P499">
        <f>IF(IF(J499="NOT AVAILABLE","",J499)="",12,IF(OR(ISNUMBER(SEARCH("Transactional",IF(J499="NOT AVAILABLE","",J499))),ISNUMBER(SEARCH("Commercial",IF(J499="NOT AVAILABLE","",J499)))),25,IF(ISNUMBER(SEARCH("Informational",IF(J499="NOT AVAILABLE","",J499))),10,IF(ISNUMBER(SEARCH("Navigational",IF(J499="NOT AVAILABLE","",J499))),0,12))))</f>
        <v/>
      </c>
      <c r="Q499">
        <f>IF(ISNUMBER(F499),MIN(30,ROUND(30*LOG10(F499+1)/4,1)),0)</f>
        <v/>
      </c>
      <c r="R499">
        <f>IF(ISNUMBER(G499),ROUND(25*(100-G499)/100,1),12.5)</f>
        <v/>
      </c>
      <c r="S499" t="n">
        <v>20</v>
      </c>
      <c r="T499">
        <f>ROUND(P499+Q499+R499+S499,0)</f>
        <v/>
      </c>
      <c r="U499" s="5" t="inlineStr"/>
      <c r="V499" s="5" t="inlineStr"/>
    </row>
    <row r="500">
      <c r="A500" t="inlineStr">
        <is>
          <t>K0498</t>
        </is>
      </c>
      <c r="B500" t="inlineStr">
        <is>
          <t>analyse seo en ligne gratuit</t>
        </is>
      </c>
      <c r="C500" t="inlineStr">
        <is>
          <t>Morocco</t>
        </is>
      </c>
      <c r="D500" t="inlineStr">
        <is>
          <t>ma</t>
        </is>
      </c>
      <c r="E500" t="inlineStr">
        <is>
          <t>fr</t>
        </is>
      </c>
      <c r="F500" t="n">
        <v>0</v>
      </c>
      <c r="G500" t="inlineStr">
        <is>
          <t>NOT AVAILABLE</t>
        </is>
      </c>
      <c r="H500" t="n">
        <v>0</v>
      </c>
      <c r="I500" t="n">
        <v>0</v>
      </c>
      <c r="J500" t="inlineStr">
        <is>
          <t>NOT AVAILABLE</t>
        </is>
      </c>
      <c r="K500" t="inlineStr">
        <is>
          <t>NOT AVAILABLE (report not requested)</t>
        </is>
      </c>
      <c r="L500" t="inlineStr">
        <is>
          <t>flat (no data)</t>
        </is>
      </c>
      <c r="M500" t="inlineStr">
        <is>
          <t>MEASURED</t>
        </is>
      </c>
      <c r="N500" s="5" t="inlineStr">
        <is>
          <t>Semrush phrase_these (historical w3-validate-G-tools.csv)</t>
        </is>
      </c>
      <c r="O500" t="inlineStr">
        <is>
          <t>2026-10-27</t>
        </is>
      </c>
      <c r="P500">
        <f>IF(IF(J500="NOT AVAILABLE","",J500)="",12,IF(OR(ISNUMBER(SEARCH("Transactional",IF(J500="NOT AVAILABLE","",J500))),ISNUMBER(SEARCH("Commercial",IF(J500="NOT AVAILABLE","",J500)))),25,IF(ISNUMBER(SEARCH("Informational",IF(J500="NOT AVAILABLE","",J500))),10,IF(ISNUMBER(SEARCH("Navigational",IF(J500="NOT AVAILABLE","",J500))),0,12))))</f>
        <v/>
      </c>
      <c r="Q500">
        <f>IF(ISNUMBER(F500),MIN(30,ROUND(30*LOG10(F500+1)/4,1)),0)</f>
        <v/>
      </c>
      <c r="R500">
        <f>IF(ISNUMBER(G500),ROUND(25*(100-G500)/100,1),12.5)</f>
        <v/>
      </c>
      <c r="S500" t="n">
        <v>20</v>
      </c>
      <c r="T500">
        <f>ROUND(P500+Q500+R500+S500,0)</f>
        <v/>
      </c>
      <c r="U500" s="5" t="inlineStr"/>
      <c r="V500" s="5" t="inlineStr"/>
    </row>
    <row r="501">
      <c r="A501" t="inlineStr">
        <is>
          <t>K0499</t>
        </is>
      </c>
      <c r="B501" t="inlineStr">
        <is>
          <t>annonce immobilière seo</t>
        </is>
      </c>
      <c r="C501" t="inlineStr">
        <is>
          <t>Morocco</t>
        </is>
      </c>
      <c r="D501" t="inlineStr">
        <is>
          <t>ma</t>
        </is>
      </c>
      <c r="E501" t="inlineStr">
        <is>
          <t>fr</t>
        </is>
      </c>
      <c r="F501" t="inlineStr">
        <is>
          <t>NOT AVAILABLE</t>
        </is>
      </c>
      <c r="G501" t="inlineStr">
        <is>
          <t>NOT AVAILABLE</t>
        </is>
      </c>
      <c r="H501" t="inlineStr">
        <is>
          <t>NOT AVAILABLE</t>
        </is>
      </c>
      <c r="I501" t="inlineStr">
        <is>
          <t>NOT AVAILABLE</t>
        </is>
      </c>
      <c r="J501" t="inlineStr">
        <is>
          <t>NOT AVAILABLE</t>
        </is>
      </c>
      <c r="K501" t="inlineStr">
        <is>
          <t>NOT AVAILABLE</t>
        </is>
      </c>
      <c r="L501" t="inlineStr">
        <is>
          <t>NOT AVAILABLE</t>
        </is>
      </c>
      <c r="M501" t="inlineStr">
        <is>
          <t>UNAVAILABLE</t>
        </is>
      </c>
      <c r="N501" s="5" t="inlineStr">
        <is>
          <t>Semrush phrase_these returned no data (not billed)</t>
        </is>
      </c>
      <c r="O501" t="inlineStr">
        <is>
          <t>2026-10-30</t>
        </is>
      </c>
      <c r="P501">
        <f>IF(IF(J501="NOT AVAILABLE","",J501)="",12,IF(OR(ISNUMBER(SEARCH("Transactional",IF(J501="NOT AVAILABLE","",J501))),ISNUMBER(SEARCH("Commercial",IF(J501="NOT AVAILABLE","",J501)))),25,IF(ISNUMBER(SEARCH("Informational",IF(J501="NOT AVAILABLE","",J501))),10,IF(ISNUMBER(SEARCH("Navigational",IF(J501="NOT AVAILABLE","",J501))),0,12))))</f>
        <v/>
      </c>
      <c r="Q501">
        <f>IF(ISNUMBER(F501),MIN(30,ROUND(30*LOG10(F501+1)/4,1)),0)</f>
        <v/>
      </c>
      <c r="R501">
        <f>IF(ISNUMBER(G501),ROUND(25*(100-G501)/100,1),12.5)</f>
        <v/>
      </c>
      <c r="S501" t="n">
        <v>20</v>
      </c>
      <c r="T501">
        <f>ROUND(P501+Q501+R501+S501,0)</f>
        <v/>
      </c>
      <c r="U501" s="5" t="inlineStr"/>
      <c r="V501" s="5" t="inlineStr"/>
    </row>
    <row r="502">
      <c r="A502" t="inlineStr">
        <is>
          <t>K0500</t>
        </is>
      </c>
      <c r="B502" t="inlineStr">
        <is>
          <t>aperçu open graph</t>
        </is>
      </c>
      <c r="C502" t="inlineStr">
        <is>
          <t>Morocco</t>
        </is>
      </c>
      <c r="D502" t="inlineStr">
        <is>
          <t>ma</t>
        </is>
      </c>
      <c r="E502" t="inlineStr">
        <is>
          <t>fr</t>
        </is>
      </c>
      <c r="F502" t="inlineStr">
        <is>
          <t>NOT AVAILABLE</t>
        </is>
      </c>
      <c r="G502" t="inlineStr">
        <is>
          <t>NOT AVAILABLE</t>
        </is>
      </c>
      <c r="H502" t="inlineStr">
        <is>
          <t>NOT AVAILABLE</t>
        </is>
      </c>
      <c r="I502" t="inlineStr">
        <is>
          <t>NOT AVAILABLE</t>
        </is>
      </c>
      <c r="J502" t="inlineStr">
        <is>
          <t>NOT AVAILABLE</t>
        </is>
      </c>
      <c r="K502" t="inlineStr">
        <is>
          <t>NOT AVAILABLE</t>
        </is>
      </c>
      <c r="L502" t="inlineStr">
        <is>
          <t>NOT AVAILABLE</t>
        </is>
      </c>
      <c r="M502" t="inlineStr">
        <is>
          <t>UNAVAILABLE</t>
        </is>
      </c>
      <c r="N502" s="5" t="inlineStr">
        <is>
          <t>Semrush phrase_these returned no data (not billed)</t>
        </is>
      </c>
      <c r="O502" t="inlineStr">
        <is>
          <t>2026-10-30</t>
        </is>
      </c>
      <c r="P502">
        <f>IF(IF(J502="NOT AVAILABLE","",J502)="",12,IF(OR(ISNUMBER(SEARCH("Transactional",IF(J502="NOT AVAILABLE","",J502))),ISNUMBER(SEARCH("Commercial",IF(J502="NOT AVAILABLE","",J502)))),25,IF(ISNUMBER(SEARCH("Informational",IF(J502="NOT AVAILABLE","",J502))),10,IF(ISNUMBER(SEARCH("Navigational",IF(J502="NOT AVAILABLE","",J502))),0,12))))</f>
        <v/>
      </c>
      <c r="Q502">
        <f>IF(ISNUMBER(F502),MIN(30,ROUND(30*LOG10(F502+1)/4,1)),0)</f>
        <v/>
      </c>
      <c r="R502">
        <f>IF(ISNUMBER(G502),ROUND(25*(100-G502)/100,1),12.5)</f>
        <v/>
      </c>
      <c r="S502" t="n">
        <v>20</v>
      </c>
      <c r="T502">
        <f>ROUND(P502+Q502+R502+S502,0)</f>
        <v/>
      </c>
      <c r="U502" s="5" t="inlineStr"/>
      <c r="V502" s="5" t="inlineStr"/>
    </row>
    <row r="503">
      <c r="A503" t="inlineStr">
        <is>
          <t>K0501</t>
        </is>
      </c>
      <c r="B503" t="inlineStr">
        <is>
          <t>aperçu serp</t>
        </is>
      </c>
      <c r="C503" t="inlineStr">
        <is>
          <t>Morocco</t>
        </is>
      </c>
      <c r="D503" t="inlineStr">
        <is>
          <t>ma</t>
        </is>
      </c>
      <c r="E503" t="inlineStr">
        <is>
          <t>fr</t>
        </is>
      </c>
      <c r="F503" t="inlineStr">
        <is>
          <t>NOT AVAILABLE</t>
        </is>
      </c>
      <c r="G503" t="inlineStr">
        <is>
          <t>NOT AVAILABLE</t>
        </is>
      </c>
      <c r="H503" t="inlineStr">
        <is>
          <t>NOT AVAILABLE</t>
        </is>
      </c>
      <c r="I503" t="inlineStr">
        <is>
          <t>NOT AVAILABLE</t>
        </is>
      </c>
      <c r="J503" t="inlineStr">
        <is>
          <t>NOT AVAILABLE</t>
        </is>
      </c>
      <c r="K503" t="inlineStr">
        <is>
          <t>NOT AVAILABLE</t>
        </is>
      </c>
      <c r="L503" t="inlineStr">
        <is>
          <t>NOT AVAILABLE</t>
        </is>
      </c>
      <c r="M503" t="inlineStr">
        <is>
          <t>UNAVAILABLE</t>
        </is>
      </c>
      <c r="N503" s="5" t="inlineStr">
        <is>
          <t>Semrush phrase_these returned no data (not billed)</t>
        </is>
      </c>
      <c r="O503" t="inlineStr">
        <is>
          <t>2026-10-30</t>
        </is>
      </c>
      <c r="P503">
        <f>IF(IF(J503="NOT AVAILABLE","",J503)="",12,IF(OR(ISNUMBER(SEARCH("Transactional",IF(J503="NOT AVAILABLE","",J503))),ISNUMBER(SEARCH("Commercial",IF(J503="NOT AVAILABLE","",J503)))),25,IF(ISNUMBER(SEARCH("Informational",IF(J503="NOT AVAILABLE","",J503))),10,IF(ISNUMBER(SEARCH("Navigational",IF(J503="NOT AVAILABLE","",J503))),0,12))))</f>
        <v/>
      </c>
      <c r="Q503">
        <f>IF(ISNUMBER(F503),MIN(30,ROUND(30*LOG10(F503+1)/4,1)),0)</f>
        <v/>
      </c>
      <c r="R503">
        <f>IF(ISNUMBER(G503),ROUND(25*(100-G503)/100,1),12.5)</f>
        <v/>
      </c>
      <c r="S503" t="n">
        <v>20</v>
      </c>
      <c r="T503">
        <f>ROUND(P503+Q503+R503+S503,0)</f>
        <v/>
      </c>
      <c r="U503" s="5" t="inlineStr"/>
      <c r="V503" s="5" t="inlineStr"/>
    </row>
    <row r="504">
      <c r="A504" t="inlineStr">
        <is>
          <t>K0502</t>
        </is>
      </c>
      <c r="B504" t="inlineStr">
        <is>
          <t>application fintech</t>
        </is>
      </c>
      <c r="C504" t="inlineStr">
        <is>
          <t>Morocco</t>
        </is>
      </c>
      <c r="D504" t="inlineStr">
        <is>
          <t>ma</t>
        </is>
      </c>
      <c r="E504" t="inlineStr">
        <is>
          <t>fr</t>
        </is>
      </c>
      <c r="F504" t="inlineStr">
        <is>
          <t>NOT AVAILABLE</t>
        </is>
      </c>
      <c r="G504" t="inlineStr">
        <is>
          <t>NOT AVAILABLE</t>
        </is>
      </c>
      <c r="H504" t="inlineStr">
        <is>
          <t>NOT AVAILABLE</t>
        </is>
      </c>
      <c r="I504" t="inlineStr">
        <is>
          <t>NOT AVAILABLE</t>
        </is>
      </c>
      <c r="J504" t="inlineStr">
        <is>
          <t>NOT AVAILABLE</t>
        </is>
      </c>
      <c r="K504" t="inlineStr">
        <is>
          <t>NOT AVAILABLE</t>
        </is>
      </c>
      <c r="L504" t="inlineStr">
        <is>
          <t>NOT AVAILABLE</t>
        </is>
      </c>
      <c r="M504" t="inlineStr">
        <is>
          <t>UNAVAILABLE</t>
        </is>
      </c>
      <c r="N504" s="5" t="inlineStr">
        <is>
          <t>Semrush phrase_these returned no data (not billed)</t>
        </is>
      </c>
      <c r="O504" t="inlineStr">
        <is>
          <t>2026-10-30</t>
        </is>
      </c>
      <c r="P504">
        <f>IF(IF(J504="NOT AVAILABLE","",J504)="",12,IF(OR(ISNUMBER(SEARCH("Transactional",IF(J504="NOT AVAILABLE","",J504))),ISNUMBER(SEARCH("Commercial",IF(J504="NOT AVAILABLE","",J504)))),25,IF(ISNUMBER(SEARCH("Informational",IF(J504="NOT AVAILABLE","",J504))),10,IF(ISNUMBER(SEARCH("Navigational",IF(J504="NOT AVAILABLE","",J504))),0,12))))</f>
        <v/>
      </c>
      <c r="Q504">
        <f>IF(ISNUMBER(F504),MIN(30,ROUND(30*LOG10(F504+1)/4,1)),0)</f>
        <v/>
      </c>
      <c r="R504">
        <f>IF(ISNUMBER(G504),ROUND(25*(100-G504)/100,1),12.5)</f>
        <v/>
      </c>
      <c r="S504" t="n">
        <v>20</v>
      </c>
      <c r="T504">
        <f>ROUND(P504+Q504+R504+S504,0)</f>
        <v/>
      </c>
      <c r="U504" s="5" t="inlineStr"/>
      <c r="V504" s="5" t="inlineStr"/>
    </row>
    <row r="505">
      <c r="A505" t="inlineStr">
        <is>
          <t>K0503</t>
        </is>
      </c>
      <c r="B505" t="inlineStr">
        <is>
          <t>application télémédecine</t>
        </is>
      </c>
      <c r="C505" t="inlineStr">
        <is>
          <t>Morocco</t>
        </is>
      </c>
      <c r="D505" t="inlineStr">
        <is>
          <t>ma</t>
        </is>
      </c>
      <c r="E505" t="inlineStr">
        <is>
          <t>fr</t>
        </is>
      </c>
      <c r="F505" t="inlineStr">
        <is>
          <t>NOT AVAILABLE</t>
        </is>
      </c>
      <c r="G505" t="inlineStr">
        <is>
          <t>NOT AVAILABLE</t>
        </is>
      </c>
      <c r="H505" t="inlineStr">
        <is>
          <t>NOT AVAILABLE</t>
        </is>
      </c>
      <c r="I505" t="inlineStr">
        <is>
          <t>NOT AVAILABLE</t>
        </is>
      </c>
      <c r="J505" t="inlineStr">
        <is>
          <t>NOT AVAILABLE</t>
        </is>
      </c>
      <c r="K505" t="inlineStr">
        <is>
          <t>NOT AVAILABLE</t>
        </is>
      </c>
      <c r="L505" t="inlineStr">
        <is>
          <t>NOT AVAILABLE</t>
        </is>
      </c>
      <c r="M505" t="inlineStr">
        <is>
          <t>UNAVAILABLE</t>
        </is>
      </c>
      <c r="N505" s="5" t="inlineStr">
        <is>
          <t>Semrush phrase_these returned no data (not billed)</t>
        </is>
      </c>
      <c r="O505" t="inlineStr">
        <is>
          <t>2026-10-30</t>
        </is>
      </c>
      <c r="P505">
        <f>IF(IF(J505="NOT AVAILABLE","",J505)="",12,IF(OR(ISNUMBER(SEARCH("Transactional",IF(J505="NOT AVAILABLE","",J505))),ISNUMBER(SEARCH("Commercial",IF(J505="NOT AVAILABLE","",J505)))),25,IF(ISNUMBER(SEARCH("Informational",IF(J505="NOT AVAILABLE","",J505))),10,IF(ISNUMBER(SEARCH("Navigational",IF(J505="NOT AVAILABLE","",J505))),0,12))))</f>
        <v/>
      </c>
      <c r="Q505">
        <f>IF(ISNUMBER(F505),MIN(30,ROUND(30*LOG10(F505+1)/4,1)),0)</f>
        <v/>
      </c>
      <c r="R505">
        <f>IF(ISNUMBER(G505),ROUND(25*(100-G505)/100,1),12.5)</f>
        <v/>
      </c>
      <c r="S505" t="n">
        <v>20</v>
      </c>
      <c r="T505">
        <f>ROUND(P505+Q505+R505+S505,0)</f>
        <v/>
      </c>
      <c r="U505" s="5" t="inlineStr"/>
      <c r="V505" s="5" t="inlineStr"/>
    </row>
    <row r="506">
      <c r="A506" t="inlineStr">
        <is>
          <t>K0504</t>
        </is>
      </c>
      <c r="B506" t="inlineStr">
        <is>
          <t>application web sur mesure</t>
        </is>
      </c>
      <c r="C506" t="inlineStr">
        <is>
          <t>Morocco</t>
        </is>
      </c>
      <c r="D506" t="inlineStr">
        <is>
          <t>ma</t>
        </is>
      </c>
      <c r="E506" t="inlineStr">
        <is>
          <t>fr</t>
        </is>
      </c>
      <c r="F506" t="inlineStr">
        <is>
          <t>NOT AVAILABLE</t>
        </is>
      </c>
      <c r="G506" t="inlineStr">
        <is>
          <t>NOT AVAILABLE</t>
        </is>
      </c>
      <c r="H506" t="inlineStr">
        <is>
          <t>NOT AVAILABLE</t>
        </is>
      </c>
      <c r="I506" t="inlineStr">
        <is>
          <t>NOT AVAILABLE</t>
        </is>
      </c>
      <c r="J506" t="inlineStr">
        <is>
          <t>NOT AVAILABLE</t>
        </is>
      </c>
      <c r="K506" t="inlineStr">
        <is>
          <t>NOT AVAILABLE</t>
        </is>
      </c>
      <c r="L506" t="inlineStr">
        <is>
          <t>NOT AVAILABLE</t>
        </is>
      </c>
      <c r="M506" t="inlineStr">
        <is>
          <t>UNAVAILABLE</t>
        </is>
      </c>
      <c r="N506" s="5" t="inlineStr">
        <is>
          <t>Semrush phrase_these returned no data (not billed)</t>
        </is>
      </c>
      <c r="O506" t="inlineStr">
        <is>
          <t>2026-10-30</t>
        </is>
      </c>
      <c r="P506">
        <f>IF(IF(J506="NOT AVAILABLE","",J506)="",12,IF(OR(ISNUMBER(SEARCH("Transactional",IF(J506="NOT AVAILABLE","",J506))),ISNUMBER(SEARCH("Commercial",IF(J506="NOT AVAILABLE","",J506)))),25,IF(ISNUMBER(SEARCH("Informational",IF(J506="NOT AVAILABLE","",J506))),10,IF(ISNUMBER(SEARCH("Navigational",IF(J506="NOT AVAILABLE","",J506))),0,12))))</f>
        <v/>
      </c>
      <c r="Q506">
        <f>IF(ISNUMBER(F506),MIN(30,ROUND(30*LOG10(F506+1)/4,1)),0)</f>
        <v/>
      </c>
      <c r="R506">
        <f>IF(ISNUMBER(G506),ROUND(25*(100-G506)/100,1),12.5)</f>
        <v/>
      </c>
      <c r="S506" t="n">
        <v>20</v>
      </c>
      <c r="T506">
        <f>ROUND(P506+Q506+R506+S506,0)</f>
        <v/>
      </c>
      <c r="U506" s="5" t="inlineStr"/>
      <c r="V506" s="5" t="inlineStr"/>
    </row>
    <row r="507">
      <c r="A507" t="inlineStr">
        <is>
          <t>K0505</t>
        </is>
      </c>
      <c r="B507" t="inlineStr">
        <is>
          <t>architecture multi tenant</t>
        </is>
      </c>
      <c r="C507" t="inlineStr">
        <is>
          <t>Morocco</t>
        </is>
      </c>
      <c r="D507" t="inlineStr">
        <is>
          <t>ma</t>
        </is>
      </c>
      <c r="E507" t="inlineStr">
        <is>
          <t>fr</t>
        </is>
      </c>
      <c r="F507" t="inlineStr">
        <is>
          <t>NOT AVAILABLE</t>
        </is>
      </c>
      <c r="G507" t="inlineStr">
        <is>
          <t>NOT AVAILABLE</t>
        </is>
      </c>
      <c r="H507" t="inlineStr">
        <is>
          <t>NOT AVAILABLE</t>
        </is>
      </c>
      <c r="I507" t="inlineStr">
        <is>
          <t>NOT AVAILABLE</t>
        </is>
      </c>
      <c r="J507" t="inlineStr">
        <is>
          <t>NOT AVAILABLE</t>
        </is>
      </c>
      <c r="K507" t="inlineStr">
        <is>
          <t>NOT AVAILABLE</t>
        </is>
      </c>
      <c r="L507" t="inlineStr">
        <is>
          <t>NOT AVAILABLE</t>
        </is>
      </c>
      <c r="M507" t="inlineStr">
        <is>
          <t>UNAVAILABLE</t>
        </is>
      </c>
      <c r="N507" s="5" t="inlineStr">
        <is>
          <t>Semrush phrase_these returned no data (not billed)</t>
        </is>
      </c>
      <c r="O507" t="inlineStr">
        <is>
          <t>2026-10-30</t>
        </is>
      </c>
      <c r="P507">
        <f>IF(IF(J507="NOT AVAILABLE","",J507)="",12,IF(OR(ISNUMBER(SEARCH("Transactional",IF(J507="NOT AVAILABLE","",J507))),ISNUMBER(SEARCH("Commercial",IF(J507="NOT AVAILABLE","",J507)))),25,IF(ISNUMBER(SEARCH("Informational",IF(J507="NOT AVAILABLE","",J507))),10,IF(ISNUMBER(SEARCH("Navigational",IF(J507="NOT AVAILABLE","",J507))),0,12))))</f>
        <v/>
      </c>
      <c r="Q507">
        <f>IF(ISNUMBER(F507),MIN(30,ROUND(30*LOG10(F507+1)/4,1)),0)</f>
        <v/>
      </c>
      <c r="R507">
        <f>IF(ISNUMBER(G507),ROUND(25*(100-G507)/100,1),12.5)</f>
        <v/>
      </c>
      <c r="S507" t="n">
        <v>20</v>
      </c>
      <c r="T507">
        <f>ROUND(P507+Q507+R507+S507,0)</f>
        <v/>
      </c>
      <c r="U507" s="5" t="inlineStr"/>
      <c r="V507" s="5" t="inlineStr"/>
    </row>
    <row r="508">
      <c r="A508" t="inlineStr">
        <is>
          <t>K0506</t>
        </is>
      </c>
      <c r="B508" t="inlineStr">
        <is>
          <t>audit seo maroc</t>
        </is>
      </c>
      <c r="C508" t="inlineStr">
        <is>
          <t>Morocco</t>
        </is>
      </c>
      <c r="D508" t="inlineStr">
        <is>
          <t>ma</t>
        </is>
      </c>
      <c r="E508" t="inlineStr">
        <is>
          <t>fr</t>
        </is>
      </c>
      <c r="F508" t="inlineStr">
        <is>
          <t>NOT AVAILABLE</t>
        </is>
      </c>
      <c r="G508" t="inlineStr">
        <is>
          <t>NOT AVAILABLE</t>
        </is>
      </c>
      <c r="H508" t="inlineStr">
        <is>
          <t>NOT AVAILABLE</t>
        </is>
      </c>
      <c r="I508" t="inlineStr">
        <is>
          <t>NOT AVAILABLE</t>
        </is>
      </c>
      <c r="J508" t="inlineStr">
        <is>
          <t>NOT AVAILABLE</t>
        </is>
      </c>
      <c r="K508" t="inlineStr">
        <is>
          <t>NOT AVAILABLE</t>
        </is>
      </c>
      <c r="L508" t="inlineStr">
        <is>
          <t>NOT AVAILABLE</t>
        </is>
      </c>
      <c r="M508" t="inlineStr">
        <is>
          <t>UNAVAILABLE</t>
        </is>
      </c>
      <c r="N508" s="5" t="inlineStr">
        <is>
          <t>Semrush phrase_these returned no data (not billed)</t>
        </is>
      </c>
      <c r="O508" t="inlineStr">
        <is>
          <t>2026-10-30</t>
        </is>
      </c>
      <c r="P508">
        <f>IF(IF(J508="NOT AVAILABLE","",J508)="",12,IF(OR(ISNUMBER(SEARCH("Transactional",IF(J508="NOT AVAILABLE","",J508))),ISNUMBER(SEARCH("Commercial",IF(J508="NOT AVAILABLE","",J508)))),25,IF(ISNUMBER(SEARCH("Informational",IF(J508="NOT AVAILABLE","",J508))),10,IF(ISNUMBER(SEARCH("Navigational",IF(J508="NOT AVAILABLE","",J508))),0,12))))</f>
        <v/>
      </c>
      <c r="Q508">
        <f>IF(ISNUMBER(F508),MIN(30,ROUND(30*LOG10(F508+1)/4,1)),0)</f>
        <v/>
      </c>
      <c r="R508">
        <f>IF(ISNUMBER(G508),ROUND(25*(100-G508)/100,1),12.5)</f>
        <v/>
      </c>
      <c r="S508" t="n">
        <v>20</v>
      </c>
      <c r="T508">
        <f>ROUND(P508+Q508+R508+S508,0)</f>
        <v/>
      </c>
      <c r="U508" s="5" t="inlineStr"/>
      <c r="V508" s="5" t="inlineStr"/>
    </row>
    <row r="509">
      <c r="A509" t="inlineStr">
        <is>
          <t>K0507</t>
        </is>
      </c>
      <c r="B509" t="inlineStr">
        <is>
          <t>autorité de domaine</t>
        </is>
      </c>
      <c r="C509" t="inlineStr">
        <is>
          <t>Morocco</t>
        </is>
      </c>
      <c r="D509" t="inlineStr">
        <is>
          <t>ma</t>
        </is>
      </c>
      <c r="E509" t="inlineStr">
        <is>
          <t>fr</t>
        </is>
      </c>
      <c r="F509" t="inlineStr">
        <is>
          <t>NOT AVAILABLE</t>
        </is>
      </c>
      <c r="G509" t="inlineStr">
        <is>
          <t>NOT AVAILABLE</t>
        </is>
      </c>
      <c r="H509" t="inlineStr">
        <is>
          <t>NOT AVAILABLE</t>
        </is>
      </c>
      <c r="I509" t="inlineStr">
        <is>
          <t>NOT AVAILABLE</t>
        </is>
      </c>
      <c r="J509" t="inlineStr">
        <is>
          <t>NOT AVAILABLE</t>
        </is>
      </c>
      <c r="K509" t="inlineStr">
        <is>
          <t>NOT AVAILABLE</t>
        </is>
      </c>
      <c r="L509" t="inlineStr">
        <is>
          <t>NOT AVAILABLE</t>
        </is>
      </c>
      <c r="M509" t="inlineStr">
        <is>
          <t>UNAVAILABLE</t>
        </is>
      </c>
      <c r="N509" s="5" t="inlineStr">
        <is>
          <t>Semrush phrase_these returned no data (not billed)</t>
        </is>
      </c>
      <c r="O509" t="inlineStr">
        <is>
          <t>2026-10-30</t>
        </is>
      </c>
      <c r="P509">
        <f>IF(IF(J509="NOT AVAILABLE","",J509)="",12,IF(OR(ISNUMBER(SEARCH("Transactional",IF(J509="NOT AVAILABLE","",J509))),ISNUMBER(SEARCH("Commercial",IF(J509="NOT AVAILABLE","",J509)))),25,IF(ISNUMBER(SEARCH("Informational",IF(J509="NOT AVAILABLE","",J509))),10,IF(ISNUMBER(SEARCH("Navigational",IF(J509="NOT AVAILABLE","",J509))),0,12))))</f>
        <v/>
      </c>
      <c r="Q509">
        <f>IF(ISNUMBER(F509),MIN(30,ROUND(30*LOG10(F509+1)/4,1)),0)</f>
        <v/>
      </c>
      <c r="R509">
        <f>IF(ISNUMBER(G509),ROUND(25*(100-G509)/100,1),12.5)</f>
        <v/>
      </c>
      <c r="S509" t="n">
        <v>20</v>
      </c>
      <c r="T509">
        <f>ROUND(P509+Q509+R509+S509,0)</f>
        <v/>
      </c>
      <c r="U509" s="5" t="inlineStr"/>
      <c r="V509" s="5" t="inlineStr"/>
    </row>
    <row r="510">
      <c r="A510" t="inlineStr">
        <is>
          <t>K0508</t>
        </is>
      </c>
      <c r="B510" t="inlineStr">
        <is>
          <t>balise canonical</t>
        </is>
      </c>
      <c r="C510" t="inlineStr">
        <is>
          <t>Morocco</t>
        </is>
      </c>
      <c r="D510" t="inlineStr">
        <is>
          <t>ma</t>
        </is>
      </c>
      <c r="E510" t="inlineStr">
        <is>
          <t>fr</t>
        </is>
      </c>
      <c r="F510" t="inlineStr">
        <is>
          <t>NOT AVAILABLE</t>
        </is>
      </c>
      <c r="G510" t="inlineStr">
        <is>
          <t>NOT AVAILABLE</t>
        </is>
      </c>
      <c r="H510" t="inlineStr">
        <is>
          <t>NOT AVAILABLE</t>
        </is>
      </c>
      <c r="I510" t="inlineStr">
        <is>
          <t>NOT AVAILABLE</t>
        </is>
      </c>
      <c r="J510" t="inlineStr">
        <is>
          <t>NOT AVAILABLE</t>
        </is>
      </c>
      <c r="K510" t="inlineStr">
        <is>
          <t>NOT AVAILABLE</t>
        </is>
      </c>
      <c r="L510" t="inlineStr">
        <is>
          <t>NOT AVAILABLE</t>
        </is>
      </c>
      <c r="M510" t="inlineStr">
        <is>
          <t>UNAVAILABLE</t>
        </is>
      </c>
      <c r="N510" s="5" t="inlineStr">
        <is>
          <t>Semrush phrase_these returned no data (not billed)</t>
        </is>
      </c>
      <c r="O510" t="inlineStr">
        <is>
          <t>2026-10-30</t>
        </is>
      </c>
      <c r="P510">
        <f>IF(IF(J510="NOT AVAILABLE","",J510)="",12,IF(OR(ISNUMBER(SEARCH("Transactional",IF(J510="NOT AVAILABLE","",J510))),ISNUMBER(SEARCH("Commercial",IF(J510="NOT AVAILABLE","",J510)))),25,IF(ISNUMBER(SEARCH("Informational",IF(J510="NOT AVAILABLE","",J510))),10,IF(ISNUMBER(SEARCH("Navigational",IF(J510="NOT AVAILABLE","",J510))),0,12))))</f>
        <v/>
      </c>
      <c r="Q510">
        <f>IF(ISNUMBER(F510),MIN(30,ROUND(30*LOG10(F510+1)/4,1)),0)</f>
        <v/>
      </c>
      <c r="R510">
        <f>IF(ISNUMBER(G510),ROUND(25*(100-G510)/100,1),12.5)</f>
        <v/>
      </c>
      <c r="S510" t="n">
        <v>20</v>
      </c>
      <c r="T510">
        <f>ROUND(P510+Q510+R510+S510,0)</f>
        <v/>
      </c>
      <c r="U510" s="5" t="inlineStr"/>
      <c r="V510" s="5" t="inlineStr"/>
    </row>
    <row r="511">
      <c r="A511" t="inlineStr">
        <is>
          <t>K0509</t>
        </is>
      </c>
      <c r="B511" t="inlineStr">
        <is>
          <t>balise meta refresh</t>
        </is>
      </c>
      <c r="C511" t="inlineStr">
        <is>
          <t>Morocco</t>
        </is>
      </c>
      <c r="D511" t="inlineStr">
        <is>
          <t>ma</t>
        </is>
      </c>
      <c r="E511" t="inlineStr">
        <is>
          <t>fr</t>
        </is>
      </c>
      <c r="F511" t="inlineStr">
        <is>
          <t>NOT AVAILABLE</t>
        </is>
      </c>
      <c r="G511" t="inlineStr">
        <is>
          <t>NOT AVAILABLE</t>
        </is>
      </c>
      <c r="H511" t="inlineStr">
        <is>
          <t>NOT AVAILABLE</t>
        </is>
      </c>
      <c r="I511" t="inlineStr">
        <is>
          <t>NOT AVAILABLE</t>
        </is>
      </c>
      <c r="J511" t="inlineStr">
        <is>
          <t>NOT AVAILABLE</t>
        </is>
      </c>
      <c r="K511" t="inlineStr">
        <is>
          <t>NOT AVAILABLE</t>
        </is>
      </c>
      <c r="L511" t="inlineStr">
        <is>
          <t>NOT AVAILABLE</t>
        </is>
      </c>
      <c r="M511" t="inlineStr">
        <is>
          <t>UNAVAILABLE</t>
        </is>
      </c>
      <c r="N511" s="5" t="inlineStr">
        <is>
          <t>Semrush phrase_these returned no data (not billed)</t>
        </is>
      </c>
      <c r="O511" t="inlineStr">
        <is>
          <t>2026-10-30</t>
        </is>
      </c>
      <c r="P511">
        <f>IF(IF(J511="NOT AVAILABLE","",J511)="",12,IF(OR(ISNUMBER(SEARCH("Transactional",IF(J511="NOT AVAILABLE","",J511))),ISNUMBER(SEARCH("Commercial",IF(J511="NOT AVAILABLE","",J511)))),25,IF(ISNUMBER(SEARCH("Informational",IF(J511="NOT AVAILABLE","",J511))),10,IF(ISNUMBER(SEARCH("Navigational",IF(J511="NOT AVAILABLE","",J511))),0,12))))</f>
        <v/>
      </c>
      <c r="Q511">
        <f>IF(ISNUMBER(F511),MIN(30,ROUND(30*LOG10(F511+1)/4,1)),0)</f>
        <v/>
      </c>
      <c r="R511">
        <f>IF(ISNUMBER(G511),ROUND(25*(100-G511)/100,1),12.5)</f>
        <v/>
      </c>
      <c r="S511" t="n">
        <v>20</v>
      </c>
      <c r="T511">
        <f>ROUND(P511+Q511+R511+S511,0)</f>
        <v/>
      </c>
      <c r="U511" s="5" t="inlineStr"/>
      <c r="V511" s="5" t="inlineStr"/>
    </row>
    <row r="512">
      <c r="A512" t="inlineStr">
        <is>
          <t>K0510</t>
        </is>
      </c>
      <c r="B512" t="inlineStr">
        <is>
          <t>balises hn seo</t>
        </is>
      </c>
      <c r="C512" t="inlineStr">
        <is>
          <t>Morocco</t>
        </is>
      </c>
      <c r="D512" t="inlineStr">
        <is>
          <t>ma</t>
        </is>
      </c>
      <c r="E512" t="inlineStr">
        <is>
          <t>fr</t>
        </is>
      </c>
      <c r="F512" t="inlineStr">
        <is>
          <t>NOT AVAILABLE</t>
        </is>
      </c>
      <c r="G512" t="inlineStr">
        <is>
          <t>NOT AVAILABLE</t>
        </is>
      </c>
      <c r="H512" t="inlineStr">
        <is>
          <t>NOT AVAILABLE</t>
        </is>
      </c>
      <c r="I512" t="inlineStr">
        <is>
          <t>NOT AVAILABLE</t>
        </is>
      </c>
      <c r="J512" t="inlineStr">
        <is>
          <t>NOT AVAILABLE</t>
        </is>
      </c>
      <c r="K512" t="inlineStr">
        <is>
          <t>NOT AVAILABLE</t>
        </is>
      </c>
      <c r="L512" t="inlineStr">
        <is>
          <t>NOT AVAILABLE</t>
        </is>
      </c>
      <c r="M512" t="inlineStr">
        <is>
          <t>UNAVAILABLE</t>
        </is>
      </c>
      <c r="N512" s="5" t="inlineStr">
        <is>
          <t>Semrush phrase_these returned no data (not billed)</t>
        </is>
      </c>
      <c r="O512" t="inlineStr">
        <is>
          <t>2026-10-30</t>
        </is>
      </c>
      <c r="P512">
        <f>IF(IF(J512="NOT AVAILABLE","",J512)="",12,IF(OR(ISNUMBER(SEARCH("Transactional",IF(J512="NOT AVAILABLE","",J512))),ISNUMBER(SEARCH("Commercial",IF(J512="NOT AVAILABLE","",J512)))),25,IF(ISNUMBER(SEARCH("Informational",IF(J512="NOT AVAILABLE","",J512))),10,IF(ISNUMBER(SEARCH("Navigational",IF(J512="NOT AVAILABLE","",J512))),0,12))))</f>
        <v/>
      </c>
      <c r="Q512">
        <f>IF(ISNUMBER(F512),MIN(30,ROUND(30*LOG10(F512+1)/4,1)),0)</f>
        <v/>
      </c>
      <c r="R512">
        <f>IF(ISNUMBER(G512),ROUND(25*(100-G512)/100,1),12.5)</f>
        <v/>
      </c>
      <c r="S512" t="n">
        <v>20</v>
      </c>
      <c r="T512">
        <f>ROUND(P512+Q512+R512+S512,0)</f>
        <v/>
      </c>
      <c r="U512" s="5" t="inlineStr"/>
      <c r="V512" s="5" t="inlineStr"/>
    </row>
    <row r="513">
      <c r="A513" t="inlineStr">
        <is>
          <t>K0511</t>
        </is>
      </c>
      <c r="B513" t="inlineStr">
        <is>
          <t>base64 en ligne</t>
        </is>
      </c>
      <c r="C513" t="inlineStr">
        <is>
          <t>Morocco</t>
        </is>
      </c>
      <c r="D513" t="inlineStr">
        <is>
          <t>ma</t>
        </is>
      </c>
      <c r="E513" t="inlineStr">
        <is>
          <t>fr</t>
        </is>
      </c>
      <c r="F513" t="inlineStr">
        <is>
          <t>NOT AVAILABLE</t>
        </is>
      </c>
      <c r="G513" t="inlineStr">
        <is>
          <t>NOT AVAILABLE</t>
        </is>
      </c>
      <c r="H513" t="inlineStr">
        <is>
          <t>NOT AVAILABLE</t>
        </is>
      </c>
      <c r="I513" t="inlineStr">
        <is>
          <t>NOT AVAILABLE</t>
        </is>
      </c>
      <c r="J513" t="inlineStr">
        <is>
          <t>NOT AVAILABLE</t>
        </is>
      </c>
      <c r="K513" t="inlineStr">
        <is>
          <t>NOT AVAILABLE</t>
        </is>
      </c>
      <c r="L513" t="inlineStr">
        <is>
          <t>NOT AVAILABLE</t>
        </is>
      </c>
      <c r="M513" t="inlineStr">
        <is>
          <t>UNAVAILABLE</t>
        </is>
      </c>
      <c r="N513" s="5" t="inlineStr">
        <is>
          <t>Semrush phrase_these returned no data (not billed)</t>
        </is>
      </c>
      <c r="O513" t="inlineStr">
        <is>
          <t>2026-10-30</t>
        </is>
      </c>
      <c r="P513">
        <f>IF(IF(J513="NOT AVAILABLE","",J513)="",12,IF(OR(ISNUMBER(SEARCH("Transactional",IF(J513="NOT AVAILABLE","",J513))),ISNUMBER(SEARCH("Commercial",IF(J513="NOT AVAILABLE","",J513)))),25,IF(ISNUMBER(SEARCH("Informational",IF(J513="NOT AVAILABLE","",J513))),10,IF(ISNUMBER(SEARCH("Navigational",IF(J513="NOT AVAILABLE","",J513))),0,12))))</f>
        <v/>
      </c>
      <c r="Q513">
        <f>IF(ISNUMBER(F513),MIN(30,ROUND(30*LOG10(F513+1)/4,1)),0)</f>
        <v/>
      </c>
      <c r="R513">
        <f>IF(ISNUMBER(G513),ROUND(25*(100-G513)/100,1),12.5)</f>
        <v/>
      </c>
      <c r="S513" t="n">
        <v>20</v>
      </c>
      <c r="T513">
        <f>ROUND(P513+Q513+R513+S513,0)</f>
        <v/>
      </c>
      <c r="U513" s="5" t="inlineStr"/>
      <c r="V513" s="5" t="inlineStr"/>
    </row>
    <row r="514">
      <c r="A514" t="inlineStr">
        <is>
          <t>K0512</t>
        </is>
      </c>
      <c r="B514" t="inlineStr">
        <is>
          <t>blog agence web</t>
        </is>
      </c>
      <c r="C514" t="inlineStr">
        <is>
          <t>Morocco</t>
        </is>
      </c>
      <c r="D514" t="inlineStr">
        <is>
          <t>ma</t>
        </is>
      </c>
      <c r="E514" t="inlineStr">
        <is>
          <t>fr</t>
        </is>
      </c>
      <c r="F514" t="n">
        <v>0</v>
      </c>
      <c r="G514" t="inlineStr">
        <is>
          <t>NOT AVAILABLE</t>
        </is>
      </c>
      <c r="H514" t="n">
        <v>0</v>
      </c>
      <c r="I514" t="n">
        <v>0</v>
      </c>
      <c r="J514" t="inlineStr">
        <is>
          <t>NOT AVAILABLE</t>
        </is>
      </c>
      <c r="K514" t="inlineStr">
        <is>
          <t>NOT AVAILABLE (report not requested)</t>
        </is>
      </c>
      <c r="L514" t="inlineStr">
        <is>
          <t>flat (no data)</t>
        </is>
      </c>
      <c r="M514" t="inlineStr">
        <is>
          <t>MEASURED</t>
        </is>
      </c>
      <c r="N514" s="5" t="inlineStr">
        <is>
          <t>Semrush phrase_these (live, this session)</t>
        </is>
      </c>
      <c r="O514" t="inlineStr">
        <is>
          <t>2026-10-30</t>
        </is>
      </c>
      <c r="P514">
        <f>IF(IF(J514="NOT AVAILABLE","",J514)="",12,IF(OR(ISNUMBER(SEARCH("Transactional",IF(J514="NOT AVAILABLE","",J514))),ISNUMBER(SEARCH("Commercial",IF(J514="NOT AVAILABLE","",J514)))),25,IF(ISNUMBER(SEARCH("Informational",IF(J514="NOT AVAILABLE","",J514))),10,IF(ISNUMBER(SEARCH("Navigational",IF(J514="NOT AVAILABLE","",J514))),0,12))))</f>
        <v/>
      </c>
      <c r="Q514">
        <f>IF(ISNUMBER(F514),MIN(30,ROUND(30*LOG10(F514+1)/4,1)),0)</f>
        <v/>
      </c>
      <c r="R514">
        <f>IF(ISNUMBER(G514),ROUND(25*(100-G514)/100,1),12.5)</f>
        <v/>
      </c>
      <c r="S514" t="n">
        <v>20</v>
      </c>
      <c r="T514">
        <f>ROUND(P514+Q514+R514+S514,0)</f>
        <v/>
      </c>
      <c r="U514" s="5" t="inlineStr"/>
      <c r="V514" s="5" t="inlineStr"/>
    </row>
    <row r="515">
      <c r="A515" t="inlineStr">
        <is>
          <t>K0513</t>
        </is>
      </c>
      <c r="B515" t="inlineStr">
        <is>
          <t>blog développement web</t>
        </is>
      </c>
      <c r="C515" t="inlineStr">
        <is>
          <t>Morocco</t>
        </is>
      </c>
      <c r="D515" t="inlineStr">
        <is>
          <t>ma</t>
        </is>
      </c>
      <c r="E515" t="inlineStr">
        <is>
          <t>fr</t>
        </is>
      </c>
      <c r="F515" t="inlineStr">
        <is>
          <t>NOT AVAILABLE</t>
        </is>
      </c>
      <c r="G515" t="inlineStr">
        <is>
          <t>NOT AVAILABLE</t>
        </is>
      </c>
      <c r="H515" t="inlineStr">
        <is>
          <t>NOT AVAILABLE</t>
        </is>
      </c>
      <c r="I515" t="inlineStr">
        <is>
          <t>NOT AVAILABLE</t>
        </is>
      </c>
      <c r="J515" t="inlineStr">
        <is>
          <t>NOT AVAILABLE</t>
        </is>
      </c>
      <c r="K515" t="inlineStr">
        <is>
          <t>NOT AVAILABLE</t>
        </is>
      </c>
      <c r="L515" t="inlineStr">
        <is>
          <t>NOT AVAILABLE</t>
        </is>
      </c>
      <c r="M515" t="inlineStr">
        <is>
          <t>UNAVAILABLE</t>
        </is>
      </c>
      <c r="N515" s="5" t="inlineStr">
        <is>
          <t>Semrush phrase_these returned no data (not billed)</t>
        </is>
      </c>
      <c r="O515" t="inlineStr">
        <is>
          <t>2026-10-30</t>
        </is>
      </c>
      <c r="P515">
        <f>IF(IF(J515="NOT AVAILABLE","",J515)="",12,IF(OR(ISNUMBER(SEARCH("Transactional",IF(J515="NOT AVAILABLE","",J515))),ISNUMBER(SEARCH("Commercial",IF(J515="NOT AVAILABLE","",J515)))),25,IF(ISNUMBER(SEARCH("Informational",IF(J515="NOT AVAILABLE","",J515))),10,IF(ISNUMBER(SEARCH("Navigational",IF(J515="NOT AVAILABLE","",J515))),0,12))))</f>
        <v/>
      </c>
      <c r="Q515">
        <f>IF(ISNUMBER(F515),MIN(30,ROUND(30*LOG10(F515+1)/4,1)),0)</f>
        <v/>
      </c>
      <c r="R515">
        <f>IF(ISNUMBER(G515),ROUND(25*(100-G515)/100,1),12.5)</f>
        <v/>
      </c>
      <c r="S515" t="n">
        <v>20</v>
      </c>
      <c r="T515">
        <f>ROUND(P515+Q515+R515+S515,0)</f>
        <v/>
      </c>
      <c r="U515" s="5" t="inlineStr"/>
      <c r="V515" s="5" t="inlineStr"/>
    </row>
    <row r="516">
      <c r="A516" t="inlineStr">
        <is>
          <t>K0514</t>
        </is>
      </c>
      <c r="B516" t="inlineStr">
        <is>
          <t>bloquer gptbot</t>
        </is>
      </c>
      <c r="C516" t="inlineStr">
        <is>
          <t>Morocco</t>
        </is>
      </c>
      <c r="D516" t="inlineStr">
        <is>
          <t>ma</t>
        </is>
      </c>
      <c r="E516" t="inlineStr">
        <is>
          <t>fr</t>
        </is>
      </c>
      <c r="F516" t="inlineStr">
        <is>
          <t>NOT AVAILABLE</t>
        </is>
      </c>
      <c r="G516" t="inlineStr">
        <is>
          <t>NOT AVAILABLE</t>
        </is>
      </c>
      <c r="H516" t="inlineStr">
        <is>
          <t>NOT AVAILABLE</t>
        </is>
      </c>
      <c r="I516" t="inlineStr">
        <is>
          <t>NOT AVAILABLE</t>
        </is>
      </c>
      <c r="J516" t="inlineStr">
        <is>
          <t>NOT AVAILABLE</t>
        </is>
      </c>
      <c r="K516" t="inlineStr">
        <is>
          <t>NOT AVAILABLE</t>
        </is>
      </c>
      <c r="L516" t="inlineStr">
        <is>
          <t>NOT AVAILABLE</t>
        </is>
      </c>
      <c r="M516" t="inlineStr">
        <is>
          <t>UNAVAILABLE</t>
        </is>
      </c>
      <c r="N516" s="5" t="inlineStr">
        <is>
          <t>Semrush phrase_these returned no data (not billed)</t>
        </is>
      </c>
      <c r="O516" t="inlineStr">
        <is>
          <t>2026-10-30</t>
        </is>
      </c>
      <c r="P516">
        <f>IF(IF(J516="NOT AVAILABLE","",J516)="",12,IF(OR(ISNUMBER(SEARCH("Transactional",IF(J516="NOT AVAILABLE","",J516))),ISNUMBER(SEARCH("Commercial",IF(J516="NOT AVAILABLE","",J516)))),25,IF(ISNUMBER(SEARCH("Informational",IF(J516="NOT AVAILABLE","",J516))),10,IF(ISNUMBER(SEARCH("Navigational",IF(J516="NOT AVAILABLE","",J516))),0,12))))</f>
        <v/>
      </c>
      <c r="Q516">
        <f>IF(ISNUMBER(F516),MIN(30,ROUND(30*LOG10(F516+1)/4,1)),0)</f>
        <v/>
      </c>
      <c r="R516">
        <f>IF(ISNUMBER(G516),ROUND(25*(100-G516)/100,1),12.5)</f>
        <v/>
      </c>
      <c r="S516" t="n">
        <v>20</v>
      </c>
      <c r="T516">
        <f>ROUND(P516+Q516+R516+S516,0)</f>
        <v/>
      </c>
      <c r="U516" s="5" t="inlineStr"/>
      <c r="V516" s="5" t="inlineStr"/>
    </row>
    <row r="517">
      <c r="A517" t="inlineStr">
        <is>
          <t>K0515</t>
        </is>
      </c>
      <c r="B517" t="inlineStr">
        <is>
          <t>boutique dentaire en ligne</t>
        </is>
      </c>
      <c r="C517" t="inlineStr">
        <is>
          <t>Morocco</t>
        </is>
      </c>
      <c r="D517" t="inlineStr">
        <is>
          <t>ma</t>
        </is>
      </c>
      <c r="E517" t="inlineStr">
        <is>
          <t>fr</t>
        </is>
      </c>
      <c r="F517" t="inlineStr">
        <is>
          <t>NOT AVAILABLE</t>
        </is>
      </c>
      <c r="G517" t="inlineStr">
        <is>
          <t>NOT AVAILABLE</t>
        </is>
      </c>
      <c r="H517" t="inlineStr">
        <is>
          <t>NOT AVAILABLE</t>
        </is>
      </c>
      <c r="I517" t="inlineStr">
        <is>
          <t>NOT AVAILABLE</t>
        </is>
      </c>
      <c r="J517" t="inlineStr">
        <is>
          <t>NOT AVAILABLE</t>
        </is>
      </c>
      <c r="K517" t="inlineStr">
        <is>
          <t>NOT AVAILABLE</t>
        </is>
      </c>
      <c r="L517" t="inlineStr">
        <is>
          <t>NOT AVAILABLE</t>
        </is>
      </c>
      <c r="M517" t="inlineStr">
        <is>
          <t>UNAVAILABLE</t>
        </is>
      </c>
      <c r="N517" s="5" t="inlineStr">
        <is>
          <t>Semrush phrase_these returned no data (not billed)</t>
        </is>
      </c>
      <c r="O517" t="inlineStr">
        <is>
          <t>2026-10-30</t>
        </is>
      </c>
      <c r="P517">
        <f>IF(IF(J517="NOT AVAILABLE","",J517)="",12,IF(OR(ISNUMBER(SEARCH("Transactional",IF(J517="NOT AVAILABLE","",J517))),ISNUMBER(SEARCH("Commercial",IF(J517="NOT AVAILABLE","",J517)))),25,IF(ISNUMBER(SEARCH("Informational",IF(J517="NOT AVAILABLE","",J517))),10,IF(ISNUMBER(SEARCH("Navigational",IF(J517="NOT AVAILABLE","",J517))),0,12))))</f>
        <v/>
      </c>
      <c r="Q517">
        <f>IF(ISNUMBER(F517),MIN(30,ROUND(30*LOG10(F517+1)/4,1)),0)</f>
        <v/>
      </c>
      <c r="R517">
        <f>IF(ISNUMBER(G517),ROUND(25*(100-G517)/100,1),12.5)</f>
        <v/>
      </c>
      <c r="S517" t="n">
        <v>20</v>
      </c>
      <c r="T517">
        <f>ROUND(P517+Q517+R517+S517,0)</f>
        <v/>
      </c>
      <c r="U517" s="5" t="inlineStr"/>
      <c r="V517" s="5" t="inlineStr"/>
    </row>
    <row r="518">
      <c r="A518" t="inlineStr">
        <is>
          <t>K0516</t>
        </is>
      </c>
      <c r="B518" t="inlineStr">
        <is>
          <t>boutique lunettes en ligne</t>
        </is>
      </c>
      <c r="C518" t="inlineStr">
        <is>
          <t>Morocco</t>
        </is>
      </c>
      <c r="D518" t="inlineStr">
        <is>
          <t>ma</t>
        </is>
      </c>
      <c r="E518" t="inlineStr">
        <is>
          <t>fr</t>
        </is>
      </c>
      <c r="F518" t="inlineStr">
        <is>
          <t>NOT AVAILABLE</t>
        </is>
      </c>
      <c r="G518" t="inlineStr">
        <is>
          <t>NOT AVAILABLE</t>
        </is>
      </c>
      <c r="H518" t="inlineStr">
        <is>
          <t>NOT AVAILABLE</t>
        </is>
      </c>
      <c r="I518" t="inlineStr">
        <is>
          <t>NOT AVAILABLE</t>
        </is>
      </c>
      <c r="J518" t="inlineStr">
        <is>
          <t>NOT AVAILABLE</t>
        </is>
      </c>
      <c r="K518" t="inlineStr">
        <is>
          <t>NOT AVAILABLE</t>
        </is>
      </c>
      <c r="L518" t="inlineStr">
        <is>
          <t>NOT AVAILABLE</t>
        </is>
      </c>
      <c r="M518" t="inlineStr">
        <is>
          <t>UNAVAILABLE</t>
        </is>
      </c>
      <c r="N518" s="5" t="inlineStr">
        <is>
          <t>Semrush phrase_these returned no data (not billed)</t>
        </is>
      </c>
      <c r="O518" t="inlineStr">
        <is>
          <t>2026-10-30</t>
        </is>
      </c>
      <c r="P518">
        <f>IF(IF(J518="NOT AVAILABLE","",J518)="",12,IF(OR(ISNUMBER(SEARCH("Transactional",IF(J518="NOT AVAILABLE","",J518))),ISNUMBER(SEARCH("Commercial",IF(J518="NOT AVAILABLE","",J518)))),25,IF(ISNUMBER(SEARCH("Informational",IF(J518="NOT AVAILABLE","",J518))),10,IF(ISNUMBER(SEARCH("Navigational",IF(J518="NOT AVAILABLE","",J518))),0,12))))</f>
        <v/>
      </c>
      <c r="Q518">
        <f>IF(ISNUMBER(F518),MIN(30,ROUND(30*LOG10(F518+1)/4,1)),0)</f>
        <v/>
      </c>
      <c r="R518">
        <f>IF(ISNUMBER(G518),ROUND(25*(100-G518)/100,1),12.5)</f>
        <v/>
      </c>
      <c r="S518" t="n">
        <v>20</v>
      </c>
      <c r="T518">
        <f>ROUND(P518+Q518+R518+S518,0)</f>
        <v/>
      </c>
      <c r="U518" s="5" t="inlineStr"/>
      <c r="V518" s="5" t="inlineStr"/>
    </row>
    <row r="519">
      <c r="A519" t="inlineStr">
        <is>
          <t>K0517</t>
        </is>
      </c>
      <c r="B519" t="inlineStr">
        <is>
          <t>budget de crawl</t>
        </is>
      </c>
      <c r="C519" t="inlineStr">
        <is>
          <t>Morocco</t>
        </is>
      </c>
      <c r="D519" t="inlineStr">
        <is>
          <t>ma</t>
        </is>
      </c>
      <c r="E519" t="inlineStr">
        <is>
          <t>fr</t>
        </is>
      </c>
      <c r="F519" t="inlineStr">
        <is>
          <t>NOT AVAILABLE</t>
        </is>
      </c>
      <c r="G519" t="inlineStr">
        <is>
          <t>NOT AVAILABLE</t>
        </is>
      </c>
      <c r="H519" t="inlineStr">
        <is>
          <t>NOT AVAILABLE</t>
        </is>
      </c>
      <c r="I519" t="inlineStr">
        <is>
          <t>NOT AVAILABLE</t>
        </is>
      </c>
      <c r="J519" t="inlineStr">
        <is>
          <t>NOT AVAILABLE</t>
        </is>
      </c>
      <c r="K519" t="inlineStr">
        <is>
          <t>NOT AVAILABLE</t>
        </is>
      </c>
      <c r="L519" t="inlineStr">
        <is>
          <t>NOT AVAILABLE</t>
        </is>
      </c>
      <c r="M519" t="inlineStr">
        <is>
          <t>UNAVAILABLE</t>
        </is>
      </c>
      <c r="N519" s="5" t="inlineStr">
        <is>
          <t>Semrush phrase_these returned no data (not billed)</t>
        </is>
      </c>
      <c r="O519" t="inlineStr">
        <is>
          <t>2026-10-30</t>
        </is>
      </c>
      <c r="P519">
        <f>IF(IF(J519="NOT AVAILABLE","",J519)="",12,IF(OR(ISNUMBER(SEARCH("Transactional",IF(J519="NOT AVAILABLE","",J519))),ISNUMBER(SEARCH("Commercial",IF(J519="NOT AVAILABLE","",J519)))),25,IF(ISNUMBER(SEARCH("Informational",IF(J519="NOT AVAILABLE","",J519))),10,IF(ISNUMBER(SEARCH("Navigational",IF(J519="NOT AVAILABLE","",J519))),0,12))))</f>
        <v/>
      </c>
      <c r="Q519">
        <f>IF(ISNUMBER(F519),MIN(30,ROUND(30*LOG10(F519+1)/4,1)),0)</f>
        <v/>
      </c>
      <c r="R519">
        <f>IF(ISNUMBER(G519),ROUND(25*(100-G519)/100,1),12.5)</f>
        <v/>
      </c>
      <c r="S519" t="n">
        <v>20</v>
      </c>
      <c r="T519">
        <f>ROUND(P519+Q519+R519+S519,0)</f>
        <v/>
      </c>
      <c r="U519" s="5" t="inlineStr"/>
      <c r="V519" s="5" t="inlineStr"/>
    </row>
    <row r="520">
      <c r="A520" t="inlineStr">
        <is>
          <t>K0518</t>
        </is>
      </c>
      <c r="B520" t="inlineStr">
        <is>
          <t>bureau d'orientation études à l'étranger</t>
        </is>
      </c>
      <c r="C520" t="inlineStr">
        <is>
          <t>Morocco</t>
        </is>
      </c>
      <c r="D520" t="inlineStr">
        <is>
          <t>ma</t>
        </is>
      </c>
      <c r="E520" t="inlineStr">
        <is>
          <t>fr</t>
        </is>
      </c>
      <c r="F520" t="inlineStr">
        <is>
          <t>NOT AVAILABLE</t>
        </is>
      </c>
      <c r="G520" t="inlineStr">
        <is>
          <t>NOT AVAILABLE</t>
        </is>
      </c>
      <c r="H520" t="inlineStr">
        <is>
          <t>NOT AVAILABLE</t>
        </is>
      </c>
      <c r="I520" t="inlineStr">
        <is>
          <t>NOT AVAILABLE</t>
        </is>
      </c>
      <c r="J520" t="inlineStr">
        <is>
          <t>NOT AVAILABLE</t>
        </is>
      </c>
      <c r="K520" t="inlineStr">
        <is>
          <t>NOT AVAILABLE</t>
        </is>
      </c>
      <c r="L520" t="inlineStr">
        <is>
          <t>NOT AVAILABLE</t>
        </is>
      </c>
      <c r="M520" t="inlineStr">
        <is>
          <t>UNAVAILABLE</t>
        </is>
      </c>
      <c r="N520" s="5" t="inlineStr">
        <is>
          <t>Semrush phrase_these returned no data (not billed)</t>
        </is>
      </c>
      <c r="O520" t="inlineStr">
        <is>
          <t>2026-10-30</t>
        </is>
      </c>
      <c r="P520">
        <f>IF(IF(J520="NOT AVAILABLE","",J520)="",12,IF(OR(ISNUMBER(SEARCH("Transactional",IF(J520="NOT AVAILABLE","",J520))),ISNUMBER(SEARCH("Commercial",IF(J520="NOT AVAILABLE","",J520)))),25,IF(ISNUMBER(SEARCH("Informational",IF(J520="NOT AVAILABLE","",J520))),10,IF(ISNUMBER(SEARCH("Navigational",IF(J520="NOT AVAILABLE","",J520))),0,12))))</f>
        <v/>
      </c>
      <c r="Q520">
        <f>IF(ISNUMBER(F520),MIN(30,ROUND(30*LOG10(F520+1)/4,1)),0)</f>
        <v/>
      </c>
      <c r="R520">
        <f>IF(ISNUMBER(G520),ROUND(25*(100-G520)/100,1),12.5)</f>
        <v/>
      </c>
      <c r="S520" t="n">
        <v>20</v>
      </c>
      <c r="T520">
        <f>ROUND(P520+Q520+R520+S520,0)</f>
        <v/>
      </c>
      <c r="U520" s="5" t="inlineStr"/>
      <c r="V520" s="5" t="inlineStr"/>
    </row>
    <row r="521">
      <c r="A521" t="inlineStr">
        <is>
          <t>K0519</t>
        </is>
      </c>
      <c r="B521" t="inlineStr">
        <is>
          <t>cabinet d'immigration maroc</t>
        </is>
      </c>
      <c r="C521" t="inlineStr">
        <is>
          <t>Morocco</t>
        </is>
      </c>
      <c r="D521" t="inlineStr">
        <is>
          <t>ma</t>
        </is>
      </c>
      <c r="E521" t="inlineStr">
        <is>
          <t>fr</t>
        </is>
      </c>
      <c r="F521" t="inlineStr">
        <is>
          <t>NOT AVAILABLE</t>
        </is>
      </c>
      <c r="G521" t="inlineStr">
        <is>
          <t>NOT AVAILABLE</t>
        </is>
      </c>
      <c r="H521" t="inlineStr">
        <is>
          <t>NOT AVAILABLE</t>
        </is>
      </c>
      <c r="I521" t="inlineStr">
        <is>
          <t>NOT AVAILABLE</t>
        </is>
      </c>
      <c r="J521" t="inlineStr">
        <is>
          <t>NOT AVAILABLE</t>
        </is>
      </c>
      <c r="K521" t="inlineStr">
        <is>
          <t>NOT AVAILABLE</t>
        </is>
      </c>
      <c r="L521" t="inlineStr">
        <is>
          <t>NOT AVAILABLE</t>
        </is>
      </c>
      <c r="M521" t="inlineStr">
        <is>
          <t>UNAVAILABLE</t>
        </is>
      </c>
      <c r="N521" s="5" t="inlineStr">
        <is>
          <t>Semrush phrase_these returned no data (not billed)</t>
        </is>
      </c>
      <c r="O521" t="inlineStr">
        <is>
          <t>2026-10-30</t>
        </is>
      </c>
      <c r="P521">
        <f>IF(IF(J521="NOT AVAILABLE","",J521)="",12,IF(OR(ISNUMBER(SEARCH("Transactional",IF(J521="NOT AVAILABLE","",J521))),ISNUMBER(SEARCH("Commercial",IF(J521="NOT AVAILABLE","",J521)))),25,IF(ISNUMBER(SEARCH("Informational",IF(J521="NOT AVAILABLE","",J521))),10,IF(ISNUMBER(SEARCH("Navigational",IF(J521="NOT AVAILABLE","",J521))),0,12))))</f>
        <v/>
      </c>
      <c r="Q521">
        <f>IF(ISNUMBER(F521),MIN(30,ROUND(30*LOG10(F521+1)/4,1)),0)</f>
        <v/>
      </c>
      <c r="R521">
        <f>IF(ISNUMBER(G521),ROUND(25*(100-G521)/100,1),12.5)</f>
        <v/>
      </c>
      <c r="S521" t="n">
        <v>20</v>
      </c>
      <c r="T521">
        <f>ROUND(P521+Q521+R521+S521,0)</f>
        <v/>
      </c>
      <c r="U521" s="5" t="inlineStr"/>
      <c r="V521" s="5" t="inlineStr"/>
    </row>
    <row r="522">
      <c r="A522" t="inlineStr">
        <is>
          <t>K0520</t>
        </is>
      </c>
      <c r="B522" t="inlineStr">
        <is>
          <t>calcul densité mot clé</t>
        </is>
      </c>
      <c r="C522" t="inlineStr">
        <is>
          <t>Morocco</t>
        </is>
      </c>
      <c r="D522" t="inlineStr">
        <is>
          <t>ma</t>
        </is>
      </c>
      <c r="E522" t="inlineStr">
        <is>
          <t>fr</t>
        </is>
      </c>
      <c r="F522" t="inlineStr">
        <is>
          <t>NOT AVAILABLE</t>
        </is>
      </c>
      <c r="G522" t="inlineStr">
        <is>
          <t>NOT AVAILABLE</t>
        </is>
      </c>
      <c r="H522" t="inlineStr">
        <is>
          <t>NOT AVAILABLE</t>
        </is>
      </c>
      <c r="I522" t="inlineStr">
        <is>
          <t>NOT AVAILABLE</t>
        </is>
      </c>
      <c r="J522" t="inlineStr">
        <is>
          <t>NOT AVAILABLE</t>
        </is>
      </c>
      <c r="K522" t="inlineStr">
        <is>
          <t>NOT AVAILABLE</t>
        </is>
      </c>
      <c r="L522" t="inlineStr">
        <is>
          <t>NOT AVAILABLE</t>
        </is>
      </c>
      <c r="M522" t="inlineStr">
        <is>
          <t>UNAVAILABLE</t>
        </is>
      </c>
      <c r="N522" s="5" t="inlineStr">
        <is>
          <t>Semrush phrase_these returned no data (not billed)</t>
        </is>
      </c>
      <c r="O522" t="inlineStr">
        <is>
          <t>2026-10-30</t>
        </is>
      </c>
      <c r="P522">
        <f>IF(IF(J522="NOT AVAILABLE","",J522)="",12,IF(OR(ISNUMBER(SEARCH("Transactional",IF(J522="NOT AVAILABLE","",J522))),ISNUMBER(SEARCH("Commercial",IF(J522="NOT AVAILABLE","",J522)))),25,IF(ISNUMBER(SEARCH("Informational",IF(J522="NOT AVAILABLE","",J522))),10,IF(ISNUMBER(SEARCH("Navigational",IF(J522="NOT AVAILABLE","",J522))),0,12))))</f>
        <v/>
      </c>
      <c r="Q522">
        <f>IF(ISNUMBER(F522),MIN(30,ROUND(30*LOG10(F522+1)/4,1)),0)</f>
        <v/>
      </c>
      <c r="R522">
        <f>IF(ISNUMBER(G522),ROUND(25*(100-G522)/100,1),12.5)</f>
        <v/>
      </c>
      <c r="S522" t="n">
        <v>20</v>
      </c>
      <c r="T522">
        <f>ROUND(P522+Q522+R522+S522,0)</f>
        <v/>
      </c>
      <c r="U522" s="5" t="inlineStr"/>
      <c r="V522" s="5" t="inlineStr"/>
    </row>
    <row r="523">
      <c r="A523" t="inlineStr">
        <is>
          <t>K0521</t>
        </is>
      </c>
      <c r="B523" t="inlineStr">
        <is>
          <t>canonical seo</t>
        </is>
      </c>
      <c r="C523" t="inlineStr">
        <is>
          <t>Morocco</t>
        </is>
      </c>
      <c r="D523" t="inlineStr">
        <is>
          <t>ma</t>
        </is>
      </c>
      <c r="E523" t="inlineStr">
        <is>
          <t>fr</t>
        </is>
      </c>
      <c r="F523" t="inlineStr">
        <is>
          <t>NOT AVAILABLE</t>
        </is>
      </c>
      <c r="G523" t="inlineStr">
        <is>
          <t>NOT AVAILABLE</t>
        </is>
      </c>
      <c r="H523" t="inlineStr">
        <is>
          <t>NOT AVAILABLE</t>
        </is>
      </c>
      <c r="I523" t="inlineStr">
        <is>
          <t>NOT AVAILABLE</t>
        </is>
      </c>
      <c r="J523" t="inlineStr">
        <is>
          <t>NOT AVAILABLE</t>
        </is>
      </c>
      <c r="K523" t="inlineStr">
        <is>
          <t>NOT AVAILABLE</t>
        </is>
      </c>
      <c r="L523" t="inlineStr">
        <is>
          <t>NOT AVAILABLE</t>
        </is>
      </c>
      <c r="M523" t="inlineStr">
        <is>
          <t>UNAVAILABLE</t>
        </is>
      </c>
      <c r="N523" s="5" t="inlineStr">
        <is>
          <t>Semrush phrase_these returned no data (not billed)</t>
        </is>
      </c>
      <c r="O523" t="inlineStr">
        <is>
          <t>2026-10-30</t>
        </is>
      </c>
      <c r="P523">
        <f>IF(IF(J523="NOT AVAILABLE","",J523)="",12,IF(OR(ISNUMBER(SEARCH("Transactional",IF(J523="NOT AVAILABLE","",J523))),ISNUMBER(SEARCH("Commercial",IF(J523="NOT AVAILABLE","",J523)))),25,IF(ISNUMBER(SEARCH("Informational",IF(J523="NOT AVAILABLE","",J523))),10,IF(ISNUMBER(SEARCH("Navigational",IF(J523="NOT AVAILABLE","",J523))),0,12))))</f>
        <v/>
      </c>
      <c r="Q523">
        <f>IF(ISNUMBER(F523),MIN(30,ROUND(30*LOG10(F523+1)/4,1)),0)</f>
        <v/>
      </c>
      <c r="R523">
        <f>IF(ISNUMBER(G523),ROUND(25*(100-G523)/100,1),12.5)</f>
        <v/>
      </c>
      <c r="S523" t="n">
        <v>20</v>
      </c>
      <c r="T523">
        <f>ROUND(P523+Q523+R523+S523,0)</f>
        <v/>
      </c>
      <c r="U523" s="5" t="inlineStr"/>
      <c r="V523" s="5" t="inlineStr"/>
    </row>
    <row r="524">
      <c r="A524" t="inlineStr">
        <is>
          <t>K0522</t>
        </is>
      </c>
      <c r="B524" t="inlineStr">
        <is>
          <t>carte maillage interne</t>
        </is>
      </c>
      <c r="C524" t="inlineStr">
        <is>
          <t>Morocco</t>
        </is>
      </c>
      <c r="D524" t="inlineStr">
        <is>
          <t>ma</t>
        </is>
      </c>
      <c r="E524" t="inlineStr">
        <is>
          <t>fr</t>
        </is>
      </c>
      <c r="F524" t="inlineStr">
        <is>
          <t>NOT AVAILABLE</t>
        </is>
      </c>
      <c r="G524" t="inlineStr">
        <is>
          <t>NOT AVAILABLE</t>
        </is>
      </c>
      <c r="H524" t="inlineStr">
        <is>
          <t>NOT AVAILABLE</t>
        </is>
      </c>
      <c r="I524" t="inlineStr">
        <is>
          <t>NOT AVAILABLE</t>
        </is>
      </c>
      <c r="J524" t="inlineStr">
        <is>
          <t>NOT AVAILABLE</t>
        </is>
      </c>
      <c r="K524" t="inlineStr">
        <is>
          <t>NOT AVAILABLE</t>
        </is>
      </c>
      <c r="L524" t="inlineStr">
        <is>
          <t>NOT AVAILABLE</t>
        </is>
      </c>
      <c r="M524" t="inlineStr">
        <is>
          <t>UNAVAILABLE</t>
        </is>
      </c>
      <c r="N524" s="5" t="inlineStr">
        <is>
          <t>Semrush phrase_these returned no data (not billed)</t>
        </is>
      </c>
      <c r="O524" t="inlineStr">
        <is>
          <t>2026-10-30</t>
        </is>
      </c>
      <c r="P524">
        <f>IF(IF(J524="NOT AVAILABLE","",J524)="",12,IF(OR(ISNUMBER(SEARCH("Transactional",IF(J524="NOT AVAILABLE","",J524))),ISNUMBER(SEARCH("Commercial",IF(J524="NOT AVAILABLE","",J524)))),25,IF(ISNUMBER(SEARCH("Informational",IF(J524="NOT AVAILABLE","",J524))),10,IF(ISNUMBER(SEARCH("Navigational",IF(J524="NOT AVAILABLE","",J524))),0,12))))</f>
        <v/>
      </c>
      <c r="Q524">
        <f>IF(ISNUMBER(F524),MIN(30,ROUND(30*LOG10(F524+1)/4,1)),0)</f>
        <v/>
      </c>
      <c r="R524">
        <f>IF(ISNUMBER(G524),ROUND(25*(100-G524)/100,1),12.5)</f>
        <v/>
      </c>
      <c r="S524" t="n">
        <v>20</v>
      </c>
      <c r="T524">
        <f>ROUND(P524+Q524+R524+S524,0)</f>
        <v/>
      </c>
      <c r="U524" s="5" t="inlineStr"/>
      <c r="V524" s="5" t="inlineStr"/>
    </row>
    <row r="525">
      <c r="A525" t="inlineStr">
        <is>
          <t>K0523</t>
        </is>
      </c>
      <c r="B525" t="inlineStr">
        <is>
          <t>checklist mise en ligne site</t>
        </is>
      </c>
      <c r="C525" t="inlineStr">
        <is>
          <t>Morocco</t>
        </is>
      </c>
      <c r="D525" t="inlineStr">
        <is>
          <t>ma</t>
        </is>
      </c>
      <c r="E525" t="inlineStr">
        <is>
          <t>fr</t>
        </is>
      </c>
      <c r="F525" t="inlineStr">
        <is>
          <t>NOT AVAILABLE</t>
        </is>
      </c>
      <c r="G525" t="inlineStr">
        <is>
          <t>NOT AVAILABLE</t>
        </is>
      </c>
      <c r="H525" t="inlineStr">
        <is>
          <t>NOT AVAILABLE</t>
        </is>
      </c>
      <c r="I525" t="inlineStr">
        <is>
          <t>NOT AVAILABLE</t>
        </is>
      </c>
      <c r="J525" t="inlineStr">
        <is>
          <t>NOT AVAILABLE</t>
        </is>
      </c>
      <c r="K525" t="inlineStr">
        <is>
          <t>NOT AVAILABLE</t>
        </is>
      </c>
      <c r="L525" t="inlineStr">
        <is>
          <t>NOT AVAILABLE</t>
        </is>
      </c>
      <c r="M525" t="inlineStr">
        <is>
          <t>UNAVAILABLE</t>
        </is>
      </c>
      <c r="N525" s="5" t="inlineStr">
        <is>
          <t>Semrush phrase_these returned no data (not billed)</t>
        </is>
      </c>
      <c r="O525" t="inlineStr">
        <is>
          <t>2026-10-30</t>
        </is>
      </c>
      <c r="P525">
        <f>IF(IF(J525="NOT AVAILABLE","",J525)="",12,IF(OR(ISNUMBER(SEARCH("Transactional",IF(J525="NOT AVAILABLE","",J525))),ISNUMBER(SEARCH("Commercial",IF(J525="NOT AVAILABLE","",J525)))),25,IF(ISNUMBER(SEARCH("Informational",IF(J525="NOT AVAILABLE","",J525))),10,IF(ISNUMBER(SEARCH("Navigational",IF(J525="NOT AVAILABLE","",J525))),0,12))))</f>
        <v/>
      </c>
      <c r="Q525">
        <f>IF(ISNUMBER(F525),MIN(30,ROUND(30*LOG10(F525+1)/4,1)),0)</f>
        <v/>
      </c>
      <c r="R525">
        <f>IF(ISNUMBER(G525),ROUND(25*(100-G525)/100,1),12.5)</f>
        <v/>
      </c>
      <c r="S525" t="n">
        <v>20</v>
      </c>
      <c r="T525">
        <f>ROUND(P525+Q525+R525+S525,0)</f>
        <v/>
      </c>
      <c r="U525" s="5" t="inlineStr"/>
      <c r="V525" s="5" t="inlineStr"/>
    </row>
    <row r="526">
      <c r="A526" t="inlineStr">
        <is>
          <t>K0524</t>
        </is>
      </c>
      <c r="B526" t="inlineStr">
        <is>
          <t>choisir une plateforme e-learning</t>
        </is>
      </c>
      <c r="C526" t="inlineStr">
        <is>
          <t>Morocco</t>
        </is>
      </c>
      <c r="D526" t="inlineStr">
        <is>
          <t>ma</t>
        </is>
      </c>
      <c r="E526" t="inlineStr">
        <is>
          <t>fr</t>
        </is>
      </c>
      <c r="F526" t="inlineStr">
        <is>
          <t>NOT AVAILABLE</t>
        </is>
      </c>
      <c r="G526" t="inlineStr">
        <is>
          <t>NOT AVAILABLE</t>
        </is>
      </c>
      <c r="H526" t="inlineStr">
        <is>
          <t>NOT AVAILABLE</t>
        </is>
      </c>
      <c r="I526" t="inlineStr">
        <is>
          <t>NOT AVAILABLE</t>
        </is>
      </c>
      <c r="J526" t="inlineStr">
        <is>
          <t>NOT AVAILABLE</t>
        </is>
      </c>
      <c r="K526" t="inlineStr">
        <is>
          <t>NOT AVAILABLE</t>
        </is>
      </c>
      <c r="L526" t="inlineStr">
        <is>
          <t>NOT AVAILABLE</t>
        </is>
      </c>
      <c r="M526" t="inlineStr">
        <is>
          <t>UNAVAILABLE</t>
        </is>
      </c>
      <c r="N526" s="5" t="inlineStr">
        <is>
          <t>Semrush phrase_these returned no data (not billed)</t>
        </is>
      </c>
      <c r="O526" t="inlineStr">
        <is>
          <t>2026-10-30</t>
        </is>
      </c>
      <c r="P526">
        <f>IF(IF(J526="NOT AVAILABLE","",J526)="",12,IF(OR(ISNUMBER(SEARCH("Transactional",IF(J526="NOT AVAILABLE","",J526))),ISNUMBER(SEARCH("Commercial",IF(J526="NOT AVAILABLE","",J526)))),25,IF(ISNUMBER(SEARCH("Informational",IF(J526="NOT AVAILABLE","",J526))),10,IF(ISNUMBER(SEARCH("Navigational",IF(J526="NOT AVAILABLE","",J526))),0,12))))</f>
        <v/>
      </c>
      <c r="Q526">
        <f>IF(ISNUMBER(F526),MIN(30,ROUND(30*LOG10(F526+1)/4,1)),0)</f>
        <v/>
      </c>
      <c r="R526">
        <f>IF(ISNUMBER(G526),ROUND(25*(100-G526)/100,1),12.5)</f>
        <v/>
      </c>
      <c r="S526" t="n">
        <v>20</v>
      </c>
      <c r="T526">
        <f>ROUND(P526+Q526+R526+S526,0)</f>
        <v/>
      </c>
      <c r="U526" s="5" t="inlineStr"/>
      <c r="V526" s="5" t="inlineStr"/>
    </row>
    <row r="527">
      <c r="A527" t="inlineStr">
        <is>
          <t>K0525</t>
        </is>
      </c>
      <c r="B527" t="inlineStr">
        <is>
          <t>codesommet</t>
        </is>
      </c>
      <c r="C527" t="inlineStr">
        <is>
          <t>Morocco</t>
        </is>
      </c>
      <c r="D527" t="inlineStr">
        <is>
          <t>ma</t>
        </is>
      </c>
      <c r="E527" t="inlineStr">
        <is>
          <t>fr</t>
        </is>
      </c>
      <c r="F527" t="inlineStr">
        <is>
          <t>NOT AVAILABLE</t>
        </is>
      </c>
      <c r="G527" t="inlineStr">
        <is>
          <t>NOT AVAILABLE</t>
        </is>
      </c>
      <c r="H527" t="inlineStr">
        <is>
          <t>NOT AVAILABLE</t>
        </is>
      </c>
      <c r="I527" t="inlineStr">
        <is>
          <t>NOT AVAILABLE</t>
        </is>
      </c>
      <c r="J527" t="inlineStr">
        <is>
          <t>NOT AVAILABLE</t>
        </is>
      </c>
      <c r="K527" t="inlineStr">
        <is>
          <t>NOT AVAILABLE</t>
        </is>
      </c>
      <c r="L527" t="inlineStr">
        <is>
          <t>NOT AVAILABLE</t>
        </is>
      </c>
      <c r="M527" t="inlineStr">
        <is>
          <t>UNAVAILABLE</t>
        </is>
      </c>
      <c r="N527" s="5" t="inlineStr">
        <is>
          <t>Semrush phrase_these returned no data (not billed)</t>
        </is>
      </c>
      <c r="O527" t="inlineStr">
        <is>
          <t>2026-10-30</t>
        </is>
      </c>
      <c r="P527">
        <f>IF(IF(J527="NOT AVAILABLE","",J527)="",12,IF(OR(ISNUMBER(SEARCH("Transactional",IF(J527="NOT AVAILABLE","",J527))),ISNUMBER(SEARCH("Commercial",IF(J527="NOT AVAILABLE","",J527)))),25,IF(ISNUMBER(SEARCH("Informational",IF(J527="NOT AVAILABLE","",J527))),10,IF(ISNUMBER(SEARCH("Navigational",IF(J527="NOT AVAILABLE","",J527))),0,12))))</f>
        <v/>
      </c>
      <c r="Q527">
        <f>IF(ISNUMBER(F527),MIN(30,ROUND(30*LOG10(F527+1)/4,1)),0)</f>
        <v/>
      </c>
      <c r="R527">
        <f>IF(ISNUMBER(G527),ROUND(25*(100-G527)/100,1),12.5)</f>
        <v/>
      </c>
      <c r="S527" t="n">
        <v>20</v>
      </c>
      <c r="T527">
        <f>ROUND(P527+Q527+R527+S527,0)</f>
        <v/>
      </c>
      <c r="U527" s="5" t="inlineStr"/>
      <c r="V527" s="5" t="inlineStr">
        <is>
          <t>PRIMARY /about</t>
        </is>
      </c>
    </row>
    <row r="528">
      <c r="A528" t="inlineStr">
        <is>
          <t>K0526</t>
        </is>
      </c>
      <c r="B528" t="inlineStr">
        <is>
          <t>combien coute le seo</t>
        </is>
      </c>
      <c r="C528" t="inlineStr">
        <is>
          <t>Morocco</t>
        </is>
      </c>
      <c r="D528" t="inlineStr">
        <is>
          <t>ma</t>
        </is>
      </c>
      <c r="E528" t="inlineStr">
        <is>
          <t>fr</t>
        </is>
      </c>
      <c r="F528" t="inlineStr">
        <is>
          <t>NOT AVAILABLE</t>
        </is>
      </c>
      <c r="G528" t="inlineStr">
        <is>
          <t>NOT AVAILABLE</t>
        </is>
      </c>
      <c r="H528" t="inlineStr">
        <is>
          <t>NOT AVAILABLE</t>
        </is>
      </c>
      <c r="I528" t="inlineStr">
        <is>
          <t>NOT AVAILABLE</t>
        </is>
      </c>
      <c r="J528" t="inlineStr">
        <is>
          <t>NOT AVAILABLE</t>
        </is>
      </c>
      <c r="K528" t="inlineStr">
        <is>
          <t>NOT AVAILABLE</t>
        </is>
      </c>
      <c r="L528" t="inlineStr">
        <is>
          <t>NOT AVAILABLE</t>
        </is>
      </c>
      <c r="M528" t="inlineStr">
        <is>
          <t>UNAVAILABLE</t>
        </is>
      </c>
      <c r="N528" s="5" t="inlineStr">
        <is>
          <t>Semrush phrase_these returned no data (not billed)</t>
        </is>
      </c>
      <c r="O528" t="inlineStr">
        <is>
          <t>2026-10-30</t>
        </is>
      </c>
      <c r="P528">
        <f>IF(IF(J528="NOT AVAILABLE","",J528)="",12,IF(OR(ISNUMBER(SEARCH("Transactional",IF(J528="NOT AVAILABLE","",J528))),ISNUMBER(SEARCH("Commercial",IF(J528="NOT AVAILABLE","",J528)))),25,IF(ISNUMBER(SEARCH("Informational",IF(J528="NOT AVAILABLE","",J528))),10,IF(ISNUMBER(SEARCH("Navigational",IF(J528="NOT AVAILABLE","",J528))),0,12))))</f>
        <v/>
      </c>
      <c r="Q528">
        <f>IF(ISNUMBER(F528),MIN(30,ROUND(30*LOG10(F528+1)/4,1)),0)</f>
        <v/>
      </c>
      <c r="R528">
        <f>IF(ISNUMBER(G528),ROUND(25*(100-G528)/100,1),12.5)</f>
        <v/>
      </c>
      <c r="S528" t="n">
        <v>20</v>
      </c>
      <c r="T528">
        <f>ROUND(P528+Q528+R528+S528,0)</f>
        <v/>
      </c>
      <c r="U528" s="5" t="inlineStr"/>
      <c r="V528" s="5" t="inlineStr"/>
    </row>
    <row r="529">
      <c r="A529" t="inlineStr">
        <is>
          <t>K0527</t>
        </is>
      </c>
      <c r="B529" t="inlineStr">
        <is>
          <t>combien coute un nom de domaine au maroc</t>
        </is>
      </c>
      <c r="C529" t="inlineStr">
        <is>
          <t>Morocco</t>
        </is>
      </c>
      <c r="D529" t="inlineStr">
        <is>
          <t>ma</t>
        </is>
      </c>
      <c r="E529" t="inlineStr">
        <is>
          <t>fr</t>
        </is>
      </c>
      <c r="F529" t="inlineStr">
        <is>
          <t>NOT AVAILABLE</t>
        </is>
      </c>
      <c r="G529" t="inlineStr">
        <is>
          <t>NOT AVAILABLE</t>
        </is>
      </c>
      <c r="H529" t="inlineStr">
        <is>
          <t>NOT AVAILABLE</t>
        </is>
      </c>
      <c r="I529" t="inlineStr">
        <is>
          <t>NOT AVAILABLE</t>
        </is>
      </c>
      <c r="J529" t="inlineStr">
        <is>
          <t>NOT AVAILABLE</t>
        </is>
      </c>
      <c r="K529" t="inlineStr">
        <is>
          <t>NOT AVAILABLE</t>
        </is>
      </c>
      <c r="L529" t="inlineStr">
        <is>
          <t>NOT AVAILABLE</t>
        </is>
      </c>
      <c r="M529" t="inlineStr">
        <is>
          <t>UNAVAILABLE</t>
        </is>
      </c>
      <c r="N529" s="5" t="inlineStr">
        <is>
          <t>Semrush phrase_these returned no data (not billed)</t>
        </is>
      </c>
      <c r="O529" t="inlineStr">
        <is>
          <t>2026-10-30</t>
        </is>
      </c>
      <c r="P529">
        <f>IF(IF(J529="NOT AVAILABLE","",J529)="",12,IF(OR(ISNUMBER(SEARCH("Transactional",IF(J529="NOT AVAILABLE","",J529))),ISNUMBER(SEARCH("Commercial",IF(J529="NOT AVAILABLE","",J529)))),25,IF(ISNUMBER(SEARCH("Informational",IF(J529="NOT AVAILABLE","",J529))),10,IF(ISNUMBER(SEARCH("Navigational",IF(J529="NOT AVAILABLE","",J529))),0,12))))</f>
        <v/>
      </c>
      <c r="Q529">
        <f>IF(ISNUMBER(F529),MIN(30,ROUND(30*LOG10(F529+1)/4,1)),0)</f>
        <v/>
      </c>
      <c r="R529">
        <f>IF(ISNUMBER(G529),ROUND(25*(100-G529)/100,1),12.5)</f>
        <v/>
      </c>
      <c r="S529" t="n">
        <v>20</v>
      </c>
      <c r="T529">
        <f>ROUND(P529+Q529+R529+S529,0)</f>
        <v/>
      </c>
      <c r="U529" s="5" t="inlineStr"/>
      <c r="V529" s="5" t="inlineStr"/>
    </row>
    <row r="530">
      <c r="A530" t="inlineStr">
        <is>
          <t>K0528</t>
        </is>
      </c>
      <c r="B530" t="inlineStr">
        <is>
          <t>combien coute un site e-commerce au maroc</t>
        </is>
      </c>
      <c r="C530" t="inlineStr">
        <is>
          <t>Morocco</t>
        </is>
      </c>
      <c r="D530" t="inlineStr">
        <is>
          <t>ma</t>
        </is>
      </c>
      <c r="E530" t="inlineStr">
        <is>
          <t>fr</t>
        </is>
      </c>
      <c r="F530" t="inlineStr">
        <is>
          <t>NOT AVAILABLE</t>
        </is>
      </c>
      <c r="G530" t="inlineStr">
        <is>
          <t>NOT AVAILABLE</t>
        </is>
      </c>
      <c r="H530" t="inlineStr">
        <is>
          <t>NOT AVAILABLE</t>
        </is>
      </c>
      <c r="I530" t="inlineStr">
        <is>
          <t>NOT AVAILABLE</t>
        </is>
      </c>
      <c r="J530" t="inlineStr">
        <is>
          <t>NOT AVAILABLE</t>
        </is>
      </c>
      <c r="K530" t="inlineStr">
        <is>
          <t>NOT AVAILABLE</t>
        </is>
      </c>
      <c r="L530" t="inlineStr">
        <is>
          <t>NOT AVAILABLE</t>
        </is>
      </c>
      <c r="M530" t="inlineStr">
        <is>
          <t>UNAVAILABLE</t>
        </is>
      </c>
      <c r="N530" s="5" t="inlineStr">
        <is>
          <t>Semrush phrase_these returned no data (not billed)</t>
        </is>
      </c>
      <c r="O530" t="inlineStr">
        <is>
          <t>2026-10-30</t>
        </is>
      </c>
      <c r="P530">
        <f>IF(IF(J530="NOT AVAILABLE","",J530)="",12,IF(OR(ISNUMBER(SEARCH("Transactional",IF(J530="NOT AVAILABLE","",J530))),ISNUMBER(SEARCH("Commercial",IF(J530="NOT AVAILABLE","",J530)))),25,IF(ISNUMBER(SEARCH("Informational",IF(J530="NOT AVAILABLE","",J530))),10,IF(ISNUMBER(SEARCH("Navigational",IF(J530="NOT AVAILABLE","",J530))),0,12))))</f>
        <v/>
      </c>
      <c r="Q530">
        <f>IF(ISNUMBER(F530),MIN(30,ROUND(30*LOG10(F530+1)/4,1)),0)</f>
        <v/>
      </c>
      <c r="R530">
        <f>IF(ISNUMBER(G530),ROUND(25*(100-G530)/100,1),12.5)</f>
        <v/>
      </c>
      <c r="S530" t="n">
        <v>20</v>
      </c>
      <c r="T530">
        <f>ROUND(P530+Q530+R530+S530,0)</f>
        <v/>
      </c>
      <c r="U530" s="5" t="inlineStr"/>
      <c r="V530" s="5" t="inlineStr"/>
    </row>
    <row r="531">
      <c r="A531" t="inlineStr">
        <is>
          <t>K0529</t>
        </is>
      </c>
      <c r="B531" t="inlineStr">
        <is>
          <t>combien coute un site web au maroc</t>
        </is>
      </c>
      <c r="C531" t="inlineStr">
        <is>
          <t>Morocco</t>
        </is>
      </c>
      <c r="D531" t="inlineStr">
        <is>
          <t>ma</t>
        </is>
      </c>
      <c r="E531" t="inlineStr">
        <is>
          <t>fr</t>
        </is>
      </c>
      <c r="F531" t="inlineStr">
        <is>
          <t>NOT AVAILABLE</t>
        </is>
      </c>
      <c r="G531" t="inlineStr">
        <is>
          <t>NOT AVAILABLE</t>
        </is>
      </c>
      <c r="H531" t="inlineStr">
        <is>
          <t>NOT AVAILABLE</t>
        </is>
      </c>
      <c r="I531" t="inlineStr">
        <is>
          <t>NOT AVAILABLE</t>
        </is>
      </c>
      <c r="J531" t="inlineStr">
        <is>
          <t>NOT AVAILABLE</t>
        </is>
      </c>
      <c r="K531" t="inlineStr">
        <is>
          <t>NOT AVAILABLE</t>
        </is>
      </c>
      <c r="L531" t="inlineStr">
        <is>
          <t>NOT AVAILABLE</t>
        </is>
      </c>
      <c r="M531" t="inlineStr">
        <is>
          <t>UNAVAILABLE</t>
        </is>
      </c>
      <c r="N531" s="5" t="inlineStr">
        <is>
          <t>Semrush phrase_these returned no data (not billed)</t>
        </is>
      </c>
      <c r="O531" t="inlineStr">
        <is>
          <t>2026-10-30</t>
        </is>
      </c>
      <c r="P531">
        <f>IF(IF(J531="NOT AVAILABLE","",J531)="",12,IF(OR(ISNUMBER(SEARCH("Transactional",IF(J531="NOT AVAILABLE","",J531))),ISNUMBER(SEARCH("Commercial",IF(J531="NOT AVAILABLE","",J531)))),25,IF(ISNUMBER(SEARCH("Informational",IF(J531="NOT AVAILABLE","",J531))),10,IF(ISNUMBER(SEARCH("Navigational",IF(J531="NOT AVAILABLE","",J531))),0,12))))</f>
        <v/>
      </c>
      <c r="Q531">
        <f>IF(ISNUMBER(F531),MIN(30,ROUND(30*LOG10(F531+1)/4,1)),0)</f>
        <v/>
      </c>
      <c r="R531">
        <f>IF(ISNUMBER(G531),ROUND(25*(100-G531)/100,1),12.5)</f>
        <v/>
      </c>
      <c r="S531" t="n">
        <v>20</v>
      </c>
      <c r="T531">
        <f>ROUND(P531+Q531+R531+S531,0)</f>
        <v/>
      </c>
      <c r="U531" s="5" t="inlineStr"/>
      <c r="V531" s="5" t="inlineStr"/>
    </row>
    <row r="532">
      <c r="A532" t="inlineStr">
        <is>
          <t>K0530</t>
        </is>
      </c>
      <c r="B532" t="inlineStr">
        <is>
          <t>combien coute un site web maroc</t>
        </is>
      </c>
      <c r="C532" t="inlineStr">
        <is>
          <t>Morocco</t>
        </is>
      </c>
      <c r="D532" t="inlineStr">
        <is>
          <t>ma</t>
        </is>
      </c>
      <c r="E532" t="inlineStr">
        <is>
          <t>fr</t>
        </is>
      </c>
      <c r="F532" t="inlineStr">
        <is>
          <t>NOT AVAILABLE</t>
        </is>
      </c>
      <c r="G532" t="inlineStr">
        <is>
          <t>NOT AVAILABLE</t>
        </is>
      </c>
      <c r="H532" t="inlineStr">
        <is>
          <t>NOT AVAILABLE</t>
        </is>
      </c>
      <c r="I532" t="inlineStr">
        <is>
          <t>NOT AVAILABLE</t>
        </is>
      </c>
      <c r="J532" t="inlineStr">
        <is>
          <t>NOT AVAILABLE</t>
        </is>
      </c>
      <c r="K532" t="inlineStr">
        <is>
          <t>NOT AVAILABLE</t>
        </is>
      </c>
      <c r="L532" t="inlineStr">
        <is>
          <t>NOT AVAILABLE</t>
        </is>
      </c>
      <c r="M532" t="inlineStr">
        <is>
          <t>UNAVAILABLE</t>
        </is>
      </c>
      <c r="N532" s="5" t="inlineStr">
        <is>
          <t>Semrush phrase_these returned no data (not billed)</t>
        </is>
      </c>
      <c r="O532" t="inlineStr">
        <is>
          <t>2026-10-30</t>
        </is>
      </c>
      <c r="P532">
        <f>IF(IF(J532="NOT AVAILABLE","",J532)="",12,IF(OR(ISNUMBER(SEARCH("Transactional",IF(J532="NOT AVAILABLE","",J532))),ISNUMBER(SEARCH("Commercial",IF(J532="NOT AVAILABLE","",J532)))),25,IF(ISNUMBER(SEARCH("Informational",IF(J532="NOT AVAILABLE","",J532))),10,IF(ISNUMBER(SEARCH("Navigational",IF(J532="NOT AVAILABLE","",J532))),0,12))))</f>
        <v/>
      </c>
      <c r="Q532">
        <f>IF(ISNUMBER(F532),MIN(30,ROUND(30*LOG10(F532+1)/4,1)),0)</f>
        <v/>
      </c>
      <c r="R532">
        <f>IF(ISNUMBER(G532),ROUND(25*(100-G532)/100,1),12.5)</f>
        <v/>
      </c>
      <c r="S532" t="n">
        <v>20</v>
      </c>
      <c r="T532">
        <f>ROUND(P532+Q532+R532+S532,0)</f>
        <v/>
      </c>
      <c r="U532" s="5" t="inlineStr"/>
      <c r="V532" s="5" t="inlineStr"/>
    </row>
    <row r="533">
      <c r="A533" t="inlineStr">
        <is>
          <t>K0531</t>
        </is>
      </c>
      <c r="B533" t="inlineStr">
        <is>
          <t>combien coute un site wordpress</t>
        </is>
      </c>
      <c r="C533" t="inlineStr">
        <is>
          <t>Morocco</t>
        </is>
      </c>
      <c r="D533" t="inlineStr">
        <is>
          <t>ma</t>
        </is>
      </c>
      <c r="E533" t="inlineStr">
        <is>
          <t>fr</t>
        </is>
      </c>
      <c r="F533" t="inlineStr">
        <is>
          <t>NOT AVAILABLE</t>
        </is>
      </c>
      <c r="G533" t="inlineStr">
        <is>
          <t>NOT AVAILABLE</t>
        </is>
      </c>
      <c r="H533" t="inlineStr">
        <is>
          <t>NOT AVAILABLE</t>
        </is>
      </c>
      <c r="I533" t="inlineStr">
        <is>
          <t>NOT AVAILABLE</t>
        </is>
      </c>
      <c r="J533" t="inlineStr">
        <is>
          <t>NOT AVAILABLE</t>
        </is>
      </c>
      <c r="K533" t="inlineStr">
        <is>
          <t>NOT AVAILABLE</t>
        </is>
      </c>
      <c r="L533" t="inlineStr">
        <is>
          <t>NOT AVAILABLE</t>
        </is>
      </c>
      <c r="M533" t="inlineStr">
        <is>
          <t>UNAVAILABLE</t>
        </is>
      </c>
      <c r="N533" s="5" t="inlineStr">
        <is>
          <t>Semrush phrase_these returned no data (not billed)</t>
        </is>
      </c>
      <c r="O533" t="inlineStr">
        <is>
          <t>2026-10-30</t>
        </is>
      </c>
      <c r="P533">
        <f>IF(IF(J533="NOT AVAILABLE","",J533)="",12,IF(OR(ISNUMBER(SEARCH("Transactional",IF(J533="NOT AVAILABLE","",J533))),ISNUMBER(SEARCH("Commercial",IF(J533="NOT AVAILABLE","",J533)))),25,IF(ISNUMBER(SEARCH("Informational",IF(J533="NOT AVAILABLE","",J533))),10,IF(ISNUMBER(SEARCH("Navigational",IF(J533="NOT AVAILABLE","",J533))),0,12))))</f>
        <v/>
      </c>
      <c r="Q533">
        <f>IF(ISNUMBER(F533),MIN(30,ROUND(30*LOG10(F533+1)/4,1)),0)</f>
        <v/>
      </c>
      <c r="R533">
        <f>IF(ISNUMBER(G533),ROUND(25*(100-G533)/100,1),12.5)</f>
        <v/>
      </c>
      <c r="S533" t="n">
        <v>20</v>
      </c>
      <c r="T533">
        <f>ROUND(P533+Q533+R533+S533,0)</f>
        <v/>
      </c>
      <c r="U533" s="5" t="inlineStr"/>
      <c r="V533" s="5" t="inlineStr"/>
    </row>
    <row r="534">
      <c r="A534" t="inlineStr">
        <is>
          <t>K0532</t>
        </is>
      </c>
      <c r="B534" t="inlineStr">
        <is>
          <t>combien coute une application mobile au maroc</t>
        </is>
      </c>
      <c r="C534" t="inlineStr">
        <is>
          <t>Morocco</t>
        </is>
      </c>
      <c r="D534" t="inlineStr">
        <is>
          <t>ma</t>
        </is>
      </c>
      <c r="E534" t="inlineStr">
        <is>
          <t>fr</t>
        </is>
      </c>
      <c r="F534" t="inlineStr">
        <is>
          <t>NOT AVAILABLE</t>
        </is>
      </c>
      <c r="G534" t="inlineStr">
        <is>
          <t>NOT AVAILABLE</t>
        </is>
      </c>
      <c r="H534" t="inlineStr">
        <is>
          <t>NOT AVAILABLE</t>
        </is>
      </c>
      <c r="I534" t="inlineStr">
        <is>
          <t>NOT AVAILABLE</t>
        </is>
      </c>
      <c r="J534" t="inlineStr">
        <is>
          <t>NOT AVAILABLE</t>
        </is>
      </c>
      <c r="K534" t="inlineStr">
        <is>
          <t>NOT AVAILABLE</t>
        </is>
      </c>
      <c r="L534" t="inlineStr">
        <is>
          <t>NOT AVAILABLE</t>
        </is>
      </c>
      <c r="M534" t="inlineStr">
        <is>
          <t>UNAVAILABLE</t>
        </is>
      </c>
      <c r="N534" s="5" t="inlineStr">
        <is>
          <t>Semrush phrase_these returned no data (not billed)</t>
        </is>
      </c>
      <c r="O534" t="inlineStr">
        <is>
          <t>2026-10-30</t>
        </is>
      </c>
      <c r="P534">
        <f>IF(IF(J534="NOT AVAILABLE","",J534)="",12,IF(OR(ISNUMBER(SEARCH("Transactional",IF(J534="NOT AVAILABLE","",J534))),ISNUMBER(SEARCH("Commercial",IF(J534="NOT AVAILABLE","",J534)))),25,IF(ISNUMBER(SEARCH("Informational",IF(J534="NOT AVAILABLE","",J534))),10,IF(ISNUMBER(SEARCH("Navigational",IF(J534="NOT AVAILABLE","",J534))),0,12))))</f>
        <v/>
      </c>
      <c r="Q534">
        <f>IF(ISNUMBER(F534),MIN(30,ROUND(30*LOG10(F534+1)/4,1)),0)</f>
        <v/>
      </c>
      <c r="R534">
        <f>IF(ISNUMBER(G534),ROUND(25*(100-G534)/100,1),12.5)</f>
        <v/>
      </c>
      <c r="S534" t="n">
        <v>20</v>
      </c>
      <c r="T534">
        <f>ROUND(P534+Q534+R534+S534,0)</f>
        <v/>
      </c>
      <c r="U534" s="5" t="inlineStr"/>
      <c r="V534" s="5" t="inlineStr"/>
    </row>
    <row r="535">
      <c r="A535" t="inlineStr">
        <is>
          <t>K0533</t>
        </is>
      </c>
      <c r="B535" t="inlineStr">
        <is>
          <t>combien coute une application web</t>
        </is>
      </c>
      <c r="C535" t="inlineStr">
        <is>
          <t>Morocco</t>
        </is>
      </c>
      <c r="D535" t="inlineStr">
        <is>
          <t>ma</t>
        </is>
      </c>
      <c r="E535" t="inlineStr">
        <is>
          <t>fr</t>
        </is>
      </c>
      <c r="F535" t="inlineStr">
        <is>
          <t>NOT AVAILABLE</t>
        </is>
      </c>
      <c r="G535" t="inlineStr">
        <is>
          <t>NOT AVAILABLE</t>
        </is>
      </c>
      <c r="H535" t="inlineStr">
        <is>
          <t>NOT AVAILABLE</t>
        </is>
      </c>
      <c r="I535" t="inlineStr">
        <is>
          <t>NOT AVAILABLE</t>
        </is>
      </c>
      <c r="J535" t="inlineStr">
        <is>
          <t>NOT AVAILABLE</t>
        </is>
      </c>
      <c r="K535" t="inlineStr">
        <is>
          <t>NOT AVAILABLE</t>
        </is>
      </c>
      <c r="L535" t="inlineStr">
        <is>
          <t>NOT AVAILABLE</t>
        </is>
      </c>
      <c r="M535" t="inlineStr">
        <is>
          <t>UNAVAILABLE</t>
        </is>
      </c>
      <c r="N535" s="5" t="inlineStr">
        <is>
          <t>Semrush phrase_these returned no data (not billed)</t>
        </is>
      </c>
      <c r="O535" t="inlineStr">
        <is>
          <t>2026-10-30</t>
        </is>
      </c>
      <c r="P535">
        <f>IF(IF(J535="NOT AVAILABLE","",J535)="",12,IF(OR(ISNUMBER(SEARCH("Transactional",IF(J535="NOT AVAILABLE","",J535))),ISNUMBER(SEARCH("Commercial",IF(J535="NOT AVAILABLE","",J535)))),25,IF(ISNUMBER(SEARCH("Informational",IF(J535="NOT AVAILABLE","",J535))),10,IF(ISNUMBER(SEARCH("Navigational",IF(J535="NOT AVAILABLE","",J535))),0,12))))</f>
        <v/>
      </c>
      <c r="Q535">
        <f>IF(ISNUMBER(F535),MIN(30,ROUND(30*LOG10(F535+1)/4,1)),0)</f>
        <v/>
      </c>
      <c r="R535">
        <f>IF(ISNUMBER(G535),ROUND(25*(100-G535)/100,1),12.5)</f>
        <v/>
      </c>
      <c r="S535" t="n">
        <v>20</v>
      </c>
      <c r="T535">
        <f>ROUND(P535+Q535+R535+S535,0)</f>
        <v/>
      </c>
      <c r="U535" s="5" t="inlineStr"/>
      <c r="V535" s="5" t="inlineStr"/>
    </row>
    <row r="536">
      <c r="A536" t="inlineStr">
        <is>
          <t>K0534</t>
        </is>
      </c>
      <c r="B536" t="inlineStr">
        <is>
          <t>combien coûte un site web au maroc</t>
        </is>
      </c>
      <c r="C536" t="inlineStr">
        <is>
          <t>Morocco</t>
        </is>
      </c>
      <c r="D536" t="inlineStr">
        <is>
          <t>ma</t>
        </is>
      </c>
      <c r="E536" t="inlineStr">
        <is>
          <t>fr</t>
        </is>
      </c>
      <c r="F536" t="n">
        <v>0</v>
      </c>
      <c r="G536" t="inlineStr">
        <is>
          <t>NOT AVAILABLE</t>
        </is>
      </c>
      <c r="H536" t="n">
        <v>0</v>
      </c>
      <c r="I536" t="n">
        <v>0</v>
      </c>
      <c r="J536" t="inlineStr">
        <is>
          <t>NOT AVAILABLE</t>
        </is>
      </c>
      <c r="K536" t="inlineStr">
        <is>
          <t>NOT AVAILABLE (report not requested)</t>
        </is>
      </c>
      <c r="L536" t="inlineStr">
        <is>
          <t>flat (no data)</t>
        </is>
      </c>
      <c r="M536" t="inlineStr">
        <is>
          <t>MEASURED</t>
        </is>
      </c>
      <c r="N536" s="5" t="inlineStr">
        <is>
          <t>Semrush phrase_these (live, this session)</t>
        </is>
      </c>
      <c r="O536" t="inlineStr">
        <is>
          <t>2026-10-30</t>
        </is>
      </c>
      <c r="P536">
        <f>IF(IF(J536="NOT AVAILABLE","",J536)="",12,IF(OR(ISNUMBER(SEARCH("Transactional",IF(J536="NOT AVAILABLE","",J536))),ISNUMBER(SEARCH("Commercial",IF(J536="NOT AVAILABLE","",J536)))),25,IF(ISNUMBER(SEARCH("Informational",IF(J536="NOT AVAILABLE","",J536))),10,IF(ISNUMBER(SEARCH("Navigational",IF(J536="NOT AVAILABLE","",J536))),0,12))))</f>
        <v/>
      </c>
      <c r="Q536">
        <f>IF(ISNUMBER(F536),MIN(30,ROUND(30*LOG10(F536+1)/4,1)),0)</f>
        <v/>
      </c>
      <c r="R536">
        <f>IF(ISNUMBER(G536),ROUND(25*(100-G536)/100,1),12.5)</f>
        <v/>
      </c>
      <c r="S536" t="n">
        <v>20</v>
      </c>
      <c r="T536">
        <f>ROUND(P536+Q536+R536+S536,0)</f>
        <v/>
      </c>
      <c r="U536" s="5" t="inlineStr"/>
      <c r="V536" s="5" t="inlineStr"/>
    </row>
    <row r="537">
      <c r="A537" t="inlineStr">
        <is>
          <t>K0535</t>
        </is>
      </c>
      <c r="B537" t="inlineStr">
        <is>
          <t>combien de temps pour créer un site web</t>
        </is>
      </c>
      <c r="C537" t="inlineStr">
        <is>
          <t>Morocco</t>
        </is>
      </c>
      <c r="D537" t="inlineStr">
        <is>
          <t>ma</t>
        </is>
      </c>
      <c r="E537" t="inlineStr">
        <is>
          <t>fr</t>
        </is>
      </c>
      <c r="F537" t="inlineStr">
        <is>
          <t>NOT AVAILABLE</t>
        </is>
      </c>
      <c r="G537" t="inlineStr">
        <is>
          <t>NOT AVAILABLE</t>
        </is>
      </c>
      <c r="H537" t="inlineStr">
        <is>
          <t>NOT AVAILABLE</t>
        </is>
      </c>
      <c r="I537" t="inlineStr">
        <is>
          <t>NOT AVAILABLE</t>
        </is>
      </c>
      <c r="J537" t="inlineStr">
        <is>
          <t>NOT AVAILABLE</t>
        </is>
      </c>
      <c r="K537" t="inlineStr">
        <is>
          <t>NOT AVAILABLE</t>
        </is>
      </c>
      <c r="L537" t="inlineStr">
        <is>
          <t>NOT AVAILABLE</t>
        </is>
      </c>
      <c r="M537" t="inlineStr">
        <is>
          <t>UNAVAILABLE</t>
        </is>
      </c>
      <c r="N537" s="5" t="inlineStr">
        <is>
          <t>Semrush phrase_these returned no data (not billed)</t>
        </is>
      </c>
      <c r="O537" t="inlineStr">
        <is>
          <t>2026-10-30</t>
        </is>
      </c>
      <c r="P537">
        <f>IF(IF(J537="NOT AVAILABLE","",J537)="",12,IF(OR(ISNUMBER(SEARCH("Transactional",IF(J537="NOT AVAILABLE","",J537))),ISNUMBER(SEARCH("Commercial",IF(J537="NOT AVAILABLE","",J537)))),25,IF(ISNUMBER(SEARCH("Informational",IF(J537="NOT AVAILABLE","",J537))),10,IF(ISNUMBER(SEARCH("Navigational",IF(J537="NOT AVAILABLE","",J537))),0,12))))</f>
        <v/>
      </c>
      <c r="Q537">
        <f>IF(ISNUMBER(F537),MIN(30,ROUND(30*LOG10(F537+1)/4,1)),0)</f>
        <v/>
      </c>
      <c r="R537">
        <f>IF(ISNUMBER(G537),ROUND(25*(100-G537)/100,1),12.5)</f>
        <v/>
      </c>
      <c r="S537" t="n">
        <v>20</v>
      </c>
      <c r="T537">
        <f>ROUND(P537+Q537+R537+S537,0)</f>
        <v/>
      </c>
      <c r="U537" s="5" t="inlineStr"/>
      <c r="V537" s="5" t="inlineStr"/>
    </row>
    <row r="538">
      <c r="A538" t="inlineStr">
        <is>
          <t>K0536</t>
        </is>
      </c>
      <c r="B538" t="inlineStr">
        <is>
          <t>combien de temps pour être référencé sur google</t>
        </is>
      </c>
      <c r="C538" t="inlineStr">
        <is>
          <t>Morocco</t>
        </is>
      </c>
      <c r="D538" t="inlineStr">
        <is>
          <t>ma</t>
        </is>
      </c>
      <c r="E538" t="inlineStr">
        <is>
          <t>fr</t>
        </is>
      </c>
      <c r="F538" t="inlineStr">
        <is>
          <t>NOT AVAILABLE</t>
        </is>
      </c>
      <c r="G538" t="inlineStr">
        <is>
          <t>NOT AVAILABLE</t>
        </is>
      </c>
      <c r="H538" t="inlineStr">
        <is>
          <t>NOT AVAILABLE</t>
        </is>
      </c>
      <c r="I538" t="inlineStr">
        <is>
          <t>NOT AVAILABLE</t>
        </is>
      </c>
      <c r="J538" t="inlineStr">
        <is>
          <t>NOT AVAILABLE</t>
        </is>
      </c>
      <c r="K538" t="inlineStr">
        <is>
          <t>NOT AVAILABLE</t>
        </is>
      </c>
      <c r="L538" t="inlineStr">
        <is>
          <t>NOT AVAILABLE</t>
        </is>
      </c>
      <c r="M538" t="inlineStr">
        <is>
          <t>UNAVAILABLE</t>
        </is>
      </c>
      <c r="N538" s="5" t="inlineStr">
        <is>
          <t>Semrush phrase_these returned no data (not billed)</t>
        </is>
      </c>
      <c r="O538" t="inlineStr">
        <is>
          <t>2026-10-30</t>
        </is>
      </c>
      <c r="P538">
        <f>IF(IF(J538="NOT AVAILABLE","",J538)="",12,IF(OR(ISNUMBER(SEARCH("Transactional",IF(J538="NOT AVAILABLE","",J538))),ISNUMBER(SEARCH("Commercial",IF(J538="NOT AVAILABLE","",J538)))),25,IF(ISNUMBER(SEARCH("Informational",IF(J538="NOT AVAILABLE","",J538))),10,IF(ISNUMBER(SEARCH("Navigational",IF(J538="NOT AVAILABLE","",J538))),0,12))))</f>
        <v/>
      </c>
      <c r="Q538">
        <f>IF(ISNUMBER(F538),MIN(30,ROUND(30*LOG10(F538+1)/4,1)),0)</f>
        <v/>
      </c>
      <c r="R538">
        <f>IF(ISNUMBER(G538),ROUND(25*(100-G538)/100,1),12.5)</f>
        <v/>
      </c>
      <c r="S538" t="n">
        <v>20</v>
      </c>
      <c r="T538">
        <f>ROUND(P538+Q538+R538+S538,0)</f>
        <v/>
      </c>
      <c r="U538" s="5" t="inlineStr"/>
      <c r="V538" s="5" t="inlineStr"/>
    </row>
    <row r="539">
      <c r="A539" t="inlineStr">
        <is>
          <t>K0537</t>
        </is>
      </c>
      <c r="B539" t="inlineStr">
        <is>
          <t>combien gagne un développeur web au maroc</t>
        </is>
      </c>
      <c r="C539" t="inlineStr">
        <is>
          <t>Morocco</t>
        </is>
      </c>
      <c r="D539" t="inlineStr">
        <is>
          <t>ma</t>
        </is>
      </c>
      <c r="E539" t="inlineStr">
        <is>
          <t>fr</t>
        </is>
      </c>
      <c r="F539" t="inlineStr">
        <is>
          <t>NOT AVAILABLE</t>
        </is>
      </c>
      <c r="G539" t="inlineStr">
        <is>
          <t>NOT AVAILABLE</t>
        </is>
      </c>
      <c r="H539" t="inlineStr">
        <is>
          <t>NOT AVAILABLE</t>
        </is>
      </c>
      <c r="I539" t="inlineStr">
        <is>
          <t>NOT AVAILABLE</t>
        </is>
      </c>
      <c r="J539" t="inlineStr">
        <is>
          <t>NOT AVAILABLE</t>
        </is>
      </c>
      <c r="K539" t="inlineStr">
        <is>
          <t>NOT AVAILABLE</t>
        </is>
      </c>
      <c r="L539" t="inlineStr">
        <is>
          <t>NOT AVAILABLE</t>
        </is>
      </c>
      <c r="M539" t="inlineStr">
        <is>
          <t>UNAVAILABLE</t>
        </is>
      </c>
      <c r="N539" s="5" t="inlineStr">
        <is>
          <t>Semrush phrase_these returned no data (not billed)</t>
        </is>
      </c>
      <c r="O539" t="inlineStr">
        <is>
          <t>2026-10-30</t>
        </is>
      </c>
      <c r="P539">
        <f>IF(IF(J539="NOT AVAILABLE","",J539)="",12,IF(OR(ISNUMBER(SEARCH("Transactional",IF(J539="NOT AVAILABLE","",J539))),ISNUMBER(SEARCH("Commercial",IF(J539="NOT AVAILABLE","",J539)))),25,IF(ISNUMBER(SEARCH("Informational",IF(J539="NOT AVAILABLE","",J539))),10,IF(ISNUMBER(SEARCH("Navigational",IF(J539="NOT AVAILABLE","",J539))),0,12))))</f>
        <v/>
      </c>
      <c r="Q539">
        <f>IF(ISNUMBER(F539),MIN(30,ROUND(30*LOG10(F539+1)/4,1)),0)</f>
        <v/>
      </c>
      <c r="R539">
        <f>IF(ISNUMBER(G539),ROUND(25*(100-G539)/100,1),12.5)</f>
        <v/>
      </c>
      <c r="S539" t="n">
        <v>20</v>
      </c>
      <c r="T539">
        <f>ROUND(P539+Q539+R539+S539,0)</f>
        <v/>
      </c>
      <c r="U539" s="5" t="inlineStr"/>
      <c r="V539" s="5" t="inlineStr"/>
    </row>
    <row r="540">
      <c r="A540" t="inlineStr">
        <is>
          <t>K0538</t>
        </is>
      </c>
      <c r="B540" t="inlineStr">
        <is>
          <t>comment accepter paiement en ligne maroc</t>
        </is>
      </c>
      <c r="C540" t="inlineStr">
        <is>
          <t>Morocco</t>
        </is>
      </c>
      <c r="D540" t="inlineStr">
        <is>
          <t>ma</t>
        </is>
      </c>
      <c r="E540" t="inlineStr">
        <is>
          <t>fr</t>
        </is>
      </c>
      <c r="F540" t="inlineStr">
        <is>
          <t>NOT AVAILABLE</t>
        </is>
      </c>
      <c r="G540" t="inlineStr">
        <is>
          <t>NOT AVAILABLE</t>
        </is>
      </c>
      <c r="H540" t="inlineStr">
        <is>
          <t>NOT AVAILABLE</t>
        </is>
      </c>
      <c r="I540" t="inlineStr">
        <is>
          <t>NOT AVAILABLE</t>
        </is>
      </c>
      <c r="J540" t="inlineStr">
        <is>
          <t>NOT AVAILABLE</t>
        </is>
      </c>
      <c r="K540" t="inlineStr">
        <is>
          <t>NOT AVAILABLE</t>
        </is>
      </c>
      <c r="L540" t="inlineStr">
        <is>
          <t>NOT AVAILABLE</t>
        </is>
      </c>
      <c r="M540" t="inlineStr">
        <is>
          <t>UNAVAILABLE</t>
        </is>
      </c>
      <c r="N540" s="5" t="inlineStr">
        <is>
          <t>Semrush phrase_these returned no data (not billed)</t>
        </is>
      </c>
      <c r="O540" t="inlineStr">
        <is>
          <t>2026-10-30</t>
        </is>
      </c>
      <c r="P540">
        <f>IF(IF(J540="NOT AVAILABLE","",J540)="",12,IF(OR(ISNUMBER(SEARCH("Transactional",IF(J540="NOT AVAILABLE","",J540))),ISNUMBER(SEARCH("Commercial",IF(J540="NOT AVAILABLE","",J540)))),25,IF(ISNUMBER(SEARCH("Informational",IF(J540="NOT AVAILABLE","",J540))),10,IF(ISNUMBER(SEARCH("Navigational",IF(J540="NOT AVAILABLE","",J540))),0,12))))</f>
        <v/>
      </c>
      <c r="Q540">
        <f>IF(ISNUMBER(F540),MIN(30,ROUND(30*LOG10(F540+1)/4,1)),0)</f>
        <v/>
      </c>
      <c r="R540">
        <f>IF(ISNUMBER(G540),ROUND(25*(100-G540)/100,1),12.5)</f>
        <v/>
      </c>
      <c r="S540" t="n">
        <v>20</v>
      </c>
      <c r="T540">
        <f>ROUND(P540+Q540+R540+S540,0)</f>
        <v/>
      </c>
      <c r="U540" s="5" t="inlineStr"/>
      <c r="V540" s="5" t="inlineStr"/>
    </row>
    <row r="541">
      <c r="A541" t="inlineStr">
        <is>
          <t>K0539</t>
        </is>
      </c>
      <c r="B541" t="inlineStr">
        <is>
          <t>comment choisir une agence web</t>
        </is>
      </c>
      <c r="C541" t="inlineStr">
        <is>
          <t>Morocco</t>
        </is>
      </c>
      <c r="D541" t="inlineStr">
        <is>
          <t>ma</t>
        </is>
      </c>
      <c r="E541" t="inlineStr">
        <is>
          <t>fr</t>
        </is>
      </c>
      <c r="F541" t="n">
        <v>0</v>
      </c>
      <c r="G541" t="inlineStr">
        <is>
          <t>NOT AVAILABLE</t>
        </is>
      </c>
      <c r="H541" t="n">
        <v>0</v>
      </c>
      <c r="I541" t="n">
        <v>0</v>
      </c>
      <c r="J541" t="inlineStr">
        <is>
          <t>NOT AVAILABLE</t>
        </is>
      </c>
      <c r="K541" t="inlineStr">
        <is>
          <t>NOT AVAILABLE (report not requested)</t>
        </is>
      </c>
      <c r="L541" t="inlineStr">
        <is>
          <t>flat (no data)</t>
        </is>
      </c>
      <c r="M541" t="inlineStr">
        <is>
          <t>MEASURED</t>
        </is>
      </c>
      <c r="N541" s="5" t="inlineStr">
        <is>
          <t>Semrush phrase_these (live, this session)</t>
        </is>
      </c>
      <c r="O541" t="inlineStr">
        <is>
          <t>2026-10-30</t>
        </is>
      </c>
      <c r="P541">
        <f>IF(IF(J541="NOT AVAILABLE","",J541)="",12,IF(OR(ISNUMBER(SEARCH("Transactional",IF(J541="NOT AVAILABLE","",J541))),ISNUMBER(SEARCH("Commercial",IF(J541="NOT AVAILABLE","",J541)))),25,IF(ISNUMBER(SEARCH("Informational",IF(J541="NOT AVAILABLE","",J541))),10,IF(ISNUMBER(SEARCH("Navigational",IF(J541="NOT AVAILABLE","",J541))),0,12))))</f>
        <v/>
      </c>
      <c r="Q541">
        <f>IF(ISNUMBER(F541),MIN(30,ROUND(30*LOG10(F541+1)/4,1)),0)</f>
        <v/>
      </c>
      <c r="R541">
        <f>IF(ISNUMBER(G541),ROUND(25*(100-G541)/100,1),12.5)</f>
        <v/>
      </c>
      <c r="S541" t="n">
        <v>20</v>
      </c>
      <c r="T541">
        <f>ROUND(P541+Q541+R541+S541,0)</f>
        <v/>
      </c>
      <c r="U541" s="5" t="inlineStr"/>
      <c r="V541" s="5" t="inlineStr"/>
    </row>
    <row r="542">
      <c r="A542" t="inlineStr">
        <is>
          <t>K0540</t>
        </is>
      </c>
      <c r="B542" t="inlineStr">
        <is>
          <t>comment créer un saas</t>
        </is>
      </c>
      <c r="C542" t="inlineStr">
        <is>
          <t>Morocco</t>
        </is>
      </c>
      <c r="D542" t="inlineStr">
        <is>
          <t>ma</t>
        </is>
      </c>
      <c r="E542" t="inlineStr">
        <is>
          <t>fr</t>
        </is>
      </c>
      <c r="F542" t="inlineStr">
        <is>
          <t>NOT AVAILABLE</t>
        </is>
      </c>
      <c r="G542" t="inlineStr">
        <is>
          <t>NOT AVAILABLE</t>
        </is>
      </c>
      <c r="H542" t="inlineStr">
        <is>
          <t>NOT AVAILABLE</t>
        </is>
      </c>
      <c r="I542" t="inlineStr">
        <is>
          <t>NOT AVAILABLE</t>
        </is>
      </c>
      <c r="J542" t="inlineStr">
        <is>
          <t>NOT AVAILABLE</t>
        </is>
      </c>
      <c r="K542" t="inlineStr">
        <is>
          <t>NOT AVAILABLE</t>
        </is>
      </c>
      <c r="L542" t="inlineStr">
        <is>
          <t>NOT AVAILABLE</t>
        </is>
      </c>
      <c r="M542" t="inlineStr">
        <is>
          <t>UNAVAILABLE</t>
        </is>
      </c>
      <c r="N542" s="5" t="inlineStr">
        <is>
          <t>Semrush phrase_these returned no data (not billed)</t>
        </is>
      </c>
      <c r="O542" t="inlineStr">
        <is>
          <t>2026-10-30</t>
        </is>
      </c>
      <c r="P542">
        <f>IF(IF(J542="NOT AVAILABLE","",J542)="",12,IF(OR(ISNUMBER(SEARCH("Transactional",IF(J542="NOT AVAILABLE","",J542))),ISNUMBER(SEARCH("Commercial",IF(J542="NOT AVAILABLE","",J542)))),25,IF(ISNUMBER(SEARCH("Informational",IF(J542="NOT AVAILABLE","",J542))),10,IF(ISNUMBER(SEARCH("Navigational",IF(J542="NOT AVAILABLE","",J542))),0,12))))</f>
        <v/>
      </c>
      <c r="Q542">
        <f>IF(ISNUMBER(F542),MIN(30,ROUND(30*LOG10(F542+1)/4,1)),0)</f>
        <v/>
      </c>
      <c r="R542">
        <f>IF(ISNUMBER(G542),ROUND(25*(100-G542)/100,1),12.5)</f>
        <v/>
      </c>
      <c r="S542" t="n">
        <v>20</v>
      </c>
      <c r="T542">
        <f>ROUND(P542+Q542+R542+S542,0)</f>
        <v/>
      </c>
      <c r="U542" s="5" t="inlineStr"/>
      <c r="V542" s="5" t="inlineStr"/>
    </row>
    <row r="543">
      <c r="A543" t="inlineStr">
        <is>
          <t>K0541</t>
        </is>
      </c>
      <c r="B543" t="inlineStr">
        <is>
          <t>comment créer un site e-commerce au maroc</t>
        </is>
      </c>
      <c r="C543" t="inlineStr">
        <is>
          <t>Morocco</t>
        </is>
      </c>
      <c r="D543" t="inlineStr">
        <is>
          <t>ma</t>
        </is>
      </c>
      <c r="E543" t="inlineStr">
        <is>
          <t>fr</t>
        </is>
      </c>
      <c r="F543" t="n">
        <v>0</v>
      </c>
      <c r="G543" t="inlineStr">
        <is>
          <t>NOT AVAILABLE</t>
        </is>
      </c>
      <c r="H543" t="n">
        <v>0</v>
      </c>
      <c r="I543" t="n">
        <v>0</v>
      </c>
      <c r="J543" t="inlineStr">
        <is>
          <t>NOT AVAILABLE</t>
        </is>
      </c>
      <c r="K543" t="inlineStr">
        <is>
          <t>NOT AVAILABLE (report not requested)</t>
        </is>
      </c>
      <c r="L543" t="inlineStr">
        <is>
          <t>flat (no data)</t>
        </is>
      </c>
      <c r="M543" t="inlineStr">
        <is>
          <t>MEASURED</t>
        </is>
      </c>
      <c r="N543" s="5" t="inlineStr">
        <is>
          <t>Semrush phrase_these (live, this session)</t>
        </is>
      </c>
      <c r="O543" t="inlineStr">
        <is>
          <t>2026-10-30</t>
        </is>
      </c>
      <c r="P543">
        <f>IF(IF(J543="NOT AVAILABLE","",J543)="",12,IF(OR(ISNUMBER(SEARCH("Transactional",IF(J543="NOT AVAILABLE","",J543))),ISNUMBER(SEARCH("Commercial",IF(J543="NOT AVAILABLE","",J543)))),25,IF(ISNUMBER(SEARCH("Informational",IF(J543="NOT AVAILABLE","",J543))),10,IF(ISNUMBER(SEARCH("Navigational",IF(J543="NOT AVAILABLE","",J543))),0,12))))</f>
        <v/>
      </c>
      <c r="Q543">
        <f>IF(ISNUMBER(F543),MIN(30,ROUND(30*LOG10(F543+1)/4,1)),0)</f>
        <v/>
      </c>
      <c r="R543">
        <f>IF(ISNUMBER(G543),ROUND(25*(100-G543)/100,1),12.5)</f>
        <v/>
      </c>
      <c r="S543" t="n">
        <v>20</v>
      </c>
      <c r="T543">
        <f>ROUND(P543+Q543+R543+S543,0)</f>
        <v/>
      </c>
      <c r="U543" s="5" t="inlineStr"/>
      <c r="V543" s="5" t="inlineStr"/>
    </row>
    <row r="544">
      <c r="A544" t="inlineStr">
        <is>
          <t>K0542</t>
        </is>
      </c>
      <c r="B544" t="inlineStr">
        <is>
          <t>comment créer une boutique en ligne au maroc</t>
        </is>
      </c>
      <c r="C544" t="inlineStr">
        <is>
          <t>Morocco</t>
        </is>
      </c>
      <c r="D544" t="inlineStr">
        <is>
          <t>ma</t>
        </is>
      </c>
      <c r="E544" t="inlineStr">
        <is>
          <t>fr</t>
        </is>
      </c>
      <c r="F544" t="inlineStr">
        <is>
          <t>NOT AVAILABLE</t>
        </is>
      </c>
      <c r="G544" t="inlineStr">
        <is>
          <t>NOT AVAILABLE</t>
        </is>
      </c>
      <c r="H544" t="inlineStr">
        <is>
          <t>NOT AVAILABLE</t>
        </is>
      </c>
      <c r="I544" t="inlineStr">
        <is>
          <t>NOT AVAILABLE</t>
        </is>
      </c>
      <c r="J544" t="inlineStr">
        <is>
          <t>NOT AVAILABLE</t>
        </is>
      </c>
      <c r="K544" t="inlineStr">
        <is>
          <t>NOT AVAILABLE</t>
        </is>
      </c>
      <c r="L544" t="inlineStr">
        <is>
          <t>NOT AVAILABLE</t>
        </is>
      </c>
      <c r="M544" t="inlineStr">
        <is>
          <t>UNAVAILABLE</t>
        </is>
      </c>
      <c r="N544" s="5" t="inlineStr">
        <is>
          <t>Semrush phrase_these returned no data (not billed)</t>
        </is>
      </c>
      <c r="O544" t="inlineStr">
        <is>
          <t>2026-10-30</t>
        </is>
      </c>
      <c r="P544">
        <f>IF(IF(J544="NOT AVAILABLE","",J544)="",12,IF(OR(ISNUMBER(SEARCH("Transactional",IF(J544="NOT AVAILABLE","",J544))),ISNUMBER(SEARCH("Commercial",IF(J544="NOT AVAILABLE","",J544)))),25,IF(ISNUMBER(SEARCH("Informational",IF(J544="NOT AVAILABLE","",J544))),10,IF(ISNUMBER(SEARCH("Navigational",IF(J544="NOT AVAILABLE","",J544))),0,12))))</f>
        <v/>
      </c>
      <c r="Q544">
        <f>IF(ISNUMBER(F544),MIN(30,ROUND(30*LOG10(F544+1)/4,1)),0)</f>
        <v/>
      </c>
      <c r="R544">
        <f>IF(ISNUMBER(G544),ROUND(25*(100-G544)/100,1),12.5)</f>
        <v/>
      </c>
      <c r="S544" t="n">
        <v>20</v>
      </c>
      <c r="T544">
        <f>ROUND(P544+Q544+R544+S544,0)</f>
        <v/>
      </c>
      <c r="U544" s="5" t="inlineStr"/>
      <c r="V544" s="5" t="inlineStr"/>
    </row>
    <row r="545">
      <c r="A545" t="inlineStr">
        <is>
          <t>K0543</t>
        </is>
      </c>
      <c r="B545" t="inlineStr">
        <is>
          <t>comment créer une plateforme saas</t>
        </is>
      </c>
      <c r="C545" t="inlineStr">
        <is>
          <t>Morocco</t>
        </is>
      </c>
      <c r="D545" t="inlineStr">
        <is>
          <t>ma</t>
        </is>
      </c>
      <c r="E545" t="inlineStr">
        <is>
          <t>fr</t>
        </is>
      </c>
      <c r="F545" t="inlineStr">
        <is>
          <t>NOT AVAILABLE</t>
        </is>
      </c>
      <c r="G545" t="inlineStr">
        <is>
          <t>NOT AVAILABLE</t>
        </is>
      </c>
      <c r="H545" t="inlineStr">
        <is>
          <t>NOT AVAILABLE</t>
        </is>
      </c>
      <c r="I545" t="inlineStr">
        <is>
          <t>NOT AVAILABLE</t>
        </is>
      </c>
      <c r="J545" t="inlineStr">
        <is>
          <t>NOT AVAILABLE</t>
        </is>
      </c>
      <c r="K545" t="inlineStr">
        <is>
          <t>NOT AVAILABLE</t>
        </is>
      </c>
      <c r="L545" t="inlineStr">
        <is>
          <t>NOT AVAILABLE</t>
        </is>
      </c>
      <c r="M545" t="inlineStr">
        <is>
          <t>UNAVAILABLE</t>
        </is>
      </c>
      <c r="N545" s="5" t="inlineStr">
        <is>
          <t>Semrush phrase_these returned no data (not billed)</t>
        </is>
      </c>
      <c r="O545" t="inlineStr">
        <is>
          <t>2026-10-30</t>
        </is>
      </c>
      <c r="P545">
        <f>IF(IF(J545="NOT AVAILABLE","",J545)="",12,IF(OR(ISNUMBER(SEARCH("Transactional",IF(J545="NOT AVAILABLE","",J545))),ISNUMBER(SEARCH("Commercial",IF(J545="NOT AVAILABLE","",J545)))),25,IF(ISNUMBER(SEARCH("Informational",IF(J545="NOT AVAILABLE","",J545))),10,IF(ISNUMBER(SEARCH("Navigational",IF(J545="NOT AVAILABLE","",J545))),0,12))))</f>
        <v/>
      </c>
      <c r="Q545">
        <f>IF(ISNUMBER(F545),MIN(30,ROUND(30*LOG10(F545+1)/4,1)),0)</f>
        <v/>
      </c>
      <c r="R545">
        <f>IF(ISNUMBER(G545),ROUND(25*(100-G545)/100,1),12.5)</f>
        <v/>
      </c>
      <c r="S545" t="n">
        <v>20</v>
      </c>
      <c r="T545">
        <f>ROUND(P545+Q545+R545+S545,0)</f>
        <v/>
      </c>
      <c r="U545" s="5" t="inlineStr"/>
      <c r="V545" s="5" t="inlineStr"/>
    </row>
    <row r="546">
      <c r="A546" t="inlineStr">
        <is>
          <t>K0544</t>
        </is>
      </c>
      <c r="B546" t="inlineStr">
        <is>
          <t>comment référencer son site sur google</t>
        </is>
      </c>
      <c r="C546" t="inlineStr">
        <is>
          <t>Morocco</t>
        </is>
      </c>
      <c r="D546" t="inlineStr">
        <is>
          <t>ma</t>
        </is>
      </c>
      <c r="E546" t="inlineStr">
        <is>
          <t>fr</t>
        </is>
      </c>
      <c r="F546" t="n">
        <v>0</v>
      </c>
      <c r="G546" t="inlineStr">
        <is>
          <t>NOT AVAILABLE</t>
        </is>
      </c>
      <c r="H546" t="n">
        <v>0</v>
      </c>
      <c r="I546" t="n">
        <v>0</v>
      </c>
      <c r="J546" t="inlineStr">
        <is>
          <t>NOT AVAILABLE</t>
        </is>
      </c>
      <c r="K546" t="inlineStr">
        <is>
          <t>NOT AVAILABLE (report not requested)</t>
        </is>
      </c>
      <c r="L546" t="inlineStr">
        <is>
          <t>flat (no data)</t>
        </is>
      </c>
      <c r="M546" t="inlineStr">
        <is>
          <t>MEASURED</t>
        </is>
      </c>
      <c r="N546" s="5" t="inlineStr">
        <is>
          <t>Semrush phrase_these (live, this session)</t>
        </is>
      </c>
      <c r="O546" t="inlineStr">
        <is>
          <t>2026-10-30</t>
        </is>
      </c>
      <c r="P546">
        <f>IF(IF(J546="NOT AVAILABLE","",J546)="",12,IF(OR(ISNUMBER(SEARCH("Transactional",IF(J546="NOT AVAILABLE","",J546))),ISNUMBER(SEARCH("Commercial",IF(J546="NOT AVAILABLE","",J546)))),25,IF(ISNUMBER(SEARCH("Informational",IF(J546="NOT AVAILABLE","",J546))),10,IF(ISNUMBER(SEARCH("Navigational",IF(J546="NOT AVAILABLE","",J546))),0,12))))</f>
        <v/>
      </c>
      <c r="Q546">
        <f>IF(ISNUMBER(F546),MIN(30,ROUND(30*LOG10(F546+1)/4,1)),0)</f>
        <v/>
      </c>
      <c r="R546">
        <f>IF(ISNUMBER(G546),ROUND(25*(100-G546)/100,1),12.5)</f>
        <v/>
      </c>
      <c r="S546" t="n">
        <v>20</v>
      </c>
      <c r="T546">
        <f>ROUND(P546+Q546+R546+S546,0)</f>
        <v/>
      </c>
      <c r="U546" s="5" t="inlineStr"/>
      <c r="V546" s="5" t="inlineStr"/>
    </row>
    <row r="547">
      <c r="A547" t="inlineStr">
        <is>
          <t>K0545</t>
        </is>
      </c>
      <c r="B547" t="inlineStr">
        <is>
          <t>comment vendre en ligne au maroc</t>
        </is>
      </c>
      <c r="C547" t="inlineStr">
        <is>
          <t>Morocco</t>
        </is>
      </c>
      <c r="D547" t="inlineStr">
        <is>
          <t>ma</t>
        </is>
      </c>
      <c r="E547" t="inlineStr">
        <is>
          <t>fr</t>
        </is>
      </c>
      <c r="F547" t="n">
        <v>0</v>
      </c>
      <c r="G547" t="inlineStr">
        <is>
          <t>NOT AVAILABLE</t>
        </is>
      </c>
      <c r="H547" t="n">
        <v>0</v>
      </c>
      <c r="I547" t="n">
        <v>0</v>
      </c>
      <c r="J547" t="inlineStr">
        <is>
          <t>NOT AVAILABLE</t>
        </is>
      </c>
      <c r="K547" t="inlineStr">
        <is>
          <t>NOT AVAILABLE (report not requested)</t>
        </is>
      </c>
      <c r="L547" t="inlineStr">
        <is>
          <t>flat (no data)</t>
        </is>
      </c>
      <c r="M547" t="inlineStr">
        <is>
          <t>MEASURED</t>
        </is>
      </c>
      <c r="N547" s="5" t="inlineStr">
        <is>
          <t>Semrush phrase_these (live, this session)</t>
        </is>
      </c>
      <c r="O547" t="inlineStr">
        <is>
          <t>2026-10-30</t>
        </is>
      </c>
      <c r="P547">
        <f>IF(IF(J547="NOT AVAILABLE","",J547)="",12,IF(OR(ISNUMBER(SEARCH("Transactional",IF(J547="NOT AVAILABLE","",J547))),ISNUMBER(SEARCH("Commercial",IF(J547="NOT AVAILABLE","",J547)))),25,IF(ISNUMBER(SEARCH("Informational",IF(J547="NOT AVAILABLE","",J547))),10,IF(ISNUMBER(SEARCH("Navigational",IF(J547="NOT AVAILABLE","",J547))),0,12))))</f>
        <v/>
      </c>
      <c r="Q547">
        <f>IF(ISNUMBER(F547),MIN(30,ROUND(30*LOG10(F547+1)/4,1)),0)</f>
        <v/>
      </c>
      <c r="R547">
        <f>IF(ISNUMBER(G547),ROUND(25*(100-G547)/100,1),12.5)</f>
        <v/>
      </c>
      <c r="S547" t="n">
        <v>20</v>
      </c>
      <c r="T547">
        <f>ROUND(P547+Q547+R547+S547,0)</f>
        <v/>
      </c>
      <c r="U547" s="5" t="inlineStr"/>
      <c r="V547" s="5" t="inlineStr"/>
    </row>
    <row r="548">
      <c r="A548" t="inlineStr">
        <is>
          <t>K0546</t>
        </is>
      </c>
      <c r="B548" t="inlineStr">
        <is>
          <t>comment être premier sur google</t>
        </is>
      </c>
      <c r="C548" t="inlineStr">
        <is>
          <t>Morocco</t>
        </is>
      </c>
      <c r="D548" t="inlineStr">
        <is>
          <t>ma</t>
        </is>
      </c>
      <c r="E548" t="inlineStr">
        <is>
          <t>fr</t>
        </is>
      </c>
      <c r="F548" t="n">
        <v>0</v>
      </c>
      <c r="G548" t="inlineStr">
        <is>
          <t>NOT AVAILABLE</t>
        </is>
      </c>
      <c r="H548" t="n">
        <v>0</v>
      </c>
      <c r="I548" t="n">
        <v>0</v>
      </c>
      <c r="J548" t="inlineStr">
        <is>
          <t>NOT AVAILABLE</t>
        </is>
      </c>
      <c r="K548" t="inlineStr">
        <is>
          <t>NOT AVAILABLE (report not requested)</t>
        </is>
      </c>
      <c r="L548" t="inlineStr">
        <is>
          <t>flat (no data)</t>
        </is>
      </c>
      <c r="M548" t="inlineStr">
        <is>
          <t>MEASURED</t>
        </is>
      </c>
      <c r="N548" s="5" t="inlineStr">
        <is>
          <t>Semrush phrase_these (live, this session)</t>
        </is>
      </c>
      <c r="O548" t="inlineStr">
        <is>
          <t>2026-10-30</t>
        </is>
      </c>
      <c r="P548">
        <f>IF(IF(J548="NOT AVAILABLE","",J548)="",12,IF(OR(ISNUMBER(SEARCH("Transactional",IF(J548="NOT AVAILABLE","",J548))),ISNUMBER(SEARCH("Commercial",IF(J548="NOT AVAILABLE","",J548)))),25,IF(ISNUMBER(SEARCH("Informational",IF(J548="NOT AVAILABLE","",J548))),10,IF(ISNUMBER(SEARCH("Navigational",IF(J548="NOT AVAILABLE","",J548))),0,12))))</f>
        <v/>
      </c>
      <c r="Q548">
        <f>IF(ISNUMBER(F548),MIN(30,ROUND(30*LOG10(F548+1)/4,1)),0)</f>
        <v/>
      </c>
      <c r="R548">
        <f>IF(ISNUMBER(G548),ROUND(25*(100-G548)/100,1),12.5)</f>
        <v/>
      </c>
      <c r="S548" t="n">
        <v>20</v>
      </c>
      <c r="T548">
        <f>ROUND(P548+Q548+R548+S548,0)</f>
        <v/>
      </c>
      <c r="U548" s="5" t="inlineStr"/>
      <c r="V548" s="5" t="inlineStr"/>
    </row>
    <row r="549">
      <c r="A549" t="inlineStr">
        <is>
          <t>K0547</t>
        </is>
      </c>
      <c r="B549" t="inlineStr">
        <is>
          <t>conception site web agadir</t>
        </is>
      </c>
      <c r="C549" t="inlineStr">
        <is>
          <t>Morocco</t>
        </is>
      </c>
      <c r="D549" t="inlineStr">
        <is>
          <t>ma</t>
        </is>
      </c>
      <c r="E549" t="inlineStr">
        <is>
          <t>fr</t>
        </is>
      </c>
      <c r="F549" t="inlineStr">
        <is>
          <t>NOT AVAILABLE</t>
        </is>
      </c>
      <c r="G549" t="inlineStr">
        <is>
          <t>NOT AVAILABLE</t>
        </is>
      </c>
      <c r="H549" t="inlineStr">
        <is>
          <t>NOT AVAILABLE</t>
        </is>
      </c>
      <c r="I549" t="inlineStr">
        <is>
          <t>NOT AVAILABLE</t>
        </is>
      </c>
      <c r="J549" t="inlineStr">
        <is>
          <t>NOT AVAILABLE</t>
        </is>
      </c>
      <c r="K549" t="inlineStr">
        <is>
          <t>NOT AVAILABLE</t>
        </is>
      </c>
      <c r="L549" t="inlineStr">
        <is>
          <t>NOT AVAILABLE</t>
        </is>
      </c>
      <c r="M549" t="inlineStr">
        <is>
          <t>UNAVAILABLE</t>
        </is>
      </c>
      <c r="N549" s="5" t="inlineStr">
        <is>
          <t>Semrush phrase_these returned no data (not billed)</t>
        </is>
      </c>
      <c r="O549" t="inlineStr">
        <is>
          <t>2026-10-30</t>
        </is>
      </c>
      <c r="P549">
        <f>IF(IF(J549="NOT AVAILABLE","",J549)="",12,IF(OR(ISNUMBER(SEARCH("Transactional",IF(J549="NOT AVAILABLE","",J549))),ISNUMBER(SEARCH("Commercial",IF(J549="NOT AVAILABLE","",J549)))),25,IF(ISNUMBER(SEARCH("Informational",IF(J549="NOT AVAILABLE","",J549))),10,IF(ISNUMBER(SEARCH("Navigational",IF(J549="NOT AVAILABLE","",J549))),0,12))))</f>
        <v/>
      </c>
      <c r="Q549">
        <f>IF(ISNUMBER(F549),MIN(30,ROUND(30*LOG10(F549+1)/4,1)),0)</f>
        <v/>
      </c>
      <c r="R549">
        <f>IF(ISNUMBER(G549),ROUND(25*(100-G549)/100,1),12.5)</f>
        <v/>
      </c>
      <c r="S549" t="n">
        <v>20</v>
      </c>
      <c r="T549">
        <f>ROUND(P549+Q549+R549+S549,0)</f>
        <v/>
      </c>
      <c r="U549" s="5" t="inlineStr"/>
      <c r="V549" s="5" t="inlineStr"/>
    </row>
    <row r="550">
      <c r="A550" t="inlineStr">
        <is>
          <t>K0548</t>
        </is>
      </c>
      <c r="B550" t="inlineStr">
        <is>
          <t>conception site web marrakech</t>
        </is>
      </c>
      <c r="C550" t="inlineStr">
        <is>
          <t>Morocco</t>
        </is>
      </c>
      <c r="D550" t="inlineStr">
        <is>
          <t>ma</t>
        </is>
      </c>
      <c r="E550" t="inlineStr">
        <is>
          <t>fr</t>
        </is>
      </c>
      <c r="F550" t="inlineStr">
        <is>
          <t>NOT AVAILABLE</t>
        </is>
      </c>
      <c r="G550" t="inlineStr">
        <is>
          <t>NOT AVAILABLE</t>
        </is>
      </c>
      <c r="H550" t="inlineStr">
        <is>
          <t>NOT AVAILABLE</t>
        </is>
      </c>
      <c r="I550" t="inlineStr">
        <is>
          <t>NOT AVAILABLE</t>
        </is>
      </c>
      <c r="J550" t="inlineStr">
        <is>
          <t>NOT AVAILABLE</t>
        </is>
      </c>
      <c r="K550" t="inlineStr">
        <is>
          <t>NOT AVAILABLE</t>
        </is>
      </c>
      <c r="L550" t="inlineStr">
        <is>
          <t>NOT AVAILABLE</t>
        </is>
      </c>
      <c r="M550" t="inlineStr">
        <is>
          <t>UNAVAILABLE</t>
        </is>
      </c>
      <c r="N550" s="5" t="inlineStr">
        <is>
          <t>Semrush phrase_these returned no data (not billed)</t>
        </is>
      </c>
      <c r="O550" t="inlineStr">
        <is>
          <t>2026-10-30</t>
        </is>
      </c>
      <c r="P550">
        <f>IF(IF(J550="NOT AVAILABLE","",J550)="",12,IF(OR(ISNUMBER(SEARCH("Transactional",IF(J550="NOT AVAILABLE","",J550))),ISNUMBER(SEARCH("Commercial",IF(J550="NOT AVAILABLE","",J550)))),25,IF(ISNUMBER(SEARCH("Informational",IF(J550="NOT AVAILABLE","",J550))),10,IF(ISNUMBER(SEARCH("Navigational",IF(J550="NOT AVAILABLE","",J550))),0,12))))</f>
        <v/>
      </c>
      <c r="Q550">
        <f>IF(ISNUMBER(F550),MIN(30,ROUND(30*LOG10(F550+1)/4,1)),0)</f>
        <v/>
      </c>
      <c r="R550">
        <f>IF(ISNUMBER(G550),ROUND(25*(100-G550)/100,1),12.5)</f>
        <v/>
      </c>
      <c r="S550" t="n">
        <v>20</v>
      </c>
      <c r="T550">
        <f>ROUND(P550+Q550+R550+S550,0)</f>
        <v/>
      </c>
      <c r="U550" s="5" t="inlineStr"/>
      <c r="V550" s="5" t="inlineStr"/>
    </row>
    <row r="551">
      <c r="A551" t="inlineStr">
        <is>
          <t>K0549</t>
        </is>
      </c>
      <c r="B551" t="inlineStr">
        <is>
          <t>conception site web rabat</t>
        </is>
      </c>
      <c r="C551" t="inlineStr">
        <is>
          <t>Morocco</t>
        </is>
      </c>
      <c r="D551" t="inlineStr">
        <is>
          <t>ma</t>
        </is>
      </c>
      <c r="E551" t="inlineStr">
        <is>
          <t>fr</t>
        </is>
      </c>
      <c r="F551" t="inlineStr">
        <is>
          <t>NOT AVAILABLE</t>
        </is>
      </c>
      <c r="G551" t="inlineStr">
        <is>
          <t>NOT AVAILABLE</t>
        </is>
      </c>
      <c r="H551" t="inlineStr">
        <is>
          <t>NOT AVAILABLE</t>
        </is>
      </c>
      <c r="I551" t="inlineStr">
        <is>
          <t>NOT AVAILABLE</t>
        </is>
      </c>
      <c r="J551" t="inlineStr">
        <is>
          <t>NOT AVAILABLE</t>
        </is>
      </c>
      <c r="K551" t="inlineStr">
        <is>
          <t>NOT AVAILABLE</t>
        </is>
      </c>
      <c r="L551" t="inlineStr">
        <is>
          <t>NOT AVAILABLE</t>
        </is>
      </c>
      <c r="M551" t="inlineStr">
        <is>
          <t>UNAVAILABLE</t>
        </is>
      </c>
      <c r="N551" s="5" t="inlineStr">
        <is>
          <t>Semrush phrase_these returned no data (not billed)</t>
        </is>
      </c>
      <c r="O551" t="inlineStr">
        <is>
          <t>2026-10-30</t>
        </is>
      </c>
      <c r="P551">
        <f>IF(IF(J551="NOT AVAILABLE","",J551)="",12,IF(OR(ISNUMBER(SEARCH("Transactional",IF(J551="NOT AVAILABLE","",J551))),ISNUMBER(SEARCH("Commercial",IF(J551="NOT AVAILABLE","",J551)))),25,IF(ISNUMBER(SEARCH("Informational",IF(J551="NOT AVAILABLE","",J551))),10,IF(ISNUMBER(SEARCH("Navigational",IF(J551="NOT AVAILABLE","",J551))),0,12))))</f>
        <v/>
      </c>
      <c r="Q551">
        <f>IF(ISNUMBER(F551),MIN(30,ROUND(30*LOG10(F551+1)/4,1)),0)</f>
        <v/>
      </c>
      <c r="R551">
        <f>IF(ISNUMBER(G551),ROUND(25*(100-G551)/100,1),12.5)</f>
        <v/>
      </c>
      <c r="S551" t="n">
        <v>20</v>
      </c>
      <c r="T551">
        <f>ROUND(P551+Q551+R551+S551,0)</f>
        <v/>
      </c>
      <c r="U551" s="5" t="inlineStr"/>
      <c r="V551" s="5" t="inlineStr"/>
    </row>
    <row r="552">
      <c r="A552" t="inlineStr">
        <is>
          <t>K0550</t>
        </is>
      </c>
      <c r="B552" t="inlineStr">
        <is>
          <t>conception site web tanger</t>
        </is>
      </c>
      <c r="C552" t="inlineStr">
        <is>
          <t>Morocco</t>
        </is>
      </c>
      <c r="D552" t="inlineStr">
        <is>
          <t>ma</t>
        </is>
      </c>
      <c r="E552" t="inlineStr">
        <is>
          <t>fr</t>
        </is>
      </c>
      <c r="F552" t="inlineStr">
        <is>
          <t>NOT AVAILABLE</t>
        </is>
      </c>
      <c r="G552" t="inlineStr">
        <is>
          <t>NOT AVAILABLE</t>
        </is>
      </c>
      <c r="H552" t="inlineStr">
        <is>
          <t>NOT AVAILABLE</t>
        </is>
      </c>
      <c r="I552" t="inlineStr">
        <is>
          <t>NOT AVAILABLE</t>
        </is>
      </c>
      <c r="J552" t="inlineStr">
        <is>
          <t>NOT AVAILABLE</t>
        </is>
      </c>
      <c r="K552" t="inlineStr">
        <is>
          <t>NOT AVAILABLE</t>
        </is>
      </c>
      <c r="L552" t="inlineStr">
        <is>
          <t>NOT AVAILABLE</t>
        </is>
      </c>
      <c r="M552" t="inlineStr">
        <is>
          <t>UNAVAILABLE</t>
        </is>
      </c>
      <c r="N552" s="5" t="inlineStr">
        <is>
          <t>Semrush phrase_these returned no data (not billed)</t>
        </is>
      </c>
      <c r="O552" t="inlineStr">
        <is>
          <t>2026-10-30</t>
        </is>
      </c>
      <c r="P552">
        <f>IF(IF(J552="NOT AVAILABLE","",J552)="",12,IF(OR(ISNUMBER(SEARCH("Transactional",IF(J552="NOT AVAILABLE","",J552))),ISNUMBER(SEARCH("Commercial",IF(J552="NOT AVAILABLE","",J552)))),25,IF(ISNUMBER(SEARCH("Informational",IF(J552="NOT AVAILABLE","",J552))),10,IF(ISNUMBER(SEARCH("Navigational",IF(J552="NOT AVAILABLE","",J552))),0,12))))</f>
        <v/>
      </c>
      <c r="Q552">
        <f>IF(ISNUMBER(F552),MIN(30,ROUND(30*LOG10(F552+1)/4,1)),0)</f>
        <v/>
      </c>
      <c r="R552">
        <f>IF(ISNUMBER(G552),ROUND(25*(100-G552)/100,1),12.5)</f>
        <v/>
      </c>
      <c r="S552" t="n">
        <v>20</v>
      </c>
      <c r="T552">
        <f>ROUND(P552+Q552+R552+S552,0)</f>
        <v/>
      </c>
      <c r="U552" s="5" t="inlineStr"/>
      <c r="V552" s="5" t="inlineStr"/>
    </row>
    <row r="553">
      <c r="A553" t="inlineStr">
        <is>
          <t>K0551</t>
        </is>
      </c>
      <c r="B553" t="inlineStr">
        <is>
          <t>confiance site web</t>
        </is>
      </c>
      <c r="C553" t="inlineStr">
        <is>
          <t>Morocco</t>
        </is>
      </c>
      <c r="D553" t="inlineStr">
        <is>
          <t>ma</t>
        </is>
      </c>
      <c r="E553" t="inlineStr">
        <is>
          <t>fr</t>
        </is>
      </c>
      <c r="F553" t="n">
        <v>0</v>
      </c>
      <c r="G553" t="inlineStr">
        <is>
          <t>NOT AVAILABLE</t>
        </is>
      </c>
      <c r="H553" t="n">
        <v>0</v>
      </c>
      <c r="I553" t="n">
        <v>0</v>
      </c>
      <c r="J553" t="inlineStr">
        <is>
          <t>NOT AVAILABLE</t>
        </is>
      </c>
      <c r="K553" t="inlineStr">
        <is>
          <t>NOT AVAILABLE (report not requested)</t>
        </is>
      </c>
      <c r="L553" t="inlineStr">
        <is>
          <t>flat (no data)</t>
        </is>
      </c>
      <c r="M553" t="inlineStr">
        <is>
          <t>MEASURED</t>
        </is>
      </c>
      <c r="N553" s="5" t="inlineStr">
        <is>
          <t>Semrush phrase_these (live, this session)</t>
        </is>
      </c>
      <c r="O553" t="inlineStr">
        <is>
          <t>2026-10-30</t>
        </is>
      </c>
      <c r="P553">
        <f>IF(IF(J553="NOT AVAILABLE","",J553)="",12,IF(OR(ISNUMBER(SEARCH("Transactional",IF(J553="NOT AVAILABLE","",J553))),ISNUMBER(SEARCH("Commercial",IF(J553="NOT AVAILABLE","",J553)))),25,IF(ISNUMBER(SEARCH("Informational",IF(J553="NOT AVAILABLE","",J553))),10,IF(ISNUMBER(SEARCH("Navigational",IF(J553="NOT AVAILABLE","",J553))),0,12))))</f>
        <v/>
      </c>
      <c r="Q553">
        <f>IF(ISNUMBER(F553),MIN(30,ROUND(30*LOG10(F553+1)/4,1)),0)</f>
        <v/>
      </c>
      <c r="R553">
        <f>IF(ISNUMBER(G553),ROUND(25*(100-G553)/100,1),12.5)</f>
        <v/>
      </c>
      <c r="S553" t="n">
        <v>20</v>
      </c>
      <c r="T553">
        <f>ROUND(P553+Q553+R553+S553,0)</f>
        <v/>
      </c>
      <c r="U553" s="5" t="inlineStr"/>
      <c r="V553" s="5" t="inlineStr"/>
    </row>
    <row r="554">
      <c r="A554" t="inlineStr">
        <is>
          <t>K0552</t>
        </is>
      </c>
      <c r="B554" t="inlineStr">
        <is>
          <t>consultant immigration maroc</t>
        </is>
      </c>
      <c r="C554" t="inlineStr">
        <is>
          <t>Morocco</t>
        </is>
      </c>
      <c r="D554" t="inlineStr">
        <is>
          <t>ma</t>
        </is>
      </c>
      <c r="E554" t="inlineStr">
        <is>
          <t>fr</t>
        </is>
      </c>
      <c r="F554" t="inlineStr">
        <is>
          <t>NOT AVAILABLE</t>
        </is>
      </c>
      <c r="G554" t="inlineStr">
        <is>
          <t>NOT AVAILABLE</t>
        </is>
      </c>
      <c r="H554" t="inlineStr">
        <is>
          <t>NOT AVAILABLE</t>
        </is>
      </c>
      <c r="I554" t="inlineStr">
        <is>
          <t>NOT AVAILABLE</t>
        </is>
      </c>
      <c r="J554" t="inlineStr">
        <is>
          <t>NOT AVAILABLE</t>
        </is>
      </c>
      <c r="K554" t="inlineStr">
        <is>
          <t>NOT AVAILABLE</t>
        </is>
      </c>
      <c r="L554" t="inlineStr">
        <is>
          <t>NOT AVAILABLE</t>
        </is>
      </c>
      <c r="M554" t="inlineStr">
        <is>
          <t>UNAVAILABLE</t>
        </is>
      </c>
      <c r="N554" s="5" t="inlineStr">
        <is>
          <t>Semrush phrase_these returned no data (not billed)</t>
        </is>
      </c>
      <c r="O554" t="inlineStr">
        <is>
          <t>2026-10-30</t>
        </is>
      </c>
      <c r="P554">
        <f>IF(IF(J554="NOT AVAILABLE","",J554)="",12,IF(OR(ISNUMBER(SEARCH("Transactional",IF(J554="NOT AVAILABLE","",J554))),ISNUMBER(SEARCH("Commercial",IF(J554="NOT AVAILABLE","",J554)))),25,IF(ISNUMBER(SEARCH("Informational",IF(J554="NOT AVAILABLE","",J554))),10,IF(ISNUMBER(SEARCH("Navigational",IF(J554="NOT AVAILABLE","",J554))),0,12))))</f>
        <v/>
      </c>
      <c r="Q554">
        <f>IF(ISNUMBER(F554),MIN(30,ROUND(30*LOG10(F554+1)/4,1)),0)</f>
        <v/>
      </c>
      <c r="R554">
        <f>IF(ISNUMBER(G554),ROUND(25*(100-G554)/100,1),12.5)</f>
        <v/>
      </c>
      <c r="S554" t="n">
        <v>20</v>
      </c>
      <c r="T554">
        <f>ROUND(P554+Q554+R554+S554,0)</f>
        <v/>
      </c>
      <c r="U554" s="5" t="inlineStr"/>
      <c r="V554" s="5" t="inlineStr"/>
    </row>
    <row r="555">
      <c r="A555" t="inlineStr">
        <is>
          <t>K0553</t>
        </is>
      </c>
      <c r="B555" t="inlineStr">
        <is>
          <t>consultant référencement naturel</t>
        </is>
      </c>
      <c r="C555" t="inlineStr">
        <is>
          <t>Morocco</t>
        </is>
      </c>
      <c r="D555" t="inlineStr">
        <is>
          <t>ma</t>
        </is>
      </c>
      <c r="E555" t="inlineStr">
        <is>
          <t>fr</t>
        </is>
      </c>
      <c r="F555" t="n">
        <v>0</v>
      </c>
      <c r="G555" t="inlineStr">
        <is>
          <t>NOT AVAILABLE</t>
        </is>
      </c>
      <c r="H555" t="n">
        <v>0</v>
      </c>
      <c r="I555" t="n">
        <v>0</v>
      </c>
      <c r="J555" t="inlineStr">
        <is>
          <t>NOT AVAILABLE</t>
        </is>
      </c>
      <c r="K555" t="inlineStr">
        <is>
          <t>NOT AVAILABLE (report not requested)</t>
        </is>
      </c>
      <c r="L555" t="inlineStr">
        <is>
          <t>flat (no data)</t>
        </is>
      </c>
      <c r="M555" t="inlineStr">
        <is>
          <t>MEASURED</t>
        </is>
      </c>
      <c r="N555" s="5" t="inlineStr">
        <is>
          <t>Semrush phrase_these (historical w3-validate-C-seo.csv)</t>
        </is>
      </c>
      <c r="O555" t="inlineStr">
        <is>
          <t>2026-10-27</t>
        </is>
      </c>
      <c r="P555">
        <f>IF(IF(J555="NOT AVAILABLE","",J555)="",12,IF(OR(ISNUMBER(SEARCH("Transactional",IF(J555="NOT AVAILABLE","",J555))),ISNUMBER(SEARCH("Commercial",IF(J555="NOT AVAILABLE","",J555)))),25,IF(ISNUMBER(SEARCH("Informational",IF(J555="NOT AVAILABLE","",J555))),10,IF(ISNUMBER(SEARCH("Navigational",IF(J555="NOT AVAILABLE","",J555))),0,12))))</f>
        <v/>
      </c>
      <c r="Q555">
        <f>IF(ISNUMBER(F555),MIN(30,ROUND(30*LOG10(F555+1)/4,1)),0)</f>
        <v/>
      </c>
      <c r="R555">
        <f>IF(ISNUMBER(G555),ROUND(25*(100-G555)/100,1),12.5)</f>
        <v/>
      </c>
      <c r="S555" t="n">
        <v>20</v>
      </c>
      <c r="T555">
        <f>ROUND(P555+Q555+R555+S555,0)</f>
        <v/>
      </c>
      <c r="U555" s="5" t="inlineStr"/>
      <c r="V555" s="5" t="inlineStr"/>
    </row>
    <row r="556">
      <c r="A556" t="inlineStr">
        <is>
          <t>K0554</t>
        </is>
      </c>
      <c r="B556" t="inlineStr">
        <is>
          <t>contact agence web</t>
        </is>
      </c>
      <c r="C556" t="inlineStr">
        <is>
          <t>Morocco</t>
        </is>
      </c>
      <c r="D556" t="inlineStr">
        <is>
          <t>ma</t>
        </is>
      </c>
      <c r="E556" t="inlineStr">
        <is>
          <t>fr</t>
        </is>
      </c>
      <c r="F556" t="inlineStr">
        <is>
          <t>NOT AVAILABLE</t>
        </is>
      </c>
      <c r="G556" t="inlineStr">
        <is>
          <t>NOT AVAILABLE</t>
        </is>
      </c>
      <c r="H556" t="inlineStr">
        <is>
          <t>NOT AVAILABLE</t>
        </is>
      </c>
      <c r="I556" t="inlineStr">
        <is>
          <t>NOT AVAILABLE</t>
        </is>
      </c>
      <c r="J556" t="inlineStr">
        <is>
          <t>NOT AVAILABLE</t>
        </is>
      </c>
      <c r="K556" t="inlineStr">
        <is>
          <t>NOT AVAILABLE</t>
        </is>
      </c>
      <c r="L556" t="inlineStr">
        <is>
          <t>NOT AVAILABLE</t>
        </is>
      </c>
      <c r="M556" t="inlineStr">
        <is>
          <t>UNAVAILABLE</t>
        </is>
      </c>
      <c r="N556" s="5" t="inlineStr">
        <is>
          <t>Semrush phrase_these returned no data (not billed)</t>
        </is>
      </c>
      <c r="O556" t="inlineStr">
        <is>
          <t>2026-10-30</t>
        </is>
      </c>
      <c r="P556">
        <f>IF(IF(J556="NOT AVAILABLE","",J556)="",12,IF(OR(ISNUMBER(SEARCH("Transactional",IF(J556="NOT AVAILABLE","",J556))),ISNUMBER(SEARCH("Commercial",IF(J556="NOT AVAILABLE","",J556)))),25,IF(ISNUMBER(SEARCH("Informational",IF(J556="NOT AVAILABLE","",J556))),10,IF(ISNUMBER(SEARCH("Navigational",IF(J556="NOT AVAILABLE","",J556))),0,12))))</f>
        <v/>
      </c>
      <c r="Q556">
        <f>IF(ISNUMBER(F556),MIN(30,ROUND(30*LOG10(F556+1)/4,1)),0)</f>
        <v/>
      </c>
      <c r="R556">
        <f>IF(ISNUMBER(G556),ROUND(25*(100-G556)/100,1),12.5)</f>
        <v/>
      </c>
      <c r="S556" t="n">
        <v>20</v>
      </c>
      <c r="T556">
        <f>ROUND(P556+Q556+R556+S556,0)</f>
        <v/>
      </c>
      <c r="U556" s="5" t="inlineStr"/>
      <c r="V556" s="5" t="inlineStr">
        <is>
          <t>PRIMARY /contact</t>
        </is>
      </c>
    </row>
    <row r="557">
      <c r="A557" t="inlineStr">
        <is>
          <t>K0555</t>
        </is>
      </c>
      <c r="B557" t="inlineStr">
        <is>
          <t>convertir majuscule minuscule</t>
        </is>
      </c>
      <c r="C557" t="inlineStr">
        <is>
          <t>Morocco</t>
        </is>
      </c>
      <c r="D557" t="inlineStr">
        <is>
          <t>ma</t>
        </is>
      </c>
      <c r="E557" t="inlineStr">
        <is>
          <t>fr</t>
        </is>
      </c>
      <c r="F557" t="inlineStr">
        <is>
          <t>NOT AVAILABLE</t>
        </is>
      </c>
      <c r="G557" t="inlineStr">
        <is>
          <t>NOT AVAILABLE</t>
        </is>
      </c>
      <c r="H557" t="inlineStr">
        <is>
          <t>NOT AVAILABLE</t>
        </is>
      </c>
      <c r="I557" t="inlineStr">
        <is>
          <t>NOT AVAILABLE</t>
        </is>
      </c>
      <c r="J557" t="inlineStr">
        <is>
          <t>NOT AVAILABLE</t>
        </is>
      </c>
      <c r="K557" t="inlineStr">
        <is>
          <t>NOT AVAILABLE</t>
        </is>
      </c>
      <c r="L557" t="inlineStr">
        <is>
          <t>NOT AVAILABLE</t>
        </is>
      </c>
      <c r="M557" t="inlineStr">
        <is>
          <t>UNAVAILABLE</t>
        </is>
      </c>
      <c r="N557" s="5" t="inlineStr">
        <is>
          <t>Semrush phrase_these returned no data (not billed)</t>
        </is>
      </c>
      <c r="O557" t="inlineStr">
        <is>
          <t>2026-10-30</t>
        </is>
      </c>
      <c r="P557">
        <f>IF(IF(J557="NOT AVAILABLE","",J557)="",12,IF(OR(ISNUMBER(SEARCH("Transactional",IF(J557="NOT AVAILABLE","",J557))),ISNUMBER(SEARCH("Commercial",IF(J557="NOT AVAILABLE","",J557)))),25,IF(ISNUMBER(SEARCH("Informational",IF(J557="NOT AVAILABLE","",J557))),10,IF(ISNUMBER(SEARCH("Navigational",IF(J557="NOT AVAILABLE","",J557))),0,12))))</f>
        <v/>
      </c>
      <c r="Q557">
        <f>IF(ISNUMBER(F557),MIN(30,ROUND(30*LOG10(F557+1)/4,1)),0)</f>
        <v/>
      </c>
      <c r="R557">
        <f>IF(ISNUMBER(G557),ROUND(25*(100-G557)/100,1),12.5)</f>
        <v/>
      </c>
      <c r="S557" t="n">
        <v>20</v>
      </c>
      <c r="T557">
        <f>ROUND(P557+Q557+R557+S557,0)</f>
        <v/>
      </c>
      <c r="U557" s="5" t="inlineStr"/>
      <c r="V557" s="5" t="inlineStr"/>
    </row>
    <row r="558">
      <c r="A558" t="inlineStr">
        <is>
          <t>K0556</t>
        </is>
      </c>
      <c r="B558" t="inlineStr">
        <is>
          <t>convertisseur majuscule</t>
        </is>
      </c>
      <c r="C558" t="inlineStr">
        <is>
          <t>Morocco</t>
        </is>
      </c>
      <c r="D558" t="inlineStr">
        <is>
          <t>ma</t>
        </is>
      </c>
      <c r="E558" t="inlineStr">
        <is>
          <t>fr</t>
        </is>
      </c>
      <c r="F558" t="n">
        <v>0</v>
      </c>
      <c r="G558" t="inlineStr">
        <is>
          <t>NOT AVAILABLE</t>
        </is>
      </c>
      <c r="H558" t="n">
        <v>0</v>
      </c>
      <c r="I558" t="n">
        <v>0</v>
      </c>
      <c r="J558" t="inlineStr">
        <is>
          <t>NOT AVAILABLE</t>
        </is>
      </c>
      <c r="K558" t="inlineStr">
        <is>
          <t>NOT AVAILABLE (report not requested)</t>
        </is>
      </c>
      <c r="L558" t="inlineStr">
        <is>
          <t>flat (no data)</t>
        </is>
      </c>
      <c r="M558" t="inlineStr">
        <is>
          <t>MEASURED</t>
        </is>
      </c>
      <c r="N558" s="5" t="inlineStr">
        <is>
          <t>Semrush phrase_these (live, this session)</t>
        </is>
      </c>
      <c r="O558" t="inlineStr">
        <is>
          <t>2026-10-30</t>
        </is>
      </c>
      <c r="P558">
        <f>IF(IF(J558="NOT AVAILABLE","",J558)="",12,IF(OR(ISNUMBER(SEARCH("Transactional",IF(J558="NOT AVAILABLE","",J558))),ISNUMBER(SEARCH("Commercial",IF(J558="NOT AVAILABLE","",J558)))),25,IF(ISNUMBER(SEARCH("Informational",IF(J558="NOT AVAILABLE","",J558))),10,IF(ISNUMBER(SEARCH("Navigational",IF(J558="NOT AVAILABLE","",J558))),0,12))))</f>
        <v/>
      </c>
      <c r="Q558">
        <f>IF(ISNUMBER(F558),MIN(30,ROUND(30*LOG10(F558+1)/4,1)),0)</f>
        <v/>
      </c>
      <c r="R558">
        <f>IF(ISNUMBER(G558),ROUND(25*(100-G558)/100,1),12.5)</f>
        <v/>
      </c>
      <c r="S558" t="n">
        <v>20</v>
      </c>
      <c r="T558">
        <f>ROUND(P558+Q558+R558+S558,0)</f>
        <v/>
      </c>
      <c r="U558" s="5" t="inlineStr"/>
      <c r="V558" s="5" t="inlineStr"/>
    </row>
    <row r="559">
      <c r="A559" t="inlineStr">
        <is>
          <t>K0557</t>
        </is>
      </c>
      <c r="B559" t="inlineStr">
        <is>
          <t>core web vitals</t>
        </is>
      </c>
      <c r="C559" t="inlineStr">
        <is>
          <t>Morocco</t>
        </is>
      </c>
      <c r="D559" t="inlineStr">
        <is>
          <t>ma</t>
        </is>
      </c>
      <c r="E559" t="inlineStr">
        <is>
          <t>fr</t>
        </is>
      </c>
      <c r="F559" t="inlineStr">
        <is>
          <t>NOT AVAILABLE</t>
        </is>
      </c>
      <c r="G559" t="inlineStr">
        <is>
          <t>NOT AVAILABLE</t>
        </is>
      </c>
      <c r="H559" t="inlineStr">
        <is>
          <t>NOT AVAILABLE</t>
        </is>
      </c>
      <c r="I559" t="inlineStr">
        <is>
          <t>NOT AVAILABLE</t>
        </is>
      </c>
      <c r="J559" t="inlineStr">
        <is>
          <t>NOT AVAILABLE</t>
        </is>
      </c>
      <c r="K559" t="inlineStr">
        <is>
          <t>NOT AVAILABLE</t>
        </is>
      </c>
      <c r="L559" t="inlineStr">
        <is>
          <t>NOT AVAILABLE</t>
        </is>
      </c>
      <c r="M559" t="inlineStr">
        <is>
          <t>UNAVAILABLE</t>
        </is>
      </c>
      <c r="N559" s="5" t="inlineStr">
        <is>
          <t>Semrush phrase_these returned no data (not billed)</t>
        </is>
      </c>
      <c r="O559" t="inlineStr">
        <is>
          <t>2026-10-30</t>
        </is>
      </c>
      <c r="P559">
        <f>IF(IF(J559="NOT AVAILABLE","",J559)="",12,IF(OR(ISNUMBER(SEARCH("Transactional",IF(J559="NOT AVAILABLE","",J559))),ISNUMBER(SEARCH("Commercial",IF(J559="NOT AVAILABLE","",J559)))),25,IF(ISNUMBER(SEARCH("Informational",IF(J559="NOT AVAILABLE","",J559))),10,IF(ISNUMBER(SEARCH("Navigational",IF(J559="NOT AVAILABLE","",J559))),0,12))))</f>
        <v/>
      </c>
      <c r="Q559">
        <f>IF(ISNUMBER(F559),MIN(30,ROUND(30*LOG10(F559+1)/4,1)),0)</f>
        <v/>
      </c>
      <c r="R559">
        <f>IF(ISNUMBER(G559),ROUND(25*(100-G559)/100,1),12.5)</f>
        <v/>
      </c>
      <c r="S559" t="n">
        <v>20</v>
      </c>
      <c r="T559">
        <f>ROUND(P559+Q559+R559+S559,0)</f>
        <v/>
      </c>
      <c r="U559" s="5" t="inlineStr"/>
      <c r="V559" s="5" t="inlineStr"/>
    </row>
    <row r="560">
      <c r="A560" t="inlineStr">
        <is>
          <t>K0558</t>
        </is>
      </c>
      <c r="B560" t="inlineStr">
        <is>
          <t>core web vitals test</t>
        </is>
      </c>
      <c r="C560" t="inlineStr">
        <is>
          <t>Morocco</t>
        </is>
      </c>
      <c r="D560" t="inlineStr">
        <is>
          <t>ma</t>
        </is>
      </c>
      <c r="E560" t="inlineStr">
        <is>
          <t>fr</t>
        </is>
      </c>
      <c r="F560" t="inlineStr">
        <is>
          <t>NOT AVAILABLE</t>
        </is>
      </c>
      <c r="G560" t="inlineStr">
        <is>
          <t>NOT AVAILABLE</t>
        </is>
      </c>
      <c r="H560" t="inlineStr">
        <is>
          <t>NOT AVAILABLE</t>
        </is>
      </c>
      <c r="I560" t="inlineStr">
        <is>
          <t>NOT AVAILABLE</t>
        </is>
      </c>
      <c r="J560" t="inlineStr">
        <is>
          <t>NOT AVAILABLE</t>
        </is>
      </c>
      <c r="K560" t="inlineStr">
        <is>
          <t>NOT AVAILABLE</t>
        </is>
      </c>
      <c r="L560" t="inlineStr">
        <is>
          <t>NOT AVAILABLE</t>
        </is>
      </c>
      <c r="M560" t="inlineStr">
        <is>
          <t>UNAVAILABLE</t>
        </is>
      </c>
      <c r="N560" s="5" t="inlineStr">
        <is>
          <t>Semrush phrase_these returned no data (not billed)</t>
        </is>
      </c>
      <c r="O560" t="inlineStr">
        <is>
          <t>2026-10-30</t>
        </is>
      </c>
      <c r="P560">
        <f>IF(IF(J560="NOT AVAILABLE","",J560)="",12,IF(OR(ISNUMBER(SEARCH("Transactional",IF(J560="NOT AVAILABLE","",J560))),ISNUMBER(SEARCH("Commercial",IF(J560="NOT AVAILABLE","",J560)))),25,IF(ISNUMBER(SEARCH("Informational",IF(J560="NOT AVAILABLE","",J560))),10,IF(ISNUMBER(SEARCH("Navigational",IF(J560="NOT AVAILABLE","",J560))),0,12))))</f>
        <v/>
      </c>
      <c r="Q560">
        <f>IF(ISNUMBER(F560),MIN(30,ROUND(30*LOG10(F560+1)/4,1)),0)</f>
        <v/>
      </c>
      <c r="R560">
        <f>IF(ISNUMBER(G560),ROUND(25*(100-G560)/100,1),12.5)</f>
        <v/>
      </c>
      <c r="S560" t="n">
        <v>20</v>
      </c>
      <c r="T560">
        <f>ROUND(P560+Q560+R560+S560,0)</f>
        <v/>
      </c>
      <c r="U560" s="5" t="inlineStr"/>
      <c r="V560" s="5" t="inlineStr"/>
    </row>
    <row r="561">
      <c r="A561" t="inlineStr">
        <is>
          <t>K0559</t>
        </is>
      </c>
      <c r="B561" t="inlineStr">
        <is>
          <t>cout creation site web maroc</t>
        </is>
      </c>
      <c r="C561" t="inlineStr">
        <is>
          <t>Morocco</t>
        </is>
      </c>
      <c r="D561" t="inlineStr">
        <is>
          <t>ma</t>
        </is>
      </c>
      <c r="E561" t="inlineStr">
        <is>
          <t>fr</t>
        </is>
      </c>
      <c r="F561" t="inlineStr">
        <is>
          <t>NOT AVAILABLE</t>
        </is>
      </c>
      <c r="G561" t="inlineStr">
        <is>
          <t>NOT AVAILABLE</t>
        </is>
      </c>
      <c r="H561" t="inlineStr">
        <is>
          <t>NOT AVAILABLE</t>
        </is>
      </c>
      <c r="I561" t="inlineStr">
        <is>
          <t>NOT AVAILABLE</t>
        </is>
      </c>
      <c r="J561" t="inlineStr">
        <is>
          <t>NOT AVAILABLE</t>
        </is>
      </c>
      <c r="K561" t="inlineStr">
        <is>
          <t>NOT AVAILABLE</t>
        </is>
      </c>
      <c r="L561" t="inlineStr">
        <is>
          <t>NOT AVAILABLE</t>
        </is>
      </c>
      <c r="M561" t="inlineStr">
        <is>
          <t>UNAVAILABLE</t>
        </is>
      </c>
      <c r="N561" s="5" t="inlineStr">
        <is>
          <t>Semrush phrase_these returned no data (not billed)</t>
        </is>
      </c>
      <c r="O561" t="inlineStr">
        <is>
          <t>2026-10-30</t>
        </is>
      </c>
      <c r="P561">
        <f>IF(IF(J561="NOT AVAILABLE","",J561)="",12,IF(OR(ISNUMBER(SEARCH("Transactional",IF(J561="NOT AVAILABLE","",J561))),ISNUMBER(SEARCH("Commercial",IF(J561="NOT AVAILABLE","",J561)))),25,IF(ISNUMBER(SEARCH("Informational",IF(J561="NOT AVAILABLE","",J561))),10,IF(ISNUMBER(SEARCH("Navigational",IF(J561="NOT AVAILABLE","",J561))),0,12))))</f>
        <v/>
      </c>
      <c r="Q561">
        <f>IF(ISNUMBER(F561),MIN(30,ROUND(30*LOG10(F561+1)/4,1)),0)</f>
        <v/>
      </c>
      <c r="R561">
        <f>IF(ISNUMBER(G561),ROUND(25*(100-G561)/100,1),12.5)</f>
        <v/>
      </c>
      <c r="S561" t="n">
        <v>20</v>
      </c>
      <c r="T561">
        <f>ROUND(P561+Q561+R561+S561,0)</f>
        <v/>
      </c>
      <c r="U561" s="5" t="inlineStr"/>
      <c r="V561" s="5" t="inlineStr"/>
    </row>
    <row r="562">
      <c r="A562" t="inlineStr">
        <is>
          <t>K0560</t>
        </is>
      </c>
      <c r="B562" t="inlineStr">
        <is>
          <t>crawl budget</t>
        </is>
      </c>
      <c r="C562" t="inlineStr">
        <is>
          <t>Morocco</t>
        </is>
      </c>
      <c r="D562" t="inlineStr">
        <is>
          <t>ma</t>
        </is>
      </c>
      <c r="E562" t="inlineStr">
        <is>
          <t>fr</t>
        </is>
      </c>
      <c r="F562" t="inlineStr">
        <is>
          <t>NOT AVAILABLE</t>
        </is>
      </c>
      <c r="G562" t="inlineStr">
        <is>
          <t>NOT AVAILABLE</t>
        </is>
      </c>
      <c r="H562" t="inlineStr">
        <is>
          <t>NOT AVAILABLE</t>
        </is>
      </c>
      <c r="I562" t="inlineStr">
        <is>
          <t>NOT AVAILABLE</t>
        </is>
      </c>
      <c r="J562" t="inlineStr">
        <is>
          <t>NOT AVAILABLE</t>
        </is>
      </c>
      <c r="K562" t="inlineStr">
        <is>
          <t>NOT AVAILABLE</t>
        </is>
      </c>
      <c r="L562" t="inlineStr">
        <is>
          <t>NOT AVAILABLE</t>
        </is>
      </c>
      <c r="M562" t="inlineStr">
        <is>
          <t>UNAVAILABLE</t>
        </is>
      </c>
      <c r="N562" s="5" t="inlineStr">
        <is>
          <t>Semrush phrase_these returned no data (not billed)</t>
        </is>
      </c>
      <c r="O562" t="inlineStr">
        <is>
          <t>2026-10-30</t>
        </is>
      </c>
      <c r="P562">
        <f>IF(IF(J562="NOT AVAILABLE","",J562)="",12,IF(OR(ISNUMBER(SEARCH("Transactional",IF(J562="NOT AVAILABLE","",J562))),ISNUMBER(SEARCH("Commercial",IF(J562="NOT AVAILABLE","",J562)))),25,IF(ISNUMBER(SEARCH("Informational",IF(J562="NOT AVAILABLE","",J562))),10,IF(ISNUMBER(SEARCH("Navigational",IF(J562="NOT AVAILABLE","",J562))),0,12))))</f>
        <v/>
      </c>
      <c r="Q562">
        <f>IF(ISNUMBER(F562),MIN(30,ROUND(30*LOG10(F562+1)/4,1)),0)</f>
        <v/>
      </c>
      <c r="R562">
        <f>IF(ISNUMBER(G562),ROUND(25*(100-G562)/100,1),12.5)</f>
        <v/>
      </c>
      <c r="S562" t="n">
        <v>20</v>
      </c>
      <c r="T562">
        <f>ROUND(P562+Q562+R562+S562,0)</f>
        <v/>
      </c>
      <c r="U562" s="5" t="inlineStr"/>
      <c r="V562" s="5" t="inlineStr"/>
    </row>
    <row r="563">
      <c r="A563" t="inlineStr">
        <is>
          <t>K0561</t>
        </is>
      </c>
      <c r="B563" t="inlineStr">
        <is>
          <t>crawler ia</t>
        </is>
      </c>
      <c r="C563" t="inlineStr">
        <is>
          <t>Morocco</t>
        </is>
      </c>
      <c r="D563" t="inlineStr">
        <is>
          <t>ma</t>
        </is>
      </c>
      <c r="E563" t="inlineStr">
        <is>
          <t>fr</t>
        </is>
      </c>
      <c r="F563" t="inlineStr">
        <is>
          <t>NOT AVAILABLE</t>
        </is>
      </c>
      <c r="G563" t="inlineStr">
        <is>
          <t>NOT AVAILABLE</t>
        </is>
      </c>
      <c r="H563" t="inlineStr">
        <is>
          <t>NOT AVAILABLE</t>
        </is>
      </c>
      <c r="I563" t="inlineStr">
        <is>
          <t>NOT AVAILABLE</t>
        </is>
      </c>
      <c r="J563" t="inlineStr">
        <is>
          <t>NOT AVAILABLE</t>
        </is>
      </c>
      <c r="K563" t="inlineStr">
        <is>
          <t>NOT AVAILABLE</t>
        </is>
      </c>
      <c r="L563" t="inlineStr">
        <is>
          <t>NOT AVAILABLE</t>
        </is>
      </c>
      <c r="M563" t="inlineStr">
        <is>
          <t>UNAVAILABLE</t>
        </is>
      </c>
      <c r="N563" s="5" t="inlineStr">
        <is>
          <t>Semrush phrase_these returned no data (not billed)</t>
        </is>
      </c>
      <c r="O563" t="inlineStr">
        <is>
          <t>2026-10-30</t>
        </is>
      </c>
      <c r="P563">
        <f>IF(IF(J563="NOT AVAILABLE","",J563)="",12,IF(OR(ISNUMBER(SEARCH("Transactional",IF(J563="NOT AVAILABLE","",J563))),ISNUMBER(SEARCH("Commercial",IF(J563="NOT AVAILABLE","",J563)))),25,IF(ISNUMBER(SEARCH("Informational",IF(J563="NOT AVAILABLE","",J563))),10,IF(ISNUMBER(SEARCH("Navigational",IF(J563="NOT AVAILABLE","",J563))),0,12))))</f>
        <v/>
      </c>
      <c r="Q563">
        <f>IF(ISNUMBER(F563),MIN(30,ROUND(30*LOG10(F563+1)/4,1)),0)</f>
        <v/>
      </c>
      <c r="R563">
        <f>IF(ISNUMBER(G563),ROUND(25*(100-G563)/100,1),12.5)</f>
        <v/>
      </c>
      <c r="S563" t="n">
        <v>20</v>
      </c>
      <c r="T563">
        <f>ROUND(P563+Q563+R563+S563,0)</f>
        <v/>
      </c>
      <c r="U563" s="5" t="inlineStr"/>
      <c r="V563" s="5" t="inlineStr"/>
    </row>
    <row r="564">
      <c r="A564" t="inlineStr">
        <is>
          <t>K0562</t>
        </is>
      </c>
      <c r="B564" t="inlineStr">
        <is>
          <t>création application web maroc</t>
        </is>
      </c>
      <c r="C564" t="inlineStr">
        <is>
          <t>Morocco</t>
        </is>
      </c>
      <c r="D564" t="inlineStr">
        <is>
          <t>ma</t>
        </is>
      </c>
      <c r="E564" t="inlineStr">
        <is>
          <t>fr</t>
        </is>
      </c>
      <c r="F564" t="inlineStr">
        <is>
          <t>NOT AVAILABLE</t>
        </is>
      </c>
      <c r="G564" t="inlineStr">
        <is>
          <t>NOT AVAILABLE</t>
        </is>
      </c>
      <c r="H564" t="inlineStr">
        <is>
          <t>NOT AVAILABLE</t>
        </is>
      </c>
      <c r="I564" t="inlineStr">
        <is>
          <t>NOT AVAILABLE</t>
        </is>
      </c>
      <c r="J564" t="inlineStr">
        <is>
          <t>NOT AVAILABLE</t>
        </is>
      </c>
      <c r="K564" t="inlineStr">
        <is>
          <t>NOT AVAILABLE</t>
        </is>
      </c>
      <c r="L564" t="inlineStr">
        <is>
          <t>NOT AVAILABLE</t>
        </is>
      </c>
      <c r="M564" t="inlineStr">
        <is>
          <t>UNAVAILABLE</t>
        </is>
      </c>
      <c r="N564" s="5" t="inlineStr">
        <is>
          <t>Semrush phrase_these returned no data (not billed)</t>
        </is>
      </c>
      <c r="O564" t="inlineStr">
        <is>
          <t>2026-10-30</t>
        </is>
      </c>
      <c r="P564">
        <f>IF(IF(J564="NOT AVAILABLE","",J564)="",12,IF(OR(ISNUMBER(SEARCH("Transactional",IF(J564="NOT AVAILABLE","",J564))),ISNUMBER(SEARCH("Commercial",IF(J564="NOT AVAILABLE","",J564)))),25,IF(ISNUMBER(SEARCH("Informational",IF(J564="NOT AVAILABLE","",J564))),10,IF(ISNUMBER(SEARCH("Navigational",IF(J564="NOT AVAILABLE","",J564))),0,12))))</f>
        <v/>
      </c>
      <c r="Q564">
        <f>IF(ISNUMBER(F564),MIN(30,ROUND(30*LOG10(F564+1)/4,1)),0)</f>
        <v/>
      </c>
      <c r="R564">
        <f>IF(ISNUMBER(G564),ROUND(25*(100-G564)/100,1),12.5)</f>
        <v/>
      </c>
      <c r="S564" t="n">
        <v>20</v>
      </c>
      <c r="T564">
        <f>ROUND(P564+Q564+R564+S564,0)</f>
        <v/>
      </c>
      <c r="U564" s="5" t="inlineStr"/>
      <c r="V564" s="5" t="inlineStr"/>
    </row>
    <row r="565">
      <c r="A565" t="inlineStr">
        <is>
          <t>K0563</t>
        </is>
      </c>
      <c r="B565" t="inlineStr">
        <is>
          <t>création boutique en ligne maroc</t>
        </is>
      </c>
      <c r="C565" t="inlineStr">
        <is>
          <t>Morocco</t>
        </is>
      </c>
      <c r="D565" t="inlineStr">
        <is>
          <t>ma</t>
        </is>
      </c>
      <c r="E565" t="inlineStr">
        <is>
          <t>fr</t>
        </is>
      </c>
      <c r="F565" t="inlineStr">
        <is>
          <t>NOT AVAILABLE</t>
        </is>
      </c>
      <c r="G565" t="inlineStr">
        <is>
          <t>NOT AVAILABLE</t>
        </is>
      </c>
      <c r="H565" t="inlineStr">
        <is>
          <t>NOT AVAILABLE</t>
        </is>
      </c>
      <c r="I565" t="inlineStr">
        <is>
          <t>NOT AVAILABLE</t>
        </is>
      </c>
      <c r="J565" t="inlineStr">
        <is>
          <t>NOT AVAILABLE</t>
        </is>
      </c>
      <c r="K565" t="inlineStr">
        <is>
          <t>NOT AVAILABLE</t>
        </is>
      </c>
      <c r="L565" t="inlineStr">
        <is>
          <t>NOT AVAILABLE</t>
        </is>
      </c>
      <c r="M565" t="inlineStr">
        <is>
          <t>UNAVAILABLE</t>
        </is>
      </c>
      <c r="N565" s="5" t="inlineStr">
        <is>
          <t>Semrush phrase_these returned no data (not billed)</t>
        </is>
      </c>
      <c r="O565" t="inlineStr">
        <is>
          <t>2026-10-30</t>
        </is>
      </c>
      <c r="P565">
        <f>IF(IF(J565="NOT AVAILABLE","",J565)="",12,IF(OR(ISNUMBER(SEARCH("Transactional",IF(J565="NOT AVAILABLE","",J565))),ISNUMBER(SEARCH("Commercial",IF(J565="NOT AVAILABLE","",J565)))),25,IF(ISNUMBER(SEARCH("Informational",IF(J565="NOT AVAILABLE","",J565))),10,IF(ISNUMBER(SEARCH("Navigational",IF(J565="NOT AVAILABLE","",J565))),0,12))))</f>
        <v/>
      </c>
      <c r="Q565">
        <f>IF(ISNUMBER(F565),MIN(30,ROUND(30*LOG10(F565+1)/4,1)),0)</f>
        <v/>
      </c>
      <c r="R565">
        <f>IF(ISNUMBER(G565),ROUND(25*(100-G565)/100,1),12.5)</f>
        <v/>
      </c>
      <c r="S565" t="n">
        <v>20</v>
      </c>
      <c r="T565">
        <f>ROUND(P565+Q565+R565+S565,0)</f>
        <v/>
      </c>
      <c r="U565" s="5" t="inlineStr"/>
      <c r="V565" s="5" t="inlineStr"/>
    </row>
    <row r="566">
      <c r="A566" t="inlineStr">
        <is>
          <t>K0564</t>
        </is>
      </c>
      <c r="B566" t="inlineStr">
        <is>
          <t>création boutique shopify</t>
        </is>
      </c>
      <c r="C566" t="inlineStr">
        <is>
          <t>Morocco</t>
        </is>
      </c>
      <c r="D566" t="inlineStr">
        <is>
          <t>ma</t>
        </is>
      </c>
      <c r="E566" t="inlineStr">
        <is>
          <t>fr</t>
        </is>
      </c>
      <c r="F566" t="inlineStr">
        <is>
          <t>NOT AVAILABLE</t>
        </is>
      </c>
      <c r="G566" t="inlineStr">
        <is>
          <t>NOT AVAILABLE</t>
        </is>
      </c>
      <c r="H566" t="inlineStr">
        <is>
          <t>NOT AVAILABLE</t>
        </is>
      </c>
      <c r="I566" t="inlineStr">
        <is>
          <t>NOT AVAILABLE</t>
        </is>
      </c>
      <c r="J566" t="inlineStr">
        <is>
          <t>NOT AVAILABLE</t>
        </is>
      </c>
      <c r="K566" t="inlineStr">
        <is>
          <t>NOT AVAILABLE</t>
        </is>
      </c>
      <c r="L566" t="inlineStr">
        <is>
          <t>NOT AVAILABLE</t>
        </is>
      </c>
      <c r="M566" t="inlineStr">
        <is>
          <t>UNAVAILABLE</t>
        </is>
      </c>
      <c r="N566" s="5" t="inlineStr">
        <is>
          <t>Semrush phrase_these returned no data (not billed)</t>
        </is>
      </c>
      <c r="O566" t="inlineStr">
        <is>
          <t>2026-10-30</t>
        </is>
      </c>
      <c r="P566">
        <f>IF(IF(J566="NOT AVAILABLE","",J566)="",12,IF(OR(ISNUMBER(SEARCH("Transactional",IF(J566="NOT AVAILABLE","",J566))),ISNUMBER(SEARCH("Commercial",IF(J566="NOT AVAILABLE","",J566)))),25,IF(ISNUMBER(SEARCH("Informational",IF(J566="NOT AVAILABLE","",J566))),10,IF(ISNUMBER(SEARCH("Navigational",IF(J566="NOT AVAILABLE","",J566))),0,12))))</f>
        <v/>
      </c>
      <c r="Q566">
        <f>IF(ISNUMBER(F566),MIN(30,ROUND(30*LOG10(F566+1)/4,1)),0)</f>
        <v/>
      </c>
      <c r="R566">
        <f>IF(ISNUMBER(G566),ROUND(25*(100-G566)/100,1),12.5)</f>
        <v/>
      </c>
      <c r="S566" t="n">
        <v>20</v>
      </c>
      <c r="T566">
        <f>ROUND(P566+Q566+R566+S566,0)</f>
        <v/>
      </c>
      <c r="U566" s="5" t="inlineStr"/>
      <c r="V566" s="5" t="inlineStr"/>
    </row>
    <row r="567">
      <c r="A567" t="inlineStr">
        <is>
          <t>K0565</t>
        </is>
      </c>
      <c r="B567" t="inlineStr">
        <is>
          <t>création de site web agadir</t>
        </is>
      </c>
      <c r="C567" t="inlineStr">
        <is>
          <t>Morocco</t>
        </is>
      </c>
      <c r="D567" t="inlineStr">
        <is>
          <t>ma</t>
        </is>
      </c>
      <c r="E567" t="inlineStr">
        <is>
          <t>fr</t>
        </is>
      </c>
      <c r="F567" t="inlineStr">
        <is>
          <t>NOT AVAILABLE</t>
        </is>
      </c>
      <c r="G567" t="inlineStr">
        <is>
          <t>NOT AVAILABLE</t>
        </is>
      </c>
      <c r="H567" t="inlineStr">
        <is>
          <t>NOT AVAILABLE</t>
        </is>
      </c>
      <c r="I567" t="inlineStr">
        <is>
          <t>NOT AVAILABLE</t>
        </is>
      </c>
      <c r="J567" t="inlineStr">
        <is>
          <t>NOT AVAILABLE</t>
        </is>
      </c>
      <c r="K567" t="inlineStr">
        <is>
          <t>NOT AVAILABLE</t>
        </is>
      </c>
      <c r="L567" t="inlineStr">
        <is>
          <t>NOT AVAILABLE</t>
        </is>
      </c>
      <c r="M567" t="inlineStr">
        <is>
          <t>UNAVAILABLE</t>
        </is>
      </c>
      <c r="N567" s="5" t="inlineStr">
        <is>
          <t>Semrush phrase_these returned no data (not billed)</t>
        </is>
      </c>
      <c r="O567" t="inlineStr">
        <is>
          <t>2026-10-30</t>
        </is>
      </c>
      <c r="P567">
        <f>IF(IF(J567="NOT AVAILABLE","",J567)="",12,IF(OR(ISNUMBER(SEARCH("Transactional",IF(J567="NOT AVAILABLE","",J567))),ISNUMBER(SEARCH("Commercial",IF(J567="NOT AVAILABLE","",J567)))),25,IF(ISNUMBER(SEARCH("Informational",IF(J567="NOT AVAILABLE","",J567))),10,IF(ISNUMBER(SEARCH("Navigational",IF(J567="NOT AVAILABLE","",J567))),0,12))))</f>
        <v/>
      </c>
      <c r="Q567">
        <f>IF(ISNUMBER(F567),MIN(30,ROUND(30*LOG10(F567+1)/4,1)),0)</f>
        <v/>
      </c>
      <c r="R567">
        <f>IF(ISNUMBER(G567),ROUND(25*(100-G567)/100,1),12.5)</f>
        <v/>
      </c>
      <c r="S567" t="n">
        <v>20</v>
      </c>
      <c r="T567">
        <f>ROUND(P567+Q567+R567+S567,0)</f>
        <v/>
      </c>
      <c r="U567" s="5" t="inlineStr"/>
      <c r="V567" s="5" t="inlineStr"/>
    </row>
    <row r="568">
      <c r="A568" t="inlineStr">
        <is>
          <t>K0566</t>
        </is>
      </c>
      <c r="B568" t="inlineStr">
        <is>
          <t>création de site web tanger</t>
        </is>
      </c>
      <c r="C568" t="inlineStr">
        <is>
          <t>Morocco</t>
        </is>
      </c>
      <c r="D568" t="inlineStr">
        <is>
          <t>ma</t>
        </is>
      </c>
      <c r="E568" t="inlineStr">
        <is>
          <t>fr</t>
        </is>
      </c>
      <c r="F568" t="inlineStr">
        <is>
          <t>NOT AVAILABLE</t>
        </is>
      </c>
      <c r="G568" t="inlineStr">
        <is>
          <t>NOT AVAILABLE</t>
        </is>
      </c>
      <c r="H568" t="inlineStr">
        <is>
          <t>NOT AVAILABLE</t>
        </is>
      </c>
      <c r="I568" t="inlineStr">
        <is>
          <t>NOT AVAILABLE</t>
        </is>
      </c>
      <c r="J568" t="inlineStr">
        <is>
          <t>NOT AVAILABLE</t>
        </is>
      </c>
      <c r="K568" t="inlineStr">
        <is>
          <t>NOT AVAILABLE</t>
        </is>
      </c>
      <c r="L568" t="inlineStr">
        <is>
          <t>NOT AVAILABLE</t>
        </is>
      </c>
      <c r="M568" t="inlineStr">
        <is>
          <t>UNAVAILABLE</t>
        </is>
      </c>
      <c r="N568" s="5" t="inlineStr">
        <is>
          <t>Semrush phrase_these returned no data (not billed)</t>
        </is>
      </c>
      <c r="O568" t="inlineStr">
        <is>
          <t>2026-10-30</t>
        </is>
      </c>
      <c r="P568">
        <f>IF(IF(J568="NOT AVAILABLE","",J568)="",12,IF(OR(ISNUMBER(SEARCH("Transactional",IF(J568="NOT AVAILABLE","",J568))),ISNUMBER(SEARCH("Commercial",IF(J568="NOT AVAILABLE","",J568)))),25,IF(ISNUMBER(SEARCH("Informational",IF(J568="NOT AVAILABLE","",J568))),10,IF(ISNUMBER(SEARCH("Navigational",IF(J568="NOT AVAILABLE","",J568))),0,12))))</f>
        <v/>
      </c>
      <c r="Q568">
        <f>IF(ISNUMBER(F568),MIN(30,ROUND(30*LOG10(F568+1)/4,1)),0)</f>
        <v/>
      </c>
      <c r="R568">
        <f>IF(ISNUMBER(G568),ROUND(25*(100-G568)/100,1),12.5)</f>
        <v/>
      </c>
      <c r="S568" t="n">
        <v>20</v>
      </c>
      <c r="T568">
        <f>ROUND(P568+Q568+R568+S568,0)</f>
        <v/>
      </c>
      <c r="U568" s="5" t="inlineStr"/>
      <c r="V568" s="5" t="inlineStr"/>
    </row>
    <row r="569">
      <c r="A569" t="inlineStr">
        <is>
          <t>K0567</t>
        </is>
      </c>
      <c r="B569" t="inlineStr">
        <is>
          <t>création plateforme e-learning</t>
        </is>
      </c>
      <c r="C569" t="inlineStr">
        <is>
          <t>Morocco</t>
        </is>
      </c>
      <c r="D569" t="inlineStr">
        <is>
          <t>ma</t>
        </is>
      </c>
      <c r="E569" t="inlineStr">
        <is>
          <t>fr</t>
        </is>
      </c>
      <c r="F569" t="inlineStr">
        <is>
          <t>NOT AVAILABLE</t>
        </is>
      </c>
      <c r="G569" t="inlineStr">
        <is>
          <t>NOT AVAILABLE</t>
        </is>
      </c>
      <c r="H569" t="inlineStr">
        <is>
          <t>NOT AVAILABLE</t>
        </is>
      </c>
      <c r="I569" t="inlineStr">
        <is>
          <t>NOT AVAILABLE</t>
        </is>
      </c>
      <c r="J569" t="inlineStr">
        <is>
          <t>NOT AVAILABLE</t>
        </is>
      </c>
      <c r="K569" t="inlineStr">
        <is>
          <t>NOT AVAILABLE</t>
        </is>
      </c>
      <c r="L569" t="inlineStr">
        <is>
          <t>NOT AVAILABLE</t>
        </is>
      </c>
      <c r="M569" t="inlineStr">
        <is>
          <t>UNAVAILABLE</t>
        </is>
      </c>
      <c r="N569" s="5" t="inlineStr">
        <is>
          <t>Semrush phrase_these returned no data (not billed)</t>
        </is>
      </c>
      <c r="O569" t="inlineStr">
        <is>
          <t>2026-10-30</t>
        </is>
      </c>
      <c r="P569">
        <f>IF(IF(J569="NOT AVAILABLE","",J569)="",12,IF(OR(ISNUMBER(SEARCH("Transactional",IF(J569="NOT AVAILABLE","",J569))),ISNUMBER(SEARCH("Commercial",IF(J569="NOT AVAILABLE","",J569)))),25,IF(ISNUMBER(SEARCH("Informational",IF(J569="NOT AVAILABLE","",J569))),10,IF(ISNUMBER(SEARCH("Navigational",IF(J569="NOT AVAILABLE","",J569))),0,12))))</f>
        <v/>
      </c>
      <c r="Q569">
        <f>IF(ISNUMBER(F569),MIN(30,ROUND(30*LOG10(F569+1)/4,1)),0)</f>
        <v/>
      </c>
      <c r="R569">
        <f>IF(ISNUMBER(G569),ROUND(25*(100-G569)/100,1),12.5)</f>
        <v/>
      </c>
      <c r="S569" t="n">
        <v>20</v>
      </c>
      <c r="T569">
        <f>ROUND(P569+Q569+R569+S569,0)</f>
        <v/>
      </c>
      <c r="U569" s="5" t="inlineStr"/>
      <c r="V569" s="5" t="inlineStr"/>
    </row>
    <row r="570">
      <c r="A570" t="inlineStr">
        <is>
          <t>K0568</t>
        </is>
      </c>
      <c r="B570" t="inlineStr">
        <is>
          <t>création plateforme saas</t>
        </is>
      </c>
      <c r="C570" t="inlineStr">
        <is>
          <t>Morocco</t>
        </is>
      </c>
      <c r="D570" t="inlineStr">
        <is>
          <t>ma</t>
        </is>
      </c>
      <c r="E570" t="inlineStr">
        <is>
          <t>fr</t>
        </is>
      </c>
      <c r="F570" t="inlineStr">
        <is>
          <t>NOT AVAILABLE</t>
        </is>
      </c>
      <c r="G570" t="inlineStr">
        <is>
          <t>NOT AVAILABLE</t>
        </is>
      </c>
      <c r="H570" t="inlineStr">
        <is>
          <t>NOT AVAILABLE</t>
        </is>
      </c>
      <c r="I570" t="inlineStr">
        <is>
          <t>NOT AVAILABLE</t>
        </is>
      </c>
      <c r="J570" t="inlineStr">
        <is>
          <t>NOT AVAILABLE</t>
        </is>
      </c>
      <c r="K570" t="inlineStr">
        <is>
          <t>NOT AVAILABLE</t>
        </is>
      </c>
      <c r="L570" t="inlineStr">
        <is>
          <t>NOT AVAILABLE</t>
        </is>
      </c>
      <c r="M570" t="inlineStr">
        <is>
          <t>UNAVAILABLE</t>
        </is>
      </c>
      <c r="N570" s="5" t="inlineStr">
        <is>
          <t>Semrush phrase_these returned no data (not billed)</t>
        </is>
      </c>
      <c r="O570" t="inlineStr">
        <is>
          <t>2026-10-30</t>
        </is>
      </c>
      <c r="P570">
        <f>IF(IF(J570="NOT AVAILABLE","",J570)="",12,IF(OR(ISNUMBER(SEARCH("Transactional",IF(J570="NOT AVAILABLE","",J570))),ISNUMBER(SEARCH("Commercial",IF(J570="NOT AVAILABLE","",J570)))),25,IF(ISNUMBER(SEARCH("Informational",IF(J570="NOT AVAILABLE","",J570))),10,IF(ISNUMBER(SEARCH("Navigational",IF(J570="NOT AVAILABLE","",J570))),0,12))))</f>
        <v/>
      </c>
      <c r="Q570">
        <f>IF(ISNUMBER(F570),MIN(30,ROUND(30*LOG10(F570+1)/4,1)),0)</f>
        <v/>
      </c>
      <c r="R570">
        <f>IF(ISNUMBER(G570),ROUND(25*(100-G570)/100,1),12.5)</f>
        <v/>
      </c>
      <c r="S570" t="n">
        <v>20</v>
      </c>
      <c r="T570">
        <f>ROUND(P570+Q570+R570+S570,0)</f>
        <v/>
      </c>
      <c r="U570" s="5" t="inlineStr"/>
      <c r="V570" s="5" t="inlineStr"/>
    </row>
    <row r="571">
      <c r="A571" t="inlineStr">
        <is>
          <t>K0569</t>
        </is>
      </c>
      <c r="B571" t="inlineStr">
        <is>
          <t>création site agence de voyage</t>
        </is>
      </c>
      <c r="C571" t="inlineStr">
        <is>
          <t>Morocco</t>
        </is>
      </c>
      <c r="D571" t="inlineStr">
        <is>
          <t>ma</t>
        </is>
      </c>
      <c r="E571" t="inlineStr">
        <is>
          <t>fr</t>
        </is>
      </c>
      <c r="F571" t="inlineStr">
        <is>
          <t>NOT AVAILABLE</t>
        </is>
      </c>
      <c r="G571" t="inlineStr">
        <is>
          <t>NOT AVAILABLE</t>
        </is>
      </c>
      <c r="H571" t="inlineStr">
        <is>
          <t>NOT AVAILABLE</t>
        </is>
      </c>
      <c r="I571" t="inlineStr">
        <is>
          <t>NOT AVAILABLE</t>
        </is>
      </c>
      <c r="J571" t="inlineStr">
        <is>
          <t>NOT AVAILABLE</t>
        </is>
      </c>
      <c r="K571" t="inlineStr">
        <is>
          <t>NOT AVAILABLE</t>
        </is>
      </c>
      <c r="L571" t="inlineStr">
        <is>
          <t>NOT AVAILABLE</t>
        </is>
      </c>
      <c r="M571" t="inlineStr">
        <is>
          <t>UNAVAILABLE</t>
        </is>
      </c>
      <c r="N571" s="5" t="inlineStr">
        <is>
          <t>Semrush phrase_these returned no data (not billed)</t>
        </is>
      </c>
      <c r="O571" t="inlineStr">
        <is>
          <t>2026-10-30</t>
        </is>
      </c>
      <c r="P571">
        <f>IF(IF(J571="NOT AVAILABLE","",J571)="",12,IF(OR(ISNUMBER(SEARCH("Transactional",IF(J571="NOT AVAILABLE","",J571))),ISNUMBER(SEARCH("Commercial",IF(J571="NOT AVAILABLE","",J571)))),25,IF(ISNUMBER(SEARCH("Informational",IF(J571="NOT AVAILABLE","",J571))),10,IF(ISNUMBER(SEARCH("Navigational",IF(J571="NOT AVAILABLE","",J571))),0,12))))</f>
        <v/>
      </c>
      <c r="Q571">
        <f>IF(ISNUMBER(F571),MIN(30,ROUND(30*LOG10(F571+1)/4,1)),0)</f>
        <v/>
      </c>
      <c r="R571">
        <f>IF(ISNUMBER(G571),ROUND(25*(100-G571)/100,1),12.5)</f>
        <v/>
      </c>
      <c r="S571" t="n">
        <v>20</v>
      </c>
      <c r="T571">
        <f>ROUND(P571+Q571+R571+S571,0)</f>
        <v/>
      </c>
      <c r="U571" s="5" t="inlineStr"/>
      <c r="V571" s="5" t="inlineStr"/>
    </row>
    <row r="572">
      <c r="A572" t="inlineStr">
        <is>
          <t>K0570</t>
        </is>
      </c>
      <c r="B572" t="inlineStr">
        <is>
          <t>création site de vente en ligne</t>
        </is>
      </c>
      <c r="C572" t="inlineStr">
        <is>
          <t>Morocco</t>
        </is>
      </c>
      <c r="D572" t="inlineStr">
        <is>
          <t>ma</t>
        </is>
      </c>
      <c r="E572" t="inlineStr">
        <is>
          <t>fr</t>
        </is>
      </c>
      <c r="F572" t="inlineStr">
        <is>
          <t>NOT AVAILABLE</t>
        </is>
      </c>
      <c r="G572" t="inlineStr">
        <is>
          <t>NOT AVAILABLE</t>
        </is>
      </c>
      <c r="H572" t="inlineStr">
        <is>
          <t>NOT AVAILABLE</t>
        </is>
      </c>
      <c r="I572" t="inlineStr">
        <is>
          <t>NOT AVAILABLE</t>
        </is>
      </c>
      <c r="J572" t="inlineStr">
        <is>
          <t>NOT AVAILABLE</t>
        </is>
      </c>
      <c r="K572" t="inlineStr">
        <is>
          <t>NOT AVAILABLE</t>
        </is>
      </c>
      <c r="L572" t="inlineStr">
        <is>
          <t>NOT AVAILABLE</t>
        </is>
      </c>
      <c r="M572" t="inlineStr">
        <is>
          <t>UNAVAILABLE</t>
        </is>
      </c>
      <c r="N572" s="5" t="inlineStr">
        <is>
          <t>Semrush phrase_these returned no data (not billed)</t>
        </is>
      </c>
      <c r="O572" t="inlineStr">
        <is>
          <t>2026-10-30</t>
        </is>
      </c>
      <c r="P572">
        <f>IF(IF(J572="NOT AVAILABLE","",J572)="",12,IF(OR(ISNUMBER(SEARCH("Transactional",IF(J572="NOT AVAILABLE","",J572))),ISNUMBER(SEARCH("Commercial",IF(J572="NOT AVAILABLE","",J572)))),25,IF(ISNUMBER(SEARCH("Informational",IF(J572="NOT AVAILABLE","",J572))),10,IF(ISNUMBER(SEARCH("Navigational",IF(J572="NOT AVAILABLE","",J572))),0,12))))</f>
        <v/>
      </c>
      <c r="Q572">
        <f>IF(ISNUMBER(F572),MIN(30,ROUND(30*LOG10(F572+1)/4,1)),0)</f>
        <v/>
      </c>
      <c r="R572">
        <f>IF(ISNUMBER(G572),ROUND(25*(100-G572)/100,1),12.5)</f>
        <v/>
      </c>
      <c r="S572" t="n">
        <v>20</v>
      </c>
      <c r="T572">
        <f>ROUND(P572+Q572+R572+S572,0)</f>
        <v/>
      </c>
      <c r="U572" s="5" t="inlineStr"/>
      <c r="V572" s="5" t="inlineStr"/>
    </row>
    <row r="573">
      <c r="A573" t="inlineStr">
        <is>
          <t>K0571</t>
        </is>
      </c>
      <c r="B573" t="inlineStr">
        <is>
          <t>création site e-commerce agadir</t>
        </is>
      </c>
      <c r="C573" t="inlineStr">
        <is>
          <t>Morocco</t>
        </is>
      </c>
      <c r="D573" t="inlineStr">
        <is>
          <t>ma</t>
        </is>
      </c>
      <c r="E573" t="inlineStr">
        <is>
          <t>fr</t>
        </is>
      </c>
      <c r="F573" t="inlineStr">
        <is>
          <t>NOT AVAILABLE</t>
        </is>
      </c>
      <c r="G573" t="inlineStr">
        <is>
          <t>NOT AVAILABLE</t>
        </is>
      </c>
      <c r="H573" t="inlineStr">
        <is>
          <t>NOT AVAILABLE</t>
        </is>
      </c>
      <c r="I573" t="inlineStr">
        <is>
          <t>NOT AVAILABLE</t>
        </is>
      </c>
      <c r="J573" t="inlineStr">
        <is>
          <t>NOT AVAILABLE</t>
        </is>
      </c>
      <c r="K573" t="inlineStr">
        <is>
          <t>NOT AVAILABLE</t>
        </is>
      </c>
      <c r="L573" t="inlineStr">
        <is>
          <t>NOT AVAILABLE</t>
        </is>
      </c>
      <c r="M573" t="inlineStr">
        <is>
          <t>UNAVAILABLE</t>
        </is>
      </c>
      <c r="N573" s="5" t="inlineStr">
        <is>
          <t>Semrush phrase_these returned no data (not billed)</t>
        </is>
      </c>
      <c r="O573" t="inlineStr">
        <is>
          <t>2026-10-30</t>
        </is>
      </c>
      <c r="P573">
        <f>IF(IF(J573="NOT AVAILABLE","",J573)="",12,IF(OR(ISNUMBER(SEARCH("Transactional",IF(J573="NOT AVAILABLE","",J573))),ISNUMBER(SEARCH("Commercial",IF(J573="NOT AVAILABLE","",J573)))),25,IF(ISNUMBER(SEARCH("Informational",IF(J573="NOT AVAILABLE","",J573))),10,IF(ISNUMBER(SEARCH("Navigational",IF(J573="NOT AVAILABLE","",J573))),0,12))))</f>
        <v/>
      </c>
      <c r="Q573">
        <f>IF(ISNUMBER(F573),MIN(30,ROUND(30*LOG10(F573+1)/4,1)),0)</f>
        <v/>
      </c>
      <c r="R573">
        <f>IF(ISNUMBER(G573),ROUND(25*(100-G573)/100,1),12.5)</f>
        <v/>
      </c>
      <c r="S573" t="n">
        <v>20</v>
      </c>
      <c r="T573">
        <f>ROUND(P573+Q573+R573+S573,0)</f>
        <v/>
      </c>
      <c r="U573" s="5" t="inlineStr"/>
      <c r="V573" s="5" t="inlineStr"/>
    </row>
    <row r="574">
      <c r="A574" t="inlineStr">
        <is>
          <t>K0572</t>
        </is>
      </c>
      <c r="B574" t="inlineStr">
        <is>
          <t>création site e-commerce casablanca</t>
        </is>
      </c>
      <c r="C574" t="inlineStr">
        <is>
          <t>Morocco</t>
        </is>
      </c>
      <c r="D574" t="inlineStr">
        <is>
          <t>ma</t>
        </is>
      </c>
      <c r="E574" t="inlineStr">
        <is>
          <t>fr</t>
        </is>
      </c>
      <c r="F574" t="inlineStr">
        <is>
          <t>NOT AVAILABLE</t>
        </is>
      </c>
      <c r="G574" t="inlineStr">
        <is>
          <t>NOT AVAILABLE</t>
        </is>
      </c>
      <c r="H574" t="inlineStr">
        <is>
          <t>NOT AVAILABLE</t>
        </is>
      </c>
      <c r="I574" t="inlineStr">
        <is>
          <t>NOT AVAILABLE</t>
        </is>
      </c>
      <c r="J574" t="inlineStr">
        <is>
          <t>NOT AVAILABLE</t>
        </is>
      </c>
      <c r="K574" t="inlineStr">
        <is>
          <t>NOT AVAILABLE</t>
        </is>
      </c>
      <c r="L574" t="inlineStr">
        <is>
          <t>NOT AVAILABLE</t>
        </is>
      </c>
      <c r="M574" t="inlineStr">
        <is>
          <t>UNAVAILABLE</t>
        </is>
      </c>
      <c r="N574" s="5" t="inlineStr">
        <is>
          <t>Semrush phrase_these returned no data (not billed)</t>
        </is>
      </c>
      <c r="O574" t="inlineStr">
        <is>
          <t>2026-10-30</t>
        </is>
      </c>
      <c r="P574">
        <f>IF(IF(J574="NOT AVAILABLE","",J574)="",12,IF(OR(ISNUMBER(SEARCH("Transactional",IF(J574="NOT AVAILABLE","",J574))),ISNUMBER(SEARCH("Commercial",IF(J574="NOT AVAILABLE","",J574)))),25,IF(ISNUMBER(SEARCH("Informational",IF(J574="NOT AVAILABLE","",J574))),10,IF(ISNUMBER(SEARCH("Navigational",IF(J574="NOT AVAILABLE","",J574))),0,12))))</f>
        <v/>
      </c>
      <c r="Q574">
        <f>IF(ISNUMBER(F574),MIN(30,ROUND(30*LOG10(F574+1)/4,1)),0)</f>
        <v/>
      </c>
      <c r="R574">
        <f>IF(ISNUMBER(G574),ROUND(25*(100-G574)/100,1),12.5)</f>
        <v/>
      </c>
      <c r="S574" t="n">
        <v>20</v>
      </c>
      <c r="T574">
        <f>ROUND(P574+Q574+R574+S574,0)</f>
        <v/>
      </c>
      <c r="U574" s="5" t="inlineStr"/>
      <c r="V574" s="5" t="inlineStr"/>
    </row>
    <row r="575">
      <c r="A575" t="inlineStr">
        <is>
          <t>K0573</t>
        </is>
      </c>
      <c r="B575" t="inlineStr">
        <is>
          <t>création site e-commerce marrakech</t>
        </is>
      </c>
      <c r="C575" t="inlineStr">
        <is>
          <t>Morocco</t>
        </is>
      </c>
      <c r="D575" t="inlineStr">
        <is>
          <t>ma</t>
        </is>
      </c>
      <c r="E575" t="inlineStr">
        <is>
          <t>fr</t>
        </is>
      </c>
      <c r="F575" t="inlineStr">
        <is>
          <t>NOT AVAILABLE</t>
        </is>
      </c>
      <c r="G575" t="inlineStr">
        <is>
          <t>NOT AVAILABLE</t>
        </is>
      </c>
      <c r="H575" t="inlineStr">
        <is>
          <t>NOT AVAILABLE</t>
        </is>
      </c>
      <c r="I575" t="inlineStr">
        <is>
          <t>NOT AVAILABLE</t>
        </is>
      </c>
      <c r="J575" t="inlineStr">
        <is>
          <t>NOT AVAILABLE</t>
        </is>
      </c>
      <c r="K575" t="inlineStr">
        <is>
          <t>NOT AVAILABLE</t>
        </is>
      </c>
      <c r="L575" t="inlineStr">
        <is>
          <t>NOT AVAILABLE</t>
        </is>
      </c>
      <c r="M575" t="inlineStr">
        <is>
          <t>UNAVAILABLE</t>
        </is>
      </c>
      <c r="N575" s="5" t="inlineStr">
        <is>
          <t>Semrush phrase_these returned no data (not billed)</t>
        </is>
      </c>
      <c r="O575" t="inlineStr">
        <is>
          <t>2026-10-30</t>
        </is>
      </c>
      <c r="P575">
        <f>IF(IF(J575="NOT AVAILABLE","",J575)="",12,IF(OR(ISNUMBER(SEARCH("Transactional",IF(J575="NOT AVAILABLE","",J575))),ISNUMBER(SEARCH("Commercial",IF(J575="NOT AVAILABLE","",J575)))),25,IF(ISNUMBER(SEARCH("Informational",IF(J575="NOT AVAILABLE","",J575))),10,IF(ISNUMBER(SEARCH("Navigational",IF(J575="NOT AVAILABLE","",J575))),0,12))))</f>
        <v/>
      </c>
      <c r="Q575">
        <f>IF(ISNUMBER(F575),MIN(30,ROUND(30*LOG10(F575+1)/4,1)),0)</f>
        <v/>
      </c>
      <c r="R575">
        <f>IF(ISNUMBER(G575),ROUND(25*(100-G575)/100,1),12.5)</f>
        <v/>
      </c>
      <c r="S575" t="n">
        <v>20</v>
      </c>
      <c r="T575">
        <f>ROUND(P575+Q575+R575+S575,0)</f>
        <v/>
      </c>
      <c r="U575" s="5" t="inlineStr"/>
      <c r="V575" s="5" t="inlineStr"/>
    </row>
    <row r="576">
      <c r="A576" t="inlineStr">
        <is>
          <t>K0574</t>
        </is>
      </c>
      <c r="B576" t="inlineStr">
        <is>
          <t>création site e-commerce prix</t>
        </is>
      </c>
      <c r="C576" t="inlineStr">
        <is>
          <t>Morocco</t>
        </is>
      </c>
      <c r="D576" t="inlineStr">
        <is>
          <t>ma</t>
        </is>
      </c>
      <c r="E576" t="inlineStr">
        <is>
          <t>fr</t>
        </is>
      </c>
      <c r="F576" t="n">
        <v>0</v>
      </c>
      <c r="G576" t="inlineStr">
        <is>
          <t>NOT AVAILABLE</t>
        </is>
      </c>
      <c r="H576" t="n">
        <v>0</v>
      </c>
      <c r="I576" t="n">
        <v>0</v>
      </c>
      <c r="J576" t="inlineStr">
        <is>
          <t>NOT AVAILABLE</t>
        </is>
      </c>
      <c r="K576" t="inlineStr">
        <is>
          <t>NOT AVAILABLE (report not requested)</t>
        </is>
      </c>
      <c r="L576" t="inlineStr">
        <is>
          <t>flat (no data)</t>
        </is>
      </c>
      <c r="M576" t="inlineStr">
        <is>
          <t>MEASURED</t>
        </is>
      </c>
      <c r="N576" s="5" t="inlineStr">
        <is>
          <t>Semrush phrase_these (historical w3-validate-B-ecommerce.csv)</t>
        </is>
      </c>
      <c r="O576" t="inlineStr">
        <is>
          <t>2026-10-27</t>
        </is>
      </c>
      <c r="P576">
        <f>IF(IF(J576="NOT AVAILABLE","",J576)="",12,IF(OR(ISNUMBER(SEARCH("Transactional",IF(J576="NOT AVAILABLE","",J576))),ISNUMBER(SEARCH("Commercial",IF(J576="NOT AVAILABLE","",J576)))),25,IF(ISNUMBER(SEARCH("Informational",IF(J576="NOT AVAILABLE","",J576))),10,IF(ISNUMBER(SEARCH("Navigational",IF(J576="NOT AVAILABLE","",J576))),0,12))))</f>
        <v/>
      </c>
      <c r="Q576">
        <f>IF(ISNUMBER(F576),MIN(30,ROUND(30*LOG10(F576+1)/4,1)),0)</f>
        <v/>
      </c>
      <c r="R576">
        <f>IF(ISNUMBER(G576),ROUND(25*(100-G576)/100,1),12.5)</f>
        <v/>
      </c>
      <c r="S576" t="n">
        <v>20</v>
      </c>
      <c r="T576">
        <f>ROUND(P576+Q576+R576+S576,0)</f>
        <v/>
      </c>
      <c r="U576" s="5" t="inlineStr"/>
      <c r="V576" s="5" t="inlineStr"/>
    </row>
    <row r="577">
      <c r="A577" t="inlineStr">
        <is>
          <t>K0575</t>
        </is>
      </c>
      <c r="B577" t="inlineStr">
        <is>
          <t>création site e-commerce rabat</t>
        </is>
      </c>
      <c r="C577" t="inlineStr">
        <is>
          <t>Morocco</t>
        </is>
      </c>
      <c r="D577" t="inlineStr">
        <is>
          <t>ma</t>
        </is>
      </c>
      <c r="E577" t="inlineStr">
        <is>
          <t>fr</t>
        </is>
      </c>
      <c r="F577" t="inlineStr">
        <is>
          <t>NOT AVAILABLE</t>
        </is>
      </c>
      <c r="G577" t="inlineStr">
        <is>
          <t>NOT AVAILABLE</t>
        </is>
      </c>
      <c r="H577" t="inlineStr">
        <is>
          <t>NOT AVAILABLE</t>
        </is>
      </c>
      <c r="I577" t="inlineStr">
        <is>
          <t>NOT AVAILABLE</t>
        </is>
      </c>
      <c r="J577" t="inlineStr">
        <is>
          <t>NOT AVAILABLE</t>
        </is>
      </c>
      <c r="K577" t="inlineStr">
        <is>
          <t>NOT AVAILABLE</t>
        </is>
      </c>
      <c r="L577" t="inlineStr">
        <is>
          <t>NOT AVAILABLE</t>
        </is>
      </c>
      <c r="M577" t="inlineStr">
        <is>
          <t>UNAVAILABLE</t>
        </is>
      </c>
      <c r="N577" s="5" t="inlineStr">
        <is>
          <t>Semrush phrase_these returned no data (not billed)</t>
        </is>
      </c>
      <c r="O577" t="inlineStr">
        <is>
          <t>2026-10-30</t>
        </is>
      </c>
      <c r="P577">
        <f>IF(IF(J577="NOT AVAILABLE","",J577)="",12,IF(OR(ISNUMBER(SEARCH("Transactional",IF(J577="NOT AVAILABLE","",J577))),ISNUMBER(SEARCH("Commercial",IF(J577="NOT AVAILABLE","",J577)))),25,IF(ISNUMBER(SEARCH("Informational",IF(J577="NOT AVAILABLE","",J577))),10,IF(ISNUMBER(SEARCH("Navigational",IF(J577="NOT AVAILABLE","",J577))),0,12))))</f>
        <v/>
      </c>
      <c r="Q577">
        <f>IF(ISNUMBER(F577),MIN(30,ROUND(30*LOG10(F577+1)/4,1)),0)</f>
        <v/>
      </c>
      <c r="R577">
        <f>IF(ISNUMBER(G577),ROUND(25*(100-G577)/100,1),12.5)</f>
        <v/>
      </c>
      <c r="S577" t="n">
        <v>20</v>
      </c>
      <c r="T577">
        <f>ROUND(P577+Q577+R577+S577,0)</f>
        <v/>
      </c>
      <c r="U577" s="5" t="inlineStr"/>
      <c r="V577" s="5" t="inlineStr"/>
    </row>
    <row r="578">
      <c r="A578" t="inlineStr">
        <is>
          <t>K0576</t>
        </is>
      </c>
      <c r="B578" t="inlineStr">
        <is>
          <t>création site e-commerce tanger</t>
        </is>
      </c>
      <c r="C578" t="inlineStr">
        <is>
          <t>Morocco</t>
        </is>
      </c>
      <c r="D578" t="inlineStr">
        <is>
          <t>ma</t>
        </is>
      </c>
      <c r="E578" t="inlineStr">
        <is>
          <t>fr</t>
        </is>
      </c>
      <c r="F578" t="inlineStr">
        <is>
          <t>NOT AVAILABLE</t>
        </is>
      </c>
      <c r="G578" t="inlineStr">
        <is>
          <t>NOT AVAILABLE</t>
        </is>
      </c>
      <c r="H578" t="inlineStr">
        <is>
          <t>NOT AVAILABLE</t>
        </is>
      </c>
      <c r="I578" t="inlineStr">
        <is>
          <t>NOT AVAILABLE</t>
        </is>
      </c>
      <c r="J578" t="inlineStr">
        <is>
          <t>NOT AVAILABLE</t>
        </is>
      </c>
      <c r="K578" t="inlineStr">
        <is>
          <t>NOT AVAILABLE</t>
        </is>
      </c>
      <c r="L578" t="inlineStr">
        <is>
          <t>NOT AVAILABLE</t>
        </is>
      </c>
      <c r="M578" t="inlineStr">
        <is>
          <t>UNAVAILABLE</t>
        </is>
      </c>
      <c r="N578" s="5" t="inlineStr">
        <is>
          <t>Semrush phrase_these returned no data (not billed)</t>
        </is>
      </c>
      <c r="O578" t="inlineStr">
        <is>
          <t>2026-10-30</t>
        </is>
      </c>
      <c r="P578">
        <f>IF(IF(J578="NOT AVAILABLE","",J578)="",12,IF(OR(ISNUMBER(SEARCH("Transactional",IF(J578="NOT AVAILABLE","",J578))),ISNUMBER(SEARCH("Commercial",IF(J578="NOT AVAILABLE","",J578)))),25,IF(ISNUMBER(SEARCH("Informational",IF(J578="NOT AVAILABLE","",J578))),10,IF(ISNUMBER(SEARCH("Navigational",IF(J578="NOT AVAILABLE","",J578))),0,12))))</f>
        <v/>
      </c>
      <c r="Q578">
        <f>IF(ISNUMBER(F578),MIN(30,ROUND(30*LOG10(F578+1)/4,1)),0)</f>
        <v/>
      </c>
      <c r="R578">
        <f>IF(ISNUMBER(G578),ROUND(25*(100-G578)/100,1),12.5)</f>
        <v/>
      </c>
      <c r="S578" t="n">
        <v>20</v>
      </c>
      <c r="T578">
        <f>ROUND(P578+Q578+R578+S578,0)</f>
        <v/>
      </c>
      <c r="U578" s="5" t="inlineStr"/>
      <c r="V578" s="5" t="inlineStr"/>
    </row>
    <row r="579">
      <c r="A579" t="inlineStr">
        <is>
          <t>K0577</t>
        </is>
      </c>
      <c r="B579" t="inlineStr">
        <is>
          <t>création site ecommerce maroc</t>
        </is>
      </c>
      <c r="C579" t="inlineStr">
        <is>
          <t>Morocco</t>
        </is>
      </c>
      <c r="D579" t="inlineStr">
        <is>
          <t>ma</t>
        </is>
      </c>
      <c r="E579" t="inlineStr">
        <is>
          <t>fr</t>
        </is>
      </c>
      <c r="F579" t="inlineStr">
        <is>
          <t>NOT AVAILABLE</t>
        </is>
      </c>
      <c r="G579" t="inlineStr">
        <is>
          <t>NOT AVAILABLE</t>
        </is>
      </c>
      <c r="H579" t="inlineStr">
        <is>
          <t>NOT AVAILABLE</t>
        </is>
      </c>
      <c r="I579" t="inlineStr">
        <is>
          <t>NOT AVAILABLE</t>
        </is>
      </c>
      <c r="J579" t="inlineStr">
        <is>
          <t>NOT AVAILABLE</t>
        </is>
      </c>
      <c r="K579" t="inlineStr">
        <is>
          <t>NOT AVAILABLE</t>
        </is>
      </c>
      <c r="L579" t="inlineStr">
        <is>
          <t>NOT AVAILABLE</t>
        </is>
      </c>
      <c r="M579" t="inlineStr">
        <is>
          <t>UNAVAILABLE</t>
        </is>
      </c>
      <c r="N579" s="5" t="inlineStr">
        <is>
          <t>Semrush phrase_these returned no data (not billed)</t>
        </is>
      </c>
      <c r="O579" t="inlineStr">
        <is>
          <t>2026-10-30</t>
        </is>
      </c>
      <c r="P579">
        <f>IF(IF(J579="NOT AVAILABLE","",J579)="",12,IF(OR(ISNUMBER(SEARCH("Transactional",IF(J579="NOT AVAILABLE","",J579))),ISNUMBER(SEARCH("Commercial",IF(J579="NOT AVAILABLE","",J579)))),25,IF(ISNUMBER(SEARCH("Informational",IF(J579="NOT AVAILABLE","",J579))),10,IF(ISNUMBER(SEARCH("Navigational",IF(J579="NOT AVAILABLE","",J579))),0,12))))</f>
        <v/>
      </c>
      <c r="Q579">
        <f>IF(ISNUMBER(F579),MIN(30,ROUND(30*LOG10(F579+1)/4,1)),0)</f>
        <v/>
      </c>
      <c r="R579">
        <f>IF(ISNUMBER(G579),ROUND(25*(100-G579)/100,1),12.5)</f>
        <v/>
      </c>
      <c r="S579" t="n">
        <v>20</v>
      </c>
      <c r="T579">
        <f>ROUND(P579+Q579+R579+S579,0)</f>
        <v/>
      </c>
      <c r="U579" s="5" t="inlineStr"/>
      <c r="V579" s="5" t="inlineStr">
        <is>
          <t>SECONDARY /services/ecommerce-website-development</t>
        </is>
      </c>
    </row>
    <row r="580">
      <c r="A580" t="inlineStr">
        <is>
          <t>K0578</t>
        </is>
      </c>
      <c r="B580" t="inlineStr">
        <is>
          <t>création site immobilier</t>
        </is>
      </c>
      <c r="C580" t="inlineStr">
        <is>
          <t>Morocco</t>
        </is>
      </c>
      <c r="D580" t="inlineStr">
        <is>
          <t>ma</t>
        </is>
      </c>
      <c r="E580" t="inlineStr">
        <is>
          <t>fr</t>
        </is>
      </c>
      <c r="F580" t="n">
        <v>0</v>
      </c>
      <c r="G580" t="inlineStr">
        <is>
          <t>NOT AVAILABLE</t>
        </is>
      </c>
      <c r="H580" t="n">
        <v>0</v>
      </c>
      <c r="I580" t="n">
        <v>0</v>
      </c>
      <c r="J580" t="inlineStr">
        <is>
          <t>NOT AVAILABLE</t>
        </is>
      </c>
      <c r="K580" t="inlineStr">
        <is>
          <t>NOT AVAILABLE (report not requested)</t>
        </is>
      </c>
      <c r="L580" t="inlineStr">
        <is>
          <t>flat (no data)</t>
        </is>
      </c>
      <c r="M580" t="inlineStr">
        <is>
          <t>MEASURED</t>
        </is>
      </c>
      <c r="N580" s="5" t="inlineStr">
        <is>
          <t>Semrush phrase_these (live, this session)</t>
        </is>
      </c>
      <c r="O580" t="inlineStr">
        <is>
          <t>2026-10-30</t>
        </is>
      </c>
      <c r="P580">
        <f>IF(IF(J580="NOT AVAILABLE","",J580)="",12,IF(OR(ISNUMBER(SEARCH("Transactional",IF(J580="NOT AVAILABLE","",J580))),ISNUMBER(SEARCH("Commercial",IF(J580="NOT AVAILABLE","",J580)))),25,IF(ISNUMBER(SEARCH("Informational",IF(J580="NOT AVAILABLE","",J580))),10,IF(ISNUMBER(SEARCH("Navigational",IF(J580="NOT AVAILABLE","",J580))),0,12))))</f>
        <v/>
      </c>
      <c r="Q580">
        <f>IF(ISNUMBER(F580),MIN(30,ROUND(30*LOG10(F580+1)/4,1)),0)</f>
        <v/>
      </c>
      <c r="R580">
        <f>IF(ISNUMBER(G580),ROUND(25*(100-G580)/100,1),12.5)</f>
        <v/>
      </c>
      <c r="S580" t="n">
        <v>20</v>
      </c>
      <c r="T580">
        <f>ROUND(P580+Q580+R580+S580,0)</f>
        <v/>
      </c>
      <c r="U580" s="5" t="inlineStr"/>
      <c r="V580" s="5" t="inlineStr"/>
    </row>
    <row r="581">
      <c r="A581" t="inlineStr">
        <is>
          <t>K0579</t>
        </is>
      </c>
      <c r="B581" t="inlineStr">
        <is>
          <t>création site immobilier maroc</t>
        </is>
      </c>
      <c r="C581" t="inlineStr">
        <is>
          <t>Morocco</t>
        </is>
      </c>
      <c r="D581" t="inlineStr">
        <is>
          <t>ma</t>
        </is>
      </c>
      <c r="E581" t="inlineStr">
        <is>
          <t>fr</t>
        </is>
      </c>
      <c r="F581" t="inlineStr">
        <is>
          <t>NOT AVAILABLE</t>
        </is>
      </c>
      <c r="G581" t="inlineStr">
        <is>
          <t>NOT AVAILABLE</t>
        </is>
      </c>
      <c r="H581" t="inlineStr">
        <is>
          <t>NOT AVAILABLE</t>
        </is>
      </c>
      <c r="I581" t="inlineStr">
        <is>
          <t>NOT AVAILABLE</t>
        </is>
      </c>
      <c r="J581" t="inlineStr">
        <is>
          <t>NOT AVAILABLE</t>
        </is>
      </c>
      <c r="K581" t="inlineStr">
        <is>
          <t>NOT AVAILABLE</t>
        </is>
      </c>
      <c r="L581" t="inlineStr">
        <is>
          <t>NOT AVAILABLE</t>
        </is>
      </c>
      <c r="M581" t="inlineStr">
        <is>
          <t>UNAVAILABLE</t>
        </is>
      </c>
      <c r="N581" s="5" t="inlineStr">
        <is>
          <t>Semrush phrase_these returned no data (not billed)</t>
        </is>
      </c>
      <c r="O581" t="inlineStr">
        <is>
          <t>2026-10-30</t>
        </is>
      </c>
      <c r="P581">
        <f>IF(IF(J581="NOT AVAILABLE","",J581)="",12,IF(OR(ISNUMBER(SEARCH("Transactional",IF(J581="NOT AVAILABLE","",J581))),ISNUMBER(SEARCH("Commercial",IF(J581="NOT AVAILABLE","",J581)))),25,IF(ISNUMBER(SEARCH("Informational",IF(J581="NOT AVAILABLE","",J581))),10,IF(ISNUMBER(SEARCH("Navigational",IF(J581="NOT AVAILABLE","",J581))),0,12))))</f>
        <v/>
      </c>
      <c r="Q581">
        <f>IF(ISNUMBER(F581),MIN(30,ROUND(30*LOG10(F581+1)/4,1)),0)</f>
        <v/>
      </c>
      <c r="R581">
        <f>IF(ISNUMBER(G581),ROUND(25*(100-G581)/100,1),12.5)</f>
        <v/>
      </c>
      <c r="S581" t="n">
        <v>20</v>
      </c>
      <c r="T581">
        <f>ROUND(P581+Q581+R581+S581,0)</f>
        <v/>
      </c>
      <c r="U581" s="5" t="inlineStr"/>
      <c r="V581" s="5" t="inlineStr"/>
    </row>
    <row r="582">
      <c r="A582" t="inlineStr">
        <is>
          <t>K0580</t>
        </is>
      </c>
      <c r="B582" t="inlineStr">
        <is>
          <t>création site internet</t>
        </is>
      </c>
      <c r="C582" t="inlineStr">
        <is>
          <t>Morocco</t>
        </is>
      </c>
      <c r="D582" t="inlineStr">
        <is>
          <t>ma</t>
        </is>
      </c>
      <c r="E582" t="inlineStr">
        <is>
          <t>fr</t>
        </is>
      </c>
      <c r="F582" t="inlineStr">
        <is>
          <t>NOT AVAILABLE</t>
        </is>
      </c>
      <c r="G582" t="inlineStr">
        <is>
          <t>NOT AVAILABLE</t>
        </is>
      </c>
      <c r="H582" t="inlineStr">
        <is>
          <t>NOT AVAILABLE</t>
        </is>
      </c>
      <c r="I582" t="inlineStr">
        <is>
          <t>NOT AVAILABLE</t>
        </is>
      </c>
      <c r="J582" t="inlineStr">
        <is>
          <t>NOT AVAILABLE</t>
        </is>
      </c>
      <c r="K582" t="inlineStr">
        <is>
          <t>NOT AVAILABLE</t>
        </is>
      </c>
      <c r="L582" t="inlineStr">
        <is>
          <t>NOT AVAILABLE</t>
        </is>
      </c>
      <c r="M582" t="inlineStr">
        <is>
          <t>SUGGESTED</t>
        </is>
      </c>
      <c r="N582" s="5" t="inlineStr">
        <is>
          <t>Analyst suggestion - not validated in Semrush</t>
        </is>
      </c>
      <c r="O582" t="inlineStr">
        <is>
          <t>NOT AVAILABLE</t>
        </is>
      </c>
      <c r="P582">
        <f>IF(IF(J582="NOT AVAILABLE","",J582)="",12,IF(OR(ISNUMBER(SEARCH("Transactional",IF(J582="NOT AVAILABLE","",J582))),ISNUMBER(SEARCH("Commercial",IF(J582="NOT AVAILABLE","",J582)))),25,IF(ISNUMBER(SEARCH("Informational",IF(J582="NOT AVAILABLE","",J582))),10,IF(ISNUMBER(SEARCH("Navigational",IF(J582="NOT AVAILABLE","",J582))),0,12))))</f>
        <v/>
      </c>
      <c r="Q582">
        <f>IF(ISNUMBER(F582),MIN(30,ROUND(30*LOG10(F582+1)/4,1)),0)</f>
        <v/>
      </c>
      <c r="R582">
        <f>IF(ISNUMBER(G582),ROUND(25*(100-G582)/100,1),12.5)</f>
        <v/>
      </c>
      <c r="S582" t="n">
        <v>20</v>
      </c>
      <c r="T582">
        <f>ROUND(P582+Q582+R582+S582,0)</f>
        <v/>
      </c>
      <c r="U582" s="5" t="inlineStr"/>
      <c r="V582" s="5" t="inlineStr"/>
    </row>
    <row r="583">
      <c r="A583" t="inlineStr">
        <is>
          <t>K0581</t>
        </is>
      </c>
      <c r="B583" t="inlineStr">
        <is>
          <t>création site internet agadir</t>
        </is>
      </c>
      <c r="C583" t="inlineStr">
        <is>
          <t>Morocco</t>
        </is>
      </c>
      <c r="D583" t="inlineStr">
        <is>
          <t>ma</t>
        </is>
      </c>
      <c r="E583" t="inlineStr">
        <is>
          <t>fr</t>
        </is>
      </c>
      <c r="F583" t="inlineStr">
        <is>
          <t>NOT AVAILABLE</t>
        </is>
      </c>
      <c r="G583" t="inlineStr">
        <is>
          <t>NOT AVAILABLE</t>
        </is>
      </c>
      <c r="H583" t="inlineStr">
        <is>
          <t>NOT AVAILABLE</t>
        </is>
      </c>
      <c r="I583" t="inlineStr">
        <is>
          <t>NOT AVAILABLE</t>
        </is>
      </c>
      <c r="J583" t="inlineStr">
        <is>
          <t>NOT AVAILABLE</t>
        </is>
      </c>
      <c r="K583" t="inlineStr">
        <is>
          <t>NOT AVAILABLE</t>
        </is>
      </c>
      <c r="L583" t="inlineStr">
        <is>
          <t>NOT AVAILABLE</t>
        </is>
      </c>
      <c r="M583" t="inlineStr">
        <is>
          <t>UNAVAILABLE</t>
        </is>
      </c>
      <c r="N583" s="5" t="inlineStr">
        <is>
          <t>Semrush phrase_these returned no data (not billed)</t>
        </is>
      </c>
      <c r="O583" t="inlineStr">
        <is>
          <t>2026-10-30</t>
        </is>
      </c>
      <c r="P583">
        <f>IF(IF(J583="NOT AVAILABLE","",J583)="",12,IF(OR(ISNUMBER(SEARCH("Transactional",IF(J583="NOT AVAILABLE","",J583))),ISNUMBER(SEARCH("Commercial",IF(J583="NOT AVAILABLE","",J583)))),25,IF(ISNUMBER(SEARCH("Informational",IF(J583="NOT AVAILABLE","",J583))),10,IF(ISNUMBER(SEARCH("Navigational",IF(J583="NOT AVAILABLE","",J583))),0,12))))</f>
        <v/>
      </c>
      <c r="Q583">
        <f>IF(ISNUMBER(F583),MIN(30,ROUND(30*LOG10(F583+1)/4,1)),0)</f>
        <v/>
      </c>
      <c r="R583">
        <f>IF(ISNUMBER(G583),ROUND(25*(100-G583)/100,1),12.5)</f>
        <v/>
      </c>
      <c r="S583" t="n">
        <v>20</v>
      </c>
      <c r="T583">
        <f>ROUND(P583+Q583+R583+S583,0)</f>
        <v/>
      </c>
      <c r="U583" s="5" t="inlineStr"/>
      <c r="V583" s="5" t="inlineStr"/>
    </row>
    <row r="584">
      <c r="A584" t="inlineStr">
        <is>
          <t>K0582</t>
        </is>
      </c>
      <c r="B584" t="inlineStr">
        <is>
          <t>création site internet tanger</t>
        </is>
      </c>
      <c r="C584" t="inlineStr">
        <is>
          <t>Morocco</t>
        </is>
      </c>
      <c r="D584" t="inlineStr">
        <is>
          <t>ma</t>
        </is>
      </c>
      <c r="E584" t="inlineStr">
        <is>
          <t>fr</t>
        </is>
      </c>
      <c r="F584" t="inlineStr">
        <is>
          <t>NOT AVAILABLE</t>
        </is>
      </c>
      <c r="G584" t="inlineStr">
        <is>
          <t>NOT AVAILABLE</t>
        </is>
      </c>
      <c r="H584" t="inlineStr">
        <is>
          <t>NOT AVAILABLE</t>
        </is>
      </c>
      <c r="I584" t="inlineStr">
        <is>
          <t>NOT AVAILABLE</t>
        </is>
      </c>
      <c r="J584" t="inlineStr">
        <is>
          <t>NOT AVAILABLE</t>
        </is>
      </c>
      <c r="K584" t="inlineStr">
        <is>
          <t>NOT AVAILABLE</t>
        </is>
      </c>
      <c r="L584" t="inlineStr">
        <is>
          <t>NOT AVAILABLE</t>
        </is>
      </c>
      <c r="M584" t="inlineStr">
        <is>
          <t>UNAVAILABLE</t>
        </is>
      </c>
      <c r="N584" s="5" t="inlineStr">
        <is>
          <t>Semrush phrase_these returned no data (not billed)</t>
        </is>
      </c>
      <c r="O584" t="inlineStr">
        <is>
          <t>2026-10-30</t>
        </is>
      </c>
      <c r="P584">
        <f>IF(IF(J584="NOT AVAILABLE","",J584)="",12,IF(OR(ISNUMBER(SEARCH("Transactional",IF(J584="NOT AVAILABLE","",J584))),ISNUMBER(SEARCH("Commercial",IF(J584="NOT AVAILABLE","",J584)))),25,IF(ISNUMBER(SEARCH("Informational",IF(J584="NOT AVAILABLE","",J584))),10,IF(ISNUMBER(SEARCH("Navigational",IF(J584="NOT AVAILABLE","",J584))),0,12))))</f>
        <v/>
      </c>
      <c r="Q584">
        <f>IF(ISNUMBER(F584),MIN(30,ROUND(30*LOG10(F584+1)/4,1)),0)</f>
        <v/>
      </c>
      <c r="R584">
        <f>IF(ISNUMBER(G584),ROUND(25*(100-G584)/100,1),12.5)</f>
        <v/>
      </c>
      <c r="S584" t="n">
        <v>20</v>
      </c>
      <c r="T584">
        <f>ROUND(P584+Q584+R584+S584,0)</f>
        <v/>
      </c>
      <c r="U584" s="5" t="inlineStr"/>
      <c r="V584" s="5" t="inlineStr"/>
    </row>
    <row r="585">
      <c r="A585" t="inlineStr">
        <is>
          <t>K0583</t>
        </is>
      </c>
      <c r="B585" t="inlineStr">
        <is>
          <t>création site vitrine maroc</t>
        </is>
      </c>
      <c r="C585" t="inlineStr">
        <is>
          <t>Morocco</t>
        </is>
      </c>
      <c r="D585" t="inlineStr">
        <is>
          <t>ma</t>
        </is>
      </c>
      <c r="E585" t="inlineStr">
        <is>
          <t>fr</t>
        </is>
      </c>
      <c r="F585" t="inlineStr">
        <is>
          <t>NOT AVAILABLE</t>
        </is>
      </c>
      <c r="G585" t="inlineStr">
        <is>
          <t>NOT AVAILABLE</t>
        </is>
      </c>
      <c r="H585" t="inlineStr">
        <is>
          <t>NOT AVAILABLE</t>
        </is>
      </c>
      <c r="I585" t="inlineStr">
        <is>
          <t>NOT AVAILABLE</t>
        </is>
      </c>
      <c r="J585" t="inlineStr">
        <is>
          <t>NOT AVAILABLE</t>
        </is>
      </c>
      <c r="K585" t="inlineStr">
        <is>
          <t>NOT AVAILABLE</t>
        </is>
      </c>
      <c r="L585" t="inlineStr">
        <is>
          <t>NOT AVAILABLE</t>
        </is>
      </c>
      <c r="M585" t="inlineStr">
        <is>
          <t>UNAVAILABLE</t>
        </is>
      </c>
      <c r="N585" s="5" t="inlineStr">
        <is>
          <t>Semrush phrase_these returned no data (not billed)</t>
        </is>
      </c>
      <c r="O585" t="inlineStr">
        <is>
          <t>2026-10-30</t>
        </is>
      </c>
      <c r="P585">
        <f>IF(IF(J585="NOT AVAILABLE","",J585)="",12,IF(OR(ISNUMBER(SEARCH("Transactional",IF(J585="NOT AVAILABLE","",J585))),ISNUMBER(SEARCH("Commercial",IF(J585="NOT AVAILABLE","",J585)))),25,IF(ISNUMBER(SEARCH("Informational",IF(J585="NOT AVAILABLE","",J585))),10,IF(ISNUMBER(SEARCH("Navigational",IF(J585="NOT AVAILABLE","",J585))),0,12))))</f>
        <v/>
      </c>
      <c r="Q585">
        <f>IF(ISNUMBER(F585),MIN(30,ROUND(30*LOG10(F585+1)/4,1)),0)</f>
        <v/>
      </c>
      <c r="R585">
        <f>IF(ISNUMBER(G585),ROUND(25*(100-G585)/100,1),12.5)</f>
        <v/>
      </c>
      <c r="S585" t="n">
        <v>20</v>
      </c>
      <c r="T585">
        <f>ROUND(P585+Q585+R585+S585,0)</f>
        <v/>
      </c>
      <c r="U585" s="5" t="inlineStr"/>
      <c r="V585" s="5" t="inlineStr"/>
    </row>
    <row r="586">
      <c r="A586" t="inlineStr">
        <is>
          <t>K0584</t>
        </is>
      </c>
      <c r="B586" t="inlineStr">
        <is>
          <t>création site web agence immobilière</t>
        </is>
      </c>
      <c r="C586" t="inlineStr">
        <is>
          <t>Morocco</t>
        </is>
      </c>
      <c r="D586" t="inlineStr">
        <is>
          <t>ma</t>
        </is>
      </c>
      <c r="E586" t="inlineStr">
        <is>
          <t>fr</t>
        </is>
      </c>
      <c r="F586" t="inlineStr">
        <is>
          <t>NOT AVAILABLE</t>
        </is>
      </c>
      <c r="G586" t="inlineStr">
        <is>
          <t>NOT AVAILABLE</t>
        </is>
      </c>
      <c r="H586" t="inlineStr">
        <is>
          <t>NOT AVAILABLE</t>
        </is>
      </c>
      <c r="I586" t="inlineStr">
        <is>
          <t>NOT AVAILABLE</t>
        </is>
      </c>
      <c r="J586" t="inlineStr">
        <is>
          <t>NOT AVAILABLE</t>
        </is>
      </c>
      <c r="K586" t="inlineStr">
        <is>
          <t>NOT AVAILABLE</t>
        </is>
      </c>
      <c r="L586" t="inlineStr">
        <is>
          <t>NOT AVAILABLE</t>
        </is>
      </c>
      <c r="M586" t="inlineStr">
        <is>
          <t>UNAVAILABLE</t>
        </is>
      </c>
      <c r="N586" s="5" t="inlineStr">
        <is>
          <t>Semrush phrase_these returned no data (not billed)</t>
        </is>
      </c>
      <c r="O586" t="inlineStr">
        <is>
          <t>2026-10-30</t>
        </is>
      </c>
      <c r="P586">
        <f>IF(IF(J586="NOT AVAILABLE","",J586)="",12,IF(OR(ISNUMBER(SEARCH("Transactional",IF(J586="NOT AVAILABLE","",J586))),ISNUMBER(SEARCH("Commercial",IF(J586="NOT AVAILABLE","",J586)))),25,IF(ISNUMBER(SEARCH("Informational",IF(J586="NOT AVAILABLE","",J586))),10,IF(ISNUMBER(SEARCH("Navigational",IF(J586="NOT AVAILABLE","",J586))),0,12))))</f>
        <v/>
      </c>
      <c r="Q586">
        <f>IF(ISNUMBER(F586),MIN(30,ROUND(30*LOG10(F586+1)/4,1)),0)</f>
        <v/>
      </c>
      <c r="R586">
        <f>IF(ISNUMBER(G586),ROUND(25*(100-G586)/100,1),12.5)</f>
        <v/>
      </c>
      <c r="S586" t="n">
        <v>20</v>
      </c>
      <c r="T586">
        <f>ROUND(P586+Q586+R586+S586,0)</f>
        <v/>
      </c>
      <c r="U586" s="5" t="inlineStr"/>
      <c r="V586" s="5" t="inlineStr"/>
    </row>
    <row r="587">
      <c r="A587" t="inlineStr">
        <is>
          <t>K0585</t>
        </is>
      </c>
      <c r="B587" t="inlineStr">
        <is>
          <t>création site web architecte</t>
        </is>
      </c>
      <c r="C587" t="inlineStr">
        <is>
          <t>Morocco</t>
        </is>
      </c>
      <c r="D587" t="inlineStr">
        <is>
          <t>ma</t>
        </is>
      </c>
      <c r="E587" t="inlineStr">
        <is>
          <t>fr</t>
        </is>
      </c>
      <c r="F587" t="inlineStr">
        <is>
          <t>NOT AVAILABLE</t>
        </is>
      </c>
      <c r="G587" t="inlineStr">
        <is>
          <t>NOT AVAILABLE</t>
        </is>
      </c>
      <c r="H587" t="inlineStr">
        <is>
          <t>NOT AVAILABLE</t>
        </is>
      </c>
      <c r="I587" t="inlineStr">
        <is>
          <t>NOT AVAILABLE</t>
        </is>
      </c>
      <c r="J587" t="inlineStr">
        <is>
          <t>NOT AVAILABLE</t>
        </is>
      </c>
      <c r="K587" t="inlineStr">
        <is>
          <t>NOT AVAILABLE</t>
        </is>
      </c>
      <c r="L587" t="inlineStr">
        <is>
          <t>NOT AVAILABLE</t>
        </is>
      </c>
      <c r="M587" t="inlineStr">
        <is>
          <t>UNAVAILABLE</t>
        </is>
      </c>
      <c r="N587" s="5" t="inlineStr">
        <is>
          <t>Semrush phrase_these returned no data (not billed)</t>
        </is>
      </c>
      <c r="O587" t="inlineStr">
        <is>
          <t>2026-10-30</t>
        </is>
      </c>
      <c r="P587">
        <f>IF(IF(J587="NOT AVAILABLE","",J587)="",12,IF(OR(ISNUMBER(SEARCH("Transactional",IF(J587="NOT AVAILABLE","",J587))),ISNUMBER(SEARCH("Commercial",IF(J587="NOT AVAILABLE","",J587)))),25,IF(ISNUMBER(SEARCH("Informational",IF(J587="NOT AVAILABLE","",J587))),10,IF(ISNUMBER(SEARCH("Navigational",IF(J587="NOT AVAILABLE","",J587))),0,12))))</f>
        <v/>
      </c>
      <c r="Q587">
        <f>IF(ISNUMBER(F587),MIN(30,ROUND(30*LOG10(F587+1)/4,1)),0)</f>
        <v/>
      </c>
      <c r="R587">
        <f>IF(ISNUMBER(G587),ROUND(25*(100-G587)/100,1),12.5)</f>
        <v/>
      </c>
      <c r="S587" t="n">
        <v>20</v>
      </c>
      <c r="T587">
        <f>ROUND(P587+Q587+R587+S587,0)</f>
        <v/>
      </c>
      <c r="U587" s="5" t="inlineStr"/>
      <c r="V587" s="5" t="inlineStr"/>
    </row>
    <row r="588">
      <c r="A588" t="inlineStr">
        <is>
          <t>K0586</t>
        </is>
      </c>
      <c r="B588" t="inlineStr">
        <is>
          <t>création site web banque</t>
        </is>
      </c>
      <c r="C588" t="inlineStr">
        <is>
          <t>Morocco</t>
        </is>
      </c>
      <c r="D588" t="inlineStr">
        <is>
          <t>ma</t>
        </is>
      </c>
      <c r="E588" t="inlineStr">
        <is>
          <t>fr</t>
        </is>
      </c>
      <c r="F588" t="inlineStr">
        <is>
          <t>NOT AVAILABLE</t>
        </is>
      </c>
      <c r="G588" t="inlineStr">
        <is>
          <t>NOT AVAILABLE</t>
        </is>
      </c>
      <c r="H588" t="inlineStr">
        <is>
          <t>NOT AVAILABLE</t>
        </is>
      </c>
      <c r="I588" t="inlineStr">
        <is>
          <t>NOT AVAILABLE</t>
        </is>
      </c>
      <c r="J588" t="inlineStr">
        <is>
          <t>NOT AVAILABLE</t>
        </is>
      </c>
      <c r="K588" t="inlineStr">
        <is>
          <t>NOT AVAILABLE</t>
        </is>
      </c>
      <c r="L588" t="inlineStr">
        <is>
          <t>NOT AVAILABLE</t>
        </is>
      </c>
      <c r="M588" t="inlineStr">
        <is>
          <t>UNAVAILABLE</t>
        </is>
      </c>
      <c r="N588" s="5" t="inlineStr">
        <is>
          <t>Semrush phrase_these returned no data (not billed)</t>
        </is>
      </c>
      <c r="O588" t="inlineStr">
        <is>
          <t>2026-10-30</t>
        </is>
      </c>
      <c r="P588">
        <f>IF(IF(J588="NOT AVAILABLE","",J588)="",12,IF(OR(ISNUMBER(SEARCH("Transactional",IF(J588="NOT AVAILABLE","",J588))),ISNUMBER(SEARCH("Commercial",IF(J588="NOT AVAILABLE","",J588)))),25,IF(ISNUMBER(SEARCH("Informational",IF(J588="NOT AVAILABLE","",J588))),10,IF(ISNUMBER(SEARCH("Navigational",IF(J588="NOT AVAILABLE","",J588))),0,12))))</f>
        <v/>
      </c>
      <c r="Q588">
        <f>IF(ISNUMBER(F588),MIN(30,ROUND(30*LOG10(F588+1)/4,1)),0)</f>
        <v/>
      </c>
      <c r="R588">
        <f>IF(ISNUMBER(G588),ROUND(25*(100-G588)/100,1),12.5)</f>
        <v/>
      </c>
      <c r="S588" t="n">
        <v>20</v>
      </c>
      <c r="T588">
        <f>ROUND(P588+Q588+R588+S588,0)</f>
        <v/>
      </c>
      <c r="U588" s="5" t="inlineStr"/>
      <c r="V588" s="5" t="inlineStr"/>
    </row>
    <row r="589">
      <c r="A589" t="inlineStr">
        <is>
          <t>K0587</t>
        </is>
      </c>
      <c r="B589" t="inlineStr">
        <is>
          <t>création site web cabinet médical</t>
        </is>
      </c>
      <c r="C589" t="inlineStr">
        <is>
          <t>Morocco</t>
        </is>
      </c>
      <c r="D589" t="inlineStr">
        <is>
          <t>ma</t>
        </is>
      </c>
      <c r="E589" t="inlineStr">
        <is>
          <t>fr</t>
        </is>
      </c>
      <c r="F589" t="inlineStr">
        <is>
          <t>NOT AVAILABLE</t>
        </is>
      </c>
      <c r="G589" t="inlineStr">
        <is>
          <t>NOT AVAILABLE</t>
        </is>
      </c>
      <c r="H589" t="inlineStr">
        <is>
          <t>NOT AVAILABLE</t>
        </is>
      </c>
      <c r="I589" t="inlineStr">
        <is>
          <t>NOT AVAILABLE</t>
        </is>
      </c>
      <c r="J589" t="inlineStr">
        <is>
          <t>NOT AVAILABLE</t>
        </is>
      </c>
      <c r="K589" t="inlineStr">
        <is>
          <t>NOT AVAILABLE</t>
        </is>
      </c>
      <c r="L589" t="inlineStr">
        <is>
          <t>NOT AVAILABLE</t>
        </is>
      </c>
      <c r="M589" t="inlineStr">
        <is>
          <t>UNAVAILABLE</t>
        </is>
      </c>
      <c r="N589" s="5" t="inlineStr">
        <is>
          <t>Semrush phrase_these returned no data (not billed)</t>
        </is>
      </c>
      <c r="O589" t="inlineStr">
        <is>
          <t>2026-10-30</t>
        </is>
      </c>
      <c r="P589">
        <f>IF(IF(J589="NOT AVAILABLE","",J589)="",12,IF(OR(ISNUMBER(SEARCH("Transactional",IF(J589="NOT AVAILABLE","",J589))),ISNUMBER(SEARCH("Commercial",IF(J589="NOT AVAILABLE","",J589)))),25,IF(ISNUMBER(SEARCH("Informational",IF(J589="NOT AVAILABLE","",J589))),10,IF(ISNUMBER(SEARCH("Navigational",IF(J589="NOT AVAILABLE","",J589))),0,12))))</f>
        <v/>
      </c>
      <c r="Q589">
        <f>IF(ISNUMBER(F589),MIN(30,ROUND(30*LOG10(F589+1)/4,1)),0)</f>
        <v/>
      </c>
      <c r="R589">
        <f>IF(ISNUMBER(G589),ROUND(25*(100-G589)/100,1),12.5)</f>
        <v/>
      </c>
      <c r="S589" t="n">
        <v>20</v>
      </c>
      <c r="T589">
        <f>ROUND(P589+Q589+R589+S589,0)</f>
        <v/>
      </c>
      <c r="U589" s="5" t="inlineStr"/>
      <c r="V589" s="5" t="inlineStr"/>
    </row>
    <row r="590">
      <c r="A590" t="inlineStr">
        <is>
          <t>K0588</t>
        </is>
      </c>
      <c r="B590" t="inlineStr">
        <is>
          <t>création site web clinique</t>
        </is>
      </c>
      <c r="C590" t="inlineStr">
        <is>
          <t>Morocco</t>
        </is>
      </c>
      <c r="D590" t="inlineStr">
        <is>
          <t>ma</t>
        </is>
      </c>
      <c r="E590" t="inlineStr">
        <is>
          <t>fr</t>
        </is>
      </c>
      <c r="F590" t="inlineStr">
        <is>
          <t>NOT AVAILABLE</t>
        </is>
      </c>
      <c r="G590" t="inlineStr">
        <is>
          <t>NOT AVAILABLE</t>
        </is>
      </c>
      <c r="H590" t="inlineStr">
        <is>
          <t>NOT AVAILABLE</t>
        </is>
      </c>
      <c r="I590" t="inlineStr">
        <is>
          <t>NOT AVAILABLE</t>
        </is>
      </c>
      <c r="J590" t="inlineStr">
        <is>
          <t>NOT AVAILABLE</t>
        </is>
      </c>
      <c r="K590" t="inlineStr">
        <is>
          <t>NOT AVAILABLE</t>
        </is>
      </c>
      <c r="L590" t="inlineStr">
        <is>
          <t>NOT AVAILABLE</t>
        </is>
      </c>
      <c r="M590" t="inlineStr">
        <is>
          <t>UNAVAILABLE</t>
        </is>
      </c>
      <c r="N590" s="5" t="inlineStr">
        <is>
          <t>Semrush phrase_these returned no data (not billed)</t>
        </is>
      </c>
      <c r="O590" t="inlineStr">
        <is>
          <t>2026-10-30</t>
        </is>
      </c>
      <c r="P590">
        <f>IF(IF(J590="NOT AVAILABLE","",J590)="",12,IF(OR(ISNUMBER(SEARCH("Transactional",IF(J590="NOT AVAILABLE","",J590))),ISNUMBER(SEARCH("Commercial",IF(J590="NOT AVAILABLE","",J590)))),25,IF(ISNUMBER(SEARCH("Informational",IF(J590="NOT AVAILABLE","",J590))),10,IF(ISNUMBER(SEARCH("Navigational",IF(J590="NOT AVAILABLE","",J590))),0,12))))</f>
        <v/>
      </c>
      <c r="Q590">
        <f>IF(ISNUMBER(F590),MIN(30,ROUND(30*LOG10(F590+1)/4,1)),0)</f>
        <v/>
      </c>
      <c r="R590">
        <f>IF(ISNUMBER(G590),ROUND(25*(100-G590)/100,1),12.5)</f>
        <v/>
      </c>
      <c r="S590" t="n">
        <v>20</v>
      </c>
      <c r="T590">
        <f>ROUND(P590+Q590+R590+S590,0)</f>
        <v/>
      </c>
      <c r="U590" s="5" t="inlineStr"/>
      <c r="V590" s="5" t="inlineStr"/>
    </row>
    <row r="591">
      <c r="A591" t="inlineStr">
        <is>
          <t>K0589</t>
        </is>
      </c>
      <c r="B591" t="inlineStr">
        <is>
          <t>création site web hôtel</t>
        </is>
      </c>
      <c r="C591" t="inlineStr">
        <is>
          <t>Morocco</t>
        </is>
      </c>
      <c r="D591" t="inlineStr">
        <is>
          <t>ma</t>
        </is>
      </c>
      <c r="E591" t="inlineStr">
        <is>
          <t>fr</t>
        </is>
      </c>
      <c r="F591" t="inlineStr">
        <is>
          <t>NOT AVAILABLE</t>
        </is>
      </c>
      <c r="G591" t="inlineStr">
        <is>
          <t>NOT AVAILABLE</t>
        </is>
      </c>
      <c r="H591" t="inlineStr">
        <is>
          <t>NOT AVAILABLE</t>
        </is>
      </c>
      <c r="I591" t="inlineStr">
        <is>
          <t>NOT AVAILABLE</t>
        </is>
      </c>
      <c r="J591" t="inlineStr">
        <is>
          <t>NOT AVAILABLE</t>
        </is>
      </c>
      <c r="K591" t="inlineStr">
        <is>
          <t>NOT AVAILABLE</t>
        </is>
      </c>
      <c r="L591" t="inlineStr">
        <is>
          <t>NOT AVAILABLE</t>
        </is>
      </c>
      <c r="M591" t="inlineStr">
        <is>
          <t>UNAVAILABLE</t>
        </is>
      </c>
      <c r="N591" s="5" t="inlineStr">
        <is>
          <t>Semrush phrase_these returned no data (not billed)</t>
        </is>
      </c>
      <c r="O591" t="inlineStr">
        <is>
          <t>2026-10-30</t>
        </is>
      </c>
      <c r="P591">
        <f>IF(IF(J591="NOT AVAILABLE","",J591)="",12,IF(OR(ISNUMBER(SEARCH("Transactional",IF(J591="NOT AVAILABLE","",J591))),ISNUMBER(SEARCH("Commercial",IF(J591="NOT AVAILABLE","",J591)))),25,IF(ISNUMBER(SEARCH("Informational",IF(J591="NOT AVAILABLE","",J591))),10,IF(ISNUMBER(SEARCH("Navigational",IF(J591="NOT AVAILABLE","",J591))),0,12))))</f>
        <v/>
      </c>
      <c r="Q591">
        <f>IF(ISNUMBER(F591),MIN(30,ROUND(30*LOG10(F591+1)/4,1)),0)</f>
        <v/>
      </c>
      <c r="R591">
        <f>IF(ISNUMBER(G591),ROUND(25*(100-G591)/100,1),12.5)</f>
        <v/>
      </c>
      <c r="S591" t="n">
        <v>20</v>
      </c>
      <c r="T591">
        <f>ROUND(P591+Q591+R591+S591,0)</f>
        <v/>
      </c>
      <c r="U591" s="5" t="inlineStr"/>
      <c r="V591" s="5" t="inlineStr"/>
    </row>
    <row r="592">
      <c r="A592" t="inlineStr">
        <is>
          <t>K0590</t>
        </is>
      </c>
      <c r="B592" t="inlineStr">
        <is>
          <t>création site web immobilier</t>
        </is>
      </c>
      <c r="C592" t="inlineStr">
        <is>
          <t>Morocco</t>
        </is>
      </c>
      <c r="D592" t="inlineStr">
        <is>
          <t>ma</t>
        </is>
      </c>
      <c r="E592" t="inlineStr">
        <is>
          <t>fr</t>
        </is>
      </c>
      <c r="F592" t="n">
        <v>0</v>
      </c>
      <c r="G592" t="inlineStr">
        <is>
          <t>NOT AVAILABLE</t>
        </is>
      </c>
      <c r="H592" t="n">
        <v>0</v>
      </c>
      <c r="I592" t="n">
        <v>0.17</v>
      </c>
      <c r="J592" t="inlineStr">
        <is>
          <t>NOT AVAILABLE</t>
        </is>
      </c>
      <c r="K592" t="inlineStr">
        <is>
          <t>NOT AVAILABLE (report not requested)</t>
        </is>
      </c>
      <c r="L592" t="inlineStr">
        <is>
          <t>declining (calc.)</t>
        </is>
      </c>
      <c r="M592" t="inlineStr">
        <is>
          <t>MEASURED</t>
        </is>
      </c>
      <c r="N592" s="5" t="inlineStr">
        <is>
          <t>Semrush phrase_these (historical validate-ma-core.csv)</t>
        </is>
      </c>
      <c r="O592" t="inlineStr">
        <is>
          <t>2026-10-26</t>
        </is>
      </c>
      <c r="P592">
        <f>IF(IF(J592="NOT AVAILABLE","",J592)="",12,IF(OR(ISNUMBER(SEARCH("Transactional",IF(J592="NOT AVAILABLE","",J592))),ISNUMBER(SEARCH("Commercial",IF(J592="NOT AVAILABLE","",J592)))),25,IF(ISNUMBER(SEARCH("Informational",IF(J592="NOT AVAILABLE","",J592))),10,IF(ISNUMBER(SEARCH("Navigational",IF(J592="NOT AVAILABLE","",J592))),0,12))))</f>
        <v/>
      </c>
      <c r="Q592">
        <f>IF(ISNUMBER(F592),MIN(30,ROUND(30*LOG10(F592+1)/4,1)),0)</f>
        <v/>
      </c>
      <c r="R592">
        <f>IF(ISNUMBER(G592),ROUND(25*(100-G592)/100,1),12.5)</f>
        <v/>
      </c>
      <c r="S592" t="n">
        <v>20</v>
      </c>
      <c r="T592">
        <f>ROUND(P592+Q592+R592+S592,0)</f>
        <v/>
      </c>
      <c r="U592" s="5" t="inlineStr"/>
      <c r="V592" s="5" t="inlineStr"/>
    </row>
    <row r="593">
      <c r="A593" t="inlineStr">
        <is>
          <t>K0591</t>
        </is>
      </c>
      <c r="B593" t="inlineStr">
        <is>
          <t>création site web médecin</t>
        </is>
      </c>
      <c r="C593" t="inlineStr">
        <is>
          <t>Morocco</t>
        </is>
      </c>
      <c r="D593" t="inlineStr">
        <is>
          <t>ma</t>
        </is>
      </c>
      <c r="E593" t="inlineStr">
        <is>
          <t>fr</t>
        </is>
      </c>
      <c r="F593" t="inlineStr">
        <is>
          <t>NOT AVAILABLE</t>
        </is>
      </c>
      <c r="G593" t="inlineStr">
        <is>
          <t>NOT AVAILABLE</t>
        </is>
      </c>
      <c r="H593" t="inlineStr">
        <is>
          <t>NOT AVAILABLE</t>
        </is>
      </c>
      <c r="I593" t="inlineStr">
        <is>
          <t>NOT AVAILABLE</t>
        </is>
      </c>
      <c r="J593" t="inlineStr">
        <is>
          <t>NOT AVAILABLE</t>
        </is>
      </c>
      <c r="K593" t="inlineStr">
        <is>
          <t>NOT AVAILABLE</t>
        </is>
      </c>
      <c r="L593" t="inlineStr">
        <is>
          <t>NOT AVAILABLE</t>
        </is>
      </c>
      <c r="M593" t="inlineStr">
        <is>
          <t>UNAVAILABLE</t>
        </is>
      </c>
      <c r="N593" s="5" t="inlineStr">
        <is>
          <t>Semrush phrase_these returned no data (not billed)</t>
        </is>
      </c>
      <c r="O593" t="inlineStr">
        <is>
          <t>2026-10-30</t>
        </is>
      </c>
      <c r="P593">
        <f>IF(IF(J593="NOT AVAILABLE","",J593)="",12,IF(OR(ISNUMBER(SEARCH("Transactional",IF(J593="NOT AVAILABLE","",J593))),ISNUMBER(SEARCH("Commercial",IF(J593="NOT AVAILABLE","",J593)))),25,IF(ISNUMBER(SEARCH("Informational",IF(J593="NOT AVAILABLE","",J593))),10,IF(ISNUMBER(SEARCH("Navigational",IF(J593="NOT AVAILABLE","",J593))),0,12))))</f>
        <v/>
      </c>
      <c r="Q593">
        <f>IF(ISNUMBER(F593),MIN(30,ROUND(30*LOG10(F593+1)/4,1)),0)</f>
        <v/>
      </c>
      <c r="R593">
        <f>IF(ISNUMBER(G593),ROUND(25*(100-G593)/100,1),12.5)</f>
        <v/>
      </c>
      <c r="S593" t="n">
        <v>20</v>
      </c>
      <c r="T593">
        <f>ROUND(P593+Q593+R593+S593,0)</f>
        <v/>
      </c>
      <c r="U593" s="5" t="inlineStr"/>
      <c r="V593" s="5" t="inlineStr"/>
    </row>
    <row r="594">
      <c r="A594" t="inlineStr">
        <is>
          <t>K0592</t>
        </is>
      </c>
      <c r="B594" t="inlineStr">
        <is>
          <t>création site web médecin maroc</t>
        </is>
      </c>
      <c r="C594" t="inlineStr">
        <is>
          <t>Morocco</t>
        </is>
      </c>
      <c r="D594" t="inlineStr">
        <is>
          <t>ma</t>
        </is>
      </c>
      <c r="E594" t="inlineStr">
        <is>
          <t>fr</t>
        </is>
      </c>
      <c r="F594" t="inlineStr">
        <is>
          <t>NOT AVAILABLE</t>
        </is>
      </c>
      <c r="G594" t="inlineStr">
        <is>
          <t>NOT AVAILABLE</t>
        </is>
      </c>
      <c r="H594" t="inlineStr">
        <is>
          <t>NOT AVAILABLE</t>
        </is>
      </c>
      <c r="I594" t="inlineStr">
        <is>
          <t>NOT AVAILABLE</t>
        </is>
      </c>
      <c r="J594" t="inlineStr">
        <is>
          <t>NOT AVAILABLE</t>
        </is>
      </c>
      <c r="K594" t="inlineStr">
        <is>
          <t>NOT AVAILABLE</t>
        </is>
      </c>
      <c r="L594" t="inlineStr">
        <is>
          <t>NOT AVAILABLE</t>
        </is>
      </c>
      <c r="M594" t="inlineStr">
        <is>
          <t>UNAVAILABLE</t>
        </is>
      </c>
      <c r="N594" s="5" t="inlineStr">
        <is>
          <t>Semrush phrase_these returned no data (not billed)</t>
        </is>
      </c>
      <c r="O594" t="inlineStr">
        <is>
          <t>2026-10-30</t>
        </is>
      </c>
      <c r="P594">
        <f>IF(IF(J594="NOT AVAILABLE","",J594)="",12,IF(OR(ISNUMBER(SEARCH("Transactional",IF(J594="NOT AVAILABLE","",J594))),ISNUMBER(SEARCH("Commercial",IF(J594="NOT AVAILABLE","",J594)))),25,IF(ISNUMBER(SEARCH("Informational",IF(J594="NOT AVAILABLE","",J594))),10,IF(ISNUMBER(SEARCH("Navigational",IF(J594="NOT AVAILABLE","",J594))),0,12))))</f>
        <v/>
      </c>
      <c r="Q594">
        <f>IF(ISNUMBER(F594),MIN(30,ROUND(30*LOG10(F594+1)/4,1)),0)</f>
        <v/>
      </c>
      <c r="R594">
        <f>IF(ISNUMBER(G594),ROUND(25*(100-G594)/100,1),12.5)</f>
        <v/>
      </c>
      <c r="S594" t="n">
        <v>20</v>
      </c>
      <c r="T594">
        <f>ROUND(P594+Q594+R594+S594,0)</f>
        <v/>
      </c>
      <c r="U594" s="5" t="inlineStr"/>
      <c r="V594" s="5" t="inlineStr"/>
    </row>
    <row r="595">
      <c r="A595" t="inlineStr">
        <is>
          <t>K0593</t>
        </is>
      </c>
      <c r="B595" t="inlineStr">
        <is>
          <t>création site web par secteur</t>
        </is>
      </c>
      <c r="C595" t="inlineStr">
        <is>
          <t>Morocco</t>
        </is>
      </c>
      <c r="D595" t="inlineStr">
        <is>
          <t>ma</t>
        </is>
      </c>
      <c r="E595" t="inlineStr">
        <is>
          <t>fr</t>
        </is>
      </c>
      <c r="F595" t="inlineStr">
        <is>
          <t>NOT AVAILABLE</t>
        </is>
      </c>
      <c r="G595" t="inlineStr">
        <is>
          <t>NOT AVAILABLE</t>
        </is>
      </c>
      <c r="H595" t="inlineStr">
        <is>
          <t>NOT AVAILABLE</t>
        </is>
      </c>
      <c r="I595" t="inlineStr">
        <is>
          <t>NOT AVAILABLE</t>
        </is>
      </c>
      <c r="J595" t="inlineStr">
        <is>
          <t>NOT AVAILABLE</t>
        </is>
      </c>
      <c r="K595" t="inlineStr">
        <is>
          <t>NOT AVAILABLE</t>
        </is>
      </c>
      <c r="L595" t="inlineStr">
        <is>
          <t>NOT AVAILABLE</t>
        </is>
      </c>
      <c r="M595" t="inlineStr">
        <is>
          <t>UNAVAILABLE</t>
        </is>
      </c>
      <c r="N595" s="5" t="inlineStr">
        <is>
          <t>Semrush phrase_these returned no data (not billed)</t>
        </is>
      </c>
      <c r="O595" t="inlineStr">
        <is>
          <t>2026-10-30</t>
        </is>
      </c>
      <c r="P595">
        <f>IF(IF(J595="NOT AVAILABLE","",J595)="",12,IF(OR(ISNUMBER(SEARCH("Transactional",IF(J595="NOT AVAILABLE","",J595))),ISNUMBER(SEARCH("Commercial",IF(J595="NOT AVAILABLE","",J595)))),25,IF(ISNUMBER(SEARCH("Informational",IF(J595="NOT AVAILABLE","",J595))),10,IF(ISNUMBER(SEARCH("Navigational",IF(J595="NOT AVAILABLE","",J595))),0,12))))</f>
        <v/>
      </c>
      <c r="Q595">
        <f>IF(ISNUMBER(F595),MIN(30,ROUND(30*LOG10(F595+1)/4,1)),0)</f>
        <v/>
      </c>
      <c r="R595">
        <f>IF(ISNUMBER(G595),ROUND(25*(100-G595)/100,1),12.5)</f>
        <v/>
      </c>
      <c r="S595" t="n">
        <v>20</v>
      </c>
      <c r="T595">
        <f>ROUND(P595+Q595+R595+S595,0)</f>
        <v/>
      </c>
      <c r="U595" s="5" t="inlineStr"/>
      <c r="V595" s="5" t="inlineStr">
        <is>
          <t>PRIMARY /industries</t>
        </is>
      </c>
    </row>
    <row r="596">
      <c r="A596" t="inlineStr">
        <is>
          <t>K0594</t>
        </is>
      </c>
      <c r="B596" t="inlineStr">
        <is>
          <t>création site web pas cher maroc</t>
        </is>
      </c>
      <c r="C596" t="inlineStr">
        <is>
          <t>Morocco</t>
        </is>
      </c>
      <c r="D596" t="inlineStr">
        <is>
          <t>ma</t>
        </is>
      </c>
      <c r="E596" t="inlineStr">
        <is>
          <t>fr</t>
        </is>
      </c>
      <c r="F596" t="inlineStr">
        <is>
          <t>NOT AVAILABLE</t>
        </is>
      </c>
      <c r="G596" t="inlineStr">
        <is>
          <t>NOT AVAILABLE</t>
        </is>
      </c>
      <c r="H596" t="inlineStr">
        <is>
          <t>NOT AVAILABLE</t>
        </is>
      </c>
      <c r="I596" t="inlineStr">
        <is>
          <t>NOT AVAILABLE</t>
        </is>
      </c>
      <c r="J596" t="inlineStr">
        <is>
          <t>NOT AVAILABLE</t>
        </is>
      </c>
      <c r="K596" t="inlineStr">
        <is>
          <t>NOT AVAILABLE</t>
        </is>
      </c>
      <c r="L596" t="inlineStr">
        <is>
          <t>NOT AVAILABLE</t>
        </is>
      </c>
      <c r="M596" t="inlineStr">
        <is>
          <t>UNAVAILABLE</t>
        </is>
      </c>
      <c r="N596" s="5" t="inlineStr">
        <is>
          <t>Semrush phrase_these returned no data (not billed)</t>
        </is>
      </c>
      <c r="O596" t="inlineStr">
        <is>
          <t>2026-10-30</t>
        </is>
      </c>
      <c r="P596">
        <f>IF(IF(J596="NOT AVAILABLE","",J596)="",12,IF(OR(ISNUMBER(SEARCH("Transactional",IF(J596="NOT AVAILABLE","",J596))),ISNUMBER(SEARCH("Commercial",IF(J596="NOT AVAILABLE","",J596)))),25,IF(ISNUMBER(SEARCH("Informational",IF(J596="NOT AVAILABLE","",J596))),10,IF(ISNUMBER(SEARCH("Navigational",IF(J596="NOT AVAILABLE","",J596))),0,12))))</f>
        <v/>
      </c>
      <c r="Q596">
        <f>IF(ISNUMBER(F596),MIN(30,ROUND(30*LOG10(F596+1)/4,1)),0)</f>
        <v/>
      </c>
      <c r="R596">
        <f>IF(ISNUMBER(G596),ROUND(25*(100-G596)/100,1),12.5)</f>
        <v/>
      </c>
      <c r="S596" t="n">
        <v>20</v>
      </c>
      <c r="T596">
        <f>ROUND(P596+Q596+R596+S596,0)</f>
        <v/>
      </c>
      <c r="U596" s="5" t="inlineStr"/>
      <c r="V596" s="5" t="inlineStr"/>
    </row>
    <row r="597">
      <c r="A597" t="inlineStr">
        <is>
          <t>K0595</t>
        </is>
      </c>
      <c r="B597" t="inlineStr">
        <is>
          <t>création site web professionnel maroc</t>
        </is>
      </c>
      <c r="C597" t="inlineStr">
        <is>
          <t>Morocco</t>
        </is>
      </c>
      <c r="D597" t="inlineStr">
        <is>
          <t>ma</t>
        </is>
      </c>
      <c r="E597" t="inlineStr">
        <is>
          <t>fr</t>
        </is>
      </c>
      <c r="F597" t="inlineStr">
        <is>
          <t>NOT AVAILABLE</t>
        </is>
      </c>
      <c r="G597" t="inlineStr">
        <is>
          <t>NOT AVAILABLE</t>
        </is>
      </c>
      <c r="H597" t="inlineStr">
        <is>
          <t>NOT AVAILABLE</t>
        </is>
      </c>
      <c r="I597" t="inlineStr">
        <is>
          <t>NOT AVAILABLE</t>
        </is>
      </c>
      <c r="J597" t="inlineStr">
        <is>
          <t>NOT AVAILABLE</t>
        </is>
      </c>
      <c r="K597" t="inlineStr">
        <is>
          <t>NOT AVAILABLE</t>
        </is>
      </c>
      <c r="L597" t="inlineStr">
        <is>
          <t>NOT AVAILABLE</t>
        </is>
      </c>
      <c r="M597" t="inlineStr">
        <is>
          <t>UNAVAILABLE</t>
        </is>
      </c>
      <c r="N597" s="5" t="inlineStr">
        <is>
          <t>Semrush phrase_these returned no data (not billed)</t>
        </is>
      </c>
      <c r="O597" t="inlineStr">
        <is>
          <t>2026-10-30</t>
        </is>
      </c>
      <c r="P597">
        <f>IF(IF(J597="NOT AVAILABLE","",J597)="",12,IF(OR(ISNUMBER(SEARCH("Transactional",IF(J597="NOT AVAILABLE","",J597))),ISNUMBER(SEARCH("Commercial",IF(J597="NOT AVAILABLE","",J597)))),25,IF(ISNUMBER(SEARCH("Informational",IF(J597="NOT AVAILABLE","",J597))),10,IF(ISNUMBER(SEARCH("Navigational",IF(J597="NOT AVAILABLE","",J597))),0,12))))</f>
        <v/>
      </c>
      <c r="Q597">
        <f>IF(ISNUMBER(F597),MIN(30,ROUND(30*LOG10(F597+1)/4,1)),0)</f>
        <v/>
      </c>
      <c r="R597">
        <f>IF(ISNUMBER(G597),ROUND(25*(100-G597)/100,1),12.5)</f>
        <v/>
      </c>
      <c r="S597" t="n">
        <v>20</v>
      </c>
      <c r="T597">
        <f>ROUND(P597+Q597+R597+S597,0)</f>
        <v/>
      </c>
      <c r="U597" s="5" t="inlineStr"/>
      <c r="V597" s="5" t="inlineStr"/>
    </row>
    <row r="598">
      <c r="A598" t="inlineStr">
        <is>
          <t>K0596</t>
        </is>
      </c>
      <c r="B598" t="inlineStr">
        <is>
          <t>création site web restaurant</t>
        </is>
      </c>
      <c r="C598" t="inlineStr">
        <is>
          <t>Morocco</t>
        </is>
      </c>
      <c r="D598" t="inlineStr">
        <is>
          <t>ma</t>
        </is>
      </c>
      <c r="E598" t="inlineStr">
        <is>
          <t>fr</t>
        </is>
      </c>
      <c r="F598" t="n">
        <v>0</v>
      </c>
      <c r="G598" t="inlineStr">
        <is>
          <t>NOT AVAILABLE</t>
        </is>
      </c>
      <c r="H598" t="n">
        <v>0</v>
      </c>
      <c r="I598" t="n">
        <v>0.33</v>
      </c>
      <c r="J598" t="inlineStr">
        <is>
          <t>NOT AVAILABLE</t>
        </is>
      </c>
      <c r="K598" t="inlineStr">
        <is>
          <t>NOT AVAILABLE (report not requested)</t>
        </is>
      </c>
      <c r="L598" t="inlineStr">
        <is>
          <t>rising (calc.)</t>
        </is>
      </c>
      <c r="M598" t="inlineStr">
        <is>
          <t>MEASURED</t>
        </is>
      </c>
      <c r="N598" s="5" t="inlineStr">
        <is>
          <t>Semrush phrase_these (historical w3-validate-E-industries.csv)</t>
        </is>
      </c>
      <c r="O598" t="inlineStr">
        <is>
          <t>2026-10-27</t>
        </is>
      </c>
      <c r="P598">
        <f>IF(IF(J598="NOT AVAILABLE","",J598)="",12,IF(OR(ISNUMBER(SEARCH("Transactional",IF(J598="NOT AVAILABLE","",J598))),ISNUMBER(SEARCH("Commercial",IF(J598="NOT AVAILABLE","",J598)))),25,IF(ISNUMBER(SEARCH("Informational",IF(J598="NOT AVAILABLE","",J598))),10,IF(ISNUMBER(SEARCH("Navigational",IF(J598="NOT AVAILABLE","",J598))),0,12))))</f>
        <v/>
      </c>
      <c r="Q598">
        <f>IF(ISNUMBER(F598),MIN(30,ROUND(30*LOG10(F598+1)/4,1)),0)</f>
        <v/>
      </c>
      <c r="R598">
        <f>IF(ISNUMBER(G598),ROUND(25*(100-G598)/100,1),12.5)</f>
        <v/>
      </c>
      <c r="S598" t="n">
        <v>20</v>
      </c>
      <c r="T598">
        <f>ROUND(P598+Q598+R598+S598,0)</f>
        <v/>
      </c>
      <c r="U598" s="5" t="inlineStr"/>
      <c r="V598" s="5" t="inlineStr"/>
    </row>
    <row r="599">
      <c r="A599" t="inlineStr">
        <is>
          <t>K0597</t>
        </is>
      </c>
      <c r="B599" t="inlineStr">
        <is>
          <t>création site web tangier</t>
        </is>
      </c>
      <c r="C599" t="inlineStr">
        <is>
          <t>Morocco</t>
        </is>
      </c>
      <c r="D599" t="inlineStr">
        <is>
          <t>ma</t>
        </is>
      </c>
      <c r="E599" t="inlineStr">
        <is>
          <t>fr</t>
        </is>
      </c>
      <c r="F599" t="inlineStr">
        <is>
          <t>NOT AVAILABLE</t>
        </is>
      </c>
      <c r="G599" t="inlineStr">
        <is>
          <t>NOT AVAILABLE</t>
        </is>
      </c>
      <c r="H599" t="inlineStr">
        <is>
          <t>NOT AVAILABLE</t>
        </is>
      </c>
      <c r="I599" t="inlineStr">
        <is>
          <t>NOT AVAILABLE</t>
        </is>
      </c>
      <c r="J599" t="inlineStr">
        <is>
          <t>NOT AVAILABLE</t>
        </is>
      </c>
      <c r="K599" t="inlineStr">
        <is>
          <t>NOT AVAILABLE</t>
        </is>
      </c>
      <c r="L599" t="inlineStr">
        <is>
          <t>NOT AVAILABLE</t>
        </is>
      </c>
      <c r="M599" t="inlineStr">
        <is>
          <t>UNAVAILABLE</t>
        </is>
      </c>
      <c r="N599" s="5" t="inlineStr">
        <is>
          <t>Semrush phrase_these returned no data (not billed)</t>
        </is>
      </c>
      <c r="O599" t="inlineStr">
        <is>
          <t>2026-10-30</t>
        </is>
      </c>
      <c r="P599">
        <f>IF(IF(J599="NOT AVAILABLE","",J599)="",12,IF(OR(ISNUMBER(SEARCH("Transactional",IF(J599="NOT AVAILABLE","",J599))),ISNUMBER(SEARCH("Commercial",IF(J599="NOT AVAILABLE","",J599)))),25,IF(ISNUMBER(SEARCH("Informational",IF(J599="NOT AVAILABLE","",J599))),10,IF(ISNUMBER(SEARCH("Navigational",IF(J599="NOT AVAILABLE","",J599))),0,12))))</f>
        <v/>
      </c>
      <c r="Q599">
        <f>IF(ISNUMBER(F599),MIN(30,ROUND(30*LOG10(F599+1)/4,1)),0)</f>
        <v/>
      </c>
      <c r="R599">
        <f>IF(ISNUMBER(G599),ROUND(25*(100-G599)/100,1),12.5)</f>
        <v/>
      </c>
      <c r="S599" t="n">
        <v>20</v>
      </c>
      <c r="T599">
        <f>ROUND(P599+Q599+R599+S599,0)</f>
        <v/>
      </c>
      <c r="U599" s="5" t="inlineStr"/>
      <c r="V599" s="5" t="inlineStr"/>
    </row>
    <row r="600">
      <c r="A600" t="inlineStr">
        <is>
          <t>K0598</t>
        </is>
      </c>
      <c r="B600" t="inlineStr">
        <is>
          <t>création site web école</t>
        </is>
      </c>
      <c r="C600" t="inlineStr">
        <is>
          <t>Morocco</t>
        </is>
      </c>
      <c r="D600" t="inlineStr">
        <is>
          <t>ma</t>
        </is>
      </c>
      <c r="E600" t="inlineStr">
        <is>
          <t>fr</t>
        </is>
      </c>
      <c r="F600" t="inlineStr">
        <is>
          <t>NOT AVAILABLE</t>
        </is>
      </c>
      <c r="G600" t="inlineStr">
        <is>
          <t>NOT AVAILABLE</t>
        </is>
      </c>
      <c r="H600" t="inlineStr">
        <is>
          <t>NOT AVAILABLE</t>
        </is>
      </c>
      <c r="I600" t="inlineStr">
        <is>
          <t>NOT AVAILABLE</t>
        </is>
      </c>
      <c r="J600" t="inlineStr">
        <is>
          <t>NOT AVAILABLE</t>
        </is>
      </c>
      <c r="K600" t="inlineStr">
        <is>
          <t>NOT AVAILABLE</t>
        </is>
      </c>
      <c r="L600" t="inlineStr">
        <is>
          <t>NOT AVAILABLE</t>
        </is>
      </c>
      <c r="M600" t="inlineStr">
        <is>
          <t>UNAVAILABLE</t>
        </is>
      </c>
      <c r="N600" s="5" t="inlineStr">
        <is>
          <t>Semrush phrase_these returned no data (not billed)</t>
        </is>
      </c>
      <c r="O600" t="inlineStr">
        <is>
          <t>2026-10-30</t>
        </is>
      </c>
      <c r="P600">
        <f>IF(IF(J600="NOT AVAILABLE","",J600)="",12,IF(OR(ISNUMBER(SEARCH("Transactional",IF(J600="NOT AVAILABLE","",J600))),ISNUMBER(SEARCH("Commercial",IF(J600="NOT AVAILABLE","",J600)))),25,IF(ISNUMBER(SEARCH("Informational",IF(J600="NOT AVAILABLE","",J600))),10,IF(ISNUMBER(SEARCH("Navigational",IF(J600="NOT AVAILABLE","",J600))),0,12))))</f>
        <v/>
      </c>
      <c r="Q600">
        <f>IF(ISNUMBER(F600),MIN(30,ROUND(30*LOG10(F600+1)/4,1)),0)</f>
        <v/>
      </c>
      <c r="R600">
        <f>IF(ISNUMBER(G600),ROUND(25*(100-G600)/100,1),12.5)</f>
        <v/>
      </c>
      <c r="S600" t="n">
        <v>20</v>
      </c>
      <c r="T600">
        <f>ROUND(P600+Q600+R600+S600,0)</f>
        <v/>
      </c>
      <c r="U600" s="5" t="inlineStr"/>
      <c r="V600" s="5" t="inlineStr"/>
    </row>
    <row r="601">
      <c r="A601" t="inlineStr">
        <is>
          <t>K0599</t>
        </is>
      </c>
      <c r="B601" t="inlineStr">
        <is>
          <t>création site web école privée maroc</t>
        </is>
      </c>
      <c r="C601" t="inlineStr">
        <is>
          <t>Morocco</t>
        </is>
      </c>
      <c r="D601" t="inlineStr">
        <is>
          <t>ma</t>
        </is>
      </c>
      <c r="E601" t="inlineStr">
        <is>
          <t>fr</t>
        </is>
      </c>
      <c r="F601" t="inlineStr">
        <is>
          <t>NOT AVAILABLE</t>
        </is>
      </c>
      <c r="G601" t="inlineStr">
        <is>
          <t>NOT AVAILABLE</t>
        </is>
      </c>
      <c r="H601" t="inlineStr">
        <is>
          <t>NOT AVAILABLE</t>
        </is>
      </c>
      <c r="I601" t="inlineStr">
        <is>
          <t>NOT AVAILABLE</t>
        </is>
      </c>
      <c r="J601" t="inlineStr">
        <is>
          <t>NOT AVAILABLE</t>
        </is>
      </c>
      <c r="K601" t="inlineStr">
        <is>
          <t>NOT AVAILABLE</t>
        </is>
      </c>
      <c r="L601" t="inlineStr">
        <is>
          <t>NOT AVAILABLE</t>
        </is>
      </c>
      <c r="M601" t="inlineStr">
        <is>
          <t>UNAVAILABLE</t>
        </is>
      </c>
      <c r="N601" s="5" t="inlineStr">
        <is>
          <t>Semrush phrase_these returned no data (not billed)</t>
        </is>
      </c>
      <c r="O601" t="inlineStr">
        <is>
          <t>2026-10-30</t>
        </is>
      </c>
      <c r="P601">
        <f>IF(IF(J601="NOT AVAILABLE","",J601)="",12,IF(OR(ISNUMBER(SEARCH("Transactional",IF(J601="NOT AVAILABLE","",J601))),ISNUMBER(SEARCH("Commercial",IF(J601="NOT AVAILABLE","",J601)))),25,IF(ISNUMBER(SEARCH("Informational",IF(J601="NOT AVAILABLE","",J601))),10,IF(ISNUMBER(SEARCH("Navigational",IF(J601="NOT AVAILABLE","",J601))),0,12))))</f>
        <v/>
      </c>
      <c r="Q601">
        <f>IF(ISNUMBER(F601),MIN(30,ROUND(30*LOG10(F601+1)/4,1)),0)</f>
        <v/>
      </c>
      <c r="R601">
        <f>IF(ISNUMBER(G601),ROUND(25*(100-G601)/100,1),12.5)</f>
        <v/>
      </c>
      <c r="S601" t="n">
        <v>20</v>
      </c>
      <c r="T601">
        <f>ROUND(P601+Q601+R601+S601,0)</f>
        <v/>
      </c>
      <c r="U601" s="5" t="inlineStr"/>
      <c r="V601" s="5" t="inlineStr"/>
    </row>
    <row r="602">
      <c r="A602" t="inlineStr">
        <is>
          <t>K0600</t>
        </is>
      </c>
      <c r="B602" t="inlineStr">
        <is>
          <t>créer lien utm</t>
        </is>
      </c>
      <c r="C602" t="inlineStr">
        <is>
          <t>Morocco</t>
        </is>
      </c>
      <c r="D602" t="inlineStr">
        <is>
          <t>ma</t>
        </is>
      </c>
      <c r="E602" t="inlineStr">
        <is>
          <t>fr</t>
        </is>
      </c>
      <c r="F602" t="inlineStr">
        <is>
          <t>NOT AVAILABLE</t>
        </is>
      </c>
      <c r="G602" t="inlineStr">
        <is>
          <t>NOT AVAILABLE</t>
        </is>
      </c>
      <c r="H602" t="inlineStr">
        <is>
          <t>NOT AVAILABLE</t>
        </is>
      </c>
      <c r="I602" t="inlineStr">
        <is>
          <t>NOT AVAILABLE</t>
        </is>
      </c>
      <c r="J602" t="inlineStr">
        <is>
          <t>NOT AVAILABLE</t>
        </is>
      </c>
      <c r="K602" t="inlineStr">
        <is>
          <t>NOT AVAILABLE</t>
        </is>
      </c>
      <c r="L602" t="inlineStr">
        <is>
          <t>NOT AVAILABLE</t>
        </is>
      </c>
      <c r="M602" t="inlineStr">
        <is>
          <t>UNAVAILABLE</t>
        </is>
      </c>
      <c r="N602" s="5" t="inlineStr">
        <is>
          <t>Semrush phrase_these returned no data (not billed)</t>
        </is>
      </c>
      <c r="O602" t="inlineStr">
        <is>
          <t>2026-10-30</t>
        </is>
      </c>
      <c r="P602">
        <f>IF(IF(J602="NOT AVAILABLE","",J602)="",12,IF(OR(ISNUMBER(SEARCH("Transactional",IF(J602="NOT AVAILABLE","",J602))),ISNUMBER(SEARCH("Commercial",IF(J602="NOT AVAILABLE","",J602)))),25,IF(ISNUMBER(SEARCH("Informational",IF(J602="NOT AVAILABLE","",J602))),10,IF(ISNUMBER(SEARCH("Navigational",IF(J602="NOT AVAILABLE","",J602))),0,12))))</f>
        <v/>
      </c>
      <c r="Q602">
        <f>IF(ISNUMBER(F602),MIN(30,ROUND(30*LOG10(F602+1)/4,1)),0)</f>
        <v/>
      </c>
      <c r="R602">
        <f>IF(ISNUMBER(G602),ROUND(25*(100-G602)/100,1),12.5)</f>
        <v/>
      </c>
      <c r="S602" t="n">
        <v>20</v>
      </c>
      <c r="T602">
        <f>ROUND(P602+Q602+R602+S602,0)</f>
        <v/>
      </c>
      <c r="U602" s="5" t="inlineStr"/>
      <c r="V602" s="5" t="inlineStr"/>
    </row>
    <row r="603">
      <c r="A603" t="inlineStr">
        <is>
          <t>K0601</t>
        </is>
      </c>
      <c r="B603" t="inlineStr">
        <is>
          <t>créer robots.txt</t>
        </is>
      </c>
      <c r="C603" t="inlineStr">
        <is>
          <t>Morocco</t>
        </is>
      </c>
      <c r="D603" t="inlineStr">
        <is>
          <t>ma</t>
        </is>
      </c>
      <c r="E603" t="inlineStr">
        <is>
          <t>fr</t>
        </is>
      </c>
      <c r="F603" t="n">
        <v>0</v>
      </c>
      <c r="G603" t="inlineStr">
        <is>
          <t>NOT AVAILABLE</t>
        </is>
      </c>
      <c r="H603" t="n">
        <v>0</v>
      </c>
      <c r="I603" t="n">
        <v>0</v>
      </c>
      <c r="J603" t="inlineStr">
        <is>
          <t>NOT AVAILABLE</t>
        </is>
      </c>
      <c r="K603" t="inlineStr">
        <is>
          <t>NOT AVAILABLE (report not requested)</t>
        </is>
      </c>
      <c r="L603" t="inlineStr">
        <is>
          <t>flat (no data)</t>
        </is>
      </c>
      <c r="M603" t="inlineStr">
        <is>
          <t>MEASURED</t>
        </is>
      </c>
      <c r="N603" s="5" t="inlineStr">
        <is>
          <t>Semrush phrase_these (live, this session)</t>
        </is>
      </c>
      <c r="O603" t="inlineStr">
        <is>
          <t>2026-10-30</t>
        </is>
      </c>
      <c r="P603">
        <f>IF(IF(J603="NOT AVAILABLE","",J603)="",12,IF(OR(ISNUMBER(SEARCH("Transactional",IF(J603="NOT AVAILABLE","",J603))),ISNUMBER(SEARCH("Commercial",IF(J603="NOT AVAILABLE","",J603)))),25,IF(ISNUMBER(SEARCH("Informational",IF(J603="NOT AVAILABLE","",J603))),10,IF(ISNUMBER(SEARCH("Navigational",IF(J603="NOT AVAILABLE","",J603))),0,12))))</f>
        <v/>
      </c>
      <c r="Q603">
        <f>IF(ISNUMBER(F603),MIN(30,ROUND(30*LOG10(F603+1)/4,1)),0)</f>
        <v/>
      </c>
      <c r="R603">
        <f>IF(ISNUMBER(G603),ROUND(25*(100-G603)/100,1),12.5)</f>
        <v/>
      </c>
      <c r="S603" t="n">
        <v>20</v>
      </c>
      <c r="T603">
        <f>ROUND(P603+Q603+R603+S603,0)</f>
        <v/>
      </c>
      <c r="U603" s="5" t="inlineStr"/>
      <c r="V603" s="5" t="inlineStr"/>
    </row>
    <row r="604">
      <c r="A604" t="inlineStr">
        <is>
          <t>K0602</t>
        </is>
      </c>
      <c r="B604" t="inlineStr">
        <is>
          <t>créer sitemap xml</t>
        </is>
      </c>
      <c r="C604" t="inlineStr">
        <is>
          <t>Morocco</t>
        </is>
      </c>
      <c r="D604" t="inlineStr">
        <is>
          <t>ma</t>
        </is>
      </c>
      <c r="E604" t="inlineStr">
        <is>
          <t>fr</t>
        </is>
      </c>
      <c r="F604" t="inlineStr">
        <is>
          <t>NOT AVAILABLE</t>
        </is>
      </c>
      <c r="G604" t="inlineStr">
        <is>
          <t>NOT AVAILABLE</t>
        </is>
      </c>
      <c r="H604" t="inlineStr">
        <is>
          <t>NOT AVAILABLE</t>
        </is>
      </c>
      <c r="I604" t="inlineStr">
        <is>
          <t>NOT AVAILABLE</t>
        </is>
      </c>
      <c r="J604" t="inlineStr">
        <is>
          <t>NOT AVAILABLE</t>
        </is>
      </c>
      <c r="K604" t="inlineStr">
        <is>
          <t>NOT AVAILABLE</t>
        </is>
      </c>
      <c r="L604" t="inlineStr">
        <is>
          <t>NOT AVAILABLE</t>
        </is>
      </c>
      <c r="M604" t="inlineStr">
        <is>
          <t>UNAVAILABLE</t>
        </is>
      </c>
      <c r="N604" s="5" t="inlineStr">
        <is>
          <t>Semrush phrase_these returned no data (not billed)</t>
        </is>
      </c>
      <c r="O604" t="inlineStr">
        <is>
          <t>2026-10-30</t>
        </is>
      </c>
      <c r="P604">
        <f>IF(IF(J604="NOT AVAILABLE","",J604)="",12,IF(OR(ISNUMBER(SEARCH("Transactional",IF(J604="NOT AVAILABLE","",J604))),ISNUMBER(SEARCH("Commercial",IF(J604="NOT AVAILABLE","",J604)))),25,IF(ISNUMBER(SEARCH("Informational",IF(J604="NOT AVAILABLE","",J604))),10,IF(ISNUMBER(SEARCH("Navigational",IF(J604="NOT AVAILABLE","",J604))),0,12))))</f>
        <v/>
      </c>
      <c r="Q604">
        <f>IF(ISNUMBER(F604),MIN(30,ROUND(30*LOG10(F604+1)/4,1)),0)</f>
        <v/>
      </c>
      <c r="R604">
        <f>IF(ISNUMBER(G604),ROUND(25*(100-G604)/100,1),12.5)</f>
        <v/>
      </c>
      <c r="S604" t="n">
        <v>20</v>
      </c>
      <c r="T604">
        <f>ROUND(P604+Q604+R604+S604,0)</f>
        <v/>
      </c>
      <c r="U604" s="5" t="inlineStr"/>
      <c r="V604" s="5" t="inlineStr"/>
    </row>
    <row r="605">
      <c r="A605" t="inlineStr">
        <is>
          <t>K0603</t>
        </is>
      </c>
      <c r="B605" t="inlineStr">
        <is>
          <t>créer un logiciel saas</t>
        </is>
      </c>
      <c r="C605" t="inlineStr">
        <is>
          <t>Morocco</t>
        </is>
      </c>
      <c r="D605" t="inlineStr">
        <is>
          <t>ma</t>
        </is>
      </c>
      <c r="E605" t="inlineStr">
        <is>
          <t>fr</t>
        </is>
      </c>
      <c r="F605" t="inlineStr">
        <is>
          <t>NOT AVAILABLE</t>
        </is>
      </c>
      <c r="G605" t="inlineStr">
        <is>
          <t>NOT AVAILABLE</t>
        </is>
      </c>
      <c r="H605" t="inlineStr">
        <is>
          <t>NOT AVAILABLE</t>
        </is>
      </c>
      <c r="I605" t="inlineStr">
        <is>
          <t>NOT AVAILABLE</t>
        </is>
      </c>
      <c r="J605" t="inlineStr">
        <is>
          <t>NOT AVAILABLE</t>
        </is>
      </c>
      <c r="K605" t="inlineStr">
        <is>
          <t>NOT AVAILABLE</t>
        </is>
      </c>
      <c r="L605" t="inlineStr">
        <is>
          <t>NOT AVAILABLE</t>
        </is>
      </c>
      <c r="M605" t="inlineStr">
        <is>
          <t>UNAVAILABLE</t>
        </is>
      </c>
      <c r="N605" s="5" t="inlineStr">
        <is>
          <t>Semrush phrase_these returned no data (not billed)</t>
        </is>
      </c>
      <c r="O605" t="inlineStr">
        <is>
          <t>2026-10-30</t>
        </is>
      </c>
      <c r="P605">
        <f>IF(IF(J605="NOT AVAILABLE","",J605)="",12,IF(OR(ISNUMBER(SEARCH("Transactional",IF(J605="NOT AVAILABLE","",J605))),ISNUMBER(SEARCH("Commercial",IF(J605="NOT AVAILABLE","",J605)))),25,IF(ISNUMBER(SEARCH("Informational",IF(J605="NOT AVAILABLE","",J605))),10,IF(ISNUMBER(SEARCH("Navigational",IF(J605="NOT AVAILABLE","",J605))),0,12))))</f>
        <v/>
      </c>
      <c r="Q605">
        <f>IF(ISNUMBER(F605),MIN(30,ROUND(30*LOG10(F605+1)/4,1)),0)</f>
        <v/>
      </c>
      <c r="R605">
        <f>IF(ISNUMBER(G605),ROUND(25*(100-G605)/100,1),12.5)</f>
        <v/>
      </c>
      <c r="S605" t="n">
        <v>20</v>
      </c>
      <c r="T605">
        <f>ROUND(P605+Q605+R605+S605,0)</f>
        <v/>
      </c>
      <c r="U605" s="5" t="inlineStr"/>
      <c r="V605" s="5" t="inlineStr"/>
    </row>
    <row r="606">
      <c r="A606" t="inlineStr">
        <is>
          <t>K0604</t>
        </is>
      </c>
      <c r="B606" t="inlineStr">
        <is>
          <t>créer un saas</t>
        </is>
      </c>
      <c r="C606" t="inlineStr">
        <is>
          <t>Morocco</t>
        </is>
      </c>
      <c r="D606" t="inlineStr">
        <is>
          <t>ma</t>
        </is>
      </c>
      <c r="E606" t="inlineStr">
        <is>
          <t>fr</t>
        </is>
      </c>
      <c r="F606" t="inlineStr">
        <is>
          <t>NOT AVAILABLE</t>
        </is>
      </c>
      <c r="G606" t="inlineStr">
        <is>
          <t>NOT AVAILABLE</t>
        </is>
      </c>
      <c r="H606" t="inlineStr">
        <is>
          <t>NOT AVAILABLE</t>
        </is>
      </c>
      <c r="I606" t="inlineStr">
        <is>
          <t>NOT AVAILABLE</t>
        </is>
      </c>
      <c r="J606" t="inlineStr">
        <is>
          <t>NOT AVAILABLE</t>
        </is>
      </c>
      <c r="K606" t="inlineStr">
        <is>
          <t>NOT AVAILABLE</t>
        </is>
      </c>
      <c r="L606" t="inlineStr">
        <is>
          <t>NOT AVAILABLE</t>
        </is>
      </c>
      <c r="M606" t="inlineStr">
        <is>
          <t>UNAVAILABLE</t>
        </is>
      </c>
      <c r="N606" s="5" t="inlineStr">
        <is>
          <t>Semrush phrase_these returned no data (not billed)</t>
        </is>
      </c>
      <c r="O606" t="inlineStr">
        <is>
          <t>2026-10-30</t>
        </is>
      </c>
      <c r="P606">
        <f>IF(IF(J606="NOT AVAILABLE","",J606)="",12,IF(OR(ISNUMBER(SEARCH("Transactional",IF(J606="NOT AVAILABLE","",J606))),ISNUMBER(SEARCH("Commercial",IF(J606="NOT AVAILABLE","",J606)))),25,IF(ISNUMBER(SEARCH("Informational",IF(J606="NOT AVAILABLE","",J606))),10,IF(ISNUMBER(SEARCH("Navigational",IF(J606="NOT AVAILABLE","",J606))),0,12))))</f>
        <v/>
      </c>
      <c r="Q606">
        <f>IF(ISNUMBER(F606),MIN(30,ROUND(30*LOG10(F606+1)/4,1)),0)</f>
        <v/>
      </c>
      <c r="R606">
        <f>IF(ISNUMBER(G606),ROUND(25*(100-G606)/100,1),12.5)</f>
        <v/>
      </c>
      <c r="S606" t="n">
        <v>20</v>
      </c>
      <c r="T606">
        <f>ROUND(P606+Q606+R606+S606,0)</f>
        <v/>
      </c>
      <c r="U606" s="5" t="inlineStr"/>
      <c r="V606" s="5" t="inlineStr"/>
    </row>
    <row r="607">
      <c r="A607" t="inlineStr">
        <is>
          <t>K0605</t>
        </is>
      </c>
      <c r="B607" t="inlineStr">
        <is>
          <t>créer une boutique en ligne au maroc</t>
        </is>
      </c>
      <c r="C607" t="inlineStr">
        <is>
          <t>Morocco</t>
        </is>
      </c>
      <c r="D607" t="inlineStr">
        <is>
          <t>ma</t>
        </is>
      </c>
      <c r="E607" t="inlineStr">
        <is>
          <t>fr</t>
        </is>
      </c>
      <c r="F607" t="n">
        <v>0</v>
      </c>
      <c r="G607" t="inlineStr">
        <is>
          <t>NOT AVAILABLE</t>
        </is>
      </c>
      <c r="H607" t="n">
        <v>0</v>
      </c>
      <c r="I607" t="n">
        <v>0</v>
      </c>
      <c r="J607" t="inlineStr">
        <is>
          <t>NOT AVAILABLE</t>
        </is>
      </c>
      <c r="K607" t="inlineStr">
        <is>
          <t>NOT AVAILABLE (report not requested)</t>
        </is>
      </c>
      <c r="L607" t="inlineStr">
        <is>
          <t>flat (no data)</t>
        </is>
      </c>
      <c r="M607" t="inlineStr">
        <is>
          <t>MEASURED</t>
        </is>
      </c>
      <c r="N607" s="5" t="inlineStr">
        <is>
          <t>Semrush phrase_these (live, this session)</t>
        </is>
      </c>
      <c r="O607" t="inlineStr">
        <is>
          <t>2026-10-30</t>
        </is>
      </c>
      <c r="P607">
        <f>IF(IF(J607="NOT AVAILABLE","",J607)="",12,IF(OR(ISNUMBER(SEARCH("Transactional",IF(J607="NOT AVAILABLE","",J607))),ISNUMBER(SEARCH("Commercial",IF(J607="NOT AVAILABLE","",J607)))),25,IF(ISNUMBER(SEARCH("Informational",IF(J607="NOT AVAILABLE","",J607))),10,IF(ISNUMBER(SEARCH("Navigational",IF(J607="NOT AVAILABLE","",J607))),0,12))))</f>
        <v/>
      </c>
      <c r="Q607">
        <f>IF(ISNUMBER(F607),MIN(30,ROUND(30*LOG10(F607+1)/4,1)),0)</f>
        <v/>
      </c>
      <c r="R607">
        <f>IF(ISNUMBER(G607),ROUND(25*(100-G607)/100,1),12.5)</f>
        <v/>
      </c>
      <c r="S607" t="n">
        <v>20</v>
      </c>
      <c r="T607">
        <f>ROUND(P607+Q607+R607+S607,0)</f>
        <v/>
      </c>
      <c r="U607" s="5" t="inlineStr"/>
      <c r="V607" s="5" t="inlineStr"/>
    </row>
    <row r="608">
      <c r="A608" t="inlineStr">
        <is>
          <t>K0606</t>
        </is>
      </c>
      <c r="B608" t="inlineStr">
        <is>
          <t>créer une plateforme saas</t>
        </is>
      </c>
      <c r="C608" t="inlineStr">
        <is>
          <t>Morocco</t>
        </is>
      </c>
      <c r="D608" t="inlineStr">
        <is>
          <t>ma</t>
        </is>
      </c>
      <c r="E608" t="inlineStr">
        <is>
          <t>fr</t>
        </is>
      </c>
      <c r="F608" t="inlineStr">
        <is>
          <t>NOT AVAILABLE</t>
        </is>
      </c>
      <c r="G608" t="inlineStr">
        <is>
          <t>NOT AVAILABLE</t>
        </is>
      </c>
      <c r="H608" t="inlineStr">
        <is>
          <t>NOT AVAILABLE</t>
        </is>
      </c>
      <c r="I608" t="inlineStr">
        <is>
          <t>NOT AVAILABLE</t>
        </is>
      </c>
      <c r="J608" t="inlineStr">
        <is>
          <t>NOT AVAILABLE</t>
        </is>
      </c>
      <c r="K608" t="inlineStr">
        <is>
          <t>NOT AVAILABLE</t>
        </is>
      </c>
      <c r="L608" t="inlineStr">
        <is>
          <t>NOT AVAILABLE</t>
        </is>
      </c>
      <c r="M608" t="inlineStr">
        <is>
          <t>UNAVAILABLE</t>
        </is>
      </c>
      <c r="N608" s="5" t="inlineStr">
        <is>
          <t>Semrush phrase_these returned no data (not billed)</t>
        </is>
      </c>
      <c r="O608" t="inlineStr">
        <is>
          <t>2026-10-30</t>
        </is>
      </c>
      <c r="P608">
        <f>IF(IF(J608="NOT AVAILABLE","",J608)="",12,IF(OR(ISNUMBER(SEARCH("Transactional",IF(J608="NOT AVAILABLE","",J608))),ISNUMBER(SEARCH("Commercial",IF(J608="NOT AVAILABLE","",J608)))),25,IF(ISNUMBER(SEARCH("Informational",IF(J608="NOT AVAILABLE","",J608))),10,IF(ISNUMBER(SEARCH("Navigational",IF(J608="NOT AVAILABLE","",J608))),0,12))))</f>
        <v/>
      </c>
      <c r="Q608">
        <f>IF(ISNUMBER(F608),MIN(30,ROUND(30*LOG10(F608+1)/4,1)),0)</f>
        <v/>
      </c>
      <c r="R608">
        <f>IF(ISNUMBER(G608),ROUND(25*(100-G608)/100,1),12.5)</f>
        <v/>
      </c>
      <c r="S608" t="n">
        <v>20</v>
      </c>
      <c r="T608">
        <f>ROUND(P608+Q608+R608+S608,0)</f>
        <v/>
      </c>
      <c r="U608" s="5" t="inlineStr"/>
      <c r="V608" s="5" t="inlineStr"/>
    </row>
    <row r="609">
      <c r="A609" t="inlineStr">
        <is>
          <t>K0607</t>
        </is>
      </c>
      <c r="B609" t="inlineStr">
        <is>
          <t>densité de mots clés</t>
        </is>
      </c>
      <c r="C609" t="inlineStr">
        <is>
          <t>Morocco</t>
        </is>
      </c>
      <c r="D609" t="inlineStr">
        <is>
          <t>ma</t>
        </is>
      </c>
      <c r="E609" t="inlineStr">
        <is>
          <t>fr</t>
        </is>
      </c>
      <c r="F609" t="inlineStr">
        <is>
          <t>NOT AVAILABLE</t>
        </is>
      </c>
      <c r="G609" t="inlineStr">
        <is>
          <t>NOT AVAILABLE</t>
        </is>
      </c>
      <c r="H609" t="inlineStr">
        <is>
          <t>NOT AVAILABLE</t>
        </is>
      </c>
      <c r="I609" t="inlineStr">
        <is>
          <t>NOT AVAILABLE</t>
        </is>
      </c>
      <c r="J609" t="inlineStr">
        <is>
          <t>NOT AVAILABLE</t>
        </is>
      </c>
      <c r="K609" t="inlineStr">
        <is>
          <t>NOT AVAILABLE</t>
        </is>
      </c>
      <c r="L609" t="inlineStr">
        <is>
          <t>NOT AVAILABLE</t>
        </is>
      </c>
      <c r="M609" t="inlineStr">
        <is>
          <t>UNAVAILABLE</t>
        </is>
      </c>
      <c r="N609" s="5" t="inlineStr">
        <is>
          <t>Semrush phrase_these returned no data (not billed)</t>
        </is>
      </c>
      <c r="O609" t="inlineStr">
        <is>
          <t>2026-10-30</t>
        </is>
      </c>
      <c r="P609">
        <f>IF(IF(J609="NOT AVAILABLE","",J609)="",12,IF(OR(ISNUMBER(SEARCH("Transactional",IF(J609="NOT AVAILABLE","",J609))),ISNUMBER(SEARCH("Commercial",IF(J609="NOT AVAILABLE","",J609)))),25,IF(ISNUMBER(SEARCH("Informational",IF(J609="NOT AVAILABLE","",J609))),10,IF(ISNUMBER(SEARCH("Navigational",IF(J609="NOT AVAILABLE","",J609))),0,12))))</f>
        <v/>
      </c>
      <c r="Q609">
        <f>IF(ISNUMBER(F609),MIN(30,ROUND(30*LOG10(F609+1)/4,1)),0)</f>
        <v/>
      </c>
      <c r="R609">
        <f>IF(ISNUMBER(G609),ROUND(25*(100-G609)/100,1),12.5)</f>
        <v/>
      </c>
      <c r="S609" t="n">
        <v>20</v>
      </c>
      <c r="T609">
        <f>ROUND(P609+Q609+R609+S609,0)</f>
        <v/>
      </c>
      <c r="U609" s="5" t="inlineStr"/>
      <c r="V609" s="5" t="inlineStr"/>
    </row>
    <row r="610">
      <c r="A610" t="inlineStr">
        <is>
          <t>K0608</t>
        </is>
      </c>
      <c r="B610" t="inlineStr">
        <is>
          <t>densité mot clé</t>
        </is>
      </c>
      <c r="C610" t="inlineStr">
        <is>
          <t>Morocco</t>
        </is>
      </c>
      <c r="D610" t="inlineStr">
        <is>
          <t>ma</t>
        </is>
      </c>
      <c r="E610" t="inlineStr">
        <is>
          <t>fr</t>
        </is>
      </c>
      <c r="F610" t="inlineStr">
        <is>
          <t>NOT AVAILABLE</t>
        </is>
      </c>
      <c r="G610" t="inlineStr">
        <is>
          <t>NOT AVAILABLE</t>
        </is>
      </c>
      <c r="H610" t="inlineStr">
        <is>
          <t>NOT AVAILABLE</t>
        </is>
      </c>
      <c r="I610" t="inlineStr">
        <is>
          <t>NOT AVAILABLE</t>
        </is>
      </c>
      <c r="J610" t="inlineStr">
        <is>
          <t>NOT AVAILABLE</t>
        </is>
      </c>
      <c r="K610" t="inlineStr">
        <is>
          <t>NOT AVAILABLE</t>
        </is>
      </c>
      <c r="L610" t="inlineStr">
        <is>
          <t>NOT AVAILABLE</t>
        </is>
      </c>
      <c r="M610" t="inlineStr">
        <is>
          <t>UNAVAILABLE</t>
        </is>
      </c>
      <c r="N610" s="5" t="inlineStr">
        <is>
          <t>Semrush phrase_these returned no data (not billed)</t>
        </is>
      </c>
      <c r="O610" t="inlineStr">
        <is>
          <t>2026-10-30</t>
        </is>
      </c>
      <c r="P610">
        <f>IF(IF(J610="NOT AVAILABLE","",J610)="",12,IF(OR(ISNUMBER(SEARCH("Transactional",IF(J610="NOT AVAILABLE","",J610))),ISNUMBER(SEARCH("Commercial",IF(J610="NOT AVAILABLE","",J610)))),25,IF(ISNUMBER(SEARCH("Informational",IF(J610="NOT AVAILABLE","",J610))),10,IF(ISNUMBER(SEARCH("Navigational",IF(J610="NOT AVAILABLE","",J610))),0,12))))</f>
        <v/>
      </c>
      <c r="Q610">
        <f>IF(ISNUMBER(F610),MIN(30,ROUND(30*LOG10(F610+1)/4,1)),0)</f>
        <v/>
      </c>
      <c r="R610">
        <f>IF(ISNUMBER(G610),ROUND(25*(100-G610)/100,1),12.5)</f>
        <v/>
      </c>
      <c r="S610" t="n">
        <v>20</v>
      </c>
      <c r="T610">
        <f>ROUND(P610+Q610+R610+S610,0)</f>
        <v/>
      </c>
      <c r="U610" s="5" t="inlineStr"/>
      <c r="V610" s="5" t="inlineStr"/>
    </row>
    <row r="611">
      <c r="A611" t="inlineStr">
        <is>
          <t>K0609</t>
        </is>
      </c>
      <c r="B611" t="inlineStr">
        <is>
          <t>différence site vitrine et site e-commerce</t>
        </is>
      </c>
      <c r="C611" t="inlineStr">
        <is>
          <t>Morocco</t>
        </is>
      </c>
      <c r="D611" t="inlineStr">
        <is>
          <t>ma</t>
        </is>
      </c>
      <c r="E611" t="inlineStr">
        <is>
          <t>fr</t>
        </is>
      </c>
      <c r="F611" t="inlineStr">
        <is>
          <t>NOT AVAILABLE</t>
        </is>
      </c>
      <c r="G611" t="inlineStr">
        <is>
          <t>NOT AVAILABLE</t>
        </is>
      </c>
      <c r="H611" t="inlineStr">
        <is>
          <t>NOT AVAILABLE</t>
        </is>
      </c>
      <c r="I611" t="inlineStr">
        <is>
          <t>NOT AVAILABLE</t>
        </is>
      </c>
      <c r="J611" t="inlineStr">
        <is>
          <t>NOT AVAILABLE</t>
        </is>
      </c>
      <c r="K611" t="inlineStr">
        <is>
          <t>NOT AVAILABLE</t>
        </is>
      </c>
      <c r="L611" t="inlineStr">
        <is>
          <t>NOT AVAILABLE</t>
        </is>
      </c>
      <c r="M611" t="inlineStr">
        <is>
          <t>UNAVAILABLE</t>
        </is>
      </c>
      <c r="N611" s="5" t="inlineStr">
        <is>
          <t>Semrush phrase_these returned no data (not billed)</t>
        </is>
      </c>
      <c r="O611" t="inlineStr">
        <is>
          <t>2026-10-30</t>
        </is>
      </c>
      <c r="P611">
        <f>IF(IF(J611="NOT AVAILABLE","",J611)="",12,IF(OR(ISNUMBER(SEARCH("Transactional",IF(J611="NOT AVAILABLE","",J611))),ISNUMBER(SEARCH("Commercial",IF(J611="NOT AVAILABLE","",J611)))),25,IF(ISNUMBER(SEARCH("Informational",IF(J611="NOT AVAILABLE","",J611))),10,IF(ISNUMBER(SEARCH("Navigational",IF(J611="NOT AVAILABLE","",J611))),0,12))))</f>
        <v/>
      </c>
      <c r="Q611">
        <f>IF(ISNUMBER(F611),MIN(30,ROUND(30*LOG10(F611+1)/4,1)),0)</f>
        <v/>
      </c>
      <c r="R611">
        <f>IF(ISNUMBER(G611),ROUND(25*(100-G611)/100,1),12.5)</f>
        <v/>
      </c>
      <c r="S611" t="n">
        <v>20</v>
      </c>
      <c r="T611">
        <f>ROUND(P611+Q611+R611+S611,0)</f>
        <v/>
      </c>
      <c r="U611" s="5" t="inlineStr"/>
      <c r="V611" s="5" t="inlineStr"/>
    </row>
    <row r="612">
      <c r="A612" t="inlineStr">
        <is>
          <t>K0610</t>
        </is>
      </c>
      <c r="B612" t="inlineStr">
        <is>
          <t>données structurées entreprise locale</t>
        </is>
      </c>
      <c r="C612" t="inlineStr">
        <is>
          <t>Morocco</t>
        </is>
      </c>
      <c r="D612" t="inlineStr">
        <is>
          <t>ma</t>
        </is>
      </c>
      <c r="E612" t="inlineStr">
        <is>
          <t>fr</t>
        </is>
      </c>
      <c r="F612" t="inlineStr">
        <is>
          <t>NOT AVAILABLE</t>
        </is>
      </c>
      <c r="G612" t="inlineStr">
        <is>
          <t>NOT AVAILABLE</t>
        </is>
      </c>
      <c r="H612" t="inlineStr">
        <is>
          <t>NOT AVAILABLE</t>
        </is>
      </c>
      <c r="I612" t="inlineStr">
        <is>
          <t>NOT AVAILABLE</t>
        </is>
      </c>
      <c r="J612" t="inlineStr">
        <is>
          <t>NOT AVAILABLE</t>
        </is>
      </c>
      <c r="K612" t="inlineStr">
        <is>
          <t>NOT AVAILABLE</t>
        </is>
      </c>
      <c r="L612" t="inlineStr">
        <is>
          <t>NOT AVAILABLE</t>
        </is>
      </c>
      <c r="M612" t="inlineStr">
        <is>
          <t>UNAVAILABLE</t>
        </is>
      </c>
      <c r="N612" s="5" t="inlineStr">
        <is>
          <t>Semrush phrase_these returned no data (not billed)</t>
        </is>
      </c>
      <c r="O612" t="inlineStr">
        <is>
          <t>2026-10-30</t>
        </is>
      </c>
      <c r="P612">
        <f>IF(IF(J612="NOT AVAILABLE","",J612)="",12,IF(OR(ISNUMBER(SEARCH("Transactional",IF(J612="NOT AVAILABLE","",J612))),ISNUMBER(SEARCH("Commercial",IF(J612="NOT AVAILABLE","",J612)))),25,IF(ISNUMBER(SEARCH("Informational",IF(J612="NOT AVAILABLE","",J612))),10,IF(ISNUMBER(SEARCH("Navigational",IF(J612="NOT AVAILABLE","",J612))),0,12))))</f>
        <v/>
      </c>
      <c r="Q612">
        <f>IF(ISNUMBER(F612),MIN(30,ROUND(30*LOG10(F612+1)/4,1)),0)</f>
        <v/>
      </c>
      <c r="R612">
        <f>IF(ISNUMBER(G612),ROUND(25*(100-G612)/100,1),12.5)</f>
        <v/>
      </c>
      <c r="S612" t="n">
        <v>20</v>
      </c>
      <c r="T612">
        <f>ROUND(P612+Q612+R612+S612,0)</f>
        <v/>
      </c>
      <c r="U612" s="5" t="inlineStr"/>
      <c r="V612" s="5" t="inlineStr"/>
    </row>
    <row r="613">
      <c r="A613" t="inlineStr">
        <is>
          <t>K0611</t>
        </is>
      </c>
      <c r="B613" t="inlineStr">
        <is>
          <t>décoder base64</t>
        </is>
      </c>
      <c r="C613" t="inlineStr">
        <is>
          <t>Morocco</t>
        </is>
      </c>
      <c r="D613" t="inlineStr">
        <is>
          <t>ma</t>
        </is>
      </c>
      <c r="E613" t="inlineStr">
        <is>
          <t>fr</t>
        </is>
      </c>
      <c r="F613" t="inlineStr">
        <is>
          <t>NOT AVAILABLE</t>
        </is>
      </c>
      <c r="G613" t="inlineStr">
        <is>
          <t>NOT AVAILABLE</t>
        </is>
      </c>
      <c r="H613" t="inlineStr">
        <is>
          <t>NOT AVAILABLE</t>
        </is>
      </c>
      <c r="I613" t="inlineStr">
        <is>
          <t>NOT AVAILABLE</t>
        </is>
      </c>
      <c r="J613" t="inlineStr">
        <is>
          <t>NOT AVAILABLE</t>
        </is>
      </c>
      <c r="K613" t="inlineStr">
        <is>
          <t>NOT AVAILABLE</t>
        </is>
      </c>
      <c r="L613" t="inlineStr">
        <is>
          <t>NOT AVAILABLE</t>
        </is>
      </c>
      <c r="M613" t="inlineStr">
        <is>
          <t>UNAVAILABLE</t>
        </is>
      </c>
      <c r="N613" s="5" t="inlineStr">
        <is>
          <t>Semrush phrase_these returned no data (not billed)</t>
        </is>
      </c>
      <c r="O613" t="inlineStr">
        <is>
          <t>2026-10-30</t>
        </is>
      </c>
      <c r="P613">
        <f>IF(IF(J613="NOT AVAILABLE","",J613)="",12,IF(OR(ISNUMBER(SEARCH("Transactional",IF(J613="NOT AVAILABLE","",J613))),ISNUMBER(SEARCH("Commercial",IF(J613="NOT AVAILABLE","",J613)))),25,IF(ISNUMBER(SEARCH("Informational",IF(J613="NOT AVAILABLE","",J613))),10,IF(ISNUMBER(SEARCH("Navigational",IF(J613="NOT AVAILABLE","",J613))),0,12))))</f>
        <v/>
      </c>
      <c r="Q613">
        <f>IF(ISNUMBER(F613),MIN(30,ROUND(30*LOG10(F613+1)/4,1)),0)</f>
        <v/>
      </c>
      <c r="R613">
        <f>IF(ISNUMBER(G613),ROUND(25*(100-G613)/100,1),12.5)</f>
        <v/>
      </c>
      <c r="S613" t="n">
        <v>20</v>
      </c>
      <c r="T613">
        <f>ROUND(P613+Q613+R613+S613,0)</f>
        <v/>
      </c>
      <c r="U613" s="5" t="inlineStr"/>
      <c r="V613" s="5" t="inlineStr"/>
    </row>
    <row r="614">
      <c r="A614" t="inlineStr">
        <is>
          <t>K0612</t>
        </is>
      </c>
      <c r="B614" t="inlineStr">
        <is>
          <t>détecter liens morts</t>
        </is>
      </c>
      <c r="C614" t="inlineStr">
        <is>
          <t>Morocco</t>
        </is>
      </c>
      <c r="D614" t="inlineStr">
        <is>
          <t>ma</t>
        </is>
      </c>
      <c r="E614" t="inlineStr">
        <is>
          <t>fr</t>
        </is>
      </c>
      <c r="F614" t="inlineStr">
        <is>
          <t>NOT AVAILABLE</t>
        </is>
      </c>
      <c r="G614" t="inlineStr">
        <is>
          <t>NOT AVAILABLE</t>
        </is>
      </c>
      <c r="H614" t="inlineStr">
        <is>
          <t>NOT AVAILABLE</t>
        </is>
      </c>
      <c r="I614" t="inlineStr">
        <is>
          <t>NOT AVAILABLE</t>
        </is>
      </c>
      <c r="J614" t="inlineStr">
        <is>
          <t>NOT AVAILABLE</t>
        </is>
      </c>
      <c r="K614" t="inlineStr">
        <is>
          <t>NOT AVAILABLE</t>
        </is>
      </c>
      <c r="L614" t="inlineStr">
        <is>
          <t>NOT AVAILABLE</t>
        </is>
      </c>
      <c r="M614" t="inlineStr">
        <is>
          <t>UNAVAILABLE</t>
        </is>
      </c>
      <c r="N614" s="5" t="inlineStr">
        <is>
          <t>Semrush phrase_these returned no data (not billed)</t>
        </is>
      </c>
      <c r="O614" t="inlineStr">
        <is>
          <t>2026-10-30</t>
        </is>
      </c>
      <c r="P614">
        <f>IF(IF(J614="NOT AVAILABLE","",J614)="",12,IF(OR(ISNUMBER(SEARCH("Transactional",IF(J614="NOT AVAILABLE","",J614))),ISNUMBER(SEARCH("Commercial",IF(J614="NOT AVAILABLE","",J614)))),25,IF(ISNUMBER(SEARCH("Informational",IF(J614="NOT AVAILABLE","",J614))),10,IF(ISNUMBER(SEARCH("Navigational",IF(J614="NOT AVAILABLE","",J614))),0,12))))</f>
        <v/>
      </c>
      <c r="Q614">
        <f>IF(ISNUMBER(F614),MIN(30,ROUND(30*LOG10(F614+1)/4,1)),0)</f>
        <v/>
      </c>
      <c r="R614">
        <f>IF(ISNUMBER(G614),ROUND(25*(100-G614)/100,1),12.5)</f>
        <v/>
      </c>
      <c r="S614" t="n">
        <v>20</v>
      </c>
      <c r="T614">
        <f>ROUND(P614+Q614+R614+S614,0)</f>
        <v/>
      </c>
      <c r="U614" s="5" t="inlineStr"/>
      <c r="V614" s="5" t="inlineStr"/>
    </row>
    <row r="615">
      <c r="A615" t="inlineStr">
        <is>
          <t>K0613</t>
        </is>
      </c>
      <c r="B615" t="inlineStr">
        <is>
          <t>détecter texte ia</t>
        </is>
      </c>
      <c r="C615" t="inlineStr">
        <is>
          <t>Morocco</t>
        </is>
      </c>
      <c r="D615" t="inlineStr">
        <is>
          <t>ma</t>
        </is>
      </c>
      <c r="E615" t="inlineStr">
        <is>
          <t>fr</t>
        </is>
      </c>
      <c r="F615" t="inlineStr">
        <is>
          <t>NOT AVAILABLE</t>
        </is>
      </c>
      <c r="G615" t="inlineStr">
        <is>
          <t>NOT AVAILABLE</t>
        </is>
      </c>
      <c r="H615" t="inlineStr">
        <is>
          <t>NOT AVAILABLE</t>
        </is>
      </c>
      <c r="I615" t="inlineStr">
        <is>
          <t>NOT AVAILABLE</t>
        </is>
      </c>
      <c r="J615" t="inlineStr">
        <is>
          <t>NOT AVAILABLE</t>
        </is>
      </c>
      <c r="K615" t="inlineStr">
        <is>
          <t>NOT AVAILABLE</t>
        </is>
      </c>
      <c r="L615" t="inlineStr">
        <is>
          <t>NOT AVAILABLE</t>
        </is>
      </c>
      <c r="M615" t="inlineStr">
        <is>
          <t>UNAVAILABLE</t>
        </is>
      </c>
      <c r="N615" s="5" t="inlineStr">
        <is>
          <t>Semrush phrase_these returned no data (not billed)</t>
        </is>
      </c>
      <c r="O615" t="inlineStr">
        <is>
          <t>2026-10-30</t>
        </is>
      </c>
      <c r="P615">
        <f>IF(IF(J615="NOT AVAILABLE","",J615)="",12,IF(OR(ISNUMBER(SEARCH("Transactional",IF(J615="NOT AVAILABLE","",J615))),ISNUMBER(SEARCH("Commercial",IF(J615="NOT AVAILABLE","",J615)))),25,IF(ISNUMBER(SEARCH("Informational",IF(J615="NOT AVAILABLE","",J615))),10,IF(ISNUMBER(SEARCH("Navigational",IF(J615="NOT AVAILABLE","",J615))),0,12))))</f>
        <v/>
      </c>
      <c r="Q615">
        <f>IF(ISNUMBER(F615),MIN(30,ROUND(30*LOG10(F615+1)/4,1)),0)</f>
        <v/>
      </c>
      <c r="R615">
        <f>IF(ISNUMBER(G615),ROUND(25*(100-G615)/100,1),12.5)</f>
        <v/>
      </c>
      <c r="S615" t="n">
        <v>20</v>
      </c>
      <c r="T615">
        <f>ROUND(P615+Q615+R615+S615,0)</f>
        <v/>
      </c>
      <c r="U615" s="5" t="inlineStr"/>
      <c r="V615" s="5" t="inlineStr"/>
    </row>
    <row r="616">
      <c r="A616" t="inlineStr">
        <is>
          <t>K0614</t>
        </is>
      </c>
      <c r="B616" t="inlineStr">
        <is>
          <t>développement application maroc</t>
        </is>
      </c>
      <c r="C616" t="inlineStr">
        <is>
          <t>Morocco</t>
        </is>
      </c>
      <c r="D616" t="inlineStr">
        <is>
          <t>ma</t>
        </is>
      </c>
      <c r="E616" t="inlineStr">
        <is>
          <t>fr</t>
        </is>
      </c>
      <c r="F616" t="n">
        <v>0</v>
      </c>
      <c r="G616" t="inlineStr">
        <is>
          <t>NOT AVAILABLE</t>
        </is>
      </c>
      <c r="H616" t="n">
        <v>0</v>
      </c>
      <c r="I616" t="n">
        <v>0</v>
      </c>
      <c r="J616" t="inlineStr">
        <is>
          <t>NOT AVAILABLE</t>
        </is>
      </c>
      <c r="K616" t="inlineStr">
        <is>
          <t>NOT AVAILABLE (report not requested)</t>
        </is>
      </c>
      <c r="L616" t="inlineStr">
        <is>
          <t>flat (no data)</t>
        </is>
      </c>
      <c r="M616" t="inlineStr">
        <is>
          <t>MEASURED</t>
        </is>
      </c>
      <c r="N616" s="5" t="inlineStr">
        <is>
          <t>Semrush phrase_these (historical w3-validate-D-software.csv)</t>
        </is>
      </c>
      <c r="O616" t="inlineStr">
        <is>
          <t>2026-10-27</t>
        </is>
      </c>
      <c r="P616">
        <f>IF(IF(J616="NOT AVAILABLE","",J616)="",12,IF(OR(ISNUMBER(SEARCH("Transactional",IF(J616="NOT AVAILABLE","",J616))),ISNUMBER(SEARCH("Commercial",IF(J616="NOT AVAILABLE","",J616)))),25,IF(ISNUMBER(SEARCH("Informational",IF(J616="NOT AVAILABLE","",J616))),10,IF(ISNUMBER(SEARCH("Navigational",IF(J616="NOT AVAILABLE","",J616))),0,12))))</f>
        <v/>
      </c>
      <c r="Q616">
        <f>IF(ISNUMBER(F616),MIN(30,ROUND(30*LOG10(F616+1)/4,1)),0)</f>
        <v/>
      </c>
      <c r="R616">
        <f>IF(ISNUMBER(G616),ROUND(25*(100-G616)/100,1),12.5)</f>
        <v/>
      </c>
      <c r="S616" t="n">
        <v>20</v>
      </c>
      <c r="T616">
        <f>ROUND(P616+Q616+R616+S616,0)</f>
        <v/>
      </c>
      <c r="U616" s="5" t="inlineStr"/>
      <c r="V616" s="5" t="inlineStr"/>
    </row>
    <row r="617">
      <c r="A617" t="inlineStr">
        <is>
          <t>K0615</t>
        </is>
      </c>
      <c r="B617" t="inlineStr">
        <is>
          <t>développement application saas</t>
        </is>
      </c>
      <c r="C617" t="inlineStr">
        <is>
          <t>Morocco</t>
        </is>
      </c>
      <c r="D617" t="inlineStr">
        <is>
          <t>ma</t>
        </is>
      </c>
      <c r="E617" t="inlineStr">
        <is>
          <t>fr</t>
        </is>
      </c>
      <c r="F617" t="inlineStr">
        <is>
          <t>NOT AVAILABLE</t>
        </is>
      </c>
      <c r="G617" t="inlineStr">
        <is>
          <t>NOT AVAILABLE</t>
        </is>
      </c>
      <c r="H617" t="inlineStr">
        <is>
          <t>NOT AVAILABLE</t>
        </is>
      </c>
      <c r="I617" t="inlineStr">
        <is>
          <t>NOT AVAILABLE</t>
        </is>
      </c>
      <c r="J617" t="inlineStr">
        <is>
          <t>NOT AVAILABLE</t>
        </is>
      </c>
      <c r="K617" t="inlineStr">
        <is>
          <t>NOT AVAILABLE</t>
        </is>
      </c>
      <c r="L617" t="inlineStr">
        <is>
          <t>NOT AVAILABLE</t>
        </is>
      </c>
      <c r="M617" t="inlineStr">
        <is>
          <t>UNAVAILABLE</t>
        </is>
      </c>
      <c r="N617" s="5" t="inlineStr">
        <is>
          <t>Semrush phrase_these returned no data (not billed)</t>
        </is>
      </c>
      <c r="O617" t="inlineStr">
        <is>
          <t>2026-10-30</t>
        </is>
      </c>
      <c r="P617">
        <f>IF(IF(J617="NOT AVAILABLE","",J617)="",12,IF(OR(ISNUMBER(SEARCH("Transactional",IF(J617="NOT AVAILABLE","",J617))),ISNUMBER(SEARCH("Commercial",IF(J617="NOT AVAILABLE","",J617)))),25,IF(ISNUMBER(SEARCH("Informational",IF(J617="NOT AVAILABLE","",J617))),10,IF(ISNUMBER(SEARCH("Navigational",IF(J617="NOT AVAILABLE","",J617))),0,12))))</f>
        <v/>
      </c>
      <c r="Q617">
        <f>IF(ISNUMBER(F617),MIN(30,ROUND(30*LOG10(F617+1)/4,1)),0)</f>
        <v/>
      </c>
      <c r="R617">
        <f>IF(ISNUMBER(G617),ROUND(25*(100-G617)/100,1),12.5)</f>
        <v/>
      </c>
      <c r="S617" t="n">
        <v>20</v>
      </c>
      <c r="T617">
        <f>ROUND(P617+Q617+R617+S617,0)</f>
        <v/>
      </c>
      <c r="U617" s="5" t="inlineStr"/>
      <c r="V617" s="5" t="inlineStr"/>
    </row>
    <row r="618">
      <c r="A618" t="inlineStr">
        <is>
          <t>K0616</t>
        </is>
      </c>
      <c r="B618" t="inlineStr">
        <is>
          <t>développement application web maroc</t>
        </is>
      </c>
      <c r="C618" t="inlineStr">
        <is>
          <t>Morocco</t>
        </is>
      </c>
      <c r="D618" t="inlineStr">
        <is>
          <t>ma</t>
        </is>
      </c>
      <c r="E618" t="inlineStr">
        <is>
          <t>fr</t>
        </is>
      </c>
      <c r="F618" t="n">
        <v>0</v>
      </c>
      <c r="G618" t="inlineStr">
        <is>
          <t>NOT AVAILABLE</t>
        </is>
      </c>
      <c r="H618" t="n">
        <v>0</v>
      </c>
      <c r="I618" t="n">
        <v>0</v>
      </c>
      <c r="J618" t="inlineStr">
        <is>
          <t>NOT AVAILABLE</t>
        </is>
      </c>
      <c r="K618" t="inlineStr">
        <is>
          <t>NOT AVAILABLE (report not requested)</t>
        </is>
      </c>
      <c r="L618" t="inlineStr">
        <is>
          <t>flat (no data)</t>
        </is>
      </c>
      <c r="M618" t="inlineStr">
        <is>
          <t>MEASURED</t>
        </is>
      </c>
      <c r="N618" s="5" t="inlineStr">
        <is>
          <t>Semrush phrase_these (live, this session)</t>
        </is>
      </c>
      <c r="O618" t="inlineStr">
        <is>
          <t>2026-10-30</t>
        </is>
      </c>
      <c r="P618">
        <f>IF(IF(J618="NOT AVAILABLE","",J618)="",12,IF(OR(ISNUMBER(SEARCH("Transactional",IF(J618="NOT AVAILABLE","",J618))),ISNUMBER(SEARCH("Commercial",IF(J618="NOT AVAILABLE","",J618)))),25,IF(ISNUMBER(SEARCH("Informational",IF(J618="NOT AVAILABLE","",J618))),10,IF(ISNUMBER(SEARCH("Navigational",IF(J618="NOT AVAILABLE","",J618))),0,12))))</f>
        <v/>
      </c>
      <c r="Q618">
        <f>IF(ISNUMBER(F618),MIN(30,ROUND(30*LOG10(F618+1)/4,1)),0)</f>
        <v/>
      </c>
      <c r="R618">
        <f>IF(ISNUMBER(G618),ROUND(25*(100-G618)/100,1),12.5)</f>
        <v/>
      </c>
      <c r="S618" t="n">
        <v>20</v>
      </c>
      <c r="T618">
        <f>ROUND(P618+Q618+R618+S618,0)</f>
        <v/>
      </c>
      <c r="U618" s="5" t="inlineStr"/>
      <c r="V618" s="5" t="inlineStr"/>
    </row>
    <row r="619">
      <c r="A619" t="inlineStr">
        <is>
          <t>K0617</t>
        </is>
      </c>
      <c r="B619" t="inlineStr">
        <is>
          <t>développement fintech</t>
        </is>
      </c>
      <c r="C619" t="inlineStr">
        <is>
          <t>Morocco</t>
        </is>
      </c>
      <c r="D619" t="inlineStr">
        <is>
          <t>ma</t>
        </is>
      </c>
      <c r="E619" t="inlineStr">
        <is>
          <t>fr</t>
        </is>
      </c>
      <c r="F619" t="n">
        <v>0</v>
      </c>
      <c r="G619" t="inlineStr">
        <is>
          <t>NOT AVAILABLE</t>
        </is>
      </c>
      <c r="H619" t="n">
        <v>0</v>
      </c>
      <c r="I619" t="n">
        <v>0</v>
      </c>
      <c r="J619" t="inlineStr">
        <is>
          <t>NOT AVAILABLE</t>
        </is>
      </c>
      <c r="K619" t="inlineStr">
        <is>
          <t>NOT AVAILABLE (report not requested)</t>
        </is>
      </c>
      <c r="L619" t="inlineStr">
        <is>
          <t>flat (no data)</t>
        </is>
      </c>
      <c r="M619" t="inlineStr">
        <is>
          <t>MEASURED</t>
        </is>
      </c>
      <c r="N619" s="5" t="inlineStr">
        <is>
          <t>Semrush phrase_these (live, this session)</t>
        </is>
      </c>
      <c r="O619" t="inlineStr">
        <is>
          <t>2026-10-30</t>
        </is>
      </c>
      <c r="P619">
        <f>IF(IF(J619="NOT AVAILABLE","",J619)="",12,IF(OR(ISNUMBER(SEARCH("Transactional",IF(J619="NOT AVAILABLE","",J619))),ISNUMBER(SEARCH("Commercial",IF(J619="NOT AVAILABLE","",J619)))),25,IF(ISNUMBER(SEARCH("Informational",IF(J619="NOT AVAILABLE","",J619))),10,IF(ISNUMBER(SEARCH("Navigational",IF(J619="NOT AVAILABLE","",J619))),0,12))))</f>
        <v/>
      </c>
      <c r="Q619">
        <f>IF(ISNUMBER(F619),MIN(30,ROUND(30*LOG10(F619+1)/4,1)),0)</f>
        <v/>
      </c>
      <c r="R619">
        <f>IF(ISNUMBER(G619),ROUND(25*(100-G619)/100,1),12.5)</f>
        <v/>
      </c>
      <c r="S619" t="n">
        <v>20</v>
      </c>
      <c r="T619">
        <f>ROUND(P619+Q619+R619+S619,0)</f>
        <v/>
      </c>
      <c r="U619" s="5" t="inlineStr"/>
      <c r="V619" s="5" t="inlineStr"/>
    </row>
    <row r="620">
      <c r="A620" t="inlineStr">
        <is>
          <t>K0618</t>
        </is>
      </c>
      <c r="B620" t="inlineStr">
        <is>
          <t>développement logiciel sur mesure</t>
        </is>
      </c>
      <c r="C620" t="inlineStr">
        <is>
          <t>Morocco</t>
        </is>
      </c>
      <c r="D620" t="inlineStr">
        <is>
          <t>ma</t>
        </is>
      </c>
      <c r="E620" t="inlineStr">
        <is>
          <t>fr</t>
        </is>
      </c>
      <c r="F620" t="n">
        <v>0</v>
      </c>
      <c r="G620" t="inlineStr">
        <is>
          <t>NOT AVAILABLE</t>
        </is>
      </c>
      <c r="H620" t="n">
        <v>0</v>
      </c>
      <c r="I620" t="n">
        <v>0</v>
      </c>
      <c r="J620" t="inlineStr">
        <is>
          <t>NOT AVAILABLE</t>
        </is>
      </c>
      <c r="K620" t="inlineStr">
        <is>
          <t>NOT AVAILABLE (report not requested)</t>
        </is>
      </c>
      <c r="L620" t="inlineStr">
        <is>
          <t>flat (no data)</t>
        </is>
      </c>
      <c r="M620" t="inlineStr">
        <is>
          <t>MEASURED</t>
        </is>
      </c>
      <c r="N620" s="5" t="inlineStr">
        <is>
          <t>Semrush phrase_these (live, this session)</t>
        </is>
      </c>
      <c r="O620" t="inlineStr">
        <is>
          <t>2026-10-30</t>
        </is>
      </c>
      <c r="P620">
        <f>IF(IF(J620="NOT AVAILABLE","",J620)="",12,IF(OR(ISNUMBER(SEARCH("Transactional",IF(J620="NOT AVAILABLE","",J620))),ISNUMBER(SEARCH("Commercial",IF(J620="NOT AVAILABLE","",J620)))),25,IF(ISNUMBER(SEARCH("Informational",IF(J620="NOT AVAILABLE","",J620))),10,IF(ISNUMBER(SEARCH("Navigational",IF(J620="NOT AVAILABLE","",J620))),0,12))))</f>
        <v/>
      </c>
      <c r="Q620">
        <f>IF(ISNUMBER(F620),MIN(30,ROUND(30*LOG10(F620+1)/4,1)),0)</f>
        <v/>
      </c>
      <c r="R620">
        <f>IF(ISNUMBER(G620),ROUND(25*(100-G620)/100,1),12.5)</f>
        <v/>
      </c>
      <c r="S620" t="n">
        <v>20</v>
      </c>
      <c r="T620">
        <f>ROUND(P620+Q620+R620+S620,0)</f>
        <v/>
      </c>
      <c r="U620" s="5" t="inlineStr"/>
      <c r="V620" s="5" t="inlineStr"/>
    </row>
    <row r="621">
      <c r="A621" t="inlineStr">
        <is>
          <t>K0619</t>
        </is>
      </c>
      <c r="B621" t="inlineStr">
        <is>
          <t>développement plateforme saas</t>
        </is>
      </c>
      <c r="C621" t="inlineStr">
        <is>
          <t>Morocco</t>
        </is>
      </c>
      <c r="D621" t="inlineStr">
        <is>
          <t>ma</t>
        </is>
      </c>
      <c r="E621" t="inlineStr">
        <is>
          <t>fr</t>
        </is>
      </c>
      <c r="F621" t="inlineStr">
        <is>
          <t>NOT AVAILABLE</t>
        </is>
      </c>
      <c r="G621" t="inlineStr">
        <is>
          <t>NOT AVAILABLE</t>
        </is>
      </c>
      <c r="H621" t="inlineStr">
        <is>
          <t>NOT AVAILABLE</t>
        </is>
      </c>
      <c r="I621" t="inlineStr">
        <is>
          <t>NOT AVAILABLE</t>
        </is>
      </c>
      <c r="J621" t="inlineStr">
        <is>
          <t>NOT AVAILABLE</t>
        </is>
      </c>
      <c r="K621" t="inlineStr">
        <is>
          <t>NOT AVAILABLE</t>
        </is>
      </c>
      <c r="L621" t="inlineStr">
        <is>
          <t>NOT AVAILABLE</t>
        </is>
      </c>
      <c r="M621" t="inlineStr">
        <is>
          <t>UNAVAILABLE</t>
        </is>
      </c>
      <c r="N621" s="5" t="inlineStr">
        <is>
          <t>Semrush phrase_these returned no data (not billed)</t>
        </is>
      </c>
      <c r="O621" t="inlineStr">
        <is>
          <t>2026-10-30</t>
        </is>
      </c>
      <c r="P621">
        <f>IF(IF(J621="NOT AVAILABLE","",J621)="",12,IF(OR(ISNUMBER(SEARCH("Transactional",IF(J621="NOT AVAILABLE","",J621))),ISNUMBER(SEARCH("Commercial",IF(J621="NOT AVAILABLE","",J621)))),25,IF(ISNUMBER(SEARCH("Informational",IF(J621="NOT AVAILABLE","",J621))),10,IF(ISNUMBER(SEARCH("Navigational",IF(J621="NOT AVAILABLE","",J621))),0,12))))</f>
        <v/>
      </c>
      <c r="Q621">
        <f>IF(ISNUMBER(F621),MIN(30,ROUND(30*LOG10(F621+1)/4,1)),0)</f>
        <v/>
      </c>
      <c r="R621">
        <f>IF(ISNUMBER(G621),ROUND(25*(100-G621)/100,1),12.5)</f>
        <v/>
      </c>
      <c r="S621" t="n">
        <v>20</v>
      </c>
      <c r="T621">
        <f>ROUND(P621+Q621+R621+S621,0)</f>
        <v/>
      </c>
      <c r="U621" s="5" t="inlineStr"/>
      <c r="V621" s="5" t="inlineStr"/>
    </row>
    <row r="622">
      <c r="A622" t="inlineStr">
        <is>
          <t>K0620</t>
        </is>
      </c>
      <c r="B622" t="inlineStr">
        <is>
          <t>développement plateforme web</t>
        </is>
      </c>
      <c r="C622" t="inlineStr">
        <is>
          <t>Morocco</t>
        </is>
      </c>
      <c r="D622" t="inlineStr">
        <is>
          <t>ma</t>
        </is>
      </c>
      <c r="E622" t="inlineStr">
        <is>
          <t>fr</t>
        </is>
      </c>
      <c r="F622" t="inlineStr">
        <is>
          <t>NOT AVAILABLE</t>
        </is>
      </c>
      <c r="G622" t="inlineStr">
        <is>
          <t>NOT AVAILABLE</t>
        </is>
      </c>
      <c r="H622" t="inlineStr">
        <is>
          <t>NOT AVAILABLE</t>
        </is>
      </c>
      <c r="I622" t="inlineStr">
        <is>
          <t>NOT AVAILABLE</t>
        </is>
      </c>
      <c r="J622" t="inlineStr">
        <is>
          <t>NOT AVAILABLE</t>
        </is>
      </c>
      <c r="K622" t="inlineStr">
        <is>
          <t>NOT AVAILABLE</t>
        </is>
      </c>
      <c r="L622" t="inlineStr">
        <is>
          <t>NOT AVAILABLE</t>
        </is>
      </c>
      <c r="M622" t="inlineStr">
        <is>
          <t>UNAVAILABLE</t>
        </is>
      </c>
      <c r="N622" s="5" t="inlineStr">
        <is>
          <t>Semrush phrase_these returned no data (not billed)</t>
        </is>
      </c>
      <c r="O622" t="inlineStr">
        <is>
          <t>2026-10-30</t>
        </is>
      </c>
      <c r="P622">
        <f>IF(IF(J622="NOT AVAILABLE","",J622)="",12,IF(OR(ISNUMBER(SEARCH("Transactional",IF(J622="NOT AVAILABLE","",J622))),ISNUMBER(SEARCH("Commercial",IF(J622="NOT AVAILABLE","",J622)))),25,IF(ISNUMBER(SEARCH("Informational",IF(J622="NOT AVAILABLE","",J622))),10,IF(ISNUMBER(SEARCH("Navigational",IF(J622="NOT AVAILABLE","",J622))),0,12))))</f>
        <v/>
      </c>
      <c r="Q622">
        <f>IF(ISNUMBER(F622),MIN(30,ROUND(30*LOG10(F622+1)/4,1)),0)</f>
        <v/>
      </c>
      <c r="R622">
        <f>IF(ISNUMBER(G622),ROUND(25*(100-G622)/100,1),12.5)</f>
        <v/>
      </c>
      <c r="S622" t="n">
        <v>20</v>
      </c>
      <c r="T622">
        <f>ROUND(P622+Q622+R622+S622,0)</f>
        <v/>
      </c>
      <c r="U622" s="5" t="inlineStr"/>
      <c r="V622" s="5" t="inlineStr"/>
    </row>
    <row r="623">
      <c r="A623" t="inlineStr">
        <is>
          <t>K0621</t>
        </is>
      </c>
      <c r="B623" t="inlineStr">
        <is>
          <t>développement saas</t>
        </is>
      </c>
      <c r="C623" t="inlineStr">
        <is>
          <t>Morocco</t>
        </is>
      </c>
      <c r="D623" t="inlineStr">
        <is>
          <t>ma</t>
        </is>
      </c>
      <c r="E623" t="inlineStr">
        <is>
          <t>fr</t>
        </is>
      </c>
      <c r="F623" t="inlineStr">
        <is>
          <t>NOT AVAILABLE</t>
        </is>
      </c>
      <c r="G623" t="inlineStr">
        <is>
          <t>NOT AVAILABLE</t>
        </is>
      </c>
      <c r="H623" t="inlineStr">
        <is>
          <t>NOT AVAILABLE</t>
        </is>
      </c>
      <c r="I623" t="inlineStr">
        <is>
          <t>NOT AVAILABLE</t>
        </is>
      </c>
      <c r="J623" t="inlineStr">
        <is>
          <t>NOT AVAILABLE</t>
        </is>
      </c>
      <c r="K623" t="inlineStr">
        <is>
          <t>NOT AVAILABLE</t>
        </is>
      </c>
      <c r="L623" t="inlineStr">
        <is>
          <t>NOT AVAILABLE</t>
        </is>
      </c>
      <c r="M623" t="inlineStr">
        <is>
          <t>UNAVAILABLE</t>
        </is>
      </c>
      <c r="N623" s="5" t="inlineStr">
        <is>
          <t>Semrush phrase_these returned no data (not billed)</t>
        </is>
      </c>
      <c r="O623" t="inlineStr">
        <is>
          <t>2026-10-30</t>
        </is>
      </c>
      <c r="P623">
        <f>IF(IF(J623="NOT AVAILABLE","",J623)="",12,IF(OR(ISNUMBER(SEARCH("Transactional",IF(J623="NOT AVAILABLE","",J623))),ISNUMBER(SEARCH("Commercial",IF(J623="NOT AVAILABLE","",J623)))),25,IF(ISNUMBER(SEARCH("Informational",IF(J623="NOT AVAILABLE","",J623))),10,IF(ISNUMBER(SEARCH("Navigational",IF(J623="NOT AVAILABLE","",J623))),0,12))))</f>
        <v/>
      </c>
      <c r="Q623">
        <f>IF(ISNUMBER(F623),MIN(30,ROUND(30*LOG10(F623+1)/4,1)),0)</f>
        <v/>
      </c>
      <c r="R623">
        <f>IF(ISNUMBER(G623),ROUND(25*(100-G623)/100,1),12.5)</f>
        <v/>
      </c>
      <c r="S623" t="n">
        <v>20</v>
      </c>
      <c r="T623">
        <f>ROUND(P623+Q623+R623+S623,0)</f>
        <v/>
      </c>
      <c r="U623" s="5" t="inlineStr"/>
      <c r="V623" s="5" t="inlineStr"/>
    </row>
    <row r="624">
      <c r="A624" t="inlineStr">
        <is>
          <t>K0622</t>
        </is>
      </c>
      <c r="B624" t="inlineStr">
        <is>
          <t>développement saas maroc</t>
        </is>
      </c>
      <c r="C624" t="inlineStr">
        <is>
          <t>Morocco</t>
        </is>
      </c>
      <c r="D624" t="inlineStr">
        <is>
          <t>ma</t>
        </is>
      </c>
      <c r="E624" t="inlineStr">
        <is>
          <t>fr</t>
        </is>
      </c>
      <c r="F624" t="inlineStr">
        <is>
          <t>NOT AVAILABLE</t>
        </is>
      </c>
      <c r="G624" t="inlineStr">
        <is>
          <t>NOT AVAILABLE</t>
        </is>
      </c>
      <c r="H624" t="inlineStr">
        <is>
          <t>NOT AVAILABLE</t>
        </is>
      </c>
      <c r="I624" t="inlineStr">
        <is>
          <t>NOT AVAILABLE</t>
        </is>
      </c>
      <c r="J624" t="inlineStr">
        <is>
          <t>NOT AVAILABLE</t>
        </is>
      </c>
      <c r="K624" t="inlineStr">
        <is>
          <t>NOT AVAILABLE</t>
        </is>
      </c>
      <c r="L624" t="inlineStr">
        <is>
          <t>NOT AVAILABLE</t>
        </is>
      </c>
      <c r="M624" t="inlineStr">
        <is>
          <t>UNAVAILABLE</t>
        </is>
      </c>
      <c r="N624" s="5" t="inlineStr">
        <is>
          <t>Semrush phrase_these returned no data (not billed)</t>
        </is>
      </c>
      <c r="O624" t="inlineStr">
        <is>
          <t>2026-10-30</t>
        </is>
      </c>
      <c r="P624">
        <f>IF(IF(J624="NOT AVAILABLE","",J624)="",12,IF(OR(ISNUMBER(SEARCH("Transactional",IF(J624="NOT AVAILABLE","",J624))),ISNUMBER(SEARCH("Commercial",IF(J624="NOT AVAILABLE","",J624)))),25,IF(ISNUMBER(SEARCH("Informational",IF(J624="NOT AVAILABLE","",J624))),10,IF(ISNUMBER(SEARCH("Navigational",IF(J624="NOT AVAILABLE","",J624))),0,12))))</f>
        <v/>
      </c>
      <c r="Q624">
        <f>IF(ISNUMBER(F624),MIN(30,ROUND(30*LOG10(F624+1)/4,1)),0)</f>
        <v/>
      </c>
      <c r="R624">
        <f>IF(ISNUMBER(G624),ROUND(25*(100-G624)/100,1),12.5)</f>
        <v/>
      </c>
      <c r="S624" t="n">
        <v>20</v>
      </c>
      <c r="T624">
        <f>ROUND(P624+Q624+R624+S624,0)</f>
        <v/>
      </c>
      <c r="U624" s="5" t="inlineStr"/>
      <c r="V624" s="5" t="inlineStr"/>
    </row>
    <row r="625">
      <c r="A625" t="inlineStr">
        <is>
          <t>K0623</t>
        </is>
      </c>
      <c r="B625" t="inlineStr">
        <is>
          <t>développement web agadir</t>
        </is>
      </c>
      <c r="C625" t="inlineStr">
        <is>
          <t>Morocco</t>
        </is>
      </c>
      <c r="D625" t="inlineStr">
        <is>
          <t>ma</t>
        </is>
      </c>
      <c r="E625" t="inlineStr">
        <is>
          <t>fr</t>
        </is>
      </c>
      <c r="F625" t="n">
        <v>0</v>
      </c>
      <c r="G625" t="inlineStr">
        <is>
          <t>NOT AVAILABLE</t>
        </is>
      </c>
      <c r="H625" t="n">
        <v>0</v>
      </c>
      <c r="I625" t="n">
        <v>0</v>
      </c>
      <c r="J625" t="inlineStr">
        <is>
          <t>NOT AVAILABLE</t>
        </is>
      </c>
      <c r="K625" t="inlineStr">
        <is>
          <t>NOT AVAILABLE (report not requested)</t>
        </is>
      </c>
      <c r="L625" t="inlineStr">
        <is>
          <t>flat (no data)</t>
        </is>
      </c>
      <c r="M625" t="inlineStr">
        <is>
          <t>MEASURED</t>
        </is>
      </c>
      <c r="N625" s="5" t="inlineStr">
        <is>
          <t>Semrush phrase_these (live, this session)</t>
        </is>
      </c>
      <c r="O625" t="inlineStr">
        <is>
          <t>2026-10-30</t>
        </is>
      </c>
      <c r="P625">
        <f>IF(IF(J625="NOT AVAILABLE","",J625)="",12,IF(OR(ISNUMBER(SEARCH("Transactional",IF(J625="NOT AVAILABLE","",J625))),ISNUMBER(SEARCH("Commercial",IF(J625="NOT AVAILABLE","",J625)))),25,IF(ISNUMBER(SEARCH("Informational",IF(J625="NOT AVAILABLE","",J625))),10,IF(ISNUMBER(SEARCH("Navigational",IF(J625="NOT AVAILABLE","",J625))),0,12))))</f>
        <v/>
      </c>
      <c r="Q625">
        <f>IF(ISNUMBER(F625),MIN(30,ROUND(30*LOG10(F625+1)/4,1)),0)</f>
        <v/>
      </c>
      <c r="R625">
        <f>IF(ISNUMBER(G625),ROUND(25*(100-G625)/100,1),12.5)</f>
        <v/>
      </c>
      <c r="S625" t="n">
        <v>20</v>
      </c>
      <c r="T625">
        <f>ROUND(P625+Q625+R625+S625,0)</f>
        <v/>
      </c>
      <c r="U625" s="5" t="inlineStr"/>
      <c r="V625" s="5" t="inlineStr"/>
    </row>
    <row r="626">
      <c r="A626" t="inlineStr">
        <is>
          <t>K0624</t>
        </is>
      </c>
      <c r="B626" t="inlineStr">
        <is>
          <t>développement web casablanca</t>
        </is>
      </c>
      <c r="C626" t="inlineStr">
        <is>
          <t>Morocco</t>
        </is>
      </c>
      <c r="D626" t="inlineStr">
        <is>
          <t>ma</t>
        </is>
      </c>
      <c r="E626" t="inlineStr">
        <is>
          <t>fr</t>
        </is>
      </c>
      <c r="F626" t="inlineStr">
        <is>
          <t>NOT AVAILABLE</t>
        </is>
      </c>
      <c r="G626" t="inlineStr">
        <is>
          <t>NOT AVAILABLE</t>
        </is>
      </c>
      <c r="H626" t="inlineStr">
        <is>
          <t>NOT AVAILABLE</t>
        </is>
      </c>
      <c r="I626" t="inlineStr">
        <is>
          <t>NOT AVAILABLE</t>
        </is>
      </c>
      <c r="J626" t="inlineStr">
        <is>
          <t>NOT AVAILABLE</t>
        </is>
      </c>
      <c r="K626" t="inlineStr">
        <is>
          <t>NOT AVAILABLE</t>
        </is>
      </c>
      <c r="L626" t="inlineStr">
        <is>
          <t>NOT AVAILABLE</t>
        </is>
      </c>
      <c r="M626" t="inlineStr">
        <is>
          <t>UNAVAILABLE</t>
        </is>
      </c>
      <c r="N626" s="5" t="inlineStr">
        <is>
          <t>Semrush phrase_these returned no data (not billed)</t>
        </is>
      </c>
      <c r="O626" t="inlineStr">
        <is>
          <t>2026-10-30</t>
        </is>
      </c>
      <c r="P626">
        <f>IF(IF(J626="NOT AVAILABLE","",J626)="",12,IF(OR(ISNUMBER(SEARCH("Transactional",IF(J626="NOT AVAILABLE","",J626))),ISNUMBER(SEARCH("Commercial",IF(J626="NOT AVAILABLE","",J626)))),25,IF(ISNUMBER(SEARCH("Informational",IF(J626="NOT AVAILABLE","",J626))),10,IF(ISNUMBER(SEARCH("Navigational",IF(J626="NOT AVAILABLE","",J626))),0,12))))</f>
        <v/>
      </c>
      <c r="Q626">
        <f>IF(ISNUMBER(F626),MIN(30,ROUND(30*LOG10(F626+1)/4,1)),0)</f>
        <v/>
      </c>
      <c r="R626">
        <f>IF(ISNUMBER(G626),ROUND(25*(100-G626)/100,1),12.5)</f>
        <v/>
      </c>
      <c r="S626" t="n">
        <v>20</v>
      </c>
      <c r="T626">
        <f>ROUND(P626+Q626+R626+S626,0)</f>
        <v/>
      </c>
      <c r="U626" s="5" t="inlineStr"/>
      <c r="V626" s="5" t="inlineStr"/>
    </row>
    <row r="627">
      <c r="A627" t="inlineStr">
        <is>
          <t>K0625</t>
        </is>
      </c>
      <c r="B627" t="inlineStr">
        <is>
          <t>développement web maroc</t>
        </is>
      </c>
      <c r="C627" t="inlineStr">
        <is>
          <t>Morocco</t>
        </is>
      </c>
      <c r="D627" t="inlineStr">
        <is>
          <t>ma</t>
        </is>
      </c>
      <c r="E627" t="inlineStr">
        <is>
          <t>fr</t>
        </is>
      </c>
      <c r="F627" t="inlineStr">
        <is>
          <t>NOT AVAILABLE</t>
        </is>
      </c>
      <c r="G627" t="inlineStr">
        <is>
          <t>NOT AVAILABLE</t>
        </is>
      </c>
      <c r="H627" t="inlineStr">
        <is>
          <t>NOT AVAILABLE</t>
        </is>
      </c>
      <c r="I627" t="inlineStr">
        <is>
          <t>NOT AVAILABLE</t>
        </is>
      </c>
      <c r="J627" t="inlineStr">
        <is>
          <t>NOT AVAILABLE</t>
        </is>
      </c>
      <c r="K627" t="inlineStr">
        <is>
          <t>NOT AVAILABLE</t>
        </is>
      </c>
      <c r="L627" t="inlineStr">
        <is>
          <t>NOT AVAILABLE</t>
        </is>
      </c>
      <c r="M627" t="inlineStr">
        <is>
          <t>UNAVAILABLE</t>
        </is>
      </c>
      <c r="N627" s="5" t="inlineStr">
        <is>
          <t>Semrush phrase_these returned no data (not billed)</t>
        </is>
      </c>
      <c r="O627" t="inlineStr">
        <is>
          <t>2026-10-30</t>
        </is>
      </c>
      <c r="P627">
        <f>IF(IF(J627="NOT AVAILABLE","",J627)="",12,IF(OR(ISNUMBER(SEARCH("Transactional",IF(J627="NOT AVAILABLE","",J627))),ISNUMBER(SEARCH("Commercial",IF(J627="NOT AVAILABLE","",J627)))),25,IF(ISNUMBER(SEARCH("Informational",IF(J627="NOT AVAILABLE","",J627))),10,IF(ISNUMBER(SEARCH("Navigational",IF(J627="NOT AVAILABLE","",J627))),0,12))))</f>
        <v/>
      </c>
      <c r="Q627">
        <f>IF(ISNUMBER(F627),MIN(30,ROUND(30*LOG10(F627+1)/4,1)),0)</f>
        <v/>
      </c>
      <c r="R627">
        <f>IF(ISNUMBER(G627),ROUND(25*(100-G627)/100,1),12.5)</f>
        <v/>
      </c>
      <c r="S627" t="n">
        <v>20</v>
      </c>
      <c r="T627">
        <f>ROUND(P627+Q627+R627+S627,0)</f>
        <v/>
      </c>
      <c r="U627" s="5" t="inlineStr"/>
      <c r="V627" s="5" t="inlineStr"/>
    </row>
    <row r="628">
      <c r="A628" t="inlineStr">
        <is>
          <t>K0626</t>
        </is>
      </c>
      <c r="B628" t="inlineStr">
        <is>
          <t>développement web marrakech</t>
        </is>
      </c>
      <c r="C628" t="inlineStr">
        <is>
          <t>Morocco</t>
        </is>
      </c>
      <c r="D628" t="inlineStr">
        <is>
          <t>ma</t>
        </is>
      </c>
      <c r="E628" t="inlineStr">
        <is>
          <t>fr</t>
        </is>
      </c>
      <c r="F628" t="inlineStr">
        <is>
          <t>NOT AVAILABLE</t>
        </is>
      </c>
      <c r="G628" t="inlineStr">
        <is>
          <t>NOT AVAILABLE</t>
        </is>
      </c>
      <c r="H628" t="inlineStr">
        <is>
          <t>NOT AVAILABLE</t>
        </is>
      </c>
      <c r="I628" t="inlineStr">
        <is>
          <t>NOT AVAILABLE</t>
        </is>
      </c>
      <c r="J628" t="inlineStr">
        <is>
          <t>NOT AVAILABLE</t>
        </is>
      </c>
      <c r="K628" t="inlineStr">
        <is>
          <t>NOT AVAILABLE</t>
        </is>
      </c>
      <c r="L628" t="inlineStr">
        <is>
          <t>NOT AVAILABLE</t>
        </is>
      </c>
      <c r="M628" t="inlineStr">
        <is>
          <t>UNAVAILABLE</t>
        </is>
      </c>
      <c r="N628" s="5" t="inlineStr">
        <is>
          <t>Semrush phrase_these returned no data (not billed)</t>
        </is>
      </c>
      <c r="O628" t="inlineStr">
        <is>
          <t>2026-10-30</t>
        </is>
      </c>
      <c r="P628">
        <f>IF(IF(J628="NOT AVAILABLE","",J628)="",12,IF(OR(ISNUMBER(SEARCH("Transactional",IF(J628="NOT AVAILABLE","",J628))),ISNUMBER(SEARCH("Commercial",IF(J628="NOT AVAILABLE","",J628)))),25,IF(ISNUMBER(SEARCH("Informational",IF(J628="NOT AVAILABLE","",J628))),10,IF(ISNUMBER(SEARCH("Navigational",IF(J628="NOT AVAILABLE","",J628))),0,12))))</f>
        <v/>
      </c>
      <c r="Q628">
        <f>IF(ISNUMBER(F628),MIN(30,ROUND(30*LOG10(F628+1)/4,1)),0)</f>
        <v/>
      </c>
      <c r="R628">
        <f>IF(ISNUMBER(G628),ROUND(25*(100-G628)/100,1),12.5)</f>
        <v/>
      </c>
      <c r="S628" t="n">
        <v>20</v>
      </c>
      <c r="T628">
        <f>ROUND(P628+Q628+R628+S628,0)</f>
        <v/>
      </c>
      <c r="U628" s="5" t="inlineStr"/>
      <c r="V628" s="5" t="inlineStr"/>
    </row>
    <row r="629">
      <c r="A629" t="inlineStr">
        <is>
          <t>K0627</t>
        </is>
      </c>
      <c r="B629" t="inlineStr">
        <is>
          <t>développement web offshore</t>
        </is>
      </c>
      <c r="C629" t="inlineStr">
        <is>
          <t>Morocco</t>
        </is>
      </c>
      <c r="D629" t="inlineStr">
        <is>
          <t>ma</t>
        </is>
      </c>
      <c r="E629" t="inlineStr">
        <is>
          <t>fr</t>
        </is>
      </c>
      <c r="F629" t="n">
        <v>0</v>
      </c>
      <c r="G629" t="inlineStr">
        <is>
          <t>NOT AVAILABLE</t>
        </is>
      </c>
      <c r="H629" t="n">
        <v>0</v>
      </c>
      <c r="I629" t="n">
        <v>0</v>
      </c>
      <c r="J629" t="inlineStr">
        <is>
          <t>NOT AVAILABLE</t>
        </is>
      </c>
      <c r="K629" t="inlineStr">
        <is>
          <t>NOT AVAILABLE (report not requested)</t>
        </is>
      </c>
      <c r="L629" t="inlineStr">
        <is>
          <t>flat (no data)</t>
        </is>
      </c>
      <c r="M629" t="inlineStr">
        <is>
          <t>MEASURED</t>
        </is>
      </c>
      <c r="N629" s="5" t="inlineStr">
        <is>
          <t>Semrush phrase_these (live, this session)</t>
        </is>
      </c>
      <c r="O629" t="inlineStr">
        <is>
          <t>2026-10-30</t>
        </is>
      </c>
      <c r="P629">
        <f>IF(IF(J629="NOT AVAILABLE","",J629)="",12,IF(OR(ISNUMBER(SEARCH("Transactional",IF(J629="NOT AVAILABLE","",J629))),ISNUMBER(SEARCH("Commercial",IF(J629="NOT AVAILABLE","",J629)))),25,IF(ISNUMBER(SEARCH("Informational",IF(J629="NOT AVAILABLE","",J629))),10,IF(ISNUMBER(SEARCH("Navigational",IF(J629="NOT AVAILABLE","",J629))),0,12))))</f>
        <v/>
      </c>
      <c r="Q629">
        <f>IF(ISNUMBER(F629),MIN(30,ROUND(30*LOG10(F629+1)/4,1)),0)</f>
        <v/>
      </c>
      <c r="R629">
        <f>IF(ISNUMBER(G629),ROUND(25*(100-G629)/100,1),12.5)</f>
        <v/>
      </c>
      <c r="S629" t="n">
        <v>20</v>
      </c>
      <c r="T629">
        <f>ROUND(P629+Q629+R629+S629,0)</f>
        <v/>
      </c>
      <c r="U629" s="5" t="inlineStr"/>
      <c r="V629" s="5" t="inlineStr"/>
    </row>
    <row r="630">
      <c r="A630" t="inlineStr">
        <is>
          <t>K0628</t>
        </is>
      </c>
      <c r="B630" t="inlineStr">
        <is>
          <t>développement web rabat</t>
        </is>
      </c>
      <c r="C630" t="inlineStr">
        <is>
          <t>Morocco</t>
        </is>
      </c>
      <c r="D630" t="inlineStr">
        <is>
          <t>ma</t>
        </is>
      </c>
      <c r="E630" t="inlineStr">
        <is>
          <t>fr</t>
        </is>
      </c>
      <c r="F630" t="n">
        <v>0</v>
      </c>
      <c r="G630" t="inlineStr">
        <is>
          <t>NOT AVAILABLE</t>
        </is>
      </c>
      <c r="H630" t="n">
        <v>0</v>
      </c>
      <c r="I630" t="n">
        <v>0</v>
      </c>
      <c r="J630" t="inlineStr">
        <is>
          <t>NOT AVAILABLE</t>
        </is>
      </c>
      <c r="K630" t="inlineStr">
        <is>
          <t>NOT AVAILABLE (report not requested)</t>
        </is>
      </c>
      <c r="L630" t="inlineStr">
        <is>
          <t>flat (no data)</t>
        </is>
      </c>
      <c r="M630" t="inlineStr">
        <is>
          <t>MEASURED</t>
        </is>
      </c>
      <c r="N630" s="5" t="inlineStr">
        <is>
          <t>Semrush phrase_these (live, this session)</t>
        </is>
      </c>
      <c r="O630" t="inlineStr">
        <is>
          <t>2026-10-30</t>
        </is>
      </c>
      <c r="P630">
        <f>IF(IF(J630="NOT AVAILABLE","",J630)="",12,IF(OR(ISNUMBER(SEARCH("Transactional",IF(J630="NOT AVAILABLE","",J630))),ISNUMBER(SEARCH("Commercial",IF(J630="NOT AVAILABLE","",J630)))),25,IF(ISNUMBER(SEARCH("Informational",IF(J630="NOT AVAILABLE","",J630))),10,IF(ISNUMBER(SEARCH("Navigational",IF(J630="NOT AVAILABLE","",J630))),0,12))))</f>
        <v/>
      </c>
      <c r="Q630">
        <f>IF(ISNUMBER(F630),MIN(30,ROUND(30*LOG10(F630+1)/4,1)),0)</f>
        <v/>
      </c>
      <c r="R630">
        <f>IF(ISNUMBER(G630),ROUND(25*(100-G630)/100,1),12.5)</f>
        <v/>
      </c>
      <c r="S630" t="n">
        <v>20</v>
      </c>
      <c r="T630">
        <f>ROUND(P630+Q630+R630+S630,0)</f>
        <v/>
      </c>
      <c r="U630" s="5" t="inlineStr"/>
      <c r="V630" s="5" t="inlineStr"/>
    </row>
    <row r="631">
      <c r="A631" t="inlineStr">
        <is>
          <t>K0629</t>
        </is>
      </c>
      <c r="B631" t="inlineStr">
        <is>
          <t>développement web tanger</t>
        </is>
      </c>
      <c r="C631" t="inlineStr">
        <is>
          <t>Morocco</t>
        </is>
      </c>
      <c r="D631" t="inlineStr">
        <is>
          <t>ma</t>
        </is>
      </c>
      <c r="E631" t="inlineStr">
        <is>
          <t>fr</t>
        </is>
      </c>
      <c r="F631" t="inlineStr">
        <is>
          <t>NOT AVAILABLE</t>
        </is>
      </c>
      <c r="G631" t="inlineStr">
        <is>
          <t>NOT AVAILABLE</t>
        </is>
      </c>
      <c r="H631" t="inlineStr">
        <is>
          <t>NOT AVAILABLE</t>
        </is>
      </c>
      <c r="I631" t="inlineStr">
        <is>
          <t>NOT AVAILABLE</t>
        </is>
      </c>
      <c r="J631" t="inlineStr">
        <is>
          <t>NOT AVAILABLE</t>
        </is>
      </c>
      <c r="K631" t="inlineStr">
        <is>
          <t>NOT AVAILABLE</t>
        </is>
      </c>
      <c r="L631" t="inlineStr">
        <is>
          <t>NOT AVAILABLE</t>
        </is>
      </c>
      <c r="M631" t="inlineStr">
        <is>
          <t>UNAVAILABLE</t>
        </is>
      </c>
      <c r="N631" s="5" t="inlineStr">
        <is>
          <t>Semrush phrase_these returned no data (not billed)</t>
        </is>
      </c>
      <c r="O631" t="inlineStr">
        <is>
          <t>2026-10-30</t>
        </is>
      </c>
      <c r="P631">
        <f>IF(IF(J631="NOT AVAILABLE","",J631)="",12,IF(OR(ISNUMBER(SEARCH("Transactional",IF(J631="NOT AVAILABLE","",J631))),ISNUMBER(SEARCH("Commercial",IF(J631="NOT AVAILABLE","",J631)))),25,IF(ISNUMBER(SEARCH("Informational",IF(J631="NOT AVAILABLE","",J631))),10,IF(ISNUMBER(SEARCH("Navigational",IF(J631="NOT AVAILABLE","",J631))),0,12))))</f>
        <v/>
      </c>
      <c r="Q631">
        <f>IF(ISNUMBER(F631),MIN(30,ROUND(30*LOG10(F631+1)/4,1)),0)</f>
        <v/>
      </c>
      <c r="R631">
        <f>IF(ISNUMBER(G631),ROUND(25*(100-G631)/100,1),12.5)</f>
        <v/>
      </c>
      <c r="S631" t="n">
        <v>20</v>
      </c>
      <c r="T631">
        <f>ROUND(P631+Q631+R631+S631,0)</f>
        <v/>
      </c>
      <c r="U631" s="5" t="inlineStr"/>
      <c r="V631" s="5" t="inlineStr"/>
    </row>
    <row r="632">
      <c r="A632" t="inlineStr">
        <is>
          <t>K0630</t>
        </is>
      </c>
      <c r="B632" t="inlineStr">
        <is>
          <t>développeur maroc</t>
        </is>
      </c>
      <c r="C632" t="inlineStr">
        <is>
          <t>Morocco</t>
        </is>
      </c>
      <c r="D632" t="inlineStr">
        <is>
          <t>ma</t>
        </is>
      </c>
      <c r="E632" t="inlineStr">
        <is>
          <t>fr</t>
        </is>
      </c>
      <c r="F632" t="inlineStr">
        <is>
          <t>NOT AVAILABLE</t>
        </is>
      </c>
      <c r="G632" t="inlineStr">
        <is>
          <t>NOT AVAILABLE</t>
        </is>
      </c>
      <c r="H632" t="inlineStr">
        <is>
          <t>NOT AVAILABLE</t>
        </is>
      </c>
      <c r="I632" t="inlineStr">
        <is>
          <t>NOT AVAILABLE</t>
        </is>
      </c>
      <c r="J632" t="inlineStr">
        <is>
          <t>NOT AVAILABLE</t>
        </is>
      </c>
      <c r="K632" t="inlineStr">
        <is>
          <t>NOT AVAILABLE</t>
        </is>
      </c>
      <c r="L632" t="inlineStr">
        <is>
          <t>NOT AVAILABLE</t>
        </is>
      </c>
      <c r="M632" t="inlineStr">
        <is>
          <t>SUGGESTED</t>
        </is>
      </c>
      <c r="N632" s="5" t="inlineStr">
        <is>
          <t>Analyst suggestion - not validated in Semrush</t>
        </is>
      </c>
      <c r="O632" t="inlineStr">
        <is>
          <t>NOT AVAILABLE</t>
        </is>
      </c>
      <c r="P632">
        <f>IF(IF(J632="NOT AVAILABLE","",J632)="",12,IF(OR(ISNUMBER(SEARCH("Transactional",IF(J632="NOT AVAILABLE","",J632))),ISNUMBER(SEARCH("Commercial",IF(J632="NOT AVAILABLE","",J632)))),25,IF(ISNUMBER(SEARCH("Informational",IF(J632="NOT AVAILABLE","",J632))),10,IF(ISNUMBER(SEARCH("Navigational",IF(J632="NOT AVAILABLE","",J632))),0,12))))</f>
        <v/>
      </c>
      <c r="Q632">
        <f>IF(ISNUMBER(F632),MIN(30,ROUND(30*LOG10(F632+1)/4,1)),0)</f>
        <v/>
      </c>
      <c r="R632">
        <f>IF(ISNUMBER(G632),ROUND(25*(100-G632)/100,1),12.5)</f>
        <v/>
      </c>
      <c r="S632" t="n">
        <v>20</v>
      </c>
      <c r="T632">
        <f>ROUND(P632+Q632+R632+S632,0)</f>
        <v/>
      </c>
      <c r="U632" s="5" t="inlineStr"/>
      <c r="V632" s="5" t="inlineStr"/>
    </row>
    <row r="633">
      <c r="A633" t="inlineStr">
        <is>
          <t>K0631</t>
        </is>
      </c>
      <c r="B633" t="inlineStr">
        <is>
          <t>développeur web freelance</t>
        </is>
      </c>
      <c r="C633" t="inlineStr">
        <is>
          <t>Morocco</t>
        </is>
      </c>
      <c r="D633" t="inlineStr">
        <is>
          <t>ma</t>
        </is>
      </c>
      <c r="E633" t="inlineStr">
        <is>
          <t>fr</t>
        </is>
      </c>
      <c r="F633" t="inlineStr">
        <is>
          <t>NOT AVAILABLE</t>
        </is>
      </c>
      <c r="G633" t="inlineStr">
        <is>
          <t>NOT AVAILABLE</t>
        </is>
      </c>
      <c r="H633" t="inlineStr">
        <is>
          <t>NOT AVAILABLE</t>
        </is>
      </c>
      <c r="I633" t="inlineStr">
        <is>
          <t>NOT AVAILABLE</t>
        </is>
      </c>
      <c r="J633" t="inlineStr">
        <is>
          <t>NOT AVAILABLE</t>
        </is>
      </c>
      <c r="K633" t="inlineStr">
        <is>
          <t>NOT AVAILABLE</t>
        </is>
      </c>
      <c r="L633" t="inlineStr">
        <is>
          <t>NOT AVAILABLE</t>
        </is>
      </c>
      <c r="M633" t="inlineStr">
        <is>
          <t>SUGGESTED</t>
        </is>
      </c>
      <c r="N633" s="5" t="inlineStr">
        <is>
          <t>Analyst suggestion - not validated in Semrush</t>
        </is>
      </c>
      <c r="O633" t="inlineStr">
        <is>
          <t>NOT AVAILABLE</t>
        </is>
      </c>
      <c r="P633">
        <f>IF(IF(J633="NOT AVAILABLE","",J633)="",12,IF(OR(ISNUMBER(SEARCH("Transactional",IF(J633="NOT AVAILABLE","",J633))),ISNUMBER(SEARCH("Commercial",IF(J633="NOT AVAILABLE","",J633)))),25,IF(ISNUMBER(SEARCH("Informational",IF(J633="NOT AVAILABLE","",J633))),10,IF(ISNUMBER(SEARCH("Navigational",IF(J633="NOT AVAILABLE","",J633))),0,12))))</f>
        <v/>
      </c>
      <c r="Q633">
        <f>IF(ISNUMBER(F633),MIN(30,ROUND(30*LOG10(F633+1)/4,1)),0)</f>
        <v/>
      </c>
      <c r="R633">
        <f>IF(ISNUMBER(G633),ROUND(25*(100-G633)/100,1),12.5)</f>
        <v/>
      </c>
      <c r="S633" t="n">
        <v>20</v>
      </c>
      <c r="T633">
        <f>ROUND(P633+Q633+R633+S633,0)</f>
        <v/>
      </c>
      <c r="U633" s="5" t="inlineStr"/>
      <c r="V633" s="5" t="inlineStr"/>
    </row>
    <row r="634">
      <c r="A634" t="inlineStr">
        <is>
          <t>K0632</t>
        </is>
      </c>
      <c r="B634" t="inlineStr">
        <is>
          <t>développeur web tanger</t>
        </is>
      </c>
      <c r="C634" t="inlineStr">
        <is>
          <t>Morocco</t>
        </is>
      </c>
      <c r="D634" t="inlineStr">
        <is>
          <t>ma</t>
        </is>
      </c>
      <c r="E634" t="inlineStr">
        <is>
          <t>fr</t>
        </is>
      </c>
      <c r="F634" t="n">
        <v>0</v>
      </c>
      <c r="G634" t="inlineStr">
        <is>
          <t>NOT AVAILABLE</t>
        </is>
      </c>
      <c r="H634" t="n">
        <v>0</v>
      </c>
      <c r="I634" t="n">
        <v>0</v>
      </c>
      <c r="J634" t="inlineStr">
        <is>
          <t>NOT AVAILABLE</t>
        </is>
      </c>
      <c r="K634" t="inlineStr">
        <is>
          <t>NOT AVAILABLE (report not requested)</t>
        </is>
      </c>
      <c r="L634" t="inlineStr">
        <is>
          <t>flat (no data)</t>
        </is>
      </c>
      <c r="M634" t="inlineStr">
        <is>
          <t>MEASURED</t>
        </is>
      </c>
      <c r="N634" s="5" t="inlineStr">
        <is>
          <t>Semrush phrase_these (live, this session)</t>
        </is>
      </c>
      <c r="O634" t="inlineStr">
        <is>
          <t>2026-10-30</t>
        </is>
      </c>
      <c r="P634">
        <f>IF(IF(J634="NOT AVAILABLE","",J634)="",12,IF(OR(ISNUMBER(SEARCH("Transactional",IF(J634="NOT AVAILABLE","",J634))),ISNUMBER(SEARCH("Commercial",IF(J634="NOT AVAILABLE","",J634)))),25,IF(ISNUMBER(SEARCH("Informational",IF(J634="NOT AVAILABLE","",J634))),10,IF(ISNUMBER(SEARCH("Navigational",IF(J634="NOT AVAILABLE","",J634))),0,12))))</f>
        <v/>
      </c>
      <c r="Q634">
        <f>IF(ISNUMBER(F634),MIN(30,ROUND(30*LOG10(F634+1)/4,1)),0)</f>
        <v/>
      </c>
      <c r="R634">
        <f>IF(ISNUMBER(G634),ROUND(25*(100-G634)/100,1),12.5)</f>
        <v/>
      </c>
      <c r="S634" t="n">
        <v>20</v>
      </c>
      <c r="T634">
        <f>ROUND(P634+Q634+R634+S634,0)</f>
        <v/>
      </c>
      <c r="U634" s="5" t="inlineStr"/>
      <c r="V634" s="5" t="inlineStr"/>
    </row>
    <row r="635">
      <c r="A635" t="inlineStr">
        <is>
          <t>K0633</t>
        </is>
      </c>
      <c r="B635" t="inlineStr">
        <is>
          <t>e-e-a-t</t>
        </is>
      </c>
      <c r="C635" t="inlineStr">
        <is>
          <t>Morocco</t>
        </is>
      </c>
      <c r="D635" t="inlineStr">
        <is>
          <t>ma</t>
        </is>
      </c>
      <c r="E635" t="inlineStr">
        <is>
          <t>fr</t>
        </is>
      </c>
      <c r="F635" t="inlineStr">
        <is>
          <t>NOT AVAILABLE</t>
        </is>
      </c>
      <c r="G635" t="inlineStr">
        <is>
          <t>NOT AVAILABLE</t>
        </is>
      </c>
      <c r="H635" t="inlineStr">
        <is>
          <t>NOT AVAILABLE</t>
        </is>
      </c>
      <c r="I635" t="inlineStr">
        <is>
          <t>NOT AVAILABLE</t>
        </is>
      </c>
      <c r="J635" t="inlineStr">
        <is>
          <t>NOT AVAILABLE</t>
        </is>
      </c>
      <c r="K635" t="inlineStr">
        <is>
          <t>NOT AVAILABLE</t>
        </is>
      </c>
      <c r="L635" t="inlineStr">
        <is>
          <t>NOT AVAILABLE</t>
        </is>
      </c>
      <c r="M635" t="inlineStr">
        <is>
          <t>UNAVAILABLE</t>
        </is>
      </c>
      <c r="N635" s="5" t="inlineStr">
        <is>
          <t>Semrush phrase_these returned no data (not billed)</t>
        </is>
      </c>
      <c r="O635" t="inlineStr">
        <is>
          <t>2026-10-30</t>
        </is>
      </c>
      <c r="P635">
        <f>IF(IF(J635="NOT AVAILABLE","",J635)="",12,IF(OR(ISNUMBER(SEARCH("Transactional",IF(J635="NOT AVAILABLE","",J635))),ISNUMBER(SEARCH("Commercial",IF(J635="NOT AVAILABLE","",J635)))),25,IF(ISNUMBER(SEARCH("Informational",IF(J635="NOT AVAILABLE","",J635))),10,IF(ISNUMBER(SEARCH("Navigational",IF(J635="NOT AVAILABLE","",J635))),0,12))))</f>
        <v/>
      </c>
      <c r="Q635">
        <f>IF(ISNUMBER(F635),MIN(30,ROUND(30*LOG10(F635+1)/4,1)),0)</f>
        <v/>
      </c>
      <c r="R635">
        <f>IF(ISNUMBER(G635),ROUND(25*(100-G635)/100,1),12.5)</f>
        <v/>
      </c>
      <c r="S635" t="n">
        <v>20</v>
      </c>
      <c r="T635">
        <f>ROUND(P635+Q635+R635+S635,0)</f>
        <v/>
      </c>
      <c r="U635" s="5" t="inlineStr"/>
      <c r="V635" s="5" t="inlineStr"/>
    </row>
    <row r="636">
      <c r="A636" t="inlineStr">
        <is>
          <t>K0634</t>
        </is>
      </c>
      <c r="B636" t="inlineStr">
        <is>
          <t>eeat seo</t>
        </is>
      </c>
      <c r="C636" t="inlineStr">
        <is>
          <t>Morocco</t>
        </is>
      </c>
      <c r="D636" t="inlineStr">
        <is>
          <t>ma</t>
        </is>
      </c>
      <c r="E636" t="inlineStr">
        <is>
          <t>fr</t>
        </is>
      </c>
      <c r="F636" t="inlineStr">
        <is>
          <t>NOT AVAILABLE</t>
        </is>
      </c>
      <c r="G636" t="inlineStr">
        <is>
          <t>NOT AVAILABLE</t>
        </is>
      </c>
      <c r="H636" t="inlineStr">
        <is>
          <t>NOT AVAILABLE</t>
        </is>
      </c>
      <c r="I636" t="inlineStr">
        <is>
          <t>NOT AVAILABLE</t>
        </is>
      </c>
      <c r="J636" t="inlineStr">
        <is>
          <t>NOT AVAILABLE</t>
        </is>
      </c>
      <c r="K636" t="inlineStr">
        <is>
          <t>NOT AVAILABLE</t>
        </is>
      </c>
      <c r="L636" t="inlineStr">
        <is>
          <t>NOT AVAILABLE</t>
        </is>
      </c>
      <c r="M636" t="inlineStr">
        <is>
          <t>UNAVAILABLE</t>
        </is>
      </c>
      <c r="N636" s="5" t="inlineStr">
        <is>
          <t>Semrush phrase_these returned no data (not billed)</t>
        </is>
      </c>
      <c r="O636" t="inlineStr">
        <is>
          <t>2026-10-30</t>
        </is>
      </c>
      <c r="P636">
        <f>IF(IF(J636="NOT AVAILABLE","",J636)="",12,IF(OR(ISNUMBER(SEARCH("Transactional",IF(J636="NOT AVAILABLE","",J636))),ISNUMBER(SEARCH("Commercial",IF(J636="NOT AVAILABLE","",J636)))),25,IF(ISNUMBER(SEARCH("Informational",IF(J636="NOT AVAILABLE","",J636))),10,IF(ISNUMBER(SEARCH("Navigational",IF(J636="NOT AVAILABLE","",J636))),0,12))))</f>
        <v/>
      </c>
      <c r="Q636">
        <f>IF(ISNUMBER(F636),MIN(30,ROUND(30*LOG10(F636+1)/4,1)),0)</f>
        <v/>
      </c>
      <c r="R636">
        <f>IF(ISNUMBER(G636),ROUND(25*(100-G636)/100,1),12.5)</f>
        <v/>
      </c>
      <c r="S636" t="n">
        <v>20</v>
      </c>
      <c r="T636">
        <f>ROUND(P636+Q636+R636+S636,0)</f>
        <v/>
      </c>
      <c r="U636" s="5" t="inlineStr"/>
      <c r="V636" s="5" t="inlineStr"/>
    </row>
    <row r="637">
      <c r="A637" t="inlineStr">
        <is>
          <t>K0635</t>
        </is>
      </c>
      <c r="B637" t="inlineStr">
        <is>
          <t>en-têtes de sécurité</t>
        </is>
      </c>
      <c r="C637" t="inlineStr">
        <is>
          <t>Morocco</t>
        </is>
      </c>
      <c r="D637" t="inlineStr">
        <is>
          <t>ma</t>
        </is>
      </c>
      <c r="E637" t="inlineStr">
        <is>
          <t>fr</t>
        </is>
      </c>
      <c r="F637" t="inlineStr">
        <is>
          <t>NOT AVAILABLE</t>
        </is>
      </c>
      <c r="G637" t="inlineStr">
        <is>
          <t>NOT AVAILABLE</t>
        </is>
      </c>
      <c r="H637" t="inlineStr">
        <is>
          <t>NOT AVAILABLE</t>
        </is>
      </c>
      <c r="I637" t="inlineStr">
        <is>
          <t>NOT AVAILABLE</t>
        </is>
      </c>
      <c r="J637" t="inlineStr">
        <is>
          <t>NOT AVAILABLE</t>
        </is>
      </c>
      <c r="K637" t="inlineStr">
        <is>
          <t>NOT AVAILABLE</t>
        </is>
      </c>
      <c r="L637" t="inlineStr">
        <is>
          <t>NOT AVAILABLE</t>
        </is>
      </c>
      <c r="M637" t="inlineStr">
        <is>
          <t>UNAVAILABLE</t>
        </is>
      </c>
      <c r="N637" s="5" t="inlineStr">
        <is>
          <t>Semrush phrase_these returned no data (not billed)</t>
        </is>
      </c>
      <c r="O637" t="inlineStr">
        <is>
          <t>2026-10-30</t>
        </is>
      </c>
      <c r="P637">
        <f>IF(IF(J637="NOT AVAILABLE","",J637)="",12,IF(OR(ISNUMBER(SEARCH("Transactional",IF(J637="NOT AVAILABLE","",J637))),ISNUMBER(SEARCH("Commercial",IF(J637="NOT AVAILABLE","",J637)))),25,IF(ISNUMBER(SEARCH("Informational",IF(J637="NOT AVAILABLE","",J637))),10,IF(ISNUMBER(SEARCH("Navigational",IF(J637="NOT AVAILABLE","",J637))),0,12))))</f>
        <v/>
      </c>
      <c r="Q637">
        <f>IF(ISNUMBER(F637),MIN(30,ROUND(30*LOG10(F637+1)/4,1)),0)</f>
        <v/>
      </c>
      <c r="R637">
        <f>IF(ISNUMBER(G637),ROUND(25*(100-G637)/100,1),12.5)</f>
        <v/>
      </c>
      <c r="S637" t="n">
        <v>20</v>
      </c>
      <c r="T637">
        <f>ROUND(P637+Q637+R637+S637,0)</f>
        <v/>
      </c>
      <c r="U637" s="5" t="inlineStr"/>
      <c r="V637" s="5" t="inlineStr"/>
    </row>
    <row r="638">
      <c r="A638" t="inlineStr">
        <is>
          <t>K0636</t>
        </is>
      </c>
      <c r="B638" t="inlineStr">
        <is>
          <t>encodeur base64</t>
        </is>
      </c>
      <c r="C638" t="inlineStr">
        <is>
          <t>Morocco</t>
        </is>
      </c>
      <c r="D638" t="inlineStr">
        <is>
          <t>ma</t>
        </is>
      </c>
      <c r="E638" t="inlineStr">
        <is>
          <t>fr</t>
        </is>
      </c>
      <c r="F638" t="inlineStr">
        <is>
          <t>NOT AVAILABLE</t>
        </is>
      </c>
      <c r="G638" t="inlineStr">
        <is>
          <t>NOT AVAILABLE</t>
        </is>
      </c>
      <c r="H638" t="inlineStr">
        <is>
          <t>NOT AVAILABLE</t>
        </is>
      </c>
      <c r="I638" t="inlineStr">
        <is>
          <t>NOT AVAILABLE</t>
        </is>
      </c>
      <c r="J638" t="inlineStr">
        <is>
          <t>NOT AVAILABLE</t>
        </is>
      </c>
      <c r="K638" t="inlineStr">
        <is>
          <t>NOT AVAILABLE</t>
        </is>
      </c>
      <c r="L638" t="inlineStr">
        <is>
          <t>NOT AVAILABLE</t>
        </is>
      </c>
      <c r="M638" t="inlineStr">
        <is>
          <t>UNAVAILABLE</t>
        </is>
      </c>
      <c r="N638" s="5" t="inlineStr">
        <is>
          <t>Semrush phrase_these returned no data (not billed)</t>
        </is>
      </c>
      <c r="O638" t="inlineStr">
        <is>
          <t>2026-10-30</t>
        </is>
      </c>
      <c r="P638">
        <f>IF(IF(J638="NOT AVAILABLE","",J638)="",12,IF(OR(ISNUMBER(SEARCH("Transactional",IF(J638="NOT AVAILABLE","",J638))),ISNUMBER(SEARCH("Commercial",IF(J638="NOT AVAILABLE","",J638)))),25,IF(ISNUMBER(SEARCH("Informational",IF(J638="NOT AVAILABLE","",J638))),10,IF(ISNUMBER(SEARCH("Navigational",IF(J638="NOT AVAILABLE","",J638))),0,12))))</f>
        <v/>
      </c>
      <c r="Q638">
        <f>IF(ISNUMBER(F638),MIN(30,ROUND(30*LOG10(F638+1)/4,1)),0)</f>
        <v/>
      </c>
      <c r="R638">
        <f>IF(ISNUMBER(G638),ROUND(25*(100-G638)/100,1),12.5)</f>
        <v/>
      </c>
      <c r="S638" t="n">
        <v>20</v>
      </c>
      <c r="T638">
        <f>ROUND(P638+Q638+R638+S638,0)</f>
        <v/>
      </c>
      <c r="U638" s="5" t="inlineStr"/>
      <c r="V638" s="5" t="inlineStr"/>
    </row>
    <row r="639">
      <c r="A639" t="inlineStr">
        <is>
          <t>K0637</t>
        </is>
      </c>
      <c r="B639" t="inlineStr">
        <is>
          <t>entreprise création site web maroc</t>
        </is>
      </c>
      <c r="C639" t="inlineStr">
        <is>
          <t>Morocco</t>
        </is>
      </c>
      <c r="D639" t="inlineStr">
        <is>
          <t>ma</t>
        </is>
      </c>
      <c r="E639" t="inlineStr">
        <is>
          <t>fr</t>
        </is>
      </c>
      <c r="F639" t="inlineStr">
        <is>
          <t>NOT AVAILABLE</t>
        </is>
      </c>
      <c r="G639" t="inlineStr">
        <is>
          <t>NOT AVAILABLE</t>
        </is>
      </c>
      <c r="H639" t="inlineStr">
        <is>
          <t>NOT AVAILABLE</t>
        </is>
      </c>
      <c r="I639" t="inlineStr">
        <is>
          <t>NOT AVAILABLE</t>
        </is>
      </c>
      <c r="J639" t="inlineStr">
        <is>
          <t>NOT AVAILABLE</t>
        </is>
      </c>
      <c r="K639" t="inlineStr">
        <is>
          <t>NOT AVAILABLE</t>
        </is>
      </c>
      <c r="L639" t="inlineStr">
        <is>
          <t>NOT AVAILABLE</t>
        </is>
      </c>
      <c r="M639" t="inlineStr">
        <is>
          <t>UNAVAILABLE</t>
        </is>
      </c>
      <c r="N639" s="5" t="inlineStr">
        <is>
          <t>Semrush phrase_these returned no data (not billed)</t>
        </is>
      </c>
      <c r="O639" t="inlineStr">
        <is>
          <t>2026-10-30</t>
        </is>
      </c>
      <c r="P639">
        <f>IF(IF(J639="NOT AVAILABLE","",J639)="",12,IF(OR(ISNUMBER(SEARCH("Transactional",IF(J639="NOT AVAILABLE","",J639))),ISNUMBER(SEARCH("Commercial",IF(J639="NOT AVAILABLE","",J639)))),25,IF(ISNUMBER(SEARCH("Informational",IF(J639="NOT AVAILABLE","",J639))),10,IF(ISNUMBER(SEARCH("Navigational",IF(J639="NOT AVAILABLE","",J639))),0,12))))</f>
        <v/>
      </c>
      <c r="Q639">
        <f>IF(ISNUMBER(F639),MIN(30,ROUND(30*LOG10(F639+1)/4,1)),0)</f>
        <v/>
      </c>
      <c r="R639">
        <f>IF(ISNUMBER(G639),ROUND(25*(100-G639)/100,1),12.5)</f>
        <v/>
      </c>
      <c r="S639" t="n">
        <v>20</v>
      </c>
      <c r="T639">
        <f>ROUND(P639+Q639+R639+S639,0)</f>
        <v/>
      </c>
      <c r="U639" s="5" t="inlineStr"/>
      <c r="V639" s="5" t="inlineStr"/>
    </row>
    <row r="640">
      <c r="A640" t="inlineStr">
        <is>
          <t>K0638</t>
        </is>
      </c>
      <c r="B640" t="inlineStr">
        <is>
          <t>exemple site web professionnel</t>
        </is>
      </c>
      <c r="C640" t="inlineStr">
        <is>
          <t>Morocco</t>
        </is>
      </c>
      <c r="D640" t="inlineStr">
        <is>
          <t>ma</t>
        </is>
      </c>
      <c r="E640" t="inlineStr">
        <is>
          <t>fr</t>
        </is>
      </c>
      <c r="F640" t="n">
        <v>0</v>
      </c>
      <c r="G640" t="inlineStr">
        <is>
          <t>NOT AVAILABLE</t>
        </is>
      </c>
      <c r="H640" t="n">
        <v>0</v>
      </c>
      <c r="I640" t="n">
        <v>0</v>
      </c>
      <c r="J640" t="inlineStr">
        <is>
          <t>NOT AVAILABLE</t>
        </is>
      </c>
      <c r="K640" t="inlineStr">
        <is>
          <t>NOT AVAILABLE (report not requested)</t>
        </is>
      </c>
      <c r="L640" t="inlineStr">
        <is>
          <t>flat (no data)</t>
        </is>
      </c>
      <c r="M640" t="inlineStr">
        <is>
          <t>MEASURED</t>
        </is>
      </c>
      <c r="N640" s="5" t="inlineStr">
        <is>
          <t>Semrush phrase_these (live, this session)</t>
        </is>
      </c>
      <c r="O640" t="inlineStr">
        <is>
          <t>2026-10-30</t>
        </is>
      </c>
      <c r="P640">
        <f>IF(IF(J640="NOT AVAILABLE","",J640)="",12,IF(OR(ISNUMBER(SEARCH("Transactional",IF(J640="NOT AVAILABLE","",J640))),ISNUMBER(SEARCH("Commercial",IF(J640="NOT AVAILABLE","",J640)))),25,IF(ISNUMBER(SEARCH("Informational",IF(J640="NOT AVAILABLE","",J640))),10,IF(ISNUMBER(SEARCH("Navigational",IF(J640="NOT AVAILABLE","",J640))),0,12))))</f>
        <v/>
      </c>
      <c r="Q640">
        <f>IF(ISNUMBER(F640),MIN(30,ROUND(30*LOG10(F640+1)/4,1)),0)</f>
        <v/>
      </c>
      <c r="R640">
        <f>IF(ISNUMBER(G640),ROUND(25*(100-G640)/100,1),12.5)</f>
        <v/>
      </c>
      <c r="S640" t="n">
        <v>20</v>
      </c>
      <c r="T640">
        <f>ROUND(P640+Q640+R640+S640,0)</f>
        <v/>
      </c>
      <c r="U640" s="5" t="inlineStr"/>
      <c r="V640" s="5" t="inlineStr"/>
    </row>
    <row r="641">
      <c r="A641" t="inlineStr">
        <is>
          <t>K0639</t>
        </is>
      </c>
      <c r="B641" t="inlineStr">
        <is>
          <t>externalisation développement web</t>
        </is>
      </c>
      <c r="C641" t="inlineStr">
        <is>
          <t>Morocco</t>
        </is>
      </c>
      <c r="D641" t="inlineStr">
        <is>
          <t>ma</t>
        </is>
      </c>
      <c r="E641" t="inlineStr">
        <is>
          <t>fr</t>
        </is>
      </c>
      <c r="F641" t="inlineStr">
        <is>
          <t>NOT AVAILABLE</t>
        </is>
      </c>
      <c r="G641" t="inlineStr">
        <is>
          <t>NOT AVAILABLE</t>
        </is>
      </c>
      <c r="H641" t="inlineStr">
        <is>
          <t>NOT AVAILABLE</t>
        </is>
      </c>
      <c r="I641" t="inlineStr">
        <is>
          <t>NOT AVAILABLE</t>
        </is>
      </c>
      <c r="J641" t="inlineStr">
        <is>
          <t>NOT AVAILABLE</t>
        </is>
      </c>
      <c r="K641" t="inlineStr">
        <is>
          <t>NOT AVAILABLE</t>
        </is>
      </c>
      <c r="L641" t="inlineStr">
        <is>
          <t>NOT AVAILABLE</t>
        </is>
      </c>
      <c r="M641" t="inlineStr">
        <is>
          <t>SUGGESTED</t>
        </is>
      </c>
      <c r="N641" s="5" t="inlineStr">
        <is>
          <t>Analyst suggestion - not validated in Semrush</t>
        </is>
      </c>
      <c r="O641" t="inlineStr">
        <is>
          <t>NOT AVAILABLE</t>
        </is>
      </c>
      <c r="P641">
        <f>IF(IF(J641="NOT AVAILABLE","",J641)="",12,IF(OR(ISNUMBER(SEARCH("Transactional",IF(J641="NOT AVAILABLE","",J641))),ISNUMBER(SEARCH("Commercial",IF(J641="NOT AVAILABLE","",J641)))),25,IF(ISNUMBER(SEARCH("Informational",IF(J641="NOT AVAILABLE","",J641))),10,IF(ISNUMBER(SEARCH("Navigational",IF(J641="NOT AVAILABLE","",J641))),0,12))))</f>
        <v/>
      </c>
      <c r="Q641">
        <f>IF(ISNUMBER(F641),MIN(30,ROUND(30*LOG10(F641+1)/4,1)),0)</f>
        <v/>
      </c>
      <c r="R641">
        <f>IF(ISNUMBER(G641),ROUND(25*(100-G641)/100,1),12.5)</f>
        <v/>
      </c>
      <c r="S641" t="n">
        <v>20</v>
      </c>
      <c r="T641">
        <f>ROUND(P641+Q641+R641+S641,0)</f>
        <v/>
      </c>
      <c r="U641" s="5" t="inlineStr"/>
      <c r="V641" s="5" t="inlineStr"/>
    </row>
    <row r="642">
      <c r="A642" t="inlineStr">
        <is>
          <t>K0640</t>
        </is>
      </c>
      <c r="B642" t="inlineStr">
        <is>
          <t>externalisation développement web maroc</t>
        </is>
      </c>
      <c r="C642" t="inlineStr">
        <is>
          <t>Morocco</t>
        </is>
      </c>
      <c r="D642" t="inlineStr">
        <is>
          <t>ma</t>
        </is>
      </c>
      <c r="E642" t="inlineStr">
        <is>
          <t>fr</t>
        </is>
      </c>
      <c r="F642" t="inlineStr">
        <is>
          <t>NOT AVAILABLE</t>
        </is>
      </c>
      <c r="G642" t="inlineStr">
        <is>
          <t>NOT AVAILABLE</t>
        </is>
      </c>
      <c r="H642" t="inlineStr">
        <is>
          <t>NOT AVAILABLE</t>
        </is>
      </c>
      <c r="I642" t="inlineStr">
        <is>
          <t>NOT AVAILABLE</t>
        </is>
      </c>
      <c r="J642" t="inlineStr">
        <is>
          <t>NOT AVAILABLE</t>
        </is>
      </c>
      <c r="K642" t="inlineStr">
        <is>
          <t>NOT AVAILABLE</t>
        </is>
      </c>
      <c r="L642" t="inlineStr">
        <is>
          <t>NOT AVAILABLE</t>
        </is>
      </c>
      <c r="M642" t="inlineStr">
        <is>
          <t>UNAVAILABLE</t>
        </is>
      </c>
      <c r="N642" s="5" t="inlineStr">
        <is>
          <t>Semrush phrase_these returned no data (not billed)</t>
        </is>
      </c>
      <c r="O642" t="inlineStr">
        <is>
          <t>2026-10-30</t>
        </is>
      </c>
      <c r="P642">
        <f>IF(IF(J642="NOT AVAILABLE","",J642)="",12,IF(OR(ISNUMBER(SEARCH("Transactional",IF(J642="NOT AVAILABLE","",J642))),ISNUMBER(SEARCH("Commercial",IF(J642="NOT AVAILABLE","",J642)))),25,IF(ISNUMBER(SEARCH("Informational",IF(J642="NOT AVAILABLE","",J642))),10,IF(ISNUMBER(SEARCH("Navigational",IF(J642="NOT AVAILABLE","",J642))),0,12))))</f>
        <v/>
      </c>
      <c r="Q642">
        <f>IF(ISNUMBER(F642),MIN(30,ROUND(30*LOG10(F642+1)/4,1)),0)</f>
        <v/>
      </c>
      <c r="R642">
        <f>IF(ISNUMBER(G642),ROUND(25*(100-G642)/100,1),12.5)</f>
        <v/>
      </c>
      <c r="S642" t="n">
        <v>20</v>
      </c>
      <c r="T642">
        <f>ROUND(P642+Q642+R642+S642,0)</f>
        <v/>
      </c>
      <c r="U642" s="5" t="inlineStr"/>
      <c r="V642" s="5" t="inlineStr"/>
    </row>
    <row r="643">
      <c r="A643" t="inlineStr">
        <is>
          <t>K0641</t>
        </is>
      </c>
      <c r="B643" t="inlineStr">
        <is>
          <t>extracteur de domaine</t>
        </is>
      </c>
      <c r="C643" t="inlineStr">
        <is>
          <t>Morocco</t>
        </is>
      </c>
      <c r="D643" t="inlineStr">
        <is>
          <t>ma</t>
        </is>
      </c>
      <c r="E643" t="inlineStr">
        <is>
          <t>fr</t>
        </is>
      </c>
      <c r="F643" t="inlineStr">
        <is>
          <t>NOT AVAILABLE</t>
        </is>
      </c>
      <c r="G643" t="inlineStr">
        <is>
          <t>NOT AVAILABLE</t>
        </is>
      </c>
      <c r="H643" t="inlineStr">
        <is>
          <t>NOT AVAILABLE</t>
        </is>
      </c>
      <c r="I643" t="inlineStr">
        <is>
          <t>NOT AVAILABLE</t>
        </is>
      </c>
      <c r="J643" t="inlineStr">
        <is>
          <t>NOT AVAILABLE</t>
        </is>
      </c>
      <c r="K643" t="inlineStr">
        <is>
          <t>NOT AVAILABLE</t>
        </is>
      </c>
      <c r="L643" t="inlineStr">
        <is>
          <t>NOT AVAILABLE</t>
        </is>
      </c>
      <c r="M643" t="inlineStr">
        <is>
          <t>UNAVAILABLE</t>
        </is>
      </c>
      <c r="N643" s="5" t="inlineStr">
        <is>
          <t>Semrush phrase_these returned no data (not billed)</t>
        </is>
      </c>
      <c r="O643" t="inlineStr">
        <is>
          <t>2026-10-30</t>
        </is>
      </c>
      <c r="P643">
        <f>IF(IF(J643="NOT AVAILABLE","",J643)="",12,IF(OR(ISNUMBER(SEARCH("Transactional",IF(J643="NOT AVAILABLE","",J643))),ISNUMBER(SEARCH("Commercial",IF(J643="NOT AVAILABLE","",J643)))),25,IF(ISNUMBER(SEARCH("Informational",IF(J643="NOT AVAILABLE","",J643))),10,IF(ISNUMBER(SEARCH("Navigational",IF(J643="NOT AVAILABLE","",J643))),0,12))))</f>
        <v/>
      </c>
      <c r="Q643">
        <f>IF(ISNUMBER(F643),MIN(30,ROUND(30*LOG10(F643+1)/4,1)),0)</f>
        <v/>
      </c>
      <c r="R643">
        <f>IF(ISNUMBER(G643),ROUND(25*(100-G643)/100,1),12.5)</f>
        <v/>
      </c>
      <c r="S643" t="n">
        <v>20</v>
      </c>
      <c r="T643">
        <f>ROUND(P643+Q643+R643+S643,0)</f>
        <v/>
      </c>
      <c r="U643" s="5" t="inlineStr"/>
      <c r="V643" s="5" t="inlineStr"/>
    </row>
    <row r="644">
      <c r="A644" t="inlineStr">
        <is>
          <t>K0642</t>
        </is>
      </c>
      <c r="B644" t="inlineStr">
        <is>
          <t>extracteur meta</t>
        </is>
      </c>
      <c r="C644" t="inlineStr">
        <is>
          <t>Morocco</t>
        </is>
      </c>
      <c r="D644" t="inlineStr">
        <is>
          <t>ma</t>
        </is>
      </c>
      <c r="E644" t="inlineStr">
        <is>
          <t>fr</t>
        </is>
      </c>
      <c r="F644" t="inlineStr">
        <is>
          <t>NOT AVAILABLE</t>
        </is>
      </c>
      <c r="G644" t="inlineStr">
        <is>
          <t>NOT AVAILABLE</t>
        </is>
      </c>
      <c r="H644" t="inlineStr">
        <is>
          <t>NOT AVAILABLE</t>
        </is>
      </c>
      <c r="I644" t="inlineStr">
        <is>
          <t>NOT AVAILABLE</t>
        </is>
      </c>
      <c r="J644" t="inlineStr">
        <is>
          <t>NOT AVAILABLE</t>
        </is>
      </c>
      <c r="K644" t="inlineStr">
        <is>
          <t>NOT AVAILABLE</t>
        </is>
      </c>
      <c r="L644" t="inlineStr">
        <is>
          <t>NOT AVAILABLE</t>
        </is>
      </c>
      <c r="M644" t="inlineStr">
        <is>
          <t>UNAVAILABLE</t>
        </is>
      </c>
      <c r="N644" s="5" t="inlineStr">
        <is>
          <t>Semrush phrase_these returned no data (not billed)</t>
        </is>
      </c>
      <c r="O644" t="inlineStr">
        <is>
          <t>2026-10-30</t>
        </is>
      </c>
      <c r="P644">
        <f>IF(IF(J644="NOT AVAILABLE","",J644)="",12,IF(OR(ISNUMBER(SEARCH("Transactional",IF(J644="NOT AVAILABLE","",J644))),ISNUMBER(SEARCH("Commercial",IF(J644="NOT AVAILABLE","",J644)))),25,IF(ISNUMBER(SEARCH("Informational",IF(J644="NOT AVAILABLE","",J644))),10,IF(ISNUMBER(SEARCH("Navigational",IF(J644="NOT AVAILABLE","",J644))),0,12))))</f>
        <v/>
      </c>
      <c r="Q644">
        <f>IF(ISNUMBER(F644),MIN(30,ROUND(30*LOG10(F644+1)/4,1)),0)</f>
        <v/>
      </c>
      <c r="R644">
        <f>IF(ISNUMBER(G644),ROUND(25*(100-G644)/100,1),12.5)</f>
        <v/>
      </c>
      <c r="S644" t="n">
        <v>20</v>
      </c>
      <c r="T644">
        <f>ROUND(P644+Q644+R644+S644,0)</f>
        <v/>
      </c>
      <c r="U644" s="5" t="inlineStr"/>
      <c r="V644" s="5" t="inlineStr"/>
    </row>
    <row r="645">
      <c r="A645" t="inlineStr">
        <is>
          <t>K0643</t>
        </is>
      </c>
      <c r="B645" t="inlineStr">
        <is>
          <t>extraire balises title</t>
        </is>
      </c>
      <c r="C645" t="inlineStr">
        <is>
          <t>Morocco</t>
        </is>
      </c>
      <c r="D645" t="inlineStr">
        <is>
          <t>ma</t>
        </is>
      </c>
      <c r="E645" t="inlineStr">
        <is>
          <t>fr</t>
        </is>
      </c>
      <c r="F645" t="inlineStr">
        <is>
          <t>NOT AVAILABLE</t>
        </is>
      </c>
      <c r="G645" t="inlineStr">
        <is>
          <t>NOT AVAILABLE</t>
        </is>
      </c>
      <c r="H645" t="inlineStr">
        <is>
          <t>NOT AVAILABLE</t>
        </is>
      </c>
      <c r="I645" t="inlineStr">
        <is>
          <t>NOT AVAILABLE</t>
        </is>
      </c>
      <c r="J645" t="inlineStr">
        <is>
          <t>NOT AVAILABLE</t>
        </is>
      </c>
      <c r="K645" t="inlineStr">
        <is>
          <t>NOT AVAILABLE</t>
        </is>
      </c>
      <c r="L645" t="inlineStr">
        <is>
          <t>NOT AVAILABLE</t>
        </is>
      </c>
      <c r="M645" t="inlineStr">
        <is>
          <t>UNAVAILABLE</t>
        </is>
      </c>
      <c r="N645" s="5" t="inlineStr">
        <is>
          <t>Semrush phrase_these returned no data (not billed)</t>
        </is>
      </c>
      <c r="O645" t="inlineStr">
        <is>
          <t>2026-10-30</t>
        </is>
      </c>
      <c r="P645">
        <f>IF(IF(J645="NOT AVAILABLE","",J645)="",12,IF(OR(ISNUMBER(SEARCH("Transactional",IF(J645="NOT AVAILABLE","",J645))),ISNUMBER(SEARCH("Commercial",IF(J645="NOT AVAILABLE","",J645)))),25,IF(ISNUMBER(SEARCH("Informational",IF(J645="NOT AVAILABLE","",J645))),10,IF(ISNUMBER(SEARCH("Navigational",IF(J645="NOT AVAILABLE","",J645))),0,12))))</f>
        <v/>
      </c>
      <c r="Q645">
        <f>IF(ISNUMBER(F645),MIN(30,ROUND(30*LOG10(F645+1)/4,1)),0)</f>
        <v/>
      </c>
      <c r="R645">
        <f>IF(ISNUMBER(G645),ROUND(25*(100-G645)/100,1),12.5)</f>
        <v/>
      </c>
      <c r="S645" t="n">
        <v>20</v>
      </c>
      <c r="T645">
        <f>ROUND(P645+Q645+R645+S645,0)</f>
        <v/>
      </c>
      <c r="U645" s="5" t="inlineStr"/>
      <c r="V645" s="5" t="inlineStr"/>
    </row>
    <row r="646">
      <c r="A646" t="inlineStr">
        <is>
          <t>K0644</t>
        </is>
      </c>
      <c r="B646" t="inlineStr">
        <is>
          <t>extraire domaine url</t>
        </is>
      </c>
      <c r="C646" t="inlineStr">
        <is>
          <t>Morocco</t>
        </is>
      </c>
      <c r="D646" t="inlineStr">
        <is>
          <t>ma</t>
        </is>
      </c>
      <c r="E646" t="inlineStr">
        <is>
          <t>fr</t>
        </is>
      </c>
      <c r="F646" t="inlineStr">
        <is>
          <t>NOT AVAILABLE</t>
        </is>
      </c>
      <c r="G646" t="inlineStr">
        <is>
          <t>NOT AVAILABLE</t>
        </is>
      </c>
      <c r="H646" t="inlineStr">
        <is>
          <t>NOT AVAILABLE</t>
        </is>
      </c>
      <c r="I646" t="inlineStr">
        <is>
          <t>NOT AVAILABLE</t>
        </is>
      </c>
      <c r="J646" t="inlineStr">
        <is>
          <t>NOT AVAILABLE</t>
        </is>
      </c>
      <c r="K646" t="inlineStr">
        <is>
          <t>NOT AVAILABLE</t>
        </is>
      </c>
      <c r="L646" t="inlineStr">
        <is>
          <t>NOT AVAILABLE</t>
        </is>
      </c>
      <c r="M646" t="inlineStr">
        <is>
          <t>UNAVAILABLE</t>
        </is>
      </c>
      <c r="N646" s="5" t="inlineStr">
        <is>
          <t>Semrush phrase_these returned no data (not billed)</t>
        </is>
      </c>
      <c r="O646" t="inlineStr">
        <is>
          <t>2026-10-30</t>
        </is>
      </c>
      <c r="P646">
        <f>IF(IF(J646="NOT AVAILABLE","",J646)="",12,IF(OR(ISNUMBER(SEARCH("Transactional",IF(J646="NOT AVAILABLE","",J646))),ISNUMBER(SEARCH("Commercial",IF(J646="NOT AVAILABLE","",J646)))),25,IF(ISNUMBER(SEARCH("Informational",IF(J646="NOT AVAILABLE","",J646))),10,IF(ISNUMBER(SEARCH("Navigational",IF(J646="NOT AVAILABLE","",J646))),0,12))))</f>
        <v/>
      </c>
      <c r="Q646">
        <f>IF(ISNUMBER(F646),MIN(30,ROUND(30*LOG10(F646+1)/4,1)),0)</f>
        <v/>
      </c>
      <c r="R646">
        <f>IF(ISNUMBER(G646),ROUND(25*(100-G646)/100,1),12.5)</f>
        <v/>
      </c>
      <c r="S646" t="n">
        <v>20</v>
      </c>
      <c r="T646">
        <f>ROUND(P646+Q646+R646+S646,0)</f>
        <v/>
      </c>
      <c r="U646" s="5" t="inlineStr"/>
      <c r="V646" s="5" t="inlineStr"/>
    </row>
    <row r="647">
      <c r="A647" t="inlineStr">
        <is>
          <t>K0645</t>
        </is>
      </c>
      <c r="B647" t="inlineStr">
        <is>
          <t>extraire json-ld</t>
        </is>
      </c>
      <c r="C647" t="inlineStr">
        <is>
          <t>Morocco</t>
        </is>
      </c>
      <c r="D647" t="inlineStr">
        <is>
          <t>ma</t>
        </is>
      </c>
      <c r="E647" t="inlineStr">
        <is>
          <t>fr</t>
        </is>
      </c>
      <c r="F647" t="inlineStr">
        <is>
          <t>NOT AVAILABLE</t>
        </is>
      </c>
      <c r="G647" t="inlineStr">
        <is>
          <t>NOT AVAILABLE</t>
        </is>
      </c>
      <c r="H647" t="inlineStr">
        <is>
          <t>NOT AVAILABLE</t>
        </is>
      </c>
      <c r="I647" t="inlineStr">
        <is>
          <t>NOT AVAILABLE</t>
        </is>
      </c>
      <c r="J647" t="inlineStr">
        <is>
          <t>NOT AVAILABLE</t>
        </is>
      </c>
      <c r="K647" t="inlineStr">
        <is>
          <t>NOT AVAILABLE</t>
        </is>
      </c>
      <c r="L647" t="inlineStr">
        <is>
          <t>NOT AVAILABLE</t>
        </is>
      </c>
      <c r="M647" t="inlineStr">
        <is>
          <t>UNAVAILABLE</t>
        </is>
      </c>
      <c r="N647" s="5" t="inlineStr">
        <is>
          <t>Semrush phrase_these returned no data (not billed)</t>
        </is>
      </c>
      <c r="O647" t="inlineStr">
        <is>
          <t>2026-10-30</t>
        </is>
      </c>
      <c r="P647">
        <f>IF(IF(J647="NOT AVAILABLE","",J647)="",12,IF(OR(ISNUMBER(SEARCH("Transactional",IF(J647="NOT AVAILABLE","",J647))),ISNUMBER(SEARCH("Commercial",IF(J647="NOT AVAILABLE","",J647)))),25,IF(ISNUMBER(SEARCH("Informational",IF(J647="NOT AVAILABLE","",J647))),10,IF(ISNUMBER(SEARCH("Navigational",IF(J647="NOT AVAILABLE","",J647))),0,12))))</f>
        <v/>
      </c>
      <c r="Q647">
        <f>IF(ISNUMBER(F647),MIN(30,ROUND(30*LOG10(F647+1)/4,1)),0)</f>
        <v/>
      </c>
      <c r="R647">
        <f>IF(ISNUMBER(G647),ROUND(25*(100-G647)/100,1),12.5)</f>
        <v/>
      </c>
      <c r="S647" t="n">
        <v>20</v>
      </c>
      <c r="T647">
        <f>ROUND(P647+Q647+R647+S647,0)</f>
        <v/>
      </c>
      <c r="U647" s="5" t="inlineStr"/>
      <c r="V647" s="5" t="inlineStr"/>
    </row>
    <row r="648">
      <c r="A648" t="inlineStr">
        <is>
          <t>K0646</t>
        </is>
      </c>
      <c r="B648" t="inlineStr">
        <is>
          <t>extraire meta title</t>
        </is>
      </c>
      <c r="C648" t="inlineStr">
        <is>
          <t>Morocco</t>
        </is>
      </c>
      <c r="D648" t="inlineStr">
        <is>
          <t>ma</t>
        </is>
      </c>
      <c r="E648" t="inlineStr">
        <is>
          <t>fr</t>
        </is>
      </c>
      <c r="F648" t="inlineStr">
        <is>
          <t>NOT AVAILABLE</t>
        </is>
      </c>
      <c r="G648" t="inlineStr">
        <is>
          <t>NOT AVAILABLE</t>
        </is>
      </c>
      <c r="H648" t="inlineStr">
        <is>
          <t>NOT AVAILABLE</t>
        </is>
      </c>
      <c r="I648" t="inlineStr">
        <is>
          <t>NOT AVAILABLE</t>
        </is>
      </c>
      <c r="J648" t="inlineStr">
        <is>
          <t>NOT AVAILABLE</t>
        </is>
      </c>
      <c r="K648" t="inlineStr">
        <is>
          <t>NOT AVAILABLE</t>
        </is>
      </c>
      <c r="L648" t="inlineStr">
        <is>
          <t>NOT AVAILABLE</t>
        </is>
      </c>
      <c r="M648" t="inlineStr">
        <is>
          <t>UNAVAILABLE</t>
        </is>
      </c>
      <c r="N648" s="5" t="inlineStr">
        <is>
          <t>Semrush phrase_these returned no data (not billed)</t>
        </is>
      </c>
      <c r="O648" t="inlineStr">
        <is>
          <t>2026-10-30</t>
        </is>
      </c>
      <c r="P648">
        <f>IF(IF(J648="NOT AVAILABLE","",J648)="",12,IF(OR(ISNUMBER(SEARCH("Transactional",IF(J648="NOT AVAILABLE","",J648))),ISNUMBER(SEARCH("Commercial",IF(J648="NOT AVAILABLE","",J648)))),25,IF(ISNUMBER(SEARCH("Informational",IF(J648="NOT AVAILABLE","",J648))),10,IF(ISNUMBER(SEARCH("Navigational",IF(J648="NOT AVAILABLE","",J648))),0,12))))</f>
        <v/>
      </c>
      <c r="Q648">
        <f>IF(ISNUMBER(F648),MIN(30,ROUND(30*LOG10(F648+1)/4,1)),0)</f>
        <v/>
      </c>
      <c r="R648">
        <f>IF(ISNUMBER(G648),ROUND(25*(100-G648)/100,1),12.5)</f>
        <v/>
      </c>
      <c r="S648" t="n">
        <v>20</v>
      </c>
      <c r="T648">
        <f>ROUND(P648+Q648+R648+S648,0)</f>
        <v/>
      </c>
      <c r="U648" s="5" t="inlineStr"/>
      <c r="V648" s="5" t="inlineStr"/>
    </row>
    <row r="649">
      <c r="A649" t="inlineStr">
        <is>
          <t>K0647</t>
        </is>
      </c>
      <c r="B649" t="inlineStr">
        <is>
          <t>extraire mots fréquents</t>
        </is>
      </c>
      <c r="C649" t="inlineStr">
        <is>
          <t>Morocco</t>
        </is>
      </c>
      <c r="D649" t="inlineStr">
        <is>
          <t>ma</t>
        </is>
      </c>
      <c r="E649" t="inlineStr">
        <is>
          <t>fr</t>
        </is>
      </c>
      <c r="F649" t="inlineStr">
        <is>
          <t>NOT AVAILABLE</t>
        </is>
      </c>
      <c r="G649" t="inlineStr">
        <is>
          <t>NOT AVAILABLE</t>
        </is>
      </c>
      <c r="H649" t="inlineStr">
        <is>
          <t>NOT AVAILABLE</t>
        </is>
      </c>
      <c r="I649" t="inlineStr">
        <is>
          <t>NOT AVAILABLE</t>
        </is>
      </c>
      <c r="J649" t="inlineStr">
        <is>
          <t>NOT AVAILABLE</t>
        </is>
      </c>
      <c r="K649" t="inlineStr">
        <is>
          <t>NOT AVAILABLE</t>
        </is>
      </c>
      <c r="L649" t="inlineStr">
        <is>
          <t>NOT AVAILABLE</t>
        </is>
      </c>
      <c r="M649" t="inlineStr">
        <is>
          <t>UNAVAILABLE</t>
        </is>
      </c>
      <c r="N649" s="5" t="inlineStr">
        <is>
          <t>Semrush phrase_these returned no data (not billed)</t>
        </is>
      </c>
      <c r="O649" t="inlineStr">
        <is>
          <t>2026-10-30</t>
        </is>
      </c>
      <c r="P649">
        <f>IF(IF(J649="NOT AVAILABLE","",J649)="",12,IF(OR(ISNUMBER(SEARCH("Transactional",IF(J649="NOT AVAILABLE","",J649))),ISNUMBER(SEARCH("Commercial",IF(J649="NOT AVAILABLE","",J649)))),25,IF(ISNUMBER(SEARCH("Informational",IF(J649="NOT AVAILABLE","",J649))),10,IF(ISNUMBER(SEARCH("Navigational",IF(J649="NOT AVAILABLE","",J649))),0,12))))</f>
        <v/>
      </c>
      <c r="Q649">
        <f>IF(ISNUMBER(F649),MIN(30,ROUND(30*LOG10(F649+1)/4,1)),0)</f>
        <v/>
      </c>
      <c r="R649">
        <f>IF(ISNUMBER(G649),ROUND(25*(100-G649)/100,1),12.5)</f>
        <v/>
      </c>
      <c r="S649" t="n">
        <v>20</v>
      </c>
      <c r="T649">
        <f>ROUND(P649+Q649+R649+S649,0)</f>
        <v/>
      </c>
      <c r="U649" s="5" t="inlineStr"/>
      <c r="V649" s="5" t="inlineStr"/>
    </row>
    <row r="650">
      <c r="A650" t="inlineStr">
        <is>
          <t>K0648</t>
        </is>
      </c>
      <c r="B650" t="inlineStr">
        <is>
          <t>extraire url sitemap</t>
        </is>
      </c>
      <c r="C650" t="inlineStr">
        <is>
          <t>Morocco</t>
        </is>
      </c>
      <c r="D650" t="inlineStr">
        <is>
          <t>ma</t>
        </is>
      </c>
      <c r="E650" t="inlineStr">
        <is>
          <t>fr</t>
        </is>
      </c>
      <c r="F650" t="inlineStr">
        <is>
          <t>NOT AVAILABLE</t>
        </is>
      </c>
      <c r="G650" t="inlineStr">
        <is>
          <t>NOT AVAILABLE</t>
        </is>
      </c>
      <c r="H650" t="inlineStr">
        <is>
          <t>NOT AVAILABLE</t>
        </is>
      </c>
      <c r="I650" t="inlineStr">
        <is>
          <t>NOT AVAILABLE</t>
        </is>
      </c>
      <c r="J650" t="inlineStr">
        <is>
          <t>NOT AVAILABLE</t>
        </is>
      </c>
      <c r="K650" t="inlineStr">
        <is>
          <t>NOT AVAILABLE</t>
        </is>
      </c>
      <c r="L650" t="inlineStr">
        <is>
          <t>NOT AVAILABLE</t>
        </is>
      </c>
      <c r="M650" t="inlineStr">
        <is>
          <t>UNAVAILABLE</t>
        </is>
      </c>
      <c r="N650" s="5" t="inlineStr">
        <is>
          <t>Semrush phrase_these returned no data (not billed)</t>
        </is>
      </c>
      <c r="O650" t="inlineStr">
        <is>
          <t>2026-10-30</t>
        </is>
      </c>
      <c r="P650">
        <f>IF(IF(J650="NOT AVAILABLE","",J650)="",12,IF(OR(ISNUMBER(SEARCH("Transactional",IF(J650="NOT AVAILABLE","",J650))),ISNUMBER(SEARCH("Commercial",IF(J650="NOT AVAILABLE","",J650)))),25,IF(ISNUMBER(SEARCH("Informational",IF(J650="NOT AVAILABLE","",J650))),10,IF(ISNUMBER(SEARCH("Navigational",IF(J650="NOT AVAILABLE","",J650))),0,12))))</f>
        <v/>
      </c>
      <c r="Q650">
        <f>IF(ISNUMBER(F650),MIN(30,ROUND(30*LOG10(F650+1)/4,1)),0)</f>
        <v/>
      </c>
      <c r="R650">
        <f>IF(ISNUMBER(G650),ROUND(25*(100-G650)/100,1),12.5)</f>
        <v/>
      </c>
      <c r="S650" t="n">
        <v>20</v>
      </c>
      <c r="T650">
        <f>ROUND(P650+Q650+R650+S650,0)</f>
        <v/>
      </c>
      <c r="U650" s="5" t="inlineStr"/>
      <c r="V650" s="5" t="inlineStr"/>
    </row>
    <row r="651">
      <c r="A651" t="inlineStr">
        <is>
          <t>K0649</t>
        </is>
      </c>
      <c r="B651" t="inlineStr">
        <is>
          <t>faqpage schema</t>
        </is>
      </c>
      <c r="C651" t="inlineStr">
        <is>
          <t>Morocco</t>
        </is>
      </c>
      <c r="D651" t="inlineStr">
        <is>
          <t>ma</t>
        </is>
      </c>
      <c r="E651" t="inlineStr">
        <is>
          <t>fr</t>
        </is>
      </c>
      <c r="F651" t="inlineStr">
        <is>
          <t>NOT AVAILABLE</t>
        </is>
      </c>
      <c r="G651" t="inlineStr">
        <is>
          <t>NOT AVAILABLE</t>
        </is>
      </c>
      <c r="H651" t="inlineStr">
        <is>
          <t>NOT AVAILABLE</t>
        </is>
      </c>
      <c r="I651" t="inlineStr">
        <is>
          <t>NOT AVAILABLE</t>
        </is>
      </c>
      <c r="J651" t="inlineStr">
        <is>
          <t>NOT AVAILABLE</t>
        </is>
      </c>
      <c r="K651" t="inlineStr">
        <is>
          <t>NOT AVAILABLE</t>
        </is>
      </c>
      <c r="L651" t="inlineStr">
        <is>
          <t>NOT AVAILABLE</t>
        </is>
      </c>
      <c r="M651" t="inlineStr">
        <is>
          <t>UNAVAILABLE</t>
        </is>
      </c>
      <c r="N651" s="5" t="inlineStr">
        <is>
          <t>Semrush phrase_these returned no data (not billed)</t>
        </is>
      </c>
      <c r="O651" t="inlineStr">
        <is>
          <t>2026-10-30</t>
        </is>
      </c>
      <c r="P651">
        <f>IF(IF(J651="NOT AVAILABLE","",J651)="",12,IF(OR(ISNUMBER(SEARCH("Transactional",IF(J651="NOT AVAILABLE","",J651))),ISNUMBER(SEARCH("Commercial",IF(J651="NOT AVAILABLE","",J651)))),25,IF(ISNUMBER(SEARCH("Informational",IF(J651="NOT AVAILABLE","",J651))),10,IF(ISNUMBER(SEARCH("Navigational",IF(J651="NOT AVAILABLE","",J651))),0,12))))</f>
        <v/>
      </c>
      <c r="Q651">
        <f>IF(ISNUMBER(F651),MIN(30,ROUND(30*LOG10(F651+1)/4,1)),0)</f>
        <v/>
      </c>
      <c r="R651">
        <f>IF(ISNUMBER(G651),ROUND(25*(100-G651)/100,1),12.5)</f>
        <v/>
      </c>
      <c r="S651" t="n">
        <v>20</v>
      </c>
      <c r="T651">
        <f>ROUND(P651+Q651+R651+S651,0)</f>
        <v/>
      </c>
      <c r="U651" s="5" t="inlineStr"/>
      <c r="V651" s="5" t="inlineStr"/>
    </row>
    <row r="652">
      <c r="A652" t="inlineStr">
        <is>
          <t>K0650</t>
        </is>
      </c>
      <c r="B652" t="inlineStr">
        <is>
          <t>fichier llms.txt</t>
        </is>
      </c>
      <c r="C652" t="inlineStr">
        <is>
          <t>Morocco</t>
        </is>
      </c>
      <c r="D652" t="inlineStr">
        <is>
          <t>ma</t>
        </is>
      </c>
      <c r="E652" t="inlineStr">
        <is>
          <t>fr</t>
        </is>
      </c>
      <c r="F652" t="inlineStr">
        <is>
          <t>NOT AVAILABLE</t>
        </is>
      </c>
      <c r="G652" t="inlineStr">
        <is>
          <t>NOT AVAILABLE</t>
        </is>
      </c>
      <c r="H652" t="inlineStr">
        <is>
          <t>NOT AVAILABLE</t>
        </is>
      </c>
      <c r="I652" t="inlineStr">
        <is>
          <t>NOT AVAILABLE</t>
        </is>
      </c>
      <c r="J652" t="inlineStr">
        <is>
          <t>NOT AVAILABLE</t>
        </is>
      </c>
      <c r="K652" t="inlineStr">
        <is>
          <t>NOT AVAILABLE</t>
        </is>
      </c>
      <c r="L652" t="inlineStr">
        <is>
          <t>NOT AVAILABLE</t>
        </is>
      </c>
      <c r="M652" t="inlineStr">
        <is>
          <t>UNAVAILABLE</t>
        </is>
      </c>
      <c r="N652" s="5" t="inlineStr">
        <is>
          <t>Semrush phrase_these returned no data (not billed)</t>
        </is>
      </c>
      <c r="O652" t="inlineStr">
        <is>
          <t>2026-10-30</t>
        </is>
      </c>
      <c r="P652">
        <f>IF(IF(J652="NOT AVAILABLE","",J652)="",12,IF(OR(ISNUMBER(SEARCH("Transactional",IF(J652="NOT AVAILABLE","",J652))),ISNUMBER(SEARCH("Commercial",IF(J652="NOT AVAILABLE","",J652)))),25,IF(ISNUMBER(SEARCH("Informational",IF(J652="NOT AVAILABLE","",J652))),10,IF(ISNUMBER(SEARCH("Navigational",IF(J652="NOT AVAILABLE","",J652))),0,12))))</f>
        <v/>
      </c>
      <c r="Q652">
        <f>IF(ISNUMBER(F652),MIN(30,ROUND(30*LOG10(F652+1)/4,1)),0)</f>
        <v/>
      </c>
      <c r="R652">
        <f>IF(ISNUMBER(G652),ROUND(25*(100-G652)/100,1),12.5)</f>
        <v/>
      </c>
      <c r="S652" t="n">
        <v>20</v>
      </c>
      <c r="T652">
        <f>ROUND(P652+Q652+R652+S652,0)</f>
        <v/>
      </c>
      <c r="U652" s="5" t="inlineStr"/>
      <c r="V652" s="5" t="inlineStr"/>
    </row>
    <row r="653">
      <c r="A653" t="inlineStr">
        <is>
          <t>K0651</t>
        </is>
      </c>
      <c r="B653" t="inlineStr">
        <is>
          <t>flesch</t>
        </is>
      </c>
      <c r="C653" t="inlineStr">
        <is>
          <t>Morocco</t>
        </is>
      </c>
      <c r="D653" t="inlineStr">
        <is>
          <t>ma</t>
        </is>
      </c>
      <c r="E653" t="inlineStr">
        <is>
          <t>fr</t>
        </is>
      </c>
      <c r="F653" t="inlineStr">
        <is>
          <t>NOT AVAILABLE</t>
        </is>
      </c>
      <c r="G653" t="inlineStr">
        <is>
          <t>NOT AVAILABLE</t>
        </is>
      </c>
      <c r="H653" t="inlineStr">
        <is>
          <t>NOT AVAILABLE</t>
        </is>
      </c>
      <c r="I653" t="inlineStr">
        <is>
          <t>NOT AVAILABLE</t>
        </is>
      </c>
      <c r="J653" t="inlineStr">
        <is>
          <t>NOT AVAILABLE</t>
        </is>
      </c>
      <c r="K653" t="inlineStr">
        <is>
          <t>NOT AVAILABLE</t>
        </is>
      </c>
      <c r="L653" t="inlineStr">
        <is>
          <t>NOT AVAILABLE</t>
        </is>
      </c>
      <c r="M653" t="inlineStr">
        <is>
          <t>UNAVAILABLE</t>
        </is>
      </c>
      <c r="N653" s="5" t="inlineStr">
        <is>
          <t>Semrush phrase_these returned no data (not billed)</t>
        </is>
      </c>
      <c r="O653" t="inlineStr">
        <is>
          <t>2026-10-30</t>
        </is>
      </c>
      <c r="P653">
        <f>IF(IF(J653="NOT AVAILABLE","",J653)="",12,IF(OR(ISNUMBER(SEARCH("Transactional",IF(J653="NOT AVAILABLE","",J653))),ISNUMBER(SEARCH("Commercial",IF(J653="NOT AVAILABLE","",J653)))),25,IF(ISNUMBER(SEARCH("Informational",IF(J653="NOT AVAILABLE","",J653))),10,IF(ISNUMBER(SEARCH("Navigational",IF(J653="NOT AVAILABLE","",J653))),0,12))))</f>
        <v/>
      </c>
      <c r="Q653">
        <f>IF(ISNUMBER(F653),MIN(30,ROUND(30*LOG10(F653+1)/4,1)),0)</f>
        <v/>
      </c>
      <c r="R653">
        <f>IF(ISNUMBER(G653),ROUND(25*(100-G653)/100,1),12.5)</f>
        <v/>
      </c>
      <c r="S653" t="n">
        <v>20</v>
      </c>
      <c r="T653">
        <f>ROUND(P653+Q653+R653+S653,0)</f>
        <v/>
      </c>
      <c r="U653" s="5" t="inlineStr"/>
      <c r="V653" s="5" t="inlineStr"/>
    </row>
    <row r="654">
      <c r="A654" t="inlineStr">
        <is>
          <t>K0652</t>
        </is>
      </c>
      <c r="B654" t="inlineStr">
        <is>
          <t>freelance création site web maroc</t>
        </is>
      </c>
      <c r="C654" t="inlineStr">
        <is>
          <t>Morocco</t>
        </is>
      </c>
      <c r="D654" t="inlineStr">
        <is>
          <t>ma</t>
        </is>
      </c>
      <c r="E654" t="inlineStr">
        <is>
          <t>fr</t>
        </is>
      </c>
      <c r="F654" t="n">
        <v>0</v>
      </c>
      <c r="G654" t="inlineStr">
        <is>
          <t>NOT AVAILABLE</t>
        </is>
      </c>
      <c r="H654" t="n">
        <v>0</v>
      </c>
      <c r="I654" t="n">
        <v>0</v>
      </c>
      <c r="J654" t="inlineStr">
        <is>
          <t>NOT AVAILABLE</t>
        </is>
      </c>
      <c r="K654" t="inlineStr">
        <is>
          <t>NOT AVAILABLE (report not requested)</t>
        </is>
      </c>
      <c r="L654" t="inlineStr">
        <is>
          <t>flat (no data)</t>
        </is>
      </c>
      <c r="M654" t="inlineStr">
        <is>
          <t>MEASURED</t>
        </is>
      </c>
      <c r="N654" s="5" t="inlineStr">
        <is>
          <t>Semrush phrase_these (historical w3-validate-A-creation.csv)</t>
        </is>
      </c>
      <c r="O654" t="inlineStr">
        <is>
          <t>2026-10-27</t>
        </is>
      </c>
      <c r="P654">
        <f>IF(IF(J654="NOT AVAILABLE","",J654)="",12,IF(OR(ISNUMBER(SEARCH("Transactional",IF(J654="NOT AVAILABLE","",J654))),ISNUMBER(SEARCH("Commercial",IF(J654="NOT AVAILABLE","",J654)))),25,IF(ISNUMBER(SEARCH("Informational",IF(J654="NOT AVAILABLE","",J654))),10,IF(ISNUMBER(SEARCH("Navigational",IF(J654="NOT AVAILABLE","",J654))),0,12))))</f>
        <v/>
      </c>
      <c r="Q654">
        <f>IF(ISNUMBER(F654),MIN(30,ROUND(30*LOG10(F654+1)/4,1)),0)</f>
        <v/>
      </c>
      <c r="R654">
        <f>IF(ISNUMBER(G654),ROUND(25*(100-G654)/100,1),12.5)</f>
        <v/>
      </c>
      <c r="S654" t="n">
        <v>20</v>
      </c>
      <c r="T654">
        <f>ROUND(P654+Q654+R654+S654,0)</f>
        <v/>
      </c>
      <c r="U654" s="5" t="inlineStr"/>
      <c r="V654" s="5" t="inlineStr"/>
    </row>
    <row r="655">
      <c r="A655" t="inlineStr">
        <is>
          <t>K0653</t>
        </is>
      </c>
      <c r="B655" t="inlineStr">
        <is>
          <t>generative engine optimization</t>
        </is>
      </c>
      <c r="C655" t="inlineStr">
        <is>
          <t>Morocco</t>
        </is>
      </c>
      <c r="D655" t="inlineStr">
        <is>
          <t>ma</t>
        </is>
      </c>
      <c r="E655" t="inlineStr">
        <is>
          <t>fr</t>
        </is>
      </c>
      <c r="F655" t="inlineStr">
        <is>
          <t>NOT AVAILABLE</t>
        </is>
      </c>
      <c r="G655" t="inlineStr">
        <is>
          <t>NOT AVAILABLE</t>
        </is>
      </c>
      <c r="H655" t="inlineStr">
        <is>
          <t>NOT AVAILABLE</t>
        </is>
      </c>
      <c r="I655" t="inlineStr">
        <is>
          <t>NOT AVAILABLE</t>
        </is>
      </c>
      <c r="J655" t="inlineStr">
        <is>
          <t>NOT AVAILABLE</t>
        </is>
      </c>
      <c r="K655" t="inlineStr">
        <is>
          <t>NOT AVAILABLE</t>
        </is>
      </c>
      <c r="L655" t="inlineStr">
        <is>
          <t>NOT AVAILABLE</t>
        </is>
      </c>
      <c r="M655" t="inlineStr">
        <is>
          <t>UNAVAILABLE</t>
        </is>
      </c>
      <c r="N655" s="5" t="inlineStr">
        <is>
          <t>Semrush phrase_these returned no data (not billed)</t>
        </is>
      </c>
      <c r="O655" t="inlineStr">
        <is>
          <t>2026-10-30</t>
        </is>
      </c>
      <c r="P655">
        <f>IF(IF(J655="NOT AVAILABLE","",J655)="",12,IF(OR(ISNUMBER(SEARCH("Transactional",IF(J655="NOT AVAILABLE","",J655))),ISNUMBER(SEARCH("Commercial",IF(J655="NOT AVAILABLE","",J655)))),25,IF(ISNUMBER(SEARCH("Informational",IF(J655="NOT AVAILABLE","",J655))),10,IF(ISNUMBER(SEARCH("Navigational",IF(J655="NOT AVAILABLE","",J655))),0,12))))</f>
        <v/>
      </c>
      <c r="Q655">
        <f>IF(ISNUMBER(F655),MIN(30,ROUND(30*LOG10(F655+1)/4,1)),0)</f>
        <v/>
      </c>
      <c r="R655">
        <f>IF(ISNUMBER(G655),ROUND(25*(100-G655)/100,1),12.5)</f>
        <v/>
      </c>
      <c r="S655" t="n">
        <v>20</v>
      </c>
      <c r="T655">
        <f>ROUND(P655+Q655+R655+S655,0)</f>
        <v/>
      </c>
      <c r="U655" s="5" t="inlineStr"/>
      <c r="V655" s="5" t="inlineStr"/>
    </row>
    <row r="656">
      <c r="A656" t="inlineStr">
        <is>
          <t>K0654</t>
        </is>
      </c>
      <c r="B656" t="inlineStr">
        <is>
          <t>geo seo</t>
        </is>
      </c>
      <c r="C656" t="inlineStr">
        <is>
          <t>Morocco</t>
        </is>
      </c>
      <c r="D656" t="inlineStr">
        <is>
          <t>ma</t>
        </is>
      </c>
      <c r="E656" t="inlineStr">
        <is>
          <t>fr</t>
        </is>
      </c>
      <c r="F656" t="inlineStr">
        <is>
          <t>NOT AVAILABLE</t>
        </is>
      </c>
      <c r="G656" t="inlineStr">
        <is>
          <t>NOT AVAILABLE</t>
        </is>
      </c>
      <c r="H656" t="inlineStr">
        <is>
          <t>NOT AVAILABLE</t>
        </is>
      </c>
      <c r="I656" t="inlineStr">
        <is>
          <t>NOT AVAILABLE</t>
        </is>
      </c>
      <c r="J656" t="inlineStr">
        <is>
          <t>NOT AVAILABLE</t>
        </is>
      </c>
      <c r="K656" t="inlineStr">
        <is>
          <t>NOT AVAILABLE</t>
        </is>
      </c>
      <c r="L656" t="inlineStr">
        <is>
          <t>NOT AVAILABLE</t>
        </is>
      </c>
      <c r="M656" t="inlineStr">
        <is>
          <t>UNAVAILABLE</t>
        </is>
      </c>
      <c r="N656" s="5" t="inlineStr">
        <is>
          <t>Semrush phrase_these returned no data (not billed)</t>
        </is>
      </c>
      <c r="O656" t="inlineStr">
        <is>
          <t>2026-10-30</t>
        </is>
      </c>
      <c r="P656">
        <f>IF(IF(J656="NOT AVAILABLE","",J656)="",12,IF(OR(ISNUMBER(SEARCH("Transactional",IF(J656="NOT AVAILABLE","",J656))),ISNUMBER(SEARCH("Commercial",IF(J656="NOT AVAILABLE","",J656)))),25,IF(ISNUMBER(SEARCH("Informational",IF(J656="NOT AVAILABLE","",J656))),10,IF(ISNUMBER(SEARCH("Navigational",IF(J656="NOT AVAILABLE","",J656))),0,12))))</f>
        <v/>
      </c>
      <c r="Q656">
        <f>IF(ISNUMBER(F656),MIN(30,ROUND(30*LOG10(F656+1)/4,1)),0)</f>
        <v/>
      </c>
      <c r="R656">
        <f>IF(ISNUMBER(G656),ROUND(25*(100-G656)/100,1),12.5)</f>
        <v/>
      </c>
      <c r="S656" t="n">
        <v>20</v>
      </c>
      <c r="T656">
        <f>ROUND(P656+Q656+R656+S656,0)</f>
        <v/>
      </c>
      <c r="U656" s="5" t="inlineStr"/>
      <c r="V656" s="5" t="inlineStr"/>
    </row>
    <row r="657">
      <c r="A657" t="inlineStr">
        <is>
          <t>K0655</t>
        </is>
      </c>
      <c r="B657" t="inlineStr">
        <is>
          <t>gptbot</t>
        </is>
      </c>
      <c r="C657" t="inlineStr">
        <is>
          <t>Morocco</t>
        </is>
      </c>
      <c r="D657" t="inlineStr">
        <is>
          <t>ma</t>
        </is>
      </c>
      <c r="E657" t="inlineStr">
        <is>
          <t>fr</t>
        </is>
      </c>
      <c r="F657" t="inlineStr">
        <is>
          <t>NOT AVAILABLE</t>
        </is>
      </c>
      <c r="G657" t="inlineStr">
        <is>
          <t>NOT AVAILABLE</t>
        </is>
      </c>
      <c r="H657" t="inlineStr">
        <is>
          <t>NOT AVAILABLE</t>
        </is>
      </c>
      <c r="I657" t="inlineStr">
        <is>
          <t>NOT AVAILABLE</t>
        </is>
      </c>
      <c r="J657" t="inlineStr">
        <is>
          <t>NOT AVAILABLE</t>
        </is>
      </c>
      <c r="K657" t="inlineStr">
        <is>
          <t>NOT AVAILABLE</t>
        </is>
      </c>
      <c r="L657" t="inlineStr">
        <is>
          <t>NOT AVAILABLE</t>
        </is>
      </c>
      <c r="M657" t="inlineStr">
        <is>
          <t>UNAVAILABLE</t>
        </is>
      </c>
      <c r="N657" s="5" t="inlineStr">
        <is>
          <t>Semrush phrase_these returned no data (not billed)</t>
        </is>
      </c>
      <c r="O657" t="inlineStr">
        <is>
          <t>2026-10-30</t>
        </is>
      </c>
      <c r="P657">
        <f>IF(IF(J657="NOT AVAILABLE","",J657)="",12,IF(OR(ISNUMBER(SEARCH("Transactional",IF(J657="NOT AVAILABLE","",J657))),ISNUMBER(SEARCH("Commercial",IF(J657="NOT AVAILABLE","",J657)))),25,IF(ISNUMBER(SEARCH("Informational",IF(J657="NOT AVAILABLE","",J657))),10,IF(ISNUMBER(SEARCH("Navigational",IF(J657="NOT AVAILABLE","",J657))),0,12))))</f>
        <v/>
      </c>
      <c r="Q657">
        <f>IF(ISNUMBER(F657),MIN(30,ROUND(30*LOG10(F657+1)/4,1)),0)</f>
        <v/>
      </c>
      <c r="R657">
        <f>IF(ISNUMBER(G657),ROUND(25*(100-G657)/100,1),12.5)</f>
        <v/>
      </c>
      <c r="S657" t="n">
        <v>20</v>
      </c>
      <c r="T657">
        <f>ROUND(P657+Q657+R657+S657,0)</f>
        <v/>
      </c>
      <c r="U657" s="5" t="inlineStr"/>
      <c r="V657" s="5" t="inlineStr"/>
    </row>
    <row r="658">
      <c r="A658" t="inlineStr">
        <is>
          <t>K0656</t>
        </is>
      </c>
      <c r="B658" t="inlineStr">
        <is>
          <t>générateur chatbot</t>
        </is>
      </c>
      <c r="C658" t="inlineStr">
        <is>
          <t>Morocco</t>
        </is>
      </c>
      <c r="D658" t="inlineStr">
        <is>
          <t>ma</t>
        </is>
      </c>
      <c r="E658" t="inlineStr">
        <is>
          <t>fr</t>
        </is>
      </c>
      <c r="F658" t="inlineStr">
        <is>
          <t>NOT AVAILABLE</t>
        </is>
      </c>
      <c r="G658" t="inlineStr">
        <is>
          <t>NOT AVAILABLE</t>
        </is>
      </c>
      <c r="H658" t="inlineStr">
        <is>
          <t>NOT AVAILABLE</t>
        </is>
      </c>
      <c r="I658" t="inlineStr">
        <is>
          <t>NOT AVAILABLE</t>
        </is>
      </c>
      <c r="J658" t="inlineStr">
        <is>
          <t>NOT AVAILABLE</t>
        </is>
      </c>
      <c r="K658" t="inlineStr">
        <is>
          <t>NOT AVAILABLE</t>
        </is>
      </c>
      <c r="L658" t="inlineStr">
        <is>
          <t>NOT AVAILABLE</t>
        </is>
      </c>
      <c r="M658" t="inlineStr">
        <is>
          <t>UNAVAILABLE</t>
        </is>
      </c>
      <c r="N658" s="5" t="inlineStr">
        <is>
          <t>Semrush phrase_these returned no data (not billed)</t>
        </is>
      </c>
      <c r="O658" t="inlineStr">
        <is>
          <t>2026-10-30</t>
        </is>
      </c>
      <c r="P658">
        <f>IF(IF(J658="NOT AVAILABLE","",J658)="",12,IF(OR(ISNUMBER(SEARCH("Transactional",IF(J658="NOT AVAILABLE","",J658))),ISNUMBER(SEARCH("Commercial",IF(J658="NOT AVAILABLE","",J658)))),25,IF(ISNUMBER(SEARCH("Informational",IF(J658="NOT AVAILABLE","",J658))),10,IF(ISNUMBER(SEARCH("Navigational",IF(J658="NOT AVAILABLE","",J658))),0,12))))</f>
        <v/>
      </c>
      <c r="Q658">
        <f>IF(ISNUMBER(F658),MIN(30,ROUND(30*LOG10(F658+1)/4,1)),0)</f>
        <v/>
      </c>
      <c r="R658">
        <f>IF(ISNUMBER(G658),ROUND(25*(100-G658)/100,1),12.5)</f>
        <v/>
      </c>
      <c r="S658" t="n">
        <v>20</v>
      </c>
      <c r="T658">
        <f>ROUND(P658+Q658+R658+S658,0)</f>
        <v/>
      </c>
      <c r="U658" s="5" t="inlineStr"/>
      <c r="V658" s="5" t="inlineStr"/>
    </row>
    <row r="659">
      <c r="A659" t="inlineStr">
        <is>
          <t>K0657</t>
        </is>
      </c>
      <c r="B659" t="inlineStr">
        <is>
          <t>générateur de balises meta</t>
        </is>
      </c>
      <c r="C659" t="inlineStr">
        <is>
          <t>Morocco</t>
        </is>
      </c>
      <c r="D659" t="inlineStr">
        <is>
          <t>ma</t>
        </is>
      </c>
      <c r="E659" t="inlineStr">
        <is>
          <t>fr</t>
        </is>
      </c>
      <c r="F659" t="inlineStr">
        <is>
          <t>NOT AVAILABLE</t>
        </is>
      </c>
      <c r="G659" t="inlineStr">
        <is>
          <t>NOT AVAILABLE</t>
        </is>
      </c>
      <c r="H659" t="inlineStr">
        <is>
          <t>NOT AVAILABLE</t>
        </is>
      </c>
      <c r="I659" t="inlineStr">
        <is>
          <t>NOT AVAILABLE</t>
        </is>
      </c>
      <c r="J659" t="inlineStr">
        <is>
          <t>NOT AVAILABLE</t>
        </is>
      </c>
      <c r="K659" t="inlineStr">
        <is>
          <t>NOT AVAILABLE</t>
        </is>
      </c>
      <c r="L659" t="inlineStr">
        <is>
          <t>NOT AVAILABLE</t>
        </is>
      </c>
      <c r="M659" t="inlineStr">
        <is>
          <t>UNAVAILABLE</t>
        </is>
      </c>
      <c r="N659" s="5" t="inlineStr">
        <is>
          <t>Semrush phrase_these returned no data (not billed)</t>
        </is>
      </c>
      <c r="O659" t="inlineStr">
        <is>
          <t>2026-10-30</t>
        </is>
      </c>
      <c r="P659">
        <f>IF(IF(J659="NOT AVAILABLE","",J659)="",12,IF(OR(ISNUMBER(SEARCH("Transactional",IF(J659="NOT AVAILABLE","",J659))),ISNUMBER(SEARCH("Commercial",IF(J659="NOT AVAILABLE","",J659)))),25,IF(ISNUMBER(SEARCH("Informational",IF(J659="NOT AVAILABLE","",J659))),10,IF(ISNUMBER(SEARCH("Navigational",IF(J659="NOT AVAILABLE","",J659))),0,12))))</f>
        <v/>
      </c>
      <c r="Q659">
        <f>IF(ISNUMBER(F659),MIN(30,ROUND(30*LOG10(F659+1)/4,1)),0)</f>
        <v/>
      </c>
      <c r="R659">
        <f>IF(ISNUMBER(G659),ROUND(25*(100-G659)/100,1),12.5)</f>
        <v/>
      </c>
      <c r="S659" t="n">
        <v>20</v>
      </c>
      <c r="T659">
        <f>ROUND(P659+Q659+R659+S659,0)</f>
        <v/>
      </c>
      <c r="U659" s="5" t="inlineStr"/>
      <c r="V659" s="5" t="inlineStr"/>
    </row>
    <row r="660">
      <c r="A660" t="inlineStr">
        <is>
          <t>K0658</t>
        </is>
      </c>
      <c r="B660" t="inlineStr">
        <is>
          <t>générateur de palette de couleurs</t>
        </is>
      </c>
      <c r="C660" t="inlineStr">
        <is>
          <t>Morocco</t>
        </is>
      </c>
      <c r="D660" t="inlineStr">
        <is>
          <t>ma</t>
        </is>
      </c>
      <c r="E660" t="inlineStr">
        <is>
          <t>fr</t>
        </is>
      </c>
      <c r="F660" t="inlineStr">
        <is>
          <t>NOT AVAILABLE</t>
        </is>
      </c>
      <c r="G660" t="inlineStr">
        <is>
          <t>NOT AVAILABLE</t>
        </is>
      </c>
      <c r="H660" t="inlineStr">
        <is>
          <t>NOT AVAILABLE</t>
        </is>
      </c>
      <c r="I660" t="inlineStr">
        <is>
          <t>NOT AVAILABLE</t>
        </is>
      </c>
      <c r="J660" t="inlineStr">
        <is>
          <t>NOT AVAILABLE</t>
        </is>
      </c>
      <c r="K660" t="inlineStr">
        <is>
          <t>NOT AVAILABLE</t>
        </is>
      </c>
      <c r="L660" t="inlineStr">
        <is>
          <t>NOT AVAILABLE</t>
        </is>
      </c>
      <c r="M660" t="inlineStr">
        <is>
          <t>UNAVAILABLE</t>
        </is>
      </c>
      <c r="N660" s="5" t="inlineStr">
        <is>
          <t>Semrush phrase_these returned no data (not billed)</t>
        </is>
      </c>
      <c r="O660" t="inlineStr">
        <is>
          <t>2026-10-30</t>
        </is>
      </c>
      <c r="P660">
        <f>IF(IF(J660="NOT AVAILABLE","",J660)="",12,IF(OR(ISNUMBER(SEARCH("Transactional",IF(J660="NOT AVAILABLE","",J660))),ISNUMBER(SEARCH("Commercial",IF(J660="NOT AVAILABLE","",J660)))),25,IF(ISNUMBER(SEARCH("Informational",IF(J660="NOT AVAILABLE","",J660))),10,IF(ISNUMBER(SEARCH("Navigational",IF(J660="NOT AVAILABLE","",J660))),0,12))))</f>
        <v/>
      </c>
      <c r="Q660">
        <f>IF(ISNUMBER(F660),MIN(30,ROUND(30*LOG10(F660+1)/4,1)),0)</f>
        <v/>
      </c>
      <c r="R660">
        <f>IF(ISNUMBER(G660),ROUND(25*(100-G660)/100,1),12.5)</f>
        <v/>
      </c>
      <c r="S660" t="n">
        <v>20</v>
      </c>
      <c r="T660">
        <f>ROUND(P660+Q660+R660+S660,0)</f>
        <v/>
      </c>
      <c r="U660" s="5" t="inlineStr"/>
      <c r="V660" s="5" t="inlineStr"/>
    </row>
    <row r="661">
      <c r="A661" t="inlineStr">
        <is>
          <t>K0659</t>
        </is>
      </c>
      <c r="B661" t="inlineStr">
        <is>
          <t>générateur de slug</t>
        </is>
      </c>
      <c r="C661" t="inlineStr">
        <is>
          <t>Morocco</t>
        </is>
      </c>
      <c r="D661" t="inlineStr">
        <is>
          <t>ma</t>
        </is>
      </c>
      <c r="E661" t="inlineStr">
        <is>
          <t>fr</t>
        </is>
      </c>
      <c r="F661" t="inlineStr">
        <is>
          <t>NOT AVAILABLE</t>
        </is>
      </c>
      <c r="G661" t="inlineStr">
        <is>
          <t>NOT AVAILABLE</t>
        </is>
      </c>
      <c r="H661" t="inlineStr">
        <is>
          <t>NOT AVAILABLE</t>
        </is>
      </c>
      <c r="I661" t="inlineStr">
        <is>
          <t>NOT AVAILABLE</t>
        </is>
      </c>
      <c r="J661" t="inlineStr">
        <is>
          <t>NOT AVAILABLE</t>
        </is>
      </c>
      <c r="K661" t="inlineStr">
        <is>
          <t>NOT AVAILABLE</t>
        </is>
      </c>
      <c r="L661" t="inlineStr">
        <is>
          <t>NOT AVAILABLE</t>
        </is>
      </c>
      <c r="M661" t="inlineStr">
        <is>
          <t>UNAVAILABLE</t>
        </is>
      </c>
      <c r="N661" s="5" t="inlineStr">
        <is>
          <t>Semrush phrase_these returned no data (not billed)</t>
        </is>
      </c>
      <c r="O661" t="inlineStr">
        <is>
          <t>2026-10-30</t>
        </is>
      </c>
      <c r="P661">
        <f>IF(IF(J661="NOT AVAILABLE","",J661)="",12,IF(OR(ISNUMBER(SEARCH("Transactional",IF(J661="NOT AVAILABLE","",J661))),ISNUMBER(SEARCH("Commercial",IF(J661="NOT AVAILABLE","",J661)))),25,IF(ISNUMBER(SEARCH("Informational",IF(J661="NOT AVAILABLE","",J661))),10,IF(ISNUMBER(SEARCH("Navigational",IF(J661="NOT AVAILABLE","",J661))),0,12))))</f>
        <v/>
      </c>
      <c r="Q661">
        <f>IF(ISNUMBER(F661),MIN(30,ROUND(30*LOG10(F661+1)/4,1)),0)</f>
        <v/>
      </c>
      <c r="R661">
        <f>IF(ISNUMBER(G661),ROUND(25*(100-G661)/100,1),12.5)</f>
        <v/>
      </c>
      <c r="S661" t="n">
        <v>20</v>
      </c>
      <c r="T661">
        <f>ROUND(P661+Q661+R661+S661,0)</f>
        <v/>
      </c>
      <c r="U661" s="5" t="inlineStr"/>
      <c r="V661" s="5" t="inlineStr"/>
    </row>
    <row r="662">
      <c r="A662" t="inlineStr">
        <is>
          <t>K0660</t>
        </is>
      </c>
      <c r="B662" t="inlineStr">
        <is>
          <t>générateur de titre</t>
        </is>
      </c>
      <c r="C662" t="inlineStr">
        <is>
          <t>Morocco</t>
        </is>
      </c>
      <c r="D662" t="inlineStr">
        <is>
          <t>ma</t>
        </is>
      </c>
      <c r="E662" t="inlineStr">
        <is>
          <t>fr</t>
        </is>
      </c>
      <c r="F662" t="inlineStr">
        <is>
          <t>NOT AVAILABLE</t>
        </is>
      </c>
      <c r="G662" t="inlineStr">
        <is>
          <t>NOT AVAILABLE</t>
        </is>
      </c>
      <c r="H662" t="inlineStr">
        <is>
          <t>NOT AVAILABLE</t>
        </is>
      </c>
      <c r="I662" t="inlineStr">
        <is>
          <t>NOT AVAILABLE</t>
        </is>
      </c>
      <c r="J662" t="inlineStr">
        <is>
          <t>NOT AVAILABLE</t>
        </is>
      </c>
      <c r="K662" t="inlineStr">
        <is>
          <t>NOT AVAILABLE</t>
        </is>
      </c>
      <c r="L662" t="inlineStr">
        <is>
          <t>NOT AVAILABLE</t>
        </is>
      </c>
      <c r="M662" t="inlineStr">
        <is>
          <t>UNAVAILABLE</t>
        </is>
      </c>
      <c r="N662" s="5" t="inlineStr">
        <is>
          <t>Semrush phrase_these returned no data (not billed)</t>
        </is>
      </c>
      <c r="O662" t="inlineStr">
        <is>
          <t>2026-10-30</t>
        </is>
      </c>
      <c r="P662">
        <f>IF(IF(J662="NOT AVAILABLE","",J662)="",12,IF(OR(ISNUMBER(SEARCH("Transactional",IF(J662="NOT AVAILABLE","",J662))),ISNUMBER(SEARCH("Commercial",IF(J662="NOT AVAILABLE","",J662)))),25,IF(ISNUMBER(SEARCH("Informational",IF(J662="NOT AVAILABLE","",J662))),10,IF(ISNUMBER(SEARCH("Navigational",IF(J662="NOT AVAILABLE","",J662))),0,12))))</f>
        <v/>
      </c>
      <c r="Q662">
        <f>IF(ISNUMBER(F662),MIN(30,ROUND(30*LOG10(F662+1)/4,1)),0)</f>
        <v/>
      </c>
      <c r="R662">
        <f>IF(ISNUMBER(G662),ROUND(25*(100-G662)/100,1),12.5)</f>
        <v/>
      </c>
      <c r="S662" t="n">
        <v>20</v>
      </c>
      <c r="T662">
        <f>ROUND(P662+Q662+R662+S662,0)</f>
        <v/>
      </c>
      <c r="U662" s="5" t="inlineStr"/>
      <c r="V662" s="5" t="inlineStr"/>
    </row>
    <row r="663">
      <c r="A663" t="inlineStr">
        <is>
          <t>K0661</t>
        </is>
      </c>
      <c r="B663" t="inlineStr">
        <is>
          <t>générateur de titre de blog</t>
        </is>
      </c>
      <c r="C663" t="inlineStr">
        <is>
          <t>Morocco</t>
        </is>
      </c>
      <c r="D663" t="inlineStr">
        <is>
          <t>ma</t>
        </is>
      </c>
      <c r="E663" t="inlineStr">
        <is>
          <t>fr</t>
        </is>
      </c>
      <c r="F663" t="inlineStr">
        <is>
          <t>NOT AVAILABLE</t>
        </is>
      </c>
      <c r="G663" t="inlineStr">
        <is>
          <t>NOT AVAILABLE</t>
        </is>
      </c>
      <c r="H663" t="inlineStr">
        <is>
          <t>NOT AVAILABLE</t>
        </is>
      </c>
      <c r="I663" t="inlineStr">
        <is>
          <t>NOT AVAILABLE</t>
        </is>
      </c>
      <c r="J663" t="inlineStr">
        <is>
          <t>NOT AVAILABLE</t>
        </is>
      </c>
      <c r="K663" t="inlineStr">
        <is>
          <t>NOT AVAILABLE</t>
        </is>
      </c>
      <c r="L663" t="inlineStr">
        <is>
          <t>NOT AVAILABLE</t>
        </is>
      </c>
      <c r="M663" t="inlineStr">
        <is>
          <t>UNAVAILABLE</t>
        </is>
      </c>
      <c r="N663" s="5" t="inlineStr">
        <is>
          <t>Semrush phrase_these returned no data (not billed)</t>
        </is>
      </c>
      <c r="O663" t="inlineStr">
        <is>
          <t>2026-10-30</t>
        </is>
      </c>
      <c r="P663">
        <f>IF(IF(J663="NOT AVAILABLE","",J663)="",12,IF(OR(ISNUMBER(SEARCH("Transactional",IF(J663="NOT AVAILABLE","",J663))),ISNUMBER(SEARCH("Commercial",IF(J663="NOT AVAILABLE","",J663)))),25,IF(ISNUMBER(SEARCH("Informational",IF(J663="NOT AVAILABLE","",J663))),10,IF(ISNUMBER(SEARCH("Navigational",IF(J663="NOT AVAILABLE","",J663))),0,12))))</f>
        <v/>
      </c>
      <c r="Q663">
        <f>IF(ISNUMBER(F663),MIN(30,ROUND(30*LOG10(F663+1)/4,1)),0)</f>
        <v/>
      </c>
      <c r="R663">
        <f>IF(ISNUMBER(G663),ROUND(25*(100-G663)/100,1),12.5)</f>
        <v/>
      </c>
      <c r="S663" t="n">
        <v>20</v>
      </c>
      <c r="T663">
        <f>ROUND(P663+Q663+R663+S663,0)</f>
        <v/>
      </c>
      <c r="U663" s="5" t="inlineStr"/>
      <c r="V663" s="5" t="inlineStr"/>
    </row>
    <row r="664">
      <c r="A664" t="inlineStr">
        <is>
          <t>K0662</t>
        </is>
      </c>
      <c r="B664" t="inlineStr">
        <is>
          <t>générateur données structurées</t>
        </is>
      </c>
      <c r="C664" t="inlineStr">
        <is>
          <t>Morocco</t>
        </is>
      </c>
      <c r="D664" t="inlineStr">
        <is>
          <t>ma</t>
        </is>
      </c>
      <c r="E664" t="inlineStr">
        <is>
          <t>fr</t>
        </is>
      </c>
      <c r="F664" t="inlineStr">
        <is>
          <t>NOT AVAILABLE</t>
        </is>
      </c>
      <c r="G664" t="inlineStr">
        <is>
          <t>NOT AVAILABLE</t>
        </is>
      </c>
      <c r="H664" t="inlineStr">
        <is>
          <t>NOT AVAILABLE</t>
        </is>
      </c>
      <c r="I664" t="inlineStr">
        <is>
          <t>NOT AVAILABLE</t>
        </is>
      </c>
      <c r="J664" t="inlineStr">
        <is>
          <t>NOT AVAILABLE</t>
        </is>
      </c>
      <c r="K664" t="inlineStr">
        <is>
          <t>NOT AVAILABLE</t>
        </is>
      </c>
      <c r="L664" t="inlineStr">
        <is>
          <t>NOT AVAILABLE</t>
        </is>
      </c>
      <c r="M664" t="inlineStr">
        <is>
          <t>UNAVAILABLE</t>
        </is>
      </c>
      <c r="N664" s="5" t="inlineStr">
        <is>
          <t>Semrush phrase_these returned no data (not billed)</t>
        </is>
      </c>
      <c r="O664" t="inlineStr">
        <is>
          <t>2026-10-30</t>
        </is>
      </c>
      <c r="P664">
        <f>IF(IF(J664="NOT AVAILABLE","",J664)="",12,IF(OR(ISNUMBER(SEARCH("Transactional",IF(J664="NOT AVAILABLE","",J664))),ISNUMBER(SEARCH("Commercial",IF(J664="NOT AVAILABLE","",J664)))),25,IF(ISNUMBER(SEARCH("Informational",IF(J664="NOT AVAILABLE","",J664))),10,IF(ISNUMBER(SEARCH("Navigational",IF(J664="NOT AVAILABLE","",J664))),0,12))))</f>
        <v/>
      </c>
      <c r="Q664">
        <f>IF(ISNUMBER(F664),MIN(30,ROUND(30*LOG10(F664+1)/4,1)),0)</f>
        <v/>
      </c>
      <c r="R664">
        <f>IF(ISNUMBER(G664),ROUND(25*(100-G664)/100,1),12.5)</f>
        <v/>
      </c>
      <c r="S664" t="n">
        <v>20</v>
      </c>
      <c r="T664">
        <f>ROUND(P664+Q664+R664+S664,0)</f>
        <v/>
      </c>
      <c r="U664" s="5" t="inlineStr"/>
      <c r="V664" s="5" t="inlineStr"/>
    </row>
    <row r="665">
      <c r="A665" t="inlineStr">
        <is>
          <t>K0663</t>
        </is>
      </c>
      <c r="B665" t="inlineStr">
        <is>
          <t>générateur hreflang</t>
        </is>
      </c>
      <c r="C665" t="inlineStr">
        <is>
          <t>Morocco</t>
        </is>
      </c>
      <c r="D665" t="inlineStr">
        <is>
          <t>ma</t>
        </is>
      </c>
      <c r="E665" t="inlineStr">
        <is>
          <t>fr</t>
        </is>
      </c>
      <c r="F665" t="inlineStr">
        <is>
          <t>NOT AVAILABLE</t>
        </is>
      </c>
      <c r="G665" t="inlineStr">
        <is>
          <t>NOT AVAILABLE</t>
        </is>
      </c>
      <c r="H665" t="inlineStr">
        <is>
          <t>NOT AVAILABLE</t>
        </is>
      </c>
      <c r="I665" t="inlineStr">
        <is>
          <t>NOT AVAILABLE</t>
        </is>
      </c>
      <c r="J665" t="inlineStr">
        <is>
          <t>NOT AVAILABLE</t>
        </is>
      </c>
      <c r="K665" t="inlineStr">
        <is>
          <t>NOT AVAILABLE</t>
        </is>
      </c>
      <c r="L665" t="inlineStr">
        <is>
          <t>NOT AVAILABLE</t>
        </is>
      </c>
      <c r="M665" t="inlineStr">
        <is>
          <t>UNAVAILABLE</t>
        </is>
      </c>
      <c r="N665" s="5" t="inlineStr">
        <is>
          <t>Semrush phrase_these returned no data (not billed)</t>
        </is>
      </c>
      <c r="O665" t="inlineStr">
        <is>
          <t>2026-10-30</t>
        </is>
      </c>
      <c r="P665">
        <f>IF(IF(J665="NOT AVAILABLE","",J665)="",12,IF(OR(ISNUMBER(SEARCH("Transactional",IF(J665="NOT AVAILABLE","",J665))),ISNUMBER(SEARCH("Commercial",IF(J665="NOT AVAILABLE","",J665)))),25,IF(ISNUMBER(SEARCH("Informational",IF(J665="NOT AVAILABLE","",J665))),10,IF(ISNUMBER(SEARCH("Navigational",IF(J665="NOT AVAILABLE","",J665))),0,12))))</f>
        <v/>
      </c>
      <c r="Q665">
        <f>IF(ISNUMBER(F665),MIN(30,ROUND(30*LOG10(F665+1)/4,1)),0)</f>
        <v/>
      </c>
      <c r="R665">
        <f>IF(ISNUMBER(G665),ROUND(25*(100-G665)/100,1),12.5)</f>
        <v/>
      </c>
      <c r="S665" t="n">
        <v>20</v>
      </c>
      <c r="T665">
        <f>ROUND(P665+Q665+R665+S665,0)</f>
        <v/>
      </c>
      <c r="U665" s="5" t="inlineStr"/>
      <c r="V665" s="5" t="inlineStr"/>
    </row>
    <row r="666">
      <c r="A666" t="inlineStr">
        <is>
          <t>K0664</t>
        </is>
      </c>
      <c r="B666" t="inlineStr">
        <is>
          <t>générateur landing page</t>
        </is>
      </c>
      <c r="C666" t="inlineStr">
        <is>
          <t>Morocco</t>
        </is>
      </c>
      <c r="D666" t="inlineStr">
        <is>
          <t>ma</t>
        </is>
      </c>
      <c r="E666" t="inlineStr">
        <is>
          <t>fr</t>
        </is>
      </c>
      <c r="F666" t="inlineStr">
        <is>
          <t>NOT AVAILABLE</t>
        </is>
      </c>
      <c r="G666" t="inlineStr">
        <is>
          <t>NOT AVAILABLE</t>
        </is>
      </c>
      <c r="H666" t="inlineStr">
        <is>
          <t>NOT AVAILABLE</t>
        </is>
      </c>
      <c r="I666" t="inlineStr">
        <is>
          <t>NOT AVAILABLE</t>
        </is>
      </c>
      <c r="J666" t="inlineStr">
        <is>
          <t>NOT AVAILABLE</t>
        </is>
      </c>
      <c r="K666" t="inlineStr">
        <is>
          <t>NOT AVAILABLE</t>
        </is>
      </c>
      <c r="L666" t="inlineStr">
        <is>
          <t>NOT AVAILABLE</t>
        </is>
      </c>
      <c r="M666" t="inlineStr">
        <is>
          <t>UNAVAILABLE</t>
        </is>
      </c>
      <c r="N666" s="5" t="inlineStr">
        <is>
          <t>Semrush phrase_these returned no data (not billed)</t>
        </is>
      </c>
      <c r="O666" t="inlineStr">
        <is>
          <t>2026-10-30</t>
        </is>
      </c>
      <c r="P666">
        <f>IF(IF(J666="NOT AVAILABLE","",J666)="",12,IF(OR(ISNUMBER(SEARCH("Transactional",IF(J666="NOT AVAILABLE","",J666))),ISNUMBER(SEARCH("Commercial",IF(J666="NOT AVAILABLE","",J666)))),25,IF(ISNUMBER(SEARCH("Informational",IF(J666="NOT AVAILABLE","",J666))),10,IF(ISNUMBER(SEARCH("Navigational",IF(J666="NOT AVAILABLE","",J666))),0,12))))</f>
        <v/>
      </c>
      <c r="Q666">
        <f>IF(ISNUMBER(F666),MIN(30,ROUND(30*LOG10(F666+1)/4,1)),0)</f>
        <v/>
      </c>
      <c r="R666">
        <f>IF(ISNUMBER(G666),ROUND(25*(100-G666)/100,1),12.5)</f>
        <v/>
      </c>
      <c r="S666" t="n">
        <v>20</v>
      </c>
      <c r="T666">
        <f>ROUND(P666+Q666+R666+S666,0)</f>
        <v/>
      </c>
      <c r="U666" s="5" t="inlineStr"/>
      <c r="V666" s="5" t="inlineStr"/>
    </row>
    <row r="667">
      <c r="A667" t="inlineStr">
        <is>
          <t>K0665</t>
        </is>
      </c>
      <c r="B667" t="inlineStr">
        <is>
          <t>générateur meta description</t>
        </is>
      </c>
      <c r="C667" t="inlineStr">
        <is>
          <t>Morocco</t>
        </is>
      </c>
      <c r="D667" t="inlineStr">
        <is>
          <t>ma</t>
        </is>
      </c>
      <c r="E667" t="inlineStr">
        <is>
          <t>fr</t>
        </is>
      </c>
      <c r="F667" t="inlineStr">
        <is>
          <t>NOT AVAILABLE</t>
        </is>
      </c>
      <c r="G667" t="inlineStr">
        <is>
          <t>NOT AVAILABLE</t>
        </is>
      </c>
      <c r="H667" t="inlineStr">
        <is>
          <t>NOT AVAILABLE</t>
        </is>
      </c>
      <c r="I667" t="inlineStr">
        <is>
          <t>NOT AVAILABLE</t>
        </is>
      </c>
      <c r="J667" t="inlineStr">
        <is>
          <t>NOT AVAILABLE</t>
        </is>
      </c>
      <c r="K667" t="inlineStr">
        <is>
          <t>NOT AVAILABLE</t>
        </is>
      </c>
      <c r="L667" t="inlineStr">
        <is>
          <t>NOT AVAILABLE</t>
        </is>
      </c>
      <c r="M667" t="inlineStr">
        <is>
          <t>UNAVAILABLE</t>
        </is>
      </c>
      <c r="N667" s="5" t="inlineStr">
        <is>
          <t>Semrush phrase_these returned no data (not billed)</t>
        </is>
      </c>
      <c r="O667" t="inlineStr">
        <is>
          <t>2026-10-30</t>
        </is>
      </c>
      <c r="P667">
        <f>IF(IF(J667="NOT AVAILABLE","",J667)="",12,IF(OR(ISNUMBER(SEARCH("Transactional",IF(J667="NOT AVAILABLE","",J667))),ISNUMBER(SEARCH("Commercial",IF(J667="NOT AVAILABLE","",J667)))),25,IF(ISNUMBER(SEARCH("Informational",IF(J667="NOT AVAILABLE","",J667))),10,IF(ISNUMBER(SEARCH("Navigational",IF(J667="NOT AVAILABLE","",J667))),0,12))))</f>
        <v/>
      </c>
      <c r="Q667">
        <f>IF(ISNUMBER(F667),MIN(30,ROUND(30*LOG10(F667+1)/4,1)),0)</f>
        <v/>
      </c>
      <c r="R667">
        <f>IF(ISNUMBER(G667),ROUND(25*(100-G667)/100,1),12.5)</f>
        <v/>
      </c>
      <c r="S667" t="n">
        <v>20</v>
      </c>
      <c r="T667">
        <f>ROUND(P667+Q667+R667+S667,0)</f>
        <v/>
      </c>
      <c r="U667" s="5" t="inlineStr"/>
      <c r="V667" s="5" t="inlineStr"/>
    </row>
    <row r="668">
      <c r="A668" t="inlineStr">
        <is>
          <t>K0666</t>
        </is>
      </c>
      <c r="B668" t="inlineStr">
        <is>
          <t>générateur robots.txt</t>
        </is>
      </c>
      <c r="C668" t="inlineStr">
        <is>
          <t>Morocco</t>
        </is>
      </c>
      <c r="D668" t="inlineStr">
        <is>
          <t>ma</t>
        </is>
      </c>
      <c r="E668" t="inlineStr">
        <is>
          <t>fr</t>
        </is>
      </c>
      <c r="F668" t="inlineStr">
        <is>
          <t>NOT AVAILABLE</t>
        </is>
      </c>
      <c r="G668" t="inlineStr">
        <is>
          <t>NOT AVAILABLE</t>
        </is>
      </c>
      <c r="H668" t="inlineStr">
        <is>
          <t>NOT AVAILABLE</t>
        </is>
      </c>
      <c r="I668" t="inlineStr">
        <is>
          <t>NOT AVAILABLE</t>
        </is>
      </c>
      <c r="J668" t="inlineStr">
        <is>
          <t>NOT AVAILABLE</t>
        </is>
      </c>
      <c r="K668" t="inlineStr">
        <is>
          <t>NOT AVAILABLE</t>
        </is>
      </c>
      <c r="L668" t="inlineStr">
        <is>
          <t>NOT AVAILABLE</t>
        </is>
      </c>
      <c r="M668" t="inlineStr">
        <is>
          <t>UNAVAILABLE</t>
        </is>
      </c>
      <c r="N668" s="5" t="inlineStr">
        <is>
          <t>Semrush phrase_these returned no data (not billed)</t>
        </is>
      </c>
      <c r="O668" t="inlineStr">
        <is>
          <t>2026-10-30</t>
        </is>
      </c>
      <c r="P668">
        <f>IF(IF(J668="NOT AVAILABLE","",J668)="",12,IF(OR(ISNUMBER(SEARCH("Transactional",IF(J668="NOT AVAILABLE","",J668))),ISNUMBER(SEARCH("Commercial",IF(J668="NOT AVAILABLE","",J668)))),25,IF(ISNUMBER(SEARCH("Informational",IF(J668="NOT AVAILABLE","",J668))),10,IF(ISNUMBER(SEARCH("Navigational",IF(J668="NOT AVAILABLE","",J668))),0,12))))</f>
        <v/>
      </c>
      <c r="Q668">
        <f>IF(ISNUMBER(F668),MIN(30,ROUND(30*LOG10(F668+1)/4,1)),0)</f>
        <v/>
      </c>
      <c r="R668">
        <f>IF(ISNUMBER(G668),ROUND(25*(100-G668)/100,1),12.5)</f>
        <v/>
      </c>
      <c r="S668" t="n">
        <v>20</v>
      </c>
      <c r="T668">
        <f>ROUND(P668+Q668+R668+S668,0)</f>
        <v/>
      </c>
      <c r="U668" s="5" t="inlineStr"/>
      <c r="V668" s="5" t="inlineStr"/>
    </row>
    <row r="669">
      <c r="A669" t="inlineStr">
        <is>
          <t>K0667</t>
        </is>
      </c>
      <c r="B669" t="inlineStr">
        <is>
          <t>générateur schema</t>
        </is>
      </c>
      <c r="C669" t="inlineStr">
        <is>
          <t>Morocco</t>
        </is>
      </c>
      <c r="D669" t="inlineStr">
        <is>
          <t>ma</t>
        </is>
      </c>
      <c r="E669" t="inlineStr">
        <is>
          <t>fr</t>
        </is>
      </c>
      <c r="F669" t="inlineStr">
        <is>
          <t>NOT AVAILABLE</t>
        </is>
      </c>
      <c r="G669" t="inlineStr">
        <is>
          <t>NOT AVAILABLE</t>
        </is>
      </c>
      <c r="H669" t="inlineStr">
        <is>
          <t>NOT AVAILABLE</t>
        </is>
      </c>
      <c r="I669" t="inlineStr">
        <is>
          <t>NOT AVAILABLE</t>
        </is>
      </c>
      <c r="J669" t="inlineStr">
        <is>
          <t>NOT AVAILABLE</t>
        </is>
      </c>
      <c r="K669" t="inlineStr">
        <is>
          <t>NOT AVAILABLE</t>
        </is>
      </c>
      <c r="L669" t="inlineStr">
        <is>
          <t>NOT AVAILABLE</t>
        </is>
      </c>
      <c r="M669" t="inlineStr">
        <is>
          <t>UNAVAILABLE</t>
        </is>
      </c>
      <c r="N669" s="5" t="inlineStr">
        <is>
          <t>Semrush phrase_these returned no data (not billed)</t>
        </is>
      </c>
      <c r="O669" t="inlineStr">
        <is>
          <t>2026-10-30</t>
        </is>
      </c>
      <c r="P669">
        <f>IF(IF(J669="NOT AVAILABLE","",J669)="",12,IF(OR(ISNUMBER(SEARCH("Transactional",IF(J669="NOT AVAILABLE","",J669))),ISNUMBER(SEARCH("Commercial",IF(J669="NOT AVAILABLE","",J669)))),25,IF(ISNUMBER(SEARCH("Informational",IF(J669="NOT AVAILABLE","",J669))),10,IF(ISNUMBER(SEARCH("Navigational",IF(J669="NOT AVAILABLE","",J669))),0,12))))</f>
        <v/>
      </c>
      <c r="Q669">
        <f>IF(ISNUMBER(F669),MIN(30,ROUND(30*LOG10(F669+1)/4,1)),0)</f>
        <v/>
      </c>
      <c r="R669">
        <f>IF(ISNUMBER(G669),ROUND(25*(100-G669)/100,1),12.5)</f>
        <v/>
      </c>
      <c r="S669" t="n">
        <v>20</v>
      </c>
      <c r="T669">
        <f>ROUND(P669+Q669+R669+S669,0)</f>
        <v/>
      </c>
      <c r="U669" s="5" t="inlineStr"/>
      <c r="V669" s="5" t="inlineStr"/>
    </row>
    <row r="670">
      <c r="A670" t="inlineStr">
        <is>
          <t>K0668</t>
        </is>
      </c>
      <c r="B670" t="inlineStr">
        <is>
          <t>générateur schema faq</t>
        </is>
      </c>
      <c r="C670" t="inlineStr">
        <is>
          <t>Morocco</t>
        </is>
      </c>
      <c r="D670" t="inlineStr">
        <is>
          <t>ma</t>
        </is>
      </c>
      <c r="E670" t="inlineStr">
        <is>
          <t>fr</t>
        </is>
      </c>
      <c r="F670" t="inlineStr">
        <is>
          <t>NOT AVAILABLE</t>
        </is>
      </c>
      <c r="G670" t="inlineStr">
        <is>
          <t>NOT AVAILABLE</t>
        </is>
      </c>
      <c r="H670" t="inlineStr">
        <is>
          <t>NOT AVAILABLE</t>
        </is>
      </c>
      <c r="I670" t="inlineStr">
        <is>
          <t>NOT AVAILABLE</t>
        </is>
      </c>
      <c r="J670" t="inlineStr">
        <is>
          <t>NOT AVAILABLE</t>
        </is>
      </c>
      <c r="K670" t="inlineStr">
        <is>
          <t>NOT AVAILABLE</t>
        </is>
      </c>
      <c r="L670" t="inlineStr">
        <is>
          <t>NOT AVAILABLE</t>
        </is>
      </c>
      <c r="M670" t="inlineStr">
        <is>
          <t>UNAVAILABLE</t>
        </is>
      </c>
      <c r="N670" s="5" t="inlineStr">
        <is>
          <t>Semrush phrase_these returned no data (not billed)</t>
        </is>
      </c>
      <c r="O670" t="inlineStr">
        <is>
          <t>2026-10-30</t>
        </is>
      </c>
      <c r="P670">
        <f>IF(IF(J670="NOT AVAILABLE","",J670)="",12,IF(OR(ISNUMBER(SEARCH("Transactional",IF(J670="NOT AVAILABLE","",J670))),ISNUMBER(SEARCH("Commercial",IF(J670="NOT AVAILABLE","",J670)))),25,IF(ISNUMBER(SEARCH("Informational",IF(J670="NOT AVAILABLE","",J670))),10,IF(ISNUMBER(SEARCH("Navigational",IF(J670="NOT AVAILABLE","",J670))),0,12))))</f>
        <v/>
      </c>
      <c r="Q670">
        <f>IF(ISNUMBER(F670),MIN(30,ROUND(30*LOG10(F670+1)/4,1)),0)</f>
        <v/>
      </c>
      <c r="R670">
        <f>IF(ISNUMBER(G670),ROUND(25*(100-G670)/100,1),12.5)</f>
        <v/>
      </c>
      <c r="S670" t="n">
        <v>20</v>
      </c>
      <c r="T670">
        <f>ROUND(P670+Q670+R670+S670,0)</f>
        <v/>
      </c>
      <c r="U670" s="5" t="inlineStr"/>
      <c r="V670" s="5" t="inlineStr"/>
    </row>
    <row r="671">
      <c r="A671" t="inlineStr">
        <is>
          <t>K0669</t>
        </is>
      </c>
      <c r="B671" t="inlineStr">
        <is>
          <t>générateur titre ia</t>
        </is>
      </c>
      <c r="C671" t="inlineStr">
        <is>
          <t>Morocco</t>
        </is>
      </c>
      <c r="D671" t="inlineStr">
        <is>
          <t>ma</t>
        </is>
      </c>
      <c r="E671" t="inlineStr">
        <is>
          <t>fr</t>
        </is>
      </c>
      <c r="F671" t="inlineStr">
        <is>
          <t>NOT AVAILABLE</t>
        </is>
      </c>
      <c r="G671" t="inlineStr">
        <is>
          <t>NOT AVAILABLE</t>
        </is>
      </c>
      <c r="H671" t="inlineStr">
        <is>
          <t>NOT AVAILABLE</t>
        </is>
      </c>
      <c r="I671" t="inlineStr">
        <is>
          <t>NOT AVAILABLE</t>
        </is>
      </c>
      <c r="J671" t="inlineStr">
        <is>
          <t>NOT AVAILABLE</t>
        </is>
      </c>
      <c r="K671" t="inlineStr">
        <is>
          <t>NOT AVAILABLE</t>
        </is>
      </c>
      <c r="L671" t="inlineStr">
        <is>
          <t>NOT AVAILABLE</t>
        </is>
      </c>
      <c r="M671" t="inlineStr">
        <is>
          <t>UNAVAILABLE</t>
        </is>
      </c>
      <c r="N671" s="5" t="inlineStr">
        <is>
          <t>Semrush phrase_these returned no data (not billed)</t>
        </is>
      </c>
      <c r="O671" t="inlineStr">
        <is>
          <t>2026-10-30</t>
        </is>
      </c>
      <c r="P671">
        <f>IF(IF(J671="NOT AVAILABLE","",J671)="",12,IF(OR(ISNUMBER(SEARCH("Transactional",IF(J671="NOT AVAILABLE","",J671))),ISNUMBER(SEARCH("Commercial",IF(J671="NOT AVAILABLE","",J671)))),25,IF(ISNUMBER(SEARCH("Informational",IF(J671="NOT AVAILABLE","",J671))),10,IF(ISNUMBER(SEARCH("Navigational",IF(J671="NOT AVAILABLE","",J671))),0,12))))</f>
        <v/>
      </c>
      <c r="Q671">
        <f>IF(ISNUMBER(F671),MIN(30,ROUND(30*LOG10(F671+1)/4,1)),0)</f>
        <v/>
      </c>
      <c r="R671">
        <f>IF(ISNUMBER(G671),ROUND(25*(100-G671)/100,1),12.5)</f>
        <v/>
      </c>
      <c r="S671" t="n">
        <v>20</v>
      </c>
      <c r="T671">
        <f>ROUND(P671+Q671+R671+S671,0)</f>
        <v/>
      </c>
      <c r="U671" s="5" t="inlineStr"/>
      <c r="V671" s="5" t="inlineStr"/>
    </row>
    <row r="672">
      <c r="A672" t="inlineStr">
        <is>
          <t>K0670</t>
        </is>
      </c>
      <c r="B672" t="inlineStr">
        <is>
          <t>générateur utm</t>
        </is>
      </c>
      <c r="C672" t="inlineStr">
        <is>
          <t>Morocco</t>
        </is>
      </c>
      <c r="D672" t="inlineStr">
        <is>
          <t>ma</t>
        </is>
      </c>
      <c r="E672" t="inlineStr">
        <is>
          <t>fr</t>
        </is>
      </c>
      <c r="F672" t="inlineStr">
        <is>
          <t>NOT AVAILABLE</t>
        </is>
      </c>
      <c r="G672" t="inlineStr">
        <is>
          <t>NOT AVAILABLE</t>
        </is>
      </c>
      <c r="H672" t="inlineStr">
        <is>
          <t>NOT AVAILABLE</t>
        </is>
      </c>
      <c r="I672" t="inlineStr">
        <is>
          <t>NOT AVAILABLE</t>
        </is>
      </c>
      <c r="J672" t="inlineStr">
        <is>
          <t>NOT AVAILABLE</t>
        </is>
      </c>
      <c r="K672" t="inlineStr">
        <is>
          <t>NOT AVAILABLE</t>
        </is>
      </c>
      <c r="L672" t="inlineStr">
        <is>
          <t>NOT AVAILABLE</t>
        </is>
      </c>
      <c r="M672" t="inlineStr">
        <is>
          <t>UNAVAILABLE</t>
        </is>
      </c>
      <c r="N672" s="5" t="inlineStr">
        <is>
          <t>Semrush phrase_these returned no data (not billed)</t>
        </is>
      </c>
      <c r="O672" t="inlineStr">
        <is>
          <t>2026-10-30</t>
        </is>
      </c>
      <c r="P672">
        <f>IF(IF(J672="NOT AVAILABLE","",J672)="",12,IF(OR(ISNUMBER(SEARCH("Transactional",IF(J672="NOT AVAILABLE","",J672))),ISNUMBER(SEARCH("Commercial",IF(J672="NOT AVAILABLE","",J672)))),25,IF(ISNUMBER(SEARCH("Informational",IF(J672="NOT AVAILABLE","",J672))),10,IF(ISNUMBER(SEARCH("Navigational",IF(J672="NOT AVAILABLE","",J672))),0,12))))</f>
        <v/>
      </c>
      <c r="Q672">
        <f>IF(ISNUMBER(F672),MIN(30,ROUND(30*LOG10(F672+1)/4,1)),0)</f>
        <v/>
      </c>
      <c r="R672">
        <f>IF(ISNUMBER(G672),ROUND(25*(100-G672)/100,1),12.5)</f>
        <v/>
      </c>
      <c r="S672" t="n">
        <v>20</v>
      </c>
      <c r="T672">
        <f>ROUND(P672+Q672+R672+S672,0)</f>
        <v/>
      </c>
      <c r="U672" s="5" t="inlineStr"/>
      <c r="V672" s="5" t="inlineStr"/>
    </row>
    <row r="673">
      <c r="A673" t="inlineStr">
        <is>
          <t>K0671</t>
        </is>
      </c>
      <c r="B673" t="inlineStr">
        <is>
          <t>html en texte</t>
        </is>
      </c>
      <c r="C673" t="inlineStr">
        <is>
          <t>Morocco</t>
        </is>
      </c>
      <c r="D673" t="inlineStr">
        <is>
          <t>ma</t>
        </is>
      </c>
      <c r="E673" t="inlineStr">
        <is>
          <t>fr</t>
        </is>
      </c>
      <c r="F673" t="inlineStr">
        <is>
          <t>NOT AVAILABLE</t>
        </is>
      </c>
      <c r="G673" t="inlineStr">
        <is>
          <t>NOT AVAILABLE</t>
        </is>
      </c>
      <c r="H673" t="inlineStr">
        <is>
          <t>NOT AVAILABLE</t>
        </is>
      </c>
      <c r="I673" t="inlineStr">
        <is>
          <t>NOT AVAILABLE</t>
        </is>
      </c>
      <c r="J673" t="inlineStr">
        <is>
          <t>NOT AVAILABLE</t>
        </is>
      </c>
      <c r="K673" t="inlineStr">
        <is>
          <t>NOT AVAILABLE</t>
        </is>
      </c>
      <c r="L673" t="inlineStr">
        <is>
          <t>NOT AVAILABLE</t>
        </is>
      </c>
      <c r="M673" t="inlineStr">
        <is>
          <t>UNAVAILABLE</t>
        </is>
      </c>
      <c r="N673" s="5" t="inlineStr">
        <is>
          <t>Semrush phrase_these returned no data (not billed)</t>
        </is>
      </c>
      <c r="O673" t="inlineStr">
        <is>
          <t>2026-10-30</t>
        </is>
      </c>
      <c r="P673">
        <f>IF(IF(J673="NOT AVAILABLE","",J673)="",12,IF(OR(ISNUMBER(SEARCH("Transactional",IF(J673="NOT AVAILABLE","",J673))),ISNUMBER(SEARCH("Commercial",IF(J673="NOT AVAILABLE","",J673)))),25,IF(ISNUMBER(SEARCH("Informational",IF(J673="NOT AVAILABLE","",J673))),10,IF(ISNUMBER(SEARCH("Navigational",IF(J673="NOT AVAILABLE","",J673))),0,12))))</f>
        <v/>
      </c>
      <c r="Q673">
        <f>IF(ISNUMBER(F673),MIN(30,ROUND(30*LOG10(F673+1)/4,1)),0)</f>
        <v/>
      </c>
      <c r="R673">
        <f>IF(ISNUMBER(G673),ROUND(25*(100-G673)/100,1),12.5)</f>
        <v/>
      </c>
      <c r="S673" t="n">
        <v>20</v>
      </c>
      <c r="T673">
        <f>ROUND(P673+Q673+R673+S673,0)</f>
        <v/>
      </c>
      <c r="U673" s="5" t="inlineStr"/>
      <c r="V673" s="5" t="inlineStr"/>
    </row>
    <row r="674">
      <c r="A674" t="inlineStr">
        <is>
          <t>K0672</t>
        </is>
      </c>
      <c r="B674" t="inlineStr">
        <is>
          <t>idée mots clés</t>
        </is>
      </c>
      <c r="C674" t="inlineStr">
        <is>
          <t>Morocco</t>
        </is>
      </c>
      <c r="D674" t="inlineStr">
        <is>
          <t>ma</t>
        </is>
      </c>
      <c r="E674" t="inlineStr">
        <is>
          <t>fr</t>
        </is>
      </c>
      <c r="F674" t="inlineStr">
        <is>
          <t>NOT AVAILABLE</t>
        </is>
      </c>
      <c r="G674" t="inlineStr">
        <is>
          <t>NOT AVAILABLE</t>
        </is>
      </c>
      <c r="H674" t="inlineStr">
        <is>
          <t>NOT AVAILABLE</t>
        </is>
      </c>
      <c r="I674" t="inlineStr">
        <is>
          <t>NOT AVAILABLE</t>
        </is>
      </c>
      <c r="J674" t="inlineStr">
        <is>
          <t>NOT AVAILABLE</t>
        </is>
      </c>
      <c r="K674" t="inlineStr">
        <is>
          <t>NOT AVAILABLE</t>
        </is>
      </c>
      <c r="L674" t="inlineStr">
        <is>
          <t>NOT AVAILABLE</t>
        </is>
      </c>
      <c r="M674" t="inlineStr">
        <is>
          <t>UNAVAILABLE</t>
        </is>
      </c>
      <c r="N674" s="5" t="inlineStr">
        <is>
          <t>Semrush phrase_these returned no data (not billed)</t>
        </is>
      </c>
      <c r="O674" t="inlineStr">
        <is>
          <t>2026-10-30</t>
        </is>
      </c>
      <c r="P674">
        <f>IF(IF(J674="NOT AVAILABLE","",J674)="",12,IF(OR(ISNUMBER(SEARCH("Transactional",IF(J674="NOT AVAILABLE","",J674))),ISNUMBER(SEARCH("Commercial",IF(J674="NOT AVAILABLE","",J674)))),25,IF(ISNUMBER(SEARCH("Informational",IF(J674="NOT AVAILABLE","",J674))),10,IF(ISNUMBER(SEARCH("Navigational",IF(J674="NOT AVAILABLE","",J674))),0,12))))</f>
        <v/>
      </c>
      <c r="Q674">
        <f>IF(ISNUMBER(F674),MIN(30,ROUND(30*LOG10(F674+1)/4,1)),0)</f>
        <v/>
      </c>
      <c r="R674">
        <f>IF(ISNUMBER(G674),ROUND(25*(100-G674)/100,1),12.5)</f>
        <v/>
      </c>
      <c r="S674" t="n">
        <v>20</v>
      </c>
      <c r="T674">
        <f>ROUND(P674+Q674+R674+S674,0)</f>
        <v/>
      </c>
      <c r="U674" s="5" t="inlineStr"/>
      <c r="V674" s="5" t="inlineStr"/>
    </row>
    <row r="675">
      <c r="A675" t="inlineStr">
        <is>
          <t>K0673</t>
        </is>
      </c>
      <c r="B675" t="inlineStr">
        <is>
          <t>idée titre article</t>
        </is>
      </c>
      <c r="C675" t="inlineStr">
        <is>
          <t>Morocco</t>
        </is>
      </c>
      <c r="D675" t="inlineStr">
        <is>
          <t>ma</t>
        </is>
      </c>
      <c r="E675" t="inlineStr">
        <is>
          <t>fr</t>
        </is>
      </c>
      <c r="F675" t="inlineStr">
        <is>
          <t>NOT AVAILABLE</t>
        </is>
      </c>
      <c r="G675" t="inlineStr">
        <is>
          <t>NOT AVAILABLE</t>
        </is>
      </c>
      <c r="H675" t="inlineStr">
        <is>
          <t>NOT AVAILABLE</t>
        </is>
      </c>
      <c r="I675" t="inlineStr">
        <is>
          <t>NOT AVAILABLE</t>
        </is>
      </c>
      <c r="J675" t="inlineStr">
        <is>
          <t>NOT AVAILABLE</t>
        </is>
      </c>
      <c r="K675" t="inlineStr">
        <is>
          <t>NOT AVAILABLE</t>
        </is>
      </c>
      <c r="L675" t="inlineStr">
        <is>
          <t>NOT AVAILABLE</t>
        </is>
      </c>
      <c r="M675" t="inlineStr">
        <is>
          <t>UNAVAILABLE</t>
        </is>
      </c>
      <c r="N675" s="5" t="inlineStr">
        <is>
          <t>Semrush phrase_these returned no data (not billed)</t>
        </is>
      </c>
      <c r="O675" t="inlineStr">
        <is>
          <t>2026-10-30</t>
        </is>
      </c>
      <c r="P675">
        <f>IF(IF(J675="NOT AVAILABLE","",J675)="",12,IF(OR(ISNUMBER(SEARCH("Transactional",IF(J675="NOT AVAILABLE","",J675))),ISNUMBER(SEARCH("Commercial",IF(J675="NOT AVAILABLE","",J675)))),25,IF(ISNUMBER(SEARCH("Informational",IF(J675="NOT AVAILABLE","",J675))),10,IF(ISNUMBER(SEARCH("Navigational",IF(J675="NOT AVAILABLE","",J675))),0,12))))</f>
        <v/>
      </c>
      <c r="Q675">
        <f>IF(ISNUMBER(F675),MIN(30,ROUND(30*LOG10(F675+1)/4,1)),0)</f>
        <v/>
      </c>
      <c r="R675">
        <f>IF(ISNUMBER(G675),ROUND(25*(100-G675)/100,1),12.5)</f>
        <v/>
      </c>
      <c r="S675" t="n">
        <v>20</v>
      </c>
      <c r="T675">
        <f>ROUND(P675+Q675+R675+S675,0)</f>
        <v/>
      </c>
      <c r="U675" s="5" t="inlineStr"/>
      <c r="V675" s="5" t="inlineStr"/>
    </row>
    <row r="676">
      <c r="A676" t="inlineStr">
        <is>
          <t>K0674</t>
        </is>
      </c>
      <c r="B676" t="inlineStr">
        <is>
          <t>lcp inp cls</t>
        </is>
      </c>
      <c r="C676" t="inlineStr">
        <is>
          <t>Morocco</t>
        </is>
      </c>
      <c r="D676" t="inlineStr">
        <is>
          <t>ma</t>
        </is>
      </c>
      <c r="E676" t="inlineStr">
        <is>
          <t>fr</t>
        </is>
      </c>
      <c r="F676" t="inlineStr">
        <is>
          <t>NOT AVAILABLE</t>
        </is>
      </c>
      <c r="G676" t="inlineStr">
        <is>
          <t>NOT AVAILABLE</t>
        </is>
      </c>
      <c r="H676" t="inlineStr">
        <is>
          <t>NOT AVAILABLE</t>
        </is>
      </c>
      <c r="I676" t="inlineStr">
        <is>
          <t>NOT AVAILABLE</t>
        </is>
      </c>
      <c r="J676" t="inlineStr">
        <is>
          <t>NOT AVAILABLE</t>
        </is>
      </c>
      <c r="K676" t="inlineStr">
        <is>
          <t>NOT AVAILABLE</t>
        </is>
      </c>
      <c r="L676" t="inlineStr">
        <is>
          <t>NOT AVAILABLE</t>
        </is>
      </c>
      <c r="M676" t="inlineStr">
        <is>
          <t>UNAVAILABLE</t>
        </is>
      </c>
      <c r="N676" s="5" t="inlineStr">
        <is>
          <t>Semrush phrase_these returned no data (not billed)</t>
        </is>
      </c>
      <c r="O676" t="inlineStr">
        <is>
          <t>2026-10-30</t>
        </is>
      </c>
      <c r="P676">
        <f>IF(IF(J676="NOT AVAILABLE","",J676)="",12,IF(OR(ISNUMBER(SEARCH("Transactional",IF(J676="NOT AVAILABLE","",J676))),ISNUMBER(SEARCH("Commercial",IF(J676="NOT AVAILABLE","",J676)))),25,IF(ISNUMBER(SEARCH("Informational",IF(J676="NOT AVAILABLE","",J676))),10,IF(ISNUMBER(SEARCH("Navigational",IF(J676="NOT AVAILABLE","",J676))),0,12))))</f>
        <v/>
      </c>
      <c r="Q676">
        <f>IF(ISNUMBER(F676),MIN(30,ROUND(30*LOG10(F676+1)/4,1)),0)</f>
        <v/>
      </c>
      <c r="R676">
        <f>IF(ISNUMBER(G676),ROUND(25*(100-G676)/100,1),12.5)</f>
        <v/>
      </c>
      <c r="S676" t="n">
        <v>20</v>
      </c>
      <c r="T676">
        <f>ROUND(P676+Q676+R676+S676,0)</f>
        <v/>
      </c>
      <c r="U676" s="5" t="inlineStr"/>
      <c r="V676" s="5" t="inlineStr"/>
    </row>
    <row r="677">
      <c r="A677" t="inlineStr">
        <is>
          <t>K0675</t>
        </is>
      </c>
      <c r="B677" t="inlineStr">
        <is>
          <t>lien nofollow</t>
        </is>
      </c>
      <c r="C677" t="inlineStr">
        <is>
          <t>Morocco</t>
        </is>
      </c>
      <c r="D677" t="inlineStr">
        <is>
          <t>ma</t>
        </is>
      </c>
      <c r="E677" t="inlineStr">
        <is>
          <t>fr</t>
        </is>
      </c>
      <c r="F677" t="inlineStr">
        <is>
          <t>NOT AVAILABLE</t>
        </is>
      </c>
      <c r="G677" t="inlineStr">
        <is>
          <t>NOT AVAILABLE</t>
        </is>
      </c>
      <c r="H677" t="inlineStr">
        <is>
          <t>NOT AVAILABLE</t>
        </is>
      </c>
      <c r="I677" t="inlineStr">
        <is>
          <t>NOT AVAILABLE</t>
        </is>
      </c>
      <c r="J677" t="inlineStr">
        <is>
          <t>NOT AVAILABLE</t>
        </is>
      </c>
      <c r="K677" t="inlineStr">
        <is>
          <t>NOT AVAILABLE</t>
        </is>
      </c>
      <c r="L677" t="inlineStr">
        <is>
          <t>NOT AVAILABLE</t>
        </is>
      </c>
      <c r="M677" t="inlineStr">
        <is>
          <t>UNAVAILABLE</t>
        </is>
      </c>
      <c r="N677" s="5" t="inlineStr">
        <is>
          <t>Semrush phrase_these returned no data (not billed)</t>
        </is>
      </c>
      <c r="O677" t="inlineStr">
        <is>
          <t>2026-10-30</t>
        </is>
      </c>
      <c r="P677">
        <f>IF(IF(J677="NOT AVAILABLE","",J677)="",12,IF(OR(ISNUMBER(SEARCH("Transactional",IF(J677="NOT AVAILABLE","",J677))),ISNUMBER(SEARCH("Commercial",IF(J677="NOT AVAILABLE","",J677)))),25,IF(ISNUMBER(SEARCH("Informational",IF(J677="NOT AVAILABLE","",J677))),10,IF(ISNUMBER(SEARCH("Navigational",IF(J677="NOT AVAILABLE","",J677))),0,12))))</f>
        <v/>
      </c>
      <c r="Q677">
        <f>IF(ISNUMBER(F677),MIN(30,ROUND(30*LOG10(F677+1)/4,1)),0)</f>
        <v/>
      </c>
      <c r="R677">
        <f>IF(ISNUMBER(G677),ROUND(25*(100-G677)/100,1),12.5)</f>
        <v/>
      </c>
      <c r="S677" t="n">
        <v>20</v>
      </c>
      <c r="T677">
        <f>ROUND(P677+Q677+R677+S677,0)</f>
        <v/>
      </c>
      <c r="U677" s="5" t="inlineStr"/>
      <c r="V677" s="5" t="inlineStr"/>
    </row>
    <row r="678">
      <c r="A678" t="inlineStr">
        <is>
          <t>K0676</t>
        </is>
      </c>
      <c r="B678" t="inlineStr">
        <is>
          <t>liens cassés</t>
        </is>
      </c>
      <c r="C678" t="inlineStr">
        <is>
          <t>Morocco</t>
        </is>
      </c>
      <c r="D678" t="inlineStr">
        <is>
          <t>ma</t>
        </is>
      </c>
      <c r="E678" t="inlineStr">
        <is>
          <t>fr</t>
        </is>
      </c>
      <c r="F678" t="inlineStr">
        <is>
          <t>NOT AVAILABLE</t>
        </is>
      </c>
      <c r="G678" t="inlineStr">
        <is>
          <t>NOT AVAILABLE</t>
        </is>
      </c>
      <c r="H678" t="inlineStr">
        <is>
          <t>NOT AVAILABLE</t>
        </is>
      </c>
      <c r="I678" t="inlineStr">
        <is>
          <t>NOT AVAILABLE</t>
        </is>
      </c>
      <c r="J678" t="inlineStr">
        <is>
          <t>NOT AVAILABLE</t>
        </is>
      </c>
      <c r="K678" t="inlineStr">
        <is>
          <t>NOT AVAILABLE</t>
        </is>
      </c>
      <c r="L678" t="inlineStr">
        <is>
          <t>NOT AVAILABLE</t>
        </is>
      </c>
      <c r="M678" t="inlineStr">
        <is>
          <t>UNAVAILABLE</t>
        </is>
      </c>
      <c r="N678" s="5" t="inlineStr">
        <is>
          <t>Semrush phrase_these returned no data (not billed)</t>
        </is>
      </c>
      <c r="O678" t="inlineStr">
        <is>
          <t>2026-10-30</t>
        </is>
      </c>
      <c r="P678">
        <f>IF(IF(J678="NOT AVAILABLE","",J678)="",12,IF(OR(ISNUMBER(SEARCH("Transactional",IF(J678="NOT AVAILABLE","",J678))),ISNUMBER(SEARCH("Commercial",IF(J678="NOT AVAILABLE","",J678)))),25,IF(ISNUMBER(SEARCH("Informational",IF(J678="NOT AVAILABLE","",J678))),10,IF(ISNUMBER(SEARCH("Navigational",IF(J678="NOT AVAILABLE","",J678))),0,12))))</f>
        <v/>
      </c>
      <c r="Q678">
        <f>IF(ISNUMBER(F678),MIN(30,ROUND(30*LOG10(F678+1)/4,1)),0)</f>
        <v/>
      </c>
      <c r="R678">
        <f>IF(ISNUMBER(G678),ROUND(25*(100-G678)/100,1),12.5)</f>
        <v/>
      </c>
      <c r="S678" t="n">
        <v>20</v>
      </c>
      <c r="T678">
        <f>ROUND(P678+Q678+R678+S678,0)</f>
        <v/>
      </c>
      <c r="U678" s="5" t="inlineStr"/>
      <c r="V678" s="5" t="inlineStr"/>
    </row>
    <row r="679">
      <c r="A679" t="inlineStr">
        <is>
          <t>K0677</t>
        </is>
      </c>
      <c r="B679" t="inlineStr">
        <is>
          <t>liens internes</t>
        </is>
      </c>
      <c r="C679" t="inlineStr">
        <is>
          <t>Morocco</t>
        </is>
      </c>
      <c r="D679" t="inlineStr">
        <is>
          <t>ma</t>
        </is>
      </c>
      <c r="E679" t="inlineStr">
        <is>
          <t>fr</t>
        </is>
      </c>
      <c r="F679" t="inlineStr">
        <is>
          <t>NOT AVAILABLE</t>
        </is>
      </c>
      <c r="G679" t="inlineStr">
        <is>
          <t>NOT AVAILABLE</t>
        </is>
      </c>
      <c r="H679" t="inlineStr">
        <is>
          <t>NOT AVAILABLE</t>
        </is>
      </c>
      <c r="I679" t="inlineStr">
        <is>
          <t>NOT AVAILABLE</t>
        </is>
      </c>
      <c r="J679" t="inlineStr">
        <is>
          <t>NOT AVAILABLE</t>
        </is>
      </c>
      <c r="K679" t="inlineStr">
        <is>
          <t>NOT AVAILABLE</t>
        </is>
      </c>
      <c r="L679" t="inlineStr">
        <is>
          <t>NOT AVAILABLE</t>
        </is>
      </c>
      <c r="M679" t="inlineStr">
        <is>
          <t>UNAVAILABLE</t>
        </is>
      </c>
      <c r="N679" s="5" t="inlineStr">
        <is>
          <t>Semrush phrase_these returned no data (not billed)</t>
        </is>
      </c>
      <c r="O679" t="inlineStr">
        <is>
          <t>2026-10-30</t>
        </is>
      </c>
      <c r="P679">
        <f>IF(IF(J679="NOT AVAILABLE","",J679)="",12,IF(OR(ISNUMBER(SEARCH("Transactional",IF(J679="NOT AVAILABLE","",J679))),ISNUMBER(SEARCH("Commercial",IF(J679="NOT AVAILABLE","",J679)))),25,IF(ISNUMBER(SEARCH("Informational",IF(J679="NOT AVAILABLE","",J679))),10,IF(ISNUMBER(SEARCH("Navigational",IF(J679="NOT AVAILABLE","",J679))),0,12))))</f>
        <v/>
      </c>
      <c r="Q679">
        <f>IF(ISNUMBER(F679),MIN(30,ROUND(30*LOG10(F679+1)/4,1)),0)</f>
        <v/>
      </c>
      <c r="R679">
        <f>IF(ISNUMBER(G679),ROUND(25*(100-G679)/100,1),12.5)</f>
        <v/>
      </c>
      <c r="S679" t="n">
        <v>20</v>
      </c>
      <c r="T679">
        <f>ROUND(P679+Q679+R679+S679,0)</f>
        <v/>
      </c>
      <c r="U679" s="5" t="inlineStr"/>
      <c r="V679" s="5" t="inlineStr"/>
    </row>
    <row r="680">
      <c r="A680" t="inlineStr">
        <is>
          <t>K0678</t>
        </is>
      </c>
      <c r="B680" t="inlineStr">
        <is>
          <t>lisibilité texte</t>
        </is>
      </c>
      <c r="C680" t="inlineStr">
        <is>
          <t>Morocco</t>
        </is>
      </c>
      <c r="D680" t="inlineStr">
        <is>
          <t>ma</t>
        </is>
      </c>
      <c r="E680" t="inlineStr">
        <is>
          <t>fr</t>
        </is>
      </c>
      <c r="F680" t="n">
        <v>0</v>
      </c>
      <c r="G680" t="inlineStr">
        <is>
          <t>NOT AVAILABLE</t>
        </is>
      </c>
      <c r="H680" t="n">
        <v>0</v>
      </c>
      <c r="I680" t="n">
        <v>0</v>
      </c>
      <c r="J680" t="inlineStr">
        <is>
          <t>NOT AVAILABLE</t>
        </is>
      </c>
      <c r="K680" t="inlineStr">
        <is>
          <t>NOT AVAILABLE (report not requested)</t>
        </is>
      </c>
      <c r="L680" t="inlineStr">
        <is>
          <t>flat (no data)</t>
        </is>
      </c>
      <c r="M680" t="inlineStr">
        <is>
          <t>MEASURED</t>
        </is>
      </c>
      <c r="N680" s="5" t="inlineStr">
        <is>
          <t>Semrush phrase_these (live, this session)</t>
        </is>
      </c>
      <c r="O680" t="inlineStr">
        <is>
          <t>2026-10-30</t>
        </is>
      </c>
      <c r="P680">
        <f>IF(IF(J680="NOT AVAILABLE","",J680)="",12,IF(OR(ISNUMBER(SEARCH("Transactional",IF(J680="NOT AVAILABLE","",J680))),ISNUMBER(SEARCH("Commercial",IF(J680="NOT AVAILABLE","",J680)))),25,IF(ISNUMBER(SEARCH("Informational",IF(J680="NOT AVAILABLE","",J680))),10,IF(ISNUMBER(SEARCH("Navigational",IF(J680="NOT AVAILABLE","",J680))),0,12))))</f>
        <v/>
      </c>
      <c r="Q680">
        <f>IF(ISNUMBER(F680),MIN(30,ROUND(30*LOG10(F680+1)/4,1)),0)</f>
        <v/>
      </c>
      <c r="R680">
        <f>IF(ISNUMBER(G680),ROUND(25*(100-G680)/100,1),12.5)</f>
        <v/>
      </c>
      <c r="S680" t="n">
        <v>20</v>
      </c>
      <c r="T680">
        <f>ROUND(P680+Q680+R680+S680,0)</f>
        <v/>
      </c>
      <c r="U680" s="5" t="inlineStr"/>
      <c r="V680" s="5" t="inlineStr"/>
    </row>
    <row r="681">
      <c r="A681" t="inlineStr">
        <is>
          <t>K0679</t>
        </is>
      </c>
      <c r="B681" t="inlineStr">
        <is>
          <t>llms txt</t>
        </is>
      </c>
      <c r="C681" t="inlineStr">
        <is>
          <t>Morocco</t>
        </is>
      </c>
      <c r="D681" t="inlineStr">
        <is>
          <t>ma</t>
        </is>
      </c>
      <c r="E681" t="inlineStr">
        <is>
          <t>fr</t>
        </is>
      </c>
      <c r="F681" t="inlineStr">
        <is>
          <t>NOT AVAILABLE</t>
        </is>
      </c>
      <c r="G681" t="inlineStr">
        <is>
          <t>NOT AVAILABLE</t>
        </is>
      </c>
      <c r="H681" t="inlineStr">
        <is>
          <t>NOT AVAILABLE</t>
        </is>
      </c>
      <c r="I681" t="inlineStr">
        <is>
          <t>NOT AVAILABLE</t>
        </is>
      </c>
      <c r="J681" t="inlineStr">
        <is>
          <t>NOT AVAILABLE</t>
        </is>
      </c>
      <c r="K681" t="inlineStr">
        <is>
          <t>NOT AVAILABLE</t>
        </is>
      </c>
      <c r="L681" t="inlineStr">
        <is>
          <t>NOT AVAILABLE</t>
        </is>
      </c>
      <c r="M681" t="inlineStr">
        <is>
          <t>UNAVAILABLE</t>
        </is>
      </c>
      <c r="N681" s="5" t="inlineStr">
        <is>
          <t>Semrush phrase_these returned no data (not billed)</t>
        </is>
      </c>
      <c r="O681" t="inlineStr">
        <is>
          <t>2026-10-30</t>
        </is>
      </c>
      <c r="P681">
        <f>IF(IF(J681="NOT AVAILABLE","",J681)="",12,IF(OR(ISNUMBER(SEARCH("Transactional",IF(J681="NOT AVAILABLE","",J681))),ISNUMBER(SEARCH("Commercial",IF(J681="NOT AVAILABLE","",J681)))),25,IF(ISNUMBER(SEARCH("Informational",IF(J681="NOT AVAILABLE","",J681))),10,IF(ISNUMBER(SEARCH("Navigational",IF(J681="NOT AVAILABLE","",J681))),0,12))))</f>
        <v/>
      </c>
      <c r="Q681">
        <f>IF(ISNUMBER(F681),MIN(30,ROUND(30*LOG10(F681+1)/4,1)),0)</f>
        <v/>
      </c>
      <c r="R681">
        <f>IF(ISNUMBER(G681),ROUND(25*(100-G681)/100,1),12.5)</f>
        <v/>
      </c>
      <c r="S681" t="n">
        <v>20</v>
      </c>
      <c r="T681">
        <f>ROUND(P681+Q681+R681+S681,0)</f>
        <v/>
      </c>
      <c r="U681" s="5" t="inlineStr"/>
      <c r="V681" s="5" t="inlineStr"/>
    </row>
    <row r="682">
      <c r="A682" t="inlineStr">
        <is>
          <t>K0680</t>
        </is>
      </c>
      <c r="B682" t="inlineStr">
        <is>
          <t>llms.txt</t>
        </is>
      </c>
      <c r="C682" t="inlineStr">
        <is>
          <t>Morocco</t>
        </is>
      </c>
      <c r="D682" t="inlineStr">
        <is>
          <t>ma</t>
        </is>
      </c>
      <c r="E682" t="inlineStr">
        <is>
          <t>fr</t>
        </is>
      </c>
      <c r="F682" t="inlineStr">
        <is>
          <t>NOT AVAILABLE</t>
        </is>
      </c>
      <c r="G682" t="inlineStr">
        <is>
          <t>NOT AVAILABLE</t>
        </is>
      </c>
      <c r="H682" t="inlineStr">
        <is>
          <t>NOT AVAILABLE</t>
        </is>
      </c>
      <c r="I682" t="inlineStr">
        <is>
          <t>NOT AVAILABLE</t>
        </is>
      </c>
      <c r="J682" t="inlineStr">
        <is>
          <t>NOT AVAILABLE</t>
        </is>
      </c>
      <c r="K682" t="inlineStr">
        <is>
          <t>NOT AVAILABLE</t>
        </is>
      </c>
      <c r="L682" t="inlineStr">
        <is>
          <t>NOT AVAILABLE</t>
        </is>
      </c>
      <c r="M682" t="inlineStr">
        <is>
          <t>UNAVAILABLE</t>
        </is>
      </c>
      <c r="N682" s="5" t="inlineStr">
        <is>
          <t>Semrush phrase_these returned no data (not billed)</t>
        </is>
      </c>
      <c r="O682" t="inlineStr">
        <is>
          <t>2026-10-30</t>
        </is>
      </c>
      <c r="P682">
        <f>IF(IF(J682="NOT AVAILABLE","",J682)="",12,IF(OR(ISNUMBER(SEARCH("Transactional",IF(J682="NOT AVAILABLE","",J682))),ISNUMBER(SEARCH("Commercial",IF(J682="NOT AVAILABLE","",J682)))),25,IF(ISNUMBER(SEARCH("Informational",IF(J682="NOT AVAILABLE","",J682))),10,IF(ISNUMBER(SEARCH("Navigational",IF(J682="NOT AVAILABLE","",J682))),0,12))))</f>
        <v/>
      </c>
      <c r="Q682">
        <f>IF(ISNUMBER(F682),MIN(30,ROUND(30*LOG10(F682+1)/4,1)),0)</f>
        <v/>
      </c>
      <c r="R682">
        <f>IF(ISNUMBER(G682),ROUND(25*(100-G682)/100,1),12.5)</f>
        <v/>
      </c>
      <c r="S682" t="n">
        <v>20</v>
      </c>
      <c r="T682">
        <f>ROUND(P682+Q682+R682+S682,0)</f>
        <v/>
      </c>
      <c r="U682" s="5" t="inlineStr"/>
      <c r="V682" s="5" t="inlineStr"/>
    </row>
    <row r="683">
      <c r="A683" t="inlineStr">
        <is>
          <t>K0681</t>
        </is>
      </c>
      <c r="B683" t="inlineStr">
        <is>
          <t>lms sur mesure</t>
        </is>
      </c>
      <c r="C683" t="inlineStr">
        <is>
          <t>Morocco</t>
        </is>
      </c>
      <c r="D683" t="inlineStr">
        <is>
          <t>ma</t>
        </is>
      </c>
      <c r="E683" t="inlineStr">
        <is>
          <t>fr</t>
        </is>
      </c>
      <c r="F683" t="inlineStr">
        <is>
          <t>NOT AVAILABLE</t>
        </is>
      </c>
      <c r="G683" t="inlineStr">
        <is>
          <t>NOT AVAILABLE</t>
        </is>
      </c>
      <c r="H683" t="inlineStr">
        <is>
          <t>NOT AVAILABLE</t>
        </is>
      </c>
      <c r="I683" t="inlineStr">
        <is>
          <t>NOT AVAILABLE</t>
        </is>
      </c>
      <c r="J683" t="inlineStr">
        <is>
          <t>NOT AVAILABLE</t>
        </is>
      </c>
      <c r="K683" t="inlineStr">
        <is>
          <t>NOT AVAILABLE</t>
        </is>
      </c>
      <c r="L683" t="inlineStr">
        <is>
          <t>NOT AVAILABLE</t>
        </is>
      </c>
      <c r="M683" t="inlineStr">
        <is>
          <t>UNAVAILABLE</t>
        </is>
      </c>
      <c r="N683" s="5" t="inlineStr">
        <is>
          <t>Semrush phrase_these returned no data (not billed)</t>
        </is>
      </c>
      <c r="O683" t="inlineStr">
        <is>
          <t>2026-10-30</t>
        </is>
      </c>
      <c r="P683">
        <f>IF(IF(J683="NOT AVAILABLE","",J683)="",12,IF(OR(ISNUMBER(SEARCH("Transactional",IF(J683="NOT AVAILABLE","",J683))),ISNUMBER(SEARCH("Commercial",IF(J683="NOT AVAILABLE","",J683)))),25,IF(ISNUMBER(SEARCH("Informational",IF(J683="NOT AVAILABLE","",J683))),10,IF(ISNUMBER(SEARCH("Navigational",IF(J683="NOT AVAILABLE","",J683))),0,12))))</f>
        <v/>
      </c>
      <c r="Q683">
        <f>IF(ISNUMBER(F683),MIN(30,ROUND(30*LOG10(F683+1)/4,1)),0)</f>
        <v/>
      </c>
      <c r="R683">
        <f>IF(ISNUMBER(G683),ROUND(25*(100-G683)/100,1),12.5)</f>
        <v/>
      </c>
      <c r="S683" t="n">
        <v>20</v>
      </c>
      <c r="T683">
        <f>ROUND(P683+Q683+R683+S683,0)</f>
        <v/>
      </c>
      <c r="U683" s="5" t="inlineStr"/>
      <c r="V683" s="5" t="inlineStr"/>
    </row>
    <row r="684">
      <c r="A684" t="inlineStr">
        <is>
          <t>K0682</t>
        </is>
      </c>
      <c r="B684" t="inlineStr">
        <is>
          <t>local business schema</t>
        </is>
      </c>
      <c r="C684" t="inlineStr">
        <is>
          <t>Morocco</t>
        </is>
      </c>
      <c r="D684" t="inlineStr">
        <is>
          <t>ma</t>
        </is>
      </c>
      <c r="E684" t="inlineStr">
        <is>
          <t>fr</t>
        </is>
      </c>
      <c r="F684" t="inlineStr">
        <is>
          <t>NOT AVAILABLE</t>
        </is>
      </c>
      <c r="G684" t="inlineStr">
        <is>
          <t>NOT AVAILABLE</t>
        </is>
      </c>
      <c r="H684" t="inlineStr">
        <is>
          <t>NOT AVAILABLE</t>
        </is>
      </c>
      <c r="I684" t="inlineStr">
        <is>
          <t>NOT AVAILABLE</t>
        </is>
      </c>
      <c r="J684" t="inlineStr">
        <is>
          <t>NOT AVAILABLE</t>
        </is>
      </c>
      <c r="K684" t="inlineStr">
        <is>
          <t>NOT AVAILABLE</t>
        </is>
      </c>
      <c r="L684" t="inlineStr">
        <is>
          <t>NOT AVAILABLE</t>
        </is>
      </c>
      <c r="M684" t="inlineStr">
        <is>
          <t>UNAVAILABLE</t>
        </is>
      </c>
      <c r="N684" s="5" t="inlineStr">
        <is>
          <t>Semrush phrase_these returned no data (not billed)</t>
        </is>
      </c>
      <c r="O684" t="inlineStr">
        <is>
          <t>2026-10-30</t>
        </is>
      </c>
      <c r="P684">
        <f>IF(IF(J684="NOT AVAILABLE","",J684)="",12,IF(OR(ISNUMBER(SEARCH("Transactional",IF(J684="NOT AVAILABLE","",J684))),ISNUMBER(SEARCH("Commercial",IF(J684="NOT AVAILABLE","",J684)))),25,IF(ISNUMBER(SEARCH("Informational",IF(J684="NOT AVAILABLE","",J684))),10,IF(ISNUMBER(SEARCH("Navigational",IF(J684="NOT AVAILABLE","",J684))),0,12))))</f>
        <v/>
      </c>
      <c r="Q684">
        <f>IF(ISNUMBER(F684),MIN(30,ROUND(30*LOG10(F684+1)/4,1)),0)</f>
        <v/>
      </c>
      <c r="R684">
        <f>IF(ISNUMBER(G684),ROUND(25*(100-G684)/100,1),12.5)</f>
        <v/>
      </c>
      <c r="S684" t="n">
        <v>20</v>
      </c>
      <c r="T684">
        <f>ROUND(P684+Q684+R684+S684,0)</f>
        <v/>
      </c>
      <c r="U684" s="5" t="inlineStr"/>
      <c r="V684" s="5" t="inlineStr"/>
    </row>
    <row r="685">
      <c r="A685" t="inlineStr">
        <is>
          <t>K0683</t>
        </is>
      </c>
      <c r="B685" t="inlineStr">
        <is>
          <t>logiciel facturation en ligne maroc</t>
        </is>
      </c>
      <c r="C685" t="inlineStr">
        <is>
          <t>Morocco</t>
        </is>
      </c>
      <c r="D685" t="inlineStr">
        <is>
          <t>ma</t>
        </is>
      </c>
      <c r="E685" t="inlineStr">
        <is>
          <t>fr</t>
        </is>
      </c>
      <c r="F685" t="inlineStr">
        <is>
          <t>NOT AVAILABLE</t>
        </is>
      </c>
      <c r="G685" t="inlineStr">
        <is>
          <t>NOT AVAILABLE</t>
        </is>
      </c>
      <c r="H685" t="inlineStr">
        <is>
          <t>NOT AVAILABLE</t>
        </is>
      </c>
      <c r="I685" t="inlineStr">
        <is>
          <t>NOT AVAILABLE</t>
        </is>
      </c>
      <c r="J685" t="inlineStr">
        <is>
          <t>NOT AVAILABLE</t>
        </is>
      </c>
      <c r="K685" t="inlineStr">
        <is>
          <t>NOT AVAILABLE</t>
        </is>
      </c>
      <c r="L685" t="inlineStr">
        <is>
          <t>NOT AVAILABLE</t>
        </is>
      </c>
      <c r="M685" t="inlineStr">
        <is>
          <t>UNAVAILABLE</t>
        </is>
      </c>
      <c r="N685" s="5" t="inlineStr">
        <is>
          <t>Semrush phrase_these returned no data (not billed)</t>
        </is>
      </c>
      <c r="O685" t="inlineStr">
        <is>
          <t>2026-10-30</t>
        </is>
      </c>
      <c r="P685">
        <f>IF(IF(J685="NOT AVAILABLE","",J685)="",12,IF(OR(ISNUMBER(SEARCH("Transactional",IF(J685="NOT AVAILABLE","",J685))),ISNUMBER(SEARCH("Commercial",IF(J685="NOT AVAILABLE","",J685)))),25,IF(ISNUMBER(SEARCH("Informational",IF(J685="NOT AVAILABLE","",J685))),10,IF(ISNUMBER(SEARCH("Navigational",IF(J685="NOT AVAILABLE","",J685))),0,12))))</f>
        <v/>
      </c>
      <c r="Q685">
        <f>IF(ISNUMBER(F685),MIN(30,ROUND(30*LOG10(F685+1)/4,1)),0)</f>
        <v/>
      </c>
      <c r="R685">
        <f>IF(ISNUMBER(G685),ROUND(25*(100-G685)/100,1),12.5)</f>
        <v/>
      </c>
      <c r="S685" t="n">
        <v>20</v>
      </c>
      <c r="T685">
        <f>ROUND(P685+Q685+R685+S685,0)</f>
        <v/>
      </c>
      <c r="U685" s="5" t="inlineStr"/>
      <c r="V685" s="5" t="inlineStr"/>
    </row>
    <row r="686">
      <c r="A686" t="inlineStr">
        <is>
          <t>K0684</t>
        </is>
      </c>
      <c r="B686" t="inlineStr">
        <is>
          <t>logiciel gestion scolaire maroc</t>
        </is>
      </c>
      <c r="C686" t="inlineStr">
        <is>
          <t>Morocco</t>
        </is>
      </c>
      <c r="D686" t="inlineStr">
        <is>
          <t>ma</t>
        </is>
      </c>
      <c r="E686" t="inlineStr">
        <is>
          <t>fr</t>
        </is>
      </c>
      <c r="F686" t="inlineStr">
        <is>
          <t>NOT AVAILABLE</t>
        </is>
      </c>
      <c r="G686" t="inlineStr">
        <is>
          <t>NOT AVAILABLE</t>
        </is>
      </c>
      <c r="H686" t="inlineStr">
        <is>
          <t>NOT AVAILABLE</t>
        </is>
      </c>
      <c r="I686" t="inlineStr">
        <is>
          <t>NOT AVAILABLE</t>
        </is>
      </c>
      <c r="J686" t="inlineStr">
        <is>
          <t>NOT AVAILABLE</t>
        </is>
      </c>
      <c r="K686" t="inlineStr">
        <is>
          <t>NOT AVAILABLE</t>
        </is>
      </c>
      <c r="L686" t="inlineStr">
        <is>
          <t>NOT AVAILABLE</t>
        </is>
      </c>
      <c r="M686" t="inlineStr">
        <is>
          <t>UNAVAILABLE</t>
        </is>
      </c>
      <c r="N686" s="5" t="inlineStr">
        <is>
          <t>Semrush phrase_these returned no data (not billed)</t>
        </is>
      </c>
      <c r="O686" t="inlineStr">
        <is>
          <t>2026-10-30</t>
        </is>
      </c>
      <c r="P686">
        <f>IF(IF(J686="NOT AVAILABLE","",J686)="",12,IF(OR(ISNUMBER(SEARCH("Transactional",IF(J686="NOT AVAILABLE","",J686))),ISNUMBER(SEARCH("Commercial",IF(J686="NOT AVAILABLE","",J686)))),25,IF(ISNUMBER(SEARCH("Informational",IF(J686="NOT AVAILABLE","",J686))),10,IF(ISNUMBER(SEARCH("Navigational",IF(J686="NOT AVAILABLE","",J686))),0,12))))</f>
        <v/>
      </c>
      <c r="Q686">
        <f>IF(ISNUMBER(F686),MIN(30,ROUND(30*LOG10(F686+1)/4,1)),0)</f>
        <v/>
      </c>
      <c r="R686">
        <f>IF(ISNUMBER(G686),ROUND(25*(100-G686)/100,1),12.5)</f>
        <v/>
      </c>
      <c r="S686" t="n">
        <v>20</v>
      </c>
      <c r="T686">
        <f>ROUND(P686+Q686+R686+S686,0)</f>
        <v/>
      </c>
      <c r="U686" s="5" t="inlineStr"/>
      <c r="V686" s="5" t="inlineStr"/>
    </row>
    <row r="687">
      <c r="A687" t="inlineStr">
        <is>
          <t>K0685</t>
        </is>
      </c>
      <c r="B687" t="inlineStr">
        <is>
          <t>logiciel sur mesure maroc</t>
        </is>
      </c>
      <c r="C687" t="inlineStr">
        <is>
          <t>Morocco</t>
        </is>
      </c>
      <c r="D687" t="inlineStr">
        <is>
          <t>ma</t>
        </is>
      </c>
      <c r="E687" t="inlineStr">
        <is>
          <t>fr</t>
        </is>
      </c>
      <c r="F687" t="n">
        <v>0</v>
      </c>
      <c r="G687" t="inlineStr">
        <is>
          <t>NOT AVAILABLE</t>
        </is>
      </c>
      <c r="H687" t="n">
        <v>0</v>
      </c>
      <c r="I687" t="n">
        <v>0</v>
      </c>
      <c r="J687" t="inlineStr">
        <is>
          <t>NOT AVAILABLE</t>
        </is>
      </c>
      <c r="K687" t="inlineStr">
        <is>
          <t>NOT AVAILABLE (report not requested)</t>
        </is>
      </c>
      <c r="L687" t="inlineStr">
        <is>
          <t>flat (no data)</t>
        </is>
      </c>
      <c r="M687" t="inlineStr">
        <is>
          <t>MEASURED</t>
        </is>
      </c>
      <c r="N687" s="5" t="inlineStr">
        <is>
          <t>Semrush phrase_these (live, this session)</t>
        </is>
      </c>
      <c r="O687" t="inlineStr">
        <is>
          <t>2026-10-30</t>
        </is>
      </c>
      <c r="P687">
        <f>IF(IF(J687="NOT AVAILABLE","",J687)="",12,IF(OR(ISNUMBER(SEARCH("Transactional",IF(J687="NOT AVAILABLE","",J687))),ISNUMBER(SEARCH("Commercial",IF(J687="NOT AVAILABLE","",J687)))),25,IF(ISNUMBER(SEARCH("Informational",IF(J687="NOT AVAILABLE","",J687))),10,IF(ISNUMBER(SEARCH("Navigational",IF(J687="NOT AVAILABLE","",J687))),0,12))))</f>
        <v/>
      </c>
      <c r="Q687">
        <f>IF(ISNUMBER(F687),MIN(30,ROUND(30*LOG10(F687+1)/4,1)),0)</f>
        <v/>
      </c>
      <c r="R687">
        <f>IF(ISNUMBER(G687),ROUND(25*(100-G687)/100,1),12.5)</f>
        <v/>
      </c>
      <c r="S687" t="n">
        <v>20</v>
      </c>
      <c r="T687">
        <f>ROUND(P687+Q687+R687+S687,0)</f>
        <v/>
      </c>
      <c r="U687" s="5" t="inlineStr"/>
      <c r="V687" s="5" t="inlineStr"/>
    </row>
    <row r="688">
      <c r="A688" t="inlineStr">
        <is>
          <t>K0686</t>
        </is>
      </c>
      <c r="B688" t="inlineStr">
        <is>
          <t>logiciel école de langue</t>
        </is>
      </c>
      <c r="C688" t="inlineStr">
        <is>
          <t>Morocco</t>
        </is>
      </c>
      <c r="D688" t="inlineStr">
        <is>
          <t>ma</t>
        </is>
      </c>
      <c r="E688" t="inlineStr">
        <is>
          <t>fr</t>
        </is>
      </c>
      <c r="F688" t="inlineStr">
        <is>
          <t>NOT AVAILABLE</t>
        </is>
      </c>
      <c r="G688" t="inlineStr">
        <is>
          <t>NOT AVAILABLE</t>
        </is>
      </c>
      <c r="H688" t="inlineStr">
        <is>
          <t>NOT AVAILABLE</t>
        </is>
      </c>
      <c r="I688" t="inlineStr">
        <is>
          <t>NOT AVAILABLE</t>
        </is>
      </c>
      <c r="J688" t="inlineStr">
        <is>
          <t>NOT AVAILABLE</t>
        </is>
      </c>
      <c r="K688" t="inlineStr">
        <is>
          <t>NOT AVAILABLE</t>
        </is>
      </c>
      <c r="L688" t="inlineStr">
        <is>
          <t>NOT AVAILABLE</t>
        </is>
      </c>
      <c r="M688" t="inlineStr">
        <is>
          <t>UNAVAILABLE</t>
        </is>
      </c>
      <c r="N688" s="5" t="inlineStr">
        <is>
          <t>Semrush phrase_these returned no data (not billed)</t>
        </is>
      </c>
      <c r="O688" t="inlineStr">
        <is>
          <t>2026-10-30</t>
        </is>
      </c>
      <c r="P688">
        <f>IF(IF(J688="NOT AVAILABLE","",J688)="",12,IF(OR(ISNUMBER(SEARCH("Transactional",IF(J688="NOT AVAILABLE","",J688))),ISNUMBER(SEARCH("Commercial",IF(J688="NOT AVAILABLE","",J688)))),25,IF(ISNUMBER(SEARCH("Informational",IF(J688="NOT AVAILABLE","",J688))),10,IF(ISNUMBER(SEARCH("Navigational",IF(J688="NOT AVAILABLE","",J688))),0,12))))</f>
        <v/>
      </c>
      <c r="Q688">
        <f>IF(ISNUMBER(F688),MIN(30,ROUND(30*LOG10(F688+1)/4,1)),0)</f>
        <v/>
      </c>
      <c r="R688">
        <f>IF(ISNUMBER(G688),ROUND(25*(100-G688)/100,1),12.5)</f>
        <v/>
      </c>
      <c r="S688" t="n">
        <v>20</v>
      </c>
      <c r="T688">
        <f>ROUND(P688+Q688+R688+S688,0)</f>
        <v/>
      </c>
      <c r="U688" s="5" t="inlineStr"/>
      <c r="V688" s="5" t="inlineStr"/>
    </row>
    <row r="689">
      <c r="A689" t="inlineStr">
        <is>
          <t>K0687</t>
        </is>
      </c>
      <c r="B689" t="inlineStr">
        <is>
          <t>maintenance site web maroc</t>
        </is>
      </c>
      <c r="C689" t="inlineStr">
        <is>
          <t>Morocco</t>
        </is>
      </c>
      <c r="D689" t="inlineStr">
        <is>
          <t>ma</t>
        </is>
      </c>
      <c r="E689" t="inlineStr">
        <is>
          <t>fr</t>
        </is>
      </c>
      <c r="F689" t="n">
        <v>0</v>
      </c>
      <c r="G689" t="inlineStr">
        <is>
          <t>NOT AVAILABLE</t>
        </is>
      </c>
      <c r="H689" t="n">
        <v>0</v>
      </c>
      <c r="I689" t="n">
        <v>0</v>
      </c>
      <c r="J689" t="inlineStr">
        <is>
          <t>NOT AVAILABLE</t>
        </is>
      </c>
      <c r="K689" t="inlineStr">
        <is>
          <t>NOT AVAILABLE (report not requested)</t>
        </is>
      </c>
      <c r="L689" t="inlineStr">
        <is>
          <t>flat (no data)</t>
        </is>
      </c>
      <c r="M689" t="inlineStr">
        <is>
          <t>MEASURED</t>
        </is>
      </c>
      <c r="N689" s="5" t="inlineStr">
        <is>
          <t>Semrush phrase_these (historical w3-validate-A-creation.csv)</t>
        </is>
      </c>
      <c r="O689" t="inlineStr">
        <is>
          <t>2026-10-27</t>
        </is>
      </c>
      <c r="P689">
        <f>IF(IF(J689="NOT AVAILABLE","",J689)="",12,IF(OR(ISNUMBER(SEARCH("Transactional",IF(J689="NOT AVAILABLE","",J689))),ISNUMBER(SEARCH("Commercial",IF(J689="NOT AVAILABLE","",J689)))),25,IF(ISNUMBER(SEARCH("Informational",IF(J689="NOT AVAILABLE","",J689))),10,IF(ISNUMBER(SEARCH("Navigational",IF(J689="NOT AVAILABLE","",J689))),0,12))))</f>
        <v/>
      </c>
      <c r="Q689">
        <f>IF(ISNUMBER(F689),MIN(30,ROUND(30*LOG10(F689+1)/4,1)),0)</f>
        <v/>
      </c>
      <c r="R689">
        <f>IF(ISNUMBER(G689),ROUND(25*(100-G689)/100,1),12.5)</f>
        <v/>
      </c>
      <c r="S689" t="n">
        <v>20</v>
      </c>
      <c r="T689">
        <f>ROUND(P689+Q689+R689+S689,0)</f>
        <v/>
      </c>
      <c r="U689" s="5" t="inlineStr"/>
      <c r="V689" s="5" t="inlineStr"/>
    </row>
    <row r="690">
      <c r="A690" t="inlineStr">
        <is>
          <t>K0688</t>
        </is>
      </c>
      <c r="B690" t="inlineStr">
        <is>
          <t>matériel dentaire maroc</t>
        </is>
      </c>
      <c r="C690" t="inlineStr">
        <is>
          <t>Morocco</t>
        </is>
      </c>
      <c r="D690" t="inlineStr">
        <is>
          <t>ma</t>
        </is>
      </c>
      <c r="E690" t="inlineStr">
        <is>
          <t>fr</t>
        </is>
      </c>
      <c r="F690" t="inlineStr">
        <is>
          <t>NOT AVAILABLE</t>
        </is>
      </c>
      <c r="G690" t="inlineStr">
        <is>
          <t>NOT AVAILABLE</t>
        </is>
      </c>
      <c r="H690" t="inlineStr">
        <is>
          <t>NOT AVAILABLE</t>
        </is>
      </c>
      <c r="I690" t="inlineStr">
        <is>
          <t>NOT AVAILABLE</t>
        </is>
      </c>
      <c r="J690" t="inlineStr">
        <is>
          <t>NOT AVAILABLE</t>
        </is>
      </c>
      <c r="K690" t="inlineStr">
        <is>
          <t>NOT AVAILABLE</t>
        </is>
      </c>
      <c r="L690" t="inlineStr">
        <is>
          <t>NOT AVAILABLE</t>
        </is>
      </c>
      <c r="M690" t="inlineStr">
        <is>
          <t>UNAVAILABLE</t>
        </is>
      </c>
      <c r="N690" s="5" t="inlineStr">
        <is>
          <t>Semrush phrase_these returned no data (not billed)</t>
        </is>
      </c>
      <c r="O690" t="inlineStr">
        <is>
          <t>2026-10-30</t>
        </is>
      </c>
      <c r="P690">
        <f>IF(IF(J690="NOT AVAILABLE","",J690)="",12,IF(OR(ISNUMBER(SEARCH("Transactional",IF(J690="NOT AVAILABLE","",J690))),ISNUMBER(SEARCH("Commercial",IF(J690="NOT AVAILABLE","",J690)))),25,IF(ISNUMBER(SEARCH("Informational",IF(J690="NOT AVAILABLE","",J690))),10,IF(ISNUMBER(SEARCH("Navigational",IF(J690="NOT AVAILABLE","",J690))),0,12))))</f>
        <v/>
      </c>
      <c r="Q690">
        <f>IF(ISNUMBER(F690),MIN(30,ROUND(30*LOG10(F690+1)/4,1)),0)</f>
        <v/>
      </c>
      <c r="R690">
        <f>IF(ISNUMBER(G690),ROUND(25*(100-G690)/100,1),12.5)</f>
        <v/>
      </c>
      <c r="S690" t="n">
        <v>20</v>
      </c>
      <c r="T690">
        <f>ROUND(P690+Q690+R690+S690,0)</f>
        <v/>
      </c>
      <c r="U690" s="5" t="inlineStr"/>
      <c r="V690" s="5" t="inlineStr"/>
    </row>
    <row r="691">
      <c r="A691" t="inlineStr">
        <is>
          <t>K0689</t>
        </is>
      </c>
      <c r="B691" t="inlineStr">
        <is>
          <t>meilleure agence web maroc</t>
        </is>
      </c>
      <c r="C691" t="inlineStr">
        <is>
          <t>Morocco</t>
        </is>
      </c>
      <c r="D691" t="inlineStr">
        <is>
          <t>ma</t>
        </is>
      </c>
      <c r="E691" t="inlineStr">
        <is>
          <t>fr</t>
        </is>
      </c>
      <c r="F691" t="inlineStr">
        <is>
          <t>NOT AVAILABLE</t>
        </is>
      </c>
      <c r="G691" t="inlineStr">
        <is>
          <t>NOT AVAILABLE</t>
        </is>
      </c>
      <c r="H691" t="inlineStr">
        <is>
          <t>NOT AVAILABLE</t>
        </is>
      </c>
      <c r="I691" t="inlineStr">
        <is>
          <t>NOT AVAILABLE</t>
        </is>
      </c>
      <c r="J691" t="inlineStr">
        <is>
          <t>NOT AVAILABLE</t>
        </is>
      </c>
      <c r="K691" t="inlineStr">
        <is>
          <t>NOT AVAILABLE</t>
        </is>
      </c>
      <c r="L691" t="inlineStr">
        <is>
          <t>NOT AVAILABLE</t>
        </is>
      </c>
      <c r="M691" t="inlineStr">
        <is>
          <t>UNAVAILABLE</t>
        </is>
      </c>
      <c r="N691" s="5" t="inlineStr">
        <is>
          <t>Semrush phrase_these returned no data (not billed)</t>
        </is>
      </c>
      <c r="O691" t="inlineStr">
        <is>
          <t>2026-10-30</t>
        </is>
      </c>
      <c r="P691">
        <f>IF(IF(J691="NOT AVAILABLE","",J691)="",12,IF(OR(ISNUMBER(SEARCH("Transactional",IF(J691="NOT AVAILABLE","",J691))),ISNUMBER(SEARCH("Commercial",IF(J691="NOT AVAILABLE","",J691)))),25,IF(ISNUMBER(SEARCH("Informational",IF(J691="NOT AVAILABLE","",J691))),10,IF(ISNUMBER(SEARCH("Navigational",IF(J691="NOT AVAILABLE","",J691))),0,12))))</f>
        <v/>
      </c>
      <c r="Q691">
        <f>IF(ISNUMBER(F691),MIN(30,ROUND(30*LOG10(F691+1)/4,1)),0)</f>
        <v/>
      </c>
      <c r="R691">
        <f>IF(ISNUMBER(G691),ROUND(25*(100-G691)/100,1),12.5)</f>
        <v/>
      </c>
      <c r="S691" t="n">
        <v>20</v>
      </c>
      <c r="T691">
        <f>ROUND(P691+Q691+R691+S691,0)</f>
        <v/>
      </c>
      <c r="U691" s="5" t="inlineStr"/>
      <c r="V691" s="5" t="inlineStr"/>
    </row>
    <row r="692">
      <c r="A692" t="inlineStr">
        <is>
          <t>K0690</t>
        </is>
      </c>
      <c r="B692" t="inlineStr">
        <is>
          <t>meilleure plateforme e-learning</t>
        </is>
      </c>
      <c r="C692" t="inlineStr">
        <is>
          <t>Morocco</t>
        </is>
      </c>
      <c r="D692" t="inlineStr">
        <is>
          <t>ma</t>
        </is>
      </c>
      <c r="E692" t="inlineStr">
        <is>
          <t>fr</t>
        </is>
      </c>
      <c r="F692" t="n">
        <v>0</v>
      </c>
      <c r="G692" t="inlineStr">
        <is>
          <t>NOT AVAILABLE</t>
        </is>
      </c>
      <c r="H692" t="n">
        <v>0</v>
      </c>
      <c r="I692" t="n">
        <v>0</v>
      </c>
      <c r="J692" t="inlineStr">
        <is>
          <t>NOT AVAILABLE</t>
        </is>
      </c>
      <c r="K692" t="inlineStr">
        <is>
          <t>NOT AVAILABLE (report not requested)</t>
        </is>
      </c>
      <c r="L692" t="inlineStr">
        <is>
          <t>flat (no data)</t>
        </is>
      </c>
      <c r="M692" t="inlineStr">
        <is>
          <t>MEASURED</t>
        </is>
      </c>
      <c r="N692" s="5" t="inlineStr">
        <is>
          <t>Semrush phrase_these (live, this session)</t>
        </is>
      </c>
      <c r="O692" t="inlineStr">
        <is>
          <t>2026-10-30</t>
        </is>
      </c>
      <c r="P692">
        <f>IF(IF(J692="NOT AVAILABLE","",J692)="",12,IF(OR(ISNUMBER(SEARCH("Transactional",IF(J692="NOT AVAILABLE","",J692))),ISNUMBER(SEARCH("Commercial",IF(J692="NOT AVAILABLE","",J692)))),25,IF(ISNUMBER(SEARCH("Informational",IF(J692="NOT AVAILABLE","",J692))),10,IF(ISNUMBER(SEARCH("Navigational",IF(J692="NOT AVAILABLE","",J692))),0,12))))</f>
        <v/>
      </c>
      <c r="Q692">
        <f>IF(ISNUMBER(F692),MIN(30,ROUND(30*LOG10(F692+1)/4,1)),0)</f>
        <v/>
      </c>
      <c r="R692">
        <f>IF(ISNUMBER(G692),ROUND(25*(100-G692)/100,1),12.5)</f>
        <v/>
      </c>
      <c r="S692" t="n">
        <v>20</v>
      </c>
      <c r="T692">
        <f>ROUND(P692+Q692+R692+S692,0)</f>
        <v/>
      </c>
      <c r="U692" s="5" t="inlineStr"/>
      <c r="V692" s="5" t="inlineStr"/>
    </row>
    <row r="693">
      <c r="A693" t="inlineStr">
        <is>
          <t>K0691</t>
        </is>
      </c>
      <c r="B693" t="inlineStr">
        <is>
          <t>mentions légales codesommet</t>
        </is>
      </c>
      <c r="C693" t="inlineStr">
        <is>
          <t>Morocco</t>
        </is>
      </c>
      <c r="D693" t="inlineStr">
        <is>
          <t>ma</t>
        </is>
      </c>
      <c r="E693" t="inlineStr">
        <is>
          <t>fr</t>
        </is>
      </c>
      <c r="F693" t="inlineStr">
        <is>
          <t>NOT AVAILABLE</t>
        </is>
      </c>
      <c r="G693" t="inlineStr">
        <is>
          <t>NOT AVAILABLE</t>
        </is>
      </c>
      <c r="H693" t="inlineStr">
        <is>
          <t>NOT AVAILABLE</t>
        </is>
      </c>
      <c r="I693" t="inlineStr">
        <is>
          <t>NOT AVAILABLE</t>
        </is>
      </c>
      <c r="J693" t="inlineStr">
        <is>
          <t>NOT AVAILABLE</t>
        </is>
      </c>
      <c r="K693" t="inlineStr">
        <is>
          <t>NOT AVAILABLE</t>
        </is>
      </c>
      <c r="L693" t="inlineStr">
        <is>
          <t>NOT AVAILABLE</t>
        </is>
      </c>
      <c r="M693" t="inlineStr">
        <is>
          <t>SUGGESTED</t>
        </is>
      </c>
      <c r="N693" s="5" t="inlineStr">
        <is>
          <t>Analyst suggestion - not validated in Semrush</t>
        </is>
      </c>
      <c r="O693" t="inlineStr">
        <is>
          <t>NOT AVAILABLE</t>
        </is>
      </c>
      <c r="P693">
        <f>IF(IF(J693="NOT AVAILABLE","",J693)="",12,IF(OR(ISNUMBER(SEARCH("Transactional",IF(J693="NOT AVAILABLE","",J693))),ISNUMBER(SEARCH("Commercial",IF(J693="NOT AVAILABLE","",J693)))),25,IF(ISNUMBER(SEARCH("Informational",IF(J693="NOT AVAILABLE","",J693))),10,IF(ISNUMBER(SEARCH("Navigational",IF(J693="NOT AVAILABLE","",J693))),0,12))))</f>
        <v/>
      </c>
      <c r="Q693">
        <f>IF(ISNUMBER(F693),MIN(30,ROUND(30*LOG10(F693+1)/4,1)),0)</f>
        <v/>
      </c>
      <c r="R693">
        <f>IF(ISNUMBER(G693),ROUND(25*(100-G693)/100,1),12.5)</f>
        <v/>
      </c>
      <c r="S693" t="n">
        <v>20</v>
      </c>
      <c r="T693">
        <f>ROUND(P693+Q693+R693+S693,0)</f>
        <v/>
      </c>
      <c r="U693" s="5" t="inlineStr"/>
      <c r="V693" s="5" t="inlineStr">
        <is>
          <t>NOT RECOMMENDED /legal/privacy-policy; NOT RECOMMENDED /legal/terms-of-service; NOT RECOMMENDED /legal/refund-policy; NOT RECOMMENDED /legal/cookie-policy; NOT RECOMMENDED /legal/acceptable-use</t>
        </is>
      </c>
    </row>
    <row r="694">
      <c r="A694" t="inlineStr">
        <is>
          <t>K0692</t>
        </is>
      </c>
      <c r="B694" t="inlineStr">
        <is>
          <t>mvp saas</t>
        </is>
      </c>
      <c r="C694" t="inlineStr">
        <is>
          <t>Morocco</t>
        </is>
      </c>
      <c r="D694" t="inlineStr">
        <is>
          <t>ma</t>
        </is>
      </c>
      <c r="E694" t="inlineStr">
        <is>
          <t>fr</t>
        </is>
      </c>
      <c r="F694" t="inlineStr">
        <is>
          <t>NOT AVAILABLE</t>
        </is>
      </c>
      <c r="G694" t="inlineStr">
        <is>
          <t>NOT AVAILABLE</t>
        </is>
      </c>
      <c r="H694" t="inlineStr">
        <is>
          <t>NOT AVAILABLE</t>
        </is>
      </c>
      <c r="I694" t="inlineStr">
        <is>
          <t>NOT AVAILABLE</t>
        </is>
      </c>
      <c r="J694" t="inlineStr">
        <is>
          <t>NOT AVAILABLE</t>
        </is>
      </c>
      <c r="K694" t="inlineStr">
        <is>
          <t>NOT AVAILABLE</t>
        </is>
      </c>
      <c r="L694" t="inlineStr">
        <is>
          <t>NOT AVAILABLE</t>
        </is>
      </c>
      <c r="M694" t="inlineStr">
        <is>
          <t>UNAVAILABLE</t>
        </is>
      </c>
      <c r="N694" s="5" t="inlineStr">
        <is>
          <t>Semrush phrase_these returned no data (not billed)</t>
        </is>
      </c>
      <c r="O694" t="inlineStr">
        <is>
          <t>2026-10-30</t>
        </is>
      </c>
      <c r="P694">
        <f>IF(IF(J694="NOT AVAILABLE","",J694)="",12,IF(OR(ISNUMBER(SEARCH("Transactional",IF(J694="NOT AVAILABLE","",J694))),ISNUMBER(SEARCH("Commercial",IF(J694="NOT AVAILABLE","",J694)))),25,IF(ISNUMBER(SEARCH("Informational",IF(J694="NOT AVAILABLE","",J694))),10,IF(ISNUMBER(SEARCH("Navigational",IF(J694="NOT AVAILABLE","",J694))),0,12))))</f>
        <v/>
      </c>
      <c r="Q694">
        <f>IF(ISNUMBER(F694),MIN(30,ROUND(30*LOG10(F694+1)/4,1)),0)</f>
        <v/>
      </c>
      <c r="R694">
        <f>IF(ISNUMBER(G694),ROUND(25*(100-G694)/100,1),12.5)</f>
        <v/>
      </c>
      <c r="S694" t="n">
        <v>20</v>
      </c>
      <c r="T694">
        <f>ROUND(P694+Q694+R694+S694,0)</f>
        <v/>
      </c>
      <c r="U694" s="5" t="inlineStr"/>
      <c r="V694" s="5" t="inlineStr"/>
    </row>
    <row r="695">
      <c r="A695" t="inlineStr">
        <is>
          <t>K0693</t>
        </is>
      </c>
      <c r="B695" t="inlineStr">
        <is>
          <t>nettoyer url</t>
        </is>
      </c>
      <c r="C695" t="inlineStr">
        <is>
          <t>Morocco</t>
        </is>
      </c>
      <c r="D695" t="inlineStr">
        <is>
          <t>ma</t>
        </is>
      </c>
      <c r="E695" t="inlineStr">
        <is>
          <t>fr</t>
        </is>
      </c>
      <c r="F695" t="inlineStr">
        <is>
          <t>NOT AVAILABLE</t>
        </is>
      </c>
      <c r="G695" t="inlineStr">
        <is>
          <t>NOT AVAILABLE</t>
        </is>
      </c>
      <c r="H695" t="inlineStr">
        <is>
          <t>NOT AVAILABLE</t>
        </is>
      </c>
      <c r="I695" t="inlineStr">
        <is>
          <t>NOT AVAILABLE</t>
        </is>
      </c>
      <c r="J695" t="inlineStr">
        <is>
          <t>NOT AVAILABLE</t>
        </is>
      </c>
      <c r="K695" t="inlineStr">
        <is>
          <t>NOT AVAILABLE</t>
        </is>
      </c>
      <c r="L695" t="inlineStr">
        <is>
          <t>NOT AVAILABLE</t>
        </is>
      </c>
      <c r="M695" t="inlineStr">
        <is>
          <t>UNAVAILABLE</t>
        </is>
      </c>
      <c r="N695" s="5" t="inlineStr">
        <is>
          <t>Semrush phrase_these returned no data (not billed)</t>
        </is>
      </c>
      <c r="O695" t="inlineStr">
        <is>
          <t>2026-10-30</t>
        </is>
      </c>
      <c r="P695">
        <f>IF(IF(J695="NOT AVAILABLE","",J695)="",12,IF(OR(ISNUMBER(SEARCH("Transactional",IF(J695="NOT AVAILABLE","",J695))),ISNUMBER(SEARCH("Commercial",IF(J695="NOT AVAILABLE","",J695)))),25,IF(ISNUMBER(SEARCH("Informational",IF(J695="NOT AVAILABLE","",J695))),10,IF(ISNUMBER(SEARCH("Navigational",IF(J695="NOT AVAILABLE","",J695))),0,12))))</f>
        <v/>
      </c>
      <c r="Q695">
        <f>IF(ISNUMBER(F695),MIN(30,ROUND(30*LOG10(F695+1)/4,1)),0)</f>
        <v/>
      </c>
      <c r="R695">
        <f>IF(ISNUMBER(G695),ROUND(25*(100-G695)/100,1),12.5)</f>
        <v/>
      </c>
      <c r="S695" t="n">
        <v>20</v>
      </c>
      <c r="T695">
        <f>ROUND(P695+Q695+R695+S695,0)</f>
        <v/>
      </c>
      <c r="U695" s="5" t="inlineStr"/>
      <c r="V695" s="5" t="inlineStr"/>
    </row>
    <row r="696">
      <c r="A696" t="inlineStr">
        <is>
          <t>K0694</t>
        </is>
      </c>
      <c r="B696" t="inlineStr">
        <is>
          <t>optimisation budget crawl</t>
        </is>
      </c>
      <c r="C696" t="inlineStr">
        <is>
          <t>Morocco</t>
        </is>
      </c>
      <c r="D696" t="inlineStr">
        <is>
          <t>ma</t>
        </is>
      </c>
      <c r="E696" t="inlineStr">
        <is>
          <t>fr</t>
        </is>
      </c>
      <c r="F696" t="inlineStr">
        <is>
          <t>NOT AVAILABLE</t>
        </is>
      </c>
      <c r="G696" t="inlineStr">
        <is>
          <t>NOT AVAILABLE</t>
        </is>
      </c>
      <c r="H696" t="inlineStr">
        <is>
          <t>NOT AVAILABLE</t>
        </is>
      </c>
      <c r="I696" t="inlineStr">
        <is>
          <t>NOT AVAILABLE</t>
        </is>
      </c>
      <c r="J696" t="inlineStr">
        <is>
          <t>NOT AVAILABLE</t>
        </is>
      </c>
      <c r="K696" t="inlineStr">
        <is>
          <t>NOT AVAILABLE</t>
        </is>
      </c>
      <c r="L696" t="inlineStr">
        <is>
          <t>NOT AVAILABLE</t>
        </is>
      </c>
      <c r="M696" t="inlineStr">
        <is>
          <t>UNAVAILABLE</t>
        </is>
      </c>
      <c r="N696" s="5" t="inlineStr">
        <is>
          <t>Semrush phrase_these returned no data (not billed)</t>
        </is>
      </c>
      <c r="O696" t="inlineStr">
        <is>
          <t>2026-10-30</t>
        </is>
      </c>
      <c r="P696">
        <f>IF(IF(J696="NOT AVAILABLE","",J696)="",12,IF(OR(ISNUMBER(SEARCH("Transactional",IF(J696="NOT AVAILABLE","",J696))),ISNUMBER(SEARCH("Commercial",IF(J696="NOT AVAILABLE","",J696)))),25,IF(ISNUMBER(SEARCH("Informational",IF(J696="NOT AVAILABLE","",J696))),10,IF(ISNUMBER(SEARCH("Navigational",IF(J696="NOT AVAILABLE","",J696))),0,12))))</f>
        <v/>
      </c>
      <c r="Q696">
        <f>IF(ISNUMBER(F696),MIN(30,ROUND(30*LOG10(F696+1)/4,1)),0)</f>
        <v/>
      </c>
      <c r="R696">
        <f>IF(ISNUMBER(G696),ROUND(25*(100-G696)/100,1),12.5)</f>
        <v/>
      </c>
      <c r="S696" t="n">
        <v>20</v>
      </c>
      <c r="T696">
        <f>ROUND(P696+Q696+R696+S696,0)</f>
        <v/>
      </c>
      <c r="U696" s="5" t="inlineStr"/>
      <c r="V696" s="5" t="inlineStr"/>
    </row>
    <row r="697">
      <c r="A697" t="inlineStr">
        <is>
          <t>K0695</t>
        </is>
      </c>
      <c r="B697" t="inlineStr">
        <is>
          <t>optimisation image seo</t>
        </is>
      </c>
      <c r="C697" t="inlineStr">
        <is>
          <t>Morocco</t>
        </is>
      </c>
      <c r="D697" t="inlineStr">
        <is>
          <t>ma</t>
        </is>
      </c>
      <c r="E697" t="inlineStr">
        <is>
          <t>fr</t>
        </is>
      </c>
      <c r="F697" t="inlineStr">
        <is>
          <t>NOT AVAILABLE</t>
        </is>
      </c>
      <c r="G697" t="inlineStr">
        <is>
          <t>NOT AVAILABLE</t>
        </is>
      </c>
      <c r="H697" t="inlineStr">
        <is>
          <t>NOT AVAILABLE</t>
        </is>
      </c>
      <c r="I697" t="inlineStr">
        <is>
          <t>NOT AVAILABLE</t>
        </is>
      </c>
      <c r="J697" t="inlineStr">
        <is>
          <t>NOT AVAILABLE</t>
        </is>
      </c>
      <c r="K697" t="inlineStr">
        <is>
          <t>NOT AVAILABLE</t>
        </is>
      </c>
      <c r="L697" t="inlineStr">
        <is>
          <t>NOT AVAILABLE</t>
        </is>
      </c>
      <c r="M697" t="inlineStr">
        <is>
          <t>UNAVAILABLE</t>
        </is>
      </c>
      <c r="N697" s="5" t="inlineStr">
        <is>
          <t>Semrush phrase_these returned no data (not billed)</t>
        </is>
      </c>
      <c r="O697" t="inlineStr">
        <is>
          <t>2026-10-30</t>
        </is>
      </c>
      <c r="P697">
        <f>IF(IF(J697="NOT AVAILABLE","",J697)="",12,IF(OR(ISNUMBER(SEARCH("Transactional",IF(J697="NOT AVAILABLE","",J697))),ISNUMBER(SEARCH("Commercial",IF(J697="NOT AVAILABLE","",J697)))),25,IF(ISNUMBER(SEARCH("Informational",IF(J697="NOT AVAILABLE","",J697))),10,IF(ISNUMBER(SEARCH("Navigational",IF(J697="NOT AVAILABLE","",J697))),0,12))))</f>
        <v/>
      </c>
      <c r="Q697">
        <f>IF(ISNUMBER(F697),MIN(30,ROUND(30*LOG10(F697+1)/4,1)),0)</f>
        <v/>
      </c>
      <c r="R697">
        <f>IF(ISNUMBER(G697),ROUND(25*(100-G697)/100,1),12.5)</f>
        <v/>
      </c>
      <c r="S697" t="n">
        <v>20</v>
      </c>
      <c r="T697">
        <f>ROUND(P697+Q697+R697+S697,0)</f>
        <v/>
      </c>
      <c r="U697" s="5" t="inlineStr"/>
      <c r="V697" s="5" t="inlineStr"/>
    </row>
    <row r="698">
      <c r="A698" t="inlineStr">
        <is>
          <t>K0696</t>
        </is>
      </c>
      <c r="B698" t="inlineStr">
        <is>
          <t>optimisation moteurs ia</t>
        </is>
      </c>
      <c r="C698" t="inlineStr">
        <is>
          <t>Morocco</t>
        </is>
      </c>
      <c r="D698" t="inlineStr">
        <is>
          <t>ma</t>
        </is>
      </c>
      <c r="E698" t="inlineStr">
        <is>
          <t>fr</t>
        </is>
      </c>
      <c r="F698" t="inlineStr">
        <is>
          <t>NOT AVAILABLE</t>
        </is>
      </c>
      <c r="G698" t="inlineStr">
        <is>
          <t>NOT AVAILABLE</t>
        </is>
      </c>
      <c r="H698" t="inlineStr">
        <is>
          <t>NOT AVAILABLE</t>
        </is>
      </c>
      <c r="I698" t="inlineStr">
        <is>
          <t>NOT AVAILABLE</t>
        </is>
      </c>
      <c r="J698" t="inlineStr">
        <is>
          <t>NOT AVAILABLE</t>
        </is>
      </c>
      <c r="K698" t="inlineStr">
        <is>
          <t>NOT AVAILABLE</t>
        </is>
      </c>
      <c r="L698" t="inlineStr">
        <is>
          <t>NOT AVAILABLE</t>
        </is>
      </c>
      <c r="M698" t="inlineStr">
        <is>
          <t>UNAVAILABLE</t>
        </is>
      </c>
      <c r="N698" s="5" t="inlineStr">
        <is>
          <t>Semrush phrase_these returned no data (not billed)</t>
        </is>
      </c>
      <c r="O698" t="inlineStr">
        <is>
          <t>2026-10-30</t>
        </is>
      </c>
      <c r="P698">
        <f>IF(IF(J698="NOT AVAILABLE","",J698)="",12,IF(OR(ISNUMBER(SEARCH("Transactional",IF(J698="NOT AVAILABLE","",J698))),ISNUMBER(SEARCH("Commercial",IF(J698="NOT AVAILABLE","",J698)))),25,IF(ISNUMBER(SEARCH("Informational",IF(J698="NOT AVAILABLE","",J698))),10,IF(ISNUMBER(SEARCH("Navigational",IF(J698="NOT AVAILABLE","",J698))),0,12))))</f>
        <v/>
      </c>
      <c r="Q698">
        <f>IF(ISNUMBER(F698),MIN(30,ROUND(30*LOG10(F698+1)/4,1)),0)</f>
        <v/>
      </c>
      <c r="R698">
        <f>IF(ISNUMBER(G698),ROUND(25*(100-G698)/100,1),12.5)</f>
        <v/>
      </c>
      <c r="S698" t="n">
        <v>20</v>
      </c>
      <c r="T698">
        <f>ROUND(P698+Q698+R698+S698,0)</f>
        <v/>
      </c>
      <c r="U698" s="5" t="inlineStr"/>
      <c r="V698" s="5" t="inlineStr"/>
    </row>
    <row r="699">
      <c r="A699" t="inlineStr">
        <is>
          <t>K0697</t>
        </is>
      </c>
      <c r="B699" t="inlineStr">
        <is>
          <t>optimisation seo site web</t>
        </is>
      </c>
      <c r="C699" t="inlineStr">
        <is>
          <t>Morocco</t>
        </is>
      </c>
      <c r="D699" t="inlineStr">
        <is>
          <t>ma</t>
        </is>
      </c>
      <c r="E699" t="inlineStr">
        <is>
          <t>fr</t>
        </is>
      </c>
      <c r="F699" t="n">
        <v>0</v>
      </c>
      <c r="G699" t="inlineStr">
        <is>
          <t>NOT AVAILABLE</t>
        </is>
      </c>
      <c r="H699" t="n">
        <v>0</v>
      </c>
      <c r="I699" t="n">
        <v>0</v>
      </c>
      <c r="J699" t="inlineStr">
        <is>
          <t>NOT AVAILABLE</t>
        </is>
      </c>
      <c r="K699" t="inlineStr">
        <is>
          <t>NOT AVAILABLE (report not requested)</t>
        </is>
      </c>
      <c r="L699" t="inlineStr">
        <is>
          <t>flat (no data)</t>
        </is>
      </c>
      <c r="M699" t="inlineStr">
        <is>
          <t>MEASURED</t>
        </is>
      </c>
      <c r="N699" s="5" t="inlineStr">
        <is>
          <t>Semrush phrase_these (historical w3-validate-C-seo.csv)</t>
        </is>
      </c>
      <c r="O699" t="inlineStr">
        <is>
          <t>2026-10-27</t>
        </is>
      </c>
      <c r="P699">
        <f>IF(IF(J699="NOT AVAILABLE","",J699)="",12,IF(OR(ISNUMBER(SEARCH("Transactional",IF(J699="NOT AVAILABLE","",J699))),ISNUMBER(SEARCH("Commercial",IF(J699="NOT AVAILABLE","",J699)))),25,IF(ISNUMBER(SEARCH("Informational",IF(J699="NOT AVAILABLE","",J699))),10,IF(ISNUMBER(SEARCH("Navigational",IF(J699="NOT AVAILABLE","",J699))),0,12))))</f>
        <v/>
      </c>
      <c r="Q699">
        <f>IF(ISNUMBER(F699),MIN(30,ROUND(30*LOG10(F699+1)/4,1)),0)</f>
        <v/>
      </c>
      <c r="R699">
        <f>IF(ISNUMBER(G699),ROUND(25*(100-G699)/100,1),12.5)</f>
        <v/>
      </c>
      <c r="S699" t="n">
        <v>20</v>
      </c>
      <c r="T699">
        <f>ROUND(P699+Q699+R699+S699,0)</f>
        <v/>
      </c>
      <c r="U699" s="5" t="inlineStr"/>
      <c r="V699" s="5" t="inlineStr"/>
    </row>
    <row r="700">
      <c r="A700" t="inlineStr">
        <is>
          <t>K0698</t>
        </is>
      </c>
      <c r="B700" t="inlineStr">
        <is>
          <t>optimiser images site web</t>
        </is>
      </c>
      <c r="C700" t="inlineStr">
        <is>
          <t>Morocco</t>
        </is>
      </c>
      <c r="D700" t="inlineStr">
        <is>
          <t>ma</t>
        </is>
      </c>
      <c r="E700" t="inlineStr">
        <is>
          <t>fr</t>
        </is>
      </c>
      <c r="F700" t="inlineStr">
        <is>
          <t>NOT AVAILABLE</t>
        </is>
      </c>
      <c r="G700" t="inlineStr">
        <is>
          <t>NOT AVAILABLE</t>
        </is>
      </c>
      <c r="H700" t="inlineStr">
        <is>
          <t>NOT AVAILABLE</t>
        </is>
      </c>
      <c r="I700" t="inlineStr">
        <is>
          <t>NOT AVAILABLE</t>
        </is>
      </c>
      <c r="J700" t="inlineStr">
        <is>
          <t>NOT AVAILABLE</t>
        </is>
      </c>
      <c r="K700" t="inlineStr">
        <is>
          <t>NOT AVAILABLE</t>
        </is>
      </c>
      <c r="L700" t="inlineStr">
        <is>
          <t>NOT AVAILABLE</t>
        </is>
      </c>
      <c r="M700" t="inlineStr">
        <is>
          <t>UNAVAILABLE</t>
        </is>
      </c>
      <c r="N700" s="5" t="inlineStr">
        <is>
          <t>Semrush phrase_these returned no data (not billed)</t>
        </is>
      </c>
      <c r="O700" t="inlineStr">
        <is>
          <t>2026-10-30</t>
        </is>
      </c>
      <c r="P700">
        <f>IF(IF(J700="NOT AVAILABLE","",J700)="",12,IF(OR(ISNUMBER(SEARCH("Transactional",IF(J700="NOT AVAILABLE","",J700))),ISNUMBER(SEARCH("Commercial",IF(J700="NOT AVAILABLE","",J700)))),25,IF(ISNUMBER(SEARCH("Informational",IF(J700="NOT AVAILABLE","",J700))),10,IF(ISNUMBER(SEARCH("Navigational",IF(J700="NOT AVAILABLE","",J700))),0,12))))</f>
        <v/>
      </c>
      <c r="Q700">
        <f>IF(ISNUMBER(F700),MIN(30,ROUND(30*LOG10(F700+1)/4,1)),0)</f>
        <v/>
      </c>
      <c r="R700">
        <f>IF(ISNUMBER(G700),ROUND(25*(100-G700)/100,1),12.5)</f>
        <v/>
      </c>
      <c r="S700" t="n">
        <v>20</v>
      </c>
      <c r="T700">
        <f>ROUND(P700+Q700+R700+S700,0)</f>
        <v/>
      </c>
      <c r="U700" s="5" t="inlineStr"/>
      <c r="V700" s="5" t="inlineStr"/>
    </row>
    <row r="701">
      <c r="A701" t="inlineStr">
        <is>
          <t>K0699</t>
        </is>
      </c>
      <c r="B701" t="inlineStr">
        <is>
          <t>outil analyse seo</t>
        </is>
      </c>
      <c r="C701" t="inlineStr">
        <is>
          <t>Morocco</t>
        </is>
      </c>
      <c r="D701" t="inlineStr">
        <is>
          <t>ma</t>
        </is>
      </c>
      <c r="E701" t="inlineStr">
        <is>
          <t>fr</t>
        </is>
      </c>
      <c r="F701" t="n">
        <v>0</v>
      </c>
      <c r="G701" t="inlineStr">
        <is>
          <t>NOT AVAILABLE</t>
        </is>
      </c>
      <c r="H701" t="n">
        <v>0</v>
      </c>
      <c r="I701" t="n">
        <v>0</v>
      </c>
      <c r="J701" t="inlineStr">
        <is>
          <t>NOT AVAILABLE</t>
        </is>
      </c>
      <c r="K701" t="inlineStr">
        <is>
          <t>NOT AVAILABLE (report not requested)</t>
        </is>
      </c>
      <c r="L701" t="inlineStr">
        <is>
          <t>flat (no data)</t>
        </is>
      </c>
      <c r="M701" t="inlineStr">
        <is>
          <t>MEASURED</t>
        </is>
      </c>
      <c r="N701" s="5" t="inlineStr">
        <is>
          <t>Semrush phrase_these (historical w3-validate-G-tools.csv)</t>
        </is>
      </c>
      <c r="O701" t="inlineStr">
        <is>
          <t>2026-10-27</t>
        </is>
      </c>
      <c r="P701">
        <f>IF(IF(J701="NOT AVAILABLE","",J701)="",12,IF(OR(ISNUMBER(SEARCH("Transactional",IF(J701="NOT AVAILABLE","",J701))),ISNUMBER(SEARCH("Commercial",IF(J701="NOT AVAILABLE","",J701)))),25,IF(ISNUMBER(SEARCH("Informational",IF(J701="NOT AVAILABLE","",J701))),10,IF(ISNUMBER(SEARCH("Navigational",IF(J701="NOT AVAILABLE","",J701))),0,12))))</f>
        <v/>
      </c>
      <c r="Q701">
        <f>IF(ISNUMBER(F701),MIN(30,ROUND(30*LOG10(F701+1)/4,1)),0)</f>
        <v/>
      </c>
      <c r="R701">
        <f>IF(ISNUMBER(G701),ROUND(25*(100-G701)/100,1),12.5)</f>
        <v/>
      </c>
      <c r="S701" t="n">
        <v>20</v>
      </c>
      <c r="T701">
        <f>ROUND(P701+Q701+R701+S701,0)</f>
        <v/>
      </c>
      <c r="U701" s="5" t="inlineStr"/>
      <c r="V701" s="5" t="inlineStr"/>
    </row>
    <row r="702">
      <c r="A702" t="inlineStr">
        <is>
          <t>K0700</t>
        </is>
      </c>
      <c r="B702" t="inlineStr">
        <is>
          <t>outil maillage interne</t>
        </is>
      </c>
      <c r="C702" t="inlineStr">
        <is>
          <t>Morocco</t>
        </is>
      </c>
      <c r="D702" t="inlineStr">
        <is>
          <t>ma</t>
        </is>
      </c>
      <c r="E702" t="inlineStr">
        <is>
          <t>fr</t>
        </is>
      </c>
      <c r="F702" t="n">
        <v>0</v>
      </c>
      <c r="G702" t="inlineStr">
        <is>
          <t>NOT AVAILABLE</t>
        </is>
      </c>
      <c r="H702" t="n">
        <v>0</v>
      </c>
      <c r="I702" t="n">
        <v>0</v>
      </c>
      <c r="J702" t="inlineStr">
        <is>
          <t>NOT AVAILABLE</t>
        </is>
      </c>
      <c r="K702" t="inlineStr">
        <is>
          <t>NOT AVAILABLE (report not requested)</t>
        </is>
      </c>
      <c r="L702" t="inlineStr">
        <is>
          <t>flat (no data)</t>
        </is>
      </c>
      <c r="M702" t="inlineStr">
        <is>
          <t>MEASURED</t>
        </is>
      </c>
      <c r="N702" s="5" t="inlineStr">
        <is>
          <t>Semrush phrase_these (live, this session)</t>
        </is>
      </c>
      <c r="O702" t="inlineStr">
        <is>
          <t>2026-10-30</t>
        </is>
      </c>
      <c r="P702">
        <f>IF(IF(J702="NOT AVAILABLE","",J702)="",12,IF(OR(ISNUMBER(SEARCH("Transactional",IF(J702="NOT AVAILABLE","",J702))),ISNUMBER(SEARCH("Commercial",IF(J702="NOT AVAILABLE","",J702)))),25,IF(ISNUMBER(SEARCH("Informational",IF(J702="NOT AVAILABLE","",J702))),10,IF(ISNUMBER(SEARCH("Navigational",IF(J702="NOT AVAILABLE","",J702))),0,12))))</f>
        <v/>
      </c>
      <c r="Q702">
        <f>IF(ISNUMBER(F702),MIN(30,ROUND(30*LOG10(F702+1)/4,1)),0)</f>
        <v/>
      </c>
      <c r="R702">
        <f>IF(ISNUMBER(G702),ROUND(25*(100-G702)/100,1),12.5)</f>
        <v/>
      </c>
      <c r="S702" t="n">
        <v>20</v>
      </c>
      <c r="T702">
        <f>ROUND(P702+Q702+R702+S702,0)</f>
        <v/>
      </c>
      <c r="U702" s="5" t="inlineStr"/>
      <c r="V702" s="5" t="inlineStr"/>
    </row>
    <row r="703">
      <c r="A703" t="inlineStr">
        <is>
          <t>K0701</t>
        </is>
      </c>
      <c r="B703" t="inlineStr">
        <is>
          <t>outils ia gratuits</t>
        </is>
      </c>
      <c r="C703" t="inlineStr">
        <is>
          <t>Morocco</t>
        </is>
      </c>
      <c r="D703" t="inlineStr">
        <is>
          <t>ma</t>
        </is>
      </c>
      <c r="E703" t="inlineStr">
        <is>
          <t>fr</t>
        </is>
      </c>
      <c r="F703" t="inlineStr">
        <is>
          <t>NOT AVAILABLE</t>
        </is>
      </c>
      <c r="G703" t="inlineStr">
        <is>
          <t>NOT AVAILABLE</t>
        </is>
      </c>
      <c r="H703" t="inlineStr">
        <is>
          <t>NOT AVAILABLE</t>
        </is>
      </c>
      <c r="I703" t="inlineStr">
        <is>
          <t>NOT AVAILABLE</t>
        </is>
      </c>
      <c r="J703" t="inlineStr">
        <is>
          <t>NOT AVAILABLE</t>
        </is>
      </c>
      <c r="K703" t="inlineStr">
        <is>
          <t>NOT AVAILABLE</t>
        </is>
      </c>
      <c r="L703" t="inlineStr">
        <is>
          <t>NOT AVAILABLE</t>
        </is>
      </c>
      <c r="M703" t="inlineStr">
        <is>
          <t>UNAVAILABLE</t>
        </is>
      </c>
      <c r="N703" s="5" t="inlineStr">
        <is>
          <t>Semrush phrase_these returned no data (not billed)</t>
        </is>
      </c>
      <c r="O703" t="inlineStr">
        <is>
          <t>2026-10-30</t>
        </is>
      </c>
      <c r="P703">
        <f>IF(IF(J703="NOT AVAILABLE","",J703)="",12,IF(OR(ISNUMBER(SEARCH("Transactional",IF(J703="NOT AVAILABLE","",J703))),ISNUMBER(SEARCH("Commercial",IF(J703="NOT AVAILABLE","",J703)))),25,IF(ISNUMBER(SEARCH("Informational",IF(J703="NOT AVAILABLE","",J703))),10,IF(ISNUMBER(SEARCH("Navigational",IF(J703="NOT AVAILABLE","",J703))),0,12))))</f>
        <v/>
      </c>
      <c r="Q703">
        <f>IF(ISNUMBER(F703),MIN(30,ROUND(30*LOG10(F703+1)/4,1)),0)</f>
        <v/>
      </c>
      <c r="R703">
        <f>IF(ISNUMBER(G703),ROUND(25*(100-G703)/100,1),12.5)</f>
        <v/>
      </c>
      <c r="S703" t="n">
        <v>20</v>
      </c>
      <c r="T703">
        <f>ROUND(P703+Q703+R703+S703,0)</f>
        <v/>
      </c>
      <c r="U703" s="5" t="inlineStr"/>
      <c r="V703" s="5" t="inlineStr"/>
    </row>
    <row r="704">
      <c r="A704" t="inlineStr">
        <is>
          <t>K0702</t>
        </is>
      </c>
      <c r="B704" t="inlineStr">
        <is>
          <t>outils seo en ligne</t>
        </is>
      </c>
      <c r="C704" t="inlineStr">
        <is>
          <t>Morocco</t>
        </is>
      </c>
      <c r="D704" t="inlineStr">
        <is>
          <t>ma</t>
        </is>
      </c>
      <c r="E704" t="inlineStr">
        <is>
          <t>fr</t>
        </is>
      </c>
      <c r="F704" t="inlineStr">
        <is>
          <t>NOT AVAILABLE</t>
        </is>
      </c>
      <c r="G704" t="inlineStr">
        <is>
          <t>NOT AVAILABLE</t>
        </is>
      </c>
      <c r="H704" t="inlineStr">
        <is>
          <t>NOT AVAILABLE</t>
        </is>
      </c>
      <c r="I704" t="inlineStr">
        <is>
          <t>NOT AVAILABLE</t>
        </is>
      </c>
      <c r="J704" t="inlineStr">
        <is>
          <t>NOT AVAILABLE</t>
        </is>
      </c>
      <c r="K704" t="inlineStr">
        <is>
          <t>NOT AVAILABLE</t>
        </is>
      </c>
      <c r="L704" t="inlineStr">
        <is>
          <t>NOT AVAILABLE</t>
        </is>
      </c>
      <c r="M704" t="inlineStr">
        <is>
          <t>UNAVAILABLE</t>
        </is>
      </c>
      <c r="N704" s="5" t="inlineStr">
        <is>
          <t>Semrush phrase_these returned no data (not billed)</t>
        </is>
      </c>
      <c r="O704" t="inlineStr">
        <is>
          <t>2026-10-30</t>
        </is>
      </c>
      <c r="P704">
        <f>IF(IF(J704="NOT AVAILABLE","",J704)="",12,IF(OR(ISNUMBER(SEARCH("Transactional",IF(J704="NOT AVAILABLE","",J704))),ISNUMBER(SEARCH("Commercial",IF(J704="NOT AVAILABLE","",J704)))),25,IF(ISNUMBER(SEARCH("Informational",IF(J704="NOT AVAILABLE","",J704))),10,IF(ISNUMBER(SEARCH("Navigational",IF(J704="NOT AVAILABLE","",J704))),0,12))))</f>
        <v/>
      </c>
      <c r="Q704">
        <f>IF(ISNUMBER(F704),MIN(30,ROUND(30*LOG10(F704+1)/4,1)),0)</f>
        <v/>
      </c>
      <c r="R704">
        <f>IF(ISNUMBER(G704),ROUND(25*(100-G704)/100,1),12.5)</f>
        <v/>
      </c>
      <c r="S704" t="n">
        <v>20</v>
      </c>
      <c r="T704">
        <f>ROUND(P704+Q704+R704+S704,0)</f>
        <v/>
      </c>
      <c r="U704" s="5" t="inlineStr"/>
      <c r="V704" s="5" t="inlineStr"/>
    </row>
    <row r="705">
      <c r="A705" t="inlineStr">
        <is>
          <t>K0703</t>
        </is>
      </c>
      <c r="B705" t="inlineStr">
        <is>
          <t>paiement en ligne maroc site web</t>
        </is>
      </c>
      <c r="C705" t="inlineStr">
        <is>
          <t>Morocco</t>
        </is>
      </c>
      <c r="D705" t="inlineStr">
        <is>
          <t>ma</t>
        </is>
      </c>
      <c r="E705" t="inlineStr">
        <is>
          <t>fr</t>
        </is>
      </c>
      <c r="F705" t="inlineStr">
        <is>
          <t>NOT AVAILABLE</t>
        </is>
      </c>
      <c r="G705" t="inlineStr">
        <is>
          <t>NOT AVAILABLE</t>
        </is>
      </c>
      <c r="H705" t="inlineStr">
        <is>
          <t>NOT AVAILABLE</t>
        </is>
      </c>
      <c r="I705" t="inlineStr">
        <is>
          <t>NOT AVAILABLE</t>
        </is>
      </c>
      <c r="J705" t="inlineStr">
        <is>
          <t>NOT AVAILABLE</t>
        </is>
      </c>
      <c r="K705" t="inlineStr">
        <is>
          <t>NOT AVAILABLE</t>
        </is>
      </c>
      <c r="L705" t="inlineStr">
        <is>
          <t>NOT AVAILABLE</t>
        </is>
      </c>
      <c r="M705" t="inlineStr">
        <is>
          <t>UNAVAILABLE</t>
        </is>
      </c>
      <c r="N705" s="5" t="inlineStr">
        <is>
          <t>Semrush phrase_these returned no data (not billed)</t>
        </is>
      </c>
      <c r="O705" t="inlineStr">
        <is>
          <t>2026-10-30</t>
        </is>
      </c>
      <c r="P705">
        <f>IF(IF(J705="NOT AVAILABLE","",J705)="",12,IF(OR(ISNUMBER(SEARCH("Transactional",IF(J705="NOT AVAILABLE","",J705))),ISNUMBER(SEARCH("Commercial",IF(J705="NOT AVAILABLE","",J705)))),25,IF(ISNUMBER(SEARCH("Informational",IF(J705="NOT AVAILABLE","",J705))),10,IF(ISNUMBER(SEARCH("Navigational",IF(J705="NOT AVAILABLE","",J705))),0,12))))</f>
        <v/>
      </c>
      <c r="Q705">
        <f>IF(ISNUMBER(F705),MIN(30,ROUND(30*LOG10(F705+1)/4,1)),0)</f>
        <v/>
      </c>
      <c r="R705">
        <f>IF(ISNUMBER(G705),ROUND(25*(100-G705)/100,1),12.5)</f>
        <v/>
      </c>
      <c r="S705" t="n">
        <v>20</v>
      </c>
      <c r="T705">
        <f>ROUND(P705+Q705+R705+S705,0)</f>
        <v/>
      </c>
      <c r="U705" s="5" t="inlineStr"/>
      <c r="V705" s="5" t="inlineStr"/>
    </row>
    <row r="706">
      <c r="A706" t="inlineStr">
        <is>
          <t>K0704</t>
        </is>
      </c>
      <c r="B706" t="inlineStr">
        <is>
          <t>passerelle de paiement maroc</t>
        </is>
      </c>
      <c r="C706" t="inlineStr">
        <is>
          <t>Morocco</t>
        </is>
      </c>
      <c r="D706" t="inlineStr">
        <is>
          <t>ma</t>
        </is>
      </c>
      <c r="E706" t="inlineStr">
        <is>
          <t>fr</t>
        </is>
      </c>
      <c r="F706" t="n">
        <v>0</v>
      </c>
      <c r="G706" t="inlineStr">
        <is>
          <t>NOT AVAILABLE</t>
        </is>
      </c>
      <c r="H706" t="n">
        <v>0</v>
      </c>
      <c r="I706" t="n">
        <v>0</v>
      </c>
      <c r="J706" t="inlineStr">
        <is>
          <t>NOT AVAILABLE</t>
        </is>
      </c>
      <c r="K706" t="inlineStr">
        <is>
          <t>NOT AVAILABLE (report not requested)</t>
        </is>
      </c>
      <c r="L706" t="inlineStr">
        <is>
          <t>flat (no data)</t>
        </is>
      </c>
      <c r="M706" t="inlineStr">
        <is>
          <t>MEASURED</t>
        </is>
      </c>
      <c r="N706" s="5" t="inlineStr">
        <is>
          <t>Semrush phrase_these (live, this session)</t>
        </is>
      </c>
      <c r="O706" t="inlineStr">
        <is>
          <t>2026-10-30</t>
        </is>
      </c>
      <c r="P706">
        <f>IF(IF(J706="NOT AVAILABLE","",J706)="",12,IF(OR(ISNUMBER(SEARCH("Transactional",IF(J706="NOT AVAILABLE","",J706))),ISNUMBER(SEARCH("Commercial",IF(J706="NOT AVAILABLE","",J706)))),25,IF(ISNUMBER(SEARCH("Informational",IF(J706="NOT AVAILABLE","",J706))),10,IF(ISNUMBER(SEARCH("Navigational",IF(J706="NOT AVAILABLE","",J706))),0,12))))</f>
        <v/>
      </c>
      <c r="Q706">
        <f>IF(ISNUMBER(F706),MIN(30,ROUND(30*LOG10(F706+1)/4,1)),0)</f>
        <v/>
      </c>
      <c r="R706">
        <f>IF(ISNUMBER(G706),ROUND(25*(100-G706)/100,1),12.5)</f>
        <v/>
      </c>
      <c r="S706" t="n">
        <v>20</v>
      </c>
      <c r="T706">
        <f>ROUND(P706+Q706+R706+S706,0)</f>
        <v/>
      </c>
      <c r="U706" s="5" t="inlineStr"/>
      <c r="V706" s="5" t="inlineStr"/>
    </row>
    <row r="707">
      <c r="A707" t="inlineStr">
        <is>
          <t>K0705</t>
        </is>
      </c>
      <c r="B707" t="inlineStr">
        <is>
          <t>plateforme e-learning maroc</t>
        </is>
      </c>
      <c r="C707" t="inlineStr">
        <is>
          <t>Morocco</t>
        </is>
      </c>
      <c r="D707" t="inlineStr">
        <is>
          <t>ma</t>
        </is>
      </c>
      <c r="E707" t="inlineStr">
        <is>
          <t>fr</t>
        </is>
      </c>
      <c r="F707" t="n">
        <v>0</v>
      </c>
      <c r="G707" t="inlineStr">
        <is>
          <t>NOT AVAILABLE</t>
        </is>
      </c>
      <c r="H707" t="n">
        <v>0</v>
      </c>
      <c r="I707" t="n">
        <v>0</v>
      </c>
      <c r="J707" t="inlineStr">
        <is>
          <t>NOT AVAILABLE</t>
        </is>
      </c>
      <c r="K707" t="inlineStr">
        <is>
          <t>NOT AVAILABLE (report not requested)</t>
        </is>
      </c>
      <c r="L707" t="inlineStr">
        <is>
          <t>flat (no data)</t>
        </is>
      </c>
      <c r="M707" t="inlineStr">
        <is>
          <t>MEASURED</t>
        </is>
      </c>
      <c r="N707" s="5" t="inlineStr">
        <is>
          <t>Semrush phrase_these (live, this session)</t>
        </is>
      </c>
      <c r="O707" t="inlineStr">
        <is>
          <t>2026-10-30</t>
        </is>
      </c>
      <c r="P707">
        <f>IF(IF(J707="NOT AVAILABLE","",J707)="",12,IF(OR(ISNUMBER(SEARCH("Transactional",IF(J707="NOT AVAILABLE","",J707))),ISNUMBER(SEARCH("Commercial",IF(J707="NOT AVAILABLE","",J707)))),25,IF(ISNUMBER(SEARCH("Informational",IF(J707="NOT AVAILABLE","",J707))),10,IF(ISNUMBER(SEARCH("Navigational",IF(J707="NOT AVAILABLE","",J707))),0,12))))</f>
        <v/>
      </c>
      <c r="Q707">
        <f>IF(ISNUMBER(F707),MIN(30,ROUND(30*LOG10(F707+1)/4,1)),0)</f>
        <v/>
      </c>
      <c r="R707">
        <f>IF(ISNUMBER(G707),ROUND(25*(100-G707)/100,1),12.5)</f>
        <v/>
      </c>
      <c r="S707" t="n">
        <v>20</v>
      </c>
      <c r="T707">
        <f>ROUND(P707+Q707+R707+S707,0)</f>
        <v/>
      </c>
      <c r="U707" s="5" t="inlineStr"/>
      <c r="V707" s="5" t="inlineStr"/>
    </row>
    <row r="708">
      <c r="A708" t="inlineStr">
        <is>
          <t>K0706</t>
        </is>
      </c>
      <c r="B708" t="inlineStr">
        <is>
          <t>plateforme edtech</t>
        </is>
      </c>
      <c r="C708" t="inlineStr">
        <is>
          <t>Morocco</t>
        </is>
      </c>
      <c r="D708" t="inlineStr">
        <is>
          <t>ma</t>
        </is>
      </c>
      <c r="E708" t="inlineStr">
        <is>
          <t>fr</t>
        </is>
      </c>
      <c r="F708" t="inlineStr">
        <is>
          <t>NOT AVAILABLE</t>
        </is>
      </c>
      <c r="G708" t="inlineStr">
        <is>
          <t>NOT AVAILABLE</t>
        </is>
      </c>
      <c r="H708" t="inlineStr">
        <is>
          <t>NOT AVAILABLE</t>
        </is>
      </c>
      <c r="I708" t="inlineStr">
        <is>
          <t>NOT AVAILABLE</t>
        </is>
      </c>
      <c r="J708" t="inlineStr">
        <is>
          <t>NOT AVAILABLE</t>
        </is>
      </c>
      <c r="K708" t="inlineStr">
        <is>
          <t>NOT AVAILABLE</t>
        </is>
      </c>
      <c r="L708" t="inlineStr">
        <is>
          <t>NOT AVAILABLE</t>
        </is>
      </c>
      <c r="M708" t="inlineStr">
        <is>
          <t>UNAVAILABLE</t>
        </is>
      </c>
      <c r="N708" s="5" t="inlineStr">
        <is>
          <t>Semrush phrase_these returned no data (not billed)</t>
        </is>
      </c>
      <c r="O708" t="inlineStr">
        <is>
          <t>2026-10-30</t>
        </is>
      </c>
      <c r="P708">
        <f>IF(IF(J708="NOT AVAILABLE","",J708)="",12,IF(OR(ISNUMBER(SEARCH("Transactional",IF(J708="NOT AVAILABLE","",J708))),ISNUMBER(SEARCH("Commercial",IF(J708="NOT AVAILABLE","",J708)))),25,IF(ISNUMBER(SEARCH("Informational",IF(J708="NOT AVAILABLE","",J708))),10,IF(ISNUMBER(SEARCH("Navigational",IF(J708="NOT AVAILABLE","",J708))),0,12))))</f>
        <v/>
      </c>
      <c r="Q708">
        <f>IF(ISNUMBER(F708),MIN(30,ROUND(30*LOG10(F708+1)/4,1)),0)</f>
        <v/>
      </c>
      <c r="R708">
        <f>IF(ISNUMBER(G708),ROUND(25*(100-G708)/100,1),12.5)</f>
        <v/>
      </c>
      <c r="S708" t="n">
        <v>20</v>
      </c>
      <c r="T708">
        <f>ROUND(P708+Q708+R708+S708,0)</f>
        <v/>
      </c>
      <c r="U708" s="5" t="inlineStr"/>
      <c r="V708" s="5" t="inlineStr"/>
    </row>
    <row r="709">
      <c r="A709" t="inlineStr">
        <is>
          <t>K0707</t>
        </is>
      </c>
      <c r="B709" t="inlineStr">
        <is>
          <t>portfolio agence web</t>
        </is>
      </c>
      <c r="C709" t="inlineStr">
        <is>
          <t>Morocco</t>
        </is>
      </c>
      <c r="D709" t="inlineStr">
        <is>
          <t>ma</t>
        </is>
      </c>
      <c r="E709" t="inlineStr">
        <is>
          <t>fr</t>
        </is>
      </c>
      <c r="F709" t="inlineStr">
        <is>
          <t>NOT AVAILABLE</t>
        </is>
      </c>
      <c r="G709" t="inlineStr">
        <is>
          <t>NOT AVAILABLE</t>
        </is>
      </c>
      <c r="H709" t="inlineStr">
        <is>
          <t>NOT AVAILABLE</t>
        </is>
      </c>
      <c r="I709" t="inlineStr">
        <is>
          <t>NOT AVAILABLE</t>
        </is>
      </c>
      <c r="J709" t="inlineStr">
        <is>
          <t>NOT AVAILABLE</t>
        </is>
      </c>
      <c r="K709" t="inlineStr">
        <is>
          <t>NOT AVAILABLE</t>
        </is>
      </c>
      <c r="L709" t="inlineStr">
        <is>
          <t>NOT AVAILABLE</t>
        </is>
      </c>
      <c r="M709" t="inlineStr">
        <is>
          <t>UNAVAILABLE</t>
        </is>
      </c>
      <c r="N709" s="5" t="inlineStr">
        <is>
          <t>Semrush phrase_these returned no data (not billed)</t>
        </is>
      </c>
      <c r="O709" t="inlineStr">
        <is>
          <t>2026-10-30</t>
        </is>
      </c>
      <c r="P709">
        <f>IF(IF(J709="NOT AVAILABLE","",J709)="",12,IF(OR(ISNUMBER(SEARCH("Transactional",IF(J709="NOT AVAILABLE","",J709))),ISNUMBER(SEARCH("Commercial",IF(J709="NOT AVAILABLE","",J709)))),25,IF(ISNUMBER(SEARCH("Informational",IF(J709="NOT AVAILABLE","",J709))),10,IF(ISNUMBER(SEARCH("Navigational",IF(J709="NOT AVAILABLE","",J709))),0,12))))</f>
        <v/>
      </c>
      <c r="Q709">
        <f>IF(ISNUMBER(F709),MIN(30,ROUND(30*LOG10(F709+1)/4,1)),0)</f>
        <v/>
      </c>
      <c r="R709">
        <f>IF(ISNUMBER(G709),ROUND(25*(100-G709)/100,1),12.5)</f>
        <v/>
      </c>
      <c r="S709" t="n">
        <v>20</v>
      </c>
      <c r="T709">
        <f>ROUND(P709+Q709+R709+S709,0)</f>
        <v/>
      </c>
      <c r="U709" s="5" t="inlineStr"/>
      <c r="V709" s="5" t="inlineStr"/>
    </row>
    <row r="710">
      <c r="A710" t="inlineStr">
        <is>
          <t>K0708</t>
        </is>
      </c>
      <c r="B710" t="inlineStr">
        <is>
          <t>prix création site internet</t>
        </is>
      </c>
      <c r="C710" t="inlineStr">
        <is>
          <t>Morocco</t>
        </is>
      </c>
      <c r="D710" t="inlineStr">
        <is>
          <t>ma</t>
        </is>
      </c>
      <c r="E710" t="inlineStr">
        <is>
          <t>fr</t>
        </is>
      </c>
      <c r="F710" t="inlineStr">
        <is>
          <t>NOT AVAILABLE</t>
        </is>
      </c>
      <c r="G710" t="inlineStr">
        <is>
          <t>NOT AVAILABLE</t>
        </is>
      </c>
      <c r="H710" t="inlineStr">
        <is>
          <t>NOT AVAILABLE</t>
        </is>
      </c>
      <c r="I710" t="inlineStr">
        <is>
          <t>NOT AVAILABLE</t>
        </is>
      </c>
      <c r="J710" t="inlineStr">
        <is>
          <t>NOT AVAILABLE</t>
        </is>
      </c>
      <c r="K710" t="inlineStr">
        <is>
          <t>NOT AVAILABLE</t>
        </is>
      </c>
      <c r="L710" t="inlineStr">
        <is>
          <t>NOT AVAILABLE</t>
        </is>
      </c>
      <c r="M710" t="inlineStr">
        <is>
          <t>SUGGESTED</t>
        </is>
      </c>
      <c r="N710" s="5" t="inlineStr">
        <is>
          <t>Analyst suggestion - not validated in Semrush</t>
        </is>
      </c>
      <c r="O710" t="inlineStr">
        <is>
          <t>NOT AVAILABLE</t>
        </is>
      </c>
      <c r="P710">
        <f>IF(IF(J710="NOT AVAILABLE","",J710)="",12,IF(OR(ISNUMBER(SEARCH("Transactional",IF(J710="NOT AVAILABLE","",J710))),ISNUMBER(SEARCH("Commercial",IF(J710="NOT AVAILABLE","",J710)))),25,IF(ISNUMBER(SEARCH("Informational",IF(J710="NOT AVAILABLE","",J710))),10,IF(ISNUMBER(SEARCH("Navigational",IF(J710="NOT AVAILABLE","",J710))),0,12))))</f>
        <v/>
      </c>
      <c r="Q710">
        <f>IF(ISNUMBER(F710),MIN(30,ROUND(30*LOG10(F710+1)/4,1)),0)</f>
        <v/>
      </c>
      <c r="R710">
        <f>IF(ISNUMBER(G710),ROUND(25*(100-G710)/100,1),12.5)</f>
        <v/>
      </c>
      <c r="S710" t="n">
        <v>20</v>
      </c>
      <c r="T710">
        <f>ROUND(P710+Q710+R710+S710,0)</f>
        <v/>
      </c>
      <c r="U710" s="5" t="inlineStr"/>
      <c r="V710" s="5" t="inlineStr"/>
    </row>
    <row r="711">
      <c r="A711" t="inlineStr">
        <is>
          <t>K0709</t>
        </is>
      </c>
      <c r="B711" t="inlineStr">
        <is>
          <t>prix création site web casablanca</t>
        </is>
      </c>
      <c r="C711" t="inlineStr">
        <is>
          <t>Morocco</t>
        </is>
      </c>
      <c r="D711" t="inlineStr">
        <is>
          <t>ma</t>
        </is>
      </c>
      <c r="E711" t="inlineStr">
        <is>
          <t>fr</t>
        </is>
      </c>
      <c r="F711" t="inlineStr">
        <is>
          <t>NOT AVAILABLE</t>
        </is>
      </c>
      <c r="G711" t="inlineStr">
        <is>
          <t>NOT AVAILABLE</t>
        </is>
      </c>
      <c r="H711" t="inlineStr">
        <is>
          <t>NOT AVAILABLE</t>
        </is>
      </c>
      <c r="I711" t="inlineStr">
        <is>
          <t>NOT AVAILABLE</t>
        </is>
      </c>
      <c r="J711" t="inlineStr">
        <is>
          <t>NOT AVAILABLE</t>
        </is>
      </c>
      <c r="K711" t="inlineStr">
        <is>
          <t>NOT AVAILABLE</t>
        </is>
      </c>
      <c r="L711" t="inlineStr">
        <is>
          <t>NOT AVAILABLE</t>
        </is>
      </c>
      <c r="M711" t="inlineStr">
        <is>
          <t>SUGGESTED</t>
        </is>
      </c>
      <c r="N711" s="5" t="inlineStr">
        <is>
          <t>Analyst suggestion - not validated in Semrush</t>
        </is>
      </c>
      <c r="O711" t="inlineStr">
        <is>
          <t>NOT AVAILABLE</t>
        </is>
      </c>
      <c r="P711">
        <f>IF(IF(J711="NOT AVAILABLE","",J711)="",12,IF(OR(ISNUMBER(SEARCH("Transactional",IF(J711="NOT AVAILABLE","",J711))),ISNUMBER(SEARCH("Commercial",IF(J711="NOT AVAILABLE","",J711)))),25,IF(ISNUMBER(SEARCH("Informational",IF(J711="NOT AVAILABLE","",J711))),10,IF(ISNUMBER(SEARCH("Navigational",IF(J711="NOT AVAILABLE","",J711))),0,12))))</f>
        <v/>
      </c>
      <c r="Q711">
        <f>IF(ISNUMBER(F711),MIN(30,ROUND(30*LOG10(F711+1)/4,1)),0)</f>
        <v/>
      </c>
      <c r="R711">
        <f>IF(ISNUMBER(G711),ROUND(25*(100-G711)/100,1),12.5)</f>
        <v/>
      </c>
      <c r="S711" t="n">
        <v>20</v>
      </c>
      <c r="T711">
        <f>ROUND(P711+Q711+R711+S711,0)</f>
        <v/>
      </c>
      <c r="U711" s="5" t="inlineStr"/>
      <c r="V711" s="5" t="inlineStr"/>
    </row>
    <row r="712">
      <c r="A712" t="inlineStr">
        <is>
          <t>K0710</t>
        </is>
      </c>
      <c r="B712" t="inlineStr">
        <is>
          <t>prix création site web maroc</t>
        </is>
      </c>
      <c r="C712" t="inlineStr">
        <is>
          <t>Morocco</t>
        </is>
      </c>
      <c r="D712" t="inlineStr">
        <is>
          <t>ma</t>
        </is>
      </c>
      <c r="E712" t="inlineStr">
        <is>
          <t>fr</t>
        </is>
      </c>
      <c r="F712" t="n">
        <v>0</v>
      </c>
      <c r="G712" t="inlineStr">
        <is>
          <t>NOT AVAILABLE</t>
        </is>
      </c>
      <c r="H712" t="n">
        <v>0</v>
      </c>
      <c r="I712" t="n">
        <v>0</v>
      </c>
      <c r="J712" t="inlineStr">
        <is>
          <t>NOT AVAILABLE</t>
        </is>
      </c>
      <c r="K712" t="inlineStr">
        <is>
          <t>NOT AVAILABLE (report not requested)</t>
        </is>
      </c>
      <c r="L712" t="inlineStr">
        <is>
          <t>flat (no data)</t>
        </is>
      </c>
      <c r="M712" t="inlineStr">
        <is>
          <t>MEASURED</t>
        </is>
      </c>
      <c r="N712" s="5" t="inlineStr">
        <is>
          <t>Semrush phrase_these (live, this session)</t>
        </is>
      </c>
      <c r="O712" t="inlineStr">
        <is>
          <t>2026-10-30</t>
        </is>
      </c>
      <c r="P712">
        <f>IF(IF(J712="NOT AVAILABLE","",J712)="",12,IF(OR(ISNUMBER(SEARCH("Transactional",IF(J712="NOT AVAILABLE","",J712))),ISNUMBER(SEARCH("Commercial",IF(J712="NOT AVAILABLE","",J712)))),25,IF(ISNUMBER(SEARCH("Informational",IF(J712="NOT AVAILABLE","",J712))),10,IF(ISNUMBER(SEARCH("Navigational",IF(J712="NOT AVAILABLE","",J712))),0,12))))</f>
        <v/>
      </c>
      <c r="Q712">
        <f>IF(ISNUMBER(F712),MIN(30,ROUND(30*LOG10(F712+1)/4,1)),0)</f>
        <v/>
      </c>
      <c r="R712">
        <f>IF(ISNUMBER(G712),ROUND(25*(100-G712)/100,1),12.5)</f>
        <v/>
      </c>
      <c r="S712" t="n">
        <v>20</v>
      </c>
      <c r="T712">
        <f>ROUND(P712+Q712+R712+S712,0)</f>
        <v/>
      </c>
      <c r="U712" s="5" t="inlineStr"/>
      <c r="V712" s="5" t="inlineStr"/>
    </row>
    <row r="713">
      <c r="A713" t="inlineStr">
        <is>
          <t>K0711</t>
        </is>
      </c>
      <c r="B713" t="inlineStr">
        <is>
          <t>prix création site web marrakech</t>
        </is>
      </c>
      <c r="C713" t="inlineStr">
        <is>
          <t>Morocco</t>
        </is>
      </c>
      <c r="D713" t="inlineStr">
        <is>
          <t>ma</t>
        </is>
      </c>
      <c r="E713" t="inlineStr">
        <is>
          <t>fr</t>
        </is>
      </c>
      <c r="F713" t="inlineStr">
        <is>
          <t>NOT AVAILABLE</t>
        </is>
      </c>
      <c r="G713" t="inlineStr">
        <is>
          <t>NOT AVAILABLE</t>
        </is>
      </c>
      <c r="H713" t="inlineStr">
        <is>
          <t>NOT AVAILABLE</t>
        </is>
      </c>
      <c r="I713" t="inlineStr">
        <is>
          <t>NOT AVAILABLE</t>
        </is>
      </c>
      <c r="J713" t="inlineStr">
        <is>
          <t>NOT AVAILABLE</t>
        </is>
      </c>
      <c r="K713" t="inlineStr">
        <is>
          <t>NOT AVAILABLE</t>
        </is>
      </c>
      <c r="L713" t="inlineStr">
        <is>
          <t>NOT AVAILABLE</t>
        </is>
      </c>
      <c r="M713" t="inlineStr">
        <is>
          <t>SUGGESTED</t>
        </is>
      </c>
      <c r="N713" s="5" t="inlineStr">
        <is>
          <t>Analyst suggestion - not validated in Semrush</t>
        </is>
      </c>
      <c r="O713" t="inlineStr">
        <is>
          <t>NOT AVAILABLE</t>
        </is>
      </c>
      <c r="P713">
        <f>IF(IF(J713="NOT AVAILABLE","",J713)="",12,IF(OR(ISNUMBER(SEARCH("Transactional",IF(J713="NOT AVAILABLE","",J713))),ISNUMBER(SEARCH("Commercial",IF(J713="NOT AVAILABLE","",J713)))),25,IF(ISNUMBER(SEARCH("Informational",IF(J713="NOT AVAILABLE","",J713))),10,IF(ISNUMBER(SEARCH("Navigational",IF(J713="NOT AVAILABLE","",J713))),0,12))))</f>
        <v/>
      </c>
      <c r="Q713">
        <f>IF(ISNUMBER(F713),MIN(30,ROUND(30*LOG10(F713+1)/4,1)),0)</f>
        <v/>
      </c>
      <c r="R713">
        <f>IF(ISNUMBER(G713),ROUND(25*(100-G713)/100,1),12.5)</f>
        <v/>
      </c>
      <c r="S713" t="n">
        <v>20</v>
      </c>
      <c r="T713">
        <f>ROUND(P713+Q713+R713+S713,0)</f>
        <v/>
      </c>
      <c r="U713" s="5" t="inlineStr"/>
      <c r="V713" s="5" t="inlineStr"/>
    </row>
    <row r="714">
      <c r="A714" t="inlineStr">
        <is>
          <t>K0712</t>
        </is>
      </c>
      <c r="B714" t="inlineStr">
        <is>
          <t>prix création site web tanger</t>
        </is>
      </c>
      <c r="C714" t="inlineStr">
        <is>
          <t>Morocco</t>
        </is>
      </c>
      <c r="D714" t="inlineStr">
        <is>
          <t>ma</t>
        </is>
      </c>
      <c r="E714" t="inlineStr">
        <is>
          <t>fr</t>
        </is>
      </c>
      <c r="F714" t="inlineStr">
        <is>
          <t>NOT AVAILABLE</t>
        </is>
      </c>
      <c r="G714" t="inlineStr">
        <is>
          <t>NOT AVAILABLE</t>
        </is>
      </c>
      <c r="H714" t="inlineStr">
        <is>
          <t>NOT AVAILABLE</t>
        </is>
      </c>
      <c r="I714" t="inlineStr">
        <is>
          <t>NOT AVAILABLE</t>
        </is>
      </c>
      <c r="J714" t="inlineStr">
        <is>
          <t>NOT AVAILABLE</t>
        </is>
      </c>
      <c r="K714" t="inlineStr">
        <is>
          <t>NOT AVAILABLE</t>
        </is>
      </c>
      <c r="L714" t="inlineStr">
        <is>
          <t>NOT AVAILABLE</t>
        </is>
      </c>
      <c r="M714" t="inlineStr">
        <is>
          <t>SUGGESTED</t>
        </is>
      </c>
      <c r="N714" s="5" t="inlineStr">
        <is>
          <t>Analyst suggestion - not validated in Semrush</t>
        </is>
      </c>
      <c r="O714" t="inlineStr">
        <is>
          <t>NOT AVAILABLE</t>
        </is>
      </c>
      <c r="P714">
        <f>IF(IF(J714="NOT AVAILABLE","",J714)="",12,IF(OR(ISNUMBER(SEARCH("Transactional",IF(J714="NOT AVAILABLE","",J714))),ISNUMBER(SEARCH("Commercial",IF(J714="NOT AVAILABLE","",J714)))),25,IF(ISNUMBER(SEARCH("Informational",IF(J714="NOT AVAILABLE","",J714))),10,IF(ISNUMBER(SEARCH("Navigational",IF(J714="NOT AVAILABLE","",J714))),0,12))))</f>
        <v/>
      </c>
      <c r="Q714">
        <f>IF(ISNUMBER(F714),MIN(30,ROUND(30*LOG10(F714+1)/4,1)),0)</f>
        <v/>
      </c>
      <c r="R714">
        <f>IF(ISNUMBER(G714),ROUND(25*(100-G714)/100,1),12.5)</f>
        <v/>
      </c>
      <c r="S714" t="n">
        <v>20</v>
      </c>
      <c r="T714">
        <f>ROUND(P714+Q714+R714+S714,0)</f>
        <v/>
      </c>
      <c r="U714" s="5" t="inlineStr"/>
      <c r="V714" s="5" t="inlineStr"/>
    </row>
    <row r="715">
      <c r="A715" t="inlineStr">
        <is>
          <t>K0713</t>
        </is>
      </c>
      <c r="B715" t="inlineStr">
        <is>
          <t>prix d'un site web au maroc</t>
        </is>
      </c>
      <c r="C715" t="inlineStr">
        <is>
          <t>Morocco</t>
        </is>
      </c>
      <c r="D715" t="inlineStr">
        <is>
          <t>ma</t>
        </is>
      </c>
      <c r="E715" t="inlineStr">
        <is>
          <t>fr</t>
        </is>
      </c>
      <c r="F715" t="inlineStr">
        <is>
          <t>NOT AVAILABLE</t>
        </is>
      </c>
      <c r="G715" t="inlineStr">
        <is>
          <t>NOT AVAILABLE</t>
        </is>
      </c>
      <c r="H715" t="inlineStr">
        <is>
          <t>NOT AVAILABLE</t>
        </is>
      </c>
      <c r="I715" t="inlineStr">
        <is>
          <t>NOT AVAILABLE</t>
        </is>
      </c>
      <c r="J715" t="inlineStr">
        <is>
          <t>NOT AVAILABLE</t>
        </is>
      </c>
      <c r="K715" t="inlineStr">
        <is>
          <t>NOT AVAILABLE</t>
        </is>
      </c>
      <c r="L715" t="inlineStr">
        <is>
          <t>NOT AVAILABLE</t>
        </is>
      </c>
      <c r="M715" t="inlineStr">
        <is>
          <t>UNAVAILABLE</t>
        </is>
      </c>
      <c r="N715" s="5" t="inlineStr">
        <is>
          <t>Semrush phrase_these returned no data (not billed)</t>
        </is>
      </c>
      <c r="O715" t="inlineStr">
        <is>
          <t>2026-10-30</t>
        </is>
      </c>
      <c r="P715">
        <f>IF(IF(J715="NOT AVAILABLE","",J715)="",12,IF(OR(ISNUMBER(SEARCH("Transactional",IF(J715="NOT AVAILABLE","",J715))),ISNUMBER(SEARCH("Commercial",IF(J715="NOT AVAILABLE","",J715)))),25,IF(ISNUMBER(SEARCH("Informational",IF(J715="NOT AVAILABLE","",J715))),10,IF(ISNUMBER(SEARCH("Navigational",IF(J715="NOT AVAILABLE","",J715))),0,12))))</f>
        <v/>
      </c>
      <c r="Q715">
        <f>IF(ISNUMBER(F715),MIN(30,ROUND(30*LOG10(F715+1)/4,1)),0)</f>
        <v/>
      </c>
      <c r="R715">
        <f>IF(ISNUMBER(G715),ROUND(25*(100-G715)/100,1),12.5)</f>
        <v/>
      </c>
      <c r="S715" t="n">
        <v>20</v>
      </c>
      <c r="T715">
        <f>ROUND(P715+Q715+R715+S715,0)</f>
        <v/>
      </c>
      <c r="U715" s="5" t="inlineStr"/>
      <c r="V715" s="5" t="inlineStr"/>
    </row>
    <row r="716">
      <c r="A716" t="inlineStr">
        <is>
          <t>K0714</t>
        </is>
      </c>
      <c r="B716" t="inlineStr">
        <is>
          <t>prix maintenance site web</t>
        </is>
      </c>
      <c r="C716" t="inlineStr">
        <is>
          <t>Morocco</t>
        </is>
      </c>
      <c r="D716" t="inlineStr">
        <is>
          <t>ma</t>
        </is>
      </c>
      <c r="E716" t="inlineStr">
        <is>
          <t>fr</t>
        </is>
      </c>
      <c r="F716" t="n">
        <v>0</v>
      </c>
      <c r="G716" t="inlineStr">
        <is>
          <t>NOT AVAILABLE</t>
        </is>
      </c>
      <c r="H716" t="n">
        <v>0</v>
      </c>
      <c r="I716" t="n">
        <v>0</v>
      </c>
      <c r="J716" t="inlineStr">
        <is>
          <t>NOT AVAILABLE</t>
        </is>
      </c>
      <c r="K716" t="inlineStr">
        <is>
          <t>NOT AVAILABLE (report not requested)</t>
        </is>
      </c>
      <c r="L716" t="inlineStr">
        <is>
          <t>flat (no data)</t>
        </is>
      </c>
      <c r="M716" t="inlineStr">
        <is>
          <t>MEASURED</t>
        </is>
      </c>
      <c r="N716" s="5" t="inlineStr">
        <is>
          <t>Semrush phrase_these (live, this session)</t>
        </is>
      </c>
      <c r="O716" t="inlineStr">
        <is>
          <t>2026-10-30</t>
        </is>
      </c>
      <c r="P716">
        <f>IF(IF(J716="NOT AVAILABLE","",J716)="",12,IF(OR(ISNUMBER(SEARCH("Transactional",IF(J716="NOT AVAILABLE","",J716))),ISNUMBER(SEARCH("Commercial",IF(J716="NOT AVAILABLE","",J716)))),25,IF(ISNUMBER(SEARCH("Informational",IF(J716="NOT AVAILABLE","",J716))),10,IF(ISNUMBER(SEARCH("Navigational",IF(J716="NOT AVAILABLE","",J716))),0,12))))</f>
        <v/>
      </c>
      <c r="Q716">
        <f>IF(ISNUMBER(F716),MIN(30,ROUND(30*LOG10(F716+1)/4,1)),0)</f>
        <v/>
      </c>
      <c r="R716">
        <f>IF(ISNUMBER(G716),ROUND(25*(100-G716)/100,1),12.5)</f>
        <v/>
      </c>
      <c r="S716" t="n">
        <v>20</v>
      </c>
      <c r="T716">
        <f>ROUND(P716+Q716+R716+S716,0)</f>
        <v/>
      </c>
      <c r="U716" s="5" t="inlineStr"/>
      <c r="V716" s="5" t="inlineStr"/>
    </row>
    <row r="717">
      <c r="A717" t="inlineStr">
        <is>
          <t>K0715</t>
        </is>
      </c>
      <c r="B717" t="inlineStr">
        <is>
          <t>prix référencement naturel</t>
        </is>
      </c>
      <c r="C717" t="inlineStr">
        <is>
          <t>Morocco</t>
        </is>
      </c>
      <c r="D717" t="inlineStr">
        <is>
          <t>ma</t>
        </is>
      </c>
      <c r="E717" t="inlineStr">
        <is>
          <t>fr</t>
        </is>
      </c>
      <c r="F717" t="n">
        <v>0</v>
      </c>
      <c r="G717" t="inlineStr">
        <is>
          <t>NOT AVAILABLE</t>
        </is>
      </c>
      <c r="H717" t="n">
        <v>0</v>
      </c>
      <c r="I717" t="n">
        <v>0</v>
      </c>
      <c r="J717" t="inlineStr">
        <is>
          <t>NOT AVAILABLE</t>
        </is>
      </c>
      <c r="K717" t="inlineStr">
        <is>
          <t>NOT AVAILABLE (report not requested)</t>
        </is>
      </c>
      <c r="L717" t="inlineStr">
        <is>
          <t>flat (no data)</t>
        </is>
      </c>
      <c r="M717" t="inlineStr">
        <is>
          <t>MEASURED</t>
        </is>
      </c>
      <c r="N717" s="5" t="inlineStr">
        <is>
          <t>Semrush phrase_these (live, this session)</t>
        </is>
      </c>
      <c r="O717" t="inlineStr">
        <is>
          <t>2026-10-30</t>
        </is>
      </c>
      <c r="P717">
        <f>IF(IF(J717="NOT AVAILABLE","",J717)="",12,IF(OR(ISNUMBER(SEARCH("Transactional",IF(J717="NOT AVAILABLE","",J717))),ISNUMBER(SEARCH("Commercial",IF(J717="NOT AVAILABLE","",J717)))),25,IF(ISNUMBER(SEARCH("Informational",IF(J717="NOT AVAILABLE","",J717))),10,IF(ISNUMBER(SEARCH("Navigational",IF(J717="NOT AVAILABLE","",J717))),0,12))))</f>
        <v/>
      </c>
      <c r="Q717">
        <f>IF(ISNUMBER(F717),MIN(30,ROUND(30*LOG10(F717+1)/4,1)),0)</f>
        <v/>
      </c>
      <c r="R717">
        <f>IF(ISNUMBER(G717),ROUND(25*(100-G717)/100,1),12.5)</f>
        <v/>
      </c>
      <c r="S717" t="n">
        <v>20</v>
      </c>
      <c r="T717">
        <f>ROUND(P717+Q717+R717+S717,0)</f>
        <v/>
      </c>
      <c r="U717" s="5" t="inlineStr"/>
      <c r="V717" s="5" t="inlineStr"/>
    </row>
    <row r="718">
      <c r="A718" t="inlineStr">
        <is>
          <t>K0716</t>
        </is>
      </c>
      <c r="B718" t="inlineStr">
        <is>
          <t>prix référencement naturel maroc</t>
        </is>
      </c>
      <c r="C718" t="inlineStr">
        <is>
          <t>Morocco</t>
        </is>
      </c>
      <c r="D718" t="inlineStr">
        <is>
          <t>ma</t>
        </is>
      </c>
      <c r="E718" t="inlineStr">
        <is>
          <t>fr</t>
        </is>
      </c>
      <c r="F718" t="inlineStr">
        <is>
          <t>NOT AVAILABLE</t>
        </is>
      </c>
      <c r="G718" t="inlineStr">
        <is>
          <t>NOT AVAILABLE</t>
        </is>
      </c>
      <c r="H718" t="inlineStr">
        <is>
          <t>NOT AVAILABLE</t>
        </is>
      </c>
      <c r="I718" t="inlineStr">
        <is>
          <t>NOT AVAILABLE</t>
        </is>
      </c>
      <c r="J718" t="inlineStr">
        <is>
          <t>NOT AVAILABLE</t>
        </is>
      </c>
      <c r="K718" t="inlineStr">
        <is>
          <t>NOT AVAILABLE</t>
        </is>
      </c>
      <c r="L718" t="inlineStr">
        <is>
          <t>NOT AVAILABLE</t>
        </is>
      </c>
      <c r="M718" t="inlineStr">
        <is>
          <t>UNAVAILABLE</t>
        </is>
      </c>
      <c r="N718" s="5" t="inlineStr">
        <is>
          <t>Semrush phrase_these returned no data (not billed)</t>
        </is>
      </c>
      <c r="O718" t="inlineStr">
        <is>
          <t>2026-10-30</t>
        </is>
      </c>
      <c r="P718">
        <f>IF(IF(J718="NOT AVAILABLE","",J718)="",12,IF(OR(ISNUMBER(SEARCH("Transactional",IF(J718="NOT AVAILABLE","",J718))),ISNUMBER(SEARCH("Commercial",IF(J718="NOT AVAILABLE","",J718)))),25,IF(ISNUMBER(SEARCH("Informational",IF(J718="NOT AVAILABLE","",J718))),10,IF(ISNUMBER(SEARCH("Navigational",IF(J718="NOT AVAILABLE","",J718))),0,12))))</f>
        <v/>
      </c>
      <c r="Q718">
        <f>IF(ISNUMBER(F718),MIN(30,ROUND(30*LOG10(F718+1)/4,1)),0)</f>
        <v/>
      </c>
      <c r="R718">
        <f>IF(ISNUMBER(G718),ROUND(25*(100-G718)/100,1),12.5)</f>
        <v/>
      </c>
      <c r="S718" t="n">
        <v>20</v>
      </c>
      <c r="T718">
        <f>ROUND(P718+Q718+R718+S718,0)</f>
        <v/>
      </c>
      <c r="U718" s="5" t="inlineStr"/>
      <c r="V718" s="5" t="inlineStr"/>
    </row>
    <row r="719">
      <c r="A719" t="inlineStr">
        <is>
          <t>K0717</t>
        </is>
      </c>
      <c r="B719" t="inlineStr">
        <is>
          <t>prix seo maroc</t>
        </is>
      </c>
      <c r="C719" t="inlineStr">
        <is>
          <t>Morocco</t>
        </is>
      </c>
      <c r="D719" t="inlineStr">
        <is>
          <t>ma</t>
        </is>
      </c>
      <c r="E719" t="inlineStr">
        <is>
          <t>fr</t>
        </is>
      </c>
      <c r="F719" t="inlineStr">
        <is>
          <t>NOT AVAILABLE</t>
        </is>
      </c>
      <c r="G719" t="inlineStr">
        <is>
          <t>NOT AVAILABLE</t>
        </is>
      </c>
      <c r="H719" t="inlineStr">
        <is>
          <t>NOT AVAILABLE</t>
        </is>
      </c>
      <c r="I719" t="inlineStr">
        <is>
          <t>NOT AVAILABLE</t>
        </is>
      </c>
      <c r="J719" t="inlineStr">
        <is>
          <t>NOT AVAILABLE</t>
        </is>
      </c>
      <c r="K719" t="inlineStr">
        <is>
          <t>NOT AVAILABLE</t>
        </is>
      </c>
      <c r="L719" t="inlineStr">
        <is>
          <t>NOT AVAILABLE</t>
        </is>
      </c>
      <c r="M719" t="inlineStr">
        <is>
          <t>UNAVAILABLE</t>
        </is>
      </c>
      <c r="N719" s="5" t="inlineStr">
        <is>
          <t>Semrush phrase_these returned no data (not billed)</t>
        </is>
      </c>
      <c r="O719" t="inlineStr">
        <is>
          <t>2026-10-30</t>
        </is>
      </c>
      <c r="P719">
        <f>IF(IF(J719="NOT AVAILABLE","",J719)="",12,IF(OR(ISNUMBER(SEARCH("Transactional",IF(J719="NOT AVAILABLE","",J719))),ISNUMBER(SEARCH("Commercial",IF(J719="NOT AVAILABLE","",J719)))),25,IF(ISNUMBER(SEARCH("Informational",IF(J719="NOT AVAILABLE","",J719))),10,IF(ISNUMBER(SEARCH("Navigational",IF(J719="NOT AVAILABLE","",J719))),0,12))))</f>
        <v/>
      </c>
      <c r="Q719">
        <f>IF(ISNUMBER(F719),MIN(30,ROUND(30*LOG10(F719+1)/4,1)),0)</f>
        <v/>
      </c>
      <c r="R719">
        <f>IF(ISNUMBER(G719),ROUND(25*(100-G719)/100,1),12.5)</f>
        <v/>
      </c>
      <c r="S719" t="n">
        <v>20</v>
      </c>
      <c r="T719">
        <f>ROUND(P719+Q719+R719+S719,0)</f>
        <v/>
      </c>
      <c r="U719" s="5" t="inlineStr"/>
      <c r="V719" s="5" t="inlineStr"/>
    </row>
    <row r="720">
      <c r="A720" t="inlineStr">
        <is>
          <t>K0718</t>
        </is>
      </c>
      <c r="B720" t="inlineStr">
        <is>
          <t>prix site internet maroc</t>
        </is>
      </c>
      <c r="C720" t="inlineStr">
        <is>
          <t>Morocco</t>
        </is>
      </c>
      <c r="D720" t="inlineStr">
        <is>
          <t>ma</t>
        </is>
      </c>
      <c r="E720" t="inlineStr">
        <is>
          <t>fr</t>
        </is>
      </c>
      <c r="F720" t="inlineStr">
        <is>
          <t>NOT AVAILABLE</t>
        </is>
      </c>
      <c r="G720" t="inlineStr">
        <is>
          <t>NOT AVAILABLE</t>
        </is>
      </c>
      <c r="H720" t="inlineStr">
        <is>
          <t>NOT AVAILABLE</t>
        </is>
      </c>
      <c r="I720" t="inlineStr">
        <is>
          <t>NOT AVAILABLE</t>
        </is>
      </c>
      <c r="J720" t="inlineStr">
        <is>
          <t>NOT AVAILABLE</t>
        </is>
      </c>
      <c r="K720" t="inlineStr">
        <is>
          <t>NOT AVAILABLE</t>
        </is>
      </c>
      <c r="L720" t="inlineStr">
        <is>
          <t>NOT AVAILABLE</t>
        </is>
      </c>
      <c r="M720" t="inlineStr">
        <is>
          <t>UNAVAILABLE</t>
        </is>
      </c>
      <c r="N720" s="5" t="inlineStr">
        <is>
          <t>Semrush phrase_these returned no data (not billed)</t>
        </is>
      </c>
      <c r="O720" t="inlineStr">
        <is>
          <t>2026-10-30</t>
        </is>
      </c>
      <c r="P720">
        <f>IF(IF(J720="NOT AVAILABLE","",J720)="",12,IF(OR(ISNUMBER(SEARCH("Transactional",IF(J720="NOT AVAILABLE","",J720))),ISNUMBER(SEARCH("Commercial",IF(J720="NOT AVAILABLE","",J720)))),25,IF(ISNUMBER(SEARCH("Informational",IF(J720="NOT AVAILABLE","",J720))),10,IF(ISNUMBER(SEARCH("Navigational",IF(J720="NOT AVAILABLE","",J720))),0,12))))</f>
        <v/>
      </c>
      <c r="Q720">
        <f>IF(ISNUMBER(F720),MIN(30,ROUND(30*LOG10(F720+1)/4,1)),0)</f>
        <v/>
      </c>
      <c r="R720">
        <f>IF(ISNUMBER(G720),ROUND(25*(100-G720)/100,1),12.5)</f>
        <v/>
      </c>
      <c r="S720" t="n">
        <v>20</v>
      </c>
      <c r="T720">
        <f>ROUND(P720+Q720+R720+S720,0)</f>
        <v/>
      </c>
      <c r="U720" s="5" t="inlineStr"/>
      <c r="V720" s="5" t="inlineStr"/>
    </row>
    <row r="721">
      <c r="A721" t="inlineStr">
        <is>
          <t>K0719</t>
        </is>
      </c>
      <c r="B721" t="inlineStr">
        <is>
          <t>prix site web</t>
        </is>
      </c>
      <c r="C721" t="inlineStr">
        <is>
          <t>Morocco</t>
        </is>
      </c>
      <c r="D721" t="inlineStr">
        <is>
          <t>ma</t>
        </is>
      </c>
      <c r="E721" t="inlineStr">
        <is>
          <t>fr</t>
        </is>
      </c>
      <c r="F721" t="inlineStr">
        <is>
          <t>NOT AVAILABLE</t>
        </is>
      </c>
      <c r="G721" t="inlineStr">
        <is>
          <t>NOT AVAILABLE</t>
        </is>
      </c>
      <c r="H721" t="inlineStr">
        <is>
          <t>NOT AVAILABLE</t>
        </is>
      </c>
      <c r="I721" t="inlineStr">
        <is>
          <t>NOT AVAILABLE</t>
        </is>
      </c>
      <c r="J721" t="inlineStr">
        <is>
          <t>NOT AVAILABLE</t>
        </is>
      </c>
      <c r="K721" t="inlineStr">
        <is>
          <t>NOT AVAILABLE</t>
        </is>
      </c>
      <c r="L721" t="inlineStr">
        <is>
          <t>NOT AVAILABLE</t>
        </is>
      </c>
      <c r="M721" t="inlineStr">
        <is>
          <t>SUGGESTED</t>
        </is>
      </c>
      <c r="N721" s="5" t="inlineStr">
        <is>
          <t>Analyst suggestion - not validated in Semrush</t>
        </is>
      </c>
      <c r="O721" t="inlineStr">
        <is>
          <t>NOT AVAILABLE</t>
        </is>
      </c>
      <c r="P721">
        <f>IF(IF(J721="NOT AVAILABLE","",J721)="",12,IF(OR(ISNUMBER(SEARCH("Transactional",IF(J721="NOT AVAILABLE","",J721))),ISNUMBER(SEARCH("Commercial",IF(J721="NOT AVAILABLE","",J721)))),25,IF(ISNUMBER(SEARCH("Informational",IF(J721="NOT AVAILABLE","",J721))),10,IF(ISNUMBER(SEARCH("Navigational",IF(J721="NOT AVAILABLE","",J721))),0,12))))</f>
        <v/>
      </c>
      <c r="Q721">
        <f>IF(ISNUMBER(F721),MIN(30,ROUND(30*LOG10(F721+1)/4,1)),0)</f>
        <v/>
      </c>
      <c r="R721">
        <f>IF(ISNUMBER(G721),ROUND(25*(100-G721)/100,1),12.5)</f>
        <v/>
      </c>
      <c r="S721" t="n">
        <v>20</v>
      </c>
      <c r="T721">
        <f>ROUND(P721+Q721+R721+S721,0)</f>
        <v/>
      </c>
      <c r="U721" s="5" t="inlineStr"/>
      <c r="V721" s="5" t="inlineStr"/>
    </row>
    <row r="722">
      <c r="A722" t="inlineStr">
        <is>
          <t>K0720</t>
        </is>
      </c>
      <c r="B722" t="inlineStr">
        <is>
          <t>redirection meta refresh</t>
        </is>
      </c>
      <c r="C722" t="inlineStr">
        <is>
          <t>Morocco</t>
        </is>
      </c>
      <c r="D722" t="inlineStr">
        <is>
          <t>ma</t>
        </is>
      </c>
      <c r="E722" t="inlineStr">
        <is>
          <t>fr</t>
        </is>
      </c>
      <c r="F722" t="inlineStr">
        <is>
          <t>NOT AVAILABLE</t>
        </is>
      </c>
      <c r="G722" t="inlineStr">
        <is>
          <t>NOT AVAILABLE</t>
        </is>
      </c>
      <c r="H722" t="inlineStr">
        <is>
          <t>NOT AVAILABLE</t>
        </is>
      </c>
      <c r="I722" t="inlineStr">
        <is>
          <t>NOT AVAILABLE</t>
        </is>
      </c>
      <c r="J722" t="inlineStr">
        <is>
          <t>NOT AVAILABLE</t>
        </is>
      </c>
      <c r="K722" t="inlineStr">
        <is>
          <t>NOT AVAILABLE</t>
        </is>
      </c>
      <c r="L722" t="inlineStr">
        <is>
          <t>NOT AVAILABLE</t>
        </is>
      </c>
      <c r="M722" t="inlineStr">
        <is>
          <t>UNAVAILABLE</t>
        </is>
      </c>
      <c r="N722" s="5" t="inlineStr">
        <is>
          <t>Semrush phrase_these returned no data (not billed)</t>
        </is>
      </c>
      <c r="O722" t="inlineStr">
        <is>
          <t>2026-10-30</t>
        </is>
      </c>
      <c r="P722">
        <f>IF(IF(J722="NOT AVAILABLE","",J722)="",12,IF(OR(ISNUMBER(SEARCH("Transactional",IF(J722="NOT AVAILABLE","",J722))),ISNUMBER(SEARCH("Commercial",IF(J722="NOT AVAILABLE","",J722)))),25,IF(ISNUMBER(SEARCH("Informational",IF(J722="NOT AVAILABLE","",J722))),10,IF(ISNUMBER(SEARCH("Navigational",IF(J722="NOT AVAILABLE","",J722))),0,12))))</f>
        <v/>
      </c>
      <c r="Q722">
        <f>IF(ISNUMBER(F722),MIN(30,ROUND(30*LOG10(F722+1)/4,1)),0)</f>
        <v/>
      </c>
      <c r="R722">
        <f>IF(ISNUMBER(G722),ROUND(25*(100-G722)/100,1),12.5)</f>
        <v/>
      </c>
      <c r="S722" t="n">
        <v>20</v>
      </c>
      <c r="T722">
        <f>ROUND(P722+Q722+R722+S722,0)</f>
        <v/>
      </c>
      <c r="U722" s="5" t="inlineStr"/>
      <c r="V722" s="5" t="inlineStr"/>
    </row>
    <row r="723">
      <c r="A723" t="inlineStr">
        <is>
          <t>K0721</t>
        </is>
      </c>
      <c r="B723" t="inlineStr">
        <is>
          <t>refonte site e-commerce</t>
        </is>
      </c>
      <c r="C723" t="inlineStr">
        <is>
          <t>Morocco</t>
        </is>
      </c>
      <c r="D723" t="inlineStr">
        <is>
          <t>ma</t>
        </is>
      </c>
      <c r="E723" t="inlineStr">
        <is>
          <t>fr</t>
        </is>
      </c>
      <c r="F723" t="n">
        <v>0</v>
      </c>
      <c r="G723" t="inlineStr">
        <is>
          <t>NOT AVAILABLE</t>
        </is>
      </c>
      <c r="H723" t="n">
        <v>0</v>
      </c>
      <c r="I723" t="n">
        <v>0</v>
      </c>
      <c r="J723" t="inlineStr">
        <is>
          <t>NOT AVAILABLE</t>
        </is>
      </c>
      <c r="K723" t="inlineStr">
        <is>
          <t>NOT AVAILABLE (report not requested)</t>
        </is>
      </c>
      <c r="L723" t="inlineStr">
        <is>
          <t>flat (no data)</t>
        </is>
      </c>
      <c r="M723" t="inlineStr">
        <is>
          <t>MEASURED</t>
        </is>
      </c>
      <c r="N723" s="5" t="inlineStr">
        <is>
          <t>Semrush phrase_these (historical w3-validate-B-ecommerce.csv)</t>
        </is>
      </c>
      <c r="O723" t="inlineStr">
        <is>
          <t>2026-10-27</t>
        </is>
      </c>
      <c r="P723">
        <f>IF(IF(J723="NOT AVAILABLE","",J723)="",12,IF(OR(ISNUMBER(SEARCH("Transactional",IF(J723="NOT AVAILABLE","",J723))),ISNUMBER(SEARCH("Commercial",IF(J723="NOT AVAILABLE","",J723)))),25,IF(ISNUMBER(SEARCH("Informational",IF(J723="NOT AVAILABLE","",J723))),10,IF(ISNUMBER(SEARCH("Navigational",IF(J723="NOT AVAILABLE","",J723))),0,12))))</f>
        <v/>
      </c>
      <c r="Q723">
        <f>IF(ISNUMBER(F723),MIN(30,ROUND(30*LOG10(F723+1)/4,1)),0)</f>
        <v/>
      </c>
      <c r="R723">
        <f>IF(ISNUMBER(G723),ROUND(25*(100-G723)/100,1),12.5)</f>
        <v/>
      </c>
      <c r="S723" t="n">
        <v>20</v>
      </c>
      <c r="T723">
        <f>ROUND(P723+Q723+R723+S723,0)</f>
        <v/>
      </c>
      <c r="U723" s="5" t="inlineStr"/>
      <c r="V723" s="5" t="inlineStr"/>
    </row>
    <row r="724">
      <c r="A724" t="inlineStr">
        <is>
          <t>K0722</t>
        </is>
      </c>
      <c r="B724" t="inlineStr">
        <is>
          <t>refonte site web maroc</t>
        </is>
      </c>
      <c r="C724" t="inlineStr">
        <is>
          <t>Morocco</t>
        </is>
      </c>
      <c r="D724" t="inlineStr">
        <is>
          <t>ma</t>
        </is>
      </c>
      <c r="E724" t="inlineStr">
        <is>
          <t>fr</t>
        </is>
      </c>
      <c r="F724" t="inlineStr">
        <is>
          <t>NOT AVAILABLE</t>
        </is>
      </c>
      <c r="G724" t="inlineStr">
        <is>
          <t>NOT AVAILABLE</t>
        </is>
      </c>
      <c r="H724" t="inlineStr">
        <is>
          <t>NOT AVAILABLE</t>
        </is>
      </c>
      <c r="I724" t="inlineStr">
        <is>
          <t>NOT AVAILABLE</t>
        </is>
      </c>
      <c r="J724" t="inlineStr">
        <is>
          <t>NOT AVAILABLE</t>
        </is>
      </c>
      <c r="K724" t="inlineStr">
        <is>
          <t>NOT AVAILABLE</t>
        </is>
      </c>
      <c r="L724" t="inlineStr">
        <is>
          <t>NOT AVAILABLE</t>
        </is>
      </c>
      <c r="M724" t="inlineStr">
        <is>
          <t>UNAVAILABLE</t>
        </is>
      </c>
      <c r="N724" s="5" t="inlineStr">
        <is>
          <t>Semrush phrase_these returned no data (not billed)</t>
        </is>
      </c>
      <c r="O724" t="inlineStr">
        <is>
          <t>2026-10-30</t>
        </is>
      </c>
      <c r="P724">
        <f>IF(IF(J724="NOT AVAILABLE","",J724)="",12,IF(OR(ISNUMBER(SEARCH("Transactional",IF(J724="NOT AVAILABLE","",J724))),ISNUMBER(SEARCH("Commercial",IF(J724="NOT AVAILABLE","",J724)))),25,IF(ISNUMBER(SEARCH("Informational",IF(J724="NOT AVAILABLE","",J724))),10,IF(ISNUMBER(SEARCH("Navigational",IF(J724="NOT AVAILABLE","",J724))),0,12))))</f>
        <v/>
      </c>
      <c r="Q724">
        <f>IF(ISNUMBER(F724),MIN(30,ROUND(30*LOG10(F724+1)/4,1)),0)</f>
        <v/>
      </c>
      <c r="R724">
        <f>IF(ISNUMBER(G724),ROUND(25*(100-G724)/100,1),12.5)</f>
        <v/>
      </c>
      <c r="S724" t="n">
        <v>20</v>
      </c>
      <c r="T724">
        <f>ROUND(P724+Q724+R724+S724,0)</f>
        <v/>
      </c>
      <c r="U724" s="5" t="inlineStr"/>
      <c r="V724" s="5" t="inlineStr"/>
    </row>
    <row r="725">
      <c r="A725" t="inlineStr">
        <is>
          <t>K0723</t>
        </is>
      </c>
      <c r="B725" t="inlineStr">
        <is>
          <t>refonte site web prix</t>
        </is>
      </c>
      <c r="C725" t="inlineStr">
        <is>
          <t>Morocco</t>
        </is>
      </c>
      <c r="D725" t="inlineStr">
        <is>
          <t>ma</t>
        </is>
      </c>
      <c r="E725" t="inlineStr">
        <is>
          <t>fr</t>
        </is>
      </c>
      <c r="F725" t="inlineStr">
        <is>
          <t>NOT AVAILABLE</t>
        </is>
      </c>
      <c r="G725" t="inlineStr">
        <is>
          <t>NOT AVAILABLE</t>
        </is>
      </c>
      <c r="H725" t="inlineStr">
        <is>
          <t>NOT AVAILABLE</t>
        </is>
      </c>
      <c r="I725" t="inlineStr">
        <is>
          <t>NOT AVAILABLE</t>
        </is>
      </c>
      <c r="J725" t="inlineStr">
        <is>
          <t>NOT AVAILABLE</t>
        </is>
      </c>
      <c r="K725" t="inlineStr">
        <is>
          <t>NOT AVAILABLE</t>
        </is>
      </c>
      <c r="L725" t="inlineStr">
        <is>
          <t>NOT AVAILABLE</t>
        </is>
      </c>
      <c r="M725" t="inlineStr">
        <is>
          <t>UNAVAILABLE</t>
        </is>
      </c>
      <c r="N725" s="5" t="inlineStr">
        <is>
          <t>Semrush phrase_these returned no data (not billed)</t>
        </is>
      </c>
      <c r="O725" t="inlineStr">
        <is>
          <t>2026-10-30</t>
        </is>
      </c>
      <c r="P725">
        <f>IF(IF(J725="NOT AVAILABLE","",J725)="",12,IF(OR(ISNUMBER(SEARCH("Transactional",IF(J725="NOT AVAILABLE","",J725))),ISNUMBER(SEARCH("Commercial",IF(J725="NOT AVAILABLE","",J725)))),25,IF(ISNUMBER(SEARCH("Informational",IF(J725="NOT AVAILABLE","",J725))),10,IF(ISNUMBER(SEARCH("Navigational",IF(J725="NOT AVAILABLE","",J725))),0,12))))</f>
        <v/>
      </c>
      <c r="Q725">
        <f>IF(ISNUMBER(F725),MIN(30,ROUND(30*LOG10(F725+1)/4,1)),0)</f>
        <v/>
      </c>
      <c r="R725">
        <f>IF(ISNUMBER(G725),ROUND(25*(100-G725)/100,1),12.5)</f>
        <v/>
      </c>
      <c r="S725" t="n">
        <v>20</v>
      </c>
      <c r="T725">
        <f>ROUND(P725+Q725+R725+S725,0)</f>
        <v/>
      </c>
      <c r="U725" s="5" t="inlineStr"/>
      <c r="V725" s="5" t="inlineStr"/>
    </row>
    <row r="726">
      <c r="A726" t="inlineStr">
        <is>
          <t>K0724</t>
        </is>
      </c>
      <c r="B726" t="inlineStr">
        <is>
          <t>réalisation site web maroc</t>
        </is>
      </c>
      <c r="C726" t="inlineStr">
        <is>
          <t>Morocco</t>
        </is>
      </c>
      <c r="D726" t="inlineStr">
        <is>
          <t>ma</t>
        </is>
      </c>
      <c r="E726" t="inlineStr">
        <is>
          <t>fr</t>
        </is>
      </c>
      <c r="F726" t="inlineStr">
        <is>
          <t>NOT AVAILABLE</t>
        </is>
      </c>
      <c r="G726" t="inlineStr">
        <is>
          <t>NOT AVAILABLE</t>
        </is>
      </c>
      <c r="H726" t="inlineStr">
        <is>
          <t>NOT AVAILABLE</t>
        </is>
      </c>
      <c r="I726" t="inlineStr">
        <is>
          <t>NOT AVAILABLE</t>
        </is>
      </c>
      <c r="J726" t="inlineStr">
        <is>
          <t>NOT AVAILABLE</t>
        </is>
      </c>
      <c r="K726" t="inlineStr">
        <is>
          <t>NOT AVAILABLE</t>
        </is>
      </c>
      <c r="L726" t="inlineStr">
        <is>
          <t>NOT AVAILABLE</t>
        </is>
      </c>
      <c r="M726" t="inlineStr">
        <is>
          <t>UNAVAILABLE</t>
        </is>
      </c>
      <c r="N726" s="5" t="inlineStr">
        <is>
          <t>Semrush phrase_these returned no data (not billed)</t>
        </is>
      </c>
      <c r="O726" t="inlineStr">
        <is>
          <t>2026-10-30</t>
        </is>
      </c>
      <c r="P726">
        <f>IF(IF(J726="NOT AVAILABLE","",J726)="",12,IF(OR(ISNUMBER(SEARCH("Transactional",IF(J726="NOT AVAILABLE","",J726))),ISNUMBER(SEARCH("Commercial",IF(J726="NOT AVAILABLE","",J726)))),25,IF(ISNUMBER(SEARCH("Informational",IF(J726="NOT AVAILABLE","",J726))),10,IF(ISNUMBER(SEARCH("Navigational",IF(J726="NOT AVAILABLE","",J726))),0,12))))</f>
        <v/>
      </c>
      <c r="Q726">
        <f>IF(ISNUMBER(F726),MIN(30,ROUND(30*LOG10(F726+1)/4,1)),0)</f>
        <v/>
      </c>
      <c r="R726">
        <f>IF(ISNUMBER(G726),ROUND(25*(100-G726)/100,1),12.5)</f>
        <v/>
      </c>
      <c r="S726" t="n">
        <v>20</v>
      </c>
      <c r="T726">
        <f>ROUND(P726+Q726+R726+S726,0)</f>
        <v/>
      </c>
      <c r="U726" s="5" t="inlineStr"/>
      <c r="V726" s="5" t="inlineStr"/>
    </row>
    <row r="727">
      <c r="A727" t="inlineStr">
        <is>
          <t>K0725</t>
        </is>
      </c>
      <c r="B727" t="inlineStr">
        <is>
          <t>réalisations agence web</t>
        </is>
      </c>
      <c r="C727" t="inlineStr">
        <is>
          <t>Morocco</t>
        </is>
      </c>
      <c r="D727" t="inlineStr">
        <is>
          <t>ma</t>
        </is>
      </c>
      <c r="E727" t="inlineStr">
        <is>
          <t>fr</t>
        </is>
      </c>
      <c r="F727" t="inlineStr">
        <is>
          <t>NOT AVAILABLE</t>
        </is>
      </c>
      <c r="G727" t="inlineStr">
        <is>
          <t>NOT AVAILABLE</t>
        </is>
      </c>
      <c r="H727" t="inlineStr">
        <is>
          <t>NOT AVAILABLE</t>
        </is>
      </c>
      <c r="I727" t="inlineStr">
        <is>
          <t>NOT AVAILABLE</t>
        </is>
      </c>
      <c r="J727" t="inlineStr">
        <is>
          <t>NOT AVAILABLE</t>
        </is>
      </c>
      <c r="K727" t="inlineStr">
        <is>
          <t>NOT AVAILABLE</t>
        </is>
      </c>
      <c r="L727" t="inlineStr">
        <is>
          <t>NOT AVAILABLE</t>
        </is>
      </c>
      <c r="M727" t="inlineStr">
        <is>
          <t>UNAVAILABLE</t>
        </is>
      </c>
      <c r="N727" s="5" t="inlineStr">
        <is>
          <t>Semrush phrase_these returned no data (not billed)</t>
        </is>
      </c>
      <c r="O727" t="inlineStr">
        <is>
          <t>2026-10-30</t>
        </is>
      </c>
      <c r="P727">
        <f>IF(IF(J727="NOT AVAILABLE","",J727)="",12,IF(OR(ISNUMBER(SEARCH("Transactional",IF(J727="NOT AVAILABLE","",J727))),ISNUMBER(SEARCH("Commercial",IF(J727="NOT AVAILABLE","",J727)))),25,IF(ISNUMBER(SEARCH("Informational",IF(J727="NOT AVAILABLE","",J727))),10,IF(ISNUMBER(SEARCH("Navigational",IF(J727="NOT AVAILABLE","",J727))),0,12))))</f>
        <v/>
      </c>
      <c r="Q727">
        <f>IF(ISNUMBER(F727),MIN(30,ROUND(30*LOG10(F727+1)/4,1)),0)</f>
        <v/>
      </c>
      <c r="R727">
        <f>IF(ISNUMBER(G727),ROUND(25*(100-G727)/100,1),12.5)</f>
        <v/>
      </c>
      <c r="S727" t="n">
        <v>20</v>
      </c>
      <c r="T727">
        <f>ROUND(P727+Q727+R727+S727,0)</f>
        <v/>
      </c>
      <c r="U727" s="5" t="inlineStr"/>
      <c r="V727" s="5" t="inlineStr"/>
    </row>
    <row r="728">
      <c r="A728" t="inlineStr">
        <is>
          <t>K0726</t>
        </is>
      </c>
      <c r="B728" t="inlineStr">
        <is>
          <t>réassurance site web</t>
        </is>
      </c>
      <c r="C728" t="inlineStr">
        <is>
          <t>Morocco</t>
        </is>
      </c>
      <c r="D728" t="inlineStr">
        <is>
          <t>ma</t>
        </is>
      </c>
      <c r="E728" t="inlineStr">
        <is>
          <t>fr</t>
        </is>
      </c>
      <c r="F728" t="inlineStr">
        <is>
          <t>NOT AVAILABLE</t>
        </is>
      </c>
      <c r="G728" t="inlineStr">
        <is>
          <t>NOT AVAILABLE</t>
        </is>
      </c>
      <c r="H728" t="inlineStr">
        <is>
          <t>NOT AVAILABLE</t>
        </is>
      </c>
      <c r="I728" t="inlineStr">
        <is>
          <t>NOT AVAILABLE</t>
        </is>
      </c>
      <c r="J728" t="inlineStr">
        <is>
          <t>NOT AVAILABLE</t>
        </is>
      </c>
      <c r="K728" t="inlineStr">
        <is>
          <t>NOT AVAILABLE</t>
        </is>
      </c>
      <c r="L728" t="inlineStr">
        <is>
          <t>NOT AVAILABLE</t>
        </is>
      </c>
      <c r="M728" t="inlineStr">
        <is>
          <t>UNAVAILABLE</t>
        </is>
      </c>
      <c r="N728" s="5" t="inlineStr">
        <is>
          <t>Semrush phrase_these returned no data (not billed)</t>
        </is>
      </c>
      <c r="O728" t="inlineStr">
        <is>
          <t>2026-10-30</t>
        </is>
      </c>
      <c r="P728">
        <f>IF(IF(J728="NOT AVAILABLE","",J728)="",12,IF(OR(ISNUMBER(SEARCH("Transactional",IF(J728="NOT AVAILABLE","",J728))),ISNUMBER(SEARCH("Commercial",IF(J728="NOT AVAILABLE","",J728)))),25,IF(ISNUMBER(SEARCH("Informational",IF(J728="NOT AVAILABLE","",J728))),10,IF(ISNUMBER(SEARCH("Navigational",IF(J728="NOT AVAILABLE","",J728))),0,12))))</f>
        <v/>
      </c>
      <c r="Q728">
        <f>IF(ISNUMBER(F728),MIN(30,ROUND(30*LOG10(F728+1)/4,1)),0)</f>
        <v/>
      </c>
      <c r="R728">
        <f>IF(ISNUMBER(G728),ROUND(25*(100-G728)/100,1),12.5)</f>
        <v/>
      </c>
      <c r="S728" t="n">
        <v>20</v>
      </c>
      <c r="T728">
        <f>ROUND(P728+Q728+R728+S728,0)</f>
        <v/>
      </c>
      <c r="U728" s="5" t="inlineStr"/>
      <c r="V728" s="5" t="inlineStr"/>
    </row>
    <row r="729">
      <c r="A729" t="inlineStr">
        <is>
          <t>K0727</t>
        </is>
      </c>
      <c r="B729" t="inlineStr">
        <is>
          <t>rédiger une annonce immobilière</t>
        </is>
      </c>
      <c r="C729" t="inlineStr">
        <is>
          <t>Morocco</t>
        </is>
      </c>
      <c r="D729" t="inlineStr">
        <is>
          <t>ma</t>
        </is>
      </c>
      <c r="E729" t="inlineStr">
        <is>
          <t>fr</t>
        </is>
      </c>
      <c r="F729" t="inlineStr">
        <is>
          <t>NOT AVAILABLE</t>
        </is>
      </c>
      <c r="G729" t="inlineStr">
        <is>
          <t>NOT AVAILABLE</t>
        </is>
      </c>
      <c r="H729" t="inlineStr">
        <is>
          <t>NOT AVAILABLE</t>
        </is>
      </c>
      <c r="I729" t="inlineStr">
        <is>
          <t>NOT AVAILABLE</t>
        </is>
      </c>
      <c r="J729" t="inlineStr">
        <is>
          <t>NOT AVAILABLE</t>
        </is>
      </c>
      <c r="K729" t="inlineStr">
        <is>
          <t>NOT AVAILABLE</t>
        </is>
      </c>
      <c r="L729" t="inlineStr">
        <is>
          <t>NOT AVAILABLE</t>
        </is>
      </c>
      <c r="M729" t="inlineStr">
        <is>
          <t>UNAVAILABLE</t>
        </is>
      </c>
      <c r="N729" s="5" t="inlineStr">
        <is>
          <t>Semrush phrase_these returned no data (not billed)</t>
        </is>
      </c>
      <c r="O729" t="inlineStr">
        <is>
          <t>2026-10-30</t>
        </is>
      </c>
      <c r="P729">
        <f>IF(IF(J729="NOT AVAILABLE","",J729)="",12,IF(OR(ISNUMBER(SEARCH("Transactional",IF(J729="NOT AVAILABLE","",J729))),ISNUMBER(SEARCH("Commercial",IF(J729="NOT AVAILABLE","",J729)))),25,IF(ISNUMBER(SEARCH("Informational",IF(J729="NOT AVAILABLE","",J729))),10,IF(ISNUMBER(SEARCH("Navigational",IF(J729="NOT AVAILABLE","",J729))),0,12))))</f>
        <v/>
      </c>
      <c r="Q729">
        <f>IF(ISNUMBER(F729),MIN(30,ROUND(30*LOG10(F729+1)/4,1)),0)</f>
        <v/>
      </c>
      <c r="R729">
        <f>IF(ISNUMBER(G729),ROUND(25*(100-G729)/100,1),12.5)</f>
        <v/>
      </c>
      <c r="S729" t="n">
        <v>20</v>
      </c>
      <c r="T729">
        <f>ROUND(P729+Q729+R729+S729,0)</f>
        <v/>
      </c>
      <c r="U729" s="5" t="inlineStr"/>
      <c r="V729" s="5" t="inlineStr"/>
    </row>
    <row r="730">
      <c r="A730" t="inlineStr">
        <is>
          <t>K0728</t>
        </is>
      </c>
      <c r="B730" t="inlineStr">
        <is>
          <t>référencement google maroc</t>
        </is>
      </c>
      <c r="C730" t="inlineStr">
        <is>
          <t>Morocco</t>
        </is>
      </c>
      <c r="D730" t="inlineStr">
        <is>
          <t>ma</t>
        </is>
      </c>
      <c r="E730" t="inlineStr">
        <is>
          <t>fr</t>
        </is>
      </c>
      <c r="F730" t="inlineStr">
        <is>
          <t>NOT AVAILABLE</t>
        </is>
      </c>
      <c r="G730" t="inlineStr">
        <is>
          <t>NOT AVAILABLE</t>
        </is>
      </c>
      <c r="H730" t="inlineStr">
        <is>
          <t>NOT AVAILABLE</t>
        </is>
      </c>
      <c r="I730" t="inlineStr">
        <is>
          <t>NOT AVAILABLE</t>
        </is>
      </c>
      <c r="J730" t="inlineStr">
        <is>
          <t>NOT AVAILABLE</t>
        </is>
      </c>
      <c r="K730" t="inlineStr">
        <is>
          <t>NOT AVAILABLE</t>
        </is>
      </c>
      <c r="L730" t="inlineStr">
        <is>
          <t>NOT AVAILABLE</t>
        </is>
      </c>
      <c r="M730" t="inlineStr">
        <is>
          <t>UNAVAILABLE</t>
        </is>
      </c>
      <c r="N730" s="5" t="inlineStr">
        <is>
          <t>Semrush phrase_these returned no data (not billed)</t>
        </is>
      </c>
      <c r="O730" t="inlineStr">
        <is>
          <t>2026-10-30</t>
        </is>
      </c>
      <c r="P730">
        <f>IF(IF(J730="NOT AVAILABLE","",J730)="",12,IF(OR(ISNUMBER(SEARCH("Transactional",IF(J730="NOT AVAILABLE","",J730))),ISNUMBER(SEARCH("Commercial",IF(J730="NOT AVAILABLE","",J730)))),25,IF(ISNUMBER(SEARCH("Informational",IF(J730="NOT AVAILABLE","",J730))),10,IF(ISNUMBER(SEARCH("Navigational",IF(J730="NOT AVAILABLE","",J730))),0,12))))</f>
        <v/>
      </c>
      <c r="Q730">
        <f>IF(ISNUMBER(F730),MIN(30,ROUND(30*LOG10(F730+1)/4,1)),0)</f>
        <v/>
      </c>
      <c r="R730">
        <f>IF(ISNUMBER(G730),ROUND(25*(100-G730)/100,1),12.5)</f>
        <v/>
      </c>
      <c r="S730" t="n">
        <v>20</v>
      </c>
      <c r="T730">
        <f>ROUND(P730+Q730+R730+S730,0)</f>
        <v/>
      </c>
      <c r="U730" s="5" t="inlineStr"/>
      <c r="V730" s="5" t="inlineStr"/>
    </row>
    <row r="731">
      <c r="A731" t="inlineStr">
        <is>
          <t>K0729</t>
        </is>
      </c>
      <c r="B731" t="inlineStr">
        <is>
          <t>référencement ia</t>
        </is>
      </c>
      <c r="C731" t="inlineStr">
        <is>
          <t>Morocco</t>
        </is>
      </c>
      <c r="D731" t="inlineStr">
        <is>
          <t>ma</t>
        </is>
      </c>
      <c r="E731" t="inlineStr">
        <is>
          <t>fr</t>
        </is>
      </c>
      <c r="F731" t="inlineStr">
        <is>
          <t>NOT AVAILABLE</t>
        </is>
      </c>
      <c r="G731" t="inlineStr">
        <is>
          <t>NOT AVAILABLE</t>
        </is>
      </c>
      <c r="H731" t="inlineStr">
        <is>
          <t>NOT AVAILABLE</t>
        </is>
      </c>
      <c r="I731" t="inlineStr">
        <is>
          <t>NOT AVAILABLE</t>
        </is>
      </c>
      <c r="J731" t="inlineStr">
        <is>
          <t>NOT AVAILABLE</t>
        </is>
      </c>
      <c r="K731" t="inlineStr">
        <is>
          <t>NOT AVAILABLE</t>
        </is>
      </c>
      <c r="L731" t="inlineStr">
        <is>
          <t>NOT AVAILABLE</t>
        </is>
      </c>
      <c r="M731" t="inlineStr">
        <is>
          <t>UNAVAILABLE</t>
        </is>
      </c>
      <c r="N731" s="5" t="inlineStr">
        <is>
          <t>Semrush phrase_these returned no data (not billed)</t>
        </is>
      </c>
      <c r="O731" t="inlineStr">
        <is>
          <t>2026-10-30</t>
        </is>
      </c>
      <c r="P731">
        <f>IF(IF(J731="NOT AVAILABLE","",J731)="",12,IF(OR(ISNUMBER(SEARCH("Transactional",IF(J731="NOT AVAILABLE","",J731))),ISNUMBER(SEARCH("Commercial",IF(J731="NOT AVAILABLE","",J731)))),25,IF(ISNUMBER(SEARCH("Informational",IF(J731="NOT AVAILABLE","",J731))),10,IF(ISNUMBER(SEARCH("Navigational",IF(J731="NOT AVAILABLE","",J731))),0,12))))</f>
        <v/>
      </c>
      <c r="Q731">
        <f>IF(ISNUMBER(F731),MIN(30,ROUND(30*LOG10(F731+1)/4,1)),0)</f>
        <v/>
      </c>
      <c r="R731">
        <f>IF(ISNUMBER(G731),ROUND(25*(100-G731)/100,1),12.5)</f>
        <v/>
      </c>
      <c r="S731" t="n">
        <v>20</v>
      </c>
      <c r="T731">
        <f>ROUND(P731+Q731+R731+S731,0)</f>
        <v/>
      </c>
      <c r="U731" s="5" t="inlineStr"/>
      <c r="V731" s="5" t="inlineStr"/>
    </row>
    <row r="732">
      <c r="A732" t="inlineStr">
        <is>
          <t>K0730</t>
        </is>
      </c>
      <c r="B732" t="inlineStr">
        <is>
          <t>référencement local maroc</t>
        </is>
      </c>
      <c r="C732" t="inlineStr">
        <is>
          <t>Morocco</t>
        </is>
      </c>
      <c r="D732" t="inlineStr">
        <is>
          <t>ma</t>
        </is>
      </c>
      <c r="E732" t="inlineStr">
        <is>
          <t>fr</t>
        </is>
      </c>
      <c r="F732" t="inlineStr">
        <is>
          <t>NOT AVAILABLE</t>
        </is>
      </c>
      <c r="G732" t="inlineStr">
        <is>
          <t>NOT AVAILABLE</t>
        </is>
      </c>
      <c r="H732" t="inlineStr">
        <is>
          <t>NOT AVAILABLE</t>
        </is>
      </c>
      <c r="I732" t="inlineStr">
        <is>
          <t>NOT AVAILABLE</t>
        </is>
      </c>
      <c r="J732" t="inlineStr">
        <is>
          <t>NOT AVAILABLE</t>
        </is>
      </c>
      <c r="K732" t="inlineStr">
        <is>
          <t>NOT AVAILABLE</t>
        </is>
      </c>
      <c r="L732" t="inlineStr">
        <is>
          <t>NOT AVAILABLE</t>
        </is>
      </c>
      <c r="M732" t="inlineStr">
        <is>
          <t>UNAVAILABLE</t>
        </is>
      </c>
      <c r="N732" s="5" t="inlineStr">
        <is>
          <t>Semrush phrase_these returned no data (not billed)</t>
        </is>
      </c>
      <c r="O732" t="inlineStr">
        <is>
          <t>2026-10-30</t>
        </is>
      </c>
      <c r="P732">
        <f>IF(IF(J732="NOT AVAILABLE","",J732)="",12,IF(OR(ISNUMBER(SEARCH("Transactional",IF(J732="NOT AVAILABLE","",J732))),ISNUMBER(SEARCH("Commercial",IF(J732="NOT AVAILABLE","",J732)))),25,IF(ISNUMBER(SEARCH("Informational",IF(J732="NOT AVAILABLE","",J732))),10,IF(ISNUMBER(SEARCH("Navigational",IF(J732="NOT AVAILABLE","",J732))),0,12))))</f>
        <v/>
      </c>
      <c r="Q732">
        <f>IF(ISNUMBER(F732),MIN(30,ROUND(30*LOG10(F732+1)/4,1)),0)</f>
        <v/>
      </c>
      <c r="R732">
        <f>IF(ISNUMBER(G732),ROUND(25*(100-G732)/100,1),12.5)</f>
        <v/>
      </c>
      <c r="S732" t="n">
        <v>20</v>
      </c>
      <c r="T732">
        <f>ROUND(P732+Q732+R732+S732,0)</f>
        <v/>
      </c>
      <c r="U732" s="5" t="inlineStr"/>
      <c r="V732" s="5" t="inlineStr"/>
    </row>
    <row r="733">
      <c r="A733" t="inlineStr">
        <is>
          <t>K0731</t>
        </is>
      </c>
      <c r="B733" t="inlineStr">
        <is>
          <t>référencement site e-commerce</t>
        </is>
      </c>
      <c r="C733" t="inlineStr">
        <is>
          <t>Morocco</t>
        </is>
      </c>
      <c r="D733" t="inlineStr">
        <is>
          <t>ma</t>
        </is>
      </c>
      <c r="E733" t="inlineStr">
        <is>
          <t>fr</t>
        </is>
      </c>
      <c r="F733" t="n">
        <v>0</v>
      </c>
      <c r="G733" t="inlineStr">
        <is>
          <t>NOT AVAILABLE</t>
        </is>
      </c>
      <c r="H733" t="n">
        <v>0</v>
      </c>
      <c r="I733" t="n">
        <v>0</v>
      </c>
      <c r="J733" t="inlineStr">
        <is>
          <t>NOT AVAILABLE</t>
        </is>
      </c>
      <c r="K733" t="inlineStr">
        <is>
          <t>NOT AVAILABLE (report not requested)</t>
        </is>
      </c>
      <c r="L733" t="inlineStr">
        <is>
          <t>flat (no data)</t>
        </is>
      </c>
      <c r="M733" t="inlineStr">
        <is>
          <t>MEASURED</t>
        </is>
      </c>
      <c r="N733" s="5" t="inlineStr">
        <is>
          <t>Semrush phrase_these (historical w3-validate-C-seo.csv)</t>
        </is>
      </c>
      <c r="O733" t="inlineStr">
        <is>
          <t>2026-10-27</t>
        </is>
      </c>
      <c r="P733">
        <f>IF(IF(J733="NOT AVAILABLE","",J733)="",12,IF(OR(ISNUMBER(SEARCH("Transactional",IF(J733="NOT AVAILABLE","",J733))),ISNUMBER(SEARCH("Commercial",IF(J733="NOT AVAILABLE","",J733)))),25,IF(ISNUMBER(SEARCH("Informational",IF(J733="NOT AVAILABLE","",J733))),10,IF(ISNUMBER(SEARCH("Navigational",IF(J733="NOT AVAILABLE","",J733))),0,12))))</f>
        <v/>
      </c>
      <c r="Q733">
        <f>IF(ISNUMBER(F733),MIN(30,ROUND(30*LOG10(F733+1)/4,1)),0)</f>
        <v/>
      </c>
      <c r="R733">
        <f>IF(ISNUMBER(G733),ROUND(25*(100-G733)/100,1),12.5)</f>
        <v/>
      </c>
      <c r="S733" t="n">
        <v>20</v>
      </c>
      <c r="T733">
        <f>ROUND(P733+Q733+R733+S733,0)</f>
        <v/>
      </c>
      <c r="U733" s="5" t="inlineStr"/>
      <c r="V733" s="5" t="inlineStr"/>
    </row>
    <row r="734">
      <c r="A734" t="inlineStr">
        <is>
          <t>K0732</t>
        </is>
      </c>
      <c r="B734" t="inlineStr">
        <is>
          <t>référencement site immobilier</t>
        </is>
      </c>
      <c r="C734" t="inlineStr">
        <is>
          <t>Morocco</t>
        </is>
      </c>
      <c r="D734" t="inlineStr">
        <is>
          <t>ma</t>
        </is>
      </c>
      <c r="E734" t="inlineStr">
        <is>
          <t>fr</t>
        </is>
      </c>
      <c r="F734" t="inlineStr">
        <is>
          <t>NOT AVAILABLE</t>
        </is>
      </c>
      <c r="G734" t="inlineStr">
        <is>
          <t>NOT AVAILABLE</t>
        </is>
      </c>
      <c r="H734" t="inlineStr">
        <is>
          <t>NOT AVAILABLE</t>
        </is>
      </c>
      <c r="I734" t="inlineStr">
        <is>
          <t>NOT AVAILABLE</t>
        </is>
      </c>
      <c r="J734" t="inlineStr">
        <is>
          <t>NOT AVAILABLE</t>
        </is>
      </c>
      <c r="K734" t="inlineStr">
        <is>
          <t>NOT AVAILABLE</t>
        </is>
      </c>
      <c r="L734" t="inlineStr">
        <is>
          <t>NOT AVAILABLE</t>
        </is>
      </c>
      <c r="M734" t="inlineStr">
        <is>
          <t>UNAVAILABLE</t>
        </is>
      </c>
      <c r="N734" s="5" t="inlineStr">
        <is>
          <t>Semrush phrase_these returned no data (not billed)</t>
        </is>
      </c>
      <c r="O734" t="inlineStr">
        <is>
          <t>2026-10-30</t>
        </is>
      </c>
      <c r="P734">
        <f>IF(IF(J734="NOT AVAILABLE","",J734)="",12,IF(OR(ISNUMBER(SEARCH("Transactional",IF(J734="NOT AVAILABLE","",J734))),ISNUMBER(SEARCH("Commercial",IF(J734="NOT AVAILABLE","",J734)))),25,IF(ISNUMBER(SEARCH("Informational",IF(J734="NOT AVAILABLE","",J734))),10,IF(ISNUMBER(SEARCH("Navigational",IF(J734="NOT AVAILABLE","",J734))),0,12))))</f>
        <v/>
      </c>
      <c r="Q734">
        <f>IF(ISNUMBER(F734),MIN(30,ROUND(30*LOG10(F734+1)/4,1)),0)</f>
        <v/>
      </c>
      <c r="R734">
        <f>IF(ISNUMBER(G734),ROUND(25*(100-G734)/100,1),12.5)</f>
        <v/>
      </c>
      <c r="S734" t="n">
        <v>20</v>
      </c>
      <c r="T734">
        <f>ROUND(P734+Q734+R734+S734,0)</f>
        <v/>
      </c>
      <c r="U734" s="5" t="inlineStr"/>
      <c r="V734" s="5" t="inlineStr"/>
    </row>
    <row r="735">
      <c r="A735" t="inlineStr">
        <is>
          <t>K0733</t>
        </is>
      </c>
      <c r="B735" t="inlineStr">
        <is>
          <t>saas facturation</t>
        </is>
      </c>
      <c r="C735" t="inlineStr">
        <is>
          <t>Morocco</t>
        </is>
      </c>
      <c r="D735" t="inlineStr">
        <is>
          <t>ma</t>
        </is>
      </c>
      <c r="E735" t="inlineStr">
        <is>
          <t>fr</t>
        </is>
      </c>
      <c r="F735" t="inlineStr">
        <is>
          <t>NOT AVAILABLE</t>
        </is>
      </c>
      <c r="G735" t="inlineStr">
        <is>
          <t>NOT AVAILABLE</t>
        </is>
      </c>
      <c r="H735" t="inlineStr">
        <is>
          <t>NOT AVAILABLE</t>
        </is>
      </c>
      <c r="I735" t="inlineStr">
        <is>
          <t>NOT AVAILABLE</t>
        </is>
      </c>
      <c r="J735" t="inlineStr">
        <is>
          <t>NOT AVAILABLE</t>
        </is>
      </c>
      <c r="K735" t="inlineStr">
        <is>
          <t>NOT AVAILABLE</t>
        </is>
      </c>
      <c r="L735" t="inlineStr">
        <is>
          <t>NOT AVAILABLE</t>
        </is>
      </c>
      <c r="M735" t="inlineStr">
        <is>
          <t>UNAVAILABLE</t>
        </is>
      </c>
      <c r="N735" s="5" t="inlineStr">
        <is>
          <t>Semrush phrase_these returned no data (not billed)</t>
        </is>
      </c>
      <c r="O735" t="inlineStr">
        <is>
          <t>2026-10-30</t>
        </is>
      </c>
      <c r="P735">
        <f>IF(IF(J735="NOT AVAILABLE","",J735)="",12,IF(OR(ISNUMBER(SEARCH("Transactional",IF(J735="NOT AVAILABLE","",J735))),ISNUMBER(SEARCH("Commercial",IF(J735="NOT AVAILABLE","",J735)))),25,IF(ISNUMBER(SEARCH("Informational",IF(J735="NOT AVAILABLE","",J735))),10,IF(ISNUMBER(SEARCH("Navigational",IF(J735="NOT AVAILABLE","",J735))),0,12))))</f>
        <v/>
      </c>
      <c r="Q735">
        <f>IF(ISNUMBER(F735),MIN(30,ROUND(30*LOG10(F735+1)/4,1)),0)</f>
        <v/>
      </c>
      <c r="R735">
        <f>IF(ISNUMBER(G735),ROUND(25*(100-G735)/100,1),12.5)</f>
        <v/>
      </c>
      <c r="S735" t="n">
        <v>20</v>
      </c>
      <c r="T735">
        <f>ROUND(P735+Q735+R735+S735,0)</f>
        <v/>
      </c>
      <c r="U735" s="5" t="inlineStr"/>
      <c r="V735" s="5" t="inlineStr"/>
    </row>
    <row r="736">
      <c r="A736" t="inlineStr">
        <is>
          <t>K0734</t>
        </is>
      </c>
      <c r="B736" t="inlineStr">
        <is>
          <t>schema localbusiness</t>
        </is>
      </c>
      <c r="C736" t="inlineStr">
        <is>
          <t>Morocco</t>
        </is>
      </c>
      <c r="D736" t="inlineStr">
        <is>
          <t>ma</t>
        </is>
      </c>
      <c r="E736" t="inlineStr">
        <is>
          <t>fr</t>
        </is>
      </c>
      <c r="F736" t="inlineStr">
        <is>
          <t>NOT AVAILABLE</t>
        </is>
      </c>
      <c r="G736" t="inlineStr">
        <is>
          <t>NOT AVAILABLE</t>
        </is>
      </c>
      <c r="H736" t="inlineStr">
        <is>
          <t>NOT AVAILABLE</t>
        </is>
      </c>
      <c r="I736" t="inlineStr">
        <is>
          <t>NOT AVAILABLE</t>
        </is>
      </c>
      <c r="J736" t="inlineStr">
        <is>
          <t>NOT AVAILABLE</t>
        </is>
      </c>
      <c r="K736" t="inlineStr">
        <is>
          <t>NOT AVAILABLE</t>
        </is>
      </c>
      <c r="L736" t="inlineStr">
        <is>
          <t>NOT AVAILABLE</t>
        </is>
      </c>
      <c r="M736" t="inlineStr">
        <is>
          <t>UNAVAILABLE</t>
        </is>
      </c>
      <c r="N736" s="5" t="inlineStr">
        <is>
          <t>Semrush phrase_these returned no data (not billed)</t>
        </is>
      </c>
      <c r="O736" t="inlineStr">
        <is>
          <t>2026-10-30</t>
        </is>
      </c>
      <c r="P736">
        <f>IF(IF(J736="NOT AVAILABLE","",J736)="",12,IF(OR(ISNUMBER(SEARCH("Transactional",IF(J736="NOT AVAILABLE","",J736))),ISNUMBER(SEARCH("Commercial",IF(J736="NOT AVAILABLE","",J736)))),25,IF(ISNUMBER(SEARCH("Informational",IF(J736="NOT AVAILABLE","",J736))),10,IF(ISNUMBER(SEARCH("Navigational",IF(J736="NOT AVAILABLE","",J736))),0,12))))</f>
        <v/>
      </c>
      <c r="Q736">
        <f>IF(ISNUMBER(F736),MIN(30,ROUND(30*LOG10(F736+1)/4,1)),0)</f>
        <v/>
      </c>
      <c r="R736">
        <f>IF(ISNUMBER(G736),ROUND(25*(100-G736)/100,1),12.5)</f>
        <v/>
      </c>
      <c r="S736" t="n">
        <v>20</v>
      </c>
      <c r="T736">
        <f>ROUND(P736+Q736+R736+S736,0)</f>
        <v/>
      </c>
      <c r="U736" s="5" t="inlineStr"/>
      <c r="V736" s="5" t="inlineStr"/>
    </row>
    <row r="737">
      <c r="A737" t="inlineStr">
        <is>
          <t>K0735</t>
        </is>
      </c>
      <c r="B737" t="inlineStr">
        <is>
          <t>score autorité domaine</t>
        </is>
      </c>
      <c r="C737" t="inlineStr">
        <is>
          <t>Morocco</t>
        </is>
      </c>
      <c r="D737" t="inlineStr">
        <is>
          <t>ma</t>
        </is>
      </c>
      <c r="E737" t="inlineStr">
        <is>
          <t>fr</t>
        </is>
      </c>
      <c r="F737" t="inlineStr">
        <is>
          <t>NOT AVAILABLE</t>
        </is>
      </c>
      <c r="G737" t="inlineStr">
        <is>
          <t>NOT AVAILABLE</t>
        </is>
      </c>
      <c r="H737" t="inlineStr">
        <is>
          <t>NOT AVAILABLE</t>
        </is>
      </c>
      <c r="I737" t="inlineStr">
        <is>
          <t>NOT AVAILABLE</t>
        </is>
      </c>
      <c r="J737" t="inlineStr">
        <is>
          <t>NOT AVAILABLE</t>
        </is>
      </c>
      <c r="K737" t="inlineStr">
        <is>
          <t>NOT AVAILABLE</t>
        </is>
      </c>
      <c r="L737" t="inlineStr">
        <is>
          <t>NOT AVAILABLE</t>
        </is>
      </c>
      <c r="M737" t="inlineStr">
        <is>
          <t>UNAVAILABLE</t>
        </is>
      </c>
      <c r="N737" s="5" t="inlineStr">
        <is>
          <t>Semrush phrase_these returned no data (not billed)</t>
        </is>
      </c>
      <c r="O737" t="inlineStr">
        <is>
          <t>2026-10-30</t>
        </is>
      </c>
      <c r="P737">
        <f>IF(IF(J737="NOT AVAILABLE","",J737)="",12,IF(OR(ISNUMBER(SEARCH("Transactional",IF(J737="NOT AVAILABLE","",J737))),ISNUMBER(SEARCH("Commercial",IF(J737="NOT AVAILABLE","",J737)))),25,IF(ISNUMBER(SEARCH("Informational",IF(J737="NOT AVAILABLE","",J737))),10,IF(ISNUMBER(SEARCH("Navigational",IF(J737="NOT AVAILABLE","",J737))),0,12))))</f>
        <v/>
      </c>
      <c r="Q737">
        <f>IF(ISNUMBER(F737),MIN(30,ROUND(30*LOG10(F737+1)/4,1)),0)</f>
        <v/>
      </c>
      <c r="R737">
        <f>IF(ISNUMBER(G737),ROUND(25*(100-G737)/100,1),12.5)</f>
        <v/>
      </c>
      <c r="S737" t="n">
        <v>20</v>
      </c>
      <c r="T737">
        <f>ROUND(P737+Q737+R737+S737,0)</f>
        <v/>
      </c>
      <c r="U737" s="5" t="inlineStr"/>
      <c r="V737" s="5" t="inlineStr"/>
    </row>
    <row r="738">
      <c r="A738" t="inlineStr">
        <is>
          <t>K0736</t>
        </is>
      </c>
      <c r="B738" t="inlineStr">
        <is>
          <t>score de lisibilité</t>
        </is>
      </c>
      <c r="C738" t="inlineStr">
        <is>
          <t>Morocco</t>
        </is>
      </c>
      <c r="D738" t="inlineStr">
        <is>
          <t>ma</t>
        </is>
      </c>
      <c r="E738" t="inlineStr">
        <is>
          <t>fr</t>
        </is>
      </c>
      <c r="F738" t="n">
        <v>0</v>
      </c>
      <c r="G738" t="inlineStr">
        <is>
          <t>NOT AVAILABLE</t>
        </is>
      </c>
      <c r="H738" t="n">
        <v>0</v>
      </c>
      <c r="I738" t="n">
        <v>0.33</v>
      </c>
      <c r="J738" t="inlineStr">
        <is>
          <t>NOT AVAILABLE</t>
        </is>
      </c>
      <c r="K738" t="inlineStr">
        <is>
          <t>NOT AVAILABLE (report not requested)</t>
        </is>
      </c>
      <c r="L738" t="inlineStr">
        <is>
          <t>rising (calc.)</t>
        </is>
      </c>
      <c r="M738" t="inlineStr">
        <is>
          <t>MEASURED</t>
        </is>
      </c>
      <c r="N738" s="5" t="inlineStr">
        <is>
          <t>Semrush phrase_these (live, this session)</t>
        </is>
      </c>
      <c r="O738" t="inlineStr">
        <is>
          <t>2026-10-30</t>
        </is>
      </c>
      <c r="P738">
        <f>IF(IF(J738="NOT AVAILABLE","",J738)="",12,IF(OR(ISNUMBER(SEARCH("Transactional",IF(J738="NOT AVAILABLE","",J738))),ISNUMBER(SEARCH("Commercial",IF(J738="NOT AVAILABLE","",J738)))),25,IF(ISNUMBER(SEARCH("Informational",IF(J738="NOT AVAILABLE","",J738))),10,IF(ISNUMBER(SEARCH("Navigational",IF(J738="NOT AVAILABLE","",J738))),0,12))))</f>
        <v/>
      </c>
      <c r="Q738">
        <f>IF(ISNUMBER(F738),MIN(30,ROUND(30*LOG10(F738+1)/4,1)),0)</f>
        <v/>
      </c>
      <c r="R738">
        <f>IF(ISNUMBER(G738),ROUND(25*(100-G738)/100,1),12.5)</f>
        <v/>
      </c>
      <c r="S738" t="n">
        <v>20</v>
      </c>
      <c r="T738">
        <f>ROUND(P738+Q738+R738+S738,0)</f>
        <v/>
      </c>
      <c r="U738" s="5" t="inlineStr"/>
      <c r="V738" s="5" t="inlineStr"/>
    </row>
    <row r="739">
      <c r="A739" t="inlineStr">
        <is>
          <t>K0737</t>
        </is>
      </c>
      <c r="B739" t="inlineStr">
        <is>
          <t>script chatbot</t>
        </is>
      </c>
      <c r="C739" t="inlineStr">
        <is>
          <t>Morocco</t>
        </is>
      </c>
      <c r="D739" t="inlineStr">
        <is>
          <t>ma</t>
        </is>
      </c>
      <c r="E739" t="inlineStr">
        <is>
          <t>fr</t>
        </is>
      </c>
      <c r="F739" t="inlineStr">
        <is>
          <t>NOT AVAILABLE</t>
        </is>
      </c>
      <c r="G739" t="inlineStr">
        <is>
          <t>NOT AVAILABLE</t>
        </is>
      </c>
      <c r="H739" t="inlineStr">
        <is>
          <t>NOT AVAILABLE</t>
        </is>
      </c>
      <c r="I739" t="inlineStr">
        <is>
          <t>NOT AVAILABLE</t>
        </is>
      </c>
      <c r="J739" t="inlineStr">
        <is>
          <t>NOT AVAILABLE</t>
        </is>
      </c>
      <c r="K739" t="inlineStr">
        <is>
          <t>NOT AVAILABLE</t>
        </is>
      </c>
      <c r="L739" t="inlineStr">
        <is>
          <t>NOT AVAILABLE</t>
        </is>
      </c>
      <c r="M739" t="inlineStr">
        <is>
          <t>UNAVAILABLE</t>
        </is>
      </c>
      <c r="N739" s="5" t="inlineStr">
        <is>
          <t>Semrush phrase_these returned no data (not billed)</t>
        </is>
      </c>
      <c r="O739" t="inlineStr">
        <is>
          <t>2026-10-30</t>
        </is>
      </c>
      <c r="P739">
        <f>IF(IF(J739="NOT AVAILABLE","",J739)="",12,IF(OR(ISNUMBER(SEARCH("Transactional",IF(J739="NOT AVAILABLE","",J739))),ISNUMBER(SEARCH("Commercial",IF(J739="NOT AVAILABLE","",J739)))),25,IF(ISNUMBER(SEARCH("Informational",IF(J739="NOT AVAILABLE","",J739))),10,IF(ISNUMBER(SEARCH("Navigational",IF(J739="NOT AVAILABLE","",J739))),0,12))))</f>
        <v/>
      </c>
      <c r="Q739">
        <f>IF(ISNUMBER(F739),MIN(30,ROUND(30*LOG10(F739+1)/4,1)),0)</f>
        <v/>
      </c>
      <c r="R739">
        <f>IF(ISNUMBER(G739),ROUND(25*(100-G739)/100,1),12.5)</f>
        <v/>
      </c>
      <c r="S739" t="n">
        <v>20</v>
      </c>
      <c r="T739">
        <f>ROUND(P739+Q739+R739+S739,0)</f>
        <v/>
      </c>
      <c r="U739" s="5" t="inlineStr"/>
      <c r="V739" s="5" t="inlineStr"/>
    </row>
    <row r="740">
      <c r="A740" t="inlineStr">
        <is>
          <t>K0738</t>
        </is>
      </c>
      <c r="B740" t="inlineStr">
        <is>
          <t>seo immobilier</t>
        </is>
      </c>
      <c r="C740" t="inlineStr">
        <is>
          <t>Morocco</t>
        </is>
      </c>
      <c r="D740" t="inlineStr">
        <is>
          <t>ma</t>
        </is>
      </c>
      <c r="E740" t="inlineStr">
        <is>
          <t>fr</t>
        </is>
      </c>
      <c r="F740" t="inlineStr">
        <is>
          <t>NOT AVAILABLE</t>
        </is>
      </c>
      <c r="G740" t="inlineStr">
        <is>
          <t>NOT AVAILABLE</t>
        </is>
      </c>
      <c r="H740" t="inlineStr">
        <is>
          <t>NOT AVAILABLE</t>
        </is>
      </c>
      <c r="I740" t="inlineStr">
        <is>
          <t>NOT AVAILABLE</t>
        </is>
      </c>
      <c r="J740" t="inlineStr">
        <is>
          <t>NOT AVAILABLE</t>
        </is>
      </c>
      <c r="K740" t="inlineStr">
        <is>
          <t>NOT AVAILABLE</t>
        </is>
      </c>
      <c r="L740" t="inlineStr">
        <is>
          <t>NOT AVAILABLE</t>
        </is>
      </c>
      <c r="M740" t="inlineStr">
        <is>
          <t>UNAVAILABLE</t>
        </is>
      </c>
      <c r="N740" s="5" t="inlineStr">
        <is>
          <t>Semrush phrase_these returned no data (not billed)</t>
        </is>
      </c>
      <c r="O740" t="inlineStr">
        <is>
          <t>2026-10-30</t>
        </is>
      </c>
      <c r="P740">
        <f>IF(IF(J740="NOT AVAILABLE","",J740)="",12,IF(OR(ISNUMBER(SEARCH("Transactional",IF(J740="NOT AVAILABLE","",J740))),ISNUMBER(SEARCH("Commercial",IF(J740="NOT AVAILABLE","",J740)))),25,IF(ISNUMBER(SEARCH("Informational",IF(J740="NOT AVAILABLE","",J740))),10,IF(ISNUMBER(SEARCH("Navigational",IF(J740="NOT AVAILABLE","",J740))),0,12))))</f>
        <v/>
      </c>
      <c r="Q740">
        <f>IF(ISNUMBER(F740),MIN(30,ROUND(30*LOG10(F740+1)/4,1)),0)</f>
        <v/>
      </c>
      <c r="R740">
        <f>IF(ISNUMBER(G740),ROUND(25*(100-G740)/100,1),12.5)</f>
        <v/>
      </c>
      <c r="S740" t="n">
        <v>20</v>
      </c>
      <c r="T740">
        <f>ROUND(P740+Q740+R740+S740,0)</f>
        <v/>
      </c>
      <c r="U740" s="5" t="inlineStr"/>
      <c r="V740" s="5" t="inlineStr"/>
    </row>
    <row r="741">
      <c r="A741" t="inlineStr">
        <is>
          <t>K0739</t>
        </is>
      </c>
      <c r="B741" t="inlineStr">
        <is>
          <t>seo local maroc</t>
        </is>
      </c>
      <c r="C741" t="inlineStr">
        <is>
          <t>Morocco</t>
        </is>
      </c>
      <c r="D741" t="inlineStr">
        <is>
          <t>ma</t>
        </is>
      </c>
      <c r="E741" t="inlineStr">
        <is>
          <t>fr</t>
        </is>
      </c>
      <c r="F741" t="inlineStr">
        <is>
          <t>NOT AVAILABLE</t>
        </is>
      </c>
      <c r="G741" t="inlineStr">
        <is>
          <t>NOT AVAILABLE</t>
        </is>
      </c>
      <c r="H741" t="inlineStr">
        <is>
          <t>NOT AVAILABLE</t>
        </is>
      </c>
      <c r="I741" t="inlineStr">
        <is>
          <t>NOT AVAILABLE</t>
        </is>
      </c>
      <c r="J741" t="inlineStr">
        <is>
          <t>NOT AVAILABLE</t>
        </is>
      </c>
      <c r="K741" t="inlineStr">
        <is>
          <t>NOT AVAILABLE</t>
        </is>
      </c>
      <c r="L741" t="inlineStr">
        <is>
          <t>NOT AVAILABLE</t>
        </is>
      </c>
      <c r="M741" t="inlineStr">
        <is>
          <t>UNAVAILABLE</t>
        </is>
      </c>
      <c r="N741" s="5" t="inlineStr">
        <is>
          <t>Semrush phrase_these returned no data (not billed)</t>
        </is>
      </c>
      <c r="O741" t="inlineStr">
        <is>
          <t>2026-10-30</t>
        </is>
      </c>
      <c r="P741">
        <f>IF(IF(J741="NOT AVAILABLE","",J741)="",12,IF(OR(ISNUMBER(SEARCH("Transactional",IF(J741="NOT AVAILABLE","",J741))),ISNUMBER(SEARCH("Commercial",IF(J741="NOT AVAILABLE","",J741)))),25,IF(ISNUMBER(SEARCH("Informational",IF(J741="NOT AVAILABLE","",J741))),10,IF(ISNUMBER(SEARCH("Navigational",IF(J741="NOT AVAILABLE","",J741))),0,12))))</f>
        <v/>
      </c>
      <c r="Q741">
        <f>IF(ISNUMBER(F741),MIN(30,ROUND(30*LOG10(F741+1)/4,1)),0)</f>
        <v/>
      </c>
      <c r="R741">
        <f>IF(ISNUMBER(G741),ROUND(25*(100-G741)/100,1),12.5)</f>
        <v/>
      </c>
      <c r="S741" t="n">
        <v>20</v>
      </c>
      <c r="T741">
        <f>ROUND(P741+Q741+R741+S741,0)</f>
        <v/>
      </c>
      <c r="U741" s="5" t="inlineStr"/>
      <c r="V741" s="5" t="inlineStr"/>
    </row>
    <row r="742">
      <c r="A742" t="inlineStr">
        <is>
          <t>K0740</t>
        </is>
      </c>
      <c r="B742" t="inlineStr">
        <is>
          <t>simulateur google</t>
        </is>
      </c>
      <c r="C742" t="inlineStr">
        <is>
          <t>Morocco</t>
        </is>
      </c>
      <c r="D742" t="inlineStr">
        <is>
          <t>ma</t>
        </is>
      </c>
      <c r="E742" t="inlineStr">
        <is>
          <t>fr</t>
        </is>
      </c>
      <c r="F742" t="n">
        <v>0</v>
      </c>
      <c r="G742" t="inlineStr">
        <is>
          <t>NOT AVAILABLE</t>
        </is>
      </c>
      <c r="H742" t="n">
        <v>0</v>
      </c>
      <c r="I742" t="n">
        <v>0</v>
      </c>
      <c r="J742" t="inlineStr">
        <is>
          <t>NOT AVAILABLE</t>
        </is>
      </c>
      <c r="K742" t="inlineStr">
        <is>
          <t>NOT AVAILABLE (report not requested)</t>
        </is>
      </c>
      <c r="L742" t="inlineStr">
        <is>
          <t>flat (no data)</t>
        </is>
      </c>
      <c r="M742" t="inlineStr">
        <is>
          <t>MEASURED</t>
        </is>
      </c>
      <c r="N742" s="5" t="inlineStr">
        <is>
          <t>Semrush phrase_these (live, this session)</t>
        </is>
      </c>
      <c r="O742" t="inlineStr">
        <is>
          <t>2026-10-30</t>
        </is>
      </c>
      <c r="P742">
        <f>IF(IF(J742="NOT AVAILABLE","",J742)="",12,IF(OR(ISNUMBER(SEARCH("Transactional",IF(J742="NOT AVAILABLE","",J742))),ISNUMBER(SEARCH("Commercial",IF(J742="NOT AVAILABLE","",J742)))),25,IF(ISNUMBER(SEARCH("Informational",IF(J742="NOT AVAILABLE","",J742))),10,IF(ISNUMBER(SEARCH("Navigational",IF(J742="NOT AVAILABLE","",J742))),0,12))))</f>
        <v/>
      </c>
      <c r="Q742">
        <f>IF(ISNUMBER(F742),MIN(30,ROUND(30*LOG10(F742+1)/4,1)),0)</f>
        <v/>
      </c>
      <c r="R742">
        <f>IF(ISNUMBER(G742),ROUND(25*(100-G742)/100,1),12.5)</f>
        <v/>
      </c>
      <c r="S742" t="n">
        <v>20</v>
      </c>
      <c r="T742">
        <f>ROUND(P742+Q742+R742+S742,0)</f>
        <v/>
      </c>
      <c r="U742" s="5" t="inlineStr"/>
      <c r="V742" s="5" t="inlineStr"/>
    </row>
    <row r="743">
      <c r="A743" t="inlineStr">
        <is>
          <t>K0741</t>
        </is>
      </c>
      <c r="B743" t="inlineStr">
        <is>
          <t>simulateur googlebot</t>
        </is>
      </c>
      <c r="C743" t="inlineStr">
        <is>
          <t>Morocco</t>
        </is>
      </c>
      <c r="D743" t="inlineStr">
        <is>
          <t>ma</t>
        </is>
      </c>
      <c r="E743" t="inlineStr">
        <is>
          <t>fr</t>
        </is>
      </c>
      <c r="F743" t="inlineStr">
        <is>
          <t>NOT AVAILABLE</t>
        </is>
      </c>
      <c r="G743" t="inlineStr">
        <is>
          <t>NOT AVAILABLE</t>
        </is>
      </c>
      <c r="H743" t="inlineStr">
        <is>
          <t>NOT AVAILABLE</t>
        </is>
      </c>
      <c r="I743" t="inlineStr">
        <is>
          <t>NOT AVAILABLE</t>
        </is>
      </c>
      <c r="J743" t="inlineStr">
        <is>
          <t>NOT AVAILABLE</t>
        </is>
      </c>
      <c r="K743" t="inlineStr">
        <is>
          <t>NOT AVAILABLE</t>
        </is>
      </c>
      <c r="L743" t="inlineStr">
        <is>
          <t>NOT AVAILABLE</t>
        </is>
      </c>
      <c r="M743" t="inlineStr">
        <is>
          <t>UNAVAILABLE</t>
        </is>
      </c>
      <c r="N743" s="5" t="inlineStr">
        <is>
          <t>Semrush phrase_these returned no data (not billed)</t>
        </is>
      </c>
      <c r="O743" t="inlineStr">
        <is>
          <t>2026-10-30</t>
        </is>
      </c>
      <c r="P743">
        <f>IF(IF(J743="NOT AVAILABLE","",J743)="",12,IF(OR(ISNUMBER(SEARCH("Transactional",IF(J743="NOT AVAILABLE","",J743))),ISNUMBER(SEARCH("Commercial",IF(J743="NOT AVAILABLE","",J743)))),25,IF(ISNUMBER(SEARCH("Informational",IF(J743="NOT AVAILABLE","",J743))),10,IF(ISNUMBER(SEARCH("Navigational",IF(J743="NOT AVAILABLE","",J743))),0,12))))</f>
        <v/>
      </c>
      <c r="Q743">
        <f>IF(ISNUMBER(F743),MIN(30,ROUND(30*LOG10(F743+1)/4,1)),0)</f>
        <v/>
      </c>
      <c r="R743">
        <f>IF(ISNUMBER(G743),ROUND(25*(100-G743)/100,1),12.5)</f>
        <v/>
      </c>
      <c r="S743" t="n">
        <v>20</v>
      </c>
      <c r="T743">
        <f>ROUND(P743+Q743+R743+S743,0)</f>
        <v/>
      </c>
      <c r="U743" s="5" t="inlineStr"/>
      <c r="V743" s="5" t="inlineStr"/>
    </row>
    <row r="744">
      <c r="A744" t="inlineStr">
        <is>
          <t>K0742</t>
        </is>
      </c>
      <c r="B744" t="inlineStr">
        <is>
          <t>simulateur serp</t>
        </is>
      </c>
      <c r="C744" t="inlineStr">
        <is>
          <t>Morocco</t>
        </is>
      </c>
      <c r="D744" t="inlineStr">
        <is>
          <t>ma</t>
        </is>
      </c>
      <c r="E744" t="inlineStr">
        <is>
          <t>fr</t>
        </is>
      </c>
      <c r="F744" t="inlineStr">
        <is>
          <t>NOT AVAILABLE</t>
        </is>
      </c>
      <c r="G744" t="inlineStr">
        <is>
          <t>NOT AVAILABLE</t>
        </is>
      </c>
      <c r="H744" t="inlineStr">
        <is>
          <t>NOT AVAILABLE</t>
        </is>
      </c>
      <c r="I744" t="inlineStr">
        <is>
          <t>NOT AVAILABLE</t>
        </is>
      </c>
      <c r="J744" t="inlineStr">
        <is>
          <t>NOT AVAILABLE</t>
        </is>
      </c>
      <c r="K744" t="inlineStr">
        <is>
          <t>NOT AVAILABLE</t>
        </is>
      </c>
      <c r="L744" t="inlineStr">
        <is>
          <t>NOT AVAILABLE</t>
        </is>
      </c>
      <c r="M744" t="inlineStr">
        <is>
          <t>UNAVAILABLE</t>
        </is>
      </c>
      <c r="N744" s="5" t="inlineStr">
        <is>
          <t>Semrush phrase_these returned no data (not billed)</t>
        </is>
      </c>
      <c r="O744" t="inlineStr">
        <is>
          <t>2026-10-30</t>
        </is>
      </c>
      <c r="P744">
        <f>IF(IF(J744="NOT AVAILABLE","",J744)="",12,IF(OR(ISNUMBER(SEARCH("Transactional",IF(J744="NOT AVAILABLE","",J744))),ISNUMBER(SEARCH("Commercial",IF(J744="NOT AVAILABLE","",J744)))),25,IF(ISNUMBER(SEARCH("Informational",IF(J744="NOT AVAILABLE","",J744))),10,IF(ISNUMBER(SEARCH("Navigational",IF(J744="NOT AVAILABLE","",J744))),0,12))))</f>
        <v/>
      </c>
      <c r="Q744">
        <f>IF(ISNUMBER(F744),MIN(30,ROUND(30*LOG10(F744+1)/4,1)),0)</f>
        <v/>
      </c>
      <c r="R744">
        <f>IF(ISNUMBER(G744),ROUND(25*(100-G744)/100,1),12.5)</f>
        <v/>
      </c>
      <c r="S744" t="n">
        <v>20</v>
      </c>
      <c r="T744">
        <f>ROUND(P744+Q744+R744+S744,0)</f>
        <v/>
      </c>
      <c r="U744" s="5" t="inlineStr"/>
      <c r="V744" s="5" t="inlineStr"/>
    </row>
    <row r="745">
      <c r="A745" t="inlineStr">
        <is>
          <t>K0743</t>
        </is>
      </c>
      <c r="B745" t="inlineStr">
        <is>
          <t>site agence de voyage maroc</t>
        </is>
      </c>
      <c r="C745" t="inlineStr">
        <is>
          <t>Morocco</t>
        </is>
      </c>
      <c r="D745" t="inlineStr">
        <is>
          <t>ma</t>
        </is>
      </c>
      <c r="E745" t="inlineStr">
        <is>
          <t>fr</t>
        </is>
      </c>
      <c r="F745" t="inlineStr">
        <is>
          <t>NOT AVAILABLE</t>
        </is>
      </c>
      <c r="G745" t="inlineStr">
        <is>
          <t>NOT AVAILABLE</t>
        </is>
      </c>
      <c r="H745" t="inlineStr">
        <is>
          <t>NOT AVAILABLE</t>
        </is>
      </c>
      <c r="I745" t="inlineStr">
        <is>
          <t>NOT AVAILABLE</t>
        </is>
      </c>
      <c r="J745" t="inlineStr">
        <is>
          <t>NOT AVAILABLE</t>
        </is>
      </c>
      <c r="K745" t="inlineStr">
        <is>
          <t>NOT AVAILABLE</t>
        </is>
      </c>
      <c r="L745" t="inlineStr">
        <is>
          <t>NOT AVAILABLE</t>
        </is>
      </c>
      <c r="M745" t="inlineStr">
        <is>
          <t>UNAVAILABLE</t>
        </is>
      </c>
      <c r="N745" s="5" t="inlineStr">
        <is>
          <t>Semrush phrase_these returned no data (not billed)</t>
        </is>
      </c>
      <c r="O745" t="inlineStr">
        <is>
          <t>2026-10-30</t>
        </is>
      </c>
      <c r="P745">
        <f>IF(IF(J745="NOT AVAILABLE","",J745)="",12,IF(OR(ISNUMBER(SEARCH("Transactional",IF(J745="NOT AVAILABLE","",J745))),ISNUMBER(SEARCH("Commercial",IF(J745="NOT AVAILABLE","",J745)))),25,IF(ISNUMBER(SEARCH("Informational",IF(J745="NOT AVAILABLE","",J745))),10,IF(ISNUMBER(SEARCH("Navigational",IF(J745="NOT AVAILABLE","",J745))),0,12))))</f>
        <v/>
      </c>
      <c r="Q745">
        <f>IF(ISNUMBER(F745),MIN(30,ROUND(30*LOG10(F745+1)/4,1)),0)</f>
        <v/>
      </c>
      <c r="R745">
        <f>IF(ISNUMBER(G745),ROUND(25*(100-G745)/100,1),12.5)</f>
        <v/>
      </c>
      <c r="S745" t="n">
        <v>20</v>
      </c>
      <c r="T745">
        <f>ROUND(P745+Q745+R745+S745,0)</f>
        <v/>
      </c>
      <c r="U745" s="5" t="inlineStr"/>
      <c r="V745" s="5" t="inlineStr"/>
    </row>
    <row r="746">
      <c r="A746" t="inlineStr">
        <is>
          <t>K0744</t>
        </is>
      </c>
      <c r="B746" t="inlineStr">
        <is>
          <t>site cabinet médical</t>
        </is>
      </c>
      <c r="C746" t="inlineStr">
        <is>
          <t>Morocco</t>
        </is>
      </c>
      <c r="D746" t="inlineStr">
        <is>
          <t>ma</t>
        </is>
      </c>
      <c r="E746" t="inlineStr">
        <is>
          <t>fr</t>
        </is>
      </c>
      <c r="F746" t="inlineStr">
        <is>
          <t>NOT AVAILABLE</t>
        </is>
      </c>
      <c r="G746" t="inlineStr">
        <is>
          <t>NOT AVAILABLE</t>
        </is>
      </c>
      <c r="H746" t="inlineStr">
        <is>
          <t>NOT AVAILABLE</t>
        </is>
      </c>
      <c r="I746" t="inlineStr">
        <is>
          <t>NOT AVAILABLE</t>
        </is>
      </c>
      <c r="J746" t="inlineStr">
        <is>
          <t>NOT AVAILABLE</t>
        </is>
      </c>
      <c r="K746" t="inlineStr">
        <is>
          <t>NOT AVAILABLE</t>
        </is>
      </c>
      <c r="L746" t="inlineStr">
        <is>
          <t>NOT AVAILABLE</t>
        </is>
      </c>
      <c r="M746" t="inlineStr">
        <is>
          <t>UNAVAILABLE</t>
        </is>
      </c>
      <c r="N746" s="5" t="inlineStr">
        <is>
          <t>Semrush phrase_these returned no data (not billed)</t>
        </is>
      </c>
      <c r="O746" t="inlineStr">
        <is>
          <t>2026-10-30</t>
        </is>
      </c>
      <c r="P746">
        <f>IF(IF(J746="NOT AVAILABLE","",J746)="",12,IF(OR(ISNUMBER(SEARCH("Transactional",IF(J746="NOT AVAILABLE","",J746))),ISNUMBER(SEARCH("Commercial",IF(J746="NOT AVAILABLE","",J746)))),25,IF(ISNUMBER(SEARCH("Informational",IF(J746="NOT AVAILABLE","",J746))),10,IF(ISNUMBER(SEARCH("Navigational",IF(J746="NOT AVAILABLE","",J746))),0,12))))</f>
        <v/>
      </c>
      <c r="Q746">
        <f>IF(ISNUMBER(F746),MIN(30,ROUND(30*LOG10(F746+1)/4,1)),0)</f>
        <v/>
      </c>
      <c r="R746">
        <f>IF(ISNUMBER(G746),ROUND(25*(100-G746)/100,1),12.5)</f>
        <v/>
      </c>
      <c r="S746" t="n">
        <v>20</v>
      </c>
      <c r="T746">
        <f>ROUND(P746+Q746+R746+S746,0)</f>
        <v/>
      </c>
      <c r="U746" s="5" t="inlineStr"/>
      <c r="V746" s="5" t="inlineStr"/>
    </row>
    <row r="747">
      <c r="A747" t="inlineStr">
        <is>
          <t>K0745</t>
        </is>
      </c>
      <c r="B747" t="inlineStr">
        <is>
          <t>site de télémédecine</t>
        </is>
      </c>
      <c r="C747" t="inlineStr">
        <is>
          <t>Morocco</t>
        </is>
      </c>
      <c r="D747" t="inlineStr">
        <is>
          <t>ma</t>
        </is>
      </c>
      <c r="E747" t="inlineStr">
        <is>
          <t>fr</t>
        </is>
      </c>
      <c r="F747" t="inlineStr">
        <is>
          <t>NOT AVAILABLE</t>
        </is>
      </c>
      <c r="G747" t="inlineStr">
        <is>
          <t>NOT AVAILABLE</t>
        </is>
      </c>
      <c r="H747" t="inlineStr">
        <is>
          <t>NOT AVAILABLE</t>
        </is>
      </c>
      <c r="I747" t="inlineStr">
        <is>
          <t>NOT AVAILABLE</t>
        </is>
      </c>
      <c r="J747" t="inlineStr">
        <is>
          <t>NOT AVAILABLE</t>
        </is>
      </c>
      <c r="K747" t="inlineStr">
        <is>
          <t>NOT AVAILABLE</t>
        </is>
      </c>
      <c r="L747" t="inlineStr">
        <is>
          <t>NOT AVAILABLE</t>
        </is>
      </c>
      <c r="M747" t="inlineStr">
        <is>
          <t>UNAVAILABLE</t>
        </is>
      </c>
      <c r="N747" s="5" t="inlineStr">
        <is>
          <t>Semrush phrase_these returned no data (not billed)</t>
        </is>
      </c>
      <c r="O747" t="inlineStr">
        <is>
          <t>2026-10-30</t>
        </is>
      </c>
      <c r="P747">
        <f>IF(IF(J747="NOT AVAILABLE","",J747)="",12,IF(OR(ISNUMBER(SEARCH("Transactional",IF(J747="NOT AVAILABLE","",J747))),ISNUMBER(SEARCH("Commercial",IF(J747="NOT AVAILABLE","",J747)))),25,IF(ISNUMBER(SEARCH("Informational",IF(J747="NOT AVAILABLE","",J747))),10,IF(ISNUMBER(SEARCH("Navigational",IF(J747="NOT AVAILABLE","",J747))),0,12))))</f>
        <v/>
      </c>
      <c r="Q747">
        <f>IF(ISNUMBER(F747),MIN(30,ROUND(30*LOG10(F747+1)/4,1)),0)</f>
        <v/>
      </c>
      <c r="R747">
        <f>IF(ISNUMBER(G747),ROUND(25*(100-G747)/100,1),12.5)</f>
        <v/>
      </c>
      <c r="S747" t="n">
        <v>20</v>
      </c>
      <c r="T747">
        <f>ROUND(P747+Q747+R747+S747,0)</f>
        <v/>
      </c>
      <c r="U747" s="5" t="inlineStr"/>
      <c r="V747" s="5" t="inlineStr"/>
    </row>
    <row r="748">
      <c r="A748" t="inlineStr">
        <is>
          <t>K0746</t>
        </is>
      </c>
      <c r="B748" t="inlineStr">
        <is>
          <t>site e-commerce dentaire</t>
        </is>
      </c>
      <c r="C748" t="inlineStr">
        <is>
          <t>Morocco</t>
        </is>
      </c>
      <c r="D748" t="inlineStr">
        <is>
          <t>ma</t>
        </is>
      </c>
      <c r="E748" t="inlineStr">
        <is>
          <t>fr</t>
        </is>
      </c>
      <c r="F748" t="inlineStr">
        <is>
          <t>NOT AVAILABLE</t>
        </is>
      </c>
      <c r="G748" t="inlineStr">
        <is>
          <t>NOT AVAILABLE</t>
        </is>
      </c>
      <c r="H748" t="inlineStr">
        <is>
          <t>NOT AVAILABLE</t>
        </is>
      </c>
      <c r="I748" t="inlineStr">
        <is>
          <t>NOT AVAILABLE</t>
        </is>
      </c>
      <c r="J748" t="inlineStr">
        <is>
          <t>NOT AVAILABLE</t>
        </is>
      </c>
      <c r="K748" t="inlineStr">
        <is>
          <t>NOT AVAILABLE</t>
        </is>
      </c>
      <c r="L748" t="inlineStr">
        <is>
          <t>NOT AVAILABLE</t>
        </is>
      </c>
      <c r="M748" t="inlineStr">
        <is>
          <t>UNAVAILABLE</t>
        </is>
      </c>
      <c r="N748" s="5" t="inlineStr">
        <is>
          <t>Semrush phrase_these returned no data (not billed)</t>
        </is>
      </c>
      <c r="O748" t="inlineStr">
        <is>
          <t>2026-10-30</t>
        </is>
      </c>
      <c r="P748">
        <f>IF(IF(J748="NOT AVAILABLE","",J748)="",12,IF(OR(ISNUMBER(SEARCH("Transactional",IF(J748="NOT AVAILABLE","",J748))),ISNUMBER(SEARCH("Commercial",IF(J748="NOT AVAILABLE","",J748)))),25,IF(ISNUMBER(SEARCH("Informational",IF(J748="NOT AVAILABLE","",J748))),10,IF(ISNUMBER(SEARCH("Navigational",IF(J748="NOT AVAILABLE","",J748))),0,12))))</f>
        <v/>
      </c>
      <c r="Q748">
        <f>IF(ISNUMBER(F748),MIN(30,ROUND(30*LOG10(F748+1)/4,1)),0)</f>
        <v/>
      </c>
      <c r="R748">
        <f>IF(ISNUMBER(G748),ROUND(25*(100-G748)/100,1),12.5)</f>
        <v/>
      </c>
      <c r="S748" t="n">
        <v>20</v>
      </c>
      <c r="T748">
        <f>ROUND(P748+Q748+R748+S748,0)</f>
        <v/>
      </c>
      <c r="U748" s="5" t="inlineStr"/>
      <c r="V748" s="5" t="inlineStr"/>
    </row>
    <row r="749">
      <c r="A749" t="inlineStr">
        <is>
          <t>K0747</t>
        </is>
      </c>
      <c r="B749" t="inlineStr">
        <is>
          <t>site fintech</t>
        </is>
      </c>
      <c r="C749" t="inlineStr">
        <is>
          <t>Morocco</t>
        </is>
      </c>
      <c r="D749" t="inlineStr">
        <is>
          <t>ma</t>
        </is>
      </c>
      <c r="E749" t="inlineStr">
        <is>
          <t>fr</t>
        </is>
      </c>
      <c r="F749" t="inlineStr">
        <is>
          <t>NOT AVAILABLE</t>
        </is>
      </c>
      <c r="G749" t="inlineStr">
        <is>
          <t>NOT AVAILABLE</t>
        </is>
      </c>
      <c r="H749" t="inlineStr">
        <is>
          <t>NOT AVAILABLE</t>
        </is>
      </c>
      <c r="I749" t="inlineStr">
        <is>
          <t>NOT AVAILABLE</t>
        </is>
      </c>
      <c r="J749" t="inlineStr">
        <is>
          <t>NOT AVAILABLE</t>
        </is>
      </c>
      <c r="K749" t="inlineStr">
        <is>
          <t>NOT AVAILABLE</t>
        </is>
      </c>
      <c r="L749" t="inlineStr">
        <is>
          <t>NOT AVAILABLE</t>
        </is>
      </c>
      <c r="M749" t="inlineStr">
        <is>
          <t>UNAVAILABLE</t>
        </is>
      </c>
      <c r="N749" s="5" t="inlineStr">
        <is>
          <t>Semrush phrase_these returned no data (not billed)</t>
        </is>
      </c>
      <c r="O749" t="inlineStr">
        <is>
          <t>2026-10-30</t>
        </is>
      </c>
      <c r="P749">
        <f>IF(IF(J749="NOT AVAILABLE","",J749)="",12,IF(OR(ISNUMBER(SEARCH("Transactional",IF(J749="NOT AVAILABLE","",J749))),ISNUMBER(SEARCH("Commercial",IF(J749="NOT AVAILABLE","",J749)))),25,IF(ISNUMBER(SEARCH("Informational",IF(J749="NOT AVAILABLE","",J749))),10,IF(ISNUMBER(SEARCH("Navigational",IF(J749="NOT AVAILABLE","",J749))),0,12))))</f>
        <v/>
      </c>
      <c r="Q749">
        <f>IF(ISNUMBER(F749),MIN(30,ROUND(30*LOG10(F749+1)/4,1)),0)</f>
        <v/>
      </c>
      <c r="R749">
        <f>IF(ISNUMBER(G749),ROUND(25*(100-G749)/100,1),12.5)</f>
        <v/>
      </c>
      <c r="S749" t="n">
        <v>20</v>
      </c>
      <c r="T749">
        <f>ROUND(P749+Q749+R749+S749,0)</f>
        <v/>
      </c>
      <c r="U749" s="5" t="inlineStr"/>
      <c r="V749" s="5" t="inlineStr"/>
    </row>
    <row r="750">
      <c r="A750" t="inlineStr">
        <is>
          <t>K0748</t>
        </is>
      </c>
      <c r="B750" t="inlineStr">
        <is>
          <t>site internet cabinet médical</t>
        </is>
      </c>
      <c r="C750" t="inlineStr">
        <is>
          <t>Morocco</t>
        </is>
      </c>
      <c r="D750" t="inlineStr">
        <is>
          <t>ma</t>
        </is>
      </c>
      <c r="E750" t="inlineStr">
        <is>
          <t>fr</t>
        </is>
      </c>
      <c r="F750" t="inlineStr">
        <is>
          <t>NOT AVAILABLE</t>
        </is>
      </c>
      <c r="G750" t="inlineStr">
        <is>
          <t>NOT AVAILABLE</t>
        </is>
      </c>
      <c r="H750" t="inlineStr">
        <is>
          <t>NOT AVAILABLE</t>
        </is>
      </c>
      <c r="I750" t="inlineStr">
        <is>
          <t>NOT AVAILABLE</t>
        </is>
      </c>
      <c r="J750" t="inlineStr">
        <is>
          <t>NOT AVAILABLE</t>
        </is>
      </c>
      <c r="K750" t="inlineStr">
        <is>
          <t>NOT AVAILABLE</t>
        </is>
      </c>
      <c r="L750" t="inlineStr">
        <is>
          <t>NOT AVAILABLE</t>
        </is>
      </c>
      <c r="M750" t="inlineStr">
        <is>
          <t>UNAVAILABLE</t>
        </is>
      </c>
      <c r="N750" s="5" t="inlineStr">
        <is>
          <t>Semrush phrase_these returned no data (not billed)</t>
        </is>
      </c>
      <c r="O750" t="inlineStr">
        <is>
          <t>2026-10-30</t>
        </is>
      </c>
      <c r="P750">
        <f>IF(IF(J750="NOT AVAILABLE","",J750)="",12,IF(OR(ISNUMBER(SEARCH("Transactional",IF(J750="NOT AVAILABLE","",J750))),ISNUMBER(SEARCH("Commercial",IF(J750="NOT AVAILABLE","",J750)))),25,IF(ISNUMBER(SEARCH("Informational",IF(J750="NOT AVAILABLE","",J750))),10,IF(ISNUMBER(SEARCH("Navigational",IF(J750="NOT AVAILABLE","",J750))),0,12))))</f>
        <v/>
      </c>
      <c r="Q750">
        <f>IF(ISNUMBER(F750),MIN(30,ROUND(30*LOG10(F750+1)/4,1)),0)</f>
        <v/>
      </c>
      <c r="R750">
        <f>IF(ISNUMBER(G750),ROUND(25*(100-G750)/100,1),12.5)</f>
        <v/>
      </c>
      <c r="S750" t="n">
        <v>20</v>
      </c>
      <c r="T750">
        <f>ROUND(P750+Q750+R750+S750,0)</f>
        <v/>
      </c>
      <c r="U750" s="5" t="inlineStr"/>
      <c r="V750" s="5" t="inlineStr"/>
    </row>
    <row r="751">
      <c r="A751" t="inlineStr">
        <is>
          <t>K0749</t>
        </is>
      </c>
      <c r="B751" t="inlineStr">
        <is>
          <t>site internet médecin</t>
        </is>
      </c>
      <c r="C751" t="inlineStr">
        <is>
          <t>Morocco</t>
        </is>
      </c>
      <c r="D751" t="inlineStr">
        <is>
          <t>ma</t>
        </is>
      </c>
      <c r="E751" t="inlineStr">
        <is>
          <t>fr</t>
        </is>
      </c>
      <c r="F751" t="inlineStr">
        <is>
          <t>NOT AVAILABLE</t>
        </is>
      </c>
      <c r="G751" t="inlineStr">
        <is>
          <t>NOT AVAILABLE</t>
        </is>
      </c>
      <c r="H751" t="inlineStr">
        <is>
          <t>NOT AVAILABLE</t>
        </is>
      </c>
      <c r="I751" t="inlineStr">
        <is>
          <t>NOT AVAILABLE</t>
        </is>
      </c>
      <c r="J751" t="inlineStr">
        <is>
          <t>NOT AVAILABLE</t>
        </is>
      </c>
      <c r="K751" t="inlineStr">
        <is>
          <t>NOT AVAILABLE</t>
        </is>
      </c>
      <c r="L751" t="inlineStr">
        <is>
          <t>NOT AVAILABLE</t>
        </is>
      </c>
      <c r="M751" t="inlineStr">
        <is>
          <t>UNAVAILABLE</t>
        </is>
      </c>
      <c r="N751" s="5" t="inlineStr">
        <is>
          <t>Semrush phrase_these returned no data (not billed)</t>
        </is>
      </c>
      <c r="O751" t="inlineStr">
        <is>
          <t>2026-10-30</t>
        </is>
      </c>
      <c r="P751">
        <f>IF(IF(J751="NOT AVAILABLE","",J751)="",12,IF(OR(ISNUMBER(SEARCH("Transactional",IF(J751="NOT AVAILABLE","",J751))),ISNUMBER(SEARCH("Commercial",IF(J751="NOT AVAILABLE","",J751)))),25,IF(ISNUMBER(SEARCH("Informational",IF(J751="NOT AVAILABLE","",J751))),10,IF(ISNUMBER(SEARCH("Navigational",IF(J751="NOT AVAILABLE","",J751))),0,12))))</f>
        <v/>
      </c>
      <c r="Q751">
        <f>IF(ISNUMBER(F751),MIN(30,ROUND(30*LOG10(F751+1)/4,1)),0)</f>
        <v/>
      </c>
      <c r="R751">
        <f>IF(ISNUMBER(G751),ROUND(25*(100-G751)/100,1),12.5)</f>
        <v/>
      </c>
      <c r="S751" t="n">
        <v>20</v>
      </c>
      <c r="T751">
        <f>ROUND(P751+Q751+R751+S751,0)</f>
        <v/>
      </c>
      <c r="U751" s="5" t="inlineStr"/>
      <c r="V751" s="5" t="inlineStr"/>
    </row>
    <row r="752">
      <c r="A752" t="inlineStr">
        <is>
          <t>K0750</t>
        </is>
      </c>
      <c r="B752" t="inlineStr">
        <is>
          <t>site internet professionnel</t>
        </is>
      </c>
      <c r="C752" t="inlineStr">
        <is>
          <t>Morocco</t>
        </is>
      </c>
      <c r="D752" t="inlineStr">
        <is>
          <t>ma</t>
        </is>
      </c>
      <c r="E752" t="inlineStr">
        <is>
          <t>fr</t>
        </is>
      </c>
      <c r="F752" t="inlineStr">
        <is>
          <t>NOT AVAILABLE</t>
        </is>
      </c>
      <c r="G752" t="inlineStr">
        <is>
          <t>NOT AVAILABLE</t>
        </is>
      </c>
      <c r="H752" t="inlineStr">
        <is>
          <t>NOT AVAILABLE</t>
        </is>
      </c>
      <c r="I752" t="inlineStr">
        <is>
          <t>NOT AVAILABLE</t>
        </is>
      </c>
      <c r="J752" t="inlineStr">
        <is>
          <t>NOT AVAILABLE</t>
        </is>
      </c>
      <c r="K752" t="inlineStr">
        <is>
          <t>NOT AVAILABLE</t>
        </is>
      </c>
      <c r="L752" t="inlineStr">
        <is>
          <t>NOT AVAILABLE</t>
        </is>
      </c>
      <c r="M752" t="inlineStr">
        <is>
          <t>SUGGESTED</t>
        </is>
      </c>
      <c r="N752" s="5" t="inlineStr">
        <is>
          <t>Analyst suggestion - not validated in Semrush</t>
        </is>
      </c>
      <c r="O752" t="inlineStr">
        <is>
          <t>NOT AVAILABLE</t>
        </is>
      </c>
      <c r="P752">
        <f>IF(IF(J752="NOT AVAILABLE","",J752)="",12,IF(OR(ISNUMBER(SEARCH("Transactional",IF(J752="NOT AVAILABLE","",J752))),ISNUMBER(SEARCH("Commercial",IF(J752="NOT AVAILABLE","",J752)))),25,IF(ISNUMBER(SEARCH("Informational",IF(J752="NOT AVAILABLE","",J752))),10,IF(ISNUMBER(SEARCH("Navigational",IF(J752="NOT AVAILABLE","",J752))),0,12))))</f>
        <v/>
      </c>
      <c r="Q752">
        <f>IF(ISNUMBER(F752),MIN(30,ROUND(30*LOG10(F752+1)/4,1)),0)</f>
        <v/>
      </c>
      <c r="R752">
        <f>IF(ISNUMBER(G752),ROUND(25*(100-G752)/100,1),12.5)</f>
        <v/>
      </c>
      <c r="S752" t="n">
        <v>20</v>
      </c>
      <c r="T752">
        <f>ROUND(P752+Q752+R752+S752,0)</f>
        <v/>
      </c>
      <c r="U752" s="5" t="inlineStr"/>
      <c r="V752" s="5" t="inlineStr"/>
    </row>
    <row r="753">
      <c r="A753" t="inlineStr">
        <is>
          <t>K0751</t>
        </is>
      </c>
      <c r="B753" t="inlineStr">
        <is>
          <t>site internet école</t>
        </is>
      </c>
      <c r="C753" t="inlineStr">
        <is>
          <t>Morocco</t>
        </is>
      </c>
      <c r="D753" t="inlineStr">
        <is>
          <t>ma</t>
        </is>
      </c>
      <c r="E753" t="inlineStr">
        <is>
          <t>fr</t>
        </is>
      </c>
      <c r="F753" t="inlineStr">
        <is>
          <t>NOT AVAILABLE</t>
        </is>
      </c>
      <c r="G753" t="inlineStr">
        <is>
          <t>NOT AVAILABLE</t>
        </is>
      </c>
      <c r="H753" t="inlineStr">
        <is>
          <t>NOT AVAILABLE</t>
        </is>
      </c>
      <c r="I753" t="inlineStr">
        <is>
          <t>NOT AVAILABLE</t>
        </is>
      </c>
      <c r="J753" t="inlineStr">
        <is>
          <t>NOT AVAILABLE</t>
        </is>
      </c>
      <c r="K753" t="inlineStr">
        <is>
          <t>NOT AVAILABLE</t>
        </is>
      </c>
      <c r="L753" t="inlineStr">
        <is>
          <t>NOT AVAILABLE</t>
        </is>
      </c>
      <c r="M753" t="inlineStr">
        <is>
          <t>UNAVAILABLE</t>
        </is>
      </c>
      <c r="N753" s="5" t="inlineStr">
        <is>
          <t>Semrush phrase_these returned no data (not billed)</t>
        </is>
      </c>
      <c r="O753" t="inlineStr">
        <is>
          <t>2026-10-30</t>
        </is>
      </c>
      <c r="P753">
        <f>IF(IF(J753="NOT AVAILABLE","",J753)="",12,IF(OR(ISNUMBER(SEARCH("Transactional",IF(J753="NOT AVAILABLE","",J753))),ISNUMBER(SEARCH("Commercial",IF(J753="NOT AVAILABLE","",J753)))),25,IF(ISNUMBER(SEARCH("Informational",IF(J753="NOT AVAILABLE","",J753))),10,IF(ISNUMBER(SEARCH("Navigational",IF(J753="NOT AVAILABLE","",J753))),0,12))))</f>
        <v/>
      </c>
      <c r="Q753">
        <f>IF(ISNUMBER(F753),MIN(30,ROUND(30*LOG10(F753+1)/4,1)),0)</f>
        <v/>
      </c>
      <c r="R753">
        <f>IF(ISNUMBER(G753),ROUND(25*(100-G753)/100,1),12.5)</f>
        <v/>
      </c>
      <c r="S753" t="n">
        <v>20</v>
      </c>
      <c r="T753">
        <f>ROUND(P753+Q753+R753+S753,0)</f>
        <v/>
      </c>
      <c r="U753" s="5" t="inlineStr"/>
      <c r="V753" s="5" t="inlineStr"/>
    </row>
    <row r="754">
      <c r="A754" t="inlineStr">
        <is>
          <t>K0752</t>
        </is>
      </c>
      <c r="B754" t="inlineStr">
        <is>
          <t>site prêt à lancer</t>
        </is>
      </c>
      <c r="C754" t="inlineStr">
        <is>
          <t>Morocco</t>
        </is>
      </c>
      <c r="D754" t="inlineStr">
        <is>
          <t>ma</t>
        </is>
      </c>
      <c r="E754" t="inlineStr">
        <is>
          <t>fr</t>
        </is>
      </c>
      <c r="F754" t="inlineStr">
        <is>
          <t>NOT AVAILABLE</t>
        </is>
      </c>
      <c r="G754" t="inlineStr">
        <is>
          <t>NOT AVAILABLE</t>
        </is>
      </c>
      <c r="H754" t="inlineStr">
        <is>
          <t>NOT AVAILABLE</t>
        </is>
      </c>
      <c r="I754" t="inlineStr">
        <is>
          <t>NOT AVAILABLE</t>
        </is>
      </c>
      <c r="J754" t="inlineStr">
        <is>
          <t>NOT AVAILABLE</t>
        </is>
      </c>
      <c r="K754" t="inlineStr">
        <is>
          <t>NOT AVAILABLE</t>
        </is>
      </c>
      <c r="L754" t="inlineStr">
        <is>
          <t>NOT AVAILABLE</t>
        </is>
      </c>
      <c r="M754" t="inlineStr">
        <is>
          <t>UNAVAILABLE</t>
        </is>
      </c>
      <c r="N754" s="5" t="inlineStr">
        <is>
          <t>Semrush phrase_these returned no data (not billed)</t>
        </is>
      </c>
      <c r="O754" t="inlineStr">
        <is>
          <t>2026-10-30</t>
        </is>
      </c>
      <c r="P754">
        <f>IF(IF(J754="NOT AVAILABLE","",J754)="",12,IF(OR(ISNUMBER(SEARCH("Transactional",IF(J754="NOT AVAILABLE","",J754))),ISNUMBER(SEARCH("Commercial",IF(J754="NOT AVAILABLE","",J754)))),25,IF(ISNUMBER(SEARCH("Informational",IF(J754="NOT AVAILABLE","",J754))),10,IF(ISNUMBER(SEARCH("Navigational",IF(J754="NOT AVAILABLE","",J754))),0,12))))</f>
        <v/>
      </c>
      <c r="Q754">
        <f>IF(ISNUMBER(F754),MIN(30,ROUND(30*LOG10(F754+1)/4,1)),0)</f>
        <v/>
      </c>
      <c r="R754">
        <f>IF(ISNUMBER(G754),ROUND(25*(100-G754)/100,1),12.5)</f>
        <v/>
      </c>
      <c r="S754" t="n">
        <v>20</v>
      </c>
      <c r="T754">
        <f>ROUND(P754+Q754+R754+S754,0)</f>
        <v/>
      </c>
      <c r="U754" s="5" t="inlineStr"/>
      <c r="V754" s="5" t="inlineStr"/>
    </row>
    <row r="755">
      <c r="A755" t="inlineStr">
        <is>
          <t>K0753</t>
        </is>
      </c>
      <c r="B755" t="inlineStr">
        <is>
          <t>site vitrine c'est quoi</t>
        </is>
      </c>
      <c r="C755" t="inlineStr">
        <is>
          <t>Morocco</t>
        </is>
      </c>
      <c r="D755" t="inlineStr">
        <is>
          <t>ma</t>
        </is>
      </c>
      <c r="E755" t="inlineStr">
        <is>
          <t>fr</t>
        </is>
      </c>
      <c r="F755" t="inlineStr">
        <is>
          <t>NOT AVAILABLE</t>
        </is>
      </c>
      <c r="G755" t="inlineStr">
        <is>
          <t>NOT AVAILABLE</t>
        </is>
      </c>
      <c r="H755" t="inlineStr">
        <is>
          <t>NOT AVAILABLE</t>
        </is>
      </c>
      <c r="I755" t="inlineStr">
        <is>
          <t>NOT AVAILABLE</t>
        </is>
      </c>
      <c r="J755" t="inlineStr">
        <is>
          <t>NOT AVAILABLE</t>
        </is>
      </c>
      <c r="K755" t="inlineStr">
        <is>
          <t>NOT AVAILABLE</t>
        </is>
      </c>
      <c r="L755" t="inlineStr">
        <is>
          <t>NOT AVAILABLE</t>
        </is>
      </c>
      <c r="M755" t="inlineStr">
        <is>
          <t>UNAVAILABLE</t>
        </is>
      </c>
      <c r="N755" s="5" t="inlineStr">
        <is>
          <t>Semrush phrase_these returned no data (not billed)</t>
        </is>
      </c>
      <c r="O755" t="inlineStr">
        <is>
          <t>2026-10-30</t>
        </is>
      </c>
      <c r="P755">
        <f>IF(IF(J755="NOT AVAILABLE","",J755)="",12,IF(OR(ISNUMBER(SEARCH("Transactional",IF(J755="NOT AVAILABLE","",J755))),ISNUMBER(SEARCH("Commercial",IF(J755="NOT AVAILABLE","",J755)))),25,IF(ISNUMBER(SEARCH("Informational",IF(J755="NOT AVAILABLE","",J755))),10,IF(ISNUMBER(SEARCH("Navigational",IF(J755="NOT AVAILABLE","",J755))),0,12))))</f>
        <v/>
      </c>
      <c r="Q755">
        <f>IF(ISNUMBER(F755),MIN(30,ROUND(30*LOG10(F755+1)/4,1)),0)</f>
        <v/>
      </c>
      <c r="R755">
        <f>IF(ISNUMBER(G755),ROUND(25*(100-G755)/100,1),12.5)</f>
        <v/>
      </c>
      <c r="S755" t="n">
        <v>20</v>
      </c>
      <c r="T755">
        <f>ROUND(P755+Q755+R755+S755,0)</f>
        <v/>
      </c>
      <c r="U755" s="5" t="inlineStr"/>
      <c r="V755" s="5" t="inlineStr"/>
    </row>
    <row r="756">
      <c r="A756" t="inlineStr">
        <is>
          <t>K0754</t>
        </is>
      </c>
      <c r="B756" t="inlineStr">
        <is>
          <t>site web agence de voyage maroc</t>
        </is>
      </c>
      <c r="C756" t="inlineStr">
        <is>
          <t>Morocco</t>
        </is>
      </c>
      <c r="D756" t="inlineStr">
        <is>
          <t>ma</t>
        </is>
      </c>
      <c r="E756" t="inlineStr">
        <is>
          <t>fr</t>
        </is>
      </c>
      <c r="F756" t="n">
        <v>0</v>
      </c>
      <c r="G756" t="inlineStr">
        <is>
          <t>NOT AVAILABLE</t>
        </is>
      </c>
      <c r="H756" t="n">
        <v>0</v>
      </c>
      <c r="I756" t="n">
        <v>0</v>
      </c>
      <c r="J756" t="inlineStr">
        <is>
          <t>NOT AVAILABLE</t>
        </is>
      </c>
      <c r="K756" t="inlineStr">
        <is>
          <t>NOT AVAILABLE (report not requested)</t>
        </is>
      </c>
      <c r="L756" t="inlineStr">
        <is>
          <t>flat (no data)</t>
        </is>
      </c>
      <c r="M756" t="inlineStr">
        <is>
          <t>MEASURED</t>
        </is>
      </c>
      <c r="N756" s="5" t="inlineStr">
        <is>
          <t>Semrush phrase_these (historical w3-validate-E-industries.csv)</t>
        </is>
      </c>
      <c r="O756" t="inlineStr">
        <is>
          <t>2026-10-27</t>
        </is>
      </c>
      <c r="P756">
        <f>IF(IF(J756="NOT AVAILABLE","",J756)="",12,IF(OR(ISNUMBER(SEARCH("Transactional",IF(J756="NOT AVAILABLE","",J756))),ISNUMBER(SEARCH("Commercial",IF(J756="NOT AVAILABLE","",J756)))),25,IF(ISNUMBER(SEARCH("Informational",IF(J756="NOT AVAILABLE","",J756))),10,IF(ISNUMBER(SEARCH("Navigational",IF(J756="NOT AVAILABLE","",J756))),0,12))))</f>
        <v/>
      </c>
      <c r="Q756">
        <f>IF(ISNUMBER(F756),MIN(30,ROUND(30*LOG10(F756+1)/4,1)),0)</f>
        <v/>
      </c>
      <c r="R756">
        <f>IF(ISNUMBER(G756),ROUND(25*(100-G756)/100,1),12.5)</f>
        <v/>
      </c>
      <c r="S756" t="n">
        <v>20</v>
      </c>
      <c r="T756">
        <f>ROUND(P756+Q756+R756+S756,0)</f>
        <v/>
      </c>
      <c r="U756" s="5" t="inlineStr"/>
      <c r="V756" s="5" t="inlineStr"/>
    </row>
    <row r="757">
      <c r="A757" t="inlineStr">
        <is>
          <t>K0755</t>
        </is>
      </c>
      <c r="B757" t="inlineStr">
        <is>
          <t>site web agence immobilière</t>
        </is>
      </c>
      <c r="C757" t="inlineStr">
        <is>
          <t>Morocco</t>
        </is>
      </c>
      <c r="D757" t="inlineStr">
        <is>
          <t>ma</t>
        </is>
      </c>
      <c r="E757" t="inlineStr">
        <is>
          <t>fr</t>
        </is>
      </c>
      <c r="F757" t="inlineStr">
        <is>
          <t>NOT AVAILABLE</t>
        </is>
      </c>
      <c r="G757" t="inlineStr">
        <is>
          <t>NOT AVAILABLE</t>
        </is>
      </c>
      <c r="H757" t="inlineStr">
        <is>
          <t>NOT AVAILABLE</t>
        </is>
      </c>
      <c r="I757" t="inlineStr">
        <is>
          <t>NOT AVAILABLE</t>
        </is>
      </c>
      <c r="J757" t="inlineStr">
        <is>
          <t>NOT AVAILABLE</t>
        </is>
      </c>
      <c r="K757" t="inlineStr">
        <is>
          <t>NOT AVAILABLE</t>
        </is>
      </c>
      <c r="L757" t="inlineStr">
        <is>
          <t>NOT AVAILABLE</t>
        </is>
      </c>
      <c r="M757" t="inlineStr">
        <is>
          <t>UNAVAILABLE</t>
        </is>
      </c>
      <c r="N757" s="5" t="inlineStr">
        <is>
          <t>Semrush phrase_these returned no data (not billed)</t>
        </is>
      </c>
      <c r="O757" t="inlineStr">
        <is>
          <t>2026-10-30</t>
        </is>
      </c>
      <c r="P757">
        <f>IF(IF(J757="NOT AVAILABLE","",J757)="",12,IF(OR(ISNUMBER(SEARCH("Transactional",IF(J757="NOT AVAILABLE","",J757))),ISNUMBER(SEARCH("Commercial",IF(J757="NOT AVAILABLE","",J757)))),25,IF(ISNUMBER(SEARCH("Informational",IF(J757="NOT AVAILABLE","",J757))),10,IF(ISNUMBER(SEARCH("Navigational",IF(J757="NOT AVAILABLE","",J757))),0,12))))</f>
        <v/>
      </c>
      <c r="Q757">
        <f>IF(ISNUMBER(F757),MIN(30,ROUND(30*LOG10(F757+1)/4,1)),0)</f>
        <v/>
      </c>
      <c r="R757">
        <f>IF(ISNUMBER(G757),ROUND(25*(100-G757)/100,1),12.5)</f>
        <v/>
      </c>
      <c r="S757" t="n">
        <v>20</v>
      </c>
      <c r="T757">
        <f>ROUND(P757+Q757+R757+S757,0)</f>
        <v/>
      </c>
      <c r="U757" s="5" t="inlineStr"/>
      <c r="V757" s="5" t="inlineStr"/>
    </row>
    <row r="758">
      <c r="A758" t="inlineStr">
        <is>
          <t>K0756</t>
        </is>
      </c>
      <c r="B758" t="inlineStr">
        <is>
          <t>site web agence études à l'étranger</t>
        </is>
      </c>
      <c r="C758" t="inlineStr">
        <is>
          <t>Morocco</t>
        </is>
      </c>
      <c r="D758" t="inlineStr">
        <is>
          <t>ma</t>
        </is>
      </c>
      <c r="E758" t="inlineStr">
        <is>
          <t>fr</t>
        </is>
      </c>
      <c r="F758" t="inlineStr">
        <is>
          <t>NOT AVAILABLE</t>
        </is>
      </c>
      <c r="G758" t="inlineStr">
        <is>
          <t>NOT AVAILABLE</t>
        </is>
      </c>
      <c r="H758" t="inlineStr">
        <is>
          <t>NOT AVAILABLE</t>
        </is>
      </c>
      <c r="I758" t="inlineStr">
        <is>
          <t>NOT AVAILABLE</t>
        </is>
      </c>
      <c r="J758" t="inlineStr">
        <is>
          <t>NOT AVAILABLE</t>
        </is>
      </c>
      <c r="K758" t="inlineStr">
        <is>
          <t>NOT AVAILABLE</t>
        </is>
      </c>
      <c r="L758" t="inlineStr">
        <is>
          <t>NOT AVAILABLE</t>
        </is>
      </c>
      <c r="M758" t="inlineStr">
        <is>
          <t>UNAVAILABLE</t>
        </is>
      </c>
      <c r="N758" s="5" t="inlineStr">
        <is>
          <t>Semrush phrase_these returned no data (not billed)</t>
        </is>
      </c>
      <c r="O758" t="inlineStr">
        <is>
          <t>2026-10-30</t>
        </is>
      </c>
      <c r="P758">
        <f>IF(IF(J758="NOT AVAILABLE","",J758)="",12,IF(OR(ISNUMBER(SEARCH("Transactional",IF(J758="NOT AVAILABLE","",J758))),ISNUMBER(SEARCH("Commercial",IF(J758="NOT AVAILABLE","",J758)))),25,IF(ISNUMBER(SEARCH("Informational",IF(J758="NOT AVAILABLE","",J758))),10,IF(ISNUMBER(SEARCH("Navigational",IF(J758="NOT AVAILABLE","",J758))),0,12))))</f>
        <v/>
      </c>
      <c r="Q758">
        <f>IF(ISNUMBER(F758),MIN(30,ROUND(30*LOG10(F758+1)/4,1)),0)</f>
        <v/>
      </c>
      <c r="R758">
        <f>IF(ISNUMBER(G758),ROUND(25*(100-G758)/100,1),12.5)</f>
        <v/>
      </c>
      <c r="S758" t="n">
        <v>20</v>
      </c>
      <c r="T758">
        <f>ROUND(P758+Q758+R758+S758,0)</f>
        <v/>
      </c>
      <c r="U758" s="5" t="inlineStr"/>
      <c r="V758" s="5" t="inlineStr"/>
    </row>
    <row r="759">
      <c r="A759" t="inlineStr">
        <is>
          <t>K0757</t>
        </is>
      </c>
      <c r="B759" t="inlineStr">
        <is>
          <t>site web auto-entrepreneur maroc</t>
        </is>
      </c>
      <c r="C759" t="inlineStr">
        <is>
          <t>Morocco</t>
        </is>
      </c>
      <c r="D759" t="inlineStr">
        <is>
          <t>ma</t>
        </is>
      </c>
      <c r="E759" t="inlineStr">
        <is>
          <t>fr</t>
        </is>
      </c>
      <c r="F759" t="n">
        <v>0</v>
      </c>
      <c r="G759" t="inlineStr">
        <is>
          <t>NOT AVAILABLE</t>
        </is>
      </c>
      <c r="H759" t="n">
        <v>0</v>
      </c>
      <c r="I759" t="n">
        <v>0</v>
      </c>
      <c r="J759" t="inlineStr">
        <is>
          <t>NOT AVAILABLE</t>
        </is>
      </c>
      <c r="K759" t="inlineStr">
        <is>
          <t>NOT AVAILABLE (report not requested)</t>
        </is>
      </c>
      <c r="L759" t="inlineStr">
        <is>
          <t>flat (no data)</t>
        </is>
      </c>
      <c r="M759" t="inlineStr">
        <is>
          <t>MEASURED</t>
        </is>
      </c>
      <c r="N759" s="5" t="inlineStr">
        <is>
          <t>Semrush phrase_these (historical w3-validate-E-industries.csv)</t>
        </is>
      </c>
      <c r="O759" t="inlineStr">
        <is>
          <t>2026-10-27</t>
        </is>
      </c>
      <c r="P759">
        <f>IF(IF(J759="NOT AVAILABLE","",J759)="",12,IF(OR(ISNUMBER(SEARCH("Transactional",IF(J759="NOT AVAILABLE","",J759))),ISNUMBER(SEARCH("Commercial",IF(J759="NOT AVAILABLE","",J759)))),25,IF(ISNUMBER(SEARCH("Informational",IF(J759="NOT AVAILABLE","",J759))),10,IF(ISNUMBER(SEARCH("Navigational",IF(J759="NOT AVAILABLE","",J759))),0,12))))</f>
        <v/>
      </c>
      <c r="Q759">
        <f>IF(ISNUMBER(F759),MIN(30,ROUND(30*LOG10(F759+1)/4,1)),0)</f>
        <v/>
      </c>
      <c r="R759">
        <f>IF(ISNUMBER(G759),ROUND(25*(100-G759)/100,1),12.5)</f>
        <v/>
      </c>
      <c r="S759" t="n">
        <v>20</v>
      </c>
      <c r="T759">
        <f>ROUND(P759+Q759+R759+S759,0)</f>
        <v/>
      </c>
      <c r="U759" s="5" t="inlineStr"/>
      <c r="V759" s="5" t="inlineStr"/>
    </row>
    <row r="760">
      <c r="A760" t="inlineStr">
        <is>
          <t>K0758</t>
        </is>
      </c>
      <c r="B760" t="inlineStr">
        <is>
          <t>site web cabinet immigration</t>
        </is>
      </c>
      <c r="C760" t="inlineStr">
        <is>
          <t>Morocco</t>
        </is>
      </c>
      <c r="D760" t="inlineStr">
        <is>
          <t>ma</t>
        </is>
      </c>
      <c r="E760" t="inlineStr">
        <is>
          <t>fr</t>
        </is>
      </c>
      <c r="F760" t="inlineStr">
        <is>
          <t>NOT AVAILABLE</t>
        </is>
      </c>
      <c r="G760" t="inlineStr">
        <is>
          <t>NOT AVAILABLE</t>
        </is>
      </c>
      <c r="H760" t="inlineStr">
        <is>
          <t>NOT AVAILABLE</t>
        </is>
      </c>
      <c r="I760" t="inlineStr">
        <is>
          <t>NOT AVAILABLE</t>
        </is>
      </c>
      <c r="J760" t="inlineStr">
        <is>
          <t>NOT AVAILABLE</t>
        </is>
      </c>
      <c r="K760" t="inlineStr">
        <is>
          <t>NOT AVAILABLE</t>
        </is>
      </c>
      <c r="L760" t="inlineStr">
        <is>
          <t>NOT AVAILABLE</t>
        </is>
      </c>
      <c r="M760" t="inlineStr">
        <is>
          <t>UNAVAILABLE</t>
        </is>
      </c>
      <c r="N760" s="5" t="inlineStr">
        <is>
          <t>Semrush phrase_these returned no data (not billed)</t>
        </is>
      </c>
      <c r="O760" t="inlineStr">
        <is>
          <t>2026-10-30</t>
        </is>
      </c>
      <c r="P760">
        <f>IF(IF(J760="NOT AVAILABLE","",J760)="",12,IF(OR(ISNUMBER(SEARCH("Transactional",IF(J760="NOT AVAILABLE","",J760))),ISNUMBER(SEARCH("Commercial",IF(J760="NOT AVAILABLE","",J760)))),25,IF(ISNUMBER(SEARCH("Informational",IF(J760="NOT AVAILABLE","",J760))),10,IF(ISNUMBER(SEARCH("Navigational",IF(J760="NOT AVAILABLE","",J760))),0,12))))</f>
        <v/>
      </c>
      <c r="Q760">
        <f>IF(ISNUMBER(F760),MIN(30,ROUND(30*LOG10(F760+1)/4,1)),0)</f>
        <v/>
      </c>
      <c r="R760">
        <f>IF(ISNUMBER(G760),ROUND(25*(100-G760)/100,1),12.5)</f>
        <v/>
      </c>
      <c r="S760" t="n">
        <v>20</v>
      </c>
      <c r="T760">
        <f>ROUND(P760+Q760+R760+S760,0)</f>
        <v/>
      </c>
      <c r="U760" s="5" t="inlineStr"/>
      <c r="V760" s="5" t="inlineStr"/>
    </row>
    <row r="761">
      <c r="A761" t="inlineStr">
        <is>
          <t>K0759</t>
        </is>
      </c>
      <c r="B761" t="inlineStr">
        <is>
          <t>site web cabinet médical</t>
        </is>
      </c>
      <c r="C761" t="inlineStr">
        <is>
          <t>Morocco</t>
        </is>
      </c>
      <c r="D761" t="inlineStr">
        <is>
          <t>ma</t>
        </is>
      </c>
      <c r="E761" t="inlineStr">
        <is>
          <t>fr</t>
        </is>
      </c>
      <c r="F761" t="inlineStr">
        <is>
          <t>NOT AVAILABLE</t>
        </is>
      </c>
      <c r="G761" t="inlineStr">
        <is>
          <t>NOT AVAILABLE</t>
        </is>
      </c>
      <c r="H761" t="inlineStr">
        <is>
          <t>NOT AVAILABLE</t>
        </is>
      </c>
      <c r="I761" t="inlineStr">
        <is>
          <t>NOT AVAILABLE</t>
        </is>
      </c>
      <c r="J761" t="inlineStr">
        <is>
          <t>NOT AVAILABLE</t>
        </is>
      </c>
      <c r="K761" t="inlineStr">
        <is>
          <t>NOT AVAILABLE</t>
        </is>
      </c>
      <c r="L761" t="inlineStr">
        <is>
          <t>NOT AVAILABLE</t>
        </is>
      </c>
      <c r="M761" t="inlineStr">
        <is>
          <t>UNAVAILABLE</t>
        </is>
      </c>
      <c r="N761" s="5" t="inlineStr">
        <is>
          <t>Semrush phrase_these returned no data (not billed)</t>
        </is>
      </c>
      <c r="O761" t="inlineStr">
        <is>
          <t>2026-10-30</t>
        </is>
      </c>
      <c r="P761">
        <f>IF(IF(J761="NOT AVAILABLE","",J761)="",12,IF(OR(ISNUMBER(SEARCH("Transactional",IF(J761="NOT AVAILABLE","",J761))),ISNUMBER(SEARCH("Commercial",IF(J761="NOT AVAILABLE","",J761)))),25,IF(ISNUMBER(SEARCH("Informational",IF(J761="NOT AVAILABLE","",J761))),10,IF(ISNUMBER(SEARCH("Navigational",IF(J761="NOT AVAILABLE","",J761))),0,12))))</f>
        <v/>
      </c>
      <c r="Q761">
        <f>IF(ISNUMBER(F761),MIN(30,ROUND(30*LOG10(F761+1)/4,1)),0)</f>
        <v/>
      </c>
      <c r="R761">
        <f>IF(ISNUMBER(G761),ROUND(25*(100-G761)/100,1),12.5)</f>
        <v/>
      </c>
      <c r="S761" t="n">
        <v>20</v>
      </c>
      <c r="T761">
        <f>ROUND(P761+Q761+R761+S761,0)</f>
        <v/>
      </c>
      <c r="U761" s="5" t="inlineStr"/>
      <c r="V761" s="5" t="inlineStr"/>
    </row>
    <row r="762">
      <c r="A762" t="inlineStr">
        <is>
          <t>K0760</t>
        </is>
      </c>
      <c r="B762" t="inlineStr">
        <is>
          <t>site web clinique</t>
        </is>
      </c>
      <c r="C762" t="inlineStr">
        <is>
          <t>Morocco</t>
        </is>
      </c>
      <c r="D762" t="inlineStr">
        <is>
          <t>ma</t>
        </is>
      </c>
      <c r="E762" t="inlineStr">
        <is>
          <t>fr</t>
        </is>
      </c>
      <c r="F762" t="inlineStr">
        <is>
          <t>NOT AVAILABLE</t>
        </is>
      </c>
      <c r="G762" t="inlineStr">
        <is>
          <t>NOT AVAILABLE</t>
        </is>
      </c>
      <c r="H762" t="inlineStr">
        <is>
          <t>NOT AVAILABLE</t>
        </is>
      </c>
      <c r="I762" t="inlineStr">
        <is>
          <t>NOT AVAILABLE</t>
        </is>
      </c>
      <c r="J762" t="inlineStr">
        <is>
          <t>NOT AVAILABLE</t>
        </is>
      </c>
      <c r="K762" t="inlineStr">
        <is>
          <t>NOT AVAILABLE</t>
        </is>
      </c>
      <c r="L762" t="inlineStr">
        <is>
          <t>NOT AVAILABLE</t>
        </is>
      </c>
      <c r="M762" t="inlineStr">
        <is>
          <t>UNAVAILABLE</t>
        </is>
      </c>
      <c r="N762" s="5" t="inlineStr">
        <is>
          <t>Semrush phrase_these returned no data (not billed)</t>
        </is>
      </c>
      <c r="O762" t="inlineStr">
        <is>
          <t>2026-10-30</t>
        </is>
      </c>
      <c r="P762">
        <f>IF(IF(J762="NOT AVAILABLE","",J762)="",12,IF(OR(ISNUMBER(SEARCH("Transactional",IF(J762="NOT AVAILABLE","",J762))),ISNUMBER(SEARCH("Commercial",IF(J762="NOT AVAILABLE","",J762)))),25,IF(ISNUMBER(SEARCH("Informational",IF(J762="NOT AVAILABLE","",J762))),10,IF(ISNUMBER(SEARCH("Navigational",IF(J762="NOT AVAILABLE","",J762))),0,12))))</f>
        <v/>
      </c>
      <c r="Q762">
        <f>IF(ISNUMBER(F762),MIN(30,ROUND(30*LOG10(F762+1)/4,1)),0)</f>
        <v/>
      </c>
      <c r="R762">
        <f>IF(ISNUMBER(G762),ROUND(25*(100-G762)/100,1),12.5)</f>
        <v/>
      </c>
      <c r="S762" t="n">
        <v>20</v>
      </c>
      <c r="T762">
        <f>ROUND(P762+Q762+R762+S762,0)</f>
        <v/>
      </c>
      <c r="U762" s="5" t="inlineStr"/>
      <c r="V762" s="5" t="inlineStr"/>
    </row>
    <row r="763">
      <c r="A763" t="inlineStr">
        <is>
          <t>K0761</t>
        </is>
      </c>
      <c r="B763" t="inlineStr">
        <is>
          <t>site web clinique maroc</t>
        </is>
      </c>
      <c r="C763" t="inlineStr">
        <is>
          <t>Morocco</t>
        </is>
      </c>
      <c r="D763" t="inlineStr">
        <is>
          <t>ma</t>
        </is>
      </c>
      <c r="E763" t="inlineStr">
        <is>
          <t>fr</t>
        </is>
      </c>
      <c r="F763" t="inlineStr">
        <is>
          <t>NOT AVAILABLE</t>
        </is>
      </c>
      <c r="G763" t="inlineStr">
        <is>
          <t>NOT AVAILABLE</t>
        </is>
      </c>
      <c r="H763" t="inlineStr">
        <is>
          <t>NOT AVAILABLE</t>
        </is>
      </c>
      <c r="I763" t="inlineStr">
        <is>
          <t>NOT AVAILABLE</t>
        </is>
      </c>
      <c r="J763" t="inlineStr">
        <is>
          <t>NOT AVAILABLE</t>
        </is>
      </c>
      <c r="K763" t="inlineStr">
        <is>
          <t>NOT AVAILABLE</t>
        </is>
      </c>
      <c r="L763" t="inlineStr">
        <is>
          <t>NOT AVAILABLE</t>
        </is>
      </c>
      <c r="M763" t="inlineStr">
        <is>
          <t>UNAVAILABLE</t>
        </is>
      </c>
      <c r="N763" s="5" t="inlineStr">
        <is>
          <t>Semrush phrase_these returned no data (not billed)</t>
        </is>
      </c>
      <c r="O763" t="inlineStr">
        <is>
          <t>2026-10-30</t>
        </is>
      </c>
      <c r="P763">
        <f>IF(IF(J763="NOT AVAILABLE","",J763)="",12,IF(OR(ISNUMBER(SEARCH("Transactional",IF(J763="NOT AVAILABLE","",J763))),ISNUMBER(SEARCH("Commercial",IF(J763="NOT AVAILABLE","",J763)))),25,IF(ISNUMBER(SEARCH("Informational",IF(J763="NOT AVAILABLE","",J763))),10,IF(ISNUMBER(SEARCH("Navigational",IF(J763="NOT AVAILABLE","",J763))),0,12))))</f>
        <v/>
      </c>
      <c r="Q763">
        <f>IF(ISNUMBER(F763),MIN(30,ROUND(30*LOG10(F763+1)/4,1)),0)</f>
        <v/>
      </c>
      <c r="R763">
        <f>IF(ISNUMBER(G763),ROUND(25*(100-G763)/100,1),12.5)</f>
        <v/>
      </c>
      <c r="S763" t="n">
        <v>20</v>
      </c>
      <c r="T763">
        <f>ROUND(P763+Q763+R763+S763,0)</f>
        <v/>
      </c>
      <c r="U763" s="5" t="inlineStr"/>
      <c r="V763" s="5" t="inlineStr"/>
    </row>
    <row r="764">
      <c r="A764" t="inlineStr">
        <is>
          <t>K0762</t>
        </is>
      </c>
      <c r="B764" t="inlineStr">
        <is>
          <t>site web finance</t>
        </is>
      </c>
      <c r="C764" t="inlineStr">
        <is>
          <t>Morocco</t>
        </is>
      </c>
      <c r="D764" t="inlineStr">
        <is>
          <t>ma</t>
        </is>
      </c>
      <c r="E764" t="inlineStr">
        <is>
          <t>fr</t>
        </is>
      </c>
      <c r="F764" t="inlineStr">
        <is>
          <t>NOT AVAILABLE</t>
        </is>
      </c>
      <c r="G764" t="inlineStr">
        <is>
          <t>NOT AVAILABLE</t>
        </is>
      </c>
      <c r="H764" t="inlineStr">
        <is>
          <t>NOT AVAILABLE</t>
        </is>
      </c>
      <c r="I764" t="inlineStr">
        <is>
          <t>NOT AVAILABLE</t>
        </is>
      </c>
      <c r="J764" t="inlineStr">
        <is>
          <t>NOT AVAILABLE</t>
        </is>
      </c>
      <c r="K764" t="inlineStr">
        <is>
          <t>NOT AVAILABLE</t>
        </is>
      </c>
      <c r="L764" t="inlineStr">
        <is>
          <t>NOT AVAILABLE</t>
        </is>
      </c>
      <c r="M764" t="inlineStr">
        <is>
          <t>UNAVAILABLE</t>
        </is>
      </c>
      <c r="N764" s="5" t="inlineStr">
        <is>
          <t>Semrush phrase_these returned no data (not billed)</t>
        </is>
      </c>
      <c r="O764" t="inlineStr">
        <is>
          <t>2026-10-30</t>
        </is>
      </c>
      <c r="P764">
        <f>IF(IF(J764="NOT AVAILABLE","",J764)="",12,IF(OR(ISNUMBER(SEARCH("Transactional",IF(J764="NOT AVAILABLE","",J764))),ISNUMBER(SEARCH("Commercial",IF(J764="NOT AVAILABLE","",J764)))),25,IF(ISNUMBER(SEARCH("Informational",IF(J764="NOT AVAILABLE","",J764))),10,IF(ISNUMBER(SEARCH("Navigational",IF(J764="NOT AVAILABLE","",J764))),0,12))))</f>
        <v/>
      </c>
      <c r="Q764">
        <f>IF(ISNUMBER(F764),MIN(30,ROUND(30*LOG10(F764+1)/4,1)),0)</f>
        <v/>
      </c>
      <c r="R764">
        <f>IF(ISNUMBER(G764),ROUND(25*(100-G764)/100,1),12.5)</f>
        <v/>
      </c>
      <c r="S764" t="n">
        <v>20</v>
      </c>
      <c r="T764">
        <f>ROUND(P764+Q764+R764+S764,0)</f>
        <v/>
      </c>
      <c r="U764" s="5" t="inlineStr"/>
      <c r="V764" s="5" t="inlineStr"/>
    </row>
    <row r="765">
      <c r="A765" t="inlineStr">
        <is>
          <t>K0763</t>
        </is>
      </c>
      <c r="B765" t="inlineStr">
        <is>
          <t>site web fintech</t>
        </is>
      </c>
      <c r="C765" t="inlineStr">
        <is>
          <t>Morocco</t>
        </is>
      </c>
      <c r="D765" t="inlineStr">
        <is>
          <t>ma</t>
        </is>
      </c>
      <c r="E765" t="inlineStr">
        <is>
          <t>fr</t>
        </is>
      </c>
      <c r="F765" t="inlineStr">
        <is>
          <t>NOT AVAILABLE</t>
        </is>
      </c>
      <c r="G765" t="inlineStr">
        <is>
          <t>NOT AVAILABLE</t>
        </is>
      </c>
      <c r="H765" t="inlineStr">
        <is>
          <t>NOT AVAILABLE</t>
        </is>
      </c>
      <c r="I765" t="inlineStr">
        <is>
          <t>NOT AVAILABLE</t>
        </is>
      </c>
      <c r="J765" t="inlineStr">
        <is>
          <t>NOT AVAILABLE</t>
        </is>
      </c>
      <c r="K765" t="inlineStr">
        <is>
          <t>NOT AVAILABLE</t>
        </is>
      </c>
      <c r="L765" t="inlineStr">
        <is>
          <t>NOT AVAILABLE</t>
        </is>
      </c>
      <c r="M765" t="inlineStr">
        <is>
          <t>UNAVAILABLE</t>
        </is>
      </c>
      <c r="N765" s="5" t="inlineStr">
        <is>
          <t>Semrush phrase_these returned no data (not billed)</t>
        </is>
      </c>
      <c r="O765" t="inlineStr">
        <is>
          <t>2026-10-30</t>
        </is>
      </c>
      <c r="P765">
        <f>IF(IF(J765="NOT AVAILABLE","",J765)="",12,IF(OR(ISNUMBER(SEARCH("Transactional",IF(J765="NOT AVAILABLE","",J765))),ISNUMBER(SEARCH("Commercial",IF(J765="NOT AVAILABLE","",J765)))),25,IF(ISNUMBER(SEARCH("Informational",IF(J765="NOT AVAILABLE","",J765))),10,IF(ISNUMBER(SEARCH("Navigational",IF(J765="NOT AVAILABLE","",J765))),0,12))))</f>
        <v/>
      </c>
      <c r="Q765">
        <f>IF(ISNUMBER(F765),MIN(30,ROUND(30*LOG10(F765+1)/4,1)),0)</f>
        <v/>
      </c>
      <c r="R765">
        <f>IF(ISNUMBER(G765),ROUND(25*(100-G765)/100,1),12.5)</f>
        <v/>
      </c>
      <c r="S765" t="n">
        <v>20</v>
      </c>
      <c r="T765">
        <f>ROUND(P765+Q765+R765+S765,0)</f>
        <v/>
      </c>
      <c r="U765" s="5" t="inlineStr"/>
      <c r="V765" s="5" t="inlineStr"/>
    </row>
    <row r="766">
      <c r="A766" t="inlineStr">
        <is>
          <t>K0764</t>
        </is>
      </c>
      <c r="B766" t="inlineStr">
        <is>
          <t>site web immobilier maroc</t>
        </is>
      </c>
      <c r="C766" t="inlineStr">
        <is>
          <t>Morocco</t>
        </is>
      </c>
      <c r="D766" t="inlineStr">
        <is>
          <t>ma</t>
        </is>
      </c>
      <c r="E766" t="inlineStr">
        <is>
          <t>fr</t>
        </is>
      </c>
      <c r="F766" t="n">
        <v>0</v>
      </c>
      <c r="G766" t="inlineStr">
        <is>
          <t>NOT AVAILABLE</t>
        </is>
      </c>
      <c r="H766" t="n">
        <v>0</v>
      </c>
      <c r="I766" t="n">
        <v>0</v>
      </c>
      <c r="J766" t="inlineStr">
        <is>
          <t>NOT AVAILABLE</t>
        </is>
      </c>
      <c r="K766" t="inlineStr">
        <is>
          <t>NOT AVAILABLE (report not requested)</t>
        </is>
      </c>
      <c r="L766" t="inlineStr">
        <is>
          <t>flat (no data)</t>
        </is>
      </c>
      <c r="M766" t="inlineStr">
        <is>
          <t>MEASURED</t>
        </is>
      </c>
      <c r="N766" s="5" t="inlineStr">
        <is>
          <t>Semrush phrase_these (live, this session)</t>
        </is>
      </c>
      <c r="O766" t="inlineStr">
        <is>
          <t>2026-10-30</t>
        </is>
      </c>
      <c r="P766">
        <f>IF(IF(J766="NOT AVAILABLE","",J766)="",12,IF(OR(ISNUMBER(SEARCH("Transactional",IF(J766="NOT AVAILABLE","",J766))),ISNUMBER(SEARCH("Commercial",IF(J766="NOT AVAILABLE","",J766)))),25,IF(ISNUMBER(SEARCH("Informational",IF(J766="NOT AVAILABLE","",J766))),10,IF(ISNUMBER(SEARCH("Navigational",IF(J766="NOT AVAILABLE","",J766))),0,12))))</f>
        <v/>
      </c>
      <c r="Q766">
        <f>IF(ISNUMBER(F766),MIN(30,ROUND(30*LOG10(F766+1)/4,1)),0)</f>
        <v/>
      </c>
      <c r="R766">
        <f>IF(ISNUMBER(G766),ROUND(25*(100-G766)/100,1),12.5)</f>
        <v/>
      </c>
      <c r="S766" t="n">
        <v>20</v>
      </c>
      <c r="T766">
        <f>ROUND(P766+Q766+R766+S766,0)</f>
        <v/>
      </c>
      <c r="U766" s="5" t="inlineStr"/>
      <c r="V766" s="5" t="inlineStr"/>
    </row>
    <row r="767">
      <c r="A767" t="inlineStr">
        <is>
          <t>K0765</t>
        </is>
      </c>
      <c r="B767" t="inlineStr">
        <is>
          <t>site web médecin maroc</t>
        </is>
      </c>
      <c r="C767" t="inlineStr">
        <is>
          <t>Morocco</t>
        </is>
      </c>
      <c r="D767" t="inlineStr">
        <is>
          <t>ma</t>
        </is>
      </c>
      <c r="E767" t="inlineStr">
        <is>
          <t>fr</t>
        </is>
      </c>
      <c r="F767" t="inlineStr">
        <is>
          <t>NOT AVAILABLE</t>
        </is>
      </c>
      <c r="G767" t="inlineStr">
        <is>
          <t>NOT AVAILABLE</t>
        </is>
      </c>
      <c r="H767" t="inlineStr">
        <is>
          <t>NOT AVAILABLE</t>
        </is>
      </c>
      <c r="I767" t="inlineStr">
        <is>
          <t>NOT AVAILABLE</t>
        </is>
      </c>
      <c r="J767" t="inlineStr">
        <is>
          <t>NOT AVAILABLE</t>
        </is>
      </c>
      <c r="K767" t="inlineStr">
        <is>
          <t>NOT AVAILABLE</t>
        </is>
      </c>
      <c r="L767" t="inlineStr">
        <is>
          <t>NOT AVAILABLE</t>
        </is>
      </c>
      <c r="M767" t="inlineStr">
        <is>
          <t>UNAVAILABLE</t>
        </is>
      </c>
      <c r="N767" s="5" t="inlineStr">
        <is>
          <t>Semrush phrase_these returned no data (not billed)</t>
        </is>
      </c>
      <c r="O767" t="inlineStr">
        <is>
          <t>2026-10-30</t>
        </is>
      </c>
      <c r="P767">
        <f>IF(IF(J767="NOT AVAILABLE","",J767)="",12,IF(OR(ISNUMBER(SEARCH("Transactional",IF(J767="NOT AVAILABLE","",J767))),ISNUMBER(SEARCH("Commercial",IF(J767="NOT AVAILABLE","",J767)))),25,IF(ISNUMBER(SEARCH("Informational",IF(J767="NOT AVAILABLE","",J767))),10,IF(ISNUMBER(SEARCH("Navigational",IF(J767="NOT AVAILABLE","",J767))),0,12))))</f>
        <v/>
      </c>
      <c r="Q767">
        <f>IF(ISNUMBER(F767),MIN(30,ROUND(30*LOG10(F767+1)/4,1)),0)</f>
        <v/>
      </c>
      <c r="R767">
        <f>IF(ISNUMBER(G767),ROUND(25*(100-G767)/100,1),12.5)</f>
        <v/>
      </c>
      <c r="S767" t="n">
        <v>20</v>
      </c>
      <c r="T767">
        <f>ROUND(P767+Q767+R767+S767,0)</f>
        <v/>
      </c>
      <c r="U767" s="5" t="inlineStr"/>
      <c r="V767" s="5" t="inlineStr"/>
    </row>
    <row r="768">
      <c r="A768" t="inlineStr">
        <is>
          <t>K0766</t>
        </is>
      </c>
      <c r="B768" t="inlineStr">
        <is>
          <t>site web médical</t>
        </is>
      </c>
      <c r="C768" t="inlineStr">
        <is>
          <t>Morocco</t>
        </is>
      </c>
      <c r="D768" t="inlineStr">
        <is>
          <t>ma</t>
        </is>
      </c>
      <c r="E768" t="inlineStr">
        <is>
          <t>fr</t>
        </is>
      </c>
      <c r="F768" t="inlineStr">
        <is>
          <t>NOT AVAILABLE</t>
        </is>
      </c>
      <c r="G768" t="inlineStr">
        <is>
          <t>NOT AVAILABLE</t>
        </is>
      </c>
      <c r="H768" t="inlineStr">
        <is>
          <t>NOT AVAILABLE</t>
        </is>
      </c>
      <c r="I768" t="inlineStr">
        <is>
          <t>NOT AVAILABLE</t>
        </is>
      </c>
      <c r="J768" t="inlineStr">
        <is>
          <t>NOT AVAILABLE</t>
        </is>
      </c>
      <c r="K768" t="inlineStr">
        <is>
          <t>NOT AVAILABLE</t>
        </is>
      </c>
      <c r="L768" t="inlineStr">
        <is>
          <t>NOT AVAILABLE</t>
        </is>
      </c>
      <c r="M768" t="inlineStr">
        <is>
          <t>UNAVAILABLE</t>
        </is>
      </c>
      <c r="N768" s="5" t="inlineStr">
        <is>
          <t>Semrush phrase_these returned no data (not billed)</t>
        </is>
      </c>
      <c r="O768" t="inlineStr">
        <is>
          <t>2026-10-30</t>
        </is>
      </c>
      <c r="P768">
        <f>IF(IF(J768="NOT AVAILABLE","",J768)="",12,IF(OR(ISNUMBER(SEARCH("Transactional",IF(J768="NOT AVAILABLE","",J768))),ISNUMBER(SEARCH("Commercial",IF(J768="NOT AVAILABLE","",J768)))),25,IF(ISNUMBER(SEARCH("Informational",IF(J768="NOT AVAILABLE","",J768))),10,IF(ISNUMBER(SEARCH("Navigational",IF(J768="NOT AVAILABLE","",J768))),0,12))))</f>
        <v/>
      </c>
      <c r="Q768">
        <f>IF(ISNUMBER(F768),MIN(30,ROUND(30*LOG10(F768+1)/4,1)),0)</f>
        <v/>
      </c>
      <c r="R768">
        <f>IF(ISNUMBER(G768),ROUND(25*(100-G768)/100,1),12.5)</f>
        <v/>
      </c>
      <c r="S768" t="n">
        <v>20</v>
      </c>
      <c r="T768">
        <f>ROUND(P768+Q768+R768+S768,0)</f>
        <v/>
      </c>
      <c r="U768" s="5" t="inlineStr"/>
      <c r="V768" s="5" t="inlineStr"/>
    </row>
    <row r="769">
      <c r="A769" t="inlineStr">
        <is>
          <t>K0767</t>
        </is>
      </c>
      <c r="B769" t="inlineStr">
        <is>
          <t>site web restaurant maroc</t>
        </is>
      </c>
      <c r="C769" t="inlineStr">
        <is>
          <t>Morocco</t>
        </is>
      </c>
      <c r="D769" t="inlineStr">
        <is>
          <t>ma</t>
        </is>
      </c>
      <c r="E769" t="inlineStr">
        <is>
          <t>fr</t>
        </is>
      </c>
      <c r="F769" t="inlineStr">
        <is>
          <t>NOT AVAILABLE</t>
        </is>
      </c>
      <c r="G769" t="inlineStr">
        <is>
          <t>NOT AVAILABLE</t>
        </is>
      </c>
      <c r="H769" t="inlineStr">
        <is>
          <t>NOT AVAILABLE</t>
        </is>
      </c>
      <c r="I769" t="inlineStr">
        <is>
          <t>NOT AVAILABLE</t>
        </is>
      </c>
      <c r="J769" t="inlineStr">
        <is>
          <t>NOT AVAILABLE</t>
        </is>
      </c>
      <c r="K769" t="inlineStr">
        <is>
          <t>NOT AVAILABLE</t>
        </is>
      </c>
      <c r="L769" t="inlineStr">
        <is>
          <t>NOT AVAILABLE</t>
        </is>
      </c>
      <c r="M769" t="inlineStr">
        <is>
          <t>UNAVAILABLE</t>
        </is>
      </c>
      <c r="N769" s="5" t="inlineStr">
        <is>
          <t>Semrush phrase_these returned no data (not billed)</t>
        </is>
      </c>
      <c r="O769" t="inlineStr">
        <is>
          <t>2026-10-30</t>
        </is>
      </c>
      <c r="P769">
        <f>IF(IF(J769="NOT AVAILABLE","",J769)="",12,IF(OR(ISNUMBER(SEARCH("Transactional",IF(J769="NOT AVAILABLE","",J769))),ISNUMBER(SEARCH("Commercial",IF(J769="NOT AVAILABLE","",J769)))),25,IF(ISNUMBER(SEARCH("Informational",IF(J769="NOT AVAILABLE","",J769))),10,IF(ISNUMBER(SEARCH("Navigational",IF(J769="NOT AVAILABLE","",J769))),0,12))))</f>
        <v/>
      </c>
      <c r="Q769">
        <f>IF(ISNUMBER(F769),MIN(30,ROUND(30*LOG10(F769+1)/4,1)),0)</f>
        <v/>
      </c>
      <c r="R769">
        <f>IF(ISNUMBER(G769),ROUND(25*(100-G769)/100,1),12.5)</f>
        <v/>
      </c>
      <c r="S769" t="n">
        <v>20</v>
      </c>
      <c r="T769">
        <f>ROUND(P769+Q769+R769+S769,0)</f>
        <v/>
      </c>
      <c r="U769" s="5" t="inlineStr"/>
      <c r="V769" s="5" t="inlineStr"/>
    </row>
    <row r="770">
      <c r="A770" t="inlineStr">
        <is>
          <t>K0768</t>
        </is>
      </c>
      <c r="B770" t="inlineStr">
        <is>
          <t>site web santé</t>
        </is>
      </c>
      <c r="C770" t="inlineStr">
        <is>
          <t>Morocco</t>
        </is>
      </c>
      <c r="D770" t="inlineStr">
        <is>
          <t>ma</t>
        </is>
      </c>
      <c r="E770" t="inlineStr">
        <is>
          <t>fr</t>
        </is>
      </c>
      <c r="F770" t="n">
        <v>0</v>
      </c>
      <c r="G770" t="inlineStr">
        <is>
          <t>NOT AVAILABLE</t>
        </is>
      </c>
      <c r="H770" t="n">
        <v>0</v>
      </c>
      <c r="I770" t="n">
        <v>0</v>
      </c>
      <c r="J770" t="inlineStr">
        <is>
          <t>NOT AVAILABLE</t>
        </is>
      </c>
      <c r="K770" t="inlineStr">
        <is>
          <t>NOT AVAILABLE (report not requested)</t>
        </is>
      </c>
      <c r="L770" t="inlineStr">
        <is>
          <t>flat (no data)</t>
        </is>
      </c>
      <c r="M770" t="inlineStr">
        <is>
          <t>MEASURED</t>
        </is>
      </c>
      <c r="N770" s="5" t="inlineStr">
        <is>
          <t>Semrush phrase_these (live, this session)</t>
        </is>
      </c>
      <c r="O770" t="inlineStr">
        <is>
          <t>2026-10-30</t>
        </is>
      </c>
      <c r="P770">
        <f>IF(IF(J770="NOT AVAILABLE","",J770)="",12,IF(OR(ISNUMBER(SEARCH("Transactional",IF(J770="NOT AVAILABLE","",J770))),ISNUMBER(SEARCH("Commercial",IF(J770="NOT AVAILABLE","",J770)))),25,IF(ISNUMBER(SEARCH("Informational",IF(J770="NOT AVAILABLE","",J770))),10,IF(ISNUMBER(SEARCH("Navigational",IF(J770="NOT AVAILABLE","",J770))),0,12))))</f>
        <v/>
      </c>
      <c r="Q770">
        <f>IF(ISNUMBER(F770),MIN(30,ROUND(30*LOG10(F770+1)/4,1)),0)</f>
        <v/>
      </c>
      <c r="R770">
        <f>IF(ISNUMBER(G770),ROUND(25*(100-G770)/100,1),12.5)</f>
        <v/>
      </c>
      <c r="S770" t="n">
        <v>20</v>
      </c>
      <c r="T770">
        <f>ROUND(P770+Q770+R770+S770,0)</f>
        <v/>
      </c>
      <c r="U770" s="5" t="inlineStr"/>
      <c r="V770" s="5" t="inlineStr"/>
    </row>
    <row r="771">
      <c r="A771" t="inlineStr">
        <is>
          <t>K0769</t>
        </is>
      </c>
      <c r="B771" t="inlineStr">
        <is>
          <t>site web école</t>
        </is>
      </c>
      <c r="C771" t="inlineStr">
        <is>
          <t>Morocco</t>
        </is>
      </c>
      <c r="D771" t="inlineStr">
        <is>
          <t>ma</t>
        </is>
      </c>
      <c r="E771" t="inlineStr">
        <is>
          <t>fr</t>
        </is>
      </c>
      <c r="F771" t="inlineStr">
        <is>
          <t>NOT AVAILABLE</t>
        </is>
      </c>
      <c r="G771" t="inlineStr">
        <is>
          <t>NOT AVAILABLE</t>
        </is>
      </c>
      <c r="H771" t="inlineStr">
        <is>
          <t>NOT AVAILABLE</t>
        </is>
      </c>
      <c r="I771" t="inlineStr">
        <is>
          <t>NOT AVAILABLE</t>
        </is>
      </c>
      <c r="J771" t="inlineStr">
        <is>
          <t>NOT AVAILABLE</t>
        </is>
      </c>
      <c r="K771" t="inlineStr">
        <is>
          <t>NOT AVAILABLE</t>
        </is>
      </c>
      <c r="L771" t="inlineStr">
        <is>
          <t>NOT AVAILABLE</t>
        </is>
      </c>
      <c r="M771" t="inlineStr">
        <is>
          <t>UNAVAILABLE</t>
        </is>
      </c>
      <c r="N771" s="5" t="inlineStr">
        <is>
          <t>Semrush phrase_these returned no data (not billed)</t>
        </is>
      </c>
      <c r="O771" t="inlineStr">
        <is>
          <t>2026-10-30</t>
        </is>
      </c>
      <c r="P771">
        <f>IF(IF(J771="NOT AVAILABLE","",J771)="",12,IF(OR(ISNUMBER(SEARCH("Transactional",IF(J771="NOT AVAILABLE","",J771))),ISNUMBER(SEARCH("Commercial",IF(J771="NOT AVAILABLE","",J771)))),25,IF(ISNUMBER(SEARCH("Informational",IF(J771="NOT AVAILABLE","",J771))),10,IF(ISNUMBER(SEARCH("Navigational",IF(J771="NOT AVAILABLE","",J771))),0,12))))</f>
        <v/>
      </c>
      <c r="Q771">
        <f>IF(ISNUMBER(F771),MIN(30,ROUND(30*LOG10(F771+1)/4,1)),0)</f>
        <v/>
      </c>
      <c r="R771">
        <f>IF(ISNUMBER(G771),ROUND(25*(100-G771)/100,1),12.5)</f>
        <v/>
      </c>
      <c r="S771" t="n">
        <v>20</v>
      </c>
      <c r="T771">
        <f>ROUND(P771+Q771+R771+S771,0)</f>
        <v/>
      </c>
      <c r="U771" s="5" t="inlineStr"/>
      <c r="V771" s="5" t="inlineStr"/>
    </row>
    <row r="772">
      <c r="A772" t="inlineStr">
        <is>
          <t>K0770</t>
        </is>
      </c>
      <c r="B772" t="inlineStr">
        <is>
          <t>site web école de langues</t>
        </is>
      </c>
      <c r="C772" t="inlineStr">
        <is>
          <t>Morocco</t>
        </is>
      </c>
      <c r="D772" t="inlineStr">
        <is>
          <t>ma</t>
        </is>
      </c>
      <c r="E772" t="inlineStr">
        <is>
          <t>fr</t>
        </is>
      </c>
      <c r="F772" t="inlineStr">
        <is>
          <t>NOT AVAILABLE</t>
        </is>
      </c>
      <c r="G772" t="inlineStr">
        <is>
          <t>NOT AVAILABLE</t>
        </is>
      </c>
      <c r="H772" t="inlineStr">
        <is>
          <t>NOT AVAILABLE</t>
        </is>
      </c>
      <c r="I772" t="inlineStr">
        <is>
          <t>NOT AVAILABLE</t>
        </is>
      </c>
      <c r="J772" t="inlineStr">
        <is>
          <t>NOT AVAILABLE</t>
        </is>
      </c>
      <c r="K772" t="inlineStr">
        <is>
          <t>NOT AVAILABLE</t>
        </is>
      </c>
      <c r="L772" t="inlineStr">
        <is>
          <t>NOT AVAILABLE</t>
        </is>
      </c>
      <c r="M772" t="inlineStr">
        <is>
          <t>UNAVAILABLE</t>
        </is>
      </c>
      <c r="N772" s="5" t="inlineStr">
        <is>
          <t>Semrush phrase_these returned no data (not billed)</t>
        </is>
      </c>
      <c r="O772" t="inlineStr">
        <is>
          <t>2026-10-30</t>
        </is>
      </c>
      <c r="P772">
        <f>IF(IF(J772="NOT AVAILABLE","",J772)="",12,IF(OR(ISNUMBER(SEARCH("Transactional",IF(J772="NOT AVAILABLE","",J772))),ISNUMBER(SEARCH("Commercial",IF(J772="NOT AVAILABLE","",J772)))),25,IF(ISNUMBER(SEARCH("Informational",IF(J772="NOT AVAILABLE","",J772))),10,IF(ISNUMBER(SEARCH("Navigational",IF(J772="NOT AVAILABLE","",J772))),0,12))))</f>
        <v/>
      </c>
      <c r="Q772">
        <f>IF(ISNUMBER(F772),MIN(30,ROUND(30*LOG10(F772+1)/4,1)),0)</f>
        <v/>
      </c>
      <c r="R772">
        <f>IF(ISNUMBER(G772),ROUND(25*(100-G772)/100,1),12.5)</f>
        <v/>
      </c>
      <c r="S772" t="n">
        <v>20</v>
      </c>
      <c r="T772">
        <f>ROUND(P772+Q772+R772+S772,0)</f>
        <v/>
      </c>
      <c r="U772" s="5" t="inlineStr"/>
      <c r="V772" s="5" t="inlineStr">
        <is>
          <t>PRIMARY /our-work/gls-sprachenzentrum</t>
        </is>
      </c>
    </row>
    <row r="773">
      <c r="A773" t="inlineStr">
        <is>
          <t>K0771</t>
        </is>
      </c>
      <c r="B773" t="inlineStr">
        <is>
          <t>site web école privée</t>
        </is>
      </c>
      <c r="C773" t="inlineStr">
        <is>
          <t>Morocco</t>
        </is>
      </c>
      <c r="D773" t="inlineStr">
        <is>
          <t>ma</t>
        </is>
      </c>
      <c r="E773" t="inlineStr">
        <is>
          <t>fr</t>
        </is>
      </c>
      <c r="F773" t="inlineStr">
        <is>
          <t>NOT AVAILABLE</t>
        </is>
      </c>
      <c r="G773" t="inlineStr">
        <is>
          <t>NOT AVAILABLE</t>
        </is>
      </c>
      <c r="H773" t="inlineStr">
        <is>
          <t>NOT AVAILABLE</t>
        </is>
      </c>
      <c r="I773" t="inlineStr">
        <is>
          <t>NOT AVAILABLE</t>
        </is>
      </c>
      <c r="J773" t="inlineStr">
        <is>
          <t>NOT AVAILABLE</t>
        </is>
      </c>
      <c r="K773" t="inlineStr">
        <is>
          <t>NOT AVAILABLE</t>
        </is>
      </c>
      <c r="L773" t="inlineStr">
        <is>
          <t>NOT AVAILABLE</t>
        </is>
      </c>
      <c r="M773" t="inlineStr">
        <is>
          <t>UNAVAILABLE</t>
        </is>
      </c>
      <c r="N773" s="5" t="inlineStr">
        <is>
          <t>Semrush phrase_these returned no data (not billed)</t>
        </is>
      </c>
      <c r="O773" t="inlineStr">
        <is>
          <t>2026-10-30</t>
        </is>
      </c>
      <c r="P773">
        <f>IF(IF(J773="NOT AVAILABLE","",J773)="",12,IF(OR(ISNUMBER(SEARCH("Transactional",IF(J773="NOT AVAILABLE","",J773))),ISNUMBER(SEARCH("Commercial",IF(J773="NOT AVAILABLE","",J773)))),25,IF(ISNUMBER(SEARCH("Informational",IF(J773="NOT AVAILABLE","",J773))),10,IF(ISNUMBER(SEARCH("Navigational",IF(J773="NOT AVAILABLE","",J773))),0,12))))</f>
        <v/>
      </c>
      <c r="Q773">
        <f>IF(ISNUMBER(F773),MIN(30,ROUND(30*LOG10(F773+1)/4,1)),0)</f>
        <v/>
      </c>
      <c r="R773">
        <f>IF(ISNUMBER(G773),ROUND(25*(100-G773)/100,1),12.5)</f>
        <v/>
      </c>
      <c r="S773" t="n">
        <v>20</v>
      </c>
      <c r="T773">
        <f>ROUND(P773+Q773+R773+S773,0)</f>
        <v/>
      </c>
      <c r="U773" s="5" t="inlineStr"/>
      <c r="V773" s="5" t="inlineStr">
        <is>
          <t>SUPPORTING /services/education-website-development</t>
        </is>
      </c>
    </row>
    <row r="774">
      <c r="A774" t="inlineStr">
        <is>
          <t>K0772</t>
        </is>
      </c>
      <c r="B774" t="inlineStr">
        <is>
          <t>site web établissement scolaire</t>
        </is>
      </c>
      <c r="C774" t="inlineStr">
        <is>
          <t>Morocco</t>
        </is>
      </c>
      <c r="D774" t="inlineStr">
        <is>
          <t>ma</t>
        </is>
      </c>
      <c r="E774" t="inlineStr">
        <is>
          <t>fr</t>
        </is>
      </c>
      <c r="F774" t="inlineStr">
        <is>
          <t>NOT AVAILABLE</t>
        </is>
      </c>
      <c r="G774" t="inlineStr">
        <is>
          <t>NOT AVAILABLE</t>
        </is>
      </c>
      <c r="H774" t="inlineStr">
        <is>
          <t>NOT AVAILABLE</t>
        </is>
      </c>
      <c r="I774" t="inlineStr">
        <is>
          <t>NOT AVAILABLE</t>
        </is>
      </c>
      <c r="J774" t="inlineStr">
        <is>
          <t>NOT AVAILABLE</t>
        </is>
      </c>
      <c r="K774" t="inlineStr">
        <is>
          <t>NOT AVAILABLE</t>
        </is>
      </c>
      <c r="L774" t="inlineStr">
        <is>
          <t>NOT AVAILABLE</t>
        </is>
      </c>
      <c r="M774" t="inlineStr">
        <is>
          <t>UNAVAILABLE</t>
        </is>
      </c>
      <c r="N774" s="5" t="inlineStr">
        <is>
          <t>Semrush phrase_these returned no data (not billed)</t>
        </is>
      </c>
      <c r="O774" t="inlineStr">
        <is>
          <t>2026-10-30</t>
        </is>
      </c>
      <c r="P774">
        <f>IF(IF(J774="NOT AVAILABLE","",J774)="",12,IF(OR(ISNUMBER(SEARCH("Transactional",IF(J774="NOT AVAILABLE","",J774))),ISNUMBER(SEARCH("Commercial",IF(J774="NOT AVAILABLE","",J774)))),25,IF(ISNUMBER(SEARCH("Informational",IF(J774="NOT AVAILABLE","",J774))),10,IF(ISNUMBER(SEARCH("Navigational",IF(J774="NOT AVAILABLE","",J774))),0,12))))</f>
        <v/>
      </c>
      <c r="Q774">
        <f>IF(ISNUMBER(F774),MIN(30,ROUND(30*LOG10(F774+1)/4,1)),0)</f>
        <v/>
      </c>
      <c r="R774">
        <f>IF(ISNUMBER(G774),ROUND(25*(100-G774)/100,1),12.5)</f>
        <v/>
      </c>
      <c r="S774" t="n">
        <v>20</v>
      </c>
      <c r="T774">
        <f>ROUND(P774+Q774+R774+S774,0)</f>
        <v/>
      </c>
      <c r="U774" s="5" t="inlineStr"/>
      <c r="V774" s="5" t="inlineStr"/>
    </row>
    <row r="775">
      <c r="A775" t="inlineStr">
        <is>
          <t>K0773</t>
        </is>
      </c>
      <c r="B775" t="inlineStr">
        <is>
          <t>sitemap url extractor</t>
        </is>
      </c>
      <c r="C775" t="inlineStr">
        <is>
          <t>Morocco</t>
        </is>
      </c>
      <c r="D775" t="inlineStr">
        <is>
          <t>ma</t>
        </is>
      </c>
      <c r="E775" t="inlineStr">
        <is>
          <t>fr</t>
        </is>
      </c>
      <c r="F775" t="inlineStr">
        <is>
          <t>NOT AVAILABLE</t>
        </is>
      </c>
      <c r="G775" t="inlineStr">
        <is>
          <t>NOT AVAILABLE</t>
        </is>
      </c>
      <c r="H775" t="inlineStr">
        <is>
          <t>NOT AVAILABLE</t>
        </is>
      </c>
      <c r="I775" t="inlineStr">
        <is>
          <t>NOT AVAILABLE</t>
        </is>
      </c>
      <c r="J775" t="inlineStr">
        <is>
          <t>NOT AVAILABLE</t>
        </is>
      </c>
      <c r="K775" t="inlineStr">
        <is>
          <t>NOT AVAILABLE</t>
        </is>
      </c>
      <c r="L775" t="inlineStr">
        <is>
          <t>NOT AVAILABLE</t>
        </is>
      </c>
      <c r="M775" t="inlineStr">
        <is>
          <t>UNAVAILABLE</t>
        </is>
      </c>
      <c r="N775" s="5" t="inlineStr">
        <is>
          <t>Semrush phrase_these returned no data (not billed)</t>
        </is>
      </c>
      <c r="O775" t="inlineStr">
        <is>
          <t>2026-10-30</t>
        </is>
      </c>
      <c r="P775">
        <f>IF(IF(J775="NOT AVAILABLE","",J775)="",12,IF(OR(ISNUMBER(SEARCH("Transactional",IF(J775="NOT AVAILABLE","",J775))),ISNUMBER(SEARCH("Commercial",IF(J775="NOT AVAILABLE","",J775)))),25,IF(ISNUMBER(SEARCH("Informational",IF(J775="NOT AVAILABLE","",J775))),10,IF(ISNUMBER(SEARCH("Navigational",IF(J775="NOT AVAILABLE","",J775))),0,12))))</f>
        <v/>
      </c>
      <c r="Q775">
        <f>IF(ISNUMBER(F775),MIN(30,ROUND(30*LOG10(F775+1)/4,1)),0)</f>
        <v/>
      </c>
      <c r="R775">
        <f>IF(ISNUMBER(G775),ROUND(25*(100-G775)/100,1),12.5)</f>
        <v/>
      </c>
      <c r="S775" t="n">
        <v>20</v>
      </c>
      <c r="T775">
        <f>ROUND(P775+Q775+R775+S775,0)</f>
        <v/>
      </c>
      <c r="U775" s="5" t="inlineStr"/>
      <c r="V775" s="5" t="inlineStr"/>
    </row>
    <row r="776">
      <c r="A776" t="inlineStr">
        <is>
          <t>K0774</t>
        </is>
      </c>
      <c r="B776" t="inlineStr">
        <is>
          <t>société création site web agadir</t>
        </is>
      </c>
      <c r="C776" t="inlineStr">
        <is>
          <t>Morocco</t>
        </is>
      </c>
      <c r="D776" t="inlineStr">
        <is>
          <t>ma</t>
        </is>
      </c>
      <c r="E776" t="inlineStr">
        <is>
          <t>fr</t>
        </is>
      </c>
      <c r="F776" t="inlineStr">
        <is>
          <t>NOT AVAILABLE</t>
        </is>
      </c>
      <c r="G776" t="inlineStr">
        <is>
          <t>NOT AVAILABLE</t>
        </is>
      </c>
      <c r="H776" t="inlineStr">
        <is>
          <t>NOT AVAILABLE</t>
        </is>
      </c>
      <c r="I776" t="inlineStr">
        <is>
          <t>NOT AVAILABLE</t>
        </is>
      </c>
      <c r="J776" t="inlineStr">
        <is>
          <t>NOT AVAILABLE</t>
        </is>
      </c>
      <c r="K776" t="inlineStr">
        <is>
          <t>NOT AVAILABLE</t>
        </is>
      </c>
      <c r="L776" t="inlineStr">
        <is>
          <t>NOT AVAILABLE</t>
        </is>
      </c>
      <c r="M776" t="inlineStr">
        <is>
          <t>UNAVAILABLE</t>
        </is>
      </c>
      <c r="N776" s="5" t="inlineStr">
        <is>
          <t>Semrush phrase_these returned no data (not billed)</t>
        </is>
      </c>
      <c r="O776" t="inlineStr">
        <is>
          <t>2026-10-30</t>
        </is>
      </c>
      <c r="P776">
        <f>IF(IF(J776="NOT AVAILABLE","",J776)="",12,IF(OR(ISNUMBER(SEARCH("Transactional",IF(J776="NOT AVAILABLE","",J776))),ISNUMBER(SEARCH("Commercial",IF(J776="NOT AVAILABLE","",J776)))),25,IF(ISNUMBER(SEARCH("Informational",IF(J776="NOT AVAILABLE","",J776))),10,IF(ISNUMBER(SEARCH("Navigational",IF(J776="NOT AVAILABLE","",J776))),0,12))))</f>
        <v/>
      </c>
      <c r="Q776">
        <f>IF(ISNUMBER(F776),MIN(30,ROUND(30*LOG10(F776+1)/4,1)),0)</f>
        <v/>
      </c>
      <c r="R776">
        <f>IF(ISNUMBER(G776),ROUND(25*(100-G776)/100,1),12.5)</f>
        <v/>
      </c>
      <c r="S776" t="n">
        <v>20</v>
      </c>
      <c r="T776">
        <f>ROUND(P776+Q776+R776+S776,0)</f>
        <v/>
      </c>
      <c r="U776" s="5" t="inlineStr"/>
      <c r="V776" s="5" t="inlineStr"/>
    </row>
    <row r="777">
      <c r="A777" t="inlineStr">
        <is>
          <t>K0775</t>
        </is>
      </c>
      <c r="B777" t="inlineStr">
        <is>
          <t>société création site web casablanca</t>
        </is>
      </c>
      <c r="C777" t="inlineStr">
        <is>
          <t>Morocco</t>
        </is>
      </c>
      <c r="D777" t="inlineStr">
        <is>
          <t>ma</t>
        </is>
      </c>
      <c r="E777" t="inlineStr">
        <is>
          <t>fr</t>
        </is>
      </c>
      <c r="F777" t="inlineStr">
        <is>
          <t>NOT AVAILABLE</t>
        </is>
      </c>
      <c r="G777" t="inlineStr">
        <is>
          <t>NOT AVAILABLE</t>
        </is>
      </c>
      <c r="H777" t="inlineStr">
        <is>
          <t>NOT AVAILABLE</t>
        </is>
      </c>
      <c r="I777" t="inlineStr">
        <is>
          <t>NOT AVAILABLE</t>
        </is>
      </c>
      <c r="J777" t="inlineStr">
        <is>
          <t>NOT AVAILABLE</t>
        </is>
      </c>
      <c r="K777" t="inlineStr">
        <is>
          <t>NOT AVAILABLE</t>
        </is>
      </c>
      <c r="L777" t="inlineStr">
        <is>
          <t>NOT AVAILABLE</t>
        </is>
      </c>
      <c r="M777" t="inlineStr">
        <is>
          <t>UNAVAILABLE</t>
        </is>
      </c>
      <c r="N777" s="5" t="inlineStr">
        <is>
          <t>Semrush phrase_these returned no data (not billed)</t>
        </is>
      </c>
      <c r="O777" t="inlineStr">
        <is>
          <t>2026-10-30</t>
        </is>
      </c>
      <c r="P777">
        <f>IF(IF(J777="NOT AVAILABLE","",J777)="",12,IF(OR(ISNUMBER(SEARCH("Transactional",IF(J777="NOT AVAILABLE","",J777))),ISNUMBER(SEARCH("Commercial",IF(J777="NOT AVAILABLE","",J777)))),25,IF(ISNUMBER(SEARCH("Informational",IF(J777="NOT AVAILABLE","",J777))),10,IF(ISNUMBER(SEARCH("Navigational",IF(J777="NOT AVAILABLE","",J777))),0,12))))</f>
        <v/>
      </c>
      <c r="Q777">
        <f>IF(ISNUMBER(F777),MIN(30,ROUND(30*LOG10(F777+1)/4,1)),0)</f>
        <v/>
      </c>
      <c r="R777">
        <f>IF(ISNUMBER(G777),ROUND(25*(100-G777)/100,1),12.5)</f>
        <v/>
      </c>
      <c r="S777" t="n">
        <v>20</v>
      </c>
      <c r="T777">
        <f>ROUND(P777+Q777+R777+S777,0)</f>
        <v/>
      </c>
      <c r="U777" s="5" t="inlineStr"/>
      <c r="V777" s="5" t="inlineStr"/>
    </row>
    <row r="778">
      <c r="A778" t="inlineStr">
        <is>
          <t>K0776</t>
        </is>
      </c>
      <c r="B778" t="inlineStr">
        <is>
          <t>société création site web maroc</t>
        </is>
      </c>
      <c r="C778" t="inlineStr">
        <is>
          <t>Morocco</t>
        </is>
      </c>
      <c r="D778" t="inlineStr">
        <is>
          <t>ma</t>
        </is>
      </c>
      <c r="E778" t="inlineStr">
        <is>
          <t>fr</t>
        </is>
      </c>
      <c r="F778" t="inlineStr">
        <is>
          <t>NOT AVAILABLE</t>
        </is>
      </c>
      <c r="G778" t="inlineStr">
        <is>
          <t>NOT AVAILABLE</t>
        </is>
      </c>
      <c r="H778" t="inlineStr">
        <is>
          <t>NOT AVAILABLE</t>
        </is>
      </c>
      <c r="I778" t="inlineStr">
        <is>
          <t>NOT AVAILABLE</t>
        </is>
      </c>
      <c r="J778" t="inlineStr">
        <is>
          <t>NOT AVAILABLE</t>
        </is>
      </c>
      <c r="K778" t="inlineStr">
        <is>
          <t>NOT AVAILABLE</t>
        </is>
      </c>
      <c r="L778" t="inlineStr">
        <is>
          <t>NOT AVAILABLE</t>
        </is>
      </c>
      <c r="M778" t="inlineStr">
        <is>
          <t>UNAVAILABLE</t>
        </is>
      </c>
      <c r="N778" s="5" t="inlineStr">
        <is>
          <t>Semrush phrase_these returned no data (not billed)</t>
        </is>
      </c>
      <c r="O778" t="inlineStr">
        <is>
          <t>2026-10-30</t>
        </is>
      </c>
      <c r="P778">
        <f>IF(IF(J778="NOT AVAILABLE","",J778)="",12,IF(OR(ISNUMBER(SEARCH("Transactional",IF(J778="NOT AVAILABLE","",J778))),ISNUMBER(SEARCH("Commercial",IF(J778="NOT AVAILABLE","",J778)))),25,IF(ISNUMBER(SEARCH("Informational",IF(J778="NOT AVAILABLE","",J778))),10,IF(ISNUMBER(SEARCH("Navigational",IF(J778="NOT AVAILABLE","",J778))),0,12))))</f>
        <v/>
      </c>
      <c r="Q778">
        <f>IF(ISNUMBER(F778),MIN(30,ROUND(30*LOG10(F778+1)/4,1)),0)</f>
        <v/>
      </c>
      <c r="R778">
        <f>IF(ISNUMBER(G778),ROUND(25*(100-G778)/100,1),12.5)</f>
        <v/>
      </c>
      <c r="S778" t="n">
        <v>20</v>
      </c>
      <c r="T778">
        <f>ROUND(P778+Q778+R778+S778,0)</f>
        <v/>
      </c>
      <c r="U778" s="5" t="inlineStr"/>
      <c r="V778" s="5" t="inlineStr"/>
    </row>
    <row r="779">
      <c r="A779" t="inlineStr">
        <is>
          <t>K0777</t>
        </is>
      </c>
      <c r="B779" t="inlineStr">
        <is>
          <t>société création site web marrakech</t>
        </is>
      </c>
      <c r="C779" t="inlineStr">
        <is>
          <t>Morocco</t>
        </is>
      </c>
      <c r="D779" t="inlineStr">
        <is>
          <t>ma</t>
        </is>
      </c>
      <c r="E779" t="inlineStr">
        <is>
          <t>fr</t>
        </is>
      </c>
      <c r="F779" t="n">
        <v>0</v>
      </c>
      <c r="G779" t="inlineStr">
        <is>
          <t>NOT AVAILABLE</t>
        </is>
      </c>
      <c r="H779" t="n">
        <v>0</v>
      </c>
      <c r="I779" t="n">
        <v>0</v>
      </c>
      <c r="J779" t="inlineStr">
        <is>
          <t>NOT AVAILABLE</t>
        </is>
      </c>
      <c r="K779" t="inlineStr">
        <is>
          <t>NOT AVAILABLE (report not requested)</t>
        </is>
      </c>
      <c r="L779" t="inlineStr">
        <is>
          <t>flat (no data)</t>
        </is>
      </c>
      <c r="M779" t="inlineStr">
        <is>
          <t>MEASURED</t>
        </is>
      </c>
      <c r="N779" s="5" t="inlineStr">
        <is>
          <t>Semrush phrase_these (live, this session)</t>
        </is>
      </c>
      <c r="O779" t="inlineStr">
        <is>
          <t>2026-10-30</t>
        </is>
      </c>
      <c r="P779">
        <f>IF(IF(J779="NOT AVAILABLE","",J779)="",12,IF(OR(ISNUMBER(SEARCH("Transactional",IF(J779="NOT AVAILABLE","",J779))),ISNUMBER(SEARCH("Commercial",IF(J779="NOT AVAILABLE","",J779)))),25,IF(ISNUMBER(SEARCH("Informational",IF(J779="NOT AVAILABLE","",J779))),10,IF(ISNUMBER(SEARCH("Navigational",IF(J779="NOT AVAILABLE","",J779))),0,12))))</f>
        <v/>
      </c>
      <c r="Q779">
        <f>IF(ISNUMBER(F779),MIN(30,ROUND(30*LOG10(F779+1)/4,1)),0)</f>
        <v/>
      </c>
      <c r="R779">
        <f>IF(ISNUMBER(G779),ROUND(25*(100-G779)/100,1),12.5)</f>
        <v/>
      </c>
      <c r="S779" t="n">
        <v>20</v>
      </c>
      <c r="T779">
        <f>ROUND(P779+Q779+R779+S779,0)</f>
        <v/>
      </c>
      <c r="U779" s="5" t="inlineStr"/>
      <c r="V779" s="5" t="inlineStr"/>
    </row>
    <row r="780">
      <c r="A780" t="inlineStr">
        <is>
          <t>K0778</t>
        </is>
      </c>
      <c r="B780" t="inlineStr">
        <is>
          <t>société création site web rabat</t>
        </is>
      </c>
      <c r="C780" t="inlineStr">
        <is>
          <t>Morocco</t>
        </is>
      </c>
      <c r="D780" t="inlineStr">
        <is>
          <t>ma</t>
        </is>
      </c>
      <c r="E780" t="inlineStr">
        <is>
          <t>fr</t>
        </is>
      </c>
      <c r="F780" t="inlineStr">
        <is>
          <t>NOT AVAILABLE</t>
        </is>
      </c>
      <c r="G780" t="inlineStr">
        <is>
          <t>NOT AVAILABLE</t>
        </is>
      </c>
      <c r="H780" t="inlineStr">
        <is>
          <t>NOT AVAILABLE</t>
        </is>
      </c>
      <c r="I780" t="inlineStr">
        <is>
          <t>NOT AVAILABLE</t>
        </is>
      </c>
      <c r="J780" t="inlineStr">
        <is>
          <t>NOT AVAILABLE</t>
        </is>
      </c>
      <c r="K780" t="inlineStr">
        <is>
          <t>NOT AVAILABLE</t>
        </is>
      </c>
      <c r="L780" t="inlineStr">
        <is>
          <t>NOT AVAILABLE</t>
        </is>
      </c>
      <c r="M780" t="inlineStr">
        <is>
          <t>UNAVAILABLE</t>
        </is>
      </c>
      <c r="N780" s="5" t="inlineStr">
        <is>
          <t>Semrush phrase_these returned no data (not billed)</t>
        </is>
      </c>
      <c r="O780" t="inlineStr">
        <is>
          <t>2026-10-30</t>
        </is>
      </c>
      <c r="P780">
        <f>IF(IF(J780="NOT AVAILABLE","",J780)="",12,IF(OR(ISNUMBER(SEARCH("Transactional",IF(J780="NOT AVAILABLE","",J780))),ISNUMBER(SEARCH("Commercial",IF(J780="NOT AVAILABLE","",J780)))),25,IF(ISNUMBER(SEARCH("Informational",IF(J780="NOT AVAILABLE","",J780))),10,IF(ISNUMBER(SEARCH("Navigational",IF(J780="NOT AVAILABLE","",J780))),0,12))))</f>
        <v/>
      </c>
      <c r="Q780">
        <f>IF(ISNUMBER(F780),MIN(30,ROUND(30*LOG10(F780+1)/4,1)),0)</f>
        <v/>
      </c>
      <c r="R780">
        <f>IF(ISNUMBER(G780),ROUND(25*(100-G780)/100,1),12.5)</f>
        <v/>
      </c>
      <c r="S780" t="n">
        <v>20</v>
      </c>
      <c r="T780">
        <f>ROUND(P780+Q780+R780+S780,0)</f>
        <v/>
      </c>
      <c r="U780" s="5" t="inlineStr"/>
      <c r="V780" s="5" t="inlineStr"/>
    </row>
    <row r="781">
      <c r="A781" t="inlineStr">
        <is>
          <t>K0779</t>
        </is>
      </c>
      <c r="B781" t="inlineStr">
        <is>
          <t>société création site web tanger</t>
        </is>
      </c>
      <c r="C781" t="inlineStr">
        <is>
          <t>Morocco</t>
        </is>
      </c>
      <c r="D781" t="inlineStr">
        <is>
          <t>ma</t>
        </is>
      </c>
      <c r="E781" t="inlineStr">
        <is>
          <t>fr</t>
        </is>
      </c>
      <c r="F781" t="inlineStr">
        <is>
          <t>NOT AVAILABLE</t>
        </is>
      </c>
      <c r="G781" t="inlineStr">
        <is>
          <t>NOT AVAILABLE</t>
        </is>
      </c>
      <c r="H781" t="inlineStr">
        <is>
          <t>NOT AVAILABLE</t>
        </is>
      </c>
      <c r="I781" t="inlineStr">
        <is>
          <t>NOT AVAILABLE</t>
        </is>
      </c>
      <c r="J781" t="inlineStr">
        <is>
          <t>NOT AVAILABLE</t>
        </is>
      </c>
      <c r="K781" t="inlineStr">
        <is>
          <t>NOT AVAILABLE</t>
        </is>
      </c>
      <c r="L781" t="inlineStr">
        <is>
          <t>NOT AVAILABLE</t>
        </is>
      </c>
      <c r="M781" t="inlineStr">
        <is>
          <t>UNAVAILABLE</t>
        </is>
      </c>
      <c r="N781" s="5" t="inlineStr">
        <is>
          <t>Semrush phrase_these returned no data (not billed)</t>
        </is>
      </c>
      <c r="O781" t="inlineStr">
        <is>
          <t>2026-10-30</t>
        </is>
      </c>
      <c r="P781">
        <f>IF(IF(J781="NOT AVAILABLE","",J781)="",12,IF(OR(ISNUMBER(SEARCH("Transactional",IF(J781="NOT AVAILABLE","",J781))),ISNUMBER(SEARCH("Commercial",IF(J781="NOT AVAILABLE","",J781)))),25,IF(ISNUMBER(SEARCH("Informational",IF(J781="NOT AVAILABLE","",J781))),10,IF(ISNUMBER(SEARCH("Navigational",IF(J781="NOT AVAILABLE","",J781))),0,12))))</f>
        <v/>
      </c>
      <c r="Q781">
        <f>IF(ISNUMBER(F781),MIN(30,ROUND(30*LOG10(F781+1)/4,1)),0)</f>
        <v/>
      </c>
      <c r="R781">
        <f>IF(ISNUMBER(G781),ROUND(25*(100-G781)/100,1),12.5)</f>
        <v/>
      </c>
      <c r="S781" t="n">
        <v>20</v>
      </c>
      <c r="T781">
        <f>ROUND(P781+Q781+R781+S781,0)</f>
        <v/>
      </c>
      <c r="U781" s="5" t="inlineStr"/>
      <c r="V781" s="5" t="inlineStr"/>
    </row>
    <row r="782">
      <c r="A782" t="inlineStr">
        <is>
          <t>K0780</t>
        </is>
      </c>
      <c r="B782" t="inlineStr">
        <is>
          <t>sous-traitance développement web</t>
        </is>
      </c>
      <c r="C782" t="inlineStr">
        <is>
          <t>Morocco</t>
        </is>
      </c>
      <c r="D782" t="inlineStr">
        <is>
          <t>ma</t>
        </is>
      </c>
      <c r="E782" t="inlineStr">
        <is>
          <t>fr</t>
        </is>
      </c>
      <c r="F782" t="inlineStr">
        <is>
          <t>NOT AVAILABLE</t>
        </is>
      </c>
      <c r="G782" t="inlineStr">
        <is>
          <t>NOT AVAILABLE</t>
        </is>
      </c>
      <c r="H782" t="inlineStr">
        <is>
          <t>NOT AVAILABLE</t>
        </is>
      </c>
      <c r="I782" t="inlineStr">
        <is>
          <t>NOT AVAILABLE</t>
        </is>
      </c>
      <c r="J782" t="inlineStr">
        <is>
          <t>NOT AVAILABLE</t>
        </is>
      </c>
      <c r="K782" t="inlineStr">
        <is>
          <t>NOT AVAILABLE</t>
        </is>
      </c>
      <c r="L782" t="inlineStr">
        <is>
          <t>NOT AVAILABLE</t>
        </is>
      </c>
      <c r="M782" t="inlineStr">
        <is>
          <t>SUGGESTED</t>
        </is>
      </c>
      <c r="N782" s="5" t="inlineStr">
        <is>
          <t>Analyst suggestion - not validated in Semrush</t>
        </is>
      </c>
      <c r="O782" t="inlineStr">
        <is>
          <t>NOT AVAILABLE</t>
        </is>
      </c>
      <c r="P782">
        <f>IF(IF(J782="NOT AVAILABLE","",J782)="",12,IF(OR(ISNUMBER(SEARCH("Transactional",IF(J782="NOT AVAILABLE","",J782))),ISNUMBER(SEARCH("Commercial",IF(J782="NOT AVAILABLE","",J782)))),25,IF(ISNUMBER(SEARCH("Informational",IF(J782="NOT AVAILABLE","",J782))),10,IF(ISNUMBER(SEARCH("Navigational",IF(J782="NOT AVAILABLE","",J782))),0,12))))</f>
        <v/>
      </c>
      <c r="Q782">
        <f>IF(ISNUMBER(F782),MIN(30,ROUND(30*LOG10(F782+1)/4,1)),0)</f>
        <v/>
      </c>
      <c r="R782">
        <f>IF(ISNUMBER(G782),ROUND(25*(100-G782)/100,1),12.5)</f>
        <v/>
      </c>
      <c r="S782" t="n">
        <v>20</v>
      </c>
      <c r="T782">
        <f>ROUND(P782+Q782+R782+S782,0)</f>
        <v/>
      </c>
      <c r="U782" s="5" t="inlineStr"/>
      <c r="V782" s="5" t="inlineStr"/>
    </row>
    <row r="783">
      <c r="A783" t="inlineStr">
        <is>
          <t>K0781</t>
        </is>
      </c>
      <c r="B783" t="inlineStr">
        <is>
          <t>sous-traitance développement web maroc</t>
        </is>
      </c>
      <c r="C783" t="inlineStr">
        <is>
          <t>Morocco</t>
        </is>
      </c>
      <c r="D783" t="inlineStr">
        <is>
          <t>ma</t>
        </is>
      </c>
      <c r="E783" t="inlineStr">
        <is>
          <t>fr</t>
        </is>
      </c>
      <c r="F783" t="inlineStr">
        <is>
          <t>NOT AVAILABLE</t>
        </is>
      </c>
      <c r="G783" t="inlineStr">
        <is>
          <t>NOT AVAILABLE</t>
        </is>
      </c>
      <c r="H783" t="inlineStr">
        <is>
          <t>NOT AVAILABLE</t>
        </is>
      </c>
      <c r="I783" t="inlineStr">
        <is>
          <t>NOT AVAILABLE</t>
        </is>
      </c>
      <c r="J783" t="inlineStr">
        <is>
          <t>NOT AVAILABLE</t>
        </is>
      </c>
      <c r="K783" t="inlineStr">
        <is>
          <t>NOT AVAILABLE</t>
        </is>
      </c>
      <c r="L783" t="inlineStr">
        <is>
          <t>NOT AVAILABLE</t>
        </is>
      </c>
      <c r="M783" t="inlineStr">
        <is>
          <t>UNAVAILABLE</t>
        </is>
      </c>
      <c r="N783" s="5" t="inlineStr">
        <is>
          <t>Semrush phrase_these returned no data (not billed)</t>
        </is>
      </c>
      <c r="O783" t="inlineStr">
        <is>
          <t>2026-10-30</t>
        </is>
      </c>
      <c r="P783">
        <f>IF(IF(J783="NOT AVAILABLE","",J783)="",12,IF(OR(ISNUMBER(SEARCH("Transactional",IF(J783="NOT AVAILABLE","",J783))),ISNUMBER(SEARCH("Commercial",IF(J783="NOT AVAILABLE","",J783)))),25,IF(ISNUMBER(SEARCH("Informational",IF(J783="NOT AVAILABLE","",J783))),10,IF(ISNUMBER(SEARCH("Navigational",IF(J783="NOT AVAILABLE","",J783))),0,12))))</f>
        <v/>
      </c>
      <c r="Q783">
        <f>IF(ISNUMBER(F783),MIN(30,ROUND(30*LOG10(F783+1)/4,1)),0)</f>
        <v/>
      </c>
      <c r="R783">
        <f>IF(ISNUMBER(G783),ROUND(25*(100-G783)/100,1),12.5)</f>
        <v/>
      </c>
      <c r="S783" t="n">
        <v>20</v>
      </c>
      <c r="T783">
        <f>ROUND(P783+Q783+R783+S783,0)</f>
        <v/>
      </c>
      <c r="U783" s="5" t="inlineStr"/>
      <c r="V783" s="5" t="inlineStr"/>
    </row>
    <row r="784">
      <c r="A784" t="inlineStr">
        <is>
          <t>K0782</t>
        </is>
      </c>
      <c r="B784" t="inlineStr">
        <is>
          <t>structure hn</t>
        </is>
      </c>
      <c r="C784" t="inlineStr">
        <is>
          <t>Morocco</t>
        </is>
      </c>
      <c r="D784" t="inlineStr">
        <is>
          <t>ma</t>
        </is>
      </c>
      <c r="E784" t="inlineStr">
        <is>
          <t>fr</t>
        </is>
      </c>
      <c r="F784" t="inlineStr">
        <is>
          <t>NOT AVAILABLE</t>
        </is>
      </c>
      <c r="G784" t="inlineStr">
        <is>
          <t>NOT AVAILABLE</t>
        </is>
      </c>
      <c r="H784" t="inlineStr">
        <is>
          <t>NOT AVAILABLE</t>
        </is>
      </c>
      <c r="I784" t="inlineStr">
        <is>
          <t>NOT AVAILABLE</t>
        </is>
      </c>
      <c r="J784" t="inlineStr">
        <is>
          <t>NOT AVAILABLE</t>
        </is>
      </c>
      <c r="K784" t="inlineStr">
        <is>
          <t>NOT AVAILABLE</t>
        </is>
      </c>
      <c r="L784" t="inlineStr">
        <is>
          <t>NOT AVAILABLE</t>
        </is>
      </c>
      <c r="M784" t="inlineStr">
        <is>
          <t>UNAVAILABLE</t>
        </is>
      </c>
      <c r="N784" s="5" t="inlineStr">
        <is>
          <t>Semrush phrase_these returned no data (not billed)</t>
        </is>
      </c>
      <c r="O784" t="inlineStr">
        <is>
          <t>2026-10-30</t>
        </is>
      </c>
      <c r="P784">
        <f>IF(IF(J784="NOT AVAILABLE","",J784)="",12,IF(OR(ISNUMBER(SEARCH("Transactional",IF(J784="NOT AVAILABLE","",J784))),ISNUMBER(SEARCH("Commercial",IF(J784="NOT AVAILABLE","",J784)))),25,IF(ISNUMBER(SEARCH("Informational",IF(J784="NOT AVAILABLE","",J784))),10,IF(ISNUMBER(SEARCH("Navigational",IF(J784="NOT AVAILABLE","",J784))),0,12))))</f>
        <v/>
      </c>
      <c r="Q784">
        <f>IF(ISNUMBER(F784),MIN(30,ROUND(30*LOG10(F784+1)/4,1)),0)</f>
        <v/>
      </c>
      <c r="R784">
        <f>IF(ISNUMBER(G784),ROUND(25*(100-G784)/100,1),12.5)</f>
        <v/>
      </c>
      <c r="S784" t="n">
        <v>20</v>
      </c>
      <c r="T784">
        <f>ROUND(P784+Q784+R784+S784,0)</f>
        <v/>
      </c>
      <c r="U784" s="5" t="inlineStr"/>
      <c r="V784" s="5" t="inlineStr"/>
    </row>
    <row r="785">
      <c r="A785" t="inlineStr">
        <is>
          <t>K0783</t>
        </is>
      </c>
      <c r="B785" t="inlineStr">
        <is>
          <t>supprimer caractères invisibles</t>
        </is>
      </c>
      <c r="C785" t="inlineStr">
        <is>
          <t>Morocco</t>
        </is>
      </c>
      <c r="D785" t="inlineStr">
        <is>
          <t>ma</t>
        </is>
      </c>
      <c r="E785" t="inlineStr">
        <is>
          <t>fr</t>
        </is>
      </c>
      <c r="F785" t="inlineStr">
        <is>
          <t>NOT AVAILABLE</t>
        </is>
      </c>
      <c r="G785" t="inlineStr">
        <is>
          <t>NOT AVAILABLE</t>
        </is>
      </c>
      <c r="H785" t="inlineStr">
        <is>
          <t>NOT AVAILABLE</t>
        </is>
      </c>
      <c r="I785" t="inlineStr">
        <is>
          <t>NOT AVAILABLE</t>
        </is>
      </c>
      <c r="J785" t="inlineStr">
        <is>
          <t>NOT AVAILABLE</t>
        </is>
      </c>
      <c r="K785" t="inlineStr">
        <is>
          <t>NOT AVAILABLE</t>
        </is>
      </c>
      <c r="L785" t="inlineStr">
        <is>
          <t>NOT AVAILABLE</t>
        </is>
      </c>
      <c r="M785" t="inlineStr">
        <is>
          <t>UNAVAILABLE</t>
        </is>
      </c>
      <c r="N785" s="5" t="inlineStr">
        <is>
          <t>Semrush phrase_these returned no data (not billed)</t>
        </is>
      </c>
      <c r="O785" t="inlineStr">
        <is>
          <t>2026-10-30</t>
        </is>
      </c>
      <c r="P785">
        <f>IF(IF(J785="NOT AVAILABLE","",J785)="",12,IF(OR(ISNUMBER(SEARCH("Transactional",IF(J785="NOT AVAILABLE","",J785))),ISNUMBER(SEARCH("Commercial",IF(J785="NOT AVAILABLE","",J785)))),25,IF(ISNUMBER(SEARCH("Informational",IF(J785="NOT AVAILABLE","",J785))),10,IF(ISNUMBER(SEARCH("Navigational",IF(J785="NOT AVAILABLE","",J785))),0,12))))</f>
        <v/>
      </c>
      <c r="Q785">
        <f>IF(ISNUMBER(F785),MIN(30,ROUND(30*LOG10(F785+1)/4,1)),0)</f>
        <v/>
      </c>
      <c r="R785">
        <f>IF(ISNUMBER(G785),ROUND(25*(100-G785)/100,1),12.5)</f>
        <v/>
      </c>
      <c r="S785" t="n">
        <v>20</v>
      </c>
      <c r="T785">
        <f>ROUND(P785+Q785+R785+S785,0)</f>
        <v/>
      </c>
      <c r="U785" s="5" t="inlineStr"/>
      <c r="V785" s="5" t="inlineStr"/>
    </row>
    <row r="786">
      <c r="A786" t="inlineStr">
        <is>
          <t>K0784</t>
        </is>
      </c>
      <c r="B786" t="inlineStr">
        <is>
          <t>supprimer lignes en double</t>
        </is>
      </c>
      <c r="C786" t="inlineStr">
        <is>
          <t>Morocco</t>
        </is>
      </c>
      <c r="D786" t="inlineStr">
        <is>
          <t>ma</t>
        </is>
      </c>
      <c r="E786" t="inlineStr">
        <is>
          <t>fr</t>
        </is>
      </c>
      <c r="F786" t="inlineStr">
        <is>
          <t>NOT AVAILABLE</t>
        </is>
      </c>
      <c r="G786" t="inlineStr">
        <is>
          <t>NOT AVAILABLE</t>
        </is>
      </c>
      <c r="H786" t="inlineStr">
        <is>
          <t>NOT AVAILABLE</t>
        </is>
      </c>
      <c r="I786" t="inlineStr">
        <is>
          <t>NOT AVAILABLE</t>
        </is>
      </c>
      <c r="J786" t="inlineStr">
        <is>
          <t>NOT AVAILABLE</t>
        </is>
      </c>
      <c r="K786" t="inlineStr">
        <is>
          <t>NOT AVAILABLE</t>
        </is>
      </c>
      <c r="L786" t="inlineStr">
        <is>
          <t>NOT AVAILABLE</t>
        </is>
      </c>
      <c r="M786" t="inlineStr">
        <is>
          <t>UNAVAILABLE</t>
        </is>
      </c>
      <c r="N786" s="5" t="inlineStr">
        <is>
          <t>Semrush phrase_these returned no data (not billed)</t>
        </is>
      </c>
      <c r="O786" t="inlineStr">
        <is>
          <t>2026-10-30</t>
        </is>
      </c>
      <c r="P786">
        <f>IF(IF(J786="NOT AVAILABLE","",J786)="",12,IF(OR(ISNUMBER(SEARCH("Transactional",IF(J786="NOT AVAILABLE","",J786))),ISNUMBER(SEARCH("Commercial",IF(J786="NOT AVAILABLE","",J786)))),25,IF(ISNUMBER(SEARCH("Informational",IF(J786="NOT AVAILABLE","",J786))),10,IF(ISNUMBER(SEARCH("Navigational",IF(J786="NOT AVAILABLE","",J786))),0,12))))</f>
        <v/>
      </c>
      <c r="Q786">
        <f>IF(ISNUMBER(F786),MIN(30,ROUND(30*LOG10(F786+1)/4,1)),0)</f>
        <v/>
      </c>
      <c r="R786">
        <f>IF(ISNUMBER(G786),ROUND(25*(100-G786)/100,1),12.5)</f>
        <v/>
      </c>
      <c r="S786" t="n">
        <v>20</v>
      </c>
      <c r="T786">
        <f>ROUND(P786+Q786+R786+S786,0)</f>
        <v/>
      </c>
      <c r="U786" s="5" t="inlineStr"/>
      <c r="V786" s="5" t="inlineStr"/>
    </row>
    <row r="787">
      <c r="A787" t="inlineStr">
        <is>
          <t>K0785</t>
        </is>
      </c>
      <c r="B787" t="inlineStr">
        <is>
          <t>supprimer paramètres url</t>
        </is>
      </c>
      <c r="C787" t="inlineStr">
        <is>
          <t>Morocco</t>
        </is>
      </c>
      <c r="D787" t="inlineStr">
        <is>
          <t>ma</t>
        </is>
      </c>
      <c r="E787" t="inlineStr">
        <is>
          <t>fr</t>
        </is>
      </c>
      <c r="F787" t="inlineStr">
        <is>
          <t>NOT AVAILABLE</t>
        </is>
      </c>
      <c r="G787" t="inlineStr">
        <is>
          <t>NOT AVAILABLE</t>
        </is>
      </c>
      <c r="H787" t="inlineStr">
        <is>
          <t>NOT AVAILABLE</t>
        </is>
      </c>
      <c r="I787" t="inlineStr">
        <is>
          <t>NOT AVAILABLE</t>
        </is>
      </c>
      <c r="J787" t="inlineStr">
        <is>
          <t>NOT AVAILABLE</t>
        </is>
      </c>
      <c r="K787" t="inlineStr">
        <is>
          <t>NOT AVAILABLE</t>
        </is>
      </c>
      <c r="L787" t="inlineStr">
        <is>
          <t>NOT AVAILABLE</t>
        </is>
      </c>
      <c r="M787" t="inlineStr">
        <is>
          <t>UNAVAILABLE</t>
        </is>
      </c>
      <c r="N787" s="5" t="inlineStr">
        <is>
          <t>Semrush phrase_these returned no data (not billed)</t>
        </is>
      </c>
      <c r="O787" t="inlineStr">
        <is>
          <t>2026-10-30</t>
        </is>
      </c>
      <c r="P787">
        <f>IF(IF(J787="NOT AVAILABLE","",J787)="",12,IF(OR(ISNUMBER(SEARCH("Transactional",IF(J787="NOT AVAILABLE","",J787))),ISNUMBER(SEARCH("Commercial",IF(J787="NOT AVAILABLE","",J787)))),25,IF(ISNUMBER(SEARCH("Informational",IF(J787="NOT AVAILABLE","",J787))),10,IF(ISNUMBER(SEARCH("Navigational",IF(J787="NOT AVAILABLE","",J787))),0,12))))</f>
        <v/>
      </c>
      <c r="Q787">
        <f>IF(ISNUMBER(F787),MIN(30,ROUND(30*LOG10(F787+1)/4,1)),0)</f>
        <v/>
      </c>
      <c r="R787">
        <f>IF(ISNUMBER(G787),ROUND(25*(100-G787)/100,1),12.5)</f>
        <v/>
      </c>
      <c r="S787" t="n">
        <v>20</v>
      </c>
      <c r="T787">
        <f>ROUND(P787+Q787+R787+S787,0)</f>
        <v/>
      </c>
      <c r="U787" s="5" t="inlineStr"/>
      <c r="V787" s="5" t="inlineStr"/>
    </row>
    <row r="788">
      <c r="A788" t="inlineStr">
        <is>
          <t>K0786</t>
        </is>
      </c>
      <c r="B788" t="inlineStr">
        <is>
          <t>tarif création site web maroc</t>
        </is>
      </c>
      <c r="C788" t="inlineStr">
        <is>
          <t>Morocco</t>
        </is>
      </c>
      <c r="D788" t="inlineStr">
        <is>
          <t>ma</t>
        </is>
      </c>
      <c r="E788" t="inlineStr">
        <is>
          <t>fr</t>
        </is>
      </c>
      <c r="F788" t="inlineStr">
        <is>
          <t>NOT AVAILABLE</t>
        </is>
      </c>
      <c r="G788" t="inlineStr">
        <is>
          <t>NOT AVAILABLE</t>
        </is>
      </c>
      <c r="H788" t="inlineStr">
        <is>
          <t>NOT AVAILABLE</t>
        </is>
      </c>
      <c r="I788" t="inlineStr">
        <is>
          <t>NOT AVAILABLE</t>
        </is>
      </c>
      <c r="J788" t="inlineStr">
        <is>
          <t>NOT AVAILABLE</t>
        </is>
      </c>
      <c r="K788" t="inlineStr">
        <is>
          <t>NOT AVAILABLE</t>
        </is>
      </c>
      <c r="L788" t="inlineStr">
        <is>
          <t>NOT AVAILABLE</t>
        </is>
      </c>
      <c r="M788" t="inlineStr">
        <is>
          <t>UNAVAILABLE</t>
        </is>
      </c>
      <c r="N788" s="5" t="inlineStr">
        <is>
          <t>Semrush phrase_these returned no data (not billed)</t>
        </is>
      </c>
      <c r="O788" t="inlineStr">
        <is>
          <t>2026-10-30</t>
        </is>
      </c>
      <c r="P788">
        <f>IF(IF(J788="NOT AVAILABLE","",J788)="",12,IF(OR(ISNUMBER(SEARCH("Transactional",IF(J788="NOT AVAILABLE","",J788))),ISNUMBER(SEARCH("Commercial",IF(J788="NOT AVAILABLE","",J788)))),25,IF(ISNUMBER(SEARCH("Informational",IF(J788="NOT AVAILABLE","",J788))),10,IF(ISNUMBER(SEARCH("Navigational",IF(J788="NOT AVAILABLE","",J788))),0,12))))</f>
        <v/>
      </c>
      <c r="Q788">
        <f>IF(ISNUMBER(F788),MIN(30,ROUND(30*LOG10(F788+1)/4,1)),0)</f>
        <v/>
      </c>
      <c r="R788">
        <f>IF(ISNUMBER(G788),ROUND(25*(100-G788)/100,1),12.5)</f>
        <v/>
      </c>
      <c r="S788" t="n">
        <v>20</v>
      </c>
      <c r="T788">
        <f>ROUND(P788+Q788+R788+S788,0)</f>
        <v/>
      </c>
      <c r="U788" s="5" t="inlineStr"/>
      <c r="V788" s="5" t="inlineStr"/>
    </row>
    <row r="789">
      <c r="A789" t="inlineStr">
        <is>
          <t>K0787</t>
        </is>
      </c>
      <c r="B789" t="inlineStr">
        <is>
          <t>tarif site internet maroc</t>
        </is>
      </c>
      <c r="C789" t="inlineStr">
        <is>
          <t>Morocco</t>
        </is>
      </c>
      <c r="D789" t="inlineStr">
        <is>
          <t>ma</t>
        </is>
      </c>
      <c r="E789" t="inlineStr">
        <is>
          <t>fr</t>
        </is>
      </c>
      <c r="F789" t="inlineStr">
        <is>
          <t>NOT AVAILABLE</t>
        </is>
      </c>
      <c r="G789" t="inlineStr">
        <is>
          <t>NOT AVAILABLE</t>
        </is>
      </c>
      <c r="H789" t="inlineStr">
        <is>
          <t>NOT AVAILABLE</t>
        </is>
      </c>
      <c r="I789" t="inlineStr">
        <is>
          <t>NOT AVAILABLE</t>
        </is>
      </c>
      <c r="J789" t="inlineStr">
        <is>
          <t>NOT AVAILABLE</t>
        </is>
      </c>
      <c r="K789" t="inlineStr">
        <is>
          <t>NOT AVAILABLE</t>
        </is>
      </c>
      <c r="L789" t="inlineStr">
        <is>
          <t>NOT AVAILABLE</t>
        </is>
      </c>
      <c r="M789" t="inlineStr">
        <is>
          <t>UNAVAILABLE</t>
        </is>
      </c>
      <c r="N789" s="5" t="inlineStr">
        <is>
          <t>Semrush phrase_these returned no data (not billed)</t>
        </is>
      </c>
      <c r="O789" t="inlineStr">
        <is>
          <t>2026-10-30</t>
        </is>
      </c>
      <c r="P789">
        <f>IF(IF(J789="NOT AVAILABLE","",J789)="",12,IF(OR(ISNUMBER(SEARCH("Transactional",IF(J789="NOT AVAILABLE","",J789))),ISNUMBER(SEARCH("Commercial",IF(J789="NOT AVAILABLE","",J789)))),25,IF(ISNUMBER(SEARCH("Informational",IF(J789="NOT AVAILABLE","",J789))),10,IF(ISNUMBER(SEARCH("Navigational",IF(J789="NOT AVAILABLE","",J789))),0,12))))</f>
        <v/>
      </c>
      <c r="Q789">
        <f>IF(ISNUMBER(F789),MIN(30,ROUND(30*LOG10(F789+1)/4,1)),0)</f>
        <v/>
      </c>
      <c r="R789">
        <f>IF(ISNUMBER(G789),ROUND(25*(100-G789)/100,1),12.5)</f>
        <v/>
      </c>
      <c r="S789" t="n">
        <v>20</v>
      </c>
      <c r="T789">
        <f>ROUND(P789+Q789+R789+S789,0)</f>
        <v/>
      </c>
      <c r="U789" s="5" t="inlineStr"/>
      <c r="V789" s="5" t="inlineStr"/>
    </row>
    <row r="790">
      <c r="A790" t="inlineStr">
        <is>
          <t>K0788</t>
        </is>
      </c>
      <c r="B790" t="inlineStr">
        <is>
          <t>test compatibilité mobile</t>
        </is>
      </c>
      <c r="C790" t="inlineStr">
        <is>
          <t>Morocco</t>
        </is>
      </c>
      <c r="D790" t="inlineStr">
        <is>
          <t>ma</t>
        </is>
      </c>
      <c r="E790" t="inlineStr">
        <is>
          <t>fr</t>
        </is>
      </c>
      <c r="F790" t="inlineStr">
        <is>
          <t>NOT AVAILABLE</t>
        </is>
      </c>
      <c r="G790" t="inlineStr">
        <is>
          <t>NOT AVAILABLE</t>
        </is>
      </c>
      <c r="H790" t="inlineStr">
        <is>
          <t>NOT AVAILABLE</t>
        </is>
      </c>
      <c r="I790" t="inlineStr">
        <is>
          <t>NOT AVAILABLE</t>
        </is>
      </c>
      <c r="J790" t="inlineStr">
        <is>
          <t>NOT AVAILABLE</t>
        </is>
      </c>
      <c r="K790" t="inlineStr">
        <is>
          <t>NOT AVAILABLE</t>
        </is>
      </c>
      <c r="L790" t="inlineStr">
        <is>
          <t>NOT AVAILABLE</t>
        </is>
      </c>
      <c r="M790" t="inlineStr">
        <is>
          <t>UNAVAILABLE</t>
        </is>
      </c>
      <c r="N790" s="5" t="inlineStr">
        <is>
          <t>Semrush phrase_these returned no data (not billed)</t>
        </is>
      </c>
      <c r="O790" t="inlineStr">
        <is>
          <t>2026-10-30</t>
        </is>
      </c>
      <c r="P790">
        <f>IF(IF(J790="NOT AVAILABLE","",J790)="",12,IF(OR(ISNUMBER(SEARCH("Transactional",IF(J790="NOT AVAILABLE","",J790))),ISNUMBER(SEARCH("Commercial",IF(J790="NOT AVAILABLE","",J790)))),25,IF(ISNUMBER(SEARCH("Informational",IF(J790="NOT AVAILABLE","",J790))),10,IF(ISNUMBER(SEARCH("Navigational",IF(J790="NOT AVAILABLE","",J790))),0,12))))</f>
        <v/>
      </c>
      <c r="Q790">
        <f>IF(ISNUMBER(F790),MIN(30,ROUND(30*LOG10(F790+1)/4,1)),0)</f>
        <v/>
      </c>
      <c r="R790">
        <f>IF(ISNUMBER(G790),ROUND(25*(100-G790)/100,1),12.5)</f>
        <v/>
      </c>
      <c r="S790" t="n">
        <v>20</v>
      </c>
      <c r="T790">
        <f>ROUND(P790+Q790+R790+S790,0)</f>
        <v/>
      </c>
      <c r="U790" s="5" t="inlineStr"/>
      <c r="V790" s="5" t="inlineStr"/>
    </row>
    <row r="791">
      <c r="A791" t="inlineStr">
        <is>
          <t>K0789</t>
        </is>
      </c>
      <c r="B791" t="inlineStr">
        <is>
          <t>test core web vitals</t>
        </is>
      </c>
      <c r="C791" t="inlineStr">
        <is>
          <t>Morocco</t>
        </is>
      </c>
      <c r="D791" t="inlineStr">
        <is>
          <t>ma</t>
        </is>
      </c>
      <c r="E791" t="inlineStr">
        <is>
          <t>fr</t>
        </is>
      </c>
      <c r="F791" t="inlineStr">
        <is>
          <t>NOT AVAILABLE</t>
        </is>
      </c>
      <c r="G791" t="inlineStr">
        <is>
          <t>NOT AVAILABLE</t>
        </is>
      </c>
      <c r="H791" t="inlineStr">
        <is>
          <t>NOT AVAILABLE</t>
        </is>
      </c>
      <c r="I791" t="inlineStr">
        <is>
          <t>NOT AVAILABLE</t>
        </is>
      </c>
      <c r="J791" t="inlineStr">
        <is>
          <t>NOT AVAILABLE</t>
        </is>
      </c>
      <c r="K791" t="inlineStr">
        <is>
          <t>NOT AVAILABLE</t>
        </is>
      </c>
      <c r="L791" t="inlineStr">
        <is>
          <t>NOT AVAILABLE</t>
        </is>
      </c>
      <c r="M791" t="inlineStr">
        <is>
          <t>UNAVAILABLE</t>
        </is>
      </c>
      <c r="N791" s="5" t="inlineStr">
        <is>
          <t>Semrush phrase_these returned no data (not billed)</t>
        </is>
      </c>
      <c r="O791" t="inlineStr">
        <is>
          <t>2026-10-30</t>
        </is>
      </c>
      <c r="P791">
        <f>IF(IF(J791="NOT AVAILABLE","",J791)="",12,IF(OR(ISNUMBER(SEARCH("Transactional",IF(J791="NOT AVAILABLE","",J791))),ISNUMBER(SEARCH("Commercial",IF(J791="NOT AVAILABLE","",J791)))),25,IF(ISNUMBER(SEARCH("Informational",IF(J791="NOT AVAILABLE","",J791))),10,IF(ISNUMBER(SEARCH("Navigational",IF(J791="NOT AVAILABLE","",J791))),0,12))))</f>
        <v/>
      </c>
      <c r="Q791">
        <f>IF(ISNUMBER(F791),MIN(30,ROUND(30*LOG10(F791+1)/4,1)),0)</f>
        <v/>
      </c>
      <c r="R791">
        <f>IF(ISNUMBER(G791),ROUND(25*(100-G791)/100,1),12.5)</f>
        <v/>
      </c>
      <c r="S791" t="n">
        <v>20</v>
      </c>
      <c r="T791">
        <f>ROUND(P791+Q791+R791+S791,0)</f>
        <v/>
      </c>
      <c r="U791" s="5" t="inlineStr"/>
      <c r="V791" s="5" t="inlineStr"/>
    </row>
    <row r="792">
      <c r="A792" t="inlineStr">
        <is>
          <t>K0790</t>
        </is>
      </c>
      <c r="B792" t="inlineStr">
        <is>
          <t>test données structurées</t>
        </is>
      </c>
      <c r="C792" t="inlineStr">
        <is>
          <t>Morocco</t>
        </is>
      </c>
      <c r="D792" t="inlineStr">
        <is>
          <t>ma</t>
        </is>
      </c>
      <c r="E792" t="inlineStr">
        <is>
          <t>fr</t>
        </is>
      </c>
      <c r="F792" t="inlineStr">
        <is>
          <t>NOT AVAILABLE</t>
        </is>
      </c>
      <c r="G792" t="inlineStr">
        <is>
          <t>NOT AVAILABLE</t>
        </is>
      </c>
      <c r="H792" t="inlineStr">
        <is>
          <t>NOT AVAILABLE</t>
        </is>
      </c>
      <c r="I792" t="inlineStr">
        <is>
          <t>NOT AVAILABLE</t>
        </is>
      </c>
      <c r="J792" t="inlineStr">
        <is>
          <t>NOT AVAILABLE</t>
        </is>
      </c>
      <c r="K792" t="inlineStr">
        <is>
          <t>NOT AVAILABLE</t>
        </is>
      </c>
      <c r="L792" t="inlineStr">
        <is>
          <t>NOT AVAILABLE</t>
        </is>
      </c>
      <c r="M792" t="inlineStr">
        <is>
          <t>UNAVAILABLE</t>
        </is>
      </c>
      <c r="N792" s="5" t="inlineStr">
        <is>
          <t>Semrush phrase_these returned no data (not billed)</t>
        </is>
      </c>
      <c r="O792" t="inlineStr">
        <is>
          <t>2026-10-30</t>
        </is>
      </c>
      <c r="P792">
        <f>IF(IF(J792="NOT AVAILABLE","",J792)="",12,IF(OR(ISNUMBER(SEARCH("Transactional",IF(J792="NOT AVAILABLE","",J792))),ISNUMBER(SEARCH("Commercial",IF(J792="NOT AVAILABLE","",J792)))),25,IF(ISNUMBER(SEARCH("Informational",IF(J792="NOT AVAILABLE","",J792))),10,IF(ISNUMBER(SEARCH("Navigational",IF(J792="NOT AVAILABLE","",J792))),0,12))))</f>
        <v/>
      </c>
      <c r="Q792">
        <f>IF(ISNUMBER(F792),MIN(30,ROUND(30*LOG10(F792+1)/4,1)),0)</f>
        <v/>
      </c>
      <c r="R792">
        <f>IF(ISNUMBER(G792),ROUND(25*(100-G792)/100,1),12.5)</f>
        <v/>
      </c>
      <c r="S792" t="n">
        <v>20</v>
      </c>
      <c r="T792">
        <f>ROUND(P792+Q792+R792+S792,0)</f>
        <v/>
      </c>
      <c r="U792" s="5" t="inlineStr"/>
      <c r="V792" s="5" t="inlineStr"/>
    </row>
    <row r="793">
      <c r="A793" t="inlineStr">
        <is>
          <t>K0791</t>
        </is>
      </c>
      <c r="B793" t="inlineStr">
        <is>
          <t>test en-têtes http</t>
        </is>
      </c>
      <c r="C793" t="inlineStr">
        <is>
          <t>Morocco</t>
        </is>
      </c>
      <c r="D793" t="inlineStr">
        <is>
          <t>ma</t>
        </is>
      </c>
      <c r="E793" t="inlineStr">
        <is>
          <t>fr</t>
        </is>
      </c>
      <c r="F793" t="inlineStr">
        <is>
          <t>NOT AVAILABLE</t>
        </is>
      </c>
      <c r="G793" t="inlineStr">
        <is>
          <t>NOT AVAILABLE</t>
        </is>
      </c>
      <c r="H793" t="inlineStr">
        <is>
          <t>NOT AVAILABLE</t>
        </is>
      </c>
      <c r="I793" t="inlineStr">
        <is>
          <t>NOT AVAILABLE</t>
        </is>
      </c>
      <c r="J793" t="inlineStr">
        <is>
          <t>NOT AVAILABLE</t>
        </is>
      </c>
      <c r="K793" t="inlineStr">
        <is>
          <t>NOT AVAILABLE</t>
        </is>
      </c>
      <c r="L793" t="inlineStr">
        <is>
          <t>NOT AVAILABLE</t>
        </is>
      </c>
      <c r="M793" t="inlineStr">
        <is>
          <t>UNAVAILABLE</t>
        </is>
      </c>
      <c r="N793" s="5" t="inlineStr">
        <is>
          <t>Semrush phrase_these returned no data (not billed)</t>
        </is>
      </c>
      <c r="O793" t="inlineStr">
        <is>
          <t>2026-10-30</t>
        </is>
      </c>
      <c r="P793">
        <f>IF(IF(J793="NOT AVAILABLE","",J793)="",12,IF(OR(ISNUMBER(SEARCH("Transactional",IF(J793="NOT AVAILABLE","",J793))),ISNUMBER(SEARCH("Commercial",IF(J793="NOT AVAILABLE","",J793)))),25,IF(ISNUMBER(SEARCH("Informational",IF(J793="NOT AVAILABLE","",J793))),10,IF(ISNUMBER(SEARCH("Navigational",IF(J793="NOT AVAILABLE","",J793))),0,12))))</f>
        <v/>
      </c>
      <c r="Q793">
        <f>IF(ISNUMBER(F793),MIN(30,ROUND(30*LOG10(F793+1)/4,1)),0)</f>
        <v/>
      </c>
      <c r="R793">
        <f>IF(ISNUMBER(G793),ROUND(25*(100-G793)/100,1),12.5)</f>
        <v/>
      </c>
      <c r="S793" t="n">
        <v>20</v>
      </c>
      <c r="T793">
        <f>ROUND(P793+Q793+R793+S793,0)</f>
        <v/>
      </c>
      <c r="U793" s="5" t="inlineStr"/>
      <c r="V793" s="5" t="inlineStr"/>
    </row>
    <row r="794">
      <c r="A794" t="inlineStr">
        <is>
          <t>K0792</t>
        </is>
      </c>
      <c r="B794" t="inlineStr">
        <is>
          <t>test lisibilité</t>
        </is>
      </c>
      <c r="C794" t="inlineStr">
        <is>
          <t>Morocco</t>
        </is>
      </c>
      <c r="D794" t="inlineStr">
        <is>
          <t>ma</t>
        </is>
      </c>
      <c r="E794" t="inlineStr">
        <is>
          <t>fr</t>
        </is>
      </c>
      <c r="F794" t="inlineStr">
        <is>
          <t>NOT AVAILABLE</t>
        </is>
      </c>
      <c r="G794" t="inlineStr">
        <is>
          <t>NOT AVAILABLE</t>
        </is>
      </c>
      <c r="H794" t="inlineStr">
        <is>
          <t>NOT AVAILABLE</t>
        </is>
      </c>
      <c r="I794" t="inlineStr">
        <is>
          <t>NOT AVAILABLE</t>
        </is>
      </c>
      <c r="J794" t="inlineStr">
        <is>
          <t>NOT AVAILABLE</t>
        </is>
      </c>
      <c r="K794" t="inlineStr">
        <is>
          <t>NOT AVAILABLE</t>
        </is>
      </c>
      <c r="L794" t="inlineStr">
        <is>
          <t>NOT AVAILABLE</t>
        </is>
      </c>
      <c r="M794" t="inlineStr">
        <is>
          <t>UNAVAILABLE</t>
        </is>
      </c>
      <c r="N794" s="5" t="inlineStr">
        <is>
          <t>Semrush phrase_these returned no data (not billed)</t>
        </is>
      </c>
      <c r="O794" t="inlineStr">
        <is>
          <t>2026-10-30</t>
        </is>
      </c>
      <c r="P794">
        <f>IF(IF(J794="NOT AVAILABLE","",J794)="",12,IF(OR(ISNUMBER(SEARCH("Transactional",IF(J794="NOT AVAILABLE","",J794))),ISNUMBER(SEARCH("Commercial",IF(J794="NOT AVAILABLE","",J794)))),25,IF(ISNUMBER(SEARCH("Informational",IF(J794="NOT AVAILABLE","",J794))),10,IF(ISNUMBER(SEARCH("Navigational",IF(J794="NOT AVAILABLE","",J794))),0,12))))</f>
        <v/>
      </c>
      <c r="Q794">
        <f>IF(ISNUMBER(F794),MIN(30,ROUND(30*LOG10(F794+1)/4,1)),0)</f>
        <v/>
      </c>
      <c r="R794">
        <f>IF(ISNUMBER(G794),ROUND(25*(100-G794)/100,1),12.5)</f>
        <v/>
      </c>
      <c r="S794" t="n">
        <v>20</v>
      </c>
      <c r="T794">
        <f>ROUND(P794+Q794+R794+S794,0)</f>
        <v/>
      </c>
      <c r="U794" s="5" t="inlineStr"/>
      <c r="V794" s="5" t="inlineStr"/>
    </row>
    <row r="795">
      <c r="A795" t="inlineStr">
        <is>
          <t>K0793</t>
        </is>
      </c>
      <c r="B795" t="inlineStr">
        <is>
          <t>tester données structurées</t>
        </is>
      </c>
      <c r="C795" t="inlineStr">
        <is>
          <t>Morocco</t>
        </is>
      </c>
      <c r="D795" t="inlineStr">
        <is>
          <t>ma</t>
        </is>
      </c>
      <c r="E795" t="inlineStr">
        <is>
          <t>fr</t>
        </is>
      </c>
      <c r="F795" t="inlineStr">
        <is>
          <t>NOT AVAILABLE</t>
        </is>
      </c>
      <c r="G795" t="inlineStr">
        <is>
          <t>NOT AVAILABLE</t>
        </is>
      </c>
      <c r="H795" t="inlineStr">
        <is>
          <t>NOT AVAILABLE</t>
        </is>
      </c>
      <c r="I795" t="inlineStr">
        <is>
          <t>NOT AVAILABLE</t>
        </is>
      </c>
      <c r="J795" t="inlineStr">
        <is>
          <t>NOT AVAILABLE</t>
        </is>
      </c>
      <c r="K795" t="inlineStr">
        <is>
          <t>NOT AVAILABLE</t>
        </is>
      </c>
      <c r="L795" t="inlineStr">
        <is>
          <t>NOT AVAILABLE</t>
        </is>
      </c>
      <c r="M795" t="inlineStr">
        <is>
          <t>UNAVAILABLE</t>
        </is>
      </c>
      <c r="N795" s="5" t="inlineStr">
        <is>
          <t>Semrush phrase_these returned no data (not billed)</t>
        </is>
      </c>
      <c r="O795" t="inlineStr">
        <is>
          <t>2026-10-30</t>
        </is>
      </c>
      <c r="P795">
        <f>IF(IF(J795="NOT AVAILABLE","",J795)="",12,IF(OR(ISNUMBER(SEARCH("Transactional",IF(J795="NOT AVAILABLE","",J795))),ISNUMBER(SEARCH("Commercial",IF(J795="NOT AVAILABLE","",J795)))),25,IF(ISNUMBER(SEARCH("Informational",IF(J795="NOT AVAILABLE","",J795))),10,IF(ISNUMBER(SEARCH("Navigational",IF(J795="NOT AVAILABLE","",J795))),0,12))))</f>
        <v/>
      </c>
      <c r="Q795">
        <f>IF(ISNUMBER(F795),MIN(30,ROUND(30*LOG10(F795+1)/4,1)),0)</f>
        <v/>
      </c>
      <c r="R795">
        <f>IF(ISNUMBER(G795),ROUND(25*(100-G795)/100,1),12.5)</f>
        <v/>
      </c>
      <c r="S795" t="n">
        <v>20</v>
      </c>
      <c r="T795">
        <f>ROUND(P795+Q795+R795+S795,0)</f>
        <v/>
      </c>
      <c r="U795" s="5" t="inlineStr"/>
      <c r="V795" s="5" t="inlineStr"/>
    </row>
    <row r="796">
      <c r="A796" t="inlineStr">
        <is>
          <t>K0794</t>
        </is>
      </c>
      <c r="B796" t="inlineStr">
        <is>
          <t>tester robots.txt</t>
        </is>
      </c>
      <c r="C796" t="inlineStr">
        <is>
          <t>Morocco</t>
        </is>
      </c>
      <c r="D796" t="inlineStr">
        <is>
          <t>ma</t>
        </is>
      </c>
      <c r="E796" t="inlineStr">
        <is>
          <t>fr</t>
        </is>
      </c>
      <c r="F796" t="inlineStr">
        <is>
          <t>NOT AVAILABLE</t>
        </is>
      </c>
      <c r="G796" t="inlineStr">
        <is>
          <t>NOT AVAILABLE</t>
        </is>
      </c>
      <c r="H796" t="inlineStr">
        <is>
          <t>NOT AVAILABLE</t>
        </is>
      </c>
      <c r="I796" t="inlineStr">
        <is>
          <t>NOT AVAILABLE</t>
        </is>
      </c>
      <c r="J796" t="inlineStr">
        <is>
          <t>NOT AVAILABLE</t>
        </is>
      </c>
      <c r="K796" t="inlineStr">
        <is>
          <t>NOT AVAILABLE</t>
        </is>
      </c>
      <c r="L796" t="inlineStr">
        <is>
          <t>NOT AVAILABLE</t>
        </is>
      </c>
      <c r="M796" t="inlineStr">
        <is>
          <t>UNAVAILABLE</t>
        </is>
      </c>
      <c r="N796" s="5" t="inlineStr">
        <is>
          <t>Semrush phrase_these returned no data (not billed)</t>
        </is>
      </c>
      <c r="O796" t="inlineStr">
        <is>
          <t>2026-10-30</t>
        </is>
      </c>
      <c r="P796">
        <f>IF(IF(J796="NOT AVAILABLE","",J796)="",12,IF(OR(ISNUMBER(SEARCH("Transactional",IF(J796="NOT AVAILABLE","",J796))),ISNUMBER(SEARCH("Commercial",IF(J796="NOT AVAILABLE","",J796)))),25,IF(ISNUMBER(SEARCH("Informational",IF(J796="NOT AVAILABLE","",J796))),10,IF(ISNUMBER(SEARCH("Navigational",IF(J796="NOT AVAILABLE","",J796))),0,12))))</f>
        <v/>
      </c>
      <c r="Q796">
        <f>IF(ISNUMBER(F796),MIN(30,ROUND(30*LOG10(F796+1)/4,1)),0)</f>
        <v/>
      </c>
      <c r="R796">
        <f>IF(ISNUMBER(G796),ROUND(25*(100-G796)/100,1),12.5)</f>
        <v/>
      </c>
      <c r="S796" t="n">
        <v>20</v>
      </c>
      <c r="T796">
        <f>ROUND(P796+Q796+R796+S796,0)</f>
        <v/>
      </c>
      <c r="U796" s="5" t="inlineStr"/>
      <c r="V796" s="5" t="inlineStr"/>
    </row>
    <row r="797">
      <c r="A797" t="inlineStr">
        <is>
          <t>K0795</t>
        </is>
      </c>
      <c r="B797" t="inlineStr">
        <is>
          <t>tester son site web</t>
        </is>
      </c>
      <c r="C797" t="inlineStr">
        <is>
          <t>Morocco</t>
        </is>
      </c>
      <c r="D797" t="inlineStr">
        <is>
          <t>ma</t>
        </is>
      </c>
      <c r="E797" t="inlineStr">
        <is>
          <t>fr</t>
        </is>
      </c>
      <c r="F797" t="n">
        <v>0</v>
      </c>
      <c r="G797" t="inlineStr">
        <is>
          <t>NOT AVAILABLE</t>
        </is>
      </c>
      <c r="H797" t="n">
        <v>0</v>
      </c>
      <c r="I797" t="n">
        <v>0</v>
      </c>
      <c r="J797" t="inlineStr">
        <is>
          <t>NOT AVAILABLE</t>
        </is>
      </c>
      <c r="K797" t="inlineStr">
        <is>
          <t>NOT AVAILABLE (report not requested)</t>
        </is>
      </c>
      <c r="L797" t="inlineStr">
        <is>
          <t>flat (no data)</t>
        </is>
      </c>
      <c r="M797" t="inlineStr">
        <is>
          <t>MEASURED</t>
        </is>
      </c>
      <c r="N797" s="5" t="inlineStr">
        <is>
          <t>Semrush phrase_these (historical w3-validate-G-tools.csv)</t>
        </is>
      </c>
      <c r="O797" t="inlineStr">
        <is>
          <t>2026-10-27</t>
        </is>
      </c>
      <c r="P797">
        <f>IF(IF(J797="NOT AVAILABLE","",J797)="",12,IF(OR(ISNUMBER(SEARCH("Transactional",IF(J797="NOT AVAILABLE","",J797))),ISNUMBER(SEARCH("Commercial",IF(J797="NOT AVAILABLE","",J797)))),25,IF(ISNUMBER(SEARCH("Informational",IF(J797="NOT AVAILABLE","",J797))),10,IF(ISNUMBER(SEARCH("Navigational",IF(J797="NOT AVAILABLE","",J797))),0,12))))</f>
        <v/>
      </c>
      <c r="Q797">
        <f>IF(ISNUMBER(F797),MIN(30,ROUND(30*LOG10(F797+1)/4,1)),0)</f>
        <v/>
      </c>
      <c r="R797">
        <f>IF(ISNUMBER(G797),ROUND(25*(100-G797)/100,1),12.5)</f>
        <v/>
      </c>
      <c r="S797" t="n">
        <v>20</v>
      </c>
      <c r="T797">
        <f>ROUND(P797+Q797+R797+S797,0)</f>
        <v/>
      </c>
      <c r="U797" s="5" t="inlineStr"/>
      <c r="V797" s="5" t="inlineStr"/>
    </row>
    <row r="798">
      <c r="A798" t="inlineStr">
        <is>
          <t>K0796</t>
        </is>
      </c>
      <c r="B798" t="inlineStr">
        <is>
          <t>texte alternatif image</t>
        </is>
      </c>
      <c r="C798" t="inlineStr">
        <is>
          <t>Morocco</t>
        </is>
      </c>
      <c r="D798" t="inlineStr">
        <is>
          <t>ma</t>
        </is>
      </c>
      <c r="E798" t="inlineStr">
        <is>
          <t>fr</t>
        </is>
      </c>
      <c r="F798" t="inlineStr">
        <is>
          <t>NOT AVAILABLE</t>
        </is>
      </c>
      <c r="G798" t="inlineStr">
        <is>
          <t>NOT AVAILABLE</t>
        </is>
      </c>
      <c r="H798" t="inlineStr">
        <is>
          <t>NOT AVAILABLE</t>
        </is>
      </c>
      <c r="I798" t="inlineStr">
        <is>
          <t>NOT AVAILABLE</t>
        </is>
      </c>
      <c r="J798" t="inlineStr">
        <is>
          <t>NOT AVAILABLE</t>
        </is>
      </c>
      <c r="K798" t="inlineStr">
        <is>
          <t>NOT AVAILABLE</t>
        </is>
      </c>
      <c r="L798" t="inlineStr">
        <is>
          <t>NOT AVAILABLE</t>
        </is>
      </c>
      <c r="M798" t="inlineStr">
        <is>
          <t>UNAVAILABLE</t>
        </is>
      </c>
      <c r="N798" s="5" t="inlineStr">
        <is>
          <t>Semrush phrase_these returned no data (not billed)</t>
        </is>
      </c>
      <c r="O798" t="inlineStr">
        <is>
          <t>2026-10-30</t>
        </is>
      </c>
      <c r="P798">
        <f>IF(IF(J798="NOT AVAILABLE","",J798)="",12,IF(OR(ISNUMBER(SEARCH("Transactional",IF(J798="NOT AVAILABLE","",J798))),ISNUMBER(SEARCH("Commercial",IF(J798="NOT AVAILABLE","",J798)))),25,IF(ISNUMBER(SEARCH("Informational",IF(J798="NOT AVAILABLE","",J798))),10,IF(ISNUMBER(SEARCH("Navigational",IF(J798="NOT AVAILABLE","",J798))),0,12))))</f>
        <v/>
      </c>
      <c r="Q798">
        <f>IF(ISNUMBER(F798),MIN(30,ROUND(30*LOG10(F798+1)/4,1)),0)</f>
        <v/>
      </c>
      <c r="R798">
        <f>IF(ISNUMBER(G798),ROUND(25*(100-G798)/100,1),12.5)</f>
        <v/>
      </c>
      <c r="S798" t="n">
        <v>20</v>
      </c>
      <c r="T798">
        <f>ROUND(P798+Q798+R798+S798,0)</f>
        <v/>
      </c>
      <c r="U798" s="5" t="inlineStr"/>
      <c r="V798" s="5" t="inlineStr"/>
    </row>
    <row r="799">
      <c r="A799" t="inlineStr">
        <is>
          <t>K0797</t>
        </is>
      </c>
      <c r="B799" t="inlineStr">
        <is>
          <t>trier lignes</t>
        </is>
      </c>
      <c r="C799" t="inlineStr">
        <is>
          <t>Morocco</t>
        </is>
      </c>
      <c r="D799" t="inlineStr">
        <is>
          <t>ma</t>
        </is>
      </c>
      <c r="E799" t="inlineStr">
        <is>
          <t>fr</t>
        </is>
      </c>
      <c r="F799" t="inlineStr">
        <is>
          <t>NOT AVAILABLE</t>
        </is>
      </c>
      <c r="G799" t="inlineStr">
        <is>
          <t>NOT AVAILABLE</t>
        </is>
      </c>
      <c r="H799" t="inlineStr">
        <is>
          <t>NOT AVAILABLE</t>
        </is>
      </c>
      <c r="I799" t="inlineStr">
        <is>
          <t>NOT AVAILABLE</t>
        </is>
      </c>
      <c r="J799" t="inlineStr">
        <is>
          <t>NOT AVAILABLE</t>
        </is>
      </c>
      <c r="K799" t="inlineStr">
        <is>
          <t>NOT AVAILABLE</t>
        </is>
      </c>
      <c r="L799" t="inlineStr">
        <is>
          <t>NOT AVAILABLE</t>
        </is>
      </c>
      <c r="M799" t="inlineStr">
        <is>
          <t>UNAVAILABLE</t>
        </is>
      </c>
      <c r="N799" s="5" t="inlineStr">
        <is>
          <t>Semrush phrase_these returned no data (not billed)</t>
        </is>
      </c>
      <c r="O799" t="inlineStr">
        <is>
          <t>2026-10-30</t>
        </is>
      </c>
      <c r="P799">
        <f>IF(IF(J799="NOT AVAILABLE","",J799)="",12,IF(OR(ISNUMBER(SEARCH("Transactional",IF(J799="NOT AVAILABLE","",J799))),ISNUMBER(SEARCH("Commercial",IF(J799="NOT AVAILABLE","",J799)))),25,IF(ISNUMBER(SEARCH("Informational",IF(J799="NOT AVAILABLE","",J799))),10,IF(ISNUMBER(SEARCH("Navigational",IF(J799="NOT AVAILABLE","",J799))),0,12))))</f>
        <v/>
      </c>
      <c r="Q799">
        <f>IF(ISNUMBER(F799),MIN(30,ROUND(30*LOG10(F799+1)/4,1)),0)</f>
        <v/>
      </c>
      <c r="R799">
        <f>IF(ISNUMBER(G799),ROUND(25*(100-G799)/100,1),12.5)</f>
        <v/>
      </c>
      <c r="S799" t="n">
        <v>20</v>
      </c>
      <c r="T799">
        <f>ROUND(P799+Q799+R799+S799,0)</f>
        <v/>
      </c>
      <c r="U799" s="5" t="inlineStr"/>
      <c r="V799" s="5" t="inlineStr"/>
    </row>
    <row r="800">
      <c r="A800" t="inlineStr">
        <is>
          <t>K0798</t>
        </is>
      </c>
      <c r="B800" t="inlineStr">
        <is>
          <t>trouver mots clés</t>
        </is>
      </c>
      <c r="C800" t="inlineStr">
        <is>
          <t>Morocco</t>
        </is>
      </c>
      <c r="D800" t="inlineStr">
        <is>
          <t>ma</t>
        </is>
      </c>
      <c r="E800" t="inlineStr">
        <is>
          <t>fr</t>
        </is>
      </c>
      <c r="F800" t="inlineStr">
        <is>
          <t>NOT AVAILABLE</t>
        </is>
      </c>
      <c r="G800" t="inlineStr">
        <is>
          <t>NOT AVAILABLE</t>
        </is>
      </c>
      <c r="H800" t="inlineStr">
        <is>
          <t>NOT AVAILABLE</t>
        </is>
      </c>
      <c r="I800" t="inlineStr">
        <is>
          <t>NOT AVAILABLE</t>
        </is>
      </c>
      <c r="J800" t="inlineStr">
        <is>
          <t>NOT AVAILABLE</t>
        </is>
      </c>
      <c r="K800" t="inlineStr">
        <is>
          <t>NOT AVAILABLE</t>
        </is>
      </c>
      <c r="L800" t="inlineStr">
        <is>
          <t>NOT AVAILABLE</t>
        </is>
      </c>
      <c r="M800" t="inlineStr">
        <is>
          <t>UNAVAILABLE</t>
        </is>
      </c>
      <c r="N800" s="5" t="inlineStr">
        <is>
          <t>Semrush phrase_these returned no data (not billed)</t>
        </is>
      </c>
      <c r="O800" t="inlineStr">
        <is>
          <t>2026-10-30</t>
        </is>
      </c>
      <c r="P800">
        <f>IF(IF(J800="NOT AVAILABLE","",J800)="",12,IF(OR(ISNUMBER(SEARCH("Transactional",IF(J800="NOT AVAILABLE","",J800))),ISNUMBER(SEARCH("Commercial",IF(J800="NOT AVAILABLE","",J800)))),25,IF(ISNUMBER(SEARCH("Informational",IF(J800="NOT AVAILABLE","",J800))),10,IF(ISNUMBER(SEARCH("Navigational",IF(J800="NOT AVAILABLE","",J800))),0,12))))</f>
        <v/>
      </c>
      <c r="Q800">
        <f>IF(ISNUMBER(F800),MIN(30,ROUND(30*LOG10(F800+1)/4,1)),0)</f>
        <v/>
      </c>
      <c r="R800">
        <f>IF(ISNUMBER(G800),ROUND(25*(100-G800)/100,1),12.5)</f>
        <v/>
      </c>
      <c r="S800" t="n">
        <v>20</v>
      </c>
      <c r="T800">
        <f>ROUND(P800+Q800+R800+S800,0)</f>
        <v/>
      </c>
      <c r="U800" s="5" t="inlineStr"/>
      <c r="V800" s="5" t="inlineStr"/>
    </row>
    <row r="801">
      <c r="A801" t="inlineStr">
        <is>
          <t>K0799</t>
        </is>
      </c>
      <c r="B801" t="inlineStr">
        <is>
          <t>téléconsultation maroc</t>
        </is>
      </c>
      <c r="C801" t="inlineStr">
        <is>
          <t>Morocco</t>
        </is>
      </c>
      <c r="D801" t="inlineStr">
        <is>
          <t>ma</t>
        </is>
      </c>
      <c r="E801" t="inlineStr">
        <is>
          <t>fr</t>
        </is>
      </c>
      <c r="F801" t="inlineStr">
        <is>
          <t>NOT AVAILABLE</t>
        </is>
      </c>
      <c r="G801" t="inlineStr">
        <is>
          <t>NOT AVAILABLE</t>
        </is>
      </c>
      <c r="H801" t="inlineStr">
        <is>
          <t>NOT AVAILABLE</t>
        </is>
      </c>
      <c r="I801" t="inlineStr">
        <is>
          <t>NOT AVAILABLE</t>
        </is>
      </c>
      <c r="J801" t="inlineStr">
        <is>
          <t>NOT AVAILABLE</t>
        </is>
      </c>
      <c r="K801" t="inlineStr">
        <is>
          <t>NOT AVAILABLE</t>
        </is>
      </c>
      <c r="L801" t="inlineStr">
        <is>
          <t>NOT AVAILABLE</t>
        </is>
      </c>
      <c r="M801" t="inlineStr">
        <is>
          <t>UNAVAILABLE</t>
        </is>
      </c>
      <c r="N801" s="5" t="inlineStr">
        <is>
          <t>Semrush phrase_these returned no data (not billed)</t>
        </is>
      </c>
      <c r="O801" t="inlineStr">
        <is>
          <t>2026-10-30</t>
        </is>
      </c>
      <c r="P801">
        <f>IF(IF(J801="NOT AVAILABLE","",J801)="",12,IF(OR(ISNUMBER(SEARCH("Transactional",IF(J801="NOT AVAILABLE","",J801))),ISNUMBER(SEARCH("Commercial",IF(J801="NOT AVAILABLE","",J801)))),25,IF(ISNUMBER(SEARCH("Informational",IF(J801="NOT AVAILABLE","",J801))),10,IF(ISNUMBER(SEARCH("Navigational",IF(J801="NOT AVAILABLE","",J801))),0,12))))</f>
        <v/>
      </c>
      <c r="Q801">
        <f>IF(ISNUMBER(F801),MIN(30,ROUND(30*LOG10(F801+1)/4,1)),0)</f>
        <v/>
      </c>
      <c r="R801">
        <f>IF(ISNUMBER(G801),ROUND(25*(100-G801)/100,1),12.5)</f>
        <v/>
      </c>
      <c r="S801" t="n">
        <v>20</v>
      </c>
      <c r="T801">
        <f>ROUND(P801+Q801+R801+S801,0)</f>
        <v/>
      </c>
      <c r="U801" s="5" t="inlineStr"/>
      <c r="V801" s="5" t="inlineStr"/>
    </row>
    <row r="802">
      <c r="A802" t="inlineStr">
        <is>
          <t>K0800</t>
        </is>
      </c>
      <c r="B802" t="inlineStr">
        <is>
          <t>téléconsultation site</t>
        </is>
      </c>
      <c r="C802" t="inlineStr">
        <is>
          <t>Morocco</t>
        </is>
      </c>
      <c r="D802" t="inlineStr">
        <is>
          <t>ma</t>
        </is>
      </c>
      <c r="E802" t="inlineStr">
        <is>
          <t>fr</t>
        </is>
      </c>
      <c r="F802" t="inlineStr">
        <is>
          <t>NOT AVAILABLE</t>
        </is>
      </c>
      <c r="G802" t="inlineStr">
        <is>
          <t>NOT AVAILABLE</t>
        </is>
      </c>
      <c r="H802" t="inlineStr">
        <is>
          <t>NOT AVAILABLE</t>
        </is>
      </c>
      <c r="I802" t="inlineStr">
        <is>
          <t>NOT AVAILABLE</t>
        </is>
      </c>
      <c r="J802" t="inlineStr">
        <is>
          <t>NOT AVAILABLE</t>
        </is>
      </c>
      <c r="K802" t="inlineStr">
        <is>
          <t>NOT AVAILABLE</t>
        </is>
      </c>
      <c r="L802" t="inlineStr">
        <is>
          <t>NOT AVAILABLE</t>
        </is>
      </c>
      <c r="M802" t="inlineStr">
        <is>
          <t>UNAVAILABLE</t>
        </is>
      </c>
      <c r="N802" s="5" t="inlineStr">
        <is>
          <t>Semrush phrase_these returned no data (not billed)</t>
        </is>
      </c>
      <c r="O802" t="inlineStr">
        <is>
          <t>2026-10-30</t>
        </is>
      </c>
      <c r="P802">
        <f>IF(IF(J802="NOT AVAILABLE","",J802)="",12,IF(OR(ISNUMBER(SEARCH("Transactional",IF(J802="NOT AVAILABLE","",J802))),ISNUMBER(SEARCH("Commercial",IF(J802="NOT AVAILABLE","",J802)))),25,IF(ISNUMBER(SEARCH("Informational",IF(J802="NOT AVAILABLE","",J802))),10,IF(ISNUMBER(SEARCH("Navigational",IF(J802="NOT AVAILABLE","",J802))),0,12))))</f>
        <v/>
      </c>
      <c r="Q802">
        <f>IF(ISNUMBER(F802),MIN(30,ROUND(30*LOG10(F802+1)/4,1)),0)</f>
        <v/>
      </c>
      <c r="R802">
        <f>IF(ISNUMBER(G802),ROUND(25*(100-G802)/100,1),12.5)</f>
        <v/>
      </c>
      <c r="S802" t="n">
        <v>20</v>
      </c>
      <c r="T802">
        <f>ROUND(P802+Q802+R802+S802,0)</f>
        <v/>
      </c>
      <c r="U802" s="5" t="inlineStr"/>
      <c r="V802" s="5" t="inlineStr"/>
    </row>
    <row r="803">
      <c r="A803" t="inlineStr">
        <is>
          <t>K0801</t>
        </is>
      </c>
      <c r="B803" t="inlineStr">
        <is>
          <t>validateur robots.txt</t>
        </is>
      </c>
      <c r="C803" t="inlineStr">
        <is>
          <t>Morocco</t>
        </is>
      </c>
      <c r="D803" t="inlineStr">
        <is>
          <t>ma</t>
        </is>
      </c>
      <c r="E803" t="inlineStr">
        <is>
          <t>fr</t>
        </is>
      </c>
      <c r="F803" t="inlineStr">
        <is>
          <t>NOT AVAILABLE</t>
        </is>
      </c>
      <c r="G803" t="inlineStr">
        <is>
          <t>NOT AVAILABLE</t>
        </is>
      </c>
      <c r="H803" t="inlineStr">
        <is>
          <t>NOT AVAILABLE</t>
        </is>
      </c>
      <c r="I803" t="inlineStr">
        <is>
          <t>NOT AVAILABLE</t>
        </is>
      </c>
      <c r="J803" t="inlineStr">
        <is>
          <t>NOT AVAILABLE</t>
        </is>
      </c>
      <c r="K803" t="inlineStr">
        <is>
          <t>NOT AVAILABLE</t>
        </is>
      </c>
      <c r="L803" t="inlineStr">
        <is>
          <t>NOT AVAILABLE</t>
        </is>
      </c>
      <c r="M803" t="inlineStr">
        <is>
          <t>UNAVAILABLE</t>
        </is>
      </c>
      <c r="N803" s="5" t="inlineStr">
        <is>
          <t>Semrush phrase_these returned no data (not billed)</t>
        </is>
      </c>
      <c r="O803" t="inlineStr">
        <is>
          <t>2026-10-30</t>
        </is>
      </c>
      <c r="P803">
        <f>IF(IF(J803="NOT AVAILABLE","",J803)="",12,IF(OR(ISNUMBER(SEARCH("Transactional",IF(J803="NOT AVAILABLE","",J803))),ISNUMBER(SEARCH("Commercial",IF(J803="NOT AVAILABLE","",J803)))),25,IF(ISNUMBER(SEARCH("Informational",IF(J803="NOT AVAILABLE","",J803))),10,IF(ISNUMBER(SEARCH("Navigational",IF(J803="NOT AVAILABLE","",J803))),0,12))))</f>
        <v/>
      </c>
      <c r="Q803">
        <f>IF(ISNUMBER(F803),MIN(30,ROUND(30*LOG10(F803+1)/4,1)),0)</f>
        <v/>
      </c>
      <c r="R803">
        <f>IF(ISNUMBER(G803),ROUND(25*(100-G803)/100,1),12.5)</f>
        <v/>
      </c>
      <c r="S803" t="n">
        <v>20</v>
      </c>
      <c r="T803">
        <f>ROUND(P803+Q803+R803+S803,0)</f>
        <v/>
      </c>
      <c r="U803" s="5" t="inlineStr"/>
      <c r="V803" s="5" t="inlineStr"/>
    </row>
    <row r="804">
      <c r="A804" t="inlineStr">
        <is>
          <t>K0802</t>
        </is>
      </c>
      <c r="B804" t="inlineStr">
        <is>
          <t>valider robots.txt</t>
        </is>
      </c>
      <c r="C804" t="inlineStr">
        <is>
          <t>Morocco</t>
        </is>
      </c>
      <c r="D804" t="inlineStr">
        <is>
          <t>ma</t>
        </is>
      </c>
      <c r="E804" t="inlineStr">
        <is>
          <t>fr</t>
        </is>
      </c>
      <c r="F804" t="inlineStr">
        <is>
          <t>NOT AVAILABLE</t>
        </is>
      </c>
      <c r="G804" t="inlineStr">
        <is>
          <t>NOT AVAILABLE</t>
        </is>
      </c>
      <c r="H804" t="inlineStr">
        <is>
          <t>NOT AVAILABLE</t>
        </is>
      </c>
      <c r="I804" t="inlineStr">
        <is>
          <t>NOT AVAILABLE</t>
        </is>
      </c>
      <c r="J804" t="inlineStr">
        <is>
          <t>NOT AVAILABLE</t>
        </is>
      </c>
      <c r="K804" t="inlineStr">
        <is>
          <t>NOT AVAILABLE</t>
        </is>
      </c>
      <c r="L804" t="inlineStr">
        <is>
          <t>NOT AVAILABLE</t>
        </is>
      </c>
      <c r="M804" t="inlineStr">
        <is>
          <t>UNAVAILABLE</t>
        </is>
      </c>
      <c r="N804" s="5" t="inlineStr">
        <is>
          <t>Semrush phrase_these returned no data (not billed)</t>
        </is>
      </c>
      <c r="O804" t="inlineStr">
        <is>
          <t>2026-10-30</t>
        </is>
      </c>
      <c r="P804">
        <f>IF(IF(J804="NOT AVAILABLE","",J804)="",12,IF(OR(ISNUMBER(SEARCH("Transactional",IF(J804="NOT AVAILABLE","",J804))),ISNUMBER(SEARCH("Commercial",IF(J804="NOT AVAILABLE","",J804)))),25,IF(ISNUMBER(SEARCH("Informational",IF(J804="NOT AVAILABLE","",J804))),10,IF(ISNUMBER(SEARCH("Navigational",IF(J804="NOT AVAILABLE","",J804))),0,12))))</f>
        <v/>
      </c>
      <c r="Q804">
        <f>IF(ISNUMBER(F804),MIN(30,ROUND(30*LOG10(F804+1)/4,1)),0)</f>
        <v/>
      </c>
      <c r="R804">
        <f>IF(ISNUMBER(G804),ROUND(25*(100-G804)/100,1),12.5)</f>
        <v/>
      </c>
      <c r="S804" t="n">
        <v>20</v>
      </c>
      <c r="T804">
        <f>ROUND(P804+Q804+R804+S804,0)</f>
        <v/>
      </c>
      <c r="U804" s="5" t="inlineStr"/>
      <c r="V804" s="5" t="inlineStr"/>
    </row>
    <row r="805">
      <c r="A805" t="inlineStr">
        <is>
          <t>K0803</t>
        </is>
      </c>
      <c r="B805" t="inlineStr">
        <is>
          <t>valider sitemap</t>
        </is>
      </c>
      <c r="C805" t="inlineStr">
        <is>
          <t>Morocco</t>
        </is>
      </c>
      <c r="D805" t="inlineStr">
        <is>
          <t>ma</t>
        </is>
      </c>
      <c r="E805" t="inlineStr">
        <is>
          <t>fr</t>
        </is>
      </c>
      <c r="F805" t="inlineStr">
        <is>
          <t>NOT AVAILABLE</t>
        </is>
      </c>
      <c r="G805" t="inlineStr">
        <is>
          <t>NOT AVAILABLE</t>
        </is>
      </c>
      <c r="H805" t="inlineStr">
        <is>
          <t>NOT AVAILABLE</t>
        </is>
      </c>
      <c r="I805" t="inlineStr">
        <is>
          <t>NOT AVAILABLE</t>
        </is>
      </c>
      <c r="J805" t="inlineStr">
        <is>
          <t>NOT AVAILABLE</t>
        </is>
      </c>
      <c r="K805" t="inlineStr">
        <is>
          <t>NOT AVAILABLE</t>
        </is>
      </c>
      <c r="L805" t="inlineStr">
        <is>
          <t>NOT AVAILABLE</t>
        </is>
      </c>
      <c r="M805" t="inlineStr">
        <is>
          <t>UNAVAILABLE</t>
        </is>
      </c>
      <c r="N805" s="5" t="inlineStr">
        <is>
          <t>Semrush phrase_these returned no data (not billed)</t>
        </is>
      </c>
      <c r="O805" t="inlineStr">
        <is>
          <t>2026-10-30</t>
        </is>
      </c>
      <c r="P805">
        <f>IF(IF(J805="NOT AVAILABLE","",J805)="",12,IF(OR(ISNUMBER(SEARCH("Transactional",IF(J805="NOT AVAILABLE","",J805))),ISNUMBER(SEARCH("Commercial",IF(J805="NOT AVAILABLE","",J805)))),25,IF(ISNUMBER(SEARCH("Informational",IF(J805="NOT AVAILABLE","",J805))),10,IF(ISNUMBER(SEARCH("Navigational",IF(J805="NOT AVAILABLE","",J805))),0,12))))</f>
        <v/>
      </c>
      <c r="Q805">
        <f>IF(ISNUMBER(F805),MIN(30,ROUND(30*LOG10(F805+1)/4,1)),0)</f>
        <v/>
      </c>
      <c r="R805">
        <f>IF(ISNUMBER(G805),ROUND(25*(100-G805)/100,1),12.5)</f>
        <v/>
      </c>
      <c r="S805" t="n">
        <v>20</v>
      </c>
      <c r="T805">
        <f>ROUND(P805+Q805+R805+S805,0)</f>
        <v/>
      </c>
      <c r="U805" s="5" t="inlineStr"/>
      <c r="V805" s="5" t="inlineStr"/>
    </row>
    <row r="806">
      <c r="A806" t="inlineStr">
        <is>
          <t>K0804</t>
        </is>
      </c>
      <c r="B806" t="inlineStr">
        <is>
          <t>visualisation crawl</t>
        </is>
      </c>
      <c r="C806" t="inlineStr">
        <is>
          <t>Morocco</t>
        </is>
      </c>
      <c r="D806" t="inlineStr">
        <is>
          <t>ma</t>
        </is>
      </c>
      <c r="E806" t="inlineStr">
        <is>
          <t>fr</t>
        </is>
      </c>
      <c r="F806" t="inlineStr">
        <is>
          <t>NOT AVAILABLE</t>
        </is>
      </c>
      <c r="G806" t="inlineStr">
        <is>
          <t>NOT AVAILABLE</t>
        </is>
      </c>
      <c r="H806" t="inlineStr">
        <is>
          <t>NOT AVAILABLE</t>
        </is>
      </c>
      <c r="I806" t="inlineStr">
        <is>
          <t>NOT AVAILABLE</t>
        </is>
      </c>
      <c r="J806" t="inlineStr">
        <is>
          <t>NOT AVAILABLE</t>
        </is>
      </c>
      <c r="K806" t="inlineStr">
        <is>
          <t>NOT AVAILABLE</t>
        </is>
      </c>
      <c r="L806" t="inlineStr">
        <is>
          <t>NOT AVAILABLE</t>
        </is>
      </c>
      <c r="M806" t="inlineStr">
        <is>
          <t>UNAVAILABLE</t>
        </is>
      </c>
      <c r="N806" s="5" t="inlineStr">
        <is>
          <t>Semrush phrase_these returned no data (not billed)</t>
        </is>
      </c>
      <c r="O806" t="inlineStr">
        <is>
          <t>2026-10-30</t>
        </is>
      </c>
      <c r="P806">
        <f>IF(IF(J806="NOT AVAILABLE","",J806)="",12,IF(OR(ISNUMBER(SEARCH("Transactional",IF(J806="NOT AVAILABLE","",J806))),ISNUMBER(SEARCH("Commercial",IF(J806="NOT AVAILABLE","",J806)))),25,IF(ISNUMBER(SEARCH("Informational",IF(J806="NOT AVAILABLE","",J806))),10,IF(ISNUMBER(SEARCH("Navigational",IF(J806="NOT AVAILABLE","",J806))),0,12))))</f>
        <v/>
      </c>
      <c r="Q806">
        <f>IF(ISNUMBER(F806),MIN(30,ROUND(30*LOG10(F806+1)/4,1)),0)</f>
        <v/>
      </c>
      <c r="R806">
        <f>IF(ISNUMBER(G806),ROUND(25*(100-G806)/100,1),12.5)</f>
        <v/>
      </c>
      <c r="S806" t="n">
        <v>20</v>
      </c>
      <c r="T806">
        <f>ROUND(P806+Q806+R806+S806,0)</f>
        <v/>
      </c>
      <c r="U806" s="5" t="inlineStr"/>
      <c r="V806" s="5" t="inlineStr"/>
    </row>
    <row r="807">
      <c r="A807" t="inlineStr">
        <is>
          <t>K0805</t>
        </is>
      </c>
      <c r="B807" t="inlineStr">
        <is>
          <t>visualiser maillage interne</t>
        </is>
      </c>
      <c r="C807" t="inlineStr">
        <is>
          <t>Morocco</t>
        </is>
      </c>
      <c r="D807" t="inlineStr">
        <is>
          <t>ma</t>
        </is>
      </c>
      <c r="E807" t="inlineStr">
        <is>
          <t>fr</t>
        </is>
      </c>
      <c r="F807" t="inlineStr">
        <is>
          <t>NOT AVAILABLE</t>
        </is>
      </c>
      <c r="G807" t="inlineStr">
        <is>
          <t>NOT AVAILABLE</t>
        </is>
      </c>
      <c r="H807" t="inlineStr">
        <is>
          <t>NOT AVAILABLE</t>
        </is>
      </c>
      <c r="I807" t="inlineStr">
        <is>
          <t>NOT AVAILABLE</t>
        </is>
      </c>
      <c r="J807" t="inlineStr">
        <is>
          <t>NOT AVAILABLE</t>
        </is>
      </c>
      <c r="K807" t="inlineStr">
        <is>
          <t>NOT AVAILABLE</t>
        </is>
      </c>
      <c r="L807" t="inlineStr">
        <is>
          <t>NOT AVAILABLE</t>
        </is>
      </c>
      <c r="M807" t="inlineStr">
        <is>
          <t>UNAVAILABLE</t>
        </is>
      </c>
      <c r="N807" s="5" t="inlineStr">
        <is>
          <t>Semrush phrase_these returned no data (not billed)</t>
        </is>
      </c>
      <c r="O807" t="inlineStr">
        <is>
          <t>2026-10-30</t>
        </is>
      </c>
      <c r="P807">
        <f>IF(IF(J807="NOT AVAILABLE","",J807)="",12,IF(OR(ISNUMBER(SEARCH("Transactional",IF(J807="NOT AVAILABLE","",J807))),ISNUMBER(SEARCH("Commercial",IF(J807="NOT AVAILABLE","",J807)))),25,IF(ISNUMBER(SEARCH("Informational",IF(J807="NOT AVAILABLE","",J807))),10,IF(ISNUMBER(SEARCH("Navigational",IF(J807="NOT AVAILABLE","",J807))),0,12))))</f>
        <v/>
      </c>
      <c r="Q807">
        <f>IF(ISNUMBER(F807),MIN(30,ROUND(30*LOG10(F807+1)/4,1)),0)</f>
        <v/>
      </c>
      <c r="R807">
        <f>IF(ISNUMBER(G807),ROUND(25*(100-G807)/100,1),12.5)</f>
        <v/>
      </c>
      <c r="S807" t="n">
        <v>20</v>
      </c>
      <c r="T807">
        <f>ROUND(P807+Q807+R807+S807,0)</f>
        <v/>
      </c>
      <c r="U807" s="5" t="inlineStr"/>
      <c r="V807" s="5" t="inlineStr"/>
    </row>
    <row r="808">
      <c r="A808" t="inlineStr">
        <is>
          <t>K0806</t>
        </is>
      </c>
      <c r="B808" t="inlineStr">
        <is>
          <t>voir page comme googlebot</t>
        </is>
      </c>
      <c r="C808" t="inlineStr">
        <is>
          <t>Morocco</t>
        </is>
      </c>
      <c r="D808" t="inlineStr">
        <is>
          <t>ma</t>
        </is>
      </c>
      <c r="E808" t="inlineStr">
        <is>
          <t>fr</t>
        </is>
      </c>
      <c r="F808" t="inlineStr">
        <is>
          <t>NOT AVAILABLE</t>
        </is>
      </c>
      <c r="G808" t="inlineStr">
        <is>
          <t>NOT AVAILABLE</t>
        </is>
      </c>
      <c r="H808" t="inlineStr">
        <is>
          <t>NOT AVAILABLE</t>
        </is>
      </c>
      <c r="I808" t="inlineStr">
        <is>
          <t>NOT AVAILABLE</t>
        </is>
      </c>
      <c r="J808" t="inlineStr">
        <is>
          <t>NOT AVAILABLE</t>
        </is>
      </c>
      <c r="K808" t="inlineStr">
        <is>
          <t>NOT AVAILABLE</t>
        </is>
      </c>
      <c r="L808" t="inlineStr">
        <is>
          <t>NOT AVAILABLE</t>
        </is>
      </c>
      <c r="M808" t="inlineStr">
        <is>
          <t>UNAVAILABLE</t>
        </is>
      </c>
      <c r="N808" s="5" t="inlineStr">
        <is>
          <t>Semrush phrase_these returned no data (not billed)</t>
        </is>
      </c>
      <c r="O808" t="inlineStr">
        <is>
          <t>2026-10-30</t>
        </is>
      </c>
      <c r="P808">
        <f>IF(IF(J808="NOT AVAILABLE","",J808)="",12,IF(OR(ISNUMBER(SEARCH("Transactional",IF(J808="NOT AVAILABLE","",J808))),ISNUMBER(SEARCH("Commercial",IF(J808="NOT AVAILABLE","",J808)))),25,IF(ISNUMBER(SEARCH("Informational",IF(J808="NOT AVAILABLE","",J808))),10,IF(ISNUMBER(SEARCH("Navigational",IF(J808="NOT AVAILABLE","",J808))),0,12))))</f>
        <v/>
      </c>
      <c r="Q808">
        <f>IF(ISNUMBER(F808),MIN(30,ROUND(30*LOG10(F808+1)/4,1)),0)</f>
        <v/>
      </c>
      <c r="R808">
        <f>IF(ISNUMBER(G808),ROUND(25*(100-G808)/100,1),12.5)</f>
        <v/>
      </c>
      <c r="S808" t="n">
        <v>20</v>
      </c>
      <c r="T808">
        <f>ROUND(P808+Q808+R808+S808,0)</f>
        <v/>
      </c>
      <c r="U808" s="5" t="inlineStr"/>
      <c r="V808" s="5" t="inlineStr"/>
    </row>
    <row r="809">
      <c r="A809" t="inlineStr">
        <is>
          <t>K0807</t>
        </is>
      </c>
      <c r="B809" t="inlineStr">
        <is>
          <t>vérifier autorité domaine</t>
        </is>
      </c>
      <c r="C809" t="inlineStr">
        <is>
          <t>Morocco</t>
        </is>
      </c>
      <c r="D809" t="inlineStr">
        <is>
          <t>ma</t>
        </is>
      </c>
      <c r="E809" t="inlineStr">
        <is>
          <t>fr</t>
        </is>
      </c>
      <c r="F809" t="inlineStr">
        <is>
          <t>NOT AVAILABLE</t>
        </is>
      </c>
      <c r="G809" t="inlineStr">
        <is>
          <t>NOT AVAILABLE</t>
        </is>
      </c>
      <c r="H809" t="inlineStr">
        <is>
          <t>NOT AVAILABLE</t>
        </is>
      </c>
      <c r="I809" t="inlineStr">
        <is>
          <t>NOT AVAILABLE</t>
        </is>
      </c>
      <c r="J809" t="inlineStr">
        <is>
          <t>NOT AVAILABLE</t>
        </is>
      </c>
      <c r="K809" t="inlineStr">
        <is>
          <t>NOT AVAILABLE</t>
        </is>
      </c>
      <c r="L809" t="inlineStr">
        <is>
          <t>NOT AVAILABLE</t>
        </is>
      </c>
      <c r="M809" t="inlineStr">
        <is>
          <t>UNAVAILABLE</t>
        </is>
      </c>
      <c r="N809" s="5" t="inlineStr">
        <is>
          <t>Semrush phrase_these returned no data (not billed)</t>
        </is>
      </c>
      <c r="O809" t="inlineStr">
        <is>
          <t>2026-10-30</t>
        </is>
      </c>
      <c r="P809">
        <f>IF(IF(J809="NOT AVAILABLE","",J809)="",12,IF(OR(ISNUMBER(SEARCH("Transactional",IF(J809="NOT AVAILABLE","",J809))),ISNUMBER(SEARCH("Commercial",IF(J809="NOT AVAILABLE","",J809)))),25,IF(ISNUMBER(SEARCH("Informational",IF(J809="NOT AVAILABLE","",J809))),10,IF(ISNUMBER(SEARCH("Navigational",IF(J809="NOT AVAILABLE","",J809))),0,12))))</f>
        <v/>
      </c>
      <c r="Q809">
        <f>IF(ISNUMBER(F809),MIN(30,ROUND(30*LOG10(F809+1)/4,1)),0)</f>
        <v/>
      </c>
      <c r="R809">
        <f>IF(ISNUMBER(G809),ROUND(25*(100-G809)/100,1),12.5)</f>
        <v/>
      </c>
      <c r="S809" t="n">
        <v>20</v>
      </c>
      <c r="T809">
        <f>ROUND(P809+Q809+R809+S809,0)</f>
        <v/>
      </c>
      <c r="U809" s="5" t="inlineStr"/>
      <c r="V809" s="5" t="inlineStr"/>
    </row>
    <row r="810">
      <c r="A810" t="inlineStr">
        <is>
          <t>K0808</t>
        </is>
      </c>
      <c r="B810" t="inlineStr">
        <is>
          <t>vérifier balises h1</t>
        </is>
      </c>
      <c r="C810" t="inlineStr">
        <is>
          <t>Morocco</t>
        </is>
      </c>
      <c r="D810" t="inlineStr">
        <is>
          <t>ma</t>
        </is>
      </c>
      <c r="E810" t="inlineStr">
        <is>
          <t>fr</t>
        </is>
      </c>
      <c r="F810" t="inlineStr">
        <is>
          <t>NOT AVAILABLE</t>
        </is>
      </c>
      <c r="G810" t="inlineStr">
        <is>
          <t>NOT AVAILABLE</t>
        </is>
      </c>
      <c r="H810" t="inlineStr">
        <is>
          <t>NOT AVAILABLE</t>
        </is>
      </c>
      <c r="I810" t="inlineStr">
        <is>
          <t>NOT AVAILABLE</t>
        </is>
      </c>
      <c r="J810" t="inlineStr">
        <is>
          <t>NOT AVAILABLE</t>
        </is>
      </c>
      <c r="K810" t="inlineStr">
        <is>
          <t>NOT AVAILABLE</t>
        </is>
      </c>
      <c r="L810" t="inlineStr">
        <is>
          <t>NOT AVAILABLE</t>
        </is>
      </c>
      <c r="M810" t="inlineStr">
        <is>
          <t>UNAVAILABLE</t>
        </is>
      </c>
      <c r="N810" s="5" t="inlineStr">
        <is>
          <t>Semrush phrase_these returned no data (not billed)</t>
        </is>
      </c>
      <c r="O810" t="inlineStr">
        <is>
          <t>2026-10-30</t>
        </is>
      </c>
      <c r="P810">
        <f>IF(IF(J810="NOT AVAILABLE","",J810)="",12,IF(OR(ISNUMBER(SEARCH("Transactional",IF(J810="NOT AVAILABLE","",J810))),ISNUMBER(SEARCH("Commercial",IF(J810="NOT AVAILABLE","",J810)))),25,IF(ISNUMBER(SEARCH("Informational",IF(J810="NOT AVAILABLE","",J810))),10,IF(ISNUMBER(SEARCH("Navigational",IF(J810="NOT AVAILABLE","",J810))),0,12))))</f>
        <v/>
      </c>
      <c r="Q810">
        <f>IF(ISNUMBER(F810),MIN(30,ROUND(30*LOG10(F810+1)/4,1)),0)</f>
        <v/>
      </c>
      <c r="R810">
        <f>IF(ISNUMBER(G810),ROUND(25*(100-G810)/100,1),12.5)</f>
        <v/>
      </c>
      <c r="S810" t="n">
        <v>20</v>
      </c>
      <c r="T810">
        <f>ROUND(P810+Q810+R810+S810,0)</f>
        <v/>
      </c>
      <c r="U810" s="5" t="inlineStr"/>
      <c r="V810" s="5" t="inlineStr"/>
    </row>
    <row r="811">
      <c r="A811" t="inlineStr">
        <is>
          <t>K0809</t>
        </is>
      </c>
      <c r="B811" t="inlineStr">
        <is>
          <t>vérifier canonical</t>
        </is>
      </c>
      <c r="C811" t="inlineStr">
        <is>
          <t>Morocco</t>
        </is>
      </c>
      <c r="D811" t="inlineStr">
        <is>
          <t>ma</t>
        </is>
      </c>
      <c r="E811" t="inlineStr">
        <is>
          <t>fr</t>
        </is>
      </c>
      <c r="F811" t="inlineStr">
        <is>
          <t>NOT AVAILABLE</t>
        </is>
      </c>
      <c r="G811" t="inlineStr">
        <is>
          <t>NOT AVAILABLE</t>
        </is>
      </c>
      <c r="H811" t="inlineStr">
        <is>
          <t>NOT AVAILABLE</t>
        </is>
      </c>
      <c r="I811" t="inlineStr">
        <is>
          <t>NOT AVAILABLE</t>
        </is>
      </c>
      <c r="J811" t="inlineStr">
        <is>
          <t>NOT AVAILABLE</t>
        </is>
      </c>
      <c r="K811" t="inlineStr">
        <is>
          <t>NOT AVAILABLE</t>
        </is>
      </c>
      <c r="L811" t="inlineStr">
        <is>
          <t>NOT AVAILABLE</t>
        </is>
      </c>
      <c r="M811" t="inlineStr">
        <is>
          <t>UNAVAILABLE</t>
        </is>
      </c>
      <c r="N811" s="5" t="inlineStr">
        <is>
          <t>Semrush phrase_these returned no data (not billed)</t>
        </is>
      </c>
      <c r="O811" t="inlineStr">
        <is>
          <t>2026-10-30</t>
        </is>
      </c>
      <c r="P811">
        <f>IF(IF(J811="NOT AVAILABLE","",J811)="",12,IF(OR(ISNUMBER(SEARCH("Transactional",IF(J811="NOT AVAILABLE","",J811))),ISNUMBER(SEARCH("Commercial",IF(J811="NOT AVAILABLE","",J811)))),25,IF(ISNUMBER(SEARCH("Informational",IF(J811="NOT AVAILABLE","",J811))),10,IF(ISNUMBER(SEARCH("Navigational",IF(J811="NOT AVAILABLE","",J811))),0,12))))</f>
        <v/>
      </c>
      <c r="Q811">
        <f>IF(ISNUMBER(F811),MIN(30,ROUND(30*LOG10(F811+1)/4,1)),0)</f>
        <v/>
      </c>
      <c r="R811">
        <f>IF(ISNUMBER(G811),ROUND(25*(100-G811)/100,1),12.5)</f>
        <v/>
      </c>
      <c r="S811" t="n">
        <v>20</v>
      </c>
      <c r="T811">
        <f>ROUND(P811+Q811+R811+S811,0)</f>
        <v/>
      </c>
      <c r="U811" s="5" t="inlineStr"/>
      <c r="V811" s="5" t="inlineStr"/>
    </row>
    <row r="812">
      <c r="A812" t="inlineStr">
        <is>
          <t>K0810</t>
        </is>
      </c>
      <c r="B812" t="inlineStr">
        <is>
          <t>vérifier contenu dupliqué</t>
        </is>
      </c>
      <c r="C812" t="inlineStr">
        <is>
          <t>Morocco</t>
        </is>
      </c>
      <c r="D812" t="inlineStr">
        <is>
          <t>ma</t>
        </is>
      </c>
      <c r="E812" t="inlineStr">
        <is>
          <t>fr</t>
        </is>
      </c>
      <c r="F812" t="inlineStr">
        <is>
          <t>NOT AVAILABLE</t>
        </is>
      </c>
      <c r="G812" t="inlineStr">
        <is>
          <t>NOT AVAILABLE</t>
        </is>
      </c>
      <c r="H812" t="inlineStr">
        <is>
          <t>NOT AVAILABLE</t>
        </is>
      </c>
      <c r="I812" t="inlineStr">
        <is>
          <t>NOT AVAILABLE</t>
        </is>
      </c>
      <c r="J812" t="inlineStr">
        <is>
          <t>NOT AVAILABLE</t>
        </is>
      </c>
      <c r="K812" t="inlineStr">
        <is>
          <t>NOT AVAILABLE</t>
        </is>
      </c>
      <c r="L812" t="inlineStr">
        <is>
          <t>NOT AVAILABLE</t>
        </is>
      </c>
      <c r="M812" t="inlineStr">
        <is>
          <t>UNAVAILABLE</t>
        </is>
      </c>
      <c r="N812" s="5" t="inlineStr">
        <is>
          <t>Semrush phrase_these returned no data (not billed)</t>
        </is>
      </c>
      <c r="O812" t="inlineStr">
        <is>
          <t>2026-10-30</t>
        </is>
      </c>
      <c r="P812">
        <f>IF(IF(J812="NOT AVAILABLE","",J812)="",12,IF(OR(ISNUMBER(SEARCH("Transactional",IF(J812="NOT AVAILABLE","",J812))),ISNUMBER(SEARCH("Commercial",IF(J812="NOT AVAILABLE","",J812)))),25,IF(ISNUMBER(SEARCH("Informational",IF(J812="NOT AVAILABLE","",J812))),10,IF(ISNUMBER(SEARCH("Navigational",IF(J812="NOT AVAILABLE","",J812))),0,12))))</f>
        <v/>
      </c>
      <c r="Q812">
        <f>IF(ISNUMBER(F812),MIN(30,ROUND(30*LOG10(F812+1)/4,1)),0)</f>
        <v/>
      </c>
      <c r="R812">
        <f>IF(ISNUMBER(G812),ROUND(25*(100-G812)/100,1),12.5)</f>
        <v/>
      </c>
      <c r="S812" t="n">
        <v>20</v>
      </c>
      <c r="T812">
        <f>ROUND(P812+Q812+R812+S812,0)</f>
        <v/>
      </c>
      <c r="U812" s="5" t="inlineStr"/>
      <c r="V812" s="5" t="inlineStr"/>
    </row>
    <row r="813">
      <c r="A813" t="inlineStr">
        <is>
          <t>K0811</t>
        </is>
      </c>
      <c r="B813" t="inlineStr">
        <is>
          <t>vérifier dns</t>
        </is>
      </c>
      <c r="C813" t="inlineStr">
        <is>
          <t>Morocco</t>
        </is>
      </c>
      <c r="D813" t="inlineStr">
        <is>
          <t>ma</t>
        </is>
      </c>
      <c r="E813" t="inlineStr">
        <is>
          <t>fr</t>
        </is>
      </c>
      <c r="F813" t="inlineStr">
        <is>
          <t>NOT AVAILABLE</t>
        </is>
      </c>
      <c r="G813" t="inlineStr">
        <is>
          <t>NOT AVAILABLE</t>
        </is>
      </c>
      <c r="H813" t="inlineStr">
        <is>
          <t>NOT AVAILABLE</t>
        </is>
      </c>
      <c r="I813" t="inlineStr">
        <is>
          <t>NOT AVAILABLE</t>
        </is>
      </c>
      <c r="J813" t="inlineStr">
        <is>
          <t>NOT AVAILABLE</t>
        </is>
      </c>
      <c r="K813" t="inlineStr">
        <is>
          <t>NOT AVAILABLE</t>
        </is>
      </c>
      <c r="L813" t="inlineStr">
        <is>
          <t>NOT AVAILABLE</t>
        </is>
      </c>
      <c r="M813" t="inlineStr">
        <is>
          <t>UNAVAILABLE</t>
        </is>
      </c>
      <c r="N813" s="5" t="inlineStr">
        <is>
          <t>Semrush phrase_these returned no data (not billed)</t>
        </is>
      </c>
      <c r="O813" t="inlineStr">
        <is>
          <t>2026-10-30</t>
        </is>
      </c>
      <c r="P813">
        <f>IF(IF(J813="NOT AVAILABLE","",J813)="",12,IF(OR(ISNUMBER(SEARCH("Transactional",IF(J813="NOT AVAILABLE","",J813))),ISNUMBER(SEARCH("Commercial",IF(J813="NOT AVAILABLE","",J813)))),25,IF(ISNUMBER(SEARCH("Informational",IF(J813="NOT AVAILABLE","",J813))),10,IF(ISNUMBER(SEARCH("Navigational",IF(J813="NOT AVAILABLE","",J813))),0,12))))</f>
        <v/>
      </c>
      <c r="Q813">
        <f>IF(ISNUMBER(F813),MIN(30,ROUND(30*LOG10(F813+1)/4,1)),0)</f>
        <v/>
      </c>
      <c r="R813">
        <f>IF(ISNUMBER(G813),ROUND(25*(100-G813)/100,1),12.5)</f>
        <v/>
      </c>
      <c r="S813" t="n">
        <v>20</v>
      </c>
      <c r="T813">
        <f>ROUND(P813+Q813+R813+S813,0)</f>
        <v/>
      </c>
      <c r="U813" s="5" t="inlineStr"/>
      <c r="V813" s="5" t="inlineStr"/>
    </row>
    <row r="814">
      <c r="A814" t="inlineStr">
        <is>
          <t>K0812</t>
        </is>
      </c>
      <c r="B814" t="inlineStr">
        <is>
          <t>vérifier lien nofollow</t>
        </is>
      </c>
      <c r="C814" t="inlineStr">
        <is>
          <t>Morocco</t>
        </is>
      </c>
      <c r="D814" t="inlineStr">
        <is>
          <t>ma</t>
        </is>
      </c>
      <c r="E814" t="inlineStr">
        <is>
          <t>fr</t>
        </is>
      </c>
      <c r="F814" t="inlineStr">
        <is>
          <t>NOT AVAILABLE</t>
        </is>
      </c>
      <c r="G814" t="inlineStr">
        <is>
          <t>NOT AVAILABLE</t>
        </is>
      </c>
      <c r="H814" t="inlineStr">
        <is>
          <t>NOT AVAILABLE</t>
        </is>
      </c>
      <c r="I814" t="inlineStr">
        <is>
          <t>NOT AVAILABLE</t>
        </is>
      </c>
      <c r="J814" t="inlineStr">
        <is>
          <t>NOT AVAILABLE</t>
        </is>
      </c>
      <c r="K814" t="inlineStr">
        <is>
          <t>NOT AVAILABLE</t>
        </is>
      </c>
      <c r="L814" t="inlineStr">
        <is>
          <t>NOT AVAILABLE</t>
        </is>
      </c>
      <c r="M814" t="inlineStr">
        <is>
          <t>UNAVAILABLE</t>
        </is>
      </c>
      <c r="N814" s="5" t="inlineStr">
        <is>
          <t>Semrush phrase_these returned no data (not billed)</t>
        </is>
      </c>
      <c r="O814" t="inlineStr">
        <is>
          <t>2026-10-30</t>
        </is>
      </c>
      <c r="P814">
        <f>IF(IF(J814="NOT AVAILABLE","",J814)="",12,IF(OR(ISNUMBER(SEARCH("Transactional",IF(J814="NOT AVAILABLE","",J814))),ISNUMBER(SEARCH("Commercial",IF(J814="NOT AVAILABLE","",J814)))),25,IF(ISNUMBER(SEARCH("Informational",IF(J814="NOT AVAILABLE","",J814))),10,IF(ISNUMBER(SEARCH("Navigational",IF(J814="NOT AVAILABLE","",J814))),0,12))))</f>
        <v/>
      </c>
      <c r="Q814">
        <f>IF(ISNUMBER(F814),MIN(30,ROUND(30*LOG10(F814+1)/4,1)),0)</f>
        <v/>
      </c>
      <c r="R814">
        <f>IF(ISNUMBER(G814),ROUND(25*(100-G814)/100,1),12.5)</f>
        <v/>
      </c>
      <c r="S814" t="n">
        <v>20</v>
      </c>
      <c r="T814">
        <f>ROUND(P814+Q814+R814+S814,0)</f>
        <v/>
      </c>
      <c r="U814" s="5" t="inlineStr"/>
      <c r="V814" s="5" t="inlineStr"/>
    </row>
    <row r="815">
      <c r="A815" t="inlineStr">
        <is>
          <t>K0813</t>
        </is>
      </c>
      <c r="B815" t="inlineStr">
        <is>
          <t>vérifier liens cassés</t>
        </is>
      </c>
      <c r="C815" t="inlineStr">
        <is>
          <t>Morocco</t>
        </is>
      </c>
      <c r="D815" t="inlineStr">
        <is>
          <t>ma</t>
        </is>
      </c>
      <c r="E815" t="inlineStr">
        <is>
          <t>fr</t>
        </is>
      </c>
      <c r="F815" t="inlineStr">
        <is>
          <t>NOT AVAILABLE</t>
        </is>
      </c>
      <c r="G815" t="inlineStr">
        <is>
          <t>NOT AVAILABLE</t>
        </is>
      </c>
      <c r="H815" t="inlineStr">
        <is>
          <t>NOT AVAILABLE</t>
        </is>
      </c>
      <c r="I815" t="inlineStr">
        <is>
          <t>NOT AVAILABLE</t>
        </is>
      </c>
      <c r="J815" t="inlineStr">
        <is>
          <t>NOT AVAILABLE</t>
        </is>
      </c>
      <c r="K815" t="inlineStr">
        <is>
          <t>NOT AVAILABLE</t>
        </is>
      </c>
      <c r="L815" t="inlineStr">
        <is>
          <t>NOT AVAILABLE</t>
        </is>
      </c>
      <c r="M815" t="inlineStr">
        <is>
          <t>UNAVAILABLE</t>
        </is>
      </c>
      <c r="N815" s="5" t="inlineStr">
        <is>
          <t>Semrush phrase_these returned no data (not billed)</t>
        </is>
      </c>
      <c r="O815" t="inlineStr">
        <is>
          <t>2026-10-30</t>
        </is>
      </c>
      <c r="P815">
        <f>IF(IF(J815="NOT AVAILABLE","",J815)="",12,IF(OR(ISNUMBER(SEARCH("Transactional",IF(J815="NOT AVAILABLE","",J815))),ISNUMBER(SEARCH("Commercial",IF(J815="NOT AVAILABLE","",J815)))),25,IF(ISNUMBER(SEARCH("Informational",IF(J815="NOT AVAILABLE","",J815))),10,IF(ISNUMBER(SEARCH("Navigational",IF(J815="NOT AVAILABLE","",J815))),0,12))))</f>
        <v/>
      </c>
      <c r="Q815">
        <f>IF(ISNUMBER(F815),MIN(30,ROUND(30*LOG10(F815+1)/4,1)),0)</f>
        <v/>
      </c>
      <c r="R815">
        <f>IF(ISNUMBER(G815),ROUND(25*(100-G815)/100,1),12.5)</f>
        <v/>
      </c>
      <c r="S815" t="n">
        <v>20</v>
      </c>
      <c r="T815">
        <f>ROUND(P815+Q815+R815+S815,0)</f>
        <v/>
      </c>
      <c r="U815" s="5" t="inlineStr"/>
      <c r="V815" s="5" t="inlineStr"/>
    </row>
    <row r="816">
      <c r="A816" t="inlineStr">
        <is>
          <t>K0814</t>
        </is>
      </c>
      <c r="B816" t="inlineStr">
        <is>
          <t>vérifier redirection</t>
        </is>
      </c>
      <c r="C816" t="inlineStr">
        <is>
          <t>Morocco</t>
        </is>
      </c>
      <c r="D816" t="inlineStr">
        <is>
          <t>ma</t>
        </is>
      </c>
      <c r="E816" t="inlineStr">
        <is>
          <t>fr</t>
        </is>
      </c>
      <c r="F816" t="inlineStr">
        <is>
          <t>NOT AVAILABLE</t>
        </is>
      </c>
      <c r="G816" t="inlineStr">
        <is>
          <t>NOT AVAILABLE</t>
        </is>
      </c>
      <c r="H816" t="inlineStr">
        <is>
          <t>NOT AVAILABLE</t>
        </is>
      </c>
      <c r="I816" t="inlineStr">
        <is>
          <t>NOT AVAILABLE</t>
        </is>
      </c>
      <c r="J816" t="inlineStr">
        <is>
          <t>NOT AVAILABLE</t>
        </is>
      </c>
      <c r="K816" t="inlineStr">
        <is>
          <t>NOT AVAILABLE</t>
        </is>
      </c>
      <c r="L816" t="inlineStr">
        <is>
          <t>NOT AVAILABLE</t>
        </is>
      </c>
      <c r="M816" t="inlineStr">
        <is>
          <t>UNAVAILABLE</t>
        </is>
      </c>
      <c r="N816" s="5" t="inlineStr">
        <is>
          <t>Semrush phrase_these returned no data (not billed)</t>
        </is>
      </c>
      <c r="O816" t="inlineStr">
        <is>
          <t>2026-10-30</t>
        </is>
      </c>
      <c r="P816">
        <f>IF(IF(J816="NOT AVAILABLE","",J816)="",12,IF(OR(ISNUMBER(SEARCH("Transactional",IF(J816="NOT AVAILABLE","",J816))),ISNUMBER(SEARCH("Commercial",IF(J816="NOT AVAILABLE","",J816)))),25,IF(ISNUMBER(SEARCH("Informational",IF(J816="NOT AVAILABLE","",J816))),10,IF(ISNUMBER(SEARCH("Navigational",IF(J816="NOT AVAILABLE","",J816))),0,12))))</f>
        <v/>
      </c>
      <c r="Q816">
        <f>IF(ISNUMBER(F816),MIN(30,ROUND(30*LOG10(F816+1)/4,1)),0)</f>
        <v/>
      </c>
      <c r="R816">
        <f>IF(ISNUMBER(G816),ROUND(25*(100-G816)/100,1),12.5)</f>
        <v/>
      </c>
      <c r="S816" t="n">
        <v>20</v>
      </c>
      <c r="T816">
        <f>ROUND(P816+Q816+R816+S816,0)</f>
        <v/>
      </c>
      <c r="U816" s="5" t="inlineStr"/>
      <c r="V816" s="5" t="inlineStr"/>
    </row>
    <row r="817">
      <c r="A817" t="inlineStr">
        <is>
          <t>K0815</t>
        </is>
      </c>
      <c r="B817" t="inlineStr">
        <is>
          <t>vérifier robots.txt</t>
        </is>
      </c>
      <c r="C817" t="inlineStr">
        <is>
          <t>Morocco</t>
        </is>
      </c>
      <c r="D817" t="inlineStr">
        <is>
          <t>ma</t>
        </is>
      </c>
      <c r="E817" t="inlineStr">
        <is>
          <t>fr</t>
        </is>
      </c>
      <c r="F817" t="inlineStr">
        <is>
          <t>NOT AVAILABLE</t>
        </is>
      </c>
      <c r="G817" t="inlineStr">
        <is>
          <t>NOT AVAILABLE</t>
        </is>
      </c>
      <c r="H817" t="inlineStr">
        <is>
          <t>NOT AVAILABLE</t>
        </is>
      </c>
      <c r="I817" t="inlineStr">
        <is>
          <t>NOT AVAILABLE</t>
        </is>
      </c>
      <c r="J817" t="inlineStr">
        <is>
          <t>NOT AVAILABLE</t>
        </is>
      </c>
      <c r="K817" t="inlineStr">
        <is>
          <t>NOT AVAILABLE</t>
        </is>
      </c>
      <c r="L817" t="inlineStr">
        <is>
          <t>NOT AVAILABLE</t>
        </is>
      </c>
      <c r="M817" t="inlineStr">
        <is>
          <t>UNAVAILABLE</t>
        </is>
      </c>
      <c r="N817" s="5" t="inlineStr">
        <is>
          <t>Semrush phrase_these returned no data (not billed)</t>
        </is>
      </c>
      <c r="O817" t="inlineStr">
        <is>
          <t>2026-10-30</t>
        </is>
      </c>
      <c r="P817">
        <f>IF(IF(J817="NOT AVAILABLE","",J817)="",12,IF(OR(ISNUMBER(SEARCH("Transactional",IF(J817="NOT AVAILABLE","",J817))),ISNUMBER(SEARCH("Commercial",IF(J817="NOT AVAILABLE","",J817)))),25,IF(ISNUMBER(SEARCH("Informational",IF(J817="NOT AVAILABLE","",J817))),10,IF(ISNUMBER(SEARCH("Navigational",IF(J817="NOT AVAILABLE","",J817))),0,12))))</f>
        <v/>
      </c>
      <c r="Q817">
        <f>IF(ISNUMBER(F817),MIN(30,ROUND(30*LOG10(F817+1)/4,1)),0)</f>
        <v/>
      </c>
      <c r="R817">
        <f>IF(ISNUMBER(G817),ROUND(25*(100-G817)/100,1),12.5)</f>
        <v/>
      </c>
      <c r="S817" t="n">
        <v>20</v>
      </c>
      <c r="T817">
        <f>ROUND(P817+Q817+R817+S817,0)</f>
        <v/>
      </c>
      <c r="U817" s="5" t="inlineStr"/>
      <c r="V817" s="5" t="inlineStr"/>
    </row>
    <row r="818">
      <c r="A818" t="inlineStr">
        <is>
          <t>K0816</t>
        </is>
      </c>
      <c r="B818" t="inlineStr">
        <is>
          <t>vérifier site avant mise en ligne</t>
        </is>
      </c>
      <c r="C818" t="inlineStr">
        <is>
          <t>Morocco</t>
        </is>
      </c>
      <c r="D818" t="inlineStr">
        <is>
          <t>ma</t>
        </is>
      </c>
      <c r="E818" t="inlineStr">
        <is>
          <t>fr</t>
        </is>
      </c>
      <c r="F818" t="inlineStr">
        <is>
          <t>NOT AVAILABLE</t>
        </is>
      </c>
      <c r="G818" t="inlineStr">
        <is>
          <t>NOT AVAILABLE</t>
        </is>
      </c>
      <c r="H818" t="inlineStr">
        <is>
          <t>NOT AVAILABLE</t>
        </is>
      </c>
      <c r="I818" t="inlineStr">
        <is>
          <t>NOT AVAILABLE</t>
        </is>
      </c>
      <c r="J818" t="inlineStr">
        <is>
          <t>NOT AVAILABLE</t>
        </is>
      </c>
      <c r="K818" t="inlineStr">
        <is>
          <t>NOT AVAILABLE</t>
        </is>
      </c>
      <c r="L818" t="inlineStr">
        <is>
          <t>NOT AVAILABLE</t>
        </is>
      </c>
      <c r="M818" t="inlineStr">
        <is>
          <t>UNAVAILABLE</t>
        </is>
      </c>
      <c r="N818" s="5" t="inlineStr">
        <is>
          <t>Semrush phrase_these returned no data (not billed)</t>
        </is>
      </c>
      <c r="O818" t="inlineStr">
        <is>
          <t>2026-10-30</t>
        </is>
      </c>
      <c r="P818">
        <f>IF(IF(J818="NOT AVAILABLE","",J818)="",12,IF(OR(ISNUMBER(SEARCH("Transactional",IF(J818="NOT AVAILABLE","",J818))),ISNUMBER(SEARCH("Commercial",IF(J818="NOT AVAILABLE","",J818)))),25,IF(ISNUMBER(SEARCH("Informational",IF(J818="NOT AVAILABLE","",J818))),10,IF(ISNUMBER(SEARCH("Navigational",IF(J818="NOT AVAILABLE","",J818))),0,12))))</f>
        <v/>
      </c>
      <c r="Q818">
        <f>IF(ISNUMBER(F818),MIN(30,ROUND(30*LOG10(F818+1)/4,1)),0)</f>
        <v/>
      </c>
      <c r="R818">
        <f>IF(ISNUMBER(G818),ROUND(25*(100-G818)/100,1),12.5)</f>
        <v/>
      </c>
      <c r="S818" t="n">
        <v>20</v>
      </c>
      <c r="T818">
        <f>ROUND(P818+Q818+R818+S818,0)</f>
        <v/>
      </c>
      <c r="U818" s="5" t="inlineStr"/>
      <c r="V818" s="5" t="inlineStr"/>
    </row>
    <row r="819">
      <c r="A819" t="inlineStr">
        <is>
          <t>K0817</t>
        </is>
      </c>
      <c r="B819" t="inlineStr">
        <is>
          <t>vérifier sitemap</t>
        </is>
      </c>
      <c r="C819" t="inlineStr">
        <is>
          <t>Morocco</t>
        </is>
      </c>
      <c r="D819" t="inlineStr">
        <is>
          <t>ma</t>
        </is>
      </c>
      <c r="E819" t="inlineStr">
        <is>
          <t>fr</t>
        </is>
      </c>
      <c r="F819" t="inlineStr">
        <is>
          <t>NOT AVAILABLE</t>
        </is>
      </c>
      <c r="G819" t="inlineStr">
        <is>
          <t>NOT AVAILABLE</t>
        </is>
      </c>
      <c r="H819" t="inlineStr">
        <is>
          <t>NOT AVAILABLE</t>
        </is>
      </c>
      <c r="I819" t="inlineStr">
        <is>
          <t>NOT AVAILABLE</t>
        </is>
      </c>
      <c r="J819" t="inlineStr">
        <is>
          <t>NOT AVAILABLE</t>
        </is>
      </c>
      <c r="K819" t="inlineStr">
        <is>
          <t>NOT AVAILABLE</t>
        </is>
      </c>
      <c r="L819" t="inlineStr">
        <is>
          <t>NOT AVAILABLE</t>
        </is>
      </c>
      <c r="M819" t="inlineStr">
        <is>
          <t>UNAVAILABLE</t>
        </is>
      </c>
      <c r="N819" s="5" t="inlineStr">
        <is>
          <t>Semrush phrase_these returned no data (not billed)</t>
        </is>
      </c>
      <c r="O819" t="inlineStr">
        <is>
          <t>2026-10-30</t>
        </is>
      </c>
      <c r="P819">
        <f>IF(IF(J819="NOT AVAILABLE","",J819)="",12,IF(OR(ISNUMBER(SEARCH("Transactional",IF(J819="NOT AVAILABLE","",J819))),ISNUMBER(SEARCH("Commercial",IF(J819="NOT AVAILABLE","",J819)))),25,IF(ISNUMBER(SEARCH("Informational",IF(J819="NOT AVAILABLE","",J819))),10,IF(ISNUMBER(SEARCH("Navigational",IF(J819="NOT AVAILABLE","",J819))),0,12))))</f>
        <v/>
      </c>
      <c r="Q819">
        <f>IF(ISNUMBER(F819),MIN(30,ROUND(30*LOG10(F819+1)/4,1)),0)</f>
        <v/>
      </c>
      <c r="R819">
        <f>IF(ISNUMBER(G819),ROUND(25*(100-G819)/100,1),12.5)</f>
        <v/>
      </c>
      <c r="S819" t="n">
        <v>20</v>
      </c>
      <c r="T819">
        <f>ROUND(P819+Q819+R819+S819,0)</f>
        <v/>
      </c>
      <c r="U819" s="5" t="inlineStr"/>
      <c r="V819" s="5" t="inlineStr"/>
    </row>
    <row r="820">
      <c r="A820" t="inlineStr">
        <is>
          <t>K0818</t>
        </is>
      </c>
      <c r="B820" t="inlineStr">
        <is>
          <t>web agency agadir</t>
        </is>
      </c>
      <c r="C820" t="inlineStr">
        <is>
          <t>Morocco</t>
        </is>
      </c>
      <c r="D820" t="inlineStr">
        <is>
          <t>ma</t>
        </is>
      </c>
      <c r="E820" t="inlineStr">
        <is>
          <t>fr</t>
        </is>
      </c>
      <c r="F820" t="n">
        <v>0</v>
      </c>
      <c r="G820" t="inlineStr">
        <is>
          <t>NOT AVAILABLE</t>
        </is>
      </c>
      <c r="H820" t="n">
        <v>0</v>
      </c>
      <c r="I820" t="n">
        <v>0</v>
      </c>
      <c r="J820" t="inlineStr">
        <is>
          <t>NOT AVAILABLE</t>
        </is>
      </c>
      <c r="K820" t="inlineStr">
        <is>
          <t>NOT AVAILABLE (report not requested)</t>
        </is>
      </c>
      <c r="L820" t="inlineStr">
        <is>
          <t>flat (no data)</t>
        </is>
      </c>
      <c r="M820" t="inlineStr">
        <is>
          <t>MEASURED</t>
        </is>
      </c>
      <c r="N820" s="5" t="inlineStr">
        <is>
          <t>Semrush phrase_these (live, this session)</t>
        </is>
      </c>
      <c r="O820" t="inlineStr">
        <is>
          <t>2026-10-30</t>
        </is>
      </c>
      <c r="P820">
        <f>IF(IF(J820="NOT AVAILABLE","",J820)="",12,IF(OR(ISNUMBER(SEARCH("Transactional",IF(J820="NOT AVAILABLE","",J820))),ISNUMBER(SEARCH("Commercial",IF(J820="NOT AVAILABLE","",J820)))),25,IF(ISNUMBER(SEARCH("Informational",IF(J820="NOT AVAILABLE","",J820))),10,IF(ISNUMBER(SEARCH("Navigational",IF(J820="NOT AVAILABLE","",J820))),0,12))))</f>
        <v/>
      </c>
      <c r="Q820">
        <f>IF(ISNUMBER(F820),MIN(30,ROUND(30*LOG10(F820+1)/4,1)),0)</f>
        <v/>
      </c>
      <c r="R820">
        <f>IF(ISNUMBER(G820),ROUND(25*(100-G820)/100,1),12.5)</f>
        <v/>
      </c>
      <c r="S820" t="n">
        <v>20</v>
      </c>
      <c r="T820">
        <f>ROUND(P820+Q820+R820+S820,0)</f>
        <v/>
      </c>
      <c r="U820" s="5" t="inlineStr"/>
      <c r="V820" s="5" t="inlineStr"/>
    </row>
    <row r="821">
      <c r="A821" t="inlineStr">
        <is>
          <t>K0819</t>
        </is>
      </c>
      <c r="B821" t="inlineStr">
        <is>
          <t>web agency rabat</t>
        </is>
      </c>
      <c r="C821" t="inlineStr">
        <is>
          <t>Morocco</t>
        </is>
      </c>
      <c r="D821" t="inlineStr">
        <is>
          <t>ma</t>
        </is>
      </c>
      <c r="E821" t="inlineStr">
        <is>
          <t>fr</t>
        </is>
      </c>
      <c r="F821" t="inlineStr">
        <is>
          <t>NOT AVAILABLE</t>
        </is>
      </c>
      <c r="G821" t="inlineStr">
        <is>
          <t>NOT AVAILABLE</t>
        </is>
      </c>
      <c r="H821" t="inlineStr">
        <is>
          <t>NOT AVAILABLE</t>
        </is>
      </c>
      <c r="I821" t="inlineStr">
        <is>
          <t>NOT AVAILABLE</t>
        </is>
      </c>
      <c r="J821" t="inlineStr">
        <is>
          <t>NOT AVAILABLE</t>
        </is>
      </c>
      <c r="K821" t="inlineStr">
        <is>
          <t>NOT AVAILABLE</t>
        </is>
      </c>
      <c r="L821" t="inlineStr">
        <is>
          <t>NOT AVAILABLE</t>
        </is>
      </c>
      <c r="M821" t="inlineStr">
        <is>
          <t>UNAVAILABLE</t>
        </is>
      </c>
      <c r="N821" s="5" t="inlineStr">
        <is>
          <t>Semrush phrase_these returned no data (not billed)</t>
        </is>
      </c>
      <c r="O821" t="inlineStr">
        <is>
          <t>2026-10-30</t>
        </is>
      </c>
      <c r="P821">
        <f>IF(IF(J821="NOT AVAILABLE","",J821)="",12,IF(OR(ISNUMBER(SEARCH("Transactional",IF(J821="NOT AVAILABLE","",J821))),ISNUMBER(SEARCH("Commercial",IF(J821="NOT AVAILABLE","",J821)))),25,IF(ISNUMBER(SEARCH("Informational",IF(J821="NOT AVAILABLE","",J821))),10,IF(ISNUMBER(SEARCH("Navigational",IF(J821="NOT AVAILABLE","",J821))),0,12))))</f>
        <v/>
      </c>
      <c r="Q821">
        <f>IF(ISNUMBER(F821),MIN(30,ROUND(30*LOG10(F821+1)/4,1)),0)</f>
        <v/>
      </c>
      <c r="R821">
        <f>IF(ISNUMBER(G821),ROUND(25*(100-G821)/100,1),12.5)</f>
        <v/>
      </c>
      <c r="S821" t="n">
        <v>20</v>
      </c>
      <c r="T821">
        <f>ROUND(P821+Q821+R821+S821,0)</f>
        <v/>
      </c>
      <c r="U821" s="5" t="inlineStr"/>
      <c r="V821" s="5" t="inlineStr"/>
    </row>
    <row r="822">
      <c r="A822" t="inlineStr">
        <is>
          <t>K0820</t>
        </is>
      </c>
      <c r="B822" t="inlineStr">
        <is>
          <t>web agency tanger</t>
        </is>
      </c>
      <c r="C822" t="inlineStr">
        <is>
          <t>Morocco</t>
        </is>
      </c>
      <c r="D822" t="inlineStr">
        <is>
          <t>ma</t>
        </is>
      </c>
      <c r="E822" t="inlineStr">
        <is>
          <t>fr</t>
        </is>
      </c>
      <c r="F822" t="inlineStr">
        <is>
          <t>NOT AVAILABLE</t>
        </is>
      </c>
      <c r="G822" t="inlineStr">
        <is>
          <t>NOT AVAILABLE</t>
        </is>
      </c>
      <c r="H822" t="inlineStr">
        <is>
          <t>NOT AVAILABLE</t>
        </is>
      </c>
      <c r="I822" t="inlineStr">
        <is>
          <t>NOT AVAILABLE</t>
        </is>
      </c>
      <c r="J822" t="inlineStr">
        <is>
          <t>NOT AVAILABLE</t>
        </is>
      </c>
      <c r="K822" t="inlineStr">
        <is>
          <t>NOT AVAILABLE</t>
        </is>
      </c>
      <c r="L822" t="inlineStr">
        <is>
          <t>NOT AVAILABLE</t>
        </is>
      </c>
      <c r="M822" t="inlineStr">
        <is>
          <t>UNAVAILABLE</t>
        </is>
      </c>
      <c r="N822" s="5" t="inlineStr">
        <is>
          <t>Semrush phrase_these returned no data (not billed)</t>
        </is>
      </c>
      <c r="O822" t="inlineStr">
        <is>
          <t>2026-10-30</t>
        </is>
      </c>
      <c r="P822">
        <f>IF(IF(J822="NOT AVAILABLE","",J822)="",12,IF(OR(ISNUMBER(SEARCH("Transactional",IF(J822="NOT AVAILABLE","",J822))),ISNUMBER(SEARCH("Commercial",IF(J822="NOT AVAILABLE","",J822)))),25,IF(ISNUMBER(SEARCH("Informational",IF(J822="NOT AVAILABLE","",J822))),10,IF(ISNUMBER(SEARCH("Navigational",IF(J822="NOT AVAILABLE","",J822))),0,12))))</f>
        <v/>
      </c>
      <c r="Q822">
        <f>IF(ISNUMBER(F822),MIN(30,ROUND(30*LOG10(F822+1)/4,1)),0)</f>
        <v/>
      </c>
      <c r="R822">
        <f>IF(ISNUMBER(G822),ROUND(25*(100-G822)/100,1),12.5)</f>
        <v/>
      </c>
      <c r="S822" t="n">
        <v>20</v>
      </c>
      <c r="T822">
        <f>ROUND(P822+Q822+R822+S822,0)</f>
        <v/>
      </c>
      <c r="U822" s="5" t="inlineStr"/>
      <c r="V822" s="5" t="inlineStr"/>
    </row>
    <row r="823">
      <c r="A823" t="inlineStr">
        <is>
          <t>K0821</t>
        </is>
      </c>
      <c r="B823" t="inlineStr">
        <is>
          <t>webdesigner</t>
        </is>
      </c>
      <c r="C823" t="inlineStr">
        <is>
          <t>Morocco</t>
        </is>
      </c>
      <c r="D823" t="inlineStr">
        <is>
          <t>ma</t>
        </is>
      </c>
      <c r="E823" t="inlineStr">
        <is>
          <t>fr</t>
        </is>
      </c>
      <c r="F823" t="inlineStr">
        <is>
          <t>NOT AVAILABLE</t>
        </is>
      </c>
      <c r="G823" t="inlineStr">
        <is>
          <t>NOT AVAILABLE</t>
        </is>
      </c>
      <c r="H823" t="inlineStr">
        <is>
          <t>NOT AVAILABLE</t>
        </is>
      </c>
      <c r="I823" t="inlineStr">
        <is>
          <t>NOT AVAILABLE</t>
        </is>
      </c>
      <c r="J823" t="inlineStr">
        <is>
          <t>NOT AVAILABLE</t>
        </is>
      </c>
      <c r="K823" t="inlineStr">
        <is>
          <t>NOT AVAILABLE</t>
        </is>
      </c>
      <c r="L823" t="inlineStr">
        <is>
          <t>NOT AVAILABLE</t>
        </is>
      </c>
      <c r="M823" t="inlineStr">
        <is>
          <t>SUGGESTED</t>
        </is>
      </c>
      <c r="N823" s="5" t="inlineStr">
        <is>
          <t>Analyst suggestion - not validated in Semrush</t>
        </is>
      </c>
      <c r="O823" t="inlineStr">
        <is>
          <t>NOT AVAILABLE</t>
        </is>
      </c>
      <c r="P823">
        <f>IF(IF(J823="NOT AVAILABLE","",J823)="",12,IF(OR(ISNUMBER(SEARCH("Transactional",IF(J823="NOT AVAILABLE","",J823))),ISNUMBER(SEARCH("Commercial",IF(J823="NOT AVAILABLE","",J823)))),25,IF(ISNUMBER(SEARCH("Informational",IF(J823="NOT AVAILABLE","",J823))),10,IF(ISNUMBER(SEARCH("Navigational",IF(J823="NOT AVAILABLE","",J823))),0,12))))</f>
        <v/>
      </c>
      <c r="Q823">
        <f>IF(ISNUMBER(F823),MIN(30,ROUND(30*LOG10(F823+1)/4,1)),0)</f>
        <v/>
      </c>
      <c r="R823">
        <f>IF(ISNUMBER(G823),ROUND(25*(100-G823)/100,1),12.5)</f>
        <v/>
      </c>
      <c r="S823" t="n">
        <v>20</v>
      </c>
      <c r="T823">
        <f>ROUND(P823+Q823+R823+S823,0)</f>
        <v/>
      </c>
      <c r="U823" s="5" t="inlineStr"/>
      <c r="V823" s="5" t="inlineStr"/>
    </row>
    <row r="824">
      <c r="A824" t="inlineStr">
        <is>
          <t>K0822</t>
        </is>
      </c>
      <c r="B824" t="inlineStr">
        <is>
          <t>wordpress ou site sur mesure</t>
        </is>
      </c>
      <c r="C824" t="inlineStr">
        <is>
          <t>Morocco</t>
        </is>
      </c>
      <c r="D824" t="inlineStr">
        <is>
          <t>ma</t>
        </is>
      </c>
      <c r="E824" t="inlineStr">
        <is>
          <t>fr</t>
        </is>
      </c>
      <c r="F824" t="inlineStr">
        <is>
          <t>NOT AVAILABLE</t>
        </is>
      </c>
      <c r="G824" t="inlineStr">
        <is>
          <t>NOT AVAILABLE</t>
        </is>
      </c>
      <c r="H824" t="inlineStr">
        <is>
          <t>NOT AVAILABLE</t>
        </is>
      </c>
      <c r="I824" t="inlineStr">
        <is>
          <t>NOT AVAILABLE</t>
        </is>
      </c>
      <c r="J824" t="inlineStr">
        <is>
          <t>NOT AVAILABLE</t>
        </is>
      </c>
      <c r="K824" t="inlineStr">
        <is>
          <t>NOT AVAILABLE</t>
        </is>
      </c>
      <c r="L824" t="inlineStr">
        <is>
          <t>NOT AVAILABLE</t>
        </is>
      </c>
      <c r="M824" t="inlineStr">
        <is>
          <t>UNAVAILABLE</t>
        </is>
      </c>
      <c r="N824" s="5" t="inlineStr">
        <is>
          <t>Semrush phrase_these returned no data (not billed)</t>
        </is>
      </c>
      <c r="O824" t="inlineStr">
        <is>
          <t>2026-10-30</t>
        </is>
      </c>
      <c r="P824">
        <f>IF(IF(J824="NOT AVAILABLE","",J824)="",12,IF(OR(ISNUMBER(SEARCH("Transactional",IF(J824="NOT AVAILABLE","",J824))),ISNUMBER(SEARCH("Commercial",IF(J824="NOT AVAILABLE","",J824)))),25,IF(ISNUMBER(SEARCH("Informational",IF(J824="NOT AVAILABLE","",J824))),10,IF(ISNUMBER(SEARCH("Navigational",IF(J824="NOT AVAILABLE","",J824))),0,12))))</f>
        <v/>
      </c>
      <c r="Q824">
        <f>IF(ISNUMBER(F824),MIN(30,ROUND(30*LOG10(F824+1)/4,1)),0)</f>
        <v/>
      </c>
      <c r="R824">
        <f>IF(ISNUMBER(G824),ROUND(25*(100-G824)/100,1),12.5)</f>
        <v/>
      </c>
      <c r="S824" t="n">
        <v>20</v>
      </c>
      <c r="T824">
        <f>ROUND(P824+Q824+R824+S824,0)</f>
        <v/>
      </c>
      <c r="U824" s="5" t="inlineStr"/>
      <c r="V824" s="5" t="inlineStr"/>
    </row>
    <row r="825">
      <c r="A825" t="inlineStr">
        <is>
          <t>K0823</t>
        </is>
      </c>
      <c r="B825" t="inlineStr">
        <is>
          <t>école de langue allemande</t>
        </is>
      </c>
      <c r="C825" t="inlineStr">
        <is>
          <t>Morocco</t>
        </is>
      </c>
      <c r="D825" t="inlineStr">
        <is>
          <t>ma</t>
        </is>
      </c>
      <c r="E825" t="inlineStr">
        <is>
          <t>fr</t>
        </is>
      </c>
      <c r="F825" t="inlineStr">
        <is>
          <t>NOT AVAILABLE</t>
        </is>
      </c>
      <c r="G825" t="inlineStr">
        <is>
          <t>NOT AVAILABLE</t>
        </is>
      </c>
      <c r="H825" t="inlineStr">
        <is>
          <t>NOT AVAILABLE</t>
        </is>
      </c>
      <c r="I825" t="inlineStr">
        <is>
          <t>NOT AVAILABLE</t>
        </is>
      </c>
      <c r="J825" t="inlineStr">
        <is>
          <t>NOT AVAILABLE</t>
        </is>
      </c>
      <c r="K825" t="inlineStr">
        <is>
          <t>NOT AVAILABLE</t>
        </is>
      </c>
      <c r="L825" t="inlineStr">
        <is>
          <t>NOT AVAILABLE</t>
        </is>
      </c>
      <c r="M825" t="inlineStr">
        <is>
          <t>UNAVAILABLE</t>
        </is>
      </c>
      <c r="N825" s="5" t="inlineStr">
        <is>
          <t>Semrush phrase_these returned no data (not billed)</t>
        </is>
      </c>
      <c r="O825" t="inlineStr">
        <is>
          <t>2026-10-30</t>
        </is>
      </c>
      <c r="P825">
        <f>IF(IF(J825="NOT AVAILABLE","",J825)="",12,IF(OR(ISNUMBER(SEARCH("Transactional",IF(J825="NOT AVAILABLE","",J825))),ISNUMBER(SEARCH("Commercial",IF(J825="NOT AVAILABLE","",J825)))),25,IF(ISNUMBER(SEARCH("Informational",IF(J825="NOT AVAILABLE","",J825))),10,IF(ISNUMBER(SEARCH("Navigational",IF(J825="NOT AVAILABLE","",J825))),0,12))))</f>
        <v/>
      </c>
      <c r="Q825">
        <f>IF(ISNUMBER(F825),MIN(30,ROUND(30*LOG10(F825+1)/4,1)),0)</f>
        <v/>
      </c>
      <c r="R825">
        <f>IF(ISNUMBER(G825),ROUND(25*(100-G825)/100,1),12.5)</f>
        <v/>
      </c>
      <c r="S825" t="n">
        <v>20</v>
      </c>
      <c r="T825">
        <f>ROUND(P825+Q825+R825+S825,0)</f>
        <v/>
      </c>
      <c r="U825" s="5" t="inlineStr"/>
      <c r="V825" s="5" t="inlineStr"/>
    </row>
    <row r="826">
      <c r="A826" t="inlineStr">
        <is>
          <t>K0824</t>
        </is>
      </c>
      <c r="B826" t="inlineStr">
        <is>
          <t>école de langues maroc</t>
        </is>
      </c>
      <c r="C826" t="inlineStr">
        <is>
          <t>Morocco</t>
        </is>
      </c>
      <c r="D826" t="inlineStr">
        <is>
          <t>ma</t>
        </is>
      </c>
      <c r="E826" t="inlineStr">
        <is>
          <t>fr</t>
        </is>
      </c>
      <c r="F826" t="inlineStr">
        <is>
          <t>NOT AVAILABLE</t>
        </is>
      </c>
      <c r="G826" t="inlineStr">
        <is>
          <t>NOT AVAILABLE</t>
        </is>
      </c>
      <c r="H826" t="inlineStr">
        <is>
          <t>NOT AVAILABLE</t>
        </is>
      </c>
      <c r="I826" t="inlineStr">
        <is>
          <t>NOT AVAILABLE</t>
        </is>
      </c>
      <c r="J826" t="inlineStr">
        <is>
          <t>NOT AVAILABLE</t>
        </is>
      </c>
      <c r="K826" t="inlineStr">
        <is>
          <t>NOT AVAILABLE</t>
        </is>
      </c>
      <c r="L826" t="inlineStr">
        <is>
          <t>NOT AVAILABLE</t>
        </is>
      </c>
      <c r="M826" t="inlineStr">
        <is>
          <t>UNAVAILABLE</t>
        </is>
      </c>
      <c r="N826" s="5" t="inlineStr">
        <is>
          <t>Semrush phrase_these returned no data (not billed)</t>
        </is>
      </c>
      <c r="O826" t="inlineStr">
        <is>
          <t>2026-10-30</t>
        </is>
      </c>
      <c r="P826">
        <f>IF(IF(J826="NOT AVAILABLE","",J826)="",12,IF(OR(ISNUMBER(SEARCH("Transactional",IF(J826="NOT AVAILABLE","",J826))),ISNUMBER(SEARCH("Commercial",IF(J826="NOT AVAILABLE","",J826)))),25,IF(ISNUMBER(SEARCH("Informational",IF(J826="NOT AVAILABLE","",J826))),10,IF(ISNUMBER(SEARCH("Navigational",IF(J826="NOT AVAILABLE","",J826))),0,12))))</f>
        <v/>
      </c>
      <c r="Q826">
        <f>IF(ISNUMBER(F826),MIN(30,ROUND(30*LOG10(F826+1)/4,1)),0)</f>
        <v/>
      </c>
      <c r="R826">
        <f>IF(ISNUMBER(G826),ROUND(25*(100-G826)/100,1),12.5)</f>
        <v/>
      </c>
      <c r="S826" t="n">
        <v>20</v>
      </c>
      <c r="T826">
        <f>ROUND(P826+Q826+R826+S826,0)</f>
        <v/>
      </c>
      <c r="U826" s="5" t="inlineStr"/>
      <c r="V826" s="5" t="inlineStr"/>
    </row>
    <row r="827">
      <c r="A827" t="inlineStr">
        <is>
          <t>K0825</t>
        </is>
      </c>
      <c r="B827" t="inlineStr">
        <is>
          <t>éditer url en masse</t>
        </is>
      </c>
      <c r="C827" t="inlineStr">
        <is>
          <t>Morocco</t>
        </is>
      </c>
      <c r="D827" t="inlineStr">
        <is>
          <t>ma</t>
        </is>
      </c>
      <c r="E827" t="inlineStr">
        <is>
          <t>fr</t>
        </is>
      </c>
      <c r="F827" t="inlineStr">
        <is>
          <t>NOT AVAILABLE</t>
        </is>
      </c>
      <c r="G827" t="inlineStr">
        <is>
          <t>NOT AVAILABLE</t>
        </is>
      </c>
      <c r="H827" t="inlineStr">
        <is>
          <t>NOT AVAILABLE</t>
        </is>
      </c>
      <c r="I827" t="inlineStr">
        <is>
          <t>NOT AVAILABLE</t>
        </is>
      </c>
      <c r="J827" t="inlineStr">
        <is>
          <t>NOT AVAILABLE</t>
        </is>
      </c>
      <c r="K827" t="inlineStr">
        <is>
          <t>NOT AVAILABLE</t>
        </is>
      </c>
      <c r="L827" t="inlineStr">
        <is>
          <t>NOT AVAILABLE</t>
        </is>
      </c>
      <c r="M827" t="inlineStr">
        <is>
          <t>UNAVAILABLE</t>
        </is>
      </c>
      <c r="N827" s="5" t="inlineStr">
        <is>
          <t>Semrush phrase_these returned no data (not billed)</t>
        </is>
      </c>
      <c r="O827" t="inlineStr">
        <is>
          <t>2026-10-30</t>
        </is>
      </c>
      <c r="P827">
        <f>IF(IF(J827="NOT AVAILABLE","",J827)="",12,IF(OR(ISNUMBER(SEARCH("Transactional",IF(J827="NOT AVAILABLE","",J827))),ISNUMBER(SEARCH("Commercial",IF(J827="NOT AVAILABLE","",J827)))),25,IF(ISNUMBER(SEARCH("Informational",IF(J827="NOT AVAILABLE","",J827))),10,IF(ISNUMBER(SEARCH("Navigational",IF(J827="NOT AVAILABLE","",J827))),0,12))))</f>
        <v/>
      </c>
      <c r="Q827">
        <f>IF(ISNUMBER(F827),MIN(30,ROUND(30*LOG10(F827+1)/4,1)),0)</f>
        <v/>
      </c>
      <c r="R827">
        <f>IF(ISNUMBER(G827),ROUND(25*(100-G827)/100,1),12.5)</f>
        <v/>
      </c>
      <c r="S827" t="n">
        <v>20</v>
      </c>
      <c r="T827">
        <f>ROUND(P827+Q827+R827+S827,0)</f>
        <v/>
      </c>
      <c r="U827" s="5" t="inlineStr"/>
      <c r="V827" s="5" t="inlineStr"/>
    </row>
    <row r="828">
      <c r="A828" t="inlineStr">
        <is>
          <t>K0826</t>
        </is>
      </c>
      <c r="B828" t="inlineStr">
        <is>
          <t>éléments de réassurance site web</t>
        </is>
      </c>
      <c r="C828" t="inlineStr">
        <is>
          <t>Morocco</t>
        </is>
      </c>
      <c r="D828" t="inlineStr">
        <is>
          <t>ma</t>
        </is>
      </c>
      <c r="E828" t="inlineStr">
        <is>
          <t>fr</t>
        </is>
      </c>
      <c r="F828" t="inlineStr">
        <is>
          <t>NOT AVAILABLE</t>
        </is>
      </c>
      <c r="G828" t="inlineStr">
        <is>
          <t>NOT AVAILABLE</t>
        </is>
      </c>
      <c r="H828" t="inlineStr">
        <is>
          <t>NOT AVAILABLE</t>
        </is>
      </c>
      <c r="I828" t="inlineStr">
        <is>
          <t>NOT AVAILABLE</t>
        </is>
      </c>
      <c r="J828" t="inlineStr">
        <is>
          <t>NOT AVAILABLE</t>
        </is>
      </c>
      <c r="K828" t="inlineStr">
        <is>
          <t>NOT AVAILABLE</t>
        </is>
      </c>
      <c r="L828" t="inlineStr">
        <is>
          <t>NOT AVAILABLE</t>
        </is>
      </c>
      <c r="M828" t="inlineStr">
        <is>
          <t>UNAVAILABLE</t>
        </is>
      </c>
      <c r="N828" s="5" t="inlineStr">
        <is>
          <t>Semrush phrase_these returned no data (not billed)</t>
        </is>
      </c>
      <c r="O828" t="inlineStr">
        <is>
          <t>2026-10-30</t>
        </is>
      </c>
      <c r="P828">
        <f>IF(IF(J828="NOT AVAILABLE","",J828)="",12,IF(OR(ISNUMBER(SEARCH("Transactional",IF(J828="NOT AVAILABLE","",J828))),ISNUMBER(SEARCH("Commercial",IF(J828="NOT AVAILABLE","",J828)))),25,IF(ISNUMBER(SEARCH("Informational",IF(J828="NOT AVAILABLE","",J828))),10,IF(ISNUMBER(SEARCH("Navigational",IF(J828="NOT AVAILABLE","",J828))),0,12))))</f>
        <v/>
      </c>
      <c r="Q828">
        <f>IF(ISNUMBER(F828),MIN(30,ROUND(30*LOG10(F828+1)/4,1)),0)</f>
        <v/>
      </c>
      <c r="R828">
        <f>IF(ISNUMBER(G828),ROUND(25*(100-G828)/100,1),12.5)</f>
        <v/>
      </c>
      <c r="S828" t="n">
        <v>20</v>
      </c>
      <c r="T828">
        <f>ROUND(P828+Q828+R828+S828,0)</f>
        <v/>
      </c>
      <c r="U828" s="5" t="inlineStr"/>
      <c r="V828" s="5" t="inlineStr"/>
    </row>
    <row r="829">
      <c r="A829" t="inlineStr">
        <is>
          <t>K0827</t>
        </is>
      </c>
      <c r="B829" t="inlineStr">
        <is>
          <t>équipe développeurs web</t>
        </is>
      </c>
      <c r="C829" t="inlineStr">
        <is>
          <t>Morocco</t>
        </is>
      </c>
      <c r="D829" t="inlineStr">
        <is>
          <t>ma</t>
        </is>
      </c>
      <c r="E829" t="inlineStr">
        <is>
          <t>fr</t>
        </is>
      </c>
      <c r="F829" t="inlineStr">
        <is>
          <t>NOT AVAILABLE</t>
        </is>
      </c>
      <c r="G829" t="inlineStr">
        <is>
          <t>NOT AVAILABLE</t>
        </is>
      </c>
      <c r="H829" t="inlineStr">
        <is>
          <t>NOT AVAILABLE</t>
        </is>
      </c>
      <c r="I829" t="inlineStr">
        <is>
          <t>NOT AVAILABLE</t>
        </is>
      </c>
      <c r="J829" t="inlineStr">
        <is>
          <t>NOT AVAILABLE</t>
        </is>
      </c>
      <c r="K829" t="inlineStr">
        <is>
          <t>NOT AVAILABLE</t>
        </is>
      </c>
      <c r="L829" t="inlineStr">
        <is>
          <t>NOT AVAILABLE</t>
        </is>
      </c>
      <c r="M829" t="inlineStr">
        <is>
          <t>UNAVAILABLE</t>
        </is>
      </c>
      <c r="N829" s="5" t="inlineStr">
        <is>
          <t>Semrush phrase_these returned no data (not billed)</t>
        </is>
      </c>
      <c r="O829" t="inlineStr">
        <is>
          <t>2026-10-30</t>
        </is>
      </c>
      <c r="P829">
        <f>IF(IF(J829="NOT AVAILABLE","",J829)="",12,IF(OR(ISNUMBER(SEARCH("Transactional",IF(J829="NOT AVAILABLE","",J829))),ISNUMBER(SEARCH("Commercial",IF(J829="NOT AVAILABLE","",J829)))),25,IF(ISNUMBER(SEARCH("Informational",IF(J829="NOT AVAILABLE","",J829))),10,IF(ISNUMBER(SEARCH("Navigational",IF(J829="NOT AVAILABLE","",J829))),0,12))))</f>
        <v/>
      </c>
      <c r="Q829">
        <f>IF(ISNUMBER(F829),MIN(30,ROUND(30*LOG10(F829+1)/4,1)),0)</f>
        <v/>
      </c>
      <c r="R829">
        <f>IF(ISNUMBER(G829),ROUND(25*(100-G829)/100,1),12.5)</f>
        <v/>
      </c>
      <c r="S829" t="n">
        <v>20</v>
      </c>
      <c r="T829">
        <f>ROUND(P829+Q829+R829+S829,0)</f>
        <v/>
      </c>
      <c r="U829" s="5" t="inlineStr"/>
      <c r="V829" s="5" t="inlineStr"/>
    </row>
    <row r="830">
      <c r="A830" t="inlineStr">
        <is>
          <t>K0828</t>
        </is>
      </c>
      <c r="B830" t="inlineStr">
        <is>
          <t>études à l'étranger maroc</t>
        </is>
      </c>
      <c r="C830" t="inlineStr">
        <is>
          <t>Morocco</t>
        </is>
      </c>
      <c r="D830" t="inlineStr">
        <is>
          <t>ma</t>
        </is>
      </c>
      <c r="E830" t="inlineStr">
        <is>
          <t>fr</t>
        </is>
      </c>
      <c r="F830" t="inlineStr">
        <is>
          <t>NOT AVAILABLE</t>
        </is>
      </c>
      <c r="G830" t="inlineStr">
        <is>
          <t>NOT AVAILABLE</t>
        </is>
      </c>
      <c r="H830" t="inlineStr">
        <is>
          <t>NOT AVAILABLE</t>
        </is>
      </c>
      <c r="I830" t="inlineStr">
        <is>
          <t>NOT AVAILABLE</t>
        </is>
      </c>
      <c r="J830" t="inlineStr">
        <is>
          <t>NOT AVAILABLE</t>
        </is>
      </c>
      <c r="K830" t="inlineStr">
        <is>
          <t>NOT AVAILABLE</t>
        </is>
      </c>
      <c r="L830" t="inlineStr">
        <is>
          <t>NOT AVAILABLE</t>
        </is>
      </c>
      <c r="M830" t="inlineStr">
        <is>
          <t>UNAVAILABLE</t>
        </is>
      </c>
      <c r="N830" s="5" t="inlineStr">
        <is>
          <t>Semrush phrase_these returned no data (not billed)</t>
        </is>
      </c>
      <c r="O830" t="inlineStr">
        <is>
          <t>2026-10-30</t>
        </is>
      </c>
      <c r="P830">
        <f>IF(IF(J830="NOT AVAILABLE","",J830)="",12,IF(OR(ISNUMBER(SEARCH("Transactional",IF(J830="NOT AVAILABLE","",J830))),ISNUMBER(SEARCH("Commercial",IF(J830="NOT AVAILABLE","",J830)))),25,IF(ISNUMBER(SEARCH("Informational",IF(J830="NOT AVAILABLE","",J830))),10,IF(ISNUMBER(SEARCH("Navigational",IF(J830="NOT AVAILABLE","",J830))),0,12))))</f>
        <v/>
      </c>
      <c r="Q830">
        <f>IF(ISNUMBER(F830),MIN(30,ROUND(30*LOG10(F830+1)/4,1)),0)</f>
        <v/>
      </c>
      <c r="R830">
        <f>IF(ISNUMBER(G830),ROUND(25*(100-G830)/100,1),12.5)</f>
        <v/>
      </c>
      <c r="S830" t="n">
        <v>20</v>
      </c>
      <c r="T830">
        <f>ROUND(P830+Q830+R830+S830,0)</f>
        <v/>
      </c>
      <c r="U830" s="5" t="inlineStr"/>
      <c r="V830" s="5" t="inlineStr"/>
    </row>
    <row r="831">
      <c r="A831" t="inlineStr">
        <is>
          <t>K0829</t>
        </is>
      </c>
      <c r="B831" t="inlineStr">
        <is>
          <t>web development company dubai</t>
        </is>
      </c>
      <c r="C831" t="inlineStr">
        <is>
          <t>United Arab Emirates</t>
        </is>
      </c>
      <c r="D831" t="inlineStr">
        <is>
          <t>ae</t>
        </is>
      </c>
      <c r="E831" t="inlineStr">
        <is>
          <t>en</t>
        </is>
      </c>
      <c r="F831" t="n">
        <v>1600</v>
      </c>
      <c r="G831" t="n">
        <v>31</v>
      </c>
      <c r="H831" t="n">
        <v>6.25</v>
      </c>
      <c r="I831" t="n">
        <v>0.21</v>
      </c>
      <c r="J831" t="inlineStr">
        <is>
          <t>Commercial</t>
        </is>
      </c>
      <c r="K831" t="inlineStr">
        <is>
          <t>NOT AVAILABLE (report not requested)</t>
        </is>
      </c>
      <c r="L831" t="inlineStr">
        <is>
          <t>declining (calc.)</t>
        </is>
      </c>
      <c r="M831" t="inlineStr">
        <is>
          <t>MEASURED</t>
        </is>
      </c>
      <c r="N831" s="5" t="inlineStr">
        <is>
          <t>Semrush phrase_these (live, this session)</t>
        </is>
      </c>
      <c r="O831" t="inlineStr">
        <is>
          <t>2026-10-30</t>
        </is>
      </c>
      <c r="P831">
        <f>IF(IF(J831="NOT AVAILABLE","",J831)="",12,IF(OR(ISNUMBER(SEARCH("Transactional",IF(J831="NOT AVAILABLE","",J831))),ISNUMBER(SEARCH("Commercial",IF(J831="NOT AVAILABLE","",J831)))),25,IF(ISNUMBER(SEARCH("Informational",IF(J831="NOT AVAILABLE","",J831))),10,IF(ISNUMBER(SEARCH("Navigational",IF(J831="NOT AVAILABLE","",J831))),0,12))))</f>
        <v/>
      </c>
      <c r="Q831">
        <f>IF(ISNUMBER(F831),MIN(30,ROUND(30*LOG10(F831+1)/4,1)),0)</f>
        <v/>
      </c>
      <c r="R831">
        <f>IF(ISNUMBER(G831),ROUND(25*(100-G831)/100,1),12.5)</f>
        <v/>
      </c>
      <c r="S831" t="n">
        <v>3</v>
      </c>
      <c r="T831">
        <f>ROUND(P831+Q831+R831+S831,0)</f>
        <v/>
      </c>
      <c r="U831" s="5" t="inlineStr"/>
      <c r="V831" s="5" t="inlineStr">
        <is>
          <t>NOT RECOMMENDED /web-development-company/dubai</t>
        </is>
      </c>
    </row>
    <row r="832">
      <c r="A832" t="inlineStr">
        <is>
          <t>K0830</t>
        </is>
      </c>
      <c r="B832" t="inlineStr">
        <is>
          <t>web development company abu dhabi</t>
        </is>
      </c>
      <c r="C832" t="inlineStr">
        <is>
          <t>United Arab Emirates</t>
        </is>
      </c>
      <c r="D832" t="inlineStr">
        <is>
          <t>ae</t>
        </is>
      </c>
      <c r="E832" t="inlineStr">
        <is>
          <t>en</t>
        </is>
      </c>
      <c r="F832" t="n">
        <v>390</v>
      </c>
      <c r="G832" t="n">
        <v>18</v>
      </c>
      <c r="H832" t="n">
        <v>8.81</v>
      </c>
      <c r="I832" t="n">
        <v>0.12</v>
      </c>
      <c r="J832" t="inlineStr">
        <is>
          <t>Commercial</t>
        </is>
      </c>
      <c r="K832" t="inlineStr">
        <is>
          <t>NOT AVAILABLE (report not requested)</t>
        </is>
      </c>
      <c r="L832" t="inlineStr">
        <is>
          <t>declining (calc.)</t>
        </is>
      </c>
      <c r="M832" t="inlineStr">
        <is>
          <t>MEASURED</t>
        </is>
      </c>
      <c r="N832" s="5" t="inlineStr">
        <is>
          <t>Semrush phrase_these (live, this session)</t>
        </is>
      </c>
      <c r="O832" t="inlineStr">
        <is>
          <t>2026-10-30</t>
        </is>
      </c>
      <c r="P832">
        <f>IF(IF(J832="NOT AVAILABLE","",J832)="",12,IF(OR(ISNUMBER(SEARCH("Transactional",IF(J832="NOT AVAILABLE","",J832))),ISNUMBER(SEARCH("Commercial",IF(J832="NOT AVAILABLE","",J832)))),25,IF(ISNUMBER(SEARCH("Informational",IF(J832="NOT AVAILABLE","",J832))),10,IF(ISNUMBER(SEARCH("Navigational",IF(J832="NOT AVAILABLE","",J832))),0,12))))</f>
        <v/>
      </c>
      <c r="Q832">
        <f>IF(ISNUMBER(F832),MIN(30,ROUND(30*LOG10(F832+1)/4,1)),0)</f>
        <v/>
      </c>
      <c r="R832">
        <f>IF(ISNUMBER(G832),ROUND(25*(100-G832)/100,1),12.5)</f>
        <v/>
      </c>
      <c r="S832" t="n">
        <v>3</v>
      </c>
      <c r="T832">
        <f>ROUND(P832+Q832+R832+S832,0)</f>
        <v/>
      </c>
      <c r="U832" s="5" t="inlineStr"/>
      <c r="V832" s="5" t="inlineStr">
        <is>
          <t>NOT RECOMMENDED /web-development-company/abudhabi</t>
        </is>
      </c>
    </row>
    <row r="833">
      <c r="A833" t="inlineStr">
        <is>
          <t>K0831</t>
        </is>
      </c>
      <c r="B833" t="inlineStr">
        <is>
          <t>agence web dubai</t>
        </is>
      </c>
      <c r="C833" t="inlineStr">
        <is>
          <t>United Arab Emirates</t>
        </is>
      </c>
      <c r="D833" t="inlineStr">
        <is>
          <t>ae</t>
        </is>
      </c>
      <c r="E833" t="inlineStr">
        <is>
          <t>fr</t>
        </is>
      </c>
      <c r="F833" t="n">
        <v>10</v>
      </c>
      <c r="G833" t="inlineStr">
        <is>
          <t>NOT AVAILABLE</t>
        </is>
      </c>
      <c r="H833" t="n">
        <v>0</v>
      </c>
      <c r="I833" t="n">
        <v>0</v>
      </c>
      <c r="J833" t="inlineStr">
        <is>
          <t>NOT AVAILABLE</t>
        </is>
      </c>
      <c r="K833" t="inlineStr">
        <is>
          <t>NOT AVAILABLE (report not requested)</t>
        </is>
      </c>
      <c r="L833" t="inlineStr">
        <is>
          <t>stable (calc.)</t>
        </is>
      </c>
      <c r="M833" t="inlineStr">
        <is>
          <t>MEASURED</t>
        </is>
      </c>
      <c r="N833" s="5" t="inlineStr">
        <is>
          <t>Semrush phrase_these (live, this session)</t>
        </is>
      </c>
      <c r="O833" t="inlineStr">
        <is>
          <t>2026-10-30</t>
        </is>
      </c>
      <c r="P833">
        <f>IF(IF(J833="NOT AVAILABLE","",J833)="",12,IF(OR(ISNUMBER(SEARCH("Transactional",IF(J833="NOT AVAILABLE","",J833))),ISNUMBER(SEARCH("Commercial",IF(J833="NOT AVAILABLE","",J833)))),25,IF(ISNUMBER(SEARCH("Informational",IF(J833="NOT AVAILABLE","",J833))),10,IF(ISNUMBER(SEARCH("Navigational",IF(J833="NOT AVAILABLE","",J833))),0,12))))</f>
        <v/>
      </c>
      <c r="Q833">
        <f>IF(ISNUMBER(F833),MIN(30,ROUND(30*LOG10(F833+1)/4,1)),0)</f>
        <v/>
      </c>
      <c r="R833">
        <f>IF(ISNUMBER(G833),ROUND(25*(100-G833)/100,1),12.5)</f>
        <v/>
      </c>
      <c r="S833" t="n">
        <v>3</v>
      </c>
      <c r="T833">
        <f>ROUND(P833+Q833+R833+S833,0)</f>
        <v/>
      </c>
      <c r="U833" s="5" t="inlineStr"/>
      <c r="V833" s="5" t="inlineStr"/>
    </row>
    <row r="834">
      <c r="A834" t="inlineStr">
        <is>
          <t>K0832</t>
        </is>
      </c>
      <c r="B834" t="inlineStr">
        <is>
          <t>agence web abu dhabi</t>
        </is>
      </c>
      <c r="C834" t="inlineStr">
        <is>
          <t>United Arab Emirates</t>
        </is>
      </c>
      <c r="D834" t="inlineStr">
        <is>
          <t>ae</t>
        </is>
      </c>
      <c r="E834" t="inlineStr">
        <is>
          <t>fr</t>
        </is>
      </c>
      <c r="F834" t="inlineStr">
        <is>
          <t>NOT AVAILABLE</t>
        </is>
      </c>
      <c r="G834" t="inlineStr">
        <is>
          <t>NOT AVAILABLE</t>
        </is>
      </c>
      <c r="H834" t="inlineStr">
        <is>
          <t>NOT AVAILABLE</t>
        </is>
      </c>
      <c r="I834" t="inlineStr">
        <is>
          <t>NOT AVAILABLE</t>
        </is>
      </c>
      <c r="J834" t="inlineStr">
        <is>
          <t>NOT AVAILABLE</t>
        </is>
      </c>
      <c r="K834" t="inlineStr">
        <is>
          <t>NOT AVAILABLE</t>
        </is>
      </c>
      <c r="L834" t="inlineStr">
        <is>
          <t>NOT AVAILABLE</t>
        </is>
      </c>
      <c r="M834" t="inlineStr">
        <is>
          <t>UNAVAILABLE</t>
        </is>
      </c>
      <c r="N834" s="5" t="inlineStr">
        <is>
          <t>Semrush phrase_these returned no data (not billed)</t>
        </is>
      </c>
      <c r="O834" t="inlineStr">
        <is>
          <t>2026-10-30</t>
        </is>
      </c>
      <c r="P834">
        <f>IF(IF(J834="NOT AVAILABLE","",J834)="",12,IF(OR(ISNUMBER(SEARCH("Transactional",IF(J834="NOT AVAILABLE","",J834))),ISNUMBER(SEARCH("Commercial",IF(J834="NOT AVAILABLE","",J834)))),25,IF(ISNUMBER(SEARCH("Informational",IF(J834="NOT AVAILABLE","",J834))),10,IF(ISNUMBER(SEARCH("Navigational",IF(J834="NOT AVAILABLE","",J834))),0,12))))</f>
        <v/>
      </c>
      <c r="Q834">
        <f>IF(ISNUMBER(F834),MIN(30,ROUND(30*LOG10(F834+1)/4,1)),0)</f>
        <v/>
      </c>
      <c r="R834">
        <f>IF(ISNUMBER(G834),ROUND(25*(100-G834)/100,1),12.5)</f>
        <v/>
      </c>
      <c r="S834" t="n">
        <v>3</v>
      </c>
      <c r="T834">
        <f>ROUND(P834+Q834+R834+S834,0)</f>
        <v/>
      </c>
      <c r="U834" s="5" t="inlineStr"/>
      <c r="V834" s="5" t="inlineStr"/>
    </row>
    <row r="835">
      <c r="A835" t="inlineStr">
        <is>
          <t>K0833</t>
        </is>
      </c>
      <c r="B835" t="inlineStr">
        <is>
          <t>création site web abu dhabi</t>
        </is>
      </c>
      <c r="C835" t="inlineStr">
        <is>
          <t>United Arab Emirates</t>
        </is>
      </c>
      <c r="D835" t="inlineStr">
        <is>
          <t>ae</t>
        </is>
      </c>
      <c r="E835" t="inlineStr">
        <is>
          <t>fr</t>
        </is>
      </c>
      <c r="F835" t="inlineStr">
        <is>
          <t>NOT AVAILABLE</t>
        </is>
      </c>
      <c r="G835" t="inlineStr">
        <is>
          <t>NOT AVAILABLE</t>
        </is>
      </c>
      <c r="H835" t="inlineStr">
        <is>
          <t>NOT AVAILABLE</t>
        </is>
      </c>
      <c r="I835" t="inlineStr">
        <is>
          <t>NOT AVAILABLE</t>
        </is>
      </c>
      <c r="J835" t="inlineStr">
        <is>
          <t>NOT AVAILABLE</t>
        </is>
      </c>
      <c r="K835" t="inlineStr">
        <is>
          <t>NOT AVAILABLE</t>
        </is>
      </c>
      <c r="L835" t="inlineStr">
        <is>
          <t>NOT AVAILABLE</t>
        </is>
      </c>
      <c r="M835" t="inlineStr">
        <is>
          <t>UNAVAILABLE</t>
        </is>
      </c>
      <c r="N835" s="5" t="inlineStr">
        <is>
          <t>Semrush phrase_these returned no data (not billed)</t>
        </is>
      </c>
      <c r="O835" t="inlineStr">
        <is>
          <t>2026-10-30</t>
        </is>
      </c>
      <c r="P835">
        <f>IF(IF(J835="NOT AVAILABLE","",J835)="",12,IF(OR(ISNUMBER(SEARCH("Transactional",IF(J835="NOT AVAILABLE","",J835))),ISNUMBER(SEARCH("Commercial",IF(J835="NOT AVAILABLE","",J835)))),25,IF(ISNUMBER(SEARCH("Informational",IF(J835="NOT AVAILABLE","",J835))),10,IF(ISNUMBER(SEARCH("Navigational",IF(J835="NOT AVAILABLE","",J835))),0,12))))</f>
        <v/>
      </c>
      <c r="Q835">
        <f>IF(ISNUMBER(F835),MIN(30,ROUND(30*LOG10(F835+1)/4,1)),0)</f>
        <v/>
      </c>
      <c r="R835">
        <f>IF(ISNUMBER(G835),ROUND(25*(100-G835)/100,1),12.5)</f>
        <v/>
      </c>
      <c r="S835" t="n">
        <v>3</v>
      </c>
      <c r="T835">
        <f>ROUND(P835+Q835+R835+S835,0)</f>
        <v/>
      </c>
      <c r="U835" s="5" t="inlineStr"/>
      <c r="V835" s="5" t="inlineStr"/>
    </row>
    <row r="836">
      <c r="A836" t="inlineStr">
        <is>
          <t>K0834</t>
        </is>
      </c>
      <c r="B836" t="inlineStr">
        <is>
          <t>création site web dubai</t>
        </is>
      </c>
      <c r="C836" t="inlineStr">
        <is>
          <t>United Arab Emirates</t>
        </is>
      </c>
      <c r="D836" t="inlineStr">
        <is>
          <t>ae</t>
        </is>
      </c>
      <c r="E836" t="inlineStr">
        <is>
          <t>fr</t>
        </is>
      </c>
      <c r="F836" t="inlineStr">
        <is>
          <t>NOT AVAILABLE</t>
        </is>
      </c>
      <c r="G836" t="inlineStr">
        <is>
          <t>NOT AVAILABLE</t>
        </is>
      </c>
      <c r="H836" t="inlineStr">
        <is>
          <t>NOT AVAILABLE</t>
        </is>
      </c>
      <c r="I836" t="inlineStr">
        <is>
          <t>NOT AVAILABLE</t>
        </is>
      </c>
      <c r="J836" t="inlineStr">
        <is>
          <t>NOT AVAILABLE</t>
        </is>
      </c>
      <c r="K836" t="inlineStr">
        <is>
          <t>NOT AVAILABLE</t>
        </is>
      </c>
      <c r="L836" t="inlineStr">
        <is>
          <t>NOT AVAILABLE</t>
        </is>
      </c>
      <c r="M836" t="inlineStr">
        <is>
          <t>UNAVAILABLE</t>
        </is>
      </c>
      <c r="N836" s="5" t="inlineStr">
        <is>
          <t>Semrush phrase_these returned no data (not billed)</t>
        </is>
      </c>
      <c r="O836" t="inlineStr">
        <is>
          <t>2026-10-30</t>
        </is>
      </c>
      <c r="P836">
        <f>IF(IF(J836="NOT AVAILABLE","",J836)="",12,IF(OR(ISNUMBER(SEARCH("Transactional",IF(J836="NOT AVAILABLE","",J836))),ISNUMBER(SEARCH("Commercial",IF(J836="NOT AVAILABLE","",J836)))),25,IF(ISNUMBER(SEARCH("Informational",IF(J836="NOT AVAILABLE","",J836))),10,IF(ISNUMBER(SEARCH("Navigational",IF(J836="NOT AVAILABLE","",J836))),0,12))))</f>
        <v/>
      </c>
      <c r="Q836">
        <f>IF(ISNUMBER(F836),MIN(30,ROUND(30*LOG10(F836+1)/4,1)),0)</f>
        <v/>
      </c>
      <c r="R836">
        <f>IF(ISNUMBER(G836),ROUND(25*(100-G836)/100,1),12.5)</f>
        <v/>
      </c>
      <c r="S836" t="n">
        <v>3</v>
      </c>
      <c r="T836">
        <f>ROUND(P836+Q836+R836+S836,0)</f>
        <v/>
      </c>
      <c r="U836" s="5" t="inlineStr"/>
      <c r="V836" s="5" t="inlineStr"/>
    </row>
    <row r="837">
      <c r="A837" t="inlineStr">
        <is>
          <t>K0835</t>
        </is>
      </c>
      <c r="B837" t="inlineStr">
        <is>
          <t>développement web abu dhabi</t>
        </is>
      </c>
      <c r="C837" t="inlineStr">
        <is>
          <t>United Arab Emirates</t>
        </is>
      </c>
      <c r="D837" t="inlineStr">
        <is>
          <t>ae</t>
        </is>
      </c>
      <c r="E837" t="inlineStr">
        <is>
          <t>fr</t>
        </is>
      </c>
      <c r="F837" t="inlineStr">
        <is>
          <t>NOT AVAILABLE</t>
        </is>
      </c>
      <c r="G837" t="inlineStr">
        <is>
          <t>NOT AVAILABLE</t>
        </is>
      </c>
      <c r="H837" t="inlineStr">
        <is>
          <t>NOT AVAILABLE</t>
        </is>
      </c>
      <c r="I837" t="inlineStr">
        <is>
          <t>NOT AVAILABLE</t>
        </is>
      </c>
      <c r="J837" t="inlineStr">
        <is>
          <t>NOT AVAILABLE</t>
        </is>
      </c>
      <c r="K837" t="inlineStr">
        <is>
          <t>NOT AVAILABLE</t>
        </is>
      </c>
      <c r="L837" t="inlineStr">
        <is>
          <t>NOT AVAILABLE</t>
        </is>
      </c>
      <c r="M837" t="inlineStr">
        <is>
          <t>UNAVAILABLE</t>
        </is>
      </c>
      <c r="N837" s="5" t="inlineStr">
        <is>
          <t>Semrush phrase_these returned no data (not billed)</t>
        </is>
      </c>
      <c r="O837" t="inlineStr">
        <is>
          <t>2026-10-30</t>
        </is>
      </c>
      <c r="P837">
        <f>IF(IF(J837="NOT AVAILABLE","",J837)="",12,IF(OR(ISNUMBER(SEARCH("Transactional",IF(J837="NOT AVAILABLE","",J837))),ISNUMBER(SEARCH("Commercial",IF(J837="NOT AVAILABLE","",J837)))),25,IF(ISNUMBER(SEARCH("Informational",IF(J837="NOT AVAILABLE","",J837))),10,IF(ISNUMBER(SEARCH("Navigational",IF(J837="NOT AVAILABLE","",J837))),0,12))))</f>
        <v/>
      </c>
      <c r="Q837">
        <f>IF(ISNUMBER(F837),MIN(30,ROUND(30*LOG10(F837+1)/4,1)),0)</f>
        <v/>
      </c>
      <c r="R837">
        <f>IF(ISNUMBER(G837),ROUND(25*(100-G837)/100,1),12.5)</f>
        <v/>
      </c>
      <c r="S837" t="n">
        <v>3</v>
      </c>
      <c r="T837">
        <f>ROUND(P837+Q837+R837+S837,0)</f>
        <v/>
      </c>
      <c r="U837" s="5" t="inlineStr"/>
      <c r="V837" s="5" t="inlineStr">
        <is>
          <t>PRIMARY /web-development-company/abudhabi</t>
        </is>
      </c>
    </row>
    <row r="838">
      <c r="A838" t="inlineStr">
        <is>
          <t>K0836</t>
        </is>
      </c>
      <c r="B838" t="inlineStr">
        <is>
          <t>développement web dubai</t>
        </is>
      </c>
      <c r="C838" t="inlineStr">
        <is>
          <t>United Arab Emirates</t>
        </is>
      </c>
      <c r="D838" t="inlineStr">
        <is>
          <t>ae</t>
        </is>
      </c>
      <c r="E838" t="inlineStr">
        <is>
          <t>fr</t>
        </is>
      </c>
      <c r="F838" t="inlineStr">
        <is>
          <t>NOT AVAILABLE</t>
        </is>
      </c>
      <c r="G838" t="inlineStr">
        <is>
          <t>NOT AVAILABLE</t>
        </is>
      </c>
      <c r="H838" t="inlineStr">
        <is>
          <t>NOT AVAILABLE</t>
        </is>
      </c>
      <c r="I838" t="inlineStr">
        <is>
          <t>NOT AVAILABLE</t>
        </is>
      </c>
      <c r="J838" t="inlineStr">
        <is>
          <t>NOT AVAILABLE</t>
        </is>
      </c>
      <c r="K838" t="inlineStr">
        <is>
          <t>NOT AVAILABLE</t>
        </is>
      </c>
      <c r="L838" t="inlineStr">
        <is>
          <t>NOT AVAILABLE</t>
        </is>
      </c>
      <c r="M838" t="inlineStr">
        <is>
          <t>UNAVAILABLE</t>
        </is>
      </c>
      <c r="N838" s="5" t="inlineStr">
        <is>
          <t>Semrush phrase_these returned no data (not billed)</t>
        </is>
      </c>
      <c r="O838" t="inlineStr">
        <is>
          <t>2026-10-30</t>
        </is>
      </c>
      <c r="P838">
        <f>IF(IF(J838="NOT AVAILABLE","",J838)="",12,IF(OR(ISNUMBER(SEARCH("Transactional",IF(J838="NOT AVAILABLE","",J838))),ISNUMBER(SEARCH("Commercial",IF(J838="NOT AVAILABLE","",J838)))),25,IF(ISNUMBER(SEARCH("Informational",IF(J838="NOT AVAILABLE","",J838))),10,IF(ISNUMBER(SEARCH("Navigational",IF(J838="NOT AVAILABLE","",J838))),0,12))))</f>
        <v/>
      </c>
      <c r="Q838">
        <f>IF(ISNUMBER(F838),MIN(30,ROUND(30*LOG10(F838+1)/4,1)),0)</f>
        <v/>
      </c>
      <c r="R838">
        <f>IF(ISNUMBER(G838),ROUND(25*(100-G838)/100,1),12.5)</f>
        <v/>
      </c>
      <c r="S838" t="n">
        <v>3</v>
      </c>
      <c r="T838">
        <f>ROUND(P838+Q838+R838+S838,0)</f>
        <v/>
      </c>
      <c r="U838" s="5" t="inlineStr"/>
      <c r="V838" s="5" t="inlineStr">
        <is>
          <t>PRIMARY /web-development-company/dubai</t>
        </is>
      </c>
    </row>
    <row r="839">
      <c r="A839" t="inlineStr">
        <is>
          <t>K0837</t>
        </is>
      </c>
      <c r="B839" t="inlineStr">
        <is>
          <t>agence seo</t>
        </is>
      </c>
      <c r="C839" t="inlineStr">
        <is>
          <t>Belgium</t>
        </is>
      </c>
      <c r="D839" t="inlineStr">
        <is>
          <t>be</t>
        </is>
      </c>
      <c r="E839" t="inlineStr">
        <is>
          <t>fr</t>
        </is>
      </c>
      <c r="F839" t="n">
        <v>1900</v>
      </c>
      <c r="G839" t="n">
        <v>29</v>
      </c>
      <c r="H839" t="n">
        <v>6.28</v>
      </c>
      <c r="I839" t="n">
        <v>0.28</v>
      </c>
      <c r="J839" t="inlineStr">
        <is>
          <t>Commercial</t>
        </is>
      </c>
      <c r="K839" t="inlineStr">
        <is>
          <t>NOT AVAILABLE (report not requested)</t>
        </is>
      </c>
      <c r="L839" t="inlineStr">
        <is>
          <t>declining (calc.)</t>
        </is>
      </c>
      <c r="M839" t="inlineStr">
        <is>
          <t>MEASURED</t>
        </is>
      </c>
      <c r="N839" s="5" t="inlineStr">
        <is>
          <t>Semrush phrase_these (live, this session)</t>
        </is>
      </c>
      <c r="O839" t="inlineStr">
        <is>
          <t>2026-10-30</t>
        </is>
      </c>
      <c r="P839">
        <f>IF(IF(J839="NOT AVAILABLE","",J839)="",12,IF(OR(ISNUMBER(SEARCH("Transactional",IF(J839="NOT AVAILABLE","",J839))),ISNUMBER(SEARCH("Commercial",IF(J839="NOT AVAILABLE","",J839)))),25,IF(ISNUMBER(SEARCH("Informational",IF(J839="NOT AVAILABLE","",J839))),10,IF(ISNUMBER(SEARCH("Navigational",IF(J839="NOT AVAILABLE","",J839))),0,12))))</f>
        <v/>
      </c>
      <c r="Q839">
        <f>IF(ISNUMBER(F839),MIN(30,ROUND(30*LOG10(F839+1)/4,1)),0)</f>
        <v/>
      </c>
      <c r="R839">
        <f>IF(ISNUMBER(G839),ROUND(25*(100-G839)/100,1),12.5)</f>
        <v/>
      </c>
      <c r="S839" t="n">
        <v>10</v>
      </c>
      <c r="T839">
        <f>ROUND(P839+Q839+R839+S839,0)</f>
        <v/>
      </c>
      <c r="U839" s="5" t="inlineStr"/>
      <c r="V839" s="5" t="inlineStr"/>
    </row>
    <row r="840">
      <c r="A840" t="inlineStr">
        <is>
          <t>K0838</t>
        </is>
      </c>
      <c r="B840" t="inlineStr">
        <is>
          <t>agence web</t>
        </is>
      </c>
      <c r="C840" t="inlineStr">
        <is>
          <t>Belgium</t>
        </is>
      </c>
      <c r="D840" t="inlineStr">
        <is>
          <t>be</t>
        </is>
      </c>
      <c r="E840" t="inlineStr">
        <is>
          <t>fr</t>
        </is>
      </c>
      <c r="F840" t="n">
        <v>1900</v>
      </c>
      <c r="G840" t="n">
        <v>39</v>
      </c>
      <c r="H840" t="n">
        <v>2.46</v>
      </c>
      <c r="I840" t="n">
        <v>0.27</v>
      </c>
      <c r="J840" t="inlineStr">
        <is>
          <t>Commercial</t>
        </is>
      </c>
      <c r="K840" t="inlineStr">
        <is>
          <t>NOT AVAILABLE (report not requested)</t>
        </is>
      </c>
      <c r="L840" t="inlineStr">
        <is>
          <t>stable (calc.)</t>
        </is>
      </c>
      <c r="M840" t="inlineStr">
        <is>
          <t>MEASURED</t>
        </is>
      </c>
      <c r="N840" s="5" t="inlineStr">
        <is>
          <t>Semrush phrase_these (live, this session)</t>
        </is>
      </c>
      <c r="O840" t="inlineStr">
        <is>
          <t>2026-10-30</t>
        </is>
      </c>
      <c r="P840">
        <f>IF(IF(J840="NOT AVAILABLE","",J840)="",12,IF(OR(ISNUMBER(SEARCH("Transactional",IF(J840="NOT AVAILABLE","",J840))),ISNUMBER(SEARCH("Commercial",IF(J840="NOT AVAILABLE","",J840)))),25,IF(ISNUMBER(SEARCH("Informational",IF(J840="NOT AVAILABLE","",J840))),10,IF(ISNUMBER(SEARCH("Navigational",IF(J840="NOT AVAILABLE","",J840))),0,12))))</f>
        <v/>
      </c>
      <c r="Q840">
        <f>IF(ISNUMBER(F840),MIN(30,ROUND(30*LOG10(F840+1)/4,1)),0)</f>
        <v/>
      </c>
      <c r="R840">
        <f>IF(ISNUMBER(G840),ROUND(25*(100-G840)/100,1),12.5)</f>
        <v/>
      </c>
      <c r="S840" t="n">
        <v>10</v>
      </c>
      <c r="T840">
        <f>ROUND(P840+Q840+R840+S840,0)</f>
        <v/>
      </c>
      <c r="U840" s="5" t="inlineStr"/>
      <c r="V840" s="5" t="inlineStr"/>
    </row>
    <row r="841">
      <c r="A841" t="inlineStr">
        <is>
          <t>K0839</t>
        </is>
      </c>
      <c r="B841" t="inlineStr">
        <is>
          <t>agence digitale</t>
        </is>
      </c>
      <c r="C841" t="inlineStr">
        <is>
          <t>Belgium</t>
        </is>
      </c>
      <c r="D841" t="inlineStr">
        <is>
          <t>be</t>
        </is>
      </c>
      <c r="E841" t="inlineStr">
        <is>
          <t>fr</t>
        </is>
      </c>
      <c r="F841" t="n">
        <v>1300</v>
      </c>
      <c r="G841" t="n">
        <v>47</v>
      </c>
      <c r="H841" t="n">
        <v>3.52</v>
      </c>
      <c r="I841" t="n">
        <v>0.31</v>
      </c>
      <c r="J841" t="inlineStr">
        <is>
          <t>Commercial</t>
        </is>
      </c>
      <c r="K841" t="inlineStr">
        <is>
          <t>NOT AVAILABLE (report not requested)</t>
        </is>
      </c>
      <c r="L841" t="inlineStr">
        <is>
          <t>stable (calc.)</t>
        </is>
      </c>
      <c r="M841" t="inlineStr">
        <is>
          <t>MEASURED</t>
        </is>
      </c>
      <c r="N841" s="5" t="inlineStr">
        <is>
          <t>Semrush phrase_these (live, this session)</t>
        </is>
      </c>
      <c r="O841" t="inlineStr">
        <is>
          <t>2026-10-30</t>
        </is>
      </c>
      <c r="P841">
        <f>IF(IF(J841="NOT AVAILABLE","",J841)="",12,IF(OR(ISNUMBER(SEARCH("Transactional",IF(J841="NOT AVAILABLE","",J841))),ISNUMBER(SEARCH("Commercial",IF(J841="NOT AVAILABLE","",J841)))),25,IF(ISNUMBER(SEARCH("Informational",IF(J841="NOT AVAILABLE","",J841))),10,IF(ISNUMBER(SEARCH("Navigational",IF(J841="NOT AVAILABLE","",J841))),0,12))))</f>
        <v/>
      </c>
      <c r="Q841">
        <f>IF(ISNUMBER(F841),MIN(30,ROUND(30*LOG10(F841+1)/4,1)),0)</f>
        <v/>
      </c>
      <c r="R841">
        <f>IF(ISNUMBER(G841),ROUND(25*(100-G841)/100,1),12.5)</f>
        <v/>
      </c>
      <c r="S841" t="n">
        <v>10</v>
      </c>
      <c r="T841">
        <f>ROUND(P841+Q841+R841+S841,0)</f>
        <v/>
      </c>
      <c r="U841" s="5" t="inlineStr"/>
      <c r="V841" s="5" t="inlineStr"/>
    </row>
    <row r="842">
      <c r="A842" t="inlineStr">
        <is>
          <t>K0840</t>
        </is>
      </c>
      <c r="B842" t="inlineStr">
        <is>
          <t>agence web belgique</t>
        </is>
      </c>
      <c r="C842" t="inlineStr">
        <is>
          <t>Belgium</t>
        </is>
      </c>
      <c r="D842" t="inlineStr">
        <is>
          <t>be</t>
        </is>
      </c>
      <c r="E842" t="inlineStr">
        <is>
          <t>fr</t>
        </is>
      </c>
      <c r="F842" t="n">
        <v>1300</v>
      </c>
      <c r="G842" t="n">
        <v>49</v>
      </c>
      <c r="H842" t="n">
        <v>2.55</v>
      </c>
      <c r="I842" t="n">
        <v>0.25</v>
      </c>
      <c r="J842" t="inlineStr">
        <is>
          <t>Commercial</t>
        </is>
      </c>
      <c r="K842" t="inlineStr">
        <is>
          <t>NOT AVAILABLE (report not requested)</t>
        </is>
      </c>
      <c r="L842" t="inlineStr">
        <is>
          <t>rising (calc.)</t>
        </is>
      </c>
      <c r="M842" t="inlineStr">
        <is>
          <t>MEASURED</t>
        </is>
      </c>
      <c r="N842" s="5" t="inlineStr">
        <is>
          <t>Semrush phrase_these (live, this session)</t>
        </is>
      </c>
      <c r="O842" t="inlineStr">
        <is>
          <t>2026-10-30</t>
        </is>
      </c>
      <c r="P842">
        <f>IF(IF(J842="NOT AVAILABLE","",J842)="",12,IF(OR(ISNUMBER(SEARCH("Transactional",IF(J842="NOT AVAILABLE","",J842))),ISNUMBER(SEARCH("Commercial",IF(J842="NOT AVAILABLE","",J842)))),25,IF(ISNUMBER(SEARCH("Informational",IF(J842="NOT AVAILABLE","",J842))),10,IF(ISNUMBER(SEARCH("Navigational",IF(J842="NOT AVAILABLE","",J842))),0,12))))</f>
        <v/>
      </c>
      <c r="Q842">
        <f>IF(ISNUMBER(F842),MIN(30,ROUND(30*LOG10(F842+1)/4,1)),0)</f>
        <v/>
      </c>
      <c r="R842">
        <f>IF(ISNUMBER(G842),ROUND(25*(100-G842)/100,1),12.5)</f>
        <v/>
      </c>
      <c r="S842" t="n">
        <v>10</v>
      </c>
      <c r="T842">
        <f>ROUND(P842+Q842+R842+S842,0)</f>
        <v/>
      </c>
      <c r="U842" s="5" t="inlineStr"/>
      <c r="V842" s="5" t="inlineStr"/>
    </row>
    <row r="843">
      <c r="A843" t="inlineStr">
        <is>
          <t>K0841</t>
        </is>
      </c>
      <c r="B843" t="inlineStr">
        <is>
          <t>agence web bruxelles</t>
        </is>
      </c>
      <c r="C843" t="inlineStr">
        <is>
          <t>Belgium</t>
        </is>
      </c>
      <c r="D843" t="inlineStr">
        <is>
          <t>be</t>
        </is>
      </c>
      <c r="E843" t="inlineStr">
        <is>
          <t>fr</t>
        </is>
      </c>
      <c r="F843" t="n">
        <v>1300</v>
      </c>
      <c r="G843" t="n">
        <v>53</v>
      </c>
      <c r="H843" t="n">
        <v>2.97</v>
      </c>
      <c r="I843" t="n">
        <v>0.26</v>
      </c>
      <c r="J843" t="inlineStr">
        <is>
          <t>Commercial</t>
        </is>
      </c>
      <c r="K843" t="inlineStr">
        <is>
          <t>NOT AVAILABLE (report not requested)</t>
        </is>
      </c>
      <c r="L843" t="inlineStr">
        <is>
          <t>stable (calc.)</t>
        </is>
      </c>
      <c r="M843" t="inlineStr">
        <is>
          <t>MEASURED</t>
        </is>
      </c>
      <c r="N843" s="5" t="inlineStr">
        <is>
          <t>Semrush phrase_these (live, this session)</t>
        </is>
      </c>
      <c r="O843" t="inlineStr">
        <is>
          <t>2026-10-30</t>
        </is>
      </c>
      <c r="P843">
        <f>IF(IF(J843="NOT AVAILABLE","",J843)="",12,IF(OR(ISNUMBER(SEARCH("Transactional",IF(J843="NOT AVAILABLE","",J843))),ISNUMBER(SEARCH("Commercial",IF(J843="NOT AVAILABLE","",J843)))),25,IF(ISNUMBER(SEARCH("Informational",IF(J843="NOT AVAILABLE","",J843))),10,IF(ISNUMBER(SEARCH("Navigational",IF(J843="NOT AVAILABLE","",J843))),0,12))))</f>
        <v/>
      </c>
      <c r="Q843">
        <f>IF(ISNUMBER(F843),MIN(30,ROUND(30*LOG10(F843+1)/4,1)),0)</f>
        <v/>
      </c>
      <c r="R843">
        <f>IF(ISNUMBER(G843),ROUND(25*(100-G843)/100,1),12.5)</f>
        <v/>
      </c>
      <c r="S843" t="n">
        <v>10</v>
      </c>
      <c r="T843">
        <f>ROUND(P843+Q843+R843+S843,0)</f>
        <v/>
      </c>
      <c r="U843" s="5" t="inlineStr"/>
      <c r="V843" s="5" t="inlineStr">
        <is>
          <t>SECONDARY /web-development-company/brussels</t>
        </is>
      </c>
    </row>
    <row r="844">
      <c r="A844" t="inlineStr">
        <is>
          <t>K0842</t>
        </is>
      </c>
      <c r="B844" t="inlineStr">
        <is>
          <t>création site internet</t>
        </is>
      </c>
      <c r="C844" t="inlineStr">
        <is>
          <t>Belgium</t>
        </is>
      </c>
      <c r="D844" t="inlineStr">
        <is>
          <t>be</t>
        </is>
      </c>
      <c r="E844" t="inlineStr">
        <is>
          <t>fr</t>
        </is>
      </c>
      <c r="F844" t="n">
        <v>1000</v>
      </c>
      <c r="G844" t="n">
        <v>78</v>
      </c>
      <c r="H844" t="n">
        <v>5.91</v>
      </c>
      <c r="I844" t="n">
        <v>0.5600000000000001</v>
      </c>
      <c r="J844" t="inlineStr">
        <is>
          <t>Commercial</t>
        </is>
      </c>
      <c r="K844" t="inlineStr">
        <is>
          <t>NOT AVAILABLE (report not requested)</t>
        </is>
      </c>
      <c r="L844" t="inlineStr">
        <is>
          <t>rising (calc.)</t>
        </is>
      </c>
      <c r="M844" t="inlineStr">
        <is>
          <t>MEASURED</t>
        </is>
      </c>
      <c r="N844" s="5" t="inlineStr">
        <is>
          <t>Semrush phrase_these (live, this session)</t>
        </is>
      </c>
      <c r="O844" t="inlineStr">
        <is>
          <t>2026-10-30</t>
        </is>
      </c>
      <c r="P844">
        <f>IF(IF(J844="NOT AVAILABLE","",J844)="",12,IF(OR(ISNUMBER(SEARCH("Transactional",IF(J844="NOT AVAILABLE","",J844))),ISNUMBER(SEARCH("Commercial",IF(J844="NOT AVAILABLE","",J844)))),25,IF(ISNUMBER(SEARCH("Informational",IF(J844="NOT AVAILABLE","",J844))),10,IF(ISNUMBER(SEARCH("Navigational",IF(J844="NOT AVAILABLE","",J844))),0,12))))</f>
        <v/>
      </c>
      <c r="Q844">
        <f>IF(ISNUMBER(F844),MIN(30,ROUND(30*LOG10(F844+1)/4,1)),0)</f>
        <v/>
      </c>
      <c r="R844">
        <f>IF(ISNUMBER(G844),ROUND(25*(100-G844)/100,1),12.5)</f>
        <v/>
      </c>
      <c r="S844" t="n">
        <v>10</v>
      </c>
      <c r="T844">
        <f>ROUND(P844+Q844+R844+S844,0)</f>
        <v/>
      </c>
      <c r="U844" s="5" t="inlineStr"/>
      <c r="V844" s="5" t="inlineStr"/>
    </row>
    <row r="845">
      <c r="A845" t="inlineStr">
        <is>
          <t>K0843</t>
        </is>
      </c>
      <c r="B845" t="inlineStr">
        <is>
          <t>création site web</t>
        </is>
      </c>
      <c r="C845" t="inlineStr">
        <is>
          <t>Belgium</t>
        </is>
      </c>
      <c r="D845" t="inlineStr">
        <is>
          <t>be</t>
        </is>
      </c>
      <c r="E845" t="inlineStr">
        <is>
          <t>fr</t>
        </is>
      </c>
      <c r="F845" t="n">
        <v>880</v>
      </c>
      <c r="G845" t="n">
        <v>78</v>
      </c>
      <c r="H845" t="n">
        <v>5.54</v>
      </c>
      <c r="I845" t="n">
        <v>0.4</v>
      </c>
      <c r="J845" t="inlineStr">
        <is>
          <t>Informational</t>
        </is>
      </c>
      <c r="K845" t="inlineStr">
        <is>
          <t>NOT AVAILABLE (report not requested)</t>
        </is>
      </c>
      <c r="L845" t="inlineStr">
        <is>
          <t>stable (calc.)</t>
        </is>
      </c>
      <c r="M845" t="inlineStr">
        <is>
          <t>MEASURED</t>
        </is>
      </c>
      <c r="N845" s="5" t="inlineStr">
        <is>
          <t>Semrush phrase_these (live, this session)</t>
        </is>
      </c>
      <c r="O845" t="inlineStr">
        <is>
          <t>2026-10-30</t>
        </is>
      </c>
      <c r="P845">
        <f>IF(IF(J845="NOT AVAILABLE","",J845)="",12,IF(OR(ISNUMBER(SEARCH("Transactional",IF(J845="NOT AVAILABLE","",J845))),ISNUMBER(SEARCH("Commercial",IF(J845="NOT AVAILABLE","",J845)))),25,IF(ISNUMBER(SEARCH("Informational",IF(J845="NOT AVAILABLE","",J845))),10,IF(ISNUMBER(SEARCH("Navigational",IF(J845="NOT AVAILABLE","",J845))),0,12))))</f>
        <v/>
      </c>
      <c r="Q845">
        <f>IF(ISNUMBER(F845),MIN(30,ROUND(30*LOG10(F845+1)/4,1)),0)</f>
        <v/>
      </c>
      <c r="R845">
        <f>IF(ISNUMBER(G845),ROUND(25*(100-G845)/100,1),12.5)</f>
        <v/>
      </c>
      <c r="S845" t="n">
        <v>10</v>
      </c>
      <c r="T845">
        <f>ROUND(P845+Q845+R845+S845,0)</f>
        <v/>
      </c>
      <c r="U845" s="5" t="inlineStr"/>
      <c r="V845" s="5" t="inlineStr"/>
    </row>
    <row r="846">
      <c r="A846" t="inlineStr">
        <is>
          <t>K0844</t>
        </is>
      </c>
      <c r="B846" t="inlineStr">
        <is>
          <t>webdesigner</t>
        </is>
      </c>
      <c r="C846" t="inlineStr">
        <is>
          <t>Belgium</t>
        </is>
      </c>
      <c r="D846" t="inlineStr">
        <is>
          <t>be</t>
        </is>
      </c>
      <c r="E846" t="inlineStr">
        <is>
          <t>fr</t>
        </is>
      </c>
      <c r="F846" t="n">
        <v>880</v>
      </c>
      <c r="G846" t="n">
        <v>27</v>
      </c>
      <c r="H846" t="n">
        <v>3.63</v>
      </c>
      <c r="I846" t="n">
        <v>0.4</v>
      </c>
      <c r="J846" t="inlineStr">
        <is>
          <t>Commercial</t>
        </is>
      </c>
      <c r="K846" t="inlineStr">
        <is>
          <t>NOT AVAILABLE (report not requested)</t>
        </is>
      </c>
      <c r="L846" t="inlineStr">
        <is>
          <t>stable (calc.)</t>
        </is>
      </c>
      <c r="M846" t="inlineStr">
        <is>
          <t>MEASURED</t>
        </is>
      </c>
      <c r="N846" s="5" t="inlineStr">
        <is>
          <t>Semrush phrase_these (live, this session)</t>
        </is>
      </c>
      <c r="O846" t="inlineStr">
        <is>
          <t>2026-10-30</t>
        </is>
      </c>
      <c r="P846">
        <f>IF(IF(J846="NOT AVAILABLE","",J846)="",12,IF(OR(ISNUMBER(SEARCH("Transactional",IF(J846="NOT AVAILABLE","",J846))),ISNUMBER(SEARCH("Commercial",IF(J846="NOT AVAILABLE","",J846)))),25,IF(ISNUMBER(SEARCH("Informational",IF(J846="NOT AVAILABLE","",J846))),10,IF(ISNUMBER(SEARCH("Navigational",IF(J846="NOT AVAILABLE","",J846))),0,12))))</f>
        <v/>
      </c>
      <c r="Q846">
        <f>IF(ISNUMBER(F846),MIN(30,ROUND(30*LOG10(F846+1)/4,1)),0)</f>
        <v/>
      </c>
      <c r="R846">
        <f>IF(ISNUMBER(G846),ROUND(25*(100-G846)/100,1),12.5)</f>
        <v/>
      </c>
      <c r="S846" t="n">
        <v>10</v>
      </c>
      <c r="T846">
        <f>ROUND(P846+Q846+R846+S846,0)</f>
        <v/>
      </c>
      <c r="U846" s="5" t="inlineStr"/>
      <c r="V846" s="5" t="inlineStr"/>
    </row>
    <row r="847">
      <c r="A847" t="inlineStr">
        <is>
          <t>K0845</t>
        </is>
      </c>
      <c r="B847" t="inlineStr">
        <is>
          <t>référencement naturel</t>
        </is>
      </c>
      <c r="C847" t="inlineStr">
        <is>
          <t>Belgium</t>
        </is>
      </c>
      <c r="D847" t="inlineStr">
        <is>
          <t>be</t>
        </is>
      </c>
      <c r="E847" t="inlineStr">
        <is>
          <t>fr</t>
        </is>
      </c>
      <c r="F847" t="n">
        <v>720</v>
      </c>
      <c r="G847" t="n">
        <v>46</v>
      </c>
      <c r="H847" t="n">
        <v>0</v>
      </c>
      <c r="I847" t="n">
        <v>0.03</v>
      </c>
      <c r="J847" t="inlineStr">
        <is>
          <t>Informational</t>
        </is>
      </c>
      <c r="K847" t="inlineStr">
        <is>
          <t>NOT AVAILABLE (report not requested)</t>
        </is>
      </c>
      <c r="L847" t="inlineStr">
        <is>
          <t>declining (calc.)</t>
        </is>
      </c>
      <c r="M847" t="inlineStr">
        <is>
          <t>MEASURED</t>
        </is>
      </c>
      <c r="N847" s="5" t="inlineStr">
        <is>
          <t>Semrush phrase_these (live, this session)</t>
        </is>
      </c>
      <c r="O847" t="inlineStr">
        <is>
          <t>2026-10-30</t>
        </is>
      </c>
      <c r="P847">
        <f>IF(IF(J847="NOT AVAILABLE","",J847)="",12,IF(OR(ISNUMBER(SEARCH("Transactional",IF(J847="NOT AVAILABLE","",J847))),ISNUMBER(SEARCH("Commercial",IF(J847="NOT AVAILABLE","",J847)))),25,IF(ISNUMBER(SEARCH("Informational",IF(J847="NOT AVAILABLE","",J847))),10,IF(ISNUMBER(SEARCH("Navigational",IF(J847="NOT AVAILABLE","",J847))),0,12))))</f>
        <v/>
      </c>
      <c r="Q847">
        <f>IF(ISNUMBER(F847),MIN(30,ROUND(30*LOG10(F847+1)/4,1)),0)</f>
        <v/>
      </c>
      <c r="R847">
        <f>IF(ISNUMBER(G847),ROUND(25*(100-G847)/100,1),12.5)</f>
        <v/>
      </c>
      <c r="S847" t="n">
        <v>10</v>
      </c>
      <c r="T847">
        <f>ROUND(P847+Q847+R847+S847,0)</f>
        <v/>
      </c>
      <c r="U847" s="5" t="inlineStr"/>
      <c r="V847" s="5" t="inlineStr"/>
    </row>
    <row r="848">
      <c r="A848" t="inlineStr">
        <is>
          <t>K0846</t>
        </is>
      </c>
      <c r="B848" t="inlineStr">
        <is>
          <t>agence web liège</t>
        </is>
      </c>
      <c r="C848" t="inlineStr">
        <is>
          <t>Belgium</t>
        </is>
      </c>
      <c r="D848" t="inlineStr">
        <is>
          <t>be</t>
        </is>
      </c>
      <c r="E848" t="inlineStr">
        <is>
          <t>fr</t>
        </is>
      </c>
      <c r="F848" t="n">
        <v>590</v>
      </c>
      <c r="G848" t="n">
        <v>23</v>
      </c>
      <c r="H848" t="n">
        <v>2.84</v>
      </c>
      <c r="I848" t="n">
        <v>0.21</v>
      </c>
      <c r="J848" t="inlineStr">
        <is>
          <t>Commercial</t>
        </is>
      </c>
      <c r="K848" t="inlineStr">
        <is>
          <t>NOT AVAILABLE (report not requested)</t>
        </is>
      </c>
      <c r="L848" t="inlineStr">
        <is>
          <t>declining (calc.)</t>
        </is>
      </c>
      <c r="M848" t="inlineStr">
        <is>
          <t>MEASURED</t>
        </is>
      </c>
      <c r="N848" s="5" t="inlineStr">
        <is>
          <t>Semrush phrase_these (live, this session)</t>
        </is>
      </c>
      <c r="O848" t="inlineStr">
        <is>
          <t>2026-10-30</t>
        </is>
      </c>
      <c r="P848">
        <f>IF(IF(J848="NOT AVAILABLE","",J848)="",12,IF(OR(ISNUMBER(SEARCH("Transactional",IF(J848="NOT AVAILABLE","",J848))),ISNUMBER(SEARCH("Commercial",IF(J848="NOT AVAILABLE","",J848)))),25,IF(ISNUMBER(SEARCH("Informational",IF(J848="NOT AVAILABLE","",J848))),10,IF(ISNUMBER(SEARCH("Navigational",IF(J848="NOT AVAILABLE","",J848))),0,12))))</f>
        <v/>
      </c>
      <c r="Q848">
        <f>IF(ISNUMBER(F848),MIN(30,ROUND(30*LOG10(F848+1)/4,1)),0)</f>
        <v/>
      </c>
      <c r="R848">
        <f>IF(ISNUMBER(G848),ROUND(25*(100-G848)/100,1),12.5)</f>
        <v/>
      </c>
      <c r="S848" t="n">
        <v>10</v>
      </c>
      <c r="T848">
        <f>ROUND(P848+Q848+R848+S848,0)</f>
        <v/>
      </c>
      <c r="U848" s="5" t="inlineStr"/>
      <c r="V848" s="5" t="inlineStr"/>
    </row>
    <row r="849">
      <c r="A849" t="inlineStr">
        <is>
          <t>K0847</t>
        </is>
      </c>
      <c r="B849" t="inlineStr">
        <is>
          <t>création site internet bruxelles</t>
        </is>
      </c>
      <c r="C849" t="inlineStr">
        <is>
          <t>Belgium</t>
        </is>
      </c>
      <c r="D849" t="inlineStr">
        <is>
          <t>be</t>
        </is>
      </c>
      <c r="E849" t="inlineStr">
        <is>
          <t>fr</t>
        </is>
      </c>
      <c r="F849" t="n">
        <v>390</v>
      </c>
      <c r="G849" t="n">
        <v>15</v>
      </c>
      <c r="H849" t="n">
        <v>0</v>
      </c>
      <c r="I849" t="n">
        <v>0.09</v>
      </c>
      <c r="J849" t="inlineStr">
        <is>
          <t>Informational</t>
        </is>
      </c>
      <c r="K849" t="inlineStr">
        <is>
          <t>NOT AVAILABLE (report not requested)</t>
        </is>
      </c>
      <c r="L849" t="inlineStr">
        <is>
          <t>declining (calc.)</t>
        </is>
      </c>
      <c r="M849" t="inlineStr">
        <is>
          <t>MEASURED</t>
        </is>
      </c>
      <c r="N849" s="5" t="inlineStr">
        <is>
          <t>Semrush phrase_these (live, this session)</t>
        </is>
      </c>
      <c r="O849" t="inlineStr">
        <is>
          <t>2026-10-30</t>
        </is>
      </c>
      <c r="P849">
        <f>IF(IF(J849="NOT AVAILABLE","",J849)="",12,IF(OR(ISNUMBER(SEARCH("Transactional",IF(J849="NOT AVAILABLE","",J849))),ISNUMBER(SEARCH("Commercial",IF(J849="NOT AVAILABLE","",J849)))),25,IF(ISNUMBER(SEARCH("Informational",IF(J849="NOT AVAILABLE","",J849))),10,IF(ISNUMBER(SEARCH("Navigational",IF(J849="NOT AVAILABLE","",J849))),0,12))))</f>
        <v/>
      </c>
      <c r="Q849">
        <f>IF(ISNUMBER(F849),MIN(30,ROUND(30*LOG10(F849+1)/4,1)),0)</f>
        <v/>
      </c>
      <c r="R849">
        <f>IF(ISNUMBER(G849),ROUND(25*(100-G849)/100,1),12.5)</f>
        <v/>
      </c>
      <c r="S849" t="n">
        <v>10</v>
      </c>
      <c r="T849">
        <f>ROUND(P849+Q849+R849+S849,0)</f>
        <v/>
      </c>
      <c r="U849" s="5" t="inlineStr"/>
      <c r="V849" s="5" t="inlineStr"/>
    </row>
    <row r="850">
      <c r="A850" t="inlineStr">
        <is>
          <t>K0848</t>
        </is>
      </c>
      <c r="B850" t="inlineStr">
        <is>
          <t>création site e-commerce</t>
        </is>
      </c>
      <c r="C850" t="inlineStr">
        <is>
          <t>Belgium</t>
        </is>
      </c>
      <c r="D850" t="inlineStr">
        <is>
          <t>be</t>
        </is>
      </c>
      <c r="E850" t="inlineStr">
        <is>
          <t>fr</t>
        </is>
      </c>
      <c r="F850" t="n">
        <v>320</v>
      </c>
      <c r="G850" t="n">
        <v>33</v>
      </c>
      <c r="H850" t="n">
        <v>0</v>
      </c>
      <c r="I850" t="n">
        <v>0.18</v>
      </c>
      <c r="J850" t="inlineStr">
        <is>
          <t>Informational</t>
        </is>
      </c>
      <c r="K850" t="inlineStr">
        <is>
          <t>NOT AVAILABLE (report not requested)</t>
        </is>
      </c>
      <c r="L850" t="inlineStr">
        <is>
          <t>declining (calc.)</t>
        </is>
      </c>
      <c r="M850" t="inlineStr">
        <is>
          <t>MEASURED</t>
        </is>
      </c>
      <c r="N850" s="5" t="inlineStr">
        <is>
          <t>Semrush phrase_these (live, this session)</t>
        </is>
      </c>
      <c r="O850" t="inlineStr">
        <is>
          <t>2026-10-30</t>
        </is>
      </c>
      <c r="P850">
        <f>IF(IF(J850="NOT AVAILABLE","",J850)="",12,IF(OR(ISNUMBER(SEARCH("Transactional",IF(J850="NOT AVAILABLE","",J850))),ISNUMBER(SEARCH("Commercial",IF(J850="NOT AVAILABLE","",J850)))),25,IF(ISNUMBER(SEARCH("Informational",IF(J850="NOT AVAILABLE","",J850))),10,IF(ISNUMBER(SEARCH("Navigational",IF(J850="NOT AVAILABLE","",J850))),0,12))))</f>
        <v/>
      </c>
      <c r="Q850">
        <f>IF(ISNUMBER(F850),MIN(30,ROUND(30*LOG10(F850+1)/4,1)),0)</f>
        <v/>
      </c>
      <c r="R850">
        <f>IF(ISNUMBER(G850),ROUND(25*(100-G850)/100,1),12.5)</f>
        <v/>
      </c>
      <c r="S850" t="n">
        <v>10</v>
      </c>
      <c r="T850">
        <f>ROUND(P850+Q850+R850+S850,0)</f>
        <v/>
      </c>
      <c r="U850" s="5" t="inlineStr"/>
      <c r="V850" s="5" t="inlineStr"/>
    </row>
    <row r="851">
      <c r="A851" t="inlineStr">
        <is>
          <t>K0849</t>
        </is>
      </c>
      <c r="B851" t="inlineStr">
        <is>
          <t>création site web belgique</t>
        </is>
      </c>
      <c r="C851" t="inlineStr">
        <is>
          <t>Belgium</t>
        </is>
      </c>
      <c r="D851" t="inlineStr">
        <is>
          <t>be</t>
        </is>
      </c>
      <c r="E851" t="inlineStr">
        <is>
          <t>fr</t>
        </is>
      </c>
      <c r="F851" t="n">
        <v>260</v>
      </c>
      <c r="G851" t="n">
        <v>9</v>
      </c>
      <c r="H851" t="n">
        <v>3.59</v>
      </c>
      <c r="I851" t="n">
        <v>0.47</v>
      </c>
      <c r="J851" t="inlineStr">
        <is>
          <t>Commercial</t>
        </is>
      </c>
      <c r="K851" t="inlineStr">
        <is>
          <t>NOT AVAILABLE (report not requested)</t>
        </is>
      </c>
      <c r="L851" t="inlineStr">
        <is>
          <t>declining (calc.)</t>
        </is>
      </c>
      <c r="M851" t="inlineStr">
        <is>
          <t>MEASURED</t>
        </is>
      </c>
      <c r="N851" s="5" t="inlineStr">
        <is>
          <t>Semrush phrase_these (live, this session)</t>
        </is>
      </c>
      <c r="O851" t="inlineStr">
        <is>
          <t>2026-10-30</t>
        </is>
      </c>
      <c r="P851">
        <f>IF(IF(J851="NOT AVAILABLE","",J851)="",12,IF(OR(ISNUMBER(SEARCH("Transactional",IF(J851="NOT AVAILABLE","",J851))),ISNUMBER(SEARCH("Commercial",IF(J851="NOT AVAILABLE","",J851)))),25,IF(ISNUMBER(SEARCH("Informational",IF(J851="NOT AVAILABLE","",J851))),10,IF(ISNUMBER(SEARCH("Navigational",IF(J851="NOT AVAILABLE","",J851))),0,12))))</f>
        <v/>
      </c>
      <c r="Q851">
        <f>IF(ISNUMBER(F851),MIN(30,ROUND(30*LOG10(F851+1)/4,1)),0)</f>
        <v/>
      </c>
      <c r="R851">
        <f>IF(ISNUMBER(G851),ROUND(25*(100-G851)/100,1),12.5)</f>
        <v/>
      </c>
      <c r="S851" t="n">
        <v>10</v>
      </c>
      <c r="T851">
        <f>ROUND(P851+Q851+R851+S851,0)</f>
        <v/>
      </c>
      <c r="U851" s="5" t="inlineStr"/>
      <c r="V851" s="5" t="inlineStr"/>
    </row>
    <row r="852">
      <c r="A852" t="inlineStr">
        <is>
          <t>K0850</t>
        </is>
      </c>
      <c r="B852" t="inlineStr">
        <is>
          <t>agence de développement web</t>
        </is>
      </c>
      <c r="C852" t="inlineStr">
        <is>
          <t>Belgium</t>
        </is>
      </c>
      <c r="D852" t="inlineStr">
        <is>
          <t>be</t>
        </is>
      </c>
      <c r="E852" t="inlineStr">
        <is>
          <t>fr</t>
        </is>
      </c>
      <c r="F852" t="n">
        <v>210</v>
      </c>
      <c r="G852" t="n">
        <v>21</v>
      </c>
      <c r="H852" t="n">
        <v>3.04</v>
      </c>
      <c r="I852" t="n">
        <v>0.11</v>
      </c>
      <c r="J852" t="inlineStr">
        <is>
          <t>Commercial</t>
        </is>
      </c>
      <c r="K852" t="inlineStr">
        <is>
          <t>NOT AVAILABLE (report not requested)</t>
        </is>
      </c>
      <c r="L852" t="inlineStr">
        <is>
          <t>rising (calc.)</t>
        </is>
      </c>
      <c r="M852" t="inlineStr">
        <is>
          <t>MEASURED</t>
        </is>
      </c>
      <c r="N852" s="5" t="inlineStr">
        <is>
          <t>Semrush phrase_these (live, this session)</t>
        </is>
      </c>
      <c r="O852" t="inlineStr">
        <is>
          <t>2026-10-30</t>
        </is>
      </c>
      <c r="P852">
        <f>IF(IF(J852="NOT AVAILABLE","",J852)="",12,IF(OR(ISNUMBER(SEARCH("Transactional",IF(J852="NOT AVAILABLE","",J852))),ISNUMBER(SEARCH("Commercial",IF(J852="NOT AVAILABLE","",J852)))),25,IF(ISNUMBER(SEARCH("Informational",IF(J852="NOT AVAILABLE","",J852))),10,IF(ISNUMBER(SEARCH("Navigational",IF(J852="NOT AVAILABLE","",J852))),0,12))))</f>
        <v/>
      </c>
      <c r="Q852">
        <f>IF(ISNUMBER(F852),MIN(30,ROUND(30*LOG10(F852+1)/4,1)),0)</f>
        <v/>
      </c>
      <c r="R852">
        <f>IF(ISNUMBER(G852),ROUND(25*(100-G852)/100,1),12.5)</f>
        <v/>
      </c>
      <c r="S852" t="n">
        <v>10</v>
      </c>
      <c r="T852">
        <f>ROUND(P852+Q852+R852+S852,0)</f>
        <v/>
      </c>
      <c r="U852" s="5" t="inlineStr"/>
      <c r="V852" s="5" t="inlineStr"/>
    </row>
    <row r="853">
      <c r="A853" t="inlineStr">
        <is>
          <t>K0851</t>
        </is>
      </c>
      <c r="B853" t="inlineStr">
        <is>
          <t>conception site web</t>
        </is>
      </c>
      <c r="C853" t="inlineStr">
        <is>
          <t>Belgium</t>
        </is>
      </c>
      <c r="D853" t="inlineStr">
        <is>
          <t>be</t>
        </is>
      </c>
      <c r="E853" t="inlineStr">
        <is>
          <t>fr</t>
        </is>
      </c>
      <c r="F853" t="n">
        <v>210</v>
      </c>
      <c r="G853" t="n">
        <v>69</v>
      </c>
      <c r="H853" t="n">
        <v>6.32</v>
      </c>
      <c r="I853" t="n">
        <v>0.35</v>
      </c>
      <c r="J853" t="inlineStr">
        <is>
          <t>Commercial</t>
        </is>
      </c>
      <c r="K853" t="inlineStr">
        <is>
          <t>NOT AVAILABLE (report not requested)</t>
        </is>
      </c>
      <c r="L853" t="inlineStr">
        <is>
          <t>stable (calc.)</t>
        </is>
      </c>
      <c r="M853" t="inlineStr">
        <is>
          <t>MEASURED</t>
        </is>
      </c>
      <c r="N853" s="5" t="inlineStr">
        <is>
          <t>Semrush phrase_these (live, this session)</t>
        </is>
      </c>
      <c r="O853" t="inlineStr">
        <is>
          <t>2026-10-30</t>
        </is>
      </c>
      <c r="P853">
        <f>IF(IF(J853="NOT AVAILABLE","",J853)="",12,IF(OR(ISNUMBER(SEARCH("Transactional",IF(J853="NOT AVAILABLE","",J853))),ISNUMBER(SEARCH("Commercial",IF(J853="NOT AVAILABLE","",J853)))),25,IF(ISNUMBER(SEARCH("Informational",IF(J853="NOT AVAILABLE","",J853))),10,IF(ISNUMBER(SEARCH("Navigational",IF(J853="NOT AVAILABLE","",J853))),0,12))))</f>
        <v/>
      </c>
      <c r="Q853">
        <f>IF(ISNUMBER(F853),MIN(30,ROUND(30*LOG10(F853+1)/4,1)),0)</f>
        <v/>
      </c>
      <c r="R853">
        <f>IF(ISNUMBER(G853),ROUND(25*(100-G853)/100,1),12.5)</f>
        <v/>
      </c>
      <c r="S853" t="n">
        <v>10</v>
      </c>
      <c r="T853">
        <f>ROUND(P853+Q853+R853+S853,0)</f>
        <v/>
      </c>
      <c r="U853" s="5" t="inlineStr"/>
      <c r="V853" s="5" t="inlineStr"/>
    </row>
    <row r="854">
      <c r="A854" t="inlineStr">
        <is>
          <t>K0852</t>
        </is>
      </c>
      <c r="B854" t="inlineStr">
        <is>
          <t>création site vitrine</t>
        </is>
      </c>
      <c r="C854" t="inlineStr">
        <is>
          <t>Belgium</t>
        </is>
      </c>
      <c r="D854" t="inlineStr">
        <is>
          <t>be</t>
        </is>
      </c>
      <c r="E854" t="inlineStr">
        <is>
          <t>fr</t>
        </is>
      </c>
      <c r="F854" t="n">
        <v>170</v>
      </c>
      <c r="G854" t="n">
        <v>29</v>
      </c>
      <c r="H854" t="n">
        <v>8.16</v>
      </c>
      <c r="I854" t="n">
        <v>0.26</v>
      </c>
      <c r="J854" t="inlineStr">
        <is>
          <t>Informational</t>
        </is>
      </c>
      <c r="K854" t="inlineStr">
        <is>
          <t>NOT AVAILABLE (report not requested)</t>
        </is>
      </c>
      <c r="L854" t="inlineStr">
        <is>
          <t>declining (calc.)</t>
        </is>
      </c>
      <c r="M854" t="inlineStr">
        <is>
          <t>MEASURED</t>
        </is>
      </c>
      <c r="N854" s="5" t="inlineStr">
        <is>
          <t>Semrush phrase_these (live, this session)</t>
        </is>
      </c>
      <c r="O854" t="inlineStr">
        <is>
          <t>2026-10-30</t>
        </is>
      </c>
      <c r="P854">
        <f>IF(IF(J854="NOT AVAILABLE","",J854)="",12,IF(OR(ISNUMBER(SEARCH("Transactional",IF(J854="NOT AVAILABLE","",J854))),ISNUMBER(SEARCH("Commercial",IF(J854="NOT AVAILABLE","",J854)))),25,IF(ISNUMBER(SEARCH("Informational",IF(J854="NOT AVAILABLE","",J854))),10,IF(ISNUMBER(SEARCH("Navigational",IF(J854="NOT AVAILABLE","",J854))),0,12))))</f>
        <v/>
      </c>
      <c r="Q854">
        <f>IF(ISNUMBER(F854),MIN(30,ROUND(30*LOG10(F854+1)/4,1)),0)</f>
        <v/>
      </c>
      <c r="R854">
        <f>IF(ISNUMBER(G854),ROUND(25*(100-G854)/100,1),12.5)</f>
        <v/>
      </c>
      <c r="S854" t="n">
        <v>10</v>
      </c>
      <c r="T854">
        <f>ROUND(P854+Q854+R854+S854,0)</f>
        <v/>
      </c>
      <c r="U854" s="5" t="inlineStr"/>
      <c r="V854" s="5" t="inlineStr"/>
    </row>
    <row r="855">
      <c r="A855" t="inlineStr">
        <is>
          <t>K0853</t>
        </is>
      </c>
      <c r="B855" t="inlineStr">
        <is>
          <t>prix site web</t>
        </is>
      </c>
      <c r="C855" t="inlineStr">
        <is>
          <t>Belgium</t>
        </is>
      </c>
      <c r="D855" t="inlineStr">
        <is>
          <t>be</t>
        </is>
      </c>
      <c r="E855" t="inlineStr">
        <is>
          <t>fr</t>
        </is>
      </c>
      <c r="F855" t="n">
        <v>170</v>
      </c>
      <c r="G855" t="n">
        <v>27</v>
      </c>
      <c r="H855" t="n">
        <v>1.58</v>
      </c>
      <c r="I855" t="n">
        <v>0.6</v>
      </c>
      <c r="J855" t="inlineStr">
        <is>
          <t>Informational</t>
        </is>
      </c>
      <c r="K855" t="inlineStr">
        <is>
          <t>NOT AVAILABLE (report not requested)</t>
        </is>
      </c>
      <c r="L855" t="inlineStr">
        <is>
          <t>stable (calc.)</t>
        </is>
      </c>
      <c r="M855" t="inlineStr">
        <is>
          <t>MEASURED</t>
        </is>
      </c>
      <c r="N855" s="5" t="inlineStr">
        <is>
          <t>Semrush phrase_these (live, this session)</t>
        </is>
      </c>
      <c r="O855" t="inlineStr">
        <is>
          <t>2026-10-30</t>
        </is>
      </c>
      <c r="P855">
        <f>IF(IF(J855="NOT AVAILABLE","",J855)="",12,IF(OR(ISNUMBER(SEARCH("Transactional",IF(J855="NOT AVAILABLE","",J855))),ISNUMBER(SEARCH("Commercial",IF(J855="NOT AVAILABLE","",J855)))),25,IF(ISNUMBER(SEARCH("Informational",IF(J855="NOT AVAILABLE","",J855))),10,IF(ISNUMBER(SEARCH("Navigational",IF(J855="NOT AVAILABLE","",J855))),0,12))))</f>
        <v/>
      </c>
      <c r="Q855">
        <f>IF(ISNUMBER(F855),MIN(30,ROUND(30*LOG10(F855+1)/4,1)),0)</f>
        <v/>
      </c>
      <c r="R855">
        <f>IF(ISNUMBER(G855),ROUND(25*(100-G855)/100,1),12.5)</f>
        <v/>
      </c>
      <c r="S855" t="n">
        <v>10</v>
      </c>
      <c r="T855">
        <f>ROUND(P855+Q855+R855+S855,0)</f>
        <v/>
      </c>
      <c r="U855" s="5" t="inlineStr"/>
      <c r="V855" s="5" t="inlineStr"/>
    </row>
    <row r="856">
      <c r="A856" t="inlineStr">
        <is>
          <t>K0854</t>
        </is>
      </c>
      <c r="B856" t="inlineStr">
        <is>
          <t>refonte site web</t>
        </is>
      </c>
      <c r="C856" t="inlineStr">
        <is>
          <t>Belgium</t>
        </is>
      </c>
      <c r="D856" t="inlineStr">
        <is>
          <t>be</t>
        </is>
      </c>
      <c r="E856" t="inlineStr">
        <is>
          <t>fr</t>
        </is>
      </c>
      <c r="F856" t="n">
        <v>170</v>
      </c>
      <c r="G856" t="n">
        <v>17</v>
      </c>
      <c r="H856" t="n">
        <v>2.35</v>
      </c>
      <c r="I856" t="n">
        <v>0.2</v>
      </c>
      <c r="J856" t="inlineStr">
        <is>
          <t>Informational</t>
        </is>
      </c>
      <c r="K856" t="inlineStr">
        <is>
          <t>NOT AVAILABLE (report not requested)</t>
        </is>
      </c>
      <c r="L856" t="inlineStr">
        <is>
          <t>declining (calc.)</t>
        </is>
      </c>
      <c r="M856" t="inlineStr">
        <is>
          <t>MEASURED</t>
        </is>
      </c>
      <c r="N856" s="5" t="inlineStr">
        <is>
          <t>Semrush phrase_these (live, this session)</t>
        </is>
      </c>
      <c r="O856" t="inlineStr">
        <is>
          <t>2026-10-30</t>
        </is>
      </c>
      <c r="P856">
        <f>IF(IF(J856="NOT AVAILABLE","",J856)="",12,IF(OR(ISNUMBER(SEARCH("Transactional",IF(J856="NOT AVAILABLE","",J856))),ISNUMBER(SEARCH("Commercial",IF(J856="NOT AVAILABLE","",J856)))),25,IF(ISNUMBER(SEARCH("Informational",IF(J856="NOT AVAILABLE","",J856))),10,IF(ISNUMBER(SEARCH("Navigational",IF(J856="NOT AVAILABLE","",J856))),0,12))))</f>
        <v/>
      </c>
      <c r="Q856">
        <f>IF(ISNUMBER(F856),MIN(30,ROUND(30*LOG10(F856+1)/4,1)),0)</f>
        <v/>
      </c>
      <c r="R856">
        <f>IF(ISNUMBER(G856),ROUND(25*(100-G856)/100,1),12.5)</f>
        <v/>
      </c>
      <c r="S856" t="n">
        <v>10</v>
      </c>
      <c r="T856">
        <f>ROUND(P856+Q856+R856+S856,0)</f>
        <v/>
      </c>
      <c r="U856" s="5" t="inlineStr"/>
      <c r="V856" s="5" t="inlineStr"/>
    </row>
    <row r="857">
      <c r="A857" t="inlineStr">
        <is>
          <t>K0855</t>
        </is>
      </c>
      <c r="B857" t="inlineStr">
        <is>
          <t>création site web bruxelles</t>
        </is>
      </c>
      <c r="C857" t="inlineStr">
        <is>
          <t>Belgium</t>
        </is>
      </c>
      <c r="D857" t="inlineStr">
        <is>
          <t>be</t>
        </is>
      </c>
      <c r="E857" t="inlineStr">
        <is>
          <t>fr</t>
        </is>
      </c>
      <c r="F857" t="n">
        <v>140</v>
      </c>
      <c r="G857" t="n">
        <v>5</v>
      </c>
      <c r="H857" t="n">
        <v>4.94</v>
      </c>
      <c r="I857" t="n">
        <v>0.26</v>
      </c>
      <c r="J857" t="inlineStr">
        <is>
          <t>Commercial</t>
        </is>
      </c>
      <c r="K857" t="inlineStr">
        <is>
          <t>NOT AVAILABLE (report not requested)</t>
        </is>
      </c>
      <c r="L857" t="inlineStr">
        <is>
          <t>declining (calc.)</t>
        </is>
      </c>
      <c r="M857" t="inlineStr">
        <is>
          <t>MEASURED</t>
        </is>
      </c>
      <c r="N857" s="5" t="inlineStr">
        <is>
          <t>Semrush phrase_these (live, this session)</t>
        </is>
      </c>
      <c r="O857" t="inlineStr">
        <is>
          <t>2026-10-30</t>
        </is>
      </c>
      <c r="P857">
        <f>IF(IF(J857="NOT AVAILABLE","",J857)="",12,IF(OR(ISNUMBER(SEARCH("Transactional",IF(J857="NOT AVAILABLE","",J857))),ISNUMBER(SEARCH("Commercial",IF(J857="NOT AVAILABLE","",J857)))),25,IF(ISNUMBER(SEARCH("Informational",IF(J857="NOT AVAILABLE","",J857))),10,IF(ISNUMBER(SEARCH("Navigational",IF(J857="NOT AVAILABLE","",J857))),0,12))))</f>
        <v/>
      </c>
      <c r="Q857">
        <f>IF(ISNUMBER(F857),MIN(30,ROUND(30*LOG10(F857+1)/4,1)),0)</f>
        <v/>
      </c>
      <c r="R857">
        <f>IF(ISNUMBER(G857),ROUND(25*(100-G857)/100,1),12.5)</f>
        <v/>
      </c>
      <c r="S857" t="n">
        <v>10</v>
      </c>
      <c r="T857">
        <f>ROUND(P857+Q857+R857+S857,0)</f>
        <v/>
      </c>
      <c r="U857" s="5" t="inlineStr"/>
      <c r="V857" s="5" t="inlineStr">
        <is>
          <t>PRIMARY /web-development-company/brussels</t>
        </is>
      </c>
    </row>
    <row r="858">
      <c r="A858" t="inlineStr">
        <is>
          <t>K0856</t>
        </is>
      </c>
      <c r="B858" t="inlineStr">
        <is>
          <t>prix création site internet</t>
        </is>
      </c>
      <c r="C858" t="inlineStr">
        <is>
          <t>Belgium</t>
        </is>
      </c>
      <c r="D858" t="inlineStr">
        <is>
          <t>be</t>
        </is>
      </c>
      <c r="E858" t="inlineStr">
        <is>
          <t>fr</t>
        </is>
      </c>
      <c r="F858" t="n">
        <v>140</v>
      </c>
      <c r="G858" t="n">
        <v>23</v>
      </c>
      <c r="H858" t="n">
        <v>2.08</v>
      </c>
      <c r="I858" t="n">
        <v>0.68</v>
      </c>
      <c r="J858" t="inlineStr">
        <is>
          <t>Informational</t>
        </is>
      </c>
      <c r="K858" t="inlineStr">
        <is>
          <t>NOT AVAILABLE (report not requested)</t>
        </is>
      </c>
      <c r="L858" t="inlineStr">
        <is>
          <t>stable (calc.)</t>
        </is>
      </c>
      <c r="M858" t="inlineStr">
        <is>
          <t>MEASURED</t>
        </is>
      </c>
      <c r="N858" s="5" t="inlineStr">
        <is>
          <t>Semrush phrase_these (live, this session)</t>
        </is>
      </c>
      <c r="O858" t="inlineStr">
        <is>
          <t>2026-10-30</t>
        </is>
      </c>
      <c r="P858">
        <f>IF(IF(J858="NOT AVAILABLE","",J858)="",12,IF(OR(ISNUMBER(SEARCH("Transactional",IF(J858="NOT AVAILABLE","",J858))),ISNUMBER(SEARCH("Commercial",IF(J858="NOT AVAILABLE","",J858)))),25,IF(ISNUMBER(SEARCH("Informational",IF(J858="NOT AVAILABLE","",J858))),10,IF(ISNUMBER(SEARCH("Navigational",IF(J858="NOT AVAILABLE","",J858))),0,12))))</f>
        <v/>
      </c>
      <c r="Q858">
        <f>IF(ISNUMBER(F858),MIN(30,ROUND(30*LOG10(F858+1)/4,1)),0)</f>
        <v/>
      </c>
      <c r="R858">
        <f>IF(ISNUMBER(G858),ROUND(25*(100-G858)/100,1),12.5)</f>
        <v/>
      </c>
      <c r="S858" t="n">
        <v>10</v>
      </c>
      <c r="T858">
        <f>ROUND(P858+Q858+R858+S858,0)</f>
        <v/>
      </c>
      <c r="U858" s="5" t="inlineStr"/>
      <c r="V858" s="5" t="inlineStr"/>
    </row>
    <row r="859">
      <c r="A859" t="inlineStr">
        <is>
          <t>K0857</t>
        </is>
      </c>
      <c r="B859" t="inlineStr">
        <is>
          <t>développement application web</t>
        </is>
      </c>
      <c r="C859" t="inlineStr">
        <is>
          <t>Belgium</t>
        </is>
      </c>
      <c r="D859" t="inlineStr">
        <is>
          <t>be</t>
        </is>
      </c>
      <c r="E859" t="inlineStr">
        <is>
          <t>fr</t>
        </is>
      </c>
      <c r="F859" t="n">
        <v>110</v>
      </c>
      <c r="G859" t="inlineStr">
        <is>
          <t>NOT AVAILABLE</t>
        </is>
      </c>
      <c r="H859" t="n">
        <v>0</v>
      </c>
      <c r="I859" t="n">
        <v>0.33</v>
      </c>
      <c r="J859" t="inlineStr">
        <is>
          <t>NOT AVAILABLE</t>
        </is>
      </c>
      <c r="K859" t="inlineStr">
        <is>
          <t>NOT AVAILABLE (report not requested)</t>
        </is>
      </c>
      <c r="L859" t="inlineStr">
        <is>
          <t>stable (calc.)</t>
        </is>
      </c>
      <c r="M859" t="inlineStr">
        <is>
          <t>MEASURED</t>
        </is>
      </c>
      <c r="N859" s="5" t="inlineStr">
        <is>
          <t>Semrush phrase_these (live, this session)</t>
        </is>
      </c>
      <c r="O859" t="inlineStr">
        <is>
          <t>2026-10-30</t>
        </is>
      </c>
      <c r="P859">
        <f>IF(IF(J859="NOT AVAILABLE","",J859)="",12,IF(OR(ISNUMBER(SEARCH("Transactional",IF(J859="NOT AVAILABLE","",J859))),ISNUMBER(SEARCH("Commercial",IF(J859="NOT AVAILABLE","",J859)))),25,IF(ISNUMBER(SEARCH("Informational",IF(J859="NOT AVAILABLE","",J859))),10,IF(ISNUMBER(SEARCH("Navigational",IF(J859="NOT AVAILABLE","",J859))),0,12))))</f>
        <v/>
      </c>
      <c r="Q859">
        <f>IF(ISNUMBER(F859),MIN(30,ROUND(30*LOG10(F859+1)/4,1)),0)</f>
        <v/>
      </c>
      <c r="R859">
        <f>IF(ISNUMBER(G859),ROUND(25*(100-G859)/100,1),12.5)</f>
        <v/>
      </c>
      <c r="S859" t="n">
        <v>10</v>
      </c>
      <c r="T859">
        <f>ROUND(P859+Q859+R859+S859,0)</f>
        <v/>
      </c>
      <c r="U859" s="5" t="inlineStr"/>
      <c r="V859" s="5" t="inlineStr"/>
    </row>
    <row r="860">
      <c r="A860" t="inlineStr">
        <is>
          <t>K0858</t>
        </is>
      </c>
      <c r="B860" t="inlineStr">
        <is>
          <t>développement logiciel sur mesure</t>
        </is>
      </c>
      <c r="C860" t="inlineStr">
        <is>
          <t>Belgium</t>
        </is>
      </c>
      <c r="D860" t="inlineStr">
        <is>
          <t>be</t>
        </is>
      </c>
      <c r="E860" t="inlineStr">
        <is>
          <t>fr</t>
        </is>
      </c>
      <c r="F860" t="n">
        <v>90</v>
      </c>
      <c r="G860" t="inlineStr">
        <is>
          <t>NOT AVAILABLE</t>
        </is>
      </c>
      <c r="H860" t="n">
        <v>3.41</v>
      </c>
      <c r="I860" t="n">
        <v>0.3</v>
      </c>
      <c r="J860" t="inlineStr">
        <is>
          <t>NOT AVAILABLE</t>
        </is>
      </c>
      <c r="K860" t="inlineStr">
        <is>
          <t>NOT AVAILABLE (report not requested)</t>
        </is>
      </c>
      <c r="L860" t="inlineStr">
        <is>
          <t>rising (calc.)</t>
        </is>
      </c>
      <c r="M860" t="inlineStr">
        <is>
          <t>MEASURED</t>
        </is>
      </c>
      <c r="N860" s="5" t="inlineStr">
        <is>
          <t>Semrush phrase_these (live, this session)</t>
        </is>
      </c>
      <c r="O860" t="inlineStr">
        <is>
          <t>2026-10-30</t>
        </is>
      </c>
      <c r="P860">
        <f>IF(IF(J860="NOT AVAILABLE","",J860)="",12,IF(OR(ISNUMBER(SEARCH("Transactional",IF(J860="NOT AVAILABLE","",J860))),ISNUMBER(SEARCH("Commercial",IF(J860="NOT AVAILABLE","",J860)))),25,IF(ISNUMBER(SEARCH("Informational",IF(J860="NOT AVAILABLE","",J860))),10,IF(ISNUMBER(SEARCH("Navigational",IF(J860="NOT AVAILABLE","",J860))),0,12))))</f>
        <v/>
      </c>
      <c r="Q860">
        <f>IF(ISNUMBER(F860),MIN(30,ROUND(30*LOG10(F860+1)/4,1)),0)</f>
        <v/>
      </c>
      <c r="R860">
        <f>IF(ISNUMBER(G860),ROUND(25*(100-G860)/100,1),12.5)</f>
        <v/>
      </c>
      <c r="S860" t="n">
        <v>10</v>
      </c>
      <c r="T860">
        <f>ROUND(P860+Q860+R860+S860,0)</f>
        <v/>
      </c>
      <c r="U860" s="5" t="inlineStr"/>
      <c r="V860" s="5" t="inlineStr"/>
    </row>
    <row r="861">
      <c r="A861" t="inlineStr">
        <is>
          <t>K0859</t>
        </is>
      </c>
      <c r="B861" t="inlineStr">
        <is>
          <t>création boutique en ligne</t>
        </is>
      </c>
      <c r="C861" t="inlineStr">
        <is>
          <t>Belgium</t>
        </is>
      </c>
      <c r="D861" t="inlineStr">
        <is>
          <t>be</t>
        </is>
      </c>
      <c r="E861" t="inlineStr">
        <is>
          <t>fr</t>
        </is>
      </c>
      <c r="F861" t="n">
        <v>70</v>
      </c>
      <c r="G861" t="inlineStr">
        <is>
          <t>NOT AVAILABLE</t>
        </is>
      </c>
      <c r="H861" t="n">
        <v>5.66</v>
      </c>
      <c r="I861" t="n">
        <v>0.74</v>
      </c>
      <c r="J861" t="inlineStr">
        <is>
          <t>NOT AVAILABLE</t>
        </is>
      </c>
      <c r="K861" t="inlineStr">
        <is>
          <t>NOT AVAILABLE (report not requested)</t>
        </is>
      </c>
      <c r="L861" t="inlineStr">
        <is>
          <t>rising (calc.)</t>
        </is>
      </c>
      <c r="M861" t="inlineStr">
        <is>
          <t>MEASURED</t>
        </is>
      </c>
      <c r="N861" s="5" t="inlineStr">
        <is>
          <t>Semrush phrase_these (live, this session)</t>
        </is>
      </c>
      <c r="O861" t="inlineStr">
        <is>
          <t>2026-10-30</t>
        </is>
      </c>
      <c r="P861">
        <f>IF(IF(J861="NOT AVAILABLE","",J861)="",12,IF(OR(ISNUMBER(SEARCH("Transactional",IF(J861="NOT AVAILABLE","",J861))),ISNUMBER(SEARCH("Commercial",IF(J861="NOT AVAILABLE","",J861)))),25,IF(ISNUMBER(SEARCH("Informational",IF(J861="NOT AVAILABLE","",J861))),10,IF(ISNUMBER(SEARCH("Navigational",IF(J861="NOT AVAILABLE","",J861))),0,12))))</f>
        <v/>
      </c>
      <c r="Q861">
        <f>IF(ISNUMBER(F861),MIN(30,ROUND(30*LOG10(F861+1)/4,1)),0)</f>
        <v/>
      </c>
      <c r="R861">
        <f>IF(ISNUMBER(G861),ROUND(25*(100-G861)/100,1),12.5)</f>
        <v/>
      </c>
      <c r="S861" t="n">
        <v>10</v>
      </c>
      <c r="T861">
        <f>ROUND(P861+Q861+R861+S861,0)</f>
        <v/>
      </c>
      <c r="U861" s="5" t="inlineStr"/>
      <c r="V861" s="5" t="inlineStr"/>
    </row>
    <row r="862">
      <c r="A862" t="inlineStr">
        <is>
          <t>K0860</t>
        </is>
      </c>
      <c r="B862" t="inlineStr">
        <is>
          <t>site internet professionnel</t>
        </is>
      </c>
      <c r="C862" t="inlineStr">
        <is>
          <t>Belgium</t>
        </is>
      </c>
      <c r="D862" t="inlineStr">
        <is>
          <t>be</t>
        </is>
      </c>
      <c r="E862" t="inlineStr">
        <is>
          <t>fr</t>
        </is>
      </c>
      <c r="F862" t="n">
        <v>70</v>
      </c>
      <c r="G862" t="inlineStr">
        <is>
          <t>NOT AVAILABLE</t>
        </is>
      </c>
      <c r="H862" t="n">
        <v>3.48</v>
      </c>
      <c r="I862" t="n">
        <v>0.86</v>
      </c>
      <c r="J862" t="inlineStr">
        <is>
          <t>NOT AVAILABLE</t>
        </is>
      </c>
      <c r="K862" t="inlineStr">
        <is>
          <t>NOT AVAILABLE (report not requested)</t>
        </is>
      </c>
      <c r="L862" t="inlineStr">
        <is>
          <t>rising (calc.)</t>
        </is>
      </c>
      <c r="M862" t="inlineStr">
        <is>
          <t>MEASURED</t>
        </is>
      </c>
      <c r="N862" s="5" t="inlineStr">
        <is>
          <t>Semrush phrase_these (live, this session)</t>
        </is>
      </c>
      <c r="O862" t="inlineStr">
        <is>
          <t>2026-10-30</t>
        </is>
      </c>
      <c r="P862">
        <f>IF(IF(J862="NOT AVAILABLE","",J862)="",12,IF(OR(ISNUMBER(SEARCH("Transactional",IF(J862="NOT AVAILABLE","",J862))),ISNUMBER(SEARCH("Commercial",IF(J862="NOT AVAILABLE","",J862)))),25,IF(ISNUMBER(SEARCH("Informational",IF(J862="NOT AVAILABLE","",J862))),10,IF(ISNUMBER(SEARCH("Navigational",IF(J862="NOT AVAILABLE","",J862))),0,12))))</f>
        <v/>
      </c>
      <c r="Q862">
        <f>IF(ISNUMBER(F862),MIN(30,ROUND(30*LOG10(F862+1)/4,1)),0)</f>
        <v/>
      </c>
      <c r="R862">
        <f>IF(ISNUMBER(G862),ROUND(25*(100-G862)/100,1),12.5)</f>
        <v/>
      </c>
      <c r="S862" t="n">
        <v>10</v>
      </c>
      <c r="T862">
        <f>ROUND(P862+Q862+R862+S862,0)</f>
        <v/>
      </c>
      <c r="U862" s="5" t="inlineStr"/>
      <c r="V862" s="5" t="inlineStr"/>
    </row>
    <row r="863">
      <c r="A863" t="inlineStr">
        <is>
          <t>K0861</t>
        </is>
      </c>
      <c r="B863" t="inlineStr">
        <is>
          <t>développement web bruxelles</t>
        </is>
      </c>
      <c r="C863" t="inlineStr">
        <is>
          <t>Belgium</t>
        </is>
      </c>
      <c r="D863" t="inlineStr">
        <is>
          <t>be</t>
        </is>
      </c>
      <c r="E863" t="inlineStr">
        <is>
          <t>fr</t>
        </is>
      </c>
      <c r="F863" t="n">
        <v>50</v>
      </c>
      <c r="G863" t="inlineStr">
        <is>
          <t>NOT AVAILABLE</t>
        </is>
      </c>
      <c r="H863" t="n">
        <v>3.31</v>
      </c>
      <c r="I863" t="n">
        <v>0.48</v>
      </c>
      <c r="J863" t="inlineStr">
        <is>
          <t>NOT AVAILABLE</t>
        </is>
      </c>
      <c r="K863" t="inlineStr">
        <is>
          <t>NOT AVAILABLE (report not requested)</t>
        </is>
      </c>
      <c r="L863" t="inlineStr">
        <is>
          <t>stable (calc.)</t>
        </is>
      </c>
      <c r="M863" t="inlineStr">
        <is>
          <t>MEASURED</t>
        </is>
      </c>
      <c r="N863" s="5" t="inlineStr">
        <is>
          <t>Semrush phrase_these (live, this session)</t>
        </is>
      </c>
      <c r="O863" t="inlineStr">
        <is>
          <t>2026-10-30</t>
        </is>
      </c>
      <c r="P863">
        <f>IF(IF(J863="NOT AVAILABLE","",J863)="",12,IF(OR(ISNUMBER(SEARCH("Transactional",IF(J863="NOT AVAILABLE","",J863))),ISNUMBER(SEARCH("Commercial",IF(J863="NOT AVAILABLE","",J863)))),25,IF(ISNUMBER(SEARCH("Informational",IF(J863="NOT AVAILABLE","",J863))),10,IF(ISNUMBER(SEARCH("Navigational",IF(J863="NOT AVAILABLE","",J863))),0,12))))</f>
        <v/>
      </c>
      <c r="Q863">
        <f>IF(ISNUMBER(F863),MIN(30,ROUND(30*LOG10(F863+1)/4,1)),0)</f>
        <v/>
      </c>
      <c r="R863">
        <f>IF(ISNUMBER(G863),ROUND(25*(100-G863)/100,1),12.5)</f>
        <v/>
      </c>
      <c r="S863" t="n">
        <v>10</v>
      </c>
      <c r="T863">
        <f>ROUND(P863+Q863+R863+S863,0)</f>
        <v/>
      </c>
      <c r="U863" s="5" t="inlineStr"/>
      <c r="V863" s="5" t="inlineStr">
        <is>
          <t>SUPPORTING /web-development-company/brussels</t>
        </is>
      </c>
    </row>
    <row r="864">
      <c r="A864" t="inlineStr">
        <is>
          <t>K0862</t>
        </is>
      </c>
      <c r="B864" t="inlineStr">
        <is>
          <t>développement web sur mesure</t>
        </is>
      </c>
      <c r="C864" t="inlineStr">
        <is>
          <t>Belgium</t>
        </is>
      </c>
      <c r="D864" t="inlineStr">
        <is>
          <t>be</t>
        </is>
      </c>
      <c r="E864" t="inlineStr">
        <is>
          <t>fr</t>
        </is>
      </c>
      <c r="F864" t="n">
        <v>50</v>
      </c>
      <c r="G864" t="inlineStr">
        <is>
          <t>NOT AVAILABLE</t>
        </is>
      </c>
      <c r="H864" t="n">
        <v>0</v>
      </c>
      <c r="I864" t="n">
        <v>0.33</v>
      </c>
      <c r="J864" t="inlineStr">
        <is>
          <t>NOT AVAILABLE</t>
        </is>
      </c>
      <c r="K864" t="inlineStr">
        <is>
          <t>NOT AVAILABLE (report not requested)</t>
        </is>
      </c>
      <c r="L864" t="inlineStr">
        <is>
          <t>stable (calc.)</t>
        </is>
      </c>
      <c r="M864" t="inlineStr">
        <is>
          <t>MEASURED</t>
        </is>
      </c>
      <c r="N864" s="5" t="inlineStr">
        <is>
          <t>Semrush phrase_these (live, this session)</t>
        </is>
      </c>
      <c r="O864" t="inlineStr">
        <is>
          <t>2026-10-30</t>
        </is>
      </c>
      <c r="P864">
        <f>IF(IF(J864="NOT AVAILABLE","",J864)="",12,IF(OR(ISNUMBER(SEARCH("Transactional",IF(J864="NOT AVAILABLE","",J864))),ISNUMBER(SEARCH("Commercial",IF(J864="NOT AVAILABLE","",J864)))),25,IF(ISNUMBER(SEARCH("Informational",IF(J864="NOT AVAILABLE","",J864))),10,IF(ISNUMBER(SEARCH("Navigational",IF(J864="NOT AVAILABLE","",J864))),0,12))))</f>
        <v/>
      </c>
      <c r="Q864">
        <f>IF(ISNUMBER(F864),MIN(30,ROUND(30*LOG10(F864+1)/4,1)),0)</f>
        <v/>
      </c>
      <c r="R864">
        <f>IF(ISNUMBER(G864),ROUND(25*(100-G864)/100,1),12.5)</f>
        <v/>
      </c>
      <c r="S864" t="n">
        <v>10</v>
      </c>
      <c r="T864">
        <f>ROUND(P864+Q864+R864+S864,0)</f>
        <v/>
      </c>
      <c r="U864" s="5" t="inlineStr"/>
      <c r="V864" s="5" t="inlineStr"/>
    </row>
    <row r="865">
      <c r="A865" t="inlineStr">
        <is>
          <t>K0863</t>
        </is>
      </c>
      <c r="B865" t="inlineStr">
        <is>
          <t>agence web offshore</t>
        </is>
      </c>
      <c r="C865" t="inlineStr">
        <is>
          <t>Belgium</t>
        </is>
      </c>
      <c r="D865" t="inlineStr">
        <is>
          <t>be</t>
        </is>
      </c>
      <c r="E865" t="inlineStr">
        <is>
          <t>fr</t>
        </is>
      </c>
      <c r="F865" t="n">
        <v>30</v>
      </c>
      <c r="G865" t="inlineStr">
        <is>
          <t>NOT AVAILABLE</t>
        </is>
      </c>
      <c r="H865" t="n">
        <v>0</v>
      </c>
      <c r="I865" t="n">
        <v>0</v>
      </c>
      <c r="J865" t="inlineStr">
        <is>
          <t>NOT AVAILABLE</t>
        </is>
      </c>
      <c r="K865" t="inlineStr">
        <is>
          <t>NOT AVAILABLE (report not requested)</t>
        </is>
      </c>
      <c r="L865" t="inlineStr">
        <is>
          <t>declining (calc.)</t>
        </is>
      </c>
      <c r="M865" t="inlineStr">
        <is>
          <t>MEASURED</t>
        </is>
      </c>
      <c r="N865" s="5" t="inlineStr">
        <is>
          <t>Semrush phrase_these (live, this session)</t>
        </is>
      </c>
      <c r="O865" t="inlineStr">
        <is>
          <t>2026-10-30</t>
        </is>
      </c>
      <c r="P865">
        <f>IF(IF(J865="NOT AVAILABLE","",J865)="",12,IF(OR(ISNUMBER(SEARCH("Transactional",IF(J865="NOT AVAILABLE","",J865))),ISNUMBER(SEARCH("Commercial",IF(J865="NOT AVAILABLE","",J865)))),25,IF(ISNUMBER(SEARCH("Informational",IF(J865="NOT AVAILABLE","",J865))),10,IF(ISNUMBER(SEARCH("Navigational",IF(J865="NOT AVAILABLE","",J865))),0,12))))</f>
        <v/>
      </c>
      <c r="Q865">
        <f>IF(ISNUMBER(F865),MIN(30,ROUND(30*LOG10(F865+1)/4,1)),0)</f>
        <v/>
      </c>
      <c r="R865">
        <f>IF(ISNUMBER(G865),ROUND(25*(100-G865)/100,1),12.5)</f>
        <v/>
      </c>
      <c r="S865" t="n">
        <v>10</v>
      </c>
      <c r="T865">
        <f>ROUND(P865+Q865+R865+S865,0)</f>
        <v/>
      </c>
      <c r="U865" s="5" t="inlineStr"/>
      <c r="V865" s="5" t="inlineStr"/>
    </row>
    <row r="866">
      <c r="A866" t="inlineStr">
        <is>
          <t>K0864</t>
        </is>
      </c>
      <c r="B866" t="inlineStr">
        <is>
          <t>agence web maroc</t>
        </is>
      </c>
      <c r="C866" t="inlineStr">
        <is>
          <t>Belgium</t>
        </is>
      </c>
      <c r="D866" t="inlineStr">
        <is>
          <t>be</t>
        </is>
      </c>
      <c r="E866" t="inlineStr">
        <is>
          <t>fr</t>
        </is>
      </c>
      <c r="F866" t="n">
        <v>20</v>
      </c>
      <c r="G866" t="inlineStr">
        <is>
          <t>NOT AVAILABLE</t>
        </is>
      </c>
      <c r="H866" t="n">
        <v>0</v>
      </c>
      <c r="I866" t="n">
        <v>0</v>
      </c>
      <c r="J866" t="inlineStr">
        <is>
          <t>NOT AVAILABLE</t>
        </is>
      </c>
      <c r="K866" t="inlineStr">
        <is>
          <t>NOT AVAILABLE (report not requested)</t>
        </is>
      </c>
      <c r="L866" t="inlineStr">
        <is>
          <t>stable (calc.)</t>
        </is>
      </c>
      <c r="M866" t="inlineStr">
        <is>
          <t>MEASURED</t>
        </is>
      </c>
      <c r="N866" s="5" t="inlineStr">
        <is>
          <t>Semrush phrase_these (live, this session)</t>
        </is>
      </c>
      <c r="O866" t="inlineStr">
        <is>
          <t>2026-10-30</t>
        </is>
      </c>
      <c r="P866">
        <f>IF(IF(J866="NOT AVAILABLE","",J866)="",12,IF(OR(ISNUMBER(SEARCH("Transactional",IF(J866="NOT AVAILABLE","",J866))),ISNUMBER(SEARCH("Commercial",IF(J866="NOT AVAILABLE","",J866)))),25,IF(ISNUMBER(SEARCH("Informational",IF(J866="NOT AVAILABLE","",J866))),10,IF(ISNUMBER(SEARCH("Navigational",IF(J866="NOT AVAILABLE","",J866))),0,12))))</f>
        <v/>
      </c>
      <c r="Q866">
        <f>IF(ISNUMBER(F866),MIN(30,ROUND(30*LOG10(F866+1)/4,1)),0)</f>
        <v/>
      </c>
      <c r="R866">
        <f>IF(ISNUMBER(G866),ROUND(25*(100-G866)/100,1),12.5)</f>
        <v/>
      </c>
      <c r="S866" t="n">
        <v>10</v>
      </c>
      <c r="T866">
        <f>ROUND(P866+Q866+R866+S866,0)</f>
        <v/>
      </c>
      <c r="U866" s="5" t="inlineStr"/>
      <c r="V866" s="5" t="inlineStr"/>
    </row>
    <row r="867">
      <c r="A867" t="inlineStr">
        <is>
          <t>K0865</t>
        </is>
      </c>
      <c r="B867" t="inlineStr">
        <is>
          <t>agence web pas cher</t>
        </is>
      </c>
      <c r="C867" t="inlineStr">
        <is>
          <t>Belgium</t>
        </is>
      </c>
      <c r="D867" t="inlineStr">
        <is>
          <t>be</t>
        </is>
      </c>
      <c r="E867" t="inlineStr">
        <is>
          <t>fr</t>
        </is>
      </c>
      <c r="F867" t="n">
        <v>20</v>
      </c>
      <c r="G867" t="inlineStr">
        <is>
          <t>NOT AVAILABLE</t>
        </is>
      </c>
      <c r="H867" t="n">
        <v>0</v>
      </c>
      <c r="I867" t="n">
        <v>0.33</v>
      </c>
      <c r="J867" t="inlineStr">
        <is>
          <t>NOT AVAILABLE</t>
        </is>
      </c>
      <c r="K867" t="inlineStr">
        <is>
          <t>NOT AVAILABLE (report not requested)</t>
        </is>
      </c>
      <c r="L867" t="inlineStr">
        <is>
          <t>rising (calc.)</t>
        </is>
      </c>
      <c r="M867" t="inlineStr">
        <is>
          <t>MEASURED</t>
        </is>
      </c>
      <c r="N867" s="5" t="inlineStr">
        <is>
          <t>Semrush phrase_these (live, this session)</t>
        </is>
      </c>
      <c r="O867" t="inlineStr">
        <is>
          <t>2026-10-30</t>
        </is>
      </c>
      <c r="P867">
        <f>IF(IF(J867="NOT AVAILABLE","",J867)="",12,IF(OR(ISNUMBER(SEARCH("Transactional",IF(J867="NOT AVAILABLE","",J867))),ISNUMBER(SEARCH("Commercial",IF(J867="NOT AVAILABLE","",J867)))),25,IF(ISNUMBER(SEARCH("Informational",IF(J867="NOT AVAILABLE","",J867))),10,IF(ISNUMBER(SEARCH("Navigational",IF(J867="NOT AVAILABLE","",J867))),0,12))))</f>
        <v/>
      </c>
      <c r="Q867">
        <f>IF(ISNUMBER(F867),MIN(30,ROUND(30*LOG10(F867+1)/4,1)),0)</f>
        <v/>
      </c>
      <c r="R867">
        <f>IF(ISNUMBER(G867),ROUND(25*(100-G867)/100,1),12.5)</f>
        <v/>
      </c>
      <c r="S867" t="n">
        <v>10</v>
      </c>
      <c r="T867">
        <f>ROUND(P867+Q867+R867+S867,0)</f>
        <v/>
      </c>
      <c r="U867" s="5" t="inlineStr"/>
      <c r="V867" s="5" t="inlineStr"/>
    </row>
    <row r="868">
      <c r="A868" t="inlineStr">
        <is>
          <t>K0866</t>
        </is>
      </c>
      <c r="B868" t="inlineStr">
        <is>
          <t>développement saas</t>
        </is>
      </c>
      <c r="C868" t="inlineStr">
        <is>
          <t>Belgium</t>
        </is>
      </c>
      <c r="D868" t="inlineStr">
        <is>
          <t>be</t>
        </is>
      </c>
      <c r="E868" t="inlineStr">
        <is>
          <t>fr</t>
        </is>
      </c>
      <c r="F868" t="n">
        <v>20</v>
      </c>
      <c r="G868" t="inlineStr">
        <is>
          <t>NOT AVAILABLE</t>
        </is>
      </c>
      <c r="H868" t="n">
        <v>0</v>
      </c>
      <c r="I868" t="n">
        <v>0</v>
      </c>
      <c r="J868" t="inlineStr">
        <is>
          <t>NOT AVAILABLE</t>
        </is>
      </c>
      <c r="K868" t="inlineStr">
        <is>
          <t>NOT AVAILABLE (report not requested)</t>
        </is>
      </c>
      <c r="L868" t="inlineStr">
        <is>
          <t>rising (calc.)</t>
        </is>
      </c>
      <c r="M868" t="inlineStr">
        <is>
          <t>MEASURED</t>
        </is>
      </c>
      <c r="N868" s="5" t="inlineStr">
        <is>
          <t>Semrush phrase_these (live, this session)</t>
        </is>
      </c>
      <c r="O868" t="inlineStr">
        <is>
          <t>2026-10-30</t>
        </is>
      </c>
      <c r="P868">
        <f>IF(IF(J868="NOT AVAILABLE","",J868)="",12,IF(OR(ISNUMBER(SEARCH("Transactional",IF(J868="NOT AVAILABLE","",J868))),ISNUMBER(SEARCH("Commercial",IF(J868="NOT AVAILABLE","",J868)))),25,IF(ISNUMBER(SEARCH("Informational",IF(J868="NOT AVAILABLE","",J868))),10,IF(ISNUMBER(SEARCH("Navigational",IF(J868="NOT AVAILABLE","",J868))),0,12))))</f>
        <v/>
      </c>
      <c r="Q868">
        <f>IF(ISNUMBER(F868),MIN(30,ROUND(30*LOG10(F868+1)/4,1)),0)</f>
        <v/>
      </c>
      <c r="R868">
        <f>IF(ISNUMBER(G868),ROUND(25*(100-G868)/100,1),12.5)</f>
        <v/>
      </c>
      <c r="S868" t="n">
        <v>10</v>
      </c>
      <c r="T868">
        <f>ROUND(P868+Q868+R868+S868,0)</f>
        <v/>
      </c>
      <c r="U868" s="5" t="inlineStr"/>
      <c r="V868" s="5" t="inlineStr"/>
    </row>
    <row r="869">
      <c r="A869" t="inlineStr">
        <is>
          <t>K0867</t>
        </is>
      </c>
      <c r="B869" t="inlineStr">
        <is>
          <t>développeur web freelance</t>
        </is>
      </c>
      <c r="C869" t="inlineStr">
        <is>
          <t>Belgium</t>
        </is>
      </c>
      <c r="D869" t="inlineStr">
        <is>
          <t>be</t>
        </is>
      </c>
      <c r="E869" t="inlineStr">
        <is>
          <t>fr</t>
        </is>
      </c>
      <c r="F869" t="n">
        <v>20</v>
      </c>
      <c r="G869" t="inlineStr">
        <is>
          <t>NOT AVAILABLE</t>
        </is>
      </c>
      <c r="H869" t="n">
        <v>3.21</v>
      </c>
      <c r="I869" t="n">
        <v>0.7</v>
      </c>
      <c r="J869" t="inlineStr">
        <is>
          <t>NOT AVAILABLE</t>
        </is>
      </c>
      <c r="K869" t="inlineStr">
        <is>
          <t>NOT AVAILABLE (report not requested)</t>
        </is>
      </c>
      <c r="L869" t="inlineStr">
        <is>
          <t>stable (calc.)</t>
        </is>
      </c>
      <c r="M869" t="inlineStr">
        <is>
          <t>MEASURED</t>
        </is>
      </c>
      <c r="N869" s="5" t="inlineStr">
        <is>
          <t>Semrush phrase_these (live, this session)</t>
        </is>
      </c>
      <c r="O869" t="inlineStr">
        <is>
          <t>2026-10-30</t>
        </is>
      </c>
      <c r="P869">
        <f>IF(IF(J869="NOT AVAILABLE","",J869)="",12,IF(OR(ISNUMBER(SEARCH("Transactional",IF(J869="NOT AVAILABLE","",J869))),ISNUMBER(SEARCH("Commercial",IF(J869="NOT AVAILABLE","",J869)))),25,IF(ISNUMBER(SEARCH("Informational",IF(J869="NOT AVAILABLE","",J869))),10,IF(ISNUMBER(SEARCH("Navigational",IF(J869="NOT AVAILABLE","",J869))),0,12))))</f>
        <v/>
      </c>
      <c r="Q869">
        <f>IF(ISNUMBER(F869),MIN(30,ROUND(30*LOG10(F869+1)/4,1)),0)</f>
        <v/>
      </c>
      <c r="R869">
        <f>IF(ISNUMBER(G869),ROUND(25*(100-G869)/100,1),12.5)</f>
        <v/>
      </c>
      <c r="S869" t="n">
        <v>10</v>
      </c>
      <c r="T869">
        <f>ROUND(P869+Q869+R869+S869,0)</f>
        <v/>
      </c>
      <c r="U869" s="5" t="inlineStr"/>
      <c r="V869" s="5" t="inlineStr"/>
    </row>
    <row r="870">
      <c r="A870" t="inlineStr">
        <is>
          <t>K0868</t>
        </is>
      </c>
      <c r="B870" t="inlineStr">
        <is>
          <t>création application web</t>
        </is>
      </c>
      <c r="C870" t="inlineStr">
        <is>
          <t>Belgium</t>
        </is>
      </c>
      <c r="D870" t="inlineStr">
        <is>
          <t>be</t>
        </is>
      </c>
      <c r="E870" t="inlineStr">
        <is>
          <t>fr</t>
        </is>
      </c>
      <c r="F870" t="n">
        <v>10</v>
      </c>
      <c r="G870" t="inlineStr">
        <is>
          <t>NOT AVAILABLE</t>
        </is>
      </c>
      <c r="H870" t="n">
        <v>0</v>
      </c>
      <c r="I870" t="n">
        <v>0</v>
      </c>
      <c r="J870" t="inlineStr">
        <is>
          <t>NOT AVAILABLE</t>
        </is>
      </c>
      <c r="K870" t="inlineStr">
        <is>
          <t>NOT AVAILABLE (report not requested)</t>
        </is>
      </c>
      <c r="L870" t="inlineStr">
        <is>
          <t>rising (calc.)</t>
        </is>
      </c>
      <c r="M870" t="inlineStr">
        <is>
          <t>MEASURED</t>
        </is>
      </c>
      <c r="N870" s="5" t="inlineStr">
        <is>
          <t>Semrush phrase_these (live, this session)</t>
        </is>
      </c>
      <c r="O870" t="inlineStr">
        <is>
          <t>2026-10-30</t>
        </is>
      </c>
      <c r="P870">
        <f>IF(IF(J870="NOT AVAILABLE","",J870)="",12,IF(OR(ISNUMBER(SEARCH("Transactional",IF(J870="NOT AVAILABLE","",J870))),ISNUMBER(SEARCH("Commercial",IF(J870="NOT AVAILABLE","",J870)))),25,IF(ISNUMBER(SEARCH("Informational",IF(J870="NOT AVAILABLE","",J870))),10,IF(ISNUMBER(SEARCH("Navigational",IF(J870="NOT AVAILABLE","",J870))),0,12))))</f>
        <v/>
      </c>
      <c r="Q870">
        <f>IF(ISNUMBER(F870),MIN(30,ROUND(30*LOG10(F870+1)/4,1)),0)</f>
        <v/>
      </c>
      <c r="R870">
        <f>IF(ISNUMBER(G870),ROUND(25*(100-G870)/100,1),12.5)</f>
        <v/>
      </c>
      <c r="S870" t="n">
        <v>10</v>
      </c>
      <c r="T870">
        <f>ROUND(P870+Q870+R870+S870,0)</f>
        <v/>
      </c>
      <c r="U870" s="5" t="inlineStr"/>
      <c r="V870" s="5" t="inlineStr"/>
    </row>
    <row r="871">
      <c r="A871" t="inlineStr">
        <is>
          <t>K0869</t>
        </is>
      </c>
      <c r="B871" t="inlineStr">
        <is>
          <t>développement web offshore</t>
        </is>
      </c>
      <c r="C871" t="inlineStr">
        <is>
          <t>Belgium</t>
        </is>
      </c>
      <c r="D871" t="inlineStr">
        <is>
          <t>be</t>
        </is>
      </c>
      <c r="E871" t="inlineStr">
        <is>
          <t>fr</t>
        </is>
      </c>
      <c r="F871" t="n">
        <v>10</v>
      </c>
      <c r="G871" t="inlineStr">
        <is>
          <t>NOT AVAILABLE</t>
        </is>
      </c>
      <c r="H871" t="n">
        <v>0</v>
      </c>
      <c r="I871" t="n">
        <v>0.33</v>
      </c>
      <c r="J871" t="inlineStr">
        <is>
          <t>NOT AVAILABLE</t>
        </is>
      </c>
      <c r="K871" t="inlineStr">
        <is>
          <t>NOT AVAILABLE (report not requested)</t>
        </is>
      </c>
      <c r="L871" t="inlineStr">
        <is>
          <t>rising (calc.)</t>
        </is>
      </c>
      <c r="M871" t="inlineStr">
        <is>
          <t>MEASURED</t>
        </is>
      </c>
      <c r="N871" s="5" t="inlineStr">
        <is>
          <t>Semrush phrase_these (live, this session)</t>
        </is>
      </c>
      <c r="O871" t="inlineStr">
        <is>
          <t>2026-10-30</t>
        </is>
      </c>
      <c r="P871">
        <f>IF(IF(J871="NOT AVAILABLE","",J871)="",12,IF(OR(ISNUMBER(SEARCH("Transactional",IF(J871="NOT AVAILABLE","",J871))),ISNUMBER(SEARCH("Commercial",IF(J871="NOT AVAILABLE","",J871)))),25,IF(ISNUMBER(SEARCH("Informational",IF(J871="NOT AVAILABLE","",J871))),10,IF(ISNUMBER(SEARCH("Navigational",IF(J871="NOT AVAILABLE","",J871))),0,12))))</f>
        <v/>
      </c>
      <c r="Q871">
        <f>IF(ISNUMBER(F871),MIN(30,ROUND(30*LOG10(F871+1)/4,1)),0)</f>
        <v/>
      </c>
      <c r="R871">
        <f>IF(ISNUMBER(G871),ROUND(25*(100-G871)/100,1),12.5)</f>
        <v/>
      </c>
      <c r="S871" t="n">
        <v>10</v>
      </c>
      <c r="T871">
        <f>ROUND(P871+Q871+R871+S871,0)</f>
        <v/>
      </c>
      <c r="U871" s="5" t="inlineStr"/>
      <c r="V871" s="5" t="inlineStr"/>
    </row>
    <row r="872">
      <c r="A872" t="inlineStr">
        <is>
          <t>K0870</t>
        </is>
      </c>
      <c r="B872" t="inlineStr">
        <is>
          <t>développeur maroc</t>
        </is>
      </c>
      <c r="C872" t="inlineStr">
        <is>
          <t>Belgium</t>
        </is>
      </c>
      <c r="D872" t="inlineStr">
        <is>
          <t>be</t>
        </is>
      </c>
      <c r="E872" t="inlineStr">
        <is>
          <t>fr</t>
        </is>
      </c>
      <c r="F872" t="n">
        <v>10</v>
      </c>
      <c r="G872" t="inlineStr">
        <is>
          <t>NOT AVAILABLE</t>
        </is>
      </c>
      <c r="H872" t="n">
        <v>0</v>
      </c>
      <c r="I872" t="n">
        <v>0.99</v>
      </c>
      <c r="J872" t="inlineStr">
        <is>
          <t>NOT AVAILABLE</t>
        </is>
      </c>
      <c r="K872" t="inlineStr">
        <is>
          <t>NOT AVAILABLE (report not requested)</t>
        </is>
      </c>
      <c r="L872" t="inlineStr">
        <is>
          <t>rising (calc.)</t>
        </is>
      </c>
      <c r="M872" t="inlineStr">
        <is>
          <t>MEASURED</t>
        </is>
      </c>
      <c r="N872" s="5" t="inlineStr">
        <is>
          <t>Semrush phrase_these (live, this session)</t>
        </is>
      </c>
      <c r="O872" t="inlineStr">
        <is>
          <t>2026-10-30</t>
        </is>
      </c>
      <c r="P872">
        <f>IF(IF(J872="NOT AVAILABLE","",J872)="",12,IF(OR(ISNUMBER(SEARCH("Transactional",IF(J872="NOT AVAILABLE","",J872))),ISNUMBER(SEARCH("Commercial",IF(J872="NOT AVAILABLE","",J872)))),25,IF(ISNUMBER(SEARCH("Informational",IF(J872="NOT AVAILABLE","",J872))),10,IF(ISNUMBER(SEARCH("Navigational",IF(J872="NOT AVAILABLE","",J872))),0,12))))</f>
        <v/>
      </c>
      <c r="Q872">
        <f>IF(ISNUMBER(F872),MIN(30,ROUND(30*LOG10(F872+1)/4,1)),0)</f>
        <v/>
      </c>
      <c r="R872">
        <f>IF(ISNUMBER(G872),ROUND(25*(100-G872)/100,1),12.5)</f>
        <v/>
      </c>
      <c r="S872" t="n">
        <v>10</v>
      </c>
      <c r="T872">
        <f>ROUND(P872+Q872+R872+S872,0)</f>
        <v/>
      </c>
      <c r="U872" s="5" t="inlineStr"/>
      <c r="V872" s="5" t="inlineStr"/>
    </row>
    <row r="873">
      <c r="A873" t="inlineStr">
        <is>
          <t>K0871</t>
        </is>
      </c>
      <c r="B873" t="inlineStr">
        <is>
          <t>externalisation développement web</t>
        </is>
      </c>
      <c r="C873" t="inlineStr">
        <is>
          <t>Belgium</t>
        </is>
      </c>
      <c r="D873" t="inlineStr">
        <is>
          <t>be</t>
        </is>
      </c>
      <c r="E873" t="inlineStr">
        <is>
          <t>fr</t>
        </is>
      </c>
      <c r="F873" t="n">
        <v>10</v>
      </c>
      <c r="G873" t="inlineStr">
        <is>
          <t>NOT AVAILABLE</t>
        </is>
      </c>
      <c r="H873" t="n">
        <v>0</v>
      </c>
      <c r="I873" t="n">
        <v>0</v>
      </c>
      <c r="J873" t="inlineStr">
        <is>
          <t>NOT AVAILABLE</t>
        </is>
      </c>
      <c r="K873" t="inlineStr">
        <is>
          <t>NOT AVAILABLE (report not requested)</t>
        </is>
      </c>
      <c r="L873" t="inlineStr">
        <is>
          <t>NOT AVAILABLE</t>
        </is>
      </c>
      <c r="M873" t="inlineStr">
        <is>
          <t>MEASURED</t>
        </is>
      </c>
      <c r="N873" s="5" t="inlineStr">
        <is>
          <t>Semrush phrase_these (live, this session)</t>
        </is>
      </c>
      <c r="O873" t="inlineStr">
        <is>
          <t>2026-10-30</t>
        </is>
      </c>
      <c r="P873">
        <f>IF(IF(J873="NOT AVAILABLE","",J873)="",12,IF(OR(ISNUMBER(SEARCH("Transactional",IF(J873="NOT AVAILABLE","",J873))),ISNUMBER(SEARCH("Commercial",IF(J873="NOT AVAILABLE","",J873)))),25,IF(ISNUMBER(SEARCH("Informational",IF(J873="NOT AVAILABLE","",J873))),10,IF(ISNUMBER(SEARCH("Navigational",IF(J873="NOT AVAILABLE","",J873))),0,12))))</f>
        <v/>
      </c>
      <c r="Q873">
        <f>IF(ISNUMBER(F873),MIN(30,ROUND(30*LOG10(F873+1)/4,1)),0)</f>
        <v/>
      </c>
      <c r="R873">
        <f>IF(ISNUMBER(G873),ROUND(25*(100-G873)/100,1),12.5)</f>
        <v/>
      </c>
      <c r="S873" t="n">
        <v>10</v>
      </c>
      <c r="T873">
        <f>ROUND(P873+Q873+R873+S873,0)</f>
        <v/>
      </c>
      <c r="U873" s="5" t="inlineStr"/>
      <c r="V873" s="5" t="inlineStr"/>
    </row>
    <row r="874">
      <c r="A874" t="inlineStr">
        <is>
          <t>K0872</t>
        </is>
      </c>
      <c r="B874" t="inlineStr">
        <is>
          <t>sous-traitance développement web</t>
        </is>
      </c>
      <c r="C874" t="inlineStr">
        <is>
          <t>Belgium</t>
        </is>
      </c>
      <c r="D874" t="inlineStr">
        <is>
          <t>be</t>
        </is>
      </c>
      <c r="E874" t="inlineStr">
        <is>
          <t>fr</t>
        </is>
      </c>
      <c r="F874" t="n">
        <v>10</v>
      </c>
      <c r="G874" t="inlineStr">
        <is>
          <t>NOT AVAILABLE</t>
        </is>
      </c>
      <c r="H874" t="n">
        <v>0</v>
      </c>
      <c r="I874" t="n">
        <v>0</v>
      </c>
      <c r="J874" t="inlineStr">
        <is>
          <t>NOT AVAILABLE</t>
        </is>
      </c>
      <c r="K874" t="inlineStr">
        <is>
          <t>NOT AVAILABLE (report not requested)</t>
        </is>
      </c>
      <c r="L874" t="inlineStr">
        <is>
          <t>NOT AVAILABLE</t>
        </is>
      </c>
      <c r="M874" t="inlineStr">
        <is>
          <t>MEASURED</t>
        </is>
      </c>
      <c r="N874" s="5" t="inlineStr">
        <is>
          <t>Semrush phrase_these (live, this session)</t>
        </is>
      </c>
      <c r="O874" t="inlineStr">
        <is>
          <t>2026-10-30</t>
        </is>
      </c>
      <c r="P874">
        <f>IF(IF(J874="NOT AVAILABLE","",J874)="",12,IF(OR(ISNUMBER(SEARCH("Transactional",IF(J874="NOT AVAILABLE","",J874))),ISNUMBER(SEARCH("Commercial",IF(J874="NOT AVAILABLE","",J874)))),25,IF(ISNUMBER(SEARCH("Informational",IF(J874="NOT AVAILABLE","",J874))),10,IF(ISNUMBER(SEARCH("Navigational",IF(J874="NOT AVAILABLE","",J874))),0,12))))</f>
        <v/>
      </c>
      <c r="Q874">
        <f>IF(ISNUMBER(F874),MIN(30,ROUND(30*LOG10(F874+1)/4,1)),0)</f>
        <v/>
      </c>
      <c r="R874">
        <f>IF(ISNUMBER(G874),ROUND(25*(100-G874)/100,1),12.5)</f>
        <v/>
      </c>
      <c r="S874" t="n">
        <v>10</v>
      </c>
      <c r="T874">
        <f>ROUND(P874+Q874+R874+S874,0)</f>
        <v/>
      </c>
      <c r="U874" s="5" t="inlineStr"/>
      <c r="V874" s="5" t="inlineStr"/>
    </row>
    <row r="875">
      <c r="A875" t="inlineStr">
        <is>
          <t>K0873</t>
        </is>
      </c>
      <c r="B875" t="inlineStr">
        <is>
          <t>agence web nearshore</t>
        </is>
      </c>
      <c r="C875" t="inlineStr">
        <is>
          <t>Belgium</t>
        </is>
      </c>
      <c r="D875" t="inlineStr">
        <is>
          <t>be</t>
        </is>
      </c>
      <c r="E875" t="inlineStr">
        <is>
          <t>fr</t>
        </is>
      </c>
      <c r="F875" t="inlineStr">
        <is>
          <t>NOT AVAILABLE</t>
        </is>
      </c>
      <c r="G875" t="inlineStr">
        <is>
          <t>NOT AVAILABLE</t>
        </is>
      </c>
      <c r="H875" t="inlineStr">
        <is>
          <t>NOT AVAILABLE</t>
        </is>
      </c>
      <c r="I875" t="inlineStr">
        <is>
          <t>NOT AVAILABLE</t>
        </is>
      </c>
      <c r="J875" t="inlineStr">
        <is>
          <t>NOT AVAILABLE</t>
        </is>
      </c>
      <c r="K875" t="inlineStr">
        <is>
          <t>NOT AVAILABLE</t>
        </is>
      </c>
      <c r="L875" t="inlineStr">
        <is>
          <t>NOT AVAILABLE</t>
        </is>
      </c>
      <c r="M875" t="inlineStr">
        <is>
          <t>UNAVAILABLE</t>
        </is>
      </c>
      <c r="N875" s="5" t="inlineStr">
        <is>
          <t>Semrush phrase_these returned no data (not billed)</t>
        </is>
      </c>
      <c r="O875" t="inlineStr">
        <is>
          <t>2026-10-30</t>
        </is>
      </c>
      <c r="P875">
        <f>IF(IF(J875="NOT AVAILABLE","",J875)="",12,IF(OR(ISNUMBER(SEARCH("Transactional",IF(J875="NOT AVAILABLE","",J875))),ISNUMBER(SEARCH("Commercial",IF(J875="NOT AVAILABLE","",J875)))),25,IF(ISNUMBER(SEARCH("Informational",IF(J875="NOT AVAILABLE","",J875))),10,IF(ISNUMBER(SEARCH("Navigational",IF(J875="NOT AVAILABLE","",J875))),0,12))))</f>
        <v/>
      </c>
      <c r="Q875">
        <f>IF(ISNUMBER(F875),MIN(30,ROUND(30*LOG10(F875+1)/4,1)),0)</f>
        <v/>
      </c>
      <c r="R875">
        <f>IF(ISNUMBER(G875),ROUND(25*(100-G875)/100,1),12.5)</f>
        <v/>
      </c>
      <c r="S875" t="n">
        <v>10</v>
      </c>
      <c r="T875">
        <f>ROUND(P875+Q875+R875+S875,0)</f>
        <v/>
      </c>
      <c r="U875" s="5" t="inlineStr"/>
      <c r="V875" s="5" t="inlineStr"/>
    </row>
    <row r="876">
      <c r="A876" t="inlineStr">
        <is>
          <t>K0874</t>
        </is>
      </c>
      <c r="B876" t="inlineStr">
        <is>
          <t>agence seo</t>
        </is>
      </c>
      <c r="C876" t="inlineStr">
        <is>
          <t>Canada</t>
        </is>
      </c>
      <c r="D876" t="inlineStr">
        <is>
          <t>ca</t>
        </is>
      </c>
      <c r="E876" t="inlineStr">
        <is>
          <t>fr</t>
        </is>
      </c>
      <c r="F876" t="n">
        <v>2900</v>
      </c>
      <c r="G876" t="n">
        <v>21</v>
      </c>
      <c r="H876" t="n">
        <v>6.6</v>
      </c>
      <c r="I876" t="n">
        <v>0.28</v>
      </c>
      <c r="J876" t="inlineStr">
        <is>
          <t>Commercial</t>
        </is>
      </c>
      <c r="K876" t="inlineStr">
        <is>
          <t>NOT AVAILABLE (report not requested)</t>
        </is>
      </c>
      <c r="L876" t="inlineStr">
        <is>
          <t>declining (calc.)</t>
        </is>
      </c>
      <c r="M876" t="inlineStr">
        <is>
          <t>MEASURED</t>
        </is>
      </c>
      <c r="N876" s="5" t="inlineStr">
        <is>
          <t>Semrush phrase_these (live, this session)</t>
        </is>
      </c>
      <c r="O876" t="inlineStr">
        <is>
          <t>2026-10-30</t>
        </is>
      </c>
      <c r="P876">
        <f>IF(IF(J876="NOT AVAILABLE","",J876)="",12,IF(OR(ISNUMBER(SEARCH("Transactional",IF(J876="NOT AVAILABLE","",J876))),ISNUMBER(SEARCH("Commercial",IF(J876="NOT AVAILABLE","",J876)))),25,IF(ISNUMBER(SEARCH("Informational",IF(J876="NOT AVAILABLE","",J876))),10,IF(ISNUMBER(SEARCH("Navigational",IF(J876="NOT AVAILABLE","",J876))),0,12))))</f>
        <v/>
      </c>
      <c r="Q876">
        <f>IF(ISNUMBER(F876),MIN(30,ROUND(30*LOG10(F876+1)/4,1)),0)</f>
        <v/>
      </c>
      <c r="R876">
        <f>IF(ISNUMBER(G876),ROUND(25*(100-G876)/100,1),12.5)</f>
        <v/>
      </c>
      <c r="S876" t="n">
        <v>10</v>
      </c>
      <c r="T876">
        <f>ROUND(P876+Q876+R876+S876,0)</f>
        <v/>
      </c>
      <c r="U876" s="5" t="inlineStr"/>
      <c r="V876" s="5" t="inlineStr"/>
    </row>
    <row r="877">
      <c r="A877" t="inlineStr">
        <is>
          <t>K0875</t>
        </is>
      </c>
      <c r="B877" t="inlineStr">
        <is>
          <t>agence web</t>
        </is>
      </c>
      <c r="C877" t="inlineStr">
        <is>
          <t>Canada</t>
        </is>
      </c>
      <c r="D877" t="inlineStr">
        <is>
          <t>ca</t>
        </is>
      </c>
      <c r="E877" t="inlineStr">
        <is>
          <t>fr</t>
        </is>
      </c>
      <c r="F877" t="n">
        <v>2400</v>
      </c>
      <c r="G877" t="n">
        <v>68</v>
      </c>
      <c r="H877" t="n">
        <v>4.05</v>
      </c>
      <c r="I877" t="n">
        <v>0.31</v>
      </c>
      <c r="J877" t="inlineStr">
        <is>
          <t>Informational</t>
        </is>
      </c>
      <c r="K877" t="inlineStr">
        <is>
          <t>NOT AVAILABLE (report not requested)</t>
        </is>
      </c>
      <c r="L877" t="inlineStr">
        <is>
          <t>declining (calc.)</t>
        </is>
      </c>
      <c r="M877" t="inlineStr">
        <is>
          <t>MEASURED</t>
        </is>
      </c>
      <c r="N877" s="5" t="inlineStr">
        <is>
          <t>Semrush phrase_these (live, this session)</t>
        </is>
      </c>
      <c r="O877" t="inlineStr">
        <is>
          <t>2026-10-30</t>
        </is>
      </c>
      <c r="P877">
        <f>IF(IF(J877="NOT AVAILABLE","",J877)="",12,IF(OR(ISNUMBER(SEARCH("Transactional",IF(J877="NOT AVAILABLE","",J877))),ISNUMBER(SEARCH("Commercial",IF(J877="NOT AVAILABLE","",J877)))),25,IF(ISNUMBER(SEARCH("Informational",IF(J877="NOT AVAILABLE","",J877))),10,IF(ISNUMBER(SEARCH("Navigational",IF(J877="NOT AVAILABLE","",J877))),0,12))))</f>
        <v/>
      </c>
      <c r="Q877">
        <f>IF(ISNUMBER(F877),MIN(30,ROUND(30*LOG10(F877+1)/4,1)),0)</f>
        <v/>
      </c>
      <c r="R877">
        <f>IF(ISNUMBER(G877),ROUND(25*(100-G877)/100,1),12.5)</f>
        <v/>
      </c>
      <c r="S877" t="n">
        <v>10</v>
      </c>
      <c r="T877">
        <f>ROUND(P877+Q877+R877+S877,0)</f>
        <v/>
      </c>
      <c r="U877" s="5" t="inlineStr"/>
      <c r="V877" s="5" t="inlineStr"/>
    </row>
    <row r="878">
      <c r="A878" t="inlineStr">
        <is>
          <t>K0876</t>
        </is>
      </c>
      <c r="B878" t="inlineStr">
        <is>
          <t>conception site web</t>
        </is>
      </c>
      <c r="C878" t="inlineStr">
        <is>
          <t>Canada</t>
        </is>
      </c>
      <c r="D878" t="inlineStr">
        <is>
          <t>ca</t>
        </is>
      </c>
      <c r="E878" t="inlineStr">
        <is>
          <t>fr</t>
        </is>
      </c>
      <c r="F878" t="n">
        <v>1900</v>
      </c>
      <c r="G878" t="n">
        <v>34</v>
      </c>
      <c r="H878" t="n">
        <v>5.4</v>
      </c>
      <c r="I878" t="n">
        <v>0.6899999999999999</v>
      </c>
      <c r="J878" t="inlineStr">
        <is>
          <t>Informational</t>
        </is>
      </c>
      <c r="K878" t="inlineStr">
        <is>
          <t>NOT AVAILABLE (report not requested)</t>
        </is>
      </c>
      <c r="L878" t="inlineStr">
        <is>
          <t>declining (calc.)</t>
        </is>
      </c>
      <c r="M878" t="inlineStr">
        <is>
          <t>MEASURED</t>
        </is>
      </c>
      <c r="N878" s="5" t="inlineStr">
        <is>
          <t>Semrush phrase_these (live, this session)</t>
        </is>
      </c>
      <c r="O878" t="inlineStr">
        <is>
          <t>2026-10-30</t>
        </is>
      </c>
      <c r="P878">
        <f>IF(IF(J878="NOT AVAILABLE","",J878)="",12,IF(OR(ISNUMBER(SEARCH("Transactional",IF(J878="NOT AVAILABLE","",J878))),ISNUMBER(SEARCH("Commercial",IF(J878="NOT AVAILABLE","",J878)))),25,IF(ISNUMBER(SEARCH("Informational",IF(J878="NOT AVAILABLE","",J878))),10,IF(ISNUMBER(SEARCH("Navigational",IF(J878="NOT AVAILABLE","",J878))),0,12))))</f>
        <v/>
      </c>
      <c r="Q878">
        <f>IF(ISNUMBER(F878),MIN(30,ROUND(30*LOG10(F878+1)/4,1)),0)</f>
        <v/>
      </c>
      <c r="R878">
        <f>IF(ISNUMBER(G878),ROUND(25*(100-G878)/100,1),12.5)</f>
        <v/>
      </c>
      <c r="S878" t="n">
        <v>10</v>
      </c>
      <c r="T878">
        <f>ROUND(P878+Q878+R878+S878,0)</f>
        <v/>
      </c>
      <c r="U878" s="5" t="inlineStr"/>
      <c r="V878" s="5" t="inlineStr"/>
    </row>
    <row r="879">
      <c r="A879" t="inlineStr">
        <is>
          <t>K0877</t>
        </is>
      </c>
      <c r="B879" t="inlineStr">
        <is>
          <t>conception de site web</t>
        </is>
      </c>
      <c r="C879" t="inlineStr">
        <is>
          <t>Canada</t>
        </is>
      </c>
      <c r="D879" t="inlineStr">
        <is>
          <t>ca</t>
        </is>
      </c>
      <c r="E879" t="inlineStr">
        <is>
          <t>fr</t>
        </is>
      </c>
      <c r="F879" t="n">
        <v>1300</v>
      </c>
      <c r="G879" t="n">
        <v>59</v>
      </c>
      <c r="H879" t="n">
        <v>0</v>
      </c>
      <c r="I879" t="n">
        <v>0.18</v>
      </c>
      <c r="J879" t="inlineStr">
        <is>
          <t>Informational</t>
        </is>
      </c>
      <c r="K879" t="inlineStr">
        <is>
          <t>NOT AVAILABLE (report not requested)</t>
        </is>
      </c>
      <c r="L879" t="inlineStr">
        <is>
          <t>declining (calc.)</t>
        </is>
      </c>
      <c r="M879" t="inlineStr">
        <is>
          <t>MEASURED</t>
        </is>
      </c>
      <c r="N879" s="5" t="inlineStr">
        <is>
          <t>Semrush phrase_these (live, this session)</t>
        </is>
      </c>
      <c r="O879" t="inlineStr">
        <is>
          <t>2026-10-30</t>
        </is>
      </c>
      <c r="P879">
        <f>IF(IF(J879="NOT AVAILABLE","",J879)="",12,IF(OR(ISNUMBER(SEARCH("Transactional",IF(J879="NOT AVAILABLE","",J879))),ISNUMBER(SEARCH("Commercial",IF(J879="NOT AVAILABLE","",J879)))),25,IF(ISNUMBER(SEARCH("Informational",IF(J879="NOT AVAILABLE","",J879))),10,IF(ISNUMBER(SEARCH("Navigational",IF(J879="NOT AVAILABLE","",J879))),0,12))))</f>
        <v/>
      </c>
      <c r="Q879">
        <f>IF(ISNUMBER(F879),MIN(30,ROUND(30*LOG10(F879+1)/4,1)),0)</f>
        <v/>
      </c>
      <c r="R879">
        <f>IF(ISNUMBER(G879),ROUND(25*(100-G879)/100,1),12.5)</f>
        <v/>
      </c>
      <c r="S879" t="n">
        <v>10</v>
      </c>
      <c r="T879">
        <f>ROUND(P879+Q879+R879+S879,0)</f>
        <v/>
      </c>
      <c r="U879" s="5" t="inlineStr"/>
      <c r="V879" s="5" t="inlineStr"/>
    </row>
    <row r="880">
      <c r="A880" t="inlineStr">
        <is>
          <t>K0878</t>
        </is>
      </c>
      <c r="B880" t="inlineStr">
        <is>
          <t>agence web montreal</t>
        </is>
      </c>
      <c r="C880" t="inlineStr">
        <is>
          <t>Canada</t>
        </is>
      </c>
      <c r="D880" t="inlineStr">
        <is>
          <t>ca</t>
        </is>
      </c>
      <c r="E880" t="inlineStr">
        <is>
          <t>fr</t>
        </is>
      </c>
      <c r="F880" t="n">
        <v>1000</v>
      </c>
      <c r="G880" t="n">
        <v>52</v>
      </c>
      <c r="H880" t="n">
        <v>3.63</v>
      </c>
      <c r="I880" t="n">
        <v>0.54</v>
      </c>
      <c r="J880" t="inlineStr">
        <is>
          <t>Commercial</t>
        </is>
      </c>
      <c r="K880" t="inlineStr">
        <is>
          <t>NOT AVAILABLE (report not requested)</t>
        </is>
      </c>
      <c r="L880" t="inlineStr">
        <is>
          <t>stable (calc.)</t>
        </is>
      </c>
      <c r="M880" t="inlineStr">
        <is>
          <t>MEASURED</t>
        </is>
      </c>
      <c r="N880" s="5" t="inlineStr">
        <is>
          <t>Semrush phrase_these (live, this session)</t>
        </is>
      </c>
      <c r="O880" t="inlineStr">
        <is>
          <t>2026-10-30</t>
        </is>
      </c>
      <c r="P880">
        <f>IF(IF(J880="NOT AVAILABLE","",J880)="",12,IF(OR(ISNUMBER(SEARCH("Transactional",IF(J880="NOT AVAILABLE","",J880))),ISNUMBER(SEARCH("Commercial",IF(J880="NOT AVAILABLE","",J880)))),25,IF(ISNUMBER(SEARCH("Informational",IF(J880="NOT AVAILABLE","",J880))),10,IF(ISNUMBER(SEARCH("Navigational",IF(J880="NOT AVAILABLE","",J880))),0,12))))</f>
        <v/>
      </c>
      <c r="Q880">
        <f>IF(ISNUMBER(F880),MIN(30,ROUND(30*LOG10(F880+1)/4,1)),0)</f>
        <v/>
      </c>
      <c r="R880">
        <f>IF(ISNUMBER(G880),ROUND(25*(100-G880)/100,1),12.5)</f>
        <v/>
      </c>
      <c r="S880" t="n">
        <v>10</v>
      </c>
      <c r="T880">
        <f>ROUND(P880+Q880+R880+S880,0)</f>
        <v/>
      </c>
      <c r="U880" s="5" t="inlineStr"/>
      <c r="V880" s="5" t="inlineStr"/>
    </row>
    <row r="881">
      <c r="A881" t="inlineStr">
        <is>
          <t>K0879</t>
        </is>
      </c>
      <c r="B881" t="inlineStr">
        <is>
          <t>création site web</t>
        </is>
      </c>
      <c r="C881" t="inlineStr">
        <is>
          <t>Canada</t>
        </is>
      </c>
      <c r="D881" t="inlineStr">
        <is>
          <t>ca</t>
        </is>
      </c>
      <c r="E881" t="inlineStr">
        <is>
          <t>fr</t>
        </is>
      </c>
      <c r="F881" t="n">
        <v>1000</v>
      </c>
      <c r="G881" t="n">
        <v>52</v>
      </c>
      <c r="H881" t="n">
        <v>7.87</v>
      </c>
      <c r="I881" t="n">
        <v>0.19</v>
      </c>
      <c r="J881" t="inlineStr">
        <is>
          <t>Informational</t>
        </is>
      </c>
      <c r="K881" t="inlineStr">
        <is>
          <t>NOT AVAILABLE (report not requested)</t>
        </is>
      </c>
      <c r="L881" t="inlineStr">
        <is>
          <t>declining (calc.)</t>
        </is>
      </c>
      <c r="M881" t="inlineStr">
        <is>
          <t>MEASURED</t>
        </is>
      </c>
      <c r="N881" s="5" t="inlineStr">
        <is>
          <t>Semrush phrase_these (live, this session)</t>
        </is>
      </c>
      <c r="O881" t="inlineStr">
        <is>
          <t>2026-10-30</t>
        </is>
      </c>
      <c r="P881">
        <f>IF(IF(J881="NOT AVAILABLE","",J881)="",12,IF(OR(ISNUMBER(SEARCH("Transactional",IF(J881="NOT AVAILABLE","",J881))),ISNUMBER(SEARCH("Commercial",IF(J881="NOT AVAILABLE","",J881)))),25,IF(ISNUMBER(SEARCH("Informational",IF(J881="NOT AVAILABLE","",J881))),10,IF(ISNUMBER(SEARCH("Navigational",IF(J881="NOT AVAILABLE","",J881))),0,12))))</f>
        <v/>
      </c>
      <c r="Q881">
        <f>IF(ISNUMBER(F881),MIN(30,ROUND(30*LOG10(F881+1)/4,1)),0)</f>
        <v/>
      </c>
      <c r="R881">
        <f>IF(ISNUMBER(G881),ROUND(25*(100-G881)/100,1),12.5)</f>
        <v/>
      </c>
      <c r="S881" t="n">
        <v>10</v>
      </c>
      <c r="T881">
        <f>ROUND(P881+Q881+R881+S881,0)</f>
        <v/>
      </c>
      <c r="U881" s="5" t="inlineStr"/>
      <c r="V881" s="5" t="inlineStr"/>
    </row>
    <row r="882">
      <c r="A882" t="inlineStr">
        <is>
          <t>K0880</t>
        </is>
      </c>
      <c r="B882" t="inlineStr">
        <is>
          <t>référencement naturel</t>
        </is>
      </c>
      <c r="C882" t="inlineStr">
        <is>
          <t>Canada</t>
        </is>
      </c>
      <c r="D882" t="inlineStr">
        <is>
          <t>ca</t>
        </is>
      </c>
      <c r="E882" t="inlineStr">
        <is>
          <t>fr</t>
        </is>
      </c>
      <c r="F882" t="n">
        <v>1000</v>
      </c>
      <c r="G882" t="n">
        <v>44</v>
      </c>
      <c r="H882" t="n">
        <v>0</v>
      </c>
      <c r="I882" t="n">
        <v>0.05</v>
      </c>
      <c r="J882" t="inlineStr">
        <is>
          <t>Informational</t>
        </is>
      </c>
      <c r="K882" t="inlineStr">
        <is>
          <t>NOT AVAILABLE (report not requested)</t>
        </is>
      </c>
      <c r="L882" t="inlineStr">
        <is>
          <t>declining (calc.)</t>
        </is>
      </c>
      <c r="M882" t="inlineStr">
        <is>
          <t>MEASURED</t>
        </is>
      </c>
      <c r="N882" s="5" t="inlineStr">
        <is>
          <t>Semrush phrase_these (live, this session)</t>
        </is>
      </c>
      <c r="O882" t="inlineStr">
        <is>
          <t>2026-10-30</t>
        </is>
      </c>
      <c r="P882">
        <f>IF(IF(J882="NOT AVAILABLE","",J882)="",12,IF(OR(ISNUMBER(SEARCH("Transactional",IF(J882="NOT AVAILABLE","",J882))),ISNUMBER(SEARCH("Commercial",IF(J882="NOT AVAILABLE","",J882)))),25,IF(ISNUMBER(SEARCH("Informational",IF(J882="NOT AVAILABLE","",J882))),10,IF(ISNUMBER(SEARCH("Navigational",IF(J882="NOT AVAILABLE","",J882))),0,12))))</f>
        <v/>
      </c>
      <c r="Q882">
        <f>IF(ISNUMBER(F882),MIN(30,ROUND(30*LOG10(F882+1)/4,1)),0)</f>
        <v/>
      </c>
      <c r="R882">
        <f>IF(ISNUMBER(G882),ROUND(25*(100-G882)/100,1),12.5)</f>
        <v/>
      </c>
      <c r="S882" t="n">
        <v>10</v>
      </c>
      <c r="T882">
        <f>ROUND(P882+Q882+R882+S882,0)</f>
        <v/>
      </c>
      <c r="U882" s="5" t="inlineStr"/>
      <c r="V882" s="5" t="inlineStr"/>
    </row>
    <row r="883">
      <c r="A883" t="inlineStr">
        <is>
          <t>K0881</t>
        </is>
      </c>
      <c r="B883" t="inlineStr">
        <is>
          <t>web development company toronto</t>
        </is>
      </c>
      <c r="C883" t="inlineStr">
        <is>
          <t>Canada</t>
        </is>
      </c>
      <c r="D883" t="inlineStr">
        <is>
          <t>ca</t>
        </is>
      </c>
      <c r="E883" t="inlineStr">
        <is>
          <t>en</t>
        </is>
      </c>
      <c r="F883" t="n">
        <v>1000</v>
      </c>
      <c r="G883" t="n">
        <v>33</v>
      </c>
      <c r="H883" t="n">
        <v>6.18</v>
      </c>
      <c r="I883" t="n">
        <v>0.18</v>
      </c>
      <c r="J883" t="inlineStr">
        <is>
          <t>Commercial</t>
        </is>
      </c>
      <c r="K883" t="inlineStr">
        <is>
          <t>NOT AVAILABLE (report not requested)</t>
        </is>
      </c>
      <c r="L883" t="inlineStr">
        <is>
          <t>stable (calc.)</t>
        </is>
      </c>
      <c r="M883" t="inlineStr">
        <is>
          <t>MEASURED</t>
        </is>
      </c>
      <c r="N883" s="5" t="inlineStr">
        <is>
          <t>Semrush phrase_these (live, this session)</t>
        </is>
      </c>
      <c r="O883" t="inlineStr">
        <is>
          <t>2026-10-30</t>
        </is>
      </c>
      <c r="P883">
        <f>IF(IF(J883="NOT AVAILABLE","",J883)="",12,IF(OR(ISNUMBER(SEARCH("Transactional",IF(J883="NOT AVAILABLE","",J883))),ISNUMBER(SEARCH("Commercial",IF(J883="NOT AVAILABLE","",J883)))),25,IF(ISNUMBER(SEARCH("Informational",IF(J883="NOT AVAILABLE","",J883))),10,IF(ISNUMBER(SEARCH("Navigational",IF(J883="NOT AVAILABLE","",J883))),0,12))))</f>
        <v/>
      </c>
      <c r="Q883">
        <f>IF(ISNUMBER(F883),MIN(30,ROUND(30*LOG10(F883+1)/4,1)),0)</f>
        <v/>
      </c>
      <c r="R883">
        <f>IF(ISNUMBER(G883),ROUND(25*(100-G883)/100,1),12.5)</f>
        <v/>
      </c>
      <c r="S883" t="n">
        <v>10</v>
      </c>
      <c r="T883">
        <f>ROUND(P883+Q883+R883+S883,0)</f>
        <v/>
      </c>
      <c r="U883" s="5" t="inlineStr"/>
      <c r="V883" s="5" t="inlineStr">
        <is>
          <t>NOT RECOMMENDED /web-development-company/toronto</t>
        </is>
      </c>
    </row>
    <row r="884">
      <c r="A884" t="inlineStr">
        <is>
          <t>K0882</t>
        </is>
      </c>
      <c r="B884" t="inlineStr">
        <is>
          <t>agence web montréal</t>
        </is>
      </c>
      <c r="C884" t="inlineStr">
        <is>
          <t>Canada</t>
        </is>
      </c>
      <c r="D884" t="inlineStr">
        <is>
          <t>ca</t>
        </is>
      </c>
      <c r="E884" t="inlineStr">
        <is>
          <t>fr</t>
        </is>
      </c>
      <c r="F884" t="n">
        <v>590</v>
      </c>
      <c r="G884" t="n">
        <v>51</v>
      </c>
      <c r="H884" t="n">
        <v>4.4</v>
      </c>
      <c r="I884" t="n">
        <v>0.34</v>
      </c>
      <c r="J884" t="inlineStr">
        <is>
          <t>Commercial</t>
        </is>
      </c>
      <c r="K884" t="inlineStr">
        <is>
          <t>NOT AVAILABLE (report not requested)</t>
        </is>
      </c>
      <c r="L884" t="inlineStr">
        <is>
          <t>declining (calc.)</t>
        </is>
      </c>
      <c r="M884" t="inlineStr">
        <is>
          <t>MEASURED</t>
        </is>
      </c>
      <c r="N884" s="5" t="inlineStr">
        <is>
          <t>Semrush phrase_these (live, this session)</t>
        </is>
      </c>
      <c r="O884" t="inlineStr">
        <is>
          <t>2026-10-30</t>
        </is>
      </c>
      <c r="P884">
        <f>IF(IF(J884="NOT AVAILABLE","",J884)="",12,IF(OR(ISNUMBER(SEARCH("Transactional",IF(J884="NOT AVAILABLE","",J884))),ISNUMBER(SEARCH("Commercial",IF(J884="NOT AVAILABLE","",J884)))),25,IF(ISNUMBER(SEARCH("Informational",IF(J884="NOT AVAILABLE","",J884))),10,IF(ISNUMBER(SEARCH("Navigational",IF(J884="NOT AVAILABLE","",J884))),0,12))))</f>
        <v/>
      </c>
      <c r="Q884">
        <f>IF(ISNUMBER(F884),MIN(30,ROUND(30*LOG10(F884+1)/4,1)),0)</f>
        <v/>
      </c>
      <c r="R884">
        <f>IF(ISNUMBER(G884),ROUND(25*(100-G884)/100,1),12.5)</f>
        <v/>
      </c>
      <c r="S884" t="n">
        <v>10</v>
      </c>
      <c r="T884">
        <f>ROUND(P884+Q884+R884+S884,0)</f>
        <v/>
      </c>
      <c r="U884" s="5" t="inlineStr"/>
      <c r="V884" s="5" t="inlineStr"/>
    </row>
    <row r="885">
      <c r="A885" t="inlineStr">
        <is>
          <t>K0883</t>
        </is>
      </c>
      <c r="B885" t="inlineStr">
        <is>
          <t>conception site web montréal</t>
        </is>
      </c>
      <c r="C885" t="inlineStr">
        <is>
          <t>Canada</t>
        </is>
      </c>
      <c r="D885" t="inlineStr">
        <is>
          <t>ca</t>
        </is>
      </c>
      <c r="E885" t="inlineStr">
        <is>
          <t>fr</t>
        </is>
      </c>
      <c r="F885" t="n">
        <v>480</v>
      </c>
      <c r="G885" t="n">
        <v>42</v>
      </c>
      <c r="H885" t="n">
        <v>0</v>
      </c>
      <c r="I885" t="n">
        <v>0.14</v>
      </c>
      <c r="J885" t="inlineStr">
        <is>
          <t>Commercial</t>
        </is>
      </c>
      <c r="K885" t="inlineStr">
        <is>
          <t>NOT AVAILABLE (report not requested)</t>
        </is>
      </c>
      <c r="L885" t="inlineStr">
        <is>
          <t>declining (calc.)</t>
        </is>
      </c>
      <c r="M885" t="inlineStr">
        <is>
          <t>MEASURED</t>
        </is>
      </c>
      <c r="N885" s="5" t="inlineStr">
        <is>
          <t>Semrush phrase_these (live, this session)</t>
        </is>
      </c>
      <c r="O885" t="inlineStr">
        <is>
          <t>2026-10-30</t>
        </is>
      </c>
      <c r="P885">
        <f>IF(IF(J885="NOT AVAILABLE","",J885)="",12,IF(OR(ISNUMBER(SEARCH("Transactional",IF(J885="NOT AVAILABLE","",J885))),ISNUMBER(SEARCH("Commercial",IF(J885="NOT AVAILABLE","",J885)))),25,IF(ISNUMBER(SEARCH("Informational",IF(J885="NOT AVAILABLE","",J885))),10,IF(ISNUMBER(SEARCH("Navigational",IF(J885="NOT AVAILABLE","",J885))),0,12))))</f>
        <v/>
      </c>
      <c r="Q885">
        <f>IF(ISNUMBER(F885),MIN(30,ROUND(30*LOG10(F885+1)/4,1)),0)</f>
        <v/>
      </c>
      <c r="R885">
        <f>IF(ISNUMBER(G885),ROUND(25*(100-G885)/100,1),12.5)</f>
        <v/>
      </c>
      <c r="S885" t="n">
        <v>10</v>
      </c>
      <c r="T885">
        <f>ROUND(P885+Q885+R885+S885,0)</f>
        <v/>
      </c>
      <c r="U885" s="5" t="inlineStr"/>
      <c r="V885" s="5" t="inlineStr"/>
    </row>
    <row r="886">
      <c r="A886" t="inlineStr">
        <is>
          <t>K0884</t>
        </is>
      </c>
      <c r="B886" t="inlineStr">
        <is>
          <t>création site internet</t>
        </is>
      </c>
      <c r="C886" t="inlineStr">
        <is>
          <t>Canada</t>
        </is>
      </c>
      <c r="D886" t="inlineStr">
        <is>
          <t>ca</t>
        </is>
      </c>
      <c r="E886" t="inlineStr">
        <is>
          <t>fr</t>
        </is>
      </c>
      <c r="F886" t="n">
        <v>390</v>
      </c>
      <c r="G886" t="n">
        <v>75</v>
      </c>
      <c r="H886" t="n">
        <v>10.41</v>
      </c>
      <c r="I886" t="n">
        <v>0.66</v>
      </c>
      <c r="J886" t="inlineStr">
        <is>
          <t>Informational</t>
        </is>
      </c>
      <c r="K886" t="inlineStr">
        <is>
          <t>NOT AVAILABLE (report not requested)</t>
        </is>
      </c>
      <c r="L886" t="inlineStr">
        <is>
          <t>declining (calc.)</t>
        </is>
      </c>
      <c r="M886" t="inlineStr">
        <is>
          <t>MEASURED</t>
        </is>
      </c>
      <c r="N886" s="5" t="inlineStr">
        <is>
          <t>Semrush phrase_these (live, this session)</t>
        </is>
      </c>
      <c r="O886" t="inlineStr">
        <is>
          <t>2026-10-30</t>
        </is>
      </c>
      <c r="P886">
        <f>IF(IF(J886="NOT AVAILABLE","",J886)="",12,IF(OR(ISNUMBER(SEARCH("Transactional",IF(J886="NOT AVAILABLE","",J886))),ISNUMBER(SEARCH("Commercial",IF(J886="NOT AVAILABLE","",J886)))),25,IF(ISNUMBER(SEARCH("Informational",IF(J886="NOT AVAILABLE","",J886))),10,IF(ISNUMBER(SEARCH("Navigational",IF(J886="NOT AVAILABLE","",J886))),0,12))))</f>
        <v/>
      </c>
      <c r="Q886">
        <f>IF(ISNUMBER(F886),MIN(30,ROUND(30*LOG10(F886+1)/4,1)),0)</f>
        <v/>
      </c>
      <c r="R886">
        <f>IF(ISNUMBER(G886),ROUND(25*(100-G886)/100,1),12.5)</f>
        <v/>
      </c>
      <c r="S886" t="n">
        <v>10</v>
      </c>
      <c r="T886">
        <f>ROUND(P886+Q886+R886+S886,0)</f>
        <v/>
      </c>
      <c r="U886" s="5" t="inlineStr"/>
      <c r="V886" s="5" t="inlineStr"/>
    </row>
    <row r="887">
      <c r="A887" t="inlineStr">
        <is>
          <t>K0885</t>
        </is>
      </c>
      <c r="B887" t="inlineStr">
        <is>
          <t>refonte site web</t>
        </is>
      </c>
      <c r="C887" t="inlineStr">
        <is>
          <t>Canada</t>
        </is>
      </c>
      <c r="D887" t="inlineStr">
        <is>
          <t>ca</t>
        </is>
      </c>
      <c r="E887" t="inlineStr">
        <is>
          <t>fr</t>
        </is>
      </c>
      <c r="F887" t="n">
        <v>390</v>
      </c>
      <c r="G887" t="n">
        <v>6</v>
      </c>
      <c r="H887" t="n">
        <v>7.59</v>
      </c>
      <c r="I887" t="n">
        <v>0.26</v>
      </c>
      <c r="J887" t="inlineStr">
        <is>
          <t>Informational</t>
        </is>
      </c>
      <c r="K887" t="inlineStr">
        <is>
          <t>NOT AVAILABLE (report not requested)</t>
        </is>
      </c>
      <c r="L887" t="inlineStr">
        <is>
          <t>declining (calc.)</t>
        </is>
      </c>
      <c r="M887" t="inlineStr">
        <is>
          <t>MEASURED</t>
        </is>
      </c>
      <c r="N887" s="5" t="inlineStr">
        <is>
          <t>Semrush phrase_these (live, this session)</t>
        </is>
      </c>
      <c r="O887" t="inlineStr">
        <is>
          <t>2026-10-30</t>
        </is>
      </c>
      <c r="P887">
        <f>IF(IF(J887="NOT AVAILABLE","",J887)="",12,IF(OR(ISNUMBER(SEARCH("Transactional",IF(J887="NOT AVAILABLE","",J887))),ISNUMBER(SEARCH("Commercial",IF(J887="NOT AVAILABLE","",J887)))),25,IF(ISNUMBER(SEARCH("Informational",IF(J887="NOT AVAILABLE","",J887))),10,IF(ISNUMBER(SEARCH("Navigational",IF(J887="NOT AVAILABLE","",J887))),0,12))))</f>
        <v/>
      </c>
      <c r="Q887">
        <f>IF(ISNUMBER(F887),MIN(30,ROUND(30*LOG10(F887+1)/4,1)),0)</f>
        <v/>
      </c>
      <c r="R887">
        <f>IF(ISNUMBER(G887),ROUND(25*(100-G887)/100,1),12.5)</f>
        <v/>
      </c>
      <c r="S887" t="n">
        <v>10</v>
      </c>
      <c r="T887">
        <f>ROUND(P887+Q887+R887+S887,0)</f>
        <v/>
      </c>
      <c r="U887" s="5" t="inlineStr"/>
      <c r="V887" s="5" t="inlineStr"/>
    </row>
    <row r="888">
      <c r="A888" t="inlineStr">
        <is>
          <t>K0886</t>
        </is>
      </c>
      <c r="B888" t="inlineStr">
        <is>
          <t>agence digitale</t>
        </is>
      </c>
      <c r="C888" t="inlineStr">
        <is>
          <t>Canada</t>
        </is>
      </c>
      <c r="D888" t="inlineStr">
        <is>
          <t>ca</t>
        </is>
      </c>
      <c r="E888" t="inlineStr">
        <is>
          <t>fr</t>
        </is>
      </c>
      <c r="F888" t="n">
        <v>320</v>
      </c>
      <c r="G888" t="n">
        <v>64</v>
      </c>
      <c r="H888" t="n">
        <v>3.7</v>
      </c>
      <c r="I888" t="n">
        <v>0.57</v>
      </c>
      <c r="J888" t="inlineStr">
        <is>
          <t>Commercial</t>
        </is>
      </c>
      <c r="K888" t="inlineStr">
        <is>
          <t>NOT AVAILABLE (report not requested)</t>
        </is>
      </c>
      <c r="L888" t="inlineStr">
        <is>
          <t>declining (calc.)</t>
        </is>
      </c>
      <c r="M888" t="inlineStr">
        <is>
          <t>MEASURED</t>
        </is>
      </c>
      <c r="N888" s="5" t="inlineStr">
        <is>
          <t>Semrush phrase_these (live, this session)</t>
        </is>
      </c>
      <c r="O888" t="inlineStr">
        <is>
          <t>2026-10-30</t>
        </is>
      </c>
      <c r="P888">
        <f>IF(IF(J888="NOT AVAILABLE","",J888)="",12,IF(OR(ISNUMBER(SEARCH("Transactional",IF(J888="NOT AVAILABLE","",J888))),ISNUMBER(SEARCH("Commercial",IF(J888="NOT AVAILABLE","",J888)))),25,IF(ISNUMBER(SEARCH("Informational",IF(J888="NOT AVAILABLE","",J888))),10,IF(ISNUMBER(SEARCH("Navigational",IF(J888="NOT AVAILABLE","",J888))),0,12))))</f>
        <v/>
      </c>
      <c r="Q888">
        <f>IF(ISNUMBER(F888),MIN(30,ROUND(30*LOG10(F888+1)/4,1)),0)</f>
        <v/>
      </c>
      <c r="R888">
        <f>IF(ISNUMBER(G888),ROUND(25*(100-G888)/100,1),12.5)</f>
        <v/>
      </c>
      <c r="S888" t="n">
        <v>10</v>
      </c>
      <c r="T888">
        <f>ROUND(P888+Q888+R888+S888,0)</f>
        <v/>
      </c>
      <c r="U888" s="5" t="inlineStr"/>
      <c r="V888" s="5" t="inlineStr"/>
    </row>
    <row r="889">
      <c r="A889" t="inlineStr">
        <is>
          <t>K0887</t>
        </is>
      </c>
      <c r="B889" t="inlineStr">
        <is>
          <t>développement logiciel sur mesure</t>
        </is>
      </c>
      <c r="C889" t="inlineStr">
        <is>
          <t>Canada</t>
        </is>
      </c>
      <c r="D889" t="inlineStr">
        <is>
          <t>ca</t>
        </is>
      </c>
      <c r="E889" t="inlineStr">
        <is>
          <t>fr</t>
        </is>
      </c>
      <c r="F889" t="n">
        <v>320</v>
      </c>
      <c r="G889" t="n">
        <v>24</v>
      </c>
      <c r="H889" t="n">
        <v>9.890000000000001</v>
      </c>
      <c r="I889" t="n">
        <v>0.13</v>
      </c>
      <c r="J889" t="inlineStr">
        <is>
          <t>Informational</t>
        </is>
      </c>
      <c r="K889" t="inlineStr">
        <is>
          <t>NOT AVAILABLE (report not requested)</t>
        </is>
      </c>
      <c r="L889" t="inlineStr">
        <is>
          <t>declining (calc.)</t>
        </is>
      </c>
      <c r="M889" t="inlineStr">
        <is>
          <t>MEASURED</t>
        </is>
      </c>
      <c r="N889" s="5" t="inlineStr">
        <is>
          <t>Semrush phrase_these (live, this session)</t>
        </is>
      </c>
      <c r="O889" t="inlineStr">
        <is>
          <t>2026-10-30</t>
        </is>
      </c>
      <c r="P889">
        <f>IF(IF(J889="NOT AVAILABLE","",J889)="",12,IF(OR(ISNUMBER(SEARCH("Transactional",IF(J889="NOT AVAILABLE","",J889))),ISNUMBER(SEARCH("Commercial",IF(J889="NOT AVAILABLE","",J889)))),25,IF(ISNUMBER(SEARCH("Informational",IF(J889="NOT AVAILABLE","",J889))),10,IF(ISNUMBER(SEARCH("Navigational",IF(J889="NOT AVAILABLE","",J889))),0,12))))</f>
        <v/>
      </c>
      <c r="Q889">
        <f>IF(ISNUMBER(F889),MIN(30,ROUND(30*LOG10(F889+1)/4,1)),0)</f>
        <v/>
      </c>
      <c r="R889">
        <f>IF(ISNUMBER(G889),ROUND(25*(100-G889)/100,1),12.5)</f>
        <v/>
      </c>
      <c r="S889" t="n">
        <v>10</v>
      </c>
      <c r="T889">
        <f>ROUND(P889+Q889+R889+S889,0)</f>
        <v/>
      </c>
      <c r="U889" s="5" t="inlineStr"/>
      <c r="V889" s="5" t="inlineStr"/>
    </row>
    <row r="890">
      <c r="A890" t="inlineStr">
        <is>
          <t>K0888</t>
        </is>
      </c>
      <c r="B890" t="inlineStr">
        <is>
          <t>agence web québec</t>
        </is>
      </c>
      <c r="C890" t="inlineStr">
        <is>
          <t>Canada</t>
        </is>
      </c>
      <c r="D890" t="inlineStr">
        <is>
          <t>ca</t>
        </is>
      </c>
      <c r="E890" t="inlineStr">
        <is>
          <t>fr</t>
        </is>
      </c>
      <c r="F890" t="n">
        <v>260</v>
      </c>
      <c r="G890" t="n">
        <v>16</v>
      </c>
      <c r="H890" t="n">
        <v>3.57</v>
      </c>
      <c r="I890" t="n">
        <v>0.47</v>
      </c>
      <c r="J890" t="inlineStr">
        <is>
          <t>Commercial</t>
        </is>
      </c>
      <c r="K890" t="inlineStr">
        <is>
          <t>NOT AVAILABLE (report not requested)</t>
        </is>
      </c>
      <c r="L890" t="inlineStr">
        <is>
          <t>declining (calc.)</t>
        </is>
      </c>
      <c r="M890" t="inlineStr">
        <is>
          <t>MEASURED</t>
        </is>
      </c>
      <c r="N890" s="5" t="inlineStr">
        <is>
          <t>Semrush phrase_these (live, this session)</t>
        </is>
      </c>
      <c r="O890" t="inlineStr">
        <is>
          <t>2026-10-30</t>
        </is>
      </c>
      <c r="P890">
        <f>IF(IF(J890="NOT AVAILABLE","",J890)="",12,IF(OR(ISNUMBER(SEARCH("Transactional",IF(J890="NOT AVAILABLE","",J890))),ISNUMBER(SEARCH("Commercial",IF(J890="NOT AVAILABLE","",J890)))),25,IF(ISNUMBER(SEARCH("Informational",IF(J890="NOT AVAILABLE","",J890))),10,IF(ISNUMBER(SEARCH("Navigational",IF(J890="NOT AVAILABLE","",J890))),0,12))))</f>
        <v/>
      </c>
      <c r="Q890">
        <f>IF(ISNUMBER(F890),MIN(30,ROUND(30*LOG10(F890+1)/4,1)),0)</f>
        <v/>
      </c>
      <c r="R890">
        <f>IF(ISNUMBER(G890),ROUND(25*(100-G890)/100,1),12.5)</f>
        <v/>
      </c>
      <c r="S890" t="n">
        <v>10</v>
      </c>
      <c r="T890">
        <f>ROUND(P890+Q890+R890+S890,0)</f>
        <v/>
      </c>
      <c r="U890" s="5" t="inlineStr"/>
      <c r="V890" s="5" t="inlineStr"/>
    </row>
    <row r="891">
      <c r="A891" t="inlineStr">
        <is>
          <t>K0889</t>
        </is>
      </c>
      <c r="B891" t="inlineStr">
        <is>
          <t>web development company vancouver</t>
        </is>
      </c>
      <c r="C891" t="inlineStr">
        <is>
          <t>Canada</t>
        </is>
      </c>
      <c r="D891" t="inlineStr">
        <is>
          <t>ca</t>
        </is>
      </c>
      <c r="E891" t="inlineStr">
        <is>
          <t>en</t>
        </is>
      </c>
      <c r="F891" t="n">
        <v>260</v>
      </c>
      <c r="G891" t="n">
        <v>46</v>
      </c>
      <c r="H891" t="n">
        <v>6.03</v>
      </c>
      <c r="I891" t="n">
        <v>0.09</v>
      </c>
      <c r="J891" t="inlineStr">
        <is>
          <t>Commercial</t>
        </is>
      </c>
      <c r="K891" t="inlineStr">
        <is>
          <t>NOT AVAILABLE (report not requested)</t>
        </is>
      </c>
      <c r="L891" t="inlineStr">
        <is>
          <t>declining (calc.)</t>
        </is>
      </c>
      <c r="M891" t="inlineStr">
        <is>
          <t>MEASURED</t>
        </is>
      </c>
      <c r="N891" s="5" t="inlineStr">
        <is>
          <t>Semrush phrase_these (live, this session)</t>
        </is>
      </c>
      <c r="O891" t="inlineStr">
        <is>
          <t>2026-10-30</t>
        </is>
      </c>
      <c r="P891">
        <f>IF(IF(J891="NOT AVAILABLE","",J891)="",12,IF(OR(ISNUMBER(SEARCH("Transactional",IF(J891="NOT AVAILABLE","",J891))),ISNUMBER(SEARCH("Commercial",IF(J891="NOT AVAILABLE","",J891)))),25,IF(ISNUMBER(SEARCH("Informational",IF(J891="NOT AVAILABLE","",J891))),10,IF(ISNUMBER(SEARCH("Navigational",IF(J891="NOT AVAILABLE","",J891))),0,12))))</f>
        <v/>
      </c>
      <c r="Q891">
        <f>IF(ISNUMBER(F891),MIN(30,ROUND(30*LOG10(F891+1)/4,1)),0)</f>
        <v/>
      </c>
      <c r="R891">
        <f>IF(ISNUMBER(G891),ROUND(25*(100-G891)/100,1),12.5)</f>
        <v/>
      </c>
      <c r="S891" t="n">
        <v>10</v>
      </c>
      <c r="T891">
        <f>ROUND(P891+Q891+R891+S891,0)</f>
        <v/>
      </c>
      <c r="U891" s="5" t="inlineStr"/>
      <c r="V891" s="5" t="inlineStr">
        <is>
          <t>NOT RECOMMENDED /web-development-company/vancouver</t>
        </is>
      </c>
    </row>
    <row r="892">
      <c r="A892" t="inlineStr">
        <is>
          <t>K0890</t>
        </is>
      </c>
      <c r="B892" t="inlineStr">
        <is>
          <t>création site web québec</t>
        </is>
      </c>
      <c r="C892" t="inlineStr">
        <is>
          <t>Canada</t>
        </is>
      </c>
      <c r="D892" t="inlineStr">
        <is>
          <t>ca</t>
        </is>
      </c>
      <c r="E892" t="inlineStr">
        <is>
          <t>fr</t>
        </is>
      </c>
      <c r="F892" t="n">
        <v>210</v>
      </c>
      <c r="G892" t="n">
        <v>20</v>
      </c>
      <c r="H892" t="n">
        <v>3.76</v>
      </c>
      <c r="I892" t="n">
        <v>0.34</v>
      </c>
      <c r="J892" t="inlineStr">
        <is>
          <t>Commercial</t>
        </is>
      </c>
      <c r="K892" t="inlineStr">
        <is>
          <t>NOT AVAILABLE (report not requested)</t>
        </is>
      </c>
      <c r="L892" t="inlineStr">
        <is>
          <t>declining (calc.)</t>
        </is>
      </c>
      <c r="M892" t="inlineStr">
        <is>
          <t>MEASURED</t>
        </is>
      </c>
      <c r="N892" s="5" t="inlineStr">
        <is>
          <t>Semrush phrase_these (live, this session)</t>
        </is>
      </c>
      <c r="O892" t="inlineStr">
        <is>
          <t>2026-10-30</t>
        </is>
      </c>
      <c r="P892">
        <f>IF(IF(J892="NOT AVAILABLE","",J892)="",12,IF(OR(ISNUMBER(SEARCH("Transactional",IF(J892="NOT AVAILABLE","",J892))),ISNUMBER(SEARCH("Commercial",IF(J892="NOT AVAILABLE","",J892)))),25,IF(ISNUMBER(SEARCH("Informational",IF(J892="NOT AVAILABLE","",J892))),10,IF(ISNUMBER(SEARCH("Navigational",IF(J892="NOT AVAILABLE","",J892))),0,12))))</f>
        <v/>
      </c>
      <c r="Q892">
        <f>IF(ISNUMBER(F892),MIN(30,ROUND(30*LOG10(F892+1)/4,1)),0)</f>
        <v/>
      </c>
      <c r="R892">
        <f>IF(ISNUMBER(G892),ROUND(25*(100-G892)/100,1),12.5)</f>
        <v/>
      </c>
      <c r="S892" t="n">
        <v>10</v>
      </c>
      <c r="T892">
        <f>ROUND(P892+Q892+R892+S892,0)</f>
        <v/>
      </c>
      <c r="U892" s="5" t="inlineStr"/>
      <c r="V892" s="5" t="inlineStr"/>
    </row>
    <row r="893">
      <c r="A893" t="inlineStr">
        <is>
          <t>K0891</t>
        </is>
      </c>
      <c r="B893" t="inlineStr">
        <is>
          <t>prix site web</t>
        </is>
      </c>
      <c r="C893" t="inlineStr">
        <is>
          <t>Canada</t>
        </is>
      </c>
      <c r="D893" t="inlineStr">
        <is>
          <t>ca</t>
        </is>
      </c>
      <c r="E893" t="inlineStr">
        <is>
          <t>fr</t>
        </is>
      </c>
      <c r="F893" t="n">
        <v>210</v>
      </c>
      <c r="G893" t="n">
        <v>25</v>
      </c>
      <c r="H893" t="n">
        <v>1.9</v>
      </c>
      <c r="I893" t="n">
        <v>0.66</v>
      </c>
      <c r="J893" t="inlineStr">
        <is>
          <t>Transactional</t>
        </is>
      </c>
      <c r="K893" t="inlineStr">
        <is>
          <t>NOT AVAILABLE (report not requested)</t>
        </is>
      </c>
      <c r="L893" t="inlineStr">
        <is>
          <t>declining (calc.)</t>
        </is>
      </c>
      <c r="M893" t="inlineStr">
        <is>
          <t>MEASURED</t>
        </is>
      </c>
      <c r="N893" s="5" t="inlineStr">
        <is>
          <t>Semrush phrase_these (live, this session)</t>
        </is>
      </c>
      <c r="O893" t="inlineStr">
        <is>
          <t>2026-10-30</t>
        </is>
      </c>
      <c r="P893">
        <f>IF(IF(J893="NOT AVAILABLE","",J893)="",12,IF(OR(ISNUMBER(SEARCH("Transactional",IF(J893="NOT AVAILABLE","",J893))),ISNUMBER(SEARCH("Commercial",IF(J893="NOT AVAILABLE","",J893)))),25,IF(ISNUMBER(SEARCH("Informational",IF(J893="NOT AVAILABLE","",J893))),10,IF(ISNUMBER(SEARCH("Navigational",IF(J893="NOT AVAILABLE","",J893))),0,12))))</f>
        <v/>
      </c>
      <c r="Q893">
        <f>IF(ISNUMBER(F893),MIN(30,ROUND(30*LOG10(F893+1)/4,1)),0)</f>
        <v/>
      </c>
      <c r="R893">
        <f>IF(ISNUMBER(G893),ROUND(25*(100-G893)/100,1),12.5)</f>
        <v/>
      </c>
      <c r="S893" t="n">
        <v>10</v>
      </c>
      <c r="T893">
        <f>ROUND(P893+Q893+R893+S893,0)</f>
        <v/>
      </c>
      <c r="U893" s="5" t="inlineStr"/>
      <c r="V893" s="5" t="inlineStr"/>
    </row>
    <row r="894">
      <c r="A894" t="inlineStr">
        <is>
          <t>K0892</t>
        </is>
      </c>
      <c r="B894" t="inlineStr">
        <is>
          <t>agence de développement web</t>
        </is>
      </c>
      <c r="C894" t="inlineStr">
        <is>
          <t>Canada</t>
        </is>
      </c>
      <c r="D894" t="inlineStr">
        <is>
          <t>ca</t>
        </is>
      </c>
      <c r="E894" t="inlineStr">
        <is>
          <t>fr</t>
        </is>
      </c>
      <c r="F894" t="n">
        <v>170</v>
      </c>
      <c r="G894" t="n">
        <v>15</v>
      </c>
      <c r="H894" t="n">
        <v>6.51</v>
      </c>
      <c r="I894" t="n">
        <v>0.24</v>
      </c>
      <c r="J894" t="inlineStr">
        <is>
          <t>Commercial</t>
        </is>
      </c>
      <c r="K894" t="inlineStr">
        <is>
          <t>NOT AVAILABLE (report not requested)</t>
        </is>
      </c>
      <c r="L894" t="inlineStr">
        <is>
          <t>declining (calc.)</t>
        </is>
      </c>
      <c r="M894" t="inlineStr">
        <is>
          <t>MEASURED</t>
        </is>
      </c>
      <c r="N894" s="5" t="inlineStr">
        <is>
          <t>Semrush phrase_these (live, this session)</t>
        </is>
      </c>
      <c r="O894" t="inlineStr">
        <is>
          <t>2026-10-30</t>
        </is>
      </c>
      <c r="P894">
        <f>IF(IF(J894="NOT AVAILABLE","",J894)="",12,IF(OR(ISNUMBER(SEARCH("Transactional",IF(J894="NOT AVAILABLE","",J894))),ISNUMBER(SEARCH("Commercial",IF(J894="NOT AVAILABLE","",J894)))),25,IF(ISNUMBER(SEARCH("Informational",IF(J894="NOT AVAILABLE","",J894))),10,IF(ISNUMBER(SEARCH("Navigational",IF(J894="NOT AVAILABLE","",J894))),0,12))))</f>
        <v/>
      </c>
      <c r="Q894">
        <f>IF(ISNUMBER(F894),MIN(30,ROUND(30*LOG10(F894+1)/4,1)),0)</f>
        <v/>
      </c>
      <c r="R894">
        <f>IF(ISNUMBER(G894),ROUND(25*(100-G894)/100,1),12.5)</f>
        <v/>
      </c>
      <c r="S894" t="n">
        <v>10</v>
      </c>
      <c r="T894">
        <f>ROUND(P894+Q894+R894+S894,0)</f>
        <v/>
      </c>
      <c r="U894" s="5" t="inlineStr"/>
      <c r="V894" s="5" t="inlineStr"/>
    </row>
    <row r="895">
      <c r="A895" t="inlineStr">
        <is>
          <t>K0893</t>
        </is>
      </c>
      <c r="B895" t="inlineStr">
        <is>
          <t>développement web sur mesure</t>
        </is>
      </c>
      <c r="C895" t="inlineStr">
        <is>
          <t>Canada</t>
        </is>
      </c>
      <c r="D895" t="inlineStr">
        <is>
          <t>ca</t>
        </is>
      </c>
      <c r="E895" t="inlineStr">
        <is>
          <t>fr</t>
        </is>
      </c>
      <c r="F895" t="n">
        <v>170</v>
      </c>
      <c r="G895" t="n">
        <v>16</v>
      </c>
      <c r="H895" t="n">
        <v>0</v>
      </c>
      <c r="I895" t="n">
        <v>0.13</v>
      </c>
      <c r="J895" t="inlineStr">
        <is>
          <t>Informational</t>
        </is>
      </c>
      <c r="K895" t="inlineStr">
        <is>
          <t>NOT AVAILABLE (report not requested)</t>
        </is>
      </c>
      <c r="L895" t="inlineStr">
        <is>
          <t>declining (calc.)</t>
        </is>
      </c>
      <c r="M895" t="inlineStr">
        <is>
          <t>MEASURED</t>
        </is>
      </c>
      <c r="N895" s="5" t="inlineStr">
        <is>
          <t>Semrush phrase_these (live, this session)</t>
        </is>
      </c>
      <c r="O895" t="inlineStr">
        <is>
          <t>2026-10-30</t>
        </is>
      </c>
      <c r="P895">
        <f>IF(IF(J895="NOT AVAILABLE","",J895)="",12,IF(OR(ISNUMBER(SEARCH("Transactional",IF(J895="NOT AVAILABLE","",J895))),ISNUMBER(SEARCH("Commercial",IF(J895="NOT AVAILABLE","",J895)))),25,IF(ISNUMBER(SEARCH("Informational",IF(J895="NOT AVAILABLE","",J895))),10,IF(ISNUMBER(SEARCH("Navigational",IF(J895="NOT AVAILABLE","",J895))),0,12))))</f>
        <v/>
      </c>
      <c r="Q895">
        <f>IF(ISNUMBER(F895),MIN(30,ROUND(30*LOG10(F895+1)/4,1)),0)</f>
        <v/>
      </c>
      <c r="R895">
        <f>IF(ISNUMBER(G895),ROUND(25*(100-G895)/100,1),12.5)</f>
        <v/>
      </c>
      <c r="S895" t="n">
        <v>10</v>
      </c>
      <c r="T895">
        <f>ROUND(P895+Q895+R895+S895,0)</f>
        <v/>
      </c>
      <c r="U895" s="5" t="inlineStr"/>
      <c r="V895" s="5" t="inlineStr"/>
    </row>
    <row r="896">
      <c r="A896" t="inlineStr">
        <is>
          <t>K0894</t>
        </is>
      </c>
      <c r="B896" t="inlineStr">
        <is>
          <t>webdesigner</t>
        </is>
      </c>
      <c r="C896" t="inlineStr">
        <is>
          <t>Canada</t>
        </is>
      </c>
      <c r="D896" t="inlineStr">
        <is>
          <t>ca</t>
        </is>
      </c>
      <c r="E896" t="inlineStr">
        <is>
          <t>fr</t>
        </is>
      </c>
      <c r="F896" t="n">
        <v>170</v>
      </c>
      <c r="G896" t="n">
        <v>58</v>
      </c>
      <c r="H896" t="n">
        <v>5.27</v>
      </c>
      <c r="I896" t="n">
        <v>0.23</v>
      </c>
      <c r="J896" t="inlineStr">
        <is>
          <t>Informational</t>
        </is>
      </c>
      <c r="K896" t="inlineStr">
        <is>
          <t>NOT AVAILABLE (report not requested)</t>
        </is>
      </c>
      <c r="L896" t="inlineStr">
        <is>
          <t>rising (calc.)</t>
        </is>
      </c>
      <c r="M896" t="inlineStr">
        <is>
          <t>MEASURED</t>
        </is>
      </c>
      <c r="N896" s="5" t="inlineStr">
        <is>
          <t>Semrush phrase_these (live, this session)</t>
        </is>
      </c>
      <c r="O896" t="inlineStr">
        <is>
          <t>2026-10-30</t>
        </is>
      </c>
      <c r="P896">
        <f>IF(IF(J896="NOT AVAILABLE","",J896)="",12,IF(OR(ISNUMBER(SEARCH("Transactional",IF(J896="NOT AVAILABLE","",J896))),ISNUMBER(SEARCH("Commercial",IF(J896="NOT AVAILABLE","",J896)))),25,IF(ISNUMBER(SEARCH("Informational",IF(J896="NOT AVAILABLE","",J896))),10,IF(ISNUMBER(SEARCH("Navigational",IF(J896="NOT AVAILABLE","",J896))),0,12))))</f>
        <v/>
      </c>
      <c r="Q896">
        <f>IF(ISNUMBER(F896),MIN(30,ROUND(30*LOG10(F896+1)/4,1)),0)</f>
        <v/>
      </c>
      <c r="R896">
        <f>IF(ISNUMBER(G896),ROUND(25*(100-G896)/100,1),12.5)</f>
        <v/>
      </c>
      <c r="S896" t="n">
        <v>10</v>
      </c>
      <c r="T896">
        <f>ROUND(P896+Q896+R896+S896,0)</f>
        <v/>
      </c>
      <c r="U896" s="5" t="inlineStr"/>
      <c r="V896" s="5" t="inlineStr"/>
    </row>
    <row r="897">
      <c r="A897" t="inlineStr">
        <is>
          <t>K0895</t>
        </is>
      </c>
      <c r="B897" t="inlineStr">
        <is>
          <t>création boutique en ligne</t>
        </is>
      </c>
      <c r="C897" t="inlineStr">
        <is>
          <t>Canada</t>
        </is>
      </c>
      <c r="D897" t="inlineStr">
        <is>
          <t>ca</t>
        </is>
      </c>
      <c r="E897" t="inlineStr">
        <is>
          <t>fr</t>
        </is>
      </c>
      <c r="F897" t="n">
        <v>140</v>
      </c>
      <c r="G897" t="n">
        <v>32</v>
      </c>
      <c r="H897" t="n">
        <v>7.17</v>
      </c>
      <c r="I897" t="n">
        <v>0.19</v>
      </c>
      <c r="J897" t="inlineStr">
        <is>
          <t>Informational</t>
        </is>
      </c>
      <c r="K897" t="inlineStr">
        <is>
          <t>NOT AVAILABLE (report not requested)</t>
        </is>
      </c>
      <c r="L897" t="inlineStr">
        <is>
          <t>declining (calc.)</t>
        </is>
      </c>
      <c r="M897" t="inlineStr">
        <is>
          <t>MEASURED</t>
        </is>
      </c>
      <c r="N897" s="5" t="inlineStr">
        <is>
          <t>Semrush phrase_these (live, this session)</t>
        </is>
      </c>
      <c r="O897" t="inlineStr">
        <is>
          <t>2026-10-30</t>
        </is>
      </c>
      <c r="P897">
        <f>IF(IF(J897="NOT AVAILABLE","",J897)="",12,IF(OR(ISNUMBER(SEARCH("Transactional",IF(J897="NOT AVAILABLE","",J897))),ISNUMBER(SEARCH("Commercial",IF(J897="NOT AVAILABLE","",J897)))),25,IF(ISNUMBER(SEARCH("Informational",IF(J897="NOT AVAILABLE","",J897))),10,IF(ISNUMBER(SEARCH("Navigational",IF(J897="NOT AVAILABLE","",J897))),0,12))))</f>
        <v/>
      </c>
      <c r="Q897">
        <f>IF(ISNUMBER(F897),MIN(30,ROUND(30*LOG10(F897+1)/4,1)),0)</f>
        <v/>
      </c>
      <c r="R897">
        <f>IF(ISNUMBER(G897),ROUND(25*(100-G897)/100,1),12.5)</f>
        <v/>
      </c>
      <c r="S897" t="n">
        <v>10</v>
      </c>
      <c r="T897">
        <f>ROUND(P897+Q897+R897+S897,0)</f>
        <v/>
      </c>
      <c r="U897" s="5" t="inlineStr"/>
      <c r="V897" s="5" t="inlineStr"/>
    </row>
    <row r="898">
      <c r="A898" t="inlineStr">
        <is>
          <t>K0896</t>
        </is>
      </c>
      <c r="B898" t="inlineStr">
        <is>
          <t>création site e-commerce</t>
        </is>
      </c>
      <c r="C898" t="inlineStr">
        <is>
          <t>Canada</t>
        </is>
      </c>
      <c r="D898" t="inlineStr">
        <is>
          <t>ca</t>
        </is>
      </c>
      <c r="E898" t="inlineStr">
        <is>
          <t>fr</t>
        </is>
      </c>
      <c r="F898" t="n">
        <v>140</v>
      </c>
      <c r="G898" t="n">
        <v>32</v>
      </c>
      <c r="H898" t="n">
        <v>0</v>
      </c>
      <c r="I898" t="n">
        <v>0.33</v>
      </c>
      <c r="J898" t="inlineStr">
        <is>
          <t>Informational</t>
        </is>
      </c>
      <c r="K898" t="inlineStr">
        <is>
          <t>NOT AVAILABLE (report not requested)</t>
        </is>
      </c>
      <c r="L898" t="inlineStr">
        <is>
          <t>declining (calc.)</t>
        </is>
      </c>
      <c r="M898" t="inlineStr">
        <is>
          <t>MEASURED</t>
        </is>
      </c>
      <c r="N898" s="5" t="inlineStr">
        <is>
          <t>Semrush phrase_these (live, this session)</t>
        </is>
      </c>
      <c r="O898" t="inlineStr">
        <is>
          <t>2026-10-30</t>
        </is>
      </c>
      <c r="P898">
        <f>IF(IF(J898="NOT AVAILABLE","",J898)="",12,IF(OR(ISNUMBER(SEARCH("Transactional",IF(J898="NOT AVAILABLE","",J898))),ISNUMBER(SEARCH("Commercial",IF(J898="NOT AVAILABLE","",J898)))),25,IF(ISNUMBER(SEARCH("Informational",IF(J898="NOT AVAILABLE","",J898))),10,IF(ISNUMBER(SEARCH("Navigational",IF(J898="NOT AVAILABLE","",J898))),0,12))))</f>
        <v/>
      </c>
      <c r="Q898">
        <f>IF(ISNUMBER(F898),MIN(30,ROUND(30*LOG10(F898+1)/4,1)),0)</f>
        <v/>
      </c>
      <c r="R898">
        <f>IF(ISNUMBER(G898),ROUND(25*(100-G898)/100,1),12.5)</f>
        <v/>
      </c>
      <c r="S898" t="n">
        <v>10</v>
      </c>
      <c r="T898">
        <f>ROUND(P898+Q898+R898+S898,0)</f>
        <v/>
      </c>
      <c r="U898" s="5" t="inlineStr"/>
      <c r="V898" s="5" t="inlineStr"/>
    </row>
    <row r="899">
      <c r="A899" t="inlineStr">
        <is>
          <t>K0897</t>
        </is>
      </c>
      <c r="B899" t="inlineStr">
        <is>
          <t>développement application web</t>
        </is>
      </c>
      <c r="C899" t="inlineStr">
        <is>
          <t>Canada</t>
        </is>
      </c>
      <c r="D899" t="inlineStr">
        <is>
          <t>ca</t>
        </is>
      </c>
      <c r="E899" t="inlineStr">
        <is>
          <t>fr</t>
        </is>
      </c>
      <c r="F899" t="n">
        <v>140</v>
      </c>
      <c r="G899" t="n">
        <v>6</v>
      </c>
      <c r="H899" t="n">
        <v>3.39</v>
      </c>
      <c r="I899" t="n">
        <v>0.42</v>
      </c>
      <c r="J899" t="inlineStr">
        <is>
          <t>Informational</t>
        </is>
      </c>
      <c r="K899" t="inlineStr">
        <is>
          <t>NOT AVAILABLE (report not requested)</t>
        </is>
      </c>
      <c r="L899" t="inlineStr">
        <is>
          <t>declining (calc.)</t>
        </is>
      </c>
      <c r="M899" t="inlineStr">
        <is>
          <t>MEASURED</t>
        </is>
      </c>
      <c r="N899" s="5" t="inlineStr">
        <is>
          <t>Semrush phrase_these (live, this session)</t>
        </is>
      </c>
      <c r="O899" t="inlineStr">
        <is>
          <t>2026-10-30</t>
        </is>
      </c>
      <c r="P899">
        <f>IF(IF(J899="NOT AVAILABLE","",J899)="",12,IF(OR(ISNUMBER(SEARCH("Transactional",IF(J899="NOT AVAILABLE","",J899))),ISNUMBER(SEARCH("Commercial",IF(J899="NOT AVAILABLE","",J899)))),25,IF(ISNUMBER(SEARCH("Informational",IF(J899="NOT AVAILABLE","",J899))),10,IF(ISNUMBER(SEARCH("Navigational",IF(J899="NOT AVAILABLE","",J899))),0,12))))</f>
        <v/>
      </c>
      <c r="Q899">
        <f>IF(ISNUMBER(F899),MIN(30,ROUND(30*LOG10(F899+1)/4,1)),0)</f>
        <v/>
      </c>
      <c r="R899">
        <f>IF(ISNUMBER(G899),ROUND(25*(100-G899)/100,1),12.5)</f>
        <v/>
      </c>
      <c r="S899" t="n">
        <v>10</v>
      </c>
      <c r="T899">
        <f>ROUND(P899+Q899+R899+S899,0)</f>
        <v/>
      </c>
      <c r="U899" s="5" t="inlineStr"/>
      <c r="V899" s="5" t="inlineStr"/>
    </row>
    <row r="900">
      <c r="A900" t="inlineStr">
        <is>
          <t>K0898</t>
        </is>
      </c>
      <c r="B900" t="inlineStr">
        <is>
          <t>création site vitrine</t>
        </is>
      </c>
      <c r="C900" t="inlineStr">
        <is>
          <t>Canada</t>
        </is>
      </c>
      <c r="D900" t="inlineStr">
        <is>
          <t>ca</t>
        </is>
      </c>
      <c r="E900" t="inlineStr">
        <is>
          <t>fr</t>
        </is>
      </c>
      <c r="F900" t="n">
        <v>110</v>
      </c>
      <c r="G900" t="n">
        <v>25</v>
      </c>
      <c r="H900" t="n">
        <v>0</v>
      </c>
      <c r="I900" t="n">
        <v>0.12</v>
      </c>
      <c r="J900" t="inlineStr">
        <is>
          <t>Informational</t>
        </is>
      </c>
      <c r="K900" t="inlineStr">
        <is>
          <t>NOT AVAILABLE (report not requested)</t>
        </is>
      </c>
      <c r="L900" t="inlineStr">
        <is>
          <t>declining (calc.)</t>
        </is>
      </c>
      <c r="M900" t="inlineStr">
        <is>
          <t>MEASURED</t>
        </is>
      </c>
      <c r="N900" s="5" t="inlineStr">
        <is>
          <t>Semrush phrase_these (live, this session)</t>
        </is>
      </c>
      <c r="O900" t="inlineStr">
        <is>
          <t>2026-10-30</t>
        </is>
      </c>
      <c r="P900">
        <f>IF(IF(J900="NOT AVAILABLE","",J900)="",12,IF(OR(ISNUMBER(SEARCH("Transactional",IF(J900="NOT AVAILABLE","",J900))),ISNUMBER(SEARCH("Commercial",IF(J900="NOT AVAILABLE","",J900)))),25,IF(ISNUMBER(SEARCH("Informational",IF(J900="NOT AVAILABLE","",J900))),10,IF(ISNUMBER(SEARCH("Navigational",IF(J900="NOT AVAILABLE","",J900))),0,12))))</f>
        <v/>
      </c>
      <c r="Q900">
        <f>IF(ISNUMBER(F900),MIN(30,ROUND(30*LOG10(F900+1)/4,1)),0)</f>
        <v/>
      </c>
      <c r="R900">
        <f>IF(ISNUMBER(G900),ROUND(25*(100-G900)/100,1),12.5)</f>
        <v/>
      </c>
      <c r="S900" t="n">
        <v>10</v>
      </c>
      <c r="T900">
        <f>ROUND(P900+Q900+R900+S900,0)</f>
        <v/>
      </c>
      <c r="U900" s="5" t="inlineStr"/>
      <c r="V900" s="5" t="inlineStr"/>
    </row>
    <row r="901">
      <c r="A901" t="inlineStr">
        <is>
          <t>K0899</t>
        </is>
      </c>
      <c r="B901" t="inlineStr">
        <is>
          <t>création application web</t>
        </is>
      </c>
      <c r="C901" t="inlineStr">
        <is>
          <t>Canada</t>
        </is>
      </c>
      <c r="D901" t="inlineStr">
        <is>
          <t>ca</t>
        </is>
      </c>
      <c r="E901" t="inlineStr">
        <is>
          <t>fr</t>
        </is>
      </c>
      <c r="F901" t="n">
        <v>90</v>
      </c>
      <c r="G901" t="n">
        <v>11</v>
      </c>
      <c r="H901" t="n">
        <v>0</v>
      </c>
      <c r="I901" t="n">
        <v>0.33</v>
      </c>
      <c r="J901" t="inlineStr">
        <is>
          <t>Informational</t>
        </is>
      </c>
      <c r="K901" t="inlineStr">
        <is>
          <t>NOT AVAILABLE (report not requested)</t>
        </is>
      </c>
      <c r="L901" t="inlineStr">
        <is>
          <t>rising (calc.)</t>
        </is>
      </c>
      <c r="M901" t="inlineStr">
        <is>
          <t>MEASURED</t>
        </is>
      </c>
      <c r="N901" s="5" t="inlineStr">
        <is>
          <t>Semrush phrase_these (live, this session)</t>
        </is>
      </c>
      <c r="O901" t="inlineStr">
        <is>
          <t>2026-10-30</t>
        </is>
      </c>
      <c r="P901">
        <f>IF(IF(J901="NOT AVAILABLE","",J901)="",12,IF(OR(ISNUMBER(SEARCH("Transactional",IF(J901="NOT AVAILABLE","",J901))),ISNUMBER(SEARCH("Commercial",IF(J901="NOT AVAILABLE","",J901)))),25,IF(ISNUMBER(SEARCH("Informational",IF(J901="NOT AVAILABLE","",J901))),10,IF(ISNUMBER(SEARCH("Navigational",IF(J901="NOT AVAILABLE","",J901))),0,12))))</f>
        <v/>
      </c>
      <c r="Q901">
        <f>IF(ISNUMBER(F901),MIN(30,ROUND(30*LOG10(F901+1)/4,1)),0)</f>
        <v/>
      </c>
      <c r="R901">
        <f>IF(ISNUMBER(G901),ROUND(25*(100-G901)/100,1),12.5)</f>
        <v/>
      </c>
      <c r="S901" t="n">
        <v>10</v>
      </c>
      <c r="T901">
        <f>ROUND(P901+Q901+R901+S901,0)</f>
        <v/>
      </c>
      <c r="U901" s="5" t="inlineStr"/>
      <c r="V901" s="5" t="inlineStr"/>
    </row>
    <row r="902">
      <c r="A902" t="inlineStr">
        <is>
          <t>K0900</t>
        </is>
      </c>
      <c r="B902" t="inlineStr">
        <is>
          <t>agence web toronto</t>
        </is>
      </c>
      <c r="C902" t="inlineStr">
        <is>
          <t>Canada</t>
        </is>
      </c>
      <c r="D902" t="inlineStr">
        <is>
          <t>ca</t>
        </is>
      </c>
      <c r="E902" t="inlineStr">
        <is>
          <t>fr</t>
        </is>
      </c>
      <c r="F902" t="n">
        <v>50</v>
      </c>
      <c r="G902" t="n">
        <v>27</v>
      </c>
      <c r="H902" t="n">
        <v>1.89</v>
      </c>
      <c r="I902" t="n">
        <v>0.51</v>
      </c>
      <c r="J902" t="inlineStr">
        <is>
          <t>Commercial</t>
        </is>
      </c>
      <c r="K902" t="inlineStr">
        <is>
          <t>NOT AVAILABLE (report not requested)</t>
        </is>
      </c>
      <c r="L902" t="inlineStr">
        <is>
          <t>stable (calc.)</t>
        </is>
      </c>
      <c r="M902" t="inlineStr">
        <is>
          <t>MEASURED</t>
        </is>
      </c>
      <c r="N902" s="5" t="inlineStr">
        <is>
          <t>Semrush phrase_these (live, this session)</t>
        </is>
      </c>
      <c r="O902" t="inlineStr">
        <is>
          <t>2026-10-30</t>
        </is>
      </c>
      <c r="P902">
        <f>IF(IF(J902="NOT AVAILABLE","",J902)="",12,IF(OR(ISNUMBER(SEARCH("Transactional",IF(J902="NOT AVAILABLE","",J902))),ISNUMBER(SEARCH("Commercial",IF(J902="NOT AVAILABLE","",J902)))),25,IF(ISNUMBER(SEARCH("Informational",IF(J902="NOT AVAILABLE","",J902))),10,IF(ISNUMBER(SEARCH("Navigational",IF(J902="NOT AVAILABLE","",J902))),0,12))))</f>
        <v/>
      </c>
      <c r="Q902">
        <f>IF(ISNUMBER(F902),MIN(30,ROUND(30*LOG10(F902+1)/4,1)),0)</f>
        <v/>
      </c>
      <c r="R902">
        <f>IF(ISNUMBER(G902),ROUND(25*(100-G902)/100,1),12.5)</f>
        <v/>
      </c>
      <c r="S902" t="n">
        <v>10</v>
      </c>
      <c r="T902">
        <f>ROUND(P902+Q902+R902+S902,0)</f>
        <v/>
      </c>
      <c r="U902" s="5" t="inlineStr"/>
      <c r="V902" s="5" t="inlineStr"/>
    </row>
    <row r="903">
      <c r="A903" t="inlineStr">
        <is>
          <t>K0901</t>
        </is>
      </c>
      <c r="B903" t="inlineStr">
        <is>
          <t>création site web toronto</t>
        </is>
      </c>
      <c r="C903" t="inlineStr">
        <is>
          <t>Canada</t>
        </is>
      </c>
      <c r="D903" t="inlineStr">
        <is>
          <t>ca</t>
        </is>
      </c>
      <c r="E903" t="inlineStr">
        <is>
          <t>fr</t>
        </is>
      </c>
      <c r="F903" t="n">
        <v>30</v>
      </c>
      <c r="G903" t="inlineStr">
        <is>
          <t>NOT AVAILABLE</t>
        </is>
      </c>
      <c r="H903" t="n">
        <v>0</v>
      </c>
      <c r="I903" t="n">
        <v>0</v>
      </c>
      <c r="J903" t="inlineStr">
        <is>
          <t>NOT AVAILABLE</t>
        </is>
      </c>
      <c r="K903" t="inlineStr">
        <is>
          <t>NOT AVAILABLE (report not requested)</t>
        </is>
      </c>
      <c r="L903" t="inlineStr">
        <is>
          <t>rising (calc.)</t>
        </is>
      </c>
      <c r="M903" t="inlineStr">
        <is>
          <t>MEASURED</t>
        </is>
      </c>
      <c r="N903" s="5" t="inlineStr">
        <is>
          <t>Semrush phrase_these (live, this session)</t>
        </is>
      </c>
      <c r="O903" t="inlineStr">
        <is>
          <t>2026-10-30</t>
        </is>
      </c>
      <c r="P903">
        <f>IF(IF(J903="NOT AVAILABLE","",J903)="",12,IF(OR(ISNUMBER(SEARCH("Transactional",IF(J903="NOT AVAILABLE","",J903))),ISNUMBER(SEARCH("Commercial",IF(J903="NOT AVAILABLE","",J903)))),25,IF(ISNUMBER(SEARCH("Informational",IF(J903="NOT AVAILABLE","",J903))),10,IF(ISNUMBER(SEARCH("Navigational",IF(J903="NOT AVAILABLE","",J903))),0,12))))</f>
        <v/>
      </c>
      <c r="Q903">
        <f>IF(ISNUMBER(F903),MIN(30,ROUND(30*LOG10(F903+1)/4,1)),0)</f>
        <v/>
      </c>
      <c r="R903">
        <f>IF(ISNUMBER(G903),ROUND(25*(100-G903)/100,1),12.5)</f>
        <v/>
      </c>
      <c r="S903" t="n">
        <v>10</v>
      </c>
      <c r="T903">
        <f>ROUND(P903+Q903+R903+S903,0)</f>
        <v/>
      </c>
      <c r="U903" s="5" t="inlineStr"/>
      <c r="V903" s="5" t="inlineStr"/>
    </row>
    <row r="904">
      <c r="A904" t="inlineStr">
        <is>
          <t>K0902</t>
        </is>
      </c>
      <c r="B904" t="inlineStr">
        <is>
          <t>site internet professionnel</t>
        </is>
      </c>
      <c r="C904" t="inlineStr">
        <is>
          <t>Canada</t>
        </is>
      </c>
      <c r="D904" t="inlineStr">
        <is>
          <t>ca</t>
        </is>
      </c>
      <c r="E904" t="inlineStr">
        <is>
          <t>fr</t>
        </is>
      </c>
      <c r="F904" t="n">
        <v>30</v>
      </c>
      <c r="G904" t="inlineStr">
        <is>
          <t>NOT AVAILABLE</t>
        </is>
      </c>
      <c r="H904" t="n">
        <v>0</v>
      </c>
      <c r="I904" t="n">
        <v>0.02</v>
      </c>
      <c r="J904" t="inlineStr">
        <is>
          <t>NOT AVAILABLE</t>
        </is>
      </c>
      <c r="K904" t="inlineStr">
        <is>
          <t>NOT AVAILABLE (report not requested)</t>
        </is>
      </c>
      <c r="L904" t="inlineStr">
        <is>
          <t>declining (calc.)</t>
        </is>
      </c>
      <c r="M904" t="inlineStr">
        <is>
          <t>MEASURED</t>
        </is>
      </c>
      <c r="N904" s="5" t="inlineStr">
        <is>
          <t>Semrush phrase_these (live, this session)</t>
        </is>
      </c>
      <c r="O904" t="inlineStr">
        <is>
          <t>2026-10-30</t>
        </is>
      </c>
      <c r="P904">
        <f>IF(IF(J904="NOT AVAILABLE","",J904)="",12,IF(OR(ISNUMBER(SEARCH("Transactional",IF(J904="NOT AVAILABLE","",J904))),ISNUMBER(SEARCH("Commercial",IF(J904="NOT AVAILABLE","",J904)))),25,IF(ISNUMBER(SEARCH("Informational",IF(J904="NOT AVAILABLE","",J904))),10,IF(ISNUMBER(SEARCH("Navigational",IF(J904="NOT AVAILABLE","",J904))),0,12))))</f>
        <v/>
      </c>
      <c r="Q904">
        <f>IF(ISNUMBER(F904),MIN(30,ROUND(30*LOG10(F904+1)/4,1)),0)</f>
        <v/>
      </c>
      <c r="R904">
        <f>IF(ISNUMBER(G904),ROUND(25*(100-G904)/100,1),12.5)</f>
        <v/>
      </c>
      <c r="S904" t="n">
        <v>10</v>
      </c>
      <c r="T904">
        <f>ROUND(P904+Q904+R904+S904,0)</f>
        <v/>
      </c>
      <c r="U904" s="5" t="inlineStr"/>
      <c r="V904" s="5" t="inlineStr"/>
    </row>
    <row r="905">
      <c r="A905" t="inlineStr">
        <is>
          <t>K0903</t>
        </is>
      </c>
      <c r="B905" t="inlineStr">
        <is>
          <t>développeur web freelance</t>
        </is>
      </c>
      <c r="C905" t="inlineStr">
        <is>
          <t>Canada</t>
        </is>
      </c>
      <c r="D905" t="inlineStr">
        <is>
          <t>ca</t>
        </is>
      </c>
      <c r="E905" t="inlineStr">
        <is>
          <t>fr</t>
        </is>
      </c>
      <c r="F905" t="n">
        <v>20</v>
      </c>
      <c r="G905" t="inlineStr">
        <is>
          <t>NOT AVAILABLE</t>
        </is>
      </c>
      <c r="H905" t="n">
        <v>2.84</v>
      </c>
      <c r="I905" t="n">
        <v>0.35</v>
      </c>
      <c r="J905" t="inlineStr">
        <is>
          <t>NOT AVAILABLE</t>
        </is>
      </c>
      <c r="K905" t="inlineStr">
        <is>
          <t>NOT AVAILABLE (report not requested)</t>
        </is>
      </c>
      <c r="L905" t="inlineStr">
        <is>
          <t>stable (calc.)</t>
        </is>
      </c>
      <c r="M905" t="inlineStr">
        <is>
          <t>MEASURED</t>
        </is>
      </c>
      <c r="N905" s="5" t="inlineStr">
        <is>
          <t>Semrush phrase_these (live, this session)</t>
        </is>
      </c>
      <c r="O905" t="inlineStr">
        <is>
          <t>2026-10-30</t>
        </is>
      </c>
      <c r="P905">
        <f>IF(IF(J905="NOT AVAILABLE","",J905)="",12,IF(OR(ISNUMBER(SEARCH("Transactional",IF(J905="NOT AVAILABLE","",J905))),ISNUMBER(SEARCH("Commercial",IF(J905="NOT AVAILABLE","",J905)))),25,IF(ISNUMBER(SEARCH("Informational",IF(J905="NOT AVAILABLE","",J905))),10,IF(ISNUMBER(SEARCH("Navigational",IF(J905="NOT AVAILABLE","",J905))),0,12))))</f>
        <v/>
      </c>
      <c r="Q905">
        <f>IF(ISNUMBER(F905),MIN(30,ROUND(30*LOG10(F905+1)/4,1)),0)</f>
        <v/>
      </c>
      <c r="R905">
        <f>IF(ISNUMBER(G905),ROUND(25*(100-G905)/100,1),12.5)</f>
        <v/>
      </c>
      <c r="S905" t="n">
        <v>10</v>
      </c>
      <c r="T905">
        <f>ROUND(P905+Q905+R905+S905,0)</f>
        <v/>
      </c>
      <c r="U905" s="5" t="inlineStr"/>
      <c r="V905" s="5" t="inlineStr"/>
    </row>
    <row r="906">
      <c r="A906" t="inlineStr">
        <is>
          <t>K0904</t>
        </is>
      </c>
      <c r="B906" t="inlineStr">
        <is>
          <t>prix création site internet</t>
        </is>
      </c>
      <c r="C906" t="inlineStr">
        <is>
          <t>Canada</t>
        </is>
      </c>
      <c r="D906" t="inlineStr">
        <is>
          <t>ca</t>
        </is>
      </c>
      <c r="E906" t="inlineStr">
        <is>
          <t>fr</t>
        </is>
      </c>
      <c r="F906" t="n">
        <v>20</v>
      </c>
      <c r="G906" t="inlineStr">
        <is>
          <t>NOT AVAILABLE</t>
        </is>
      </c>
      <c r="H906" t="n">
        <v>0</v>
      </c>
      <c r="I906" t="n">
        <v>0.57</v>
      </c>
      <c r="J906" t="inlineStr">
        <is>
          <t>NOT AVAILABLE</t>
        </is>
      </c>
      <c r="K906" t="inlineStr">
        <is>
          <t>NOT AVAILABLE (report not requested)</t>
        </is>
      </c>
      <c r="L906" t="inlineStr">
        <is>
          <t>stable (calc.)</t>
        </is>
      </c>
      <c r="M906" t="inlineStr">
        <is>
          <t>MEASURED</t>
        </is>
      </c>
      <c r="N906" s="5" t="inlineStr">
        <is>
          <t>Semrush phrase_these (live, this session)</t>
        </is>
      </c>
      <c r="O906" t="inlineStr">
        <is>
          <t>2026-10-30</t>
        </is>
      </c>
      <c r="P906">
        <f>IF(IF(J906="NOT AVAILABLE","",J906)="",12,IF(OR(ISNUMBER(SEARCH("Transactional",IF(J906="NOT AVAILABLE","",J906))),ISNUMBER(SEARCH("Commercial",IF(J906="NOT AVAILABLE","",J906)))),25,IF(ISNUMBER(SEARCH("Informational",IF(J906="NOT AVAILABLE","",J906))),10,IF(ISNUMBER(SEARCH("Navigational",IF(J906="NOT AVAILABLE","",J906))),0,12))))</f>
        <v/>
      </c>
      <c r="Q906">
        <f>IF(ISNUMBER(F906),MIN(30,ROUND(30*LOG10(F906+1)/4,1)),0)</f>
        <v/>
      </c>
      <c r="R906">
        <f>IF(ISNUMBER(G906),ROUND(25*(100-G906)/100,1),12.5)</f>
        <v/>
      </c>
      <c r="S906" t="n">
        <v>10</v>
      </c>
      <c r="T906">
        <f>ROUND(P906+Q906+R906+S906,0)</f>
        <v/>
      </c>
      <c r="U906" s="5" t="inlineStr"/>
      <c r="V906" s="5" t="inlineStr"/>
    </row>
    <row r="907">
      <c r="A907" t="inlineStr">
        <is>
          <t>K0905</t>
        </is>
      </c>
      <c r="B907" t="inlineStr">
        <is>
          <t>agence web maroc</t>
        </is>
      </c>
      <c r="C907" t="inlineStr">
        <is>
          <t>Canada</t>
        </is>
      </c>
      <c r="D907" t="inlineStr">
        <is>
          <t>ca</t>
        </is>
      </c>
      <c r="E907" t="inlineStr">
        <is>
          <t>fr</t>
        </is>
      </c>
      <c r="F907" t="n">
        <v>10</v>
      </c>
      <c r="G907" t="inlineStr">
        <is>
          <t>NOT AVAILABLE</t>
        </is>
      </c>
      <c r="H907" t="n">
        <v>0</v>
      </c>
      <c r="I907" t="n">
        <v>0.38</v>
      </c>
      <c r="J907" t="inlineStr">
        <is>
          <t>NOT AVAILABLE</t>
        </is>
      </c>
      <c r="K907" t="inlineStr">
        <is>
          <t>NOT AVAILABLE (report not requested)</t>
        </is>
      </c>
      <c r="L907" t="inlineStr">
        <is>
          <t>rising (calc.)</t>
        </is>
      </c>
      <c r="M907" t="inlineStr">
        <is>
          <t>MEASURED</t>
        </is>
      </c>
      <c r="N907" s="5" t="inlineStr">
        <is>
          <t>Semrush phrase_these (live, this session)</t>
        </is>
      </c>
      <c r="O907" t="inlineStr">
        <is>
          <t>2026-10-30</t>
        </is>
      </c>
      <c r="P907">
        <f>IF(IF(J907="NOT AVAILABLE","",J907)="",12,IF(OR(ISNUMBER(SEARCH("Transactional",IF(J907="NOT AVAILABLE","",J907))),ISNUMBER(SEARCH("Commercial",IF(J907="NOT AVAILABLE","",J907)))),25,IF(ISNUMBER(SEARCH("Informational",IF(J907="NOT AVAILABLE","",J907))),10,IF(ISNUMBER(SEARCH("Navigational",IF(J907="NOT AVAILABLE","",J907))),0,12))))</f>
        <v/>
      </c>
      <c r="Q907">
        <f>IF(ISNUMBER(F907),MIN(30,ROUND(30*LOG10(F907+1)/4,1)),0)</f>
        <v/>
      </c>
      <c r="R907">
        <f>IF(ISNUMBER(G907),ROUND(25*(100-G907)/100,1),12.5)</f>
        <v/>
      </c>
      <c r="S907" t="n">
        <v>10</v>
      </c>
      <c r="T907">
        <f>ROUND(P907+Q907+R907+S907,0)</f>
        <v/>
      </c>
      <c r="U907" s="5" t="inlineStr"/>
      <c r="V907" s="5" t="inlineStr"/>
    </row>
    <row r="908">
      <c r="A908" t="inlineStr">
        <is>
          <t>K0906</t>
        </is>
      </c>
      <c r="B908" t="inlineStr">
        <is>
          <t>agence web offshore</t>
        </is>
      </c>
      <c r="C908" t="inlineStr">
        <is>
          <t>Canada</t>
        </is>
      </c>
      <c r="D908" t="inlineStr">
        <is>
          <t>ca</t>
        </is>
      </c>
      <c r="E908" t="inlineStr">
        <is>
          <t>fr</t>
        </is>
      </c>
      <c r="F908" t="n">
        <v>10</v>
      </c>
      <c r="G908" t="inlineStr">
        <is>
          <t>NOT AVAILABLE</t>
        </is>
      </c>
      <c r="H908" t="n">
        <v>0</v>
      </c>
      <c r="I908" t="n">
        <v>0</v>
      </c>
      <c r="J908" t="inlineStr">
        <is>
          <t>NOT AVAILABLE</t>
        </is>
      </c>
      <c r="K908" t="inlineStr">
        <is>
          <t>NOT AVAILABLE (report not requested)</t>
        </is>
      </c>
      <c r="L908" t="inlineStr">
        <is>
          <t>declining (calc.)</t>
        </is>
      </c>
      <c r="M908" t="inlineStr">
        <is>
          <t>MEASURED</t>
        </is>
      </c>
      <c r="N908" s="5" t="inlineStr">
        <is>
          <t>Semrush phrase_these (live, this session)</t>
        </is>
      </c>
      <c r="O908" t="inlineStr">
        <is>
          <t>2026-10-30</t>
        </is>
      </c>
      <c r="P908">
        <f>IF(IF(J908="NOT AVAILABLE","",J908)="",12,IF(OR(ISNUMBER(SEARCH("Transactional",IF(J908="NOT AVAILABLE","",J908))),ISNUMBER(SEARCH("Commercial",IF(J908="NOT AVAILABLE","",J908)))),25,IF(ISNUMBER(SEARCH("Informational",IF(J908="NOT AVAILABLE","",J908))),10,IF(ISNUMBER(SEARCH("Navigational",IF(J908="NOT AVAILABLE","",J908))),0,12))))</f>
        <v/>
      </c>
      <c r="Q908">
        <f>IF(ISNUMBER(F908),MIN(30,ROUND(30*LOG10(F908+1)/4,1)),0)</f>
        <v/>
      </c>
      <c r="R908">
        <f>IF(ISNUMBER(G908),ROUND(25*(100-G908)/100,1),12.5)</f>
        <v/>
      </c>
      <c r="S908" t="n">
        <v>10</v>
      </c>
      <c r="T908">
        <f>ROUND(P908+Q908+R908+S908,0)</f>
        <v/>
      </c>
      <c r="U908" s="5" t="inlineStr"/>
      <c r="V908" s="5" t="inlineStr"/>
    </row>
    <row r="909">
      <c r="A909" t="inlineStr">
        <is>
          <t>K0907</t>
        </is>
      </c>
      <c r="B909" t="inlineStr">
        <is>
          <t>agence web pas cher</t>
        </is>
      </c>
      <c r="C909" t="inlineStr">
        <is>
          <t>Canada</t>
        </is>
      </c>
      <c r="D909" t="inlineStr">
        <is>
          <t>ca</t>
        </is>
      </c>
      <c r="E909" t="inlineStr">
        <is>
          <t>fr</t>
        </is>
      </c>
      <c r="F909" t="n">
        <v>10</v>
      </c>
      <c r="G909" t="inlineStr">
        <is>
          <t>NOT AVAILABLE</t>
        </is>
      </c>
      <c r="H909" t="n">
        <v>0</v>
      </c>
      <c r="I909" t="n">
        <v>0</v>
      </c>
      <c r="J909" t="inlineStr">
        <is>
          <t>NOT AVAILABLE</t>
        </is>
      </c>
      <c r="K909" t="inlineStr">
        <is>
          <t>NOT AVAILABLE (report not requested)</t>
        </is>
      </c>
      <c r="L909" t="inlineStr">
        <is>
          <t>rising (calc.)</t>
        </is>
      </c>
      <c r="M909" t="inlineStr">
        <is>
          <t>MEASURED</t>
        </is>
      </c>
      <c r="N909" s="5" t="inlineStr">
        <is>
          <t>Semrush phrase_these (live, this session)</t>
        </is>
      </c>
      <c r="O909" t="inlineStr">
        <is>
          <t>2026-10-30</t>
        </is>
      </c>
      <c r="P909">
        <f>IF(IF(J909="NOT AVAILABLE","",J909)="",12,IF(OR(ISNUMBER(SEARCH("Transactional",IF(J909="NOT AVAILABLE","",J909))),ISNUMBER(SEARCH("Commercial",IF(J909="NOT AVAILABLE","",J909)))),25,IF(ISNUMBER(SEARCH("Informational",IF(J909="NOT AVAILABLE","",J909))),10,IF(ISNUMBER(SEARCH("Navigational",IF(J909="NOT AVAILABLE","",J909))),0,12))))</f>
        <v/>
      </c>
      <c r="Q909">
        <f>IF(ISNUMBER(F909),MIN(30,ROUND(30*LOG10(F909+1)/4,1)),0)</f>
        <v/>
      </c>
      <c r="R909">
        <f>IF(ISNUMBER(G909),ROUND(25*(100-G909)/100,1),12.5)</f>
        <v/>
      </c>
      <c r="S909" t="n">
        <v>10</v>
      </c>
      <c r="T909">
        <f>ROUND(P909+Q909+R909+S909,0)</f>
        <v/>
      </c>
      <c r="U909" s="5" t="inlineStr"/>
      <c r="V909" s="5" t="inlineStr"/>
    </row>
    <row r="910">
      <c r="A910" t="inlineStr">
        <is>
          <t>K0908</t>
        </is>
      </c>
      <c r="B910" t="inlineStr">
        <is>
          <t>création site web vancouver</t>
        </is>
      </c>
      <c r="C910" t="inlineStr">
        <is>
          <t>Canada</t>
        </is>
      </c>
      <c r="D910" t="inlineStr">
        <is>
          <t>ca</t>
        </is>
      </c>
      <c r="E910" t="inlineStr">
        <is>
          <t>fr</t>
        </is>
      </c>
      <c r="F910" t="n">
        <v>10</v>
      </c>
      <c r="G910" t="inlineStr">
        <is>
          <t>NOT AVAILABLE</t>
        </is>
      </c>
      <c r="H910" t="n">
        <v>0</v>
      </c>
      <c r="I910" t="n">
        <v>0</v>
      </c>
      <c r="J910" t="inlineStr">
        <is>
          <t>NOT AVAILABLE</t>
        </is>
      </c>
      <c r="K910" t="inlineStr">
        <is>
          <t>NOT AVAILABLE (report not requested)</t>
        </is>
      </c>
      <c r="L910" t="inlineStr">
        <is>
          <t>stable (calc.)</t>
        </is>
      </c>
      <c r="M910" t="inlineStr">
        <is>
          <t>MEASURED</t>
        </is>
      </c>
      <c r="N910" s="5" t="inlineStr">
        <is>
          <t>Semrush phrase_these (live, this session)</t>
        </is>
      </c>
      <c r="O910" t="inlineStr">
        <is>
          <t>2026-10-30</t>
        </is>
      </c>
      <c r="P910">
        <f>IF(IF(J910="NOT AVAILABLE","",J910)="",12,IF(OR(ISNUMBER(SEARCH("Transactional",IF(J910="NOT AVAILABLE","",J910))),ISNUMBER(SEARCH("Commercial",IF(J910="NOT AVAILABLE","",J910)))),25,IF(ISNUMBER(SEARCH("Informational",IF(J910="NOT AVAILABLE","",J910))),10,IF(ISNUMBER(SEARCH("Navigational",IF(J910="NOT AVAILABLE","",J910))),0,12))))</f>
        <v/>
      </c>
      <c r="Q910">
        <f>IF(ISNUMBER(F910),MIN(30,ROUND(30*LOG10(F910+1)/4,1)),0)</f>
        <v/>
      </c>
      <c r="R910">
        <f>IF(ISNUMBER(G910),ROUND(25*(100-G910)/100,1),12.5)</f>
        <v/>
      </c>
      <c r="S910" t="n">
        <v>10</v>
      </c>
      <c r="T910">
        <f>ROUND(P910+Q910+R910+S910,0)</f>
        <v/>
      </c>
      <c r="U910" s="5" t="inlineStr"/>
      <c r="V910" s="5" t="inlineStr"/>
    </row>
    <row r="911">
      <c r="A911" t="inlineStr">
        <is>
          <t>K0909</t>
        </is>
      </c>
      <c r="B911" t="inlineStr">
        <is>
          <t>développement web offshore</t>
        </is>
      </c>
      <c r="C911" t="inlineStr">
        <is>
          <t>Canada</t>
        </is>
      </c>
      <c r="D911" t="inlineStr">
        <is>
          <t>ca</t>
        </is>
      </c>
      <c r="E911" t="inlineStr">
        <is>
          <t>fr</t>
        </is>
      </c>
      <c r="F911" t="n">
        <v>10</v>
      </c>
      <c r="G911" t="inlineStr">
        <is>
          <t>NOT AVAILABLE</t>
        </is>
      </c>
      <c r="H911" t="n">
        <v>0</v>
      </c>
      <c r="I911" t="n">
        <v>0</v>
      </c>
      <c r="J911" t="inlineStr">
        <is>
          <t>NOT AVAILABLE</t>
        </is>
      </c>
      <c r="K911" t="inlineStr">
        <is>
          <t>NOT AVAILABLE (report not requested)</t>
        </is>
      </c>
      <c r="L911" t="inlineStr">
        <is>
          <t>stable (calc.)</t>
        </is>
      </c>
      <c r="M911" t="inlineStr">
        <is>
          <t>MEASURED</t>
        </is>
      </c>
      <c r="N911" s="5" t="inlineStr">
        <is>
          <t>Semrush phrase_these (live, this session)</t>
        </is>
      </c>
      <c r="O911" t="inlineStr">
        <is>
          <t>2026-10-30</t>
        </is>
      </c>
      <c r="P911">
        <f>IF(IF(J911="NOT AVAILABLE","",J911)="",12,IF(OR(ISNUMBER(SEARCH("Transactional",IF(J911="NOT AVAILABLE","",J911))),ISNUMBER(SEARCH("Commercial",IF(J911="NOT AVAILABLE","",J911)))),25,IF(ISNUMBER(SEARCH("Informational",IF(J911="NOT AVAILABLE","",J911))),10,IF(ISNUMBER(SEARCH("Navigational",IF(J911="NOT AVAILABLE","",J911))),0,12))))</f>
        <v/>
      </c>
      <c r="Q911">
        <f>IF(ISNUMBER(F911),MIN(30,ROUND(30*LOG10(F911+1)/4,1)),0)</f>
        <v/>
      </c>
      <c r="R911">
        <f>IF(ISNUMBER(G911),ROUND(25*(100-G911)/100,1),12.5)</f>
        <v/>
      </c>
      <c r="S911" t="n">
        <v>10</v>
      </c>
      <c r="T911">
        <f>ROUND(P911+Q911+R911+S911,0)</f>
        <v/>
      </c>
      <c r="U911" s="5" t="inlineStr"/>
      <c r="V911" s="5" t="inlineStr"/>
    </row>
    <row r="912">
      <c r="A912" t="inlineStr">
        <is>
          <t>K0910</t>
        </is>
      </c>
      <c r="B912" t="inlineStr">
        <is>
          <t>agence web nearshore</t>
        </is>
      </c>
      <c r="C912" t="inlineStr">
        <is>
          <t>Canada</t>
        </is>
      </c>
      <c r="D912" t="inlineStr">
        <is>
          <t>ca</t>
        </is>
      </c>
      <c r="E912" t="inlineStr">
        <is>
          <t>fr</t>
        </is>
      </c>
      <c r="F912" t="inlineStr">
        <is>
          <t>NOT AVAILABLE</t>
        </is>
      </c>
      <c r="G912" t="inlineStr">
        <is>
          <t>NOT AVAILABLE</t>
        </is>
      </c>
      <c r="H912" t="inlineStr">
        <is>
          <t>NOT AVAILABLE</t>
        </is>
      </c>
      <c r="I912" t="inlineStr">
        <is>
          <t>NOT AVAILABLE</t>
        </is>
      </c>
      <c r="J912" t="inlineStr">
        <is>
          <t>NOT AVAILABLE</t>
        </is>
      </c>
      <c r="K912" t="inlineStr">
        <is>
          <t>NOT AVAILABLE</t>
        </is>
      </c>
      <c r="L912" t="inlineStr">
        <is>
          <t>NOT AVAILABLE</t>
        </is>
      </c>
      <c r="M912" t="inlineStr">
        <is>
          <t>UNAVAILABLE</t>
        </is>
      </c>
      <c r="N912" s="5" t="inlineStr">
        <is>
          <t>Semrush phrase_these returned no data (not billed)</t>
        </is>
      </c>
      <c r="O912" t="inlineStr">
        <is>
          <t>2026-10-30</t>
        </is>
      </c>
      <c r="P912">
        <f>IF(IF(J912="NOT AVAILABLE","",J912)="",12,IF(OR(ISNUMBER(SEARCH("Transactional",IF(J912="NOT AVAILABLE","",J912))),ISNUMBER(SEARCH("Commercial",IF(J912="NOT AVAILABLE","",J912)))),25,IF(ISNUMBER(SEARCH("Informational",IF(J912="NOT AVAILABLE","",J912))),10,IF(ISNUMBER(SEARCH("Navigational",IF(J912="NOT AVAILABLE","",J912))),0,12))))</f>
        <v/>
      </c>
      <c r="Q912">
        <f>IF(ISNUMBER(F912),MIN(30,ROUND(30*LOG10(F912+1)/4,1)),0)</f>
        <v/>
      </c>
      <c r="R912">
        <f>IF(ISNUMBER(G912),ROUND(25*(100-G912)/100,1),12.5)</f>
        <v/>
      </c>
      <c r="S912" t="n">
        <v>10</v>
      </c>
      <c r="T912">
        <f>ROUND(P912+Q912+R912+S912,0)</f>
        <v/>
      </c>
      <c r="U912" s="5" t="inlineStr"/>
      <c r="V912" s="5" t="inlineStr"/>
    </row>
    <row r="913">
      <c r="A913" t="inlineStr">
        <is>
          <t>K0911</t>
        </is>
      </c>
      <c r="B913" t="inlineStr">
        <is>
          <t>agence web vancouver</t>
        </is>
      </c>
      <c r="C913" t="inlineStr">
        <is>
          <t>Canada</t>
        </is>
      </c>
      <c r="D913" t="inlineStr">
        <is>
          <t>ca</t>
        </is>
      </c>
      <c r="E913" t="inlineStr">
        <is>
          <t>fr</t>
        </is>
      </c>
      <c r="F913" t="inlineStr">
        <is>
          <t>NOT AVAILABLE</t>
        </is>
      </c>
      <c r="G913" t="inlineStr">
        <is>
          <t>NOT AVAILABLE</t>
        </is>
      </c>
      <c r="H913" t="inlineStr">
        <is>
          <t>NOT AVAILABLE</t>
        </is>
      </c>
      <c r="I913" t="inlineStr">
        <is>
          <t>NOT AVAILABLE</t>
        </is>
      </c>
      <c r="J913" t="inlineStr">
        <is>
          <t>NOT AVAILABLE</t>
        </is>
      </c>
      <c r="K913" t="inlineStr">
        <is>
          <t>NOT AVAILABLE</t>
        </is>
      </c>
      <c r="L913" t="inlineStr">
        <is>
          <t>NOT AVAILABLE</t>
        </is>
      </c>
      <c r="M913" t="inlineStr">
        <is>
          <t>UNAVAILABLE</t>
        </is>
      </c>
      <c r="N913" s="5" t="inlineStr">
        <is>
          <t>Semrush phrase_these returned no data (not billed)</t>
        </is>
      </c>
      <c r="O913" t="inlineStr">
        <is>
          <t>2026-10-30</t>
        </is>
      </c>
      <c r="P913">
        <f>IF(IF(J913="NOT AVAILABLE","",J913)="",12,IF(OR(ISNUMBER(SEARCH("Transactional",IF(J913="NOT AVAILABLE","",J913))),ISNUMBER(SEARCH("Commercial",IF(J913="NOT AVAILABLE","",J913)))),25,IF(ISNUMBER(SEARCH("Informational",IF(J913="NOT AVAILABLE","",J913))),10,IF(ISNUMBER(SEARCH("Navigational",IF(J913="NOT AVAILABLE","",J913))),0,12))))</f>
        <v/>
      </c>
      <c r="Q913">
        <f>IF(ISNUMBER(F913),MIN(30,ROUND(30*LOG10(F913+1)/4,1)),0)</f>
        <v/>
      </c>
      <c r="R913">
        <f>IF(ISNUMBER(G913),ROUND(25*(100-G913)/100,1),12.5)</f>
        <v/>
      </c>
      <c r="S913" t="n">
        <v>10</v>
      </c>
      <c r="T913">
        <f>ROUND(P913+Q913+R913+S913,0)</f>
        <v/>
      </c>
      <c r="U913" s="5" t="inlineStr"/>
      <c r="V913" s="5" t="inlineStr"/>
    </row>
    <row r="914">
      <c r="A914" t="inlineStr">
        <is>
          <t>K0912</t>
        </is>
      </c>
      <c r="B914" t="inlineStr">
        <is>
          <t>développement saas</t>
        </is>
      </c>
      <c r="C914" t="inlineStr">
        <is>
          <t>Canada</t>
        </is>
      </c>
      <c r="D914" t="inlineStr">
        <is>
          <t>ca</t>
        </is>
      </c>
      <c r="E914" t="inlineStr">
        <is>
          <t>fr</t>
        </is>
      </c>
      <c r="F914" t="n">
        <v>0</v>
      </c>
      <c r="G914" t="inlineStr">
        <is>
          <t>NOT AVAILABLE</t>
        </is>
      </c>
      <c r="H914" t="n">
        <v>0</v>
      </c>
      <c r="I914" t="n">
        <v>0.33</v>
      </c>
      <c r="J914" t="inlineStr">
        <is>
          <t>NOT AVAILABLE</t>
        </is>
      </c>
      <c r="K914" t="inlineStr">
        <is>
          <t>NOT AVAILABLE (report not requested)</t>
        </is>
      </c>
      <c r="L914" t="inlineStr">
        <is>
          <t>stable (calc.)</t>
        </is>
      </c>
      <c r="M914" t="inlineStr">
        <is>
          <t>MEASURED</t>
        </is>
      </c>
      <c r="N914" s="5" t="inlineStr">
        <is>
          <t>Semrush phrase_these (live, this session)</t>
        </is>
      </c>
      <c r="O914" t="inlineStr">
        <is>
          <t>2026-10-30</t>
        </is>
      </c>
      <c r="P914">
        <f>IF(IF(J914="NOT AVAILABLE","",J914)="",12,IF(OR(ISNUMBER(SEARCH("Transactional",IF(J914="NOT AVAILABLE","",J914))),ISNUMBER(SEARCH("Commercial",IF(J914="NOT AVAILABLE","",J914)))),25,IF(ISNUMBER(SEARCH("Informational",IF(J914="NOT AVAILABLE","",J914))),10,IF(ISNUMBER(SEARCH("Navigational",IF(J914="NOT AVAILABLE","",J914))),0,12))))</f>
        <v/>
      </c>
      <c r="Q914">
        <f>IF(ISNUMBER(F914),MIN(30,ROUND(30*LOG10(F914+1)/4,1)),0)</f>
        <v/>
      </c>
      <c r="R914">
        <f>IF(ISNUMBER(G914),ROUND(25*(100-G914)/100,1),12.5)</f>
        <v/>
      </c>
      <c r="S914" t="n">
        <v>10</v>
      </c>
      <c r="T914">
        <f>ROUND(P914+Q914+R914+S914,0)</f>
        <v/>
      </c>
      <c r="U914" s="5" t="inlineStr"/>
      <c r="V914" s="5" t="inlineStr"/>
    </row>
    <row r="915">
      <c r="A915" t="inlineStr">
        <is>
          <t>K0913</t>
        </is>
      </c>
      <c r="B915" t="inlineStr">
        <is>
          <t>développement web toronto</t>
        </is>
      </c>
      <c r="C915" t="inlineStr">
        <is>
          <t>Canada</t>
        </is>
      </c>
      <c r="D915" t="inlineStr">
        <is>
          <t>ca</t>
        </is>
      </c>
      <c r="E915" t="inlineStr">
        <is>
          <t>fr</t>
        </is>
      </c>
      <c r="F915" t="inlineStr">
        <is>
          <t>NOT AVAILABLE</t>
        </is>
      </c>
      <c r="G915" t="inlineStr">
        <is>
          <t>NOT AVAILABLE</t>
        </is>
      </c>
      <c r="H915" t="inlineStr">
        <is>
          <t>NOT AVAILABLE</t>
        </is>
      </c>
      <c r="I915" t="inlineStr">
        <is>
          <t>NOT AVAILABLE</t>
        </is>
      </c>
      <c r="J915" t="inlineStr">
        <is>
          <t>NOT AVAILABLE</t>
        </is>
      </c>
      <c r="K915" t="inlineStr">
        <is>
          <t>NOT AVAILABLE</t>
        </is>
      </c>
      <c r="L915" t="inlineStr">
        <is>
          <t>NOT AVAILABLE</t>
        </is>
      </c>
      <c r="M915" t="inlineStr">
        <is>
          <t>UNAVAILABLE</t>
        </is>
      </c>
      <c r="N915" s="5" t="inlineStr">
        <is>
          <t>Semrush phrase_these returned no data (not billed)</t>
        </is>
      </c>
      <c r="O915" t="inlineStr">
        <is>
          <t>2026-10-30</t>
        </is>
      </c>
      <c r="P915">
        <f>IF(IF(J915="NOT AVAILABLE","",J915)="",12,IF(OR(ISNUMBER(SEARCH("Transactional",IF(J915="NOT AVAILABLE","",J915))),ISNUMBER(SEARCH("Commercial",IF(J915="NOT AVAILABLE","",J915)))),25,IF(ISNUMBER(SEARCH("Informational",IF(J915="NOT AVAILABLE","",J915))),10,IF(ISNUMBER(SEARCH("Navigational",IF(J915="NOT AVAILABLE","",J915))),0,12))))</f>
        <v/>
      </c>
      <c r="Q915">
        <f>IF(ISNUMBER(F915),MIN(30,ROUND(30*LOG10(F915+1)/4,1)),0)</f>
        <v/>
      </c>
      <c r="R915">
        <f>IF(ISNUMBER(G915),ROUND(25*(100-G915)/100,1),12.5)</f>
        <v/>
      </c>
      <c r="S915" t="n">
        <v>10</v>
      </c>
      <c r="T915">
        <f>ROUND(P915+Q915+R915+S915,0)</f>
        <v/>
      </c>
      <c r="U915" s="5" t="inlineStr"/>
      <c r="V915" s="5" t="inlineStr">
        <is>
          <t>PRIMARY /web-development-company/toronto</t>
        </is>
      </c>
    </row>
    <row r="916">
      <c r="A916" t="inlineStr">
        <is>
          <t>K0914</t>
        </is>
      </c>
      <c r="B916" t="inlineStr">
        <is>
          <t>développement web vancouver</t>
        </is>
      </c>
      <c r="C916" t="inlineStr">
        <is>
          <t>Canada</t>
        </is>
      </c>
      <c r="D916" t="inlineStr">
        <is>
          <t>ca</t>
        </is>
      </c>
      <c r="E916" t="inlineStr">
        <is>
          <t>fr</t>
        </is>
      </c>
      <c r="F916" t="inlineStr">
        <is>
          <t>NOT AVAILABLE</t>
        </is>
      </c>
      <c r="G916" t="inlineStr">
        <is>
          <t>NOT AVAILABLE</t>
        </is>
      </c>
      <c r="H916" t="inlineStr">
        <is>
          <t>NOT AVAILABLE</t>
        </is>
      </c>
      <c r="I916" t="inlineStr">
        <is>
          <t>NOT AVAILABLE</t>
        </is>
      </c>
      <c r="J916" t="inlineStr">
        <is>
          <t>NOT AVAILABLE</t>
        </is>
      </c>
      <c r="K916" t="inlineStr">
        <is>
          <t>NOT AVAILABLE</t>
        </is>
      </c>
      <c r="L916" t="inlineStr">
        <is>
          <t>NOT AVAILABLE</t>
        </is>
      </c>
      <c r="M916" t="inlineStr">
        <is>
          <t>UNAVAILABLE</t>
        </is>
      </c>
      <c r="N916" s="5" t="inlineStr">
        <is>
          <t>Semrush phrase_these returned no data (not billed)</t>
        </is>
      </c>
      <c r="O916" t="inlineStr">
        <is>
          <t>2026-10-30</t>
        </is>
      </c>
      <c r="P916">
        <f>IF(IF(J916="NOT AVAILABLE","",J916)="",12,IF(OR(ISNUMBER(SEARCH("Transactional",IF(J916="NOT AVAILABLE","",J916))),ISNUMBER(SEARCH("Commercial",IF(J916="NOT AVAILABLE","",J916)))),25,IF(ISNUMBER(SEARCH("Informational",IF(J916="NOT AVAILABLE","",J916))),10,IF(ISNUMBER(SEARCH("Navigational",IF(J916="NOT AVAILABLE","",J916))),0,12))))</f>
        <v/>
      </c>
      <c r="Q916">
        <f>IF(ISNUMBER(F916),MIN(30,ROUND(30*LOG10(F916+1)/4,1)),0)</f>
        <v/>
      </c>
      <c r="R916">
        <f>IF(ISNUMBER(G916),ROUND(25*(100-G916)/100,1),12.5)</f>
        <v/>
      </c>
      <c r="S916" t="n">
        <v>10</v>
      </c>
      <c r="T916">
        <f>ROUND(P916+Q916+R916+S916,0)</f>
        <v/>
      </c>
      <c r="U916" s="5" t="inlineStr"/>
      <c r="V916" s="5" t="inlineStr">
        <is>
          <t>PRIMARY /web-development-company/vancouver</t>
        </is>
      </c>
    </row>
    <row r="917">
      <c r="A917" t="inlineStr">
        <is>
          <t>K0915</t>
        </is>
      </c>
      <c r="B917" t="inlineStr">
        <is>
          <t>développeur maroc</t>
        </is>
      </c>
      <c r="C917" t="inlineStr">
        <is>
          <t>Canada</t>
        </is>
      </c>
      <c r="D917" t="inlineStr">
        <is>
          <t>ca</t>
        </is>
      </c>
      <c r="E917" t="inlineStr">
        <is>
          <t>fr</t>
        </is>
      </c>
      <c r="F917" t="n">
        <v>0</v>
      </c>
      <c r="G917" t="inlineStr">
        <is>
          <t>NOT AVAILABLE</t>
        </is>
      </c>
      <c r="H917" t="n">
        <v>0</v>
      </c>
      <c r="I917" t="n">
        <v>0</v>
      </c>
      <c r="J917" t="inlineStr">
        <is>
          <t>NOT AVAILABLE</t>
        </is>
      </c>
      <c r="K917" t="inlineStr">
        <is>
          <t>NOT AVAILABLE (report not requested)</t>
        </is>
      </c>
      <c r="L917" t="inlineStr">
        <is>
          <t>stable (calc.)</t>
        </is>
      </c>
      <c r="M917" t="inlineStr">
        <is>
          <t>MEASURED</t>
        </is>
      </c>
      <c r="N917" s="5" t="inlineStr">
        <is>
          <t>Semrush phrase_these (live, this session)</t>
        </is>
      </c>
      <c r="O917" t="inlineStr">
        <is>
          <t>2026-10-30</t>
        </is>
      </c>
      <c r="P917">
        <f>IF(IF(J917="NOT AVAILABLE","",J917)="",12,IF(OR(ISNUMBER(SEARCH("Transactional",IF(J917="NOT AVAILABLE","",J917))),ISNUMBER(SEARCH("Commercial",IF(J917="NOT AVAILABLE","",J917)))),25,IF(ISNUMBER(SEARCH("Informational",IF(J917="NOT AVAILABLE","",J917))),10,IF(ISNUMBER(SEARCH("Navigational",IF(J917="NOT AVAILABLE","",J917))),0,12))))</f>
        <v/>
      </c>
      <c r="Q917">
        <f>IF(ISNUMBER(F917),MIN(30,ROUND(30*LOG10(F917+1)/4,1)),0)</f>
        <v/>
      </c>
      <c r="R917">
        <f>IF(ISNUMBER(G917),ROUND(25*(100-G917)/100,1),12.5)</f>
        <v/>
      </c>
      <c r="S917" t="n">
        <v>10</v>
      </c>
      <c r="T917">
        <f>ROUND(P917+Q917+R917+S917,0)</f>
        <v/>
      </c>
      <c r="U917" s="5" t="inlineStr"/>
      <c r="V917" s="5" t="inlineStr"/>
    </row>
    <row r="918">
      <c r="A918" t="inlineStr">
        <is>
          <t>K0916</t>
        </is>
      </c>
      <c r="B918" t="inlineStr">
        <is>
          <t>externalisation développement web</t>
        </is>
      </c>
      <c r="C918" t="inlineStr">
        <is>
          <t>Canada</t>
        </is>
      </c>
      <c r="D918" t="inlineStr">
        <is>
          <t>ca</t>
        </is>
      </c>
      <c r="E918" t="inlineStr">
        <is>
          <t>fr</t>
        </is>
      </c>
      <c r="F918" t="n">
        <v>0</v>
      </c>
      <c r="G918" t="inlineStr">
        <is>
          <t>NOT AVAILABLE</t>
        </is>
      </c>
      <c r="H918" t="n">
        <v>0</v>
      </c>
      <c r="I918" t="n">
        <v>0</v>
      </c>
      <c r="J918" t="inlineStr">
        <is>
          <t>NOT AVAILABLE</t>
        </is>
      </c>
      <c r="K918" t="inlineStr">
        <is>
          <t>NOT AVAILABLE (report not requested)</t>
        </is>
      </c>
      <c r="L918" t="inlineStr">
        <is>
          <t>NOT AVAILABLE</t>
        </is>
      </c>
      <c r="M918" t="inlineStr">
        <is>
          <t>MEASURED</t>
        </is>
      </c>
      <c r="N918" s="5" t="inlineStr">
        <is>
          <t>Semrush phrase_these (live, this session)</t>
        </is>
      </c>
      <c r="O918" t="inlineStr">
        <is>
          <t>2026-10-30</t>
        </is>
      </c>
      <c r="P918">
        <f>IF(IF(J918="NOT AVAILABLE","",J918)="",12,IF(OR(ISNUMBER(SEARCH("Transactional",IF(J918="NOT AVAILABLE","",J918))),ISNUMBER(SEARCH("Commercial",IF(J918="NOT AVAILABLE","",J918)))),25,IF(ISNUMBER(SEARCH("Informational",IF(J918="NOT AVAILABLE","",J918))),10,IF(ISNUMBER(SEARCH("Navigational",IF(J918="NOT AVAILABLE","",J918))),0,12))))</f>
        <v/>
      </c>
      <c r="Q918">
        <f>IF(ISNUMBER(F918),MIN(30,ROUND(30*LOG10(F918+1)/4,1)),0)</f>
        <v/>
      </c>
      <c r="R918">
        <f>IF(ISNUMBER(G918),ROUND(25*(100-G918)/100,1),12.5)</f>
        <v/>
      </c>
      <c r="S918" t="n">
        <v>10</v>
      </c>
      <c r="T918">
        <f>ROUND(P918+Q918+R918+S918,0)</f>
        <v/>
      </c>
      <c r="U918" s="5" t="inlineStr"/>
      <c r="V918" s="5" t="inlineStr"/>
    </row>
    <row r="919">
      <c r="A919" t="inlineStr">
        <is>
          <t>K0917</t>
        </is>
      </c>
      <c r="B919" t="inlineStr">
        <is>
          <t>sous-traitance développement web</t>
        </is>
      </c>
      <c r="C919" t="inlineStr">
        <is>
          <t>Canada</t>
        </is>
      </c>
      <c r="D919" t="inlineStr">
        <is>
          <t>ca</t>
        </is>
      </c>
      <c r="E919" t="inlineStr">
        <is>
          <t>fr</t>
        </is>
      </c>
      <c r="F919" t="n">
        <v>0</v>
      </c>
      <c r="G919" t="inlineStr">
        <is>
          <t>NOT AVAILABLE</t>
        </is>
      </c>
      <c r="H919" t="n">
        <v>0</v>
      </c>
      <c r="I919" t="n">
        <v>0</v>
      </c>
      <c r="J919" t="inlineStr">
        <is>
          <t>NOT AVAILABLE</t>
        </is>
      </c>
      <c r="K919" t="inlineStr">
        <is>
          <t>NOT AVAILABLE (report not requested)</t>
        </is>
      </c>
      <c r="L919" t="inlineStr">
        <is>
          <t>flat (no data)</t>
        </is>
      </c>
      <c r="M919" t="inlineStr">
        <is>
          <t>MEASURED</t>
        </is>
      </c>
      <c r="N919" s="5" t="inlineStr">
        <is>
          <t>Semrush phrase_these (live, this session)</t>
        </is>
      </c>
      <c r="O919" t="inlineStr">
        <is>
          <t>2026-10-30</t>
        </is>
      </c>
      <c r="P919">
        <f>IF(IF(J919="NOT AVAILABLE","",J919)="",12,IF(OR(ISNUMBER(SEARCH("Transactional",IF(J919="NOT AVAILABLE","",J919))),ISNUMBER(SEARCH("Commercial",IF(J919="NOT AVAILABLE","",J919)))),25,IF(ISNUMBER(SEARCH("Informational",IF(J919="NOT AVAILABLE","",J919))),10,IF(ISNUMBER(SEARCH("Navigational",IF(J919="NOT AVAILABLE","",J919))),0,12))))</f>
        <v/>
      </c>
      <c r="Q919">
        <f>IF(ISNUMBER(F919),MIN(30,ROUND(30*LOG10(F919+1)/4,1)),0)</f>
        <v/>
      </c>
      <c r="R919">
        <f>IF(ISNUMBER(G919),ROUND(25*(100-G919)/100,1),12.5)</f>
        <v/>
      </c>
      <c r="S919" t="n">
        <v>10</v>
      </c>
      <c r="T919">
        <f>ROUND(P919+Q919+R919+S919,0)</f>
        <v/>
      </c>
      <c r="U919" s="5" t="inlineStr"/>
      <c r="V919" s="5" t="inlineStr"/>
    </row>
    <row r="920">
      <c r="A920" t="inlineStr">
        <is>
          <t>K0918</t>
        </is>
      </c>
      <c r="B920" t="inlineStr">
        <is>
          <t>webagentur zürich</t>
        </is>
      </c>
      <c r="C920" t="inlineStr">
        <is>
          <t>Switzerland</t>
        </is>
      </c>
      <c r="D920" t="inlineStr">
        <is>
          <t>ch</t>
        </is>
      </c>
      <c r="E920" t="inlineStr">
        <is>
          <t>de</t>
        </is>
      </c>
      <c r="F920" t="n">
        <v>1000</v>
      </c>
      <c r="G920" t="n">
        <v>52</v>
      </c>
      <c r="H920" t="n">
        <v>7.4</v>
      </c>
      <c r="I920" t="n">
        <v>0.55</v>
      </c>
      <c r="J920" t="inlineStr">
        <is>
          <t>Commercial</t>
        </is>
      </c>
      <c r="K920" t="inlineStr">
        <is>
          <t>NOT AVAILABLE (report not requested)</t>
        </is>
      </c>
      <c r="L920" t="inlineStr">
        <is>
          <t>declining (calc.)</t>
        </is>
      </c>
      <c r="M920" t="inlineStr">
        <is>
          <t>MEASURED</t>
        </is>
      </c>
      <c r="N920" s="5" t="inlineStr">
        <is>
          <t>Semrush phrase_these (live, this session)</t>
        </is>
      </c>
      <c r="O920" t="inlineStr">
        <is>
          <t>2026-10-30</t>
        </is>
      </c>
      <c r="P920">
        <f>IF(IF(J920="NOT AVAILABLE","",J920)="",12,IF(OR(ISNUMBER(SEARCH("Transactional",IF(J920="NOT AVAILABLE","",J920))),ISNUMBER(SEARCH("Commercial",IF(J920="NOT AVAILABLE","",J920)))),25,IF(ISNUMBER(SEARCH("Informational",IF(J920="NOT AVAILABLE","",J920))),10,IF(ISNUMBER(SEARCH("Navigational",IF(J920="NOT AVAILABLE","",J920))),0,12))))</f>
        <v/>
      </c>
      <c r="Q920">
        <f>IF(ISNUMBER(F920),MIN(30,ROUND(30*LOG10(F920+1)/4,1)),0)</f>
        <v/>
      </c>
      <c r="R920">
        <f>IF(ISNUMBER(G920),ROUND(25*(100-G920)/100,1),12.5)</f>
        <v/>
      </c>
      <c r="S920" t="n">
        <v>10</v>
      </c>
      <c r="T920">
        <f>ROUND(P920+Q920+R920+S920,0)</f>
        <v/>
      </c>
      <c r="U920" s="5" t="inlineStr"/>
      <c r="V920" s="5" t="inlineStr">
        <is>
          <t>NOT RECOMMENDED /web-development-company/zurich</t>
        </is>
      </c>
    </row>
    <row r="921">
      <c r="A921" t="inlineStr">
        <is>
          <t>K0919</t>
        </is>
      </c>
      <c r="B921" t="inlineStr">
        <is>
          <t>agence web lausanne</t>
        </is>
      </c>
      <c r="C921" t="inlineStr">
        <is>
          <t>Switzerland</t>
        </is>
      </c>
      <c r="D921" t="inlineStr">
        <is>
          <t>ch</t>
        </is>
      </c>
      <c r="E921" t="inlineStr">
        <is>
          <t>fr</t>
        </is>
      </c>
      <c r="F921" t="n">
        <v>720</v>
      </c>
      <c r="G921" t="n">
        <v>51</v>
      </c>
      <c r="H921" t="n">
        <v>5.56</v>
      </c>
      <c r="I921" t="n">
        <v>0.6899999999999999</v>
      </c>
      <c r="J921" t="inlineStr">
        <is>
          <t>Commercial</t>
        </is>
      </c>
      <c r="K921" t="inlineStr">
        <is>
          <t>NOT AVAILABLE (report not requested)</t>
        </is>
      </c>
      <c r="L921" t="inlineStr">
        <is>
          <t>declining (calc.)</t>
        </is>
      </c>
      <c r="M921" t="inlineStr">
        <is>
          <t>MEASURED</t>
        </is>
      </c>
      <c r="N921" s="5" t="inlineStr">
        <is>
          <t>Semrush phrase_these (live, this session)</t>
        </is>
      </c>
      <c r="O921" t="inlineStr">
        <is>
          <t>2026-10-30</t>
        </is>
      </c>
      <c r="P921">
        <f>IF(IF(J921="NOT AVAILABLE","",J921)="",12,IF(OR(ISNUMBER(SEARCH("Transactional",IF(J921="NOT AVAILABLE","",J921))),ISNUMBER(SEARCH("Commercial",IF(J921="NOT AVAILABLE","",J921)))),25,IF(ISNUMBER(SEARCH("Informational",IF(J921="NOT AVAILABLE","",J921))),10,IF(ISNUMBER(SEARCH("Navigational",IF(J921="NOT AVAILABLE","",J921))),0,12))))</f>
        <v/>
      </c>
      <c r="Q921">
        <f>IF(ISNUMBER(F921),MIN(30,ROUND(30*LOG10(F921+1)/4,1)),0)</f>
        <v/>
      </c>
      <c r="R921">
        <f>IF(ISNUMBER(G921),ROUND(25*(100-G921)/100,1),12.5)</f>
        <v/>
      </c>
      <c r="S921" t="n">
        <v>10</v>
      </c>
      <c r="T921">
        <f>ROUND(P921+Q921+R921+S921,0)</f>
        <v/>
      </c>
      <c r="U921" s="5" t="inlineStr"/>
      <c r="V921" s="5" t="inlineStr"/>
    </row>
    <row r="922">
      <c r="A922" t="inlineStr">
        <is>
          <t>K0920</t>
        </is>
      </c>
      <c r="B922" t="inlineStr">
        <is>
          <t>agence web suisse</t>
        </is>
      </c>
      <c r="C922" t="inlineStr">
        <is>
          <t>Switzerland</t>
        </is>
      </c>
      <c r="D922" t="inlineStr">
        <is>
          <t>ch</t>
        </is>
      </c>
      <c r="E922" t="inlineStr">
        <is>
          <t>fr</t>
        </is>
      </c>
      <c r="F922" t="n">
        <v>590</v>
      </c>
      <c r="G922" t="n">
        <v>35</v>
      </c>
      <c r="H922" t="n">
        <v>3.81</v>
      </c>
      <c r="I922" t="n">
        <v>0.24</v>
      </c>
      <c r="J922" t="inlineStr">
        <is>
          <t>Commercial</t>
        </is>
      </c>
      <c r="K922" t="inlineStr">
        <is>
          <t>NOT AVAILABLE (report not requested)</t>
        </is>
      </c>
      <c r="L922" t="inlineStr">
        <is>
          <t>declining (calc.)</t>
        </is>
      </c>
      <c r="M922" t="inlineStr">
        <is>
          <t>MEASURED</t>
        </is>
      </c>
      <c r="N922" s="5" t="inlineStr">
        <is>
          <t>Semrush phrase_these (live, this session)</t>
        </is>
      </c>
      <c r="O922" t="inlineStr">
        <is>
          <t>2026-10-30</t>
        </is>
      </c>
      <c r="P922">
        <f>IF(IF(J922="NOT AVAILABLE","",J922)="",12,IF(OR(ISNUMBER(SEARCH("Transactional",IF(J922="NOT AVAILABLE","",J922))),ISNUMBER(SEARCH("Commercial",IF(J922="NOT AVAILABLE","",J922)))),25,IF(ISNUMBER(SEARCH("Informational",IF(J922="NOT AVAILABLE","",J922))),10,IF(ISNUMBER(SEARCH("Navigational",IF(J922="NOT AVAILABLE","",J922))),0,12))))</f>
        <v/>
      </c>
      <c r="Q922">
        <f>IF(ISNUMBER(F922),MIN(30,ROUND(30*LOG10(F922+1)/4,1)),0)</f>
        <v/>
      </c>
      <c r="R922">
        <f>IF(ISNUMBER(G922),ROUND(25*(100-G922)/100,1),12.5)</f>
        <v/>
      </c>
      <c r="S922" t="n">
        <v>10</v>
      </c>
      <c r="T922">
        <f>ROUND(P922+Q922+R922+S922,0)</f>
        <v/>
      </c>
      <c r="U922" s="5" t="inlineStr"/>
      <c r="V922" s="5" t="inlineStr"/>
    </row>
    <row r="923">
      <c r="A923" t="inlineStr">
        <is>
          <t>K0921</t>
        </is>
      </c>
      <c r="B923" t="inlineStr">
        <is>
          <t>agence web</t>
        </is>
      </c>
      <c r="C923" t="inlineStr">
        <is>
          <t>Switzerland</t>
        </is>
      </c>
      <c r="D923" t="inlineStr">
        <is>
          <t>ch</t>
        </is>
      </c>
      <c r="E923" t="inlineStr">
        <is>
          <t>fr</t>
        </is>
      </c>
      <c r="F923" t="n">
        <v>480</v>
      </c>
      <c r="G923" t="n">
        <v>51</v>
      </c>
      <c r="H923" t="n">
        <v>3.91</v>
      </c>
      <c r="I923" t="n">
        <v>0.51</v>
      </c>
      <c r="J923" t="inlineStr">
        <is>
          <t>Commercial</t>
        </is>
      </c>
      <c r="K923" t="inlineStr">
        <is>
          <t>NOT AVAILABLE (report not requested)</t>
        </is>
      </c>
      <c r="L923" t="inlineStr">
        <is>
          <t>declining (calc.)</t>
        </is>
      </c>
      <c r="M923" t="inlineStr">
        <is>
          <t>MEASURED</t>
        </is>
      </c>
      <c r="N923" s="5" t="inlineStr">
        <is>
          <t>Semrush phrase_these (live, this session)</t>
        </is>
      </c>
      <c r="O923" t="inlineStr">
        <is>
          <t>2026-10-30</t>
        </is>
      </c>
      <c r="P923">
        <f>IF(IF(J923="NOT AVAILABLE","",J923)="",12,IF(OR(ISNUMBER(SEARCH("Transactional",IF(J923="NOT AVAILABLE","",J923))),ISNUMBER(SEARCH("Commercial",IF(J923="NOT AVAILABLE","",J923)))),25,IF(ISNUMBER(SEARCH("Informational",IF(J923="NOT AVAILABLE","",J923))),10,IF(ISNUMBER(SEARCH("Navigational",IF(J923="NOT AVAILABLE","",J923))),0,12))))</f>
        <v/>
      </c>
      <c r="Q923">
        <f>IF(ISNUMBER(F923),MIN(30,ROUND(30*LOG10(F923+1)/4,1)),0)</f>
        <v/>
      </c>
      <c r="R923">
        <f>IF(ISNUMBER(G923),ROUND(25*(100-G923)/100,1),12.5)</f>
        <v/>
      </c>
      <c r="S923" t="n">
        <v>10</v>
      </c>
      <c r="T923">
        <f>ROUND(P923+Q923+R923+S923,0)</f>
        <v/>
      </c>
      <c r="U923" s="5" t="inlineStr"/>
      <c r="V923" s="5" t="inlineStr"/>
    </row>
    <row r="924">
      <c r="A924" t="inlineStr">
        <is>
          <t>K0922</t>
        </is>
      </c>
      <c r="B924" t="inlineStr">
        <is>
          <t>agence web genève</t>
        </is>
      </c>
      <c r="C924" t="inlineStr">
        <is>
          <t>Switzerland</t>
        </is>
      </c>
      <c r="D924" t="inlineStr">
        <is>
          <t>ch</t>
        </is>
      </c>
      <c r="E924" t="inlineStr">
        <is>
          <t>fr</t>
        </is>
      </c>
      <c r="F924" t="n">
        <v>480</v>
      </c>
      <c r="G924" t="n">
        <v>29</v>
      </c>
      <c r="H924" t="n">
        <v>9.82</v>
      </c>
      <c r="I924" t="n">
        <v>0.54</v>
      </c>
      <c r="J924" t="inlineStr">
        <is>
          <t>Commercial</t>
        </is>
      </c>
      <c r="K924" t="inlineStr">
        <is>
          <t>NOT AVAILABLE (report not requested)</t>
        </is>
      </c>
      <c r="L924" t="inlineStr">
        <is>
          <t>declining (calc.)</t>
        </is>
      </c>
      <c r="M924" t="inlineStr">
        <is>
          <t>MEASURED</t>
        </is>
      </c>
      <c r="N924" s="5" t="inlineStr">
        <is>
          <t>Semrush phrase_these (live, this session)</t>
        </is>
      </c>
      <c r="O924" t="inlineStr">
        <is>
          <t>2026-10-30</t>
        </is>
      </c>
      <c r="P924">
        <f>IF(IF(J924="NOT AVAILABLE","",J924)="",12,IF(OR(ISNUMBER(SEARCH("Transactional",IF(J924="NOT AVAILABLE","",J924))),ISNUMBER(SEARCH("Commercial",IF(J924="NOT AVAILABLE","",J924)))),25,IF(ISNUMBER(SEARCH("Informational",IF(J924="NOT AVAILABLE","",J924))),10,IF(ISNUMBER(SEARCH("Navigational",IF(J924="NOT AVAILABLE","",J924))),0,12))))</f>
        <v/>
      </c>
      <c r="Q924">
        <f>IF(ISNUMBER(F924),MIN(30,ROUND(30*LOG10(F924+1)/4,1)),0)</f>
        <v/>
      </c>
      <c r="R924">
        <f>IF(ISNUMBER(G924),ROUND(25*(100-G924)/100,1),12.5)</f>
        <v/>
      </c>
      <c r="S924" t="n">
        <v>10</v>
      </c>
      <c r="T924">
        <f>ROUND(P924+Q924+R924+S924,0)</f>
        <v/>
      </c>
      <c r="U924" s="5" t="inlineStr"/>
      <c r="V924" s="5" t="inlineStr"/>
    </row>
    <row r="925">
      <c r="A925" t="inlineStr">
        <is>
          <t>K0923</t>
        </is>
      </c>
      <c r="B925" t="inlineStr">
        <is>
          <t>création site internet</t>
        </is>
      </c>
      <c r="C925" t="inlineStr">
        <is>
          <t>Switzerland</t>
        </is>
      </c>
      <c r="D925" t="inlineStr">
        <is>
          <t>ch</t>
        </is>
      </c>
      <c r="E925" t="inlineStr">
        <is>
          <t>fr</t>
        </is>
      </c>
      <c r="F925" t="n">
        <v>480</v>
      </c>
      <c r="G925" t="n">
        <v>67</v>
      </c>
      <c r="H925" t="n">
        <v>8.98</v>
      </c>
      <c r="I925" t="n">
        <v>0.83</v>
      </c>
      <c r="J925" t="inlineStr">
        <is>
          <t>Commercial</t>
        </is>
      </c>
      <c r="K925" t="inlineStr">
        <is>
          <t>NOT AVAILABLE (report not requested)</t>
        </is>
      </c>
      <c r="L925" t="inlineStr">
        <is>
          <t>declining (calc.)</t>
        </is>
      </c>
      <c r="M925" t="inlineStr">
        <is>
          <t>MEASURED</t>
        </is>
      </c>
      <c r="N925" s="5" t="inlineStr">
        <is>
          <t>Semrush phrase_these (live, this session)</t>
        </is>
      </c>
      <c r="O925" t="inlineStr">
        <is>
          <t>2026-10-30</t>
        </is>
      </c>
      <c r="P925">
        <f>IF(IF(J925="NOT AVAILABLE","",J925)="",12,IF(OR(ISNUMBER(SEARCH("Transactional",IF(J925="NOT AVAILABLE","",J925))),ISNUMBER(SEARCH("Commercial",IF(J925="NOT AVAILABLE","",J925)))),25,IF(ISNUMBER(SEARCH("Informational",IF(J925="NOT AVAILABLE","",J925))),10,IF(ISNUMBER(SEARCH("Navigational",IF(J925="NOT AVAILABLE","",J925))),0,12))))</f>
        <v/>
      </c>
      <c r="Q925">
        <f>IF(ISNUMBER(F925),MIN(30,ROUND(30*LOG10(F925+1)/4,1)),0)</f>
        <v/>
      </c>
      <c r="R925">
        <f>IF(ISNUMBER(G925),ROUND(25*(100-G925)/100,1),12.5)</f>
        <v/>
      </c>
      <c r="S925" t="n">
        <v>10</v>
      </c>
      <c r="T925">
        <f>ROUND(P925+Q925+R925+S925,0)</f>
        <v/>
      </c>
      <c r="U925" s="5" t="inlineStr"/>
      <c r="V925" s="5" t="inlineStr"/>
    </row>
    <row r="926">
      <c r="A926" t="inlineStr">
        <is>
          <t>K0924</t>
        </is>
      </c>
      <c r="B926" t="inlineStr">
        <is>
          <t>webdesigner</t>
        </is>
      </c>
      <c r="C926" t="inlineStr">
        <is>
          <t>Switzerland</t>
        </is>
      </c>
      <c r="D926" t="inlineStr">
        <is>
          <t>ch</t>
        </is>
      </c>
      <c r="E926" t="inlineStr">
        <is>
          <t>fr</t>
        </is>
      </c>
      <c r="F926" t="n">
        <v>390</v>
      </c>
      <c r="G926" t="n">
        <v>14</v>
      </c>
      <c r="H926" t="n">
        <v>5.34</v>
      </c>
      <c r="I926" t="n">
        <v>0.53</v>
      </c>
      <c r="J926" t="inlineStr">
        <is>
          <t>Commercial</t>
        </is>
      </c>
      <c r="K926" t="inlineStr">
        <is>
          <t>NOT AVAILABLE (report not requested)</t>
        </is>
      </c>
      <c r="L926" t="inlineStr">
        <is>
          <t>declining (calc.)</t>
        </is>
      </c>
      <c r="M926" t="inlineStr">
        <is>
          <t>MEASURED</t>
        </is>
      </c>
      <c r="N926" s="5" t="inlineStr">
        <is>
          <t>Semrush phrase_these (live, this session)</t>
        </is>
      </c>
      <c r="O926" t="inlineStr">
        <is>
          <t>2026-10-30</t>
        </is>
      </c>
      <c r="P926">
        <f>IF(IF(J926="NOT AVAILABLE","",J926)="",12,IF(OR(ISNUMBER(SEARCH("Transactional",IF(J926="NOT AVAILABLE","",J926))),ISNUMBER(SEARCH("Commercial",IF(J926="NOT AVAILABLE","",J926)))),25,IF(ISNUMBER(SEARCH("Informational",IF(J926="NOT AVAILABLE","",J926))),10,IF(ISNUMBER(SEARCH("Navigational",IF(J926="NOT AVAILABLE","",J926))),0,12))))</f>
        <v/>
      </c>
      <c r="Q926">
        <f>IF(ISNUMBER(F926),MIN(30,ROUND(30*LOG10(F926+1)/4,1)),0)</f>
        <v/>
      </c>
      <c r="R926">
        <f>IF(ISNUMBER(G926),ROUND(25*(100-G926)/100,1),12.5)</f>
        <v/>
      </c>
      <c r="S926" t="n">
        <v>10</v>
      </c>
      <c r="T926">
        <f>ROUND(P926+Q926+R926+S926,0)</f>
        <v/>
      </c>
      <c r="U926" s="5" t="inlineStr"/>
      <c r="V926" s="5" t="inlineStr"/>
    </row>
    <row r="927">
      <c r="A927" t="inlineStr">
        <is>
          <t>K0925</t>
        </is>
      </c>
      <c r="B927" t="inlineStr">
        <is>
          <t>développement application web</t>
        </is>
      </c>
      <c r="C927" t="inlineStr">
        <is>
          <t>Switzerland</t>
        </is>
      </c>
      <c r="D927" t="inlineStr">
        <is>
          <t>ch</t>
        </is>
      </c>
      <c r="E927" t="inlineStr">
        <is>
          <t>fr</t>
        </is>
      </c>
      <c r="F927" t="n">
        <v>320</v>
      </c>
      <c r="G927" t="n">
        <v>8</v>
      </c>
      <c r="H927" t="n">
        <v>0</v>
      </c>
      <c r="I927" t="n">
        <v>0.33</v>
      </c>
      <c r="J927" t="inlineStr">
        <is>
          <t>Informational</t>
        </is>
      </c>
      <c r="K927" t="inlineStr">
        <is>
          <t>NOT AVAILABLE (report not requested)</t>
        </is>
      </c>
      <c r="L927" t="inlineStr">
        <is>
          <t>declining (calc.)</t>
        </is>
      </c>
      <c r="M927" t="inlineStr">
        <is>
          <t>MEASURED</t>
        </is>
      </c>
      <c r="N927" s="5" t="inlineStr">
        <is>
          <t>Semrush phrase_these (live, this session)</t>
        </is>
      </c>
      <c r="O927" t="inlineStr">
        <is>
          <t>2026-10-30</t>
        </is>
      </c>
      <c r="P927">
        <f>IF(IF(J927="NOT AVAILABLE","",J927)="",12,IF(OR(ISNUMBER(SEARCH("Transactional",IF(J927="NOT AVAILABLE","",J927))),ISNUMBER(SEARCH("Commercial",IF(J927="NOT AVAILABLE","",J927)))),25,IF(ISNUMBER(SEARCH("Informational",IF(J927="NOT AVAILABLE","",J927))),10,IF(ISNUMBER(SEARCH("Navigational",IF(J927="NOT AVAILABLE","",J927))),0,12))))</f>
        <v/>
      </c>
      <c r="Q927">
        <f>IF(ISNUMBER(F927),MIN(30,ROUND(30*LOG10(F927+1)/4,1)),0)</f>
        <v/>
      </c>
      <c r="R927">
        <f>IF(ISNUMBER(G927),ROUND(25*(100-G927)/100,1),12.5)</f>
        <v/>
      </c>
      <c r="S927" t="n">
        <v>10</v>
      </c>
      <c r="T927">
        <f>ROUND(P927+Q927+R927+S927,0)</f>
        <v/>
      </c>
      <c r="U927" s="5" t="inlineStr"/>
      <c r="V927" s="5" t="inlineStr"/>
    </row>
    <row r="928">
      <c r="A928" t="inlineStr">
        <is>
          <t>K0926</t>
        </is>
      </c>
      <c r="B928" t="inlineStr">
        <is>
          <t>agence seo</t>
        </is>
      </c>
      <c r="C928" t="inlineStr">
        <is>
          <t>Switzerland</t>
        </is>
      </c>
      <c r="D928" t="inlineStr">
        <is>
          <t>ch</t>
        </is>
      </c>
      <c r="E928" t="inlineStr">
        <is>
          <t>fr</t>
        </is>
      </c>
      <c r="F928" t="n">
        <v>260</v>
      </c>
      <c r="G928" t="n">
        <v>21</v>
      </c>
      <c r="H928" t="n">
        <v>7.5</v>
      </c>
      <c r="I928" t="n">
        <v>0.23</v>
      </c>
      <c r="J928" t="inlineStr">
        <is>
          <t>Commercial</t>
        </is>
      </c>
      <c r="K928" t="inlineStr">
        <is>
          <t>NOT AVAILABLE (report not requested)</t>
        </is>
      </c>
      <c r="L928" t="inlineStr">
        <is>
          <t>declining (calc.)</t>
        </is>
      </c>
      <c r="M928" t="inlineStr">
        <is>
          <t>MEASURED</t>
        </is>
      </c>
      <c r="N928" s="5" t="inlineStr">
        <is>
          <t>Semrush phrase_these (live, this session)</t>
        </is>
      </c>
      <c r="O928" t="inlineStr">
        <is>
          <t>2026-10-30</t>
        </is>
      </c>
      <c r="P928">
        <f>IF(IF(J928="NOT AVAILABLE","",J928)="",12,IF(OR(ISNUMBER(SEARCH("Transactional",IF(J928="NOT AVAILABLE","",J928))),ISNUMBER(SEARCH("Commercial",IF(J928="NOT AVAILABLE","",J928)))),25,IF(ISNUMBER(SEARCH("Informational",IF(J928="NOT AVAILABLE","",J928))),10,IF(ISNUMBER(SEARCH("Navigational",IF(J928="NOT AVAILABLE","",J928))),0,12))))</f>
        <v/>
      </c>
      <c r="Q928">
        <f>IF(ISNUMBER(F928),MIN(30,ROUND(30*LOG10(F928+1)/4,1)),0)</f>
        <v/>
      </c>
      <c r="R928">
        <f>IF(ISNUMBER(G928),ROUND(25*(100-G928)/100,1),12.5)</f>
        <v/>
      </c>
      <c r="S928" t="n">
        <v>10</v>
      </c>
      <c r="T928">
        <f>ROUND(P928+Q928+R928+S928,0)</f>
        <v/>
      </c>
      <c r="U928" s="5" t="inlineStr"/>
      <c r="V928" s="5" t="inlineStr"/>
    </row>
    <row r="929">
      <c r="A929" t="inlineStr">
        <is>
          <t>K0927</t>
        </is>
      </c>
      <c r="B929" t="inlineStr">
        <is>
          <t>création site internet genève</t>
        </is>
      </c>
      <c r="C929" t="inlineStr">
        <is>
          <t>Switzerland</t>
        </is>
      </c>
      <c r="D929" t="inlineStr">
        <is>
          <t>ch</t>
        </is>
      </c>
      <c r="E929" t="inlineStr">
        <is>
          <t>fr</t>
        </is>
      </c>
      <c r="F929" t="n">
        <v>210</v>
      </c>
      <c r="G929" t="n">
        <v>21</v>
      </c>
      <c r="H929" t="n">
        <v>9.26</v>
      </c>
      <c r="I929" t="n">
        <v>0.23</v>
      </c>
      <c r="J929" t="inlineStr">
        <is>
          <t>Commercial</t>
        </is>
      </c>
      <c r="K929" t="inlineStr">
        <is>
          <t>NOT AVAILABLE (report not requested)</t>
        </is>
      </c>
      <c r="L929" t="inlineStr">
        <is>
          <t>declining (calc.)</t>
        </is>
      </c>
      <c r="M929" t="inlineStr">
        <is>
          <t>MEASURED</t>
        </is>
      </c>
      <c r="N929" s="5" t="inlineStr">
        <is>
          <t>Semrush phrase_these (live, this session)</t>
        </is>
      </c>
      <c r="O929" t="inlineStr">
        <is>
          <t>2026-10-30</t>
        </is>
      </c>
      <c r="P929">
        <f>IF(IF(J929="NOT AVAILABLE","",J929)="",12,IF(OR(ISNUMBER(SEARCH("Transactional",IF(J929="NOT AVAILABLE","",J929))),ISNUMBER(SEARCH("Commercial",IF(J929="NOT AVAILABLE","",J929)))),25,IF(ISNUMBER(SEARCH("Informational",IF(J929="NOT AVAILABLE","",J929))),10,IF(ISNUMBER(SEARCH("Navigational",IF(J929="NOT AVAILABLE","",J929))),0,12))))</f>
        <v/>
      </c>
      <c r="Q929">
        <f>IF(ISNUMBER(F929),MIN(30,ROUND(30*LOG10(F929+1)/4,1)),0)</f>
        <v/>
      </c>
      <c r="R929">
        <f>IF(ISNUMBER(G929),ROUND(25*(100-G929)/100,1),12.5)</f>
        <v/>
      </c>
      <c r="S929" t="n">
        <v>10</v>
      </c>
      <c r="T929">
        <f>ROUND(P929+Q929+R929+S929,0)</f>
        <v/>
      </c>
      <c r="U929" s="5" t="inlineStr"/>
      <c r="V929" s="5" t="inlineStr"/>
    </row>
    <row r="930">
      <c r="A930" t="inlineStr">
        <is>
          <t>K0928</t>
        </is>
      </c>
      <c r="B930" t="inlineStr">
        <is>
          <t>création site web</t>
        </is>
      </c>
      <c r="C930" t="inlineStr">
        <is>
          <t>Switzerland</t>
        </is>
      </c>
      <c r="D930" t="inlineStr">
        <is>
          <t>ch</t>
        </is>
      </c>
      <c r="E930" t="inlineStr">
        <is>
          <t>fr</t>
        </is>
      </c>
      <c r="F930" t="n">
        <v>170</v>
      </c>
      <c r="G930" t="n">
        <v>66</v>
      </c>
      <c r="H930" t="n">
        <v>6.27</v>
      </c>
      <c r="I930" t="n">
        <v>0.43</v>
      </c>
      <c r="J930" t="inlineStr">
        <is>
          <t>Commercial</t>
        </is>
      </c>
      <c r="K930" t="inlineStr">
        <is>
          <t>NOT AVAILABLE (report not requested)</t>
        </is>
      </c>
      <c r="L930" t="inlineStr">
        <is>
          <t>declining (calc.)</t>
        </is>
      </c>
      <c r="M930" t="inlineStr">
        <is>
          <t>MEASURED</t>
        </is>
      </c>
      <c r="N930" s="5" t="inlineStr">
        <is>
          <t>Semrush phrase_these (live, this session)</t>
        </is>
      </c>
      <c r="O930" t="inlineStr">
        <is>
          <t>2026-10-30</t>
        </is>
      </c>
      <c r="P930">
        <f>IF(IF(J930="NOT AVAILABLE","",J930)="",12,IF(OR(ISNUMBER(SEARCH("Transactional",IF(J930="NOT AVAILABLE","",J930))),ISNUMBER(SEARCH("Commercial",IF(J930="NOT AVAILABLE","",J930)))),25,IF(ISNUMBER(SEARCH("Informational",IF(J930="NOT AVAILABLE","",J930))),10,IF(ISNUMBER(SEARCH("Navigational",IF(J930="NOT AVAILABLE","",J930))),0,12))))</f>
        <v/>
      </c>
      <c r="Q930">
        <f>IF(ISNUMBER(F930),MIN(30,ROUND(30*LOG10(F930+1)/4,1)),0)</f>
        <v/>
      </c>
      <c r="R930">
        <f>IF(ISNUMBER(G930),ROUND(25*(100-G930)/100,1),12.5)</f>
        <v/>
      </c>
      <c r="S930" t="n">
        <v>10</v>
      </c>
      <c r="T930">
        <f>ROUND(P930+Q930+R930+S930,0)</f>
        <v/>
      </c>
      <c r="U930" s="5" t="inlineStr"/>
      <c r="V930" s="5" t="inlineStr"/>
    </row>
    <row r="931">
      <c r="A931" t="inlineStr">
        <is>
          <t>K0929</t>
        </is>
      </c>
      <c r="B931" t="inlineStr">
        <is>
          <t>agence digitale</t>
        </is>
      </c>
      <c r="C931" t="inlineStr">
        <is>
          <t>Switzerland</t>
        </is>
      </c>
      <c r="D931" t="inlineStr">
        <is>
          <t>ch</t>
        </is>
      </c>
      <c r="E931" t="inlineStr">
        <is>
          <t>fr</t>
        </is>
      </c>
      <c r="F931" t="n">
        <v>90</v>
      </c>
      <c r="G931" t="n">
        <v>47</v>
      </c>
      <c r="H931" t="n">
        <v>5.83</v>
      </c>
      <c r="I931" t="n">
        <v>0.47</v>
      </c>
      <c r="J931" t="inlineStr">
        <is>
          <t>Commercial</t>
        </is>
      </c>
      <c r="K931" t="inlineStr">
        <is>
          <t>NOT AVAILABLE (report not requested)</t>
        </is>
      </c>
      <c r="L931" t="inlineStr">
        <is>
          <t>declining (calc.)</t>
        </is>
      </c>
      <c r="M931" t="inlineStr">
        <is>
          <t>MEASURED</t>
        </is>
      </c>
      <c r="N931" s="5" t="inlineStr">
        <is>
          <t>Semrush phrase_these (live, this session)</t>
        </is>
      </c>
      <c r="O931" t="inlineStr">
        <is>
          <t>2026-10-30</t>
        </is>
      </c>
      <c r="P931">
        <f>IF(IF(J931="NOT AVAILABLE","",J931)="",12,IF(OR(ISNUMBER(SEARCH("Transactional",IF(J931="NOT AVAILABLE","",J931))),ISNUMBER(SEARCH("Commercial",IF(J931="NOT AVAILABLE","",J931)))),25,IF(ISNUMBER(SEARCH("Informational",IF(J931="NOT AVAILABLE","",J931))),10,IF(ISNUMBER(SEARCH("Navigational",IF(J931="NOT AVAILABLE","",J931))),0,12))))</f>
        <v/>
      </c>
      <c r="Q931">
        <f>IF(ISNUMBER(F931),MIN(30,ROUND(30*LOG10(F931+1)/4,1)),0)</f>
        <v/>
      </c>
      <c r="R931">
        <f>IF(ISNUMBER(G931),ROUND(25*(100-G931)/100,1),12.5)</f>
        <v/>
      </c>
      <c r="S931" t="n">
        <v>10</v>
      </c>
      <c r="T931">
        <f>ROUND(P931+Q931+R931+S931,0)</f>
        <v/>
      </c>
      <c r="U931" s="5" t="inlineStr"/>
      <c r="V931" s="5" t="inlineStr"/>
    </row>
    <row r="932">
      <c r="A932" t="inlineStr">
        <is>
          <t>K0930</t>
        </is>
      </c>
      <c r="B932" t="inlineStr">
        <is>
          <t>prix création site internet</t>
        </is>
      </c>
      <c r="C932" t="inlineStr">
        <is>
          <t>Switzerland</t>
        </is>
      </c>
      <c r="D932" t="inlineStr">
        <is>
          <t>ch</t>
        </is>
      </c>
      <c r="E932" t="inlineStr">
        <is>
          <t>fr</t>
        </is>
      </c>
      <c r="F932" t="n">
        <v>90</v>
      </c>
      <c r="G932" t="n">
        <v>10</v>
      </c>
      <c r="H932" t="n">
        <v>3.15</v>
      </c>
      <c r="I932" t="n">
        <v>0.66</v>
      </c>
      <c r="J932" t="inlineStr">
        <is>
          <t>Informational</t>
        </is>
      </c>
      <c r="K932" t="inlineStr">
        <is>
          <t>NOT AVAILABLE (report not requested)</t>
        </is>
      </c>
      <c r="L932" t="inlineStr">
        <is>
          <t>declining (calc.)</t>
        </is>
      </c>
      <c r="M932" t="inlineStr">
        <is>
          <t>MEASURED</t>
        </is>
      </c>
      <c r="N932" s="5" t="inlineStr">
        <is>
          <t>Semrush phrase_these (live, this session)</t>
        </is>
      </c>
      <c r="O932" t="inlineStr">
        <is>
          <t>2026-10-30</t>
        </is>
      </c>
      <c r="P932">
        <f>IF(IF(J932="NOT AVAILABLE","",J932)="",12,IF(OR(ISNUMBER(SEARCH("Transactional",IF(J932="NOT AVAILABLE","",J932))),ISNUMBER(SEARCH("Commercial",IF(J932="NOT AVAILABLE","",J932)))),25,IF(ISNUMBER(SEARCH("Informational",IF(J932="NOT AVAILABLE","",J932))),10,IF(ISNUMBER(SEARCH("Navigational",IF(J932="NOT AVAILABLE","",J932))),0,12))))</f>
        <v/>
      </c>
      <c r="Q932">
        <f>IF(ISNUMBER(F932),MIN(30,ROUND(30*LOG10(F932+1)/4,1)),0)</f>
        <v/>
      </c>
      <c r="R932">
        <f>IF(ISNUMBER(G932),ROUND(25*(100-G932)/100,1),12.5)</f>
        <v/>
      </c>
      <c r="S932" t="n">
        <v>10</v>
      </c>
      <c r="T932">
        <f>ROUND(P932+Q932+R932+S932,0)</f>
        <v/>
      </c>
      <c r="U932" s="5" t="inlineStr"/>
      <c r="V932" s="5" t="inlineStr"/>
    </row>
    <row r="933">
      <c r="A933" t="inlineStr">
        <is>
          <t>K0931</t>
        </is>
      </c>
      <c r="B933" t="inlineStr">
        <is>
          <t>référencement naturel</t>
        </is>
      </c>
      <c r="C933" t="inlineStr">
        <is>
          <t>Switzerland</t>
        </is>
      </c>
      <c r="D933" t="inlineStr">
        <is>
          <t>ch</t>
        </is>
      </c>
      <c r="E933" t="inlineStr">
        <is>
          <t>fr</t>
        </is>
      </c>
      <c r="F933" t="n">
        <v>70</v>
      </c>
      <c r="G933" t="n">
        <v>41</v>
      </c>
      <c r="H933" t="n">
        <v>3.1</v>
      </c>
      <c r="I933" t="n">
        <v>0.27</v>
      </c>
      <c r="J933" t="inlineStr">
        <is>
          <t>Informational</t>
        </is>
      </c>
      <c r="K933" t="inlineStr">
        <is>
          <t>NOT AVAILABLE (report not requested)</t>
        </is>
      </c>
      <c r="L933" t="inlineStr">
        <is>
          <t>stable (calc.)</t>
        </is>
      </c>
      <c r="M933" t="inlineStr">
        <is>
          <t>MEASURED</t>
        </is>
      </c>
      <c r="N933" s="5" t="inlineStr">
        <is>
          <t>Semrush phrase_these (live, this session)</t>
        </is>
      </c>
      <c r="O933" t="inlineStr">
        <is>
          <t>2026-10-30</t>
        </is>
      </c>
      <c r="P933">
        <f>IF(IF(J933="NOT AVAILABLE","",J933)="",12,IF(OR(ISNUMBER(SEARCH("Transactional",IF(J933="NOT AVAILABLE","",J933))),ISNUMBER(SEARCH("Commercial",IF(J933="NOT AVAILABLE","",J933)))),25,IF(ISNUMBER(SEARCH("Informational",IF(J933="NOT AVAILABLE","",J933))),10,IF(ISNUMBER(SEARCH("Navigational",IF(J933="NOT AVAILABLE","",J933))),0,12))))</f>
        <v/>
      </c>
      <c r="Q933">
        <f>IF(ISNUMBER(F933),MIN(30,ROUND(30*LOG10(F933+1)/4,1)),0)</f>
        <v/>
      </c>
      <c r="R933">
        <f>IF(ISNUMBER(G933),ROUND(25*(100-G933)/100,1),12.5)</f>
        <v/>
      </c>
      <c r="S933" t="n">
        <v>10</v>
      </c>
      <c r="T933">
        <f>ROUND(P933+Q933+R933+S933,0)</f>
        <v/>
      </c>
      <c r="U933" s="5" t="inlineStr"/>
      <c r="V933" s="5" t="inlineStr"/>
    </row>
    <row r="934">
      <c r="A934" t="inlineStr">
        <is>
          <t>K0932</t>
        </is>
      </c>
      <c r="B934" t="inlineStr">
        <is>
          <t>développement web sur mesure</t>
        </is>
      </c>
      <c r="C934" t="inlineStr">
        <is>
          <t>Switzerland</t>
        </is>
      </c>
      <c r="D934" t="inlineStr">
        <is>
          <t>ch</t>
        </is>
      </c>
      <c r="E934" t="inlineStr">
        <is>
          <t>fr</t>
        </is>
      </c>
      <c r="F934" t="n">
        <v>50</v>
      </c>
      <c r="G934" t="inlineStr">
        <is>
          <t>NOT AVAILABLE</t>
        </is>
      </c>
      <c r="H934" t="n">
        <v>0</v>
      </c>
      <c r="I934" t="n">
        <v>0.04</v>
      </c>
      <c r="J934" t="inlineStr">
        <is>
          <t>NOT AVAILABLE</t>
        </is>
      </c>
      <c r="K934" t="inlineStr">
        <is>
          <t>NOT AVAILABLE (report not requested)</t>
        </is>
      </c>
      <c r="L934" t="inlineStr">
        <is>
          <t>rising (calc.)</t>
        </is>
      </c>
      <c r="M934" t="inlineStr">
        <is>
          <t>MEASURED</t>
        </is>
      </c>
      <c r="N934" s="5" t="inlineStr">
        <is>
          <t>Semrush phrase_these (live, this session)</t>
        </is>
      </c>
      <c r="O934" t="inlineStr">
        <is>
          <t>2026-10-30</t>
        </is>
      </c>
      <c r="P934">
        <f>IF(IF(J934="NOT AVAILABLE","",J934)="",12,IF(OR(ISNUMBER(SEARCH("Transactional",IF(J934="NOT AVAILABLE","",J934))),ISNUMBER(SEARCH("Commercial",IF(J934="NOT AVAILABLE","",J934)))),25,IF(ISNUMBER(SEARCH("Informational",IF(J934="NOT AVAILABLE","",J934))),10,IF(ISNUMBER(SEARCH("Navigational",IF(J934="NOT AVAILABLE","",J934))),0,12))))</f>
        <v/>
      </c>
      <c r="Q934">
        <f>IF(ISNUMBER(F934),MIN(30,ROUND(30*LOG10(F934+1)/4,1)),0)</f>
        <v/>
      </c>
      <c r="R934">
        <f>IF(ISNUMBER(G934),ROUND(25*(100-G934)/100,1),12.5)</f>
        <v/>
      </c>
      <c r="S934" t="n">
        <v>10</v>
      </c>
      <c r="T934">
        <f>ROUND(P934+Q934+R934+S934,0)</f>
        <v/>
      </c>
      <c r="U934" s="5" t="inlineStr"/>
      <c r="V934" s="5" t="inlineStr"/>
    </row>
    <row r="935">
      <c r="A935" t="inlineStr">
        <is>
          <t>K0933</t>
        </is>
      </c>
      <c r="B935" t="inlineStr">
        <is>
          <t>création boutique en ligne</t>
        </is>
      </c>
      <c r="C935" t="inlineStr">
        <is>
          <t>Switzerland</t>
        </is>
      </c>
      <c r="D935" t="inlineStr">
        <is>
          <t>ch</t>
        </is>
      </c>
      <c r="E935" t="inlineStr">
        <is>
          <t>fr</t>
        </is>
      </c>
      <c r="F935" t="n">
        <v>40</v>
      </c>
      <c r="G935" t="inlineStr">
        <is>
          <t>NOT AVAILABLE</t>
        </is>
      </c>
      <c r="H935" t="n">
        <v>7.81</v>
      </c>
      <c r="I935" t="n">
        <v>0.86</v>
      </c>
      <c r="J935" t="inlineStr">
        <is>
          <t>NOT AVAILABLE</t>
        </is>
      </c>
      <c r="K935" t="inlineStr">
        <is>
          <t>NOT AVAILABLE (report not requested)</t>
        </is>
      </c>
      <c r="L935" t="inlineStr">
        <is>
          <t>declining (calc.)</t>
        </is>
      </c>
      <c r="M935" t="inlineStr">
        <is>
          <t>MEASURED</t>
        </is>
      </c>
      <c r="N935" s="5" t="inlineStr">
        <is>
          <t>Semrush phrase_these (live, this session)</t>
        </is>
      </c>
      <c r="O935" t="inlineStr">
        <is>
          <t>2026-10-30</t>
        </is>
      </c>
      <c r="P935">
        <f>IF(IF(J935="NOT AVAILABLE","",J935)="",12,IF(OR(ISNUMBER(SEARCH("Transactional",IF(J935="NOT AVAILABLE","",J935))),ISNUMBER(SEARCH("Commercial",IF(J935="NOT AVAILABLE","",J935)))),25,IF(ISNUMBER(SEARCH("Informational",IF(J935="NOT AVAILABLE","",J935))),10,IF(ISNUMBER(SEARCH("Navigational",IF(J935="NOT AVAILABLE","",J935))),0,12))))</f>
        <v/>
      </c>
      <c r="Q935">
        <f>IF(ISNUMBER(F935),MIN(30,ROUND(30*LOG10(F935+1)/4,1)),0)</f>
        <v/>
      </c>
      <c r="R935">
        <f>IF(ISNUMBER(G935),ROUND(25*(100-G935)/100,1),12.5)</f>
        <v/>
      </c>
      <c r="S935" t="n">
        <v>10</v>
      </c>
      <c r="T935">
        <f>ROUND(P935+Q935+R935+S935,0)</f>
        <v/>
      </c>
      <c r="U935" s="5" t="inlineStr"/>
      <c r="V935" s="5" t="inlineStr"/>
    </row>
    <row r="936">
      <c r="A936" t="inlineStr">
        <is>
          <t>K0934</t>
        </is>
      </c>
      <c r="B936" t="inlineStr">
        <is>
          <t>création site e-commerce</t>
        </is>
      </c>
      <c r="C936" t="inlineStr">
        <is>
          <t>Switzerland</t>
        </is>
      </c>
      <c r="D936" t="inlineStr">
        <is>
          <t>ch</t>
        </is>
      </c>
      <c r="E936" t="inlineStr">
        <is>
          <t>fr</t>
        </is>
      </c>
      <c r="F936" t="n">
        <v>40</v>
      </c>
      <c r="G936" t="inlineStr">
        <is>
          <t>NOT AVAILABLE</t>
        </is>
      </c>
      <c r="H936" t="n">
        <v>0</v>
      </c>
      <c r="I936" t="n">
        <v>0.07000000000000001</v>
      </c>
      <c r="J936" t="inlineStr">
        <is>
          <t>NOT AVAILABLE</t>
        </is>
      </c>
      <c r="K936" t="inlineStr">
        <is>
          <t>NOT AVAILABLE (report not requested)</t>
        </is>
      </c>
      <c r="L936" t="inlineStr">
        <is>
          <t>declining (calc.)</t>
        </is>
      </c>
      <c r="M936" t="inlineStr">
        <is>
          <t>MEASURED</t>
        </is>
      </c>
      <c r="N936" s="5" t="inlineStr">
        <is>
          <t>Semrush phrase_these (live, this session)</t>
        </is>
      </c>
      <c r="O936" t="inlineStr">
        <is>
          <t>2026-10-30</t>
        </is>
      </c>
      <c r="P936">
        <f>IF(IF(J936="NOT AVAILABLE","",J936)="",12,IF(OR(ISNUMBER(SEARCH("Transactional",IF(J936="NOT AVAILABLE","",J936))),ISNUMBER(SEARCH("Commercial",IF(J936="NOT AVAILABLE","",J936)))),25,IF(ISNUMBER(SEARCH("Informational",IF(J936="NOT AVAILABLE","",J936))),10,IF(ISNUMBER(SEARCH("Navigational",IF(J936="NOT AVAILABLE","",J936))),0,12))))</f>
        <v/>
      </c>
      <c r="Q936">
        <f>IF(ISNUMBER(F936),MIN(30,ROUND(30*LOG10(F936+1)/4,1)),0)</f>
        <v/>
      </c>
      <c r="R936">
        <f>IF(ISNUMBER(G936),ROUND(25*(100-G936)/100,1),12.5)</f>
        <v/>
      </c>
      <c r="S936" t="n">
        <v>10</v>
      </c>
      <c r="T936">
        <f>ROUND(P936+Q936+R936+S936,0)</f>
        <v/>
      </c>
      <c r="U936" s="5" t="inlineStr"/>
      <c r="V936" s="5" t="inlineStr"/>
    </row>
    <row r="937">
      <c r="A937" t="inlineStr">
        <is>
          <t>K0935</t>
        </is>
      </c>
      <c r="B937" t="inlineStr">
        <is>
          <t>création site vitrine</t>
        </is>
      </c>
      <c r="C937" t="inlineStr">
        <is>
          <t>Switzerland</t>
        </is>
      </c>
      <c r="D937" t="inlineStr">
        <is>
          <t>ch</t>
        </is>
      </c>
      <c r="E937" t="inlineStr">
        <is>
          <t>fr</t>
        </is>
      </c>
      <c r="F937" t="n">
        <v>40</v>
      </c>
      <c r="G937" t="inlineStr">
        <is>
          <t>NOT AVAILABLE</t>
        </is>
      </c>
      <c r="H937" t="n">
        <v>0</v>
      </c>
      <c r="I937" t="n">
        <v>0</v>
      </c>
      <c r="J937" t="inlineStr">
        <is>
          <t>NOT AVAILABLE</t>
        </is>
      </c>
      <c r="K937" t="inlineStr">
        <is>
          <t>NOT AVAILABLE (report not requested)</t>
        </is>
      </c>
      <c r="L937" t="inlineStr">
        <is>
          <t>declining (calc.)</t>
        </is>
      </c>
      <c r="M937" t="inlineStr">
        <is>
          <t>MEASURED</t>
        </is>
      </c>
      <c r="N937" s="5" t="inlineStr">
        <is>
          <t>Semrush phrase_these (live, this session)</t>
        </is>
      </c>
      <c r="O937" t="inlineStr">
        <is>
          <t>2026-10-30</t>
        </is>
      </c>
      <c r="P937">
        <f>IF(IF(J937="NOT AVAILABLE","",J937)="",12,IF(OR(ISNUMBER(SEARCH("Transactional",IF(J937="NOT AVAILABLE","",J937))),ISNUMBER(SEARCH("Commercial",IF(J937="NOT AVAILABLE","",J937)))),25,IF(ISNUMBER(SEARCH("Informational",IF(J937="NOT AVAILABLE","",J937))),10,IF(ISNUMBER(SEARCH("Navigational",IF(J937="NOT AVAILABLE","",J937))),0,12))))</f>
        <v/>
      </c>
      <c r="Q937">
        <f>IF(ISNUMBER(F937),MIN(30,ROUND(30*LOG10(F937+1)/4,1)),0)</f>
        <v/>
      </c>
      <c r="R937">
        <f>IF(ISNUMBER(G937),ROUND(25*(100-G937)/100,1),12.5)</f>
        <v/>
      </c>
      <c r="S937" t="n">
        <v>10</v>
      </c>
      <c r="T937">
        <f>ROUND(P937+Q937+R937+S937,0)</f>
        <v/>
      </c>
      <c r="U937" s="5" t="inlineStr"/>
      <c r="V937" s="5" t="inlineStr"/>
    </row>
    <row r="938">
      <c r="A938" t="inlineStr">
        <is>
          <t>K0936</t>
        </is>
      </c>
      <c r="B938" t="inlineStr">
        <is>
          <t>création site web suisse</t>
        </is>
      </c>
      <c r="C938" t="inlineStr">
        <is>
          <t>Switzerland</t>
        </is>
      </c>
      <c r="D938" t="inlineStr">
        <is>
          <t>ch</t>
        </is>
      </c>
      <c r="E938" t="inlineStr">
        <is>
          <t>fr</t>
        </is>
      </c>
      <c r="F938" t="n">
        <v>40</v>
      </c>
      <c r="G938" t="inlineStr">
        <is>
          <t>NOT AVAILABLE</t>
        </is>
      </c>
      <c r="H938" t="n">
        <v>4.5</v>
      </c>
      <c r="I938" t="n">
        <v>0.49</v>
      </c>
      <c r="J938" t="inlineStr">
        <is>
          <t>NOT AVAILABLE</t>
        </is>
      </c>
      <c r="K938" t="inlineStr">
        <is>
          <t>NOT AVAILABLE (report not requested)</t>
        </is>
      </c>
      <c r="L938" t="inlineStr">
        <is>
          <t>declining (calc.)</t>
        </is>
      </c>
      <c r="M938" t="inlineStr">
        <is>
          <t>MEASURED</t>
        </is>
      </c>
      <c r="N938" s="5" t="inlineStr">
        <is>
          <t>Semrush phrase_these (live, this session)</t>
        </is>
      </c>
      <c r="O938" t="inlineStr">
        <is>
          <t>2026-10-30</t>
        </is>
      </c>
      <c r="P938">
        <f>IF(IF(J938="NOT AVAILABLE","",J938)="",12,IF(OR(ISNUMBER(SEARCH("Transactional",IF(J938="NOT AVAILABLE","",J938))),ISNUMBER(SEARCH("Commercial",IF(J938="NOT AVAILABLE","",J938)))),25,IF(ISNUMBER(SEARCH("Informational",IF(J938="NOT AVAILABLE","",J938))),10,IF(ISNUMBER(SEARCH("Navigational",IF(J938="NOT AVAILABLE","",J938))),0,12))))</f>
        <v/>
      </c>
      <c r="Q938">
        <f>IF(ISNUMBER(F938),MIN(30,ROUND(30*LOG10(F938+1)/4,1)),0)</f>
        <v/>
      </c>
      <c r="R938">
        <f>IF(ISNUMBER(G938),ROUND(25*(100-G938)/100,1),12.5)</f>
        <v/>
      </c>
      <c r="S938" t="n">
        <v>10</v>
      </c>
      <c r="T938">
        <f>ROUND(P938+Q938+R938+S938,0)</f>
        <v/>
      </c>
      <c r="U938" s="5" t="inlineStr"/>
      <c r="V938" s="5" t="inlineStr"/>
    </row>
    <row r="939">
      <c r="A939" t="inlineStr">
        <is>
          <t>K0937</t>
        </is>
      </c>
      <c r="B939" t="inlineStr">
        <is>
          <t>agence de développement web</t>
        </is>
      </c>
      <c r="C939" t="inlineStr">
        <is>
          <t>Switzerland</t>
        </is>
      </c>
      <c r="D939" t="inlineStr">
        <is>
          <t>ch</t>
        </is>
      </c>
      <c r="E939" t="inlineStr">
        <is>
          <t>fr</t>
        </is>
      </c>
      <c r="F939" t="n">
        <v>30</v>
      </c>
      <c r="G939" t="inlineStr">
        <is>
          <t>NOT AVAILABLE</t>
        </is>
      </c>
      <c r="H939" t="n">
        <v>0</v>
      </c>
      <c r="I939" t="n">
        <v>0.39</v>
      </c>
      <c r="J939" t="inlineStr">
        <is>
          <t>NOT AVAILABLE</t>
        </is>
      </c>
      <c r="K939" t="inlineStr">
        <is>
          <t>NOT AVAILABLE (report not requested)</t>
        </is>
      </c>
      <c r="L939" t="inlineStr">
        <is>
          <t>declining (calc.)</t>
        </is>
      </c>
      <c r="M939" t="inlineStr">
        <is>
          <t>MEASURED</t>
        </is>
      </c>
      <c r="N939" s="5" t="inlineStr">
        <is>
          <t>Semrush phrase_these (live, this session)</t>
        </is>
      </c>
      <c r="O939" t="inlineStr">
        <is>
          <t>2026-10-30</t>
        </is>
      </c>
      <c r="P939">
        <f>IF(IF(J939="NOT AVAILABLE","",J939)="",12,IF(OR(ISNUMBER(SEARCH("Transactional",IF(J939="NOT AVAILABLE","",J939))),ISNUMBER(SEARCH("Commercial",IF(J939="NOT AVAILABLE","",J939)))),25,IF(ISNUMBER(SEARCH("Informational",IF(J939="NOT AVAILABLE","",J939))),10,IF(ISNUMBER(SEARCH("Navigational",IF(J939="NOT AVAILABLE","",J939))),0,12))))</f>
        <v/>
      </c>
      <c r="Q939">
        <f>IF(ISNUMBER(F939),MIN(30,ROUND(30*LOG10(F939+1)/4,1)),0)</f>
        <v/>
      </c>
      <c r="R939">
        <f>IF(ISNUMBER(G939),ROUND(25*(100-G939)/100,1),12.5)</f>
        <v/>
      </c>
      <c r="S939" t="n">
        <v>10</v>
      </c>
      <c r="T939">
        <f>ROUND(P939+Q939+R939+S939,0)</f>
        <v/>
      </c>
      <c r="U939" s="5" t="inlineStr"/>
      <c r="V939" s="5" t="inlineStr"/>
    </row>
    <row r="940">
      <c r="A940" t="inlineStr">
        <is>
          <t>K0938</t>
        </is>
      </c>
      <c r="B940" t="inlineStr">
        <is>
          <t>développement logiciel sur mesure</t>
        </is>
      </c>
      <c r="C940" t="inlineStr">
        <is>
          <t>Switzerland</t>
        </is>
      </c>
      <c r="D940" t="inlineStr">
        <is>
          <t>ch</t>
        </is>
      </c>
      <c r="E940" t="inlineStr">
        <is>
          <t>fr</t>
        </is>
      </c>
      <c r="F940" t="n">
        <v>30</v>
      </c>
      <c r="G940" t="inlineStr">
        <is>
          <t>NOT AVAILABLE</t>
        </is>
      </c>
      <c r="H940" t="n">
        <v>0</v>
      </c>
      <c r="I940" t="n">
        <v>0.33</v>
      </c>
      <c r="J940" t="inlineStr">
        <is>
          <t>NOT AVAILABLE</t>
        </is>
      </c>
      <c r="K940" t="inlineStr">
        <is>
          <t>NOT AVAILABLE (report not requested)</t>
        </is>
      </c>
      <c r="L940" t="inlineStr">
        <is>
          <t>declining (calc.)</t>
        </is>
      </c>
      <c r="M940" t="inlineStr">
        <is>
          <t>MEASURED</t>
        </is>
      </c>
      <c r="N940" s="5" t="inlineStr">
        <is>
          <t>Semrush phrase_these (live, this session)</t>
        </is>
      </c>
      <c r="O940" t="inlineStr">
        <is>
          <t>2026-10-30</t>
        </is>
      </c>
      <c r="P940">
        <f>IF(IF(J940="NOT AVAILABLE","",J940)="",12,IF(OR(ISNUMBER(SEARCH("Transactional",IF(J940="NOT AVAILABLE","",J940))),ISNUMBER(SEARCH("Commercial",IF(J940="NOT AVAILABLE","",J940)))),25,IF(ISNUMBER(SEARCH("Informational",IF(J940="NOT AVAILABLE","",J940))),10,IF(ISNUMBER(SEARCH("Navigational",IF(J940="NOT AVAILABLE","",J940))),0,12))))</f>
        <v/>
      </c>
      <c r="Q940">
        <f>IF(ISNUMBER(F940),MIN(30,ROUND(30*LOG10(F940+1)/4,1)),0)</f>
        <v/>
      </c>
      <c r="R940">
        <f>IF(ISNUMBER(G940),ROUND(25*(100-G940)/100,1),12.5)</f>
        <v/>
      </c>
      <c r="S940" t="n">
        <v>10</v>
      </c>
      <c r="T940">
        <f>ROUND(P940+Q940+R940+S940,0)</f>
        <v/>
      </c>
      <c r="U940" s="5" t="inlineStr"/>
      <c r="V940" s="5" t="inlineStr"/>
    </row>
    <row r="941">
      <c r="A941" t="inlineStr">
        <is>
          <t>K0939</t>
        </is>
      </c>
      <c r="B941" t="inlineStr">
        <is>
          <t>développeur web freelance</t>
        </is>
      </c>
      <c r="C941" t="inlineStr">
        <is>
          <t>Switzerland</t>
        </is>
      </c>
      <c r="D941" t="inlineStr">
        <is>
          <t>ch</t>
        </is>
      </c>
      <c r="E941" t="inlineStr">
        <is>
          <t>fr</t>
        </is>
      </c>
      <c r="F941" t="n">
        <v>30</v>
      </c>
      <c r="G941" t="inlineStr">
        <is>
          <t>NOT AVAILABLE</t>
        </is>
      </c>
      <c r="H941" t="n">
        <v>3.39</v>
      </c>
      <c r="I941" t="n">
        <v>0.49</v>
      </c>
      <c r="J941" t="inlineStr">
        <is>
          <t>NOT AVAILABLE</t>
        </is>
      </c>
      <c r="K941" t="inlineStr">
        <is>
          <t>NOT AVAILABLE (report not requested)</t>
        </is>
      </c>
      <c r="L941" t="inlineStr">
        <is>
          <t>rising (calc.)</t>
        </is>
      </c>
      <c r="M941" t="inlineStr">
        <is>
          <t>MEASURED</t>
        </is>
      </c>
      <c r="N941" s="5" t="inlineStr">
        <is>
          <t>Semrush phrase_these (live, this session)</t>
        </is>
      </c>
      <c r="O941" t="inlineStr">
        <is>
          <t>2026-10-30</t>
        </is>
      </c>
      <c r="P941">
        <f>IF(IF(J941="NOT AVAILABLE","",J941)="",12,IF(OR(ISNUMBER(SEARCH("Transactional",IF(J941="NOT AVAILABLE","",J941))),ISNUMBER(SEARCH("Commercial",IF(J941="NOT AVAILABLE","",J941)))),25,IF(ISNUMBER(SEARCH("Informational",IF(J941="NOT AVAILABLE","",J941))),10,IF(ISNUMBER(SEARCH("Navigational",IF(J941="NOT AVAILABLE","",J941))),0,12))))</f>
        <v/>
      </c>
      <c r="Q941">
        <f>IF(ISNUMBER(F941),MIN(30,ROUND(30*LOG10(F941+1)/4,1)),0)</f>
        <v/>
      </c>
      <c r="R941">
        <f>IF(ISNUMBER(G941),ROUND(25*(100-G941)/100,1),12.5)</f>
        <v/>
      </c>
      <c r="S941" t="n">
        <v>10</v>
      </c>
      <c r="T941">
        <f>ROUND(P941+Q941+R941+S941,0)</f>
        <v/>
      </c>
      <c r="U941" s="5" t="inlineStr"/>
      <c r="V941" s="5" t="inlineStr"/>
    </row>
    <row r="942">
      <c r="A942" t="inlineStr">
        <is>
          <t>K0940</t>
        </is>
      </c>
      <c r="B942" t="inlineStr">
        <is>
          <t>prix site web</t>
        </is>
      </c>
      <c r="C942" t="inlineStr">
        <is>
          <t>Switzerland</t>
        </is>
      </c>
      <c r="D942" t="inlineStr">
        <is>
          <t>ch</t>
        </is>
      </c>
      <c r="E942" t="inlineStr">
        <is>
          <t>fr</t>
        </is>
      </c>
      <c r="F942" t="n">
        <v>30</v>
      </c>
      <c r="G942" t="inlineStr">
        <is>
          <t>NOT AVAILABLE</t>
        </is>
      </c>
      <c r="H942" t="n">
        <v>3.93</v>
      </c>
      <c r="I942" t="n">
        <v>0.78</v>
      </c>
      <c r="J942" t="inlineStr">
        <is>
          <t>NOT AVAILABLE</t>
        </is>
      </c>
      <c r="K942" t="inlineStr">
        <is>
          <t>NOT AVAILABLE (report not requested)</t>
        </is>
      </c>
      <c r="L942" t="inlineStr">
        <is>
          <t>declining (calc.)</t>
        </is>
      </c>
      <c r="M942" t="inlineStr">
        <is>
          <t>MEASURED</t>
        </is>
      </c>
      <c r="N942" s="5" t="inlineStr">
        <is>
          <t>Semrush phrase_these (live, this session)</t>
        </is>
      </c>
      <c r="O942" t="inlineStr">
        <is>
          <t>2026-10-30</t>
        </is>
      </c>
      <c r="P942">
        <f>IF(IF(J942="NOT AVAILABLE","",J942)="",12,IF(OR(ISNUMBER(SEARCH("Transactional",IF(J942="NOT AVAILABLE","",J942))),ISNUMBER(SEARCH("Commercial",IF(J942="NOT AVAILABLE","",J942)))),25,IF(ISNUMBER(SEARCH("Informational",IF(J942="NOT AVAILABLE","",J942))),10,IF(ISNUMBER(SEARCH("Navigational",IF(J942="NOT AVAILABLE","",J942))),0,12))))</f>
        <v/>
      </c>
      <c r="Q942">
        <f>IF(ISNUMBER(F942),MIN(30,ROUND(30*LOG10(F942+1)/4,1)),0)</f>
        <v/>
      </c>
      <c r="R942">
        <f>IF(ISNUMBER(G942),ROUND(25*(100-G942)/100,1),12.5)</f>
        <v/>
      </c>
      <c r="S942" t="n">
        <v>10</v>
      </c>
      <c r="T942">
        <f>ROUND(P942+Q942+R942+S942,0)</f>
        <v/>
      </c>
      <c r="U942" s="5" t="inlineStr"/>
      <c r="V942" s="5" t="inlineStr"/>
    </row>
    <row r="943">
      <c r="A943" t="inlineStr">
        <is>
          <t>K0941</t>
        </is>
      </c>
      <c r="B943" t="inlineStr">
        <is>
          <t>conception site web</t>
        </is>
      </c>
      <c r="C943" t="inlineStr">
        <is>
          <t>Switzerland</t>
        </is>
      </c>
      <c r="D943" t="inlineStr">
        <is>
          <t>ch</t>
        </is>
      </c>
      <c r="E943" t="inlineStr">
        <is>
          <t>fr</t>
        </is>
      </c>
      <c r="F943" t="n">
        <v>20</v>
      </c>
      <c r="G943" t="inlineStr">
        <is>
          <t>NOT AVAILABLE</t>
        </is>
      </c>
      <c r="H943" t="n">
        <v>3.19</v>
      </c>
      <c r="I943" t="n">
        <v>0.62</v>
      </c>
      <c r="J943" t="inlineStr">
        <is>
          <t>NOT AVAILABLE</t>
        </is>
      </c>
      <c r="K943" t="inlineStr">
        <is>
          <t>NOT AVAILABLE (report not requested)</t>
        </is>
      </c>
      <c r="L943" t="inlineStr">
        <is>
          <t>declining (calc.)</t>
        </is>
      </c>
      <c r="M943" t="inlineStr">
        <is>
          <t>MEASURED</t>
        </is>
      </c>
      <c r="N943" s="5" t="inlineStr">
        <is>
          <t>Semrush phrase_these (live, this session)</t>
        </is>
      </c>
      <c r="O943" t="inlineStr">
        <is>
          <t>2026-10-30</t>
        </is>
      </c>
      <c r="P943">
        <f>IF(IF(J943="NOT AVAILABLE","",J943)="",12,IF(OR(ISNUMBER(SEARCH("Transactional",IF(J943="NOT AVAILABLE","",J943))),ISNUMBER(SEARCH("Commercial",IF(J943="NOT AVAILABLE","",J943)))),25,IF(ISNUMBER(SEARCH("Informational",IF(J943="NOT AVAILABLE","",J943))),10,IF(ISNUMBER(SEARCH("Navigational",IF(J943="NOT AVAILABLE","",J943))),0,12))))</f>
        <v/>
      </c>
      <c r="Q943">
        <f>IF(ISNUMBER(F943),MIN(30,ROUND(30*LOG10(F943+1)/4,1)),0)</f>
        <v/>
      </c>
      <c r="R943">
        <f>IF(ISNUMBER(G943),ROUND(25*(100-G943)/100,1),12.5)</f>
        <v/>
      </c>
      <c r="S943" t="n">
        <v>10</v>
      </c>
      <c r="T943">
        <f>ROUND(P943+Q943+R943+S943,0)</f>
        <v/>
      </c>
      <c r="U943" s="5" t="inlineStr"/>
      <c r="V943" s="5" t="inlineStr"/>
    </row>
    <row r="944">
      <c r="A944" t="inlineStr">
        <is>
          <t>K0942</t>
        </is>
      </c>
      <c r="B944" t="inlineStr">
        <is>
          <t>création application web</t>
        </is>
      </c>
      <c r="C944" t="inlineStr">
        <is>
          <t>Switzerland</t>
        </is>
      </c>
      <c r="D944" t="inlineStr">
        <is>
          <t>ch</t>
        </is>
      </c>
      <c r="E944" t="inlineStr">
        <is>
          <t>fr</t>
        </is>
      </c>
      <c r="F944" t="n">
        <v>20</v>
      </c>
      <c r="G944" t="inlineStr">
        <is>
          <t>NOT AVAILABLE</t>
        </is>
      </c>
      <c r="H944" t="n">
        <v>0</v>
      </c>
      <c r="I944" t="n">
        <v>0.71</v>
      </c>
      <c r="J944" t="inlineStr">
        <is>
          <t>NOT AVAILABLE</t>
        </is>
      </c>
      <c r="K944" t="inlineStr">
        <is>
          <t>NOT AVAILABLE (report not requested)</t>
        </is>
      </c>
      <c r="L944" t="inlineStr">
        <is>
          <t>rising (calc.)</t>
        </is>
      </c>
      <c r="M944" t="inlineStr">
        <is>
          <t>MEASURED</t>
        </is>
      </c>
      <c r="N944" s="5" t="inlineStr">
        <is>
          <t>Semrush phrase_these (live, this session)</t>
        </is>
      </c>
      <c r="O944" t="inlineStr">
        <is>
          <t>2026-10-30</t>
        </is>
      </c>
      <c r="P944">
        <f>IF(IF(J944="NOT AVAILABLE","",J944)="",12,IF(OR(ISNUMBER(SEARCH("Transactional",IF(J944="NOT AVAILABLE","",J944))),ISNUMBER(SEARCH("Commercial",IF(J944="NOT AVAILABLE","",J944)))),25,IF(ISNUMBER(SEARCH("Informational",IF(J944="NOT AVAILABLE","",J944))),10,IF(ISNUMBER(SEARCH("Navigational",IF(J944="NOT AVAILABLE","",J944))),0,12))))</f>
        <v/>
      </c>
      <c r="Q944">
        <f>IF(ISNUMBER(F944),MIN(30,ROUND(30*LOG10(F944+1)/4,1)),0)</f>
        <v/>
      </c>
      <c r="R944">
        <f>IF(ISNUMBER(G944),ROUND(25*(100-G944)/100,1),12.5)</f>
        <v/>
      </c>
      <c r="S944" t="n">
        <v>10</v>
      </c>
      <c r="T944">
        <f>ROUND(P944+Q944+R944+S944,0)</f>
        <v/>
      </c>
      <c r="U944" s="5" t="inlineStr"/>
      <c r="V944" s="5" t="inlineStr"/>
    </row>
    <row r="945">
      <c r="A945" t="inlineStr">
        <is>
          <t>K0943</t>
        </is>
      </c>
      <c r="B945" t="inlineStr">
        <is>
          <t>refonte site web</t>
        </is>
      </c>
      <c r="C945" t="inlineStr">
        <is>
          <t>Switzerland</t>
        </is>
      </c>
      <c r="D945" t="inlineStr">
        <is>
          <t>ch</t>
        </is>
      </c>
      <c r="E945" t="inlineStr">
        <is>
          <t>fr</t>
        </is>
      </c>
      <c r="F945" t="n">
        <v>20</v>
      </c>
      <c r="G945" t="inlineStr">
        <is>
          <t>NOT AVAILABLE</t>
        </is>
      </c>
      <c r="H945" t="n">
        <v>4.33</v>
      </c>
      <c r="I945" t="n">
        <v>0.57</v>
      </c>
      <c r="J945" t="inlineStr">
        <is>
          <t>NOT AVAILABLE</t>
        </is>
      </c>
      <c r="K945" t="inlineStr">
        <is>
          <t>NOT AVAILABLE (report not requested)</t>
        </is>
      </c>
      <c r="L945" t="inlineStr">
        <is>
          <t>declining (calc.)</t>
        </is>
      </c>
      <c r="M945" t="inlineStr">
        <is>
          <t>MEASURED</t>
        </is>
      </c>
      <c r="N945" s="5" t="inlineStr">
        <is>
          <t>Semrush phrase_these (live, this session)</t>
        </is>
      </c>
      <c r="O945" t="inlineStr">
        <is>
          <t>2026-10-30</t>
        </is>
      </c>
      <c r="P945">
        <f>IF(IF(J945="NOT AVAILABLE","",J945)="",12,IF(OR(ISNUMBER(SEARCH("Transactional",IF(J945="NOT AVAILABLE","",J945))),ISNUMBER(SEARCH("Commercial",IF(J945="NOT AVAILABLE","",J945)))),25,IF(ISNUMBER(SEARCH("Informational",IF(J945="NOT AVAILABLE","",J945))),10,IF(ISNUMBER(SEARCH("Navigational",IF(J945="NOT AVAILABLE","",J945))),0,12))))</f>
        <v/>
      </c>
      <c r="Q945">
        <f>IF(ISNUMBER(F945),MIN(30,ROUND(30*LOG10(F945+1)/4,1)),0)</f>
        <v/>
      </c>
      <c r="R945">
        <f>IF(ISNUMBER(G945),ROUND(25*(100-G945)/100,1),12.5)</f>
        <v/>
      </c>
      <c r="S945" t="n">
        <v>10</v>
      </c>
      <c r="T945">
        <f>ROUND(P945+Q945+R945+S945,0)</f>
        <v/>
      </c>
      <c r="U945" s="5" t="inlineStr"/>
      <c r="V945" s="5" t="inlineStr"/>
    </row>
    <row r="946">
      <c r="A946" t="inlineStr">
        <is>
          <t>K0944</t>
        </is>
      </c>
      <c r="B946" t="inlineStr">
        <is>
          <t>site internet professionnel</t>
        </is>
      </c>
      <c r="C946" t="inlineStr">
        <is>
          <t>Switzerland</t>
        </is>
      </c>
      <c r="D946" t="inlineStr">
        <is>
          <t>ch</t>
        </is>
      </c>
      <c r="E946" t="inlineStr">
        <is>
          <t>fr</t>
        </is>
      </c>
      <c r="F946" t="n">
        <v>20</v>
      </c>
      <c r="G946" t="inlineStr">
        <is>
          <t>NOT AVAILABLE</t>
        </is>
      </c>
      <c r="H946" t="n">
        <v>0</v>
      </c>
      <c r="I946" t="n">
        <v>1</v>
      </c>
      <c r="J946" t="inlineStr">
        <is>
          <t>NOT AVAILABLE</t>
        </is>
      </c>
      <c r="K946" t="inlineStr">
        <is>
          <t>NOT AVAILABLE (report not requested)</t>
        </is>
      </c>
      <c r="L946" t="inlineStr">
        <is>
          <t>declining (calc.)</t>
        </is>
      </c>
      <c r="M946" t="inlineStr">
        <is>
          <t>MEASURED</t>
        </is>
      </c>
      <c r="N946" s="5" t="inlineStr">
        <is>
          <t>Semrush phrase_these (live, this session)</t>
        </is>
      </c>
      <c r="O946" t="inlineStr">
        <is>
          <t>2026-10-30</t>
        </is>
      </c>
      <c r="P946">
        <f>IF(IF(J946="NOT AVAILABLE","",J946)="",12,IF(OR(ISNUMBER(SEARCH("Transactional",IF(J946="NOT AVAILABLE","",J946))),ISNUMBER(SEARCH("Commercial",IF(J946="NOT AVAILABLE","",J946)))),25,IF(ISNUMBER(SEARCH("Informational",IF(J946="NOT AVAILABLE","",J946))),10,IF(ISNUMBER(SEARCH("Navigational",IF(J946="NOT AVAILABLE","",J946))),0,12))))</f>
        <v/>
      </c>
      <c r="Q946">
        <f>IF(ISNUMBER(F946),MIN(30,ROUND(30*LOG10(F946+1)/4,1)),0)</f>
        <v/>
      </c>
      <c r="R946">
        <f>IF(ISNUMBER(G946),ROUND(25*(100-G946)/100,1),12.5)</f>
        <v/>
      </c>
      <c r="S946" t="n">
        <v>10</v>
      </c>
      <c r="T946">
        <f>ROUND(P946+Q946+R946+S946,0)</f>
        <v/>
      </c>
      <c r="U946" s="5" t="inlineStr"/>
      <c r="V946" s="5" t="inlineStr"/>
    </row>
    <row r="947">
      <c r="A947" t="inlineStr">
        <is>
          <t>K0945</t>
        </is>
      </c>
      <c r="B947" t="inlineStr">
        <is>
          <t>agence web maroc</t>
        </is>
      </c>
      <c r="C947" t="inlineStr">
        <is>
          <t>Switzerland</t>
        </is>
      </c>
      <c r="D947" t="inlineStr">
        <is>
          <t>ch</t>
        </is>
      </c>
      <c r="E947" t="inlineStr">
        <is>
          <t>fr</t>
        </is>
      </c>
      <c r="F947" t="n">
        <v>10</v>
      </c>
      <c r="G947" t="inlineStr">
        <is>
          <t>NOT AVAILABLE</t>
        </is>
      </c>
      <c r="H947" t="n">
        <v>0</v>
      </c>
      <c r="I947" t="n">
        <v>0</v>
      </c>
      <c r="J947" t="inlineStr">
        <is>
          <t>NOT AVAILABLE</t>
        </is>
      </c>
      <c r="K947" t="inlineStr">
        <is>
          <t>NOT AVAILABLE (report not requested)</t>
        </is>
      </c>
      <c r="L947" t="inlineStr">
        <is>
          <t>stable (calc.)</t>
        </is>
      </c>
      <c r="M947" t="inlineStr">
        <is>
          <t>MEASURED</t>
        </is>
      </c>
      <c r="N947" s="5" t="inlineStr">
        <is>
          <t>Semrush phrase_these (live, this session)</t>
        </is>
      </c>
      <c r="O947" t="inlineStr">
        <is>
          <t>2026-10-30</t>
        </is>
      </c>
      <c r="P947">
        <f>IF(IF(J947="NOT AVAILABLE","",J947)="",12,IF(OR(ISNUMBER(SEARCH("Transactional",IF(J947="NOT AVAILABLE","",J947))),ISNUMBER(SEARCH("Commercial",IF(J947="NOT AVAILABLE","",J947)))),25,IF(ISNUMBER(SEARCH("Informational",IF(J947="NOT AVAILABLE","",J947))),10,IF(ISNUMBER(SEARCH("Navigational",IF(J947="NOT AVAILABLE","",J947))),0,12))))</f>
        <v/>
      </c>
      <c r="Q947">
        <f>IF(ISNUMBER(F947),MIN(30,ROUND(30*LOG10(F947+1)/4,1)),0)</f>
        <v/>
      </c>
      <c r="R947">
        <f>IF(ISNUMBER(G947),ROUND(25*(100-G947)/100,1),12.5)</f>
        <v/>
      </c>
      <c r="S947" t="n">
        <v>10</v>
      </c>
      <c r="T947">
        <f>ROUND(P947+Q947+R947+S947,0)</f>
        <v/>
      </c>
      <c r="U947" s="5" t="inlineStr"/>
      <c r="V947" s="5" t="inlineStr"/>
    </row>
    <row r="948">
      <c r="A948" t="inlineStr">
        <is>
          <t>K0946</t>
        </is>
      </c>
      <c r="B948" t="inlineStr">
        <is>
          <t>agence web nearshore</t>
        </is>
      </c>
      <c r="C948" t="inlineStr">
        <is>
          <t>Switzerland</t>
        </is>
      </c>
      <c r="D948" t="inlineStr">
        <is>
          <t>ch</t>
        </is>
      </c>
      <c r="E948" t="inlineStr">
        <is>
          <t>fr</t>
        </is>
      </c>
      <c r="F948" t="inlineStr">
        <is>
          <t>NOT AVAILABLE</t>
        </is>
      </c>
      <c r="G948" t="inlineStr">
        <is>
          <t>NOT AVAILABLE</t>
        </is>
      </c>
      <c r="H948" t="inlineStr">
        <is>
          <t>NOT AVAILABLE</t>
        </is>
      </c>
      <c r="I948" t="inlineStr">
        <is>
          <t>NOT AVAILABLE</t>
        </is>
      </c>
      <c r="J948" t="inlineStr">
        <is>
          <t>NOT AVAILABLE</t>
        </is>
      </c>
      <c r="K948" t="inlineStr">
        <is>
          <t>NOT AVAILABLE</t>
        </is>
      </c>
      <c r="L948" t="inlineStr">
        <is>
          <t>NOT AVAILABLE</t>
        </is>
      </c>
      <c r="M948" t="inlineStr">
        <is>
          <t>UNAVAILABLE</t>
        </is>
      </c>
      <c r="N948" s="5" t="inlineStr">
        <is>
          <t>Semrush phrase_these returned no data (not billed)</t>
        </is>
      </c>
      <c r="O948" t="inlineStr">
        <is>
          <t>2026-10-30</t>
        </is>
      </c>
      <c r="P948">
        <f>IF(IF(J948="NOT AVAILABLE","",J948)="",12,IF(OR(ISNUMBER(SEARCH("Transactional",IF(J948="NOT AVAILABLE","",J948))),ISNUMBER(SEARCH("Commercial",IF(J948="NOT AVAILABLE","",J948)))),25,IF(ISNUMBER(SEARCH("Informational",IF(J948="NOT AVAILABLE","",J948))),10,IF(ISNUMBER(SEARCH("Navigational",IF(J948="NOT AVAILABLE","",J948))),0,12))))</f>
        <v/>
      </c>
      <c r="Q948">
        <f>IF(ISNUMBER(F948),MIN(30,ROUND(30*LOG10(F948+1)/4,1)),0)</f>
        <v/>
      </c>
      <c r="R948">
        <f>IF(ISNUMBER(G948),ROUND(25*(100-G948)/100,1),12.5)</f>
        <v/>
      </c>
      <c r="S948" t="n">
        <v>10</v>
      </c>
      <c r="T948">
        <f>ROUND(P948+Q948+R948+S948,0)</f>
        <v/>
      </c>
      <c r="U948" s="5" t="inlineStr"/>
      <c r="V948" s="5" t="inlineStr"/>
    </row>
    <row r="949">
      <c r="A949" t="inlineStr">
        <is>
          <t>K0947</t>
        </is>
      </c>
      <c r="B949" t="inlineStr">
        <is>
          <t>agence web offshore</t>
        </is>
      </c>
      <c r="C949" t="inlineStr">
        <is>
          <t>Switzerland</t>
        </is>
      </c>
      <c r="D949" t="inlineStr">
        <is>
          <t>ch</t>
        </is>
      </c>
      <c r="E949" t="inlineStr">
        <is>
          <t>fr</t>
        </is>
      </c>
      <c r="F949" t="inlineStr">
        <is>
          <t>NOT AVAILABLE</t>
        </is>
      </c>
      <c r="G949" t="inlineStr">
        <is>
          <t>NOT AVAILABLE</t>
        </is>
      </c>
      <c r="H949" t="inlineStr">
        <is>
          <t>NOT AVAILABLE</t>
        </is>
      </c>
      <c r="I949" t="inlineStr">
        <is>
          <t>NOT AVAILABLE</t>
        </is>
      </c>
      <c r="J949" t="inlineStr">
        <is>
          <t>NOT AVAILABLE</t>
        </is>
      </c>
      <c r="K949" t="inlineStr">
        <is>
          <t>NOT AVAILABLE</t>
        </is>
      </c>
      <c r="L949" t="inlineStr">
        <is>
          <t>NOT AVAILABLE</t>
        </is>
      </c>
      <c r="M949" t="inlineStr">
        <is>
          <t>UNAVAILABLE</t>
        </is>
      </c>
      <c r="N949" s="5" t="inlineStr">
        <is>
          <t>Semrush phrase_these returned no data (not billed)</t>
        </is>
      </c>
      <c r="O949" t="inlineStr">
        <is>
          <t>2026-10-30</t>
        </is>
      </c>
      <c r="P949">
        <f>IF(IF(J949="NOT AVAILABLE","",J949)="",12,IF(OR(ISNUMBER(SEARCH("Transactional",IF(J949="NOT AVAILABLE","",J949))),ISNUMBER(SEARCH("Commercial",IF(J949="NOT AVAILABLE","",J949)))),25,IF(ISNUMBER(SEARCH("Informational",IF(J949="NOT AVAILABLE","",J949))),10,IF(ISNUMBER(SEARCH("Navigational",IF(J949="NOT AVAILABLE","",J949))),0,12))))</f>
        <v/>
      </c>
      <c r="Q949">
        <f>IF(ISNUMBER(F949),MIN(30,ROUND(30*LOG10(F949+1)/4,1)),0)</f>
        <v/>
      </c>
      <c r="R949">
        <f>IF(ISNUMBER(G949),ROUND(25*(100-G949)/100,1),12.5)</f>
        <v/>
      </c>
      <c r="S949" t="n">
        <v>10</v>
      </c>
      <c r="T949">
        <f>ROUND(P949+Q949+R949+S949,0)</f>
        <v/>
      </c>
      <c r="U949" s="5" t="inlineStr"/>
      <c r="V949" s="5" t="inlineStr"/>
    </row>
    <row r="950">
      <c r="A950" t="inlineStr">
        <is>
          <t>K0948</t>
        </is>
      </c>
      <c r="B950" t="inlineStr">
        <is>
          <t>agence web pas cher</t>
        </is>
      </c>
      <c r="C950" t="inlineStr">
        <is>
          <t>Switzerland</t>
        </is>
      </c>
      <c r="D950" t="inlineStr">
        <is>
          <t>ch</t>
        </is>
      </c>
      <c r="E950" t="inlineStr">
        <is>
          <t>fr</t>
        </is>
      </c>
      <c r="F950" t="n">
        <v>0</v>
      </c>
      <c r="G950" t="inlineStr">
        <is>
          <t>NOT AVAILABLE</t>
        </is>
      </c>
      <c r="H950" t="n">
        <v>0</v>
      </c>
      <c r="I950" t="n">
        <v>0</v>
      </c>
      <c r="J950" t="inlineStr">
        <is>
          <t>NOT AVAILABLE</t>
        </is>
      </c>
      <c r="K950" t="inlineStr">
        <is>
          <t>NOT AVAILABLE (report not requested)</t>
        </is>
      </c>
      <c r="L950" t="inlineStr">
        <is>
          <t>flat (no data)</t>
        </is>
      </c>
      <c r="M950" t="inlineStr">
        <is>
          <t>MEASURED</t>
        </is>
      </c>
      <c r="N950" s="5" t="inlineStr">
        <is>
          <t>Semrush phrase_these (live, this session)</t>
        </is>
      </c>
      <c r="O950" t="inlineStr">
        <is>
          <t>2026-10-30</t>
        </is>
      </c>
      <c r="P950">
        <f>IF(IF(J950="NOT AVAILABLE","",J950)="",12,IF(OR(ISNUMBER(SEARCH("Transactional",IF(J950="NOT AVAILABLE","",J950))),ISNUMBER(SEARCH("Commercial",IF(J950="NOT AVAILABLE","",J950)))),25,IF(ISNUMBER(SEARCH("Informational",IF(J950="NOT AVAILABLE","",J950))),10,IF(ISNUMBER(SEARCH("Navigational",IF(J950="NOT AVAILABLE","",J950))),0,12))))</f>
        <v/>
      </c>
      <c r="Q950">
        <f>IF(ISNUMBER(F950),MIN(30,ROUND(30*LOG10(F950+1)/4,1)),0)</f>
        <v/>
      </c>
      <c r="R950">
        <f>IF(ISNUMBER(G950),ROUND(25*(100-G950)/100,1),12.5)</f>
        <v/>
      </c>
      <c r="S950" t="n">
        <v>10</v>
      </c>
      <c r="T950">
        <f>ROUND(P950+Q950+R950+S950,0)</f>
        <v/>
      </c>
      <c r="U950" s="5" t="inlineStr"/>
      <c r="V950" s="5" t="inlineStr"/>
    </row>
    <row r="951">
      <c r="A951" t="inlineStr">
        <is>
          <t>K0949</t>
        </is>
      </c>
      <c r="B951" t="inlineStr">
        <is>
          <t>agence web zurich</t>
        </is>
      </c>
      <c r="C951" t="inlineStr">
        <is>
          <t>Switzerland</t>
        </is>
      </c>
      <c r="D951" t="inlineStr">
        <is>
          <t>ch</t>
        </is>
      </c>
      <c r="E951" t="inlineStr">
        <is>
          <t>fr</t>
        </is>
      </c>
      <c r="F951" t="inlineStr">
        <is>
          <t>NOT AVAILABLE</t>
        </is>
      </c>
      <c r="G951" t="inlineStr">
        <is>
          <t>NOT AVAILABLE</t>
        </is>
      </c>
      <c r="H951" t="inlineStr">
        <is>
          <t>NOT AVAILABLE</t>
        </is>
      </c>
      <c r="I951" t="inlineStr">
        <is>
          <t>NOT AVAILABLE</t>
        </is>
      </c>
      <c r="J951" t="inlineStr">
        <is>
          <t>NOT AVAILABLE</t>
        </is>
      </c>
      <c r="K951" t="inlineStr">
        <is>
          <t>NOT AVAILABLE</t>
        </is>
      </c>
      <c r="L951" t="inlineStr">
        <is>
          <t>NOT AVAILABLE</t>
        </is>
      </c>
      <c r="M951" t="inlineStr">
        <is>
          <t>UNAVAILABLE</t>
        </is>
      </c>
      <c r="N951" s="5" t="inlineStr">
        <is>
          <t>Semrush phrase_these returned no data (not billed)</t>
        </is>
      </c>
      <c r="O951" t="inlineStr">
        <is>
          <t>2026-10-30</t>
        </is>
      </c>
      <c r="P951">
        <f>IF(IF(J951="NOT AVAILABLE","",J951)="",12,IF(OR(ISNUMBER(SEARCH("Transactional",IF(J951="NOT AVAILABLE","",J951))),ISNUMBER(SEARCH("Commercial",IF(J951="NOT AVAILABLE","",J951)))),25,IF(ISNUMBER(SEARCH("Informational",IF(J951="NOT AVAILABLE","",J951))),10,IF(ISNUMBER(SEARCH("Navigational",IF(J951="NOT AVAILABLE","",J951))),0,12))))</f>
        <v/>
      </c>
      <c r="Q951">
        <f>IF(ISNUMBER(F951),MIN(30,ROUND(30*LOG10(F951+1)/4,1)),0)</f>
        <v/>
      </c>
      <c r="R951">
        <f>IF(ISNUMBER(G951),ROUND(25*(100-G951)/100,1),12.5)</f>
        <v/>
      </c>
      <c r="S951" t="n">
        <v>10</v>
      </c>
      <c r="T951">
        <f>ROUND(P951+Q951+R951+S951,0)</f>
        <v/>
      </c>
      <c r="U951" s="5" t="inlineStr"/>
      <c r="V951" s="5" t="inlineStr"/>
    </row>
    <row r="952">
      <c r="A952" t="inlineStr">
        <is>
          <t>K0950</t>
        </is>
      </c>
      <c r="B952" t="inlineStr">
        <is>
          <t>création site web zurich</t>
        </is>
      </c>
      <c r="C952" t="inlineStr">
        <is>
          <t>Switzerland</t>
        </is>
      </c>
      <c r="D952" t="inlineStr">
        <is>
          <t>ch</t>
        </is>
      </c>
      <c r="E952" t="inlineStr">
        <is>
          <t>fr</t>
        </is>
      </c>
      <c r="F952" t="inlineStr">
        <is>
          <t>NOT AVAILABLE</t>
        </is>
      </c>
      <c r="G952" t="inlineStr">
        <is>
          <t>NOT AVAILABLE</t>
        </is>
      </c>
      <c r="H952" t="inlineStr">
        <is>
          <t>NOT AVAILABLE</t>
        </is>
      </c>
      <c r="I952" t="inlineStr">
        <is>
          <t>NOT AVAILABLE</t>
        </is>
      </c>
      <c r="J952" t="inlineStr">
        <is>
          <t>NOT AVAILABLE</t>
        </is>
      </c>
      <c r="K952" t="inlineStr">
        <is>
          <t>NOT AVAILABLE</t>
        </is>
      </c>
      <c r="L952" t="inlineStr">
        <is>
          <t>NOT AVAILABLE</t>
        </is>
      </c>
      <c r="M952" t="inlineStr">
        <is>
          <t>UNAVAILABLE</t>
        </is>
      </c>
      <c r="N952" s="5" t="inlineStr">
        <is>
          <t>Semrush phrase_these returned no data (not billed)</t>
        </is>
      </c>
      <c r="O952" t="inlineStr">
        <is>
          <t>2026-10-30</t>
        </is>
      </c>
      <c r="P952">
        <f>IF(IF(J952="NOT AVAILABLE","",J952)="",12,IF(OR(ISNUMBER(SEARCH("Transactional",IF(J952="NOT AVAILABLE","",J952))),ISNUMBER(SEARCH("Commercial",IF(J952="NOT AVAILABLE","",J952)))),25,IF(ISNUMBER(SEARCH("Informational",IF(J952="NOT AVAILABLE","",J952))),10,IF(ISNUMBER(SEARCH("Navigational",IF(J952="NOT AVAILABLE","",J952))),0,12))))</f>
        <v/>
      </c>
      <c r="Q952">
        <f>IF(ISNUMBER(F952),MIN(30,ROUND(30*LOG10(F952+1)/4,1)),0)</f>
        <v/>
      </c>
      <c r="R952">
        <f>IF(ISNUMBER(G952),ROUND(25*(100-G952)/100,1),12.5)</f>
        <v/>
      </c>
      <c r="S952" t="n">
        <v>10</v>
      </c>
      <c r="T952">
        <f>ROUND(P952+Q952+R952+S952,0)</f>
        <v/>
      </c>
      <c r="U952" s="5" t="inlineStr"/>
      <c r="V952" s="5" t="inlineStr"/>
    </row>
    <row r="953">
      <c r="A953" t="inlineStr">
        <is>
          <t>K0951</t>
        </is>
      </c>
      <c r="B953" t="inlineStr">
        <is>
          <t>développement saas</t>
        </is>
      </c>
      <c r="C953" t="inlineStr">
        <is>
          <t>Switzerland</t>
        </is>
      </c>
      <c r="D953" t="inlineStr">
        <is>
          <t>ch</t>
        </is>
      </c>
      <c r="E953" t="inlineStr">
        <is>
          <t>fr</t>
        </is>
      </c>
      <c r="F953" t="n">
        <v>0</v>
      </c>
      <c r="G953" t="inlineStr">
        <is>
          <t>NOT AVAILABLE</t>
        </is>
      </c>
      <c r="H953" t="n">
        <v>0</v>
      </c>
      <c r="I953" t="n">
        <v>0</v>
      </c>
      <c r="J953" t="inlineStr">
        <is>
          <t>NOT AVAILABLE</t>
        </is>
      </c>
      <c r="K953" t="inlineStr">
        <is>
          <t>NOT AVAILABLE (report not requested)</t>
        </is>
      </c>
      <c r="L953" t="inlineStr">
        <is>
          <t>flat (no data)</t>
        </is>
      </c>
      <c r="M953" t="inlineStr">
        <is>
          <t>MEASURED</t>
        </is>
      </c>
      <c r="N953" s="5" t="inlineStr">
        <is>
          <t>Semrush phrase_these (live, this session)</t>
        </is>
      </c>
      <c r="O953" t="inlineStr">
        <is>
          <t>2026-10-30</t>
        </is>
      </c>
      <c r="P953">
        <f>IF(IF(J953="NOT AVAILABLE","",J953)="",12,IF(OR(ISNUMBER(SEARCH("Transactional",IF(J953="NOT AVAILABLE","",J953))),ISNUMBER(SEARCH("Commercial",IF(J953="NOT AVAILABLE","",J953)))),25,IF(ISNUMBER(SEARCH("Informational",IF(J953="NOT AVAILABLE","",J953))),10,IF(ISNUMBER(SEARCH("Navigational",IF(J953="NOT AVAILABLE","",J953))),0,12))))</f>
        <v/>
      </c>
      <c r="Q953">
        <f>IF(ISNUMBER(F953),MIN(30,ROUND(30*LOG10(F953+1)/4,1)),0)</f>
        <v/>
      </c>
      <c r="R953">
        <f>IF(ISNUMBER(G953),ROUND(25*(100-G953)/100,1),12.5)</f>
        <v/>
      </c>
      <c r="S953" t="n">
        <v>10</v>
      </c>
      <c r="T953">
        <f>ROUND(P953+Q953+R953+S953,0)</f>
        <v/>
      </c>
      <c r="U953" s="5" t="inlineStr"/>
      <c r="V953" s="5" t="inlineStr"/>
    </row>
    <row r="954">
      <c r="A954" t="inlineStr">
        <is>
          <t>K0952</t>
        </is>
      </c>
      <c r="B954" t="inlineStr">
        <is>
          <t>développement web offshore</t>
        </is>
      </c>
      <c r="C954" t="inlineStr">
        <is>
          <t>Switzerland</t>
        </is>
      </c>
      <c r="D954" t="inlineStr">
        <is>
          <t>ch</t>
        </is>
      </c>
      <c r="E954" t="inlineStr">
        <is>
          <t>fr</t>
        </is>
      </c>
      <c r="F954" t="inlineStr">
        <is>
          <t>NOT AVAILABLE</t>
        </is>
      </c>
      <c r="G954" t="inlineStr">
        <is>
          <t>NOT AVAILABLE</t>
        </is>
      </c>
      <c r="H954" t="inlineStr">
        <is>
          <t>NOT AVAILABLE</t>
        </is>
      </c>
      <c r="I954" t="inlineStr">
        <is>
          <t>NOT AVAILABLE</t>
        </is>
      </c>
      <c r="J954" t="inlineStr">
        <is>
          <t>NOT AVAILABLE</t>
        </is>
      </c>
      <c r="K954" t="inlineStr">
        <is>
          <t>NOT AVAILABLE</t>
        </is>
      </c>
      <c r="L954" t="inlineStr">
        <is>
          <t>NOT AVAILABLE</t>
        </is>
      </c>
      <c r="M954" t="inlineStr">
        <is>
          <t>UNAVAILABLE</t>
        </is>
      </c>
      <c r="N954" s="5" t="inlineStr">
        <is>
          <t>Semrush phrase_these returned no data (not billed)</t>
        </is>
      </c>
      <c r="O954" t="inlineStr">
        <is>
          <t>2026-10-30</t>
        </is>
      </c>
      <c r="P954">
        <f>IF(IF(J954="NOT AVAILABLE","",J954)="",12,IF(OR(ISNUMBER(SEARCH("Transactional",IF(J954="NOT AVAILABLE","",J954))),ISNUMBER(SEARCH("Commercial",IF(J954="NOT AVAILABLE","",J954)))),25,IF(ISNUMBER(SEARCH("Informational",IF(J954="NOT AVAILABLE","",J954))),10,IF(ISNUMBER(SEARCH("Navigational",IF(J954="NOT AVAILABLE","",J954))),0,12))))</f>
        <v/>
      </c>
      <c r="Q954">
        <f>IF(ISNUMBER(F954),MIN(30,ROUND(30*LOG10(F954+1)/4,1)),0)</f>
        <v/>
      </c>
      <c r="R954">
        <f>IF(ISNUMBER(G954),ROUND(25*(100-G954)/100,1),12.5)</f>
        <v/>
      </c>
      <c r="S954" t="n">
        <v>10</v>
      </c>
      <c r="T954">
        <f>ROUND(P954+Q954+R954+S954,0)</f>
        <v/>
      </c>
      <c r="U954" s="5" t="inlineStr"/>
      <c r="V954" s="5" t="inlineStr"/>
    </row>
    <row r="955">
      <c r="A955" t="inlineStr">
        <is>
          <t>K0953</t>
        </is>
      </c>
      <c r="B955" t="inlineStr">
        <is>
          <t>développement web zurich</t>
        </is>
      </c>
      <c r="C955" t="inlineStr">
        <is>
          <t>Switzerland</t>
        </is>
      </c>
      <c r="D955" t="inlineStr">
        <is>
          <t>ch</t>
        </is>
      </c>
      <c r="E955" t="inlineStr">
        <is>
          <t>fr</t>
        </is>
      </c>
      <c r="F955" t="inlineStr">
        <is>
          <t>NOT AVAILABLE</t>
        </is>
      </c>
      <c r="G955" t="inlineStr">
        <is>
          <t>NOT AVAILABLE</t>
        </is>
      </c>
      <c r="H955" t="inlineStr">
        <is>
          <t>NOT AVAILABLE</t>
        </is>
      </c>
      <c r="I955" t="inlineStr">
        <is>
          <t>NOT AVAILABLE</t>
        </is>
      </c>
      <c r="J955" t="inlineStr">
        <is>
          <t>NOT AVAILABLE</t>
        </is>
      </c>
      <c r="K955" t="inlineStr">
        <is>
          <t>NOT AVAILABLE</t>
        </is>
      </c>
      <c r="L955" t="inlineStr">
        <is>
          <t>NOT AVAILABLE</t>
        </is>
      </c>
      <c r="M955" t="inlineStr">
        <is>
          <t>UNAVAILABLE</t>
        </is>
      </c>
      <c r="N955" s="5" t="inlineStr">
        <is>
          <t>Semrush phrase_these returned no data (not billed)</t>
        </is>
      </c>
      <c r="O955" t="inlineStr">
        <is>
          <t>2026-10-30</t>
        </is>
      </c>
      <c r="P955">
        <f>IF(IF(J955="NOT AVAILABLE","",J955)="",12,IF(OR(ISNUMBER(SEARCH("Transactional",IF(J955="NOT AVAILABLE","",J955))),ISNUMBER(SEARCH("Commercial",IF(J955="NOT AVAILABLE","",J955)))),25,IF(ISNUMBER(SEARCH("Informational",IF(J955="NOT AVAILABLE","",J955))),10,IF(ISNUMBER(SEARCH("Navigational",IF(J955="NOT AVAILABLE","",J955))),0,12))))</f>
        <v/>
      </c>
      <c r="Q955">
        <f>IF(ISNUMBER(F955),MIN(30,ROUND(30*LOG10(F955+1)/4,1)),0)</f>
        <v/>
      </c>
      <c r="R955">
        <f>IF(ISNUMBER(G955),ROUND(25*(100-G955)/100,1),12.5)</f>
        <v/>
      </c>
      <c r="S955" t="n">
        <v>10</v>
      </c>
      <c r="T955">
        <f>ROUND(P955+Q955+R955+S955,0)</f>
        <v/>
      </c>
      <c r="U955" s="5" t="inlineStr"/>
      <c r="V955" s="5" t="inlineStr">
        <is>
          <t>PRIMARY /web-development-company/zurich</t>
        </is>
      </c>
    </row>
    <row r="956">
      <c r="A956" t="inlineStr">
        <is>
          <t>K0954</t>
        </is>
      </c>
      <c r="B956" t="inlineStr">
        <is>
          <t>développeur maroc</t>
        </is>
      </c>
      <c r="C956" t="inlineStr">
        <is>
          <t>Switzerland</t>
        </is>
      </c>
      <c r="D956" t="inlineStr">
        <is>
          <t>ch</t>
        </is>
      </c>
      <c r="E956" t="inlineStr">
        <is>
          <t>fr</t>
        </is>
      </c>
      <c r="F956" t="inlineStr">
        <is>
          <t>NOT AVAILABLE</t>
        </is>
      </c>
      <c r="G956" t="inlineStr">
        <is>
          <t>NOT AVAILABLE</t>
        </is>
      </c>
      <c r="H956" t="inlineStr">
        <is>
          <t>NOT AVAILABLE</t>
        </is>
      </c>
      <c r="I956" t="inlineStr">
        <is>
          <t>NOT AVAILABLE</t>
        </is>
      </c>
      <c r="J956" t="inlineStr">
        <is>
          <t>NOT AVAILABLE</t>
        </is>
      </c>
      <c r="K956" t="inlineStr">
        <is>
          <t>NOT AVAILABLE</t>
        </is>
      </c>
      <c r="L956" t="inlineStr">
        <is>
          <t>NOT AVAILABLE</t>
        </is>
      </c>
      <c r="M956" t="inlineStr">
        <is>
          <t>UNAVAILABLE</t>
        </is>
      </c>
      <c r="N956" s="5" t="inlineStr">
        <is>
          <t>Semrush phrase_these returned no data (not billed)</t>
        </is>
      </c>
      <c r="O956" t="inlineStr">
        <is>
          <t>2026-10-30</t>
        </is>
      </c>
      <c r="P956">
        <f>IF(IF(J956="NOT AVAILABLE","",J956)="",12,IF(OR(ISNUMBER(SEARCH("Transactional",IF(J956="NOT AVAILABLE","",J956))),ISNUMBER(SEARCH("Commercial",IF(J956="NOT AVAILABLE","",J956)))),25,IF(ISNUMBER(SEARCH("Informational",IF(J956="NOT AVAILABLE","",J956))),10,IF(ISNUMBER(SEARCH("Navigational",IF(J956="NOT AVAILABLE","",J956))),0,12))))</f>
        <v/>
      </c>
      <c r="Q956">
        <f>IF(ISNUMBER(F956),MIN(30,ROUND(30*LOG10(F956+1)/4,1)),0)</f>
        <v/>
      </c>
      <c r="R956">
        <f>IF(ISNUMBER(G956),ROUND(25*(100-G956)/100,1),12.5)</f>
        <v/>
      </c>
      <c r="S956" t="n">
        <v>10</v>
      </c>
      <c r="T956">
        <f>ROUND(P956+Q956+R956+S956,0)</f>
        <v/>
      </c>
      <c r="U956" s="5" t="inlineStr"/>
      <c r="V956" s="5" t="inlineStr"/>
    </row>
    <row r="957">
      <c r="A957" t="inlineStr">
        <is>
          <t>K0955</t>
        </is>
      </c>
      <c r="B957" t="inlineStr">
        <is>
          <t>externalisation développement web</t>
        </is>
      </c>
      <c r="C957" t="inlineStr">
        <is>
          <t>Switzerland</t>
        </is>
      </c>
      <c r="D957" t="inlineStr">
        <is>
          <t>ch</t>
        </is>
      </c>
      <c r="E957" t="inlineStr">
        <is>
          <t>fr</t>
        </is>
      </c>
      <c r="F957" t="inlineStr">
        <is>
          <t>NOT AVAILABLE</t>
        </is>
      </c>
      <c r="G957" t="inlineStr">
        <is>
          <t>NOT AVAILABLE</t>
        </is>
      </c>
      <c r="H957" t="inlineStr">
        <is>
          <t>NOT AVAILABLE</t>
        </is>
      </c>
      <c r="I957" t="inlineStr">
        <is>
          <t>NOT AVAILABLE</t>
        </is>
      </c>
      <c r="J957" t="inlineStr">
        <is>
          <t>NOT AVAILABLE</t>
        </is>
      </c>
      <c r="K957" t="inlineStr">
        <is>
          <t>NOT AVAILABLE</t>
        </is>
      </c>
      <c r="L957" t="inlineStr">
        <is>
          <t>NOT AVAILABLE</t>
        </is>
      </c>
      <c r="M957" t="inlineStr">
        <is>
          <t>UNAVAILABLE</t>
        </is>
      </c>
      <c r="N957" s="5" t="inlineStr">
        <is>
          <t>Semrush phrase_these returned no data (not billed)</t>
        </is>
      </c>
      <c r="O957" t="inlineStr">
        <is>
          <t>2026-10-30</t>
        </is>
      </c>
      <c r="P957">
        <f>IF(IF(J957="NOT AVAILABLE","",J957)="",12,IF(OR(ISNUMBER(SEARCH("Transactional",IF(J957="NOT AVAILABLE","",J957))),ISNUMBER(SEARCH("Commercial",IF(J957="NOT AVAILABLE","",J957)))),25,IF(ISNUMBER(SEARCH("Informational",IF(J957="NOT AVAILABLE","",J957))),10,IF(ISNUMBER(SEARCH("Navigational",IF(J957="NOT AVAILABLE","",J957))),0,12))))</f>
        <v/>
      </c>
      <c r="Q957">
        <f>IF(ISNUMBER(F957),MIN(30,ROUND(30*LOG10(F957+1)/4,1)),0)</f>
        <v/>
      </c>
      <c r="R957">
        <f>IF(ISNUMBER(G957),ROUND(25*(100-G957)/100,1),12.5)</f>
        <v/>
      </c>
      <c r="S957" t="n">
        <v>10</v>
      </c>
      <c r="T957">
        <f>ROUND(P957+Q957+R957+S957,0)</f>
        <v/>
      </c>
      <c r="U957" s="5" t="inlineStr"/>
      <c r="V957" s="5" t="inlineStr"/>
    </row>
    <row r="958">
      <c r="A958" t="inlineStr">
        <is>
          <t>K0956</t>
        </is>
      </c>
      <c r="B958" t="inlineStr">
        <is>
          <t>sous-traitance développement web</t>
        </is>
      </c>
      <c r="C958" t="inlineStr">
        <is>
          <t>Switzerland</t>
        </is>
      </c>
      <c r="D958" t="inlineStr">
        <is>
          <t>ch</t>
        </is>
      </c>
      <c r="E958" t="inlineStr">
        <is>
          <t>fr</t>
        </is>
      </c>
      <c r="F958" t="inlineStr">
        <is>
          <t>NOT AVAILABLE</t>
        </is>
      </c>
      <c r="G958" t="inlineStr">
        <is>
          <t>NOT AVAILABLE</t>
        </is>
      </c>
      <c r="H958" t="inlineStr">
        <is>
          <t>NOT AVAILABLE</t>
        </is>
      </c>
      <c r="I958" t="inlineStr">
        <is>
          <t>NOT AVAILABLE</t>
        </is>
      </c>
      <c r="J958" t="inlineStr">
        <is>
          <t>NOT AVAILABLE</t>
        </is>
      </c>
      <c r="K958" t="inlineStr">
        <is>
          <t>NOT AVAILABLE</t>
        </is>
      </c>
      <c r="L958" t="inlineStr">
        <is>
          <t>NOT AVAILABLE</t>
        </is>
      </c>
      <c r="M958" t="inlineStr">
        <is>
          <t>UNAVAILABLE</t>
        </is>
      </c>
      <c r="N958" s="5" t="inlineStr">
        <is>
          <t>Semrush phrase_these returned no data (not billed)</t>
        </is>
      </c>
      <c r="O958" t="inlineStr">
        <is>
          <t>2026-10-30</t>
        </is>
      </c>
      <c r="P958">
        <f>IF(IF(J958="NOT AVAILABLE","",J958)="",12,IF(OR(ISNUMBER(SEARCH("Transactional",IF(J958="NOT AVAILABLE","",J958))),ISNUMBER(SEARCH("Commercial",IF(J958="NOT AVAILABLE","",J958)))),25,IF(ISNUMBER(SEARCH("Informational",IF(J958="NOT AVAILABLE","",J958))),10,IF(ISNUMBER(SEARCH("Navigational",IF(J958="NOT AVAILABLE","",J958))),0,12))))</f>
        <v/>
      </c>
      <c r="Q958">
        <f>IF(ISNUMBER(F958),MIN(30,ROUND(30*LOG10(F958+1)/4,1)),0)</f>
        <v/>
      </c>
      <c r="R958">
        <f>IF(ISNUMBER(G958),ROUND(25*(100-G958)/100,1),12.5)</f>
        <v/>
      </c>
      <c r="S958" t="n">
        <v>10</v>
      </c>
      <c r="T958">
        <f>ROUND(P958+Q958+R958+S958,0)</f>
        <v/>
      </c>
      <c r="U958" s="5" t="inlineStr"/>
      <c r="V958" s="5" t="inlineStr"/>
    </row>
    <row r="959">
      <c r="A959" t="inlineStr">
        <is>
          <t>K0957</t>
        </is>
      </c>
      <c r="B959" t="inlineStr">
        <is>
          <t>webentwicklung berlin</t>
        </is>
      </c>
      <c r="C959" t="inlineStr">
        <is>
          <t>Germany</t>
        </is>
      </c>
      <c r="D959" t="inlineStr">
        <is>
          <t>de</t>
        </is>
      </c>
      <c r="E959" t="inlineStr">
        <is>
          <t>de</t>
        </is>
      </c>
      <c r="F959" t="n">
        <v>480</v>
      </c>
      <c r="G959" t="n">
        <v>29</v>
      </c>
      <c r="H959" t="n">
        <v>2.77</v>
      </c>
      <c r="I959" t="n">
        <v>0.31</v>
      </c>
      <c r="J959" t="inlineStr">
        <is>
          <t>Commercial</t>
        </is>
      </c>
      <c r="K959" t="inlineStr">
        <is>
          <t>NOT AVAILABLE (report not requested)</t>
        </is>
      </c>
      <c r="L959" t="inlineStr">
        <is>
          <t>declining (calc.)</t>
        </is>
      </c>
      <c r="M959" t="inlineStr">
        <is>
          <t>MEASURED</t>
        </is>
      </c>
      <c r="N959" s="5" t="inlineStr">
        <is>
          <t>Semrush phrase_these (live, this session)</t>
        </is>
      </c>
      <c r="O959" t="inlineStr">
        <is>
          <t>2026-10-30</t>
        </is>
      </c>
      <c r="P959">
        <f>IF(IF(J959="NOT AVAILABLE","",J959)="",12,IF(OR(ISNUMBER(SEARCH("Transactional",IF(J959="NOT AVAILABLE","",J959))),ISNUMBER(SEARCH("Commercial",IF(J959="NOT AVAILABLE","",J959)))),25,IF(ISNUMBER(SEARCH("Informational",IF(J959="NOT AVAILABLE","",J959))),10,IF(ISNUMBER(SEARCH("Navigational",IF(J959="NOT AVAILABLE","",J959))),0,12))))</f>
        <v/>
      </c>
      <c r="Q959">
        <f>IF(ISNUMBER(F959),MIN(30,ROUND(30*LOG10(F959+1)/4,1)),0)</f>
        <v/>
      </c>
      <c r="R959">
        <f>IF(ISNUMBER(G959),ROUND(25*(100-G959)/100,1),12.5)</f>
        <v/>
      </c>
      <c r="S959" t="n">
        <v>3</v>
      </c>
      <c r="T959">
        <f>ROUND(P959+Q959+R959+S959,0)</f>
        <v/>
      </c>
      <c r="U959" s="5" t="inlineStr"/>
      <c r="V959" s="5" t="inlineStr">
        <is>
          <t>NOT RECOMMENDED /web-development-company/berlin</t>
        </is>
      </c>
    </row>
    <row r="960">
      <c r="A960" t="inlineStr">
        <is>
          <t>K0958</t>
        </is>
      </c>
      <c r="B960" t="inlineStr">
        <is>
          <t>agence web berlin</t>
        </is>
      </c>
      <c r="C960" t="inlineStr">
        <is>
          <t>Germany</t>
        </is>
      </c>
      <c r="D960" t="inlineStr">
        <is>
          <t>de</t>
        </is>
      </c>
      <c r="E960" t="inlineStr">
        <is>
          <t>fr</t>
        </is>
      </c>
      <c r="F960" t="inlineStr">
        <is>
          <t>NOT AVAILABLE</t>
        </is>
      </c>
      <c r="G960" t="inlineStr">
        <is>
          <t>NOT AVAILABLE</t>
        </is>
      </c>
      <c r="H960" t="inlineStr">
        <is>
          <t>NOT AVAILABLE</t>
        </is>
      </c>
      <c r="I960" t="inlineStr">
        <is>
          <t>NOT AVAILABLE</t>
        </is>
      </c>
      <c r="J960" t="inlineStr">
        <is>
          <t>NOT AVAILABLE</t>
        </is>
      </c>
      <c r="K960" t="inlineStr">
        <is>
          <t>NOT AVAILABLE</t>
        </is>
      </c>
      <c r="L960" t="inlineStr">
        <is>
          <t>NOT AVAILABLE</t>
        </is>
      </c>
      <c r="M960" t="inlineStr">
        <is>
          <t>UNAVAILABLE</t>
        </is>
      </c>
      <c r="N960" s="5" t="inlineStr">
        <is>
          <t>Semrush phrase_these returned no data (not billed)</t>
        </is>
      </c>
      <c r="O960" t="inlineStr">
        <is>
          <t>2026-10-30</t>
        </is>
      </c>
      <c r="P960">
        <f>IF(IF(J960="NOT AVAILABLE","",J960)="",12,IF(OR(ISNUMBER(SEARCH("Transactional",IF(J960="NOT AVAILABLE","",J960))),ISNUMBER(SEARCH("Commercial",IF(J960="NOT AVAILABLE","",J960)))),25,IF(ISNUMBER(SEARCH("Informational",IF(J960="NOT AVAILABLE","",J960))),10,IF(ISNUMBER(SEARCH("Navigational",IF(J960="NOT AVAILABLE","",J960))),0,12))))</f>
        <v/>
      </c>
      <c r="Q960">
        <f>IF(ISNUMBER(F960),MIN(30,ROUND(30*LOG10(F960+1)/4,1)),0)</f>
        <v/>
      </c>
      <c r="R960">
        <f>IF(ISNUMBER(G960),ROUND(25*(100-G960)/100,1),12.5)</f>
        <v/>
      </c>
      <c r="S960" t="n">
        <v>3</v>
      </c>
      <c r="T960">
        <f>ROUND(P960+Q960+R960+S960,0)</f>
        <v/>
      </c>
      <c r="U960" s="5" t="inlineStr"/>
      <c r="V960" s="5" t="inlineStr"/>
    </row>
    <row r="961">
      <c r="A961" t="inlineStr">
        <is>
          <t>K0959</t>
        </is>
      </c>
      <c r="B961" t="inlineStr">
        <is>
          <t>création site web berlin</t>
        </is>
      </c>
      <c r="C961" t="inlineStr">
        <is>
          <t>Germany</t>
        </is>
      </c>
      <c r="D961" t="inlineStr">
        <is>
          <t>de</t>
        </is>
      </c>
      <c r="E961" t="inlineStr">
        <is>
          <t>fr</t>
        </is>
      </c>
      <c r="F961" t="inlineStr">
        <is>
          <t>NOT AVAILABLE</t>
        </is>
      </c>
      <c r="G961" t="inlineStr">
        <is>
          <t>NOT AVAILABLE</t>
        </is>
      </c>
      <c r="H961" t="inlineStr">
        <is>
          <t>NOT AVAILABLE</t>
        </is>
      </c>
      <c r="I961" t="inlineStr">
        <is>
          <t>NOT AVAILABLE</t>
        </is>
      </c>
      <c r="J961" t="inlineStr">
        <is>
          <t>NOT AVAILABLE</t>
        </is>
      </c>
      <c r="K961" t="inlineStr">
        <is>
          <t>NOT AVAILABLE</t>
        </is>
      </c>
      <c r="L961" t="inlineStr">
        <is>
          <t>NOT AVAILABLE</t>
        </is>
      </c>
      <c r="M961" t="inlineStr">
        <is>
          <t>UNAVAILABLE</t>
        </is>
      </c>
      <c r="N961" s="5" t="inlineStr">
        <is>
          <t>Semrush phrase_these returned no data (not billed)</t>
        </is>
      </c>
      <c r="O961" t="inlineStr">
        <is>
          <t>2026-10-30</t>
        </is>
      </c>
      <c r="P961">
        <f>IF(IF(J961="NOT AVAILABLE","",J961)="",12,IF(OR(ISNUMBER(SEARCH("Transactional",IF(J961="NOT AVAILABLE","",J961))),ISNUMBER(SEARCH("Commercial",IF(J961="NOT AVAILABLE","",J961)))),25,IF(ISNUMBER(SEARCH("Informational",IF(J961="NOT AVAILABLE","",J961))),10,IF(ISNUMBER(SEARCH("Navigational",IF(J961="NOT AVAILABLE","",J961))),0,12))))</f>
        <v/>
      </c>
      <c r="Q961">
        <f>IF(ISNUMBER(F961),MIN(30,ROUND(30*LOG10(F961+1)/4,1)),0)</f>
        <v/>
      </c>
      <c r="R961">
        <f>IF(ISNUMBER(G961),ROUND(25*(100-G961)/100,1),12.5)</f>
        <v/>
      </c>
      <c r="S961" t="n">
        <v>3</v>
      </c>
      <c r="T961">
        <f>ROUND(P961+Q961+R961+S961,0)</f>
        <v/>
      </c>
      <c r="U961" s="5" t="inlineStr"/>
      <c r="V961" s="5" t="inlineStr"/>
    </row>
    <row r="962">
      <c r="A962" t="inlineStr">
        <is>
          <t>K0960</t>
        </is>
      </c>
      <c r="B962" t="inlineStr">
        <is>
          <t>développement web berlin</t>
        </is>
      </c>
      <c r="C962" t="inlineStr">
        <is>
          <t>Germany</t>
        </is>
      </c>
      <c r="D962" t="inlineStr">
        <is>
          <t>de</t>
        </is>
      </c>
      <c r="E962" t="inlineStr">
        <is>
          <t>fr</t>
        </is>
      </c>
      <c r="F962" t="inlineStr">
        <is>
          <t>NOT AVAILABLE</t>
        </is>
      </c>
      <c r="G962" t="inlineStr">
        <is>
          <t>NOT AVAILABLE</t>
        </is>
      </c>
      <c r="H962" t="inlineStr">
        <is>
          <t>NOT AVAILABLE</t>
        </is>
      </c>
      <c r="I962" t="inlineStr">
        <is>
          <t>NOT AVAILABLE</t>
        </is>
      </c>
      <c r="J962" t="inlineStr">
        <is>
          <t>NOT AVAILABLE</t>
        </is>
      </c>
      <c r="K962" t="inlineStr">
        <is>
          <t>NOT AVAILABLE</t>
        </is>
      </c>
      <c r="L962" t="inlineStr">
        <is>
          <t>NOT AVAILABLE</t>
        </is>
      </c>
      <c r="M962" t="inlineStr">
        <is>
          <t>UNAVAILABLE</t>
        </is>
      </c>
      <c r="N962" s="5" t="inlineStr">
        <is>
          <t>Semrush phrase_these returned no data (not billed)</t>
        </is>
      </c>
      <c r="O962" t="inlineStr">
        <is>
          <t>2026-10-30</t>
        </is>
      </c>
      <c r="P962">
        <f>IF(IF(J962="NOT AVAILABLE","",J962)="",12,IF(OR(ISNUMBER(SEARCH("Transactional",IF(J962="NOT AVAILABLE","",J962))),ISNUMBER(SEARCH("Commercial",IF(J962="NOT AVAILABLE","",J962)))),25,IF(ISNUMBER(SEARCH("Informational",IF(J962="NOT AVAILABLE","",J962))),10,IF(ISNUMBER(SEARCH("Navigational",IF(J962="NOT AVAILABLE","",J962))),0,12))))</f>
        <v/>
      </c>
      <c r="Q962">
        <f>IF(ISNUMBER(F962),MIN(30,ROUND(30*LOG10(F962+1)/4,1)),0)</f>
        <v/>
      </c>
      <c r="R962">
        <f>IF(ISNUMBER(G962),ROUND(25*(100-G962)/100,1),12.5)</f>
        <v/>
      </c>
      <c r="S962" t="n">
        <v>3</v>
      </c>
      <c r="T962">
        <f>ROUND(P962+Q962+R962+S962,0)</f>
        <v/>
      </c>
      <c r="U962" s="5" t="inlineStr"/>
      <c r="V962" s="5" t="inlineStr">
        <is>
          <t>PRIMARY /web-development-company/berlin</t>
        </is>
      </c>
    </row>
    <row r="963">
      <c r="A963" t="inlineStr">
        <is>
          <t>K0961</t>
        </is>
      </c>
      <c r="B963" t="inlineStr">
        <is>
          <t>web development copenhagen</t>
        </is>
      </c>
      <c r="C963" t="inlineStr">
        <is>
          <t>Denmark</t>
        </is>
      </c>
      <c r="D963" t="inlineStr">
        <is>
          <t>dk</t>
        </is>
      </c>
      <c r="E963" t="inlineStr">
        <is>
          <t>en</t>
        </is>
      </c>
      <c r="F963" t="n">
        <v>20</v>
      </c>
      <c r="G963" t="inlineStr">
        <is>
          <t>NOT AVAILABLE</t>
        </is>
      </c>
      <c r="H963" t="n">
        <v>0</v>
      </c>
      <c r="I963" t="n">
        <v>0</v>
      </c>
      <c r="J963" t="inlineStr">
        <is>
          <t>NOT AVAILABLE</t>
        </is>
      </c>
      <c r="K963" t="inlineStr">
        <is>
          <t>NOT AVAILABLE (report not requested)</t>
        </is>
      </c>
      <c r="L963" t="inlineStr">
        <is>
          <t>declining (calc.)</t>
        </is>
      </c>
      <c r="M963" t="inlineStr">
        <is>
          <t>MEASURED</t>
        </is>
      </c>
      <c r="N963" s="5" t="inlineStr">
        <is>
          <t>Semrush phrase_these (live, this session)</t>
        </is>
      </c>
      <c r="O963" t="inlineStr">
        <is>
          <t>2026-10-30</t>
        </is>
      </c>
      <c r="P963">
        <f>IF(IF(J963="NOT AVAILABLE","",J963)="",12,IF(OR(ISNUMBER(SEARCH("Transactional",IF(J963="NOT AVAILABLE","",J963))),ISNUMBER(SEARCH("Commercial",IF(J963="NOT AVAILABLE","",J963)))),25,IF(ISNUMBER(SEARCH("Informational",IF(J963="NOT AVAILABLE","",J963))),10,IF(ISNUMBER(SEARCH("Navigational",IF(J963="NOT AVAILABLE","",J963))),0,12))))</f>
        <v/>
      </c>
      <c r="Q963">
        <f>IF(ISNUMBER(F963),MIN(30,ROUND(30*LOG10(F963+1)/4,1)),0)</f>
        <v/>
      </c>
      <c r="R963">
        <f>IF(ISNUMBER(G963),ROUND(25*(100-G963)/100,1),12.5)</f>
        <v/>
      </c>
      <c r="S963" t="n">
        <v>3</v>
      </c>
      <c r="T963">
        <f>ROUND(P963+Q963+R963+S963,0)</f>
        <v/>
      </c>
      <c r="U963" s="5" t="inlineStr"/>
      <c r="V963" s="5" t="inlineStr">
        <is>
          <t>NOT RECOMMENDED /web-development-company/copenhagen</t>
        </is>
      </c>
    </row>
    <row r="964">
      <c r="A964" t="inlineStr">
        <is>
          <t>K0962</t>
        </is>
      </c>
      <c r="B964" t="inlineStr">
        <is>
          <t>agence web copenhague</t>
        </is>
      </c>
      <c r="C964" t="inlineStr">
        <is>
          <t>Denmark</t>
        </is>
      </c>
      <c r="D964" t="inlineStr">
        <is>
          <t>dk</t>
        </is>
      </c>
      <c r="E964" t="inlineStr">
        <is>
          <t>fr</t>
        </is>
      </c>
      <c r="F964" t="inlineStr">
        <is>
          <t>NOT AVAILABLE</t>
        </is>
      </c>
      <c r="G964" t="inlineStr">
        <is>
          <t>NOT AVAILABLE</t>
        </is>
      </c>
      <c r="H964" t="inlineStr">
        <is>
          <t>NOT AVAILABLE</t>
        </is>
      </c>
      <c r="I964" t="inlineStr">
        <is>
          <t>NOT AVAILABLE</t>
        </is>
      </c>
      <c r="J964" t="inlineStr">
        <is>
          <t>NOT AVAILABLE</t>
        </is>
      </c>
      <c r="K964" t="inlineStr">
        <is>
          <t>NOT AVAILABLE</t>
        </is>
      </c>
      <c r="L964" t="inlineStr">
        <is>
          <t>NOT AVAILABLE</t>
        </is>
      </c>
      <c r="M964" t="inlineStr">
        <is>
          <t>UNAVAILABLE</t>
        </is>
      </c>
      <c r="N964" s="5" t="inlineStr">
        <is>
          <t>Semrush phrase_these returned no data (not billed)</t>
        </is>
      </c>
      <c r="O964" t="inlineStr">
        <is>
          <t>2026-10-30</t>
        </is>
      </c>
      <c r="P964">
        <f>IF(IF(J964="NOT AVAILABLE","",J964)="",12,IF(OR(ISNUMBER(SEARCH("Transactional",IF(J964="NOT AVAILABLE","",J964))),ISNUMBER(SEARCH("Commercial",IF(J964="NOT AVAILABLE","",J964)))),25,IF(ISNUMBER(SEARCH("Informational",IF(J964="NOT AVAILABLE","",J964))),10,IF(ISNUMBER(SEARCH("Navigational",IF(J964="NOT AVAILABLE","",J964))),0,12))))</f>
        <v/>
      </c>
      <c r="Q964">
        <f>IF(ISNUMBER(F964),MIN(30,ROUND(30*LOG10(F964+1)/4,1)),0)</f>
        <v/>
      </c>
      <c r="R964">
        <f>IF(ISNUMBER(G964),ROUND(25*(100-G964)/100,1),12.5)</f>
        <v/>
      </c>
      <c r="S964" t="n">
        <v>3</v>
      </c>
      <c r="T964">
        <f>ROUND(P964+Q964+R964+S964,0)</f>
        <v/>
      </c>
      <c r="U964" s="5" t="inlineStr"/>
      <c r="V964" s="5" t="inlineStr"/>
    </row>
    <row r="965">
      <c r="A965" t="inlineStr">
        <is>
          <t>K0963</t>
        </is>
      </c>
      <c r="B965" t="inlineStr">
        <is>
          <t>création site web copenhague</t>
        </is>
      </c>
      <c r="C965" t="inlineStr">
        <is>
          <t>Denmark</t>
        </is>
      </c>
      <c r="D965" t="inlineStr">
        <is>
          <t>dk</t>
        </is>
      </c>
      <c r="E965" t="inlineStr">
        <is>
          <t>fr</t>
        </is>
      </c>
      <c r="F965" t="inlineStr">
        <is>
          <t>NOT AVAILABLE</t>
        </is>
      </c>
      <c r="G965" t="inlineStr">
        <is>
          <t>NOT AVAILABLE</t>
        </is>
      </c>
      <c r="H965" t="inlineStr">
        <is>
          <t>NOT AVAILABLE</t>
        </is>
      </c>
      <c r="I965" t="inlineStr">
        <is>
          <t>NOT AVAILABLE</t>
        </is>
      </c>
      <c r="J965" t="inlineStr">
        <is>
          <t>NOT AVAILABLE</t>
        </is>
      </c>
      <c r="K965" t="inlineStr">
        <is>
          <t>NOT AVAILABLE</t>
        </is>
      </c>
      <c r="L965" t="inlineStr">
        <is>
          <t>NOT AVAILABLE</t>
        </is>
      </c>
      <c r="M965" t="inlineStr">
        <is>
          <t>UNAVAILABLE</t>
        </is>
      </c>
      <c r="N965" s="5" t="inlineStr">
        <is>
          <t>Semrush phrase_these returned no data (not billed)</t>
        </is>
      </c>
      <c r="O965" t="inlineStr">
        <is>
          <t>2026-10-30</t>
        </is>
      </c>
      <c r="P965">
        <f>IF(IF(J965="NOT AVAILABLE","",J965)="",12,IF(OR(ISNUMBER(SEARCH("Transactional",IF(J965="NOT AVAILABLE","",J965))),ISNUMBER(SEARCH("Commercial",IF(J965="NOT AVAILABLE","",J965)))),25,IF(ISNUMBER(SEARCH("Informational",IF(J965="NOT AVAILABLE","",J965))),10,IF(ISNUMBER(SEARCH("Navigational",IF(J965="NOT AVAILABLE","",J965))),0,12))))</f>
        <v/>
      </c>
      <c r="Q965">
        <f>IF(ISNUMBER(F965),MIN(30,ROUND(30*LOG10(F965+1)/4,1)),0)</f>
        <v/>
      </c>
      <c r="R965">
        <f>IF(ISNUMBER(G965),ROUND(25*(100-G965)/100,1),12.5)</f>
        <v/>
      </c>
      <c r="S965" t="n">
        <v>3</v>
      </c>
      <c r="T965">
        <f>ROUND(P965+Q965+R965+S965,0)</f>
        <v/>
      </c>
      <c r="U965" s="5" t="inlineStr"/>
      <c r="V965" s="5" t="inlineStr"/>
    </row>
    <row r="966">
      <c r="A966" t="inlineStr">
        <is>
          <t>K0964</t>
        </is>
      </c>
      <c r="B966" t="inlineStr">
        <is>
          <t>développement web copenhague</t>
        </is>
      </c>
      <c r="C966" t="inlineStr">
        <is>
          <t>Denmark</t>
        </is>
      </c>
      <c r="D966" t="inlineStr">
        <is>
          <t>dk</t>
        </is>
      </c>
      <c r="E966" t="inlineStr">
        <is>
          <t>fr</t>
        </is>
      </c>
      <c r="F966" t="inlineStr">
        <is>
          <t>NOT AVAILABLE</t>
        </is>
      </c>
      <c r="G966" t="inlineStr">
        <is>
          <t>NOT AVAILABLE</t>
        </is>
      </c>
      <c r="H966" t="inlineStr">
        <is>
          <t>NOT AVAILABLE</t>
        </is>
      </c>
      <c r="I966" t="inlineStr">
        <is>
          <t>NOT AVAILABLE</t>
        </is>
      </c>
      <c r="J966" t="inlineStr">
        <is>
          <t>NOT AVAILABLE</t>
        </is>
      </c>
      <c r="K966" t="inlineStr">
        <is>
          <t>NOT AVAILABLE</t>
        </is>
      </c>
      <c r="L966" t="inlineStr">
        <is>
          <t>NOT AVAILABLE</t>
        </is>
      </c>
      <c r="M966" t="inlineStr">
        <is>
          <t>UNAVAILABLE</t>
        </is>
      </c>
      <c r="N966" s="5" t="inlineStr">
        <is>
          <t>Semrush phrase_these returned no data (not billed)</t>
        </is>
      </c>
      <c r="O966" t="inlineStr">
        <is>
          <t>2026-10-30</t>
        </is>
      </c>
      <c r="P966">
        <f>IF(IF(J966="NOT AVAILABLE","",J966)="",12,IF(OR(ISNUMBER(SEARCH("Transactional",IF(J966="NOT AVAILABLE","",J966))),ISNUMBER(SEARCH("Commercial",IF(J966="NOT AVAILABLE","",J966)))),25,IF(ISNUMBER(SEARCH("Informational",IF(J966="NOT AVAILABLE","",J966))),10,IF(ISNUMBER(SEARCH("Navigational",IF(J966="NOT AVAILABLE","",J966))),0,12))))</f>
        <v/>
      </c>
      <c r="Q966">
        <f>IF(ISNUMBER(F966),MIN(30,ROUND(30*LOG10(F966+1)/4,1)),0)</f>
        <v/>
      </c>
      <c r="R966">
        <f>IF(ISNUMBER(G966),ROUND(25*(100-G966)/100,1),12.5)</f>
        <v/>
      </c>
      <c r="S966" t="n">
        <v>3</v>
      </c>
      <c r="T966">
        <f>ROUND(P966+Q966+R966+S966,0)</f>
        <v/>
      </c>
      <c r="U966" s="5" t="inlineStr"/>
      <c r="V966" s="5" t="inlineStr">
        <is>
          <t>PRIMARY /web-development-company/copenhagen</t>
        </is>
      </c>
    </row>
    <row r="967">
      <c r="A967" t="inlineStr">
        <is>
          <t>K0965</t>
        </is>
      </c>
      <c r="B967" t="inlineStr">
        <is>
          <t>création site web</t>
        </is>
      </c>
      <c r="C967" t="inlineStr">
        <is>
          <t>Algeria</t>
        </is>
      </c>
      <c r="D967" t="inlineStr">
        <is>
          <t>dz</t>
        </is>
      </c>
      <c r="E967" t="inlineStr">
        <is>
          <t>fr</t>
        </is>
      </c>
      <c r="F967" t="n">
        <v>110</v>
      </c>
      <c r="G967" t="inlineStr">
        <is>
          <t>NOT AVAILABLE</t>
        </is>
      </c>
      <c r="H967" t="n">
        <v>0.37</v>
      </c>
      <c r="I967" t="n">
        <v>0.43</v>
      </c>
      <c r="J967" t="inlineStr">
        <is>
          <t>NOT AVAILABLE</t>
        </is>
      </c>
      <c r="K967" t="inlineStr">
        <is>
          <t>NOT AVAILABLE (report not requested)</t>
        </is>
      </c>
      <c r="L967" t="inlineStr">
        <is>
          <t>declining (calc.)</t>
        </is>
      </c>
      <c r="M967" t="inlineStr">
        <is>
          <t>MEASURED</t>
        </is>
      </c>
      <c r="N967" s="5" t="inlineStr">
        <is>
          <t>Semrush phrase_these (live, this session)</t>
        </is>
      </c>
      <c r="O967" t="inlineStr">
        <is>
          <t>2026-10-30</t>
        </is>
      </c>
      <c r="P967">
        <f>IF(IF(J967="NOT AVAILABLE","",J967)="",12,IF(OR(ISNUMBER(SEARCH("Transactional",IF(J967="NOT AVAILABLE","",J967))),ISNUMBER(SEARCH("Commercial",IF(J967="NOT AVAILABLE","",J967)))),25,IF(ISNUMBER(SEARCH("Informational",IF(J967="NOT AVAILABLE","",J967))),10,IF(ISNUMBER(SEARCH("Navigational",IF(J967="NOT AVAILABLE","",J967))),0,12))))</f>
        <v/>
      </c>
      <c r="Q967">
        <f>IF(ISNUMBER(F967),MIN(30,ROUND(30*LOG10(F967+1)/4,1)),0)</f>
        <v/>
      </c>
      <c r="R967">
        <f>IF(ISNUMBER(G967),ROUND(25*(100-G967)/100,1),12.5)</f>
        <v/>
      </c>
      <c r="S967" t="n">
        <v>6</v>
      </c>
      <c r="T967">
        <f>ROUND(P967+Q967+R967+S967,0)</f>
        <v/>
      </c>
      <c r="U967" s="5" t="inlineStr"/>
      <c r="V967" s="5" t="inlineStr"/>
    </row>
    <row r="968">
      <c r="A968" t="inlineStr">
        <is>
          <t>K0966</t>
        </is>
      </c>
      <c r="B968" t="inlineStr">
        <is>
          <t>référencement naturel</t>
        </is>
      </c>
      <c r="C968" t="inlineStr">
        <is>
          <t>Algeria</t>
        </is>
      </c>
      <c r="D968" t="inlineStr">
        <is>
          <t>dz</t>
        </is>
      </c>
      <c r="E968" t="inlineStr">
        <is>
          <t>fr</t>
        </is>
      </c>
      <c r="F968" t="n">
        <v>40</v>
      </c>
      <c r="G968" t="inlineStr">
        <is>
          <t>NOT AVAILABLE</t>
        </is>
      </c>
      <c r="H968" t="n">
        <v>0</v>
      </c>
      <c r="I968" t="n">
        <v>0.14</v>
      </c>
      <c r="J968" t="inlineStr">
        <is>
          <t>NOT AVAILABLE</t>
        </is>
      </c>
      <c r="K968" t="inlineStr">
        <is>
          <t>NOT AVAILABLE (report not requested)</t>
        </is>
      </c>
      <c r="L968" t="inlineStr">
        <is>
          <t>rising (calc.)</t>
        </is>
      </c>
      <c r="M968" t="inlineStr">
        <is>
          <t>MEASURED</t>
        </is>
      </c>
      <c r="N968" s="5" t="inlineStr">
        <is>
          <t>Semrush phrase_these (live, this session)</t>
        </is>
      </c>
      <c r="O968" t="inlineStr">
        <is>
          <t>2026-10-30</t>
        </is>
      </c>
      <c r="P968">
        <f>IF(IF(J968="NOT AVAILABLE","",J968)="",12,IF(OR(ISNUMBER(SEARCH("Transactional",IF(J968="NOT AVAILABLE","",J968))),ISNUMBER(SEARCH("Commercial",IF(J968="NOT AVAILABLE","",J968)))),25,IF(ISNUMBER(SEARCH("Informational",IF(J968="NOT AVAILABLE","",J968))),10,IF(ISNUMBER(SEARCH("Navigational",IF(J968="NOT AVAILABLE","",J968))),0,12))))</f>
        <v/>
      </c>
      <c r="Q968">
        <f>IF(ISNUMBER(F968),MIN(30,ROUND(30*LOG10(F968+1)/4,1)),0)</f>
        <v/>
      </c>
      <c r="R968">
        <f>IF(ISNUMBER(G968),ROUND(25*(100-G968)/100,1),12.5)</f>
        <v/>
      </c>
      <c r="S968" t="n">
        <v>6</v>
      </c>
      <c r="T968">
        <f>ROUND(P968+Q968+R968+S968,0)</f>
        <v/>
      </c>
      <c r="U968" s="5" t="inlineStr"/>
      <c r="V968" s="5" t="inlineStr"/>
    </row>
    <row r="969">
      <c r="A969" t="inlineStr">
        <is>
          <t>K0967</t>
        </is>
      </c>
      <c r="B969" t="inlineStr">
        <is>
          <t>développement application web</t>
        </is>
      </c>
      <c r="C969" t="inlineStr">
        <is>
          <t>Algeria</t>
        </is>
      </c>
      <c r="D969" t="inlineStr">
        <is>
          <t>dz</t>
        </is>
      </c>
      <c r="E969" t="inlineStr">
        <is>
          <t>fr</t>
        </is>
      </c>
      <c r="F969" t="n">
        <v>30</v>
      </c>
      <c r="G969" t="inlineStr">
        <is>
          <t>NOT AVAILABLE</t>
        </is>
      </c>
      <c r="H969" t="n">
        <v>0</v>
      </c>
      <c r="I969" t="n">
        <v>0.17</v>
      </c>
      <c r="J969" t="inlineStr">
        <is>
          <t>NOT AVAILABLE</t>
        </is>
      </c>
      <c r="K969" t="inlineStr">
        <is>
          <t>NOT AVAILABLE (report not requested)</t>
        </is>
      </c>
      <c r="L969" t="inlineStr">
        <is>
          <t>rising (calc.)</t>
        </is>
      </c>
      <c r="M969" t="inlineStr">
        <is>
          <t>MEASURED</t>
        </is>
      </c>
      <c r="N969" s="5" t="inlineStr">
        <is>
          <t>Semrush phrase_these (live, this session)</t>
        </is>
      </c>
      <c r="O969" t="inlineStr">
        <is>
          <t>2026-10-30</t>
        </is>
      </c>
      <c r="P969">
        <f>IF(IF(J969="NOT AVAILABLE","",J969)="",12,IF(OR(ISNUMBER(SEARCH("Transactional",IF(J969="NOT AVAILABLE","",J969))),ISNUMBER(SEARCH("Commercial",IF(J969="NOT AVAILABLE","",J969)))),25,IF(ISNUMBER(SEARCH("Informational",IF(J969="NOT AVAILABLE","",J969))),10,IF(ISNUMBER(SEARCH("Navigational",IF(J969="NOT AVAILABLE","",J969))),0,12))))</f>
        <v/>
      </c>
      <c r="Q969">
        <f>IF(ISNUMBER(F969),MIN(30,ROUND(30*LOG10(F969+1)/4,1)),0)</f>
        <v/>
      </c>
      <c r="R969">
        <f>IF(ISNUMBER(G969),ROUND(25*(100-G969)/100,1),12.5)</f>
        <v/>
      </c>
      <c r="S969" t="n">
        <v>6</v>
      </c>
      <c r="T969">
        <f>ROUND(P969+Q969+R969+S969,0)</f>
        <v/>
      </c>
      <c r="U969" s="5" t="inlineStr"/>
      <c r="V969" s="5" t="inlineStr"/>
    </row>
    <row r="970">
      <c r="A970" t="inlineStr">
        <is>
          <t>K0968</t>
        </is>
      </c>
      <c r="B970" t="inlineStr">
        <is>
          <t>développeur web freelance</t>
        </is>
      </c>
      <c r="C970" t="inlineStr">
        <is>
          <t>Algeria</t>
        </is>
      </c>
      <c r="D970" t="inlineStr">
        <is>
          <t>dz</t>
        </is>
      </c>
      <c r="E970" t="inlineStr">
        <is>
          <t>fr</t>
        </is>
      </c>
      <c r="F970" t="n">
        <v>30</v>
      </c>
      <c r="G970" t="inlineStr">
        <is>
          <t>NOT AVAILABLE</t>
        </is>
      </c>
      <c r="H970" t="n">
        <v>0</v>
      </c>
      <c r="I970" t="n">
        <v>0.02</v>
      </c>
      <c r="J970" t="inlineStr">
        <is>
          <t>NOT AVAILABLE</t>
        </is>
      </c>
      <c r="K970" t="inlineStr">
        <is>
          <t>NOT AVAILABLE (report not requested)</t>
        </is>
      </c>
      <c r="L970" t="inlineStr">
        <is>
          <t>rising (calc.)</t>
        </is>
      </c>
      <c r="M970" t="inlineStr">
        <is>
          <t>MEASURED</t>
        </is>
      </c>
      <c r="N970" s="5" t="inlineStr">
        <is>
          <t>Semrush phrase_these (live, this session)</t>
        </is>
      </c>
      <c r="O970" t="inlineStr">
        <is>
          <t>2026-10-30</t>
        </is>
      </c>
      <c r="P970">
        <f>IF(IF(J970="NOT AVAILABLE","",J970)="",12,IF(OR(ISNUMBER(SEARCH("Transactional",IF(J970="NOT AVAILABLE","",J970))),ISNUMBER(SEARCH("Commercial",IF(J970="NOT AVAILABLE","",J970)))),25,IF(ISNUMBER(SEARCH("Informational",IF(J970="NOT AVAILABLE","",J970))),10,IF(ISNUMBER(SEARCH("Navigational",IF(J970="NOT AVAILABLE","",J970))),0,12))))</f>
        <v/>
      </c>
      <c r="Q970">
        <f>IF(ISNUMBER(F970),MIN(30,ROUND(30*LOG10(F970+1)/4,1)),0)</f>
        <v/>
      </c>
      <c r="R970">
        <f>IF(ISNUMBER(G970),ROUND(25*(100-G970)/100,1),12.5)</f>
        <v/>
      </c>
      <c r="S970" t="n">
        <v>6</v>
      </c>
      <c r="T970">
        <f>ROUND(P970+Q970+R970+S970,0)</f>
        <v/>
      </c>
      <c r="U970" s="5" t="inlineStr"/>
      <c r="V970" s="5" t="inlineStr"/>
    </row>
    <row r="971">
      <c r="A971" t="inlineStr">
        <is>
          <t>K0969</t>
        </is>
      </c>
      <c r="B971" t="inlineStr">
        <is>
          <t>webdesigner</t>
        </is>
      </c>
      <c r="C971" t="inlineStr">
        <is>
          <t>Algeria</t>
        </is>
      </c>
      <c r="D971" t="inlineStr">
        <is>
          <t>dz</t>
        </is>
      </c>
      <c r="E971" t="inlineStr">
        <is>
          <t>fr</t>
        </is>
      </c>
      <c r="F971" t="n">
        <v>30</v>
      </c>
      <c r="G971" t="inlineStr">
        <is>
          <t>NOT AVAILABLE</t>
        </is>
      </c>
      <c r="H971" t="n">
        <v>0</v>
      </c>
      <c r="I971" t="n">
        <v>0.33</v>
      </c>
      <c r="J971" t="inlineStr">
        <is>
          <t>NOT AVAILABLE</t>
        </is>
      </c>
      <c r="K971" t="inlineStr">
        <is>
          <t>NOT AVAILABLE (report not requested)</t>
        </is>
      </c>
      <c r="L971" t="inlineStr">
        <is>
          <t>declining (calc.)</t>
        </is>
      </c>
      <c r="M971" t="inlineStr">
        <is>
          <t>MEASURED</t>
        </is>
      </c>
      <c r="N971" s="5" t="inlineStr">
        <is>
          <t>Semrush phrase_these (live, this session)</t>
        </is>
      </c>
      <c r="O971" t="inlineStr">
        <is>
          <t>2026-10-30</t>
        </is>
      </c>
      <c r="P971">
        <f>IF(IF(J971="NOT AVAILABLE","",J971)="",12,IF(OR(ISNUMBER(SEARCH("Transactional",IF(J971="NOT AVAILABLE","",J971))),ISNUMBER(SEARCH("Commercial",IF(J971="NOT AVAILABLE","",J971)))),25,IF(ISNUMBER(SEARCH("Informational",IF(J971="NOT AVAILABLE","",J971))),10,IF(ISNUMBER(SEARCH("Navigational",IF(J971="NOT AVAILABLE","",J971))),0,12))))</f>
        <v/>
      </c>
      <c r="Q971">
        <f>IF(ISNUMBER(F971),MIN(30,ROUND(30*LOG10(F971+1)/4,1)),0)</f>
        <v/>
      </c>
      <c r="R971">
        <f>IF(ISNUMBER(G971),ROUND(25*(100-G971)/100,1),12.5)</f>
        <v/>
      </c>
      <c r="S971" t="n">
        <v>6</v>
      </c>
      <c r="T971">
        <f>ROUND(P971+Q971+R971+S971,0)</f>
        <v/>
      </c>
      <c r="U971" s="5" t="inlineStr"/>
      <c r="V971" s="5" t="inlineStr"/>
    </row>
    <row r="972">
      <c r="A972" t="inlineStr">
        <is>
          <t>K0970</t>
        </is>
      </c>
      <c r="B972" t="inlineStr">
        <is>
          <t>agence de développement web</t>
        </is>
      </c>
      <c r="C972" t="inlineStr">
        <is>
          <t>Algeria</t>
        </is>
      </c>
      <c r="D972" t="inlineStr">
        <is>
          <t>dz</t>
        </is>
      </c>
      <c r="E972" t="inlineStr">
        <is>
          <t>fr</t>
        </is>
      </c>
      <c r="F972" t="n">
        <v>20</v>
      </c>
      <c r="G972" t="inlineStr">
        <is>
          <t>NOT AVAILABLE</t>
        </is>
      </c>
      <c r="H972" t="n">
        <v>0</v>
      </c>
      <c r="I972" t="n">
        <v>0.18</v>
      </c>
      <c r="J972" t="inlineStr">
        <is>
          <t>NOT AVAILABLE</t>
        </is>
      </c>
      <c r="K972" t="inlineStr">
        <is>
          <t>NOT AVAILABLE (report not requested)</t>
        </is>
      </c>
      <c r="L972" t="inlineStr">
        <is>
          <t>stable (calc.)</t>
        </is>
      </c>
      <c r="M972" t="inlineStr">
        <is>
          <t>MEASURED</t>
        </is>
      </c>
      <c r="N972" s="5" t="inlineStr">
        <is>
          <t>Semrush phrase_these (live, this session)</t>
        </is>
      </c>
      <c r="O972" t="inlineStr">
        <is>
          <t>2026-10-30</t>
        </is>
      </c>
      <c r="P972">
        <f>IF(IF(J972="NOT AVAILABLE","",J972)="",12,IF(OR(ISNUMBER(SEARCH("Transactional",IF(J972="NOT AVAILABLE","",J972))),ISNUMBER(SEARCH("Commercial",IF(J972="NOT AVAILABLE","",J972)))),25,IF(ISNUMBER(SEARCH("Informational",IF(J972="NOT AVAILABLE","",J972))),10,IF(ISNUMBER(SEARCH("Navigational",IF(J972="NOT AVAILABLE","",J972))),0,12))))</f>
        <v/>
      </c>
      <c r="Q972">
        <f>IF(ISNUMBER(F972),MIN(30,ROUND(30*LOG10(F972+1)/4,1)),0)</f>
        <v/>
      </c>
      <c r="R972">
        <f>IF(ISNUMBER(G972),ROUND(25*(100-G972)/100,1),12.5)</f>
        <v/>
      </c>
      <c r="S972" t="n">
        <v>6</v>
      </c>
      <c r="T972">
        <f>ROUND(P972+Q972+R972+S972,0)</f>
        <v/>
      </c>
      <c r="U972" s="5" t="inlineStr"/>
      <c r="V972" s="5" t="inlineStr"/>
    </row>
    <row r="973">
      <c r="A973" t="inlineStr">
        <is>
          <t>K0971</t>
        </is>
      </c>
      <c r="B973" t="inlineStr">
        <is>
          <t>agence digitale</t>
        </is>
      </c>
      <c r="C973" t="inlineStr">
        <is>
          <t>Algeria</t>
        </is>
      </c>
      <c r="D973" t="inlineStr">
        <is>
          <t>dz</t>
        </is>
      </c>
      <c r="E973" t="inlineStr">
        <is>
          <t>fr</t>
        </is>
      </c>
      <c r="F973" t="n">
        <v>20</v>
      </c>
      <c r="G973" t="inlineStr">
        <is>
          <t>NOT AVAILABLE</t>
        </is>
      </c>
      <c r="H973" t="n">
        <v>0</v>
      </c>
      <c r="I973" t="n">
        <v>0.07000000000000001</v>
      </c>
      <c r="J973" t="inlineStr">
        <is>
          <t>NOT AVAILABLE</t>
        </is>
      </c>
      <c r="K973" t="inlineStr">
        <is>
          <t>NOT AVAILABLE (report not requested)</t>
        </is>
      </c>
      <c r="L973" t="inlineStr">
        <is>
          <t>stable (calc.)</t>
        </is>
      </c>
      <c r="M973" t="inlineStr">
        <is>
          <t>MEASURED</t>
        </is>
      </c>
      <c r="N973" s="5" t="inlineStr">
        <is>
          <t>Semrush phrase_these (live, this session)</t>
        </is>
      </c>
      <c r="O973" t="inlineStr">
        <is>
          <t>2026-10-30</t>
        </is>
      </c>
      <c r="P973">
        <f>IF(IF(J973="NOT AVAILABLE","",J973)="",12,IF(OR(ISNUMBER(SEARCH("Transactional",IF(J973="NOT AVAILABLE","",J973))),ISNUMBER(SEARCH("Commercial",IF(J973="NOT AVAILABLE","",J973)))),25,IF(ISNUMBER(SEARCH("Informational",IF(J973="NOT AVAILABLE","",J973))),10,IF(ISNUMBER(SEARCH("Navigational",IF(J973="NOT AVAILABLE","",J973))),0,12))))</f>
        <v/>
      </c>
      <c r="Q973">
        <f>IF(ISNUMBER(F973),MIN(30,ROUND(30*LOG10(F973+1)/4,1)),0)</f>
        <v/>
      </c>
      <c r="R973">
        <f>IF(ISNUMBER(G973),ROUND(25*(100-G973)/100,1),12.5)</f>
        <v/>
      </c>
      <c r="S973" t="n">
        <v>6</v>
      </c>
      <c r="T973">
        <f>ROUND(P973+Q973+R973+S973,0)</f>
        <v/>
      </c>
      <c r="U973" s="5" t="inlineStr"/>
      <c r="V973" s="5" t="inlineStr"/>
    </row>
    <row r="974">
      <c r="A974" t="inlineStr">
        <is>
          <t>K0972</t>
        </is>
      </c>
      <c r="B974" t="inlineStr">
        <is>
          <t>agence seo</t>
        </is>
      </c>
      <c r="C974" t="inlineStr">
        <is>
          <t>Algeria</t>
        </is>
      </c>
      <c r="D974" t="inlineStr">
        <is>
          <t>dz</t>
        </is>
      </c>
      <c r="E974" t="inlineStr">
        <is>
          <t>fr</t>
        </is>
      </c>
      <c r="F974" t="n">
        <v>20</v>
      </c>
      <c r="G974" t="inlineStr">
        <is>
          <t>NOT AVAILABLE</t>
        </is>
      </c>
      <c r="H974" t="n">
        <v>0</v>
      </c>
      <c r="I974" t="n">
        <v>0.05</v>
      </c>
      <c r="J974" t="inlineStr">
        <is>
          <t>NOT AVAILABLE</t>
        </is>
      </c>
      <c r="K974" t="inlineStr">
        <is>
          <t>NOT AVAILABLE (report not requested)</t>
        </is>
      </c>
      <c r="L974" t="inlineStr">
        <is>
          <t>rising (calc.)</t>
        </is>
      </c>
      <c r="M974" t="inlineStr">
        <is>
          <t>MEASURED</t>
        </is>
      </c>
      <c r="N974" s="5" t="inlineStr">
        <is>
          <t>Semrush phrase_these (live, this session)</t>
        </is>
      </c>
      <c r="O974" t="inlineStr">
        <is>
          <t>2026-10-30</t>
        </is>
      </c>
      <c r="P974">
        <f>IF(IF(J974="NOT AVAILABLE","",J974)="",12,IF(OR(ISNUMBER(SEARCH("Transactional",IF(J974="NOT AVAILABLE","",J974))),ISNUMBER(SEARCH("Commercial",IF(J974="NOT AVAILABLE","",J974)))),25,IF(ISNUMBER(SEARCH("Informational",IF(J974="NOT AVAILABLE","",J974))),10,IF(ISNUMBER(SEARCH("Navigational",IF(J974="NOT AVAILABLE","",J974))),0,12))))</f>
        <v/>
      </c>
      <c r="Q974">
        <f>IF(ISNUMBER(F974),MIN(30,ROUND(30*LOG10(F974+1)/4,1)),0)</f>
        <v/>
      </c>
      <c r="R974">
        <f>IF(ISNUMBER(G974),ROUND(25*(100-G974)/100,1),12.5)</f>
        <v/>
      </c>
      <c r="S974" t="n">
        <v>6</v>
      </c>
      <c r="T974">
        <f>ROUND(P974+Q974+R974+S974,0)</f>
        <v/>
      </c>
      <c r="U974" s="5" t="inlineStr"/>
      <c r="V974" s="5" t="inlineStr"/>
    </row>
    <row r="975">
      <c r="A975" t="inlineStr">
        <is>
          <t>K0973</t>
        </is>
      </c>
      <c r="B975" t="inlineStr">
        <is>
          <t>agence web</t>
        </is>
      </c>
      <c r="C975" t="inlineStr">
        <is>
          <t>Algeria</t>
        </is>
      </c>
      <c r="D975" t="inlineStr">
        <is>
          <t>dz</t>
        </is>
      </c>
      <c r="E975" t="inlineStr">
        <is>
          <t>fr</t>
        </is>
      </c>
      <c r="F975" t="n">
        <v>20</v>
      </c>
      <c r="G975" t="inlineStr">
        <is>
          <t>NOT AVAILABLE</t>
        </is>
      </c>
      <c r="H975" t="n">
        <v>1.28</v>
      </c>
      <c r="I975" t="n">
        <v>0.05</v>
      </c>
      <c r="J975" t="inlineStr">
        <is>
          <t>NOT AVAILABLE</t>
        </is>
      </c>
      <c r="K975" t="inlineStr">
        <is>
          <t>NOT AVAILABLE (report not requested)</t>
        </is>
      </c>
      <c r="L975" t="inlineStr">
        <is>
          <t>declining (calc.)</t>
        </is>
      </c>
      <c r="M975" t="inlineStr">
        <is>
          <t>MEASURED</t>
        </is>
      </c>
      <c r="N975" s="5" t="inlineStr">
        <is>
          <t>Semrush phrase_these (live, this session)</t>
        </is>
      </c>
      <c r="O975" t="inlineStr">
        <is>
          <t>2026-10-30</t>
        </is>
      </c>
      <c r="P975">
        <f>IF(IF(J975="NOT AVAILABLE","",J975)="",12,IF(OR(ISNUMBER(SEARCH("Transactional",IF(J975="NOT AVAILABLE","",J975))),ISNUMBER(SEARCH("Commercial",IF(J975="NOT AVAILABLE","",J975)))),25,IF(ISNUMBER(SEARCH("Informational",IF(J975="NOT AVAILABLE","",J975))),10,IF(ISNUMBER(SEARCH("Navigational",IF(J975="NOT AVAILABLE","",J975))),0,12))))</f>
        <v/>
      </c>
      <c r="Q975">
        <f>IF(ISNUMBER(F975),MIN(30,ROUND(30*LOG10(F975+1)/4,1)),0)</f>
        <v/>
      </c>
      <c r="R975">
        <f>IF(ISNUMBER(G975),ROUND(25*(100-G975)/100,1),12.5)</f>
        <v/>
      </c>
      <c r="S975" t="n">
        <v>6</v>
      </c>
      <c r="T975">
        <f>ROUND(P975+Q975+R975+S975,0)</f>
        <v/>
      </c>
      <c r="U975" s="5" t="inlineStr"/>
      <c r="V975" s="5" t="inlineStr"/>
    </row>
    <row r="976">
      <c r="A976" t="inlineStr">
        <is>
          <t>K0974</t>
        </is>
      </c>
      <c r="B976" t="inlineStr">
        <is>
          <t>agence web alger</t>
        </is>
      </c>
      <c r="C976" t="inlineStr">
        <is>
          <t>Algeria</t>
        </is>
      </c>
      <c r="D976" t="inlineStr">
        <is>
          <t>dz</t>
        </is>
      </c>
      <c r="E976" t="inlineStr">
        <is>
          <t>fr</t>
        </is>
      </c>
      <c r="F976" t="n">
        <v>20</v>
      </c>
      <c r="G976" t="inlineStr">
        <is>
          <t>NOT AVAILABLE</t>
        </is>
      </c>
      <c r="H976" t="n">
        <v>0</v>
      </c>
      <c r="I976" t="n">
        <v>0.05</v>
      </c>
      <c r="J976" t="inlineStr">
        <is>
          <t>NOT AVAILABLE</t>
        </is>
      </c>
      <c r="K976" t="inlineStr">
        <is>
          <t>NOT AVAILABLE (report not requested)</t>
        </is>
      </c>
      <c r="L976" t="inlineStr">
        <is>
          <t>rising (calc.)</t>
        </is>
      </c>
      <c r="M976" t="inlineStr">
        <is>
          <t>MEASURED</t>
        </is>
      </c>
      <c r="N976" s="5" t="inlineStr">
        <is>
          <t>Semrush phrase_these (live, this session)</t>
        </is>
      </c>
      <c r="O976" t="inlineStr">
        <is>
          <t>2026-10-30</t>
        </is>
      </c>
      <c r="P976">
        <f>IF(IF(J976="NOT AVAILABLE","",J976)="",12,IF(OR(ISNUMBER(SEARCH("Transactional",IF(J976="NOT AVAILABLE","",J976))),ISNUMBER(SEARCH("Commercial",IF(J976="NOT AVAILABLE","",J976)))),25,IF(ISNUMBER(SEARCH("Informational",IF(J976="NOT AVAILABLE","",J976))),10,IF(ISNUMBER(SEARCH("Navigational",IF(J976="NOT AVAILABLE","",J976))),0,12))))</f>
        <v/>
      </c>
      <c r="Q976">
        <f>IF(ISNUMBER(F976),MIN(30,ROUND(30*LOG10(F976+1)/4,1)),0)</f>
        <v/>
      </c>
      <c r="R976">
        <f>IF(ISNUMBER(G976),ROUND(25*(100-G976)/100,1),12.5)</f>
        <v/>
      </c>
      <c r="S976" t="n">
        <v>6</v>
      </c>
      <c r="T976">
        <f>ROUND(P976+Q976+R976+S976,0)</f>
        <v/>
      </c>
      <c r="U976" s="5" t="inlineStr"/>
      <c r="V976" s="5" t="inlineStr"/>
    </row>
    <row r="977">
      <c r="A977" t="inlineStr">
        <is>
          <t>K0975</t>
        </is>
      </c>
      <c r="B977" t="inlineStr">
        <is>
          <t>agence web algérie</t>
        </is>
      </c>
      <c r="C977" t="inlineStr">
        <is>
          <t>Algeria</t>
        </is>
      </c>
      <c r="D977" t="inlineStr">
        <is>
          <t>dz</t>
        </is>
      </c>
      <c r="E977" t="inlineStr">
        <is>
          <t>fr</t>
        </is>
      </c>
      <c r="F977" t="n">
        <v>20</v>
      </c>
      <c r="G977" t="inlineStr">
        <is>
          <t>NOT AVAILABLE</t>
        </is>
      </c>
      <c r="H977" t="n">
        <v>0</v>
      </c>
      <c r="I977" t="n">
        <v>0.33</v>
      </c>
      <c r="J977" t="inlineStr">
        <is>
          <t>NOT AVAILABLE</t>
        </is>
      </c>
      <c r="K977" t="inlineStr">
        <is>
          <t>NOT AVAILABLE (report not requested)</t>
        </is>
      </c>
      <c r="L977" t="inlineStr">
        <is>
          <t>declining (calc.)</t>
        </is>
      </c>
      <c r="M977" t="inlineStr">
        <is>
          <t>MEASURED</t>
        </is>
      </c>
      <c r="N977" s="5" t="inlineStr">
        <is>
          <t>Semrush phrase_these (live, this session)</t>
        </is>
      </c>
      <c r="O977" t="inlineStr">
        <is>
          <t>2026-10-30</t>
        </is>
      </c>
      <c r="P977">
        <f>IF(IF(J977="NOT AVAILABLE","",J977)="",12,IF(OR(ISNUMBER(SEARCH("Transactional",IF(J977="NOT AVAILABLE","",J977))),ISNUMBER(SEARCH("Commercial",IF(J977="NOT AVAILABLE","",J977)))),25,IF(ISNUMBER(SEARCH("Informational",IF(J977="NOT AVAILABLE","",J977))),10,IF(ISNUMBER(SEARCH("Navigational",IF(J977="NOT AVAILABLE","",J977))),0,12))))</f>
        <v/>
      </c>
      <c r="Q977">
        <f>IF(ISNUMBER(F977),MIN(30,ROUND(30*LOG10(F977+1)/4,1)),0)</f>
        <v/>
      </c>
      <c r="R977">
        <f>IF(ISNUMBER(G977),ROUND(25*(100-G977)/100,1),12.5)</f>
        <v/>
      </c>
      <c r="S977" t="n">
        <v>6</v>
      </c>
      <c r="T977">
        <f>ROUND(P977+Q977+R977+S977,0)</f>
        <v/>
      </c>
      <c r="U977" s="5" t="inlineStr"/>
      <c r="V977" s="5" t="inlineStr"/>
    </row>
    <row r="978">
      <c r="A978" t="inlineStr">
        <is>
          <t>K0976</t>
        </is>
      </c>
      <c r="B978" t="inlineStr">
        <is>
          <t>conception site web</t>
        </is>
      </c>
      <c r="C978" t="inlineStr">
        <is>
          <t>Algeria</t>
        </is>
      </c>
      <c r="D978" t="inlineStr">
        <is>
          <t>dz</t>
        </is>
      </c>
      <c r="E978" t="inlineStr">
        <is>
          <t>fr</t>
        </is>
      </c>
      <c r="F978" t="n">
        <v>20</v>
      </c>
      <c r="G978" t="inlineStr">
        <is>
          <t>NOT AVAILABLE</t>
        </is>
      </c>
      <c r="H978" t="n">
        <v>0.23</v>
      </c>
      <c r="I978" t="n">
        <v>0.1</v>
      </c>
      <c r="J978" t="inlineStr">
        <is>
          <t>NOT AVAILABLE</t>
        </is>
      </c>
      <c r="K978" t="inlineStr">
        <is>
          <t>NOT AVAILABLE (report not requested)</t>
        </is>
      </c>
      <c r="L978" t="inlineStr">
        <is>
          <t>declining (calc.)</t>
        </is>
      </c>
      <c r="M978" t="inlineStr">
        <is>
          <t>MEASURED</t>
        </is>
      </c>
      <c r="N978" s="5" t="inlineStr">
        <is>
          <t>Semrush phrase_these (live, this session)</t>
        </is>
      </c>
      <c r="O978" t="inlineStr">
        <is>
          <t>2026-10-30</t>
        </is>
      </c>
      <c r="P978">
        <f>IF(IF(J978="NOT AVAILABLE","",J978)="",12,IF(OR(ISNUMBER(SEARCH("Transactional",IF(J978="NOT AVAILABLE","",J978))),ISNUMBER(SEARCH("Commercial",IF(J978="NOT AVAILABLE","",J978)))),25,IF(ISNUMBER(SEARCH("Informational",IF(J978="NOT AVAILABLE","",J978))),10,IF(ISNUMBER(SEARCH("Navigational",IF(J978="NOT AVAILABLE","",J978))),0,12))))</f>
        <v/>
      </c>
      <c r="Q978">
        <f>IF(ISNUMBER(F978),MIN(30,ROUND(30*LOG10(F978+1)/4,1)),0)</f>
        <v/>
      </c>
      <c r="R978">
        <f>IF(ISNUMBER(G978),ROUND(25*(100-G978)/100,1),12.5)</f>
        <v/>
      </c>
      <c r="S978" t="n">
        <v>6</v>
      </c>
      <c r="T978">
        <f>ROUND(P978+Q978+R978+S978,0)</f>
        <v/>
      </c>
      <c r="U978" s="5" t="inlineStr"/>
      <c r="V978" s="5" t="inlineStr"/>
    </row>
    <row r="979">
      <c r="A979" t="inlineStr">
        <is>
          <t>K0977</t>
        </is>
      </c>
      <c r="B979" t="inlineStr">
        <is>
          <t>création boutique en ligne</t>
        </is>
      </c>
      <c r="C979" t="inlineStr">
        <is>
          <t>Algeria</t>
        </is>
      </c>
      <c r="D979" t="inlineStr">
        <is>
          <t>dz</t>
        </is>
      </c>
      <c r="E979" t="inlineStr">
        <is>
          <t>fr</t>
        </is>
      </c>
      <c r="F979" t="n">
        <v>20</v>
      </c>
      <c r="G979" t="inlineStr">
        <is>
          <t>NOT AVAILABLE</t>
        </is>
      </c>
      <c r="H979" t="n">
        <v>0.36</v>
      </c>
      <c r="I979" t="n">
        <v>0.54</v>
      </c>
      <c r="J979" t="inlineStr">
        <is>
          <t>NOT AVAILABLE</t>
        </is>
      </c>
      <c r="K979" t="inlineStr">
        <is>
          <t>NOT AVAILABLE (report not requested)</t>
        </is>
      </c>
      <c r="L979" t="inlineStr">
        <is>
          <t>rising (calc.)</t>
        </is>
      </c>
      <c r="M979" t="inlineStr">
        <is>
          <t>MEASURED</t>
        </is>
      </c>
      <c r="N979" s="5" t="inlineStr">
        <is>
          <t>Semrush phrase_these (live, this session)</t>
        </is>
      </c>
      <c r="O979" t="inlineStr">
        <is>
          <t>2026-10-30</t>
        </is>
      </c>
      <c r="P979">
        <f>IF(IF(J979="NOT AVAILABLE","",J979)="",12,IF(OR(ISNUMBER(SEARCH("Transactional",IF(J979="NOT AVAILABLE","",J979))),ISNUMBER(SEARCH("Commercial",IF(J979="NOT AVAILABLE","",J979)))),25,IF(ISNUMBER(SEARCH("Informational",IF(J979="NOT AVAILABLE","",J979))),10,IF(ISNUMBER(SEARCH("Navigational",IF(J979="NOT AVAILABLE","",J979))),0,12))))</f>
        <v/>
      </c>
      <c r="Q979">
        <f>IF(ISNUMBER(F979),MIN(30,ROUND(30*LOG10(F979+1)/4,1)),0)</f>
        <v/>
      </c>
      <c r="R979">
        <f>IF(ISNUMBER(G979),ROUND(25*(100-G979)/100,1),12.5)</f>
        <v/>
      </c>
      <c r="S979" t="n">
        <v>6</v>
      </c>
      <c r="T979">
        <f>ROUND(P979+Q979+R979+S979,0)</f>
        <v/>
      </c>
      <c r="U979" s="5" t="inlineStr"/>
      <c r="V979" s="5" t="inlineStr"/>
    </row>
    <row r="980">
      <c r="A980" t="inlineStr">
        <is>
          <t>K0978</t>
        </is>
      </c>
      <c r="B980" t="inlineStr">
        <is>
          <t>création site e-commerce</t>
        </is>
      </c>
      <c r="C980" t="inlineStr">
        <is>
          <t>Algeria</t>
        </is>
      </c>
      <c r="D980" t="inlineStr">
        <is>
          <t>dz</t>
        </is>
      </c>
      <c r="E980" t="inlineStr">
        <is>
          <t>fr</t>
        </is>
      </c>
      <c r="F980" t="n">
        <v>20</v>
      </c>
      <c r="G980" t="inlineStr">
        <is>
          <t>NOT AVAILABLE</t>
        </is>
      </c>
      <c r="H980" t="n">
        <v>0.23</v>
      </c>
      <c r="I980" t="n">
        <v>0.35</v>
      </c>
      <c r="J980" t="inlineStr">
        <is>
          <t>NOT AVAILABLE</t>
        </is>
      </c>
      <c r="K980" t="inlineStr">
        <is>
          <t>NOT AVAILABLE (report not requested)</t>
        </is>
      </c>
      <c r="L980" t="inlineStr">
        <is>
          <t>rising (calc.)</t>
        </is>
      </c>
      <c r="M980" t="inlineStr">
        <is>
          <t>MEASURED</t>
        </is>
      </c>
      <c r="N980" s="5" t="inlineStr">
        <is>
          <t>Semrush phrase_these (live, this session)</t>
        </is>
      </c>
      <c r="O980" t="inlineStr">
        <is>
          <t>2026-10-30</t>
        </is>
      </c>
      <c r="P980">
        <f>IF(IF(J980="NOT AVAILABLE","",J980)="",12,IF(OR(ISNUMBER(SEARCH("Transactional",IF(J980="NOT AVAILABLE","",J980))),ISNUMBER(SEARCH("Commercial",IF(J980="NOT AVAILABLE","",J980)))),25,IF(ISNUMBER(SEARCH("Informational",IF(J980="NOT AVAILABLE","",J980))),10,IF(ISNUMBER(SEARCH("Navigational",IF(J980="NOT AVAILABLE","",J980))),0,12))))</f>
        <v/>
      </c>
      <c r="Q980">
        <f>IF(ISNUMBER(F980),MIN(30,ROUND(30*LOG10(F980+1)/4,1)),0)</f>
        <v/>
      </c>
      <c r="R980">
        <f>IF(ISNUMBER(G980),ROUND(25*(100-G980)/100,1),12.5)</f>
        <v/>
      </c>
      <c r="S980" t="n">
        <v>6</v>
      </c>
      <c r="T980">
        <f>ROUND(P980+Q980+R980+S980,0)</f>
        <v/>
      </c>
      <c r="U980" s="5" t="inlineStr"/>
      <c r="V980" s="5" t="inlineStr"/>
    </row>
    <row r="981">
      <c r="A981" t="inlineStr">
        <is>
          <t>K0979</t>
        </is>
      </c>
      <c r="B981" t="inlineStr">
        <is>
          <t>création site internet</t>
        </is>
      </c>
      <c r="C981" t="inlineStr">
        <is>
          <t>Algeria</t>
        </is>
      </c>
      <c r="D981" t="inlineStr">
        <is>
          <t>dz</t>
        </is>
      </c>
      <c r="E981" t="inlineStr">
        <is>
          <t>fr</t>
        </is>
      </c>
      <c r="F981" t="n">
        <v>20</v>
      </c>
      <c r="G981" t="inlineStr">
        <is>
          <t>NOT AVAILABLE</t>
        </is>
      </c>
      <c r="H981" t="n">
        <v>0.51</v>
      </c>
      <c r="I981" t="n">
        <v>0.35</v>
      </c>
      <c r="J981" t="inlineStr">
        <is>
          <t>NOT AVAILABLE</t>
        </is>
      </c>
      <c r="K981" t="inlineStr">
        <is>
          <t>NOT AVAILABLE (report not requested)</t>
        </is>
      </c>
      <c r="L981" t="inlineStr">
        <is>
          <t>declining (calc.)</t>
        </is>
      </c>
      <c r="M981" t="inlineStr">
        <is>
          <t>MEASURED</t>
        </is>
      </c>
      <c r="N981" s="5" t="inlineStr">
        <is>
          <t>Semrush phrase_these (live, this session)</t>
        </is>
      </c>
      <c r="O981" t="inlineStr">
        <is>
          <t>2026-10-30</t>
        </is>
      </c>
      <c r="P981">
        <f>IF(IF(J981="NOT AVAILABLE","",J981)="",12,IF(OR(ISNUMBER(SEARCH("Transactional",IF(J981="NOT AVAILABLE","",J981))),ISNUMBER(SEARCH("Commercial",IF(J981="NOT AVAILABLE","",J981)))),25,IF(ISNUMBER(SEARCH("Informational",IF(J981="NOT AVAILABLE","",J981))),10,IF(ISNUMBER(SEARCH("Navigational",IF(J981="NOT AVAILABLE","",J981))),0,12))))</f>
        <v/>
      </c>
      <c r="Q981">
        <f>IF(ISNUMBER(F981),MIN(30,ROUND(30*LOG10(F981+1)/4,1)),0)</f>
        <v/>
      </c>
      <c r="R981">
        <f>IF(ISNUMBER(G981),ROUND(25*(100-G981)/100,1),12.5)</f>
        <v/>
      </c>
      <c r="S981" t="n">
        <v>6</v>
      </c>
      <c r="T981">
        <f>ROUND(P981+Q981+R981+S981,0)</f>
        <v/>
      </c>
      <c r="U981" s="5" t="inlineStr"/>
      <c r="V981" s="5" t="inlineStr"/>
    </row>
    <row r="982">
      <c r="A982" t="inlineStr">
        <is>
          <t>K0980</t>
        </is>
      </c>
      <c r="B982" t="inlineStr">
        <is>
          <t>création site vitrine</t>
        </is>
      </c>
      <c r="C982" t="inlineStr">
        <is>
          <t>Algeria</t>
        </is>
      </c>
      <c r="D982" t="inlineStr">
        <is>
          <t>dz</t>
        </is>
      </c>
      <c r="E982" t="inlineStr">
        <is>
          <t>fr</t>
        </is>
      </c>
      <c r="F982" t="n">
        <v>20</v>
      </c>
      <c r="G982" t="inlineStr">
        <is>
          <t>NOT AVAILABLE</t>
        </is>
      </c>
      <c r="H982" t="n">
        <v>0</v>
      </c>
      <c r="I982" t="n">
        <v>0.5</v>
      </c>
      <c r="J982" t="inlineStr">
        <is>
          <t>NOT AVAILABLE</t>
        </is>
      </c>
      <c r="K982" t="inlineStr">
        <is>
          <t>NOT AVAILABLE (report not requested)</t>
        </is>
      </c>
      <c r="L982" t="inlineStr">
        <is>
          <t>declining (calc.)</t>
        </is>
      </c>
      <c r="M982" t="inlineStr">
        <is>
          <t>MEASURED</t>
        </is>
      </c>
      <c r="N982" s="5" t="inlineStr">
        <is>
          <t>Semrush phrase_these (live, this session)</t>
        </is>
      </c>
      <c r="O982" t="inlineStr">
        <is>
          <t>2026-10-30</t>
        </is>
      </c>
      <c r="P982">
        <f>IF(IF(J982="NOT AVAILABLE","",J982)="",12,IF(OR(ISNUMBER(SEARCH("Transactional",IF(J982="NOT AVAILABLE","",J982))),ISNUMBER(SEARCH("Commercial",IF(J982="NOT AVAILABLE","",J982)))),25,IF(ISNUMBER(SEARCH("Informational",IF(J982="NOT AVAILABLE","",J982))),10,IF(ISNUMBER(SEARCH("Navigational",IF(J982="NOT AVAILABLE","",J982))),0,12))))</f>
        <v/>
      </c>
      <c r="Q982">
        <f>IF(ISNUMBER(F982),MIN(30,ROUND(30*LOG10(F982+1)/4,1)),0)</f>
        <v/>
      </c>
      <c r="R982">
        <f>IF(ISNUMBER(G982),ROUND(25*(100-G982)/100,1),12.5)</f>
        <v/>
      </c>
      <c r="S982" t="n">
        <v>6</v>
      </c>
      <c r="T982">
        <f>ROUND(P982+Q982+R982+S982,0)</f>
        <v/>
      </c>
      <c r="U982" s="5" t="inlineStr"/>
      <c r="V982" s="5" t="inlineStr"/>
    </row>
    <row r="983">
      <c r="A983" t="inlineStr">
        <is>
          <t>K0981</t>
        </is>
      </c>
      <c r="B983" t="inlineStr">
        <is>
          <t>création site web algérie</t>
        </is>
      </c>
      <c r="C983" t="inlineStr">
        <is>
          <t>Algeria</t>
        </is>
      </c>
      <c r="D983" t="inlineStr">
        <is>
          <t>dz</t>
        </is>
      </c>
      <c r="E983" t="inlineStr">
        <is>
          <t>fr</t>
        </is>
      </c>
      <c r="F983" t="n">
        <v>20</v>
      </c>
      <c r="G983" t="inlineStr">
        <is>
          <t>NOT AVAILABLE</t>
        </is>
      </c>
      <c r="H983" t="n">
        <v>0.23</v>
      </c>
      <c r="I983" t="n">
        <v>0.15</v>
      </c>
      <c r="J983" t="inlineStr">
        <is>
          <t>NOT AVAILABLE</t>
        </is>
      </c>
      <c r="K983" t="inlineStr">
        <is>
          <t>NOT AVAILABLE (report not requested)</t>
        </is>
      </c>
      <c r="L983" t="inlineStr">
        <is>
          <t>stable (calc.)</t>
        </is>
      </c>
      <c r="M983" t="inlineStr">
        <is>
          <t>MEASURED</t>
        </is>
      </c>
      <c r="N983" s="5" t="inlineStr">
        <is>
          <t>Semrush phrase_these (live, this session)</t>
        </is>
      </c>
      <c r="O983" t="inlineStr">
        <is>
          <t>2026-10-30</t>
        </is>
      </c>
      <c r="P983">
        <f>IF(IF(J983="NOT AVAILABLE","",J983)="",12,IF(OR(ISNUMBER(SEARCH("Transactional",IF(J983="NOT AVAILABLE","",J983))),ISNUMBER(SEARCH("Commercial",IF(J983="NOT AVAILABLE","",J983)))),25,IF(ISNUMBER(SEARCH("Informational",IF(J983="NOT AVAILABLE","",J983))),10,IF(ISNUMBER(SEARCH("Navigational",IF(J983="NOT AVAILABLE","",J983))),0,12))))</f>
        <v/>
      </c>
      <c r="Q983">
        <f>IF(ISNUMBER(F983),MIN(30,ROUND(30*LOG10(F983+1)/4,1)),0)</f>
        <v/>
      </c>
      <c r="R983">
        <f>IF(ISNUMBER(G983),ROUND(25*(100-G983)/100,1),12.5)</f>
        <v/>
      </c>
      <c r="S983" t="n">
        <v>6</v>
      </c>
      <c r="T983">
        <f>ROUND(P983+Q983+R983+S983,0)</f>
        <v/>
      </c>
      <c r="U983" s="5" t="inlineStr"/>
      <c r="V983" s="5" t="inlineStr"/>
    </row>
    <row r="984">
      <c r="A984" t="inlineStr">
        <is>
          <t>K0982</t>
        </is>
      </c>
      <c r="B984" t="inlineStr">
        <is>
          <t>prix site web</t>
        </is>
      </c>
      <c r="C984" t="inlineStr">
        <is>
          <t>Algeria</t>
        </is>
      </c>
      <c r="D984" t="inlineStr">
        <is>
          <t>dz</t>
        </is>
      </c>
      <c r="E984" t="inlineStr">
        <is>
          <t>fr</t>
        </is>
      </c>
      <c r="F984" t="n">
        <v>20</v>
      </c>
      <c r="G984" t="inlineStr">
        <is>
          <t>NOT AVAILABLE</t>
        </is>
      </c>
      <c r="H984" t="n">
        <v>0</v>
      </c>
      <c r="I984" t="n">
        <v>0.24</v>
      </c>
      <c r="J984" t="inlineStr">
        <is>
          <t>NOT AVAILABLE</t>
        </is>
      </c>
      <c r="K984" t="inlineStr">
        <is>
          <t>NOT AVAILABLE (report not requested)</t>
        </is>
      </c>
      <c r="L984" t="inlineStr">
        <is>
          <t>declining (calc.)</t>
        </is>
      </c>
      <c r="M984" t="inlineStr">
        <is>
          <t>MEASURED</t>
        </is>
      </c>
      <c r="N984" s="5" t="inlineStr">
        <is>
          <t>Semrush phrase_these (live, this session)</t>
        </is>
      </c>
      <c r="O984" t="inlineStr">
        <is>
          <t>2026-10-30</t>
        </is>
      </c>
      <c r="P984">
        <f>IF(IF(J984="NOT AVAILABLE","",J984)="",12,IF(OR(ISNUMBER(SEARCH("Transactional",IF(J984="NOT AVAILABLE","",J984))),ISNUMBER(SEARCH("Commercial",IF(J984="NOT AVAILABLE","",J984)))),25,IF(ISNUMBER(SEARCH("Informational",IF(J984="NOT AVAILABLE","",J984))),10,IF(ISNUMBER(SEARCH("Navigational",IF(J984="NOT AVAILABLE","",J984))),0,12))))</f>
        <v/>
      </c>
      <c r="Q984">
        <f>IF(ISNUMBER(F984),MIN(30,ROUND(30*LOG10(F984+1)/4,1)),0)</f>
        <v/>
      </c>
      <c r="R984">
        <f>IF(ISNUMBER(G984),ROUND(25*(100-G984)/100,1),12.5)</f>
        <v/>
      </c>
      <c r="S984" t="n">
        <v>6</v>
      </c>
      <c r="T984">
        <f>ROUND(P984+Q984+R984+S984,0)</f>
        <v/>
      </c>
      <c r="U984" s="5" t="inlineStr"/>
      <c r="V984" s="5" t="inlineStr"/>
    </row>
    <row r="985">
      <c r="A985" t="inlineStr">
        <is>
          <t>K0983</t>
        </is>
      </c>
      <c r="B985" t="inlineStr">
        <is>
          <t>refonte site web</t>
        </is>
      </c>
      <c r="C985" t="inlineStr">
        <is>
          <t>Algeria</t>
        </is>
      </c>
      <c r="D985" t="inlineStr">
        <is>
          <t>dz</t>
        </is>
      </c>
      <c r="E985" t="inlineStr">
        <is>
          <t>fr</t>
        </is>
      </c>
      <c r="F985" t="n">
        <v>20</v>
      </c>
      <c r="G985" t="inlineStr">
        <is>
          <t>NOT AVAILABLE</t>
        </is>
      </c>
      <c r="H985" t="n">
        <v>0</v>
      </c>
      <c r="I985" t="n">
        <v>0.33</v>
      </c>
      <c r="J985" t="inlineStr">
        <is>
          <t>NOT AVAILABLE</t>
        </is>
      </c>
      <c r="K985" t="inlineStr">
        <is>
          <t>NOT AVAILABLE (report not requested)</t>
        </is>
      </c>
      <c r="L985" t="inlineStr">
        <is>
          <t>declining (calc.)</t>
        </is>
      </c>
      <c r="M985" t="inlineStr">
        <is>
          <t>MEASURED</t>
        </is>
      </c>
      <c r="N985" s="5" t="inlineStr">
        <is>
          <t>Semrush phrase_these (live, this session)</t>
        </is>
      </c>
      <c r="O985" t="inlineStr">
        <is>
          <t>2026-10-30</t>
        </is>
      </c>
      <c r="P985">
        <f>IF(IF(J985="NOT AVAILABLE","",J985)="",12,IF(OR(ISNUMBER(SEARCH("Transactional",IF(J985="NOT AVAILABLE","",J985))),ISNUMBER(SEARCH("Commercial",IF(J985="NOT AVAILABLE","",J985)))),25,IF(ISNUMBER(SEARCH("Informational",IF(J985="NOT AVAILABLE","",J985))),10,IF(ISNUMBER(SEARCH("Navigational",IF(J985="NOT AVAILABLE","",J985))),0,12))))</f>
        <v/>
      </c>
      <c r="Q985">
        <f>IF(ISNUMBER(F985),MIN(30,ROUND(30*LOG10(F985+1)/4,1)),0)</f>
        <v/>
      </c>
      <c r="R985">
        <f>IF(ISNUMBER(G985),ROUND(25*(100-G985)/100,1),12.5)</f>
        <v/>
      </c>
      <c r="S985" t="n">
        <v>6</v>
      </c>
      <c r="T985">
        <f>ROUND(P985+Q985+R985+S985,0)</f>
        <v/>
      </c>
      <c r="U985" s="5" t="inlineStr"/>
      <c r="V985" s="5" t="inlineStr"/>
    </row>
    <row r="986">
      <c r="A986" t="inlineStr">
        <is>
          <t>K0984</t>
        </is>
      </c>
      <c r="B986" t="inlineStr">
        <is>
          <t>création application web</t>
        </is>
      </c>
      <c r="C986" t="inlineStr">
        <is>
          <t>Algeria</t>
        </is>
      </c>
      <c r="D986" t="inlineStr">
        <is>
          <t>dz</t>
        </is>
      </c>
      <c r="E986" t="inlineStr">
        <is>
          <t>fr</t>
        </is>
      </c>
      <c r="F986" t="n">
        <v>10</v>
      </c>
      <c r="G986" t="inlineStr">
        <is>
          <t>NOT AVAILABLE</t>
        </is>
      </c>
      <c r="H986" t="n">
        <v>0</v>
      </c>
      <c r="I986" t="n">
        <v>0.64</v>
      </c>
      <c r="J986" t="inlineStr">
        <is>
          <t>NOT AVAILABLE</t>
        </is>
      </c>
      <c r="K986" t="inlineStr">
        <is>
          <t>NOT AVAILABLE (report not requested)</t>
        </is>
      </c>
      <c r="L986" t="inlineStr">
        <is>
          <t>declining (calc.)</t>
        </is>
      </c>
      <c r="M986" t="inlineStr">
        <is>
          <t>MEASURED</t>
        </is>
      </c>
      <c r="N986" s="5" t="inlineStr">
        <is>
          <t>Semrush phrase_these (live, this session)</t>
        </is>
      </c>
      <c r="O986" t="inlineStr">
        <is>
          <t>2026-10-30</t>
        </is>
      </c>
      <c r="P986">
        <f>IF(IF(J986="NOT AVAILABLE","",J986)="",12,IF(OR(ISNUMBER(SEARCH("Transactional",IF(J986="NOT AVAILABLE","",J986))),ISNUMBER(SEARCH("Commercial",IF(J986="NOT AVAILABLE","",J986)))),25,IF(ISNUMBER(SEARCH("Informational",IF(J986="NOT AVAILABLE","",J986))),10,IF(ISNUMBER(SEARCH("Navigational",IF(J986="NOT AVAILABLE","",J986))),0,12))))</f>
        <v/>
      </c>
      <c r="Q986">
        <f>IF(ISNUMBER(F986),MIN(30,ROUND(30*LOG10(F986+1)/4,1)),0)</f>
        <v/>
      </c>
      <c r="R986">
        <f>IF(ISNUMBER(G986),ROUND(25*(100-G986)/100,1),12.5)</f>
        <v/>
      </c>
      <c r="S986" t="n">
        <v>6</v>
      </c>
      <c r="T986">
        <f>ROUND(P986+Q986+R986+S986,0)</f>
        <v/>
      </c>
      <c r="U986" s="5" t="inlineStr"/>
      <c r="V986" s="5" t="inlineStr"/>
    </row>
    <row r="987">
      <c r="A987" t="inlineStr">
        <is>
          <t>K0985</t>
        </is>
      </c>
      <c r="B987" t="inlineStr">
        <is>
          <t>agence web maroc</t>
        </is>
      </c>
      <c r="C987" t="inlineStr">
        <is>
          <t>Algeria</t>
        </is>
      </c>
      <c r="D987" t="inlineStr">
        <is>
          <t>dz</t>
        </is>
      </c>
      <c r="E987" t="inlineStr">
        <is>
          <t>fr</t>
        </is>
      </c>
      <c r="F987" t="n">
        <v>0</v>
      </c>
      <c r="G987" t="inlineStr">
        <is>
          <t>NOT AVAILABLE</t>
        </is>
      </c>
      <c r="H987" t="n">
        <v>0</v>
      </c>
      <c r="I987" t="n">
        <v>0</v>
      </c>
      <c r="J987" t="inlineStr">
        <is>
          <t>NOT AVAILABLE</t>
        </is>
      </c>
      <c r="K987" t="inlineStr">
        <is>
          <t>NOT AVAILABLE (report not requested)</t>
        </is>
      </c>
      <c r="L987" t="inlineStr">
        <is>
          <t>flat (no data)</t>
        </is>
      </c>
      <c r="M987" t="inlineStr">
        <is>
          <t>MEASURED</t>
        </is>
      </c>
      <c r="N987" s="5" t="inlineStr">
        <is>
          <t>Semrush phrase_these (live, this session)</t>
        </is>
      </c>
      <c r="O987" t="inlineStr">
        <is>
          <t>2026-10-30</t>
        </is>
      </c>
      <c r="P987">
        <f>IF(IF(J987="NOT AVAILABLE","",J987)="",12,IF(OR(ISNUMBER(SEARCH("Transactional",IF(J987="NOT AVAILABLE","",J987))),ISNUMBER(SEARCH("Commercial",IF(J987="NOT AVAILABLE","",J987)))),25,IF(ISNUMBER(SEARCH("Informational",IF(J987="NOT AVAILABLE","",J987))),10,IF(ISNUMBER(SEARCH("Navigational",IF(J987="NOT AVAILABLE","",J987))),0,12))))</f>
        <v/>
      </c>
      <c r="Q987">
        <f>IF(ISNUMBER(F987),MIN(30,ROUND(30*LOG10(F987+1)/4,1)),0)</f>
        <v/>
      </c>
      <c r="R987">
        <f>IF(ISNUMBER(G987),ROUND(25*(100-G987)/100,1),12.5)</f>
        <v/>
      </c>
      <c r="S987" t="n">
        <v>6</v>
      </c>
      <c r="T987">
        <f>ROUND(P987+Q987+R987+S987,0)</f>
        <v/>
      </c>
      <c r="U987" s="5" t="inlineStr"/>
      <c r="V987" s="5" t="inlineStr"/>
    </row>
    <row r="988">
      <c r="A988" t="inlineStr">
        <is>
          <t>K0986</t>
        </is>
      </c>
      <c r="B988" t="inlineStr">
        <is>
          <t>agence web nearshore</t>
        </is>
      </c>
      <c r="C988" t="inlineStr">
        <is>
          <t>Algeria</t>
        </is>
      </c>
      <c r="D988" t="inlineStr">
        <is>
          <t>dz</t>
        </is>
      </c>
      <c r="E988" t="inlineStr">
        <is>
          <t>fr</t>
        </is>
      </c>
      <c r="F988" t="inlineStr">
        <is>
          <t>NOT AVAILABLE</t>
        </is>
      </c>
      <c r="G988" t="inlineStr">
        <is>
          <t>NOT AVAILABLE</t>
        </is>
      </c>
      <c r="H988" t="inlineStr">
        <is>
          <t>NOT AVAILABLE</t>
        </is>
      </c>
      <c r="I988" t="inlineStr">
        <is>
          <t>NOT AVAILABLE</t>
        </is>
      </c>
      <c r="J988" t="inlineStr">
        <is>
          <t>NOT AVAILABLE</t>
        </is>
      </c>
      <c r="K988" t="inlineStr">
        <is>
          <t>NOT AVAILABLE</t>
        </is>
      </c>
      <c r="L988" t="inlineStr">
        <is>
          <t>NOT AVAILABLE</t>
        </is>
      </c>
      <c r="M988" t="inlineStr">
        <is>
          <t>UNAVAILABLE</t>
        </is>
      </c>
      <c r="N988" s="5" t="inlineStr">
        <is>
          <t>Semrush phrase_these returned no data (not billed)</t>
        </is>
      </c>
      <c r="O988" t="inlineStr">
        <is>
          <t>2026-10-30</t>
        </is>
      </c>
      <c r="P988">
        <f>IF(IF(J988="NOT AVAILABLE","",J988)="",12,IF(OR(ISNUMBER(SEARCH("Transactional",IF(J988="NOT AVAILABLE","",J988))),ISNUMBER(SEARCH("Commercial",IF(J988="NOT AVAILABLE","",J988)))),25,IF(ISNUMBER(SEARCH("Informational",IF(J988="NOT AVAILABLE","",J988))),10,IF(ISNUMBER(SEARCH("Navigational",IF(J988="NOT AVAILABLE","",J988))),0,12))))</f>
        <v/>
      </c>
      <c r="Q988">
        <f>IF(ISNUMBER(F988),MIN(30,ROUND(30*LOG10(F988+1)/4,1)),0)</f>
        <v/>
      </c>
      <c r="R988">
        <f>IF(ISNUMBER(G988),ROUND(25*(100-G988)/100,1),12.5)</f>
        <v/>
      </c>
      <c r="S988" t="n">
        <v>6</v>
      </c>
      <c r="T988">
        <f>ROUND(P988+Q988+R988+S988,0)</f>
        <v/>
      </c>
      <c r="U988" s="5" t="inlineStr"/>
      <c r="V988" s="5" t="inlineStr"/>
    </row>
    <row r="989">
      <c r="A989" t="inlineStr">
        <is>
          <t>K0987</t>
        </is>
      </c>
      <c r="B989" t="inlineStr">
        <is>
          <t>agence web offshore</t>
        </is>
      </c>
      <c r="C989" t="inlineStr">
        <is>
          <t>Algeria</t>
        </is>
      </c>
      <c r="D989" t="inlineStr">
        <is>
          <t>dz</t>
        </is>
      </c>
      <c r="E989" t="inlineStr">
        <is>
          <t>fr</t>
        </is>
      </c>
      <c r="F989" t="n">
        <v>0</v>
      </c>
      <c r="G989" t="inlineStr">
        <is>
          <t>NOT AVAILABLE</t>
        </is>
      </c>
      <c r="H989" t="n">
        <v>0</v>
      </c>
      <c r="I989" t="n">
        <v>0</v>
      </c>
      <c r="J989" t="inlineStr">
        <is>
          <t>NOT AVAILABLE</t>
        </is>
      </c>
      <c r="K989" t="inlineStr">
        <is>
          <t>NOT AVAILABLE (report not requested)</t>
        </is>
      </c>
      <c r="L989" t="inlineStr">
        <is>
          <t>flat (no data)</t>
        </is>
      </c>
      <c r="M989" t="inlineStr">
        <is>
          <t>MEASURED</t>
        </is>
      </c>
      <c r="N989" s="5" t="inlineStr">
        <is>
          <t>Semrush phrase_these (live, this session)</t>
        </is>
      </c>
      <c r="O989" t="inlineStr">
        <is>
          <t>2026-10-30</t>
        </is>
      </c>
      <c r="P989">
        <f>IF(IF(J989="NOT AVAILABLE","",J989)="",12,IF(OR(ISNUMBER(SEARCH("Transactional",IF(J989="NOT AVAILABLE","",J989))),ISNUMBER(SEARCH("Commercial",IF(J989="NOT AVAILABLE","",J989)))),25,IF(ISNUMBER(SEARCH("Informational",IF(J989="NOT AVAILABLE","",J989))),10,IF(ISNUMBER(SEARCH("Navigational",IF(J989="NOT AVAILABLE","",J989))),0,12))))</f>
        <v/>
      </c>
      <c r="Q989">
        <f>IF(ISNUMBER(F989),MIN(30,ROUND(30*LOG10(F989+1)/4,1)),0)</f>
        <v/>
      </c>
      <c r="R989">
        <f>IF(ISNUMBER(G989),ROUND(25*(100-G989)/100,1),12.5)</f>
        <v/>
      </c>
      <c r="S989" t="n">
        <v>6</v>
      </c>
      <c r="T989">
        <f>ROUND(P989+Q989+R989+S989,0)</f>
        <v/>
      </c>
      <c r="U989" s="5" t="inlineStr"/>
      <c r="V989" s="5" t="inlineStr"/>
    </row>
    <row r="990">
      <c r="A990" t="inlineStr">
        <is>
          <t>K0988</t>
        </is>
      </c>
      <c r="B990" t="inlineStr">
        <is>
          <t>agence web pas cher</t>
        </is>
      </c>
      <c r="C990" t="inlineStr">
        <is>
          <t>Algeria</t>
        </is>
      </c>
      <c r="D990" t="inlineStr">
        <is>
          <t>dz</t>
        </is>
      </c>
      <c r="E990" t="inlineStr">
        <is>
          <t>fr</t>
        </is>
      </c>
      <c r="F990" t="inlineStr">
        <is>
          <t>NOT AVAILABLE</t>
        </is>
      </c>
      <c r="G990" t="inlineStr">
        <is>
          <t>NOT AVAILABLE</t>
        </is>
      </c>
      <c r="H990" t="inlineStr">
        <is>
          <t>NOT AVAILABLE</t>
        </is>
      </c>
      <c r="I990" t="inlineStr">
        <is>
          <t>NOT AVAILABLE</t>
        </is>
      </c>
      <c r="J990" t="inlineStr">
        <is>
          <t>NOT AVAILABLE</t>
        </is>
      </c>
      <c r="K990" t="inlineStr">
        <is>
          <t>NOT AVAILABLE</t>
        </is>
      </c>
      <c r="L990" t="inlineStr">
        <is>
          <t>NOT AVAILABLE</t>
        </is>
      </c>
      <c r="M990" t="inlineStr">
        <is>
          <t>UNAVAILABLE</t>
        </is>
      </c>
      <c r="N990" s="5" t="inlineStr">
        <is>
          <t>Semrush phrase_these returned no data (not billed)</t>
        </is>
      </c>
      <c r="O990" t="inlineStr">
        <is>
          <t>2026-10-30</t>
        </is>
      </c>
      <c r="P990">
        <f>IF(IF(J990="NOT AVAILABLE","",J990)="",12,IF(OR(ISNUMBER(SEARCH("Transactional",IF(J990="NOT AVAILABLE","",J990))),ISNUMBER(SEARCH("Commercial",IF(J990="NOT AVAILABLE","",J990)))),25,IF(ISNUMBER(SEARCH("Informational",IF(J990="NOT AVAILABLE","",J990))),10,IF(ISNUMBER(SEARCH("Navigational",IF(J990="NOT AVAILABLE","",J990))),0,12))))</f>
        <v/>
      </c>
      <c r="Q990">
        <f>IF(ISNUMBER(F990),MIN(30,ROUND(30*LOG10(F990+1)/4,1)),0)</f>
        <v/>
      </c>
      <c r="R990">
        <f>IF(ISNUMBER(G990),ROUND(25*(100-G990)/100,1),12.5)</f>
        <v/>
      </c>
      <c r="S990" t="n">
        <v>6</v>
      </c>
      <c r="T990">
        <f>ROUND(P990+Q990+R990+S990,0)</f>
        <v/>
      </c>
      <c r="U990" s="5" t="inlineStr"/>
      <c r="V990" s="5" t="inlineStr"/>
    </row>
    <row r="991">
      <c r="A991" t="inlineStr">
        <is>
          <t>K0989</t>
        </is>
      </c>
      <c r="B991" t="inlineStr">
        <is>
          <t>développement logiciel sur mesure</t>
        </is>
      </c>
      <c r="C991" t="inlineStr">
        <is>
          <t>Algeria</t>
        </is>
      </c>
      <c r="D991" t="inlineStr">
        <is>
          <t>dz</t>
        </is>
      </c>
      <c r="E991" t="inlineStr">
        <is>
          <t>fr</t>
        </is>
      </c>
      <c r="F991" t="n">
        <v>0</v>
      </c>
      <c r="G991" t="inlineStr">
        <is>
          <t>NOT AVAILABLE</t>
        </is>
      </c>
      <c r="H991" t="n">
        <v>0</v>
      </c>
      <c r="I991" t="n">
        <v>0</v>
      </c>
      <c r="J991" t="inlineStr">
        <is>
          <t>NOT AVAILABLE</t>
        </is>
      </c>
      <c r="K991" t="inlineStr">
        <is>
          <t>NOT AVAILABLE (report not requested)</t>
        </is>
      </c>
      <c r="L991" t="inlineStr">
        <is>
          <t>flat (no data)</t>
        </is>
      </c>
      <c r="M991" t="inlineStr">
        <is>
          <t>MEASURED</t>
        </is>
      </c>
      <c r="N991" s="5" t="inlineStr">
        <is>
          <t>Semrush phrase_these (live, this session)</t>
        </is>
      </c>
      <c r="O991" t="inlineStr">
        <is>
          <t>2026-10-30</t>
        </is>
      </c>
      <c r="P991">
        <f>IF(IF(J991="NOT AVAILABLE","",J991)="",12,IF(OR(ISNUMBER(SEARCH("Transactional",IF(J991="NOT AVAILABLE","",J991))),ISNUMBER(SEARCH("Commercial",IF(J991="NOT AVAILABLE","",J991)))),25,IF(ISNUMBER(SEARCH("Informational",IF(J991="NOT AVAILABLE","",J991))),10,IF(ISNUMBER(SEARCH("Navigational",IF(J991="NOT AVAILABLE","",J991))),0,12))))</f>
        <v/>
      </c>
      <c r="Q991">
        <f>IF(ISNUMBER(F991),MIN(30,ROUND(30*LOG10(F991+1)/4,1)),0)</f>
        <v/>
      </c>
      <c r="R991">
        <f>IF(ISNUMBER(G991),ROUND(25*(100-G991)/100,1),12.5)</f>
        <v/>
      </c>
      <c r="S991" t="n">
        <v>6</v>
      </c>
      <c r="T991">
        <f>ROUND(P991+Q991+R991+S991,0)</f>
        <v/>
      </c>
      <c r="U991" s="5" t="inlineStr"/>
      <c r="V991" s="5" t="inlineStr"/>
    </row>
    <row r="992">
      <c r="A992" t="inlineStr">
        <is>
          <t>K0990</t>
        </is>
      </c>
      <c r="B992" t="inlineStr">
        <is>
          <t>développement saas</t>
        </is>
      </c>
      <c r="C992" t="inlineStr">
        <is>
          <t>Algeria</t>
        </is>
      </c>
      <c r="D992" t="inlineStr">
        <is>
          <t>dz</t>
        </is>
      </c>
      <c r="E992" t="inlineStr">
        <is>
          <t>fr</t>
        </is>
      </c>
      <c r="F992" t="inlineStr">
        <is>
          <t>NOT AVAILABLE</t>
        </is>
      </c>
      <c r="G992" t="inlineStr">
        <is>
          <t>NOT AVAILABLE</t>
        </is>
      </c>
      <c r="H992" t="inlineStr">
        <is>
          <t>NOT AVAILABLE</t>
        </is>
      </c>
      <c r="I992" t="inlineStr">
        <is>
          <t>NOT AVAILABLE</t>
        </is>
      </c>
      <c r="J992" t="inlineStr">
        <is>
          <t>NOT AVAILABLE</t>
        </is>
      </c>
      <c r="K992" t="inlineStr">
        <is>
          <t>NOT AVAILABLE</t>
        </is>
      </c>
      <c r="L992" t="inlineStr">
        <is>
          <t>NOT AVAILABLE</t>
        </is>
      </c>
      <c r="M992" t="inlineStr">
        <is>
          <t>UNAVAILABLE</t>
        </is>
      </c>
      <c r="N992" s="5" t="inlineStr">
        <is>
          <t>Semrush phrase_these returned no data (not billed)</t>
        </is>
      </c>
      <c r="O992" t="inlineStr">
        <is>
          <t>2026-10-30</t>
        </is>
      </c>
      <c r="P992">
        <f>IF(IF(J992="NOT AVAILABLE","",J992)="",12,IF(OR(ISNUMBER(SEARCH("Transactional",IF(J992="NOT AVAILABLE","",J992))),ISNUMBER(SEARCH("Commercial",IF(J992="NOT AVAILABLE","",J992)))),25,IF(ISNUMBER(SEARCH("Informational",IF(J992="NOT AVAILABLE","",J992))),10,IF(ISNUMBER(SEARCH("Navigational",IF(J992="NOT AVAILABLE","",J992))),0,12))))</f>
        <v/>
      </c>
      <c r="Q992">
        <f>IF(ISNUMBER(F992),MIN(30,ROUND(30*LOG10(F992+1)/4,1)),0)</f>
        <v/>
      </c>
      <c r="R992">
        <f>IF(ISNUMBER(G992),ROUND(25*(100-G992)/100,1),12.5)</f>
        <v/>
      </c>
      <c r="S992" t="n">
        <v>6</v>
      </c>
      <c r="T992">
        <f>ROUND(P992+Q992+R992+S992,0)</f>
        <v/>
      </c>
      <c r="U992" s="5" t="inlineStr"/>
      <c r="V992" s="5" t="inlineStr"/>
    </row>
    <row r="993">
      <c r="A993" t="inlineStr">
        <is>
          <t>K0991</t>
        </is>
      </c>
      <c r="B993" t="inlineStr">
        <is>
          <t>développement web offshore</t>
        </is>
      </c>
      <c r="C993" t="inlineStr">
        <is>
          <t>Algeria</t>
        </is>
      </c>
      <c r="D993" t="inlineStr">
        <is>
          <t>dz</t>
        </is>
      </c>
      <c r="E993" t="inlineStr">
        <is>
          <t>fr</t>
        </is>
      </c>
      <c r="F993" t="n">
        <v>0</v>
      </c>
      <c r="G993" t="inlineStr">
        <is>
          <t>NOT AVAILABLE</t>
        </is>
      </c>
      <c r="H993" t="n">
        <v>0</v>
      </c>
      <c r="I993" t="n">
        <v>0</v>
      </c>
      <c r="J993" t="inlineStr">
        <is>
          <t>NOT AVAILABLE</t>
        </is>
      </c>
      <c r="K993" t="inlineStr">
        <is>
          <t>NOT AVAILABLE (report not requested)</t>
        </is>
      </c>
      <c r="L993" t="inlineStr">
        <is>
          <t>flat (no data)</t>
        </is>
      </c>
      <c r="M993" t="inlineStr">
        <is>
          <t>MEASURED</t>
        </is>
      </c>
      <c r="N993" s="5" t="inlineStr">
        <is>
          <t>Semrush phrase_these (live, this session)</t>
        </is>
      </c>
      <c r="O993" t="inlineStr">
        <is>
          <t>2026-10-30</t>
        </is>
      </c>
      <c r="P993">
        <f>IF(IF(J993="NOT AVAILABLE","",J993)="",12,IF(OR(ISNUMBER(SEARCH("Transactional",IF(J993="NOT AVAILABLE","",J993))),ISNUMBER(SEARCH("Commercial",IF(J993="NOT AVAILABLE","",J993)))),25,IF(ISNUMBER(SEARCH("Informational",IF(J993="NOT AVAILABLE","",J993))),10,IF(ISNUMBER(SEARCH("Navigational",IF(J993="NOT AVAILABLE","",J993))),0,12))))</f>
        <v/>
      </c>
      <c r="Q993">
        <f>IF(ISNUMBER(F993),MIN(30,ROUND(30*LOG10(F993+1)/4,1)),0)</f>
        <v/>
      </c>
      <c r="R993">
        <f>IF(ISNUMBER(G993),ROUND(25*(100-G993)/100,1),12.5)</f>
        <v/>
      </c>
      <c r="S993" t="n">
        <v>6</v>
      </c>
      <c r="T993">
        <f>ROUND(P993+Q993+R993+S993,0)</f>
        <v/>
      </c>
      <c r="U993" s="5" t="inlineStr"/>
      <c r="V993" s="5" t="inlineStr"/>
    </row>
    <row r="994">
      <c r="A994" t="inlineStr">
        <is>
          <t>K0992</t>
        </is>
      </c>
      <c r="B994" t="inlineStr">
        <is>
          <t>développement web sur mesure</t>
        </is>
      </c>
      <c r="C994" t="inlineStr">
        <is>
          <t>Algeria</t>
        </is>
      </c>
      <c r="D994" t="inlineStr">
        <is>
          <t>dz</t>
        </is>
      </c>
      <c r="E994" t="inlineStr">
        <is>
          <t>fr</t>
        </is>
      </c>
      <c r="F994" t="n">
        <v>0</v>
      </c>
      <c r="G994" t="inlineStr">
        <is>
          <t>NOT AVAILABLE</t>
        </is>
      </c>
      <c r="H994" t="n">
        <v>0</v>
      </c>
      <c r="I994" t="n">
        <v>0</v>
      </c>
      <c r="J994" t="inlineStr">
        <is>
          <t>NOT AVAILABLE</t>
        </is>
      </c>
      <c r="K994" t="inlineStr">
        <is>
          <t>NOT AVAILABLE (report not requested)</t>
        </is>
      </c>
      <c r="L994" t="inlineStr">
        <is>
          <t>flat (no data)</t>
        </is>
      </c>
      <c r="M994" t="inlineStr">
        <is>
          <t>MEASURED</t>
        </is>
      </c>
      <c r="N994" s="5" t="inlineStr">
        <is>
          <t>Semrush phrase_these (live, this session)</t>
        </is>
      </c>
      <c r="O994" t="inlineStr">
        <is>
          <t>2026-10-30</t>
        </is>
      </c>
      <c r="P994">
        <f>IF(IF(J994="NOT AVAILABLE","",J994)="",12,IF(OR(ISNUMBER(SEARCH("Transactional",IF(J994="NOT AVAILABLE","",J994))),ISNUMBER(SEARCH("Commercial",IF(J994="NOT AVAILABLE","",J994)))),25,IF(ISNUMBER(SEARCH("Informational",IF(J994="NOT AVAILABLE","",J994))),10,IF(ISNUMBER(SEARCH("Navigational",IF(J994="NOT AVAILABLE","",J994))),0,12))))</f>
        <v/>
      </c>
      <c r="Q994">
        <f>IF(ISNUMBER(F994),MIN(30,ROUND(30*LOG10(F994+1)/4,1)),0)</f>
        <v/>
      </c>
      <c r="R994">
        <f>IF(ISNUMBER(G994),ROUND(25*(100-G994)/100,1),12.5)</f>
        <v/>
      </c>
      <c r="S994" t="n">
        <v>6</v>
      </c>
      <c r="T994">
        <f>ROUND(P994+Q994+R994+S994,0)</f>
        <v/>
      </c>
      <c r="U994" s="5" t="inlineStr"/>
      <c r="V994" s="5" t="inlineStr"/>
    </row>
    <row r="995">
      <c r="A995" t="inlineStr">
        <is>
          <t>K0993</t>
        </is>
      </c>
      <c r="B995" t="inlineStr">
        <is>
          <t>développeur maroc</t>
        </is>
      </c>
      <c r="C995" t="inlineStr">
        <is>
          <t>Algeria</t>
        </is>
      </c>
      <c r="D995" t="inlineStr">
        <is>
          <t>dz</t>
        </is>
      </c>
      <c r="E995" t="inlineStr">
        <is>
          <t>fr</t>
        </is>
      </c>
      <c r="F995" t="inlineStr">
        <is>
          <t>NOT AVAILABLE</t>
        </is>
      </c>
      <c r="G995" t="inlineStr">
        <is>
          <t>NOT AVAILABLE</t>
        </is>
      </c>
      <c r="H995" t="inlineStr">
        <is>
          <t>NOT AVAILABLE</t>
        </is>
      </c>
      <c r="I995" t="inlineStr">
        <is>
          <t>NOT AVAILABLE</t>
        </is>
      </c>
      <c r="J995" t="inlineStr">
        <is>
          <t>NOT AVAILABLE</t>
        </is>
      </c>
      <c r="K995" t="inlineStr">
        <is>
          <t>NOT AVAILABLE</t>
        </is>
      </c>
      <c r="L995" t="inlineStr">
        <is>
          <t>NOT AVAILABLE</t>
        </is>
      </c>
      <c r="M995" t="inlineStr">
        <is>
          <t>UNAVAILABLE</t>
        </is>
      </c>
      <c r="N995" s="5" t="inlineStr">
        <is>
          <t>Semrush phrase_these returned no data (not billed)</t>
        </is>
      </c>
      <c r="O995" t="inlineStr">
        <is>
          <t>2026-10-30</t>
        </is>
      </c>
      <c r="P995">
        <f>IF(IF(J995="NOT AVAILABLE","",J995)="",12,IF(OR(ISNUMBER(SEARCH("Transactional",IF(J995="NOT AVAILABLE","",J995))),ISNUMBER(SEARCH("Commercial",IF(J995="NOT AVAILABLE","",J995)))),25,IF(ISNUMBER(SEARCH("Informational",IF(J995="NOT AVAILABLE","",J995))),10,IF(ISNUMBER(SEARCH("Navigational",IF(J995="NOT AVAILABLE","",J995))),0,12))))</f>
        <v/>
      </c>
      <c r="Q995">
        <f>IF(ISNUMBER(F995),MIN(30,ROUND(30*LOG10(F995+1)/4,1)),0)</f>
        <v/>
      </c>
      <c r="R995">
        <f>IF(ISNUMBER(G995),ROUND(25*(100-G995)/100,1),12.5)</f>
        <v/>
      </c>
      <c r="S995" t="n">
        <v>6</v>
      </c>
      <c r="T995">
        <f>ROUND(P995+Q995+R995+S995,0)</f>
        <v/>
      </c>
      <c r="U995" s="5" t="inlineStr"/>
      <c r="V995" s="5" t="inlineStr"/>
    </row>
    <row r="996">
      <c r="A996" t="inlineStr">
        <is>
          <t>K0994</t>
        </is>
      </c>
      <c r="B996" t="inlineStr">
        <is>
          <t>externalisation développement web</t>
        </is>
      </c>
      <c r="C996" t="inlineStr">
        <is>
          <t>Algeria</t>
        </is>
      </c>
      <c r="D996" t="inlineStr">
        <is>
          <t>dz</t>
        </is>
      </c>
      <c r="E996" t="inlineStr">
        <is>
          <t>fr</t>
        </is>
      </c>
      <c r="F996" t="inlineStr">
        <is>
          <t>NOT AVAILABLE</t>
        </is>
      </c>
      <c r="G996" t="inlineStr">
        <is>
          <t>NOT AVAILABLE</t>
        </is>
      </c>
      <c r="H996" t="inlineStr">
        <is>
          <t>NOT AVAILABLE</t>
        </is>
      </c>
      <c r="I996" t="inlineStr">
        <is>
          <t>NOT AVAILABLE</t>
        </is>
      </c>
      <c r="J996" t="inlineStr">
        <is>
          <t>NOT AVAILABLE</t>
        </is>
      </c>
      <c r="K996" t="inlineStr">
        <is>
          <t>NOT AVAILABLE</t>
        </is>
      </c>
      <c r="L996" t="inlineStr">
        <is>
          <t>NOT AVAILABLE</t>
        </is>
      </c>
      <c r="M996" t="inlineStr">
        <is>
          <t>UNAVAILABLE</t>
        </is>
      </c>
      <c r="N996" s="5" t="inlineStr">
        <is>
          <t>Semrush phrase_these returned no data (not billed)</t>
        </is>
      </c>
      <c r="O996" t="inlineStr">
        <is>
          <t>2026-10-30</t>
        </is>
      </c>
      <c r="P996">
        <f>IF(IF(J996="NOT AVAILABLE","",J996)="",12,IF(OR(ISNUMBER(SEARCH("Transactional",IF(J996="NOT AVAILABLE","",J996))),ISNUMBER(SEARCH("Commercial",IF(J996="NOT AVAILABLE","",J996)))),25,IF(ISNUMBER(SEARCH("Informational",IF(J996="NOT AVAILABLE","",J996))),10,IF(ISNUMBER(SEARCH("Navigational",IF(J996="NOT AVAILABLE","",J996))),0,12))))</f>
        <v/>
      </c>
      <c r="Q996">
        <f>IF(ISNUMBER(F996),MIN(30,ROUND(30*LOG10(F996+1)/4,1)),0)</f>
        <v/>
      </c>
      <c r="R996">
        <f>IF(ISNUMBER(G996),ROUND(25*(100-G996)/100,1),12.5)</f>
        <v/>
      </c>
      <c r="S996" t="n">
        <v>6</v>
      </c>
      <c r="T996">
        <f>ROUND(P996+Q996+R996+S996,0)</f>
        <v/>
      </c>
      <c r="U996" s="5" t="inlineStr"/>
      <c r="V996" s="5" t="inlineStr"/>
    </row>
    <row r="997">
      <c r="A997" t="inlineStr">
        <is>
          <t>K0995</t>
        </is>
      </c>
      <c r="B997" t="inlineStr">
        <is>
          <t>prix création site internet</t>
        </is>
      </c>
      <c r="C997" t="inlineStr">
        <is>
          <t>Algeria</t>
        </is>
      </c>
      <c r="D997" t="inlineStr">
        <is>
          <t>dz</t>
        </is>
      </c>
      <c r="E997" t="inlineStr">
        <is>
          <t>fr</t>
        </is>
      </c>
      <c r="F997" t="n">
        <v>0</v>
      </c>
      <c r="G997" t="inlineStr">
        <is>
          <t>NOT AVAILABLE</t>
        </is>
      </c>
      <c r="H997" t="n">
        <v>0</v>
      </c>
      <c r="I997" t="n">
        <v>0</v>
      </c>
      <c r="J997" t="inlineStr">
        <is>
          <t>NOT AVAILABLE</t>
        </is>
      </c>
      <c r="K997" t="inlineStr">
        <is>
          <t>NOT AVAILABLE (report not requested)</t>
        </is>
      </c>
      <c r="L997" t="inlineStr">
        <is>
          <t>flat (no data)</t>
        </is>
      </c>
      <c r="M997" t="inlineStr">
        <is>
          <t>MEASURED</t>
        </is>
      </c>
      <c r="N997" s="5" t="inlineStr">
        <is>
          <t>Semrush phrase_these (live, this session)</t>
        </is>
      </c>
      <c r="O997" t="inlineStr">
        <is>
          <t>2026-10-30</t>
        </is>
      </c>
      <c r="P997">
        <f>IF(IF(J997="NOT AVAILABLE","",J997)="",12,IF(OR(ISNUMBER(SEARCH("Transactional",IF(J997="NOT AVAILABLE","",J997))),ISNUMBER(SEARCH("Commercial",IF(J997="NOT AVAILABLE","",J997)))),25,IF(ISNUMBER(SEARCH("Informational",IF(J997="NOT AVAILABLE","",J997))),10,IF(ISNUMBER(SEARCH("Navigational",IF(J997="NOT AVAILABLE","",J997))),0,12))))</f>
        <v/>
      </c>
      <c r="Q997">
        <f>IF(ISNUMBER(F997),MIN(30,ROUND(30*LOG10(F997+1)/4,1)),0)</f>
        <v/>
      </c>
      <c r="R997">
        <f>IF(ISNUMBER(G997),ROUND(25*(100-G997)/100,1),12.5)</f>
        <v/>
      </c>
      <c r="S997" t="n">
        <v>6</v>
      </c>
      <c r="T997">
        <f>ROUND(P997+Q997+R997+S997,0)</f>
        <v/>
      </c>
      <c r="U997" s="5" t="inlineStr"/>
      <c r="V997" s="5" t="inlineStr"/>
    </row>
    <row r="998">
      <c r="A998" t="inlineStr">
        <is>
          <t>K0996</t>
        </is>
      </c>
      <c r="B998" t="inlineStr">
        <is>
          <t>site internet professionnel</t>
        </is>
      </c>
      <c r="C998" t="inlineStr">
        <is>
          <t>Algeria</t>
        </is>
      </c>
      <c r="D998" t="inlineStr">
        <is>
          <t>dz</t>
        </is>
      </c>
      <c r="E998" t="inlineStr">
        <is>
          <t>fr</t>
        </is>
      </c>
      <c r="F998" t="n">
        <v>0</v>
      </c>
      <c r="G998" t="inlineStr">
        <is>
          <t>NOT AVAILABLE</t>
        </is>
      </c>
      <c r="H998" t="n">
        <v>0</v>
      </c>
      <c r="I998" t="n">
        <v>0</v>
      </c>
      <c r="J998" t="inlineStr">
        <is>
          <t>NOT AVAILABLE</t>
        </is>
      </c>
      <c r="K998" t="inlineStr">
        <is>
          <t>NOT AVAILABLE (report not requested)</t>
        </is>
      </c>
      <c r="L998" t="inlineStr">
        <is>
          <t>flat (no data)</t>
        </is>
      </c>
      <c r="M998" t="inlineStr">
        <is>
          <t>MEASURED</t>
        </is>
      </c>
      <c r="N998" s="5" t="inlineStr">
        <is>
          <t>Semrush phrase_these (live, this session)</t>
        </is>
      </c>
      <c r="O998" t="inlineStr">
        <is>
          <t>2026-10-30</t>
        </is>
      </c>
      <c r="P998">
        <f>IF(IF(J998="NOT AVAILABLE","",J998)="",12,IF(OR(ISNUMBER(SEARCH("Transactional",IF(J998="NOT AVAILABLE","",J998))),ISNUMBER(SEARCH("Commercial",IF(J998="NOT AVAILABLE","",J998)))),25,IF(ISNUMBER(SEARCH("Informational",IF(J998="NOT AVAILABLE","",J998))),10,IF(ISNUMBER(SEARCH("Navigational",IF(J998="NOT AVAILABLE","",J998))),0,12))))</f>
        <v/>
      </c>
      <c r="Q998">
        <f>IF(ISNUMBER(F998),MIN(30,ROUND(30*LOG10(F998+1)/4,1)),0)</f>
        <v/>
      </c>
      <c r="R998">
        <f>IF(ISNUMBER(G998),ROUND(25*(100-G998)/100,1),12.5)</f>
        <v/>
      </c>
      <c r="S998" t="n">
        <v>6</v>
      </c>
      <c r="T998">
        <f>ROUND(P998+Q998+R998+S998,0)</f>
        <v/>
      </c>
      <c r="U998" s="5" t="inlineStr"/>
      <c r="V998" s="5" t="inlineStr"/>
    </row>
    <row r="999">
      <c r="A999" t="inlineStr">
        <is>
          <t>K0997</t>
        </is>
      </c>
      <c r="B999" t="inlineStr">
        <is>
          <t>sous-traitance développement web</t>
        </is>
      </c>
      <c r="C999" t="inlineStr">
        <is>
          <t>Algeria</t>
        </is>
      </c>
      <c r="D999" t="inlineStr">
        <is>
          <t>dz</t>
        </is>
      </c>
      <c r="E999" t="inlineStr">
        <is>
          <t>fr</t>
        </is>
      </c>
      <c r="F999" t="inlineStr">
        <is>
          <t>NOT AVAILABLE</t>
        </is>
      </c>
      <c r="G999" t="inlineStr">
        <is>
          <t>NOT AVAILABLE</t>
        </is>
      </c>
      <c r="H999" t="inlineStr">
        <is>
          <t>NOT AVAILABLE</t>
        </is>
      </c>
      <c r="I999" t="inlineStr">
        <is>
          <t>NOT AVAILABLE</t>
        </is>
      </c>
      <c r="J999" t="inlineStr">
        <is>
          <t>NOT AVAILABLE</t>
        </is>
      </c>
      <c r="K999" t="inlineStr">
        <is>
          <t>NOT AVAILABLE</t>
        </is>
      </c>
      <c r="L999" t="inlineStr">
        <is>
          <t>NOT AVAILABLE</t>
        </is>
      </c>
      <c r="M999" t="inlineStr">
        <is>
          <t>UNAVAILABLE</t>
        </is>
      </c>
      <c r="N999" s="5" t="inlineStr">
        <is>
          <t>Semrush phrase_these returned no data (not billed)</t>
        </is>
      </c>
      <c r="O999" t="inlineStr">
        <is>
          <t>2026-10-30</t>
        </is>
      </c>
      <c r="P999">
        <f>IF(IF(J999="NOT AVAILABLE","",J999)="",12,IF(OR(ISNUMBER(SEARCH("Transactional",IF(J999="NOT AVAILABLE","",J999))),ISNUMBER(SEARCH("Commercial",IF(J999="NOT AVAILABLE","",J999)))),25,IF(ISNUMBER(SEARCH("Informational",IF(J999="NOT AVAILABLE","",J999))),10,IF(ISNUMBER(SEARCH("Navigational",IF(J999="NOT AVAILABLE","",J999))),0,12))))</f>
        <v/>
      </c>
      <c r="Q999">
        <f>IF(ISNUMBER(F999),MIN(30,ROUND(30*LOG10(F999+1)/4,1)),0)</f>
        <v/>
      </c>
      <c r="R999">
        <f>IF(ISNUMBER(G999),ROUND(25*(100-G999)/100,1),12.5)</f>
        <v/>
      </c>
      <c r="S999" t="n">
        <v>6</v>
      </c>
      <c r="T999">
        <f>ROUND(P999+Q999+R999+S999,0)</f>
        <v/>
      </c>
      <c r="U999" s="5" t="inlineStr"/>
      <c r="V999" s="5" t="inlineStr"/>
    </row>
    <row r="1000">
      <c r="A1000" t="inlineStr">
        <is>
          <t>K0998</t>
        </is>
      </c>
      <c r="B1000" t="inlineStr">
        <is>
          <t>agence web le caire</t>
        </is>
      </c>
      <c r="C1000" t="inlineStr">
        <is>
          <t>Egypt</t>
        </is>
      </c>
      <c r="D1000" t="inlineStr">
        <is>
          <t>eg</t>
        </is>
      </c>
      <c r="E1000" t="inlineStr">
        <is>
          <t>fr</t>
        </is>
      </c>
      <c r="F1000" t="inlineStr">
        <is>
          <t>NOT AVAILABLE</t>
        </is>
      </c>
      <c r="G1000" t="inlineStr">
        <is>
          <t>NOT AVAILABLE</t>
        </is>
      </c>
      <c r="H1000" t="inlineStr">
        <is>
          <t>NOT AVAILABLE</t>
        </is>
      </c>
      <c r="I1000" t="inlineStr">
        <is>
          <t>NOT AVAILABLE</t>
        </is>
      </c>
      <c r="J1000" t="inlineStr">
        <is>
          <t>NOT AVAILABLE</t>
        </is>
      </c>
      <c r="K1000" t="inlineStr">
        <is>
          <t>NOT AVAILABLE</t>
        </is>
      </c>
      <c r="L1000" t="inlineStr">
        <is>
          <t>NOT AVAILABLE</t>
        </is>
      </c>
      <c r="M1000" t="inlineStr">
        <is>
          <t>UNAVAILABLE</t>
        </is>
      </c>
      <c r="N1000" s="5" t="inlineStr">
        <is>
          <t>Semrush phrase_these returned no data (not billed)</t>
        </is>
      </c>
      <c r="O1000" t="inlineStr">
        <is>
          <t>2026-10-30</t>
        </is>
      </c>
      <c r="P1000">
        <f>IF(IF(J1000="NOT AVAILABLE","",J1000)="",12,IF(OR(ISNUMBER(SEARCH("Transactional",IF(J1000="NOT AVAILABLE","",J1000))),ISNUMBER(SEARCH("Commercial",IF(J1000="NOT AVAILABLE","",J1000)))),25,IF(ISNUMBER(SEARCH("Informational",IF(J1000="NOT AVAILABLE","",J1000))),10,IF(ISNUMBER(SEARCH("Navigational",IF(J1000="NOT AVAILABLE","",J1000))),0,12))))</f>
        <v/>
      </c>
      <c r="Q1000">
        <f>IF(ISNUMBER(F1000),MIN(30,ROUND(30*LOG10(F1000+1)/4,1)),0)</f>
        <v/>
      </c>
      <c r="R1000">
        <f>IF(ISNUMBER(G1000),ROUND(25*(100-G1000)/100,1),12.5)</f>
        <v/>
      </c>
      <c r="S1000" t="n">
        <v>3</v>
      </c>
      <c r="T1000">
        <f>ROUND(P1000+Q1000+R1000+S1000,0)</f>
        <v/>
      </c>
      <c r="U1000" s="5" t="inlineStr"/>
      <c r="V1000" s="5" t="inlineStr"/>
    </row>
    <row r="1001">
      <c r="A1001" t="inlineStr">
        <is>
          <t>K0999</t>
        </is>
      </c>
      <c r="B1001" t="inlineStr">
        <is>
          <t>création site web le caire</t>
        </is>
      </c>
      <c r="C1001" t="inlineStr">
        <is>
          <t>Egypt</t>
        </is>
      </c>
      <c r="D1001" t="inlineStr">
        <is>
          <t>eg</t>
        </is>
      </c>
      <c r="E1001" t="inlineStr">
        <is>
          <t>fr</t>
        </is>
      </c>
      <c r="F1001" t="inlineStr">
        <is>
          <t>NOT AVAILABLE</t>
        </is>
      </c>
      <c r="G1001" t="inlineStr">
        <is>
          <t>NOT AVAILABLE</t>
        </is>
      </c>
      <c r="H1001" t="inlineStr">
        <is>
          <t>NOT AVAILABLE</t>
        </is>
      </c>
      <c r="I1001" t="inlineStr">
        <is>
          <t>NOT AVAILABLE</t>
        </is>
      </c>
      <c r="J1001" t="inlineStr">
        <is>
          <t>NOT AVAILABLE</t>
        </is>
      </c>
      <c r="K1001" t="inlineStr">
        <is>
          <t>NOT AVAILABLE</t>
        </is>
      </c>
      <c r="L1001" t="inlineStr">
        <is>
          <t>NOT AVAILABLE</t>
        </is>
      </c>
      <c r="M1001" t="inlineStr">
        <is>
          <t>UNAVAILABLE</t>
        </is>
      </c>
      <c r="N1001" s="5" t="inlineStr">
        <is>
          <t>Semrush phrase_these returned no data (not billed)</t>
        </is>
      </c>
      <c r="O1001" t="inlineStr">
        <is>
          <t>2026-10-30</t>
        </is>
      </c>
      <c r="P1001">
        <f>IF(IF(J1001="NOT AVAILABLE","",J1001)="",12,IF(OR(ISNUMBER(SEARCH("Transactional",IF(J1001="NOT AVAILABLE","",J1001))),ISNUMBER(SEARCH("Commercial",IF(J1001="NOT AVAILABLE","",J1001)))),25,IF(ISNUMBER(SEARCH("Informational",IF(J1001="NOT AVAILABLE","",J1001))),10,IF(ISNUMBER(SEARCH("Navigational",IF(J1001="NOT AVAILABLE","",J1001))),0,12))))</f>
        <v/>
      </c>
      <c r="Q1001">
        <f>IF(ISNUMBER(F1001),MIN(30,ROUND(30*LOG10(F1001+1)/4,1)),0)</f>
        <v/>
      </c>
      <c r="R1001">
        <f>IF(ISNUMBER(G1001),ROUND(25*(100-G1001)/100,1),12.5)</f>
        <v/>
      </c>
      <c r="S1001" t="n">
        <v>3</v>
      </c>
      <c r="T1001">
        <f>ROUND(P1001+Q1001+R1001+S1001,0)</f>
        <v/>
      </c>
      <c r="U1001" s="5" t="inlineStr"/>
      <c r="V1001" s="5" t="inlineStr"/>
    </row>
    <row r="1002">
      <c r="A1002" t="inlineStr">
        <is>
          <t>K1000</t>
        </is>
      </c>
      <c r="B1002" t="inlineStr">
        <is>
          <t>développement web le caire</t>
        </is>
      </c>
      <c r="C1002" t="inlineStr">
        <is>
          <t>Egypt</t>
        </is>
      </c>
      <c r="D1002" t="inlineStr">
        <is>
          <t>eg</t>
        </is>
      </c>
      <c r="E1002" t="inlineStr">
        <is>
          <t>fr</t>
        </is>
      </c>
      <c r="F1002" t="inlineStr">
        <is>
          <t>NOT AVAILABLE</t>
        </is>
      </c>
      <c r="G1002" t="inlineStr">
        <is>
          <t>NOT AVAILABLE</t>
        </is>
      </c>
      <c r="H1002" t="inlineStr">
        <is>
          <t>NOT AVAILABLE</t>
        </is>
      </c>
      <c r="I1002" t="inlineStr">
        <is>
          <t>NOT AVAILABLE</t>
        </is>
      </c>
      <c r="J1002" t="inlineStr">
        <is>
          <t>NOT AVAILABLE</t>
        </is>
      </c>
      <c r="K1002" t="inlineStr">
        <is>
          <t>NOT AVAILABLE</t>
        </is>
      </c>
      <c r="L1002" t="inlineStr">
        <is>
          <t>NOT AVAILABLE</t>
        </is>
      </c>
      <c r="M1002" t="inlineStr">
        <is>
          <t>UNAVAILABLE</t>
        </is>
      </c>
      <c r="N1002" s="5" t="inlineStr">
        <is>
          <t>Semrush phrase_these returned no data (not billed)</t>
        </is>
      </c>
      <c r="O1002" t="inlineStr">
        <is>
          <t>2026-10-30</t>
        </is>
      </c>
      <c r="P1002">
        <f>IF(IF(J1002="NOT AVAILABLE","",J1002)="",12,IF(OR(ISNUMBER(SEARCH("Transactional",IF(J1002="NOT AVAILABLE","",J1002))),ISNUMBER(SEARCH("Commercial",IF(J1002="NOT AVAILABLE","",J1002)))),25,IF(ISNUMBER(SEARCH("Informational",IF(J1002="NOT AVAILABLE","",J1002))),10,IF(ISNUMBER(SEARCH("Navigational",IF(J1002="NOT AVAILABLE","",J1002))),0,12))))</f>
        <v/>
      </c>
      <c r="Q1002">
        <f>IF(ISNUMBER(F1002),MIN(30,ROUND(30*LOG10(F1002+1)/4,1)),0)</f>
        <v/>
      </c>
      <c r="R1002">
        <f>IF(ISNUMBER(G1002),ROUND(25*(100-G1002)/100,1),12.5)</f>
        <v/>
      </c>
      <c r="S1002" t="n">
        <v>3</v>
      </c>
      <c r="T1002">
        <f>ROUND(P1002+Q1002+R1002+S1002,0)</f>
        <v/>
      </c>
      <c r="U1002" s="5" t="inlineStr"/>
      <c r="V1002" s="5" t="inlineStr">
        <is>
          <t>PRIMARY /web-development-company/cairo</t>
        </is>
      </c>
    </row>
    <row r="1003">
      <c r="A1003" t="inlineStr">
        <is>
          <t>K1001</t>
        </is>
      </c>
      <c r="B1003" t="inlineStr">
        <is>
          <t>web development company cairo</t>
        </is>
      </c>
      <c r="C1003" t="inlineStr">
        <is>
          <t>Egypt</t>
        </is>
      </c>
      <c r="D1003" t="inlineStr">
        <is>
          <t>eg</t>
        </is>
      </c>
      <c r="E1003" t="inlineStr">
        <is>
          <t>en</t>
        </is>
      </c>
      <c r="F1003" t="n">
        <v>0</v>
      </c>
      <c r="G1003" t="inlineStr">
        <is>
          <t>NOT AVAILABLE</t>
        </is>
      </c>
      <c r="H1003" t="n">
        <v>0</v>
      </c>
      <c r="I1003" t="n">
        <v>0</v>
      </c>
      <c r="J1003" t="inlineStr">
        <is>
          <t>NOT AVAILABLE</t>
        </is>
      </c>
      <c r="K1003" t="inlineStr">
        <is>
          <t>NOT AVAILABLE (report not requested)</t>
        </is>
      </c>
      <c r="L1003" t="inlineStr">
        <is>
          <t>flat (no data)</t>
        </is>
      </c>
      <c r="M1003" t="inlineStr">
        <is>
          <t>MEASURED</t>
        </is>
      </c>
      <c r="N1003" s="5" t="inlineStr">
        <is>
          <t>Semrush phrase_these (live, this session)</t>
        </is>
      </c>
      <c r="O1003" t="inlineStr">
        <is>
          <t>2026-10-30</t>
        </is>
      </c>
      <c r="P1003">
        <f>IF(IF(J1003="NOT AVAILABLE","",J1003)="",12,IF(OR(ISNUMBER(SEARCH("Transactional",IF(J1003="NOT AVAILABLE","",J1003))),ISNUMBER(SEARCH("Commercial",IF(J1003="NOT AVAILABLE","",J1003)))),25,IF(ISNUMBER(SEARCH("Informational",IF(J1003="NOT AVAILABLE","",J1003))),10,IF(ISNUMBER(SEARCH("Navigational",IF(J1003="NOT AVAILABLE","",J1003))),0,12))))</f>
        <v/>
      </c>
      <c r="Q1003">
        <f>IF(ISNUMBER(F1003),MIN(30,ROUND(30*LOG10(F1003+1)/4,1)),0)</f>
        <v/>
      </c>
      <c r="R1003">
        <f>IF(ISNUMBER(G1003),ROUND(25*(100-G1003)/100,1),12.5)</f>
        <v/>
      </c>
      <c r="S1003" t="n">
        <v>3</v>
      </c>
      <c r="T1003">
        <f>ROUND(P1003+Q1003+R1003+S1003,0)</f>
        <v/>
      </c>
      <c r="U1003" s="5" t="inlineStr"/>
      <c r="V1003" s="5" t="inlineStr">
        <is>
          <t>NOT RECOMMENDED /web-development-company/cairo</t>
        </is>
      </c>
    </row>
    <row r="1004">
      <c r="A1004" t="inlineStr">
        <is>
          <t>K1002</t>
        </is>
      </c>
      <c r="B1004" t="inlineStr">
        <is>
          <t>desarrollo web barcelona</t>
        </is>
      </c>
      <c r="C1004" t="inlineStr">
        <is>
          <t>Spain</t>
        </is>
      </c>
      <c r="D1004" t="inlineStr">
        <is>
          <t>es</t>
        </is>
      </c>
      <c r="E1004" t="inlineStr">
        <is>
          <t>es</t>
        </is>
      </c>
      <c r="F1004" t="n">
        <v>1300</v>
      </c>
      <c r="G1004" t="n">
        <v>14</v>
      </c>
      <c r="H1004" t="n">
        <v>4.19</v>
      </c>
      <c r="I1004" t="n">
        <v>0.45</v>
      </c>
      <c r="J1004" t="inlineStr">
        <is>
          <t>Commercial</t>
        </is>
      </c>
      <c r="K1004" t="inlineStr">
        <is>
          <t>NOT AVAILABLE (report not requested)</t>
        </is>
      </c>
      <c r="L1004" t="inlineStr">
        <is>
          <t>declining (calc.)</t>
        </is>
      </c>
      <c r="M1004" t="inlineStr">
        <is>
          <t>MEASURED</t>
        </is>
      </c>
      <c r="N1004" s="5" t="inlineStr">
        <is>
          <t>Semrush phrase_these (live, this session)</t>
        </is>
      </c>
      <c r="O1004" t="inlineStr">
        <is>
          <t>2026-10-30</t>
        </is>
      </c>
      <c r="P1004">
        <f>IF(IF(J1004="NOT AVAILABLE","",J1004)="",12,IF(OR(ISNUMBER(SEARCH("Transactional",IF(J1004="NOT AVAILABLE","",J1004))),ISNUMBER(SEARCH("Commercial",IF(J1004="NOT AVAILABLE","",J1004)))),25,IF(ISNUMBER(SEARCH("Informational",IF(J1004="NOT AVAILABLE","",J1004))),10,IF(ISNUMBER(SEARCH("Navigational",IF(J1004="NOT AVAILABLE","",J1004))),0,12))))</f>
        <v/>
      </c>
      <c r="Q1004">
        <f>IF(ISNUMBER(F1004),MIN(30,ROUND(30*LOG10(F1004+1)/4,1)),0)</f>
        <v/>
      </c>
      <c r="R1004">
        <f>IF(ISNUMBER(G1004),ROUND(25*(100-G1004)/100,1),12.5)</f>
        <v/>
      </c>
      <c r="S1004" t="n">
        <v>3</v>
      </c>
      <c r="T1004">
        <f>ROUND(P1004+Q1004+R1004+S1004,0)</f>
        <v/>
      </c>
      <c r="U1004" s="5" t="inlineStr"/>
      <c r="V1004" s="5" t="inlineStr">
        <is>
          <t>NOT RECOMMENDED /web-development-company/barcelona</t>
        </is>
      </c>
    </row>
    <row r="1005">
      <c r="A1005" t="inlineStr">
        <is>
          <t>K1003</t>
        </is>
      </c>
      <c r="B1005" t="inlineStr">
        <is>
          <t>desarrollo web madrid</t>
        </is>
      </c>
      <c r="C1005" t="inlineStr">
        <is>
          <t>Spain</t>
        </is>
      </c>
      <c r="D1005" t="inlineStr">
        <is>
          <t>es</t>
        </is>
      </c>
      <c r="E1005" t="inlineStr">
        <is>
          <t>es</t>
        </is>
      </c>
      <c r="F1005" t="n">
        <v>1300</v>
      </c>
      <c r="G1005" t="n">
        <v>23</v>
      </c>
      <c r="H1005" t="n">
        <v>4.41</v>
      </c>
      <c r="I1005" t="n">
        <v>0.42</v>
      </c>
      <c r="J1005" t="inlineStr">
        <is>
          <t>Transactional</t>
        </is>
      </c>
      <c r="K1005" t="inlineStr">
        <is>
          <t>NOT AVAILABLE (report not requested)</t>
        </is>
      </c>
      <c r="L1005" t="inlineStr">
        <is>
          <t>stable (calc.)</t>
        </is>
      </c>
      <c r="M1005" t="inlineStr">
        <is>
          <t>MEASURED</t>
        </is>
      </c>
      <c r="N1005" s="5" t="inlineStr">
        <is>
          <t>Semrush phrase_these (live, this session)</t>
        </is>
      </c>
      <c r="O1005" t="inlineStr">
        <is>
          <t>2026-10-30</t>
        </is>
      </c>
      <c r="P1005">
        <f>IF(IF(J1005="NOT AVAILABLE","",J1005)="",12,IF(OR(ISNUMBER(SEARCH("Transactional",IF(J1005="NOT AVAILABLE","",J1005))),ISNUMBER(SEARCH("Commercial",IF(J1005="NOT AVAILABLE","",J1005)))),25,IF(ISNUMBER(SEARCH("Informational",IF(J1005="NOT AVAILABLE","",J1005))),10,IF(ISNUMBER(SEARCH("Navigational",IF(J1005="NOT AVAILABLE","",J1005))),0,12))))</f>
        <v/>
      </c>
      <c r="Q1005">
        <f>IF(ISNUMBER(F1005),MIN(30,ROUND(30*LOG10(F1005+1)/4,1)),0)</f>
        <v/>
      </c>
      <c r="R1005">
        <f>IF(ISNUMBER(G1005),ROUND(25*(100-G1005)/100,1),12.5)</f>
        <v/>
      </c>
      <c r="S1005" t="n">
        <v>3</v>
      </c>
      <c r="T1005">
        <f>ROUND(P1005+Q1005+R1005+S1005,0)</f>
        <v/>
      </c>
      <c r="U1005" s="5" t="inlineStr"/>
      <c r="V1005" s="5" t="inlineStr">
        <is>
          <t>NOT RECOMMENDED /web-development-company/madrid</t>
        </is>
      </c>
    </row>
    <row r="1006">
      <c r="A1006" t="inlineStr">
        <is>
          <t>K1004</t>
        </is>
      </c>
      <c r="B1006" t="inlineStr">
        <is>
          <t>agence web barcelone</t>
        </is>
      </c>
      <c r="C1006" t="inlineStr">
        <is>
          <t>Spain</t>
        </is>
      </c>
      <c r="D1006" t="inlineStr">
        <is>
          <t>es</t>
        </is>
      </c>
      <c r="E1006" t="inlineStr">
        <is>
          <t>fr</t>
        </is>
      </c>
      <c r="F1006" t="n">
        <v>0</v>
      </c>
      <c r="G1006" t="inlineStr">
        <is>
          <t>NOT AVAILABLE</t>
        </is>
      </c>
      <c r="H1006" t="n">
        <v>0</v>
      </c>
      <c r="I1006" t="n">
        <v>0</v>
      </c>
      <c r="J1006" t="inlineStr">
        <is>
          <t>NOT AVAILABLE</t>
        </is>
      </c>
      <c r="K1006" t="inlineStr">
        <is>
          <t>NOT AVAILABLE (report not requested)</t>
        </is>
      </c>
      <c r="L1006" t="inlineStr">
        <is>
          <t>declining (calc.)</t>
        </is>
      </c>
      <c r="M1006" t="inlineStr">
        <is>
          <t>MEASURED</t>
        </is>
      </c>
      <c r="N1006" s="5" t="inlineStr">
        <is>
          <t>Semrush phrase_these (live, this session)</t>
        </is>
      </c>
      <c r="O1006" t="inlineStr">
        <is>
          <t>2026-10-30</t>
        </is>
      </c>
      <c r="P1006">
        <f>IF(IF(J1006="NOT AVAILABLE","",J1006)="",12,IF(OR(ISNUMBER(SEARCH("Transactional",IF(J1006="NOT AVAILABLE","",J1006))),ISNUMBER(SEARCH("Commercial",IF(J1006="NOT AVAILABLE","",J1006)))),25,IF(ISNUMBER(SEARCH("Informational",IF(J1006="NOT AVAILABLE","",J1006))),10,IF(ISNUMBER(SEARCH("Navigational",IF(J1006="NOT AVAILABLE","",J1006))),0,12))))</f>
        <v/>
      </c>
      <c r="Q1006">
        <f>IF(ISNUMBER(F1006),MIN(30,ROUND(30*LOG10(F1006+1)/4,1)),0)</f>
        <v/>
      </c>
      <c r="R1006">
        <f>IF(ISNUMBER(G1006),ROUND(25*(100-G1006)/100,1),12.5)</f>
        <v/>
      </c>
      <c r="S1006" t="n">
        <v>3</v>
      </c>
      <c r="T1006">
        <f>ROUND(P1006+Q1006+R1006+S1006,0)</f>
        <v/>
      </c>
      <c r="U1006" s="5" t="inlineStr"/>
      <c r="V1006" s="5" t="inlineStr"/>
    </row>
    <row r="1007">
      <c r="A1007" t="inlineStr">
        <is>
          <t>K1005</t>
        </is>
      </c>
      <c r="B1007" t="inlineStr">
        <is>
          <t>agence web madrid</t>
        </is>
      </c>
      <c r="C1007" t="inlineStr">
        <is>
          <t>Spain</t>
        </is>
      </c>
      <c r="D1007" t="inlineStr">
        <is>
          <t>es</t>
        </is>
      </c>
      <c r="E1007" t="inlineStr">
        <is>
          <t>fr</t>
        </is>
      </c>
      <c r="F1007" t="inlineStr">
        <is>
          <t>NOT AVAILABLE</t>
        </is>
      </c>
      <c r="G1007" t="inlineStr">
        <is>
          <t>NOT AVAILABLE</t>
        </is>
      </c>
      <c r="H1007" t="inlineStr">
        <is>
          <t>NOT AVAILABLE</t>
        </is>
      </c>
      <c r="I1007" t="inlineStr">
        <is>
          <t>NOT AVAILABLE</t>
        </is>
      </c>
      <c r="J1007" t="inlineStr">
        <is>
          <t>NOT AVAILABLE</t>
        </is>
      </c>
      <c r="K1007" t="inlineStr">
        <is>
          <t>NOT AVAILABLE</t>
        </is>
      </c>
      <c r="L1007" t="inlineStr">
        <is>
          <t>NOT AVAILABLE</t>
        </is>
      </c>
      <c r="M1007" t="inlineStr">
        <is>
          <t>UNAVAILABLE</t>
        </is>
      </c>
      <c r="N1007" s="5" t="inlineStr">
        <is>
          <t>Semrush phrase_these returned no data (not billed)</t>
        </is>
      </c>
      <c r="O1007" t="inlineStr">
        <is>
          <t>2026-10-30</t>
        </is>
      </c>
      <c r="P1007">
        <f>IF(IF(J1007="NOT AVAILABLE","",J1007)="",12,IF(OR(ISNUMBER(SEARCH("Transactional",IF(J1007="NOT AVAILABLE","",J1007))),ISNUMBER(SEARCH("Commercial",IF(J1007="NOT AVAILABLE","",J1007)))),25,IF(ISNUMBER(SEARCH("Informational",IF(J1007="NOT AVAILABLE","",J1007))),10,IF(ISNUMBER(SEARCH("Navigational",IF(J1007="NOT AVAILABLE","",J1007))),0,12))))</f>
        <v/>
      </c>
      <c r="Q1007">
        <f>IF(ISNUMBER(F1007),MIN(30,ROUND(30*LOG10(F1007+1)/4,1)),0)</f>
        <v/>
      </c>
      <c r="R1007">
        <f>IF(ISNUMBER(G1007),ROUND(25*(100-G1007)/100,1),12.5)</f>
        <v/>
      </c>
      <c r="S1007" t="n">
        <v>3</v>
      </c>
      <c r="T1007">
        <f>ROUND(P1007+Q1007+R1007+S1007,0)</f>
        <v/>
      </c>
      <c r="U1007" s="5" t="inlineStr"/>
      <c r="V1007" s="5" t="inlineStr"/>
    </row>
    <row r="1008">
      <c r="A1008" t="inlineStr">
        <is>
          <t>K1006</t>
        </is>
      </c>
      <c r="B1008" t="inlineStr">
        <is>
          <t>création site web barcelone</t>
        </is>
      </c>
      <c r="C1008" t="inlineStr">
        <is>
          <t>Spain</t>
        </is>
      </c>
      <c r="D1008" t="inlineStr">
        <is>
          <t>es</t>
        </is>
      </c>
      <c r="E1008" t="inlineStr">
        <is>
          <t>fr</t>
        </is>
      </c>
      <c r="F1008" t="inlineStr">
        <is>
          <t>NOT AVAILABLE</t>
        </is>
      </c>
      <c r="G1008" t="inlineStr">
        <is>
          <t>NOT AVAILABLE</t>
        </is>
      </c>
      <c r="H1008" t="inlineStr">
        <is>
          <t>NOT AVAILABLE</t>
        </is>
      </c>
      <c r="I1008" t="inlineStr">
        <is>
          <t>NOT AVAILABLE</t>
        </is>
      </c>
      <c r="J1008" t="inlineStr">
        <is>
          <t>NOT AVAILABLE</t>
        </is>
      </c>
      <c r="K1008" t="inlineStr">
        <is>
          <t>NOT AVAILABLE</t>
        </is>
      </c>
      <c r="L1008" t="inlineStr">
        <is>
          <t>NOT AVAILABLE</t>
        </is>
      </c>
      <c r="M1008" t="inlineStr">
        <is>
          <t>UNAVAILABLE</t>
        </is>
      </c>
      <c r="N1008" s="5" t="inlineStr">
        <is>
          <t>Semrush phrase_these returned no data (not billed)</t>
        </is>
      </c>
      <c r="O1008" t="inlineStr">
        <is>
          <t>2026-10-30</t>
        </is>
      </c>
      <c r="P1008">
        <f>IF(IF(J1008="NOT AVAILABLE","",J1008)="",12,IF(OR(ISNUMBER(SEARCH("Transactional",IF(J1008="NOT AVAILABLE","",J1008))),ISNUMBER(SEARCH("Commercial",IF(J1008="NOT AVAILABLE","",J1008)))),25,IF(ISNUMBER(SEARCH("Informational",IF(J1008="NOT AVAILABLE","",J1008))),10,IF(ISNUMBER(SEARCH("Navigational",IF(J1008="NOT AVAILABLE","",J1008))),0,12))))</f>
        <v/>
      </c>
      <c r="Q1008">
        <f>IF(ISNUMBER(F1008),MIN(30,ROUND(30*LOG10(F1008+1)/4,1)),0)</f>
        <v/>
      </c>
      <c r="R1008">
        <f>IF(ISNUMBER(G1008),ROUND(25*(100-G1008)/100,1),12.5)</f>
        <v/>
      </c>
      <c r="S1008" t="n">
        <v>3</v>
      </c>
      <c r="T1008">
        <f>ROUND(P1008+Q1008+R1008+S1008,0)</f>
        <v/>
      </c>
      <c r="U1008" s="5" t="inlineStr"/>
      <c r="V1008" s="5" t="inlineStr"/>
    </row>
    <row r="1009">
      <c r="A1009" t="inlineStr">
        <is>
          <t>K1007</t>
        </is>
      </c>
      <c r="B1009" t="inlineStr">
        <is>
          <t>création site web madrid</t>
        </is>
      </c>
      <c r="C1009" t="inlineStr">
        <is>
          <t>Spain</t>
        </is>
      </c>
      <c r="D1009" t="inlineStr">
        <is>
          <t>es</t>
        </is>
      </c>
      <c r="E1009" t="inlineStr">
        <is>
          <t>fr</t>
        </is>
      </c>
      <c r="F1009" t="inlineStr">
        <is>
          <t>NOT AVAILABLE</t>
        </is>
      </c>
      <c r="G1009" t="inlineStr">
        <is>
          <t>NOT AVAILABLE</t>
        </is>
      </c>
      <c r="H1009" t="inlineStr">
        <is>
          <t>NOT AVAILABLE</t>
        </is>
      </c>
      <c r="I1009" t="inlineStr">
        <is>
          <t>NOT AVAILABLE</t>
        </is>
      </c>
      <c r="J1009" t="inlineStr">
        <is>
          <t>NOT AVAILABLE</t>
        </is>
      </c>
      <c r="K1009" t="inlineStr">
        <is>
          <t>NOT AVAILABLE</t>
        </is>
      </c>
      <c r="L1009" t="inlineStr">
        <is>
          <t>NOT AVAILABLE</t>
        </is>
      </c>
      <c r="M1009" t="inlineStr">
        <is>
          <t>UNAVAILABLE</t>
        </is>
      </c>
      <c r="N1009" s="5" t="inlineStr">
        <is>
          <t>Semrush phrase_these returned no data (not billed)</t>
        </is>
      </c>
      <c r="O1009" t="inlineStr">
        <is>
          <t>2026-10-30</t>
        </is>
      </c>
      <c r="P1009">
        <f>IF(IF(J1009="NOT AVAILABLE","",J1009)="",12,IF(OR(ISNUMBER(SEARCH("Transactional",IF(J1009="NOT AVAILABLE","",J1009))),ISNUMBER(SEARCH("Commercial",IF(J1009="NOT AVAILABLE","",J1009)))),25,IF(ISNUMBER(SEARCH("Informational",IF(J1009="NOT AVAILABLE","",J1009))),10,IF(ISNUMBER(SEARCH("Navigational",IF(J1009="NOT AVAILABLE","",J1009))),0,12))))</f>
        <v/>
      </c>
      <c r="Q1009">
        <f>IF(ISNUMBER(F1009),MIN(30,ROUND(30*LOG10(F1009+1)/4,1)),0)</f>
        <v/>
      </c>
      <c r="R1009">
        <f>IF(ISNUMBER(G1009),ROUND(25*(100-G1009)/100,1),12.5)</f>
        <v/>
      </c>
      <c r="S1009" t="n">
        <v>3</v>
      </c>
      <c r="T1009">
        <f>ROUND(P1009+Q1009+R1009+S1009,0)</f>
        <v/>
      </c>
      <c r="U1009" s="5" t="inlineStr"/>
      <c r="V1009" s="5" t="inlineStr"/>
    </row>
    <row r="1010">
      <c r="A1010" t="inlineStr">
        <is>
          <t>K1008</t>
        </is>
      </c>
      <c r="B1010" t="inlineStr">
        <is>
          <t>développement web barcelone</t>
        </is>
      </c>
      <c r="C1010" t="inlineStr">
        <is>
          <t>Spain</t>
        </is>
      </c>
      <c r="D1010" t="inlineStr">
        <is>
          <t>es</t>
        </is>
      </c>
      <c r="E1010" t="inlineStr">
        <is>
          <t>fr</t>
        </is>
      </c>
      <c r="F1010" t="inlineStr">
        <is>
          <t>NOT AVAILABLE</t>
        </is>
      </c>
      <c r="G1010" t="inlineStr">
        <is>
          <t>NOT AVAILABLE</t>
        </is>
      </c>
      <c r="H1010" t="inlineStr">
        <is>
          <t>NOT AVAILABLE</t>
        </is>
      </c>
      <c r="I1010" t="inlineStr">
        <is>
          <t>NOT AVAILABLE</t>
        </is>
      </c>
      <c r="J1010" t="inlineStr">
        <is>
          <t>NOT AVAILABLE</t>
        </is>
      </c>
      <c r="K1010" t="inlineStr">
        <is>
          <t>NOT AVAILABLE</t>
        </is>
      </c>
      <c r="L1010" t="inlineStr">
        <is>
          <t>NOT AVAILABLE</t>
        </is>
      </c>
      <c r="M1010" t="inlineStr">
        <is>
          <t>UNAVAILABLE</t>
        </is>
      </c>
      <c r="N1010" s="5" t="inlineStr">
        <is>
          <t>Semrush phrase_these returned no data (not billed)</t>
        </is>
      </c>
      <c r="O1010" t="inlineStr">
        <is>
          <t>2026-10-30</t>
        </is>
      </c>
      <c r="P1010">
        <f>IF(IF(J1010="NOT AVAILABLE","",J1010)="",12,IF(OR(ISNUMBER(SEARCH("Transactional",IF(J1010="NOT AVAILABLE","",J1010))),ISNUMBER(SEARCH("Commercial",IF(J1010="NOT AVAILABLE","",J1010)))),25,IF(ISNUMBER(SEARCH("Informational",IF(J1010="NOT AVAILABLE","",J1010))),10,IF(ISNUMBER(SEARCH("Navigational",IF(J1010="NOT AVAILABLE","",J1010))),0,12))))</f>
        <v/>
      </c>
      <c r="Q1010">
        <f>IF(ISNUMBER(F1010),MIN(30,ROUND(30*LOG10(F1010+1)/4,1)),0)</f>
        <v/>
      </c>
      <c r="R1010">
        <f>IF(ISNUMBER(G1010),ROUND(25*(100-G1010)/100,1),12.5)</f>
        <v/>
      </c>
      <c r="S1010" t="n">
        <v>3</v>
      </c>
      <c r="T1010">
        <f>ROUND(P1010+Q1010+R1010+S1010,0)</f>
        <v/>
      </c>
      <c r="U1010" s="5" t="inlineStr"/>
      <c r="V1010" s="5" t="inlineStr">
        <is>
          <t>PRIMARY /web-development-company/barcelona</t>
        </is>
      </c>
    </row>
    <row r="1011">
      <c r="A1011" t="inlineStr">
        <is>
          <t>K1009</t>
        </is>
      </c>
      <c r="B1011" t="inlineStr">
        <is>
          <t>développement web madrid</t>
        </is>
      </c>
      <c r="C1011" t="inlineStr">
        <is>
          <t>Spain</t>
        </is>
      </c>
      <c r="D1011" t="inlineStr">
        <is>
          <t>es</t>
        </is>
      </c>
      <c r="E1011" t="inlineStr">
        <is>
          <t>fr</t>
        </is>
      </c>
      <c r="F1011" t="inlineStr">
        <is>
          <t>NOT AVAILABLE</t>
        </is>
      </c>
      <c r="G1011" t="inlineStr">
        <is>
          <t>NOT AVAILABLE</t>
        </is>
      </c>
      <c r="H1011" t="inlineStr">
        <is>
          <t>NOT AVAILABLE</t>
        </is>
      </c>
      <c r="I1011" t="inlineStr">
        <is>
          <t>NOT AVAILABLE</t>
        </is>
      </c>
      <c r="J1011" t="inlineStr">
        <is>
          <t>NOT AVAILABLE</t>
        </is>
      </c>
      <c r="K1011" t="inlineStr">
        <is>
          <t>NOT AVAILABLE</t>
        </is>
      </c>
      <c r="L1011" t="inlineStr">
        <is>
          <t>NOT AVAILABLE</t>
        </is>
      </c>
      <c r="M1011" t="inlineStr">
        <is>
          <t>UNAVAILABLE</t>
        </is>
      </c>
      <c r="N1011" s="5" t="inlineStr">
        <is>
          <t>Semrush phrase_these returned no data (not billed)</t>
        </is>
      </c>
      <c r="O1011" t="inlineStr">
        <is>
          <t>2026-10-30</t>
        </is>
      </c>
      <c r="P1011">
        <f>IF(IF(J1011="NOT AVAILABLE","",J1011)="",12,IF(OR(ISNUMBER(SEARCH("Transactional",IF(J1011="NOT AVAILABLE","",J1011))),ISNUMBER(SEARCH("Commercial",IF(J1011="NOT AVAILABLE","",J1011)))),25,IF(ISNUMBER(SEARCH("Informational",IF(J1011="NOT AVAILABLE","",J1011))),10,IF(ISNUMBER(SEARCH("Navigational",IF(J1011="NOT AVAILABLE","",J1011))),0,12))))</f>
        <v/>
      </c>
      <c r="Q1011">
        <f>IF(ISNUMBER(F1011),MIN(30,ROUND(30*LOG10(F1011+1)/4,1)),0)</f>
        <v/>
      </c>
      <c r="R1011">
        <f>IF(ISNUMBER(G1011),ROUND(25*(100-G1011)/100,1),12.5)</f>
        <v/>
      </c>
      <c r="S1011" t="n">
        <v>3</v>
      </c>
      <c r="T1011">
        <f>ROUND(P1011+Q1011+R1011+S1011,0)</f>
        <v/>
      </c>
      <c r="U1011" s="5" t="inlineStr"/>
      <c r="V1011" s="5" t="inlineStr">
        <is>
          <t>PRIMARY /web-development-company/madrid</t>
        </is>
      </c>
    </row>
    <row r="1012">
      <c r="A1012" t="inlineStr">
        <is>
          <t>K1010</t>
        </is>
      </c>
      <c r="B1012" t="inlineStr">
        <is>
          <t>qr code</t>
        </is>
      </c>
      <c r="C1012" t="inlineStr">
        <is>
          <t>France</t>
        </is>
      </c>
      <c r="D1012" t="inlineStr">
        <is>
          <t>fr</t>
        </is>
      </c>
      <c r="E1012" t="inlineStr">
        <is>
          <t>fr</t>
        </is>
      </c>
      <c r="F1012" t="n">
        <v>90500</v>
      </c>
      <c r="G1012" t="n">
        <v>60</v>
      </c>
      <c r="H1012" t="n">
        <v>0.39</v>
      </c>
      <c r="I1012" t="n">
        <v>0.36</v>
      </c>
      <c r="J1012" t="inlineStr">
        <is>
          <t>Informational</t>
        </is>
      </c>
      <c r="K1012" t="inlineStr">
        <is>
          <t>NOT AVAILABLE (report not requested)</t>
        </is>
      </c>
      <c r="L1012" t="inlineStr">
        <is>
          <t>declining (calc.)</t>
        </is>
      </c>
      <c r="M1012" t="inlineStr">
        <is>
          <t>MEASURED</t>
        </is>
      </c>
      <c r="N1012" s="5" t="inlineStr">
        <is>
          <t>Semrush phrase_these (live, this session)</t>
        </is>
      </c>
      <c r="O1012" t="inlineStr">
        <is>
          <t>2026-10-30</t>
        </is>
      </c>
      <c r="P1012">
        <f>IF(IF(J1012="NOT AVAILABLE","",J1012)="",12,IF(OR(ISNUMBER(SEARCH("Transactional",IF(J1012="NOT AVAILABLE","",J1012))),ISNUMBER(SEARCH("Commercial",IF(J1012="NOT AVAILABLE","",J1012)))),25,IF(ISNUMBER(SEARCH("Informational",IF(J1012="NOT AVAILABLE","",J1012))),10,IF(ISNUMBER(SEARCH("Navigational",IF(J1012="NOT AVAILABLE","",J1012))),0,12))))</f>
        <v/>
      </c>
      <c r="Q1012">
        <f>IF(ISNUMBER(F1012),MIN(30,ROUND(30*LOG10(F1012+1)/4,1)),0)</f>
        <v/>
      </c>
      <c r="R1012">
        <f>IF(ISNUMBER(G1012),ROUND(25*(100-G1012)/100,1),12.5)</f>
        <v/>
      </c>
      <c r="S1012" t="n">
        <v>14</v>
      </c>
      <c r="T1012">
        <f>ROUND(P1012+Q1012+R1012+S1012,0)</f>
        <v/>
      </c>
      <c r="U1012" s="5" t="inlineStr"/>
      <c r="V1012" s="5" t="inlineStr">
        <is>
          <t>OPTIONAL /tools/qr-code-generator</t>
        </is>
      </c>
    </row>
    <row r="1013">
      <c r="A1013" t="inlineStr">
        <is>
          <t>K1011</t>
        </is>
      </c>
      <c r="B1013" t="inlineStr">
        <is>
          <t>agence seo</t>
        </is>
      </c>
      <c r="C1013" t="inlineStr">
        <is>
          <t>France</t>
        </is>
      </c>
      <c r="D1013" t="inlineStr">
        <is>
          <t>fr</t>
        </is>
      </c>
      <c r="E1013" t="inlineStr">
        <is>
          <t>fr</t>
        </is>
      </c>
      <c r="F1013" t="n">
        <v>60500</v>
      </c>
      <c r="G1013" t="n">
        <v>61</v>
      </c>
      <c r="H1013" t="n">
        <v>9.67</v>
      </c>
      <c r="I1013" t="n">
        <v>0.24</v>
      </c>
      <c r="J1013" t="inlineStr">
        <is>
          <t>Commercial</t>
        </is>
      </c>
      <c r="K1013" t="inlineStr">
        <is>
          <t>NOT AVAILABLE (report not requested)</t>
        </is>
      </c>
      <c r="L1013" t="inlineStr">
        <is>
          <t>rising (calc.)</t>
        </is>
      </c>
      <c r="M1013" t="inlineStr">
        <is>
          <t>MEASURED</t>
        </is>
      </c>
      <c r="N1013" s="5" t="inlineStr">
        <is>
          <t>Semrush phrase_these (live, this session)</t>
        </is>
      </c>
      <c r="O1013" t="inlineStr">
        <is>
          <t>2026-10-30</t>
        </is>
      </c>
      <c r="P1013">
        <f>IF(IF(J1013="NOT AVAILABLE","",J1013)="",12,IF(OR(ISNUMBER(SEARCH("Transactional",IF(J1013="NOT AVAILABLE","",J1013))),ISNUMBER(SEARCH("Commercial",IF(J1013="NOT AVAILABLE","",J1013)))),25,IF(ISNUMBER(SEARCH("Informational",IF(J1013="NOT AVAILABLE","",J1013))),10,IF(ISNUMBER(SEARCH("Navigational",IF(J1013="NOT AVAILABLE","",J1013))),0,12))))</f>
        <v/>
      </c>
      <c r="Q1013">
        <f>IF(ISNUMBER(F1013),MIN(30,ROUND(30*LOG10(F1013+1)/4,1)),0)</f>
        <v/>
      </c>
      <c r="R1013">
        <f>IF(ISNUMBER(G1013),ROUND(25*(100-G1013)/100,1),12.5)</f>
        <v/>
      </c>
      <c r="S1013" t="n">
        <v>14</v>
      </c>
      <c r="T1013">
        <f>ROUND(P1013+Q1013+R1013+S1013,0)</f>
        <v/>
      </c>
      <c r="U1013" s="5" t="inlineStr"/>
      <c r="V1013" s="5" t="inlineStr">
        <is>
          <t>NOT RECOMMENDED /services/seo-maroc</t>
        </is>
      </c>
    </row>
    <row r="1014">
      <c r="A1014" t="inlineStr">
        <is>
          <t>K1012</t>
        </is>
      </c>
      <c r="B1014" t="inlineStr">
        <is>
          <t>lorem ipsum</t>
        </is>
      </c>
      <c r="C1014" t="inlineStr">
        <is>
          <t>France</t>
        </is>
      </c>
      <c r="D1014" t="inlineStr">
        <is>
          <t>fr</t>
        </is>
      </c>
      <c r="E1014" t="inlineStr">
        <is>
          <t>fr</t>
        </is>
      </c>
      <c r="F1014" t="n">
        <v>40500</v>
      </c>
      <c r="G1014" t="n">
        <v>45</v>
      </c>
      <c r="H1014" t="n">
        <v>1.78</v>
      </c>
      <c r="I1014" t="n">
        <v>0.33</v>
      </c>
      <c r="J1014" t="inlineStr">
        <is>
          <t>Informational</t>
        </is>
      </c>
      <c r="K1014" t="inlineStr">
        <is>
          <t>NOT AVAILABLE (report not requested)</t>
        </is>
      </c>
      <c r="L1014" t="inlineStr">
        <is>
          <t>stable (calc.)</t>
        </is>
      </c>
      <c r="M1014" t="inlineStr">
        <is>
          <t>MEASURED</t>
        </is>
      </c>
      <c r="N1014" s="5" t="inlineStr">
        <is>
          <t>Semrush phrase_these (live, this session)</t>
        </is>
      </c>
      <c r="O1014" t="inlineStr">
        <is>
          <t>2026-10-30</t>
        </is>
      </c>
      <c r="P1014">
        <f>IF(IF(J1014="NOT AVAILABLE","",J1014)="",12,IF(OR(ISNUMBER(SEARCH("Transactional",IF(J1014="NOT AVAILABLE","",J1014))),ISNUMBER(SEARCH("Commercial",IF(J1014="NOT AVAILABLE","",J1014)))),25,IF(ISNUMBER(SEARCH("Informational",IF(J1014="NOT AVAILABLE","",J1014))),10,IF(ISNUMBER(SEARCH("Navigational",IF(J1014="NOT AVAILABLE","",J1014))),0,12))))</f>
        <v/>
      </c>
      <c r="Q1014">
        <f>IF(ISNUMBER(F1014),MIN(30,ROUND(30*LOG10(F1014+1)/4,1)),0)</f>
        <v/>
      </c>
      <c r="R1014">
        <f>IF(ISNUMBER(G1014),ROUND(25*(100-G1014)/100,1),12.5)</f>
        <v/>
      </c>
      <c r="S1014" t="n">
        <v>14</v>
      </c>
      <c r="T1014">
        <f>ROUND(P1014+Q1014+R1014+S1014,0)</f>
        <v/>
      </c>
      <c r="U1014" s="5" t="inlineStr"/>
      <c r="V1014" s="5" t="inlineStr">
        <is>
          <t>PRIMARY /tools/lorem-ipsum-generator</t>
        </is>
      </c>
    </row>
    <row r="1015">
      <c r="A1015" t="inlineStr">
        <is>
          <t>K1013</t>
        </is>
      </c>
      <c r="B1015" t="inlineStr">
        <is>
          <t>qr code gratuit</t>
        </is>
      </c>
      <c r="C1015" t="inlineStr">
        <is>
          <t>France</t>
        </is>
      </c>
      <c r="D1015" t="inlineStr">
        <is>
          <t>fr</t>
        </is>
      </c>
      <c r="E1015" t="inlineStr">
        <is>
          <t>fr</t>
        </is>
      </c>
      <c r="F1015" t="n">
        <v>40500</v>
      </c>
      <c r="G1015" t="n">
        <v>55</v>
      </c>
      <c r="H1015" t="n">
        <v>0.39</v>
      </c>
      <c r="I1015" t="n">
        <v>0.58</v>
      </c>
      <c r="J1015" t="inlineStr">
        <is>
          <t>Informational</t>
        </is>
      </c>
      <c r="K1015" t="inlineStr">
        <is>
          <t>NOT AVAILABLE (report not requested)</t>
        </is>
      </c>
      <c r="L1015" t="inlineStr">
        <is>
          <t>stable (calc.)</t>
        </is>
      </c>
      <c r="M1015" t="inlineStr">
        <is>
          <t>MEASURED</t>
        </is>
      </c>
      <c r="N1015" s="5" t="inlineStr">
        <is>
          <t>Semrush phrase_these (live, this session)</t>
        </is>
      </c>
      <c r="O1015" t="inlineStr">
        <is>
          <t>2026-10-30</t>
        </is>
      </c>
      <c r="P1015">
        <f>IF(IF(J1015="NOT AVAILABLE","",J1015)="",12,IF(OR(ISNUMBER(SEARCH("Transactional",IF(J1015="NOT AVAILABLE","",J1015))),ISNUMBER(SEARCH("Commercial",IF(J1015="NOT AVAILABLE","",J1015)))),25,IF(ISNUMBER(SEARCH("Informational",IF(J1015="NOT AVAILABLE","",J1015))),10,IF(ISNUMBER(SEARCH("Navigational",IF(J1015="NOT AVAILABLE","",J1015))),0,12))))</f>
        <v/>
      </c>
      <c r="Q1015">
        <f>IF(ISNUMBER(F1015),MIN(30,ROUND(30*LOG10(F1015+1)/4,1)),0)</f>
        <v/>
      </c>
      <c r="R1015">
        <f>IF(ISNUMBER(G1015),ROUND(25*(100-G1015)/100,1),12.5)</f>
        <v/>
      </c>
      <c r="S1015" t="n">
        <v>14</v>
      </c>
      <c r="T1015">
        <f>ROUND(P1015+Q1015+R1015+S1015,0)</f>
        <v/>
      </c>
      <c r="U1015" s="5" t="inlineStr"/>
      <c r="V1015" s="5" t="inlineStr">
        <is>
          <t>SECONDARY /tools/qr-code-generator</t>
        </is>
      </c>
    </row>
    <row r="1016">
      <c r="A1016" t="inlineStr">
        <is>
          <t>K1014</t>
        </is>
      </c>
      <c r="B1016" t="inlineStr">
        <is>
          <t>compresser image</t>
        </is>
      </c>
      <c r="C1016" t="inlineStr">
        <is>
          <t>France</t>
        </is>
      </c>
      <c r="D1016" t="inlineStr">
        <is>
          <t>fr</t>
        </is>
      </c>
      <c r="E1016" t="inlineStr">
        <is>
          <t>fr</t>
        </is>
      </c>
      <c r="F1016" t="n">
        <v>22200</v>
      </c>
      <c r="G1016" t="n">
        <v>28</v>
      </c>
      <c r="H1016" t="n">
        <v>0</v>
      </c>
      <c r="I1016" t="n">
        <v>0.02</v>
      </c>
      <c r="J1016" t="inlineStr">
        <is>
          <t>Informational</t>
        </is>
      </c>
      <c r="K1016" t="inlineStr">
        <is>
          <t>NOT AVAILABLE (report not requested)</t>
        </is>
      </c>
      <c r="L1016" t="inlineStr">
        <is>
          <t>declining (calc.)</t>
        </is>
      </c>
      <c r="M1016" t="inlineStr">
        <is>
          <t>MEASURED</t>
        </is>
      </c>
      <c r="N1016" s="5" t="inlineStr">
        <is>
          <t>Semrush phrase_these (live, this session)</t>
        </is>
      </c>
      <c r="O1016" t="inlineStr">
        <is>
          <t>2026-10-30</t>
        </is>
      </c>
      <c r="P1016">
        <f>IF(IF(J1016="NOT AVAILABLE","",J1016)="",12,IF(OR(ISNUMBER(SEARCH("Transactional",IF(J1016="NOT AVAILABLE","",J1016))),ISNUMBER(SEARCH("Commercial",IF(J1016="NOT AVAILABLE","",J1016)))),25,IF(ISNUMBER(SEARCH("Informational",IF(J1016="NOT AVAILABLE","",J1016))),10,IF(ISNUMBER(SEARCH("Navigational",IF(J1016="NOT AVAILABLE","",J1016))),0,12))))</f>
        <v/>
      </c>
      <c r="Q1016">
        <f>IF(ISNUMBER(F1016),MIN(30,ROUND(30*LOG10(F1016+1)/4,1)),0)</f>
        <v/>
      </c>
      <c r="R1016">
        <f>IF(ISNUMBER(G1016),ROUND(25*(100-G1016)/100,1),12.5)</f>
        <v/>
      </c>
      <c r="S1016" t="n">
        <v>14</v>
      </c>
      <c r="T1016">
        <f>ROUND(P1016+Q1016+R1016+S1016,0)</f>
        <v/>
      </c>
      <c r="U1016" s="5" t="inlineStr"/>
      <c r="V1016" s="5" t="inlineStr">
        <is>
          <t>PRIMARY /tools/image-compressor</t>
        </is>
      </c>
    </row>
    <row r="1017">
      <c r="A1017" t="inlineStr">
        <is>
          <t>K1015</t>
        </is>
      </c>
      <c r="B1017" t="inlineStr">
        <is>
          <t>compteur de mots</t>
        </is>
      </c>
      <c r="C1017" t="inlineStr">
        <is>
          <t>France</t>
        </is>
      </c>
      <c r="D1017" t="inlineStr">
        <is>
          <t>fr</t>
        </is>
      </c>
      <c r="E1017" t="inlineStr">
        <is>
          <t>fr</t>
        </is>
      </c>
      <c r="F1017" t="n">
        <v>18100</v>
      </c>
      <c r="G1017" t="n">
        <v>32</v>
      </c>
      <c r="H1017" t="n">
        <v>0.03</v>
      </c>
      <c r="I1017" t="n">
        <v>0.1</v>
      </c>
      <c r="J1017" t="inlineStr">
        <is>
          <t>Informational</t>
        </is>
      </c>
      <c r="K1017" t="inlineStr">
        <is>
          <t>NOT AVAILABLE (report not requested)</t>
        </is>
      </c>
      <c r="L1017" t="inlineStr">
        <is>
          <t>declining (calc.)</t>
        </is>
      </c>
      <c r="M1017" t="inlineStr">
        <is>
          <t>MEASURED</t>
        </is>
      </c>
      <c r="N1017" s="5" t="inlineStr">
        <is>
          <t>Semrush phrase_these (live, this session)</t>
        </is>
      </c>
      <c r="O1017" t="inlineStr">
        <is>
          <t>2026-10-30</t>
        </is>
      </c>
      <c r="P1017">
        <f>IF(IF(J1017="NOT AVAILABLE","",J1017)="",12,IF(OR(ISNUMBER(SEARCH("Transactional",IF(J1017="NOT AVAILABLE","",J1017))),ISNUMBER(SEARCH("Commercial",IF(J1017="NOT AVAILABLE","",J1017)))),25,IF(ISNUMBER(SEARCH("Informational",IF(J1017="NOT AVAILABLE","",J1017))),10,IF(ISNUMBER(SEARCH("Navigational",IF(J1017="NOT AVAILABLE","",J1017))),0,12))))</f>
        <v/>
      </c>
      <c r="Q1017">
        <f>IF(ISNUMBER(F1017),MIN(30,ROUND(30*LOG10(F1017+1)/4,1)),0)</f>
        <v/>
      </c>
      <c r="R1017">
        <f>IF(ISNUMBER(G1017),ROUND(25*(100-G1017)/100,1),12.5)</f>
        <v/>
      </c>
      <c r="S1017" t="n">
        <v>14</v>
      </c>
      <c r="T1017">
        <f>ROUND(P1017+Q1017+R1017+S1017,0)</f>
        <v/>
      </c>
      <c r="U1017" s="5" t="inlineStr"/>
      <c r="V1017" s="5" t="inlineStr">
        <is>
          <t>PRIMARY /tools/word-counter</t>
        </is>
      </c>
    </row>
    <row r="1018">
      <c r="A1018" t="inlineStr">
        <is>
          <t>K1016</t>
        </is>
      </c>
      <c r="B1018" t="inlineStr">
        <is>
          <t>agence web</t>
        </is>
      </c>
      <c r="C1018" t="inlineStr">
        <is>
          <t>France</t>
        </is>
      </c>
      <c r="D1018" t="inlineStr">
        <is>
          <t>fr</t>
        </is>
      </c>
      <c r="E1018" t="inlineStr">
        <is>
          <t>fr</t>
        </is>
      </c>
      <c r="F1018" t="n">
        <v>14800</v>
      </c>
      <c r="G1018" t="n">
        <v>63</v>
      </c>
      <c r="H1018" t="n">
        <v>2.79</v>
      </c>
      <c r="I1018" t="n">
        <v>0.28</v>
      </c>
      <c r="J1018" t="inlineStr">
        <is>
          <t>Commercial</t>
        </is>
      </c>
      <c r="K1018" t="inlineStr">
        <is>
          <t>NOT AVAILABLE (report not requested)</t>
        </is>
      </c>
      <c r="L1018" t="inlineStr">
        <is>
          <t>declining (calc.)</t>
        </is>
      </c>
      <c r="M1018" t="inlineStr">
        <is>
          <t>MEASURED</t>
        </is>
      </c>
      <c r="N1018" s="5" t="inlineStr">
        <is>
          <t>Semrush phrase_these (live, this session)</t>
        </is>
      </c>
      <c r="O1018" t="inlineStr">
        <is>
          <t>2026-10-30</t>
        </is>
      </c>
      <c r="P1018">
        <f>IF(IF(J1018="NOT AVAILABLE","",J1018)="",12,IF(OR(ISNUMBER(SEARCH("Transactional",IF(J1018="NOT AVAILABLE","",J1018))),ISNUMBER(SEARCH("Commercial",IF(J1018="NOT AVAILABLE","",J1018)))),25,IF(ISNUMBER(SEARCH("Informational",IF(J1018="NOT AVAILABLE","",J1018))),10,IF(ISNUMBER(SEARCH("Navigational",IF(J1018="NOT AVAILABLE","",J1018))),0,12))))</f>
        <v/>
      </c>
      <c r="Q1018">
        <f>IF(ISNUMBER(F1018),MIN(30,ROUND(30*LOG10(F1018+1)/4,1)),0)</f>
        <v/>
      </c>
      <c r="R1018">
        <f>IF(ISNUMBER(G1018),ROUND(25*(100-G1018)/100,1),12.5)</f>
        <v/>
      </c>
      <c r="S1018" t="n">
        <v>14</v>
      </c>
      <c r="T1018">
        <f>ROUND(P1018+Q1018+R1018+S1018,0)</f>
        <v/>
      </c>
      <c r="U1018" s="5" t="inlineStr"/>
      <c r="V1018" s="5" t="inlineStr"/>
    </row>
    <row r="1019">
      <c r="A1019" t="inlineStr">
        <is>
          <t>K1017</t>
        </is>
      </c>
      <c r="B1019" t="inlineStr">
        <is>
          <t>json formatter</t>
        </is>
      </c>
      <c r="C1019" t="inlineStr">
        <is>
          <t>France</t>
        </is>
      </c>
      <c r="D1019" t="inlineStr">
        <is>
          <t>fr</t>
        </is>
      </c>
      <c r="E1019" t="inlineStr">
        <is>
          <t>fr</t>
        </is>
      </c>
      <c r="F1019" t="n">
        <v>12100</v>
      </c>
      <c r="G1019" t="n">
        <v>74</v>
      </c>
      <c r="H1019" t="n">
        <v>3.91</v>
      </c>
      <c r="I1019" t="n">
        <v>0.01</v>
      </c>
      <c r="J1019" t="inlineStr">
        <is>
          <t>Commercial</t>
        </is>
      </c>
      <c r="K1019" t="inlineStr">
        <is>
          <t>NOT AVAILABLE (report not requested)</t>
        </is>
      </c>
      <c r="L1019" t="inlineStr">
        <is>
          <t>stable (calc.)</t>
        </is>
      </c>
      <c r="M1019" t="inlineStr">
        <is>
          <t>MEASURED</t>
        </is>
      </c>
      <c r="N1019" s="5" t="inlineStr">
        <is>
          <t>Semrush phrase_these (live, this session)</t>
        </is>
      </c>
      <c r="O1019" t="inlineStr">
        <is>
          <t>2026-10-30</t>
        </is>
      </c>
      <c r="P1019">
        <f>IF(IF(J1019="NOT AVAILABLE","",J1019)="",12,IF(OR(ISNUMBER(SEARCH("Transactional",IF(J1019="NOT AVAILABLE","",J1019))),ISNUMBER(SEARCH("Commercial",IF(J1019="NOT AVAILABLE","",J1019)))),25,IF(ISNUMBER(SEARCH("Informational",IF(J1019="NOT AVAILABLE","",J1019))),10,IF(ISNUMBER(SEARCH("Navigational",IF(J1019="NOT AVAILABLE","",J1019))),0,12))))</f>
        <v/>
      </c>
      <c r="Q1019">
        <f>IF(ISNUMBER(F1019),MIN(30,ROUND(30*LOG10(F1019+1)/4,1)),0)</f>
        <v/>
      </c>
      <c r="R1019">
        <f>IF(ISNUMBER(G1019),ROUND(25*(100-G1019)/100,1),12.5)</f>
        <v/>
      </c>
      <c r="S1019" t="n">
        <v>14</v>
      </c>
      <c r="T1019">
        <f>ROUND(P1019+Q1019+R1019+S1019,0)</f>
        <v/>
      </c>
      <c r="U1019" s="5" t="inlineStr"/>
      <c r="V1019" s="5" t="inlineStr">
        <is>
          <t>PRIMARY /tools/json-formatter</t>
        </is>
      </c>
    </row>
    <row r="1020">
      <c r="A1020" t="inlineStr">
        <is>
          <t>K1018</t>
        </is>
      </c>
      <c r="B1020" t="inlineStr">
        <is>
          <t>lms</t>
        </is>
      </c>
      <c r="C1020" t="inlineStr">
        <is>
          <t>France</t>
        </is>
      </c>
      <c r="D1020" t="inlineStr">
        <is>
          <t>fr</t>
        </is>
      </c>
      <c r="E1020" t="inlineStr">
        <is>
          <t>fr</t>
        </is>
      </c>
      <c r="F1020" t="n">
        <v>12100</v>
      </c>
      <c r="G1020" t="n">
        <v>31</v>
      </c>
      <c r="H1020" t="n">
        <v>6.66</v>
      </c>
      <c r="I1020" t="n">
        <v>0.35</v>
      </c>
      <c r="J1020" t="inlineStr">
        <is>
          <t>Informational</t>
        </is>
      </c>
      <c r="K1020" t="inlineStr">
        <is>
          <t>NOT AVAILABLE (report not requested)</t>
        </is>
      </c>
      <c r="L1020" t="inlineStr">
        <is>
          <t>stable (calc.)</t>
        </is>
      </c>
      <c r="M1020" t="inlineStr">
        <is>
          <t>MEASURED</t>
        </is>
      </c>
      <c r="N1020" s="5" t="inlineStr">
        <is>
          <t>Semrush phrase_these (live, this session)</t>
        </is>
      </c>
      <c r="O1020" t="inlineStr">
        <is>
          <t>2026-10-30</t>
        </is>
      </c>
      <c r="P1020">
        <f>IF(IF(J1020="NOT AVAILABLE","",J1020)="",12,IF(OR(ISNUMBER(SEARCH("Transactional",IF(J1020="NOT AVAILABLE","",J1020))),ISNUMBER(SEARCH("Commercial",IF(J1020="NOT AVAILABLE","",J1020)))),25,IF(ISNUMBER(SEARCH("Informational",IF(J1020="NOT AVAILABLE","",J1020))),10,IF(ISNUMBER(SEARCH("Navigational",IF(J1020="NOT AVAILABLE","",J1020))),0,12))))</f>
        <v/>
      </c>
      <c r="Q1020">
        <f>IF(ISNUMBER(F1020),MIN(30,ROUND(30*LOG10(F1020+1)/4,1)),0)</f>
        <v/>
      </c>
      <c r="R1020">
        <f>IF(ISNUMBER(G1020),ROUND(25*(100-G1020)/100,1),12.5)</f>
        <v/>
      </c>
      <c r="S1020" t="n">
        <v>14</v>
      </c>
      <c r="T1020">
        <f>ROUND(P1020+Q1020+R1020+S1020,0)</f>
        <v/>
      </c>
      <c r="U1020" s="5" t="inlineStr"/>
      <c r="V1020" s="5" t="inlineStr">
        <is>
          <t>NOT RECOMMENDED /services/elearning-platform-development; OPTIONAL /blog/lms-sur-mesure-ou-produit-edtech-quelle-plateforme-e-learning</t>
        </is>
      </c>
    </row>
    <row r="1021">
      <c r="A1021" t="inlineStr">
        <is>
          <t>K1019</t>
        </is>
      </c>
      <c r="B1021" t="inlineStr">
        <is>
          <t>base64 decode</t>
        </is>
      </c>
      <c r="C1021" t="inlineStr">
        <is>
          <t>France</t>
        </is>
      </c>
      <c r="D1021" t="inlineStr">
        <is>
          <t>fr</t>
        </is>
      </c>
      <c r="E1021" t="inlineStr">
        <is>
          <t>fr</t>
        </is>
      </c>
      <c r="F1021" t="n">
        <v>9900</v>
      </c>
      <c r="G1021" t="n">
        <v>60</v>
      </c>
      <c r="H1021" t="n">
        <v>1.92</v>
      </c>
      <c r="I1021" t="n">
        <v>0.33</v>
      </c>
      <c r="J1021" t="inlineStr">
        <is>
          <t>Informational</t>
        </is>
      </c>
      <c r="K1021" t="inlineStr">
        <is>
          <t>NOT AVAILABLE (report not requested)</t>
        </is>
      </c>
      <c r="L1021" t="inlineStr">
        <is>
          <t>declining (calc.)</t>
        </is>
      </c>
      <c r="M1021" t="inlineStr">
        <is>
          <t>MEASURED</t>
        </is>
      </c>
      <c r="N1021" s="5" t="inlineStr">
        <is>
          <t>Semrush phrase_these (live, this session)</t>
        </is>
      </c>
      <c r="O1021" t="inlineStr">
        <is>
          <t>2026-10-30</t>
        </is>
      </c>
      <c r="P1021">
        <f>IF(IF(J1021="NOT AVAILABLE","",J1021)="",12,IF(OR(ISNUMBER(SEARCH("Transactional",IF(J1021="NOT AVAILABLE","",J1021))),ISNUMBER(SEARCH("Commercial",IF(J1021="NOT AVAILABLE","",J1021)))),25,IF(ISNUMBER(SEARCH("Informational",IF(J1021="NOT AVAILABLE","",J1021))),10,IF(ISNUMBER(SEARCH("Navigational",IF(J1021="NOT AVAILABLE","",J1021))),0,12))))</f>
        <v/>
      </c>
      <c r="Q1021">
        <f>IF(ISNUMBER(F1021),MIN(30,ROUND(30*LOG10(F1021+1)/4,1)),0)</f>
        <v/>
      </c>
      <c r="R1021">
        <f>IF(ISNUMBER(G1021),ROUND(25*(100-G1021)/100,1),12.5)</f>
        <v/>
      </c>
      <c r="S1021" t="n">
        <v>14</v>
      </c>
      <c r="T1021">
        <f>ROUND(P1021+Q1021+R1021+S1021,0)</f>
        <v/>
      </c>
      <c r="U1021" s="5" t="inlineStr"/>
      <c r="V1021" s="5" t="inlineStr">
        <is>
          <t>PRIMARY /tools/base64-encoder</t>
        </is>
      </c>
    </row>
    <row r="1022">
      <c r="A1022" t="inlineStr">
        <is>
          <t>K1020</t>
        </is>
      </c>
      <c r="B1022" t="inlineStr">
        <is>
          <t>compresser photo</t>
        </is>
      </c>
      <c r="C1022" t="inlineStr">
        <is>
          <t>France</t>
        </is>
      </c>
      <c r="D1022" t="inlineStr">
        <is>
          <t>fr</t>
        </is>
      </c>
      <c r="E1022" t="inlineStr">
        <is>
          <t>fr</t>
        </is>
      </c>
      <c r="F1022" t="n">
        <v>9900</v>
      </c>
      <c r="G1022" t="n">
        <v>31</v>
      </c>
      <c r="H1022" t="n">
        <v>0.26</v>
      </c>
      <c r="I1022" t="n">
        <v>0.21</v>
      </c>
      <c r="J1022" t="inlineStr">
        <is>
          <t>Informational</t>
        </is>
      </c>
      <c r="K1022" t="inlineStr">
        <is>
          <t>NOT AVAILABLE (report not requested)</t>
        </is>
      </c>
      <c r="L1022" t="inlineStr">
        <is>
          <t>stable (calc.)</t>
        </is>
      </c>
      <c r="M1022" t="inlineStr">
        <is>
          <t>MEASURED</t>
        </is>
      </c>
      <c r="N1022" s="5" t="inlineStr">
        <is>
          <t>Semrush phrase_these (live, this session)</t>
        </is>
      </c>
      <c r="O1022" t="inlineStr">
        <is>
          <t>2026-10-30</t>
        </is>
      </c>
      <c r="P1022">
        <f>IF(IF(J1022="NOT AVAILABLE","",J1022)="",12,IF(OR(ISNUMBER(SEARCH("Transactional",IF(J1022="NOT AVAILABLE","",J1022))),ISNUMBER(SEARCH("Commercial",IF(J1022="NOT AVAILABLE","",J1022)))),25,IF(ISNUMBER(SEARCH("Informational",IF(J1022="NOT AVAILABLE","",J1022))),10,IF(ISNUMBER(SEARCH("Navigational",IF(J1022="NOT AVAILABLE","",J1022))),0,12))))</f>
        <v/>
      </c>
      <c r="Q1022">
        <f>IF(ISNUMBER(F1022),MIN(30,ROUND(30*LOG10(F1022+1)/4,1)),0)</f>
        <v/>
      </c>
      <c r="R1022">
        <f>IF(ISNUMBER(G1022),ROUND(25*(100-G1022)/100,1),12.5)</f>
        <v/>
      </c>
      <c r="S1022" t="n">
        <v>14</v>
      </c>
      <c r="T1022">
        <f>ROUND(P1022+Q1022+R1022+S1022,0)</f>
        <v/>
      </c>
      <c r="U1022" s="5" t="inlineStr"/>
      <c r="V1022" s="5" t="inlineStr">
        <is>
          <t>SECONDARY /tools/image-compressor</t>
        </is>
      </c>
    </row>
    <row r="1023">
      <c r="A1023" t="inlineStr">
        <is>
          <t>K1021</t>
        </is>
      </c>
      <c r="B1023" t="inlineStr">
        <is>
          <t>compteur de caractères</t>
        </is>
      </c>
      <c r="C1023" t="inlineStr">
        <is>
          <t>France</t>
        </is>
      </c>
      <c r="D1023" t="inlineStr">
        <is>
          <t>fr</t>
        </is>
      </c>
      <c r="E1023" t="inlineStr">
        <is>
          <t>fr</t>
        </is>
      </c>
      <c r="F1023" t="n">
        <v>9900</v>
      </c>
      <c r="G1023" t="n">
        <v>29</v>
      </c>
      <c r="H1023" t="n">
        <v>0.02</v>
      </c>
      <c r="I1023" t="n">
        <v>0.08</v>
      </c>
      <c r="J1023" t="inlineStr">
        <is>
          <t>Commercial</t>
        </is>
      </c>
      <c r="K1023" t="inlineStr">
        <is>
          <t>NOT AVAILABLE (report not requested)</t>
        </is>
      </c>
      <c r="L1023" t="inlineStr">
        <is>
          <t>stable (calc.)</t>
        </is>
      </c>
      <c r="M1023" t="inlineStr">
        <is>
          <t>MEASURED</t>
        </is>
      </c>
      <c r="N1023" s="5" t="inlineStr">
        <is>
          <t>Semrush phrase_these (live, this session)</t>
        </is>
      </c>
      <c r="O1023" t="inlineStr">
        <is>
          <t>2026-10-30</t>
        </is>
      </c>
      <c r="P1023">
        <f>IF(IF(J1023="NOT AVAILABLE","",J1023)="",12,IF(OR(ISNUMBER(SEARCH("Transactional",IF(J1023="NOT AVAILABLE","",J1023))),ISNUMBER(SEARCH("Commercial",IF(J1023="NOT AVAILABLE","",J1023)))),25,IF(ISNUMBER(SEARCH("Informational",IF(J1023="NOT AVAILABLE","",J1023))),10,IF(ISNUMBER(SEARCH("Navigational",IF(J1023="NOT AVAILABLE","",J1023))),0,12))))</f>
        <v/>
      </c>
      <c r="Q1023">
        <f>IF(ISNUMBER(F1023),MIN(30,ROUND(30*LOG10(F1023+1)/4,1)),0)</f>
        <v/>
      </c>
      <c r="R1023">
        <f>IF(ISNUMBER(G1023),ROUND(25*(100-G1023)/100,1),12.5)</f>
        <v/>
      </c>
      <c r="S1023" t="n">
        <v>14</v>
      </c>
      <c r="T1023">
        <f>ROUND(P1023+Q1023+R1023+S1023,0)</f>
        <v/>
      </c>
      <c r="U1023" s="5" t="inlineStr"/>
      <c r="V1023" s="5" t="inlineStr">
        <is>
          <t>SECONDARY /tools/word-counter</t>
        </is>
      </c>
    </row>
    <row r="1024">
      <c r="A1024" t="inlineStr">
        <is>
          <t>K1022</t>
        </is>
      </c>
      <c r="B1024" t="inlineStr">
        <is>
          <t>agence digitale</t>
        </is>
      </c>
      <c r="C1024" t="inlineStr">
        <is>
          <t>France</t>
        </is>
      </c>
      <c r="D1024" t="inlineStr">
        <is>
          <t>fr</t>
        </is>
      </c>
      <c r="E1024" t="inlineStr">
        <is>
          <t>fr</t>
        </is>
      </c>
      <c r="F1024" t="n">
        <v>8100</v>
      </c>
      <c r="G1024" t="n">
        <v>29</v>
      </c>
      <c r="H1024" t="n">
        <v>3.47</v>
      </c>
      <c r="I1024" t="n">
        <v>0.28</v>
      </c>
      <c r="J1024" t="inlineStr">
        <is>
          <t>Commercial</t>
        </is>
      </c>
      <c r="K1024" t="inlineStr">
        <is>
          <t>NOT AVAILABLE (report not requested)</t>
        </is>
      </c>
      <c r="L1024" t="inlineStr">
        <is>
          <t>stable (calc.)</t>
        </is>
      </c>
      <c r="M1024" t="inlineStr">
        <is>
          <t>MEASURED</t>
        </is>
      </c>
      <c r="N1024" s="5" t="inlineStr">
        <is>
          <t>Semrush phrase_these (live, this session)</t>
        </is>
      </c>
      <c r="O1024" t="inlineStr">
        <is>
          <t>2026-10-30</t>
        </is>
      </c>
      <c r="P1024">
        <f>IF(IF(J1024="NOT AVAILABLE","",J1024)="",12,IF(OR(ISNUMBER(SEARCH("Transactional",IF(J1024="NOT AVAILABLE","",J1024))),ISNUMBER(SEARCH("Commercial",IF(J1024="NOT AVAILABLE","",J1024)))),25,IF(ISNUMBER(SEARCH("Informational",IF(J1024="NOT AVAILABLE","",J1024))),10,IF(ISNUMBER(SEARCH("Navigational",IF(J1024="NOT AVAILABLE","",J1024))),0,12))))</f>
        <v/>
      </c>
      <c r="Q1024">
        <f>IF(ISNUMBER(F1024),MIN(30,ROUND(30*LOG10(F1024+1)/4,1)),0)</f>
        <v/>
      </c>
      <c r="R1024">
        <f>IF(ISNUMBER(G1024),ROUND(25*(100-G1024)/100,1),12.5)</f>
        <v/>
      </c>
      <c r="S1024" t="n">
        <v>14</v>
      </c>
      <c r="T1024">
        <f>ROUND(P1024+Q1024+R1024+S1024,0)</f>
        <v/>
      </c>
      <c r="U1024" s="5" t="inlineStr"/>
      <c r="V1024" s="5" t="inlineStr"/>
    </row>
    <row r="1025">
      <c r="A1025" t="inlineStr">
        <is>
          <t>K1023</t>
        </is>
      </c>
      <c r="B1025" t="inlineStr">
        <is>
          <t>création site internet</t>
        </is>
      </c>
      <c r="C1025" t="inlineStr">
        <is>
          <t>France</t>
        </is>
      </c>
      <c r="D1025" t="inlineStr">
        <is>
          <t>fr</t>
        </is>
      </c>
      <c r="E1025" t="inlineStr">
        <is>
          <t>fr</t>
        </is>
      </c>
      <c r="F1025" t="n">
        <v>8100</v>
      </c>
      <c r="G1025" t="n">
        <v>98</v>
      </c>
      <c r="H1025" t="n">
        <v>4.96</v>
      </c>
      <c r="I1025" t="n">
        <v>0.67</v>
      </c>
      <c r="J1025" t="inlineStr">
        <is>
          <t>Informational</t>
        </is>
      </c>
      <c r="K1025" t="inlineStr">
        <is>
          <t>NOT AVAILABLE (report not requested)</t>
        </is>
      </c>
      <c r="L1025" t="inlineStr">
        <is>
          <t>stable (calc.)</t>
        </is>
      </c>
      <c r="M1025" t="inlineStr">
        <is>
          <t>MEASURED</t>
        </is>
      </c>
      <c r="N1025" s="5" t="inlineStr">
        <is>
          <t>Semrush phrase_these (live, this session)</t>
        </is>
      </c>
      <c r="O1025" t="inlineStr">
        <is>
          <t>2026-10-30</t>
        </is>
      </c>
      <c r="P1025">
        <f>IF(IF(J1025="NOT AVAILABLE","",J1025)="",12,IF(OR(ISNUMBER(SEARCH("Transactional",IF(J1025="NOT AVAILABLE","",J1025))),ISNUMBER(SEARCH("Commercial",IF(J1025="NOT AVAILABLE","",J1025)))),25,IF(ISNUMBER(SEARCH("Informational",IF(J1025="NOT AVAILABLE","",J1025))),10,IF(ISNUMBER(SEARCH("Navigational",IF(J1025="NOT AVAILABLE","",J1025))),0,12))))</f>
        <v/>
      </c>
      <c r="Q1025">
        <f>IF(ISNUMBER(F1025),MIN(30,ROUND(30*LOG10(F1025+1)/4,1)),0)</f>
        <v/>
      </c>
      <c r="R1025">
        <f>IF(ISNUMBER(G1025),ROUND(25*(100-G1025)/100,1),12.5)</f>
        <v/>
      </c>
      <c r="S1025" t="n">
        <v>14</v>
      </c>
      <c r="T1025">
        <f>ROUND(P1025+Q1025+R1025+S1025,0)</f>
        <v/>
      </c>
      <c r="U1025" s="5" t="inlineStr"/>
      <c r="V1025" s="5" t="inlineStr"/>
    </row>
    <row r="1026">
      <c r="A1026" t="inlineStr">
        <is>
          <t>K1024</t>
        </is>
      </c>
      <c r="B1026" t="inlineStr">
        <is>
          <t>landing page</t>
        </is>
      </c>
      <c r="C1026" t="inlineStr">
        <is>
          <t>France</t>
        </is>
      </c>
      <c r="D1026" t="inlineStr">
        <is>
          <t>fr</t>
        </is>
      </c>
      <c r="E1026" t="inlineStr">
        <is>
          <t>fr</t>
        </is>
      </c>
      <c r="F1026" t="n">
        <v>8100</v>
      </c>
      <c r="G1026" t="n">
        <v>35</v>
      </c>
      <c r="H1026" t="n">
        <v>2.55</v>
      </c>
      <c r="I1026" t="n">
        <v>0.34</v>
      </c>
      <c r="J1026" t="inlineStr">
        <is>
          <t>Informational</t>
        </is>
      </c>
      <c r="K1026" t="inlineStr">
        <is>
          <t>NOT AVAILABLE (report not requested)</t>
        </is>
      </c>
      <c r="L1026" t="inlineStr">
        <is>
          <t>declining (calc.)</t>
        </is>
      </c>
      <c r="M1026" t="inlineStr">
        <is>
          <t>MEASURED</t>
        </is>
      </c>
      <c r="N1026" s="5" t="inlineStr">
        <is>
          <t>Semrush phrase_these (live, this session)</t>
        </is>
      </c>
      <c r="O1026" t="inlineStr">
        <is>
          <t>2026-10-30</t>
        </is>
      </c>
      <c r="P1026">
        <f>IF(IF(J1026="NOT AVAILABLE","",J1026)="",12,IF(OR(ISNUMBER(SEARCH("Transactional",IF(J1026="NOT AVAILABLE","",J1026))),ISNUMBER(SEARCH("Commercial",IF(J1026="NOT AVAILABLE","",J1026)))),25,IF(ISNUMBER(SEARCH("Informational",IF(J1026="NOT AVAILABLE","",J1026))),10,IF(ISNUMBER(SEARCH("Navigational",IF(J1026="NOT AVAILABLE","",J1026))),0,12))))</f>
        <v/>
      </c>
      <c r="Q1026">
        <f>IF(ISNUMBER(F1026),MIN(30,ROUND(30*LOG10(F1026+1)/4,1)),0)</f>
        <v/>
      </c>
      <c r="R1026">
        <f>IF(ISNUMBER(G1026),ROUND(25*(100-G1026)/100,1),12.5)</f>
        <v/>
      </c>
      <c r="S1026" t="n">
        <v>14</v>
      </c>
      <c r="T1026">
        <f>ROUND(P1026+Q1026+R1026+S1026,0)</f>
        <v/>
      </c>
      <c r="U1026" s="5" t="inlineStr"/>
      <c r="V1026" s="5" t="inlineStr">
        <is>
          <t>SECONDARY /tools/landing-page-generator</t>
        </is>
      </c>
    </row>
    <row r="1027">
      <c r="A1027" t="inlineStr">
        <is>
          <t>K1025</t>
        </is>
      </c>
      <c r="B1027" t="inlineStr">
        <is>
          <t>réduire taille image</t>
        </is>
      </c>
      <c r="C1027" t="inlineStr">
        <is>
          <t>France</t>
        </is>
      </c>
      <c r="D1027" t="inlineStr">
        <is>
          <t>fr</t>
        </is>
      </c>
      <c r="E1027" t="inlineStr">
        <is>
          <t>fr</t>
        </is>
      </c>
      <c r="F1027" t="n">
        <v>8100</v>
      </c>
      <c r="G1027" t="n">
        <v>33</v>
      </c>
      <c r="H1027" t="n">
        <v>0.18</v>
      </c>
      <c r="I1027" t="n">
        <v>0.06</v>
      </c>
      <c r="J1027" t="inlineStr">
        <is>
          <t>Commercial</t>
        </is>
      </c>
      <c r="K1027" t="inlineStr">
        <is>
          <t>NOT AVAILABLE (report not requested)</t>
        </is>
      </c>
      <c r="L1027" t="inlineStr">
        <is>
          <t>stable (calc.)</t>
        </is>
      </c>
      <c r="M1027" t="inlineStr">
        <is>
          <t>MEASURED</t>
        </is>
      </c>
      <c r="N1027" s="5" t="inlineStr">
        <is>
          <t>Semrush phrase_these (live, this session)</t>
        </is>
      </c>
      <c r="O1027" t="inlineStr">
        <is>
          <t>2026-10-30</t>
        </is>
      </c>
      <c r="P1027">
        <f>IF(IF(J1027="NOT AVAILABLE","",J1027)="",12,IF(OR(ISNUMBER(SEARCH("Transactional",IF(J1027="NOT AVAILABLE","",J1027))),ISNUMBER(SEARCH("Commercial",IF(J1027="NOT AVAILABLE","",J1027)))),25,IF(ISNUMBER(SEARCH("Informational",IF(J1027="NOT AVAILABLE","",J1027))),10,IF(ISNUMBER(SEARCH("Navigational",IF(J1027="NOT AVAILABLE","",J1027))),0,12))))</f>
        <v/>
      </c>
      <c r="Q1027">
        <f>IF(ISNUMBER(F1027),MIN(30,ROUND(30*LOG10(F1027+1)/4,1)),0)</f>
        <v/>
      </c>
      <c r="R1027">
        <f>IF(ISNUMBER(G1027),ROUND(25*(100-G1027)/100,1),12.5)</f>
        <v/>
      </c>
      <c r="S1027" t="n">
        <v>14</v>
      </c>
      <c r="T1027">
        <f>ROUND(P1027+Q1027+R1027+S1027,0)</f>
        <v/>
      </c>
      <c r="U1027" s="5" t="inlineStr"/>
      <c r="V1027" s="5" t="inlineStr">
        <is>
          <t>SECONDARY /tools/image-compressor</t>
        </is>
      </c>
    </row>
    <row r="1028">
      <c r="A1028" t="inlineStr">
        <is>
          <t>K1026</t>
        </is>
      </c>
      <c r="B1028" t="inlineStr">
        <is>
          <t>audit seo</t>
        </is>
      </c>
      <c r="C1028" t="inlineStr">
        <is>
          <t>France</t>
        </is>
      </c>
      <c r="D1028" t="inlineStr">
        <is>
          <t>fr</t>
        </is>
      </c>
      <c r="E1028" t="inlineStr">
        <is>
          <t>fr</t>
        </is>
      </c>
      <c r="F1028" t="n">
        <v>6600</v>
      </c>
      <c r="G1028" t="n">
        <v>44</v>
      </c>
      <c r="H1028" t="n">
        <v>3.08</v>
      </c>
      <c r="I1028" t="n">
        <v>0.41</v>
      </c>
      <c r="J1028" t="inlineStr">
        <is>
          <t>Informational</t>
        </is>
      </c>
      <c r="K1028" t="inlineStr">
        <is>
          <t>NOT AVAILABLE (report not requested)</t>
        </is>
      </c>
      <c r="L1028" t="inlineStr">
        <is>
          <t>stable (calc.)</t>
        </is>
      </c>
      <c r="M1028" t="inlineStr">
        <is>
          <t>MEASURED</t>
        </is>
      </c>
      <c r="N1028" s="5" t="inlineStr">
        <is>
          <t>Semrush phrase_these (live, this session)</t>
        </is>
      </c>
      <c r="O1028" t="inlineStr">
        <is>
          <t>2026-10-30</t>
        </is>
      </c>
      <c r="P1028">
        <f>IF(IF(J1028="NOT AVAILABLE","",J1028)="",12,IF(OR(ISNUMBER(SEARCH("Transactional",IF(J1028="NOT AVAILABLE","",J1028))),ISNUMBER(SEARCH("Commercial",IF(J1028="NOT AVAILABLE","",J1028)))),25,IF(ISNUMBER(SEARCH("Informational",IF(J1028="NOT AVAILABLE","",J1028))),10,IF(ISNUMBER(SEARCH("Navigational",IF(J1028="NOT AVAILABLE","",J1028))),0,12))))</f>
        <v/>
      </c>
      <c r="Q1028">
        <f>IF(ISNUMBER(F1028),MIN(30,ROUND(30*LOG10(F1028+1)/4,1)),0)</f>
        <v/>
      </c>
      <c r="R1028">
        <f>IF(ISNUMBER(G1028),ROUND(25*(100-G1028)/100,1),12.5)</f>
        <v/>
      </c>
      <c r="S1028" t="n">
        <v>14</v>
      </c>
      <c r="T1028">
        <f>ROUND(P1028+Q1028+R1028+S1028,0)</f>
        <v/>
      </c>
      <c r="U1028" s="5" t="inlineStr"/>
      <c r="V1028" s="5" t="inlineStr">
        <is>
          <t>SECONDARY /tools/website-analyzer</t>
        </is>
      </c>
    </row>
    <row r="1029">
      <c r="A1029" t="inlineStr">
        <is>
          <t>K1027</t>
        </is>
      </c>
      <c r="B1029" t="inlineStr">
        <is>
          <t>caractère invisible</t>
        </is>
      </c>
      <c r="C1029" t="inlineStr">
        <is>
          <t>France</t>
        </is>
      </c>
      <c r="D1029" t="inlineStr">
        <is>
          <t>fr</t>
        </is>
      </c>
      <c r="E1029" t="inlineStr">
        <is>
          <t>fr</t>
        </is>
      </c>
      <c r="F1029" t="n">
        <v>6600</v>
      </c>
      <c r="G1029" t="n">
        <v>16</v>
      </c>
      <c r="H1029" t="n">
        <v>0</v>
      </c>
      <c r="I1029" t="n">
        <v>0.33</v>
      </c>
      <c r="J1029" t="inlineStr">
        <is>
          <t>Informational</t>
        </is>
      </c>
      <c r="K1029" t="inlineStr">
        <is>
          <t>NOT AVAILABLE (report not requested)</t>
        </is>
      </c>
      <c r="L1029" t="inlineStr">
        <is>
          <t>stable (calc.)</t>
        </is>
      </c>
      <c r="M1029" t="inlineStr">
        <is>
          <t>MEASURED</t>
        </is>
      </c>
      <c r="N1029" s="5" t="inlineStr">
        <is>
          <t>Semrush phrase_these (live, this session)</t>
        </is>
      </c>
      <c r="O1029" t="inlineStr">
        <is>
          <t>2026-10-30</t>
        </is>
      </c>
      <c r="P1029">
        <f>IF(IF(J1029="NOT AVAILABLE","",J1029)="",12,IF(OR(ISNUMBER(SEARCH("Transactional",IF(J1029="NOT AVAILABLE","",J1029))),ISNUMBER(SEARCH("Commercial",IF(J1029="NOT AVAILABLE","",J1029)))),25,IF(ISNUMBER(SEARCH("Informational",IF(J1029="NOT AVAILABLE","",J1029))),10,IF(ISNUMBER(SEARCH("Navigational",IF(J1029="NOT AVAILABLE","",J1029))),0,12))))</f>
        <v/>
      </c>
      <c r="Q1029">
        <f>IF(ISNUMBER(F1029),MIN(30,ROUND(30*LOG10(F1029+1)/4,1)),0)</f>
        <v/>
      </c>
      <c r="R1029">
        <f>IF(ISNUMBER(G1029),ROUND(25*(100-G1029)/100,1),12.5)</f>
        <v/>
      </c>
      <c r="S1029" t="n">
        <v>14</v>
      </c>
      <c r="T1029">
        <f>ROUND(P1029+Q1029+R1029+S1029,0)</f>
        <v/>
      </c>
      <c r="U1029" s="5" t="inlineStr"/>
      <c r="V1029" s="5" t="inlineStr">
        <is>
          <t>PRIMARY /tools/invisible-character-cleaner</t>
        </is>
      </c>
    </row>
    <row r="1030">
      <c r="A1030" t="inlineStr">
        <is>
          <t>K1028</t>
        </is>
      </c>
      <c r="B1030" t="inlineStr">
        <is>
          <t>compression image</t>
        </is>
      </c>
      <c r="C1030" t="inlineStr">
        <is>
          <t>France</t>
        </is>
      </c>
      <c r="D1030" t="inlineStr">
        <is>
          <t>fr</t>
        </is>
      </c>
      <c r="E1030" t="inlineStr">
        <is>
          <t>fr</t>
        </is>
      </c>
      <c r="F1030" t="n">
        <v>5400</v>
      </c>
      <c r="G1030" t="n">
        <v>49</v>
      </c>
      <c r="H1030" t="n">
        <v>0.32</v>
      </c>
      <c r="I1030" t="n">
        <v>0.08</v>
      </c>
      <c r="J1030" t="inlineStr">
        <is>
          <t>Informational</t>
        </is>
      </c>
      <c r="K1030" t="inlineStr">
        <is>
          <t>NOT AVAILABLE (report not requested)</t>
        </is>
      </c>
      <c r="L1030" t="inlineStr">
        <is>
          <t>rising (calc.)</t>
        </is>
      </c>
      <c r="M1030" t="inlineStr">
        <is>
          <t>MEASURED</t>
        </is>
      </c>
      <c r="N1030" s="5" t="inlineStr">
        <is>
          <t>Semrush phrase_these (live, this session)</t>
        </is>
      </c>
      <c r="O1030" t="inlineStr">
        <is>
          <t>2026-10-30</t>
        </is>
      </c>
      <c r="P1030">
        <f>IF(IF(J1030="NOT AVAILABLE","",J1030)="",12,IF(OR(ISNUMBER(SEARCH("Transactional",IF(J1030="NOT AVAILABLE","",J1030))),ISNUMBER(SEARCH("Commercial",IF(J1030="NOT AVAILABLE","",J1030)))),25,IF(ISNUMBER(SEARCH("Informational",IF(J1030="NOT AVAILABLE","",J1030))),10,IF(ISNUMBER(SEARCH("Navigational",IF(J1030="NOT AVAILABLE","",J1030))),0,12))))</f>
        <v/>
      </c>
      <c r="Q1030">
        <f>IF(ISNUMBER(F1030),MIN(30,ROUND(30*LOG10(F1030+1)/4,1)),0)</f>
        <v/>
      </c>
      <c r="R1030">
        <f>IF(ISNUMBER(G1030),ROUND(25*(100-G1030)/100,1),12.5)</f>
        <v/>
      </c>
      <c r="S1030" t="n">
        <v>14</v>
      </c>
      <c r="T1030">
        <f>ROUND(P1030+Q1030+R1030+S1030,0)</f>
        <v/>
      </c>
      <c r="U1030" s="5" t="inlineStr"/>
      <c r="V1030" s="5" t="inlineStr">
        <is>
          <t>SECONDARY /tools/image-compressor</t>
        </is>
      </c>
    </row>
    <row r="1031">
      <c r="A1031" t="inlineStr">
        <is>
          <t>K1029</t>
        </is>
      </c>
      <c r="B1031" t="inlineStr">
        <is>
          <t>générer qr code</t>
        </is>
      </c>
      <c r="C1031" t="inlineStr">
        <is>
          <t>France</t>
        </is>
      </c>
      <c r="D1031" t="inlineStr">
        <is>
          <t>fr</t>
        </is>
      </c>
      <c r="E1031" t="inlineStr">
        <is>
          <t>fr</t>
        </is>
      </c>
      <c r="F1031" t="n">
        <v>5400</v>
      </c>
      <c r="G1031" t="n">
        <v>56</v>
      </c>
      <c r="H1031" t="n">
        <v>0.53</v>
      </c>
      <c r="I1031" t="n">
        <v>0.7</v>
      </c>
      <c r="J1031" t="inlineStr">
        <is>
          <t>Informational</t>
        </is>
      </c>
      <c r="K1031" t="inlineStr">
        <is>
          <t>NOT AVAILABLE (report not requested)</t>
        </is>
      </c>
      <c r="L1031" t="inlineStr">
        <is>
          <t>stable (calc.)</t>
        </is>
      </c>
      <c r="M1031" t="inlineStr">
        <is>
          <t>MEASURED</t>
        </is>
      </c>
      <c r="N1031" s="5" t="inlineStr">
        <is>
          <t>Semrush phrase_these (live, this session)</t>
        </is>
      </c>
      <c r="O1031" t="inlineStr">
        <is>
          <t>2026-10-30</t>
        </is>
      </c>
      <c r="P1031">
        <f>IF(IF(J1031="NOT AVAILABLE","",J1031)="",12,IF(OR(ISNUMBER(SEARCH("Transactional",IF(J1031="NOT AVAILABLE","",J1031))),ISNUMBER(SEARCH("Commercial",IF(J1031="NOT AVAILABLE","",J1031)))),25,IF(ISNUMBER(SEARCH("Informational",IF(J1031="NOT AVAILABLE","",J1031))),10,IF(ISNUMBER(SEARCH("Navigational",IF(J1031="NOT AVAILABLE","",J1031))),0,12))))</f>
        <v/>
      </c>
      <c r="Q1031">
        <f>IF(ISNUMBER(F1031),MIN(30,ROUND(30*LOG10(F1031+1)/4,1)),0)</f>
        <v/>
      </c>
      <c r="R1031">
        <f>IF(ISNUMBER(G1031),ROUND(25*(100-G1031)/100,1),12.5)</f>
        <v/>
      </c>
      <c r="S1031" t="n">
        <v>14</v>
      </c>
      <c r="T1031">
        <f>ROUND(P1031+Q1031+R1031+S1031,0)</f>
        <v/>
      </c>
      <c r="U1031" s="5" t="inlineStr"/>
      <c r="V1031" s="5" t="inlineStr">
        <is>
          <t>SECONDARY /tools/qr-code-generator</t>
        </is>
      </c>
    </row>
    <row r="1032">
      <c r="A1032" t="inlineStr">
        <is>
          <t>K1030</t>
        </is>
      </c>
      <c r="B1032" t="inlineStr">
        <is>
          <t>pagespeed</t>
        </is>
      </c>
      <c r="C1032" t="inlineStr">
        <is>
          <t>France</t>
        </is>
      </c>
      <c r="D1032" t="inlineStr">
        <is>
          <t>fr</t>
        </is>
      </c>
      <c r="E1032" t="inlineStr">
        <is>
          <t>fr</t>
        </is>
      </c>
      <c r="F1032" t="n">
        <v>5400</v>
      </c>
      <c r="G1032" t="n">
        <v>36</v>
      </c>
      <c r="H1032" t="n">
        <v>1.53</v>
      </c>
      <c r="I1032" t="n">
        <v>0.03</v>
      </c>
      <c r="J1032" t="inlineStr">
        <is>
          <t>Informational</t>
        </is>
      </c>
      <c r="K1032" t="inlineStr">
        <is>
          <t>NOT AVAILABLE (report not requested)</t>
        </is>
      </c>
      <c r="L1032" t="inlineStr">
        <is>
          <t>rising (calc.)</t>
        </is>
      </c>
      <c r="M1032" t="inlineStr">
        <is>
          <t>MEASURED</t>
        </is>
      </c>
      <c r="N1032" s="5" t="inlineStr">
        <is>
          <t>Semrush phrase_these (live, this session)</t>
        </is>
      </c>
      <c r="O1032" t="inlineStr">
        <is>
          <t>2026-10-30</t>
        </is>
      </c>
      <c r="P1032">
        <f>IF(IF(J1032="NOT AVAILABLE","",J1032)="",12,IF(OR(ISNUMBER(SEARCH("Transactional",IF(J1032="NOT AVAILABLE","",J1032))),ISNUMBER(SEARCH("Commercial",IF(J1032="NOT AVAILABLE","",J1032)))),25,IF(ISNUMBER(SEARCH("Informational",IF(J1032="NOT AVAILABLE","",J1032))),10,IF(ISNUMBER(SEARCH("Navigational",IF(J1032="NOT AVAILABLE","",J1032))),0,12))))</f>
        <v/>
      </c>
      <c r="Q1032">
        <f>IF(ISNUMBER(F1032),MIN(30,ROUND(30*LOG10(F1032+1)/4,1)),0)</f>
        <v/>
      </c>
      <c r="R1032">
        <f>IF(ISNUMBER(G1032),ROUND(25*(100-G1032)/100,1),12.5)</f>
        <v/>
      </c>
      <c r="S1032" t="n">
        <v>14</v>
      </c>
      <c r="T1032">
        <f>ROUND(P1032+Q1032+R1032+S1032,0)</f>
        <v/>
      </c>
      <c r="U1032" s="5" t="inlineStr"/>
      <c r="V1032" s="5" t="inlineStr">
        <is>
          <t>NOT RECOMMENDED /tools/page-speed-analyzer</t>
        </is>
      </c>
    </row>
    <row r="1033">
      <c r="A1033" t="inlineStr">
        <is>
          <t>K1031</t>
        </is>
      </c>
      <c r="B1033" t="inlineStr">
        <is>
          <t>référencement naturel</t>
        </is>
      </c>
      <c r="C1033" t="inlineStr">
        <is>
          <t>France</t>
        </is>
      </c>
      <c r="D1033" t="inlineStr">
        <is>
          <t>fr</t>
        </is>
      </c>
      <c r="E1033" t="inlineStr">
        <is>
          <t>fr</t>
        </is>
      </c>
      <c r="F1033" t="n">
        <v>5400</v>
      </c>
      <c r="G1033" t="n">
        <v>51</v>
      </c>
      <c r="H1033" t="n">
        <v>2.74</v>
      </c>
      <c r="I1033" t="n">
        <v>0.24</v>
      </c>
      <c r="J1033" t="inlineStr">
        <is>
          <t>Informational</t>
        </is>
      </c>
      <c r="K1033" t="inlineStr">
        <is>
          <t>NOT AVAILABLE (report not requested)</t>
        </is>
      </c>
      <c r="L1033" t="inlineStr">
        <is>
          <t>declining (calc.)</t>
        </is>
      </c>
      <c r="M1033" t="inlineStr">
        <is>
          <t>MEASURED</t>
        </is>
      </c>
      <c r="N1033" s="5" t="inlineStr">
        <is>
          <t>Semrush phrase_these (live, this session)</t>
        </is>
      </c>
      <c r="O1033" t="inlineStr">
        <is>
          <t>2026-10-30</t>
        </is>
      </c>
      <c r="P1033">
        <f>IF(IF(J1033="NOT AVAILABLE","",J1033)="",12,IF(OR(ISNUMBER(SEARCH("Transactional",IF(J1033="NOT AVAILABLE","",J1033))),ISNUMBER(SEARCH("Commercial",IF(J1033="NOT AVAILABLE","",J1033)))),25,IF(ISNUMBER(SEARCH("Informational",IF(J1033="NOT AVAILABLE","",J1033))),10,IF(ISNUMBER(SEARCH("Navigational",IF(J1033="NOT AVAILABLE","",J1033))),0,12))))</f>
        <v/>
      </c>
      <c r="Q1033">
        <f>IF(ISNUMBER(F1033),MIN(30,ROUND(30*LOG10(F1033+1)/4,1)),0)</f>
        <v/>
      </c>
      <c r="R1033">
        <f>IF(ISNUMBER(G1033),ROUND(25*(100-G1033)/100,1),12.5)</f>
        <v/>
      </c>
      <c r="S1033" t="n">
        <v>14</v>
      </c>
      <c r="T1033">
        <f>ROUND(P1033+Q1033+R1033+S1033,0)</f>
        <v/>
      </c>
      <c r="U1033" s="5" t="inlineStr"/>
      <c r="V1033" s="5" t="inlineStr"/>
    </row>
    <row r="1034">
      <c r="A1034" t="inlineStr">
        <is>
          <t>K1032</t>
        </is>
      </c>
      <c r="B1034" t="inlineStr">
        <is>
          <t>utm</t>
        </is>
      </c>
      <c r="C1034" t="inlineStr">
        <is>
          <t>France</t>
        </is>
      </c>
      <c r="D1034" t="inlineStr">
        <is>
          <t>fr</t>
        </is>
      </c>
      <c r="E1034" t="inlineStr">
        <is>
          <t>fr</t>
        </is>
      </c>
      <c r="F1034" t="n">
        <v>5400</v>
      </c>
      <c r="G1034" t="n">
        <v>36</v>
      </c>
      <c r="H1034" t="n">
        <v>3.31</v>
      </c>
      <c r="I1034" t="n">
        <v>0.01</v>
      </c>
      <c r="J1034" t="inlineStr">
        <is>
          <t>Informational, Navigational</t>
        </is>
      </c>
      <c r="K1034" t="inlineStr">
        <is>
          <t>NOT AVAILABLE (report not requested)</t>
        </is>
      </c>
      <c r="L1034" t="inlineStr">
        <is>
          <t>stable (calc.)</t>
        </is>
      </c>
      <c r="M1034" t="inlineStr">
        <is>
          <t>MEASURED</t>
        </is>
      </c>
      <c r="N1034" s="5" t="inlineStr">
        <is>
          <t>Semrush phrase_these (live, this session)</t>
        </is>
      </c>
      <c r="O1034" t="inlineStr">
        <is>
          <t>2026-10-30</t>
        </is>
      </c>
      <c r="P1034">
        <f>IF(IF(J1034="NOT AVAILABLE","",J1034)="",12,IF(OR(ISNUMBER(SEARCH("Transactional",IF(J1034="NOT AVAILABLE","",J1034))),ISNUMBER(SEARCH("Commercial",IF(J1034="NOT AVAILABLE","",J1034)))),25,IF(ISNUMBER(SEARCH("Informational",IF(J1034="NOT AVAILABLE","",J1034))),10,IF(ISNUMBER(SEARCH("Navigational",IF(J1034="NOT AVAILABLE","",J1034))),0,12))))</f>
        <v/>
      </c>
      <c r="Q1034">
        <f>IF(ISNUMBER(F1034),MIN(30,ROUND(30*LOG10(F1034+1)/4,1)),0)</f>
        <v/>
      </c>
      <c r="R1034">
        <f>IF(ISNUMBER(G1034),ROUND(25*(100-G1034)/100,1),12.5)</f>
        <v/>
      </c>
      <c r="S1034" t="n">
        <v>14</v>
      </c>
      <c r="T1034">
        <f>ROUND(P1034+Q1034+R1034+S1034,0)</f>
        <v/>
      </c>
      <c r="U1034" s="5" t="inlineStr"/>
      <c r="V1034" s="5" t="inlineStr">
        <is>
          <t>SECONDARY /tools/utm-builder</t>
        </is>
      </c>
    </row>
    <row r="1035">
      <c r="A1035" t="inlineStr">
        <is>
          <t>K1033</t>
        </is>
      </c>
      <c r="B1035" t="inlineStr">
        <is>
          <t>création site web</t>
        </is>
      </c>
      <c r="C1035" t="inlineStr">
        <is>
          <t>France</t>
        </is>
      </c>
      <c r="D1035" t="inlineStr">
        <is>
          <t>fr</t>
        </is>
      </c>
      <c r="E1035" t="inlineStr">
        <is>
          <t>fr</t>
        </is>
      </c>
      <c r="F1035" t="n">
        <v>4400</v>
      </c>
      <c r="G1035" t="n">
        <v>20</v>
      </c>
      <c r="H1035" t="n">
        <v>3.88</v>
      </c>
      <c r="I1035" t="n">
        <v>0.46</v>
      </c>
      <c r="J1035" t="inlineStr">
        <is>
          <t>Informational</t>
        </is>
      </c>
      <c r="K1035" t="inlineStr">
        <is>
          <t>NOT AVAILABLE (report not requested)</t>
        </is>
      </c>
      <c r="L1035" t="inlineStr">
        <is>
          <t>stable (calc.)</t>
        </is>
      </c>
      <c r="M1035" t="inlineStr">
        <is>
          <t>MEASURED</t>
        </is>
      </c>
      <c r="N1035" s="5" t="inlineStr">
        <is>
          <t>Semrush phrase_these (live, this session)</t>
        </is>
      </c>
      <c r="O1035" t="inlineStr">
        <is>
          <t>2026-10-30</t>
        </is>
      </c>
      <c r="P1035">
        <f>IF(IF(J1035="NOT AVAILABLE","",J1035)="",12,IF(OR(ISNUMBER(SEARCH("Transactional",IF(J1035="NOT AVAILABLE","",J1035))),ISNUMBER(SEARCH("Commercial",IF(J1035="NOT AVAILABLE","",J1035)))),25,IF(ISNUMBER(SEARCH("Informational",IF(J1035="NOT AVAILABLE","",J1035))),10,IF(ISNUMBER(SEARCH("Navigational",IF(J1035="NOT AVAILABLE","",J1035))),0,12))))</f>
        <v/>
      </c>
      <c r="Q1035">
        <f>IF(ISNUMBER(F1035),MIN(30,ROUND(30*LOG10(F1035+1)/4,1)),0)</f>
        <v/>
      </c>
      <c r="R1035">
        <f>IF(ISNUMBER(G1035),ROUND(25*(100-G1035)/100,1),12.5)</f>
        <v/>
      </c>
      <c r="S1035" t="n">
        <v>14</v>
      </c>
      <c r="T1035">
        <f>ROUND(P1035+Q1035+R1035+S1035,0)</f>
        <v/>
      </c>
      <c r="U1035" s="5" t="inlineStr"/>
      <c r="V1035" s="5" t="inlineStr"/>
    </row>
    <row r="1036">
      <c r="A1036" t="inlineStr">
        <is>
          <t>K1034</t>
        </is>
      </c>
      <c r="B1036" t="inlineStr">
        <is>
          <t>générateur qr code</t>
        </is>
      </c>
      <c r="C1036" t="inlineStr">
        <is>
          <t>France</t>
        </is>
      </c>
      <c r="D1036" t="inlineStr">
        <is>
          <t>fr</t>
        </is>
      </c>
      <c r="E1036" t="inlineStr">
        <is>
          <t>fr</t>
        </is>
      </c>
      <c r="F1036" t="n">
        <v>4400</v>
      </c>
      <c r="G1036" t="n">
        <v>44</v>
      </c>
      <c r="H1036" t="n">
        <v>0.48</v>
      </c>
      <c r="I1036" t="n">
        <v>0.62</v>
      </c>
      <c r="J1036" t="inlineStr">
        <is>
          <t>Informational</t>
        </is>
      </c>
      <c r="K1036" t="inlineStr">
        <is>
          <t>NOT AVAILABLE (report not requested)</t>
        </is>
      </c>
      <c r="L1036" t="inlineStr">
        <is>
          <t>stable (calc.)</t>
        </is>
      </c>
      <c r="M1036" t="inlineStr">
        <is>
          <t>MEASURED</t>
        </is>
      </c>
      <c r="N1036" s="5" t="inlineStr">
        <is>
          <t>Semrush phrase_these (live, this session)</t>
        </is>
      </c>
      <c r="O1036" t="inlineStr">
        <is>
          <t>2026-10-30</t>
        </is>
      </c>
      <c r="P1036">
        <f>IF(IF(J1036="NOT AVAILABLE","",J1036)="",12,IF(OR(ISNUMBER(SEARCH("Transactional",IF(J1036="NOT AVAILABLE","",J1036))),ISNUMBER(SEARCH("Commercial",IF(J1036="NOT AVAILABLE","",J1036)))),25,IF(ISNUMBER(SEARCH("Informational",IF(J1036="NOT AVAILABLE","",J1036))),10,IF(ISNUMBER(SEARCH("Navigational",IF(J1036="NOT AVAILABLE","",J1036))),0,12))))</f>
        <v/>
      </c>
      <c r="Q1036">
        <f>IF(ISNUMBER(F1036),MIN(30,ROUND(30*LOG10(F1036+1)/4,1)),0)</f>
        <v/>
      </c>
      <c r="R1036">
        <f>IF(ISNUMBER(G1036),ROUND(25*(100-G1036)/100,1),12.5)</f>
        <v/>
      </c>
      <c r="S1036" t="n">
        <v>14</v>
      </c>
      <c r="T1036">
        <f>ROUND(P1036+Q1036+R1036+S1036,0)</f>
        <v/>
      </c>
      <c r="U1036" s="5" t="inlineStr"/>
      <c r="V1036" s="5" t="inlineStr">
        <is>
          <t>PRIMARY /tools/qr-code-generator</t>
        </is>
      </c>
    </row>
    <row r="1037">
      <c r="A1037" t="inlineStr">
        <is>
          <t>K1035</t>
        </is>
      </c>
      <c r="B1037" t="inlineStr">
        <is>
          <t>logiciel de facturation</t>
        </is>
      </c>
      <c r="C1037" t="inlineStr">
        <is>
          <t>France</t>
        </is>
      </c>
      <c r="D1037" t="inlineStr">
        <is>
          <t>fr</t>
        </is>
      </c>
      <c r="E1037" t="inlineStr">
        <is>
          <t>fr</t>
        </is>
      </c>
      <c r="F1037" t="n">
        <v>4400</v>
      </c>
      <c r="G1037" t="n">
        <v>48</v>
      </c>
      <c r="H1037" t="n">
        <v>4.49</v>
      </c>
      <c r="I1037" t="n">
        <v>0.8100000000000001</v>
      </c>
      <c r="J1037" t="inlineStr">
        <is>
          <t>Informational</t>
        </is>
      </c>
      <c r="K1037" t="inlineStr">
        <is>
          <t>NOT AVAILABLE (report not requested)</t>
        </is>
      </c>
      <c r="L1037" t="inlineStr">
        <is>
          <t>rising (calc.)</t>
        </is>
      </c>
      <c r="M1037" t="inlineStr">
        <is>
          <t>MEASURED</t>
        </is>
      </c>
      <c r="N1037" s="5" t="inlineStr">
        <is>
          <t>Semrush phrase_these (live, this session)</t>
        </is>
      </c>
      <c r="O1037" t="inlineStr">
        <is>
          <t>2026-10-30</t>
        </is>
      </c>
      <c r="P1037">
        <f>IF(IF(J1037="NOT AVAILABLE","",J1037)="",12,IF(OR(ISNUMBER(SEARCH("Transactional",IF(J1037="NOT AVAILABLE","",J1037))),ISNUMBER(SEARCH("Commercial",IF(J1037="NOT AVAILABLE","",J1037)))),25,IF(ISNUMBER(SEARCH("Informational",IF(J1037="NOT AVAILABLE","",J1037))),10,IF(ISNUMBER(SEARCH("Navigational",IF(J1037="NOT AVAILABLE","",J1037))),0,12))))</f>
        <v/>
      </c>
      <c r="Q1037">
        <f>IF(ISNUMBER(F1037),MIN(30,ROUND(30*LOG10(F1037+1)/4,1)),0)</f>
        <v/>
      </c>
      <c r="R1037">
        <f>IF(ISNUMBER(G1037),ROUND(25*(100-G1037)/100,1),12.5)</f>
        <v/>
      </c>
      <c r="S1037" t="n">
        <v>14</v>
      </c>
      <c r="T1037">
        <f>ROUND(P1037+Q1037+R1037+S1037,0)</f>
        <v/>
      </c>
      <c r="U1037" s="5" t="inlineStr"/>
      <c r="V1037" s="5" t="inlineStr">
        <is>
          <t>NOT RECOMMENDED /our-work/hssabek</t>
        </is>
      </c>
    </row>
    <row r="1038">
      <c r="A1038" t="inlineStr">
        <is>
          <t>K1036</t>
        </is>
      </c>
      <c r="B1038" t="inlineStr">
        <is>
          <t>agence web paris</t>
        </is>
      </c>
      <c r="C1038" t="inlineStr">
        <is>
          <t>France</t>
        </is>
      </c>
      <c r="D1038" t="inlineStr">
        <is>
          <t>fr</t>
        </is>
      </c>
      <c r="E1038" t="inlineStr">
        <is>
          <t>fr</t>
        </is>
      </c>
      <c r="F1038" t="n">
        <v>3600</v>
      </c>
      <c r="G1038" t="n">
        <v>36</v>
      </c>
      <c r="H1038" t="n">
        <v>2.99</v>
      </c>
      <c r="I1038" t="n">
        <v>0.3</v>
      </c>
      <c r="J1038" t="inlineStr">
        <is>
          <t>NOT AVAILABLE</t>
        </is>
      </c>
      <c r="K1038" t="inlineStr">
        <is>
          <t>NOT AVAILABLE (report not requested)</t>
        </is>
      </c>
      <c r="L1038" t="inlineStr">
        <is>
          <t>stable (calc.)</t>
        </is>
      </c>
      <c r="M1038" t="inlineStr">
        <is>
          <t>MEASURED</t>
        </is>
      </c>
      <c r="N1038" s="5" t="inlineStr">
        <is>
          <t>Semrush phrase_these (live, this session)</t>
        </is>
      </c>
      <c r="O1038" t="inlineStr">
        <is>
          <t>2026-10-30</t>
        </is>
      </c>
      <c r="P1038">
        <f>IF(IF(J1038="NOT AVAILABLE","",J1038)="",12,IF(OR(ISNUMBER(SEARCH("Transactional",IF(J1038="NOT AVAILABLE","",J1038))),ISNUMBER(SEARCH("Commercial",IF(J1038="NOT AVAILABLE","",J1038)))),25,IF(ISNUMBER(SEARCH("Informational",IF(J1038="NOT AVAILABLE","",J1038))),10,IF(ISNUMBER(SEARCH("Navigational",IF(J1038="NOT AVAILABLE","",J1038))),0,12))))</f>
        <v/>
      </c>
      <c r="Q1038">
        <f>IF(ISNUMBER(F1038),MIN(30,ROUND(30*LOG10(F1038+1)/4,1)),0)</f>
        <v/>
      </c>
      <c r="R1038">
        <f>IF(ISNUMBER(G1038),ROUND(25*(100-G1038)/100,1),12.5)</f>
        <v/>
      </c>
      <c r="S1038" t="n">
        <v>14</v>
      </c>
      <c r="T1038">
        <f>ROUND(P1038+Q1038+R1038+S1038,0)</f>
        <v/>
      </c>
      <c r="U1038" s="5" t="inlineStr"/>
      <c r="V1038" s="5" t="inlineStr">
        <is>
          <t>OPTIONAL /web-development-company/paris</t>
        </is>
      </c>
    </row>
    <row r="1039">
      <c r="A1039" t="inlineStr">
        <is>
          <t>K1037</t>
        </is>
      </c>
      <c r="B1039" t="inlineStr">
        <is>
          <t>créer qr code</t>
        </is>
      </c>
      <c r="C1039" t="inlineStr">
        <is>
          <t>France</t>
        </is>
      </c>
      <c r="D1039" t="inlineStr">
        <is>
          <t>fr</t>
        </is>
      </c>
      <c r="E1039" t="inlineStr">
        <is>
          <t>fr</t>
        </is>
      </c>
      <c r="F1039" t="n">
        <v>3600</v>
      </c>
      <c r="G1039" t="n">
        <v>37</v>
      </c>
      <c r="H1039" t="n">
        <v>0.46</v>
      </c>
      <c r="I1039" t="n">
        <v>0.71</v>
      </c>
      <c r="J1039" t="inlineStr">
        <is>
          <t>Informational</t>
        </is>
      </c>
      <c r="K1039" t="inlineStr">
        <is>
          <t>NOT AVAILABLE (report not requested)</t>
        </is>
      </c>
      <c r="L1039" t="inlineStr">
        <is>
          <t>stable (calc.)</t>
        </is>
      </c>
      <c r="M1039" t="inlineStr">
        <is>
          <t>MEASURED</t>
        </is>
      </c>
      <c r="N1039" s="5" t="inlineStr">
        <is>
          <t>Semrush phrase_these (live, this session)</t>
        </is>
      </c>
      <c r="O1039" t="inlineStr">
        <is>
          <t>2026-10-30</t>
        </is>
      </c>
      <c r="P1039">
        <f>IF(IF(J1039="NOT AVAILABLE","",J1039)="",12,IF(OR(ISNUMBER(SEARCH("Transactional",IF(J1039="NOT AVAILABLE","",J1039))),ISNUMBER(SEARCH("Commercial",IF(J1039="NOT AVAILABLE","",J1039)))),25,IF(ISNUMBER(SEARCH("Informational",IF(J1039="NOT AVAILABLE","",J1039))),10,IF(ISNUMBER(SEARCH("Navigational",IF(J1039="NOT AVAILABLE","",J1039))),0,12))))</f>
        <v/>
      </c>
      <c r="Q1039">
        <f>IF(ISNUMBER(F1039),MIN(30,ROUND(30*LOG10(F1039+1)/4,1)),0)</f>
        <v/>
      </c>
      <c r="R1039">
        <f>IF(ISNUMBER(G1039),ROUND(25*(100-G1039)/100,1),12.5)</f>
        <v/>
      </c>
      <c r="S1039" t="n">
        <v>14</v>
      </c>
      <c r="T1039">
        <f>ROUND(P1039+Q1039+R1039+S1039,0)</f>
        <v/>
      </c>
      <c r="U1039" s="5" t="inlineStr"/>
      <c r="V1039" s="5" t="inlineStr">
        <is>
          <t>SECONDARY /tools/qr-code-generator</t>
        </is>
      </c>
    </row>
    <row r="1040">
      <c r="A1040" t="inlineStr">
        <is>
          <t>K1038</t>
        </is>
      </c>
      <c r="B1040" t="inlineStr">
        <is>
          <t>json validator</t>
        </is>
      </c>
      <c r="C1040" t="inlineStr">
        <is>
          <t>France</t>
        </is>
      </c>
      <c r="D1040" t="inlineStr">
        <is>
          <t>fr</t>
        </is>
      </c>
      <c r="E1040" t="inlineStr">
        <is>
          <t>fr</t>
        </is>
      </c>
      <c r="F1040" t="n">
        <v>3600</v>
      </c>
      <c r="G1040" t="n">
        <v>75</v>
      </c>
      <c r="H1040" t="n">
        <v>1.6</v>
      </c>
      <c r="I1040" t="n">
        <v>0.02</v>
      </c>
      <c r="J1040" t="inlineStr">
        <is>
          <t>Commercial</t>
        </is>
      </c>
      <c r="K1040" t="inlineStr">
        <is>
          <t>NOT AVAILABLE (report not requested)</t>
        </is>
      </c>
      <c r="L1040" t="inlineStr">
        <is>
          <t>declining (calc.)</t>
        </is>
      </c>
      <c r="M1040" t="inlineStr">
        <is>
          <t>MEASURED</t>
        </is>
      </c>
      <c r="N1040" s="5" t="inlineStr">
        <is>
          <t>Semrush phrase_these (live, this session)</t>
        </is>
      </c>
      <c r="O1040" t="inlineStr">
        <is>
          <t>2026-10-30</t>
        </is>
      </c>
      <c r="P1040">
        <f>IF(IF(J1040="NOT AVAILABLE","",J1040)="",12,IF(OR(ISNUMBER(SEARCH("Transactional",IF(J1040="NOT AVAILABLE","",J1040))),ISNUMBER(SEARCH("Commercial",IF(J1040="NOT AVAILABLE","",J1040)))),25,IF(ISNUMBER(SEARCH("Informational",IF(J1040="NOT AVAILABLE","",J1040))),10,IF(ISNUMBER(SEARCH("Navigational",IF(J1040="NOT AVAILABLE","",J1040))),0,12))))</f>
        <v/>
      </c>
      <c r="Q1040">
        <f>IF(ISNUMBER(F1040),MIN(30,ROUND(30*LOG10(F1040+1)/4,1)),0)</f>
        <v/>
      </c>
      <c r="R1040">
        <f>IF(ISNUMBER(G1040),ROUND(25*(100-G1040)/100,1),12.5)</f>
        <v/>
      </c>
      <c r="S1040" t="n">
        <v>14</v>
      </c>
      <c r="T1040">
        <f>ROUND(P1040+Q1040+R1040+S1040,0)</f>
        <v/>
      </c>
      <c r="U1040" s="5" t="inlineStr"/>
      <c r="V1040" s="5" t="inlineStr">
        <is>
          <t>SECONDARY /tools/json-formatter</t>
        </is>
      </c>
    </row>
    <row r="1041">
      <c r="A1041" t="inlineStr">
        <is>
          <t>K1039</t>
        </is>
      </c>
      <c r="B1041" t="inlineStr">
        <is>
          <t>json viewer</t>
        </is>
      </c>
      <c r="C1041" t="inlineStr">
        <is>
          <t>France</t>
        </is>
      </c>
      <c r="D1041" t="inlineStr">
        <is>
          <t>fr</t>
        </is>
      </c>
      <c r="E1041" t="inlineStr">
        <is>
          <t>fr</t>
        </is>
      </c>
      <c r="F1041" t="n">
        <v>3600</v>
      </c>
      <c r="G1041" t="n">
        <v>83</v>
      </c>
      <c r="H1041" t="n">
        <v>4.01</v>
      </c>
      <c r="I1041" t="n">
        <v>0.01</v>
      </c>
      <c r="J1041" t="inlineStr">
        <is>
          <t>Informational</t>
        </is>
      </c>
      <c r="K1041" t="inlineStr">
        <is>
          <t>NOT AVAILABLE (report not requested)</t>
        </is>
      </c>
      <c r="L1041" t="inlineStr">
        <is>
          <t>declining (calc.)</t>
        </is>
      </c>
      <c r="M1041" t="inlineStr">
        <is>
          <t>MEASURED</t>
        </is>
      </c>
      <c r="N1041" s="5" t="inlineStr">
        <is>
          <t>Semrush phrase_these (live, this session)</t>
        </is>
      </c>
      <c r="O1041" t="inlineStr">
        <is>
          <t>2026-10-30</t>
        </is>
      </c>
      <c r="P1041">
        <f>IF(IF(J1041="NOT AVAILABLE","",J1041)="",12,IF(OR(ISNUMBER(SEARCH("Transactional",IF(J1041="NOT AVAILABLE","",J1041))),ISNUMBER(SEARCH("Commercial",IF(J1041="NOT AVAILABLE","",J1041)))),25,IF(ISNUMBER(SEARCH("Informational",IF(J1041="NOT AVAILABLE","",J1041))),10,IF(ISNUMBER(SEARCH("Navigational",IF(J1041="NOT AVAILABLE","",J1041))),0,12))))</f>
        <v/>
      </c>
      <c r="Q1041">
        <f>IF(ISNUMBER(F1041),MIN(30,ROUND(30*LOG10(F1041+1)/4,1)),0)</f>
        <v/>
      </c>
      <c r="R1041">
        <f>IF(ISNUMBER(G1041),ROUND(25*(100-G1041)/100,1),12.5)</f>
        <v/>
      </c>
      <c r="S1041" t="n">
        <v>14</v>
      </c>
      <c r="T1041">
        <f>ROUND(P1041+Q1041+R1041+S1041,0)</f>
        <v/>
      </c>
      <c r="U1041" s="5" t="inlineStr"/>
      <c r="V1041" s="5" t="inlineStr">
        <is>
          <t>SECONDARY /tools/json-formatter</t>
        </is>
      </c>
    </row>
    <row r="1042">
      <c r="A1042" t="inlineStr">
        <is>
          <t>K1040</t>
        </is>
      </c>
      <c r="B1042" t="inlineStr">
        <is>
          <t>majuscule en minuscule</t>
        </is>
      </c>
      <c r="C1042" t="inlineStr">
        <is>
          <t>France</t>
        </is>
      </c>
      <c r="D1042" t="inlineStr">
        <is>
          <t>fr</t>
        </is>
      </c>
      <c r="E1042" t="inlineStr">
        <is>
          <t>fr</t>
        </is>
      </c>
      <c r="F1042" t="n">
        <v>3600</v>
      </c>
      <c r="G1042" t="n">
        <v>25</v>
      </c>
      <c r="H1042" t="n">
        <v>0</v>
      </c>
      <c r="I1042" t="n">
        <v>0</v>
      </c>
      <c r="J1042" t="inlineStr">
        <is>
          <t>Informational</t>
        </is>
      </c>
      <c r="K1042" t="inlineStr">
        <is>
          <t>NOT AVAILABLE (report not requested)</t>
        </is>
      </c>
      <c r="L1042" t="inlineStr">
        <is>
          <t>stable (calc.)</t>
        </is>
      </c>
      <c r="M1042" t="inlineStr">
        <is>
          <t>MEASURED</t>
        </is>
      </c>
      <c r="N1042" s="5" t="inlineStr">
        <is>
          <t>Semrush phrase_these (live, this session)</t>
        </is>
      </c>
      <c r="O1042" t="inlineStr">
        <is>
          <t>2026-10-30</t>
        </is>
      </c>
      <c r="P1042">
        <f>IF(IF(J1042="NOT AVAILABLE","",J1042)="",12,IF(OR(ISNUMBER(SEARCH("Transactional",IF(J1042="NOT AVAILABLE","",J1042))),ISNUMBER(SEARCH("Commercial",IF(J1042="NOT AVAILABLE","",J1042)))),25,IF(ISNUMBER(SEARCH("Informational",IF(J1042="NOT AVAILABLE","",J1042))),10,IF(ISNUMBER(SEARCH("Navigational",IF(J1042="NOT AVAILABLE","",J1042))),0,12))))</f>
        <v/>
      </c>
      <c r="Q1042">
        <f>IF(ISNUMBER(F1042),MIN(30,ROUND(30*LOG10(F1042+1)/4,1)),0)</f>
        <v/>
      </c>
      <c r="R1042">
        <f>IF(ISNUMBER(G1042),ROUND(25*(100-G1042)/100,1),12.5)</f>
        <v/>
      </c>
      <c r="S1042" t="n">
        <v>14</v>
      </c>
      <c r="T1042">
        <f>ROUND(P1042+Q1042+R1042+S1042,0)</f>
        <v/>
      </c>
      <c r="U1042" s="5" t="inlineStr"/>
      <c r="V1042" s="5" t="inlineStr">
        <is>
          <t>PRIMARY /tools/text-case-converter</t>
        </is>
      </c>
    </row>
    <row r="1043">
      <c r="A1043" t="inlineStr">
        <is>
          <t>K1041</t>
        </is>
      </c>
      <c r="B1043" t="inlineStr">
        <is>
          <t>agence web lyon</t>
        </is>
      </c>
      <c r="C1043" t="inlineStr">
        <is>
          <t>France</t>
        </is>
      </c>
      <c r="D1043" t="inlineStr">
        <is>
          <t>fr</t>
        </is>
      </c>
      <c r="E1043" t="inlineStr">
        <is>
          <t>fr</t>
        </is>
      </c>
      <c r="F1043" t="n">
        <v>2900</v>
      </c>
      <c r="G1043" t="n">
        <v>27</v>
      </c>
      <c r="H1043" t="n">
        <v>2.87</v>
      </c>
      <c r="I1043" t="n">
        <v>0.35</v>
      </c>
      <c r="J1043" t="inlineStr">
        <is>
          <t>Commercial</t>
        </is>
      </c>
      <c r="K1043" t="inlineStr">
        <is>
          <t>NOT AVAILABLE (report not requested)</t>
        </is>
      </c>
      <c r="L1043" t="inlineStr">
        <is>
          <t>stable (calc.)</t>
        </is>
      </c>
      <c r="M1043" t="inlineStr">
        <is>
          <t>MEASURED</t>
        </is>
      </c>
      <c r="N1043" s="5" t="inlineStr">
        <is>
          <t>Semrush phrase_these (live, this session)</t>
        </is>
      </c>
      <c r="O1043" t="inlineStr">
        <is>
          <t>2026-10-30</t>
        </is>
      </c>
      <c r="P1043">
        <f>IF(IF(J1043="NOT AVAILABLE","",J1043)="",12,IF(OR(ISNUMBER(SEARCH("Transactional",IF(J1043="NOT AVAILABLE","",J1043))),ISNUMBER(SEARCH("Commercial",IF(J1043="NOT AVAILABLE","",J1043)))),25,IF(ISNUMBER(SEARCH("Informational",IF(J1043="NOT AVAILABLE","",J1043))),10,IF(ISNUMBER(SEARCH("Navigational",IF(J1043="NOT AVAILABLE","",J1043))),0,12))))</f>
        <v/>
      </c>
      <c r="Q1043">
        <f>IF(ISNUMBER(F1043),MIN(30,ROUND(30*LOG10(F1043+1)/4,1)),0)</f>
        <v/>
      </c>
      <c r="R1043">
        <f>IF(ISNUMBER(G1043),ROUND(25*(100-G1043)/100,1),12.5)</f>
        <v/>
      </c>
      <c r="S1043" t="n">
        <v>14</v>
      </c>
      <c r="T1043">
        <f>ROUND(P1043+Q1043+R1043+S1043,0)</f>
        <v/>
      </c>
      <c r="U1043" s="5" t="inlineStr"/>
      <c r="V1043" s="5" t="inlineStr"/>
    </row>
    <row r="1044">
      <c r="A1044" t="inlineStr">
        <is>
          <t>K1042</t>
        </is>
      </c>
      <c r="B1044" t="inlineStr">
        <is>
          <t>certificat ssl</t>
        </is>
      </c>
      <c r="C1044" t="inlineStr">
        <is>
          <t>France</t>
        </is>
      </c>
      <c r="D1044" t="inlineStr">
        <is>
          <t>fr</t>
        </is>
      </c>
      <c r="E1044" t="inlineStr">
        <is>
          <t>fr</t>
        </is>
      </c>
      <c r="F1044" t="n">
        <v>2900</v>
      </c>
      <c r="G1044" t="n">
        <v>63</v>
      </c>
      <c r="H1044" t="n">
        <v>1.31</v>
      </c>
      <c r="I1044" t="n">
        <v>0.23</v>
      </c>
      <c r="J1044" t="inlineStr">
        <is>
          <t>NOT AVAILABLE</t>
        </is>
      </c>
      <c r="K1044" t="inlineStr">
        <is>
          <t>NOT AVAILABLE (report not requested)</t>
        </is>
      </c>
      <c r="L1044" t="inlineStr">
        <is>
          <t>stable (calc.)</t>
        </is>
      </c>
      <c r="M1044" t="inlineStr">
        <is>
          <t>MEASURED</t>
        </is>
      </c>
      <c r="N1044" s="5" t="inlineStr">
        <is>
          <t>Semrush phrase_these (live, this session)</t>
        </is>
      </c>
      <c r="O1044" t="inlineStr">
        <is>
          <t>2026-10-30</t>
        </is>
      </c>
      <c r="P1044">
        <f>IF(IF(J1044="NOT AVAILABLE","",J1044)="",12,IF(OR(ISNUMBER(SEARCH("Transactional",IF(J1044="NOT AVAILABLE","",J1044))),ISNUMBER(SEARCH("Commercial",IF(J1044="NOT AVAILABLE","",J1044)))),25,IF(ISNUMBER(SEARCH("Informational",IF(J1044="NOT AVAILABLE","",J1044))),10,IF(ISNUMBER(SEARCH("Navigational",IF(J1044="NOT AVAILABLE","",J1044))),0,12))))</f>
        <v/>
      </c>
      <c r="Q1044">
        <f>IF(ISNUMBER(F1044),MIN(30,ROUND(30*LOG10(F1044+1)/4,1)),0)</f>
        <v/>
      </c>
      <c r="R1044">
        <f>IF(ISNUMBER(G1044),ROUND(25*(100-G1044)/100,1),12.5)</f>
        <v/>
      </c>
      <c r="S1044" t="n">
        <v>14</v>
      </c>
      <c r="T1044">
        <f>ROUND(P1044+Q1044+R1044+S1044,0)</f>
        <v/>
      </c>
      <c r="U1044" s="5" t="inlineStr"/>
      <c r="V1044" s="5" t="inlineStr">
        <is>
          <t>NOT RECOMMENDED /tools/ssl-certificate-checker</t>
        </is>
      </c>
    </row>
    <row r="1045">
      <c r="A1045" t="inlineStr">
        <is>
          <t>K1043</t>
        </is>
      </c>
      <c r="B1045" t="inlineStr">
        <is>
          <t>compter les mots</t>
        </is>
      </c>
      <c r="C1045" t="inlineStr">
        <is>
          <t>France</t>
        </is>
      </c>
      <c r="D1045" t="inlineStr">
        <is>
          <t>fr</t>
        </is>
      </c>
      <c r="E1045" t="inlineStr">
        <is>
          <t>fr</t>
        </is>
      </c>
      <c r="F1045" t="n">
        <v>2900</v>
      </c>
      <c r="G1045" t="n">
        <v>35</v>
      </c>
      <c r="H1045" t="n">
        <v>0.03</v>
      </c>
      <c r="I1045" t="n">
        <v>0.12</v>
      </c>
      <c r="J1045" t="inlineStr">
        <is>
          <t>Informational</t>
        </is>
      </c>
      <c r="K1045" t="inlineStr">
        <is>
          <t>NOT AVAILABLE (report not requested)</t>
        </is>
      </c>
      <c r="L1045" t="inlineStr">
        <is>
          <t>stable (calc.)</t>
        </is>
      </c>
      <c r="M1045" t="inlineStr">
        <is>
          <t>MEASURED</t>
        </is>
      </c>
      <c r="N1045" s="5" t="inlineStr">
        <is>
          <t>Semrush phrase_these (live, this session)</t>
        </is>
      </c>
      <c r="O1045" t="inlineStr">
        <is>
          <t>2026-10-30</t>
        </is>
      </c>
      <c r="P1045">
        <f>IF(IF(J1045="NOT AVAILABLE","",J1045)="",12,IF(OR(ISNUMBER(SEARCH("Transactional",IF(J1045="NOT AVAILABLE","",J1045))),ISNUMBER(SEARCH("Commercial",IF(J1045="NOT AVAILABLE","",J1045)))),25,IF(ISNUMBER(SEARCH("Informational",IF(J1045="NOT AVAILABLE","",J1045))),10,IF(ISNUMBER(SEARCH("Navigational",IF(J1045="NOT AVAILABLE","",J1045))),0,12))))</f>
        <v/>
      </c>
      <c r="Q1045">
        <f>IF(ISNUMBER(F1045),MIN(30,ROUND(30*LOG10(F1045+1)/4,1)),0)</f>
        <v/>
      </c>
      <c r="R1045">
        <f>IF(ISNUMBER(G1045),ROUND(25*(100-G1045)/100,1),12.5)</f>
        <v/>
      </c>
      <c r="S1045" t="n">
        <v>14</v>
      </c>
      <c r="T1045">
        <f>ROUND(P1045+Q1045+R1045+S1045,0)</f>
        <v/>
      </c>
      <c r="U1045" s="5" t="inlineStr"/>
      <c r="V1045" s="5" t="inlineStr">
        <is>
          <t>SECONDARY /tools/word-counter</t>
        </is>
      </c>
    </row>
    <row r="1046">
      <c r="A1046" t="inlineStr">
        <is>
          <t>K1044</t>
        </is>
      </c>
      <c r="B1046" t="inlineStr">
        <is>
          <t>compteur de mot</t>
        </is>
      </c>
      <c r="C1046" t="inlineStr">
        <is>
          <t>France</t>
        </is>
      </c>
      <c r="D1046" t="inlineStr">
        <is>
          <t>fr</t>
        </is>
      </c>
      <c r="E1046" t="inlineStr">
        <is>
          <t>fr</t>
        </is>
      </c>
      <c r="F1046" t="n">
        <v>2900</v>
      </c>
      <c r="G1046" t="n">
        <v>30</v>
      </c>
      <c r="H1046" t="n">
        <v>0.03</v>
      </c>
      <c r="I1046" t="n">
        <v>0.12</v>
      </c>
      <c r="J1046" t="inlineStr">
        <is>
          <t>NOT AVAILABLE</t>
        </is>
      </c>
      <c r="K1046" t="inlineStr">
        <is>
          <t>NOT AVAILABLE (report not requested)</t>
        </is>
      </c>
      <c r="L1046" t="inlineStr">
        <is>
          <t>stable (calc.)</t>
        </is>
      </c>
      <c r="M1046" t="inlineStr">
        <is>
          <t>MEASURED</t>
        </is>
      </c>
      <c r="N1046" s="5" t="inlineStr">
        <is>
          <t>Semrush phrase_these (live, this session)</t>
        </is>
      </c>
      <c r="O1046" t="inlineStr">
        <is>
          <t>2026-10-30</t>
        </is>
      </c>
      <c r="P1046">
        <f>IF(IF(J1046="NOT AVAILABLE","",J1046)="",12,IF(OR(ISNUMBER(SEARCH("Transactional",IF(J1046="NOT AVAILABLE","",J1046))),ISNUMBER(SEARCH("Commercial",IF(J1046="NOT AVAILABLE","",J1046)))),25,IF(ISNUMBER(SEARCH("Informational",IF(J1046="NOT AVAILABLE","",J1046))),10,IF(ISNUMBER(SEARCH("Navigational",IF(J1046="NOT AVAILABLE","",J1046))),0,12))))</f>
        <v/>
      </c>
      <c r="Q1046">
        <f>IF(ISNUMBER(F1046),MIN(30,ROUND(30*LOG10(F1046+1)/4,1)),0)</f>
        <v/>
      </c>
      <c r="R1046">
        <f>IF(ISNUMBER(G1046),ROUND(25*(100-G1046)/100,1),12.5)</f>
        <v/>
      </c>
      <c r="S1046" t="n">
        <v>14</v>
      </c>
      <c r="T1046">
        <f>ROUND(P1046+Q1046+R1046+S1046,0)</f>
        <v/>
      </c>
      <c r="U1046" s="5" t="inlineStr"/>
      <c r="V1046" s="5" t="inlineStr">
        <is>
          <t>SECONDARY /tools/word-counter</t>
        </is>
      </c>
    </row>
    <row r="1047">
      <c r="A1047" t="inlineStr">
        <is>
          <t>K1045</t>
        </is>
      </c>
      <c r="B1047" t="inlineStr">
        <is>
          <t>nombre de mots</t>
        </is>
      </c>
      <c r="C1047" t="inlineStr">
        <is>
          <t>France</t>
        </is>
      </c>
      <c r="D1047" t="inlineStr">
        <is>
          <t>fr</t>
        </is>
      </c>
      <c r="E1047" t="inlineStr">
        <is>
          <t>fr</t>
        </is>
      </c>
      <c r="F1047" t="n">
        <v>2900</v>
      </c>
      <c r="G1047" t="n">
        <v>38</v>
      </c>
      <c r="H1047" t="n">
        <v>0.03</v>
      </c>
      <c r="I1047" t="n">
        <v>0.17</v>
      </c>
      <c r="J1047" t="inlineStr">
        <is>
          <t>Informational</t>
        </is>
      </c>
      <c r="K1047" t="inlineStr">
        <is>
          <t>NOT AVAILABLE (report not requested)</t>
        </is>
      </c>
      <c r="L1047" t="inlineStr">
        <is>
          <t>stable (calc.)</t>
        </is>
      </c>
      <c r="M1047" t="inlineStr">
        <is>
          <t>MEASURED</t>
        </is>
      </c>
      <c r="N1047" s="5" t="inlineStr">
        <is>
          <t>Semrush phrase_these (live, this session)</t>
        </is>
      </c>
      <c r="O1047" t="inlineStr">
        <is>
          <t>2026-10-30</t>
        </is>
      </c>
      <c r="P1047">
        <f>IF(IF(J1047="NOT AVAILABLE","",J1047)="",12,IF(OR(ISNUMBER(SEARCH("Transactional",IF(J1047="NOT AVAILABLE","",J1047))),ISNUMBER(SEARCH("Commercial",IF(J1047="NOT AVAILABLE","",J1047)))),25,IF(ISNUMBER(SEARCH("Informational",IF(J1047="NOT AVAILABLE","",J1047))),10,IF(ISNUMBER(SEARCH("Navigational",IF(J1047="NOT AVAILABLE","",J1047))),0,12))))</f>
        <v/>
      </c>
      <c r="Q1047">
        <f>IF(ISNUMBER(F1047),MIN(30,ROUND(30*LOG10(F1047+1)/4,1)),0)</f>
        <v/>
      </c>
      <c r="R1047">
        <f>IF(ISNUMBER(G1047),ROUND(25*(100-G1047)/100,1),12.5)</f>
        <v/>
      </c>
      <c r="S1047" t="n">
        <v>14</v>
      </c>
      <c r="T1047">
        <f>ROUND(P1047+Q1047+R1047+S1047,0)</f>
        <v/>
      </c>
      <c r="U1047" s="5" t="inlineStr"/>
      <c r="V1047" s="5" t="inlineStr">
        <is>
          <t>SECONDARY /tools/word-counter</t>
        </is>
      </c>
    </row>
    <row r="1048">
      <c r="A1048" t="inlineStr">
        <is>
          <t>K1046</t>
        </is>
      </c>
      <c r="B1048" t="inlineStr">
        <is>
          <t>agence web marseille</t>
        </is>
      </c>
      <c r="C1048" t="inlineStr">
        <is>
          <t>France</t>
        </is>
      </c>
      <c r="D1048" t="inlineStr">
        <is>
          <t>fr</t>
        </is>
      </c>
      <c r="E1048" t="inlineStr">
        <is>
          <t>fr</t>
        </is>
      </c>
      <c r="F1048" t="n">
        <v>2400</v>
      </c>
      <c r="G1048" t="n">
        <v>37</v>
      </c>
      <c r="H1048" t="n">
        <v>3.37</v>
      </c>
      <c r="I1048" t="n">
        <v>0.3</v>
      </c>
      <c r="J1048" t="inlineStr">
        <is>
          <t>Commercial</t>
        </is>
      </c>
      <c r="K1048" t="inlineStr">
        <is>
          <t>NOT AVAILABLE (report not requested)</t>
        </is>
      </c>
      <c r="L1048" t="inlineStr">
        <is>
          <t>stable (calc.)</t>
        </is>
      </c>
      <c r="M1048" t="inlineStr">
        <is>
          <t>MEASURED</t>
        </is>
      </c>
      <c r="N1048" s="5" t="inlineStr">
        <is>
          <t>Semrush phrase_these (live, this session)</t>
        </is>
      </c>
      <c r="O1048" t="inlineStr">
        <is>
          <t>2026-10-30</t>
        </is>
      </c>
      <c r="P1048">
        <f>IF(IF(J1048="NOT AVAILABLE","",J1048)="",12,IF(OR(ISNUMBER(SEARCH("Transactional",IF(J1048="NOT AVAILABLE","",J1048))),ISNUMBER(SEARCH("Commercial",IF(J1048="NOT AVAILABLE","",J1048)))),25,IF(ISNUMBER(SEARCH("Informational",IF(J1048="NOT AVAILABLE","",J1048))),10,IF(ISNUMBER(SEARCH("Navigational",IF(J1048="NOT AVAILABLE","",J1048))),0,12))))</f>
        <v/>
      </c>
      <c r="Q1048">
        <f>IF(ISNUMBER(F1048),MIN(30,ROUND(30*LOG10(F1048+1)/4,1)),0)</f>
        <v/>
      </c>
      <c r="R1048">
        <f>IF(ISNUMBER(G1048),ROUND(25*(100-G1048)/100,1),12.5)</f>
        <v/>
      </c>
      <c r="S1048" t="n">
        <v>14</v>
      </c>
      <c r="T1048">
        <f>ROUND(P1048+Q1048+R1048+S1048,0)</f>
        <v/>
      </c>
      <c r="U1048" s="5" t="inlineStr"/>
      <c r="V1048" s="5" t="inlineStr"/>
    </row>
    <row r="1049">
      <c r="A1049" t="inlineStr">
        <is>
          <t>K1047</t>
        </is>
      </c>
      <c r="B1049" t="inlineStr">
        <is>
          <t>comment créer un site internet</t>
        </is>
      </c>
      <c r="C1049" t="inlineStr">
        <is>
          <t>France</t>
        </is>
      </c>
      <c r="D1049" t="inlineStr">
        <is>
          <t>fr</t>
        </is>
      </c>
      <c r="E1049" t="inlineStr">
        <is>
          <t>fr</t>
        </is>
      </c>
      <c r="F1049" t="n">
        <v>2400</v>
      </c>
      <c r="G1049" t="n">
        <v>52</v>
      </c>
      <c r="H1049" t="n">
        <v>2.38</v>
      </c>
      <c r="I1049" t="n">
        <v>0.74</v>
      </c>
      <c r="J1049" t="inlineStr">
        <is>
          <t>Informational</t>
        </is>
      </c>
      <c r="K1049" t="inlineStr">
        <is>
          <t>NOT AVAILABLE (report not requested)</t>
        </is>
      </c>
      <c r="L1049" t="inlineStr">
        <is>
          <t>NOT AVAILABLE</t>
        </is>
      </c>
      <c r="M1049" t="inlineStr">
        <is>
          <t>MEASURED</t>
        </is>
      </c>
      <c r="N1049" s="5" t="inlineStr">
        <is>
          <t>Semrush phrase_questions seed "site internet"</t>
        </is>
      </c>
      <c r="O1049" t="inlineStr">
        <is>
          <t>2026-10-30</t>
        </is>
      </c>
      <c r="P1049">
        <f>IF(IF(J1049="NOT AVAILABLE","",J1049)="",12,IF(OR(ISNUMBER(SEARCH("Transactional",IF(J1049="NOT AVAILABLE","",J1049))),ISNUMBER(SEARCH("Commercial",IF(J1049="NOT AVAILABLE","",J1049)))),25,IF(ISNUMBER(SEARCH("Informational",IF(J1049="NOT AVAILABLE","",J1049))),10,IF(ISNUMBER(SEARCH("Navigational",IF(J1049="NOT AVAILABLE","",J1049))),0,12))))</f>
        <v/>
      </c>
      <c r="Q1049">
        <f>IF(ISNUMBER(F1049),MIN(30,ROUND(30*LOG10(F1049+1)/4,1)),0)</f>
        <v/>
      </c>
      <c r="R1049">
        <f>IF(ISNUMBER(G1049),ROUND(25*(100-G1049)/100,1),12.5)</f>
        <v/>
      </c>
      <c r="S1049" t="n">
        <v>14</v>
      </c>
      <c r="T1049">
        <f>ROUND(P1049+Q1049+R1049+S1049,0)</f>
        <v/>
      </c>
      <c r="U1049" s="5" t="inlineStr"/>
      <c r="V1049" s="5" t="inlineStr"/>
    </row>
    <row r="1050">
      <c r="A1050" t="inlineStr">
        <is>
          <t>K1048</t>
        </is>
      </c>
      <c r="B1050" t="inlineStr">
        <is>
          <t>e-e-a-t</t>
        </is>
      </c>
      <c r="C1050" t="inlineStr">
        <is>
          <t>France</t>
        </is>
      </c>
      <c r="D1050" t="inlineStr">
        <is>
          <t>fr</t>
        </is>
      </c>
      <c r="E1050" t="inlineStr">
        <is>
          <t>fr</t>
        </is>
      </c>
      <c r="F1050" t="n">
        <v>2400</v>
      </c>
      <c r="G1050" t="n">
        <v>36</v>
      </c>
      <c r="H1050" t="n">
        <v>1.34</v>
      </c>
      <c r="I1050" t="n">
        <v>0.08</v>
      </c>
      <c r="J1050" t="inlineStr">
        <is>
          <t>Informational</t>
        </is>
      </c>
      <c r="K1050" t="inlineStr">
        <is>
          <t>NOT AVAILABLE (report not requested)</t>
        </is>
      </c>
      <c r="L1050" t="inlineStr">
        <is>
          <t>rising (calc.)</t>
        </is>
      </c>
      <c r="M1050" t="inlineStr">
        <is>
          <t>MEASURED</t>
        </is>
      </c>
      <c r="N1050" s="5" t="inlineStr">
        <is>
          <t>Semrush phrase_these (live, this session)</t>
        </is>
      </c>
      <c r="O1050" t="inlineStr">
        <is>
          <t>2026-10-30</t>
        </is>
      </c>
      <c r="P1050">
        <f>IF(IF(J1050="NOT AVAILABLE","",J1050)="",12,IF(OR(ISNUMBER(SEARCH("Transactional",IF(J1050="NOT AVAILABLE","",J1050))),ISNUMBER(SEARCH("Commercial",IF(J1050="NOT AVAILABLE","",J1050)))),25,IF(ISNUMBER(SEARCH("Informational",IF(J1050="NOT AVAILABLE","",J1050))),10,IF(ISNUMBER(SEARCH("Navigational",IF(J1050="NOT AVAILABLE","",J1050))),0,12))))</f>
        <v/>
      </c>
      <c r="Q1050">
        <f>IF(ISNUMBER(F1050),MIN(30,ROUND(30*LOG10(F1050+1)/4,1)),0)</f>
        <v/>
      </c>
      <c r="R1050">
        <f>IF(ISNUMBER(G1050),ROUND(25*(100-G1050)/100,1),12.5)</f>
        <v/>
      </c>
      <c r="S1050" t="n">
        <v>14</v>
      </c>
      <c r="T1050">
        <f>ROUND(P1050+Q1050+R1050+S1050,0)</f>
        <v/>
      </c>
      <c r="U1050" s="5" t="inlineStr"/>
      <c r="V1050" s="5" t="inlineStr">
        <is>
          <t>PRIMARY /tools/eeat-signals-checker</t>
        </is>
      </c>
    </row>
    <row r="1051">
      <c r="A1051" t="inlineStr">
        <is>
          <t>K1049</t>
        </is>
      </c>
      <c r="B1051" t="inlineStr">
        <is>
          <t>plateforme e-learning</t>
        </is>
      </c>
      <c r="C1051" t="inlineStr">
        <is>
          <t>France</t>
        </is>
      </c>
      <c r="D1051" t="inlineStr">
        <is>
          <t>fr</t>
        </is>
      </c>
      <c r="E1051" t="inlineStr">
        <is>
          <t>fr</t>
        </is>
      </c>
      <c r="F1051" t="n">
        <v>2400</v>
      </c>
      <c r="G1051" t="n">
        <v>31</v>
      </c>
      <c r="H1051" t="n">
        <v>8.029999999999999</v>
      </c>
      <c r="I1051" t="n">
        <v>0.5600000000000001</v>
      </c>
      <c r="J1051" t="inlineStr">
        <is>
          <t>Informational</t>
        </is>
      </c>
      <c r="K1051" t="inlineStr">
        <is>
          <t>NOT AVAILABLE (report not requested)</t>
        </is>
      </c>
      <c r="L1051" t="inlineStr">
        <is>
          <t>declining (calc.)</t>
        </is>
      </c>
      <c r="M1051" t="inlineStr">
        <is>
          <t>MEASURED</t>
        </is>
      </c>
      <c r="N1051" s="5" t="inlineStr">
        <is>
          <t>Semrush phrase_these (live, this session)</t>
        </is>
      </c>
      <c r="O1051" t="inlineStr">
        <is>
          <t>2026-10-30</t>
        </is>
      </c>
      <c r="P1051">
        <f>IF(IF(J1051="NOT AVAILABLE","",J1051)="",12,IF(OR(ISNUMBER(SEARCH("Transactional",IF(J1051="NOT AVAILABLE","",J1051))),ISNUMBER(SEARCH("Commercial",IF(J1051="NOT AVAILABLE","",J1051)))),25,IF(ISNUMBER(SEARCH("Informational",IF(J1051="NOT AVAILABLE","",J1051))),10,IF(ISNUMBER(SEARCH("Navigational",IF(J1051="NOT AVAILABLE","",J1051))),0,12))))</f>
        <v/>
      </c>
      <c r="Q1051">
        <f>IF(ISNUMBER(F1051),MIN(30,ROUND(30*LOG10(F1051+1)/4,1)),0)</f>
        <v/>
      </c>
      <c r="R1051">
        <f>IF(ISNUMBER(G1051),ROUND(25*(100-G1051)/100,1),12.5)</f>
        <v/>
      </c>
      <c r="S1051" t="n">
        <v>14</v>
      </c>
      <c r="T1051">
        <f>ROUND(P1051+Q1051+R1051+S1051,0)</f>
        <v/>
      </c>
      <c r="U1051" s="5" t="inlineStr"/>
      <c r="V1051" s="5" t="inlineStr">
        <is>
          <t>NOT RECOMMENDED /services/education-website-development; PRIMARY /services/elearning-platform-development</t>
        </is>
      </c>
    </row>
    <row r="1052">
      <c r="A1052" t="inlineStr">
        <is>
          <t>K1050</t>
        </is>
      </c>
      <c r="B1052" t="inlineStr">
        <is>
          <t>site immobilier</t>
        </is>
      </c>
      <c r="C1052" t="inlineStr">
        <is>
          <t>France</t>
        </is>
      </c>
      <c r="D1052" t="inlineStr">
        <is>
          <t>fr</t>
        </is>
      </c>
      <c r="E1052" t="inlineStr">
        <is>
          <t>fr</t>
        </is>
      </c>
      <c r="F1052" t="n">
        <v>2400</v>
      </c>
      <c r="G1052" t="n">
        <v>12</v>
      </c>
      <c r="H1052" t="n">
        <v>0.33</v>
      </c>
      <c r="I1052" t="n">
        <v>0.58</v>
      </c>
      <c r="J1052" t="inlineStr">
        <is>
          <t>Informational</t>
        </is>
      </c>
      <c r="K1052" t="inlineStr">
        <is>
          <t>NOT AVAILABLE (report not requested)</t>
        </is>
      </c>
      <c r="L1052" t="inlineStr">
        <is>
          <t>stable (calc.)</t>
        </is>
      </c>
      <c r="M1052" t="inlineStr">
        <is>
          <t>MEASURED</t>
        </is>
      </c>
      <c r="N1052" s="5" t="inlineStr">
        <is>
          <t>Semrush phrase_these (live, this session)</t>
        </is>
      </c>
      <c r="O1052" t="inlineStr">
        <is>
          <t>2026-10-30</t>
        </is>
      </c>
      <c r="P1052">
        <f>IF(IF(J1052="NOT AVAILABLE","",J1052)="",12,IF(OR(ISNUMBER(SEARCH("Transactional",IF(J1052="NOT AVAILABLE","",J1052))),ISNUMBER(SEARCH("Commercial",IF(J1052="NOT AVAILABLE","",J1052)))),25,IF(ISNUMBER(SEARCH("Informational",IF(J1052="NOT AVAILABLE","",J1052))),10,IF(ISNUMBER(SEARCH("Navigational",IF(J1052="NOT AVAILABLE","",J1052))),0,12))))</f>
        <v/>
      </c>
      <c r="Q1052">
        <f>IF(ISNUMBER(F1052),MIN(30,ROUND(30*LOG10(F1052+1)/4,1)),0)</f>
        <v/>
      </c>
      <c r="R1052">
        <f>IF(ISNUMBER(G1052),ROUND(25*(100-G1052)/100,1),12.5)</f>
        <v/>
      </c>
      <c r="S1052" t="n">
        <v>14</v>
      </c>
      <c r="T1052">
        <f>ROUND(P1052+Q1052+R1052+S1052,0)</f>
        <v/>
      </c>
      <c r="U1052" s="5" t="inlineStr"/>
      <c r="V1052" s="5" t="inlineStr">
        <is>
          <t>NOT RECOMMENDED /services/real-estate-website-development</t>
        </is>
      </c>
    </row>
    <row r="1053">
      <c r="A1053" t="inlineStr">
        <is>
          <t>K1051</t>
        </is>
      </c>
      <c r="B1053" t="inlineStr">
        <is>
          <t>webdesigner</t>
        </is>
      </c>
      <c r="C1053" t="inlineStr">
        <is>
          <t>France</t>
        </is>
      </c>
      <c r="D1053" t="inlineStr">
        <is>
          <t>fr</t>
        </is>
      </c>
      <c r="E1053" t="inlineStr">
        <is>
          <t>fr</t>
        </is>
      </c>
      <c r="F1053" t="n">
        <v>2400</v>
      </c>
      <c r="G1053" t="n">
        <v>25</v>
      </c>
      <c r="H1053" t="n">
        <v>1.87</v>
      </c>
      <c r="I1053" t="n">
        <v>0.38</v>
      </c>
      <c r="J1053" t="inlineStr">
        <is>
          <t>Commercial</t>
        </is>
      </c>
      <c r="K1053" t="inlineStr">
        <is>
          <t>NOT AVAILABLE (report not requested)</t>
        </is>
      </c>
      <c r="L1053" t="inlineStr">
        <is>
          <t>declining (calc.)</t>
        </is>
      </c>
      <c r="M1053" t="inlineStr">
        <is>
          <t>MEASURED</t>
        </is>
      </c>
      <c r="N1053" s="5" t="inlineStr">
        <is>
          <t>Semrush phrase_these (live, this session)</t>
        </is>
      </c>
      <c r="O1053" t="inlineStr">
        <is>
          <t>2026-10-30</t>
        </is>
      </c>
      <c r="P1053">
        <f>IF(IF(J1053="NOT AVAILABLE","",J1053)="",12,IF(OR(ISNUMBER(SEARCH("Transactional",IF(J1053="NOT AVAILABLE","",J1053))),ISNUMBER(SEARCH("Commercial",IF(J1053="NOT AVAILABLE","",J1053)))),25,IF(ISNUMBER(SEARCH("Informational",IF(J1053="NOT AVAILABLE","",J1053))),10,IF(ISNUMBER(SEARCH("Navigational",IF(J1053="NOT AVAILABLE","",J1053))),0,12))))</f>
        <v/>
      </c>
      <c r="Q1053">
        <f>IF(ISNUMBER(F1053),MIN(30,ROUND(30*LOG10(F1053+1)/4,1)),0)</f>
        <v/>
      </c>
      <c r="R1053">
        <f>IF(ISNUMBER(G1053),ROUND(25*(100-G1053)/100,1),12.5)</f>
        <v/>
      </c>
      <c r="S1053" t="n">
        <v>14</v>
      </c>
      <c r="T1053">
        <f>ROUND(P1053+Q1053+R1053+S1053,0)</f>
        <v/>
      </c>
      <c r="U1053" s="5" t="inlineStr"/>
      <c r="V1053" s="5" t="inlineStr"/>
    </row>
    <row r="1054">
      <c r="A1054" t="inlineStr">
        <is>
          <t>K1052</t>
        </is>
      </c>
      <c r="B1054" t="inlineStr">
        <is>
          <t>agence e-commerce</t>
        </is>
      </c>
      <c r="C1054" t="inlineStr">
        <is>
          <t>France</t>
        </is>
      </c>
      <c r="D1054" t="inlineStr">
        <is>
          <t>fr</t>
        </is>
      </c>
      <c r="E1054" t="inlineStr">
        <is>
          <t>fr</t>
        </is>
      </c>
      <c r="F1054" t="n">
        <v>1900</v>
      </c>
      <c r="G1054" t="n">
        <v>36</v>
      </c>
      <c r="H1054" t="n">
        <v>4.46</v>
      </c>
      <c r="I1054" t="n">
        <v>0.16</v>
      </c>
      <c r="J1054" t="inlineStr">
        <is>
          <t>Commercial</t>
        </is>
      </c>
      <c r="K1054" t="inlineStr">
        <is>
          <t>NOT AVAILABLE (report not requested)</t>
        </is>
      </c>
      <c r="L1054" t="inlineStr">
        <is>
          <t>declining (calc.)</t>
        </is>
      </c>
      <c r="M1054" t="inlineStr">
        <is>
          <t>MEASURED</t>
        </is>
      </c>
      <c r="N1054" s="5" t="inlineStr">
        <is>
          <t>Semrush phrase_these (live, this session)</t>
        </is>
      </c>
      <c r="O1054" t="inlineStr">
        <is>
          <t>2026-10-30</t>
        </is>
      </c>
      <c r="P1054">
        <f>IF(IF(J1054="NOT AVAILABLE","",J1054)="",12,IF(OR(ISNUMBER(SEARCH("Transactional",IF(J1054="NOT AVAILABLE","",J1054))),ISNUMBER(SEARCH("Commercial",IF(J1054="NOT AVAILABLE","",J1054)))),25,IF(ISNUMBER(SEARCH("Informational",IF(J1054="NOT AVAILABLE","",J1054))),10,IF(ISNUMBER(SEARCH("Navigational",IF(J1054="NOT AVAILABLE","",J1054))),0,12))))</f>
        <v/>
      </c>
      <c r="Q1054">
        <f>IF(ISNUMBER(F1054),MIN(30,ROUND(30*LOG10(F1054+1)/4,1)),0)</f>
        <v/>
      </c>
      <c r="R1054">
        <f>IF(ISNUMBER(G1054),ROUND(25*(100-G1054)/100,1),12.5)</f>
        <v/>
      </c>
      <c r="S1054" t="n">
        <v>14</v>
      </c>
      <c r="T1054">
        <f>ROUND(P1054+Q1054+R1054+S1054,0)</f>
        <v/>
      </c>
      <c r="U1054" s="5" t="inlineStr"/>
      <c r="V1054" s="5" t="inlineStr">
        <is>
          <t>SECONDARY /services/ecommerce-website-development</t>
        </is>
      </c>
    </row>
    <row r="1055">
      <c r="A1055" t="inlineStr">
        <is>
          <t>K1053</t>
        </is>
      </c>
      <c r="B1055" t="inlineStr">
        <is>
          <t>agence web toulouse</t>
        </is>
      </c>
      <c r="C1055" t="inlineStr">
        <is>
          <t>France</t>
        </is>
      </c>
      <c r="D1055" t="inlineStr">
        <is>
          <t>fr</t>
        </is>
      </c>
      <c r="E1055" t="inlineStr">
        <is>
          <t>fr</t>
        </is>
      </c>
      <c r="F1055" t="n">
        <v>1900</v>
      </c>
      <c r="G1055" t="n">
        <v>32</v>
      </c>
      <c r="H1055" t="n">
        <v>2.42</v>
      </c>
      <c r="I1055" t="n">
        <v>0.27</v>
      </c>
      <c r="J1055" t="inlineStr">
        <is>
          <t>Commercial</t>
        </is>
      </c>
      <c r="K1055" t="inlineStr">
        <is>
          <t>NOT AVAILABLE (report not requested)</t>
        </is>
      </c>
      <c r="L1055" t="inlineStr">
        <is>
          <t>stable (calc.)</t>
        </is>
      </c>
      <c r="M1055" t="inlineStr">
        <is>
          <t>MEASURED</t>
        </is>
      </c>
      <c r="N1055" s="5" t="inlineStr">
        <is>
          <t>Semrush phrase_these (live, this session)</t>
        </is>
      </c>
      <c r="O1055" t="inlineStr">
        <is>
          <t>2026-10-30</t>
        </is>
      </c>
      <c r="P1055">
        <f>IF(IF(J1055="NOT AVAILABLE","",J1055)="",12,IF(OR(ISNUMBER(SEARCH("Transactional",IF(J1055="NOT AVAILABLE","",J1055))),ISNUMBER(SEARCH("Commercial",IF(J1055="NOT AVAILABLE","",J1055)))),25,IF(ISNUMBER(SEARCH("Informational",IF(J1055="NOT AVAILABLE","",J1055))),10,IF(ISNUMBER(SEARCH("Navigational",IF(J1055="NOT AVAILABLE","",J1055))),0,12))))</f>
        <v/>
      </c>
      <c r="Q1055">
        <f>IF(ISNUMBER(F1055),MIN(30,ROUND(30*LOG10(F1055+1)/4,1)),0)</f>
        <v/>
      </c>
      <c r="R1055">
        <f>IF(ISNUMBER(G1055),ROUND(25*(100-G1055)/100,1),12.5)</f>
        <v/>
      </c>
      <c r="S1055" t="n">
        <v>14</v>
      </c>
      <c r="T1055">
        <f>ROUND(P1055+Q1055+R1055+S1055,0)</f>
        <v/>
      </c>
      <c r="U1055" s="5" t="inlineStr"/>
      <c r="V1055" s="5" t="inlineStr"/>
    </row>
    <row r="1056">
      <c r="A1056" t="inlineStr">
        <is>
          <t>K1054</t>
        </is>
      </c>
      <c r="B1056" t="inlineStr">
        <is>
          <t>audit seo gratuit</t>
        </is>
      </c>
      <c r="C1056" t="inlineStr">
        <is>
          <t>France</t>
        </is>
      </c>
      <c r="D1056" t="inlineStr">
        <is>
          <t>fr</t>
        </is>
      </c>
      <c r="E1056" t="inlineStr">
        <is>
          <t>fr</t>
        </is>
      </c>
      <c r="F1056" t="n">
        <v>1900</v>
      </c>
      <c r="G1056" t="n">
        <v>31</v>
      </c>
      <c r="H1056" t="n">
        <v>2.46</v>
      </c>
      <c r="I1056" t="n">
        <v>0.36</v>
      </c>
      <c r="J1056" t="inlineStr">
        <is>
          <t>Informational</t>
        </is>
      </c>
      <c r="K1056" t="inlineStr">
        <is>
          <t>NOT AVAILABLE (report not requested)</t>
        </is>
      </c>
      <c r="L1056" t="inlineStr">
        <is>
          <t>stable (calc.)</t>
        </is>
      </c>
      <c r="M1056" t="inlineStr">
        <is>
          <t>MEASURED</t>
        </is>
      </c>
      <c r="N1056" s="5" t="inlineStr">
        <is>
          <t>Semrush phrase_these (live, this session)</t>
        </is>
      </c>
      <c r="O1056" t="inlineStr">
        <is>
          <t>2026-10-30</t>
        </is>
      </c>
      <c r="P1056">
        <f>IF(IF(J1056="NOT AVAILABLE","",J1056)="",12,IF(OR(ISNUMBER(SEARCH("Transactional",IF(J1056="NOT AVAILABLE","",J1056))),ISNUMBER(SEARCH("Commercial",IF(J1056="NOT AVAILABLE","",J1056)))),25,IF(ISNUMBER(SEARCH("Informational",IF(J1056="NOT AVAILABLE","",J1056))),10,IF(ISNUMBER(SEARCH("Navigational",IF(J1056="NOT AVAILABLE","",J1056))),0,12))))</f>
        <v/>
      </c>
      <c r="Q1056">
        <f>IF(ISNUMBER(F1056),MIN(30,ROUND(30*LOG10(F1056+1)/4,1)),0)</f>
        <v/>
      </c>
      <c r="R1056">
        <f>IF(ISNUMBER(G1056),ROUND(25*(100-G1056)/100,1),12.5)</f>
        <v/>
      </c>
      <c r="S1056" t="n">
        <v>14</v>
      </c>
      <c r="T1056">
        <f>ROUND(P1056+Q1056+R1056+S1056,0)</f>
        <v/>
      </c>
      <c r="U1056" s="5" t="inlineStr"/>
      <c r="V1056" s="5" t="inlineStr">
        <is>
          <t>PRIMARY /tools/website-analyzer</t>
        </is>
      </c>
    </row>
    <row r="1057">
      <c r="A1057" t="inlineStr">
        <is>
          <t>K1055</t>
        </is>
      </c>
      <c r="B1057" t="inlineStr">
        <is>
          <t>base64 encode</t>
        </is>
      </c>
      <c r="C1057" t="inlineStr">
        <is>
          <t>France</t>
        </is>
      </c>
      <c r="D1057" t="inlineStr">
        <is>
          <t>fr</t>
        </is>
      </c>
      <c r="E1057" t="inlineStr">
        <is>
          <t>fr</t>
        </is>
      </c>
      <c r="F1057" t="n">
        <v>1900</v>
      </c>
      <c r="G1057" t="n">
        <v>69</v>
      </c>
      <c r="H1057" t="n">
        <v>0</v>
      </c>
      <c r="I1057" t="n">
        <v>0.33</v>
      </c>
      <c r="J1057" t="inlineStr">
        <is>
          <t>Informational</t>
        </is>
      </c>
      <c r="K1057" t="inlineStr">
        <is>
          <t>NOT AVAILABLE (report not requested)</t>
        </is>
      </c>
      <c r="L1057" t="inlineStr">
        <is>
          <t>stable (calc.)</t>
        </is>
      </c>
      <c r="M1057" t="inlineStr">
        <is>
          <t>MEASURED</t>
        </is>
      </c>
      <c r="N1057" s="5" t="inlineStr">
        <is>
          <t>Semrush phrase_these (live, this session)</t>
        </is>
      </c>
      <c r="O1057" t="inlineStr">
        <is>
          <t>2026-10-30</t>
        </is>
      </c>
      <c r="P1057">
        <f>IF(IF(J1057="NOT AVAILABLE","",J1057)="",12,IF(OR(ISNUMBER(SEARCH("Transactional",IF(J1057="NOT AVAILABLE","",J1057))),ISNUMBER(SEARCH("Commercial",IF(J1057="NOT AVAILABLE","",J1057)))),25,IF(ISNUMBER(SEARCH("Informational",IF(J1057="NOT AVAILABLE","",J1057))),10,IF(ISNUMBER(SEARCH("Navigational",IF(J1057="NOT AVAILABLE","",J1057))),0,12))))</f>
        <v/>
      </c>
      <c r="Q1057">
        <f>IF(ISNUMBER(F1057),MIN(30,ROUND(30*LOG10(F1057+1)/4,1)),0)</f>
        <v/>
      </c>
      <c r="R1057">
        <f>IF(ISNUMBER(G1057),ROUND(25*(100-G1057)/100,1),12.5)</f>
        <v/>
      </c>
      <c r="S1057" t="n">
        <v>14</v>
      </c>
      <c r="T1057">
        <f>ROUND(P1057+Q1057+R1057+S1057,0)</f>
        <v/>
      </c>
      <c r="U1057" s="5" t="inlineStr"/>
      <c r="V1057" s="5" t="inlineStr">
        <is>
          <t>SECONDARY /tools/base64-encoder</t>
        </is>
      </c>
    </row>
    <row r="1058">
      <c r="A1058" t="inlineStr">
        <is>
          <t>K1056</t>
        </is>
      </c>
      <c r="B1058" t="inlineStr">
        <is>
          <t>core web vitals</t>
        </is>
      </c>
      <c r="C1058" t="inlineStr">
        <is>
          <t>France</t>
        </is>
      </c>
      <c r="D1058" t="inlineStr">
        <is>
          <t>fr</t>
        </is>
      </c>
      <c r="E1058" t="inlineStr">
        <is>
          <t>fr</t>
        </is>
      </c>
      <c r="F1058" t="n">
        <v>1900</v>
      </c>
      <c r="G1058" t="n">
        <v>36</v>
      </c>
      <c r="H1058" t="n">
        <v>1.52</v>
      </c>
      <c r="I1058" t="n">
        <v>0.27</v>
      </c>
      <c r="J1058" t="inlineStr">
        <is>
          <t>Informational</t>
        </is>
      </c>
      <c r="K1058" t="inlineStr">
        <is>
          <t>NOT AVAILABLE (report not requested)</t>
        </is>
      </c>
      <c r="L1058" t="inlineStr">
        <is>
          <t>rising (calc.)</t>
        </is>
      </c>
      <c r="M1058" t="inlineStr">
        <is>
          <t>MEASURED</t>
        </is>
      </c>
      <c r="N1058" s="5" t="inlineStr">
        <is>
          <t>Semrush phrase_these (live, this session)</t>
        </is>
      </c>
      <c r="O1058" t="inlineStr">
        <is>
          <t>2026-10-30</t>
        </is>
      </c>
      <c r="P1058">
        <f>IF(IF(J1058="NOT AVAILABLE","",J1058)="",12,IF(OR(ISNUMBER(SEARCH("Transactional",IF(J1058="NOT AVAILABLE","",J1058))),ISNUMBER(SEARCH("Commercial",IF(J1058="NOT AVAILABLE","",J1058)))),25,IF(ISNUMBER(SEARCH("Informational",IF(J1058="NOT AVAILABLE","",J1058))),10,IF(ISNUMBER(SEARCH("Navigational",IF(J1058="NOT AVAILABLE","",J1058))),0,12))))</f>
        <v/>
      </c>
      <c r="Q1058">
        <f>IF(ISNUMBER(F1058),MIN(30,ROUND(30*LOG10(F1058+1)/4,1)),0)</f>
        <v/>
      </c>
      <c r="R1058">
        <f>IF(ISNUMBER(G1058),ROUND(25*(100-G1058)/100,1),12.5)</f>
        <v/>
      </c>
      <c r="S1058" t="n">
        <v>14</v>
      </c>
      <c r="T1058">
        <f>ROUND(P1058+Q1058+R1058+S1058,0)</f>
        <v/>
      </c>
      <c r="U1058" s="5" t="inlineStr"/>
      <c r="V1058" s="5" t="inlineStr">
        <is>
          <t>SECONDARY /tools/core-web-vitals-checker</t>
        </is>
      </c>
    </row>
    <row r="1059">
      <c r="A1059" t="inlineStr">
        <is>
          <t>K1057</t>
        </is>
      </c>
      <c r="B1059" t="inlineStr">
        <is>
          <t>création site vitrine</t>
        </is>
      </c>
      <c r="C1059" t="inlineStr">
        <is>
          <t>France</t>
        </is>
      </c>
      <c r="D1059" t="inlineStr">
        <is>
          <t>fr</t>
        </is>
      </c>
      <c r="E1059" t="inlineStr">
        <is>
          <t>fr</t>
        </is>
      </c>
      <c r="F1059" t="n">
        <v>1900</v>
      </c>
      <c r="G1059" t="n">
        <v>23</v>
      </c>
      <c r="H1059" t="n">
        <v>3.89</v>
      </c>
      <c r="I1059" t="n">
        <v>0.38</v>
      </c>
      <c r="J1059" t="inlineStr">
        <is>
          <t>Informational</t>
        </is>
      </c>
      <c r="K1059" t="inlineStr">
        <is>
          <t>NOT AVAILABLE (report not requested)</t>
        </is>
      </c>
      <c r="L1059" t="inlineStr">
        <is>
          <t>declining (calc.)</t>
        </is>
      </c>
      <c r="M1059" t="inlineStr">
        <is>
          <t>MEASURED</t>
        </is>
      </c>
      <c r="N1059" s="5" t="inlineStr">
        <is>
          <t>Semrush phrase_these (live, this session)</t>
        </is>
      </c>
      <c r="O1059" t="inlineStr">
        <is>
          <t>2026-10-30</t>
        </is>
      </c>
      <c r="P1059">
        <f>IF(IF(J1059="NOT AVAILABLE","",J1059)="",12,IF(OR(ISNUMBER(SEARCH("Transactional",IF(J1059="NOT AVAILABLE","",J1059))),ISNUMBER(SEARCH("Commercial",IF(J1059="NOT AVAILABLE","",J1059)))),25,IF(ISNUMBER(SEARCH("Informational",IF(J1059="NOT AVAILABLE","",J1059))),10,IF(ISNUMBER(SEARCH("Navigational",IF(J1059="NOT AVAILABLE","",J1059))),0,12))))</f>
        <v/>
      </c>
      <c r="Q1059">
        <f>IF(ISNUMBER(F1059),MIN(30,ROUND(30*LOG10(F1059+1)/4,1)),0)</f>
        <v/>
      </c>
      <c r="R1059">
        <f>IF(ISNUMBER(G1059),ROUND(25*(100-G1059)/100,1),12.5)</f>
        <v/>
      </c>
      <c r="S1059" t="n">
        <v>14</v>
      </c>
      <c r="T1059">
        <f>ROUND(P1059+Q1059+R1059+S1059,0)</f>
        <v/>
      </c>
      <c r="U1059" s="5" t="inlineStr"/>
      <c r="V1059" s="5" t="inlineStr"/>
    </row>
    <row r="1060">
      <c r="A1060" t="inlineStr">
        <is>
          <t>K1058</t>
        </is>
      </c>
      <c r="B1060" t="inlineStr">
        <is>
          <t>geo seo</t>
        </is>
      </c>
      <c r="C1060" t="inlineStr">
        <is>
          <t>France</t>
        </is>
      </c>
      <c r="D1060" t="inlineStr">
        <is>
          <t>fr</t>
        </is>
      </c>
      <c r="E1060" t="inlineStr">
        <is>
          <t>fr</t>
        </is>
      </c>
      <c r="F1060" t="n">
        <v>1900</v>
      </c>
      <c r="G1060" t="n">
        <v>34</v>
      </c>
      <c r="H1060" t="n">
        <v>1.53</v>
      </c>
      <c r="I1060" t="n">
        <v>0.32</v>
      </c>
      <c r="J1060" t="inlineStr">
        <is>
          <t>Informational</t>
        </is>
      </c>
      <c r="K1060" t="inlineStr">
        <is>
          <t>NOT AVAILABLE (report not requested)</t>
        </is>
      </c>
      <c r="L1060" t="inlineStr">
        <is>
          <t>rising (calc.)</t>
        </is>
      </c>
      <c r="M1060" t="inlineStr">
        <is>
          <t>MEASURED</t>
        </is>
      </c>
      <c r="N1060" s="5" t="inlineStr">
        <is>
          <t>Semrush phrase_these (live, this session)</t>
        </is>
      </c>
      <c r="O1060" t="inlineStr">
        <is>
          <t>2026-10-30</t>
        </is>
      </c>
      <c r="P1060">
        <f>IF(IF(J1060="NOT AVAILABLE","",J1060)="",12,IF(OR(ISNUMBER(SEARCH("Transactional",IF(J1060="NOT AVAILABLE","",J1060))),ISNUMBER(SEARCH("Commercial",IF(J1060="NOT AVAILABLE","",J1060)))),25,IF(ISNUMBER(SEARCH("Informational",IF(J1060="NOT AVAILABLE","",J1060))),10,IF(ISNUMBER(SEARCH("Navigational",IF(J1060="NOT AVAILABLE","",J1060))),0,12))))</f>
        <v/>
      </c>
      <c r="Q1060">
        <f>IF(ISNUMBER(F1060),MIN(30,ROUND(30*LOG10(F1060+1)/4,1)),0)</f>
        <v/>
      </c>
      <c r="R1060">
        <f>IF(ISNUMBER(G1060),ROUND(25*(100-G1060)/100,1),12.5)</f>
        <v/>
      </c>
      <c r="S1060" t="n">
        <v>14</v>
      </c>
      <c r="T1060">
        <f>ROUND(P1060+Q1060+R1060+S1060,0)</f>
        <v/>
      </c>
      <c r="U1060" s="5" t="inlineStr"/>
      <c r="V1060" s="5" t="inlineStr">
        <is>
          <t>PRIMARY /tools/ai-readiness-checker</t>
        </is>
      </c>
    </row>
    <row r="1061">
      <c r="A1061" t="inlineStr">
        <is>
          <t>K1059</t>
        </is>
      </c>
      <c r="B1061" t="inlineStr">
        <is>
          <t>llms.txt</t>
        </is>
      </c>
      <c r="C1061" t="inlineStr">
        <is>
          <t>France</t>
        </is>
      </c>
      <c r="D1061" t="inlineStr">
        <is>
          <t>fr</t>
        </is>
      </c>
      <c r="E1061" t="inlineStr">
        <is>
          <t>fr</t>
        </is>
      </c>
      <c r="F1061" t="n">
        <v>1900</v>
      </c>
      <c r="G1061" t="n">
        <v>31</v>
      </c>
      <c r="H1061" t="n">
        <v>0.23</v>
      </c>
      <c r="I1061" t="n">
        <v>0.1</v>
      </c>
      <c r="J1061" t="inlineStr">
        <is>
          <t>Informational</t>
        </is>
      </c>
      <c r="K1061" t="inlineStr">
        <is>
          <t>NOT AVAILABLE (report not requested)</t>
        </is>
      </c>
      <c r="L1061" t="inlineStr">
        <is>
          <t>declining (calc.)</t>
        </is>
      </c>
      <c r="M1061" t="inlineStr">
        <is>
          <t>MEASURED</t>
        </is>
      </c>
      <c r="N1061" s="5" t="inlineStr">
        <is>
          <t>Semrush phrase_these (live, this session)</t>
        </is>
      </c>
      <c r="O1061" t="inlineStr">
        <is>
          <t>2026-10-30</t>
        </is>
      </c>
      <c r="P1061">
        <f>IF(IF(J1061="NOT AVAILABLE","",J1061)="",12,IF(OR(ISNUMBER(SEARCH("Transactional",IF(J1061="NOT AVAILABLE","",J1061))),ISNUMBER(SEARCH("Commercial",IF(J1061="NOT AVAILABLE","",J1061)))),25,IF(ISNUMBER(SEARCH("Informational",IF(J1061="NOT AVAILABLE","",J1061))),10,IF(ISNUMBER(SEARCH("Navigational",IF(J1061="NOT AVAILABLE","",J1061))),0,12))))</f>
        <v/>
      </c>
      <c r="Q1061">
        <f>IF(ISNUMBER(F1061),MIN(30,ROUND(30*LOG10(F1061+1)/4,1)),0)</f>
        <v/>
      </c>
      <c r="R1061">
        <f>IF(ISNUMBER(G1061),ROUND(25*(100-G1061)/100,1),12.5)</f>
        <v/>
      </c>
      <c r="S1061" t="n">
        <v>14</v>
      </c>
      <c r="T1061">
        <f>ROUND(P1061+Q1061+R1061+S1061,0)</f>
        <v/>
      </c>
      <c r="U1061" s="5" t="inlineStr"/>
      <c r="V1061" s="5" t="inlineStr">
        <is>
          <t>PRIMARY /tools/llms-txt-generator</t>
        </is>
      </c>
    </row>
    <row r="1062">
      <c r="A1062" t="inlineStr">
        <is>
          <t>K1060</t>
        </is>
      </c>
      <c r="B1062" t="inlineStr">
        <is>
          <t>maillage interne</t>
        </is>
      </c>
      <c r="C1062" t="inlineStr">
        <is>
          <t>France</t>
        </is>
      </c>
      <c r="D1062" t="inlineStr">
        <is>
          <t>fr</t>
        </is>
      </c>
      <c r="E1062" t="inlineStr">
        <is>
          <t>fr</t>
        </is>
      </c>
      <c r="F1062" t="n">
        <v>1900</v>
      </c>
      <c r="G1062" t="n">
        <v>25</v>
      </c>
      <c r="H1062" t="n">
        <v>1.76</v>
      </c>
      <c r="I1062" t="n">
        <v>0.01</v>
      </c>
      <c r="J1062" t="inlineStr">
        <is>
          <t>Informational</t>
        </is>
      </c>
      <c r="K1062" t="inlineStr">
        <is>
          <t>NOT AVAILABLE (report not requested)</t>
        </is>
      </c>
      <c r="L1062" t="inlineStr">
        <is>
          <t>declining (calc.)</t>
        </is>
      </c>
      <c r="M1062" t="inlineStr">
        <is>
          <t>MEASURED</t>
        </is>
      </c>
      <c r="N1062" s="5" t="inlineStr">
        <is>
          <t>Semrush phrase_these (live, this session)</t>
        </is>
      </c>
      <c r="O1062" t="inlineStr">
        <is>
          <t>2026-10-30</t>
        </is>
      </c>
      <c r="P1062">
        <f>IF(IF(J1062="NOT AVAILABLE","",J1062)="",12,IF(OR(ISNUMBER(SEARCH("Transactional",IF(J1062="NOT AVAILABLE","",J1062))),ISNUMBER(SEARCH("Commercial",IF(J1062="NOT AVAILABLE","",J1062)))),25,IF(ISNUMBER(SEARCH("Informational",IF(J1062="NOT AVAILABLE","",J1062))),10,IF(ISNUMBER(SEARCH("Navigational",IF(J1062="NOT AVAILABLE","",J1062))),0,12))))</f>
        <v/>
      </c>
      <c r="Q1062">
        <f>IF(ISNUMBER(F1062),MIN(30,ROUND(30*LOG10(F1062+1)/4,1)),0)</f>
        <v/>
      </c>
      <c r="R1062">
        <f>IF(ISNUMBER(G1062),ROUND(25*(100-G1062)/100,1),12.5)</f>
        <v/>
      </c>
      <c r="S1062" t="n">
        <v>14</v>
      </c>
      <c r="T1062">
        <f>ROUND(P1062+Q1062+R1062+S1062,0)</f>
        <v/>
      </c>
      <c r="U1062" s="5" t="inlineStr"/>
      <c r="V1062" s="5" t="inlineStr">
        <is>
          <t>PRIMARY /tools/internal-link-analyzer</t>
        </is>
      </c>
    </row>
    <row r="1063">
      <c r="A1063" t="inlineStr">
        <is>
          <t>K1061</t>
        </is>
      </c>
      <c r="B1063" t="inlineStr">
        <is>
          <t>outil seo</t>
        </is>
      </c>
      <c r="C1063" t="inlineStr">
        <is>
          <t>France</t>
        </is>
      </c>
      <c r="D1063" t="inlineStr">
        <is>
          <t>fr</t>
        </is>
      </c>
      <c r="E1063" t="inlineStr">
        <is>
          <t>fr</t>
        </is>
      </c>
      <c r="F1063" t="n">
        <v>1900</v>
      </c>
      <c r="G1063" t="n">
        <v>44</v>
      </c>
      <c r="H1063" t="n">
        <v>2.45</v>
      </c>
      <c r="I1063" t="n">
        <v>0.54</v>
      </c>
      <c r="J1063" t="inlineStr">
        <is>
          <t>Informational</t>
        </is>
      </c>
      <c r="K1063" t="inlineStr">
        <is>
          <t>NOT AVAILABLE (report not requested)</t>
        </is>
      </c>
      <c r="L1063" t="inlineStr">
        <is>
          <t>stable (calc.)</t>
        </is>
      </c>
      <c r="M1063" t="inlineStr">
        <is>
          <t>MEASURED</t>
        </is>
      </c>
      <c r="N1063" s="5" t="inlineStr">
        <is>
          <t>Semrush phrase_these (live, this session)</t>
        </is>
      </c>
      <c r="O1063" t="inlineStr">
        <is>
          <t>2026-10-30</t>
        </is>
      </c>
      <c r="P1063">
        <f>IF(IF(J1063="NOT AVAILABLE","",J1063)="",12,IF(OR(ISNUMBER(SEARCH("Transactional",IF(J1063="NOT AVAILABLE","",J1063))),ISNUMBER(SEARCH("Commercial",IF(J1063="NOT AVAILABLE","",J1063)))),25,IF(ISNUMBER(SEARCH("Informational",IF(J1063="NOT AVAILABLE","",J1063))),10,IF(ISNUMBER(SEARCH("Navigational",IF(J1063="NOT AVAILABLE","",J1063))),0,12))))</f>
        <v/>
      </c>
      <c r="Q1063">
        <f>IF(ISNUMBER(F1063),MIN(30,ROUND(30*LOG10(F1063+1)/4,1)),0)</f>
        <v/>
      </c>
      <c r="R1063">
        <f>IF(ISNUMBER(G1063),ROUND(25*(100-G1063)/100,1),12.5)</f>
        <v/>
      </c>
      <c r="S1063" t="n">
        <v>14</v>
      </c>
      <c r="T1063">
        <f>ROUND(P1063+Q1063+R1063+S1063,0)</f>
        <v/>
      </c>
      <c r="U1063" s="5" t="inlineStr"/>
      <c r="V1063" s="5" t="inlineStr">
        <is>
          <t>SUPPORTING /tools</t>
        </is>
      </c>
    </row>
    <row r="1064">
      <c r="A1064" t="inlineStr">
        <is>
          <t>K1062</t>
        </is>
      </c>
      <c r="B1064" t="inlineStr">
        <is>
          <t>refonte site web</t>
        </is>
      </c>
      <c r="C1064" t="inlineStr">
        <is>
          <t>France</t>
        </is>
      </c>
      <c r="D1064" t="inlineStr">
        <is>
          <t>fr</t>
        </is>
      </c>
      <c r="E1064" t="inlineStr">
        <is>
          <t>fr</t>
        </is>
      </c>
      <c r="F1064" t="n">
        <v>1900</v>
      </c>
      <c r="G1064" t="n">
        <v>24</v>
      </c>
      <c r="H1064" t="n">
        <v>4.34</v>
      </c>
      <c r="I1064" t="n">
        <v>0.14</v>
      </c>
      <c r="J1064" t="inlineStr">
        <is>
          <t>Informational</t>
        </is>
      </c>
      <c r="K1064" t="inlineStr">
        <is>
          <t>NOT AVAILABLE (report not requested)</t>
        </is>
      </c>
      <c r="L1064" t="inlineStr">
        <is>
          <t>declining (calc.)</t>
        </is>
      </c>
      <c r="M1064" t="inlineStr">
        <is>
          <t>MEASURED</t>
        </is>
      </c>
      <c r="N1064" s="5" t="inlineStr">
        <is>
          <t>Semrush phrase_these (live, this session)</t>
        </is>
      </c>
      <c r="O1064" t="inlineStr">
        <is>
          <t>2026-10-30</t>
        </is>
      </c>
      <c r="P1064">
        <f>IF(IF(J1064="NOT AVAILABLE","",J1064)="",12,IF(OR(ISNUMBER(SEARCH("Transactional",IF(J1064="NOT AVAILABLE","",J1064))),ISNUMBER(SEARCH("Commercial",IF(J1064="NOT AVAILABLE","",J1064)))),25,IF(ISNUMBER(SEARCH("Informational",IF(J1064="NOT AVAILABLE","",J1064))),10,IF(ISNUMBER(SEARCH("Navigational",IF(J1064="NOT AVAILABLE","",J1064))),0,12))))</f>
        <v/>
      </c>
      <c r="Q1064">
        <f>IF(ISNUMBER(F1064),MIN(30,ROUND(30*LOG10(F1064+1)/4,1)),0)</f>
        <v/>
      </c>
      <c r="R1064">
        <f>IF(ISNUMBER(G1064),ROUND(25*(100-G1064)/100,1),12.5)</f>
        <v/>
      </c>
      <c r="S1064" t="n">
        <v>14</v>
      </c>
      <c r="T1064">
        <f>ROUND(P1064+Q1064+R1064+S1064,0)</f>
        <v/>
      </c>
      <c r="U1064" s="5" t="inlineStr"/>
      <c r="V1064" s="5" t="inlineStr"/>
    </row>
    <row r="1065">
      <c r="A1065" t="inlineStr">
        <is>
          <t>K1063</t>
        </is>
      </c>
      <c r="B1065" t="inlineStr">
        <is>
          <t>robots.txt</t>
        </is>
      </c>
      <c r="C1065" t="inlineStr">
        <is>
          <t>France</t>
        </is>
      </c>
      <c r="D1065" t="inlineStr">
        <is>
          <t>fr</t>
        </is>
      </c>
      <c r="E1065" t="inlineStr">
        <is>
          <t>fr</t>
        </is>
      </c>
      <c r="F1065" t="n">
        <v>1900</v>
      </c>
      <c r="G1065" t="n">
        <v>36</v>
      </c>
      <c r="H1065" t="n">
        <v>0.88</v>
      </c>
      <c r="I1065" t="n">
        <v>0.03</v>
      </c>
      <c r="J1065" t="inlineStr">
        <is>
          <t>Informational</t>
        </is>
      </c>
      <c r="K1065" t="inlineStr">
        <is>
          <t>NOT AVAILABLE (report not requested)</t>
        </is>
      </c>
      <c r="L1065" t="inlineStr">
        <is>
          <t>declining (calc.)</t>
        </is>
      </c>
      <c r="M1065" t="inlineStr">
        <is>
          <t>MEASURED</t>
        </is>
      </c>
      <c r="N1065" s="5" t="inlineStr">
        <is>
          <t>Semrush phrase_these (live, this session)</t>
        </is>
      </c>
      <c r="O1065" t="inlineStr">
        <is>
          <t>2026-10-30</t>
        </is>
      </c>
      <c r="P1065">
        <f>IF(IF(J1065="NOT AVAILABLE","",J1065)="",12,IF(OR(ISNUMBER(SEARCH("Transactional",IF(J1065="NOT AVAILABLE","",J1065))),ISNUMBER(SEARCH("Commercial",IF(J1065="NOT AVAILABLE","",J1065)))),25,IF(ISNUMBER(SEARCH("Informational",IF(J1065="NOT AVAILABLE","",J1065))),10,IF(ISNUMBER(SEARCH("Navigational",IF(J1065="NOT AVAILABLE","",J1065))),0,12))))</f>
        <v/>
      </c>
      <c r="Q1065">
        <f>IF(ISNUMBER(F1065),MIN(30,ROUND(30*LOG10(F1065+1)/4,1)),0)</f>
        <v/>
      </c>
      <c r="R1065">
        <f>IF(ISNUMBER(G1065),ROUND(25*(100-G1065)/100,1),12.5)</f>
        <v/>
      </c>
      <c r="S1065" t="n">
        <v>14</v>
      </c>
      <c r="T1065">
        <f>ROUND(P1065+Q1065+R1065+S1065,0)</f>
        <v/>
      </c>
      <c r="U1065" s="5" t="inlineStr"/>
      <c r="V1065" s="5" t="inlineStr">
        <is>
          <t>PRIMARY /tools/robots-txt-generator</t>
        </is>
      </c>
    </row>
    <row r="1066">
      <c r="A1066" t="inlineStr">
        <is>
          <t>K1064</t>
        </is>
      </c>
      <c r="B1066" t="inlineStr">
        <is>
          <t>ssl checker</t>
        </is>
      </c>
      <c r="C1066" t="inlineStr">
        <is>
          <t>France</t>
        </is>
      </c>
      <c r="D1066" t="inlineStr">
        <is>
          <t>fr</t>
        </is>
      </c>
      <c r="E1066" t="inlineStr">
        <is>
          <t>fr</t>
        </is>
      </c>
      <c r="F1066" t="n">
        <v>1900</v>
      </c>
      <c r="G1066" t="n">
        <v>67</v>
      </c>
      <c r="H1066" t="n">
        <v>0</v>
      </c>
      <c r="I1066" t="n">
        <v>0</v>
      </c>
      <c r="J1066" t="inlineStr">
        <is>
          <t>Commercial</t>
        </is>
      </c>
      <c r="K1066" t="inlineStr">
        <is>
          <t>NOT AVAILABLE (report not requested)</t>
        </is>
      </c>
      <c r="L1066" t="inlineStr">
        <is>
          <t>rising (calc.)</t>
        </is>
      </c>
      <c r="M1066" t="inlineStr">
        <is>
          <t>MEASURED</t>
        </is>
      </c>
      <c r="N1066" s="5" t="inlineStr">
        <is>
          <t>Semrush phrase_these (live, this session)</t>
        </is>
      </c>
      <c r="O1066" t="inlineStr">
        <is>
          <t>2026-10-30</t>
        </is>
      </c>
      <c r="P1066">
        <f>IF(IF(J1066="NOT AVAILABLE","",J1066)="",12,IF(OR(ISNUMBER(SEARCH("Transactional",IF(J1066="NOT AVAILABLE","",J1066))),ISNUMBER(SEARCH("Commercial",IF(J1066="NOT AVAILABLE","",J1066)))),25,IF(ISNUMBER(SEARCH("Informational",IF(J1066="NOT AVAILABLE","",J1066))),10,IF(ISNUMBER(SEARCH("Navigational",IF(J1066="NOT AVAILABLE","",J1066))),0,12))))</f>
        <v/>
      </c>
      <c r="Q1066">
        <f>IF(ISNUMBER(F1066),MIN(30,ROUND(30*LOG10(F1066+1)/4,1)),0)</f>
        <v/>
      </c>
      <c r="R1066">
        <f>IF(ISNUMBER(G1066),ROUND(25*(100-G1066)/100,1),12.5)</f>
        <v/>
      </c>
      <c r="S1066" t="n">
        <v>14</v>
      </c>
      <c r="T1066">
        <f>ROUND(P1066+Q1066+R1066+S1066,0)</f>
        <v/>
      </c>
      <c r="U1066" s="5" t="inlineStr"/>
      <c r="V1066" s="5" t="inlineStr">
        <is>
          <t>SECONDARY /tools/ssl-certificate-checker</t>
        </is>
      </c>
    </row>
    <row r="1067">
      <c r="A1067" t="inlineStr">
        <is>
          <t>K1065</t>
        </is>
      </c>
      <c r="B1067" t="inlineStr">
        <is>
          <t>audit site web</t>
        </is>
      </c>
      <c r="C1067" t="inlineStr">
        <is>
          <t>France</t>
        </is>
      </c>
      <c r="D1067" t="inlineStr">
        <is>
          <t>fr</t>
        </is>
      </c>
      <c r="E1067" t="inlineStr">
        <is>
          <t>fr</t>
        </is>
      </c>
      <c r="F1067" t="n">
        <v>1600</v>
      </c>
      <c r="G1067" t="n">
        <v>34</v>
      </c>
      <c r="H1067" t="n">
        <v>3.31</v>
      </c>
      <c r="I1067" t="n">
        <v>0.33</v>
      </c>
      <c r="J1067" t="inlineStr">
        <is>
          <t>Informational</t>
        </is>
      </c>
      <c r="K1067" t="inlineStr">
        <is>
          <t>NOT AVAILABLE (report not requested)</t>
        </is>
      </c>
      <c r="L1067" t="inlineStr">
        <is>
          <t>declining (calc.)</t>
        </is>
      </c>
      <c r="M1067" t="inlineStr">
        <is>
          <t>MEASURED</t>
        </is>
      </c>
      <c r="N1067" s="5" t="inlineStr">
        <is>
          <t>Semrush phrase_these (live, this session)</t>
        </is>
      </c>
      <c r="O1067" t="inlineStr">
        <is>
          <t>2026-10-30</t>
        </is>
      </c>
      <c r="P1067">
        <f>IF(IF(J1067="NOT AVAILABLE","",J1067)="",12,IF(OR(ISNUMBER(SEARCH("Transactional",IF(J1067="NOT AVAILABLE","",J1067))),ISNUMBER(SEARCH("Commercial",IF(J1067="NOT AVAILABLE","",J1067)))),25,IF(ISNUMBER(SEARCH("Informational",IF(J1067="NOT AVAILABLE","",J1067))),10,IF(ISNUMBER(SEARCH("Navigational",IF(J1067="NOT AVAILABLE","",J1067))),0,12))))</f>
        <v/>
      </c>
      <c r="Q1067">
        <f>IF(ISNUMBER(F1067),MIN(30,ROUND(30*LOG10(F1067+1)/4,1)),0)</f>
        <v/>
      </c>
      <c r="R1067">
        <f>IF(ISNUMBER(G1067),ROUND(25*(100-G1067)/100,1),12.5)</f>
        <v/>
      </c>
      <c r="S1067" t="n">
        <v>14</v>
      </c>
      <c r="T1067">
        <f>ROUND(P1067+Q1067+R1067+S1067,0)</f>
        <v/>
      </c>
      <c r="U1067" s="5" t="inlineStr"/>
      <c r="V1067" s="5" t="inlineStr">
        <is>
          <t>SECONDARY /tools/website-analyzer</t>
        </is>
      </c>
    </row>
    <row r="1068">
      <c r="A1068" t="inlineStr">
        <is>
          <t>K1066</t>
        </is>
      </c>
      <c r="B1068" t="inlineStr">
        <is>
          <t>boutique shopify</t>
        </is>
      </c>
      <c r="C1068" t="inlineStr">
        <is>
          <t>France</t>
        </is>
      </c>
      <c r="D1068" t="inlineStr">
        <is>
          <t>fr</t>
        </is>
      </c>
      <c r="E1068" t="inlineStr">
        <is>
          <t>fr</t>
        </is>
      </c>
      <c r="F1068" t="n">
        <v>1600</v>
      </c>
      <c r="G1068" t="n">
        <v>24</v>
      </c>
      <c r="H1068" t="n">
        <v>2.02</v>
      </c>
      <c r="I1068" t="n">
        <v>0.79</v>
      </c>
      <c r="J1068" t="inlineStr">
        <is>
          <t>Informational</t>
        </is>
      </c>
      <c r="K1068" t="inlineStr">
        <is>
          <t>NOT AVAILABLE (report not requested)</t>
        </is>
      </c>
      <c r="L1068" t="inlineStr">
        <is>
          <t>declining (calc.)</t>
        </is>
      </c>
      <c r="M1068" t="inlineStr">
        <is>
          <t>MEASURED</t>
        </is>
      </c>
      <c r="N1068" s="5" t="inlineStr">
        <is>
          <t>Semrush phrase_these (live, this session)</t>
        </is>
      </c>
      <c r="O1068" t="inlineStr">
        <is>
          <t>2026-10-30</t>
        </is>
      </c>
      <c r="P1068">
        <f>IF(IF(J1068="NOT AVAILABLE","",J1068)="",12,IF(OR(ISNUMBER(SEARCH("Transactional",IF(J1068="NOT AVAILABLE","",J1068))),ISNUMBER(SEARCH("Commercial",IF(J1068="NOT AVAILABLE","",J1068)))),25,IF(ISNUMBER(SEARCH("Informational",IF(J1068="NOT AVAILABLE","",J1068))),10,IF(ISNUMBER(SEARCH("Navigational",IF(J1068="NOT AVAILABLE","",J1068))),0,12))))</f>
        <v/>
      </c>
      <c r="Q1068">
        <f>IF(ISNUMBER(F1068),MIN(30,ROUND(30*LOG10(F1068+1)/4,1)),0)</f>
        <v/>
      </c>
      <c r="R1068">
        <f>IF(ISNUMBER(G1068),ROUND(25*(100-G1068)/100,1),12.5)</f>
        <v/>
      </c>
      <c r="S1068" t="n">
        <v>14</v>
      </c>
      <c r="T1068">
        <f>ROUND(P1068+Q1068+R1068+S1068,0)</f>
        <v/>
      </c>
      <c r="U1068" s="5" t="inlineStr"/>
      <c r="V1068" s="5" t="inlineStr">
        <is>
          <t>OPTIONAL /our-work/glamworlds</t>
        </is>
      </c>
    </row>
    <row r="1069">
      <c r="A1069" t="inlineStr">
        <is>
          <t>K1067</t>
        </is>
      </c>
      <c r="B1069" t="inlineStr">
        <is>
          <t>comment creer site internet</t>
        </is>
      </c>
      <c r="C1069" t="inlineStr">
        <is>
          <t>France</t>
        </is>
      </c>
      <c r="D1069" t="inlineStr">
        <is>
          <t>fr</t>
        </is>
      </c>
      <c r="E1069" t="inlineStr">
        <is>
          <t>fr</t>
        </is>
      </c>
      <c r="F1069" t="n">
        <v>1600</v>
      </c>
      <c r="G1069" t="n">
        <v>43</v>
      </c>
      <c r="H1069" t="n">
        <v>2.26</v>
      </c>
      <c r="I1069" t="n">
        <v>0.73</v>
      </c>
      <c r="J1069" t="inlineStr">
        <is>
          <t>Informational</t>
        </is>
      </c>
      <c r="K1069" t="inlineStr">
        <is>
          <t>NOT AVAILABLE (report not requested)</t>
        </is>
      </c>
      <c r="L1069" t="inlineStr">
        <is>
          <t>NOT AVAILABLE</t>
        </is>
      </c>
      <c r="M1069" t="inlineStr">
        <is>
          <t>MEASURED</t>
        </is>
      </c>
      <c r="N1069" s="5" t="inlineStr">
        <is>
          <t>Semrush phrase_questions seed "site internet"</t>
        </is>
      </c>
      <c r="O1069" t="inlineStr">
        <is>
          <t>2026-10-30</t>
        </is>
      </c>
      <c r="P1069">
        <f>IF(IF(J1069="NOT AVAILABLE","",J1069)="",12,IF(OR(ISNUMBER(SEARCH("Transactional",IF(J1069="NOT AVAILABLE","",J1069))),ISNUMBER(SEARCH("Commercial",IF(J1069="NOT AVAILABLE","",J1069)))),25,IF(ISNUMBER(SEARCH("Informational",IF(J1069="NOT AVAILABLE","",J1069))),10,IF(ISNUMBER(SEARCH("Navigational",IF(J1069="NOT AVAILABLE","",J1069))),0,12))))</f>
        <v/>
      </c>
      <c r="Q1069">
        <f>IF(ISNUMBER(F1069),MIN(30,ROUND(30*LOG10(F1069+1)/4,1)),0)</f>
        <v/>
      </c>
      <c r="R1069">
        <f>IF(ISNUMBER(G1069),ROUND(25*(100-G1069)/100,1),12.5)</f>
        <v/>
      </c>
      <c r="S1069" t="n">
        <v>14</v>
      </c>
      <c r="T1069">
        <f>ROUND(P1069+Q1069+R1069+S1069,0)</f>
        <v/>
      </c>
      <c r="U1069" s="5" t="inlineStr"/>
      <c r="V1069" s="5" t="inlineStr"/>
    </row>
    <row r="1070">
      <c r="A1070" t="inlineStr">
        <is>
          <t>K1068</t>
        </is>
      </c>
      <c r="B1070" t="inlineStr">
        <is>
          <t>développement web sur mesure</t>
        </is>
      </c>
      <c r="C1070" t="inlineStr">
        <is>
          <t>France</t>
        </is>
      </c>
      <c r="D1070" t="inlineStr">
        <is>
          <t>fr</t>
        </is>
      </c>
      <c r="E1070" t="inlineStr">
        <is>
          <t>fr</t>
        </is>
      </c>
      <c r="F1070" t="n">
        <v>1600</v>
      </c>
      <c r="G1070" t="n">
        <v>10</v>
      </c>
      <c r="H1070" t="n">
        <v>6.28</v>
      </c>
      <c r="I1070" t="n">
        <v>0.06</v>
      </c>
      <c r="J1070" t="inlineStr">
        <is>
          <t>Informational</t>
        </is>
      </c>
      <c r="K1070" t="inlineStr">
        <is>
          <t>NOT AVAILABLE (report not requested)</t>
        </is>
      </c>
      <c r="L1070" t="inlineStr">
        <is>
          <t>declining (calc.)</t>
        </is>
      </c>
      <c r="M1070" t="inlineStr">
        <is>
          <t>MEASURED</t>
        </is>
      </c>
      <c r="N1070" s="5" t="inlineStr">
        <is>
          <t>Semrush phrase_these (live, this session)</t>
        </is>
      </c>
      <c r="O1070" t="inlineStr">
        <is>
          <t>2026-10-30</t>
        </is>
      </c>
      <c r="P1070">
        <f>IF(IF(J1070="NOT AVAILABLE","",J1070)="",12,IF(OR(ISNUMBER(SEARCH("Transactional",IF(J1070="NOT AVAILABLE","",J1070))),ISNUMBER(SEARCH("Commercial",IF(J1070="NOT AVAILABLE","",J1070)))),25,IF(ISNUMBER(SEARCH("Informational",IF(J1070="NOT AVAILABLE","",J1070))),10,IF(ISNUMBER(SEARCH("Navigational",IF(J1070="NOT AVAILABLE","",J1070))),0,12))))</f>
        <v/>
      </c>
      <c r="Q1070">
        <f>IF(ISNUMBER(F1070),MIN(30,ROUND(30*LOG10(F1070+1)/4,1)),0)</f>
        <v/>
      </c>
      <c r="R1070">
        <f>IF(ISNUMBER(G1070),ROUND(25*(100-G1070)/100,1),12.5)</f>
        <v/>
      </c>
      <c r="S1070" t="n">
        <v>14</v>
      </c>
      <c r="T1070">
        <f>ROUND(P1070+Q1070+R1070+S1070,0)</f>
        <v/>
      </c>
      <c r="U1070" s="5" t="inlineStr"/>
      <c r="V1070" s="5" t="inlineStr">
        <is>
          <t>SUPPORTING /web-development-company/worldwide</t>
        </is>
      </c>
    </row>
    <row r="1071">
      <c r="A1071" t="inlineStr">
        <is>
          <t>K1069</t>
        </is>
      </c>
      <c r="B1071" t="inlineStr">
        <is>
          <t>eeat</t>
        </is>
      </c>
      <c r="C1071" t="inlineStr">
        <is>
          <t>France</t>
        </is>
      </c>
      <c r="D1071" t="inlineStr">
        <is>
          <t>fr</t>
        </is>
      </c>
      <c r="E1071" t="inlineStr">
        <is>
          <t>fr</t>
        </is>
      </c>
      <c r="F1071" t="n">
        <v>1600</v>
      </c>
      <c r="G1071" t="n">
        <v>40</v>
      </c>
      <c r="H1071" t="n">
        <v>0</v>
      </c>
      <c r="I1071" t="n">
        <v>0.33</v>
      </c>
      <c r="J1071" t="inlineStr">
        <is>
          <t>Informational</t>
        </is>
      </c>
      <c r="K1071" t="inlineStr">
        <is>
          <t>NOT AVAILABLE (report not requested)</t>
        </is>
      </c>
      <c r="L1071" t="inlineStr">
        <is>
          <t>stable (calc.)</t>
        </is>
      </c>
      <c r="M1071" t="inlineStr">
        <is>
          <t>MEASURED</t>
        </is>
      </c>
      <c r="N1071" s="5" t="inlineStr">
        <is>
          <t>Semrush phrase_these (live, this session)</t>
        </is>
      </c>
      <c r="O1071" t="inlineStr">
        <is>
          <t>2026-10-30</t>
        </is>
      </c>
      <c r="P1071">
        <f>IF(IF(J1071="NOT AVAILABLE","",J1071)="",12,IF(OR(ISNUMBER(SEARCH("Transactional",IF(J1071="NOT AVAILABLE","",J1071))),ISNUMBER(SEARCH("Commercial",IF(J1071="NOT AVAILABLE","",J1071)))),25,IF(ISNUMBER(SEARCH("Informational",IF(J1071="NOT AVAILABLE","",J1071))),10,IF(ISNUMBER(SEARCH("Navigational",IF(J1071="NOT AVAILABLE","",J1071))),0,12))))</f>
        <v/>
      </c>
      <c r="Q1071">
        <f>IF(ISNUMBER(F1071),MIN(30,ROUND(30*LOG10(F1071+1)/4,1)),0)</f>
        <v/>
      </c>
      <c r="R1071">
        <f>IF(ISNUMBER(G1071),ROUND(25*(100-G1071)/100,1),12.5)</f>
        <v/>
      </c>
      <c r="S1071" t="n">
        <v>14</v>
      </c>
      <c r="T1071">
        <f>ROUND(P1071+Q1071+R1071+S1071,0)</f>
        <v/>
      </c>
      <c r="U1071" s="5" t="inlineStr"/>
      <c r="V1071" s="5" t="inlineStr">
        <is>
          <t>SECONDARY /tools/eeat-signals-checker</t>
        </is>
      </c>
    </row>
    <row r="1072">
      <c r="A1072" t="inlineStr">
        <is>
          <t>K1070</t>
        </is>
      </c>
      <c r="B1072" t="inlineStr">
        <is>
          <t>faux texte</t>
        </is>
      </c>
      <c r="C1072" t="inlineStr">
        <is>
          <t>France</t>
        </is>
      </c>
      <c r="D1072" t="inlineStr">
        <is>
          <t>fr</t>
        </is>
      </c>
      <c r="E1072" t="inlineStr">
        <is>
          <t>fr</t>
        </is>
      </c>
      <c r="F1072" t="n">
        <v>1600</v>
      </c>
      <c r="G1072" t="n">
        <v>32</v>
      </c>
      <c r="H1072" t="n">
        <v>0</v>
      </c>
      <c r="I1072" t="n">
        <v>0.01</v>
      </c>
      <c r="J1072" t="inlineStr">
        <is>
          <t>Informational</t>
        </is>
      </c>
      <c r="K1072" t="inlineStr">
        <is>
          <t>NOT AVAILABLE (report not requested)</t>
        </is>
      </c>
      <c r="L1072" t="inlineStr">
        <is>
          <t>stable (calc.)</t>
        </is>
      </c>
      <c r="M1072" t="inlineStr">
        <is>
          <t>MEASURED</t>
        </is>
      </c>
      <c r="N1072" s="5" t="inlineStr">
        <is>
          <t>Semrush phrase_these (live, this session)</t>
        </is>
      </c>
      <c r="O1072" t="inlineStr">
        <is>
          <t>2026-10-30</t>
        </is>
      </c>
      <c r="P1072">
        <f>IF(IF(J1072="NOT AVAILABLE","",J1072)="",12,IF(OR(ISNUMBER(SEARCH("Transactional",IF(J1072="NOT AVAILABLE","",J1072))),ISNUMBER(SEARCH("Commercial",IF(J1072="NOT AVAILABLE","",J1072)))),25,IF(ISNUMBER(SEARCH("Informational",IF(J1072="NOT AVAILABLE","",J1072))),10,IF(ISNUMBER(SEARCH("Navigational",IF(J1072="NOT AVAILABLE","",J1072))),0,12))))</f>
        <v/>
      </c>
      <c r="Q1072">
        <f>IF(ISNUMBER(F1072),MIN(30,ROUND(30*LOG10(F1072+1)/4,1)),0)</f>
        <v/>
      </c>
      <c r="R1072">
        <f>IF(ISNUMBER(G1072),ROUND(25*(100-G1072)/100,1),12.5)</f>
        <v/>
      </c>
      <c r="S1072" t="n">
        <v>14</v>
      </c>
      <c r="T1072">
        <f>ROUND(P1072+Q1072+R1072+S1072,0)</f>
        <v/>
      </c>
      <c r="U1072" s="5" t="inlineStr"/>
      <c r="V1072" s="5" t="inlineStr">
        <is>
          <t>SECONDARY /tools/lorem-ipsum-generator</t>
        </is>
      </c>
    </row>
    <row r="1073">
      <c r="A1073" t="inlineStr">
        <is>
          <t>K1071</t>
        </is>
      </c>
      <c r="B1073" t="inlineStr">
        <is>
          <t>outils seo</t>
        </is>
      </c>
      <c r="C1073" t="inlineStr">
        <is>
          <t>France</t>
        </is>
      </c>
      <c r="D1073" t="inlineStr">
        <is>
          <t>fr</t>
        </is>
      </c>
      <c r="E1073" t="inlineStr">
        <is>
          <t>fr</t>
        </is>
      </c>
      <c r="F1073" t="n">
        <v>1600</v>
      </c>
      <c r="G1073" t="n">
        <v>42</v>
      </c>
      <c r="H1073" t="n">
        <v>2.18</v>
      </c>
      <c r="I1073" t="n">
        <v>0.19</v>
      </c>
      <c r="J1073" t="inlineStr">
        <is>
          <t>Informational, Commercial</t>
        </is>
      </c>
      <c r="K1073" t="inlineStr">
        <is>
          <t>NOT AVAILABLE (report not requested)</t>
        </is>
      </c>
      <c r="L1073" t="inlineStr">
        <is>
          <t>stable (calc.)</t>
        </is>
      </c>
      <c r="M1073" t="inlineStr">
        <is>
          <t>MEASURED</t>
        </is>
      </c>
      <c r="N1073" s="5" t="inlineStr">
        <is>
          <t>Semrush phrase_these (live, this session)</t>
        </is>
      </c>
      <c r="O1073" t="inlineStr">
        <is>
          <t>2026-10-30</t>
        </is>
      </c>
      <c r="P1073">
        <f>IF(IF(J1073="NOT AVAILABLE","",J1073)="",12,IF(OR(ISNUMBER(SEARCH("Transactional",IF(J1073="NOT AVAILABLE","",J1073))),ISNUMBER(SEARCH("Commercial",IF(J1073="NOT AVAILABLE","",J1073)))),25,IF(ISNUMBER(SEARCH("Informational",IF(J1073="NOT AVAILABLE","",J1073))),10,IF(ISNUMBER(SEARCH("Navigational",IF(J1073="NOT AVAILABLE","",J1073))),0,12))))</f>
        <v/>
      </c>
      <c r="Q1073">
        <f>IF(ISNUMBER(F1073),MIN(30,ROUND(30*LOG10(F1073+1)/4,1)),0)</f>
        <v/>
      </c>
      <c r="R1073">
        <f>IF(ISNUMBER(G1073),ROUND(25*(100-G1073)/100,1),12.5)</f>
        <v/>
      </c>
      <c r="S1073" t="n">
        <v>14</v>
      </c>
      <c r="T1073">
        <f>ROUND(P1073+Q1073+R1073+S1073,0)</f>
        <v/>
      </c>
      <c r="U1073" s="5" t="inlineStr"/>
      <c r="V1073" s="5" t="inlineStr">
        <is>
          <t>SUPPORTING /tools</t>
        </is>
      </c>
    </row>
    <row r="1074">
      <c r="A1074" t="inlineStr">
        <is>
          <t>K1072</t>
        </is>
      </c>
      <c r="B1074" t="inlineStr">
        <is>
          <t>palette de couleurs</t>
        </is>
      </c>
      <c r="C1074" t="inlineStr">
        <is>
          <t>France</t>
        </is>
      </c>
      <c r="D1074" t="inlineStr">
        <is>
          <t>fr</t>
        </is>
      </c>
      <c r="E1074" t="inlineStr">
        <is>
          <t>fr</t>
        </is>
      </c>
      <c r="F1074" t="n">
        <v>1600</v>
      </c>
      <c r="G1074" t="n">
        <v>48</v>
      </c>
      <c r="H1074" t="n">
        <v>1.26</v>
      </c>
      <c r="I1074" t="n">
        <v>0.35</v>
      </c>
      <c r="J1074" t="inlineStr">
        <is>
          <t>Informational</t>
        </is>
      </c>
      <c r="K1074" t="inlineStr">
        <is>
          <t>NOT AVAILABLE (report not requested)</t>
        </is>
      </c>
      <c r="L1074" t="inlineStr">
        <is>
          <t>declining (calc.)</t>
        </is>
      </c>
      <c r="M1074" t="inlineStr">
        <is>
          <t>MEASURED</t>
        </is>
      </c>
      <c r="N1074" s="5" t="inlineStr">
        <is>
          <t>Semrush phrase_these (live, this session)</t>
        </is>
      </c>
      <c r="O1074" t="inlineStr">
        <is>
          <t>2026-10-30</t>
        </is>
      </c>
      <c r="P1074">
        <f>IF(IF(J1074="NOT AVAILABLE","",J1074)="",12,IF(OR(ISNUMBER(SEARCH("Transactional",IF(J1074="NOT AVAILABLE","",J1074))),ISNUMBER(SEARCH("Commercial",IF(J1074="NOT AVAILABLE","",J1074)))),25,IF(ISNUMBER(SEARCH("Informational",IF(J1074="NOT AVAILABLE","",J1074))),10,IF(ISNUMBER(SEARCH("Navigational",IF(J1074="NOT AVAILABLE","",J1074))),0,12))))</f>
        <v/>
      </c>
      <c r="Q1074">
        <f>IF(ISNUMBER(F1074),MIN(30,ROUND(30*LOG10(F1074+1)/4,1)),0)</f>
        <v/>
      </c>
      <c r="R1074">
        <f>IF(ISNUMBER(G1074),ROUND(25*(100-G1074)/100,1),12.5)</f>
        <v/>
      </c>
      <c r="S1074" t="n">
        <v>14</v>
      </c>
      <c r="T1074">
        <f>ROUND(P1074+Q1074+R1074+S1074,0)</f>
        <v/>
      </c>
      <c r="U1074" s="5" t="inlineStr"/>
      <c r="V1074" s="5" t="inlineStr">
        <is>
          <t>PRIMARY /tools/color-palette-generator</t>
        </is>
      </c>
    </row>
    <row r="1075">
      <c r="A1075" t="inlineStr">
        <is>
          <t>K1073</t>
        </is>
      </c>
      <c r="B1075" t="inlineStr">
        <is>
          <t>utm builder</t>
        </is>
      </c>
      <c r="C1075" t="inlineStr">
        <is>
          <t>France</t>
        </is>
      </c>
      <c r="D1075" t="inlineStr">
        <is>
          <t>fr</t>
        </is>
      </c>
      <c r="E1075" t="inlineStr">
        <is>
          <t>fr</t>
        </is>
      </c>
      <c r="F1075" t="n">
        <v>1600</v>
      </c>
      <c r="G1075" t="n">
        <v>51</v>
      </c>
      <c r="H1075" t="n">
        <v>48.33</v>
      </c>
      <c r="I1075" t="n">
        <v>0.04</v>
      </c>
      <c r="J1075" t="inlineStr">
        <is>
          <t>Informational</t>
        </is>
      </c>
      <c r="K1075" t="inlineStr">
        <is>
          <t>NOT AVAILABLE (report not requested)</t>
        </is>
      </c>
      <c r="L1075" t="inlineStr">
        <is>
          <t>stable (calc.)</t>
        </is>
      </c>
      <c r="M1075" t="inlineStr">
        <is>
          <t>MEASURED</t>
        </is>
      </c>
      <c r="N1075" s="5" t="inlineStr">
        <is>
          <t>Semrush phrase_these (live, this session)</t>
        </is>
      </c>
      <c r="O1075" t="inlineStr">
        <is>
          <t>2026-10-30</t>
        </is>
      </c>
      <c r="P1075">
        <f>IF(IF(J1075="NOT AVAILABLE","",J1075)="",12,IF(OR(ISNUMBER(SEARCH("Transactional",IF(J1075="NOT AVAILABLE","",J1075))),ISNUMBER(SEARCH("Commercial",IF(J1075="NOT AVAILABLE","",J1075)))),25,IF(ISNUMBER(SEARCH("Informational",IF(J1075="NOT AVAILABLE","",J1075))),10,IF(ISNUMBER(SEARCH("Navigational",IF(J1075="NOT AVAILABLE","",J1075))),0,12))))</f>
        <v/>
      </c>
      <c r="Q1075">
        <f>IF(ISNUMBER(F1075),MIN(30,ROUND(30*LOG10(F1075+1)/4,1)),0)</f>
        <v/>
      </c>
      <c r="R1075">
        <f>IF(ISNUMBER(G1075),ROUND(25*(100-G1075)/100,1),12.5)</f>
        <v/>
      </c>
      <c r="S1075" t="n">
        <v>14</v>
      </c>
      <c r="T1075">
        <f>ROUND(P1075+Q1075+R1075+S1075,0)</f>
        <v/>
      </c>
      <c r="U1075" s="5" t="inlineStr"/>
      <c r="V1075" s="5" t="inlineStr">
        <is>
          <t>PRIMARY /tools/utm-builder</t>
        </is>
      </c>
    </row>
    <row r="1076">
      <c r="A1076" t="inlineStr">
        <is>
          <t>K1074</t>
        </is>
      </c>
      <c r="B1076" t="inlineStr">
        <is>
          <t>agence de développement web</t>
        </is>
      </c>
      <c r="C1076" t="inlineStr">
        <is>
          <t>France</t>
        </is>
      </c>
      <c r="D1076" t="inlineStr">
        <is>
          <t>fr</t>
        </is>
      </c>
      <c r="E1076" t="inlineStr">
        <is>
          <t>fr</t>
        </is>
      </c>
      <c r="F1076" t="n">
        <v>1300</v>
      </c>
      <c r="G1076" t="n">
        <v>32</v>
      </c>
      <c r="H1076" t="n">
        <v>4.62</v>
      </c>
      <c r="I1076" t="n">
        <v>0.18</v>
      </c>
      <c r="J1076" t="inlineStr">
        <is>
          <t>Commercial</t>
        </is>
      </c>
      <c r="K1076" t="inlineStr">
        <is>
          <t>NOT AVAILABLE (report not requested)</t>
        </is>
      </c>
      <c r="L1076" t="inlineStr">
        <is>
          <t>stable (calc.)</t>
        </is>
      </c>
      <c r="M1076" t="inlineStr">
        <is>
          <t>MEASURED</t>
        </is>
      </c>
      <c r="N1076" s="5" t="inlineStr">
        <is>
          <t>Semrush phrase_these (live, this session)</t>
        </is>
      </c>
      <c r="O1076" t="inlineStr">
        <is>
          <t>2026-10-30</t>
        </is>
      </c>
      <c r="P1076">
        <f>IF(IF(J1076="NOT AVAILABLE","",J1076)="",12,IF(OR(ISNUMBER(SEARCH("Transactional",IF(J1076="NOT AVAILABLE","",J1076))),ISNUMBER(SEARCH("Commercial",IF(J1076="NOT AVAILABLE","",J1076)))),25,IF(ISNUMBER(SEARCH("Informational",IF(J1076="NOT AVAILABLE","",J1076))),10,IF(ISNUMBER(SEARCH("Navigational",IF(J1076="NOT AVAILABLE","",J1076))),0,12))))</f>
        <v/>
      </c>
      <c r="Q1076">
        <f>IF(ISNUMBER(F1076),MIN(30,ROUND(30*LOG10(F1076+1)/4,1)),0)</f>
        <v/>
      </c>
      <c r="R1076">
        <f>IF(ISNUMBER(G1076),ROUND(25*(100-G1076)/100,1),12.5)</f>
        <v/>
      </c>
      <c r="S1076" t="n">
        <v>14</v>
      </c>
      <c r="T1076">
        <f>ROUND(P1076+Q1076+R1076+S1076,0)</f>
        <v/>
      </c>
      <c r="U1076" s="5" t="inlineStr"/>
      <c r="V1076" s="5" t="inlineStr">
        <is>
          <t>SECONDARY /web-development-company/worldwide</t>
        </is>
      </c>
    </row>
    <row r="1077">
      <c r="A1077" t="inlineStr">
        <is>
          <t>K1075</t>
        </is>
      </c>
      <c r="B1077" t="inlineStr">
        <is>
          <t>blog seo</t>
        </is>
      </c>
      <c r="C1077" t="inlineStr">
        <is>
          <t>France</t>
        </is>
      </c>
      <c r="D1077" t="inlineStr">
        <is>
          <t>fr</t>
        </is>
      </c>
      <c r="E1077" t="inlineStr">
        <is>
          <t>fr</t>
        </is>
      </c>
      <c r="F1077" t="n">
        <v>1300</v>
      </c>
      <c r="G1077" t="n">
        <v>41</v>
      </c>
      <c r="H1077" t="n">
        <v>1.73</v>
      </c>
      <c r="I1077" t="n">
        <v>0.12</v>
      </c>
      <c r="J1077" t="inlineStr">
        <is>
          <t>Informational</t>
        </is>
      </c>
      <c r="K1077" t="inlineStr">
        <is>
          <t>NOT AVAILABLE (report not requested)</t>
        </is>
      </c>
      <c r="L1077" t="inlineStr">
        <is>
          <t>stable (calc.)</t>
        </is>
      </c>
      <c r="M1077" t="inlineStr">
        <is>
          <t>MEASURED</t>
        </is>
      </c>
      <c r="N1077" s="5" t="inlineStr">
        <is>
          <t>Semrush phrase_these (live, this session)</t>
        </is>
      </c>
      <c r="O1077" t="inlineStr">
        <is>
          <t>2026-10-30</t>
        </is>
      </c>
      <c r="P1077">
        <f>IF(IF(J1077="NOT AVAILABLE","",J1077)="",12,IF(OR(ISNUMBER(SEARCH("Transactional",IF(J1077="NOT AVAILABLE","",J1077))),ISNUMBER(SEARCH("Commercial",IF(J1077="NOT AVAILABLE","",J1077)))),25,IF(ISNUMBER(SEARCH("Informational",IF(J1077="NOT AVAILABLE","",J1077))),10,IF(ISNUMBER(SEARCH("Navigational",IF(J1077="NOT AVAILABLE","",J1077))),0,12))))</f>
        <v/>
      </c>
      <c r="Q1077">
        <f>IF(ISNUMBER(F1077),MIN(30,ROUND(30*LOG10(F1077+1)/4,1)),0)</f>
        <v/>
      </c>
      <c r="R1077">
        <f>IF(ISNUMBER(G1077),ROUND(25*(100-G1077)/100,1),12.5)</f>
        <v/>
      </c>
      <c r="S1077" t="n">
        <v>14</v>
      </c>
      <c r="T1077">
        <f>ROUND(P1077+Q1077+R1077+S1077,0)</f>
        <v/>
      </c>
      <c r="U1077" s="5" t="inlineStr"/>
      <c r="V1077" s="5" t="inlineStr">
        <is>
          <t>OPTIONAL /blog</t>
        </is>
      </c>
    </row>
    <row r="1078">
      <c r="A1078" t="inlineStr">
        <is>
          <t>K1076</t>
        </is>
      </c>
      <c r="B1078" t="inlineStr">
        <is>
          <t>création site e-commerce</t>
        </is>
      </c>
      <c r="C1078" t="inlineStr">
        <is>
          <t>France</t>
        </is>
      </c>
      <c r="D1078" t="inlineStr">
        <is>
          <t>fr</t>
        </is>
      </c>
      <c r="E1078" t="inlineStr">
        <is>
          <t>fr</t>
        </is>
      </c>
      <c r="F1078" t="n">
        <v>1300</v>
      </c>
      <c r="G1078" t="n">
        <v>44</v>
      </c>
      <c r="H1078" t="n">
        <v>3.88</v>
      </c>
      <c r="I1078" t="n">
        <v>0.21</v>
      </c>
      <c r="J1078" t="inlineStr">
        <is>
          <t>Informational</t>
        </is>
      </c>
      <c r="K1078" t="inlineStr">
        <is>
          <t>NOT AVAILABLE (report not requested)</t>
        </is>
      </c>
      <c r="L1078" t="inlineStr">
        <is>
          <t>declining (calc.)</t>
        </is>
      </c>
      <c r="M1078" t="inlineStr">
        <is>
          <t>MEASURED</t>
        </is>
      </c>
      <c r="N1078" s="5" t="inlineStr">
        <is>
          <t>Semrush phrase_these (live, this session)</t>
        </is>
      </c>
      <c r="O1078" t="inlineStr">
        <is>
          <t>2026-10-30</t>
        </is>
      </c>
      <c r="P1078">
        <f>IF(IF(J1078="NOT AVAILABLE","",J1078)="",12,IF(OR(ISNUMBER(SEARCH("Transactional",IF(J1078="NOT AVAILABLE","",J1078))),ISNUMBER(SEARCH("Commercial",IF(J1078="NOT AVAILABLE","",J1078)))),25,IF(ISNUMBER(SEARCH("Informational",IF(J1078="NOT AVAILABLE","",J1078))),10,IF(ISNUMBER(SEARCH("Navigational",IF(J1078="NOT AVAILABLE","",J1078))),0,12))))</f>
        <v/>
      </c>
      <c r="Q1078">
        <f>IF(ISNUMBER(F1078),MIN(30,ROUND(30*LOG10(F1078+1)/4,1)),0)</f>
        <v/>
      </c>
      <c r="R1078">
        <f>IF(ISNUMBER(G1078),ROUND(25*(100-G1078)/100,1),12.5)</f>
        <v/>
      </c>
      <c r="S1078" t="n">
        <v>14</v>
      </c>
      <c r="T1078">
        <f>ROUND(P1078+Q1078+R1078+S1078,0)</f>
        <v/>
      </c>
      <c r="U1078" s="5" t="inlineStr"/>
      <c r="V1078" s="5" t="inlineStr">
        <is>
          <t>SECONDARY /services/ecommerce-website-development</t>
        </is>
      </c>
    </row>
    <row r="1079">
      <c r="A1079" t="inlineStr">
        <is>
          <t>K1077</t>
        </is>
      </c>
      <c r="B1079" t="inlineStr">
        <is>
          <t>création site internet paris</t>
        </is>
      </c>
      <c r="C1079" t="inlineStr">
        <is>
          <t>France</t>
        </is>
      </c>
      <c r="D1079" t="inlineStr">
        <is>
          <t>fr</t>
        </is>
      </c>
      <c r="E1079" t="inlineStr">
        <is>
          <t>fr</t>
        </is>
      </c>
      <c r="F1079" t="n">
        <v>1300</v>
      </c>
      <c r="G1079" t="n">
        <v>19</v>
      </c>
      <c r="H1079" t="n">
        <v>2.38</v>
      </c>
      <c r="I1079" t="n">
        <v>0.13</v>
      </c>
      <c r="J1079" t="inlineStr">
        <is>
          <t>Commercial</t>
        </is>
      </c>
      <c r="K1079" t="inlineStr">
        <is>
          <t>NOT AVAILABLE (report not requested)</t>
        </is>
      </c>
      <c r="L1079" t="inlineStr">
        <is>
          <t>rising (calc.)</t>
        </is>
      </c>
      <c r="M1079" t="inlineStr">
        <is>
          <t>MEASURED</t>
        </is>
      </c>
      <c r="N1079" s="5" t="inlineStr">
        <is>
          <t>Semrush phrase_these (live, this session)</t>
        </is>
      </c>
      <c r="O1079" t="inlineStr">
        <is>
          <t>2026-10-30</t>
        </is>
      </c>
      <c r="P1079">
        <f>IF(IF(J1079="NOT AVAILABLE","",J1079)="",12,IF(OR(ISNUMBER(SEARCH("Transactional",IF(J1079="NOT AVAILABLE","",J1079))),ISNUMBER(SEARCH("Commercial",IF(J1079="NOT AVAILABLE","",J1079)))),25,IF(ISNUMBER(SEARCH("Informational",IF(J1079="NOT AVAILABLE","",J1079))),10,IF(ISNUMBER(SEARCH("Navigational",IF(J1079="NOT AVAILABLE","",J1079))),0,12))))</f>
        <v/>
      </c>
      <c r="Q1079">
        <f>IF(ISNUMBER(F1079),MIN(30,ROUND(30*LOG10(F1079+1)/4,1)),0)</f>
        <v/>
      </c>
      <c r="R1079">
        <f>IF(ISNUMBER(G1079),ROUND(25*(100-G1079)/100,1),12.5)</f>
        <v/>
      </c>
      <c r="S1079" t="n">
        <v>14</v>
      </c>
      <c r="T1079">
        <f>ROUND(P1079+Q1079+R1079+S1079,0)</f>
        <v/>
      </c>
      <c r="U1079" s="5" t="inlineStr"/>
      <c r="V1079" s="5" t="inlineStr"/>
    </row>
    <row r="1080">
      <c r="A1080" t="inlineStr">
        <is>
          <t>K1078</t>
        </is>
      </c>
      <c r="B1080" t="inlineStr">
        <is>
          <t>détecteur de plagiat</t>
        </is>
      </c>
      <c r="C1080" t="inlineStr">
        <is>
          <t>France</t>
        </is>
      </c>
      <c r="D1080" t="inlineStr">
        <is>
          <t>fr</t>
        </is>
      </c>
      <c r="E1080" t="inlineStr">
        <is>
          <t>fr</t>
        </is>
      </c>
      <c r="F1080" t="n">
        <v>1300</v>
      </c>
      <c r="G1080" t="n">
        <v>59</v>
      </c>
      <c r="H1080" t="n">
        <v>0.42</v>
      </c>
      <c r="I1080" t="n">
        <v>0.51</v>
      </c>
      <c r="J1080" t="inlineStr">
        <is>
          <t>Commercial</t>
        </is>
      </c>
      <c r="K1080" t="inlineStr">
        <is>
          <t>NOT AVAILABLE (report not requested)</t>
        </is>
      </c>
      <c r="L1080" t="inlineStr">
        <is>
          <t>stable (calc.)</t>
        </is>
      </c>
      <c r="M1080" t="inlineStr">
        <is>
          <t>MEASURED</t>
        </is>
      </c>
      <c r="N1080" s="5" t="inlineStr">
        <is>
          <t>Semrush phrase_these (live, this session)</t>
        </is>
      </c>
      <c r="O1080" t="inlineStr">
        <is>
          <t>2026-10-30</t>
        </is>
      </c>
      <c r="P1080">
        <f>IF(IF(J1080="NOT AVAILABLE","",J1080)="",12,IF(OR(ISNUMBER(SEARCH("Transactional",IF(J1080="NOT AVAILABLE","",J1080))),ISNUMBER(SEARCH("Commercial",IF(J1080="NOT AVAILABLE","",J1080)))),25,IF(ISNUMBER(SEARCH("Informational",IF(J1080="NOT AVAILABLE","",J1080))),10,IF(ISNUMBER(SEARCH("Navigational",IF(J1080="NOT AVAILABLE","",J1080))),0,12))))</f>
        <v/>
      </c>
      <c r="Q1080">
        <f>IF(ISNUMBER(F1080),MIN(30,ROUND(30*LOG10(F1080+1)/4,1)),0)</f>
        <v/>
      </c>
      <c r="R1080">
        <f>IF(ISNUMBER(G1080),ROUND(25*(100-G1080)/100,1),12.5)</f>
        <v/>
      </c>
      <c r="S1080" t="n">
        <v>14</v>
      </c>
      <c r="T1080">
        <f>ROUND(P1080+Q1080+R1080+S1080,0)</f>
        <v/>
      </c>
      <c r="U1080" s="5" t="inlineStr"/>
      <c r="V1080" s="5" t="inlineStr">
        <is>
          <t>NOT RECOMMENDED /tools/duplicate-content-checker</t>
        </is>
      </c>
    </row>
    <row r="1081">
      <c r="A1081" t="inlineStr">
        <is>
          <t>K1079</t>
        </is>
      </c>
      <c r="B1081" t="inlineStr">
        <is>
          <t>développement logiciel sur mesure</t>
        </is>
      </c>
      <c r="C1081" t="inlineStr">
        <is>
          <t>France</t>
        </is>
      </c>
      <c r="D1081" t="inlineStr">
        <is>
          <t>fr</t>
        </is>
      </c>
      <c r="E1081" t="inlineStr">
        <is>
          <t>fr</t>
        </is>
      </c>
      <c r="F1081" t="n">
        <v>1300</v>
      </c>
      <c r="G1081" t="n">
        <v>23</v>
      </c>
      <c r="H1081" t="n">
        <v>7.38</v>
      </c>
      <c r="I1081" t="n">
        <v>0.46</v>
      </c>
      <c r="J1081" t="inlineStr">
        <is>
          <t>Informational</t>
        </is>
      </c>
      <c r="K1081" t="inlineStr">
        <is>
          <t>NOT AVAILABLE (report not requested)</t>
        </is>
      </c>
      <c r="L1081" t="inlineStr">
        <is>
          <t>rising (calc.)</t>
        </is>
      </c>
      <c r="M1081" t="inlineStr">
        <is>
          <t>MEASURED</t>
        </is>
      </c>
      <c r="N1081" s="5" t="inlineStr">
        <is>
          <t>Semrush phrase_these (live, this session)</t>
        </is>
      </c>
      <c r="O1081" t="inlineStr">
        <is>
          <t>2026-10-30</t>
        </is>
      </c>
      <c r="P1081">
        <f>IF(IF(J1081="NOT AVAILABLE","",J1081)="",12,IF(OR(ISNUMBER(SEARCH("Transactional",IF(J1081="NOT AVAILABLE","",J1081))),ISNUMBER(SEARCH("Commercial",IF(J1081="NOT AVAILABLE","",J1081)))),25,IF(ISNUMBER(SEARCH("Informational",IF(J1081="NOT AVAILABLE","",J1081))),10,IF(ISNUMBER(SEARCH("Navigational",IF(J1081="NOT AVAILABLE","",J1081))),0,12))))</f>
        <v/>
      </c>
      <c r="Q1081">
        <f>IF(ISNUMBER(F1081),MIN(30,ROUND(30*LOG10(F1081+1)/4,1)),0)</f>
        <v/>
      </c>
      <c r="R1081">
        <f>IF(ISNUMBER(G1081),ROUND(25*(100-G1081)/100,1),12.5)</f>
        <v/>
      </c>
      <c r="S1081" t="n">
        <v>14</v>
      </c>
      <c r="T1081">
        <f>ROUND(P1081+Q1081+R1081+S1081,0)</f>
        <v/>
      </c>
      <c r="U1081" s="5" t="inlineStr"/>
      <c r="V1081" s="5" t="inlineStr">
        <is>
          <t>SUPPORTING /services/saas-platform-development</t>
        </is>
      </c>
    </row>
    <row r="1082">
      <c r="A1082" t="inlineStr">
        <is>
          <t>K1080</t>
        </is>
      </c>
      <c r="B1082" t="inlineStr">
        <is>
          <t>generative engine optimization</t>
        </is>
      </c>
      <c r="C1082" t="inlineStr">
        <is>
          <t>France</t>
        </is>
      </c>
      <c r="D1082" t="inlineStr">
        <is>
          <t>fr</t>
        </is>
      </c>
      <c r="E1082" t="inlineStr">
        <is>
          <t>fr</t>
        </is>
      </c>
      <c r="F1082" t="n">
        <v>1300</v>
      </c>
      <c r="G1082" t="n">
        <v>64</v>
      </c>
      <c r="H1082" t="n">
        <v>2.9</v>
      </c>
      <c r="I1082" t="n">
        <v>0.44</v>
      </c>
      <c r="J1082" t="inlineStr">
        <is>
          <t>Informational</t>
        </is>
      </c>
      <c r="K1082" t="inlineStr">
        <is>
          <t>NOT AVAILABLE (report not requested)</t>
        </is>
      </c>
      <c r="L1082" t="inlineStr">
        <is>
          <t>rising (calc.)</t>
        </is>
      </c>
      <c r="M1082" t="inlineStr">
        <is>
          <t>MEASURED</t>
        </is>
      </c>
      <c r="N1082" s="5" t="inlineStr">
        <is>
          <t>Semrush phrase_these (live, this session)</t>
        </is>
      </c>
      <c r="O1082" t="inlineStr">
        <is>
          <t>2026-10-30</t>
        </is>
      </c>
      <c r="P1082">
        <f>IF(IF(J1082="NOT AVAILABLE","",J1082)="",12,IF(OR(ISNUMBER(SEARCH("Transactional",IF(J1082="NOT AVAILABLE","",J1082))),ISNUMBER(SEARCH("Commercial",IF(J1082="NOT AVAILABLE","",J1082)))),25,IF(ISNUMBER(SEARCH("Informational",IF(J1082="NOT AVAILABLE","",J1082))),10,IF(ISNUMBER(SEARCH("Navigational",IF(J1082="NOT AVAILABLE","",J1082))),0,12))))</f>
        <v/>
      </c>
      <c r="Q1082">
        <f>IF(ISNUMBER(F1082),MIN(30,ROUND(30*LOG10(F1082+1)/4,1)),0)</f>
        <v/>
      </c>
      <c r="R1082">
        <f>IF(ISNUMBER(G1082),ROUND(25*(100-G1082)/100,1),12.5)</f>
        <v/>
      </c>
      <c r="S1082" t="n">
        <v>14</v>
      </c>
      <c r="T1082">
        <f>ROUND(P1082+Q1082+R1082+S1082,0)</f>
        <v/>
      </c>
      <c r="U1082" s="5" t="inlineStr"/>
      <c r="V1082" s="5" t="inlineStr">
        <is>
          <t>SECONDARY /tools/ai-readiness-checker</t>
        </is>
      </c>
    </row>
    <row r="1083">
      <c r="A1083" t="inlineStr">
        <is>
          <t>K1081</t>
        </is>
      </c>
      <c r="B1083" t="inlineStr">
        <is>
          <t>how to make internet site</t>
        </is>
      </c>
      <c r="C1083" t="inlineStr">
        <is>
          <t>France</t>
        </is>
      </c>
      <c r="D1083" t="inlineStr">
        <is>
          <t>fr</t>
        </is>
      </c>
      <c r="E1083" t="inlineStr">
        <is>
          <t>en</t>
        </is>
      </c>
      <c r="F1083" t="n">
        <v>1300</v>
      </c>
      <c r="G1083" t="n">
        <v>89</v>
      </c>
      <c r="H1083" t="n">
        <v>1.41</v>
      </c>
      <c r="I1083" t="n">
        <v>0.72</v>
      </c>
      <c r="J1083" t="inlineStr">
        <is>
          <t>Informational, Commercial</t>
        </is>
      </c>
      <c r="K1083" t="inlineStr">
        <is>
          <t>NOT AVAILABLE (report not requested)</t>
        </is>
      </c>
      <c r="L1083" t="inlineStr">
        <is>
          <t>NOT AVAILABLE</t>
        </is>
      </c>
      <c r="M1083" t="inlineStr">
        <is>
          <t>MEASURED</t>
        </is>
      </c>
      <c r="N1083" s="5" t="inlineStr">
        <is>
          <t>Semrush phrase_questions seed "site internet"</t>
        </is>
      </c>
      <c r="O1083" t="inlineStr">
        <is>
          <t>2026-10-30</t>
        </is>
      </c>
      <c r="P1083">
        <f>IF(IF(J1083="NOT AVAILABLE","",J1083)="",12,IF(OR(ISNUMBER(SEARCH("Transactional",IF(J1083="NOT AVAILABLE","",J1083))),ISNUMBER(SEARCH("Commercial",IF(J1083="NOT AVAILABLE","",J1083)))),25,IF(ISNUMBER(SEARCH("Informational",IF(J1083="NOT AVAILABLE","",J1083))),10,IF(ISNUMBER(SEARCH("Navigational",IF(J1083="NOT AVAILABLE","",J1083))),0,12))))</f>
        <v/>
      </c>
      <c r="Q1083">
        <f>IF(ISNUMBER(F1083),MIN(30,ROUND(30*LOG10(F1083+1)/4,1)),0)</f>
        <v/>
      </c>
      <c r="R1083">
        <f>IF(ISNUMBER(G1083),ROUND(25*(100-G1083)/100,1),12.5)</f>
        <v/>
      </c>
      <c r="S1083" t="n">
        <v>14</v>
      </c>
      <c r="T1083">
        <f>ROUND(P1083+Q1083+R1083+S1083,0)</f>
        <v/>
      </c>
      <c r="U1083" s="5" t="inlineStr"/>
      <c r="V1083" s="5" t="inlineStr"/>
    </row>
    <row r="1084">
      <c r="A1084" t="inlineStr">
        <is>
          <t>K1082</t>
        </is>
      </c>
      <c r="B1084" t="inlineStr">
        <is>
          <t>logiciel immobilier</t>
        </is>
      </c>
      <c r="C1084" t="inlineStr">
        <is>
          <t>France</t>
        </is>
      </c>
      <c r="D1084" t="inlineStr">
        <is>
          <t>fr</t>
        </is>
      </c>
      <c r="E1084" t="inlineStr">
        <is>
          <t>fr</t>
        </is>
      </c>
      <c r="F1084" t="n">
        <v>1300</v>
      </c>
      <c r="G1084" t="n">
        <v>23</v>
      </c>
      <c r="H1084" t="n">
        <v>4.48</v>
      </c>
      <c r="I1084" t="n">
        <v>0.5600000000000001</v>
      </c>
      <c r="J1084" t="inlineStr">
        <is>
          <t>Informational, Commercial</t>
        </is>
      </c>
      <c r="K1084" t="inlineStr">
        <is>
          <t>NOT AVAILABLE (report not requested)</t>
        </is>
      </c>
      <c r="L1084" t="inlineStr">
        <is>
          <t>stable (calc.)</t>
        </is>
      </c>
      <c r="M1084" t="inlineStr">
        <is>
          <t>MEASURED</t>
        </is>
      </c>
      <c r="N1084" s="5" t="inlineStr">
        <is>
          <t>Semrush phrase_these (live, this session)</t>
        </is>
      </c>
      <c r="O1084" t="inlineStr">
        <is>
          <t>2026-10-30</t>
        </is>
      </c>
      <c r="P1084">
        <f>IF(IF(J1084="NOT AVAILABLE","",J1084)="",12,IF(OR(ISNUMBER(SEARCH("Transactional",IF(J1084="NOT AVAILABLE","",J1084))),ISNUMBER(SEARCH("Commercial",IF(J1084="NOT AVAILABLE","",J1084)))),25,IF(ISNUMBER(SEARCH("Informational",IF(J1084="NOT AVAILABLE","",J1084))),10,IF(ISNUMBER(SEARCH("Navigational",IF(J1084="NOT AVAILABLE","",J1084))),0,12))))</f>
        <v/>
      </c>
      <c r="Q1084">
        <f>IF(ISNUMBER(F1084),MIN(30,ROUND(30*LOG10(F1084+1)/4,1)),0)</f>
        <v/>
      </c>
      <c r="R1084">
        <f>IF(ISNUMBER(G1084),ROUND(25*(100-G1084)/100,1),12.5)</f>
        <v/>
      </c>
      <c r="S1084" t="n">
        <v>14</v>
      </c>
      <c r="T1084">
        <f>ROUND(P1084+Q1084+R1084+S1084,0)</f>
        <v/>
      </c>
      <c r="U1084" s="5" t="inlineStr"/>
      <c r="V1084" s="5" t="inlineStr">
        <is>
          <t>OPTIONAL /services/real-estate-website-development</t>
        </is>
      </c>
    </row>
    <row r="1085">
      <c r="A1085" t="inlineStr">
        <is>
          <t>K1083</t>
        </is>
      </c>
      <c r="B1085" t="inlineStr">
        <is>
          <t>comment créer un site internet gratuit</t>
        </is>
      </c>
      <c r="C1085" t="inlineStr">
        <is>
          <t>France</t>
        </is>
      </c>
      <c r="D1085" t="inlineStr">
        <is>
          <t>fr</t>
        </is>
      </c>
      <c r="E1085" t="inlineStr">
        <is>
          <t>fr</t>
        </is>
      </c>
      <c r="F1085" t="n">
        <v>1000</v>
      </c>
      <c r="G1085" t="n">
        <v>47</v>
      </c>
      <c r="H1085" t="n">
        <v>1.95</v>
      </c>
      <c r="I1085" t="n">
        <v>0.74</v>
      </c>
      <c r="J1085" t="inlineStr">
        <is>
          <t>Informational</t>
        </is>
      </c>
      <c r="K1085" t="inlineStr">
        <is>
          <t>NOT AVAILABLE (report not requested)</t>
        </is>
      </c>
      <c r="L1085" t="inlineStr">
        <is>
          <t>NOT AVAILABLE</t>
        </is>
      </c>
      <c r="M1085" t="inlineStr">
        <is>
          <t>MEASURED</t>
        </is>
      </c>
      <c r="N1085" s="5" t="inlineStr">
        <is>
          <t>Semrush phrase_questions seed "site internet"</t>
        </is>
      </c>
      <c r="O1085" t="inlineStr">
        <is>
          <t>2026-10-30</t>
        </is>
      </c>
      <c r="P1085">
        <f>IF(IF(J1085="NOT AVAILABLE","",J1085)="",12,IF(OR(ISNUMBER(SEARCH("Transactional",IF(J1085="NOT AVAILABLE","",J1085))),ISNUMBER(SEARCH("Commercial",IF(J1085="NOT AVAILABLE","",J1085)))),25,IF(ISNUMBER(SEARCH("Informational",IF(J1085="NOT AVAILABLE","",J1085))),10,IF(ISNUMBER(SEARCH("Navigational",IF(J1085="NOT AVAILABLE","",J1085))),0,12))))</f>
        <v/>
      </c>
      <c r="Q1085">
        <f>IF(ISNUMBER(F1085),MIN(30,ROUND(30*LOG10(F1085+1)/4,1)),0)</f>
        <v/>
      </c>
      <c r="R1085">
        <f>IF(ISNUMBER(G1085),ROUND(25*(100-G1085)/100,1),12.5)</f>
        <v/>
      </c>
      <c r="S1085" t="n">
        <v>14</v>
      </c>
      <c r="T1085">
        <f>ROUND(P1085+Q1085+R1085+S1085,0)</f>
        <v/>
      </c>
      <c r="U1085" s="5" t="inlineStr"/>
      <c r="V1085" s="5" t="inlineStr"/>
    </row>
    <row r="1086">
      <c r="A1086" t="inlineStr">
        <is>
          <t>K1084</t>
        </is>
      </c>
      <c r="B1086" t="inlineStr">
        <is>
          <t>création boutique en ligne</t>
        </is>
      </c>
      <c r="C1086" t="inlineStr">
        <is>
          <t>France</t>
        </is>
      </c>
      <c r="D1086" t="inlineStr">
        <is>
          <t>fr</t>
        </is>
      </c>
      <c r="E1086" t="inlineStr">
        <is>
          <t>fr</t>
        </is>
      </c>
      <c r="F1086" t="n">
        <v>1000</v>
      </c>
      <c r="G1086" t="n">
        <v>51</v>
      </c>
      <c r="H1086" t="n">
        <v>3.7</v>
      </c>
      <c r="I1086" t="n">
        <v>0.51</v>
      </c>
      <c r="J1086" t="inlineStr">
        <is>
          <t>Informational</t>
        </is>
      </c>
      <c r="K1086" t="inlineStr">
        <is>
          <t>NOT AVAILABLE (report not requested)</t>
        </is>
      </c>
      <c r="L1086" t="inlineStr">
        <is>
          <t>stable (calc.)</t>
        </is>
      </c>
      <c r="M1086" t="inlineStr">
        <is>
          <t>MEASURED</t>
        </is>
      </c>
      <c r="N1086" s="5" t="inlineStr">
        <is>
          <t>Semrush phrase_these (live, this session)</t>
        </is>
      </c>
      <c r="O1086" t="inlineStr">
        <is>
          <t>2026-10-30</t>
        </is>
      </c>
      <c r="P1086">
        <f>IF(IF(J1086="NOT AVAILABLE","",J1086)="",12,IF(OR(ISNUMBER(SEARCH("Transactional",IF(J1086="NOT AVAILABLE","",J1086))),ISNUMBER(SEARCH("Commercial",IF(J1086="NOT AVAILABLE","",J1086)))),25,IF(ISNUMBER(SEARCH("Informational",IF(J1086="NOT AVAILABLE","",J1086))),10,IF(ISNUMBER(SEARCH("Navigational",IF(J1086="NOT AVAILABLE","",J1086))),0,12))))</f>
        <v/>
      </c>
      <c r="Q1086">
        <f>IF(ISNUMBER(F1086),MIN(30,ROUND(30*LOG10(F1086+1)/4,1)),0)</f>
        <v/>
      </c>
      <c r="R1086">
        <f>IF(ISNUMBER(G1086),ROUND(25*(100-G1086)/100,1),12.5)</f>
        <v/>
      </c>
      <c r="S1086" t="n">
        <v>14</v>
      </c>
      <c r="T1086">
        <f>ROUND(P1086+Q1086+R1086+S1086,0)</f>
        <v/>
      </c>
      <c r="U1086" s="5" t="inlineStr"/>
      <c r="V1086" s="5" t="inlineStr"/>
    </row>
    <row r="1087">
      <c r="A1087" t="inlineStr">
        <is>
          <t>K1085</t>
        </is>
      </c>
      <c r="B1087" t="inlineStr">
        <is>
          <t>développement application web</t>
        </is>
      </c>
      <c r="C1087" t="inlineStr">
        <is>
          <t>France</t>
        </is>
      </c>
      <c r="D1087" t="inlineStr">
        <is>
          <t>fr</t>
        </is>
      </c>
      <c r="E1087" t="inlineStr">
        <is>
          <t>fr</t>
        </is>
      </c>
      <c r="F1087" t="n">
        <v>1000</v>
      </c>
      <c r="G1087" t="n">
        <v>16</v>
      </c>
      <c r="H1087" t="n">
        <v>10.13</v>
      </c>
      <c r="I1087" t="n">
        <v>0.34</v>
      </c>
      <c r="J1087" t="inlineStr">
        <is>
          <t>Informational</t>
        </is>
      </c>
      <c r="K1087" t="inlineStr">
        <is>
          <t>NOT AVAILABLE (report not requested)</t>
        </is>
      </c>
      <c r="L1087" t="inlineStr">
        <is>
          <t>declining (calc.)</t>
        </is>
      </c>
      <c r="M1087" t="inlineStr">
        <is>
          <t>MEASURED</t>
        </is>
      </c>
      <c r="N1087" s="5" t="inlineStr">
        <is>
          <t>Semrush phrase_these (live, this session)</t>
        </is>
      </c>
      <c r="O1087" t="inlineStr">
        <is>
          <t>2026-10-30</t>
        </is>
      </c>
      <c r="P1087">
        <f>IF(IF(J1087="NOT AVAILABLE","",J1087)="",12,IF(OR(ISNUMBER(SEARCH("Transactional",IF(J1087="NOT AVAILABLE","",J1087))),ISNUMBER(SEARCH("Commercial",IF(J1087="NOT AVAILABLE","",J1087)))),25,IF(ISNUMBER(SEARCH("Informational",IF(J1087="NOT AVAILABLE","",J1087))),10,IF(ISNUMBER(SEARCH("Navigational",IF(J1087="NOT AVAILABLE","",J1087))),0,12))))</f>
        <v/>
      </c>
      <c r="Q1087">
        <f>IF(ISNUMBER(F1087),MIN(30,ROUND(30*LOG10(F1087+1)/4,1)),0)</f>
        <v/>
      </c>
      <c r="R1087">
        <f>IF(ISNUMBER(G1087),ROUND(25*(100-G1087)/100,1),12.5)</f>
        <v/>
      </c>
      <c r="S1087" t="n">
        <v>14</v>
      </c>
      <c r="T1087">
        <f>ROUND(P1087+Q1087+R1087+S1087,0)</f>
        <v/>
      </c>
      <c r="U1087" s="5" t="inlineStr"/>
      <c r="V1087" s="5" t="inlineStr">
        <is>
          <t>SUPPORTING /services/saas-platform-development</t>
        </is>
      </c>
    </row>
    <row r="1088">
      <c r="A1088" t="inlineStr">
        <is>
          <t>K1086</t>
        </is>
      </c>
      <c r="B1088" t="inlineStr">
        <is>
          <t>développeur web freelance</t>
        </is>
      </c>
      <c r="C1088" t="inlineStr">
        <is>
          <t>France</t>
        </is>
      </c>
      <c r="D1088" t="inlineStr">
        <is>
          <t>fr</t>
        </is>
      </c>
      <c r="E1088" t="inlineStr">
        <is>
          <t>fr</t>
        </is>
      </c>
      <c r="F1088" t="n">
        <v>1000</v>
      </c>
      <c r="G1088" t="n">
        <v>22</v>
      </c>
      <c r="H1088" t="n">
        <v>1.53</v>
      </c>
      <c r="I1088" t="n">
        <v>0.27</v>
      </c>
      <c r="J1088" t="inlineStr">
        <is>
          <t>Transactional</t>
        </is>
      </c>
      <c r="K1088" t="inlineStr">
        <is>
          <t>NOT AVAILABLE (report not requested)</t>
        </is>
      </c>
      <c r="L1088" t="inlineStr">
        <is>
          <t>stable (calc.)</t>
        </is>
      </c>
      <c r="M1088" t="inlineStr">
        <is>
          <t>MEASURED</t>
        </is>
      </c>
      <c r="N1088" s="5" t="inlineStr">
        <is>
          <t>Semrush phrase_these (live, this session)</t>
        </is>
      </c>
      <c r="O1088" t="inlineStr">
        <is>
          <t>2026-10-30</t>
        </is>
      </c>
      <c r="P1088">
        <f>IF(IF(J1088="NOT AVAILABLE","",J1088)="",12,IF(OR(ISNUMBER(SEARCH("Transactional",IF(J1088="NOT AVAILABLE","",J1088))),ISNUMBER(SEARCH("Commercial",IF(J1088="NOT AVAILABLE","",J1088)))),25,IF(ISNUMBER(SEARCH("Informational",IF(J1088="NOT AVAILABLE","",J1088))),10,IF(ISNUMBER(SEARCH("Navigational",IF(J1088="NOT AVAILABLE","",J1088))),0,12))))</f>
        <v/>
      </c>
      <c r="Q1088">
        <f>IF(ISNUMBER(F1088),MIN(30,ROUND(30*LOG10(F1088+1)/4,1)),0)</f>
        <v/>
      </c>
      <c r="R1088">
        <f>IF(ISNUMBER(G1088),ROUND(25*(100-G1088)/100,1),12.5)</f>
        <v/>
      </c>
      <c r="S1088" t="n">
        <v>14</v>
      </c>
      <c r="T1088">
        <f>ROUND(P1088+Q1088+R1088+S1088,0)</f>
        <v/>
      </c>
      <c r="U1088" s="5" t="inlineStr"/>
      <c r="V1088" s="5" t="inlineStr"/>
    </row>
    <row r="1089">
      <c r="A1089" t="inlineStr">
        <is>
          <t>K1087</t>
        </is>
      </c>
      <c r="B1089" t="inlineStr">
        <is>
          <t>json-ld</t>
        </is>
      </c>
      <c r="C1089" t="inlineStr">
        <is>
          <t>France</t>
        </is>
      </c>
      <c r="D1089" t="inlineStr">
        <is>
          <t>fr</t>
        </is>
      </c>
      <c r="E1089" t="inlineStr">
        <is>
          <t>fr</t>
        </is>
      </c>
      <c r="F1089" t="n">
        <v>1000</v>
      </c>
      <c r="G1089" t="n">
        <v>61</v>
      </c>
      <c r="H1089" t="n">
        <v>5.03</v>
      </c>
      <c r="I1089" t="n">
        <v>0.01</v>
      </c>
      <c r="J1089" t="inlineStr">
        <is>
          <t>Informational</t>
        </is>
      </c>
      <c r="K1089" t="inlineStr">
        <is>
          <t>NOT AVAILABLE (report not requested)</t>
        </is>
      </c>
      <c r="L1089" t="inlineStr">
        <is>
          <t>declining (calc.)</t>
        </is>
      </c>
      <c r="M1089" t="inlineStr">
        <is>
          <t>MEASURED</t>
        </is>
      </c>
      <c r="N1089" s="5" t="inlineStr">
        <is>
          <t>Semrush phrase_these (live, this session)</t>
        </is>
      </c>
      <c r="O1089" t="inlineStr">
        <is>
          <t>2026-10-30</t>
        </is>
      </c>
      <c r="P1089">
        <f>IF(IF(J1089="NOT AVAILABLE","",J1089)="",12,IF(OR(ISNUMBER(SEARCH("Transactional",IF(J1089="NOT AVAILABLE","",J1089))),ISNUMBER(SEARCH("Commercial",IF(J1089="NOT AVAILABLE","",J1089)))),25,IF(ISNUMBER(SEARCH("Informational",IF(J1089="NOT AVAILABLE","",J1089))),10,IF(ISNUMBER(SEARCH("Navigational",IF(J1089="NOT AVAILABLE","",J1089))),0,12))))</f>
        <v/>
      </c>
      <c r="Q1089">
        <f>IF(ISNUMBER(F1089),MIN(30,ROUND(30*LOG10(F1089+1)/4,1)),0)</f>
        <v/>
      </c>
      <c r="R1089">
        <f>IF(ISNUMBER(G1089),ROUND(25*(100-G1089)/100,1),12.5)</f>
        <v/>
      </c>
      <c r="S1089" t="n">
        <v>14</v>
      </c>
      <c r="T1089">
        <f>ROUND(P1089+Q1089+R1089+S1089,0)</f>
        <v/>
      </c>
      <c r="U1089" s="5" t="inlineStr"/>
      <c r="V1089" s="5" t="inlineStr">
        <is>
          <t>SECONDARY /tools/schema-generator</t>
        </is>
      </c>
    </row>
    <row r="1090">
      <c r="A1090" t="inlineStr">
        <is>
          <t>K1088</t>
        </is>
      </c>
      <c r="B1090" t="inlineStr">
        <is>
          <t>meta description</t>
        </is>
      </c>
      <c r="C1090" t="inlineStr">
        <is>
          <t>France</t>
        </is>
      </c>
      <c r="D1090" t="inlineStr">
        <is>
          <t>fr</t>
        </is>
      </c>
      <c r="E1090" t="inlineStr">
        <is>
          <t>fr</t>
        </is>
      </c>
      <c r="F1090" t="n">
        <v>1000</v>
      </c>
      <c r="G1090" t="n">
        <v>37</v>
      </c>
      <c r="H1090" t="n">
        <v>0.89</v>
      </c>
      <c r="I1090" t="n">
        <v>0.06</v>
      </c>
      <c r="J1090" t="inlineStr">
        <is>
          <t>NOT AVAILABLE</t>
        </is>
      </c>
      <c r="K1090" t="inlineStr">
        <is>
          <t>NOT AVAILABLE (report not requested)</t>
        </is>
      </c>
      <c r="L1090" t="inlineStr">
        <is>
          <t>stable (calc.)</t>
        </is>
      </c>
      <c r="M1090" t="inlineStr">
        <is>
          <t>MEASURED</t>
        </is>
      </c>
      <c r="N1090" s="5" t="inlineStr">
        <is>
          <t>Semrush phrase_these (live, this session)</t>
        </is>
      </c>
      <c r="O1090" t="inlineStr">
        <is>
          <t>2026-10-30</t>
        </is>
      </c>
      <c r="P1090">
        <f>IF(IF(J1090="NOT AVAILABLE","",J1090)="",12,IF(OR(ISNUMBER(SEARCH("Transactional",IF(J1090="NOT AVAILABLE","",J1090))),ISNUMBER(SEARCH("Commercial",IF(J1090="NOT AVAILABLE","",J1090)))),25,IF(ISNUMBER(SEARCH("Informational",IF(J1090="NOT AVAILABLE","",J1090))),10,IF(ISNUMBER(SEARCH("Navigational",IF(J1090="NOT AVAILABLE","",J1090))),0,12))))</f>
        <v/>
      </c>
      <c r="Q1090">
        <f>IF(ISNUMBER(F1090),MIN(30,ROUND(30*LOG10(F1090+1)/4,1)),0)</f>
        <v/>
      </c>
      <c r="R1090">
        <f>IF(ISNUMBER(G1090),ROUND(25*(100-G1090)/100,1),12.5)</f>
        <v/>
      </c>
      <c r="S1090" t="n">
        <v>14</v>
      </c>
      <c r="T1090">
        <f>ROUND(P1090+Q1090+R1090+S1090,0)</f>
        <v/>
      </c>
      <c r="U1090" s="5" t="inlineStr"/>
      <c r="V1090" s="5" t="inlineStr">
        <is>
          <t>SECONDARY /tools/meta-tag-generator</t>
        </is>
      </c>
    </row>
    <row r="1091">
      <c r="A1091" t="inlineStr">
        <is>
          <t>K1089</t>
        </is>
      </c>
      <c r="B1091" t="inlineStr">
        <is>
          <t>plateforme de formation en ligne</t>
        </is>
      </c>
      <c r="C1091" t="inlineStr">
        <is>
          <t>France</t>
        </is>
      </c>
      <c r="D1091" t="inlineStr">
        <is>
          <t>fr</t>
        </is>
      </c>
      <c r="E1091" t="inlineStr">
        <is>
          <t>fr</t>
        </is>
      </c>
      <c r="F1091" t="n">
        <v>1000</v>
      </c>
      <c r="G1091" t="n">
        <v>51</v>
      </c>
      <c r="H1091" t="n">
        <v>4.36</v>
      </c>
      <c r="I1091" t="n">
        <v>0.42</v>
      </c>
      <c r="J1091" t="inlineStr">
        <is>
          <t>Informational</t>
        </is>
      </c>
      <c r="K1091" t="inlineStr">
        <is>
          <t>NOT AVAILABLE (report not requested)</t>
        </is>
      </c>
      <c r="L1091" t="inlineStr">
        <is>
          <t>stable (calc.)</t>
        </is>
      </c>
      <c r="M1091" t="inlineStr">
        <is>
          <t>MEASURED</t>
        </is>
      </c>
      <c r="N1091" s="5" t="inlineStr">
        <is>
          <t>Semrush phrase_these (live, this session)</t>
        </is>
      </c>
      <c r="O1091" t="inlineStr">
        <is>
          <t>2026-10-30</t>
        </is>
      </c>
      <c r="P1091">
        <f>IF(IF(J1091="NOT AVAILABLE","",J1091)="",12,IF(OR(ISNUMBER(SEARCH("Transactional",IF(J1091="NOT AVAILABLE","",J1091))),ISNUMBER(SEARCH("Commercial",IF(J1091="NOT AVAILABLE","",J1091)))),25,IF(ISNUMBER(SEARCH("Informational",IF(J1091="NOT AVAILABLE","",J1091))),10,IF(ISNUMBER(SEARCH("Navigational",IF(J1091="NOT AVAILABLE","",J1091))),0,12))))</f>
        <v/>
      </c>
      <c r="Q1091">
        <f>IF(ISNUMBER(F1091),MIN(30,ROUND(30*LOG10(F1091+1)/4,1)),0)</f>
        <v/>
      </c>
      <c r="R1091">
        <f>IF(ISNUMBER(G1091),ROUND(25*(100-G1091)/100,1),12.5)</f>
        <v/>
      </c>
      <c r="S1091" t="n">
        <v>14</v>
      </c>
      <c r="T1091">
        <f>ROUND(P1091+Q1091+R1091+S1091,0)</f>
        <v/>
      </c>
      <c r="U1091" s="5" t="inlineStr"/>
      <c r="V1091" s="5" t="inlineStr">
        <is>
          <t>SECONDARY /services/elearning-platform-development; NOT RECOMMENDED /services/online-course-platform-development</t>
        </is>
      </c>
    </row>
    <row r="1092">
      <c r="A1092" t="inlineStr">
        <is>
          <t>K1090</t>
        </is>
      </c>
      <c r="B1092" t="inlineStr">
        <is>
          <t>plateforme lms</t>
        </is>
      </c>
      <c r="C1092" t="inlineStr">
        <is>
          <t>France</t>
        </is>
      </c>
      <c r="D1092" t="inlineStr">
        <is>
          <t>fr</t>
        </is>
      </c>
      <c r="E1092" t="inlineStr">
        <is>
          <t>fr</t>
        </is>
      </c>
      <c r="F1092" t="n">
        <v>1000</v>
      </c>
      <c r="G1092" t="n">
        <v>37</v>
      </c>
      <c r="H1092" t="n">
        <v>5.74</v>
      </c>
      <c r="I1092" t="n">
        <v>0.5</v>
      </c>
      <c r="J1092" t="inlineStr">
        <is>
          <t>Informational</t>
        </is>
      </c>
      <c r="K1092" t="inlineStr">
        <is>
          <t>NOT AVAILABLE (report not requested)</t>
        </is>
      </c>
      <c r="L1092" t="inlineStr">
        <is>
          <t>stable (calc.)</t>
        </is>
      </c>
      <c r="M1092" t="inlineStr">
        <is>
          <t>MEASURED</t>
        </is>
      </c>
      <c r="N1092" s="5" t="inlineStr">
        <is>
          <t>Semrush phrase_these (live, this session)</t>
        </is>
      </c>
      <c r="O1092" t="inlineStr">
        <is>
          <t>2026-10-30</t>
        </is>
      </c>
      <c r="P1092">
        <f>IF(IF(J1092="NOT AVAILABLE","",J1092)="",12,IF(OR(ISNUMBER(SEARCH("Transactional",IF(J1092="NOT AVAILABLE","",J1092))),ISNUMBER(SEARCH("Commercial",IF(J1092="NOT AVAILABLE","",J1092)))),25,IF(ISNUMBER(SEARCH("Informational",IF(J1092="NOT AVAILABLE","",J1092))),10,IF(ISNUMBER(SEARCH("Navigational",IF(J1092="NOT AVAILABLE","",J1092))),0,12))))</f>
        <v/>
      </c>
      <c r="Q1092">
        <f>IF(ISNUMBER(F1092),MIN(30,ROUND(30*LOG10(F1092+1)/4,1)),0)</f>
        <v/>
      </c>
      <c r="R1092">
        <f>IF(ISNUMBER(G1092),ROUND(25*(100-G1092)/100,1),12.5)</f>
        <v/>
      </c>
      <c r="S1092" t="n">
        <v>14</v>
      </c>
      <c r="T1092">
        <f>ROUND(P1092+Q1092+R1092+S1092,0)</f>
        <v/>
      </c>
      <c r="U1092" s="5" t="inlineStr"/>
      <c r="V1092" s="5" t="inlineStr">
        <is>
          <t>SECONDARY /services/elearning-platform-development; NOT RECOMMENDED /blog/lms-sur-mesure-ou-produit-edtech-quelle-plateforme-e-learning</t>
        </is>
      </c>
    </row>
    <row r="1093">
      <c r="A1093" t="inlineStr">
        <is>
          <t>K1091</t>
        </is>
      </c>
      <c r="B1093" t="inlineStr">
        <is>
          <t>redirection 301</t>
        </is>
      </c>
      <c r="C1093" t="inlineStr">
        <is>
          <t>France</t>
        </is>
      </c>
      <c r="D1093" t="inlineStr">
        <is>
          <t>fr</t>
        </is>
      </c>
      <c r="E1093" t="inlineStr">
        <is>
          <t>fr</t>
        </is>
      </c>
      <c r="F1093" t="n">
        <v>1000</v>
      </c>
      <c r="G1093" t="n">
        <v>37</v>
      </c>
      <c r="H1093" t="n">
        <v>0.11</v>
      </c>
      <c r="I1093" t="n">
        <v>0.12</v>
      </c>
      <c r="J1093" t="inlineStr">
        <is>
          <t>Informational</t>
        </is>
      </c>
      <c r="K1093" t="inlineStr">
        <is>
          <t>NOT AVAILABLE (report not requested)</t>
        </is>
      </c>
      <c r="L1093" t="inlineStr">
        <is>
          <t>declining (calc.)</t>
        </is>
      </c>
      <c r="M1093" t="inlineStr">
        <is>
          <t>MEASURED</t>
        </is>
      </c>
      <c r="N1093" s="5" t="inlineStr">
        <is>
          <t>Semrush phrase_these (live, this session)</t>
        </is>
      </c>
      <c r="O1093" t="inlineStr">
        <is>
          <t>2026-10-30</t>
        </is>
      </c>
      <c r="P1093">
        <f>IF(IF(J1093="NOT AVAILABLE","",J1093)="",12,IF(OR(ISNUMBER(SEARCH("Transactional",IF(J1093="NOT AVAILABLE","",J1093))),ISNUMBER(SEARCH("Commercial",IF(J1093="NOT AVAILABLE","",J1093)))),25,IF(ISNUMBER(SEARCH("Informational",IF(J1093="NOT AVAILABLE","",J1093))),10,IF(ISNUMBER(SEARCH("Navigational",IF(J1093="NOT AVAILABLE","",J1093))),0,12))))</f>
        <v/>
      </c>
      <c r="Q1093">
        <f>IF(ISNUMBER(F1093),MIN(30,ROUND(30*LOG10(F1093+1)/4,1)),0)</f>
        <v/>
      </c>
      <c r="R1093">
        <f>IF(ISNUMBER(G1093),ROUND(25*(100-G1093)/100,1),12.5)</f>
        <v/>
      </c>
      <c r="S1093" t="n">
        <v>14</v>
      </c>
      <c r="T1093">
        <f>ROUND(P1093+Q1093+R1093+S1093,0)</f>
        <v/>
      </c>
      <c r="U1093" s="5" t="inlineStr"/>
      <c r="V1093" s="5" t="inlineStr">
        <is>
          <t>SECONDARY /tools/redirect-checker</t>
        </is>
      </c>
    </row>
    <row r="1094">
      <c r="A1094" t="inlineStr">
        <is>
          <t>K1092</t>
        </is>
      </c>
      <c r="B1094" t="inlineStr">
        <is>
          <t>test dns</t>
        </is>
      </c>
      <c r="C1094" t="inlineStr">
        <is>
          <t>France</t>
        </is>
      </c>
      <c r="D1094" t="inlineStr">
        <is>
          <t>fr</t>
        </is>
      </c>
      <c r="E1094" t="inlineStr">
        <is>
          <t>fr</t>
        </is>
      </c>
      <c r="F1094" t="n">
        <v>1000</v>
      </c>
      <c r="G1094" t="n">
        <v>56</v>
      </c>
      <c r="H1094" t="n">
        <v>0</v>
      </c>
      <c r="I1094" t="n">
        <v>0.02</v>
      </c>
      <c r="J1094" t="inlineStr">
        <is>
          <t>Informational</t>
        </is>
      </c>
      <c r="K1094" t="inlineStr">
        <is>
          <t>NOT AVAILABLE (report not requested)</t>
        </is>
      </c>
      <c r="L1094" t="inlineStr">
        <is>
          <t>stable (calc.)</t>
        </is>
      </c>
      <c r="M1094" t="inlineStr">
        <is>
          <t>MEASURED</t>
        </is>
      </c>
      <c r="N1094" s="5" t="inlineStr">
        <is>
          <t>Semrush phrase_these (live, this session)</t>
        </is>
      </c>
      <c r="O1094" t="inlineStr">
        <is>
          <t>2026-10-30</t>
        </is>
      </c>
      <c r="P1094">
        <f>IF(IF(J1094="NOT AVAILABLE","",J1094)="",12,IF(OR(ISNUMBER(SEARCH("Transactional",IF(J1094="NOT AVAILABLE","",J1094))),ISNUMBER(SEARCH("Commercial",IF(J1094="NOT AVAILABLE","",J1094)))),25,IF(ISNUMBER(SEARCH("Informational",IF(J1094="NOT AVAILABLE","",J1094))),10,IF(ISNUMBER(SEARCH("Navigational",IF(J1094="NOT AVAILABLE","",J1094))),0,12))))</f>
        <v/>
      </c>
      <c r="Q1094">
        <f>IF(ISNUMBER(F1094),MIN(30,ROUND(30*LOG10(F1094+1)/4,1)),0)</f>
        <v/>
      </c>
      <c r="R1094">
        <f>IF(ISNUMBER(G1094),ROUND(25*(100-G1094)/100,1),12.5)</f>
        <v/>
      </c>
      <c r="S1094" t="n">
        <v>14</v>
      </c>
      <c r="T1094">
        <f>ROUND(P1094+Q1094+R1094+S1094,0)</f>
        <v/>
      </c>
      <c r="U1094" s="5" t="inlineStr"/>
      <c r="V1094" s="5" t="inlineStr">
        <is>
          <t>PRIMARY /tools/domain-health-checker</t>
        </is>
      </c>
    </row>
    <row r="1095">
      <c r="A1095" t="inlineStr">
        <is>
          <t>K1093</t>
        </is>
      </c>
      <c r="B1095" t="inlineStr">
        <is>
          <t>texte lorem ipsum</t>
        </is>
      </c>
      <c r="C1095" t="inlineStr">
        <is>
          <t>France</t>
        </is>
      </c>
      <c r="D1095" t="inlineStr">
        <is>
          <t>fr</t>
        </is>
      </c>
      <c r="E1095" t="inlineStr">
        <is>
          <t>fr</t>
        </is>
      </c>
      <c r="F1095" t="n">
        <v>1000</v>
      </c>
      <c r="G1095" t="n">
        <v>48</v>
      </c>
      <c r="H1095" t="n">
        <v>1.42</v>
      </c>
      <c r="I1095" t="n">
        <v>0.01</v>
      </c>
      <c r="J1095" t="inlineStr">
        <is>
          <t>Informational</t>
        </is>
      </c>
      <c r="K1095" t="inlineStr">
        <is>
          <t>NOT AVAILABLE (report not requested)</t>
        </is>
      </c>
      <c r="L1095" t="inlineStr">
        <is>
          <t>declining (calc.)</t>
        </is>
      </c>
      <c r="M1095" t="inlineStr">
        <is>
          <t>MEASURED</t>
        </is>
      </c>
      <c r="N1095" s="5" t="inlineStr">
        <is>
          <t>Semrush phrase_these (live, this session)</t>
        </is>
      </c>
      <c r="O1095" t="inlineStr">
        <is>
          <t>2026-10-30</t>
        </is>
      </c>
      <c r="P1095">
        <f>IF(IF(J1095="NOT AVAILABLE","",J1095)="",12,IF(OR(ISNUMBER(SEARCH("Transactional",IF(J1095="NOT AVAILABLE","",J1095))),ISNUMBER(SEARCH("Commercial",IF(J1095="NOT AVAILABLE","",J1095)))),25,IF(ISNUMBER(SEARCH("Informational",IF(J1095="NOT AVAILABLE","",J1095))),10,IF(ISNUMBER(SEARCH("Navigational",IF(J1095="NOT AVAILABLE","",J1095))),0,12))))</f>
        <v/>
      </c>
      <c r="Q1095">
        <f>IF(ISNUMBER(F1095),MIN(30,ROUND(30*LOG10(F1095+1)/4,1)),0)</f>
        <v/>
      </c>
      <c r="R1095">
        <f>IF(ISNUMBER(G1095),ROUND(25*(100-G1095)/100,1),12.5)</f>
        <v/>
      </c>
      <c r="S1095" t="n">
        <v>14</v>
      </c>
      <c r="T1095">
        <f>ROUND(P1095+Q1095+R1095+S1095,0)</f>
        <v/>
      </c>
      <c r="U1095" s="5" t="inlineStr"/>
      <c r="V1095" s="5" t="inlineStr">
        <is>
          <t>SECONDARY /tools/lorem-ipsum-generator</t>
        </is>
      </c>
    </row>
    <row r="1096">
      <c r="A1096" t="inlineStr">
        <is>
          <t>K1094</t>
        </is>
      </c>
      <c r="B1096" t="inlineStr">
        <is>
          <t>analyse site web gratuit</t>
        </is>
      </c>
      <c r="C1096" t="inlineStr">
        <is>
          <t>France</t>
        </is>
      </c>
      <c r="D1096" t="inlineStr">
        <is>
          <t>fr</t>
        </is>
      </c>
      <c r="E1096" t="inlineStr">
        <is>
          <t>fr</t>
        </is>
      </c>
      <c r="F1096" t="n">
        <v>880</v>
      </c>
      <c r="G1096" t="n">
        <v>37</v>
      </c>
      <c r="H1096" t="n">
        <v>1.77</v>
      </c>
      <c r="I1096" t="n">
        <v>0.48</v>
      </c>
      <c r="J1096" t="inlineStr">
        <is>
          <t>Informational</t>
        </is>
      </c>
      <c r="K1096" t="inlineStr">
        <is>
          <t>NOT AVAILABLE (report not requested)</t>
        </is>
      </c>
      <c r="L1096" t="inlineStr">
        <is>
          <t>stable (calc.)</t>
        </is>
      </c>
      <c r="M1096" t="inlineStr">
        <is>
          <t>MEASURED</t>
        </is>
      </c>
      <c r="N1096" s="5" t="inlineStr">
        <is>
          <t>Semrush phrase_these (live, this session)</t>
        </is>
      </c>
      <c r="O1096" t="inlineStr">
        <is>
          <t>2026-10-30</t>
        </is>
      </c>
      <c r="P1096">
        <f>IF(IF(J1096="NOT AVAILABLE","",J1096)="",12,IF(OR(ISNUMBER(SEARCH("Transactional",IF(J1096="NOT AVAILABLE","",J1096))),ISNUMBER(SEARCH("Commercial",IF(J1096="NOT AVAILABLE","",J1096)))),25,IF(ISNUMBER(SEARCH("Informational",IF(J1096="NOT AVAILABLE","",J1096))),10,IF(ISNUMBER(SEARCH("Navigational",IF(J1096="NOT AVAILABLE","",J1096))),0,12))))</f>
        <v/>
      </c>
      <c r="Q1096">
        <f>IF(ISNUMBER(F1096),MIN(30,ROUND(30*LOG10(F1096+1)/4,1)),0)</f>
        <v/>
      </c>
      <c r="R1096">
        <f>IF(ISNUMBER(G1096),ROUND(25*(100-G1096)/100,1),12.5)</f>
        <v/>
      </c>
      <c r="S1096" t="n">
        <v>14</v>
      </c>
      <c r="T1096">
        <f>ROUND(P1096+Q1096+R1096+S1096,0)</f>
        <v/>
      </c>
      <c r="U1096" s="5" t="inlineStr"/>
      <c r="V1096" s="5" t="inlineStr">
        <is>
          <t>SECONDARY /tools/website-analyzer</t>
        </is>
      </c>
    </row>
    <row r="1097">
      <c r="A1097" t="inlineStr">
        <is>
          <t>K1095</t>
        </is>
      </c>
      <c r="B1097" t="inlineStr">
        <is>
          <t>devis création site internet</t>
        </is>
      </c>
      <c r="C1097" t="inlineStr">
        <is>
          <t>France</t>
        </is>
      </c>
      <c r="D1097" t="inlineStr">
        <is>
          <t>fr</t>
        </is>
      </c>
      <c r="E1097" t="inlineStr">
        <is>
          <t>fr</t>
        </is>
      </c>
      <c r="F1097" t="n">
        <v>880</v>
      </c>
      <c r="G1097" t="n">
        <v>16</v>
      </c>
      <c r="H1097" t="n">
        <v>9.140000000000001</v>
      </c>
      <c r="I1097" t="n">
        <v>0.2</v>
      </c>
      <c r="J1097" t="inlineStr">
        <is>
          <t>Informational</t>
        </is>
      </c>
      <c r="K1097" t="inlineStr">
        <is>
          <t>NOT AVAILABLE (report not requested)</t>
        </is>
      </c>
      <c r="L1097" t="inlineStr">
        <is>
          <t>declining (calc.)</t>
        </is>
      </c>
      <c r="M1097" t="inlineStr">
        <is>
          <t>MEASURED</t>
        </is>
      </c>
      <c r="N1097" s="5" t="inlineStr">
        <is>
          <t>Semrush phrase_these (live, this session)</t>
        </is>
      </c>
      <c r="O1097" t="inlineStr">
        <is>
          <t>2026-10-30</t>
        </is>
      </c>
      <c r="P1097">
        <f>IF(IF(J1097="NOT AVAILABLE","",J1097)="",12,IF(OR(ISNUMBER(SEARCH("Transactional",IF(J1097="NOT AVAILABLE","",J1097))),ISNUMBER(SEARCH("Commercial",IF(J1097="NOT AVAILABLE","",J1097)))),25,IF(ISNUMBER(SEARCH("Informational",IF(J1097="NOT AVAILABLE","",J1097))),10,IF(ISNUMBER(SEARCH("Navigational",IF(J1097="NOT AVAILABLE","",J1097))),0,12))))</f>
        <v/>
      </c>
      <c r="Q1097">
        <f>IF(ISNUMBER(F1097),MIN(30,ROUND(30*LOG10(F1097+1)/4,1)),0)</f>
        <v/>
      </c>
      <c r="R1097">
        <f>IF(ISNUMBER(G1097),ROUND(25*(100-G1097)/100,1),12.5)</f>
        <v/>
      </c>
      <c r="S1097" t="n">
        <v>14</v>
      </c>
      <c r="T1097">
        <f>ROUND(P1097+Q1097+R1097+S1097,0)</f>
        <v/>
      </c>
      <c r="U1097" s="5" t="inlineStr"/>
      <c r="V1097" s="5" t="inlineStr">
        <is>
          <t>SECONDARY /get-quote</t>
        </is>
      </c>
    </row>
    <row r="1098">
      <c r="A1098" t="inlineStr">
        <is>
          <t>K1096</t>
        </is>
      </c>
      <c r="B1098" t="inlineStr">
        <is>
          <t>données structurées</t>
        </is>
      </c>
      <c r="C1098" t="inlineStr">
        <is>
          <t>France</t>
        </is>
      </c>
      <c r="D1098" t="inlineStr">
        <is>
          <t>fr</t>
        </is>
      </c>
      <c r="E1098" t="inlineStr">
        <is>
          <t>fr</t>
        </is>
      </c>
      <c r="F1098" t="n">
        <v>880</v>
      </c>
      <c r="G1098" t="n">
        <v>35</v>
      </c>
      <c r="H1098" t="n">
        <v>0</v>
      </c>
      <c r="I1098" t="n">
        <v>0.01</v>
      </c>
      <c r="J1098" t="inlineStr">
        <is>
          <t>Informational</t>
        </is>
      </c>
      <c r="K1098" t="inlineStr">
        <is>
          <t>NOT AVAILABLE (report not requested)</t>
        </is>
      </c>
      <c r="L1098" t="inlineStr">
        <is>
          <t>stable (calc.)</t>
        </is>
      </c>
      <c r="M1098" t="inlineStr">
        <is>
          <t>MEASURED</t>
        </is>
      </c>
      <c r="N1098" s="5" t="inlineStr">
        <is>
          <t>Semrush phrase_these (live, this session)</t>
        </is>
      </c>
      <c r="O1098" t="inlineStr">
        <is>
          <t>2026-10-30</t>
        </is>
      </c>
      <c r="P1098">
        <f>IF(IF(J1098="NOT AVAILABLE","",J1098)="",12,IF(OR(ISNUMBER(SEARCH("Transactional",IF(J1098="NOT AVAILABLE","",J1098))),ISNUMBER(SEARCH("Commercial",IF(J1098="NOT AVAILABLE","",J1098)))),25,IF(ISNUMBER(SEARCH("Informational",IF(J1098="NOT AVAILABLE","",J1098))),10,IF(ISNUMBER(SEARCH("Navigational",IF(J1098="NOT AVAILABLE","",J1098))),0,12))))</f>
        <v/>
      </c>
      <c r="Q1098">
        <f>IF(ISNUMBER(F1098),MIN(30,ROUND(30*LOG10(F1098+1)/4,1)),0)</f>
        <v/>
      </c>
      <c r="R1098">
        <f>IF(ISNUMBER(G1098),ROUND(25*(100-G1098)/100,1),12.5)</f>
        <v/>
      </c>
      <c r="S1098" t="n">
        <v>14</v>
      </c>
      <c r="T1098">
        <f>ROUND(P1098+Q1098+R1098+S1098,0)</f>
        <v/>
      </c>
      <c r="U1098" s="5" t="inlineStr"/>
      <c r="V1098" s="5" t="inlineStr">
        <is>
          <t>SECONDARY /tools/schema-generator</t>
        </is>
      </c>
    </row>
    <row r="1099">
      <c r="A1099" t="inlineStr">
        <is>
          <t>K1097</t>
        </is>
      </c>
      <c r="B1099" t="inlineStr">
        <is>
          <t>hreflang</t>
        </is>
      </c>
      <c r="C1099" t="inlineStr">
        <is>
          <t>France</t>
        </is>
      </c>
      <c r="D1099" t="inlineStr">
        <is>
          <t>fr</t>
        </is>
      </c>
      <c r="E1099" t="inlineStr">
        <is>
          <t>fr</t>
        </is>
      </c>
      <c r="F1099" t="n">
        <v>880</v>
      </c>
      <c r="G1099" t="n">
        <v>29</v>
      </c>
      <c r="H1099" t="n">
        <v>1</v>
      </c>
      <c r="I1099" t="n">
        <v>0.02</v>
      </c>
      <c r="J1099" t="inlineStr">
        <is>
          <t>Informational</t>
        </is>
      </c>
      <c r="K1099" t="inlineStr">
        <is>
          <t>NOT AVAILABLE (report not requested)</t>
        </is>
      </c>
      <c r="L1099" t="inlineStr">
        <is>
          <t>declining (calc.)</t>
        </is>
      </c>
      <c r="M1099" t="inlineStr">
        <is>
          <t>MEASURED</t>
        </is>
      </c>
      <c r="N1099" s="5" t="inlineStr">
        <is>
          <t>Semrush phrase_these (live, this session)</t>
        </is>
      </c>
      <c r="O1099" t="inlineStr">
        <is>
          <t>2026-10-30</t>
        </is>
      </c>
      <c r="P1099">
        <f>IF(IF(J1099="NOT AVAILABLE","",J1099)="",12,IF(OR(ISNUMBER(SEARCH("Transactional",IF(J1099="NOT AVAILABLE","",J1099))),ISNUMBER(SEARCH("Commercial",IF(J1099="NOT AVAILABLE","",J1099)))),25,IF(ISNUMBER(SEARCH("Informational",IF(J1099="NOT AVAILABLE","",J1099))),10,IF(ISNUMBER(SEARCH("Navigational",IF(J1099="NOT AVAILABLE","",J1099))),0,12))))</f>
        <v/>
      </c>
      <c r="Q1099">
        <f>IF(ISNUMBER(F1099),MIN(30,ROUND(30*LOG10(F1099+1)/4,1)),0)</f>
        <v/>
      </c>
      <c r="R1099">
        <f>IF(ISNUMBER(G1099),ROUND(25*(100-G1099)/100,1),12.5)</f>
        <v/>
      </c>
      <c r="S1099" t="n">
        <v>14</v>
      </c>
      <c r="T1099">
        <f>ROUND(P1099+Q1099+R1099+S1099,0)</f>
        <v/>
      </c>
      <c r="U1099" s="5" t="inlineStr"/>
      <c r="V1099" s="5" t="inlineStr">
        <is>
          <t>PRIMARY /tools/hreflang-generator</t>
        </is>
      </c>
    </row>
    <row r="1100">
      <c r="A1100" t="inlineStr">
        <is>
          <t>K1098</t>
        </is>
      </c>
      <c r="B1100" t="inlineStr">
        <is>
          <t>broken link checker</t>
        </is>
      </c>
      <c r="C1100" t="inlineStr">
        <is>
          <t>France</t>
        </is>
      </c>
      <c r="D1100" t="inlineStr">
        <is>
          <t>fr</t>
        </is>
      </c>
      <c r="E1100" t="inlineStr">
        <is>
          <t>fr</t>
        </is>
      </c>
      <c r="F1100" t="n">
        <v>720</v>
      </c>
      <c r="G1100" t="n">
        <v>78</v>
      </c>
      <c r="H1100" t="n">
        <v>1.23</v>
      </c>
      <c r="I1100" t="n">
        <v>0.1</v>
      </c>
      <c r="J1100" t="inlineStr">
        <is>
          <t>Informational, Commercial</t>
        </is>
      </c>
      <c r="K1100" t="inlineStr">
        <is>
          <t>NOT AVAILABLE (report not requested)</t>
        </is>
      </c>
      <c r="L1100" t="inlineStr">
        <is>
          <t>declining (calc.)</t>
        </is>
      </c>
      <c r="M1100" t="inlineStr">
        <is>
          <t>MEASURED</t>
        </is>
      </c>
      <c r="N1100" s="5" t="inlineStr">
        <is>
          <t>Semrush phrase_these (live, this session)</t>
        </is>
      </c>
      <c r="O1100" t="inlineStr">
        <is>
          <t>2026-10-30</t>
        </is>
      </c>
      <c r="P1100">
        <f>IF(IF(J1100="NOT AVAILABLE","",J1100)="",12,IF(OR(ISNUMBER(SEARCH("Transactional",IF(J1100="NOT AVAILABLE","",J1100))),ISNUMBER(SEARCH("Commercial",IF(J1100="NOT AVAILABLE","",J1100)))),25,IF(ISNUMBER(SEARCH("Informational",IF(J1100="NOT AVAILABLE","",J1100))),10,IF(ISNUMBER(SEARCH("Navigational",IF(J1100="NOT AVAILABLE","",J1100))),0,12))))</f>
        <v/>
      </c>
      <c r="Q1100">
        <f>IF(ISNUMBER(F1100),MIN(30,ROUND(30*LOG10(F1100+1)/4,1)),0)</f>
        <v/>
      </c>
      <c r="R1100">
        <f>IF(ISNUMBER(G1100),ROUND(25*(100-G1100)/100,1),12.5)</f>
        <v/>
      </c>
      <c r="S1100" t="n">
        <v>14</v>
      </c>
      <c r="T1100">
        <f>ROUND(P1100+Q1100+R1100+S1100,0)</f>
        <v/>
      </c>
      <c r="U1100" s="5" t="inlineStr"/>
      <c r="V1100" s="5" t="inlineStr">
        <is>
          <t>PRIMARY /tools/broken-link-checker</t>
        </is>
      </c>
    </row>
    <row r="1101">
      <c r="A1101" t="inlineStr">
        <is>
          <t>K1099</t>
        </is>
      </c>
      <c r="B1101" t="inlineStr">
        <is>
          <t>conception site web</t>
        </is>
      </c>
      <c r="C1101" t="inlineStr">
        <is>
          <t>France</t>
        </is>
      </c>
      <c r="D1101" t="inlineStr">
        <is>
          <t>fr</t>
        </is>
      </c>
      <c r="E1101" t="inlineStr">
        <is>
          <t>fr</t>
        </is>
      </c>
      <c r="F1101" t="n">
        <v>720</v>
      </c>
      <c r="G1101" t="n">
        <v>58</v>
      </c>
      <c r="H1101" t="n">
        <v>3.23</v>
      </c>
      <c r="I1101" t="n">
        <v>0.28</v>
      </c>
      <c r="J1101" t="inlineStr">
        <is>
          <t>Commercial</t>
        </is>
      </c>
      <c r="K1101" t="inlineStr">
        <is>
          <t>NOT AVAILABLE (report not requested)</t>
        </is>
      </c>
      <c r="L1101" t="inlineStr">
        <is>
          <t>declining (calc.)</t>
        </is>
      </c>
      <c r="M1101" t="inlineStr">
        <is>
          <t>MEASURED</t>
        </is>
      </c>
      <c r="N1101" s="5" t="inlineStr">
        <is>
          <t>Semrush phrase_these (live, this session)</t>
        </is>
      </c>
      <c r="O1101" t="inlineStr">
        <is>
          <t>2026-10-30</t>
        </is>
      </c>
      <c r="P1101">
        <f>IF(IF(J1101="NOT AVAILABLE","",J1101)="",12,IF(OR(ISNUMBER(SEARCH("Transactional",IF(J1101="NOT AVAILABLE","",J1101))),ISNUMBER(SEARCH("Commercial",IF(J1101="NOT AVAILABLE","",J1101)))),25,IF(ISNUMBER(SEARCH("Informational",IF(J1101="NOT AVAILABLE","",J1101))),10,IF(ISNUMBER(SEARCH("Navigational",IF(J1101="NOT AVAILABLE","",J1101))),0,12))))</f>
        <v/>
      </c>
      <c r="Q1101">
        <f>IF(ISNUMBER(F1101),MIN(30,ROUND(30*LOG10(F1101+1)/4,1)),0)</f>
        <v/>
      </c>
      <c r="R1101">
        <f>IF(ISNUMBER(G1101),ROUND(25*(100-G1101)/100,1),12.5)</f>
        <v/>
      </c>
      <c r="S1101" t="n">
        <v>14</v>
      </c>
      <c r="T1101">
        <f>ROUND(P1101+Q1101+R1101+S1101,0)</f>
        <v/>
      </c>
      <c r="U1101" s="5" t="inlineStr"/>
      <c r="V1101" s="5" t="inlineStr"/>
    </row>
    <row r="1102">
      <c r="A1102" t="inlineStr">
        <is>
          <t>K1100</t>
        </is>
      </c>
      <c r="B1102" t="inlineStr">
        <is>
          <t>domain authority</t>
        </is>
      </c>
      <c r="C1102" t="inlineStr">
        <is>
          <t>France</t>
        </is>
      </c>
      <c r="D1102" t="inlineStr">
        <is>
          <t>fr</t>
        </is>
      </c>
      <c r="E1102" t="inlineStr">
        <is>
          <t>fr</t>
        </is>
      </c>
      <c r="F1102" t="n">
        <v>720</v>
      </c>
      <c r="G1102" t="n">
        <v>83</v>
      </c>
      <c r="H1102" t="n">
        <v>2.07</v>
      </c>
      <c r="I1102" t="n">
        <v>0.04</v>
      </c>
      <c r="J1102" t="inlineStr">
        <is>
          <t>Informational</t>
        </is>
      </c>
      <c r="K1102" t="inlineStr">
        <is>
          <t>NOT AVAILABLE (report not requested)</t>
        </is>
      </c>
      <c r="L1102" t="inlineStr">
        <is>
          <t>rising (calc.)</t>
        </is>
      </c>
      <c r="M1102" t="inlineStr">
        <is>
          <t>MEASURED</t>
        </is>
      </c>
      <c r="N1102" s="5" t="inlineStr">
        <is>
          <t>Semrush phrase_these (live, this session)</t>
        </is>
      </c>
      <c r="O1102" t="inlineStr">
        <is>
          <t>2026-10-30</t>
        </is>
      </c>
      <c r="P1102">
        <f>IF(IF(J1102="NOT AVAILABLE","",J1102)="",12,IF(OR(ISNUMBER(SEARCH("Transactional",IF(J1102="NOT AVAILABLE","",J1102))),ISNUMBER(SEARCH("Commercial",IF(J1102="NOT AVAILABLE","",J1102)))),25,IF(ISNUMBER(SEARCH("Informational",IF(J1102="NOT AVAILABLE","",J1102))),10,IF(ISNUMBER(SEARCH("Navigational",IF(J1102="NOT AVAILABLE","",J1102))),0,12))))</f>
        <v/>
      </c>
      <c r="Q1102">
        <f>IF(ISNUMBER(F1102),MIN(30,ROUND(30*LOG10(F1102+1)/4,1)),0)</f>
        <v/>
      </c>
      <c r="R1102">
        <f>IF(ISNUMBER(G1102),ROUND(25*(100-G1102)/100,1),12.5)</f>
        <v/>
      </c>
      <c r="S1102" t="n">
        <v>14</v>
      </c>
      <c r="T1102">
        <f>ROUND(P1102+Q1102+R1102+S1102,0)</f>
        <v/>
      </c>
      <c r="U1102" s="5" t="inlineStr"/>
      <c r="V1102" s="5" t="inlineStr">
        <is>
          <t>NOT RECOMMENDED /tools/domain-authority-checker</t>
        </is>
      </c>
    </row>
    <row r="1103">
      <c r="A1103" t="inlineStr">
        <is>
          <t>K1101</t>
        </is>
      </c>
      <c r="B1103" t="inlineStr">
        <is>
          <t>duplicate content</t>
        </is>
      </c>
      <c r="C1103" t="inlineStr">
        <is>
          <t>France</t>
        </is>
      </c>
      <c r="D1103" t="inlineStr">
        <is>
          <t>fr</t>
        </is>
      </c>
      <c r="E1103" t="inlineStr">
        <is>
          <t>fr</t>
        </is>
      </c>
      <c r="F1103" t="n">
        <v>720</v>
      </c>
      <c r="G1103" t="n">
        <v>32</v>
      </c>
      <c r="H1103" t="n">
        <v>0</v>
      </c>
      <c r="I1103" t="n">
        <v>0.02</v>
      </c>
      <c r="J1103" t="inlineStr">
        <is>
          <t>Informational</t>
        </is>
      </c>
      <c r="K1103" t="inlineStr">
        <is>
          <t>NOT AVAILABLE (report not requested)</t>
        </is>
      </c>
      <c r="L1103" t="inlineStr">
        <is>
          <t>declining (calc.)</t>
        </is>
      </c>
      <c r="M1103" t="inlineStr">
        <is>
          <t>MEASURED</t>
        </is>
      </c>
      <c r="N1103" s="5" t="inlineStr">
        <is>
          <t>Semrush phrase_these (live, this session)</t>
        </is>
      </c>
      <c r="O1103" t="inlineStr">
        <is>
          <t>2026-10-30</t>
        </is>
      </c>
      <c r="P1103">
        <f>IF(IF(J1103="NOT AVAILABLE","",J1103)="",12,IF(OR(ISNUMBER(SEARCH("Transactional",IF(J1103="NOT AVAILABLE","",J1103))),ISNUMBER(SEARCH("Commercial",IF(J1103="NOT AVAILABLE","",J1103)))),25,IF(ISNUMBER(SEARCH("Informational",IF(J1103="NOT AVAILABLE","",J1103))),10,IF(ISNUMBER(SEARCH("Navigational",IF(J1103="NOT AVAILABLE","",J1103))),0,12))))</f>
        <v/>
      </c>
      <c r="Q1103">
        <f>IF(ISNUMBER(F1103),MIN(30,ROUND(30*LOG10(F1103+1)/4,1)),0)</f>
        <v/>
      </c>
      <c r="R1103">
        <f>IF(ISNUMBER(G1103),ROUND(25*(100-G1103)/100,1),12.5)</f>
        <v/>
      </c>
      <c r="S1103" t="n">
        <v>14</v>
      </c>
      <c r="T1103">
        <f>ROUND(P1103+Q1103+R1103+S1103,0)</f>
        <v/>
      </c>
      <c r="U1103" s="5" t="inlineStr"/>
      <c r="V1103" s="5" t="inlineStr">
        <is>
          <t>PRIMARY /tools/duplicate-content-checker</t>
        </is>
      </c>
    </row>
    <row r="1104">
      <c r="A1104" t="inlineStr">
        <is>
          <t>K1102</t>
        </is>
      </c>
      <c r="B1104" t="inlineStr">
        <is>
          <t>détecter texte ia</t>
        </is>
      </c>
      <c r="C1104" t="inlineStr">
        <is>
          <t>France</t>
        </is>
      </c>
      <c r="D1104" t="inlineStr">
        <is>
          <t>fr</t>
        </is>
      </c>
      <c r="E1104" t="inlineStr">
        <is>
          <t>fr</t>
        </is>
      </c>
      <c r="F1104" t="n">
        <v>720</v>
      </c>
      <c r="G1104" t="n">
        <v>70</v>
      </c>
      <c r="H1104" t="n">
        <v>0.17</v>
      </c>
      <c r="I1104" t="n">
        <v>0.31</v>
      </c>
      <c r="J1104" t="inlineStr">
        <is>
          <t>Commercial</t>
        </is>
      </c>
      <c r="K1104" t="inlineStr">
        <is>
          <t>NOT AVAILABLE (report not requested)</t>
        </is>
      </c>
      <c r="L1104" t="inlineStr">
        <is>
          <t>rising (calc.)</t>
        </is>
      </c>
      <c r="M1104" t="inlineStr">
        <is>
          <t>MEASURED</t>
        </is>
      </c>
      <c r="N1104" s="5" t="inlineStr">
        <is>
          <t>Semrush phrase_these (live, this session)</t>
        </is>
      </c>
      <c r="O1104" t="inlineStr">
        <is>
          <t>2026-10-30</t>
        </is>
      </c>
      <c r="P1104">
        <f>IF(IF(J1104="NOT AVAILABLE","",J1104)="",12,IF(OR(ISNUMBER(SEARCH("Transactional",IF(J1104="NOT AVAILABLE","",J1104))),ISNUMBER(SEARCH("Commercial",IF(J1104="NOT AVAILABLE","",J1104)))),25,IF(ISNUMBER(SEARCH("Informational",IF(J1104="NOT AVAILABLE","",J1104))),10,IF(ISNUMBER(SEARCH("Navigational",IF(J1104="NOT AVAILABLE","",J1104))),0,12))))</f>
        <v/>
      </c>
      <c r="Q1104">
        <f>IF(ISNUMBER(F1104),MIN(30,ROUND(30*LOG10(F1104+1)/4,1)),0)</f>
        <v/>
      </c>
      <c r="R1104">
        <f>IF(ISNUMBER(G1104),ROUND(25*(100-G1104)/100,1),12.5)</f>
        <v/>
      </c>
      <c r="S1104" t="n">
        <v>14</v>
      </c>
      <c r="T1104">
        <f>ROUND(P1104+Q1104+R1104+S1104,0)</f>
        <v/>
      </c>
      <c r="U1104" s="5" t="inlineStr"/>
      <c r="V1104" s="5" t="inlineStr">
        <is>
          <t>NOT RECOMMENDED /tools/invisible-character-cleaner</t>
        </is>
      </c>
    </row>
    <row r="1105">
      <c r="A1105" t="inlineStr">
        <is>
          <t>K1103</t>
        </is>
      </c>
      <c r="B1105" t="inlineStr">
        <is>
          <t>llms txt</t>
        </is>
      </c>
      <c r="C1105" t="inlineStr">
        <is>
          <t>France</t>
        </is>
      </c>
      <c r="D1105" t="inlineStr">
        <is>
          <t>fr</t>
        </is>
      </c>
      <c r="E1105" t="inlineStr">
        <is>
          <t>fr</t>
        </is>
      </c>
      <c r="F1105" t="n">
        <v>720</v>
      </c>
      <c r="G1105" t="n">
        <v>29</v>
      </c>
      <c r="H1105" t="n">
        <v>0.23</v>
      </c>
      <c r="I1105" t="n">
        <v>0.1</v>
      </c>
      <c r="J1105" t="inlineStr">
        <is>
          <t>Informational</t>
        </is>
      </c>
      <c r="K1105" t="inlineStr">
        <is>
          <t>NOT AVAILABLE (report not requested)</t>
        </is>
      </c>
      <c r="L1105" t="inlineStr">
        <is>
          <t>rising (calc.)</t>
        </is>
      </c>
      <c r="M1105" t="inlineStr">
        <is>
          <t>MEASURED</t>
        </is>
      </c>
      <c r="N1105" s="5" t="inlineStr">
        <is>
          <t>Semrush phrase_these (live, this session)</t>
        </is>
      </c>
      <c r="O1105" t="inlineStr">
        <is>
          <t>2026-10-30</t>
        </is>
      </c>
      <c r="P1105">
        <f>IF(IF(J1105="NOT AVAILABLE","",J1105)="",12,IF(OR(ISNUMBER(SEARCH("Transactional",IF(J1105="NOT AVAILABLE","",J1105))),ISNUMBER(SEARCH("Commercial",IF(J1105="NOT AVAILABLE","",J1105)))),25,IF(ISNUMBER(SEARCH("Informational",IF(J1105="NOT AVAILABLE","",J1105))),10,IF(ISNUMBER(SEARCH("Navigational",IF(J1105="NOT AVAILABLE","",J1105))),0,12))))</f>
        <v/>
      </c>
      <c r="Q1105">
        <f>IF(ISNUMBER(F1105),MIN(30,ROUND(30*LOG10(F1105+1)/4,1)),0)</f>
        <v/>
      </c>
      <c r="R1105">
        <f>IF(ISNUMBER(G1105),ROUND(25*(100-G1105)/100,1),12.5)</f>
        <v/>
      </c>
      <c r="S1105" t="n">
        <v>14</v>
      </c>
      <c r="T1105">
        <f>ROUND(P1105+Q1105+R1105+S1105,0)</f>
        <v/>
      </c>
      <c r="U1105" s="5" t="inlineStr"/>
      <c r="V1105" s="5" t="inlineStr">
        <is>
          <t>SECONDARY /tools/llms-txt-generator</t>
        </is>
      </c>
    </row>
    <row r="1106">
      <c r="A1106" t="inlineStr">
        <is>
          <t>K1104</t>
        </is>
      </c>
      <c r="B1106" t="inlineStr">
        <is>
          <t>outil seo gratuit</t>
        </is>
      </c>
      <c r="C1106" t="inlineStr">
        <is>
          <t>France</t>
        </is>
      </c>
      <c r="D1106" t="inlineStr">
        <is>
          <t>fr</t>
        </is>
      </c>
      <c r="E1106" t="inlineStr">
        <is>
          <t>fr</t>
        </is>
      </c>
      <c r="F1106" t="n">
        <v>720</v>
      </c>
      <c r="G1106" t="n">
        <v>43</v>
      </c>
      <c r="H1106" t="n">
        <v>2.39</v>
      </c>
      <c r="I1106" t="n">
        <v>0.25</v>
      </c>
      <c r="J1106" t="inlineStr">
        <is>
          <t>Informational</t>
        </is>
      </c>
      <c r="K1106" t="inlineStr">
        <is>
          <t>NOT AVAILABLE (report not requested)</t>
        </is>
      </c>
      <c r="L1106" t="inlineStr">
        <is>
          <t>stable (calc.)</t>
        </is>
      </c>
      <c r="M1106" t="inlineStr">
        <is>
          <t>MEASURED</t>
        </is>
      </c>
      <c r="N1106" s="5" t="inlineStr">
        <is>
          <t>Semrush phrase_these (live, this session)</t>
        </is>
      </c>
      <c r="O1106" t="inlineStr">
        <is>
          <t>2026-10-30</t>
        </is>
      </c>
      <c r="P1106">
        <f>IF(IF(J1106="NOT AVAILABLE","",J1106)="",12,IF(OR(ISNUMBER(SEARCH("Transactional",IF(J1106="NOT AVAILABLE","",J1106))),ISNUMBER(SEARCH("Commercial",IF(J1106="NOT AVAILABLE","",J1106)))),25,IF(ISNUMBER(SEARCH("Informational",IF(J1106="NOT AVAILABLE","",J1106))),10,IF(ISNUMBER(SEARCH("Navigational",IF(J1106="NOT AVAILABLE","",J1106))),0,12))))</f>
        <v/>
      </c>
      <c r="Q1106">
        <f>IF(ISNUMBER(F1106),MIN(30,ROUND(30*LOG10(F1106+1)/4,1)),0)</f>
        <v/>
      </c>
      <c r="R1106">
        <f>IF(ISNUMBER(G1106),ROUND(25*(100-G1106)/100,1),12.5)</f>
        <v/>
      </c>
      <c r="S1106" t="n">
        <v>14</v>
      </c>
      <c r="T1106">
        <f>ROUND(P1106+Q1106+R1106+S1106,0)</f>
        <v/>
      </c>
      <c r="U1106" s="5" t="inlineStr"/>
      <c r="V1106" s="5" t="inlineStr">
        <is>
          <t>PRIMARY /tools</t>
        </is>
      </c>
    </row>
    <row r="1107">
      <c r="A1107" t="inlineStr">
        <is>
          <t>K1105</t>
        </is>
      </c>
      <c r="B1107" t="inlineStr">
        <is>
          <t>sitemap xml</t>
        </is>
      </c>
      <c r="C1107" t="inlineStr">
        <is>
          <t>France</t>
        </is>
      </c>
      <c r="D1107" t="inlineStr">
        <is>
          <t>fr</t>
        </is>
      </c>
      <c r="E1107" t="inlineStr">
        <is>
          <t>fr</t>
        </is>
      </c>
      <c r="F1107" t="n">
        <v>720</v>
      </c>
      <c r="G1107" t="n">
        <v>39</v>
      </c>
      <c r="H1107" t="n">
        <v>1.45</v>
      </c>
      <c r="I1107" t="n">
        <v>0.09</v>
      </c>
      <c r="J1107" t="inlineStr">
        <is>
          <t>Informational</t>
        </is>
      </c>
      <c r="K1107" t="inlineStr">
        <is>
          <t>NOT AVAILABLE (report not requested)</t>
        </is>
      </c>
      <c r="L1107" t="inlineStr">
        <is>
          <t>declining (calc.)</t>
        </is>
      </c>
      <c r="M1107" t="inlineStr">
        <is>
          <t>MEASURED</t>
        </is>
      </c>
      <c r="N1107" s="5" t="inlineStr">
        <is>
          <t>Semrush phrase_these (live, this session)</t>
        </is>
      </c>
      <c r="O1107" t="inlineStr">
        <is>
          <t>2026-10-30</t>
        </is>
      </c>
      <c r="P1107">
        <f>IF(IF(J1107="NOT AVAILABLE","",J1107)="",12,IF(OR(ISNUMBER(SEARCH("Transactional",IF(J1107="NOT AVAILABLE","",J1107))),ISNUMBER(SEARCH("Commercial",IF(J1107="NOT AVAILABLE","",J1107)))),25,IF(ISNUMBER(SEARCH("Informational",IF(J1107="NOT AVAILABLE","",J1107))),10,IF(ISNUMBER(SEARCH("Navigational",IF(J1107="NOT AVAILABLE","",J1107))),0,12))))</f>
        <v/>
      </c>
      <c r="Q1107">
        <f>IF(ISNUMBER(F1107),MIN(30,ROUND(30*LOG10(F1107+1)/4,1)),0)</f>
        <v/>
      </c>
      <c r="R1107">
        <f>IF(ISNUMBER(G1107),ROUND(25*(100-G1107)/100,1),12.5)</f>
        <v/>
      </c>
      <c r="S1107" t="n">
        <v>14</v>
      </c>
      <c r="T1107">
        <f>ROUND(P1107+Q1107+R1107+S1107,0)</f>
        <v/>
      </c>
      <c r="U1107" s="5" t="inlineStr"/>
      <c r="V1107" s="5" t="inlineStr">
        <is>
          <t>PRIMARY /tools/xml-sitemap-generator</t>
        </is>
      </c>
    </row>
    <row r="1108">
      <c r="A1108" t="inlineStr">
        <is>
          <t>K1106</t>
        </is>
      </c>
      <c r="B1108" t="inlineStr">
        <is>
          <t>test données structurées</t>
        </is>
      </c>
      <c r="C1108" t="inlineStr">
        <is>
          <t>France</t>
        </is>
      </c>
      <c r="D1108" t="inlineStr">
        <is>
          <t>fr</t>
        </is>
      </c>
      <c r="E1108" t="inlineStr">
        <is>
          <t>fr</t>
        </is>
      </c>
      <c r="F1108" t="n">
        <v>720</v>
      </c>
      <c r="G1108" t="n">
        <v>37</v>
      </c>
      <c r="H1108" t="n">
        <v>0</v>
      </c>
      <c r="I1108" t="n">
        <v>0.33</v>
      </c>
      <c r="J1108" t="inlineStr">
        <is>
          <t>Navigational</t>
        </is>
      </c>
      <c r="K1108" t="inlineStr">
        <is>
          <t>NOT AVAILABLE (report not requested)</t>
        </is>
      </c>
      <c r="L1108" t="inlineStr">
        <is>
          <t>rising (calc.)</t>
        </is>
      </c>
      <c r="M1108" t="inlineStr">
        <is>
          <t>MEASURED</t>
        </is>
      </c>
      <c r="N1108" s="5" t="inlineStr">
        <is>
          <t>Semrush phrase_these (live, this session)</t>
        </is>
      </c>
      <c r="O1108" t="inlineStr">
        <is>
          <t>2026-10-30</t>
        </is>
      </c>
      <c r="P1108">
        <f>IF(IF(J1108="NOT AVAILABLE","",J1108)="",12,IF(OR(ISNUMBER(SEARCH("Transactional",IF(J1108="NOT AVAILABLE","",J1108))),ISNUMBER(SEARCH("Commercial",IF(J1108="NOT AVAILABLE","",J1108)))),25,IF(ISNUMBER(SEARCH("Informational",IF(J1108="NOT AVAILABLE","",J1108))),10,IF(ISNUMBER(SEARCH("Navigational",IF(J1108="NOT AVAILABLE","",J1108))),0,12))))</f>
        <v/>
      </c>
      <c r="Q1108">
        <f>IF(ISNUMBER(F1108),MIN(30,ROUND(30*LOG10(F1108+1)/4,1)),0)</f>
        <v/>
      </c>
      <c r="R1108">
        <f>IF(ISNUMBER(G1108),ROUND(25*(100-G1108)/100,1),12.5)</f>
        <v/>
      </c>
      <c r="S1108" t="n">
        <v>14</v>
      </c>
      <c r="T1108">
        <f>ROUND(P1108+Q1108+R1108+S1108,0)</f>
        <v/>
      </c>
      <c r="U1108" s="5" t="inlineStr"/>
      <c r="V1108" s="5" t="inlineStr">
        <is>
          <t>PRIMARY /tools/structured-data-extractor</t>
        </is>
      </c>
    </row>
    <row r="1109">
      <c r="A1109" t="inlineStr">
        <is>
          <t>K1107</t>
        </is>
      </c>
      <c r="B1109" t="inlineStr">
        <is>
          <t>agence web santé</t>
        </is>
      </c>
      <c r="C1109" t="inlineStr">
        <is>
          <t>France</t>
        </is>
      </c>
      <c r="D1109" t="inlineStr">
        <is>
          <t>fr</t>
        </is>
      </c>
      <c r="E1109" t="inlineStr">
        <is>
          <t>fr</t>
        </is>
      </c>
      <c r="F1109" t="n">
        <v>590</v>
      </c>
      <c r="G1109" t="n">
        <v>28</v>
      </c>
      <c r="H1109" t="n">
        <v>2.76</v>
      </c>
      <c r="I1109" t="n">
        <v>0.05</v>
      </c>
      <c r="J1109" t="inlineStr">
        <is>
          <t>Informational</t>
        </is>
      </c>
      <c r="K1109" t="inlineStr">
        <is>
          <t>NOT AVAILABLE (report not requested)</t>
        </is>
      </c>
      <c r="L1109" t="inlineStr">
        <is>
          <t>rising (calc.)</t>
        </is>
      </c>
      <c r="M1109" t="inlineStr">
        <is>
          <t>MEASURED</t>
        </is>
      </c>
      <c r="N1109" s="5" t="inlineStr">
        <is>
          <t>Semrush phrase_these (live, this session)</t>
        </is>
      </c>
      <c r="O1109" t="inlineStr">
        <is>
          <t>2026-10-30</t>
        </is>
      </c>
      <c r="P1109">
        <f>IF(IF(J1109="NOT AVAILABLE","",J1109)="",12,IF(OR(ISNUMBER(SEARCH("Transactional",IF(J1109="NOT AVAILABLE","",J1109))),ISNUMBER(SEARCH("Commercial",IF(J1109="NOT AVAILABLE","",J1109)))),25,IF(ISNUMBER(SEARCH("Informational",IF(J1109="NOT AVAILABLE","",J1109))),10,IF(ISNUMBER(SEARCH("Navigational",IF(J1109="NOT AVAILABLE","",J1109))),0,12))))</f>
        <v/>
      </c>
      <c r="Q1109">
        <f>IF(ISNUMBER(F1109),MIN(30,ROUND(30*LOG10(F1109+1)/4,1)),0)</f>
        <v/>
      </c>
      <c r="R1109">
        <f>IF(ISNUMBER(G1109),ROUND(25*(100-G1109)/100,1),12.5)</f>
        <v/>
      </c>
      <c r="S1109" t="n">
        <v>14</v>
      </c>
      <c r="T1109">
        <f>ROUND(P1109+Q1109+R1109+S1109,0)</f>
        <v/>
      </c>
      <c r="U1109" s="5" t="inlineStr"/>
      <c r="V1109" s="5" t="inlineStr">
        <is>
          <t>PRIMARY /services/healthcare-website-development; NOT RECOMMENDED /services/telemedicine-website-development</t>
        </is>
      </c>
    </row>
    <row r="1110">
      <c r="A1110" t="inlineStr">
        <is>
          <t>K1108</t>
        </is>
      </c>
      <c r="B1110" t="inlineStr">
        <is>
          <t>analyse seo gratuit</t>
        </is>
      </c>
      <c r="C1110" t="inlineStr">
        <is>
          <t>France</t>
        </is>
      </c>
      <c r="D1110" t="inlineStr">
        <is>
          <t>fr</t>
        </is>
      </c>
      <c r="E1110" t="inlineStr">
        <is>
          <t>fr</t>
        </is>
      </c>
      <c r="F1110" t="n">
        <v>590</v>
      </c>
      <c r="G1110" t="n">
        <v>32</v>
      </c>
      <c r="H1110" t="n">
        <v>2.22</v>
      </c>
      <c r="I1110" t="n">
        <v>0.67</v>
      </c>
      <c r="J1110" t="inlineStr">
        <is>
          <t>Commercial</t>
        </is>
      </c>
      <c r="K1110" t="inlineStr">
        <is>
          <t>NOT AVAILABLE (report not requested)</t>
        </is>
      </c>
      <c r="L1110" t="inlineStr">
        <is>
          <t>stable (calc.)</t>
        </is>
      </c>
      <c r="M1110" t="inlineStr">
        <is>
          <t>MEASURED</t>
        </is>
      </c>
      <c r="N1110" s="5" t="inlineStr">
        <is>
          <t>Semrush phrase_these (live, this session)</t>
        </is>
      </c>
      <c r="O1110" t="inlineStr">
        <is>
          <t>2026-10-30</t>
        </is>
      </c>
      <c r="P1110">
        <f>IF(IF(J1110="NOT AVAILABLE","",J1110)="",12,IF(OR(ISNUMBER(SEARCH("Transactional",IF(J1110="NOT AVAILABLE","",J1110))),ISNUMBER(SEARCH("Commercial",IF(J1110="NOT AVAILABLE","",J1110)))),25,IF(ISNUMBER(SEARCH("Informational",IF(J1110="NOT AVAILABLE","",J1110))),10,IF(ISNUMBER(SEARCH("Navigational",IF(J1110="NOT AVAILABLE","",J1110))),0,12))))</f>
        <v/>
      </c>
      <c r="Q1110">
        <f>IF(ISNUMBER(F1110),MIN(30,ROUND(30*LOG10(F1110+1)/4,1)),0)</f>
        <v/>
      </c>
      <c r="R1110">
        <f>IF(ISNUMBER(G1110),ROUND(25*(100-G1110)/100,1),12.5)</f>
        <v/>
      </c>
      <c r="S1110" t="n">
        <v>14</v>
      </c>
      <c r="T1110">
        <f>ROUND(P1110+Q1110+R1110+S1110,0)</f>
        <v/>
      </c>
      <c r="U1110" s="5" t="inlineStr"/>
      <c r="V1110" s="5" t="inlineStr">
        <is>
          <t>SECONDARY /tools/website-analyzer</t>
        </is>
      </c>
    </row>
    <row r="1111">
      <c r="A1111" t="inlineStr">
        <is>
          <t>K1109</t>
        </is>
      </c>
      <c r="B1111" t="inlineStr">
        <is>
          <t>combien coute un site internet</t>
        </is>
      </c>
      <c r="C1111" t="inlineStr">
        <is>
          <t>France</t>
        </is>
      </c>
      <c r="D1111" t="inlineStr">
        <is>
          <t>fr</t>
        </is>
      </c>
      <c r="E1111" t="inlineStr">
        <is>
          <t>fr</t>
        </is>
      </c>
      <c r="F1111" t="n">
        <v>590</v>
      </c>
      <c r="G1111" t="n">
        <v>33</v>
      </c>
      <c r="H1111" t="n">
        <v>1.56</v>
      </c>
      <c r="I1111" t="n">
        <v>0.49</v>
      </c>
      <c r="J1111" t="inlineStr">
        <is>
          <t>Informational</t>
        </is>
      </c>
      <c r="K1111" t="inlineStr">
        <is>
          <t>NOT AVAILABLE (report not requested)</t>
        </is>
      </c>
      <c r="L1111" t="inlineStr">
        <is>
          <t>stable (calc.)</t>
        </is>
      </c>
      <c r="M1111" t="inlineStr">
        <is>
          <t>MEASURED</t>
        </is>
      </c>
      <c r="N1111" s="5" t="inlineStr">
        <is>
          <t>Semrush phrase_these (live, this session)</t>
        </is>
      </c>
      <c r="O1111" t="inlineStr">
        <is>
          <t>2026-10-30</t>
        </is>
      </c>
      <c r="P1111">
        <f>IF(IF(J1111="NOT AVAILABLE","",J1111)="",12,IF(OR(ISNUMBER(SEARCH("Transactional",IF(J1111="NOT AVAILABLE","",J1111))),ISNUMBER(SEARCH("Commercial",IF(J1111="NOT AVAILABLE","",J1111)))),25,IF(ISNUMBER(SEARCH("Informational",IF(J1111="NOT AVAILABLE","",J1111))),10,IF(ISNUMBER(SEARCH("Navigational",IF(J1111="NOT AVAILABLE","",J1111))),0,12))))</f>
        <v/>
      </c>
      <c r="Q1111">
        <f>IF(ISNUMBER(F1111),MIN(30,ROUND(30*LOG10(F1111+1)/4,1)),0)</f>
        <v/>
      </c>
      <c r="R1111">
        <f>IF(ISNUMBER(G1111),ROUND(25*(100-G1111)/100,1),12.5)</f>
        <v/>
      </c>
      <c r="S1111" t="n">
        <v>14</v>
      </c>
      <c r="T1111">
        <f>ROUND(P1111+Q1111+R1111+S1111,0)</f>
        <v/>
      </c>
      <c r="U1111" s="5" t="inlineStr"/>
      <c r="V1111" s="5" t="inlineStr">
        <is>
          <t>FAQ /get-quote</t>
        </is>
      </c>
    </row>
    <row r="1112">
      <c r="A1112" t="inlineStr">
        <is>
          <t>K1110</t>
        </is>
      </c>
      <c r="B1112" t="inlineStr">
        <is>
          <t>comment bloquer un site internet</t>
        </is>
      </c>
      <c r="C1112" t="inlineStr">
        <is>
          <t>France</t>
        </is>
      </c>
      <c r="D1112" t="inlineStr">
        <is>
          <t>fr</t>
        </is>
      </c>
      <c r="E1112" t="inlineStr">
        <is>
          <t>fr</t>
        </is>
      </c>
      <c r="F1112" t="n">
        <v>590</v>
      </c>
      <c r="G1112" t="n">
        <v>28</v>
      </c>
      <c r="H1112" t="n">
        <v>0.28</v>
      </c>
      <c r="I1112" t="n">
        <v>0.12</v>
      </c>
      <c r="J1112" t="inlineStr">
        <is>
          <t>Informational</t>
        </is>
      </c>
      <c r="K1112" t="inlineStr">
        <is>
          <t>NOT AVAILABLE (report not requested)</t>
        </is>
      </c>
      <c r="L1112" t="inlineStr">
        <is>
          <t>NOT AVAILABLE</t>
        </is>
      </c>
      <c r="M1112" t="inlineStr">
        <is>
          <t>MEASURED</t>
        </is>
      </c>
      <c r="N1112" s="5" t="inlineStr">
        <is>
          <t>Semrush phrase_questions seed "site internet"</t>
        </is>
      </c>
      <c r="O1112" t="inlineStr">
        <is>
          <t>2026-10-30</t>
        </is>
      </c>
      <c r="P1112">
        <f>IF(IF(J1112="NOT AVAILABLE","",J1112)="",12,IF(OR(ISNUMBER(SEARCH("Transactional",IF(J1112="NOT AVAILABLE","",J1112))),ISNUMBER(SEARCH("Commercial",IF(J1112="NOT AVAILABLE","",J1112)))),25,IF(ISNUMBER(SEARCH("Informational",IF(J1112="NOT AVAILABLE","",J1112))),10,IF(ISNUMBER(SEARCH("Navigational",IF(J1112="NOT AVAILABLE","",J1112))),0,12))))</f>
        <v/>
      </c>
      <c r="Q1112">
        <f>IF(ISNUMBER(F1112),MIN(30,ROUND(30*LOG10(F1112+1)/4,1)),0)</f>
        <v/>
      </c>
      <c r="R1112">
        <f>IF(ISNUMBER(G1112),ROUND(25*(100-G1112)/100,1),12.5)</f>
        <v/>
      </c>
      <c r="S1112" t="n">
        <v>14</v>
      </c>
      <c r="T1112">
        <f>ROUND(P1112+Q1112+R1112+S1112,0)</f>
        <v/>
      </c>
      <c r="U1112" s="5" t="inlineStr"/>
      <c r="V1112" s="5" t="inlineStr"/>
    </row>
    <row r="1113">
      <c r="A1113" t="inlineStr">
        <is>
          <t>K1111</t>
        </is>
      </c>
      <c r="B1113" t="inlineStr">
        <is>
          <t>comment creer un site internet</t>
        </is>
      </c>
      <c r="C1113" t="inlineStr">
        <is>
          <t>France</t>
        </is>
      </c>
      <c r="D1113" t="inlineStr">
        <is>
          <t>fr</t>
        </is>
      </c>
      <c r="E1113" t="inlineStr">
        <is>
          <t>fr</t>
        </is>
      </c>
      <c r="F1113" t="n">
        <v>590</v>
      </c>
      <c r="G1113" t="n">
        <v>51</v>
      </c>
      <c r="H1113" t="n">
        <v>2.15</v>
      </c>
      <c r="I1113" t="n">
        <v>0.75</v>
      </c>
      <c r="J1113" t="inlineStr">
        <is>
          <t>Informational</t>
        </is>
      </c>
      <c r="K1113" t="inlineStr">
        <is>
          <t>NOT AVAILABLE (report not requested)</t>
        </is>
      </c>
      <c r="L1113" t="inlineStr">
        <is>
          <t>NOT AVAILABLE</t>
        </is>
      </c>
      <c r="M1113" t="inlineStr">
        <is>
          <t>MEASURED</t>
        </is>
      </c>
      <c r="N1113" s="5" t="inlineStr">
        <is>
          <t>Semrush phrase_questions seed "site internet"</t>
        </is>
      </c>
      <c r="O1113" t="inlineStr">
        <is>
          <t>2026-10-30</t>
        </is>
      </c>
      <c r="P1113">
        <f>IF(IF(J1113="NOT AVAILABLE","",J1113)="",12,IF(OR(ISNUMBER(SEARCH("Transactional",IF(J1113="NOT AVAILABLE","",J1113))),ISNUMBER(SEARCH("Commercial",IF(J1113="NOT AVAILABLE","",J1113)))),25,IF(ISNUMBER(SEARCH("Informational",IF(J1113="NOT AVAILABLE","",J1113))),10,IF(ISNUMBER(SEARCH("Navigational",IF(J1113="NOT AVAILABLE","",J1113))),0,12))))</f>
        <v/>
      </c>
      <c r="Q1113">
        <f>IF(ISNUMBER(F1113),MIN(30,ROUND(30*LOG10(F1113+1)/4,1)),0)</f>
        <v/>
      </c>
      <c r="R1113">
        <f>IF(ISNUMBER(G1113),ROUND(25*(100-G1113)/100,1),12.5)</f>
        <v/>
      </c>
      <c r="S1113" t="n">
        <v>14</v>
      </c>
      <c r="T1113">
        <f>ROUND(P1113+Q1113+R1113+S1113,0)</f>
        <v/>
      </c>
      <c r="U1113" s="5" t="inlineStr"/>
      <c r="V1113" s="5" t="inlineStr"/>
    </row>
    <row r="1114">
      <c r="A1114" t="inlineStr">
        <is>
          <t>K1112</t>
        </is>
      </c>
      <c r="B1114" t="inlineStr">
        <is>
          <t>comment créer un site sur internet gratuitement</t>
        </is>
      </c>
      <c r="C1114" t="inlineStr">
        <is>
          <t>France</t>
        </is>
      </c>
      <c r="D1114" t="inlineStr">
        <is>
          <t>fr</t>
        </is>
      </c>
      <c r="E1114" t="inlineStr">
        <is>
          <t>fr</t>
        </is>
      </c>
      <c r="F1114" t="n">
        <v>590</v>
      </c>
      <c r="G1114" t="n">
        <v>38</v>
      </c>
      <c r="H1114" t="n">
        <v>1.95</v>
      </c>
      <c r="I1114" t="n">
        <v>0.74</v>
      </c>
      <c r="J1114" t="inlineStr">
        <is>
          <t>Informational</t>
        </is>
      </c>
      <c r="K1114" t="inlineStr">
        <is>
          <t>NOT AVAILABLE (report not requested)</t>
        </is>
      </c>
      <c r="L1114" t="inlineStr">
        <is>
          <t>NOT AVAILABLE</t>
        </is>
      </c>
      <c r="M1114" t="inlineStr">
        <is>
          <t>MEASURED</t>
        </is>
      </c>
      <c r="N1114" s="5" t="inlineStr">
        <is>
          <t>Semrush phrase_questions seed "site internet"</t>
        </is>
      </c>
      <c r="O1114" t="inlineStr">
        <is>
          <t>2026-10-30</t>
        </is>
      </c>
      <c r="P1114">
        <f>IF(IF(J1114="NOT AVAILABLE","",J1114)="",12,IF(OR(ISNUMBER(SEARCH("Transactional",IF(J1114="NOT AVAILABLE","",J1114))),ISNUMBER(SEARCH("Commercial",IF(J1114="NOT AVAILABLE","",J1114)))),25,IF(ISNUMBER(SEARCH("Informational",IF(J1114="NOT AVAILABLE","",J1114))),10,IF(ISNUMBER(SEARCH("Navigational",IF(J1114="NOT AVAILABLE","",J1114))),0,12))))</f>
        <v/>
      </c>
      <c r="Q1114">
        <f>IF(ISNUMBER(F1114),MIN(30,ROUND(30*LOG10(F1114+1)/4,1)),0)</f>
        <v/>
      </c>
      <c r="R1114">
        <f>IF(ISNUMBER(G1114),ROUND(25*(100-G1114)/100,1),12.5)</f>
        <v/>
      </c>
      <c r="S1114" t="n">
        <v>14</v>
      </c>
      <c r="T1114">
        <f>ROUND(P1114+Q1114+R1114+S1114,0)</f>
        <v/>
      </c>
      <c r="U1114" s="5" t="inlineStr"/>
      <c r="V1114" s="5" t="inlineStr"/>
    </row>
    <row r="1115">
      <c r="A1115" t="inlineStr">
        <is>
          <t>K1113</t>
        </is>
      </c>
      <c r="B1115" t="inlineStr">
        <is>
          <t>comment faire un site internet</t>
        </is>
      </c>
      <c r="C1115" t="inlineStr">
        <is>
          <t>France</t>
        </is>
      </c>
      <c r="D1115" t="inlineStr">
        <is>
          <t>fr</t>
        </is>
      </c>
      <c r="E1115" t="inlineStr">
        <is>
          <t>fr</t>
        </is>
      </c>
      <c r="F1115" t="n">
        <v>590</v>
      </c>
      <c r="G1115" t="n">
        <v>51</v>
      </c>
      <c r="H1115" t="n">
        <v>1.92</v>
      </c>
      <c r="I1115" t="n">
        <v>0.68</v>
      </c>
      <c r="J1115" t="inlineStr">
        <is>
          <t>Informational</t>
        </is>
      </c>
      <c r="K1115" t="inlineStr">
        <is>
          <t>NOT AVAILABLE (report not requested)</t>
        </is>
      </c>
      <c r="L1115" t="inlineStr">
        <is>
          <t>NOT AVAILABLE</t>
        </is>
      </c>
      <c r="M1115" t="inlineStr">
        <is>
          <t>MEASURED</t>
        </is>
      </c>
      <c r="N1115" s="5" t="inlineStr">
        <is>
          <t>Semrush phrase_questions seed "site internet"</t>
        </is>
      </c>
      <c r="O1115" t="inlineStr">
        <is>
          <t>2026-10-30</t>
        </is>
      </c>
      <c r="P1115">
        <f>IF(IF(J1115="NOT AVAILABLE","",J1115)="",12,IF(OR(ISNUMBER(SEARCH("Transactional",IF(J1115="NOT AVAILABLE","",J1115))),ISNUMBER(SEARCH("Commercial",IF(J1115="NOT AVAILABLE","",J1115)))),25,IF(ISNUMBER(SEARCH("Informational",IF(J1115="NOT AVAILABLE","",J1115))),10,IF(ISNUMBER(SEARCH("Navigational",IF(J1115="NOT AVAILABLE","",J1115))),0,12))))</f>
        <v/>
      </c>
      <c r="Q1115">
        <f>IF(ISNUMBER(F1115),MIN(30,ROUND(30*LOG10(F1115+1)/4,1)),0)</f>
        <v/>
      </c>
      <c r="R1115">
        <f>IF(ISNUMBER(G1115),ROUND(25*(100-G1115)/100,1),12.5)</f>
        <v/>
      </c>
      <c r="S1115" t="n">
        <v>14</v>
      </c>
      <c r="T1115">
        <f>ROUND(P1115+Q1115+R1115+S1115,0)</f>
        <v/>
      </c>
      <c r="U1115" s="5" t="inlineStr"/>
      <c r="V1115" s="5" t="inlineStr"/>
    </row>
    <row r="1116">
      <c r="A1116" t="inlineStr">
        <is>
          <t>K1114</t>
        </is>
      </c>
      <c r="B1116" t="inlineStr">
        <is>
          <t>compresser image en ligne</t>
        </is>
      </c>
      <c r="C1116" t="inlineStr">
        <is>
          <t>France</t>
        </is>
      </c>
      <c r="D1116" t="inlineStr">
        <is>
          <t>fr</t>
        </is>
      </c>
      <c r="E1116" t="inlineStr">
        <is>
          <t>fr</t>
        </is>
      </c>
      <c r="F1116" t="n">
        <v>590</v>
      </c>
      <c r="G1116" t="n">
        <v>37</v>
      </c>
      <c r="H1116" t="n">
        <v>0.25</v>
      </c>
      <c r="I1116" t="n">
        <v>0.14</v>
      </c>
      <c r="J1116" t="inlineStr">
        <is>
          <t>Informational</t>
        </is>
      </c>
      <c r="K1116" t="inlineStr">
        <is>
          <t>NOT AVAILABLE (report not requested)</t>
        </is>
      </c>
      <c r="L1116" t="inlineStr">
        <is>
          <t>declining (calc.)</t>
        </is>
      </c>
      <c r="M1116" t="inlineStr">
        <is>
          <t>MEASURED</t>
        </is>
      </c>
      <c r="N1116" s="5" t="inlineStr">
        <is>
          <t>Semrush phrase_these (live, this session)</t>
        </is>
      </c>
      <c r="O1116" t="inlineStr">
        <is>
          <t>2026-10-30</t>
        </is>
      </c>
      <c r="P1116">
        <f>IF(IF(J1116="NOT AVAILABLE","",J1116)="",12,IF(OR(ISNUMBER(SEARCH("Transactional",IF(J1116="NOT AVAILABLE","",J1116))),ISNUMBER(SEARCH("Commercial",IF(J1116="NOT AVAILABLE","",J1116)))),25,IF(ISNUMBER(SEARCH("Informational",IF(J1116="NOT AVAILABLE","",J1116))),10,IF(ISNUMBER(SEARCH("Navigational",IF(J1116="NOT AVAILABLE","",J1116))),0,12))))</f>
        <v/>
      </c>
      <c r="Q1116">
        <f>IF(ISNUMBER(F1116),MIN(30,ROUND(30*LOG10(F1116+1)/4,1)),0)</f>
        <v/>
      </c>
      <c r="R1116">
        <f>IF(ISNUMBER(G1116),ROUND(25*(100-G1116)/100,1),12.5)</f>
        <v/>
      </c>
      <c r="S1116" t="n">
        <v>14</v>
      </c>
      <c r="T1116">
        <f>ROUND(P1116+Q1116+R1116+S1116,0)</f>
        <v/>
      </c>
      <c r="U1116" s="5" t="inlineStr"/>
      <c r="V1116" s="5" t="inlineStr">
        <is>
          <t>SECONDARY /tools/image-compressor</t>
        </is>
      </c>
    </row>
    <row r="1117">
      <c r="A1117" t="inlineStr">
        <is>
          <t>K1115</t>
        </is>
      </c>
      <c r="B1117" t="inlineStr">
        <is>
          <t>créer une landing page</t>
        </is>
      </c>
      <c r="C1117" t="inlineStr">
        <is>
          <t>France</t>
        </is>
      </c>
      <c r="D1117" t="inlineStr">
        <is>
          <t>fr</t>
        </is>
      </c>
      <c r="E1117" t="inlineStr">
        <is>
          <t>fr</t>
        </is>
      </c>
      <c r="F1117" t="n">
        <v>590</v>
      </c>
      <c r="G1117" t="n">
        <v>31</v>
      </c>
      <c r="H1117" t="n">
        <v>4.58</v>
      </c>
      <c r="I1117" t="n">
        <v>0.47</v>
      </c>
      <c r="J1117" t="inlineStr">
        <is>
          <t>Commercial</t>
        </is>
      </c>
      <c r="K1117" t="inlineStr">
        <is>
          <t>NOT AVAILABLE (report not requested)</t>
        </is>
      </c>
      <c r="L1117" t="inlineStr">
        <is>
          <t>declining (calc.)</t>
        </is>
      </c>
      <c r="M1117" t="inlineStr">
        <is>
          <t>MEASURED</t>
        </is>
      </c>
      <c r="N1117" s="5" t="inlineStr">
        <is>
          <t>Semrush phrase_these (live, this session)</t>
        </is>
      </c>
      <c r="O1117" t="inlineStr">
        <is>
          <t>2026-10-30</t>
        </is>
      </c>
      <c r="P1117">
        <f>IF(IF(J1117="NOT AVAILABLE","",J1117)="",12,IF(OR(ISNUMBER(SEARCH("Transactional",IF(J1117="NOT AVAILABLE","",J1117))),ISNUMBER(SEARCH("Commercial",IF(J1117="NOT AVAILABLE","",J1117)))),25,IF(ISNUMBER(SEARCH("Informational",IF(J1117="NOT AVAILABLE","",J1117))),10,IF(ISNUMBER(SEARCH("Navigational",IF(J1117="NOT AVAILABLE","",J1117))),0,12))))</f>
        <v/>
      </c>
      <c r="Q1117">
        <f>IF(ISNUMBER(F1117),MIN(30,ROUND(30*LOG10(F1117+1)/4,1)),0)</f>
        <v/>
      </c>
      <c r="R1117">
        <f>IF(ISNUMBER(G1117),ROUND(25*(100-G1117)/100,1),12.5)</f>
        <v/>
      </c>
      <c r="S1117" t="n">
        <v>14</v>
      </c>
      <c r="T1117">
        <f>ROUND(P1117+Q1117+R1117+S1117,0)</f>
        <v/>
      </c>
      <c r="U1117" s="5" t="inlineStr"/>
      <c r="V1117" s="5" t="inlineStr">
        <is>
          <t>PRIMARY /tools/landing-page-generator</t>
        </is>
      </c>
    </row>
    <row r="1118">
      <c r="A1118" t="inlineStr">
        <is>
          <t>K1116</t>
        </is>
      </c>
      <c r="B1118" t="inlineStr">
        <is>
          <t>devis site web</t>
        </is>
      </c>
      <c r="C1118" t="inlineStr">
        <is>
          <t>France</t>
        </is>
      </c>
      <c r="D1118" t="inlineStr">
        <is>
          <t>fr</t>
        </is>
      </c>
      <c r="E1118" t="inlineStr">
        <is>
          <t>fr</t>
        </is>
      </c>
      <c r="F1118" t="n">
        <v>590</v>
      </c>
      <c r="G1118" t="n">
        <v>24</v>
      </c>
      <c r="H1118" t="n">
        <v>5.18</v>
      </c>
      <c r="I1118" t="n">
        <v>0.45</v>
      </c>
      <c r="J1118" t="inlineStr">
        <is>
          <t>Informational</t>
        </is>
      </c>
      <c r="K1118" t="inlineStr">
        <is>
          <t>NOT AVAILABLE (report not requested)</t>
        </is>
      </c>
      <c r="L1118" t="inlineStr">
        <is>
          <t>declining (calc.)</t>
        </is>
      </c>
      <c r="M1118" t="inlineStr">
        <is>
          <t>MEASURED</t>
        </is>
      </c>
      <c r="N1118" s="5" t="inlineStr">
        <is>
          <t>Semrush phrase_these (live, this session)</t>
        </is>
      </c>
      <c r="O1118" t="inlineStr">
        <is>
          <t>2026-10-30</t>
        </is>
      </c>
      <c r="P1118">
        <f>IF(IF(J1118="NOT AVAILABLE","",J1118)="",12,IF(OR(ISNUMBER(SEARCH("Transactional",IF(J1118="NOT AVAILABLE","",J1118))),ISNUMBER(SEARCH("Commercial",IF(J1118="NOT AVAILABLE","",J1118)))),25,IF(ISNUMBER(SEARCH("Informational",IF(J1118="NOT AVAILABLE","",J1118))),10,IF(ISNUMBER(SEARCH("Navigational",IF(J1118="NOT AVAILABLE","",J1118))),0,12))))</f>
        <v/>
      </c>
      <c r="Q1118">
        <f>IF(ISNUMBER(F1118),MIN(30,ROUND(30*LOG10(F1118+1)/4,1)),0)</f>
        <v/>
      </c>
      <c r="R1118">
        <f>IF(ISNUMBER(G1118),ROUND(25*(100-G1118)/100,1),12.5)</f>
        <v/>
      </c>
      <c r="S1118" t="n">
        <v>14</v>
      </c>
      <c r="T1118">
        <f>ROUND(P1118+Q1118+R1118+S1118,0)</f>
        <v/>
      </c>
      <c r="U1118" s="5" t="inlineStr"/>
      <c r="V1118" s="5" t="inlineStr">
        <is>
          <t>SECONDARY /get-quote</t>
        </is>
      </c>
    </row>
    <row r="1119">
      <c r="A1119" t="inlineStr">
        <is>
          <t>K1117</t>
        </is>
      </c>
      <c r="B1119" t="inlineStr">
        <is>
          <t>générateur de mots clés</t>
        </is>
      </c>
      <c r="C1119" t="inlineStr">
        <is>
          <t>France</t>
        </is>
      </c>
      <c r="D1119" t="inlineStr">
        <is>
          <t>fr</t>
        </is>
      </c>
      <c r="E1119" t="inlineStr">
        <is>
          <t>fr</t>
        </is>
      </c>
      <c r="F1119" t="n">
        <v>590</v>
      </c>
      <c r="G1119" t="n">
        <v>38</v>
      </c>
      <c r="H1119" t="n">
        <v>1.84</v>
      </c>
      <c r="I1119" t="n">
        <v>0.11</v>
      </c>
      <c r="J1119" t="inlineStr">
        <is>
          <t>Informational</t>
        </is>
      </c>
      <c r="K1119" t="inlineStr">
        <is>
          <t>NOT AVAILABLE (report not requested)</t>
        </is>
      </c>
      <c r="L1119" t="inlineStr">
        <is>
          <t>declining (calc.)</t>
        </is>
      </c>
      <c r="M1119" t="inlineStr">
        <is>
          <t>MEASURED</t>
        </is>
      </c>
      <c r="N1119" s="5" t="inlineStr">
        <is>
          <t>Semrush phrase_these (live, this session)</t>
        </is>
      </c>
      <c r="O1119" t="inlineStr">
        <is>
          <t>2026-10-30</t>
        </is>
      </c>
      <c r="P1119">
        <f>IF(IF(J1119="NOT AVAILABLE","",J1119)="",12,IF(OR(ISNUMBER(SEARCH("Transactional",IF(J1119="NOT AVAILABLE","",J1119))),ISNUMBER(SEARCH("Commercial",IF(J1119="NOT AVAILABLE","",J1119)))),25,IF(ISNUMBER(SEARCH("Informational",IF(J1119="NOT AVAILABLE","",J1119))),10,IF(ISNUMBER(SEARCH("Navigational",IF(J1119="NOT AVAILABLE","",J1119))),0,12))))</f>
        <v/>
      </c>
      <c r="Q1119">
        <f>IF(ISNUMBER(F1119),MIN(30,ROUND(30*LOG10(F1119+1)/4,1)),0)</f>
        <v/>
      </c>
      <c r="R1119">
        <f>IF(ISNUMBER(G1119),ROUND(25*(100-G1119)/100,1),12.5)</f>
        <v/>
      </c>
      <c r="S1119" t="n">
        <v>14</v>
      </c>
      <c r="T1119">
        <f>ROUND(P1119+Q1119+R1119+S1119,0)</f>
        <v/>
      </c>
      <c r="U1119" s="5" t="inlineStr"/>
      <c r="V1119" s="5" t="inlineStr">
        <is>
          <t>PRIMARY /tools/keyword-modifier-generator</t>
        </is>
      </c>
    </row>
    <row r="1120">
      <c r="A1120" t="inlineStr">
        <is>
          <t>K1118</t>
        </is>
      </c>
      <c r="B1120" t="inlineStr">
        <is>
          <t>logiciel gestion association</t>
        </is>
      </c>
      <c r="C1120" t="inlineStr">
        <is>
          <t>France</t>
        </is>
      </c>
      <c r="D1120" t="inlineStr">
        <is>
          <t>fr</t>
        </is>
      </c>
      <c r="E1120" t="inlineStr">
        <is>
          <t>fr</t>
        </is>
      </c>
      <c r="F1120" t="n">
        <v>590</v>
      </c>
      <c r="G1120" t="n">
        <v>34</v>
      </c>
      <c r="H1120" t="n">
        <v>2.77</v>
      </c>
      <c r="I1120" t="n">
        <v>0.5600000000000001</v>
      </c>
      <c r="J1120" t="inlineStr">
        <is>
          <t>Informational</t>
        </is>
      </c>
      <c r="K1120" t="inlineStr">
        <is>
          <t>NOT AVAILABLE (report not requested)</t>
        </is>
      </c>
      <c r="L1120" t="inlineStr">
        <is>
          <t>declining (calc.)</t>
        </is>
      </c>
      <c r="M1120" t="inlineStr">
        <is>
          <t>MEASURED</t>
        </is>
      </c>
      <c r="N1120" s="5" t="inlineStr">
        <is>
          <t>Semrush phrase_these (live, this session)</t>
        </is>
      </c>
      <c r="O1120" t="inlineStr">
        <is>
          <t>2026-10-30</t>
        </is>
      </c>
      <c r="P1120">
        <f>IF(IF(J1120="NOT AVAILABLE","",J1120)="",12,IF(OR(ISNUMBER(SEARCH("Transactional",IF(J1120="NOT AVAILABLE","",J1120))),ISNUMBER(SEARCH("Commercial",IF(J1120="NOT AVAILABLE","",J1120)))),25,IF(ISNUMBER(SEARCH("Informational",IF(J1120="NOT AVAILABLE","",J1120))),10,IF(ISNUMBER(SEARCH("Navigational",IF(J1120="NOT AVAILABLE","",J1120))),0,12))))</f>
        <v/>
      </c>
      <c r="Q1120">
        <f>IF(ISNUMBER(F1120),MIN(30,ROUND(30*LOG10(F1120+1)/4,1)),0)</f>
        <v/>
      </c>
      <c r="R1120">
        <f>IF(ISNUMBER(G1120),ROUND(25*(100-G1120)/100,1),12.5)</f>
        <v/>
      </c>
      <c r="S1120" t="n">
        <v>14</v>
      </c>
      <c r="T1120">
        <f>ROUND(P1120+Q1120+R1120+S1120,0)</f>
        <v/>
      </c>
      <c r="U1120" s="5" t="inlineStr"/>
      <c r="V1120" s="5" t="inlineStr">
        <is>
          <t>NOT RECOMMENDED /our-work/mon-asso</t>
        </is>
      </c>
    </row>
    <row r="1121">
      <c r="A1121" t="inlineStr">
        <is>
          <t>K1119</t>
        </is>
      </c>
      <c r="B1121" t="inlineStr">
        <is>
          <t>site internet professionnel</t>
        </is>
      </c>
      <c r="C1121" t="inlineStr">
        <is>
          <t>France</t>
        </is>
      </c>
      <c r="D1121" t="inlineStr">
        <is>
          <t>fr</t>
        </is>
      </c>
      <c r="E1121" t="inlineStr">
        <is>
          <t>fr</t>
        </is>
      </c>
      <c r="F1121" t="n">
        <v>590</v>
      </c>
      <c r="G1121" t="n">
        <v>62</v>
      </c>
      <c r="H1121" t="n">
        <v>4.21</v>
      </c>
      <c r="I1121" t="n">
        <v>0.53</v>
      </c>
      <c r="J1121" t="inlineStr">
        <is>
          <t>Informational</t>
        </is>
      </c>
      <c r="K1121" t="inlineStr">
        <is>
          <t>NOT AVAILABLE (report not requested)</t>
        </is>
      </c>
      <c r="L1121" t="inlineStr">
        <is>
          <t>rising (calc.)</t>
        </is>
      </c>
      <c r="M1121" t="inlineStr">
        <is>
          <t>MEASURED</t>
        </is>
      </c>
      <c r="N1121" s="5" t="inlineStr">
        <is>
          <t>Semrush phrase_these (live, this session)</t>
        </is>
      </c>
      <c r="O1121" t="inlineStr">
        <is>
          <t>2026-10-30</t>
        </is>
      </c>
      <c r="P1121">
        <f>IF(IF(J1121="NOT AVAILABLE","",J1121)="",12,IF(OR(ISNUMBER(SEARCH("Transactional",IF(J1121="NOT AVAILABLE","",J1121))),ISNUMBER(SEARCH("Commercial",IF(J1121="NOT AVAILABLE","",J1121)))),25,IF(ISNUMBER(SEARCH("Informational",IF(J1121="NOT AVAILABLE","",J1121))),10,IF(ISNUMBER(SEARCH("Navigational",IF(J1121="NOT AVAILABLE","",J1121))),0,12))))</f>
        <v/>
      </c>
      <c r="Q1121">
        <f>IF(ISNUMBER(F1121),MIN(30,ROUND(30*LOG10(F1121+1)/4,1)),0)</f>
        <v/>
      </c>
      <c r="R1121">
        <f>IF(ISNUMBER(G1121),ROUND(25*(100-G1121)/100,1),12.5)</f>
        <v/>
      </c>
      <c r="S1121" t="n">
        <v>14</v>
      </c>
      <c r="T1121">
        <f>ROUND(P1121+Q1121+R1121+S1121,0)</f>
        <v/>
      </c>
      <c r="U1121" s="5" t="inlineStr"/>
      <c r="V1121" s="5" t="inlineStr"/>
    </row>
    <row r="1122">
      <c r="A1122" t="inlineStr">
        <is>
          <t>K1120</t>
        </is>
      </c>
      <c r="B1122" t="inlineStr">
        <is>
          <t>agence web offshore</t>
        </is>
      </c>
      <c r="C1122" t="inlineStr">
        <is>
          <t>France</t>
        </is>
      </c>
      <c r="D1122" t="inlineStr">
        <is>
          <t>fr</t>
        </is>
      </c>
      <c r="E1122" t="inlineStr">
        <is>
          <t>fr</t>
        </is>
      </c>
      <c r="F1122" t="n">
        <v>480</v>
      </c>
      <c r="G1122" t="n">
        <v>19</v>
      </c>
      <c r="H1122" t="n">
        <v>0</v>
      </c>
      <c r="I1122" t="n">
        <v>0.22</v>
      </c>
      <c r="J1122" t="inlineStr">
        <is>
          <t>Informational</t>
        </is>
      </c>
      <c r="K1122" t="inlineStr">
        <is>
          <t>NOT AVAILABLE (report not requested)</t>
        </is>
      </c>
      <c r="L1122" t="inlineStr">
        <is>
          <t>declining (calc.)</t>
        </is>
      </c>
      <c r="M1122" t="inlineStr">
        <is>
          <t>MEASURED</t>
        </is>
      </c>
      <c r="N1122" s="5" t="inlineStr">
        <is>
          <t>Semrush phrase_these (live, this session)</t>
        </is>
      </c>
      <c r="O1122" t="inlineStr">
        <is>
          <t>2026-10-30</t>
        </is>
      </c>
      <c r="P1122">
        <f>IF(IF(J1122="NOT AVAILABLE","",J1122)="",12,IF(OR(ISNUMBER(SEARCH("Transactional",IF(J1122="NOT AVAILABLE","",J1122))),ISNUMBER(SEARCH("Commercial",IF(J1122="NOT AVAILABLE","",J1122)))),25,IF(ISNUMBER(SEARCH("Informational",IF(J1122="NOT AVAILABLE","",J1122))),10,IF(ISNUMBER(SEARCH("Navigational",IF(J1122="NOT AVAILABLE","",J1122))),0,12))))</f>
        <v/>
      </c>
      <c r="Q1122">
        <f>IF(ISNUMBER(F1122),MIN(30,ROUND(30*LOG10(F1122+1)/4,1)),0)</f>
        <v/>
      </c>
      <c r="R1122">
        <f>IF(ISNUMBER(G1122),ROUND(25*(100-G1122)/100,1),12.5)</f>
        <v/>
      </c>
      <c r="S1122" t="n">
        <v>14</v>
      </c>
      <c r="T1122">
        <f>ROUND(P1122+Q1122+R1122+S1122,0)</f>
        <v/>
      </c>
      <c r="U1122" s="5" t="inlineStr"/>
      <c r="V1122" s="5" t="inlineStr">
        <is>
          <t>SECONDARY /web-development-company/worldwide</t>
        </is>
      </c>
    </row>
    <row r="1123">
      <c r="A1123" t="inlineStr">
        <is>
          <t>K1121</t>
        </is>
      </c>
      <c r="B1123" t="inlineStr">
        <is>
          <t>application web sur mesure</t>
        </is>
      </c>
      <c r="C1123" t="inlineStr">
        <is>
          <t>France</t>
        </is>
      </c>
      <c r="D1123" t="inlineStr">
        <is>
          <t>fr</t>
        </is>
      </c>
      <c r="E1123" t="inlineStr">
        <is>
          <t>fr</t>
        </is>
      </c>
      <c r="F1123" t="n">
        <v>480</v>
      </c>
      <c r="G1123" t="n">
        <v>14</v>
      </c>
      <c r="H1123" t="n">
        <v>7.38</v>
      </c>
      <c r="I1123" t="n">
        <v>0.12</v>
      </c>
      <c r="J1123" t="inlineStr">
        <is>
          <t>Informational</t>
        </is>
      </c>
      <c r="K1123" t="inlineStr">
        <is>
          <t>NOT AVAILABLE (report not requested)</t>
        </is>
      </c>
      <c r="L1123" t="inlineStr">
        <is>
          <t>declining (calc.)</t>
        </is>
      </c>
      <c r="M1123" t="inlineStr">
        <is>
          <t>MEASURED</t>
        </is>
      </c>
      <c r="N1123" s="5" t="inlineStr">
        <is>
          <t>Semrush phrase_these (live, this session)</t>
        </is>
      </c>
      <c r="O1123" t="inlineStr">
        <is>
          <t>2026-10-30</t>
        </is>
      </c>
      <c r="P1123">
        <f>IF(IF(J1123="NOT AVAILABLE","",J1123)="",12,IF(OR(ISNUMBER(SEARCH("Transactional",IF(J1123="NOT AVAILABLE","",J1123))),ISNUMBER(SEARCH("Commercial",IF(J1123="NOT AVAILABLE","",J1123)))),25,IF(ISNUMBER(SEARCH("Informational",IF(J1123="NOT AVAILABLE","",J1123))),10,IF(ISNUMBER(SEARCH("Navigational",IF(J1123="NOT AVAILABLE","",J1123))),0,12))))</f>
        <v/>
      </c>
      <c r="Q1123">
        <f>IF(ISNUMBER(F1123),MIN(30,ROUND(30*LOG10(F1123+1)/4,1)),0)</f>
        <v/>
      </c>
      <c r="R1123">
        <f>IF(ISNUMBER(G1123),ROUND(25*(100-G1123)/100,1),12.5)</f>
        <v/>
      </c>
      <c r="S1123" t="n">
        <v>14</v>
      </c>
      <c r="T1123">
        <f>ROUND(P1123+Q1123+R1123+S1123,0)</f>
        <v/>
      </c>
      <c r="U1123" s="5" t="inlineStr"/>
      <c r="V1123" s="5" t="inlineStr">
        <is>
          <t>SECONDARY /services/saas-platform-development</t>
        </is>
      </c>
    </row>
    <row r="1124">
      <c r="A1124" t="inlineStr">
        <is>
          <t>K1122</t>
        </is>
      </c>
      <c r="B1124" t="inlineStr">
        <is>
          <t>audit site web gratuit</t>
        </is>
      </c>
      <c r="C1124" t="inlineStr">
        <is>
          <t>France</t>
        </is>
      </c>
      <c r="D1124" t="inlineStr">
        <is>
          <t>fr</t>
        </is>
      </c>
      <c r="E1124" t="inlineStr">
        <is>
          <t>fr</t>
        </is>
      </c>
      <c r="F1124" t="n">
        <v>480</v>
      </c>
      <c r="G1124" t="n">
        <v>38</v>
      </c>
      <c r="H1124" t="n">
        <v>2.12</v>
      </c>
      <c r="I1124" t="n">
        <v>0.43</v>
      </c>
      <c r="J1124" t="inlineStr">
        <is>
          <t>Commercial</t>
        </is>
      </c>
      <c r="K1124" t="inlineStr">
        <is>
          <t>NOT AVAILABLE (report not requested)</t>
        </is>
      </c>
      <c r="L1124" t="inlineStr">
        <is>
          <t>stable (calc.)</t>
        </is>
      </c>
      <c r="M1124" t="inlineStr">
        <is>
          <t>MEASURED</t>
        </is>
      </c>
      <c r="N1124" s="5" t="inlineStr">
        <is>
          <t>Semrush phrase_these (live, this session)</t>
        </is>
      </c>
      <c r="O1124" t="inlineStr">
        <is>
          <t>2026-10-30</t>
        </is>
      </c>
      <c r="P1124">
        <f>IF(IF(J1124="NOT AVAILABLE","",J1124)="",12,IF(OR(ISNUMBER(SEARCH("Transactional",IF(J1124="NOT AVAILABLE","",J1124))),ISNUMBER(SEARCH("Commercial",IF(J1124="NOT AVAILABLE","",J1124)))),25,IF(ISNUMBER(SEARCH("Informational",IF(J1124="NOT AVAILABLE","",J1124))),10,IF(ISNUMBER(SEARCH("Navigational",IF(J1124="NOT AVAILABLE","",J1124))),0,12))))</f>
        <v/>
      </c>
      <c r="Q1124">
        <f>IF(ISNUMBER(F1124),MIN(30,ROUND(30*LOG10(F1124+1)/4,1)),0)</f>
        <v/>
      </c>
      <c r="R1124">
        <f>IF(ISNUMBER(G1124),ROUND(25*(100-G1124)/100,1),12.5)</f>
        <v/>
      </c>
      <c r="S1124" t="n">
        <v>14</v>
      </c>
      <c r="T1124">
        <f>ROUND(P1124+Q1124+R1124+S1124,0)</f>
        <v/>
      </c>
      <c r="U1124" s="5" t="inlineStr"/>
      <c r="V1124" s="5" t="inlineStr">
        <is>
          <t>SECONDARY /tools/website-analyzer</t>
        </is>
      </c>
    </row>
    <row r="1125">
      <c r="A1125" t="inlineStr">
        <is>
          <t>K1123</t>
        </is>
      </c>
      <c r="B1125" t="inlineStr">
        <is>
          <t>comment bloquer site internet</t>
        </is>
      </c>
      <c r="C1125" t="inlineStr">
        <is>
          <t>France</t>
        </is>
      </c>
      <c r="D1125" t="inlineStr">
        <is>
          <t>fr</t>
        </is>
      </c>
      <c r="E1125" t="inlineStr">
        <is>
          <t>fr</t>
        </is>
      </c>
      <c r="F1125" t="n">
        <v>480</v>
      </c>
      <c r="G1125" t="n">
        <v>21</v>
      </c>
      <c r="H1125" t="n">
        <v>0.28</v>
      </c>
      <c r="I1125" t="n">
        <v>0.12</v>
      </c>
      <c r="J1125" t="inlineStr">
        <is>
          <t>Informational</t>
        </is>
      </c>
      <c r="K1125" t="inlineStr">
        <is>
          <t>NOT AVAILABLE (report not requested)</t>
        </is>
      </c>
      <c r="L1125" t="inlineStr">
        <is>
          <t>NOT AVAILABLE</t>
        </is>
      </c>
      <c r="M1125" t="inlineStr">
        <is>
          <t>MEASURED</t>
        </is>
      </c>
      <c r="N1125" s="5" t="inlineStr">
        <is>
          <t>Semrush phrase_questions seed "site internet"</t>
        </is>
      </c>
      <c r="O1125" t="inlineStr">
        <is>
          <t>2026-10-30</t>
        </is>
      </c>
      <c r="P1125">
        <f>IF(IF(J1125="NOT AVAILABLE","",J1125)="",12,IF(OR(ISNUMBER(SEARCH("Transactional",IF(J1125="NOT AVAILABLE","",J1125))),ISNUMBER(SEARCH("Commercial",IF(J1125="NOT AVAILABLE","",J1125)))),25,IF(ISNUMBER(SEARCH("Informational",IF(J1125="NOT AVAILABLE","",J1125))),10,IF(ISNUMBER(SEARCH("Navigational",IF(J1125="NOT AVAILABLE","",J1125))),0,12))))</f>
        <v/>
      </c>
      <c r="Q1125">
        <f>IF(ISNUMBER(F1125),MIN(30,ROUND(30*LOG10(F1125+1)/4,1)),0)</f>
        <v/>
      </c>
      <c r="R1125">
        <f>IF(ISNUMBER(G1125),ROUND(25*(100-G1125)/100,1),12.5)</f>
        <v/>
      </c>
      <c r="S1125" t="n">
        <v>14</v>
      </c>
      <c r="T1125">
        <f>ROUND(P1125+Q1125+R1125+S1125,0)</f>
        <v/>
      </c>
      <c r="U1125" s="5" t="inlineStr"/>
      <c r="V1125" s="5" t="inlineStr"/>
    </row>
    <row r="1126">
      <c r="A1126" t="inlineStr">
        <is>
          <t>K1124</t>
        </is>
      </c>
      <c r="B1126" t="inlineStr">
        <is>
          <t>comment créer un site sur internet</t>
        </is>
      </c>
      <c r="C1126" t="inlineStr">
        <is>
          <t>France</t>
        </is>
      </c>
      <c r="D1126" t="inlineStr">
        <is>
          <t>fr</t>
        </is>
      </c>
      <c r="E1126" t="inlineStr">
        <is>
          <t>fr</t>
        </is>
      </c>
      <c r="F1126" t="n">
        <v>480</v>
      </c>
      <c r="G1126" t="n">
        <v>42</v>
      </c>
      <c r="H1126" t="n">
        <v>2.26</v>
      </c>
      <c r="I1126" t="n">
        <v>0.73</v>
      </c>
      <c r="J1126" t="inlineStr">
        <is>
          <t>Informational</t>
        </is>
      </c>
      <c r="K1126" t="inlineStr">
        <is>
          <t>NOT AVAILABLE (report not requested)</t>
        </is>
      </c>
      <c r="L1126" t="inlineStr">
        <is>
          <t>NOT AVAILABLE</t>
        </is>
      </c>
      <c r="M1126" t="inlineStr">
        <is>
          <t>MEASURED</t>
        </is>
      </c>
      <c r="N1126" s="5" t="inlineStr">
        <is>
          <t>Semrush phrase_questions seed "site internet"</t>
        </is>
      </c>
      <c r="O1126" t="inlineStr">
        <is>
          <t>2026-10-30</t>
        </is>
      </c>
      <c r="P1126">
        <f>IF(IF(J1126="NOT AVAILABLE","",J1126)="",12,IF(OR(ISNUMBER(SEARCH("Transactional",IF(J1126="NOT AVAILABLE","",J1126))),ISNUMBER(SEARCH("Commercial",IF(J1126="NOT AVAILABLE","",J1126)))),25,IF(ISNUMBER(SEARCH("Informational",IF(J1126="NOT AVAILABLE","",J1126))),10,IF(ISNUMBER(SEARCH("Navigational",IF(J1126="NOT AVAILABLE","",J1126))),0,12))))</f>
        <v/>
      </c>
      <c r="Q1126">
        <f>IF(ISNUMBER(F1126),MIN(30,ROUND(30*LOG10(F1126+1)/4,1)),0)</f>
        <v/>
      </c>
      <c r="R1126">
        <f>IF(ISNUMBER(G1126),ROUND(25*(100-G1126)/100,1),12.5)</f>
        <v/>
      </c>
      <c r="S1126" t="n">
        <v>14</v>
      </c>
      <c r="T1126">
        <f>ROUND(P1126+Q1126+R1126+S1126,0)</f>
        <v/>
      </c>
      <c r="U1126" s="5" t="inlineStr"/>
      <c r="V1126" s="5" t="inlineStr"/>
    </row>
    <row r="1127">
      <c r="A1127" t="inlineStr">
        <is>
          <t>K1125</t>
        </is>
      </c>
      <c r="B1127" t="inlineStr">
        <is>
          <t>contenu dupliqué</t>
        </is>
      </c>
      <c r="C1127" t="inlineStr">
        <is>
          <t>France</t>
        </is>
      </c>
      <c r="D1127" t="inlineStr">
        <is>
          <t>fr</t>
        </is>
      </c>
      <c r="E1127" t="inlineStr">
        <is>
          <t>fr</t>
        </is>
      </c>
      <c r="F1127" t="n">
        <v>480</v>
      </c>
      <c r="G1127" t="n">
        <v>22</v>
      </c>
      <c r="H1127" t="n">
        <v>0</v>
      </c>
      <c r="I1127" t="n">
        <v>0.33</v>
      </c>
      <c r="J1127" t="inlineStr">
        <is>
          <t>Informational</t>
        </is>
      </c>
      <c r="K1127" t="inlineStr">
        <is>
          <t>NOT AVAILABLE (report not requested)</t>
        </is>
      </c>
      <c r="L1127" t="inlineStr">
        <is>
          <t>declining (calc.)</t>
        </is>
      </c>
      <c r="M1127" t="inlineStr">
        <is>
          <t>MEASURED</t>
        </is>
      </c>
      <c r="N1127" s="5" t="inlineStr">
        <is>
          <t>Semrush phrase_these (live, this session)</t>
        </is>
      </c>
      <c r="O1127" t="inlineStr">
        <is>
          <t>2026-10-30</t>
        </is>
      </c>
      <c r="P1127">
        <f>IF(IF(J1127="NOT AVAILABLE","",J1127)="",12,IF(OR(ISNUMBER(SEARCH("Transactional",IF(J1127="NOT AVAILABLE","",J1127))),ISNUMBER(SEARCH("Commercial",IF(J1127="NOT AVAILABLE","",J1127)))),25,IF(ISNUMBER(SEARCH("Informational",IF(J1127="NOT AVAILABLE","",J1127))),10,IF(ISNUMBER(SEARCH("Navigational",IF(J1127="NOT AVAILABLE","",J1127))),0,12))))</f>
        <v/>
      </c>
      <c r="Q1127">
        <f>IF(ISNUMBER(F1127),MIN(30,ROUND(30*LOG10(F1127+1)/4,1)),0)</f>
        <v/>
      </c>
      <c r="R1127">
        <f>IF(ISNUMBER(G1127),ROUND(25*(100-G1127)/100,1),12.5)</f>
        <v/>
      </c>
      <c r="S1127" t="n">
        <v>14</v>
      </c>
      <c r="T1127">
        <f>ROUND(P1127+Q1127+R1127+S1127,0)</f>
        <v/>
      </c>
      <c r="U1127" s="5" t="inlineStr"/>
      <c r="V1127" s="5" t="inlineStr">
        <is>
          <t>SECONDARY /tools/duplicate-content-checker</t>
        </is>
      </c>
    </row>
    <row r="1128">
      <c r="A1128" t="inlineStr">
        <is>
          <t>K1126</t>
        </is>
      </c>
      <c r="B1128" t="inlineStr">
        <is>
          <t>créer un chatbot</t>
        </is>
      </c>
      <c r="C1128" t="inlineStr">
        <is>
          <t>France</t>
        </is>
      </c>
      <c r="D1128" t="inlineStr">
        <is>
          <t>fr</t>
        </is>
      </c>
      <c r="E1128" t="inlineStr">
        <is>
          <t>fr</t>
        </is>
      </c>
      <c r="F1128" t="n">
        <v>480</v>
      </c>
      <c r="G1128" t="n">
        <v>39</v>
      </c>
      <c r="H1128" t="n">
        <v>2.62</v>
      </c>
      <c r="I1128" t="n">
        <v>0.49</v>
      </c>
      <c r="J1128" t="inlineStr">
        <is>
          <t>Informational</t>
        </is>
      </c>
      <c r="K1128" t="inlineStr">
        <is>
          <t>NOT AVAILABLE (report not requested)</t>
        </is>
      </c>
      <c r="L1128" t="inlineStr">
        <is>
          <t>declining (calc.)</t>
        </is>
      </c>
      <c r="M1128" t="inlineStr">
        <is>
          <t>MEASURED</t>
        </is>
      </c>
      <c r="N1128" s="5" t="inlineStr">
        <is>
          <t>Semrush phrase_these (live, this session)</t>
        </is>
      </c>
      <c r="O1128" t="inlineStr">
        <is>
          <t>2026-10-30</t>
        </is>
      </c>
      <c r="P1128">
        <f>IF(IF(J1128="NOT AVAILABLE","",J1128)="",12,IF(OR(ISNUMBER(SEARCH("Transactional",IF(J1128="NOT AVAILABLE","",J1128))),ISNUMBER(SEARCH("Commercial",IF(J1128="NOT AVAILABLE","",J1128)))),25,IF(ISNUMBER(SEARCH("Informational",IF(J1128="NOT AVAILABLE","",J1128))),10,IF(ISNUMBER(SEARCH("Navigational",IF(J1128="NOT AVAILABLE","",J1128))),0,12))))</f>
        <v/>
      </c>
      <c r="Q1128">
        <f>IF(ISNUMBER(F1128),MIN(30,ROUND(30*LOG10(F1128+1)/4,1)),0)</f>
        <v/>
      </c>
      <c r="R1128">
        <f>IF(ISNUMBER(G1128),ROUND(25*(100-G1128)/100,1),12.5)</f>
        <v/>
      </c>
      <c r="S1128" t="n">
        <v>14</v>
      </c>
      <c r="T1128">
        <f>ROUND(P1128+Q1128+R1128+S1128,0)</f>
        <v/>
      </c>
      <c r="U1128" s="5" t="inlineStr"/>
      <c r="V1128" s="5" t="inlineStr">
        <is>
          <t>PRIMARY /tools/chatbot-script-generator</t>
        </is>
      </c>
    </row>
    <row r="1129">
      <c r="A1129" t="inlineStr">
        <is>
          <t>K1127</t>
        </is>
      </c>
      <c r="B1129" t="inlineStr">
        <is>
          <t>logiciel association</t>
        </is>
      </c>
      <c r="C1129" t="inlineStr">
        <is>
          <t>France</t>
        </is>
      </c>
      <c r="D1129" t="inlineStr">
        <is>
          <t>fr</t>
        </is>
      </c>
      <c r="E1129" t="inlineStr">
        <is>
          <t>fr</t>
        </is>
      </c>
      <c r="F1129" t="n">
        <v>480</v>
      </c>
      <c r="G1129" t="n">
        <v>35</v>
      </c>
      <c r="H1129" t="n">
        <v>2.99</v>
      </c>
      <c r="I1129" t="n">
        <v>0.6899999999999999</v>
      </c>
      <c r="J1129" t="inlineStr">
        <is>
          <t>Informational</t>
        </is>
      </c>
      <c r="K1129" t="inlineStr">
        <is>
          <t>NOT AVAILABLE (report not requested)</t>
        </is>
      </c>
      <c r="L1129" t="inlineStr">
        <is>
          <t>declining (calc.)</t>
        </is>
      </c>
      <c r="M1129" t="inlineStr">
        <is>
          <t>MEASURED</t>
        </is>
      </c>
      <c r="N1129" s="5" t="inlineStr">
        <is>
          <t>Semrush phrase_these (live, this session)</t>
        </is>
      </c>
      <c r="O1129" t="inlineStr">
        <is>
          <t>2026-10-30</t>
        </is>
      </c>
      <c r="P1129">
        <f>IF(IF(J1129="NOT AVAILABLE","",J1129)="",12,IF(OR(ISNUMBER(SEARCH("Transactional",IF(J1129="NOT AVAILABLE","",J1129))),ISNUMBER(SEARCH("Commercial",IF(J1129="NOT AVAILABLE","",J1129)))),25,IF(ISNUMBER(SEARCH("Informational",IF(J1129="NOT AVAILABLE","",J1129))),10,IF(ISNUMBER(SEARCH("Navigational",IF(J1129="NOT AVAILABLE","",J1129))),0,12))))</f>
        <v/>
      </c>
      <c r="Q1129">
        <f>IF(ISNUMBER(F1129),MIN(30,ROUND(30*LOG10(F1129+1)/4,1)),0)</f>
        <v/>
      </c>
      <c r="R1129">
        <f>IF(ISNUMBER(G1129),ROUND(25*(100-G1129)/100,1),12.5)</f>
        <v/>
      </c>
      <c r="S1129" t="n">
        <v>14</v>
      </c>
      <c r="T1129">
        <f>ROUND(P1129+Q1129+R1129+S1129,0)</f>
        <v/>
      </c>
      <c r="U1129" s="5" t="inlineStr"/>
      <c r="V1129" s="5" t="inlineStr"/>
    </row>
    <row r="1130">
      <c r="A1130" t="inlineStr">
        <is>
          <t>K1128</t>
        </is>
      </c>
      <c r="B1130" t="inlineStr">
        <is>
          <t>open graph</t>
        </is>
      </c>
      <c r="C1130" t="inlineStr">
        <is>
          <t>France</t>
        </is>
      </c>
      <c r="D1130" t="inlineStr">
        <is>
          <t>fr</t>
        </is>
      </c>
      <c r="E1130" t="inlineStr">
        <is>
          <t>fr</t>
        </is>
      </c>
      <c r="F1130" t="n">
        <v>480</v>
      </c>
      <c r="G1130" t="n">
        <v>41</v>
      </c>
      <c r="H1130" t="n">
        <v>0</v>
      </c>
      <c r="I1130" t="n">
        <v>0.33</v>
      </c>
      <c r="J1130" t="inlineStr">
        <is>
          <t>Informational</t>
        </is>
      </c>
      <c r="K1130" t="inlineStr">
        <is>
          <t>NOT AVAILABLE (report not requested)</t>
        </is>
      </c>
      <c r="L1130" t="inlineStr">
        <is>
          <t>rising (calc.)</t>
        </is>
      </c>
      <c r="M1130" t="inlineStr">
        <is>
          <t>MEASURED</t>
        </is>
      </c>
      <c r="N1130" s="5" t="inlineStr">
        <is>
          <t>Semrush phrase_these (live, this session)</t>
        </is>
      </c>
      <c r="O1130" t="inlineStr">
        <is>
          <t>2026-10-30</t>
        </is>
      </c>
      <c r="P1130">
        <f>IF(IF(J1130="NOT AVAILABLE","",J1130)="",12,IF(OR(ISNUMBER(SEARCH("Transactional",IF(J1130="NOT AVAILABLE","",J1130))),ISNUMBER(SEARCH("Commercial",IF(J1130="NOT AVAILABLE","",J1130)))),25,IF(ISNUMBER(SEARCH("Informational",IF(J1130="NOT AVAILABLE","",J1130))),10,IF(ISNUMBER(SEARCH("Navigational",IF(J1130="NOT AVAILABLE","",J1130))),0,12))))</f>
        <v/>
      </c>
      <c r="Q1130">
        <f>IF(ISNUMBER(F1130),MIN(30,ROUND(30*LOG10(F1130+1)/4,1)),0)</f>
        <v/>
      </c>
      <c r="R1130">
        <f>IF(ISNUMBER(G1130),ROUND(25*(100-G1130)/100,1),12.5)</f>
        <v/>
      </c>
      <c r="S1130" t="n">
        <v>14</v>
      </c>
      <c r="T1130">
        <f>ROUND(P1130+Q1130+R1130+S1130,0)</f>
        <v/>
      </c>
      <c r="U1130" s="5" t="inlineStr"/>
      <c r="V1130" s="5" t="inlineStr">
        <is>
          <t>PRIMARY /tools/og-preview-generator</t>
        </is>
      </c>
    </row>
    <row r="1131">
      <c r="A1131" t="inlineStr">
        <is>
          <t>K1129</t>
        </is>
      </c>
      <c r="B1131" t="inlineStr">
        <is>
          <t>plateforme de cours en ligne</t>
        </is>
      </c>
      <c r="C1131" t="inlineStr">
        <is>
          <t>France</t>
        </is>
      </c>
      <c r="D1131" t="inlineStr">
        <is>
          <t>fr</t>
        </is>
      </c>
      <c r="E1131" t="inlineStr">
        <is>
          <t>fr</t>
        </is>
      </c>
      <c r="F1131" t="n">
        <v>480</v>
      </c>
      <c r="G1131" t="n">
        <v>61</v>
      </c>
      <c r="H1131" t="n">
        <v>2.96</v>
      </c>
      <c r="I1131" t="n">
        <v>0.44</v>
      </c>
      <c r="J1131" t="inlineStr">
        <is>
          <t>Informational</t>
        </is>
      </c>
      <c r="K1131" t="inlineStr">
        <is>
          <t>NOT AVAILABLE (report not requested)</t>
        </is>
      </c>
      <c r="L1131" t="inlineStr">
        <is>
          <t>declining (calc.)</t>
        </is>
      </c>
      <c r="M1131" t="inlineStr">
        <is>
          <t>MEASURED</t>
        </is>
      </c>
      <c r="N1131" s="5" t="inlineStr">
        <is>
          <t>Semrush phrase_these (live, this session)</t>
        </is>
      </c>
      <c r="O1131" t="inlineStr">
        <is>
          <t>2026-10-30</t>
        </is>
      </c>
      <c r="P1131">
        <f>IF(IF(J1131="NOT AVAILABLE","",J1131)="",12,IF(OR(ISNUMBER(SEARCH("Transactional",IF(J1131="NOT AVAILABLE","",J1131))),ISNUMBER(SEARCH("Commercial",IF(J1131="NOT AVAILABLE","",J1131)))),25,IF(ISNUMBER(SEARCH("Informational",IF(J1131="NOT AVAILABLE","",J1131))),10,IF(ISNUMBER(SEARCH("Navigational",IF(J1131="NOT AVAILABLE","",J1131))),0,12))))</f>
        <v/>
      </c>
      <c r="Q1131">
        <f>IF(ISNUMBER(F1131),MIN(30,ROUND(30*LOG10(F1131+1)/4,1)),0)</f>
        <v/>
      </c>
      <c r="R1131">
        <f>IF(ISNUMBER(G1131),ROUND(25*(100-G1131)/100,1),12.5)</f>
        <v/>
      </c>
      <c r="S1131" t="n">
        <v>14</v>
      </c>
      <c r="T1131">
        <f>ROUND(P1131+Q1131+R1131+S1131,0)</f>
        <v/>
      </c>
      <c r="U1131" s="5" t="inlineStr"/>
      <c r="V1131" s="5" t="inlineStr">
        <is>
          <t>SECONDARY /services/online-course-platform-development</t>
        </is>
      </c>
    </row>
    <row r="1132">
      <c r="A1132" t="inlineStr">
        <is>
          <t>K1130</t>
        </is>
      </c>
      <c r="B1132" t="inlineStr">
        <is>
          <t>prix d'un site internet</t>
        </is>
      </c>
      <c r="C1132" t="inlineStr">
        <is>
          <t>France</t>
        </is>
      </c>
      <c r="D1132" t="inlineStr">
        <is>
          <t>fr</t>
        </is>
      </c>
      <c r="E1132" t="inlineStr">
        <is>
          <t>fr</t>
        </is>
      </c>
      <c r="F1132" t="n">
        <v>480</v>
      </c>
      <c r="G1132" t="n">
        <v>32</v>
      </c>
      <c r="H1132" t="n">
        <v>1.46</v>
      </c>
      <c r="I1132" t="n">
        <v>0.51</v>
      </c>
      <c r="J1132" t="inlineStr">
        <is>
          <t>Informational</t>
        </is>
      </c>
      <c r="K1132" t="inlineStr">
        <is>
          <t>NOT AVAILABLE (report not requested)</t>
        </is>
      </c>
      <c r="L1132" t="inlineStr">
        <is>
          <t>declining (calc.)</t>
        </is>
      </c>
      <c r="M1132" t="inlineStr">
        <is>
          <t>MEASURED</t>
        </is>
      </c>
      <c r="N1132" s="5" t="inlineStr">
        <is>
          <t>Semrush phrase_these (live, this session)</t>
        </is>
      </c>
      <c r="O1132" t="inlineStr">
        <is>
          <t>2026-10-30</t>
        </is>
      </c>
      <c r="P1132">
        <f>IF(IF(J1132="NOT AVAILABLE","",J1132)="",12,IF(OR(ISNUMBER(SEARCH("Transactional",IF(J1132="NOT AVAILABLE","",J1132))),ISNUMBER(SEARCH("Commercial",IF(J1132="NOT AVAILABLE","",J1132)))),25,IF(ISNUMBER(SEARCH("Informational",IF(J1132="NOT AVAILABLE","",J1132))),10,IF(ISNUMBER(SEARCH("Navigational",IF(J1132="NOT AVAILABLE","",J1132))),0,12))))</f>
        <v/>
      </c>
      <c r="Q1132">
        <f>IF(ISNUMBER(F1132),MIN(30,ROUND(30*LOG10(F1132+1)/4,1)),0)</f>
        <v/>
      </c>
      <c r="R1132">
        <f>IF(ISNUMBER(G1132),ROUND(25*(100-G1132)/100,1),12.5)</f>
        <v/>
      </c>
      <c r="S1132" t="n">
        <v>14</v>
      </c>
      <c r="T1132">
        <f>ROUND(P1132+Q1132+R1132+S1132,0)</f>
        <v/>
      </c>
      <c r="U1132" s="5" t="inlineStr"/>
      <c r="V1132" s="5" t="inlineStr">
        <is>
          <t>FAQ /get-quote</t>
        </is>
      </c>
    </row>
    <row r="1133">
      <c r="A1133" t="inlineStr">
        <is>
          <t>K1131</t>
        </is>
      </c>
      <c r="B1133" t="inlineStr">
        <is>
          <t>redirect checker</t>
        </is>
      </c>
      <c r="C1133" t="inlineStr">
        <is>
          <t>France</t>
        </is>
      </c>
      <c r="D1133" t="inlineStr">
        <is>
          <t>fr</t>
        </is>
      </c>
      <c r="E1133" t="inlineStr">
        <is>
          <t>fr</t>
        </is>
      </c>
      <c r="F1133" t="n">
        <v>480</v>
      </c>
      <c r="G1133" t="n">
        <v>55</v>
      </c>
      <c r="H1133" t="n">
        <v>0.61</v>
      </c>
      <c r="I1133" t="n">
        <v>0.01</v>
      </c>
      <c r="J1133" t="inlineStr">
        <is>
          <t>Commercial</t>
        </is>
      </c>
      <c r="K1133" t="inlineStr">
        <is>
          <t>NOT AVAILABLE (report not requested)</t>
        </is>
      </c>
      <c r="L1133" t="inlineStr">
        <is>
          <t>declining (calc.)</t>
        </is>
      </c>
      <c r="M1133" t="inlineStr">
        <is>
          <t>MEASURED</t>
        </is>
      </c>
      <c r="N1133" s="5" t="inlineStr">
        <is>
          <t>Semrush phrase_these (live, this session)</t>
        </is>
      </c>
      <c r="O1133" t="inlineStr">
        <is>
          <t>2026-10-30</t>
        </is>
      </c>
      <c r="P1133">
        <f>IF(IF(J1133="NOT AVAILABLE","",J1133)="",12,IF(OR(ISNUMBER(SEARCH("Transactional",IF(J1133="NOT AVAILABLE","",J1133))),ISNUMBER(SEARCH("Commercial",IF(J1133="NOT AVAILABLE","",J1133)))),25,IF(ISNUMBER(SEARCH("Informational",IF(J1133="NOT AVAILABLE","",J1133))),10,IF(ISNUMBER(SEARCH("Navigational",IF(J1133="NOT AVAILABLE","",J1133))),0,12))))</f>
        <v/>
      </c>
      <c r="Q1133">
        <f>IF(ISNUMBER(F1133),MIN(30,ROUND(30*LOG10(F1133+1)/4,1)),0)</f>
        <v/>
      </c>
      <c r="R1133">
        <f>IF(ISNUMBER(G1133),ROUND(25*(100-G1133)/100,1),12.5)</f>
        <v/>
      </c>
      <c r="S1133" t="n">
        <v>14</v>
      </c>
      <c r="T1133">
        <f>ROUND(P1133+Q1133+R1133+S1133,0)</f>
        <v/>
      </c>
      <c r="U1133" s="5" t="inlineStr"/>
      <c r="V1133" s="5" t="inlineStr">
        <is>
          <t>PRIMARY /tools/redirect-checker</t>
        </is>
      </c>
    </row>
    <row r="1134">
      <c r="A1134" t="inlineStr">
        <is>
          <t>K1132</t>
        </is>
      </c>
      <c r="B1134" t="inlineStr">
        <is>
          <t>référencement ia</t>
        </is>
      </c>
      <c r="C1134" t="inlineStr">
        <is>
          <t>France</t>
        </is>
      </c>
      <c r="D1134" t="inlineStr">
        <is>
          <t>fr</t>
        </is>
      </c>
      <c r="E1134" t="inlineStr">
        <is>
          <t>fr</t>
        </is>
      </c>
      <c r="F1134" t="n">
        <v>480</v>
      </c>
      <c r="G1134" t="n">
        <v>24</v>
      </c>
      <c r="H1134" t="n">
        <v>2.84</v>
      </c>
      <c r="I1134" t="n">
        <v>0.37</v>
      </c>
      <c r="J1134" t="inlineStr">
        <is>
          <t>Informational</t>
        </is>
      </c>
      <c r="K1134" t="inlineStr">
        <is>
          <t>NOT AVAILABLE (report not requested)</t>
        </is>
      </c>
      <c r="L1134" t="inlineStr">
        <is>
          <t>rising (calc.)</t>
        </is>
      </c>
      <c r="M1134" t="inlineStr">
        <is>
          <t>MEASURED</t>
        </is>
      </c>
      <c r="N1134" s="5" t="inlineStr">
        <is>
          <t>Semrush phrase_these (live, this session)</t>
        </is>
      </c>
      <c r="O1134" t="inlineStr">
        <is>
          <t>2026-10-30</t>
        </is>
      </c>
      <c r="P1134">
        <f>IF(IF(J1134="NOT AVAILABLE","",J1134)="",12,IF(OR(ISNUMBER(SEARCH("Transactional",IF(J1134="NOT AVAILABLE","",J1134))),ISNUMBER(SEARCH("Commercial",IF(J1134="NOT AVAILABLE","",J1134)))),25,IF(ISNUMBER(SEARCH("Informational",IF(J1134="NOT AVAILABLE","",J1134))),10,IF(ISNUMBER(SEARCH("Navigational",IF(J1134="NOT AVAILABLE","",J1134))),0,12))))</f>
        <v/>
      </c>
      <c r="Q1134">
        <f>IF(ISNUMBER(F1134),MIN(30,ROUND(30*LOG10(F1134+1)/4,1)),0)</f>
        <v/>
      </c>
      <c r="R1134">
        <f>IF(ISNUMBER(G1134),ROUND(25*(100-G1134)/100,1),12.5)</f>
        <v/>
      </c>
      <c r="S1134" t="n">
        <v>14</v>
      </c>
      <c r="T1134">
        <f>ROUND(P1134+Q1134+R1134+S1134,0)</f>
        <v/>
      </c>
      <c r="U1134" s="5" t="inlineStr"/>
      <c r="V1134" s="5" t="inlineStr">
        <is>
          <t>SECONDARY /tools/ai-readiness-checker</t>
        </is>
      </c>
    </row>
    <row r="1135">
      <c r="A1135" t="inlineStr">
        <is>
          <t>K1133</t>
        </is>
      </c>
      <c r="B1135" t="inlineStr">
        <is>
          <t>security headers</t>
        </is>
      </c>
      <c r="C1135" t="inlineStr">
        <is>
          <t>France</t>
        </is>
      </c>
      <c r="D1135" t="inlineStr">
        <is>
          <t>fr</t>
        </is>
      </c>
      <c r="E1135" t="inlineStr">
        <is>
          <t>fr</t>
        </is>
      </c>
      <c r="F1135" t="n">
        <v>480</v>
      </c>
      <c r="G1135" t="n">
        <v>52</v>
      </c>
      <c r="H1135" t="n">
        <v>3.22</v>
      </c>
      <c r="I1135" t="n">
        <v>0.05</v>
      </c>
      <c r="J1135" t="inlineStr">
        <is>
          <t>Navigational</t>
        </is>
      </c>
      <c r="K1135" t="inlineStr">
        <is>
          <t>NOT AVAILABLE (report not requested)</t>
        </is>
      </c>
      <c r="L1135" t="inlineStr">
        <is>
          <t>stable (calc.)</t>
        </is>
      </c>
      <c r="M1135" t="inlineStr">
        <is>
          <t>MEASURED</t>
        </is>
      </c>
      <c r="N1135" s="5" t="inlineStr">
        <is>
          <t>Semrush phrase_these (live, this session)</t>
        </is>
      </c>
      <c r="O1135" t="inlineStr">
        <is>
          <t>2026-10-30</t>
        </is>
      </c>
      <c r="P1135">
        <f>IF(IF(J1135="NOT AVAILABLE","",J1135)="",12,IF(OR(ISNUMBER(SEARCH("Transactional",IF(J1135="NOT AVAILABLE","",J1135))),ISNUMBER(SEARCH("Commercial",IF(J1135="NOT AVAILABLE","",J1135)))),25,IF(ISNUMBER(SEARCH("Informational",IF(J1135="NOT AVAILABLE","",J1135))),10,IF(ISNUMBER(SEARCH("Navigational",IF(J1135="NOT AVAILABLE","",J1135))),0,12))))</f>
        <v/>
      </c>
      <c r="Q1135">
        <f>IF(ISNUMBER(F1135),MIN(30,ROUND(30*LOG10(F1135+1)/4,1)),0)</f>
        <v/>
      </c>
      <c r="R1135">
        <f>IF(ISNUMBER(G1135),ROUND(25*(100-G1135)/100,1),12.5)</f>
        <v/>
      </c>
      <c r="S1135" t="n">
        <v>14</v>
      </c>
      <c r="T1135">
        <f>ROUND(P1135+Q1135+R1135+S1135,0)</f>
        <v/>
      </c>
      <c r="U1135" s="5" t="inlineStr"/>
      <c r="V1135" s="5" t="inlineStr">
        <is>
          <t>PRIMARY /tools/security-headers-checker</t>
        </is>
      </c>
    </row>
    <row r="1136">
      <c r="A1136" t="inlineStr">
        <is>
          <t>K1134</t>
        </is>
      </c>
      <c r="B1136" t="inlineStr">
        <is>
          <t>seo immobilier</t>
        </is>
      </c>
      <c r="C1136" t="inlineStr">
        <is>
          <t>France</t>
        </is>
      </c>
      <c r="D1136" t="inlineStr">
        <is>
          <t>fr</t>
        </is>
      </c>
      <c r="E1136" t="inlineStr">
        <is>
          <t>fr</t>
        </is>
      </c>
      <c r="F1136" t="n">
        <v>480</v>
      </c>
      <c r="G1136" t="n">
        <v>24</v>
      </c>
      <c r="H1136" t="n">
        <v>4.38</v>
      </c>
      <c r="I1136" t="n">
        <v>0.05</v>
      </c>
      <c r="J1136" t="inlineStr">
        <is>
          <t>Informational</t>
        </is>
      </c>
      <c r="K1136" t="inlineStr">
        <is>
          <t>NOT AVAILABLE (report not requested)</t>
        </is>
      </c>
      <c r="L1136" t="inlineStr">
        <is>
          <t>declining (calc.)</t>
        </is>
      </c>
      <c r="M1136" t="inlineStr">
        <is>
          <t>MEASURED</t>
        </is>
      </c>
      <c r="N1136" s="5" t="inlineStr">
        <is>
          <t>Semrush phrase_these (live, this session)</t>
        </is>
      </c>
      <c r="O1136" t="inlineStr">
        <is>
          <t>2026-10-30</t>
        </is>
      </c>
      <c r="P1136">
        <f>IF(IF(J1136="NOT AVAILABLE","",J1136)="",12,IF(OR(ISNUMBER(SEARCH("Transactional",IF(J1136="NOT AVAILABLE","",J1136))),ISNUMBER(SEARCH("Commercial",IF(J1136="NOT AVAILABLE","",J1136)))),25,IF(ISNUMBER(SEARCH("Informational",IF(J1136="NOT AVAILABLE","",J1136))),10,IF(ISNUMBER(SEARCH("Navigational",IF(J1136="NOT AVAILABLE","",J1136))),0,12))))</f>
        <v/>
      </c>
      <c r="Q1136">
        <f>IF(ISNUMBER(F1136),MIN(30,ROUND(30*LOG10(F1136+1)/4,1)),0)</f>
        <v/>
      </c>
      <c r="R1136">
        <f>IF(ISNUMBER(G1136),ROUND(25*(100-G1136)/100,1),12.5)</f>
        <v/>
      </c>
      <c r="S1136" t="n">
        <v>14</v>
      </c>
      <c r="T1136">
        <f>ROUND(P1136+Q1136+R1136+S1136,0)</f>
        <v/>
      </c>
      <c r="U1136" s="5" t="inlineStr"/>
      <c r="V1136" s="5" t="inlineStr">
        <is>
          <t>NOT RECOMMENDED /services/real-estate-website-development; PRIMARY /blog/site-immobilier-structurer-les-annonces-pour-le-seo-et-la-conversion</t>
        </is>
      </c>
    </row>
    <row r="1137">
      <c r="A1137" t="inlineStr">
        <is>
          <t>K1135</t>
        </is>
      </c>
      <c r="B1137" t="inlineStr">
        <is>
          <t>sitemap generator</t>
        </is>
      </c>
      <c r="C1137" t="inlineStr">
        <is>
          <t>France</t>
        </is>
      </c>
      <c r="D1137" t="inlineStr">
        <is>
          <t>fr</t>
        </is>
      </c>
      <c r="E1137" t="inlineStr">
        <is>
          <t>fr</t>
        </is>
      </c>
      <c r="F1137" t="n">
        <v>480</v>
      </c>
      <c r="G1137" t="n">
        <v>51</v>
      </c>
      <c r="H1137" t="n">
        <v>1.69</v>
      </c>
      <c r="I1137" t="n">
        <v>0.18</v>
      </c>
      <c r="J1137" t="inlineStr">
        <is>
          <t>Commercial</t>
        </is>
      </c>
      <c r="K1137" t="inlineStr">
        <is>
          <t>NOT AVAILABLE (report not requested)</t>
        </is>
      </c>
      <c r="L1137" t="inlineStr">
        <is>
          <t>stable (calc.)</t>
        </is>
      </c>
      <c r="M1137" t="inlineStr">
        <is>
          <t>MEASURED</t>
        </is>
      </c>
      <c r="N1137" s="5" t="inlineStr">
        <is>
          <t>Semrush phrase_these (live, this session)</t>
        </is>
      </c>
      <c r="O1137" t="inlineStr">
        <is>
          <t>2026-10-30</t>
        </is>
      </c>
      <c r="P1137">
        <f>IF(IF(J1137="NOT AVAILABLE","",J1137)="",12,IF(OR(ISNUMBER(SEARCH("Transactional",IF(J1137="NOT AVAILABLE","",J1137))),ISNUMBER(SEARCH("Commercial",IF(J1137="NOT AVAILABLE","",J1137)))),25,IF(ISNUMBER(SEARCH("Informational",IF(J1137="NOT AVAILABLE","",J1137))),10,IF(ISNUMBER(SEARCH("Navigational",IF(J1137="NOT AVAILABLE","",J1137))),0,12))))</f>
        <v/>
      </c>
      <c r="Q1137">
        <f>IF(ISNUMBER(F1137),MIN(30,ROUND(30*LOG10(F1137+1)/4,1)),0)</f>
        <v/>
      </c>
      <c r="R1137">
        <f>IF(ISNUMBER(G1137),ROUND(25*(100-G1137)/100,1),12.5)</f>
        <v/>
      </c>
      <c r="S1137" t="n">
        <v>14</v>
      </c>
      <c r="T1137">
        <f>ROUND(P1137+Q1137+R1137+S1137,0)</f>
        <v/>
      </c>
      <c r="U1137" s="5" t="inlineStr"/>
      <c r="V1137" s="5" t="inlineStr">
        <is>
          <t>SECONDARY /tools/xml-sitemap-generator</t>
        </is>
      </c>
    </row>
    <row r="1138">
      <c r="A1138" t="inlineStr">
        <is>
          <t>K1136</t>
        </is>
      </c>
      <c r="B1138" t="inlineStr">
        <is>
          <t>tester données structurées</t>
        </is>
      </c>
      <c r="C1138" t="inlineStr">
        <is>
          <t>France</t>
        </is>
      </c>
      <c r="D1138" t="inlineStr">
        <is>
          <t>fr</t>
        </is>
      </c>
      <c r="E1138" t="inlineStr">
        <is>
          <t>fr</t>
        </is>
      </c>
      <c r="F1138" t="n">
        <v>480</v>
      </c>
      <c r="G1138" t="n">
        <v>35</v>
      </c>
      <c r="H1138" t="n">
        <v>0</v>
      </c>
      <c r="I1138" t="n">
        <v>0.33</v>
      </c>
      <c r="J1138" t="inlineStr">
        <is>
          <t>Informational, Navigational</t>
        </is>
      </c>
      <c r="K1138" t="inlineStr">
        <is>
          <t>NOT AVAILABLE (report not requested)</t>
        </is>
      </c>
      <c r="L1138" t="inlineStr">
        <is>
          <t>stable (calc.)</t>
        </is>
      </c>
      <c r="M1138" t="inlineStr">
        <is>
          <t>MEASURED</t>
        </is>
      </c>
      <c r="N1138" s="5" t="inlineStr">
        <is>
          <t>Semrush phrase_these (live, this session)</t>
        </is>
      </c>
      <c r="O1138" t="inlineStr">
        <is>
          <t>2026-10-30</t>
        </is>
      </c>
      <c r="P1138">
        <f>IF(IF(J1138="NOT AVAILABLE","",J1138)="",12,IF(OR(ISNUMBER(SEARCH("Transactional",IF(J1138="NOT AVAILABLE","",J1138))),ISNUMBER(SEARCH("Commercial",IF(J1138="NOT AVAILABLE","",J1138)))),25,IF(ISNUMBER(SEARCH("Informational",IF(J1138="NOT AVAILABLE","",J1138))),10,IF(ISNUMBER(SEARCH("Navigational",IF(J1138="NOT AVAILABLE","",J1138))),0,12))))</f>
        <v/>
      </c>
      <c r="Q1138">
        <f>IF(ISNUMBER(F1138),MIN(30,ROUND(30*LOG10(F1138+1)/4,1)),0)</f>
        <v/>
      </c>
      <c r="R1138">
        <f>IF(ISNUMBER(G1138),ROUND(25*(100-G1138)/100,1),12.5)</f>
        <v/>
      </c>
      <c r="S1138" t="n">
        <v>14</v>
      </c>
      <c r="T1138">
        <f>ROUND(P1138+Q1138+R1138+S1138,0)</f>
        <v/>
      </c>
      <c r="U1138" s="5" t="inlineStr"/>
      <c r="V1138" s="5" t="inlineStr">
        <is>
          <t>SECONDARY /tools/structured-data-extractor</t>
        </is>
      </c>
    </row>
    <row r="1139">
      <c r="A1139" t="inlineStr">
        <is>
          <t>K1137</t>
        </is>
      </c>
      <c r="B1139" t="inlineStr">
        <is>
          <t>balise h1</t>
        </is>
      </c>
      <c r="C1139" t="inlineStr">
        <is>
          <t>France</t>
        </is>
      </c>
      <c r="D1139" t="inlineStr">
        <is>
          <t>fr</t>
        </is>
      </c>
      <c r="E1139" t="inlineStr">
        <is>
          <t>fr</t>
        </is>
      </c>
      <c r="F1139" t="n">
        <v>390</v>
      </c>
      <c r="G1139" t="n">
        <v>18</v>
      </c>
      <c r="H1139" t="n">
        <v>0</v>
      </c>
      <c r="I1139" t="n">
        <v>0.03</v>
      </c>
      <c r="J1139" t="inlineStr">
        <is>
          <t>Informational</t>
        </is>
      </c>
      <c r="K1139" t="inlineStr">
        <is>
          <t>NOT AVAILABLE (report not requested)</t>
        </is>
      </c>
      <c r="L1139" t="inlineStr">
        <is>
          <t>stable (calc.)</t>
        </is>
      </c>
      <c r="M1139" t="inlineStr">
        <is>
          <t>MEASURED</t>
        </is>
      </c>
      <c r="N1139" s="5" t="inlineStr">
        <is>
          <t>Semrush phrase_these (live, this session)</t>
        </is>
      </c>
      <c r="O1139" t="inlineStr">
        <is>
          <t>2026-10-30</t>
        </is>
      </c>
      <c r="P1139">
        <f>IF(IF(J1139="NOT AVAILABLE","",J1139)="",12,IF(OR(ISNUMBER(SEARCH("Transactional",IF(J1139="NOT AVAILABLE","",J1139))),ISNUMBER(SEARCH("Commercial",IF(J1139="NOT AVAILABLE","",J1139)))),25,IF(ISNUMBER(SEARCH("Informational",IF(J1139="NOT AVAILABLE","",J1139))),10,IF(ISNUMBER(SEARCH("Navigational",IF(J1139="NOT AVAILABLE","",J1139))),0,12))))</f>
        <v/>
      </c>
      <c r="Q1139">
        <f>IF(ISNUMBER(F1139),MIN(30,ROUND(30*LOG10(F1139+1)/4,1)),0)</f>
        <v/>
      </c>
      <c r="R1139">
        <f>IF(ISNUMBER(G1139),ROUND(25*(100-G1139)/100,1),12.5)</f>
        <v/>
      </c>
      <c r="S1139" t="n">
        <v>14</v>
      </c>
      <c r="T1139">
        <f>ROUND(P1139+Q1139+R1139+S1139,0)</f>
        <v/>
      </c>
      <c r="U1139" s="5" t="inlineStr"/>
      <c r="V1139" s="5" t="inlineStr">
        <is>
          <t>PRIMARY /tools/heading-analyzer</t>
        </is>
      </c>
    </row>
    <row r="1140">
      <c r="A1140" t="inlineStr">
        <is>
          <t>K1138</t>
        </is>
      </c>
      <c r="B1140" t="inlineStr">
        <is>
          <t>comment verifier un site internet</t>
        </is>
      </c>
      <c r="C1140" t="inlineStr">
        <is>
          <t>France</t>
        </is>
      </c>
      <c r="D1140" t="inlineStr">
        <is>
          <t>fr</t>
        </is>
      </c>
      <c r="E1140" t="inlineStr">
        <is>
          <t>fr</t>
        </is>
      </c>
      <c r="F1140" t="n">
        <v>390</v>
      </c>
      <c r="G1140" t="n">
        <v>24</v>
      </c>
      <c r="H1140" t="n">
        <v>0.88</v>
      </c>
      <c r="I1140" t="n">
        <v>0.06</v>
      </c>
      <c r="J1140" t="inlineStr">
        <is>
          <t>Informational</t>
        </is>
      </c>
      <c r="K1140" t="inlineStr">
        <is>
          <t>NOT AVAILABLE (report not requested)</t>
        </is>
      </c>
      <c r="L1140" t="inlineStr">
        <is>
          <t>NOT AVAILABLE</t>
        </is>
      </c>
      <c r="M1140" t="inlineStr">
        <is>
          <t>MEASURED</t>
        </is>
      </c>
      <c r="N1140" s="5" t="inlineStr">
        <is>
          <t>Semrush phrase_questions seed "site internet"</t>
        </is>
      </c>
      <c r="O1140" t="inlineStr">
        <is>
          <t>2026-10-30</t>
        </is>
      </c>
      <c r="P1140">
        <f>IF(IF(J1140="NOT AVAILABLE","",J1140)="",12,IF(OR(ISNUMBER(SEARCH("Transactional",IF(J1140="NOT AVAILABLE","",J1140))),ISNUMBER(SEARCH("Commercial",IF(J1140="NOT AVAILABLE","",J1140)))),25,IF(ISNUMBER(SEARCH("Informational",IF(J1140="NOT AVAILABLE","",J1140))),10,IF(ISNUMBER(SEARCH("Navigational",IF(J1140="NOT AVAILABLE","",J1140))),0,12))))</f>
        <v/>
      </c>
      <c r="Q1140">
        <f>IF(ISNUMBER(F1140),MIN(30,ROUND(30*LOG10(F1140+1)/4,1)),0)</f>
        <v/>
      </c>
      <c r="R1140">
        <f>IF(ISNUMBER(G1140),ROUND(25*(100-G1140)/100,1),12.5)</f>
        <v/>
      </c>
      <c r="S1140" t="n">
        <v>14</v>
      </c>
      <c r="T1140">
        <f>ROUND(P1140+Q1140+R1140+S1140,0)</f>
        <v/>
      </c>
      <c r="U1140" s="5" t="inlineStr"/>
      <c r="V1140" s="5" t="inlineStr"/>
    </row>
    <row r="1141">
      <c r="A1141" t="inlineStr">
        <is>
          <t>K1139</t>
        </is>
      </c>
      <c r="B1141" t="inlineStr">
        <is>
          <t>création site immobilier</t>
        </is>
      </c>
      <c r="C1141" t="inlineStr">
        <is>
          <t>France</t>
        </is>
      </c>
      <c r="D1141" t="inlineStr">
        <is>
          <t>fr</t>
        </is>
      </c>
      <c r="E1141" t="inlineStr">
        <is>
          <t>fr</t>
        </is>
      </c>
      <c r="F1141" t="n">
        <v>390</v>
      </c>
      <c r="G1141" t="n">
        <v>19</v>
      </c>
      <c r="H1141" t="n">
        <v>4.03</v>
      </c>
      <c r="I1141" t="n">
        <v>0.12</v>
      </c>
      <c r="J1141" t="inlineStr">
        <is>
          <t>Informational</t>
        </is>
      </c>
      <c r="K1141" t="inlineStr">
        <is>
          <t>NOT AVAILABLE (report not requested)</t>
        </is>
      </c>
      <c r="L1141" t="inlineStr">
        <is>
          <t>rising (calc.)</t>
        </is>
      </c>
      <c r="M1141" t="inlineStr">
        <is>
          <t>MEASURED</t>
        </is>
      </c>
      <c r="N1141" s="5" t="inlineStr">
        <is>
          <t>Semrush phrase_these (live, this session)</t>
        </is>
      </c>
      <c r="O1141" t="inlineStr">
        <is>
          <t>2026-10-30</t>
        </is>
      </c>
      <c r="P1141">
        <f>IF(IF(J1141="NOT AVAILABLE","",J1141)="",12,IF(OR(ISNUMBER(SEARCH("Transactional",IF(J1141="NOT AVAILABLE","",J1141))),ISNUMBER(SEARCH("Commercial",IF(J1141="NOT AVAILABLE","",J1141)))),25,IF(ISNUMBER(SEARCH("Informational",IF(J1141="NOT AVAILABLE","",J1141))),10,IF(ISNUMBER(SEARCH("Navigational",IF(J1141="NOT AVAILABLE","",J1141))),0,12))))</f>
        <v/>
      </c>
      <c r="Q1141">
        <f>IF(ISNUMBER(F1141),MIN(30,ROUND(30*LOG10(F1141+1)/4,1)),0)</f>
        <v/>
      </c>
      <c r="R1141">
        <f>IF(ISNUMBER(G1141),ROUND(25*(100-G1141)/100,1),12.5)</f>
        <v/>
      </c>
      <c r="S1141" t="n">
        <v>14</v>
      </c>
      <c r="T1141">
        <f>ROUND(P1141+Q1141+R1141+S1141,0)</f>
        <v/>
      </c>
      <c r="U1141" s="5" t="inlineStr"/>
      <c r="V1141" s="5" t="inlineStr">
        <is>
          <t>PRIMARY /services/real-estate-website-development; NOT RECOMMENDED /blog/site-immobilier-structurer-les-annonces-pour-le-seo-et-la-conversion</t>
        </is>
      </c>
    </row>
    <row r="1142">
      <c r="A1142" t="inlineStr">
        <is>
          <t>K1140</t>
        </is>
      </c>
      <c r="B1142" t="inlineStr">
        <is>
          <t>gestion association</t>
        </is>
      </c>
      <c r="C1142" t="inlineStr">
        <is>
          <t>France</t>
        </is>
      </c>
      <c r="D1142" t="inlineStr">
        <is>
          <t>fr</t>
        </is>
      </c>
      <c r="E1142" t="inlineStr">
        <is>
          <t>fr</t>
        </is>
      </c>
      <c r="F1142" t="n">
        <v>390</v>
      </c>
      <c r="G1142" t="n">
        <v>34</v>
      </c>
      <c r="H1142" t="n">
        <v>2.04</v>
      </c>
      <c r="I1142" t="n">
        <v>0.49</v>
      </c>
      <c r="J1142" t="inlineStr">
        <is>
          <t>Informational</t>
        </is>
      </c>
      <c r="K1142" t="inlineStr">
        <is>
          <t>NOT AVAILABLE (report not requested)</t>
        </is>
      </c>
      <c r="L1142" t="inlineStr">
        <is>
          <t>declining (calc.)</t>
        </is>
      </c>
      <c r="M1142" t="inlineStr">
        <is>
          <t>MEASURED</t>
        </is>
      </c>
      <c r="N1142" s="5" t="inlineStr">
        <is>
          <t>Semrush phrase_these (live, this session)</t>
        </is>
      </c>
      <c r="O1142" t="inlineStr">
        <is>
          <t>2026-10-30</t>
        </is>
      </c>
      <c r="P1142">
        <f>IF(IF(J1142="NOT AVAILABLE","",J1142)="",12,IF(OR(ISNUMBER(SEARCH("Transactional",IF(J1142="NOT AVAILABLE","",J1142))),ISNUMBER(SEARCH("Commercial",IF(J1142="NOT AVAILABLE","",J1142)))),25,IF(ISNUMBER(SEARCH("Informational",IF(J1142="NOT AVAILABLE","",J1142))),10,IF(ISNUMBER(SEARCH("Navigational",IF(J1142="NOT AVAILABLE","",J1142))),0,12))))</f>
        <v/>
      </c>
      <c r="Q1142">
        <f>IF(ISNUMBER(F1142),MIN(30,ROUND(30*LOG10(F1142+1)/4,1)),0)</f>
        <v/>
      </c>
      <c r="R1142">
        <f>IF(ISNUMBER(G1142),ROUND(25*(100-G1142)/100,1),12.5)</f>
        <v/>
      </c>
      <c r="S1142" t="n">
        <v>14</v>
      </c>
      <c r="T1142">
        <f>ROUND(P1142+Q1142+R1142+S1142,0)</f>
        <v/>
      </c>
      <c r="U1142" s="5" t="inlineStr"/>
      <c r="V1142" s="5" t="inlineStr"/>
    </row>
    <row r="1143">
      <c r="A1143" t="inlineStr">
        <is>
          <t>K1141</t>
        </is>
      </c>
      <c r="B1143" t="inlineStr">
        <is>
          <t>googlebot</t>
        </is>
      </c>
      <c r="C1143" t="inlineStr">
        <is>
          <t>France</t>
        </is>
      </c>
      <c r="D1143" t="inlineStr">
        <is>
          <t>fr</t>
        </is>
      </c>
      <c r="E1143" t="inlineStr">
        <is>
          <t>fr</t>
        </is>
      </c>
      <c r="F1143" t="n">
        <v>390</v>
      </c>
      <c r="G1143" t="n">
        <v>22</v>
      </c>
      <c r="H1143" t="n">
        <v>0</v>
      </c>
      <c r="I1143" t="n">
        <v>0.01</v>
      </c>
      <c r="J1143" t="inlineStr">
        <is>
          <t>Informational</t>
        </is>
      </c>
      <c r="K1143" t="inlineStr">
        <is>
          <t>NOT AVAILABLE (report not requested)</t>
        </is>
      </c>
      <c r="L1143" t="inlineStr">
        <is>
          <t>declining (calc.)</t>
        </is>
      </c>
      <c r="M1143" t="inlineStr">
        <is>
          <t>MEASURED</t>
        </is>
      </c>
      <c r="N1143" s="5" t="inlineStr">
        <is>
          <t>Semrush phrase_these (live, this session)</t>
        </is>
      </c>
      <c r="O1143" t="inlineStr">
        <is>
          <t>2026-10-30</t>
        </is>
      </c>
      <c r="P1143">
        <f>IF(IF(J1143="NOT AVAILABLE","",J1143)="",12,IF(OR(ISNUMBER(SEARCH("Transactional",IF(J1143="NOT AVAILABLE","",J1143))),ISNUMBER(SEARCH("Commercial",IF(J1143="NOT AVAILABLE","",J1143)))),25,IF(ISNUMBER(SEARCH("Informational",IF(J1143="NOT AVAILABLE","",J1143))),10,IF(ISNUMBER(SEARCH("Navigational",IF(J1143="NOT AVAILABLE","",J1143))),0,12))))</f>
        <v/>
      </c>
      <c r="Q1143">
        <f>IF(ISNUMBER(F1143),MIN(30,ROUND(30*LOG10(F1143+1)/4,1)),0)</f>
        <v/>
      </c>
      <c r="R1143">
        <f>IF(ISNUMBER(G1143),ROUND(25*(100-G1143)/100,1),12.5)</f>
        <v/>
      </c>
      <c r="S1143" t="n">
        <v>14</v>
      </c>
      <c r="T1143">
        <f>ROUND(P1143+Q1143+R1143+S1143,0)</f>
        <v/>
      </c>
      <c r="U1143" s="5" t="inlineStr"/>
      <c r="V1143" s="5" t="inlineStr">
        <is>
          <t>PRIMARY /tools/bot-viewer</t>
        </is>
      </c>
    </row>
    <row r="1144">
      <c r="A1144" t="inlineStr">
        <is>
          <t>K1142</t>
        </is>
      </c>
      <c r="B1144" t="inlineStr">
        <is>
          <t>mettre en majuscule</t>
        </is>
      </c>
      <c r="C1144" t="inlineStr">
        <is>
          <t>France</t>
        </is>
      </c>
      <c r="D1144" t="inlineStr">
        <is>
          <t>fr</t>
        </is>
      </c>
      <c r="E1144" t="inlineStr">
        <is>
          <t>fr</t>
        </is>
      </c>
      <c r="F1144" t="n">
        <v>390</v>
      </c>
      <c r="G1144" t="n">
        <v>28</v>
      </c>
      <c r="H1144" t="n">
        <v>0</v>
      </c>
      <c r="I1144" t="n">
        <v>0.33</v>
      </c>
      <c r="J1144" t="inlineStr">
        <is>
          <t>Informational</t>
        </is>
      </c>
      <c r="K1144" t="inlineStr">
        <is>
          <t>NOT AVAILABLE (report not requested)</t>
        </is>
      </c>
      <c r="L1144" t="inlineStr">
        <is>
          <t>stable (calc.)</t>
        </is>
      </c>
      <c r="M1144" t="inlineStr">
        <is>
          <t>MEASURED</t>
        </is>
      </c>
      <c r="N1144" s="5" t="inlineStr">
        <is>
          <t>Semrush phrase_these (live, this session)</t>
        </is>
      </c>
      <c r="O1144" t="inlineStr">
        <is>
          <t>2026-10-30</t>
        </is>
      </c>
      <c r="P1144">
        <f>IF(IF(J1144="NOT AVAILABLE","",J1144)="",12,IF(OR(ISNUMBER(SEARCH("Transactional",IF(J1144="NOT AVAILABLE","",J1144))),ISNUMBER(SEARCH("Commercial",IF(J1144="NOT AVAILABLE","",J1144)))),25,IF(ISNUMBER(SEARCH("Informational",IF(J1144="NOT AVAILABLE","",J1144))),10,IF(ISNUMBER(SEARCH("Navigational",IF(J1144="NOT AVAILABLE","",J1144))),0,12))))</f>
        <v/>
      </c>
      <c r="Q1144">
        <f>IF(ISNUMBER(F1144),MIN(30,ROUND(30*LOG10(F1144+1)/4,1)),0)</f>
        <v/>
      </c>
      <c r="R1144">
        <f>IF(ISNUMBER(G1144),ROUND(25*(100-G1144)/100,1),12.5)</f>
        <v/>
      </c>
      <c r="S1144" t="n">
        <v>14</v>
      </c>
      <c r="T1144">
        <f>ROUND(P1144+Q1144+R1144+S1144,0)</f>
        <v/>
      </c>
      <c r="U1144" s="5" t="inlineStr"/>
      <c r="V1144" s="5" t="inlineStr">
        <is>
          <t>SECONDARY /tools/text-case-converter</t>
        </is>
      </c>
    </row>
    <row r="1145">
      <c r="A1145" t="inlineStr">
        <is>
          <t>K1143</t>
        </is>
      </c>
      <c r="B1145" t="inlineStr">
        <is>
          <t>ngram</t>
        </is>
      </c>
      <c r="C1145" t="inlineStr">
        <is>
          <t>France</t>
        </is>
      </c>
      <c r="D1145" t="inlineStr">
        <is>
          <t>fr</t>
        </is>
      </c>
      <c r="E1145" t="inlineStr">
        <is>
          <t>fr</t>
        </is>
      </c>
      <c r="F1145" t="n">
        <v>390</v>
      </c>
      <c r="G1145" t="n">
        <v>47</v>
      </c>
      <c r="H1145" t="n">
        <v>0</v>
      </c>
      <c r="I1145" t="n">
        <v>0.33</v>
      </c>
      <c r="J1145" t="inlineStr">
        <is>
          <t>Navigational</t>
        </is>
      </c>
      <c r="K1145" t="inlineStr">
        <is>
          <t>NOT AVAILABLE (report not requested)</t>
        </is>
      </c>
      <c r="L1145" t="inlineStr">
        <is>
          <t>stable (calc.)</t>
        </is>
      </c>
      <c r="M1145" t="inlineStr">
        <is>
          <t>MEASURED</t>
        </is>
      </c>
      <c r="N1145" s="5" t="inlineStr">
        <is>
          <t>Semrush phrase_these (live, this session)</t>
        </is>
      </c>
      <c r="O1145" t="inlineStr">
        <is>
          <t>2026-10-30</t>
        </is>
      </c>
      <c r="P1145">
        <f>IF(IF(J1145="NOT AVAILABLE","",J1145)="",12,IF(OR(ISNUMBER(SEARCH("Transactional",IF(J1145="NOT AVAILABLE","",J1145))),ISNUMBER(SEARCH("Commercial",IF(J1145="NOT AVAILABLE","",J1145)))),25,IF(ISNUMBER(SEARCH("Informational",IF(J1145="NOT AVAILABLE","",J1145))),10,IF(ISNUMBER(SEARCH("Navigational",IF(J1145="NOT AVAILABLE","",J1145))),0,12))))</f>
        <v/>
      </c>
      <c r="Q1145">
        <f>IF(ISNUMBER(F1145),MIN(30,ROUND(30*LOG10(F1145+1)/4,1)),0)</f>
        <v/>
      </c>
      <c r="R1145">
        <f>IF(ISNUMBER(G1145),ROUND(25*(100-G1145)/100,1),12.5)</f>
        <v/>
      </c>
      <c r="S1145" t="n">
        <v>14</v>
      </c>
      <c r="T1145">
        <f>ROUND(P1145+Q1145+R1145+S1145,0)</f>
        <v/>
      </c>
      <c r="U1145" s="5" t="inlineStr"/>
      <c r="V1145" s="5" t="inlineStr">
        <is>
          <t>NOT RECOMMENDED /tools/ngram-extractor</t>
        </is>
      </c>
    </row>
    <row r="1146">
      <c r="A1146" t="inlineStr">
        <is>
          <t>K1144</t>
        </is>
      </c>
      <c r="B1146" t="inlineStr">
        <is>
          <t>passerelle de paiement</t>
        </is>
      </c>
      <c r="C1146" t="inlineStr">
        <is>
          <t>France</t>
        </is>
      </c>
      <c r="D1146" t="inlineStr">
        <is>
          <t>fr</t>
        </is>
      </c>
      <c r="E1146" t="inlineStr">
        <is>
          <t>fr</t>
        </is>
      </c>
      <c r="F1146" t="n">
        <v>390</v>
      </c>
      <c r="G1146" t="n">
        <v>16</v>
      </c>
      <c r="H1146" t="n">
        <v>7.87</v>
      </c>
      <c r="I1146" t="n">
        <v>0.28</v>
      </c>
      <c r="J1146" t="inlineStr">
        <is>
          <t>Informational</t>
        </is>
      </c>
      <c r="K1146" t="inlineStr">
        <is>
          <t>NOT AVAILABLE (report not requested)</t>
        </is>
      </c>
      <c r="L1146" t="inlineStr">
        <is>
          <t>declining (calc.)</t>
        </is>
      </c>
      <c r="M1146" t="inlineStr">
        <is>
          <t>MEASURED</t>
        </is>
      </c>
      <c r="N1146" s="5" t="inlineStr">
        <is>
          <t>Semrush phrase_these (live, this session)</t>
        </is>
      </c>
      <c r="O1146" t="inlineStr">
        <is>
          <t>2026-10-30</t>
        </is>
      </c>
      <c r="P1146">
        <f>IF(IF(J1146="NOT AVAILABLE","",J1146)="",12,IF(OR(ISNUMBER(SEARCH("Transactional",IF(J1146="NOT AVAILABLE","",J1146))),ISNUMBER(SEARCH("Commercial",IF(J1146="NOT AVAILABLE","",J1146)))),25,IF(ISNUMBER(SEARCH("Informational",IF(J1146="NOT AVAILABLE","",J1146))),10,IF(ISNUMBER(SEARCH("Navigational",IF(J1146="NOT AVAILABLE","",J1146))),0,12))))</f>
        <v/>
      </c>
      <c r="Q1146">
        <f>IF(ISNUMBER(F1146),MIN(30,ROUND(30*LOG10(F1146+1)/4,1)),0)</f>
        <v/>
      </c>
      <c r="R1146">
        <f>IF(ISNUMBER(G1146),ROUND(25*(100-G1146)/100,1),12.5)</f>
        <v/>
      </c>
      <c r="S1146" t="n">
        <v>14</v>
      </c>
      <c r="T1146">
        <f>ROUND(P1146+Q1146+R1146+S1146,0)</f>
        <v/>
      </c>
      <c r="U1146" s="5" t="inlineStr"/>
      <c r="V1146" s="5" t="inlineStr">
        <is>
          <t>OPTIONAL /services/fintech-platform-development</t>
        </is>
      </c>
    </row>
    <row r="1147">
      <c r="A1147" t="inlineStr">
        <is>
          <t>K1145</t>
        </is>
      </c>
      <c r="B1147" t="inlineStr">
        <is>
          <t>portail patient</t>
        </is>
      </c>
      <c r="C1147" t="inlineStr">
        <is>
          <t>France</t>
        </is>
      </c>
      <c r="D1147" t="inlineStr">
        <is>
          <t>fr</t>
        </is>
      </c>
      <c r="E1147" t="inlineStr">
        <is>
          <t>fr</t>
        </is>
      </c>
      <c r="F1147" t="n">
        <v>390</v>
      </c>
      <c r="G1147" t="n">
        <v>23</v>
      </c>
      <c r="H1147" t="n">
        <v>1.19</v>
      </c>
      <c r="I1147" t="n">
        <v>0.02</v>
      </c>
      <c r="J1147" t="inlineStr">
        <is>
          <t>Informational</t>
        </is>
      </c>
      <c r="K1147" t="inlineStr">
        <is>
          <t>NOT AVAILABLE (report not requested)</t>
        </is>
      </c>
      <c r="L1147" t="inlineStr">
        <is>
          <t>declining (calc.)</t>
        </is>
      </c>
      <c r="M1147" t="inlineStr">
        <is>
          <t>MEASURED</t>
        </is>
      </c>
      <c r="N1147" s="5" t="inlineStr">
        <is>
          <t>Semrush phrase_these (live, this session)</t>
        </is>
      </c>
      <c r="O1147" t="inlineStr">
        <is>
          <t>2026-10-30</t>
        </is>
      </c>
      <c r="P1147">
        <f>IF(IF(J1147="NOT AVAILABLE","",J1147)="",12,IF(OR(ISNUMBER(SEARCH("Transactional",IF(J1147="NOT AVAILABLE","",J1147))),ISNUMBER(SEARCH("Commercial",IF(J1147="NOT AVAILABLE","",J1147)))),25,IF(ISNUMBER(SEARCH("Informational",IF(J1147="NOT AVAILABLE","",J1147))),10,IF(ISNUMBER(SEARCH("Navigational",IF(J1147="NOT AVAILABLE","",J1147))),0,12))))</f>
        <v/>
      </c>
      <c r="Q1147">
        <f>IF(ISNUMBER(F1147),MIN(30,ROUND(30*LOG10(F1147+1)/4,1)),0)</f>
        <v/>
      </c>
      <c r="R1147">
        <f>IF(ISNUMBER(G1147),ROUND(25*(100-G1147)/100,1),12.5)</f>
        <v/>
      </c>
      <c r="S1147" t="n">
        <v>14</v>
      </c>
      <c r="T1147">
        <f>ROUND(P1147+Q1147+R1147+S1147,0)</f>
        <v/>
      </c>
      <c r="U1147" s="5" t="inlineStr"/>
      <c r="V1147" s="5" t="inlineStr">
        <is>
          <t>SUPPORTING /services/healthcare-website-development</t>
        </is>
      </c>
    </row>
    <row r="1148">
      <c r="A1148" t="inlineStr">
        <is>
          <t>K1146</t>
        </is>
      </c>
      <c r="B1148" t="inlineStr">
        <is>
          <t>url canonique</t>
        </is>
      </c>
      <c r="C1148" t="inlineStr">
        <is>
          <t>France</t>
        </is>
      </c>
      <c r="D1148" t="inlineStr">
        <is>
          <t>fr</t>
        </is>
      </c>
      <c r="E1148" t="inlineStr">
        <is>
          <t>fr</t>
        </is>
      </c>
      <c r="F1148" t="n">
        <v>390</v>
      </c>
      <c r="G1148" t="n">
        <v>30</v>
      </c>
      <c r="H1148" t="n">
        <v>0.1</v>
      </c>
      <c r="I1148" t="n">
        <v>0.06</v>
      </c>
      <c r="J1148" t="inlineStr">
        <is>
          <t>Informational</t>
        </is>
      </c>
      <c r="K1148" t="inlineStr">
        <is>
          <t>NOT AVAILABLE (report not requested)</t>
        </is>
      </c>
      <c r="L1148" t="inlineStr">
        <is>
          <t>stable (calc.)</t>
        </is>
      </c>
      <c r="M1148" t="inlineStr">
        <is>
          <t>MEASURED</t>
        </is>
      </c>
      <c r="N1148" s="5" t="inlineStr">
        <is>
          <t>Semrush phrase_these (live, this session)</t>
        </is>
      </c>
      <c r="O1148" t="inlineStr">
        <is>
          <t>2026-10-30</t>
        </is>
      </c>
      <c r="P1148">
        <f>IF(IF(J1148="NOT AVAILABLE","",J1148)="",12,IF(OR(ISNUMBER(SEARCH("Transactional",IF(J1148="NOT AVAILABLE","",J1148))),ISNUMBER(SEARCH("Commercial",IF(J1148="NOT AVAILABLE","",J1148)))),25,IF(ISNUMBER(SEARCH("Informational",IF(J1148="NOT AVAILABLE","",J1148))),10,IF(ISNUMBER(SEARCH("Navigational",IF(J1148="NOT AVAILABLE","",J1148))),0,12))))</f>
        <v/>
      </c>
      <c r="Q1148">
        <f>IF(ISNUMBER(F1148),MIN(30,ROUND(30*LOG10(F1148+1)/4,1)),0)</f>
        <v/>
      </c>
      <c r="R1148">
        <f>IF(ISNUMBER(G1148),ROUND(25*(100-G1148)/100,1),12.5)</f>
        <v/>
      </c>
      <c r="S1148" t="n">
        <v>14</v>
      </c>
      <c r="T1148">
        <f>ROUND(P1148+Q1148+R1148+S1148,0)</f>
        <v/>
      </c>
      <c r="U1148" s="5" t="inlineStr"/>
      <c r="V1148" s="5" t="inlineStr">
        <is>
          <t>PRIMARY /tools/canonical-checker</t>
        </is>
      </c>
    </row>
    <row r="1149">
      <c r="A1149" t="inlineStr">
        <is>
          <t>K1147</t>
        </is>
      </c>
      <c r="B1149" t="inlineStr">
        <is>
          <t>agence saas</t>
        </is>
      </c>
      <c r="C1149" t="inlineStr">
        <is>
          <t>France</t>
        </is>
      </c>
      <c r="D1149" t="inlineStr">
        <is>
          <t>fr</t>
        </is>
      </c>
      <c r="E1149" t="inlineStr">
        <is>
          <t>fr</t>
        </is>
      </c>
      <c r="F1149" t="n">
        <v>320</v>
      </c>
      <c r="G1149" t="n">
        <v>16</v>
      </c>
      <c r="H1149" t="n">
        <v>7.18</v>
      </c>
      <c r="I1149" t="n">
        <v>0.16</v>
      </c>
      <c r="J1149" t="inlineStr">
        <is>
          <t>Informational</t>
        </is>
      </c>
      <c r="K1149" t="inlineStr">
        <is>
          <t>NOT AVAILABLE (report not requested)</t>
        </is>
      </c>
      <c r="L1149" t="inlineStr">
        <is>
          <t>declining (calc.)</t>
        </is>
      </c>
      <c r="M1149" t="inlineStr">
        <is>
          <t>MEASURED</t>
        </is>
      </c>
      <c r="N1149" s="5" t="inlineStr">
        <is>
          <t>Semrush phrase_these (live, this session)</t>
        </is>
      </c>
      <c r="O1149" t="inlineStr">
        <is>
          <t>2026-10-30</t>
        </is>
      </c>
      <c r="P1149">
        <f>IF(IF(J1149="NOT AVAILABLE","",J1149)="",12,IF(OR(ISNUMBER(SEARCH("Transactional",IF(J1149="NOT AVAILABLE","",J1149))),ISNUMBER(SEARCH("Commercial",IF(J1149="NOT AVAILABLE","",J1149)))),25,IF(ISNUMBER(SEARCH("Informational",IF(J1149="NOT AVAILABLE","",J1149))),10,IF(ISNUMBER(SEARCH("Navigational",IF(J1149="NOT AVAILABLE","",J1149))),0,12))))</f>
        <v/>
      </c>
      <c r="Q1149">
        <f>IF(ISNUMBER(F1149),MIN(30,ROUND(30*LOG10(F1149+1)/4,1)),0)</f>
        <v/>
      </c>
      <c r="R1149">
        <f>IF(ISNUMBER(G1149),ROUND(25*(100-G1149)/100,1),12.5)</f>
        <v/>
      </c>
      <c r="S1149" t="n">
        <v>14</v>
      </c>
      <c r="T1149">
        <f>ROUND(P1149+Q1149+R1149+S1149,0)</f>
        <v/>
      </c>
      <c r="U1149" s="5" t="inlineStr"/>
      <c r="V1149" s="5" t="inlineStr">
        <is>
          <t>SECONDARY /services/saas-platform-development</t>
        </is>
      </c>
    </row>
    <row r="1150">
      <c r="A1150" t="inlineStr">
        <is>
          <t>K1148</t>
        </is>
      </c>
      <c r="B1150" t="inlineStr">
        <is>
          <t>balise meta</t>
        </is>
      </c>
      <c r="C1150" t="inlineStr">
        <is>
          <t>France</t>
        </is>
      </c>
      <c r="D1150" t="inlineStr">
        <is>
          <t>fr</t>
        </is>
      </c>
      <c r="E1150" t="inlineStr">
        <is>
          <t>fr</t>
        </is>
      </c>
      <c r="F1150" t="n">
        <v>320</v>
      </c>
      <c r="G1150" t="n">
        <v>37</v>
      </c>
      <c r="H1150" t="n">
        <v>1.22</v>
      </c>
      <c r="I1150" t="n">
        <v>0.04</v>
      </c>
      <c r="J1150" t="inlineStr">
        <is>
          <t>Informational</t>
        </is>
      </c>
      <c r="K1150" t="inlineStr">
        <is>
          <t>NOT AVAILABLE (report not requested)</t>
        </is>
      </c>
      <c r="L1150" t="inlineStr">
        <is>
          <t>declining (calc.)</t>
        </is>
      </c>
      <c r="M1150" t="inlineStr">
        <is>
          <t>MEASURED</t>
        </is>
      </c>
      <c r="N1150" s="5" t="inlineStr">
        <is>
          <t>Semrush phrase_these (live, this session)</t>
        </is>
      </c>
      <c r="O1150" t="inlineStr">
        <is>
          <t>2026-10-30</t>
        </is>
      </c>
      <c r="P1150">
        <f>IF(IF(J1150="NOT AVAILABLE","",J1150)="",12,IF(OR(ISNUMBER(SEARCH("Transactional",IF(J1150="NOT AVAILABLE","",J1150))),ISNUMBER(SEARCH("Commercial",IF(J1150="NOT AVAILABLE","",J1150)))),25,IF(ISNUMBER(SEARCH("Informational",IF(J1150="NOT AVAILABLE","",J1150))),10,IF(ISNUMBER(SEARCH("Navigational",IF(J1150="NOT AVAILABLE","",J1150))),0,12))))</f>
        <v/>
      </c>
      <c r="Q1150">
        <f>IF(ISNUMBER(F1150),MIN(30,ROUND(30*LOG10(F1150+1)/4,1)),0)</f>
        <v/>
      </c>
      <c r="R1150">
        <f>IF(ISNUMBER(G1150),ROUND(25*(100-G1150)/100,1),12.5)</f>
        <v/>
      </c>
      <c r="S1150" t="n">
        <v>14</v>
      </c>
      <c r="T1150">
        <f>ROUND(P1150+Q1150+R1150+S1150,0)</f>
        <v/>
      </c>
      <c r="U1150" s="5" t="inlineStr"/>
      <c r="V1150" s="5" t="inlineStr">
        <is>
          <t>PRIMARY /tools/meta-tag-generator</t>
        </is>
      </c>
    </row>
    <row r="1151">
      <c r="A1151" t="inlineStr">
        <is>
          <t>K1149</t>
        </is>
      </c>
      <c r="B1151" t="inlineStr">
        <is>
          <t>comment bloquer des sites sur internet</t>
        </is>
      </c>
      <c r="C1151" t="inlineStr">
        <is>
          <t>France</t>
        </is>
      </c>
      <c r="D1151" t="inlineStr">
        <is>
          <t>fr</t>
        </is>
      </c>
      <c r="E1151" t="inlineStr">
        <is>
          <t>fr</t>
        </is>
      </c>
      <c r="F1151" t="n">
        <v>320</v>
      </c>
      <c r="G1151" t="n">
        <v>28</v>
      </c>
      <c r="H1151" t="n">
        <v>0.28</v>
      </c>
      <c r="I1151" t="n">
        <v>0.12</v>
      </c>
      <c r="J1151" t="inlineStr">
        <is>
          <t>Informational</t>
        </is>
      </c>
      <c r="K1151" t="inlineStr">
        <is>
          <t>NOT AVAILABLE (report not requested)</t>
        </is>
      </c>
      <c r="L1151" t="inlineStr">
        <is>
          <t>NOT AVAILABLE</t>
        </is>
      </c>
      <c r="M1151" t="inlineStr">
        <is>
          <t>MEASURED</t>
        </is>
      </c>
      <c r="N1151" s="5" t="inlineStr">
        <is>
          <t>Semrush phrase_questions seed "site internet"</t>
        </is>
      </c>
      <c r="O1151" t="inlineStr">
        <is>
          <t>2026-10-30</t>
        </is>
      </c>
      <c r="P1151">
        <f>IF(IF(J1151="NOT AVAILABLE","",J1151)="",12,IF(OR(ISNUMBER(SEARCH("Transactional",IF(J1151="NOT AVAILABLE","",J1151))),ISNUMBER(SEARCH("Commercial",IF(J1151="NOT AVAILABLE","",J1151)))),25,IF(ISNUMBER(SEARCH("Informational",IF(J1151="NOT AVAILABLE","",J1151))),10,IF(ISNUMBER(SEARCH("Navigational",IF(J1151="NOT AVAILABLE","",J1151))),0,12))))</f>
        <v/>
      </c>
      <c r="Q1151">
        <f>IF(ISNUMBER(F1151),MIN(30,ROUND(30*LOG10(F1151+1)/4,1)),0)</f>
        <v/>
      </c>
      <c r="R1151">
        <f>IF(ISNUMBER(G1151),ROUND(25*(100-G1151)/100,1),12.5)</f>
        <v/>
      </c>
      <c r="S1151" t="n">
        <v>14</v>
      </c>
      <c r="T1151">
        <f>ROUND(P1151+Q1151+R1151+S1151,0)</f>
        <v/>
      </c>
      <c r="U1151" s="5" t="inlineStr"/>
      <c r="V1151" s="5" t="inlineStr"/>
    </row>
    <row r="1152">
      <c r="A1152" t="inlineStr">
        <is>
          <t>K1150</t>
        </is>
      </c>
      <c r="B1152" t="inlineStr">
        <is>
          <t>comment créer gratuitement un site internet</t>
        </is>
      </c>
      <c r="C1152" t="inlineStr">
        <is>
          <t>France</t>
        </is>
      </c>
      <c r="D1152" t="inlineStr">
        <is>
          <t>fr</t>
        </is>
      </c>
      <c r="E1152" t="inlineStr">
        <is>
          <t>fr</t>
        </is>
      </c>
      <c r="F1152" t="n">
        <v>320</v>
      </c>
      <c r="G1152" t="n">
        <v>42</v>
      </c>
      <c r="H1152" t="n">
        <v>2.13</v>
      </c>
      <c r="I1152" t="n">
        <v>0.74</v>
      </c>
      <c r="J1152" t="inlineStr">
        <is>
          <t>Informational</t>
        </is>
      </c>
      <c r="K1152" t="inlineStr">
        <is>
          <t>NOT AVAILABLE (report not requested)</t>
        </is>
      </c>
      <c r="L1152" t="inlineStr">
        <is>
          <t>NOT AVAILABLE</t>
        </is>
      </c>
      <c r="M1152" t="inlineStr">
        <is>
          <t>MEASURED</t>
        </is>
      </c>
      <c r="N1152" s="5" t="inlineStr">
        <is>
          <t>Semrush phrase_questions seed "site internet"</t>
        </is>
      </c>
      <c r="O1152" t="inlineStr">
        <is>
          <t>2026-10-30</t>
        </is>
      </c>
      <c r="P1152">
        <f>IF(IF(J1152="NOT AVAILABLE","",J1152)="",12,IF(OR(ISNUMBER(SEARCH("Transactional",IF(J1152="NOT AVAILABLE","",J1152))),ISNUMBER(SEARCH("Commercial",IF(J1152="NOT AVAILABLE","",J1152)))),25,IF(ISNUMBER(SEARCH("Informational",IF(J1152="NOT AVAILABLE","",J1152))),10,IF(ISNUMBER(SEARCH("Navigational",IF(J1152="NOT AVAILABLE","",J1152))),0,12))))</f>
        <v/>
      </c>
      <c r="Q1152">
        <f>IF(ISNUMBER(F1152),MIN(30,ROUND(30*LOG10(F1152+1)/4,1)),0)</f>
        <v/>
      </c>
      <c r="R1152">
        <f>IF(ISNUMBER(G1152),ROUND(25*(100-G1152)/100,1),12.5)</f>
        <v/>
      </c>
      <c r="S1152" t="n">
        <v>14</v>
      </c>
      <c r="T1152">
        <f>ROUND(P1152+Q1152+R1152+S1152,0)</f>
        <v/>
      </c>
      <c r="U1152" s="5" t="inlineStr"/>
      <c r="V1152" s="5" t="inlineStr"/>
    </row>
    <row r="1153">
      <c r="A1153" t="inlineStr">
        <is>
          <t>K1151</t>
        </is>
      </c>
      <c r="B1153" t="inlineStr">
        <is>
          <t>comment créer son site internet</t>
        </is>
      </c>
      <c r="C1153" t="inlineStr">
        <is>
          <t>France</t>
        </is>
      </c>
      <c r="D1153" t="inlineStr">
        <is>
          <t>fr</t>
        </is>
      </c>
      <c r="E1153" t="inlineStr">
        <is>
          <t>fr</t>
        </is>
      </c>
      <c r="F1153" t="n">
        <v>320</v>
      </c>
      <c r="G1153" t="n">
        <v>40</v>
      </c>
      <c r="H1153" t="n">
        <v>2.34</v>
      </c>
      <c r="I1153" t="n">
        <v>0.73</v>
      </c>
      <c r="J1153" t="inlineStr">
        <is>
          <t>Informational</t>
        </is>
      </c>
      <c r="K1153" t="inlineStr">
        <is>
          <t>NOT AVAILABLE (report not requested)</t>
        </is>
      </c>
      <c r="L1153" t="inlineStr">
        <is>
          <t>NOT AVAILABLE</t>
        </is>
      </c>
      <c r="M1153" t="inlineStr">
        <is>
          <t>MEASURED</t>
        </is>
      </c>
      <c r="N1153" s="5" t="inlineStr">
        <is>
          <t>Semrush phrase_questions seed "site internet"</t>
        </is>
      </c>
      <c r="O1153" t="inlineStr">
        <is>
          <t>2026-10-30</t>
        </is>
      </c>
      <c r="P1153">
        <f>IF(IF(J1153="NOT AVAILABLE","",J1153)="",12,IF(OR(ISNUMBER(SEARCH("Transactional",IF(J1153="NOT AVAILABLE","",J1153))),ISNUMBER(SEARCH("Commercial",IF(J1153="NOT AVAILABLE","",J1153)))),25,IF(ISNUMBER(SEARCH("Informational",IF(J1153="NOT AVAILABLE","",J1153))),10,IF(ISNUMBER(SEARCH("Navigational",IF(J1153="NOT AVAILABLE","",J1153))),0,12))))</f>
        <v/>
      </c>
      <c r="Q1153">
        <f>IF(ISNUMBER(F1153),MIN(30,ROUND(30*LOG10(F1153+1)/4,1)),0)</f>
        <v/>
      </c>
      <c r="R1153">
        <f>IF(ISNUMBER(G1153),ROUND(25*(100-G1153)/100,1),12.5)</f>
        <v/>
      </c>
      <c r="S1153" t="n">
        <v>14</v>
      </c>
      <c r="T1153">
        <f>ROUND(P1153+Q1153+R1153+S1153,0)</f>
        <v/>
      </c>
      <c r="U1153" s="5" t="inlineStr"/>
      <c r="V1153" s="5" t="inlineStr"/>
    </row>
    <row r="1154">
      <c r="A1154" t="inlineStr">
        <is>
          <t>K1152</t>
        </is>
      </c>
      <c r="B1154" t="inlineStr">
        <is>
          <t>création site web paris</t>
        </is>
      </c>
      <c r="C1154" t="inlineStr">
        <is>
          <t>France</t>
        </is>
      </c>
      <c r="D1154" t="inlineStr">
        <is>
          <t>fr</t>
        </is>
      </c>
      <c r="E1154" t="inlineStr">
        <is>
          <t>fr</t>
        </is>
      </c>
      <c r="F1154" t="n">
        <v>320</v>
      </c>
      <c r="G1154" t="n">
        <v>28</v>
      </c>
      <c r="H1154" t="n">
        <v>1.68</v>
      </c>
      <c r="I1154" t="n">
        <v>0.2</v>
      </c>
      <c r="J1154" t="inlineStr">
        <is>
          <t>Commercial</t>
        </is>
      </c>
      <c r="K1154" t="inlineStr">
        <is>
          <t>NOT AVAILABLE (report not requested)</t>
        </is>
      </c>
      <c r="L1154" t="inlineStr">
        <is>
          <t>rising (calc.)</t>
        </is>
      </c>
      <c r="M1154" t="inlineStr">
        <is>
          <t>MEASURED</t>
        </is>
      </c>
      <c r="N1154" s="5" t="inlineStr">
        <is>
          <t>Semrush phrase_these (live, this session)</t>
        </is>
      </c>
      <c r="O1154" t="inlineStr">
        <is>
          <t>2026-10-30</t>
        </is>
      </c>
      <c r="P1154">
        <f>IF(IF(J1154="NOT AVAILABLE","",J1154)="",12,IF(OR(ISNUMBER(SEARCH("Transactional",IF(J1154="NOT AVAILABLE","",J1154))),ISNUMBER(SEARCH("Commercial",IF(J1154="NOT AVAILABLE","",J1154)))),25,IF(ISNUMBER(SEARCH("Informational",IF(J1154="NOT AVAILABLE","",J1154))),10,IF(ISNUMBER(SEARCH("Navigational",IF(J1154="NOT AVAILABLE","",J1154))),0,12))))</f>
        <v/>
      </c>
      <c r="Q1154">
        <f>IF(ISNUMBER(F1154),MIN(30,ROUND(30*LOG10(F1154+1)/4,1)),0)</f>
        <v/>
      </c>
      <c r="R1154">
        <f>IF(ISNUMBER(G1154),ROUND(25*(100-G1154)/100,1),12.5)</f>
        <v/>
      </c>
      <c r="S1154" t="n">
        <v>14</v>
      </c>
      <c r="T1154">
        <f>ROUND(P1154+Q1154+R1154+S1154,0)</f>
        <v/>
      </c>
      <c r="U1154" s="5" t="inlineStr"/>
      <c r="V1154" s="5" t="inlineStr">
        <is>
          <t>SECONDARY /web-development-company/paris</t>
        </is>
      </c>
    </row>
    <row r="1155">
      <c r="A1155" t="inlineStr">
        <is>
          <t>K1153</t>
        </is>
      </c>
      <c r="B1155" t="inlineStr">
        <is>
          <t>création site web sur mesure</t>
        </is>
      </c>
      <c r="C1155" t="inlineStr">
        <is>
          <t>France</t>
        </is>
      </c>
      <c r="D1155" t="inlineStr">
        <is>
          <t>fr</t>
        </is>
      </c>
      <c r="E1155" t="inlineStr">
        <is>
          <t>fr</t>
        </is>
      </c>
      <c r="F1155" t="n">
        <v>320</v>
      </c>
      <c r="G1155" t="n">
        <v>45</v>
      </c>
      <c r="H1155" t="n">
        <v>3.23</v>
      </c>
      <c r="I1155" t="n">
        <v>0.22</v>
      </c>
      <c r="J1155" t="inlineStr">
        <is>
          <t>Informational</t>
        </is>
      </c>
      <c r="K1155" t="inlineStr">
        <is>
          <t>NOT AVAILABLE (report not requested)</t>
        </is>
      </c>
      <c r="L1155" t="inlineStr">
        <is>
          <t>declining (calc.)</t>
        </is>
      </c>
      <c r="M1155" t="inlineStr">
        <is>
          <t>MEASURED</t>
        </is>
      </c>
      <c r="N1155" s="5" t="inlineStr">
        <is>
          <t>Semrush phrase_these (live, this session)</t>
        </is>
      </c>
      <c r="O1155" t="inlineStr">
        <is>
          <t>2026-10-30</t>
        </is>
      </c>
      <c r="P1155">
        <f>IF(IF(J1155="NOT AVAILABLE","",J1155)="",12,IF(OR(ISNUMBER(SEARCH("Transactional",IF(J1155="NOT AVAILABLE","",J1155))),ISNUMBER(SEARCH("Commercial",IF(J1155="NOT AVAILABLE","",J1155)))),25,IF(ISNUMBER(SEARCH("Informational",IF(J1155="NOT AVAILABLE","",J1155))),10,IF(ISNUMBER(SEARCH("Navigational",IF(J1155="NOT AVAILABLE","",J1155))),0,12))))</f>
        <v/>
      </c>
      <c r="Q1155">
        <f>IF(ISNUMBER(F1155),MIN(30,ROUND(30*LOG10(F1155+1)/4,1)),0)</f>
        <v/>
      </c>
      <c r="R1155">
        <f>IF(ISNUMBER(G1155),ROUND(25*(100-G1155)/100,1),12.5)</f>
        <v/>
      </c>
      <c r="S1155" t="n">
        <v>14</v>
      </c>
      <c r="T1155">
        <f>ROUND(P1155+Q1155+R1155+S1155,0)</f>
        <v/>
      </c>
      <c r="U1155" s="5" t="inlineStr"/>
      <c r="V1155" s="5" t="inlineStr">
        <is>
          <t>OPTIONAL /</t>
        </is>
      </c>
    </row>
    <row r="1156">
      <c r="A1156" t="inlineStr">
        <is>
          <t>K1154</t>
        </is>
      </c>
      <c r="B1156" t="inlineStr">
        <is>
          <t>facebook debugger</t>
        </is>
      </c>
      <c r="C1156" t="inlineStr">
        <is>
          <t>France</t>
        </is>
      </c>
      <c r="D1156" t="inlineStr">
        <is>
          <t>fr</t>
        </is>
      </c>
      <c r="E1156" t="inlineStr">
        <is>
          <t>fr</t>
        </is>
      </c>
      <c r="F1156" t="n">
        <v>320</v>
      </c>
      <c r="G1156" t="n">
        <v>33</v>
      </c>
      <c r="H1156" t="n">
        <v>0</v>
      </c>
      <c r="I1156" t="n">
        <v>0.33</v>
      </c>
      <c r="J1156" t="inlineStr">
        <is>
          <t>Informational</t>
        </is>
      </c>
      <c r="K1156" t="inlineStr">
        <is>
          <t>NOT AVAILABLE (report not requested)</t>
        </is>
      </c>
      <c r="L1156" t="inlineStr">
        <is>
          <t>stable (calc.)</t>
        </is>
      </c>
      <c r="M1156" t="inlineStr">
        <is>
          <t>MEASURED</t>
        </is>
      </c>
      <c r="N1156" s="5" t="inlineStr">
        <is>
          <t>Semrush phrase_these (live, this session)</t>
        </is>
      </c>
      <c r="O1156" t="inlineStr">
        <is>
          <t>2026-10-30</t>
        </is>
      </c>
      <c r="P1156">
        <f>IF(IF(J1156="NOT AVAILABLE","",J1156)="",12,IF(OR(ISNUMBER(SEARCH("Transactional",IF(J1156="NOT AVAILABLE","",J1156))),ISNUMBER(SEARCH("Commercial",IF(J1156="NOT AVAILABLE","",J1156)))),25,IF(ISNUMBER(SEARCH("Informational",IF(J1156="NOT AVAILABLE","",J1156))),10,IF(ISNUMBER(SEARCH("Navigational",IF(J1156="NOT AVAILABLE","",J1156))),0,12))))</f>
        <v/>
      </c>
      <c r="Q1156">
        <f>IF(ISNUMBER(F1156),MIN(30,ROUND(30*LOG10(F1156+1)/4,1)),0)</f>
        <v/>
      </c>
      <c r="R1156">
        <f>IF(ISNUMBER(G1156),ROUND(25*(100-G1156)/100,1),12.5)</f>
        <v/>
      </c>
      <c r="S1156" t="n">
        <v>14</v>
      </c>
      <c r="T1156">
        <f>ROUND(P1156+Q1156+R1156+S1156,0)</f>
        <v/>
      </c>
      <c r="U1156" s="5" t="inlineStr"/>
      <c r="V1156" s="5" t="inlineStr">
        <is>
          <t>NOT RECOMMENDED /tools/og-preview-generator</t>
        </is>
      </c>
    </row>
    <row r="1157">
      <c r="A1157" t="inlineStr">
        <is>
          <t>K1155</t>
        </is>
      </c>
      <c r="B1157" t="inlineStr">
        <is>
          <t>fichier llms.txt</t>
        </is>
      </c>
      <c r="C1157" t="inlineStr">
        <is>
          <t>France</t>
        </is>
      </c>
      <c r="D1157" t="inlineStr">
        <is>
          <t>fr</t>
        </is>
      </c>
      <c r="E1157" t="inlineStr">
        <is>
          <t>fr</t>
        </is>
      </c>
      <c r="F1157" t="n">
        <v>320</v>
      </c>
      <c r="G1157" t="n">
        <v>25</v>
      </c>
      <c r="H1157" t="n">
        <v>0.13</v>
      </c>
      <c r="I1157" t="n">
        <v>0.13</v>
      </c>
      <c r="J1157" t="inlineStr">
        <is>
          <t>Informational</t>
        </is>
      </c>
      <c r="K1157" t="inlineStr">
        <is>
          <t>NOT AVAILABLE (report not requested)</t>
        </is>
      </c>
      <c r="L1157" t="inlineStr">
        <is>
          <t>declining (calc.)</t>
        </is>
      </c>
      <c r="M1157" t="inlineStr">
        <is>
          <t>MEASURED</t>
        </is>
      </c>
      <c r="N1157" s="5" t="inlineStr">
        <is>
          <t>Semrush phrase_these (live, this session)</t>
        </is>
      </c>
      <c r="O1157" t="inlineStr">
        <is>
          <t>2026-10-30</t>
        </is>
      </c>
      <c r="P1157">
        <f>IF(IF(J1157="NOT AVAILABLE","",J1157)="",12,IF(OR(ISNUMBER(SEARCH("Transactional",IF(J1157="NOT AVAILABLE","",J1157))),ISNUMBER(SEARCH("Commercial",IF(J1157="NOT AVAILABLE","",J1157)))),25,IF(ISNUMBER(SEARCH("Informational",IF(J1157="NOT AVAILABLE","",J1157))),10,IF(ISNUMBER(SEARCH("Navigational",IF(J1157="NOT AVAILABLE","",J1157))),0,12))))</f>
        <v/>
      </c>
      <c r="Q1157">
        <f>IF(ISNUMBER(F1157),MIN(30,ROUND(30*LOG10(F1157+1)/4,1)),0)</f>
        <v/>
      </c>
      <c r="R1157">
        <f>IF(ISNUMBER(G1157),ROUND(25*(100-G1157)/100,1),12.5)</f>
        <v/>
      </c>
      <c r="S1157" t="n">
        <v>14</v>
      </c>
      <c r="T1157">
        <f>ROUND(P1157+Q1157+R1157+S1157,0)</f>
        <v/>
      </c>
      <c r="U1157" s="5" t="inlineStr"/>
      <c r="V1157" s="5" t="inlineStr">
        <is>
          <t>SECONDARY /tools/llms-txt-generator</t>
        </is>
      </c>
    </row>
    <row r="1158">
      <c r="A1158" t="inlineStr">
        <is>
          <t>K1156</t>
        </is>
      </c>
      <c r="B1158" t="inlineStr">
        <is>
          <t>html to text</t>
        </is>
      </c>
      <c r="C1158" t="inlineStr">
        <is>
          <t>France</t>
        </is>
      </c>
      <c r="D1158" t="inlineStr">
        <is>
          <t>fr</t>
        </is>
      </c>
      <c r="E1158" t="inlineStr">
        <is>
          <t>fr</t>
        </is>
      </c>
      <c r="F1158" t="n">
        <v>320</v>
      </c>
      <c r="G1158" t="n">
        <v>68</v>
      </c>
      <c r="H1158" t="n">
        <v>0</v>
      </c>
      <c r="I1158" t="n">
        <v>0.02</v>
      </c>
      <c r="J1158" t="inlineStr">
        <is>
          <t>Informational</t>
        </is>
      </c>
      <c r="K1158" t="inlineStr">
        <is>
          <t>NOT AVAILABLE (report not requested)</t>
        </is>
      </c>
      <c r="L1158" t="inlineStr">
        <is>
          <t>stable (calc.)</t>
        </is>
      </c>
      <c r="M1158" t="inlineStr">
        <is>
          <t>MEASURED</t>
        </is>
      </c>
      <c r="N1158" s="5" t="inlineStr">
        <is>
          <t>Semrush phrase_these (live, this session)</t>
        </is>
      </c>
      <c r="O1158" t="inlineStr">
        <is>
          <t>2026-10-30</t>
        </is>
      </c>
      <c r="P1158">
        <f>IF(IF(J1158="NOT AVAILABLE","",J1158)="",12,IF(OR(ISNUMBER(SEARCH("Transactional",IF(J1158="NOT AVAILABLE","",J1158))),ISNUMBER(SEARCH("Commercial",IF(J1158="NOT AVAILABLE","",J1158)))),25,IF(ISNUMBER(SEARCH("Informational",IF(J1158="NOT AVAILABLE","",J1158))),10,IF(ISNUMBER(SEARCH("Navigational",IF(J1158="NOT AVAILABLE","",J1158))),0,12))))</f>
        <v/>
      </c>
      <c r="Q1158">
        <f>IF(ISNUMBER(F1158),MIN(30,ROUND(30*LOG10(F1158+1)/4,1)),0)</f>
        <v/>
      </c>
      <c r="R1158">
        <f>IF(ISNUMBER(G1158),ROUND(25*(100-G1158)/100,1),12.5)</f>
        <v/>
      </c>
      <c r="S1158" t="n">
        <v>14</v>
      </c>
      <c r="T1158">
        <f>ROUND(P1158+Q1158+R1158+S1158,0)</f>
        <v/>
      </c>
      <c r="U1158" s="5" t="inlineStr"/>
      <c r="V1158" s="5" t="inlineStr">
        <is>
          <t>PRIMARY /tools/html-to-text</t>
        </is>
      </c>
    </row>
    <row r="1159">
      <c r="A1159" t="inlineStr">
        <is>
          <t>K1157</t>
        </is>
      </c>
      <c r="B1159" t="inlineStr">
        <is>
          <t>landing page gratuite</t>
        </is>
      </c>
      <c r="C1159" t="inlineStr">
        <is>
          <t>France</t>
        </is>
      </c>
      <c r="D1159" t="inlineStr">
        <is>
          <t>fr</t>
        </is>
      </c>
      <c r="E1159" t="inlineStr">
        <is>
          <t>fr</t>
        </is>
      </c>
      <c r="F1159" t="n">
        <v>320</v>
      </c>
      <c r="G1159" t="n">
        <v>26</v>
      </c>
      <c r="H1159" t="n">
        <v>3.24</v>
      </c>
      <c r="I1159" t="n">
        <v>0.65</v>
      </c>
      <c r="J1159" t="inlineStr">
        <is>
          <t>Informational</t>
        </is>
      </c>
      <c r="K1159" t="inlineStr">
        <is>
          <t>NOT AVAILABLE (report not requested)</t>
        </is>
      </c>
      <c r="L1159" t="inlineStr">
        <is>
          <t>declining (calc.)</t>
        </is>
      </c>
      <c r="M1159" t="inlineStr">
        <is>
          <t>MEASURED</t>
        </is>
      </c>
      <c r="N1159" s="5" t="inlineStr">
        <is>
          <t>Semrush phrase_these (live, this session)</t>
        </is>
      </c>
      <c r="O1159" t="inlineStr">
        <is>
          <t>2026-10-30</t>
        </is>
      </c>
      <c r="P1159">
        <f>IF(IF(J1159="NOT AVAILABLE","",J1159)="",12,IF(OR(ISNUMBER(SEARCH("Transactional",IF(J1159="NOT AVAILABLE","",J1159))),ISNUMBER(SEARCH("Commercial",IF(J1159="NOT AVAILABLE","",J1159)))),25,IF(ISNUMBER(SEARCH("Informational",IF(J1159="NOT AVAILABLE","",J1159))),10,IF(ISNUMBER(SEARCH("Navigational",IF(J1159="NOT AVAILABLE","",J1159))),0,12))))</f>
        <v/>
      </c>
      <c r="Q1159">
        <f>IF(ISNUMBER(F1159),MIN(30,ROUND(30*LOG10(F1159+1)/4,1)),0)</f>
        <v/>
      </c>
      <c r="R1159">
        <f>IF(ISNUMBER(G1159),ROUND(25*(100-G1159)/100,1),12.5)</f>
        <v/>
      </c>
      <c r="S1159" t="n">
        <v>14</v>
      </c>
      <c r="T1159">
        <f>ROUND(P1159+Q1159+R1159+S1159,0)</f>
        <v/>
      </c>
      <c r="U1159" s="5" t="inlineStr"/>
      <c r="V1159" s="5" t="inlineStr">
        <is>
          <t>SECONDARY /tools/landing-page-generator</t>
        </is>
      </c>
    </row>
    <row r="1160">
      <c r="A1160" t="inlineStr">
        <is>
          <t>K1158</t>
        </is>
      </c>
      <c r="B1160" t="inlineStr">
        <is>
          <t>minify css</t>
        </is>
      </c>
      <c r="C1160" t="inlineStr">
        <is>
          <t>France</t>
        </is>
      </c>
      <c r="D1160" t="inlineStr">
        <is>
          <t>fr</t>
        </is>
      </c>
      <c r="E1160" t="inlineStr">
        <is>
          <t>fr</t>
        </is>
      </c>
      <c r="F1160" t="n">
        <v>320</v>
      </c>
      <c r="G1160" t="n">
        <v>29</v>
      </c>
      <c r="H1160" t="n">
        <v>0</v>
      </c>
      <c r="I1160" t="n">
        <v>0.33</v>
      </c>
      <c r="J1160" t="inlineStr">
        <is>
          <t>Informational</t>
        </is>
      </c>
      <c r="K1160" t="inlineStr">
        <is>
          <t>NOT AVAILABLE (report not requested)</t>
        </is>
      </c>
      <c r="L1160" t="inlineStr">
        <is>
          <t>declining (calc.)</t>
        </is>
      </c>
      <c r="M1160" t="inlineStr">
        <is>
          <t>MEASURED</t>
        </is>
      </c>
      <c r="N1160" s="5" t="inlineStr">
        <is>
          <t>Semrush phrase_these (live, this session)</t>
        </is>
      </c>
      <c r="O1160" t="inlineStr">
        <is>
          <t>2026-10-30</t>
        </is>
      </c>
      <c r="P1160">
        <f>IF(IF(J1160="NOT AVAILABLE","",J1160)="",12,IF(OR(ISNUMBER(SEARCH("Transactional",IF(J1160="NOT AVAILABLE","",J1160))),ISNUMBER(SEARCH("Commercial",IF(J1160="NOT AVAILABLE","",J1160)))),25,IF(ISNUMBER(SEARCH("Informational",IF(J1160="NOT AVAILABLE","",J1160))),10,IF(ISNUMBER(SEARCH("Navigational",IF(J1160="NOT AVAILABLE","",J1160))),0,12))))</f>
        <v/>
      </c>
      <c r="Q1160">
        <f>IF(ISNUMBER(F1160),MIN(30,ROUND(30*LOG10(F1160+1)/4,1)),0)</f>
        <v/>
      </c>
      <c r="R1160">
        <f>IF(ISNUMBER(G1160),ROUND(25*(100-G1160)/100,1),12.5)</f>
        <v/>
      </c>
      <c r="S1160" t="n">
        <v>14</v>
      </c>
      <c r="T1160">
        <f>ROUND(P1160+Q1160+R1160+S1160,0)</f>
        <v/>
      </c>
      <c r="U1160" s="5" t="inlineStr"/>
      <c r="V1160" s="5" t="inlineStr">
        <is>
          <t>PRIMARY /tools/css-minifier</t>
        </is>
      </c>
    </row>
    <row r="1161">
      <c r="A1161" t="inlineStr">
        <is>
          <t>K1159</t>
        </is>
      </c>
      <c r="B1161" t="inlineStr">
        <is>
          <t>og image</t>
        </is>
      </c>
      <c r="C1161" t="inlineStr">
        <is>
          <t>France</t>
        </is>
      </c>
      <c r="D1161" t="inlineStr">
        <is>
          <t>fr</t>
        </is>
      </c>
      <c r="E1161" t="inlineStr">
        <is>
          <t>fr</t>
        </is>
      </c>
      <c r="F1161" t="n">
        <v>320</v>
      </c>
      <c r="G1161" t="n">
        <v>36</v>
      </c>
      <c r="H1161" t="n">
        <v>0</v>
      </c>
      <c r="I1161" t="n">
        <v>0.01</v>
      </c>
      <c r="J1161" t="inlineStr">
        <is>
          <t>Informational</t>
        </is>
      </c>
      <c r="K1161" t="inlineStr">
        <is>
          <t>NOT AVAILABLE (report not requested)</t>
        </is>
      </c>
      <c r="L1161" t="inlineStr">
        <is>
          <t>rising (calc.)</t>
        </is>
      </c>
      <c r="M1161" t="inlineStr">
        <is>
          <t>MEASURED</t>
        </is>
      </c>
      <c r="N1161" s="5" t="inlineStr">
        <is>
          <t>Semrush phrase_these (live, this session)</t>
        </is>
      </c>
      <c r="O1161" t="inlineStr">
        <is>
          <t>2026-10-30</t>
        </is>
      </c>
      <c r="P1161">
        <f>IF(IF(J1161="NOT AVAILABLE","",J1161)="",12,IF(OR(ISNUMBER(SEARCH("Transactional",IF(J1161="NOT AVAILABLE","",J1161))),ISNUMBER(SEARCH("Commercial",IF(J1161="NOT AVAILABLE","",J1161)))),25,IF(ISNUMBER(SEARCH("Informational",IF(J1161="NOT AVAILABLE","",J1161))),10,IF(ISNUMBER(SEARCH("Navigational",IF(J1161="NOT AVAILABLE","",J1161))),0,12))))</f>
        <v/>
      </c>
      <c r="Q1161">
        <f>IF(ISNUMBER(F1161),MIN(30,ROUND(30*LOG10(F1161+1)/4,1)),0)</f>
        <v/>
      </c>
      <c r="R1161">
        <f>IF(ISNUMBER(G1161),ROUND(25*(100-G1161)/100,1),12.5)</f>
        <v/>
      </c>
      <c r="S1161" t="n">
        <v>14</v>
      </c>
      <c r="T1161">
        <f>ROUND(P1161+Q1161+R1161+S1161,0)</f>
        <v/>
      </c>
      <c r="U1161" s="5" t="inlineStr"/>
      <c r="V1161" s="5" t="inlineStr">
        <is>
          <t>SECONDARY /tools/og-preview-generator</t>
        </is>
      </c>
    </row>
    <row r="1162">
      <c r="A1162" t="inlineStr">
        <is>
          <t>K1160</t>
        </is>
      </c>
      <c r="B1162" t="inlineStr">
        <is>
          <t>outils seo en ligne</t>
        </is>
      </c>
      <c r="C1162" t="inlineStr">
        <is>
          <t>France</t>
        </is>
      </c>
      <c r="D1162" t="inlineStr">
        <is>
          <t>fr</t>
        </is>
      </c>
      <c r="E1162" t="inlineStr">
        <is>
          <t>fr</t>
        </is>
      </c>
      <c r="F1162" t="n">
        <v>320</v>
      </c>
      <c r="G1162" t="n">
        <v>41</v>
      </c>
      <c r="H1162" t="n">
        <v>0</v>
      </c>
      <c r="I1162" t="n">
        <v>0.33</v>
      </c>
      <c r="J1162" t="inlineStr">
        <is>
          <t>Commercial</t>
        </is>
      </c>
      <c r="K1162" t="inlineStr">
        <is>
          <t>NOT AVAILABLE (report not requested)</t>
        </is>
      </c>
      <c r="L1162" t="inlineStr">
        <is>
          <t>stable (calc.)</t>
        </is>
      </c>
      <c r="M1162" t="inlineStr">
        <is>
          <t>MEASURED</t>
        </is>
      </c>
      <c r="N1162" s="5" t="inlineStr">
        <is>
          <t>Semrush phrase_these (live, this session)</t>
        </is>
      </c>
      <c r="O1162" t="inlineStr">
        <is>
          <t>2026-10-30</t>
        </is>
      </c>
      <c r="P1162">
        <f>IF(IF(J1162="NOT AVAILABLE","",J1162)="",12,IF(OR(ISNUMBER(SEARCH("Transactional",IF(J1162="NOT AVAILABLE","",J1162))),ISNUMBER(SEARCH("Commercial",IF(J1162="NOT AVAILABLE","",J1162)))),25,IF(ISNUMBER(SEARCH("Informational",IF(J1162="NOT AVAILABLE","",J1162))),10,IF(ISNUMBER(SEARCH("Navigational",IF(J1162="NOT AVAILABLE","",J1162))),0,12))))</f>
        <v/>
      </c>
      <c r="Q1162">
        <f>IF(ISNUMBER(F1162),MIN(30,ROUND(30*LOG10(F1162+1)/4,1)),0)</f>
        <v/>
      </c>
      <c r="R1162">
        <f>IF(ISNUMBER(G1162),ROUND(25*(100-G1162)/100,1),12.5)</f>
        <v/>
      </c>
      <c r="S1162" t="n">
        <v>14</v>
      </c>
      <c r="T1162">
        <f>ROUND(P1162+Q1162+R1162+S1162,0)</f>
        <v/>
      </c>
      <c r="U1162" s="5" t="inlineStr"/>
      <c r="V1162" s="5" t="inlineStr">
        <is>
          <t>SECONDARY /tools</t>
        </is>
      </c>
    </row>
    <row r="1163">
      <c r="A1163" t="inlineStr">
        <is>
          <t>K1161</t>
        </is>
      </c>
      <c r="B1163" t="inlineStr">
        <is>
          <t>portail immobilier</t>
        </is>
      </c>
      <c r="C1163" t="inlineStr">
        <is>
          <t>France</t>
        </is>
      </c>
      <c r="D1163" t="inlineStr">
        <is>
          <t>fr</t>
        </is>
      </c>
      <c r="E1163" t="inlineStr">
        <is>
          <t>fr</t>
        </is>
      </c>
      <c r="F1163" t="n">
        <v>320</v>
      </c>
      <c r="G1163" t="n">
        <v>31</v>
      </c>
      <c r="H1163" t="n">
        <v>0.79</v>
      </c>
      <c r="I1163" t="n">
        <v>0.07000000000000001</v>
      </c>
      <c r="J1163" t="inlineStr">
        <is>
          <t>Transactional</t>
        </is>
      </c>
      <c r="K1163" t="inlineStr">
        <is>
          <t>NOT AVAILABLE (report not requested)</t>
        </is>
      </c>
      <c r="L1163" t="inlineStr">
        <is>
          <t>declining (calc.)</t>
        </is>
      </c>
      <c r="M1163" t="inlineStr">
        <is>
          <t>MEASURED</t>
        </is>
      </c>
      <c r="N1163" s="5" t="inlineStr">
        <is>
          <t>Semrush phrase_these (live, this session)</t>
        </is>
      </c>
      <c r="O1163" t="inlineStr">
        <is>
          <t>2026-10-30</t>
        </is>
      </c>
      <c r="P1163">
        <f>IF(IF(J1163="NOT AVAILABLE","",J1163)="",12,IF(OR(ISNUMBER(SEARCH("Transactional",IF(J1163="NOT AVAILABLE","",J1163))),ISNUMBER(SEARCH("Commercial",IF(J1163="NOT AVAILABLE","",J1163)))),25,IF(ISNUMBER(SEARCH("Informational",IF(J1163="NOT AVAILABLE","",J1163))),10,IF(ISNUMBER(SEARCH("Navigational",IF(J1163="NOT AVAILABLE","",J1163))),0,12))))</f>
        <v/>
      </c>
      <c r="Q1163">
        <f>IF(ISNUMBER(F1163),MIN(30,ROUND(30*LOG10(F1163+1)/4,1)),0)</f>
        <v/>
      </c>
      <c r="R1163">
        <f>IF(ISNUMBER(G1163),ROUND(25*(100-G1163)/100,1),12.5)</f>
        <v/>
      </c>
      <c r="S1163" t="n">
        <v>14</v>
      </c>
      <c r="T1163">
        <f>ROUND(P1163+Q1163+R1163+S1163,0)</f>
        <v/>
      </c>
      <c r="U1163" s="5" t="inlineStr"/>
      <c r="V1163" s="5" t="inlineStr">
        <is>
          <t>SUPPORTING /services/real-estate-website-development</t>
        </is>
      </c>
    </row>
    <row r="1164">
      <c r="A1164" t="inlineStr">
        <is>
          <t>K1162</t>
        </is>
      </c>
      <c r="B1164" t="inlineStr">
        <is>
          <t>prix création site internet</t>
        </is>
      </c>
      <c r="C1164" t="inlineStr">
        <is>
          <t>France</t>
        </is>
      </c>
      <c r="D1164" t="inlineStr">
        <is>
          <t>fr</t>
        </is>
      </c>
      <c r="E1164" t="inlineStr">
        <is>
          <t>fr</t>
        </is>
      </c>
      <c r="F1164" t="n">
        <v>320</v>
      </c>
      <c r="G1164" t="n">
        <v>35</v>
      </c>
      <c r="H1164" t="n">
        <v>2.03</v>
      </c>
      <c r="I1164" t="n">
        <v>0.63</v>
      </c>
      <c r="J1164" t="inlineStr">
        <is>
          <t>Transactional</t>
        </is>
      </c>
      <c r="K1164" t="inlineStr">
        <is>
          <t>NOT AVAILABLE (report not requested)</t>
        </is>
      </c>
      <c r="L1164" t="inlineStr">
        <is>
          <t>stable (calc.)</t>
        </is>
      </c>
      <c r="M1164" t="inlineStr">
        <is>
          <t>MEASURED</t>
        </is>
      </c>
      <c r="N1164" s="5" t="inlineStr">
        <is>
          <t>Semrush phrase_these (live, this session)</t>
        </is>
      </c>
      <c r="O1164" t="inlineStr">
        <is>
          <t>2026-10-30</t>
        </is>
      </c>
      <c r="P1164">
        <f>IF(IF(J1164="NOT AVAILABLE","",J1164)="",12,IF(OR(ISNUMBER(SEARCH("Transactional",IF(J1164="NOT AVAILABLE","",J1164))),ISNUMBER(SEARCH("Commercial",IF(J1164="NOT AVAILABLE","",J1164)))),25,IF(ISNUMBER(SEARCH("Informational",IF(J1164="NOT AVAILABLE","",J1164))),10,IF(ISNUMBER(SEARCH("Navigational",IF(J1164="NOT AVAILABLE","",J1164))),0,12))))</f>
        <v/>
      </c>
      <c r="Q1164">
        <f>IF(ISNUMBER(F1164),MIN(30,ROUND(30*LOG10(F1164+1)/4,1)),0)</f>
        <v/>
      </c>
      <c r="R1164">
        <f>IF(ISNUMBER(G1164),ROUND(25*(100-G1164)/100,1),12.5)</f>
        <v/>
      </c>
      <c r="S1164" t="n">
        <v>14</v>
      </c>
      <c r="T1164">
        <f>ROUND(P1164+Q1164+R1164+S1164,0)</f>
        <v/>
      </c>
      <c r="U1164" s="5" t="inlineStr"/>
      <c r="V1164" s="5" t="inlineStr"/>
    </row>
    <row r="1165">
      <c r="A1165" t="inlineStr">
        <is>
          <t>K1163</t>
        </is>
      </c>
      <c r="B1165" t="inlineStr">
        <is>
          <t>prix site web</t>
        </is>
      </c>
      <c r="C1165" t="inlineStr">
        <is>
          <t>France</t>
        </is>
      </c>
      <c r="D1165" t="inlineStr">
        <is>
          <t>fr</t>
        </is>
      </c>
      <c r="E1165" t="inlineStr">
        <is>
          <t>fr</t>
        </is>
      </c>
      <c r="F1165" t="n">
        <v>320</v>
      </c>
      <c r="G1165" t="n">
        <v>26</v>
      </c>
      <c r="H1165" t="n">
        <v>1.43</v>
      </c>
      <c r="I1165" t="n">
        <v>0.55</v>
      </c>
      <c r="J1165" t="inlineStr">
        <is>
          <t>Informational</t>
        </is>
      </c>
      <c r="K1165" t="inlineStr">
        <is>
          <t>NOT AVAILABLE (report not requested)</t>
        </is>
      </c>
      <c r="L1165" t="inlineStr">
        <is>
          <t>declining (calc.)</t>
        </is>
      </c>
      <c r="M1165" t="inlineStr">
        <is>
          <t>MEASURED</t>
        </is>
      </c>
      <c r="N1165" s="5" t="inlineStr">
        <is>
          <t>Semrush phrase_these (live, this session)</t>
        </is>
      </c>
      <c r="O1165" t="inlineStr">
        <is>
          <t>2026-10-30</t>
        </is>
      </c>
      <c r="P1165">
        <f>IF(IF(J1165="NOT AVAILABLE","",J1165)="",12,IF(OR(ISNUMBER(SEARCH("Transactional",IF(J1165="NOT AVAILABLE","",J1165))),ISNUMBER(SEARCH("Commercial",IF(J1165="NOT AVAILABLE","",J1165)))),25,IF(ISNUMBER(SEARCH("Informational",IF(J1165="NOT AVAILABLE","",J1165))),10,IF(ISNUMBER(SEARCH("Navigational",IF(J1165="NOT AVAILABLE","",J1165))),0,12))))</f>
        <v/>
      </c>
      <c r="Q1165">
        <f>IF(ISNUMBER(F1165),MIN(30,ROUND(30*LOG10(F1165+1)/4,1)),0)</f>
        <v/>
      </c>
      <c r="R1165">
        <f>IF(ISNUMBER(G1165),ROUND(25*(100-G1165)/100,1),12.5)</f>
        <v/>
      </c>
      <c r="S1165" t="n">
        <v>14</v>
      </c>
      <c r="T1165">
        <f>ROUND(P1165+Q1165+R1165+S1165,0)</f>
        <v/>
      </c>
      <c r="U1165" s="5" t="inlineStr"/>
      <c r="V1165" s="5" t="inlineStr"/>
    </row>
    <row r="1166">
      <c r="A1166" t="inlineStr">
        <is>
          <t>K1164</t>
        </is>
      </c>
      <c r="B1166" t="inlineStr">
        <is>
          <t>robots ia</t>
        </is>
      </c>
      <c r="C1166" t="inlineStr">
        <is>
          <t>France</t>
        </is>
      </c>
      <c r="D1166" t="inlineStr">
        <is>
          <t>fr</t>
        </is>
      </c>
      <c r="E1166" t="inlineStr">
        <is>
          <t>fr</t>
        </is>
      </c>
      <c r="F1166" t="n">
        <v>320</v>
      </c>
      <c r="G1166" t="n">
        <v>33</v>
      </c>
      <c r="H1166" t="n">
        <v>0.79</v>
      </c>
      <c r="I1166" t="n">
        <v>0.48</v>
      </c>
      <c r="J1166" t="inlineStr">
        <is>
          <t>Informational</t>
        </is>
      </c>
      <c r="K1166" t="inlineStr">
        <is>
          <t>NOT AVAILABLE (report not requested)</t>
        </is>
      </c>
      <c r="L1166" t="inlineStr">
        <is>
          <t>rising (calc.)</t>
        </is>
      </c>
      <c r="M1166" t="inlineStr">
        <is>
          <t>MEASURED</t>
        </is>
      </c>
      <c r="N1166" s="5" t="inlineStr">
        <is>
          <t>Semrush phrase_these (live, this session)</t>
        </is>
      </c>
      <c r="O1166" t="inlineStr">
        <is>
          <t>2026-10-30</t>
        </is>
      </c>
      <c r="P1166">
        <f>IF(IF(J1166="NOT AVAILABLE","",J1166)="",12,IF(OR(ISNUMBER(SEARCH("Transactional",IF(J1166="NOT AVAILABLE","",J1166))),ISNUMBER(SEARCH("Commercial",IF(J1166="NOT AVAILABLE","",J1166)))),25,IF(ISNUMBER(SEARCH("Informational",IF(J1166="NOT AVAILABLE","",J1166))),10,IF(ISNUMBER(SEARCH("Navigational",IF(J1166="NOT AVAILABLE","",J1166))),0,12))))</f>
        <v/>
      </c>
      <c r="Q1166">
        <f>IF(ISNUMBER(F1166),MIN(30,ROUND(30*LOG10(F1166+1)/4,1)),0)</f>
        <v/>
      </c>
      <c r="R1166">
        <f>IF(ISNUMBER(G1166),ROUND(25*(100-G1166)/100,1),12.5)</f>
        <v/>
      </c>
      <c r="S1166" t="n">
        <v>14</v>
      </c>
      <c r="T1166">
        <f>ROUND(P1166+Q1166+R1166+S1166,0)</f>
        <v/>
      </c>
      <c r="U1166" s="5" t="inlineStr"/>
      <c r="V1166" s="5" t="inlineStr">
        <is>
          <t>PRIMARY /tools/ai-crawler-access-checker</t>
        </is>
      </c>
    </row>
    <row r="1167">
      <c r="A1167" t="inlineStr">
        <is>
          <t>K1165</t>
        </is>
      </c>
      <c r="B1167" t="inlineStr">
        <is>
          <t>robots.txt tester</t>
        </is>
      </c>
      <c r="C1167" t="inlineStr">
        <is>
          <t>France</t>
        </is>
      </c>
      <c r="D1167" t="inlineStr">
        <is>
          <t>fr</t>
        </is>
      </c>
      <c r="E1167" t="inlineStr">
        <is>
          <t>fr</t>
        </is>
      </c>
      <c r="F1167" t="n">
        <v>320</v>
      </c>
      <c r="G1167" t="n">
        <v>51</v>
      </c>
      <c r="H1167" t="n">
        <v>1.66</v>
      </c>
      <c r="I1167" t="n">
        <v>0.02</v>
      </c>
      <c r="J1167" t="inlineStr">
        <is>
          <t>Commercial</t>
        </is>
      </c>
      <c r="K1167" t="inlineStr">
        <is>
          <t>NOT AVAILABLE (report not requested)</t>
        </is>
      </c>
      <c r="L1167" t="inlineStr">
        <is>
          <t>declining (calc.)</t>
        </is>
      </c>
      <c r="M1167" t="inlineStr">
        <is>
          <t>MEASURED</t>
        </is>
      </c>
      <c r="N1167" s="5" t="inlineStr">
        <is>
          <t>Semrush phrase_these (live, this session)</t>
        </is>
      </c>
      <c r="O1167" t="inlineStr">
        <is>
          <t>2026-10-30</t>
        </is>
      </c>
      <c r="P1167">
        <f>IF(IF(J1167="NOT AVAILABLE","",J1167)="",12,IF(OR(ISNUMBER(SEARCH("Transactional",IF(J1167="NOT AVAILABLE","",J1167))),ISNUMBER(SEARCH("Commercial",IF(J1167="NOT AVAILABLE","",J1167)))),25,IF(ISNUMBER(SEARCH("Informational",IF(J1167="NOT AVAILABLE","",J1167))),10,IF(ISNUMBER(SEARCH("Navigational",IF(J1167="NOT AVAILABLE","",J1167))),0,12))))</f>
        <v/>
      </c>
      <c r="Q1167">
        <f>IF(ISNUMBER(F1167),MIN(30,ROUND(30*LOG10(F1167+1)/4,1)),0)</f>
        <v/>
      </c>
      <c r="R1167">
        <f>IF(ISNUMBER(G1167),ROUND(25*(100-G1167)/100,1),12.5)</f>
        <v/>
      </c>
      <c r="S1167" t="n">
        <v>14</v>
      </c>
      <c r="T1167">
        <f>ROUND(P1167+Q1167+R1167+S1167,0)</f>
        <v/>
      </c>
      <c r="U1167" s="5" t="inlineStr"/>
      <c r="V1167" s="5" t="inlineStr">
        <is>
          <t>SECONDARY /tools/robots-txt-tester</t>
        </is>
      </c>
    </row>
    <row r="1168">
      <c r="A1168" t="inlineStr">
        <is>
          <t>K1166</t>
        </is>
      </c>
      <c r="B1168" t="inlineStr">
        <is>
          <t>référencement site immobilier</t>
        </is>
      </c>
      <c r="C1168" t="inlineStr">
        <is>
          <t>France</t>
        </is>
      </c>
      <c r="D1168" t="inlineStr">
        <is>
          <t>fr</t>
        </is>
      </c>
      <c r="E1168" t="inlineStr">
        <is>
          <t>fr</t>
        </is>
      </c>
      <c r="F1168" t="n">
        <v>320</v>
      </c>
      <c r="G1168" t="n">
        <v>24</v>
      </c>
      <c r="H1168" t="n">
        <v>0</v>
      </c>
      <c r="I1168" t="n">
        <v>0.33</v>
      </c>
      <c r="J1168" t="inlineStr">
        <is>
          <t>Informational</t>
        </is>
      </c>
      <c r="K1168" t="inlineStr">
        <is>
          <t>NOT AVAILABLE (report not requested)</t>
        </is>
      </c>
      <c r="L1168" t="inlineStr">
        <is>
          <t>rising (calc.)</t>
        </is>
      </c>
      <c r="M1168" t="inlineStr">
        <is>
          <t>MEASURED</t>
        </is>
      </c>
      <c r="N1168" s="5" t="inlineStr">
        <is>
          <t>Semrush phrase_these (live, this session)</t>
        </is>
      </c>
      <c r="O1168" t="inlineStr">
        <is>
          <t>2026-10-30</t>
        </is>
      </c>
      <c r="P1168">
        <f>IF(IF(J1168="NOT AVAILABLE","",J1168)="",12,IF(OR(ISNUMBER(SEARCH("Transactional",IF(J1168="NOT AVAILABLE","",J1168))),ISNUMBER(SEARCH("Commercial",IF(J1168="NOT AVAILABLE","",J1168)))),25,IF(ISNUMBER(SEARCH("Informational",IF(J1168="NOT AVAILABLE","",J1168))),10,IF(ISNUMBER(SEARCH("Navigational",IF(J1168="NOT AVAILABLE","",J1168))),0,12))))</f>
        <v/>
      </c>
      <c r="Q1168">
        <f>IF(ISNUMBER(F1168),MIN(30,ROUND(30*LOG10(F1168+1)/4,1)),0)</f>
        <v/>
      </c>
      <c r="R1168">
        <f>IF(ISNUMBER(G1168),ROUND(25*(100-G1168)/100,1),12.5)</f>
        <v/>
      </c>
      <c r="S1168" t="n">
        <v>14</v>
      </c>
      <c r="T1168">
        <f>ROUND(P1168+Q1168+R1168+S1168,0)</f>
        <v/>
      </c>
      <c r="U1168" s="5" t="inlineStr"/>
      <c r="V1168" s="5" t="inlineStr">
        <is>
          <t>SECONDARY /blog/site-immobilier-structurer-les-annonces-pour-le-seo-et-la-conversion</t>
        </is>
      </c>
    </row>
    <row r="1169">
      <c r="A1169" t="inlineStr">
        <is>
          <t>K1167</t>
        </is>
      </c>
      <c r="B1169" t="inlineStr">
        <is>
          <t>test ssl</t>
        </is>
      </c>
      <c r="C1169" t="inlineStr">
        <is>
          <t>France</t>
        </is>
      </c>
      <c r="D1169" t="inlineStr">
        <is>
          <t>fr</t>
        </is>
      </c>
      <c r="E1169" t="inlineStr">
        <is>
          <t>fr</t>
        </is>
      </c>
      <c r="F1169" t="n">
        <v>320</v>
      </c>
      <c r="G1169" t="n">
        <v>37</v>
      </c>
      <c r="H1169" t="n">
        <v>0.89</v>
      </c>
      <c r="I1169" t="n">
        <v>0.03</v>
      </c>
      <c r="J1169" t="inlineStr">
        <is>
          <t>Commercial</t>
        </is>
      </c>
      <c r="K1169" t="inlineStr">
        <is>
          <t>NOT AVAILABLE (report not requested)</t>
        </is>
      </c>
      <c r="L1169" t="inlineStr">
        <is>
          <t>stable (calc.)</t>
        </is>
      </c>
      <c r="M1169" t="inlineStr">
        <is>
          <t>MEASURED</t>
        </is>
      </c>
      <c r="N1169" s="5" t="inlineStr">
        <is>
          <t>Semrush phrase_these (live, this session)</t>
        </is>
      </c>
      <c r="O1169" t="inlineStr">
        <is>
          <t>2026-10-30</t>
        </is>
      </c>
      <c r="P1169">
        <f>IF(IF(J1169="NOT AVAILABLE","",J1169)="",12,IF(OR(ISNUMBER(SEARCH("Transactional",IF(J1169="NOT AVAILABLE","",J1169))),ISNUMBER(SEARCH("Commercial",IF(J1169="NOT AVAILABLE","",J1169)))),25,IF(ISNUMBER(SEARCH("Informational",IF(J1169="NOT AVAILABLE","",J1169))),10,IF(ISNUMBER(SEARCH("Navigational",IF(J1169="NOT AVAILABLE","",J1169))),0,12))))</f>
        <v/>
      </c>
      <c r="Q1169">
        <f>IF(ISNUMBER(F1169),MIN(30,ROUND(30*LOG10(F1169+1)/4,1)),0)</f>
        <v/>
      </c>
      <c r="R1169">
        <f>IF(ISNUMBER(G1169),ROUND(25*(100-G1169)/100,1),12.5)</f>
        <v/>
      </c>
      <c r="S1169" t="n">
        <v>14</v>
      </c>
      <c r="T1169">
        <f>ROUND(P1169+Q1169+R1169+S1169,0)</f>
        <v/>
      </c>
      <c r="U1169" s="5" t="inlineStr"/>
      <c r="V1169" s="5" t="inlineStr">
        <is>
          <t>NOT RECOMMENDED /tools/domain-health-checker; PRIMARY /tools/ssl-certificate-checker</t>
        </is>
      </c>
    </row>
    <row r="1170">
      <c r="A1170" t="inlineStr">
        <is>
          <t>K1168</t>
        </is>
      </c>
      <c r="B1170" t="inlineStr">
        <is>
          <t>agence création site e-commerce</t>
        </is>
      </c>
      <c r="C1170" t="inlineStr">
        <is>
          <t>France</t>
        </is>
      </c>
      <c r="D1170" t="inlineStr">
        <is>
          <t>fr</t>
        </is>
      </c>
      <c r="E1170" t="inlineStr">
        <is>
          <t>fr</t>
        </is>
      </c>
      <c r="F1170" t="n">
        <v>260</v>
      </c>
      <c r="G1170" t="n">
        <v>31</v>
      </c>
      <c r="H1170" t="n">
        <v>3.3</v>
      </c>
      <c r="I1170" t="n">
        <v>0.12</v>
      </c>
      <c r="J1170" t="inlineStr">
        <is>
          <t>Commercial</t>
        </is>
      </c>
      <c r="K1170" t="inlineStr">
        <is>
          <t>NOT AVAILABLE (report not requested)</t>
        </is>
      </c>
      <c r="L1170" t="inlineStr">
        <is>
          <t>rising (calc.)</t>
        </is>
      </c>
      <c r="M1170" t="inlineStr">
        <is>
          <t>MEASURED</t>
        </is>
      </c>
      <c r="N1170" s="5" t="inlineStr">
        <is>
          <t>Semrush phrase_these (live, this session)</t>
        </is>
      </c>
      <c r="O1170" t="inlineStr">
        <is>
          <t>2026-10-30</t>
        </is>
      </c>
      <c r="P1170">
        <f>IF(IF(J1170="NOT AVAILABLE","",J1170)="",12,IF(OR(ISNUMBER(SEARCH("Transactional",IF(J1170="NOT AVAILABLE","",J1170))),ISNUMBER(SEARCH("Commercial",IF(J1170="NOT AVAILABLE","",J1170)))),25,IF(ISNUMBER(SEARCH("Informational",IF(J1170="NOT AVAILABLE","",J1170))),10,IF(ISNUMBER(SEARCH("Navigational",IF(J1170="NOT AVAILABLE","",J1170))),0,12))))</f>
        <v/>
      </c>
      <c r="Q1170">
        <f>IF(ISNUMBER(F1170),MIN(30,ROUND(30*LOG10(F1170+1)/4,1)),0)</f>
        <v/>
      </c>
      <c r="R1170">
        <f>IF(ISNUMBER(G1170),ROUND(25*(100-G1170)/100,1),12.5)</f>
        <v/>
      </c>
      <c r="S1170" t="n">
        <v>14</v>
      </c>
      <c r="T1170">
        <f>ROUND(P1170+Q1170+R1170+S1170,0)</f>
        <v/>
      </c>
      <c r="U1170" s="5" t="inlineStr"/>
      <c r="V1170" s="5" t="inlineStr">
        <is>
          <t>SUPPORTING /services/ecommerce-website-development</t>
        </is>
      </c>
    </row>
    <row r="1171">
      <c r="A1171" t="inlineStr">
        <is>
          <t>K1169</t>
        </is>
      </c>
      <c r="B1171" t="inlineStr">
        <is>
          <t>agence web bruxelles</t>
        </is>
      </c>
      <c r="C1171" t="inlineStr">
        <is>
          <t>France</t>
        </is>
      </c>
      <c r="D1171" t="inlineStr">
        <is>
          <t>fr</t>
        </is>
      </c>
      <c r="E1171" t="inlineStr">
        <is>
          <t>fr</t>
        </is>
      </c>
      <c r="F1171" t="n">
        <v>260</v>
      </c>
      <c r="G1171" t="n">
        <v>44</v>
      </c>
      <c r="H1171" t="n">
        <v>2.22</v>
      </c>
      <c r="I1171" t="n">
        <v>0.08</v>
      </c>
      <c r="J1171" t="inlineStr">
        <is>
          <t>Commercial</t>
        </is>
      </c>
      <c r="K1171" t="inlineStr">
        <is>
          <t>NOT AVAILABLE (report not requested)</t>
        </is>
      </c>
      <c r="L1171" t="inlineStr">
        <is>
          <t>rising (calc.)</t>
        </is>
      </c>
      <c r="M1171" t="inlineStr">
        <is>
          <t>MEASURED</t>
        </is>
      </c>
      <c r="N1171" s="5" t="inlineStr">
        <is>
          <t>Semrush phrase_these (live, this session)</t>
        </is>
      </c>
      <c r="O1171" t="inlineStr">
        <is>
          <t>2026-10-30</t>
        </is>
      </c>
      <c r="P1171">
        <f>IF(IF(J1171="NOT AVAILABLE","",J1171)="",12,IF(OR(ISNUMBER(SEARCH("Transactional",IF(J1171="NOT AVAILABLE","",J1171))),ISNUMBER(SEARCH("Commercial",IF(J1171="NOT AVAILABLE","",J1171)))),25,IF(ISNUMBER(SEARCH("Informational",IF(J1171="NOT AVAILABLE","",J1171))),10,IF(ISNUMBER(SEARCH("Navigational",IF(J1171="NOT AVAILABLE","",J1171))),0,12))))</f>
        <v/>
      </c>
      <c r="Q1171">
        <f>IF(ISNUMBER(F1171),MIN(30,ROUND(30*LOG10(F1171+1)/4,1)),0)</f>
        <v/>
      </c>
      <c r="R1171">
        <f>IF(ISNUMBER(G1171),ROUND(25*(100-G1171)/100,1),12.5)</f>
        <v/>
      </c>
      <c r="S1171" t="n">
        <v>14</v>
      </c>
      <c r="T1171">
        <f>ROUND(P1171+Q1171+R1171+S1171,0)</f>
        <v/>
      </c>
      <c r="U1171" s="5" t="inlineStr"/>
      <c r="V1171" s="5" t="inlineStr">
        <is>
          <t>OPTIONAL /web-development-company/brussels</t>
        </is>
      </c>
    </row>
    <row r="1172">
      <c r="A1172" t="inlineStr">
        <is>
          <t>K1170</t>
        </is>
      </c>
      <c r="B1172" t="inlineStr">
        <is>
          <t>agence web immobilier</t>
        </is>
      </c>
      <c r="C1172" t="inlineStr">
        <is>
          <t>France</t>
        </is>
      </c>
      <c r="D1172" t="inlineStr">
        <is>
          <t>fr</t>
        </is>
      </c>
      <c r="E1172" t="inlineStr">
        <is>
          <t>fr</t>
        </is>
      </c>
      <c r="F1172" t="n">
        <v>260</v>
      </c>
      <c r="G1172" t="n">
        <v>29</v>
      </c>
      <c r="H1172" t="n">
        <v>0</v>
      </c>
      <c r="I1172" t="n">
        <v>0.33</v>
      </c>
      <c r="J1172" t="inlineStr">
        <is>
          <t>Commercial</t>
        </is>
      </c>
      <c r="K1172" t="inlineStr">
        <is>
          <t>NOT AVAILABLE (report not requested)</t>
        </is>
      </c>
      <c r="L1172" t="inlineStr">
        <is>
          <t>stable (calc.)</t>
        </is>
      </c>
      <c r="M1172" t="inlineStr">
        <is>
          <t>MEASURED</t>
        </is>
      </c>
      <c r="N1172" s="5" t="inlineStr">
        <is>
          <t>Semrush phrase_these (live, this session)</t>
        </is>
      </c>
      <c r="O1172" t="inlineStr">
        <is>
          <t>2026-10-30</t>
        </is>
      </c>
      <c r="P1172">
        <f>IF(IF(J1172="NOT AVAILABLE","",J1172)="",12,IF(OR(ISNUMBER(SEARCH("Transactional",IF(J1172="NOT AVAILABLE","",J1172))),ISNUMBER(SEARCH("Commercial",IF(J1172="NOT AVAILABLE","",J1172)))),25,IF(ISNUMBER(SEARCH("Informational",IF(J1172="NOT AVAILABLE","",J1172))),10,IF(ISNUMBER(SEARCH("Navigational",IF(J1172="NOT AVAILABLE","",J1172))),0,12))))</f>
        <v/>
      </c>
      <c r="Q1172">
        <f>IF(ISNUMBER(F1172),MIN(30,ROUND(30*LOG10(F1172+1)/4,1)),0)</f>
        <v/>
      </c>
      <c r="R1172">
        <f>IF(ISNUMBER(G1172),ROUND(25*(100-G1172)/100,1),12.5)</f>
        <v/>
      </c>
      <c r="S1172" t="n">
        <v>14</v>
      </c>
      <c r="T1172">
        <f>ROUND(P1172+Q1172+R1172+S1172,0)</f>
        <v/>
      </c>
      <c r="U1172" s="5" t="inlineStr"/>
      <c r="V1172" s="5" t="inlineStr">
        <is>
          <t>SECONDARY /services/real-estate-website-development</t>
        </is>
      </c>
    </row>
    <row r="1173">
      <c r="A1173" t="inlineStr">
        <is>
          <t>K1171</t>
        </is>
      </c>
      <c r="B1173" t="inlineStr">
        <is>
          <t>analyser mon site web</t>
        </is>
      </c>
      <c r="C1173" t="inlineStr">
        <is>
          <t>France</t>
        </is>
      </c>
      <c r="D1173" t="inlineStr">
        <is>
          <t>fr</t>
        </is>
      </c>
      <c r="E1173" t="inlineStr">
        <is>
          <t>fr</t>
        </is>
      </c>
      <c r="F1173" t="n">
        <v>260</v>
      </c>
      <c r="G1173" t="n">
        <v>43</v>
      </c>
      <c r="H1173" t="n">
        <v>1.66</v>
      </c>
      <c r="I1173" t="n">
        <v>0.37</v>
      </c>
      <c r="J1173" t="inlineStr">
        <is>
          <t>Informational</t>
        </is>
      </c>
      <c r="K1173" t="inlineStr">
        <is>
          <t>NOT AVAILABLE (report not requested)</t>
        </is>
      </c>
      <c r="L1173" t="inlineStr">
        <is>
          <t>declining (calc.)</t>
        </is>
      </c>
      <c r="M1173" t="inlineStr">
        <is>
          <t>MEASURED</t>
        </is>
      </c>
      <c r="N1173" s="5" t="inlineStr">
        <is>
          <t>Semrush phrase_these (live, this session)</t>
        </is>
      </c>
      <c r="O1173" t="inlineStr">
        <is>
          <t>2026-10-30</t>
        </is>
      </c>
      <c r="P1173">
        <f>IF(IF(J1173="NOT AVAILABLE","",J1173)="",12,IF(OR(ISNUMBER(SEARCH("Transactional",IF(J1173="NOT AVAILABLE","",J1173))),ISNUMBER(SEARCH("Commercial",IF(J1173="NOT AVAILABLE","",J1173)))),25,IF(ISNUMBER(SEARCH("Informational",IF(J1173="NOT AVAILABLE","",J1173))),10,IF(ISNUMBER(SEARCH("Navigational",IF(J1173="NOT AVAILABLE","",J1173))),0,12))))</f>
        <v/>
      </c>
      <c r="Q1173">
        <f>IF(ISNUMBER(F1173),MIN(30,ROUND(30*LOG10(F1173+1)/4,1)),0)</f>
        <v/>
      </c>
      <c r="R1173">
        <f>IF(ISNUMBER(G1173),ROUND(25*(100-G1173)/100,1),12.5)</f>
        <v/>
      </c>
      <c r="S1173" t="n">
        <v>14</v>
      </c>
      <c r="T1173">
        <f>ROUND(P1173+Q1173+R1173+S1173,0)</f>
        <v/>
      </c>
      <c r="U1173" s="5" t="inlineStr"/>
      <c r="V1173" s="5" t="inlineStr">
        <is>
          <t>SECONDARY /tools/website-analyzer</t>
        </is>
      </c>
    </row>
    <row r="1174">
      <c r="A1174" t="inlineStr">
        <is>
          <t>K1172</t>
        </is>
      </c>
      <c r="B1174" t="inlineStr">
        <is>
          <t>analyseur site web</t>
        </is>
      </c>
      <c r="C1174" t="inlineStr">
        <is>
          <t>France</t>
        </is>
      </c>
      <c r="D1174" t="inlineStr">
        <is>
          <t>fr</t>
        </is>
      </c>
      <c r="E1174" t="inlineStr">
        <is>
          <t>fr</t>
        </is>
      </c>
      <c r="F1174" t="n">
        <v>260</v>
      </c>
      <c r="G1174" t="n">
        <v>43</v>
      </c>
      <c r="H1174" t="n">
        <v>2.15</v>
      </c>
      <c r="I1174" t="n">
        <v>0.58</v>
      </c>
      <c r="J1174" t="inlineStr">
        <is>
          <t>Informational</t>
        </is>
      </c>
      <c r="K1174" t="inlineStr">
        <is>
          <t>NOT AVAILABLE (report not requested)</t>
        </is>
      </c>
      <c r="L1174" t="inlineStr">
        <is>
          <t>stable (calc.)</t>
        </is>
      </c>
      <c r="M1174" t="inlineStr">
        <is>
          <t>MEASURED</t>
        </is>
      </c>
      <c r="N1174" s="5" t="inlineStr">
        <is>
          <t>Semrush phrase_these (live, this session)</t>
        </is>
      </c>
      <c r="O1174" t="inlineStr">
        <is>
          <t>2026-10-30</t>
        </is>
      </c>
      <c r="P1174">
        <f>IF(IF(J1174="NOT AVAILABLE","",J1174)="",12,IF(OR(ISNUMBER(SEARCH("Transactional",IF(J1174="NOT AVAILABLE","",J1174))),ISNUMBER(SEARCH("Commercial",IF(J1174="NOT AVAILABLE","",J1174)))),25,IF(ISNUMBER(SEARCH("Informational",IF(J1174="NOT AVAILABLE","",J1174))),10,IF(ISNUMBER(SEARCH("Navigational",IF(J1174="NOT AVAILABLE","",J1174))),0,12))))</f>
        <v/>
      </c>
      <c r="Q1174">
        <f>IF(ISNUMBER(F1174),MIN(30,ROUND(30*LOG10(F1174+1)/4,1)),0)</f>
        <v/>
      </c>
      <c r="R1174">
        <f>IF(ISNUMBER(G1174),ROUND(25*(100-G1174)/100,1),12.5)</f>
        <v/>
      </c>
      <c r="S1174" t="n">
        <v>14</v>
      </c>
      <c r="T1174">
        <f>ROUND(P1174+Q1174+R1174+S1174,0)</f>
        <v/>
      </c>
      <c r="U1174" s="5" t="inlineStr"/>
      <c r="V1174" s="5" t="inlineStr">
        <is>
          <t>SECONDARY /tools/website-analyzer</t>
        </is>
      </c>
    </row>
    <row r="1175">
      <c r="A1175" t="inlineStr">
        <is>
          <t>K1173</t>
        </is>
      </c>
      <c r="B1175" t="inlineStr">
        <is>
          <t>balise alt</t>
        </is>
      </c>
      <c r="C1175" t="inlineStr">
        <is>
          <t>France</t>
        </is>
      </c>
      <c r="D1175" t="inlineStr">
        <is>
          <t>fr</t>
        </is>
      </c>
      <c r="E1175" t="inlineStr">
        <is>
          <t>fr</t>
        </is>
      </c>
      <c r="F1175" t="n">
        <v>260</v>
      </c>
      <c r="G1175" t="n">
        <v>21</v>
      </c>
      <c r="H1175" t="n">
        <v>0</v>
      </c>
      <c r="I1175" t="n">
        <v>0.01</v>
      </c>
      <c r="J1175" t="inlineStr">
        <is>
          <t>Informational</t>
        </is>
      </c>
      <c r="K1175" t="inlineStr">
        <is>
          <t>NOT AVAILABLE (report not requested)</t>
        </is>
      </c>
      <c r="L1175" t="inlineStr">
        <is>
          <t>declining (calc.)</t>
        </is>
      </c>
      <c r="M1175" t="inlineStr">
        <is>
          <t>MEASURED</t>
        </is>
      </c>
      <c r="N1175" s="5" t="inlineStr">
        <is>
          <t>Semrush phrase_these (live, this session)</t>
        </is>
      </c>
      <c r="O1175" t="inlineStr">
        <is>
          <t>2026-10-30</t>
        </is>
      </c>
      <c r="P1175">
        <f>IF(IF(J1175="NOT AVAILABLE","",J1175)="",12,IF(OR(ISNUMBER(SEARCH("Transactional",IF(J1175="NOT AVAILABLE","",J1175))),ISNUMBER(SEARCH("Commercial",IF(J1175="NOT AVAILABLE","",J1175)))),25,IF(ISNUMBER(SEARCH("Informational",IF(J1175="NOT AVAILABLE","",J1175))),10,IF(ISNUMBER(SEARCH("Navigational",IF(J1175="NOT AVAILABLE","",J1175))),0,12))))</f>
        <v/>
      </c>
      <c r="Q1175">
        <f>IF(ISNUMBER(F1175),MIN(30,ROUND(30*LOG10(F1175+1)/4,1)),0)</f>
        <v/>
      </c>
      <c r="R1175">
        <f>IF(ISNUMBER(G1175),ROUND(25*(100-G1175)/100,1),12.5)</f>
        <v/>
      </c>
      <c r="S1175" t="n">
        <v>14</v>
      </c>
      <c r="T1175">
        <f>ROUND(P1175+Q1175+R1175+S1175,0)</f>
        <v/>
      </c>
      <c r="U1175" s="5" t="inlineStr"/>
      <c r="V1175" s="5" t="inlineStr">
        <is>
          <t>PRIMARY /tools/image-alt-analyzer</t>
        </is>
      </c>
    </row>
    <row r="1176">
      <c r="A1176" t="inlineStr">
        <is>
          <t>K1174</t>
        </is>
      </c>
      <c r="B1176" t="inlineStr">
        <is>
          <t>combien coûte un site internet</t>
        </is>
      </c>
      <c r="C1176" t="inlineStr">
        <is>
          <t>France</t>
        </is>
      </c>
      <c r="D1176" t="inlineStr">
        <is>
          <t>fr</t>
        </is>
      </c>
      <c r="E1176" t="inlineStr">
        <is>
          <t>fr</t>
        </is>
      </c>
      <c r="F1176" t="n">
        <v>260</v>
      </c>
      <c r="G1176" t="n">
        <v>35</v>
      </c>
      <c r="H1176" t="n">
        <v>1.42</v>
      </c>
      <c r="I1176" t="n">
        <v>0.54</v>
      </c>
      <c r="J1176" t="inlineStr">
        <is>
          <t>Informational</t>
        </is>
      </c>
      <c r="K1176" t="inlineStr">
        <is>
          <t>NOT AVAILABLE (report not requested)</t>
        </is>
      </c>
      <c r="L1176" t="inlineStr">
        <is>
          <t>stable (calc.)</t>
        </is>
      </c>
      <c r="M1176" t="inlineStr">
        <is>
          <t>MEASURED</t>
        </is>
      </c>
      <c r="N1176" s="5" t="inlineStr">
        <is>
          <t>Semrush phrase_these (live, this session)</t>
        </is>
      </c>
      <c r="O1176" t="inlineStr">
        <is>
          <t>2026-10-30</t>
        </is>
      </c>
      <c r="P1176">
        <f>IF(IF(J1176="NOT AVAILABLE","",J1176)="",12,IF(OR(ISNUMBER(SEARCH("Transactional",IF(J1176="NOT AVAILABLE","",J1176))),ISNUMBER(SEARCH("Commercial",IF(J1176="NOT AVAILABLE","",J1176)))),25,IF(ISNUMBER(SEARCH("Informational",IF(J1176="NOT AVAILABLE","",J1176))),10,IF(ISNUMBER(SEARCH("Navigational",IF(J1176="NOT AVAILABLE","",J1176))),0,12))))</f>
        <v/>
      </c>
      <c r="Q1176">
        <f>IF(ISNUMBER(F1176),MIN(30,ROUND(30*LOG10(F1176+1)/4,1)),0)</f>
        <v/>
      </c>
      <c r="R1176">
        <f>IF(ISNUMBER(G1176),ROUND(25*(100-G1176)/100,1),12.5)</f>
        <v/>
      </c>
      <c r="S1176" t="n">
        <v>14</v>
      </c>
      <c r="T1176">
        <f>ROUND(P1176+Q1176+R1176+S1176,0)</f>
        <v/>
      </c>
      <c r="U1176" s="5" t="inlineStr"/>
      <c r="V1176" s="5" t="inlineStr"/>
    </row>
    <row r="1177">
      <c r="A1177" t="inlineStr">
        <is>
          <t>K1175</t>
        </is>
      </c>
      <c r="B1177" t="inlineStr">
        <is>
          <t>css minifier</t>
        </is>
      </c>
      <c r="C1177" t="inlineStr">
        <is>
          <t>France</t>
        </is>
      </c>
      <c r="D1177" t="inlineStr">
        <is>
          <t>fr</t>
        </is>
      </c>
      <c r="E1177" t="inlineStr">
        <is>
          <t>fr</t>
        </is>
      </c>
      <c r="F1177" t="n">
        <v>260</v>
      </c>
      <c r="G1177" t="n">
        <v>25</v>
      </c>
      <c r="H1177" t="n">
        <v>0</v>
      </c>
      <c r="I1177" t="n">
        <v>0.33</v>
      </c>
      <c r="J1177" t="inlineStr">
        <is>
          <t>Informational</t>
        </is>
      </c>
      <c r="K1177" t="inlineStr">
        <is>
          <t>NOT AVAILABLE (report not requested)</t>
        </is>
      </c>
      <c r="L1177" t="inlineStr">
        <is>
          <t>stable (calc.)</t>
        </is>
      </c>
      <c r="M1177" t="inlineStr">
        <is>
          <t>MEASURED</t>
        </is>
      </c>
      <c r="N1177" s="5" t="inlineStr">
        <is>
          <t>Semrush phrase_these (live, this session)</t>
        </is>
      </c>
      <c r="O1177" t="inlineStr">
        <is>
          <t>2026-10-30</t>
        </is>
      </c>
      <c r="P1177">
        <f>IF(IF(J1177="NOT AVAILABLE","",J1177)="",12,IF(OR(ISNUMBER(SEARCH("Transactional",IF(J1177="NOT AVAILABLE","",J1177))),ISNUMBER(SEARCH("Commercial",IF(J1177="NOT AVAILABLE","",J1177)))),25,IF(ISNUMBER(SEARCH("Informational",IF(J1177="NOT AVAILABLE","",J1177))),10,IF(ISNUMBER(SEARCH("Navigational",IF(J1177="NOT AVAILABLE","",J1177))),0,12))))</f>
        <v/>
      </c>
      <c r="Q1177">
        <f>IF(ISNUMBER(F1177),MIN(30,ROUND(30*LOG10(F1177+1)/4,1)),0)</f>
        <v/>
      </c>
      <c r="R1177">
        <f>IF(ISNUMBER(G1177),ROUND(25*(100-G1177)/100,1),12.5)</f>
        <v/>
      </c>
      <c r="S1177" t="n">
        <v>14</v>
      </c>
      <c r="T1177">
        <f>ROUND(P1177+Q1177+R1177+S1177,0)</f>
        <v/>
      </c>
      <c r="U1177" s="5" t="inlineStr"/>
      <c r="V1177" s="5" t="inlineStr">
        <is>
          <t>SECONDARY /tools/css-minifier</t>
        </is>
      </c>
    </row>
    <row r="1178">
      <c r="A1178" t="inlineStr">
        <is>
          <t>K1176</t>
        </is>
      </c>
      <c r="B1178" t="inlineStr">
        <is>
          <t>développement web paris</t>
        </is>
      </c>
      <c r="C1178" t="inlineStr">
        <is>
          <t>France</t>
        </is>
      </c>
      <c r="D1178" t="inlineStr">
        <is>
          <t>fr</t>
        </is>
      </c>
      <c r="E1178" t="inlineStr">
        <is>
          <t>fr</t>
        </is>
      </c>
      <c r="F1178" t="n">
        <v>260</v>
      </c>
      <c r="G1178" t="n">
        <v>31</v>
      </c>
      <c r="H1178" t="n">
        <v>2.07</v>
      </c>
      <c r="I1178" t="n">
        <v>0.46</v>
      </c>
      <c r="J1178" t="inlineStr">
        <is>
          <t>Commercial</t>
        </is>
      </c>
      <c r="K1178" t="inlineStr">
        <is>
          <t>NOT AVAILABLE (report not requested)</t>
        </is>
      </c>
      <c r="L1178" t="inlineStr">
        <is>
          <t>rising (calc.)</t>
        </is>
      </c>
      <c r="M1178" t="inlineStr">
        <is>
          <t>MEASURED</t>
        </is>
      </c>
      <c r="N1178" s="5" t="inlineStr">
        <is>
          <t>Semrush phrase_these (live, this session)</t>
        </is>
      </c>
      <c r="O1178" t="inlineStr">
        <is>
          <t>2026-10-30</t>
        </is>
      </c>
      <c r="P1178">
        <f>IF(IF(J1178="NOT AVAILABLE","",J1178)="",12,IF(OR(ISNUMBER(SEARCH("Transactional",IF(J1178="NOT AVAILABLE","",J1178))),ISNUMBER(SEARCH("Commercial",IF(J1178="NOT AVAILABLE","",J1178)))),25,IF(ISNUMBER(SEARCH("Informational",IF(J1178="NOT AVAILABLE","",J1178))),10,IF(ISNUMBER(SEARCH("Navigational",IF(J1178="NOT AVAILABLE","",J1178))),0,12))))</f>
        <v/>
      </c>
      <c r="Q1178">
        <f>IF(ISNUMBER(F1178),MIN(30,ROUND(30*LOG10(F1178+1)/4,1)),0)</f>
        <v/>
      </c>
      <c r="R1178">
        <f>IF(ISNUMBER(G1178),ROUND(25*(100-G1178)/100,1),12.5)</f>
        <v/>
      </c>
      <c r="S1178" t="n">
        <v>14</v>
      </c>
      <c r="T1178">
        <f>ROUND(P1178+Q1178+R1178+S1178,0)</f>
        <v/>
      </c>
      <c r="U1178" s="5" t="inlineStr"/>
      <c r="V1178" s="5" t="inlineStr">
        <is>
          <t>PRIMARY /web-development-company/paris</t>
        </is>
      </c>
    </row>
    <row r="1179">
      <c r="A1179" t="inlineStr">
        <is>
          <t>K1177</t>
        </is>
      </c>
      <c r="B1179" t="inlineStr">
        <is>
          <t>eeat seo</t>
        </is>
      </c>
      <c r="C1179" t="inlineStr">
        <is>
          <t>France</t>
        </is>
      </c>
      <c r="D1179" t="inlineStr">
        <is>
          <t>fr</t>
        </is>
      </c>
      <c r="E1179" t="inlineStr">
        <is>
          <t>fr</t>
        </is>
      </c>
      <c r="F1179" t="n">
        <v>260</v>
      </c>
      <c r="G1179" t="n">
        <v>30</v>
      </c>
      <c r="H1179" t="n">
        <v>0</v>
      </c>
      <c r="I1179" t="n">
        <v>0.05</v>
      </c>
      <c r="J1179" t="inlineStr">
        <is>
          <t>Informational</t>
        </is>
      </c>
      <c r="K1179" t="inlineStr">
        <is>
          <t>NOT AVAILABLE (report not requested)</t>
        </is>
      </c>
      <c r="L1179" t="inlineStr">
        <is>
          <t>rising (calc.)</t>
        </is>
      </c>
      <c r="M1179" t="inlineStr">
        <is>
          <t>MEASURED</t>
        </is>
      </c>
      <c r="N1179" s="5" t="inlineStr">
        <is>
          <t>Semrush phrase_these (live, this session)</t>
        </is>
      </c>
      <c r="O1179" t="inlineStr">
        <is>
          <t>2026-10-30</t>
        </is>
      </c>
      <c r="P1179">
        <f>IF(IF(J1179="NOT AVAILABLE","",J1179)="",12,IF(OR(ISNUMBER(SEARCH("Transactional",IF(J1179="NOT AVAILABLE","",J1179))),ISNUMBER(SEARCH("Commercial",IF(J1179="NOT AVAILABLE","",J1179)))),25,IF(ISNUMBER(SEARCH("Informational",IF(J1179="NOT AVAILABLE","",J1179))),10,IF(ISNUMBER(SEARCH("Navigational",IF(J1179="NOT AVAILABLE","",J1179))),0,12))))</f>
        <v/>
      </c>
      <c r="Q1179">
        <f>IF(ISNUMBER(F1179),MIN(30,ROUND(30*LOG10(F1179+1)/4,1)),0)</f>
        <v/>
      </c>
      <c r="R1179">
        <f>IF(ISNUMBER(G1179),ROUND(25*(100-G1179)/100,1),12.5)</f>
        <v/>
      </c>
      <c r="S1179" t="n">
        <v>14</v>
      </c>
      <c r="T1179">
        <f>ROUND(P1179+Q1179+R1179+S1179,0)</f>
        <v/>
      </c>
      <c r="U1179" s="5" t="inlineStr"/>
      <c r="V1179" s="5" t="inlineStr">
        <is>
          <t>SECONDARY /tools/eeat-signals-checker</t>
        </is>
      </c>
    </row>
    <row r="1180">
      <c r="A1180" t="inlineStr">
        <is>
          <t>K1178</t>
        </is>
      </c>
      <c r="B1180" t="inlineStr">
        <is>
          <t>générateur lorem ipsum</t>
        </is>
      </c>
      <c r="C1180" t="inlineStr">
        <is>
          <t>France</t>
        </is>
      </c>
      <c r="D1180" t="inlineStr">
        <is>
          <t>fr</t>
        </is>
      </c>
      <c r="E1180" t="inlineStr">
        <is>
          <t>fr</t>
        </is>
      </c>
      <c r="F1180" t="n">
        <v>260</v>
      </c>
      <c r="G1180" t="n">
        <v>37</v>
      </c>
      <c r="H1180" t="n">
        <v>0</v>
      </c>
      <c r="I1180" t="n">
        <v>0.33</v>
      </c>
      <c r="J1180" t="inlineStr">
        <is>
          <t>Informational</t>
        </is>
      </c>
      <c r="K1180" t="inlineStr">
        <is>
          <t>NOT AVAILABLE (report not requested)</t>
        </is>
      </c>
      <c r="L1180" t="inlineStr">
        <is>
          <t>declining (calc.)</t>
        </is>
      </c>
      <c r="M1180" t="inlineStr">
        <is>
          <t>MEASURED</t>
        </is>
      </c>
      <c r="N1180" s="5" t="inlineStr">
        <is>
          <t>Semrush phrase_these (live, this session)</t>
        </is>
      </c>
      <c r="O1180" t="inlineStr">
        <is>
          <t>2026-10-30</t>
        </is>
      </c>
      <c r="P1180">
        <f>IF(IF(J1180="NOT AVAILABLE","",J1180)="",12,IF(OR(ISNUMBER(SEARCH("Transactional",IF(J1180="NOT AVAILABLE","",J1180))),ISNUMBER(SEARCH("Commercial",IF(J1180="NOT AVAILABLE","",J1180)))),25,IF(ISNUMBER(SEARCH("Informational",IF(J1180="NOT AVAILABLE","",J1180))),10,IF(ISNUMBER(SEARCH("Navigational",IF(J1180="NOT AVAILABLE","",J1180))),0,12))))</f>
        <v/>
      </c>
      <c r="Q1180">
        <f>IF(ISNUMBER(F1180),MIN(30,ROUND(30*LOG10(F1180+1)/4,1)),0)</f>
        <v/>
      </c>
      <c r="R1180">
        <f>IF(ISNUMBER(G1180),ROUND(25*(100-G1180)/100,1),12.5)</f>
        <v/>
      </c>
      <c r="S1180" t="n">
        <v>14</v>
      </c>
      <c r="T1180">
        <f>ROUND(P1180+Q1180+R1180+S1180,0)</f>
        <v/>
      </c>
      <c r="U1180" s="5" t="inlineStr"/>
      <c r="V1180" s="5" t="inlineStr">
        <is>
          <t>SECONDARY /tools/lorem-ipsum-generator</t>
        </is>
      </c>
    </row>
    <row r="1181">
      <c r="A1181" t="inlineStr">
        <is>
          <t>K1179</t>
        </is>
      </c>
      <c r="B1181" t="inlineStr">
        <is>
          <t>html minifier</t>
        </is>
      </c>
      <c r="C1181" t="inlineStr">
        <is>
          <t>France</t>
        </is>
      </c>
      <c r="D1181" t="inlineStr">
        <is>
          <t>fr</t>
        </is>
      </c>
      <c r="E1181" t="inlineStr">
        <is>
          <t>fr</t>
        </is>
      </c>
      <c r="F1181" t="n">
        <v>260</v>
      </c>
      <c r="G1181" t="n">
        <v>29</v>
      </c>
      <c r="H1181" t="n">
        <v>0</v>
      </c>
      <c r="I1181" t="n">
        <v>0.01</v>
      </c>
      <c r="J1181" t="inlineStr">
        <is>
          <t>Commercial</t>
        </is>
      </c>
      <c r="K1181" t="inlineStr">
        <is>
          <t>NOT AVAILABLE (report not requested)</t>
        </is>
      </c>
      <c r="L1181" t="inlineStr">
        <is>
          <t>declining (calc.)</t>
        </is>
      </c>
      <c r="M1181" t="inlineStr">
        <is>
          <t>MEASURED</t>
        </is>
      </c>
      <c r="N1181" s="5" t="inlineStr">
        <is>
          <t>Semrush phrase_these (live, this session)</t>
        </is>
      </c>
      <c r="O1181" t="inlineStr">
        <is>
          <t>2026-10-30</t>
        </is>
      </c>
      <c r="P1181">
        <f>IF(IF(J1181="NOT AVAILABLE","",J1181)="",12,IF(OR(ISNUMBER(SEARCH("Transactional",IF(J1181="NOT AVAILABLE","",J1181))),ISNUMBER(SEARCH("Commercial",IF(J1181="NOT AVAILABLE","",J1181)))),25,IF(ISNUMBER(SEARCH("Informational",IF(J1181="NOT AVAILABLE","",J1181))),10,IF(ISNUMBER(SEARCH("Navigational",IF(J1181="NOT AVAILABLE","",J1181))),0,12))))</f>
        <v/>
      </c>
      <c r="Q1181">
        <f>IF(ISNUMBER(F1181),MIN(30,ROUND(30*LOG10(F1181+1)/4,1)),0)</f>
        <v/>
      </c>
      <c r="R1181">
        <f>IF(ISNUMBER(G1181),ROUND(25*(100-G1181)/100,1),12.5)</f>
        <v/>
      </c>
      <c r="S1181" t="n">
        <v>14</v>
      </c>
      <c r="T1181">
        <f>ROUND(P1181+Q1181+R1181+S1181,0)</f>
        <v/>
      </c>
      <c r="U1181" s="5" t="inlineStr"/>
      <c r="V1181" s="5" t="inlineStr">
        <is>
          <t>PRIMARY /tools/html-minifier</t>
        </is>
      </c>
    </row>
    <row r="1182">
      <c r="A1182" t="inlineStr">
        <is>
          <t>K1180</t>
        </is>
      </c>
      <c r="B1182" t="inlineStr">
        <is>
          <t>lien utm</t>
        </is>
      </c>
      <c r="C1182" t="inlineStr">
        <is>
          <t>France</t>
        </is>
      </c>
      <c r="D1182" t="inlineStr">
        <is>
          <t>fr</t>
        </is>
      </c>
      <c r="E1182" t="inlineStr">
        <is>
          <t>fr</t>
        </is>
      </c>
      <c r="F1182" t="n">
        <v>260</v>
      </c>
      <c r="G1182" t="n">
        <v>33</v>
      </c>
      <c r="H1182" t="n">
        <v>7.31</v>
      </c>
      <c r="I1182" t="n">
        <v>0.09</v>
      </c>
      <c r="J1182" t="inlineStr">
        <is>
          <t>Informational</t>
        </is>
      </c>
      <c r="K1182" t="inlineStr">
        <is>
          <t>NOT AVAILABLE (report not requested)</t>
        </is>
      </c>
      <c r="L1182" t="inlineStr">
        <is>
          <t>rising (calc.)</t>
        </is>
      </c>
      <c r="M1182" t="inlineStr">
        <is>
          <t>MEASURED</t>
        </is>
      </c>
      <c r="N1182" s="5" t="inlineStr">
        <is>
          <t>Semrush phrase_these (live, this session)</t>
        </is>
      </c>
      <c r="O1182" t="inlineStr">
        <is>
          <t>2026-10-30</t>
        </is>
      </c>
      <c r="P1182">
        <f>IF(IF(J1182="NOT AVAILABLE","",J1182)="",12,IF(OR(ISNUMBER(SEARCH("Transactional",IF(J1182="NOT AVAILABLE","",J1182))),ISNUMBER(SEARCH("Commercial",IF(J1182="NOT AVAILABLE","",J1182)))),25,IF(ISNUMBER(SEARCH("Informational",IF(J1182="NOT AVAILABLE","",J1182))),10,IF(ISNUMBER(SEARCH("Navigational",IF(J1182="NOT AVAILABLE","",J1182))),0,12))))</f>
        <v/>
      </c>
      <c r="Q1182">
        <f>IF(ISNUMBER(F1182),MIN(30,ROUND(30*LOG10(F1182+1)/4,1)),0)</f>
        <v/>
      </c>
      <c r="R1182">
        <f>IF(ISNUMBER(G1182),ROUND(25*(100-G1182)/100,1),12.5)</f>
        <v/>
      </c>
      <c r="S1182" t="n">
        <v>14</v>
      </c>
      <c r="T1182">
        <f>ROUND(P1182+Q1182+R1182+S1182,0)</f>
        <v/>
      </c>
      <c r="U1182" s="5" t="inlineStr"/>
      <c r="V1182" s="5" t="inlineStr">
        <is>
          <t>SECONDARY /tools/utm-builder</t>
        </is>
      </c>
    </row>
    <row r="1183">
      <c r="A1183" t="inlineStr">
        <is>
          <t>K1181</t>
        </is>
      </c>
      <c r="B1183" t="inlineStr">
        <is>
          <t>minifier css</t>
        </is>
      </c>
      <c r="C1183" t="inlineStr">
        <is>
          <t>France</t>
        </is>
      </c>
      <c r="D1183" t="inlineStr">
        <is>
          <t>fr</t>
        </is>
      </c>
      <c r="E1183" t="inlineStr">
        <is>
          <t>fr</t>
        </is>
      </c>
      <c r="F1183" t="n">
        <v>260</v>
      </c>
      <c r="G1183" t="n">
        <v>46</v>
      </c>
      <c r="H1183" t="n">
        <v>0</v>
      </c>
      <c r="I1183" t="n">
        <v>0.33</v>
      </c>
      <c r="J1183" t="inlineStr">
        <is>
          <t>Informational</t>
        </is>
      </c>
      <c r="K1183" t="inlineStr">
        <is>
          <t>NOT AVAILABLE (report not requested)</t>
        </is>
      </c>
      <c r="L1183" t="inlineStr">
        <is>
          <t>declining (calc.)</t>
        </is>
      </c>
      <c r="M1183" t="inlineStr">
        <is>
          <t>MEASURED</t>
        </is>
      </c>
      <c r="N1183" s="5" t="inlineStr">
        <is>
          <t>Semrush phrase_these (live, this session)</t>
        </is>
      </c>
      <c r="O1183" t="inlineStr">
        <is>
          <t>2026-10-30</t>
        </is>
      </c>
      <c r="P1183">
        <f>IF(IF(J1183="NOT AVAILABLE","",J1183)="",12,IF(OR(ISNUMBER(SEARCH("Transactional",IF(J1183="NOT AVAILABLE","",J1183))),ISNUMBER(SEARCH("Commercial",IF(J1183="NOT AVAILABLE","",J1183)))),25,IF(ISNUMBER(SEARCH("Informational",IF(J1183="NOT AVAILABLE","",J1183))),10,IF(ISNUMBER(SEARCH("Navigational",IF(J1183="NOT AVAILABLE","",J1183))),0,12))))</f>
        <v/>
      </c>
      <c r="Q1183">
        <f>IF(ISNUMBER(F1183),MIN(30,ROUND(30*LOG10(F1183+1)/4,1)),0)</f>
        <v/>
      </c>
      <c r="R1183">
        <f>IF(ISNUMBER(G1183),ROUND(25*(100-G1183)/100,1),12.5)</f>
        <v/>
      </c>
      <c r="S1183" t="n">
        <v>14</v>
      </c>
      <c r="T1183">
        <f>ROUND(P1183+Q1183+R1183+S1183,0)</f>
        <v/>
      </c>
      <c r="U1183" s="5" t="inlineStr"/>
      <c r="V1183" s="5" t="inlineStr">
        <is>
          <t>SECONDARY /tools/css-minifier</t>
        </is>
      </c>
    </row>
    <row r="1184">
      <c r="A1184" t="inlineStr">
        <is>
          <t>K1182</t>
        </is>
      </c>
      <c r="B1184" t="inlineStr">
        <is>
          <t>minifier html</t>
        </is>
      </c>
      <c r="C1184" t="inlineStr">
        <is>
          <t>France</t>
        </is>
      </c>
      <c r="D1184" t="inlineStr">
        <is>
          <t>fr</t>
        </is>
      </c>
      <c r="E1184" t="inlineStr">
        <is>
          <t>fr</t>
        </is>
      </c>
      <c r="F1184" t="n">
        <v>260</v>
      </c>
      <c r="G1184" t="n">
        <v>65</v>
      </c>
      <c r="H1184" t="n">
        <v>0</v>
      </c>
      <c r="I1184" t="n">
        <v>0.01</v>
      </c>
      <c r="J1184" t="inlineStr">
        <is>
          <t>Informational</t>
        </is>
      </c>
      <c r="K1184" t="inlineStr">
        <is>
          <t>NOT AVAILABLE (report not requested)</t>
        </is>
      </c>
      <c r="L1184" t="inlineStr">
        <is>
          <t>declining (calc.)</t>
        </is>
      </c>
      <c r="M1184" t="inlineStr">
        <is>
          <t>MEASURED</t>
        </is>
      </c>
      <c r="N1184" s="5" t="inlineStr">
        <is>
          <t>Semrush phrase_these (live, this session)</t>
        </is>
      </c>
      <c r="O1184" t="inlineStr">
        <is>
          <t>2026-10-30</t>
        </is>
      </c>
      <c r="P1184">
        <f>IF(IF(J1184="NOT AVAILABLE","",J1184)="",12,IF(OR(ISNUMBER(SEARCH("Transactional",IF(J1184="NOT AVAILABLE","",J1184))),ISNUMBER(SEARCH("Commercial",IF(J1184="NOT AVAILABLE","",J1184)))),25,IF(ISNUMBER(SEARCH("Informational",IF(J1184="NOT AVAILABLE","",J1184))),10,IF(ISNUMBER(SEARCH("Navigational",IF(J1184="NOT AVAILABLE","",J1184))),0,12))))</f>
        <v/>
      </c>
      <c r="Q1184">
        <f>IF(ISNUMBER(F1184),MIN(30,ROUND(30*LOG10(F1184+1)/4,1)),0)</f>
        <v/>
      </c>
      <c r="R1184">
        <f>IF(ISNUMBER(G1184),ROUND(25*(100-G1184)/100,1),12.5)</f>
        <v/>
      </c>
      <c r="S1184" t="n">
        <v>14</v>
      </c>
      <c r="T1184">
        <f>ROUND(P1184+Q1184+R1184+S1184,0)</f>
        <v/>
      </c>
      <c r="U1184" s="5" t="inlineStr"/>
      <c r="V1184" s="5" t="inlineStr">
        <is>
          <t>SECONDARY /tools/html-minifier</t>
        </is>
      </c>
    </row>
    <row r="1185">
      <c r="A1185" t="inlineStr">
        <is>
          <t>K1183</t>
        </is>
      </c>
      <c r="B1185" t="inlineStr">
        <is>
          <t>minify html</t>
        </is>
      </c>
      <c r="C1185" t="inlineStr">
        <is>
          <t>France</t>
        </is>
      </c>
      <c r="D1185" t="inlineStr">
        <is>
          <t>fr</t>
        </is>
      </c>
      <c r="E1185" t="inlineStr">
        <is>
          <t>fr</t>
        </is>
      </c>
      <c r="F1185" t="n">
        <v>260</v>
      </c>
      <c r="G1185" t="n">
        <v>42</v>
      </c>
      <c r="H1185" t="n">
        <v>0</v>
      </c>
      <c r="I1185" t="n">
        <v>0.01</v>
      </c>
      <c r="J1185" t="inlineStr">
        <is>
          <t>Informational</t>
        </is>
      </c>
      <c r="K1185" t="inlineStr">
        <is>
          <t>NOT AVAILABLE (report not requested)</t>
        </is>
      </c>
      <c r="L1185" t="inlineStr">
        <is>
          <t>declining (calc.)</t>
        </is>
      </c>
      <c r="M1185" t="inlineStr">
        <is>
          <t>MEASURED</t>
        </is>
      </c>
      <c r="N1185" s="5" t="inlineStr">
        <is>
          <t>Semrush phrase_these (live, this session)</t>
        </is>
      </c>
      <c r="O1185" t="inlineStr">
        <is>
          <t>2026-10-30</t>
        </is>
      </c>
      <c r="P1185">
        <f>IF(IF(J1185="NOT AVAILABLE","",J1185)="",12,IF(OR(ISNUMBER(SEARCH("Transactional",IF(J1185="NOT AVAILABLE","",J1185))),ISNUMBER(SEARCH("Commercial",IF(J1185="NOT AVAILABLE","",J1185)))),25,IF(ISNUMBER(SEARCH("Informational",IF(J1185="NOT AVAILABLE","",J1185))),10,IF(ISNUMBER(SEARCH("Navigational",IF(J1185="NOT AVAILABLE","",J1185))),0,12))))</f>
        <v/>
      </c>
      <c r="Q1185">
        <f>IF(ISNUMBER(F1185),MIN(30,ROUND(30*LOG10(F1185+1)/4,1)),0)</f>
        <v/>
      </c>
      <c r="R1185">
        <f>IF(ISNUMBER(G1185),ROUND(25*(100-G1185)/100,1),12.5)</f>
        <v/>
      </c>
      <c r="S1185" t="n">
        <v>14</v>
      </c>
      <c r="T1185">
        <f>ROUND(P1185+Q1185+R1185+S1185,0)</f>
        <v/>
      </c>
      <c r="U1185" s="5" t="inlineStr"/>
      <c r="V1185" s="5" t="inlineStr">
        <is>
          <t>SECONDARY /tools/html-minifier</t>
        </is>
      </c>
    </row>
    <row r="1186">
      <c r="A1186" t="inlineStr">
        <is>
          <t>K1184</t>
        </is>
      </c>
      <c r="B1186" t="inlineStr">
        <is>
          <t>nofollow</t>
        </is>
      </c>
      <c r="C1186" t="inlineStr">
        <is>
          <t>France</t>
        </is>
      </c>
      <c r="D1186" t="inlineStr">
        <is>
          <t>fr</t>
        </is>
      </c>
      <c r="E1186" t="inlineStr">
        <is>
          <t>fr</t>
        </is>
      </c>
      <c r="F1186" t="n">
        <v>260</v>
      </c>
      <c r="G1186" t="n">
        <v>23</v>
      </c>
      <c r="H1186" t="n">
        <v>0</v>
      </c>
      <c r="I1186" t="n">
        <v>0.01</v>
      </c>
      <c r="J1186" t="inlineStr">
        <is>
          <t>Informational</t>
        </is>
      </c>
      <c r="K1186" t="inlineStr">
        <is>
          <t>NOT AVAILABLE (report not requested)</t>
        </is>
      </c>
      <c r="L1186" t="inlineStr">
        <is>
          <t>declining (calc.)</t>
        </is>
      </c>
      <c r="M1186" t="inlineStr">
        <is>
          <t>MEASURED</t>
        </is>
      </c>
      <c r="N1186" s="5" t="inlineStr">
        <is>
          <t>Semrush phrase_these (live, this session)</t>
        </is>
      </c>
      <c r="O1186" t="inlineStr">
        <is>
          <t>2026-10-30</t>
        </is>
      </c>
      <c r="P1186">
        <f>IF(IF(J1186="NOT AVAILABLE","",J1186)="",12,IF(OR(ISNUMBER(SEARCH("Transactional",IF(J1186="NOT AVAILABLE","",J1186))),ISNUMBER(SEARCH("Commercial",IF(J1186="NOT AVAILABLE","",J1186)))),25,IF(ISNUMBER(SEARCH("Informational",IF(J1186="NOT AVAILABLE","",J1186))),10,IF(ISNUMBER(SEARCH("Navigational",IF(J1186="NOT AVAILABLE","",J1186))),0,12))))</f>
        <v/>
      </c>
      <c r="Q1186">
        <f>IF(ISNUMBER(F1186),MIN(30,ROUND(30*LOG10(F1186+1)/4,1)),0)</f>
        <v/>
      </c>
      <c r="R1186">
        <f>IF(ISNUMBER(G1186),ROUND(25*(100-G1186)/100,1),12.5)</f>
        <v/>
      </c>
      <c r="S1186" t="n">
        <v>14</v>
      </c>
      <c r="T1186">
        <f>ROUND(P1186+Q1186+R1186+S1186,0)</f>
        <v/>
      </c>
      <c r="U1186" s="5" t="inlineStr"/>
      <c r="V1186" s="5" t="inlineStr">
        <is>
          <t>PRIMARY /tools/nofollow-link-checker</t>
        </is>
      </c>
    </row>
    <row r="1187">
      <c r="A1187" t="inlineStr">
        <is>
          <t>K1185</t>
        </is>
      </c>
      <c r="B1187" t="inlineStr">
        <is>
          <t>plateforme b2b</t>
        </is>
      </c>
      <c r="C1187" t="inlineStr">
        <is>
          <t>France</t>
        </is>
      </c>
      <c r="D1187" t="inlineStr">
        <is>
          <t>fr</t>
        </is>
      </c>
      <c r="E1187" t="inlineStr">
        <is>
          <t>fr</t>
        </is>
      </c>
      <c r="F1187" t="n">
        <v>260</v>
      </c>
      <c r="G1187" t="n">
        <v>19</v>
      </c>
      <c r="H1187" t="n">
        <v>2.47</v>
      </c>
      <c r="I1187" t="n">
        <v>0.71</v>
      </c>
      <c r="J1187" t="inlineStr">
        <is>
          <t>Informational</t>
        </is>
      </c>
      <c r="K1187" t="inlineStr">
        <is>
          <t>NOT AVAILABLE (report not requested)</t>
        </is>
      </c>
      <c r="L1187" t="inlineStr">
        <is>
          <t>declining (calc.)</t>
        </is>
      </c>
      <c r="M1187" t="inlineStr">
        <is>
          <t>MEASURED</t>
        </is>
      </c>
      <c r="N1187" s="5" t="inlineStr">
        <is>
          <t>Semrush phrase_these (live, this session)</t>
        </is>
      </c>
      <c r="O1187" t="inlineStr">
        <is>
          <t>2026-10-30</t>
        </is>
      </c>
      <c r="P1187">
        <f>IF(IF(J1187="NOT AVAILABLE","",J1187)="",12,IF(OR(ISNUMBER(SEARCH("Transactional",IF(J1187="NOT AVAILABLE","",J1187))),ISNUMBER(SEARCH("Commercial",IF(J1187="NOT AVAILABLE","",J1187)))),25,IF(ISNUMBER(SEARCH("Informational",IF(J1187="NOT AVAILABLE","",J1187))),10,IF(ISNUMBER(SEARCH("Navigational",IF(J1187="NOT AVAILABLE","",J1187))),0,12))))</f>
        <v/>
      </c>
      <c r="Q1187">
        <f>IF(ISNUMBER(F1187),MIN(30,ROUND(30*LOG10(F1187+1)/4,1)),0)</f>
        <v/>
      </c>
      <c r="R1187">
        <f>IF(ISNUMBER(G1187),ROUND(25*(100-G1187)/100,1),12.5)</f>
        <v/>
      </c>
      <c r="S1187" t="n">
        <v>14</v>
      </c>
      <c r="T1187">
        <f>ROUND(P1187+Q1187+R1187+S1187,0)</f>
        <v/>
      </c>
      <c r="U1187" s="5" t="inlineStr"/>
      <c r="V1187" s="5" t="inlineStr">
        <is>
          <t>SUPPORTING /services/saas-platform-development</t>
        </is>
      </c>
    </row>
    <row r="1188">
      <c r="A1188" t="inlineStr">
        <is>
          <t>K1186</t>
        </is>
      </c>
      <c r="B1188" t="inlineStr">
        <is>
          <t>plateforme de paiement</t>
        </is>
      </c>
      <c r="C1188" t="inlineStr">
        <is>
          <t>France</t>
        </is>
      </c>
      <c r="D1188" t="inlineStr">
        <is>
          <t>fr</t>
        </is>
      </c>
      <c r="E1188" t="inlineStr">
        <is>
          <t>fr</t>
        </is>
      </c>
      <c r="F1188" t="n">
        <v>260</v>
      </c>
      <c r="G1188" t="n">
        <v>35</v>
      </c>
      <c r="H1188" t="n">
        <v>5.82</v>
      </c>
      <c r="I1188" t="n">
        <v>0.52</v>
      </c>
      <c r="J1188" t="inlineStr">
        <is>
          <t>Informational</t>
        </is>
      </c>
      <c r="K1188" t="inlineStr">
        <is>
          <t>NOT AVAILABLE (report not requested)</t>
        </is>
      </c>
      <c r="L1188" t="inlineStr">
        <is>
          <t>rising (calc.)</t>
        </is>
      </c>
      <c r="M1188" t="inlineStr">
        <is>
          <t>MEASURED</t>
        </is>
      </c>
      <c r="N1188" s="5" t="inlineStr">
        <is>
          <t>Semrush phrase_these (live, this session)</t>
        </is>
      </c>
      <c r="O1188" t="inlineStr">
        <is>
          <t>2026-10-30</t>
        </is>
      </c>
      <c r="P1188">
        <f>IF(IF(J1188="NOT AVAILABLE","",J1188)="",12,IF(OR(ISNUMBER(SEARCH("Transactional",IF(J1188="NOT AVAILABLE","",J1188))),ISNUMBER(SEARCH("Commercial",IF(J1188="NOT AVAILABLE","",J1188)))),25,IF(ISNUMBER(SEARCH("Informational",IF(J1188="NOT AVAILABLE","",J1188))),10,IF(ISNUMBER(SEARCH("Navigational",IF(J1188="NOT AVAILABLE","",J1188))),0,12))))</f>
        <v/>
      </c>
      <c r="Q1188">
        <f>IF(ISNUMBER(F1188),MIN(30,ROUND(30*LOG10(F1188+1)/4,1)),0)</f>
        <v/>
      </c>
      <c r="R1188">
        <f>IF(ISNUMBER(G1188),ROUND(25*(100-G1188)/100,1),12.5)</f>
        <v/>
      </c>
      <c r="S1188" t="n">
        <v>14</v>
      </c>
      <c r="T1188">
        <f>ROUND(P1188+Q1188+R1188+S1188,0)</f>
        <v/>
      </c>
      <c r="U1188" s="5" t="inlineStr"/>
      <c r="V1188" s="5" t="inlineStr">
        <is>
          <t>SECONDARY /services/fintech-platform-development</t>
        </is>
      </c>
    </row>
    <row r="1189">
      <c r="A1189" t="inlineStr">
        <is>
          <t>K1187</t>
        </is>
      </c>
      <c r="B1189" t="inlineStr">
        <is>
          <t>portail étudiant</t>
        </is>
      </c>
      <c r="C1189" t="inlineStr">
        <is>
          <t>France</t>
        </is>
      </c>
      <c r="D1189" t="inlineStr">
        <is>
          <t>fr</t>
        </is>
      </c>
      <c r="E1189" t="inlineStr">
        <is>
          <t>fr</t>
        </is>
      </c>
      <c r="F1189" t="n">
        <v>260</v>
      </c>
      <c r="G1189" t="n">
        <v>33</v>
      </c>
      <c r="H1189" t="n">
        <v>0</v>
      </c>
      <c r="I1189" t="n">
        <v>0.33</v>
      </c>
      <c r="J1189" t="inlineStr">
        <is>
          <t>Informational</t>
        </is>
      </c>
      <c r="K1189" t="inlineStr">
        <is>
          <t>NOT AVAILABLE (report not requested)</t>
        </is>
      </c>
      <c r="L1189" t="inlineStr">
        <is>
          <t>rising (calc.)</t>
        </is>
      </c>
      <c r="M1189" t="inlineStr">
        <is>
          <t>MEASURED</t>
        </is>
      </c>
      <c r="N1189" s="5" t="inlineStr">
        <is>
          <t>Semrush phrase_these (live, this session)</t>
        </is>
      </c>
      <c r="O1189" t="inlineStr">
        <is>
          <t>2026-10-30</t>
        </is>
      </c>
      <c r="P1189">
        <f>IF(IF(J1189="NOT AVAILABLE","",J1189)="",12,IF(OR(ISNUMBER(SEARCH("Transactional",IF(J1189="NOT AVAILABLE","",J1189))),ISNUMBER(SEARCH("Commercial",IF(J1189="NOT AVAILABLE","",J1189)))),25,IF(ISNUMBER(SEARCH("Informational",IF(J1189="NOT AVAILABLE","",J1189))),10,IF(ISNUMBER(SEARCH("Navigational",IF(J1189="NOT AVAILABLE","",J1189))),0,12))))</f>
        <v/>
      </c>
      <c r="Q1189">
        <f>IF(ISNUMBER(F1189),MIN(30,ROUND(30*LOG10(F1189+1)/4,1)),0)</f>
        <v/>
      </c>
      <c r="R1189">
        <f>IF(ISNUMBER(G1189),ROUND(25*(100-G1189)/100,1),12.5)</f>
        <v/>
      </c>
      <c r="S1189" t="n">
        <v>14</v>
      </c>
      <c r="T1189">
        <f>ROUND(P1189+Q1189+R1189+S1189,0)</f>
        <v/>
      </c>
      <c r="U1189" s="5" t="inlineStr"/>
      <c r="V1189" s="5" t="inlineStr">
        <is>
          <t>NOT RECOMMENDED /services/university-website-development</t>
        </is>
      </c>
    </row>
    <row r="1190">
      <c r="A1190" t="inlineStr">
        <is>
          <t>K1188</t>
        </is>
      </c>
      <c r="B1190" t="inlineStr">
        <is>
          <t>simulateur serp</t>
        </is>
      </c>
      <c r="C1190" t="inlineStr">
        <is>
          <t>France</t>
        </is>
      </c>
      <c r="D1190" t="inlineStr">
        <is>
          <t>fr</t>
        </is>
      </c>
      <c r="E1190" t="inlineStr">
        <is>
          <t>fr</t>
        </is>
      </c>
      <c r="F1190" t="n">
        <v>260</v>
      </c>
      <c r="G1190" t="n">
        <v>11</v>
      </c>
      <c r="H1190" t="n">
        <v>0</v>
      </c>
      <c r="I1190" t="n">
        <v>0.03</v>
      </c>
      <c r="J1190" t="inlineStr">
        <is>
          <t>Informational, Commercial</t>
        </is>
      </c>
      <c r="K1190" t="inlineStr">
        <is>
          <t>NOT AVAILABLE (report not requested)</t>
        </is>
      </c>
      <c r="L1190" t="inlineStr">
        <is>
          <t>rising (calc.)</t>
        </is>
      </c>
      <c r="M1190" t="inlineStr">
        <is>
          <t>MEASURED</t>
        </is>
      </c>
      <c r="N1190" s="5" t="inlineStr">
        <is>
          <t>Semrush phrase_these (live, this session)</t>
        </is>
      </c>
      <c r="O1190" t="inlineStr">
        <is>
          <t>2026-10-30</t>
        </is>
      </c>
      <c r="P1190">
        <f>IF(IF(J1190="NOT AVAILABLE","",J1190)="",12,IF(OR(ISNUMBER(SEARCH("Transactional",IF(J1190="NOT AVAILABLE","",J1190))),ISNUMBER(SEARCH("Commercial",IF(J1190="NOT AVAILABLE","",J1190)))),25,IF(ISNUMBER(SEARCH("Informational",IF(J1190="NOT AVAILABLE","",J1190))),10,IF(ISNUMBER(SEARCH("Navigational",IF(J1190="NOT AVAILABLE","",J1190))),0,12))))</f>
        <v/>
      </c>
      <c r="Q1190">
        <f>IF(ISNUMBER(F1190),MIN(30,ROUND(30*LOG10(F1190+1)/4,1)),0)</f>
        <v/>
      </c>
      <c r="R1190">
        <f>IF(ISNUMBER(G1190),ROUND(25*(100-G1190)/100,1),12.5)</f>
        <v/>
      </c>
      <c r="S1190" t="n">
        <v>14</v>
      </c>
      <c r="T1190">
        <f>ROUND(P1190+Q1190+R1190+S1190,0)</f>
        <v/>
      </c>
      <c r="U1190" s="5" t="inlineStr"/>
      <c r="V1190" s="5" t="inlineStr">
        <is>
          <t>PRIMARY /tools/serp-snippet-preview</t>
        </is>
      </c>
    </row>
    <row r="1191">
      <c r="A1191" t="inlineStr">
        <is>
          <t>K1189</t>
        </is>
      </c>
      <c r="B1191" t="inlineStr">
        <is>
          <t>test redirection</t>
        </is>
      </c>
      <c r="C1191" t="inlineStr">
        <is>
          <t>France</t>
        </is>
      </c>
      <c r="D1191" t="inlineStr">
        <is>
          <t>fr</t>
        </is>
      </c>
      <c r="E1191" t="inlineStr">
        <is>
          <t>fr</t>
        </is>
      </c>
      <c r="F1191" t="n">
        <v>260</v>
      </c>
      <c r="G1191" t="n">
        <v>33</v>
      </c>
      <c r="H1191" t="n">
        <v>0</v>
      </c>
      <c r="I1191" t="n">
        <v>0.01</v>
      </c>
      <c r="J1191" t="inlineStr">
        <is>
          <t>Commercial</t>
        </is>
      </c>
      <c r="K1191" t="inlineStr">
        <is>
          <t>NOT AVAILABLE (report not requested)</t>
        </is>
      </c>
      <c r="L1191" t="inlineStr">
        <is>
          <t>stable (calc.)</t>
        </is>
      </c>
      <c r="M1191" t="inlineStr">
        <is>
          <t>MEASURED</t>
        </is>
      </c>
      <c r="N1191" s="5" t="inlineStr">
        <is>
          <t>Semrush phrase_these (live, this session)</t>
        </is>
      </c>
      <c r="O1191" t="inlineStr">
        <is>
          <t>2026-10-30</t>
        </is>
      </c>
      <c r="P1191">
        <f>IF(IF(J1191="NOT AVAILABLE","",J1191)="",12,IF(OR(ISNUMBER(SEARCH("Transactional",IF(J1191="NOT AVAILABLE","",J1191))),ISNUMBER(SEARCH("Commercial",IF(J1191="NOT AVAILABLE","",J1191)))),25,IF(ISNUMBER(SEARCH("Informational",IF(J1191="NOT AVAILABLE","",J1191))),10,IF(ISNUMBER(SEARCH("Navigational",IF(J1191="NOT AVAILABLE","",J1191))),0,12))))</f>
        <v/>
      </c>
      <c r="Q1191">
        <f>IF(ISNUMBER(F1191),MIN(30,ROUND(30*LOG10(F1191+1)/4,1)),0)</f>
        <v/>
      </c>
      <c r="R1191">
        <f>IF(ISNUMBER(G1191),ROUND(25*(100-G1191)/100,1),12.5)</f>
        <v/>
      </c>
      <c r="S1191" t="n">
        <v>14</v>
      </c>
      <c r="T1191">
        <f>ROUND(P1191+Q1191+R1191+S1191,0)</f>
        <v/>
      </c>
      <c r="U1191" s="5" t="inlineStr"/>
      <c r="V1191" s="5" t="inlineStr">
        <is>
          <t>SECONDARY /tools/redirect-checker</t>
        </is>
      </c>
    </row>
    <row r="1192">
      <c r="A1192" t="inlineStr">
        <is>
          <t>K1190</t>
        </is>
      </c>
      <c r="B1192" t="inlineStr">
        <is>
          <t>test robots.txt</t>
        </is>
      </c>
      <c r="C1192" t="inlineStr">
        <is>
          <t>France</t>
        </is>
      </c>
      <c r="D1192" t="inlineStr">
        <is>
          <t>fr</t>
        </is>
      </c>
      <c r="E1192" t="inlineStr">
        <is>
          <t>fr</t>
        </is>
      </c>
      <c r="F1192" t="n">
        <v>260</v>
      </c>
      <c r="G1192" t="n">
        <v>20</v>
      </c>
      <c r="H1192" t="n">
        <v>1.66</v>
      </c>
      <c r="I1192" t="n">
        <v>0.02</v>
      </c>
      <c r="J1192" t="inlineStr">
        <is>
          <t>Informational</t>
        </is>
      </c>
      <c r="K1192" t="inlineStr">
        <is>
          <t>NOT AVAILABLE (report not requested)</t>
        </is>
      </c>
      <c r="L1192" t="inlineStr">
        <is>
          <t>declining (calc.)</t>
        </is>
      </c>
      <c r="M1192" t="inlineStr">
        <is>
          <t>MEASURED</t>
        </is>
      </c>
      <c r="N1192" s="5" t="inlineStr">
        <is>
          <t>Semrush phrase_these (live, this session)</t>
        </is>
      </c>
      <c r="O1192" t="inlineStr">
        <is>
          <t>2026-10-30</t>
        </is>
      </c>
      <c r="P1192">
        <f>IF(IF(J1192="NOT AVAILABLE","",J1192)="",12,IF(OR(ISNUMBER(SEARCH("Transactional",IF(J1192="NOT AVAILABLE","",J1192))),ISNUMBER(SEARCH("Commercial",IF(J1192="NOT AVAILABLE","",J1192)))),25,IF(ISNUMBER(SEARCH("Informational",IF(J1192="NOT AVAILABLE","",J1192))),10,IF(ISNUMBER(SEARCH("Navigational",IF(J1192="NOT AVAILABLE","",J1192))),0,12))))</f>
        <v/>
      </c>
      <c r="Q1192">
        <f>IF(ISNUMBER(F1192),MIN(30,ROUND(30*LOG10(F1192+1)/4,1)),0)</f>
        <v/>
      </c>
      <c r="R1192">
        <f>IF(ISNUMBER(G1192),ROUND(25*(100-G1192)/100,1),12.5)</f>
        <v/>
      </c>
      <c r="S1192" t="n">
        <v>14</v>
      </c>
      <c r="T1192">
        <f>ROUND(P1192+Q1192+R1192+S1192,0)</f>
        <v/>
      </c>
      <c r="U1192" s="5" t="inlineStr"/>
      <c r="V1192" s="5" t="inlineStr">
        <is>
          <t>PRIMARY /tools/robots-txt-tester</t>
        </is>
      </c>
    </row>
    <row r="1193">
      <c r="A1193" t="inlineStr">
        <is>
          <t>K1191</t>
        </is>
      </c>
      <c r="B1193" t="inlineStr">
        <is>
          <t>test vitesse site</t>
        </is>
      </c>
      <c r="C1193" t="inlineStr">
        <is>
          <t>France</t>
        </is>
      </c>
      <c r="D1193" t="inlineStr">
        <is>
          <t>fr</t>
        </is>
      </c>
      <c r="E1193" t="inlineStr">
        <is>
          <t>fr</t>
        </is>
      </c>
      <c r="F1193" t="n">
        <v>260</v>
      </c>
      <c r="G1193" t="n">
        <v>43</v>
      </c>
      <c r="H1193" t="n">
        <v>1.02</v>
      </c>
      <c r="I1193" t="n">
        <v>0.22</v>
      </c>
      <c r="J1193" t="inlineStr">
        <is>
          <t>Informational</t>
        </is>
      </c>
      <c r="K1193" t="inlineStr">
        <is>
          <t>NOT AVAILABLE (report not requested)</t>
        </is>
      </c>
      <c r="L1193" t="inlineStr">
        <is>
          <t>stable (calc.)</t>
        </is>
      </c>
      <c r="M1193" t="inlineStr">
        <is>
          <t>MEASURED</t>
        </is>
      </c>
      <c r="N1193" s="5" t="inlineStr">
        <is>
          <t>Semrush phrase_these (live, this session)</t>
        </is>
      </c>
      <c r="O1193" t="inlineStr">
        <is>
          <t>2026-10-30</t>
        </is>
      </c>
      <c r="P1193">
        <f>IF(IF(J1193="NOT AVAILABLE","",J1193)="",12,IF(OR(ISNUMBER(SEARCH("Transactional",IF(J1193="NOT AVAILABLE","",J1193))),ISNUMBER(SEARCH("Commercial",IF(J1193="NOT AVAILABLE","",J1193)))),25,IF(ISNUMBER(SEARCH("Informational",IF(J1193="NOT AVAILABLE","",J1193))),10,IF(ISNUMBER(SEARCH("Navigational",IF(J1193="NOT AVAILABLE","",J1193))),0,12))))</f>
        <v/>
      </c>
      <c r="Q1193">
        <f>IF(ISNUMBER(F1193),MIN(30,ROUND(30*LOG10(F1193+1)/4,1)),0)</f>
        <v/>
      </c>
      <c r="R1193">
        <f>IF(ISNUMBER(G1193),ROUND(25*(100-G1193)/100,1),12.5)</f>
        <v/>
      </c>
      <c r="S1193" t="n">
        <v>14</v>
      </c>
      <c r="T1193">
        <f>ROUND(P1193+Q1193+R1193+S1193,0)</f>
        <v/>
      </c>
      <c r="U1193" s="5" t="inlineStr"/>
      <c r="V1193" s="5" t="inlineStr">
        <is>
          <t>SECONDARY /tools/page-speed-analyzer</t>
        </is>
      </c>
    </row>
    <row r="1194">
      <c r="A1194" t="inlineStr">
        <is>
          <t>K1192</t>
        </is>
      </c>
      <c r="B1194" t="inlineStr">
        <is>
          <t>test vitesse site web</t>
        </is>
      </c>
      <c r="C1194" t="inlineStr">
        <is>
          <t>France</t>
        </is>
      </c>
      <c r="D1194" t="inlineStr">
        <is>
          <t>fr</t>
        </is>
      </c>
      <c r="E1194" t="inlineStr">
        <is>
          <t>fr</t>
        </is>
      </c>
      <c r="F1194" t="n">
        <v>260</v>
      </c>
      <c r="G1194" t="n">
        <v>36</v>
      </c>
      <c r="H1194" t="n">
        <v>1.31</v>
      </c>
      <c r="I1194" t="n">
        <v>0.23</v>
      </c>
      <c r="J1194" t="inlineStr">
        <is>
          <t>Commercial</t>
        </is>
      </c>
      <c r="K1194" t="inlineStr">
        <is>
          <t>NOT AVAILABLE (report not requested)</t>
        </is>
      </c>
      <c r="L1194" t="inlineStr">
        <is>
          <t>rising (calc.)</t>
        </is>
      </c>
      <c r="M1194" t="inlineStr">
        <is>
          <t>MEASURED</t>
        </is>
      </c>
      <c r="N1194" s="5" t="inlineStr">
        <is>
          <t>Semrush phrase_these (live, this session)</t>
        </is>
      </c>
      <c r="O1194" t="inlineStr">
        <is>
          <t>2026-10-30</t>
        </is>
      </c>
      <c r="P1194">
        <f>IF(IF(J1194="NOT AVAILABLE","",J1194)="",12,IF(OR(ISNUMBER(SEARCH("Transactional",IF(J1194="NOT AVAILABLE","",J1194))),ISNUMBER(SEARCH("Commercial",IF(J1194="NOT AVAILABLE","",J1194)))),25,IF(ISNUMBER(SEARCH("Informational",IF(J1194="NOT AVAILABLE","",J1194))),10,IF(ISNUMBER(SEARCH("Navigational",IF(J1194="NOT AVAILABLE","",J1194))),0,12))))</f>
        <v/>
      </c>
      <c r="Q1194">
        <f>IF(ISNUMBER(F1194),MIN(30,ROUND(30*LOG10(F1194+1)/4,1)),0)</f>
        <v/>
      </c>
      <c r="R1194">
        <f>IF(ISNUMBER(G1194),ROUND(25*(100-G1194)/100,1),12.5)</f>
        <v/>
      </c>
      <c r="S1194" t="n">
        <v>14</v>
      </c>
      <c r="T1194">
        <f>ROUND(P1194+Q1194+R1194+S1194,0)</f>
        <v/>
      </c>
      <c r="U1194" s="5" t="inlineStr"/>
      <c r="V1194" s="5" t="inlineStr">
        <is>
          <t>PRIMARY /tools/page-speed-analyzer</t>
        </is>
      </c>
    </row>
    <row r="1195">
      <c r="A1195" t="inlineStr">
        <is>
          <t>K1193</t>
        </is>
      </c>
      <c r="B1195" t="inlineStr">
        <is>
          <t>trouver mots clés</t>
        </is>
      </c>
      <c r="C1195" t="inlineStr">
        <is>
          <t>France</t>
        </is>
      </c>
      <c r="D1195" t="inlineStr">
        <is>
          <t>fr</t>
        </is>
      </c>
      <c r="E1195" t="inlineStr">
        <is>
          <t>fr</t>
        </is>
      </c>
      <c r="F1195" t="n">
        <v>260</v>
      </c>
      <c r="G1195" t="n">
        <v>49</v>
      </c>
      <c r="H1195" t="n">
        <v>2.19</v>
      </c>
      <c r="I1195" t="n">
        <v>0.34</v>
      </c>
      <c r="J1195" t="inlineStr">
        <is>
          <t>Informational</t>
        </is>
      </c>
      <c r="K1195" t="inlineStr">
        <is>
          <t>NOT AVAILABLE (report not requested)</t>
        </is>
      </c>
      <c r="L1195" t="inlineStr">
        <is>
          <t>declining (calc.)</t>
        </is>
      </c>
      <c r="M1195" t="inlineStr">
        <is>
          <t>MEASURED</t>
        </is>
      </c>
      <c r="N1195" s="5" t="inlineStr">
        <is>
          <t>Semrush phrase_these (live, this session)</t>
        </is>
      </c>
      <c r="O1195" t="inlineStr">
        <is>
          <t>2026-10-30</t>
        </is>
      </c>
      <c r="P1195">
        <f>IF(IF(J1195="NOT AVAILABLE","",J1195)="",12,IF(OR(ISNUMBER(SEARCH("Transactional",IF(J1195="NOT AVAILABLE","",J1195))),ISNUMBER(SEARCH("Commercial",IF(J1195="NOT AVAILABLE","",J1195)))),25,IF(ISNUMBER(SEARCH("Informational",IF(J1195="NOT AVAILABLE","",J1195))),10,IF(ISNUMBER(SEARCH("Navigational",IF(J1195="NOT AVAILABLE","",J1195))),0,12))))</f>
        <v/>
      </c>
      <c r="Q1195">
        <f>IF(ISNUMBER(F1195),MIN(30,ROUND(30*LOG10(F1195+1)/4,1)),0)</f>
        <v/>
      </c>
      <c r="R1195">
        <f>IF(ISNUMBER(G1195),ROUND(25*(100-G1195)/100,1),12.5)</f>
        <v/>
      </c>
      <c r="S1195" t="n">
        <v>14</v>
      </c>
      <c r="T1195">
        <f>ROUND(P1195+Q1195+R1195+S1195,0)</f>
        <v/>
      </c>
      <c r="U1195" s="5" t="inlineStr"/>
      <c r="V1195" s="5" t="inlineStr">
        <is>
          <t>SECONDARY /tools/keyword-modifier-generator</t>
        </is>
      </c>
    </row>
    <row r="1196">
      <c r="A1196" t="inlineStr">
        <is>
          <t>K1194</t>
        </is>
      </c>
      <c r="B1196" t="inlineStr">
        <is>
          <t>vendre des formations en ligne</t>
        </is>
      </c>
      <c r="C1196" t="inlineStr">
        <is>
          <t>France</t>
        </is>
      </c>
      <c r="D1196" t="inlineStr">
        <is>
          <t>fr</t>
        </is>
      </c>
      <c r="E1196" t="inlineStr">
        <is>
          <t>fr</t>
        </is>
      </c>
      <c r="F1196" t="n">
        <v>260</v>
      </c>
      <c r="G1196" t="n">
        <v>10</v>
      </c>
      <c r="H1196" t="n">
        <v>1.83</v>
      </c>
      <c r="I1196" t="n">
        <v>0.58</v>
      </c>
      <c r="J1196" t="inlineStr">
        <is>
          <t>Informational</t>
        </is>
      </c>
      <c r="K1196" t="inlineStr">
        <is>
          <t>NOT AVAILABLE (report not requested)</t>
        </is>
      </c>
      <c r="L1196" t="inlineStr">
        <is>
          <t>declining (calc.)</t>
        </is>
      </c>
      <c r="M1196" t="inlineStr">
        <is>
          <t>MEASURED</t>
        </is>
      </c>
      <c r="N1196" s="5" t="inlineStr">
        <is>
          <t>Semrush phrase_these (live, this session)</t>
        </is>
      </c>
      <c r="O1196" t="inlineStr">
        <is>
          <t>2026-10-30</t>
        </is>
      </c>
      <c r="P1196">
        <f>IF(IF(J1196="NOT AVAILABLE","",J1196)="",12,IF(OR(ISNUMBER(SEARCH("Transactional",IF(J1196="NOT AVAILABLE","",J1196))),ISNUMBER(SEARCH("Commercial",IF(J1196="NOT AVAILABLE","",J1196)))),25,IF(ISNUMBER(SEARCH("Informational",IF(J1196="NOT AVAILABLE","",J1196))),10,IF(ISNUMBER(SEARCH("Navigational",IF(J1196="NOT AVAILABLE","",J1196))),0,12))))</f>
        <v/>
      </c>
      <c r="Q1196">
        <f>IF(ISNUMBER(F1196),MIN(30,ROUND(30*LOG10(F1196+1)/4,1)),0)</f>
        <v/>
      </c>
      <c r="R1196">
        <f>IF(ISNUMBER(G1196),ROUND(25*(100-G1196)/100,1),12.5)</f>
        <v/>
      </c>
      <c r="S1196" t="n">
        <v>14</v>
      </c>
      <c r="T1196">
        <f>ROUND(P1196+Q1196+R1196+S1196,0)</f>
        <v/>
      </c>
      <c r="U1196" s="5" t="inlineStr"/>
      <c r="V1196" s="5" t="inlineStr">
        <is>
          <t>PRIMARY /services/online-course-platform-development</t>
        </is>
      </c>
    </row>
    <row r="1197">
      <c r="A1197" t="inlineStr">
        <is>
          <t>K1195</t>
        </is>
      </c>
      <c r="B1197" t="inlineStr">
        <is>
          <t>éditeur de texte en ligne</t>
        </is>
      </c>
      <c r="C1197" t="inlineStr">
        <is>
          <t>France</t>
        </is>
      </c>
      <c r="D1197" t="inlineStr">
        <is>
          <t>fr</t>
        </is>
      </c>
      <c r="E1197" t="inlineStr">
        <is>
          <t>fr</t>
        </is>
      </c>
      <c r="F1197" t="n">
        <v>260</v>
      </c>
      <c r="G1197" t="n">
        <v>57</v>
      </c>
      <c r="H1197" t="n">
        <v>0.54</v>
      </c>
      <c r="I1197" t="n">
        <v>0.11</v>
      </c>
      <c r="J1197" t="inlineStr">
        <is>
          <t>Commercial</t>
        </is>
      </c>
      <c r="K1197" t="inlineStr">
        <is>
          <t>NOT AVAILABLE (report not requested)</t>
        </is>
      </c>
      <c r="L1197" t="inlineStr">
        <is>
          <t>stable (calc.)</t>
        </is>
      </c>
      <c r="M1197" t="inlineStr">
        <is>
          <t>MEASURED</t>
        </is>
      </c>
      <c r="N1197" s="5" t="inlineStr">
        <is>
          <t>Semrush phrase_these (live, this session)</t>
        </is>
      </c>
      <c r="O1197" t="inlineStr">
        <is>
          <t>2026-10-30</t>
        </is>
      </c>
      <c r="P1197">
        <f>IF(IF(J1197="NOT AVAILABLE","",J1197)="",12,IF(OR(ISNUMBER(SEARCH("Transactional",IF(J1197="NOT AVAILABLE","",J1197))),ISNUMBER(SEARCH("Commercial",IF(J1197="NOT AVAILABLE","",J1197)))),25,IF(ISNUMBER(SEARCH("Informational",IF(J1197="NOT AVAILABLE","",J1197))),10,IF(ISNUMBER(SEARCH("Navigational",IF(J1197="NOT AVAILABLE","",J1197))),0,12))))</f>
        <v/>
      </c>
      <c r="Q1197">
        <f>IF(ISNUMBER(F1197),MIN(30,ROUND(30*LOG10(F1197+1)/4,1)),0)</f>
        <v/>
      </c>
      <c r="R1197">
        <f>IF(ISNUMBER(G1197),ROUND(25*(100-G1197)/100,1),12.5)</f>
        <v/>
      </c>
      <c r="S1197" t="n">
        <v>14</v>
      </c>
      <c r="T1197">
        <f>ROUND(P1197+Q1197+R1197+S1197,0)</f>
        <v/>
      </c>
      <c r="U1197" s="5" t="inlineStr"/>
      <c r="V1197" s="5" t="inlineStr">
        <is>
          <t>PRIMARY /tools/text-editor</t>
        </is>
      </c>
    </row>
    <row r="1198">
      <c r="A1198" t="inlineStr">
        <is>
          <t>K1196</t>
        </is>
      </c>
      <c r="B1198" t="inlineStr">
        <is>
          <t>autorité de domaine</t>
        </is>
      </c>
      <c r="C1198" t="inlineStr">
        <is>
          <t>France</t>
        </is>
      </c>
      <c r="D1198" t="inlineStr">
        <is>
          <t>fr</t>
        </is>
      </c>
      <c r="E1198" t="inlineStr">
        <is>
          <t>fr</t>
        </is>
      </c>
      <c r="F1198" t="n">
        <v>210</v>
      </c>
      <c r="G1198" t="n">
        <v>27</v>
      </c>
      <c r="H1198" t="n">
        <v>1.17</v>
      </c>
      <c r="I1198" t="n">
        <v>0.05</v>
      </c>
      <c r="J1198" t="inlineStr">
        <is>
          <t>Informational</t>
        </is>
      </c>
      <c r="K1198" t="inlineStr">
        <is>
          <t>NOT AVAILABLE (report not requested)</t>
        </is>
      </c>
      <c r="L1198" t="inlineStr">
        <is>
          <t>declining (calc.)</t>
        </is>
      </c>
      <c r="M1198" t="inlineStr">
        <is>
          <t>MEASURED</t>
        </is>
      </c>
      <c r="N1198" s="5" t="inlineStr">
        <is>
          <t>Semrush phrase_these (live, this session)</t>
        </is>
      </c>
      <c r="O1198" t="inlineStr">
        <is>
          <t>2026-10-30</t>
        </is>
      </c>
      <c r="P1198">
        <f>IF(IF(J1198="NOT AVAILABLE","",J1198)="",12,IF(OR(ISNUMBER(SEARCH("Transactional",IF(J1198="NOT AVAILABLE","",J1198))),ISNUMBER(SEARCH("Commercial",IF(J1198="NOT AVAILABLE","",J1198)))),25,IF(ISNUMBER(SEARCH("Informational",IF(J1198="NOT AVAILABLE","",J1198))),10,IF(ISNUMBER(SEARCH("Navigational",IF(J1198="NOT AVAILABLE","",J1198))),0,12))))</f>
        <v/>
      </c>
      <c r="Q1198">
        <f>IF(ISNUMBER(F1198),MIN(30,ROUND(30*LOG10(F1198+1)/4,1)),0)</f>
        <v/>
      </c>
      <c r="R1198">
        <f>IF(ISNUMBER(G1198),ROUND(25*(100-G1198)/100,1),12.5)</f>
        <v/>
      </c>
      <c r="S1198" t="n">
        <v>14</v>
      </c>
      <c r="T1198">
        <f>ROUND(P1198+Q1198+R1198+S1198,0)</f>
        <v/>
      </c>
      <c r="U1198" s="5" t="inlineStr"/>
      <c r="V1198" s="5" t="inlineStr">
        <is>
          <t>NOT RECOMMENDED /tools/domain-authority-checker</t>
        </is>
      </c>
    </row>
    <row r="1199">
      <c r="A1199" t="inlineStr">
        <is>
          <t>K1197</t>
        </is>
      </c>
      <c r="B1199" t="inlineStr">
        <is>
          <t>crawl budget</t>
        </is>
      </c>
      <c r="C1199" t="inlineStr">
        <is>
          <t>France</t>
        </is>
      </c>
      <c r="D1199" t="inlineStr">
        <is>
          <t>fr</t>
        </is>
      </c>
      <c r="E1199" t="inlineStr">
        <is>
          <t>fr</t>
        </is>
      </c>
      <c r="F1199" t="n">
        <v>210</v>
      </c>
      <c r="G1199" t="n">
        <v>25</v>
      </c>
      <c r="H1199" t="n">
        <v>0</v>
      </c>
      <c r="I1199" t="n">
        <v>0.03</v>
      </c>
      <c r="J1199" t="inlineStr">
        <is>
          <t>Informational</t>
        </is>
      </c>
      <c r="K1199" t="inlineStr">
        <is>
          <t>NOT AVAILABLE (report not requested)</t>
        </is>
      </c>
      <c r="L1199" t="inlineStr">
        <is>
          <t>stable (calc.)</t>
        </is>
      </c>
      <c r="M1199" t="inlineStr">
        <is>
          <t>MEASURED</t>
        </is>
      </c>
      <c r="N1199" s="5" t="inlineStr">
        <is>
          <t>Semrush phrase_these (live, this session)</t>
        </is>
      </c>
      <c r="O1199" t="inlineStr">
        <is>
          <t>2026-10-30</t>
        </is>
      </c>
      <c r="P1199">
        <f>IF(IF(J1199="NOT AVAILABLE","",J1199)="",12,IF(OR(ISNUMBER(SEARCH("Transactional",IF(J1199="NOT AVAILABLE","",J1199))),ISNUMBER(SEARCH("Commercial",IF(J1199="NOT AVAILABLE","",J1199)))),25,IF(ISNUMBER(SEARCH("Informational",IF(J1199="NOT AVAILABLE","",J1199))),10,IF(ISNUMBER(SEARCH("Navigational",IF(J1199="NOT AVAILABLE","",J1199))),0,12))))</f>
        <v/>
      </c>
      <c r="Q1199">
        <f>IF(ISNUMBER(F1199),MIN(30,ROUND(30*LOG10(F1199+1)/4,1)),0)</f>
        <v/>
      </c>
      <c r="R1199">
        <f>IF(ISNUMBER(G1199),ROUND(25*(100-G1199)/100,1),12.5)</f>
        <v/>
      </c>
      <c r="S1199" t="n">
        <v>14</v>
      </c>
      <c r="T1199">
        <f>ROUND(P1199+Q1199+R1199+S1199,0)</f>
        <v/>
      </c>
      <c r="U1199" s="5" t="inlineStr"/>
      <c r="V1199" s="5" t="inlineStr">
        <is>
          <t>PRIMARY /tools/crawl-optimization-checker</t>
        </is>
      </c>
    </row>
    <row r="1200">
      <c r="A1200" t="inlineStr">
        <is>
          <t>K1198</t>
        </is>
      </c>
      <c r="B1200" t="inlineStr">
        <is>
          <t>développement web offshore</t>
        </is>
      </c>
      <c r="C1200" t="inlineStr">
        <is>
          <t>France</t>
        </is>
      </c>
      <c r="D1200" t="inlineStr">
        <is>
          <t>fr</t>
        </is>
      </c>
      <c r="E1200" t="inlineStr">
        <is>
          <t>fr</t>
        </is>
      </c>
      <c r="F1200" t="n">
        <v>210</v>
      </c>
      <c r="G1200" t="n">
        <v>12</v>
      </c>
      <c r="H1200" t="n">
        <v>0</v>
      </c>
      <c r="I1200" t="n">
        <v>0.33</v>
      </c>
      <c r="J1200" t="inlineStr">
        <is>
          <t>Informational</t>
        </is>
      </c>
      <c r="K1200" t="inlineStr">
        <is>
          <t>NOT AVAILABLE (report not requested)</t>
        </is>
      </c>
      <c r="L1200" t="inlineStr">
        <is>
          <t>declining (calc.)</t>
        </is>
      </c>
      <c r="M1200" t="inlineStr">
        <is>
          <t>MEASURED</t>
        </is>
      </c>
      <c r="N1200" s="5" t="inlineStr">
        <is>
          <t>Semrush phrase_these (live, this session)</t>
        </is>
      </c>
      <c r="O1200" t="inlineStr">
        <is>
          <t>2026-10-30</t>
        </is>
      </c>
      <c r="P1200">
        <f>IF(IF(J1200="NOT AVAILABLE","",J1200)="",12,IF(OR(ISNUMBER(SEARCH("Transactional",IF(J1200="NOT AVAILABLE","",J1200))),ISNUMBER(SEARCH("Commercial",IF(J1200="NOT AVAILABLE","",J1200)))),25,IF(ISNUMBER(SEARCH("Informational",IF(J1200="NOT AVAILABLE","",J1200))),10,IF(ISNUMBER(SEARCH("Navigational",IF(J1200="NOT AVAILABLE","",J1200))),0,12))))</f>
        <v/>
      </c>
      <c r="Q1200">
        <f>IF(ISNUMBER(F1200),MIN(30,ROUND(30*LOG10(F1200+1)/4,1)),0)</f>
        <v/>
      </c>
      <c r="R1200">
        <f>IF(ISNUMBER(G1200),ROUND(25*(100-G1200)/100,1),12.5)</f>
        <v/>
      </c>
      <c r="S1200" t="n">
        <v>14</v>
      </c>
      <c r="T1200">
        <f>ROUND(P1200+Q1200+R1200+S1200,0)</f>
        <v/>
      </c>
      <c r="U1200" s="5" t="inlineStr"/>
      <c r="V1200" s="5" t="inlineStr">
        <is>
          <t>SECONDARY /web-development-company/worldwide</t>
        </is>
      </c>
    </row>
    <row r="1201">
      <c r="A1201" t="inlineStr">
        <is>
          <t>K1199</t>
        </is>
      </c>
      <c r="B1201" t="inlineStr">
        <is>
          <t>logiciel téléconsultation</t>
        </is>
      </c>
      <c r="C1201" t="inlineStr">
        <is>
          <t>France</t>
        </is>
      </c>
      <c r="D1201" t="inlineStr">
        <is>
          <t>fr</t>
        </is>
      </c>
      <c r="E1201" t="inlineStr">
        <is>
          <t>fr</t>
        </is>
      </c>
      <c r="F1201" t="n">
        <v>210</v>
      </c>
      <c r="G1201" t="n">
        <v>29</v>
      </c>
      <c r="H1201" t="n">
        <v>4.75</v>
      </c>
      <c r="I1201" t="n">
        <v>0.66</v>
      </c>
      <c r="J1201" t="inlineStr">
        <is>
          <t>Informational</t>
        </is>
      </c>
      <c r="K1201" t="inlineStr">
        <is>
          <t>NOT AVAILABLE (report not requested)</t>
        </is>
      </c>
      <c r="L1201" t="inlineStr">
        <is>
          <t>declining (calc.)</t>
        </is>
      </c>
      <c r="M1201" t="inlineStr">
        <is>
          <t>MEASURED</t>
        </is>
      </c>
      <c r="N1201" s="5" t="inlineStr">
        <is>
          <t>Semrush phrase_these (live, this session)</t>
        </is>
      </c>
      <c r="O1201" t="inlineStr">
        <is>
          <t>2026-10-30</t>
        </is>
      </c>
      <c r="P1201">
        <f>IF(IF(J1201="NOT AVAILABLE","",J1201)="",12,IF(OR(ISNUMBER(SEARCH("Transactional",IF(J1201="NOT AVAILABLE","",J1201))),ISNUMBER(SEARCH("Commercial",IF(J1201="NOT AVAILABLE","",J1201)))),25,IF(ISNUMBER(SEARCH("Informational",IF(J1201="NOT AVAILABLE","",J1201))),10,IF(ISNUMBER(SEARCH("Navigational",IF(J1201="NOT AVAILABLE","",J1201))),0,12))))</f>
        <v/>
      </c>
      <c r="Q1201">
        <f>IF(ISNUMBER(F1201),MIN(30,ROUND(30*LOG10(F1201+1)/4,1)),0)</f>
        <v/>
      </c>
      <c r="R1201">
        <f>IF(ISNUMBER(G1201),ROUND(25*(100-G1201)/100,1),12.5)</f>
        <v/>
      </c>
      <c r="S1201" t="n">
        <v>14</v>
      </c>
      <c r="T1201">
        <f>ROUND(P1201+Q1201+R1201+S1201,0)</f>
        <v/>
      </c>
      <c r="U1201" s="5" t="inlineStr"/>
      <c r="V1201" s="5" t="inlineStr">
        <is>
          <t>PRIMARY /services/telemedicine-platform-development</t>
        </is>
      </c>
    </row>
    <row r="1202">
      <c r="A1202" t="inlineStr">
        <is>
          <t>K1200</t>
        </is>
      </c>
      <c r="B1202" t="inlineStr">
        <is>
          <t>mobile friendly test</t>
        </is>
      </c>
      <c r="C1202" t="inlineStr">
        <is>
          <t>France</t>
        </is>
      </c>
      <c r="D1202" t="inlineStr">
        <is>
          <t>fr</t>
        </is>
      </c>
      <c r="E1202" t="inlineStr">
        <is>
          <t>fr</t>
        </is>
      </c>
      <c r="F1202" t="n">
        <v>210</v>
      </c>
      <c r="G1202" t="n">
        <v>22</v>
      </c>
      <c r="H1202" t="n">
        <v>1.9</v>
      </c>
      <c r="I1202" t="n">
        <v>0.24</v>
      </c>
      <c r="J1202" t="inlineStr">
        <is>
          <t>Informational</t>
        </is>
      </c>
      <c r="K1202" t="inlineStr">
        <is>
          <t>NOT AVAILABLE (report not requested)</t>
        </is>
      </c>
      <c r="L1202" t="inlineStr">
        <is>
          <t>declining (calc.)</t>
        </is>
      </c>
      <c r="M1202" t="inlineStr">
        <is>
          <t>MEASURED</t>
        </is>
      </c>
      <c r="N1202" s="5" t="inlineStr">
        <is>
          <t>Semrush phrase_these (live, this session)</t>
        </is>
      </c>
      <c r="O1202" t="inlineStr">
        <is>
          <t>2026-10-30</t>
        </is>
      </c>
      <c r="P1202">
        <f>IF(IF(J1202="NOT AVAILABLE","",J1202)="",12,IF(OR(ISNUMBER(SEARCH("Transactional",IF(J1202="NOT AVAILABLE","",J1202))),ISNUMBER(SEARCH("Commercial",IF(J1202="NOT AVAILABLE","",J1202)))),25,IF(ISNUMBER(SEARCH("Informational",IF(J1202="NOT AVAILABLE","",J1202))),10,IF(ISNUMBER(SEARCH("Navigational",IF(J1202="NOT AVAILABLE","",J1202))),0,12))))</f>
        <v/>
      </c>
      <c r="Q1202">
        <f>IF(ISNUMBER(F1202),MIN(30,ROUND(30*LOG10(F1202+1)/4,1)),0)</f>
        <v/>
      </c>
      <c r="R1202">
        <f>IF(ISNUMBER(G1202),ROUND(25*(100-G1202)/100,1),12.5)</f>
        <v/>
      </c>
      <c r="S1202" t="n">
        <v>14</v>
      </c>
      <c r="T1202">
        <f>ROUND(P1202+Q1202+R1202+S1202,0)</f>
        <v/>
      </c>
      <c r="U1202" s="5" t="inlineStr"/>
      <c r="V1202" s="5" t="inlineStr">
        <is>
          <t>PRIMARY /tools/mobile-friendly-test</t>
        </is>
      </c>
    </row>
    <row r="1203">
      <c r="A1203" t="inlineStr">
        <is>
          <t>K1201</t>
        </is>
      </c>
      <c r="B1203" t="inlineStr">
        <is>
          <t>schema markup</t>
        </is>
      </c>
      <c r="C1203" t="inlineStr">
        <is>
          <t>France</t>
        </is>
      </c>
      <c r="D1203" t="inlineStr">
        <is>
          <t>fr</t>
        </is>
      </c>
      <c r="E1203" t="inlineStr">
        <is>
          <t>fr</t>
        </is>
      </c>
      <c r="F1203" t="n">
        <v>210</v>
      </c>
      <c r="G1203" t="n">
        <v>12</v>
      </c>
      <c r="H1203" t="n">
        <v>1.2</v>
      </c>
      <c r="I1203" t="n">
        <v>0.04</v>
      </c>
      <c r="J1203" t="inlineStr">
        <is>
          <t>Informational</t>
        </is>
      </c>
      <c r="K1203" t="inlineStr">
        <is>
          <t>NOT AVAILABLE (report not requested)</t>
        </is>
      </c>
      <c r="L1203" t="inlineStr">
        <is>
          <t>stable (calc.)</t>
        </is>
      </c>
      <c r="M1203" t="inlineStr">
        <is>
          <t>MEASURED</t>
        </is>
      </c>
      <c r="N1203" s="5" t="inlineStr">
        <is>
          <t>Semrush phrase_these (live, this session)</t>
        </is>
      </c>
      <c r="O1203" t="inlineStr">
        <is>
          <t>2026-10-30</t>
        </is>
      </c>
      <c r="P1203">
        <f>IF(IF(J1203="NOT AVAILABLE","",J1203)="",12,IF(OR(ISNUMBER(SEARCH("Transactional",IF(J1203="NOT AVAILABLE","",J1203))),ISNUMBER(SEARCH("Commercial",IF(J1203="NOT AVAILABLE","",J1203)))),25,IF(ISNUMBER(SEARCH("Informational",IF(J1203="NOT AVAILABLE","",J1203))),10,IF(ISNUMBER(SEARCH("Navigational",IF(J1203="NOT AVAILABLE","",J1203))),0,12))))</f>
        <v/>
      </c>
      <c r="Q1203">
        <f>IF(ISNUMBER(F1203),MIN(30,ROUND(30*LOG10(F1203+1)/4,1)),0)</f>
        <v/>
      </c>
      <c r="R1203">
        <f>IF(ISNUMBER(G1203),ROUND(25*(100-G1203)/100,1),12.5)</f>
        <v/>
      </c>
      <c r="S1203" t="n">
        <v>14</v>
      </c>
      <c r="T1203">
        <f>ROUND(P1203+Q1203+R1203+S1203,0)</f>
        <v/>
      </c>
      <c r="U1203" s="5" t="inlineStr"/>
      <c r="V1203" s="5" t="inlineStr">
        <is>
          <t>PRIMARY /tools/schema-generator</t>
        </is>
      </c>
    </row>
    <row r="1204">
      <c r="A1204" t="inlineStr">
        <is>
          <t>K1202</t>
        </is>
      </c>
      <c r="B1204" t="inlineStr">
        <is>
          <t>vitesse site web</t>
        </is>
      </c>
      <c r="C1204" t="inlineStr">
        <is>
          <t>France</t>
        </is>
      </c>
      <c r="D1204" t="inlineStr">
        <is>
          <t>fr</t>
        </is>
      </c>
      <c r="E1204" t="inlineStr">
        <is>
          <t>fr</t>
        </is>
      </c>
      <c r="F1204" t="n">
        <v>210</v>
      </c>
      <c r="G1204" t="n">
        <v>31</v>
      </c>
      <c r="H1204" t="n">
        <v>1.16</v>
      </c>
      <c r="I1204" t="n">
        <v>0.23</v>
      </c>
      <c r="J1204" t="inlineStr">
        <is>
          <t>Informational</t>
        </is>
      </c>
      <c r="K1204" t="inlineStr">
        <is>
          <t>NOT AVAILABLE (report not requested)</t>
        </is>
      </c>
      <c r="L1204" t="inlineStr">
        <is>
          <t>rising (calc.)</t>
        </is>
      </c>
      <c r="M1204" t="inlineStr">
        <is>
          <t>MEASURED</t>
        </is>
      </c>
      <c r="N1204" s="5" t="inlineStr">
        <is>
          <t>Semrush phrase_these (live, this session)</t>
        </is>
      </c>
      <c r="O1204" t="inlineStr">
        <is>
          <t>2026-10-30</t>
        </is>
      </c>
      <c r="P1204">
        <f>IF(IF(J1204="NOT AVAILABLE","",J1204)="",12,IF(OR(ISNUMBER(SEARCH("Transactional",IF(J1204="NOT AVAILABLE","",J1204))),ISNUMBER(SEARCH("Commercial",IF(J1204="NOT AVAILABLE","",J1204)))),25,IF(ISNUMBER(SEARCH("Informational",IF(J1204="NOT AVAILABLE","",J1204))),10,IF(ISNUMBER(SEARCH("Navigational",IF(J1204="NOT AVAILABLE","",J1204))),0,12))))</f>
        <v/>
      </c>
      <c r="Q1204">
        <f>IF(ISNUMBER(F1204),MIN(30,ROUND(30*LOG10(F1204+1)/4,1)),0)</f>
        <v/>
      </c>
      <c r="R1204">
        <f>IF(ISNUMBER(G1204),ROUND(25*(100-G1204)/100,1),12.5)</f>
        <v/>
      </c>
      <c r="S1204" t="n">
        <v>14</v>
      </c>
      <c r="T1204">
        <f>ROUND(P1204+Q1204+R1204+S1204,0)</f>
        <v/>
      </c>
      <c r="U1204" s="5" t="inlineStr"/>
      <c r="V1204" s="5" t="inlineStr">
        <is>
          <t>SECONDARY /tools/page-speed-analyzer</t>
        </is>
      </c>
    </row>
    <row r="1205">
      <c r="A1205" t="inlineStr">
        <is>
          <t>K1203</t>
        </is>
      </c>
      <c r="B1205" t="inlineStr">
        <is>
          <t>canonical seo</t>
        </is>
      </c>
      <c r="C1205" t="inlineStr">
        <is>
          <t>France</t>
        </is>
      </c>
      <c r="D1205" t="inlineStr">
        <is>
          <t>fr</t>
        </is>
      </c>
      <c r="E1205" t="inlineStr">
        <is>
          <t>fr</t>
        </is>
      </c>
      <c r="F1205" t="n">
        <v>170</v>
      </c>
      <c r="G1205" t="n">
        <v>20</v>
      </c>
      <c r="H1205" t="n">
        <v>0.82</v>
      </c>
      <c r="I1205" t="n">
        <v>0.33</v>
      </c>
      <c r="J1205" t="inlineStr">
        <is>
          <t>Informational</t>
        </is>
      </c>
      <c r="K1205" t="inlineStr">
        <is>
          <t>NOT AVAILABLE (report not requested)</t>
        </is>
      </c>
      <c r="L1205" t="inlineStr">
        <is>
          <t>declining (calc.)</t>
        </is>
      </c>
      <c r="M1205" t="inlineStr">
        <is>
          <t>MEASURED</t>
        </is>
      </c>
      <c r="N1205" s="5" t="inlineStr">
        <is>
          <t>Semrush phrase_these (live, this session)</t>
        </is>
      </c>
      <c r="O1205" t="inlineStr">
        <is>
          <t>2026-10-30</t>
        </is>
      </c>
      <c r="P1205">
        <f>IF(IF(J1205="NOT AVAILABLE","",J1205)="",12,IF(OR(ISNUMBER(SEARCH("Transactional",IF(J1205="NOT AVAILABLE","",J1205))),ISNUMBER(SEARCH("Commercial",IF(J1205="NOT AVAILABLE","",J1205)))),25,IF(ISNUMBER(SEARCH("Informational",IF(J1205="NOT AVAILABLE","",J1205))),10,IF(ISNUMBER(SEARCH("Navigational",IF(J1205="NOT AVAILABLE","",J1205))),0,12))))</f>
        <v/>
      </c>
      <c r="Q1205">
        <f>IF(ISNUMBER(F1205),MIN(30,ROUND(30*LOG10(F1205+1)/4,1)),0)</f>
        <v/>
      </c>
      <c r="R1205">
        <f>IF(ISNUMBER(G1205),ROUND(25*(100-G1205)/100,1),12.5)</f>
        <v/>
      </c>
      <c r="S1205" t="n">
        <v>14</v>
      </c>
      <c r="T1205">
        <f>ROUND(P1205+Q1205+R1205+S1205,0)</f>
        <v/>
      </c>
      <c r="U1205" s="5" t="inlineStr"/>
      <c r="V1205" s="5" t="inlineStr">
        <is>
          <t>SECONDARY /tools/canonical-checker</t>
        </is>
      </c>
    </row>
    <row r="1206">
      <c r="A1206" t="inlineStr">
        <is>
          <t>K1204</t>
        </is>
      </c>
      <c r="B1206" t="inlineStr">
        <is>
          <t>combien coute un site vitrine</t>
        </is>
      </c>
      <c r="C1206" t="inlineStr">
        <is>
          <t>France</t>
        </is>
      </c>
      <c r="D1206" t="inlineStr">
        <is>
          <t>fr</t>
        </is>
      </c>
      <c r="E1206" t="inlineStr">
        <is>
          <t>fr</t>
        </is>
      </c>
      <c r="F1206" t="n">
        <v>170</v>
      </c>
      <c r="G1206" t="n">
        <v>28</v>
      </c>
      <c r="H1206" t="n">
        <v>1.52</v>
      </c>
      <c r="I1206" t="n">
        <v>0.51</v>
      </c>
      <c r="J1206" t="inlineStr">
        <is>
          <t>Informational</t>
        </is>
      </c>
      <c r="K1206" t="inlineStr">
        <is>
          <t>NOT AVAILABLE (report not requested)</t>
        </is>
      </c>
      <c r="L1206" t="inlineStr">
        <is>
          <t>declining (calc.)</t>
        </is>
      </c>
      <c r="M1206" t="inlineStr">
        <is>
          <t>MEASURED</t>
        </is>
      </c>
      <c r="N1206" s="5" t="inlineStr">
        <is>
          <t>Semrush phrase_these (live, this session)</t>
        </is>
      </c>
      <c r="O1206" t="inlineStr">
        <is>
          <t>2026-10-30</t>
        </is>
      </c>
      <c r="P1206">
        <f>IF(IF(J1206="NOT AVAILABLE","",J1206)="",12,IF(OR(ISNUMBER(SEARCH("Transactional",IF(J1206="NOT AVAILABLE","",J1206))),ISNUMBER(SEARCH("Commercial",IF(J1206="NOT AVAILABLE","",J1206)))),25,IF(ISNUMBER(SEARCH("Informational",IF(J1206="NOT AVAILABLE","",J1206))),10,IF(ISNUMBER(SEARCH("Navigational",IF(J1206="NOT AVAILABLE","",J1206))),0,12))))</f>
        <v/>
      </c>
      <c r="Q1206">
        <f>IF(ISNUMBER(F1206),MIN(30,ROUND(30*LOG10(F1206+1)/4,1)),0)</f>
        <v/>
      </c>
      <c r="R1206">
        <f>IF(ISNUMBER(G1206),ROUND(25*(100-G1206)/100,1),12.5)</f>
        <v/>
      </c>
      <c r="S1206" t="n">
        <v>14</v>
      </c>
      <c r="T1206">
        <f>ROUND(P1206+Q1206+R1206+S1206,0)</f>
        <v/>
      </c>
      <c r="U1206" s="5" t="inlineStr"/>
      <c r="V1206" s="5" t="inlineStr"/>
    </row>
    <row r="1207">
      <c r="A1207" t="inlineStr">
        <is>
          <t>K1205</t>
        </is>
      </c>
      <c r="B1207" t="inlineStr">
        <is>
          <t>création application web</t>
        </is>
      </c>
      <c r="C1207" t="inlineStr">
        <is>
          <t>France</t>
        </is>
      </c>
      <c r="D1207" t="inlineStr">
        <is>
          <t>fr</t>
        </is>
      </c>
      <c r="E1207" t="inlineStr">
        <is>
          <t>fr</t>
        </is>
      </c>
      <c r="F1207" t="n">
        <v>170</v>
      </c>
      <c r="G1207" t="n">
        <v>18</v>
      </c>
      <c r="H1207" t="n">
        <v>7.39</v>
      </c>
      <c r="I1207" t="n">
        <v>0.5600000000000001</v>
      </c>
      <c r="J1207" t="inlineStr">
        <is>
          <t>Informational</t>
        </is>
      </c>
      <c r="K1207" t="inlineStr">
        <is>
          <t>NOT AVAILABLE (report not requested)</t>
        </is>
      </c>
      <c r="L1207" t="inlineStr">
        <is>
          <t>stable (calc.)</t>
        </is>
      </c>
      <c r="M1207" t="inlineStr">
        <is>
          <t>MEASURED</t>
        </is>
      </c>
      <c r="N1207" s="5" t="inlineStr">
        <is>
          <t>Semrush phrase_these (live, this session)</t>
        </is>
      </c>
      <c r="O1207" t="inlineStr">
        <is>
          <t>2026-10-30</t>
        </is>
      </c>
      <c r="P1207">
        <f>IF(IF(J1207="NOT AVAILABLE","",J1207)="",12,IF(OR(ISNUMBER(SEARCH("Transactional",IF(J1207="NOT AVAILABLE","",J1207))),ISNUMBER(SEARCH("Commercial",IF(J1207="NOT AVAILABLE","",J1207)))),25,IF(ISNUMBER(SEARCH("Informational",IF(J1207="NOT AVAILABLE","",J1207))),10,IF(ISNUMBER(SEARCH("Navigational",IF(J1207="NOT AVAILABLE","",J1207))),0,12))))</f>
        <v/>
      </c>
      <c r="Q1207">
        <f>IF(ISNUMBER(F1207),MIN(30,ROUND(30*LOG10(F1207+1)/4,1)),0)</f>
        <v/>
      </c>
      <c r="R1207">
        <f>IF(ISNUMBER(G1207),ROUND(25*(100-G1207)/100,1),12.5)</f>
        <v/>
      </c>
      <c r="S1207" t="n">
        <v>14</v>
      </c>
      <c r="T1207">
        <f>ROUND(P1207+Q1207+R1207+S1207,0)</f>
        <v/>
      </c>
      <c r="U1207" s="5" t="inlineStr"/>
      <c r="V1207" s="5" t="inlineStr">
        <is>
          <t>SUPPORTING /services/saas-platform-development</t>
        </is>
      </c>
    </row>
    <row r="1208">
      <c r="A1208" t="inlineStr">
        <is>
          <t>K1206</t>
        </is>
      </c>
      <c r="B1208" t="inlineStr">
        <is>
          <t>créer un saas</t>
        </is>
      </c>
      <c r="C1208" t="inlineStr">
        <is>
          <t>France</t>
        </is>
      </c>
      <c r="D1208" t="inlineStr">
        <is>
          <t>fr</t>
        </is>
      </c>
      <c r="E1208" t="inlineStr">
        <is>
          <t>fr</t>
        </is>
      </c>
      <c r="F1208" t="n">
        <v>170</v>
      </c>
      <c r="G1208" t="n">
        <v>10</v>
      </c>
      <c r="H1208" t="n">
        <v>2.79</v>
      </c>
      <c r="I1208" t="n">
        <v>0.44</v>
      </c>
      <c r="J1208" t="inlineStr">
        <is>
          <t>Informational</t>
        </is>
      </c>
      <c r="K1208" t="inlineStr">
        <is>
          <t>NOT AVAILABLE (report not requested)</t>
        </is>
      </c>
      <c r="L1208" t="inlineStr">
        <is>
          <t>rising (calc.)</t>
        </is>
      </c>
      <c r="M1208" t="inlineStr">
        <is>
          <t>MEASURED</t>
        </is>
      </c>
      <c r="N1208" s="5" t="inlineStr">
        <is>
          <t>Semrush phrase_these (live, this session)</t>
        </is>
      </c>
      <c r="O1208" t="inlineStr">
        <is>
          <t>2026-10-30</t>
        </is>
      </c>
      <c r="P1208">
        <f>IF(IF(J1208="NOT AVAILABLE","",J1208)="",12,IF(OR(ISNUMBER(SEARCH("Transactional",IF(J1208="NOT AVAILABLE","",J1208))),ISNUMBER(SEARCH("Commercial",IF(J1208="NOT AVAILABLE","",J1208)))),25,IF(ISNUMBER(SEARCH("Informational",IF(J1208="NOT AVAILABLE","",J1208))),10,IF(ISNUMBER(SEARCH("Navigational",IF(J1208="NOT AVAILABLE","",J1208))),0,12))))</f>
        <v/>
      </c>
      <c r="Q1208">
        <f>IF(ISNUMBER(F1208),MIN(30,ROUND(30*LOG10(F1208+1)/4,1)),0)</f>
        <v/>
      </c>
      <c r="R1208">
        <f>IF(ISNUMBER(G1208),ROUND(25*(100-G1208)/100,1),12.5)</f>
        <v/>
      </c>
      <c r="S1208" t="n">
        <v>14</v>
      </c>
      <c r="T1208">
        <f>ROUND(P1208+Q1208+R1208+S1208,0)</f>
        <v/>
      </c>
      <c r="U1208" s="5" t="inlineStr"/>
      <c r="V1208" s="5" t="inlineStr">
        <is>
          <t>NOT RECOMMENDED /services/saas-platform-development; PRIMARY /blog/creer-une-plateforme-saas-mvp-multi-tenant-facturation-par-ou-commencer</t>
        </is>
      </c>
    </row>
    <row r="1209">
      <c r="A1209" t="inlineStr">
        <is>
          <t>K1207</t>
        </is>
      </c>
      <c r="B1209" t="inlineStr">
        <is>
          <t>densité mot clé</t>
        </is>
      </c>
      <c r="C1209" t="inlineStr">
        <is>
          <t>France</t>
        </is>
      </c>
      <c r="D1209" t="inlineStr">
        <is>
          <t>fr</t>
        </is>
      </c>
      <c r="E1209" t="inlineStr">
        <is>
          <t>fr</t>
        </is>
      </c>
      <c r="F1209" t="n">
        <v>170</v>
      </c>
      <c r="G1209" t="n">
        <v>21</v>
      </c>
      <c r="H1209" t="n">
        <v>0</v>
      </c>
      <c r="I1209" t="n">
        <v>0.33</v>
      </c>
      <c r="J1209" t="inlineStr">
        <is>
          <t>Informational</t>
        </is>
      </c>
      <c r="K1209" t="inlineStr">
        <is>
          <t>NOT AVAILABLE (report not requested)</t>
        </is>
      </c>
      <c r="L1209" t="inlineStr">
        <is>
          <t>stable (calc.)</t>
        </is>
      </c>
      <c r="M1209" t="inlineStr">
        <is>
          <t>MEASURED</t>
        </is>
      </c>
      <c r="N1209" s="5" t="inlineStr">
        <is>
          <t>Semrush phrase_these (live, this session)</t>
        </is>
      </c>
      <c r="O1209" t="inlineStr">
        <is>
          <t>2026-10-30</t>
        </is>
      </c>
      <c r="P1209">
        <f>IF(IF(J1209="NOT AVAILABLE","",J1209)="",12,IF(OR(ISNUMBER(SEARCH("Transactional",IF(J1209="NOT AVAILABLE","",J1209))),ISNUMBER(SEARCH("Commercial",IF(J1209="NOT AVAILABLE","",J1209)))),25,IF(ISNUMBER(SEARCH("Informational",IF(J1209="NOT AVAILABLE","",J1209))),10,IF(ISNUMBER(SEARCH("Navigational",IF(J1209="NOT AVAILABLE","",J1209))),0,12))))</f>
        <v/>
      </c>
      <c r="Q1209">
        <f>IF(ISNUMBER(F1209),MIN(30,ROUND(30*LOG10(F1209+1)/4,1)),0)</f>
        <v/>
      </c>
      <c r="R1209">
        <f>IF(ISNUMBER(G1209),ROUND(25*(100-G1209)/100,1),12.5)</f>
        <v/>
      </c>
      <c r="S1209" t="n">
        <v>14</v>
      </c>
      <c r="T1209">
        <f>ROUND(P1209+Q1209+R1209+S1209,0)</f>
        <v/>
      </c>
      <c r="U1209" s="5" t="inlineStr"/>
      <c r="V1209" s="5" t="inlineStr">
        <is>
          <t>PRIMARY /tools/keyword-density-analyzer</t>
        </is>
      </c>
    </row>
    <row r="1210">
      <c r="A1210" t="inlineStr">
        <is>
          <t>K1208</t>
        </is>
      </c>
      <c r="B1210" t="inlineStr">
        <is>
          <t>développement saas</t>
        </is>
      </c>
      <c r="C1210" t="inlineStr">
        <is>
          <t>France</t>
        </is>
      </c>
      <c r="D1210" t="inlineStr">
        <is>
          <t>fr</t>
        </is>
      </c>
      <c r="E1210" t="inlineStr">
        <is>
          <t>fr</t>
        </is>
      </c>
      <c r="F1210" t="n">
        <v>170</v>
      </c>
      <c r="G1210" t="n">
        <v>11</v>
      </c>
      <c r="H1210" t="n">
        <v>6.46</v>
      </c>
      <c r="I1210" t="n">
        <v>0.13</v>
      </c>
      <c r="J1210" t="inlineStr">
        <is>
          <t>Informational</t>
        </is>
      </c>
      <c r="K1210" t="inlineStr">
        <is>
          <t>NOT AVAILABLE (report not requested)</t>
        </is>
      </c>
      <c r="L1210" t="inlineStr">
        <is>
          <t>stable (calc.)</t>
        </is>
      </c>
      <c r="M1210" t="inlineStr">
        <is>
          <t>MEASURED</t>
        </is>
      </c>
      <c r="N1210" s="5" t="inlineStr">
        <is>
          <t>Semrush phrase_these (live, this session)</t>
        </is>
      </c>
      <c r="O1210" t="inlineStr">
        <is>
          <t>2026-10-30</t>
        </is>
      </c>
      <c r="P1210">
        <f>IF(IF(J1210="NOT AVAILABLE","",J1210)="",12,IF(OR(ISNUMBER(SEARCH("Transactional",IF(J1210="NOT AVAILABLE","",J1210))),ISNUMBER(SEARCH("Commercial",IF(J1210="NOT AVAILABLE","",J1210)))),25,IF(ISNUMBER(SEARCH("Informational",IF(J1210="NOT AVAILABLE","",J1210))),10,IF(ISNUMBER(SEARCH("Navigational",IF(J1210="NOT AVAILABLE","",J1210))),0,12))))</f>
        <v/>
      </c>
      <c r="Q1210">
        <f>IF(ISNUMBER(F1210),MIN(30,ROUND(30*LOG10(F1210+1)/4,1)),0)</f>
        <v/>
      </c>
      <c r="R1210">
        <f>IF(ISNUMBER(G1210),ROUND(25*(100-G1210)/100,1),12.5)</f>
        <v/>
      </c>
      <c r="S1210" t="n">
        <v>14</v>
      </c>
      <c r="T1210">
        <f>ROUND(P1210+Q1210+R1210+S1210,0)</f>
        <v/>
      </c>
      <c r="U1210" s="5" t="inlineStr"/>
      <c r="V1210" s="5" t="inlineStr">
        <is>
          <t>PRIMARY /services/saas-platform-development; NOT RECOMMENDED /blog/creer-une-plateforme-saas-mvp-multi-tenant-facturation-par-ou-commencer</t>
        </is>
      </c>
    </row>
    <row r="1211">
      <c r="A1211" t="inlineStr">
        <is>
          <t>K1209</t>
        </is>
      </c>
      <c r="B1211" t="inlineStr">
        <is>
          <t>générateur mots clés</t>
        </is>
      </c>
      <c r="C1211" t="inlineStr">
        <is>
          <t>France</t>
        </is>
      </c>
      <c r="D1211" t="inlineStr">
        <is>
          <t>fr</t>
        </is>
      </c>
      <c r="E1211" t="inlineStr">
        <is>
          <t>fr</t>
        </is>
      </c>
      <c r="F1211" t="n">
        <v>170</v>
      </c>
      <c r="G1211" t="n">
        <v>44</v>
      </c>
      <c r="H1211" t="n">
        <v>1.73</v>
      </c>
      <c r="I1211" t="n">
        <v>0.45</v>
      </c>
      <c r="J1211" t="inlineStr">
        <is>
          <t>Commercial</t>
        </is>
      </c>
      <c r="K1211" t="inlineStr">
        <is>
          <t>NOT AVAILABLE (report not requested)</t>
        </is>
      </c>
      <c r="L1211" t="inlineStr">
        <is>
          <t>declining (calc.)</t>
        </is>
      </c>
      <c r="M1211" t="inlineStr">
        <is>
          <t>MEASURED</t>
        </is>
      </c>
      <c r="N1211" s="5" t="inlineStr">
        <is>
          <t>Semrush phrase_these (live, this session)</t>
        </is>
      </c>
      <c r="O1211" t="inlineStr">
        <is>
          <t>2026-10-30</t>
        </is>
      </c>
      <c r="P1211">
        <f>IF(IF(J1211="NOT AVAILABLE","",J1211)="",12,IF(OR(ISNUMBER(SEARCH("Transactional",IF(J1211="NOT AVAILABLE","",J1211))),ISNUMBER(SEARCH("Commercial",IF(J1211="NOT AVAILABLE","",J1211)))),25,IF(ISNUMBER(SEARCH("Informational",IF(J1211="NOT AVAILABLE","",J1211))),10,IF(ISNUMBER(SEARCH("Navigational",IF(J1211="NOT AVAILABLE","",J1211))),0,12))))</f>
        <v/>
      </c>
      <c r="Q1211">
        <f>IF(ISNUMBER(F1211),MIN(30,ROUND(30*LOG10(F1211+1)/4,1)),0)</f>
        <v/>
      </c>
      <c r="R1211">
        <f>IF(ISNUMBER(G1211),ROUND(25*(100-G1211)/100,1),12.5)</f>
        <v/>
      </c>
      <c r="S1211" t="n">
        <v>14</v>
      </c>
      <c r="T1211">
        <f>ROUND(P1211+Q1211+R1211+S1211,0)</f>
        <v/>
      </c>
      <c r="U1211" s="5" t="inlineStr"/>
      <c r="V1211" s="5" t="inlineStr">
        <is>
          <t>SECONDARY /tools/keyword-modifier-generator</t>
        </is>
      </c>
    </row>
    <row r="1212">
      <c r="A1212" t="inlineStr">
        <is>
          <t>K1210</t>
        </is>
      </c>
      <c r="B1212" t="inlineStr">
        <is>
          <t>logiciel lms</t>
        </is>
      </c>
      <c r="C1212" t="inlineStr">
        <is>
          <t>France</t>
        </is>
      </c>
      <c r="D1212" t="inlineStr">
        <is>
          <t>fr</t>
        </is>
      </c>
      <c r="E1212" t="inlineStr">
        <is>
          <t>fr</t>
        </is>
      </c>
      <c r="F1212" t="n">
        <v>170</v>
      </c>
      <c r="G1212" t="n">
        <v>31</v>
      </c>
      <c r="H1212" t="n">
        <v>6.91</v>
      </c>
      <c r="I1212" t="n">
        <v>0.6</v>
      </c>
      <c r="J1212" t="inlineStr">
        <is>
          <t>Informational</t>
        </is>
      </c>
      <c r="K1212" t="inlineStr">
        <is>
          <t>NOT AVAILABLE (report not requested)</t>
        </is>
      </c>
      <c r="L1212" t="inlineStr">
        <is>
          <t>declining (calc.)</t>
        </is>
      </c>
      <c r="M1212" t="inlineStr">
        <is>
          <t>MEASURED</t>
        </is>
      </c>
      <c r="N1212" s="5" t="inlineStr">
        <is>
          <t>Semrush phrase_these (live, this session)</t>
        </is>
      </c>
      <c r="O1212" t="inlineStr">
        <is>
          <t>2026-10-30</t>
        </is>
      </c>
      <c r="P1212">
        <f>IF(IF(J1212="NOT AVAILABLE","",J1212)="",12,IF(OR(ISNUMBER(SEARCH("Transactional",IF(J1212="NOT AVAILABLE","",J1212))),ISNUMBER(SEARCH("Commercial",IF(J1212="NOT AVAILABLE","",J1212)))),25,IF(ISNUMBER(SEARCH("Informational",IF(J1212="NOT AVAILABLE","",J1212))),10,IF(ISNUMBER(SEARCH("Navigational",IF(J1212="NOT AVAILABLE","",J1212))),0,12))))</f>
        <v/>
      </c>
      <c r="Q1212">
        <f>IF(ISNUMBER(F1212),MIN(30,ROUND(30*LOG10(F1212+1)/4,1)),0)</f>
        <v/>
      </c>
      <c r="R1212">
        <f>IF(ISNUMBER(G1212),ROUND(25*(100-G1212)/100,1),12.5)</f>
        <v/>
      </c>
      <c r="S1212" t="n">
        <v>14</v>
      </c>
      <c r="T1212">
        <f>ROUND(P1212+Q1212+R1212+S1212,0)</f>
        <v/>
      </c>
      <c r="U1212" s="5" t="inlineStr"/>
      <c r="V1212" s="5" t="inlineStr">
        <is>
          <t>SECONDARY /services/elearning-platform-development</t>
        </is>
      </c>
    </row>
    <row r="1213">
      <c r="A1213" t="inlineStr">
        <is>
          <t>K1211</t>
        </is>
      </c>
      <c r="B1213" t="inlineStr">
        <is>
          <t>logiciel saas sur mesure</t>
        </is>
      </c>
      <c r="C1213" t="inlineStr">
        <is>
          <t>France</t>
        </is>
      </c>
      <c r="D1213" t="inlineStr">
        <is>
          <t>fr</t>
        </is>
      </c>
      <c r="E1213" t="inlineStr">
        <is>
          <t>fr</t>
        </is>
      </c>
      <c r="F1213" t="n">
        <v>170</v>
      </c>
      <c r="G1213" t="n">
        <v>13</v>
      </c>
      <c r="H1213" t="n">
        <v>0</v>
      </c>
      <c r="I1213" t="n">
        <v>0</v>
      </c>
      <c r="J1213" t="inlineStr">
        <is>
          <t>Informational</t>
        </is>
      </c>
      <c r="K1213" t="inlineStr">
        <is>
          <t>NOT AVAILABLE (report not requested)</t>
        </is>
      </c>
      <c r="L1213" t="inlineStr">
        <is>
          <t>declining (calc.)</t>
        </is>
      </c>
      <c r="M1213" t="inlineStr">
        <is>
          <t>MEASURED</t>
        </is>
      </c>
      <c r="N1213" s="5" t="inlineStr">
        <is>
          <t>Semrush phrase_these (live, this session)</t>
        </is>
      </c>
      <c r="O1213" t="inlineStr">
        <is>
          <t>2026-10-30</t>
        </is>
      </c>
      <c r="P1213">
        <f>IF(IF(J1213="NOT AVAILABLE","",J1213)="",12,IF(OR(ISNUMBER(SEARCH("Transactional",IF(J1213="NOT AVAILABLE","",J1213))),ISNUMBER(SEARCH("Commercial",IF(J1213="NOT AVAILABLE","",J1213)))),25,IF(ISNUMBER(SEARCH("Informational",IF(J1213="NOT AVAILABLE","",J1213))),10,IF(ISNUMBER(SEARCH("Navigational",IF(J1213="NOT AVAILABLE","",J1213))),0,12))))</f>
        <v/>
      </c>
      <c r="Q1213">
        <f>IF(ISNUMBER(F1213),MIN(30,ROUND(30*LOG10(F1213+1)/4,1)),0)</f>
        <v/>
      </c>
      <c r="R1213">
        <f>IF(ISNUMBER(G1213),ROUND(25*(100-G1213)/100,1),12.5)</f>
        <v/>
      </c>
      <c r="S1213" t="n">
        <v>14</v>
      </c>
      <c r="T1213">
        <f>ROUND(P1213+Q1213+R1213+S1213,0)</f>
        <v/>
      </c>
      <c r="U1213" s="5" t="inlineStr"/>
      <c r="V1213" s="5" t="inlineStr">
        <is>
          <t>SECONDARY /services/saas-platform-development</t>
        </is>
      </c>
    </row>
    <row r="1214">
      <c r="A1214" t="inlineStr">
        <is>
          <t>K1212</t>
        </is>
      </c>
      <c r="B1214" t="inlineStr">
        <is>
          <t>nom de domaine expiré</t>
        </is>
      </c>
      <c r="C1214" t="inlineStr">
        <is>
          <t>France</t>
        </is>
      </c>
      <c r="D1214" t="inlineStr">
        <is>
          <t>fr</t>
        </is>
      </c>
      <c r="E1214" t="inlineStr">
        <is>
          <t>fr</t>
        </is>
      </c>
      <c r="F1214" t="n">
        <v>170</v>
      </c>
      <c r="G1214" t="n">
        <v>19</v>
      </c>
      <c r="H1214" t="n">
        <v>1.56</v>
      </c>
      <c r="I1214" t="n">
        <v>0.2</v>
      </c>
      <c r="J1214" t="inlineStr">
        <is>
          <t>Informational</t>
        </is>
      </c>
      <c r="K1214" t="inlineStr">
        <is>
          <t>NOT AVAILABLE (report not requested)</t>
        </is>
      </c>
      <c r="L1214" t="inlineStr">
        <is>
          <t>declining (calc.)</t>
        </is>
      </c>
      <c r="M1214" t="inlineStr">
        <is>
          <t>MEASURED</t>
        </is>
      </c>
      <c r="N1214" s="5" t="inlineStr">
        <is>
          <t>Semrush phrase_these (live, this session)</t>
        </is>
      </c>
      <c r="O1214" t="inlineStr">
        <is>
          <t>2026-10-30</t>
        </is>
      </c>
      <c r="P1214">
        <f>IF(IF(J1214="NOT AVAILABLE","",J1214)="",12,IF(OR(ISNUMBER(SEARCH("Transactional",IF(J1214="NOT AVAILABLE","",J1214))),ISNUMBER(SEARCH("Commercial",IF(J1214="NOT AVAILABLE","",J1214)))),25,IF(ISNUMBER(SEARCH("Informational",IF(J1214="NOT AVAILABLE","",J1214))),10,IF(ISNUMBER(SEARCH("Navigational",IF(J1214="NOT AVAILABLE","",J1214))),0,12))))</f>
        <v/>
      </c>
      <c r="Q1214">
        <f>IF(ISNUMBER(F1214),MIN(30,ROUND(30*LOG10(F1214+1)/4,1)),0)</f>
        <v/>
      </c>
      <c r="R1214">
        <f>IF(ISNUMBER(G1214),ROUND(25*(100-G1214)/100,1),12.5)</f>
        <v/>
      </c>
      <c r="S1214" t="n">
        <v>14</v>
      </c>
      <c r="T1214">
        <f>ROUND(P1214+Q1214+R1214+S1214,0)</f>
        <v/>
      </c>
      <c r="U1214" s="5" t="inlineStr"/>
      <c r="V1214" s="5" t="inlineStr">
        <is>
          <t>PRIMARY /tools/expired-domain-checker</t>
        </is>
      </c>
    </row>
    <row r="1215">
      <c r="A1215" t="inlineStr">
        <is>
          <t>K1213</t>
        </is>
      </c>
      <c r="B1215" t="inlineStr">
        <is>
          <t>outils seo gratuits</t>
        </is>
      </c>
      <c r="C1215" t="inlineStr">
        <is>
          <t>France</t>
        </is>
      </c>
      <c r="D1215" t="inlineStr">
        <is>
          <t>fr</t>
        </is>
      </c>
      <c r="E1215" t="inlineStr">
        <is>
          <t>fr</t>
        </is>
      </c>
      <c r="F1215" t="n">
        <v>170</v>
      </c>
      <c r="G1215" t="n">
        <v>37</v>
      </c>
      <c r="H1215" t="n">
        <v>2.25</v>
      </c>
      <c r="I1215" t="n">
        <v>0.38</v>
      </c>
      <c r="J1215" t="inlineStr">
        <is>
          <t>Informational</t>
        </is>
      </c>
      <c r="K1215" t="inlineStr">
        <is>
          <t>NOT AVAILABLE (report not requested)</t>
        </is>
      </c>
      <c r="L1215" t="inlineStr">
        <is>
          <t>declining (calc.)</t>
        </is>
      </c>
      <c r="M1215" t="inlineStr">
        <is>
          <t>MEASURED</t>
        </is>
      </c>
      <c r="N1215" s="5" t="inlineStr">
        <is>
          <t>Semrush phrase_these (live, this session)</t>
        </is>
      </c>
      <c r="O1215" t="inlineStr">
        <is>
          <t>2026-10-30</t>
        </is>
      </c>
      <c r="P1215">
        <f>IF(IF(J1215="NOT AVAILABLE","",J1215)="",12,IF(OR(ISNUMBER(SEARCH("Transactional",IF(J1215="NOT AVAILABLE","",J1215))),ISNUMBER(SEARCH("Commercial",IF(J1215="NOT AVAILABLE","",J1215)))),25,IF(ISNUMBER(SEARCH("Informational",IF(J1215="NOT AVAILABLE","",J1215))),10,IF(ISNUMBER(SEARCH("Navigational",IF(J1215="NOT AVAILABLE","",J1215))),0,12))))</f>
        <v/>
      </c>
      <c r="Q1215">
        <f>IF(ISNUMBER(F1215),MIN(30,ROUND(30*LOG10(F1215+1)/4,1)),0)</f>
        <v/>
      </c>
      <c r="R1215">
        <f>IF(ISNUMBER(G1215),ROUND(25*(100-G1215)/100,1),12.5)</f>
        <v/>
      </c>
      <c r="S1215" t="n">
        <v>14</v>
      </c>
      <c r="T1215">
        <f>ROUND(P1215+Q1215+R1215+S1215,0)</f>
        <v/>
      </c>
      <c r="U1215" s="5" t="inlineStr"/>
      <c r="V1215" s="5" t="inlineStr">
        <is>
          <t>SECONDARY /tools</t>
        </is>
      </c>
    </row>
    <row r="1216">
      <c r="A1216" t="inlineStr">
        <is>
          <t>K1214</t>
        </is>
      </c>
      <c r="B1216" t="inlineStr">
        <is>
          <t>prix site e-commerce</t>
        </is>
      </c>
      <c r="C1216" t="inlineStr">
        <is>
          <t>France</t>
        </is>
      </c>
      <c r="D1216" t="inlineStr">
        <is>
          <t>fr</t>
        </is>
      </c>
      <c r="E1216" t="inlineStr">
        <is>
          <t>fr</t>
        </is>
      </c>
      <c r="F1216" t="n">
        <v>170</v>
      </c>
      <c r="G1216" t="n">
        <v>23</v>
      </c>
      <c r="H1216" t="n">
        <v>1.21</v>
      </c>
      <c r="I1216" t="n">
        <v>0.35</v>
      </c>
      <c r="J1216" t="inlineStr">
        <is>
          <t>Transactional</t>
        </is>
      </c>
      <c r="K1216" t="inlineStr">
        <is>
          <t>NOT AVAILABLE (report not requested)</t>
        </is>
      </c>
      <c r="L1216" t="inlineStr">
        <is>
          <t>rising (calc.)</t>
        </is>
      </c>
      <c r="M1216" t="inlineStr">
        <is>
          <t>MEASURED</t>
        </is>
      </c>
      <c r="N1216" s="5" t="inlineStr">
        <is>
          <t>Semrush phrase_these (live, this session)</t>
        </is>
      </c>
      <c r="O1216" t="inlineStr">
        <is>
          <t>2026-10-30</t>
        </is>
      </c>
      <c r="P1216">
        <f>IF(IF(J1216="NOT AVAILABLE","",J1216)="",12,IF(OR(ISNUMBER(SEARCH("Transactional",IF(J1216="NOT AVAILABLE","",J1216))),ISNUMBER(SEARCH("Commercial",IF(J1216="NOT AVAILABLE","",J1216)))),25,IF(ISNUMBER(SEARCH("Informational",IF(J1216="NOT AVAILABLE","",J1216))),10,IF(ISNUMBER(SEARCH("Navigational",IF(J1216="NOT AVAILABLE","",J1216))),0,12))))</f>
        <v/>
      </c>
      <c r="Q1216">
        <f>IF(ISNUMBER(F1216),MIN(30,ROUND(30*LOG10(F1216+1)/4,1)),0)</f>
        <v/>
      </c>
      <c r="R1216">
        <f>IF(ISNUMBER(G1216),ROUND(25*(100-G1216)/100,1),12.5)</f>
        <v/>
      </c>
      <c r="S1216" t="n">
        <v>14</v>
      </c>
      <c r="T1216">
        <f>ROUND(P1216+Q1216+R1216+S1216,0)</f>
        <v/>
      </c>
      <c r="U1216" s="5" t="inlineStr"/>
      <c r="V1216" s="5" t="inlineStr">
        <is>
          <t>FAQ /services/ecommerce-website-development</t>
        </is>
      </c>
    </row>
    <row r="1217">
      <c r="A1217" t="inlineStr">
        <is>
          <t>K1215</t>
        </is>
      </c>
      <c r="B1217" t="inlineStr">
        <is>
          <t>site internet expert comptable</t>
        </is>
      </c>
      <c r="C1217" t="inlineStr">
        <is>
          <t>France</t>
        </is>
      </c>
      <c r="D1217" t="inlineStr">
        <is>
          <t>fr</t>
        </is>
      </c>
      <c r="E1217" t="inlineStr">
        <is>
          <t>fr</t>
        </is>
      </c>
      <c r="F1217" t="n">
        <v>170</v>
      </c>
      <c r="G1217" t="n">
        <v>48</v>
      </c>
      <c r="H1217" t="n">
        <v>1.18</v>
      </c>
      <c r="I1217" t="n">
        <v>0.05</v>
      </c>
      <c r="J1217" t="inlineStr">
        <is>
          <t>Informational, Commercial</t>
        </is>
      </c>
      <c r="K1217" t="inlineStr">
        <is>
          <t>NOT AVAILABLE (report not requested)</t>
        </is>
      </c>
      <c r="L1217" t="inlineStr">
        <is>
          <t>rising (calc.)</t>
        </is>
      </c>
      <c r="M1217" t="inlineStr">
        <is>
          <t>MEASURED</t>
        </is>
      </c>
      <c r="N1217" s="5" t="inlineStr">
        <is>
          <t>Semrush phrase_these (live, this session)</t>
        </is>
      </c>
      <c r="O1217" t="inlineStr">
        <is>
          <t>2026-10-30</t>
        </is>
      </c>
      <c r="P1217">
        <f>IF(IF(J1217="NOT AVAILABLE","",J1217)="",12,IF(OR(ISNUMBER(SEARCH("Transactional",IF(J1217="NOT AVAILABLE","",J1217))),ISNUMBER(SEARCH("Commercial",IF(J1217="NOT AVAILABLE","",J1217)))),25,IF(ISNUMBER(SEARCH("Informational",IF(J1217="NOT AVAILABLE","",J1217))),10,IF(ISNUMBER(SEARCH("Navigational",IF(J1217="NOT AVAILABLE","",J1217))),0,12))))</f>
        <v/>
      </c>
      <c r="Q1217">
        <f>IF(ISNUMBER(F1217),MIN(30,ROUND(30*LOG10(F1217+1)/4,1)),0)</f>
        <v/>
      </c>
      <c r="R1217">
        <f>IF(ISNUMBER(G1217),ROUND(25*(100-G1217)/100,1),12.5)</f>
        <v/>
      </c>
      <c r="S1217" t="n">
        <v>14</v>
      </c>
      <c r="T1217">
        <f>ROUND(P1217+Q1217+R1217+S1217,0)</f>
        <v/>
      </c>
      <c r="U1217" s="5" t="inlineStr"/>
      <c r="V1217" s="5" t="inlineStr">
        <is>
          <t>OPTIONAL /services/fintech-website-development</t>
        </is>
      </c>
    </row>
    <row r="1218">
      <c r="A1218" t="inlineStr">
        <is>
          <t>K1216</t>
        </is>
      </c>
      <c r="B1218" t="inlineStr">
        <is>
          <t>slug seo</t>
        </is>
      </c>
      <c r="C1218" t="inlineStr">
        <is>
          <t>France</t>
        </is>
      </c>
      <c r="D1218" t="inlineStr">
        <is>
          <t>fr</t>
        </is>
      </c>
      <c r="E1218" t="inlineStr">
        <is>
          <t>fr</t>
        </is>
      </c>
      <c r="F1218" t="n">
        <v>170</v>
      </c>
      <c r="G1218" t="n">
        <v>13</v>
      </c>
      <c r="H1218" t="n">
        <v>0</v>
      </c>
      <c r="I1218" t="n">
        <v>0.08</v>
      </c>
      <c r="J1218" t="inlineStr">
        <is>
          <t>Informational</t>
        </is>
      </c>
      <c r="K1218" t="inlineStr">
        <is>
          <t>NOT AVAILABLE (report not requested)</t>
        </is>
      </c>
      <c r="L1218" t="inlineStr">
        <is>
          <t>stable (calc.)</t>
        </is>
      </c>
      <c r="M1218" t="inlineStr">
        <is>
          <t>MEASURED</t>
        </is>
      </c>
      <c r="N1218" s="5" t="inlineStr">
        <is>
          <t>Semrush phrase_these (live, this session)</t>
        </is>
      </c>
      <c r="O1218" t="inlineStr">
        <is>
          <t>2026-10-30</t>
        </is>
      </c>
      <c r="P1218">
        <f>IF(IF(J1218="NOT AVAILABLE","",J1218)="",12,IF(OR(ISNUMBER(SEARCH("Transactional",IF(J1218="NOT AVAILABLE","",J1218))),ISNUMBER(SEARCH("Commercial",IF(J1218="NOT AVAILABLE","",J1218)))),25,IF(ISNUMBER(SEARCH("Informational",IF(J1218="NOT AVAILABLE","",J1218))),10,IF(ISNUMBER(SEARCH("Navigational",IF(J1218="NOT AVAILABLE","",J1218))),0,12))))</f>
        <v/>
      </c>
      <c r="Q1218">
        <f>IF(ISNUMBER(F1218),MIN(30,ROUND(30*LOG10(F1218+1)/4,1)),0)</f>
        <v/>
      </c>
      <c r="R1218">
        <f>IF(ISNUMBER(G1218),ROUND(25*(100-G1218)/100,1),12.5)</f>
        <v/>
      </c>
      <c r="S1218" t="n">
        <v>14</v>
      </c>
      <c r="T1218">
        <f>ROUND(P1218+Q1218+R1218+S1218,0)</f>
        <v/>
      </c>
      <c r="U1218" s="5" t="inlineStr"/>
      <c r="V1218" s="5" t="inlineStr">
        <is>
          <t>PRIMARY /tools/url-slug-generator</t>
        </is>
      </c>
    </row>
    <row r="1219">
      <c r="A1219" t="inlineStr">
        <is>
          <t>K1217</t>
        </is>
      </c>
      <c r="B1219" t="inlineStr">
        <is>
          <t>test site web gratuit</t>
        </is>
      </c>
      <c r="C1219" t="inlineStr">
        <is>
          <t>France</t>
        </is>
      </c>
      <c r="D1219" t="inlineStr">
        <is>
          <t>fr</t>
        </is>
      </c>
      <c r="E1219" t="inlineStr">
        <is>
          <t>fr</t>
        </is>
      </c>
      <c r="F1219" t="n">
        <v>170</v>
      </c>
      <c r="G1219" t="n">
        <v>41</v>
      </c>
      <c r="H1219" t="n">
        <v>1.58</v>
      </c>
      <c r="I1219" t="n">
        <v>0.66</v>
      </c>
      <c r="J1219" t="inlineStr">
        <is>
          <t>Commercial</t>
        </is>
      </c>
      <c r="K1219" t="inlineStr">
        <is>
          <t>NOT AVAILABLE (report not requested)</t>
        </is>
      </c>
      <c r="L1219" t="inlineStr">
        <is>
          <t>declining (calc.)</t>
        </is>
      </c>
      <c r="M1219" t="inlineStr">
        <is>
          <t>MEASURED</t>
        </is>
      </c>
      <c r="N1219" s="5" t="inlineStr">
        <is>
          <t>Semrush phrase_these (live, this session)</t>
        </is>
      </c>
      <c r="O1219" t="inlineStr">
        <is>
          <t>2026-10-30</t>
        </is>
      </c>
      <c r="P1219">
        <f>IF(IF(J1219="NOT AVAILABLE","",J1219)="",12,IF(OR(ISNUMBER(SEARCH("Transactional",IF(J1219="NOT AVAILABLE","",J1219))),ISNUMBER(SEARCH("Commercial",IF(J1219="NOT AVAILABLE","",J1219)))),25,IF(ISNUMBER(SEARCH("Informational",IF(J1219="NOT AVAILABLE","",J1219))),10,IF(ISNUMBER(SEARCH("Navigational",IF(J1219="NOT AVAILABLE","",J1219))),0,12))))</f>
        <v/>
      </c>
      <c r="Q1219">
        <f>IF(ISNUMBER(F1219),MIN(30,ROUND(30*LOG10(F1219+1)/4,1)),0)</f>
        <v/>
      </c>
      <c r="R1219">
        <f>IF(ISNUMBER(G1219),ROUND(25*(100-G1219)/100,1),12.5)</f>
        <v/>
      </c>
      <c r="S1219" t="n">
        <v>14</v>
      </c>
      <c r="T1219">
        <f>ROUND(P1219+Q1219+R1219+S1219,0)</f>
        <v/>
      </c>
      <c r="U1219" s="5" t="inlineStr"/>
      <c r="V1219" s="5" t="inlineStr">
        <is>
          <t>SECONDARY /tools/website-analyzer</t>
        </is>
      </c>
    </row>
    <row r="1220">
      <c r="A1220" t="inlineStr">
        <is>
          <t>K1218</t>
        </is>
      </c>
      <c r="B1220" t="inlineStr">
        <is>
          <t>tester vitesse site web</t>
        </is>
      </c>
      <c r="C1220" t="inlineStr">
        <is>
          <t>France</t>
        </is>
      </c>
      <c r="D1220" t="inlineStr">
        <is>
          <t>fr</t>
        </is>
      </c>
      <c r="E1220" t="inlineStr">
        <is>
          <t>fr</t>
        </is>
      </c>
      <c r="F1220" t="n">
        <v>170</v>
      </c>
      <c r="G1220" t="n">
        <v>35</v>
      </c>
      <c r="H1220" t="n">
        <v>1.07</v>
      </c>
      <c r="I1220" t="n">
        <v>0.25</v>
      </c>
      <c r="J1220" t="inlineStr">
        <is>
          <t>Commercial</t>
        </is>
      </c>
      <c r="K1220" t="inlineStr">
        <is>
          <t>NOT AVAILABLE (report not requested)</t>
        </is>
      </c>
      <c r="L1220" t="inlineStr">
        <is>
          <t>rising (calc.)</t>
        </is>
      </c>
      <c r="M1220" t="inlineStr">
        <is>
          <t>MEASURED</t>
        </is>
      </c>
      <c r="N1220" s="5" t="inlineStr">
        <is>
          <t>Semrush phrase_these (live, this session)</t>
        </is>
      </c>
      <c r="O1220" t="inlineStr">
        <is>
          <t>2026-10-30</t>
        </is>
      </c>
      <c r="P1220">
        <f>IF(IF(J1220="NOT AVAILABLE","",J1220)="",12,IF(OR(ISNUMBER(SEARCH("Transactional",IF(J1220="NOT AVAILABLE","",J1220))),ISNUMBER(SEARCH("Commercial",IF(J1220="NOT AVAILABLE","",J1220)))),25,IF(ISNUMBER(SEARCH("Informational",IF(J1220="NOT AVAILABLE","",J1220))),10,IF(ISNUMBER(SEARCH("Navigational",IF(J1220="NOT AVAILABLE","",J1220))),0,12))))</f>
        <v/>
      </c>
      <c r="Q1220">
        <f>IF(ISNUMBER(F1220),MIN(30,ROUND(30*LOG10(F1220+1)/4,1)),0)</f>
        <v/>
      </c>
      <c r="R1220">
        <f>IF(ISNUMBER(G1220),ROUND(25*(100-G1220)/100,1),12.5)</f>
        <v/>
      </c>
      <c r="S1220" t="n">
        <v>14</v>
      </c>
      <c r="T1220">
        <f>ROUND(P1220+Q1220+R1220+S1220,0)</f>
        <v/>
      </c>
      <c r="U1220" s="5" t="inlineStr"/>
      <c r="V1220" s="5" t="inlineStr">
        <is>
          <t>SECONDARY /tools/page-speed-analyzer</t>
        </is>
      </c>
    </row>
    <row r="1221">
      <c r="A1221" t="inlineStr">
        <is>
          <t>K1219</t>
        </is>
      </c>
      <c r="B1221" t="inlineStr">
        <is>
          <t>analyse maillage interne</t>
        </is>
      </c>
      <c r="C1221" t="inlineStr">
        <is>
          <t>France</t>
        </is>
      </c>
      <c r="D1221" t="inlineStr">
        <is>
          <t>fr</t>
        </is>
      </c>
      <c r="E1221" t="inlineStr">
        <is>
          <t>fr</t>
        </is>
      </c>
      <c r="F1221" t="n">
        <v>140</v>
      </c>
      <c r="G1221" t="n">
        <v>18</v>
      </c>
      <c r="H1221" t="n">
        <v>0</v>
      </c>
      <c r="I1221" t="n">
        <v>0.02</v>
      </c>
      <c r="J1221" t="inlineStr">
        <is>
          <t>Informational</t>
        </is>
      </c>
      <c r="K1221" t="inlineStr">
        <is>
          <t>NOT AVAILABLE (report not requested)</t>
        </is>
      </c>
      <c r="L1221" t="inlineStr">
        <is>
          <t>stable (calc.)</t>
        </is>
      </c>
      <c r="M1221" t="inlineStr">
        <is>
          <t>MEASURED</t>
        </is>
      </c>
      <c r="N1221" s="5" t="inlineStr">
        <is>
          <t>Semrush phrase_these (live, this session)</t>
        </is>
      </c>
      <c r="O1221" t="inlineStr">
        <is>
          <t>2026-10-30</t>
        </is>
      </c>
      <c r="P1221">
        <f>IF(IF(J1221="NOT AVAILABLE","",J1221)="",12,IF(OR(ISNUMBER(SEARCH("Transactional",IF(J1221="NOT AVAILABLE","",J1221))),ISNUMBER(SEARCH("Commercial",IF(J1221="NOT AVAILABLE","",J1221)))),25,IF(ISNUMBER(SEARCH("Informational",IF(J1221="NOT AVAILABLE","",J1221))),10,IF(ISNUMBER(SEARCH("Navigational",IF(J1221="NOT AVAILABLE","",J1221))),0,12))))</f>
        <v/>
      </c>
      <c r="Q1221">
        <f>IF(ISNUMBER(F1221),MIN(30,ROUND(30*LOG10(F1221+1)/4,1)),0)</f>
        <v/>
      </c>
      <c r="R1221">
        <f>IF(ISNUMBER(G1221),ROUND(25*(100-G1221)/100,1),12.5)</f>
        <v/>
      </c>
      <c r="S1221" t="n">
        <v>14</v>
      </c>
      <c r="T1221">
        <f>ROUND(P1221+Q1221+R1221+S1221,0)</f>
        <v/>
      </c>
      <c r="U1221" s="5" t="inlineStr"/>
      <c r="V1221" s="5" t="inlineStr">
        <is>
          <t>SECONDARY /tools/internal-link-analyzer</t>
        </is>
      </c>
    </row>
    <row r="1222">
      <c r="A1222" t="inlineStr">
        <is>
          <t>K1220</t>
        </is>
      </c>
      <c r="B1222" t="inlineStr">
        <is>
          <t>balise hreflang</t>
        </is>
      </c>
      <c r="C1222" t="inlineStr">
        <is>
          <t>France</t>
        </is>
      </c>
      <c r="D1222" t="inlineStr">
        <is>
          <t>fr</t>
        </is>
      </c>
      <c r="E1222" t="inlineStr">
        <is>
          <t>fr</t>
        </is>
      </c>
      <c r="F1222" t="n">
        <v>140</v>
      </c>
      <c r="G1222" t="n">
        <v>22</v>
      </c>
      <c r="H1222" t="n">
        <v>0</v>
      </c>
      <c r="I1222" t="n">
        <v>0.33</v>
      </c>
      <c r="J1222" t="inlineStr">
        <is>
          <t>Informational</t>
        </is>
      </c>
      <c r="K1222" t="inlineStr">
        <is>
          <t>NOT AVAILABLE (report not requested)</t>
        </is>
      </c>
      <c r="L1222" t="inlineStr">
        <is>
          <t>declining (calc.)</t>
        </is>
      </c>
      <c r="M1222" t="inlineStr">
        <is>
          <t>MEASURED</t>
        </is>
      </c>
      <c r="N1222" s="5" t="inlineStr">
        <is>
          <t>Semrush phrase_these (live, this session)</t>
        </is>
      </c>
      <c r="O1222" t="inlineStr">
        <is>
          <t>2026-10-30</t>
        </is>
      </c>
      <c r="P1222">
        <f>IF(IF(J1222="NOT AVAILABLE","",J1222)="",12,IF(OR(ISNUMBER(SEARCH("Transactional",IF(J1222="NOT AVAILABLE","",J1222))),ISNUMBER(SEARCH("Commercial",IF(J1222="NOT AVAILABLE","",J1222)))),25,IF(ISNUMBER(SEARCH("Informational",IF(J1222="NOT AVAILABLE","",J1222))),10,IF(ISNUMBER(SEARCH("Navigational",IF(J1222="NOT AVAILABLE","",J1222))),0,12))))</f>
        <v/>
      </c>
      <c r="Q1222">
        <f>IF(ISNUMBER(F1222),MIN(30,ROUND(30*LOG10(F1222+1)/4,1)),0)</f>
        <v/>
      </c>
      <c r="R1222">
        <f>IF(ISNUMBER(G1222),ROUND(25*(100-G1222)/100,1),12.5)</f>
        <v/>
      </c>
      <c r="S1222" t="n">
        <v>14</v>
      </c>
      <c r="T1222">
        <f>ROUND(P1222+Q1222+R1222+S1222,0)</f>
        <v/>
      </c>
      <c r="U1222" s="5" t="inlineStr"/>
      <c r="V1222" s="5" t="inlineStr">
        <is>
          <t>SECONDARY /tools/hreflang-generator</t>
        </is>
      </c>
    </row>
    <row r="1223">
      <c r="A1223" t="inlineStr">
        <is>
          <t>K1221</t>
        </is>
      </c>
      <c r="B1223" t="inlineStr">
        <is>
          <t>comment choisir une agence web</t>
        </is>
      </c>
      <c r="C1223" t="inlineStr">
        <is>
          <t>France</t>
        </is>
      </c>
      <c r="D1223" t="inlineStr">
        <is>
          <t>fr</t>
        </is>
      </c>
      <c r="E1223" t="inlineStr">
        <is>
          <t>fr</t>
        </is>
      </c>
      <c r="F1223" t="n">
        <v>140</v>
      </c>
      <c r="G1223" t="n">
        <v>16</v>
      </c>
      <c r="H1223" t="n">
        <v>0</v>
      </c>
      <c r="I1223" t="n">
        <v>0.33</v>
      </c>
      <c r="J1223" t="inlineStr">
        <is>
          <t>Informational</t>
        </is>
      </c>
      <c r="K1223" t="inlineStr">
        <is>
          <t>NOT AVAILABLE (report not requested)</t>
        </is>
      </c>
      <c r="L1223" t="inlineStr">
        <is>
          <t>stable (calc.)</t>
        </is>
      </c>
      <c r="M1223" t="inlineStr">
        <is>
          <t>MEASURED</t>
        </is>
      </c>
      <c r="N1223" s="5" t="inlineStr">
        <is>
          <t>Semrush phrase_these (live, this session)</t>
        </is>
      </c>
      <c r="O1223" t="inlineStr">
        <is>
          <t>2026-10-30</t>
        </is>
      </c>
      <c r="P1223">
        <f>IF(IF(J1223="NOT AVAILABLE","",J1223)="",12,IF(OR(ISNUMBER(SEARCH("Transactional",IF(J1223="NOT AVAILABLE","",J1223))),ISNUMBER(SEARCH("Commercial",IF(J1223="NOT AVAILABLE","",J1223)))),25,IF(ISNUMBER(SEARCH("Informational",IF(J1223="NOT AVAILABLE","",J1223))),10,IF(ISNUMBER(SEARCH("Navigational",IF(J1223="NOT AVAILABLE","",J1223))),0,12))))</f>
        <v/>
      </c>
      <c r="Q1223">
        <f>IF(ISNUMBER(F1223),MIN(30,ROUND(30*LOG10(F1223+1)/4,1)),0)</f>
        <v/>
      </c>
      <c r="R1223">
        <f>IF(ISNUMBER(G1223),ROUND(25*(100-G1223)/100,1),12.5)</f>
        <v/>
      </c>
      <c r="S1223" t="n">
        <v>14</v>
      </c>
      <c r="T1223">
        <f>ROUND(P1223+Q1223+R1223+S1223,0)</f>
        <v/>
      </c>
      <c r="U1223" s="5" t="inlineStr"/>
      <c r="V1223" s="5" t="inlineStr"/>
    </row>
    <row r="1224">
      <c r="A1224" t="inlineStr">
        <is>
          <t>K1222</t>
        </is>
      </c>
      <c r="B1224" t="inlineStr">
        <is>
          <t>core web vitals test</t>
        </is>
      </c>
      <c r="C1224" t="inlineStr">
        <is>
          <t>France</t>
        </is>
      </c>
      <c r="D1224" t="inlineStr">
        <is>
          <t>fr</t>
        </is>
      </c>
      <c r="E1224" t="inlineStr">
        <is>
          <t>fr</t>
        </is>
      </c>
      <c r="F1224" t="n">
        <v>140</v>
      </c>
      <c r="G1224" t="n">
        <v>37</v>
      </c>
      <c r="H1224" t="n">
        <v>1.83</v>
      </c>
      <c r="I1224" t="n">
        <v>0.42</v>
      </c>
      <c r="J1224" t="inlineStr">
        <is>
          <t>Informational</t>
        </is>
      </c>
      <c r="K1224" t="inlineStr">
        <is>
          <t>NOT AVAILABLE (report not requested)</t>
        </is>
      </c>
      <c r="L1224" t="inlineStr">
        <is>
          <t>rising (calc.)</t>
        </is>
      </c>
      <c r="M1224" t="inlineStr">
        <is>
          <t>MEASURED</t>
        </is>
      </c>
      <c r="N1224" s="5" t="inlineStr">
        <is>
          <t>Semrush phrase_these (live, this session)</t>
        </is>
      </c>
      <c r="O1224" t="inlineStr">
        <is>
          <t>2026-10-30</t>
        </is>
      </c>
      <c r="P1224">
        <f>IF(IF(J1224="NOT AVAILABLE","",J1224)="",12,IF(OR(ISNUMBER(SEARCH("Transactional",IF(J1224="NOT AVAILABLE","",J1224))),ISNUMBER(SEARCH("Commercial",IF(J1224="NOT AVAILABLE","",J1224)))),25,IF(ISNUMBER(SEARCH("Informational",IF(J1224="NOT AVAILABLE","",J1224))),10,IF(ISNUMBER(SEARCH("Navigational",IF(J1224="NOT AVAILABLE","",J1224))),0,12))))</f>
        <v/>
      </c>
      <c r="Q1224">
        <f>IF(ISNUMBER(F1224),MIN(30,ROUND(30*LOG10(F1224+1)/4,1)),0)</f>
        <v/>
      </c>
      <c r="R1224">
        <f>IF(ISNUMBER(G1224),ROUND(25*(100-G1224)/100,1),12.5)</f>
        <v/>
      </c>
      <c r="S1224" t="n">
        <v>14</v>
      </c>
      <c r="T1224">
        <f>ROUND(P1224+Q1224+R1224+S1224,0)</f>
        <v/>
      </c>
      <c r="U1224" s="5" t="inlineStr"/>
      <c r="V1224" s="5" t="inlineStr">
        <is>
          <t>SECONDARY /tools/core-web-vitals-checker</t>
        </is>
      </c>
    </row>
    <row r="1225">
      <c r="A1225" t="inlineStr">
        <is>
          <t>K1223</t>
        </is>
      </c>
      <c r="B1225" t="inlineStr">
        <is>
          <t>création site e-commerce sur mesure</t>
        </is>
      </c>
      <c r="C1225" t="inlineStr">
        <is>
          <t>France</t>
        </is>
      </c>
      <c r="D1225" t="inlineStr">
        <is>
          <t>fr</t>
        </is>
      </c>
      <c r="E1225" t="inlineStr">
        <is>
          <t>fr</t>
        </is>
      </c>
      <c r="F1225" t="n">
        <v>140</v>
      </c>
      <c r="G1225" t="n">
        <v>27</v>
      </c>
      <c r="H1225" t="n">
        <v>2.4</v>
      </c>
      <c r="I1225" t="n">
        <v>0.78</v>
      </c>
      <c r="J1225" t="inlineStr">
        <is>
          <t>Informational</t>
        </is>
      </c>
      <c r="K1225" t="inlineStr">
        <is>
          <t>NOT AVAILABLE (report not requested)</t>
        </is>
      </c>
      <c r="L1225" t="inlineStr">
        <is>
          <t>stable (calc.)</t>
        </is>
      </c>
      <c r="M1225" t="inlineStr">
        <is>
          <t>MEASURED</t>
        </is>
      </c>
      <c r="N1225" s="5" t="inlineStr">
        <is>
          <t>Semrush phrase_these (live, this session)</t>
        </is>
      </c>
      <c r="O1225" t="inlineStr">
        <is>
          <t>2026-10-30</t>
        </is>
      </c>
      <c r="P1225">
        <f>IF(IF(J1225="NOT AVAILABLE","",J1225)="",12,IF(OR(ISNUMBER(SEARCH("Transactional",IF(J1225="NOT AVAILABLE","",J1225))),ISNUMBER(SEARCH("Commercial",IF(J1225="NOT AVAILABLE","",J1225)))),25,IF(ISNUMBER(SEARCH("Informational",IF(J1225="NOT AVAILABLE","",J1225))),10,IF(ISNUMBER(SEARCH("Navigational",IF(J1225="NOT AVAILABLE","",J1225))),0,12))))</f>
        <v/>
      </c>
      <c r="Q1225">
        <f>IF(ISNUMBER(F1225),MIN(30,ROUND(30*LOG10(F1225+1)/4,1)),0)</f>
        <v/>
      </c>
      <c r="R1225">
        <f>IF(ISNUMBER(G1225),ROUND(25*(100-G1225)/100,1),12.5)</f>
        <v/>
      </c>
      <c r="S1225" t="n">
        <v>14</v>
      </c>
      <c r="T1225">
        <f>ROUND(P1225+Q1225+R1225+S1225,0)</f>
        <v/>
      </c>
      <c r="U1225" s="5" t="inlineStr"/>
      <c r="V1225" s="5" t="inlineStr">
        <is>
          <t>SECONDARY /services/ecommerce-website-development</t>
        </is>
      </c>
    </row>
    <row r="1226">
      <c r="A1226" t="inlineStr">
        <is>
          <t>K1224</t>
        </is>
      </c>
      <c r="B1226" t="inlineStr">
        <is>
          <t>générateur de titre</t>
        </is>
      </c>
      <c r="C1226" t="inlineStr">
        <is>
          <t>France</t>
        </is>
      </c>
      <c r="D1226" t="inlineStr">
        <is>
          <t>fr</t>
        </is>
      </c>
      <c r="E1226" t="inlineStr">
        <is>
          <t>fr</t>
        </is>
      </c>
      <c r="F1226" t="n">
        <v>140</v>
      </c>
      <c r="G1226" t="n">
        <v>21</v>
      </c>
      <c r="H1226" t="n">
        <v>1.39</v>
      </c>
      <c r="I1226" t="n">
        <v>0.06</v>
      </c>
      <c r="J1226" t="inlineStr">
        <is>
          <t>Informational</t>
        </is>
      </c>
      <c r="K1226" t="inlineStr">
        <is>
          <t>NOT AVAILABLE (report not requested)</t>
        </is>
      </c>
      <c r="L1226" t="inlineStr">
        <is>
          <t>declining (calc.)</t>
        </is>
      </c>
      <c r="M1226" t="inlineStr">
        <is>
          <t>MEASURED</t>
        </is>
      </c>
      <c r="N1226" s="5" t="inlineStr">
        <is>
          <t>Semrush phrase_these (live, this session)</t>
        </is>
      </c>
      <c r="O1226" t="inlineStr">
        <is>
          <t>2026-10-30</t>
        </is>
      </c>
      <c r="P1226">
        <f>IF(IF(J1226="NOT AVAILABLE","",J1226)="",12,IF(OR(ISNUMBER(SEARCH("Transactional",IF(J1226="NOT AVAILABLE","",J1226))),ISNUMBER(SEARCH("Commercial",IF(J1226="NOT AVAILABLE","",J1226)))),25,IF(ISNUMBER(SEARCH("Informational",IF(J1226="NOT AVAILABLE","",J1226))),10,IF(ISNUMBER(SEARCH("Navigational",IF(J1226="NOT AVAILABLE","",J1226))),0,12))))</f>
        <v/>
      </c>
      <c r="Q1226">
        <f>IF(ISNUMBER(F1226),MIN(30,ROUND(30*LOG10(F1226+1)/4,1)),0)</f>
        <v/>
      </c>
      <c r="R1226">
        <f>IF(ISNUMBER(G1226),ROUND(25*(100-G1226)/100,1),12.5)</f>
        <v/>
      </c>
      <c r="S1226" t="n">
        <v>14</v>
      </c>
      <c r="T1226">
        <f>ROUND(P1226+Q1226+R1226+S1226,0)</f>
        <v/>
      </c>
      <c r="U1226" s="5" t="inlineStr"/>
      <c r="V1226" s="5" t="inlineStr">
        <is>
          <t>PRIMARY /tools/blog-title-generator</t>
        </is>
      </c>
    </row>
    <row r="1227">
      <c r="A1227" t="inlineStr">
        <is>
          <t>K1225</t>
        </is>
      </c>
      <c r="B1227" t="inlineStr">
        <is>
          <t>logiciel télémédecine</t>
        </is>
      </c>
      <c r="C1227" t="inlineStr">
        <is>
          <t>France</t>
        </is>
      </c>
      <c r="D1227" t="inlineStr">
        <is>
          <t>fr</t>
        </is>
      </c>
      <c r="E1227" t="inlineStr">
        <is>
          <t>fr</t>
        </is>
      </c>
      <c r="F1227" t="n">
        <v>140</v>
      </c>
      <c r="G1227" t="n">
        <v>21</v>
      </c>
      <c r="H1227" t="n">
        <v>0</v>
      </c>
      <c r="I1227" t="n">
        <v>0.33</v>
      </c>
      <c r="J1227" t="inlineStr">
        <is>
          <t>Informational</t>
        </is>
      </c>
      <c r="K1227" t="inlineStr">
        <is>
          <t>NOT AVAILABLE (report not requested)</t>
        </is>
      </c>
      <c r="L1227" t="inlineStr">
        <is>
          <t>declining (calc.)</t>
        </is>
      </c>
      <c r="M1227" t="inlineStr">
        <is>
          <t>MEASURED</t>
        </is>
      </c>
      <c r="N1227" s="5" t="inlineStr">
        <is>
          <t>Semrush phrase_these (live, this session)</t>
        </is>
      </c>
      <c r="O1227" t="inlineStr">
        <is>
          <t>2026-10-30</t>
        </is>
      </c>
      <c r="P1227">
        <f>IF(IF(J1227="NOT AVAILABLE","",J1227)="",12,IF(OR(ISNUMBER(SEARCH("Transactional",IF(J1227="NOT AVAILABLE","",J1227))),ISNUMBER(SEARCH("Commercial",IF(J1227="NOT AVAILABLE","",J1227)))),25,IF(ISNUMBER(SEARCH("Informational",IF(J1227="NOT AVAILABLE","",J1227))),10,IF(ISNUMBER(SEARCH("Navigational",IF(J1227="NOT AVAILABLE","",J1227))),0,12))))</f>
        <v/>
      </c>
      <c r="Q1227">
        <f>IF(ISNUMBER(F1227),MIN(30,ROUND(30*LOG10(F1227+1)/4,1)),0)</f>
        <v/>
      </c>
      <c r="R1227">
        <f>IF(ISNUMBER(G1227),ROUND(25*(100-G1227)/100,1),12.5)</f>
        <v/>
      </c>
      <c r="S1227" t="n">
        <v>14</v>
      </c>
      <c r="T1227">
        <f>ROUND(P1227+Q1227+R1227+S1227,0)</f>
        <v/>
      </c>
      <c r="U1227" s="5" t="inlineStr"/>
      <c r="V1227" s="5" t="inlineStr">
        <is>
          <t>SECONDARY /services/telemedicine-platform-development</t>
        </is>
      </c>
    </row>
    <row r="1228">
      <c r="A1228" t="inlineStr">
        <is>
          <t>K1226</t>
        </is>
      </c>
      <c r="B1228" t="inlineStr">
        <is>
          <t>palette couleur site web</t>
        </is>
      </c>
      <c r="C1228" t="inlineStr">
        <is>
          <t>France</t>
        </is>
      </c>
      <c r="D1228" t="inlineStr">
        <is>
          <t>fr</t>
        </is>
      </c>
      <c r="E1228" t="inlineStr">
        <is>
          <t>fr</t>
        </is>
      </c>
      <c r="F1228" t="n">
        <v>140</v>
      </c>
      <c r="G1228" t="n">
        <v>31</v>
      </c>
      <c r="H1228" t="n">
        <v>1.1</v>
      </c>
      <c r="I1228" t="n">
        <v>0.08</v>
      </c>
      <c r="J1228" t="inlineStr">
        <is>
          <t>Commercial</t>
        </is>
      </c>
      <c r="K1228" t="inlineStr">
        <is>
          <t>NOT AVAILABLE (report not requested)</t>
        </is>
      </c>
      <c r="L1228" t="inlineStr">
        <is>
          <t>stable (calc.)</t>
        </is>
      </c>
      <c r="M1228" t="inlineStr">
        <is>
          <t>MEASURED</t>
        </is>
      </c>
      <c r="N1228" s="5" t="inlineStr">
        <is>
          <t>Semrush phrase_these (live, this session)</t>
        </is>
      </c>
      <c r="O1228" t="inlineStr">
        <is>
          <t>2026-10-30</t>
        </is>
      </c>
      <c r="P1228">
        <f>IF(IF(J1228="NOT AVAILABLE","",J1228)="",12,IF(OR(ISNUMBER(SEARCH("Transactional",IF(J1228="NOT AVAILABLE","",J1228))),ISNUMBER(SEARCH("Commercial",IF(J1228="NOT AVAILABLE","",J1228)))),25,IF(ISNUMBER(SEARCH("Informational",IF(J1228="NOT AVAILABLE","",J1228))),10,IF(ISNUMBER(SEARCH("Navigational",IF(J1228="NOT AVAILABLE","",J1228))),0,12))))</f>
        <v/>
      </c>
      <c r="Q1228">
        <f>IF(ISNUMBER(F1228),MIN(30,ROUND(30*LOG10(F1228+1)/4,1)),0)</f>
        <v/>
      </c>
      <c r="R1228">
        <f>IF(ISNUMBER(G1228),ROUND(25*(100-G1228)/100,1),12.5)</f>
        <v/>
      </c>
      <c r="S1228" t="n">
        <v>14</v>
      </c>
      <c r="T1228">
        <f>ROUND(P1228+Q1228+R1228+S1228,0)</f>
        <v/>
      </c>
      <c r="U1228" s="5" t="inlineStr"/>
      <c r="V1228" s="5" t="inlineStr">
        <is>
          <t>SECONDARY /tools/color-palette-generator</t>
        </is>
      </c>
    </row>
    <row r="1229">
      <c r="A1229" t="inlineStr">
        <is>
          <t>K1227</t>
        </is>
      </c>
      <c r="B1229" t="inlineStr">
        <is>
          <t>test mobile friendly</t>
        </is>
      </c>
      <c r="C1229" t="inlineStr">
        <is>
          <t>France</t>
        </is>
      </c>
      <c r="D1229" t="inlineStr">
        <is>
          <t>fr</t>
        </is>
      </c>
      <c r="E1229" t="inlineStr">
        <is>
          <t>fr</t>
        </is>
      </c>
      <c r="F1229" t="n">
        <v>140</v>
      </c>
      <c r="G1229" t="n">
        <v>20</v>
      </c>
      <c r="H1229" t="n">
        <v>1.9</v>
      </c>
      <c r="I1229" t="n">
        <v>0.24</v>
      </c>
      <c r="J1229" t="inlineStr">
        <is>
          <t>Informational</t>
        </is>
      </c>
      <c r="K1229" t="inlineStr">
        <is>
          <t>NOT AVAILABLE (report not requested)</t>
        </is>
      </c>
      <c r="L1229" t="inlineStr">
        <is>
          <t>declining (calc.)</t>
        </is>
      </c>
      <c r="M1229" t="inlineStr">
        <is>
          <t>MEASURED</t>
        </is>
      </c>
      <c r="N1229" s="5" t="inlineStr">
        <is>
          <t>Semrush phrase_these (live, this session)</t>
        </is>
      </c>
      <c r="O1229" t="inlineStr">
        <is>
          <t>2026-10-30</t>
        </is>
      </c>
      <c r="P1229">
        <f>IF(IF(J1229="NOT AVAILABLE","",J1229)="",12,IF(OR(ISNUMBER(SEARCH("Transactional",IF(J1229="NOT AVAILABLE","",J1229))),ISNUMBER(SEARCH("Commercial",IF(J1229="NOT AVAILABLE","",J1229)))),25,IF(ISNUMBER(SEARCH("Informational",IF(J1229="NOT AVAILABLE","",J1229))),10,IF(ISNUMBER(SEARCH("Navigational",IF(J1229="NOT AVAILABLE","",J1229))),0,12))))</f>
        <v/>
      </c>
      <c r="Q1229">
        <f>IF(ISNUMBER(F1229),MIN(30,ROUND(30*LOG10(F1229+1)/4,1)),0)</f>
        <v/>
      </c>
      <c r="R1229">
        <f>IF(ISNUMBER(G1229),ROUND(25*(100-G1229)/100,1),12.5)</f>
        <v/>
      </c>
      <c r="S1229" t="n">
        <v>14</v>
      </c>
      <c r="T1229">
        <f>ROUND(P1229+Q1229+R1229+S1229,0)</f>
        <v/>
      </c>
      <c r="U1229" s="5" t="inlineStr"/>
      <c r="V1229" s="5" t="inlineStr">
        <is>
          <t>SECONDARY /tools/mobile-friendly-test</t>
        </is>
      </c>
    </row>
    <row r="1230">
      <c r="A1230" t="inlineStr">
        <is>
          <t>K1228</t>
        </is>
      </c>
      <c r="B1230" t="inlineStr">
        <is>
          <t>agence web maroc</t>
        </is>
      </c>
      <c r="C1230" t="inlineStr">
        <is>
          <t>France</t>
        </is>
      </c>
      <c r="D1230" t="inlineStr">
        <is>
          <t>fr</t>
        </is>
      </c>
      <c r="E1230" t="inlineStr">
        <is>
          <t>fr</t>
        </is>
      </c>
      <c r="F1230" t="n">
        <v>110</v>
      </c>
      <c r="G1230" t="n">
        <v>59</v>
      </c>
      <c r="H1230" t="n">
        <v>2.35</v>
      </c>
      <c r="I1230" t="n">
        <v>0.13</v>
      </c>
      <c r="J1230" t="inlineStr">
        <is>
          <t>Commercial</t>
        </is>
      </c>
      <c r="K1230" t="inlineStr">
        <is>
          <t>NOT AVAILABLE (report not requested)</t>
        </is>
      </c>
      <c r="L1230" t="inlineStr">
        <is>
          <t>declining (calc.)</t>
        </is>
      </c>
      <c r="M1230" t="inlineStr">
        <is>
          <t>MEASURED</t>
        </is>
      </c>
      <c r="N1230" s="5" t="inlineStr">
        <is>
          <t>Semrush phrase_these (live, this session)</t>
        </is>
      </c>
      <c r="O1230" t="inlineStr">
        <is>
          <t>2026-10-30</t>
        </is>
      </c>
      <c r="P1230">
        <f>IF(IF(J1230="NOT AVAILABLE","",J1230)="",12,IF(OR(ISNUMBER(SEARCH("Transactional",IF(J1230="NOT AVAILABLE","",J1230))),ISNUMBER(SEARCH("Commercial",IF(J1230="NOT AVAILABLE","",J1230)))),25,IF(ISNUMBER(SEARCH("Informational",IF(J1230="NOT AVAILABLE","",J1230))),10,IF(ISNUMBER(SEARCH("Navigational",IF(J1230="NOT AVAILABLE","",J1230))),0,12))))</f>
        <v/>
      </c>
      <c r="Q1230">
        <f>IF(ISNUMBER(F1230),MIN(30,ROUND(30*LOG10(F1230+1)/4,1)),0)</f>
        <v/>
      </c>
      <c r="R1230">
        <f>IF(ISNUMBER(G1230),ROUND(25*(100-G1230)/100,1),12.5)</f>
        <v/>
      </c>
      <c r="S1230" t="n">
        <v>14</v>
      </c>
      <c r="T1230">
        <f>ROUND(P1230+Q1230+R1230+S1230,0)</f>
        <v/>
      </c>
      <c r="U1230" s="5" t="inlineStr"/>
      <c r="V1230" s="5" t="inlineStr"/>
    </row>
    <row r="1231">
      <c r="A1231" t="inlineStr">
        <is>
          <t>K1229</t>
        </is>
      </c>
      <c r="B1231" t="inlineStr">
        <is>
          <t>agence web pas cher</t>
        </is>
      </c>
      <c r="C1231" t="inlineStr">
        <is>
          <t>France</t>
        </is>
      </c>
      <c r="D1231" t="inlineStr">
        <is>
          <t>fr</t>
        </is>
      </c>
      <c r="E1231" t="inlineStr">
        <is>
          <t>fr</t>
        </is>
      </c>
      <c r="F1231" t="n">
        <v>110</v>
      </c>
      <c r="G1231" t="n">
        <v>16</v>
      </c>
      <c r="H1231" t="n">
        <v>0</v>
      </c>
      <c r="I1231" t="n">
        <v>0.19</v>
      </c>
      <c r="J1231" t="inlineStr">
        <is>
          <t>Commercial</t>
        </is>
      </c>
      <c r="K1231" t="inlineStr">
        <is>
          <t>NOT AVAILABLE (report not requested)</t>
        </is>
      </c>
      <c r="L1231" t="inlineStr">
        <is>
          <t>stable (calc.)</t>
        </is>
      </c>
      <c r="M1231" t="inlineStr">
        <is>
          <t>MEASURED</t>
        </is>
      </c>
      <c r="N1231" s="5" t="inlineStr">
        <is>
          <t>Semrush phrase_these (live, this session)</t>
        </is>
      </c>
      <c r="O1231" t="inlineStr">
        <is>
          <t>2026-10-30</t>
        </is>
      </c>
      <c r="P1231">
        <f>IF(IF(J1231="NOT AVAILABLE","",J1231)="",12,IF(OR(ISNUMBER(SEARCH("Transactional",IF(J1231="NOT AVAILABLE","",J1231))),ISNUMBER(SEARCH("Commercial",IF(J1231="NOT AVAILABLE","",J1231)))),25,IF(ISNUMBER(SEARCH("Informational",IF(J1231="NOT AVAILABLE","",J1231))),10,IF(ISNUMBER(SEARCH("Navigational",IF(J1231="NOT AVAILABLE","",J1231))),0,12))))</f>
        <v/>
      </c>
      <c r="Q1231">
        <f>IF(ISNUMBER(F1231),MIN(30,ROUND(30*LOG10(F1231+1)/4,1)),0)</f>
        <v/>
      </c>
      <c r="R1231">
        <f>IF(ISNUMBER(G1231),ROUND(25*(100-G1231)/100,1),12.5)</f>
        <v/>
      </c>
      <c r="S1231" t="n">
        <v>14</v>
      </c>
      <c r="T1231">
        <f>ROUND(P1231+Q1231+R1231+S1231,0)</f>
        <v/>
      </c>
      <c r="U1231" s="5" t="inlineStr"/>
      <c r="V1231" s="5" t="inlineStr"/>
    </row>
    <row r="1232">
      <c r="A1232" t="inlineStr">
        <is>
          <t>K1230</t>
        </is>
      </c>
      <c r="B1232" t="inlineStr">
        <is>
          <t>développement application saas</t>
        </is>
      </c>
      <c r="C1232" t="inlineStr">
        <is>
          <t>France</t>
        </is>
      </c>
      <c r="D1232" t="inlineStr">
        <is>
          <t>fr</t>
        </is>
      </c>
      <c r="E1232" t="inlineStr">
        <is>
          <t>fr</t>
        </is>
      </c>
      <c r="F1232" t="n">
        <v>110</v>
      </c>
      <c r="G1232" t="n">
        <v>13</v>
      </c>
      <c r="H1232" t="n">
        <v>0</v>
      </c>
      <c r="I1232" t="n">
        <v>0.04</v>
      </c>
      <c r="J1232" t="inlineStr">
        <is>
          <t>Informational</t>
        </is>
      </c>
      <c r="K1232" t="inlineStr">
        <is>
          <t>NOT AVAILABLE (report not requested)</t>
        </is>
      </c>
      <c r="L1232" t="inlineStr">
        <is>
          <t>rising (calc.)</t>
        </is>
      </c>
      <c r="M1232" t="inlineStr">
        <is>
          <t>MEASURED</t>
        </is>
      </c>
      <c r="N1232" s="5" t="inlineStr">
        <is>
          <t>Semrush phrase_these (live, this session)</t>
        </is>
      </c>
      <c r="O1232" t="inlineStr">
        <is>
          <t>2026-10-30</t>
        </is>
      </c>
      <c r="P1232">
        <f>IF(IF(J1232="NOT AVAILABLE","",J1232)="",12,IF(OR(ISNUMBER(SEARCH("Transactional",IF(J1232="NOT AVAILABLE","",J1232))),ISNUMBER(SEARCH("Commercial",IF(J1232="NOT AVAILABLE","",J1232)))),25,IF(ISNUMBER(SEARCH("Informational",IF(J1232="NOT AVAILABLE","",J1232))),10,IF(ISNUMBER(SEARCH("Navigational",IF(J1232="NOT AVAILABLE","",J1232))),0,12))))</f>
        <v/>
      </c>
      <c r="Q1232">
        <f>IF(ISNUMBER(F1232),MIN(30,ROUND(30*LOG10(F1232+1)/4,1)),0)</f>
        <v/>
      </c>
      <c r="R1232">
        <f>IF(ISNUMBER(G1232),ROUND(25*(100-G1232)/100,1),12.5)</f>
        <v/>
      </c>
      <c r="S1232" t="n">
        <v>14</v>
      </c>
      <c r="T1232">
        <f>ROUND(P1232+Q1232+R1232+S1232,0)</f>
        <v/>
      </c>
      <c r="U1232" s="5" t="inlineStr"/>
      <c r="V1232" s="5" t="inlineStr">
        <is>
          <t>SECONDARY /services/saas-platform-development</t>
        </is>
      </c>
    </row>
    <row r="1233">
      <c r="A1233" t="inlineStr">
        <is>
          <t>K1231</t>
        </is>
      </c>
      <c r="B1233" t="inlineStr">
        <is>
          <t>développeur offshore</t>
        </is>
      </c>
      <c r="C1233" t="inlineStr">
        <is>
          <t>France</t>
        </is>
      </c>
      <c r="D1233" t="inlineStr">
        <is>
          <t>fr</t>
        </is>
      </c>
      <c r="E1233" t="inlineStr">
        <is>
          <t>fr</t>
        </is>
      </c>
      <c r="F1233" t="n">
        <v>110</v>
      </c>
      <c r="G1233" t="n">
        <v>10</v>
      </c>
      <c r="H1233" t="n">
        <v>3.54</v>
      </c>
      <c r="I1233" t="n">
        <v>0.2</v>
      </c>
      <c r="J1233" t="inlineStr">
        <is>
          <t>Informational</t>
        </is>
      </c>
      <c r="K1233" t="inlineStr">
        <is>
          <t>NOT AVAILABLE (report not requested)</t>
        </is>
      </c>
      <c r="L1233" t="inlineStr">
        <is>
          <t>declining (calc.)</t>
        </is>
      </c>
      <c r="M1233" t="inlineStr">
        <is>
          <t>MEASURED</t>
        </is>
      </c>
      <c r="N1233" s="5" t="inlineStr">
        <is>
          <t>Semrush phrase_these (live, this session)</t>
        </is>
      </c>
      <c r="O1233" t="inlineStr">
        <is>
          <t>2026-10-30</t>
        </is>
      </c>
      <c r="P1233">
        <f>IF(IF(J1233="NOT AVAILABLE","",J1233)="",12,IF(OR(ISNUMBER(SEARCH("Transactional",IF(J1233="NOT AVAILABLE","",J1233))),ISNUMBER(SEARCH("Commercial",IF(J1233="NOT AVAILABLE","",J1233)))),25,IF(ISNUMBER(SEARCH("Informational",IF(J1233="NOT AVAILABLE","",J1233))),10,IF(ISNUMBER(SEARCH("Navigational",IF(J1233="NOT AVAILABLE","",J1233))),0,12))))</f>
        <v/>
      </c>
      <c r="Q1233">
        <f>IF(ISNUMBER(F1233),MIN(30,ROUND(30*LOG10(F1233+1)/4,1)),0)</f>
        <v/>
      </c>
      <c r="R1233">
        <f>IF(ISNUMBER(G1233),ROUND(25*(100-G1233)/100,1),12.5)</f>
        <v/>
      </c>
      <c r="S1233" t="n">
        <v>14</v>
      </c>
      <c r="T1233">
        <f>ROUND(P1233+Q1233+R1233+S1233,0)</f>
        <v/>
      </c>
      <c r="U1233" s="5" t="inlineStr"/>
      <c r="V1233" s="5" t="inlineStr">
        <is>
          <t>SECONDARY /web-development-company/worldwide</t>
        </is>
      </c>
    </row>
    <row r="1234">
      <c r="A1234" t="inlineStr">
        <is>
          <t>K1232</t>
        </is>
      </c>
      <c r="B1234" t="inlineStr">
        <is>
          <t>flesch</t>
        </is>
      </c>
      <c r="C1234" t="inlineStr">
        <is>
          <t>France</t>
        </is>
      </c>
      <c r="D1234" t="inlineStr">
        <is>
          <t>fr</t>
        </is>
      </c>
      <c r="E1234" t="inlineStr">
        <is>
          <t>fr</t>
        </is>
      </c>
      <c r="F1234" t="n">
        <v>110</v>
      </c>
      <c r="G1234" t="n">
        <v>12</v>
      </c>
      <c r="H1234" t="n">
        <v>0</v>
      </c>
      <c r="I1234" t="n">
        <v>0.33</v>
      </c>
      <c r="J1234" t="inlineStr">
        <is>
          <t>Informational</t>
        </is>
      </c>
      <c r="K1234" t="inlineStr">
        <is>
          <t>NOT AVAILABLE (report not requested)</t>
        </is>
      </c>
      <c r="L1234" t="inlineStr">
        <is>
          <t>stable (calc.)</t>
        </is>
      </c>
      <c r="M1234" t="inlineStr">
        <is>
          <t>MEASURED</t>
        </is>
      </c>
      <c r="N1234" s="5" t="inlineStr">
        <is>
          <t>Semrush phrase_these (live, this session)</t>
        </is>
      </c>
      <c r="O1234" t="inlineStr">
        <is>
          <t>2026-10-30</t>
        </is>
      </c>
      <c r="P1234">
        <f>IF(IF(J1234="NOT AVAILABLE","",J1234)="",12,IF(OR(ISNUMBER(SEARCH("Transactional",IF(J1234="NOT AVAILABLE","",J1234))),ISNUMBER(SEARCH("Commercial",IF(J1234="NOT AVAILABLE","",J1234)))),25,IF(ISNUMBER(SEARCH("Informational",IF(J1234="NOT AVAILABLE","",J1234))),10,IF(ISNUMBER(SEARCH("Navigational",IF(J1234="NOT AVAILABLE","",J1234))),0,12))))</f>
        <v/>
      </c>
      <c r="Q1234">
        <f>IF(ISNUMBER(F1234),MIN(30,ROUND(30*LOG10(F1234+1)/4,1)),0)</f>
        <v/>
      </c>
      <c r="R1234">
        <f>IF(ISNUMBER(G1234),ROUND(25*(100-G1234)/100,1),12.5)</f>
        <v/>
      </c>
      <c r="S1234" t="n">
        <v>14</v>
      </c>
      <c r="T1234">
        <f>ROUND(P1234+Q1234+R1234+S1234,0)</f>
        <v/>
      </c>
      <c r="U1234" s="5" t="inlineStr"/>
      <c r="V1234" s="5" t="inlineStr">
        <is>
          <t>SECONDARY /tools/readability-analyzer</t>
        </is>
      </c>
    </row>
    <row r="1235">
      <c r="A1235" t="inlineStr">
        <is>
          <t>K1233</t>
        </is>
      </c>
      <c r="B1235" t="inlineStr">
        <is>
          <t>formater json</t>
        </is>
      </c>
      <c r="C1235" t="inlineStr">
        <is>
          <t>France</t>
        </is>
      </c>
      <c r="D1235" t="inlineStr">
        <is>
          <t>fr</t>
        </is>
      </c>
      <c r="E1235" t="inlineStr">
        <is>
          <t>fr</t>
        </is>
      </c>
      <c r="F1235" t="n">
        <v>110</v>
      </c>
      <c r="G1235" t="n">
        <v>63</v>
      </c>
      <c r="H1235" t="n">
        <v>0</v>
      </c>
      <c r="I1235" t="n">
        <v>0.02</v>
      </c>
      <c r="J1235" t="inlineStr">
        <is>
          <t>Informational</t>
        </is>
      </c>
      <c r="K1235" t="inlineStr">
        <is>
          <t>NOT AVAILABLE (report not requested)</t>
        </is>
      </c>
      <c r="L1235" t="inlineStr">
        <is>
          <t>declining (calc.)</t>
        </is>
      </c>
      <c r="M1235" t="inlineStr">
        <is>
          <t>MEASURED</t>
        </is>
      </c>
      <c r="N1235" s="5" t="inlineStr">
        <is>
          <t>Semrush phrase_these (live, this session)</t>
        </is>
      </c>
      <c r="O1235" t="inlineStr">
        <is>
          <t>2026-10-30</t>
        </is>
      </c>
      <c r="P1235">
        <f>IF(IF(J1235="NOT AVAILABLE","",J1235)="",12,IF(OR(ISNUMBER(SEARCH("Transactional",IF(J1235="NOT AVAILABLE","",J1235))),ISNUMBER(SEARCH("Commercial",IF(J1235="NOT AVAILABLE","",J1235)))),25,IF(ISNUMBER(SEARCH("Informational",IF(J1235="NOT AVAILABLE","",J1235))),10,IF(ISNUMBER(SEARCH("Navigational",IF(J1235="NOT AVAILABLE","",J1235))),0,12))))</f>
        <v/>
      </c>
      <c r="Q1235">
        <f>IF(ISNUMBER(F1235),MIN(30,ROUND(30*LOG10(F1235+1)/4,1)),0)</f>
        <v/>
      </c>
      <c r="R1235">
        <f>IF(ISNUMBER(G1235),ROUND(25*(100-G1235)/100,1),12.5)</f>
        <v/>
      </c>
      <c r="S1235" t="n">
        <v>14</v>
      </c>
      <c r="T1235">
        <f>ROUND(P1235+Q1235+R1235+S1235,0)</f>
        <v/>
      </c>
      <c r="U1235" s="5" t="inlineStr"/>
      <c r="V1235" s="5" t="inlineStr">
        <is>
          <t>SECONDARY /tools/json-formatter</t>
        </is>
      </c>
    </row>
    <row r="1236">
      <c r="A1236" t="inlineStr">
        <is>
          <t>K1234</t>
        </is>
      </c>
      <c r="B1236" t="inlineStr">
        <is>
          <t>générateur couleur</t>
        </is>
      </c>
      <c r="C1236" t="inlineStr">
        <is>
          <t>France</t>
        </is>
      </c>
      <c r="D1236" t="inlineStr">
        <is>
          <t>fr</t>
        </is>
      </c>
      <c r="E1236" t="inlineStr">
        <is>
          <t>fr</t>
        </is>
      </c>
      <c r="F1236" t="n">
        <v>110</v>
      </c>
      <c r="G1236" t="n">
        <v>19</v>
      </c>
      <c r="H1236" t="n">
        <v>0</v>
      </c>
      <c r="I1236" t="n">
        <v>0.02</v>
      </c>
      <c r="J1236" t="inlineStr">
        <is>
          <t>Informational</t>
        </is>
      </c>
      <c r="K1236" t="inlineStr">
        <is>
          <t>NOT AVAILABLE (report not requested)</t>
        </is>
      </c>
      <c r="L1236" t="inlineStr">
        <is>
          <t>stable (calc.)</t>
        </is>
      </c>
      <c r="M1236" t="inlineStr">
        <is>
          <t>MEASURED</t>
        </is>
      </c>
      <c r="N1236" s="5" t="inlineStr">
        <is>
          <t>Semrush phrase_these (live, this session)</t>
        </is>
      </c>
      <c r="O1236" t="inlineStr">
        <is>
          <t>2026-10-30</t>
        </is>
      </c>
      <c r="P1236">
        <f>IF(IF(J1236="NOT AVAILABLE","",J1236)="",12,IF(OR(ISNUMBER(SEARCH("Transactional",IF(J1236="NOT AVAILABLE","",J1236))),ISNUMBER(SEARCH("Commercial",IF(J1236="NOT AVAILABLE","",J1236)))),25,IF(ISNUMBER(SEARCH("Informational",IF(J1236="NOT AVAILABLE","",J1236))),10,IF(ISNUMBER(SEARCH("Navigational",IF(J1236="NOT AVAILABLE","",J1236))),0,12))))</f>
        <v/>
      </c>
      <c r="Q1236">
        <f>IF(ISNUMBER(F1236),MIN(30,ROUND(30*LOG10(F1236+1)/4,1)),0)</f>
        <v/>
      </c>
      <c r="R1236">
        <f>IF(ISNUMBER(G1236),ROUND(25*(100-G1236)/100,1),12.5)</f>
        <v/>
      </c>
      <c r="S1236" t="n">
        <v>14</v>
      </c>
      <c r="T1236">
        <f>ROUND(P1236+Q1236+R1236+S1236,0)</f>
        <v/>
      </c>
      <c r="U1236" s="5" t="inlineStr"/>
      <c r="V1236" s="5" t="inlineStr">
        <is>
          <t>SECONDARY /tools/color-palette-generator</t>
        </is>
      </c>
    </row>
    <row r="1237">
      <c r="A1237" t="inlineStr">
        <is>
          <t>K1235</t>
        </is>
      </c>
      <c r="B1237" t="inlineStr">
        <is>
          <t>json en ligne</t>
        </is>
      </c>
      <c r="C1237" t="inlineStr">
        <is>
          <t>France</t>
        </is>
      </c>
      <c r="D1237" t="inlineStr">
        <is>
          <t>fr</t>
        </is>
      </c>
      <c r="E1237" t="inlineStr">
        <is>
          <t>fr</t>
        </is>
      </c>
      <c r="F1237" t="n">
        <v>110</v>
      </c>
      <c r="G1237" t="n">
        <v>35</v>
      </c>
      <c r="H1237" t="n">
        <v>1.56</v>
      </c>
      <c r="I1237" t="n">
        <v>0.05</v>
      </c>
      <c r="J1237" t="inlineStr">
        <is>
          <t>Informational</t>
        </is>
      </c>
      <c r="K1237" t="inlineStr">
        <is>
          <t>NOT AVAILABLE (report not requested)</t>
        </is>
      </c>
      <c r="L1237" t="inlineStr">
        <is>
          <t>rising (calc.)</t>
        </is>
      </c>
      <c r="M1237" t="inlineStr">
        <is>
          <t>MEASURED</t>
        </is>
      </c>
      <c r="N1237" s="5" t="inlineStr">
        <is>
          <t>Semrush phrase_these (live, this session)</t>
        </is>
      </c>
      <c r="O1237" t="inlineStr">
        <is>
          <t>2026-10-30</t>
        </is>
      </c>
      <c r="P1237">
        <f>IF(IF(J1237="NOT AVAILABLE","",J1237)="",12,IF(OR(ISNUMBER(SEARCH("Transactional",IF(J1237="NOT AVAILABLE","",J1237))),ISNUMBER(SEARCH("Commercial",IF(J1237="NOT AVAILABLE","",J1237)))),25,IF(ISNUMBER(SEARCH("Informational",IF(J1237="NOT AVAILABLE","",J1237))),10,IF(ISNUMBER(SEARCH("Navigational",IF(J1237="NOT AVAILABLE","",J1237))),0,12))))</f>
        <v/>
      </c>
      <c r="Q1237">
        <f>IF(ISNUMBER(F1237),MIN(30,ROUND(30*LOG10(F1237+1)/4,1)),0)</f>
        <v/>
      </c>
      <c r="R1237">
        <f>IF(ISNUMBER(G1237),ROUND(25*(100-G1237)/100,1),12.5)</f>
        <v/>
      </c>
      <c r="S1237" t="n">
        <v>14</v>
      </c>
      <c r="T1237">
        <f>ROUND(P1237+Q1237+R1237+S1237,0)</f>
        <v/>
      </c>
      <c r="U1237" s="5" t="inlineStr"/>
      <c r="V1237" s="5" t="inlineStr">
        <is>
          <t>SECONDARY /tools/json-formatter</t>
        </is>
      </c>
    </row>
    <row r="1238">
      <c r="A1238" t="inlineStr">
        <is>
          <t>K1236</t>
        </is>
      </c>
      <c r="B1238" t="inlineStr">
        <is>
          <t>mvp saas</t>
        </is>
      </c>
      <c r="C1238" t="inlineStr">
        <is>
          <t>France</t>
        </is>
      </c>
      <c r="D1238" t="inlineStr">
        <is>
          <t>fr</t>
        </is>
      </c>
      <c r="E1238" t="inlineStr">
        <is>
          <t>fr</t>
        </is>
      </c>
      <c r="F1238" t="n">
        <v>110</v>
      </c>
      <c r="G1238" t="n">
        <v>13</v>
      </c>
      <c r="H1238" t="n">
        <v>1.98</v>
      </c>
      <c r="I1238" t="n">
        <v>0.29</v>
      </c>
      <c r="J1238" t="inlineStr">
        <is>
          <t>Informational</t>
        </is>
      </c>
      <c r="K1238" t="inlineStr">
        <is>
          <t>NOT AVAILABLE (report not requested)</t>
        </is>
      </c>
      <c r="L1238" t="inlineStr">
        <is>
          <t>rising (calc.)</t>
        </is>
      </c>
      <c r="M1238" t="inlineStr">
        <is>
          <t>MEASURED</t>
        </is>
      </c>
      <c r="N1238" s="5" t="inlineStr">
        <is>
          <t>Semrush phrase_these (live, this session)</t>
        </is>
      </c>
      <c r="O1238" t="inlineStr">
        <is>
          <t>2026-10-30</t>
        </is>
      </c>
      <c r="P1238">
        <f>IF(IF(J1238="NOT AVAILABLE","",J1238)="",12,IF(OR(ISNUMBER(SEARCH("Transactional",IF(J1238="NOT AVAILABLE","",J1238))),ISNUMBER(SEARCH("Commercial",IF(J1238="NOT AVAILABLE","",J1238)))),25,IF(ISNUMBER(SEARCH("Informational",IF(J1238="NOT AVAILABLE","",J1238))),10,IF(ISNUMBER(SEARCH("Navigational",IF(J1238="NOT AVAILABLE","",J1238))),0,12))))</f>
        <v/>
      </c>
      <c r="Q1238">
        <f>IF(ISNUMBER(F1238),MIN(30,ROUND(30*LOG10(F1238+1)/4,1)),0)</f>
        <v/>
      </c>
      <c r="R1238">
        <f>IF(ISNUMBER(G1238),ROUND(25*(100-G1238)/100,1),12.5)</f>
        <v/>
      </c>
      <c r="S1238" t="n">
        <v>14</v>
      </c>
      <c r="T1238">
        <f>ROUND(P1238+Q1238+R1238+S1238,0)</f>
        <v/>
      </c>
      <c r="U1238" s="5" t="inlineStr"/>
      <c r="V1238" s="5" t="inlineStr">
        <is>
          <t>NOT RECOMMENDED /services/saas-platform-development; SECONDARY /blog/creer-une-plateforme-saas-mvp-multi-tenant-facturation-par-ou-commencer</t>
        </is>
      </c>
    </row>
    <row r="1239">
      <c r="A1239" t="inlineStr">
        <is>
          <t>K1237</t>
        </is>
      </c>
      <c r="B1239" t="inlineStr">
        <is>
          <t>site agence de voyage</t>
        </is>
      </c>
      <c r="C1239" t="inlineStr">
        <is>
          <t>France</t>
        </is>
      </c>
      <c r="D1239" t="inlineStr">
        <is>
          <t>fr</t>
        </is>
      </c>
      <c r="E1239" t="inlineStr">
        <is>
          <t>fr</t>
        </is>
      </c>
      <c r="F1239" t="n">
        <v>110</v>
      </c>
      <c r="G1239" t="n">
        <v>81</v>
      </c>
      <c r="H1239" t="n">
        <v>0.77</v>
      </c>
      <c r="I1239" t="n">
        <v>0.55</v>
      </c>
      <c r="J1239" t="inlineStr">
        <is>
          <t>Commercial</t>
        </is>
      </c>
      <c r="K1239" t="inlineStr">
        <is>
          <t>NOT AVAILABLE (report not requested)</t>
        </is>
      </c>
      <c r="L1239" t="inlineStr">
        <is>
          <t>rising (calc.)</t>
        </is>
      </c>
      <c r="M1239" t="inlineStr">
        <is>
          <t>MEASURED</t>
        </is>
      </c>
      <c r="N1239" s="5" t="inlineStr">
        <is>
          <t>Semrush phrase_these (live, this session)</t>
        </is>
      </c>
      <c r="O1239" t="inlineStr">
        <is>
          <t>2026-10-30</t>
        </is>
      </c>
      <c r="P1239">
        <f>IF(IF(J1239="NOT AVAILABLE","",J1239)="",12,IF(OR(ISNUMBER(SEARCH("Transactional",IF(J1239="NOT AVAILABLE","",J1239))),ISNUMBER(SEARCH("Commercial",IF(J1239="NOT AVAILABLE","",J1239)))),25,IF(ISNUMBER(SEARCH("Informational",IF(J1239="NOT AVAILABLE","",J1239))),10,IF(ISNUMBER(SEARCH("Navigational",IF(J1239="NOT AVAILABLE","",J1239))),0,12))))</f>
        <v/>
      </c>
      <c r="Q1239">
        <f>IF(ISNUMBER(F1239),MIN(30,ROUND(30*LOG10(F1239+1)/4,1)),0)</f>
        <v/>
      </c>
      <c r="R1239">
        <f>IF(ISNUMBER(G1239),ROUND(25*(100-G1239)/100,1),12.5)</f>
        <v/>
      </c>
      <c r="S1239" t="n">
        <v>14</v>
      </c>
      <c r="T1239">
        <f>ROUND(P1239+Q1239+R1239+S1239,0)</f>
        <v/>
      </c>
      <c r="U1239" s="5" t="inlineStr"/>
      <c r="V1239" s="5" t="inlineStr">
        <is>
          <t>NOT RECOMMENDED /our-work/morocco-quest</t>
        </is>
      </c>
    </row>
    <row r="1240">
      <c r="A1240" t="inlineStr">
        <is>
          <t>K1238</t>
        </is>
      </c>
      <c r="B1240" t="inlineStr">
        <is>
          <t>site architecte</t>
        </is>
      </c>
      <c r="C1240" t="inlineStr">
        <is>
          <t>France</t>
        </is>
      </c>
      <c r="D1240" t="inlineStr">
        <is>
          <t>fr</t>
        </is>
      </c>
      <c r="E1240" t="inlineStr">
        <is>
          <t>fr</t>
        </is>
      </c>
      <c r="F1240" t="n">
        <v>110</v>
      </c>
      <c r="G1240" t="n">
        <v>43</v>
      </c>
      <c r="H1240" t="n">
        <v>0.74</v>
      </c>
      <c r="I1240" t="n">
        <v>0.12</v>
      </c>
      <c r="J1240" t="inlineStr">
        <is>
          <t>Informational</t>
        </is>
      </c>
      <c r="K1240" t="inlineStr">
        <is>
          <t>NOT AVAILABLE (report not requested)</t>
        </is>
      </c>
      <c r="L1240" t="inlineStr">
        <is>
          <t>rising (calc.)</t>
        </is>
      </c>
      <c r="M1240" t="inlineStr">
        <is>
          <t>MEASURED</t>
        </is>
      </c>
      <c r="N1240" s="5" t="inlineStr">
        <is>
          <t>Semrush phrase_these (live, this session)</t>
        </is>
      </c>
      <c r="O1240" t="inlineStr">
        <is>
          <t>2026-10-30</t>
        </is>
      </c>
      <c r="P1240">
        <f>IF(IF(J1240="NOT AVAILABLE","",J1240)="",12,IF(OR(ISNUMBER(SEARCH("Transactional",IF(J1240="NOT AVAILABLE","",J1240))),ISNUMBER(SEARCH("Commercial",IF(J1240="NOT AVAILABLE","",J1240)))),25,IF(ISNUMBER(SEARCH("Informational",IF(J1240="NOT AVAILABLE","",J1240))),10,IF(ISNUMBER(SEARCH("Navigational",IF(J1240="NOT AVAILABLE","",J1240))),0,12))))</f>
        <v/>
      </c>
      <c r="Q1240">
        <f>IF(ISNUMBER(F1240),MIN(30,ROUND(30*LOG10(F1240+1)/4,1)),0)</f>
        <v/>
      </c>
      <c r="R1240">
        <f>IF(ISNUMBER(G1240),ROUND(25*(100-G1240)/100,1),12.5)</f>
        <v/>
      </c>
      <c r="S1240" t="n">
        <v>14</v>
      </c>
      <c r="T1240">
        <f>ROUND(P1240+Q1240+R1240+S1240,0)</f>
        <v/>
      </c>
      <c r="U1240" s="5" t="inlineStr"/>
      <c r="V1240" s="5" t="inlineStr">
        <is>
          <t>SUPPORTING /our-work/akoubri</t>
        </is>
      </c>
    </row>
    <row r="1241">
      <c r="A1241" t="inlineStr">
        <is>
          <t>K1239</t>
        </is>
      </c>
      <c r="B1241" t="inlineStr">
        <is>
          <t>site internet agence immobilière</t>
        </is>
      </c>
      <c r="C1241" t="inlineStr">
        <is>
          <t>France</t>
        </is>
      </c>
      <c r="D1241" t="inlineStr">
        <is>
          <t>fr</t>
        </is>
      </c>
      <c r="E1241" t="inlineStr">
        <is>
          <t>fr</t>
        </is>
      </c>
      <c r="F1241" t="n">
        <v>110</v>
      </c>
      <c r="G1241" t="n">
        <v>28</v>
      </c>
      <c r="H1241" t="n">
        <v>2.8</v>
      </c>
      <c r="I1241" t="n">
        <v>0.3</v>
      </c>
      <c r="J1241" t="inlineStr">
        <is>
          <t>Commercial</t>
        </is>
      </c>
      <c r="K1241" t="inlineStr">
        <is>
          <t>NOT AVAILABLE (report not requested)</t>
        </is>
      </c>
      <c r="L1241" t="inlineStr">
        <is>
          <t>declining (calc.)</t>
        </is>
      </c>
      <c r="M1241" t="inlineStr">
        <is>
          <t>MEASURED</t>
        </is>
      </c>
      <c r="N1241" s="5" t="inlineStr">
        <is>
          <t>Semrush phrase_these (live, this session)</t>
        </is>
      </c>
      <c r="O1241" t="inlineStr">
        <is>
          <t>2026-10-30</t>
        </is>
      </c>
      <c r="P1241">
        <f>IF(IF(J1241="NOT AVAILABLE","",J1241)="",12,IF(OR(ISNUMBER(SEARCH("Transactional",IF(J1241="NOT AVAILABLE","",J1241))),ISNUMBER(SEARCH("Commercial",IF(J1241="NOT AVAILABLE","",J1241)))),25,IF(ISNUMBER(SEARCH("Informational",IF(J1241="NOT AVAILABLE","",J1241))),10,IF(ISNUMBER(SEARCH("Navigational",IF(J1241="NOT AVAILABLE","",J1241))),0,12))))</f>
        <v/>
      </c>
      <c r="Q1241">
        <f>IF(ISNUMBER(F1241),MIN(30,ROUND(30*LOG10(F1241+1)/4,1)),0)</f>
        <v/>
      </c>
      <c r="R1241">
        <f>IF(ISNUMBER(G1241),ROUND(25*(100-G1241)/100,1),12.5)</f>
        <v/>
      </c>
      <c r="S1241" t="n">
        <v>14</v>
      </c>
      <c r="T1241">
        <f>ROUND(P1241+Q1241+R1241+S1241,0)</f>
        <v/>
      </c>
      <c r="U1241" s="5" t="inlineStr"/>
      <c r="V1241" s="5" t="inlineStr">
        <is>
          <t>SECONDARY /services/real-estate-website-development</t>
        </is>
      </c>
    </row>
    <row r="1242">
      <c r="A1242" t="inlineStr">
        <is>
          <t>K1240</t>
        </is>
      </c>
      <c r="B1242" t="inlineStr">
        <is>
          <t>test core web vitals</t>
        </is>
      </c>
      <c r="C1242" t="inlineStr">
        <is>
          <t>France</t>
        </is>
      </c>
      <c r="D1242" t="inlineStr">
        <is>
          <t>fr</t>
        </is>
      </c>
      <c r="E1242" t="inlineStr">
        <is>
          <t>fr</t>
        </is>
      </c>
      <c r="F1242" t="n">
        <v>110</v>
      </c>
      <c r="G1242" t="n">
        <v>27</v>
      </c>
      <c r="H1242" t="n">
        <v>1.83</v>
      </c>
      <c r="I1242" t="n">
        <v>0.33</v>
      </c>
      <c r="J1242" t="inlineStr">
        <is>
          <t>Informational</t>
        </is>
      </c>
      <c r="K1242" t="inlineStr">
        <is>
          <t>NOT AVAILABLE (report not requested)</t>
        </is>
      </c>
      <c r="L1242" t="inlineStr">
        <is>
          <t>rising (calc.)</t>
        </is>
      </c>
      <c r="M1242" t="inlineStr">
        <is>
          <t>MEASURED</t>
        </is>
      </c>
      <c r="N1242" s="5" t="inlineStr">
        <is>
          <t>Semrush phrase_these (live, this session)</t>
        </is>
      </c>
      <c r="O1242" t="inlineStr">
        <is>
          <t>2026-10-30</t>
        </is>
      </c>
      <c r="P1242">
        <f>IF(IF(J1242="NOT AVAILABLE","",J1242)="",12,IF(OR(ISNUMBER(SEARCH("Transactional",IF(J1242="NOT AVAILABLE","",J1242))),ISNUMBER(SEARCH("Commercial",IF(J1242="NOT AVAILABLE","",J1242)))),25,IF(ISNUMBER(SEARCH("Informational",IF(J1242="NOT AVAILABLE","",J1242))),10,IF(ISNUMBER(SEARCH("Navigational",IF(J1242="NOT AVAILABLE","",J1242))),0,12))))</f>
        <v/>
      </c>
      <c r="Q1242">
        <f>IF(ISNUMBER(F1242),MIN(30,ROUND(30*LOG10(F1242+1)/4,1)),0)</f>
        <v/>
      </c>
      <c r="R1242">
        <f>IF(ISNUMBER(G1242),ROUND(25*(100-G1242)/100,1),12.5)</f>
        <v/>
      </c>
      <c r="S1242" t="n">
        <v>14</v>
      </c>
      <c r="T1242">
        <f>ROUND(P1242+Q1242+R1242+S1242,0)</f>
        <v/>
      </c>
      <c r="U1242" s="5" t="inlineStr"/>
      <c r="V1242" s="5" t="inlineStr">
        <is>
          <t>PRIMARY /tools/core-web-vitals-checker</t>
        </is>
      </c>
    </row>
    <row r="1243">
      <c r="A1243" t="inlineStr">
        <is>
          <t>K1241</t>
        </is>
      </c>
      <c r="B1243" t="inlineStr">
        <is>
          <t>agence seo maroc</t>
        </is>
      </c>
      <c r="C1243" t="inlineStr">
        <is>
          <t>France</t>
        </is>
      </c>
      <c r="D1243" t="inlineStr">
        <is>
          <t>fr</t>
        </is>
      </c>
      <c r="E1243" t="inlineStr">
        <is>
          <t>fr</t>
        </is>
      </c>
      <c r="F1243" t="n">
        <v>90</v>
      </c>
      <c r="G1243" t="n">
        <v>25</v>
      </c>
      <c r="H1243" t="n">
        <v>0</v>
      </c>
      <c r="I1243" t="n">
        <v>0.33</v>
      </c>
      <c r="J1243" t="inlineStr">
        <is>
          <t>Commercial</t>
        </is>
      </c>
      <c r="K1243" t="inlineStr">
        <is>
          <t>NOT AVAILABLE (report not requested)</t>
        </is>
      </c>
      <c r="L1243" t="inlineStr">
        <is>
          <t>declining (calc.)</t>
        </is>
      </c>
      <c r="M1243" t="inlineStr">
        <is>
          <t>MEASURED</t>
        </is>
      </c>
      <c r="N1243" s="5" t="inlineStr">
        <is>
          <t>Semrush phrase_these (live, this session)</t>
        </is>
      </c>
      <c r="O1243" t="inlineStr">
        <is>
          <t>2026-10-30</t>
        </is>
      </c>
      <c r="P1243">
        <f>IF(IF(J1243="NOT AVAILABLE","",J1243)="",12,IF(OR(ISNUMBER(SEARCH("Transactional",IF(J1243="NOT AVAILABLE","",J1243))),ISNUMBER(SEARCH("Commercial",IF(J1243="NOT AVAILABLE","",J1243)))),25,IF(ISNUMBER(SEARCH("Informational",IF(J1243="NOT AVAILABLE","",J1243))),10,IF(ISNUMBER(SEARCH("Navigational",IF(J1243="NOT AVAILABLE","",J1243))),0,12))))</f>
        <v/>
      </c>
      <c r="Q1243">
        <f>IF(ISNUMBER(F1243),MIN(30,ROUND(30*LOG10(F1243+1)/4,1)),0)</f>
        <v/>
      </c>
      <c r="R1243">
        <f>IF(ISNUMBER(G1243),ROUND(25*(100-G1243)/100,1),12.5)</f>
        <v/>
      </c>
      <c r="S1243" t="n">
        <v>14</v>
      </c>
      <c r="T1243">
        <f>ROUND(P1243+Q1243+R1243+S1243,0)</f>
        <v/>
      </c>
      <c r="U1243" s="5" t="inlineStr"/>
      <c r="V1243" s="5" t="inlineStr">
        <is>
          <t>SECONDARY /services/seo-maroc</t>
        </is>
      </c>
    </row>
    <row r="1244">
      <c r="A1244" t="inlineStr">
        <is>
          <t>K1242</t>
        </is>
      </c>
      <c r="B1244" t="inlineStr">
        <is>
          <t>architecte marrakech</t>
        </is>
      </c>
      <c r="C1244" t="inlineStr">
        <is>
          <t>France</t>
        </is>
      </c>
      <c r="D1244" t="inlineStr">
        <is>
          <t>fr</t>
        </is>
      </c>
      <c r="E1244" t="inlineStr">
        <is>
          <t>fr</t>
        </is>
      </c>
      <c r="F1244" t="n">
        <v>90</v>
      </c>
      <c r="G1244" t="n">
        <v>47</v>
      </c>
      <c r="H1244" t="n">
        <v>0</v>
      </c>
      <c r="I1244" t="n">
        <v>0.02</v>
      </c>
      <c r="J1244" t="inlineStr">
        <is>
          <t>Commercial</t>
        </is>
      </c>
      <c r="K1244" t="inlineStr">
        <is>
          <t>NOT AVAILABLE (report not requested)</t>
        </is>
      </c>
      <c r="L1244" t="inlineStr">
        <is>
          <t>declining (calc.)</t>
        </is>
      </c>
      <c r="M1244" t="inlineStr">
        <is>
          <t>MEASURED</t>
        </is>
      </c>
      <c r="N1244" s="5" t="inlineStr">
        <is>
          <t>Semrush phrase_these (live, this session)</t>
        </is>
      </c>
      <c r="O1244" t="inlineStr">
        <is>
          <t>2026-10-30</t>
        </is>
      </c>
      <c r="P1244">
        <f>IF(IF(J1244="NOT AVAILABLE","",J1244)="",12,IF(OR(ISNUMBER(SEARCH("Transactional",IF(J1244="NOT AVAILABLE","",J1244))),ISNUMBER(SEARCH("Commercial",IF(J1244="NOT AVAILABLE","",J1244)))),25,IF(ISNUMBER(SEARCH("Informational",IF(J1244="NOT AVAILABLE","",J1244))),10,IF(ISNUMBER(SEARCH("Navigational",IF(J1244="NOT AVAILABLE","",J1244))),0,12))))</f>
        <v/>
      </c>
      <c r="Q1244">
        <f>IF(ISNUMBER(F1244),MIN(30,ROUND(30*LOG10(F1244+1)/4,1)),0)</f>
        <v/>
      </c>
      <c r="R1244">
        <f>IF(ISNUMBER(G1244),ROUND(25*(100-G1244)/100,1),12.5)</f>
        <v/>
      </c>
      <c r="S1244" t="n">
        <v>14</v>
      </c>
      <c r="T1244">
        <f>ROUND(P1244+Q1244+R1244+S1244,0)</f>
        <v/>
      </c>
      <c r="U1244" s="5" t="inlineStr"/>
      <c r="V1244" s="5" t="inlineStr"/>
    </row>
    <row r="1245">
      <c r="A1245" t="inlineStr">
        <is>
          <t>K1243</t>
        </is>
      </c>
      <c r="B1245" t="inlineStr">
        <is>
          <t>balise canonical</t>
        </is>
      </c>
      <c r="C1245" t="inlineStr">
        <is>
          <t>France</t>
        </is>
      </c>
      <c r="D1245" t="inlineStr">
        <is>
          <t>fr</t>
        </is>
      </c>
      <c r="E1245" t="inlineStr">
        <is>
          <t>fr</t>
        </is>
      </c>
      <c r="F1245" t="n">
        <v>90</v>
      </c>
      <c r="G1245" t="n">
        <v>15</v>
      </c>
      <c r="H1245" t="n">
        <v>0</v>
      </c>
      <c r="I1245" t="n">
        <v>0.06</v>
      </c>
      <c r="J1245" t="inlineStr">
        <is>
          <t>Informational</t>
        </is>
      </c>
      <c r="K1245" t="inlineStr">
        <is>
          <t>NOT AVAILABLE (report not requested)</t>
        </is>
      </c>
      <c r="L1245" t="inlineStr">
        <is>
          <t>declining (calc.)</t>
        </is>
      </c>
      <c r="M1245" t="inlineStr">
        <is>
          <t>MEASURED</t>
        </is>
      </c>
      <c r="N1245" s="5" t="inlineStr">
        <is>
          <t>Semrush phrase_these (live, this session)</t>
        </is>
      </c>
      <c r="O1245" t="inlineStr">
        <is>
          <t>2026-10-30</t>
        </is>
      </c>
      <c r="P1245">
        <f>IF(IF(J1245="NOT AVAILABLE","",J1245)="",12,IF(OR(ISNUMBER(SEARCH("Transactional",IF(J1245="NOT AVAILABLE","",J1245))),ISNUMBER(SEARCH("Commercial",IF(J1245="NOT AVAILABLE","",J1245)))),25,IF(ISNUMBER(SEARCH("Informational",IF(J1245="NOT AVAILABLE","",J1245))),10,IF(ISNUMBER(SEARCH("Navigational",IF(J1245="NOT AVAILABLE","",J1245))),0,12))))</f>
        <v/>
      </c>
      <c r="Q1245">
        <f>IF(ISNUMBER(F1245),MIN(30,ROUND(30*LOG10(F1245+1)/4,1)),0)</f>
        <v/>
      </c>
      <c r="R1245">
        <f>IF(ISNUMBER(G1245),ROUND(25*(100-G1245)/100,1),12.5)</f>
        <v/>
      </c>
      <c r="S1245" t="n">
        <v>14</v>
      </c>
      <c r="T1245">
        <f>ROUND(P1245+Q1245+R1245+S1245,0)</f>
        <v/>
      </c>
      <c r="U1245" s="5" t="inlineStr"/>
      <c r="V1245" s="5" t="inlineStr">
        <is>
          <t>SUPPORTING /tools/canonical-checker</t>
        </is>
      </c>
    </row>
    <row r="1246">
      <c r="A1246" t="inlineStr">
        <is>
          <t>K1244</t>
        </is>
      </c>
      <c r="B1246" t="inlineStr">
        <is>
          <t>combien de temps pour créer un site internet</t>
        </is>
      </c>
      <c r="C1246" t="inlineStr">
        <is>
          <t>France</t>
        </is>
      </c>
      <c r="D1246" t="inlineStr">
        <is>
          <t>fr</t>
        </is>
      </c>
      <c r="E1246" t="inlineStr">
        <is>
          <t>fr</t>
        </is>
      </c>
      <c r="F1246" t="n">
        <v>90</v>
      </c>
      <c r="G1246" t="n">
        <v>13</v>
      </c>
      <c r="H1246" t="n">
        <v>1.69</v>
      </c>
      <c r="I1246" t="n">
        <v>0.66</v>
      </c>
      <c r="J1246" t="inlineStr">
        <is>
          <t>Informational</t>
        </is>
      </c>
      <c r="K1246" t="inlineStr">
        <is>
          <t>NOT AVAILABLE (report not requested)</t>
        </is>
      </c>
      <c r="L1246" t="inlineStr">
        <is>
          <t>rising (calc.)</t>
        </is>
      </c>
      <c r="M1246" t="inlineStr">
        <is>
          <t>MEASURED</t>
        </is>
      </c>
      <c r="N1246" s="5" t="inlineStr">
        <is>
          <t>Semrush phrase_these (live, this session)</t>
        </is>
      </c>
      <c r="O1246" t="inlineStr">
        <is>
          <t>2026-10-30</t>
        </is>
      </c>
      <c r="P1246">
        <f>IF(IF(J1246="NOT AVAILABLE","",J1246)="",12,IF(OR(ISNUMBER(SEARCH("Transactional",IF(J1246="NOT AVAILABLE","",J1246))),ISNUMBER(SEARCH("Commercial",IF(J1246="NOT AVAILABLE","",J1246)))),25,IF(ISNUMBER(SEARCH("Informational",IF(J1246="NOT AVAILABLE","",J1246))),10,IF(ISNUMBER(SEARCH("Navigational",IF(J1246="NOT AVAILABLE","",J1246))),0,12))))</f>
        <v/>
      </c>
      <c r="Q1246">
        <f>IF(ISNUMBER(F1246),MIN(30,ROUND(30*LOG10(F1246+1)/4,1)),0)</f>
        <v/>
      </c>
      <c r="R1246">
        <f>IF(ISNUMBER(G1246),ROUND(25*(100-G1246)/100,1),12.5)</f>
        <v/>
      </c>
      <c r="S1246" t="n">
        <v>14</v>
      </c>
      <c r="T1246">
        <f>ROUND(P1246+Q1246+R1246+S1246,0)</f>
        <v/>
      </c>
      <c r="U1246" s="5" t="inlineStr"/>
      <c r="V1246" s="5" t="inlineStr"/>
    </row>
    <row r="1247">
      <c r="A1247" t="inlineStr">
        <is>
          <t>K1245</t>
        </is>
      </c>
      <c r="B1247" t="inlineStr">
        <is>
          <t>convertisseur majuscule</t>
        </is>
      </c>
      <c r="C1247" t="inlineStr">
        <is>
          <t>France</t>
        </is>
      </c>
      <c r="D1247" t="inlineStr">
        <is>
          <t>fr</t>
        </is>
      </c>
      <c r="E1247" t="inlineStr">
        <is>
          <t>fr</t>
        </is>
      </c>
      <c r="F1247" t="n">
        <v>90</v>
      </c>
      <c r="G1247" t="n">
        <v>9</v>
      </c>
      <c r="H1247" t="n">
        <v>0</v>
      </c>
      <c r="I1247" t="n">
        <v>0.33</v>
      </c>
      <c r="J1247" t="inlineStr">
        <is>
          <t>Informational</t>
        </is>
      </c>
      <c r="K1247" t="inlineStr">
        <is>
          <t>NOT AVAILABLE (report not requested)</t>
        </is>
      </c>
      <c r="L1247" t="inlineStr">
        <is>
          <t>declining (calc.)</t>
        </is>
      </c>
      <c r="M1247" t="inlineStr">
        <is>
          <t>MEASURED</t>
        </is>
      </c>
      <c r="N1247" s="5" t="inlineStr">
        <is>
          <t>Semrush phrase_these (live, this session)</t>
        </is>
      </c>
      <c r="O1247" t="inlineStr">
        <is>
          <t>2026-10-30</t>
        </is>
      </c>
      <c r="P1247">
        <f>IF(IF(J1247="NOT AVAILABLE","",J1247)="",12,IF(OR(ISNUMBER(SEARCH("Transactional",IF(J1247="NOT AVAILABLE","",J1247))),ISNUMBER(SEARCH("Commercial",IF(J1247="NOT AVAILABLE","",J1247)))),25,IF(ISNUMBER(SEARCH("Informational",IF(J1247="NOT AVAILABLE","",J1247))),10,IF(ISNUMBER(SEARCH("Navigational",IF(J1247="NOT AVAILABLE","",J1247))),0,12))))</f>
        <v/>
      </c>
      <c r="Q1247">
        <f>IF(ISNUMBER(F1247),MIN(30,ROUND(30*LOG10(F1247+1)/4,1)),0)</f>
        <v/>
      </c>
      <c r="R1247">
        <f>IF(ISNUMBER(G1247),ROUND(25*(100-G1247)/100,1),12.5)</f>
        <v/>
      </c>
      <c r="S1247" t="n">
        <v>14</v>
      </c>
      <c r="T1247">
        <f>ROUND(P1247+Q1247+R1247+S1247,0)</f>
        <v/>
      </c>
      <c r="U1247" s="5" t="inlineStr"/>
      <c r="V1247" s="5" t="inlineStr">
        <is>
          <t>SUPPORTING /tools/text-case-converter</t>
        </is>
      </c>
    </row>
    <row r="1248">
      <c r="A1248" t="inlineStr">
        <is>
          <t>K1246</t>
        </is>
      </c>
      <c r="B1248" t="inlineStr">
        <is>
          <t>création site internet médecin</t>
        </is>
      </c>
      <c r="C1248" t="inlineStr">
        <is>
          <t>France</t>
        </is>
      </c>
      <c r="D1248" t="inlineStr">
        <is>
          <t>fr</t>
        </is>
      </c>
      <c r="E1248" t="inlineStr">
        <is>
          <t>fr</t>
        </is>
      </c>
      <c r="F1248" t="n">
        <v>90</v>
      </c>
      <c r="G1248" t="n">
        <v>6</v>
      </c>
      <c r="H1248" t="n">
        <v>4.77</v>
      </c>
      <c r="I1248" t="n">
        <v>0.09</v>
      </c>
      <c r="J1248" t="inlineStr">
        <is>
          <t>Informational</t>
        </is>
      </c>
      <c r="K1248" t="inlineStr">
        <is>
          <t>NOT AVAILABLE (report not requested)</t>
        </is>
      </c>
      <c r="L1248" t="inlineStr">
        <is>
          <t>rising (calc.)</t>
        </is>
      </c>
      <c r="M1248" t="inlineStr">
        <is>
          <t>MEASURED</t>
        </is>
      </c>
      <c r="N1248" s="5" t="inlineStr">
        <is>
          <t>Semrush phrase_these (live, this session)</t>
        </is>
      </c>
      <c r="O1248" t="inlineStr">
        <is>
          <t>2026-10-30</t>
        </is>
      </c>
      <c r="P1248">
        <f>IF(IF(J1248="NOT AVAILABLE","",J1248)="",12,IF(OR(ISNUMBER(SEARCH("Transactional",IF(J1248="NOT AVAILABLE","",J1248))),ISNUMBER(SEARCH("Commercial",IF(J1248="NOT AVAILABLE","",J1248)))),25,IF(ISNUMBER(SEARCH("Informational",IF(J1248="NOT AVAILABLE","",J1248))),10,IF(ISNUMBER(SEARCH("Navigational",IF(J1248="NOT AVAILABLE","",J1248))),0,12))))</f>
        <v/>
      </c>
      <c r="Q1248">
        <f>IF(ISNUMBER(F1248),MIN(30,ROUND(30*LOG10(F1248+1)/4,1)),0)</f>
        <v/>
      </c>
      <c r="R1248">
        <f>IF(ISNUMBER(G1248),ROUND(25*(100-G1248)/100,1),12.5)</f>
        <v/>
      </c>
      <c r="S1248" t="n">
        <v>14</v>
      </c>
      <c r="T1248">
        <f>ROUND(P1248+Q1248+R1248+S1248,0)</f>
        <v/>
      </c>
      <c r="U1248" s="5" t="inlineStr"/>
      <c r="V1248" s="5" t="inlineStr">
        <is>
          <t>SECONDARY /services/healthcare-website-development</t>
        </is>
      </c>
    </row>
    <row r="1249">
      <c r="A1249" t="inlineStr">
        <is>
          <t>K1247</t>
        </is>
      </c>
      <c r="B1249" t="inlineStr">
        <is>
          <t>création site web agence immobilière</t>
        </is>
      </c>
      <c r="C1249" t="inlineStr">
        <is>
          <t>France</t>
        </is>
      </c>
      <c r="D1249" t="inlineStr">
        <is>
          <t>fr</t>
        </is>
      </c>
      <c r="E1249" t="inlineStr">
        <is>
          <t>fr</t>
        </is>
      </c>
      <c r="F1249" t="n">
        <v>90</v>
      </c>
      <c r="G1249" t="n">
        <v>19</v>
      </c>
      <c r="H1249" t="n">
        <v>0</v>
      </c>
      <c r="I1249" t="n">
        <v>0.71</v>
      </c>
      <c r="J1249" t="inlineStr">
        <is>
          <t>Informational</t>
        </is>
      </c>
      <c r="K1249" t="inlineStr">
        <is>
          <t>NOT AVAILABLE (report not requested)</t>
        </is>
      </c>
      <c r="L1249" t="inlineStr">
        <is>
          <t>declining (calc.)</t>
        </is>
      </c>
      <c r="M1249" t="inlineStr">
        <is>
          <t>MEASURED</t>
        </is>
      </c>
      <c r="N1249" s="5" t="inlineStr">
        <is>
          <t>Semrush phrase_these (live, this session)</t>
        </is>
      </c>
      <c r="O1249" t="inlineStr">
        <is>
          <t>2026-10-30</t>
        </is>
      </c>
      <c r="P1249">
        <f>IF(IF(J1249="NOT AVAILABLE","",J1249)="",12,IF(OR(ISNUMBER(SEARCH("Transactional",IF(J1249="NOT AVAILABLE","",J1249))),ISNUMBER(SEARCH("Commercial",IF(J1249="NOT AVAILABLE","",J1249)))),25,IF(ISNUMBER(SEARCH("Informational",IF(J1249="NOT AVAILABLE","",J1249))),10,IF(ISNUMBER(SEARCH("Navigational",IF(J1249="NOT AVAILABLE","",J1249))),0,12))))</f>
        <v/>
      </c>
      <c r="Q1249">
        <f>IF(ISNUMBER(F1249),MIN(30,ROUND(30*LOG10(F1249+1)/4,1)),0)</f>
        <v/>
      </c>
      <c r="R1249">
        <f>IF(ISNUMBER(G1249),ROUND(25*(100-G1249)/100,1),12.5)</f>
        <v/>
      </c>
      <c r="S1249" t="n">
        <v>14</v>
      </c>
      <c r="T1249">
        <f>ROUND(P1249+Q1249+R1249+S1249,0)</f>
        <v/>
      </c>
      <c r="U1249" s="5" t="inlineStr"/>
      <c r="V1249" s="5" t="inlineStr">
        <is>
          <t>SECONDARY /services/real-estate-website-development</t>
        </is>
      </c>
    </row>
    <row r="1250">
      <c r="A1250" t="inlineStr">
        <is>
          <t>K1248</t>
        </is>
      </c>
      <c r="B1250" t="inlineStr">
        <is>
          <t>domaine expiré</t>
        </is>
      </c>
      <c r="C1250" t="inlineStr">
        <is>
          <t>France</t>
        </is>
      </c>
      <c r="D1250" t="inlineStr">
        <is>
          <t>fr</t>
        </is>
      </c>
      <c r="E1250" t="inlineStr">
        <is>
          <t>fr</t>
        </is>
      </c>
      <c r="F1250" t="n">
        <v>90</v>
      </c>
      <c r="G1250" t="n">
        <v>19</v>
      </c>
      <c r="H1250" t="n">
        <v>1.22</v>
      </c>
      <c r="I1250" t="n">
        <v>0.26</v>
      </c>
      <c r="J1250" t="inlineStr">
        <is>
          <t>Informational</t>
        </is>
      </c>
      <c r="K1250" t="inlineStr">
        <is>
          <t>NOT AVAILABLE (report not requested)</t>
        </is>
      </c>
      <c r="L1250" t="inlineStr">
        <is>
          <t>declining (calc.)</t>
        </is>
      </c>
      <c r="M1250" t="inlineStr">
        <is>
          <t>MEASURED</t>
        </is>
      </c>
      <c r="N1250" s="5" t="inlineStr">
        <is>
          <t>Semrush phrase_these (live, this session)</t>
        </is>
      </c>
      <c r="O1250" t="inlineStr">
        <is>
          <t>2026-10-30</t>
        </is>
      </c>
      <c r="P1250">
        <f>IF(IF(J1250="NOT AVAILABLE","",J1250)="",12,IF(OR(ISNUMBER(SEARCH("Transactional",IF(J1250="NOT AVAILABLE","",J1250))),ISNUMBER(SEARCH("Commercial",IF(J1250="NOT AVAILABLE","",J1250)))),25,IF(ISNUMBER(SEARCH("Informational",IF(J1250="NOT AVAILABLE","",J1250))),10,IF(ISNUMBER(SEARCH("Navigational",IF(J1250="NOT AVAILABLE","",J1250))),0,12))))</f>
        <v/>
      </c>
      <c r="Q1250">
        <f>IF(ISNUMBER(F1250),MIN(30,ROUND(30*LOG10(F1250+1)/4,1)),0)</f>
        <v/>
      </c>
      <c r="R1250">
        <f>IF(ISNUMBER(G1250),ROUND(25*(100-G1250)/100,1),12.5)</f>
        <v/>
      </c>
      <c r="S1250" t="n">
        <v>14</v>
      </c>
      <c r="T1250">
        <f>ROUND(P1250+Q1250+R1250+S1250,0)</f>
        <v/>
      </c>
      <c r="U1250" s="5" t="inlineStr"/>
      <c r="V1250" s="5" t="inlineStr">
        <is>
          <t>SUPPORTING /tools/expired-domain-checker</t>
        </is>
      </c>
    </row>
    <row r="1251">
      <c r="A1251" t="inlineStr">
        <is>
          <t>K1249</t>
        </is>
      </c>
      <c r="B1251" t="inlineStr">
        <is>
          <t>fichier robots.txt</t>
        </is>
      </c>
      <c r="C1251" t="inlineStr">
        <is>
          <t>France</t>
        </is>
      </c>
      <c r="D1251" t="inlineStr">
        <is>
          <t>fr</t>
        </is>
      </c>
      <c r="E1251" t="inlineStr">
        <is>
          <t>fr</t>
        </is>
      </c>
      <c r="F1251" t="n">
        <v>90</v>
      </c>
      <c r="G1251" t="n">
        <v>37</v>
      </c>
      <c r="H1251" t="n">
        <v>0.17</v>
      </c>
      <c r="I1251" t="n">
        <v>0.06</v>
      </c>
      <c r="J1251" t="inlineStr">
        <is>
          <t>Informational</t>
        </is>
      </c>
      <c r="K1251" t="inlineStr">
        <is>
          <t>NOT AVAILABLE (report not requested)</t>
        </is>
      </c>
      <c r="L1251" t="inlineStr">
        <is>
          <t>declining (calc.)</t>
        </is>
      </c>
      <c r="M1251" t="inlineStr">
        <is>
          <t>MEASURED</t>
        </is>
      </c>
      <c r="N1251" s="5" t="inlineStr">
        <is>
          <t>Semrush phrase_these (live, this session)</t>
        </is>
      </c>
      <c r="O1251" t="inlineStr">
        <is>
          <t>2026-10-30</t>
        </is>
      </c>
      <c r="P1251">
        <f>IF(IF(J1251="NOT AVAILABLE","",J1251)="",12,IF(OR(ISNUMBER(SEARCH("Transactional",IF(J1251="NOT AVAILABLE","",J1251))),ISNUMBER(SEARCH("Commercial",IF(J1251="NOT AVAILABLE","",J1251)))),25,IF(ISNUMBER(SEARCH("Informational",IF(J1251="NOT AVAILABLE","",J1251))),10,IF(ISNUMBER(SEARCH("Navigational",IF(J1251="NOT AVAILABLE","",J1251))),0,12))))</f>
        <v/>
      </c>
      <c r="Q1251">
        <f>IF(ISNUMBER(F1251),MIN(30,ROUND(30*LOG10(F1251+1)/4,1)),0)</f>
        <v/>
      </c>
      <c r="R1251">
        <f>IF(ISNUMBER(G1251),ROUND(25*(100-G1251)/100,1),12.5)</f>
        <v/>
      </c>
      <c r="S1251" t="n">
        <v>14</v>
      </c>
      <c r="T1251">
        <f>ROUND(P1251+Q1251+R1251+S1251,0)</f>
        <v/>
      </c>
      <c r="U1251" s="5" t="inlineStr"/>
      <c r="V1251" s="5" t="inlineStr">
        <is>
          <t>SUPPORTING /tools/robots-txt-generator</t>
        </is>
      </c>
    </row>
    <row r="1252">
      <c r="A1252" t="inlineStr">
        <is>
          <t>K1250</t>
        </is>
      </c>
      <c r="B1252" t="inlineStr">
        <is>
          <t>n-gram</t>
        </is>
      </c>
      <c r="C1252" t="inlineStr">
        <is>
          <t>France</t>
        </is>
      </c>
      <c r="D1252" t="inlineStr">
        <is>
          <t>fr</t>
        </is>
      </c>
      <c r="E1252" t="inlineStr">
        <is>
          <t>fr</t>
        </is>
      </c>
      <c r="F1252" t="n">
        <v>90</v>
      </c>
      <c r="G1252" t="n">
        <v>19</v>
      </c>
      <c r="H1252" t="n">
        <v>0</v>
      </c>
      <c r="I1252" t="n">
        <v>0.33</v>
      </c>
      <c r="J1252" t="inlineStr">
        <is>
          <t>Informational</t>
        </is>
      </c>
      <c r="K1252" t="inlineStr">
        <is>
          <t>NOT AVAILABLE (report not requested)</t>
        </is>
      </c>
      <c r="L1252" t="inlineStr">
        <is>
          <t>declining (calc.)</t>
        </is>
      </c>
      <c r="M1252" t="inlineStr">
        <is>
          <t>MEASURED</t>
        </is>
      </c>
      <c r="N1252" s="5" t="inlineStr">
        <is>
          <t>Semrush phrase_these (live, this session)</t>
        </is>
      </c>
      <c r="O1252" t="inlineStr">
        <is>
          <t>2026-10-30</t>
        </is>
      </c>
      <c r="P1252">
        <f>IF(IF(J1252="NOT AVAILABLE","",J1252)="",12,IF(OR(ISNUMBER(SEARCH("Transactional",IF(J1252="NOT AVAILABLE","",J1252))),ISNUMBER(SEARCH("Commercial",IF(J1252="NOT AVAILABLE","",J1252)))),25,IF(ISNUMBER(SEARCH("Informational",IF(J1252="NOT AVAILABLE","",J1252))),10,IF(ISNUMBER(SEARCH("Navigational",IF(J1252="NOT AVAILABLE","",J1252))),0,12))))</f>
        <v/>
      </c>
      <c r="Q1252">
        <f>IF(ISNUMBER(F1252),MIN(30,ROUND(30*LOG10(F1252+1)/4,1)),0)</f>
        <v/>
      </c>
      <c r="R1252">
        <f>IF(ISNUMBER(G1252),ROUND(25*(100-G1252)/100,1),12.5)</f>
        <v/>
      </c>
      <c r="S1252" t="n">
        <v>14</v>
      </c>
      <c r="T1252">
        <f>ROUND(P1252+Q1252+R1252+S1252,0)</f>
        <v/>
      </c>
      <c r="U1252" s="5" t="inlineStr"/>
      <c r="V1252" s="5" t="inlineStr">
        <is>
          <t>PRIMARY /tools/ngram-extractor</t>
        </is>
      </c>
    </row>
    <row r="1253">
      <c r="A1253" t="inlineStr">
        <is>
          <t>K1251</t>
        </is>
      </c>
      <c r="B1253" t="inlineStr">
        <is>
          <t>prix création site web</t>
        </is>
      </c>
      <c r="C1253" t="inlineStr">
        <is>
          <t>France</t>
        </is>
      </c>
      <c r="D1253" t="inlineStr">
        <is>
          <t>fr</t>
        </is>
      </c>
      <c r="E1253" t="inlineStr">
        <is>
          <t>fr</t>
        </is>
      </c>
      <c r="F1253" t="n">
        <v>90</v>
      </c>
      <c r="G1253" t="n">
        <v>33</v>
      </c>
      <c r="H1253" t="n">
        <v>1.37</v>
      </c>
      <c r="I1253" t="n">
        <v>0.42</v>
      </c>
      <c r="J1253" t="inlineStr">
        <is>
          <t>Transactional</t>
        </is>
      </c>
      <c r="K1253" t="inlineStr">
        <is>
          <t>NOT AVAILABLE (report not requested)</t>
        </is>
      </c>
      <c r="L1253" t="inlineStr">
        <is>
          <t>stable (calc.)</t>
        </is>
      </c>
      <c r="M1253" t="inlineStr">
        <is>
          <t>MEASURED</t>
        </is>
      </c>
      <c r="N1253" s="5" t="inlineStr">
        <is>
          <t>Semrush phrase_these (live, this session)</t>
        </is>
      </c>
      <c r="O1253" t="inlineStr">
        <is>
          <t>2026-10-30</t>
        </is>
      </c>
      <c r="P1253">
        <f>IF(IF(J1253="NOT AVAILABLE","",J1253)="",12,IF(OR(ISNUMBER(SEARCH("Transactional",IF(J1253="NOT AVAILABLE","",J1253))),ISNUMBER(SEARCH("Commercial",IF(J1253="NOT AVAILABLE","",J1253)))),25,IF(ISNUMBER(SEARCH("Informational",IF(J1253="NOT AVAILABLE","",J1253))),10,IF(ISNUMBER(SEARCH("Navigational",IF(J1253="NOT AVAILABLE","",J1253))),0,12))))</f>
        <v/>
      </c>
      <c r="Q1253">
        <f>IF(ISNUMBER(F1253),MIN(30,ROUND(30*LOG10(F1253+1)/4,1)),0)</f>
        <v/>
      </c>
      <c r="R1253">
        <f>IF(ISNUMBER(G1253),ROUND(25*(100-G1253)/100,1),12.5)</f>
        <v/>
      </c>
      <c r="S1253" t="n">
        <v>14</v>
      </c>
      <c r="T1253">
        <f>ROUND(P1253+Q1253+R1253+S1253,0)</f>
        <v/>
      </c>
      <c r="U1253" s="5" t="inlineStr"/>
      <c r="V1253" s="5" t="inlineStr"/>
    </row>
    <row r="1254">
      <c r="A1254" t="inlineStr">
        <is>
          <t>K1252</t>
        </is>
      </c>
      <c r="B1254" t="inlineStr">
        <is>
          <t>site e-commerce sur mesure</t>
        </is>
      </c>
      <c r="C1254" t="inlineStr">
        <is>
          <t>France</t>
        </is>
      </c>
      <c r="D1254" t="inlineStr">
        <is>
          <t>fr</t>
        </is>
      </c>
      <c r="E1254" t="inlineStr">
        <is>
          <t>fr</t>
        </is>
      </c>
      <c r="F1254" t="n">
        <v>90</v>
      </c>
      <c r="G1254" t="n">
        <v>9</v>
      </c>
      <c r="H1254" t="n">
        <v>0</v>
      </c>
      <c r="I1254" t="n">
        <v>0.01</v>
      </c>
      <c r="J1254" t="inlineStr">
        <is>
          <t>Informational</t>
        </is>
      </c>
      <c r="K1254" t="inlineStr">
        <is>
          <t>NOT AVAILABLE (report not requested)</t>
        </is>
      </c>
      <c r="L1254" t="inlineStr">
        <is>
          <t>rising (calc.)</t>
        </is>
      </c>
      <c r="M1254" t="inlineStr">
        <is>
          <t>MEASURED</t>
        </is>
      </c>
      <c r="N1254" s="5" t="inlineStr">
        <is>
          <t>Semrush phrase_these (live, this session)</t>
        </is>
      </c>
      <c r="O1254" t="inlineStr">
        <is>
          <t>2026-10-30</t>
        </is>
      </c>
      <c r="P1254">
        <f>IF(IF(J1254="NOT AVAILABLE","",J1254)="",12,IF(OR(ISNUMBER(SEARCH("Transactional",IF(J1254="NOT AVAILABLE","",J1254))),ISNUMBER(SEARCH("Commercial",IF(J1254="NOT AVAILABLE","",J1254)))),25,IF(ISNUMBER(SEARCH("Informational",IF(J1254="NOT AVAILABLE","",J1254))),10,IF(ISNUMBER(SEARCH("Navigational",IF(J1254="NOT AVAILABLE","",J1254))),0,12))))</f>
        <v/>
      </c>
      <c r="Q1254">
        <f>IF(ISNUMBER(F1254),MIN(30,ROUND(30*LOG10(F1254+1)/4,1)),0)</f>
        <v/>
      </c>
      <c r="R1254">
        <f>IF(ISNUMBER(G1254),ROUND(25*(100-G1254)/100,1),12.5)</f>
        <v/>
      </c>
      <c r="S1254" t="n">
        <v>14</v>
      </c>
      <c r="T1254">
        <f>ROUND(P1254+Q1254+R1254+S1254,0)</f>
        <v/>
      </c>
      <c r="U1254" s="5" t="inlineStr"/>
      <c r="V1254" s="5" t="inlineStr">
        <is>
          <t>SUPPORTING /services/ecommerce-website-development</t>
        </is>
      </c>
    </row>
    <row r="1255">
      <c r="A1255" t="inlineStr">
        <is>
          <t>K1253</t>
        </is>
      </c>
      <c r="B1255" t="inlineStr">
        <is>
          <t>site responsive test</t>
        </is>
      </c>
      <c r="C1255" t="inlineStr">
        <is>
          <t>France</t>
        </is>
      </c>
      <c r="D1255" t="inlineStr">
        <is>
          <t>fr</t>
        </is>
      </c>
      <c r="E1255" t="inlineStr">
        <is>
          <t>fr</t>
        </is>
      </c>
      <c r="F1255" t="n">
        <v>90</v>
      </c>
      <c r="G1255" t="n">
        <v>24</v>
      </c>
      <c r="H1255" t="n">
        <v>1.79</v>
      </c>
      <c r="I1255" t="n">
        <v>0.25</v>
      </c>
      <c r="J1255" t="inlineStr">
        <is>
          <t>Informational</t>
        </is>
      </c>
      <c r="K1255" t="inlineStr">
        <is>
          <t>NOT AVAILABLE (report not requested)</t>
        </is>
      </c>
      <c r="L1255" t="inlineStr">
        <is>
          <t>declining (calc.)</t>
        </is>
      </c>
      <c r="M1255" t="inlineStr">
        <is>
          <t>MEASURED</t>
        </is>
      </c>
      <c r="N1255" s="5" t="inlineStr">
        <is>
          <t>Semrush phrase_these (live, this session)</t>
        </is>
      </c>
      <c r="O1255" t="inlineStr">
        <is>
          <t>2026-10-30</t>
        </is>
      </c>
      <c r="P1255">
        <f>IF(IF(J1255="NOT AVAILABLE","",J1255)="",12,IF(OR(ISNUMBER(SEARCH("Transactional",IF(J1255="NOT AVAILABLE","",J1255))),ISNUMBER(SEARCH("Commercial",IF(J1255="NOT AVAILABLE","",J1255)))),25,IF(ISNUMBER(SEARCH("Informational",IF(J1255="NOT AVAILABLE","",J1255))),10,IF(ISNUMBER(SEARCH("Navigational",IF(J1255="NOT AVAILABLE","",J1255))),0,12))))</f>
        <v/>
      </c>
      <c r="Q1255">
        <f>IF(ISNUMBER(F1255),MIN(30,ROUND(30*LOG10(F1255+1)/4,1)),0)</f>
        <v/>
      </c>
      <c r="R1255">
        <f>IF(ISNUMBER(G1255),ROUND(25*(100-G1255)/100,1),12.5)</f>
        <v/>
      </c>
      <c r="S1255" t="n">
        <v>14</v>
      </c>
      <c r="T1255">
        <f>ROUND(P1255+Q1255+R1255+S1255,0)</f>
        <v/>
      </c>
      <c r="U1255" s="5" t="inlineStr"/>
      <c r="V1255" s="5" t="inlineStr">
        <is>
          <t>SUPPORTING /tools/mobile-friendly-test</t>
        </is>
      </c>
    </row>
    <row r="1256">
      <c r="A1256" t="inlineStr">
        <is>
          <t>K1254</t>
        </is>
      </c>
      <c r="B1256" t="inlineStr">
        <is>
          <t>site universitaire</t>
        </is>
      </c>
      <c r="C1256" t="inlineStr">
        <is>
          <t>France</t>
        </is>
      </c>
      <c r="D1256" t="inlineStr">
        <is>
          <t>fr</t>
        </is>
      </c>
      <c r="E1256" t="inlineStr">
        <is>
          <t>fr</t>
        </is>
      </c>
      <c r="F1256" t="n">
        <v>90</v>
      </c>
      <c r="G1256" t="n">
        <v>98</v>
      </c>
      <c r="H1256" t="n">
        <v>1.29</v>
      </c>
      <c r="I1256" t="n">
        <v>0.08</v>
      </c>
      <c r="J1256" t="inlineStr">
        <is>
          <t>Transactional</t>
        </is>
      </c>
      <c r="K1256" t="inlineStr">
        <is>
          <t>NOT AVAILABLE (report not requested)</t>
        </is>
      </c>
      <c r="L1256" t="inlineStr">
        <is>
          <t>rising (calc.)</t>
        </is>
      </c>
      <c r="M1256" t="inlineStr">
        <is>
          <t>MEASURED</t>
        </is>
      </c>
      <c r="N1256" s="5" t="inlineStr">
        <is>
          <t>Semrush phrase_these (live, this session)</t>
        </is>
      </c>
      <c r="O1256" t="inlineStr">
        <is>
          <t>2026-10-30</t>
        </is>
      </c>
      <c r="P1256">
        <f>IF(IF(J1256="NOT AVAILABLE","",J1256)="",12,IF(OR(ISNUMBER(SEARCH("Transactional",IF(J1256="NOT AVAILABLE","",J1256))),ISNUMBER(SEARCH("Commercial",IF(J1256="NOT AVAILABLE","",J1256)))),25,IF(ISNUMBER(SEARCH("Informational",IF(J1256="NOT AVAILABLE","",J1256))),10,IF(ISNUMBER(SEARCH("Navigational",IF(J1256="NOT AVAILABLE","",J1256))),0,12))))</f>
        <v/>
      </c>
      <c r="Q1256">
        <f>IF(ISNUMBER(F1256),MIN(30,ROUND(30*LOG10(F1256+1)/4,1)),0)</f>
        <v/>
      </c>
      <c r="R1256">
        <f>IF(ISNUMBER(G1256),ROUND(25*(100-G1256)/100,1),12.5)</f>
        <v/>
      </c>
      <c r="S1256" t="n">
        <v>14</v>
      </c>
      <c r="T1256">
        <f>ROUND(P1256+Q1256+R1256+S1256,0)</f>
        <v/>
      </c>
      <c r="U1256" s="5" t="inlineStr"/>
      <c r="V1256" s="5" t="inlineStr">
        <is>
          <t>NOT RECOMMENDED /services/university-website-development</t>
        </is>
      </c>
    </row>
    <row r="1257">
      <c r="A1257" t="inlineStr">
        <is>
          <t>K1255</t>
        </is>
      </c>
      <c r="B1257" t="inlineStr">
        <is>
          <t>agence développement saas</t>
        </is>
      </c>
      <c r="C1257" t="inlineStr">
        <is>
          <t>France</t>
        </is>
      </c>
      <c r="D1257" t="inlineStr">
        <is>
          <t>fr</t>
        </is>
      </c>
      <c r="E1257" t="inlineStr">
        <is>
          <t>fr</t>
        </is>
      </c>
      <c r="F1257" t="n">
        <v>70</v>
      </c>
      <c r="G1257" t="n">
        <v>12</v>
      </c>
      <c r="H1257" t="n">
        <v>15.03</v>
      </c>
      <c r="I1257" t="n">
        <v>0.33</v>
      </c>
      <c r="J1257" t="inlineStr">
        <is>
          <t>Commercial</t>
        </is>
      </c>
      <c r="K1257" t="inlineStr">
        <is>
          <t>NOT AVAILABLE (report not requested)</t>
        </is>
      </c>
      <c r="L1257" t="inlineStr">
        <is>
          <t>rising (calc.)</t>
        </is>
      </c>
      <c r="M1257" t="inlineStr">
        <is>
          <t>MEASURED</t>
        </is>
      </c>
      <c r="N1257" s="5" t="inlineStr">
        <is>
          <t>Semrush phrase_these (live, this session)</t>
        </is>
      </c>
      <c r="O1257" t="inlineStr">
        <is>
          <t>2026-10-30</t>
        </is>
      </c>
      <c r="P1257">
        <f>IF(IF(J1257="NOT AVAILABLE","",J1257)="",12,IF(OR(ISNUMBER(SEARCH("Transactional",IF(J1257="NOT AVAILABLE","",J1257))),ISNUMBER(SEARCH("Commercial",IF(J1257="NOT AVAILABLE","",J1257)))),25,IF(ISNUMBER(SEARCH("Informational",IF(J1257="NOT AVAILABLE","",J1257))),10,IF(ISNUMBER(SEARCH("Navigational",IF(J1257="NOT AVAILABLE","",J1257))),0,12))))</f>
        <v/>
      </c>
      <c r="Q1257">
        <f>IF(ISNUMBER(F1257),MIN(30,ROUND(30*LOG10(F1257+1)/4,1)),0)</f>
        <v/>
      </c>
      <c r="R1257">
        <f>IF(ISNUMBER(G1257),ROUND(25*(100-G1257)/100,1),12.5)</f>
        <v/>
      </c>
      <c r="S1257" t="n">
        <v>14</v>
      </c>
      <c r="T1257">
        <f>ROUND(P1257+Q1257+R1257+S1257,0)</f>
        <v/>
      </c>
      <c r="U1257" s="5" t="inlineStr"/>
      <c r="V1257" s="5" t="inlineStr">
        <is>
          <t>SUPPORTING /services/saas-platform-development</t>
        </is>
      </c>
    </row>
    <row r="1258">
      <c r="A1258" t="inlineStr">
        <is>
          <t>K1256</t>
        </is>
      </c>
      <c r="B1258" t="inlineStr">
        <is>
          <t>attribut alt</t>
        </is>
      </c>
      <c r="C1258" t="inlineStr">
        <is>
          <t>France</t>
        </is>
      </c>
      <c r="D1258" t="inlineStr">
        <is>
          <t>fr</t>
        </is>
      </c>
      <c r="E1258" t="inlineStr">
        <is>
          <t>fr</t>
        </is>
      </c>
      <c r="F1258" t="n">
        <v>70</v>
      </c>
      <c r="G1258" t="n">
        <v>24</v>
      </c>
      <c r="H1258" t="n">
        <v>0</v>
      </c>
      <c r="I1258" t="n">
        <v>0.33</v>
      </c>
      <c r="J1258" t="inlineStr">
        <is>
          <t>Informational</t>
        </is>
      </c>
      <c r="K1258" t="inlineStr">
        <is>
          <t>NOT AVAILABLE (report not requested)</t>
        </is>
      </c>
      <c r="L1258" t="inlineStr">
        <is>
          <t>stable (calc.)</t>
        </is>
      </c>
      <c r="M1258" t="inlineStr">
        <is>
          <t>MEASURED</t>
        </is>
      </c>
      <c r="N1258" s="5" t="inlineStr">
        <is>
          <t>Semrush phrase_these (live, this session)</t>
        </is>
      </c>
      <c r="O1258" t="inlineStr">
        <is>
          <t>2026-10-30</t>
        </is>
      </c>
      <c r="P1258">
        <f>IF(IF(J1258="NOT AVAILABLE","",J1258)="",12,IF(OR(ISNUMBER(SEARCH("Transactional",IF(J1258="NOT AVAILABLE","",J1258))),ISNUMBER(SEARCH("Commercial",IF(J1258="NOT AVAILABLE","",J1258)))),25,IF(ISNUMBER(SEARCH("Informational",IF(J1258="NOT AVAILABLE","",J1258))),10,IF(ISNUMBER(SEARCH("Navigational",IF(J1258="NOT AVAILABLE","",J1258))),0,12))))</f>
        <v/>
      </c>
      <c r="Q1258">
        <f>IF(ISNUMBER(F1258),MIN(30,ROUND(30*LOG10(F1258+1)/4,1)),0)</f>
        <v/>
      </c>
      <c r="R1258">
        <f>IF(ISNUMBER(G1258),ROUND(25*(100-G1258)/100,1),12.5)</f>
        <v/>
      </c>
      <c r="S1258" t="n">
        <v>14</v>
      </c>
      <c r="T1258">
        <f>ROUND(P1258+Q1258+R1258+S1258,0)</f>
        <v/>
      </c>
      <c r="U1258" s="5" t="inlineStr"/>
      <c r="V1258" s="5" t="inlineStr">
        <is>
          <t>SUPPORTING /tools/image-alt-analyzer</t>
        </is>
      </c>
    </row>
    <row r="1259">
      <c r="A1259" t="inlineStr">
        <is>
          <t>K1257</t>
        </is>
      </c>
      <c r="B1259" t="inlineStr">
        <is>
          <t>création site agence de voyage</t>
        </is>
      </c>
      <c r="C1259" t="inlineStr">
        <is>
          <t>France</t>
        </is>
      </c>
      <c r="D1259" t="inlineStr">
        <is>
          <t>fr</t>
        </is>
      </c>
      <c r="E1259" t="inlineStr">
        <is>
          <t>fr</t>
        </is>
      </c>
      <c r="F1259" t="n">
        <v>70</v>
      </c>
      <c r="G1259" t="inlineStr">
        <is>
          <t>NOT AVAILABLE</t>
        </is>
      </c>
      <c r="H1259" t="n">
        <v>0</v>
      </c>
      <c r="I1259" t="n">
        <v>0</v>
      </c>
      <c r="J1259" t="inlineStr">
        <is>
          <t>NOT AVAILABLE</t>
        </is>
      </c>
      <c r="K1259" t="inlineStr">
        <is>
          <t>NOT AVAILABLE (report not requested)</t>
        </is>
      </c>
      <c r="L1259" t="inlineStr">
        <is>
          <t>rising (calc.)</t>
        </is>
      </c>
      <c r="M1259" t="inlineStr">
        <is>
          <t>MEASURED</t>
        </is>
      </c>
      <c r="N1259" s="5" t="inlineStr">
        <is>
          <t>Semrush phrase_these (live, this session)</t>
        </is>
      </c>
      <c r="O1259" t="inlineStr">
        <is>
          <t>2026-10-30</t>
        </is>
      </c>
      <c r="P1259">
        <f>IF(IF(J1259="NOT AVAILABLE","",J1259)="",12,IF(OR(ISNUMBER(SEARCH("Transactional",IF(J1259="NOT AVAILABLE","",J1259))),ISNUMBER(SEARCH("Commercial",IF(J1259="NOT AVAILABLE","",J1259)))),25,IF(ISNUMBER(SEARCH("Informational",IF(J1259="NOT AVAILABLE","",J1259))),10,IF(ISNUMBER(SEARCH("Navigational",IF(J1259="NOT AVAILABLE","",J1259))),0,12))))</f>
        <v/>
      </c>
      <c r="Q1259">
        <f>IF(ISNUMBER(F1259),MIN(30,ROUND(30*LOG10(F1259+1)/4,1)),0)</f>
        <v/>
      </c>
      <c r="R1259">
        <f>IF(ISNUMBER(G1259),ROUND(25*(100-G1259)/100,1),12.5)</f>
        <v/>
      </c>
      <c r="S1259" t="n">
        <v>14</v>
      </c>
      <c r="T1259">
        <f>ROUND(P1259+Q1259+R1259+S1259,0)</f>
        <v/>
      </c>
      <c r="U1259" s="5" t="inlineStr"/>
      <c r="V1259" s="5" t="inlineStr">
        <is>
          <t>PRIMARY /our-work/morocco-quest</t>
        </is>
      </c>
    </row>
    <row r="1260">
      <c r="A1260" t="inlineStr">
        <is>
          <t>K1258</t>
        </is>
      </c>
      <c r="B1260" t="inlineStr">
        <is>
          <t>création site web architecte</t>
        </is>
      </c>
      <c r="C1260" t="inlineStr">
        <is>
          <t>France</t>
        </is>
      </c>
      <c r="D1260" t="inlineStr">
        <is>
          <t>fr</t>
        </is>
      </c>
      <c r="E1260" t="inlineStr">
        <is>
          <t>fr</t>
        </is>
      </c>
      <c r="F1260" t="n">
        <v>70</v>
      </c>
      <c r="G1260" t="n">
        <v>6</v>
      </c>
      <c r="H1260" t="n">
        <v>0</v>
      </c>
      <c r="I1260" t="n">
        <v>0.43</v>
      </c>
      <c r="J1260" t="inlineStr">
        <is>
          <t>Informational</t>
        </is>
      </c>
      <c r="K1260" t="inlineStr">
        <is>
          <t>NOT AVAILABLE (report not requested)</t>
        </is>
      </c>
      <c r="L1260" t="inlineStr">
        <is>
          <t>declining (calc.)</t>
        </is>
      </c>
      <c r="M1260" t="inlineStr">
        <is>
          <t>MEASURED</t>
        </is>
      </c>
      <c r="N1260" s="5" t="inlineStr">
        <is>
          <t>Semrush phrase_these (live, this session)</t>
        </is>
      </c>
      <c r="O1260" t="inlineStr">
        <is>
          <t>2026-10-30</t>
        </is>
      </c>
      <c r="P1260">
        <f>IF(IF(J1260="NOT AVAILABLE","",J1260)="",12,IF(OR(ISNUMBER(SEARCH("Transactional",IF(J1260="NOT AVAILABLE","",J1260))),ISNUMBER(SEARCH("Commercial",IF(J1260="NOT AVAILABLE","",J1260)))),25,IF(ISNUMBER(SEARCH("Informational",IF(J1260="NOT AVAILABLE","",J1260))),10,IF(ISNUMBER(SEARCH("Navigational",IF(J1260="NOT AVAILABLE","",J1260))),0,12))))</f>
        <v/>
      </c>
      <c r="Q1260">
        <f>IF(ISNUMBER(F1260),MIN(30,ROUND(30*LOG10(F1260+1)/4,1)),0)</f>
        <v/>
      </c>
      <c r="R1260">
        <f>IF(ISNUMBER(G1260),ROUND(25*(100-G1260)/100,1),12.5)</f>
        <v/>
      </c>
      <c r="S1260" t="n">
        <v>14</v>
      </c>
      <c r="T1260">
        <f>ROUND(P1260+Q1260+R1260+S1260,0)</f>
        <v/>
      </c>
      <c r="U1260" s="5" t="inlineStr"/>
      <c r="V1260" s="5" t="inlineStr">
        <is>
          <t>PRIMARY /our-work/akoubri</t>
        </is>
      </c>
    </row>
    <row r="1261">
      <c r="A1261" t="inlineStr">
        <is>
          <t>K1259</t>
        </is>
      </c>
      <c r="B1261" t="inlineStr">
        <is>
          <t>créer un logiciel saas</t>
        </is>
      </c>
      <c r="C1261" t="inlineStr">
        <is>
          <t>France</t>
        </is>
      </c>
      <c r="D1261" t="inlineStr">
        <is>
          <t>fr</t>
        </is>
      </c>
      <c r="E1261" t="inlineStr">
        <is>
          <t>fr</t>
        </is>
      </c>
      <c r="F1261" t="n">
        <v>70</v>
      </c>
      <c r="G1261" t="n">
        <v>7</v>
      </c>
      <c r="H1261" t="n">
        <v>0</v>
      </c>
      <c r="I1261" t="n">
        <v>0</v>
      </c>
      <c r="J1261" t="inlineStr">
        <is>
          <t>Informational</t>
        </is>
      </c>
      <c r="K1261" t="inlineStr">
        <is>
          <t>NOT AVAILABLE (report not requested)</t>
        </is>
      </c>
      <c r="L1261" t="inlineStr">
        <is>
          <t>declining (calc.)</t>
        </is>
      </c>
      <c r="M1261" t="inlineStr">
        <is>
          <t>MEASURED</t>
        </is>
      </c>
      <c r="N1261" s="5" t="inlineStr">
        <is>
          <t>Semrush phrase_these (live, this session)</t>
        </is>
      </c>
      <c r="O1261" t="inlineStr">
        <is>
          <t>2026-10-30</t>
        </is>
      </c>
      <c r="P1261">
        <f>IF(IF(J1261="NOT AVAILABLE","",J1261)="",12,IF(OR(ISNUMBER(SEARCH("Transactional",IF(J1261="NOT AVAILABLE","",J1261))),ISNUMBER(SEARCH("Commercial",IF(J1261="NOT AVAILABLE","",J1261)))),25,IF(ISNUMBER(SEARCH("Informational",IF(J1261="NOT AVAILABLE","",J1261))),10,IF(ISNUMBER(SEARCH("Navigational",IF(J1261="NOT AVAILABLE","",J1261))),0,12))))</f>
        <v/>
      </c>
      <c r="Q1261">
        <f>IF(ISNUMBER(F1261),MIN(30,ROUND(30*LOG10(F1261+1)/4,1)),0)</f>
        <v/>
      </c>
      <c r="R1261">
        <f>IF(ISNUMBER(G1261),ROUND(25*(100-G1261)/100,1),12.5)</f>
        <v/>
      </c>
      <c r="S1261" t="n">
        <v>14</v>
      </c>
      <c r="T1261">
        <f>ROUND(P1261+Q1261+R1261+S1261,0)</f>
        <v/>
      </c>
      <c r="U1261" s="5" t="inlineStr"/>
      <c r="V1261" s="5" t="inlineStr">
        <is>
          <t>SECONDARY /blog/creer-une-plateforme-saas-mvp-multi-tenant-facturation-par-ou-commencer</t>
        </is>
      </c>
    </row>
    <row r="1262">
      <c r="A1262" t="inlineStr">
        <is>
          <t>K1260</t>
        </is>
      </c>
      <c r="B1262" t="inlineStr">
        <is>
          <t>créer un site de formation en ligne</t>
        </is>
      </c>
      <c r="C1262" t="inlineStr">
        <is>
          <t>France</t>
        </is>
      </c>
      <c r="D1262" t="inlineStr">
        <is>
          <t>fr</t>
        </is>
      </c>
      <c r="E1262" t="inlineStr">
        <is>
          <t>fr</t>
        </is>
      </c>
      <c r="F1262" t="n">
        <v>70</v>
      </c>
      <c r="G1262" t="n">
        <v>23</v>
      </c>
      <c r="H1262" t="n">
        <v>3.48</v>
      </c>
      <c r="I1262" t="n">
        <v>0.66</v>
      </c>
      <c r="J1262" t="inlineStr">
        <is>
          <t>Informational</t>
        </is>
      </c>
      <c r="K1262" t="inlineStr">
        <is>
          <t>NOT AVAILABLE (report not requested)</t>
        </is>
      </c>
      <c r="L1262" t="inlineStr">
        <is>
          <t>rising (calc.)</t>
        </is>
      </c>
      <c r="M1262" t="inlineStr">
        <is>
          <t>MEASURED</t>
        </is>
      </c>
      <c r="N1262" s="5" t="inlineStr">
        <is>
          <t>Semrush phrase_these (live, this session)</t>
        </is>
      </c>
      <c r="O1262" t="inlineStr">
        <is>
          <t>2026-10-30</t>
        </is>
      </c>
      <c r="P1262">
        <f>IF(IF(J1262="NOT AVAILABLE","",J1262)="",12,IF(OR(ISNUMBER(SEARCH("Transactional",IF(J1262="NOT AVAILABLE","",J1262))),ISNUMBER(SEARCH("Commercial",IF(J1262="NOT AVAILABLE","",J1262)))),25,IF(ISNUMBER(SEARCH("Informational",IF(J1262="NOT AVAILABLE","",J1262))),10,IF(ISNUMBER(SEARCH("Navigational",IF(J1262="NOT AVAILABLE","",J1262))),0,12))))</f>
        <v/>
      </c>
      <c r="Q1262">
        <f>IF(ISNUMBER(F1262),MIN(30,ROUND(30*LOG10(F1262+1)/4,1)),0)</f>
        <v/>
      </c>
      <c r="R1262">
        <f>IF(ISNUMBER(G1262),ROUND(25*(100-G1262)/100,1),12.5)</f>
        <v/>
      </c>
      <c r="S1262" t="n">
        <v>14</v>
      </c>
      <c r="T1262">
        <f>ROUND(P1262+Q1262+R1262+S1262,0)</f>
        <v/>
      </c>
      <c r="U1262" s="5" t="inlineStr"/>
      <c r="V1262" s="5" t="inlineStr">
        <is>
          <t>SECONDARY /services/online-course-platform-development</t>
        </is>
      </c>
    </row>
    <row r="1263">
      <c r="A1263" t="inlineStr">
        <is>
          <t>K1261</t>
        </is>
      </c>
      <c r="B1263" t="inlineStr">
        <is>
          <t>densité de mots clés</t>
        </is>
      </c>
      <c r="C1263" t="inlineStr">
        <is>
          <t>France</t>
        </is>
      </c>
      <c r="D1263" t="inlineStr">
        <is>
          <t>fr</t>
        </is>
      </c>
      <c r="E1263" t="inlineStr">
        <is>
          <t>fr</t>
        </is>
      </c>
      <c r="F1263" t="n">
        <v>70</v>
      </c>
      <c r="G1263" t="n">
        <v>20</v>
      </c>
      <c r="H1263" t="n">
        <v>0</v>
      </c>
      <c r="I1263" t="n">
        <v>0.33</v>
      </c>
      <c r="J1263" t="inlineStr">
        <is>
          <t>Informational</t>
        </is>
      </c>
      <c r="K1263" t="inlineStr">
        <is>
          <t>NOT AVAILABLE (report not requested)</t>
        </is>
      </c>
      <c r="L1263" t="inlineStr">
        <is>
          <t>stable (calc.)</t>
        </is>
      </c>
      <c r="M1263" t="inlineStr">
        <is>
          <t>MEASURED</t>
        </is>
      </c>
      <c r="N1263" s="5" t="inlineStr">
        <is>
          <t>Semrush phrase_these (live, this session)</t>
        </is>
      </c>
      <c r="O1263" t="inlineStr">
        <is>
          <t>2026-10-30</t>
        </is>
      </c>
      <c r="P1263">
        <f>IF(IF(J1263="NOT AVAILABLE","",J1263)="",12,IF(OR(ISNUMBER(SEARCH("Transactional",IF(J1263="NOT AVAILABLE","",J1263))),ISNUMBER(SEARCH("Commercial",IF(J1263="NOT AVAILABLE","",J1263)))),25,IF(ISNUMBER(SEARCH("Informational",IF(J1263="NOT AVAILABLE","",J1263))),10,IF(ISNUMBER(SEARCH("Navigational",IF(J1263="NOT AVAILABLE","",J1263))),0,12))))</f>
        <v/>
      </c>
      <c r="Q1263">
        <f>IF(ISNUMBER(F1263),MIN(30,ROUND(30*LOG10(F1263+1)/4,1)),0)</f>
        <v/>
      </c>
      <c r="R1263">
        <f>IF(ISNUMBER(G1263),ROUND(25*(100-G1263)/100,1),12.5)</f>
        <v/>
      </c>
      <c r="S1263" t="n">
        <v>14</v>
      </c>
      <c r="T1263">
        <f>ROUND(P1263+Q1263+R1263+S1263,0)</f>
        <v/>
      </c>
      <c r="U1263" s="5" t="inlineStr"/>
      <c r="V1263" s="5" t="inlineStr">
        <is>
          <t>SUPPORTING /tools/keyword-density-analyzer</t>
        </is>
      </c>
    </row>
    <row r="1264">
      <c r="A1264" t="inlineStr">
        <is>
          <t>K1262</t>
        </is>
      </c>
      <c r="B1264" t="inlineStr">
        <is>
          <t>développement site e-commerce</t>
        </is>
      </c>
      <c r="C1264" t="inlineStr">
        <is>
          <t>France</t>
        </is>
      </c>
      <c r="D1264" t="inlineStr">
        <is>
          <t>fr</t>
        </is>
      </c>
      <c r="E1264" t="inlineStr">
        <is>
          <t>fr</t>
        </is>
      </c>
      <c r="F1264" t="n">
        <v>70</v>
      </c>
      <c r="G1264" t="n">
        <v>28</v>
      </c>
      <c r="H1264" t="n">
        <v>16.95</v>
      </c>
      <c r="I1264" t="n">
        <v>0.4</v>
      </c>
      <c r="J1264" t="inlineStr">
        <is>
          <t>Informational</t>
        </is>
      </c>
      <c r="K1264" t="inlineStr">
        <is>
          <t>NOT AVAILABLE (report not requested)</t>
        </is>
      </c>
      <c r="L1264" t="inlineStr">
        <is>
          <t>rising (calc.)</t>
        </is>
      </c>
      <c r="M1264" t="inlineStr">
        <is>
          <t>MEASURED</t>
        </is>
      </c>
      <c r="N1264" s="5" t="inlineStr">
        <is>
          <t>Semrush phrase_these (live, this session)</t>
        </is>
      </c>
      <c r="O1264" t="inlineStr">
        <is>
          <t>2026-10-30</t>
        </is>
      </c>
      <c r="P1264">
        <f>IF(IF(J1264="NOT AVAILABLE","",J1264)="",12,IF(OR(ISNUMBER(SEARCH("Transactional",IF(J1264="NOT AVAILABLE","",J1264))),ISNUMBER(SEARCH("Commercial",IF(J1264="NOT AVAILABLE","",J1264)))),25,IF(ISNUMBER(SEARCH("Informational",IF(J1264="NOT AVAILABLE","",J1264))),10,IF(ISNUMBER(SEARCH("Navigational",IF(J1264="NOT AVAILABLE","",J1264))),0,12))))</f>
        <v/>
      </c>
      <c r="Q1264">
        <f>IF(ISNUMBER(F1264),MIN(30,ROUND(30*LOG10(F1264+1)/4,1)),0)</f>
        <v/>
      </c>
      <c r="R1264">
        <f>IF(ISNUMBER(G1264),ROUND(25*(100-G1264)/100,1),12.5)</f>
        <v/>
      </c>
      <c r="S1264" t="n">
        <v>14</v>
      </c>
      <c r="T1264">
        <f>ROUND(P1264+Q1264+R1264+S1264,0)</f>
        <v/>
      </c>
      <c r="U1264" s="5" t="inlineStr"/>
      <c r="V1264" s="5" t="inlineStr"/>
    </row>
    <row r="1265">
      <c r="A1265" t="inlineStr">
        <is>
          <t>K1263</t>
        </is>
      </c>
      <c r="B1265" t="inlineStr">
        <is>
          <t>générateur utm</t>
        </is>
      </c>
      <c r="C1265" t="inlineStr">
        <is>
          <t>France</t>
        </is>
      </c>
      <c r="D1265" t="inlineStr">
        <is>
          <t>fr</t>
        </is>
      </c>
      <c r="E1265" t="inlineStr">
        <is>
          <t>fr</t>
        </is>
      </c>
      <c r="F1265" t="n">
        <v>70</v>
      </c>
      <c r="G1265" t="n">
        <v>9</v>
      </c>
      <c r="H1265" t="n">
        <v>28.13</v>
      </c>
      <c r="I1265" t="n">
        <v>0.1</v>
      </c>
      <c r="J1265" t="inlineStr">
        <is>
          <t>Informational</t>
        </is>
      </c>
      <c r="K1265" t="inlineStr">
        <is>
          <t>NOT AVAILABLE (report not requested)</t>
        </is>
      </c>
      <c r="L1265" t="inlineStr">
        <is>
          <t>declining (calc.)</t>
        </is>
      </c>
      <c r="M1265" t="inlineStr">
        <is>
          <t>MEASURED</t>
        </is>
      </c>
      <c r="N1265" s="5" t="inlineStr">
        <is>
          <t>Semrush phrase_these (live, this session)</t>
        </is>
      </c>
      <c r="O1265" t="inlineStr">
        <is>
          <t>2026-10-30</t>
        </is>
      </c>
      <c r="P1265">
        <f>IF(IF(J1265="NOT AVAILABLE","",J1265)="",12,IF(OR(ISNUMBER(SEARCH("Transactional",IF(J1265="NOT AVAILABLE","",J1265))),ISNUMBER(SEARCH("Commercial",IF(J1265="NOT AVAILABLE","",J1265)))),25,IF(ISNUMBER(SEARCH("Informational",IF(J1265="NOT AVAILABLE","",J1265))),10,IF(ISNUMBER(SEARCH("Navigational",IF(J1265="NOT AVAILABLE","",J1265))),0,12))))</f>
        <v/>
      </c>
      <c r="Q1265">
        <f>IF(ISNUMBER(F1265),MIN(30,ROUND(30*LOG10(F1265+1)/4,1)),0)</f>
        <v/>
      </c>
      <c r="R1265">
        <f>IF(ISNUMBER(G1265),ROUND(25*(100-G1265)/100,1),12.5)</f>
        <v/>
      </c>
      <c r="S1265" t="n">
        <v>14</v>
      </c>
      <c r="T1265">
        <f>ROUND(P1265+Q1265+R1265+S1265,0)</f>
        <v/>
      </c>
      <c r="U1265" s="5" t="inlineStr"/>
      <c r="V1265" s="5" t="inlineStr">
        <is>
          <t>SUPPORTING /tools/utm-builder</t>
        </is>
      </c>
    </row>
    <row r="1266">
      <c r="A1266" t="inlineStr">
        <is>
          <t>K1264</t>
        </is>
      </c>
      <c r="B1266" t="inlineStr">
        <is>
          <t>lien nofollow</t>
        </is>
      </c>
      <c r="C1266" t="inlineStr">
        <is>
          <t>France</t>
        </is>
      </c>
      <c r="D1266" t="inlineStr">
        <is>
          <t>fr</t>
        </is>
      </c>
      <c r="E1266" t="inlineStr">
        <is>
          <t>fr</t>
        </is>
      </c>
      <c r="F1266" t="n">
        <v>70</v>
      </c>
      <c r="G1266" t="n">
        <v>21</v>
      </c>
      <c r="H1266" t="n">
        <v>0</v>
      </c>
      <c r="I1266" t="n">
        <v>0.03</v>
      </c>
      <c r="J1266" t="inlineStr">
        <is>
          <t>Informational, Commercial</t>
        </is>
      </c>
      <c r="K1266" t="inlineStr">
        <is>
          <t>NOT AVAILABLE (report not requested)</t>
        </is>
      </c>
      <c r="L1266" t="inlineStr">
        <is>
          <t>stable (calc.)</t>
        </is>
      </c>
      <c r="M1266" t="inlineStr">
        <is>
          <t>MEASURED</t>
        </is>
      </c>
      <c r="N1266" s="5" t="inlineStr">
        <is>
          <t>Semrush phrase_these (live, this session)</t>
        </is>
      </c>
      <c r="O1266" t="inlineStr">
        <is>
          <t>2026-10-30</t>
        </is>
      </c>
      <c r="P1266">
        <f>IF(IF(J1266="NOT AVAILABLE","",J1266)="",12,IF(OR(ISNUMBER(SEARCH("Transactional",IF(J1266="NOT AVAILABLE","",J1266))),ISNUMBER(SEARCH("Commercial",IF(J1266="NOT AVAILABLE","",J1266)))),25,IF(ISNUMBER(SEARCH("Informational",IF(J1266="NOT AVAILABLE","",J1266))),10,IF(ISNUMBER(SEARCH("Navigational",IF(J1266="NOT AVAILABLE","",J1266))),0,12))))</f>
        <v/>
      </c>
      <c r="Q1266">
        <f>IF(ISNUMBER(F1266),MIN(30,ROUND(30*LOG10(F1266+1)/4,1)),0)</f>
        <v/>
      </c>
      <c r="R1266">
        <f>IF(ISNUMBER(G1266),ROUND(25*(100-G1266)/100,1),12.5)</f>
        <v/>
      </c>
      <c r="S1266" t="n">
        <v>14</v>
      </c>
      <c r="T1266">
        <f>ROUND(P1266+Q1266+R1266+S1266,0)</f>
        <v/>
      </c>
      <c r="U1266" s="5" t="inlineStr"/>
      <c r="V1266" s="5" t="inlineStr">
        <is>
          <t>SUPPORTING /tools/nofollow-link-checker</t>
        </is>
      </c>
    </row>
    <row r="1267">
      <c r="A1267" t="inlineStr">
        <is>
          <t>K1265</t>
        </is>
      </c>
      <c r="B1267" t="inlineStr">
        <is>
          <t>liens internes</t>
        </is>
      </c>
      <c r="C1267" t="inlineStr">
        <is>
          <t>France</t>
        </is>
      </c>
      <c r="D1267" t="inlineStr">
        <is>
          <t>fr</t>
        </is>
      </c>
      <c r="E1267" t="inlineStr">
        <is>
          <t>fr</t>
        </is>
      </c>
      <c r="F1267" t="n">
        <v>70</v>
      </c>
      <c r="G1267" t="n">
        <v>18</v>
      </c>
      <c r="H1267" t="n">
        <v>0</v>
      </c>
      <c r="I1267" t="n">
        <v>0.08</v>
      </c>
      <c r="J1267" t="inlineStr">
        <is>
          <t>Informational</t>
        </is>
      </c>
      <c r="K1267" t="inlineStr">
        <is>
          <t>NOT AVAILABLE (report not requested)</t>
        </is>
      </c>
      <c r="L1267" t="inlineStr">
        <is>
          <t>declining (calc.)</t>
        </is>
      </c>
      <c r="M1267" t="inlineStr">
        <is>
          <t>MEASURED</t>
        </is>
      </c>
      <c r="N1267" s="5" t="inlineStr">
        <is>
          <t>Semrush phrase_these (live, this session)</t>
        </is>
      </c>
      <c r="O1267" t="inlineStr">
        <is>
          <t>2026-10-30</t>
        </is>
      </c>
      <c r="P1267">
        <f>IF(IF(J1267="NOT AVAILABLE","",J1267)="",12,IF(OR(ISNUMBER(SEARCH("Transactional",IF(J1267="NOT AVAILABLE","",J1267))),ISNUMBER(SEARCH("Commercial",IF(J1267="NOT AVAILABLE","",J1267)))),25,IF(ISNUMBER(SEARCH("Informational",IF(J1267="NOT AVAILABLE","",J1267))),10,IF(ISNUMBER(SEARCH("Navigational",IF(J1267="NOT AVAILABLE","",J1267))),0,12))))</f>
        <v/>
      </c>
      <c r="Q1267">
        <f>IF(ISNUMBER(F1267),MIN(30,ROUND(30*LOG10(F1267+1)/4,1)),0)</f>
        <v/>
      </c>
      <c r="R1267">
        <f>IF(ISNUMBER(G1267),ROUND(25*(100-G1267)/100,1),12.5)</f>
        <v/>
      </c>
      <c r="S1267" t="n">
        <v>14</v>
      </c>
      <c r="T1267">
        <f>ROUND(P1267+Q1267+R1267+S1267,0)</f>
        <v/>
      </c>
      <c r="U1267" s="5" t="inlineStr"/>
      <c r="V1267" s="5" t="inlineStr">
        <is>
          <t>SUPPORTING /tools/internal-link-analyzer</t>
        </is>
      </c>
    </row>
    <row r="1268">
      <c r="A1268" t="inlineStr">
        <is>
          <t>K1266</t>
        </is>
      </c>
      <c r="B1268" t="inlineStr">
        <is>
          <t>outil maillage interne</t>
        </is>
      </c>
      <c r="C1268" t="inlineStr">
        <is>
          <t>France</t>
        </is>
      </c>
      <c r="D1268" t="inlineStr">
        <is>
          <t>fr</t>
        </is>
      </c>
      <c r="E1268" t="inlineStr">
        <is>
          <t>fr</t>
        </is>
      </c>
      <c r="F1268" t="n">
        <v>70</v>
      </c>
      <c r="G1268" t="n">
        <v>17</v>
      </c>
      <c r="H1268" t="n">
        <v>2.44</v>
      </c>
      <c r="I1268" t="n">
        <v>0.33</v>
      </c>
      <c r="J1268" t="inlineStr">
        <is>
          <t>Informational</t>
        </is>
      </c>
      <c r="K1268" t="inlineStr">
        <is>
          <t>NOT AVAILABLE (report not requested)</t>
        </is>
      </c>
      <c r="L1268" t="inlineStr">
        <is>
          <t>declining (calc.)</t>
        </is>
      </c>
      <c r="M1268" t="inlineStr">
        <is>
          <t>MEASURED</t>
        </is>
      </c>
      <c r="N1268" s="5" t="inlineStr">
        <is>
          <t>Semrush phrase_these (live, this session)</t>
        </is>
      </c>
      <c r="O1268" t="inlineStr">
        <is>
          <t>2026-10-30</t>
        </is>
      </c>
      <c r="P1268">
        <f>IF(IF(J1268="NOT AVAILABLE","",J1268)="",12,IF(OR(ISNUMBER(SEARCH("Transactional",IF(J1268="NOT AVAILABLE","",J1268))),ISNUMBER(SEARCH("Commercial",IF(J1268="NOT AVAILABLE","",J1268)))),25,IF(ISNUMBER(SEARCH("Informational",IF(J1268="NOT AVAILABLE","",J1268))),10,IF(ISNUMBER(SEARCH("Navigational",IF(J1268="NOT AVAILABLE","",J1268))),0,12))))</f>
        <v/>
      </c>
      <c r="Q1268">
        <f>IF(ISNUMBER(F1268),MIN(30,ROUND(30*LOG10(F1268+1)/4,1)),0)</f>
        <v/>
      </c>
      <c r="R1268">
        <f>IF(ISNUMBER(G1268),ROUND(25*(100-G1268)/100,1),12.5)</f>
        <v/>
      </c>
      <c r="S1268" t="n">
        <v>14</v>
      </c>
      <c r="T1268">
        <f>ROUND(P1268+Q1268+R1268+S1268,0)</f>
        <v/>
      </c>
      <c r="U1268" s="5" t="inlineStr"/>
      <c r="V1268" s="5" t="inlineStr">
        <is>
          <t>SUPPORTING /tools/internal-link-analyzer</t>
        </is>
      </c>
    </row>
    <row r="1269">
      <c r="A1269" t="inlineStr">
        <is>
          <t>K1267</t>
        </is>
      </c>
      <c r="B1269" t="inlineStr">
        <is>
          <t>plateforme téléconsultation</t>
        </is>
      </c>
      <c r="C1269" t="inlineStr">
        <is>
          <t>France</t>
        </is>
      </c>
      <c r="D1269" t="inlineStr">
        <is>
          <t>fr</t>
        </is>
      </c>
      <c r="E1269" t="inlineStr">
        <is>
          <t>fr</t>
        </is>
      </c>
      <c r="F1269" t="n">
        <v>70</v>
      </c>
      <c r="G1269" t="n">
        <v>74</v>
      </c>
      <c r="H1269" t="n">
        <v>2.15</v>
      </c>
      <c r="I1269" t="n">
        <v>0.75</v>
      </c>
      <c r="J1269" t="inlineStr">
        <is>
          <t>Commercial</t>
        </is>
      </c>
      <c r="K1269" t="inlineStr">
        <is>
          <t>NOT AVAILABLE (report not requested)</t>
        </is>
      </c>
      <c r="L1269" t="inlineStr">
        <is>
          <t>declining (calc.)</t>
        </is>
      </c>
      <c r="M1269" t="inlineStr">
        <is>
          <t>MEASURED</t>
        </is>
      </c>
      <c r="N1269" s="5" t="inlineStr">
        <is>
          <t>Semrush phrase_these (live, this session)</t>
        </is>
      </c>
      <c r="O1269" t="inlineStr">
        <is>
          <t>2026-10-30</t>
        </is>
      </c>
      <c r="P1269">
        <f>IF(IF(J1269="NOT AVAILABLE","",J1269)="",12,IF(OR(ISNUMBER(SEARCH("Transactional",IF(J1269="NOT AVAILABLE","",J1269))),ISNUMBER(SEARCH("Commercial",IF(J1269="NOT AVAILABLE","",J1269)))),25,IF(ISNUMBER(SEARCH("Informational",IF(J1269="NOT AVAILABLE","",J1269))),10,IF(ISNUMBER(SEARCH("Navigational",IF(J1269="NOT AVAILABLE","",J1269))),0,12))))</f>
        <v/>
      </c>
      <c r="Q1269">
        <f>IF(ISNUMBER(F1269),MIN(30,ROUND(30*LOG10(F1269+1)/4,1)),0)</f>
        <v/>
      </c>
      <c r="R1269">
        <f>IF(ISNUMBER(G1269),ROUND(25*(100-G1269)/100,1),12.5)</f>
        <v/>
      </c>
      <c r="S1269" t="n">
        <v>14</v>
      </c>
      <c r="T1269">
        <f>ROUND(P1269+Q1269+R1269+S1269,0)</f>
        <v/>
      </c>
      <c r="U1269" s="5" t="inlineStr"/>
      <c r="V1269" s="5" t="inlineStr">
        <is>
          <t>SECONDARY /services/telemedicine-platform-development</t>
        </is>
      </c>
    </row>
    <row r="1270">
      <c r="A1270" t="inlineStr">
        <is>
          <t>K1268</t>
        </is>
      </c>
      <c r="B1270" t="inlineStr">
        <is>
          <t>rédiger une annonce immobilière</t>
        </is>
      </c>
      <c r="C1270" t="inlineStr">
        <is>
          <t>France</t>
        </is>
      </c>
      <c r="D1270" t="inlineStr">
        <is>
          <t>fr</t>
        </is>
      </c>
      <c r="E1270" t="inlineStr">
        <is>
          <t>fr</t>
        </is>
      </c>
      <c r="F1270" t="n">
        <v>70</v>
      </c>
      <c r="G1270" t="n">
        <v>18</v>
      </c>
      <c r="H1270" t="n">
        <v>0.39</v>
      </c>
      <c r="I1270" t="n">
        <v>0.28</v>
      </c>
      <c r="J1270" t="inlineStr">
        <is>
          <t>Informational</t>
        </is>
      </c>
      <c r="K1270" t="inlineStr">
        <is>
          <t>NOT AVAILABLE (report not requested)</t>
        </is>
      </c>
      <c r="L1270" t="inlineStr">
        <is>
          <t>declining (calc.)</t>
        </is>
      </c>
      <c r="M1270" t="inlineStr">
        <is>
          <t>MEASURED</t>
        </is>
      </c>
      <c r="N1270" s="5" t="inlineStr">
        <is>
          <t>Semrush phrase_these (live, this session)</t>
        </is>
      </c>
      <c r="O1270" t="inlineStr">
        <is>
          <t>2026-10-30</t>
        </is>
      </c>
      <c r="P1270">
        <f>IF(IF(J1270="NOT AVAILABLE","",J1270)="",12,IF(OR(ISNUMBER(SEARCH("Transactional",IF(J1270="NOT AVAILABLE","",J1270))),ISNUMBER(SEARCH("Commercial",IF(J1270="NOT AVAILABLE","",J1270)))),25,IF(ISNUMBER(SEARCH("Informational",IF(J1270="NOT AVAILABLE","",J1270))),10,IF(ISNUMBER(SEARCH("Navigational",IF(J1270="NOT AVAILABLE","",J1270))),0,12))))</f>
        <v/>
      </c>
      <c r="Q1270">
        <f>IF(ISNUMBER(F1270),MIN(30,ROUND(30*LOG10(F1270+1)/4,1)),0)</f>
        <v/>
      </c>
      <c r="R1270">
        <f>IF(ISNUMBER(G1270),ROUND(25*(100-G1270)/100,1),12.5)</f>
        <v/>
      </c>
      <c r="S1270" t="n">
        <v>14</v>
      </c>
      <c r="T1270">
        <f>ROUND(P1270+Q1270+R1270+S1270,0)</f>
        <v/>
      </c>
      <c r="U1270" s="5" t="inlineStr"/>
      <c r="V1270" s="5" t="inlineStr">
        <is>
          <t>SUPPORTING /blog/site-immobilier-structurer-les-annonces-pour-le-seo-et-la-conversion</t>
        </is>
      </c>
    </row>
    <row r="1271">
      <c r="A1271" t="inlineStr">
        <is>
          <t>K1269</t>
        </is>
      </c>
      <c r="B1271" t="inlineStr">
        <is>
          <t>site web agence de voyage</t>
        </is>
      </c>
      <c r="C1271" t="inlineStr">
        <is>
          <t>France</t>
        </is>
      </c>
      <c r="D1271" t="inlineStr">
        <is>
          <t>fr</t>
        </is>
      </c>
      <c r="E1271" t="inlineStr">
        <is>
          <t>fr</t>
        </is>
      </c>
      <c r="F1271" t="n">
        <v>70</v>
      </c>
      <c r="G1271" t="n">
        <v>10</v>
      </c>
      <c r="H1271" t="n">
        <v>0.79</v>
      </c>
      <c r="I1271" t="n">
        <v>0.43</v>
      </c>
      <c r="J1271" t="inlineStr">
        <is>
          <t>Informational</t>
        </is>
      </c>
      <c r="K1271" t="inlineStr">
        <is>
          <t>NOT AVAILABLE (report not requested)</t>
        </is>
      </c>
      <c r="L1271" t="inlineStr">
        <is>
          <t>rising (calc.)</t>
        </is>
      </c>
      <c r="M1271" t="inlineStr">
        <is>
          <t>MEASURED</t>
        </is>
      </c>
      <c r="N1271" s="5" t="inlineStr">
        <is>
          <t>Semrush phrase_these (live, this session)</t>
        </is>
      </c>
      <c r="O1271" t="inlineStr">
        <is>
          <t>2026-10-30</t>
        </is>
      </c>
      <c r="P1271">
        <f>IF(IF(J1271="NOT AVAILABLE","",J1271)="",12,IF(OR(ISNUMBER(SEARCH("Transactional",IF(J1271="NOT AVAILABLE","",J1271))),ISNUMBER(SEARCH("Commercial",IF(J1271="NOT AVAILABLE","",J1271)))),25,IF(ISNUMBER(SEARCH("Informational",IF(J1271="NOT AVAILABLE","",J1271))),10,IF(ISNUMBER(SEARCH("Navigational",IF(J1271="NOT AVAILABLE","",J1271))),0,12))))</f>
        <v/>
      </c>
      <c r="Q1271">
        <f>IF(ISNUMBER(F1271),MIN(30,ROUND(30*LOG10(F1271+1)/4,1)),0)</f>
        <v/>
      </c>
      <c r="R1271">
        <f>IF(ISNUMBER(G1271),ROUND(25*(100-G1271)/100,1),12.5)</f>
        <v/>
      </c>
      <c r="S1271" t="n">
        <v>14</v>
      </c>
      <c r="T1271">
        <f>ROUND(P1271+Q1271+R1271+S1271,0)</f>
        <v/>
      </c>
      <c r="U1271" s="5" t="inlineStr"/>
      <c r="V1271" s="5" t="inlineStr">
        <is>
          <t>PRIMARY /our-work/authentic-morocco-adventures</t>
        </is>
      </c>
    </row>
    <row r="1272">
      <c r="A1272" t="inlineStr">
        <is>
          <t>K1270</t>
        </is>
      </c>
      <c r="B1272" t="inlineStr">
        <is>
          <t>site web architecte</t>
        </is>
      </c>
      <c r="C1272" t="inlineStr">
        <is>
          <t>France</t>
        </is>
      </c>
      <c r="D1272" t="inlineStr">
        <is>
          <t>fr</t>
        </is>
      </c>
      <c r="E1272" t="inlineStr">
        <is>
          <t>fr</t>
        </is>
      </c>
      <c r="F1272" t="n">
        <v>70</v>
      </c>
      <c r="G1272" t="n">
        <v>5</v>
      </c>
      <c r="H1272" t="n">
        <v>0.9</v>
      </c>
      <c r="I1272" t="n">
        <v>0.21</v>
      </c>
      <c r="J1272" t="inlineStr">
        <is>
          <t>Commercial</t>
        </is>
      </c>
      <c r="K1272" t="inlineStr">
        <is>
          <t>NOT AVAILABLE (report not requested)</t>
        </is>
      </c>
      <c r="L1272" t="inlineStr">
        <is>
          <t>rising (calc.)</t>
        </is>
      </c>
      <c r="M1272" t="inlineStr">
        <is>
          <t>MEASURED</t>
        </is>
      </c>
      <c r="N1272" s="5" t="inlineStr">
        <is>
          <t>Semrush phrase_these (live, this session)</t>
        </is>
      </c>
      <c r="O1272" t="inlineStr">
        <is>
          <t>2026-10-30</t>
        </is>
      </c>
      <c r="P1272">
        <f>IF(IF(J1272="NOT AVAILABLE","",J1272)="",12,IF(OR(ISNUMBER(SEARCH("Transactional",IF(J1272="NOT AVAILABLE","",J1272))),ISNUMBER(SEARCH("Commercial",IF(J1272="NOT AVAILABLE","",J1272)))),25,IF(ISNUMBER(SEARCH("Informational",IF(J1272="NOT AVAILABLE","",J1272))),10,IF(ISNUMBER(SEARCH("Navigational",IF(J1272="NOT AVAILABLE","",J1272))),0,12))))</f>
        <v/>
      </c>
      <c r="Q1272">
        <f>IF(ISNUMBER(F1272),MIN(30,ROUND(30*LOG10(F1272+1)/4,1)),0)</f>
        <v/>
      </c>
      <c r="R1272">
        <f>IF(ISNUMBER(G1272),ROUND(25*(100-G1272)/100,1),12.5)</f>
        <v/>
      </c>
      <c r="S1272" t="n">
        <v>14</v>
      </c>
      <c r="T1272">
        <f>ROUND(P1272+Q1272+R1272+S1272,0)</f>
        <v/>
      </c>
      <c r="U1272" s="5" t="inlineStr"/>
      <c r="V1272" s="5" t="inlineStr">
        <is>
          <t>SECONDARY /our-work/akoubri</t>
        </is>
      </c>
    </row>
    <row r="1273">
      <c r="A1273" t="inlineStr">
        <is>
          <t>K1271</t>
        </is>
      </c>
      <c r="B1273" t="inlineStr">
        <is>
          <t>site web immobilier</t>
        </is>
      </c>
      <c r="C1273" t="inlineStr">
        <is>
          <t>France</t>
        </is>
      </c>
      <c r="D1273" t="inlineStr">
        <is>
          <t>fr</t>
        </is>
      </c>
      <c r="E1273" t="inlineStr">
        <is>
          <t>fr</t>
        </is>
      </c>
      <c r="F1273" t="n">
        <v>70</v>
      </c>
      <c r="G1273" t="n">
        <v>78</v>
      </c>
      <c r="H1273" t="n">
        <v>1.09</v>
      </c>
      <c r="I1273" t="n">
        <v>0.49</v>
      </c>
      <c r="J1273" t="inlineStr">
        <is>
          <t>Informational</t>
        </is>
      </c>
      <c r="K1273" t="inlineStr">
        <is>
          <t>NOT AVAILABLE (report not requested)</t>
        </is>
      </c>
      <c r="L1273" t="inlineStr">
        <is>
          <t>rising (calc.)</t>
        </is>
      </c>
      <c r="M1273" t="inlineStr">
        <is>
          <t>MEASURED</t>
        </is>
      </c>
      <c r="N1273" s="5" t="inlineStr">
        <is>
          <t>Semrush phrase_these (live, this session)</t>
        </is>
      </c>
      <c r="O1273" t="inlineStr">
        <is>
          <t>2026-10-30</t>
        </is>
      </c>
      <c r="P1273">
        <f>IF(IF(J1273="NOT AVAILABLE","",J1273)="",12,IF(OR(ISNUMBER(SEARCH("Transactional",IF(J1273="NOT AVAILABLE","",J1273))),ISNUMBER(SEARCH("Commercial",IF(J1273="NOT AVAILABLE","",J1273)))),25,IF(ISNUMBER(SEARCH("Informational",IF(J1273="NOT AVAILABLE","",J1273))),10,IF(ISNUMBER(SEARCH("Navigational",IF(J1273="NOT AVAILABLE","",J1273))),0,12))))</f>
        <v/>
      </c>
      <c r="Q1273">
        <f>IF(ISNUMBER(F1273),MIN(30,ROUND(30*LOG10(F1273+1)/4,1)),0)</f>
        <v/>
      </c>
      <c r="R1273">
        <f>IF(ISNUMBER(G1273),ROUND(25*(100-G1273)/100,1),12.5)</f>
        <v/>
      </c>
      <c r="S1273" t="n">
        <v>14</v>
      </c>
      <c r="T1273">
        <f>ROUND(P1273+Q1273+R1273+S1273,0)</f>
        <v/>
      </c>
      <c r="U1273" s="5" t="inlineStr"/>
      <c r="V1273" s="5" t="inlineStr"/>
    </row>
    <row r="1274">
      <c r="A1274" t="inlineStr">
        <is>
          <t>K1272</t>
        </is>
      </c>
      <c r="B1274" t="inlineStr">
        <is>
          <t>sitemap validator</t>
        </is>
      </c>
      <c r="C1274" t="inlineStr">
        <is>
          <t>France</t>
        </is>
      </c>
      <c r="D1274" t="inlineStr">
        <is>
          <t>fr</t>
        </is>
      </c>
      <c r="E1274" t="inlineStr">
        <is>
          <t>fr</t>
        </is>
      </c>
      <c r="F1274" t="n">
        <v>70</v>
      </c>
      <c r="G1274" t="n">
        <v>31</v>
      </c>
      <c r="H1274" t="n">
        <v>2.2</v>
      </c>
      <c r="I1274" t="n">
        <v>0.1</v>
      </c>
      <c r="J1274" t="inlineStr">
        <is>
          <t>Commercial</t>
        </is>
      </c>
      <c r="K1274" t="inlineStr">
        <is>
          <t>NOT AVAILABLE (report not requested)</t>
        </is>
      </c>
      <c r="L1274" t="inlineStr">
        <is>
          <t>rising (calc.)</t>
        </is>
      </c>
      <c r="M1274" t="inlineStr">
        <is>
          <t>MEASURED</t>
        </is>
      </c>
      <c r="N1274" s="5" t="inlineStr">
        <is>
          <t>Semrush phrase_these (live, this session)</t>
        </is>
      </c>
      <c r="O1274" t="inlineStr">
        <is>
          <t>2026-10-30</t>
        </is>
      </c>
      <c r="P1274">
        <f>IF(IF(J1274="NOT AVAILABLE","",J1274)="",12,IF(OR(ISNUMBER(SEARCH("Transactional",IF(J1274="NOT AVAILABLE","",J1274))),ISNUMBER(SEARCH("Commercial",IF(J1274="NOT AVAILABLE","",J1274)))),25,IF(ISNUMBER(SEARCH("Informational",IF(J1274="NOT AVAILABLE","",J1274))),10,IF(ISNUMBER(SEARCH("Navigational",IF(J1274="NOT AVAILABLE","",J1274))),0,12))))</f>
        <v/>
      </c>
      <c r="Q1274">
        <f>IF(ISNUMBER(F1274),MIN(30,ROUND(30*LOG10(F1274+1)/4,1)),0)</f>
        <v/>
      </c>
      <c r="R1274">
        <f>IF(ISNUMBER(G1274),ROUND(25*(100-G1274)/100,1),12.5)</f>
        <v/>
      </c>
      <c r="S1274" t="n">
        <v>14</v>
      </c>
      <c r="T1274">
        <f>ROUND(P1274+Q1274+R1274+S1274,0)</f>
        <v/>
      </c>
      <c r="U1274" s="5" t="inlineStr"/>
      <c r="V1274" s="5" t="inlineStr">
        <is>
          <t>PRIMARY /tools/sitemap-validator</t>
        </is>
      </c>
    </row>
    <row r="1275">
      <c r="A1275" t="inlineStr">
        <is>
          <t>K1273</t>
        </is>
      </c>
      <c r="B1275" t="inlineStr">
        <is>
          <t>slug url</t>
        </is>
      </c>
      <c r="C1275" t="inlineStr">
        <is>
          <t>France</t>
        </is>
      </c>
      <c r="D1275" t="inlineStr">
        <is>
          <t>fr</t>
        </is>
      </c>
      <c r="E1275" t="inlineStr">
        <is>
          <t>fr</t>
        </is>
      </c>
      <c r="F1275" t="n">
        <v>70</v>
      </c>
      <c r="G1275" t="n">
        <v>15</v>
      </c>
      <c r="H1275" t="n">
        <v>0</v>
      </c>
      <c r="I1275" t="n">
        <v>0.02</v>
      </c>
      <c r="J1275" t="inlineStr">
        <is>
          <t>Informational</t>
        </is>
      </c>
      <c r="K1275" t="inlineStr">
        <is>
          <t>NOT AVAILABLE (report not requested)</t>
        </is>
      </c>
      <c r="L1275" t="inlineStr">
        <is>
          <t>stable (calc.)</t>
        </is>
      </c>
      <c r="M1275" t="inlineStr">
        <is>
          <t>MEASURED</t>
        </is>
      </c>
      <c r="N1275" s="5" t="inlineStr">
        <is>
          <t>Semrush phrase_these (live, this session)</t>
        </is>
      </c>
      <c r="O1275" t="inlineStr">
        <is>
          <t>2026-10-30</t>
        </is>
      </c>
      <c r="P1275">
        <f>IF(IF(J1275="NOT AVAILABLE","",J1275)="",12,IF(OR(ISNUMBER(SEARCH("Transactional",IF(J1275="NOT AVAILABLE","",J1275))),ISNUMBER(SEARCH("Commercial",IF(J1275="NOT AVAILABLE","",J1275)))),25,IF(ISNUMBER(SEARCH("Informational",IF(J1275="NOT AVAILABLE","",J1275))),10,IF(ISNUMBER(SEARCH("Navigational",IF(J1275="NOT AVAILABLE","",J1275))),0,12))))</f>
        <v/>
      </c>
      <c r="Q1275">
        <f>IF(ISNUMBER(F1275),MIN(30,ROUND(30*LOG10(F1275+1)/4,1)),0)</f>
        <v/>
      </c>
      <c r="R1275">
        <f>IF(ISNUMBER(G1275),ROUND(25*(100-G1275)/100,1),12.5)</f>
        <v/>
      </c>
      <c r="S1275" t="n">
        <v>14</v>
      </c>
      <c r="T1275">
        <f>ROUND(P1275+Q1275+R1275+S1275,0)</f>
        <v/>
      </c>
      <c r="U1275" s="5" t="inlineStr"/>
      <c r="V1275" s="5" t="inlineStr">
        <is>
          <t>SUPPORTING /tools/url-slug-generator</t>
        </is>
      </c>
    </row>
    <row r="1276">
      <c r="A1276" t="inlineStr">
        <is>
          <t>K1274</t>
        </is>
      </c>
      <c r="B1276" t="inlineStr">
        <is>
          <t>structure hn</t>
        </is>
      </c>
      <c r="C1276" t="inlineStr">
        <is>
          <t>France</t>
        </is>
      </c>
      <c r="D1276" t="inlineStr">
        <is>
          <t>fr</t>
        </is>
      </c>
      <c r="E1276" t="inlineStr">
        <is>
          <t>fr</t>
        </is>
      </c>
      <c r="F1276" t="n">
        <v>70</v>
      </c>
      <c r="G1276" t="n">
        <v>8</v>
      </c>
      <c r="H1276" t="n">
        <v>0</v>
      </c>
      <c r="I1276" t="n">
        <v>0.02</v>
      </c>
      <c r="J1276" t="inlineStr">
        <is>
          <t>Informational</t>
        </is>
      </c>
      <c r="K1276" t="inlineStr">
        <is>
          <t>NOT AVAILABLE (report not requested)</t>
        </is>
      </c>
      <c r="L1276" t="inlineStr">
        <is>
          <t>declining (calc.)</t>
        </is>
      </c>
      <c r="M1276" t="inlineStr">
        <is>
          <t>MEASURED</t>
        </is>
      </c>
      <c r="N1276" s="5" t="inlineStr">
        <is>
          <t>Semrush phrase_these (live, this session)</t>
        </is>
      </c>
      <c r="O1276" t="inlineStr">
        <is>
          <t>2026-10-30</t>
        </is>
      </c>
      <c r="P1276">
        <f>IF(IF(J1276="NOT AVAILABLE","",J1276)="",12,IF(OR(ISNUMBER(SEARCH("Transactional",IF(J1276="NOT AVAILABLE","",J1276))),ISNUMBER(SEARCH("Commercial",IF(J1276="NOT AVAILABLE","",J1276)))),25,IF(ISNUMBER(SEARCH("Informational",IF(J1276="NOT AVAILABLE","",J1276))),10,IF(ISNUMBER(SEARCH("Navigational",IF(J1276="NOT AVAILABLE","",J1276))),0,12))))</f>
        <v/>
      </c>
      <c r="Q1276">
        <f>IF(ISNUMBER(F1276),MIN(30,ROUND(30*LOG10(F1276+1)/4,1)),0)</f>
        <v/>
      </c>
      <c r="R1276">
        <f>IF(ISNUMBER(G1276),ROUND(25*(100-G1276)/100,1),12.5)</f>
        <v/>
      </c>
      <c r="S1276" t="n">
        <v>14</v>
      </c>
      <c r="T1276">
        <f>ROUND(P1276+Q1276+R1276+S1276,0)</f>
        <v/>
      </c>
      <c r="U1276" s="5" t="inlineStr"/>
      <c r="V1276" s="5" t="inlineStr">
        <is>
          <t>SUPPORTING /tools/heading-analyzer</t>
        </is>
      </c>
    </row>
    <row r="1277">
      <c r="A1277" t="inlineStr">
        <is>
          <t>K1275</t>
        </is>
      </c>
      <c r="B1277" t="inlineStr">
        <is>
          <t>éléments de réassurance site web</t>
        </is>
      </c>
      <c r="C1277" t="inlineStr">
        <is>
          <t>France</t>
        </is>
      </c>
      <c r="D1277" t="inlineStr">
        <is>
          <t>fr</t>
        </is>
      </c>
      <c r="E1277" t="inlineStr">
        <is>
          <t>fr</t>
        </is>
      </c>
      <c r="F1277" t="n">
        <v>70</v>
      </c>
      <c r="G1277" t="n">
        <v>17</v>
      </c>
      <c r="H1277" t="n">
        <v>0</v>
      </c>
      <c r="I1277" t="n">
        <v>0</v>
      </c>
      <c r="J1277" t="inlineStr">
        <is>
          <t>Informational</t>
        </is>
      </c>
      <c r="K1277" t="inlineStr">
        <is>
          <t>NOT AVAILABLE (report not requested)</t>
        </is>
      </c>
      <c r="L1277" t="inlineStr">
        <is>
          <t>NOT AVAILABLE</t>
        </is>
      </c>
      <c r="M1277" t="inlineStr">
        <is>
          <t>MEASURED</t>
        </is>
      </c>
      <c r="N1277" s="5" t="inlineStr">
        <is>
          <t>Semrush phrase_these (live, this session)</t>
        </is>
      </c>
      <c r="O1277" t="inlineStr">
        <is>
          <t>2026-10-30</t>
        </is>
      </c>
      <c r="P1277">
        <f>IF(IF(J1277="NOT AVAILABLE","",J1277)="",12,IF(OR(ISNUMBER(SEARCH("Transactional",IF(J1277="NOT AVAILABLE","",J1277))),ISNUMBER(SEARCH("Commercial",IF(J1277="NOT AVAILABLE","",J1277)))),25,IF(ISNUMBER(SEARCH("Informational",IF(J1277="NOT AVAILABLE","",J1277))),10,IF(ISNUMBER(SEARCH("Navigational",IF(J1277="NOT AVAILABLE","",J1277))),0,12))))</f>
        <v/>
      </c>
      <c r="Q1277">
        <f>IF(ISNUMBER(F1277),MIN(30,ROUND(30*LOG10(F1277+1)/4,1)),0)</f>
        <v/>
      </c>
      <c r="R1277">
        <f>IF(ISNUMBER(G1277),ROUND(25*(100-G1277)/100,1),12.5)</f>
        <v/>
      </c>
      <c r="S1277" t="n">
        <v>14</v>
      </c>
      <c r="T1277">
        <f>ROUND(P1277+Q1277+R1277+S1277,0)</f>
        <v/>
      </c>
      <c r="U1277" s="5" t="inlineStr"/>
      <c r="V1277" s="5" t="inlineStr">
        <is>
          <t>PRIMARY /blog/site-web-fintech-7-elements-qui-rassurent-un-visiteur</t>
        </is>
      </c>
    </row>
    <row r="1278">
      <c r="A1278" t="inlineStr">
        <is>
          <t>K1276</t>
        </is>
      </c>
      <c r="B1278" t="inlineStr">
        <is>
          <t>agence web barcelone</t>
        </is>
      </c>
      <c r="C1278" t="inlineStr">
        <is>
          <t>France</t>
        </is>
      </c>
      <c r="D1278" t="inlineStr">
        <is>
          <t>fr</t>
        </is>
      </c>
      <c r="E1278" t="inlineStr">
        <is>
          <t>fr</t>
        </is>
      </c>
      <c r="F1278" t="n">
        <v>50</v>
      </c>
      <c r="G1278" t="inlineStr">
        <is>
          <t>NOT AVAILABLE</t>
        </is>
      </c>
      <c r="H1278" t="n">
        <v>0</v>
      </c>
      <c r="I1278" t="n">
        <v>0.71</v>
      </c>
      <c r="J1278" t="inlineStr">
        <is>
          <t>NOT AVAILABLE</t>
        </is>
      </c>
      <c r="K1278" t="inlineStr">
        <is>
          <t>NOT AVAILABLE (report not requested)</t>
        </is>
      </c>
      <c r="L1278" t="inlineStr">
        <is>
          <t>declining (calc.)</t>
        </is>
      </c>
      <c r="M1278" t="inlineStr">
        <is>
          <t>MEASURED</t>
        </is>
      </c>
      <c r="N1278" s="5" t="inlineStr">
        <is>
          <t>Semrush phrase_these (live, this session)</t>
        </is>
      </c>
      <c r="O1278" t="inlineStr">
        <is>
          <t>2026-10-30</t>
        </is>
      </c>
      <c r="P1278">
        <f>IF(IF(J1278="NOT AVAILABLE","",J1278)="",12,IF(OR(ISNUMBER(SEARCH("Transactional",IF(J1278="NOT AVAILABLE","",J1278))),ISNUMBER(SEARCH("Commercial",IF(J1278="NOT AVAILABLE","",J1278)))),25,IF(ISNUMBER(SEARCH("Informational",IF(J1278="NOT AVAILABLE","",J1278))),10,IF(ISNUMBER(SEARCH("Navigational",IF(J1278="NOT AVAILABLE","",J1278))),0,12))))</f>
        <v/>
      </c>
      <c r="Q1278">
        <f>IF(ISNUMBER(F1278),MIN(30,ROUND(30*LOG10(F1278+1)/4,1)),0)</f>
        <v/>
      </c>
      <c r="R1278">
        <f>IF(ISNUMBER(G1278),ROUND(25*(100-G1278)/100,1),12.5)</f>
        <v/>
      </c>
      <c r="S1278" t="n">
        <v>14</v>
      </c>
      <c r="T1278">
        <f>ROUND(P1278+Q1278+R1278+S1278,0)</f>
        <v/>
      </c>
      <c r="U1278" s="5" t="inlineStr"/>
      <c r="V1278" s="5" t="inlineStr">
        <is>
          <t>OPTIONAL /web-development-company/barcelona</t>
        </is>
      </c>
    </row>
    <row r="1279">
      <c r="A1279" t="inlineStr">
        <is>
          <t>K1277</t>
        </is>
      </c>
      <c r="B1279" t="inlineStr">
        <is>
          <t>agence web zurich</t>
        </is>
      </c>
      <c r="C1279" t="inlineStr">
        <is>
          <t>France</t>
        </is>
      </c>
      <c r="D1279" t="inlineStr">
        <is>
          <t>fr</t>
        </is>
      </c>
      <c r="E1279" t="inlineStr">
        <is>
          <t>fr</t>
        </is>
      </c>
      <c r="F1279" t="n">
        <v>50</v>
      </c>
      <c r="G1279" t="inlineStr">
        <is>
          <t>NOT AVAILABLE</t>
        </is>
      </c>
      <c r="H1279" t="n">
        <v>0</v>
      </c>
      <c r="I1279" t="n">
        <v>0</v>
      </c>
      <c r="J1279" t="inlineStr">
        <is>
          <t>NOT AVAILABLE</t>
        </is>
      </c>
      <c r="K1279" t="inlineStr">
        <is>
          <t>NOT AVAILABLE (report not requested)</t>
        </is>
      </c>
      <c r="L1279" t="inlineStr">
        <is>
          <t>rising (calc.)</t>
        </is>
      </c>
      <c r="M1279" t="inlineStr">
        <is>
          <t>MEASURED</t>
        </is>
      </c>
      <c r="N1279" s="5" t="inlineStr">
        <is>
          <t>Semrush phrase_these (live, this session)</t>
        </is>
      </c>
      <c r="O1279" t="inlineStr">
        <is>
          <t>2026-10-30</t>
        </is>
      </c>
      <c r="P1279">
        <f>IF(IF(J1279="NOT AVAILABLE","",J1279)="",12,IF(OR(ISNUMBER(SEARCH("Transactional",IF(J1279="NOT AVAILABLE","",J1279))),ISNUMBER(SEARCH("Commercial",IF(J1279="NOT AVAILABLE","",J1279)))),25,IF(ISNUMBER(SEARCH("Informational",IF(J1279="NOT AVAILABLE","",J1279))),10,IF(ISNUMBER(SEARCH("Navigational",IF(J1279="NOT AVAILABLE","",J1279))),0,12))))</f>
        <v/>
      </c>
      <c r="Q1279">
        <f>IF(ISNUMBER(F1279),MIN(30,ROUND(30*LOG10(F1279+1)/4,1)),0)</f>
        <v/>
      </c>
      <c r="R1279">
        <f>IF(ISNUMBER(G1279),ROUND(25*(100-G1279)/100,1),12.5)</f>
        <v/>
      </c>
      <c r="S1279" t="n">
        <v>14</v>
      </c>
      <c r="T1279">
        <f>ROUND(P1279+Q1279+R1279+S1279,0)</f>
        <v/>
      </c>
      <c r="U1279" s="5" t="inlineStr"/>
      <c r="V1279" s="5" t="inlineStr">
        <is>
          <t>OPTIONAL /web-development-company/zurich</t>
        </is>
      </c>
    </row>
    <row r="1280">
      <c r="A1280" t="inlineStr">
        <is>
          <t>K1278</t>
        </is>
      </c>
      <c r="B1280" t="inlineStr">
        <is>
          <t>balises hn seo</t>
        </is>
      </c>
      <c r="C1280" t="inlineStr">
        <is>
          <t>France</t>
        </is>
      </c>
      <c r="D1280" t="inlineStr">
        <is>
          <t>fr</t>
        </is>
      </c>
      <c r="E1280" t="inlineStr">
        <is>
          <t>fr</t>
        </is>
      </c>
      <c r="F1280" t="n">
        <v>50</v>
      </c>
      <c r="G1280" t="inlineStr">
        <is>
          <t>NOT AVAILABLE</t>
        </is>
      </c>
      <c r="H1280" t="n">
        <v>0</v>
      </c>
      <c r="I1280" t="n">
        <v>0.33</v>
      </c>
      <c r="J1280" t="inlineStr">
        <is>
          <t>NOT AVAILABLE</t>
        </is>
      </c>
      <c r="K1280" t="inlineStr">
        <is>
          <t>NOT AVAILABLE (report not requested)</t>
        </is>
      </c>
      <c r="L1280" t="inlineStr">
        <is>
          <t>declining (calc.)</t>
        </is>
      </c>
      <c r="M1280" t="inlineStr">
        <is>
          <t>MEASURED</t>
        </is>
      </c>
      <c r="N1280" s="5" t="inlineStr">
        <is>
          <t>Semrush phrase_these (live, this session)</t>
        </is>
      </c>
      <c r="O1280" t="inlineStr">
        <is>
          <t>2026-10-30</t>
        </is>
      </c>
      <c r="P1280">
        <f>IF(IF(J1280="NOT AVAILABLE","",J1280)="",12,IF(OR(ISNUMBER(SEARCH("Transactional",IF(J1280="NOT AVAILABLE","",J1280))),ISNUMBER(SEARCH("Commercial",IF(J1280="NOT AVAILABLE","",J1280)))),25,IF(ISNUMBER(SEARCH("Informational",IF(J1280="NOT AVAILABLE","",J1280))),10,IF(ISNUMBER(SEARCH("Navigational",IF(J1280="NOT AVAILABLE","",J1280))),0,12))))</f>
        <v/>
      </c>
      <c r="Q1280">
        <f>IF(ISNUMBER(F1280),MIN(30,ROUND(30*LOG10(F1280+1)/4,1)),0)</f>
        <v/>
      </c>
      <c r="R1280">
        <f>IF(ISNUMBER(G1280),ROUND(25*(100-G1280)/100,1),12.5)</f>
        <v/>
      </c>
      <c r="S1280" t="n">
        <v>14</v>
      </c>
      <c r="T1280">
        <f>ROUND(P1280+Q1280+R1280+S1280,0)</f>
        <v/>
      </c>
      <c r="U1280" s="5" t="inlineStr"/>
      <c r="V1280" s="5" t="inlineStr">
        <is>
          <t>SUPPORTING /tools/heading-analyzer</t>
        </is>
      </c>
    </row>
    <row r="1281">
      <c r="A1281" t="inlineStr">
        <is>
          <t>K1279</t>
        </is>
      </c>
      <c r="B1281" t="inlineStr">
        <is>
          <t>boite à outils seo</t>
        </is>
      </c>
      <c r="C1281" t="inlineStr">
        <is>
          <t>France</t>
        </is>
      </c>
      <c r="D1281" t="inlineStr">
        <is>
          <t>fr</t>
        </is>
      </c>
      <c r="E1281" t="inlineStr">
        <is>
          <t>fr</t>
        </is>
      </c>
      <c r="F1281" t="n">
        <v>50</v>
      </c>
      <c r="G1281" t="inlineStr">
        <is>
          <t>NOT AVAILABLE</t>
        </is>
      </c>
      <c r="H1281" t="n">
        <v>0</v>
      </c>
      <c r="I1281" t="n">
        <v>0.71</v>
      </c>
      <c r="J1281" t="inlineStr">
        <is>
          <t>NOT AVAILABLE</t>
        </is>
      </c>
      <c r="K1281" t="inlineStr">
        <is>
          <t>NOT AVAILABLE (report not requested)</t>
        </is>
      </c>
      <c r="L1281" t="inlineStr">
        <is>
          <t>stable (calc.)</t>
        </is>
      </c>
      <c r="M1281" t="inlineStr">
        <is>
          <t>MEASURED</t>
        </is>
      </c>
      <c r="N1281" s="5" t="inlineStr">
        <is>
          <t>Semrush phrase_these (live, this session)</t>
        </is>
      </c>
      <c r="O1281" t="inlineStr">
        <is>
          <t>2026-10-30</t>
        </is>
      </c>
      <c r="P1281">
        <f>IF(IF(J1281="NOT AVAILABLE","",J1281)="",12,IF(OR(ISNUMBER(SEARCH("Transactional",IF(J1281="NOT AVAILABLE","",J1281))),ISNUMBER(SEARCH("Commercial",IF(J1281="NOT AVAILABLE","",J1281)))),25,IF(ISNUMBER(SEARCH("Informational",IF(J1281="NOT AVAILABLE","",J1281))),10,IF(ISNUMBER(SEARCH("Navigational",IF(J1281="NOT AVAILABLE","",J1281))),0,12))))</f>
        <v/>
      </c>
      <c r="Q1281">
        <f>IF(ISNUMBER(F1281),MIN(30,ROUND(30*LOG10(F1281+1)/4,1)),0)</f>
        <v/>
      </c>
      <c r="R1281">
        <f>IF(ISNUMBER(G1281),ROUND(25*(100-G1281)/100,1),12.5)</f>
        <v/>
      </c>
      <c r="S1281" t="n">
        <v>14</v>
      </c>
      <c r="T1281">
        <f>ROUND(P1281+Q1281+R1281+S1281,0)</f>
        <v/>
      </c>
      <c r="U1281" s="5" t="inlineStr"/>
      <c r="V1281" s="5" t="inlineStr"/>
    </row>
    <row r="1282">
      <c r="A1282" t="inlineStr">
        <is>
          <t>K1280</t>
        </is>
      </c>
      <c r="B1282" t="inlineStr">
        <is>
          <t>création boutique shopify</t>
        </is>
      </c>
      <c r="C1282" t="inlineStr">
        <is>
          <t>France</t>
        </is>
      </c>
      <c r="D1282" t="inlineStr">
        <is>
          <t>fr</t>
        </is>
      </c>
      <c r="E1282" t="inlineStr">
        <is>
          <t>fr</t>
        </is>
      </c>
      <c r="F1282" t="n">
        <v>50</v>
      </c>
      <c r="G1282" t="inlineStr">
        <is>
          <t>NOT AVAILABLE</t>
        </is>
      </c>
      <c r="H1282" t="n">
        <v>4.05</v>
      </c>
      <c r="I1282" t="n">
        <v>0.7</v>
      </c>
      <c r="J1282" t="inlineStr">
        <is>
          <t>NOT AVAILABLE</t>
        </is>
      </c>
      <c r="K1282" t="inlineStr">
        <is>
          <t>NOT AVAILABLE (report not requested)</t>
        </is>
      </c>
      <c r="L1282" t="inlineStr">
        <is>
          <t>rising (calc.)</t>
        </is>
      </c>
      <c r="M1282" t="inlineStr">
        <is>
          <t>MEASURED</t>
        </is>
      </c>
      <c r="N1282" s="5" t="inlineStr">
        <is>
          <t>Semrush phrase_these (live, this session)</t>
        </is>
      </c>
      <c r="O1282" t="inlineStr">
        <is>
          <t>2026-10-30</t>
        </is>
      </c>
      <c r="P1282">
        <f>IF(IF(J1282="NOT AVAILABLE","",J1282)="",12,IF(OR(ISNUMBER(SEARCH("Transactional",IF(J1282="NOT AVAILABLE","",J1282))),ISNUMBER(SEARCH("Commercial",IF(J1282="NOT AVAILABLE","",J1282)))),25,IF(ISNUMBER(SEARCH("Informational",IF(J1282="NOT AVAILABLE","",J1282))),10,IF(ISNUMBER(SEARCH("Navigational",IF(J1282="NOT AVAILABLE","",J1282))),0,12))))</f>
        <v/>
      </c>
      <c r="Q1282">
        <f>IF(ISNUMBER(F1282),MIN(30,ROUND(30*LOG10(F1282+1)/4,1)),0)</f>
        <v/>
      </c>
      <c r="R1282">
        <f>IF(ISNUMBER(G1282),ROUND(25*(100-G1282)/100,1),12.5)</f>
        <v/>
      </c>
      <c r="S1282" t="n">
        <v>14</v>
      </c>
      <c r="T1282">
        <f>ROUND(P1282+Q1282+R1282+S1282,0)</f>
        <v/>
      </c>
      <c r="U1282" s="5" t="inlineStr"/>
      <c r="V1282" s="5" t="inlineStr">
        <is>
          <t>PRIMARY /our-work/glamworlds</t>
        </is>
      </c>
    </row>
    <row r="1283">
      <c r="A1283" t="inlineStr">
        <is>
          <t>K1281</t>
        </is>
      </c>
      <c r="B1283" t="inlineStr">
        <is>
          <t>création site web bruxelles</t>
        </is>
      </c>
      <c r="C1283" t="inlineStr">
        <is>
          <t>France</t>
        </is>
      </c>
      <c r="D1283" t="inlineStr">
        <is>
          <t>fr</t>
        </is>
      </c>
      <c r="E1283" t="inlineStr">
        <is>
          <t>fr</t>
        </is>
      </c>
      <c r="F1283" t="n">
        <v>50</v>
      </c>
      <c r="G1283" t="inlineStr">
        <is>
          <t>NOT AVAILABLE</t>
        </is>
      </c>
      <c r="H1283" t="n">
        <v>0</v>
      </c>
      <c r="I1283" t="n">
        <v>0.05</v>
      </c>
      <c r="J1283" t="inlineStr">
        <is>
          <t>NOT AVAILABLE</t>
        </is>
      </c>
      <c r="K1283" t="inlineStr">
        <is>
          <t>NOT AVAILABLE (report not requested)</t>
        </is>
      </c>
      <c r="L1283" t="inlineStr">
        <is>
          <t>declining (calc.)</t>
        </is>
      </c>
      <c r="M1283" t="inlineStr">
        <is>
          <t>MEASURED</t>
        </is>
      </c>
      <c r="N1283" s="5" t="inlineStr">
        <is>
          <t>Semrush phrase_these (live, this session)</t>
        </is>
      </c>
      <c r="O1283" t="inlineStr">
        <is>
          <t>2026-10-30</t>
        </is>
      </c>
      <c r="P1283">
        <f>IF(IF(J1283="NOT AVAILABLE","",J1283)="",12,IF(OR(ISNUMBER(SEARCH("Transactional",IF(J1283="NOT AVAILABLE","",J1283))),ISNUMBER(SEARCH("Commercial",IF(J1283="NOT AVAILABLE","",J1283)))),25,IF(ISNUMBER(SEARCH("Informational",IF(J1283="NOT AVAILABLE","",J1283))),10,IF(ISNUMBER(SEARCH("Navigational",IF(J1283="NOT AVAILABLE","",J1283))),0,12))))</f>
        <v/>
      </c>
      <c r="Q1283">
        <f>IF(ISNUMBER(F1283),MIN(30,ROUND(30*LOG10(F1283+1)/4,1)),0)</f>
        <v/>
      </c>
      <c r="R1283">
        <f>IF(ISNUMBER(G1283),ROUND(25*(100-G1283)/100,1),12.5)</f>
        <v/>
      </c>
      <c r="S1283" t="n">
        <v>14</v>
      </c>
      <c r="T1283">
        <f>ROUND(P1283+Q1283+R1283+S1283,0)</f>
        <v/>
      </c>
      <c r="U1283" s="5" t="inlineStr"/>
      <c r="V1283" s="5" t="inlineStr">
        <is>
          <t>OPTIONAL /web-development-company/brussels</t>
        </is>
      </c>
    </row>
    <row r="1284">
      <c r="A1284" t="inlineStr">
        <is>
          <t>K1282</t>
        </is>
      </c>
      <c r="B1284" t="inlineStr">
        <is>
          <t>développement plateforme web</t>
        </is>
      </c>
      <c r="C1284" t="inlineStr">
        <is>
          <t>France</t>
        </is>
      </c>
      <c r="D1284" t="inlineStr">
        <is>
          <t>fr</t>
        </is>
      </c>
      <c r="E1284" t="inlineStr">
        <is>
          <t>fr</t>
        </is>
      </c>
      <c r="F1284" t="n">
        <v>50</v>
      </c>
      <c r="G1284" t="inlineStr">
        <is>
          <t>NOT AVAILABLE</t>
        </is>
      </c>
      <c r="H1284" t="n">
        <v>0</v>
      </c>
      <c r="I1284" t="n">
        <v>0</v>
      </c>
      <c r="J1284" t="inlineStr">
        <is>
          <t>NOT AVAILABLE</t>
        </is>
      </c>
      <c r="K1284" t="inlineStr">
        <is>
          <t>NOT AVAILABLE (report not requested)</t>
        </is>
      </c>
      <c r="L1284" t="inlineStr">
        <is>
          <t>declining (calc.)</t>
        </is>
      </c>
      <c r="M1284" t="inlineStr">
        <is>
          <t>MEASURED</t>
        </is>
      </c>
      <c r="N1284" s="5" t="inlineStr">
        <is>
          <t>Semrush phrase_these (live, this session)</t>
        </is>
      </c>
      <c r="O1284" t="inlineStr">
        <is>
          <t>2026-10-30</t>
        </is>
      </c>
      <c r="P1284">
        <f>IF(IF(J1284="NOT AVAILABLE","",J1284)="",12,IF(OR(ISNUMBER(SEARCH("Transactional",IF(J1284="NOT AVAILABLE","",J1284))),ISNUMBER(SEARCH("Commercial",IF(J1284="NOT AVAILABLE","",J1284)))),25,IF(ISNUMBER(SEARCH("Informational",IF(J1284="NOT AVAILABLE","",J1284))),10,IF(ISNUMBER(SEARCH("Navigational",IF(J1284="NOT AVAILABLE","",J1284))),0,12))))</f>
        <v/>
      </c>
      <c r="Q1284">
        <f>IF(ISNUMBER(F1284),MIN(30,ROUND(30*LOG10(F1284+1)/4,1)),0)</f>
        <v/>
      </c>
      <c r="R1284">
        <f>IF(ISNUMBER(G1284),ROUND(25*(100-G1284)/100,1),12.5)</f>
        <v/>
      </c>
      <c r="S1284" t="n">
        <v>14</v>
      </c>
      <c r="T1284">
        <f>ROUND(P1284+Q1284+R1284+S1284,0)</f>
        <v/>
      </c>
      <c r="U1284" s="5" t="inlineStr"/>
      <c r="V1284" s="5" t="inlineStr"/>
    </row>
    <row r="1285">
      <c r="A1285" t="inlineStr">
        <is>
          <t>K1283</t>
        </is>
      </c>
      <c r="B1285" t="inlineStr">
        <is>
          <t>faq schema</t>
        </is>
      </c>
      <c r="C1285" t="inlineStr">
        <is>
          <t>France</t>
        </is>
      </c>
      <c r="D1285" t="inlineStr">
        <is>
          <t>fr</t>
        </is>
      </c>
      <c r="E1285" t="inlineStr">
        <is>
          <t>fr</t>
        </is>
      </c>
      <c r="F1285" t="n">
        <v>50</v>
      </c>
      <c r="G1285" t="inlineStr">
        <is>
          <t>NOT AVAILABLE</t>
        </is>
      </c>
      <c r="H1285" t="n">
        <v>0</v>
      </c>
      <c r="I1285" t="n">
        <v>0.02</v>
      </c>
      <c r="J1285" t="inlineStr">
        <is>
          <t>NOT AVAILABLE</t>
        </is>
      </c>
      <c r="K1285" t="inlineStr">
        <is>
          <t>NOT AVAILABLE (report not requested)</t>
        </is>
      </c>
      <c r="L1285" t="inlineStr">
        <is>
          <t>rising (calc.)</t>
        </is>
      </c>
      <c r="M1285" t="inlineStr">
        <is>
          <t>MEASURED</t>
        </is>
      </c>
      <c r="N1285" s="5" t="inlineStr">
        <is>
          <t>Semrush phrase_these (live, this session)</t>
        </is>
      </c>
      <c r="O1285" t="inlineStr">
        <is>
          <t>2026-10-30</t>
        </is>
      </c>
      <c r="P1285">
        <f>IF(IF(J1285="NOT AVAILABLE","",J1285)="",12,IF(OR(ISNUMBER(SEARCH("Transactional",IF(J1285="NOT AVAILABLE","",J1285))),ISNUMBER(SEARCH("Commercial",IF(J1285="NOT AVAILABLE","",J1285)))),25,IF(ISNUMBER(SEARCH("Informational",IF(J1285="NOT AVAILABLE","",J1285))),10,IF(ISNUMBER(SEARCH("Navigational",IF(J1285="NOT AVAILABLE","",J1285))),0,12))))</f>
        <v/>
      </c>
      <c r="Q1285">
        <f>IF(ISNUMBER(F1285),MIN(30,ROUND(30*LOG10(F1285+1)/4,1)),0)</f>
        <v/>
      </c>
      <c r="R1285">
        <f>IF(ISNUMBER(G1285),ROUND(25*(100-G1285)/100,1),12.5)</f>
        <v/>
      </c>
      <c r="S1285" t="n">
        <v>14</v>
      </c>
      <c r="T1285">
        <f>ROUND(P1285+Q1285+R1285+S1285,0)</f>
        <v/>
      </c>
      <c r="U1285" s="5" t="inlineStr"/>
      <c r="V1285" s="5" t="inlineStr">
        <is>
          <t>PRIMARY /tools/faq-schema-generator</t>
        </is>
      </c>
    </row>
    <row r="1286">
      <c r="A1286" t="inlineStr">
        <is>
          <t>K1284</t>
        </is>
      </c>
      <c r="B1286" t="inlineStr">
        <is>
          <t>site internet clinique</t>
        </is>
      </c>
      <c r="C1286" t="inlineStr">
        <is>
          <t>France</t>
        </is>
      </c>
      <c r="D1286" t="inlineStr">
        <is>
          <t>fr</t>
        </is>
      </c>
      <c r="E1286" t="inlineStr">
        <is>
          <t>fr</t>
        </is>
      </c>
      <c r="F1286" t="n">
        <v>50</v>
      </c>
      <c r="G1286" t="inlineStr">
        <is>
          <t>NOT AVAILABLE</t>
        </is>
      </c>
      <c r="H1286" t="n">
        <v>0</v>
      </c>
      <c r="I1286" t="n">
        <v>0</v>
      </c>
      <c r="J1286" t="inlineStr">
        <is>
          <t>NOT AVAILABLE</t>
        </is>
      </c>
      <c r="K1286" t="inlineStr">
        <is>
          <t>NOT AVAILABLE (report not requested)</t>
        </is>
      </c>
      <c r="L1286" t="inlineStr">
        <is>
          <t>rising (calc.)</t>
        </is>
      </c>
      <c r="M1286" t="inlineStr">
        <is>
          <t>MEASURED</t>
        </is>
      </c>
      <c r="N1286" s="5" t="inlineStr">
        <is>
          <t>Semrush phrase_these (live, this session)</t>
        </is>
      </c>
      <c r="O1286" t="inlineStr">
        <is>
          <t>2026-10-30</t>
        </is>
      </c>
      <c r="P1286">
        <f>IF(IF(J1286="NOT AVAILABLE","",J1286)="",12,IF(OR(ISNUMBER(SEARCH("Transactional",IF(J1286="NOT AVAILABLE","",J1286))),ISNUMBER(SEARCH("Commercial",IF(J1286="NOT AVAILABLE","",J1286)))),25,IF(ISNUMBER(SEARCH("Informational",IF(J1286="NOT AVAILABLE","",J1286))),10,IF(ISNUMBER(SEARCH("Navigational",IF(J1286="NOT AVAILABLE","",J1286))),0,12))))</f>
        <v/>
      </c>
      <c r="Q1286">
        <f>IF(ISNUMBER(F1286),MIN(30,ROUND(30*LOG10(F1286+1)/4,1)),0)</f>
        <v/>
      </c>
      <c r="R1286">
        <f>IF(ISNUMBER(G1286),ROUND(25*(100-G1286)/100,1),12.5)</f>
        <v/>
      </c>
      <c r="S1286" t="n">
        <v>14</v>
      </c>
      <c r="T1286">
        <f>ROUND(P1286+Q1286+R1286+S1286,0)</f>
        <v/>
      </c>
      <c r="U1286" s="5" t="inlineStr"/>
      <c r="V1286" s="5" t="inlineStr">
        <is>
          <t>SUPPORTING /services/healthcare-website-development</t>
        </is>
      </c>
    </row>
    <row r="1287">
      <c r="A1287" t="inlineStr">
        <is>
          <t>K1285</t>
        </is>
      </c>
      <c r="B1287" t="inlineStr">
        <is>
          <t>site web dentiste</t>
        </is>
      </c>
      <c r="C1287" t="inlineStr">
        <is>
          <t>France</t>
        </is>
      </c>
      <c r="D1287" t="inlineStr">
        <is>
          <t>fr</t>
        </is>
      </c>
      <c r="E1287" t="inlineStr">
        <is>
          <t>fr</t>
        </is>
      </c>
      <c r="F1287" t="n">
        <v>50</v>
      </c>
      <c r="G1287" t="inlineStr">
        <is>
          <t>NOT AVAILABLE</t>
        </is>
      </c>
      <c r="H1287" t="n">
        <v>0</v>
      </c>
      <c r="I1287" t="n">
        <v>0</v>
      </c>
      <c r="J1287" t="inlineStr">
        <is>
          <t>NOT AVAILABLE</t>
        </is>
      </c>
      <c r="K1287" t="inlineStr">
        <is>
          <t>NOT AVAILABLE (report not requested)</t>
        </is>
      </c>
      <c r="L1287" t="inlineStr">
        <is>
          <t>stable (calc.)</t>
        </is>
      </c>
      <c r="M1287" t="inlineStr">
        <is>
          <t>MEASURED</t>
        </is>
      </c>
      <c r="N1287" s="5" t="inlineStr">
        <is>
          <t>Semrush phrase_these (live, this session)</t>
        </is>
      </c>
      <c r="O1287" t="inlineStr">
        <is>
          <t>2026-10-30</t>
        </is>
      </c>
      <c r="P1287">
        <f>IF(IF(J1287="NOT AVAILABLE","",J1287)="",12,IF(OR(ISNUMBER(SEARCH("Transactional",IF(J1287="NOT AVAILABLE","",J1287))),ISNUMBER(SEARCH("Commercial",IF(J1287="NOT AVAILABLE","",J1287)))),25,IF(ISNUMBER(SEARCH("Informational",IF(J1287="NOT AVAILABLE","",J1287))),10,IF(ISNUMBER(SEARCH("Navigational",IF(J1287="NOT AVAILABLE","",J1287))),0,12))))</f>
        <v/>
      </c>
      <c r="Q1287">
        <f>IF(ISNUMBER(F1287),MIN(30,ROUND(30*LOG10(F1287+1)/4,1)),0)</f>
        <v/>
      </c>
      <c r="R1287">
        <f>IF(ISNUMBER(G1287),ROUND(25*(100-G1287)/100,1),12.5)</f>
        <v/>
      </c>
      <c r="S1287" t="n">
        <v>14</v>
      </c>
      <c r="T1287">
        <f>ROUND(P1287+Q1287+R1287+S1287,0)</f>
        <v/>
      </c>
      <c r="U1287" s="5" t="inlineStr"/>
      <c r="V1287" s="5" t="inlineStr">
        <is>
          <t>SUPPORTING /services/healthcare-website-development</t>
        </is>
      </c>
    </row>
    <row r="1288">
      <c r="A1288" t="inlineStr">
        <is>
          <t>K1286</t>
        </is>
      </c>
      <c r="B1288" t="inlineStr">
        <is>
          <t>création site web maroc</t>
        </is>
      </c>
      <c r="C1288" t="inlineStr">
        <is>
          <t>France</t>
        </is>
      </c>
      <c r="D1288" t="inlineStr">
        <is>
          <t>fr</t>
        </is>
      </c>
      <c r="E1288" t="inlineStr">
        <is>
          <t>fr</t>
        </is>
      </c>
      <c r="F1288" t="n">
        <v>40</v>
      </c>
      <c r="G1288" t="inlineStr">
        <is>
          <t>NOT AVAILABLE</t>
        </is>
      </c>
      <c r="H1288" t="n">
        <v>3.24</v>
      </c>
      <c r="I1288" t="n">
        <v>0.18</v>
      </c>
      <c r="J1288" t="inlineStr">
        <is>
          <t>NOT AVAILABLE</t>
        </is>
      </c>
      <c r="K1288" t="inlineStr">
        <is>
          <t>NOT AVAILABLE (report not requested)</t>
        </is>
      </c>
      <c r="L1288" t="inlineStr">
        <is>
          <t>rising (calc.)</t>
        </is>
      </c>
      <c r="M1288" t="inlineStr">
        <is>
          <t>MEASURED</t>
        </is>
      </c>
      <c r="N1288" s="5" t="inlineStr">
        <is>
          <t>Semrush phrase_these (live, this session)</t>
        </is>
      </c>
      <c r="O1288" t="inlineStr">
        <is>
          <t>2026-10-30</t>
        </is>
      </c>
      <c r="P1288">
        <f>IF(IF(J1288="NOT AVAILABLE","",J1288)="",12,IF(OR(ISNUMBER(SEARCH("Transactional",IF(J1288="NOT AVAILABLE","",J1288))),ISNUMBER(SEARCH("Commercial",IF(J1288="NOT AVAILABLE","",J1288)))),25,IF(ISNUMBER(SEARCH("Informational",IF(J1288="NOT AVAILABLE","",J1288))),10,IF(ISNUMBER(SEARCH("Navigational",IF(J1288="NOT AVAILABLE","",J1288))),0,12))))</f>
        <v/>
      </c>
      <c r="Q1288">
        <f>IF(ISNUMBER(F1288),MIN(30,ROUND(30*LOG10(F1288+1)/4,1)),0)</f>
        <v/>
      </c>
      <c r="R1288">
        <f>IF(ISNUMBER(G1288),ROUND(25*(100-G1288)/100,1),12.5)</f>
        <v/>
      </c>
      <c r="S1288" t="n">
        <v>14</v>
      </c>
      <c r="T1288">
        <f>ROUND(P1288+Q1288+R1288+S1288,0)</f>
        <v/>
      </c>
      <c r="U1288" s="5" t="inlineStr"/>
      <c r="V1288" s="5" t="inlineStr"/>
    </row>
    <row r="1289">
      <c r="A1289" t="inlineStr">
        <is>
          <t>K1287</t>
        </is>
      </c>
      <c r="B1289" t="inlineStr">
        <is>
          <t>domaines expirés</t>
        </is>
      </c>
      <c r="C1289" t="inlineStr">
        <is>
          <t>France</t>
        </is>
      </c>
      <c r="D1289" t="inlineStr">
        <is>
          <t>fr</t>
        </is>
      </c>
      <c r="E1289" t="inlineStr">
        <is>
          <t>fr</t>
        </is>
      </c>
      <c r="F1289" t="n">
        <v>40</v>
      </c>
      <c r="G1289" t="inlineStr">
        <is>
          <t>NOT AVAILABLE</t>
        </is>
      </c>
      <c r="H1289" t="n">
        <v>1.21</v>
      </c>
      <c r="I1289" t="n">
        <v>0.25</v>
      </c>
      <c r="J1289" t="inlineStr">
        <is>
          <t>NOT AVAILABLE</t>
        </is>
      </c>
      <c r="K1289" t="inlineStr">
        <is>
          <t>NOT AVAILABLE (report not requested)</t>
        </is>
      </c>
      <c r="L1289" t="inlineStr">
        <is>
          <t>stable (calc.)</t>
        </is>
      </c>
      <c r="M1289" t="inlineStr">
        <is>
          <t>MEASURED</t>
        </is>
      </c>
      <c r="N1289" s="5" t="inlineStr">
        <is>
          <t>Semrush phrase_these (live, this session)</t>
        </is>
      </c>
      <c r="O1289" t="inlineStr">
        <is>
          <t>2026-10-30</t>
        </is>
      </c>
      <c r="P1289">
        <f>IF(IF(J1289="NOT AVAILABLE","",J1289)="",12,IF(OR(ISNUMBER(SEARCH("Transactional",IF(J1289="NOT AVAILABLE","",J1289))),ISNUMBER(SEARCH("Commercial",IF(J1289="NOT AVAILABLE","",J1289)))),25,IF(ISNUMBER(SEARCH("Informational",IF(J1289="NOT AVAILABLE","",J1289))),10,IF(ISNUMBER(SEARCH("Navigational",IF(J1289="NOT AVAILABLE","",J1289))),0,12))))</f>
        <v/>
      </c>
      <c r="Q1289">
        <f>IF(ISNUMBER(F1289),MIN(30,ROUND(30*LOG10(F1289+1)/4,1)),0)</f>
        <v/>
      </c>
      <c r="R1289">
        <f>IF(ISNUMBER(G1289),ROUND(25*(100-G1289)/100,1),12.5)</f>
        <v/>
      </c>
      <c r="S1289" t="n">
        <v>14</v>
      </c>
      <c r="T1289">
        <f>ROUND(P1289+Q1289+R1289+S1289,0)</f>
        <v/>
      </c>
      <c r="U1289" s="5" t="inlineStr"/>
      <c r="V1289" s="5" t="inlineStr">
        <is>
          <t>SUPPORTING /tools/expired-domain-checker</t>
        </is>
      </c>
    </row>
    <row r="1290">
      <c r="A1290" t="inlineStr">
        <is>
          <t>K1288</t>
        </is>
      </c>
      <c r="B1290" t="inlineStr">
        <is>
          <t>sous-traitance développement web</t>
        </is>
      </c>
      <c r="C1290" t="inlineStr">
        <is>
          <t>France</t>
        </is>
      </c>
      <c r="D1290" t="inlineStr">
        <is>
          <t>fr</t>
        </is>
      </c>
      <c r="E1290" t="inlineStr">
        <is>
          <t>fr</t>
        </is>
      </c>
      <c r="F1290" t="n">
        <v>40</v>
      </c>
      <c r="G1290" t="inlineStr">
        <is>
          <t>NOT AVAILABLE</t>
        </is>
      </c>
      <c r="H1290" t="n">
        <v>0</v>
      </c>
      <c r="I1290" t="n">
        <v>0.57</v>
      </c>
      <c r="J1290" t="inlineStr">
        <is>
          <t>NOT AVAILABLE</t>
        </is>
      </c>
      <c r="K1290" t="inlineStr">
        <is>
          <t>NOT AVAILABLE (report not requested)</t>
        </is>
      </c>
      <c r="L1290" t="inlineStr">
        <is>
          <t>declining (calc.)</t>
        </is>
      </c>
      <c r="M1290" t="inlineStr">
        <is>
          <t>MEASURED</t>
        </is>
      </c>
      <c r="N1290" s="5" t="inlineStr">
        <is>
          <t>Semrush phrase_these (live, this session)</t>
        </is>
      </c>
      <c r="O1290" t="inlineStr">
        <is>
          <t>2026-10-30</t>
        </is>
      </c>
      <c r="P1290">
        <f>IF(IF(J1290="NOT AVAILABLE","",J1290)="",12,IF(OR(ISNUMBER(SEARCH("Transactional",IF(J1290="NOT AVAILABLE","",J1290))),ISNUMBER(SEARCH("Commercial",IF(J1290="NOT AVAILABLE","",J1290)))),25,IF(ISNUMBER(SEARCH("Informational",IF(J1290="NOT AVAILABLE","",J1290))),10,IF(ISNUMBER(SEARCH("Navigational",IF(J1290="NOT AVAILABLE","",J1290))),0,12))))</f>
        <v/>
      </c>
      <c r="Q1290">
        <f>IF(ISNUMBER(F1290),MIN(30,ROUND(30*LOG10(F1290+1)/4,1)),0)</f>
        <v/>
      </c>
      <c r="R1290">
        <f>IF(ISNUMBER(G1290),ROUND(25*(100-G1290)/100,1),12.5)</f>
        <v/>
      </c>
      <c r="S1290" t="n">
        <v>14</v>
      </c>
      <c r="T1290">
        <f>ROUND(P1290+Q1290+R1290+S1290,0)</f>
        <v/>
      </c>
      <c r="U1290" s="5" t="inlineStr"/>
      <c r="V1290" s="5" t="inlineStr">
        <is>
          <t>SUPPORTING /web-development-company/worldwide</t>
        </is>
      </c>
    </row>
    <row r="1291">
      <c r="A1291" t="inlineStr">
        <is>
          <t>K1289</t>
        </is>
      </c>
      <c r="B1291" t="inlineStr">
        <is>
          <t>texte alternatif image</t>
        </is>
      </c>
      <c r="C1291" t="inlineStr">
        <is>
          <t>France</t>
        </is>
      </c>
      <c r="D1291" t="inlineStr">
        <is>
          <t>fr</t>
        </is>
      </c>
      <c r="E1291" t="inlineStr">
        <is>
          <t>fr</t>
        </is>
      </c>
      <c r="F1291" t="n">
        <v>40</v>
      </c>
      <c r="G1291" t="inlineStr">
        <is>
          <t>NOT AVAILABLE</t>
        </is>
      </c>
      <c r="H1291" t="n">
        <v>0</v>
      </c>
      <c r="I1291" t="n">
        <v>0.33</v>
      </c>
      <c r="J1291" t="inlineStr">
        <is>
          <t>NOT AVAILABLE</t>
        </is>
      </c>
      <c r="K1291" t="inlineStr">
        <is>
          <t>NOT AVAILABLE (report not requested)</t>
        </is>
      </c>
      <c r="L1291" t="inlineStr">
        <is>
          <t>declining (calc.)</t>
        </is>
      </c>
      <c r="M1291" t="inlineStr">
        <is>
          <t>MEASURED</t>
        </is>
      </c>
      <c r="N1291" s="5" t="inlineStr">
        <is>
          <t>Semrush phrase_these (live, this session)</t>
        </is>
      </c>
      <c r="O1291" t="inlineStr">
        <is>
          <t>2026-10-30</t>
        </is>
      </c>
      <c r="P1291">
        <f>IF(IF(J1291="NOT AVAILABLE","",J1291)="",12,IF(OR(ISNUMBER(SEARCH("Transactional",IF(J1291="NOT AVAILABLE","",J1291))),ISNUMBER(SEARCH("Commercial",IF(J1291="NOT AVAILABLE","",J1291)))),25,IF(ISNUMBER(SEARCH("Informational",IF(J1291="NOT AVAILABLE","",J1291))),10,IF(ISNUMBER(SEARCH("Navigational",IF(J1291="NOT AVAILABLE","",J1291))),0,12))))</f>
        <v/>
      </c>
      <c r="Q1291">
        <f>IF(ISNUMBER(F1291),MIN(30,ROUND(30*LOG10(F1291+1)/4,1)),0)</f>
        <v/>
      </c>
      <c r="R1291">
        <f>IF(ISNUMBER(G1291),ROUND(25*(100-G1291)/100,1),12.5)</f>
        <v/>
      </c>
      <c r="S1291" t="n">
        <v>14</v>
      </c>
      <c r="T1291">
        <f>ROUND(P1291+Q1291+R1291+S1291,0)</f>
        <v/>
      </c>
      <c r="U1291" s="5" t="inlineStr"/>
      <c r="V1291" s="5" t="inlineStr">
        <is>
          <t>SUPPORTING /tools/image-alt-analyzer</t>
        </is>
      </c>
    </row>
    <row r="1292">
      <c r="A1292" t="inlineStr">
        <is>
          <t>K1290</t>
        </is>
      </c>
      <c r="B1292" t="inlineStr">
        <is>
          <t>vérifier domaine</t>
        </is>
      </c>
      <c r="C1292" t="inlineStr">
        <is>
          <t>France</t>
        </is>
      </c>
      <c r="D1292" t="inlineStr">
        <is>
          <t>fr</t>
        </is>
      </c>
      <c r="E1292" t="inlineStr">
        <is>
          <t>fr</t>
        </is>
      </c>
      <c r="F1292" t="n">
        <v>40</v>
      </c>
      <c r="G1292" t="inlineStr">
        <is>
          <t>NOT AVAILABLE</t>
        </is>
      </c>
      <c r="H1292" t="n">
        <v>0.92</v>
      </c>
      <c r="I1292" t="n">
        <v>0.71</v>
      </c>
      <c r="J1292" t="inlineStr">
        <is>
          <t>NOT AVAILABLE</t>
        </is>
      </c>
      <c r="K1292" t="inlineStr">
        <is>
          <t>NOT AVAILABLE (report not requested)</t>
        </is>
      </c>
      <c r="L1292" t="inlineStr">
        <is>
          <t>stable (calc.)</t>
        </is>
      </c>
      <c r="M1292" t="inlineStr">
        <is>
          <t>MEASURED</t>
        </is>
      </c>
      <c r="N1292" s="5" t="inlineStr">
        <is>
          <t>Semrush phrase_these (live, this session)</t>
        </is>
      </c>
      <c r="O1292" t="inlineStr">
        <is>
          <t>2026-10-30</t>
        </is>
      </c>
      <c r="P1292">
        <f>IF(IF(J1292="NOT AVAILABLE","",J1292)="",12,IF(OR(ISNUMBER(SEARCH("Transactional",IF(J1292="NOT AVAILABLE","",J1292))),ISNUMBER(SEARCH("Commercial",IF(J1292="NOT AVAILABLE","",J1292)))),25,IF(ISNUMBER(SEARCH("Informational",IF(J1292="NOT AVAILABLE","",J1292))),10,IF(ISNUMBER(SEARCH("Navigational",IF(J1292="NOT AVAILABLE","",J1292))),0,12))))</f>
        <v/>
      </c>
      <c r="Q1292">
        <f>IF(ISNUMBER(F1292),MIN(30,ROUND(30*LOG10(F1292+1)/4,1)),0)</f>
        <v/>
      </c>
      <c r="R1292">
        <f>IF(ISNUMBER(G1292),ROUND(25*(100-G1292)/100,1),12.5)</f>
        <v/>
      </c>
      <c r="S1292" t="n">
        <v>14</v>
      </c>
      <c r="T1292">
        <f>ROUND(P1292+Q1292+R1292+S1292,0)</f>
        <v/>
      </c>
      <c r="U1292" s="5" t="inlineStr"/>
      <c r="V1292" s="5" t="inlineStr">
        <is>
          <t>SUPPORTING /tools/domain-health-checker</t>
        </is>
      </c>
    </row>
    <row r="1293">
      <c r="A1293" t="inlineStr">
        <is>
          <t>K1291</t>
        </is>
      </c>
      <c r="B1293" t="inlineStr">
        <is>
          <t>budget de crawl</t>
        </is>
      </c>
      <c r="C1293" t="inlineStr">
        <is>
          <t>France</t>
        </is>
      </c>
      <c r="D1293" t="inlineStr">
        <is>
          <t>fr</t>
        </is>
      </c>
      <c r="E1293" t="inlineStr">
        <is>
          <t>fr</t>
        </is>
      </c>
      <c r="F1293" t="n">
        <v>30</v>
      </c>
      <c r="G1293" t="inlineStr">
        <is>
          <t>NOT AVAILABLE</t>
        </is>
      </c>
      <c r="H1293" t="n">
        <v>0</v>
      </c>
      <c r="I1293" t="n">
        <v>0.01</v>
      </c>
      <c r="J1293" t="inlineStr">
        <is>
          <t>NOT AVAILABLE</t>
        </is>
      </c>
      <c r="K1293" t="inlineStr">
        <is>
          <t>NOT AVAILABLE (report not requested)</t>
        </is>
      </c>
      <c r="L1293" t="inlineStr">
        <is>
          <t>stable (calc.)</t>
        </is>
      </c>
      <c r="M1293" t="inlineStr">
        <is>
          <t>MEASURED</t>
        </is>
      </c>
      <c r="N1293" s="5" t="inlineStr">
        <is>
          <t>Semrush phrase_these (live, this session)</t>
        </is>
      </c>
      <c r="O1293" t="inlineStr">
        <is>
          <t>2026-10-30</t>
        </is>
      </c>
      <c r="P1293">
        <f>IF(IF(J1293="NOT AVAILABLE","",J1293)="",12,IF(OR(ISNUMBER(SEARCH("Transactional",IF(J1293="NOT AVAILABLE","",J1293))),ISNUMBER(SEARCH("Commercial",IF(J1293="NOT AVAILABLE","",J1293)))),25,IF(ISNUMBER(SEARCH("Informational",IF(J1293="NOT AVAILABLE","",J1293))),10,IF(ISNUMBER(SEARCH("Navigational",IF(J1293="NOT AVAILABLE","",J1293))),0,12))))</f>
        <v/>
      </c>
      <c r="Q1293">
        <f>IF(ISNUMBER(F1293),MIN(30,ROUND(30*LOG10(F1293+1)/4,1)),0)</f>
        <v/>
      </c>
      <c r="R1293">
        <f>IF(ISNUMBER(G1293),ROUND(25*(100-G1293)/100,1),12.5)</f>
        <v/>
      </c>
      <c r="S1293" t="n">
        <v>14</v>
      </c>
      <c r="T1293">
        <f>ROUND(P1293+Q1293+R1293+S1293,0)</f>
        <v/>
      </c>
      <c r="U1293" s="5" t="inlineStr"/>
      <c r="V1293" s="5" t="inlineStr">
        <is>
          <t>SUPPORTING /tools/crawl-optimization-checker</t>
        </is>
      </c>
    </row>
    <row r="1294">
      <c r="A1294" t="inlineStr">
        <is>
          <t>K1292</t>
        </is>
      </c>
      <c r="B1294" t="inlineStr">
        <is>
          <t>comment créer un saas</t>
        </is>
      </c>
      <c r="C1294" t="inlineStr">
        <is>
          <t>France</t>
        </is>
      </c>
      <c r="D1294" t="inlineStr">
        <is>
          <t>fr</t>
        </is>
      </c>
      <c r="E1294" t="inlineStr">
        <is>
          <t>fr</t>
        </is>
      </c>
      <c r="F1294" t="n">
        <v>30</v>
      </c>
      <c r="G1294" t="inlineStr">
        <is>
          <t>NOT AVAILABLE</t>
        </is>
      </c>
      <c r="H1294" t="n">
        <v>2.36</v>
      </c>
      <c r="I1294" t="n">
        <v>0.8</v>
      </c>
      <c r="J1294" t="inlineStr">
        <is>
          <t>NOT AVAILABLE</t>
        </is>
      </c>
      <c r="K1294" t="inlineStr">
        <is>
          <t>NOT AVAILABLE (report not requested)</t>
        </is>
      </c>
      <c r="L1294" t="inlineStr">
        <is>
          <t>rising (calc.)</t>
        </is>
      </c>
      <c r="M1294" t="inlineStr">
        <is>
          <t>MEASURED</t>
        </is>
      </c>
      <c r="N1294" s="5" t="inlineStr">
        <is>
          <t>Semrush phrase_these (live, this session)</t>
        </is>
      </c>
      <c r="O1294" t="inlineStr">
        <is>
          <t>2026-10-30</t>
        </is>
      </c>
      <c r="P1294">
        <f>IF(IF(J1294="NOT AVAILABLE","",J1294)="",12,IF(OR(ISNUMBER(SEARCH("Transactional",IF(J1294="NOT AVAILABLE","",J1294))),ISNUMBER(SEARCH("Commercial",IF(J1294="NOT AVAILABLE","",J1294)))),25,IF(ISNUMBER(SEARCH("Informational",IF(J1294="NOT AVAILABLE","",J1294))),10,IF(ISNUMBER(SEARCH("Navigational",IF(J1294="NOT AVAILABLE","",J1294))),0,12))))</f>
        <v/>
      </c>
      <c r="Q1294">
        <f>IF(ISNUMBER(F1294),MIN(30,ROUND(30*LOG10(F1294+1)/4,1)),0)</f>
        <v/>
      </c>
      <c r="R1294">
        <f>IF(ISNUMBER(G1294),ROUND(25*(100-G1294)/100,1),12.5)</f>
        <v/>
      </c>
      <c r="S1294" t="n">
        <v>14</v>
      </c>
      <c r="T1294">
        <f>ROUND(P1294+Q1294+R1294+S1294,0)</f>
        <v/>
      </c>
      <c r="U1294" s="5" t="inlineStr"/>
      <c r="V1294" s="5" t="inlineStr">
        <is>
          <t>FAQ /blog/creer-une-plateforme-saas-mvp-multi-tenant-facturation-par-ou-commencer</t>
        </is>
      </c>
    </row>
    <row r="1295">
      <c r="A1295" t="inlineStr">
        <is>
          <t>K1293</t>
        </is>
      </c>
      <c r="B1295" t="inlineStr">
        <is>
          <t>convertir html en texte</t>
        </is>
      </c>
      <c r="C1295" t="inlineStr">
        <is>
          <t>France</t>
        </is>
      </c>
      <c r="D1295" t="inlineStr">
        <is>
          <t>fr</t>
        </is>
      </c>
      <c r="E1295" t="inlineStr">
        <is>
          <t>fr</t>
        </is>
      </c>
      <c r="F1295" t="n">
        <v>30</v>
      </c>
      <c r="G1295" t="inlineStr">
        <is>
          <t>NOT AVAILABLE</t>
        </is>
      </c>
      <c r="H1295" t="n">
        <v>0</v>
      </c>
      <c r="I1295" t="n">
        <v>0.05</v>
      </c>
      <c r="J1295" t="inlineStr">
        <is>
          <t>NOT AVAILABLE</t>
        </is>
      </c>
      <c r="K1295" t="inlineStr">
        <is>
          <t>NOT AVAILABLE (report not requested)</t>
        </is>
      </c>
      <c r="L1295" t="inlineStr">
        <is>
          <t>rising (calc.)</t>
        </is>
      </c>
      <c r="M1295" t="inlineStr">
        <is>
          <t>MEASURED</t>
        </is>
      </c>
      <c r="N1295" s="5" t="inlineStr">
        <is>
          <t>Semrush phrase_these (live, this session)</t>
        </is>
      </c>
      <c r="O1295" t="inlineStr">
        <is>
          <t>2026-10-30</t>
        </is>
      </c>
      <c r="P1295">
        <f>IF(IF(J1295="NOT AVAILABLE","",J1295)="",12,IF(OR(ISNUMBER(SEARCH("Transactional",IF(J1295="NOT AVAILABLE","",J1295))),ISNUMBER(SEARCH("Commercial",IF(J1295="NOT AVAILABLE","",J1295)))),25,IF(ISNUMBER(SEARCH("Informational",IF(J1295="NOT AVAILABLE","",J1295))),10,IF(ISNUMBER(SEARCH("Navigational",IF(J1295="NOT AVAILABLE","",J1295))),0,12))))</f>
        <v/>
      </c>
      <c r="Q1295">
        <f>IF(ISNUMBER(F1295),MIN(30,ROUND(30*LOG10(F1295+1)/4,1)),0)</f>
        <v/>
      </c>
      <c r="R1295">
        <f>IF(ISNUMBER(G1295),ROUND(25*(100-G1295)/100,1),12.5)</f>
        <v/>
      </c>
      <c r="S1295" t="n">
        <v>14</v>
      </c>
      <c r="T1295">
        <f>ROUND(P1295+Q1295+R1295+S1295,0)</f>
        <v/>
      </c>
      <c r="U1295" s="5" t="inlineStr"/>
      <c r="V1295" s="5" t="inlineStr">
        <is>
          <t>SUPPORTING /tools/html-to-text</t>
        </is>
      </c>
    </row>
    <row r="1296">
      <c r="A1296" t="inlineStr">
        <is>
          <t>K1294</t>
        </is>
      </c>
      <c r="B1296" t="inlineStr">
        <is>
          <t>création site web médecin</t>
        </is>
      </c>
      <c r="C1296" t="inlineStr">
        <is>
          <t>France</t>
        </is>
      </c>
      <c r="D1296" t="inlineStr">
        <is>
          <t>fr</t>
        </is>
      </c>
      <c r="E1296" t="inlineStr">
        <is>
          <t>fr</t>
        </is>
      </c>
      <c r="F1296" t="n">
        <v>30</v>
      </c>
      <c r="G1296" t="inlineStr">
        <is>
          <t>NOT AVAILABLE</t>
        </is>
      </c>
      <c r="H1296" t="n">
        <v>0</v>
      </c>
      <c r="I1296" t="n">
        <v>0</v>
      </c>
      <c r="J1296" t="inlineStr">
        <is>
          <t>NOT AVAILABLE</t>
        </is>
      </c>
      <c r="K1296" t="inlineStr">
        <is>
          <t>NOT AVAILABLE (report not requested)</t>
        </is>
      </c>
      <c r="L1296" t="inlineStr">
        <is>
          <t>rising (calc.)</t>
        </is>
      </c>
      <c r="M1296" t="inlineStr">
        <is>
          <t>MEASURED</t>
        </is>
      </c>
      <c r="N1296" s="5" t="inlineStr">
        <is>
          <t>Semrush phrase_these (live, this session)</t>
        </is>
      </c>
      <c r="O1296" t="inlineStr">
        <is>
          <t>2026-10-30</t>
        </is>
      </c>
      <c r="P1296">
        <f>IF(IF(J1296="NOT AVAILABLE","",J1296)="",12,IF(OR(ISNUMBER(SEARCH("Transactional",IF(J1296="NOT AVAILABLE","",J1296))),ISNUMBER(SEARCH("Commercial",IF(J1296="NOT AVAILABLE","",J1296)))),25,IF(ISNUMBER(SEARCH("Informational",IF(J1296="NOT AVAILABLE","",J1296))),10,IF(ISNUMBER(SEARCH("Navigational",IF(J1296="NOT AVAILABLE","",J1296))),0,12))))</f>
        <v/>
      </c>
      <c r="Q1296">
        <f>IF(ISNUMBER(F1296),MIN(30,ROUND(30*LOG10(F1296+1)/4,1)),0)</f>
        <v/>
      </c>
      <c r="R1296">
        <f>IF(ISNUMBER(G1296),ROUND(25*(100-G1296)/100,1),12.5)</f>
        <v/>
      </c>
      <c r="S1296" t="n">
        <v>14</v>
      </c>
      <c r="T1296">
        <f>ROUND(P1296+Q1296+R1296+S1296,0)</f>
        <v/>
      </c>
      <c r="U1296" s="5" t="inlineStr"/>
      <c r="V1296" s="5" t="inlineStr"/>
    </row>
    <row r="1297">
      <c r="A1297" t="inlineStr">
        <is>
          <t>K1295</t>
        </is>
      </c>
      <c r="B1297" t="inlineStr">
        <is>
          <t>créer sa formation en ligne</t>
        </is>
      </c>
      <c r="C1297" t="inlineStr">
        <is>
          <t>France</t>
        </is>
      </c>
      <c r="D1297" t="inlineStr">
        <is>
          <t>fr</t>
        </is>
      </c>
      <c r="E1297" t="inlineStr">
        <is>
          <t>fr</t>
        </is>
      </c>
      <c r="F1297" t="n">
        <v>30</v>
      </c>
      <c r="G1297" t="inlineStr">
        <is>
          <t>NOT AVAILABLE</t>
        </is>
      </c>
      <c r="H1297" t="n">
        <v>5.46</v>
      </c>
      <c r="I1297" t="n">
        <v>0.82</v>
      </c>
      <c r="J1297" t="inlineStr">
        <is>
          <t>NOT AVAILABLE</t>
        </is>
      </c>
      <c r="K1297" t="inlineStr">
        <is>
          <t>NOT AVAILABLE (report not requested)</t>
        </is>
      </c>
      <c r="L1297" t="inlineStr">
        <is>
          <t>rising (calc.)</t>
        </is>
      </c>
      <c r="M1297" t="inlineStr">
        <is>
          <t>MEASURED</t>
        </is>
      </c>
      <c r="N1297" s="5" t="inlineStr">
        <is>
          <t>Semrush phrase_these (live, this session)</t>
        </is>
      </c>
      <c r="O1297" t="inlineStr">
        <is>
          <t>2026-10-30</t>
        </is>
      </c>
      <c r="P1297">
        <f>IF(IF(J1297="NOT AVAILABLE","",J1297)="",12,IF(OR(ISNUMBER(SEARCH("Transactional",IF(J1297="NOT AVAILABLE","",J1297))),ISNUMBER(SEARCH("Commercial",IF(J1297="NOT AVAILABLE","",J1297)))),25,IF(ISNUMBER(SEARCH("Informational",IF(J1297="NOT AVAILABLE","",J1297))),10,IF(ISNUMBER(SEARCH("Navigational",IF(J1297="NOT AVAILABLE","",J1297))),0,12))))</f>
        <v/>
      </c>
      <c r="Q1297">
        <f>IF(ISNUMBER(F1297),MIN(30,ROUND(30*LOG10(F1297+1)/4,1)),0)</f>
        <v/>
      </c>
      <c r="R1297">
        <f>IF(ISNUMBER(G1297),ROUND(25*(100-G1297)/100,1),12.5)</f>
        <v/>
      </c>
      <c r="S1297" t="n">
        <v>14</v>
      </c>
      <c r="T1297">
        <f>ROUND(P1297+Q1297+R1297+S1297,0)</f>
        <v/>
      </c>
      <c r="U1297" s="5" t="inlineStr"/>
      <c r="V1297" s="5" t="inlineStr"/>
    </row>
    <row r="1298">
      <c r="A1298" t="inlineStr">
        <is>
          <t>K1296</t>
        </is>
      </c>
      <c r="B1298" t="inlineStr">
        <is>
          <t>développeur saas</t>
        </is>
      </c>
      <c r="C1298" t="inlineStr">
        <is>
          <t>France</t>
        </is>
      </c>
      <c r="D1298" t="inlineStr">
        <is>
          <t>fr</t>
        </is>
      </c>
      <c r="E1298" t="inlineStr">
        <is>
          <t>fr</t>
        </is>
      </c>
      <c r="F1298" t="n">
        <v>30</v>
      </c>
      <c r="G1298" t="inlineStr">
        <is>
          <t>NOT AVAILABLE</t>
        </is>
      </c>
      <c r="H1298" t="n">
        <v>4.77</v>
      </c>
      <c r="I1298" t="n">
        <v>0.65</v>
      </c>
      <c r="J1298" t="inlineStr">
        <is>
          <t>NOT AVAILABLE</t>
        </is>
      </c>
      <c r="K1298" t="inlineStr">
        <is>
          <t>NOT AVAILABLE (report not requested)</t>
        </is>
      </c>
      <c r="L1298" t="inlineStr">
        <is>
          <t>rising (calc.)</t>
        </is>
      </c>
      <c r="M1298" t="inlineStr">
        <is>
          <t>MEASURED</t>
        </is>
      </c>
      <c r="N1298" s="5" t="inlineStr">
        <is>
          <t>Semrush phrase_these (live, this session)</t>
        </is>
      </c>
      <c r="O1298" t="inlineStr">
        <is>
          <t>2026-10-30</t>
        </is>
      </c>
      <c r="P1298">
        <f>IF(IF(J1298="NOT AVAILABLE","",J1298)="",12,IF(OR(ISNUMBER(SEARCH("Transactional",IF(J1298="NOT AVAILABLE","",J1298))),ISNUMBER(SEARCH("Commercial",IF(J1298="NOT AVAILABLE","",J1298)))),25,IF(ISNUMBER(SEARCH("Informational",IF(J1298="NOT AVAILABLE","",J1298))),10,IF(ISNUMBER(SEARCH("Navigational",IF(J1298="NOT AVAILABLE","",J1298))),0,12))))</f>
        <v/>
      </c>
      <c r="Q1298">
        <f>IF(ISNUMBER(F1298),MIN(30,ROUND(30*LOG10(F1298+1)/4,1)),0)</f>
        <v/>
      </c>
      <c r="R1298">
        <f>IF(ISNUMBER(G1298),ROUND(25*(100-G1298)/100,1),12.5)</f>
        <v/>
      </c>
      <c r="S1298" t="n">
        <v>14</v>
      </c>
      <c r="T1298">
        <f>ROUND(P1298+Q1298+R1298+S1298,0)</f>
        <v/>
      </c>
      <c r="U1298" s="5" t="inlineStr"/>
      <c r="V1298" s="5" t="inlineStr"/>
    </row>
    <row r="1299">
      <c r="A1299" t="inlineStr">
        <is>
          <t>K1297</t>
        </is>
      </c>
      <c r="B1299" t="inlineStr">
        <is>
          <t>html en texte</t>
        </is>
      </c>
      <c r="C1299" t="inlineStr">
        <is>
          <t>France</t>
        </is>
      </c>
      <c r="D1299" t="inlineStr">
        <is>
          <t>fr</t>
        </is>
      </c>
      <c r="E1299" t="inlineStr">
        <is>
          <t>fr</t>
        </is>
      </c>
      <c r="F1299" t="n">
        <v>30</v>
      </c>
      <c r="G1299" t="inlineStr">
        <is>
          <t>NOT AVAILABLE</t>
        </is>
      </c>
      <c r="H1299" t="n">
        <v>0</v>
      </c>
      <c r="I1299" t="n">
        <v>0.02</v>
      </c>
      <c r="J1299" t="inlineStr">
        <is>
          <t>NOT AVAILABLE</t>
        </is>
      </c>
      <c r="K1299" t="inlineStr">
        <is>
          <t>NOT AVAILABLE (report not requested)</t>
        </is>
      </c>
      <c r="L1299" t="inlineStr">
        <is>
          <t>rising (calc.)</t>
        </is>
      </c>
      <c r="M1299" t="inlineStr">
        <is>
          <t>MEASURED</t>
        </is>
      </c>
      <c r="N1299" s="5" t="inlineStr">
        <is>
          <t>Semrush phrase_these (live, this session)</t>
        </is>
      </c>
      <c r="O1299" t="inlineStr">
        <is>
          <t>2026-10-30</t>
        </is>
      </c>
      <c r="P1299">
        <f>IF(IF(J1299="NOT AVAILABLE","",J1299)="",12,IF(OR(ISNUMBER(SEARCH("Transactional",IF(J1299="NOT AVAILABLE","",J1299))),ISNUMBER(SEARCH("Commercial",IF(J1299="NOT AVAILABLE","",J1299)))),25,IF(ISNUMBER(SEARCH("Informational",IF(J1299="NOT AVAILABLE","",J1299))),10,IF(ISNUMBER(SEARCH("Navigational",IF(J1299="NOT AVAILABLE","",J1299))),0,12))))</f>
        <v/>
      </c>
      <c r="Q1299">
        <f>IF(ISNUMBER(F1299),MIN(30,ROUND(30*LOG10(F1299+1)/4,1)),0)</f>
        <v/>
      </c>
      <c r="R1299">
        <f>IF(ISNUMBER(G1299),ROUND(25*(100-G1299)/100,1),12.5)</f>
        <v/>
      </c>
      <c r="S1299" t="n">
        <v>14</v>
      </c>
      <c r="T1299">
        <f>ROUND(P1299+Q1299+R1299+S1299,0)</f>
        <v/>
      </c>
      <c r="U1299" s="5" t="inlineStr"/>
      <c r="V1299" s="5" t="inlineStr">
        <is>
          <t>SUPPORTING /tools/html-to-text</t>
        </is>
      </c>
    </row>
    <row r="1300">
      <c r="A1300" t="inlineStr">
        <is>
          <t>K1298</t>
        </is>
      </c>
      <c r="B1300" t="inlineStr">
        <is>
          <t>meta refresh</t>
        </is>
      </c>
      <c r="C1300" t="inlineStr">
        <is>
          <t>France</t>
        </is>
      </c>
      <c r="D1300" t="inlineStr">
        <is>
          <t>fr</t>
        </is>
      </c>
      <c r="E1300" t="inlineStr">
        <is>
          <t>fr</t>
        </is>
      </c>
      <c r="F1300" t="n">
        <v>30</v>
      </c>
      <c r="G1300" t="inlineStr">
        <is>
          <t>NOT AVAILABLE</t>
        </is>
      </c>
      <c r="H1300" t="n">
        <v>0</v>
      </c>
      <c r="I1300" t="n">
        <v>0.33</v>
      </c>
      <c r="J1300" t="inlineStr">
        <is>
          <t>NOT AVAILABLE</t>
        </is>
      </c>
      <c r="K1300" t="inlineStr">
        <is>
          <t>NOT AVAILABLE (report not requested)</t>
        </is>
      </c>
      <c r="L1300" t="inlineStr">
        <is>
          <t>declining (calc.)</t>
        </is>
      </c>
      <c r="M1300" t="inlineStr">
        <is>
          <t>MEASURED</t>
        </is>
      </c>
      <c r="N1300" s="5" t="inlineStr">
        <is>
          <t>Semrush phrase_these (live, this session)</t>
        </is>
      </c>
      <c r="O1300" t="inlineStr">
        <is>
          <t>2026-10-30</t>
        </is>
      </c>
      <c r="P1300">
        <f>IF(IF(J1300="NOT AVAILABLE","",J1300)="",12,IF(OR(ISNUMBER(SEARCH("Transactional",IF(J1300="NOT AVAILABLE","",J1300))),ISNUMBER(SEARCH("Commercial",IF(J1300="NOT AVAILABLE","",J1300)))),25,IF(ISNUMBER(SEARCH("Informational",IF(J1300="NOT AVAILABLE","",J1300))),10,IF(ISNUMBER(SEARCH("Navigational",IF(J1300="NOT AVAILABLE","",J1300))),0,12))))</f>
        <v/>
      </c>
      <c r="Q1300">
        <f>IF(ISNUMBER(F1300),MIN(30,ROUND(30*LOG10(F1300+1)/4,1)),0)</f>
        <v/>
      </c>
      <c r="R1300">
        <f>IF(ISNUMBER(G1300),ROUND(25*(100-G1300)/100,1),12.5)</f>
        <v/>
      </c>
      <c r="S1300" t="n">
        <v>14</v>
      </c>
      <c r="T1300">
        <f>ROUND(P1300+Q1300+R1300+S1300,0)</f>
        <v/>
      </c>
      <c r="U1300" s="5" t="inlineStr"/>
      <c r="V1300" s="5" t="inlineStr">
        <is>
          <t>PRIMARY /tools/meta-refresh-generator</t>
        </is>
      </c>
    </row>
    <row r="1301">
      <c r="A1301" t="inlineStr">
        <is>
          <t>K1299</t>
        </is>
      </c>
      <c r="B1301" t="inlineStr">
        <is>
          <t>optimisation moteurs ia</t>
        </is>
      </c>
      <c r="C1301" t="inlineStr">
        <is>
          <t>France</t>
        </is>
      </c>
      <c r="D1301" t="inlineStr">
        <is>
          <t>fr</t>
        </is>
      </c>
      <c r="E1301" t="inlineStr">
        <is>
          <t>fr</t>
        </is>
      </c>
      <c r="F1301" t="n">
        <v>30</v>
      </c>
      <c r="G1301" t="inlineStr">
        <is>
          <t>NOT AVAILABLE</t>
        </is>
      </c>
      <c r="H1301" t="n">
        <v>0</v>
      </c>
      <c r="I1301" t="n">
        <v>0</v>
      </c>
      <c r="J1301" t="inlineStr">
        <is>
          <t>NOT AVAILABLE</t>
        </is>
      </c>
      <c r="K1301" t="inlineStr">
        <is>
          <t>NOT AVAILABLE (report not requested)</t>
        </is>
      </c>
      <c r="L1301" t="inlineStr">
        <is>
          <t>NOT AVAILABLE</t>
        </is>
      </c>
      <c r="M1301" t="inlineStr">
        <is>
          <t>MEASURED</t>
        </is>
      </c>
      <c r="N1301" s="5" t="inlineStr">
        <is>
          <t>Semrush phrase_these (live, this session)</t>
        </is>
      </c>
      <c r="O1301" t="inlineStr">
        <is>
          <t>2026-10-30</t>
        </is>
      </c>
      <c r="P1301">
        <f>IF(IF(J1301="NOT AVAILABLE","",J1301)="",12,IF(OR(ISNUMBER(SEARCH("Transactional",IF(J1301="NOT AVAILABLE","",J1301))),ISNUMBER(SEARCH("Commercial",IF(J1301="NOT AVAILABLE","",J1301)))),25,IF(ISNUMBER(SEARCH("Informational",IF(J1301="NOT AVAILABLE","",J1301))),10,IF(ISNUMBER(SEARCH("Navigational",IF(J1301="NOT AVAILABLE","",J1301))),0,12))))</f>
        <v/>
      </c>
      <c r="Q1301">
        <f>IF(ISNUMBER(F1301),MIN(30,ROUND(30*LOG10(F1301+1)/4,1)),0)</f>
        <v/>
      </c>
      <c r="R1301">
        <f>IF(ISNUMBER(G1301),ROUND(25*(100-G1301)/100,1),12.5)</f>
        <v/>
      </c>
      <c r="S1301" t="n">
        <v>14</v>
      </c>
      <c r="T1301">
        <f>ROUND(P1301+Q1301+R1301+S1301,0)</f>
        <v/>
      </c>
      <c r="U1301" s="5" t="inlineStr"/>
      <c r="V1301" s="5" t="inlineStr">
        <is>
          <t>SUPPORTING /tools/ai-readiness-checker</t>
        </is>
      </c>
    </row>
    <row r="1302">
      <c r="A1302" t="inlineStr">
        <is>
          <t>K1300</t>
        </is>
      </c>
      <c r="B1302" t="inlineStr">
        <is>
          <t>outils ia gratuits</t>
        </is>
      </c>
      <c r="C1302" t="inlineStr">
        <is>
          <t>France</t>
        </is>
      </c>
      <c r="D1302" t="inlineStr">
        <is>
          <t>fr</t>
        </is>
      </c>
      <c r="E1302" t="inlineStr">
        <is>
          <t>fr</t>
        </is>
      </c>
      <c r="F1302" t="n">
        <v>30</v>
      </c>
      <c r="G1302" t="inlineStr">
        <is>
          <t>NOT AVAILABLE</t>
        </is>
      </c>
      <c r="H1302" t="n">
        <v>0.65</v>
      </c>
      <c r="I1302" t="n">
        <v>0.63</v>
      </c>
      <c r="J1302" t="inlineStr">
        <is>
          <t>NOT AVAILABLE</t>
        </is>
      </c>
      <c r="K1302" t="inlineStr">
        <is>
          <t>NOT AVAILABLE (report not requested)</t>
        </is>
      </c>
      <c r="L1302" t="inlineStr">
        <is>
          <t>declining (calc.)</t>
        </is>
      </c>
      <c r="M1302" t="inlineStr">
        <is>
          <t>MEASURED</t>
        </is>
      </c>
      <c r="N1302" s="5" t="inlineStr">
        <is>
          <t>Semrush phrase_these (live, this session)</t>
        </is>
      </c>
      <c r="O1302" t="inlineStr">
        <is>
          <t>2026-10-30</t>
        </is>
      </c>
      <c r="P1302">
        <f>IF(IF(J1302="NOT AVAILABLE","",J1302)="",12,IF(OR(ISNUMBER(SEARCH("Transactional",IF(J1302="NOT AVAILABLE","",J1302))),ISNUMBER(SEARCH("Commercial",IF(J1302="NOT AVAILABLE","",J1302)))),25,IF(ISNUMBER(SEARCH("Informational",IF(J1302="NOT AVAILABLE","",J1302))),10,IF(ISNUMBER(SEARCH("Navigational",IF(J1302="NOT AVAILABLE","",J1302))),0,12))))</f>
        <v/>
      </c>
      <c r="Q1302">
        <f>IF(ISNUMBER(F1302),MIN(30,ROUND(30*LOG10(F1302+1)/4,1)),0)</f>
        <v/>
      </c>
      <c r="R1302">
        <f>IF(ISNUMBER(G1302),ROUND(25*(100-G1302)/100,1),12.5)</f>
        <v/>
      </c>
      <c r="S1302" t="n">
        <v>14</v>
      </c>
      <c r="T1302">
        <f>ROUND(P1302+Q1302+R1302+S1302,0)</f>
        <v/>
      </c>
      <c r="U1302" s="5" t="inlineStr"/>
      <c r="V1302" s="5" t="inlineStr"/>
    </row>
    <row r="1303">
      <c r="A1303" t="inlineStr">
        <is>
          <t>K1301</t>
        </is>
      </c>
      <c r="B1303" t="inlineStr">
        <is>
          <t>site web fintech</t>
        </is>
      </c>
      <c r="C1303" t="inlineStr">
        <is>
          <t>France</t>
        </is>
      </c>
      <c r="D1303" t="inlineStr">
        <is>
          <t>fr</t>
        </is>
      </c>
      <c r="E1303" t="inlineStr">
        <is>
          <t>fr</t>
        </is>
      </c>
      <c r="F1303" t="n">
        <v>30</v>
      </c>
      <c r="G1303" t="inlineStr">
        <is>
          <t>NOT AVAILABLE</t>
        </is>
      </c>
      <c r="H1303" t="n">
        <v>0</v>
      </c>
      <c r="I1303" t="n">
        <v>0</v>
      </c>
      <c r="J1303" t="inlineStr">
        <is>
          <t>NOT AVAILABLE</t>
        </is>
      </c>
      <c r="K1303" t="inlineStr">
        <is>
          <t>NOT AVAILABLE (report not requested)</t>
        </is>
      </c>
      <c r="L1303" t="inlineStr">
        <is>
          <t>rising (calc.)</t>
        </is>
      </c>
      <c r="M1303" t="inlineStr">
        <is>
          <t>MEASURED</t>
        </is>
      </c>
      <c r="N1303" s="5" t="inlineStr">
        <is>
          <t>Semrush phrase_these (live, this session)</t>
        </is>
      </c>
      <c r="O1303" t="inlineStr">
        <is>
          <t>2026-10-30</t>
        </is>
      </c>
      <c r="P1303">
        <f>IF(IF(J1303="NOT AVAILABLE","",J1303)="",12,IF(OR(ISNUMBER(SEARCH("Transactional",IF(J1303="NOT AVAILABLE","",J1303))),ISNUMBER(SEARCH("Commercial",IF(J1303="NOT AVAILABLE","",J1303)))),25,IF(ISNUMBER(SEARCH("Informational",IF(J1303="NOT AVAILABLE","",J1303))),10,IF(ISNUMBER(SEARCH("Navigational",IF(J1303="NOT AVAILABLE","",J1303))),0,12))))</f>
        <v/>
      </c>
      <c r="Q1303">
        <f>IF(ISNUMBER(F1303),MIN(30,ROUND(30*LOG10(F1303+1)/4,1)),0)</f>
        <v/>
      </c>
      <c r="R1303">
        <f>IF(ISNUMBER(G1303),ROUND(25*(100-G1303)/100,1),12.5)</f>
        <v/>
      </c>
      <c r="S1303" t="n">
        <v>14</v>
      </c>
      <c r="T1303">
        <f>ROUND(P1303+Q1303+R1303+S1303,0)</f>
        <v/>
      </c>
      <c r="U1303" s="5" t="inlineStr"/>
      <c r="V1303" s="5" t="inlineStr">
        <is>
          <t>PRIMARY /services/fintech-website-development; NOT RECOMMENDED /blog/site-web-fintech-7-elements-qui-rassurent-un-visiteur</t>
        </is>
      </c>
    </row>
    <row r="1304">
      <c r="A1304" t="inlineStr">
        <is>
          <t>K1302</t>
        </is>
      </c>
      <c r="B1304" t="inlineStr">
        <is>
          <t>site web médical</t>
        </is>
      </c>
      <c r="C1304" t="inlineStr">
        <is>
          <t>France</t>
        </is>
      </c>
      <c r="D1304" t="inlineStr">
        <is>
          <t>fr</t>
        </is>
      </c>
      <c r="E1304" t="inlineStr">
        <is>
          <t>fr</t>
        </is>
      </c>
      <c r="F1304" t="n">
        <v>30</v>
      </c>
      <c r="G1304" t="inlineStr">
        <is>
          <t>NOT AVAILABLE</t>
        </is>
      </c>
      <c r="H1304" t="n">
        <v>0</v>
      </c>
      <c r="I1304" t="n">
        <v>0.64</v>
      </c>
      <c r="J1304" t="inlineStr">
        <is>
          <t>NOT AVAILABLE</t>
        </is>
      </c>
      <c r="K1304" t="inlineStr">
        <is>
          <t>NOT AVAILABLE (report not requested)</t>
        </is>
      </c>
      <c r="L1304" t="inlineStr">
        <is>
          <t>rising (calc.)</t>
        </is>
      </c>
      <c r="M1304" t="inlineStr">
        <is>
          <t>MEASURED</t>
        </is>
      </c>
      <c r="N1304" s="5" t="inlineStr">
        <is>
          <t>Semrush phrase_these (live, this session)</t>
        </is>
      </c>
      <c r="O1304" t="inlineStr">
        <is>
          <t>2026-10-30</t>
        </is>
      </c>
      <c r="P1304">
        <f>IF(IF(J1304="NOT AVAILABLE","",J1304)="",12,IF(OR(ISNUMBER(SEARCH("Transactional",IF(J1304="NOT AVAILABLE","",J1304))),ISNUMBER(SEARCH("Commercial",IF(J1304="NOT AVAILABLE","",J1304)))),25,IF(ISNUMBER(SEARCH("Informational",IF(J1304="NOT AVAILABLE","",J1304))),10,IF(ISNUMBER(SEARCH("Navigational",IF(J1304="NOT AVAILABLE","",J1304))),0,12))))</f>
        <v/>
      </c>
      <c r="Q1304">
        <f>IF(ISNUMBER(F1304),MIN(30,ROUND(30*LOG10(F1304+1)/4,1)),0)</f>
        <v/>
      </c>
      <c r="R1304">
        <f>IF(ISNUMBER(G1304),ROUND(25*(100-G1304)/100,1),12.5)</f>
        <v/>
      </c>
      <c r="S1304" t="n">
        <v>14</v>
      </c>
      <c r="T1304">
        <f>ROUND(P1304+Q1304+R1304+S1304,0)</f>
        <v/>
      </c>
      <c r="U1304" s="5" t="inlineStr"/>
      <c r="V1304" s="5" t="inlineStr">
        <is>
          <t>SECONDARY /services/healthcare-website-development</t>
        </is>
      </c>
    </row>
    <row r="1305">
      <c r="A1305" t="inlineStr">
        <is>
          <t>K1303</t>
        </is>
      </c>
      <c r="B1305" t="inlineStr">
        <is>
          <t>site web santé</t>
        </is>
      </c>
      <c r="C1305" t="inlineStr">
        <is>
          <t>France</t>
        </is>
      </c>
      <c r="D1305" t="inlineStr">
        <is>
          <t>fr</t>
        </is>
      </c>
      <c r="E1305" t="inlineStr">
        <is>
          <t>fr</t>
        </is>
      </c>
      <c r="F1305" t="n">
        <v>30</v>
      </c>
      <c r="G1305" t="inlineStr">
        <is>
          <t>NOT AVAILABLE</t>
        </is>
      </c>
      <c r="H1305" t="n">
        <v>0</v>
      </c>
      <c r="I1305" t="n">
        <v>0.33</v>
      </c>
      <c r="J1305" t="inlineStr">
        <is>
          <t>NOT AVAILABLE</t>
        </is>
      </c>
      <c r="K1305" t="inlineStr">
        <is>
          <t>NOT AVAILABLE (report not requested)</t>
        </is>
      </c>
      <c r="L1305" t="inlineStr">
        <is>
          <t>declining (calc.)</t>
        </is>
      </c>
      <c r="M1305" t="inlineStr">
        <is>
          <t>MEASURED</t>
        </is>
      </c>
      <c r="N1305" s="5" t="inlineStr">
        <is>
          <t>Semrush phrase_these (live, this session)</t>
        </is>
      </c>
      <c r="O1305" t="inlineStr">
        <is>
          <t>2026-10-30</t>
        </is>
      </c>
      <c r="P1305">
        <f>IF(IF(J1305="NOT AVAILABLE","",J1305)="",12,IF(OR(ISNUMBER(SEARCH("Transactional",IF(J1305="NOT AVAILABLE","",J1305))),ISNUMBER(SEARCH("Commercial",IF(J1305="NOT AVAILABLE","",J1305)))),25,IF(ISNUMBER(SEARCH("Informational",IF(J1305="NOT AVAILABLE","",J1305))),10,IF(ISNUMBER(SEARCH("Navigational",IF(J1305="NOT AVAILABLE","",J1305))),0,12))))</f>
        <v/>
      </c>
      <c r="Q1305">
        <f>IF(ISNUMBER(F1305),MIN(30,ROUND(30*LOG10(F1305+1)/4,1)),0)</f>
        <v/>
      </c>
      <c r="R1305">
        <f>IF(ISNUMBER(G1305),ROUND(25*(100-G1305)/100,1),12.5)</f>
        <v/>
      </c>
      <c r="S1305" t="n">
        <v>14</v>
      </c>
      <c r="T1305">
        <f>ROUND(P1305+Q1305+R1305+S1305,0)</f>
        <v/>
      </c>
      <c r="U1305" s="5" t="inlineStr"/>
      <c r="V1305" s="5" t="inlineStr">
        <is>
          <t>SECONDARY /services/healthcare-website-development</t>
        </is>
      </c>
    </row>
    <row r="1306">
      <c r="A1306" t="inlineStr">
        <is>
          <t>K1304</t>
        </is>
      </c>
      <c r="B1306" t="inlineStr">
        <is>
          <t>startup edtech</t>
        </is>
      </c>
      <c r="C1306" t="inlineStr">
        <is>
          <t>France</t>
        </is>
      </c>
      <c r="D1306" t="inlineStr">
        <is>
          <t>fr</t>
        </is>
      </c>
      <c r="E1306" t="inlineStr">
        <is>
          <t>fr</t>
        </is>
      </c>
      <c r="F1306" t="n">
        <v>30</v>
      </c>
      <c r="G1306" t="inlineStr">
        <is>
          <t>NOT AVAILABLE</t>
        </is>
      </c>
      <c r="H1306" t="n">
        <v>0</v>
      </c>
      <c r="I1306" t="n">
        <v>0.13</v>
      </c>
      <c r="J1306" t="inlineStr">
        <is>
          <t>NOT AVAILABLE</t>
        </is>
      </c>
      <c r="K1306" t="inlineStr">
        <is>
          <t>NOT AVAILABLE (report not requested)</t>
        </is>
      </c>
      <c r="L1306" t="inlineStr">
        <is>
          <t>stable (calc.)</t>
        </is>
      </c>
      <c r="M1306" t="inlineStr">
        <is>
          <t>MEASURED</t>
        </is>
      </c>
      <c r="N1306" s="5" t="inlineStr">
        <is>
          <t>Semrush phrase_these (live, this session)</t>
        </is>
      </c>
      <c r="O1306" t="inlineStr">
        <is>
          <t>2026-10-30</t>
        </is>
      </c>
      <c r="P1306">
        <f>IF(IF(J1306="NOT AVAILABLE","",J1306)="",12,IF(OR(ISNUMBER(SEARCH("Transactional",IF(J1306="NOT AVAILABLE","",J1306))),ISNUMBER(SEARCH("Commercial",IF(J1306="NOT AVAILABLE","",J1306)))),25,IF(ISNUMBER(SEARCH("Informational",IF(J1306="NOT AVAILABLE","",J1306))),10,IF(ISNUMBER(SEARCH("Navigational",IF(J1306="NOT AVAILABLE","",J1306))),0,12))))</f>
        <v/>
      </c>
      <c r="Q1306">
        <f>IF(ISNUMBER(F1306),MIN(30,ROUND(30*LOG10(F1306+1)/4,1)),0)</f>
        <v/>
      </c>
      <c r="R1306">
        <f>IF(ISNUMBER(G1306),ROUND(25*(100-G1306)/100,1),12.5)</f>
        <v/>
      </c>
      <c r="S1306" t="n">
        <v>14</v>
      </c>
      <c r="T1306">
        <f>ROUND(P1306+Q1306+R1306+S1306,0)</f>
        <v/>
      </c>
      <c r="U1306" s="5" t="inlineStr"/>
      <c r="V1306" s="5" t="inlineStr">
        <is>
          <t>SUPPORTING /services/edtech-platform-development</t>
        </is>
      </c>
    </row>
    <row r="1307">
      <c r="A1307" t="inlineStr">
        <is>
          <t>K1305</t>
        </is>
      </c>
      <c r="B1307" t="inlineStr">
        <is>
          <t>tester robots.txt</t>
        </is>
      </c>
      <c r="C1307" t="inlineStr">
        <is>
          <t>France</t>
        </is>
      </c>
      <c r="D1307" t="inlineStr">
        <is>
          <t>fr</t>
        </is>
      </c>
      <c r="E1307" t="inlineStr">
        <is>
          <t>fr</t>
        </is>
      </c>
      <c r="F1307" t="n">
        <v>30</v>
      </c>
      <c r="G1307" t="n">
        <v>19</v>
      </c>
      <c r="H1307" t="n">
        <v>0.8100000000000001</v>
      </c>
      <c r="I1307" t="n">
        <v>0.03</v>
      </c>
      <c r="J1307" t="inlineStr">
        <is>
          <t>Informational</t>
        </is>
      </c>
      <c r="K1307" t="inlineStr">
        <is>
          <t>NOT AVAILABLE (report not requested)</t>
        </is>
      </c>
      <c r="L1307" t="inlineStr">
        <is>
          <t>rising (calc.)</t>
        </is>
      </c>
      <c r="M1307" t="inlineStr">
        <is>
          <t>MEASURED</t>
        </is>
      </c>
      <c r="N1307" s="5" t="inlineStr">
        <is>
          <t>Semrush phrase_these (live, this session)</t>
        </is>
      </c>
      <c r="O1307" t="inlineStr">
        <is>
          <t>2026-10-30</t>
        </is>
      </c>
      <c r="P1307">
        <f>IF(IF(J1307="NOT AVAILABLE","",J1307)="",12,IF(OR(ISNUMBER(SEARCH("Transactional",IF(J1307="NOT AVAILABLE","",J1307))),ISNUMBER(SEARCH("Commercial",IF(J1307="NOT AVAILABLE","",J1307)))),25,IF(ISNUMBER(SEARCH("Informational",IF(J1307="NOT AVAILABLE","",J1307))),10,IF(ISNUMBER(SEARCH("Navigational",IF(J1307="NOT AVAILABLE","",J1307))),0,12))))</f>
        <v/>
      </c>
      <c r="Q1307">
        <f>IF(ISNUMBER(F1307),MIN(30,ROUND(30*LOG10(F1307+1)/4,1)),0)</f>
        <v/>
      </c>
      <c r="R1307">
        <f>IF(ISNUMBER(G1307),ROUND(25*(100-G1307)/100,1),12.5)</f>
        <v/>
      </c>
      <c r="S1307" t="n">
        <v>14</v>
      </c>
      <c r="T1307">
        <f>ROUND(P1307+Q1307+R1307+S1307,0)</f>
        <v/>
      </c>
      <c r="U1307" s="5" t="inlineStr"/>
      <c r="V1307" s="5" t="inlineStr">
        <is>
          <t>SUPPORTING /tools/robots-txt-tester</t>
        </is>
      </c>
    </row>
    <row r="1308">
      <c r="A1308" t="inlineStr">
        <is>
          <t>K1306</t>
        </is>
      </c>
      <c r="B1308" t="inlineStr">
        <is>
          <t>vérifier certificat ssl</t>
        </is>
      </c>
      <c r="C1308" t="inlineStr">
        <is>
          <t>France</t>
        </is>
      </c>
      <c r="D1308" t="inlineStr">
        <is>
          <t>fr</t>
        </is>
      </c>
      <c r="E1308" t="inlineStr">
        <is>
          <t>fr</t>
        </is>
      </c>
      <c r="F1308" t="n">
        <v>30</v>
      </c>
      <c r="G1308" t="inlineStr">
        <is>
          <t>NOT AVAILABLE</t>
        </is>
      </c>
      <c r="H1308" t="n">
        <v>0.91</v>
      </c>
      <c r="I1308" t="n">
        <v>0.25</v>
      </c>
      <c r="J1308" t="inlineStr">
        <is>
          <t>NOT AVAILABLE</t>
        </is>
      </c>
      <c r="K1308" t="inlineStr">
        <is>
          <t>NOT AVAILABLE (report not requested)</t>
        </is>
      </c>
      <c r="L1308" t="inlineStr">
        <is>
          <t>declining (calc.)</t>
        </is>
      </c>
      <c r="M1308" t="inlineStr">
        <is>
          <t>MEASURED</t>
        </is>
      </c>
      <c r="N1308" s="5" t="inlineStr">
        <is>
          <t>Semrush phrase_these (live, this session)</t>
        </is>
      </c>
      <c r="O1308" t="inlineStr">
        <is>
          <t>2026-10-30</t>
        </is>
      </c>
      <c r="P1308">
        <f>IF(IF(J1308="NOT AVAILABLE","",J1308)="",12,IF(OR(ISNUMBER(SEARCH("Transactional",IF(J1308="NOT AVAILABLE","",J1308))),ISNUMBER(SEARCH("Commercial",IF(J1308="NOT AVAILABLE","",J1308)))),25,IF(ISNUMBER(SEARCH("Informational",IF(J1308="NOT AVAILABLE","",J1308))),10,IF(ISNUMBER(SEARCH("Navigational",IF(J1308="NOT AVAILABLE","",J1308))),0,12))))</f>
        <v/>
      </c>
      <c r="Q1308">
        <f>IF(ISNUMBER(F1308),MIN(30,ROUND(30*LOG10(F1308+1)/4,1)),0)</f>
        <v/>
      </c>
      <c r="R1308">
        <f>IF(ISNUMBER(G1308),ROUND(25*(100-G1308)/100,1),12.5)</f>
        <v/>
      </c>
      <c r="S1308" t="n">
        <v>14</v>
      </c>
      <c r="T1308">
        <f>ROUND(P1308+Q1308+R1308+S1308,0)</f>
        <v/>
      </c>
      <c r="U1308" s="5" t="inlineStr"/>
      <c r="V1308" s="5" t="inlineStr">
        <is>
          <t>SUPPORTING /tools/ssl-certificate-checker</t>
        </is>
      </c>
    </row>
    <row r="1309">
      <c r="A1309" t="inlineStr">
        <is>
          <t>K1307</t>
        </is>
      </c>
      <c r="B1309" t="inlineStr">
        <is>
          <t>agence de développement web maroc</t>
        </is>
      </c>
      <c r="C1309" t="inlineStr">
        <is>
          <t>France</t>
        </is>
      </c>
      <c r="D1309" t="inlineStr">
        <is>
          <t>fr</t>
        </is>
      </c>
      <c r="E1309" t="inlineStr">
        <is>
          <t>fr</t>
        </is>
      </c>
      <c r="F1309" t="n">
        <v>20</v>
      </c>
      <c r="G1309" t="inlineStr">
        <is>
          <t>NOT AVAILABLE</t>
        </is>
      </c>
      <c r="H1309" t="n">
        <v>0</v>
      </c>
      <c r="I1309" t="n">
        <v>0</v>
      </c>
      <c r="J1309" t="inlineStr">
        <is>
          <t>NOT AVAILABLE</t>
        </is>
      </c>
      <c r="K1309" t="inlineStr">
        <is>
          <t>NOT AVAILABLE (report not requested)</t>
        </is>
      </c>
      <c r="L1309" t="inlineStr">
        <is>
          <t>declining (calc.)</t>
        </is>
      </c>
      <c r="M1309" t="inlineStr">
        <is>
          <t>MEASURED</t>
        </is>
      </c>
      <c r="N1309" s="5" t="inlineStr">
        <is>
          <t>Semrush phrase_these (live, this session)</t>
        </is>
      </c>
      <c r="O1309" t="inlineStr">
        <is>
          <t>2026-10-30</t>
        </is>
      </c>
      <c r="P1309">
        <f>IF(IF(J1309="NOT AVAILABLE","",J1309)="",12,IF(OR(ISNUMBER(SEARCH("Transactional",IF(J1309="NOT AVAILABLE","",J1309))),ISNUMBER(SEARCH("Commercial",IF(J1309="NOT AVAILABLE","",J1309)))),25,IF(ISNUMBER(SEARCH("Informational",IF(J1309="NOT AVAILABLE","",J1309))),10,IF(ISNUMBER(SEARCH("Navigational",IF(J1309="NOT AVAILABLE","",J1309))),0,12))))</f>
        <v/>
      </c>
      <c r="Q1309">
        <f>IF(ISNUMBER(F1309),MIN(30,ROUND(30*LOG10(F1309+1)/4,1)),0)</f>
        <v/>
      </c>
      <c r="R1309">
        <f>IF(ISNUMBER(G1309),ROUND(25*(100-G1309)/100,1),12.5)</f>
        <v/>
      </c>
      <c r="S1309" t="n">
        <v>14</v>
      </c>
      <c r="T1309">
        <f>ROUND(P1309+Q1309+R1309+S1309,0)</f>
        <v/>
      </c>
      <c r="U1309" s="5" t="inlineStr"/>
      <c r="V1309" s="5" t="inlineStr"/>
    </row>
    <row r="1310">
      <c r="A1310" t="inlineStr">
        <is>
          <t>K1308</t>
        </is>
      </c>
      <c r="B1310" t="inlineStr">
        <is>
          <t>agence fintech</t>
        </is>
      </c>
      <c r="C1310" t="inlineStr">
        <is>
          <t>France</t>
        </is>
      </c>
      <c r="D1310" t="inlineStr">
        <is>
          <t>fr</t>
        </is>
      </c>
      <c r="E1310" t="inlineStr">
        <is>
          <t>fr</t>
        </is>
      </c>
      <c r="F1310" t="n">
        <v>20</v>
      </c>
      <c r="G1310" t="inlineStr">
        <is>
          <t>NOT AVAILABLE</t>
        </is>
      </c>
      <c r="H1310" t="n">
        <v>0</v>
      </c>
      <c r="I1310" t="n">
        <v>0</v>
      </c>
      <c r="J1310" t="inlineStr">
        <is>
          <t>NOT AVAILABLE</t>
        </is>
      </c>
      <c r="K1310" t="inlineStr">
        <is>
          <t>NOT AVAILABLE (report not requested)</t>
        </is>
      </c>
      <c r="L1310" t="inlineStr">
        <is>
          <t>stable (calc.)</t>
        </is>
      </c>
      <c r="M1310" t="inlineStr">
        <is>
          <t>MEASURED</t>
        </is>
      </c>
      <c r="N1310" s="5" t="inlineStr">
        <is>
          <t>Semrush phrase_these (live, this session)</t>
        </is>
      </c>
      <c r="O1310" t="inlineStr">
        <is>
          <t>2026-10-30</t>
        </is>
      </c>
      <c r="P1310">
        <f>IF(IF(J1310="NOT AVAILABLE","",J1310)="",12,IF(OR(ISNUMBER(SEARCH("Transactional",IF(J1310="NOT AVAILABLE","",J1310))),ISNUMBER(SEARCH("Commercial",IF(J1310="NOT AVAILABLE","",J1310)))),25,IF(ISNUMBER(SEARCH("Informational",IF(J1310="NOT AVAILABLE","",J1310))),10,IF(ISNUMBER(SEARCH("Navigational",IF(J1310="NOT AVAILABLE","",J1310))),0,12))))</f>
        <v/>
      </c>
      <c r="Q1310">
        <f>IF(ISNUMBER(F1310),MIN(30,ROUND(30*LOG10(F1310+1)/4,1)),0)</f>
        <v/>
      </c>
      <c r="R1310">
        <f>IF(ISNUMBER(G1310),ROUND(25*(100-G1310)/100,1),12.5)</f>
        <v/>
      </c>
      <c r="S1310" t="n">
        <v>14</v>
      </c>
      <c r="T1310">
        <f>ROUND(P1310+Q1310+R1310+S1310,0)</f>
        <v/>
      </c>
      <c r="U1310" s="5" t="inlineStr"/>
      <c r="V1310" s="5" t="inlineStr"/>
    </row>
    <row r="1311">
      <c r="A1311" t="inlineStr">
        <is>
          <t>K1309</t>
        </is>
      </c>
      <c r="B1311" t="inlineStr">
        <is>
          <t>agence web dubai</t>
        </is>
      </c>
      <c r="C1311" t="inlineStr">
        <is>
          <t>France</t>
        </is>
      </c>
      <c r="D1311" t="inlineStr">
        <is>
          <t>fr</t>
        </is>
      </c>
      <c r="E1311" t="inlineStr">
        <is>
          <t>fr</t>
        </is>
      </c>
      <c r="F1311" t="n">
        <v>20</v>
      </c>
      <c r="G1311" t="inlineStr">
        <is>
          <t>NOT AVAILABLE</t>
        </is>
      </c>
      <c r="H1311" t="n">
        <v>0</v>
      </c>
      <c r="I1311" t="n">
        <v>0.33</v>
      </c>
      <c r="J1311" t="inlineStr">
        <is>
          <t>NOT AVAILABLE</t>
        </is>
      </c>
      <c r="K1311" t="inlineStr">
        <is>
          <t>NOT AVAILABLE (report not requested)</t>
        </is>
      </c>
      <c r="L1311" t="inlineStr">
        <is>
          <t>declining (calc.)</t>
        </is>
      </c>
      <c r="M1311" t="inlineStr">
        <is>
          <t>MEASURED</t>
        </is>
      </c>
      <c r="N1311" s="5" t="inlineStr">
        <is>
          <t>Semrush phrase_these (live, this session)</t>
        </is>
      </c>
      <c r="O1311" t="inlineStr">
        <is>
          <t>2026-10-30</t>
        </is>
      </c>
      <c r="P1311">
        <f>IF(IF(J1311="NOT AVAILABLE","",J1311)="",12,IF(OR(ISNUMBER(SEARCH("Transactional",IF(J1311="NOT AVAILABLE","",J1311))),ISNUMBER(SEARCH("Commercial",IF(J1311="NOT AVAILABLE","",J1311)))),25,IF(ISNUMBER(SEARCH("Informational",IF(J1311="NOT AVAILABLE","",J1311))),10,IF(ISNUMBER(SEARCH("Navigational",IF(J1311="NOT AVAILABLE","",J1311))),0,12))))</f>
        <v/>
      </c>
      <c r="Q1311">
        <f>IF(ISNUMBER(F1311),MIN(30,ROUND(30*LOG10(F1311+1)/4,1)),0)</f>
        <v/>
      </c>
      <c r="R1311">
        <f>IF(ISNUMBER(G1311),ROUND(25*(100-G1311)/100,1),12.5)</f>
        <v/>
      </c>
      <c r="S1311" t="n">
        <v>14</v>
      </c>
      <c r="T1311">
        <f>ROUND(P1311+Q1311+R1311+S1311,0)</f>
        <v/>
      </c>
      <c r="U1311" s="5" t="inlineStr"/>
      <c r="V1311" s="5" t="inlineStr">
        <is>
          <t>OPTIONAL /web-development-company/dubai</t>
        </is>
      </c>
    </row>
    <row r="1312">
      <c r="A1312" t="inlineStr">
        <is>
          <t>K1310</t>
        </is>
      </c>
      <c r="B1312" t="inlineStr">
        <is>
          <t>agence web lisbonne</t>
        </is>
      </c>
      <c r="C1312" t="inlineStr">
        <is>
          <t>France</t>
        </is>
      </c>
      <c r="D1312" t="inlineStr">
        <is>
          <t>fr</t>
        </is>
      </c>
      <c r="E1312" t="inlineStr">
        <is>
          <t>fr</t>
        </is>
      </c>
      <c r="F1312" t="n">
        <v>20</v>
      </c>
      <c r="G1312" t="inlineStr">
        <is>
          <t>NOT AVAILABLE</t>
        </is>
      </c>
      <c r="H1312" t="n">
        <v>0</v>
      </c>
      <c r="I1312" t="n">
        <v>0</v>
      </c>
      <c r="J1312" t="inlineStr">
        <is>
          <t>NOT AVAILABLE</t>
        </is>
      </c>
      <c r="K1312" t="inlineStr">
        <is>
          <t>NOT AVAILABLE (report not requested)</t>
        </is>
      </c>
      <c r="L1312" t="inlineStr">
        <is>
          <t>declining (calc.)</t>
        </is>
      </c>
      <c r="M1312" t="inlineStr">
        <is>
          <t>MEASURED</t>
        </is>
      </c>
      <c r="N1312" s="5" t="inlineStr">
        <is>
          <t>Semrush phrase_these (live, this session)</t>
        </is>
      </c>
      <c r="O1312" t="inlineStr">
        <is>
          <t>2026-10-30</t>
        </is>
      </c>
      <c r="P1312">
        <f>IF(IF(J1312="NOT AVAILABLE","",J1312)="",12,IF(OR(ISNUMBER(SEARCH("Transactional",IF(J1312="NOT AVAILABLE","",J1312))),ISNUMBER(SEARCH("Commercial",IF(J1312="NOT AVAILABLE","",J1312)))),25,IF(ISNUMBER(SEARCH("Informational",IF(J1312="NOT AVAILABLE","",J1312))),10,IF(ISNUMBER(SEARCH("Navigational",IF(J1312="NOT AVAILABLE","",J1312))),0,12))))</f>
        <v/>
      </c>
      <c r="Q1312">
        <f>IF(ISNUMBER(F1312),MIN(30,ROUND(30*LOG10(F1312+1)/4,1)),0)</f>
        <v/>
      </c>
      <c r="R1312">
        <f>IF(ISNUMBER(G1312),ROUND(25*(100-G1312)/100,1),12.5)</f>
        <v/>
      </c>
      <c r="S1312" t="n">
        <v>14</v>
      </c>
      <c r="T1312">
        <f>ROUND(P1312+Q1312+R1312+S1312,0)</f>
        <v/>
      </c>
      <c r="U1312" s="5" t="inlineStr"/>
      <c r="V1312" s="5" t="inlineStr">
        <is>
          <t>OPTIONAL /web-development-company/lisbon</t>
        </is>
      </c>
    </row>
    <row r="1313">
      <c r="A1313" t="inlineStr">
        <is>
          <t>K1311</t>
        </is>
      </c>
      <c r="B1313" t="inlineStr">
        <is>
          <t>agence web londres</t>
        </is>
      </c>
      <c r="C1313" t="inlineStr">
        <is>
          <t>France</t>
        </is>
      </c>
      <c r="D1313" t="inlineStr">
        <is>
          <t>fr</t>
        </is>
      </c>
      <c r="E1313" t="inlineStr">
        <is>
          <t>fr</t>
        </is>
      </c>
      <c r="F1313" t="n">
        <v>20</v>
      </c>
      <c r="G1313" t="inlineStr">
        <is>
          <t>NOT AVAILABLE</t>
        </is>
      </c>
      <c r="H1313" t="n">
        <v>0</v>
      </c>
      <c r="I1313" t="n">
        <v>0</v>
      </c>
      <c r="J1313" t="inlineStr">
        <is>
          <t>NOT AVAILABLE</t>
        </is>
      </c>
      <c r="K1313" t="inlineStr">
        <is>
          <t>NOT AVAILABLE (report not requested)</t>
        </is>
      </c>
      <c r="L1313" t="inlineStr">
        <is>
          <t>declining (calc.)</t>
        </is>
      </c>
      <c r="M1313" t="inlineStr">
        <is>
          <t>MEASURED</t>
        </is>
      </c>
      <c r="N1313" s="5" t="inlineStr">
        <is>
          <t>Semrush phrase_these (live, this session)</t>
        </is>
      </c>
      <c r="O1313" t="inlineStr">
        <is>
          <t>2026-10-30</t>
        </is>
      </c>
      <c r="P1313">
        <f>IF(IF(J1313="NOT AVAILABLE","",J1313)="",12,IF(OR(ISNUMBER(SEARCH("Transactional",IF(J1313="NOT AVAILABLE","",J1313))),ISNUMBER(SEARCH("Commercial",IF(J1313="NOT AVAILABLE","",J1313)))),25,IF(ISNUMBER(SEARCH("Informational",IF(J1313="NOT AVAILABLE","",J1313))),10,IF(ISNUMBER(SEARCH("Navigational",IF(J1313="NOT AVAILABLE","",J1313))),0,12))))</f>
        <v/>
      </c>
      <c r="Q1313">
        <f>IF(ISNUMBER(F1313),MIN(30,ROUND(30*LOG10(F1313+1)/4,1)),0)</f>
        <v/>
      </c>
      <c r="R1313">
        <f>IF(ISNUMBER(G1313),ROUND(25*(100-G1313)/100,1),12.5)</f>
        <v/>
      </c>
      <c r="S1313" t="n">
        <v>14</v>
      </c>
      <c r="T1313">
        <f>ROUND(P1313+Q1313+R1313+S1313,0)</f>
        <v/>
      </c>
      <c r="U1313" s="5" t="inlineStr"/>
      <c r="V1313" s="5" t="inlineStr">
        <is>
          <t>OPTIONAL /web-development-company/london</t>
        </is>
      </c>
    </row>
    <row r="1314">
      <c r="A1314" t="inlineStr">
        <is>
          <t>K1312</t>
        </is>
      </c>
      <c r="B1314" t="inlineStr">
        <is>
          <t>agence web new york</t>
        </is>
      </c>
      <c r="C1314" t="inlineStr">
        <is>
          <t>France</t>
        </is>
      </c>
      <c r="D1314" t="inlineStr">
        <is>
          <t>fr</t>
        </is>
      </c>
      <c r="E1314" t="inlineStr">
        <is>
          <t>fr</t>
        </is>
      </c>
      <c r="F1314" t="n">
        <v>20</v>
      </c>
      <c r="G1314" t="inlineStr">
        <is>
          <t>NOT AVAILABLE</t>
        </is>
      </c>
      <c r="H1314" t="n">
        <v>0</v>
      </c>
      <c r="I1314" t="n">
        <v>0.29</v>
      </c>
      <c r="J1314" t="inlineStr">
        <is>
          <t>NOT AVAILABLE</t>
        </is>
      </c>
      <c r="K1314" t="inlineStr">
        <is>
          <t>NOT AVAILABLE (report not requested)</t>
        </is>
      </c>
      <c r="L1314" t="inlineStr">
        <is>
          <t>declining (calc.)</t>
        </is>
      </c>
      <c r="M1314" t="inlineStr">
        <is>
          <t>MEASURED</t>
        </is>
      </c>
      <c r="N1314" s="5" t="inlineStr">
        <is>
          <t>Semrush phrase_these (live, this session)</t>
        </is>
      </c>
      <c r="O1314" t="inlineStr">
        <is>
          <t>2026-10-30</t>
        </is>
      </c>
      <c r="P1314">
        <f>IF(IF(J1314="NOT AVAILABLE","",J1314)="",12,IF(OR(ISNUMBER(SEARCH("Transactional",IF(J1314="NOT AVAILABLE","",J1314))),ISNUMBER(SEARCH("Commercial",IF(J1314="NOT AVAILABLE","",J1314)))),25,IF(ISNUMBER(SEARCH("Informational",IF(J1314="NOT AVAILABLE","",J1314))),10,IF(ISNUMBER(SEARCH("Navigational",IF(J1314="NOT AVAILABLE","",J1314))),0,12))))</f>
        <v/>
      </c>
      <c r="Q1314">
        <f>IF(ISNUMBER(F1314),MIN(30,ROUND(30*LOG10(F1314+1)/4,1)),0)</f>
        <v/>
      </c>
      <c r="R1314">
        <f>IF(ISNUMBER(G1314),ROUND(25*(100-G1314)/100,1),12.5)</f>
        <v/>
      </c>
      <c r="S1314" t="n">
        <v>14</v>
      </c>
      <c r="T1314">
        <f>ROUND(P1314+Q1314+R1314+S1314,0)</f>
        <v/>
      </c>
      <c r="U1314" s="5" t="inlineStr"/>
      <c r="V1314" s="5" t="inlineStr">
        <is>
          <t>OPTIONAL /web-development-company/new-york</t>
        </is>
      </c>
    </row>
    <row r="1315">
      <c r="A1315" t="inlineStr">
        <is>
          <t>K1313</t>
        </is>
      </c>
      <c r="B1315" t="inlineStr">
        <is>
          <t>agence web offshore maroc</t>
        </is>
      </c>
      <c r="C1315" t="inlineStr">
        <is>
          <t>France</t>
        </is>
      </c>
      <c r="D1315" t="inlineStr">
        <is>
          <t>fr</t>
        </is>
      </c>
      <c r="E1315" t="inlineStr">
        <is>
          <t>fr</t>
        </is>
      </c>
      <c r="F1315" t="n">
        <v>20</v>
      </c>
      <c r="G1315" t="inlineStr">
        <is>
          <t>NOT AVAILABLE</t>
        </is>
      </c>
      <c r="H1315" t="n">
        <v>0</v>
      </c>
      <c r="I1315" t="n">
        <v>0.33</v>
      </c>
      <c r="J1315" t="inlineStr">
        <is>
          <t>NOT AVAILABLE</t>
        </is>
      </c>
      <c r="K1315" t="inlineStr">
        <is>
          <t>NOT AVAILABLE (report not requested)</t>
        </is>
      </c>
      <c r="L1315" t="inlineStr">
        <is>
          <t>rising (calc.)</t>
        </is>
      </c>
      <c r="M1315" t="inlineStr">
        <is>
          <t>MEASURED</t>
        </is>
      </c>
      <c r="N1315" s="5" t="inlineStr">
        <is>
          <t>Semrush phrase_these (live, this session)</t>
        </is>
      </c>
      <c r="O1315" t="inlineStr">
        <is>
          <t>2026-10-30</t>
        </is>
      </c>
      <c r="P1315">
        <f>IF(IF(J1315="NOT AVAILABLE","",J1315)="",12,IF(OR(ISNUMBER(SEARCH("Transactional",IF(J1315="NOT AVAILABLE","",J1315))),ISNUMBER(SEARCH("Commercial",IF(J1315="NOT AVAILABLE","",J1315)))),25,IF(ISNUMBER(SEARCH("Informational",IF(J1315="NOT AVAILABLE","",J1315))),10,IF(ISNUMBER(SEARCH("Navigational",IF(J1315="NOT AVAILABLE","",J1315))),0,12))))</f>
        <v/>
      </c>
      <c r="Q1315">
        <f>IF(ISNUMBER(F1315),MIN(30,ROUND(30*LOG10(F1315+1)/4,1)),0)</f>
        <v/>
      </c>
      <c r="R1315">
        <f>IF(ISNUMBER(G1315),ROUND(25*(100-G1315)/100,1),12.5)</f>
        <v/>
      </c>
      <c r="S1315" t="n">
        <v>14</v>
      </c>
      <c r="T1315">
        <f>ROUND(P1315+Q1315+R1315+S1315,0)</f>
        <v/>
      </c>
      <c r="U1315" s="5" t="inlineStr"/>
      <c r="V1315" s="5" t="inlineStr"/>
    </row>
    <row r="1316">
      <c r="A1316" t="inlineStr">
        <is>
          <t>K1314</t>
        </is>
      </c>
      <c r="B1316" t="inlineStr">
        <is>
          <t>agence web tunis</t>
        </is>
      </c>
      <c r="C1316" t="inlineStr">
        <is>
          <t>France</t>
        </is>
      </c>
      <c r="D1316" t="inlineStr">
        <is>
          <t>fr</t>
        </is>
      </c>
      <c r="E1316" t="inlineStr">
        <is>
          <t>fr</t>
        </is>
      </c>
      <c r="F1316" t="n">
        <v>20</v>
      </c>
      <c r="G1316" t="inlineStr">
        <is>
          <t>NOT AVAILABLE</t>
        </is>
      </c>
      <c r="H1316" t="n">
        <v>0</v>
      </c>
      <c r="I1316" t="n">
        <v>0.33</v>
      </c>
      <c r="J1316" t="inlineStr">
        <is>
          <t>NOT AVAILABLE</t>
        </is>
      </c>
      <c r="K1316" t="inlineStr">
        <is>
          <t>NOT AVAILABLE (report not requested)</t>
        </is>
      </c>
      <c r="L1316" t="inlineStr">
        <is>
          <t>stable (calc.)</t>
        </is>
      </c>
      <c r="M1316" t="inlineStr">
        <is>
          <t>MEASURED</t>
        </is>
      </c>
      <c r="N1316" s="5" t="inlineStr">
        <is>
          <t>Semrush phrase_these (live, this session)</t>
        </is>
      </c>
      <c r="O1316" t="inlineStr">
        <is>
          <t>2026-10-30</t>
        </is>
      </c>
      <c r="P1316">
        <f>IF(IF(J1316="NOT AVAILABLE","",J1316)="",12,IF(OR(ISNUMBER(SEARCH("Transactional",IF(J1316="NOT AVAILABLE","",J1316))),ISNUMBER(SEARCH("Commercial",IF(J1316="NOT AVAILABLE","",J1316)))),25,IF(ISNUMBER(SEARCH("Informational",IF(J1316="NOT AVAILABLE","",J1316))),10,IF(ISNUMBER(SEARCH("Navigational",IF(J1316="NOT AVAILABLE","",J1316))),0,12))))</f>
        <v/>
      </c>
      <c r="Q1316">
        <f>IF(ISNUMBER(F1316),MIN(30,ROUND(30*LOG10(F1316+1)/4,1)),0)</f>
        <v/>
      </c>
      <c r="R1316">
        <f>IF(ISNUMBER(G1316),ROUND(25*(100-G1316)/100,1),12.5)</f>
        <v/>
      </c>
      <c r="S1316" t="n">
        <v>14</v>
      </c>
      <c r="T1316">
        <f>ROUND(P1316+Q1316+R1316+S1316,0)</f>
        <v/>
      </c>
      <c r="U1316" s="5" t="inlineStr"/>
      <c r="V1316" s="5" t="inlineStr">
        <is>
          <t>OPTIONAL /web-development-company/tunis</t>
        </is>
      </c>
    </row>
    <row r="1317">
      <c r="A1317" t="inlineStr">
        <is>
          <t>K1315</t>
        </is>
      </c>
      <c r="B1317" t="inlineStr">
        <is>
          <t>alt image seo</t>
        </is>
      </c>
      <c r="C1317" t="inlineStr">
        <is>
          <t>France</t>
        </is>
      </c>
      <c r="D1317" t="inlineStr">
        <is>
          <t>fr</t>
        </is>
      </c>
      <c r="E1317" t="inlineStr">
        <is>
          <t>fr</t>
        </is>
      </c>
      <c r="F1317" t="n">
        <v>20</v>
      </c>
      <c r="G1317" t="inlineStr">
        <is>
          <t>NOT AVAILABLE</t>
        </is>
      </c>
      <c r="H1317" t="n">
        <v>0</v>
      </c>
      <c r="I1317" t="n">
        <v>0.33</v>
      </c>
      <c r="J1317" t="inlineStr">
        <is>
          <t>NOT AVAILABLE</t>
        </is>
      </c>
      <c r="K1317" t="inlineStr">
        <is>
          <t>NOT AVAILABLE (report not requested)</t>
        </is>
      </c>
      <c r="L1317" t="inlineStr">
        <is>
          <t>stable (calc.)</t>
        </is>
      </c>
      <c r="M1317" t="inlineStr">
        <is>
          <t>MEASURED</t>
        </is>
      </c>
      <c r="N1317" s="5" t="inlineStr">
        <is>
          <t>Semrush phrase_these (live, this session)</t>
        </is>
      </c>
      <c r="O1317" t="inlineStr">
        <is>
          <t>2026-10-30</t>
        </is>
      </c>
      <c r="P1317">
        <f>IF(IF(J1317="NOT AVAILABLE","",J1317)="",12,IF(OR(ISNUMBER(SEARCH("Transactional",IF(J1317="NOT AVAILABLE","",J1317))),ISNUMBER(SEARCH("Commercial",IF(J1317="NOT AVAILABLE","",J1317)))),25,IF(ISNUMBER(SEARCH("Informational",IF(J1317="NOT AVAILABLE","",J1317))),10,IF(ISNUMBER(SEARCH("Navigational",IF(J1317="NOT AVAILABLE","",J1317))),0,12))))</f>
        <v/>
      </c>
      <c r="Q1317">
        <f>IF(ISNUMBER(F1317),MIN(30,ROUND(30*LOG10(F1317+1)/4,1)),0)</f>
        <v/>
      </c>
      <c r="R1317">
        <f>IF(ISNUMBER(G1317),ROUND(25*(100-G1317)/100,1),12.5)</f>
        <v/>
      </c>
      <c r="S1317" t="n">
        <v>14</v>
      </c>
      <c r="T1317">
        <f>ROUND(P1317+Q1317+R1317+S1317,0)</f>
        <v/>
      </c>
      <c r="U1317" s="5" t="inlineStr"/>
      <c r="V1317" s="5" t="inlineStr">
        <is>
          <t>SUPPORTING /tools/image-alt-analyzer</t>
        </is>
      </c>
    </row>
    <row r="1318">
      <c r="A1318" t="inlineStr">
        <is>
          <t>K1316</t>
        </is>
      </c>
      <c r="B1318" t="inlineStr">
        <is>
          <t>application fintech</t>
        </is>
      </c>
      <c r="C1318" t="inlineStr">
        <is>
          <t>France</t>
        </is>
      </c>
      <c r="D1318" t="inlineStr">
        <is>
          <t>fr</t>
        </is>
      </c>
      <c r="E1318" t="inlineStr">
        <is>
          <t>fr</t>
        </is>
      </c>
      <c r="F1318" t="n">
        <v>20</v>
      </c>
      <c r="G1318" t="inlineStr">
        <is>
          <t>NOT AVAILABLE</t>
        </is>
      </c>
      <c r="H1318" t="n">
        <v>2.17</v>
      </c>
      <c r="I1318" t="n">
        <v>0.26</v>
      </c>
      <c r="J1318" t="inlineStr">
        <is>
          <t>NOT AVAILABLE</t>
        </is>
      </c>
      <c r="K1318" t="inlineStr">
        <is>
          <t>NOT AVAILABLE (report not requested)</t>
        </is>
      </c>
      <c r="L1318" t="inlineStr">
        <is>
          <t>stable (calc.)</t>
        </is>
      </c>
      <c r="M1318" t="inlineStr">
        <is>
          <t>MEASURED</t>
        </is>
      </c>
      <c r="N1318" s="5" t="inlineStr">
        <is>
          <t>Semrush phrase_these (live, this session)</t>
        </is>
      </c>
      <c r="O1318" t="inlineStr">
        <is>
          <t>2026-10-30</t>
        </is>
      </c>
      <c r="P1318">
        <f>IF(IF(J1318="NOT AVAILABLE","",J1318)="",12,IF(OR(ISNUMBER(SEARCH("Transactional",IF(J1318="NOT AVAILABLE","",J1318))),ISNUMBER(SEARCH("Commercial",IF(J1318="NOT AVAILABLE","",J1318)))),25,IF(ISNUMBER(SEARCH("Informational",IF(J1318="NOT AVAILABLE","",J1318))),10,IF(ISNUMBER(SEARCH("Navigational",IF(J1318="NOT AVAILABLE","",J1318))),0,12))))</f>
        <v/>
      </c>
      <c r="Q1318">
        <f>IF(ISNUMBER(F1318),MIN(30,ROUND(30*LOG10(F1318+1)/4,1)),0)</f>
        <v/>
      </c>
      <c r="R1318">
        <f>IF(ISNUMBER(G1318),ROUND(25*(100-G1318)/100,1),12.5)</f>
        <v/>
      </c>
      <c r="S1318" t="n">
        <v>14</v>
      </c>
      <c r="T1318">
        <f>ROUND(P1318+Q1318+R1318+S1318,0)</f>
        <v/>
      </c>
      <c r="U1318" s="5" t="inlineStr"/>
      <c r="V1318" s="5" t="inlineStr"/>
    </row>
    <row r="1319">
      <c r="A1319" t="inlineStr">
        <is>
          <t>K1317</t>
        </is>
      </c>
      <c r="B1319" t="inlineStr">
        <is>
          <t>application télémédecine</t>
        </is>
      </c>
      <c r="C1319" t="inlineStr">
        <is>
          <t>France</t>
        </is>
      </c>
      <c r="D1319" t="inlineStr">
        <is>
          <t>fr</t>
        </is>
      </c>
      <c r="E1319" t="inlineStr">
        <is>
          <t>fr</t>
        </is>
      </c>
      <c r="F1319" t="n">
        <v>20</v>
      </c>
      <c r="G1319" t="inlineStr">
        <is>
          <t>NOT AVAILABLE</t>
        </is>
      </c>
      <c r="H1319" t="n">
        <v>0.9</v>
      </c>
      <c r="I1319" t="n">
        <v>0.6</v>
      </c>
      <c r="J1319" t="inlineStr">
        <is>
          <t>NOT AVAILABLE</t>
        </is>
      </c>
      <c r="K1319" t="inlineStr">
        <is>
          <t>NOT AVAILABLE (report not requested)</t>
        </is>
      </c>
      <c r="L1319" t="inlineStr">
        <is>
          <t>stable (calc.)</t>
        </is>
      </c>
      <c r="M1319" t="inlineStr">
        <is>
          <t>MEASURED</t>
        </is>
      </c>
      <c r="N1319" s="5" t="inlineStr">
        <is>
          <t>Semrush phrase_these (live, this session)</t>
        </is>
      </c>
      <c r="O1319" t="inlineStr">
        <is>
          <t>2026-10-30</t>
        </is>
      </c>
      <c r="P1319">
        <f>IF(IF(J1319="NOT AVAILABLE","",J1319)="",12,IF(OR(ISNUMBER(SEARCH("Transactional",IF(J1319="NOT AVAILABLE","",J1319))),ISNUMBER(SEARCH("Commercial",IF(J1319="NOT AVAILABLE","",J1319)))),25,IF(ISNUMBER(SEARCH("Informational",IF(J1319="NOT AVAILABLE","",J1319))),10,IF(ISNUMBER(SEARCH("Navigational",IF(J1319="NOT AVAILABLE","",J1319))),0,12))))</f>
        <v/>
      </c>
      <c r="Q1319">
        <f>IF(ISNUMBER(F1319),MIN(30,ROUND(30*LOG10(F1319+1)/4,1)),0)</f>
        <v/>
      </c>
      <c r="R1319">
        <f>IF(ISNUMBER(G1319),ROUND(25*(100-G1319)/100,1),12.5)</f>
        <v/>
      </c>
      <c r="S1319" t="n">
        <v>14</v>
      </c>
      <c r="T1319">
        <f>ROUND(P1319+Q1319+R1319+S1319,0)</f>
        <v/>
      </c>
      <c r="U1319" s="5" t="inlineStr"/>
      <c r="V1319" s="5" t="inlineStr"/>
    </row>
    <row r="1320">
      <c r="A1320" t="inlineStr">
        <is>
          <t>K1318</t>
        </is>
      </c>
      <c r="B1320" t="inlineStr">
        <is>
          <t>architecture multi tenant</t>
        </is>
      </c>
      <c r="C1320" t="inlineStr">
        <is>
          <t>France</t>
        </is>
      </c>
      <c r="D1320" t="inlineStr">
        <is>
          <t>fr</t>
        </is>
      </c>
      <c r="E1320" t="inlineStr">
        <is>
          <t>fr</t>
        </is>
      </c>
      <c r="F1320" t="n">
        <v>20</v>
      </c>
      <c r="G1320" t="inlineStr">
        <is>
          <t>NOT AVAILABLE</t>
        </is>
      </c>
      <c r="H1320" t="n">
        <v>0</v>
      </c>
      <c r="I1320" t="n">
        <v>0.05</v>
      </c>
      <c r="J1320" t="inlineStr">
        <is>
          <t>NOT AVAILABLE</t>
        </is>
      </c>
      <c r="K1320" t="inlineStr">
        <is>
          <t>NOT AVAILABLE (report not requested)</t>
        </is>
      </c>
      <c r="L1320" t="inlineStr">
        <is>
          <t>stable (calc.)</t>
        </is>
      </c>
      <c r="M1320" t="inlineStr">
        <is>
          <t>MEASURED</t>
        </is>
      </c>
      <c r="N1320" s="5" t="inlineStr">
        <is>
          <t>Semrush phrase_these (live, this session)</t>
        </is>
      </c>
      <c r="O1320" t="inlineStr">
        <is>
          <t>2026-10-30</t>
        </is>
      </c>
      <c r="P1320">
        <f>IF(IF(J1320="NOT AVAILABLE","",J1320)="",12,IF(OR(ISNUMBER(SEARCH("Transactional",IF(J1320="NOT AVAILABLE","",J1320))),ISNUMBER(SEARCH("Commercial",IF(J1320="NOT AVAILABLE","",J1320)))),25,IF(ISNUMBER(SEARCH("Informational",IF(J1320="NOT AVAILABLE","",J1320))),10,IF(ISNUMBER(SEARCH("Navigational",IF(J1320="NOT AVAILABLE","",J1320))),0,12))))</f>
        <v/>
      </c>
      <c r="Q1320">
        <f>IF(ISNUMBER(F1320),MIN(30,ROUND(30*LOG10(F1320+1)/4,1)),0)</f>
        <v/>
      </c>
      <c r="R1320">
        <f>IF(ISNUMBER(G1320),ROUND(25*(100-G1320)/100,1),12.5)</f>
        <v/>
      </c>
      <c r="S1320" t="n">
        <v>14</v>
      </c>
      <c r="T1320">
        <f>ROUND(P1320+Q1320+R1320+S1320,0)</f>
        <v/>
      </c>
      <c r="U1320" s="5" t="inlineStr"/>
      <c r="V1320" s="5" t="inlineStr">
        <is>
          <t>SUPPORTING /blog/creer-une-plateforme-saas-mvp-multi-tenant-facturation-par-ou-commencer</t>
        </is>
      </c>
    </row>
    <row r="1321">
      <c r="A1321" t="inlineStr">
        <is>
          <t>K1319</t>
        </is>
      </c>
      <c r="B1321" t="inlineStr">
        <is>
          <t>blog web design</t>
        </is>
      </c>
      <c r="C1321" t="inlineStr">
        <is>
          <t>France</t>
        </is>
      </c>
      <c r="D1321" t="inlineStr">
        <is>
          <t>fr</t>
        </is>
      </c>
      <c r="E1321" t="inlineStr">
        <is>
          <t>fr</t>
        </is>
      </c>
      <c r="F1321" t="n">
        <v>20</v>
      </c>
      <c r="G1321" t="inlineStr">
        <is>
          <t>NOT AVAILABLE</t>
        </is>
      </c>
      <c r="H1321" t="n">
        <v>0</v>
      </c>
      <c r="I1321" t="n">
        <v>0.06</v>
      </c>
      <c r="J1321" t="inlineStr">
        <is>
          <t>NOT AVAILABLE</t>
        </is>
      </c>
      <c r="K1321" t="inlineStr">
        <is>
          <t>NOT AVAILABLE (report not requested)</t>
        </is>
      </c>
      <c r="L1321" t="inlineStr">
        <is>
          <t>stable (calc.)</t>
        </is>
      </c>
      <c r="M1321" t="inlineStr">
        <is>
          <t>MEASURED</t>
        </is>
      </c>
      <c r="N1321" s="5" t="inlineStr">
        <is>
          <t>Semrush phrase_these (live, this session)</t>
        </is>
      </c>
      <c r="O1321" t="inlineStr">
        <is>
          <t>2026-10-30</t>
        </is>
      </c>
      <c r="P1321">
        <f>IF(IF(J1321="NOT AVAILABLE","",J1321)="",12,IF(OR(ISNUMBER(SEARCH("Transactional",IF(J1321="NOT AVAILABLE","",J1321))),ISNUMBER(SEARCH("Commercial",IF(J1321="NOT AVAILABLE","",J1321)))),25,IF(ISNUMBER(SEARCH("Informational",IF(J1321="NOT AVAILABLE","",J1321))),10,IF(ISNUMBER(SEARCH("Navigational",IF(J1321="NOT AVAILABLE","",J1321))),0,12))))</f>
        <v/>
      </c>
      <c r="Q1321">
        <f>IF(ISNUMBER(F1321),MIN(30,ROUND(30*LOG10(F1321+1)/4,1)),0)</f>
        <v/>
      </c>
      <c r="R1321">
        <f>IF(ISNUMBER(G1321),ROUND(25*(100-G1321)/100,1),12.5)</f>
        <v/>
      </c>
      <c r="S1321" t="n">
        <v>14</v>
      </c>
      <c r="T1321">
        <f>ROUND(P1321+Q1321+R1321+S1321,0)</f>
        <v/>
      </c>
      <c r="U1321" s="5" t="inlineStr"/>
      <c r="V1321" s="5" t="inlineStr"/>
    </row>
    <row r="1322">
      <c r="A1322" t="inlineStr">
        <is>
          <t>K1320</t>
        </is>
      </c>
      <c r="B1322" t="inlineStr">
        <is>
          <t>combien coute une application web</t>
        </is>
      </c>
      <c r="C1322" t="inlineStr">
        <is>
          <t>France</t>
        </is>
      </c>
      <c r="D1322" t="inlineStr">
        <is>
          <t>fr</t>
        </is>
      </c>
      <c r="E1322" t="inlineStr">
        <is>
          <t>fr</t>
        </is>
      </c>
      <c r="F1322" t="n">
        <v>20</v>
      </c>
      <c r="G1322" t="inlineStr">
        <is>
          <t>NOT AVAILABLE</t>
        </is>
      </c>
      <c r="H1322" t="n">
        <v>0</v>
      </c>
      <c r="I1322" t="n">
        <v>0.86</v>
      </c>
      <c r="J1322" t="inlineStr">
        <is>
          <t>NOT AVAILABLE</t>
        </is>
      </c>
      <c r="K1322" t="inlineStr">
        <is>
          <t>NOT AVAILABLE (report not requested)</t>
        </is>
      </c>
      <c r="L1322" t="inlineStr">
        <is>
          <t>stable (calc.)</t>
        </is>
      </c>
      <c r="M1322" t="inlineStr">
        <is>
          <t>MEASURED</t>
        </is>
      </c>
      <c r="N1322" s="5" t="inlineStr">
        <is>
          <t>Semrush phrase_these (live, this session)</t>
        </is>
      </c>
      <c r="O1322" t="inlineStr">
        <is>
          <t>2026-10-30</t>
        </is>
      </c>
      <c r="P1322">
        <f>IF(IF(J1322="NOT AVAILABLE","",J1322)="",12,IF(OR(ISNUMBER(SEARCH("Transactional",IF(J1322="NOT AVAILABLE","",J1322))),ISNUMBER(SEARCH("Commercial",IF(J1322="NOT AVAILABLE","",J1322)))),25,IF(ISNUMBER(SEARCH("Informational",IF(J1322="NOT AVAILABLE","",J1322))),10,IF(ISNUMBER(SEARCH("Navigational",IF(J1322="NOT AVAILABLE","",J1322))),0,12))))</f>
        <v/>
      </c>
      <c r="Q1322">
        <f>IF(ISNUMBER(F1322),MIN(30,ROUND(30*LOG10(F1322+1)/4,1)),0)</f>
        <v/>
      </c>
      <c r="R1322">
        <f>IF(ISNUMBER(G1322),ROUND(25*(100-G1322)/100,1),12.5)</f>
        <v/>
      </c>
      <c r="S1322" t="n">
        <v>14</v>
      </c>
      <c r="T1322">
        <f>ROUND(P1322+Q1322+R1322+S1322,0)</f>
        <v/>
      </c>
      <c r="U1322" s="5" t="inlineStr"/>
      <c r="V1322" s="5" t="inlineStr"/>
    </row>
    <row r="1323">
      <c r="A1323" t="inlineStr">
        <is>
          <t>K1321</t>
        </is>
      </c>
      <c r="B1323" t="inlineStr">
        <is>
          <t>comment créer un site de formation en ligne</t>
        </is>
      </c>
      <c r="C1323" t="inlineStr">
        <is>
          <t>France</t>
        </is>
      </c>
      <c r="D1323" t="inlineStr">
        <is>
          <t>fr</t>
        </is>
      </c>
      <c r="E1323" t="inlineStr">
        <is>
          <t>fr</t>
        </is>
      </c>
      <c r="F1323" t="n">
        <v>20</v>
      </c>
      <c r="G1323" t="inlineStr">
        <is>
          <t>NOT AVAILABLE</t>
        </is>
      </c>
      <c r="H1323" t="n">
        <v>2.95</v>
      </c>
      <c r="I1323" t="n">
        <v>1</v>
      </c>
      <c r="J1323" t="inlineStr">
        <is>
          <t>NOT AVAILABLE</t>
        </is>
      </c>
      <c r="K1323" t="inlineStr">
        <is>
          <t>NOT AVAILABLE (report not requested)</t>
        </is>
      </c>
      <c r="L1323" t="inlineStr">
        <is>
          <t>stable (calc.)</t>
        </is>
      </c>
      <c r="M1323" t="inlineStr">
        <is>
          <t>MEASURED</t>
        </is>
      </c>
      <c r="N1323" s="5" t="inlineStr">
        <is>
          <t>Semrush phrase_these (live, this session)</t>
        </is>
      </c>
      <c r="O1323" t="inlineStr">
        <is>
          <t>2026-10-30</t>
        </is>
      </c>
      <c r="P1323">
        <f>IF(IF(J1323="NOT AVAILABLE","",J1323)="",12,IF(OR(ISNUMBER(SEARCH("Transactional",IF(J1323="NOT AVAILABLE","",J1323))),ISNUMBER(SEARCH("Commercial",IF(J1323="NOT AVAILABLE","",J1323)))),25,IF(ISNUMBER(SEARCH("Informational",IF(J1323="NOT AVAILABLE","",J1323))),10,IF(ISNUMBER(SEARCH("Navigational",IF(J1323="NOT AVAILABLE","",J1323))),0,12))))</f>
        <v/>
      </c>
      <c r="Q1323">
        <f>IF(ISNUMBER(F1323),MIN(30,ROUND(30*LOG10(F1323+1)/4,1)),0)</f>
        <v/>
      </c>
      <c r="R1323">
        <f>IF(ISNUMBER(G1323),ROUND(25*(100-G1323)/100,1),12.5)</f>
        <v/>
      </c>
      <c r="S1323" t="n">
        <v>14</v>
      </c>
      <c r="T1323">
        <f>ROUND(P1323+Q1323+R1323+S1323,0)</f>
        <v/>
      </c>
      <c r="U1323" s="5" t="inlineStr"/>
      <c r="V1323" s="5" t="inlineStr">
        <is>
          <t>FAQ /services/online-course-platform-development</t>
        </is>
      </c>
    </row>
    <row r="1324">
      <c r="A1324" t="inlineStr">
        <is>
          <t>K1322</t>
        </is>
      </c>
      <c r="B1324" t="inlineStr">
        <is>
          <t>comment créer une plateforme e-learning</t>
        </is>
      </c>
      <c r="C1324" t="inlineStr">
        <is>
          <t>France</t>
        </is>
      </c>
      <c r="D1324" t="inlineStr">
        <is>
          <t>fr</t>
        </is>
      </c>
      <c r="E1324" t="inlineStr">
        <is>
          <t>fr</t>
        </is>
      </c>
      <c r="F1324" t="n">
        <v>20</v>
      </c>
      <c r="G1324" t="inlineStr">
        <is>
          <t>NOT AVAILABLE</t>
        </is>
      </c>
      <c r="H1324" t="n">
        <v>0</v>
      </c>
      <c r="I1324" t="n">
        <v>1</v>
      </c>
      <c r="J1324" t="inlineStr">
        <is>
          <t>NOT AVAILABLE</t>
        </is>
      </c>
      <c r="K1324" t="inlineStr">
        <is>
          <t>NOT AVAILABLE (report not requested)</t>
        </is>
      </c>
      <c r="L1324" t="inlineStr">
        <is>
          <t>rising (calc.)</t>
        </is>
      </c>
      <c r="M1324" t="inlineStr">
        <is>
          <t>MEASURED</t>
        </is>
      </c>
      <c r="N1324" s="5" t="inlineStr">
        <is>
          <t>Semrush phrase_these (live, this session)</t>
        </is>
      </c>
      <c r="O1324" t="inlineStr">
        <is>
          <t>2026-10-30</t>
        </is>
      </c>
      <c r="P1324">
        <f>IF(IF(J1324="NOT AVAILABLE","",J1324)="",12,IF(OR(ISNUMBER(SEARCH("Transactional",IF(J1324="NOT AVAILABLE","",J1324))),ISNUMBER(SEARCH("Commercial",IF(J1324="NOT AVAILABLE","",J1324)))),25,IF(ISNUMBER(SEARCH("Informational",IF(J1324="NOT AVAILABLE","",J1324))),10,IF(ISNUMBER(SEARCH("Navigational",IF(J1324="NOT AVAILABLE","",J1324))),0,12))))</f>
        <v/>
      </c>
      <c r="Q1324">
        <f>IF(ISNUMBER(F1324),MIN(30,ROUND(30*LOG10(F1324+1)/4,1)),0)</f>
        <v/>
      </c>
      <c r="R1324">
        <f>IF(ISNUMBER(G1324),ROUND(25*(100-G1324)/100,1),12.5)</f>
        <v/>
      </c>
      <c r="S1324" t="n">
        <v>14</v>
      </c>
      <c r="T1324">
        <f>ROUND(P1324+Q1324+R1324+S1324,0)</f>
        <v/>
      </c>
      <c r="U1324" s="5" t="inlineStr"/>
      <c r="V1324" s="5" t="inlineStr">
        <is>
          <t>FAQ /services/elearning-platform-development</t>
        </is>
      </c>
    </row>
    <row r="1325">
      <c r="A1325" t="inlineStr">
        <is>
          <t>K1323</t>
        </is>
      </c>
      <c r="B1325" t="inlineStr">
        <is>
          <t>compresser css</t>
        </is>
      </c>
      <c r="C1325" t="inlineStr">
        <is>
          <t>France</t>
        </is>
      </c>
      <c r="D1325" t="inlineStr">
        <is>
          <t>fr</t>
        </is>
      </c>
      <c r="E1325" t="inlineStr">
        <is>
          <t>fr</t>
        </is>
      </c>
      <c r="F1325" t="n">
        <v>20</v>
      </c>
      <c r="G1325" t="inlineStr">
        <is>
          <t>NOT AVAILABLE</t>
        </is>
      </c>
      <c r="H1325" t="n">
        <v>0</v>
      </c>
      <c r="I1325" t="n">
        <v>0.33</v>
      </c>
      <c r="J1325" t="inlineStr">
        <is>
          <t>NOT AVAILABLE</t>
        </is>
      </c>
      <c r="K1325" t="inlineStr">
        <is>
          <t>NOT AVAILABLE (report not requested)</t>
        </is>
      </c>
      <c r="L1325" t="inlineStr">
        <is>
          <t>stable (calc.)</t>
        </is>
      </c>
      <c r="M1325" t="inlineStr">
        <is>
          <t>MEASURED</t>
        </is>
      </c>
      <c r="N1325" s="5" t="inlineStr">
        <is>
          <t>Semrush phrase_these (live, this session)</t>
        </is>
      </c>
      <c r="O1325" t="inlineStr">
        <is>
          <t>2026-10-30</t>
        </is>
      </c>
      <c r="P1325">
        <f>IF(IF(J1325="NOT AVAILABLE","",J1325)="",12,IF(OR(ISNUMBER(SEARCH("Transactional",IF(J1325="NOT AVAILABLE","",J1325))),ISNUMBER(SEARCH("Commercial",IF(J1325="NOT AVAILABLE","",J1325)))),25,IF(ISNUMBER(SEARCH("Informational",IF(J1325="NOT AVAILABLE","",J1325))),10,IF(ISNUMBER(SEARCH("Navigational",IF(J1325="NOT AVAILABLE","",J1325))),0,12))))</f>
        <v/>
      </c>
      <c r="Q1325">
        <f>IF(ISNUMBER(F1325),MIN(30,ROUND(30*LOG10(F1325+1)/4,1)),0)</f>
        <v/>
      </c>
      <c r="R1325">
        <f>IF(ISNUMBER(G1325),ROUND(25*(100-G1325)/100,1),12.5)</f>
        <v/>
      </c>
      <c r="S1325" t="n">
        <v>14</v>
      </c>
      <c r="T1325">
        <f>ROUND(P1325+Q1325+R1325+S1325,0)</f>
        <v/>
      </c>
      <c r="U1325" s="5" t="inlineStr"/>
      <c r="V1325" s="5" t="inlineStr">
        <is>
          <t>SUPPORTING /tools/css-minifier</t>
        </is>
      </c>
    </row>
    <row r="1326">
      <c r="A1326" t="inlineStr">
        <is>
          <t>K1324</t>
        </is>
      </c>
      <c r="B1326" t="inlineStr">
        <is>
          <t>compresser html</t>
        </is>
      </c>
      <c r="C1326" t="inlineStr">
        <is>
          <t>France</t>
        </is>
      </c>
      <c r="D1326" t="inlineStr">
        <is>
          <t>fr</t>
        </is>
      </c>
      <c r="E1326" t="inlineStr">
        <is>
          <t>fr</t>
        </is>
      </c>
      <c r="F1326" t="n">
        <v>20</v>
      </c>
      <c r="G1326" t="inlineStr">
        <is>
          <t>NOT AVAILABLE</t>
        </is>
      </c>
      <c r="H1326" t="n">
        <v>0</v>
      </c>
      <c r="I1326" t="n">
        <v>0.33</v>
      </c>
      <c r="J1326" t="inlineStr">
        <is>
          <t>NOT AVAILABLE</t>
        </is>
      </c>
      <c r="K1326" t="inlineStr">
        <is>
          <t>NOT AVAILABLE (report not requested)</t>
        </is>
      </c>
      <c r="L1326" t="inlineStr">
        <is>
          <t>stable (calc.)</t>
        </is>
      </c>
      <c r="M1326" t="inlineStr">
        <is>
          <t>MEASURED</t>
        </is>
      </c>
      <c r="N1326" s="5" t="inlineStr">
        <is>
          <t>Semrush phrase_these (live, this session)</t>
        </is>
      </c>
      <c r="O1326" t="inlineStr">
        <is>
          <t>2026-10-30</t>
        </is>
      </c>
      <c r="P1326">
        <f>IF(IF(J1326="NOT AVAILABLE","",J1326)="",12,IF(OR(ISNUMBER(SEARCH("Transactional",IF(J1326="NOT AVAILABLE","",J1326))),ISNUMBER(SEARCH("Commercial",IF(J1326="NOT AVAILABLE","",J1326)))),25,IF(ISNUMBER(SEARCH("Informational",IF(J1326="NOT AVAILABLE","",J1326))),10,IF(ISNUMBER(SEARCH("Navigational",IF(J1326="NOT AVAILABLE","",J1326))),0,12))))</f>
        <v/>
      </c>
      <c r="Q1326">
        <f>IF(ISNUMBER(F1326),MIN(30,ROUND(30*LOG10(F1326+1)/4,1)),0)</f>
        <v/>
      </c>
      <c r="R1326">
        <f>IF(ISNUMBER(G1326),ROUND(25*(100-G1326)/100,1),12.5)</f>
        <v/>
      </c>
      <c r="S1326" t="n">
        <v>14</v>
      </c>
      <c r="T1326">
        <f>ROUND(P1326+Q1326+R1326+S1326,0)</f>
        <v/>
      </c>
      <c r="U1326" s="5" t="inlineStr"/>
      <c r="V1326" s="5" t="inlineStr">
        <is>
          <t>SUPPORTING /tools/html-minifier</t>
        </is>
      </c>
    </row>
    <row r="1327">
      <c r="A1327" t="inlineStr">
        <is>
          <t>K1325</t>
        </is>
      </c>
      <c r="B1327" t="inlineStr">
        <is>
          <t>confiance site web</t>
        </is>
      </c>
      <c r="C1327" t="inlineStr">
        <is>
          <t>France</t>
        </is>
      </c>
      <c r="D1327" t="inlineStr">
        <is>
          <t>fr</t>
        </is>
      </c>
      <c r="E1327" t="inlineStr">
        <is>
          <t>fr</t>
        </is>
      </c>
      <c r="F1327" t="n">
        <v>20</v>
      </c>
      <c r="G1327" t="inlineStr">
        <is>
          <t>NOT AVAILABLE</t>
        </is>
      </c>
      <c r="H1327" t="n">
        <v>0</v>
      </c>
      <c r="I1327" t="n">
        <v>0.07000000000000001</v>
      </c>
      <c r="J1327" t="inlineStr">
        <is>
          <t>NOT AVAILABLE</t>
        </is>
      </c>
      <c r="K1327" t="inlineStr">
        <is>
          <t>NOT AVAILABLE (report not requested)</t>
        </is>
      </c>
      <c r="L1327" t="inlineStr">
        <is>
          <t>stable (calc.)</t>
        </is>
      </c>
      <c r="M1327" t="inlineStr">
        <is>
          <t>MEASURED</t>
        </is>
      </c>
      <c r="N1327" s="5" t="inlineStr">
        <is>
          <t>Semrush phrase_these (live, this session)</t>
        </is>
      </c>
      <c r="O1327" t="inlineStr">
        <is>
          <t>2026-10-30</t>
        </is>
      </c>
      <c r="P1327">
        <f>IF(IF(J1327="NOT AVAILABLE","",J1327)="",12,IF(OR(ISNUMBER(SEARCH("Transactional",IF(J1327="NOT AVAILABLE","",J1327))),ISNUMBER(SEARCH("Commercial",IF(J1327="NOT AVAILABLE","",J1327)))),25,IF(ISNUMBER(SEARCH("Informational",IF(J1327="NOT AVAILABLE","",J1327))),10,IF(ISNUMBER(SEARCH("Navigational",IF(J1327="NOT AVAILABLE","",J1327))),0,12))))</f>
        <v/>
      </c>
      <c r="Q1327">
        <f>IF(ISNUMBER(F1327),MIN(30,ROUND(30*LOG10(F1327+1)/4,1)),0)</f>
        <v/>
      </c>
      <c r="R1327">
        <f>IF(ISNUMBER(G1327),ROUND(25*(100-G1327)/100,1),12.5)</f>
        <v/>
      </c>
      <c r="S1327" t="n">
        <v>14</v>
      </c>
      <c r="T1327">
        <f>ROUND(P1327+Q1327+R1327+S1327,0)</f>
        <v/>
      </c>
      <c r="U1327" s="5" t="inlineStr"/>
      <c r="V1327" s="5" t="inlineStr">
        <is>
          <t>SUPPORTING /blog/site-web-fintech-7-elements-qui-rassurent-un-visiteur</t>
        </is>
      </c>
    </row>
    <row r="1328">
      <c r="A1328" t="inlineStr">
        <is>
          <t>K1326</t>
        </is>
      </c>
      <c r="B1328" t="inlineStr">
        <is>
          <t>crawler ia</t>
        </is>
      </c>
      <c r="C1328" t="inlineStr">
        <is>
          <t>France</t>
        </is>
      </c>
      <c r="D1328" t="inlineStr">
        <is>
          <t>fr</t>
        </is>
      </c>
      <c r="E1328" t="inlineStr">
        <is>
          <t>fr</t>
        </is>
      </c>
      <c r="F1328" t="n">
        <v>20</v>
      </c>
      <c r="G1328" t="inlineStr">
        <is>
          <t>NOT AVAILABLE</t>
        </is>
      </c>
      <c r="H1328" t="n">
        <v>0</v>
      </c>
      <c r="I1328" t="n">
        <v>0.12</v>
      </c>
      <c r="J1328" t="inlineStr">
        <is>
          <t>NOT AVAILABLE</t>
        </is>
      </c>
      <c r="K1328" t="inlineStr">
        <is>
          <t>NOT AVAILABLE (report not requested)</t>
        </is>
      </c>
      <c r="L1328" t="inlineStr">
        <is>
          <t>stable (calc.)</t>
        </is>
      </c>
      <c r="M1328" t="inlineStr">
        <is>
          <t>MEASURED</t>
        </is>
      </c>
      <c r="N1328" s="5" t="inlineStr">
        <is>
          <t>Semrush phrase_these (live, this session)</t>
        </is>
      </c>
      <c r="O1328" t="inlineStr">
        <is>
          <t>2026-10-30</t>
        </is>
      </c>
      <c r="P1328">
        <f>IF(IF(J1328="NOT AVAILABLE","",J1328)="",12,IF(OR(ISNUMBER(SEARCH("Transactional",IF(J1328="NOT AVAILABLE","",J1328))),ISNUMBER(SEARCH("Commercial",IF(J1328="NOT AVAILABLE","",J1328)))),25,IF(ISNUMBER(SEARCH("Informational",IF(J1328="NOT AVAILABLE","",J1328))),10,IF(ISNUMBER(SEARCH("Navigational",IF(J1328="NOT AVAILABLE","",J1328))),0,12))))</f>
        <v/>
      </c>
      <c r="Q1328">
        <f>IF(ISNUMBER(F1328),MIN(30,ROUND(30*LOG10(F1328+1)/4,1)),0)</f>
        <v/>
      </c>
      <c r="R1328">
        <f>IF(ISNUMBER(G1328),ROUND(25*(100-G1328)/100,1),12.5)</f>
        <v/>
      </c>
      <c r="S1328" t="n">
        <v>14</v>
      </c>
      <c r="T1328">
        <f>ROUND(P1328+Q1328+R1328+S1328,0)</f>
        <v/>
      </c>
      <c r="U1328" s="5" t="inlineStr"/>
      <c r="V1328" s="5" t="inlineStr">
        <is>
          <t>SUPPORTING /tools/ai-crawler-access-checker</t>
        </is>
      </c>
    </row>
    <row r="1329">
      <c r="A1329" t="inlineStr">
        <is>
          <t>K1327</t>
        </is>
      </c>
      <c r="B1329" t="inlineStr">
        <is>
          <t>création plateforme e-learning</t>
        </is>
      </c>
      <c r="C1329" t="inlineStr">
        <is>
          <t>France</t>
        </is>
      </c>
      <c r="D1329" t="inlineStr">
        <is>
          <t>fr</t>
        </is>
      </c>
      <c r="E1329" t="inlineStr">
        <is>
          <t>fr</t>
        </is>
      </c>
      <c r="F1329" t="n">
        <v>20</v>
      </c>
      <c r="G1329" t="inlineStr">
        <is>
          <t>NOT AVAILABLE</t>
        </is>
      </c>
      <c r="H1329" t="n">
        <v>0</v>
      </c>
      <c r="I1329" t="n">
        <v>0.57</v>
      </c>
      <c r="J1329" t="inlineStr">
        <is>
          <t>NOT AVAILABLE</t>
        </is>
      </c>
      <c r="K1329" t="inlineStr">
        <is>
          <t>NOT AVAILABLE (report not requested)</t>
        </is>
      </c>
      <c r="L1329" t="inlineStr">
        <is>
          <t>declining (calc.)</t>
        </is>
      </c>
      <c r="M1329" t="inlineStr">
        <is>
          <t>MEASURED</t>
        </is>
      </c>
      <c r="N1329" s="5" t="inlineStr">
        <is>
          <t>Semrush phrase_these (live, this session)</t>
        </is>
      </c>
      <c r="O1329" t="inlineStr">
        <is>
          <t>2026-10-30</t>
        </is>
      </c>
      <c r="P1329">
        <f>IF(IF(J1329="NOT AVAILABLE","",J1329)="",12,IF(OR(ISNUMBER(SEARCH("Transactional",IF(J1329="NOT AVAILABLE","",J1329))),ISNUMBER(SEARCH("Commercial",IF(J1329="NOT AVAILABLE","",J1329)))),25,IF(ISNUMBER(SEARCH("Informational",IF(J1329="NOT AVAILABLE","",J1329))),10,IF(ISNUMBER(SEARCH("Navigational",IF(J1329="NOT AVAILABLE","",J1329))),0,12))))</f>
        <v/>
      </c>
      <c r="Q1329">
        <f>IF(ISNUMBER(F1329),MIN(30,ROUND(30*LOG10(F1329+1)/4,1)),0)</f>
        <v/>
      </c>
      <c r="R1329">
        <f>IF(ISNUMBER(G1329),ROUND(25*(100-G1329)/100,1),12.5)</f>
        <v/>
      </c>
      <c r="S1329" t="n">
        <v>14</v>
      </c>
      <c r="T1329">
        <f>ROUND(P1329+Q1329+R1329+S1329,0)</f>
        <v/>
      </c>
      <c r="U1329" s="5" t="inlineStr"/>
      <c r="V1329" s="5" t="inlineStr"/>
    </row>
    <row r="1330">
      <c r="A1330" t="inlineStr">
        <is>
          <t>K1328</t>
        </is>
      </c>
      <c r="B1330" t="inlineStr">
        <is>
          <t>création site web finance</t>
        </is>
      </c>
      <c r="C1330" t="inlineStr">
        <is>
          <t>France</t>
        </is>
      </c>
      <c r="D1330" t="inlineStr">
        <is>
          <t>fr</t>
        </is>
      </c>
      <c r="E1330" t="inlineStr">
        <is>
          <t>fr</t>
        </is>
      </c>
      <c r="F1330" t="n">
        <v>20</v>
      </c>
      <c r="G1330" t="inlineStr">
        <is>
          <t>NOT AVAILABLE</t>
        </is>
      </c>
      <c r="H1330" t="n">
        <v>0</v>
      </c>
      <c r="I1330" t="n">
        <v>0</v>
      </c>
      <c r="J1330" t="inlineStr">
        <is>
          <t>NOT AVAILABLE</t>
        </is>
      </c>
      <c r="K1330" t="inlineStr">
        <is>
          <t>NOT AVAILABLE (report not requested)</t>
        </is>
      </c>
      <c r="L1330" t="inlineStr">
        <is>
          <t>NOT AVAILABLE</t>
        </is>
      </c>
      <c r="M1330" t="inlineStr">
        <is>
          <t>MEASURED</t>
        </is>
      </c>
      <c r="N1330" s="5" t="inlineStr">
        <is>
          <t>Semrush phrase_these (live, this session)</t>
        </is>
      </c>
      <c r="O1330" t="inlineStr">
        <is>
          <t>2026-10-30</t>
        </is>
      </c>
      <c r="P1330">
        <f>IF(IF(J1330="NOT AVAILABLE","",J1330)="",12,IF(OR(ISNUMBER(SEARCH("Transactional",IF(J1330="NOT AVAILABLE","",J1330))),ISNUMBER(SEARCH("Commercial",IF(J1330="NOT AVAILABLE","",J1330)))),25,IF(ISNUMBER(SEARCH("Informational",IF(J1330="NOT AVAILABLE","",J1330))),10,IF(ISNUMBER(SEARCH("Navigational",IF(J1330="NOT AVAILABLE","",J1330))),0,12))))</f>
        <v/>
      </c>
      <c r="Q1330">
        <f>IF(ISNUMBER(F1330),MIN(30,ROUND(30*LOG10(F1330+1)/4,1)),0)</f>
        <v/>
      </c>
      <c r="R1330">
        <f>IF(ISNUMBER(G1330),ROUND(25*(100-G1330)/100,1),12.5)</f>
        <v/>
      </c>
      <c r="S1330" t="n">
        <v>14</v>
      </c>
      <c r="T1330">
        <f>ROUND(P1330+Q1330+R1330+S1330,0)</f>
        <v/>
      </c>
      <c r="U1330" s="5" t="inlineStr"/>
      <c r="V1330" s="5" t="inlineStr">
        <is>
          <t>SUPPORTING /services/fintech-website-development</t>
        </is>
      </c>
    </row>
    <row r="1331">
      <c r="A1331" t="inlineStr">
        <is>
          <t>K1329</t>
        </is>
      </c>
      <c r="B1331" t="inlineStr">
        <is>
          <t>créer lien utm</t>
        </is>
      </c>
      <c r="C1331" t="inlineStr">
        <is>
          <t>France</t>
        </is>
      </c>
      <c r="D1331" t="inlineStr">
        <is>
          <t>fr</t>
        </is>
      </c>
      <c r="E1331" t="inlineStr">
        <is>
          <t>fr</t>
        </is>
      </c>
      <c r="F1331" t="n">
        <v>20</v>
      </c>
      <c r="G1331" t="inlineStr">
        <is>
          <t>NOT AVAILABLE</t>
        </is>
      </c>
      <c r="H1331" t="n">
        <v>0</v>
      </c>
      <c r="I1331" t="n">
        <v>0.16</v>
      </c>
      <c r="J1331" t="inlineStr">
        <is>
          <t>NOT AVAILABLE</t>
        </is>
      </c>
      <c r="K1331" t="inlineStr">
        <is>
          <t>NOT AVAILABLE (report not requested)</t>
        </is>
      </c>
      <c r="L1331" t="inlineStr">
        <is>
          <t>stable (calc.)</t>
        </is>
      </c>
      <c r="M1331" t="inlineStr">
        <is>
          <t>MEASURED</t>
        </is>
      </c>
      <c r="N1331" s="5" t="inlineStr">
        <is>
          <t>Semrush phrase_these (live, this session)</t>
        </is>
      </c>
      <c r="O1331" t="inlineStr">
        <is>
          <t>2026-10-30</t>
        </is>
      </c>
      <c r="P1331">
        <f>IF(IF(J1331="NOT AVAILABLE","",J1331)="",12,IF(OR(ISNUMBER(SEARCH("Transactional",IF(J1331="NOT AVAILABLE","",J1331))),ISNUMBER(SEARCH("Commercial",IF(J1331="NOT AVAILABLE","",J1331)))),25,IF(ISNUMBER(SEARCH("Informational",IF(J1331="NOT AVAILABLE","",J1331))),10,IF(ISNUMBER(SEARCH("Navigational",IF(J1331="NOT AVAILABLE","",J1331))),0,12))))</f>
        <v/>
      </c>
      <c r="Q1331">
        <f>IF(ISNUMBER(F1331),MIN(30,ROUND(30*LOG10(F1331+1)/4,1)),0)</f>
        <v/>
      </c>
      <c r="R1331">
        <f>IF(ISNUMBER(G1331),ROUND(25*(100-G1331)/100,1),12.5)</f>
        <v/>
      </c>
      <c r="S1331" t="n">
        <v>14</v>
      </c>
      <c r="T1331">
        <f>ROUND(P1331+Q1331+R1331+S1331,0)</f>
        <v/>
      </c>
      <c r="U1331" s="5" t="inlineStr"/>
      <c r="V1331" s="5" t="inlineStr">
        <is>
          <t>SUPPORTING /tools/utm-builder</t>
        </is>
      </c>
    </row>
    <row r="1332">
      <c r="A1332" t="inlineStr">
        <is>
          <t>K1330</t>
        </is>
      </c>
      <c r="B1332" t="inlineStr">
        <is>
          <t>créer sitemap xml</t>
        </is>
      </c>
      <c r="C1332" t="inlineStr">
        <is>
          <t>France</t>
        </is>
      </c>
      <c r="D1332" t="inlineStr">
        <is>
          <t>fr</t>
        </is>
      </c>
      <c r="E1332" t="inlineStr">
        <is>
          <t>fr</t>
        </is>
      </c>
      <c r="F1332" t="n">
        <v>20</v>
      </c>
      <c r="G1332" t="inlineStr">
        <is>
          <t>NOT AVAILABLE</t>
        </is>
      </c>
      <c r="H1332" t="n">
        <v>0</v>
      </c>
      <c r="I1332" t="n">
        <v>0.11</v>
      </c>
      <c r="J1332" t="inlineStr">
        <is>
          <t>NOT AVAILABLE</t>
        </is>
      </c>
      <c r="K1332" t="inlineStr">
        <is>
          <t>NOT AVAILABLE (report not requested)</t>
        </is>
      </c>
      <c r="L1332" t="inlineStr">
        <is>
          <t>stable (calc.)</t>
        </is>
      </c>
      <c r="M1332" t="inlineStr">
        <is>
          <t>MEASURED</t>
        </is>
      </c>
      <c r="N1332" s="5" t="inlineStr">
        <is>
          <t>Semrush phrase_these (live, this session)</t>
        </is>
      </c>
      <c r="O1332" t="inlineStr">
        <is>
          <t>2026-10-30</t>
        </is>
      </c>
      <c r="P1332">
        <f>IF(IF(J1332="NOT AVAILABLE","",J1332)="",12,IF(OR(ISNUMBER(SEARCH("Transactional",IF(J1332="NOT AVAILABLE","",J1332))),ISNUMBER(SEARCH("Commercial",IF(J1332="NOT AVAILABLE","",J1332)))),25,IF(ISNUMBER(SEARCH("Informational",IF(J1332="NOT AVAILABLE","",J1332))),10,IF(ISNUMBER(SEARCH("Navigational",IF(J1332="NOT AVAILABLE","",J1332))),0,12))))</f>
        <v/>
      </c>
      <c r="Q1332">
        <f>IF(ISNUMBER(F1332),MIN(30,ROUND(30*LOG10(F1332+1)/4,1)),0)</f>
        <v/>
      </c>
      <c r="R1332">
        <f>IF(ISNUMBER(G1332),ROUND(25*(100-G1332)/100,1),12.5)</f>
        <v/>
      </c>
      <c r="S1332" t="n">
        <v>14</v>
      </c>
      <c r="T1332">
        <f>ROUND(P1332+Q1332+R1332+S1332,0)</f>
        <v/>
      </c>
      <c r="U1332" s="5" t="inlineStr"/>
      <c r="V1332" s="5" t="inlineStr">
        <is>
          <t>SUPPORTING /tools/xml-sitemap-generator</t>
        </is>
      </c>
    </row>
    <row r="1333">
      <c r="A1333" t="inlineStr">
        <is>
          <t>K1331</t>
        </is>
      </c>
      <c r="B1333" t="inlineStr">
        <is>
          <t>créer une plateforme e-learning</t>
        </is>
      </c>
      <c r="C1333" t="inlineStr">
        <is>
          <t>France</t>
        </is>
      </c>
      <c r="D1333" t="inlineStr">
        <is>
          <t>fr</t>
        </is>
      </c>
      <c r="E1333" t="inlineStr">
        <is>
          <t>fr</t>
        </is>
      </c>
      <c r="F1333" t="n">
        <v>20</v>
      </c>
      <c r="G1333" t="inlineStr">
        <is>
          <t>NOT AVAILABLE</t>
        </is>
      </c>
      <c r="H1333" t="n">
        <v>0</v>
      </c>
      <c r="I1333" t="n">
        <v>0.6899999999999999</v>
      </c>
      <c r="J1333" t="inlineStr">
        <is>
          <t>NOT AVAILABLE</t>
        </is>
      </c>
      <c r="K1333" t="inlineStr">
        <is>
          <t>NOT AVAILABLE (report not requested)</t>
        </is>
      </c>
      <c r="L1333" t="inlineStr">
        <is>
          <t>rising (calc.)</t>
        </is>
      </c>
      <c r="M1333" t="inlineStr">
        <is>
          <t>MEASURED</t>
        </is>
      </c>
      <c r="N1333" s="5" t="inlineStr">
        <is>
          <t>Semrush phrase_these (live, this session)</t>
        </is>
      </c>
      <c r="O1333" t="inlineStr">
        <is>
          <t>2026-10-30</t>
        </is>
      </c>
      <c r="P1333">
        <f>IF(IF(J1333="NOT AVAILABLE","",J1333)="",12,IF(OR(ISNUMBER(SEARCH("Transactional",IF(J1333="NOT AVAILABLE","",J1333))),ISNUMBER(SEARCH("Commercial",IF(J1333="NOT AVAILABLE","",J1333)))),25,IF(ISNUMBER(SEARCH("Informational",IF(J1333="NOT AVAILABLE","",J1333))),10,IF(ISNUMBER(SEARCH("Navigational",IF(J1333="NOT AVAILABLE","",J1333))),0,12))))</f>
        <v/>
      </c>
      <c r="Q1333">
        <f>IF(ISNUMBER(F1333),MIN(30,ROUND(30*LOG10(F1333+1)/4,1)),0)</f>
        <v/>
      </c>
      <c r="R1333">
        <f>IF(ISNUMBER(G1333),ROUND(25*(100-G1333)/100,1),12.5)</f>
        <v/>
      </c>
      <c r="S1333" t="n">
        <v>14</v>
      </c>
      <c r="T1333">
        <f>ROUND(P1333+Q1333+R1333+S1333,0)</f>
        <v/>
      </c>
      <c r="U1333" s="5" t="inlineStr"/>
      <c r="V1333" s="5" t="inlineStr"/>
    </row>
    <row r="1334">
      <c r="A1334" t="inlineStr">
        <is>
          <t>K1332</t>
        </is>
      </c>
      <c r="B1334" t="inlineStr">
        <is>
          <t>développeur web maroc</t>
        </is>
      </c>
      <c r="C1334" t="inlineStr">
        <is>
          <t>France</t>
        </is>
      </c>
      <c r="D1334" t="inlineStr">
        <is>
          <t>fr</t>
        </is>
      </c>
      <c r="E1334" t="inlineStr">
        <is>
          <t>fr</t>
        </is>
      </c>
      <c r="F1334" t="n">
        <v>20</v>
      </c>
      <c r="G1334" t="inlineStr">
        <is>
          <t>NOT AVAILABLE</t>
        </is>
      </c>
      <c r="H1334" t="n">
        <v>2.58</v>
      </c>
      <c r="I1334" t="n">
        <v>0.23</v>
      </c>
      <c r="J1334" t="inlineStr">
        <is>
          <t>NOT AVAILABLE</t>
        </is>
      </c>
      <c r="K1334" t="inlineStr">
        <is>
          <t>NOT AVAILABLE (report not requested)</t>
        </is>
      </c>
      <c r="L1334" t="inlineStr">
        <is>
          <t>stable (calc.)</t>
        </is>
      </c>
      <c r="M1334" t="inlineStr">
        <is>
          <t>MEASURED</t>
        </is>
      </c>
      <c r="N1334" s="5" t="inlineStr">
        <is>
          <t>Semrush phrase_these (live, this session)</t>
        </is>
      </c>
      <c r="O1334" t="inlineStr">
        <is>
          <t>2026-10-30</t>
        </is>
      </c>
      <c r="P1334">
        <f>IF(IF(J1334="NOT AVAILABLE","",J1334)="",12,IF(OR(ISNUMBER(SEARCH("Transactional",IF(J1334="NOT AVAILABLE","",J1334))),ISNUMBER(SEARCH("Commercial",IF(J1334="NOT AVAILABLE","",J1334)))),25,IF(ISNUMBER(SEARCH("Informational",IF(J1334="NOT AVAILABLE","",J1334))),10,IF(ISNUMBER(SEARCH("Navigational",IF(J1334="NOT AVAILABLE","",J1334))),0,12))))</f>
        <v/>
      </c>
      <c r="Q1334">
        <f>IF(ISNUMBER(F1334),MIN(30,ROUND(30*LOG10(F1334+1)/4,1)),0)</f>
        <v/>
      </c>
      <c r="R1334">
        <f>IF(ISNUMBER(G1334),ROUND(25*(100-G1334)/100,1),12.5)</f>
        <v/>
      </c>
      <c r="S1334" t="n">
        <v>14</v>
      </c>
      <c r="T1334">
        <f>ROUND(P1334+Q1334+R1334+S1334,0)</f>
        <v/>
      </c>
      <c r="U1334" s="5" t="inlineStr"/>
      <c r="V1334" s="5" t="inlineStr"/>
    </row>
    <row r="1335">
      <c r="A1335" t="inlineStr">
        <is>
          <t>K1333</t>
        </is>
      </c>
      <c r="B1335" t="inlineStr">
        <is>
          <t>externalisation développement web</t>
        </is>
      </c>
      <c r="C1335" t="inlineStr">
        <is>
          <t>France</t>
        </is>
      </c>
      <c r="D1335" t="inlineStr">
        <is>
          <t>fr</t>
        </is>
      </c>
      <c r="E1335" t="inlineStr">
        <is>
          <t>fr</t>
        </is>
      </c>
      <c r="F1335" t="n">
        <v>20</v>
      </c>
      <c r="G1335" t="inlineStr">
        <is>
          <t>NOT AVAILABLE</t>
        </is>
      </c>
      <c r="H1335" t="n">
        <v>0</v>
      </c>
      <c r="I1335" t="n">
        <v>0</v>
      </c>
      <c r="J1335" t="inlineStr">
        <is>
          <t>NOT AVAILABLE</t>
        </is>
      </c>
      <c r="K1335" t="inlineStr">
        <is>
          <t>NOT AVAILABLE (report not requested)</t>
        </is>
      </c>
      <c r="L1335" t="inlineStr">
        <is>
          <t>stable (calc.)</t>
        </is>
      </c>
      <c r="M1335" t="inlineStr">
        <is>
          <t>MEASURED</t>
        </is>
      </c>
      <c r="N1335" s="5" t="inlineStr">
        <is>
          <t>Semrush phrase_these (live, this session)</t>
        </is>
      </c>
      <c r="O1335" t="inlineStr">
        <is>
          <t>2026-10-30</t>
        </is>
      </c>
      <c r="P1335">
        <f>IF(IF(J1335="NOT AVAILABLE","",J1335)="",12,IF(OR(ISNUMBER(SEARCH("Transactional",IF(J1335="NOT AVAILABLE","",J1335))),ISNUMBER(SEARCH("Commercial",IF(J1335="NOT AVAILABLE","",J1335)))),25,IF(ISNUMBER(SEARCH("Informational",IF(J1335="NOT AVAILABLE","",J1335))),10,IF(ISNUMBER(SEARCH("Navigational",IF(J1335="NOT AVAILABLE","",J1335))),0,12))))</f>
        <v/>
      </c>
      <c r="Q1335">
        <f>IF(ISNUMBER(F1335),MIN(30,ROUND(30*LOG10(F1335+1)/4,1)),0)</f>
        <v/>
      </c>
      <c r="R1335">
        <f>IF(ISNUMBER(G1335),ROUND(25*(100-G1335)/100,1),12.5)</f>
        <v/>
      </c>
      <c r="S1335" t="n">
        <v>14</v>
      </c>
      <c r="T1335">
        <f>ROUND(P1335+Q1335+R1335+S1335,0)</f>
        <v/>
      </c>
      <c r="U1335" s="5" t="inlineStr"/>
      <c r="V1335" s="5" t="inlineStr">
        <is>
          <t>SUPPORTING /web-development-company/worldwide</t>
        </is>
      </c>
    </row>
    <row r="1336">
      <c r="A1336" t="inlineStr">
        <is>
          <t>K1334</t>
        </is>
      </c>
      <c r="B1336" t="inlineStr">
        <is>
          <t>faqpage schema</t>
        </is>
      </c>
      <c r="C1336" t="inlineStr">
        <is>
          <t>France</t>
        </is>
      </c>
      <c r="D1336" t="inlineStr">
        <is>
          <t>fr</t>
        </is>
      </c>
      <c r="E1336" t="inlineStr">
        <is>
          <t>fr</t>
        </is>
      </c>
      <c r="F1336" t="n">
        <v>20</v>
      </c>
      <c r="G1336" t="inlineStr">
        <is>
          <t>NOT AVAILABLE</t>
        </is>
      </c>
      <c r="H1336" t="n">
        <v>0</v>
      </c>
      <c r="I1336" t="n">
        <v>0.04</v>
      </c>
      <c r="J1336" t="inlineStr">
        <is>
          <t>NOT AVAILABLE</t>
        </is>
      </c>
      <c r="K1336" t="inlineStr">
        <is>
          <t>NOT AVAILABLE (report not requested)</t>
        </is>
      </c>
      <c r="L1336" t="inlineStr">
        <is>
          <t>stable (calc.)</t>
        </is>
      </c>
      <c r="M1336" t="inlineStr">
        <is>
          <t>MEASURED</t>
        </is>
      </c>
      <c r="N1336" s="5" t="inlineStr">
        <is>
          <t>Semrush phrase_these (live, this session)</t>
        </is>
      </c>
      <c r="O1336" t="inlineStr">
        <is>
          <t>2026-10-30</t>
        </is>
      </c>
      <c r="P1336">
        <f>IF(IF(J1336="NOT AVAILABLE","",J1336)="",12,IF(OR(ISNUMBER(SEARCH("Transactional",IF(J1336="NOT AVAILABLE","",J1336))),ISNUMBER(SEARCH("Commercial",IF(J1336="NOT AVAILABLE","",J1336)))),25,IF(ISNUMBER(SEARCH("Informational",IF(J1336="NOT AVAILABLE","",J1336))),10,IF(ISNUMBER(SEARCH("Navigational",IF(J1336="NOT AVAILABLE","",J1336))),0,12))))</f>
        <v/>
      </c>
      <c r="Q1336">
        <f>IF(ISNUMBER(F1336),MIN(30,ROUND(30*LOG10(F1336+1)/4,1)),0)</f>
        <v/>
      </c>
      <c r="R1336">
        <f>IF(ISNUMBER(G1336),ROUND(25*(100-G1336)/100,1),12.5)</f>
        <v/>
      </c>
      <c r="S1336" t="n">
        <v>14</v>
      </c>
      <c r="T1336">
        <f>ROUND(P1336+Q1336+R1336+S1336,0)</f>
        <v/>
      </c>
      <c r="U1336" s="5" t="inlineStr"/>
      <c r="V1336" s="5" t="inlineStr">
        <is>
          <t>SUPPORTING /tools/faq-schema-generator</t>
        </is>
      </c>
    </row>
    <row r="1337">
      <c r="A1337" t="inlineStr">
        <is>
          <t>K1335</t>
        </is>
      </c>
      <c r="B1337" t="inlineStr">
        <is>
          <t>générateur de palette de couleurs</t>
        </is>
      </c>
      <c r="C1337" t="inlineStr">
        <is>
          <t>France</t>
        </is>
      </c>
      <c r="D1337" t="inlineStr">
        <is>
          <t>fr</t>
        </is>
      </c>
      <c r="E1337" t="inlineStr">
        <is>
          <t>fr</t>
        </is>
      </c>
      <c r="F1337" t="n">
        <v>20</v>
      </c>
      <c r="G1337" t="inlineStr">
        <is>
          <t>NOT AVAILABLE</t>
        </is>
      </c>
      <c r="H1337" t="n">
        <v>0</v>
      </c>
      <c r="I1337" t="n">
        <v>0.21</v>
      </c>
      <c r="J1337" t="inlineStr">
        <is>
          <t>NOT AVAILABLE</t>
        </is>
      </c>
      <c r="K1337" t="inlineStr">
        <is>
          <t>NOT AVAILABLE (report not requested)</t>
        </is>
      </c>
      <c r="L1337" t="inlineStr">
        <is>
          <t>declining (calc.)</t>
        </is>
      </c>
      <c r="M1337" t="inlineStr">
        <is>
          <t>MEASURED</t>
        </is>
      </c>
      <c r="N1337" s="5" t="inlineStr">
        <is>
          <t>Semrush phrase_these (live, this session)</t>
        </is>
      </c>
      <c r="O1337" t="inlineStr">
        <is>
          <t>2026-10-30</t>
        </is>
      </c>
      <c r="P1337">
        <f>IF(IF(J1337="NOT AVAILABLE","",J1337)="",12,IF(OR(ISNUMBER(SEARCH("Transactional",IF(J1337="NOT AVAILABLE","",J1337))),ISNUMBER(SEARCH("Commercial",IF(J1337="NOT AVAILABLE","",J1337)))),25,IF(ISNUMBER(SEARCH("Informational",IF(J1337="NOT AVAILABLE","",J1337))),10,IF(ISNUMBER(SEARCH("Navigational",IF(J1337="NOT AVAILABLE","",J1337))),0,12))))</f>
        <v/>
      </c>
      <c r="Q1337">
        <f>IF(ISNUMBER(F1337),MIN(30,ROUND(30*LOG10(F1337+1)/4,1)),0)</f>
        <v/>
      </c>
      <c r="R1337">
        <f>IF(ISNUMBER(G1337),ROUND(25*(100-G1337)/100,1),12.5)</f>
        <v/>
      </c>
      <c r="S1337" t="n">
        <v>14</v>
      </c>
      <c r="T1337">
        <f>ROUND(P1337+Q1337+R1337+S1337,0)</f>
        <v/>
      </c>
      <c r="U1337" s="5" t="inlineStr"/>
      <c r="V1337" s="5" t="inlineStr">
        <is>
          <t>SUPPORTING /tools/color-palette-generator</t>
        </is>
      </c>
    </row>
    <row r="1338">
      <c r="A1338" t="inlineStr">
        <is>
          <t>K1336</t>
        </is>
      </c>
      <c r="B1338" t="inlineStr">
        <is>
          <t>générateur sitemap</t>
        </is>
      </c>
      <c r="C1338" t="inlineStr">
        <is>
          <t>France</t>
        </is>
      </c>
      <c r="D1338" t="inlineStr">
        <is>
          <t>fr</t>
        </is>
      </c>
      <c r="E1338" t="inlineStr">
        <is>
          <t>fr</t>
        </is>
      </c>
      <c r="F1338" t="n">
        <v>20</v>
      </c>
      <c r="G1338" t="inlineStr">
        <is>
          <t>NOT AVAILABLE</t>
        </is>
      </c>
      <c r="H1338" t="n">
        <v>0</v>
      </c>
      <c r="I1338" t="n">
        <v>0.07000000000000001</v>
      </c>
      <c r="J1338" t="inlineStr">
        <is>
          <t>NOT AVAILABLE</t>
        </is>
      </c>
      <c r="K1338" t="inlineStr">
        <is>
          <t>NOT AVAILABLE (report not requested)</t>
        </is>
      </c>
      <c r="L1338" t="inlineStr">
        <is>
          <t>declining (calc.)</t>
        </is>
      </c>
      <c r="M1338" t="inlineStr">
        <is>
          <t>MEASURED</t>
        </is>
      </c>
      <c r="N1338" s="5" t="inlineStr">
        <is>
          <t>Semrush phrase_these (live, this session)</t>
        </is>
      </c>
      <c r="O1338" t="inlineStr">
        <is>
          <t>2026-10-30</t>
        </is>
      </c>
      <c r="P1338">
        <f>IF(IF(J1338="NOT AVAILABLE","",J1338)="",12,IF(OR(ISNUMBER(SEARCH("Transactional",IF(J1338="NOT AVAILABLE","",J1338))),ISNUMBER(SEARCH("Commercial",IF(J1338="NOT AVAILABLE","",J1338)))),25,IF(ISNUMBER(SEARCH("Informational",IF(J1338="NOT AVAILABLE","",J1338))),10,IF(ISNUMBER(SEARCH("Navigational",IF(J1338="NOT AVAILABLE","",J1338))),0,12))))</f>
        <v/>
      </c>
      <c r="Q1338">
        <f>IF(ISNUMBER(F1338),MIN(30,ROUND(30*LOG10(F1338+1)/4,1)),0)</f>
        <v/>
      </c>
      <c r="R1338">
        <f>IF(ISNUMBER(G1338),ROUND(25*(100-G1338)/100,1),12.5)</f>
        <v/>
      </c>
      <c r="S1338" t="n">
        <v>14</v>
      </c>
      <c r="T1338">
        <f>ROUND(P1338+Q1338+R1338+S1338,0)</f>
        <v/>
      </c>
      <c r="U1338" s="5" t="inlineStr"/>
      <c r="V1338" s="5" t="inlineStr">
        <is>
          <t>SUPPORTING /tools/xml-sitemap-generator</t>
        </is>
      </c>
    </row>
    <row r="1339">
      <c r="A1339" t="inlineStr">
        <is>
          <t>K1337</t>
        </is>
      </c>
      <c r="B1339" t="inlineStr">
        <is>
          <t>lcp inp cls</t>
        </is>
      </c>
      <c r="C1339" t="inlineStr">
        <is>
          <t>France</t>
        </is>
      </c>
      <c r="D1339" t="inlineStr">
        <is>
          <t>fr</t>
        </is>
      </c>
      <c r="E1339" t="inlineStr">
        <is>
          <t>fr</t>
        </is>
      </c>
      <c r="F1339" t="n">
        <v>20</v>
      </c>
      <c r="G1339" t="inlineStr">
        <is>
          <t>NOT AVAILABLE</t>
        </is>
      </c>
      <c r="H1339" t="n">
        <v>0</v>
      </c>
      <c r="I1339" t="n">
        <v>0.34</v>
      </c>
      <c r="J1339" t="inlineStr">
        <is>
          <t>NOT AVAILABLE</t>
        </is>
      </c>
      <c r="K1339" t="inlineStr">
        <is>
          <t>NOT AVAILABLE (report not requested)</t>
        </is>
      </c>
      <c r="L1339" t="inlineStr">
        <is>
          <t>stable (calc.)</t>
        </is>
      </c>
      <c r="M1339" t="inlineStr">
        <is>
          <t>MEASURED</t>
        </is>
      </c>
      <c r="N1339" s="5" t="inlineStr">
        <is>
          <t>Semrush phrase_these (live, this session)</t>
        </is>
      </c>
      <c r="O1339" t="inlineStr">
        <is>
          <t>2026-10-30</t>
        </is>
      </c>
      <c r="P1339">
        <f>IF(IF(J1339="NOT AVAILABLE","",J1339)="",12,IF(OR(ISNUMBER(SEARCH("Transactional",IF(J1339="NOT AVAILABLE","",J1339))),ISNUMBER(SEARCH("Commercial",IF(J1339="NOT AVAILABLE","",J1339)))),25,IF(ISNUMBER(SEARCH("Informational",IF(J1339="NOT AVAILABLE","",J1339))),10,IF(ISNUMBER(SEARCH("Navigational",IF(J1339="NOT AVAILABLE","",J1339))),0,12))))</f>
        <v/>
      </c>
      <c r="Q1339">
        <f>IF(ISNUMBER(F1339),MIN(30,ROUND(30*LOG10(F1339+1)/4,1)),0)</f>
        <v/>
      </c>
      <c r="R1339">
        <f>IF(ISNUMBER(G1339),ROUND(25*(100-G1339)/100,1),12.5)</f>
        <v/>
      </c>
      <c r="S1339" t="n">
        <v>14</v>
      </c>
      <c r="T1339">
        <f>ROUND(P1339+Q1339+R1339+S1339,0)</f>
        <v/>
      </c>
      <c r="U1339" s="5" t="inlineStr"/>
      <c r="V1339" s="5" t="inlineStr">
        <is>
          <t>SUPPORTING /tools/core-web-vitals-checker</t>
        </is>
      </c>
    </row>
    <row r="1340">
      <c r="A1340" t="inlineStr">
        <is>
          <t>K1338</t>
        </is>
      </c>
      <c r="B1340" t="inlineStr">
        <is>
          <t>liens cassés</t>
        </is>
      </c>
      <c r="C1340" t="inlineStr">
        <is>
          <t>France</t>
        </is>
      </c>
      <c r="D1340" t="inlineStr">
        <is>
          <t>fr</t>
        </is>
      </c>
      <c r="E1340" t="inlineStr">
        <is>
          <t>fr</t>
        </is>
      </c>
      <c r="F1340" t="n">
        <v>20</v>
      </c>
      <c r="G1340" t="inlineStr">
        <is>
          <t>NOT AVAILABLE</t>
        </is>
      </c>
      <c r="H1340" t="n">
        <v>0</v>
      </c>
      <c r="I1340" t="n">
        <v>0.05</v>
      </c>
      <c r="J1340" t="inlineStr">
        <is>
          <t>NOT AVAILABLE</t>
        </is>
      </c>
      <c r="K1340" t="inlineStr">
        <is>
          <t>NOT AVAILABLE (report not requested)</t>
        </is>
      </c>
      <c r="L1340" t="inlineStr">
        <is>
          <t>stable (calc.)</t>
        </is>
      </c>
      <c r="M1340" t="inlineStr">
        <is>
          <t>MEASURED</t>
        </is>
      </c>
      <c r="N1340" s="5" t="inlineStr">
        <is>
          <t>Semrush phrase_these (live, this session)</t>
        </is>
      </c>
      <c r="O1340" t="inlineStr">
        <is>
          <t>2026-10-30</t>
        </is>
      </c>
      <c r="P1340">
        <f>IF(IF(J1340="NOT AVAILABLE","",J1340)="",12,IF(OR(ISNUMBER(SEARCH("Transactional",IF(J1340="NOT AVAILABLE","",J1340))),ISNUMBER(SEARCH("Commercial",IF(J1340="NOT AVAILABLE","",J1340)))),25,IF(ISNUMBER(SEARCH("Informational",IF(J1340="NOT AVAILABLE","",J1340))),10,IF(ISNUMBER(SEARCH("Navigational",IF(J1340="NOT AVAILABLE","",J1340))),0,12))))</f>
        <v/>
      </c>
      <c r="Q1340">
        <f>IF(ISNUMBER(F1340),MIN(30,ROUND(30*LOG10(F1340+1)/4,1)),0)</f>
        <v/>
      </c>
      <c r="R1340">
        <f>IF(ISNUMBER(G1340),ROUND(25*(100-G1340)/100,1),12.5)</f>
        <v/>
      </c>
      <c r="S1340" t="n">
        <v>14</v>
      </c>
      <c r="T1340">
        <f>ROUND(P1340+Q1340+R1340+S1340,0)</f>
        <v/>
      </c>
      <c r="U1340" s="5" t="inlineStr"/>
      <c r="V1340" s="5" t="inlineStr">
        <is>
          <t>SUPPORTING /tools/broken-link-checker</t>
        </is>
      </c>
    </row>
    <row r="1341">
      <c r="A1341" t="inlineStr">
        <is>
          <t>K1339</t>
        </is>
      </c>
      <c r="B1341" t="inlineStr">
        <is>
          <t>local business schema</t>
        </is>
      </c>
      <c r="C1341" t="inlineStr">
        <is>
          <t>France</t>
        </is>
      </c>
      <c r="D1341" t="inlineStr">
        <is>
          <t>fr</t>
        </is>
      </c>
      <c r="E1341" t="inlineStr">
        <is>
          <t>fr</t>
        </is>
      </c>
      <c r="F1341" t="n">
        <v>20</v>
      </c>
      <c r="G1341" t="inlineStr">
        <is>
          <t>NOT AVAILABLE</t>
        </is>
      </c>
      <c r="H1341" t="n">
        <v>0</v>
      </c>
      <c r="I1341" t="n">
        <v>0.01</v>
      </c>
      <c r="J1341" t="inlineStr">
        <is>
          <t>NOT AVAILABLE</t>
        </is>
      </c>
      <c r="K1341" t="inlineStr">
        <is>
          <t>NOT AVAILABLE (report not requested)</t>
        </is>
      </c>
      <c r="L1341" t="inlineStr">
        <is>
          <t>stable (calc.)</t>
        </is>
      </c>
      <c r="M1341" t="inlineStr">
        <is>
          <t>MEASURED</t>
        </is>
      </c>
      <c r="N1341" s="5" t="inlineStr">
        <is>
          <t>Semrush phrase_these (live, this session)</t>
        </is>
      </c>
      <c r="O1341" t="inlineStr">
        <is>
          <t>2026-10-30</t>
        </is>
      </c>
      <c r="P1341">
        <f>IF(IF(J1341="NOT AVAILABLE","",J1341)="",12,IF(OR(ISNUMBER(SEARCH("Transactional",IF(J1341="NOT AVAILABLE","",J1341))),ISNUMBER(SEARCH("Commercial",IF(J1341="NOT AVAILABLE","",J1341)))),25,IF(ISNUMBER(SEARCH("Informational",IF(J1341="NOT AVAILABLE","",J1341))),10,IF(ISNUMBER(SEARCH("Navigational",IF(J1341="NOT AVAILABLE","",J1341))),0,12))))</f>
        <v/>
      </c>
      <c r="Q1341">
        <f>IF(ISNUMBER(F1341),MIN(30,ROUND(30*LOG10(F1341+1)/4,1)),0)</f>
        <v/>
      </c>
      <c r="R1341">
        <f>IF(ISNUMBER(G1341),ROUND(25*(100-G1341)/100,1),12.5)</f>
        <v/>
      </c>
      <c r="S1341" t="n">
        <v>14</v>
      </c>
      <c r="T1341">
        <f>ROUND(P1341+Q1341+R1341+S1341,0)</f>
        <v/>
      </c>
      <c r="U1341" s="5" t="inlineStr"/>
      <c r="V1341" s="5" t="inlineStr">
        <is>
          <t>PRIMARY /tools/local-business-schema</t>
        </is>
      </c>
    </row>
    <row r="1342">
      <c r="A1342" t="inlineStr">
        <is>
          <t>K1340</t>
        </is>
      </c>
      <c r="B1342" t="inlineStr">
        <is>
          <t>logiciel facturation maroc</t>
        </is>
      </c>
      <c r="C1342" t="inlineStr">
        <is>
          <t>France</t>
        </is>
      </c>
      <c r="D1342" t="inlineStr">
        <is>
          <t>fr</t>
        </is>
      </c>
      <c r="E1342" t="inlineStr">
        <is>
          <t>fr</t>
        </is>
      </c>
      <c r="F1342" t="n">
        <v>20</v>
      </c>
      <c r="G1342" t="inlineStr">
        <is>
          <t>NOT AVAILABLE</t>
        </is>
      </c>
      <c r="H1342" t="n">
        <v>2.93</v>
      </c>
      <c r="I1342" t="n">
        <v>0.5</v>
      </c>
      <c r="J1342" t="inlineStr">
        <is>
          <t>NOT AVAILABLE</t>
        </is>
      </c>
      <c r="K1342" t="inlineStr">
        <is>
          <t>NOT AVAILABLE (report not requested)</t>
        </is>
      </c>
      <c r="L1342" t="inlineStr">
        <is>
          <t>stable (calc.)</t>
        </is>
      </c>
      <c r="M1342" t="inlineStr">
        <is>
          <t>MEASURED</t>
        </is>
      </c>
      <c r="N1342" s="5" t="inlineStr">
        <is>
          <t>Semrush phrase_these (live, this session)</t>
        </is>
      </c>
      <c r="O1342" t="inlineStr">
        <is>
          <t>2026-10-30</t>
        </is>
      </c>
      <c r="P1342">
        <f>IF(IF(J1342="NOT AVAILABLE","",J1342)="",12,IF(OR(ISNUMBER(SEARCH("Transactional",IF(J1342="NOT AVAILABLE","",J1342))),ISNUMBER(SEARCH("Commercial",IF(J1342="NOT AVAILABLE","",J1342)))),25,IF(ISNUMBER(SEARCH("Informational",IF(J1342="NOT AVAILABLE","",J1342))),10,IF(ISNUMBER(SEARCH("Navigational",IF(J1342="NOT AVAILABLE","",J1342))),0,12))))</f>
        <v/>
      </c>
      <c r="Q1342">
        <f>IF(ISNUMBER(F1342),MIN(30,ROUND(30*LOG10(F1342+1)/4,1)),0)</f>
        <v/>
      </c>
      <c r="R1342">
        <f>IF(ISNUMBER(G1342),ROUND(25*(100-G1342)/100,1),12.5)</f>
        <v/>
      </c>
      <c r="S1342" t="n">
        <v>14</v>
      </c>
      <c r="T1342">
        <f>ROUND(P1342+Q1342+R1342+S1342,0)</f>
        <v/>
      </c>
      <c r="U1342" s="5" t="inlineStr"/>
      <c r="V1342" s="5" t="inlineStr"/>
    </row>
    <row r="1343">
      <c r="A1343" t="inlineStr">
        <is>
          <t>K1341</t>
        </is>
      </c>
      <c r="B1343" t="inlineStr">
        <is>
          <t>meta tag generator</t>
        </is>
      </c>
      <c r="C1343" t="inlineStr">
        <is>
          <t>France</t>
        </is>
      </c>
      <c r="D1343" t="inlineStr">
        <is>
          <t>fr</t>
        </is>
      </c>
      <c r="E1343" t="inlineStr">
        <is>
          <t>fr</t>
        </is>
      </c>
      <c r="F1343" t="n">
        <v>20</v>
      </c>
      <c r="G1343" t="inlineStr">
        <is>
          <t>NOT AVAILABLE</t>
        </is>
      </c>
      <c r="H1343" t="n">
        <v>0</v>
      </c>
      <c r="I1343" t="n">
        <v>0.2</v>
      </c>
      <c r="J1343" t="inlineStr">
        <is>
          <t>NOT AVAILABLE</t>
        </is>
      </c>
      <c r="K1343" t="inlineStr">
        <is>
          <t>NOT AVAILABLE (report not requested)</t>
        </is>
      </c>
      <c r="L1343" t="inlineStr">
        <is>
          <t>stable (calc.)</t>
        </is>
      </c>
      <c r="M1343" t="inlineStr">
        <is>
          <t>MEASURED</t>
        </is>
      </c>
      <c r="N1343" s="5" t="inlineStr">
        <is>
          <t>Semrush phrase_these (live, this session)</t>
        </is>
      </c>
      <c r="O1343" t="inlineStr">
        <is>
          <t>2026-10-30</t>
        </is>
      </c>
      <c r="P1343">
        <f>IF(IF(J1343="NOT AVAILABLE","",J1343)="",12,IF(OR(ISNUMBER(SEARCH("Transactional",IF(J1343="NOT AVAILABLE","",J1343))),ISNUMBER(SEARCH("Commercial",IF(J1343="NOT AVAILABLE","",J1343)))),25,IF(ISNUMBER(SEARCH("Informational",IF(J1343="NOT AVAILABLE","",J1343))),10,IF(ISNUMBER(SEARCH("Navigational",IF(J1343="NOT AVAILABLE","",J1343))),0,12))))</f>
        <v/>
      </c>
      <c r="Q1343">
        <f>IF(ISNUMBER(F1343),MIN(30,ROUND(30*LOG10(F1343+1)/4,1)),0)</f>
        <v/>
      </c>
      <c r="R1343">
        <f>IF(ISNUMBER(G1343),ROUND(25*(100-G1343)/100,1),12.5)</f>
        <v/>
      </c>
      <c r="S1343" t="n">
        <v>14</v>
      </c>
      <c r="T1343">
        <f>ROUND(P1343+Q1343+R1343+S1343,0)</f>
        <v/>
      </c>
      <c r="U1343" s="5" t="inlineStr"/>
      <c r="V1343" s="5" t="inlineStr">
        <is>
          <t>SUPPORTING /tools/meta-tag-generator</t>
        </is>
      </c>
    </row>
    <row r="1344">
      <c r="A1344" t="inlineStr">
        <is>
          <t>K1342</t>
        </is>
      </c>
      <c r="B1344" t="inlineStr">
        <is>
          <t>nearshore maroc</t>
        </is>
      </c>
      <c r="C1344" t="inlineStr">
        <is>
          <t>France</t>
        </is>
      </c>
      <c r="D1344" t="inlineStr">
        <is>
          <t>fr</t>
        </is>
      </c>
      <c r="E1344" t="inlineStr">
        <is>
          <t>fr</t>
        </is>
      </c>
      <c r="F1344" t="n">
        <v>20</v>
      </c>
      <c r="G1344" t="inlineStr">
        <is>
          <t>NOT AVAILABLE</t>
        </is>
      </c>
      <c r="H1344" t="n">
        <v>0</v>
      </c>
      <c r="I1344" t="n">
        <v>0.21</v>
      </c>
      <c r="J1344" t="inlineStr">
        <is>
          <t>NOT AVAILABLE</t>
        </is>
      </c>
      <c r="K1344" t="inlineStr">
        <is>
          <t>NOT AVAILABLE (report not requested)</t>
        </is>
      </c>
      <c r="L1344" t="inlineStr">
        <is>
          <t>stable (calc.)</t>
        </is>
      </c>
      <c r="M1344" t="inlineStr">
        <is>
          <t>MEASURED</t>
        </is>
      </c>
      <c r="N1344" s="5" t="inlineStr">
        <is>
          <t>Semrush phrase_these (live, this session)</t>
        </is>
      </c>
      <c r="O1344" t="inlineStr">
        <is>
          <t>2026-10-30</t>
        </is>
      </c>
      <c r="P1344">
        <f>IF(IF(J1344="NOT AVAILABLE","",J1344)="",12,IF(OR(ISNUMBER(SEARCH("Transactional",IF(J1344="NOT AVAILABLE","",J1344))),ISNUMBER(SEARCH("Commercial",IF(J1344="NOT AVAILABLE","",J1344)))),25,IF(ISNUMBER(SEARCH("Informational",IF(J1344="NOT AVAILABLE","",J1344))),10,IF(ISNUMBER(SEARCH("Navigational",IF(J1344="NOT AVAILABLE","",J1344))),0,12))))</f>
        <v/>
      </c>
      <c r="Q1344">
        <f>IF(ISNUMBER(F1344),MIN(30,ROUND(30*LOG10(F1344+1)/4,1)),0)</f>
        <v/>
      </c>
      <c r="R1344">
        <f>IF(ISNUMBER(G1344),ROUND(25*(100-G1344)/100,1),12.5)</f>
        <v/>
      </c>
      <c r="S1344" t="n">
        <v>14</v>
      </c>
      <c r="T1344">
        <f>ROUND(P1344+Q1344+R1344+S1344,0)</f>
        <v/>
      </c>
      <c r="U1344" s="5" t="inlineStr"/>
      <c r="V1344" s="5" t="inlineStr">
        <is>
          <t>SUPPORTING /web-development-company/worldwide</t>
        </is>
      </c>
    </row>
    <row r="1345">
      <c r="A1345" t="inlineStr">
        <is>
          <t>K1343</t>
        </is>
      </c>
      <c r="B1345" t="inlineStr">
        <is>
          <t>offshore maroc</t>
        </is>
      </c>
      <c r="C1345" t="inlineStr">
        <is>
          <t>France</t>
        </is>
      </c>
      <c r="D1345" t="inlineStr">
        <is>
          <t>fr</t>
        </is>
      </c>
      <c r="E1345" t="inlineStr">
        <is>
          <t>fr</t>
        </is>
      </c>
      <c r="F1345" t="n">
        <v>20</v>
      </c>
      <c r="G1345" t="inlineStr">
        <is>
          <t>NOT AVAILABLE</t>
        </is>
      </c>
      <c r="H1345" t="n">
        <v>0</v>
      </c>
      <c r="I1345" t="n">
        <v>0.05</v>
      </c>
      <c r="J1345" t="inlineStr">
        <is>
          <t>NOT AVAILABLE</t>
        </is>
      </c>
      <c r="K1345" t="inlineStr">
        <is>
          <t>NOT AVAILABLE (report not requested)</t>
        </is>
      </c>
      <c r="L1345" t="inlineStr">
        <is>
          <t>stable (calc.)</t>
        </is>
      </c>
      <c r="M1345" t="inlineStr">
        <is>
          <t>MEASURED</t>
        </is>
      </c>
      <c r="N1345" s="5" t="inlineStr">
        <is>
          <t>Semrush phrase_these (live, this session)</t>
        </is>
      </c>
      <c r="O1345" t="inlineStr">
        <is>
          <t>2026-10-30</t>
        </is>
      </c>
      <c r="P1345">
        <f>IF(IF(J1345="NOT AVAILABLE","",J1345)="",12,IF(OR(ISNUMBER(SEARCH("Transactional",IF(J1345="NOT AVAILABLE","",J1345))),ISNUMBER(SEARCH("Commercial",IF(J1345="NOT AVAILABLE","",J1345)))),25,IF(ISNUMBER(SEARCH("Informational",IF(J1345="NOT AVAILABLE","",J1345))),10,IF(ISNUMBER(SEARCH("Navigational",IF(J1345="NOT AVAILABLE","",J1345))),0,12))))</f>
        <v/>
      </c>
      <c r="Q1345">
        <f>IF(ISNUMBER(F1345),MIN(30,ROUND(30*LOG10(F1345+1)/4,1)),0)</f>
        <v/>
      </c>
      <c r="R1345">
        <f>IF(ISNUMBER(G1345),ROUND(25*(100-G1345)/100,1),12.5)</f>
        <v/>
      </c>
      <c r="S1345" t="n">
        <v>14</v>
      </c>
      <c r="T1345">
        <f>ROUND(P1345+Q1345+R1345+S1345,0)</f>
        <v/>
      </c>
      <c r="U1345" s="5" t="inlineStr"/>
      <c r="V1345" s="5" t="inlineStr">
        <is>
          <t>SUPPORTING /web-development-company/worldwide</t>
        </is>
      </c>
    </row>
    <row r="1346">
      <c r="A1346" t="inlineStr">
        <is>
          <t>K1344</t>
        </is>
      </c>
      <c r="B1346" t="inlineStr">
        <is>
          <t>optimisation image seo</t>
        </is>
      </c>
      <c r="C1346" t="inlineStr">
        <is>
          <t>France</t>
        </is>
      </c>
      <c r="D1346" t="inlineStr">
        <is>
          <t>fr</t>
        </is>
      </c>
      <c r="E1346" t="inlineStr">
        <is>
          <t>fr</t>
        </is>
      </c>
      <c r="F1346" t="n">
        <v>20</v>
      </c>
      <c r="G1346" t="inlineStr">
        <is>
          <t>NOT AVAILABLE</t>
        </is>
      </c>
      <c r="H1346" t="n">
        <v>0</v>
      </c>
      <c r="I1346" t="n">
        <v>0.33</v>
      </c>
      <c r="J1346" t="inlineStr">
        <is>
          <t>NOT AVAILABLE</t>
        </is>
      </c>
      <c r="K1346" t="inlineStr">
        <is>
          <t>NOT AVAILABLE (report not requested)</t>
        </is>
      </c>
      <c r="L1346" t="inlineStr">
        <is>
          <t>stable (calc.)</t>
        </is>
      </c>
      <c r="M1346" t="inlineStr">
        <is>
          <t>MEASURED</t>
        </is>
      </c>
      <c r="N1346" s="5" t="inlineStr">
        <is>
          <t>Semrush phrase_these (live, this session)</t>
        </is>
      </c>
      <c r="O1346" t="inlineStr">
        <is>
          <t>2026-10-30</t>
        </is>
      </c>
      <c r="P1346">
        <f>IF(IF(J1346="NOT AVAILABLE","",J1346)="",12,IF(OR(ISNUMBER(SEARCH("Transactional",IF(J1346="NOT AVAILABLE","",J1346))),ISNUMBER(SEARCH("Commercial",IF(J1346="NOT AVAILABLE","",J1346)))),25,IF(ISNUMBER(SEARCH("Informational",IF(J1346="NOT AVAILABLE","",J1346))),10,IF(ISNUMBER(SEARCH("Navigational",IF(J1346="NOT AVAILABLE","",J1346))),0,12))))</f>
        <v/>
      </c>
      <c r="Q1346">
        <f>IF(ISNUMBER(F1346),MIN(30,ROUND(30*LOG10(F1346+1)/4,1)),0)</f>
        <v/>
      </c>
      <c r="R1346">
        <f>IF(ISNUMBER(G1346),ROUND(25*(100-G1346)/100,1),12.5)</f>
        <v/>
      </c>
      <c r="S1346" t="n">
        <v>14</v>
      </c>
      <c r="T1346">
        <f>ROUND(P1346+Q1346+R1346+S1346,0)</f>
        <v/>
      </c>
      <c r="U1346" s="5" t="inlineStr"/>
      <c r="V1346" s="5" t="inlineStr">
        <is>
          <t>PRIMARY /tools/image-compression-analyzer</t>
        </is>
      </c>
    </row>
    <row r="1347">
      <c r="A1347" t="inlineStr">
        <is>
          <t>K1345</t>
        </is>
      </c>
      <c r="B1347" t="inlineStr">
        <is>
          <t>plateforme de télémédecine</t>
        </is>
      </c>
      <c r="C1347" t="inlineStr">
        <is>
          <t>France</t>
        </is>
      </c>
      <c r="D1347" t="inlineStr">
        <is>
          <t>fr</t>
        </is>
      </c>
      <c r="E1347" t="inlineStr">
        <is>
          <t>fr</t>
        </is>
      </c>
      <c r="F1347" t="n">
        <v>20</v>
      </c>
      <c r="G1347" t="inlineStr">
        <is>
          <t>NOT AVAILABLE</t>
        </is>
      </c>
      <c r="H1347" t="n">
        <v>3</v>
      </c>
      <c r="I1347" t="n">
        <v>0.71</v>
      </c>
      <c r="J1347" t="inlineStr">
        <is>
          <t>NOT AVAILABLE</t>
        </is>
      </c>
      <c r="K1347" t="inlineStr">
        <is>
          <t>NOT AVAILABLE (report not requested)</t>
        </is>
      </c>
      <c r="L1347" t="inlineStr">
        <is>
          <t>stable (calc.)</t>
        </is>
      </c>
      <c r="M1347" t="inlineStr">
        <is>
          <t>MEASURED</t>
        </is>
      </c>
      <c r="N1347" s="5" t="inlineStr">
        <is>
          <t>Semrush phrase_these (live, this session)</t>
        </is>
      </c>
      <c r="O1347" t="inlineStr">
        <is>
          <t>2026-10-30</t>
        </is>
      </c>
      <c r="P1347">
        <f>IF(IF(J1347="NOT AVAILABLE","",J1347)="",12,IF(OR(ISNUMBER(SEARCH("Transactional",IF(J1347="NOT AVAILABLE","",J1347))),ISNUMBER(SEARCH("Commercial",IF(J1347="NOT AVAILABLE","",J1347)))),25,IF(ISNUMBER(SEARCH("Informational",IF(J1347="NOT AVAILABLE","",J1347))),10,IF(ISNUMBER(SEARCH("Navigational",IF(J1347="NOT AVAILABLE","",J1347))),0,12))))</f>
        <v/>
      </c>
      <c r="Q1347">
        <f>IF(ISNUMBER(F1347),MIN(30,ROUND(30*LOG10(F1347+1)/4,1)),0)</f>
        <v/>
      </c>
      <c r="R1347">
        <f>IF(ISNUMBER(G1347),ROUND(25*(100-G1347)/100,1),12.5)</f>
        <v/>
      </c>
      <c r="S1347" t="n">
        <v>14</v>
      </c>
      <c r="T1347">
        <f>ROUND(P1347+Q1347+R1347+S1347,0)</f>
        <v/>
      </c>
      <c r="U1347" s="5" t="inlineStr"/>
      <c r="V1347" s="5" t="inlineStr">
        <is>
          <t>SECONDARY /services/telemedicine-platform-development</t>
        </is>
      </c>
    </row>
    <row r="1348">
      <c r="A1348" t="inlineStr">
        <is>
          <t>K1346</t>
        </is>
      </c>
      <c r="B1348" t="inlineStr">
        <is>
          <t>réassurance site web</t>
        </is>
      </c>
      <c r="C1348" t="inlineStr">
        <is>
          <t>France</t>
        </is>
      </c>
      <c r="D1348" t="inlineStr">
        <is>
          <t>fr</t>
        </is>
      </c>
      <c r="E1348" t="inlineStr">
        <is>
          <t>fr</t>
        </is>
      </c>
      <c r="F1348" t="n">
        <v>20</v>
      </c>
      <c r="G1348" t="inlineStr">
        <is>
          <t>NOT AVAILABLE</t>
        </is>
      </c>
      <c r="H1348" t="n">
        <v>0</v>
      </c>
      <c r="I1348" t="n">
        <v>0.33</v>
      </c>
      <c r="J1348" t="inlineStr">
        <is>
          <t>NOT AVAILABLE</t>
        </is>
      </c>
      <c r="K1348" t="inlineStr">
        <is>
          <t>NOT AVAILABLE (report not requested)</t>
        </is>
      </c>
      <c r="L1348" t="inlineStr">
        <is>
          <t>stable (calc.)</t>
        </is>
      </c>
      <c r="M1348" t="inlineStr">
        <is>
          <t>MEASURED</t>
        </is>
      </c>
      <c r="N1348" s="5" t="inlineStr">
        <is>
          <t>Semrush phrase_these (live, this session)</t>
        </is>
      </c>
      <c r="O1348" t="inlineStr">
        <is>
          <t>2026-10-30</t>
        </is>
      </c>
      <c r="P1348">
        <f>IF(IF(J1348="NOT AVAILABLE","",J1348)="",12,IF(OR(ISNUMBER(SEARCH("Transactional",IF(J1348="NOT AVAILABLE","",J1348))),ISNUMBER(SEARCH("Commercial",IF(J1348="NOT AVAILABLE","",J1348)))),25,IF(ISNUMBER(SEARCH("Informational",IF(J1348="NOT AVAILABLE","",J1348))),10,IF(ISNUMBER(SEARCH("Navigational",IF(J1348="NOT AVAILABLE","",J1348))),0,12))))</f>
        <v/>
      </c>
      <c r="Q1348">
        <f>IF(ISNUMBER(F1348),MIN(30,ROUND(30*LOG10(F1348+1)/4,1)),0)</f>
        <v/>
      </c>
      <c r="R1348">
        <f>IF(ISNUMBER(G1348),ROUND(25*(100-G1348)/100,1),12.5)</f>
        <v/>
      </c>
      <c r="S1348" t="n">
        <v>14</v>
      </c>
      <c r="T1348">
        <f>ROUND(P1348+Q1348+R1348+S1348,0)</f>
        <v/>
      </c>
      <c r="U1348" s="5" t="inlineStr"/>
      <c r="V1348" s="5" t="inlineStr">
        <is>
          <t>SUPPORTING /blog/site-web-fintech-7-elements-qui-rassurent-un-visiteur</t>
        </is>
      </c>
    </row>
    <row r="1349">
      <c r="A1349" t="inlineStr">
        <is>
          <t>K1347</t>
        </is>
      </c>
      <c r="B1349" t="inlineStr">
        <is>
          <t>saas facturation</t>
        </is>
      </c>
      <c r="C1349" t="inlineStr">
        <is>
          <t>France</t>
        </is>
      </c>
      <c r="D1349" t="inlineStr">
        <is>
          <t>fr</t>
        </is>
      </c>
      <c r="E1349" t="inlineStr">
        <is>
          <t>fr</t>
        </is>
      </c>
      <c r="F1349" t="n">
        <v>20</v>
      </c>
      <c r="G1349" t="inlineStr">
        <is>
          <t>NOT AVAILABLE</t>
        </is>
      </c>
      <c r="H1349" t="n">
        <v>3.45</v>
      </c>
      <c r="I1349" t="n">
        <v>0.65</v>
      </c>
      <c r="J1349" t="inlineStr">
        <is>
          <t>NOT AVAILABLE</t>
        </is>
      </c>
      <c r="K1349" t="inlineStr">
        <is>
          <t>NOT AVAILABLE (report not requested)</t>
        </is>
      </c>
      <c r="L1349" t="inlineStr">
        <is>
          <t>declining (calc.)</t>
        </is>
      </c>
      <c r="M1349" t="inlineStr">
        <is>
          <t>MEASURED</t>
        </is>
      </c>
      <c r="N1349" s="5" t="inlineStr">
        <is>
          <t>Semrush phrase_these (live, this session)</t>
        </is>
      </c>
      <c r="O1349" t="inlineStr">
        <is>
          <t>2026-10-30</t>
        </is>
      </c>
      <c r="P1349">
        <f>IF(IF(J1349="NOT AVAILABLE","",J1349)="",12,IF(OR(ISNUMBER(SEARCH("Transactional",IF(J1349="NOT AVAILABLE","",J1349))),ISNUMBER(SEARCH("Commercial",IF(J1349="NOT AVAILABLE","",J1349)))),25,IF(ISNUMBER(SEARCH("Informational",IF(J1349="NOT AVAILABLE","",J1349))),10,IF(ISNUMBER(SEARCH("Navigational",IF(J1349="NOT AVAILABLE","",J1349))),0,12))))</f>
        <v/>
      </c>
      <c r="Q1349">
        <f>IF(ISNUMBER(F1349),MIN(30,ROUND(30*LOG10(F1349+1)/4,1)),0)</f>
        <v/>
      </c>
      <c r="R1349">
        <f>IF(ISNUMBER(G1349),ROUND(25*(100-G1349)/100,1),12.5)</f>
        <v/>
      </c>
      <c r="S1349" t="n">
        <v>14</v>
      </c>
      <c r="T1349">
        <f>ROUND(P1349+Q1349+R1349+S1349,0)</f>
        <v/>
      </c>
      <c r="U1349" s="5" t="inlineStr"/>
      <c r="V1349" s="5" t="inlineStr">
        <is>
          <t>PRIMARY /our-work/hssabek</t>
        </is>
      </c>
    </row>
    <row r="1350">
      <c r="A1350" t="inlineStr">
        <is>
          <t>K1348</t>
        </is>
      </c>
      <c r="B1350" t="inlineStr">
        <is>
          <t>saas multi tenant</t>
        </is>
      </c>
      <c r="C1350" t="inlineStr">
        <is>
          <t>France</t>
        </is>
      </c>
      <c r="D1350" t="inlineStr">
        <is>
          <t>fr</t>
        </is>
      </c>
      <c r="E1350" t="inlineStr">
        <is>
          <t>fr</t>
        </is>
      </c>
      <c r="F1350" t="n">
        <v>20</v>
      </c>
      <c r="G1350" t="inlineStr">
        <is>
          <t>NOT AVAILABLE</t>
        </is>
      </c>
      <c r="H1350" t="n">
        <v>0</v>
      </c>
      <c r="I1350" t="n">
        <v>0.16</v>
      </c>
      <c r="J1350" t="inlineStr">
        <is>
          <t>NOT AVAILABLE</t>
        </is>
      </c>
      <c r="K1350" t="inlineStr">
        <is>
          <t>NOT AVAILABLE (report not requested)</t>
        </is>
      </c>
      <c r="L1350" t="inlineStr">
        <is>
          <t>rising (calc.)</t>
        </is>
      </c>
      <c r="M1350" t="inlineStr">
        <is>
          <t>MEASURED</t>
        </is>
      </c>
      <c r="N1350" s="5" t="inlineStr">
        <is>
          <t>Semrush phrase_these (live, this session)</t>
        </is>
      </c>
      <c r="O1350" t="inlineStr">
        <is>
          <t>2026-10-30</t>
        </is>
      </c>
      <c r="P1350">
        <f>IF(IF(J1350="NOT AVAILABLE","",J1350)="",12,IF(OR(ISNUMBER(SEARCH("Transactional",IF(J1350="NOT AVAILABLE","",J1350))),ISNUMBER(SEARCH("Commercial",IF(J1350="NOT AVAILABLE","",J1350)))),25,IF(ISNUMBER(SEARCH("Informational",IF(J1350="NOT AVAILABLE","",J1350))),10,IF(ISNUMBER(SEARCH("Navigational",IF(J1350="NOT AVAILABLE","",J1350))),0,12))))</f>
        <v/>
      </c>
      <c r="Q1350">
        <f>IF(ISNUMBER(F1350),MIN(30,ROUND(30*LOG10(F1350+1)/4,1)),0)</f>
        <v/>
      </c>
      <c r="R1350">
        <f>IF(ISNUMBER(G1350),ROUND(25*(100-G1350)/100,1),12.5)</f>
        <v/>
      </c>
      <c r="S1350" t="n">
        <v>14</v>
      </c>
      <c r="T1350">
        <f>ROUND(P1350+Q1350+R1350+S1350,0)</f>
        <v/>
      </c>
      <c r="U1350" s="5" t="inlineStr"/>
      <c r="V1350" s="5" t="inlineStr">
        <is>
          <t>SUPPORTING /blog/creer-une-plateforme-saas-mvp-multi-tenant-facturation-par-ou-commencer</t>
        </is>
      </c>
    </row>
    <row r="1351">
      <c r="A1351" t="inlineStr">
        <is>
          <t>K1349</t>
        </is>
      </c>
      <c r="B1351" t="inlineStr">
        <is>
          <t>schema faq</t>
        </is>
      </c>
      <c r="C1351" t="inlineStr">
        <is>
          <t>France</t>
        </is>
      </c>
      <c r="D1351" t="inlineStr">
        <is>
          <t>fr</t>
        </is>
      </c>
      <c r="E1351" t="inlineStr">
        <is>
          <t>fr</t>
        </is>
      </c>
      <c r="F1351" t="n">
        <v>20</v>
      </c>
      <c r="G1351" t="inlineStr">
        <is>
          <t>NOT AVAILABLE</t>
        </is>
      </c>
      <c r="H1351" t="n">
        <v>0</v>
      </c>
      <c r="I1351" t="n">
        <v>0.02</v>
      </c>
      <c r="J1351" t="inlineStr">
        <is>
          <t>NOT AVAILABLE</t>
        </is>
      </c>
      <c r="K1351" t="inlineStr">
        <is>
          <t>NOT AVAILABLE (report not requested)</t>
        </is>
      </c>
      <c r="L1351" t="inlineStr">
        <is>
          <t>stable (calc.)</t>
        </is>
      </c>
      <c r="M1351" t="inlineStr">
        <is>
          <t>MEASURED</t>
        </is>
      </c>
      <c r="N1351" s="5" t="inlineStr">
        <is>
          <t>Semrush phrase_these (live, this session)</t>
        </is>
      </c>
      <c r="O1351" t="inlineStr">
        <is>
          <t>2026-10-30</t>
        </is>
      </c>
      <c r="P1351">
        <f>IF(IF(J1351="NOT AVAILABLE","",J1351)="",12,IF(OR(ISNUMBER(SEARCH("Transactional",IF(J1351="NOT AVAILABLE","",J1351))),ISNUMBER(SEARCH("Commercial",IF(J1351="NOT AVAILABLE","",J1351)))),25,IF(ISNUMBER(SEARCH("Informational",IF(J1351="NOT AVAILABLE","",J1351))),10,IF(ISNUMBER(SEARCH("Navigational",IF(J1351="NOT AVAILABLE","",J1351))),0,12))))</f>
        <v/>
      </c>
      <c r="Q1351">
        <f>IF(ISNUMBER(F1351),MIN(30,ROUND(30*LOG10(F1351+1)/4,1)),0)</f>
        <v/>
      </c>
      <c r="R1351">
        <f>IF(ISNUMBER(G1351),ROUND(25*(100-G1351)/100,1),12.5)</f>
        <v/>
      </c>
      <c r="S1351" t="n">
        <v>14</v>
      </c>
      <c r="T1351">
        <f>ROUND(P1351+Q1351+R1351+S1351,0)</f>
        <v/>
      </c>
      <c r="U1351" s="5" t="inlineStr"/>
      <c r="V1351" s="5" t="inlineStr">
        <is>
          <t>SUPPORTING /tools/faq-schema-generator</t>
        </is>
      </c>
    </row>
    <row r="1352">
      <c r="A1352" t="inlineStr">
        <is>
          <t>K1350</t>
        </is>
      </c>
      <c r="B1352" t="inlineStr">
        <is>
          <t>schema localbusiness</t>
        </is>
      </c>
      <c r="C1352" t="inlineStr">
        <is>
          <t>France</t>
        </is>
      </c>
      <c r="D1352" t="inlineStr">
        <is>
          <t>fr</t>
        </is>
      </c>
      <c r="E1352" t="inlineStr">
        <is>
          <t>fr</t>
        </is>
      </c>
      <c r="F1352" t="n">
        <v>20</v>
      </c>
      <c r="G1352" t="inlineStr">
        <is>
          <t>NOT AVAILABLE</t>
        </is>
      </c>
      <c r="H1352" t="n">
        <v>0</v>
      </c>
      <c r="I1352" t="n">
        <v>0.21</v>
      </c>
      <c r="J1352" t="inlineStr">
        <is>
          <t>NOT AVAILABLE</t>
        </is>
      </c>
      <c r="K1352" t="inlineStr">
        <is>
          <t>NOT AVAILABLE (report not requested)</t>
        </is>
      </c>
      <c r="L1352" t="inlineStr">
        <is>
          <t>rising (calc.)</t>
        </is>
      </c>
      <c r="M1352" t="inlineStr">
        <is>
          <t>MEASURED</t>
        </is>
      </c>
      <c r="N1352" s="5" t="inlineStr">
        <is>
          <t>Semrush phrase_these (live, this session)</t>
        </is>
      </c>
      <c r="O1352" t="inlineStr">
        <is>
          <t>2026-10-30</t>
        </is>
      </c>
      <c r="P1352">
        <f>IF(IF(J1352="NOT AVAILABLE","",J1352)="",12,IF(OR(ISNUMBER(SEARCH("Transactional",IF(J1352="NOT AVAILABLE","",J1352))),ISNUMBER(SEARCH("Commercial",IF(J1352="NOT AVAILABLE","",J1352)))),25,IF(ISNUMBER(SEARCH("Informational",IF(J1352="NOT AVAILABLE","",J1352))),10,IF(ISNUMBER(SEARCH("Navigational",IF(J1352="NOT AVAILABLE","",J1352))),0,12))))</f>
        <v/>
      </c>
      <c r="Q1352">
        <f>IF(ISNUMBER(F1352),MIN(30,ROUND(30*LOG10(F1352+1)/4,1)),0)</f>
        <v/>
      </c>
      <c r="R1352">
        <f>IF(ISNUMBER(G1352),ROUND(25*(100-G1352)/100,1),12.5)</f>
        <v/>
      </c>
      <c r="S1352" t="n">
        <v>14</v>
      </c>
      <c r="T1352">
        <f>ROUND(P1352+Q1352+R1352+S1352,0)</f>
        <v/>
      </c>
      <c r="U1352" s="5" t="inlineStr"/>
      <c r="V1352" s="5" t="inlineStr">
        <is>
          <t>SUPPORTING /tools/local-business-schema</t>
        </is>
      </c>
    </row>
    <row r="1353">
      <c r="A1353" t="inlineStr">
        <is>
          <t>K1351</t>
        </is>
      </c>
      <c r="B1353" t="inlineStr">
        <is>
          <t>score de lisibilité</t>
        </is>
      </c>
      <c r="C1353" t="inlineStr">
        <is>
          <t>France</t>
        </is>
      </c>
      <c r="D1353" t="inlineStr">
        <is>
          <t>fr</t>
        </is>
      </c>
      <c r="E1353" t="inlineStr">
        <is>
          <t>fr</t>
        </is>
      </c>
      <c r="F1353" t="n">
        <v>20</v>
      </c>
      <c r="G1353" t="inlineStr">
        <is>
          <t>NOT AVAILABLE</t>
        </is>
      </c>
      <c r="H1353" t="n">
        <v>0</v>
      </c>
      <c r="I1353" t="n">
        <v>0.33</v>
      </c>
      <c r="J1353" t="inlineStr">
        <is>
          <t>NOT AVAILABLE</t>
        </is>
      </c>
      <c r="K1353" t="inlineStr">
        <is>
          <t>NOT AVAILABLE (report not requested)</t>
        </is>
      </c>
      <c r="L1353" t="inlineStr">
        <is>
          <t>stable (calc.)</t>
        </is>
      </c>
      <c r="M1353" t="inlineStr">
        <is>
          <t>MEASURED</t>
        </is>
      </c>
      <c r="N1353" s="5" t="inlineStr">
        <is>
          <t>Semrush phrase_these (live, this session)</t>
        </is>
      </c>
      <c r="O1353" t="inlineStr">
        <is>
          <t>2026-10-30</t>
        </is>
      </c>
      <c r="P1353">
        <f>IF(IF(J1353="NOT AVAILABLE","",J1353)="",12,IF(OR(ISNUMBER(SEARCH("Transactional",IF(J1353="NOT AVAILABLE","",J1353))),ISNUMBER(SEARCH("Commercial",IF(J1353="NOT AVAILABLE","",J1353)))),25,IF(ISNUMBER(SEARCH("Informational",IF(J1353="NOT AVAILABLE","",J1353))),10,IF(ISNUMBER(SEARCH("Navigational",IF(J1353="NOT AVAILABLE","",J1353))),0,12))))</f>
        <v/>
      </c>
      <c r="Q1353">
        <f>IF(ISNUMBER(F1353),MIN(30,ROUND(30*LOG10(F1353+1)/4,1)),0)</f>
        <v/>
      </c>
      <c r="R1353">
        <f>IF(ISNUMBER(G1353),ROUND(25*(100-G1353)/100,1),12.5)</f>
        <v/>
      </c>
      <c r="S1353" t="n">
        <v>14</v>
      </c>
      <c r="T1353">
        <f>ROUND(P1353+Q1353+R1353+S1353,0)</f>
        <v/>
      </c>
      <c r="U1353" s="5" t="inlineStr"/>
      <c r="V1353" s="5" t="inlineStr">
        <is>
          <t>SUPPORTING /tools/readability-analyzer</t>
        </is>
      </c>
    </row>
    <row r="1354">
      <c r="A1354" t="inlineStr">
        <is>
          <t>K1352</t>
        </is>
      </c>
      <c r="B1354" t="inlineStr">
        <is>
          <t>script chatbot</t>
        </is>
      </c>
      <c r="C1354" t="inlineStr">
        <is>
          <t>France</t>
        </is>
      </c>
      <c r="D1354" t="inlineStr">
        <is>
          <t>fr</t>
        </is>
      </c>
      <c r="E1354" t="inlineStr">
        <is>
          <t>fr</t>
        </is>
      </c>
      <c r="F1354" t="n">
        <v>20</v>
      </c>
      <c r="G1354" t="inlineStr">
        <is>
          <t>NOT AVAILABLE</t>
        </is>
      </c>
      <c r="H1354" t="n">
        <v>0</v>
      </c>
      <c r="I1354" t="n">
        <v>0.71</v>
      </c>
      <c r="J1354" t="inlineStr">
        <is>
          <t>NOT AVAILABLE</t>
        </is>
      </c>
      <c r="K1354" t="inlineStr">
        <is>
          <t>NOT AVAILABLE (report not requested)</t>
        </is>
      </c>
      <c r="L1354" t="inlineStr">
        <is>
          <t>rising (calc.)</t>
        </is>
      </c>
      <c r="M1354" t="inlineStr">
        <is>
          <t>MEASURED</t>
        </is>
      </c>
      <c r="N1354" s="5" t="inlineStr">
        <is>
          <t>Semrush phrase_these (live, this session)</t>
        </is>
      </c>
      <c r="O1354" t="inlineStr">
        <is>
          <t>2026-10-30</t>
        </is>
      </c>
      <c r="P1354">
        <f>IF(IF(J1354="NOT AVAILABLE","",J1354)="",12,IF(OR(ISNUMBER(SEARCH("Transactional",IF(J1354="NOT AVAILABLE","",J1354))),ISNUMBER(SEARCH("Commercial",IF(J1354="NOT AVAILABLE","",J1354)))),25,IF(ISNUMBER(SEARCH("Informational",IF(J1354="NOT AVAILABLE","",J1354))),10,IF(ISNUMBER(SEARCH("Navigational",IF(J1354="NOT AVAILABLE","",J1354))),0,12))))</f>
        <v/>
      </c>
      <c r="Q1354">
        <f>IF(ISNUMBER(F1354),MIN(30,ROUND(30*LOG10(F1354+1)/4,1)),0)</f>
        <v/>
      </c>
      <c r="R1354">
        <f>IF(ISNUMBER(G1354),ROUND(25*(100-G1354)/100,1),12.5)</f>
        <v/>
      </c>
      <c r="S1354" t="n">
        <v>14</v>
      </c>
      <c r="T1354">
        <f>ROUND(P1354+Q1354+R1354+S1354,0)</f>
        <v/>
      </c>
      <c r="U1354" s="5" t="inlineStr"/>
      <c r="V1354" s="5" t="inlineStr">
        <is>
          <t>SUPPORTING /tools/chatbot-script-generator</t>
        </is>
      </c>
    </row>
    <row r="1355">
      <c r="A1355" t="inlineStr">
        <is>
          <t>K1353</t>
        </is>
      </c>
      <c r="B1355" t="inlineStr">
        <is>
          <t>serp preview</t>
        </is>
      </c>
      <c r="C1355" t="inlineStr">
        <is>
          <t>France</t>
        </is>
      </c>
      <c r="D1355" t="inlineStr">
        <is>
          <t>fr</t>
        </is>
      </c>
      <c r="E1355" t="inlineStr">
        <is>
          <t>fr</t>
        </is>
      </c>
      <c r="F1355" t="n">
        <v>20</v>
      </c>
      <c r="G1355" t="inlineStr">
        <is>
          <t>NOT AVAILABLE</t>
        </is>
      </c>
      <c r="H1355" t="n">
        <v>0</v>
      </c>
      <c r="I1355" t="n">
        <v>0.16</v>
      </c>
      <c r="J1355" t="inlineStr">
        <is>
          <t>NOT AVAILABLE</t>
        </is>
      </c>
      <c r="K1355" t="inlineStr">
        <is>
          <t>NOT AVAILABLE (report not requested)</t>
        </is>
      </c>
      <c r="L1355" t="inlineStr">
        <is>
          <t>stable (calc.)</t>
        </is>
      </c>
      <c r="M1355" t="inlineStr">
        <is>
          <t>MEASURED</t>
        </is>
      </c>
      <c r="N1355" s="5" t="inlineStr">
        <is>
          <t>Semrush phrase_these (live, this session)</t>
        </is>
      </c>
      <c r="O1355" t="inlineStr">
        <is>
          <t>2026-10-30</t>
        </is>
      </c>
      <c r="P1355">
        <f>IF(IF(J1355="NOT AVAILABLE","",J1355)="",12,IF(OR(ISNUMBER(SEARCH("Transactional",IF(J1355="NOT AVAILABLE","",J1355))),ISNUMBER(SEARCH("Commercial",IF(J1355="NOT AVAILABLE","",J1355)))),25,IF(ISNUMBER(SEARCH("Informational",IF(J1355="NOT AVAILABLE","",J1355))),10,IF(ISNUMBER(SEARCH("Navigational",IF(J1355="NOT AVAILABLE","",J1355))),0,12))))</f>
        <v/>
      </c>
      <c r="Q1355">
        <f>IF(ISNUMBER(F1355),MIN(30,ROUND(30*LOG10(F1355+1)/4,1)),0)</f>
        <v/>
      </c>
      <c r="R1355">
        <f>IF(ISNUMBER(G1355),ROUND(25*(100-G1355)/100,1),12.5)</f>
        <v/>
      </c>
      <c r="S1355" t="n">
        <v>14</v>
      </c>
      <c r="T1355">
        <f>ROUND(P1355+Q1355+R1355+S1355,0)</f>
        <v/>
      </c>
      <c r="U1355" s="5" t="inlineStr"/>
      <c r="V1355" s="5" t="inlineStr">
        <is>
          <t>SUPPORTING /tools/serp-snippet-preview</t>
        </is>
      </c>
    </row>
    <row r="1356">
      <c r="A1356" t="inlineStr">
        <is>
          <t>K1354</t>
        </is>
      </c>
      <c r="B1356" t="inlineStr">
        <is>
          <t>simulateur google</t>
        </is>
      </c>
      <c r="C1356" t="inlineStr">
        <is>
          <t>France</t>
        </is>
      </c>
      <c r="D1356" t="inlineStr">
        <is>
          <t>fr</t>
        </is>
      </c>
      <c r="E1356" t="inlineStr">
        <is>
          <t>fr</t>
        </is>
      </c>
      <c r="F1356" t="n">
        <v>20</v>
      </c>
      <c r="G1356" t="inlineStr">
        <is>
          <t>NOT AVAILABLE</t>
        </is>
      </c>
      <c r="H1356" t="n">
        <v>0</v>
      </c>
      <c r="I1356" t="n">
        <v>0.33</v>
      </c>
      <c r="J1356" t="inlineStr">
        <is>
          <t>NOT AVAILABLE</t>
        </is>
      </c>
      <c r="K1356" t="inlineStr">
        <is>
          <t>NOT AVAILABLE (report not requested)</t>
        </is>
      </c>
      <c r="L1356" t="inlineStr">
        <is>
          <t>stable (calc.)</t>
        </is>
      </c>
      <c r="M1356" t="inlineStr">
        <is>
          <t>MEASURED</t>
        </is>
      </c>
      <c r="N1356" s="5" t="inlineStr">
        <is>
          <t>Semrush phrase_these (live, this session)</t>
        </is>
      </c>
      <c r="O1356" t="inlineStr">
        <is>
          <t>2026-10-30</t>
        </is>
      </c>
      <c r="P1356">
        <f>IF(IF(J1356="NOT AVAILABLE","",J1356)="",12,IF(OR(ISNUMBER(SEARCH("Transactional",IF(J1356="NOT AVAILABLE","",J1356))),ISNUMBER(SEARCH("Commercial",IF(J1356="NOT AVAILABLE","",J1356)))),25,IF(ISNUMBER(SEARCH("Informational",IF(J1356="NOT AVAILABLE","",J1356))),10,IF(ISNUMBER(SEARCH("Navigational",IF(J1356="NOT AVAILABLE","",J1356))),0,12))))</f>
        <v/>
      </c>
      <c r="Q1356">
        <f>IF(ISNUMBER(F1356),MIN(30,ROUND(30*LOG10(F1356+1)/4,1)),0)</f>
        <v/>
      </c>
      <c r="R1356">
        <f>IF(ISNUMBER(G1356),ROUND(25*(100-G1356)/100,1),12.5)</f>
        <v/>
      </c>
      <c r="S1356" t="n">
        <v>14</v>
      </c>
      <c r="T1356">
        <f>ROUND(P1356+Q1356+R1356+S1356,0)</f>
        <v/>
      </c>
      <c r="U1356" s="5" t="inlineStr"/>
      <c r="V1356" s="5" t="inlineStr">
        <is>
          <t>SUPPORTING /tools/serp-snippet-preview</t>
        </is>
      </c>
    </row>
    <row r="1357">
      <c r="A1357" t="inlineStr">
        <is>
          <t>K1355</t>
        </is>
      </c>
      <c r="B1357" t="inlineStr">
        <is>
          <t>site de télémédecine</t>
        </is>
      </c>
      <c r="C1357" t="inlineStr">
        <is>
          <t>France</t>
        </is>
      </c>
      <c r="D1357" t="inlineStr">
        <is>
          <t>fr</t>
        </is>
      </c>
      <c r="E1357" t="inlineStr">
        <is>
          <t>fr</t>
        </is>
      </c>
      <c r="F1357" t="n">
        <v>20</v>
      </c>
      <c r="G1357" t="inlineStr">
        <is>
          <t>NOT AVAILABLE</t>
        </is>
      </c>
      <c r="H1357" t="n">
        <v>0</v>
      </c>
      <c r="I1357" t="n">
        <v>0.86</v>
      </c>
      <c r="J1357" t="inlineStr">
        <is>
          <t>NOT AVAILABLE</t>
        </is>
      </c>
      <c r="K1357" t="inlineStr">
        <is>
          <t>NOT AVAILABLE (report not requested)</t>
        </is>
      </c>
      <c r="L1357" t="inlineStr">
        <is>
          <t>stable (calc.)</t>
        </is>
      </c>
      <c r="M1357" t="inlineStr">
        <is>
          <t>MEASURED</t>
        </is>
      </c>
      <c r="N1357" s="5" t="inlineStr">
        <is>
          <t>Semrush phrase_these (live, this session)</t>
        </is>
      </c>
      <c r="O1357" t="inlineStr">
        <is>
          <t>2026-10-30</t>
        </is>
      </c>
      <c r="P1357">
        <f>IF(IF(J1357="NOT AVAILABLE","",J1357)="",12,IF(OR(ISNUMBER(SEARCH("Transactional",IF(J1357="NOT AVAILABLE","",J1357))),ISNUMBER(SEARCH("Commercial",IF(J1357="NOT AVAILABLE","",J1357)))),25,IF(ISNUMBER(SEARCH("Informational",IF(J1357="NOT AVAILABLE","",J1357))),10,IF(ISNUMBER(SEARCH("Navigational",IF(J1357="NOT AVAILABLE","",J1357))),0,12))))</f>
        <v/>
      </c>
      <c r="Q1357">
        <f>IF(ISNUMBER(F1357),MIN(30,ROUND(30*LOG10(F1357+1)/4,1)),0)</f>
        <v/>
      </c>
      <c r="R1357">
        <f>IF(ISNUMBER(G1357),ROUND(25*(100-G1357)/100,1),12.5)</f>
        <v/>
      </c>
      <c r="S1357" t="n">
        <v>14</v>
      </c>
      <c r="T1357">
        <f>ROUND(P1357+Q1357+R1357+S1357,0)</f>
        <v/>
      </c>
      <c r="U1357" s="5" t="inlineStr"/>
      <c r="V1357" s="5" t="inlineStr">
        <is>
          <t>PRIMARY /blog/site-web-telemedecine-cabinet-clinique-que-doit-il-contenir</t>
        </is>
      </c>
    </row>
    <row r="1358">
      <c r="A1358" t="inlineStr">
        <is>
          <t>K1356</t>
        </is>
      </c>
      <c r="B1358" t="inlineStr">
        <is>
          <t>site fintech</t>
        </is>
      </c>
      <c r="C1358" t="inlineStr">
        <is>
          <t>France</t>
        </is>
      </c>
      <c r="D1358" t="inlineStr">
        <is>
          <t>fr</t>
        </is>
      </c>
      <c r="E1358" t="inlineStr">
        <is>
          <t>fr</t>
        </is>
      </c>
      <c r="F1358" t="n">
        <v>20</v>
      </c>
      <c r="G1358" t="inlineStr">
        <is>
          <t>NOT AVAILABLE</t>
        </is>
      </c>
      <c r="H1358" t="n">
        <v>0</v>
      </c>
      <c r="I1358" t="n">
        <v>0</v>
      </c>
      <c r="J1358" t="inlineStr">
        <is>
          <t>NOT AVAILABLE</t>
        </is>
      </c>
      <c r="K1358" t="inlineStr">
        <is>
          <t>NOT AVAILABLE (report not requested)</t>
        </is>
      </c>
      <c r="L1358" t="inlineStr">
        <is>
          <t>stable (calc.)</t>
        </is>
      </c>
      <c r="M1358" t="inlineStr">
        <is>
          <t>MEASURED</t>
        </is>
      </c>
      <c r="N1358" s="5" t="inlineStr">
        <is>
          <t>Semrush phrase_these (live, this session)</t>
        </is>
      </c>
      <c r="O1358" t="inlineStr">
        <is>
          <t>2026-10-30</t>
        </is>
      </c>
      <c r="P1358">
        <f>IF(IF(J1358="NOT AVAILABLE","",J1358)="",12,IF(OR(ISNUMBER(SEARCH("Transactional",IF(J1358="NOT AVAILABLE","",J1358))),ISNUMBER(SEARCH("Commercial",IF(J1358="NOT AVAILABLE","",J1358)))),25,IF(ISNUMBER(SEARCH("Informational",IF(J1358="NOT AVAILABLE","",J1358))),10,IF(ISNUMBER(SEARCH("Navigational",IF(J1358="NOT AVAILABLE","",J1358))),0,12))))</f>
        <v/>
      </c>
      <c r="Q1358">
        <f>IF(ISNUMBER(F1358),MIN(30,ROUND(30*LOG10(F1358+1)/4,1)),0)</f>
        <v/>
      </c>
      <c r="R1358">
        <f>IF(ISNUMBER(G1358),ROUND(25*(100-G1358)/100,1),12.5)</f>
        <v/>
      </c>
      <c r="S1358" t="n">
        <v>14</v>
      </c>
      <c r="T1358">
        <f>ROUND(P1358+Q1358+R1358+S1358,0)</f>
        <v/>
      </c>
      <c r="U1358" s="5" t="inlineStr"/>
      <c r="V1358" s="5" t="inlineStr">
        <is>
          <t>SECONDARY /services/fintech-website-development</t>
        </is>
      </c>
    </row>
    <row r="1359">
      <c r="A1359" t="inlineStr">
        <is>
          <t>K1357</t>
        </is>
      </c>
      <c r="B1359" t="inlineStr">
        <is>
          <t>site web banque</t>
        </is>
      </c>
      <c r="C1359" t="inlineStr">
        <is>
          <t>France</t>
        </is>
      </c>
      <c r="D1359" t="inlineStr">
        <is>
          <t>fr</t>
        </is>
      </c>
      <c r="E1359" t="inlineStr">
        <is>
          <t>fr</t>
        </is>
      </c>
      <c r="F1359" t="n">
        <v>20</v>
      </c>
      <c r="G1359" t="inlineStr">
        <is>
          <t>NOT AVAILABLE</t>
        </is>
      </c>
      <c r="H1359" t="n">
        <v>0</v>
      </c>
      <c r="I1359" t="n">
        <v>0.57</v>
      </c>
      <c r="J1359" t="inlineStr">
        <is>
          <t>NOT AVAILABLE</t>
        </is>
      </c>
      <c r="K1359" t="inlineStr">
        <is>
          <t>NOT AVAILABLE (report not requested)</t>
        </is>
      </c>
      <c r="L1359" t="inlineStr">
        <is>
          <t>rising (calc.)</t>
        </is>
      </c>
      <c r="M1359" t="inlineStr">
        <is>
          <t>MEASURED</t>
        </is>
      </c>
      <c r="N1359" s="5" t="inlineStr">
        <is>
          <t>Semrush phrase_these (live, this session)</t>
        </is>
      </c>
      <c r="O1359" t="inlineStr">
        <is>
          <t>2026-10-30</t>
        </is>
      </c>
      <c r="P1359">
        <f>IF(IF(J1359="NOT AVAILABLE","",J1359)="",12,IF(OR(ISNUMBER(SEARCH("Transactional",IF(J1359="NOT AVAILABLE","",J1359))),ISNUMBER(SEARCH("Commercial",IF(J1359="NOT AVAILABLE","",J1359)))),25,IF(ISNUMBER(SEARCH("Informational",IF(J1359="NOT AVAILABLE","",J1359))),10,IF(ISNUMBER(SEARCH("Navigational",IF(J1359="NOT AVAILABLE","",J1359))),0,12))))</f>
        <v/>
      </c>
      <c r="Q1359">
        <f>IF(ISNUMBER(F1359),MIN(30,ROUND(30*LOG10(F1359+1)/4,1)),0)</f>
        <v/>
      </c>
      <c r="R1359">
        <f>IF(ISNUMBER(G1359),ROUND(25*(100-G1359)/100,1),12.5)</f>
        <v/>
      </c>
      <c r="S1359" t="n">
        <v>14</v>
      </c>
      <c r="T1359">
        <f>ROUND(P1359+Q1359+R1359+S1359,0)</f>
        <v/>
      </c>
      <c r="U1359" s="5" t="inlineStr"/>
      <c r="V1359" s="5" t="inlineStr">
        <is>
          <t>SUPPORTING /services/fintech-website-development</t>
        </is>
      </c>
    </row>
    <row r="1360">
      <c r="A1360" t="inlineStr">
        <is>
          <t>K1358</t>
        </is>
      </c>
      <c r="B1360" t="inlineStr">
        <is>
          <t>site web cabinet médical</t>
        </is>
      </c>
      <c r="C1360" t="inlineStr">
        <is>
          <t>France</t>
        </is>
      </c>
      <c r="D1360" t="inlineStr">
        <is>
          <t>fr</t>
        </is>
      </c>
      <c r="E1360" t="inlineStr">
        <is>
          <t>fr</t>
        </is>
      </c>
      <c r="F1360" t="n">
        <v>20</v>
      </c>
      <c r="G1360" t="inlineStr">
        <is>
          <t>NOT AVAILABLE</t>
        </is>
      </c>
      <c r="H1360" t="n">
        <v>0</v>
      </c>
      <c r="I1360" t="n">
        <v>0.71</v>
      </c>
      <c r="J1360" t="inlineStr">
        <is>
          <t>NOT AVAILABLE</t>
        </is>
      </c>
      <c r="K1360" t="inlineStr">
        <is>
          <t>NOT AVAILABLE (report not requested)</t>
        </is>
      </c>
      <c r="L1360" t="inlineStr">
        <is>
          <t>stable (calc.)</t>
        </is>
      </c>
      <c r="M1360" t="inlineStr">
        <is>
          <t>MEASURED</t>
        </is>
      </c>
      <c r="N1360" s="5" t="inlineStr">
        <is>
          <t>Semrush phrase_these (live, this session)</t>
        </is>
      </c>
      <c r="O1360" t="inlineStr">
        <is>
          <t>2026-10-30</t>
        </is>
      </c>
      <c r="P1360">
        <f>IF(IF(J1360="NOT AVAILABLE","",J1360)="",12,IF(OR(ISNUMBER(SEARCH("Transactional",IF(J1360="NOT AVAILABLE","",J1360))),ISNUMBER(SEARCH("Commercial",IF(J1360="NOT AVAILABLE","",J1360)))),25,IF(ISNUMBER(SEARCH("Informational",IF(J1360="NOT AVAILABLE","",J1360))),10,IF(ISNUMBER(SEARCH("Navigational",IF(J1360="NOT AVAILABLE","",J1360))),0,12))))</f>
        <v/>
      </c>
      <c r="Q1360">
        <f>IF(ISNUMBER(F1360),MIN(30,ROUND(30*LOG10(F1360+1)/4,1)),0)</f>
        <v/>
      </c>
      <c r="R1360">
        <f>IF(ISNUMBER(G1360),ROUND(25*(100-G1360)/100,1),12.5)</f>
        <v/>
      </c>
      <c r="S1360" t="n">
        <v>14</v>
      </c>
      <c r="T1360">
        <f>ROUND(P1360+Q1360+R1360+S1360,0)</f>
        <v/>
      </c>
      <c r="U1360" s="5" t="inlineStr"/>
      <c r="V1360" s="5" t="inlineStr">
        <is>
          <t>NOT RECOMMENDED /services/healthcare-website-development; PRIMARY /services/telemedicine-website-development; NOT RECOMMENDED /blog/site-web-telemedecine-cabinet-clinique-que-doit-il-contenir</t>
        </is>
      </c>
    </row>
    <row r="1361">
      <c r="A1361" t="inlineStr">
        <is>
          <t>K1359</t>
        </is>
      </c>
      <c r="B1361" t="inlineStr">
        <is>
          <t>site web centre de formation</t>
        </is>
      </c>
      <c r="C1361" t="inlineStr">
        <is>
          <t>France</t>
        </is>
      </c>
      <c r="D1361" t="inlineStr">
        <is>
          <t>fr</t>
        </is>
      </c>
      <c r="E1361" t="inlineStr">
        <is>
          <t>fr</t>
        </is>
      </c>
      <c r="F1361" t="n">
        <v>20</v>
      </c>
      <c r="G1361" t="inlineStr">
        <is>
          <t>NOT AVAILABLE</t>
        </is>
      </c>
      <c r="H1361" t="n">
        <v>0</v>
      </c>
      <c r="I1361" t="n">
        <v>0.62</v>
      </c>
      <c r="J1361" t="inlineStr">
        <is>
          <t>NOT AVAILABLE</t>
        </is>
      </c>
      <c r="K1361" t="inlineStr">
        <is>
          <t>NOT AVAILABLE (report not requested)</t>
        </is>
      </c>
      <c r="L1361" t="inlineStr">
        <is>
          <t>rising (calc.)</t>
        </is>
      </c>
      <c r="M1361" t="inlineStr">
        <is>
          <t>MEASURED</t>
        </is>
      </c>
      <c r="N1361" s="5" t="inlineStr">
        <is>
          <t>Semrush phrase_these (live, this session)</t>
        </is>
      </c>
      <c r="O1361" t="inlineStr">
        <is>
          <t>2026-10-30</t>
        </is>
      </c>
      <c r="P1361">
        <f>IF(IF(J1361="NOT AVAILABLE","",J1361)="",12,IF(OR(ISNUMBER(SEARCH("Transactional",IF(J1361="NOT AVAILABLE","",J1361))),ISNUMBER(SEARCH("Commercial",IF(J1361="NOT AVAILABLE","",J1361)))),25,IF(ISNUMBER(SEARCH("Informational",IF(J1361="NOT AVAILABLE","",J1361))),10,IF(ISNUMBER(SEARCH("Navigational",IF(J1361="NOT AVAILABLE","",J1361))),0,12))))</f>
        <v/>
      </c>
      <c r="Q1361">
        <f>IF(ISNUMBER(F1361),MIN(30,ROUND(30*LOG10(F1361+1)/4,1)),0)</f>
        <v/>
      </c>
      <c r="R1361">
        <f>IF(ISNUMBER(G1361),ROUND(25*(100-G1361)/100,1),12.5)</f>
        <v/>
      </c>
      <c r="S1361" t="n">
        <v>14</v>
      </c>
      <c r="T1361">
        <f>ROUND(P1361+Q1361+R1361+S1361,0)</f>
        <v/>
      </c>
      <c r="U1361" s="5" t="inlineStr"/>
      <c r="V1361" s="5" t="inlineStr">
        <is>
          <t>SECONDARY /services/education-website-development</t>
        </is>
      </c>
    </row>
    <row r="1362">
      <c r="A1362" t="inlineStr">
        <is>
          <t>K1360</t>
        </is>
      </c>
      <c r="B1362" t="inlineStr">
        <is>
          <t>site web clinique</t>
        </is>
      </c>
      <c r="C1362" t="inlineStr">
        <is>
          <t>France</t>
        </is>
      </c>
      <c r="D1362" t="inlineStr">
        <is>
          <t>fr</t>
        </is>
      </c>
      <c r="E1362" t="inlineStr">
        <is>
          <t>fr</t>
        </is>
      </c>
      <c r="F1362" t="n">
        <v>20</v>
      </c>
      <c r="G1362" t="inlineStr">
        <is>
          <t>NOT AVAILABLE</t>
        </is>
      </c>
      <c r="H1362" t="n">
        <v>0</v>
      </c>
      <c r="I1362" t="n">
        <v>0.52</v>
      </c>
      <c r="J1362" t="inlineStr">
        <is>
          <t>NOT AVAILABLE</t>
        </is>
      </c>
      <c r="K1362" t="inlineStr">
        <is>
          <t>NOT AVAILABLE (report not requested)</t>
        </is>
      </c>
      <c r="L1362" t="inlineStr">
        <is>
          <t>stable (calc.)</t>
        </is>
      </c>
      <c r="M1362" t="inlineStr">
        <is>
          <t>MEASURED</t>
        </is>
      </c>
      <c r="N1362" s="5" t="inlineStr">
        <is>
          <t>Semrush phrase_these (live, this session)</t>
        </is>
      </c>
      <c r="O1362" t="inlineStr">
        <is>
          <t>2026-10-30</t>
        </is>
      </c>
      <c r="P1362">
        <f>IF(IF(J1362="NOT AVAILABLE","",J1362)="",12,IF(OR(ISNUMBER(SEARCH("Transactional",IF(J1362="NOT AVAILABLE","",J1362))),ISNUMBER(SEARCH("Commercial",IF(J1362="NOT AVAILABLE","",J1362)))),25,IF(ISNUMBER(SEARCH("Informational",IF(J1362="NOT AVAILABLE","",J1362))),10,IF(ISNUMBER(SEARCH("Navigational",IF(J1362="NOT AVAILABLE","",J1362))),0,12))))</f>
        <v/>
      </c>
      <c r="Q1362">
        <f>IF(ISNUMBER(F1362),MIN(30,ROUND(30*LOG10(F1362+1)/4,1)),0)</f>
        <v/>
      </c>
      <c r="R1362">
        <f>IF(ISNUMBER(G1362),ROUND(25*(100-G1362)/100,1),12.5)</f>
        <v/>
      </c>
      <c r="S1362" t="n">
        <v>14</v>
      </c>
      <c r="T1362">
        <f>ROUND(P1362+Q1362+R1362+S1362,0)</f>
        <v/>
      </c>
      <c r="U1362" s="5" t="inlineStr"/>
      <c r="V1362" s="5" t="inlineStr"/>
    </row>
    <row r="1363">
      <c r="A1363" t="inlineStr">
        <is>
          <t>K1361</t>
        </is>
      </c>
      <c r="B1363" t="inlineStr">
        <is>
          <t>site web université</t>
        </is>
      </c>
      <c r="C1363" t="inlineStr">
        <is>
          <t>France</t>
        </is>
      </c>
      <c r="D1363" t="inlineStr">
        <is>
          <t>fr</t>
        </is>
      </c>
      <c r="E1363" t="inlineStr">
        <is>
          <t>fr</t>
        </is>
      </c>
      <c r="F1363" t="n">
        <v>20</v>
      </c>
      <c r="G1363" t="inlineStr">
        <is>
          <t>NOT AVAILABLE</t>
        </is>
      </c>
      <c r="H1363" t="n">
        <v>0</v>
      </c>
      <c r="I1363" t="n">
        <v>0.04</v>
      </c>
      <c r="J1363" t="inlineStr">
        <is>
          <t>NOT AVAILABLE</t>
        </is>
      </c>
      <c r="K1363" t="inlineStr">
        <is>
          <t>NOT AVAILABLE (report not requested)</t>
        </is>
      </c>
      <c r="L1363" t="inlineStr">
        <is>
          <t>stable (calc.)</t>
        </is>
      </c>
      <c r="M1363" t="inlineStr">
        <is>
          <t>MEASURED</t>
        </is>
      </c>
      <c r="N1363" s="5" t="inlineStr">
        <is>
          <t>Semrush phrase_these (live, this session)</t>
        </is>
      </c>
      <c r="O1363" t="inlineStr">
        <is>
          <t>2026-10-30</t>
        </is>
      </c>
      <c r="P1363">
        <f>IF(IF(J1363="NOT AVAILABLE","",J1363)="",12,IF(OR(ISNUMBER(SEARCH("Transactional",IF(J1363="NOT AVAILABLE","",J1363))),ISNUMBER(SEARCH("Commercial",IF(J1363="NOT AVAILABLE","",J1363)))),25,IF(ISNUMBER(SEARCH("Informational",IF(J1363="NOT AVAILABLE","",J1363))),10,IF(ISNUMBER(SEARCH("Navigational",IF(J1363="NOT AVAILABLE","",J1363))),0,12))))</f>
        <v/>
      </c>
      <c r="Q1363">
        <f>IF(ISNUMBER(F1363),MIN(30,ROUND(30*LOG10(F1363+1)/4,1)),0)</f>
        <v/>
      </c>
      <c r="R1363">
        <f>IF(ISNUMBER(G1363),ROUND(25*(100-G1363)/100,1),12.5)</f>
        <v/>
      </c>
      <c r="S1363" t="n">
        <v>14</v>
      </c>
      <c r="T1363">
        <f>ROUND(P1363+Q1363+R1363+S1363,0)</f>
        <v/>
      </c>
      <c r="U1363" s="5" t="inlineStr"/>
      <c r="V1363" s="5" t="inlineStr">
        <is>
          <t>PRIMARY /services/university-website-development</t>
        </is>
      </c>
    </row>
    <row r="1364">
      <c r="A1364" t="inlineStr">
        <is>
          <t>K1362</t>
        </is>
      </c>
      <c r="B1364" t="inlineStr">
        <is>
          <t>test compatibilité mobile</t>
        </is>
      </c>
      <c r="C1364" t="inlineStr">
        <is>
          <t>France</t>
        </is>
      </c>
      <c r="D1364" t="inlineStr">
        <is>
          <t>fr</t>
        </is>
      </c>
      <c r="E1364" t="inlineStr">
        <is>
          <t>fr</t>
        </is>
      </c>
      <c r="F1364" t="n">
        <v>20</v>
      </c>
      <c r="G1364" t="inlineStr">
        <is>
          <t>NOT AVAILABLE</t>
        </is>
      </c>
      <c r="H1364" t="n">
        <v>0</v>
      </c>
      <c r="I1364" t="n">
        <v>0.33</v>
      </c>
      <c r="J1364" t="inlineStr">
        <is>
          <t>NOT AVAILABLE</t>
        </is>
      </c>
      <c r="K1364" t="inlineStr">
        <is>
          <t>NOT AVAILABLE (report not requested)</t>
        </is>
      </c>
      <c r="L1364" t="inlineStr">
        <is>
          <t>stable (calc.)</t>
        </is>
      </c>
      <c r="M1364" t="inlineStr">
        <is>
          <t>MEASURED</t>
        </is>
      </c>
      <c r="N1364" s="5" t="inlineStr">
        <is>
          <t>Semrush phrase_these (live, this session)</t>
        </is>
      </c>
      <c r="O1364" t="inlineStr">
        <is>
          <t>2026-10-30</t>
        </is>
      </c>
      <c r="P1364">
        <f>IF(IF(J1364="NOT AVAILABLE","",J1364)="",12,IF(OR(ISNUMBER(SEARCH("Transactional",IF(J1364="NOT AVAILABLE","",J1364))),ISNUMBER(SEARCH("Commercial",IF(J1364="NOT AVAILABLE","",J1364)))),25,IF(ISNUMBER(SEARCH("Informational",IF(J1364="NOT AVAILABLE","",J1364))),10,IF(ISNUMBER(SEARCH("Navigational",IF(J1364="NOT AVAILABLE","",J1364))),0,12))))</f>
        <v/>
      </c>
      <c r="Q1364">
        <f>IF(ISNUMBER(F1364),MIN(30,ROUND(30*LOG10(F1364+1)/4,1)),0)</f>
        <v/>
      </c>
      <c r="R1364">
        <f>IF(ISNUMBER(G1364),ROUND(25*(100-G1364)/100,1),12.5)</f>
        <v/>
      </c>
      <c r="S1364" t="n">
        <v>14</v>
      </c>
      <c r="T1364">
        <f>ROUND(P1364+Q1364+R1364+S1364,0)</f>
        <v/>
      </c>
      <c r="U1364" s="5" t="inlineStr"/>
      <c r="V1364" s="5" t="inlineStr">
        <is>
          <t>SUPPORTING /tools/mobile-friendly-test</t>
        </is>
      </c>
    </row>
    <row r="1365">
      <c r="A1365" t="inlineStr">
        <is>
          <t>K1363</t>
        </is>
      </c>
      <c r="B1365" t="inlineStr">
        <is>
          <t>test lisibilité</t>
        </is>
      </c>
      <c r="C1365" t="inlineStr">
        <is>
          <t>France</t>
        </is>
      </c>
      <c r="D1365" t="inlineStr">
        <is>
          <t>fr</t>
        </is>
      </c>
      <c r="E1365" t="inlineStr">
        <is>
          <t>fr</t>
        </is>
      </c>
      <c r="F1365" t="n">
        <v>20</v>
      </c>
      <c r="G1365" t="inlineStr">
        <is>
          <t>NOT AVAILABLE</t>
        </is>
      </c>
      <c r="H1365" t="n">
        <v>0</v>
      </c>
      <c r="I1365" t="n">
        <v>0.33</v>
      </c>
      <c r="J1365" t="inlineStr">
        <is>
          <t>NOT AVAILABLE</t>
        </is>
      </c>
      <c r="K1365" t="inlineStr">
        <is>
          <t>NOT AVAILABLE (report not requested)</t>
        </is>
      </c>
      <c r="L1365" t="inlineStr">
        <is>
          <t>stable (calc.)</t>
        </is>
      </c>
      <c r="M1365" t="inlineStr">
        <is>
          <t>MEASURED</t>
        </is>
      </c>
      <c r="N1365" s="5" t="inlineStr">
        <is>
          <t>Semrush phrase_these (live, this session)</t>
        </is>
      </c>
      <c r="O1365" t="inlineStr">
        <is>
          <t>2026-10-30</t>
        </is>
      </c>
      <c r="P1365">
        <f>IF(IF(J1365="NOT AVAILABLE","",J1365)="",12,IF(OR(ISNUMBER(SEARCH("Transactional",IF(J1365="NOT AVAILABLE","",J1365))),ISNUMBER(SEARCH("Commercial",IF(J1365="NOT AVAILABLE","",J1365)))),25,IF(ISNUMBER(SEARCH("Informational",IF(J1365="NOT AVAILABLE","",J1365))),10,IF(ISNUMBER(SEARCH("Navigational",IF(J1365="NOT AVAILABLE","",J1365))),0,12))))</f>
        <v/>
      </c>
      <c r="Q1365">
        <f>IF(ISNUMBER(F1365),MIN(30,ROUND(30*LOG10(F1365+1)/4,1)),0)</f>
        <v/>
      </c>
      <c r="R1365">
        <f>IF(ISNUMBER(G1365),ROUND(25*(100-G1365)/100,1),12.5)</f>
        <v/>
      </c>
      <c r="S1365" t="n">
        <v>14</v>
      </c>
      <c r="T1365">
        <f>ROUND(P1365+Q1365+R1365+S1365,0)</f>
        <v/>
      </c>
      <c r="U1365" s="5" t="inlineStr"/>
      <c r="V1365" s="5" t="inlineStr">
        <is>
          <t>PRIMARY /tools/readability-analyzer</t>
        </is>
      </c>
    </row>
    <row r="1366">
      <c r="A1366" t="inlineStr">
        <is>
          <t>K1364</t>
        </is>
      </c>
      <c r="B1366" t="inlineStr">
        <is>
          <t>tjm développeur web</t>
        </is>
      </c>
      <c r="C1366" t="inlineStr">
        <is>
          <t>France</t>
        </is>
      </c>
      <c r="D1366" t="inlineStr">
        <is>
          <t>fr</t>
        </is>
      </c>
      <c r="E1366" t="inlineStr">
        <is>
          <t>fr</t>
        </is>
      </c>
      <c r="F1366" t="n">
        <v>20</v>
      </c>
      <c r="G1366" t="inlineStr">
        <is>
          <t>NOT AVAILABLE</t>
        </is>
      </c>
      <c r="H1366" t="n">
        <v>0</v>
      </c>
      <c r="I1366" t="n">
        <v>0.17</v>
      </c>
      <c r="J1366" t="inlineStr">
        <is>
          <t>NOT AVAILABLE</t>
        </is>
      </c>
      <c r="K1366" t="inlineStr">
        <is>
          <t>NOT AVAILABLE (report not requested)</t>
        </is>
      </c>
      <c r="L1366" t="inlineStr">
        <is>
          <t>stable (calc.)</t>
        </is>
      </c>
      <c r="M1366" t="inlineStr">
        <is>
          <t>MEASURED</t>
        </is>
      </c>
      <c r="N1366" s="5" t="inlineStr">
        <is>
          <t>Semrush phrase_these (live, this session)</t>
        </is>
      </c>
      <c r="O1366" t="inlineStr">
        <is>
          <t>2026-10-30</t>
        </is>
      </c>
      <c r="P1366">
        <f>IF(IF(J1366="NOT AVAILABLE","",J1366)="",12,IF(OR(ISNUMBER(SEARCH("Transactional",IF(J1366="NOT AVAILABLE","",J1366))),ISNUMBER(SEARCH("Commercial",IF(J1366="NOT AVAILABLE","",J1366)))),25,IF(ISNUMBER(SEARCH("Informational",IF(J1366="NOT AVAILABLE","",J1366))),10,IF(ISNUMBER(SEARCH("Navigational",IF(J1366="NOT AVAILABLE","",J1366))),0,12))))</f>
        <v/>
      </c>
      <c r="Q1366">
        <f>IF(ISNUMBER(F1366),MIN(30,ROUND(30*LOG10(F1366+1)/4,1)),0)</f>
        <v/>
      </c>
      <c r="R1366">
        <f>IF(ISNUMBER(G1366),ROUND(25*(100-G1366)/100,1),12.5)</f>
        <v/>
      </c>
      <c r="S1366" t="n">
        <v>14</v>
      </c>
      <c r="T1366">
        <f>ROUND(P1366+Q1366+R1366+S1366,0)</f>
        <v/>
      </c>
      <c r="U1366" s="5" t="inlineStr"/>
      <c r="V1366" s="5" t="inlineStr"/>
    </row>
    <row r="1367">
      <c r="A1367" t="inlineStr">
        <is>
          <t>K1365</t>
        </is>
      </c>
      <c r="B1367" t="inlineStr">
        <is>
          <t>téléconsultation site</t>
        </is>
      </c>
      <c r="C1367" t="inlineStr">
        <is>
          <t>France</t>
        </is>
      </c>
      <c r="D1367" t="inlineStr">
        <is>
          <t>fr</t>
        </is>
      </c>
      <c r="E1367" t="inlineStr">
        <is>
          <t>fr</t>
        </is>
      </c>
      <c r="F1367" t="n">
        <v>20</v>
      </c>
      <c r="G1367" t="inlineStr">
        <is>
          <t>NOT AVAILABLE</t>
        </is>
      </c>
      <c r="H1367" t="n">
        <v>0</v>
      </c>
      <c r="I1367" t="n">
        <v>0.79</v>
      </c>
      <c r="J1367" t="inlineStr">
        <is>
          <t>NOT AVAILABLE</t>
        </is>
      </c>
      <c r="K1367" t="inlineStr">
        <is>
          <t>NOT AVAILABLE (report not requested)</t>
        </is>
      </c>
      <c r="L1367" t="inlineStr">
        <is>
          <t>stable (calc.)</t>
        </is>
      </c>
      <c r="M1367" t="inlineStr">
        <is>
          <t>MEASURED</t>
        </is>
      </c>
      <c r="N1367" s="5" t="inlineStr">
        <is>
          <t>Semrush phrase_these (live, this session)</t>
        </is>
      </c>
      <c r="O1367" t="inlineStr">
        <is>
          <t>2026-10-30</t>
        </is>
      </c>
      <c r="P1367">
        <f>IF(IF(J1367="NOT AVAILABLE","",J1367)="",12,IF(OR(ISNUMBER(SEARCH("Transactional",IF(J1367="NOT AVAILABLE","",J1367))),ISNUMBER(SEARCH("Commercial",IF(J1367="NOT AVAILABLE","",J1367)))),25,IF(ISNUMBER(SEARCH("Informational",IF(J1367="NOT AVAILABLE","",J1367))),10,IF(ISNUMBER(SEARCH("Navigational",IF(J1367="NOT AVAILABLE","",J1367))),0,12))))</f>
        <v/>
      </c>
      <c r="Q1367">
        <f>IF(ISNUMBER(F1367),MIN(30,ROUND(30*LOG10(F1367+1)/4,1)),0)</f>
        <v/>
      </c>
      <c r="R1367">
        <f>IF(ISNUMBER(G1367),ROUND(25*(100-G1367)/100,1),12.5)</f>
        <v/>
      </c>
      <c r="S1367" t="n">
        <v>14</v>
      </c>
      <c r="T1367">
        <f>ROUND(P1367+Q1367+R1367+S1367,0)</f>
        <v/>
      </c>
      <c r="U1367" s="5" t="inlineStr"/>
      <c r="V1367" s="5" t="inlineStr">
        <is>
          <t>SUPPORTING /blog/site-web-telemedecine-cabinet-clinique-que-doit-il-contenir</t>
        </is>
      </c>
    </row>
    <row r="1368">
      <c r="A1368" t="inlineStr">
        <is>
          <t>K1366</t>
        </is>
      </c>
      <c r="B1368" t="inlineStr">
        <is>
          <t>vérifier contenu dupliqué</t>
        </is>
      </c>
      <c r="C1368" t="inlineStr">
        <is>
          <t>France</t>
        </is>
      </c>
      <c r="D1368" t="inlineStr">
        <is>
          <t>fr</t>
        </is>
      </c>
      <c r="E1368" t="inlineStr">
        <is>
          <t>fr</t>
        </is>
      </c>
      <c r="F1368" t="n">
        <v>20</v>
      </c>
      <c r="G1368" t="inlineStr">
        <is>
          <t>NOT AVAILABLE</t>
        </is>
      </c>
      <c r="H1368" t="n">
        <v>0</v>
      </c>
      <c r="I1368" t="n">
        <v>0.33</v>
      </c>
      <c r="J1368" t="inlineStr">
        <is>
          <t>NOT AVAILABLE</t>
        </is>
      </c>
      <c r="K1368" t="inlineStr">
        <is>
          <t>NOT AVAILABLE (report not requested)</t>
        </is>
      </c>
      <c r="L1368" t="inlineStr">
        <is>
          <t>stable (calc.)</t>
        </is>
      </c>
      <c r="M1368" t="inlineStr">
        <is>
          <t>MEASURED</t>
        </is>
      </c>
      <c r="N1368" s="5" t="inlineStr">
        <is>
          <t>Semrush phrase_these (live, this session)</t>
        </is>
      </c>
      <c r="O1368" t="inlineStr">
        <is>
          <t>2026-10-30</t>
        </is>
      </c>
      <c r="P1368">
        <f>IF(IF(J1368="NOT AVAILABLE","",J1368)="",12,IF(OR(ISNUMBER(SEARCH("Transactional",IF(J1368="NOT AVAILABLE","",J1368))),ISNUMBER(SEARCH("Commercial",IF(J1368="NOT AVAILABLE","",J1368)))),25,IF(ISNUMBER(SEARCH("Informational",IF(J1368="NOT AVAILABLE","",J1368))),10,IF(ISNUMBER(SEARCH("Navigational",IF(J1368="NOT AVAILABLE","",J1368))),0,12))))</f>
        <v/>
      </c>
      <c r="Q1368">
        <f>IF(ISNUMBER(F1368),MIN(30,ROUND(30*LOG10(F1368+1)/4,1)),0)</f>
        <v/>
      </c>
      <c r="R1368">
        <f>IF(ISNUMBER(G1368),ROUND(25*(100-G1368)/100,1),12.5)</f>
        <v/>
      </c>
      <c r="S1368" t="n">
        <v>14</v>
      </c>
      <c r="T1368">
        <f>ROUND(P1368+Q1368+R1368+S1368,0)</f>
        <v/>
      </c>
      <c r="U1368" s="5" t="inlineStr"/>
      <c r="V1368" s="5" t="inlineStr">
        <is>
          <t>SUPPORTING /tools/duplicate-content-checker</t>
        </is>
      </c>
    </row>
    <row r="1369">
      <c r="A1369" t="inlineStr">
        <is>
          <t>K1367</t>
        </is>
      </c>
      <c r="B1369" t="inlineStr">
        <is>
          <t>vérifier dns</t>
        </is>
      </c>
      <c r="C1369" t="inlineStr">
        <is>
          <t>France</t>
        </is>
      </c>
      <c r="D1369" t="inlineStr">
        <is>
          <t>fr</t>
        </is>
      </c>
      <c r="E1369" t="inlineStr">
        <is>
          <t>fr</t>
        </is>
      </c>
      <c r="F1369" t="n">
        <v>20</v>
      </c>
      <c r="G1369" t="inlineStr">
        <is>
          <t>NOT AVAILABLE</t>
        </is>
      </c>
      <c r="H1369" t="n">
        <v>0</v>
      </c>
      <c r="I1369" t="n">
        <v>0.07000000000000001</v>
      </c>
      <c r="J1369" t="inlineStr">
        <is>
          <t>NOT AVAILABLE</t>
        </is>
      </c>
      <c r="K1369" t="inlineStr">
        <is>
          <t>NOT AVAILABLE (report not requested)</t>
        </is>
      </c>
      <c r="L1369" t="inlineStr">
        <is>
          <t>stable (calc.)</t>
        </is>
      </c>
      <c r="M1369" t="inlineStr">
        <is>
          <t>MEASURED</t>
        </is>
      </c>
      <c r="N1369" s="5" t="inlineStr">
        <is>
          <t>Semrush phrase_these (live, this session)</t>
        </is>
      </c>
      <c r="O1369" t="inlineStr">
        <is>
          <t>2026-10-30</t>
        </is>
      </c>
      <c r="P1369">
        <f>IF(IF(J1369="NOT AVAILABLE","",J1369)="",12,IF(OR(ISNUMBER(SEARCH("Transactional",IF(J1369="NOT AVAILABLE","",J1369))),ISNUMBER(SEARCH("Commercial",IF(J1369="NOT AVAILABLE","",J1369)))),25,IF(ISNUMBER(SEARCH("Informational",IF(J1369="NOT AVAILABLE","",J1369))),10,IF(ISNUMBER(SEARCH("Navigational",IF(J1369="NOT AVAILABLE","",J1369))),0,12))))</f>
        <v/>
      </c>
      <c r="Q1369">
        <f>IF(ISNUMBER(F1369),MIN(30,ROUND(30*LOG10(F1369+1)/4,1)),0)</f>
        <v/>
      </c>
      <c r="R1369">
        <f>IF(ISNUMBER(G1369),ROUND(25*(100-G1369)/100,1),12.5)</f>
        <v/>
      </c>
      <c r="S1369" t="n">
        <v>14</v>
      </c>
      <c r="T1369">
        <f>ROUND(P1369+Q1369+R1369+S1369,0)</f>
        <v/>
      </c>
      <c r="U1369" s="5" t="inlineStr"/>
      <c r="V1369" s="5" t="inlineStr">
        <is>
          <t>SUPPORTING /tools/domain-health-checker</t>
        </is>
      </c>
    </row>
    <row r="1370">
      <c r="A1370" t="inlineStr">
        <is>
          <t>K1368</t>
        </is>
      </c>
      <c r="B1370" t="inlineStr">
        <is>
          <t>vérifier sitemap</t>
        </is>
      </c>
      <c r="C1370" t="inlineStr">
        <is>
          <t>France</t>
        </is>
      </c>
      <c r="D1370" t="inlineStr">
        <is>
          <t>fr</t>
        </is>
      </c>
      <c r="E1370" t="inlineStr">
        <is>
          <t>fr</t>
        </is>
      </c>
      <c r="F1370" t="n">
        <v>20</v>
      </c>
      <c r="G1370" t="inlineStr">
        <is>
          <t>NOT AVAILABLE</t>
        </is>
      </c>
      <c r="H1370" t="n">
        <v>0</v>
      </c>
      <c r="I1370" t="n">
        <v>0.33</v>
      </c>
      <c r="J1370" t="inlineStr">
        <is>
          <t>NOT AVAILABLE</t>
        </is>
      </c>
      <c r="K1370" t="inlineStr">
        <is>
          <t>NOT AVAILABLE (report not requested)</t>
        </is>
      </c>
      <c r="L1370" t="inlineStr">
        <is>
          <t>stable (calc.)</t>
        </is>
      </c>
      <c r="M1370" t="inlineStr">
        <is>
          <t>MEASURED</t>
        </is>
      </c>
      <c r="N1370" s="5" t="inlineStr">
        <is>
          <t>Semrush phrase_these (live, this session)</t>
        </is>
      </c>
      <c r="O1370" t="inlineStr">
        <is>
          <t>2026-10-30</t>
        </is>
      </c>
      <c r="P1370">
        <f>IF(IF(J1370="NOT AVAILABLE","",J1370)="",12,IF(OR(ISNUMBER(SEARCH("Transactional",IF(J1370="NOT AVAILABLE","",J1370))),ISNUMBER(SEARCH("Commercial",IF(J1370="NOT AVAILABLE","",J1370)))),25,IF(ISNUMBER(SEARCH("Informational",IF(J1370="NOT AVAILABLE","",J1370))),10,IF(ISNUMBER(SEARCH("Navigational",IF(J1370="NOT AVAILABLE","",J1370))),0,12))))</f>
        <v/>
      </c>
      <c r="Q1370">
        <f>IF(ISNUMBER(F1370),MIN(30,ROUND(30*LOG10(F1370+1)/4,1)),0)</f>
        <v/>
      </c>
      <c r="R1370">
        <f>IF(ISNUMBER(G1370),ROUND(25*(100-G1370)/100,1),12.5)</f>
        <v/>
      </c>
      <c r="S1370" t="n">
        <v>14</v>
      </c>
      <c r="T1370">
        <f>ROUND(P1370+Q1370+R1370+S1370,0)</f>
        <v/>
      </c>
      <c r="U1370" s="5" t="inlineStr"/>
      <c r="V1370" s="5" t="inlineStr">
        <is>
          <t>SUPPORTING /tools/sitemap-validator</t>
        </is>
      </c>
    </row>
    <row r="1371">
      <c r="A1371" t="inlineStr">
        <is>
          <t>K1369</t>
        </is>
      </c>
      <c r="B1371" t="inlineStr">
        <is>
          <t>blog développement web</t>
        </is>
      </c>
      <c r="C1371" t="inlineStr">
        <is>
          <t>France</t>
        </is>
      </c>
      <c r="D1371" t="inlineStr">
        <is>
          <t>fr</t>
        </is>
      </c>
      <c r="E1371" t="inlineStr">
        <is>
          <t>fr</t>
        </is>
      </c>
      <c r="F1371" t="n">
        <v>10</v>
      </c>
      <c r="G1371" t="inlineStr">
        <is>
          <t>NOT AVAILABLE</t>
        </is>
      </c>
      <c r="H1371" t="n">
        <v>0</v>
      </c>
      <c r="I1371" t="n">
        <v>0.33</v>
      </c>
      <c r="J1371" t="inlineStr">
        <is>
          <t>NOT AVAILABLE</t>
        </is>
      </c>
      <c r="K1371" t="inlineStr">
        <is>
          <t>NOT AVAILABLE (report not requested)</t>
        </is>
      </c>
      <c r="L1371" t="inlineStr">
        <is>
          <t>declining (calc.)</t>
        </is>
      </c>
      <c r="M1371" t="inlineStr">
        <is>
          <t>MEASURED</t>
        </is>
      </c>
      <c r="N1371" s="5" t="inlineStr">
        <is>
          <t>Semrush phrase_these (live, this session)</t>
        </is>
      </c>
      <c r="O1371" t="inlineStr">
        <is>
          <t>2026-10-30</t>
        </is>
      </c>
      <c r="P1371">
        <f>IF(IF(J1371="NOT AVAILABLE","",J1371)="",12,IF(OR(ISNUMBER(SEARCH("Transactional",IF(J1371="NOT AVAILABLE","",J1371))),ISNUMBER(SEARCH("Commercial",IF(J1371="NOT AVAILABLE","",J1371)))),25,IF(ISNUMBER(SEARCH("Informational",IF(J1371="NOT AVAILABLE","",J1371))),10,IF(ISNUMBER(SEARCH("Navigational",IF(J1371="NOT AVAILABLE","",J1371))),0,12))))</f>
        <v/>
      </c>
      <c r="Q1371">
        <f>IF(ISNUMBER(F1371),MIN(30,ROUND(30*LOG10(F1371+1)/4,1)),0)</f>
        <v/>
      </c>
      <c r="R1371">
        <f>IF(ISNUMBER(G1371),ROUND(25*(100-G1371)/100,1),12.5)</f>
        <v/>
      </c>
      <c r="S1371" t="n">
        <v>14</v>
      </c>
      <c r="T1371">
        <f>ROUND(P1371+Q1371+R1371+S1371,0)</f>
        <v/>
      </c>
      <c r="U1371" s="5" t="inlineStr"/>
      <c r="V1371" s="5" t="inlineStr">
        <is>
          <t>PRIMARY /blog</t>
        </is>
      </c>
    </row>
    <row r="1372">
      <c r="A1372" t="inlineStr">
        <is>
          <t>K1370</t>
        </is>
      </c>
      <c r="B1372" t="inlineStr">
        <is>
          <t>cours allemand casablanca</t>
        </is>
      </c>
      <c r="C1372" t="inlineStr">
        <is>
          <t>France</t>
        </is>
      </c>
      <c r="D1372" t="inlineStr">
        <is>
          <t>fr</t>
        </is>
      </c>
      <c r="E1372" t="inlineStr">
        <is>
          <t>fr</t>
        </is>
      </c>
      <c r="F1372" t="n">
        <v>10</v>
      </c>
      <c r="G1372" t="inlineStr">
        <is>
          <t>NOT AVAILABLE</t>
        </is>
      </c>
      <c r="H1372" t="n">
        <v>0</v>
      </c>
      <c r="I1372" t="n">
        <v>0.71</v>
      </c>
      <c r="J1372" t="inlineStr">
        <is>
          <t>NOT AVAILABLE</t>
        </is>
      </c>
      <c r="K1372" t="inlineStr">
        <is>
          <t>NOT AVAILABLE (report not requested)</t>
        </is>
      </c>
      <c r="L1372" t="inlineStr">
        <is>
          <t>stable (calc.)</t>
        </is>
      </c>
      <c r="M1372" t="inlineStr">
        <is>
          <t>MEASURED</t>
        </is>
      </c>
      <c r="N1372" s="5" t="inlineStr">
        <is>
          <t>Semrush phrase_these (live, this session)</t>
        </is>
      </c>
      <c r="O1372" t="inlineStr">
        <is>
          <t>2026-10-30</t>
        </is>
      </c>
      <c r="P1372">
        <f>IF(IF(J1372="NOT AVAILABLE","",J1372)="",12,IF(OR(ISNUMBER(SEARCH("Transactional",IF(J1372="NOT AVAILABLE","",J1372))),ISNUMBER(SEARCH("Commercial",IF(J1372="NOT AVAILABLE","",J1372)))),25,IF(ISNUMBER(SEARCH("Informational",IF(J1372="NOT AVAILABLE","",J1372))),10,IF(ISNUMBER(SEARCH("Navigational",IF(J1372="NOT AVAILABLE","",J1372))),0,12))))</f>
        <v/>
      </c>
      <c r="Q1372">
        <f>IF(ISNUMBER(F1372),MIN(30,ROUND(30*LOG10(F1372+1)/4,1)),0)</f>
        <v/>
      </c>
      <c r="R1372">
        <f>IF(ISNUMBER(G1372),ROUND(25*(100-G1372)/100,1),12.5)</f>
        <v/>
      </c>
      <c r="S1372" t="n">
        <v>14</v>
      </c>
      <c r="T1372">
        <f>ROUND(P1372+Q1372+R1372+S1372,0)</f>
        <v/>
      </c>
      <c r="U1372" s="5" t="inlineStr"/>
      <c r="V1372" s="5" t="inlineStr"/>
    </row>
    <row r="1373">
      <c r="A1373" t="inlineStr">
        <is>
          <t>K1371</t>
        </is>
      </c>
      <c r="B1373" t="inlineStr">
        <is>
          <t>création plateforme saas</t>
        </is>
      </c>
      <c r="C1373" t="inlineStr">
        <is>
          <t>France</t>
        </is>
      </c>
      <c r="D1373" t="inlineStr">
        <is>
          <t>fr</t>
        </is>
      </c>
      <c r="E1373" t="inlineStr">
        <is>
          <t>fr</t>
        </is>
      </c>
      <c r="F1373" t="n">
        <v>10</v>
      </c>
      <c r="G1373" t="inlineStr">
        <is>
          <t>NOT AVAILABLE</t>
        </is>
      </c>
      <c r="H1373" t="n">
        <v>0</v>
      </c>
      <c r="I1373" t="n">
        <v>0</v>
      </c>
      <c r="J1373" t="inlineStr">
        <is>
          <t>NOT AVAILABLE</t>
        </is>
      </c>
      <c r="K1373" t="inlineStr">
        <is>
          <t>NOT AVAILABLE (report not requested)</t>
        </is>
      </c>
      <c r="L1373" t="inlineStr">
        <is>
          <t>declining (calc.)</t>
        </is>
      </c>
      <c r="M1373" t="inlineStr">
        <is>
          <t>MEASURED</t>
        </is>
      </c>
      <c r="N1373" s="5" t="inlineStr">
        <is>
          <t>Semrush phrase_these (live, this session)</t>
        </is>
      </c>
      <c r="O1373" t="inlineStr">
        <is>
          <t>2026-10-30</t>
        </is>
      </c>
      <c r="P1373">
        <f>IF(IF(J1373="NOT AVAILABLE","",J1373)="",12,IF(OR(ISNUMBER(SEARCH("Transactional",IF(J1373="NOT AVAILABLE","",J1373))),ISNUMBER(SEARCH("Commercial",IF(J1373="NOT AVAILABLE","",J1373)))),25,IF(ISNUMBER(SEARCH("Informational",IF(J1373="NOT AVAILABLE","",J1373))),10,IF(ISNUMBER(SEARCH("Navigational",IF(J1373="NOT AVAILABLE","",J1373))),0,12))))</f>
        <v/>
      </c>
      <c r="Q1373">
        <f>IF(ISNUMBER(F1373),MIN(30,ROUND(30*LOG10(F1373+1)/4,1)),0)</f>
        <v/>
      </c>
      <c r="R1373">
        <f>IF(ISNUMBER(G1373),ROUND(25*(100-G1373)/100,1),12.5)</f>
        <v/>
      </c>
      <c r="S1373" t="n">
        <v>14</v>
      </c>
      <c r="T1373">
        <f>ROUND(P1373+Q1373+R1373+S1373,0)</f>
        <v/>
      </c>
      <c r="U1373" s="5" t="inlineStr"/>
      <c r="V1373" s="5" t="inlineStr"/>
    </row>
    <row r="1374">
      <c r="A1374" t="inlineStr">
        <is>
          <t>K1372</t>
        </is>
      </c>
      <c r="B1374" t="inlineStr">
        <is>
          <t>décoder base64</t>
        </is>
      </c>
      <c r="C1374" t="inlineStr">
        <is>
          <t>France</t>
        </is>
      </c>
      <c r="D1374" t="inlineStr">
        <is>
          <t>fr</t>
        </is>
      </c>
      <c r="E1374" t="inlineStr">
        <is>
          <t>fr</t>
        </is>
      </c>
      <c r="F1374" t="n">
        <v>10</v>
      </c>
      <c r="G1374" t="inlineStr">
        <is>
          <t>NOT AVAILABLE</t>
        </is>
      </c>
      <c r="H1374" t="n">
        <v>0</v>
      </c>
      <c r="I1374" t="n">
        <v>0.33</v>
      </c>
      <c r="J1374" t="inlineStr">
        <is>
          <t>NOT AVAILABLE</t>
        </is>
      </c>
      <c r="K1374" t="inlineStr">
        <is>
          <t>NOT AVAILABLE (report not requested)</t>
        </is>
      </c>
      <c r="L1374" t="inlineStr">
        <is>
          <t>flat (no data)</t>
        </is>
      </c>
      <c r="M1374" t="inlineStr">
        <is>
          <t>MEASURED</t>
        </is>
      </c>
      <c r="N1374" s="5" t="inlineStr">
        <is>
          <t>Semrush phrase_these (live, this session)</t>
        </is>
      </c>
      <c r="O1374" t="inlineStr">
        <is>
          <t>2026-10-30</t>
        </is>
      </c>
      <c r="P1374">
        <f>IF(IF(J1374="NOT AVAILABLE","",J1374)="",12,IF(OR(ISNUMBER(SEARCH("Transactional",IF(J1374="NOT AVAILABLE","",J1374))),ISNUMBER(SEARCH("Commercial",IF(J1374="NOT AVAILABLE","",J1374)))),25,IF(ISNUMBER(SEARCH("Informational",IF(J1374="NOT AVAILABLE","",J1374))),10,IF(ISNUMBER(SEARCH("Navigational",IF(J1374="NOT AVAILABLE","",J1374))),0,12))))</f>
        <v/>
      </c>
      <c r="Q1374">
        <f>IF(ISNUMBER(F1374),MIN(30,ROUND(30*LOG10(F1374+1)/4,1)),0)</f>
        <v/>
      </c>
      <c r="R1374">
        <f>IF(ISNUMBER(G1374),ROUND(25*(100-G1374)/100,1),12.5)</f>
        <v/>
      </c>
      <c r="S1374" t="n">
        <v>14</v>
      </c>
      <c r="T1374">
        <f>ROUND(P1374+Q1374+R1374+S1374,0)</f>
        <v/>
      </c>
      <c r="U1374" s="5" t="inlineStr"/>
      <c r="V1374" s="5" t="inlineStr">
        <is>
          <t>SUPPORTING /tools/base64-encoder</t>
        </is>
      </c>
    </row>
    <row r="1375">
      <c r="A1375" t="inlineStr">
        <is>
          <t>K1373</t>
        </is>
      </c>
      <c r="B1375" t="inlineStr">
        <is>
          <t>développement web bruxelles</t>
        </is>
      </c>
      <c r="C1375" t="inlineStr">
        <is>
          <t>France</t>
        </is>
      </c>
      <c r="D1375" t="inlineStr">
        <is>
          <t>fr</t>
        </is>
      </c>
      <c r="E1375" t="inlineStr">
        <is>
          <t>fr</t>
        </is>
      </c>
      <c r="F1375" t="n">
        <v>10</v>
      </c>
      <c r="G1375" t="inlineStr">
        <is>
          <t>NOT AVAILABLE</t>
        </is>
      </c>
      <c r="H1375" t="n">
        <v>0</v>
      </c>
      <c r="I1375" t="n">
        <v>0.66</v>
      </c>
      <c r="J1375" t="inlineStr">
        <is>
          <t>NOT AVAILABLE</t>
        </is>
      </c>
      <c r="K1375" t="inlineStr">
        <is>
          <t>NOT AVAILABLE (report not requested)</t>
        </is>
      </c>
      <c r="L1375" t="inlineStr">
        <is>
          <t>rising (calc.)</t>
        </is>
      </c>
      <c r="M1375" t="inlineStr">
        <is>
          <t>MEASURED</t>
        </is>
      </c>
      <c r="N1375" s="5" t="inlineStr">
        <is>
          <t>Semrush phrase_these (live, this session)</t>
        </is>
      </c>
      <c r="O1375" t="inlineStr">
        <is>
          <t>2026-10-30</t>
        </is>
      </c>
      <c r="P1375">
        <f>IF(IF(J1375="NOT AVAILABLE","",J1375)="",12,IF(OR(ISNUMBER(SEARCH("Transactional",IF(J1375="NOT AVAILABLE","",J1375))),ISNUMBER(SEARCH("Commercial",IF(J1375="NOT AVAILABLE","",J1375)))),25,IF(ISNUMBER(SEARCH("Informational",IF(J1375="NOT AVAILABLE","",J1375))),10,IF(ISNUMBER(SEARCH("Navigational",IF(J1375="NOT AVAILABLE","",J1375))),0,12))))</f>
        <v/>
      </c>
      <c r="Q1375">
        <f>IF(ISNUMBER(F1375),MIN(30,ROUND(30*LOG10(F1375+1)/4,1)),0)</f>
        <v/>
      </c>
      <c r="R1375">
        <f>IF(ISNUMBER(G1375),ROUND(25*(100-G1375)/100,1),12.5)</f>
        <v/>
      </c>
      <c r="S1375" t="n">
        <v>14</v>
      </c>
      <c r="T1375">
        <f>ROUND(P1375+Q1375+R1375+S1375,0)</f>
        <v/>
      </c>
      <c r="U1375" s="5" t="inlineStr"/>
      <c r="V1375" s="5" t="inlineStr">
        <is>
          <t>OPTIONAL /web-development-company/brussels</t>
        </is>
      </c>
    </row>
    <row r="1376">
      <c r="A1376" t="inlineStr">
        <is>
          <t>K1374</t>
        </is>
      </c>
      <c r="B1376" t="inlineStr">
        <is>
          <t>développeur maroc</t>
        </is>
      </c>
      <c r="C1376" t="inlineStr">
        <is>
          <t>France</t>
        </is>
      </c>
      <c r="D1376" t="inlineStr">
        <is>
          <t>fr</t>
        </is>
      </c>
      <c r="E1376" t="inlineStr">
        <is>
          <t>fr</t>
        </is>
      </c>
      <c r="F1376" t="n">
        <v>10</v>
      </c>
      <c r="G1376" t="inlineStr">
        <is>
          <t>NOT AVAILABLE</t>
        </is>
      </c>
      <c r="H1376" t="n">
        <v>2.14</v>
      </c>
      <c r="I1376" t="n">
        <v>0.66</v>
      </c>
      <c r="J1376" t="inlineStr">
        <is>
          <t>NOT AVAILABLE</t>
        </is>
      </c>
      <c r="K1376" t="inlineStr">
        <is>
          <t>NOT AVAILABLE (report not requested)</t>
        </is>
      </c>
      <c r="L1376" t="inlineStr">
        <is>
          <t>rising (calc.)</t>
        </is>
      </c>
      <c r="M1376" t="inlineStr">
        <is>
          <t>MEASURED</t>
        </is>
      </c>
      <c r="N1376" s="5" t="inlineStr">
        <is>
          <t>Semrush phrase_these (live, this session)</t>
        </is>
      </c>
      <c r="O1376" t="inlineStr">
        <is>
          <t>2026-10-30</t>
        </is>
      </c>
      <c r="P1376">
        <f>IF(IF(J1376="NOT AVAILABLE","",J1376)="",12,IF(OR(ISNUMBER(SEARCH("Transactional",IF(J1376="NOT AVAILABLE","",J1376))),ISNUMBER(SEARCH("Commercial",IF(J1376="NOT AVAILABLE","",J1376)))),25,IF(ISNUMBER(SEARCH("Informational",IF(J1376="NOT AVAILABLE","",J1376))),10,IF(ISNUMBER(SEARCH("Navigational",IF(J1376="NOT AVAILABLE","",J1376))),0,12))))</f>
        <v/>
      </c>
      <c r="Q1376">
        <f>IF(ISNUMBER(F1376),MIN(30,ROUND(30*LOG10(F1376+1)/4,1)),0)</f>
        <v/>
      </c>
      <c r="R1376">
        <f>IF(ISNUMBER(G1376),ROUND(25*(100-G1376)/100,1),12.5)</f>
        <v/>
      </c>
      <c r="S1376" t="n">
        <v>14</v>
      </c>
      <c r="T1376">
        <f>ROUND(P1376+Q1376+R1376+S1376,0)</f>
        <v/>
      </c>
      <c r="U1376" s="5" t="inlineStr"/>
      <c r="V1376" s="5" t="inlineStr"/>
    </row>
    <row r="1377">
      <c r="A1377" t="inlineStr">
        <is>
          <t>K1375</t>
        </is>
      </c>
      <c r="B1377" t="inlineStr">
        <is>
          <t>gptbot</t>
        </is>
      </c>
      <c r="C1377" t="inlineStr">
        <is>
          <t>France</t>
        </is>
      </c>
      <c r="D1377" t="inlineStr">
        <is>
          <t>fr</t>
        </is>
      </c>
      <c r="E1377" t="inlineStr">
        <is>
          <t>fr</t>
        </is>
      </c>
      <c r="F1377" t="n">
        <v>10</v>
      </c>
      <c r="G1377" t="inlineStr">
        <is>
          <t>NOT AVAILABLE</t>
        </is>
      </c>
      <c r="H1377" t="n">
        <v>0</v>
      </c>
      <c r="I1377" t="n">
        <v>0.06</v>
      </c>
      <c r="J1377" t="inlineStr">
        <is>
          <t>NOT AVAILABLE</t>
        </is>
      </c>
      <c r="K1377" t="inlineStr">
        <is>
          <t>NOT AVAILABLE (report not requested)</t>
        </is>
      </c>
      <c r="L1377" t="inlineStr">
        <is>
          <t>rising (calc.)</t>
        </is>
      </c>
      <c r="M1377" t="inlineStr">
        <is>
          <t>MEASURED</t>
        </is>
      </c>
      <c r="N1377" s="5" t="inlineStr">
        <is>
          <t>Semrush phrase_these (live, this session)</t>
        </is>
      </c>
      <c r="O1377" t="inlineStr">
        <is>
          <t>2026-10-30</t>
        </is>
      </c>
      <c r="P1377">
        <f>IF(IF(J1377="NOT AVAILABLE","",J1377)="",12,IF(OR(ISNUMBER(SEARCH("Transactional",IF(J1377="NOT AVAILABLE","",J1377))),ISNUMBER(SEARCH("Commercial",IF(J1377="NOT AVAILABLE","",J1377)))),25,IF(ISNUMBER(SEARCH("Informational",IF(J1377="NOT AVAILABLE","",J1377))),10,IF(ISNUMBER(SEARCH("Navigational",IF(J1377="NOT AVAILABLE","",J1377))),0,12))))</f>
        <v/>
      </c>
      <c r="Q1377">
        <f>IF(ISNUMBER(F1377),MIN(30,ROUND(30*LOG10(F1377+1)/4,1)),0)</f>
        <v/>
      </c>
      <c r="R1377">
        <f>IF(ISNUMBER(G1377),ROUND(25*(100-G1377)/100,1),12.5)</f>
        <v/>
      </c>
      <c r="S1377" t="n">
        <v>14</v>
      </c>
      <c r="T1377">
        <f>ROUND(P1377+Q1377+R1377+S1377,0)</f>
        <v/>
      </c>
      <c r="U1377" s="5" t="inlineStr"/>
      <c r="V1377" s="5" t="inlineStr">
        <is>
          <t>SUPPORTING /tools/ai-crawler-access-checker</t>
        </is>
      </c>
    </row>
    <row r="1378">
      <c r="A1378" t="inlineStr">
        <is>
          <t>K1376</t>
        </is>
      </c>
      <c r="B1378" t="inlineStr">
        <is>
          <t>générateur meta description</t>
        </is>
      </c>
      <c r="C1378" t="inlineStr">
        <is>
          <t>France</t>
        </is>
      </c>
      <c r="D1378" t="inlineStr">
        <is>
          <t>fr</t>
        </is>
      </c>
      <c r="E1378" t="inlineStr">
        <is>
          <t>fr</t>
        </is>
      </c>
      <c r="F1378" t="n">
        <v>10</v>
      </c>
      <c r="G1378" t="inlineStr">
        <is>
          <t>NOT AVAILABLE</t>
        </is>
      </c>
      <c r="H1378" t="n">
        <v>0</v>
      </c>
      <c r="I1378" t="n">
        <v>0</v>
      </c>
      <c r="J1378" t="inlineStr">
        <is>
          <t>NOT AVAILABLE</t>
        </is>
      </c>
      <c r="K1378" t="inlineStr">
        <is>
          <t>NOT AVAILABLE (report not requested)</t>
        </is>
      </c>
      <c r="L1378" t="inlineStr">
        <is>
          <t>declining (calc.)</t>
        </is>
      </c>
      <c r="M1378" t="inlineStr">
        <is>
          <t>MEASURED</t>
        </is>
      </c>
      <c r="N1378" s="5" t="inlineStr">
        <is>
          <t>Semrush phrase_these (live, this session)</t>
        </is>
      </c>
      <c r="O1378" t="inlineStr">
        <is>
          <t>2026-10-30</t>
        </is>
      </c>
      <c r="P1378">
        <f>IF(IF(J1378="NOT AVAILABLE","",J1378)="",12,IF(OR(ISNUMBER(SEARCH("Transactional",IF(J1378="NOT AVAILABLE","",J1378))),ISNUMBER(SEARCH("Commercial",IF(J1378="NOT AVAILABLE","",J1378)))),25,IF(ISNUMBER(SEARCH("Informational",IF(J1378="NOT AVAILABLE","",J1378))),10,IF(ISNUMBER(SEARCH("Navigational",IF(J1378="NOT AVAILABLE","",J1378))),0,12))))</f>
        <v/>
      </c>
      <c r="Q1378">
        <f>IF(ISNUMBER(F1378),MIN(30,ROUND(30*LOG10(F1378+1)/4,1)),0)</f>
        <v/>
      </c>
      <c r="R1378">
        <f>IF(ISNUMBER(G1378),ROUND(25*(100-G1378)/100,1),12.5)</f>
        <v/>
      </c>
      <c r="S1378" t="n">
        <v>14</v>
      </c>
      <c r="T1378">
        <f>ROUND(P1378+Q1378+R1378+S1378,0)</f>
        <v/>
      </c>
      <c r="U1378" s="5" t="inlineStr"/>
      <c r="V1378" s="5" t="inlineStr">
        <is>
          <t>SUPPORTING /tools/meta-tag-generator</t>
        </is>
      </c>
    </row>
    <row r="1379">
      <c r="A1379" t="inlineStr">
        <is>
          <t>K1377</t>
        </is>
      </c>
      <c r="B1379" t="inlineStr">
        <is>
          <t>idée mots clés</t>
        </is>
      </c>
      <c r="C1379" t="inlineStr">
        <is>
          <t>France</t>
        </is>
      </c>
      <c r="D1379" t="inlineStr">
        <is>
          <t>fr</t>
        </is>
      </c>
      <c r="E1379" t="inlineStr">
        <is>
          <t>fr</t>
        </is>
      </c>
      <c r="F1379" t="n">
        <v>10</v>
      </c>
      <c r="G1379" t="inlineStr">
        <is>
          <t>NOT AVAILABLE</t>
        </is>
      </c>
      <c r="H1379" t="n">
        <v>0</v>
      </c>
      <c r="I1379" t="n">
        <v>0</v>
      </c>
      <c r="J1379" t="inlineStr">
        <is>
          <t>NOT AVAILABLE</t>
        </is>
      </c>
      <c r="K1379" t="inlineStr">
        <is>
          <t>NOT AVAILABLE (report not requested)</t>
        </is>
      </c>
      <c r="L1379" t="inlineStr">
        <is>
          <t>stable (calc.)</t>
        </is>
      </c>
      <c r="M1379" t="inlineStr">
        <is>
          <t>MEASURED</t>
        </is>
      </c>
      <c r="N1379" s="5" t="inlineStr">
        <is>
          <t>Semrush phrase_these (live, this session)</t>
        </is>
      </c>
      <c r="O1379" t="inlineStr">
        <is>
          <t>2026-10-30</t>
        </is>
      </c>
      <c r="P1379">
        <f>IF(IF(J1379="NOT AVAILABLE","",J1379)="",12,IF(OR(ISNUMBER(SEARCH("Transactional",IF(J1379="NOT AVAILABLE","",J1379))),ISNUMBER(SEARCH("Commercial",IF(J1379="NOT AVAILABLE","",J1379)))),25,IF(ISNUMBER(SEARCH("Informational",IF(J1379="NOT AVAILABLE","",J1379))),10,IF(ISNUMBER(SEARCH("Navigational",IF(J1379="NOT AVAILABLE","",J1379))),0,12))))</f>
        <v/>
      </c>
      <c r="Q1379">
        <f>IF(ISNUMBER(F1379),MIN(30,ROUND(30*LOG10(F1379+1)/4,1)),0)</f>
        <v/>
      </c>
      <c r="R1379">
        <f>IF(ISNUMBER(G1379),ROUND(25*(100-G1379)/100,1),12.5)</f>
        <v/>
      </c>
      <c r="S1379" t="n">
        <v>14</v>
      </c>
      <c r="T1379">
        <f>ROUND(P1379+Q1379+R1379+S1379,0)</f>
        <v/>
      </c>
      <c r="U1379" s="5" t="inlineStr"/>
      <c r="V1379" s="5" t="inlineStr">
        <is>
          <t>SUPPORTING /tools/keyword-modifier-generator</t>
        </is>
      </c>
    </row>
    <row r="1380">
      <c r="A1380" t="inlineStr">
        <is>
          <t>K1378</t>
        </is>
      </c>
      <c r="B1380" t="inlineStr">
        <is>
          <t>nofollow dofollow</t>
        </is>
      </c>
      <c r="C1380" t="inlineStr">
        <is>
          <t>France</t>
        </is>
      </c>
      <c r="D1380" t="inlineStr">
        <is>
          <t>fr</t>
        </is>
      </c>
      <c r="E1380" t="inlineStr">
        <is>
          <t>fr</t>
        </is>
      </c>
      <c r="F1380" t="n">
        <v>10</v>
      </c>
      <c r="G1380" t="inlineStr">
        <is>
          <t>NOT AVAILABLE</t>
        </is>
      </c>
      <c r="H1380" t="n">
        <v>0</v>
      </c>
      <c r="I1380" t="n">
        <v>0.17</v>
      </c>
      <c r="J1380" t="inlineStr">
        <is>
          <t>NOT AVAILABLE</t>
        </is>
      </c>
      <c r="K1380" t="inlineStr">
        <is>
          <t>NOT AVAILABLE (report not requested)</t>
        </is>
      </c>
      <c r="L1380" t="inlineStr">
        <is>
          <t>rising (calc.)</t>
        </is>
      </c>
      <c r="M1380" t="inlineStr">
        <is>
          <t>MEASURED</t>
        </is>
      </c>
      <c r="N1380" s="5" t="inlineStr">
        <is>
          <t>Semrush phrase_these (live, this session)</t>
        </is>
      </c>
      <c r="O1380" t="inlineStr">
        <is>
          <t>2026-10-30</t>
        </is>
      </c>
      <c r="P1380">
        <f>IF(IF(J1380="NOT AVAILABLE","",J1380)="",12,IF(OR(ISNUMBER(SEARCH("Transactional",IF(J1380="NOT AVAILABLE","",J1380))),ISNUMBER(SEARCH("Commercial",IF(J1380="NOT AVAILABLE","",J1380)))),25,IF(ISNUMBER(SEARCH("Informational",IF(J1380="NOT AVAILABLE","",J1380))),10,IF(ISNUMBER(SEARCH("Navigational",IF(J1380="NOT AVAILABLE","",J1380))),0,12))))</f>
        <v/>
      </c>
      <c r="Q1380">
        <f>IF(ISNUMBER(F1380),MIN(30,ROUND(30*LOG10(F1380+1)/4,1)),0)</f>
        <v/>
      </c>
      <c r="R1380">
        <f>IF(ISNUMBER(G1380),ROUND(25*(100-G1380)/100,1),12.5)</f>
        <v/>
      </c>
      <c r="S1380" t="n">
        <v>14</v>
      </c>
      <c r="T1380">
        <f>ROUND(P1380+Q1380+R1380+S1380,0)</f>
        <v/>
      </c>
      <c r="U1380" s="5" t="inlineStr"/>
      <c r="V1380" s="5" t="inlineStr">
        <is>
          <t>SUPPORTING /tools/nofollow-link-checker</t>
        </is>
      </c>
    </row>
    <row r="1381">
      <c r="A1381" t="inlineStr">
        <is>
          <t>K1379</t>
        </is>
      </c>
      <c r="B1381" t="inlineStr">
        <is>
          <t>plateforme edtech</t>
        </is>
      </c>
      <c r="C1381" t="inlineStr">
        <is>
          <t>France</t>
        </is>
      </c>
      <c r="D1381" t="inlineStr">
        <is>
          <t>fr</t>
        </is>
      </c>
      <c r="E1381" t="inlineStr">
        <is>
          <t>fr</t>
        </is>
      </c>
      <c r="F1381" t="n">
        <v>10</v>
      </c>
      <c r="G1381" t="inlineStr">
        <is>
          <t>NOT AVAILABLE</t>
        </is>
      </c>
      <c r="H1381" t="n">
        <v>2.04</v>
      </c>
      <c r="I1381" t="n">
        <v>0.35</v>
      </c>
      <c r="J1381" t="inlineStr">
        <is>
          <t>NOT AVAILABLE</t>
        </is>
      </c>
      <c r="K1381" t="inlineStr">
        <is>
          <t>NOT AVAILABLE (report not requested)</t>
        </is>
      </c>
      <c r="L1381" t="inlineStr">
        <is>
          <t>rising (calc.)</t>
        </is>
      </c>
      <c r="M1381" t="inlineStr">
        <is>
          <t>MEASURED</t>
        </is>
      </c>
      <c r="N1381" s="5" t="inlineStr">
        <is>
          <t>Semrush phrase_these (live, this session)</t>
        </is>
      </c>
      <c r="O1381" t="inlineStr">
        <is>
          <t>2026-10-30</t>
        </is>
      </c>
      <c r="P1381">
        <f>IF(IF(J1381="NOT AVAILABLE","",J1381)="",12,IF(OR(ISNUMBER(SEARCH("Transactional",IF(J1381="NOT AVAILABLE","",J1381))),ISNUMBER(SEARCH("Commercial",IF(J1381="NOT AVAILABLE","",J1381)))),25,IF(ISNUMBER(SEARCH("Informational",IF(J1381="NOT AVAILABLE","",J1381))),10,IF(ISNUMBER(SEARCH("Navigational",IF(J1381="NOT AVAILABLE","",J1381))),0,12))))</f>
        <v/>
      </c>
      <c r="Q1381">
        <f>IF(ISNUMBER(F1381),MIN(30,ROUND(30*LOG10(F1381+1)/4,1)),0)</f>
        <v/>
      </c>
      <c r="R1381">
        <f>IF(ISNUMBER(G1381),ROUND(25*(100-G1381)/100,1),12.5)</f>
        <v/>
      </c>
      <c r="S1381" t="n">
        <v>14</v>
      </c>
      <c r="T1381">
        <f>ROUND(P1381+Q1381+R1381+S1381,0)</f>
        <v/>
      </c>
      <c r="U1381" s="5" t="inlineStr"/>
      <c r="V1381" s="5" t="inlineStr">
        <is>
          <t>PRIMARY /services/edtech-platform-development</t>
        </is>
      </c>
    </row>
    <row r="1382">
      <c r="A1382" t="inlineStr">
        <is>
          <t>K1380</t>
        </is>
      </c>
      <c r="B1382" t="inlineStr">
        <is>
          <t>prix développement application web</t>
        </is>
      </c>
      <c r="C1382" t="inlineStr">
        <is>
          <t>France</t>
        </is>
      </c>
      <c r="D1382" t="inlineStr">
        <is>
          <t>fr</t>
        </is>
      </c>
      <c r="E1382" t="inlineStr">
        <is>
          <t>fr</t>
        </is>
      </c>
      <c r="F1382" t="n">
        <v>10</v>
      </c>
      <c r="G1382" t="inlineStr">
        <is>
          <t>NOT AVAILABLE</t>
        </is>
      </c>
      <c r="H1382" t="n">
        <v>0</v>
      </c>
      <c r="I1382" t="n">
        <v>0</v>
      </c>
      <c r="J1382" t="inlineStr">
        <is>
          <t>NOT AVAILABLE</t>
        </is>
      </c>
      <c r="K1382" t="inlineStr">
        <is>
          <t>NOT AVAILABLE (report not requested)</t>
        </is>
      </c>
      <c r="L1382" t="inlineStr">
        <is>
          <t>flat (no data)</t>
        </is>
      </c>
      <c r="M1382" t="inlineStr">
        <is>
          <t>MEASURED</t>
        </is>
      </c>
      <c r="N1382" s="5" t="inlineStr">
        <is>
          <t>Semrush phrase_these (live, this session)</t>
        </is>
      </c>
      <c r="O1382" t="inlineStr">
        <is>
          <t>2026-10-30</t>
        </is>
      </c>
      <c r="P1382">
        <f>IF(IF(J1382="NOT AVAILABLE","",J1382)="",12,IF(OR(ISNUMBER(SEARCH("Transactional",IF(J1382="NOT AVAILABLE","",J1382))),ISNUMBER(SEARCH("Commercial",IF(J1382="NOT AVAILABLE","",J1382)))),25,IF(ISNUMBER(SEARCH("Informational",IF(J1382="NOT AVAILABLE","",J1382))),10,IF(ISNUMBER(SEARCH("Navigational",IF(J1382="NOT AVAILABLE","",J1382))),0,12))))</f>
        <v/>
      </c>
      <c r="Q1382">
        <f>IF(ISNUMBER(F1382),MIN(30,ROUND(30*LOG10(F1382+1)/4,1)),0)</f>
        <v/>
      </c>
      <c r="R1382">
        <f>IF(ISNUMBER(G1382),ROUND(25*(100-G1382)/100,1),12.5)</f>
        <v/>
      </c>
      <c r="S1382" t="n">
        <v>14</v>
      </c>
      <c r="T1382">
        <f>ROUND(P1382+Q1382+R1382+S1382,0)</f>
        <v/>
      </c>
      <c r="U1382" s="5" t="inlineStr"/>
      <c r="V1382" s="5" t="inlineStr"/>
    </row>
    <row r="1383">
      <c r="A1383" t="inlineStr">
        <is>
          <t>K1381</t>
        </is>
      </c>
      <c r="B1383" t="inlineStr">
        <is>
          <t>site internet école</t>
        </is>
      </c>
      <c r="C1383" t="inlineStr">
        <is>
          <t>France</t>
        </is>
      </c>
      <c r="D1383" t="inlineStr">
        <is>
          <t>fr</t>
        </is>
      </c>
      <c r="E1383" t="inlineStr">
        <is>
          <t>fr</t>
        </is>
      </c>
      <c r="F1383" t="n">
        <v>10</v>
      </c>
      <c r="G1383" t="inlineStr">
        <is>
          <t>NOT AVAILABLE</t>
        </is>
      </c>
      <c r="H1383" t="n">
        <v>0</v>
      </c>
      <c r="I1383" t="n">
        <v>0</v>
      </c>
      <c r="J1383" t="inlineStr">
        <is>
          <t>NOT AVAILABLE</t>
        </is>
      </c>
      <c r="K1383" t="inlineStr">
        <is>
          <t>NOT AVAILABLE (report not requested)</t>
        </is>
      </c>
      <c r="L1383" t="inlineStr">
        <is>
          <t>rising (calc.)</t>
        </is>
      </c>
      <c r="M1383" t="inlineStr">
        <is>
          <t>MEASURED</t>
        </is>
      </c>
      <c r="N1383" s="5" t="inlineStr">
        <is>
          <t>Semrush phrase_these (live, this session)</t>
        </is>
      </c>
      <c r="O1383" t="inlineStr">
        <is>
          <t>2026-10-30</t>
        </is>
      </c>
      <c r="P1383">
        <f>IF(IF(J1383="NOT AVAILABLE","",J1383)="",12,IF(OR(ISNUMBER(SEARCH("Transactional",IF(J1383="NOT AVAILABLE","",J1383))),ISNUMBER(SEARCH("Commercial",IF(J1383="NOT AVAILABLE","",J1383)))),25,IF(ISNUMBER(SEARCH("Informational",IF(J1383="NOT AVAILABLE","",J1383))),10,IF(ISNUMBER(SEARCH("Navigational",IF(J1383="NOT AVAILABLE","",J1383))),0,12))))</f>
        <v/>
      </c>
      <c r="Q1383">
        <f>IF(ISNUMBER(F1383),MIN(30,ROUND(30*LOG10(F1383+1)/4,1)),0)</f>
        <v/>
      </c>
      <c r="R1383">
        <f>IF(ISNUMBER(G1383),ROUND(25*(100-G1383)/100,1),12.5)</f>
        <v/>
      </c>
      <c r="S1383" t="n">
        <v>14</v>
      </c>
      <c r="T1383">
        <f>ROUND(P1383+Q1383+R1383+S1383,0)</f>
        <v/>
      </c>
      <c r="U1383" s="5" t="inlineStr"/>
      <c r="V1383" s="5" t="inlineStr">
        <is>
          <t>PRIMARY /services/education-website-development</t>
        </is>
      </c>
    </row>
    <row r="1384">
      <c r="A1384" t="inlineStr">
        <is>
          <t>K1382</t>
        </is>
      </c>
      <c r="B1384" t="inlineStr">
        <is>
          <t>site médecin</t>
        </is>
      </c>
      <c r="C1384" t="inlineStr">
        <is>
          <t>France</t>
        </is>
      </c>
      <c r="D1384" t="inlineStr">
        <is>
          <t>fr</t>
        </is>
      </c>
      <c r="E1384" t="inlineStr">
        <is>
          <t>fr</t>
        </is>
      </c>
      <c r="F1384" t="n">
        <v>10</v>
      </c>
      <c r="G1384" t="inlineStr">
        <is>
          <t>NOT AVAILABLE</t>
        </is>
      </c>
      <c r="H1384" t="n">
        <v>1.73</v>
      </c>
      <c r="I1384" t="n">
        <v>0.45</v>
      </c>
      <c r="J1384" t="inlineStr">
        <is>
          <t>NOT AVAILABLE</t>
        </is>
      </c>
      <c r="K1384" t="inlineStr">
        <is>
          <t>NOT AVAILABLE (report not requested)</t>
        </is>
      </c>
      <c r="L1384" t="inlineStr">
        <is>
          <t>declining (calc.)</t>
        </is>
      </c>
      <c r="M1384" t="inlineStr">
        <is>
          <t>MEASURED</t>
        </is>
      </c>
      <c r="N1384" s="5" t="inlineStr">
        <is>
          <t>Semrush phrase_these (live, this session)</t>
        </is>
      </c>
      <c r="O1384" t="inlineStr">
        <is>
          <t>2026-10-30</t>
        </is>
      </c>
      <c r="P1384">
        <f>IF(IF(J1384="NOT AVAILABLE","",J1384)="",12,IF(OR(ISNUMBER(SEARCH("Transactional",IF(J1384="NOT AVAILABLE","",J1384))),ISNUMBER(SEARCH("Commercial",IF(J1384="NOT AVAILABLE","",J1384)))),25,IF(ISNUMBER(SEARCH("Informational",IF(J1384="NOT AVAILABLE","",J1384))),10,IF(ISNUMBER(SEARCH("Navigational",IF(J1384="NOT AVAILABLE","",J1384))),0,12))))</f>
        <v/>
      </c>
      <c r="Q1384">
        <f>IF(ISNUMBER(F1384),MIN(30,ROUND(30*LOG10(F1384+1)/4,1)),0)</f>
        <v/>
      </c>
      <c r="R1384">
        <f>IF(ISNUMBER(G1384),ROUND(25*(100-G1384)/100,1),12.5)</f>
        <v/>
      </c>
      <c r="S1384" t="n">
        <v>14</v>
      </c>
      <c r="T1384">
        <f>ROUND(P1384+Q1384+R1384+S1384,0)</f>
        <v/>
      </c>
      <c r="U1384" s="5" t="inlineStr"/>
      <c r="V1384" s="5" t="inlineStr">
        <is>
          <t>SECONDARY /services/telemedicine-website-development</t>
        </is>
      </c>
    </row>
    <row r="1385">
      <c r="A1385" t="inlineStr">
        <is>
          <t>K1383</t>
        </is>
      </c>
      <c r="B1385" t="inlineStr">
        <is>
          <t>sitemap url extractor</t>
        </is>
      </c>
      <c r="C1385" t="inlineStr">
        <is>
          <t>France</t>
        </is>
      </c>
      <c r="D1385" t="inlineStr">
        <is>
          <t>fr</t>
        </is>
      </c>
      <c r="E1385" t="inlineStr">
        <is>
          <t>fr</t>
        </is>
      </c>
      <c r="F1385" t="n">
        <v>10</v>
      </c>
      <c r="G1385" t="inlineStr">
        <is>
          <t>NOT AVAILABLE</t>
        </is>
      </c>
      <c r="H1385" t="n">
        <v>0</v>
      </c>
      <c r="I1385" t="n">
        <v>0.1</v>
      </c>
      <c r="J1385" t="inlineStr">
        <is>
          <t>NOT AVAILABLE</t>
        </is>
      </c>
      <c r="K1385" t="inlineStr">
        <is>
          <t>NOT AVAILABLE (report not requested)</t>
        </is>
      </c>
      <c r="L1385" t="inlineStr">
        <is>
          <t>rising (calc.)</t>
        </is>
      </c>
      <c r="M1385" t="inlineStr">
        <is>
          <t>MEASURED</t>
        </is>
      </c>
      <c r="N1385" s="5" t="inlineStr">
        <is>
          <t>Semrush phrase_these (live, this session)</t>
        </is>
      </c>
      <c r="O1385" t="inlineStr">
        <is>
          <t>2026-10-30</t>
        </is>
      </c>
      <c r="P1385">
        <f>IF(IF(J1385="NOT AVAILABLE","",J1385)="",12,IF(OR(ISNUMBER(SEARCH("Transactional",IF(J1385="NOT AVAILABLE","",J1385))),ISNUMBER(SEARCH("Commercial",IF(J1385="NOT AVAILABLE","",J1385)))),25,IF(ISNUMBER(SEARCH("Informational",IF(J1385="NOT AVAILABLE","",J1385))),10,IF(ISNUMBER(SEARCH("Navigational",IF(J1385="NOT AVAILABLE","",J1385))),0,12))))</f>
        <v/>
      </c>
      <c r="Q1385">
        <f>IF(ISNUMBER(F1385),MIN(30,ROUND(30*LOG10(F1385+1)/4,1)),0)</f>
        <v/>
      </c>
      <c r="R1385">
        <f>IF(ISNUMBER(G1385),ROUND(25*(100-G1385)/100,1),12.5)</f>
        <v/>
      </c>
      <c r="S1385" t="n">
        <v>14</v>
      </c>
      <c r="T1385">
        <f>ROUND(P1385+Q1385+R1385+S1385,0)</f>
        <v/>
      </c>
      <c r="U1385" s="5" t="inlineStr"/>
      <c r="V1385" s="5" t="inlineStr">
        <is>
          <t>PRIMARY /tools/sitemap-url-extractor</t>
        </is>
      </c>
    </row>
    <row r="1386">
      <c r="A1386" t="inlineStr">
        <is>
          <t>K1384</t>
        </is>
      </c>
      <c r="B1386" t="inlineStr">
        <is>
          <t>agence de voyage de luxe maroc</t>
        </is>
      </c>
      <c r="C1386" t="inlineStr">
        <is>
          <t>France</t>
        </is>
      </c>
      <c r="D1386" t="inlineStr">
        <is>
          <t>fr</t>
        </is>
      </c>
      <c r="E1386" t="inlineStr">
        <is>
          <t>fr</t>
        </is>
      </c>
      <c r="F1386" t="n">
        <v>0</v>
      </c>
      <c r="G1386" t="inlineStr">
        <is>
          <t>NOT AVAILABLE</t>
        </is>
      </c>
      <c r="H1386" t="n">
        <v>0</v>
      </c>
      <c r="I1386" t="n">
        <v>0</v>
      </c>
      <c r="J1386" t="inlineStr">
        <is>
          <t>NOT AVAILABLE</t>
        </is>
      </c>
      <c r="K1386" t="inlineStr">
        <is>
          <t>NOT AVAILABLE (report not requested)</t>
        </is>
      </c>
      <c r="L1386" t="inlineStr">
        <is>
          <t>declining (calc.)</t>
        </is>
      </c>
      <c r="M1386" t="inlineStr">
        <is>
          <t>MEASURED</t>
        </is>
      </c>
      <c r="N1386" s="5" t="inlineStr">
        <is>
          <t>Semrush phrase_these (live, this session)</t>
        </is>
      </c>
      <c r="O1386" t="inlineStr">
        <is>
          <t>2026-10-30</t>
        </is>
      </c>
      <c r="P1386">
        <f>IF(IF(J1386="NOT AVAILABLE","",J1386)="",12,IF(OR(ISNUMBER(SEARCH("Transactional",IF(J1386="NOT AVAILABLE","",J1386))),ISNUMBER(SEARCH("Commercial",IF(J1386="NOT AVAILABLE","",J1386)))),25,IF(ISNUMBER(SEARCH("Informational",IF(J1386="NOT AVAILABLE","",J1386))),10,IF(ISNUMBER(SEARCH("Navigational",IF(J1386="NOT AVAILABLE","",J1386))),0,12))))</f>
        <v/>
      </c>
      <c r="Q1386">
        <f>IF(ISNUMBER(F1386),MIN(30,ROUND(30*LOG10(F1386+1)/4,1)),0)</f>
        <v/>
      </c>
      <c r="R1386">
        <f>IF(ISNUMBER(G1386),ROUND(25*(100-G1386)/100,1),12.5)</f>
        <v/>
      </c>
      <c r="S1386" t="n">
        <v>14</v>
      </c>
      <c r="T1386">
        <f>ROUND(P1386+Q1386+R1386+S1386,0)</f>
        <v/>
      </c>
      <c r="U1386" s="5" t="inlineStr"/>
      <c r="V1386" s="5" t="inlineStr"/>
    </row>
    <row r="1387">
      <c r="A1387" t="inlineStr">
        <is>
          <t>K1385</t>
        </is>
      </c>
      <c r="B1387" t="inlineStr">
        <is>
          <t>agence edtech</t>
        </is>
      </c>
      <c r="C1387" t="inlineStr">
        <is>
          <t>France</t>
        </is>
      </c>
      <c r="D1387" t="inlineStr">
        <is>
          <t>fr</t>
        </is>
      </c>
      <c r="E1387" t="inlineStr">
        <is>
          <t>fr</t>
        </is>
      </c>
      <c r="F1387" t="n">
        <v>0</v>
      </c>
      <c r="G1387" t="inlineStr">
        <is>
          <t>NOT AVAILABLE</t>
        </is>
      </c>
      <c r="H1387" t="n">
        <v>0</v>
      </c>
      <c r="I1387" t="n">
        <v>0</v>
      </c>
      <c r="J1387" t="inlineStr">
        <is>
          <t>NOT AVAILABLE</t>
        </is>
      </c>
      <c r="K1387" t="inlineStr">
        <is>
          <t>NOT AVAILABLE (report not requested)</t>
        </is>
      </c>
      <c r="L1387" t="inlineStr">
        <is>
          <t>flat (no data)</t>
        </is>
      </c>
      <c r="M1387" t="inlineStr">
        <is>
          <t>MEASURED</t>
        </is>
      </c>
      <c r="N1387" s="5" t="inlineStr">
        <is>
          <t>Semrush phrase_these (live, this session)</t>
        </is>
      </c>
      <c r="O1387" t="inlineStr">
        <is>
          <t>2026-10-30</t>
        </is>
      </c>
      <c r="P1387">
        <f>IF(IF(J1387="NOT AVAILABLE","",J1387)="",12,IF(OR(ISNUMBER(SEARCH("Transactional",IF(J1387="NOT AVAILABLE","",J1387))),ISNUMBER(SEARCH("Commercial",IF(J1387="NOT AVAILABLE","",J1387)))),25,IF(ISNUMBER(SEARCH("Informational",IF(J1387="NOT AVAILABLE","",J1387))),10,IF(ISNUMBER(SEARCH("Navigational",IF(J1387="NOT AVAILABLE","",J1387))),0,12))))</f>
        <v/>
      </c>
      <c r="Q1387">
        <f>IF(ISNUMBER(F1387),MIN(30,ROUND(30*LOG10(F1387+1)/4,1)),0)</f>
        <v/>
      </c>
      <c r="R1387">
        <f>IF(ISNUMBER(G1387),ROUND(25*(100-G1387)/100,1),12.5)</f>
        <v/>
      </c>
      <c r="S1387" t="n">
        <v>14</v>
      </c>
      <c r="T1387">
        <f>ROUND(P1387+Q1387+R1387+S1387,0)</f>
        <v/>
      </c>
      <c r="U1387" s="5" t="inlineStr"/>
      <c r="V1387" s="5" t="inlineStr"/>
    </row>
    <row r="1388">
      <c r="A1388" t="inlineStr">
        <is>
          <t>K1386</t>
        </is>
      </c>
      <c r="B1388" t="inlineStr">
        <is>
          <t>agence web abu dhabi</t>
        </is>
      </c>
      <c r="C1388" t="inlineStr">
        <is>
          <t>France</t>
        </is>
      </c>
      <c r="D1388" t="inlineStr">
        <is>
          <t>fr</t>
        </is>
      </c>
      <c r="E1388" t="inlineStr">
        <is>
          <t>fr</t>
        </is>
      </c>
      <c r="F1388" t="inlineStr">
        <is>
          <t>NOT AVAILABLE</t>
        </is>
      </c>
      <c r="G1388" t="inlineStr">
        <is>
          <t>NOT AVAILABLE</t>
        </is>
      </c>
      <c r="H1388" t="inlineStr">
        <is>
          <t>NOT AVAILABLE</t>
        </is>
      </c>
      <c r="I1388" t="inlineStr">
        <is>
          <t>NOT AVAILABLE</t>
        </is>
      </c>
      <c r="J1388" t="inlineStr">
        <is>
          <t>NOT AVAILABLE</t>
        </is>
      </c>
      <c r="K1388" t="inlineStr">
        <is>
          <t>NOT AVAILABLE</t>
        </is>
      </c>
      <c r="L1388" t="inlineStr">
        <is>
          <t>NOT AVAILABLE</t>
        </is>
      </c>
      <c r="M1388" t="inlineStr">
        <is>
          <t>UNAVAILABLE</t>
        </is>
      </c>
      <c r="N1388" s="5" t="inlineStr">
        <is>
          <t>Semrush phrase_these returned no data (not billed)</t>
        </is>
      </c>
      <c r="O1388" t="inlineStr">
        <is>
          <t>2026-10-30</t>
        </is>
      </c>
      <c r="P1388">
        <f>IF(IF(J1388="NOT AVAILABLE","",J1388)="",12,IF(OR(ISNUMBER(SEARCH("Transactional",IF(J1388="NOT AVAILABLE","",J1388))),ISNUMBER(SEARCH("Commercial",IF(J1388="NOT AVAILABLE","",J1388)))),25,IF(ISNUMBER(SEARCH("Informational",IF(J1388="NOT AVAILABLE","",J1388))),10,IF(ISNUMBER(SEARCH("Navigational",IF(J1388="NOT AVAILABLE","",J1388))),0,12))))</f>
        <v/>
      </c>
      <c r="Q1388">
        <f>IF(ISNUMBER(F1388),MIN(30,ROUND(30*LOG10(F1388+1)/4,1)),0)</f>
        <v/>
      </c>
      <c r="R1388">
        <f>IF(ISNUMBER(G1388),ROUND(25*(100-G1388)/100,1),12.5)</f>
        <v/>
      </c>
      <c r="S1388" t="n">
        <v>14</v>
      </c>
      <c r="T1388">
        <f>ROUND(P1388+Q1388+R1388+S1388,0)</f>
        <v/>
      </c>
      <c r="U1388" s="5" t="inlineStr"/>
      <c r="V1388" s="5" t="inlineStr"/>
    </row>
    <row r="1389">
      <c r="A1389" t="inlineStr">
        <is>
          <t>K1387</t>
        </is>
      </c>
      <c r="B1389" t="inlineStr">
        <is>
          <t>agence web amsterdam</t>
        </is>
      </c>
      <c r="C1389" t="inlineStr">
        <is>
          <t>France</t>
        </is>
      </c>
      <c r="D1389" t="inlineStr">
        <is>
          <t>fr</t>
        </is>
      </c>
      <c r="E1389" t="inlineStr">
        <is>
          <t>fr</t>
        </is>
      </c>
      <c r="F1389" t="n">
        <v>0</v>
      </c>
      <c r="G1389" t="inlineStr">
        <is>
          <t>NOT AVAILABLE</t>
        </is>
      </c>
      <c r="H1389" t="n">
        <v>0</v>
      </c>
      <c r="I1389" t="n">
        <v>0</v>
      </c>
      <c r="J1389" t="inlineStr">
        <is>
          <t>NOT AVAILABLE</t>
        </is>
      </c>
      <c r="K1389" t="inlineStr">
        <is>
          <t>NOT AVAILABLE (report not requested)</t>
        </is>
      </c>
      <c r="L1389" t="inlineStr">
        <is>
          <t>flat (no data)</t>
        </is>
      </c>
      <c r="M1389" t="inlineStr">
        <is>
          <t>MEASURED</t>
        </is>
      </c>
      <c r="N1389" s="5" t="inlineStr">
        <is>
          <t>Semrush phrase_these (live, this session)</t>
        </is>
      </c>
      <c r="O1389" t="inlineStr">
        <is>
          <t>2026-10-30</t>
        </is>
      </c>
      <c r="P1389">
        <f>IF(IF(J1389="NOT AVAILABLE","",J1389)="",12,IF(OR(ISNUMBER(SEARCH("Transactional",IF(J1389="NOT AVAILABLE","",J1389))),ISNUMBER(SEARCH("Commercial",IF(J1389="NOT AVAILABLE","",J1389)))),25,IF(ISNUMBER(SEARCH("Informational",IF(J1389="NOT AVAILABLE","",J1389))),10,IF(ISNUMBER(SEARCH("Navigational",IF(J1389="NOT AVAILABLE","",J1389))),0,12))))</f>
        <v/>
      </c>
      <c r="Q1389">
        <f>IF(ISNUMBER(F1389),MIN(30,ROUND(30*LOG10(F1389+1)/4,1)),0)</f>
        <v/>
      </c>
      <c r="R1389">
        <f>IF(ISNUMBER(G1389),ROUND(25*(100-G1389)/100,1),12.5)</f>
        <v/>
      </c>
      <c r="S1389" t="n">
        <v>14</v>
      </c>
      <c r="T1389">
        <f>ROUND(P1389+Q1389+R1389+S1389,0)</f>
        <v/>
      </c>
      <c r="U1389" s="5" t="inlineStr"/>
      <c r="V1389" s="5" t="inlineStr"/>
    </row>
    <row r="1390">
      <c r="A1390" t="inlineStr">
        <is>
          <t>K1388</t>
        </is>
      </c>
      <c r="B1390" t="inlineStr">
        <is>
          <t>agence web austin</t>
        </is>
      </c>
      <c r="C1390" t="inlineStr">
        <is>
          <t>France</t>
        </is>
      </c>
      <c r="D1390" t="inlineStr">
        <is>
          <t>fr</t>
        </is>
      </c>
      <c r="E1390" t="inlineStr">
        <is>
          <t>fr</t>
        </is>
      </c>
      <c r="F1390" t="inlineStr">
        <is>
          <t>NOT AVAILABLE</t>
        </is>
      </c>
      <c r="G1390" t="inlineStr">
        <is>
          <t>NOT AVAILABLE</t>
        </is>
      </c>
      <c r="H1390" t="inlineStr">
        <is>
          <t>NOT AVAILABLE</t>
        </is>
      </c>
      <c r="I1390" t="inlineStr">
        <is>
          <t>NOT AVAILABLE</t>
        </is>
      </c>
      <c r="J1390" t="inlineStr">
        <is>
          <t>NOT AVAILABLE</t>
        </is>
      </c>
      <c r="K1390" t="inlineStr">
        <is>
          <t>NOT AVAILABLE</t>
        </is>
      </c>
      <c r="L1390" t="inlineStr">
        <is>
          <t>NOT AVAILABLE</t>
        </is>
      </c>
      <c r="M1390" t="inlineStr">
        <is>
          <t>UNAVAILABLE</t>
        </is>
      </c>
      <c r="N1390" s="5" t="inlineStr">
        <is>
          <t>Semrush phrase_these returned no data (not billed)</t>
        </is>
      </c>
      <c r="O1390" t="inlineStr">
        <is>
          <t>2026-10-30</t>
        </is>
      </c>
      <c r="P1390">
        <f>IF(IF(J1390="NOT AVAILABLE","",J1390)="",12,IF(OR(ISNUMBER(SEARCH("Transactional",IF(J1390="NOT AVAILABLE","",J1390))),ISNUMBER(SEARCH("Commercial",IF(J1390="NOT AVAILABLE","",J1390)))),25,IF(ISNUMBER(SEARCH("Informational",IF(J1390="NOT AVAILABLE","",J1390))),10,IF(ISNUMBER(SEARCH("Navigational",IF(J1390="NOT AVAILABLE","",J1390))),0,12))))</f>
        <v/>
      </c>
      <c r="Q1390">
        <f>IF(ISNUMBER(F1390),MIN(30,ROUND(30*LOG10(F1390+1)/4,1)),0)</f>
        <v/>
      </c>
      <c r="R1390">
        <f>IF(ISNUMBER(G1390),ROUND(25*(100-G1390)/100,1),12.5)</f>
        <v/>
      </c>
      <c r="S1390" t="n">
        <v>14</v>
      </c>
      <c r="T1390">
        <f>ROUND(P1390+Q1390+R1390+S1390,0)</f>
        <v/>
      </c>
      <c r="U1390" s="5" t="inlineStr"/>
      <c r="V1390" s="5" t="inlineStr"/>
    </row>
    <row r="1391">
      <c r="A1391" t="inlineStr">
        <is>
          <t>K1389</t>
        </is>
      </c>
      <c r="B1391" t="inlineStr">
        <is>
          <t>agence web berlin</t>
        </is>
      </c>
      <c r="C1391" t="inlineStr">
        <is>
          <t>France</t>
        </is>
      </c>
      <c r="D1391" t="inlineStr">
        <is>
          <t>fr</t>
        </is>
      </c>
      <c r="E1391" t="inlineStr">
        <is>
          <t>fr</t>
        </is>
      </c>
      <c r="F1391" t="inlineStr">
        <is>
          <t>NOT AVAILABLE</t>
        </is>
      </c>
      <c r="G1391" t="inlineStr">
        <is>
          <t>NOT AVAILABLE</t>
        </is>
      </c>
      <c r="H1391" t="inlineStr">
        <is>
          <t>NOT AVAILABLE</t>
        </is>
      </c>
      <c r="I1391" t="inlineStr">
        <is>
          <t>NOT AVAILABLE</t>
        </is>
      </c>
      <c r="J1391" t="inlineStr">
        <is>
          <t>NOT AVAILABLE</t>
        </is>
      </c>
      <c r="K1391" t="inlineStr">
        <is>
          <t>NOT AVAILABLE</t>
        </is>
      </c>
      <c r="L1391" t="inlineStr">
        <is>
          <t>NOT AVAILABLE</t>
        </is>
      </c>
      <c r="M1391" t="inlineStr">
        <is>
          <t>UNAVAILABLE</t>
        </is>
      </c>
      <c r="N1391" s="5" t="inlineStr">
        <is>
          <t>Semrush phrase_these returned no data (not billed)</t>
        </is>
      </c>
      <c r="O1391" t="inlineStr">
        <is>
          <t>2026-10-30</t>
        </is>
      </c>
      <c r="P1391">
        <f>IF(IF(J1391="NOT AVAILABLE","",J1391)="",12,IF(OR(ISNUMBER(SEARCH("Transactional",IF(J1391="NOT AVAILABLE","",J1391))),ISNUMBER(SEARCH("Commercial",IF(J1391="NOT AVAILABLE","",J1391)))),25,IF(ISNUMBER(SEARCH("Informational",IF(J1391="NOT AVAILABLE","",J1391))),10,IF(ISNUMBER(SEARCH("Navigational",IF(J1391="NOT AVAILABLE","",J1391))),0,12))))</f>
        <v/>
      </c>
      <c r="Q1391">
        <f>IF(ISNUMBER(F1391),MIN(30,ROUND(30*LOG10(F1391+1)/4,1)),0)</f>
        <v/>
      </c>
      <c r="R1391">
        <f>IF(ISNUMBER(G1391),ROUND(25*(100-G1391)/100,1),12.5)</f>
        <v/>
      </c>
      <c r="S1391" t="n">
        <v>14</v>
      </c>
      <c r="T1391">
        <f>ROUND(P1391+Q1391+R1391+S1391,0)</f>
        <v/>
      </c>
      <c r="U1391" s="5" t="inlineStr"/>
      <c r="V1391" s="5" t="inlineStr"/>
    </row>
    <row r="1392">
      <c r="A1392" t="inlineStr">
        <is>
          <t>K1390</t>
        </is>
      </c>
      <c r="B1392" t="inlineStr">
        <is>
          <t>agence web boston</t>
        </is>
      </c>
      <c r="C1392" t="inlineStr">
        <is>
          <t>France</t>
        </is>
      </c>
      <c r="D1392" t="inlineStr">
        <is>
          <t>fr</t>
        </is>
      </c>
      <c r="E1392" t="inlineStr">
        <is>
          <t>fr</t>
        </is>
      </c>
      <c r="F1392" t="inlineStr">
        <is>
          <t>NOT AVAILABLE</t>
        </is>
      </c>
      <c r="G1392" t="inlineStr">
        <is>
          <t>NOT AVAILABLE</t>
        </is>
      </c>
      <c r="H1392" t="inlineStr">
        <is>
          <t>NOT AVAILABLE</t>
        </is>
      </c>
      <c r="I1392" t="inlineStr">
        <is>
          <t>NOT AVAILABLE</t>
        </is>
      </c>
      <c r="J1392" t="inlineStr">
        <is>
          <t>NOT AVAILABLE</t>
        </is>
      </c>
      <c r="K1392" t="inlineStr">
        <is>
          <t>NOT AVAILABLE</t>
        </is>
      </c>
      <c r="L1392" t="inlineStr">
        <is>
          <t>NOT AVAILABLE</t>
        </is>
      </c>
      <c r="M1392" t="inlineStr">
        <is>
          <t>UNAVAILABLE</t>
        </is>
      </c>
      <c r="N1392" s="5" t="inlineStr">
        <is>
          <t>Semrush phrase_these returned no data (not billed)</t>
        </is>
      </c>
      <c r="O1392" t="inlineStr">
        <is>
          <t>2026-10-30</t>
        </is>
      </c>
      <c r="P1392">
        <f>IF(IF(J1392="NOT AVAILABLE","",J1392)="",12,IF(OR(ISNUMBER(SEARCH("Transactional",IF(J1392="NOT AVAILABLE","",J1392))),ISNUMBER(SEARCH("Commercial",IF(J1392="NOT AVAILABLE","",J1392)))),25,IF(ISNUMBER(SEARCH("Informational",IF(J1392="NOT AVAILABLE","",J1392))),10,IF(ISNUMBER(SEARCH("Navigational",IF(J1392="NOT AVAILABLE","",J1392))),0,12))))</f>
        <v/>
      </c>
      <c r="Q1392">
        <f>IF(ISNUMBER(F1392),MIN(30,ROUND(30*LOG10(F1392+1)/4,1)),0)</f>
        <v/>
      </c>
      <c r="R1392">
        <f>IF(ISNUMBER(G1392),ROUND(25*(100-G1392)/100,1),12.5)</f>
        <v/>
      </c>
      <c r="S1392" t="n">
        <v>14</v>
      </c>
      <c r="T1392">
        <f>ROUND(P1392+Q1392+R1392+S1392,0)</f>
        <v/>
      </c>
      <c r="U1392" s="5" t="inlineStr"/>
      <c r="V1392" s="5" t="inlineStr"/>
    </row>
    <row r="1393">
      <c r="A1393" t="inlineStr">
        <is>
          <t>K1391</t>
        </is>
      </c>
      <c r="B1393" t="inlineStr">
        <is>
          <t>agence web chicago</t>
        </is>
      </c>
      <c r="C1393" t="inlineStr">
        <is>
          <t>France</t>
        </is>
      </c>
      <c r="D1393" t="inlineStr">
        <is>
          <t>fr</t>
        </is>
      </c>
      <c r="E1393" t="inlineStr">
        <is>
          <t>fr</t>
        </is>
      </c>
      <c r="F1393" t="inlineStr">
        <is>
          <t>NOT AVAILABLE</t>
        </is>
      </c>
      <c r="G1393" t="inlineStr">
        <is>
          <t>NOT AVAILABLE</t>
        </is>
      </c>
      <c r="H1393" t="inlineStr">
        <is>
          <t>NOT AVAILABLE</t>
        </is>
      </c>
      <c r="I1393" t="inlineStr">
        <is>
          <t>NOT AVAILABLE</t>
        </is>
      </c>
      <c r="J1393" t="inlineStr">
        <is>
          <t>NOT AVAILABLE</t>
        </is>
      </c>
      <c r="K1393" t="inlineStr">
        <is>
          <t>NOT AVAILABLE</t>
        </is>
      </c>
      <c r="L1393" t="inlineStr">
        <is>
          <t>NOT AVAILABLE</t>
        </is>
      </c>
      <c r="M1393" t="inlineStr">
        <is>
          <t>UNAVAILABLE</t>
        </is>
      </c>
      <c r="N1393" s="5" t="inlineStr">
        <is>
          <t>Semrush phrase_these returned no data (not billed)</t>
        </is>
      </c>
      <c r="O1393" t="inlineStr">
        <is>
          <t>2026-10-30</t>
        </is>
      </c>
      <c r="P1393">
        <f>IF(IF(J1393="NOT AVAILABLE","",J1393)="",12,IF(OR(ISNUMBER(SEARCH("Transactional",IF(J1393="NOT AVAILABLE","",J1393))),ISNUMBER(SEARCH("Commercial",IF(J1393="NOT AVAILABLE","",J1393)))),25,IF(ISNUMBER(SEARCH("Informational",IF(J1393="NOT AVAILABLE","",J1393))),10,IF(ISNUMBER(SEARCH("Navigational",IF(J1393="NOT AVAILABLE","",J1393))),0,12))))</f>
        <v/>
      </c>
      <c r="Q1393">
        <f>IF(ISNUMBER(F1393),MIN(30,ROUND(30*LOG10(F1393+1)/4,1)),0)</f>
        <v/>
      </c>
      <c r="R1393">
        <f>IF(ISNUMBER(G1393),ROUND(25*(100-G1393)/100,1),12.5)</f>
        <v/>
      </c>
      <c r="S1393" t="n">
        <v>14</v>
      </c>
      <c r="T1393">
        <f>ROUND(P1393+Q1393+R1393+S1393,0)</f>
        <v/>
      </c>
      <c r="U1393" s="5" t="inlineStr"/>
      <c r="V1393" s="5" t="inlineStr"/>
    </row>
    <row r="1394">
      <c r="A1394" t="inlineStr">
        <is>
          <t>K1392</t>
        </is>
      </c>
      <c r="B1394" t="inlineStr">
        <is>
          <t>agence web copenhague</t>
        </is>
      </c>
      <c r="C1394" t="inlineStr">
        <is>
          <t>France</t>
        </is>
      </c>
      <c r="D1394" t="inlineStr">
        <is>
          <t>fr</t>
        </is>
      </c>
      <c r="E1394" t="inlineStr">
        <is>
          <t>fr</t>
        </is>
      </c>
      <c r="F1394" t="inlineStr">
        <is>
          <t>NOT AVAILABLE</t>
        </is>
      </c>
      <c r="G1394" t="inlineStr">
        <is>
          <t>NOT AVAILABLE</t>
        </is>
      </c>
      <c r="H1394" t="inlineStr">
        <is>
          <t>NOT AVAILABLE</t>
        </is>
      </c>
      <c r="I1394" t="inlineStr">
        <is>
          <t>NOT AVAILABLE</t>
        </is>
      </c>
      <c r="J1394" t="inlineStr">
        <is>
          <t>NOT AVAILABLE</t>
        </is>
      </c>
      <c r="K1394" t="inlineStr">
        <is>
          <t>NOT AVAILABLE</t>
        </is>
      </c>
      <c r="L1394" t="inlineStr">
        <is>
          <t>NOT AVAILABLE</t>
        </is>
      </c>
      <c r="M1394" t="inlineStr">
        <is>
          <t>UNAVAILABLE</t>
        </is>
      </c>
      <c r="N1394" s="5" t="inlineStr">
        <is>
          <t>Semrush phrase_these returned no data (not billed)</t>
        </is>
      </c>
      <c r="O1394" t="inlineStr">
        <is>
          <t>2026-10-30</t>
        </is>
      </c>
      <c r="P1394">
        <f>IF(IF(J1394="NOT AVAILABLE","",J1394)="",12,IF(OR(ISNUMBER(SEARCH("Transactional",IF(J1394="NOT AVAILABLE","",J1394))),ISNUMBER(SEARCH("Commercial",IF(J1394="NOT AVAILABLE","",J1394)))),25,IF(ISNUMBER(SEARCH("Informational",IF(J1394="NOT AVAILABLE","",J1394))),10,IF(ISNUMBER(SEARCH("Navigational",IF(J1394="NOT AVAILABLE","",J1394))),0,12))))</f>
        <v/>
      </c>
      <c r="Q1394">
        <f>IF(ISNUMBER(F1394),MIN(30,ROUND(30*LOG10(F1394+1)/4,1)),0)</f>
        <v/>
      </c>
      <c r="R1394">
        <f>IF(ISNUMBER(G1394),ROUND(25*(100-G1394)/100,1),12.5)</f>
        <v/>
      </c>
      <c r="S1394" t="n">
        <v>14</v>
      </c>
      <c r="T1394">
        <f>ROUND(P1394+Q1394+R1394+S1394,0)</f>
        <v/>
      </c>
      <c r="U1394" s="5" t="inlineStr"/>
      <c r="V1394" s="5" t="inlineStr"/>
    </row>
    <row r="1395">
      <c r="A1395" t="inlineStr">
        <is>
          <t>K1393</t>
        </is>
      </c>
      <c r="B1395" t="inlineStr">
        <is>
          <t>agence web denver</t>
        </is>
      </c>
      <c r="C1395" t="inlineStr">
        <is>
          <t>France</t>
        </is>
      </c>
      <c r="D1395" t="inlineStr">
        <is>
          <t>fr</t>
        </is>
      </c>
      <c r="E1395" t="inlineStr">
        <is>
          <t>fr</t>
        </is>
      </c>
      <c r="F1395" t="inlineStr">
        <is>
          <t>NOT AVAILABLE</t>
        </is>
      </c>
      <c r="G1395" t="inlineStr">
        <is>
          <t>NOT AVAILABLE</t>
        </is>
      </c>
      <c r="H1395" t="inlineStr">
        <is>
          <t>NOT AVAILABLE</t>
        </is>
      </c>
      <c r="I1395" t="inlineStr">
        <is>
          <t>NOT AVAILABLE</t>
        </is>
      </c>
      <c r="J1395" t="inlineStr">
        <is>
          <t>NOT AVAILABLE</t>
        </is>
      </c>
      <c r="K1395" t="inlineStr">
        <is>
          <t>NOT AVAILABLE</t>
        </is>
      </c>
      <c r="L1395" t="inlineStr">
        <is>
          <t>NOT AVAILABLE</t>
        </is>
      </c>
      <c r="M1395" t="inlineStr">
        <is>
          <t>UNAVAILABLE</t>
        </is>
      </c>
      <c r="N1395" s="5" t="inlineStr">
        <is>
          <t>Semrush phrase_these returned no data (not billed)</t>
        </is>
      </c>
      <c r="O1395" t="inlineStr">
        <is>
          <t>2026-10-30</t>
        </is>
      </c>
      <c r="P1395">
        <f>IF(IF(J1395="NOT AVAILABLE","",J1395)="",12,IF(OR(ISNUMBER(SEARCH("Transactional",IF(J1395="NOT AVAILABLE","",J1395))),ISNUMBER(SEARCH("Commercial",IF(J1395="NOT AVAILABLE","",J1395)))),25,IF(ISNUMBER(SEARCH("Informational",IF(J1395="NOT AVAILABLE","",J1395))),10,IF(ISNUMBER(SEARCH("Navigational",IF(J1395="NOT AVAILABLE","",J1395))),0,12))))</f>
        <v/>
      </c>
      <c r="Q1395">
        <f>IF(ISNUMBER(F1395),MIN(30,ROUND(30*LOG10(F1395+1)/4,1)),0)</f>
        <v/>
      </c>
      <c r="R1395">
        <f>IF(ISNUMBER(G1395),ROUND(25*(100-G1395)/100,1),12.5)</f>
        <v/>
      </c>
      <c r="S1395" t="n">
        <v>14</v>
      </c>
      <c r="T1395">
        <f>ROUND(P1395+Q1395+R1395+S1395,0)</f>
        <v/>
      </c>
      <c r="U1395" s="5" t="inlineStr"/>
      <c r="V1395" s="5" t="inlineStr"/>
    </row>
    <row r="1396">
      <c r="A1396" t="inlineStr">
        <is>
          <t>K1394</t>
        </is>
      </c>
      <c r="B1396" t="inlineStr">
        <is>
          <t>agence web dublin</t>
        </is>
      </c>
      <c r="C1396" t="inlineStr">
        <is>
          <t>France</t>
        </is>
      </c>
      <c r="D1396" t="inlineStr">
        <is>
          <t>fr</t>
        </is>
      </c>
      <c r="E1396" t="inlineStr">
        <is>
          <t>fr</t>
        </is>
      </c>
      <c r="F1396" t="n">
        <v>0</v>
      </c>
      <c r="G1396" t="inlineStr">
        <is>
          <t>NOT AVAILABLE</t>
        </is>
      </c>
      <c r="H1396" t="n">
        <v>0</v>
      </c>
      <c r="I1396" t="n">
        <v>0</v>
      </c>
      <c r="J1396" t="inlineStr">
        <is>
          <t>NOT AVAILABLE</t>
        </is>
      </c>
      <c r="K1396" t="inlineStr">
        <is>
          <t>NOT AVAILABLE (report not requested)</t>
        </is>
      </c>
      <c r="L1396" t="inlineStr">
        <is>
          <t>flat (no data)</t>
        </is>
      </c>
      <c r="M1396" t="inlineStr">
        <is>
          <t>MEASURED</t>
        </is>
      </c>
      <c r="N1396" s="5" t="inlineStr">
        <is>
          <t>Semrush phrase_these (live, this session)</t>
        </is>
      </c>
      <c r="O1396" t="inlineStr">
        <is>
          <t>2026-10-30</t>
        </is>
      </c>
      <c r="P1396">
        <f>IF(IF(J1396="NOT AVAILABLE","",J1396)="",12,IF(OR(ISNUMBER(SEARCH("Transactional",IF(J1396="NOT AVAILABLE","",J1396))),ISNUMBER(SEARCH("Commercial",IF(J1396="NOT AVAILABLE","",J1396)))),25,IF(ISNUMBER(SEARCH("Informational",IF(J1396="NOT AVAILABLE","",J1396))),10,IF(ISNUMBER(SEARCH("Navigational",IF(J1396="NOT AVAILABLE","",J1396))),0,12))))</f>
        <v/>
      </c>
      <c r="Q1396">
        <f>IF(ISNUMBER(F1396),MIN(30,ROUND(30*LOG10(F1396+1)/4,1)),0)</f>
        <v/>
      </c>
      <c r="R1396">
        <f>IF(ISNUMBER(G1396),ROUND(25*(100-G1396)/100,1),12.5)</f>
        <v/>
      </c>
      <c r="S1396" t="n">
        <v>14</v>
      </c>
      <c r="T1396">
        <f>ROUND(P1396+Q1396+R1396+S1396,0)</f>
        <v/>
      </c>
      <c r="U1396" s="5" t="inlineStr"/>
      <c r="V1396" s="5" t="inlineStr"/>
    </row>
    <row r="1397">
      <c r="A1397" t="inlineStr">
        <is>
          <t>K1395</t>
        </is>
      </c>
      <c r="B1397" t="inlineStr">
        <is>
          <t>agence web lagos</t>
        </is>
      </c>
      <c r="C1397" t="inlineStr">
        <is>
          <t>France</t>
        </is>
      </c>
      <c r="D1397" t="inlineStr">
        <is>
          <t>fr</t>
        </is>
      </c>
      <c r="E1397" t="inlineStr">
        <is>
          <t>fr</t>
        </is>
      </c>
      <c r="F1397" t="inlineStr">
        <is>
          <t>NOT AVAILABLE</t>
        </is>
      </c>
      <c r="G1397" t="inlineStr">
        <is>
          <t>NOT AVAILABLE</t>
        </is>
      </c>
      <c r="H1397" t="inlineStr">
        <is>
          <t>NOT AVAILABLE</t>
        </is>
      </c>
      <c r="I1397" t="inlineStr">
        <is>
          <t>NOT AVAILABLE</t>
        </is>
      </c>
      <c r="J1397" t="inlineStr">
        <is>
          <t>NOT AVAILABLE</t>
        </is>
      </c>
      <c r="K1397" t="inlineStr">
        <is>
          <t>NOT AVAILABLE</t>
        </is>
      </c>
      <c r="L1397" t="inlineStr">
        <is>
          <t>NOT AVAILABLE</t>
        </is>
      </c>
      <c r="M1397" t="inlineStr">
        <is>
          <t>UNAVAILABLE</t>
        </is>
      </c>
      <c r="N1397" s="5" t="inlineStr">
        <is>
          <t>Semrush phrase_these returned no data (not billed)</t>
        </is>
      </c>
      <c r="O1397" t="inlineStr">
        <is>
          <t>2026-10-30</t>
        </is>
      </c>
      <c r="P1397">
        <f>IF(IF(J1397="NOT AVAILABLE","",J1397)="",12,IF(OR(ISNUMBER(SEARCH("Transactional",IF(J1397="NOT AVAILABLE","",J1397))),ISNUMBER(SEARCH("Commercial",IF(J1397="NOT AVAILABLE","",J1397)))),25,IF(ISNUMBER(SEARCH("Informational",IF(J1397="NOT AVAILABLE","",J1397))),10,IF(ISNUMBER(SEARCH("Navigational",IF(J1397="NOT AVAILABLE","",J1397))),0,12))))</f>
        <v/>
      </c>
      <c r="Q1397">
        <f>IF(ISNUMBER(F1397),MIN(30,ROUND(30*LOG10(F1397+1)/4,1)),0)</f>
        <v/>
      </c>
      <c r="R1397">
        <f>IF(ISNUMBER(G1397),ROUND(25*(100-G1397)/100,1),12.5)</f>
        <v/>
      </c>
      <c r="S1397" t="n">
        <v>14</v>
      </c>
      <c r="T1397">
        <f>ROUND(P1397+Q1397+R1397+S1397,0)</f>
        <v/>
      </c>
      <c r="U1397" s="5" t="inlineStr"/>
      <c r="V1397" s="5" t="inlineStr"/>
    </row>
    <row r="1398">
      <c r="A1398" t="inlineStr">
        <is>
          <t>K1396</t>
        </is>
      </c>
      <c r="B1398" t="inlineStr">
        <is>
          <t>agence web le caire</t>
        </is>
      </c>
      <c r="C1398" t="inlineStr">
        <is>
          <t>France</t>
        </is>
      </c>
      <c r="D1398" t="inlineStr">
        <is>
          <t>fr</t>
        </is>
      </c>
      <c r="E1398" t="inlineStr">
        <is>
          <t>fr</t>
        </is>
      </c>
      <c r="F1398" t="inlineStr">
        <is>
          <t>NOT AVAILABLE</t>
        </is>
      </c>
      <c r="G1398" t="inlineStr">
        <is>
          <t>NOT AVAILABLE</t>
        </is>
      </c>
      <c r="H1398" t="inlineStr">
        <is>
          <t>NOT AVAILABLE</t>
        </is>
      </c>
      <c r="I1398" t="inlineStr">
        <is>
          <t>NOT AVAILABLE</t>
        </is>
      </c>
      <c r="J1398" t="inlineStr">
        <is>
          <t>NOT AVAILABLE</t>
        </is>
      </c>
      <c r="K1398" t="inlineStr">
        <is>
          <t>NOT AVAILABLE</t>
        </is>
      </c>
      <c r="L1398" t="inlineStr">
        <is>
          <t>NOT AVAILABLE</t>
        </is>
      </c>
      <c r="M1398" t="inlineStr">
        <is>
          <t>UNAVAILABLE</t>
        </is>
      </c>
      <c r="N1398" s="5" t="inlineStr">
        <is>
          <t>Semrush phrase_these returned no data (not billed)</t>
        </is>
      </c>
      <c r="O1398" t="inlineStr">
        <is>
          <t>2026-10-30</t>
        </is>
      </c>
      <c r="P1398">
        <f>IF(IF(J1398="NOT AVAILABLE","",J1398)="",12,IF(OR(ISNUMBER(SEARCH("Transactional",IF(J1398="NOT AVAILABLE","",J1398))),ISNUMBER(SEARCH("Commercial",IF(J1398="NOT AVAILABLE","",J1398)))),25,IF(ISNUMBER(SEARCH("Informational",IF(J1398="NOT AVAILABLE","",J1398))),10,IF(ISNUMBER(SEARCH("Navigational",IF(J1398="NOT AVAILABLE","",J1398))),0,12))))</f>
        <v/>
      </c>
      <c r="Q1398">
        <f>IF(ISNUMBER(F1398),MIN(30,ROUND(30*LOG10(F1398+1)/4,1)),0)</f>
        <v/>
      </c>
      <c r="R1398">
        <f>IF(ISNUMBER(G1398),ROUND(25*(100-G1398)/100,1),12.5)</f>
        <v/>
      </c>
      <c r="S1398" t="n">
        <v>14</v>
      </c>
      <c r="T1398">
        <f>ROUND(P1398+Q1398+R1398+S1398,0)</f>
        <v/>
      </c>
      <c r="U1398" s="5" t="inlineStr"/>
      <c r="V1398" s="5" t="inlineStr"/>
    </row>
    <row r="1399">
      <c r="A1399" t="inlineStr">
        <is>
          <t>K1397</t>
        </is>
      </c>
      <c r="B1399" t="inlineStr">
        <is>
          <t>agence web los angeles</t>
        </is>
      </c>
      <c r="C1399" t="inlineStr">
        <is>
          <t>France</t>
        </is>
      </c>
      <c r="D1399" t="inlineStr">
        <is>
          <t>fr</t>
        </is>
      </c>
      <c r="E1399" t="inlineStr">
        <is>
          <t>fr</t>
        </is>
      </c>
      <c r="F1399" t="n">
        <v>0</v>
      </c>
      <c r="G1399" t="inlineStr">
        <is>
          <t>NOT AVAILABLE</t>
        </is>
      </c>
      <c r="H1399" t="n">
        <v>0</v>
      </c>
      <c r="I1399" t="n">
        <v>0</v>
      </c>
      <c r="J1399" t="inlineStr">
        <is>
          <t>NOT AVAILABLE</t>
        </is>
      </c>
      <c r="K1399" t="inlineStr">
        <is>
          <t>NOT AVAILABLE (report not requested)</t>
        </is>
      </c>
      <c r="L1399" t="inlineStr">
        <is>
          <t>flat (no data)</t>
        </is>
      </c>
      <c r="M1399" t="inlineStr">
        <is>
          <t>MEASURED</t>
        </is>
      </c>
      <c r="N1399" s="5" t="inlineStr">
        <is>
          <t>Semrush phrase_these (live, this session)</t>
        </is>
      </c>
      <c r="O1399" t="inlineStr">
        <is>
          <t>2026-10-30</t>
        </is>
      </c>
      <c r="P1399">
        <f>IF(IF(J1399="NOT AVAILABLE","",J1399)="",12,IF(OR(ISNUMBER(SEARCH("Transactional",IF(J1399="NOT AVAILABLE","",J1399))),ISNUMBER(SEARCH("Commercial",IF(J1399="NOT AVAILABLE","",J1399)))),25,IF(ISNUMBER(SEARCH("Informational",IF(J1399="NOT AVAILABLE","",J1399))),10,IF(ISNUMBER(SEARCH("Navigational",IF(J1399="NOT AVAILABLE","",J1399))),0,12))))</f>
        <v/>
      </c>
      <c r="Q1399">
        <f>IF(ISNUMBER(F1399),MIN(30,ROUND(30*LOG10(F1399+1)/4,1)),0)</f>
        <v/>
      </c>
      <c r="R1399">
        <f>IF(ISNUMBER(G1399),ROUND(25*(100-G1399)/100,1),12.5)</f>
        <v/>
      </c>
      <c r="S1399" t="n">
        <v>14</v>
      </c>
      <c r="T1399">
        <f>ROUND(P1399+Q1399+R1399+S1399,0)</f>
        <v/>
      </c>
      <c r="U1399" s="5" t="inlineStr"/>
      <c r="V1399" s="5" t="inlineStr"/>
    </row>
    <row r="1400">
      <c r="A1400" t="inlineStr">
        <is>
          <t>K1398</t>
        </is>
      </c>
      <c r="B1400" t="inlineStr">
        <is>
          <t>agence web madrid</t>
        </is>
      </c>
      <c r="C1400" t="inlineStr">
        <is>
          <t>France</t>
        </is>
      </c>
      <c r="D1400" t="inlineStr">
        <is>
          <t>fr</t>
        </is>
      </c>
      <c r="E1400" t="inlineStr">
        <is>
          <t>fr</t>
        </is>
      </c>
      <c r="F1400" t="inlineStr">
        <is>
          <t>NOT AVAILABLE</t>
        </is>
      </c>
      <c r="G1400" t="inlineStr">
        <is>
          <t>NOT AVAILABLE</t>
        </is>
      </c>
      <c r="H1400" t="inlineStr">
        <is>
          <t>NOT AVAILABLE</t>
        </is>
      </c>
      <c r="I1400" t="inlineStr">
        <is>
          <t>NOT AVAILABLE</t>
        </is>
      </c>
      <c r="J1400" t="inlineStr">
        <is>
          <t>NOT AVAILABLE</t>
        </is>
      </c>
      <c r="K1400" t="inlineStr">
        <is>
          <t>NOT AVAILABLE</t>
        </is>
      </c>
      <c r="L1400" t="inlineStr">
        <is>
          <t>NOT AVAILABLE</t>
        </is>
      </c>
      <c r="M1400" t="inlineStr">
        <is>
          <t>UNAVAILABLE</t>
        </is>
      </c>
      <c r="N1400" s="5" t="inlineStr">
        <is>
          <t>Semrush phrase_these returned no data (not billed)</t>
        </is>
      </c>
      <c r="O1400" t="inlineStr">
        <is>
          <t>2026-10-30</t>
        </is>
      </c>
      <c r="P1400">
        <f>IF(IF(J1400="NOT AVAILABLE","",J1400)="",12,IF(OR(ISNUMBER(SEARCH("Transactional",IF(J1400="NOT AVAILABLE","",J1400))),ISNUMBER(SEARCH("Commercial",IF(J1400="NOT AVAILABLE","",J1400)))),25,IF(ISNUMBER(SEARCH("Informational",IF(J1400="NOT AVAILABLE","",J1400))),10,IF(ISNUMBER(SEARCH("Navigational",IF(J1400="NOT AVAILABLE","",J1400))),0,12))))</f>
        <v/>
      </c>
      <c r="Q1400">
        <f>IF(ISNUMBER(F1400),MIN(30,ROUND(30*LOG10(F1400+1)/4,1)),0)</f>
        <v/>
      </c>
      <c r="R1400">
        <f>IF(ISNUMBER(G1400),ROUND(25*(100-G1400)/100,1),12.5)</f>
        <v/>
      </c>
      <c r="S1400" t="n">
        <v>14</v>
      </c>
      <c r="T1400">
        <f>ROUND(P1400+Q1400+R1400+S1400,0)</f>
        <v/>
      </c>
      <c r="U1400" s="5" t="inlineStr"/>
      <c r="V1400" s="5" t="inlineStr"/>
    </row>
    <row r="1401">
      <c r="A1401" t="inlineStr">
        <is>
          <t>K1399</t>
        </is>
      </c>
      <c r="B1401" t="inlineStr">
        <is>
          <t>agence web milan</t>
        </is>
      </c>
      <c r="C1401" t="inlineStr">
        <is>
          <t>France</t>
        </is>
      </c>
      <c r="D1401" t="inlineStr">
        <is>
          <t>fr</t>
        </is>
      </c>
      <c r="E1401" t="inlineStr">
        <is>
          <t>fr</t>
        </is>
      </c>
      <c r="F1401" t="inlineStr">
        <is>
          <t>NOT AVAILABLE</t>
        </is>
      </c>
      <c r="G1401" t="inlineStr">
        <is>
          <t>NOT AVAILABLE</t>
        </is>
      </c>
      <c r="H1401" t="inlineStr">
        <is>
          <t>NOT AVAILABLE</t>
        </is>
      </c>
      <c r="I1401" t="inlineStr">
        <is>
          <t>NOT AVAILABLE</t>
        </is>
      </c>
      <c r="J1401" t="inlineStr">
        <is>
          <t>NOT AVAILABLE</t>
        </is>
      </c>
      <c r="K1401" t="inlineStr">
        <is>
          <t>NOT AVAILABLE</t>
        </is>
      </c>
      <c r="L1401" t="inlineStr">
        <is>
          <t>NOT AVAILABLE</t>
        </is>
      </c>
      <c r="M1401" t="inlineStr">
        <is>
          <t>UNAVAILABLE</t>
        </is>
      </c>
      <c r="N1401" s="5" t="inlineStr">
        <is>
          <t>Semrush phrase_these returned no data (not billed)</t>
        </is>
      </c>
      <c r="O1401" t="inlineStr">
        <is>
          <t>2026-10-30</t>
        </is>
      </c>
      <c r="P1401">
        <f>IF(IF(J1401="NOT AVAILABLE","",J1401)="",12,IF(OR(ISNUMBER(SEARCH("Transactional",IF(J1401="NOT AVAILABLE","",J1401))),ISNUMBER(SEARCH("Commercial",IF(J1401="NOT AVAILABLE","",J1401)))),25,IF(ISNUMBER(SEARCH("Informational",IF(J1401="NOT AVAILABLE","",J1401))),10,IF(ISNUMBER(SEARCH("Navigational",IF(J1401="NOT AVAILABLE","",J1401))),0,12))))</f>
        <v/>
      </c>
      <c r="Q1401">
        <f>IF(ISNUMBER(F1401),MIN(30,ROUND(30*LOG10(F1401+1)/4,1)),0)</f>
        <v/>
      </c>
      <c r="R1401">
        <f>IF(ISNUMBER(G1401),ROUND(25*(100-G1401)/100,1),12.5)</f>
        <v/>
      </c>
      <c r="S1401" t="n">
        <v>14</v>
      </c>
      <c r="T1401">
        <f>ROUND(P1401+Q1401+R1401+S1401,0)</f>
        <v/>
      </c>
      <c r="U1401" s="5" t="inlineStr"/>
      <c r="V1401" s="5" t="inlineStr"/>
    </row>
    <row r="1402">
      <c r="A1402" t="inlineStr">
        <is>
          <t>K1400</t>
        </is>
      </c>
      <c r="B1402" t="inlineStr">
        <is>
          <t>agence web nearshore</t>
        </is>
      </c>
      <c r="C1402" t="inlineStr">
        <is>
          <t>France</t>
        </is>
      </c>
      <c r="D1402" t="inlineStr">
        <is>
          <t>fr</t>
        </is>
      </c>
      <c r="E1402" t="inlineStr">
        <is>
          <t>fr</t>
        </is>
      </c>
      <c r="F1402" t="inlineStr">
        <is>
          <t>NOT AVAILABLE</t>
        </is>
      </c>
      <c r="G1402" t="inlineStr">
        <is>
          <t>NOT AVAILABLE</t>
        </is>
      </c>
      <c r="H1402" t="inlineStr">
        <is>
          <t>NOT AVAILABLE</t>
        </is>
      </c>
      <c r="I1402" t="inlineStr">
        <is>
          <t>NOT AVAILABLE</t>
        </is>
      </c>
      <c r="J1402" t="inlineStr">
        <is>
          <t>NOT AVAILABLE</t>
        </is>
      </c>
      <c r="K1402" t="inlineStr">
        <is>
          <t>NOT AVAILABLE</t>
        </is>
      </c>
      <c r="L1402" t="inlineStr">
        <is>
          <t>NOT AVAILABLE</t>
        </is>
      </c>
      <c r="M1402" t="inlineStr">
        <is>
          <t>UNAVAILABLE</t>
        </is>
      </c>
      <c r="N1402" s="5" t="inlineStr">
        <is>
          <t>Semrush phrase_these returned no data (not billed)</t>
        </is>
      </c>
      <c r="O1402" t="inlineStr">
        <is>
          <t>2026-10-30</t>
        </is>
      </c>
      <c r="P1402">
        <f>IF(IF(J1402="NOT AVAILABLE","",J1402)="",12,IF(OR(ISNUMBER(SEARCH("Transactional",IF(J1402="NOT AVAILABLE","",J1402))),ISNUMBER(SEARCH("Commercial",IF(J1402="NOT AVAILABLE","",J1402)))),25,IF(ISNUMBER(SEARCH("Informational",IF(J1402="NOT AVAILABLE","",J1402))),10,IF(ISNUMBER(SEARCH("Navigational",IF(J1402="NOT AVAILABLE","",J1402))),0,12))))</f>
        <v/>
      </c>
      <c r="Q1402">
        <f>IF(ISNUMBER(F1402),MIN(30,ROUND(30*LOG10(F1402+1)/4,1)),0)</f>
        <v/>
      </c>
      <c r="R1402">
        <f>IF(ISNUMBER(G1402),ROUND(25*(100-G1402)/100,1),12.5)</f>
        <v/>
      </c>
      <c r="S1402" t="n">
        <v>14</v>
      </c>
      <c r="T1402">
        <f>ROUND(P1402+Q1402+R1402+S1402,0)</f>
        <v/>
      </c>
      <c r="U1402" s="5" t="inlineStr"/>
      <c r="V1402" s="5" t="inlineStr"/>
    </row>
    <row r="1403">
      <c r="A1403" t="inlineStr">
        <is>
          <t>K1401</t>
        </is>
      </c>
      <c r="B1403" t="inlineStr">
        <is>
          <t>agence web riyad</t>
        </is>
      </c>
      <c r="C1403" t="inlineStr">
        <is>
          <t>France</t>
        </is>
      </c>
      <c r="D1403" t="inlineStr">
        <is>
          <t>fr</t>
        </is>
      </c>
      <c r="E1403" t="inlineStr">
        <is>
          <t>fr</t>
        </is>
      </c>
      <c r="F1403" t="inlineStr">
        <is>
          <t>NOT AVAILABLE</t>
        </is>
      </c>
      <c r="G1403" t="inlineStr">
        <is>
          <t>NOT AVAILABLE</t>
        </is>
      </c>
      <c r="H1403" t="inlineStr">
        <is>
          <t>NOT AVAILABLE</t>
        </is>
      </c>
      <c r="I1403" t="inlineStr">
        <is>
          <t>NOT AVAILABLE</t>
        </is>
      </c>
      <c r="J1403" t="inlineStr">
        <is>
          <t>NOT AVAILABLE</t>
        </is>
      </c>
      <c r="K1403" t="inlineStr">
        <is>
          <t>NOT AVAILABLE</t>
        </is>
      </c>
      <c r="L1403" t="inlineStr">
        <is>
          <t>NOT AVAILABLE</t>
        </is>
      </c>
      <c r="M1403" t="inlineStr">
        <is>
          <t>UNAVAILABLE</t>
        </is>
      </c>
      <c r="N1403" s="5" t="inlineStr">
        <is>
          <t>Semrush phrase_these returned no data (not billed)</t>
        </is>
      </c>
      <c r="O1403" t="inlineStr">
        <is>
          <t>2026-10-30</t>
        </is>
      </c>
      <c r="P1403">
        <f>IF(IF(J1403="NOT AVAILABLE","",J1403)="",12,IF(OR(ISNUMBER(SEARCH("Transactional",IF(J1403="NOT AVAILABLE","",J1403))),ISNUMBER(SEARCH("Commercial",IF(J1403="NOT AVAILABLE","",J1403)))),25,IF(ISNUMBER(SEARCH("Informational",IF(J1403="NOT AVAILABLE","",J1403))),10,IF(ISNUMBER(SEARCH("Navigational",IF(J1403="NOT AVAILABLE","",J1403))),0,12))))</f>
        <v/>
      </c>
      <c r="Q1403">
        <f>IF(ISNUMBER(F1403),MIN(30,ROUND(30*LOG10(F1403+1)/4,1)),0)</f>
        <v/>
      </c>
      <c r="R1403">
        <f>IF(ISNUMBER(G1403),ROUND(25*(100-G1403)/100,1),12.5)</f>
        <v/>
      </c>
      <c r="S1403" t="n">
        <v>14</v>
      </c>
      <c r="T1403">
        <f>ROUND(P1403+Q1403+R1403+S1403,0)</f>
        <v/>
      </c>
      <c r="U1403" s="5" t="inlineStr"/>
      <c r="V1403" s="5" t="inlineStr"/>
    </row>
    <row r="1404">
      <c r="A1404" t="inlineStr">
        <is>
          <t>K1402</t>
        </is>
      </c>
      <c r="B1404" t="inlineStr">
        <is>
          <t>agence web rome</t>
        </is>
      </c>
      <c r="C1404" t="inlineStr">
        <is>
          <t>France</t>
        </is>
      </c>
      <c r="D1404" t="inlineStr">
        <is>
          <t>fr</t>
        </is>
      </c>
      <c r="E1404" t="inlineStr">
        <is>
          <t>fr</t>
        </is>
      </c>
      <c r="F1404" t="inlineStr">
        <is>
          <t>NOT AVAILABLE</t>
        </is>
      </c>
      <c r="G1404" t="inlineStr">
        <is>
          <t>NOT AVAILABLE</t>
        </is>
      </c>
      <c r="H1404" t="inlineStr">
        <is>
          <t>NOT AVAILABLE</t>
        </is>
      </c>
      <c r="I1404" t="inlineStr">
        <is>
          <t>NOT AVAILABLE</t>
        </is>
      </c>
      <c r="J1404" t="inlineStr">
        <is>
          <t>NOT AVAILABLE</t>
        </is>
      </c>
      <c r="K1404" t="inlineStr">
        <is>
          <t>NOT AVAILABLE</t>
        </is>
      </c>
      <c r="L1404" t="inlineStr">
        <is>
          <t>NOT AVAILABLE</t>
        </is>
      </c>
      <c r="M1404" t="inlineStr">
        <is>
          <t>UNAVAILABLE</t>
        </is>
      </c>
      <c r="N1404" s="5" t="inlineStr">
        <is>
          <t>Semrush phrase_these returned no data (not billed)</t>
        </is>
      </c>
      <c r="O1404" t="inlineStr">
        <is>
          <t>2026-10-30</t>
        </is>
      </c>
      <c r="P1404">
        <f>IF(IF(J1404="NOT AVAILABLE","",J1404)="",12,IF(OR(ISNUMBER(SEARCH("Transactional",IF(J1404="NOT AVAILABLE","",J1404))),ISNUMBER(SEARCH("Commercial",IF(J1404="NOT AVAILABLE","",J1404)))),25,IF(ISNUMBER(SEARCH("Informational",IF(J1404="NOT AVAILABLE","",J1404))),10,IF(ISNUMBER(SEARCH("Navigational",IF(J1404="NOT AVAILABLE","",J1404))),0,12))))</f>
        <v/>
      </c>
      <c r="Q1404">
        <f>IF(ISNUMBER(F1404),MIN(30,ROUND(30*LOG10(F1404+1)/4,1)),0)</f>
        <v/>
      </c>
      <c r="R1404">
        <f>IF(ISNUMBER(G1404),ROUND(25*(100-G1404)/100,1),12.5)</f>
        <v/>
      </c>
      <c r="S1404" t="n">
        <v>14</v>
      </c>
      <c r="T1404">
        <f>ROUND(P1404+Q1404+R1404+S1404,0)</f>
        <v/>
      </c>
      <c r="U1404" s="5" t="inlineStr"/>
      <c r="V1404" s="5" t="inlineStr"/>
    </row>
    <row r="1405">
      <c r="A1405" t="inlineStr">
        <is>
          <t>K1403</t>
        </is>
      </c>
      <c r="B1405" t="inlineStr">
        <is>
          <t>agence web san francisco</t>
        </is>
      </c>
      <c r="C1405" t="inlineStr">
        <is>
          <t>France</t>
        </is>
      </c>
      <c r="D1405" t="inlineStr">
        <is>
          <t>fr</t>
        </is>
      </c>
      <c r="E1405" t="inlineStr">
        <is>
          <t>fr</t>
        </is>
      </c>
      <c r="F1405" t="n">
        <v>0</v>
      </c>
      <c r="G1405" t="inlineStr">
        <is>
          <t>NOT AVAILABLE</t>
        </is>
      </c>
      <c r="H1405" t="n">
        <v>0</v>
      </c>
      <c r="I1405" t="n">
        <v>0</v>
      </c>
      <c r="J1405" t="inlineStr">
        <is>
          <t>NOT AVAILABLE</t>
        </is>
      </c>
      <c r="K1405" t="inlineStr">
        <is>
          <t>NOT AVAILABLE (report not requested)</t>
        </is>
      </c>
      <c r="L1405" t="inlineStr">
        <is>
          <t>flat (no data)</t>
        </is>
      </c>
      <c r="M1405" t="inlineStr">
        <is>
          <t>MEASURED</t>
        </is>
      </c>
      <c r="N1405" s="5" t="inlineStr">
        <is>
          <t>Semrush phrase_these (live, this session)</t>
        </is>
      </c>
      <c r="O1405" t="inlineStr">
        <is>
          <t>2026-10-30</t>
        </is>
      </c>
      <c r="P1405">
        <f>IF(IF(J1405="NOT AVAILABLE","",J1405)="",12,IF(OR(ISNUMBER(SEARCH("Transactional",IF(J1405="NOT AVAILABLE","",J1405))),ISNUMBER(SEARCH("Commercial",IF(J1405="NOT AVAILABLE","",J1405)))),25,IF(ISNUMBER(SEARCH("Informational",IF(J1405="NOT AVAILABLE","",J1405))),10,IF(ISNUMBER(SEARCH("Navigational",IF(J1405="NOT AVAILABLE","",J1405))),0,12))))</f>
        <v/>
      </c>
      <c r="Q1405">
        <f>IF(ISNUMBER(F1405),MIN(30,ROUND(30*LOG10(F1405+1)/4,1)),0)</f>
        <v/>
      </c>
      <c r="R1405">
        <f>IF(ISNUMBER(G1405),ROUND(25*(100-G1405)/100,1),12.5)</f>
        <v/>
      </c>
      <c r="S1405" t="n">
        <v>14</v>
      </c>
      <c r="T1405">
        <f>ROUND(P1405+Q1405+R1405+S1405,0)</f>
        <v/>
      </c>
      <c r="U1405" s="5" t="inlineStr"/>
      <c r="V1405" s="5" t="inlineStr"/>
    </row>
    <row r="1406">
      <c r="A1406" t="inlineStr">
        <is>
          <t>K1404</t>
        </is>
      </c>
      <c r="B1406" t="inlineStr">
        <is>
          <t>agence web seattle</t>
        </is>
      </c>
      <c r="C1406" t="inlineStr">
        <is>
          <t>France</t>
        </is>
      </c>
      <c r="D1406" t="inlineStr">
        <is>
          <t>fr</t>
        </is>
      </c>
      <c r="E1406" t="inlineStr">
        <is>
          <t>fr</t>
        </is>
      </c>
      <c r="F1406" t="inlineStr">
        <is>
          <t>NOT AVAILABLE</t>
        </is>
      </c>
      <c r="G1406" t="inlineStr">
        <is>
          <t>NOT AVAILABLE</t>
        </is>
      </c>
      <c r="H1406" t="inlineStr">
        <is>
          <t>NOT AVAILABLE</t>
        </is>
      </c>
      <c r="I1406" t="inlineStr">
        <is>
          <t>NOT AVAILABLE</t>
        </is>
      </c>
      <c r="J1406" t="inlineStr">
        <is>
          <t>NOT AVAILABLE</t>
        </is>
      </c>
      <c r="K1406" t="inlineStr">
        <is>
          <t>NOT AVAILABLE</t>
        </is>
      </c>
      <c r="L1406" t="inlineStr">
        <is>
          <t>NOT AVAILABLE</t>
        </is>
      </c>
      <c r="M1406" t="inlineStr">
        <is>
          <t>UNAVAILABLE</t>
        </is>
      </c>
      <c r="N1406" s="5" t="inlineStr">
        <is>
          <t>Semrush phrase_these returned no data (not billed)</t>
        </is>
      </c>
      <c r="O1406" t="inlineStr">
        <is>
          <t>2026-10-30</t>
        </is>
      </c>
      <c r="P1406">
        <f>IF(IF(J1406="NOT AVAILABLE","",J1406)="",12,IF(OR(ISNUMBER(SEARCH("Transactional",IF(J1406="NOT AVAILABLE","",J1406))),ISNUMBER(SEARCH("Commercial",IF(J1406="NOT AVAILABLE","",J1406)))),25,IF(ISNUMBER(SEARCH("Informational",IF(J1406="NOT AVAILABLE","",J1406))),10,IF(ISNUMBER(SEARCH("Navigational",IF(J1406="NOT AVAILABLE","",J1406))),0,12))))</f>
        <v/>
      </c>
      <c r="Q1406">
        <f>IF(ISNUMBER(F1406),MIN(30,ROUND(30*LOG10(F1406+1)/4,1)),0)</f>
        <v/>
      </c>
      <c r="R1406">
        <f>IF(ISNUMBER(G1406),ROUND(25*(100-G1406)/100,1),12.5)</f>
        <v/>
      </c>
      <c r="S1406" t="n">
        <v>14</v>
      </c>
      <c r="T1406">
        <f>ROUND(P1406+Q1406+R1406+S1406,0)</f>
        <v/>
      </c>
      <c r="U1406" s="5" t="inlineStr"/>
      <c r="V1406" s="5" t="inlineStr"/>
    </row>
    <row r="1407">
      <c r="A1407" t="inlineStr">
        <is>
          <t>K1405</t>
        </is>
      </c>
      <c r="B1407" t="inlineStr">
        <is>
          <t>agence web stockholm</t>
        </is>
      </c>
      <c r="C1407" t="inlineStr">
        <is>
          <t>France</t>
        </is>
      </c>
      <c r="D1407" t="inlineStr">
        <is>
          <t>fr</t>
        </is>
      </c>
      <c r="E1407" t="inlineStr">
        <is>
          <t>fr</t>
        </is>
      </c>
      <c r="F1407" t="inlineStr">
        <is>
          <t>NOT AVAILABLE</t>
        </is>
      </c>
      <c r="G1407" t="inlineStr">
        <is>
          <t>NOT AVAILABLE</t>
        </is>
      </c>
      <c r="H1407" t="inlineStr">
        <is>
          <t>NOT AVAILABLE</t>
        </is>
      </c>
      <c r="I1407" t="inlineStr">
        <is>
          <t>NOT AVAILABLE</t>
        </is>
      </c>
      <c r="J1407" t="inlineStr">
        <is>
          <t>NOT AVAILABLE</t>
        </is>
      </c>
      <c r="K1407" t="inlineStr">
        <is>
          <t>NOT AVAILABLE</t>
        </is>
      </c>
      <c r="L1407" t="inlineStr">
        <is>
          <t>NOT AVAILABLE</t>
        </is>
      </c>
      <c r="M1407" t="inlineStr">
        <is>
          <t>UNAVAILABLE</t>
        </is>
      </c>
      <c r="N1407" s="5" t="inlineStr">
        <is>
          <t>Semrush phrase_these returned no data (not billed)</t>
        </is>
      </c>
      <c r="O1407" t="inlineStr">
        <is>
          <t>2026-10-30</t>
        </is>
      </c>
      <c r="P1407">
        <f>IF(IF(J1407="NOT AVAILABLE","",J1407)="",12,IF(OR(ISNUMBER(SEARCH("Transactional",IF(J1407="NOT AVAILABLE","",J1407))),ISNUMBER(SEARCH("Commercial",IF(J1407="NOT AVAILABLE","",J1407)))),25,IF(ISNUMBER(SEARCH("Informational",IF(J1407="NOT AVAILABLE","",J1407))),10,IF(ISNUMBER(SEARCH("Navigational",IF(J1407="NOT AVAILABLE","",J1407))),0,12))))</f>
        <v/>
      </c>
      <c r="Q1407">
        <f>IF(ISNUMBER(F1407),MIN(30,ROUND(30*LOG10(F1407+1)/4,1)),0)</f>
        <v/>
      </c>
      <c r="R1407">
        <f>IF(ISNUMBER(G1407),ROUND(25*(100-G1407)/100,1),12.5)</f>
        <v/>
      </c>
      <c r="S1407" t="n">
        <v>14</v>
      </c>
      <c r="T1407">
        <f>ROUND(P1407+Q1407+R1407+S1407,0)</f>
        <v/>
      </c>
      <c r="U1407" s="5" t="inlineStr"/>
      <c r="V1407" s="5" t="inlineStr"/>
    </row>
    <row r="1408">
      <c r="A1408" t="inlineStr">
        <is>
          <t>K1406</t>
        </is>
      </c>
      <c r="B1408" t="inlineStr">
        <is>
          <t>agence web toronto</t>
        </is>
      </c>
      <c r="C1408" t="inlineStr">
        <is>
          <t>France</t>
        </is>
      </c>
      <c r="D1408" t="inlineStr">
        <is>
          <t>fr</t>
        </is>
      </c>
      <c r="E1408" t="inlineStr">
        <is>
          <t>fr</t>
        </is>
      </c>
      <c r="F1408" t="n">
        <v>0</v>
      </c>
      <c r="G1408" t="inlineStr">
        <is>
          <t>NOT AVAILABLE</t>
        </is>
      </c>
      <c r="H1408" t="n">
        <v>2.36</v>
      </c>
      <c r="I1408" t="n">
        <v>0.39</v>
      </c>
      <c r="J1408" t="inlineStr">
        <is>
          <t>NOT AVAILABLE</t>
        </is>
      </c>
      <c r="K1408" t="inlineStr">
        <is>
          <t>NOT AVAILABLE (report not requested)</t>
        </is>
      </c>
      <c r="L1408" t="inlineStr">
        <is>
          <t>flat (no data)</t>
        </is>
      </c>
      <c r="M1408" t="inlineStr">
        <is>
          <t>MEASURED</t>
        </is>
      </c>
      <c r="N1408" s="5" t="inlineStr">
        <is>
          <t>Semrush phrase_these (live, this session)</t>
        </is>
      </c>
      <c r="O1408" t="inlineStr">
        <is>
          <t>2026-10-30</t>
        </is>
      </c>
      <c r="P1408">
        <f>IF(IF(J1408="NOT AVAILABLE","",J1408)="",12,IF(OR(ISNUMBER(SEARCH("Transactional",IF(J1408="NOT AVAILABLE","",J1408))),ISNUMBER(SEARCH("Commercial",IF(J1408="NOT AVAILABLE","",J1408)))),25,IF(ISNUMBER(SEARCH("Informational",IF(J1408="NOT AVAILABLE","",J1408))),10,IF(ISNUMBER(SEARCH("Navigational",IF(J1408="NOT AVAILABLE","",J1408))),0,12))))</f>
        <v/>
      </c>
      <c r="Q1408">
        <f>IF(ISNUMBER(F1408),MIN(30,ROUND(30*LOG10(F1408+1)/4,1)),0)</f>
        <v/>
      </c>
      <c r="R1408">
        <f>IF(ISNUMBER(G1408),ROUND(25*(100-G1408)/100,1),12.5)</f>
        <v/>
      </c>
      <c r="S1408" t="n">
        <v>14</v>
      </c>
      <c r="T1408">
        <f>ROUND(P1408+Q1408+R1408+S1408,0)</f>
        <v/>
      </c>
      <c r="U1408" s="5" t="inlineStr"/>
      <c r="V1408" s="5" t="inlineStr"/>
    </row>
    <row r="1409">
      <c r="A1409" t="inlineStr">
        <is>
          <t>K1407</t>
        </is>
      </c>
      <c r="B1409" t="inlineStr">
        <is>
          <t>agence web vancouver</t>
        </is>
      </c>
      <c r="C1409" t="inlineStr">
        <is>
          <t>France</t>
        </is>
      </c>
      <c r="D1409" t="inlineStr">
        <is>
          <t>fr</t>
        </is>
      </c>
      <c r="E1409" t="inlineStr">
        <is>
          <t>fr</t>
        </is>
      </c>
      <c r="F1409" t="inlineStr">
        <is>
          <t>NOT AVAILABLE</t>
        </is>
      </c>
      <c r="G1409" t="inlineStr">
        <is>
          <t>NOT AVAILABLE</t>
        </is>
      </c>
      <c r="H1409" t="inlineStr">
        <is>
          <t>NOT AVAILABLE</t>
        </is>
      </c>
      <c r="I1409" t="inlineStr">
        <is>
          <t>NOT AVAILABLE</t>
        </is>
      </c>
      <c r="J1409" t="inlineStr">
        <is>
          <t>NOT AVAILABLE</t>
        </is>
      </c>
      <c r="K1409" t="inlineStr">
        <is>
          <t>NOT AVAILABLE</t>
        </is>
      </c>
      <c r="L1409" t="inlineStr">
        <is>
          <t>NOT AVAILABLE</t>
        </is>
      </c>
      <c r="M1409" t="inlineStr">
        <is>
          <t>UNAVAILABLE</t>
        </is>
      </c>
      <c r="N1409" s="5" t="inlineStr">
        <is>
          <t>Semrush phrase_these returned no data (not billed)</t>
        </is>
      </c>
      <c r="O1409" t="inlineStr">
        <is>
          <t>2026-10-30</t>
        </is>
      </c>
      <c r="P1409">
        <f>IF(IF(J1409="NOT AVAILABLE","",J1409)="",12,IF(OR(ISNUMBER(SEARCH("Transactional",IF(J1409="NOT AVAILABLE","",J1409))),ISNUMBER(SEARCH("Commercial",IF(J1409="NOT AVAILABLE","",J1409)))),25,IF(ISNUMBER(SEARCH("Informational",IF(J1409="NOT AVAILABLE","",J1409))),10,IF(ISNUMBER(SEARCH("Navigational",IF(J1409="NOT AVAILABLE","",J1409))),0,12))))</f>
        <v/>
      </c>
      <c r="Q1409">
        <f>IF(ISNUMBER(F1409),MIN(30,ROUND(30*LOG10(F1409+1)/4,1)),0)</f>
        <v/>
      </c>
      <c r="R1409">
        <f>IF(ISNUMBER(G1409),ROUND(25*(100-G1409)/100,1),12.5)</f>
        <v/>
      </c>
      <c r="S1409" t="n">
        <v>14</v>
      </c>
      <c r="T1409">
        <f>ROUND(P1409+Q1409+R1409+S1409,0)</f>
        <v/>
      </c>
      <c r="U1409" s="5" t="inlineStr"/>
      <c r="V1409" s="5" t="inlineStr"/>
    </row>
    <row r="1410">
      <c r="A1410" t="inlineStr">
        <is>
          <t>K1408</t>
        </is>
      </c>
      <c r="B1410" t="inlineStr">
        <is>
          <t>agence étude à l'étranger</t>
        </is>
      </c>
      <c r="C1410" t="inlineStr">
        <is>
          <t>France</t>
        </is>
      </c>
      <c r="D1410" t="inlineStr">
        <is>
          <t>fr</t>
        </is>
      </c>
      <c r="E1410" t="inlineStr">
        <is>
          <t>fr</t>
        </is>
      </c>
      <c r="F1410" t="inlineStr">
        <is>
          <t>NOT AVAILABLE</t>
        </is>
      </c>
      <c r="G1410" t="inlineStr">
        <is>
          <t>NOT AVAILABLE</t>
        </is>
      </c>
      <c r="H1410" t="inlineStr">
        <is>
          <t>NOT AVAILABLE</t>
        </is>
      </c>
      <c r="I1410" t="inlineStr">
        <is>
          <t>NOT AVAILABLE</t>
        </is>
      </c>
      <c r="J1410" t="inlineStr">
        <is>
          <t>NOT AVAILABLE</t>
        </is>
      </c>
      <c r="K1410" t="inlineStr">
        <is>
          <t>NOT AVAILABLE</t>
        </is>
      </c>
      <c r="L1410" t="inlineStr">
        <is>
          <t>NOT AVAILABLE</t>
        </is>
      </c>
      <c r="M1410" t="inlineStr">
        <is>
          <t>UNAVAILABLE</t>
        </is>
      </c>
      <c r="N1410" s="5" t="inlineStr">
        <is>
          <t>Semrush phrase_these returned no data (not billed)</t>
        </is>
      </c>
      <c r="O1410" t="inlineStr">
        <is>
          <t>2026-10-30</t>
        </is>
      </c>
      <c r="P1410">
        <f>IF(IF(J1410="NOT AVAILABLE","",J1410)="",12,IF(OR(ISNUMBER(SEARCH("Transactional",IF(J1410="NOT AVAILABLE","",J1410))),ISNUMBER(SEARCH("Commercial",IF(J1410="NOT AVAILABLE","",J1410)))),25,IF(ISNUMBER(SEARCH("Informational",IF(J1410="NOT AVAILABLE","",J1410))),10,IF(ISNUMBER(SEARCH("Navigational",IF(J1410="NOT AVAILABLE","",J1410))),0,12))))</f>
        <v/>
      </c>
      <c r="Q1410">
        <f>IF(ISNUMBER(F1410),MIN(30,ROUND(30*LOG10(F1410+1)/4,1)),0)</f>
        <v/>
      </c>
      <c r="R1410">
        <f>IF(ISNUMBER(G1410),ROUND(25*(100-G1410)/100,1),12.5)</f>
        <v/>
      </c>
      <c r="S1410" t="n">
        <v>14</v>
      </c>
      <c r="T1410">
        <f>ROUND(P1410+Q1410+R1410+S1410,0)</f>
        <v/>
      </c>
      <c r="U1410" s="5" t="inlineStr"/>
      <c r="V1410" s="5" t="inlineStr"/>
    </row>
    <row r="1411">
      <c r="A1411" t="inlineStr">
        <is>
          <t>K1409</t>
        </is>
      </c>
      <c r="B1411" t="inlineStr">
        <is>
          <t>analyse fréquence mots</t>
        </is>
      </c>
      <c r="C1411" t="inlineStr">
        <is>
          <t>France</t>
        </is>
      </c>
      <c r="D1411" t="inlineStr">
        <is>
          <t>fr</t>
        </is>
      </c>
      <c r="E1411" t="inlineStr">
        <is>
          <t>fr</t>
        </is>
      </c>
      <c r="F1411" t="n">
        <v>0</v>
      </c>
      <c r="G1411" t="inlineStr">
        <is>
          <t>NOT AVAILABLE</t>
        </is>
      </c>
      <c r="H1411" t="n">
        <v>0</v>
      </c>
      <c r="I1411" t="n">
        <v>0</v>
      </c>
      <c r="J1411" t="inlineStr">
        <is>
          <t>NOT AVAILABLE</t>
        </is>
      </c>
      <c r="K1411" t="inlineStr">
        <is>
          <t>NOT AVAILABLE (report not requested)</t>
        </is>
      </c>
      <c r="L1411" t="inlineStr">
        <is>
          <t>flat (no data)</t>
        </is>
      </c>
      <c r="M1411" t="inlineStr">
        <is>
          <t>MEASURED</t>
        </is>
      </c>
      <c r="N1411" s="5" t="inlineStr">
        <is>
          <t>Semrush phrase_these (live, this session)</t>
        </is>
      </c>
      <c r="O1411" t="inlineStr">
        <is>
          <t>2026-10-30</t>
        </is>
      </c>
      <c r="P1411">
        <f>IF(IF(J1411="NOT AVAILABLE","",J1411)="",12,IF(OR(ISNUMBER(SEARCH("Transactional",IF(J1411="NOT AVAILABLE","",J1411))),ISNUMBER(SEARCH("Commercial",IF(J1411="NOT AVAILABLE","",J1411)))),25,IF(ISNUMBER(SEARCH("Informational",IF(J1411="NOT AVAILABLE","",J1411))),10,IF(ISNUMBER(SEARCH("Navigational",IF(J1411="NOT AVAILABLE","",J1411))),0,12))))</f>
        <v/>
      </c>
      <c r="Q1411">
        <f>IF(ISNUMBER(F1411),MIN(30,ROUND(30*LOG10(F1411+1)/4,1)),0)</f>
        <v/>
      </c>
      <c r="R1411">
        <f>IF(ISNUMBER(G1411),ROUND(25*(100-G1411)/100,1),12.5)</f>
        <v/>
      </c>
      <c r="S1411" t="n">
        <v>14</v>
      </c>
      <c r="T1411">
        <f>ROUND(P1411+Q1411+R1411+S1411,0)</f>
        <v/>
      </c>
      <c r="U1411" s="5" t="inlineStr"/>
      <c r="V1411" s="5" t="inlineStr">
        <is>
          <t>OPTIONAL /tools/ngram-extractor</t>
        </is>
      </c>
    </row>
    <row r="1412">
      <c r="A1412" t="inlineStr">
        <is>
          <t>K1410</t>
        </is>
      </c>
      <c r="B1412" t="inlineStr">
        <is>
          <t>analyse poids image</t>
        </is>
      </c>
      <c r="C1412" t="inlineStr">
        <is>
          <t>France</t>
        </is>
      </c>
      <c r="D1412" t="inlineStr">
        <is>
          <t>fr</t>
        </is>
      </c>
      <c r="E1412" t="inlineStr">
        <is>
          <t>fr</t>
        </is>
      </c>
      <c r="F1412" t="inlineStr">
        <is>
          <t>NOT AVAILABLE</t>
        </is>
      </c>
      <c r="G1412" t="inlineStr">
        <is>
          <t>NOT AVAILABLE</t>
        </is>
      </c>
      <c r="H1412" t="inlineStr">
        <is>
          <t>NOT AVAILABLE</t>
        </is>
      </c>
      <c r="I1412" t="inlineStr">
        <is>
          <t>NOT AVAILABLE</t>
        </is>
      </c>
      <c r="J1412" t="inlineStr">
        <is>
          <t>NOT AVAILABLE</t>
        </is>
      </c>
      <c r="K1412" t="inlineStr">
        <is>
          <t>NOT AVAILABLE</t>
        </is>
      </c>
      <c r="L1412" t="inlineStr">
        <is>
          <t>NOT AVAILABLE</t>
        </is>
      </c>
      <c r="M1412" t="inlineStr">
        <is>
          <t>UNAVAILABLE</t>
        </is>
      </c>
      <c r="N1412" s="5" t="inlineStr">
        <is>
          <t>Semrush phrase_these returned no data (not billed)</t>
        </is>
      </c>
      <c r="O1412" t="inlineStr">
        <is>
          <t>2026-10-30</t>
        </is>
      </c>
      <c r="P1412">
        <f>IF(IF(J1412="NOT AVAILABLE","",J1412)="",12,IF(OR(ISNUMBER(SEARCH("Transactional",IF(J1412="NOT AVAILABLE","",J1412))),ISNUMBER(SEARCH("Commercial",IF(J1412="NOT AVAILABLE","",J1412)))),25,IF(ISNUMBER(SEARCH("Informational",IF(J1412="NOT AVAILABLE","",J1412))),10,IF(ISNUMBER(SEARCH("Navigational",IF(J1412="NOT AVAILABLE","",J1412))),0,12))))</f>
        <v/>
      </c>
      <c r="Q1412">
        <f>IF(ISNUMBER(F1412),MIN(30,ROUND(30*LOG10(F1412+1)/4,1)),0)</f>
        <v/>
      </c>
      <c r="R1412">
        <f>IF(ISNUMBER(G1412),ROUND(25*(100-G1412)/100,1),12.5)</f>
        <v/>
      </c>
      <c r="S1412" t="n">
        <v>14</v>
      </c>
      <c r="T1412">
        <f>ROUND(P1412+Q1412+R1412+S1412,0)</f>
        <v/>
      </c>
      <c r="U1412" s="5" t="inlineStr"/>
      <c r="V1412" s="5" t="inlineStr">
        <is>
          <t>OPTIONAL /tools/image-compression-analyzer</t>
        </is>
      </c>
    </row>
    <row r="1413">
      <c r="A1413" t="inlineStr">
        <is>
          <t>K1411</t>
        </is>
      </c>
      <c r="B1413" t="inlineStr">
        <is>
          <t>annonce immobilière seo</t>
        </is>
      </c>
      <c r="C1413" t="inlineStr">
        <is>
          <t>France</t>
        </is>
      </c>
      <c r="D1413" t="inlineStr">
        <is>
          <t>fr</t>
        </is>
      </c>
      <c r="E1413" t="inlineStr">
        <is>
          <t>fr</t>
        </is>
      </c>
      <c r="F1413" t="n">
        <v>0</v>
      </c>
      <c r="G1413" t="inlineStr">
        <is>
          <t>NOT AVAILABLE</t>
        </is>
      </c>
      <c r="H1413" t="n">
        <v>0</v>
      </c>
      <c r="I1413" t="n">
        <v>0</v>
      </c>
      <c r="J1413" t="inlineStr">
        <is>
          <t>NOT AVAILABLE</t>
        </is>
      </c>
      <c r="K1413" t="inlineStr">
        <is>
          <t>NOT AVAILABLE (report not requested)</t>
        </is>
      </c>
      <c r="L1413" t="inlineStr">
        <is>
          <t>flat (no data)</t>
        </is>
      </c>
      <c r="M1413" t="inlineStr">
        <is>
          <t>MEASURED</t>
        </is>
      </c>
      <c r="N1413" s="5" t="inlineStr">
        <is>
          <t>Semrush phrase_these (live, this session)</t>
        </is>
      </c>
      <c r="O1413" t="inlineStr">
        <is>
          <t>2026-10-30</t>
        </is>
      </c>
      <c r="P1413">
        <f>IF(IF(J1413="NOT AVAILABLE","",J1413)="",12,IF(OR(ISNUMBER(SEARCH("Transactional",IF(J1413="NOT AVAILABLE","",J1413))),ISNUMBER(SEARCH("Commercial",IF(J1413="NOT AVAILABLE","",J1413)))),25,IF(ISNUMBER(SEARCH("Informational",IF(J1413="NOT AVAILABLE","",J1413))),10,IF(ISNUMBER(SEARCH("Navigational",IF(J1413="NOT AVAILABLE","",J1413))),0,12))))</f>
        <v/>
      </c>
      <c r="Q1413">
        <f>IF(ISNUMBER(F1413),MIN(30,ROUND(30*LOG10(F1413+1)/4,1)),0)</f>
        <v/>
      </c>
      <c r="R1413">
        <f>IF(ISNUMBER(G1413),ROUND(25*(100-G1413)/100,1),12.5)</f>
        <v/>
      </c>
      <c r="S1413" t="n">
        <v>14</v>
      </c>
      <c r="T1413">
        <f>ROUND(P1413+Q1413+R1413+S1413,0)</f>
        <v/>
      </c>
      <c r="U1413" s="5" t="inlineStr"/>
      <c r="V1413" s="5" t="inlineStr"/>
    </row>
    <row r="1414">
      <c r="A1414" t="inlineStr">
        <is>
          <t>K1412</t>
        </is>
      </c>
      <c r="B1414" t="inlineStr">
        <is>
          <t>aperçu open graph</t>
        </is>
      </c>
      <c r="C1414" t="inlineStr">
        <is>
          <t>France</t>
        </is>
      </c>
      <c r="D1414" t="inlineStr">
        <is>
          <t>fr</t>
        </is>
      </c>
      <c r="E1414" t="inlineStr">
        <is>
          <t>fr</t>
        </is>
      </c>
      <c r="F1414" t="n">
        <v>0</v>
      </c>
      <c r="G1414" t="inlineStr">
        <is>
          <t>NOT AVAILABLE</t>
        </is>
      </c>
      <c r="H1414" t="n">
        <v>0</v>
      </c>
      <c r="I1414" t="n">
        <v>0</v>
      </c>
      <c r="J1414" t="inlineStr">
        <is>
          <t>NOT AVAILABLE</t>
        </is>
      </c>
      <c r="K1414" t="inlineStr">
        <is>
          <t>NOT AVAILABLE (report not requested)</t>
        </is>
      </c>
      <c r="L1414" t="inlineStr">
        <is>
          <t>flat (no data)</t>
        </is>
      </c>
      <c r="M1414" t="inlineStr">
        <is>
          <t>MEASURED</t>
        </is>
      </c>
      <c r="N1414" s="5" t="inlineStr">
        <is>
          <t>Semrush phrase_these (live, this session)</t>
        </is>
      </c>
      <c r="O1414" t="inlineStr">
        <is>
          <t>2026-10-30</t>
        </is>
      </c>
      <c r="P1414">
        <f>IF(IF(J1414="NOT AVAILABLE","",J1414)="",12,IF(OR(ISNUMBER(SEARCH("Transactional",IF(J1414="NOT AVAILABLE","",J1414))),ISNUMBER(SEARCH("Commercial",IF(J1414="NOT AVAILABLE","",J1414)))),25,IF(ISNUMBER(SEARCH("Informational",IF(J1414="NOT AVAILABLE","",J1414))),10,IF(ISNUMBER(SEARCH("Navigational",IF(J1414="NOT AVAILABLE","",J1414))),0,12))))</f>
        <v/>
      </c>
      <c r="Q1414">
        <f>IF(ISNUMBER(F1414),MIN(30,ROUND(30*LOG10(F1414+1)/4,1)),0)</f>
        <v/>
      </c>
      <c r="R1414">
        <f>IF(ISNUMBER(G1414),ROUND(25*(100-G1414)/100,1),12.5)</f>
        <v/>
      </c>
      <c r="S1414" t="n">
        <v>14</v>
      </c>
      <c r="T1414">
        <f>ROUND(P1414+Q1414+R1414+S1414,0)</f>
        <v/>
      </c>
      <c r="U1414" s="5" t="inlineStr"/>
      <c r="V1414" s="5" t="inlineStr">
        <is>
          <t>OPTIONAL /tools/og-preview-generator</t>
        </is>
      </c>
    </row>
    <row r="1415">
      <c r="A1415" t="inlineStr">
        <is>
          <t>K1413</t>
        </is>
      </c>
      <c r="B1415" t="inlineStr">
        <is>
          <t>aperçu serp</t>
        </is>
      </c>
      <c r="C1415" t="inlineStr">
        <is>
          <t>France</t>
        </is>
      </c>
      <c r="D1415" t="inlineStr">
        <is>
          <t>fr</t>
        </is>
      </c>
      <c r="E1415" t="inlineStr">
        <is>
          <t>fr</t>
        </is>
      </c>
      <c r="F1415" t="inlineStr">
        <is>
          <t>NOT AVAILABLE</t>
        </is>
      </c>
      <c r="G1415" t="inlineStr">
        <is>
          <t>NOT AVAILABLE</t>
        </is>
      </c>
      <c r="H1415" t="inlineStr">
        <is>
          <t>NOT AVAILABLE</t>
        </is>
      </c>
      <c r="I1415" t="inlineStr">
        <is>
          <t>NOT AVAILABLE</t>
        </is>
      </c>
      <c r="J1415" t="inlineStr">
        <is>
          <t>NOT AVAILABLE</t>
        </is>
      </c>
      <c r="K1415" t="inlineStr">
        <is>
          <t>NOT AVAILABLE</t>
        </is>
      </c>
      <c r="L1415" t="inlineStr">
        <is>
          <t>NOT AVAILABLE</t>
        </is>
      </c>
      <c r="M1415" t="inlineStr">
        <is>
          <t>UNAVAILABLE</t>
        </is>
      </c>
      <c r="N1415" s="5" t="inlineStr">
        <is>
          <t>Semrush phrase_these returned no data (not billed)</t>
        </is>
      </c>
      <c r="O1415" t="inlineStr">
        <is>
          <t>2026-10-30</t>
        </is>
      </c>
      <c r="P1415">
        <f>IF(IF(J1415="NOT AVAILABLE","",J1415)="",12,IF(OR(ISNUMBER(SEARCH("Transactional",IF(J1415="NOT AVAILABLE","",J1415))),ISNUMBER(SEARCH("Commercial",IF(J1415="NOT AVAILABLE","",J1415)))),25,IF(ISNUMBER(SEARCH("Informational",IF(J1415="NOT AVAILABLE","",J1415))),10,IF(ISNUMBER(SEARCH("Navigational",IF(J1415="NOT AVAILABLE","",J1415))),0,12))))</f>
        <v/>
      </c>
      <c r="Q1415">
        <f>IF(ISNUMBER(F1415),MIN(30,ROUND(30*LOG10(F1415+1)/4,1)),0)</f>
        <v/>
      </c>
      <c r="R1415">
        <f>IF(ISNUMBER(G1415),ROUND(25*(100-G1415)/100,1),12.5)</f>
        <v/>
      </c>
      <c r="S1415" t="n">
        <v>14</v>
      </c>
      <c r="T1415">
        <f>ROUND(P1415+Q1415+R1415+S1415,0)</f>
        <v/>
      </c>
      <c r="U1415" s="5" t="inlineStr"/>
      <c r="V1415" s="5" t="inlineStr">
        <is>
          <t>OPTIONAL /tools/serp-snippet-preview</t>
        </is>
      </c>
    </row>
    <row r="1416">
      <c r="A1416" t="inlineStr">
        <is>
          <t>K1414</t>
        </is>
      </c>
      <c r="B1416" t="inlineStr">
        <is>
          <t>application edtech</t>
        </is>
      </c>
      <c r="C1416" t="inlineStr">
        <is>
          <t>France</t>
        </is>
      </c>
      <c r="D1416" t="inlineStr">
        <is>
          <t>fr</t>
        </is>
      </c>
      <c r="E1416" t="inlineStr">
        <is>
          <t>fr</t>
        </is>
      </c>
      <c r="F1416" t="n">
        <v>0</v>
      </c>
      <c r="G1416" t="inlineStr">
        <is>
          <t>NOT AVAILABLE</t>
        </is>
      </c>
      <c r="H1416" t="n">
        <v>0</v>
      </c>
      <c r="I1416" t="n">
        <v>0</v>
      </c>
      <c r="J1416" t="inlineStr">
        <is>
          <t>NOT AVAILABLE</t>
        </is>
      </c>
      <c r="K1416" t="inlineStr">
        <is>
          <t>NOT AVAILABLE (report not requested)</t>
        </is>
      </c>
      <c r="L1416" t="inlineStr">
        <is>
          <t>flat (no data)</t>
        </is>
      </c>
      <c r="M1416" t="inlineStr">
        <is>
          <t>MEASURED</t>
        </is>
      </c>
      <c r="N1416" s="5" t="inlineStr">
        <is>
          <t>Semrush phrase_these (live, this session)</t>
        </is>
      </c>
      <c r="O1416" t="inlineStr">
        <is>
          <t>2026-10-30</t>
        </is>
      </c>
      <c r="P1416">
        <f>IF(IF(J1416="NOT AVAILABLE","",J1416)="",12,IF(OR(ISNUMBER(SEARCH("Transactional",IF(J1416="NOT AVAILABLE","",J1416))),ISNUMBER(SEARCH("Commercial",IF(J1416="NOT AVAILABLE","",J1416)))),25,IF(ISNUMBER(SEARCH("Informational",IF(J1416="NOT AVAILABLE","",J1416))),10,IF(ISNUMBER(SEARCH("Navigational",IF(J1416="NOT AVAILABLE","",J1416))),0,12))))</f>
        <v/>
      </c>
      <c r="Q1416">
        <f>IF(ISNUMBER(F1416),MIN(30,ROUND(30*LOG10(F1416+1)/4,1)),0)</f>
        <v/>
      </c>
      <c r="R1416">
        <f>IF(ISNUMBER(G1416),ROUND(25*(100-G1416)/100,1),12.5)</f>
        <v/>
      </c>
      <c r="S1416" t="n">
        <v>14</v>
      </c>
      <c r="T1416">
        <f>ROUND(P1416+Q1416+R1416+S1416,0)</f>
        <v/>
      </c>
      <c r="U1416" s="5" t="inlineStr"/>
      <c r="V1416" s="5" t="inlineStr"/>
    </row>
    <row r="1417">
      <c r="A1417" t="inlineStr">
        <is>
          <t>K1415</t>
        </is>
      </c>
      <c r="B1417" t="inlineStr">
        <is>
          <t>audit seo technique</t>
        </is>
      </c>
      <c r="C1417" t="inlineStr">
        <is>
          <t>France</t>
        </is>
      </c>
      <c r="D1417" t="inlineStr">
        <is>
          <t>fr</t>
        </is>
      </c>
      <c r="E1417" t="inlineStr">
        <is>
          <t>fr</t>
        </is>
      </c>
      <c r="F1417" t="inlineStr">
        <is>
          <t>NOT AVAILABLE</t>
        </is>
      </c>
      <c r="G1417" t="inlineStr">
        <is>
          <t>NOT AVAILABLE</t>
        </is>
      </c>
      <c r="H1417" t="inlineStr">
        <is>
          <t>NOT AVAILABLE</t>
        </is>
      </c>
      <c r="I1417" t="inlineStr">
        <is>
          <t>NOT AVAILABLE</t>
        </is>
      </c>
      <c r="J1417" t="inlineStr">
        <is>
          <t>NOT AVAILABLE</t>
        </is>
      </c>
      <c r="K1417" t="inlineStr">
        <is>
          <t>NOT AVAILABLE</t>
        </is>
      </c>
      <c r="L1417" t="inlineStr">
        <is>
          <t>NOT AVAILABLE</t>
        </is>
      </c>
      <c r="M1417" t="inlineStr">
        <is>
          <t>SUGGESTED</t>
        </is>
      </c>
      <c r="N1417" s="5" t="inlineStr">
        <is>
          <t>Analyst suggestion - not validated in Semrush</t>
        </is>
      </c>
      <c r="O1417" t="inlineStr">
        <is>
          <t>NOT AVAILABLE</t>
        </is>
      </c>
      <c r="P1417">
        <f>IF(IF(J1417="NOT AVAILABLE","",J1417)="",12,IF(OR(ISNUMBER(SEARCH("Transactional",IF(J1417="NOT AVAILABLE","",J1417))),ISNUMBER(SEARCH("Commercial",IF(J1417="NOT AVAILABLE","",J1417)))),25,IF(ISNUMBER(SEARCH("Informational",IF(J1417="NOT AVAILABLE","",J1417))),10,IF(ISNUMBER(SEARCH("Navigational",IF(J1417="NOT AVAILABLE","",J1417))),0,12))))</f>
        <v/>
      </c>
      <c r="Q1417">
        <f>IF(ISNUMBER(F1417),MIN(30,ROUND(30*LOG10(F1417+1)/4,1)),0)</f>
        <v/>
      </c>
      <c r="R1417">
        <f>IF(ISNUMBER(G1417),ROUND(25*(100-G1417)/100,1),12.5)</f>
        <v/>
      </c>
      <c r="S1417" t="n">
        <v>14</v>
      </c>
      <c r="T1417">
        <f>ROUND(P1417+Q1417+R1417+S1417,0)</f>
        <v/>
      </c>
      <c r="U1417" s="5" t="inlineStr"/>
      <c r="V1417" s="5" t="inlineStr">
        <is>
          <t>PRIMARY /tools/domain-authority-checker</t>
        </is>
      </c>
    </row>
    <row r="1418">
      <c r="A1418" t="inlineStr">
        <is>
          <t>K1416</t>
        </is>
      </c>
      <c r="B1418" t="inlineStr">
        <is>
          <t>balise meta refresh</t>
        </is>
      </c>
      <c r="C1418" t="inlineStr">
        <is>
          <t>France</t>
        </is>
      </c>
      <c r="D1418" t="inlineStr">
        <is>
          <t>fr</t>
        </is>
      </c>
      <c r="E1418" t="inlineStr">
        <is>
          <t>fr</t>
        </is>
      </c>
      <c r="F1418" t="n">
        <v>0</v>
      </c>
      <c r="G1418" t="inlineStr">
        <is>
          <t>NOT AVAILABLE</t>
        </is>
      </c>
      <c r="H1418" t="n">
        <v>0</v>
      </c>
      <c r="I1418" t="n">
        <v>0</v>
      </c>
      <c r="J1418" t="inlineStr">
        <is>
          <t>NOT AVAILABLE</t>
        </is>
      </c>
      <c r="K1418" t="inlineStr">
        <is>
          <t>NOT AVAILABLE (report not requested)</t>
        </is>
      </c>
      <c r="L1418" t="inlineStr">
        <is>
          <t>flat (no data)</t>
        </is>
      </c>
      <c r="M1418" t="inlineStr">
        <is>
          <t>MEASURED</t>
        </is>
      </c>
      <c r="N1418" s="5" t="inlineStr">
        <is>
          <t>Semrush phrase_these (live, this session)</t>
        </is>
      </c>
      <c r="O1418" t="inlineStr">
        <is>
          <t>2026-10-30</t>
        </is>
      </c>
      <c r="P1418">
        <f>IF(IF(J1418="NOT AVAILABLE","",J1418)="",12,IF(OR(ISNUMBER(SEARCH("Transactional",IF(J1418="NOT AVAILABLE","",J1418))),ISNUMBER(SEARCH("Commercial",IF(J1418="NOT AVAILABLE","",J1418)))),25,IF(ISNUMBER(SEARCH("Informational",IF(J1418="NOT AVAILABLE","",J1418))),10,IF(ISNUMBER(SEARCH("Navigational",IF(J1418="NOT AVAILABLE","",J1418))),0,12))))</f>
        <v/>
      </c>
      <c r="Q1418">
        <f>IF(ISNUMBER(F1418),MIN(30,ROUND(30*LOG10(F1418+1)/4,1)),0)</f>
        <v/>
      </c>
      <c r="R1418">
        <f>IF(ISNUMBER(G1418),ROUND(25*(100-G1418)/100,1),12.5)</f>
        <v/>
      </c>
      <c r="S1418" t="n">
        <v>14</v>
      </c>
      <c r="T1418">
        <f>ROUND(P1418+Q1418+R1418+S1418,0)</f>
        <v/>
      </c>
      <c r="U1418" s="5" t="inlineStr"/>
      <c r="V1418" s="5" t="inlineStr">
        <is>
          <t>OPTIONAL /tools/meta-refresh-generator</t>
        </is>
      </c>
    </row>
    <row r="1419">
      <c r="A1419" t="inlineStr">
        <is>
          <t>K1417</t>
        </is>
      </c>
      <c r="B1419" t="inlineStr">
        <is>
          <t>base64 en ligne</t>
        </is>
      </c>
      <c r="C1419" t="inlineStr">
        <is>
          <t>France</t>
        </is>
      </c>
      <c r="D1419" t="inlineStr">
        <is>
          <t>fr</t>
        </is>
      </c>
      <c r="E1419" t="inlineStr">
        <is>
          <t>fr</t>
        </is>
      </c>
      <c r="F1419" t="n">
        <v>0</v>
      </c>
      <c r="G1419" t="inlineStr">
        <is>
          <t>NOT AVAILABLE</t>
        </is>
      </c>
      <c r="H1419" t="n">
        <v>0</v>
      </c>
      <c r="I1419" t="n">
        <v>0</v>
      </c>
      <c r="J1419" t="inlineStr">
        <is>
          <t>NOT AVAILABLE</t>
        </is>
      </c>
      <c r="K1419" t="inlineStr">
        <is>
          <t>NOT AVAILABLE (report not requested)</t>
        </is>
      </c>
      <c r="L1419" t="inlineStr">
        <is>
          <t>flat (no data)</t>
        </is>
      </c>
      <c r="M1419" t="inlineStr">
        <is>
          <t>MEASURED</t>
        </is>
      </c>
      <c r="N1419" s="5" t="inlineStr">
        <is>
          <t>Semrush phrase_these (live, this session)</t>
        </is>
      </c>
      <c r="O1419" t="inlineStr">
        <is>
          <t>2026-10-30</t>
        </is>
      </c>
      <c r="P1419">
        <f>IF(IF(J1419="NOT AVAILABLE","",J1419)="",12,IF(OR(ISNUMBER(SEARCH("Transactional",IF(J1419="NOT AVAILABLE","",J1419))),ISNUMBER(SEARCH("Commercial",IF(J1419="NOT AVAILABLE","",J1419)))),25,IF(ISNUMBER(SEARCH("Informational",IF(J1419="NOT AVAILABLE","",J1419))),10,IF(ISNUMBER(SEARCH("Navigational",IF(J1419="NOT AVAILABLE","",J1419))),0,12))))</f>
        <v/>
      </c>
      <c r="Q1419">
        <f>IF(ISNUMBER(F1419),MIN(30,ROUND(30*LOG10(F1419+1)/4,1)),0)</f>
        <v/>
      </c>
      <c r="R1419">
        <f>IF(ISNUMBER(G1419),ROUND(25*(100-G1419)/100,1),12.5)</f>
        <v/>
      </c>
      <c r="S1419" t="n">
        <v>14</v>
      </c>
      <c r="T1419">
        <f>ROUND(P1419+Q1419+R1419+S1419,0)</f>
        <v/>
      </c>
      <c r="U1419" s="5" t="inlineStr"/>
      <c r="V1419" s="5" t="inlineStr">
        <is>
          <t>OPTIONAL /tools/base64-encoder</t>
        </is>
      </c>
    </row>
    <row r="1420">
      <c r="A1420" t="inlineStr">
        <is>
          <t>K1418</t>
        </is>
      </c>
      <c r="B1420" t="inlineStr">
        <is>
          <t>bloquer gptbot</t>
        </is>
      </c>
      <c r="C1420" t="inlineStr">
        <is>
          <t>France</t>
        </is>
      </c>
      <c r="D1420" t="inlineStr">
        <is>
          <t>fr</t>
        </is>
      </c>
      <c r="E1420" t="inlineStr">
        <is>
          <t>fr</t>
        </is>
      </c>
      <c r="F1420" t="inlineStr">
        <is>
          <t>NOT AVAILABLE</t>
        </is>
      </c>
      <c r="G1420" t="inlineStr">
        <is>
          <t>NOT AVAILABLE</t>
        </is>
      </c>
      <c r="H1420" t="inlineStr">
        <is>
          <t>NOT AVAILABLE</t>
        </is>
      </c>
      <c r="I1420" t="inlineStr">
        <is>
          <t>NOT AVAILABLE</t>
        </is>
      </c>
      <c r="J1420" t="inlineStr">
        <is>
          <t>NOT AVAILABLE</t>
        </is>
      </c>
      <c r="K1420" t="inlineStr">
        <is>
          <t>NOT AVAILABLE</t>
        </is>
      </c>
      <c r="L1420" t="inlineStr">
        <is>
          <t>NOT AVAILABLE</t>
        </is>
      </c>
      <c r="M1420" t="inlineStr">
        <is>
          <t>UNAVAILABLE</t>
        </is>
      </c>
      <c r="N1420" s="5" t="inlineStr">
        <is>
          <t>Semrush phrase_these returned no data (not billed)</t>
        </is>
      </c>
      <c r="O1420" t="inlineStr">
        <is>
          <t>2026-10-30</t>
        </is>
      </c>
      <c r="P1420">
        <f>IF(IF(J1420="NOT AVAILABLE","",J1420)="",12,IF(OR(ISNUMBER(SEARCH("Transactional",IF(J1420="NOT AVAILABLE","",J1420))),ISNUMBER(SEARCH("Commercial",IF(J1420="NOT AVAILABLE","",J1420)))),25,IF(ISNUMBER(SEARCH("Informational",IF(J1420="NOT AVAILABLE","",J1420))),10,IF(ISNUMBER(SEARCH("Navigational",IF(J1420="NOT AVAILABLE","",J1420))),0,12))))</f>
        <v/>
      </c>
      <c r="Q1420">
        <f>IF(ISNUMBER(F1420),MIN(30,ROUND(30*LOG10(F1420+1)/4,1)),0)</f>
        <v/>
      </c>
      <c r="R1420">
        <f>IF(ISNUMBER(G1420),ROUND(25*(100-G1420)/100,1),12.5)</f>
        <v/>
      </c>
      <c r="S1420" t="n">
        <v>14</v>
      </c>
      <c r="T1420">
        <f>ROUND(P1420+Q1420+R1420+S1420,0)</f>
        <v/>
      </c>
      <c r="U1420" s="5" t="inlineStr"/>
      <c r="V1420" s="5" t="inlineStr">
        <is>
          <t>OPTIONAL /tools/ai-crawler-access-checker</t>
        </is>
      </c>
    </row>
    <row r="1421">
      <c r="A1421" t="inlineStr">
        <is>
          <t>K1419</t>
        </is>
      </c>
      <c r="B1421" t="inlineStr">
        <is>
          <t>boutique dentaire en ligne</t>
        </is>
      </c>
      <c r="C1421" t="inlineStr">
        <is>
          <t>France</t>
        </is>
      </c>
      <c r="D1421" t="inlineStr">
        <is>
          <t>fr</t>
        </is>
      </c>
      <c r="E1421" t="inlineStr">
        <is>
          <t>fr</t>
        </is>
      </c>
      <c r="F1421" t="n">
        <v>0</v>
      </c>
      <c r="G1421" t="inlineStr">
        <is>
          <t>NOT AVAILABLE</t>
        </is>
      </c>
      <c r="H1421" t="n">
        <v>0</v>
      </c>
      <c r="I1421" t="n">
        <v>0</v>
      </c>
      <c r="J1421" t="inlineStr">
        <is>
          <t>NOT AVAILABLE</t>
        </is>
      </c>
      <c r="K1421" t="inlineStr">
        <is>
          <t>NOT AVAILABLE (report not requested)</t>
        </is>
      </c>
      <c r="L1421" t="inlineStr">
        <is>
          <t>flat (no data)</t>
        </is>
      </c>
      <c r="M1421" t="inlineStr">
        <is>
          <t>MEASURED</t>
        </is>
      </c>
      <c r="N1421" s="5" t="inlineStr">
        <is>
          <t>Semrush phrase_these (live, this session)</t>
        </is>
      </c>
      <c r="O1421" t="inlineStr">
        <is>
          <t>2026-10-30</t>
        </is>
      </c>
      <c r="P1421">
        <f>IF(IF(J1421="NOT AVAILABLE","",J1421)="",12,IF(OR(ISNUMBER(SEARCH("Transactional",IF(J1421="NOT AVAILABLE","",J1421))),ISNUMBER(SEARCH("Commercial",IF(J1421="NOT AVAILABLE","",J1421)))),25,IF(ISNUMBER(SEARCH("Informational",IF(J1421="NOT AVAILABLE","",J1421))),10,IF(ISNUMBER(SEARCH("Navigational",IF(J1421="NOT AVAILABLE","",J1421))),0,12))))</f>
        <v/>
      </c>
      <c r="Q1421">
        <f>IF(ISNUMBER(F1421),MIN(30,ROUND(30*LOG10(F1421+1)/4,1)),0)</f>
        <v/>
      </c>
      <c r="R1421">
        <f>IF(ISNUMBER(G1421),ROUND(25*(100-G1421)/100,1),12.5)</f>
        <v/>
      </c>
      <c r="S1421" t="n">
        <v>14</v>
      </c>
      <c r="T1421">
        <f>ROUND(P1421+Q1421+R1421+S1421,0)</f>
        <v/>
      </c>
      <c r="U1421" s="5" t="inlineStr"/>
      <c r="V1421" s="5" t="inlineStr"/>
    </row>
    <row r="1422">
      <c r="A1422" t="inlineStr">
        <is>
          <t>K1420</t>
        </is>
      </c>
      <c r="B1422" t="inlineStr">
        <is>
          <t>boutique lunettes en ligne</t>
        </is>
      </c>
      <c r="C1422" t="inlineStr">
        <is>
          <t>France</t>
        </is>
      </c>
      <c r="D1422" t="inlineStr">
        <is>
          <t>fr</t>
        </is>
      </c>
      <c r="E1422" t="inlineStr">
        <is>
          <t>fr</t>
        </is>
      </c>
      <c r="F1422" t="inlineStr">
        <is>
          <t>NOT AVAILABLE</t>
        </is>
      </c>
      <c r="G1422" t="inlineStr">
        <is>
          <t>NOT AVAILABLE</t>
        </is>
      </c>
      <c r="H1422" t="inlineStr">
        <is>
          <t>NOT AVAILABLE</t>
        </is>
      </c>
      <c r="I1422" t="inlineStr">
        <is>
          <t>NOT AVAILABLE</t>
        </is>
      </c>
      <c r="J1422" t="inlineStr">
        <is>
          <t>NOT AVAILABLE</t>
        </is>
      </c>
      <c r="K1422" t="inlineStr">
        <is>
          <t>NOT AVAILABLE</t>
        </is>
      </c>
      <c r="L1422" t="inlineStr">
        <is>
          <t>NOT AVAILABLE</t>
        </is>
      </c>
      <c r="M1422" t="inlineStr">
        <is>
          <t>UNAVAILABLE</t>
        </is>
      </c>
      <c r="N1422" s="5" t="inlineStr">
        <is>
          <t>Semrush phrase_these returned no data (not billed)</t>
        </is>
      </c>
      <c r="O1422" t="inlineStr">
        <is>
          <t>2026-10-30</t>
        </is>
      </c>
      <c r="P1422">
        <f>IF(IF(J1422="NOT AVAILABLE","",J1422)="",12,IF(OR(ISNUMBER(SEARCH("Transactional",IF(J1422="NOT AVAILABLE","",J1422))),ISNUMBER(SEARCH("Commercial",IF(J1422="NOT AVAILABLE","",J1422)))),25,IF(ISNUMBER(SEARCH("Informational",IF(J1422="NOT AVAILABLE","",J1422))),10,IF(ISNUMBER(SEARCH("Navigational",IF(J1422="NOT AVAILABLE","",J1422))),0,12))))</f>
        <v/>
      </c>
      <c r="Q1422">
        <f>IF(ISNUMBER(F1422),MIN(30,ROUND(30*LOG10(F1422+1)/4,1)),0)</f>
        <v/>
      </c>
      <c r="R1422">
        <f>IF(ISNUMBER(G1422),ROUND(25*(100-G1422)/100,1),12.5)</f>
        <v/>
      </c>
      <c r="S1422" t="n">
        <v>14</v>
      </c>
      <c r="T1422">
        <f>ROUND(P1422+Q1422+R1422+S1422,0)</f>
        <v/>
      </c>
      <c r="U1422" s="5" t="inlineStr"/>
      <c r="V1422" s="5" t="inlineStr"/>
    </row>
    <row r="1423">
      <c r="A1423" t="inlineStr">
        <is>
          <t>K1421</t>
        </is>
      </c>
      <c r="B1423" t="inlineStr">
        <is>
          <t>calcul densité mot clé</t>
        </is>
      </c>
      <c r="C1423" t="inlineStr">
        <is>
          <t>France</t>
        </is>
      </c>
      <c r="D1423" t="inlineStr">
        <is>
          <t>fr</t>
        </is>
      </c>
      <c r="E1423" t="inlineStr">
        <is>
          <t>fr</t>
        </is>
      </c>
      <c r="F1423" t="inlineStr">
        <is>
          <t>NOT AVAILABLE</t>
        </is>
      </c>
      <c r="G1423" t="inlineStr">
        <is>
          <t>NOT AVAILABLE</t>
        </is>
      </c>
      <c r="H1423" t="inlineStr">
        <is>
          <t>NOT AVAILABLE</t>
        </is>
      </c>
      <c r="I1423" t="inlineStr">
        <is>
          <t>NOT AVAILABLE</t>
        </is>
      </c>
      <c r="J1423" t="inlineStr">
        <is>
          <t>NOT AVAILABLE</t>
        </is>
      </c>
      <c r="K1423" t="inlineStr">
        <is>
          <t>NOT AVAILABLE</t>
        </is>
      </c>
      <c r="L1423" t="inlineStr">
        <is>
          <t>NOT AVAILABLE</t>
        </is>
      </c>
      <c r="M1423" t="inlineStr">
        <is>
          <t>UNAVAILABLE</t>
        </is>
      </c>
      <c r="N1423" s="5" t="inlineStr">
        <is>
          <t>Semrush phrase_these returned no data (not billed)</t>
        </is>
      </c>
      <c r="O1423" t="inlineStr">
        <is>
          <t>2026-10-30</t>
        </is>
      </c>
      <c r="P1423">
        <f>IF(IF(J1423="NOT AVAILABLE","",J1423)="",12,IF(OR(ISNUMBER(SEARCH("Transactional",IF(J1423="NOT AVAILABLE","",J1423))),ISNUMBER(SEARCH("Commercial",IF(J1423="NOT AVAILABLE","",J1423)))),25,IF(ISNUMBER(SEARCH("Informational",IF(J1423="NOT AVAILABLE","",J1423))),10,IF(ISNUMBER(SEARCH("Navigational",IF(J1423="NOT AVAILABLE","",J1423))),0,12))))</f>
        <v/>
      </c>
      <c r="Q1423">
        <f>IF(ISNUMBER(F1423),MIN(30,ROUND(30*LOG10(F1423+1)/4,1)),0)</f>
        <v/>
      </c>
      <c r="R1423">
        <f>IF(ISNUMBER(G1423),ROUND(25*(100-G1423)/100,1),12.5)</f>
        <v/>
      </c>
      <c r="S1423" t="n">
        <v>14</v>
      </c>
      <c r="T1423">
        <f>ROUND(P1423+Q1423+R1423+S1423,0)</f>
        <v/>
      </c>
      <c r="U1423" s="5" t="inlineStr"/>
      <c r="V1423" s="5" t="inlineStr">
        <is>
          <t>OPTIONAL /tools/keyword-density-analyzer</t>
        </is>
      </c>
    </row>
    <row r="1424">
      <c r="A1424" t="inlineStr">
        <is>
          <t>K1422</t>
        </is>
      </c>
      <c r="B1424" t="inlineStr">
        <is>
          <t>carte maillage interne</t>
        </is>
      </c>
      <c r="C1424" t="inlineStr">
        <is>
          <t>France</t>
        </is>
      </c>
      <c r="D1424" t="inlineStr">
        <is>
          <t>fr</t>
        </is>
      </c>
      <c r="E1424" t="inlineStr">
        <is>
          <t>fr</t>
        </is>
      </c>
      <c r="F1424" t="inlineStr">
        <is>
          <t>NOT AVAILABLE</t>
        </is>
      </c>
      <c r="G1424" t="inlineStr">
        <is>
          <t>NOT AVAILABLE</t>
        </is>
      </c>
      <c r="H1424" t="inlineStr">
        <is>
          <t>NOT AVAILABLE</t>
        </is>
      </c>
      <c r="I1424" t="inlineStr">
        <is>
          <t>NOT AVAILABLE</t>
        </is>
      </c>
      <c r="J1424" t="inlineStr">
        <is>
          <t>NOT AVAILABLE</t>
        </is>
      </c>
      <c r="K1424" t="inlineStr">
        <is>
          <t>NOT AVAILABLE</t>
        </is>
      </c>
      <c r="L1424" t="inlineStr">
        <is>
          <t>NOT AVAILABLE</t>
        </is>
      </c>
      <c r="M1424" t="inlineStr">
        <is>
          <t>UNAVAILABLE</t>
        </is>
      </c>
      <c r="N1424" s="5" t="inlineStr">
        <is>
          <t>Semrush phrase_these returned no data (not billed)</t>
        </is>
      </c>
      <c r="O1424" t="inlineStr">
        <is>
          <t>2026-10-30</t>
        </is>
      </c>
      <c r="P1424">
        <f>IF(IF(J1424="NOT AVAILABLE","",J1424)="",12,IF(OR(ISNUMBER(SEARCH("Transactional",IF(J1424="NOT AVAILABLE","",J1424))),ISNUMBER(SEARCH("Commercial",IF(J1424="NOT AVAILABLE","",J1424)))),25,IF(ISNUMBER(SEARCH("Informational",IF(J1424="NOT AVAILABLE","",J1424))),10,IF(ISNUMBER(SEARCH("Navigational",IF(J1424="NOT AVAILABLE","",J1424))),0,12))))</f>
        <v/>
      </c>
      <c r="Q1424">
        <f>IF(ISNUMBER(F1424),MIN(30,ROUND(30*LOG10(F1424+1)/4,1)),0)</f>
        <v/>
      </c>
      <c r="R1424">
        <f>IF(ISNUMBER(G1424),ROUND(25*(100-G1424)/100,1),12.5)</f>
        <v/>
      </c>
      <c r="S1424" t="n">
        <v>14</v>
      </c>
      <c r="T1424">
        <f>ROUND(P1424+Q1424+R1424+S1424,0)</f>
        <v/>
      </c>
      <c r="U1424" s="5" t="inlineStr"/>
      <c r="V1424" s="5" t="inlineStr">
        <is>
          <t>OPTIONAL /tools/crawl-visualizer</t>
        </is>
      </c>
    </row>
    <row r="1425">
      <c r="A1425" t="inlineStr">
        <is>
          <t>K1423</t>
        </is>
      </c>
      <c r="B1425" t="inlineStr">
        <is>
          <t>checklist mise en ligne site</t>
        </is>
      </c>
      <c r="C1425" t="inlineStr">
        <is>
          <t>France</t>
        </is>
      </c>
      <c r="D1425" t="inlineStr">
        <is>
          <t>fr</t>
        </is>
      </c>
      <c r="E1425" t="inlineStr">
        <is>
          <t>fr</t>
        </is>
      </c>
      <c r="F1425" t="inlineStr">
        <is>
          <t>NOT AVAILABLE</t>
        </is>
      </c>
      <c r="G1425" t="inlineStr">
        <is>
          <t>NOT AVAILABLE</t>
        </is>
      </c>
      <c r="H1425" t="inlineStr">
        <is>
          <t>NOT AVAILABLE</t>
        </is>
      </c>
      <c r="I1425" t="inlineStr">
        <is>
          <t>NOT AVAILABLE</t>
        </is>
      </c>
      <c r="J1425" t="inlineStr">
        <is>
          <t>NOT AVAILABLE</t>
        </is>
      </c>
      <c r="K1425" t="inlineStr">
        <is>
          <t>NOT AVAILABLE</t>
        </is>
      </c>
      <c r="L1425" t="inlineStr">
        <is>
          <t>NOT AVAILABLE</t>
        </is>
      </c>
      <c r="M1425" t="inlineStr">
        <is>
          <t>UNAVAILABLE</t>
        </is>
      </c>
      <c r="N1425" s="5" t="inlineStr">
        <is>
          <t>Semrush phrase_these returned no data (not billed)</t>
        </is>
      </c>
      <c r="O1425" t="inlineStr">
        <is>
          <t>2026-10-30</t>
        </is>
      </c>
      <c r="P1425">
        <f>IF(IF(J1425="NOT AVAILABLE","",J1425)="",12,IF(OR(ISNUMBER(SEARCH("Transactional",IF(J1425="NOT AVAILABLE","",J1425))),ISNUMBER(SEARCH("Commercial",IF(J1425="NOT AVAILABLE","",J1425)))),25,IF(ISNUMBER(SEARCH("Informational",IF(J1425="NOT AVAILABLE","",J1425))),10,IF(ISNUMBER(SEARCH("Navigational",IF(J1425="NOT AVAILABLE","",J1425))),0,12))))</f>
        <v/>
      </c>
      <c r="Q1425">
        <f>IF(ISNUMBER(F1425),MIN(30,ROUND(30*LOG10(F1425+1)/4,1)),0)</f>
        <v/>
      </c>
      <c r="R1425">
        <f>IF(ISNUMBER(G1425),ROUND(25*(100-G1425)/100,1),12.5)</f>
        <v/>
      </c>
      <c r="S1425" t="n">
        <v>14</v>
      </c>
      <c r="T1425">
        <f>ROUND(P1425+Q1425+R1425+S1425,0)</f>
        <v/>
      </c>
      <c r="U1425" s="5" t="inlineStr"/>
      <c r="V1425" s="5" t="inlineStr">
        <is>
          <t>PRIMARY /tools/website-readiness-checker</t>
        </is>
      </c>
    </row>
    <row r="1426">
      <c r="A1426" t="inlineStr">
        <is>
          <t>K1424</t>
        </is>
      </c>
      <c r="B1426" t="inlineStr">
        <is>
          <t>choisir une plateforme e-learning</t>
        </is>
      </c>
      <c r="C1426" t="inlineStr">
        <is>
          <t>France</t>
        </is>
      </c>
      <c r="D1426" t="inlineStr">
        <is>
          <t>fr</t>
        </is>
      </c>
      <c r="E1426" t="inlineStr">
        <is>
          <t>fr</t>
        </is>
      </c>
      <c r="F1426" t="inlineStr">
        <is>
          <t>NOT AVAILABLE</t>
        </is>
      </c>
      <c r="G1426" t="inlineStr">
        <is>
          <t>NOT AVAILABLE</t>
        </is>
      </c>
      <c r="H1426" t="inlineStr">
        <is>
          <t>NOT AVAILABLE</t>
        </is>
      </c>
      <c r="I1426" t="inlineStr">
        <is>
          <t>NOT AVAILABLE</t>
        </is>
      </c>
      <c r="J1426" t="inlineStr">
        <is>
          <t>NOT AVAILABLE</t>
        </is>
      </c>
      <c r="K1426" t="inlineStr">
        <is>
          <t>NOT AVAILABLE</t>
        </is>
      </c>
      <c r="L1426" t="inlineStr">
        <is>
          <t>NOT AVAILABLE</t>
        </is>
      </c>
      <c r="M1426" t="inlineStr">
        <is>
          <t>UNAVAILABLE</t>
        </is>
      </c>
      <c r="N1426" s="5" t="inlineStr">
        <is>
          <t>Semrush phrase_these returned no data (not billed)</t>
        </is>
      </c>
      <c r="O1426" t="inlineStr">
        <is>
          <t>2026-10-30</t>
        </is>
      </c>
      <c r="P1426">
        <f>IF(IF(J1426="NOT AVAILABLE","",J1426)="",12,IF(OR(ISNUMBER(SEARCH("Transactional",IF(J1426="NOT AVAILABLE","",J1426))),ISNUMBER(SEARCH("Commercial",IF(J1426="NOT AVAILABLE","",J1426)))),25,IF(ISNUMBER(SEARCH("Informational",IF(J1426="NOT AVAILABLE","",J1426))),10,IF(ISNUMBER(SEARCH("Navigational",IF(J1426="NOT AVAILABLE","",J1426))),0,12))))</f>
        <v/>
      </c>
      <c r="Q1426">
        <f>IF(ISNUMBER(F1426),MIN(30,ROUND(30*LOG10(F1426+1)/4,1)),0)</f>
        <v/>
      </c>
      <c r="R1426">
        <f>IF(ISNUMBER(G1426),ROUND(25*(100-G1426)/100,1),12.5)</f>
        <v/>
      </c>
      <c r="S1426" t="n">
        <v>14</v>
      </c>
      <c r="T1426">
        <f>ROUND(P1426+Q1426+R1426+S1426,0)</f>
        <v/>
      </c>
      <c r="U1426" s="5" t="inlineStr"/>
      <c r="V1426" s="5" t="inlineStr"/>
    </row>
    <row r="1427">
      <c r="A1427" t="inlineStr">
        <is>
          <t>K1425</t>
        </is>
      </c>
      <c r="B1427" t="inlineStr">
        <is>
          <t>combien coute un saas</t>
        </is>
      </c>
      <c r="C1427" t="inlineStr">
        <is>
          <t>France</t>
        </is>
      </c>
      <c r="D1427" t="inlineStr">
        <is>
          <t>fr</t>
        </is>
      </c>
      <c r="E1427" t="inlineStr">
        <is>
          <t>fr</t>
        </is>
      </c>
      <c r="F1427" t="inlineStr">
        <is>
          <t>NOT AVAILABLE</t>
        </is>
      </c>
      <c r="G1427" t="inlineStr">
        <is>
          <t>NOT AVAILABLE</t>
        </is>
      </c>
      <c r="H1427" t="inlineStr">
        <is>
          <t>NOT AVAILABLE</t>
        </is>
      </c>
      <c r="I1427" t="inlineStr">
        <is>
          <t>NOT AVAILABLE</t>
        </is>
      </c>
      <c r="J1427" t="inlineStr">
        <is>
          <t>NOT AVAILABLE</t>
        </is>
      </c>
      <c r="K1427" t="inlineStr">
        <is>
          <t>NOT AVAILABLE</t>
        </is>
      </c>
      <c r="L1427" t="inlineStr">
        <is>
          <t>NOT AVAILABLE</t>
        </is>
      </c>
      <c r="M1427" t="inlineStr">
        <is>
          <t>UNAVAILABLE</t>
        </is>
      </c>
      <c r="N1427" s="5" t="inlineStr">
        <is>
          <t>Semrush phrase_these returned no data (not billed)</t>
        </is>
      </c>
      <c r="O1427" t="inlineStr">
        <is>
          <t>2026-10-30</t>
        </is>
      </c>
      <c r="P1427">
        <f>IF(IF(J1427="NOT AVAILABLE","",J1427)="",12,IF(OR(ISNUMBER(SEARCH("Transactional",IF(J1427="NOT AVAILABLE","",J1427))),ISNUMBER(SEARCH("Commercial",IF(J1427="NOT AVAILABLE","",J1427)))),25,IF(ISNUMBER(SEARCH("Informational",IF(J1427="NOT AVAILABLE","",J1427))),10,IF(ISNUMBER(SEARCH("Navigational",IF(J1427="NOT AVAILABLE","",J1427))),0,12))))</f>
        <v/>
      </c>
      <c r="Q1427">
        <f>IF(ISNUMBER(F1427),MIN(30,ROUND(30*LOG10(F1427+1)/4,1)),0)</f>
        <v/>
      </c>
      <c r="R1427">
        <f>IF(ISNUMBER(G1427),ROUND(25*(100-G1427)/100,1),12.5)</f>
        <v/>
      </c>
      <c r="S1427" t="n">
        <v>14</v>
      </c>
      <c r="T1427">
        <f>ROUND(P1427+Q1427+R1427+S1427,0)</f>
        <v/>
      </c>
      <c r="U1427" s="5" t="inlineStr"/>
      <c r="V1427" s="5" t="inlineStr"/>
    </row>
    <row r="1428">
      <c r="A1428" t="inlineStr">
        <is>
          <t>K1426</t>
        </is>
      </c>
      <c r="B1428" t="inlineStr">
        <is>
          <t>combien coute un site e-commerce</t>
        </is>
      </c>
      <c r="C1428" t="inlineStr">
        <is>
          <t>France</t>
        </is>
      </c>
      <c r="D1428" t="inlineStr">
        <is>
          <t>fr</t>
        </is>
      </c>
      <c r="E1428" t="inlineStr">
        <is>
          <t>fr</t>
        </is>
      </c>
      <c r="F1428" t="n">
        <v>0</v>
      </c>
      <c r="G1428" t="n">
        <v>19</v>
      </c>
      <c r="H1428" t="n">
        <v>1.58</v>
      </c>
      <c r="I1428" t="n">
        <v>0.65</v>
      </c>
      <c r="J1428" t="inlineStr">
        <is>
          <t>Informational</t>
        </is>
      </c>
      <c r="K1428" t="inlineStr">
        <is>
          <t>NOT AVAILABLE (report not requested)</t>
        </is>
      </c>
      <c r="L1428" t="inlineStr">
        <is>
          <t>rising (calc.)</t>
        </is>
      </c>
      <c r="M1428" t="inlineStr">
        <is>
          <t>MEASURED</t>
        </is>
      </c>
      <c r="N1428" s="5" t="inlineStr">
        <is>
          <t>Semrush phrase_these (live, this session)</t>
        </is>
      </c>
      <c r="O1428" t="inlineStr">
        <is>
          <t>2026-10-30</t>
        </is>
      </c>
      <c r="P1428">
        <f>IF(IF(J1428="NOT AVAILABLE","",J1428)="",12,IF(OR(ISNUMBER(SEARCH("Transactional",IF(J1428="NOT AVAILABLE","",J1428))),ISNUMBER(SEARCH("Commercial",IF(J1428="NOT AVAILABLE","",J1428)))),25,IF(ISNUMBER(SEARCH("Informational",IF(J1428="NOT AVAILABLE","",J1428))),10,IF(ISNUMBER(SEARCH("Navigational",IF(J1428="NOT AVAILABLE","",J1428))),0,12))))</f>
        <v/>
      </c>
      <c r="Q1428">
        <f>IF(ISNUMBER(F1428),MIN(30,ROUND(30*LOG10(F1428+1)/4,1)),0)</f>
        <v/>
      </c>
      <c r="R1428">
        <f>IF(ISNUMBER(G1428),ROUND(25*(100-G1428)/100,1),12.5)</f>
        <v/>
      </c>
      <c r="S1428" t="n">
        <v>14</v>
      </c>
      <c r="T1428">
        <f>ROUND(P1428+Q1428+R1428+S1428,0)</f>
        <v/>
      </c>
      <c r="U1428" s="5" t="inlineStr"/>
      <c r="V1428" s="5" t="inlineStr"/>
    </row>
    <row r="1429">
      <c r="A1429" t="inlineStr">
        <is>
          <t>K1427</t>
        </is>
      </c>
      <c r="B1429" t="inlineStr">
        <is>
          <t>combien coute un site immobilier</t>
        </is>
      </c>
      <c r="C1429" t="inlineStr">
        <is>
          <t>France</t>
        </is>
      </c>
      <c r="D1429" t="inlineStr">
        <is>
          <t>fr</t>
        </is>
      </c>
      <c r="E1429" t="inlineStr">
        <is>
          <t>fr</t>
        </is>
      </c>
      <c r="F1429" t="inlineStr">
        <is>
          <t>NOT AVAILABLE</t>
        </is>
      </c>
      <c r="G1429" t="inlineStr">
        <is>
          <t>NOT AVAILABLE</t>
        </is>
      </c>
      <c r="H1429" t="inlineStr">
        <is>
          <t>NOT AVAILABLE</t>
        </is>
      </c>
      <c r="I1429" t="inlineStr">
        <is>
          <t>NOT AVAILABLE</t>
        </is>
      </c>
      <c r="J1429" t="inlineStr">
        <is>
          <t>NOT AVAILABLE</t>
        </is>
      </c>
      <c r="K1429" t="inlineStr">
        <is>
          <t>NOT AVAILABLE</t>
        </is>
      </c>
      <c r="L1429" t="inlineStr">
        <is>
          <t>NOT AVAILABLE</t>
        </is>
      </c>
      <c r="M1429" t="inlineStr">
        <is>
          <t>UNAVAILABLE</t>
        </is>
      </c>
      <c r="N1429" s="5" t="inlineStr">
        <is>
          <t>Semrush phrase_these returned no data (not billed)</t>
        </is>
      </c>
      <c r="O1429" t="inlineStr">
        <is>
          <t>2026-10-30</t>
        </is>
      </c>
      <c r="P1429">
        <f>IF(IF(J1429="NOT AVAILABLE","",J1429)="",12,IF(OR(ISNUMBER(SEARCH("Transactional",IF(J1429="NOT AVAILABLE","",J1429))),ISNUMBER(SEARCH("Commercial",IF(J1429="NOT AVAILABLE","",J1429)))),25,IF(ISNUMBER(SEARCH("Informational",IF(J1429="NOT AVAILABLE","",J1429))),10,IF(ISNUMBER(SEARCH("Navigational",IF(J1429="NOT AVAILABLE","",J1429))),0,12))))</f>
        <v/>
      </c>
      <c r="Q1429">
        <f>IF(ISNUMBER(F1429),MIN(30,ROUND(30*LOG10(F1429+1)/4,1)),0)</f>
        <v/>
      </c>
      <c r="R1429">
        <f>IF(ISNUMBER(G1429),ROUND(25*(100-G1429)/100,1),12.5)</f>
        <v/>
      </c>
      <c r="S1429" t="n">
        <v>14</v>
      </c>
      <c r="T1429">
        <f>ROUND(P1429+Q1429+R1429+S1429,0)</f>
        <v/>
      </c>
      <c r="U1429" s="5" t="inlineStr"/>
      <c r="V1429" s="5" t="inlineStr"/>
    </row>
    <row r="1430">
      <c r="A1430" t="inlineStr">
        <is>
          <t>K1428</t>
        </is>
      </c>
      <c r="B1430" t="inlineStr">
        <is>
          <t>combien coute un site internet pour un médecin</t>
        </is>
      </c>
      <c r="C1430" t="inlineStr">
        <is>
          <t>France</t>
        </is>
      </c>
      <c r="D1430" t="inlineStr">
        <is>
          <t>fr</t>
        </is>
      </c>
      <c r="E1430" t="inlineStr">
        <is>
          <t>fr</t>
        </is>
      </c>
      <c r="F1430" t="inlineStr">
        <is>
          <t>NOT AVAILABLE</t>
        </is>
      </c>
      <c r="G1430" t="inlineStr">
        <is>
          <t>NOT AVAILABLE</t>
        </is>
      </c>
      <c r="H1430" t="inlineStr">
        <is>
          <t>NOT AVAILABLE</t>
        </is>
      </c>
      <c r="I1430" t="inlineStr">
        <is>
          <t>NOT AVAILABLE</t>
        </is>
      </c>
      <c r="J1430" t="inlineStr">
        <is>
          <t>NOT AVAILABLE</t>
        </is>
      </c>
      <c r="K1430" t="inlineStr">
        <is>
          <t>NOT AVAILABLE</t>
        </is>
      </c>
      <c r="L1430" t="inlineStr">
        <is>
          <t>NOT AVAILABLE</t>
        </is>
      </c>
      <c r="M1430" t="inlineStr">
        <is>
          <t>UNAVAILABLE</t>
        </is>
      </c>
      <c r="N1430" s="5" t="inlineStr">
        <is>
          <t>Semrush phrase_these returned no data (not billed)</t>
        </is>
      </c>
      <c r="O1430" t="inlineStr">
        <is>
          <t>2026-10-30</t>
        </is>
      </c>
      <c r="P1430">
        <f>IF(IF(J1430="NOT AVAILABLE","",J1430)="",12,IF(OR(ISNUMBER(SEARCH("Transactional",IF(J1430="NOT AVAILABLE","",J1430))),ISNUMBER(SEARCH("Commercial",IF(J1430="NOT AVAILABLE","",J1430)))),25,IF(ISNUMBER(SEARCH("Informational",IF(J1430="NOT AVAILABLE","",J1430))),10,IF(ISNUMBER(SEARCH("Navigational",IF(J1430="NOT AVAILABLE","",J1430))),0,12))))</f>
        <v/>
      </c>
      <c r="Q1430">
        <f>IF(ISNUMBER(F1430),MIN(30,ROUND(30*LOG10(F1430+1)/4,1)),0)</f>
        <v/>
      </c>
      <c r="R1430">
        <f>IF(ISNUMBER(G1430),ROUND(25*(100-G1430)/100,1),12.5)</f>
        <v/>
      </c>
      <c r="S1430" t="n">
        <v>14</v>
      </c>
      <c r="T1430">
        <f>ROUND(P1430+Q1430+R1430+S1430,0)</f>
        <v/>
      </c>
      <c r="U1430" s="5" t="inlineStr"/>
      <c r="V1430" s="5" t="inlineStr"/>
    </row>
    <row r="1431">
      <c r="A1431" t="inlineStr">
        <is>
          <t>K1429</t>
        </is>
      </c>
      <c r="B1431" t="inlineStr">
        <is>
          <t>combien coute une application fintech</t>
        </is>
      </c>
      <c r="C1431" t="inlineStr">
        <is>
          <t>France</t>
        </is>
      </c>
      <c r="D1431" t="inlineStr">
        <is>
          <t>fr</t>
        </is>
      </c>
      <c r="E1431" t="inlineStr">
        <is>
          <t>fr</t>
        </is>
      </c>
      <c r="F1431" t="inlineStr">
        <is>
          <t>NOT AVAILABLE</t>
        </is>
      </c>
      <c r="G1431" t="inlineStr">
        <is>
          <t>NOT AVAILABLE</t>
        </is>
      </c>
      <c r="H1431" t="inlineStr">
        <is>
          <t>NOT AVAILABLE</t>
        </is>
      </c>
      <c r="I1431" t="inlineStr">
        <is>
          <t>NOT AVAILABLE</t>
        </is>
      </c>
      <c r="J1431" t="inlineStr">
        <is>
          <t>NOT AVAILABLE</t>
        </is>
      </c>
      <c r="K1431" t="inlineStr">
        <is>
          <t>NOT AVAILABLE</t>
        </is>
      </c>
      <c r="L1431" t="inlineStr">
        <is>
          <t>NOT AVAILABLE</t>
        </is>
      </c>
      <c r="M1431" t="inlineStr">
        <is>
          <t>UNAVAILABLE</t>
        </is>
      </c>
      <c r="N1431" s="5" t="inlineStr">
        <is>
          <t>Semrush phrase_these returned no data (not billed)</t>
        </is>
      </c>
      <c r="O1431" t="inlineStr">
        <is>
          <t>2026-10-30</t>
        </is>
      </c>
      <c r="P1431">
        <f>IF(IF(J1431="NOT AVAILABLE","",J1431)="",12,IF(OR(ISNUMBER(SEARCH("Transactional",IF(J1431="NOT AVAILABLE","",J1431))),ISNUMBER(SEARCH("Commercial",IF(J1431="NOT AVAILABLE","",J1431)))),25,IF(ISNUMBER(SEARCH("Informational",IF(J1431="NOT AVAILABLE","",J1431))),10,IF(ISNUMBER(SEARCH("Navigational",IF(J1431="NOT AVAILABLE","",J1431))),0,12))))</f>
        <v/>
      </c>
      <c r="Q1431">
        <f>IF(ISNUMBER(F1431),MIN(30,ROUND(30*LOG10(F1431+1)/4,1)),0)</f>
        <v/>
      </c>
      <c r="R1431">
        <f>IF(ISNUMBER(G1431),ROUND(25*(100-G1431)/100,1),12.5)</f>
        <v/>
      </c>
      <c r="S1431" t="n">
        <v>14</v>
      </c>
      <c r="T1431">
        <f>ROUND(P1431+Q1431+R1431+S1431,0)</f>
        <v/>
      </c>
      <c r="U1431" s="5" t="inlineStr"/>
      <c r="V1431" s="5" t="inlineStr"/>
    </row>
    <row r="1432">
      <c r="A1432" t="inlineStr">
        <is>
          <t>K1430</t>
        </is>
      </c>
      <c r="B1432" t="inlineStr">
        <is>
          <t>combien coute une plateforme e-learning</t>
        </is>
      </c>
      <c r="C1432" t="inlineStr">
        <is>
          <t>France</t>
        </is>
      </c>
      <c r="D1432" t="inlineStr">
        <is>
          <t>fr</t>
        </is>
      </c>
      <c r="E1432" t="inlineStr">
        <is>
          <t>fr</t>
        </is>
      </c>
      <c r="F1432" t="inlineStr">
        <is>
          <t>NOT AVAILABLE</t>
        </is>
      </c>
      <c r="G1432" t="inlineStr">
        <is>
          <t>NOT AVAILABLE</t>
        </is>
      </c>
      <c r="H1432" t="inlineStr">
        <is>
          <t>NOT AVAILABLE</t>
        </is>
      </c>
      <c r="I1432" t="inlineStr">
        <is>
          <t>NOT AVAILABLE</t>
        </is>
      </c>
      <c r="J1432" t="inlineStr">
        <is>
          <t>NOT AVAILABLE</t>
        </is>
      </c>
      <c r="K1432" t="inlineStr">
        <is>
          <t>NOT AVAILABLE</t>
        </is>
      </c>
      <c r="L1432" t="inlineStr">
        <is>
          <t>NOT AVAILABLE</t>
        </is>
      </c>
      <c r="M1432" t="inlineStr">
        <is>
          <t>UNAVAILABLE</t>
        </is>
      </c>
      <c r="N1432" s="5" t="inlineStr">
        <is>
          <t>Semrush phrase_these returned no data (not billed)</t>
        </is>
      </c>
      <c r="O1432" t="inlineStr">
        <is>
          <t>2026-10-30</t>
        </is>
      </c>
      <c r="P1432">
        <f>IF(IF(J1432="NOT AVAILABLE","",J1432)="",12,IF(OR(ISNUMBER(SEARCH("Transactional",IF(J1432="NOT AVAILABLE","",J1432))),ISNUMBER(SEARCH("Commercial",IF(J1432="NOT AVAILABLE","",J1432)))),25,IF(ISNUMBER(SEARCH("Informational",IF(J1432="NOT AVAILABLE","",J1432))),10,IF(ISNUMBER(SEARCH("Navigational",IF(J1432="NOT AVAILABLE","",J1432))),0,12))))</f>
        <v/>
      </c>
      <c r="Q1432">
        <f>IF(ISNUMBER(F1432),MIN(30,ROUND(30*LOG10(F1432+1)/4,1)),0)</f>
        <v/>
      </c>
      <c r="R1432">
        <f>IF(ISNUMBER(G1432),ROUND(25*(100-G1432)/100,1),12.5)</f>
        <v/>
      </c>
      <c r="S1432" t="n">
        <v>14</v>
      </c>
      <c r="T1432">
        <f>ROUND(P1432+Q1432+R1432+S1432,0)</f>
        <v/>
      </c>
      <c r="U1432" s="5" t="inlineStr"/>
      <c r="V1432" s="5" t="inlineStr"/>
    </row>
    <row r="1433">
      <c r="A1433" t="inlineStr">
        <is>
          <t>K1431</t>
        </is>
      </c>
      <c r="B1433" t="inlineStr">
        <is>
          <t>combien coûte le développement d'un saas</t>
        </is>
      </c>
      <c r="C1433" t="inlineStr">
        <is>
          <t>France</t>
        </is>
      </c>
      <c r="D1433" t="inlineStr">
        <is>
          <t>fr</t>
        </is>
      </c>
      <c r="E1433" t="inlineStr">
        <is>
          <t>fr</t>
        </is>
      </c>
      <c r="F1433" t="inlineStr">
        <is>
          <t>NOT AVAILABLE</t>
        </is>
      </c>
      <c r="G1433" t="inlineStr">
        <is>
          <t>NOT AVAILABLE</t>
        </is>
      </c>
      <c r="H1433" t="inlineStr">
        <is>
          <t>NOT AVAILABLE</t>
        </is>
      </c>
      <c r="I1433" t="inlineStr">
        <is>
          <t>NOT AVAILABLE</t>
        </is>
      </c>
      <c r="J1433" t="inlineStr">
        <is>
          <t>NOT AVAILABLE</t>
        </is>
      </c>
      <c r="K1433" t="inlineStr">
        <is>
          <t>NOT AVAILABLE</t>
        </is>
      </c>
      <c r="L1433" t="inlineStr">
        <is>
          <t>NOT AVAILABLE</t>
        </is>
      </c>
      <c r="M1433" t="inlineStr">
        <is>
          <t>UNAVAILABLE</t>
        </is>
      </c>
      <c r="N1433" s="5" t="inlineStr">
        <is>
          <t>Semrush phrase_these returned no data (not billed)</t>
        </is>
      </c>
      <c r="O1433" t="inlineStr">
        <is>
          <t>2026-10-30</t>
        </is>
      </c>
      <c r="P1433">
        <f>IF(IF(J1433="NOT AVAILABLE","",J1433)="",12,IF(OR(ISNUMBER(SEARCH("Transactional",IF(J1433="NOT AVAILABLE","",J1433))),ISNUMBER(SEARCH("Commercial",IF(J1433="NOT AVAILABLE","",J1433)))),25,IF(ISNUMBER(SEARCH("Informational",IF(J1433="NOT AVAILABLE","",J1433))),10,IF(ISNUMBER(SEARCH("Navigational",IF(J1433="NOT AVAILABLE","",J1433))),0,12))))</f>
        <v/>
      </c>
      <c r="Q1433">
        <f>IF(ISNUMBER(F1433),MIN(30,ROUND(30*LOG10(F1433+1)/4,1)),0)</f>
        <v/>
      </c>
      <c r="R1433">
        <f>IF(ISNUMBER(G1433),ROUND(25*(100-G1433)/100,1),12.5)</f>
        <v/>
      </c>
      <c r="S1433" t="n">
        <v>14</v>
      </c>
      <c r="T1433">
        <f>ROUND(P1433+Q1433+R1433+S1433,0)</f>
        <v/>
      </c>
      <c r="U1433" s="5" t="inlineStr"/>
      <c r="V1433" s="5" t="inlineStr"/>
    </row>
    <row r="1434">
      <c r="A1434" t="inlineStr">
        <is>
          <t>K1432</t>
        </is>
      </c>
      <c r="B1434" t="inlineStr">
        <is>
          <t>comment créer un site immobilier</t>
        </is>
      </c>
      <c r="C1434" t="inlineStr">
        <is>
          <t>France</t>
        </is>
      </c>
      <c r="D1434" t="inlineStr">
        <is>
          <t>fr</t>
        </is>
      </c>
      <c r="E1434" t="inlineStr">
        <is>
          <t>fr</t>
        </is>
      </c>
      <c r="F1434" t="n">
        <v>0</v>
      </c>
      <c r="G1434" t="inlineStr">
        <is>
          <t>NOT AVAILABLE</t>
        </is>
      </c>
      <c r="H1434" t="n">
        <v>0</v>
      </c>
      <c r="I1434" t="n">
        <v>0</v>
      </c>
      <c r="J1434" t="inlineStr">
        <is>
          <t>NOT AVAILABLE</t>
        </is>
      </c>
      <c r="K1434" t="inlineStr">
        <is>
          <t>NOT AVAILABLE (report not requested)</t>
        </is>
      </c>
      <c r="L1434" t="inlineStr">
        <is>
          <t>flat (no data)</t>
        </is>
      </c>
      <c r="M1434" t="inlineStr">
        <is>
          <t>MEASURED</t>
        </is>
      </c>
      <c r="N1434" s="5" t="inlineStr">
        <is>
          <t>Semrush phrase_these (live, this session)</t>
        </is>
      </c>
      <c r="O1434" t="inlineStr">
        <is>
          <t>2026-10-30</t>
        </is>
      </c>
      <c r="P1434">
        <f>IF(IF(J1434="NOT AVAILABLE","",J1434)="",12,IF(OR(ISNUMBER(SEARCH("Transactional",IF(J1434="NOT AVAILABLE","",J1434))),ISNUMBER(SEARCH("Commercial",IF(J1434="NOT AVAILABLE","",J1434)))),25,IF(ISNUMBER(SEARCH("Informational",IF(J1434="NOT AVAILABLE","",J1434))),10,IF(ISNUMBER(SEARCH("Navigational",IF(J1434="NOT AVAILABLE","",J1434))),0,12))))</f>
        <v/>
      </c>
      <c r="Q1434">
        <f>IF(ISNUMBER(F1434),MIN(30,ROUND(30*LOG10(F1434+1)/4,1)),0)</f>
        <v/>
      </c>
      <c r="R1434">
        <f>IF(ISNUMBER(G1434),ROUND(25*(100-G1434)/100,1),12.5)</f>
        <v/>
      </c>
      <c r="S1434" t="n">
        <v>14</v>
      </c>
      <c r="T1434">
        <f>ROUND(P1434+Q1434+R1434+S1434,0)</f>
        <v/>
      </c>
      <c r="U1434" s="5" t="inlineStr"/>
      <c r="V1434" s="5" t="inlineStr"/>
    </row>
    <row r="1435">
      <c r="A1435" t="inlineStr">
        <is>
          <t>K1433</t>
        </is>
      </c>
      <c r="B1435" t="inlineStr">
        <is>
          <t>comment créer une plateforme de téléconsultation</t>
        </is>
      </c>
      <c r="C1435" t="inlineStr">
        <is>
          <t>France</t>
        </is>
      </c>
      <c r="D1435" t="inlineStr">
        <is>
          <t>fr</t>
        </is>
      </c>
      <c r="E1435" t="inlineStr">
        <is>
          <t>fr</t>
        </is>
      </c>
      <c r="F1435" t="inlineStr">
        <is>
          <t>NOT AVAILABLE</t>
        </is>
      </c>
      <c r="G1435" t="inlineStr">
        <is>
          <t>NOT AVAILABLE</t>
        </is>
      </c>
      <c r="H1435" t="inlineStr">
        <is>
          <t>NOT AVAILABLE</t>
        </is>
      </c>
      <c r="I1435" t="inlineStr">
        <is>
          <t>NOT AVAILABLE</t>
        </is>
      </c>
      <c r="J1435" t="inlineStr">
        <is>
          <t>NOT AVAILABLE</t>
        </is>
      </c>
      <c r="K1435" t="inlineStr">
        <is>
          <t>NOT AVAILABLE</t>
        </is>
      </c>
      <c r="L1435" t="inlineStr">
        <is>
          <t>NOT AVAILABLE</t>
        </is>
      </c>
      <c r="M1435" t="inlineStr">
        <is>
          <t>UNAVAILABLE</t>
        </is>
      </c>
      <c r="N1435" s="5" t="inlineStr">
        <is>
          <t>Semrush phrase_these returned no data (not billed)</t>
        </is>
      </c>
      <c r="O1435" t="inlineStr">
        <is>
          <t>2026-10-30</t>
        </is>
      </c>
      <c r="P1435">
        <f>IF(IF(J1435="NOT AVAILABLE","",J1435)="",12,IF(OR(ISNUMBER(SEARCH("Transactional",IF(J1435="NOT AVAILABLE","",J1435))),ISNUMBER(SEARCH("Commercial",IF(J1435="NOT AVAILABLE","",J1435)))),25,IF(ISNUMBER(SEARCH("Informational",IF(J1435="NOT AVAILABLE","",J1435))),10,IF(ISNUMBER(SEARCH("Navigational",IF(J1435="NOT AVAILABLE","",J1435))),0,12))))</f>
        <v/>
      </c>
      <c r="Q1435">
        <f>IF(ISNUMBER(F1435),MIN(30,ROUND(30*LOG10(F1435+1)/4,1)),0)</f>
        <v/>
      </c>
      <c r="R1435">
        <f>IF(ISNUMBER(G1435),ROUND(25*(100-G1435)/100,1),12.5)</f>
        <v/>
      </c>
      <c r="S1435" t="n">
        <v>14</v>
      </c>
      <c r="T1435">
        <f>ROUND(P1435+Q1435+R1435+S1435,0)</f>
        <v/>
      </c>
      <c r="U1435" s="5" t="inlineStr"/>
      <c r="V1435" s="5" t="inlineStr"/>
    </row>
    <row r="1436">
      <c r="A1436" t="inlineStr">
        <is>
          <t>K1434</t>
        </is>
      </c>
      <c r="B1436" t="inlineStr">
        <is>
          <t>comment créer une plateforme saas</t>
        </is>
      </c>
      <c r="C1436" t="inlineStr">
        <is>
          <t>France</t>
        </is>
      </c>
      <c r="D1436" t="inlineStr">
        <is>
          <t>fr</t>
        </is>
      </c>
      <c r="E1436" t="inlineStr">
        <is>
          <t>fr</t>
        </is>
      </c>
      <c r="F1436" t="inlineStr">
        <is>
          <t>NOT AVAILABLE</t>
        </is>
      </c>
      <c r="G1436" t="inlineStr">
        <is>
          <t>NOT AVAILABLE</t>
        </is>
      </c>
      <c r="H1436" t="inlineStr">
        <is>
          <t>NOT AVAILABLE</t>
        </is>
      </c>
      <c r="I1436" t="inlineStr">
        <is>
          <t>NOT AVAILABLE</t>
        </is>
      </c>
      <c r="J1436" t="inlineStr">
        <is>
          <t>NOT AVAILABLE</t>
        </is>
      </c>
      <c r="K1436" t="inlineStr">
        <is>
          <t>NOT AVAILABLE</t>
        </is>
      </c>
      <c r="L1436" t="inlineStr">
        <is>
          <t>NOT AVAILABLE</t>
        </is>
      </c>
      <c r="M1436" t="inlineStr">
        <is>
          <t>UNAVAILABLE</t>
        </is>
      </c>
      <c r="N1436" s="5" t="inlineStr">
        <is>
          <t>Semrush phrase_these returned no data (not billed)</t>
        </is>
      </c>
      <c r="O1436" t="inlineStr">
        <is>
          <t>2026-10-30</t>
        </is>
      </c>
      <c r="P1436">
        <f>IF(IF(J1436="NOT AVAILABLE","",J1436)="",12,IF(OR(ISNUMBER(SEARCH("Transactional",IF(J1436="NOT AVAILABLE","",J1436))),ISNUMBER(SEARCH("Commercial",IF(J1436="NOT AVAILABLE","",J1436)))),25,IF(ISNUMBER(SEARCH("Informational",IF(J1436="NOT AVAILABLE","",J1436))),10,IF(ISNUMBER(SEARCH("Navigational",IF(J1436="NOT AVAILABLE","",J1436))),0,12))))</f>
        <v/>
      </c>
      <c r="Q1436">
        <f>IF(ISNUMBER(F1436),MIN(30,ROUND(30*LOG10(F1436+1)/4,1)),0)</f>
        <v/>
      </c>
      <c r="R1436">
        <f>IF(ISNUMBER(G1436),ROUND(25*(100-G1436)/100,1),12.5)</f>
        <v/>
      </c>
      <c r="S1436" t="n">
        <v>14</v>
      </c>
      <c r="T1436">
        <f>ROUND(P1436+Q1436+R1436+S1436,0)</f>
        <v/>
      </c>
      <c r="U1436" s="5" t="inlineStr"/>
      <c r="V1436" s="5" t="inlineStr"/>
    </row>
    <row r="1437">
      <c r="A1437" t="inlineStr">
        <is>
          <t>K1435</t>
        </is>
      </c>
      <c r="B1437" t="inlineStr">
        <is>
          <t>convertir majuscule minuscule</t>
        </is>
      </c>
      <c r="C1437" t="inlineStr">
        <is>
          <t>France</t>
        </is>
      </c>
      <c r="D1437" t="inlineStr">
        <is>
          <t>fr</t>
        </is>
      </c>
      <c r="E1437" t="inlineStr">
        <is>
          <t>fr</t>
        </is>
      </c>
      <c r="F1437" t="n">
        <v>0</v>
      </c>
      <c r="G1437" t="inlineStr">
        <is>
          <t>NOT AVAILABLE</t>
        </is>
      </c>
      <c r="H1437" t="n">
        <v>0</v>
      </c>
      <c r="I1437" t="n">
        <v>0</v>
      </c>
      <c r="J1437" t="inlineStr">
        <is>
          <t>NOT AVAILABLE</t>
        </is>
      </c>
      <c r="K1437" t="inlineStr">
        <is>
          <t>NOT AVAILABLE (report not requested)</t>
        </is>
      </c>
      <c r="L1437" t="inlineStr">
        <is>
          <t>flat (no data)</t>
        </is>
      </c>
      <c r="M1437" t="inlineStr">
        <is>
          <t>MEASURED</t>
        </is>
      </c>
      <c r="N1437" s="5" t="inlineStr">
        <is>
          <t>Semrush phrase_these (live, this session)</t>
        </is>
      </c>
      <c r="O1437" t="inlineStr">
        <is>
          <t>2026-10-30</t>
        </is>
      </c>
      <c r="P1437">
        <f>IF(IF(J1437="NOT AVAILABLE","",J1437)="",12,IF(OR(ISNUMBER(SEARCH("Transactional",IF(J1437="NOT AVAILABLE","",J1437))),ISNUMBER(SEARCH("Commercial",IF(J1437="NOT AVAILABLE","",J1437)))),25,IF(ISNUMBER(SEARCH("Informational",IF(J1437="NOT AVAILABLE","",J1437))),10,IF(ISNUMBER(SEARCH("Navigational",IF(J1437="NOT AVAILABLE","",J1437))),0,12))))</f>
        <v/>
      </c>
      <c r="Q1437">
        <f>IF(ISNUMBER(F1437),MIN(30,ROUND(30*LOG10(F1437+1)/4,1)),0)</f>
        <v/>
      </c>
      <c r="R1437">
        <f>IF(ISNUMBER(G1437),ROUND(25*(100-G1437)/100,1),12.5)</f>
        <v/>
      </c>
      <c r="S1437" t="n">
        <v>14</v>
      </c>
      <c r="T1437">
        <f>ROUND(P1437+Q1437+R1437+S1437,0)</f>
        <v/>
      </c>
      <c r="U1437" s="5" t="inlineStr"/>
      <c r="V1437" s="5" t="inlineStr">
        <is>
          <t>OPTIONAL /tools/text-case-converter</t>
        </is>
      </c>
    </row>
    <row r="1438">
      <c r="A1438" t="inlineStr">
        <is>
          <t>K1436</t>
        </is>
      </c>
      <c r="B1438" t="inlineStr">
        <is>
          <t>création plateforme de paiement</t>
        </is>
      </c>
      <c r="C1438" t="inlineStr">
        <is>
          <t>France</t>
        </is>
      </c>
      <c r="D1438" t="inlineStr">
        <is>
          <t>fr</t>
        </is>
      </c>
      <c r="E1438" t="inlineStr">
        <is>
          <t>fr</t>
        </is>
      </c>
      <c r="F1438" t="inlineStr">
        <is>
          <t>NOT AVAILABLE</t>
        </is>
      </c>
      <c r="G1438" t="inlineStr">
        <is>
          <t>NOT AVAILABLE</t>
        </is>
      </c>
      <c r="H1438" t="inlineStr">
        <is>
          <t>NOT AVAILABLE</t>
        </is>
      </c>
      <c r="I1438" t="inlineStr">
        <is>
          <t>NOT AVAILABLE</t>
        </is>
      </c>
      <c r="J1438" t="inlineStr">
        <is>
          <t>NOT AVAILABLE</t>
        </is>
      </c>
      <c r="K1438" t="inlineStr">
        <is>
          <t>NOT AVAILABLE</t>
        </is>
      </c>
      <c r="L1438" t="inlineStr">
        <is>
          <t>NOT AVAILABLE</t>
        </is>
      </c>
      <c r="M1438" t="inlineStr">
        <is>
          <t>UNAVAILABLE</t>
        </is>
      </c>
      <c r="N1438" s="5" t="inlineStr">
        <is>
          <t>Semrush phrase_these returned no data (not billed)</t>
        </is>
      </c>
      <c r="O1438" t="inlineStr">
        <is>
          <t>2026-10-30</t>
        </is>
      </c>
      <c r="P1438">
        <f>IF(IF(J1438="NOT AVAILABLE","",J1438)="",12,IF(OR(ISNUMBER(SEARCH("Transactional",IF(J1438="NOT AVAILABLE","",J1438))),ISNUMBER(SEARCH("Commercial",IF(J1438="NOT AVAILABLE","",J1438)))),25,IF(ISNUMBER(SEARCH("Informational",IF(J1438="NOT AVAILABLE","",J1438))),10,IF(ISNUMBER(SEARCH("Navigational",IF(J1438="NOT AVAILABLE","",J1438))),0,12))))</f>
        <v/>
      </c>
      <c r="Q1438">
        <f>IF(ISNUMBER(F1438),MIN(30,ROUND(30*LOG10(F1438+1)/4,1)),0)</f>
        <v/>
      </c>
      <c r="R1438">
        <f>IF(ISNUMBER(G1438),ROUND(25*(100-G1438)/100,1),12.5)</f>
        <v/>
      </c>
      <c r="S1438" t="n">
        <v>14</v>
      </c>
      <c r="T1438">
        <f>ROUND(P1438+Q1438+R1438+S1438,0)</f>
        <v/>
      </c>
      <c r="U1438" s="5" t="inlineStr"/>
      <c r="V1438" s="5" t="inlineStr"/>
    </row>
    <row r="1439">
      <c r="A1439" t="inlineStr">
        <is>
          <t>K1437</t>
        </is>
      </c>
      <c r="B1439" t="inlineStr">
        <is>
          <t>création site de formation en ligne</t>
        </is>
      </c>
      <c r="C1439" t="inlineStr">
        <is>
          <t>France</t>
        </is>
      </c>
      <c r="D1439" t="inlineStr">
        <is>
          <t>fr</t>
        </is>
      </c>
      <c r="E1439" t="inlineStr">
        <is>
          <t>fr</t>
        </is>
      </c>
      <c r="F1439" t="inlineStr">
        <is>
          <t>NOT AVAILABLE</t>
        </is>
      </c>
      <c r="G1439" t="inlineStr">
        <is>
          <t>NOT AVAILABLE</t>
        </is>
      </c>
      <c r="H1439" t="inlineStr">
        <is>
          <t>NOT AVAILABLE</t>
        </is>
      </c>
      <c r="I1439" t="inlineStr">
        <is>
          <t>NOT AVAILABLE</t>
        </is>
      </c>
      <c r="J1439" t="inlineStr">
        <is>
          <t>NOT AVAILABLE</t>
        </is>
      </c>
      <c r="K1439" t="inlineStr">
        <is>
          <t>NOT AVAILABLE</t>
        </is>
      </c>
      <c r="L1439" t="inlineStr">
        <is>
          <t>NOT AVAILABLE</t>
        </is>
      </c>
      <c r="M1439" t="inlineStr">
        <is>
          <t>UNAVAILABLE</t>
        </is>
      </c>
      <c r="N1439" s="5" t="inlineStr">
        <is>
          <t>Semrush phrase_these returned no data (not billed)</t>
        </is>
      </c>
      <c r="O1439" t="inlineStr">
        <is>
          <t>2026-10-30</t>
        </is>
      </c>
      <c r="P1439">
        <f>IF(IF(J1439="NOT AVAILABLE","",J1439)="",12,IF(OR(ISNUMBER(SEARCH("Transactional",IF(J1439="NOT AVAILABLE","",J1439))),ISNUMBER(SEARCH("Commercial",IF(J1439="NOT AVAILABLE","",J1439)))),25,IF(ISNUMBER(SEARCH("Informational",IF(J1439="NOT AVAILABLE","",J1439))),10,IF(ISNUMBER(SEARCH("Navigational",IF(J1439="NOT AVAILABLE","",J1439))),0,12))))</f>
        <v/>
      </c>
      <c r="Q1439">
        <f>IF(ISNUMBER(F1439),MIN(30,ROUND(30*LOG10(F1439+1)/4,1)),0)</f>
        <v/>
      </c>
      <c r="R1439">
        <f>IF(ISNUMBER(G1439),ROUND(25*(100-G1439)/100,1),12.5)</f>
        <v/>
      </c>
      <c r="S1439" t="n">
        <v>14</v>
      </c>
      <c r="T1439">
        <f>ROUND(P1439+Q1439+R1439+S1439,0)</f>
        <v/>
      </c>
      <c r="U1439" s="5" t="inlineStr"/>
      <c r="V1439" s="5" t="inlineStr"/>
    </row>
    <row r="1440">
      <c r="A1440" t="inlineStr">
        <is>
          <t>K1438</t>
        </is>
      </c>
      <c r="B1440" t="inlineStr">
        <is>
          <t>création site web abu dhabi</t>
        </is>
      </c>
      <c r="C1440" t="inlineStr">
        <is>
          <t>France</t>
        </is>
      </c>
      <c r="D1440" t="inlineStr">
        <is>
          <t>fr</t>
        </is>
      </c>
      <c r="E1440" t="inlineStr">
        <is>
          <t>fr</t>
        </is>
      </c>
      <c r="F1440" t="inlineStr">
        <is>
          <t>NOT AVAILABLE</t>
        </is>
      </c>
      <c r="G1440" t="inlineStr">
        <is>
          <t>NOT AVAILABLE</t>
        </is>
      </c>
      <c r="H1440" t="inlineStr">
        <is>
          <t>NOT AVAILABLE</t>
        </is>
      </c>
      <c r="I1440" t="inlineStr">
        <is>
          <t>NOT AVAILABLE</t>
        </is>
      </c>
      <c r="J1440" t="inlineStr">
        <is>
          <t>NOT AVAILABLE</t>
        </is>
      </c>
      <c r="K1440" t="inlineStr">
        <is>
          <t>NOT AVAILABLE</t>
        </is>
      </c>
      <c r="L1440" t="inlineStr">
        <is>
          <t>NOT AVAILABLE</t>
        </is>
      </c>
      <c r="M1440" t="inlineStr">
        <is>
          <t>UNAVAILABLE</t>
        </is>
      </c>
      <c r="N1440" s="5" t="inlineStr">
        <is>
          <t>Semrush phrase_these returned no data (not billed)</t>
        </is>
      </c>
      <c r="O1440" t="inlineStr">
        <is>
          <t>2026-10-30</t>
        </is>
      </c>
      <c r="P1440">
        <f>IF(IF(J1440="NOT AVAILABLE","",J1440)="",12,IF(OR(ISNUMBER(SEARCH("Transactional",IF(J1440="NOT AVAILABLE","",J1440))),ISNUMBER(SEARCH("Commercial",IF(J1440="NOT AVAILABLE","",J1440)))),25,IF(ISNUMBER(SEARCH("Informational",IF(J1440="NOT AVAILABLE","",J1440))),10,IF(ISNUMBER(SEARCH("Navigational",IF(J1440="NOT AVAILABLE","",J1440))),0,12))))</f>
        <v/>
      </c>
      <c r="Q1440">
        <f>IF(ISNUMBER(F1440),MIN(30,ROUND(30*LOG10(F1440+1)/4,1)),0)</f>
        <v/>
      </c>
      <c r="R1440">
        <f>IF(ISNUMBER(G1440),ROUND(25*(100-G1440)/100,1),12.5)</f>
        <v/>
      </c>
      <c r="S1440" t="n">
        <v>14</v>
      </c>
      <c r="T1440">
        <f>ROUND(P1440+Q1440+R1440+S1440,0)</f>
        <v/>
      </c>
      <c r="U1440" s="5" t="inlineStr"/>
      <c r="V1440" s="5" t="inlineStr"/>
    </row>
    <row r="1441">
      <c r="A1441" t="inlineStr">
        <is>
          <t>K1439</t>
        </is>
      </c>
      <c r="B1441" t="inlineStr">
        <is>
          <t>création site web amsterdam</t>
        </is>
      </c>
      <c r="C1441" t="inlineStr">
        <is>
          <t>France</t>
        </is>
      </c>
      <c r="D1441" t="inlineStr">
        <is>
          <t>fr</t>
        </is>
      </c>
      <c r="E1441" t="inlineStr">
        <is>
          <t>fr</t>
        </is>
      </c>
      <c r="F1441" t="inlineStr">
        <is>
          <t>NOT AVAILABLE</t>
        </is>
      </c>
      <c r="G1441" t="inlineStr">
        <is>
          <t>NOT AVAILABLE</t>
        </is>
      </c>
      <c r="H1441" t="inlineStr">
        <is>
          <t>NOT AVAILABLE</t>
        </is>
      </c>
      <c r="I1441" t="inlineStr">
        <is>
          <t>NOT AVAILABLE</t>
        </is>
      </c>
      <c r="J1441" t="inlineStr">
        <is>
          <t>NOT AVAILABLE</t>
        </is>
      </c>
      <c r="K1441" t="inlineStr">
        <is>
          <t>NOT AVAILABLE</t>
        </is>
      </c>
      <c r="L1441" t="inlineStr">
        <is>
          <t>NOT AVAILABLE</t>
        </is>
      </c>
      <c r="M1441" t="inlineStr">
        <is>
          <t>UNAVAILABLE</t>
        </is>
      </c>
      <c r="N1441" s="5" t="inlineStr">
        <is>
          <t>Semrush phrase_these returned no data (not billed)</t>
        </is>
      </c>
      <c r="O1441" t="inlineStr">
        <is>
          <t>2026-10-30</t>
        </is>
      </c>
      <c r="P1441">
        <f>IF(IF(J1441="NOT AVAILABLE","",J1441)="",12,IF(OR(ISNUMBER(SEARCH("Transactional",IF(J1441="NOT AVAILABLE","",J1441))),ISNUMBER(SEARCH("Commercial",IF(J1441="NOT AVAILABLE","",J1441)))),25,IF(ISNUMBER(SEARCH("Informational",IF(J1441="NOT AVAILABLE","",J1441))),10,IF(ISNUMBER(SEARCH("Navigational",IF(J1441="NOT AVAILABLE","",J1441))),0,12))))</f>
        <v/>
      </c>
      <c r="Q1441">
        <f>IF(ISNUMBER(F1441),MIN(30,ROUND(30*LOG10(F1441+1)/4,1)),0)</f>
        <v/>
      </c>
      <c r="R1441">
        <f>IF(ISNUMBER(G1441),ROUND(25*(100-G1441)/100,1),12.5)</f>
        <v/>
      </c>
      <c r="S1441" t="n">
        <v>14</v>
      </c>
      <c r="T1441">
        <f>ROUND(P1441+Q1441+R1441+S1441,0)</f>
        <v/>
      </c>
      <c r="U1441" s="5" t="inlineStr"/>
      <c r="V1441" s="5" t="inlineStr"/>
    </row>
    <row r="1442">
      <c r="A1442" t="inlineStr">
        <is>
          <t>K1440</t>
        </is>
      </c>
      <c r="B1442" t="inlineStr">
        <is>
          <t>création site web austin</t>
        </is>
      </c>
      <c r="C1442" t="inlineStr">
        <is>
          <t>France</t>
        </is>
      </c>
      <c r="D1442" t="inlineStr">
        <is>
          <t>fr</t>
        </is>
      </c>
      <c r="E1442" t="inlineStr">
        <is>
          <t>fr</t>
        </is>
      </c>
      <c r="F1442" t="inlineStr">
        <is>
          <t>NOT AVAILABLE</t>
        </is>
      </c>
      <c r="G1442" t="inlineStr">
        <is>
          <t>NOT AVAILABLE</t>
        </is>
      </c>
      <c r="H1442" t="inlineStr">
        <is>
          <t>NOT AVAILABLE</t>
        </is>
      </c>
      <c r="I1442" t="inlineStr">
        <is>
          <t>NOT AVAILABLE</t>
        </is>
      </c>
      <c r="J1442" t="inlineStr">
        <is>
          <t>NOT AVAILABLE</t>
        </is>
      </c>
      <c r="K1442" t="inlineStr">
        <is>
          <t>NOT AVAILABLE</t>
        </is>
      </c>
      <c r="L1442" t="inlineStr">
        <is>
          <t>NOT AVAILABLE</t>
        </is>
      </c>
      <c r="M1442" t="inlineStr">
        <is>
          <t>UNAVAILABLE</t>
        </is>
      </c>
      <c r="N1442" s="5" t="inlineStr">
        <is>
          <t>Semrush phrase_these returned no data (not billed)</t>
        </is>
      </c>
      <c r="O1442" t="inlineStr">
        <is>
          <t>2026-10-30</t>
        </is>
      </c>
      <c r="P1442">
        <f>IF(IF(J1442="NOT AVAILABLE","",J1442)="",12,IF(OR(ISNUMBER(SEARCH("Transactional",IF(J1442="NOT AVAILABLE","",J1442))),ISNUMBER(SEARCH("Commercial",IF(J1442="NOT AVAILABLE","",J1442)))),25,IF(ISNUMBER(SEARCH("Informational",IF(J1442="NOT AVAILABLE","",J1442))),10,IF(ISNUMBER(SEARCH("Navigational",IF(J1442="NOT AVAILABLE","",J1442))),0,12))))</f>
        <v/>
      </c>
      <c r="Q1442">
        <f>IF(ISNUMBER(F1442),MIN(30,ROUND(30*LOG10(F1442+1)/4,1)),0)</f>
        <v/>
      </c>
      <c r="R1442">
        <f>IF(ISNUMBER(G1442),ROUND(25*(100-G1442)/100,1),12.5)</f>
        <v/>
      </c>
      <c r="S1442" t="n">
        <v>14</v>
      </c>
      <c r="T1442">
        <f>ROUND(P1442+Q1442+R1442+S1442,0)</f>
        <v/>
      </c>
      <c r="U1442" s="5" t="inlineStr"/>
      <c r="V1442" s="5" t="inlineStr"/>
    </row>
    <row r="1443">
      <c r="A1443" t="inlineStr">
        <is>
          <t>K1441</t>
        </is>
      </c>
      <c r="B1443" t="inlineStr">
        <is>
          <t>création site web barcelone</t>
        </is>
      </c>
      <c r="C1443" t="inlineStr">
        <is>
          <t>France</t>
        </is>
      </c>
      <c r="D1443" t="inlineStr">
        <is>
          <t>fr</t>
        </is>
      </c>
      <c r="E1443" t="inlineStr">
        <is>
          <t>fr</t>
        </is>
      </c>
      <c r="F1443" t="inlineStr">
        <is>
          <t>NOT AVAILABLE</t>
        </is>
      </c>
      <c r="G1443" t="inlineStr">
        <is>
          <t>NOT AVAILABLE</t>
        </is>
      </c>
      <c r="H1443" t="inlineStr">
        <is>
          <t>NOT AVAILABLE</t>
        </is>
      </c>
      <c r="I1443" t="inlineStr">
        <is>
          <t>NOT AVAILABLE</t>
        </is>
      </c>
      <c r="J1443" t="inlineStr">
        <is>
          <t>NOT AVAILABLE</t>
        </is>
      </c>
      <c r="K1443" t="inlineStr">
        <is>
          <t>NOT AVAILABLE</t>
        </is>
      </c>
      <c r="L1443" t="inlineStr">
        <is>
          <t>NOT AVAILABLE</t>
        </is>
      </c>
      <c r="M1443" t="inlineStr">
        <is>
          <t>UNAVAILABLE</t>
        </is>
      </c>
      <c r="N1443" s="5" t="inlineStr">
        <is>
          <t>Semrush phrase_these returned no data (not billed)</t>
        </is>
      </c>
      <c r="O1443" t="inlineStr">
        <is>
          <t>2026-10-30</t>
        </is>
      </c>
      <c r="P1443">
        <f>IF(IF(J1443="NOT AVAILABLE","",J1443)="",12,IF(OR(ISNUMBER(SEARCH("Transactional",IF(J1443="NOT AVAILABLE","",J1443))),ISNUMBER(SEARCH("Commercial",IF(J1443="NOT AVAILABLE","",J1443)))),25,IF(ISNUMBER(SEARCH("Informational",IF(J1443="NOT AVAILABLE","",J1443))),10,IF(ISNUMBER(SEARCH("Navigational",IF(J1443="NOT AVAILABLE","",J1443))),0,12))))</f>
        <v/>
      </c>
      <c r="Q1443">
        <f>IF(ISNUMBER(F1443),MIN(30,ROUND(30*LOG10(F1443+1)/4,1)),0)</f>
        <v/>
      </c>
      <c r="R1443">
        <f>IF(ISNUMBER(G1443),ROUND(25*(100-G1443)/100,1),12.5)</f>
        <v/>
      </c>
      <c r="S1443" t="n">
        <v>14</v>
      </c>
      <c r="T1443">
        <f>ROUND(P1443+Q1443+R1443+S1443,0)</f>
        <v/>
      </c>
      <c r="U1443" s="5" t="inlineStr"/>
      <c r="V1443" s="5" t="inlineStr"/>
    </row>
    <row r="1444">
      <c r="A1444" t="inlineStr">
        <is>
          <t>K1442</t>
        </is>
      </c>
      <c r="B1444" t="inlineStr">
        <is>
          <t>création site web berlin</t>
        </is>
      </c>
      <c r="C1444" t="inlineStr">
        <is>
          <t>France</t>
        </is>
      </c>
      <c r="D1444" t="inlineStr">
        <is>
          <t>fr</t>
        </is>
      </c>
      <c r="E1444" t="inlineStr">
        <is>
          <t>fr</t>
        </is>
      </c>
      <c r="F1444" t="inlineStr">
        <is>
          <t>NOT AVAILABLE</t>
        </is>
      </c>
      <c r="G1444" t="inlineStr">
        <is>
          <t>NOT AVAILABLE</t>
        </is>
      </c>
      <c r="H1444" t="inlineStr">
        <is>
          <t>NOT AVAILABLE</t>
        </is>
      </c>
      <c r="I1444" t="inlineStr">
        <is>
          <t>NOT AVAILABLE</t>
        </is>
      </c>
      <c r="J1444" t="inlineStr">
        <is>
          <t>NOT AVAILABLE</t>
        </is>
      </c>
      <c r="K1444" t="inlineStr">
        <is>
          <t>NOT AVAILABLE</t>
        </is>
      </c>
      <c r="L1444" t="inlineStr">
        <is>
          <t>NOT AVAILABLE</t>
        </is>
      </c>
      <c r="M1444" t="inlineStr">
        <is>
          <t>UNAVAILABLE</t>
        </is>
      </c>
      <c r="N1444" s="5" t="inlineStr">
        <is>
          <t>Semrush phrase_these returned no data (not billed)</t>
        </is>
      </c>
      <c r="O1444" t="inlineStr">
        <is>
          <t>2026-10-30</t>
        </is>
      </c>
      <c r="P1444">
        <f>IF(IF(J1444="NOT AVAILABLE","",J1444)="",12,IF(OR(ISNUMBER(SEARCH("Transactional",IF(J1444="NOT AVAILABLE","",J1444))),ISNUMBER(SEARCH("Commercial",IF(J1444="NOT AVAILABLE","",J1444)))),25,IF(ISNUMBER(SEARCH("Informational",IF(J1444="NOT AVAILABLE","",J1444))),10,IF(ISNUMBER(SEARCH("Navigational",IF(J1444="NOT AVAILABLE","",J1444))),0,12))))</f>
        <v/>
      </c>
      <c r="Q1444">
        <f>IF(ISNUMBER(F1444),MIN(30,ROUND(30*LOG10(F1444+1)/4,1)),0)</f>
        <v/>
      </c>
      <c r="R1444">
        <f>IF(ISNUMBER(G1444),ROUND(25*(100-G1444)/100,1),12.5)</f>
        <v/>
      </c>
      <c r="S1444" t="n">
        <v>14</v>
      </c>
      <c r="T1444">
        <f>ROUND(P1444+Q1444+R1444+S1444,0)</f>
        <v/>
      </c>
      <c r="U1444" s="5" t="inlineStr"/>
      <c r="V1444" s="5" t="inlineStr"/>
    </row>
    <row r="1445">
      <c r="A1445" t="inlineStr">
        <is>
          <t>K1443</t>
        </is>
      </c>
      <c r="B1445" t="inlineStr">
        <is>
          <t>création site web boston</t>
        </is>
      </c>
      <c r="C1445" t="inlineStr">
        <is>
          <t>France</t>
        </is>
      </c>
      <c r="D1445" t="inlineStr">
        <is>
          <t>fr</t>
        </is>
      </c>
      <c r="E1445" t="inlineStr">
        <is>
          <t>fr</t>
        </is>
      </c>
      <c r="F1445" t="inlineStr">
        <is>
          <t>NOT AVAILABLE</t>
        </is>
      </c>
      <c r="G1445" t="inlineStr">
        <is>
          <t>NOT AVAILABLE</t>
        </is>
      </c>
      <c r="H1445" t="inlineStr">
        <is>
          <t>NOT AVAILABLE</t>
        </is>
      </c>
      <c r="I1445" t="inlineStr">
        <is>
          <t>NOT AVAILABLE</t>
        </is>
      </c>
      <c r="J1445" t="inlineStr">
        <is>
          <t>NOT AVAILABLE</t>
        </is>
      </c>
      <c r="K1445" t="inlineStr">
        <is>
          <t>NOT AVAILABLE</t>
        </is>
      </c>
      <c r="L1445" t="inlineStr">
        <is>
          <t>NOT AVAILABLE</t>
        </is>
      </c>
      <c r="M1445" t="inlineStr">
        <is>
          <t>UNAVAILABLE</t>
        </is>
      </c>
      <c r="N1445" s="5" t="inlineStr">
        <is>
          <t>Semrush phrase_these returned no data (not billed)</t>
        </is>
      </c>
      <c r="O1445" t="inlineStr">
        <is>
          <t>2026-10-30</t>
        </is>
      </c>
      <c r="P1445">
        <f>IF(IF(J1445="NOT AVAILABLE","",J1445)="",12,IF(OR(ISNUMBER(SEARCH("Transactional",IF(J1445="NOT AVAILABLE","",J1445))),ISNUMBER(SEARCH("Commercial",IF(J1445="NOT AVAILABLE","",J1445)))),25,IF(ISNUMBER(SEARCH("Informational",IF(J1445="NOT AVAILABLE","",J1445))),10,IF(ISNUMBER(SEARCH("Navigational",IF(J1445="NOT AVAILABLE","",J1445))),0,12))))</f>
        <v/>
      </c>
      <c r="Q1445">
        <f>IF(ISNUMBER(F1445),MIN(30,ROUND(30*LOG10(F1445+1)/4,1)),0)</f>
        <v/>
      </c>
      <c r="R1445">
        <f>IF(ISNUMBER(G1445),ROUND(25*(100-G1445)/100,1),12.5)</f>
        <v/>
      </c>
      <c r="S1445" t="n">
        <v>14</v>
      </c>
      <c r="T1445">
        <f>ROUND(P1445+Q1445+R1445+S1445,0)</f>
        <v/>
      </c>
      <c r="U1445" s="5" t="inlineStr"/>
      <c r="V1445" s="5" t="inlineStr"/>
    </row>
    <row r="1446">
      <c r="A1446" t="inlineStr">
        <is>
          <t>K1444</t>
        </is>
      </c>
      <c r="B1446" t="inlineStr">
        <is>
          <t>création site web cabinet d'immigration</t>
        </is>
      </c>
      <c r="C1446" t="inlineStr">
        <is>
          <t>France</t>
        </is>
      </c>
      <c r="D1446" t="inlineStr">
        <is>
          <t>fr</t>
        </is>
      </c>
      <c r="E1446" t="inlineStr">
        <is>
          <t>fr</t>
        </is>
      </c>
      <c r="F1446" t="inlineStr">
        <is>
          <t>NOT AVAILABLE</t>
        </is>
      </c>
      <c r="G1446" t="inlineStr">
        <is>
          <t>NOT AVAILABLE</t>
        </is>
      </c>
      <c r="H1446" t="inlineStr">
        <is>
          <t>NOT AVAILABLE</t>
        </is>
      </c>
      <c r="I1446" t="inlineStr">
        <is>
          <t>NOT AVAILABLE</t>
        </is>
      </c>
      <c r="J1446" t="inlineStr">
        <is>
          <t>NOT AVAILABLE</t>
        </is>
      </c>
      <c r="K1446" t="inlineStr">
        <is>
          <t>NOT AVAILABLE</t>
        </is>
      </c>
      <c r="L1446" t="inlineStr">
        <is>
          <t>NOT AVAILABLE</t>
        </is>
      </c>
      <c r="M1446" t="inlineStr">
        <is>
          <t>UNAVAILABLE</t>
        </is>
      </c>
      <c r="N1446" s="5" t="inlineStr">
        <is>
          <t>Semrush phrase_these returned no data (not billed)</t>
        </is>
      </c>
      <c r="O1446" t="inlineStr">
        <is>
          <t>2026-10-30</t>
        </is>
      </c>
      <c r="P1446">
        <f>IF(IF(J1446="NOT AVAILABLE","",J1446)="",12,IF(OR(ISNUMBER(SEARCH("Transactional",IF(J1446="NOT AVAILABLE","",J1446))),ISNUMBER(SEARCH("Commercial",IF(J1446="NOT AVAILABLE","",J1446)))),25,IF(ISNUMBER(SEARCH("Informational",IF(J1446="NOT AVAILABLE","",J1446))),10,IF(ISNUMBER(SEARCH("Navigational",IF(J1446="NOT AVAILABLE","",J1446))),0,12))))</f>
        <v/>
      </c>
      <c r="Q1446">
        <f>IF(ISNUMBER(F1446),MIN(30,ROUND(30*LOG10(F1446+1)/4,1)),0)</f>
        <v/>
      </c>
      <c r="R1446">
        <f>IF(ISNUMBER(G1446),ROUND(25*(100-G1446)/100,1),12.5)</f>
        <v/>
      </c>
      <c r="S1446" t="n">
        <v>14</v>
      </c>
      <c r="T1446">
        <f>ROUND(P1446+Q1446+R1446+S1446,0)</f>
        <v/>
      </c>
      <c r="U1446" s="5" t="inlineStr"/>
      <c r="V1446" s="5" t="inlineStr"/>
    </row>
    <row r="1447">
      <c r="A1447" t="inlineStr">
        <is>
          <t>K1445</t>
        </is>
      </c>
      <c r="B1447" t="inlineStr">
        <is>
          <t>création site web cabinet financier</t>
        </is>
      </c>
      <c r="C1447" t="inlineStr">
        <is>
          <t>France</t>
        </is>
      </c>
      <c r="D1447" t="inlineStr">
        <is>
          <t>fr</t>
        </is>
      </c>
      <c r="E1447" t="inlineStr">
        <is>
          <t>fr</t>
        </is>
      </c>
      <c r="F1447" t="inlineStr">
        <is>
          <t>NOT AVAILABLE</t>
        </is>
      </c>
      <c r="G1447" t="inlineStr">
        <is>
          <t>NOT AVAILABLE</t>
        </is>
      </c>
      <c r="H1447" t="inlineStr">
        <is>
          <t>NOT AVAILABLE</t>
        </is>
      </c>
      <c r="I1447" t="inlineStr">
        <is>
          <t>NOT AVAILABLE</t>
        </is>
      </c>
      <c r="J1447" t="inlineStr">
        <is>
          <t>NOT AVAILABLE</t>
        </is>
      </c>
      <c r="K1447" t="inlineStr">
        <is>
          <t>NOT AVAILABLE</t>
        </is>
      </c>
      <c r="L1447" t="inlineStr">
        <is>
          <t>NOT AVAILABLE</t>
        </is>
      </c>
      <c r="M1447" t="inlineStr">
        <is>
          <t>UNAVAILABLE</t>
        </is>
      </c>
      <c r="N1447" s="5" t="inlineStr">
        <is>
          <t>Semrush phrase_these returned no data (not billed)</t>
        </is>
      </c>
      <c r="O1447" t="inlineStr">
        <is>
          <t>2026-10-30</t>
        </is>
      </c>
      <c r="P1447">
        <f>IF(IF(J1447="NOT AVAILABLE","",J1447)="",12,IF(OR(ISNUMBER(SEARCH("Transactional",IF(J1447="NOT AVAILABLE","",J1447))),ISNUMBER(SEARCH("Commercial",IF(J1447="NOT AVAILABLE","",J1447)))),25,IF(ISNUMBER(SEARCH("Informational",IF(J1447="NOT AVAILABLE","",J1447))),10,IF(ISNUMBER(SEARCH("Navigational",IF(J1447="NOT AVAILABLE","",J1447))),0,12))))</f>
        <v/>
      </c>
      <c r="Q1447">
        <f>IF(ISNUMBER(F1447),MIN(30,ROUND(30*LOG10(F1447+1)/4,1)),0)</f>
        <v/>
      </c>
      <c r="R1447">
        <f>IF(ISNUMBER(G1447),ROUND(25*(100-G1447)/100,1),12.5)</f>
        <v/>
      </c>
      <c r="S1447" t="n">
        <v>14</v>
      </c>
      <c r="T1447">
        <f>ROUND(P1447+Q1447+R1447+S1447,0)</f>
        <v/>
      </c>
      <c r="U1447" s="5" t="inlineStr"/>
      <c r="V1447" s="5" t="inlineStr"/>
    </row>
    <row r="1448">
      <c r="A1448" t="inlineStr">
        <is>
          <t>K1446</t>
        </is>
      </c>
      <c r="B1448" t="inlineStr">
        <is>
          <t>création site web cabinet médical</t>
        </is>
      </c>
      <c r="C1448" t="inlineStr">
        <is>
          <t>France</t>
        </is>
      </c>
      <c r="D1448" t="inlineStr">
        <is>
          <t>fr</t>
        </is>
      </c>
      <c r="E1448" t="inlineStr">
        <is>
          <t>fr</t>
        </is>
      </c>
      <c r="F1448" t="inlineStr">
        <is>
          <t>NOT AVAILABLE</t>
        </is>
      </c>
      <c r="G1448" t="inlineStr">
        <is>
          <t>NOT AVAILABLE</t>
        </is>
      </c>
      <c r="H1448" t="inlineStr">
        <is>
          <t>NOT AVAILABLE</t>
        </is>
      </c>
      <c r="I1448" t="inlineStr">
        <is>
          <t>NOT AVAILABLE</t>
        </is>
      </c>
      <c r="J1448" t="inlineStr">
        <is>
          <t>NOT AVAILABLE</t>
        </is>
      </c>
      <c r="K1448" t="inlineStr">
        <is>
          <t>NOT AVAILABLE</t>
        </is>
      </c>
      <c r="L1448" t="inlineStr">
        <is>
          <t>NOT AVAILABLE</t>
        </is>
      </c>
      <c r="M1448" t="inlineStr">
        <is>
          <t>UNAVAILABLE</t>
        </is>
      </c>
      <c r="N1448" s="5" t="inlineStr">
        <is>
          <t>Semrush phrase_these returned no data (not billed)</t>
        </is>
      </c>
      <c r="O1448" t="inlineStr">
        <is>
          <t>2026-10-30</t>
        </is>
      </c>
      <c r="P1448">
        <f>IF(IF(J1448="NOT AVAILABLE","",J1448)="",12,IF(OR(ISNUMBER(SEARCH("Transactional",IF(J1448="NOT AVAILABLE","",J1448))),ISNUMBER(SEARCH("Commercial",IF(J1448="NOT AVAILABLE","",J1448)))),25,IF(ISNUMBER(SEARCH("Informational",IF(J1448="NOT AVAILABLE","",J1448))),10,IF(ISNUMBER(SEARCH("Navigational",IF(J1448="NOT AVAILABLE","",J1448))),0,12))))</f>
        <v/>
      </c>
      <c r="Q1448">
        <f>IF(ISNUMBER(F1448),MIN(30,ROUND(30*LOG10(F1448+1)/4,1)),0)</f>
        <v/>
      </c>
      <c r="R1448">
        <f>IF(ISNUMBER(G1448),ROUND(25*(100-G1448)/100,1),12.5)</f>
        <v/>
      </c>
      <c r="S1448" t="n">
        <v>14</v>
      </c>
      <c r="T1448">
        <f>ROUND(P1448+Q1448+R1448+S1448,0)</f>
        <v/>
      </c>
      <c r="U1448" s="5" t="inlineStr"/>
      <c r="V1448" s="5" t="inlineStr">
        <is>
          <t>SUPPORTING /services/telemedicine-website-development</t>
        </is>
      </c>
    </row>
    <row r="1449">
      <c r="A1449" t="inlineStr">
        <is>
          <t>K1447</t>
        </is>
      </c>
      <c r="B1449" t="inlineStr">
        <is>
          <t>création site web chicago</t>
        </is>
      </c>
      <c r="C1449" t="inlineStr">
        <is>
          <t>France</t>
        </is>
      </c>
      <c r="D1449" t="inlineStr">
        <is>
          <t>fr</t>
        </is>
      </c>
      <c r="E1449" t="inlineStr">
        <is>
          <t>fr</t>
        </is>
      </c>
      <c r="F1449" t="inlineStr">
        <is>
          <t>NOT AVAILABLE</t>
        </is>
      </c>
      <c r="G1449" t="inlineStr">
        <is>
          <t>NOT AVAILABLE</t>
        </is>
      </c>
      <c r="H1449" t="inlineStr">
        <is>
          <t>NOT AVAILABLE</t>
        </is>
      </c>
      <c r="I1449" t="inlineStr">
        <is>
          <t>NOT AVAILABLE</t>
        </is>
      </c>
      <c r="J1449" t="inlineStr">
        <is>
          <t>NOT AVAILABLE</t>
        </is>
      </c>
      <c r="K1449" t="inlineStr">
        <is>
          <t>NOT AVAILABLE</t>
        </is>
      </c>
      <c r="L1449" t="inlineStr">
        <is>
          <t>NOT AVAILABLE</t>
        </is>
      </c>
      <c r="M1449" t="inlineStr">
        <is>
          <t>UNAVAILABLE</t>
        </is>
      </c>
      <c r="N1449" s="5" t="inlineStr">
        <is>
          <t>Semrush phrase_these returned no data (not billed)</t>
        </is>
      </c>
      <c r="O1449" t="inlineStr">
        <is>
          <t>2026-10-30</t>
        </is>
      </c>
      <c r="P1449">
        <f>IF(IF(J1449="NOT AVAILABLE","",J1449)="",12,IF(OR(ISNUMBER(SEARCH("Transactional",IF(J1449="NOT AVAILABLE","",J1449))),ISNUMBER(SEARCH("Commercial",IF(J1449="NOT AVAILABLE","",J1449)))),25,IF(ISNUMBER(SEARCH("Informational",IF(J1449="NOT AVAILABLE","",J1449))),10,IF(ISNUMBER(SEARCH("Navigational",IF(J1449="NOT AVAILABLE","",J1449))),0,12))))</f>
        <v/>
      </c>
      <c r="Q1449">
        <f>IF(ISNUMBER(F1449),MIN(30,ROUND(30*LOG10(F1449+1)/4,1)),0)</f>
        <v/>
      </c>
      <c r="R1449">
        <f>IF(ISNUMBER(G1449),ROUND(25*(100-G1449)/100,1),12.5)</f>
        <v/>
      </c>
      <c r="S1449" t="n">
        <v>14</v>
      </c>
      <c r="T1449">
        <f>ROUND(P1449+Q1449+R1449+S1449,0)</f>
        <v/>
      </c>
      <c r="U1449" s="5" t="inlineStr"/>
      <c r="V1449" s="5" t="inlineStr"/>
    </row>
    <row r="1450">
      <c r="A1450" t="inlineStr">
        <is>
          <t>K1448</t>
        </is>
      </c>
      <c r="B1450" t="inlineStr">
        <is>
          <t>création site web clinique</t>
        </is>
      </c>
      <c r="C1450" t="inlineStr">
        <is>
          <t>France</t>
        </is>
      </c>
      <c r="D1450" t="inlineStr">
        <is>
          <t>fr</t>
        </is>
      </c>
      <c r="E1450" t="inlineStr">
        <is>
          <t>fr</t>
        </is>
      </c>
      <c r="F1450" t="inlineStr">
        <is>
          <t>NOT AVAILABLE</t>
        </is>
      </c>
      <c r="G1450" t="inlineStr">
        <is>
          <t>NOT AVAILABLE</t>
        </is>
      </c>
      <c r="H1450" t="inlineStr">
        <is>
          <t>NOT AVAILABLE</t>
        </is>
      </c>
      <c r="I1450" t="inlineStr">
        <is>
          <t>NOT AVAILABLE</t>
        </is>
      </c>
      <c r="J1450" t="inlineStr">
        <is>
          <t>NOT AVAILABLE</t>
        </is>
      </c>
      <c r="K1450" t="inlineStr">
        <is>
          <t>NOT AVAILABLE</t>
        </is>
      </c>
      <c r="L1450" t="inlineStr">
        <is>
          <t>NOT AVAILABLE</t>
        </is>
      </c>
      <c r="M1450" t="inlineStr">
        <is>
          <t>UNAVAILABLE</t>
        </is>
      </c>
      <c r="N1450" s="5" t="inlineStr">
        <is>
          <t>Semrush phrase_these returned no data (not billed)</t>
        </is>
      </c>
      <c r="O1450" t="inlineStr">
        <is>
          <t>2026-10-30</t>
        </is>
      </c>
      <c r="P1450">
        <f>IF(IF(J1450="NOT AVAILABLE","",J1450)="",12,IF(OR(ISNUMBER(SEARCH("Transactional",IF(J1450="NOT AVAILABLE","",J1450))),ISNUMBER(SEARCH("Commercial",IF(J1450="NOT AVAILABLE","",J1450)))),25,IF(ISNUMBER(SEARCH("Informational",IF(J1450="NOT AVAILABLE","",J1450))),10,IF(ISNUMBER(SEARCH("Navigational",IF(J1450="NOT AVAILABLE","",J1450))),0,12))))</f>
        <v/>
      </c>
      <c r="Q1450">
        <f>IF(ISNUMBER(F1450),MIN(30,ROUND(30*LOG10(F1450+1)/4,1)),0)</f>
        <v/>
      </c>
      <c r="R1450">
        <f>IF(ISNUMBER(G1450),ROUND(25*(100-G1450)/100,1),12.5)</f>
        <v/>
      </c>
      <c r="S1450" t="n">
        <v>14</v>
      </c>
      <c r="T1450">
        <f>ROUND(P1450+Q1450+R1450+S1450,0)</f>
        <v/>
      </c>
      <c r="U1450" s="5" t="inlineStr"/>
      <c r="V1450" s="5" t="inlineStr"/>
    </row>
    <row r="1451">
      <c r="A1451" t="inlineStr">
        <is>
          <t>K1449</t>
        </is>
      </c>
      <c r="B1451" t="inlineStr">
        <is>
          <t>création site web copenhague</t>
        </is>
      </c>
      <c r="C1451" t="inlineStr">
        <is>
          <t>France</t>
        </is>
      </c>
      <c r="D1451" t="inlineStr">
        <is>
          <t>fr</t>
        </is>
      </c>
      <c r="E1451" t="inlineStr">
        <is>
          <t>fr</t>
        </is>
      </c>
      <c r="F1451" t="inlineStr">
        <is>
          <t>NOT AVAILABLE</t>
        </is>
      </c>
      <c r="G1451" t="inlineStr">
        <is>
          <t>NOT AVAILABLE</t>
        </is>
      </c>
      <c r="H1451" t="inlineStr">
        <is>
          <t>NOT AVAILABLE</t>
        </is>
      </c>
      <c r="I1451" t="inlineStr">
        <is>
          <t>NOT AVAILABLE</t>
        </is>
      </c>
      <c r="J1451" t="inlineStr">
        <is>
          <t>NOT AVAILABLE</t>
        </is>
      </c>
      <c r="K1451" t="inlineStr">
        <is>
          <t>NOT AVAILABLE</t>
        </is>
      </c>
      <c r="L1451" t="inlineStr">
        <is>
          <t>NOT AVAILABLE</t>
        </is>
      </c>
      <c r="M1451" t="inlineStr">
        <is>
          <t>UNAVAILABLE</t>
        </is>
      </c>
      <c r="N1451" s="5" t="inlineStr">
        <is>
          <t>Semrush phrase_these returned no data (not billed)</t>
        </is>
      </c>
      <c r="O1451" t="inlineStr">
        <is>
          <t>2026-10-30</t>
        </is>
      </c>
      <c r="P1451">
        <f>IF(IF(J1451="NOT AVAILABLE","",J1451)="",12,IF(OR(ISNUMBER(SEARCH("Transactional",IF(J1451="NOT AVAILABLE","",J1451))),ISNUMBER(SEARCH("Commercial",IF(J1451="NOT AVAILABLE","",J1451)))),25,IF(ISNUMBER(SEARCH("Informational",IF(J1451="NOT AVAILABLE","",J1451))),10,IF(ISNUMBER(SEARCH("Navigational",IF(J1451="NOT AVAILABLE","",J1451))),0,12))))</f>
        <v/>
      </c>
      <c r="Q1451">
        <f>IF(ISNUMBER(F1451),MIN(30,ROUND(30*LOG10(F1451+1)/4,1)),0)</f>
        <v/>
      </c>
      <c r="R1451">
        <f>IF(ISNUMBER(G1451),ROUND(25*(100-G1451)/100,1),12.5)</f>
        <v/>
      </c>
      <c r="S1451" t="n">
        <v>14</v>
      </c>
      <c r="T1451">
        <f>ROUND(P1451+Q1451+R1451+S1451,0)</f>
        <v/>
      </c>
      <c r="U1451" s="5" t="inlineStr"/>
      <c r="V1451" s="5" t="inlineStr"/>
    </row>
    <row r="1452">
      <c r="A1452" t="inlineStr">
        <is>
          <t>K1450</t>
        </is>
      </c>
      <c r="B1452" t="inlineStr">
        <is>
          <t>création site web denver</t>
        </is>
      </c>
      <c r="C1452" t="inlineStr">
        <is>
          <t>France</t>
        </is>
      </c>
      <c r="D1452" t="inlineStr">
        <is>
          <t>fr</t>
        </is>
      </c>
      <c r="E1452" t="inlineStr">
        <is>
          <t>fr</t>
        </is>
      </c>
      <c r="F1452" t="inlineStr">
        <is>
          <t>NOT AVAILABLE</t>
        </is>
      </c>
      <c r="G1452" t="inlineStr">
        <is>
          <t>NOT AVAILABLE</t>
        </is>
      </c>
      <c r="H1452" t="inlineStr">
        <is>
          <t>NOT AVAILABLE</t>
        </is>
      </c>
      <c r="I1452" t="inlineStr">
        <is>
          <t>NOT AVAILABLE</t>
        </is>
      </c>
      <c r="J1452" t="inlineStr">
        <is>
          <t>NOT AVAILABLE</t>
        </is>
      </c>
      <c r="K1452" t="inlineStr">
        <is>
          <t>NOT AVAILABLE</t>
        </is>
      </c>
      <c r="L1452" t="inlineStr">
        <is>
          <t>NOT AVAILABLE</t>
        </is>
      </c>
      <c r="M1452" t="inlineStr">
        <is>
          <t>UNAVAILABLE</t>
        </is>
      </c>
      <c r="N1452" s="5" t="inlineStr">
        <is>
          <t>Semrush phrase_these returned no data (not billed)</t>
        </is>
      </c>
      <c r="O1452" t="inlineStr">
        <is>
          <t>2026-10-30</t>
        </is>
      </c>
      <c r="P1452">
        <f>IF(IF(J1452="NOT AVAILABLE","",J1452)="",12,IF(OR(ISNUMBER(SEARCH("Transactional",IF(J1452="NOT AVAILABLE","",J1452))),ISNUMBER(SEARCH("Commercial",IF(J1452="NOT AVAILABLE","",J1452)))),25,IF(ISNUMBER(SEARCH("Informational",IF(J1452="NOT AVAILABLE","",J1452))),10,IF(ISNUMBER(SEARCH("Navigational",IF(J1452="NOT AVAILABLE","",J1452))),0,12))))</f>
        <v/>
      </c>
      <c r="Q1452">
        <f>IF(ISNUMBER(F1452),MIN(30,ROUND(30*LOG10(F1452+1)/4,1)),0)</f>
        <v/>
      </c>
      <c r="R1452">
        <f>IF(ISNUMBER(G1452),ROUND(25*(100-G1452)/100,1),12.5)</f>
        <v/>
      </c>
      <c r="S1452" t="n">
        <v>14</v>
      </c>
      <c r="T1452">
        <f>ROUND(P1452+Q1452+R1452+S1452,0)</f>
        <v/>
      </c>
      <c r="U1452" s="5" t="inlineStr"/>
      <c r="V1452" s="5" t="inlineStr"/>
    </row>
    <row r="1453">
      <c r="A1453" t="inlineStr">
        <is>
          <t>K1451</t>
        </is>
      </c>
      <c r="B1453" t="inlineStr">
        <is>
          <t>création site web dubai</t>
        </is>
      </c>
      <c r="C1453" t="inlineStr">
        <is>
          <t>France</t>
        </is>
      </c>
      <c r="D1453" t="inlineStr">
        <is>
          <t>fr</t>
        </is>
      </c>
      <c r="E1453" t="inlineStr">
        <is>
          <t>fr</t>
        </is>
      </c>
      <c r="F1453" t="inlineStr">
        <is>
          <t>NOT AVAILABLE</t>
        </is>
      </c>
      <c r="G1453" t="inlineStr">
        <is>
          <t>NOT AVAILABLE</t>
        </is>
      </c>
      <c r="H1453" t="inlineStr">
        <is>
          <t>NOT AVAILABLE</t>
        </is>
      </c>
      <c r="I1453" t="inlineStr">
        <is>
          <t>NOT AVAILABLE</t>
        </is>
      </c>
      <c r="J1453" t="inlineStr">
        <is>
          <t>NOT AVAILABLE</t>
        </is>
      </c>
      <c r="K1453" t="inlineStr">
        <is>
          <t>NOT AVAILABLE</t>
        </is>
      </c>
      <c r="L1453" t="inlineStr">
        <is>
          <t>NOT AVAILABLE</t>
        </is>
      </c>
      <c r="M1453" t="inlineStr">
        <is>
          <t>UNAVAILABLE</t>
        </is>
      </c>
      <c r="N1453" s="5" t="inlineStr">
        <is>
          <t>Semrush phrase_these returned no data (not billed)</t>
        </is>
      </c>
      <c r="O1453" t="inlineStr">
        <is>
          <t>2026-10-30</t>
        </is>
      </c>
      <c r="P1453">
        <f>IF(IF(J1453="NOT AVAILABLE","",J1453)="",12,IF(OR(ISNUMBER(SEARCH("Transactional",IF(J1453="NOT AVAILABLE","",J1453))),ISNUMBER(SEARCH("Commercial",IF(J1453="NOT AVAILABLE","",J1453)))),25,IF(ISNUMBER(SEARCH("Informational",IF(J1453="NOT AVAILABLE","",J1453))),10,IF(ISNUMBER(SEARCH("Navigational",IF(J1453="NOT AVAILABLE","",J1453))),0,12))))</f>
        <v/>
      </c>
      <c r="Q1453">
        <f>IF(ISNUMBER(F1453),MIN(30,ROUND(30*LOG10(F1453+1)/4,1)),0)</f>
        <v/>
      </c>
      <c r="R1453">
        <f>IF(ISNUMBER(G1453),ROUND(25*(100-G1453)/100,1),12.5)</f>
        <v/>
      </c>
      <c r="S1453" t="n">
        <v>14</v>
      </c>
      <c r="T1453">
        <f>ROUND(P1453+Q1453+R1453+S1453,0)</f>
        <v/>
      </c>
      <c r="U1453" s="5" t="inlineStr"/>
      <c r="V1453" s="5" t="inlineStr"/>
    </row>
    <row r="1454">
      <c r="A1454" t="inlineStr">
        <is>
          <t>K1452</t>
        </is>
      </c>
      <c r="B1454" t="inlineStr">
        <is>
          <t>création site web dublin</t>
        </is>
      </c>
      <c r="C1454" t="inlineStr">
        <is>
          <t>France</t>
        </is>
      </c>
      <c r="D1454" t="inlineStr">
        <is>
          <t>fr</t>
        </is>
      </c>
      <c r="E1454" t="inlineStr">
        <is>
          <t>fr</t>
        </is>
      </c>
      <c r="F1454" t="inlineStr">
        <is>
          <t>NOT AVAILABLE</t>
        </is>
      </c>
      <c r="G1454" t="inlineStr">
        <is>
          <t>NOT AVAILABLE</t>
        </is>
      </c>
      <c r="H1454" t="inlineStr">
        <is>
          <t>NOT AVAILABLE</t>
        </is>
      </c>
      <c r="I1454" t="inlineStr">
        <is>
          <t>NOT AVAILABLE</t>
        </is>
      </c>
      <c r="J1454" t="inlineStr">
        <is>
          <t>NOT AVAILABLE</t>
        </is>
      </c>
      <c r="K1454" t="inlineStr">
        <is>
          <t>NOT AVAILABLE</t>
        </is>
      </c>
      <c r="L1454" t="inlineStr">
        <is>
          <t>NOT AVAILABLE</t>
        </is>
      </c>
      <c r="M1454" t="inlineStr">
        <is>
          <t>UNAVAILABLE</t>
        </is>
      </c>
      <c r="N1454" s="5" t="inlineStr">
        <is>
          <t>Semrush phrase_these returned no data (not billed)</t>
        </is>
      </c>
      <c r="O1454" t="inlineStr">
        <is>
          <t>2026-10-30</t>
        </is>
      </c>
      <c r="P1454">
        <f>IF(IF(J1454="NOT AVAILABLE","",J1454)="",12,IF(OR(ISNUMBER(SEARCH("Transactional",IF(J1454="NOT AVAILABLE","",J1454))),ISNUMBER(SEARCH("Commercial",IF(J1454="NOT AVAILABLE","",J1454)))),25,IF(ISNUMBER(SEARCH("Informational",IF(J1454="NOT AVAILABLE","",J1454))),10,IF(ISNUMBER(SEARCH("Navigational",IF(J1454="NOT AVAILABLE","",J1454))),0,12))))</f>
        <v/>
      </c>
      <c r="Q1454">
        <f>IF(ISNUMBER(F1454),MIN(30,ROUND(30*LOG10(F1454+1)/4,1)),0)</f>
        <v/>
      </c>
      <c r="R1454">
        <f>IF(ISNUMBER(G1454),ROUND(25*(100-G1454)/100,1),12.5)</f>
        <v/>
      </c>
      <c r="S1454" t="n">
        <v>14</v>
      </c>
      <c r="T1454">
        <f>ROUND(P1454+Q1454+R1454+S1454,0)</f>
        <v/>
      </c>
      <c r="U1454" s="5" t="inlineStr"/>
      <c r="V1454" s="5" t="inlineStr"/>
    </row>
    <row r="1455">
      <c r="A1455" t="inlineStr">
        <is>
          <t>K1453</t>
        </is>
      </c>
      <c r="B1455" t="inlineStr">
        <is>
          <t>création site web lagos</t>
        </is>
      </c>
      <c r="C1455" t="inlineStr">
        <is>
          <t>France</t>
        </is>
      </c>
      <c r="D1455" t="inlineStr">
        <is>
          <t>fr</t>
        </is>
      </c>
      <c r="E1455" t="inlineStr">
        <is>
          <t>fr</t>
        </is>
      </c>
      <c r="F1455" t="inlineStr">
        <is>
          <t>NOT AVAILABLE</t>
        </is>
      </c>
      <c r="G1455" t="inlineStr">
        <is>
          <t>NOT AVAILABLE</t>
        </is>
      </c>
      <c r="H1455" t="inlineStr">
        <is>
          <t>NOT AVAILABLE</t>
        </is>
      </c>
      <c r="I1455" t="inlineStr">
        <is>
          <t>NOT AVAILABLE</t>
        </is>
      </c>
      <c r="J1455" t="inlineStr">
        <is>
          <t>NOT AVAILABLE</t>
        </is>
      </c>
      <c r="K1455" t="inlineStr">
        <is>
          <t>NOT AVAILABLE</t>
        </is>
      </c>
      <c r="L1455" t="inlineStr">
        <is>
          <t>NOT AVAILABLE</t>
        </is>
      </c>
      <c r="M1455" t="inlineStr">
        <is>
          <t>UNAVAILABLE</t>
        </is>
      </c>
      <c r="N1455" s="5" t="inlineStr">
        <is>
          <t>Semrush phrase_these returned no data (not billed)</t>
        </is>
      </c>
      <c r="O1455" t="inlineStr">
        <is>
          <t>2026-10-30</t>
        </is>
      </c>
      <c r="P1455">
        <f>IF(IF(J1455="NOT AVAILABLE","",J1455)="",12,IF(OR(ISNUMBER(SEARCH("Transactional",IF(J1455="NOT AVAILABLE","",J1455))),ISNUMBER(SEARCH("Commercial",IF(J1455="NOT AVAILABLE","",J1455)))),25,IF(ISNUMBER(SEARCH("Informational",IF(J1455="NOT AVAILABLE","",J1455))),10,IF(ISNUMBER(SEARCH("Navigational",IF(J1455="NOT AVAILABLE","",J1455))),0,12))))</f>
        <v/>
      </c>
      <c r="Q1455">
        <f>IF(ISNUMBER(F1455),MIN(30,ROUND(30*LOG10(F1455+1)/4,1)),0)</f>
        <v/>
      </c>
      <c r="R1455">
        <f>IF(ISNUMBER(G1455),ROUND(25*(100-G1455)/100,1),12.5)</f>
        <v/>
      </c>
      <c r="S1455" t="n">
        <v>14</v>
      </c>
      <c r="T1455">
        <f>ROUND(P1455+Q1455+R1455+S1455,0)</f>
        <v/>
      </c>
      <c r="U1455" s="5" t="inlineStr"/>
      <c r="V1455" s="5" t="inlineStr"/>
    </row>
    <row r="1456">
      <c r="A1456" t="inlineStr">
        <is>
          <t>K1454</t>
        </is>
      </c>
      <c r="B1456" t="inlineStr">
        <is>
          <t>création site web le caire</t>
        </is>
      </c>
      <c r="C1456" t="inlineStr">
        <is>
          <t>France</t>
        </is>
      </c>
      <c r="D1456" t="inlineStr">
        <is>
          <t>fr</t>
        </is>
      </c>
      <c r="E1456" t="inlineStr">
        <is>
          <t>fr</t>
        </is>
      </c>
      <c r="F1456" t="inlineStr">
        <is>
          <t>NOT AVAILABLE</t>
        </is>
      </c>
      <c r="G1456" t="inlineStr">
        <is>
          <t>NOT AVAILABLE</t>
        </is>
      </c>
      <c r="H1456" t="inlineStr">
        <is>
          <t>NOT AVAILABLE</t>
        </is>
      </c>
      <c r="I1456" t="inlineStr">
        <is>
          <t>NOT AVAILABLE</t>
        </is>
      </c>
      <c r="J1456" t="inlineStr">
        <is>
          <t>NOT AVAILABLE</t>
        </is>
      </c>
      <c r="K1456" t="inlineStr">
        <is>
          <t>NOT AVAILABLE</t>
        </is>
      </c>
      <c r="L1456" t="inlineStr">
        <is>
          <t>NOT AVAILABLE</t>
        </is>
      </c>
      <c r="M1456" t="inlineStr">
        <is>
          <t>UNAVAILABLE</t>
        </is>
      </c>
      <c r="N1456" s="5" t="inlineStr">
        <is>
          <t>Semrush phrase_these returned no data (not billed)</t>
        </is>
      </c>
      <c r="O1456" t="inlineStr">
        <is>
          <t>2026-10-30</t>
        </is>
      </c>
      <c r="P1456">
        <f>IF(IF(J1456="NOT AVAILABLE","",J1456)="",12,IF(OR(ISNUMBER(SEARCH("Transactional",IF(J1456="NOT AVAILABLE","",J1456))),ISNUMBER(SEARCH("Commercial",IF(J1456="NOT AVAILABLE","",J1456)))),25,IF(ISNUMBER(SEARCH("Informational",IF(J1456="NOT AVAILABLE","",J1456))),10,IF(ISNUMBER(SEARCH("Navigational",IF(J1456="NOT AVAILABLE","",J1456))),0,12))))</f>
        <v/>
      </c>
      <c r="Q1456">
        <f>IF(ISNUMBER(F1456),MIN(30,ROUND(30*LOG10(F1456+1)/4,1)),0)</f>
        <v/>
      </c>
      <c r="R1456">
        <f>IF(ISNUMBER(G1456),ROUND(25*(100-G1456)/100,1),12.5)</f>
        <v/>
      </c>
      <c r="S1456" t="n">
        <v>14</v>
      </c>
      <c r="T1456">
        <f>ROUND(P1456+Q1456+R1456+S1456,0)</f>
        <v/>
      </c>
      <c r="U1456" s="5" t="inlineStr"/>
      <c r="V1456" s="5" t="inlineStr"/>
    </row>
    <row r="1457">
      <c r="A1457" t="inlineStr">
        <is>
          <t>K1455</t>
        </is>
      </c>
      <c r="B1457" t="inlineStr">
        <is>
          <t>création site web lisbonne</t>
        </is>
      </c>
      <c r="C1457" t="inlineStr">
        <is>
          <t>France</t>
        </is>
      </c>
      <c r="D1457" t="inlineStr">
        <is>
          <t>fr</t>
        </is>
      </c>
      <c r="E1457" t="inlineStr">
        <is>
          <t>fr</t>
        </is>
      </c>
      <c r="F1457" t="inlineStr">
        <is>
          <t>NOT AVAILABLE</t>
        </is>
      </c>
      <c r="G1457" t="inlineStr">
        <is>
          <t>NOT AVAILABLE</t>
        </is>
      </c>
      <c r="H1457" t="inlineStr">
        <is>
          <t>NOT AVAILABLE</t>
        </is>
      </c>
      <c r="I1457" t="inlineStr">
        <is>
          <t>NOT AVAILABLE</t>
        </is>
      </c>
      <c r="J1457" t="inlineStr">
        <is>
          <t>NOT AVAILABLE</t>
        </is>
      </c>
      <c r="K1457" t="inlineStr">
        <is>
          <t>NOT AVAILABLE</t>
        </is>
      </c>
      <c r="L1457" t="inlineStr">
        <is>
          <t>NOT AVAILABLE</t>
        </is>
      </c>
      <c r="M1457" t="inlineStr">
        <is>
          <t>UNAVAILABLE</t>
        </is>
      </c>
      <c r="N1457" s="5" t="inlineStr">
        <is>
          <t>Semrush phrase_these returned no data (not billed)</t>
        </is>
      </c>
      <c r="O1457" t="inlineStr">
        <is>
          <t>2026-10-30</t>
        </is>
      </c>
      <c r="P1457">
        <f>IF(IF(J1457="NOT AVAILABLE","",J1457)="",12,IF(OR(ISNUMBER(SEARCH("Transactional",IF(J1457="NOT AVAILABLE","",J1457))),ISNUMBER(SEARCH("Commercial",IF(J1457="NOT AVAILABLE","",J1457)))),25,IF(ISNUMBER(SEARCH("Informational",IF(J1457="NOT AVAILABLE","",J1457))),10,IF(ISNUMBER(SEARCH("Navigational",IF(J1457="NOT AVAILABLE","",J1457))),0,12))))</f>
        <v/>
      </c>
      <c r="Q1457">
        <f>IF(ISNUMBER(F1457),MIN(30,ROUND(30*LOG10(F1457+1)/4,1)),0)</f>
        <v/>
      </c>
      <c r="R1457">
        <f>IF(ISNUMBER(G1457),ROUND(25*(100-G1457)/100,1),12.5)</f>
        <v/>
      </c>
      <c r="S1457" t="n">
        <v>14</v>
      </c>
      <c r="T1457">
        <f>ROUND(P1457+Q1457+R1457+S1457,0)</f>
        <v/>
      </c>
      <c r="U1457" s="5" t="inlineStr"/>
      <c r="V1457" s="5" t="inlineStr"/>
    </row>
    <row r="1458">
      <c r="A1458" t="inlineStr">
        <is>
          <t>K1456</t>
        </is>
      </c>
      <c r="B1458" t="inlineStr">
        <is>
          <t>création site web londres</t>
        </is>
      </c>
      <c r="C1458" t="inlineStr">
        <is>
          <t>France</t>
        </is>
      </c>
      <c r="D1458" t="inlineStr">
        <is>
          <t>fr</t>
        </is>
      </c>
      <c r="E1458" t="inlineStr">
        <is>
          <t>fr</t>
        </is>
      </c>
      <c r="F1458" t="n">
        <v>0</v>
      </c>
      <c r="G1458" t="inlineStr">
        <is>
          <t>NOT AVAILABLE</t>
        </is>
      </c>
      <c r="H1458" t="n">
        <v>0</v>
      </c>
      <c r="I1458" t="n">
        <v>0</v>
      </c>
      <c r="J1458" t="inlineStr">
        <is>
          <t>NOT AVAILABLE</t>
        </is>
      </c>
      <c r="K1458" t="inlineStr">
        <is>
          <t>NOT AVAILABLE (report not requested)</t>
        </is>
      </c>
      <c r="L1458" t="inlineStr">
        <is>
          <t>flat (no data)</t>
        </is>
      </c>
      <c r="M1458" t="inlineStr">
        <is>
          <t>MEASURED</t>
        </is>
      </c>
      <c r="N1458" s="5" t="inlineStr">
        <is>
          <t>Semrush phrase_these (live, this session)</t>
        </is>
      </c>
      <c r="O1458" t="inlineStr">
        <is>
          <t>2026-10-30</t>
        </is>
      </c>
      <c r="P1458">
        <f>IF(IF(J1458="NOT AVAILABLE","",J1458)="",12,IF(OR(ISNUMBER(SEARCH("Transactional",IF(J1458="NOT AVAILABLE","",J1458))),ISNUMBER(SEARCH("Commercial",IF(J1458="NOT AVAILABLE","",J1458)))),25,IF(ISNUMBER(SEARCH("Informational",IF(J1458="NOT AVAILABLE","",J1458))),10,IF(ISNUMBER(SEARCH("Navigational",IF(J1458="NOT AVAILABLE","",J1458))),0,12))))</f>
        <v/>
      </c>
      <c r="Q1458">
        <f>IF(ISNUMBER(F1458),MIN(30,ROUND(30*LOG10(F1458+1)/4,1)),0)</f>
        <v/>
      </c>
      <c r="R1458">
        <f>IF(ISNUMBER(G1458),ROUND(25*(100-G1458)/100,1),12.5)</f>
        <v/>
      </c>
      <c r="S1458" t="n">
        <v>14</v>
      </c>
      <c r="T1458">
        <f>ROUND(P1458+Q1458+R1458+S1458,0)</f>
        <v/>
      </c>
      <c r="U1458" s="5" t="inlineStr"/>
      <c r="V1458" s="5" t="inlineStr"/>
    </row>
    <row r="1459">
      <c r="A1459" t="inlineStr">
        <is>
          <t>K1457</t>
        </is>
      </c>
      <c r="B1459" t="inlineStr">
        <is>
          <t>création site web los angeles</t>
        </is>
      </c>
      <c r="C1459" t="inlineStr">
        <is>
          <t>France</t>
        </is>
      </c>
      <c r="D1459" t="inlineStr">
        <is>
          <t>fr</t>
        </is>
      </c>
      <c r="E1459" t="inlineStr">
        <is>
          <t>fr</t>
        </is>
      </c>
      <c r="F1459" t="inlineStr">
        <is>
          <t>NOT AVAILABLE</t>
        </is>
      </c>
      <c r="G1459" t="inlineStr">
        <is>
          <t>NOT AVAILABLE</t>
        </is>
      </c>
      <c r="H1459" t="inlineStr">
        <is>
          <t>NOT AVAILABLE</t>
        </is>
      </c>
      <c r="I1459" t="inlineStr">
        <is>
          <t>NOT AVAILABLE</t>
        </is>
      </c>
      <c r="J1459" t="inlineStr">
        <is>
          <t>NOT AVAILABLE</t>
        </is>
      </c>
      <c r="K1459" t="inlineStr">
        <is>
          <t>NOT AVAILABLE</t>
        </is>
      </c>
      <c r="L1459" t="inlineStr">
        <is>
          <t>NOT AVAILABLE</t>
        </is>
      </c>
      <c r="M1459" t="inlineStr">
        <is>
          <t>UNAVAILABLE</t>
        </is>
      </c>
      <c r="N1459" s="5" t="inlineStr">
        <is>
          <t>Semrush phrase_these returned no data (not billed)</t>
        </is>
      </c>
      <c r="O1459" t="inlineStr">
        <is>
          <t>2026-10-30</t>
        </is>
      </c>
      <c r="P1459">
        <f>IF(IF(J1459="NOT AVAILABLE","",J1459)="",12,IF(OR(ISNUMBER(SEARCH("Transactional",IF(J1459="NOT AVAILABLE","",J1459))),ISNUMBER(SEARCH("Commercial",IF(J1459="NOT AVAILABLE","",J1459)))),25,IF(ISNUMBER(SEARCH("Informational",IF(J1459="NOT AVAILABLE","",J1459))),10,IF(ISNUMBER(SEARCH("Navigational",IF(J1459="NOT AVAILABLE","",J1459))),0,12))))</f>
        <v/>
      </c>
      <c r="Q1459">
        <f>IF(ISNUMBER(F1459),MIN(30,ROUND(30*LOG10(F1459+1)/4,1)),0)</f>
        <v/>
      </c>
      <c r="R1459">
        <f>IF(ISNUMBER(G1459),ROUND(25*(100-G1459)/100,1),12.5)</f>
        <v/>
      </c>
      <c r="S1459" t="n">
        <v>14</v>
      </c>
      <c r="T1459">
        <f>ROUND(P1459+Q1459+R1459+S1459,0)</f>
        <v/>
      </c>
      <c r="U1459" s="5" t="inlineStr"/>
      <c r="V1459" s="5" t="inlineStr"/>
    </row>
    <row r="1460">
      <c r="A1460" t="inlineStr">
        <is>
          <t>K1458</t>
        </is>
      </c>
      <c r="B1460" t="inlineStr">
        <is>
          <t>création site web madrid</t>
        </is>
      </c>
      <c r="C1460" t="inlineStr">
        <is>
          <t>France</t>
        </is>
      </c>
      <c r="D1460" t="inlineStr">
        <is>
          <t>fr</t>
        </is>
      </c>
      <c r="E1460" t="inlineStr">
        <is>
          <t>fr</t>
        </is>
      </c>
      <c r="F1460" t="inlineStr">
        <is>
          <t>NOT AVAILABLE</t>
        </is>
      </c>
      <c r="G1460" t="inlineStr">
        <is>
          <t>NOT AVAILABLE</t>
        </is>
      </c>
      <c r="H1460" t="inlineStr">
        <is>
          <t>NOT AVAILABLE</t>
        </is>
      </c>
      <c r="I1460" t="inlineStr">
        <is>
          <t>NOT AVAILABLE</t>
        </is>
      </c>
      <c r="J1460" t="inlineStr">
        <is>
          <t>NOT AVAILABLE</t>
        </is>
      </c>
      <c r="K1460" t="inlineStr">
        <is>
          <t>NOT AVAILABLE</t>
        </is>
      </c>
      <c r="L1460" t="inlineStr">
        <is>
          <t>NOT AVAILABLE</t>
        </is>
      </c>
      <c r="M1460" t="inlineStr">
        <is>
          <t>UNAVAILABLE</t>
        </is>
      </c>
      <c r="N1460" s="5" t="inlineStr">
        <is>
          <t>Semrush phrase_these returned no data (not billed)</t>
        </is>
      </c>
      <c r="O1460" t="inlineStr">
        <is>
          <t>2026-10-30</t>
        </is>
      </c>
      <c r="P1460">
        <f>IF(IF(J1460="NOT AVAILABLE","",J1460)="",12,IF(OR(ISNUMBER(SEARCH("Transactional",IF(J1460="NOT AVAILABLE","",J1460))),ISNUMBER(SEARCH("Commercial",IF(J1460="NOT AVAILABLE","",J1460)))),25,IF(ISNUMBER(SEARCH("Informational",IF(J1460="NOT AVAILABLE","",J1460))),10,IF(ISNUMBER(SEARCH("Navigational",IF(J1460="NOT AVAILABLE","",J1460))),0,12))))</f>
        <v/>
      </c>
      <c r="Q1460">
        <f>IF(ISNUMBER(F1460),MIN(30,ROUND(30*LOG10(F1460+1)/4,1)),0)</f>
        <v/>
      </c>
      <c r="R1460">
        <f>IF(ISNUMBER(G1460),ROUND(25*(100-G1460)/100,1),12.5)</f>
        <v/>
      </c>
      <c r="S1460" t="n">
        <v>14</v>
      </c>
      <c r="T1460">
        <f>ROUND(P1460+Q1460+R1460+S1460,0)</f>
        <v/>
      </c>
      <c r="U1460" s="5" t="inlineStr"/>
      <c r="V1460" s="5" t="inlineStr"/>
    </row>
    <row r="1461">
      <c r="A1461" t="inlineStr">
        <is>
          <t>K1459</t>
        </is>
      </c>
      <c r="B1461" t="inlineStr">
        <is>
          <t>création site web milan</t>
        </is>
      </c>
      <c r="C1461" t="inlineStr">
        <is>
          <t>France</t>
        </is>
      </c>
      <c r="D1461" t="inlineStr">
        <is>
          <t>fr</t>
        </is>
      </c>
      <c r="E1461" t="inlineStr">
        <is>
          <t>fr</t>
        </is>
      </c>
      <c r="F1461" t="inlineStr">
        <is>
          <t>NOT AVAILABLE</t>
        </is>
      </c>
      <c r="G1461" t="inlineStr">
        <is>
          <t>NOT AVAILABLE</t>
        </is>
      </c>
      <c r="H1461" t="inlineStr">
        <is>
          <t>NOT AVAILABLE</t>
        </is>
      </c>
      <c r="I1461" t="inlineStr">
        <is>
          <t>NOT AVAILABLE</t>
        </is>
      </c>
      <c r="J1461" t="inlineStr">
        <is>
          <t>NOT AVAILABLE</t>
        </is>
      </c>
      <c r="K1461" t="inlineStr">
        <is>
          <t>NOT AVAILABLE</t>
        </is>
      </c>
      <c r="L1461" t="inlineStr">
        <is>
          <t>NOT AVAILABLE</t>
        </is>
      </c>
      <c r="M1461" t="inlineStr">
        <is>
          <t>UNAVAILABLE</t>
        </is>
      </c>
      <c r="N1461" s="5" t="inlineStr">
        <is>
          <t>Semrush phrase_these returned no data (not billed)</t>
        </is>
      </c>
      <c r="O1461" t="inlineStr">
        <is>
          <t>2026-10-30</t>
        </is>
      </c>
      <c r="P1461">
        <f>IF(IF(J1461="NOT AVAILABLE","",J1461)="",12,IF(OR(ISNUMBER(SEARCH("Transactional",IF(J1461="NOT AVAILABLE","",J1461))),ISNUMBER(SEARCH("Commercial",IF(J1461="NOT AVAILABLE","",J1461)))),25,IF(ISNUMBER(SEARCH("Informational",IF(J1461="NOT AVAILABLE","",J1461))),10,IF(ISNUMBER(SEARCH("Navigational",IF(J1461="NOT AVAILABLE","",J1461))),0,12))))</f>
        <v/>
      </c>
      <c r="Q1461">
        <f>IF(ISNUMBER(F1461),MIN(30,ROUND(30*LOG10(F1461+1)/4,1)),0)</f>
        <v/>
      </c>
      <c r="R1461">
        <f>IF(ISNUMBER(G1461),ROUND(25*(100-G1461)/100,1),12.5)</f>
        <v/>
      </c>
      <c r="S1461" t="n">
        <v>14</v>
      </c>
      <c r="T1461">
        <f>ROUND(P1461+Q1461+R1461+S1461,0)</f>
        <v/>
      </c>
      <c r="U1461" s="5" t="inlineStr"/>
      <c r="V1461" s="5" t="inlineStr"/>
    </row>
    <row r="1462">
      <c r="A1462" t="inlineStr">
        <is>
          <t>K1460</t>
        </is>
      </c>
      <c r="B1462" t="inlineStr">
        <is>
          <t>création site web new york</t>
        </is>
      </c>
      <c r="C1462" t="inlineStr">
        <is>
          <t>France</t>
        </is>
      </c>
      <c r="D1462" t="inlineStr">
        <is>
          <t>fr</t>
        </is>
      </c>
      <c r="E1462" t="inlineStr">
        <is>
          <t>fr</t>
        </is>
      </c>
      <c r="F1462" t="n">
        <v>0</v>
      </c>
      <c r="G1462" t="inlineStr">
        <is>
          <t>NOT AVAILABLE</t>
        </is>
      </c>
      <c r="H1462" t="n">
        <v>0</v>
      </c>
      <c r="I1462" t="n">
        <v>0</v>
      </c>
      <c r="J1462" t="inlineStr">
        <is>
          <t>NOT AVAILABLE</t>
        </is>
      </c>
      <c r="K1462" t="inlineStr">
        <is>
          <t>NOT AVAILABLE (report not requested)</t>
        </is>
      </c>
      <c r="L1462" t="inlineStr">
        <is>
          <t>NOT AVAILABLE</t>
        </is>
      </c>
      <c r="M1462" t="inlineStr">
        <is>
          <t>MEASURED</t>
        </is>
      </c>
      <c r="N1462" s="5" t="inlineStr">
        <is>
          <t>Semrush phrase_these (live, this session)</t>
        </is>
      </c>
      <c r="O1462" t="inlineStr">
        <is>
          <t>2026-10-30</t>
        </is>
      </c>
      <c r="P1462">
        <f>IF(IF(J1462="NOT AVAILABLE","",J1462)="",12,IF(OR(ISNUMBER(SEARCH("Transactional",IF(J1462="NOT AVAILABLE","",J1462))),ISNUMBER(SEARCH("Commercial",IF(J1462="NOT AVAILABLE","",J1462)))),25,IF(ISNUMBER(SEARCH("Informational",IF(J1462="NOT AVAILABLE","",J1462))),10,IF(ISNUMBER(SEARCH("Navigational",IF(J1462="NOT AVAILABLE","",J1462))),0,12))))</f>
        <v/>
      </c>
      <c r="Q1462">
        <f>IF(ISNUMBER(F1462),MIN(30,ROUND(30*LOG10(F1462+1)/4,1)),0)</f>
        <v/>
      </c>
      <c r="R1462">
        <f>IF(ISNUMBER(G1462),ROUND(25*(100-G1462)/100,1),12.5)</f>
        <v/>
      </c>
      <c r="S1462" t="n">
        <v>14</v>
      </c>
      <c r="T1462">
        <f>ROUND(P1462+Q1462+R1462+S1462,0)</f>
        <v/>
      </c>
      <c r="U1462" s="5" t="inlineStr"/>
      <c r="V1462" s="5" t="inlineStr"/>
    </row>
    <row r="1463">
      <c r="A1463" t="inlineStr">
        <is>
          <t>K1461</t>
        </is>
      </c>
      <c r="B1463" t="inlineStr">
        <is>
          <t>création site web organisme de formation</t>
        </is>
      </c>
      <c r="C1463" t="inlineStr">
        <is>
          <t>France</t>
        </is>
      </c>
      <c r="D1463" t="inlineStr">
        <is>
          <t>fr</t>
        </is>
      </c>
      <c r="E1463" t="inlineStr">
        <is>
          <t>fr</t>
        </is>
      </c>
      <c r="F1463" t="inlineStr">
        <is>
          <t>NOT AVAILABLE</t>
        </is>
      </c>
      <c r="G1463" t="inlineStr">
        <is>
          <t>NOT AVAILABLE</t>
        </is>
      </c>
      <c r="H1463" t="inlineStr">
        <is>
          <t>NOT AVAILABLE</t>
        </is>
      </c>
      <c r="I1463" t="inlineStr">
        <is>
          <t>NOT AVAILABLE</t>
        </is>
      </c>
      <c r="J1463" t="inlineStr">
        <is>
          <t>NOT AVAILABLE</t>
        </is>
      </c>
      <c r="K1463" t="inlineStr">
        <is>
          <t>NOT AVAILABLE</t>
        </is>
      </c>
      <c r="L1463" t="inlineStr">
        <is>
          <t>NOT AVAILABLE</t>
        </is>
      </c>
      <c r="M1463" t="inlineStr">
        <is>
          <t>UNAVAILABLE</t>
        </is>
      </c>
      <c r="N1463" s="5" t="inlineStr">
        <is>
          <t>Semrush phrase_these returned no data (not billed)</t>
        </is>
      </c>
      <c r="O1463" t="inlineStr">
        <is>
          <t>2026-10-30</t>
        </is>
      </c>
      <c r="P1463">
        <f>IF(IF(J1463="NOT AVAILABLE","",J1463)="",12,IF(OR(ISNUMBER(SEARCH("Transactional",IF(J1463="NOT AVAILABLE","",J1463))),ISNUMBER(SEARCH("Commercial",IF(J1463="NOT AVAILABLE","",J1463)))),25,IF(ISNUMBER(SEARCH("Informational",IF(J1463="NOT AVAILABLE","",J1463))),10,IF(ISNUMBER(SEARCH("Navigational",IF(J1463="NOT AVAILABLE","",J1463))),0,12))))</f>
        <v/>
      </c>
      <c r="Q1463">
        <f>IF(ISNUMBER(F1463),MIN(30,ROUND(30*LOG10(F1463+1)/4,1)),0)</f>
        <v/>
      </c>
      <c r="R1463">
        <f>IF(ISNUMBER(G1463),ROUND(25*(100-G1463)/100,1),12.5)</f>
        <v/>
      </c>
      <c r="S1463" t="n">
        <v>14</v>
      </c>
      <c r="T1463">
        <f>ROUND(P1463+Q1463+R1463+S1463,0)</f>
        <v/>
      </c>
      <c r="U1463" s="5" t="inlineStr"/>
      <c r="V1463" s="5" t="inlineStr"/>
    </row>
    <row r="1464">
      <c r="A1464" t="inlineStr">
        <is>
          <t>K1462</t>
        </is>
      </c>
      <c r="B1464" t="inlineStr">
        <is>
          <t>création site web riyad</t>
        </is>
      </c>
      <c r="C1464" t="inlineStr">
        <is>
          <t>France</t>
        </is>
      </c>
      <c r="D1464" t="inlineStr">
        <is>
          <t>fr</t>
        </is>
      </c>
      <c r="E1464" t="inlineStr">
        <is>
          <t>fr</t>
        </is>
      </c>
      <c r="F1464" t="inlineStr">
        <is>
          <t>NOT AVAILABLE</t>
        </is>
      </c>
      <c r="G1464" t="inlineStr">
        <is>
          <t>NOT AVAILABLE</t>
        </is>
      </c>
      <c r="H1464" t="inlineStr">
        <is>
          <t>NOT AVAILABLE</t>
        </is>
      </c>
      <c r="I1464" t="inlineStr">
        <is>
          <t>NOT AVAILABLE</t>
        </is>
      </c>
      <c r="J1464" t="inlineStr">
        <is>
          <t>NOT AVAILABLE</t>
        </is>
      </c>
      <c r="K1464" t="inlineStr">
        <is>
          <t>NOT AVAILABLE</t>
        </is>
      </c>
      <c r="L1464" t="inlineStr">
        <is>
          <t>NOT AVAILABLE</t>
        </is>
      </c>
      <c r="M1464" t="inlineStr">
        <is>
          <t>UNAVAILABLE</t>
        </is>
      </c>
      <c r="N1464" s="5" t="inlineStr">
        <is>
          <t>Semrush phrase_these returned no data (not billed)</t>
        </is>
      </c>
      <c r="O1464" t="inlineStr">
        <is>
          <t>2026-10-30</t>
        </is>
      </c>
      <c r="P1464">
        <f>IF(IF(J1464="NOT AVAILABLE","",J1464)="",12,IF(OR(ISNUMBER(SEARCH("Transactional",IF(J1464="NOT AVAILABLE","",J1464))),ISNUMBER(SEARCH("Commercial",IF(J1464="NOT AVAILABLE","",J1464)))),25,IF(ISNUMBER(SEARCH("Informational",IF(J1464="NOT AVAILABLE","",J1464))),10,IF(ISNUMBER(SEARCH("Navigational",IF(J1464="NOT AVAILABLE","",J1464))),0,12))))</f>
        <v/>
      </c>
      <c r="Q1464">
        <f>IF(ISNUMBER(F1464),MIN(30,ROUND(30*LOG10(F1464+1)/4,1)),0)</f>
        <v/>
      </c>
      <c r="R1464">
        <f>IF(ISNUMBER(G1464),ROUND(25*(100-G1464)/100,1),12.5)</f>
        <v/>
      </c>
      <c r="S1464" t="n">
        <v>14</v>
      </c>
      <c r="T1464">
        <f>ROUND(P1464+Q1464+R1464+S1464,0)</f>
        <v/>
      </c>
      <c r="U1464" s="5" t="inlineStr"/>
      <c r="V1464" s="5" t="inlineStr"/>
    </row>
    <row r="1465">
      <c r="A1465" t="inlineStr">
        <is>
          <t>K1463</t>
        </is>
      </c>
      <c r="B1465" t="inlineStr">
        <is>
          <t>création site web rome</t>
        </is>
      </c>
      <c r="C1465" t="inlineStr">
        <is>
          <t>France</t>
        </is>
      </c>
      <c r="D1465" t="inlineStr">
        <is>
          <t>fr</t>
        </is>
      </c>
      <c r="E1465" t="inlineStr">
        <is>
          <t>fr</t>
        </is>
      </c>
      <c r="F1465" t="inlineStr">
        <is>
          <t>NOT AVAILABLE</t>
        </is>
      </c>
      <c r="G1465" t="inlineStr">
        <is>
          <t>NOT AVAILABLE</t>
        </is>
      </c>
      <c r="H1465" t="inlineStr">
        <is>
          <t>NOT AVAILABLE</t>
        </is>
      </c>
      <c r="I1465" t="inlineStr">
        <is>
          <t>NOT AVAILABLE</t>
        </is>
      </c>
      <c r="J1465" t="inlineStr">
        <is>
          <t>NOT AVAILABLE</t>
        </is>
      </c>
      <c r="K1465" t="inlineStr">
        <is>
          <t>NOT AVAILABLE</t>
        </is>
      </c>
      <c r="L1465" t="inlineStr">
        <is>
          <t>NOT AVAILABLE</t>
        </is>
      </c>
      <c r="M1465" t="inlineStr">
        <is>
          <t>UNAVAILABLE</t>
        </is>
      </c>
      <c r="N1465" s="5" t="inlineStr">
        <is>
          <t>Semrush phrase_these returned no data (not billed)</t>
        </is>
      </c>
      <c r="O1465" t="inlineStr">
        <is>
          <t>2026-10-30</t>
        </is>
      </c>
      <c r="P1465">
        <f>IF(IF(J1465="NOT AVAILABLE","",J1465)="",12,IF(OR(ISNUMBER(SEARCH("Transactional",IF(J1465="NOT AVAILABLE","",J1465))),ISNUMBER(SEARCH("Commercial",IF(J1465="NOT AVAILABLE","",J1465)))),25,IF(ISNUMBER(SEARCH("Informational",IF(J1465="NOT AVAILABLE","",J1465))),10,IF(ISNUMBER(SEARCH("Navigational",IF(J1465="NOT AVAILABLE","",J1465))),0,12))))</f>
        <v/>
      </c>
      <c r="Q1465">
        <f>IF(ISNUMBER(F1465),MIN(30,ROUND(30*LOG10(F1465+1)/4,1)),0)</f>
        <v/>
      </c>
      <c r="R1465">
        <f>IF(ISNUMBER(G1465),ROUND(25*(100-G1465)/100,1),12.5)</f>
        <v/>
      </c>
      <c r="S1465" t="n">
        <v>14</v>
      </c>
      <c r="T1465">
        <f>ROUND(P1465+Q1465+R1465+S1465,0)</f>
        <v/>
      </c>
      <c r="U1465" s="5" t="inlineStr"/>
      <c r="V1465" s="5" t="inlineStr"/>
    </row>
    <row r="1466">
      <c r="A1466" t="inlineStr">
        <is>
          <t>K1464</t>
        </is>
      </c>
      <c r="B1466" t="inlineStr">
        <is>
          <t>création site web san francisco</t>
        </is>
      </c>
      <c r="C1466" t="inlineStr">
        <is>
          <t>France</t>
        </is>
      </c>
      <c r="D1466" t="inlineStr">
        <is>
          <t>fr</t>
        </is>
      </c>
      <c r="E1466" t="inlineStr">
        <is>
          <t>fr</t>
        </is>
      </c>
      <c r="F1466" t="inlineStr">
        <is>
          <t>NOT AVAILABLE</t>
        </is>
      </c>
      <c r="G1466" t="inlineStr">
        <is>
          <t>NOT AVAILABLE</t>
        </is>
      </c>
      <c r="H1466" t="inlineStr">
        <is>
          <t>NOT AVAILABLE</t>
        </is>
      </c>
      <c r="I1466" t="inlineStr">
        <is>
          <t>NOT AVAILABLE</t>
        </is>
      </c>
      <c r="J1466" t="inlineStr">
        <is>
          <t>NOT AVAILABLE</t>
        </is>
      </c>
      <c r="K1466" t="inlineStr">
        <is>
          <t>NOT AVAILABLE</t>
        </is>
      </c>
      <c r="L1466" t="inlineStr">
        <is>
          <t>NOT AVAILABLE</t>
        </is>
      </c>
      <c r="M1466" t="inlineStr">
        <is>
          <t>UNAVAILABLE</t>
        </is>
      </c>
      <c r="N1466" s="5" t="inlineStr">
        <is>
          <t>Semrush phrase_these returned no data (not billed)</t>
        </is>
      </c>
      <c r="O1466" t="inlineStr">
        <is>
          <t>2026-10-30</t>
        </is>
      </c>
      <c r="P1466">
        <f>IF(IF(J1466="NOT AVAILABLE","",J1466)="",12,IF(OR(ISNUMBER(SEARCH("Transactional",IF(J1466="NOT AVAILABLE","",J1466))),ISNUMBER(SEARCH("Commercial",IF(J1466="NOT AVAILABLE","",J1466)))),25,IF(ISNUMBER(SEARCH("Informational",IF(J1466="NOT AVAILABLE","",J1466))),10,IF(ISNUMBER(SEARCH("Navigational",IF(J1466="NOT AVAILABLE","",J1466))),0,12))))</f>
        <v/>
      </c>
      <c r="Q1466">
        <f>IF(ISNUMBER(F1466),MIN(30,ROUND(30*LOG10(F1466+1)/4,1)),0)</f>
        <v/>
      </c>
      <c r="R1466">
        <f>IF(ISNUMBER(G1466),ROUND(25*(100-G1466)/100,1),12.5)</f>
        <v/>
      </c>
      <c r="S1466" t="n">
        <v>14</v>
      </c>
      <c r="T1466">
        <f>ROUND(P1466+Q1466+R1466+S1466,0)</f>
        <v/>
      </c>
      <c r="U1466" s="5" t="inlineStr"/>
      <c r="V1466" s="5" t="inlineStr"/>
    </row>
    <row r="1467">
      <c r="A1467" t="inlineStr">
        <is>
          <t>K1465</t>
        </is>
      </c>
      <c r="B1467" t="inlineStr">
        <is>
          <t>création site web seattle</t>
        </is>
      </c>
      <c r="C1467" t="inlineStr">
        <is>
          <t>France</t>
        </is>
      </c>
      <c r="D1467" t="inlineStr">
        <is>
          <t>fr</t>
        </is>
      </c>
      <c r="E1467" t="inlineStr">
        <is>
          <t>fr</t>
        </is>
      </c>
      <c r="F1467" t="inlineStr">
        <is>
          <t>NOT AVAILABLE</t>
        </is>
      </c>
      <c r="G1467" t="inlineStr">
        <is>
          <t>NOT AVAILABLE</t>
        </is>
      </c>
      <c r="H1467" t="inlineStr">
        <is>
          <t>NOT AVAILABLE</t>
        </is>
      </c>
      <c r="I1467" t="inlineStr">
        <is>
          <t>NOT AVAILABLE</t>
        </is>
      </c>
      <c r="J1467" t="inlineStr">
        <is>
          <t>NOT AVAILABLE</t>
        </is>
      </c>
      <c r="K1467" t="inlineStr">
        <is>
          <t>NOT AVAILABLE</t>
        </is>
      </c>
      <c r="L1467" t="inlineStr">
        <is>
          <t>NOT AVAILABLE</t>
        </is>
      </c>
      <c r="M1467" t="inlineStr">
        <is>
          <t>UNAVAILABLE</t>
        </is>
      </c>
      <c r="N1467" s="5" t="inlineStr">
        <is>
          <t>Semrush phrase_these returned no data (not billed)</t>
        </is>
      </c>
      <c r="O1467" t="inlineStr">
        <is>
          <t>2026-10-30</t>
        </is>
      </c>
      <c r="P1467">
        <f>IF(IF(J1467="NOT AVAILABLE","",J1467)="",12,IF(OR(ISNUMBER(SEARCH("Transactional",IF(J1467="NOT AVAILABLE","",J1467))),ISNUMBER(SEARCH("Commercial",IF(J1467="NOT AVAILABLE","",J1467)))),25,IF(ISNUMBER(SEARCH("Informational",IF(J1467="NOT AVAILABLE","",J1467))),10,IF(ISNUMBER(SEARCH("Navigational",IF(J1467="NOT AVAILABLE","",J1467))),0,12))))</f>
        <v/>
      </c>
      <c r="Q1467">
        <f>IF(ISNUMBER(F1467),MIN(30,ROUND(30*LOG10(F1467+1)/4,1)),0)</f>
        <v/>
      </c>
      <c r="R1467">
        <f>IF(ISNUMBER(G1467),ROUND(25*(100-G1467)/100,1),12.5)</f>
        <v/>
      </c>
      <c r="S1467" t="n">
        <v>14</v>
      </c>
      <c r="T1467">
        <f>ROUND(P1467+Q1467+R1467+S1467,0)</f>
        <v/>
      </c>
      <c r="U1467" s="5" t="inlineStr"/>
      <c r="V1467" s="5" t="inlineStr"/>
    </row>
    <row r="1468">
      <c r="A1468" t="inlineStr">
        <is>
          <t>K1466</t>
        </is>
      </c>
      <c r="B1468" t="inlineStr">
        <is>
          <t>création site web stockholm</t>
        </is>
      </c>
      <c r="C1468" t="inlineStr">
        <is>
          <t>France</t>
        </is>
      </c>
      <c r="D1468" t="inlineStr">
        <is>
          <t>fr</t>
        </is>
      </c>
      <c r="E1468" t="inlineStr">
        <is>
          <t>fr</t>
        </is>
      </c>
      <c r="F1468" t="inlineStr">
        <is>
          <t>NOT AVAILABLE</t>
        </is>
      </c>
      <c r="G1468" t="inlineStr">
        <is>
          <t>NOT AVAILABLE</t>
        </is>
      </c>
      <c r="H1468" t="inlineStr">
        <is>
          <t>NOT AVAILABLE</t>
        </is>
      </c>
      <c r="I1468" t="inlineStr">
        <is>
          <t>NOT AVAILABLE</t>
        </is>
      </c>
      <c r="J1468" t="inlineStr">
        <is>
          <t>NOT AVAILABLE</t>
        </is>
      </c>
      <c r="K1468" t="inlineStr">
        <is>
          <t>NOT AVAILABLE</t>
        </is>
      </c>
      <c r="L1468" t="inlineStr">
        <is>
          <t>NOT AVAILABLE</t>
        </is>
      </c>
      <c r="M1468" t="inlineStr">
        <is>
          <t>UNAVAILABLE</t>
        </is>
      </c>
      <c r="N1468" s="5" t="inlineStr">
        <is>
          <t>Semrush phrase_these returned no data (not billed)</t>
        </is>
      </c>
      <c r="O1468" t="inlineStr">
        <is>
          <t>2026-10-30</t>
        </is>
      </c>
      <c r="P1468">
        <f>IF(IF(J1468="NOT AVAILABLE","",J1468)="",12,IF(OR(ISNUMBER(SEARCH("Transactional",IF(J1468="NOT AVAILABLE","",J1468))),ISNUMBER(SEARCH("Commercial",IF(J1468="NOT AVAILABLE","",J1468)))),25,IF(ISNUMBER(SEARCH("Informational",IF(J1468="NOT AVAILABLE","",J1468))),10,IF(ISNUMBER(SEARCH("Navigational",IF(J1468="NOT AVAILABLE","",J1468))),0,12))))</f>
        <v/>
      </c>
      <c r="Q1468">
        <f>IF(ISNUMBER(F1468),MIN(30,ROUND(30*LOG10(F1468+1)/4,1)),0)</f>
        <v/>
      </c>
      <c r="R1468">
        <f>IF(ISNUMBER(G1468),ROUND(25*(100-G1468)/100,1),12.5)</f>
        <v/>
      </c>
      <c r="S1468" t="n">
        <v>14</v>
      </c>
      <c r="T1468">
        <f>ROUND(P1468+Q1468+R1468+S1468,0)</f>
        <v/>
      </c>
      <c r="U1468" s="5" t="inlineStr"/>
      <c r="V1468" s="5" t="inlineStr"/>
    </row>
    <row r="1469">
      <c r="A1469" t="inlineStr">
        <is>
          <t>K1467</t>
        </is>
      </c>
      <c r="B1469" t="inlineStr">
        <is>
          <t>création site web toronto</t>
        </is>
      </c>
      <c r="C1469" t="inlineStr">
        <is>
          <t>France</t>
        </is>
      </c>
      <c r="D1469" t="inlineStr">
        <is>
          <t>fr</t>
        </is>
      </c>
      <c r="E1469" t="inlineStr">
        <is>
          <t>fr</t>
        </is>
      </c>
      <c r="F1469" t="n">
        <v>0</v>
      </c>
      <c r="G1469" t="inlineStr">
        <is>
          <t>NOT AVAILABLE</t>
        </is>
      </c>
      <c r="H1469" t="n">
        <v>0</v>
      </c>
      <c r="I1469" t="n">
        <v>0</v>
      </c>
      <c r="J1469" t="inlineStr">
        <is>
          <t>NOT AVAILABLE</t>
        </is>
      </c>
      <c r="K1469" t="inlineStr">
        <is>
          <t>NOT AVAILABLE (report not requested)</t>
        </is>
      </c>
      <c r="L1469" t="inlineStr">
        <is>
          <t>NOT AVAILABLE</t>
        </is>
      </c>
      <c r="M1469" t="inlineStr">
        <is>
          <t>MEASURED</t>
        </is>
      </c>
      <c r="N1469" s="5" t="inlineStr">
        <is>
          <t>Semrush phrase_these (live, this session)</t>
        </is>
      </c>
      <c r="O1469" t="inlineStr">
        <is>
          <t>2026-10-30</t>
        </is>
      </c>
      <c r="P1469">
        <f>IF(IF(J1469="NOT AVAILABLE","",J1469)="",12,IF(OR(ISNUMBER(SEARCH("Transactional",IF(J1469="NOT AVAILABLE","",J1469))),ISNUMBER(SEARCH("Commercial",IF(J1469="NOT AVAILABLE","",J1469)))),25,IF(ISNUMBER(SEARCH("Informational",IF(J1469="NOT AVAILABLE","",J1469))),10,IF(ISNUMBER(SEARCH("Navigational",IF(J1469="NOT AVAILABLE","",J1469))),0,12))))</f>
        <v/>
      </c>
      <c r="Q1469">
        <f>IF(ISNUMBER(F1469),MIN(30,ROUND(30*LOG10(F1469+1)/4,1)),0)</f>
        <v/>
      </c>
      <c r="R1469">
        <f>IF(ISNUMBER(G1469),ROUND(25*(100-G1469)/100,1),12.5)</f>
        <v/>
      </c>
      <c r="S1469" t="n">
        <v>14</v>
      </c>
      <c r="T1469">
        <f>ROUND(P1469+Q1469+R1469+S1469,0)</f>
        <v/>
      </c>
      <c r="U1469" s="5" t="inlineStr"/>
      <c r="V1469" s="5" t="inlineStr"/>
    </row>
    <row r="1470">
      <c r="A1470" t="inlineStr">
        <is>
          <t>K1468</t>
        </is>
      </c>
      <c r="B1470" t="inlineStr">
        <is>
          <t>création site web tunis</t>
        </is>
      </c>
      <c r="C1470" t="inlineStr">
        <is>
          <t>France</t>
        </is>
      </c>
      <c r="D1470" t="inlineStr">
        <is>
          <t>fr</t>
        </is>
      </c>
      <c r="E1470" t="inlineStr">
        <is>
          <t>fr</t>
        </is>
      </c>
      <c r="F1470" t="n">
        <v>0</v>
      </c>
      <c r="G1470" t="inlineStr">
        <is>
          <t>NOT AVAILABLE</t>
        </is>
      </c>
      <c r="H1470" t="n">
        <v>0</v>
      </c>
      <c r="I1470" t="n">
        <v>0</v>
      </c>
      <c r="J1470" t="inlineStr">
        <is>
          <t>NOT AVAILABLE</t>
        </is>
      </c>
      <c r="K1470" t="inlineStr">
        <is>
          <t>NOT AVAILABLE (report not requested)</t>
        </is>
      </c>
      <c r="L1470" t="inlineStr">
        <is>
          <t>flat (no data)</t>
        </is>
      </c>
      <c r="M1470" t="inlineStr">
        <is>
          <t>MEASURED</t>
        </is>
      </c>
      <c r="N1470" s="5" t="inlineStr">
        <is>
          <t>Semrush phrase_these (live, this session)</t>
        </is>
      </c>
      <c r="O1470" t="inlineStr">
        <is>
          <t>2026-10-30</t>
        </is>
      </c>
      <c r="P1470">
        <f>IF(IF(J1470="NOT AVAILABLE","",J1470)="",12,IF(OR(ISNUMBER(SEARCH("Transactional",IF(J1470="NOT AVAILABLE","",J1470))),ISNUMBER(SEARCH("Commercial",IF(J1470="NOT AVAILABLE","",J1470)))),25,IF(ISNUMBER(SEARCH("Informational",IF(J1470="NOT AVAILABLE","",J1470))),10,IF(ISNUMBER(SEARCH("Navigational",IF(J1470="NOT AVAILABLE","",J1470))),0,12))))</f>
        <v/>
      </c>
      <c r="Q1470">
        <f>IF(ISNUMBER(F1470),MIN(30,ROUND(30*LOG10(F1470+1)/4,1)),0)</f>
        <v/>
      </c>
      <c r="R1470">
        <f>IF(ISNUMBER(G1470),ROUND(25*(100-G1470)/100,1),12.5)</f>
        <v/>
      </c>
      <c r="S1470" t="n">
        <v>14</v>
      </c>
      <c r="T1470">
        <f>ROUND(P1470+Q1470+R1470+S1470,0)</f>
        <v/>
      </c>
      <c r="U1470" s="5" t="inlineStr"/>
      <c r="V1470" s="5" t="inlineStr"/>
    </row>
    <row r="1471">
      <c r="A1471" t="inlineStr">
        <is>
          <t>K1469</t>
        </is>
      </c>
      <c r="B1471" t="inlineStr">
        <is>
          <t>création site web université</t>
        </is>
      </c>
      <c r="C1471" t="inlineStr">
        <is>
          <t>France</t>
        </is>
      </c>
      <c r="D1471" t="inlineStr">
        <is>
          <t>fr</t>
        </is>
      </c>
      <c r="E1471" t="inlineStr">
        <is>
          <t>fr</t>
        </is>
      </c>
      <c r="F1471" t="inlineStr">
        <is>
          <t>NOT AVAILABLE</t>
        </is>
      </c>
      <c r="G1471" t="inlineStr">
        <is>
          <t>NOT AVAILABLE</t>
        </is>
      </c>
      <c r="H1471" t="inlineStr">
        <is>
          <t>NOT AVAILABLE</t>
        </is>
      </c>
      <c r="I1471" t="inlineStr">
        <is>
          <t>NOT AVAILABLE</t>
        </is>
      </c>
      <c r="J1471" t="inlineStr">
        <is>
          <t>NOT AVAILABLE</t>
        </is>
      </c>
      <c r="K1471" t="inlineStr">
        <is>
          <t>NOT AVAILABLE</t>
        </is>
      </c>
      <c r="L1471" t="inlineStr">
        <is>
          <t>NOT AVAILABLE</t>
        </is>
      </c>
      <c r="M1471" t="inlineStr">
        <is>
          <t>UNAVAILABLE</t>
        </is>
      </c>
      <c r="N1471" s="5" t="inlineStr">
        <is>
          <t>Semrush phrase_these returned no data (not billed)</t>
        </is>
      </c>
      <c r="O1471" t="inlineStr">
        <is>
          <t>2026-10-30</t>
        </is>
      </c>
      <c r="P1471">
        <f>IF(IF(J1471="NOT AVAILABLE","",J1471)="",12,IF(OR(ISNUMBER(SEARCH("Transactional",IF(J1471="NOT AVAILABLE","",J1471))),ISNUMBER(SEARCH("Commercial",IF(J1471="NOT AVAILABLE","",J1471)))),25,IF(ISNUMBER(SEARCH("Informational",IF(J1471="NOT AVAILABLE","",J1471))),10,IF(ISNUMBER(SEARCH("Navigational",IF(J1471="NOT AVAILABLE","",J1471))),0,12))))</f>
        <v/>
      </c>
      <c r="Q1471">
        <f>IF(ISNUMBER(F1471),MIN(30,ROUND(30*LOG10(F1471+1)/4,1)),0)</f>
        <v/>
      </c>
      <c r="R1471">
        <f>IF(ISNUMBER(G1471),ROUND(25*(100-G1471)/100,1),12.5)</f>
        <v/>
      </c>
      <c r="S1471" t="n">
        <v>14</v>
      </c>
      <c r="T1471">
        <f>ROUND(P1471+Q1471+R1471+S1471,0)</f>
        <v/>
      </c>
      <c r="U1471" s="5" t="inlineStr"/>
      <c r="V1471" s="5" t="inlineStr"/>
    </row>
    <row r="1472">
      <c r="A1472" t="inlineStr">
        <is>
          <t>K1470</t>
        </is>
      </c>
      <c r="B1472" t="inlineStr">
        <is>
          <t>création site web vancouver</t>
        </is>
      </c>
      <c r="C1472" t="inlineStr">
        <is>
          <t>France</t>
        </is>
      </c>
      <c r="D1472" t="inlineStr">
        <is>
          <t>fr</t>
        </is>
      </c>
      <c r="E1472" t="inlineStr">
        <is>
          <t>fr</t>
        </is>
      </c>
      <c r="F1472" t="inlineStr">
        <is>
          <t>NOT AVAILABLE</t>
        </is>
      </c>
      <c r="G1472" t="inlineStr">
        <is>
          <t>NOT AVAILABLE</t>
        </is>
      </c>
      <c r="H1472" t="inlineStr">
        <is>
          <t>NOT AVAILABLE</t>
        </is>
      </c>
      <c r="I1472" t="inlineStr">
        <is>
          <t>NOT AVAILABLE</t>
        </is>
      </c>
      <c r="J1472" t="inlineStr">
        <is>
          <t>NOT AVAILABLE</t>
        </is>
      </c>
      <c r="K1472" t="inlineStr">
        <is>
          <t>NOT AVAILABLE</t>
        </is>
      </c>
      <c r="L1472" t="inlineStr">
        <is>
          <t>NOT AVAILABLE</t>
        </is>
      </c>
      <c r="M1472" t="inlineStr">
        <is>
          <t>UNAVAILABLE</t>
        </is>
      </c>
      <c r="N1472" s="5" t="inlineStr">
        <is>
          <t>Semrush phrase_these returned no data (not billed)</t>
        </is>
      </c>
      <c r="O1472" t="inlineStr">
        <is>
          <t>2026-10-30</t>
        </is>
      </c>
      <c r="P1472">
        <f>IF(IF(J1472="NOT AVAILABLE","",J1472)="",12,IF(OR(ISNUMBER(SEARCH("Transactional",IF(J1472="NOT AVAILABLE","",J1472))),ISNUMBER(SEARCH("Commercial",IF(J1472="NOT AVAILABLE","",J1472)))),25,IF(ISNUMBER(SEARCH("Informational",IF(J1472="NOT AVAILABLE","",J1472))),10,IF(ISNUMBER(SEARCH("Navigational",IF(J1472="NOT AVAILABLE","",J1472))),0,12))))</f>
        <v/>
      </c>
      <c r="Q1472">
        <f>IF(ISNUMBER(F1472),MIN(30,ROUND(30*LOG10(F1472+1)/4,1)),0)</f>
        <v/>
      </c>
      <c r="R1472">
        <f>IF(ISNUMBER(G1472),ROUND(25*(100-G1472)/100,1),12.5)</f>
        <v/>
      </c>
      <c r="S1472" t="n">
        <v>14</v>
      </c>
      <c r="T1472">
        <f>ROUND(P1472+Q1472+R1472+S1472,0)</f>
        <v/>
      </c>
      <c r="U1472" s="5" t="inlineStr"/>
      <c r="V1472" s="5" t="inlineStr"/>
    </row>
    <row r="1473">
      <c r="A1473" t="inlineStr">
        <is>
          <t>K1471</t>
        </is>
      </c>
      <c r="B1473" t="inlineStr">
        <is>
          <t>création site web zurich</t>
        </is>
      </c>
      <c r="C1473" t="inlineStr">
        <is>
          <t>France</t>
        </is>
      </c>
      <c r="D1473" t="inlineStr">
        <is>
          <t>fr</t>
        </is>
      </c>
      <c r="E1473" t="inlineStr">
        <is>
          <t>fr</t>
        </is>
      </c>
      <c r="F1473" t="inlineStr">
        <is>
          <t>NOT AVAILABLE</t>
        </is>
      </c>
      <c r="G1473" t="inlineStr">
        <is>
          <t>NOT AVAILABLE</t>
        </is>
      </c>
      <c r="H1473" t="inlineStr">
        <is>
          <t>NOT AVAILABLE</t>
        </is>
      </c>
      <c r="I1473" t="inlineStr">
        <is>
          <t>NOT AVAILABLE</t>
        </is>
      </c>
      <c r="J1473" t="inlineStr">
        <is>
          <t>NOT AVAILABLE</t>
        </is>
      </c>
      <c r="K1473" t="inlineStr">
        <is>
          <t>NOT AVAILABLE</t>
        </is>
      </c>
      <c r="L1473" t="inlineStr">
        <is>
          <t>NOT AVAILABLE</t>
        </is>
      </c>
      <c r="M1473" t="inlineStr">
        <is>
          <t>UNAVAILABLE</t>
        </is>
      </c>
      <c r="N1473" s="5" t="inlineStr">
        <is>
          <t>Semrush phrase_these returned no data (not billed)</t>
        </is>
      </c>
      <c r="O1473" t="inlineStr">
        <is>
          <t>2026-10-30</t>
        </is>
      </c>
      <c r="P1473">
        <f>IF(IF(J1473="NOT AVAILABLE","",J1473)="",12,IF(OR(ISNUMBER(SEARCH("Transactional",IF(J1473="NOT AVAILABLE","",J1473))),ISNUMBER(SEARCH("Commercial",IF(J1473="NOT AVAILABLE","",J1473)))),25,IF(ISNUMBER(SEARCH("Informational",IF(J1473="NOT AVAILABLE","",J1473))),10,IF(ISNUMBER(SEARCH("Navigational",IF(J1473="NOT AVAILABLE","",J1473))),0,12))))</f>
        <v/>
      </c>
      <c r="Q1473">
        <f>IF(ISNUMBER(F1473),MIN(30,ROUND(30*LOG10(F1473+1)/4,1)),0)</f>
        <v/>
      </c>
      <c r="R1473">
        <f>IF(ISNUMBER(G1473),ROUND(25*(100-G1473)/100,1),12.5)</f>
        <v/>
      </c>
      <c r="S1473" t="n">
        <v>14</v>
      </c>
      <c r="T1473">
        <f>ROUND(P1473+Q1473+R1473+S1473,0)</f>
        <v/>
      </c>
      <c r="U1473" s="5" t="inlineStr"/>
      <c r="V1473" s="5" t="inlineStr"/>
    </row>
    <row r="1474">
      <c r="A1474" t="inlineStr">
        <is>
          <t>K1472</t>
        </is>
      </c>
      <c r="B1474" t="inlineStr">
        <is>
          <t>création site web école</t>
        </is>
      </c>
      <c r="C1474" t="inlineStr">
        <is>
          <t>France</t>
        </is>
      </c>
      <c r="D1474" t="inlineStr">
        <is>
          <t>fr</t>
        </is>
      </c>
      <c r="E1474" t="inlineStr">
        <is>
          <t>fr</t>
        </is>
      </c>
      <c r="F1474" t="inlineStr">
        <is>
          <t>NOT AVAILABLE</t>
        </is>
      </c>
      <c r="G1474" t="inlineStr">
        <is>
          <t>NOT AVAILABLE</t>
        </is>
      </c>
      <c r="H1474" t="inlineStr">
        <is>
          <t>NOT AVAILABLE</t>
        </is>
      </c>
      <c r="I1474" t="inlineStr">
        <is>
          <t>NOT AVAILABLE</t>
        </is>
      </c>
      <c r="J1474" t="inlineStr">
        <is>
          <t>NOT AVAILABLE</t>
        </is>
      </c>
      <c r="K1474" t="inlineStr">
        <is>
          <t>NOT AVAILABLE</t>
        </is>
      </c>
      <c r="L1474" t="inlineStr">
        <is>
          <t>NOT AVAILABLE</t>
        </is>
      </c>
      <c r="M1474" t="inlineStr">
        <is>
          <t>UNAVAILABLE</t>
        </is>
      </c>
      <c r="N1474" s="5" t="inlineStr">
        <is>
          <t>Semrush phrase_these returned no data (not billed)</t>
        </is>
      </c>
      <c r="O1474" t="inlineStr">
        <is>
          <t>2026-10-30</t>
        </is>
      </c>
      <c r="P1474">
        <f>IF(IF(J1474="NOT AVAILABLE","",J1474)="",12,IF(OR(ISNUMBER(SEARCH("Transactional",IF(J1474="NOT AVAILABLE","",J1474))),ISNUMBER(SEARCH("Commercial",IF(J1474="NOT AVAILABLE","",J1474)))),25,IF(ISNUMBER(SEARCH("Informational",IF(J1474="NOT AVAILABLE","",J1474))),10,IF(ISNUMBER(SEARCH("Navigational",IF(J1474="NOT AVAILABLE","",J1474))),0,12))))</f>
        <v/>
      </c>
      <c r="Q1474">
        <f>IF(ISNUMBER(F1474),MIN(30,ROUND(30*LOG10(F1474+1)/4,1)),0)</f>
        <v/>
      </c>
      <c r="R1474">
        <f>IF(ISNUMBER(G1474),ROUND(25*(100-G1474)/100,1),12.5)</f>
        <v/>
      </c>
      <c r="S1474" t="n">
        <v>14</v>
      </c>
      <c r="T1474">
        <f>ROUND(P1474+Q1474+R1474+S1474,0)</f>
        <v/>
      </c>
      <c r="U1474" s="5" t="inlineStr"/>
      <c r="V1474" s="5" t="inlineStr">
        <is>
          <t>SUPPORTING /services/education-website-development</t>
        </is>
      </c>
    </row>
    <row r="1475">
      <c r="A1475" t="inlineStr">
        <is>
          <t>K1473</t>
        </is>
      </c>
      <c r="B1475" t="inlineStr">
        <is>
          <t>création site école de langues</t>
        </is>
      </c>
      <c r="C1475" t="inlineStr">
        <is>
          <t>France</t>
        </is>
      </c>
      <c r="D1475" t="inlineStr">
        <is>
          <t>fr</t>
        </is>
      </c>
      <c r="E1475" t="inlineStr">
        <is>
          <t>fr</t>
        </is>
      </c>
      <c r="F1475" t="inlineStr">
        <is>
          <t>NOT AVAILABLE</t>
        </is>
      </c>
      <c r="G1475" t="inlineStr">
        <is>
          <t>NOT AVAILABLE</t>
        </is>
      </c>
      <c r="H1475" t="inlineStr">
        <is>
          <t>NOT AVAILABLE</t>
        </is>
      </c>
      <c r="I1475" t="inlineStr">
        <is>
          <t>NOT AVAILABLE</t>
        </is>
      </c>
      <c r="J1475" t="inlineStr">
        <is>
          <t>NOT AVAILABLE</t>
        </is>
      </c>
      <c r="K1475" t="inlineStr">
        <is>
          <t>NOT AVAILABLE</t>
        </is>
      </c>
      <c r="L1475" t="inlineStr">
        <is>
          <t>NOT AVAILABLE</t>
        </is>
      </c>
      <c r="M1475" t="inlineStr">
        <is>
          <t>UNAVAILABLE</t>
        </is>
      </c>
      <c r="N1475" s="5" t="inlineStr">
        <is>
          <t>Semrush phrase_these returned no data (not billed)</t>
        </is>
      </c>
      <c r="O1475" t="inlineStr">
        <is>
          <t>2026-10-30</t>
        </is>
      </c>
      <c r="P1475">
        <f>IF(IF(J1475="NOT AVAILABLE","",J1475)="",12,IF(OR(ISNUMBER(SEARCH("Transactional",IF(J1475="NOT AVAILABLE","",J1475))),ISNUMBER(SEARCH("Commercial",IF(J1475="NOT AVAILABLE","",J1475)))),25,IF(ISNUMBER(SEARCH("Informational",IF(J1475="NOT AVAILABLE","",J1475))),10,IF(ISNUMBER(SEARCH("Navigational",IF(J1475="NOT AVAILABLE","",J1475))),0,12))))</f>
        <v/>
      </c>
      <c r="Q1475">
        <f>IF(ISNUMBER(F1475),MIN(30,ROUND(30*LOG10(F1475+1)/4,1)),0)</f>
        <v/>
      </c>
      <c r="R1475">
        <f>IF(ISNUMBER(G1475),ROUND(25*(100-G1475)/100,1),12.5)</f>
        <v/>
      </c>
      <c r="S1475" t="n">
        <v>14</v>
      </c>
      <c r="T1475">
        <f>ROUND(P1475+Q1475+R1475+S1475,0)</f>
        <v/>
      </c>
      <c r="U1475" s="5" t="inlineStr"/>
      <c r="V1475" s="5" t="inlineStr"/>
    </row>
    <row r="1476">
      <c r="A1476" t="inlineStr">
        <is>
          <t>K1474</t>
        </is>
      </c>
      <c r="B1476" t="inlineStr">
        <is>
          <t>créer robots.txt</t>
        </is>
      </c>
      <c r="C1476" t="inlineStr">
        <is>
          <t>France</t>
        </is>
      </c>
      <c r="D1476" t="inlineStr">
        <is>
          <t>fr</t>
        </is>
      </c>
      <c r="E1476" t="inlineStr">
        <is>
          <t>fr</t>
        </is>
      </c>
      <c r="F1476" t="n">
        <v>0</v>
      </c>
      <c r="G1476" t="inlineStr">
        <is>
          <t>NOT AVAILABLE</t>
        </is>
      </c>
      <c r="H1476" t="n">
        <v>0</v>
      </c>
      <c r="I1476" t="n">
        <v>0</v>
      </c>
      <c r="J1476" t="inlineStr">
        <is>
          <t>NOT AVAILABLE</t>
        </is>
      </c>
      <c r="K1476" t="inlineStr">
        <is>
          <t>NOT AVAILABLE (report not requested)</t>
        </is>
      </c>
      <c r="L1476" t="inlineStr">
        <is>
          <t>flat (no data)</t>
        </is>
      </c>
      <c r="M1476" t="inlineStr">
        <is>
          <t>MEASURED</t>
        </is>
      </c>
      <c r="N1476" s="5" t="inlineStr">
        <is>
          <t>Semrush phrase_these (live, this session)</t>
        </is>
      </c>
      <c r="O1476" t="inlineStr">
        <is>
          <t>2026-10-30</t>
        </is>
      </c>
      <c r="P1476">
        <f>IF(IF(J1476="NOT AVAILABLE","",J1476)="",12,IF(OR(ISNUMBER(SEARCH("Transactional",IF(J1476="NOT AVAILABLE","",J1476))),ISNUMBER(SEARCH("Commercial",IF(J1476="NOT AVAILABLE","",J1476)))),25,IF(ISNUMBER(SEARCH("Informational",IF(J1476="NOT AVAILABLE","",J1476))),10,IF(ISNUMBER(SEARCH("Navigational",IF(J1476="NOT AVAILABLE","",J1476))),0,12))))</f>
        <v/>
      </c>
      <c r="Q1476">
        <f>IF(ISNUMBER(F1476),MIN(30,ROUND(30*LOG10(F1476+1)/4,1)),0)</f>
        <v/>
      </c>
      <c r="R1476">
        <f>IF(ISNUMBER(G1476),ROUND(25*(100-G1476)/100,1),12.5)</f>
        <v/>
      </c>
      <c r="S1476" t="n">
        <v>14</v>
      </c>
      <c r="T1476">
        <f>ROUND(P1476+Q1476+R1476+S1476,0)</f>
        <v/>
      </c>
      <c r="U1476" s="5" t="inlineStr"/>
      <c r="V1476" s="5" t="inlineStr">
        <is>
          <t>OPTIONAL /tools/robots-txt-generator</t>
        </is>
      </c>
    </row>
    <row r="1477">
      <c r="A1477" t="inlineStr">
        <is>
          <t>K1475</t>
        </is>
      </c>
      <c r="B1477" t="inlineStr">
        <is>
          <t>créer une plateforme de cours en ligne</t>
        </is>
      </c>
      <c r="C1477" t="inlineStr">
        <is>
          <t>France</t>
        </is>
      </c>
      <c r="D1477" t="inlineStr">
        <is>
          <t>fr</t>
        </is>
      </c>
      <c r="E1477" t="inlineStr">
        <is>
          <t>fr</t>
        </is>
      </c>
      <c r="F1477" t="n">
        <v>0</v>
      </c>
      <c r="G1477" t="inlineStr">
        <is>
          <t>NOT AVAILABLE</t>
        </is>
      </c>
      <c r="H1477" t="n">
        <v>1.95</v>
      </c>
      <c r="I1477" t="n">
        <v>1</v>
      </c>
      <c r="J1477" t="inlineStr">
        <is>
          <t>NOT AVAILABLE</t>
        </is>
      </c>
      <c r="K1477" t="inlineStr">
        <is>
          <t>NOT AVAILABLE (report not requested)</t>
        </is>
      </c>
      <c r="L1477" t="inlineStr">
        <is>
          <t>flat (no data)</t>
        </is>
      </c>
      <c r="M1477" t="inlineStr">
        <is>
          <t>MEASURED</t>
        </is>
      </c>
      <c r="N1477" s="5" t="inlineStr">
        <is>
          <t>Semrush phrase_these (live, this session)</t>
        </is>
      </c>
      <c r="O1477" t="inlineStr">
        <is>
          <t>2026-10-30</t>
        </is>
      </c>
      <c r="P1477">
        <f>IF(IF(J1477="NOT AVAILABLE","",J1477)="",12,IF(OR(ISNUMBER(SEARCH("Transactional",IF(J1477="NOT AVAILABLE","",J1477))),ISNUMBER(SEARCH("Commercial",IF(J1477="NOT AVAILABLE","",J1477)))),25,IF(ISNUMBER(SEARCH("Informational",IF(J1477="NOT AVAILABLE","",J1477))),10,IF(ISNUMBER(SEARCH("Navigational",IF(J1477="NOT AVAILABLE","",J1477))),0,12))))</f>
        <v/>
      </c>
      <c r="Q1477">
        <f>IF(ISNUMBER(F1477),MIN(30,ROUND(30*LOG10(F1477+1)/4,1)),0)</f>
        <v/>
      </c>
      <c r="R1477">
        <f>IF(ISNUMBER(G1477),ROUND(25*(100-G1477)/100,1),12.5)</f>
        <v/>
      </c>
      <c r="S1477" t="n">
        <v>14</v>
      </c>
      <c r="T1477">
        <f>ROUND(P1477+Q1477+R1477+S1477,0)</f>
        <v/>
      </c>
      <c r="U1477" s="5" t="inlineStr"/>
      <c r="V1477" s="5" t="inlineStr"/>
    </row>
    <row r="1478">
      <c r="A1478" t="inlineStr">
        <is>
          <t>K1476</t>
        </is>
      </c>
      <c r="B1478" t="inlineStr">
        <is>
          <t>créer une plateforme de téléconsultation</t>
        </is>
      </c>
      <c r="C1478" t="inlineStr">
        <is>
          <t>France</t>
        </is>
      </c>
      <c r="D1478" t="inlineStr">
        <is>
          <t>fr</t>
        </is>
      </c>
      <c r="E1478" t="inlineStr">
        <is>
          <t>fr</t>
        </is>
      </c>
      <c r="F1478" t="inlineStr">
        <is>
          <t>NOT AVAILABLE</t>
        </is>
      </c>
      <c r="G1478" t="inlineStr">
        <is>
          <t>NOT AVAILABLE</t>
        </is>
      </c>
      <c r="H1478" t="inlineStr">
        <is>
          <t>NOT AVAILABLE</t>
        </is>
      </c>
      <c r="I1478" t="inlineStr">
        <is>
          <t>NOT AVAILABLE</t>
        </is>
      </c>
      <c r="J1478" t="inlineStr">
        <is>
          <t>NOT AVAILABLE</t>
        </is>
      </c>
      <c r="K1478" t="inlineStr">
        <is>
          <t>NOT AVAILABLE</t>
        </is>
      </c>
      <c r="L1478" t="inlineStr">
        <is>
          <t>NOT AVAILABLE</t>
        </is>
      </c>
      <c r="M1478" t="inlineStr">
        <is>
          <t>UNAVAILABLE</t>
        </is>
      </c>
      <c r="N1478" s="5" t="inlineStr">
        <is>
          <t>Semrush phrase_these returned no data (not billed)</t>
        </is>
      </c>
      <c r="O1478" t="inlineStr">
        <is>
          <t>2026-10-30</t>
        </is>
      </c>
      <c r="P1478">
        <f>IF(IF(J1478="NOT AVAILABLE","",J1478)="",12,IF(OR(ISNUMBER(SEARCH("Transactional",IF(J1478="NOT AVAILABLE","",J1478))),ISNUMBER(SEARCH("Commercial",IF(J1478="NOT AVAILABLE","",J1478)))),25,IF(ISNUMBER(SEARCH("Informational",IF(J1478="NOT AVAILABLE","",J1478))),10,IF(ISNUMBER(SEARCH("Navigational",IF(J1478="NOT AVAILABLE","",J1478))),0,12))))</f>
        <v/>
      </c>
      <c r="Q1478">
        <f>IF(ISNUMBER(F1478),MIN(30,ROUND(30*LOG10(F1478+1)/4,1)),0)</f>
        <v/>
      </c>
      <c r="R1478">
        <f>IF(ISNUMBER(G1478),ROUND(25*(100-G1478)/100,1),12.5)</f>
        <v/>
      </c>
      <c r="S1478" t="n">
        <v>14</v>
      </c>
      <c r="T1478">
        <f>ROUND(P1478+Q1478+R1478+S1478,0)</f>
        <v/>
      </c>
      <c r="U1478" s="5" t="inlineStr"/>
      <c r="V1478" s="5" t="inlineStr"/>
    </row>
    <row r="1479">
      <c r="A1479" t="inlineStr">
        <is>
          <t>K1477</t>
        </is>
      </c>
      <c r="B1479" t="inlineStr">
        <is>
          <t>créer une plateforme saas</t>
        </is>
      </c>
      <c r="C1479" t="inlineStr">
        <is>
          <t>France</t>
        </is>
      </c>
      <c r="D1479" t="inlineStr">
        <is>
          <t>fr</t>
        </is>
      </c>
      <c r="E1479" t="inlineStr">
        <is>
          <t>fr</t>
        </is>
      </c>
      <c r="F1479" t="n">
        <v>0</v>
      </c>
      <c r="G1479" t="inlineStr">
        <is>
          <t>NOT AVAILABLE</t>
        </is>
      </c>
      <c r="H1479" t="n">
        <v>0</v>
      </c>
      <c r="I1479" t="n">
        <v>0</v>
      </c>
      <c r="J1479" t="inlineStr">
        <is>
          <t>NOT AVAILABLE</t>
        </is>
      </c>
      <c r="K1479" t="inlineStr">
        <is>
          <t>NOT AVAILABLE (report not requested)</t>
        </is>
      </c>
      <c r="L1479" t="inlineStr">
        <is>
          <t>flat (no data)</t>
        </is>
      </c>
      <c r="M1479" t="inlineStr">
        <is>
          <t>MEASURED</t>
        </is>
      </c>
      <c r="N1479" s="5" t="inlineStr">
        <is>
          <t>Semrush phrase_these (live, this session)</t>
        </is>
      </c>
      <c r="O1479" t="inlineStr">
        <is>
          <t>2026-10-30</t>
        </is>
      </c>
      <c r="P1479">
        <f>IF(IF(J1479="NOT AVAILABLE","",J1479)="",12,IF(OR(ISNUMBER(SEARCH("Transactional",IF(J1479="NOT AVAILABLE","",J1479))),ISNUMBER(SEARCH("Commercial",IF(J1479="NOT AVAILABLE","",J1479)))),25,IF(ISNUMBER(SEARCH("Informational",IF(J1479="NOT AVAILABLE","",J1479))),10,IF(ISNUMBER(SEARCH("Navigational",IF(J1479="NOT AVAILABLE","",J1479))),0,12))))</f>
        <v/>
      </c>
      <c r="Q1479">
        <f>IF(ISNUMBER(F1479),MIN(30,ROUND(30*LOG10(F1479+1)/4,1)),0)</f>
        <v/>
      </c>
      <c r="R1479">
        <f>IF(ISNUMBER(G1479),ROUND(25*(100-G1479)/100,1),12.5)</f>
        <v/>
      </c>
      <c r="S1479" t="n">
        <v>14</v>
      </c>
      <c r="T1479">
        <f>ROUND(P1479+Q1479+R1479+S1479,0)</f>
        <v/>
      </c>
      <c r="U1479" s="5" t="inlineStr"/>
      <c r="V1479" s="5" t="inlineStr"/>
    </row>
    <row r="1480">
      <c r="A1480" t="inlineStr">
        <is>
          <t>K1478</t>
        </is>
      </c>
      <c r="B1480" t="inlineStr">
        <is>
          <t>données structurées entreprise locale</t>
        </is>
      </c>
      <c r="C1480" t="inlineStr">
        <is>
          <t>France</t>
        </is>
      </c>
      <c r="D1480" t="inlineStr">
        <is>
          <t>fr</t>
        </is>
      </c>
      <c r="E1480" t="inlineStr">
        <is>
          <t>fr</t>
        </is>
      </c>
      <c r="F1480" t="inlineStr">
        <is>
          <t>NOT AVAILABLE</t>
        </is>
      </c>
      <c r="G1480" t="inlineStr">
        <is>
          <t>NOT AVAILABLE</t>
        </is>
      </c>
      <c r="H1480" t="inlineStr">
        <is>
          <t>NOT AVAILABLE</t>
        </is>
      </c>
      <c r="I1480" t="inlineStr">
        <is>
          <t>NOT AVAILABLE</t>
        </is>
      </c>
      <c r="J1480" t="inlineStr">
        <is>
          <t>NOT AVAILABLE</t>
        </is>
      </c>
      <c r="K1480" t="inlineStr">
        <is>
          <t>NOT AVAILABLE</t>
        </is>
      </c>
      <c r="L1480" t="inlineStr">
        <is>
          <t>NOT AVAILABLE</t>
        </is>
      </c>
      <c r="M1480" t="inlineStr">
        <is>
          <t>UNAVAILABLE</t>
        </is>
      </c>
      <c r="N1480" s="5" t="inlineStr">
        <is>
          <t>Semrush phrase_these returned no data (not billed)</t>
        </is>
      </c>
      <c r="O1480" t="inlineStr">
        <is>
          <t>2026-10-30</t>
        </is>
      </c>
      <c r="P1480">
        <f>IF(IF(J1480="NOT AVAILABLE","",J1480)="",12,IF(OR(ISNUMBER(SEARCH("Transactional",IF(J1480="NOT AVAILABLE","",J1480))),ISNUMBER(SEARCH("Commercial",IF(J1480="NOT AVAILABLE","",J1480)))),25,IF(ISNUMBER(SEARCH("Informational",IF(J1480="NOT AVAILABLE","",J1480))),10,IF(ISNUMBER(SEARCH("Navigational",IF(J1480="NOT AVAILABLE","",J1480))),0,12))))</f>
        <v/>
      </c>
      <c r="Q1480">
        <f>IF(ISNUMBER(F1480),MIN(30,ROUND(30*LOG10(F1480+1)/4,1)),0)</f>
        <v/>
      </c>
      <c r="R1480">
        <f>IF(ISNUMBER(G1480),ROUND(25*(100-G1480)/100,1),12.5)</f>
        <v/>
      </c>
      <c r="S1480" t="n">
        <v>14</v>
      </c>
      <c r="T1480">
        <f>ROUND(P1480+Q1480+R1480+S1480,0)</f>
        <v/>
      </c>
      <c r="U1480" s="5" t="inlineStr"/>
      <c r="V1480" s="5" t="inlineStr">
        <is>
          <t>OPTIONAL /tools/local-business-schema</t>
        </is>
      </c>
    </row>
    <row r="1481">
      <c r="A1481" t="inlineStr">
        <is>
          <t>K1479</t>
        </is>
      </c>
      <c r="B1481" t="inlineStr">
        <is>
          <t>détecter liens morts</t>
        </is>
      </c>
      <c r="C1481" t="inlineStr">
        <is>
          <t>France</t>
        </is>
      </c>
      <c r="D1481" t="inlineStr">
        <is>
          <t>fr</t>
        </is>
      </c>
      <c r="E1481" t="inlineStr">
        <is>
          <t>fr</t>
        </is>
      </c>
      <c r="F1481" t="n">
        <v>0</v>
      </c>
      <c r="G1481" t="inlineStr">
        <is>
          <t>NOT AVAILABLE</t>
        </is>
      </c>
      <c r="H1481" t="n">
        <v>0</v>
      </c>
      <c r="I1481" t="n">
        <v>0</v>
      </c>
      <c r="J1481" t="inlineStr">
        <is>
          <t>NOT AVAILABLE</t>
        </is>
      </c>
      <c r="K1481" t="inlineStr">
        <is>
          <t>NOT AVAILABLE (report not requested)</t>
        </is>
      </c>
      <c r="L1481" t="inlineStr">
        <is>
          <t>flat (no data)</t>
        </is>
      </c>
      <c r="M1481" t="inlineStr">
        <is>
          <t>MEASURED</t>
        </is>
      </c>
      <c r="N1481" s="5" t="inlineStr">
        <is>
          <t>Semrush phrase_these (live, this session)</t>
        </is>
      </c>
      <c r="O1481" t="inlineStr">
        <is>
          <t>2026-10-30</t>
        </is>
      </c>
      <c r="P1481">
        <f>IF(IF(J1481="NOT AVAILABLE","",J1481)="",12,IF(OR(ISNUMBER(SEARCH("Transactional",IF(J1481="NOT AVAILABLE","",J1481))),ISNUMBER(SEARCH("Commercial",IF(J1481="NOT AVAILABLE","",J1481)))),25,IF(ISNUMBER(SEARCH("Informational",IF(J1481="NOT AVAILABLE","",J1481))),10,IF(ISNUMBER(SEARCH("Navigational",IF(J1481="NOT AVAILABLE","",J1481))),0,12))))</f>
        <v/>
      </c>
      <c r="Q1481">
        <f>IF(ISNUMBER(F1481),MIN(30,ROUND(30*LOG10(F1481+1)/4,1)),0)</f>
        <v/>
      </c>
      <c r="R1481">
        <f>IF(ISNUMBER(G1481),ROUND(25*(100-G1481)/100,1),12.5)</f>
        <v/>
      </c>
      <c r="S1481" t="n">
        <v>14</v>
      </c>
      <c r="T1481">
        <f>ROUND(P1481+Q1481+R1481+S1481,0)</f>
        <v/>
      </c>
      <c r="U1481" s="5" t="inlineStr"/>
      <c r="V1481" s="5" t="inlineStr">
        <is>
          <t>OPTIONAL /tools/broken-link-checker</t>
        </is>
      </c>
    </row>
    <row r="1482">
      <c r="A1482" t="inlineStr">
        <is>
          <t>K1480</t>
        </is>
      </c>
      <c r="B1482" t="inlineStr">
        <is>
          <t>développement application fintech</t>
        </is>
      </c>
      <c r="C1482" t="inlineStr">
        <is>
          <t>France</t>
        </is>
      </c>
      <c r="D1482" t="inlineStr">
        <is>
          <t>fr</t>
        </is>
      </c>
      <c r="E1482" t="inlineStr">
        <is>
          <t>fr</t>
        </is>
      </c>
      <c r="F1482" t="inlineStr">
        <is>
          <t>NOT AVAILABLE</t>
        </is>
      </c>
      <c r="G1482" t="inlineStr">
        <is>
          <t>NOT AVAILABLE</t>
        </is>
      </c>
      <c r="H1482" t="inlineStr">
        <is>
          <t>NOT AVAILABLE</t>
        </is>
      </c>
      <c r="I1482" t="inlineStr">
        <is>
          <t>NOT AVAILABLE</t>
        </is>
      </c>
      <c r="J1482" t="inlineStr">
        <is>
          <t>NOT AVAILABLE</t>
        </is>
      </c>
      <c r="K1482" t="inlineStr">
        <is>
          <t>NOT AVAILABLE</t>
        </is>
      </c>
      <c r="L1482" t="inlineStr">
        <is>
          <t>NOT AVAILABLE</t>
        </is>
      </c>
      <c r="M1482" t="inlineStr">
        <is>
          <t>UNAVAILABLE</t>
        </is>
      </c>
      <c r="N1482" s="5" t="inlineStr">
        <is>
          <t>Semrush phrase_these returned no data (not billed)</t>
        </is>
      </c>
      <c r="O1482" t="inlineStr">
        <is>
          <t>2026-10-30</t>
        </is>
      </c>
      <c r="P1482">
        <f>IF(IF(J1482="NOT AVAILABLE","",J1482)="",12,IF(OR(ISNUMBER(SEARCH("Transactional",IF(J1482="NOT AVAILABLE","",J1482))),ISNUMBER(SEARCH("Commercial",IF(J1482="NOT AVAILABLE","",J1482)))),25,IF(ISNUMBER(SEARCH("Informational",IF(J1482="NOT AVAILABLE","",J1482))),10,IF(ISNUMBER(SEARCH("Navigational",IF(J1482="NOT AVAILABLE","",J1482))),0,12))))</f>
        <v/>
      </c>
      <c r="Q1482">
        <f>IF(ISNUMBER(F1482),MIN(30,ROUND(30*LOG10(F1482+1)/4,1)),0)</f>
        <v/>
      </c>
      <c r="R1482">
        <f>IF(ISNUMBER(G1482),ROUND(25*(100-G1482)/100,1),12.5)</f>
        <v/>
      </c>
      <c r="S1482" t="n">
        <v>14</v>
      </c>
      <c r="T1482">
        <f>ROUND(P1482+Q1482+R1482+S1482,0)</f>
        <v/>
      </c>
      <c r="U1482" s="5" t="inlineStr"/>
      <c r="V1482" s="5" t="inlineStr"/>
    </row>
    <row r="1483">
      <c r="A1483" t="inlineStr">
        <is>
          <t>K1481</t>
        </is>
      </c>
      <c r="B1483" t="inlineStr">
        <is>
          <t>développement edtech</t>
        </is>
      </c>
      <c r="C1483" t="inlineStr">
        <is>
          <t>France</t>
        </is>
      </c>
      <c r="D1483" t="inlineStr">
        <is>
          <t>fr</t>
        </is>
      </c>
      <c r="E1483" t="inlineStr">
        <is>
          <t>fr</t>
        </is>
      </c>
      <c r="F1483" t="inlineStr">
        <is>
          <t>NOT AVAILABLE</t>
        </is>
      </c>
      <c r="G1483" t="inlineStr">
        <is>
          <t>NOT AVAILABLE</t>
        </is>
      </c>
      <c r="H1483" t="inlineStr">
        <is>
          <t>NOT AVAILABLE</t>
        </is>
      </c>
      <c r="I1483" t="inlineStr">
        <is>
          <t>NOT AVAILABLE</t>
        </is>
      </c>
      <c r="J1483" t="inlineStr">
        <is>
          <t>NOT AVAILABLE</t>
        </is>
      </c>
      <c r="K1483" t="inlineStr">
        <is>
          <t>NOT AVAILABLE</t>
        </is>
      </c>
      <c r="L1483" t="inlineStr">
        <is>
          <t>NOT AVAILABLE</t>
        </is>
      </c>
      <c r="M1483" t="inlineStr">
        <is>
          <t>UNAVAILABLE</t>
        </is>
      </c>
      <c r="N1483" s="5" t="inlineStr">
        <is>
          <t>Semrush phrase_these returned no data (not billed)</t>
        </is>
      </c>
      <c r="O1483" t="inlineStr">
        <is>
          <t>2026-10-30</t>
        </is>
      </c>
      <c r="P1483">
        <f>IF(IF(J1483="NOT AVAILABLE","",J1483)="",12,IF(OR(ISNUMBER(SEARCH("Transactional",IF(J1483="NOT AVAILABLE","",J1483))),ISNUMBER(SEARCH("Commercial",IF(J1483="NOT AVAILABLE","",J1483)))),25,IF(ISNUMBER(SEARCH("Informational",IF(J1483="NOT AVAILABLE","",J1483))),10,IF(ISNUMBER(SEARCH("Navigational",IF(J1483="NOT AVAILABLE","",J1483))),0,12))))</f>
        <v/>
      </c>
      <c r="Q1483">
        <f>IF(ISNUMBER(F1483),MIN(30,ROUND(30*LOG10(F1483+1)/4,1)),0)</f>
        <v/>
      </c>
      <c r="R1483">
        <f>IF(ISNUMBER(G1483),ROUND(25*(100-G1483)/100,1),12.5)</f>
        <v/>
      </c>
      <c r="S1483" t="n">
        <v>14</v>
      </c>
      <c r="T1483">
        <f>ROUND(P1483+Q1483+R1483+S1483,0)</f>
        <v/>
      </c>
      <c r="U1483" s="5" t="inlineStr"/>
      <c r="V1483" s="5" t="inlineStr"/>
    </row>
    <row r="1484">
      <c r="A1484" t="inlineStr">
        <is>
          <t>K1482</t>
        </is>
      </c>
      <c r="B1484" t="inlineStr">
        <is>
          <t>développement fintech</t>
        </is>
      </c>
      <c r="C1484" t="inlineStr">
        <is>
          <t>France</t>
        </is>
      </c>
      <c r="D1484" t="inlineStr">
        <is>
          <t>fr</t>
        </is>
      </c>
      <c r="E1484" t="inlineStr">
        <is>
          <t>fr</t>
        </is>
      </c>
      <c r="F1484" t="n">
        <v>0</v>
      </c>
      <c r="G1484" t="inlineStr">
        <is>
          <t>NOT AVAILABLE</t>
        </is>
      </c>
      <c r="H1484" t="n">
        <v>0</v>
      </c>
      <c r="I1484" t="n">
        <v>0</v>
      </c>
      <c r="J1484" t="inlineStr">
        <is>
          <t>NOT AVAILABLE</t>
        </is>
      </c>
      <c r="K1484" t="inlineStr">
        <is>
          <t>NOT AVAILABLE (report not requested)</t>
        </is>
      </c>
      <c r="L1484" t="inlineStr">
        <is>
          <t>flat (no data)</t>
        </is>
      </c>
      <c r="M1484" t="inlineStr">
        <is>
          <t>MEASURED</t>
        </is>
      </c>
      <c r="N1484" s="5" t="inlineStr">
        <is>
          <t>Semrush phrase_these (live, this session)</t>
        </is>
      </c>
      <c r="O1484" t="inlineStr">
        <is>
          <t>2026-10-30</t>
        </is>
      </c>
      <c r="P1484">
        <f>IF(IF(J1484="NOT AVAILABLE","",J1484)="",12,IF(OR(ISNUMBER(SEARCH("Transactional",IF(J1484="NOT AVAILABLE","",J1484))),ISNUMBER(SEARCH("Commercial",IF(J1484="NOT AVAILABLE","",J1484)))),25,IF(ISNUMBER(SEARCH("Informational",IF(J1484="NOT AVAILABLE","",J1484))),10,IF(ISNUMBER(SEARCH("Navigational",IF(J1484="NOT AVAILABLE","",J1484))),0,12))))</f>
        <v/>
      </c>
      <c r="Q1484">
        <f>IF(ISNUMBER(F1484),MIN(30,ROUND(30*LOG10(F1484+1)/4,1)),0)</f>
        <v/>
      </c>
      <c r="R1484">
        <f>IF(ISNUMBER(G1484),ROUND(25*(100-G1484)/100,1),12.5)</f>
        <v/>
      </c>
      <c r="S1484" t="n">
        <v>14</v>
      </c>
      <c r="T1484">
        <f>ROUND(P1484+Q1484+R1484+S1484,0)</f>
        <v/>
      </c>
      <c r="U1484" s="5" t="inlineStr"/>
      <c r="V1484" s="5" t="inlineStr">
        <is>
          <t>PRIMARY /services/fintech-platform-development</t>
        </is>
      </c>
    </row>
    <row r="1485">
      <c r="A1485" t="inlineStr">
        <is>
          <t>K1483</t>
        </is>
      </c>
      <c r="B1485" t="inlineStr">
        <is>
          <t>développement offshore avantages</t>
        </is>
      </c>
      <c r="C1485" t="inlineStr">
        <is>
          <t>France</t>
        </is>
      </c>
      <c r="D1485" t="inlineStr">
        <is>
          <t>fr</t>
        </is>
      </c>
      <c r="E1485" t="inlineStr">
        <is>
          <t>fr</t>
        </is>
      </c>
      <c r="F1485" t="inlineStr">
        <is>
          <t>NOT AVAILABLE</t>
        </is>
      </c>
      <c r="G1485" t="inlineStr">
        <is>
          <t>NOT AVAILABLE</t>
        </is>
      </c>
      <c r="H1485" t="inlineStr">
        <is>
          <t>NOT AVAILABLE</t>
        </is>
      </c>
      <c r="I1485" t="inlineStr">
        <is>
          <t>NOT AVAILABLE</t>
        </is>
      </c>
      <c r="J1485" t="inlineStr">
        <is>
          <t>NOT AVAILABLE</t>
        </is>
      </c>
      <c r="K1485" t="inlineStr">
        <is>
          <t>NOT AVAILABLE</t>
        </is>
      </c>
      <c r="L1485" t="inlineStr">
        <is>
          <t>NOT AVAILABLE</t>
        </is>
      </c>
      <c r="M1485" t="inlineStr">
        <is>
          <t>UNAVAILABLE</t>
        </is>
      </c>
      <c r="N1485" s="5" t="inlineStr">
        <is>
          <t>Semrush phrase_these returned no data (not billed)</t>
        </is>
      </c>
      <c r="O1485" t="inlineStr">
        <is>
          <t>2026-10-30</t>
        </is>
      </c>
      <c r="P1485">
        <f>IF(IF(J1485="NOT AVAILABLE","",J1485)="",12,IF(OR(ISNUMBER(SEARCH("Transactional",IF(J1485="NOT AVAILABLE","",J1485))),ISNUMBER(SEARCH("Commercial",IF(J1485="NOT AVAILABLE","",J1485)))),25,IF(ISNUMBER(SEARCH("Informational",IF(J1485="NOT AVAILABLE","",J1485))),10,IF(ISNUMBER(SEARCH("Navigational",IF(J1485="NOT AVAILABLE","",J1485))),0,12))))</f>
        <v/>
      </c>
      <c r="Q1485">
        <f>IF(ISNUMBER(F1485),MIN(30,ROUND(30*LOG10(F1485+1)/4,1)),0)</f>
        <v/>
      </c>
      <c r="R1485">
        <f>IF(ISNUMBER(G1485),ROUND(25*(100-G1485)/100,1),12.5)</f>
        <v/>
      </c>
      <c r="S1485" t="n">
        <v>14</v>
      </c>
      <c r="T1485">
        <f>ROUND(P1485+Q1485+R1485+S1485,0)</f>
        <v/>
      </c>
      <c r="U1485" s="5" t="inlineStr"/>
      <c r="V1485" s="5" t="inlineStr"/>
    </row>
    <row r="1486">
      <c r="A1486" t="inlineStr">
        <is>
          <t>K1484</t>
        </is>
      </c>
      <c r="B1486" t="inlineStr">
        <is>
          <t>développement offshore maroc</t>
        </is>
      </c>
      <c r="C1486" t="inlineStr">
        <is>
          <t>France</t>
        </is>
      </c>
      <c r="D1486" t="inlineStr">
        <is>
          <t>fr</t>
        </is>
      </c>
      <c r="E1486" t="inlineStr">
        <is>
          <t>fr</t>
        </is>
      </c>
      <c r="F1486" t="n">
        <v>0</v>
      </c>
      <c r="G1486" t="inlineStr">
        <is>
          <t>NOT AVAILABLE</t>
        </is>
      </c>
      <c r="H1486" t="n">
        <v>0</v>
      </c>
      <c r="I1486" t="n">
        <v>0</v>
      </c>
      <c r="J1486" t="inlineStr">
        <is>
          <t>NOT AVAILABLE</t>
        </is>
      </c>
      <c r="K1486" t="inlineStr">
        <is>
          <t>NOT AVAILABLE (report not requested)</t>
        </is>
      </c>
      <c r="L1486" t="inlineStr">
        <is>
          <t>flat (no data)</t>
        </is>
      </c>
      <c r="M1486" t="inlineStr">
        <is>
          <t>MEASURED</t>
        </is>
      </c>
      <c r="N1486" s="5" t="inlineStr">
        <is>
          <t>Semrush phrase_these (live, this session)</t>
        </is>
      </c>
      <c r="O1486" t="inlineStr">
        <is>
          <t>2026-10-30</t>
        </is>
      </c>
      <c r="P1486">
        <f>IF(IF(J1486="NOT AVAILABLE","",J1486)="",12,IF(OR(ISNUMBER(SEARCH("Transactional",IF(J1486="NOT AVAILABLE","",J1486))),ISNUMBER(SEARCH("Commercial",IF(J1486="NOT AVAILABLE","",J1486)))),25,IF(ISNUMBER(SEARCH("Informational",IF(J1486="NOT AVAILABLE","",J1486))),10,IF(ISNUMBER(SEARCH("Navigational",IF(J1486="NOT AVAILABLE","",J1486))),0,12))))</f>
        <v/>
      </c>
      <c r="Q1486">
        <f>IF(ISNUMBER(F1486),MIN(30,ROUND(30*LOG10(F1486+1)/4,1)),0)</f>
        <v/>
      </c>
      <c r="R1486">
        <f>IF(ISNUMBER(G1486),ROUND(25*(100-G1486)/100,1),12.5)</f>
        <v/>
      </c>
      <c r="S1486" t="n">
        <v>14</v>
      </c>
      <c r="T1486">
        <f>ROUND(P1486+Q1486+R1486+S1486,0)</f>
        <v/>
      </c>
      <c r="U1486" s="5" t="inlineStr"/>
      <c r="V1486" s="5" t="inlineStr"/>
    </row>
    <row r="1487">
      <c r="A1487" t="inlineStr">
        <is>
          <t>K1485</t>
        </is>
      </c>
      <c r="B1487" t="inlineStr">
        <is>
          <t>développement plateforme e-learning</t>
        </is>
      </c>
      <c r="C1487" t="inlineStr">
        <is>
          <t>France</t>
        </is>
      </c>
      <c r="D1487" t="inlineStr">
        <is>
          <t>fr</t>
        </is>
      </c>
      <c r="E1487" t="inlineStr">
        <is>
          <t>fr</t>
        </is>
      </c>
      <c r="F1487" t="n">
        <v>0</v>
      </c>
      <c r="G1487" t="inlineStr">
        <is>
          <t>NOT AVAILABLE</t>
        </is>
      </c>
      <c r="H1487" t="n">
        <v>0</v>
      </c>
      <c r="I1487" t="n">
        <v>0</v>
      </c>
      <c r="J1487" t="inlineStr">
        <is>
          <t>NOT AVAILABLE</t>
        </is>
      </c>
      <c r="K1487" t="inlineStr">
        <is>
          <t>NOT AVAILABLE (report not requested)</t>
        </is>
      </c>
      <c r="L1487" t="inlineStr">
        <is>
          <t>flat (no data)</t>
        </is>
      </c>
      <c r="M1487" t="inlineStr">
        <is>
          <t>MEASURED</t>
        </is>
      </c>
      <c r="N1487" s="5" t="inlineStr">
        <is>
          <t>Semrush phrase_these (live, this session)</t>
        </is>
      </c>
      <c r="O1487" t="inlineStr">
        <is>
          <t>2026-10-30</t>
        </is>
      </c>
      <c r="P1487">
        <f>IF(IF(J1487="NOT AVAILABLE","",J1487)="",12,IF(OR(ISNUMBER(SEARCH("Transactional",IF(J1487="NOT AVAILABLE","",J1487))),ISNUMBER(SEARCH("Commercial",IF(J1487="NOT AVAILABLE","",J1487)))),25,IF(ISNUMBER(SEARCH("Informational",IF(J1487="NOT AVAILABLE","",J1487))),10,IF(ISNUMBER(SEARCH("Navigational",IF(J1487="NOT AVAILABLE","",J1487))),0,12))))</f>
        <v/>
      </c>
      <c r="Q1487">
        <f>IF(ISNUMBER(F1487),MIN(30,ROUND(30*LOG10(F1487+1)/4,1)),0)</f>
        <v/>
      </c>
      <c r="R1487">
        <f>IF(ISNUMBER(G1487),ROUND(25*(100-G1487)/100,1),12.5)</f>
        <v/>
      </c>
      <c r="S1487" t="n">
        <v>14</v>
      </c>
      <c r="T1487">
        <f>ROUND(P1487+Q1487+R1487+S1487,0)</f>
        <v/>
      </c>
      <c r="U1487" s="5" t="inlineStr"/>
      <c r="V1487" s="5" t="inlineStr"/>
    </row>
    <row r="1488">
      <c r="A1488" t="inlineStr">
        <is>
          <t>K1486</t>
        </is>
      </c>
      <c r="B1488" t="inlineStr">
        <is>
          <t>développement plateforme saas</t>
        </is>
      </c>
      <c r="C1488" t="inlineStr">
        <is>
          <t>France</t>
        </is>
      </c>
      <c r="D1488" t="inlineStr">
        <is>
          <t>fr</t>
        </is>
      </c>
      <c r="E1488" t="inlineStr">
        <is>
          <t>fr</t>
        </is>
      </c>
      <c r="F1488" t="n">
        <v>0</v>
      </c>
      <c r="G1488" t="inlineStr">
        <is>
          <t>NOT AVAILABLE</t>
        </is>
      </c>
      <c r="H1488" t="n">
        <v>0</v>
      </c>
      <c r="I1488" t="n">
        <v>0</v>
      </c>
      <c r="J1488" t="inlineStr">
        <is>
          <t>NOT AVAILABLE</t>
        </is>
      </c>
      <c r="K1488" t="inlineStr">
        <is>
          <t>NOT AVAILABLE (report not requested)</t>
        </is>
      </c>
      <c r="L1488" t="inlineStr">
        <is>
          <t>flat (no data)</t>
        </is>
      </c>
      <c r="M1488" t="inlineStr">
        <is>
          <t>MEASURED</t>
        </is>
      </c>
      <c r="N1488" s="5" t="inlineStr">
        <is>
          <t>Semrush phrase_these (live, this session)</t>
        </is>
      </c>
      <c r="O1488" t="inlineStr">
        <is>
          <t>2026-10-30</t>
        </is>
      </c>
      <c r="P1488">
        <f>IF(IF(J1488="NOT AVAILABLE","",J1488)="",12,IF(OR(ISNUMBER(SEARCH("Transactional",IF(J1488="NOT AVAILABLE","",J1488))),ISNUMBER(SEARCH("Commercial",IF(J1488="NOT AVAILABLE","",J1488)))),25,IF(ISNUMBER(SEARCH("Informational",IF(J1488="NOT AVAILABLE","",J1488))),10,IF(ISNUMBER(SEARCH("Navigational",IF(J1488="NOT AVAILABLE","",J1488))),0,12))))</f>
        <v/>
      </c>
      <c r="Q1488">
        <f>IF(ISNUMBER(F1488),MIN(30,ROUND(30*LOG10(F1488+1)/4,1)),0)</f>
        <v/>
      </c>
      <c r="R1488">
        <f>IF(ISNUMBER(G1488),ROUND(25*(100-G1488)/100,1),12.5)</f>
        <v/>
      </c>
      <c r="S1488" t="n">
        <v>14</v>
      </c>
      <c r="T1488">
        <f>ROUND(P1488+Q1488+R1488+S1488,0)</f>
        <v/>
      </c>
      <c r="U1488" s="5" t="inlineStr"/>
      <c r="V1488" s="5" t="inlineStr"/>
    </row>
    <row r="1489">
      <c r="A1489" t="inlineStr">
        <is>
          <t>K1487</t>
        </is>
      </c>
      <c r="B1489" t="inlineStr">
        <is>
          <t>développement plateforme télémédecine</t>
        </is>
      </c>
      <c r="C1489" t="inlineStr">
        <is>
          <t>France</t>
        </is>
      </c>
      <c r="D1489" t="inlineStr">
        <is>
          <t>fr</t>
        </is>
      </c>
      <c r="E1489" t="inlineStr">
        <is>
          <t>fr</t>
        </is>
      </c>
      <c r="F1489" t="inlineStr">
        <is>
          <t>NOT AVAILABLE</t>
        </is>
      </c>
      <c r="G1489" t="inlineStr">
        <is>
          <t>NOT AVAILABLE</t>
        </is>
      </c>
      <c r="H1489" t="inlineStr">
        <is>
          <t>NOT AVAILABLE</t>
        </is>
      </c>
      <c r="I1489" t="inlineStr">
        <is>
          <t>NOT AVAILABLE</t>
        </is>
      </c>
      <c r="J1489" t="inlineStr">
        <is>
          <t>NOT AVAILABLE</t>
        </is>
      </c>
      <c r="K1489" t="inlineStr">
        <is>
          <t>NOT AVAILABLE</t>
        </is>
      </c>
      <c r="L1489" t="inlineStr">
        <is>
          <t>NOT AVAILABLE</t>
        </is>
      </c>
      <c r="M1489" t="inlineStr">
        <is>
          <t>UNAVAILABLE</t>
        </is>
      </c>
      <c r="N1489" s="5" t="inlineStr">
        <is>
          <t>Semrush phrase_these returned no data (not billed)</t>
        </is>
      </c>
      <c r="O1489" t="inlineStr">
        <is>
          <t>2026-10-30</t>
        </is>
      </c>
      <c r="P1489">
        <f>IF(IF(J1489="NOT AVAILABLE","",J1489)="",12,IF(OR(ISNUMBER(SEARCH("Transactional",IF(J1489="NOT AVAILABLE","",J1489))),ISNUMBER(SEARCH("Commercial",IF(J1489="NOT AVAILABLE","",J1489)))),25,IF(ISNUMBER(SEARCH("Informational",IF(J1489="NOT AVAILABLE","",J1489))),10,IF(ISNUMBER(SEARCH("Navigational",IF(J1489="NOT AVAILABLE","",J1489))),0,12))))</f>
        <v/>
      </c>
      <c r="Q1489">
        <f>IF(ISNUMBER(F1489),MIN(30,ROUND(30*LOG10(F1489+1)/4,1)),0)</f>
        <v/>
      </c>
      <c r="R1489">
        <f>IF(ISNUMBER(G1489),ROUND(25*(100-G1489)/100,1),12.5)</f>
        <v/>
      </c>
      <c r="S1489" t="n">
        <v>14</v>
      </c>
      <c r="T1489">
        <f>ROUND(P1489+Q1489+R1489+S1489,0)</f>
        <v/>
      </c>
      <c r="U1489" s="5" t="inlineStr"/>
      <c r="V1489" s="5" t="inlineStr"/>
    </row>
    <row r="1490">
      <c r="A1490" t="inlineStr">
        <is>
          <t>K1488</t>
        </is>
      </c>
      <c r="B1490" t="inlineStr">
        <is>
          <t>développement saas association</t>
        </is>
      </c>
      <c r="C1490" t="inlineStr">
        <is>
          <t>France</t>
        </is>
      </c>
      <c r="D1490" t="inlineStr">
        <is>
          <t>fr</t>
        </is>
      </c>
      <c r="E1490" t="inlineStr">
        <is>
          <t>fr</t>
        </is>
      </c>
      <c r="F1490" t="inlineStr">
        <is>
          <t>NOT AVAILABLE</t>
        </is>
      </c>
      <c r="G1490" t="inlineStr">
        <is>
          <t>NOT AVAILABLE</t>
        </is>
      </c>
      <c r="H1490" t="inlineStr">
        <is>
          <t>NOT AVAILABLE</t>
        </is>
      </c>
      <c r="I1490" t="inlineStr">
        <is>
          <t>NOT AVAILABLE</t>
        </is>
      </c>
      <c r="J1490" t="inlineStr">
        <is>
          <t>NOT AVAILABLE</t>
        </is>
      </c>
      <c r="K1490" t="inlineStr">
        <is>
          <t>NOT AVAILABLE</t>
        </is>
      </c>
      <c r="L1490" t="inlineStr">
        <is>
          <t>NOT AVAILABLE</t>
        </is>
      </c>
      <c r="M1490" t="inlineStr">
        <is>
          <t>SUGGESTED</t>
        </is>
      </c>
      <c r="N1490" s="5" t="inlineStr">
        <is>
          <t>Analyst suggestion - not validated in Semrush</t>
        </is>
      </c>
      <c r="O1490" t="inlineStr">
        <is>
          <t>NOT AVAILABLE</t>
        </is>
      </c>
      <c r="P1490">
        <f>IF(IF(J1490="NOT AVAILABLE","",J1490)="",12,IF(OR(ISNUMBER(SEARCH("Transactional",IF(J1490="NOT AVAILABLE","",J1490))),ISNUMBER(SEARCH("Commercial",IF(J1490="NOT AVAILABLE","",J1490)))),25,IF(ISNUMBER(SEARCH("Informational",IF(J1490="NOT AVAILABLE","",J1490))),10,IF(ISNUMBER(SEARCH("Navigational",IF(J1490="NOT AVAILABLE","",J1490))),0,12))))</f>
        <v/>
      </c>
      <c r="Q1490">
        <f>IF(ISNUMBER(F1490),MIN(30,ROUND(30*LOG10(F1490+1)/4,1)),0)</f>
        <v/>
      </c>
      <c r="R1490">
        <f>IF(ISNUMBER(G1490),ROUND(25*(100-G1490)/100,1),12.5)</f>
        <v/>
      </c>
      <c r="S1490" t="n">
        <v>14</v>
      </c>
      <c r="T1490">
        <f>ROUND(P1490+Q1490+R1490+S1490,0)</f>
        <v/>
      </c>
      <c r="U1490" s="5" t="inlineStr"/>
      <c r="V1490" s="5" t="inlineStr">
        <is>
          <t>PRIMARY /our-work/mon-asso</t>
        </is>
      </c>
    </row>
    <row r="1491">
      <c r="A1491" t="inlineStr">
        <is>
          <t>K1489</t>
        </is>
      </c>
      <c r="B1491" t="inlineStr">
        <is>
          <t>développement web abu dhabi</t>
        </is>
      </c>
      <c r="C1491" t="inlineStr">
        <is>
          <t>France</t>
        </is>
      </c>
      <c r="D1491" t="inlineStr">
        <is>
          <t>fr</t>
        </is>
      </c>
      <c r="E1491" t="inlineStr">
        <is>
          <t>fr</t>
        </is>
      </c>
      <c r="F1491" t="inlineStr">
        <is>
          <t>NOT AVAILABLE</t>
        </is>
      </c>
      <c r="G1491" t="inlineStr">
        <is>
          <t>NOT AVAILABLE</t>
        </is>
      </c>
      <c r="H1491" t="inlineStr">
        <is>
          <t>NOT AVAILABLE</t>
        </is>
      </c>
      <c r="I1491" t="inlineStr">
        <is>
          <t>NOT AVAILABLE</t>
        </is>
      </c>
      <c r="J1491" t="inlineStr">
        <is>
          <t>NOT AVAILABLE</t>
        </is>
      </c>
      <c r="K1491" t="inlineStr">
        <is>
          <t>NOT AVAILABLE</t>
        </is>
      </c>
      <c r="L1491" t="inlineStr">
        <is>
          <t>NOT AVAILABLE</t>
        </is>
      </c>
      <c r="M1491" t="inlineStr">
        <is>
          <t>UNAVAILABLE</t>
        </is>
      </c>
      <c r="N1491" s="5" t="inlineStr">
        <is>
          <t>Semrush phrase_these returned no data (not billed)</t>
        </is>
      </c>
      <c r="O1491" t="inlineStr">
        <is>
          <t>2026-10-30</t>
        </is>
      </c>
      <c r="P1491">
        <f>IF(IF(J1491="NOT AVAILABLE","",J1491)="",12,IF(OR(ISNUMBER(SEARCH("Transactional",IF(J1491="NOT AVAILABLE","",J1491))),ISNUMBER(SEARCH("Commercial",IF(J1491="NOT AVAILABLE","",J1491)))),25,IF(ISNUMBER(SEARCH("Informational",IF(J1491="NOT AVAILABLE","",J1491))),10,IF(ISNUMBER(SEARCH("Navigational",IF(J1491="NOT AVAILABLE","",J1491))),0,12))))</f>
        <v/>
      </c>
      <c r="Q1491">
        <f>IF(ISNUMBER(F1491),MIN(30,ROUND(30*LOG10(F1491+1)/4,1)),0)</f>
        <v/>
      </c>
      <c r="R1491">
        <f>IF(ISNUMBER(G1491),ROUND(25*(100-G1491)/100,1),12.5)</f>
        <v/>
      </c>
      <c r="S1491" t="n">
        <v>14</v>
      </c>
      <c r="T1491">
        <f>ROUND(P1491+Q1491+R1491+S1491,0)</f>
        <v/>
      </c>
      <c r="U1491" s="5" t="inlineStr"/>
      <c r="V1491" s="5" t="inlineStr"/>
    </row>
    <row r="1492">
      <c r="A1492" t="inlineStr">
        <is>
          <t>K1490</t>
        </is>
      </c>
      <c r="B1492" t="inlineStr">
        <is>
          <t>développement web amsterdam</t>
        </is>
      </c>
      <c r="C1492" t="inlineStr">
        <is>
          <t>France</t>
        </is>
      </c>
      <c r="D1492" t="inlineStr">
        <is>
          <t>fr</t>
        </is>
      </c>
      <c r="E1492" t="inlineStr">
        <is>
          <t>fr</t>
        </is>
      </c>
      <c r="F1492" t="n">
        <v>0</v>
      </c>
      <c r="G1492" t="inlineStr">
        <is>
          <t>NOT AVAILABLE</t>
        </is>
      </c>
      <c r="H1492" t="n">
        <v>0</v>
      </c>
      <c r="I1492" t="n">
        <v>0</v>
      </c>
      <c r="J1492" t="inlineStr">
        <is>
          <t>NOT AVAILABLE</t>
        </is>
      </c>
      <c r="K1492" t="inlineStr">
        <is>
          <t>NOT AVAILABLE (report not requested)</t>
        </is>
      </c>
      <c r="L1492" t="inlineStr">
        <is>
          <t>flat (no data)</t>
        </is>
      </c>
      <c r="M1492" t="inlineStr">
        <is>
          <t>MEASURED</t>
        </is>
      </c>
      <c r="N1492" s="5" t="inlineStr">
        <is>
          <t>Semrush phrase_these (live, this session)</t>
        </is>
      </c>
      <c r="O1492" t="inlineStr">
        <is>
          <t>2026-10-30</t>
        </is>
      </c>
      <c r="P1492">
        <f>IF(IF(J1492="NOT AVAILABLE","",J1492)="",12,IF(OR(ISNUMBER(SEARCH("Transactional",IF(J1492="NOT AVAILABLE","",J1492))),ISNUMBER(SEARCH("Commercial",IF(J1492="NOT AVAILABLE","",J1492)))),25,IF(ISNUMBER(SEARCH("Informational",IF(J1492="NOT AVAILABLE","",J1492))),10,IF(ISNUMBER(SEARCH("Navigational",IF(J1492="NOT AVAILABLE","",J1492))),0,12))))</f>
        <v/>
      </c>
      <c r="Q1492">
        <f>IF(ISNUMBER(F1492),MIN(30,ROUND(30*LOG10(F1492+1)/4,1)),0)</f>
        <v/>
      </c>
      <c r="R1492">
        <f>IF(ISNUMBER(G1492),ROUND(25*(100-G1492)/100,1),12.5)</f>
        <v/>
      </c>
      <c r="S1492" t="n">
        <v>14</v>
      </c>
      <c r="T1492">
        <f>ROUND(P1492+Q1492+R1492+S1492,0)</f>
        <v/>
      </c>
      <c r="U1492" s="5" t="inlineStr"/>
      <c r="V1492" s="5" t="inlineStr"/>
    </row>
    <row r="1493">
      <c r="A1493" t="inlineStr">
        <is>
          <t>K1491</t>
        </is>
      </c>
      <c r="B1493" t="inlineStr">
        <is>
          <t>développement web austin</t>
        </is>
      </c>
      <c r="C1493" t="inlineStr">
        <is>
          <t>France</t>
        </is>
      </c>
      <c r="D1493" t="inlineStr">
        <is>
          <t>fr</t>
        </is>
      </c>
      <c r="E1493" t="inlineStr">
        <is>
          <t>fr</t>
        </is>
      </c>
      <c r="F1493" t="inlineStr">
        <is>
          <t>NOT AVAILABLE</t>
        </is>
      </c>
      <c r="G1493" t="inlineStr">
        <is>
          <t>NOT AVAILABLE</t>
        </is>
      </c>
      <c r="H1493" t="inlineStr">
        <is>
          <t>NOT AVAILABLE</t>
        </is>
      </c>
      <c r="I1493" t="inlineStr">
        <is>
          <t>NOT AVAILABLE</t>
        </is>
      </c>
      <c r="J1493" t="inlineStr">
        <is>
          <t>NOT AVAILABLE</t>
        </is>
      </c>
      <c r="K1493" t="inlineStr">
        <is>
          <t>NOT AVAILABLE</t>
        </is>
      </c>
      <c r="L1493" t="inlineStr">
        <is>
          <t>NOT AVAILABLE</t>
        </is>
      </c>
      <c r="M1493" t="inlineStr">
        <is>
          <t>UNAVAILABLE</t>
        </is>
      </c>
      <c r="N1493" s="5" t="inlineStr">
        <is>
          <t>Semrush phrase_these returned no data (not billed)</t>
        </is>
      </c>
      <c r="O1493" t="inlineStr">
        <is>
          <t>2026-10-30</t>
        </is>
      </c>
      <c r="P1493">
        <f>IF(IF(J1493="NOT AVAILABLE","",J1493)="",12,IF(OR(ISNUMBER(SEARCH("Transactional",IF(J1493="NOT AVAILABLE","",J1493))),ISNUMBER(SEARCH("Commercial",IF(J1493="NOT AVAILABLE","",J1493)))),25,IF(ISNUMBER(SEARCH("Informational",IF(J1493="NOT AVAILABLE","",J1493))),10,IF(ISNUMBER(SEARCH("Navigational",IF(J1493="NOT AVAILABLE","",J1493))),0,12))))</f>
        <v/>
      </c>
      <c r="Q1493">
        <f>IF(ISNUMBER(F1493),MIN(30,ROUND(30*LOG10(F1493+1)/4,1)),0)</f>
        <v/>
      </c>
      <c r="R1493">
        <f>IF(ISNUMBER(G1493),ROUND(25*(100-G1493)/100,1),12.5)</f>
        <v/>
      </c>
      <c r="S1493" t="n">
        <v>14</v>
      </c>
      <c r="T1493">
        <f>ROUND(P1493+Q1493+R1493+S1493,0)</f>
        <v/>
      </c>
      <c r="U1493" s="5" t="inlineStr"/>
      <c r="V1493" s="5" t="inlineStr"/>
    </row>
    <row r="1494">
      <c r="A1494" t="inlineStr">
        <is>
          <t>K1492</t>
        </is>
      </c>
      <c r="B1494" t="inlineStr">
        <is>
          <t>développement web barcelone</t>
        </is>
      </c>
      <c r="C1494" t="inlineStr">
        <is>
          <t>France</t>
        </is>
      </c>
      <c r="D1494" t="inlineStr">
        <is>
          <t>fr</t>
        </is>
      </c>
      <c r="E1494" t="inlineStr">
        <is>
          <t>fr</t>
        </is>
      </c>
      <c r="F1494" t="inlineStr">
        <is>
          <t>NOT AVAILABLE</t>
        </is>
      </c>
      <c r="G1494" t="inlineStr">
        <is>
          <t>NOT AVAILABLE</t>
        </is>
      </c>
      <c r="H1494" t="inlineStr">
        <is>
          <t>NOT AVAILABLE</t>
        </is>
      </c>
      <c r="I1494" t="inlineStr">
        <is>
          <t>NOT AVAILABLE</t>
        </is>
      </c>
      <c r="J1494" t="inlineStr">
        <is>
          <t>NOT AVAILABLE</t>
        </is>
      </c>
      <c r="K1494" t="inlineStr">
        <is>
          <t>NOT AVAILABLE</t>
        </is>
      </c>
      <c r="L1494" t="inlineStr">
        <is>
          <t>NOT AVAILABLE</t>
        </is>
      </c>
      <c r="M1494" t="inlineStr">
        <is>
          <t>UNAVAILABLE</t>
        </is>
      </c>
      <c r="N1494" s="5" t="inlineStr">
        <is>
          <t>Semrush phrase_these returned no data (not billed)</t>
        </is>
      </c>
      <c r="O1494" t="inlineStr">
        <is>
          <t>2026-10-30</t>
        </is>
      </c>
      <c r="P1494">
        <f>IF(IF(J1494="NOT AVAILABLE","",J1494)="",12,IF(OR(ISNUMBER(SEARCH("Transactional",IF(J1494="NOT AVAILABLE","",J1494))),ISNUMBER(SEARCH("Commercial",IF(J1494="NOT AVAILABLE","",J1494)))),25,IF(ISNUMBER(SEARCH("Informational",IF(J1494="NOT AVAILABLE","",J1494))),10,IF(ISNUMBER(SEARCH("Navigational",IF(J1494="NOT AVAILABLE","",J1494))),0,12))))</f>
        <v/>
      </c>
      <c r="Q1494">
        <f>IF(ISNUMBER(F1494),MIN(30,ROUND(30*LOG10(F1494+1)/4,1)),0)</f>
        <v/>
      </c>
      <c r="R1494">
        <f>IF(ISNUMBER(G1494),ROUND(25*(100-G1494)/100,1),12.5)</f>
        <v/>
      </c>
      <c r="S1494" t="n">
        <v>14</v>
      </c>
      <c r="T1494">
        <f>ROUND(P1494+Q1494+R1494+S1494,0)</f>
        <v/>
      </c>
      <c r="U1494" s="5" t="inlineStr"/>
      <c r="V1494" s="5" t="inlineStr"/>
    </row>
    <row r="1495">
      <c r="A1495" t="inlineStr">
        <is>
          <t>K1493</t>
        </is>
      </c>
      <c r="B1495" t="inlineStr">
        <is>
          <t>développement web berlin</t>
        </is>
      </c>
      <c r="C1495" t="inlineStr">
        <is>
          <t>France</t>
        </is>
      </c>
      <c r="D1495" t="inlineStr">
        <is>
          <t>fr</t>
        </is>
      </c>
      <c r="E1495" t="inlineStr">
        <is>
          <t>fr</t>
        </is>
      </c>
      <c r="F1495" t="inlineStr">
        <is>
          <t>NOT AVAILABLE</t>
        </is>
      </c>
      <c r="G1495" t="inlineStr">
        <is>
          <t>NOT AVAILABLE</t>
        </is>
      </c>
      <c r="H1495" t="inlineStr">
        <is>
          <t>NOT AVAILABLE</t>
        </is>
      </c>
      <c r="I1495" t="inlineStr">
        <is>
          <t>NOT AVAILABLE</t>
        </is>
      </c>
      <c r="J1495" t="inlineStr">
        <is>
          <t>NOT AVAILABLE</t>
        </is>
      </c>
      <c r="K1495" t="inlineStr">
        <is>
          <t>NOT AVAILABLE</t>
        </is>
      </c>
      <c r="L1495" t="inlineStr">
        <is>
          <t>NOT AVAILABLE</t>
        </is>
      </c>
      <c r="M1495" t="inlineStr">
        <is>
          <t>UNAVAILABLE</t>
        </is>
      </c>
      <c r="N1495" s="5" t="inlineStr">
        <is>
          <t>Semrush phrase_these returned no data (not billed)</t>
        </is>
      </c>
      <c r="O1495" t="inlineStr">
        <is>
          <t>2026-10-30</t>
        </is>
      </c>
      <c r="P1495">
        <f>IF(IF(J1495="NOT AVAILABLE","",J1495)="",12,IF(OR(ISNUMBER(SEARCH("Transactional",IF(J1495="NOT AVAILABLE","",J1495))),ISNUMBER(SEARCH("Commercial",IF(J1495="NOT AVAILABLE","",J1495)))),25,IF(ISNUMBER(SEARCH("Informational",IF(J1495="NOT AVAILABLE","",J1495))),10,IF(ISNUMBER(SEARCH("Navigational",IF(J1495="NOT AVAILABLE","",J1495))),0,12))))</f>
        <v/>
      </c>
      <c r="Q1495">
        <f>IF(ISNUMBER(F1495),MIN(30,ROUND(30*LOG10(F1495+1)/4,1)),0)</f>
        <v/>
      </c>
      <c r="R1495">
        <f>IF(ISNUMBER(G1495),ROUND(25*(100-G1495)/100,1),12.5)</f>
        <v/>
      </c>
      <c r="S1495" t="n">
        <v>14</v>
      </c>
      <c r="T1495">
        <f>ROUND(P1495+Q1495+R1495+S1495,0)</f>
        <v/>
      </c>
      <c r="U1495" s="5" t="inlineStr"/>
      <c r="V1495" s="5" t="inlineStr"/>
    </row>
    <row r="1496">
      <c r="A1496" t="inlineStr">
        <is>
          <t>K1494</t>
        </is>
      </c>
      <c r="B1496" t="inlineStr">
        <is>
          <t>développement web boston</t>
        </is>
      </c>
      <c r="C1496" t="inlineStr">
        <is>
          <t>France</t>
        </is>
      </c>
      <c r="D1496" t="inlineStr">
        <is>
          <t>fr</t>
        </is>
      </c>
      <c r="E1496" t="inlineStr">
        <is>
          <t>fr</t>
        </is>
      </c>
      <c r="F1496" t="inlineStr">
        <is>
          <t>NOT AVAILABLE</t>
        </is>
      </c>
      <c r="G1496" t="inlineStr">
        <is>
          <t>NOT AVAILABLE</t>
        </is>
      </c>
      <c r="H1496" t="inlineStr">
        <is>
          <t>NOT AVAILABLE</t>
        </is>
      </c>
      <c r="I1496" t="inlineStr">
        <is>
          <t>NOT AVAILABLE</t>
        </is>
      </c>
      <c r="J1496" t="inlineStr">
        <is>
          <t>NOT AVAILABLE</t>
        </is>
      </c>
      <c r="K1496" t="inlineStr">
        <is>
          <t>NOT AVAILABLE</t>
        </is>
      </c>
      <c r="L1496" t="inlineStr">
        <is>
          <t>NOT AVAILABLE</t>
        </is>
      </c>
      <c r="M1496" t="inlineStr">
        <is>
          <t>UNAVAILABLE</t>
        </is>
      </c>
      <c r="N1496" s="5" t="inlineStr">
        <is>
          <t>Semrush phrase_these returned no data (not billed)</t>
        </is>
      </c>
      <c r="O1496" t="inlineStr">
        <is>
          <t>2026-10-30</t>
        </is>
      </c>
      <c r="P1496">
        <f>IF(IF(J1496="NOT AVAILABLE","",J1496)="",12,IF(OR(ISNUMBER(SEARCH("Transactional",IF(J1496="NOT AVAILABLE","",J1496))),ISNUMBER(SEARCH("Commercial",IF(J1496="NOT AVAILABLE","",J1496)))),25,IF(ISNUMBER(SEARCH("Informational",IF(J1496="NOT AVAILABLE","",J1496))),10,IF(ISNUMBER(SEARCH("Navigational",IF(J1496="NOT AVAILABLE","",J1496))),0,12))))</f>
        <v/>
      </c>
      <c r="Q1496">
        <f>IF(ISNUMBER(F1496),MIN(30,ROUND(30*LOG10(F1496+1)/4,1)),0)</f>
        <v/>
      </c>
      <c r="R1496">
        <f>IF(ISNUMBER(G1496),ROUND(25*(100-G1496)/100,1),12.5)</f>
        <v/>
      </c>
      <c r="S1496" t="n">
        <v>14</v>
      </c>
      <c r="T1496">
        <f>ROUND(P1496+Q1496+R1496+S1496,0)</f>
        <v/>
      </c>
      <c r="U1496" s="5" t="inlineStr"/>
      <c r="V1496" s="5" t="inlineStr"/>
    </row>
    <row r="1497">
      <c r="A1497" t="inlineStr">
        <is>
          <t>K1495</t>
        </is>
      </c>
      <c r="B1497" t="inlineStr">
        <is>
          <t>développement web chicago</t>
        </is>
      </c>
      <c r="C1497" t="inlineStr">
        <is>
          <t>France</t>
        </is>
      </c>
      <c r="D1497" t="inlineStr">
        <is>
          <t>fr</t>
        </is>
      </c>
      <c r="E1497" t="inlineStr">
        <is>
          <t>fr</t>
        </is>
      </c>
      <c r="F1497" t="inlineStr">
        <is>
          <t>NOT AVAILABLE</t>
        </is>
      </c>
      <c r="G1497" t="inlineStr">
        <is>
          <t>NOT AVAILABLE</t>
        </is>
      </c>
      <c r="H1497" t="inlineStr">
        <is>
          <t>NOT AVAILABLE</t>
        </is>
      </c>
      <c r="I1497" t="inlineStr">
        <is>
          <t>NOT AVAILABLE</t>
        </is>
      </c>
      <c r="J1497" t="inlineStr">
        <is>
          <t>NOT AVAILABLE</t>
        </is>
      </c>
      <c r="K1497" t="inlineStr">
        <is>
          <t>NOT AVAILABLE</t>
        </is>
      </c>
      <c r="L1497" t="inlineStr">
        <is>
          <t>NOT AVAILABLE</t>
        </is>
      </c>
      <c r="M1497" t="inlineStr">
        <is>
          <t>UNAVAILABLE</t>
        </is>
      </c>
      <c r="N1497" s="5" t="inlineStr">
        <is>
          <t>Semrush phrase_these returned no data (not billed)</t>
        </is>
      </c>
      <c r="O1497" t="inlineStr">
        <is>
          <t>2026-10-30</t>
        </is>
      </c>
      <c r="P1497">
        <f>IF(IF(J1497="NOT AVAILABLE","",J1497)="",12,IF(OR(ISNUMBER(SEARCH("Transactional",IF(J1497="NOT AVAILABLE","",J1497))),ISNUMBER(SEARCH("Commercial",IF(J1497="NOT AVAILABLE","",J1497)))),25,IF(ISNUMBER(SEARCH("Informational",IF(J1497="NOT AVAILABLE","",J1497))),10,IF(ISNUMBER(SEARCH("Navigational",IF(J1497="NOT AVAILABLE","",J1497))),0,12))))</f>
        <v/>
      </c>
      <c r="Q1497">
        <f>IF(ISNUMBER(F1497),MIN(30,ROUND(30*LOG10(F1497+1)/4,1)),0)</f>
        <v/>
      </c>
      <c r="R1497">
        <f>IF(ISNUMBER(G1497),ROUND(25*(100-G1497)/100,1),12.5)</f>
        <v/>
      </c>
      <c r="S1497" t="n">
        <v>14</v>
      </c>
      <c r="T1497">
        <f>ROUND(P1497+Q1497+R1497+S1497,0)</f>
        <v/>
      </c>
      <c r="U1497" s="5" t="inlineStr"/>
      <c r="V1497" s="5" t="inlineStr"/>
    </row>
    <row r="1498">
      <c r="A1498" t="inlineStr">
        <is>
          <t>K1496</t>
        </is>
      </c>
      <c r="B1498" t="inlineStr">
        <is>
          <t>développement web copenhague</t>
        </is>
      </c>
      <c r="C1498" t="inlineStr">
        <is>
          <t>France</t>
        </is>
      </c>
      <c r="D1498" t="inlineStr">
        <is>
          <t>fr</t>
        </is>
      </c>
      <c r="E1498" t="inlineStr">
        <is>
          <t>fr</t>
        </is>
      </c>
      <c r="F1498" t="inlineStr">
        <is>
          <t>NOT AVAILABLE</t>
        </is>
      </c>
      <c r="G1498" t="inlineStr">
        <is>
          <t>NOT AVAILABLE</t>
        </is>
      </c>
      <c r="H1498" t="inlineStr">
        <is>
          <t>NOT AVAILABLE</t>
        </is>
      </c>
      <c r="I1498" t="inlineStr">
        <is>
          <t>NOT AVAILABLE</t>
        </is>
      </c>
      <c r="J1498" t="inlineStr">
        <is>
          <t>NOT AVAILABLE</t>
        </is>
      </c>
      <c r="K1498" t="inlineStr">
        <is>
          <t>NOT AVAILABLE</t>
        </is>
      </c>
      <c r="L1498" t="inlineStr">
        <is>
          <t>NOT AVAILABLE</t>
        </is>
      </c>
      <c r="M1498" t="inlineStr">
        <is>
          <t>UNAVAILABLE</t>
        </is>
      </c>
      <c r="N1498" s="5" t="inlineStr">
        <is>
          <t>Semrush phrase_these returned no data (not billed)</t>
        </is>
      </c>
      <c r="O1498" t="inlineStr">
        <is>
          <t>2026-10-30</t>
        </is>
      </c>
      <c r="P1498">
        <f>IF(IF(J1498="NOT AVAILABLE","",J1498)="",12,IF(OR(ISNUMBER(SEARCH("Transactional",IF(J1498="NOT AVAILABLE","",J1498))),ISNUMBER(SEARCH("Commercial",IF(J1498="NOT AVAILABLE","",J1498)))),25,IF(ISNUMBER(SEARCH("Informational",IF(J1498="NOT AVAILABLE","",J1498))),10,IF(ISNUMBER(SEARCH("Navigational",IF(J1498="NOT AVAILABLE","",J1498))),0,12))))</f>
        <v/>
      </c>
      <c r="Q1498">
        <f>IF(ISNUMBER(F1498),MIN(30,ROUND(30*LOG10(F1498+1)/4,1)),0)</f>
        <v/>
      </c>
      <c r="R1498">
        <f>IF(ISNUMBER(G1498),ROUND(25*(100-G1498)/100,1),12.5)</f>
        <v/>
      </c>
      <c r="S1498" t="n">
        <v>14</v>
      </c>
      <c r="T1498">
        <f>ROUND(P1498+Q1498+R1498+S1498,0)</f>
        <v/>
      </c>
      <c r="U1498" s="5" t="inlineStr"/>
      <c r="V1498" s="5" t="inlineStr"/>
    </row>
    <row r="1499">
      <c r="A1499" t="inlineStr">
        <is>
          <t>K1497</t>
        </is>
      </c>
      <c r="B1499" t="inlineStr">
        <is>
          <t>développement web denver</t>
        </is>
      </c>
      <c r="C1499" t="inlineStr">
        <is>
          <t>France</t>
        </is>
      </c>
      <c r="D1499" t="inlineStr">
        <is>
          <t>fr</t>
        </is>
      </c>
      <c r="E1499" t="inlineStr">
        <is>
          <t>fr</t>
        </is>
      </c>
      <c r="F1499" t="inlineStr">
        <is>
          <t>NOT AVAILABLE</t>
        </is>
      </c>
      <c r="G1499" t="inlineStr">
        <is>
          <t>NOT AVAILABLE</t>
        </is>
      </c>
      <c r="H1499" t="inlineStr">
        <is>
          <t>NOT AVAILABLE</t>
        </is>
      </c>
      <c r="I1499" t="inlineStr">
        <is>
          <t>NOT AVAILABLE</t>
        </is>
      </c>
      <c r="J1499" t="inlineStr">
        <is>
          <t>NOT AVAILABLE</t>
        </is>
      </c>
      <c r="K1499" t="inlineStr">
        <is>
          <t>NOT AVAILABLE</t>
        </is>
      </c>
      <c r="L1499" t="inlineStr">
        <is>
          <t>NOT AVAILABLE</t>
        </is>
      </c>
      <c r="M1499" t="inlineStr">
        <is>
          <t>UNAVAILABLE</t>
        </is>
      </c>
      <c r="N1499" s="5" t="inlineStr">
        <is>
          <t>Semrush phrase_these returned no data (not billed)</t>
        </is>
      </c>
      <c r="O1499" t="inlineStr">
        <is>
          <t>2026-10-30</t>
        </is>
      </c>
      <c r="P1499">
        <f>IF(IF(J1499="NOT AVAILABLE","",J1499)="",12,IF(OR(ISNUMBER(SEARCH("Transactional",IF(J1499="NOT AVAILABLE","",J1499))),ISNUMBER(SEARCH("Commercial",IF(J1499="NOT AVAILABLE","",J1499)))),25,IF(ISNUMBER(SEARCH("Informational",IF(J1499="NOT AVAILABLE","",J1499))),10,IF(ISNUMBER(SEARCH("Navigational",IF(J1499="NOT AVAILABLE","",J1499))),0,12))))</f>
        <v/>
      </c>
      <c r="Q1499">
        <f>IF(ISNUMBER(F1499),MIN(30,ROUND(30*LOG10(F1499+1)/4,1)),0)</f>
        <v/>
      </c>
      <c r="R1499">
        <f>IF(ISNUMBER(G1499),ROUND(25*(100-G1499)/100,1),12.5)</f>
        <v/>
      </c>
      <c r="S1499" t="n">
        <v>14</v>
      </c>
      <c r="T1499">
        <f>ROUND(P1499+Q1499+R1499+S1499,0)</f>
        <v/>
      </c>
      <c r="U1499" s="5" t="inlineStr"/>
      <c r="V1499" s="5" t="inlineStr"/>
    </row>
    <row r="1500">
      <c r="A1500" t="inlineStr">
        <is>
          <t>K1498</t>
        </is>
      </c>
      <c r="B1500" t="inlineStr">
        <is>
          <t>développement web dubai</t>
        </is>
      </c>
      <c r="C1500" t="inlineStr">
        <is>
          <t>France</t>
        </is>
      </c>
      <c r="D1500" t="inlineStr">
        <is>
          <t>fr</t>
        </is>
      </c>
      <c r="E1500" t="inlineStr">
        <is>
          <t>fr</t>
        </is>
      </c>
      <c r="F1500" t="inlineStr">
        <is>
          <t>NOT AVAILABLE</t>
        </is>
      </c>
      <c r="G1500" t="inlineStr">
        <is>
          <t>NOT AVAILABLE</t>
        </is>
      </c>
      <c r="H1500" t="inlineStr">
        <is>
          <t>NOT AVAILABLE</t>
        </is>
      </c>
      <c r="I1500" t="inlineStr">
        <is>
          <t>NOT AVAILABLE</t>
        </is>
      </c>
      <c r="J1500" t="inlineStr">
        <is>
          <t>NOT AVAILABLE</t>
        </is>
      </c>
      <c r="K1500" t="inlineStr">
        <is>
          <t>NOT AVAILABLE</t>
        </is>
      </c>
      <c r="L1500" t="inlineStr">
        <is>
          <t>NOT AVAILABLE</t>
        </is>
      </c>
      <c r="M1500" t="inlineStr">
        <is>
          <t>UNAVAILABLE</t>
        </is>
      </c>
      <c r="N1500" s="5" t="inlineStr">
        <is>
          <t>Semrush phrase_these returned no data (not billed)</t>
        </is>
      </c>
      <c r="O1500" t="inlineStr">
        <is>
          <t>2026-10-30</t>
        </is>
      </c>
      <c r="P1500">
        <f>IF(IF(J1500="NOT AVAILABLE","",J1500)="",12,IF(OR(ISNUMBER(SEARCH("Transactional",IF(J1500="NOT AVAILABLE","",J1500))),ISNUMBER(SEARCH("Commercial",IF(J1500="NOT AVAILABLE","",J1500)))),25,IF(ISNUMBER(SEARCH("Informational",IF(J1500="NOT AVAILABLE","",J1500))),10,IF(ISNUMBER(SEARCH("Navigational",IF(J1500="NOT AVAILABLE","",J1500))),0,12))))</f>
        <v/>
      </c>
      <c r="Q1500">
        <f>IF(ISNUMBER(F1500),MIN(30,ROUND(30*LOG10(F1500+1)/4,1)),0)</f>
        <v/>
      </c>
      <c r="R1500">
        <f>IF(ISNUMBER(G1500),ROUND(25*(100-G1500)/100,1),12.5)</f>
        <v/>
      </c>
      <c r="S1500" t="n">
        <v>14</v>
      </c>
      <c r="T1500">
        <f>ROUND(P1500+Q1500+R1500+S1500,0)</f>
        <v/>
      </c>
      <c r="U1500" s="5" t="inlineStr"/>
      <c r="V1500" s="5" t="inlineStr"/>
    </row>
    <row r="1501">
      <c r="A1501" t="inlineStr">
        <is>
          <t>K1499</t>
        </is>
      </c>
      <c r="B1501" t="inlineStr">
        <is>
          <t>développement web dublin</t>
        </is>
      </c>
      <c r="C1501" t="inlineStr">
        <is>
          <t>France</t>
        </is>
      </c>
      <c r="D1501" t="inlineStr">
        <is>
          <t>fr</t>
        </is>
      </c>
      <c r="E1501" t="inlineStr">
        <is>
          <t>fr</t>
        </is>
      </c>
      <c r="F1501" t="inlineStr">
        <is>
          <t>NOT AVAILABLE</t>
        </is>
      </c>
      <c r="G1501" t="inlineStr">
        <is>
          <t>NOT AVAILABLE</t>
        </is>
      </c>
      <c r="H1501" t="inlineStr">
        <is>
          <t>NOT AVAILABLE</t>
        </is>
      </c>
      <c r="I1501" t="inlineStr">
        <is>
          <t>NOT AVAILABLE</t>
        </is>
      </c>
      <c r="J1501" t="inlineStr">
        <is>
          <t>NOT AVAILABLE</t>
        </is>
      </c>
      <c r="K1501" t="inlineStr">
        <is>
          <t>NOT AVAILABLE</t>
        </is>
      </c>
      <c r="L1501" t="inlineStr">
        <is>
          <t>NOT AVAILABLE</t>
        </is>
      </c>
      <c r="M1501" t="inlineStr">
        <is>
          <t>UNAVAILABLE</t>
        </is>
      </c>
      <c r="N1501" s="5" t="inlineStr">
        <is>
          <t>Semrush phrase_these returned no data (not billed)</t>
        </is>
      </c>
      <c r="O1501" t="inlineStr">
        <is>
          <t>2026-10-30</t>
        </is>
      </c>
      <c r="P1501">
        <f>IF(IF(J1501="NOT AVAILABLE","",J1501)="",12,IF(OR(ISNUMBER(SEARCH("Transactional",IF(J1501="NOT AVAILABLE","",J1501))),ISNUMBER(SEARCH("Commercial",IF(J1501="NOT AVAILABLE","",J1501)))),25,IF(ISNUMBER(SEARCH("Informational",IF(J1501="NOT AVAILABLE","",J1501))),10,IF(ISNUMBER(SEARCH("Navigational",IF(J1501="NOT AVAILABLE","",J1501))),0,12))))</f>
        <v/>
      </c>
      <c r="Q1501">
        <f>IF(ISNUMBER(F1501),MIN(30,ROUND(30*LOG10(F1501+1)/4,1)),0)</f>
        <v/>
      </c>
      <c r="R1501">
        <f>IF(ISNUMBER(G1501),ROUND(25*(100-G1501)/100,1),12.5)</f>
        <v/>
      </c>
      <c r="S1501" t="n">
        <v>14</v>
      </c>
      <c r="T1501">
        <f>ROUND(P1501+Q1501+R1501+S1501,0)</f>
        <v/>
      </c>
      <c r="U1501" s="5" t="inlineStr"/>
      <c r="V1501" s="5" t="inlineStr"/>
    </row>
    <row r="1502">
      <c r="A1502" t="inlineStr">
        <is>
          <t>K1500</t>
        </is>
      </c>
      <c r="B1502" t="inlineStr">
        <is>
          <t>développement web lagos</t>
        </is>
      </c>
      <c r="C1502" t="inlineStr">
        <is>
          <t>France</t>
        </is>
      </c>
      <c r="D1502" t="inlineStr">
        <is>
          <t>fr</t>
        </is>
      </c>
      <c r="E1502" t="inlineStr">
        <is>
          <t>fr</t>
        </is>
      </c>
      <c r="F1502" t="inlineStr">
        <is>
          <t>NOT AVAILABLE</t>
        </is>
      </c>
      <c r="G1502" t="inlineStr">
        <is>
          <t>NOT AVAILABLE</t>
        </is>
      </c>
      <c r="H1502" t="inlineStr">
        <is>
          <t>NOT AVAILABLE</t>
        </is>
      </c>
      <c r="I1502" t="inlineStr">
        <is>
          <t>NOT AVAILABLE</t>
        </is>
      </c>
      <c r="J1502" t="inlineStr">
        <is>
          <t>NOT AVAILABLE</t>
        </is>
      </c>
      <c r="K1502" t="inlineStr">
        <is>
          <t>NOT AVAILABLE</t>
        </is>
      </c>
      <c r="L1502" t="inlineStr">
        <is>
          <t>NOT AVAILABLE</t>
        </is>
      </c>
      <c r="M1502" t="inlineStr">
        <is>
          <t>UNAVAILABLE</t>
        </is>
      </c>
      <c r="N1502" s="5" t="inlineStr">
        <is>
          <t>Semrush phrase_these returned no data (not billed)</t>
        </is>
      </c>
      <c r="O1502" t="inlineStr">
        <is>
          <t>2026-10-30</t>
        </is>
      </c>
      <c r="P1502">
        <f>IF(IF(J1502="NOT AVAILABLE","",J1502)="",12,IF(OR(ISNUMBER(SEARCH("Transactional",IF(J1502="NOT AVAILABLE","",J1502))),ISNUMBER(SEARCH("Commercial",IF(J1502="NOT AVAILABLE","",J1502)))),25,IF(ISNUMBER(SEARCH("Informational",IF(J1502="NOT AVAILABLE","",J1502))),10,IF(ISNUMBER(SEARCH("Navigational",IF(J1502="NOT AVAILABLE","",J1502))),0,12))))</f>
        <v/>
      </c>
      <c r="Q1502">
        <f>IF(ISNUMBER(F1502),MIN(30,ROUND(30*LOG10(F1502+1)/4,1)),0)</f>
        <v/>
      </c>
      <c r="R1502">
        <f>IF(ISNUMBER(G1502),ROUND(25*(100-G1502)/100,1),12.5)</f>
        <v/>
      </c>
      <c r="S1502" t="n">
        <v>14</v>
      </c>
      <c r="T1502">
        <f>ROUND(P1502+Q1502+R1502+S1502,0)</f>
        <v/>
      </c>
      <c r="U1502" s="5" t="inlineStr"/>
      <c r="V1502" s="5" t="inlineStr"/>
    </row>
    <row r="1503">
      <c r="A1503" t="inlineStr">
        <is>
          <t>K1501</t>
        </is>
      </c>
      <c r="B1503" t="inlineStr">
        <is>
          <t>développement web le caire</t>
        </is>
      </c>
      <c r="C1503" t="inlineStr">
        <is>
          <t>France</t>
        </is>
      </c>
      <c r="D1503" t="inlineStr">
        <is>
          <t>fr</t>
        </is>
      </c>
      <c r="E1503" t="inlineStr">
        <is>
          <t>fr</t>
        </is>
      </c>
      <c r="F1503" t="inlineStr">
        <is>
          <t>NOT AVAILABLE</t>
        </is>
      </c>
      <c r="G1503" t="inlineStr">
        <is>
          <t>NOT AVAILABLE</t>
        </is>
      </c>
      <c r="H1503" t="inlineStr">
        <is>
          <t>NOT AVAILABLE</t>
        </is>
      </c>
      <c r="I1503" t="inlineStr">
        <is>
          <t>NOT AVAILABLE</t>
        </is>
      </c>
      <c r="J1503" t="inlineStr">
        <is>
          <t>NOT AVAILABLE</t>
        </is>
      </c>
      <c r="K1503" t="inlineStr">
        <is>
          <t>NOT AVAILABLE</t>
        </is>
      </c>
      <c r="L1503" t="inlineStr">
        <is>
          <t>NOT AVAILABLE</t>
        </is>
      </c>
      <c r="M1503" t="inlineStr">
        <is>
          <t>UNAVAILABLE</t>
        </is>
      </c>
      <c r="N1503" s="5" t="inlineStr">
        <is>
          <t>Semrush phrase_these returned no data (not billed)</t>
        </is>
      </c>
      <c r="O1503" t="inlineStr">
        <is>
          <t>2026-10-30</t>
        </is>
      </c>
      <c r="P1503">
        <f>IF(IF(J1503="NOT AVAILABLE","",J1503)="",12,IF(OR(ISNUMBER(SEARCH("Transactional",IF(J1503="NOT AVAILABLE","",J1503))),ISNUMBER(SEARCH("Commercial",IF(J1503="NOT AVAILABLE","",J1503)))),25,IF(ISNUMBER(SEARCH("Informational",IF(J1503="NOT AVAILABLE","",J1503))),10,IF(ISNUMBER(SEARCH("Navigational",IF(J1503="NOT AVAILABLE","",J1503))),0,12))))</f>
        <v/>
      </c>
      <c r="Q1503">
        <f>IF(ISNUMBER(F1503),MIN(30,ROUND(30*LOG10(F1503+1)/4,1)),0)</f>
        <v/>
      </c>
      <c r="R1503">
        <f>IF(ISNUMBER(G1503),ROUND(25*(100-G1503)/100,1),12.5)</f>
        <v/>
      </c>
      <c r="S1503" t="n">
        <v>14</v>
      </c>
      <c r="T1503">
        <f>ROUND(P1503+Q1503+R1503+S1503,0)</f>
        <v/>
      </c>
      <c r="U1503" s="5" t="inlineStr"/>
      <c r="V1503" s="5" t="inlineStr"/>
    </row>
    <row r="1504">
      <c r="A1504" t="inlineStr">
        <is>
          <t>K1502</t>
        </is>
      </c>
      <c r="B1504" t="inlineStr">
        <is>
          <t>développement web lisbonne</t>
        </is>
      </c>
      <c r="C1504" t="inlineStr">
        <is>
          <t>France</t>
        </is>
      </c>
      <c r="D1504" t="inlineStr">
        <is>
          <t>fr</t>
        </is>
      </c>
      <c r="E1504" t="inlineStr">
        <is>
          <t>fr</t>
        </is>
      </c>
      <c r="F1504" t="inlineStr">
        <is>
          <t>NOT AVAILABLE</t>
        </is>
      </c>
      <c r="G1504" t="inlineStr">
        <is>
          <t>NOT AVAILABLE</t>
        </is>
      </c>
      <c r="H1504" t="inlineStr">
        <is>
          <t>NOT AVAILABLE</t>
        </is>
      </c>
      <c r="I1504" t="inlineStr">
        <is>
          <t>NOT AVAILABLE</t>
        </is>
      </c>
      <c r="J1504" t="inlineStr">
        <is>
          <t>NOT AVAILABLE</t>
        </is>
      </c>
      <c r="K1504" t="inlineStr">
        <is>
          <t>NOT AVAILABLE</t>
        </is>
      </c>
      <c r="L1504" t="inlineStr">
        <is>
          <t>NOT AVAILABLE</t>
        </is>
      </c>
      <c r="M1504" t="inlineStr">
        <is>
          <t>UNAVAILABLE</t>
        </is>
      </c>
      <c r="N1504" s="5" t="inlineStr">
        <is>
          <t>Semrush phrase_these returned no data (not billed)</t>
        </is>
      </c>
      <c r="O1504" t="inlineStr">
        <is>
          <t>2026-10-30</t>
        </is>
      </c>
      <c r="P1504">
        <f>IF(IF(J1504="NOT AVAILABLE","",J1504)="",12,IF(OR(ISNUMBER(SEARCH("Transactional",IF(J1504="NOT AVAILABLE","",J1504))),ISNUMBER(SEARCH("Commercial",IF(J1504="NOT AVAILABLE","",J1504)))),25,IF(ISNUMBER(SEARCH("Informational",IF(J1504="NOT AVAILABLE","",J1504))),10,IF(ISNUMBER(SEARCH("Navigational",IF(J1504="NOT AVAILABLE","",J1504))),0,12))))</f>
        <v/>
      </c>
      <c r="Q1504">
        <f>IF(ISNUMBER(F1504),MIN(30,ROUND(30*LOG10(F1504+1)/4,1)),0)</f>
        <v/>
      </c>
      <c r="R1504">
        <f>IF(ISNUMBER(G1504),ROUND(25*(100-G1504)/100,1),12.5)</f>
        <v/>
      </c>
      <c r="S1504" t="n">
        <v>14</v>
      </c>
      <c r="T1504">
        <f>ROUND(P1504+Q1504+R1504+S1504,0)</f>
        <v/>
      </c>
      <c r="U1504" s="5" t="inlineStr"/>
      <c r="V1504" s="5" t="inlineStr"/>
    </row>
    <row r="1505">
      <c r="A1505" t="inlineStr">
        <is>
          <t>K1503</t>
        </is>
      </c>
      <c r="B1505" t="inlineStr">
        <is>
          <t>développement web londres</t>
        </is>
      </c>
      <c r="C1505" t="inlineStr">
        <is>
          <t>France</t>
        </is>
      </c>
      <c r="D1505" t="inlineStr">
        <is>
          <t>fr</t>
        </is>
      </c>
      <c r="E1505" t="inlineStr">
        <is>
          <t>fr</t>
        </is>
      </c>
      <c r="F1505" t="inlineStr">
        <is>
          <t>NOT AVAILABLE</t>
        </is>
      </c>
      <c r="G1505" t="inlineStr">
        <is>
          <t>NOT AVAILABLE</t>
        </is>
      </c>
      <c r="H1505" t="inlineStr">
        <is>
          <t>NOT AVAILABLE</t>
        </is>
      </c>
      <c r="I1505" t="inlineStr">
        <is>
          <t>NOT AVAILABLE</t>
        </is>
      </c>
      <c r="J1505" t="inlineStr">
        <is>
          <t>NOT AVAILABLE</t>
        </is>
      </c>
      <c r="K1505" t="inlineStr">
        <is>
          <t>NOT AVAILABLE</t>
        </is>
      </c>
      <c r="L1505" t="inlineStr">
        <is>
          <t>NOT AVAILABLE</t>
        </is>
      </c>
      <c r="M1505" t="inlineStr">
        <is>
          <t>UNAVAILABLE</t>
        </is>
      </c>
      <c r="N1505" s="5" t="inlineStr">
        <is>
          <t>Semrush phrase_these returned no data (not billed)</t>
        </is>
      </c>
      <c r="O1505" t="inlineStr">
        <is>
          <t>2026-10-30</t>
        </is>
      </c>
      <c r="P1505">
        <f>IF(IF(J1505="NOT AVAILABLE","",J1505)="",12,IF(OR(ISNUMBER(SEARCH("Transactional",IF(J1505="NOT AVAILABLE","",J1505))),ISNUMBER(SEARCH("Commercial",IF(J1505="NOT AVAILABLE","",J1505)))),25,IF(ISNUMBER(SEARCH("Informational",IF(J1505="NOT AVAILABLE","",J1505))),10,IF(ISNUMBER(SEARCH("Navigational",IF(J1505="NOT AVAILABLE","",J1505))),0,12))))</f>
        <v/>
      </c>
      <c r="Q1505">
        <f>IF(ISNUMBER(F1505),MIN(30,ROUND(30*LOG10(F1505+1)/4,1)),0)</f>
        <v/>
      </c>
      <c r="R1505">
        <f>IF(ISNUMBER(G1505),ROUND(25*(100-G1505)/100,1),12.5)</f>
        <v/>
      </c>
      <c r="S1505" t="n">
        <v>14</v>
      </c>
      <c r="T1505">
        <f>ROUND(P1505+Q1505+R1505+S1505,0)</f>
        <v/>
      </c>
      <c r="U1505" s="5" t="inlineStr"/>
      <c r="V1505" s="5" t="inlineStr"/>
    </row>
    <row r="1506">
      <c r="A1506" t="inlineStr">
        <is>
          <t>K1504</t>
        </is>
      </c>
      <c r="B1506" t="inlineStr">
        <is>
          <t>développement web los angeles</t>
        </is>
      </c>
      <c r="C1506" t="inlineStr">
        <is>
          <t>France</t>
        </is>
      </c>
      <c r="D1506" t="inlineStr">
        <is>
          <t>fr</t>
        </is>
      </c>
      <c r="E1506" t="inlineStr">
        <is>
          <t>fr</t>
        </is>
      </c>
      <c r="F1506" t="inlineStr">
        <is>
          <t>NOT AVAILABLE</t>
        </is>
      </c>
      <c r="G1506" t="inlineStr">
        <is>
          <t>NOT AVAILABLE</t>
        </is>
      </c>
      <c r="H1506" t="inlineStr">
        <is>
          <t>NOT AVAILABLE</t>
        </is>
      </c>
      <c r="I1506" t="inlineStr">
        <is>
          <t>NOT AVAILABLE</t>
        </is>
      </c>
      <c r="J1506" t="inlineStr">
        <is>
          <t>NOT AVAILABLE</t>
        </is>
      </c>
      <c r="K1506" t="inlineStr">
        <is>
          <t>NOT AVAILABLE</t>
        </is>
      </c>
      <c r="L1506" t="inlineStr">
        <is>
          <t>NOT AVAILABLE</t>
        </is>
      </c>
      <c r="M1506" t="inlineStr">
        <is>
          <t>UNAVAILABLE</t>
        </is>
      </c>
      <c r="N1506" s="5" t="inlineStr">
        <is>
          <t>Semrush phrase_these returned no data (not billed)</t>
        </is>
      </c>
      <c r="O1506" t="inlineStr">
        <is>
          <t>2026-10-30</t>
        </is>
      </c>
      <c r="P1506">
        <f>IF(IF(J1506="NOT AVAILABLE","",J1506)="",12,IF(OR(ISNUMBER(SEARCH("Transactional",IF(J1506="NOT AVAILABLE","",J1506))),ISNUMBER(SEARCH("Commercial",IF(J1506="NOT AVAILABLE","",J1506)))),25,IF(ISNUMBER(SEARCH("Informational",IF(J1506="NOT AVAILABLE","",J1506))),10,IF(ISNUMBER(SEARCH("Navigational",IF(J1506="NOT AVAILABLE","",J1506))),0,12))))</f>
        <v/>
      </c>
      <c r="Q1506">
        <f>IF(ISNUMBER(F1506),MIN(30,ROUND(30*LOG10(F1506+1)/4,1)),0)</f>
        <v/>
      </c>
      <c r="R1506">
        <f>IF(ISNUMBER(G1506),ROUND(25*(100-G1506)/100,1),12.5)</f>
        <v/>
      </c>
      <c r="S1506" t="n">
        <v>14</v>
      </c>
      <c r="T1506">
        <f>ROUND(P1506+Q1506+R1506+S1506,0)</f>
        <v/>
      </c>
      <c r="U1506" s="5" t="inlineStr"/>
      <c r="V1506" s="5" t="inlineStr"/>
    </row>
    <row r="1507">
      <c r="A1507" t="inlineStr">
        <is>
          <t>K1505</t>
        </is>
      </c>
      <c r="B1507" t="inlineStr">
        <is>
          <t>développement web madrid</t>
        </is>
      </c>
      <c r="C1507" t="inlineStr">
        <is>
          <t>France</t>
        </is>
      </c>
      <c r="D1507" t="inlineStr">
        <is>
          <t>fr</t>
        </is>
      </c>
      <c r="E1507" t="inlineStr">
        <is>
          <t>fr</t>
        </is>
      </c>
      <c r="F1507" t="inlineStr">
        <is>
          <t>NOT AVAILABLE</t>
        </is>
      </c>
      <c r="G1507" t="inlineStr">
        <is>
          <t>NOT AVAILABLE</t>
        </is>
      </c>
      <c r="H1507" t="inlineStr">
        <is>
          <t>NOT AVAILABLE</t>
        </is>
      </c>
      <c r="I1507" t="inlineStr">
        <is>
          <t>NOT AVAILABLE</t>
        </is>
      </c>
      <c r="J1507" t="inlineStr">
        <is>
          <t>NOT AVAILABLE</t>
        </is>
      </c>
      <c r="K1507" t="inlineStr">
        <is>
          <t>NOT AVAILABLE</t>
        </is>
      </c>
      <c r="L1507" t="inlineStr">
        <is>
          <t>NOT AVAILABLE</t>
        </is>
      </c>
      <c r="M1507" t="inlineStr">
        <is>
          <t>UNAVAILABLE</t>
        </is>
      </c>
      <c r="N1507" s="5" t="inlineStr">
        <is>
          <t>Semrush phrase_these returned no data (not billed)</t>
        </is>
      </c>
      <c r="O1507" t="inlineStr">
        <is>
          <t>2026-10-30</t>
        </is>
      </c>
      <c r="P1507">
        <f>IF(IF(J1507="NOT AVAILABLE","",J1507)="",12,IF(OR(ISNUMBER(SEARCH("Transactional",IF(J1507="NOT AVAILABLE","",J1507))),ISNUMBER(SEARCH("Commercial",IF(J1507="NOT AVAILABLE","",J1507)))),25,IF(ISNUMBER(SEARCH("Informational",IF(J1507="NOT AVAILABLE","",J1507))),10,IF(ISNUMBER(SEARCH("Navigational",IF(J1507="NOT AVAILABLE","",J1507))),0,12))))</f>
        <v/>
      </c>
      <c r="Q1507">
        <f>IF(ISNUMBER(F1507),MIN(30,ROUND(30*LOG10(F1507+1)/4,1)),0)</f>
        <v/>
      </c>
      <c r="R1507">
        <f>IF(ISNUMBER(G1507),ROUND(25*(100-G1507)/100,1),12.5)</f>
        <v/>
      </c>
      <c r="S1507" t="n">
        <v>14</v>
      </c>
      <c r="T1507">
        <f>ROUND(P1507+Q1507+R1507+S1507,0)</f>
        <v/>
      </c>
      <c r="U1507" s="5" t="inlineStr"/>
      <c r="V1507" s="5" t="inlineStr"/>
    </row>
    <row r="1508">
      <c r="A1508" t="inlineStr">
        <is>
          <t>K1506</t>
        </is>
      </c>
      <c r="B1508" t="inlineStr">
        <is>
          <t>développement web milan</t>
        </is>
      </c>
      <c r="C1508" t="inlineStr">
        <is>
          <t>France</t>
        </is>
      </c>
      <c r="D1508" t="inlineStr">
        <is>
          <t>fr</t>
        </is>
      </c>
      <c r="E1508" t="inlineStr">
        <is>
          <t>fr</t>
        </is>
      </c>
      <c r="F1508" t="inlineStr">
        <is>
          <t>NOT AVAILABLE</t>
        </is>
      </c>
      <c r="G1508" t="inlineStr">
        <is>
          <t>NOT AVAILABLE</t>
        </is>
      </c>
      <c r="H1508" t="inlineStr">
        <is>
          <t>NOT AVAILABLE</t>
        </is>
      </c>
      <c r="I1508" t="inlineStr">
        <is>
          <t>NOT AVAILABLE</t>
        </is>
      </c>
      <c r="J1508" t="inlineStr">
        <is>
          <t>NOT AVAILABLE</t>
        </is>
      </c>
      <c r="K1508" t="inlineStr">
        <is>
          <t>NOT AVAILABLE</t>
        </is>
      </c>
      <c r="L1508" t="inlineStr">
        <is>
          <t>NOT AVAILABLE</t>
        </is>
      </c>
      <c r="M1508" t="inlineStr">
        <is>
          <t>UNAVAILABLE</t>
        </is>
      </c>
      <c r="N1508" s="5" t="inlineStr">
        <is>
          <t>Semrush phrase_these returned no data (not billed)</t>
        </is>
      </c>
      <c r="O1508" t="inlineStr">
        <is>
          <t>2026-10-30</t>
        </is>
      </c>
      <c r="P1508">
        <f>IF(IF(J1508="NOT AVAILABLE","",J1508)="",12,IF(OR(ISNUMBER(SEARCH("Transactional",IF(J1508="NOT AVAILABLE","",J1508))),ISNUMBER(SEARCH("Commercial",IF(J1508="NOT AVAILABLE","",J1508)))),25,IF(ISNUMBER(SEARCH("Informational",IF(J1508="NOT AVAILABLE","",J1508))),10,IF(ISNUMBER(SEARCH("Navigational",IF(J1508="NOT AVAILABLE","",J1508))),0,12))))</f>
        <v/>
      </c>
      <c r="Q1508">
        <f>IF(ISNUMBER(F1508),MIN(30,ROUND(30*LOG10(F1508+1)/4,1)),0)</f>
        <v/>
      </c>
      <c r="R1508">
        <f>IF(ISNUMBER(G1508),ROUND(25*(100-G1508)/100,1),12.5)</f>
        <v/>
      </c>
      <c r="S1508" t="n">
        <v>14</v>
      </c>
      <c r="T1508">
        <f>ROUND(P1508+Q1508+R1508+S1508,0)</f>
        <v/>
      </c>
      <c r="U1508" s="5" t="inlineStr"/>
      <c r="V1508" s="5" t="inlineStr"/>
    </row>
    <row r="1509">
      <c r="A1509" t="inlineStr">
        <is>
          <t>K1507</t>
        </is>
      </c>
      <c r="B1509" t="inlineStr">
        <is>
          <t>développement web new york</t>
        </is>
      </c>
      <c r="C1509" t="inlineStr">
        <is>
          <t>France</t>
        </is>
      </c>
      <c r="D1509" t="inlineStr">
        <is>
          <t>fr</t>
        </is>
      </c>
      <c r="E1509" t="inlineStr">
        <is>
          <t>fr</t>
        </is>
      </c>
      <c r="F1509" t="inlineStr">
        <is>
          <t>NOT AVAILABLE</t>
        </is>
      </c>
      <c r="G1509" t="inlineStr">
        <is>
          <t>NOT AVAILABLE</t>
        </is>
      </c>
      <c r="H1509" t="inlineStr">
        <is>
          <t>NOT AVAILABLE</t>
        </is>
      </c>
      <c r="I1509" t="inlineStr">
        <is>
          <t>NOT AVAILABLE</t>
        </is>
      </c>
      <c r="J1509" t="inlineStr">
        <is>
          <t>NOT AVAILABLE</t>
        </is>
      </c>
      <c r="K1509" t="inlineStr">
        <is>
          <t>NOT AVAILABLE</t>
        </is>
      </c>
      <c r="L1509" t="inlineStr">
        <is>
          <t>NOT AVAILABLE</t>
        </is>
      </c>
      <c r="M1509" t="inlineStr">
        <is>
          <t>UNAVAILABLE</t>
        </is>
      </c>
      <c r="N1509" s="5" t="inlineStr">
        <is>
          <t>Semrush phrase_these returned no data (not billed)</t>
        </is>
      </c>
      <c r="O1509" t="inlineStr">
        <is>
          <t>2026-10-30</t>
        </is>
      </c>
      <c r="P1509">
        <f>IF(IF(J1509="NOT AVAILABLE","",J1509)="",12,IF(OR(ISNUMBER(SEARCH("Transactional",IF(J1509="NOT AVAILABLE","",J1509))),ISNUMBER(SEARCH("Commercial",IF(J1509="NOT AVAILABLE","",J1509)))),25,IF(ISNUMBER(SEARCH("Informational",IF(J1509="NOT AVAILABLE","",J1509))),10,IF(ISNUMBER(SEARCH("Navigational",IF(J1509="NOT AVAILABLE","",J1509))),0,12))))</f>
        <v/>
      </c>
      <c r="Q1509">
        <f>IF(ISNUMBER(F1509),MIN(30,ROUND(30*LOG10(F1509+1)/4,1)),0)</f>
        <v/>
      </c>
      <c r="R1509">
        <f>IF(ISNUMBER(G1509),ROUND(25*(100-G1509)/100,1),12.5)</f>
        <v/>
      </c>
      <c r="S1509" t="n">
        <v>14</v>
      </c>
      <c r="T1509">
        <f>ROUND(P1509+Q1509+R1509+S1509,0)</f>
        <v/>
      </c>
      <c r="U1509" s="5" t="inlineStr"/>
      <c r="V1509" s="5" t="inlineStr"/>
    </row>
    <row r="1510">
      <c r="A1510" t="inlineStr">
        <is>
          <t>K1508</t>
        </is>
      </c>
      <c r="B1510" t="inlineStr">
        <is>
          <t>développement web riyad</t>
        </is>
      </c>
      <c r="C1510" t="inlineStr">
        <is>
          <t>France</t>
        </is>
      </c>
      <c r="D1510" t="inlineStr">
        <is>
          <t>fr</t>
        </is>
      </c>
      <c r="E1510" t="inlineStr">
        <is>
          <t>fr</t>
        </is>
      </c>
      <c r="F1510" t="inlineStr">
        <is>
          <t>NOT AVAILABLE</t>
        </is>
      </c>
      <c r="G1510" t="inlineStr">
        <is>
          <t>NOT AVAILABLE</t>
        </is>
      </c>
      <c r="H1510" t="inlineStr">
        <is>
          <t>NOT AVAILABLE</t>
        </is>
      </c>
      <c r="I1510" t="inlineStr">
        <is>
          <t>NOT AVAILABLE</t>
        </is>
      </c>
      <c r="J1510" t="inlineStr">
        <is>
          <t>NOT AVAILABLE</t>
        </is>
      </c>
      <c r="K1510" t="inlineStr">
        <is>
          <t>NOT AVAILABLE</t>
        </is>
      </c>
      <c r="L1510" t="inlineStr">
        <is>
          <t>NOT AVAILABLE</t>
        </is>
      </c>
      <c r="M1510" t="inlineStr">
        <is>
          <t>UNAVAILABLE</t>
        </is>
      </c>
      <c r="N1510" s="5" t="inlineStr">
        <is>
          <t>Semrush phrase_these returned no data (not billed)</t>
        </is>
      </c>
      <c r="O1510" t="inlineStr">
        <is>
          <t>2026-10-30</t>
        </is>
      </c>
      <c r="P1510">
        <f>IF(IF(J1510="NOT AVAILABLE","",J1510)="",12,IF(OR(ISNUMBER(SEARCH("Transactional",IF(J1510="NOT AVAILABLE","",J1510))),ISNUMBER(SEARCH("Commercial",IF(J1510="NOT AVAILABLE","",J1510)))),25,IF(ISNUMBER(SEARCH("Informational",IF(J1510="NOT AVAILABLE","",J1510))),10,IF(ISNUMBER(SEARCH("Navigational",IF(J1510="NOT AVAILABLE","",J1510))),0,12))))</f>
        <v/>
      </c>
      <c r="Q1510">
        <f>IF(ISNUMBER(F1510),MIN(30,ROUND(30*LOG10(F1510+1)/4,1)),0)</f>
        <v/>
      </c>
      <c r="R1510">
        <f>IF(ISNUMBER(G1510),ROUND(25*(100-G1510)/100,1),12.5)</f>
        <v/>
      </c>
      <c r="S1510" t="n">
        <v>14</v>
      </c>
      <c r="T1510">
        <f>ROUND(P1510+Q1510+R1510+S1510,0)</f>
        <v/>
      </c>
      <c r="U1510" s="5" t="inlineStr"/>
      <c r="V1510" s="5" t="inlineStr"/>
    </row>
    <row r="1511">
      <c r="A1511" t="inlineStr">
        <is>
          <t>K1509</t>
        </is>
      </c>
      <c r="B1511" t="inlineStr">
        <is>
          <t>développement web rome</t>
        </is>
      </c>
      <c r="C1511" t="inlineStr">
        <is>
          <t>France</t>
        </is>
      </c>
      <c r="D1511" t="inlineStr">
        <is>
          <t>fr</t>
        </is>
      </c>
      <c r="E1511" t="inlineStr">
        <is>
          <t>fr</t>
        </is>
      </c>
      <c r="F1511" t="inlineStr">
        <is>
          <t>NOT AVAILABLE</t>
        </is>
      </c>
      <c r="G1511" t="inlineStr">
        <is>
          <t>NOT AVAILABLE</t>
        </is>
      </c>
      <c r="H1511" t="inlineStr">
        <is>
          <t>NOT AVAILABLE</t>
        </is>
      </c>
      <c r="I1511" t="inlineStr">
        <is>
          <t>NOT AVAILABLE</t>
        </is>
      </c>
      <c r="J1511" t="inlineStr">
        <is>
          <t>NOT AVAILABLE</t>
        </is>
      </c>
      <c r="K1511" t="inlineStr">
        <is>
          <t>NOT AVAILABLE</t>
        </is>
      </c>
      <c r="L1511" t="inlineStr">
        <is>
          <t>NOT AVAILABLE</t>
        </is>
      </c>
      <c r="M1511" t="inlineStr">
        <is>
          <t>UNAVAILABLE</t>
        </is>
      </c>
      <c r="N1511" s="5" t="inlineStr">
        <is>
          <t>Semrush phrase_these returned no data (not billed)</t>
        </is>
      </c>
      <c r="O1511" t="inlineStr">
        <is>
          <t>2026-10-30</t>
        </is>
      </c>
      <c r="P1511">
        <f>IF(IF(J1511="NOT AVAILABLE","",J1511)="",12,IF(OR(ISNUMBER(SEARCH("Transactional",IF(J1511="NOT AVAILABLE","",J1511))),ISNUMBER(SEARCH("Commercial",IF(J1511="NOT AVAILABLE","",J1511)))),25,IF(ISNUMBER(SEARCH("Informational",IF(J1511="NOT AVAILABLE","",J1511))),10,IF(ISNUMBER(SEARCH("Navigational",IF(J1511="NOT AVAILABLE","",J1511))),0,12))))</f>
        <v/>
      </c>
      <c r="Q1511">
        <f>IF(ISNUMBER(F1511),MIN(30,ROUND(30*LOG10(F1511+1)/4,1)),0)</f>
        <v/>
      </c>
      <c r="R1511">
        <f>IF(ISNUMBER(G1511),ROUND(25*(100-G1511)/100,1),12.5)</f>
        <v/>
      </c>
      <c r="S1511" t="n">
        <v>14</v>
      </c>
      <c r="T1511">
        <f>ROUND(P1511+Q1511+R1511+S1511,0)</f>
        <v/>
      </c>
      <c r="U1511" s="5" t="inlineStr"/>
      <c r="V1511" s="5" t="inlineStr"/>
    </row>
    <row r="1512">
      <c r="A1512" t="inlineStr">
        <is>
          <t>K1510</t>
        </is>
      </c>
      <c r="B1512" t="inlineStr">
        <is>
          <t>développement web san francisco</t>
        </is>
      </c>
      <c r="C1512" t="inlineStr">
        <is>
          <t>France</t>
        </is>
      </c>
      <c r="D1512" t="inlineStr">
        <is>
          <t>fr</t>
        </is>
      </c>
      <c r="E1512" t="inlineStr">
        <is>
          <t>fr</t>
        </is>
      </c>
      <c r="F1512" t="inlineStr">
        <is>
          <t>NOT AVAILABLE</t>
        </is>
      </c>
      <c r="G1512" t="inlineStr">
        <is>
          <t>NOT AVAILABLE</t>
        </is>
      </c>
      <c r="H1512" t="inlineStr">
        <is>
          <t>NOT AVAILABLE</t>
        </is>
      </c>
      <c r="I1512" t="inlineStr">
        <is>
          <t>NOT AVAILABLE</t>
        </is>
      </c>
      <c r="J1512" t="inlineStr">
        <is>
          <t>NOT AVAILABLE</t>
        </is>
      </c>
      <c r="K1512" t="inlineStr">
        <is>
          <t>NOT AVAILABLE</t>
        </is>
      </c>
      <c r="L1512" t="inlineStr">
        <is>
          <t>NOT AVAILABLE</t>
        </is>
      </c>
      <c r="M1512" t="inlineStr">
        <is>
          <t>UNAVAILABLE</t>
        </is>
      </c>
      <c r="N1512" s="5" t="inlineStr">
        <is>
          <t>Semrush phrase_these returned no data (not billed)</t>
        </is>
      </c>
      <c r="O1512" t="inlineStr">
        <is>
          <t>2026-10-30</t>
        </is>
      </c>
      <c r="P1512">
        <f>IF(IF(J1512="NOT AVAILABLE","",J1512)="",12,IF(OR(ISNUMBER(SEARCH("Transactional",IF(J1512="NOT AVAILABLE","",J1512))),ISNUMBER(SEARCH("Commercial",IF(J1512="NOT AVAILABLE","",J1512)))),25,IF(ISNUMBER(SEARCH("Informational",IF(J1512="NOT AVAILABLE","",J1512))),10,IF(ISNUMBER(SEARCH("Navigational",IF(J1512="NOT AVAILABLE","",J1512))),0,12))))</f>
        <v/>
      </c>
      <c r="Q1512">
        <f>IF(ISNUMBER(F1512),MIN(30,ROUND(30*LOG10(F1512+1)/4,1)),0)</f>
        <v/>
      </c>
      <c r="R1512">
        <f>IF(ISNUMBER(G1512),ROUND(25*(100-G1512)/100,1),12.5)</f>
        <v/>
      </c>
      <c r="S1512" t="n">
        <v>14</v>
      </c>
      <c r="T1512">
        <f>ROUND(P1512+Q1512+R1512+S1512,0)</f>
        <v/>
      </c>
      <c r="U1512" s="5" t="inlineStr"/>
      <c r="V1512" s="5" t="inlineStr"/>
    </row>
    <row r="1513">
      <c r="A1513" t="inlineStr">
        <is>
          <t>K1511</t>
        </is>
      </c>
      <c r="B1513" t="inlineStr">
        <is>
          <t>développement web seattle</t>
        </is>
      </c>
      <c r="C1513" t="inlineStr">
        <is>
          <t>France</t>
        </is>
      </c>
      <c r="D1513" t="inlineStr">
        <is>
          <t>fr</t>
        </is>
      </c>
      <c r="E1513" t="inlineStr">
        <is>
          <t>fr</t>
        </is>
      </c>
      <c r="F1513" t="inlineStr">
        <is>
          <t>NOT AVAILABLE</t>
        </is>
      </c>
      <c r="G1513" t="inlineStr">
        <is>
          <t>NOT AVAILABLE</t>
        </is>
      </c>
      <c r="H1513" t="inlineStr">
        <is>
          <t>NOT AVAILABLE</t>
        </is>
      </c>
      <c r="I1513" t="inlineStr">
        <is>
          <t>NOT AVAILABLE</t>
        </is>
      </c>
      <c r="J1513" t="inlineStr">
        <is>
          <t>NOT AVAILABLE</t>
        </is>
      </c>
      <c r="K1513" t="inlineStr">
        <is>
          <t>NOT AVAILABLE</t>
        </is>
      </c>
      <c r="L1513" t="inlineStr">
        <is>
          <t>NOT AVAILABLE</t>
        </is>
      </c>
      <c r="M1513" t="inlineStr">
        <is>
          <t>UNAVAILABLE</t>
        </is>
      </c>
      <c r="N1513" s="5" t="inlineStr">
        <is>
          <t>Semrush phrase_these returned no data (not billed)</t>
        </is>
      </c>
      <c r="O1513" t="inlineStr">
        <is>
          <t>2026-10-30</t>
        </is>
      </c>
      <c r="P1513">
        <f>IF(IF(J1513="NOT AVAILABLE","",J1513)="",12,IF(OR(ISNUMBER(SEARCH("Transactional",IF(J1513="NOT AVAILABLE","",J1513))),ISNUMBER(SEARCH("Commercial",IF(J1513="NOT AVAILABLE","",J1513)))),25,IF(ISNUMBER(SEARCH("Informational",IF(J1513="NOT AVAILABLE","",J1513))),10,IF(ISNUMBER(SEARCH("Navigational",IF(J1513="NOT AVAILABLE","",J1513))),0,12))))</f>
        <v/>
      </c>
      <c r="Q1513">
        <f>IF(ISNUMBER(F1513),MIN(30,ROUND(30*LOG10(F1513+1)/4,1)),0)</f>
        <v/>
      </c>
      <c r="R1513">
        <f>IF(ISNUMBER(G1513),ROUND(25*(100-G1513)/100,1),12.5)</f>
        <v/>
      </c>
      <c r="S1513" t="n">
        <v>14</v>
      </c>
      <c r="T1513">
        <f>ROUND(P1513+Q1513+R1513+S1513,0)</f>
        <v/>
      </c>
      <c r="U1513" s="5" t="inlineStr"/>
      <c r="V1513" s="5" t="inlineStr"/>
    </row>
    <row r="1514">
      <c r="A1514" t="inlineStr">
        <is>
          <t>K1512</t>
        </is>
      </c>
      <c r="B1514" t="inlineStr">
        <is>
          <t>développement web stockholm</t>
        </is>
      </c>
      <c r="C1514" t="inlineStr">
        <is>
          <t>France</t>
        </is>
      </c>
      <c r="D1514" t="inlineStr">
        <is>
          <t>fr</t>
        </is>
      </c>
      <c r="E1514" t="inlineStr">
        <is>
          <t>fr</t>
        </is>
      </c>
      <c r="F1514" t="inlineStr">
        <is>
          <t>NOT AVAILABLE</t>
        </is>
      </c>
      <c r="G1514" t="inlineStr">
        <is>
          <t>NOT AVAILABLE</t>
        </is>
      </c>
      <c r="H1514" t="inlineStr">
        <is>
          <t>NOT AVAILABLE</t>
        </is>
      </c>
      <c r="I1514" t="inlineStr">
        <is>
          <t>NOT AVAILABLE</t>
        </is>
      </c>
      <c r="J1514" t="inlineStr">
        <is>
          <t>NOT AVAILABLE</t>
        </is>
      </c>
      <c r="K1514" t="inlineStr">
        <is>
          <t>NOT AVAILABLE</t>
        </is>
      </c>
      <c r="L1514" t="inlineStr">
        <is>
          <t>NOT AVAILABLE</t>
        </is>
      </c>
      <c r="M1514" t="inlineStr">
        <is>
          <t>UNAVAILABLE</t>
        </is>
      </c>
      <c r="N1514" s="5" t="inlineStr">
        <is>
          <t>Semrush phrase_these returned no data (not billed)</t>
        </is>
      </c>
      <c r="O1514" t="inlineStr">
        <is>
          <t>2026-10-30</t>
        </is>
      </c>
      <c r="P1514">
        <f>IF(IF(J1514="NOT AVAILABLE","",J1514)="",12,IF(OR(ISNUMBER(SEARCH("Transactional",IF(J1514="NOT AVAILABLE","",J1514))),ISNUMBER(SEARCH("Commercial",IF(J1514="NOT AVAILABLE","",J1514)))),25,IF(ISNUMBER(SEARCH("Informational",IF(J1514="NOT AVAILABLE","",J1514))),10,IF(ISNUMBER(SEARCH("Navigational",IF(J1514="NOT AVAILABLE","",J1514))),0,12))))</f>
        <v/>
      </c>
      <c r="Q1514">
        <f>IF(ISNUMBER(F1514),MIN(30,ROUND(30*LOG10(F1514+1)/4,1)),0)</f>
        <v/>
      </c>
      <c r="R1514">
        <f>IF(ISNUMBER(G1514),ROUND(25*(100-G1514)/100,1),12.5)</f>
        <v/>
      </c>
      <c r="S1514" t="n">
        <v>14</v>
      </c>
      <c r="T1514">
        <f>ROUND(P1514+Q1514+R1514+S1514,0)</f>
        <v/>
      </c>
      <c r="U1514" s="5" t="inlineStr"/>
      <c r="V1514" s="5" t="inlineStr"/>
    </row>
    <row r="1515">
      <c r="A1515" t="inlineStr">
        <is>
          <t>K1513</t>
        </is>
      </c>
      <c r="B1515" t="inlineStr">
        <is>
          <t>développement web toronto</t>
        </is>
      </c>
      <c r="C1515" t="inlineStr">
        <is>
          <t>France</t>
        </is>
      </c>
      <c r="D1515" t="inlineStr">
        <is>
          <t>fr</t>
        </is>
      </c>
      <c r="E1515" t="inlineStr">
        <is>
          <t>fr</t>
        </is>
      </c>
      <c r="F1515" t="n">
        <v>0</v>
      </c>
      <c r="G1515" t="inlineStr">
        <is>
          <t>NOT AVAILABLE</t>
        </is>
      </c>
      <c r="H1515" t="n">
        <v>0</v>
      </c>
      <c r="I1515" t="n">
        <v>0</v>
      </c>
      <c r="J1515" t="inlineStr">
        <is>
          <t>NOT AVAILABLE</t>
        </is>
      </c>
      <c r="K1515" t="inlineStr">
        <is>
          <t>NOT AVAILABLE (report not requested)</t>
        </is>
      </c>
      <c r="L1515" t="inlineStr">
        <is>
          <t>flat (no data)</t>
        </is>
      </c>
      <c r="M1515" t="inlineStr">
        <is>
          <t>MEASURED</t>
        </is>
      </c>
      <c r="N1515" s="5" t="inlineStr">
        <is>
          <t>Semrush phrase_these (live, this session)</t>
        </is>
      </c>
      <c r="O1515" t="inlineStr">
        <is>
          <t>2026-10-30</t>
        </is>
      </c>
      <c r="P1515">
        <f>IF(IF(J1515="NOT AVAILABLE","",J1515)="",12,IF(OR(ISNUMBER(SEARCH("Transactional",IF(J1515="NOT AVAILABLE","",J1515))),ISNUMBER(SEARCH("Commercial",IF(J1515="NOT AVAILABLE","",J1515)))),25,IF(ISNUMBER(SEARCH("Informational",IF(J1515="NOT AVAILABLE","",J1515))),10,IF(ISNUMBER(SEARCH("Navigational",IF(J1515="NOT AVAILABLE","",J1515))),0,12))))</f>
        <v/>
      </c>
      <c r="Q1515">
        <f>IF(ISNUMBER(F1515),MIN(30,ROUND(30*LOG10(F1515+1)/4,1)),0)</f>
        <v/>
      </c>
      <c r="R1515">
        <f>IF(ISNUMBER(G1515),ROUND(25*(100-G1515)/100,1),12.5)</f>
        <v/>
      </c>
      <c r="S1515" t="n">
        <v>14</v>
      </c>
      <c r="T1515">
        <f>ROUND(P1515+Q1515+R1515+S1515,0)</f>
        <v/>
      </c>
      <c r="U1515" s="5" t="inlineStr"/>
      <c r="V1515" s="5" t="inlineStr"/>
    </row>
    <row r="1516">
      <c r="A1516" t="inlineStr">
        <is>
          <t>K1514</t>
        </is>
      </c>
      <c r="B1516" t="inlineStr">
        <is>
          <t>développement web tunis</t>
        </is>
      </c>
      <c r="C1516" t="inlineStr">
        <is>
          <t>France</t>
        </is>
      </c>
      <c r="D1516" t="inlineStr">
        <is>
          <t>fr</t>
        </is>
      </c>
      <c r="E1516" t="inlineStr">
        <is>
          <t>fr</t>
        </is>
      </c>
      <c r="F1516" t="n">
        <v>0</v>
      </c>
      <c r="G1516" t="inlineStr">
        <is>
          <t>NOT AVAILABLE</t>
        </is>
      </c>
      <c r="H1516" t="n">
        <v>0</v>
      </c>
      <c r="I1516" t="n">
        <v>0</v>
      </c>
      <c r="J1516" t="inlineStr">
        <is>
          <t>NOT AVAILABLE</t>
        </is>
      </c>
      <c r="K1516" t="inlineStr">
        <is>
          <t>NOT AVAILABLE (report not requested)</t>
        </is>
      </c>
      <c r="L1516" t="inlineStr">
        <is>
          <t>flat (no data)</t>
        </is>
      </c>
      <c r="M1516" t="inlineStr">
        <is>
          <t>MEASURED</t>
        </is>
      </c>
      <c r="N1516" s="5" t="inlineStr">
        <is>
          <t>Semrush phrase_these (live, this session)</t>
        </is>
      </c>
      <c r="O1516" t="inlineStr">
        <is>
          <t>2026-10-30</t>
        </is>
      </c>
      <c r="P1516">
        <f>IF(IF(J1516="NOT AVAILABLE","",J1516)="",12,IF(OR(ISNUMBER(SEARCH("Transactional",IF(J1516="NOT AVAILABLE","",J1516))),ISNUMBER(SEARCH("Commercial",IF(J1516="NOT AVAILABLE","",J1516)))),25,IF(ISNUMBER(SEARCH("Informational",IF(J1516="NOT AVAILABLE","",J1516))),10,IF(ISNUMBER(SEARCH("Navigational",IF(J1516="NOT AVAILABLE","",J1516))),0,12))))</f>
        <v/>
      </c>
      <c r="Q1516">
        <f>IF(ISNUMBER(F1516),MIN(30,ROUND(30*LOG10(F1516+1)/4,1)),0)</f>
        <v/>
      </c>
      <c r="R1516">
        <f>IF(ISNUMBER(G1516),ROUND(25*(100-G1516)/100,1),12.5)</f>
        <v/>
      </c>
      <c r="S1516" t="n">
        <v>14</v>
      </c>
      <c r="T1516">
        <f>ROUND(P1516+Q1516+R1516+S1516,0)</f>
        <v/>
      </c>
      <c r="U1516" s="5" t="inlineStr"/>
      <c r="V1516" s="5" t="inlineStr"/>
    </row>
    <row r="1517">
      <c r="A1517" t="inlineStr">
        <is>
          <t>K1515</t>
        </is>
      </c>
      <c r="B1517" t="inlineStr">
        <is>
          <t>développement web vancouver</t>
        </is>
      </c>
      <c r="C1517" t="inlineStr">
        <is>
          <t>France</t>
        </is>
      </c>
      <c r="D1517" t="inlineStr">
        <is>
          <t>fr</t>
        </is>
      </c>
      <c r="E1517" t="inlineStr">
        <is>
          <t>fr</t>
        </is>
      </c>
      <c r="F1517" t="inlineStr">
        <is>
          <t>NOT AVAILABLE</t>
        </is>
      </c>
      <c r="G1517" t="inlineStr">
        <is>
          <t>NOT AVAILABLE</t>
        </is>
      </c>
      <c r="H1517" t="inlineStr">
        <is>
          <t>NOT AVAILABLE</t>
        </is>
      </c>
      <c r="I1517" t="inlineStr">
        <is>
          <t>NOT AVAILABLE</t>
        </is>
      </c>
      <c r="J1517" t="inlineStr">
        <is>
          <t>NOT AVAILABLE</t>
        </is>
      </c>
      <c r="K1517" t="inlineStr">
        <is>
          <t>NOT AVAILABLE</t>
        </is>
      </c>
      <c r="L1517" t="inlineStr">
        <is>
          <t>NOT AVAILABLE</t>
        </is>
      </c>
      <c r="M1517" t="inlineStr">
        <is>
          <t>UNAVAILABLE</t>
        </is>
      </c>
      <c r="N1517" s="5" t="inlineStr">
        <is>
          <t>Semrush phrase_these returned no data (not billed)</t>
        </is>
      </c>
      <c r="O1517" t="inlineStr">
        <is>
          <t>2026-10-30</t>
        </is>
      </c>
      <c r="P1517">
        <f>IF(IF(J1517="NOT AVAILABLE","",J1517)="",12,IF(OR(ISNUMBER(SEARCH("Transactional",IF(J1517="NOT AVAILABLE","",J1517))),ISNUMBER(SEARCH("Commercial",IF(J1517="NOT AVAILABLE","",J1517)))),25,IF(ISNUMBER(SEARCH("Informational",IF(J1517="NOT AVAILABLE","",J1517))),10,IF(ISNUMBER(SEARCH("Navigational",IF(J1517="NOT AVAILABLE","",J1517))),0,12))))</f>
        <v/>
      </c>
      <c r="Q1517">
        <f>IF(ISNUMBER(F1517),MIN(30,ROUND(30*LOG10(F1517+1)/4,1)),0)</f>
        <v/>
      </c>
      <c r="R1517">
        <f>IF(ISNUMBER(G1517),ROUND(25*(100-G1517)/100,1),12.5)</f>
        <v/>
      </c>
      <c r="S1517" t="n">
        <v>14</v>
      </c>
      <c r="T1517">
        <f>ROUND(P1517+Q1517+R1517+S1517,0)</f>
        <v/>
      </c>
      <c r="U1517" s="5" t="inlineStr"/>
      <c r="V1517" s="5" t="inlineStr"/>
    </row>
    <row r="1518">
      <c r="A1518" t="inlineStr">
        <is>
          <t>K1516</t>
        </is>
      </c>
      <c r="B1518" t="inlineStr">
        <is>
          <t>développement web zurich</t>
        </is>
      </c>
      <c r="C1518" t="inlineStr">
        <is>
          <t>France</t>
        </is>
      </c>
      <c r="D1518" t="inlineStr">
        <is>
          <t>fr</t>
        </is>
      </c>
      <c r="E1518" t="inlineStr">
        <is>
          <t>fr</t>
        </is>
      </c>
      <c r="F1518" t="inlineStr">
        <is>
          <t>NOT AVAILABLE</t>
        </is>
      </c>
      <c r="G1518" t="inlineStr">
        <is>
          <t>NOT AVAILABLE</t>
        </is>
      </c>
      <c r="H1518" t="inlineStr">
        <is>
          <t>NOT AVAILABLE</t>
        </is>
      </c>
      <c r="I1518" t="inlineStr">
        <is>
          <t>NOT AVAILABLE</t>
        </is>
      </c>
      <c r="J1518" t="inlineStr">
        <is>
          <t>NOT AVAILABLE</t>
        </is>
      </c>
      <c r="K1518" t="inlineStr">
        <is>
          <t>NOT AVAILABLE</t>
        </is>
      </c>
      <c r="L1518" t="inlineStr">
        <is>
          <t>NOT AVAILABLE</t>
        </is>
      </c>
      <c r="M1518" t="inlineStr">
        <is>
          <t>UNAVAILABLE</t>
        </is>
      </c>
      <c r="N1518" s="5" t="inlineStr">
        <is>
          <t>Semrush phrase_these returned no data (not billed)</t>
        </is>
      </c>
      <c r="O1518" t="inlineStr">
        <is>
          <t>2026-10-30</t>
        </is>
      </c>
      <c r="P1518">
        <f>IF(IF(J1518="NOT AVAILABLE","",J1518)="",12,IF(OR(ISNUMBER(SEARCH("Transactional",IF(J1518="NOT AVAILABLE","",J1518))),ISNUMBER(SEARCH("Commercial",IF(J1518="NOT AVAILABLE","",J1518)))),25,IF(ISNUMBER(SEARCH("Informational",IF(J1518="NOT AVAILABLE","",J1518))),10,IF(ISNUMBER(SEARCH("Navigational",IF(J1518="NOT AVAILABLE","",J1518))),0,12))))</f>
        <v/>
      </c>
      <c r="Q1518">
        <f>IF(ISNUMBER(F1518),MIN(30,ROUND(30*LOG10(F1518+1)/4,1)),0)</f>
        <v/>
      </c>
      <c r="R1518">
        <f>IF(ISNUMBER(G1518),ROUND(25*(100-G1518)/100,1),12.5)</f>
        <v/>
      </c>
      <c r="S1518" t="n">
        <v>14</v>
      </c>
      <c r="T1518">
        <f>ROUND(P1518+Q1518+R1518+S1518,0)</f>
        <v/>
      </c>
      <c r="U1518" s="5" t="inlineStr"/>
      <c r="V1518" s="5" t="inlineStr"/>
    </row>
    <row r="1519">
      <c r="A1519" t="inlineStr">
        <is>
          <t>K1517</t>
        </is>
      </c>
      <c r="B1519" t="inlineStr">
        <is>
          <t>en-têtes de sécurité</t>
        </is>
      </c>
      <c r="C1519" t="inlineStr">
        <is>
          <t>France</t>
        </is>
      </c>
      <c r="D1519" t="inlineStr">
        <is>
          <t>fr</t>
        </is>
      </c>
      <c r="E1519" t="inlineStr">
        <is>
          <t>fr</t>
        </is>
      </c>
      <c r="F1519" t="inlineStr">
        <is>
          <t>NOT AVAILABLE</t>
        </is>
      </c>
      <c r="G1519" t="inlineStr">
        <is>
          <t>NOT AVAILABLE</t>
        </is>
      </c>
      <c r="H1519" t="inlineStr">
        <is>
          <t>NOT AVAILABLE</t>
        </is>
      </c>
      <c r="I1519" t="inlineStr">
        <is>
          <t>NOT AVAILABLE</t>
        </is>
      </c>
      <c r="J1519" t="inlineStr">
        <is>
          <t>NOT AVAILABLE</t>
        </is>
      </c>
      <c r="K1519" t="inlineStr">
        <is>
          <t>NOT AVAILABLE</t>
        </is>
      </c>
      <c r="L1519" t="inlineStr">
        <is>
          <t>NOT AVAILABLE</t>
        </is>
      </c>
      <c r="M1519" t="inlineStr">
        <is>
          <t>UNAVAILABLE</t>
        </is>
      </c>
      <c r="N1519" s="5" t="inlineStr">
        <is>
          <t>Semrush phrase_these returned no data (not billed)</t>
        </is>
      </c>
      <c r="O1519" t="inlineStr">
        <is>
          <t>2026-10-30</t>
        </is>
      </c>
      <c r="P1519">
        <f>IF(IF(J1519="NOT AVAILABLE","",J1519)="",12,IF(OR(ISNUMBER(SEARCH("Transactional",IF(J1519="NOT AVAILABLE","",J1519))),ISNUMBER(SEARCH("Commercial",IF(J1519="NOT AVAILABLE","",J1519)))),25,IF(ISNUMBER(SEARCH("Informational",IF(J1519="NOT AVAILABLE","",J1519))),10,IF(ISNUMBER(SEARCH("Navigational",IF(J1519="NOT AVAILABLE","",J1519))),0,12))))</f>
        <v/>
      </c>
      <c r="Q1519">
        <f>IF(ISNUMBER(F1519),MIN(30,ROUND(30*LOG10(F1519+1)/4,1)),0)</f>
        <v/>
      </c>
      <c r="R1519">
        <f>IF(ISNUMBER(G1519),ROUND(25*(100-G1519)/100,1),12.5)</f>
        <v/>
      </c>
      <c r="S1519" t="n">
        <v>14</v>
      </c>
      <c r="T1519">
        <f>ROUND(P1519+Q1519+R1519+S1519,0)</f>
        <v/>
      </c>
      <c r="U1519" s="5" t="inlineStr"/>
      <c r="V1519" s="5" t="inlineStr">
        <is>
          <t>OPTIONAL /tools/security-headers-checker</t>
        </is>
      </c>
    </row>
    <row r="1520">
      <c r="A1520" t="inlineStr">
        <is>
          <t>K1518</t>
        </is>
      </c>
      <c r="B1520" t="inlineStr">
        <is>
          <t>encodeur base64</t>
        </is>
      </c>
      <c r="C1520" t="inlineStr">
        <is>
          <t>France</t>
        </is>
      </c>
      <c r="D1520" t="inlineStr">
        <is>
          <t>fr</t>
        </is>
      </c>
      <c r="E1520" t="inlineStr">
        <is>
          <t>fr</t>
        </is>
      </c>
      <c r="F1520" t="n">
        <v>0</v>
      </c>
      <c r="G1520" t="inlineStr">
        <is>
          <t>NOT AVAILABLE</t>
        </is>
      </c>
      <c r="H1520" t="n">
        <v>0</v>
      </c>
      <c r="I1520" t="n">
        <v>0</v>
      </c>
      <c r="J1520" t="inlineStr">
        <is>
          <t>NOT AVAILABLE</t>
        </is>
      </c>
      <c r="K1520" t="inlineStr">
        <is>
          <t>NOT AVAILABLE (report not requested)</t>
        </is>
      </c>
      <c r="L1520" t="inlineStr">
        <is>
          <t>rising (calc.)</t>
        </is>
      </c>
      <c r="M1520" t="inlineStr">
        <is>
          <t>MEASURED</t>
        </is>
      </c>
      <c r="N1520" s="5" t="inlineStr">
        <is>
          <t>Semrush phrase_these (live, this session)</t>
        </is>
      </c>
      <c r="O1520" t="inlineStr">
        <is>
          <t>2026-10-30</t>
        </is>
      </c>
      <c r="P1520">
        <f>IF(IF(J1520="NOT AVAILABLE","",J1520)="",12,IF(OR(ISNUMBER(SEARCH("Transactional",IF(J1520="NOT AVAILABLE","",J1520))),ISNUMBER(SEARCH("Commercial",IF(J1520="NOT AVAILABLE","",J1520)))),25,IF(ISNUMBER(SEARCH("Informational",IF(J1520="NOT AVAILABLE","",J1520))),10,IF(ISNUMBER(SEARCH("Navigational",IF(J1520="NOT AVAILABLE","",J1520))),0,12))))</f>
        <v/>
      </c>
      <c r="Q1520">
        <f>IF(ISNUMBER(F1520),MIN(30,ROUND(30*LOG10(F1520+1)/4,1)),0)</f>
        <v/>
      </c>
      <c r="R1520">
        <f>IF(ISNUMBER(G1520),ROUND(25*(100-G1520)/100,1),12.5)</f>
        <v/>
      </c>
      <c r="S1520" t="n">
        <v>14</v>
      </c>
      <c r="T1520">
        <f>ROUND(P1520+Q1520+R1520+S1520,0)</f>
        <v/>
      </c>
      <c r="U1520" s="5" t="inlineStr"/>
      <c r="V1520" s="5" t="inlineStr">
        <is>
          <t>OPTIONAL /tools/base64-encoder</t>
        </is>
      </c>
    </row>
    <row r="1521">
      <c r="A1521" t="inlineStr">
        <is>
          <t>K1519</t>
        </is>
      </c>
      <c r="B1521" t="inlineStr">
        <is>
          <t>externalisation web maroc</t>
        </is>
      </c>
      <c r="C1521" t="inlineStr">
        <is>
          <t>France</t>
        </is>
      </c>
      <c r="D1521" t="inlineStr">
        <is>
          <t>fr</t>
        </is>
      </c>
      <c r="E1521" t="inlineStr">
        <is>
          <t>fr</t>
        </is>
      </c>
      <c r="F1521" t="inlineStr">
        <is>
          <t>NOT AVAILABLE</t>
        </is>
      </c>
      <c r="G1521" t="inlineStr">
        <is>
          <t>NOT AVAILABLE</t>
        </is>
      </c>
      <c r="H1521" t="inlineStr">
        <is>
          <t>NOT AVAILABLE</t>
        </is>
      </c>
      <c r="I1521" t="inlineStr">
        <is>
          <t>NOT AVAILABLE</t>
        </is>
      </c>
      <c r="J1521" t="inlineStr">
        <is>
          <t>NOT AVAILABLE</t>
        </is>
      </c>
      <c r="K1521" t="inlineStr">
        <is>
          <t>NOT AVAILABLE</t>
        </is>
      </c>
      <c r="L1521" t="inlineStr">
        <is>
          <t>NOT AVAILABLE</t>
        </is>
      </c>
      <c r="M1521" t="inlineStr">
        <is>
          <t>UNAVAILABLE</t>
        </is>
      </c>
      <c r="N1521" s="5" t="inlineStr">
        <is>
          <t>Semrush phrase_these returned no data (not billed)</t>
        </is>
      </c>
      <c r="O1521" t="inlineStr">
        <is>
          <t>2026-10-30</t>
        </is>
      </c>
      <c r="P1521">
        <f>IF(IF(J1521="NOT AVAILABLE","",J1521)="",12,IF(OR(ISNUMBER(SEARCH("Transactional",IF(J1521="NOT AVAILABLE","",J1521))),ISNUMBER(SEARCH("Commercial",IF(J1521="NOT AVAILABLE","",J1521)))),25,IF(ISNUMBER(SEARCH("Informational",IF(J1521="NOT AVAILABLE","",J1521))),10,IF(ISNUMBER(SEARCH("Navigational",IF(J1521="NOT AVAILABLE","",J1521))),0,12))))</f>
        <v/>
      </c>
      <c r="Q1521">
        <f>IF(ISNUMBER(F1521),MIN(30,ROUND(30*LOG10(F1521+1)/4,1)),0)</f>
        <v/>
      </c>
      <c r="R1521">
        <f>IF(ISNUMBER(G1521),ROUND(25*(100-G1521)/100,1),12.5)</f>
        <v/>
      </c>
      <c r="S1521" t="n">
        <v>14</v>
      </c>
      <c r="T1521">
        <f>ROUND(P1521+Q1521+R1521+S1521,0)</f>
        <v/>
      </c>
      <c r="U1521" s="5" t="inlineStr"/>
      <c r="V1521" s="5" t="inlineStr"/>
    </row>
    <row r="1522">
      <c r="A1522" t="inlineStr">
        <is>
          <t>K1520</t>
        </is>
      </c>
      <c r="B1522" t="inlineStr">
        <is>
          <t>extracteur de domaine</t>
        </is>
      </c>
      <c r="C1522" t="inlineStr">
        <is>
          <t>France</t>
        </is>
      </c>
      <c r="D1522" t="inlineStr">
        <is>
          <t>fr</t>
        </is>
      </c>
      <c r="E1522" t="inlineStr">
        <is>
          <t>fr</t>
        </is>
      </c>
      <c r="F1522" t="inlineStr">
        <is>
          <t>NOT AVAILABLE</t>
        </is>
      </c>
      <c r="G1522" t="inlineStr">
        <is>
          <t>NOT AVAILABLE</t>
        </is>
      </c>
      <c r="H1522" t="inlineStr">
        <is>
          <t>NOT AVAILABLE</t>
        </is>
      </c>
      <c r="I1522" t="inlineStr">
        <is>
          <t>NOT AVAILABLE</t>
        </is>
      </c>
      <c r="J1522" t="inlineStr">
        <is>
          <t>NOT AVAILABLE</t>
        </is>
      </c>
      <c r="K1522" t="inlineStr">
        <is>
          <t>NOT AVAILABLE</t>
        </is>
      </c>
      <c r="L1522" t="inlineStr">
        <is>
          <t>NOT AVAILABLE</t>
        </is>
      </c>
      <c r="M1522" t="inlineStr">
        <is>
          <t>UNAVAILABLE</t>
        </is>
      </c>
      <c r="N1522" s="5" t="inlineStr">
        <is>
          <t>Semrush phrase_these returned no data (not billed)</t>
        </is>
      </c>
      <c r="O1522" t="inlineStr">
        <is>
          <t>2026-10-30</t>
        </is>
      </c>
      <c r="P1522">
        <f>IF(IF(J1522="NOT AVAILABLE","",J1522)="",12,IF(OR(ISNUMBER(SEARCH("Transactional",IF(J1522="NOT AVAILABLE","",J1522))),ISNUMBER(SEARCH("Commercial",IF(J1522="NOT AVAILABLE","",J1522)))),25,IF(ISNUMBER(SEARCH("Informational",IF(J1522="NOT AVAILABLE","",J1522))),10,IF(ISNUMBER(SEARCH("Navigational",IF(J1522="NOT AVAILABLE","",J1522))),0,12))))</f>
        <v/>
      </c>
      <c r="Q1522">
        <f>IF(ISNUMBER(F1522),MIN(30,ROUND(30*LOG10(F1522+1)/4,1)),0)</f>
        <v/>
      </c>
      <c r="R1522">
        <f>IF(ISNUMBER(G1522),ROUND(25*(100-G1522)/100,1),12.5)</f>
        <v/>
      </c>
      <c r="S1522" t="n">
        <v>14</v>
      </c>
      <c r="T1522">
        <f>ROUND(P1522+Q1522+R1522+S1522,0)</f>
        <v/>
      </c>
      <c r="U1522" s="5" t="inlineStr"/>
      <c r="V1522" s="5" t="inlineStr">
        <is>
          <t>OPTIONAL /tools/domain-extractor</t>
        </is>
      </c>
    </row>
    <row r="1523">
      <c r="A1523" t="inlineStr">
        <is>
          <t>K1521</t>
        </is>
      </c>
      <c r="B1523" t="inlineStr">
        <is>
          <t>extracteur meta</t>
        </is>
      </c>
      <c r="C1523" t="inlineStr">
        <is>
          <t>France</t>
        </is>
      </c>
      <c r="D1523" t="inlineStr">
        <is>
          <t>fr</t>
        </is>
      </c>
      <c r="E1523" t="inlineStr">
        <is>
          <t>fr</t>
        </is>
      </c>
      <c r="F1523" t="inlineStr">
        <is>
          <t>NOT AVAILABLE</t>
        </is>
      </c>
      <c r="G1523" t="inlineStr">
        <is>
          <t>NOT AVAILABLE</t>
        </is>
      </c>
      <c r="H1523" t="inlineStr">
        <is>
          <t>NOT AVAILABLE</t>
        </is>
      </c>
      <c r="I1523" t="inlineStr">
        <is>
          <t>NOT AVAILABLE</t>
        </is>
      </c>
      <c r="J1523" t="inlineStr">
        <is>
          <t>NOT AVAILABLE</t>
        </is>
      </c>
      <c r="K1523" t="inlineStr">
        <is>
          <t>NOT AVAILABLE</t>
        </is>
      </c>
      <c r="L1523" t="inlineStr">
        <is>
          <t>NOT AVAILABLE</t>
        </is>
      </c>
      <c r="M1523" t="inlineStr">
        <is>
          <t>UNAVAILABLE</t>
        </is>
      </c>
      <c r="N1523" s="5" t="inlineStr">
        <is>
          <t>Semrush phrase_these returned no data (not billed)</t>
        </is>
      </c>
      <c r="O1523" t="inlineStr">
        <is>
          <t>2026-10-30</t>
        </is>
      </c>
      <c r="P1523">
        <f>IF(IF(J1523="NOT AVAILABLE","",J1523)="",12,IF(OR(ISNUMBER(SEARCH("Transactional",IF(J1523="NOT AVAILABLE","",J1523))),ISNUMBER(SEARCH("Commercial",IF(J1523="NOT AVAILABLE","",J1523)))),25,IF(ISNUMBER(SEARCH("Informational",IF(J1523="NOT AVAILABLE","",J1523))),10,IF(ISNUMBER(SEARCH("Navigational",IF(J1523="NOT AVAILABLE","",J1523))),0,12))))</f>
        <v/>
      </c>
      <c r="Q1523">
        <f>IF(ISNUMBER(F1523),MIN(30,ROUND(30*LOG10(F1523+1)/4,1)),0)</f>
        <v/>
      </c>
      <c r="R1523">
        <f>IF(ISNUMBER(G1523),ROUND(25*(100-G1523)/100,1),12.5)</f>
        <v/>
      </c>
      <c r="S1523" t="n">
        <v>14</v>
      </c>
      <c r="T1523">
        <f>ROUND(P1523+Q1523+R1523+S1523,0)</f>
        <v/>
      </c>
      <c r="U1523" s="5" t="inlineStr"/>
      <c r="V1523" s="5" t="inlineStr">
        <is>
          <t>OPTIONAL /tools/meta-extractor</t>
        </is>
      </c>
    </row>
    <row r="1524">
      <c r="A1524" t="inlineStr">
        <is>
          <t>K1522</t>
        </is>
      </c>
      <c r="B1524" t="inlineStr">
        <is>
          <t>extraire balises title</t>
        </is>
      </c>
      <c r="C1524" t="inlineStr">
        <is>
          <t>France</t>
        </is>
      </c>
      <c r="D1524" t="inlineStr">
        <is>
          <t>fr</t>
        </is>
      </c>
      <c r="E1524" t="inlineStr">
        <is>
          <t>fr</t>
        </is>
      </c>
      <c r="F1524" t="inlineStr">
        <is>
          <t>NOT AVAILABLE</t>
        </is>
      </c>
      <c r="G1524" t="inlineStr">
        <is>
          <t>NOT AVAILABLE</t>
        </is>
      </c>
      <c r="H1524" t="inlineStr">
        <is>
          <t>NOT AVAILABLE</t>
        </is>
      </c>
      <c r="I1524" t="inlineStr">
        <is>
          <t>NOT AVAILABLE</t>
        </is>
      </c>
      <c r="J1524" t="inlineStr">
        <is>
          <t>NOT AVAILABLE</t>
        </is>
      </c>
      <c r="K1524" t="inlineStr">
        <is>
          <t>NOT AVAILABLE</t>
        </is>
      </c>
      <c r="L1524" t="inlineStr">
        <is>
          <t>NOT AVAILABLE</t>
        </is>
      </c>
      <c r="M1524" t="inlineStr">
        <is>
          <t>UNAVAILABLE</t>
        </is>
      </c>
      <c r="N1524" s="5" t="inlineStr">
        <is>
          <t>Semrush phrase_these returned no data (not billed)</t>
        </is>
      </c>
      <c r="O1524" t="inlineStr">
        <is>
          <t>2026-10-30</t>
        </is>
      </c>
      <c r="P1524">
        <f>IF(IF(J1524="NOT AVAILABLE","",J1524)="",12,IF(OR(ISNUMBER(SEARCH("Transactional",IF(J1524="NOT AVAILABLE","",J1524))),ISNUMBER(SEARCH("Commercial",IF(J1524="NOT AVAILABLE","",J1524)))),25,IF(ISNUMBER(SEARCH("Informational",IF(J1524="NOT AVAILABLE","",J1524))),10,IF(ISNUMBER(SEARCH("Navigational",IF(J1524="NOT AVAILABLE","",J1524))),0,12))))</f>
        <v/>
      </c>
      <c r="Q1524">
        <f>IF(ISNUMBER(F1524),MIN(30,ROUND(30*LOG10(F1524+1)/4,1)),0)</f>
        <v/>
      </c>
      <c r="R1524">
        <f>IF(ISNUMBER(G1524),ROUND(25*(100-G1524)/100,1),12.5)</f>
        <v/>
      </c>
      <c r="S1524" t="n">
        <v>14</v>
      </c>
      <c r="T1524">
        <f>ROUND(P1524+Q1524+R1524+S1524,0)</f>
        <v/>
      </c>
      <c r="U1524" s="5" t="inlineStr"/>
      <c r="V1524" s="5" t="inlineStr">
        <is>
          <t>OPTIONAL /tools/meta-extractor</t>
        </is>
      </c>
    </row>
    <row r="1525">
      <c r="A1525" t="inlineStr">
        <is>
          <t>K1523</t>
        </is>
      </c>
      <c r="B1525" t="inlineStr">
        <is>
          <t>extraire domaine url</t>
        </is>
      </c>
      <c r="C1525" t="inlineStr">
        <is>
          <t>France</t>
        </is>
      </c>
      <c r="D1525" t="inlineStr">
        <is>
          <t>fr</t>
        </is>
      </c>
      <c r="E1525" t="inlineStr">
        <is>
          <t>fr</t>
        </is>
      </c>
      <c r="F1525" t="inlineStr">
        <is>
          <t>NOT AVAILABLE</t>
        </is>
      </c>
      <c r="G1525" t="inlineStr">
        <is>
          <t>NOT AVAILABLE</t>
        </is>
      </c>
      <c r="H1525" t="inlineStr">
        <is>
          <t>NOT AVAILABLE</t>
        </is>
      </c>
      <c r="I1525" t="inlineStr">
        <is>
          <t>NOT AVAILABLE</t>
        </is>
      </c>
      <c r="J1525" t="inlineStr">
        <is>
          <t>NOT AVAILABLE</t>
        </is>
      </c>
      <c r="K1525" t="inlineStr">
        <is>
          <t>NOT AVAILABLE</t>
        </is>
      </c>
      <c r="L1525" t="inlineStr">
        <is>
          <t>NOT AVAILABLE</t>
        </is>
      </c>
      <c r="M1525" t="inlineStr">
        <is>
          <t>UNAVAILABLE</t>
        </is>
      </c>
      <c r="N1525" s="5" t="inlineStr">
        <is>
          <t>Semrush phrase_these returned no data (not billed)</t>
        </is>
      </c>
      <c r="O1525" t="inlineStr">
        <is>
          <t>2026-10-30</t>
        </is>
      </c>
      <c r="P1525">
        <f>IF(IF(J1525="NOT AVAILABLE","",J1525)="",12,IF(OR(ISNUMBER(SEARCH("Transactional",IF(J1525="NOT AVAILABLE","",J1525))),ISNUMBER(SEARCH("Commercial",IF(J1525="NOT AVAILABLE","",J1525)))),25,IF(ISNUMBER(SEARCH("Informational",IF(J1525="NOT AVAILABLE","",J1525))),10,IF(ISNUMBER(SEARCH("Navigational",IF(J1525="NOT AVAILABLE","",J1525))),0,12))))</f>
        <v/>
      </c>
      <c r="Q1525">
        <f>IF(ISNUMBER(F1525),MIN(30,ROUND(30*LOG10(F1525+1)/4,1)),0)</f>
        <v/>
      </c>
      <c r="R1525">
        <f>IF(ISNUMBER(G1525),ROUND(25*(100-G1525)/100,1),12.5)</f>
        <v/>
      </c>
      <c r="S1525" t="n">
        <v>14</v>
      </c>
      <c r="T1525">
        <f>ROUND(P1525+Q1525+R1525+S1525,0)</f>
        <v/>
      </c>
      <c r="U1525" s="5" t="inlineStr"/>
      <c r="V1525" s="5" t="inlineStr">
        <is>
          <t>PRIMARY /tools/domain-extractor</t>
        </is>
      </c>
    </row>
    <row r="1526">
      <c r="A1526" t="inlineStr">
        <is>
          <t>K1524</t>
        </is>
      </c>
      <c r="B1526" t="inlineStr">
        <is>
          <t>extraire json-ld</t>
        </is>
      </c>
      <c r="C1526" t="inlineStr">
        <is>
          <t>France</t>
        </is>
      </c>
      <c r="D1526" t="inlineStr">
        <is>
          <t>fr</t>
        </is>
      </c>
      <c r="E1526" t="inlineStr">
        <is>
          <t>fr</t>
        </is>
      </c>
      <c r="F1526" t="inlineStr">
        <is>
          <t>NOT AVAILABLE</t>
        </is>
      </c>
      <c r="G1526" t="inlineStr">
        <is>
          <t>NOT AVAILABLE</t>
        </is>
      </c>
      <c r="H1526" t="inlineStr">
        <is>
          <t>NOT AVAILABLE</t>
        </is>
      </c>
      <c r="I1526" t="inlineStr">
        <is>
          <t>NOT AVAILABLE</t>
        </is>
      </c>
      <c r="J1526" t="inlineStr">
        <is>
          <t>NOT AVAILABLE</t>
        </is>
      </c>
      <c r="K1526" t="inlineStr">
        <is>
          <t>NOT AVAILABLE</t>
        </is>
      </c>
      <c r="L1526" t="inlineStr">
        <is>
          <t>NOT AVAILABLE</t>
        </is>
      </c>
      <c r="M1526" t="inlineStr">
        <is>
          <t>UNAVAILABLE</t>
        </is>
      </c>
      <c r="N1526" s="5" t="inlineStr">
        <is>
          <t>Semrush phrase_these returned no data (not billed)</t>
        </is>
      </c>
      <c r="O1526" t="inlineStr">
        <is>
          <t>2026-10-30</t>
        </is>
      </c>
      <c r="P1526">
        <f>IF(IF(J1526="NOT AVAILABLE","",J1526)="",12,IF(OR(ISNUMBER(SEARCH("Transactional",IF(J1526="NOT AVAILABLE","",J1526))),ISNUMBER(SEARCH("Commercial",IF(J1526="NOT AVAILABLE","",J1526)))),25,IF(ISNUMBER(SEARCH("Informational",IF(J1526="NOT AVAILABLE","",J1526))),10,IF(ISNUMBER(SEARCH("Navigational",IF(J1526="NOT AVAILABLE","",J1526))),0,12))))</f>
        <v/>
      </c>
      <c r="Q1526">
        <f>IF(ISNUMBER(F1526),MIN(30,ROUND(30*LOG10(F1526+1)/4,1)),0)</f>
        <v/>
      </c>
      <c r="R1526">
        <f>IF(ISNUMBER(G1526),ROUND(25*(100-G1526)/100,1),12.5)</f>
        <v/>
      </c>
      <c r="S1526" t="n">
        <v>14</v>
      </c>
      <c r="T1526">
        <f>ROUND(P1526+Q1526+R1526+S1526,0)</f>
        <v/>
      </c>
      <c r="U1526" s="5" t="inlineStr"/>
      <c r="V1526" s="5" t="inlineStr">
        <is>
          <t>OPTIONAL /tools/structured-data-extractor</t>
        </is>
      </c>
    </row>
    <row r="1527">
      <c r="A1527" t="inlineStr">
        <is>
          <t>K1525</t>
        </is>
      </c>
      <c r="B1527" t="inlineStr">
        <is>
          <t>extraire meta title</t>
        </is>
      </c>
      <c r="C1527" t="inlineStr">
        <is>
          <t>France</t>
        </is>
      </c>
      <c r="D1527" t="inlineStr">
        <is>
          <t>fr</t>
        </is>
      </c>
      <c r="E1527" t="inlineStr">
        <is>
          <t>fr</t>
        </is>
      </c>
      <c r="F1527" t="inlineStr">
        <is>
          <t>NOT AVAILABLE</t>
        </is>
      </c>
      <c r="G1527" t="inlineStr">
        <is>
          <t>NOT AVAILABLE</t>
        </is>
      </c>
      <c r="H1527" t="inlineStr">
        <is>
          <t>NOT AVAILABLE</t>
        </is>
      </c>
      <c r="I1527" t="inlineStr">
        <is>
          <t>NOT AVAILABLE</t>
        </is>
      </c>
      <c r="J1527" t="inlineStr">
        <is>
          <t>NOT AVAILABLE</t>
        </is>
      </c>
      <c r="K1527" t="inlineStr">
        <is>
          <t>NOT AVAILABLE</t>
        </is>
      </c>
      <c r="L1527" t="inlineStr">
        <is>
          <t>NOT AVAILABLE</t>
        </is>
      </c>
      <c r="M1527" t="inlineStr">
        <is>
          <t>UNAVAILABLE</t>
        </is>
      </c>
      <c r="N1527" s="5" t="inlineStr">
        <is>
          <t>Semrush phrase_these returned no data (not billed)</t>
        </is>
      </c>
      <c r="O1527" t="inlineStr">
        <is>
          <t>2026-10-30</t>
        </is>
      </c>
      <c r="P1527">
        <f>IF(IF(J1527="NOT AVAILABLE","",J1527)="",12,IF(OR(ISNUMBER(SEARCH("Transactional",IF(J1527="NOT AVAILABLE","",J1527))),ISNUMBER(SEARCH("Commercial",IF(J1527="NOT AVAILABLE","",J1527)))),25,IF(ISNUMBER(SEARCH("Informational",IF(J1527="NOT AVAILABLE","",J1527))),10,IF(ISNUMBER(SEARCH("Navigational",IF(J1527="NOT AVAILABLE","",J1527))),0,12))))</f>
        <v/>
      </c>
      <c r="Q1527">
        <f>IF(ISNUMBER(F1527),MIN(30,ROUND(30*LOG10(F1527+1)/4,1)),0)</f>
        <v/>
      </c>
      <c r="R1527">
        <f>IF(ISNUMBER(G1527),ROUND(25*(100-G1527)/100,1),12.5)</f>
        <v/>
      </c>
      <c r="S1527" t="n">
        <v>14</v>
      </c>
      <c r="T1527">
        <f>ROUND(P1527+Q1527+R1527+S1527,0)</f>
        <v/>
      </c>
      <c r="U1527" s="5" t="inlineStr"/>
      <c r="V1527" s="5" t="inlineStr">
        <is>
          <t>PRIMARY /tools/meta-extractor</t>
        </is>
      </c>
    </row>
    <row r="1528">
      <c r="A1528" t="inlineStr">
        <is>
          <t>K1526</t>
        </is>
      </c>
      <c r="B1528" t="inlineStr">
        <is>
          <t>extraire mots fréquents</t>
        </is>
      </c>
      <c r="C1528" t="inlineStr">
        <is>
          <t>France</t>
        </is>
      </c>
      <c r="D1528" t="inlineStr">
        <is>
          <t>fr</t>
        </is>
      </c>
      <c r="E1528" t="inlineStr">
        <is>
          <t>fr</t>
        </is>
      </c>
      <c r="F1528" t="inlineStr">
        <is>
          <t>NOT AVAILABLE</t>
        </is>
      </c>
      <c r="G1528" t="inlineStr">
        <is>
          <t>NOT AVAILABLE</t>
        </is>
      </c>
      <c r="H1528" t="inlineStr">
        <is>
          <t>NOT AVAILABLE</t>
        </is>
      </c>
      <c r="I1528" t="inlineStr">
        <is>
          <t>NOT AVAILABLE</t>
        </is>
      </c>
      <c r="J1528" t="inlineStr">
        <is>
          <t>NOT AVAILABLE</t>
        </is>
      </c>
      <c r="K1528" t="inlineStr">
        <is>
          <t>NOT AVAILABLE</t>
        </is>
      </c>
      <c r="L1528" t="inlineStr">
        <is>
          <t>NOT AVAILABLE</t>
        </is>
      </c>
      <c r="M1528" t="inlineStr">
        <is>
          <t>UNAVAILABLE</t>
        </is>
      </c>
      <c r="N1528" s="5" t="inlineStr">
        <is>
          <t>Semrush phrase_these returned no data (not billed)</t>
        </is>
      </c>
      <c r="O1528" t="inlineStr">
        <is>
          <t>2026-10-30</t>
        </is>
      </c>
      <c r="P1528">
        <f>IF(IF(J1528="NOT AVAILABLE","",J1528)="",12,IF(OR(ISNUMBER(SEARCH("Transactional",IF(J1528="NOT AVAILABLE","",J1528))),ISNUMBER(SEARCH("Commercial",IF(J1528="NOT AVAILABLE","",J1528)))),25,IF(ISNUMBER(SEARCH("Informational",IF(J1528="NOT AVAILABLE","",J1528))),10,IF(ISNUMBER(SEARCH("Navigational",IF(J1528="NOT AVAILABLE","",J1528))),0,12))))</f>
        <v/>
      </c>
      <c r="Q1528">
        <f>IF(ISNUMBER(F1528),MIN(30,ROUND(30*LOG10(F1528+1)/4,1)),0)</f>
        <v/>
      </c>
      <c r="R1528">
        <f>IF(ISNUMBER(G1528),ROUND(25*(100-G1528)/100,1),12.5)</f>
        <v/>
      </c>
      <c r="S1528" t="n">
        <v>14</v>
      </c>
      <c r="T1528">
        <f>ROUND(P1528+Q1528+R1528+S1528,0)</f>
        <v/>
      </c>
      <c r="U1528" s="5" t="inlineStr"/>
      <c r="V1528" s="5" t="inlineStr">
        <is>
          <t>OPTIONAL /tools/ngram-extractor</t>
        </is>
      </c>
    </row>
    <row r="1529">
      <c r="A1529" t="inlineStr">
        <is>
          <t>K1527</t>
        </is>
      </c>
      <c r="B1529" t="inlineStr">
        <is>
          <t>extraire url sitemap</t>
        </is>
      </c>
      <c r="C1529" t="inlineStr">
        <is>
          <t>France</t>
        </is>
      </c>
      <c r="D1529" t="inlineStr">
        <is>
          <t>fr</t>
        </is>
      </c>
      <c r="E1529" t="inlineStr">
        <is>
          <t>fr</t>
        </is>
      </c>
      <c r="F1529" t="inlineStr">
        <is>
          <t>NOT AVAILABLE</t>
        </is>
      </c>
      <c r="G1529" t="inlineStr">
        <is>
          <t>NOT AVAILABLE</t>
        </is>
      </c>
      <c r="H1529" t="inlineStr">
        <is>
          <t>NOT AVAILABLE</t>
        </is>
      </c>
      <c r="I1529" t="inlineStr">
        <is>
          <t>NOT AVAILABLE</t>
        </is>
      </c>
      <c r="J1529" t="inlineStr">
        <is>
          <t>NOT AVAILABLE</t>
        </is>
      </c>
      <c r="K1529" t="inlineStr">
        <is>
          <t>NOT AVAILABLE</t>
        </is>
      </c>
      <c r="L1529" t="inlineStr">
        <is>
          <t>NOT AVAILABLE</t>
        </is>
      </c>
      <c r="M1529" t="inlineStr">
        <is>
          <t>UNAVAILABLE</t>
        </is>
      </c>
      <c r="N1529" s="5" t="inlineStr">
        <is>
          <t>Semrush phrase_these returned no data (not billed)</t>
        </is>
      </c>
      <c r="O1529" t="inlineStr">
        <is>
          <t>2026-10-30</t>
        </is>
      </c>
      <c r="P1529">
        <f>IF(IF(J1529="NOT AVAILABLE","",J1529)="",12,IF(OR(ISNUMBER(SEARCH("Transactional",IF(J1529="NOT AVAILABLE","",J1529))),ISNUMBER(SEARCH("Commercial",IF(J1529="NOT AVAILABLE","",J1529)))),25,IF(ISNUMBER(SEARCH("Informational",IF(J1529="NOT AVAILABLE","",J1529))),10,IF(ISNUMBER(SEARCH("Navigational",IF(J1529="NOT AVAILABLE","",J1529))),0,12))))</f>
        <v/>
      </c>
      <c r="Q1529">
        <f>IF(ISNUMBER(F1529),MIN(30,ROUND(30*LOG10(F1529+1)/4,1)),0)</f>
        <v/>
      </c>
      <c r="R1529">
        <f>IF(ISNUMBER(G1529),ROUND(25*(100-G1529)/100,1),12.5)</f>
        <v/>
      </c>
      <c r="S1529" t="n">
        <v>14</v>
      </c>
      <c r="T1529">
        <f>ROUND(P1529+Q1529+R1529+S1529,0)</f>
        <v/>
      </c>
      <c r="U1529" s="5" t="inlineStr"/>
      <c r="V1529" s="5" t="inlineStr">
        <is>
          <t>OPTIONAL /tools/sitemap-url-extractor</t>
        </is>
      </c>
    </row>
    <row r="1530">
      <c r="A1530" t="inlineStr">
        <is>
          <t>K1528</t>
        </is>
      </c>
      <c r="B1530" t="inlineStr">
        <is>
          <t>générateur chatbot</t>
        </is>
      </c>
      <c r="C1530" t="inlineStr">
        <is>
          <t>France</t>
        </is>
      </c>
      <c r="D1530" t="inlineStr">
        <is>
          <t>fr</t>
        </is>
      </c>
      <c r="E1530" t="inlineStr">
        <is>
          <t>fr</t>
        </is>
      </c>
      <c r="F1530" t="inlineStr">
        <is>
          <t>NOT AVAILABLE</t>
        </is>
      </c>
      <c r="G1530" t="inlineStr">
        <is>
          <t>NOT AVAILABLE</t>
        </is>
      </c>
      <c r="H1530" t="inlineStr">
        <is>
          <t>NOT AVAILABLE</t>
        </is>
      </c>
      <c r="I1530" t="inlineStr">
        <is>
          <t>NOT AVAILABLE</t>
        </is>
      </c>
      <c r="J1530" t="inlineStr">
        <is>
          <t>NOT AVAILABLE</t>
        </is>
      </c>
      <c r="K1530" t="inlineStr">
        <is>
          <t>NOT AVAILABLE</t>
        </is>
      </c>
      <c r="L1530" t="inlineStr">
        <is>
          <t>NOT AVAILABLE</t>
        </is>
      </c>
      <c r="M1530" t="inlineStr">
        <is>
          <t>UNAVAILABLE</t>
        </is>
      </c>
      <c r="N1530" s="5" t="inlineStr">
        <is>
          <t>Semrush phrase_these returned no data (not billed)</t>
        </is>
      </c>
      <c r="O1530" t="inlineStr">
        <is>
          <t>2026-10-30</t>
        </is>
      </c>
      <c r="P1530">
        <f>IF(IF(J1530="NOT AVAILABLE","",J1530)="",12,IF(OR(ISNUMBER(SEARCH("Transactional",IF(J1530="NOT AVAILABLE","",J1530))),ISNUMBER(SEARCH("Commercial",IF(J1530="NOT AVAILABLE","",J1530)))),25,IF(ISNUMBER(SEARCH("Informational",IF(J1530="NOT AVAILABLE","",J1530))),10,IF(ISNUMBER(SEARCH("Navigational",IF(J1530="NOT AVAILABLE","",J1530))),0,12))))</f>
        <v/>
      </c>
      <c r="Q1530">
        <f>IF(ISNUMBER(F1530),MIN(30,ROUND(30*LOG10(F1530+1)/4,1)),0)</f>
        <v/>
      </c>
      <c r="R1530">
        <f>IF(ISNUMBER(G1530),ROUND(25*(100-G1530)/100,1),12.5)</f>
        <v/>
      </c>
      <c r="S1530" t="n">
        <v>14</v>
      </c>
      <c r="T1530">
        <f>ROUND(P1530+Q1530+R1530+S1530,0)</f>
        <v/>
      </c>
      <c r="U1530" s="5" t="inlineStr"/>
      <c r="V1530" s="5" t="inlineStr">
        <is>
          <t>OPTIONAL /tools/chatbot-script-generator</t>
        </is>
      </c>
    </row>
    <row r="1531">
      <c r="A1531" t="inlineStr">
        <is>
          <t>K1529</t>
        </is>
      </c>
      <c r="B1531" t="inlineStr">
        <is>
          <t>générateur de balises meta</t>
        </is>
      </c>
      <c r="C1531" t="inlineStr">
        <is>
          <t>France</t>
        </is>
      </c>
      <c r="D1531" t="inlineStr">
        <is>
          <t>fr</t>
        </is>
      </c>
      <c r="E1531" t="inlineStr">
        <is>
          <t>fr</t>
        </is>
      </c>
      <c r="F1531" t="n">
        <v>0</v>
      </c>
      <c r="G1531" t="inlineStr">
        <is>
          <t>NOT AVAILABLE</t>
        </is>
      </c>
      <c r="H1531" t="n">
        <v>0</v>
      </c>
      <c r="I1531" t="n">
        <v>0</v>
      </c>
      <c r="J1531" t="inlineStr">
        <is>
          <t>NOT AVAILABLE</t>
        </is>
      </c>
      <c r="K1531" t="inlineStr">
        <is>
          <t>NOT AVAILABLE (report not requested)</t>
        </is>
      </c>
      <c r="L1531" t="inlineStr">
        <is>
          <t>flat (no data)</t>
        </is>
      </c>
      <c r="M1531" t="inlineStr">
        <is>
          <t>MEASURED</t>
        </is>
      </c>
      <c r="N1531" s="5" t="inlineStr">
        <is>
          <t>Semrush phrase_these (live, this session)</t>
        </is>
      </c>
      <c r="O1531" t="inlineStr">
        <is>
          <t>2026-10-30</t>
        </is>
      </c>
      <c r="P1531">
        <f>IF(IF(J1531="NOT AVAILABLE","",J1531)="",12,IF(OR(ISNUMBER(SEARCH("Transactional",IF(J1531="NOT AVAILABLE","",J1531))),ISNUMBER(SEARCH("Commercial",IF(J1531="NOT AVAILABLE","",J1531)))),25,IF(ISNUMBER(SEARCH("Informational",IF(J1531="NOT AVAILABLE","",J1531))),10,IF(ISNUMBER(SEARCH("Navigational",IF(J1531="NOT AVAILABLE","",J1531))),0,12))))</f>
        <v/>
      </c>
      <c r="Q1531">
        <f>IF(ISNUMBER(F1531),MIN(30,ROUND(30*LOG10(F1531+1)/4,1)),0)</f>
        <v/>
      </c>
      <c r="R1531">
        <f>IF(ISNUMBER(G1531),ROUND(25*(100-G1531)/100,1),12.5)</f>
        <v/>
      </c>
      <c r="S1531" t="n">
        <v>14</v>
      </c>
      <c r="T1531">
        <f>ROUND(P1531+Q1531+R1531+S1531,0)</f>
        <v/>
      </c>
      <c r="U1531" s="5" t="inlineStr"/>
      <c r="V1531" s="5" t="inlineStr">
        <is>
          <t>OPTIONAL /tools/meta-tag-generator</t>
        </is>
      </c>
    </row>
    <row r="1532">
      <c r="A1532" t="inlineStr">
        <is>
          <t>K1530</t>
        </is>
      </c>
      <c r="B1532" t="inlineStr">
        <is>
          <t>générateur de slug</t>
        </is>
      </c>
      <c r="C1532" t="inlineStr">
        <is>
          <t>France</t>
        </is>
      </c>
      <c r="D1532" t="inlineStr">
        <is>
          <t>fr</t>
        </is>
      </c>
      <c r="E1532" t="inlineStr">
        <is>
          <t>fr</t>
        </is>
      </c>
      <c r="F1532" t="inlineStr">
        <is>
          <t>NOT AVAILABLE</t>
        </is>
      </c>
      <c r="G1532" t="inlineStr">
        <is>
          <t>NOT AVAILABLE</t>
        </is>
      </c>
      <c r="H1532" t="inlineStr">
        <is>
          <t>NOT AVAILABLE</t>
        </is>
      </c>
      <c r="I1532" t="inlineStr">
        <is>
          <t>NOT AVAILABLE</t>
        </is>
      </c>
      <c r="J1532" t="inlineStr">
        <is>
          <t>NOT AVAILABLE</t>
        </is>
      </c>
      <c r="K1532" t="inlineStr">
        <is>
          <t>NOT AVAILABLE</t>
        </is>
      </c>
      <c r="L1532" t="inlineStr">
        <is>
          <t>NOT AVAILABLE</t>
        </is>
      </c>
      <c r="M1532" t="inlineStr">
        <is>
          <t>UNAVAILABLE</t>
        </is>
      </c>
      <c r="N1532" s="5" t="inlineStr">
        <is>
          <t>Semrush phrase_these returned no data (not billed)</t>
        </is>
      </c>
      <c r="O1532" t="inlineStr">
        <is>
          <t>2026-10-30</t>
        </is>
      </c>
      <c r="P1532">
        <f>IF(IF(J1532="NOT AVAILABLE","",J1532)="",12,IF(OR(ISNUMBER(SEARCH("Transactional",IF(J1532="NOT AVAILABLE","",J1532))),ISNUMBER(SEARCH("Commercial",IF(J1532="NOT AVAILABLE","",J1532)))),25,IF(ISNUMBER(SEARCH("Informational",IF(J1532="NOT AVAILABLE","",J1532))),10,IF(ISNUMBER(SEARCH("Navigational",IF(J1532="NOT AVAILABLE","",J1532))),0,12))))</f>
        <v/>
      </c>
      <c r="Q1532">
        <f>IF(ISNUMBER(F1532),MIN(30,ROUND(30*LOG10(F1532+1)/4,1)),0)</f>
        <v/>
      </c>
      <c r="R1532">
        <f>IF(ISNUMBER(G1532),ROUND(25*(100-G1532)/100,1),12.5)</f>
        <v/>
      </c>
      <c r="S1532" t="n">
        <v>14</v>
      </c>
      <c r="T1532">
        <f>ROUND(P1532+Q1532+R1532+S1532,0)</f>
        <v/>
      </c>
      <c r="U1532" s="5" t="inlineStr"/>
      <c r="V1532" s="5" t="inlineStr">
        <is>
          <t>OPTIONAL /tools/url-slug-generator</t>
        </is>
      </c>
    </row>
    <row r="1533">
      <c r="A1533" t="inlineStr">
        <is>
          <t>K1531</t>
        </is>
      </c>
      <c r="B1533" t="inlineStr">
        <is>
          <t>générateur de titre de blog</t>
        </is>
      </c>
      <c r="C1533" t="inlineStr">
        <is>
          <t>France</t>
        </is>
      </c>
      <c r="D1533" t="inlineStr">
        <is>
          <t>fr</t>
        </is>
      </c>
      <c r="E1533" t="inlineStr">
        <is>
          <t>fr</t>
        </is>
      </c>
      <c r="F1533" t="n">
        <v>0</v>
      </c>
      <c r="G1533" t="inlineStr">
        <is>
          <t>NOT AVAILABLE</t>
        </is>
      </c>
      <c r="H1533" t="n">
        <v>0</v>
      </c>
      <c r="I1533" t="n">
        <v>0</v>
      </c>
      <c r="J1533" t="inlineStr">
        <is>
          <t>NOT AVAILABLE</t>
        </is>
      </c>
      <c r="K1533" t="inlineStr">
        <is>
          <t>NOT AVAILABLE (report not requested)</t>
        </is>
      </c>
      <c r="L1533" t="inlineStr">
        <is>
          <t>flat (no data)</t>
        </is>
      </c>
      <c r="M1533" t="inlineStr">
        <is>
          <t>MEASURED</t>
        </is>
      </c>
      <c r="N1533" s="5" t="inlineStr">
        <is>
          <t>Semrush phrase_these (live, this session)</t>
        </is>
      </c>
      <c r="O1533" t="inlineStr">
        <is>
          <t>2026-10-30</t>
        </is>
      </c>
      <c r="P1533">
        <f>IF(IF(J1533="NOT AVAILABLE","",J1533)="",12,IF(OR(ISNUMBER(SEARCH("Transactional",IF(J1533="NOT AVAILABLE","",J1533))),ISNUMBER(SEARCH("Commercial",IF(J1533="NOT AVAILABLE","",J1533)))),25,IF(ISNUMBER(SEARCH("Informational",IF(J1533="NOT AVAILABLE","",J1533))),10,IF(ISNUMBER(SEARCH("Navigational",IF(J1533="NOT AVAILABLE","",J1533))),0,12))))</f>
        <v/>
      </c>
      <c r="Q1533">
        <f>IF(ISNUMBER(F1533),MIN(30,ROUND(30*LOG10(F1533+1)/4,1)),0)</f>
        <v/>
      </c>
      <c r="R1533">
        <f>IF(ISNUMBER(G1533),ROUND(25*(100-G1533)/100,1),12.5)</f>
        <v/>
      </c>
      <c r="S1533" t="n">
        <v>14</v>
      </c>
      <c r="T1533">
        <f>ROUND(P1533+Q1533+R1533+S1533,0)</f>
        <v/>
      </c>
      <c r="U1533" s="5" t="inlineStr"/>
      <c r="V1533" s="5" t="inlineStr">
        <is>
          <t>OPTIONAL /tools/blog-title-generator</t>
        </is>
      </c>
    </row>
    <row r="1534">
      <c r="A1534" t="inlineStr">
        <is>
          <t>K1532</t>
        </is>
      </c>
      <c r="B1534" t="inlineStr">
        <is>
          <t>générateur données structurées</t>
        </is>
      </c>
      <c r="C1534" t="inlineStr">
        <is>
          <t>France</t>
        </is>
      </c>
      <c r="D1534" t="inlineStr">
        <is>
          <t>fr</t>
        </is>
      </c>
      <c r="E1534" t="inlineStr">
        <is>
          <t>fr</t>
        </is>
      </c>
      <c r="F1534" t="inlineStr">
        <is>
          <t>NOT AVAILABLE</t>
        </is>
      </c>
      <c r="G1534" t="inlineStr">
        <is>
          <t>NOT AVAILABLE</t>
        </is>
      </c>
      <c r="H1534" t="inlineStr">
        <is>
          <t>NOT AVAILABLE</t>
        </is>
      </c>
      <c r="I1534" t="inlineStr">
        <is>
          <t>NOT AVAILABLE</t>
        </is>
      </c>
      <c r="J1534" t="inlineStr">
        <is>
          <t>NOT AVAILABLE</t>
        </is>
      </c>
      <c r="K1534" t="inlineStr">
        <is>
          <t>NOT AVAILABLE</t>
        </is>
      </c>
      <c r="L1534" t="inlineStr">
        <is>
          <t>NOT AVAILABLE</t>
        </is>
      </c>
      <c r="M1534" t="inlineStr">
        <is>
          <t>UNAVAILABLE</t>
        </is>
      </c>
      <c r="N1534" s="5" t="inlineStr">
        <is>
          <t>Semrush phrase_these returned no data (not billed)</t>
        </is>
      </c>
      <c r="O1534" t="inlineStr">
        <is>
          <t>2026-10-30</t>
        </is>
      </c>
      <c r="P1534">
        <f>IF(IF(J1534="NOT AVAILABLE","",J1534)="",12,IF(OR(ISNUMBER(SEARCH("Transactional",IF(J1534="NOT AVAILABLE","",J1534))),ISNUMBER(SEARCH("Commercial",IF(J1534="NOT AVAILABLE","",J1534)))),25,IF(ISNUMBER(SEARCH("Informational",IF(J1534="NOT AVAILABLE","",J1534))),10,IF(ISNUMBER(SEARCH("Navigational",IF(J1534="NOT AVAILABLE","",J1534))),0,12))))</f>
        <v/>
      </c>
      <c r="Q1534">
        <f>IF(ISNUMBER(F1534),MIN(30,ROUND(30*LOG10(F1534+1)/4,1)),0)</f>
        <v/>
      </c>
      <c r="R1534">
        <f>IF(ISNUMBER(G1534),ROUND(25*(100-G1534)/100,1),12.5)</f>
        <v/>
      </c>
      <c r="S1534" t="n">
        <v>14</v>
      </c>
      <c r="T1534">
        <f>ROUND(P1534+Q1534+R1534+S1534,0)</f>
        <v/>
      </c>
      <c r="U1534" s="5" t="inlineStr"/>
      <c r="V1534" s="5" t="inlineStr">
        <is>
          <t>OPTIONAL /tools/schema-generator</t>
        </is>
      </c>
    </row>
    <row r="1535">
      <c r="A1535" t="inlineStr">
        <is>
          <t>K1533</t>
        </is>
      </c>
      <c r="B1535" t="inlineStr">
        <is>
          <t>générateur hreflang</t>
        </is>
      </c>
      <c r="C1535" t="inlineStr">
        <is>
          <t>France</t>
        </is>
      </c>
      <c r="D1535" t="inlineStr">
        <is>
          <t>fr</t>
        </is>
      </c>
      <c r="E1535" t="inlineStr">
        <is>
          <t>fr</t>
        </is>
      </c>
      <c r="F1535" t="inlineStr">
        <is>
          <t>NOT AVAILABLE</t>
        </is>
      </c>
      <c r="G1535" t="inlineStr">
        <is>
          <t>NOT AVAILABLE</t>
        </is>
      </c>
      <c r="H1535" t="inlineStr">
        <is>
          <t>NOT AVAILABLE</t>
        </is>
      </c>
      <c r="I1535" t="inlineStr">
        <is>
          <t>NOT AVAILABLE</t>
        </is>
      </c>
      <c r="J1535" t="inlineStr">
        <is>
          <t>NOT AVAILABLE</t>
        </is>
      </c>
      <c r="K1535" t="inlineStr">
        <is>
          <t>NOT AVAILABLE</t>
        </is>
      </c>
      <c r="L1535" t="inlineStr">
        <is>
          <t>NOT AVAILABLE</t>
        </is>
      </c>
      <c r="M1535" t="inlineStr">
        <is>
          <t>UNAVAILABLE</t>
        </is>
      </c>
      <c r="N1535" s="5" t="inlineStr">
        <is>
          <t>Semrush phrase_these returned no data (not billed)</t>
        </is>
      </c>
      <c r="O1535" t="inlineStr">
        <is>
          <t>2026-10-30</t>
        </is>
      </c>
      <c r="P1535">
        <f>IF(IF(J1535="NOT AVAILABLE","",J1535)="",12,IF(OR(ISNUMBER(SEARCH("Transactional",IF(J1535="NOT AVAILABLE","",J1535))),ISNUMBER(SEARCH("Commercial",IF(J1535="NOT AVAILABLE","",J1535)))),25,IF(ISNUMBER(SEARCH("Informational",IF(J1535="NOT AVAILABLE","",J1535))),10,IF(ISNUMBER(SEARCH("Navigational",IF(J1535="NOT AVAILABLE","",J1535))),0,12))))</f>
        <v/>
      </c>
      <c r="Q1535">
        <f>IF(ISNUMBER(F1535),MIN(30,ROUND(30*LOG10(F1535+1)/4,1)),0)</f>
        <v/>
      </c>
      <c r="R1535">
        <f>IF(ISNUMBER(G1535),ROUND(25*(100-G1535)/100,1),12.5)</f>
        <v/>
      </c>
      <c r="S1535" t="n">
        <v>14</v>
      </c>
      <c r="T1535">
        <f>ROUND(P1535+Q1535+R1535+S1535,0)</f>
        <v/>
      </c>
      <c r="U1535" s="5" t="inlineStr"/>
      <c r="V1535" s="5" t="inlineStr">
        <is>
          <t>OPTIONAL /tools/hreflang-generator</t>
        </is>
      </c>
    </row>
    <row r="1536">
      <c r="A1536" t="inlineStr">
        <is>
          <t>K1534</t>
        </is>
      </c>
      <c r="B1536" t="inlineStr">
        <is>
          <t>générateur landing page</t>
        </is>
      </c>
      <c r="C1536" t="inlineStr">
        <is>
          <t>France</t>
        </is>
      </c>
      <c r="D1536" t="inlineStr">
        <is>
          <t>fr</t>
        </is>
      </c>
      <c r="E1536" t="inlineStr">
        <is>
          <t>fr</t>
        </is>
      </c>
      <c r="F1536" t="n">
        <v>0</v>
      </c>
      <c r="G1536" t="inlineStr">
        <is>
          <t>NOT AVAILABLE</t>
        </is>
      </c>
      <c r="H1536" t="n">
        <v>0</v>
      </c>
      <c r="I1536" t="n">
        <v>0</v>
      </c>
      <c r="J1536" t="inlineStr">
        <is>
          <t>NOT AVAILABLE</t>
        </is>
      </c>
      <c r="K1536" t="inlineStr">
        <is>
          <t>NOT AVAILABLE (report not requested)</t>
        </is>
      </c>
      <c r="L1536" t="inlineStr">
        <is>
          <t>flat (no data)</t>
        </is>
      </c>
      <c r="M1536" t="inlineStr">
        <is>
          <t>MEASURED</t>
        </is>
      </c>
      <c r="N1536" s="5" t="inlineStr">
        <is>
          <t>Semrush phrase_these (live, this session)</t>
        </is>
      </c>
      <c r="O1536" t="inlineStr">
        <is>
          <t>2026-10-30</t>
        </is>
      </c>
      <c r="P1536">
        <f>IF(IF(J1536="NOT AVAILABLE","",J1536)="",12,IF(OR(ISNUMBER(SEARCH("Transactional",IF(J1536="NOT AVAILABLE","",J1536))),ISNUMBER(SEARCH("Commercial",IF(J1536="NOT AVAILABLE","",J1536)))),25,IF(ISNUMBER(SEARCH("Informational",IF(J1536="NOT AVAILABLE","",J1536))),10,IF(ISNUMBER(SEARCH("Navigational",IF(J1536="NOT AVAILABLE","",J1536))),0,12))))</f>
        <v/>
      </c>
      <c r="Q1536">
        <f>IF(ISNUMBER(F1536),MIN(30,ROUND(30*LOG10(F1536+1)/4,1)),0)</f>
        <v/>
      </c>
      <c r="R1536">
        <f>IF(ISNUMBER(G1536),ROUND(25*(100-G1536)/100,1),12.5)</f>
        <v/>
      </c>
      <c r="S1536" t="n">
        <v>14</v>
      </c>
      <c r="T1536">
        <f>ROUND(P1536+Q1536+R1536+S1536,0)</f>
        <v/>
      </c>
      <c r="U1536" s="5" t="inlineStr"/>
      <c r="V1536" s="5" t="inlineStr">
        <is>
          <t>OPTIONAL /tools/landing-page-generator</t>
        </is>
      </c>
    </row>
    <row r="1537">
      <c r="A1537" t="inlineStr">
        <is>
          <t>K1535</t>
        </is>
      </c>
      <c r="B1537" t="inlineStr">
        <is>
          <t>générateur robots.txt</t>
        </is>
      </c>
      <c r="C1537" t="inlineStr">
        <is>
          <t>France</t>
        </is>
      </c>
      <c r="D1537" t="inlineStr">
        <is>
          <t>fr</t>
        </is>
      </c>
      <c r="E1537" t="inlineStr">
        <is>
          <t>fr</t>
        </is>
      </c>
      <c r="F1537" t="n">
        <v>0</v>
      </c>
      <c r="G1537" t="inlineStr">
        <is>
          <t>NOT AVAILABLE</t>
        </is>
      </c>
      <c r="H1537" t="n">
        <v>0</v>
      </c>
      <c r="I1537" t="n">
        <v>0</v>
      </c>
      <c r="J1537" t="inlineStr">
        <is>
          <t>NOT AVAILABLE</t>
        </is>
      </c>
      <c r="K1537" t="inlineStr">
        <is>
          <t>NOT AVAILABLE (report not requested)</t>
        </is>
      </c>
      <c r="L1537" t="inlineStr">
        <is>
          <t>flat (no data)</t>
        </is>
      </c>
      <c r="M1537" t="inlineStr">
        <is>
          <t>MEASURED</t>
        </is>
      </c>
      <c r="N1537" s="5" t="inlineStr">
        <is>
          <t>Semrush phrase_these (live, this session)</t>
        </is>
      </c>
      <c r="O1537" t="inlineStr">
        <is>
          <t>2026-10-30</t>
        </is>
      </c>
      <c r="P1537">
        <f>IF(IF(J1537="NOT AVAILABLE","",J1537)="",12,IF(OR(ISNUMBER(SEARCH("Transactional",IF(J1537="NOT AVAILABLE","",J1537))),ISNUMBER(SEARCH("Commercial",IF(J1537="NOT AVAILABLE","",J1537)))),25,IF(ISNUMBER(SEARCH("Informational",IF(J1537="NOT AVAILABLE","",J1537))),10,IF(ISNUMBER(SEARCH("Navigational",IF(J1537="NOT AVAILABLE","",J1537))),0,12))))</f>
        <v/>
      </c>
      <c r="Q1537">
        <f>IF(ISNUMBER(F1537),MIN(30,ROUND(30*LOG10(F1537+1)/4,1)),0)</f>
        <v/>
      </c>
      <c r="R1537">
        <f>IF(ISNUMBER(G1537),ROUND(25*(100-G1537)/100,1),12.5)</f>
        <v/>
      </c>
      <c r="S1537" t="n">
        <v>14</v>
      </c>
      <c r="T1537">
        <f>ROUND(P1537+Q1537+R1537+S1537,0)</f>
        <v/>
      </c>
      <c r="U1537" s="5" t="inlineStr"/>
      <c r="V1537" s="5" t="inlineStr">
        <is>
          <t>OPTIONAL /tools/robots-txt-generator</t>
        </is>
      </c>
    </row>
    <row r="1538">
      <c r="A1538" t="inlineStr">
        <is>
          <t>K1536</t>
        </is>
      </c>
      <c r="B1538" t="inlineStr">
        <is>
          <t>générateur schema</t>
        </is>
      </c>
      <c r="C1538" t="inlineStr">
        <is>
          <t>France</t>
        </is>
      </c>
      <c r="D1538" t="inlineStr">
        <is>
          <t>fr</t>
        </is>
      </c>
      <c r="E1538" t="inlineStr">
        <is>
          <t>fr</t>
        </is>
      </c>
      <c r="F1538" t="n">
        <v>0</v>
      </c>
      <c r="G1538" t="inlineStr">
        <is>
          <t>NOT AVAILABLE</t>
        </is>
      </c>
      <c r="H1538" t="n">
        <v>0</v>
      </c>
      <c r="I1538" t="n">
        <v>0</v>
      </c>
      <c r="J1538" t="inlineStr">
        <is>
          <t>NOT AVAILABLE</t>
        </is>
      </c>
      <c r="K1538" t="inlineStr">
        <is>
          <t>NOT AVAILABLE (report not requested)</t>
        </is>
      </c>
      <c r="L1538" t="inlineStr">
        <is>
          <t>flat (no data)</t>
        </is>
      </c>
      <c r="M1538" t="inlineStr">
        <is>
          <t>MEASURED</t>
        </is>
      </c>
      <c r="N1538" s="5" t="inlineStr">
        <is>
          <t>Semrush phrase_these (live, this session)</t>
        </is>
      </c>
      <c r="O1538" t="inlineStr">
        <is>
          <t>2026-10-30</t>
        </is>
      </c>
      <c r="P1538">
        <f>IF(IF(J1538="NOT AVAILABLE","",J1538)="",12,IF(OR(ISNUMBER(SEARCH("Transactional",IF(J1538="NOT AVAILABLE","",J1538))),ISNUMBER(SEARCH("Commercial",IF(J1538="NOT AVAILABLE","",J1538)))),25,IF(ISNUMBER(SEARCH("Informational",IF(J1538="NOT AVAILABLE","",J1538))),10,IF(ISNUMBER(SEARCH("Navigational",IF(J1538="NOT AVAILABLE","",J1538))),0,12))))</f>
        <v/>
      </c>
      <c r="Q1538">
        <f>IF(ISNUMBER(F1538),MIN(30,ROUND(30*LOG10(F1538+1)/4,1)),0)</f>
        <v/>
      </c>
      <c r="R1538">
        <f>IF(ISNUMBER(G1538),ROUND(25*(100-G1538)/100,1),12.5)</f>
        <v/>
      </c>
      <c r="S1538" t="n">
        <v>14</v>
      </c>
      <c r="T1538">
        <f>ROUND(P1538+Q1538+R1538+S1538,0)</f>
        <v/>
      </c>
      <c r="U1538" s="5" t="inlineStr"/>
      <c r="V1538" s="5" t="inlineStr">
        <is>
          <t>OPTIONAL /tools/schema-generator</t>
        </is>
      </c>
    </row>
    <row r="1539">
      <c r="A1539" t="inlineStr">
        <is>
          <t>K1537</t>
        </is>
      </c>
      <c r="B1539" t="inlineStr">
        <is>
          <t>générateur schema faq</t>
        </is>
      </c>
      <c r="C1539" t="inlineStr">
        <is>
          <t>France</t>
        </is>
      </c>
      <c r="D1539" t="inlineStr">
        <is>
          <t>fr</t>
        </is>
      </c>
      <c r="E1539" t="inlineStr">
        <is>
          <t>fr</t>
        </is>
      </c>
      <c r="F1539" t="inlineStr">
        <is>
          <t>NOT AVAILABLE</t>
        </is>
      </c>
      <c r="G1539" t="inlineStr">
        <is>
          <t>NOT AVAILABLE</t>
        </is>
      </c>
      <c r="H1539" t="inlineStr">
        <is>
          <t>NOT AVAILABLE</t>
        </is>
      </c>
      <c r="I1539" t="inlineStr">
        <is>
          <t>NOT AVAILABLE</t>
        </is>
      </c>
      <c r="J1539" t="inlineStr">
        <is>
          <t>NOT AVAILABLE</t>
        </is>
      </c>
      <c r="K1539" t="inlineStr">
        <is>
          <t>NOT AVAILABLE</t>
        </is>
      </c>
      <c r="L1539" t="inlineStr">
        <is>
          <t>NOT AVAILABLE</t>
        </is>
      </c>
      <c r="M1539" t="inlineStr">
        <is>
          <t>UNAVAILABLE</t>
        </is>
      </c>
      <c r="N1539" s="5" t="inlineStr">
        <is>
          <t>Semrush phrase_these returned no data (not billed)</t>
        </is>
      </c>
      <c r="O1539" t="inlineStr">
        <is>
          <t>2026-10-30</t>
        </is>
      </c>
      <c r="P1539">
        <f>IF(IF(J1539="NOT AVAILABLE","",J1539)="",12,IF(OR(ISNUMBER(SEARCH("Transactional",IF(J1539="NOT AVAILABLE","",J1539))),ISNUMBER(SEARCH("Commercial",IF(J1539="NOT AVAILABLE","",J1539)))),25,IF(ISNUMBER(SEARCH("Informational",IF(J1539="NOT AVAILABLE","",J1539))),10,IF(ISNUMBER(SEARCH("Navigational",IF(J1539="NOT AVAILABLE","",J1539))),0,12))))</f>
        <v/>
      </c>
      <c r="Q1539">
        <f>IF(ISNUMBER(F1539),MIN(30,ROUND(30*LOG10(F1539+1)/4,1)),0)</f>
        <v/>
      </c>
      <c r="R1539">
        <f>IF(ISNUMBER(G1539),ROUND(25*(100-G1539)/100,1),12.5)</f>
        <v/>
      </c>
      <c r="S1539" t="n">
        <v>14</v>
      </c>
      <c r="T1539">
        <f>ROUND(P1539+Q1539+R1539+S1539,0)</f>
        <v/>
      </c>
      <c r="U1539" s="5" t="inlineStr"/>
      <c r="V1539" s="5" t="inlineStr">
        <is>
          <t>OPTIONAL /tools/faq-schema-generator</t>
        </is>
      </c>
    </row>
    <row r="1540">
      <c r="A1540" t="inlineStr">
        <is>
          <t>K1538</t>
        </is>
      </c>
      <c r="B1540" t="inlineStr">
        <is>
          <t>générateur titre ia</t>
        </is>
      </c>
      <c r="C1540" t="inlineStr">
        <is>
          <t>France</t>
        </is>
      </c>
      <c r="D1540" t="inlineStr">
        <is>
          <t>fr</t>
        </is>
      </c>
      <c r="E1540" t="inlineStr">
        <is>
          <t>fr</t>
        </is>
      </c>
      <c r="F1540" t="inlineStr">
        <is>
          <t>NOT AVAILABLE</t>
        </is>
      </c>
      <c r="G1540" t="inlineStr">
        <is>
          <t>NOT AVAILABLE</t>
        </is>
      </c>
      <c r="H1540" t="inlineStr">
        <is>
          <t>NOT AVAILABLE</t>
        </is>
      </c>
      <c r="I1540" t="inlineStr">
        <is>
          <t>NOT AVAILABLE</t>
        </is>
      </c>
      <c r="J1540" t="inlineStr">
        <is>
          <t>NOT AVAILABLE</t>
        </is>
      </c>
      <c r="K1540" t="inlineStr">
        <is>
          <t>NOT AVAILABLE</t>
        </is>
      </c>
      <c r="L1540" t="inlineStr">
        <is>
          <t>NOT AVAILABLE</t>
        </is>
      </c>
      <c r="M1540" t="inlineStr">
        <is>
          <t>UNAVAILABLE</t>
        </is>
      </c>
      <c r="N1540" s="5" t="inlineStr">
        <is>
          <t>Semrush phrase_these returned no data (not billed)</t>
        </is>
      </c>
      <c r="O1540" t="inlineStr">
        <is>
          <t>2026-10-30</t>
        </is>
      </c>
      <c r="P1540">
        <f>IF(IF(J1540="NOT AVAILABLE","",J1540)="",12,IF(OR(ISNUMBER(SEARCH("Transactional",IF(J1540="NOT AVAILABLE","",J1540))),ISNUMBER(SEARCH("Commercial",IF(J1540="NOT AVAILABLE","",J1540)))),25,IF(ISNUMBER(SEARCH("Informational",IF(J1540="NOT AVAILABLE","",J1540))),10,IF(ISNUMBER(SEARCH("Navigational",IF(J1540="NOT AVAILABLE","",J1540))),0,12))))</f>
        <v/>
      </c>
      <c r="Q1540">
        <f>IF(ISNUMBER(F1540),MIN(30,ROUND(30*LOG10(F1540+1)/4,1)),0)</f>
        <v/>
      </c>
      <c r="R1540">
        <f>IF(ISNUMBER(G1540),ROUND(25*(100-G1540)/100,1),12.5)</f>
        <v/>
      </c>
      <c r="S1540" t="n">
        <v>14</v>
      </c>
      <c r="T1540">
        <f>ROUND(P1540+Q1540+R1540+S1540,0)</f>
        <v/>
      </c>
      <c r="U1540" s="5" t="inlineStr"/>
      <c r="V1540" s="5" t="inlineStr">
        <is>
          <t>OPTIONAL /tools/blog-title-generator</t>
        </is>
      </c>
    </row>
    <row r="1541">
      <c r="A1541" t="inlineStr">
        <is>
          <t>K1539</t>
        </is>
      </c>
      <c r="B1541" t="inlineStr">
        <is>
          <t>idée titre article</t>
        </is>
      </c>
      <c r="C1541" t="inlineStr">
        <is>
          <t>France</t>
        </is>
      </c>
      <c r="D1541" t="inlineStr">
        <is>
          <t>fr</t>
        </is>
      </c>
      <c r="E1541" t="inlineStr">
        <is>
          <t>fr</t>
        </is>
      </c>
      <c r="F1541" t="n">
        <v>0</v>
      </c>
      <c r="G1541" t="inlineStr">
        <is>
          <t>NOT AVAILABLE</t>
        </is>
      </c>
      <c r="H1541" t="n">
        <v>0</v>
      </c>
      <c r="I1541" t="n">
        <v>0</v>
      </c>
      <c r="J1541" t="inlineStr">
        <is>
          <t>NOT AVAILABLE</t>
        </is>
      </c>
      <c r="K1541" t="inlineStr">
        <is>
          <t>NOT AVAILABLE (report not requested)</t>
        </is>
      </c>
      <c r="L1541" t="inlineStr">
        <is>
          <t>flat (no data)</t>
        </is>
      </c>
      <c r="M1541" t="inlineStr">
        <is>
          <t>MEASURED</t>
        </is>
      </c>
      <c r="N1541" s="5" t="inlineStr">
        <is>
          <t>Semrush phrase_these (live, this session)</t>
        </is>
      </c>
      <c r="O1541" t="inlineStr">
        <is>
          <t>2026-10-30</t>
        </is>
      </c>
      <c r="P1541">
        <f>IF(IF(J1541="NOT AVAILABLE","",J1541)="",12,IF(OR(ISNUMBER(SEARCH("Transactional",IF(J1541="NOT AVAILABLE","",J1541))),ISNUMBER(SEARCH("Commercial",IF(J1541="NOT AVAILABLE","",J1541)))),25,IF(ISNUMBER(SEARCH("Informational",IF(J1541="NOT AVAILABLE","",J1541))),10,IF(ISNUMBER(SEARCH("Navigational",IF(J1541="NOT AVAILABLE","",J1541))),0,12))))</f>
        <v/>
      </c>
      <c r="Q1541">
        <f>IF(ISNUMBER(F1541),MIN(30,ROUND(30*LOG10(F1541+1)/4,1)),0)</f>
        <v/>
      </c>
      <c r="R1541">
        <f>IF(ISNUMBER(G1541),ROUND(25*(100-G1541)/100,1),12.5)</f>
        <v/>
      </c>
      <c r="S1541" t="n">
        <v>14</v>
      </c>
      <c r="T1541">
        <f>ROUND(P1541+Q1541+R1541+S1541,0)</f>
        <v/>
      </c>
      <c r="U1541" s="5" t="inlineStr"/>
      <c r="V1541" s="5" t="inlineStr">
        <is>
          <t>OPTIONAL /tools/blog-title-generator</t>
        </is>
      </c>
    </row>
    <row r="1542">
      <c r="A1542" t="inlineStr">
        <is>
          <t>K1540</t>
        </is>
      </c>
      <c r="B1542" t="inlineStr">
        <is>
          <t>lisibilité texte</t>
        </is>
      </c>
      <c r="C1542" t="inlineStr">
        <is>
          <t>France</t>
        </is>
      </c>
      <c r="D1542" t="inlineStr">
        <is>
          <t>fr</t>
        </is>
      </c>
      <c r="E1542" t="inlineStr">
        <is>
          <t>fr</t>
        </is>
      </c>
      <c r="F1542" t="inlineStr">
        <is>
          <t>NOT AVAILABLE</t>
        </is>
      </c>
      <c r="G1542" t="inlineStr">
        <is>
          <t>NOT AVAILABLE</t>
        </is>
      </c>
      <c r="H1542" t="inlineStr">
        <is>
          <t>NOT AVAILABLE</t>
        </is>
      </c>
      <c r="I1542" t="inlineStr">
        <is>
          <t>NOT AVAILABLE</t>
        </is>
      </c>
      <c r="J1542" t="inlineStr">
        <is>
          <t>NOT AVAILABLE</t>
        </is>
      </c>
      <c r="K1542" t="inlineStr">
        <is>
          <t>NOT AVAILABLE</t>
        </is>
      </c>
      <c r="L1542" t="inlineStr">
        <is>
          <t>NOT AVAILABLE</t>
        </is>
      </c>
      <c r="M1542" t="inlineStr">
        <is>
          <t>UNAVAILABLE</t>
        </is>
      </c>
      <c r="N1542" s="5" t="inlineStr">
        <is>
          <t>Semrush phrase_these returned no data (not billed)</t>
        </is>
      </c>
      <c r="O1542" t="inlineStr">
        <is>
          <t>2026-10-30</t>
        </is>
      </c>
      <c r="P1542">
        <f>IF(IF(J1542="NOT AVAILABLE","",J1542)="",12,IF(OR(ISNUMBER(SEARCH("Transactional",IF(J1542="NOT AVAILABLE","",J1542))),ISNUMBER(SEARCH("Commercial",IF(J1542="NOT AVAILABLE","",J1542)))),25,IF(ISNUMBER(SEARCH("Informational",IF(J1542="NOT AVAILABLE","",J1542))),10,IF(ISNUMBER(SEARCH("Navigational",IF(J1542="NOT AVAILABLE","",J1542))),0,12))))</f>
        <v/>
      </c>
      <c r="Q1542">
        <f>IF(ISNUMBER(F1542),MIN(30,ROUND(30*LOG10(F1542+1)/4,1)),0)</f>
        <v/>
      </c>
      <c r="R1542">
        <f>IF(ISNUMBER(G1542),ROUND(25*(100-G1542)/100,1),12.5)</f>
        <v/>
      </c>
      <c r="S1542" t="n">
        <v>14</v>
      </c>
      <c r="T1542">
        <f>ROUND(P1542+Q1542+R1542+S1542,0)</f>
        <v/>
      </c>
      <c r="U1542" s="5" t="inlineStr"/>
      <c r="V1542" s="5" t="inlineStr">
        <is>
          <t>OPTIONAL /tools/readability-analyzer</t>
        </is>
      </c>
    </row>
    <row r="1543">
      <c r="A1543" t="inlineStr">
        <is>
          <t>K1541</t>
        </is>
      </c>
      <c r="B1543" t="inlineStr">
        <is>
          <t>lms sur mesure</t>
        </is>
      </c>
      <c r="C1543" t="inlineStr">
        <is>
          <t>France</t>
        </is>
      </c>
      <c r="D1543" t="inlineStr">
        <is>
          <t>fr</t>
        </is>
      </c>
      <c r="E1543" t="inlineStr">
        <is>
          <t>fr</t>
        </is>
      </c>
      <c r="F1543" t="inlineStr">
        <is>
          <t>NOT AVAILABLE</t>
        </is>
      </c>
      <c r="G1543" t="inlineStr">
        <is>
          <t>NOT AVAILABLE</t>
        </is>
      </c>
      <c r="H1543" t="inlineStr">
        <is>
          <t>NOT AVAILABLE</t>
        </is>
      </c>
      <c r="I1543" t="inlineStr">
        <is>
          <t>NOT AVAILABLE</t>
        </is>
      </c>
      <c r="J1543" t="inlineStr">
        <is>
          <t>NOT AVAILABLE</t>
        </is>
      </c>
      <c r="K1543" t="inlineStr">
        <is>
          <t>NOT AVAILABLE</t>
        </is>
      </c>
      <c r="L1543" t="inlineStr">
        <is>
          <t>NOT AVAILABLE</t>
        </is>
      </c>
      <c r="M1543" t="inlineStr">
        <is>
          <t>UNAVAILABLE</t>
        </is>
      </c>
      <c r="N1543" s="5" t="inlineStr">
        <is>
          <t>Semrush phrase_these returned no data (not billed)</t>
        </is>
      </c>
      <c r="O1543" t="inlineStr">
        <is>
          <t>2026-10-30</t>
        </is>
      </c>
      <c r="P1543">
        <f>IF(IF(J1543="NOT AVAILABLE","",J1543)="",12,IF(OR(ISNUMBER(SEARCH("Transactional",IF(J1543="NOT AVAILABLE","",J1543))),ISNUMBER(SEARCH("Commercial",IF(J1543="NOT AVAILABLE","",J1543)))),25,IF(ISNUMBER(SEARCH("Informational",IF(J1543="NOT AVAILABLE","",J1543))),10,IF(ISNUMBER(SEARCH("Navigational",IF(J1543="NOT AVAILABLE","",J1543))),0,12))))</f>
        <v/>
      </c>
      <c r="Q1543">
        <f>IF(ISNUMBER(F1543),MIN(30,ROUND(30*LOG10(F1543+1)/4,1)),0)</f>
        <v/>
      </c>
      <c r="R1543">
        <f>IF(ISNUMBER(G1543),ROUND(25*(100-G1543)/100,1),12.5)</f>
        <v/>
      </c>
      <c r="S1543" t="n">
        <v>14</v>
      </c>
      <c r="T1543">
        <f>ROUND(P1543+Q1543+R1543+S1543,0)</f>
        <v/>
      </c>
      <c r="U1543" s="5" t="inlineStr"/>
      <c r="V1543" s="5" t="inlineStr">
        <is>
          <t>PRIMARY /blog/lms-sur-mesure-ou-produit-edtech-quelle-plateforme-e-learning</t>
        </is>
      </c>
    </row>
    <row r="1544">
      <c r="A1544" t="inlineStr">
        <is>
          <t>K1542</t>
        </is>
      </c>
      <c r="B1544" t="inlineStr">
        <is>
          <t>logiciel facturation en ligne maroc</t>
        </is>
      </c>
      <c r="C1544" t="inlineStr">
        <is>
          <t>France</t>
        </is>
      </c>
      <c r="D1544" t="inlineStr">
        <is>
          <t>fr</t>
        </is>
      </c>
      <c r="E1544" t="inlineStr">
        <is>
          <t>fr</t>
        </is>
      </c>
      <c r="F1544" t="inlineStr">
        <is>
          <t>NOT AVAILABLE</t>
        </is>
      </c>
      <c r="G1544" t="inlineStr">
        <is>
          <t>NOT AVAILABLE</t>
        </is>
      </c>
      <c r="H1544" t="inlineStr">
        <is>
          <t>NOT AVAILABLE</t>
        </is>
      </c>
      <c r="I1544" t="inlineStr">
        <is>
          <t>NOT AVAILABLE</t>
        </is>
      </c>
      <c r="J1544" t="inlineStr">
        <is>
          <t>NOT AVAILABLE</t>
        </is>
      </c>
      <c r="K1544" t="inlineStr">
        <is>
          <t>NOT AVAILABLE</t>
        </is>
      </c>
      <c r="L1544" t="inlineStr">
        <is>
          <t>NOT AVAILABLE</t>
        </is>
      </c>
      <c r="M1544" t="inlineStr">
        <is>
          <t>UNAVAILABLE</t>
        </is>
      </c>
      <c r="N1544" s="5" t="inlineStr">
        <is>
          <t>Semrush phrase_these returned no data (not billed)</t>
        </is>
      </c>
      <c r="O1544" t="inlineStr">
        <is>
          <t>2026-10-30</t>
        </is>
      </c>
      <c r="P1544">
        <f>IF(IF(J1544="NOT AVAILABLE","",J1544)="",12,IF(OR(ISNUMBER(SEARCH("Transactional",IF(J1544="NOT AVAILABLE","",J1544))),ISNUMBER(SEARCH("Commercial",IF(J1544="NOT AVAILABLE","",J1544)))),25,IF(ISNUMBER(SEARCH("Informational",IF(J1544="NOT AVAILABLE","",J1544))),10,IF(ISNUMBER(SEARCH("Navigational",IF(J1544="NOT AVAILABLE","",J1544))),0,12))))</f>
        <v/>
      </c>
      <c r="Q1544">
        <f>IF(ISNUMBER(F1544),MIN(30,ROUND(30*LOG10(F1544+1)/4,1)),0)</f>
        <v/>
      </c>
      <c r="R1544">
        <f>IF(ISNUMBER(G1544),ROUND(25*(100-G1544)/100,1),12.5)</f>
        <v/>
      </c>
      <c r="S1544" t="n">
        <v>14</v>
      </c>
      <c r="T1544">
        <f>ROUND(P1544+Q1544+R1544+S1544,0)</f>
        <v/>
      </c>
      <c r="U1544" s="5" t="inlineStr"/>
      <c r="V1544" s="5" t="inlineStr"/>
    </row>
    <row r="1545">
      <c r="A1545" t="inlineStr">
        <is>
          <t>K1543</t>
        </is>
      </c>
      <c r="B1545" t="inlineStr">
        <is>
          <t>logiciel fintech</t>
        </is>
      </c>
      <c r="C1545" t="inlineStr">
        <is>
          <t>France</t>
        </is>
      </c>
      <c r="D1545" t="inlineStr">
        <is>
          <t>fr</t>
        </is>
      </c>
      <c r="E1545" t="inlineStr">
        <is>
          <t>fr</t>
        </is>
      </c>
      <c r="F1545" t="inlineStr">
        <is>
          <t>NOT AVAILABLE</t>
        </is>
      </c>
      <c r="G1545" t="inlineStr">
        <is>
          <t>NOT AVAILABLE</t>
        </is>
      </c>
      <c r="H1545" t="inlineStr">
        <is>
          <t>NOT AVAILABLE</t>
        </is>
      </c>
      <c r="I1545" t="inlineStr">
        <is>
          <t>NOT AVAILABLE</t>
        </is>
      </c>
      <c r="J1545" t="inlineStr">
        <is>
          <t>NOT AVAILABLE</t>
        </is>
      </c>
      <c r="K1545" t="inlineStr">
        <is>
          <t>NOT AVAILABLE</t>
        </is>
      </c>
      <c r="L1545" t="inlineStr">
        <is>
          <t>NOT AVAILABLE</t>
        </is>
      </c>
      <c r="M1545" t="inlineStr">
        <is>
          <t>UNAVAILABLE</t>
        </is>
      </c>
      <c r="N1545" s="5" t="inlineStr">
        <is>
          <t>Semrush phrase_these returned no data (not billed)</t>
        </is>
      </c>
      <c r="O1545" t="inlineStr">
        <is>
          <t>2026-10-30</t>
        </is>
      </c>
      <c r="P1545">
        <f>IF(IF(J1545="NOT AVAILABLE","",J1545)="",12,IF(OR(ISNUMBER(SEARCH("Transactional",IF(J1545="NOT AVAILABLE","",J1545))),ISNUMBER(SEARCH("Commercial",IF(J1545="NOT AVAILABLE","",J1545)))),25,IF(ISNUMBER(SEARCH("Informational",IF(J1545="NOT AVAILABLE","",J1545))),10,IF(ISNUMBER(SEARCH("Navigational",IF(J1545="NOT AVAILABLE","",J1545))),0,12))))</f>
        <v/>
      </c>
      <c r="Q1545">
        <f>IF(ISNUMBER(F1545),MIN(30,ROUND(30*LOG10(F1545+1)/4,1)),0)</f>
        <v/>
      </c>
      <c r="R1545">
        <f>IF(ISNUMBER(G1545),ROUND(25*(100-G1545)/100,1),12.5)</f>
        <v/>
      </c>
      <c r="S1545" t="n">
        <v>14</v>
      </c>
      <c r="T1545">
        <f>ROUND(P1545+Q1545+R1545+S1545,0)</f>
        <v/>
      </c>
      <c r="U1545" s="5" t="inlineStr"/>
      <c r="V1545" s="5" t="inlineStr"/>
    </row>
    <row r="1546">
      <c r="A1546" t="inlineStr">
        <is>
          <t>K1544</t>
        </is>
      </c>
      <c r="B1546" t="inlineStr">
        <is>
          <t>logiciel école de langue</t>
        </is>
      </c>
      <c r="C1546" t="inlineStr">
        <is>
          <t>France</t>
        </is>
      </c>
      <c r="D1546" t="inlineStr">
        <is>
          <t>fr</t>
        </is>
      </c>
      <c r="E1546" t="inlineStr">
        <is>
          <t>fr</t>
        </is>
      </c>
      <c r="F1546" t="inlineStr">
        <is>
          <t>NOT AVAILABLE</t>
        </is>
      </c>
      <c r="G1546" t="inlineStr">
        <is>
          <t>NOT AVAILABLE</t>
        </is>
      </c>
      <c r="H1546" t="inlineStr">
        <is>
          <t>NOT AVAILABLE</t>
        </is>
      </c>
      <c r="I1546" t="inlineStr">
        <is>
          <t>NOT AVAILABLE</t>
        </is>
      </c>
      <c r="J1546" t="inlineStr">
        <is>
          <t>NOT AVAILABLE</t>
        </is>
      </c>
      <c r="K1546" t="inlineStr">
        <is>
          <t>NOT AVAILABLE</t>
        </is>
      </c>
      <c r="L1546" t="inlineStr">
        <is>
          <t>NOT AVAILABLE</t>
        </is>
      </c>
      <c r="M1546" t="inlineStr">
        <is>
          <t>UNAVAILABLE</t>
        </is>
      </c>
      <c r="N1546" s="5" t="inlineStr">
        <is>
          <t>Semrush phrase_these returned no data (not billed)</t>
        </is>
      </c>
      <c r="O1546" t="inlineStr">
        <is>
          <t>2026-10-30</t>
        </is>
      </c>
      <c r="P1546">
        <f>IF(IF(J1546="NOT AVAILABLE","",J1546)="",12,IF(OR(ISNUMBER(SEARCH("Transactional",IF(J1546="NOT AVAILABLE","",J1546))),ISNUMBER(SEARCH("Commercial",IF(J1546="NOT AVAILABLE","",J1546)))),25,IF(ISNUMBER(SEARCH("Informational",IF(J1546="NOT AVAILABLE","",J1546))),10,IF(ISNUMBER(SEARCH("Navigational",IF(J1546="NOT AVAILABLE","",J1546))),0,12))))</f>
        <v/>
      </c>
      <c r="Q1546">
        <f>IF(ISNUMBER(F1546),MIN(30,ROUND(30*LOG10(F1546+1)/4,1)),0)</f>
        <v/>
      </c>
      <c r="R1546">
        <f>IF(ISNUMBER(G1546),ROUND(25*(100-G1546)/100,1),12.5)</f>
        <v/>
      </c>
      <c r="S1546" t="n">
        <v>14</v>
      </c>
      <c r="T1546">
        <f>ROUND(P1546+Q1546+R1546+S1546,0)</f>
        <v/>
      </c>
      <c r="U1546" s="5" t="inlineStr"/>
      <c r="V1546" s="5" t="inlineStr">
        <is>
          <t>SUPPORTING /services/language-school-website-development</t>
        </is>
      </c>
    </row>
    <row r="1547">
      <c r="A1547" t="inlineStr">
        <is>
          <t>K1545</t>
        </is>
      </c>
      <c r="B1547" t="inlineStr">
        <is>
          <t>matériel dentaire maroc</t>
        </is>
      </c>
      <c r="C1547" t="inlineStr">
        <is>
          <t>France</t>
        </is>
      </c>
      <c r="D1547" t="inlineStr">
        <is>
          <t>fr</t>
        </is>
      </c>
      <c r="E1547" t="inlineStr">
        <is>
          <t>fr</t>
        </is>
      </c>
      <c r="F1547" t="inlineStr">
        <is>
          <t>NOT AVAILABLE</t>
        </is>
      </c>
      <c r="G1547" t="inlineStr">
        <is>
          <t>NOT AVAILABLE</t>
        </is>
      </c>
      <c r="H1547" t="inlineStr">
        <is>
          <t>NOT AVAILABLE</t>
        </is>
      </c>
      <c r="I1547" t="inlineStr">
        <is>
          <t>NOT AVAILABLE</t>
        </is>
      </c>
      <c r="J1547" t="inlineStr">
        <is>
          <t>NOT AVAILABLE</t>
        </is>
      </c>
      <c r="K1547" t="inlineStr">
        <is>
          <t>NOT AVAILABLE</t>
        </is>
      </c>
      <c r="L1547" t="inlineStr">
        <is>
          <t>NOT AVAILABLE</t>
        </is>
      </c>
      <c r="M1547" t="inlineStr">
        <is>
          <t>UNAVAILABLE</t>
        </is>
      </c>
      <c r="N1547" s="5" t="inlineStr">
        <is>
          <t>Semrush phrase_these returned no data (not billed)</t>
        </is>
      </c>
      <c r="O1547" t="inlineStr">
        <is>
          <t>2026-10-30</t>
        </is>
      </c>
      <c r="P1547">
        <f>IF(IF(J1547="NOT AVAILABLE","",J1547)="",12,IF(OR(ISNUMBER(SEARCH("Transactional",IF(J1547="NOT AVAILABLE","",J1547))),ISNUMBER(SEARCH("Commercial",IF(J1547="NOT AVAILABLE","",J1547)))),25,IF(ISNUMBER(SEARCH("Informational",IF(J1547="NOT AVAILABLE","",J1547))),10,IF(ISNUMBER(SEARCH("Navigational",IF(J1547="NOT AVAILABLE","",J1547))),0,12))))</f>
        <v/>
      </c>
      <c r="Q1547">
        <f>IF(ISNUMBER(F1547),MIN(30,ROUND(30*LOG10(F1547+1)/4,1)),0)</f>
        <v/>
      </c>
      <c r="R1547">
        <f>IF(ISNUMBER(G1547),ROUND(25*(100-G1547)/100,1),12.5)</f>
        <v/>
      </c>
      <c r="S1547" t="n">
        <v>14</v>
      </c>
      <c r="T1547">
        <f>ROUND(P1547+Q1547+R1547+S1547,0)</f>
        <v/>
      </c>
      <c r="U1547" s="5" t="inlineStr"/>
      <c r="V1547" s="5" t="inlineStr"/>
    </row>
    <row r="1548">
      <c r="A1548" t="inlineStr">
        <is>
          <t>K1546</t>
        </is>
      </c>
      <c r="B1548" t="inlineStr">
        <is>
          <t>meilleure plateforme e-learning</t>
        </is>
      </c>
      <c r="C1548" t="inlineStr">
        <is>
          <t>France</t>
        </is>
      </c>
      <c r="D1548" t="inlineStr">
        <is>
          <t>fr</t>
        </is>
      </c>
      <c r="E1548" t="inlineStr">
        <is>
          <t>fr</t>
        </is>
      </c>
      <c r="F1548" t="n">
        <v>0</v>
      </c>
      <c r="G1548" t="inlineStr">
        <is>
          <t>NOT AVAILABLE</t>
        </is>
      </c>
      <c r="H1548" t="n">
        <v>0</v>
      </c>
      <c r="I1548" t="n">
        <v>0.43</v>
      </c>
      <c r="J1548" t="inlineStr">
        <is>
          <t>NOT AVAILABLE</t>
        </is>
      </c>
      <c r="K1548" t="inlineStr">
        <is>
          <t>NOT AVAILABLE (report not requested)</t>
        </is>
      </c>
      <c r="L1548" t="inlineStr">
        <is>
          <t>flat (no data)</t>
        </is>
      </c>
      <c r="M1548" t="inlineStr">
        <is>
          <t>MEASURED</t>
        </is>
      </c>
      <c r="N1548" s="5" t="inlineStr">
        <is>
          <t>Semrush phrase_these (live, this session)</t>
        </is>
      </c>
      <c r="O1548" t="inlineStr">
        <is>
          <t>2026-10-30</t>
        </is>
      </c>
      <c r="P1548">
        <f>IF(IF(J1548="NOT AVAILABLE","",J1548)="",12,IF(OR(ISNUMBER(SEARCH("Transactional",IF(J1548="NOT AVAILABLE","",J1548))),ISNUMBER(SEARCH("Commercial",IF(J1548="NOT AVAILABLE","",J1548)))),25,IF(ISNUMBER(SEARCH("Informational",IF(J1548="NOT AVAILABLE","",J1548))),10,IF(ISNUMBER(SEARCH("Navigational",IF(J1548="NOT AVAILABLE","",J1548))),0,12))))</f>
        <v/>
      </c>
      <c r="Q1548">
        <f>IF(ISNUMBER(F1548),MIN(30,ROUND(30*LOG10(F1548+1)/4,1)),0)</f>
        <v/>
      </c>
      <c r="R1548">
        <f>IF(ISNUMBER(G1548),ROUND(25*(100-G1548)/100,1),12.5)</f>
        <v/>
      </c>
      <c r="S1548" t="n">
        <v>14</v>
      </c>
      <c r="T1548">
        <f>ROUND(P1548+Q1548+R1548+S1548,0)</f>
        <v/>
      </c>
      <c r="U1548" s="5" t="inlineStr"/>
      <c r="V1548" s="5" t="inlineStr"/>
    </row>
    <row r="1549">
      <c r="A1549" t="inlineStr">
        <is>
          <t>K1547</t>
        </is>
      </c>
      <c r="B1549" t="inlineStr">
        <is>
          <t>nettoyer url</t>
        </is>
      </c>
      <c r="C1549" t="inlineStr">
        <is>
          <t>France</t>
        </is>
      </c>
      <c r="D1549" t="inlineStr">
        <is>
          <t>fr</t>
        </is>
      </c>
      <c r="E1549" t="inlineStr">
        <is>
          <t>fr</t>
        </is>
      </c>
      <c r="F1549" t="inlineStr">
        <is>
          <t>NOT AVAILABLE</t>
        </is>
      </c>
      <c r="G1549" t="inlineStr">
        <is>
          <t>NOT AVAILABLE</t>
        </is>
      </c>
      <c r="H1549" t="inlineStr">
        <is>
          <t>NOT AVAILABLE</t>
        </is>
      </c>
      <c r="I1549" t="inlineStr">
        <is>
          <t>NOT AVAILABLE</t>
        </is>
      </c>
      <c r="J1549" t="inlineStr">
        <is>
          <t>NOT AVAILABLE</t>
        </is>
      </c>
      <c r="K1549" t="inlineStr">
        <is>
          <t>NOT AVAILABLE</t>
        </is>
      </c>
      <c r="L1549" t="inlineStr">
        <is>
          <t>NOT AVAILABLE</t>
        </is>
      </c>
      <c r="M1549" t="inlineStr">
        <is>
          <t>UNAVAILABLE</t>
        </is>
      </c>
      <c r="N1549" s="5" t="inlineStr">
        <is>
          <t>Semrush phrase_these returned no data (not billed)</t>
        </is>
      </c>
      <c r="O1549" t="inlineStr">
        <is>
          <t>2026-10-30</t>
        </is>
      </c>
      <c r="P1549">
        <f>IF(IF(J1549="NOT AVAILABLE","",J1549)="",12,IF(OR(ISNUMBER(SEARCH("Transactional",IF(J1549="NOT AVAILABLE","",J1549))),ISNUMBER(SEARCH("Commercial",IF(J1549="NOT AVAILABLE","",J1549)))),25,IF(ISNUMBER(SEARCH("Informational",IF(J1549="NOT AVAILABLE","",J1549))),10,IF(ISNUMBER(SEARCH("Navigational",IF(J1549="NOT AVAILABLE","",J1549))),0,12))))</f>
        <v/>
      </c>
      <c r="Q1549">
        <f>IF(ISNUMBER(F1549),MIN(30,ROUND(30*LOG10(F1549+1)/4,1)),0)</f>
        <v/>
      </c>
      <c r="R1549">
        <f>IF(ISNUMBER(G1549),ROUND(25*(100-G1549)/100,1),12.5)</f>
        <v/>
      </c>
      <c r="S1549" t="n">
        <v>14</v>
      </c>
      <c r="T1549">
        <f>ROUND(P1549+Q1549+R1549+S1549,0)</f>
        <v/>
      </c>
      <c r="U1549" s="5" t="inlineStr"/>
      <c r="V1549" s="5" t="inlineStr">
        <is>
          <t>PRIMARY /tools/url-editor</t>
        </is>
      </c>
    </row>
    <row r="1550">
      <c r="A1550" t="inlineStr">
        <is>
          <t>K1548</t>
        </is>
      </c>
      <c r="B1550" t="inlineStr">
        <is>
          <t>optimisation budget crawl</t>
        </is>
      </c>
      <c r="C1550" t="inlineStr">
        <is>
          <t>France</t>
        </is>
      </c>
      <c r="D1550" t="inlineStr">
        <is>
          <t>fr</t>
        </is>
      </c>
      <c r="E1550" t="inlineStr">
        <is>
          <t>fr</t>
        </is>
      </c>
      <c r="F1550" t="inlineStr">
        <is>
          <t>NOT AVAILABLE</t>
        </is>
      </c>
      <c r="G1550" t="inlineStr">
        <is>
          <t>NOT AVAILABLE</t>
        </is>
      </c>
      <c r="H1550" t="inlineStr">
        <is>
          <t>NOT AVAILABLE</t>
        </is>
      </c>
      <c r="I1550" t="inlineStr">
        <is>
          <t>NOT AVAILABLE</t>
        </is>
      </c>
      <c r="J1550" t="inlineStr">
        <is>
          <t>NOT AVAILABLE</t>
        </is>
      </c>
      <c r="K1550" t="inlineStr">
        <is>
          <t>NOT AVAILABLE</t>
        </is>
      </c>
      <c r="L1550" t="inlineStr">
        <is>
          <t>NOT AVAILABLE</t>
        </is>
      </c>
      <c r="M1550" t="inlineStr">
        <is>
          <t>UNAVAILABLE</t>
        </is>
      </c>
      <c r="N1550" s="5" t="inlineStr">
        <is>
          <t>Semrush phrase_these returned no data (not billed)</t>
        </is>
      </c>
      <c r="O1550" t="inlineStr">
        <is>
          <t>2026-10-30</t>
        </is>
      </c>
      <c r="P1550">
        <f>IF(IF(J1550="NOT AVAILABLE","",J1550)="",12,IF(OR(ISNUMBER(SEARCH("Transactional",IF(J1550="NOT AVAILABLE","",J1550))),ISNUMBER(SEARCH("Commercial",IF(J1550="NOT AVAILABLE","",J1550)))),25,IF(ISNUMBER(SEARCH("Informational",IF(J1550="NOT AVAILABLE","",J1550))),10,IF(ISNUMBER(SEARCH("Navigational",IF(J1550="NOT AVAILABLE","",J1550))),0,12))))</f>
        <v/>
      </c>
      <c r="Q1550">
        <f>IF(ISNUMBER(F1550),MIN(30,ROUND(30*LOG10(F1550+1)/4,1)),0)</f>
        <v/>
      </c>
      <c r="R1550">
        <f>IF(ISNUMBER(G1550),ROUND(25*(100-G1550)/100,1),12.5)</f>
        <v/>
      </c>
      <c r="S1550" t="n">
        <v>14</v>
      </c>
      <c r="T1550">
        <f>ROUND(P1550+Q1550+R1550+S1550,0)</f>
        <v/>
      </c>
      <c r="U1550" s="5" t="inlineStr"/>
      <c r="V1550" s="5" t="inlineStr">
        <is>
          <t>OPTIONAL /tools/crawl-optimization-checker</t>
        </is>
      </c>
    </row>
    <row r="1551">
      <c r="A1551" t="inlineStr">
        <is>
          <t>K1549</t>
        </is>
      </c>
      <c r="B1551" t="inlineStr">
        <is>
          <t>optimiser images site web</t>
        </is>
      </c>
      <c r="C1551" t="inlineStr">
        <is>
          <t>France</t>
        </is>
      </c>
      <c r="D1551" t="inlineStr">
        <is>
          <t>fr</t>
        </is>
      </c>
      <c r="E1551" t="inlineStr">
        <is>
          <t>fr</t>
        </is>
      </c>
      <c r="F1551" t="n">
        <v>0</v>
      </c>
      <c r="G1551" t="inlineStr">
        <is>
          <t>NOT AVAILABLE</t>
        </is>
      </c>
      <c r="H1551" t="n">
        <v>0</v>
      </c>
      <c r="I1551" t="n">
        <v>0</v>
      </c>
      <c r="J1551" t="inlineStr">
        <is>
          <t>NOT AVAILABLE</t>
        </is>
      </c>
      <c r="K1551" t="inlineStr">
        <is>
          <t>NOT AVAILABLE (report not requested)</t>
        </is>
      </c>
      <c r="L1551" t="inlineStr">
        <is>
          <t>declining (calc.)</t>
        </is>
      </c>
      <c r="M1551" t="inlineStr">
        <is>
          <t>MEASURED</t>
        </is>
      </c>
      <c r="N1551" s="5" t="inlineStr">
        <is>
          <t>Semrush phrase_these (live, this session)</t>
        </is>
      </c>
      <c r="O1551" t="inlineStr">
        <is>
          <t>2026-10-30</t>
        </is>
      </c>
      <c r="P1551">
        <f>IF(IF(J1551="NOT AVAILABLE","",J1551)="",12,IF(OR(ISNUMBER(SEARCH("Transactional",IF(J1551="NOT AVAILABLE","",J1551))),ISNUMBER(SEARCH("Commercial",IF(J1551="NOT AVAILABLE","",J1551)))),25,IF(ISNUMBER(SEARCH("Informational",IF(J1551="NOT AVAILABLE","",J1551))),10,IF(ISNUMBER(SEARCH("Navigational",IF(J1551="NOT AVAILABLE","",J1551))),0,12))))</f>
        <v/>
      </c>
      <c r="Q1551">
        <f>IF(ISNUMBER(F1551),MIN(30,ROUND(30*LOG10(F1551+1)/4,1)),0)</f>
        <v/>
      </c>
      <c r="R1551">
        <f>IF(ISNUMBER(G1551),ROUND(25*(100-G1551)/100,1),12.5)</f>
        <v/>
      </c>
      <c r="S1551" t="n">
        <v>14</v>
      </c>
      <c r="T1551">
        <f>ROUND(P1551+Q1551+R1551+S1551,0)</f>
        <v/>
      </c>
      <c r="U1551" s="5" t="inlineStr"/>
      <c r="V1551" s="5" t="inlineStr">
        <is>
          <t>OPTIONAL /tools/image-compression-analyzer</t>
        </is>
      </c>
    </row>
    <row r="1552">
      <c r="A1552" t="inlineStr">
        <is>
          <t>K1550</t>
        </is>
      </c>
      <c r="B1552" t="inlineStr">
        <is>
          <t>outils webmaster gratuits</t>
        </is>
      </c>
      <c r="C1552" t="inlineStr">
        <is>
          <t>France</t>
        </is>
      </c>
      <c r="D1552" t="inlineStr">
        <is>
          <t>fr</t>
        </is>
      </c>
      <c r="E1552" t="inlineStr">
        <is>
          <t>fr</t>
        </is>
      </c>
      <c r="F1552" t="inlineStr">
        <is>
          <t>NOT AVAILABLE</t>
        </is>
      </c>
      <c r="G1552" t="inlineStr">
        <is>
          <t>NOT AVAILABLE</t>
        </is>
      </c>
      <c r="H1552" t="inlineStr">
        <is>
          <t>NOT AVAILABLE</t>
        </is>
      </c>
      <c r="I1552" t="inlineStr">
        <is>
          <t>NOT AVAILABLE</t>
        </is>
      </c>
      <c r="J1552" t="inlineStr">
        <is>
          <t>NOT AVAILABLE</t>
        </is>
      </c>
      <c r="K1552" t="inlineStr">
        <is>
          <t>NOT AVAILABLE</t>
        </is>
      </c>
      <c r="L1552" t="inlineStr">
        <is>
          <t>NOT AVAILABLE</t>
        </is>
      </c>
      <c r="M1552" t="inlineStr">
        <is>
          <t>UNAVAILABLE</t>
        </is>
      </c>
      <c r="N1552" s="5" t="inlineStr">
        <is>
          <t>Semrush phrase_these returned no data (not billed)</t>
        </is>
      </c>
      <c r="O1552" t="inlineStr">
        <is>
          <t>2026-10-30</t>
        </is>
      </c>
      <c r="P1552">
        <f>IF(IF(J1552="NOT AVAILABLE","",J1552)="",12,IF(OR(ISNUMBER(SEARCH("Transactional",IF(J1552="NOT AVAILABLE","",J1552))),ISNUMBER(SEARCH("Commercial",IF(J1552="NOT AVAILABLE","",J1552)))),25,IF(ISNUMBER(SEARCH("Informational",IF(J1552="NOT AVAILABLE","",J1552))),10,IF(ISNUMBER(SEARCH("Navigational",IF(J1552="NOT AVAILABLE","",J1552))),0,12))))</f>
        <v/>
      </c>
      <c r="Q1552">
        <f>IF(ISNUMBER(F1552),MIN(30,ROUND(30*LOG10(F1552+1)/4,1)),0)</f>
        <v/>
      </c>
      <c r="R1552">
        <f>IF(ISNUMBER(G1552),ROUND(25*(100-G1552)/100,1),12.5)</f>
        <v/>
      </c>
      <c r="S1552" t="n">
        <v>14</v>
      </c>
      <c r="T1552">
        <f>ROUND(P1552+Q1552+R1552+S1552,0)</f>
        <v/>
      </c>
      <c r="U1552" s="5" t="inlineStr"/>
      <c r="V1552" s="5" t="inlineStr"/>
    </row>
    <row r="1553">
      <c r="A1553" t="inlineStr">
        <is>
          <t>K1551</t>
        </is>
      </c>
      <c r="B1553" t="inlineStr">
        <is>
          <t>plateforme e-learning sur mesure</t>
        </is>
      </c>
      <c r="C1553" t="inlineStr">
        <is>
          <t>France</t>
        </is>
      </c>
      <c r="D1553" t="inlineStr">
        <is>
          <t>fr</t>
        </is>
      </c>
      <c r="E1553" t="inlineStr">
        <is>
          <t>fr</t>
        </is>
      </c>
      <c r="F1553" t="inlineStr">
        <is>
          <t>NOT AVAILABLE</t>
        </is>
      </c>
      <c r="G1553" t="inlineStr">
        <is>
          <t>NOT AVAILABLE</t>
        </is>
      </c>
      <c r="H1553" t="inlineStr">
        <is>
          <t>NOT AVAILABLE</t>
        </is>
      </c>
      <c r="I1553" t="inlineStr">
        <is>
          <t>NOT AVAILABLE</t>
        </is>
      </c>
      <c r="J1553" t="inlineStr">
        <is>
          <t>NOT AVAILABLE</t>
        </is>
      </c>
      <c r="K1553" t="inlineStr">
        <is>
          <t>NOT AVAILABLE</t>
        </is>
      </c>
      <c r="L1553" t="inlineStr">
        <is>
          <t>NOT AVAILABLE</t>
        </is>
      </c>
      <c r="M1553" t="inlineStr">
        <is>
          <t>UNAVAILABLE</t>
        </is>
      </c>
      <c r="N1553" s="5" t="inlineStr">
        <is>
          <t>Semrush phrase_these returned no data (not billed)</t>
        </is>
      </c>
      <c r="O1553" t="inlineStr">
        <is>
          <t>2026-10-30</t>
        </is>
      </c>
      <c r="P1553">
        <f>IF(IF(J1553="NOT AVAILABLE","",J1553)="",12,IF(OR(ISNUMBER(SEARCH("Transactional",IF(J1553="NOT AVAILABLE","",J1553))),ISNUMBER(SEARCH("Commercial",IF(J1553="NOT AVAILABLE","",J1553)))),25,IF(ISNUMBER(SEARCH("Informational",IF(J1553="NOT AVAILABLE","",J1553))),10,IF(ISNUMBER(SEARCH("Navigational",IF(J1553="NOT AVAILABLE","",J1553))),0,12))))</f>
        <v/>
      </c>
      <c r="Q1553">
        <f>IF(ISNUMBER(F1553),MIN(30,ROUND(30*LOG10(F1553+1)/4,1)),0)</f>
        <v/>
      </c>
      <c r="R1553">
        <f>IF(ISNUMBER(G1553),ROUND(25*(100-G1553)/100,1),12.5)</f>
        <v/>
      </c>
      <c r="S1553" t="n">
        <v>14</v>
      </c>
      <c r="T1553">
        <f>ROUND(P1553+Q1553+R1553+S1553,0)</f>
        <v/>
      </c>
      <c r="U1553" s="5" t="inlineStr"/>
      <c r="V1553" s="5" t="inlineStr"/>
    </row>
    <row r="1554">
      <c r="A1554" t="inlineStr">
        <is>
          <t>K1552</t>
        </is>
      </c>
      <c r="B1554" t="inlineStr">
        <is>
          <t>plateforme pour vendre des formations</t>
        </is>
      </c>
      <c r="C1554" t="inlineStr">
        <is>
          <t>France</t>
        </is>
      </c>
      <c r="D1554" t="inlineStr">
        <is>
          <t>fr</t>
        </is>
      </c>
      <c r="E1554" t="inlineStr">
        <is>
          <t>fr</t>
        </is>
      </c>
      <c r="F1554" t="n">
        <v>0</v>
      </c>
      <c r="G1554" t="inlineStr">
        <is>
          <t>NOT AVAILABLE</t>
        </is>
      </c>
      <c r="H1554" t="n">
        <v>0</v>
      </c>
      <c r="I1554" t="n">
        <v>0</v>
      </c>
      <c r="J1554" t="inlineStr">
        <is>
          <t>NOT AVAILABLE</t>
        </is>
      </c>
      <c r="K1554" t="inlineStr">
        <is>
          <t>NOT AVAILABLE (report not requested)</t>
        </is>
      </c>
      <c r="L1554" t="inlineStr">
        <is>
          <t>flat (no data)</t>
        </is>
      </c>
      <c r="M1554" t="inlineStr">
        <is>
          <t>MEASURED</t>
        </is>
      </c>
      <c r="N1554" s="5" t="inlineStr">
        <is>
          <t>Semrush phrase_these (live, this session)</t>
        </is>
      </c>
      <c r="O1554" t="inlineStr">
        <is>
          <t>2026-10-30</t>
        </is>
      </c>
      <c r="P1554">
        <f>IF(IF(J1554="NOT AVAILABLE","",J1554)="",12,IF(OR(ISNUMBER(SEARCH("Transactional",IF(J1554="NOT AVAILABLE","",J1554))),ISNUMBER(SEARCH("Commercial",IF(J1554="NOT AVAILABLE","",J1554)))),25,IF(ISNUMBER(SEARCH("Informational",IF(J1554="NOT AVAILABLE","",J1554))),10,IF(ISNUMBER(SEARCH("Navigational",IF(J1554="NOT AVAILABLE","",J1554))),0,12))))</f>
        <v/>
      </c>
      <c r="Q1554">
        <f>IF(ISNUMBER(F1554),MIN(30,ROUND(30*LOG10(F1554+1)/4,1)),0)</f>
        <v/>
      </c>
      <c r="R1554">
        <f>IF(ISNUMBER(G1554),ROUND(25*(100-G1554)/100,1),12.5)</f>
        <v/>
      </c>
      <c r="S1554" t="n">
        <v>14</v>
      </c>
      <c r="T1554">
        <f>ROUND(P1554+Q1554+R1554+S1554,0)</f>
        <v/>
      </c>
      <c r="U1554" s="5" t="inlineStr"/>
      <c r="V1554" s="5" t="inlineStr"/>
    </row>
    <row r="1555">
      <c r="A1555" t="inlineStr">
        <is>
          <t>K1553</t>
        </is>
      </c>
      <c r="B1555" t="inlineStr">
        <is>
          <t>pourquoi externaliser le développement web</t>
        </is>
      </c>
      <c r="C1555" t="inlineStr">
        <is>
          <t>France</t>
        </is>
      </c>
      <c r="D1555" t="inlineStr">
        <is>
          <t>fr</t>
        </is>
      </c>
      <c r="E1555" t="inlineStr">
        <is>
          <t>fr</t>
        </is>
      </c>
      <c r="F1555" t="inlineStr">
        <is>
          <t>NOT AVAILABLE</t>
        </is>
      </c>
      <c r="G1555" t="inlineStr">
        <is>
          <t>NOT AVAILABLE</t>
        </is>
      </c>
      <c r="H1555" t="inlineStr">
        <is>
          <t>NOT AVAILABLE</t>
        </is>
      </c>
      <c r="I1555" t="inlineStr">
        <is>
          <t>NOT AVAILABLE</t>
        </is>
      </c>
      <c r="J1555" t="inlineStr">
        <is>
          <t>NOT AVAILABLE</t>
        </is>
      </c>
      <c r="K1555" t="inlineStr">
        <is>
          <t>NOT AVAILABLE</t>
        </is>
      </c>
      <c r="L1555" t="inlineStr">
        <is>
          <t>NOT AVAILABLE</t>
        </is>
      </c>
      <c r="M1555" t="inlineStr">
        <is>
          <t>UNAVAILABLE</t>
        </is>
      </c>
      <c r="N1555" s="5" t="inlineStr">
        <is>
          <t>Semrush phrase_these returned no data (not billed)</t>
        </is>
      </c>
      <c r="O1555" t="inlineStr">
        <is>
          <t>2026-10-30</t>
        </is>
      </c>
      <c r="P1555">
        <f>IF(IF(J1555="NOT AVAILABLE","",J1555)="",12,IF(OR(ISNUMBER(SEARCH("Transactional",IF(J1555="NOT AVAILABLE","",J1555))),ISNUMBER(SEARCH("Commercial",IF(J1555="NOT AVAILABLE","",J1555)))),25,IF(ISNUMBER(SEARCH("Informational",IF(J1555="NOT AVAILABLE","",J1555))),10,IF(ISNUMBER(SEARCH("Navigational",IF(J1555="NOT AVAILABLE","",J1555))),0,12))))</f>
        <v/>
      </c>
      <c r="Q1555">
        <f>IF(ISNUMBER(F1555),MIN(30,ROUND(30*LOG10(F1555+1)/4,1)),0)</f>
        <v/>
      </c>
      <c r="R1555">
        <f>IF(ISNUMBER(G1555),ROUND(25*(100-G1555)/100,1),12.5)</f>
        <v/>
      </c>
      <c r="S1555" t="n">
        <v>14</v>
      </c>
      <c r="T1555">
        <f>ROUND(P1555+Q1555+R1555+S1555,0)</f>
        <v/>
      </c>
      <c r="U1555" s="5" t="inlineStr"/>
      <c r="V1555" s="5" t="inlineStr"/>
    </row>
    <row r="1556">
      <c r="A1556" t="inlineStr">
        <is>
          <t>K1554</t>
        </is>
      </c>
      <c r="B1556" t="inlineStr">
        <is>
          <t>prix développeur web freelance</t>
        </is>
      </c>
      <c r="C1556" t="inlineStr">
        <is>
          <t>France</t>
        </is>
      </c>
      <c r="D1556" t="inlineStr">
        <is>
          <t>fr</t>
        </is>
      </c>
      <c r="E1556" t="inlineStr">
        <is>
          <t>fr</t>
        </is>
      </c>
      <c r="F1556" t="n">
        <v>0</v>
      </c>
      <c r="G1556" t="inlineStr">
        <is>
          <t>NOT AVAILABLE</t>
        </is>
      </c>
      <c r="H1556" t="n">
        <v>0</v>
      </c>
      <c r="I1556" t="n">
        <v>0</v>
      </c>
      <c r="J1556" t="inlineStr">
        <is>
          <t>NOT AVAILABLE</t>
        </is>
      </c>
      <c r="K1556" t="inlineStr">
        <is>
          <t>NOT AVAILABLE (report not requested)</t>
        </is>
      </c>
      <c r="L1556" t="inlineStr">
        <is>
          <t>flat (no data)</t>
        </is>
      </c>
      <c r="M1556" t="inlineStr">
        <is>
          <t>MEASURED</t>
        </is>
      </c>
      <c r="N1556" s="5" t="inlineStr">
        <is>
          <t>Semrush phrase_these (live, this session)</t>
        </is>
      </c>
      <c r="O1556" t="inlineStr">
        <is>
          <t>2026-10-30</t>
        </is>
      </c>
      <c r="P1556">
        <f>IF(IF(J1556="NOT AVAILABLE","",J1556)="",12,IF(OR(ISNUMBER(SEARCH("Transactional",IF(J1556="NOT AVAILABLE","",J1556))),ISNUMBER(SEARCH("Commercial",IF(J1556="NOT AVAILABLE","",J1556)))),25,IF(ISNUMBER(SEARCH("Informational",IF(J1556="NOT AVAILABLE","",J1556))),10,IF(ISNUMBER(SEARCH("Navigational",IF(J1556="NOT AVAILABLE","",J1556))),0,12))))</f>
        <v/>
      </c>
      <c r="Q1556">
        <f>IF(ISNUMBER(F1556),MIN(30,ROUND(30*LOG10(F1556+1)/4,1)),0)</f>
        <v/>
      </c>
      <c r="R1556">
        <f>IF(ISNUMBER(G1556),ROUND(25*(100-G1556)/100,1),12.5)</f>
        <v/>
      </c>
      <c r="S1556" t="n">
        <v>14</v>
      </c>
      <c r="T1556">
        <f>ROUND(P1556+Q1556+R1556+S1556,0)</f>
        <v/>
      </c>
      <c r="U1556" s="5" t="inlineStr"/>
      <c r="V1556" s="5" t="inlineStr"/>
    </row>
    <row r="1557">
      <c r="A1557" t="inlineStr">
        <is>
          <t>K1555</t>
        </is>
      </c>
      <c r="B1557" t="inlineStr">
        <is>
          <t>redirection meta refresh</t>
        </is>
      </c>
      <c r="C1557" t="inlineStr">
        <is>
          <t>France</t>
        </is>
      </c>
      <c r="D1557" t="inlineStr">
        <is>
          <t>fr</t>
        </is>
      </c>
      <c r="E1557" t="inlineStr">
        <is>
          <t>fr</t>
        </is>
      </c>
      <c r="F1557" t="n">
        <v>0</v>
      </c>
      <c r="G1557" t="inlineStr">
        <is>
          <t>NOT AVAILABLE</t>
        </is>
      </c>
      <c r="H1557" t="n">
        <v>0</v>
      </c>
      <c r="I1557" t="n">
        <v>0</v>
      </c>
      <c r="J1557" t="inlineStr">
        <is>
          <t>NOT AVAILABLE</t>
        </is>
      </c>
      <c r="K1557" t="inlineStr">
        <is>
          <t>NOT AVAILABLE (report not requested)</t>
        </is>
      </c>
      <c r="L1557" t="inlineStr">
        <is>
          <t>flat (no data)</t>
        </is>
      </c>
      <c r="M1557" t="inlineStr">
        <is>
          <t>MEASURED</t>
        </is>
      </c>
      <c r="N1557" s="5" t="inlineStr">
        <is>
          <t>Semrush phrase_these (live, this session)</t>
        </is>
      </c>
      <c r="O1557" t="inlineStr">
        <is>
          <t>2026-10-30</t>
        </is>
      </c>
      <c r="P1557">
        <f>IF(IF(J1557="NOT AVAILABLE","",J1557)="",12,IF(OR(ISNUMBER(SEARCH("Transactional",IF(J1557="NOT AVAILABLE","",J1557))),ISNUMBER(SEARCH("Commercial",IF(J1557="NOT AVAILABLE","",J1557)))),25,IF(ISNUMBER(SEARCH("Informational",IF(J1557="NOT AVAILABLE","",J1557))),10,IF(ISNUMBER(SEARCH("Navigational",IF(J1557="NOT AVAILABLE","",J1557))),0,12))))</f>
        <v/>
      </c>
      <c r="Q1557">
        <f>IF(ISNUMBER(F1557),MIN(30,ROUND(30*LOG10(F1557+1)/4,1)),0)</f>
        <v/>
      </c>
      <c r="R1557">
        <f>IF(ISNUMBER(G1557),ROUND(25*(100-G1557)/100,1),12.5)</f>
        <v/>
      </c>
      <c r="S1557" t="n">
        <v>14</v>
      </c>
      <c r="T1557">
        <f>ROUND(P1557+Q1557+R1557+S1557,0)</f>
        <v/>
      </c>
      <c r="U1557" s="5" t="inlineStr"/>
      <c r="V1557" s="5" t="inlineStr">
        <is>
          <t>OPTIONAL /tools/meta-refresh-generator</t>
        </is>
      </c>
    </row>
    <row r="1558">
      <c r="A1558" t="inlineStr">
        <is>
          <t>K1556</t>
        </is>
      </c>
      <c r="B1558" t="inlineStr">
        <is>
          <t>score autorité domaine</t>
        </is>
      </c>
      <c r="C1558" t="inlineStr">
        <is>
          <t>France</t>
        </is>
      </c>
      <c r="D1558" t="inlineStr">
        <is>
          <t>fr</t>
        </is>
      </c>
      <c r="E1558" t="inlineStr">
        <is>
          <t>fr</t>
        </is>
      </c>
      <c r="F1558" t="inlineStr">
        <is>
          <t>NOT AVAILABLE</t>
        </is>
      </c>
      <c r="G1558" t="inlineStr">
        <is>
          <t>NOT AVAILABLE</t>
        </is>
      </c>
      <c r="H1558" t="inlineStr">
        <is>
          <t>NOT AVAILABLE</t>
        </is>
      </c>
      <c r="I1558" t="inlineStr">
        <is>
          <t>NOT AVAILABLE</t>
        </is>
      </c>
      <c r="J1558" t="inlineStr">
        <is>
          <t>NOT AVAILABLE</t>
        </is>
      </c>
      <c r="K1558" t="inlineStr">
        <is>
          <t>NOT AVAILABLE</t>
        </is>
      </c>
      <c r="L1558" t="inlineStr">
        <is>
          <t>NOT AVAILABLE</t>
        </is>
      </c>
      <c r="M1558" t="inlineStr">
        <is>
          <t>UNAVAILABLE</t>
        </is>
      </c>
      <c r="N1558" s="5" t="inlineStr">
        <is>
          <t>Semrush phrase_these returned no data (not billed)</t>
        </is>
      </c>
      <c r="O1558" t="inlineStr">
        <is>
          <t>2026-10-30</t>
        </is>
      </c>
      <c r="P1558">
        <f>IF(IF(J1558="NOT AVAILABLE","",J1558)="",12,IF(OR(ISNUMBER(SEARCH("Transactional",IF(J1558="NOT AVAILABLE","",J1558))),ISNUMBER(SEARCH("Commercial",IF(J1558="NOT AVAILABLE","",J1558)))),25,IF(ISNUMBER(SEARCH("Informational",IF(J1558="NOT AVAILABLE","",J1558))),10,IF(ISNUMBER(SEARCH("Navigational",IF(J1558="NOT AVAILABLE","",J1558))),0,12))))</f>
        <v/>
      </c>
      <c r="Q1558">
        <f>IF(ISNUMBER(F1558),MIN(30,ROUND(30*LOG10(F1558+1)/4,1)),0)</f>
        <v/>
      </c>
      <c r="R1558">
        <f>IF(ISNUMBER(G1558),ROUND(25*(100-G1558)/100,1),12.5)</f>
        <v/>
      </c>
      <c r="S1558" t="n">
        <v>14</v>
      </c>
      <c r="T1558">
        <f>ROUND(P1558+Q1558+R1558+S1558,0)</f>
        <v/>
      </c>
      <c r="U1558" s="5" t="inlineStr"/>
      <c r="V1558" s="5" t="inlineStr">
        <is>
          <t>OPTIONAL /tools/domain-authority-checker</t>
        </is>
      </c>
    </row>
    <row r="1559">
      <c r="A1559" t="inlineStr">
        <is>
          <t>K1557</t>
        </is>
      </c>
      <c r="B1559" t="inlineStr">
        <is>
          <t>simulateur googlebot</t>
        </is>
      </c>
      <c r="C1559" t="inlineStr">
        <is>
          <t>France</t>
        </is>
      </c>
      <c r="D1559" t="inlineStr">
        <is>
          <t>fr</t>
        </is>
      </c>
      <c r="E1559" t="inlineStr">
        <is>
          <t>fr</t>
        </is>
      </c>
      <c r="F1559" t="n">
        <v>0</v>
      </c>
      <c r="G1559" t="inlineStr">
        <is>
          <t>NOT AVAILABLE</t>
        </is>
      </c>
      <c r="H1559" t="n">
        <v>0</v>
      </c>
      <c r="I1559" t="n">
        <v>0</v>
      </c>
      <c r="J1559" t="inlineStr">
        <is>
          <t>NOT AVAILABLE</t>
        </is>
      </c>
      <c r="K1559" t="inlineStr">
        <is>
          <t>NOT AVAILABLE (report not requested)</t>
        </is>
      </c>
      <c r="L1559" t="inlineStr">
        <is>
          <t>flat (no data)</t>
        </is>
      </c>
      <c r="M1559" t="inlineStr">
        <is>
          <t>MEASURED</t>
        </is>
      </c>
      <c r="N1559" s="5" t="inlineStr">
        <is>
          <t>Semrush phrase_these (live, this session)</t>
        </is>
      </c>
      <c r="O1559" t="inlineStr">
        <is>
          <t>2026-10-30</t>
        </is>
      </c>
      <c r="P1559">
        <f>IF(IF(J1559="NOT AVAILABLE","",J1559)="",12,IF(OR(ISNUMBER(SEARCH("Transactional",IF(J1559="NOT AVAILABLE","",J1559))),ISNUMBER(SEARCH("Commercial",IF(J1559="NOT AVAILABLE","",J1559)))),25,IF(ISNUMBER(SEARCH("Informational",IF(J1559="NOT AVAILABLE","",J1559))),10,IF(ISNUMBER(SEARCH("Navigational",IF(J1559="NOT AVAILABLE","",J1559))),0,12))))</f>
        <v/>
      </c>
      <c r="Q1559">
        <f>IF(ISNUMBER(F1559),MIN(30,ROUND(30*LOG10(F1559+1)/4,1)),0)</f>
        <v/>
      </c>
      <c r="R1559">
        <f>IF(ISNUMBER(G1559),ROUND(25*(100-G1559)/100,1),12.5)</f>
        <v/>
      </c>
      <c r="S1559" t="n">
        <v>14</v>
      </c>
      <c r="T1559">
        <f>ROUND(P1559+Q1559+R1559+S1559,0)</f>
        <v/>
      </c>
      <c r="U1559" s="5" t="inlineStr"/>
      <c r="V1559" s="5" t="inlineStr">
        <is>
          <t>OPTIONAL /tools/bot-viewer</t>
        </is>
      </c>
    </row>
    <row r="1560">
      <c r="A1560" t="inlineStr">
        <is>
          <t>K1558</t>
        </is>
      </c>
      <c r="B1560" t="inlineStr">
        <is>
          <t>site agence de voyage maroc</t>
        </is>
      </c>
      <c r="C1560" t="inlineStr">
        <is>
          <t>France</t>
        </is>
      </c>
      <c r="D1560" t="inlineStr">
        <is>
          <t>fr</t>
        </is>
      </c>
      <c r="E1560" t="inlineStr">
        <is>
          <t>fr</t>
        </is>
      </c>
      <c r="F1560" t="n">
        <v>0</v>
      </c>
      <c r="G1560" t="inlineStr">
        <is>
          <t>NOT AVAILABLE</t>
        </is>
      </c>
      <c r="H1560" t="n">
        <v>0</v>
      </c>
      <c r="I1560" t="n">
        <v>0</v>
      </c>
      <c r="J1560" t="inlineStr">
        <is>
          <t>NOT AVAILABLE</t>
        </is>
      </c>
      <c r="K1560" t="inlineStr">
        <is>
          <t>NOT AVAILABLE (report not requested)</t>
        </is>
      </c>
      <c r="L1560" t="inlineStr">
        <is>
          <t>flat (no data)</t>
        </is>
      </c>
      <c r="M1560" t="inlineStr">
        <is>
          <t>MEASURED</t>
        </is>
      </c>
      <c r="N1560" s="5" t="inlineStr">
        <is>
          <t>Semrush phrase_these (live, this session)</t>
        </is>
      </c>
      <c r="O1560" t="inlineStr">
        <is>
          <t>2026-10-30</t>
        </is>
      </c>
      <c r="P1560">
        <f>IF(IF(J1560="NOT AVAILABLE","",J1560)="",12,IF(OR(ISNUMBER(SEARCH("Transactional",IF(J1560="NOT AVAILABLE","",J1560))),ISNUMBER(SEARCH("Commercial",IF(J1560="NOT AVAILABLE","",J1560)))),25,IF(ISNUMBER(SEARCH("Informational",IF(J1560="NOT AVAILABLE","",J1560))),10,IF(ISNUMBER(SEARCH("Navigational",IF(J1560="NOT AVAILABLE","",J1560))),0,12))))</f>
        <v/>
      </c>
      <c r="Q1560">
        <f>IF(ISNUMBER(F1560),MIN(30,ROUND(30*LOG10(F1560+1)/4,1)),0)</f>
        <v/>
      </c>
      <c r="R1560">
        <f>IF(ISNUMBER(G1560),ROUND(25*(100-G1560)/100,1),12.5)</f>
        <v/>
      </c>
      <c r="S1560" t="n">
        <v>14</v>
      </c>
      <c r="T1560">
        <f>ROUND(P1560+Q1560+R1560+S1560,0)</f>
        <v/>
      </c>
      <c r="U1560" s="5" t="inlineStr"/>
      <c r="V1560" s="5" t="inlineStr"/>
    </row>
    <row r="1561">
      <c r="A1561" t="inlineStr">
        <is>
          <t>K1559</t>
        </is>
      </c>
      <c r="B1561" t="inlineStr">
        <is>
          <t>site cabinet médical</t>
        </is>
      </c>
      <c r="C1561" t="inlineStr">
        <is>
          <t>France</t>
        </is>
      </c>
      <c r="D1561" t="inlineStr">
        <is>
          <t>fr</t>
        </is>
      </c>
      <c r="E1561" t="inlineStr">
        <is>
          <t>fr</t>
        </is>
      </c>
      <c r="F1561" t="n">
        <v>0</v>
      </c>
      <c r="G1561" t="inlineStr">
        <is>
          <t>NOT AVAILABLE</t>
        </is>
      </c>
      <c r="H1561" t="n">
        <v>0</v>
      </c>
      <c r="I1561" t="n">
        <v>0</v>
      </c>
      <c r="J1561" t="inlineStr">
        <is>
          <t>NOT AVAILABLE</t>
        </is>
      </c>
      <c r="K1561" t="inlineStr">
        <is>
          <t>NOT AVAILABLE (report not requested)</t>
        </is>
      </c>
      <c r="L1561" t="inlineStr">
        <is>
          <t>flat (no data)</t>
        </is>
      </c>
      <c r="M1561" t="inlineStr">
        <is>
          <t>MEASURED</t>
        </is>
      </c>
      <c r="N1561" s="5" t="inlineStr">
        <is>
          <t>Semrush phrase_these (live, this session)</t>
        </is>
      </c>
      <c r="O1561" t="inlineStr">
        <is>
          <t>2026-10-30</t>
        </is>
      </c>
      <c r="P1561">
        <f>IF(IF(J1561="NOT AVAILABLE","",J1561)="",12,IF(OR(ISNUMBER(SEARCH("Transactional",IF(J1561="NOT AVAILABLE","",J1561))),ISNUMBER(SEARCH("Commercial",IF(J1561="NOT AVAILABLE","",J1561)))),25,IF(ISNUMBER(SEARCH("Informational",IF(J1561="NOT AVAILABLE","",J1561))),10,IF(ISNUMBER(SEARCH("Navigational",IF(J1561="NOT AVAILABLE","",J1561))),0,12))))</f>
        <v/>
      </c>
      <c r="Q1561">
        <f>IF(ISNUMBER(F1561),MIN(30,ROUND(30*LOG10(F1561+1)/4,1)),0)</f>
        <v/>
      </c>
      <c r="R1561">
        <f>IF(ISNUMBER(G1561),ROUND(25*(100-G1561)/100,1),12.5)</f>
        <v/>
      </c>
      <c r="S1561" t="n">
        <v>14</v>
      </c>
      <c r="T1561">
        <f>ROUND(P1561+Q1561+R1561+S1561,0)</f>
        <v/>
      </c>
      <c r="U1561" s="5" t="inlineStr"/>
      <c r="V1561" s="5" t="inlineStr"/>
    </row>
    <row r="1562">
      <c r="A1562" t="inlineStr">
        <is>
          <t>K1560</t>
        </is>
      </c>
      <c r="B1562" t="inlineStr">
        <is>
          <t>site e-commerce dentaire</t>
        </is>
      </c>
      <c r="C1562" t="inlineStr">
        <is>
          <t>France</t>
        </is>
      </c>
      <c r="D1562" t="inlineStr">
        <is>
          <t>fr</t>
        </is>
      </c>
      <c r="E1562" t="inlineStr">
        <is>
          <t>fr</t>
        </is>
      </c>
      <c r="F1562" t="inlineStr">
        <is>
          <t>NOT AVAILABLE</t>
        </is>
      </c>
      <c r="G1562" t="inlineStr">
        <is>
          <t>NOT AVAILABLE</t>
        </is>
      </c>
      <c r="H1562" t="inlineStr">
        <is>
          <t>NOT AVAILABLE</t>
        </is>
      </c>
      <c r="I1562" t="inlineStr">
        <is>
          <t>NOT AVAILABLE</t>
        </is>
      </c>
      <c r="J1562" t="inlineStr">
        <is>
          <t>NOT AVAILABLE</t>
        </is>
      </c>
      <c r="K1562" t="inlineStr">
        <is>
          <t>NOT AVAILABLE</t>
        </is>
      </c>
      <c r="L1562" t="inlineStr">
        <is>
          <t>NOT AVAILABLE</t>
        </is>
      </c>
      <c r="M1562" t="inlineStr">
        <is>
          <t>UNAVAILABLE</t>
        </is>
      </c>
      <c r="N1562" s="5" t="inlineStr">
        <is>
          <t>Semrush phrase_these returned no data (not billed)</t>
        </is>
      </c>
      <c r="O1562" t="inlineStr">
        <is>
          <t>2026-10-30</t>
        </is>
      </c>
      <c r="P1562">
        <f>IF(IF(J1562="NOT AVAILABLE","",J1562)="",12,IF(OR(ISNUMBER(SEARCH("Transactional",IF(J1562="NOT AVAILABLE","",J1562))),ISNUMBER(SEARCH("Commercial",IF(J1562="NOT AVAILABLE","",J1562)))),25,IF(ISNUMBER(SEARCH("Informational",IF(J1562="NOT AVAILABLE","",J1562))),10,IF(ISNUMBER(SEARCH("Navigational",IF(J1562="NOT AVAILABLE","",J1562))),0,12))))</f>
        <v/>
      </c>
      <c r="Q1562">
        <f>IF(ISNUMBER(F1562),MIN(30,ROUND(30*LOG10(F1562+1)/4,1)),0)</f>
        <v/>
      </c>
      <c r="R1562">
        <f>IF(ISNUMBER(G1562),ROUND(25*(100-G1562)/100,1),12.5)</f>
        <v/>
      </c>
      <c r="S1562" t="n">
        <v>14</v>
      </c>
      <c r="T1562">
        <f>ROUND(P1562+Q1562+R1562+S1562,0)</f>
        <v/>
      </c>
      <c r="U1562" s="5" t="inlineStr"/>
      <c r="V1562" s="5" t="inlineStr">
        <is>
          <t>PRIMARY /our-work/dental-pro</t>
        </is>
      </c>
    </row>
    <row r="1563">
      <c r="A1563" t="inlineStr">
        <is>
          <t>K1561</t>
        </is>
      </c>
      <c r="B1563" t="inlineStr">
        <is>
          <t>site immobilier sur mesure</t>
        </is>
      </c>
      <c r="C1563" t="inlineStr">
        <is>
          <t>France</t>
        </is>
      </c>
      <c r="D1563" t="inlineStr">
        <is>
          <t>fr</t>
        </is>
      </c>
      <c r="E1563" t="inlineStr">
        <is>
          <t>fr</t>
        </is>
      </c>
      <c r="F1563" t="inlineStr">
        <is>
          <t>NOT AVAILABLE</t>
        </is>
      </c>
      <c r="G1563" t="inlineStr">
        <is>
          <t>NOT AVAILABLE</t>
        </is>
      </c>
      <c r="H1563" t="inlineStr">
        <is>
          <t>NOT AVAILABLE</t>
        </is>
      </c>
      <c r="I1563" t="inlineStr">
        <is>
          <t>NOT AVAILABLE</t>
        </is>
      </c>
      <c r="J1563" t="inlineStr">
        <is>
          <t>NOT AVAILABLE</t>
        </is>
      </c>
      <c r="K1563" t="inlineStr">
        <is>
          <t>NOT AVAILABLE</t>
        </is>
      </c>
      <c r="L1563" t="inlineStr">
        <is>
          <t>NOT AVAILABLE</t>
        </is>
      </c>
      <c r="M1563" t="inlineStr">
        <is>
          <t>UNAVAILABLE</t>
        </is>
      </c>
      <c r="N1563" s="5" t="inlineStr">
        <is>
          <t>Semrush phrase_these returned no data (not billed)</t>
        </is>
      </c>
      <c r="O1563" t="inlineStr">
        <is>
          <t>2026-10-30</t>
        </is>
      </c>
      <c r="P1563">
        <f>IF(IF(J1563="NOT AVAILABLE","",J1563)="",12,IF(OR(ISNUMBER(SEARCH("Transactional",IF(J1563="NOT AVAILABLE","",J1563))),ISNUMBER(SEARCH("Commercial",IF(J1563="NOT AVAILABLE","",J1563)))),25,IF(ISNUMBER(SEARCH("Informational",IF(J1563="NOT AVAILABLE","",J1563))),10,IF(ISNUMBER(SEARCH("Navigational",IF(J1563="NOT AVAILABLE","",J1563))),0,12))))</f>
        <v/>
      </c>
      <c r="Q1563">
        <f>IF(ISNUMBER(F1563),MIN(30,ROUND(30*LOG10(F1563+1)/4,1)),0)</f>
        <v/>
      </c>
      <c r="R1563">
        <f>IF(ISNUMBER(G1563),ROUND(25*(100-G1563)/100,1),12.5)</f>
        <v/>
      </c>
      <c r="S1563" t="n">
        <v>14</v>
      </c>
      <c r="T1563">
        <f>ROUND(P1563+Q1563+R1563+S1563,0)</f>
        <v/>
      </c>
      <c r="U1563" s="5" t="inlineStr"/>
      <c r="V1563" s="5" t="inlineStr"/>
    </row>
    <row r="1564">
      <c r="A1564" t="inlineStr">
        <is>
          <t>K1562</t>
        </is>
      </c>
      <c r="B1564" t="inlineStr">
        <is>
          <t>site internet cabinet médical</t>
        </is>
      </c>
      <c r="C1564" t="inlineStr">
        <is>
          <t>France</t>
        </is>
      </c>
      <c r="D1564" t="inlineStr">
        <is>
          <t>fr</t>
        </is>
      </c>
      <c r="E1564" t="inlineStr">
        <is>
          <t>fr</t>
        </is>
      </c>
      <c r="F1564" t="n">
        <v>0</v>
      </c>
      <c r="G1564" t="inlineStr">
        <is>
          <t>NOT AVAILABLE</t>
        </is>
      </c>
      <c r="H1564" t="n">
        <v>0</v>
      </c>
      <c r="I1564" t="n">
        <v>0</v>
      </c>
      <c r="J1564" t="inlineStr">
        <is>
          <t>NOT AVAILABLE</t>
        </is>
      </c>
      <c r="K1564" t="inlineStr">
        <is>
          <t>NOT AVAILABLE (report not requested)</t>
        </is>
      </c>
      <c r="L1564" t="inlineStr">
        <is>
          <t>flat (no data)</t>
        </is>
      </c>
      <c r="M1564" t="inlineStr">
        <is>
          <t>MEASURED</t>
        </is>
      </c>
      <c r="N1564" s="5" t="inlineStr">
        <is>
          <t>Semrush phrase_these (live, this session)</t>
        </is>
      </c>
      <c r="O1564" t="inlineStr">
        <is>
          <t>2026-10-30</t>
        </is>
      </c>
      <c r="P1564">
        <f>IF(IF(J1564="NOT AVAILABLE","",J1564)="",12,IF(OR(ISNUMBER(SEARCH("Transactional",IF(J1564="NOT AVAILABLE","",J1564))),ISNUMBER(SEARCH("Commercial",IF(J1564="NOT AVAILABLE","",J1564)))),25,IF(ISNUMBER(SEARCH("Informational",IF(J1564="NOT AVAILABLE","",J1564))),10,IF(ISNUMBER(SEARCH("Navigational",IF(J1564="NOT AVAILABLE","",J1564))),0,12))))</f>
        <v/>
      </c>
      <c r="Q1564">
        <f>IF(ISNUMBER(F1564),MIN(30,ROUND(30*LOG10(F1564+1)/4,1)),0)</f>
        <v/>
      </c>
      <c r="R1564">
        <f>IF(ISNUMBER(G1564),ROUND(25*(100-G1564)/100,1),12.5)</f>
        <v/>
      </c>
      <c r="S1564" t="n">
        <v>14</v>
      </c>
      <c r="T1564">
        <f>ROUND(P1564+Q1564+R1564+S1564,0)</f>
        <v/>
      </c>
      <c r="U1564" s="5" t="inlineStr"/>
      <c r="V1564" s="5" t="inlineStr"/>
    </row>
    <row r="1565">
      <c r="A1565" t="inlineStr">
        <is>
          <t>K1563</t>
        </is>
      </c>
      <c r="B1565" t="inlineStr">
        <is>
          <t>site internet cabinet médical prix</t>
        </is>
      </c>
      <c r="C1565" t="inlineStr">
        <is>
          <t>France</t>
        </is>
      </c>
      <c r="D1565" t="inlineStr">
        <is>
          <t>fr</t>
        </is>
      </c>
      <c r="E1565" t="inlineStr">
        <is>
          <t>fr</t>
        </is>
      </c>
      <c r="F1565" t="inlineStr">
        <is>
          <t>NOT AVAILABLE</t>
        </is>
      </c>
      <c r="G1565" t="inlineStr">
        <is>
          <t>NOT AVAILABLE</t>
        </is>
      </c>
      <c r="H1565" t="inlineStr">
        <is>
          <t>NOT AVAILABLE</t>
        </is>
      </c>
      <c r="I1565" t="inlineStr">
        <is>
          <t>NOT AVAILABLE</t>
        </is>
      </c>
      <c r="J1565" t="inlineStr">
        <is>
          <t>NOT AVAILABLE</t>
        </is>
      </c>
      <c r="K1565" t="inlineStr">
        <is>
          <t>NOT AVAILABLE</t>
        </is>
      </c>
      <c r="L1565" t="inlineStr">
        <is>
          <t>NOT AVAILABLE</t>
        </is>
      </c>
      <c r="M1565" t="inlineStr">
        <is>
          <t>UNAVAILABLE</t>
        </is>
      </c>
      <c r="N1565" s="5" t="inlineStr">
        <is>
          <t>Semrush phrase_these returned no data (not billed)</t>
        </is>
      </c>
      <c r="O1565" t="inlineStr">
        <is>
          <t>2026-10-30</t>
        </is>
      </c>
      <c r="P1565">
        <f>IF(IF(J1565="NOT AVAILABLE","",J1565)="",12,IF(OR(ISNUMBER(SEARCH("Transactional",IF(J1565="NOT AVAILABLE","",J1565))),ISNUMBER(SEARCH("Commercial",IF(J1565="NOT AVAILABLE","",J1565)))),25,IF(ISNUMBER(SEARCH("Informational",IF(J1565="NOT AVAILABLE","",J1565))),10,IF(ISNUMBER(SEARCH("Navigational",IF(J1565="NOT AVAILABLE","",J1565))),0,12))))</f>
        <v/>
      </c>
      <c r="Q1565">
        <f>IF(ISNUMBER(F1565),MIN(30,ROUND(30*LOG10(F1565+1)/4,1)),0)</f>
        <v/>
      </c>
      <c r="R1565">
        <f>IF(ISNUMBER(G1565),ROUND(25*(100-G1565)/100,1),12.5)</f>
        <v/>
      </c>
      <c r="S1565" t="n">
        <v>14</v>
      </c>
      <c r="T1565">
        <f>ROUND(P1565+Q1565+R1565+S1565,0)</f>
        <v/>
      </c>
      <c r="U1565" s="5" t="inlineStr"/>
      <c r="V1565" s="5" t="inlineStr"/>
    </row>
    <row r="1566">
      <c r="A1566" t="inlineStr">
        <is>
          <t>K1564</t>
        </is>
      </c>
      <c r="B1566" t="inlineStr">
        <is>
          <t>site internet médecin généraliste</t>
        </is>
      </c>
      <c r="C1566" t="inlineStr">
        <is>
          <t>France</t>
        </is>
      </c>
      <c r="D1566" t="inlineStr">
        <is>
          <t>fr</t>
        </is>
      </c>
      <c r="E1566" t="inlineStr">
        <is>
          <t>fr</t>
        </is>
      </c>
      <c r="F1566" t="n">
        <v>0</v>
      </c>
      <c r="G1566" t="inlineStr">
        <is>
          <t>NOT AVAILABLE</t>
        </is>
      </c>
      <c r="H1566" t="n">
        <v>0</v>
      </c>
      <c r="I1566" t="n">
        <v>0</v>
      </c>
      <c r="J1566" t="inlineStr">
        <is>
          <t>NOT AVAILABLE</t>
        </is>
      </c>
      <c r="K1566" t="inlineStr">
        <is>
          <t>NOT AVAILABLE (report not requested)</t>
        </is>
      </c>
      <c r="L1566" t="inlineStr">
        <is>
          <t>rising (calc.)</t>
        </is>
      </c>
      <c r="M1566" t="inlineStr">
        <is>
          <t>MEASURED</t>
        </is>
      </c>
      <c r="N1566" s="5" t="inlineStr">
        <is>
          <t>Semrush phrase_these (live, this session)</t>
        </is>
      </c>
      <c r="O1566" t="inlineStr">
        <is>
          <t>2026-10-30</t>
        </is>
      </c>
      <c r="P1566">
        <f>IF(IF(J1566="NOT AVAILABLE","",J1566)="",12,IF(OR(ISNUMBER(SEARCH("Transactional",IF(J1566="NOT AVAILABLE","",J1566))),ISNUMBER(SEARCH("Commercial",IF(J1566="NOT AVAILABLE","",J1566)))),25,IF(ISNUMBER(SEARCH("Informational",IF(J1566="NOT AVAILABLE","",J1566))),10,IF(ISNUMBER(SEARCH("Navigational",IF(J1566="NOT AVAILABLE","",J1566))),0,12))))</f>
        <v/>
      </c>
      <c r="Q1566">
        <f>IF(ISNUMBER(F1566),MIN(30,ROUND(30*LOG10(F1566+1)/4,1)),0)</f>
        <v/>
      </c>
      <c r="R1566">
        <f>IF(ISNUMBER(G1566),ROUND(25*(100-G1566)/100,1),12.5)</f>
        <v/>
      </c>
      <c r="S1566" t="n">
        <v>14</v>
      </c>
      <c r="T1566">
        <f>ROUND(P1566+Q1566+R1566+S1566,0)</f>
        <v/>
      </c>
      <c r="U1566" s="5" t="inlineStr"/>
      <c r="V1566" s="5" t="inlineStr"/>
    </row>
    <row r="1567">
      <c r="A1567" t="inlineStr">
        <is>
          <t>K1565</t>
        </is>
      </c>
      <c r="B1567" t="inlineStr">
        <is>
          <t>site internet école de langue</t>
        </is>
      </c>
      <c r="C1567" t="inlineStr">
        <is>
          <t>France</t>
        </is>
      </c>
      <c r="D1567" t="inlineStr">
        <is>
          <t>fr</t>
        </is>
      </c>
      <c r="E1567" t="inlineStr">
        <is>
          <t>fr</t>
        </is>
      </c>
      <c r="F1567" t="inlineStr">
        <is>
          <t>NOT AVAILABLE</t>
        </is>
      </c>
      <c r="G1567" t="inlineStr">
        <is>
          <t>NOT AVAILABLE</t>
        </is>
      </c>
      <c r="H1567" t="inlineStr">
        <is>
          <t>NOT AVAILABLE</t>
        </is>
      </c>
      <c r="I1567" t="inlineStr">
        <is>
          <t>NOT AVAILABLE</t>
        </is>
      </c>
      <c r="J1567" t="inlineStr">
        <is>
          <t>NOT AVAILABLE</t>
        </is>
      </c>
      <c r="K1567" t="inlineStr">
        <is>
          <t>NOT AVAILABLE</t>
        </is>
      </c>
      <c r="L1567" t="inlineStr">
        <is>
          <t>NOT AVAILABLE</t>
        </is>
      </c>
      <c r="M1567" t="inlineStr">
        <is>
          <t>UNAVAILABLE</t>
        </is>
      </c>
      <c r="N1567" s="5" t="inlineStr">
        <is>
          <t>Semrush phrase_these returned no data (not billed)</t>
        </is>
      </c>
      <c r="O1567" t="inlineStr">
        <is>
          <t>2026-10-30</t>
        </is>
      </c>
      <c r="P1567">
        <f>IF(IF(J1567="NOT AVAILABLE","",J1567)="",12,IF(OR(ISNUMBER(SEARCH("Transactional",IF(J1567="NOT AVAILABLE","",J1567))),ISNUMBER(SEARCH("Commercial",IF(J1567="NOT AVAILABLE","",J1567)))),25,IF(ISNUMBER(SEARCH("Informational",IF(J1567="NOT AVAILABLE","",J1567))),10,IF(ISNUMBER(SEARCH("Navigational",IF(J1567="NOT AVAILABLE","",J1567))),0,12))))</f>
        <v/>
      </c>
      <c r="Q1567">
        <f>IF(ISNUMBER(F1567),MIN(30,ROUND(30*LOG10(F1567+1)/4,1)),0)</f>
        <v/>
      </c>
      <c r="R1567">
        <f>IF(ISNUMBER(G1567),ROUND(25*(100-G1567)/100,1),12.5)</f>
        <v/>
      </c>
      <c r="S1567" t="n">
        <v>14</v>
      </c>
      <c r="T1567">
        <f>ROUND(P1567+Q1567+R1567+S1567,0)</f>
        <v/>
      </c>
      <c r="U1567" s="5" t="inlineStr"/>
      <c r="V1567" s="5" t="inlineStr"/>
    </row>
    <row r="1568">
      <c r="A1568" t="inlineStr">
        <is>
          <t>K1566</t>
        </is>
      </c>
      <c r="B1568" t="inlineStr">
        <is>
          <t>site prêt à lancer</t>
        </is>
      </c>
      <c r="C1568" t="inlineStr">
        <is>
          <t>France</t>
        </is>
      </c>
      <c r="D1568" t="inlineStr">
        <is>
          <t>fr</t>
        </is>
      </c>
      <c r="E1568" t="inlineStr">
        <is>
          <t>fr</t>
        </is>
      </c>
      <c r="F1568" t="inlineStr">
        <is>
          <t>NOT AVAILABLE</t>
        </is>
      </c>
      <c r="G1568" t="inlineStr">
        <is>
          <t>NOT AVAILABLE</t>
        </is>
      </c>
      <c r="H1568" t="inlineStr">
        <is>
          <t>NOT AVAILABLE</t>
        </is>
      </c>
      <c r="I1568" t="inlineStr">
        <is>
          <t>NOT AVAILABLE</t>
        </is>
      </c>
      <c r="J1568" t="inlineStr">
        <is>
          <t>NOT AVAILABLE</t>
        </is>
      </c>
      <c r="K1568" t="inlineStr">
        <is>
          <t>NOT AVAILABLE</t>
        </is>
      </c>
      <c r="L1568" t="inlineStr">
        <is>
          <t>NOT AVAILABLE</t>
        </is>
      </c>
      <c r="M1568" t="inlineStr">
        <is>
          <t>UNAVAILABLE</t>
        </is>
      </c>
      <c r="N1568" s="5" t="inlineStr">
        <is>
          <t>Semrush phrase_these returned no data (not billed)</t>
        </is>
      </c>
      <c r="O1568" t="inlineStr">
        <is>
          <t>2026-10-30</t>
        </is>
      </c>
      <c r="P1568">
        <f>IF(IF(J1568="NOT AVAILABLE","",J1568)="",12,IF(OR(ISNUMBER(SEARCH("Transactional",IF(J1568="NOT AVAILABLE","",J1568))),ISNUMBER(SEARCH("Commercial",IF(J1568="NOT AVAILABLE","",J1568)))),25,IF(ISNUMBER(SEARCH("Informational",IF(J1568="NOT AVAILABLE","",J1568))),10,IF(ISNUMBER(SEARCH("Navigational",IF(J1568="NOT AVAILABLE","",J1568))),0,12))))</f>
        <v/>
      </c>
      <c r="Q1568">
        <f>IF(ISNUMBER(F1568),MIN(30,ROUND(30*LOG10(F1568+1)/4,1)),0)</f>
        <v/>
      </c>
      <c r="R1568">
        <f>IF(ISNUMBER(G1568),ROUND(25*(100-G1568)/100,1),12.5)</f>
        <v/>
      </c>
      <c r="S1568" t="n">
        <v>14</v>
      </c>
      <c r="T1568">
        <f>ROUND(P1568+Q1568+R1568+S1568,0)</f>
        <v/>
      </c>
      <c r="U1568" s="5" t="inlineStr"/>
      <c r="V1568" s="5" t="inlineStr">
        <is>
          <t>OPTIONAL /tools/website-readiness-checker</t>
        </is>
      </c>
    </row>
    <row r="1569">
      <c r="A1569" t="inlineStr">
        <is>
          <t>K1567</t>
        </is>
      </c>
      <c r="B1569" t="inlineStr">
        <is>
          <t>site vitrine ou e-commerce</t>
        </is>
      </c>
      <c r="C1569" t="inlineStr">
        <is>
          <t>France</t>
        </is>
      </c>
      <c r="D1569" t="inlineStr">
        <is>
          <t>fr</t>
        </is>
      </c>
      <c r="E1569" t="inlineStr">
        <is>
          <t>fr</t>
        </is>
      </c>
      <c r="F1569" t="n">
        <v>0</v>
      </c>
      <c r="G1569" t="inlineStr">
        <is>
          <t>NOT AVAILABLE</t>
        </is>
      </c>
      <c r="H1569" t="n">
        <v>0</v>
      </c>
      <c r="I1569" t="n">
        <v>0.33</v>
      </c>
      <c r="J1569" t="inlineStr">
        <is>
          <t>NOT AVAILABLE</t>
        </is>
      </c>
      <c r="K1569" t="inlineStr">
        <is>
          <t>NOT AVAILABLE (report not requested)</t>
        </is>
      </c>
      <c r="L1569" t="inlineStr">
        <is>
          <t>rising (calc.)</t>
        </is>
      </c>
      <c r="M1569" t="inlineStr">
        <is>
          <t>MEASURED</t>
        </is>
      </c>
      <c r="N1569" s="5" t="inlineStr">
        <is>
          <t>Semrush phrase_these (live, this session)</t>
        </is>
      </c>
      <c r="O1569" t="inlineStr">
        <is>
          <t>2026-10-30</t>
        </is>
      </c>
      <c r="P1569">
        <f>IF(IF(J1569="NOT AVAILABLE","",J1569)="",12,IF(OR(ISNUMBER(SEARCH("Transactional",IF(J1569="NOT AVAILABLE","",J1569))),ISNUMBER(SEARCH("Commercial",IF(J1569="NOT AVAILABLE","",J1569)))),25,IF(ISNUMBER(SEARCH("Informational",IF(J1569="NOT AVAILABLE","",J1569))),10,IF(ISNUMBER(SEARCH("Navigational",IF(J1569="NOT AVAILABLE","",J1569))),0,12))))</f>
        <v/>
      </c>
      <c r="Q1569">
        <f>IF(ISNUMBER(F1569),MIN(30,ROUND(30*LOG10(F1569+1)/4,1)),0)</f>
        <v/>
      </c>
      <c r="R1569">
        <f>IF(ISNUMBER(G1569),ROUND(25*(100-G1569)/100,1),12.5)</f>
        <v/>
      </c>
      <c r="S1569" t="n">
        <v>14</v>
      </c>
      <c r="T1569">
        <f>ROUND(P1569+Q1569+R1569+S1569,0)</f>
        <v/>
      </c>
      <c r="U1569" s="5" t="inlineStr"/>
      <c r="V1569" s="5" t="inlineStr"/>
    </row>
    <row r="1570">
      <c r="A1570" t="inlineStr">
        <is>
          <t>K1568</t>
        </is>
      </c>
      <c r="B1570" t="inlineStr">
        <is>
          <t>site web agence de mobilité internationale</t>
        </is>
      </c>
      <c r="C1570" t="inlineStr">
        <is>
          <t>France</t>
        </is>
      </c>
      <c r="D1570" t="inlineStr">
        <is>
          <t>fr</t>
        </is>
      </c>
      <c r="E1570" t="inlineStr">
        <is>
          <t>fr</t>
        </is>
      </c>
      <c r="F1570" t="inlineStr">
        <is>
          <t>NOT AVAILABLE</t>
        </is>
      </c>
      <c r="G1570" t="inlineStr">
        <is>
          <t>NOT AVAILABLE</t>
        </is>
      </c>
      <c r="H1570" t="inlineStr">
        <is>
          <t>NOT AVAILABLE</t>
        </is>
      </c>
      <c r="I1570" t="inlineStr">
        <is>
          <t>NOT AVAILABLE</t>
        </is>
      </c>
      <c r="J1570" t="inlineStr">
        <is>
          <t>NOT AVAILABLE</t>
        </is>
      </c>
      <c r="K1570" t="inlineStr">
        <is>
          <t>NOT AVAILABLE</t>
        </is>
      </c>
      <c r="L1570" t="inlineStr">
        <is>
          <t>NOT AVAILABLE</t>
        </is>
      </c>
      <c r="M1570" t="inlineStr">
        <is>
          <t>UNAVAILABLE</t>
        </is>
      </c>
      <c r="N1570" s="5" t="inlineStr">
        <is>
          <t>Semrush phrase_these returned no data (not billed)</t>
        </is>
      </c>
      <c r="O1570" t="inlineStr">
        <is>
          <t>2026-10-30</t>
        </is>
      </c>
      <c r="P1570">
        <f>IF(IF(J1570="NOT AVAILABLE","",J1570)="",12,IF(OR(ISNUMBER(SEARCH("Transactional",IF(J1570="NOT AVAILABLE","",J1570))),ISNUMBER(SEARCH("Commercial",IF(J1570="NOT AVAILABLE","",J1570)))),25,IF(ISNUMBER(SEARCH("Informational",IF(J1570="NOT AVAILABLE","",J1570))),10,IF(ISNUMBER(SEARCH("Navigational",IF(J1570="NOT AVAILABLE","",J1570))),0,12))))</f>
        <v/>
      </c>
      <c r="Q1570">
        <f>IF(ISNUMBER(F1570),MIN(30,ROUND(30*LOG10(F1570+1)/4,1)),0)</f>
        <v/>
      </c>
      <c r="R1570">
        <f>IF(ISNUMBER(G1570),ROUND(25*(100-G1570)/100,1),12.5)</f>
        <v/>
      </c>
      <c r="S1570" t="n">
        <v>14</v>
      </c>
      <c r="T1570">
        <f>ROUND(P1570+Q1570+R1570+S1570,0)</f>
        <v/>
      </c>
      <c r="U1570" s="5" t="inlineStr"/>
      <c r="V1570" s="5" t="inlineStr"/>
    </row>
    <row r="1571">
      <c r="A1571" t="inlineStr">
        <is>
          <t>K1569</t>
        </is>
      </c>
      <c r="B1571" t="inlineStr">
        <is>
          <t>site web agence études à l'étranger</t>
        </is>
      </c>
      <c r="C1571" t="inlineStr">
        <is>
          <t>France</t>
        </is>
      </c>
      <c r="D1571" t="inlineStr">
        <is>
          <t>fr</t>
        </is>
      </c>
      <c r="E1571" t="inlineStr">
        <is>
          <t>fr</t>
        </is>
      </c>
      <c r="F1571" t="inlineStr">
        <is>
          <t>NOT AVAILABLE</t>
        </is>
      </c>
      <c r="G1571" t="inlineStr">
        <is>
          <t>NOT AVAILABLE</t>
        </is>
      </c>
      <c r="H1571" t="inlineStr">
        <is>
          <t>NOT AVAILABLE</t>
        </is>
      </c>
      <c r="I1571" t="inlineStr">
        <is>
          <t>NOT AVAILABLE</t>
        </is>
      </c>
      <c r="J1571" t="inlineStr">
        <is>
          <t>NOT AVAILABLE</t>
        </is>
      </c>
      <c r="K1571" t="inlineStr">
        <is>
          <t>NOT AVAILABLE</t>
        </is>
      </c>
      <c r="L1571" t="inlineStr">
        <is>
          <t>NOT AVAILABLE</t>
        </is>
      </c>
      <c r="M1571" t="inlineStr">
        <is>
          <t>UNAVAILABLE</t>
        </is>
      </c>
      <c r="N1571" s="5" t="inlineStr">
        <is>
          <t>Semrush phrase_these returned no data (not billed)</t>
        </is>
      </c>
      <c r="O1571" t="inlineStr">
        <is>
          <t>2026-10-30</t>
        </is>
      </c>
      <c r="P1571">
        <f>IF(IF(J1571="NOT AVAILABLE","",J1571)="",12,IF(OR(ISNUMBER(SEARCH("Transactional",IF(J1571="NOT AVAILABLE","",J1571))),ISNUMBER(SEARCH("Commercial",IF(J1571="NOT AVAILABLE","",J1571)))),25,IF(ISNUMBER(SEARCH("Informational",IF(J1571="NOT AVAILABLE","",J1571))),10,IF(ISNUMBER(SEARCH("Navigational",IF(J1571="NOT AVAILABLE","",J1571))),0,12))))</f>
        <v/>
      </c>
      <c r="Q1571">
        <f>IF(ISNUMBER(F1571),MIN(30,ROUND(30*LOG10(F1571+1)/4,1)),0)</f>
        <v/>
      </c>
      <c r="R1571">
        <f>IF(ISNUMBER(G1571),ROUND(25*(100-G1571)/100,1),12.5)</f>
        <v/>
      </c>
      <c r="S1571" t="n">
        <v>14</v>
      </c>
      <c r="T1571">
        <f>ROUND(P1571+Q1571+R1571+S1571,0)</f>
        <v/>
      </c>
      <c r="U1571" s="5" t="inlineStr"/>
      <c r="V1571" s="5" t="inlineStr">
        <is>
          <t>PRIMARY /services/study-abroad-website-development</t>
        </is>
      </c>
    </row>
    <row r="1572">
      <c r="A1572" t="inlineStr">
        <is>
          <t>K1570</t>
        </is>
      </c>
      <c r="B1572" t="inlineStr">
        <is>
          <t>site web avocat immigration</t>
        </is>
      </c>
      <c r="C1572" t="inlineStr">
        <is>
          <t>France</t>
        </is>
      </c>
      <c r="D1572" t="inlineStr">
        <is>
          <t>fr</t>
        </is>
      </c>
      <c r="E1572" t="inlineStr">
        <is>
          <t>fr</t>
        </is>
      </c>
      <c r="F1572" t="inlineStr">
        <is>
          <t>NOT AVAILABLE</t>
        </is>
      </c>
      <c r="G1572" t="inlineStr">
        <is>
          <t>NOT AVAILABLE</t>
        </is>
      </c>
      <c r="H1572" t="inlineStr">
        <is>
          <t>NOT AVAILABLE</t>
        </is>
      </c>
      <c r="I1572" t="inlineStr">
        <is>
          <t>NOT AVAILABLE</t>
        </is>
      </c>
      <c r="J1572" t="inlineStr">
        <is>
          <t>NOT AVAILABLE</t>
        </is>
      </c>
      <c r="K1572" t="inlineStr">
        <is>
          <t>NOT AVAILABLE</t>
        </is>
      </c>
      <c r="L1572" t="inlineStr">
        <is>
          <t>NOT AVAILABLE</t>
        </is>
      </c>
      <c r="M1572" t="inlineStr">
        <is>
          <t>UNAVAILABLE</t>
        </is>
      </c>
      <c r="N1572" s="5" t="inlineStr">
        <is>
          <t>Semrush phrase_these returned no data (not billed)</t>
        </is>
      </c>
      <c r="O1572" t="inlineStr">
        <is>
          <t>2026-10-30</t>
        </is>
      </c>
      <c r="P1572">
        <f>IF(IF(J1572="NOT AVAILABLE","",J1572)="",12,IF(OR(ISNUMBER(SEARCH("Transactional",IF(J1572="NOT AVAILABLE","",J1572))),ISNUMBER(SEARCH("Commercial",IF(J1572="NOT AVAILABLE","",J1572)))),25,IF(ISNUMBER(SEARCH("Informational",IF(J1572="NOT AVAILABLE","",J1572))),10,IF(ISNUMBER(SEARCH("Navigational",IF(J1572="NOT AVAILABLE","",J1572))),0,12))))</f>
        <v/>
      </c>
      <c r="Q1572">
        <f>IF(ISNUMBER(F1572),MIN(30,ROUND(30*LOG10(F1572+1)/4,1)),0)</f>
        <v/>
      </c>
      <c r="R1572">
        <f>IF(ISNUMBER(G1572),ROUND(25*(100-G1572)/100,1),12.5)</f>
        <v/>
      </c>
      <c r="S1572" t="n">
        <v>14</v>
      </c>
      <c r="T1572">
        <f>ROUND(P1572+Q1572+R1572+S1572,0)</f>
        <v/>
      </c>
      <c r="U1572" s="5" t="inlineStr"/>
      <c r="V1572" s="5" t="inlineStr"/>
    </row>
    <row r="1573">
      <c r="A1573" t="inlineStr">
        <is>
          <t>K1571</t>
        </is>
      </c>
      <c r="B1573" t="inlineStr">
        <is>
          <t>site web cabinet immigration</t>
        </is>
      </c>
      <c r="C1573" t="inlineStr">
        <is>
          <t>France</t>
        </is>
      </c>
      <c r="D1573" t="inlineStr">
        <is>
          <t>fr</t>
        </is>
      </c>
      <c r="E1573" t="inlineStr">
        <is>
          <t>fr</t>
        </is>
      </c>
      <c r="F1573" t="inlineStr">
        <is>
          <t>NOT AVAILABLE</t>
        </is>
      </c>
      <c r="G1573" t="inlineStr">
        <is>
          <t>NOT AVAILABLE</t>
        </is>
      </c>
      <c r="H1573" t="inlineStr">
        <is>
          <t>NOT AVAILABLE</t>
        </is>
      </c>
      <c r="I1573" t="inlineStr">
        <is>
          <t>NOT AVAILABLE</t>
        </is>
      </c>
      <c r="J1573" t="inlineStr">
        <is>
          <t>NOT AVAILABLE</t>
        </is>
      </c>
      <c r="K1573" t="inlineStr">
        <is>
          <t>NOT AVAILABLE</t>
        </is>
      </c>
      <c r="L1573" t="inlineStr">
        <is>
          <t>NOT AVAILABLE</t>
        </is>
      </c>
      <c r="M1573" t="inlineStr">
        <is>
          <t>UNAVAILABLE</t>
        </is>
      </c>
      <c r="N1573" s="5" t="inlineStr">
        <is>
          <t>Semrush phrase_these returned no data (not billed)</t>
        </is>
      </c>
      <c r="O1573" t="inlineStr">
        <is>
          <t>2026-10-30</t>
        </is>
      </c>
      <c r="P1573">
        <f>IF(IF(J1573="NOT AVAILABLE","",J1573)="",12,IF(OR(ISNUMBER(SEARCH("Transactional",IF(J1573="NOT AVAILABLE","",J1573))),ISNUMBER(SEARCH("Commercial",IF(J1573="NOT AVAILABLE","",J1573)))),25,IF(ISNUMBER(SEARCH("Informational",IF(J1573="NOT AVAILABLE","",J1573))),10,IF(ISNUMBER(SEARCH("Navigational",IF(J1573="NOT AVAILABLE","",J1573))),0,12))))</f>
        <v/>
      </c>
      <c r="Q1573">
        <f>IF(ISNUMBER(F1573),MIN(30,ROUND(30*LOG10(F1573+1)/4,1)),0)</f>
        <v/>
      </c>
      <c r="R1573">
        <f>IF(ISNUMBER(G1573),ROUND(25*(100-G1573)/100,1),12.5)</f>
        <v/>
      </c>
      <c r="S1573" t="n">
        <v>14</v>
      </c>
      <c r="T1573">
        <f>ROUND(P1573+Q1573+R1573+S1573,0)</f>
        <v/>
      </c>
      <c r="U1573" s="5" t="inlineStr"/>
      <c r="V1573" s="5" t="inlineStr">
        <is>
          <t>PRIMARY /services/immigration-consultancy-website-development</t>
        </is>
      </c>
    </row>
    <row r="1574">
      <c r="A1574" t="inlineStr">
        <is>
          <t>K1572</t>
        </is>
      </c>
      <c r="B1574" t="inlineStr">
        <is>
          <t>site web conseiller financier</t>
        </is>
      </c>
      <c r="C1574" t="inlineStr">
        <is>
          <t>France</t>
        </is>
      </c>
      <c r="D1574" t="inlineStr">
        <is>
          <t>fr</t>
        </is>
      </c>
      <c r="E1574" t="inlineStr">
        <is>
          <t>fr</t>
        </is>
      </c>
      <c r="F1574" t="inlineStr">
        <is>
          <t>NOT AVAILABLE</t>
        </is>
      </c>
      <c r="G1574" t="inlineStr">
        <is>
          <t>NOT AVAILABLE</t>
        </is>
      </c>
      <c r="H1574" t="inlineStr">
        <is>
          <t>NOT AVAILABLE</t>
        </is>
      </c>
      <c r="I1574" t="inlineStr">
        <is>
          <t>NOT AVAILABLE</t>
        </is>
      </c>
      <c r="J1574" t="inlineStr">
        <is>
          <t>NOT AVAILABLE</t>
        </is>
      </c>
      <c r="K1574" t="inlineStr">
        <is>
          <t>NOT AVAILABLE</t>
        </is>
      </c>
      <c r="L1574" t="inlineStr">
        <is>
          <t>NOT AVAILABLE</t>
        </is>
      </c>
      <c r="M1574" t="inlineStr">
        <is>
          <t>UNAVAILABLE</t>
        </is>
      </c>
      <c r="N1574" s="5" t="inlineStr">
        <is>
          <t>Semrush phrase_these returned no data (not billed)</t>
        </is>
      </c>
      <c r="O1574" t="inlineStr">
        <is>
          <t>2026-10-30</t>
        </is>
      </c>
      <c r="P1574">
        <f>IF(IF(J1574="NOT AVAILABLE","",J1574)="",12,IF(OR(ISNUMBER(SEARCH("Transactional",IF(J1574="NOT AVAILABLE","",J1574))),ISNUMBER(SEARCH("Commercial",IF(J1574="NOT AVAILABLE","",J1574)))),25,IF(ISNUMBER(SEARCH("Informational",IF(J1574="NOT AVAILABLE","",J1574))),10,IF(ISNUMBER(SEARCH("Navigational",IF(J1574="NOT AVAILABLE","",J1574))),0,12))))</f>
        <v/>
      </c>
      <c r="Q1574">
        <f>IF(ISNUMBER(F1574),MIN(30,ROUND(30*LOG10(F1574+1)/4,1)),0)</f>
        <v/>
      </c>
      <c r="R1574">
        <f>IF(ISNUMBER(G1574),ROUND(25*(100-G1574)/100,1),12.5)</f>
        <v/>
      </c>
      <c r="S1574" t="n">
        <v>14</v>
      </c>
      <c r="T1574">
        <f>ROUND(P1574+Q1574+R1574+S1574,0)</f>
        <v/>
      </c>
      <c r="U1574" s="5" t="inlineStr"/>
      <c r="V1574" s="5" t="inlineStr"/>
    </row>
    <row r="1575">
      <c r="A1575" t="inlineStr">
        <is>
          <t>K1573</t>
        </is>
      </c>
      <c r="B1575" t="inlineStr">
        <is>
          <t>site web consultant immigration</t>
        </is>
      </c>
      <c r="C1575" t="inlineStr">
        <is>
          <t>France</t>
        </is>
      </c>
      <c r="D1575" t="inlineStr">
        <is>
          <t>fr</t>
        </is>
      </c>
      <c r="E1575" t="inlineStr">
        <is>
          <t>fr</t>
        </is>
      </c>
      <c r="F1575" t="inlineStr">
        <is>
          <t>NOT AVAILABLE</t>
        </is>
      </c>
      <c r="G1575" t="inlineStr">
        <is>
          <t>NOT AVAILABLE</t>
        </is>
      </c>
      <c r="H1575" t="inlineStr">
        <is>
          <t>NOT AVAILABLE</t>
        </is>
      </c>
      <c r="I1575" t="inlineStr">
        <is>
          <t>NOT AVAILABLE</t>
        </is>
      </c>
      <c r="J1575" t="inlineStr">
        <is>
          <t>NOT AVAILABLE</t>
        </is>
      </c>
      <c r="K1575" t="inlineStr">
        <is>
          <t>NOT AVAILABLE</t>
        </is>
      </c>
      <c r="L1575" t="inlineStr">
        <is>
          <t>NOT AVAILABLE</t>
        </is>
      </c>
      <c r="M1575" t="inlineStr">
        <is>
          <t>UNAVAILABLE</t>
        </is>
      </c>
      <c r="N1575" s="5" t="inlineStr">
        <is>
          <t>Semrush phrase_these returned no data (not billed)</t>
        </is>
      </c>
      <c r="O1575" t="inlineStr">
        <is>
          <t>2026-10-30</t>
        </is>
      </c>
      <c r="P1575">
        <f>IF(IF(J1575="NOT AVAILABLE","",J1575)="",12,IF(OR(ISNUMBER(SEARCH("Transactional",IF(J1575="NOT AVAILABLE","",J1575))),ISNUMBER(SEARCH("Commercial",IF(J1575="NOT AVAILABLE","",J1575)))),25,IF(ISNUMBER(SEARCH("Informational",IF(J1575="NOT AVAILABLE","",J1575))),10,IF(ISNUMBER(SEARCH("Navigational",IF(J1575="NOT AVAILABLE","",J1575))),0,12))))</f>
        <v/>
      </c>
      <c r="Q1575">
        <f>IF(ISNUMBER(F1575),MIN(30,ROUND(30*LOG10(F1575+1)/4,1)),0)</f>
        <v/>
      </c>
      <c r="R1575">
        <f>IF(ISNUMBER(G1575),ROUND(25*(100-G1575)/100,1),12.5)</f>
        <v/>
      </c>
      <c r="S1575" t="n">
        <v>14</v>
      </c>
      <c r="T1575">
        <f>ROUND(P1575+Q1575+R1575+S1575,0)</f>
        <v/>
      </c>
      <c r="U1575" s="5" t="inlineStr"/>
      <c r="V1575" s="5" t="inlineStr"/>
    </row>
    <row r="1576">
      <c r="A1576" t="inlineStr">
        <is>
          <t>K1574</t>
        </is>
      </c>
      <c r="B1576" t="inlineStr">
        <is>
          <t>site web kiné</t>
        </is>
      </c>
      <c r="C1576" t="inlineStr">
        <is>
          <t>France</t>
        </is>
      </c>
      <c r="D1576" t="inlineStr">
        <is>
          <t>fr</t>
        </is>
      </c>
      <c r="E1576" t="inlineStr">
        <is>
          <t>fr</t>
        </is>
      </c>
      <c r="F1576" t="n">
        <v>0</v>
      </c>
      <c r="G1576" t="inlineStr">
        <is>
          <t>NOT AVAILABLE</t>
        </is>
      </c>
      <c r="H1576" t="n">
        <v>0</v>
      </c>
      <c r="I1576" t="n">
        <v>0</v>
      </c>
      <c r="J1576" t="inlineStr">
        <is>
          <t>NOT AVAILABLE</t>
        </is>
      </c>
      <c r="K1576" t="inlineStr">
        <is>
          <t>NOT AVAILABLE (report not requested)</t>
        </is>
      </c>
      <c r="L1576" t="inlineStr">
        <is>
          <t>flat (no data)</t>
        </is>
      </c>
      <c r="M1576" t="inlineStr">
        <is>
          <t>MEASURED</t>
        </is>
      </c>
      <c r="N1576" s="5" t="inlineStr">
        <is>
          <t>Semrush phrase_these (live, this session)</t>
        </is>
      </c>
      <c r="O1576" t="inlineStr">
        <is>
          <t>2026-10-30</t>
        </is>
      </c>
      <c r="P1576">
        <f>IF(IF(J1576="NOT AVAILABLE","",J1576)="",12,IF(OR(ISNUMBER(SEARCH("Transactional",IF(J1576="NOT AVAILABLE","",J1576))),ISNUMBER(SEARCH("Commercial",IF(J1576="NOT AVAILABLE","",J1576)))),25,IF(ISNUMBER(SEARCH("Informational",IF(J1576="NOT AVAILABLE","",J1576))),10,IF(ISNUMBER(SEARCH("Navigational",IF(J1576="NOT AVAILABLE","",J1576))),0,12))))</f>
        <v/>
      </c>
      <c r="Q1576">
        <f>IF(ISNUMBER(F1576),MIN(30,ROUND(30*LOG10(F1576+1)/4,1)),0)</f>
        <v/>
      </c>
      <c r="R1576">
        <f>IF(ISNUMBER(G1576),ROUND(25*(100-G1576)/100,1),12.5)</f>
        <v/>
      </c>
      <c r="S1576" t="n">
        <v>14</v>
      </c>
      <c r="T1576">
        <f>ROUND(P1576+Q1576+R1576+S1576,0)</f>
        <v/>
      </c>
      <c r="U1576" s="5" t="inlineStr"/>
      <c r="V1576" s="5" t="inlineStr"/>
    </row>
    <row r="1577">
      <c r="A1577" t="inlineStr">
        <is>
          <t>K1575</t>
        </is>
      </c>
      <c r="B1577" t="inlineStr">
        <is>
          <t>site web école</t>
        </is>
      </c>
      <c r="C1577" t="inlineStr">
        <is>
          <t>France</t>
        </is>
      </c>
      <c r="D1577" t="inlineStr">
        <is>
          <t>fr</t>
        </is>
      </c>
      <c r="E1577" t="inlineStr">
        <is>
          <t>fr</t>
        </is>
      </c>
      <c r="F1577" t="n">
        <v>0</v>
      </c>
      <c r="G1577" t="inlineStr">
        <is>
          <t>NOT AVAILABLE</t>
        </is>
      </c>
      <c r="H1577" t="n">
        <v>0</v>
      </c>
      <c r="I1577" t="n">
        <v>0</v>
      </c>
      <c r="J1577" t="inlineStr">
        <is>
          <t>NOT AVAILABLE</t>
        </is>
      </c>
      <c r="K1577" t="inlineStr">
        <is>
          <t>NOT AVAILABLE (report not requested)</t>
        </is>
      </c>
      <c r="L1577" t="inlineStr">
        <is>
          <t>flat (no data)</t>
        </is>
      </c>
      <c r="M1577" t="inlineStr">
        <is>
          <t>MEASURED</t>
        </is>
      </c>
      <c r="N1577" s="5" t="inlineStr">
        <is>
          <t>Semrush phrase_these (live, this session)</t>
        </is>
      </c>
      <c r="O1577" t="inlineStr">
        <is>
          <t>2026-10-30</t>
        </is>
      </c>
      <c r="P1577">
        <f>IF(IF(J1577="NOT AVAILABLE","",J1577)="",12,IF(OR(ISNUMBER(SEARCH("Transactional",IF(J1577="NOT AVAILABLE","",J1577))),ISNUMBER(SEARCH("Commercial",IF(J1577="NOT AVAILABLE","",J1577)))),25,IF(ISNUMBER(SEARCH("Informational",IF(J1577="NOT AVAILABLE","",J1577))),10,IF(ISNUMBER(SEARCH("Navigational",IF(J1577="NOT AVAILABLE","",J1577))),0,12))))</f>
        <v/>
      </c>
      <c r="Q1577">
        <f>IF(ISNUMBER(F1577),MIN(30,ROUND(30*LOG10(F1577+1)/4,1)),0)</f>
        <v/>
      </c>
      <c r="R1577">
        <f>IF(ISNUMBER(G1577),ROUND(25*(100-G1577)/100,1),12.5)</f>
        <v/>
      </c>
      <c r="S1577" t="n">
        <v>14</v>
      </c>
      <c r="T1577">
        <f>ROUND(P1577+Q1577+R1577+S1577,0)</f>
        <v/>
      </c>
      <c r="U1577" s="5" t="inlineStr"/>
      <c r="V1577" s="5" t="inlineStr"/>
    </row>
    <row r="1578">
      <c r="A1578" t="inlineStr">
        <is>
          <t>K1576</t>
        </is>
      </c>
      <c r="B1578" t="inlineStr">
        <is>
          <t>site web école de langues</t>
        </is>
      </c>
      <c r="C1578" t="inlineStr">
        <is>
          <t>France</t>
        </is>
      </c>
      <c r="D1578" t="inlineStr">
        <is>
          <t>fr</t>
        </is>
      </c>
      <c r="E1578" t="inlineStr">
        <is>
          <t>fr</t>
        </is>
      </c>
      <c r="F1578" t="inlineStr">
        <is>
          <t>NOT AVAILABLE</t>
        </is>
      </c>
      <c r="G1578" t="inlineStr">
        <is>
          <t>NOT AVAILABLE</t>
        </is>
      </c>
      <c r="H1578" t="inlineStr">
        <is>
          <t>NOT AVAILABLE</t>
        </is>
      </c>
      <c r="I1578" t="inlineStr">
        <is>
          <t>NOT AVAILABLE</t>
        </is>
      </c>
      <c r="J1578" t="inlineStr">
        <is>
          <t>NOT AVAILABLE</t>
        </is>
      </c>
      <c r="K1578" t="inlineStr">
        <is>
          <t>NOT AVAILABLE</t>
        </is>
      </c>
      <c r="L1578" t="inlineStr">
        <is>
          <t>NOT AVAILABLE</t>
        </is>
      </c>
      <c r="M1578" t="inlineStr">
        <is>
          <t>UNAVAILABLE</t>
        </is>
      </c>
      <c r="N1578" s="5" t="inlineStr">
        <is>
          <t>Semrush phrase_these returned no data (not billed)</t>
        </is>
      </c>
      <c r="O1578" t="inlineStr">
        <is>
          <t>2026-10-30</t>
        </is>
      </c>
      <c r="P1578">
        <f>IF(IF(J1578="NOT AVAILABLE","",J1578)="",12,IF(OR(ISNUMBER(SEARCH("Transactional",IF(J1578="NOT AVAILABLE","",J1578))),ISNUMBER(SEARCH("Commercial",IF(J1578="NOT AVAILABLE","",J1578)))),25,IF(ISNUMBER(SEARCH("Informational",IF(J1578="NOT AVAILABLE","",J1578))),10,IF(ISNUMBER(SEARCH("Navigational",IF(J1578="NOT AVAILABLE","",J1578))),0,12))))</f>
        <v/>
      </c>
      <c r="Q1578">
        <f>IF(ISNUMBER(F1578),MIN(30,ROUND(30*LOG10(F1578+1)/4,1)),0)</f>
        <v/>
      </c>
      <c r="R1578">
        <f>IF(ISNUMBER(G1578),ROUND(25*(100-G1578)/100,1),12.5)</f>
        <v/>
      </c>
      <c r="S1578" t="n">
        <v>14</v>
      </c>
      <c r="T1578">
        <f>ROUND(P1578+Q1578+R1578+S1578,0)</f>
        <v/>
      </c>
      <c r="U1578" s="5" t="inlineStr"/>
      <c r="V1578" s="5" t="inlineStr">
        <is>
          <t>PRIMARY /services/language-school-website-development</t>
        </is>
      </c>
    </row>
    <row r="1579">
      <c r="A1579" t="inlineStr">
        <is>
          <t>K1577</t>
        </is>
      </c>
      <c r="B1579" t="inlineStr">
        <is>
          <t>site web école privée</t>
        </is>
      </c>
      <c r="C1579" t="inlineStr">
        <is>
          <t>France</t>
        </is>
      </c>
      <c r="D1579" t="inlineStr">
        <is>
          <t>fr</t>
        </is>
      </c>
      <c r="E1579" t="inlineStr">
        <is>
          <t>fr</t>
        </is>
      </c>
      <c r="F1579" t="n">
        <v>0</v>
      </c>
      <c r="G1579" t="inlineStr">
        <is>
          <t>NOT AVAILABLE</t>
        </is>
      </c>
      <c r="H1579" t="n">
        <v>0</v>
      </c>
      <c r="I1579" t="n">
        <v>0</v>
      </c>
      <c r="J1579" t="inlineStr">
        <is>
          <t>NOT AVAILABLE</t>
        </is>
      </c>
      <c r="K1579" t="inlineStr">
        <is>
          <t>NOT AVAILABLE (report not requested)</t>
        </is>
      </c>
      <c r="L1579" t="inlineStr">
        <is>
          <t>flat (no data)</t>
        </is>
      </c>
      <c r="M1579" t="inlineStr">
        <is>
          <t>MEASURED</t>
        </is>
      </c>
      <c r="N1579" s="5" t="inlineStr">
        <is>
          <t>Semrush phrase_these (live, this session)</t>
        </is>
      </c>
      <c r="O1579" t="inlineStr">
        <is>
          <t>2026-10-30</t>
        </is>
      </c>
      <c r="P1579">
        <f>IF(IF(J1579="NOT AVAILABLE","",J1579)="",12,IF(OR(ISNUMBER(SEARCH("Transactional",IF(J1579="NOT AVAILABLE","",J1579))),ISNUMBER(SEARCH("Commercial",IF(J1579="NOT AVAILABLE","",J1579)))),25,IF(ISNUMBER(SEARCH("Informational",IF(J1579="NOT AVAILABLE","",J1579))),10,IF(ISNUMBER(SEARCH("Navigational",IF(J1579="NOT AVAILABLE","",J1579))),0,12))))</f>
        <v/>
      </c>
      <c r="Q1579">
        <f>IF(ISNUMBER(F1579),MIN(30,ROUND(30*LOG10(F1579+1)/4,1)),0)</f>
        <v/>
      </c>
      <c r="R1579">
        <f>IF(ISNUMBER(G1579),ROUND(25*(100-G1579)/100,1),12.5)</f>
        <v/>
      </c>
      <c r="S1579" t="n">
        <v>14</v>
      </c>
      <c r="T1579">
        <f>ROUND(P1579+Q1579+R1579+S1579,0)</f>
        <v/>
      </c>
      <c r="U1579" s="5" t="inlineStr"/>
      <c r="V1579" s="5" t="inlineStr"/>
    </row>
    <row r="1580">
      <c r="A1580" t="inlineStr">
        <is>
          <t>K1578</t>
        </is>
      </c>
      <c r="B1580" t="inlineStr">
        <is>
          <t>site web école supérieure</t>
        </is>
      </c>
      <c r="C1580" t="inlineStr">
        <is>
          <t>France</t>
        </is>
      </c>
      <c r="D1580" t="inlineStr">
        <is>
          <t>fr</t>
        </is>
      </c>
      <c r="E1580" t="inlineStr">
        <is>
          <t>fr</t>
        </is>
      </c>
      <c r="F1580" t="inlineStr">
        <is>
          <t>NOT AVAILABLE</t>
        </is>
      </c>
      <c r="G1580" t="inlineStr">
        <is>
          <t>NOT AVAILABLE</t>
        </is>
      </c>
      <c r="H1580" t="inlineStr">
        <is>
          <t>NOT AVAILABLE</t>
        </is>
      </c>
      <c r="I1580" t="inlineStr">
        <is>
          <t>NOT AVAILABLE</t>
        </is>
      </c>
      <c r="J1580" t="inlineStr">
        <is>
          <t>NOT AVAILABLE</t>
        </is>
      </c>
      <c r="K1580" t="inlineStr">
        <is>
          <t>NOT AVAILABLE</t>
        </is>
      </c>
      <c r="L1580" t="inlineStr">
        <is>
          <t>NOT AVAILABLE</t>
        </is>
      </c>
      <c r="M1580" t="inlineStr">
        <is>
          <t>UNAVAILABLE</t>
        </is>
      </c>
      <c r="N1580" s="5" t="inlineStr">
        <is>
          <t>Semrush phrase_these returned no data (not billed)</t>
        </is>
      </c>
      <c r="O1580" t="inlineStr">
        <is>
          <t>2026-10-30</t>
        </is>
      </c>
      <c r="P1580">
        <f>IF(IF(J1580="NOT AVAILABLE","",J1580)="",12,IF(OR(ISNUMBER(SEARCH("Transactional",IF(J1580="NOT AVAILABLE","",J1580))),ISNUMBER(SEARCH("Commercial",IF(J1580="NOT AVAILABLE","",J1580)))),25,IF(ISNUMBER(SEARCH("Informational",IF(J1580="NOT AVAILABLE","",J1580))),10,IF(ISNUMBER(SEARCH("Navigational",IF(J1580="NOT AVAILABLE","",J1580))),0,12))))</f>
        <v/>
      </c>
      <c r="Q1580">
        <f>IF(ISNUMBER(F1580),MIN(30,ROUND(30*LOG10(F1580+1)/4,1)),0)</f>
        <v/>
      </c>
      <c r="R1580">
        <f>IF(ISNUMBER(G1580),ROUND(25*(100-G1580)/100,1),12.5)</f>
        <v/>
      </c>
      <c r="S1580" t="n">
        <v>14</v>
      </c>
      <c r="T1580">
        <f>ROUND(P1580+Q1580+R1580+S1580,0)</f>
        <v/>
      </c>
      <c r="U1580" s="5" t="inlineStr"/>
      <c r="V1580" s="5" t="inlineStr"/>
    </row>
    <row r="1581">
      <c r="A1581" t="inlineStr">
        <is>
          <t>K1579</t>
        </is>
      </c>
      <c r="B1581" t="inlineStr">
        <is>
          <t>site web établissement scolaire</t>
        </is>
      </c>
      <c r="C1581" t="inlineStr">
        <is>
          <t>France</t>
        </is>
      </c>
      <c r="D1581" t="inlineStr">
        <is>
          <t>fr</t>
        </is>
      </c>
      <c r="E1581" t="inlineStr">
        <is>
          <t>fr</t>
        </is>
      </c>
      <c r="F1581" t="inlineStr">
        <is>
          <t>NOT AVAILABLE</t>
        </is>
      </c>
      <c r="G1581" t="inlineStr">
        <is>
          <t>NOT AVAILABLE</t>
        </is>
      </c>
      <c r="H1581" t="inlineStr">
        <is>
          <t>NOT AVAILABLE</t>
        </is>
      </c>
      <c r="I1581" t="inlineStr">
        <is>
          <t>NOT AVAILABLE</t>
        </is>
      </c>
      <c r="J1581" t="inlineStr">
        <is>
          <t>NOT AVAILABLE</t>
        </is>
      </c>
      <c r="K1581" t="inlineStr">
        <is>
          <t>NOT AVAILABLE</t>
        </is>
      </c>
      <c r="L1581" t="inlineStr">
        <is>
          <t>NOT AVAILABLE</t>
        </is>
      </c>
      <c r="M1581" t="inlineStr">
        <is>
          <t>UNAVAILABLE</t>
        </is>
      </c>
      <c r="N1581" s="5" t="inlineStr">
        <is>
          <t>Semrush phrase_these returned no data (not billed)</t>
        </is>
      </c>
      <c r="O1581" t="inlineStr">
        <is>
          <t>2026-10-30</t>
        </is>
      </c>
      <c r="P1581">
        <f>IF(IF(J1581="NOT AVAILABLE","",J1581)="",12,IF(OR(ISNUMBER(SEARCH("Transactional",IF(J1581="NOT AVAILABLE","",J1581))),ISNUMBER(SEARCH("Commercial",IF(J1581="NOT AVAILABLE","",J1581)))),25,IF(ISNUMBER(SEARCH("Informational",IF(J1581="NOT AVAILABLE","",J1581))),10,IF(ISNUMBER(SEARCH("Navigational",IF(J1581="NOT AVAILABLE","",J1581))),0,12))))</f>
        <v/>
      </c>
      <c r="Q1581">
        <f>IF(ISNUMBER(F1581),MIN(30,ROUND(30*LOG10(F1581+1)/4,1)),0)</f>
        <v/>
      </c>
      <c r="R1581">
        <f>IF(ISNUMBER(G1581),ROUND(25*(100-G1581)/100,1),12.5)</f>
        <v/>
      </c>
      <c r="S1581" t="n">
        <v>14</v>
      </c>
      <c r="T1581">
        <f>ROUND(P1581+Q1581+R1581+S1581,0)</f>
        <v/>
      </c>
      <c r="U1581" s="5" t="inlineStr"/>
      <c r="V1581" s="5" t="inlineStr"/>
    </row>
    <row r="1582">
      <c r="A1582" t="inlineStr">
        <is>
          <t>K1580</t>
        </is>
      </c>
      <c r="B1582" t="inlineStr">
        <is>
          <t>solution edtech</t>
        </is>
      </c>
      <c r="C1582" t="inlineStr">
        <is>
          <t>France</t>
        </is>
      </c>
      <c r="D1582" t="inlineStr">
        <is>
          <t>fr</t>
        </is>
      </c>
      <c r="E1582" t="inlineStr">
        <is>
          <t>fr</t>
        </is>
      </c>
      <c r="F1582" t="n">
        <v>0</v>
      </c>
      <c r="G1582" t="inlineStr">
        <is>
          <t>NOT AVAILABLE</t>
        </is>
      </c>
      <c r="H1582" t="n">
        <v>0</v>
      </c>
      <c r="I1582" t="n">
        <v>0</v>
      </c>
      <c r="J1582" t="inlineStr">
        <is>
          <t>NOT AVAILABLE</t>
        </is>
      </c>
      <c r="K1582" t="inlineStr">
        <is>
          <t>NOT AVAILABLE (report not requested)</t>
        </is>
      </c>
      <c r="L1582" t="inlineStr">
        <is>
          <t>NOT AVAILABLE</t>
        </is>
      </c>
      <c r="M1582" t="inlineStr">
        <is>
          <t>MEASURED</t>
        </is>
      </c>
      <c r="N1582" s="5" t="inlineStr">
        <is>
          <t>Semrush phrase_these (live, this session)</t>
        </is>
      </c>
      <c r="O1582" t="inlineStr">
        <is>
          <t>2026-10-30</t>
        </is>
      </c>
      <c r="P1582">
        <f>IF(IF(J1582="NOT AVAILABLE","",J1582)="",12,IF(OR(ISNUMBER(SEARCH("Transactional",IF(J1582="NOT AVAILABLE","",J1582))),ISNUMBER(SEARCH("Commercial",IF(J1582="NOT AVAILABLE","",J1582)))),25,IF(ISNUMBER(SEARCH("Informational",IF(J1582="NOT AVAILABLE","",J1582))),10,IF(ISNUMBER(SEARCH("Navigational",IF(J1582="NOT AVAILABLE","",J1582))),0,12))))</f>
        <v/>
      </c>
      <c r="Q1582">
        <f>IF(ISNUMBER(F1582),MIN(30,ROUND(30*LOG10(F1582+1)/4,1)),0)</f>
        <v/>
      </c>
      <c r="R1582">
        <f>IF(ISNUMBER(G1582),ROUND(25*(100-G1582)/100,1),12.5)</f>
        <v/>
      </c>
      <c r="S1582" t="n">
        <v>14</v>
      </c>
      <c r="T1582">
        <f>ROUND(P1582+Q1582+R1582+S1582,0)</f>
        <v/>
      </c>
      <c r="U1582" s="5" t="inlineStr"/>
      <c r="V1582" s="5" t="inlineStr"/>
    </row>
    <row r="1583">
      <c r="A1583" t="inlineStr">
        <is>
          <t>K1581</t>
        </is>
      </c>
      <c r="B1583" t="inlineStr">
        <is>
          <t>sous traitance web maroc</t>
        </is>
      </c>
      <c r="C1583" t="inlineStr">
        <is>
          <t>France</t>
        </is>
      </c>
      <c r="D1583" t="inlineStr">
        <is>
          <t>fr</t>
        </is>
      </c>
      <c r="E1583" t="inlineStr">
        <is>
          <t>fr</t>
        </is>
      </c>
      <c r="F1583" t="n">
        <v>0</v>
      </c>
      <c r="G1583" t="inlineStr">
        <is>
          <t>NOT AVAILABLE</t>
        </is>
      </c>
      <c r="H1583" t="n">
        <v>0</v>
      </c>
      <c r="I1583" t="n">
        <v>0</v>
      </c>
      <c r="J1583" t="inlineStr">
        <is>
          <t>NOT AVAILABLE</t>
        </is>
      </c>
      <c r="K1583" t="inlineStr">
        <is>
          <t>NOT AVAILABLE (report not requested)</t>
        </is>
      </c>
      <c r="L1583" t="inlineStr">
        <is>
          <t>declining (calc.)</t>
        </is>
      </c>
      <c r="M1583" t="inlineStr">
        <is>
          <t>MEASURED</t>
        </is>
      </c>
      <c r="N1583" s="5" t="inlineStr">
        <is>
          <t>Semrush phrase_these (live, this session)</t>
        </is>
      </c>
      <c r="O1583" t="inlineStr">
        <is>
          <t>2026-10-30</t>
        </is>
      </c>
      <c r="P1583">
        <f>IF(IF(J1583="NOT AVAILABLE","",J1583)="",12,IF(OR(ISNUMBER(SEARCH("Transactional",IF(J1583="NOT AVAILABLE","",J1583))),ISNUMBER(SEARCH("Commercial",IF(J1583="NOT AVAILABLE","",J1583)))),25,IF(ISNUMBER(SEARCH("Informational",IF(J1583="NOT AVAILABLE","",J1583))),10,IF(ISNUMBER(SEARCH("Navigational",IF(J1583="NOT AVAILABLE","",J1583))),0,12))))</f>
        <v/>
      </c>
      <c r="Q1583">
        <f>IF(ISNUMBER(F1583),MIN(30,ROUND(30*LOG10(F1583+1)/4,1)),0)</f>
        <v/>
      </c>
      <c r="R1583">
        <f>IF(ISNUMBER(G1583),ROUND(25*(100-G1583)/100,1),12.5)</f>
        <v/>
      </c>
      <c r="S1583" t="n">
        <v>14</v>
      </c>
      <c r="T1583">
        <f>ROUND(P1583+Q1583+R1583+S1583,0)</f>
        <v/>
      </c>
      <c r="U1583" s="5" t="inlineStr"/>
      <c r="V1583" s="5" t="inlineStr"/>
    </row>
    <row r="1584">
      <c r="A1584" t="inlineStr">
        <is>
          <t>K1582</t>
        </is>
      </c>
      <c r="B1584" t="inlineStr">
        <is>
          <t>sous-traitance développement web maroc</t>
        </is>
      </c>
      <c r="C1584" t="inlineStr">
        <is>
          <t>France</t>
        </is>
      </c>
      <c r="D1584" t="inlineStr">
        <is>
          <t>fr</t>
        </is>
      </c>
      <c r="E1584" t="inlineStr">
        <is>
          <t>fr</t>
        </is>
      </c>
      <c r="F1584" t="inlineStr">
        <is>
          <t>NOT AVAILABLE</t>
        </is>
      </c>
      <c r="G1584" t="inlineStr">
        <is>
          <t>NOT AVAILABLE</t>
        </is>
      </c>
      <c r="H1584" t="inlineStr">
        <is>
          <t>NOT AVAILABLE</t>
        </is>
      </c>
      <c r="I1584" t="inlineStr">
        <is>
          <t>NOT AVAILABLE</t>
        </is>
      </c>
      <c r="J1584" t="inlineStr">
        <is>
          <t>NOT AVAILABLE</t>
        </is>
      </c>
      <c r="K1584" t="inlineStr">
        <is>
          <t>NOT AVAILABLE</t>
        </is>
      </c>
      <c r="L1584" t="inlineStr">
        <is>
          <t>NOT AVAILABLE</t>
        </is>
      </c>
      <c r="M1584" t="inlineStr">
        <is>
          <t>UNAVAILABLE</t>
        </is>
      </c>
      <c r="N1584" s="5" t="inlineStr">
        <is>
          <t>Semrush phrase_these returned no data (not billed)</t>
        </is>
      </c>
      <c r="O1584" t="inlineStr">
        <is>
          <t>2026-10-30</t>
        </is>
      </c>
      <c r="P1584">
        <f>IF(IF(J1584="NOT AVAILABLE","",J1584)="",12,IF(OR(ISNUMBER(SEARCH("Transactional",IF(J1584="NOT AVAILABLE","",J1584))),ISNUMBER(SEARCH("Commercial",IF(J1584="NOT AVAILABLE","",J1584)))),25,IF(ISNUMBER(SEARCH("Informational",IF(J1584="NOT AVAILABLE","",J1584))),10,IF(ISNUMBER(SEARCH("Navigational",IF(J1584="NOT AVAILABLE","",J1584))),0,12))))</f>
        <v/>
      </c>
      <c r="Q1584">
        <f>IF(ISNUMBER(F1584),MIN(30,ROUND(30*LOG10(F1584+1)/4,1)),0)</f>
        <v/>
      </c>
      <c r="R1584">
        <f>IF(ISNUMBER(G1584),ROUND(25*(100-G1584)/100,1),12.5)</f>
        <v/>
      </c>
      <c r="S1584" t="n">
        <v>14</v>
      </c>
      <c r="T1584">
        <f>ROUND(P1584+Q1584+R1584+S1584,0)</f>
        <v/>
      </c>
      <c r="U1584" s="5" t="inlineStr"/>
      <c r="V1584" s="5" t="inlineStr"/>
    </row>
    <row r="1585">
      <c r="A1585" t="inlineStr">
        <is>
          <t>K1583</t>
        </is>
      </c>
      <c r="B1585" t="inlineStr">
        <is>
          <t>supprimer caractères invisibles</t>
        </is>
      </c>
      <c r="C1585" t="inlineStr">
        <is>
          <t>France</t>
        </is>
      </c>
      <c r="D1585" t="inlineStr">
        <is>
          <t>fr</t>
        </is>
      </c>
      <c r="E1585" t="inlineStr">
        <is>
          <t>fr</t>
        </is>
      </c>
      <c r="F1585" t="inlineStr">
        <is>
          <t>NOT AVAILABLE</t>
        </is>
      </c>
      <c r="G1585" t="inlineStr">
        <is>
          <t>NOT AVAILABLE</t>
        </is>
      </c>
      <c r="H1585" t="inlineStr">
        <is>
          <t>NOT AVAILABLE</t>
        </is>
      </c>
      <c r="I1585" t="inlineStr">
        <is>
          <t>NOT AVAILABLE</t>
        </is>
      </c>
      <c r="J1585" t="inlineStr">
        <is>
          <t>NOT AVAILABLE</t>
        </is>
      </c>
      <c r="K1585" t="inlineStr">
        <is>
          <t>NOT AVAILABLE</t>
        </is>
      </c>
      <c r="L1585" t="inlineStr">
        <is>
          <t>NOT AVAILABLE</t>
        </is>
      </c>
      <c r="M1585" t="inlineStr">
        <is>
          <t>UNAVAILABLE</t>
        </is>
      </c>
      <c r="N1585" s="5" t="inlineStr">
        <is>
          <t>Semrush phrase_these returned no data (not billed)</t>
        </is>
      </c>
      <c r="O1585" t="inlineStr">
        <is>
          <t>2026-10-30</t>
        </is>
      </c>
      <c r="P1585">
        <f>IF(IF(J1585="NOT AVAILABLE","",J1585)="",12,IF(OR(ISNUMBER(SEARCH("Transactional",IF(J1585="NOT AVAILABLE","",J1585))),ISNUMBER(SEARCH("Commercial",IF(J1585="NOT AVAILABLE","",J1585)))),25,IF(ISNUMBER(SEARCH("Informational",IF(J1585="NOT AVAILABLE","",J1585))),10,IF(ISNUMBER(SEARCH("Navigational",IF(J1585="NOT AVAILABLE","",J1585))),0,12))))</f>
        <v/>
      </c>
      <c r="Q1585">
        <f>IF(ISNUMBER(F1585),MIN(30,ROUND(30*LOG10(F1585+1)/4,1)),0)</f>
        <v/>
      </c>
      <c r="R1585">
        <f>IF(ISNUMBER(G1585),ROUND(25*(100-G1585)/100,1),12.5)</f>
        <v/>
      </c>
      <c r="S1585" t="n">
        <v>14</v>
      </c>
      <c r="T1585">
        <f>ROUND(P1585+Q1585+R1585+S1585,0)</f>
        <v/>
      </c>
      <c r="U1585" s="5" t="inlineStr"/>
      <c r="V1585" s="5" t="inlineStr">
        <is>
          <t>OPTIONAL /tools/invisible-character-cleaner</t>
        </is>
      </c>
    </row>
    <row r="1586">
      <c r="A1586" t="inlineStr">
        <is>
          <t>K1584</t>
        </is>
      </c>
      <c r="B1586" t="inlineStr">
        <is>
          <t>supprimer lignes en double</t>
        </is>
      </c>
      <c r="C1586" t="inlineStr">
        <is>
          <t>France</t>
        </is>
      </c>
      <c r="D1586" t="inlineStr">
        <is>
          <t>fr</t>
        </is>
      </c>
      <c r="E1586" t="inlineStr">
        <is>
          <t>fr</t>
        </is>
      </c>
      <c r="F1586" t="inlineStr">
        <is>
          <t>NOT AVAILABLE</t>
        </is>
      </c>
      <c r="G1586" t="inlineStr">
        <is>
          <t>NOT AVAILABLE</t>
        </is>
      </c>
      <c r="H1586" t="inlineStr">
        <is>
          <t>NOT AVAILABLE</t>
        </is>
      </c>
      <c r="I1586" t="inlineStr">
        <is>
          <t>NOT AVAILABLE</t>
        </is>
      </c>
      <c r="J1586" t="inlineStr">
        <is>
          <t>NOT AVAILABLE</t>
        </is>
      </c>
      <c r="K1586" t="inlineStr">
        <is>
          <t>NOT AVAILABLE</t>
        </is>
      </c>
      <c r="L1586" t="inlineStr">
        <is>
          <t>NOT AVAILABLE</t>
        </is>
      </c>
      <c r="M1586" t="inlineStr">
        <is>
          <t>UNAVAILABLE</t>
        </is>
      </c>
      <c r="N1586" s="5" t="inlineStr">
        <is>
          <t>Semrush phrase_these returned no data (not billed)</t>
        </is>
      </c>
      <c r="O1586" t="inlineStr">
        <is>
          <t>2026-10-30</t>
        </is>
      </c>
      <c r="P1586">
        <f>IF(IF(J1586="NOT AVAILABLE","",J1586)="",12,IF(OR(ISNUMBER(SEARCH("Transactional",IF(J1586="NOT AVAILABLE","",J1586))),ISNUMBER(SEARCH("Commercial",IF(J1586="NOT AVAILABLE","",J1586)))),25,IF(ISNUMBER(SEARCH("Informational",IF(J1586="NOT AVAILABLE","",J1586))),10,IF(ISNUMBER(SEARCH("Navigational",IF(J1586="NOT AVAILABLE","",J1586))),0,12))))</f>
        <v/>
      </c>
      <c r="Q1586">
        <f>IF(ISNUMBER(F1586),MIN(30,ROUND(30*LOG10(F1586+1)/4,1)),0)</f>
        <v/>
      </c>
      <c r="R1586">
        <f>IF(ISNUMBER(G1586),ROUND(25*(100-G1586)/100,1),12.5)</f>
        <v/>
      </c>
      <c r="S1586" t="n">
        <v>14</v>
      </c>
      <c r="T1586">
        <f>ROUND(P1586+Q1586+R1586+S1586,0)</f>
        <v/>
      </c>
      <c r="U1586" s="5" t="inlineStr"/>
      <c r="V1586" s="5" t="inlineStr">
        <is>
          <t>OPTIONAL /tools/text-editor</t>
        </is>
      </c>
    </row>
    <row r="1587">
      <c r="A1587" t="inlineStr">
        <is>
          <t>K1585</t>
        </is>
      </c>
      <c r="B1587" t="inlineStr">
        <is>
          <t>supprimer paramètres url</t>
        </is>
      </c>
      <c r="C1587" t="inlineStr">
        <is>
          <t>France</t>
        </is>
      </c>
      <c r="D1587" t="inlineStr">
        <is>
          <t>fr</t>
        </is>
      </c>
      <c r="E1587" t="inlineStr">
        <is>
          <t>fr</t>
        </is>
      </c>
      <c r="F1587" t="inlineStr">
        <is>
          <t>NOT AVAILABLE</t>
        </is>
      </c>
      <c r="G1587" t="inlineStr">
        <is>
          <t>NOT AVAILABLE</t>
        </is>
      </c>
      <c r="H1587" t="inlineStr">
        <is>
          <t>NOT AVAILABLE</t>
        </is>
      </c>
      <c r="I1587" t="inlineStr">
        <is>
          <t>NOT AVAILABLE</t>
        </is>
      </c>
      <c r="J1587" t="inlineStr">
        <is>
          <t>NOT AVAILABLE</t>
        </is>
      </c>
      <c r="K1587" t="inlineStr">
        <is>
          <t>NOT AVAILABLE</t>
        </is>
      </c>
      <c r="L1587" t="inlineStr">
        <is>
          <t>NOT AVAILABLE</t>
        </is>
      </c>
      <c r="M1587" t="inlineStr">
        <is>
          <t>UNAVAILABLE</t>
        </is>
      </c>
      <c r="N1587" s="5" t="inlineStr">
        <is>
          <t>Semrush phrase_these returned no data (not billed)</t>
        </is>
      </c>
      <c r="O1587" t="inlineStr">
        <is>
          <t>2026-10-30</t>
        </is>
      </c>
      <c r="P1587">
        <f>IF(IF(J1587="NOT AVAILABLE","",J1587)="",12,IF(OR(ISNUMBER(SEARCH("Transactional",IF(J1587="NOT AVAILABLE","",J1587))),ISNUMBER(SEARCH("Commercial",IF(J1587="NOT AVAILABLE","",J1587)))),25,IF(ISNUMBER(SEARCH("Informational",IF(J1587="NOT AVAILABLE","",J1587))),10,IF(ISNUMBER(SEARCH("Navigational",IF(J1587="NOT AVAILABLE","",J1587))),0,12))))</f>
        <v/>
      </c>
      <c r="Q1587">
        <f>IF(ISNUMBER(F1587),MIN(30,ROUND(30*LOG10(F1587+1)/4,1)),0)</f>
        <v/>
      </c>
      <c r="R1587">
        <f>IF(ISNUMBER(G1587),ROUND(25*(100-G1587)/100,1),12.5)</f>
        <v/>
      </c>
      <c r="S1587" t="n">
        <v>14</v>
      </c>
      <c r="T1587">
        <f>ROUND(P1587+Q1587+R1587+S1587,0)</f>
        <v/>
      </c>
      <c r="U1587" s="5" t="inlineStr"/>
      <c r="V1587" s="5" t="inlineStr">
        <is>
          <t>OPTIONAL /tools/url-editor</t>
        </is>
      </c>
    </row>
    <row r="1588">
      <c r="A1588" t="inlineStr">
        <is>
          <t>K1586</t>
        </is>
      </c>
      <c r="B1588" t="inlineStr">
        <is>
          <t>sur mesure ou wordpress</t>
        </is>
      </c>
      <c r="C1588" t="inlineStr">
        <is>
          <t>France</t>
        </is>
      </c>
      <c r="D1588" t="inlineStr">
        <is>
          <t>fr</t>
        </is>
      </c>
      <c r="E1588" t="inlineStr">
        <is>
          <t>fr</t>
        </is>
      </c>
      <c r="F1588" t="inlineStr">
        <is>
          <t>NOT AVAILABLE</t>
        </is>
      </c>
      <c r="G1588" t="inlineStr">
        <is>
          <t>NOT AVAILABLE</t>
        </is>
      </c>
      <c r="H1588" t="inlineStr">
        <is>
          <t>NOT AVAILABLE</t>
        </is>
      </c>
      <c r="I1588" t="inlineStr">
        <is>
          <t>NOT AVAILABLE</t>
        </is>
      </c>
      <c r="J1588" t="inlineStr">
        <is>
          <t>NOT AVAILABLE</t>
        </is>
      </c>
      <c r="K1588" t="inlineStr">
        <is>
          <t>NOT AVAILABLE</t>
        </is>
      </c>
      <c r="L1588" t="inlineStr">
        <is>
          <t>NOT AVAILABLE</t>
        </is>
      </c>
      <c r="M1588" t="inlineStr">
        <is>
          <t>UNAVAILABLE</t>
        </is>
      </c>
      <c r="N1588" s="5" t="inlineStr">
        <is>
          <t>Semrush phrase_these returned no data (not billed)</t>
        </is>
      </c>
      <c r="O1588" t="inlineStr">
        <is>
          <t>2026-10-30</t>
        </is>
      </c>
      <c r="P1588">
        <f>IF(IF(J1588="NOT AVAILABLE","",J1588)="",12,IF(OR(ISNUMBER(SEARCH("Transactional",IF(J1588="NOT AVAILABLE","",J1588))),ISNUMBER(SEARCH("Commercial",IF(J1588="NOT AVAILABLE","",J1588)))),25,IF(ISNUMBER(SEARCH("Informational",IF(J1588="NOT AVAILABLE","",J1588))),10,IF(ISNUMBER(SEARCH("Navigational",IF(J1588="NOT AVAILABLE","",J1588))),0,12))))</f>
        <v/>
      </c>
      <c r="Q1588">
        <f>IF(ISNUMBER(F1588),MIN(30,ROUND(30*LOG10(F1588+1)/4,1)),0)</f>
        <v/>
      </c>
      <c r="R1588">
        <f>IF(ISNUMBER(G1588),ROUND(25*(100-G1588)/100,1),12.5)</f>
        <v/>
      </c>
      <c r="S1588" t="n">
        <v>14</v>
      </c>
      <c r="T1588">
        <f>ROUND(P1588+Q1588+R1588+S1588,0)</f>
        <v/>
      </c>
      <c r="U1588" s="5" t="inlineStr"/>
      <c r="V1588" s="5" t="inlineStr"/>
    </row>
    <row r="1589">
      <c r="A1589" t="inlineStr">
        <is>
          <t>K1587</t>
        </is>
      </c>
      <c r="B1589" t="inlineStr">
        <is>
          <t>test en-têtes http</t>
        </is>
      </c>
      <c r="C1589" t="inlineStr">
        <is>
          <t>France</t>
        </is>
      </c>
      <c r="D1589" t="inlineStr">
        <is>
          <t>fr</t>
        </is>
      </c>
      <c r="E1589" t="inlineStr">
        <is>
          <t>fr</t>
        </is>
      </c>
      <c r="F1589" t="inlineStr">
        <is>
          <t>NOT AVAILABLE</t>
        </is>
      </c>
      <c r="G1589" t="inlineStr">
        <is>
          <t>NOT AVAILABLE</t>
        </is>
      </c>
      <c r="H1589" t="inlineStr">
        <is>
          <t>NOT AVAILABLE</t>
        </is>
      </c>
      <c r="I1589" t="inlineStr">
        <is>
          <t>NOT AVAILABLE</t>
        </is>
      </c>
      <c r="J1589" t="inlineStr">
        <is>
          <t>NOT AVAILABLE</t>
        </is>
      </c>
      <c r="K1589" t="inlineStr">
        <is>
          <t>NOT AVAILABLE</t>
        </is>
      </c>
      <c r="L1589" t="inlineStr">
        <is>
          <t>NOT AVAILABLE</t>
        </is>
      </c>
      <c r="M1589" t="inlineStr">
        <is>
          <t>UNAVAILABLE</t>
        </is>
      </c>
      <c r="N1589" s="5" t="inlineStr">
        <is>
          <t>Semrush phrase_these returned no data (not billed)</t>
        </is>
      </c>
      <c r="O1589" t="inlineStr">
        <is>
          <t>2026-10-30</t>
        </is>
      </c>
      <c r="P1589">
        <f>IF(IF(J1589="NOT AVAILABLE","",J1589)="",12,IF(OR(ISNUMBER(SEARCH("Transactional",IF(J1589="NOT AVAILABLE","",J1589))),ISNUMBER(SEARCH("Commercial",IF(J1589="NOT AVAILABLE","",J1589)))),25,IF(ISNUMBER(SEARCH("Informational",IF(J1589="NOT AVAILABLE","",J1589))),10,IF(ISNUMBER(SEARCH("Navigational",IF(J1589="NOT AVAILABLE","",J1589))),0,12))))</f>
        <v/>
      </c>
      <c r="Q1589">
        <f>IF(ISNUMBER(F1589),MIN(30,ROUND(30*LOG10(F1589+1)/4,1)),0)</f>
        <v/>
      </c>
      <c r="R1589">
        <f>IF(ISNUMBER(G1589),ROUND(25*(100-G1589)/100,1),12.5)</f>
        <v/>
      </c>
      <c r="S1589" t="n">
        <v>14</v>
      </c>
      <c r="T1589">
        <f>ROUND(P1589+Q1589+R1589+S1589,0)</f>
        <v/>
      </c>
      <c r="U1589" s="5" t="inlineStr"/>
      <c r="V1589" s="5" t="inlineStr">
        <is>
          <t>OPTIONAL /tools/security-headers-checker</t>
        </is>
      </c>
    </row>
    <row r="1590">
      <c r="A1590" t="inlineStr">
        <is>
          <t>K1588</t>
        </is>
      </c>
      <c r="B1590" t="inlineStr">
        <is>
          <t>trier lignes</t>
        </is>
      </c>
      <c r="C1590" t="inlineStr">
        <is>
          <t>France</t>
        </is>
      </c>
      <c r="D1590" t="inlineStr">
        <is>
          <t>fr</t>
        </is>
      </c>
      <c r="E1590" t="inlineStr">
        <is>
          <t>fr</t>
        </is>
      </c>
      <c r="F1590" t="inlineStr">
        <is>
          <t>NOT AVAILABLE</t>
        </is>
      </c>
      <c r="G1590" t="inlineStr">
        <is>
          <t>NOT AVAILABLE</t>
        </is>
      </c>
      <c r="H1590" t="inlineStr">
        <is>
          <t>NOT AVAILABLE</t>
        </is>
      </c>
      <c r="I1590" t="inlineStr">
        <is>
          <t>NOT AVAILABLE</t>
        </is>
      </c>
      <c r="J1590" t="inlineStr">
        <is>
          <t>NOT AVAILABLE</t>
        </is>
      </c>
      <c r="K1590" t="inlineStr">
        <is>
          <t>NOT AVAILABLE</t>
        </is>
      </c>
      <c r="L1590" t="inlineStr">
        <is>
          <t>NOT AVAILABLE</t>
        </is>
      </c>
      <c r="M1590" t="inlineStr">
        <is>
          <t>UNAVAILABLE</t>
        </is>
      </c>
      <c r="N1590" s="5" t="inlineStr">
        <is>
          <t>Semrush phrase_these returned no data (not billed)</t>
        </is>
      </c>
      <c r="O1590" t="inlineStr">
        <is>
          <t>2026-10-30</t>
        </is>
      </c>
      <c r="P1590">
        <f>IF(IF(J1590="NOT AVAILABLE","",J1590)="",12,IF(OR(ISNUMBER(SEARCH("Transactional",IF(J1590="NOT AVAILABLE","",J1590))),ISNUMBER(SEARCH("Commercial",IF(J1590="NOT AVAILABLE","",J1590)))),25,IF(ISNUMBER(SEARCH("Informational",IF(J1590="NOT AVAILABLE","",J1590))),10,IF(ISNUMBER(SEARCH("Navigational",IF(J1590="NOT AVAILABLE","",J1590))),0,12))))</f>
        <v/>
      </c>
      <c r="Q1590">
        <f>IF(ISNUMBER(F1590),MIN(30,ROUND(30*LOG10(F1590+1)/4,1)),0)</f>
        <v/>
      </c>
      <c r="R1590">
        <f>IF(ISNUMBER(G1590),ROUND(25*(100-G1590)/100,1),12.5)</f>
        <v/>
      </c>
      <c r="S1590" t="n">
        <v>14</v>
      </c>
      <c r="T1590">
        <f>ROUND(P1590+Q1590+R1590+S1590,0)</f>
        <v/>
      </c>
      <c r="U1590" s="5" t="inlineStr"/>
      <c r="V1590" s="5" t="inlineStr">
        <is>
          <t>OPTIONAL /tools/text-editor</t>
        </is>
      </c>
    </row>
    <row r="1591">
      <c r="A1591" t="inlineStr">
        <is>
          <t>K1589</t>
        </is>
      </c>
      <c r="B1591" t="inlineStr">
        <is>
          <t>validateur robots.txt</t>
        </is>
      </c>
      <c r="C1591" t="inlineStr">
        <is>
          <t>France</t>
        </is>
      </c>
      <c r="D1591" t="inlineStr">
        <is>
          <t>fr</t>
        </is>
      </c>
      <c r="E1591" t="inlineStr">
        <is>
          <t>fr</t>
        </is>
      </c>
      <c r="F1591" t="n">
        <v>0</v>
      </c>
      <c r="G1591" t="inlineStr">
        <is>
          <t>NOT AVAILABLE</t>
        </is>
      </c>
      <c r="H1591" t="n">
        <v>0</v>
      </c>
      <c r="I1591" t="n">
        <v>0</v>
      </c>
      <c r="J1591" t="inlineStr">
        <is>
          <t>NOT AVAILABLE</t>
        </is>
      </c>
      <c r="K1591" t="inlineStr">
        <is>
          <t>NOT AVAILABLE (report not requested)</t>
        </is>
      </c>
      <c r="L1591" t="inlineStr">
        <is>
          <t>flat (no data)</t>
        </is>
      </c>
      <c r="M1591" t="inlineStr">
        <is>
          <t>MEASURED</t>
        </is>
      </c>
      <c r="N1591" s="5" t="inlineStr">
        <is>
          <t>Semrush phrase_these (live, this session)</t>
        </is>
      </c>
      <c r="O1591" t="inlineStr">
        <is>
          <t>2026-10-30</t>
        </is>
      </c>
      <c r="P1591">
        <f>IF(IF(J1591="NOT AVAILABLE","",J1591)="",12,IF(OR(ISNUMBER(SEARCH("Transactional",IF(J1591="NOT AVAILABLE","",J1591))),ISNUMBER(SEARCH("Commercial",IF(J1591="NOT AVAILABLE","",J1591)))),25,IF(ISNUMBER(SEARCH("Informational",IF(J1591="NOT AVAILABLE","",J1591))),10,IF(ISNUMBER(SEARCH("Navigational",IF(J1591="NOT AVAILABLE","",J1591))),0,12))))</f>
        <v/>
      </c>
      <c r="Q1591">
        <f>IF(ISNUMBER(F1591),MIN(30,ROUND(30*LOG10(F1591+1)/4,1)),0)</f>
        <v/>
      </c>
      <c r="R1591">
        <f>IF(ISNUMBER(G1591),ROUND(25*(100-G1591)/100,1),12.5)</f>
        <v/>
      </c>
      <c r="S1591" t="n">
        <v>14</v>
      </c>
      <c r="T1591">
        <f>ROUND(P1591+Q1591+R1591+S1591,0)</f>
        <v/>
      </c>
      <c r="U1591" s="5" t="inlineStr"/>
      <c r="V1591" s="5" t="inlineStr">
        <is>
          <t>OPTIONAL /tools/robots-validator</t>
        </is>
      </c>
    </row>
    <row r="1592">
      <c r="A1592" t="inlineStr">
        <is>
          <t>K1590</t>
        </is>
      </c>
      <c r="B1592" t="inlineStr">
        <is>
          <t>valider robots.txt</t>
        </is>
      </c>
      <c r="C1592" t="inlineStr">
        <is>
          <t>France</t>
        </is>
      </c>
      <c r="D1592" t="inlineStr">
        <is>
          <t>fr</t>
        </is>
      </c>
      <c r="E1592" t="inlineStr">
        <is>
          <t>fr</t>
        </is>
      </c>
      <c r="F1592" t="inlineStr">
        <is>
          <t>NOT AVAILABLE</t>
        </is>
      </c>
      <c r="G1592" t="inlineStr">
        <is>
          <t>NOT AVAILABLE</t>
        </is>
      </c>
      <c r="H1592" t="inlineStr">
        <is>
          <t>NOT AVAILABLE</t>
        </is>
      </c>
      <c r="I1592" t="inlineStr">
        <is>
          <t>NOT AVAILABLE</t>
        </is>
      </c>
      <c r="J1592" t="inlineStr">
        <is>
          <t>NOT AVAILABLE</t>
        </is>
      </c>
      <c r="K1592" t="inlineStr">
        <is>
          <t>NOT AVAILABLE</t>
        </is>
      </c>
      <c r="L1592" t="inlineStr">
        <is>
          <t>NOT AVAILABLE</t>
        </is>
      </c>
      <c r="M1592" t="inlineStr">
        <is>
          <t>UNAVAILABLE</t>
        </is>
      </c>
      <c r="N1592" s="5" t="inlineStr">
        <is>
          <t>Semrush phrase_these returned no data (not billed)</t>
        </is>
      </c>
      <c r="O1592" t="inlineStr">
        <is>
          <t>2026-10-30</t>
        </is>
      </c>
      <c r="P1592">
        <f>IF(IF(J1592="NOT AVAILABLE","",J1592)="",12,IF(OR(ISNUMBER(SEARCH("Transactional",IF(J1592="NOT AVAILABLE","",J1592))),ISNUMBER(SEARCH("Commercial",IF(J1592="NOT AVAILABLE","",J1592)))),25,IF(ISNUMBER(SEARCH("Informational",IF(J1592="NOT AVAILABLE","",J1592))),10,IF(ISNUMBER(SEARCH("Navigational",IF(J1592="NOT AVAILABLE","",J1592))),0,12))))</f>
        <v/>
      </c>
      <c r="Q1592">
        <f>IF(ISNUMBER(F1592),MIN(30,ROUND(30*LOG10(F1592+1)/4,1)),0)</f>
        <v/>
      </c>
      <c r="R1592">
        <f>IF(ISNUMBER(G1592),ROUND(25*(100-G1592)/100,1),12.5)</f>
        <v/>
      </c>
      <c r="S1592" t="n">
        <v>14</v>
      </c>
      <c r="T1592">
        <f>ROUND(P1592+Q1592+R1592+S1592,0)</f>
        <v/>
      </c>
      <c r="U1592" s="5" t="inlineStr"/>
      <c r="V1592" s="5" t="inlineStr">
        <is>
          <t>PRIMARY /tools/robots-validator</t>
        </is>
      </c>
    </row>
    <row r="1593">
      <c r="A1593" t="inlineStr">
        <is>
          <t>K1591</t>
        </is>
      </c>
      <c r="B1593" t="inlineStr">
        <is>
          <t>valider sitemap</t>
        </is>
      </c>
      <c r="C1593" t="inlineStr">
        <is>
          <t>France</t>
        </is>
      </c>
      <c r="D1593" t="inlineStr">
        <is>
          <t>fr</t>
        </is>
      </c>
      <c r="E1593" t="inlineStr">
        <is>
          <t>fr</t>
        </is>
      </c>
      <c r="F1593" t="inlineStr">
        <is>
          <t>NOT AVAILABLE</t>
        </is>
      </c>
      <c r="G1593" t="inlineStr">
        <is>
          <t>NOT AVAILABLE</t>
        </is>
      </c>
      <c r="H1593" t="inlineStr">
        <is>
          <t>NOT AVAILABLE</t>
        </is>
      </c>
      <c r="I1593" t="inlineStr">
        <is>
          <t>NOT AVAILABLE</t>
        </is>
      </c>
      <c r="J1593" t="inlineStr">
        <is>
          <t>NOT AVAILABLE</t>
        </is>
      </c>
      <c r="K1593" t="inlineStr">
        <is>
          <t>NOT AVAILABLE</t>
        </is>
      </c>
      <c r="L1593" t="inlineStr">
        <is>
          <t>NOT AVAILABLE</t>
        </is>
      </c>
      <c r="M1593" t="inlineStr">
        <is>
          <t>UNAVAILABLE</t>
        </is>
      </c>
      <c r="N1593" s="5" t="inlineStr">
        <is>
          <t>Semrush phrase_these returned no data (not billed)</t>
        </is>
      </c>
      <c r="O1593" t="inlineStr">
        <is>
          <t>2026-10-30</t>
        </is>
      </c>
      <c r="P1593">
        <f>IF(IF(J1593="NOT AVAILABLE","",J1593)="",12,IF(OR(ISNUMBER(SEARCH("Transactional",IF(J1593="NOT AVAILABLE","",J1593))),ISNUMBER(SEARCH("Commercial",IF(J1593="NOT AVAILABLE","",J1593)))),25,IF(ISNUMBER(SEARCH("Informational",IF(J1593="NOT AVAILABLE","",J1593))),10,IF(ISNUMBER(SEARCH("Navigational",IF(J1593="NOT AVAILABLE","",J1593))),0,12))))</f>
        <v/>
      </c>
      <c r="Q1593">
        <f>IF(ISNUMBER(F1593),MIN(30,ROUND(30*LOG10(F1593+1)/4,1)),0)</f>
        <v/>
      </c>
      <c r="R1593">
        <f>IF(ISNUMBER(G1593),ROUND(25*(100-G1593)/100,1),12.5)</f>
        <v/>
      </c>
      <c r="S1593" t="n">
        <v>14</v>
      </c>
      <c r="T1593">
        <f>ROUND(P1593+Q1593+R1593+S1593,0)</f>
        <v/>
      </c>
      <c r="U1593" s="5" t="inlineStr"/>
      <c r="V1593" s="5" t="inlineStr">
        <is>
          <t>OPTIONAL /tools/sitemap-validator</t>
        </is>
      </c>
    </row>
    <row r="1594">
      <c r="A1594" t="inlineStr">
        <is>
          <t>K1592</t>
        </is>
      </c>
      <c r="B1594" t="inlineStr">
        <is>
          <t>visualisation crawl</t>
        </is>
      </c>
      <c r="C1594" t="inlineStr">
        <is>
          <t>France</t>
        </is>
      </c>
      <c r="D1594" t="inlineStr">
        <is>
          <t>fr</t>
        </is>
      </c>
      <c r="E1594" t="inlineStr">
        <is>
          <t>fr</t>
        </is>
      </c>
      <c r="F1594" t="inlineStr">
        <is>
          <t>NOT AVAILABLE</t>
        </is>
      </c>
      <c r="G1594" t="inlineStr">
        <is>
          <t>NOT AVAILABLE</t>
        </is>
      </c>
      <c r="H1594" t="inlineStr">
        <is>
          <t>NOT AVAILABLE</t>
        </is>
      </c>
      <c r="I1594" t="inlineStr">
        <is>
          <t>NOT AVAILABLE</t>
        </is>
      </c>
      <c r="J1594" t="inlineStr">
        <is>
          <t>NOT AVAILABLE</t>
        </is>
      </c>
      <c r="K1594" t="inlineStr">
        <is>
          <t>NOT AVAILABLE</t>
        </is>
      </c>
      <c r="L1594" t="inlineStr">
        <is>
          <t>NOT AVAILABLE</t>
        </is>
      </c>
      <c r="M1594" t="inlineStr">
        <is>
          <t>UNAVAILABLE</t>
        </is>
      </c>
      <c r="N1594" s="5" t="inlineStr">
        <is>
          <t>Semrush phrase_these returned no data (not billed)</t>
        </is>
      </c>
      <c r="O1594" t="inlineStr">
        <is>
          <t>2026-10-30</t>
        </is>
      </c>
      <c r="P1594">
        <f>IF(IF(J1594="NOT AVAILABLE","",J1594)="",12,IF(OR(ISNUMBER(SEARCH("Transactional",IF(J1594="NOT AVAILABLE","",J1594))),ISNUMBER(SEARCH("Commercial",IF(J1594="NOT AVAILABLE","",J1594)))),25,IF(ISNUMBER(SEARCH("Informational",IF(J1594="NOT AVAILABLE","",J1594))),10,IF(ISNUMBER(SEARCH("Navigational",IF(J1594="NOT AVAILABLE","",J1594))),0,12))))</f>
        <v/>
      </c>
      <c r="Q1594">
        <f>IF(ISNUMBER(F1594),MIN(30,ROUND(30*LOG10(F1594+1)/4,1)),0)</f>
        <v/>
      </c>
      <c r="R1594">
        <f>IF(ISNUMBER(G1594),ROUND(25*(100-G1594)/100,1),12.5)</f>
        <v/>
      </c>
      <c r="S1594" t="n">
        <v>14</v>
      </c>
      <c r="T1594">
        <f>ROUND(P1594+Q1594+R1594+S1594,0)</f>
        <v/>
      </c>
      <c r="U1594" s="5" t="inlineStr"/>
      <c r="V1594" s="5" t="inlineStr">
        <is>
          <t>PRIMARY /tools/crawl-visualizer</t>
        </is>
      </c>
    </row>
    <row r="1595">
      <c r="A1595" t="inlineStr">
        <is>
          <t>K1593</t>
        </is>
      </c>
      <c r="B1595" t="inlineStr">
        <is>
          <t>visualiser maillage interne</t>
        </is>
      </c>
      <c r="C1595" t="inlineStr">
        <is>
          <t>France</t>
        </is>
      </c>
      <c r="D1595" t="inlineStr">
        <is>
          <t>fr</t>
        </is>
      </c>
      <c r="E1595" t="inlineStr">
        <is>
          <t>fr</t>
        </is>
      </c>
      <c r="F1595" t="inlineStr">
        <is>
          <t>NOT AVAILABLE</t>
        </is>
      </c>
      <c r="G1595" t="inlineStr">
        <is>
          <t>NOT AVAILABLE</t>
        </is>
      </c>
      <c r="H1595" t="inlineStr">
        <is>
          <t>NOT AVAILABLE</t>
        </is>
      </c>
      <c r="I1595" t="inlineStr">
        <is>
          <t>NOT AVAILABLE</t>
        </is>
      </c>
      <c r="J1595" t="inlineStr">
        <is>
          <t>NOT AVAILABLE</t>
        </is>
      </c>
      <c r="K1595" t="inlineStr">
        <is>
          <t>NOT AVAILABLE</t>
        </is>
      </c>
      <c r="L1595" t="inlineStr">
        <is>
          <t>NOT AVAILABLE</t>
        </is>
      </c>
      <c r="M1595" t="inlineStr">
        <is>
          <t>UNAVAILABLE</t>
        </is>
      </c>
      <c r="N1595" s="5" t="inlineStr">
        <is>
          <t>Semrush phrase_these returned no data (not billed)</t>
        </is>
      </c>
      <c r="O1595" t="inlineStr">
        <is>
          <t>2026-10-30</t>
        </is>
      </c>
      <c r="P1595">
        <f>IF(IF(J1595="NOT AVAILABLE","",J1595)="",12,IF(OR(ISNUMBER(SEARCH("Transactional",IF(J1595="NOT AVAILABLE","",J1595))),ISNUMBER(SEARCH("Commercial",IF(J1595="NOT AVAILABLE","",J1595)))),25,IF(ISNUMBER(SEARCH("Informational",IF(J1595="NOT AVAILABLE","",J1595))),10,IF(ISNUMBER(SEARCH("Navigational",IF(J1595="NOT AVAILABLE","",J1595))),0,12))))</f>
        <v/>
      </c>
      <c r="Q1595">
        <f>IF(ISNUMBER(F1595),MIN(30,ROUND(30*LOG10(F1595+1)/4,1)),0)</f>
        <v/>
      </c>
      <c r="R1595">
        <f>IF(ISNUMBER(G1595),ROUND(25*(100-G1595)/100,1),12.5)</f>
        <v/>
      </c>
      <c r="S1595" t="n">
        <v>14</v>
      </c>
      <c r="T1595">
        <f>ROUND(P1595+Q1595+R1595+S1595,0)</f>
        <v/>
      </c>
      <c r="U1595" s="5" t="inlineStr"/>
      <c r="V1595" s="5" t="inlineStr">
        <is>
          <t>OPTIONAL /tools/crawl-visualizer</t>
        </is>
      </c>
    </row>
    <row r="1596">
      <c r="A1596" t="inlineStr">
        <is>
          <t>K1594</t>
        </is>
      </c>
      <c r="B1596" t="inlineStr">
        <is>
          <t>voir page comme googlebot</t>
        </is>
      </c>
      <c r="C1596" t="inlineStr">
        <is>
          <t>France</t>
        </is>
      </c>
      <c r="D1596" t="inlineStr">
        <is>
          <t>fr</t>
        </is>
      </c>
      <c r="E1596" t="inlineStr">
        <is>
          <t>fr</t>
        </is>
      </c>
      <c r="F1596" t="inlineStr">
        <is>
          <t>NOT AVAILABLE</t>
        </is>
      </c>
      <c r="G1596" t="inlineStr">
        <is>
          <t>NOT AVAILABLE</t>
        </is>
      </c>
      <c r="H1596" t="inlineStr">
        <is>
          <t>NOT AVAILABLE</t>
        </is>
      </c>
      <c r="I1596" t="inlineStr">
        <is>
          <t>NOT AVAILABLE</t>
        </is>
      </c>
      <c r="J1596" t="inlineStr">
        <is>
          <t>NOT AVAILABLE</t>
        </is>
      </c>
      <c r="K1596" t="inlineStr">
        <is>
          <t>NOT AVAILABLE</t>
        </is>
      </c>
      <c r="L1596" t="inlineStr">
        <is>
          <t>NOT AVAILABLE</t>
        </is>
      </c>
      <c r="M1596" t="inlineStr">
        <is>
          <t>UNAVAILABLE</t>
        </is>
      </c>
      <c r="N1596" s="5" t="inlineStr">
        <is>
          <t>Semrush phrase_these returned no data (not billed)</t>
        </is>
      </c>
      <c r="O1596" t="inlineStr">
        <is>
          <t>2026-10-30</t>
        </is>
      </c>
      <c r="P1596">
        <f>IF(IF(J1596="NOT AVAILABLE","",J1596)="",12,IF(OR(ISNUMBER(SEARCH("Transactional",IF(J1596="NOT AVAILABLE","",J1596))),ISNUMBER(SEARCH("Commercial",IF(J1596="NOT AVAILABLE","",J1596)))),25,IF(ISNUMBER(SEARCH("Informational",IF(J1596="NOT AVAILABLE","",J1596))),10,IF(ISNUMBER(SEARCH("Navigational",IF(J1596="NOT AVAILABLE","",J1596))),0,12))))</f>
        <v/>
      </c>
      <c r="Q1596">
        <f>IF(ISNUMBER(F1596),MIN(30,ROUND(30*LOG10(F1596+1)/4,1)),0)</f>
        <v/>
      </c>
      <c r="R1596">
        <f>IF(ISNUMBER(G1596),ROUND(25*(100-G1596)/100,1),12.5)</f>
        <v/>
      </c>
      <c r="S1596" t="n">
        <v>14</v>
      </c>
      <c r="T1596">
        <f>ROUND(P1596+Q1596+R1596+S1596,0)</f>
        <v/>
      </c>
      <c r="U1596" s="5" t="inlineStr"/>
      <c r="V1596" s="5" t="inlineStr">
        <is>
          <t>OPTIONAL /tools/bot-viewer</t>
        </is>
      </c>
    </row>
    <row r="1597">
      <c r="A1597" t="inlineStr">
        <is>
          <t>K1595</t>
        </is>
      </c>
      <c r="B1597" t="inlineStr">
        <is>
          <t>vérifier autorité domaine</t>
        </is>
      </c>
      <c r="C1597" t="inlineStr">
        <is>
          <t>France</t>
        </is>
      </c>
      <c r="D1597" t="inlineStr">
        <is>
          <t>fr</t>
        </is>
      </c>
      <c r="E1597" t="inlineStr">
        <is>
          <t>fr</t>
        </is>
      </c>
      <c r="F1597" t="n">
        <v>0</v>
      </c>
      <c r="G1597" t="inlineStr">
        <is>
          <t>NOT AVAILABLE</t>
        </is>
      </c>
      <c r="H1597" t="n">
        <v>0</v>
      </c>
      <c r="I1597" t="n">
        <v>0</v>
      </c>
      <c r="J1597" t="inlineStr">
        <is>
          <t>NOT AVAILABLE</t>
        </is>
      </c>
      <c r="K1597" t="inlineStr">
        <is>
          <t>NOT AVAILABLE (report not requested)</t>
        </is>
      </c>
      <c r="L1597" t="inlineStr">
        <is>
          <t>flat (no data)</t>
        </is>
      </c>
      <c r="M1597" t="inlineStr">
        <is>
          <t>MEASURED</t>
        </is>
      </c>
      <c r="N1597" s="5" t="inlineStr">
        <is>
          <t>Semrush phrase_these (live, this session)</t>
        </is>
      </c>
      <c r="O1597" t="inlineStr">
        <is>
          <t>2026-10-30</t>
        </is>
      </c>
      <c r="P1597">
        <f>IF(IF(J1597="NOT AVAILABLE","",J1597)="",12,IF(OR(ISNUMBER(SEARCH("Transactional",IF(J1597="NOT AVAILABLE","",J1597))),ISNUMBER(SEARCH("Commercial",IF(J1597="NOT AVAILABLE","",J1597)))),25,IF(ISNUMBER(SEARCH("Informational",IF(J1597="NOT AVAILABLE","",J1597))),10,IF(ISNUMBER(SEARCH("Navigational",IF(J1597="NOT AVAILABLE","",J1597))),0,12))))</f>
        <v/>
      </c>
      <c r="Q1597">
        <f>IF(ISNUMBER(F1597),MIN(30,ROUND(30*LOG10(F1597+1)/4,1)),0)</f>
        <v/>
      </c>
      <c r="R1597">
        <f>IF(ISNUMBER(G1597),ROUND(25*(100-G1597)/100,1),12.5)</f>
        <v/>
      </c>
      <c r="S1597" t="n">
        <v>14</v>
      </c>
      <c r="T1597">
        <f>ROUND(P1597+Q1597+R1597+S1597,0)</f>
        <v/>
      </c>
      <c r="U1597" s="5" t="inlineStr"/>
      <c r="V1597" s="5" t="inlineStr">
        <is>
          <t>OPTIONAL /tools/domain-authority-checker</t>
        </is>
      </c>
    </row>
    <row r="1598">
      <c r="A1598" t="inlineStr">
        <is>
          <t>K1596</t>
        </is>
      </c>
      <c r="B1598" t="inlineStr">
        <is>
          <t>vérifier balises h1</t>
        </is>
      </c>
      <c r="C1598" t="inlineStr">
        <is>
          <t>France</t>
        </is>
      </c>
      <c r="D1598" t="inlineStr">
        <is>
          <t>fr</t>
        </is>
      </c>
      <c r="E1598" t="inlineStr">
        <is>
          <t>fr</t>
        </is>
      </c>
      <c r="F1598" t="inlineStr">
        <is>
          <t>NOT AVAILABLE</t>
        </is>
      </c>
      <c r="G1598" t="inlineStr">
        <is>
          <t>NOT AVAILABLE</t>
        </is>
      </c>
      <c r="H1598" t="inlineStr">
        <is>
          <t>NOT AVAILABLE</t>
        </is>
      </c>
      <c r="I1598" t="inlineStr">
        <is>
          <t>NOT AVAILABLE</t>
        </is>
      </c>
      <c r="J1598" t="inlineStr">
        <is>
          <t>NOT AVAILABLE</t>
        </is>
      </c>
      <c r="K1598" t="inlineStr">
        <is>
          <t>NOT AVAILABLE</t>
        </is>
      </c>
      <c r="L1598" t="inlineStr">
        <is>
          <t>NOT AVAILABLE</t>
        </is>
      </c>
      <c r="M1598" t="inlineStr">
        <is>
          <t>UNAVAILABLE</t>
        </is>
      </c>
      <c r="N1598" s="5" t="inlineStr">
        <is>
          <t>Semrush phrase_these returned no data (not billed)</t>
        </is>
      </c>
      <c r="O1598" t="inlineStr">
        <is>
          <t>2026-10-30</t>
        </is>
      </c>
      <c r="P1598">
        <f>IF(IF(J1598="NOT AVAILABLE","",J1598)="",12,IF(OR(ISNUMBER(SEARCH("Transactional",IF(J1598="NOT AVAILABLE","",J1598))),ISNUMBER(SEARCH("Commercial",IF(J1598="NOT AVAILABLE","",J1598)))),25,IF(ISNUMBER(SEARCH("Informational",IF(J1598="NOT AVAILABLE","",J1598))),10,IF(ISNUMBER(SEARCH("Navigational",IF(J1598="NOT AVAILABLE","",J1598))),0,12))))</f>
        <v/>
      </c>
      <c r="Q1598">
        <f>IF(ISNUMBER(F1598),MIN(30,ROUND(30*LOG10(F1598+1)/4,1)),0)</f>
        <v/>
      </c>
      <c r="R1598">
        <f>IF(ISNUMBER(G1598),ROUND(25*(100-G1598)/100,1),12.5)</f>
        <v/>
      </c>
      <c r="S1598" t="n">
        <v>14</v>
      </c>
      <c r="T1598">
        <f>ROUND(P1598+Q1598+R1598+S1598,0)</f>
        <v/>
      </c>
      <c r="U1598" s="5" t="inlineStr"/>
      <c r="V1598" s="5" t="inlineStr">
        <is>
          <t>OPTIONAL /tools/heading-analyzer</t>
        </is>
      </c>
    </row>
    <row r="1599">
      <c r="A1599" t="inlineStr">
        <is>
          <t>K1597</t>
        </is>
      </c>
      <c r="B1599" t="inlineStr">
        <is>
          <t>vérifier canonical</t>
        </is>
      </c>
      <c r="C1599" t="inlineStr">
        <is>
          <t>France</t>
        </is>
      </c>
      <c r="D1599" t="inlineStr">
        <is>
          <t>fr</t>
        </is>
      </c>
      <c r="E1599" t="inlineStr">
        <is>
          <t>fr</t>
        </is>
      </c>
      <c r="F1599" t="inlineStr">
        <is>
          <t>NOT AVAILABLE</t>
        </is>
      </c>
      <c r="G1599" t="inlineStr">
        <is>
          <t>NOT AVAILABLE</t>
        </is>
      </c>
      <c r="H1599" t="inlineStr">
        <is>
          <t>NOT AVAILABLE</t>
        </is>
      </c>
      <c r="I1599" t="inlineStr">
        <is>
          <t>NOT AVAILABLE</t>
        </is>
      </c>
      <c r="J1599" t="inlineStr">
        <is>
          <t>NOT AVAILABLE</t>
        </is>
      </c>
      <c r="K1599" t="inlineStr">
        <is>
          <t>NOT AVAILABLE</t>
        </is>
      </c>
      <c r="L1599" t="inlineStr">
        <is>
          <t>NOT AVAILABLE</t>
        </is>
      </c>
      <c r="M1599" t="inlineStr">
        <is>
          <t>UNAVAILABLE</t>
        </is>
      </c>
      <c r="N1599" s="5" t="inlineStr">
        <is>
          <t>Semrush phrase_these returned no data (not billed)</t>
        </is>
      </c>
      <c r="O1599" t="inlineStr">
        <is>
          <t>2026-10-30</t>
        </is>
      </c>
      <c r="P1599">
        <f>IF(IF(J1599="NOT AVAILABLE","",J1599)="",12,IF(OR(ISNUMBER(SEARCH("Transactional",IF(J1599="NOT AVAILABLE","",J1599))),ISNUMBER(SEARCH("Commercial",IF(J1599="NOT AVAILABLE","",J1599)))),25,IF(ISNUMBER(SEARCH("Informational",IF(J1599="NOT AVAILABLE","",J1599))),10,IF(ISNUMBER(SEARCH("Navigational",IF(J1599="NOT AVAILABLE","",J1599))),0,12))))</f>
        <v/>
      </c>
      <c r="Q1599">
        <f>IF(ISNUMBER(F1599),MIN(30,ROUND(30*LOG10(F1599+1)/4,1)),0)</f>
        <v/>
      </c>
      <c r="R1599">
        <f>IF(ISNUMBER(G1599),ROUND(25*(100-G1599)/100,1),12.5)</f>
        <v/>
      </c>
      <c r="S1599" t="n">
        <v>14</v>
      </c>
      <c r="T1599">
        <f>ROUND(P1599+Q1599+R1599+S1599,0)</f>
        <v/>
      </c>
      <c r="U1599" s="5" t="inlineStr"/>
      <c r="V1599" s="5" t="inlineStr">
        <is>
          <t>OPTIONAL /tools/canonical-checker</t>
        </is>
      </c>
    </row>
    <row r="1600">
      <c r="A1600" t="inlineStr">
        <is>
          <t>K1598</t>
        </is>
      </c>
      <c r="B1600" t="inlineStr">
        <is>
          <t>vérifier lien nofollow</t>
        </is>
      </c>
      <c r="C1600" t="inlineStr">
        <is>
          <t>France</t>
        </is>
      </c>
      <c r="D1600" t="inlineStr">
        <is>
          <t>fr</t>
        </is>
      </c>
      <c r="E1600" t="inlineStr">
        <is>
          <t>fr</t>
        </is>
      </c>
      <c r="F1600" t="n">
        <v>0</v>
      </c>
      <c r="G1600" t="inlineStr">
        <is>
          <t>NOT AVAILABLE</t>
        </is>
      </c>
      <c r="H1600" t="n">
        <v>0</v>
      </c>
      <c r="I1600" t="n">
        <v>0</v>
      </c>
      <c r="J1600" t="inlineStr">
        <is>
          <t>NOT AVAILABLE</t>
        </is>
      </c>
      <c r="K1600" t="inlineStr">
        <is>
          <t>NOT AVAILABLE (report not requested)</t>
        </is>
      </c>
      <c r="L1600" t="inlineStr">
        <is>
          <t>flat (no data)</t>
        </is>
      </c>
      <c r="M1600" t="inlineStr">
        <is>
          <t>MEASURED</t>
        </is>
      </c>
      <c r="N1600" s="5" t="inlineStr">
        <is>
          <t>Semrush phrase_these (live, this session)</t>
        </is>
      </c>
      <c r="O1600" t="inlineStr">
        <is>
          <t>2026-10-30</t>
        </is>
      </c>
      <c r="P1600">
        <f>IF(IF(J1600="NOT AVAILABLE","",J1600)="",12,IF(OR(ISNUMBER(SEARCH("Transactional",IF(J1600="NOT AVAILABLE","",J1600))),ISNUMBER(SEARCH("Commercial",IF(J1600="NOT AVAILABLE","",J1600)))),25,IF(ISNUMBER(SEARCH("Informational",IF(J1600="NOT AVAILABLE","",J1600))),10,IF(ISNUMBER(SEARCH("Navigational",IF(J1600="NOT AVAILABLE","",J1600))),0,12))))</f>
        <v/>
      </c>
      <c r="Q1600">
        <f>IF(ISNUMBER(F1600),MIN(30,ROUND(30*LOG10(F1600+1)/4,1)),0)</f>
        <v/>
      </c>
      <c r="R1600">
        <f>IF(ISNUMBER(G1600),ROUND(25*(100-G1600)/100,1),12.5)</f>
        <v/>
      </c>
      <c r="S1600" t="n">
        <v>14</v>
      </c>
      <c r="T1600">
        <f>ROUND(P1600+Q1600+R1600+S1600,0)</f>
        <v/>
      </c>
      <c r="U1600" s="5" t="inlineStr"/>
      <c r="V1600" s="5" t="inlineStr">
        <is>
          <t>OPTIONAL /tools/nofollow-link-checker</t>
        </is>
      </c>
    </row>
    <row r="1601">
      <c r="A1601" t="inlineStr">
        <is>
          <t>K1599</t>
        </is>
      </c>
      <c r="B1601" t="inlineStr">
        <is>
          <t>vérifier liens cassés</t>
        </is>
      </c>
      <c r="C1601" t="inlineStr">
        <is>
          <t>France</t>
        </is>
      </c>
      <c r="D1601" t="inlineStr">
        <is>
          <t>fr</t>
        </is>
      </c>
      <c r="E1601" t="inlineStr">
        <is>
          <t>fr</t>
        </is>
      </c>
      <c r="F1601" t="n">
        <v>0</v>
      </c>
      <c r="G1601" t="inlineStr">
        <is>
          <t>NOT AVAILABLE</t>
        </is>
      </c>
      <c r="H1601" t="n">
        <v>0</v>
      </c>
      <c r="I1601" t="n">
        <v>0</v>
      </c>
      <c r="J1601" t="inlineStr">
        <is>
          <t>NOT AVAILABLE</t>
        </is>
      </c>
      <c r="K1601" t="inlineStr">
        <is>
          <t>NOT AVAILABLE (report not requested)</t>
        </is>
      </c>
      <c r="L1601" t="inlineStr">
        <is>
          <t>flat (no data)</t>
        </is>
      </c>
      <c r="M1601" t="inlineStr">
        <is>
          <t>MEASURED</t>
        </is>
      </c>
      <c r="N1601" s="5" t="inlineStr">
        <is>
          <t>Semrush phrase_these (live, this session)</t>
        </is>
      </c>
      <c r="O1601" t="inlineStr">
        <is>
          <t>2026-10-30</t>
        </is>
      </c>
      <c r="P1601">
        <f>IF(IF(J1601="NOT AVAILABLE","",J1601)="",12,IF(OR(ISNUMBER(SEARCH("Transactional",IF(J1601="NOT AVAILABLE","",J1601))),ISNUMBER(SEARCH("Commercial",IF(J1601="NOT AVAILABLE","",J1601)))),25,IF(ISNUMBER(SEARCH("Informational",IF(J1601="NOT AVAILABLE","",J1601))),10,IF(ISNUMBER(SEARCH("Navigational",IF(J1601="NOT AVAILABLE","",J1601))),0,12))))</f>
        <v/>
      </c>
      <c r="Q1601">
        <f>IF(ISNUMBER(F1601),MIN(30,ROUND(30*LOG10(F1601+1)/4,1)),0)</f>
        <v/>
      </c>
      <c r="R1601">
        <f>IF(ISNUMBER(G1601),ROUND(25*(100-G1601)/100,1),12.5)</f>
        <v/>
      </c>
      <c r="S1601" t="n">
        <v>14</v>
      </c>
      <c r="T1601">
        <f>ROUND(P1601+Q1601+R1601+S1601,0)</f>
        <v/>
      </c>
      <c r="U1601" s="5" t="inlineStr"/>
      <c r="V1601" s="5" t="inlineStr">
        <is>
          <t>OPTIONAL /tools/broken-link-checker</t>
        </is>
      </c>
    </row>
    <row r="1602">
      <c r="A1602" t="inlineStr">
        <is>
          <t>K1600</t>
        </is>
      </c>
      <c r="B1602" t="inlineStr">
        <is>
          <t>vérifier redirection</t>
        </is>
      </c>
      <c r="C1602" t="inlineStr">
        <is>
          <t>France</t>
        </is>
      </c>
      <c r="D1602" t="inlineStr">
        <is>
          <t>fr</t>
        </is>
      </c>
      <c r="E1602" t="inlineStr">
        <is>
          <t>fr</t>
        </is>
      </c>
      <c r="F1602" t="n">
        <v>0</v>
      </c>
      <c r="G1602" t="inlineStr">
        <is>
          <t>NOT AVAILABLE</t>
        </is>
      </c>
      <c r="H1602" t="n">
        <v>0</v>
      </c>
      <c r="I1602" t="n">
        <v>0</v>
      </c>
      <c r="J1602" t="inlineStr">
        <is>
          <t>NOT AVAILABLE</t>
        </is>
      </c>
      <c r="K1602" t="inlineStr">
        <is>
          <t>NOT AVAILABLE (report not requested)</t>
        </is>
      </c>
      <c r="L1602" t="inlineStr">
        <is>
          <t>flat (no data)</t>
        </is>
      </c>
      <c r="M1602" t="inlineStr">
        <is>
          <t>MEASURED</t>
        </is>
      </c>
      <c r="N1602" s="5" t="inlineStr">
        <is>
          <t>Semrush phrase_these (live, this session)</t>
        </is>
      </c>
      <c r="O1602" t="inlineStr">
        <is>
          <t>2026-10-30</t>
        </is>
      </c>
      <c r="P1602">
        <f>IF(IF(J1602="NOT AVAILABLE","",J1602)="",12,IF(OR(ISNUMBER(SEARCH("Transactional",IF(J1602="NOT AVAILABLE","",J1602))),ISNUMBER(SEARCH("Commercial",IF(J1602="NOT AVAILABLE","",J1602)))),25,IF(ISNUMBER(SEARCH("Informational",IF(J1602="NOT AVAILABLE","",J1602))),10,IF(ISNUMBER(SEARCH("Navigational",IF(J1602="NOT AVAILABLE","",J1602))),0,12))))</f>
        <v/>
      </c>
      <c r="Q1602">
        <f>IF(ISNUMBER(F1602),MIN(30,ROUND(30*LOG10(F1602+1)/4,1)),0)</f>
        <v/>
      </c>
      <c r="R1602">
        <f>IF(ISNUMBER(G1602),ROUND(25*(100-G1602)/100,1),12.5)</f>
        <v/>
      </c>
      <c r="S1602" t="n">
        <v>14</v>
      </c>
      <c r="T1602">
        <f>ROUND(P1602+Q1602+R1602+S1602,0)</f>
        <v/>
      </c>
      <c r="U1602" s="5" t="inlineStr"/>
      <c r="V1602" s="5" t="inlineStr">
        <is>
          <t>OPTIONAL /tools/redirect-checker</t>
        </is>
      </c>
    </row>
    <row r="1603">
      <c r="A1603" t="inlineStr">
        <is>
          <t>K1601</t>
        </is>
      </c>
      <c r="B1603" t="inlineStr">
        <is>
          <t>vérifier robots.txt</t>
        </is>
      </c>
      <c r="C1603" t="inlineStr">
        <is>
          <t>France</t>
        </is>
      </c>
      <c r="D1603" t="inlineStr">
        <is>
          <t>fr</t>
        </is>
      </c>
      <c r="E1603" t="inlineStr">
        <is>
          <t>fr</t>
        </is>
      </c>
      <c r="F1603" t="n">
        <v>0</v>
      </c>
      <c r="G1603" t="inlineStr">
        <is>
          <t>NOT AVAILABLE</t>
        </is>
      </c>
      <c r="H1603" t="n">
        <v>0</v>
      </c>
      <c r="I1603" t="n">
        <v>0</v>
      </c>
      <c r="J1603" t="inlineStr">
        <is>
          <t>NOT AVAILABLE</t>
        </is>
      </c>
      <c r="K1603" t="inlineStr">
        <is>
          <t>NOT AVAILABLE (report not requested)</t>
        </is>
      </c>
      <c r="L1603" t="inlineStr">
        <is>
          <t>flat (no data)</t>
        </is>
      </c>
      <c r="M1603" t="inlineStr">
        <is>
          <t>MEASURED</t>
        </is>
      </c>
      <c r="N1603" s="5" t="inlineStr">
        <is>
          <t>Semrush phrase_these (live, this session)</t>
        </is>
      </c>
      <c r="O1603" t="inlineStr">
        <is>
          <t>2026-10-30</t>
        </is>
      </c>
      <c r="P1603">
        <f>IF(IF(J1603="NOT AVAILABLE","",J1603)="",12,IF(OR(ISNUMBER(SEARCH("Transactional",IF(J1603="NOT AVAILABLE","",J1603))),ISNUMBER(SEARCH("Commercial",IF(J1603="NOT AVAILABLE","",J1603)))),25,IF(ISNUMBER(SEARCH("Informational",IF(J1603="NOT AVAILABLE","",J1603))),10,IF(ISNUMBER(SEARCH("Navigational",IF(J1603="NOT AVAILABLE","",J1603))),0,12))))</f>
        <v/>
      </c>
      <c r="Q1603">
        <f>IF(ISNUMBER(F1603),MIN(30,ROUND(30*LOG10(F1603+1)/4,1)),0)</f>
        <v/>
      </c>
      <c r="R1603">
        <f>IF(ISNUMBER(G1603),ROUND(25*(100-G1603)/100,1),12.5)</f>
        <v/>
      </c>
      <c r="S1603" t="n">
        <v>14</v>
      </c>
      <c r="T1603">
        <f>ROUND(P1603+Q1603+R1603+S1603,0)</f>
        <v/>
      </c>
      <c r="U1603" s="5" t="inlineStr"/>
      <c r="V1603" s="5" t="inlineStr">
        <is>
          <t>OPTIONAL /tools/robots-validator</t>
        </is>
      </c>
    </row>
    <row r="1604">
      <c r="A1604" t="inlineStr">
        <is>
          <t>K1602</t>
        </is>
      </c>
      <c r="B1604" t="inlineStr">
        <is>
          <t>vérifier site avant mise en ligne</t>
        </is>
      </c>
      <c r="C1604" t="inlineStr">
        <is>
          <t>France</t>
        </is>
      </c>
      <c r="D1604" t="inlineStr">
        <is>
          <t>fr</t>
        </is>
      </c>
      <c r="E1604" t="inlineStr">
        <is>
          <t>fr</t>
        </is>
      </c>
      <c r="F1604" t="inlineStr">
        <is>
          <t>NOT AVAILABLE</t>
        </is>
      </c>
      <c r="G1604" t="inlineStr">
        <is>
          <t>NOT AVAILABLE</t>
        </is>
      </c>
      <c r="H1604" t="inlineStr">
        <is>
          <t>NOT AVAILABLE</t>
        </is>
      </c>
      <c r="I1604" t="inlineStr">
        <is>
          <t>NOT AVAILABLE</t>
        </is>
      </c>
      <c r="J1604" t="inlineStr">
        <is>
          <t>NOT AVAILABLE</t>
        </is>
      </c>
      <c r="K1604" t="inlineStr">
        <is>
          <t>NOT AVAILABLE</t>
        </is>
      </c>
      <c r="L1604" t="inlineStr">
        <is>
          <t>NOT AVAILABLE</t>
        </is>
      </c>
      <c r="M1604" t="inlineStr">
        <is>
          <t>UNAVAILABLE</t>
        </is>
      </c>
      <c r="N1604" s="5" t="inlineStr">
        <is>
          <t>Semrush phrase_these returned no data (not billed)</t>
        </is>
      </c>
      <c r="O1604" t="inlineStr">
        <is>
          <t>2026-10-30</t>
        </is>
      </c>
      <c r="P1604">
        <f>IF(IF(J1604="NOT AVAILABLE","",J1604)="",12,IF(OR(ISNUMBER(SEARCH("Transactional",IF(J1604="NOT AVAILABLE","",J1604))),ISNUMBER(SEARCH("Commercial",IF(J1604="NOT AVAILABLE","",J1604)))),25,IF(ISNUMBER(SEARCH("Informational",IF(J1604="NOT AVAILABLE","",J1604))),10,IF(ISNUMBER(SEARCH("Navigational",IF(J1604="NOT AVAILABLE","",J1604))),0,12))))</f>
        <v/>
      </c>
      <c r="Q1604">
        <f>IF(ISNUMBER(F1604),MIN(30,ROUND(30*LOG10(F1604+1)/4,1)),0)</f>
        <v/>
      </c>
      <c r="R1604">
        <f>IF(ISNUMBER(G1604),ROUND(25*(100-G1604)/100,1),12.5)</f>
        <v/>
      </c>
      <c r="S1604" t="n">
        <v>14</v>
      </c>
      <c r="T1604">
        <f>ROUND(P1604+Q1604+R1604+S1604,0)</f>
        <v/>
      </c>
      <c r="U1604" s="5" t="inlineStr"/>
      <c r="V1604" s="5" t="inlineStr">
        <is>
          <t>OPTIONAL /tools/website-readiness-checker</t>
        </is>
      </c>
    </row>
    <row r="1605">
      <c r="A1605" t="inlineStr">
        <is>
          <t>K1603</t>
        </is>
      </c>
      <c r="B1605" t="inlineStr">
        <is>
          <t>école de langue allemande</t>
        </is>
      </c>
      <c r="C1605" t="inlineStr">
        <is>
          <t>France</t>
        </is>
      </c>
      <c r="D1605" t="inlineStr">
        <is>
          <t>fr</t>
        </is>
      </c>
      <c r="E1605" t="inlineStr">
        <is>
          <t>fr</t>
        </is>
      </c>
      <c r="F1605" t="n">
        <v>0</v>
      </c>
      <c r="G1605" t="inlineStr">
        <is>
          <t>NOT AVAILABLE</t>
        </is>
      </c>
      <c r="H1605" t="n">
        <v>0</v>
      </c>
      <c r="I1605" t="n">
        <v>0</v>
      </c>
      <c r="J1605" t="inlineStr">
        <is>
          <t>NOT AVAILABLE</t>
        </is>
      </c>
      <c r="K1605" t="inlineStr">
        <is>
          <t>NOT AVAILABLE (report not requested)</t>
        </is>
      </c>
      <c r="L1605" t="inlineStr">
        <is>
          <t>flat (no data)</t>
        </is>
      </c>
      <c r="M1605" t="inlineStr">
        <is>
          <t>MEASURED</t>
        </is>
      </c>
      <c r="N1605" s="5" t="inlineStr">
        <is>
          <t>Semrush phrase_these (live, this session)</t>
        </is>
      </c>
      <c r="O1605" t="inlineStr">
        <is>
          <t>2026-10-30</t>
        </is>
      </c>
      <c r="P1605">
        <f>IF(IF(J1605="NOT AVAILABLE","",J1605)="",12,IF(OR(ISNUMBER(SEARCH("Transactional",IF(J1605="NOT AVAILABLE","",J1605))),ISNUMBER(SEARCH("Commercial",IF(J1605="NOT AVAILABLE","",J1605)))),25,IF(ISNUMBER(SEARCH("Informational",IF(J1605="NOT AVAILABLE","",J1605))),10,IF(ISNUMBER(SEARCH("Navigational",IF(J1605="NOT AVAILABLE","",J1605))),0,12))))</f>
        <v/>
      </c>
      <c r="Q1605">
        <f>IF(ISNUMBER(F1605),MIN(30,ROUND(30*LOG10(F1605+1)/4,1)),0)</f>
        <v/>
      </c>
      <c r="R1605">
        <f>IF(ISNUMBER(G1605),ROUND(25*(100-G1605)/100,1),12.5)</f>
        <v/>
      </c>
      <c r="S1605" t="n">
        <v>14</v>
      </c>
      <c r="T1605">
        <f>ROUND(P1605+Q1605+R1605+S1605,0)</f>
        <v/>
      </c>
      <c r="U1605" s="5" t="inlineStr"/>
      <c r="V1605" s="5" t="inlineStr"/>
    </row>
    <row r="1606">
      <c r="A1606" t="inlineStr">
        <is>
          <t>K1604</t>
        </is>
      </c>
      <c r="B1606" t="inlineStr">
        <is>
          <t>éditer url en masse</t>
        </is>
      </c>
      <c r="C1606" t="inlineStr">
        <is>
          <t>France</t>
        </is>
      </c>
      <c r="D1606" t="inlineStr">
        <is>
          <t>fr</t>
        </is>
      </c>
      <c r="E1606" t="inlineStr">
        <is>
          <t>fr</t>
        </is>
      </c>
      <c r="F1606" t="inlineStr">
        <is>
          <t>NOT AVAILABLE</t>
        </is>
      </c>
      <c r="G1606" t="inlineStr">
        <is>
          <t>NOT AVAILABLE</t>
        </is>
      </c>
      <c r="H1606" t="inlineStr">
        <is>
          <t>NOT AVAILABLE</t>
        </is>
      </c>
      <c r="I1606" t="inlineStr">
        <is>
          <t>NOT AVAILABLE</t>
        </is>
      </c>
      <c r="J1606" t="inlineStr">
        <is>
          <t>NOT AVAILABLE</t>
        </is>
      </c>
      <c r="K1606" t="inlineStr">
        <is>
          <t>NOT AVAILABLE</t>
        </is>
      </c>
      <c r="L1606" t="inlineStr">
        <is>
          <t>NOT AVAILABLE</t>
        </is>
      </c>
      <c r="M1606" t="inlineStr">
        <is>
          <t>UNAVAILABLE</t>
        </is>
      </c>
      <c r="N1606" s="5" t="inlineStr">
        <is>
          <t>Semrush phrase_these returned no data (not billed)</t>
        </is>
      </c>
      <c r="O1606" t="inlineStr">
        <is>
          <t>2026-10-30</t>
        </is>
      </c>
      <c r="P1606">
        <f>IF(IF(J1606="NOT AVAILABLE","",J1606)="",12,IF(OR(ISNUMBER(SEARCH("Transactional",IF(J1606="NOT AVAILABLE","",J1606))),ISNUMBER(SEARCH("Commercial",IF(J1606="NOT AVAILABLE","",J1606)))),25,IF(ISNUMBER(SEARCH("Informational",IF(J1606="NOT AVAILABLE","",J1606))),10,IF(ISNUMBER(SEARCH("Navigational",IF(J1606="NOT AVAILABLE","",J1606))),0,12))))</f>
        <v/>
      </c>
      <c r="Q1606">
        <f>IF(ISNUMBER(F1606),MIN(30,ROUND(30*LOG10(F1606+1)/4,1)),0)</f>
        <v/>
      </c>
      <c r="R1606">
        <f>IF(ISNUMBER(G1606),ROUND(25*(100-G1606)/100,1),12.5)</f>
        <v/>
      </c>
      <c r="S1606" t="n">
        <v>14</v>
      </c>
      <c r="T1606">
        <f>ROUND(P1606+Q1606+R1606+S1606,0)</f>
        <v/>
      </c>
      <c r="U1606" s="5" t="inlineStr"/>
      <c r="V1606" s="5" t="inlineStr">
        <is>
          <t>OPTIONAL /tools/url-editor</t>
        </is>
      </c>
    </row>
    <row r="1607">
      <c r="A1607" t="inlineStr">
        <is>
          <t>K1605</t>
        </is>
      </c>
      <c r="B1607" t="inlineStr">
        <is>
          <t>web development company dublin</t>
        </is>
      </c>
      <c r="C1607" t="inlineStr">
        <is>
          <t>Ireland</t>
        </is>
      </c>
      <c r="D1607" t="inlineStr">
        <is>
          <t>ie</t>
        </is>
      </c>
      <c r="E1607" t="inlineStr">
        <is>
          <t>en</t>
        </is>
      </c>
      <c r="F1607" t="n">
        <v>260</v>
      </c>
      <c r="G1607" t="n">
        <v>58</v>
      </c>
      <c r="H1607" t="n">
        <v>3.61</v>
      </c>
      <c r="I1607" t="n">
        <v>0.14</v>
      </c>
      <c r="J1607" t="inlineStr">
        <is>
          <t>Commercial</t>
        </is>
      </c>
      <c r="K1607" t="inlineStr">
        <is>
          <t>NOT AVAILABLE (report not requested)</t>
        </is>
      </c>
      <c r="L1607" t="inlineStr">
        <is>
          <t>declining (calc.)</t>
        </is>
      </c>
      <c r="M1607" t="inlineStr">
        <is>
          <t>MEASURED</t>
        </is>
      </c>
      <c r="N1607" s="5" t="inlineStr">
        <is>
          <t>Semrush phrase_these (live, this session)</t>
        </is>
      </c>
      <c r="O1607" t="inlineStr">
        <is>
          <t>2026-10-30</t>
        </is>
      </c>
      <c r="P1607">
        <f>IF(IF(J1607="NOT AVAILABLE","",J1607)="",12,IF(OR(ISNUMBER(SEARCH("Transactional",IF(J1607="NOT AVAILABLE","",J1607))),ISNUMBER(SEARCH("Commercial",IF(J1607="NOT AVAILABLE","",J1607)))),25,IF(ISNUMBER(SEARCH("Informational",IF(J1607="NOT AVAILABLE","",J1607))),10,IF(ISNUMBER(SEARCH("Navigational",IF(J1607="NOT AVAILABLE","",J1607))),0,12))))</f>
        <v/>
      </c>
      <c r="Q1607">
        <f>IF(ISNUMBER(F1607),MIN(30,ROUND(30*LOG10(F1607+1)/4,1)),0)</f>
        <v/>
      </c>
      <c r="R1607">
        <f>IF(ISNUMBER(G1607),ROUND(25*(100-G1607)/100,1),12.5)</f>
        <v/>
      </c>
      <c r="S1607" t="n">
        <v>3</v>
      </c>
      <c r="T1607">
        <f>ROUND(P1607+Q1607+R1607+S1607,0)</f>
        <v/>
      </c>
      <c r="U1607" s="5" t="inlineStr"/>
      <c r="V1607" s="5" t="inlineStr">
        <is>
          <t>NOT RECOMMENDED /web-development-company/dublin</t>
        </is>
      </c>
    </row>
    <row r="1608">
      <c r="A1608" t="inlineStr">
        <is>
          <t>K1606</t>
        </is>
      </c>
      <c r="B1608" t="inlineStr">
        <is>
          <t>agence web dublin</t>
        </is>
      </c>
      <c r="C1608" t="inlineStr">
        <is>
          <t>Ireland</t>
        </is>
      </c>
      <c r="D1608" t="inlineStr">
        <is>
          <t>ie</t>
        </is>
      </c>
      <c r="E1608" t="inlineStr">
        <is>
          <t>fr</t>
        </is>
      </c>
      <c r="F1608" t="inlineStr">
        <is>
          <t>NOT AVAILABLE</t>
        </is>
      </c>
      <c r="G1608" t="inlineStr">
        <is>
          <t>NOT AVAILABLE</t>
        </is>
      </c>
      <c r="H1608" t="inlineStr">
        <is>
          <t>NOT AVAILABLE</t>
        </is>
      </c>
      <c r="I1608" t="inlineStr">
        <is>
          <t>NOT AVAILABLE</t>
        </is>
      </c>
      <c r="J1608" t="inlineStr">
        <is>
          <t>NOT AVAILABLE</t>
        </is>
      </c>
      <c r="K1608" t="inlineStr">
        <is>
          <t>NOT AVAILABLE</t>
        </is>
      </c>
      <c r="L1608" t="inlineStr">
        <is>
          <t>NOT AVAILABLE</t>
        </is>
      </c>
      <c r="M1608" t="inlineStr">
        <is>
          <t>UNAVAILABLE</t>
        </is>
      </c>
      <c r="N1608" s="5" t="inlineStr">
        <is>
          <t>Semrush phrase_these returned no data (not billed)</t>
        </is>
      </c>
      <c r="O1608" t="inlineStr">
        <is>
          <t>2026-10-30</t>
        </is>
      </c>
      <c r="P1608">
        <f>IF(IF(J1608="NOT AVAILABLE","",J1608)="",12,IF(OR(ISNUMBER(SEARCH("Transactional",IF(J1608="NOT AVAILABLE","",J1608))),ISNUMBER(SEARCH("Commercial",IF(J1608="NOT AVAILABLE","",J1608)))),25,IF(ISNUMBER(SEARCH("Informational",IF(J1608="NOT AVAILABLE","",J1608))),10,IF(ISNUMBER(SEARCH("Navigational",IF(J1608="NOT AVAILABLE","",J1608))),0,12))))</f>
        <v/>
      </c>
      <c r="Q1608">
        <f>IF(ISNUMBER(F1608),MIN(30,ROUND(30*LOG10(F1608+1)/4,1)),0)</f>
        <v/>
      </c>
      <c r="R1608">
        <f>IF(ISNUMBER(G1608),ROUND(25*(100-G1608)/100,1),12.5)</f>
        <v/>
      </c>
      <c r="S1608" t="n">
        <v>3</v>
      </c>
      <c r="T1608">
        <f>ROUND(P1608+Q1608+R1608+S1608,0)</f>
        <v/>
      </c>
      <c r="U1608" s="5" t="inlineStr"/>
      <c r="V1608" s="5" t="inlineStr"/>
    </row>
    <row r="1609">
      <c r="A1609" t="inlineStr">
        <is>
          <t>K1607</t>
        </is>
      </c>
      <c r="B1609" t="inlineStr">
        <is>
          <t>création site web dublin</t>
        </is>
      </c>
      <c r="C1609" t="inlineStr">
        <is>
          <t>Ireland</t>
        </is>
      </c>
      <c r="D1609" t="inlineStr">
        <is>
          <t>ie</t>
        </is>
      </c>
      <c r="E1609" t="inlineStr">
        <is>
          <t>fr</t>
        </is>
      </c>
      <c r="F1609" t="inlineStr">
        <is>
          <t>NOT AVAILABLE</t>
        </is>
      </c>
      <c r="G1609" t="inlineStr">
        <is>
          <t>NOT AVAILABLE</t>
        </is>
      </c>
      <c r="H1609" t="inlineStr">
        <is>
          <t>NOT AVAILABLE</t>
        </is>
      </c>
      <c r="I1609" t="inlineStr">
        <is>
          <t>NOT AVAILABLE</t>
        </is>
      </c>
      <c r="J1609" t="inlineStr">
        <is>
          <t>NOT AVAILABLE</t>
        </is>
      </c>
      <c r="K1609" t="inlineStr">
        <is>
          <t>NOT AVAILABLE</t>
        </is>
      </c>
      <c r="L1609" t="inlineStr">
        <is>
          <t>NOT AVAILABLE</t>
        </is>
      </c>
      <c r="M1609" t="inlineStr">
        <is>
          <t>UNAVAILABLE</t>
        </is>
      </c>
      <c r="N1609" s="5" t="inlineStr">
        <is>
          <t>Semrush phrase_these returned no data (not billed)</t>
        </is>
      </c>
      <c r="O1609" t="inlineStr">
        <is>
          <t>2026-10-30</t>
        </is>
      </c>
      <c r="P1609">
        <f>IF(IF(J1609="NOT AVAILABLE","",J1609)="",12,IF(OR(ISNUMBER(SEARCH("Transactional",IF(J1609="NOT AVAILABLE","",J1609))),ISNUMBER(SEARCH("Commercial",IF(J1609="NOT AVAILABLE","",J1609)))),25,IF(ISNUMBER(SEARCH("Informational",IF(J1609="NOT AVAILABLE","",J1609))),10,IF(ISNUMBER(SEARCH("Navigational",IF(J1609="NOT AVAILABLE","",J1609))),0,12))))</f>
        <v/>
      </c>
      <c r="Q1609">
        <f>IF(ISNUMBER(F1609),MIN(30,ROUND(30*LOG10(F1609+1)/4,1)),0)</f>
        <v/>
      </c>
      <c r="R1609">
        <f>IF(ISNUMBER(G1609),ROUND(25*(100-G1609)/100,1),12.5)</f>
        <v/>
      </c>
      <c r="S1609" t="n">
        <v>3</v>
      </c>
      <c r="T1609">
        <f>ROUND(P1609+Q1609+R1609+S1609,0)</f>
        <v/>
      </c>
      <c r="U1609" s="5" t="inlineStr"/>
      <c r="V1609" s="5" t="inlineStr"/>
    </row>
    <row r="1610">
      <c r="A1610" t="inlineStr">
        <is>
          <t>K1608</t>
        </is>
      </c>
      <c r="B1610" t="inlineStr">
        <is>
          <t>développement web dublin</t>
        </is>
      </c>
      <c r="C1610" t="inlineStr">
        <is>
          <t>Ireland</t>
        </is>
      </c>
      <c r="D1610" t="inlineStr">
        <is>
          <t>ie</t>
        </is>
      </c>
      <c r="E1610" t="inlineStr">
        <is>
          <t>fr</t>
        </is>
      </c>
      <c r="F1610" t="inlineStr">
        <is>
          <t>NOT AVAILABLE</t>
        </is>
      </c>
      <c r="G1610" t="inlineStr">
        <is>
          <t>NOT AVAILABLE</t>
        </is>
      </c>
      <c r="H1610" t="inlineStr">
        <is>
          <t>NOT AVAILABLE</t>
        </is>
      </c>
      <c r="I1610" t="inlineStr">
        <is>
          <t>NOT AVAILABLE</t>
        </is>
      </c>
      <c r="J1610" t="inlineStr">
        <is>
          <t>NOT AVAILABLE</t>
        </is>
      </c>
      <c r="K1610" t="inlineStr">
        <is>
          <t>NOT AVAILABLE</t>
        </is>
      </c>
      <c r="L1610" t="inlineStr">
        <is>
          <t>NOT AVAILABLE</t>
        </is>
      </c>
      <c r="M1610" t="inlineStr">
        <is>
          <t>UNAVAILABLE</t>
        </is>
      </c>
      <c r="N1610" s="5" t="inlineStr">
        <is>
          <t>Semrush phrase_these returned no data (not billed)</t>
        </is>
      </c>
      <c r="O1610" t="inlineStr">
        <is>
          <t>2026-10-30</t>
        </is>
      </c>
      <c r="P1610">
        <f>IF(IF(J1610="NOT AVAILABLE","",J1610)="",12,IF(OR(ISNUMBER(SEARCH("Transactional",IF(J1610="NOT AVAILABLE","",J1610))),ISNUMBER(SEARCH("Commercial",IF(J1610="NOT AVAILABLE","",J1610)))),25,IF(ISNUMBER(SEARCH("Informational",IF(J1610="NOT AVAILABLE","",J1610))),10,IF(ISNUMBER(SEARCH("Navigational",IF(J1610="NOT AVAILABLE","",J1610))),0,12))))</f>
        <v/>
      </c>
      <c r="Q1610">
        <f>IF(ISNUMBER(F1610),MIN(30,ROUND(30*LOG10(F1610+1)/4,1)),0)</f>
        <v/>
      </c>
      <c r="R1610">
        <f>IF(ISNUMBER(G1610),ROUND(25*(100-G1610)/100,1),12.5)</f>
        <v/>
      </c>
      <c r="S1610" t="n">
        <v>3</v>
      </c>
      <c r="T1610">
        <f>ROUND(P1610+Q1610+R1610+S1610,0)</f>
        <v/>
      </c>
      <c r="U1610" s="5" t="inlineStr"/>
      <c r="V1610" s="5" t="inlineStr">
        <is>
          <t>PRIMARY /web-development-company/dublin</t>
        </is>
      </c>
    </row>
    <row r="1611">
      <c r="A1611" t="inlineStr">
        <is>
          <t>K1609</t>
        </is>
      </c>
      <c r="B1611" t="inlineStr">
        <is>
          <t>sviluppo siti web milano</t>
        </is>
      </c>
      <c r="C1611" t="inlineStr">
        <is>
          <t>Italy</t>
        </is>
      </c>
      <c r="D1611" t="inlineStr">
        <is>
          <t>it</t>
        </is>
      </c>
      <c r="E1611" t="inlineStr">
        <is>
          <t>it</t>
        </is>
      </c>
      <c r="F1611" t="n">
        <v>210</v>
      </c>
      <c r="G1611" t="n">
        <v>23</v>
      </c>
      <c r="H1611" t="n">
        <v>2.85</v>
      </c>
      <c r="I1611" t="n">
        <v>0.66</v>
      </c>
      <c r="J1611" t="inlineStr">
        <is>
          <t>Commercial</t>
        </is>
      </c>
      <c r="K1611" t="inlineStr">
        <is>
          <t>NOT AVAILABLE (report not requested)</t>
        </is>
      </c>
      <c r="L1611" t="inlineStr">
        <is>
          <t>declining (calc.)</t>
        </is>
      </c>
      <c r="M1611" t="inlineStr">
        <is>
          <t>MEASURED</t>
        </is>
      </c>
      <c r="N1611" s="5" t="inlineStr">
        <is>
          <t>Semrush phrase_these (live, this session)</t>
        </is>
      </c>
      <c r="O1611" t="inlineStr">
        <is>
          <t>2026-10-30</t>
        </is>
      </c>
      <c r="P1611">
        <f>IF(IF(J1611="NOT AVAILABLE","",J1611)="",12,IF(OR(ISNUMBER(SEARCH("Transactional",IF(J1611="NOT AVAILABLE","",J1611))),ISNUMBER(SEARCH("Commercial",IF(J1611="NOT AVAILABLE","",J1611)))),25,IF(ISNUMBER(SEARCH("Informational",IF(J1611="NOT AVAILABLE","",J1611))),10,IF(ISNUMBER(SEARCH("Navigational",IF(J1611="NOT AVAILABLE","",J1611))),0,12))))</f>
        <v/>
      </c>
      <c r="Q1611">
        <f>IF(ISNUMBER(F1611),MIN(30,ROUND(30*LOG10(F1611+1)/4,1)),0)</f>
        <v/>
      </c>
      <c r="R1611">
        <f>IF(ISNUMBER(G1611),ROUND(25*(100-G1611)/100,1),12.5)</f>
        <v/>
      </c>
      <c r="S1611" t="n">
        <v>3</v>
      </c>
      <c r="T1611">
        <f>ROUND(P1611+Q1611+R1611+S1611,0)</f>
        <v/>
      </c>
      <c r="U1611" s="5" t="inlineStr"/>
      <c r="V1611" s="5" t="inlineStr">
        <is>
          <t>NOT RECOMMENDED /web-development-company/milan</t>
        </is>
      </c>
    </row>
    <row r="1612">
      <c r="A1612" t="inlineStr">
        <is>
          <t>K1610</t>
        </is>
      </c>
      <c r="B1612" t="inlineStr">
        <is>
          <t>sviluppo siti web roma</t>
        </is>
      </c>
      <c r="C1612" t="inlineStr">
        <is>
          <t>Italy</t>
        </is>
      </c>
      <c r="D1612" t="inlineStr">
        <is>
          <t>it</t>
        </is>
      </c>
      <c r="E1612" t="inlineStr">
        <is>
          <t>it</t>
        </is>
      </c>
      <c r="F1612" t="n">
        <v>110</v>
      </c>
      <c r="G1612" t="n">
        <v>16</v>
      </c>
      <c r="H1612" t="n">
        <v>4.22</v>
      </c>
      <c r="I1612" t="n">
        <v>0.33</v>
      </c>
      <c r="J1612" t="inlineStr">
        <is>
          <t>Commercial</t>
        </is>
      </c>
      <c r="K1612" t="inlineStr">
        <is>
          <t>NOT AVAILABLE (report not requested)</t>
        </is>
      </c>
      <c r="L1612" t="inlineStr">
        <is>
          <t>stable (calc.)</t>
        </is>
      </c>
      <c r="M1612" t="inlineStr">
        <is>
          <t>MEASURED</t>
        </is>
      </c>
      <c r="N1612" s="5" t="inlineStr">
        <is>
          <t>Semrush phrase_these (live, this session)</t>
        </is>
      </c>
      <c r="O1612" t="inlineStr">
        <is>
          <t>2026-10-30</t>
        </is>
      </c>
      <c r="P1612">
        <f>IF(IF(J1612="NOT AVAILABLE","",J1612)="",12,IF(OR(ISNUMBER(SEARCH("Transactional",IF(J1612="NOT AVAILABLE","",J1612))),ISNUMBER(SEARCH("Commercial",IF(J1612="NOT AVAILABLE","",J1612)))),25,IF(ISNUMBER(SEARCH("Informational",IF(J1612="NOT AVAILABLE","",J1612))),10,IF(ISNUMBER(SEARCH("Navigational",IF(J1612="NOT AVAILABLE","",J1612))),0,12))))</f>
        <v/>
      </c>
      <c r="Q1612">
        <f>IF(ISNUMBER(F1612),MIN(30,ROUND(30*LOG10(F1612+1)/4,1)),0)</f>
        <v/>
      </c>
      <c r="R1612">
        <f>IF(ISNUMBER(G1612),ROUND(25*(100-G1612)/100,1),12.5)</f>
        <v/>
      </c>
      <c r="S1612" t="n">
        <v>3</v>
      </c>
      <c r="T1612">
        <f>ROUND(P1612+Q1612+R1612+S1612,0)</f>
        <v/>
      </c>
      <c r="U1612" s="5" t="inlineStr"/>
      <c r="V1612" s="5" t="inlineStr">
        <is>
          <t>NOT RECOMMENDED /web-development-company/rome</t>
        </is>
      </c>
    </row>
    <row r="1613">
      <c r="A1613" t="inlineStr">
        <is>
          <t>K1611</t>
        </is>
      </c>
      <c r="B1613" t="inlineStr">
        <is>
          <t>agence web milan</t>
        </is>
      </c>
      <c r="C1613" t="inlineStr">
        <is>
          <t>Italy</t>
        </is>
      </c>
      <c r="D1613" t="inlineStr">
        <is>
          <t>it</t>
        </is>
      </c>
      <c r="E1613" t="inlineStr">
        <is>
          <t>fr</t>
        </is>
      </c>
      <c r="F1613" t="inlineStr">
        <is>
          <t>NOT AVAILABLE</t>
        </is>
      </c>
      <c r="G1613" t="inlineStr">
        <is>
          <t>NOT AVAILABLE</t>
        </is>
      </c>
      <c r="H1613" t="inlineStr">
        <is>
          <t>NOT AVAILABLE</t>
        </is>
      </c>
      <c r="I1613" t="inlineStr">
        <is>
          <t>NOT AVAILABLE</t>
        </is>
      </c>
      <c r="J1613" t="inlineStr">
        <is>
          <t>NOT AVAILABLE</t>
        </is>
      </c>
      <c r="K1613" t="inlineStr">
        <is>
          <t>NOT AVAILABLE</t>
        </is>
      </c>
      <c r="L1613" t="inlineStr">
        <is>
          <t>NOT AVAILABLE</t>
        </is>
      </c>
      <c r="M1613" t="inlineStr">
        <is>
          <t>UNAVAILABLE</t>
        </is>
      </c>
      <c r="N1613" s="5" t="inlineStr">
        <is>
          <t>Semrush phrase_these returned no data (not billed)</t>
        </is>
      </c>
      <c r="O1613" t="inlineStr">
        <is>
          <t>2026-10-30</t>
        </is>
      </c>
      <c r="P1613">
        <f>IF(IF(J1613="NOT AVAILABLE","",J1613)="",12,IF(OR(ISNUMBER(SEARCH("Transactional",IF(J1613="NOT AVAILABLE","",J1613))),ISNUMBER(SEARCH("Commercial",IF(J1613="NOT AVAILABLE","",J1613)))),25,IF(ISNUMBER(SEARCH("Informational",IF(J1613="NOT AVAILABLE","",J1613))),10,IF(ISNUMBER(SEARCH("Navigational",IF(J1613="NOT AVAILABLE","",J1613))),0,12))))</f>
        <v/>
      </c>
      <c r="Q1613">
        <f>IF(ISNUMBER(F1613),MIN(30,ROUND(30*LOG10(F1613+1)/4,1)),0)</f>
        <v/>
      </c>
      <c r="R1613">
        <f>IF(ISNUMBER(G1613),ROUND(25*(100-G1613)/100,1),12.5)</f>
        <v/>
      </c>
      <c r="S1613" t="n">
        <v>3</v>
      </c>
      <c r="T1613">
        <f>ROUND(P1613+Q1613+R1613+S1613,0)</f>
        <v/>
      </c>
      <c r="U1613" s="5" t="inlineStr"/>
      <c r="V1613" s="5" t="inlineStr"/>
    </row>
    <row r="1614">
      <c r="A1614" t="inlineStr">
        <is>
          <t>K1612</t>
        </is>
      </c>
      <c r="B1614" t="inlineStr">
        <is>
          <t>agence web rome</t>
        </is>
      </c>
      <c r="C1614" t="inlineStr">
        <is>
          <t>Italy</t>
        </is>
      </c>
      <c r="D1614" t="inlineStr">
        <is>
          <t>it</t>
        </is>
      </c>
      <c r="E1614" t="inlineStr">
        <is>
          <t>fr</t>
        </is>
      </c>
      <c r="F1614" t="inlineStr">
        <is>
          <t>NOT AVAILABLE</t>
        </is>
      </c>
      <c r="G1614" t="inlineStr">
        <is>
          <t>NOT AVAILABLE</t>
        </is>
      </c>
      <c r="H1614" t="inlineStr">
        <is>
          <t>NOT AVAILABLE</t>
        </is>
      </c>
      <c r="I1614" t="inlineStr">
        <is>
          <t>NOT AVAILABLE</t>
        </is>
      </c>
      <c r="J1614" t="inlineStr">
        <is>
          <t>NOT AVAILABLE</t>
        </is>
      </c>
      <c r="K1614" t="inlineStr">
        <is>
          <t>NOT AVAILABLE</t>
        </is>
      </c>
      <c r="L1614" t="inlineStr">
        <is>
          <t>NOT AVAILABLE</t>
        </is>
      </c>
      <c r="M1614" t="inlineStr">
        <is>
          <t>UNAVAILABLE</t>
        </is>
      </c>
      <c r="N1614" s="5" t="inlineStr">
        <is>
          <t>Semrush phrase_these returned no data (not billed)</t>
        </is>
      </c>
      <c r="O1614" t="inlineStr">
        <is>
          <t>2026-10-30</t>
        </is>
      </c>
      <c r="P1614">
        <f>IF(IF(J1614="NOT AVAILABLE","",J1614)="",12,IF(OR(ISNUMBER(SEARCH("Transactional",IF(J1614="NOT AVAILABLE","",J1614))),ISNUMBER(SEARCH("Commercial",IF(J1614="NOT AVAILABLE","",J1614)))),25,IF(ISNUMBER(SEARCH("Informational",IF(J1614="NOT AVAILABLE","",J1614))),10,IF(ISNUMBER(SEARCH("Navigational",IF(J1614="NOT AVAILABLE","",J1614))),0,12))))</f>
        <v/>
      </c>
      <c r="Q1614">
        <f>IF(ISNUMBER(F1614),MIN(30,ROUND(30*LOG10(F1614+1)/4,1)),0)</f>
        <v/>
      </c>
      <c r="R1614">
        <f>IF(ISNUMBER(G1614),ROUND(25*(100-G1614)/100,1),12.5)</f>
        <v/>
      </c>
      <c r="S1614" t="n">
        <v>3</v>
      </c>
      <c r="T1614">
        <f>ROUND(P1614+Q1614+R1614+S1614,0)</f>
        <v/>
      </c>
      <c r="U1614" s="5" t="inlineStr"/>
      <c r="V1614" s="5" t="inlineStr"/>
    </row>
    <row r="1615">
      <c r="A1615" t="inlineStr">
        <is>
          <t>K1613</t>
        </is>
      </c>
      <c r="B1615" t="inlineStr">
        <is>
          <t>création site web milan</t>
        </is>
      </c>
      <c r="C1615" t="inlineStr">
        <is>
          <t>Italy</t>
        </is>
      </c>
      <c r="D1615" t="inlineStr">
        <is>
          <t>it</t>
        </is>
      </c>
      <c r="E1615" t="inlineStr">
        <is>
          <t>fr</t>
        </is>
      </c>
      <c r="F1615" t="inlineStr">
        <is>
          <t>NOT AVAILABLE</t>
        </is>
      </c>
      <c r="G1615" t="inlineStr">
        <is>
          <t>NOT AVAILABLE</t>
        </is>
      </c>
      <c r="H1615" t="inlineStr">
        <is>
          <t>NOT AVAILABLE</t>
        </is>
      </c>
      <c r="I1615" t="inlineStr">
        <is>
          <t>NOT AVAILABLE</t>
        </is>
      </c>
      <c r="J1615" t="inlineStr">
        <is>
          <t>NOT AVAILABLE</t>
        </is>
      </c>
      <c r="K1615" t="inlineStr">
        <is>
          <t>NOT AVAILABLE</t>
        </is>
      </c>
      <c r="L1615" t="inlineStr">
        <is>
          <t>NOT AVAILABLE</t>
        </is>
      </c>
      <c r="M1615" t="inlineStr">
        <is>
          <t>UNAVAILABLE</t>
        </is>
      </c>
      <c r="N1615" s="5" t="inlineStr">
        <is>
          <t>Semrush phrase_these returned no data (not billed)</t>
        </is>
      </c>
      <c r="O1615" t="inlineStr">
        <is>
          <t>2026-10-30</t>
        </is>
      </c>
      <c r="P1615">
        <f>IF(IF(J1615="NOT AVAILABLE","",J1615)="",12,IF(OR(ISNUMBER(SEARCH("Transactional",IF(J1615="NOT AVAILABLE","",J1615))),ISNUMBER(SEARCH("Commercial",IF(J1615="NOT AVAILABLE","",J1615)))),25,IF(ISNUMBER(SEARCH("Informational",IF(J1615="NOT AVAILABLE","",J1615))),10,IF(ISNUMBER(SEARCH("Navigational",IF(J1615="NOT AVAILABLE","",J1615))),0,12))))</f>
        <v/>
      </c>
      <c r="Q1615">
        <f>IF(ISNUMBER(F1615),MIN(30,ROUND(30*LOG10(F1615+1)/4,1)),0)</f>
        <v/>
      </c>
      <c r="R1615">
        <f>IF(ISNUMBER(G1615),ROUND(25*(100-G1615)/100,1),12.5)</f>
        <v/>
      </c>
      <c r="S1615" t="n">
        <v>3</v>
      </c>
      <c r="T1615">
        <f>ROUND(P1615+Q1615+R1615+S1615,0)</f>
        <v/>
      </c>
      <c r="U1615" s="5" t="inlineStr"/>
      <c r="V1615" s="5" t="inlineStr"/>
    </row>
    <row r="1616">
      <c r="A1616" t="inlineStr">
        <is>
          <t>K1614</t>
        </is>
      </c>
      <c r="B1616" t="inlineStr">
        <is>
          <t>création site web rome</t>
        </is>
      </c>
      <c r="C1616" t="inlineStr">
        <is>
          <t>Italy</t>
        </is>
      </c>
      <c r="D1616" t="inlineStr">
        <is>
          <t>it</t>
        </is>
      </c>
      <c r="E1616" t="inlineStr">
        <is>
          <t>fr</t>
        </is>
      </c>
      <c r="F1616" t="inlineStr">
        <is>
          <t>NOT AVAILABLE</t>
        </is>
      </c>
      <c r="G1616" t="inlineStr">
        <is>
          <t>NOT AVAILABLE</t>
        </is>
      </c>
      <c r="H1616" t="inlineStr">
        <is>
          <t>NOT AVAILABLE</t>
        </is>
      </c>
      <c r="I1616" t="inlineStr">
        <is>
          <t>NOT AVAILABLE</t>
        </is>
      </c>
      <c r="J1616" t="inlineStr">
        <is>
          <t>NOT AVAILABLE</t>
        </is>
      </c>
      <c r="K1616" t="inlineStr">
        <is>
          <t>NOT AVAILABLE</t>
        </is>
      </c>
      <c r="L1616" t="inlineStr">
        <is>
          <t>NOT AVAILABLE</t>
        </is>
      </c>
      <c r="M1616" t="inlineStr">
        <is>
          <t>UNAVAILABLE</t>
        </is>
      </c>
      <c r="N1616" s="5" t="inlineStr">
        <is>
          <t>Semrush phrase_these returned no data (not billed)</t>
        </is>
      </c>
      <c r="O1616" t="inlineStr">
        <is>
          <t>2026-10-30</t>
        </is>
      </c>
      <c r="P1616">
        <f>IF(IF(J1616="NOT AVAILABLE","",J1616)="",12,IF(OR(ISNUMBER(SEARCH("Transactional",IF(J1616="NOT AVAILABLE","",J1616))),ISNUMBER(SEARCH("Commercial",IF(J1616="NOT AVAILABLE","",J1616)))),25,IF(ISNUMBER(SEARCH("Informational",IF(J1616="NOT AVAILABLE","",J1616))),10,IF(ISNUMBER(SEARCH("Navigational",IF(J1616="NOT AVAILABLE","",J1616))),0,12))))</f>
        <v/>
      </c>
      <c r="Q1616">
        <f>IF(ISNUMBER(F1616),MIN(30,ROUND(30*LOG10(F1616+1)/4,1)),0)</f>
        <v/>
      </c>
      <c r="R1616">
        <f>IF(ISNUMBER(G1616),ROUND(25*(100-G1616)/100,1),12.5)</f>
        <v/>
      </c>
      <c r="S1616" t="n">
        <v>3</v>
      </c>
      <c r="T1616">
        <f>ROUND(P1616+Q1616+R1616+S1616,0)</f>
        <v/>
      </c>
      <c r="U1616" s="5" t="inlineStr"/>
      <c r="V1616" s="5" t="inlineStr"/>
    </row>
    <row r="1617">
      <c r="A1617" t="inlineStr">
        <is>
          <t>K1615</t>
        </is>
      </c>
      <c r="B1617" t="inlineStr">
        <is>
          <t>développement web milan</t>
        </is>
      </c>
      <c r="C1617" t="inlineStr">
        <is>
          <t>Italy</t>
        </is>
      </c>
      <c r="D1617" t="inlineStr">
        <is>
          <t>it</t>
        </is>
      </c>
      <c r="E1617" t="inlineStr">
        <is>
          <t>fr</t>
        </is>
      </c>
      <c r="F1617" t="inlineStr">
        <is>
          <t>NOT AVAILABLE</t>
        </is>
      </c>
      <c r="G1617" t="inlineStr">
        <is>
          <t>NOT AVAILABLE</t>
        </is>
      </c>
      <c r="H1617" t="inlineStr">
        <is>
          <t>NOT AVAILABLE</t>
        </is>
      </c>
      <c r="I1617" t="inlineStr">
        <is>
          <t>NOT AVAILABLE</t>
        </is>
      </c>
      <c r="J1617" t="inlineStr">
        <is>
          <t>NOT AVAILABLE</t>
        </is>
      </c>
      <c r="K1617" t="inlineStr">
        <is>
          <t>NOT AVAILABLE</t>
        </is>
      </c>
      <c r="L1617" t="inlineStr">
        <is>
          <t>NOT AVAILABLE</t>
        </is>
      </c>
      <c r="M1617" t="inlineStr">
        <is>
          <t>UNAVAILABLE</t>
        </is>
      </c>
      <c r="N1617" s="5" t="inlineStr">
        <is>
          <t>Semrush phrase_these returned no data (not billed)</t>
        </is>
      </c>
      <c r="O1617" t="inlineStr">
        <is>
          <t>2026-10-30</t>
        </is>
      </c>
      <c r="P1617">
        <f>IF(IF(J1617="NOT AVAILABLE","",J1617)="",12,IF(OR(ISNUMBER(SEARCH("Transactional",IF(J1617="NOT AVAILABLE","",J1617))),ISNUMBER(SEARCH("Commercial",IF(J1617="NOT AVAILABLE","",J1617)))),25,IF(ISNUMBER(SEARCH("Informational",IF(J1617="NOT AVAILABLE","",J1617))),10,IF(ISNUMBER(SEARCH("Navigational",IF(J1617="NOT AVAILABLE","",J1617))),0,12))))</f>
        <v/>
      </c>
      <c r="Q1617">
        <f>IF(ISNUMBER(F1617),MIN(30,ROUND(30*LOG10(F1617+1)/4,1)),0)</f>
        <v/>
      </c>
      <c r="R1617">
        <f>IF(ISNUMBER(G1617),ROUND(25*(100-G1617)/100,1),12.5)</f>
        <v/>
      </c>
      <c r="S1617" t="n">
        <v>3</v>
      </c>
      <c r="T1617">
        <f>ROUND(P1617+Q1617+R1617+S1617,0)</f>
        <v/>
      </c>
      <c r="U1617" s="5" t="inlineStr"/>
      <c r="V1617" s="5" t="inlineStr">
        <is>
          <t>PRIMARY /web-development-company/milan</t>
        </is>
      </c>
    </row>
    <row r="1618">
      <c r="A1618" t="inlineStr">
        <is>
          <t>K1616</t>
        </is>
      </c>
      <c r="B1618" t="inlineStr">
        <is>
          <t>développement web rome</t>
        </is>
      </c>
      <c r="C1618" t="inlineStr">
        <is>
          <t>Italy</t>
        </is>
      </c>
      <c r="D1618" t="inlineStr">
        <is>
          <t>it</t>
        </is>
      </c>
      <c r="E1618" t="inlineStr">
        <is>
          <t>fr</t>
        </is>
      </c>
      <c r="F1618" t="inlineStr">
        <is>
          <t>NOT AVAILABLE</t>
        </is>
      </c>
      <c r="G1618" t="inlineStr">
        <is>
          <t>NOT AVAILABLE</t>
        </is>
      </c>
      <c r="H1618" t="inlineStr">
        <is>
          <t>NOT AVAILABLE</t>
        </is>
      </c>
      <c r="I1618" t="inlineStr">
        <is>
          <t>NOT AVAILABLE</t>
        </is>
      </c>
      <c r="J1618" t="inlineStr">
        <is>
          <t>NOT AVAILABLE</t>
        </is>
      </c>
      <c r="K1618" t="inlineStr">
        <is>
          <t>NOT AVAILABLE</t>
        </is>
      </c>
      <c r="L1618" t="inlineStr">
        <is>
          <t>NOT AVAILABLE</t>
        </is>
      </c>
      <c r="M1618" t="inlineStr">
        <is>
          <t>UNAVAILABLE</t>
        </is>
      </c>
      <c r="N1618" s="5" t="inlineStr">
        <is>
          <t>Semrush phrase_these returned no data (not billed)</t>
        </is>
      </c>
      <c r="O1618" t="inlineStr">
        <is>
          <t>2026-10-30</t>
        </is>
      </c>
      <c r="P1618">
        <f>IF(IF(J1618="NOT AVAILABLE","",J1618)="",12,IF(OR(ISNUMBER(SEARCH("Transactional",IF(J1618="NOT AVAILABLE","",J1618))),ISNUMBER(SEARCH("Commercial",IF(J1618="NOT AVAILABLE","",J1618)))),25,IF(ISNUMBER(SEARCH("Informational",IF(J1618="NOT AVAILABLE","",J1618))),10,IF(ISNUMBER(SEARCH("Navigational",IF(J1618="NOT AVAILABLE","",J1618))),0,12))))</f>
        <v/>
      </c>
      <c r="Q1618">
        <f>IF(ISNUMBER(F1618),MIN(30,ROUND(30*LOG10(F1618+1)/4,1)),0)</f>
        <v/>
      </c>
      <c r="R1618">
        <f>IF(ISNUMBER(G1618),ROUND(25*(100-G1618)/100,1),12.5)</f>
        <v/>
      </c>
      <c r="S1618" t="n">
        <v>3</v>
      </c>
      <c r="T1618">
        <f>ROUND(P1618+Q1618+R1618+S1618,0)</f>
        <v/>
      </c>
      <c r="U1618" s="5" t="inlineStr"/>
      <c r="V1618" s="5" t="inlineStr">
        <is>
          <t>PRIMARY /web-development-company/rome</t>
        </is>
      </c>
    </row>
    <row r="1619">
      <c r="A1619" t="inlineStr">
        <is>
          <t>K1617</t>
        </is>
      </c>
      <c r="B1619" t="inlineStr">
        <is>
          <t>création site internet luxembourg</t>
        </is>
      </c>
      <c r="C1619" t="inlineStr">
        <is>
          <t>Luxembourg</t>
        </is>
      </c>
      <c r="D1619" t="inlineStr">
        <is>
          <t>lu</t>
        </is>
      </c>
      <c r="E1619" t="inlineStr">
        <is>
          <t>fr</t>
        </is>
      </c>
      <c r="F1619" t="n">
        <v>40</v>
      </c>
      <c r="G1619" t="n">
        <v>7</v>
      </c>
      <c r="H1619" t="n">
        <v>2.87</v>
      </c>
      <c r="I1619" t="n">
        <v>0.15</v>
      </c>
      <c r="J1619" t="inlineStr">
        <is>
          <t>Commercial</t>
        </is>
      </c>
      <c r="K1619" t="inlineStr">
        <is>
          <t>NOT AVAILABLE (report not requested)</t>
        </is>
      </c>
      <c r="L1619" t="inlineStr">
        <is>
          <t>declining (calc.)</t>
        </is>
      </c>
      <c r="M1619" t="inlineStr">
        <is>
          <t>MEASURED</t>
        </is>
      </c>
      <c r="N1619" s="5" t="inlineStr">
        <is>
          <t>Semrush phrase_these (live, this session)</t>
        </is>
      </c>
      <c r="O1619" t="inlineStr">
        <is>
          <t>2026-10-30</t>
        </is>
      </c>
      <c r="P1619">
        <f>IF(IF(J1619="NOT AVAILABLE","",J1619)="",12,IF(OR(ISNUMBER(SEARCH("Transactional",IF(J1619="NOT AVAILABLE","",J1619))),ISNUMBER(SEARCH("Commercial",IF(J1619="NOT AVAILABLE","",J1619)))),25,IF(ISNUMBER(SEARCH("Informational",IF(J1619="NOT AVAILABLE","",J1619))),10,IF(ISNUMBER(SEARCH("Navigational",IF(J1619="NOT AVAILABLE","",J1619))),0,12))))</f>
        <v/>
      </c>
      <c r="Q1619">
        <f>IF(ISNUMBER(F1619),MIN(30,ROUND(30*LOG10(F1619+1)/4,1)),0)</f>
        <v/>
      </c>
      <c r="R1619">
        <f>IF(ISNUMBER(G1619),ROUND(25*(100-G1619)/100,1),12.5)</f>
        <v/>
      </c>
      <c r="S1619" t="n">
        <v>10</v>
      </c>
      <c r="T1619">
        <f>ROUND(P1619+Q1619+R1619+S1619,0)</f>
        <v/>
      </c>
      <c r="U1619" s="5" t="inlineStr"/>
      <c r="V1619" s="5" t="inlineStr"/>
    </row>
    <row r="1620">
      <c r="A1620" t="inlineStr">
        <is>
          <t>K1618</t>
        </is>
      </c>
      <c r="B1620" t="inlineStr">
        <is>
          <t>agence web</t>
        </is>
      </c>
      <c r="C1620" t="inlineStr">
        <is>
          <t>Luxembourg</t>
        </is>
      </c>
      <c r="D1620" t="inlineStr">
        <is>
          <t>lu</t>
        </is>
      </c>
      <c r="E1620" t="inlineStr">
        <is>
          <t>fr</t>
        </is>
      </c>
      <c r="F1620" t="n">
        <v>30</v>
      </c>
      <c r="G1620" t="n">
        <v>44</v>
      </c>
      <c r="H1620" t="n">
        <v>2.83</v>
      </c>
      <c r="I1620" t="n">
        <v>0.36</v>
      </c>
      <c r="J1620" t="inlineStr">
        <is>
          <t>Informational</t>
        </is>
      </c>
      <c r="K1620" t="inlineStr">
        <is>
          <t>NOT AVAILABLE (report not requested)</t>
        </is>
      </c>
      <c r="L1620" t="inlineStr">
        <is>
          <t>rising (calc.)</t>
        </is>
      </c>
      <c r="M1620" t="inlineStr">
        <is>
          <t>MEASURED</t>
        </is>
      </c>
      <c r="N1620" s="5" t="inlineStr">
        <is>
          <t>Semrush phrase_these (live, this session)</t>
        </is>
      </c>
      <c r="O1620" t="inlineStr">
        <is>
          <t>2026-10-30</t>
        </is>
      </c>
      <c r="P1620">
        <f>IF(IF(J1620="NOT AVAILABLE","",J1620)="",12,IF(OR(ISNUMBER(SEARCH("Transactional",IF(J1620="NOT AVAILABLE","",J1620))),ISNUMBER(SEARCH("Commercial",IF(J1620="NOT AVAILABLE","",J1620)))),25,IF(ISNUMBER(SEARCH("Informational",IF(J1620="NOT AVAILABLE","",J1620))),10,IF(ISNUMBER(SEARCH("Navigational",IF(J1620="NOT AVAILABLE","",J1620))),0,12))))</f>
        <v/>
      </c>
      <c r="Q1620">
        <f>IF(ISNUMBER(F1620),MIN(30,ROUND(30*LOG10(F1620+1)/4,1)),0)</f>
        <v/>
      </c>
      <c r="R1620">
        <f>IF(ISNUMBER(G1620),ROUND(25*(100-G1620)/100,1),12.5)</f>
        <v/>
      </c>
      <c r="S1620" t="n">
        <v>10</v>
      </c>
      <c r="T1620">
        <f>ROUND(P1620+Q1620+R1620+S1620,0)</f>
        <v/>
      </c>
      <c r="U1620" s="5" t="inlineStr"/>
      <c r="V1620" s="5" t="inlineStr"/>
    </row>
    <row r="1621">
      <c r="A1621" t="inlineStr">
        <is>
          <t>K1619</t>
        </is>
      </c>
      <c r="B1621" t="inlineStr">
        <is>
          <t>prix création site internet</t>
        </is>
      </c>
      <c r="C1621" t="inlineStr">
        <is>
          <t>Luxembourg</t>
        </is>
      </c>
      <c r="D1621" t="inlineStr">
        <is>
          <t>lu</t>
        </is>
      </c>
      <c r="E1621" t="inlineStr">
        <is>
          <t>fr</t>
        </is>
      </c>
      <c r="F1621" t="n">
        <v>30</v>
      </c>
      <c r="G1621" t="inlineStr">
        <is>
          <t>NOT AVAILABLE</t>
        </is>
      </c>
      <c r="H1621" t="n">
        <v>0</v>
      </c>
      <c r="I1621" t="n">
        <v>0.33</v>
      </c>
      <c r="J1621" t="inlineStr">
        <is>
          <t>NOT AVAILABLE</t>
        </is>
      </c>
      <c r="K1621" t="inlineStr">
        <is>
          <t>NOT AVAILABLE (report not requested)</t>
        </is>
      </c>
      <c r="L1621" t="inlineStr">
        <is>
          <t>declining (calc.)</t>
        </is>
      </c>
      <c r="M1621" t="inlineStr">
        <is>
          <t>MEASURED</t>
        </is>
      </c>
      <c r="N1621" s="5" t="inlineStr">
        <is>
          <t>Semrush phrase_these (live, this session)</t>
        </is>
      </c>
      <c r="O1621" t="inlineStr">
        <is>
          <t>2026-10-30</t>
        </is>
      </c>
      <c r="P1621">
        <f>IF(IF(J1621="NOT AVAILABLE","",J1621)="",12,IF(OR(ISNUMBER(SEARCH("Transactional",IF(J1621="NOT AVAILABLE","",J1621))),ISNUMBER(SEARCH("Commercial",IF(J1621="NOT AVAILABLE","",J1621)))),25,IF(ISNUMBER(SEARCH("Informational",IF(J1621="NOT AVAILABLE","",J1621))),10,IF(ISNUMBER(SEARCH("Navigational",IF(J1621="NOT AVAILABLE","",J1621))),0,12))))</f>
        <v/>
      </c>
      <c r="Q1621">
        <f>IF(ISNUMBER(F1621),MIN(30,ROUND(30*LOG10(F1621+1)/4,1)),0)</f>
        <v/>
      </c>
      <c r="R1621">
        <f>IF(ISNUMBER(G1621),ROUND(25*(100-G1621)/100,1),12.5)</f>
        <v/>
      </c>
      <c r="S1621" t="n">
        <v>10</v>
      </c>
      <c r="T1621">
        <f>ROUND(P1621+Q1621+R1621+S1621,0)</f>
        <v/>
      </c>
      <c r="U1621" s="5" t="inlineStr"/>
      <c r="V1621" s="5" t="inlineStr"/>
    </row>
    <row r="1622">
      <c r="A1622" t="inlineStr">
        <is>
          <t>K1620</t>
        </is>
      </c>
      <c r="B1622" t="inlineStr">
        <is>
          <t>webdesigner</t>
        </is>
      </c>
      <c r="C1622" t="inlineStr">
        <is>
          <t>Luxembourg</t>
        </is>
      </c>
      <c r="D1622" t="inlineStr">
        <is>
          <t>lu</t>
        </is>
      </c>
      <c r="E1622" t="inlineStr">
        <is>
          <t>fr</t>
        </is>
      </c>
      <c r="F1622" t="n">
        <v>30</v>
      </c>
      <c r="G1622" t="n">
        <v>30</v>
      </c>
      <c r="H1622" t="n">
        <v>3.21</v>
      </c>
      <c r="I1622" t="n">
        <v>0.65</v>
      </c>
      <c r="J1622" t="inlineStr">
        <is>
          <t>Commercial</t>
        </is>
      </c>
      <c r="K1622" t="inlineStr">
        <is>
          <t>NOT AVAILABLE (report not requested)</t>
        </is>
      </c>
      <c r="L1622" t="inlineStr">
        <is>
          <t>declining (calc.)</t>
        </is>
      </c>
      <c r="M1622" t="inlineStr">
        <is>
          <t>MEASURED</t>
        </is>
      </c>
      <c r="N1622" s="5" t="inlineStr">
        <is>
          <t>Semrush phrase_these (live, this session)</t>
        </is>
      </c>
      <c r="O1622" t="inlineStr">
        <is>
          <t>2026-10-30</t>
        </is>
      </c>
      <c r="P1622">
        <f>IF(IF(J1622="NOT AVAILABLE","",J1622)="",12,IF(OR(ISNUMBER(SEARCH("Transactional",IF(J1622="NOT AVAILABLE","",J1622))),ISNUMBER(SEARCH("Commercial",IF(J1622="NOT AVAILABLE","",J1622)))),25,IF(ISNUMBER(SEARCH("Informational",IF(J1622="NOT AVAILABLE","",J1622))),10,IF(ISNUMBER(SEARCH("Navigational",IF(J1622="NOT AVAILABLE","",J1622))),0,12))))</f>
        <v/>
      </c>
      <c r="Q1622">
        <f>IF(ISNUMBER(F1622),MIN(30,ROUND(30*LOG10(F1622+1)/4,1)),0)</f>
        <v/>
      </c>
      <c r="R1622">
        <f>IF(ISNUMBER(G1622),ROUND(25*(100-G1622)/100,1),12.5)</f>
        <v/>
      </c>
      <c r="S1622" t="n">
        <v>10</v>
      </c>
      <c r="T1622">
        <f>ROUND(P1622+Q1622+R1622+S1622,0)</f>
        <v/>
      </c>
      <c r="U1622" s="5" t="inlineStr"/>
      <c r="V1622" s="5" t="inlineStr"/>
    </row>
    <row r="1623">
      <c r="A1623" t="inlineStr">
        <is>
          <t>K1621</t>
        </is>
      </c>
      <c r="B1623" t="inlineStr">
        <is>
          <t>agence digitale</t>
        </is>
      </c>
      <c r="C1623" t="inlineStr">
        <is>
          <t>Luxembourg</t>
        </is>
      </c>
      <c r="D1623" t="inlineStr">
        <is>
          <t>lu</t>
        </is>
      </c>
      <c r="E1623" t="inlineStr">
        <is>
          <t>fr</t>
        </is>
      </c>
      <c r="F1623" t="n">
        <v>20</v>
      </c>
      <c r="G1623" t="inlineStr">
        <is>
          <t>NOT AVAILABLE</t>
        </is>
      </c>
      <c r="H1623" t="n">
        <v>0</v>
      </c>
      <c r="I1623" t="n">
        <v>0.6899999999999999</v>
      </c>
      <c r="J1623" t="inlineStr">
        <is>
          <t>NOT AVAILABLE</t>
        </is>
      </c>
      <c r="K1623" t="inlineStr">
        <is>
          <t>NOT AVAILABLE (report not requested)</t>
        </is>
      </c>
      <c r="L1623" t="inlineStr">
        <is>
          <t>stable (calc.)</t>
        </is>
      </c>
      <c r="M1623" t="inlineStr">
        <is>
          <t>MEASURED</t>
        </is>
      </c>
      <c r="N1623" s="5" t="inlineStr">
        <is>
          <t>Semrush phrase_these (live, this session)</t>
        </is>
      </c>
      <c r="O1623" t="inlineStr">
        <is>
          <t>2026-10-30</t>
        </is>
      </c>
      <c r="P1623">
        <f>IF(IF(J1623="NOT AVAILABLE","",J1623)="",12,IF(OR(ISNUMBER(SEARCH("Transactional",IF(J1623="NOT AVAILABLE","",J1623))),ISNUMBER(SEARCH("Commercial",IF(J1623="NOT AVAILABLE","",J1623)))),25,IF(ISNUMBER(SEARCH("Informational",IF(J1623="NOT AVAILABLE","",J1623))),10,IF(ISNUMBER(SEARCH("Navigational",IF(J1623="NOT AVAILABLE","",J1623))),0,12))))</f>
        <v/>
      </c>
      <c r="Q1623">
        <f>IF(ISNUMBER(F1623),MIN(30,ROUND(30*LOG10(F1623+1)/4,1)),0)</f>
        <v/>
      </c>
      <c r="R1623">
        <f>IF(ISNUMBER(G1623),ROUND(25*(100-G1623)/100,1),12.5)</f>
        <v/>
      </c>
      <c r="S1623" t="n">
        <v>10</v>
      </c>
      <c r="T1623">
        <f>ROUND(P1623+Q1623+R1623+S1623,0)</f>
        <v/>
      </c>
      <c r="U1623" s="5" t="inlineStr"/>
      <c r="V1623" s="5" t="inlineStr"/>
    </row>
    <row r="1624">
      <c r="A1624" t="inlineStr">
        <is>
          <t>K1622</t>
        </is>
      </c>
      <c r="B1624" t="inlineStr">
        <is>
          <t>agence seo</t>
        </is>
      </c>
      <c r="C1624" t="inlineStr">
        <is>
          <t>Luxembourg</t>
        </is>
      </c>
      <c r="D1624" t="inlineStr">
        <is>
          <t>lu</t>
        </is>
      </c>
      <c r="E1624" t="inlineStr">
        <is>
          <t>fr</t>
        </is>
      </c>
      <c r="F1624" t="n">
        <v>20</v>
      </c>
      <c r="G1624" t="inlineStr">
        <is>
          <t>NOT AVAILABLE</t>
        </is>
      </c>
      <c r="H1624" t="n">
        <v>6.03</v>
      </c>
      <c r="I1624" t="n">
        <v>0.64</v>
      </c>
      <c r="J1624" t="inlineStr">
        <is>
          <t>NOT AVAILABLE</t>
        </is>
      </c>
      <c r="K1624" t="inlineStr">
        <is>
          <t>NOT AVAILABLE (report not requested)</t>
        </is>
      </c>
      <c r="L1624" t="inlineStr">
        <is>
          <t>rising (calc.)</t>
        </is>
      </c>
      <c r="M1624" t="inlineStr">
        <is>
          <t>MEASURED</t>
        </is>
      </c>
      <c r="N1624" s="5" t="inlineStr">
        <is>
          <t>Semrush phrase_these (live, this session)</t>
        </is>
      </c>
      <c r="O1624" t="inlineStr">
        <is>
          <t>2026-10-30</t>
        </is>
      </c>
      <c r="P1624">
        <f>IF(IF(J1624="NOT AVAILABLE","",J1624)="",12,IF(OR(ISNUMBER(SEARCH("Transactional",IF(J1624="NOT AVAILABLE","",J1624))),ISNUMBER(SEARCH("Commercial",IF(J1624="NOT AVAILABLE","",J1624)))),25,IF(ISNUMBER(SEARCH("Informational",IF(J1624="NOT AVAILABLE","",J1624))),10,IF(ISNUMBER(SEARCH("Navigational",IF(J1624="NOT AVAILABLE","",J1624))),0,12))))</f>
        <v/>
      </c>
      <c r="Q1624">
        <f>IF(ISNUMBER(F1624),MIN(30,ROUND(30*LOG10(F1624+1)/4,1)),0)</f>
        <v/>
      </c>
      <c r="R1624">
        <f>IF(ISNUMBER(G1624),ROUND(25*(100-G1624)/100,1),12.5)</f>
        <v/>
      </c>
      <c r="S1624" t="n">
        <v>10</v>
      </c>
      <c r="T1624">
        <f>ROUND(P1624+Q1624+R1624+S1624,0)</f>
        <v/>
      </c>
      <c r="U1624" s="5" t="inlineStr"/>
      <c r="V1624" s="5" t="inlineStr"/>
    </row>
    <row r="1625">
      <c r="A1625" t="inlineStr">
        <is>
          <t>K1623</t>
        </is>
      </c>
      <c r="B1625" t="inlineStr">
        <is>
          <t>agence web luxembourg</t>
        </is>
      </c>
      <c r="C1625" t="inlineStr">
        <is>
          <t>Luxembourg</t>
        </is>
      </c>
      <c r="D1625" t="inlineStr">
        <is>
          <t>lu</t>
        </is>
      </c>
      <c r="E1625" t="inlineStr">
        <is>
          <t>fr</t>
        </is>
      </c>
      <c r="F1625" t="n">
        <v>20</v>
      </c>
      <c r="G1625" t="inlineStr">
        <is>
          <t>NOT AVAILABLE</t>
        </is>
      </c>
      <c r="H1625" t="n">
        <v>2.66</v>
      </c>
      <c r="I1625" t="n">
        <v>0.11</v>
      </c>
      <c r="J1625" t="inlineStr">
        <is>
          <t>NOT AVAILABLE</t>
        </is>
      </c>
      <c r="K1625" t="inlineStr">
        <is>
          <t>NOT AVAILABLE (report not requested)</t>
        </is>
      </c>
      <c r="L1625" t="inlineStr">
        <is>
          <t>stable (calc.)</t>
        </is>
      </c>
      <c r="M1625" t="inlineStr">
        <is>
          <t>MEASURED</t>
        </is>
      </c>
      <c r="N1625" s="5" t="inlineStr">
        <is>
          <t>Semrush phrase_these (live, this session)</t>
        </is>
      </c>
      <c r="O1625" t="inlineStr">
        <is>
          <t>2026-10-30</t>
        </is>
      </c>
      <c r="P1625">
        <f>IF(IF(J1625="NOT AVAILABLE","",J1625)="",12,IF(OR(ISNUMBER(SEARCH("Transactional",IF(J1625="NOT AVAILABLE","",J1625))),ISNUMBER(SEARCH("Commercial",IF(J1625="NOT AVAILABLE","",J1625)))),25,IF(ISNUMBER(SEARCH("Informational",IF(J1625="NOT AVAILABLE","",J1625))),10,IF(ISNUMBER(SEARCH("Navigational",IF(J1625="NOT AVAILABLE","",J1625))),0,12))))</f>
        <v/>
      </c>
      <c r="Q1625">
        <f>IF(ISNUMBER(F1625),MIN(30,ROUND(30*LOG10(F1625+1)/4,1)),0)</f>
        <v/>
      </c>
      <c r="R1625">
        <f>IF(ISNUMBER(G1625),ROUND(25*(100-G1625)/100,1),12.5)</f>
        <v/>
      </c>
      <c r="S1625" t="n">
        <v>10</v>
      </c>
      <c r="T1625">
        <f>ROUND(P1625+Q1625+R1625+S1625,0)</f>
        <v/>
      </c>
      <c r="U1625" s="5" t="inlineStr"/>
      <c r="V1625" s="5" t="inlineStr"/>
    </row>
    <row r="1626">
      <c r="A1626" t="inlineStr">
        <is>
          <t>K1624</t>
        </is>
      </c>
      <c r="B1626" t="inlineStr">
        <is>
          <t>création site internet</t>
        </is>
      </c>
      <c r="C1626" t="inlineStr">
        <is>
          <t>Luxembourg</t>
        </is>
      </c>
      <c r="D1626" t="inlineStr">
        <is>
          <t>lu</t>
        </is>
      </c>
      <c r="E1626" t="inlineStr">
        <is>
          <t>fr</t>
        </is>
      </c>
      <c r="F1626" t="n">
        <v>20</v>
      </c>
      <c r="G1626" t="inlineStr">
        <is>
          <t>NOT AVAILABLE</t>
        </is>
      </c>
      <c r="H1626" t="n">
        <v>4.08</v>
      </c>
      <c r="I1626" t="n">
        <v>0.53</v>
      </c>
      <c r="J1626" t="inlineStr">
        <is>
          <t>NOT AVAILABLE</t>
        </is>
      </c>
      <c r="K1626" t="inlineStr">
        <is>
          <t>NOT AVAILABLE (report not requested)</t>
        </is>
      </c>
      <c r="L1626" t="inlineStr">
        <is>
          <t>declining (calc.)</t>
        </is>
      </c>
      <c r="M1626" t="inlineStr">
        <is>
          <t>MEASURED</t>
        </is>
      </c>
      <c r="N1626" s="5" t="inlineStr">
        <is>
          <t>Semrush phrase_these (live, this session)</t>
        </is>
      </c>
      <c r="O1626" t="inlineStr">
        <is>
          <t>2026-10-30</t>
        </is>
      </c>
      <c r="P1626">
        <f>IF(IF(J1626="NOT AVAILABLE","",J1626)="",12,IF(OR(ISNUMBER(SEARCH("Transactional",IF(J1626="NOT AVAILABLE","",J1626))),ISNUMBER(SEARCH("Commercial",IF(J1626="NOT AVAILABLE","",J1626)))),25,IF(ISNUMBER(SEARCH("Informational",IF(J1626="NOT AVAILABLE","",J1626))),10,IF(ISNUMBER(SEARCH("Navigational",IF(J1626="NOT AVAILABLE","",J1626))),0,12))))</f>
        <v/>
      </c>
      <c r="Q1626">
        <f>IF(ISNUMBER(F1626),MIN(30,ROUND(30*LOG10(F1626+1)/4,1)),0)</f>
        <v/>
      </c>
      <c r="R1626">
        <f>IF(ISNUMBER(G1626),ROUND(25*(100-G1626)/100,1),12.5)</f>
        <v/>
      </c>
      <c r="S1626" t="n">
        <v>10</v>
      </c>
      <c r="T1626">
        <f>ROUND(P1626+Q1626+R1626+S1626,0)</f>
        <v/>
      </c>
      <c r="U1626" s="5" t="inlineStr"/>
      <c r="V1626" s="5" t="inlineStr"/>
    </row>
    <row r="1627">
      <c r="A1627" t="inlineStr">
        <is>
          <t>K1625</t>
        </is>
      </c>
      <c r="B1627" t="inlineStr">
        <is>
          <t>création site web</t>
        </is>
      </c>
      <c r="C1627" t="inlineStr">
        <is>
          <t>Luxembourg</t>
        </is>
      </c>
      <c r="D1627" t="inlineStr">
        <is>
          <t>lu</t>
        </is>
      </c>
      <c r="E1627" t="inlineStr">
        <is>
          <t>fr</t>
        </is>
      </c>
      <c r="F1627" t="n">
        <v>20</v>
      </c>
      <c r="G1627" t="inlineStr">
        <is>
          <t>NOT AVAILABLE</t>
        </is>
      </c>
      <c r="H1627" t="n">
        <v>4.15</v>
      </c>
      <c r="I1627" t="n">
        <v>0.9</v>
      </c>
      <c r="J1627" t="inlineStr">
        <is>
          <t>NOT AVAILABLE</t>
        </is>
      </c>
      <c r="K1627" t="inlineStr">
        <is>
          <t>NOT AVAILABLE (report not requested)</t>
        </is>
      </c>
      <c r="L1627" t="inlineStr">
        <is>
          <t>declining (calc.)</t>
        </is>
      </c>
      <c r="M1627" t="inlineStr">
        <is>
          <t>MEASURED</t>
        </is>
      </c>
      <c r="N1627" s="5" t="inlineStr">
        <is>
          <t>Semrush phrase_these (live, this session)</t>
        </is>
      </c>
      <c r="O1627" t="inlineStr">
        <is>
          <t>2026-10-30</t>
        </is>
      </c>
      <c r="P1627">
        <f>IF(IF(J1627="NOT AVAILABLE","",J1627)="",12,IF(OR(ISNUMBER(SEARCH("Transactional",IF(J1627="NOT AVAILABLE","",J1627))),ISNUMBER(SEARCH("Commercial",IF(J1627="NOT AVAILABLE","",J1627)))),25,IF(ISNUMBER(SEARCH("Informational",IF(J1627="NOT AVAILABLE","",J1627))),10,IF(ISNUMBER(SEARCH("Navigational",IF(J1627="NOT AVAILABLE","",J1627))),0,12))))</f>
        <v/>
      </c>
      <c r="Q1627">
        <f>IF(ISNUMBER(F1627),MIN(30,ROUND(30*LOG10(F1627+1)/4,1)),0)</f>
        <v/>
      </c>
      <c r="R1627">
        <f>IF(ISNUMBER(G1627),ROUND(25*(100-G1627)/100,1),12.5)</f>
        <v/>
      </c>
      <c r="S1627" t="n">
        <v>10</v>
      </c>
      <c r="T1627">
        <f>ROUND(P1627+Q1627+R1627+S1627,0)</f>
        <v/>
      </c>
      <c r="U1627" s="5" t="inlineStr"/>
      <c r="V1627" s="5" t="inlineStr"/>
    </row>
    <row r="1628">
      <c r="A1628" t="inlineStr">
        <is>
          <t>K1626</t>
        </is>
      </c>
      <c r="B1628" t="inlineStr">
        <is>
          <t>création site web luxembourg</t>
        </is>
      </c>
      <c r="C1628" t="inlineStr">
        <is>
          <t>Luxembourg</t>
        </is>
      </c>
      <c r="D1628" t="inlineStr">
        <is>
          <t>lu</t>
        </is>
      </c>
      <c r="E1628" t="inlineStr">
        <is>
          <t>fr</t>
        </is>
      </c>
      <c r="F1628" t="n">
        <v>20</v>
      </c>
      <c r="G1628" t="inlineStr">
        <is>
          <t>NOT AVAILABLE</t>
        </is>
      </c>
      <c r="H1628" t="n">
        <v>2.54</v>
      </c>
      <c r="I1628" t="n">
        <v>0.9</v>
      </c>
      <c r="J1628" t="inlineStr">
        <is>
          <t>NOT AVAILABLE</t>
        </is>
      </c>
      <c r="K1628" t="inlineStr">
        <is>
          <t>NOT AVAILABLE (report not requested)</t>
        </is>
      </c>
      <c r="L1628" t="inlineStr">
        <is>
          <t>stable (calc.)</t>
        </is>
      </c>
      <c r="M1628" t="inlineStr">
        <is>
          <t>MEASURED</t>
        </is>
      </c>
      <c r="N1628" s="5" t="inlineStr">
        <is>
          <t>Semrush phrase_these (live, this session)</t>
        </is>
      </c>
      <c r="O1628" t="inlineStr">
        <is>
          <t>2026-10-30</t>
        </is>
      </c>
      <c r="P1628">
        <f>IF(IF(J1628="NOT AVAILABLE","",J1628)="",12,IF(OR(ISNUMBER(SEARCH("Transactional",IF(J1628="NOT AVAILABLE","",J1628))),ISNUMBER(SEARCH("Commercial",IF(J1628="NOT AVAILABLE","",J1628)))),25,IF(ISNUMBER(SEARCH("Informational",IF(J1628="NOT AVAILABLE","",J1628))),10,IF(ISNUMBER(SEARCH("Navigational",IF(J1628="NOT AVAILABLE","",J1628))),0,12))))</f>
        <v/>
      </c>
      <c r="Q1628">
        <f>IF(ISNUMBER(F1628),MIN(30,ROUND(30*LOG10(F1628+1)/4,1)),0)</f>
        <v/>
      </c>
      <c r="R1628">
        <f>IF(ISNUMBER(G1628),ROUND(25*(100-G1628)/100,1),12.5)</f>
        <v/>
      </c>
      <c r="S1628" t="n">
        <v>10</v>
      </c>
      <c r="T1628">
        <f>ROUND(P1628+Q1628+R1628+S1628,0)</f>
        <v/>
      </c>
      <c r="U1628" s="5" t="inlineStr"/>
      <c r="V1628" s="5" t="inlineStr"/>
    </row>
    <row r="1629">
      <c r="A1629" t="inlineStr">
        <is>
          <t>K1627</t>
        </is>
      </c>
      <c r="B1629" t="inlineStr">
        <is>
          <t>refonte site web</t>
        </is>
      </c>
      <c r="C1629" t="inlineStr">
        <is>
          <t>Luxembourg</t>
        </is>
      </c>
      <c r="D1629" t="inlineStr">
        <is>
          <t>lu</t>
        </is>
      </c>
      <c r="E1629" t="inlineStr">
        <is>
          <t>fr</t>
        </is>
      </c>
      <c r="F1629" t="n">
        <v>20</v>
      </c>
      <c r="G1629" t="inlineStr">
        <is>
          <t>NOT AVAILABLE</t>
        </is>
      </c>
      <c r="H1629" t="n">
        <v>0</v>
      </c>
      <c r="I1629" t="n">
        <v>0.86</v>
      </c>
      <c r="J1629" t="inlineStr">
        <is>
          <t>NOT AVAILABLE</t>
        </is>
      </c>
      <c r="K1629" t="inlineStr">
        <is>
          <t>NOT AVAILABLE (report not requested)</t>
        </is>
      </c>
      <c r="L1629" t="inlineStr">
        <is>
          <t>declining (calc.)</t>
        </is>
      </c>
      <c r="M1629" t="inlineStr">
        <is>
          <t>MEASURED</t>
        </is>
      </c>
      <c r="N1629" s="5" t="inlineStr">
        <is>
          <t>Semrush phrase_these (live, this session)</t>
        </is>
      </c>
      <c r="O1629" t="inlineStr">
        <is>
          <t>2026-10-30</t>
        </is>
      </c>
      <c r="P1629">
        <f>IF(IF(J1629="NOT AVAILABLE","",J1629)="",12,IF(OR(ISNUMBER(SEARCH("Transactional",IF(J1629="NOT AVAILABLE","",J1629))),ISNUMBER(SEARCH("Commercial",IF(J1629="NOT AVAILABLE","",J1629)))),25,IF(ISNUMBER(SEARCH("Informational",IF(J1629="NOT AVAILABLE","",J1629))),10,IF(ISNUMBER(SEARCH("Navigational",IF(J1629="NOT AVAILABLE","",J1629))),0,12))))</f>
        <v/>
      </c>
      <c r="Q1629">
        <f>IF(ISNUMBER(F1629),MIN(30,ROUND(30*LOG10(F1629+1)/4,1)),0)</f>
        <v/>
      </c>
      <c r="R1629">
        <f>IF(ISNUMBER(G1629),ROUND(25*(100-G1629)/100,1),12.5)</f>
        <v/>
      </c>
      <c r="S1629" t="n">
        <v>10</v>
      </c>
      <c r="T1629">
        <f>ROUND(P1629+Q1629+R1629+S1629,0)</f>
        <v/>
      </c>
      <c r="U1629" s="5" t="inlineStr"/>
      <c r="V1629" s="5" t="inlineStr"/>
    </row>
    <row r="1630">
      <c r="A1630" t="inlineStr">
        <is>
          <t>K1628</t>
        </is>
      </c>
      <c r="B1630" t="inlineStr">
        <is>
          <t>référencement naturel</t>
        </is>
      </c>
      <c r="C1630" t="inlineStr">
        <is>
          <t>Luxembourg</t>
        </is>
      </c>
      <c r="D1630" t="inlineStr">
        <is>
          <t>lu</t>
        </is>
      </c>
      <c r="E1630" t="inlineStr">
        <is>
          <t>fr</t>
        </is>
      </c>
      <c r="F1630" t="n">
        <v>20</v>
      </c>
      <c r="G1630" t="inlineStr">
        <is>
          <t>NOT AVAILABLE</t>
        </is>
      </c>
      <c r="H1630" t="n">
        <v>0</v>
      </c>
      <c r="I1630" t="n">
        <v>0</v>
      </c>
      <c r="J1630" t="inlineStr">
        <is>
          <t>NOT AVAILABLE</t>
        </is>
      </c>
      <c r="K1630" t="inlineStr">
        <is>
          <t>NOT AVAILABLE (report not requested)</t>
        </is>
      </c>
      <c r="L1630" t="inlineStr">
        <is>
          <t>declining (calc.)</t>
        </is>
      </c>
      <c r="M1630" t="inlineStr">
        <is>
          <t>MEASURED</t>
        </is>
      </c>
      <c r="N1630" s="5" t="inlineStr">
        <is>
          <t>Semrush phrase_these (live, this session)</t>
        </is>
      </c>
      <c r="O1630" t="inlineStr">
        <is>
          <t>2026-10-30</t>
        </is>
      </c>
      <c r="P1630">
        <f>IF(IF(J1630="NOT AVAILABLE","",J1630)="",12,IF(OR(ISNUMBER(SEARCH("Transactional",IF(J1630="NOT AVAILABLE","",J1630))),ISNUMBER(SEARCH("Commercial",IF(J1630="NOT AVAILABLE","",J1630)))),25,IF(ISNUMBER(SEARCH("Informational",IF(J1630="NOT AVAILABLE","",J1630))),10,IF(ISNUMBER(SEARCH("Navigational",IF(J1630="NOT AVAILABLE","",J1630))),0,12))))</f>
        <v/>
      </c>
      <c r="Q1630">
        <f>IF(ISNUMBER(F1630),MIN(30,ROUND(30*LOG10(F1630+1)/4,1)),0)</f>
        <v/>
      </c>
      <c r="R1630">
        <f>IF(ISNUMBER(G1630),ROUND(25*(100-G1630)/100,1),12.5)</f>
        <v/>
      </c>
      <c r="S1630" t="n">
        <v>10</v>
      </c>
      <c r="T1630">
        <f>ROUND(P1630+Q1630+R1630+S1630,0)</f>
        <v/>
      </c>
      <c r="U1630" s="5" t="inlineStr"/>
      <c r="V1630" s="5" t="inlineStr"/>
    </row>
    <row r="1631">
      <c r="A1631" t="inlineStr">
        <is>
          <t>K1629</t>
        </is>
      </c>
      <c r="B1631" t="inlineStr">
        <is>
          <t>site internet professionnel</t>
        </is>
      </c>
      <c r="C1631" t="inlineStr">
        <is>
          <t>Luxembourg</t>
        </is>
      </c>
      <c r="D1631" t="inlineStr">
        <is>
          <t>lu</t>
        </is>
      </c>
      <c r="E1631" t="inlineStr">
        <is>
          <t>fr</t>
        </is>
      </c>
      <c r="F1631" t="n">
        <v>20</v>
      </c>
      <c r="G1631" t="inlineStr">
        <is>
          <t>NOT AVAILABLE</t>
        </is>
      </c>
      <c r="H1631" t="n">
        <v>0</v>
      </c>
      <c r="I1631" t="n">
        <v>0.86</v>
      </c>
      <c r="J1631" t="inlineStr">
        <is>
          <t>NOT AVAILABLE</t>
        </is>
      </c>
      <c r="K1631" t="inlineStr">
        <is>
          <t>NOT AVAILABLE (report not requested)</t>
        </is>
      </c>
      <c r="L1631" t="inlineStr">
        <is>
          <t>declining (calc.)</t>
        </is>
      </c>
      <c r="M1631" t="inlineStr">
        <is>
          <t>MEASURED</t>
        </is>
      </c>
      <c r="N1631" s="5" t="inlineStr">
        <is>
          <t>Semrush phrase_these (live, this session)</t>
        </is>
      </c>
      <c r="O1631" t="inlineStr">
        <is>
          <t>2026-10-30</t>
        </is>
      </c>
      <c r="P1631">
        <f>IF(IF(J1631="NOT AVAILABLE","",J1631)="",12,IF(OR(ISNUMBER(SEARCH("Transactional",IF(J1631="NOT AVAILABLE","",J1631))),ISNUMBER(SEARCH("Commercial",IF(J1631="NOT AVAILABLE","",J1631)))),25,IF(ISNUMBER(SEARCH("Informational",IF(J1631="NOT AVAILABLE","",J1631))),10,IF(ISNUMBER(SEARCH("Navigational",IF(J1631="NOT AVAILABLE","",J1631))),0,12))))</f>
        <v/>
      </c>
      <c r="Q1631">
        <f>IF(ISNUMBER(F1631),MIN(30,ROUND(30*LOG10(F1631+1)/4,1)),0)</f>
        <v/>
      </c>
      <c r="R1631">
        <f>IF(ISNUMBER(G1631),ROUND(25*(100-G1631)/100,1),12.5)</f>
        <v/>
      </c>
      <c r="S1631" t="n">
        <v>10</v>
      </c>
      <c r="T1631">
        <f>ROUND(P1631+Q1631+R1631+S1631,0)</f>
        <v/>
      </c>
      <c r="U1631" s="5" t="inlineStr"/>
      <c r="V1631" s="5" t="inlineStr"/>
    </row>
    <row r="1632">
      <c r="A1632" t="inlineStr">
        <is>
          <t>K1630</t>
        </is>
      </c>
      <c r="B1632" t="inlineStr">
        <is>
          <t>création site vitrine</t>
        </is>
      </c>
      <c r="C1632" t="inlineStr">
        <is>
          <t>Luxembourg</t>
        </is>
      </c>
      <c r="D1632" t="inlineStr">
        <is>
          <t>lu</t>
        </is>
      </c>
      <c r="E1632" t="inlineStr">
        <is>
          <t>fr</t>
        </is>
      </c>
      <c r="F1632" t="n">
        <v>10</v>
      </c>
      <c r="G1632" t="inlineStr">
        <is>
          <t>NOT AVAILABLE</t>
        </is>
      </c>
      <c r="H1632" t="n">
        <v>0</v>
      </c>
      <c r="I1632" t="n">
        <v>1</v>
      </c>
      <c r="J1632" t="inlineStr">
        <is>
          <t>NOT AVAILABLE</t>
        </is>
      </c>
      <c r="K1632" t="inlineStr">
        <is>
          <t>NOT AVAILABLE (report not requested)</t>
        </is>
      </c>
      <c r="L1632" t="inlineStr">
        <is>
          <t>rising (calc.)</t>
        </is>
      </c>
      <c r="M1632" t="inlineStr">
        <is>
          <t>MEASURED</t>
        </is>
      </c>
      <c r="N1632" s="5" t="inlineStr">
        <is>
          <t>Semrush phrase_these (live, this session)</t>
        </is>
      </c>
      <c r="O1632" t="inlineStr">
        <is>
          <t>2026-10-30</t>
        </is>
      </c>
      <c r="P1632">
        <f>IF(IF(J1632="NOT AVAILABLE","",J1632)="",12,IF(OR(ISNUMBER(SEARCH("Transactional",IF(J1632="NOT AVAILABLE","",J1632))),ISNUMBER(SEARCH("Commercial",IF(J1632="NOT AVAILABLE","",J1632)))),25,IF(ISNUMBER(SEARCH("Informational",IF(J1632="NOT AVAILABLE","",J1632))),10,IF(ISNUMBER(SEARCH("Navigational",IF(J1632="NOT AVAILABLE","",J1632))),0,12))))</f>
        <v/>
      </c>
      <c r="Q1632">
        <f>IF(ISNUMBER(F1632),MIN(30,ROUND(30*LOG10(F1632+1)/4,1)),0)</f>
        <v/>
      </c>
      <c r="R1632">
        <f>IF(ISNUMBER(G1632),ROUND(25*(100-G1632)/100,1),12.5)</f>
        <v/>
      </c>
      <c r="S1632" t="n">
        <v>10</v>
      </c>
      <c r="T1632">
        <f>ROUND(P1632+Q1632+R1632+S1632,0)</f>
        <v/>
      </c>
      <c r="U1632" s="5" t="inlineStr"/>
      <c r="V1632" s="5" t="inlineStr"/>
    </row>
    <row r="1633">
      <c r="A1633" t="inlineStr">
        <is>
          <t>K1631</t>
        </is>
      </c>
      <c r="B1633" t="inlineStr">
        <is>
          <t>développement logiciel sur mesure</t>
        </is>
      </c>
      <c r="C1633" t="inlineStr">
        <is>
          <t>Luxembourg</t>
        </is>
      </c>
      <c r="D1633" t="inlineStr">
        <is>
          <t>lu</t>
        </is>
      </c>
      <c r="E1633" t="inlineStr">
        <is>
          <t>fr</t>
        </is>
      </c>
      <c r="F1633" t="n">
        <v>10</v>
      </c>
      <c r="G1633" t="inlineStr">
        <is>
          <t>NOT AVAILABLE</t>
        </is>
      </c>
      <c r="H1633" t="n">
        <v>0</v>
      </c>
      <c r="I1633" t="n">
        <v>0</v>
      </c>
      <c r="J1633" t="inlineStr">
        <is>
          <t>NOT AVAILABLE</t>
        </is>
      </c>
      <c r="K1633" t="inlineStr">
        <is>
          <t>NOT AVAILABLE (report not requested)</t>
        </is>
      </c>
      <c r="L1633" t="inlineStr">
        <is>
          <t>declining (calc.)</t>
        </is>
      </c>
      <c r="M1633" t="inlineStr">
        <is>
          <t>MEASURED</t>
        </is>
      </c>
      <c r="N1633" s="5" t="inlineStr">
        <is>
          <t>Semrush phrase_these (live, this session)</t>
        </is>
      </c>
      <c r="O1633" t="inlineStr">
        <is>
          <t>2026-10-30</t>
        </is>
      </c>
      <c r="P1633">
        <f>IF(IF(J1633="NOT AVAILABLE","",J1633)="",12,IF(OR(ISNUMBER(SEARCH("Transactional",IF(J1633="NOT AVAILABLE","",J1633))),ISNUMBER(SEARCH("Commercial",IF(J1633="NOT AVAILABLE","",J1633)))),25,IF(ISNUMBER(SEARCH("Informational",IF(J1633="NOT AVAILABLE","",J1633))),10,IF(ISNUMBER(SEARCH("Navigational",IF(J1633="NOT AVAILABLE","",J1633))),0,12))))</f>
        <v/>
      </c>
      <c r="Q1633">
        <f>IF(ISNUMBER(F1633),MIN(30,ROUND(30*LOG10(F1633+1)/4,1)),0)</f>
        <v/>
      </c>
      <c r="R1633">
        <f>IF(ISNUMBER(G1633),ROUND(25*(100-G1633)/100,1),12.5)</f>
        <v/>
      </c>
      <c r="S1633" t="n">
        <v>10</v>
      </c>
      <c r="T1633">
        <f>ROUND(P1633+Q1633+R1633+S1633,0)</f>
        <v/>
      </c>
      <c r="U1633" s="5" t="inlineStr"/>
      <c r="V1633" s="5" t="inlineStr"/>
    </row>
    <row r="1634">
      <c r="A1634" t="inlineStr">
        <is>
          <t>K1632</t>
        </is>
      </c>
      <c r="B1634" t="inlineStr">
        <is>
          <t>développeur web freelance</t>
        </is>
      </c>
      <c r="C1634" t="inlineStr">
        <is>
          <t>Luxembourg</t>
        </is>
      </c>
      <c r="D1634" t="inlineStr">
        <is>
          <t>lu</t>
        </is>
      </c>
      <c r="E1634" t="inlineStr">
        <is>
          <t>fr</t>
        </is>
      </c>
      <c r="F1634" t="n">
        <v>10</v>
      </c>
      <c r="G1634" t="inlineStr">
        <is>
          <t>NOT AVAILABLE</t>
        </is>
      </c>
      <c r="H1634" t="n">
        <v>0</v>
      </c>
      <c r="I1634" t="n">
        <v>1</v>
      </c>
      <c r="J1634" t="inlineStr">
        <is>
          <t>NOT AVAILABLE</t>
        </is>
      </c>
      <c r="K1634" t="inlineStr">
        <is>
          <t>NOT AVAILABLE (report not requested)</t>
        </is>
      </c>
      <c r="L1634" t="inlineStr">
        <is>
          <t>rising (calc.)</t>
        </is>
      </c>
      <c r="M1634" t="inlineStr">
        <is>
          <t>MEASURED</t>
        </is>
      </c>
      <c r="N1634" s="5" t="inlineStr">
        <is>
          <t>Semrush phrase_these (live, this session)</t>
        </is>
      </c>
      <c r="O1634" t="inlineStr">
        <is>
          <t>2026-10-30</t>
        </is>
      </c>
      <c r="P1634">
        <f>IF(IF(J1634="NOT AVAILABLE","",J1634)="",12,IF(OR(ISNUMBER(SEARCH("Transactional",IF(J1634="NOT AVAILABLE","",J1634))),ISNUMBER(SEARCH("Commercial",IF(J1634="NOT AVAILABLE","",J1634)))),25,IF(ISNUMBER(SEARCH("Informational",IF(J1634="NOT AVAILABLE","",J1634))),10,IF(ISNUMBER(SEARCH("Navigational",IF(J1634="NOT AVAILABLE","",J1634))),0,12))))</f>
        <v/>
      </c>
      <c r="Q1634">
        <f>IF(ISNUMBER(F1634),MIN(30,ROUND(30*LOG10(F1634+1)/4,1)),0)</f>
        <v/>
      </c>
      <c r="R1634">
        <f>IF(ISNUMBER(G1634),ROUND(25*(100-G1634)/100,1),12.5)</f>
        <v/>
      </c>
      <c r="S1634" t="n">
        <v>10</v>
      </c>
      <c r="T1634">
        <f>ROUND(P1634+Q1634+R1634+S1634,0)</f>
        <v/>
      </c>
      <c r="U1634" s="5" t="inlineStr"/>
      <c r="V1634" s="5" t="inlineStr"/>
    </row>
    <row r="1635">
      <c r="A1635" t="inlineStr">
        <is>
          <t>K1633</t>
        </is>
      </c>
      <c r="B1635" t="inlineStr">
        <is>
          <t>agence de développement web</t>
        </is>
      </c>
      <c r="C1635" t="inlineStr">
        <is>
          <t>Luxembourg</t>
        </is>
      </c>
      <c r="D1635" t="inlineStr">
        <is>
          <t>lu</t>
        </is>
      </c>
      <c r="E1635" t="inlineStr">
        <is>
          <t>fr</t>
        </is>
      </c>
      <c r="F1635" t="inlineStr">
        <is>
          <t>NOT AVAILABLE</t>
        </is>
      </c>
      <c r="G1635" t="inlineStr">
        <is>
          <t>NOT AVAILABLE</t>
        </is>
      </c>
      <c r="H1635" t="inlineStr">
        <is>
          <t>NOT AVAILABLE</t>
        </is>
      </c>
      <c r="I1635" t="inlineStr">
        <is>
          <t>NOT AVAILABLE</t>
        </is>
      </c>
      <c r="J1635" t="inlineStr">
        <is>
          <t>NOT AVAILABLE</t>
        </is>
      </c>
      <c r="K1635" t="inlineStr">
        <is>
          <t>NOT AVAILABLE</t>
        </is>
      </c>
      <c r="L1635" t="inlineStr">
        <is>
          <t>NOT AVAILABLE</t>
        </is>
      </c>
      <c r="M1635" t="inlineStr">
        <is>
          <t>UNAVAILABLE</t>
        </is>
      </c>
      <c r="N1635" s="5" t="inlineStr">
        <is>
          <t>Semrush phrase_these returned no data (not billed)</t>
        </is>
      </c>
      <c r="O1635" t="inlineStr">
        <is>
          <t>2026-10-30</t>
        </is>
      </c>
      <c r="P1635">
        <f>IF(IF(J1635="NOT AVAILABLE","",J1635)="",12,IF(OR(ISNUMBER(SEARCH("Transactional",IF(J1635="NOT AVAILABLE","",J1635))),ISNUMBER(SEARCH("Commercial",IF(J1635="NOT AVAILABLE","",J1635)))),25,IF(ISNUMBER(SEARCH("Informational",IF(J1635="NOT AVAILABLE","",J1635))),10,IF(ISNUMBER(SEARCH("Navigational",IF(J1635="NOT AVAILABLE","",J1635))),0,12))))</f>
        <v/>
      </c>
      <c r="Q1635">
        <f>IF(ISNUMBER(F1635),MIN(30,ROUND(30*LOG10(F1635+1)/4,1)),0)</f>
        <v/>
      </c>
      <c r="R1635">
        <f>IF(ISNUMBER(G1635),ROUND(25*(100-G1635)/100,1),12.5)</f>
        <v/>
      </c>
      <c r="S1635" t="n">
        <v>10</v>
      </c>
      <c r="T1635">
        <f>ROUND(P1635+Q1635+R1635+S1635,0)</f>
        <v/>
      </c>
      <c r="U1635" s="5" t="inlineStr"/>
      <c r="V1635" s="5" t="inlineStr"/>
    </row>
    <row r="1636">
      <c r="A1636" t="inlineStr">
        <is>
          <t>K1634</t>
        </is>
      </c>
      <c r="B1636" t="inlineStr">
        <is>
          <t>agence web maroc</t>
        </is>
      </c>
      <c r="C1636" t="inlineStr">
        <is>
          <t>Luxembourg</t>
        </is>
      </c>
      <c r="D1636" t="inlineStr">
        <is>
          <t>lu</t>
        </is>
      </c>
      <c r="E1636" t="inlineStr">
        <is>
          <t>fr</t>
        </is>
      </c>
      <c r="F1636" t="inlineStr">
        <is>
          <t>NOT AVAILABLE</t>
        </is>
      </c>
      <c r="G1636" t="inlineStr">
        <is>
          <t>NOT AVAILABLE</t>
        </is>
      </c>
      <c r="H1636" t="inlineStr">
        <is>
          <t>NOT AVAILABLE</t>
        </is>
      </c>
      <c r="I1636" t="inlineStr">
        <is>
          <t>NOT AVAILABLE</t>
        </is>
      </c>
      <c r="J1636" t="inlineStr">
        <is>
          <t>NOT AVAILABLE</t>
        </is>
      </c>
      <c r="K1636" t="inlineStr">
        <is>
          <t>NOT AVAILABLE</t>
        </is>
      </c>
      <c r="L1636" t="inlineStr">
        <is>
          <t>NOT AVAILABLE</t>
        </is>
      </c>
      <c r="M1636" t="inlineStr">
        <is>
          <t>UNAVAILABLE</t>
        </is>
      </c>
      <c r="N1636" s="5" t="inlineStr">
        <is>
          <t>Semrush phrase_these returned no data (not billed)</t>
        </is>
      </c>
      <c r="O1636" t="inlineStr">
        <is>
          <t>2026-10-30</t>
        </is>
      </c>
      <c r="P1636">
        <f>IF(IF(J1636="NOT AVAILABLE","",J1636)="",12,IF(OR(ISNUMBER(SEARCH("Transactional",IF(J1636="NOT AVAILABLE","",J1636))),ISNUMBER(SEARCH("Commercial",IF(J1636="NOT AVAILABLE","",J1636)))),25,IF(ISNUMBER(SEARCH("Informational",IF(J1636="NOT AVAILABLE","",J1636))),10,IF(ISNUMBER(SEARCH("Navigational",IF(J1636="NOT AVAILABLE","",J1636))),0,12))))</f>
        <v/>
      </c>
      <c r="Q1636">
        <f>IF(ISNUMBER(F1636),MIN(30,ROUND(30*LOG10(F1636+1)/4,1)),0)</f>
        <v/>
      </c>
      <c r="R1636">
        <f>IF(ISNUMBER(G1636),ROUND(25*(100-G1636)/100,1),12.5)</f>
        <v/>
      </c>
      <c r="S1636" t="n">
        <v>10</v>
      </c>
      <c r="T1636">
        <f>ROUND(P1636+Q1636+R1636+S1636,0)</f>
        <v/>
      </c>
      <c r="U1636" s="5" t="inlineStr"/>
      <c r="V1636" s="5" t="inlineStr"/>
    </row>
    <row r="1637">
      <c r="A1637" t="inlineStr">
        <is>
          <t>K1635</t>
        </is>
      </c>
      <c r="B1637" t="inlineStr">
        <is>
          <t>agence web nearshore</t>
        </is>
      </c>
      <c r="C1637" t="inlineStr">
        <is>
          <t>Luxembourg</t>
        </is>
      </c>
      <c r="D1637" t="inlineStr">
        <is>
          <t>lu</t>
        </is>
      </c>
      <c r="E1637" t="inlineStr">
        <is>
          <t>fr</t>
        </is>
      </c>
      <c r="F1637" t="inlineStr">
        <is>
          <t>NOT AVAILABLE</t>
        </is>
      </c>
      <c r="G1637" t="inlineStr">
        <is>
          <t>NOT AVAILABLE</t>
        </is>
      </c>
      <c r="H1637" t="inlineStr">
        <is>
          <t>NOT AVAILABLE</t>
        </is>
      </c>
      <c r="I1637" t="inlineStr">
        <is>
          <t>NOT AVAILABLE</t>
        </is>
      </c>
      <c r="J1637" t="inlineStr">
        <is>
          <t>NOT AVAILABLE</t>
        </is>
      </c>
      <c r="K1637" t="inlineStr">
        <is>
          <t>NOT AVAILABLE</t>
        </is>
      </c>
      <c r="L1637" t="inlineStr">
        <is>
          <t>NOT AVAILABLE</t>
        </is>
      </c>
      <c r="M1637" t="inlineStr">
        <is>
          <t>UNAVAILABLE</t>
        </is>
      </c>
      <c r="N1637" s="5" t="inlineStr">
        <is>
          <t>Semrush phrase_these returned no data (not billed)</t>
        </is>
      </c>
      <c r="O1637" t="inlineStr">
        <is>
          <t>2026-10-30</t>
        </is>
      </c>
      <c r="P1637">
        <f>IF(IF(J1637="NOT AVAILABLE","",J1637)="",12,IF(OR(ISNUMBER(SEARCH("Transactional",IF(J1637="NOT AVAILABLE","",J1637))),ISNUMBER(SEARCH("Commercial",IF(J1637="NOT AVAILABLE","",J1637)))),25,IF(ISNUMBER(SEARCH("Informational",IF(J1637="NOT AVAILABLE","",J1637))),10,IF(ISNUMBER(SEARCH("Navigational",IF(J1637="NOT AVAILABLE","",J1637))),0,12))))</f>
        <v/>
      </c>
      <c r="Q1637">
        <f>IF(ISNUMBER(F1637),MIN(30,ROUND(30*LOG10(F1637+1)/4,1)),0)</f>
        <v/>
      </c>
      <c r="R1637">
        <f>IF(ISNUMBER(G1637),ROUND(25*(100-G1637)/100,1),12.5)</f>
        <v/>
      </c>
      <c r="S1637" t="n">
        <v>10</v>
      </c>
      <c r="T1637">
        <f>ROUND(P1637+Q1637+R1637+S1637,0)</f>
        <v/>
      </c>
      <c r="U1637" s="5" t="inlineStr"/>
      <c r="V1637" s="5" t="inlineStr"/>
    </row>
    <row r="1638">
      <c r="A1638" t="inlineStr">
        <is>
          <t>K1636</t>
        </is>
      </c>
      <c r="B1638" t="inlineStr">
        <is>
          <t>agence web offshore</t>
        </is>
      </c>
      <c r="C1638" t="inlineStr">
        <is>
          <t>Luxembourg</t>
        </is>
      </c>
      <c r="D1638" t="inlineStr">
        <is>
          <t>lu</t>
        </is>
      </c>
      <c r="E1638" t="inlineStr">
        <is>
          <t>fr</t>
        </is>
      </c>
      <c r="F1638" t="inlineStr">
        <is>
          <t>NOT AVAILABLE</t>
        </is>
      </c>
      <c r="G1638" t="inlineStr">
        <is>
          <t>NOT AVAILABLE</t>
        </is>
      </c>
      <c r="H1638" t="inlineStr">
        <is>
          <t>NOT AVAILABLE</t>
        </is>
      </c>
      <c r="I1638" t="inlineStr">
        <is>
          <t>NOT AVAILABLE</t>
        </is>
      </c>
      <c r="J1638" t="inlineStr">
        <is>
          <t>NOT AVAILABLE</t>
        </is>
      </c>
      <c r="K1638" t="inlineStr">
        <is>
          <t>NOT AVAILABLE</t>
        </is>
      </c>
      <c r="L1638" t="inlineStr">
        <is>
          <t>NOT AVAILABLE</t>
        </is>
      </c>
      <c r="M1638" t="inlineStr">
        <is>
          <t>UNAVAILABLE</t>
        </is>
      </c>
      <c r="N1638" s="5" t="inlineStr">
        <is>
          <t>Semrush phrase_these returned no data (not billed)</t>
        </is>
      </c>
      <c r="O1638" t="inlineStr">
        <is>
          <t>2026-10-30</t>
        </is>
      </c>
      <c r="P1638">
        <f>IF(IF(J1638="NOT AVAILABLE","",J1638)="",12,IF(OR(ISNUMBER(SEARCH("Transactional",IF(J1638="NOT AVAILABLE","",J1638))),ISNUMBER(SEARCH("Commercial",IF(J1638="NOT AVAILABLE","",J1638)))),25,IF(ISNUMBER(SEARCH("Informational",IF(J1638="NOT AVAILABLE","",J1638))),10,IF(ISNUMBER(SEARCH("Navigational",IF(J1638="NOT AVAILABLE","",J1638))),0,12))))</f>
        <v/>
      </c>
      <c r="Q1638">
        <f>IF(ISNUMBER(F1638),MIN(30,ROUND(30*LOG10(F1638+1)/4,1)),0)</f>
        <v/>
      </c>
      <c r="R1638">
        <f>IF(ISNUMBER(G1638),ROUND(25*(100-G1638)/100,1),12.5)</f>
        <v/>
      </c>
      <c r="S1638" t="n">
        <v>10</v>
      </c>
      <c r="T1638">
        <f>ROUND(P1638+Q1638+R1638+S1638,0)</f>
        <v/>
      </c>
      <c r="U1638" s="5" t="inlineStr"/>
      <c r="V1638" s="5" t="inlineStr"/>
    </row>
    <row r="1639">
      <c r="A1639" t="inlineStr">
        <is>
          <t>K1637</t>
        </is>
      </c>
      <c r="B1639" t="inlineStr">
        <is>
          <t>agence web pas cher</t>
        </is>
      </c>
      <c r="C1639" t="inlineStr">
        <is>
          <t>Luxembourg</t>
        </is>
      </c>
      <c r="D1639" t="inlineStr">
        <is>
          <t>lu</t>
        </is>
      </c>
      <c r="E1639" t="inlineStr">
        <is>
          <t>fr</t>
        </is>
      </c>
      <c r="F1639" t="inlineStr">
        <is>
          <t>NOT AVAILABLE</t>
        </is>
      </c>
      <c r="G1639" t="inlineStr">
        <is>
          <t>NOT AVAILABLE</t>
        </is>
      </c>
      <c r="H1639" t="inlineStr">
        <is>
          <t>NOT AVAILABLE</t>
        </is>
      </c>
      <c r="I1639" t="inlineStr">
        <is>
          <t>NOT AVAILABLE</t>
        </is>
      </c>
      <c r="J1639" t="inlineStr">
        <is>
          <t>NOT AVAILABLE</t>
        </is>
      </c>
      <c r="K1639" t="inlineStr">
        <is>
          <t>NOT AVAILABLE</t>
        </is>
      </c>
      <c r="L1639" t="inlineStr">
        <is>
          <t>NOT AVAILABLE</t>
        </is>
      </c>
      <c r="M1639" t="inlineStr">
        <is>
          <t>UNAVAILABLE</t>
        </is>
      </c>
      <c r="N1639" s="5" t="inlineStr">
        <is>
          <t>Semrush phrase_these returned no data (not billed)</t>
        </is>
      </c>
      <c r="O1639" t="inlineStr">
        <is>
          <t>2026-10-30</t>
        </is>
      </c>
      <c r="P1639">
        <f>IF(IF(J1639="NOT AVAILABLE","",J1639)="",12,IF(OR(ISNUMBER(SEARCH("Transactional",IF(J1639="NOT AVAILABLE","",J1639))),ISNUMBER(SEARCH("Commercial",IF(J1639="NOT AVAILABLE","",J1639)))),25,IF(ISNUMBER(SEARCH("Informational",IF(J1639="NOT AVAILABLE","",J1639))),10,IF(ISNUMBER(SEARCH("Navigational",IF(J1639="NOT AVAILABLE","",J1639))),0,12))))</f>
        <v/>
      </c>
      <c r="Q1639">
        <f>IF(ISNUMBER(F1639),MIN(30,ROUND(30*LOG10(F1639+1)/4,1)),0)</f>
        <v/>
      </c>
      <c r="R1639">
        <f>IF(ISNUMBER(G1639),ROUND(25*(100-G1639)/100,1),12.5)</f>
        <v/>
      </c>
      <c r="S1639" t="n">
        <v>10</v>
      </c>
      <c r="T1639">
        <f>ROUND(P1639+Q1639+R1639+S1639,0)</f>
        <v/>
      </c>
      <c r="U1639" s="5" t="inlineStr"/>
      <c r="V1639" s="5" t="inlineStr"/>
    </row>
    <row r="1640">
      <c r="A1640" t="inlineStr">
        <is>
          <t>K1638</t>
        </is>
      </c>
      <c r="B1640" t="inlineStr">
        <is>
          <t>conception site web</t>
        </is>
      </c>
      <c r="C1640" t="inlineStr">
        <is>
          <t>Luxembourg</t>
        </is>
      </c>
      <c r="D1640" t="inlineStr">
        <is>
          <t>lu</t>
        </is>
      </c>
      <c r="E1640" t="inlineStr">
        <is>
          <t>fr</t>
        </is>
      </c>
      <c r="F1640" t="n">
        <v>0</v>
      </c>
      <c r="G1640" t="inlineStr">
        <is>
          <t>NOT AVAILABLE</t>
        </is>
      </c>
      <c r="H1640" t="n">
        <v>0</v>
      </c>
      <c r="I1640" t="n">
        <v>0</v>
      </c>
      <c r="J1640" t="inlineStr">
        <is>
          <t>NOT AVAILABLE</t>
        </is>
      </c>
      <c r="K1640" t="inlineStr">
        <is>
          <t>NOT AVAILABLE (report not requested)</t>
        </is>
      </c>
      <c r="L1640" t="inlineStr">
        <is>
          <t>flat (no data)</t>
        </is>
      </c>
      <c r="M1640" t="inlineStr">
        <is>
          <t>MEASURED</t>
        </is>
      </c>
      <c r="N1640" s="5" t="inlineStr">
        <is>
          <t>Semrush phrase_these (live, this session)</t>
        </is>
      </c>
      <c r="O1640" t="inlineStr">
        <is>
          <t>2026-10-30</t>
        </is>
      </c>
      <c r="P1640">
        <f>IF(IF(J1640="NOT AVAILABLE","",J1640)="",12,IF(OR(ISNUMBER(SEARCH("Transactional",IF(J1640="NOT AVAILABLE","",J1640))),ISNUMBER(SEARCH("Commercial",IF(J1640="NOT AVAILABLE","",J1640)))),25,IF(ISNUMBER(SEARCH("Informational",IF(J1640="NOT AVAILABLE","",J1640))),10,IF(ISNUMBER(SEARCH("Navigational",IF(J1640="NOT AVAILABLE","",J1640))),0,12))))</f>
        <v/>
      </c>
      <c r="Q1640">
        <f>IF(ISNUMBER(F1640),MIN(30,ROUND(30*LOG10(F1640+1)/4,1)),0)</f>
        <v/>
      </c>
      <c r="R1640">
        <f>IF(ISNUMBER(G1640),ROUND(25*(100-G1640)/100,1),12.5)</f>
        <v/>
      </c>
      <c r="S1640" t="n">
        <v>10</v>
      </c>
      <c r="T1640">
        <f>ROUND(P1640+Q1640+R1640+S1640,0)</f>
        <v/>
      </c>
      <c r="U1640" s="5" t="inlineStr"/>
      <c r="V1640" s="5" t="inlineStr"/>
    </row>
    <row r="1641">
      <c r="A1641" t="inlineStr">
        <is>
          <t>K1639</t>
        </is>
      </c>
      <c r="B1641" t="inlineStr">
        <is>
          <t>création application web</t>
        </is>
      </c>
      <c r="C1641" t="inlineStr">
        <is>
          <t>Luxembourg</t>
        </is>
      </c>
      <c r="D1641" t="inlineStr">
        <is>
          <t>lu</t>
        </is>
      </c>
      <c r="E1641" t="inlineStr">
        <is>
          <t>fr</t>
        </is>
      </c>
      <c r="F1641" t="n">
        <v>0</v>
      </c>
      <c r="G1641" t="inlineStr">
        <is>
          <t>NOT AVAILABLE</t>
        </is>
      </c>
      <c r="H1641" t="n">
        <v>0</v>
      </c>
      <c r="I1641" t="n">
        <v>0</v>
      </c>
      <c r="J1641" t="inlineStr">
        <is>
          <t>NOT AVAILABLE</t>
        </is>
      </c>
      <c r="K1641" t="inlineStr">
        <is>
          <t>NOT AVAILABLE (report not requested)</t>
        </is>
      </c>
      <c r="L1641" t="inlineStr">
        <is>
          <t>flat (no data)</t>
        </is>
      </c>
      <c r="M1641" t="inlineStr">
        <is>
          <t>MEASURED</t>
        </is>
      </c>
      <c r="N1641" s="5" t="inlineStr">
        <is>
          <t>Semrush phrase_these (live, this session)</t>
        </is>
      </c>
      <c r="O1641" t="inlineStr">
        <is>
          <t>2026-10-30</t>
        </is>
      </c>
      <c r="P1641">
        <f>IF(IF(J1641="NOT AVAILABLE","",J1641)="",12,IF(OR(ISNUMBER(SEARCH("Transactional",IF(J1641="NOT AVAILABLE","",J1641))),ISNUMBER(SEARCH("Commercial",IF(J1641="NOT AVAILABLE","",J1641)))),25,IF(ISNUMBER(SEARCH("Informational",IF(J1641="NOT AVAILABLE","",J1641))),10,IF(ISNUMBER(SEARCH("Navigational",IF(J1641="NOT AVAILABLE","",J1641))),0,12))))</f>
        <v/>
      </c>
      <c r="Q1641">
        <f>IF(ISNUMBER(F1641),MIN(30,ROUND(30*LOG10(F1641+1)/4,1)),0)</f>
        <v/>
      </c>
      <c r="R1641">
        <f>IF(ISNUMBER(G1641),ROUND(25*(100-G1641)/100,1),12.5)</f>
        <v/>
      </c>
      <c r="S1641" t="n">
        <v>10</v>
      </c>
      <c r="T1641">
        <f>ROUND(P1641+Q1641+R1641+S1641,0)</f>
        <v/>
      </c>
      <c r="U1641" s="5" t="inlineStr"/>
      <c r="V1641" s="5" t="inlineStr"/>
    </row>
    <row r="1642">
      <c r="A1642" t="inlineStr">
        <is>
          <t>K1640</t>
        </is>
      </c>
      <c r="B1642" t="inlineStr">
        <is>
          <t>création boutique en ligne</t>
        </is>
      </c>
      <c r="C1642" t="inlineStr">
        <is>
          <t>Luxembourg</t>
        </is>
      </c>
      <c r="D1642" t="inlineStr">
        <is>
          <t>lu</t>
        </is>
      </c>
      <c r="E1642" t="inlineStr">
        <is>
          <t>fr</t>
        </is>
      </c>
      <c r="F1642" t="inlineStr">
        <is>
          <t>NOT AVAILABLE</t>
        </is>
      </c>
      <c r="G1642" t="inlineStr">
        <is>
          <t>NOT AVAILABLE</t>
        </is>
      </c>
      <c r="H1642" t="inlineStr">
        <is>
          <t>NOT AVAILABLE</t>
        </is>
      </c>
      <c r="I1642" t="inlineStr">
        <is>
          <t>NOT AVAILABLE</t>
        </is>
      </c>
      <c r="J1642" t="inlineStr">
        <is>
          <t>NOT AVAILABLE</t>
        </is>
      </c>
      <c r="K1642" t="inlineStr">
        <is>
          <t>NOT AVAILABLE</t>
        </is>
      </c>
      <c r="L1642" t="inlineStr">
        <is>
          <t>NOT AVAILABLE</t>
        </is>
      </c>
      <c r="M1642" t="inlineStr">
        <is>
          <t>UNAVAILABLE</t>
        </is>
      </c>
      <c r="N1642" s="5" t="inlineStr">
        <is>
          <t>Semrush phrase_these returned no data (not billed)</t>
        </is>
      </c>
      <c r="O1642" t="inlineStr">
        <is>
          <t>2026-10-30</t>
        </is>
      </c>
      <c r="P1642">
        <f>IF(IF(J1642="NOT AVAILABLE","",J1642)="",12,IF(OR(ISNUMBER(SEARCH("Transactional",IF(J1642="NOT AVAILABLE","",J1642))),ISNUMBER(SEARCH("Commercial",IF(J1642="NOT AVAILABLE","",J1642)))),25,IF(ISNUMBER(SEARCH("Informational",IF(J1642="NOT AVAILABLE","",J1642))),10,IF(ISNUMBER(SEARCH("Navigational",IF(J1642="NOT AVAILABLE","",J1642))),0,12))))</f>
        <v/>
      </c>
      <c r="Q1642">
        <f>IF(ISNUMBER(F1642),MIN(30,ROUND(30*LOG10(F1642+1)/4,1)),0)</f>
        <v/>
      </c>
      <c r="R1642">
        <f>IF(ISNUMBER(G1642),ROUND(25*(100-G1642)/100,1),12.5)</f>
        <v/>
      </c>
      <c r="S1642" t="n">
        <v>10</v>
      </c>
      <c r="T1642">
        <f>ROUND(P1642+Q1642+R1642+S1642,0)</f>
        <v/>
      </c>
      <c r="U1642" s="5" t="inlineStr"/>
      <c r="V1642" s="5" t="inlineStr"/>
    </row>
    <row r="1643">
      <c r="A1643" t="inlineStr">
        <is>
          <t>K1641</t>
        </is>
      </c>
      <c r="B1643" t="inlineStr">
        <is>
          <t>création site e-commerce</t>
        </is>
      </c>
      <c r="C1643" t="inlineStr">
        <is>
          <t>Luxembourg</t>
        </is>
      </c>
      <c r="D1643" t="inlineStr">
        <is>
          <t>lu</t>
        </is>
      </c>
      <c r="E1643" t="inlineStr">
        <is>
          <t>fr</t>
        </is>
      </c>
      <c r="F1643" t="n">
        <v>0</v>
      </c>
      <c r="G1643" t="inlineStr">
        <is>
          <t>NOT AVAILABLE</t>
        </is>
      </c>
      <c r="H1643" t="n">
        <v>0</v>
      </c>
      <c r="I1643" t="n">
        <v>0</v>
      </c>
      <c r="J1643" t="inlineStr">
        <is>
          <t>NOT AVAILABLE</t>
        </is>
      </c>
      <c r="K1643" t="inlineStr">
        <is>
          <t>NOT AVAILABLE (report not requested)</t>
        </is>
      </c>
      <c r="L1643" t="inlineStr">
        <is>
          <t>flat (no data)</t>
        </is>
      </c>
      <c r="M1643" t="inlineStr">
        <is>
          <t>MEASURED</t>
        </is>
      </c>
      <c r="N1643" s="5" t="inlineStr">
        <is>
          <t>Semrush phrase_these (live, this session)</t>
        </is>
      </c>
      <c r="O1643" t="inlineStr">
        <is>
          <t>2026-10-30</t>
        </is>
      </c>
      <c r="P1643">
        <f>IF(IF(J1643="NOT AVAILABLE","",J1643)="",12,IF(OR(ISNUMBER(SEARCH("Transactional",IF(J1643="NOT AVAILABLE","",J1643))),ISNUMBER(SEARCH("Commercial",IF(J1643="NOT AVAILABLE","",J1643)))),25,IF(ISNUMBER(SEARCH("Informational",IF(J1643="NOT AVAILABLE","",J1643))),10,IF(ISNUMBER(SEARCH("Navigational",IF(J1643="NOT AVAILABLE","",J1643))),0,12))))</f>
        <v/>
      </c>
      <c r="Q1643">
        <f>IF(ISNUMBER(F1643),MIN(30,ROUND(30*LOG10(F1643+1)/4,1)),0)</f>
        <v/>
      </c>
      <c r="R1643">
        <f>IF(ISNUMBER(G1643),ROUND(25*(100-G1643)/100,1),12.5)</f>
        <v/>
      </c>
      <c r="S1643" t="n">
        <v>10</v>
      </c>
      <c r="T1643">
        <f>ROUND(P1643+Q1643+R1643+S1643,0)</f>
        <v/>
      </c>
      <c r="U1643" s="5" t="inlineStr"/>
      <c r="V1643" s="5" t="inlineStr"/>
    </row>
    <row r="1644">
      <c r="A1644" t="inlineStr">
        <is>
          <t>K1642</t>
        </is>
      </c>
      <c r="B1644" t="inlineStr">
        <is>
          <t>développement application web</t>
        </is>
      </c>
      <c r="C1644" t="inlineStr">
        <is>
          <t>Luxembourg</t>
        </is>
      </c>
      <c r="D1644" t="inlineStr">
        <is>
          <t>lu</t>
        </is>
      </c>
      <c r="E1644" t="inlineStr">
        <is>
          <t>fr</t>
        </is>
      </c>
      <c r="F1644" t="n">
        <v>0</v>
      </c>
      <c r="G1644" t="inlineStr">
        <is>
          <t>NOT AVAILABLE</t>
        </is>
      </c>
      <c r="H1644" t="n">
        <v>0</v>
      </c>
      <c r="I1644" t="n">
        <v>0</v>
      </c>
      <c r="J1644" t="inlineStr">
        <is>
          <t>NOT AVAILABLE</t>
        </is>
      </c>
      <c r="K1644" t="inlineStr">
        <is>
          <t>NOT AVAILABLE (report not requested)</t>
        </is>
      </c>
      <c r="L1644" t="inlineStr">
        <is>
          <t>flat (no data)</t>
        </is>
      </c>
      <c r="M1644" t="inlineStr">
        <is>
          <t>MEASURED</t>
        </is>
      </c>
      <c r="N1644" s="5" t="inlineStr">
        <is>
          <t>Semrush phrase_these (live, this session)</t>
        </is>
      </c>
      <c r="O1644" t="inlineStr">
        <is>
          <t>2026-10-30</t>
        </is>
      </c>
      <c r="P1644">
        <f>IF(IF(J1644="NOT AVAILABLE","",J1644)="",12,IF(OR(ISNUMBER(SEARCH("Transactional",IF(J1644="NOT AVAILABLE","",J1644))),ISNUMBER(SEARCH("Commercial",IF(J1644="NOT AVAILABLE","",J1644)))),25,IF(ISNUMBER(SEARCH("Informational",IF(J1644="NOT AVAILABLE","",J1644))),10,IF(ISNUMBER(SEARCH("Navigational",IF(J1644="NOT AVAILABLE","",J1644))),0,12))))</f>
        <v/>
      </c>
      <c r="Q1644">
        <f>IF(ISNUMBER(F1644),MIN(30,ROUND(30*LOG10(F1644+1)/4,1)),0)</f>
        <v/>
      </c>
      <c r="R1644">
        <f>IF(ISNUMBER(G1644),ROUND(25*(100-G1644)/100,1),12.5)</f>
        <v/>
      </c>
      <c r="S1644" t="n">
        <v>10</v>
      </c>
      <c r="T1644">
        <f>ROUND(P1644+Q1644+R1644+S1644,0)</f>
        <v/>
      </c>
      <c r="U1644" s="5" t="inlineStr"/>
      <c r="V1644" s="5" t="inlineStr"/>
    </row>
    <row r="1645">
      <c r="A1645" t="inlineStr">
        <is>
          <t>K1643</t>
        </is>
      </c>
      <c r="B1645" t="inlineStr">
        <is>
          <t>développement saas</t>
        </is>
      </c>
      <c r="C1645" t="inlineStr">
        <is>
          <t>Luxembourg</t>
        </is>
      </c>
      <c r="D1645" t="inlineStr">
        <is>
          <t>lu</t>
        </is>
      </c>
      <c r="E1645" t="inlineStr">
        <is>
          <t>fr</t>
        </is>
      </c>
      <c r="F1645" t="inlineStr">
        <is>
          <t>NOT AVAILABLE</t>
        </is>
      </c>
      <c r="G1645" t="inlineStr">
        <is>
          <t>NOT AVAILABLE</t>
        </is>
      </c>
      <c r="H1645" t="inlineStr">
        <is>
          <t>NOT AVAILABLE</t>
        </is>
      </c>
      <c r="I1645" t="inlineStr">
        <is>
          <t>NOT AVAILABLE</t>
        </is>
      </c>
      <c r="J1645" t="inlineStr">
        <is>
          <t>NOT AVAILABLE</t>
        </is>
      </c>
      <c r="K1645" t="inlineStr">
        <is>
          <t>NOT AVAILABLE</t>
        </is>
      </c>
      <c r="L1645" t="inlineStr">
        <is>
          <t>NOT AVAILABLE</t>
        </is>
      </c>
      <c r="M1645" t="inlineStr">
        <is>
          <t>UNAVAILABLE</t>
        </is>
      </c>
      <c r="N1645" s="5" t="inlineStr">
        <is>
          <t>Semrush phrase_these returned no data (not billed)</t>
        </is>
      </c>
      <c r="O1645" t="inlineStr">
        <is>
          <t>2026-10-30</t>
        </is>
      </c>
      <c r="P1645">
        <f>IF(IF(J1645="NOT AVAILABLE","",J1645)="",12,IF(OR(ISNUMBER(SEARCH("Transactional",IF(J1645="NOT AVAILABLE","",J1645))),ISNUMBER(SEARCH("Commercial",IF(J1645="NOT AVAILABLE","",J1645)))),25,IF(ISNUMBER(SEARCH("Informational",IF(J1645="NOT AVAILABLE","",J1645))),10,IF(ISNUMBER(SEARCH("Navigational",IF(J1645="NOT AVAILABLE","",J1645))),0,12))))</f>
        <v/>
      </c>
      <c r="Q1645">
        <f>IF(ISNUMBER(F1645),MIN(30,ROUND(30*LOG10(F1645+1)/4,1)),0)</f>
        <v/>
      </c>
      <c r="R1645">
        <f>IF(ISNUMBER(G1645),ROUND(25*(100-G1645)/100,1),12.5)</f>
        <v/>
      </c>
      <c r="S1645" t="n">
        <v>10</v>
      </c>
      <c r="T1645">
        <f>ROUND(P1645+Q1645+R1645+S1645,0)</f>
        <v/>
      </c>
      <c r="U1645" s="5" t="inlineStr"/>
      <c r="V1645" s="5" t="inlineStr"/>
    </row>
    <row r="1646">
      <c r="A1646" t="inlineStr">
        <is>
          <t>K1644</t>
        </is>
      </c>
      <c r="B1646" t="inlineStr">
        <is>
          <t>développement web offshore</t>
        </is>
      </c>
      <c r="C1646" t="inlineStr">
        <is>
          <t>Luxembourg</t>
        </is>
      </c>
      <c r="D1646" t="inlineStr">
        <is>
          <t>lu</t>
        </is>
      </c>
      <c r="E1646" t="inlineStr">
        <is>
          <t>fr</t>
        </is>
      </c>
      <c r="F1646" t="inlineStr">
        <is>
          <t>NOT AVAILABLE</t>
        </is>
      </c>
      <c r="G1646" t="inlineStr">
        <is>
          <t>NOT AVAILABLE</t>
        </is>
      </c>
      <c r="H1646" t="inlineStr">
        <is>
          <t>NOT AVAILABLE</t>
        </is>
      </c>
      <c r="I1646" t="inlineStr">
        <is>
          <t>NOT AVAILABLE</t>
        </is>
      </c>
      <c r="J1646" t="inlineStr">
        <is>
          <t>NOT AVAILABLE</t>
        </is>
      </c>
      <c r="K1646" t="inlineStr">
        <is>
          <t>NOT AVAILABLE</t>
        </is>
      </c>
      <c r="L1646" t="inlineStr">
        <is>
          <t>NOT AVAILABLE</t>
        </is>
      </c>
      <c r="M1646" t="inlineStr">
        <is>
          <t>UNAVAILABLE</t>
        </is>
      </c>
      <c r="N1646" s="5" t="inlineStr">
        <is>
          <t>Semrush phrase_these returned no data (not billed)</t>
        </is>
      </c>
      <c r="O1646" t="inlineStr">
        <is>
          <t>2026-10-30</t>
        </is>
      </c>
      <c r="P1646">
        <f>IF(IF(J1646="NOT AVAILABLE","",J1646)="",12,IF(OR(ISNUMBER(SEARCH("Transactional",IF(J1646="NOT AVAILABLE","",J1646))),ISNUMBER(SEARCH("Commercial",IF(J1646="NOT AVAILABLE","",J1646)))),25,IF(ISNUMBER(SEARCH("Informational",IF(J1646="NOT AVAILABLE","",J1646))),10,IF(ISNUMBER(SEARCH("Navigational",IF(J1646="NOT AVAILABLE","",J1646))),0,12))))</f>
        <v/>
      </c>
      <c r="Q1646">
        <f>IF(ISNUMBER(F1646),MIN(30,ROUND(30*LOG10(F1646+1)/4,1)),0)</f>
        <v/>
      </c>
      <c r="R1646">
        <f>IF(ISNUMBER(G1646),ROUND(25*(100-G1646)/100,1),12.5)</f>
        <v/>
      </c>
      <c r="S1646" t="n">
        <v>10</v>
      </c>
      <c r="T1646">
        <f>ROUND(P1646+Q1646+R1646+S1646,0)</f>
        <v/>
      </c>
      <c r="U1646" s="5" t="inlineStr"/>
      <c r="V1646" s="5" t="inlineStr"/>
    </row>
    <row r="1647">
      <c r="A1647" t="inlineStr">
        <is>
          <t>K1645</t>
        </is>
      </c>
      <c r="B1647" t="inlineStr">
        <is>
          <t>développement web sur mesure</t>
        </is>
      </c>
      <c r="C1647" t="inlineStr">
        <is>
          <t>Luxembourg</t>
        </is>
      </c>
      <c r="D1647" t="inlineStr">
        <is>
          <t>lu</t>
        </is>
      </c>
      <c r="E1647" t="inlineStr">
        <is>
          <t>fr</t>
        </is>
      </c>
      <c r="F1647" t="inlineStr">
        <is>
          <t>NOT AVAILABLE</t>
        </is>
      </c>
      <c r="G1647" t="inlineStr">
        <is>
          <t>NOT AVAILABLE</t>
        </is>
      </c>
      <c r="H1647" t="inlineStr">
        <is>
          <t>NOT AVAILABLE</t>
        </is>
      </c>
      <c r="I1647" t="inlineStr">
        <is>
          <t>NOT AVAILABLE</t>
        </is>
      </c>
      <c r="J1647" t="inlineStr">
        <is>
          <t>NOT AVAILABLE</t>
        </is>
      </c>
      <c r="K1647" t="inlineStr">
        <is>
          <t>NOT AVAILABLE</t>
        </is>
      </c>
      <c r="L1647" t="inlineStr">
        <is>
          <t>NOT AVAILABLE</t>
        </is>
      </c>
      <c r="M1647" t="inlineStr">
        <is>
          <t>UNAVAILABLE</t>
        </is>
      </c>
      <c r="N1647" s="5" t="inlineStr">
        <is>
          <t>Semrush phrase_these returned no data (not billed)</t>
        </is>
      </c>
      <c r="O1647" t="inlineStr">
        <is>
          <t>2026-10-30</t>
        </is>
      </c>
      <c r="P1647">
        <f>IF(IF(J1647="NOT AVAILABLE","",J1647)="",12,IF(OR(ISNUMBER(SEARCH("Transactional",IF(J1647="NOT AVAILABLE","",J1647))),ISNUMBER(SEARCH("Commercial",IF(J1647="NOT AVAILABLE","",J1647)))),25,IF(ISNUMBER(SEARCH("Informational",IF(J1647="NOT AVAILABLE","",J1647))),10,IF(ISNUMBER(SEARCH("Navigational",IF(J1647="NOT AVAILABLE","",J1647))),0,12))))</f>
        <v/>
      </c>
      <c r="Q1647">
        <f>IF(ISNUMBER(F1647),MIN(30,ROUND(30*LOG10(F1647+1)/4,1)),0)</f>
        <v/>
      </c>
      <c r="R1647">
        <f>IF(ISNUMBER(G1647),ROUND(25*(100-G1647)/100,1),12.5)</f>
        <v/>
      </c>
      <c r="S1647" t="n">
        <v>10</v>
      </c>
      <c r="T1647">
        <f>ROUND(P1647+Q1647+R1647+S1647,0)</f>
        <v/>
      </c>
      <c r="U1647" s="5" t="inlineStr"/>
      <c r="V1647" s="5" t="inlineStr"/>
    </row>
    <row r="1648">
      <c r="A1648" t="inlineStr">
        <is>
          <t>K1646</t>
        </is>
      </c>
      <c r="B1648" t="inlineStr">
        <is>
          <t>développeur maroc</t>
        </is>
      </c>
      <c r="C1648" t="inlineStr">
        <is>
          <t>Luxembourg</t>
        </is>
      </c>
      <c r="D1648" t="inlineStr">
        <is>
          <t>lu</t>
        </is>
      </c>
      <c r="E1648" t="inlineStr">
        <is>
          <t>fr</t>
        </is>
      </c>
      <c r="F1648" t="inlineStr">
        <is>
          <t>NOT AVAILABLE</t>
        </is>
      </c>
      <c r="G1648" t="inlineStr">
        <is>
          <t>NOT AVAILABLE</t>
        </is>
      </c>
      <c r="H1648" t="inlineStr">
        <is>
          <t>NOT AVAILABLE</t>
        </is>
      </c>
      <c r="I1648" t="inlineStr">
        <is>
          <t>NOT AVAILABLE</t>
        </is>
      </c>
      <c r="J1648" t="inlineStr">
        <is>
          <t>NOT AVAILABLE</t>
        </is>
      </c>
      <c r="K1648" t="inlineStr">
        <is>
          <t>NOT AVAILABLE</t>
        </is>
      </c>
      <c r="L1648" t="inlineStr">
        <is>
          <t>NOT AVAILABLE</t>
        </is>
      </c>
      <c r="M1648" t="inlineStr">
        <is>
          <t>UNAVAILABLE</t>
        </is>
      </c>
      <c r="N1648" s="5" t="inlineStr">
        <is>
          <t>Semrush phrase_these returned no data (not billed)</t>
        </is>
      </c>
      <c r="O1648" t="inlineStr">
        <is>
          <t>2026-10-30</t>
        </is>
      </c>
      <c r="P1648">
        <f>IF(IF(J1648="NOT AVAILABLE","",J1648)="",12,IF(OR(ISNUMBER(SEARCH("Transactional",IF(J1648="NOT AVAILABLE","",J1648))),ISNUMBER(SEARCH("Commercial",IF(J1648="NOT AVAILABLE","",J1648)))),25,IF(ISNUMBER(SEARCH("Informational",IF(J1648="NOT AVAILABLE","",J1648))),10,IF(ISNUMBER(SEARCH("Navigational",IF(J1648="NOT AVAILABLE","",J1648))),0,12))))</f>
        <v/>
      </c>
      <c r="Q1648">
        <f>IF(ISNUMBER(F1648),MIN(30,ROUND(30*LOG10(F1648+1)/4,1)),0)</f>
        <v/>
      </c>
      <c r="R1648">
        <f>IF(ISNUMBER(G1648),ROUND(25*(100-G1648)/100,1),12.5)</f>
        <v/>
      </c>
      <c r="S1648" t="n">
        <v>10</v>
      </c>
      <c r="T1648">
        <f>ROUND(P1648+Q1648+R1648+S1648,0)</f>
        <v/>
      </c>
      <c r="U1648" s="5" t="inlineStr"/>
      <c r="V1648" s="5" t="inlineStr"/>
    </row>
    <row r="1649">
      <c r="A1649" t="inlineStr">
        <is>
          <t>K1647</t>
        </is>
      </c>
      <c r="B1649" t="inlineStr">
        <is>
          <t>externalisation développement web</t>
        </is>
      </c>
      <c r="C1649" t="inlineStr">
        <is>
          <t>Luxembourg</t>
        </is>
      </c>
      <c r="D1649" t="inlineStr">
        <is>
          <t>lu</t>
        </is>
      </c>
      <c r="E1649" t="inlineStr">
        <is>
          <t>fr</t>
        </is>
      </c>
      <c r="F1649" t="inlineStr">
        <is>
          <t>NOT AVAILABLE</t>
        </is>
      </c>
      <c r="G1649" t="inlineStr">
        <is>
          <t>NOT AVAILABLE</t>
        </is>
      </c>
      <c r="H1649" t="inlineStr">
        <is>
          <t>NOT AVAILABLE</t>
        </is>
      </c>
      <c r="I1649" t="inlineStr">
        <is>
          <t>NOT AVAILABLE</t>
        </is>
      </c>
      <c r="J1649" t="inlineStr">
        <is>
          <t>NOT AVAILABLE</t>
        </is>
      </c>
      <c r="K1649" t="inlineStr">
        <is>
          <t>NOT AVAILABLE</t>
        </is>
      </c>
      <c r="L1649" t="inlineStr">
        <is>
          <t>NOT AVAILABLE</t>
        </is>
      </c>
      <c r="M1649" t="inlineStr">
        <is>
          <t>UNAVAILABLE</t>
        </is>
      </c>
      <c r="N1649" s="5" t="inlineStr">
        <is>
          <t>Semrush phrase_these returned no data (not billed)</t>
        </is>
      </c>
      <c r="O1649" t="inlineStr">
        <is>
          <t>2026-10-30</t>
        </is>
      </c>
      <c r="P1649">
        <f>IF(IF(J1649="NOT AVAILABLE","",J1649)="",12,IF(OR(ISNUMBER(SEARCH("Transactional",IF(J1649="NOT AVAILABLE","",J1649))),ISNUMBER(SEARCH("Commercial",IF(J1649="NOT AVAILABLE","",J1649)))),25,IF(ISNUMBER(SEARCH("Informational",IF(J1649="NOT AVAILABLE","",J1649))),10,IF(ISNUMBER(SEARCH("Navigational",IF(J1649="NOT AVAILABLE","",J1649))),0,12))))</f>
        <v/>
      </c>
      <c r="Q1649">
        <f>IF(ISNUMBER(F1649),MIN(30,ROUND(30*LOG10(F1649+1)/4,1)),0)</f>
        <v/>
      </c>
      <c r="R1649">
        <f>IF(ISNUMBER(G1649),ROUND(25*(100-G1649)/100,1),12.5)</f>
        <v/>
      </c>
      <c r="S1649" t="n">
        <v>10</v>
      </c>
      <c r="T1649">
        <f>ROUND(P1649+Q1649+R1649+S1649,0)</f>
        <v/>
      </c>
      <c r="U1649" s="5" t="inlineStr"/>
      <c r="V1649" s="5" t="inlineStr"/>
    </row>
    <row r="1650">
      <c r="A1650" t="inlineStr">
        <is>
          <t>K1648</t>
        </is>
      </c>
      <c r="B1650" t="inlineStr">
        <is>
          <t>prix site web</t>
        </is>
      </c>
      <c r="C1650" t="inlineStr">
        <is>
          <t>Luxembourg</t>
        </is>
      </c>
      <c r="D1650" t="inlineStr">
        <is>
          <t>lu</t>
        </is>
      </c>
      <c r="E1650" t="inlineStr">
        <is>
          <t>fr</t>
        </is>
      </c>
      <c r="F1650" t="inlineStr">
        <is>
          <t>NOT AVAILABLE</t>
        </is>
      </c>
      <c r="G1650" t="inlineStr">
        <is>
          <t>NOT AVAILABLE</t>
        </is>
      </c>
      <c r="H1650" t="inlineStr">
        <is>
          <t>NOT AVAILABLE</t>
        </is>
      </c>
      <c r="I1650" t="inlineStr">
        <is>
          <t>NOT AVAILABLE</t>
        </is>
      </c>
      <c r="J1650" t="inlineStr">
        <is>
          <t>NOT AVAILABLE</t>
        </is>
      </c>
      <c r="K1650" t="inlineStr">
        <is>
          <t>NOT AVAILABLE</t>
        </is>
      </c>
      <c r="L1650" t="inlineStr">
        <is>
          <t>NOT AVAILABLE</t>
        </is>
      </c>
      <c r="M1650" t="inlineStr">
        <is>
          <t>UNAVAILABLE</t>
        </is>
      </c>
      <c r="N1650" s="5" t="inlineStr">
        <is>
          <t>Semrush phrase_these returned no data (not billed)</t>
        </is>
      </c>
      <c r="O1650" t="inlineStr">
        <is>
          <t>2026-10-30</t>
        </is>
      </c>
      <c r="P1650">
        <f>IF(IF(J1650="NOT AVAILABLE","",J1650)="",12,IF(OR(ISNUMBER(SEARCH("Transactional",IF(J1650="NOT AVAILABLE","",J1650))),ISNUMBER(SEARCH("Commercial",IF(J1650="NOT AVAILABLE","",J1650)))),25,IF(ISNUMBER(SEARCH("Informational",IF(J1650="NOT AVAILABLE","",J1650))),10,IF(ISNUMBER(SEARCH("Navigational",IF(J1650="NOT AVAILABLE","",J1650))),0,12))))</f>
        <v/>
      </c>
      <c r="Q1650">
        <f>IF(ISNUMBER(F1650),MIN(30,ROUND(30*LOG10(F1650+1)/4,1)),0)</f>
        <v/>
      </c>
      <c r="R1650">
        <f>IF(ISNUMBER(G1650),ROUND(25*(100-G1650)/100,1),12.5)</f>
        <v/>
      </c>
      <c r="S1650" t="n">
        <v>10</v>
      </c>
      <c r="T1650">
        <f>ROUND(P1650+Q1650+R1650+S1650,0)</f>
        <v/>
      </c>
      <c r="U1650" s="5" t="inlineStr"/>
      <c r="V1650" s="5" t="inlineStr"/>
    </row>
    <row r="1651">
      <c r="A1651" t="inlineStr">
        <is>
          <t>K1649</t>
        </is>
      </c>
      <c r="B1651" t="inlineStr">
        <is>
          <t>sous-traitance développement web</t>
        </is>
      </c>
      <c r="C1651" t="inlineStr">
        <is>
          <t>Luxembourg</t>
        </is>
      </c>
      <c r="D1651" t="inlineStr">
        <is>
          <t>lu</t>
        </is>
      </c>
      <c r="E1651" t="inlineStr">
        <is>
          <t>fr</t>
        </is>
      </c>
      <c r="F1651" t="inlineStr">
        <is>
          <t>NOT AVAILABLE</t>
        </is>
      </c>
      <c r="G1651" t="inlineStr">
        <is>
          <t>NOT AVAILABLE</t>
        </is>
      </c>
      <c r="H1651" t="inlineStr">
        <is>
          <t>NOT AVAILABLE</t>
        </is>
      </c>
      <c r="I1651" t="inlineStr">
        <is>
          <t>NOT AVAILABLE</t>
        </is>
      </c>
      <c r="J1651" t="inlineStr">
        <is>
          <t>NOT AVAILABLE</t>
        </is>
      </c>
      <c r="K1651" t="inlineStr">
        <is>
          <t>NOT AVAILABLE</t>
        </is>
      </c>
      <c r="L1651" t="inlineStr">
        <is>
          <t>NOT AVAILABLE</t>
        </is>
      </c>
      <c r="M1651" t="inlineStr">
        <is>
          <t>UNAVAILABLE</t>
        </is>
      </c>
      <c r="N1651" s="5" t="inlineStr">
        <is>
          <t>Semrush phrase_these returned no data (not billed)</t>
        </is>
      </c>
      <c r="O1651" t="inlineStr">
        <is>
          <t>2026-10-30</t>
        </is>
      </c>
      <c r="P1651">
        <f>IF(IF(J1651="NOT AVAILABLE","",J1651)="",12,IF(OR(ISNUMBER(SEARCH("Transactional",IF(J1651="NOT AVAILABLE","",J1651))),ISNUMBER(SEARCH("Commercial",IF(J1651="NOT AVAILABLE","",J1651)))),25,IF(ISNUMBER(SEARCH("Informational",IF(J1651="NOT AVAILABLE","",J1651))),10,IF(ISNUMBER(SEARCH("Navigational",IF(J1651="NOT AVAILABLE","",J1651))),0,12))))</f>
        <v/>
      </c>
      <c r="Q1651">
        <f>IF(ISNUMBER(F1651),MIN(30,ROUND(30*LOG10(F1651+1)/4,1)),0)</f>
        <v/>
      </c>
      <c r="R1651">
        <f>IF(ISNUMBER(G1651),ROUND(25*(100-G1651)/100,1),12.5)</f>
        <v/>
      </c>
      <c r="S1651" t="n">
        <v>10</v>
      </c>
      <c r="T1651">
        <f>ROUND(P1651+Q1651+R1651+S1651,0)</f>
        <v/>
      </c>
      <c r="U1651" s="5" t="inlineStr"/>
      <c r="V1651" s="5" t="inlineStr"/>
    </row>
    <row r="1652">
      <c r="A1652" t="inlineStr">
        <is>
          <t>K1650</t>
        </is>
      </c>
      <c r="B1652" t="inlineStr">
        <is>
          <t>agence web lagos</t>
        </is>
      </c>
      <c r="C1652" t="inlineStr">
        <is>
          <t>Nigeria</t>
        </is>
      </c>
      <c r="D1652" t="inlineStr">
        <is>
          <t>ng</t>
        </is>
      </c>
      <c r="E1652" t="inlineStr">
        <is>
          <t>fr</t>
        </is>
      </c>
      <c r="F1652" t="inlineStr">
        <is>
          <t>NOT AVAILABLE</t>
        </is>
      </c>
      <c r="G1652" t="inlineStr">
        <is>
          <t>NOT AVAILABLE</t>
        </is>
      </c>
      <c r="H1652" t="inlineStr">
        <is>
          <t>NOT AVAILABLE</t>
        </is>
      </c>
      <c r="I1652" t="inlineStr">
        <is>
          <t>NOT AVAILABLE</t>
        </is>
      </c>
      <c r="J1652" t="inlineStr">
        <is>
          <t>NOT AVAILABLE</t>
        </is>
      </c>
      <c r="K1652" t="inlineStr">
        <is>
          <t>NOT AVAILABLE</t>
        </is>
      </c>
      <c r="L1652" t="inlineStr">
        <is>
          <t>NOT AVAILABLE</t>
        </is>
      </c>
      <c r="M1652" t="inlineStr">
        <is>
          <t>UNAVAILABLE</t>
        </is>
      </c>
      <c r="N1652" s="5" t="inlineStr">
        <is>
          <t>Semrush phrase_these returned no data (not billed)</t>
        </is>
      </c>
      <c r="O1652" t="inlineStr">
        <is>
          <t>2026-10-30</t>
        </is>
      </c>
      <c r="P1652">
        <f>IF(IF(J1652="NOT AVAILABLE","",J1652)="",12,IF(OR(ISNUMBER(SEARCH("Transactional",IF(J1652="NOT AVAILABLE","",J1652))),ISNUMBER(SEARCH("Commercial",IF(J1652="NOT AVAILABLE","",J1652)))),25,IF(ISNUMBER(SEARCH("Informational",IF(J1652="NOT AVAILABLE","",J1652))),10,IF(ISNUMBER(SEARCH("Navigational",IF(J1652="NOT AVAILABLE","",J1652))),0,12))))</f>
        <v/>
      </c>
      <c r="Q1652">
        <f>IF(ISNUMBER(F1652),MIN(30,ROUND(30*LOG10(F1652+1)/4,1)),0)</f>
        <v/>
      </c>
      <c r="R1652">
        <f>IF(ISNUMBER(G1652),ROUND(25*(100-G1652)/100,1),12.5)</f>
        <v/>
      </c>
      <c r="S1652" t="n">
        <v>3</v>
      </c>
      <c r="T1652">
        <f>ROUND(P1652+Q1652+R1652+S1652,0)</f>
        <v/>
      </c>
      <c r="U1652" s="5" t="inlineStr"/>
      <c r="V1652" s="5" t="inlineStr"/>
    </row>
    <row r="1653">
      <c r="A1653" t="inlineStr">
        <is>
          <t>K1651</t>
        </is>
      </c>
      <c r="B1653" t="inlineStr">
        <is>
          <t>création site web lagos</t>
        </is>
      </c>
      <c r="C1653" t="inlineStr">
        <is>
          <t>Nigeria</t>
        </is>
      </c>
      <c r="D1653" t="inlineStr">
        <is>
          <t>ng</t>
        </is>
      </c>
      <c r="E1653" t="inlineStr">
        <is>
          <t>fr</t>
        </is>
      </c>
      <c r="F1653" t="inlineStr">
        <is>
          <t>NOT AVAILABLE</t>
        </is>
      </c>
      <c r="G1653" t="inlineStr">
        <is>
          <t>NOT AVAILABLE</t>
        </is>
      </c>
      <c r="H1653" t="inlineStr">
        <is>
          <t>NOT AVAILABLE</t>
        </is>
      </c>
      <c r="I1653" t="inlineStr">
        <is>
          <t>NOT AVAILABLE</t>
        </is>
      </c>
      <c r="J1653" t="inlineStr">
        <is>
          <t>NOT AVAILABLE</t>
        </is>
      </c>
      <c r="K1653" t="inlineStr">
        <is>
          <t>NOT AVAILABLE</t>
        </is>
      </c>
      <c r="L1653" t="inlineStr">
        <is>
          <t>NOT AVAILABLE</t>
        </is>
      </c>
      <c r="M1653" t="inlineStr">
        <is>
          <t>UNAVAILABLE</t>
        </is>
      </c>
      <c r="N1653" s="5" t="inlineStr">
        <is>
          <t>Semrush phrase_these returned no data (not billed)</t>
        </is>
      </c>
      <c r="O1653" t="inlineStr">
        <is>
          <t>2026-10-30</t>
        </is>
      </c>
      <c r="P1653">
        <f>IF(IF(J1653="NOT AVAILABLE","",J1653)="",12,IF(OR(ISNUMBER(SEARCH("Transactional",IF(J1653="NOT AVAILABLE","",J1653))),ISNUMBER(SEARCH("Commercial",IF(J1653="NOT AVAILABLE","",J1653)))),25,IF(ISNUMBER(SEARCH("Informational",IF(J1653="NOT AVAILABLE","",J1653))),10,IF(ISNUMBER(SEARCH("Navigational",IF(J1653="NOT AVAILABLE","",J1653))),0,12))))</f>
        <v/>
      </c>
      <c r="Q1653">
        <f>IF(ISNUMBER(F1653),MIN(30,ROUND(30*LOG10(F1653+1)/4,1)),0)</f>
        <v/>
      </c>
      <c r="R1653">
        <f>IF(ISNUMBER(G1653),ROUND(25*(100-G1653)/100,1),12.5)</f>
        <v/>
      </c>
      <c r="S1653" t="n">
        <v>3</v>
      </c>
      <c r="T1653">
        <f>ROUND(P1653+Q1653+R1653+S1653,0)</f>
        <v/>
      </c>
      <c r="U1653" s="5" t="inlineStr"/>
      <c r="V1653" s="5" t="inlineStr"/>
    </row>
    <row r="1654">
      <c r="A1654" t="inlineStr">
        <is>
          <t>K1652</t>
        </is>
      </c>
      <c r="B1654" t="inlineStr">
        <is>
          <t>développement web lagos</t>
        </is>
      </c>
      <c r="C1654" t="inlineStr">
        <is>
          <t>Nigeria</t>
        </is>
      </c>
      <c r="D1654" t="inlineStr">
        <is>
          <t>ng</t>
        </is>
      </c>
      <c r="E1654" t="inlineStr">
        <is>
          <t>fr</t>
        </is>
      </c>
      <c r="F1654" t="inlineStr">
        <is>
          <t>NOT AVAILABLE</t>
        </is>
      </c>
      <c r="G1654" t="inlineStr">
        <is>
          <t>NOT AVAILABLE</t>
        </is>
      </c>
      <c r="H1654" t="inlineStr">
        <is>
          <t>NOT AVAILABLE</t>
        </is>
      </c>
      <c r="I1654" t="inlineStr">
        <is>
          <t>NOT AVAILABLE</t>
        </is>
      </c>
      <c r="J1654" t="inlineStr">
        <is>
          <t>NOT AVAILABLE</t>
        </is>
      </c>
      <c r="K1654" t="inlineStr">
        <is>
          <t>NOT AVAILABLE</t>
        </is>
      </c>
      <c r="L1654" t="inlineStr">
        <is>
          <t>NOT AVAILABLE</t>
        </is>
      </c>
      <c r="M1654" t="inlineStr">
        <is>
          <t>UNAVAILABLE</t>
        </is>
      </c>
      <c r="N1654" s="5" t="inlineStr">
        <is>
          <t>Semrush phrase_these returned no data (not billed)</t>
        </is>
      </c>
      <c r="O1654" t="inlineStr">
        <is>
          <t>2026-10-30</t>
        </is>
      </c>
      <c r="P1654">
        <f>IF(IF(J1654="NOT AVAILABLE","",J1654)="",12,IF(OR(ISNUMBER(SEARCH("Transactional",IF(J1654="NOT AVAILABLE","",J1654))),ISNUMBER(SEARCH("Commercial",IF(J1654="NOT AVAILABLE","",J1654)))),25,IF(ISNUMBER(SEARCH("Informational",IF(J1654="NOT AVAILABLE","",J1654))),10,IF(ISNUMBER(SEARCH("Navigational",IF(J1654="NOT AVAILABLE","",J1654))),0,12))))</f>
        <v/>
      </c>
      <c r="Q1654">
        <f>IF(ISNUMBER(F1654),MIN(30,ROUND(30*LOG10(F1654+1)/4,1)),0)</f>
        <v/>
      </c>
      <c r="R1654">
        <f>IF(ISNUMBER(G1654),ROUND(25*(100-G1654)/100,1),12.5)</f>
        <v/>
      </c>
      <c r="S1654" t="n">
        <v>3</v>
      </c>
      <c r="T1654">
        <f>ROUND(P1654+Q1654+R1654+S1654,0)</f>
        <v/>
      </c>
      <c r="U1654" s="5" t="inlineStr"/>
      <c r="V1654" s="5" t="inlineStr">
        <is>
          <t>PRIMARY /web-development-company/lagos</t>
        </is>
      </c>
    </row>
    <row r="1655">
      <c r="A1655" t="inlineStr">
        <is>
          <t>K1653</t>
        </is>
      </c>
      <c r="B1655" t="inlineStr">
        <is>
          <t>web development company lagos</t>
        </is>
      </c>
      <c r="C1655" t="inlineStr">
        <is>
          <t>Nigeria</t>
        </is>
      </c>
      <c r="D1655" t="inlineStr">
        <is>
          <t>ng</t>
        </is>
      </c>
      <c r="E1655" t="inlineStr">
        <is>
          <t>en</t>
        </is>
      </c>
      <c r="F1655" t="inlineStr">
        <is>
          <t>NOT AVAILABLE</t>
        </is>
      </c>
      <c r="G1655" t="inlineStr">
        <is>
          <t>NOT AVAILABLE</t>
        </is>
      </c>
      <c r="H1655" t="inlineStr">
        <is>
          <t>NOT AVAILABLE</t>
        </is>
      </c>
      <c r="I1655" t="inlineStr">
        <is>
          <t>NOT AVAILABLE</t>
        </is>
      </c>
      <c r="J1655" t="inlineStr">
        <is>
          <t>NOT AVAILABLE</t>
        </is>
      </c>
      <c r="K1655" t="inlineStr">
        <is>
          <t>NOT AVAILABLE</t>
        </is>
      </c>
      <c r="L1655" t="inlineStr">
        <is>
          <t>NOT AVAILABLE</t>
        </is>
      </c>
      <c r="M1655" t="inlineStr">
        <is>
          <t>UNAVAILABLE</t>
        </is>
      </c>
      <c r="N1655" s="5" t="inlineStr">
        <is>
          <t>Semrush phrase_these returned no data (not billed)</t>
        </is>
      </c>
      <c r="O1655" t="inlineStr">
        <is>
          <t>2026-10-30</t>
        </is>
      </c>
      <c r="P1655">
        <f>IF(IF(J1655="NOT AVAILABLE","",J1655)="",12,IF(OR(ISNUMBER(SEARCH("Transactional",IF(J1655="NOT AVAILABLE","",J1655))),ISNUMBER(SEARCH("Commercial",IF(J1655="NOT AVAILABLE","",J1655)))),25,IF(ISNUMBER(SEARCH("Informational",IF(J1655="NOT AVAILABLE","",J1655))),10,IF(ISNUMBER(SEARCH("Navigational",IF(J1655="NOT AVAILABLE","",J1655))),0,12))))</f>
        <v/>
      </c>
      <c r="Q1655">
        <f>IF(ISNUMBER(F1655),MIN(30,ROUND(30*LOG10(F1655+1)/4,1)),0)</f>
        <v/>
      </c>
      <c r="R1655">
        <f>IF(ISNUMBER(G1655),ROUND(25*(100-G1655)/100,1),12.5)</f>
        <v/>
      </c>
      <c r="S1655" t="n">
        <v>3</v>
      </c>
      <c r="T1655">
        <f>ROUND(P1655+Q1655+R1655+S1655,0)</f>
        <v/>
      </c>
      <c r="U1655" s="5" t="inlineStr"/>
      <c r="V1655" s="5" t="inlineStr">
        <is>
          <t>NOT RECOMMENDED /web-development-company/lagos</t>
        </is>
      </c>
    </row>
    <row r="1656">
      <c r="A1656" t="inlineStr">
        <is>
          <t>K1654</t>
        </is>
      </c>
      <c r="B1656" t="inlineStr">
        <is>
          <t>web development amsterdam</t>
        </is>
      </c>
      <c r="C1656" t="inlineStr">
        <is>
          <t>Netherlands</t>
        </is>
      </c>
      <c r="D1656" t="inlineStr">
        <is>
          <t>nl</t>
        </is>
      </c>
      <c r="E1656" t="inlineStr">
        <is>
          <t>en</t>
        </is>
      </c>
      <c r="F1656" t="n">
        <v>260</v>
      </c>
      <c r="G1656" t="n">
        <v>14</v>
      </c>
      <c r="H1656" t="n">
        <v>4.56</v>
      </c>
      <c r="I1656" t="n">
        <v>0.39</v>
      </c>
      <c r="J1656" t="inlineStr">
        <is>
          <t>Commercial</t>
        </is>
      </c>
      <c r="K1656" t="inlineStr">
        <is>
          <t>NOT AVAILABLE (report not requested)</t>
        </is>
      </c>
      <c r="L1656" t="inlineStr">
        <is>
          <t>declining (calc.)</t>
        </is>
      </c>
      <c r="M1656" t="inlineStr">
        <is>
          <t>MEASURED</t>
        </is>
      </c>
      <c r="N1656" s="5" t="inlineStr">
        <is>
          <t>Semrush phrase_these (live, this session)</t>
        </is>
      </c>
      <c r="O1656" t="inlineStr">
        <is>
          <t>2026-10-30</t>
        </is>
      </c>
      <c r="P1656">
        <f>IF(IF(J1656="NOT AVAILABLE","",J1656)="",12,IF(OR(ISNUMBER(SEARCH("Transactional",IF(J1656="NOT AVAILABLE","",J1656))),ISNUMBER(SEARCH("Commercial",IF(J1656="NOT AVAILABLE","",J1656)))),25,IF(ISNUMBER(SEARCH("Informational",IF(J1656="NOT AVAILABLE","",J1656))),10,IF(ISNUMBER(SEARCH("Navigational",IF(J1656="NOT AVAILABLE","",J1656))),0,12))))</f>
        <v/>
      </c>
      <c r="Q1656">
        <f>IF(ISNUMBER(F1656),MIN(30,ROUND(30*LOG10(F1656+1)/4,1)),0)</f>
        <v/>
      </c>
      <c r="R1656">
        <f>IF(ISNUMBER(G1656),ROUND(25*(100-G1656)/100,1),12.5)</f>
        <v/>
      </c>
      <c r="S1656" t="n">
        <v>3</v>
      </c>
      <c r="T1656">
        <f>ROUND(P1656+Q1656+R1656+S1656,0)</f>
        <v/>
      </c>
      <c r="U1656" s="5" t="inlineStr"/>
      <c r="V1656" s="5" t="inlineStr">
        <is>
          <t>NOT RECOMMENDED /web-development-company/amsterdam</t>
        </is>
      </c>
    </row>
    <row r="1657">
      <c r="A1657" t="inlineStr">
        <is>
          <t>K1655</t>
        </is>
      </c>
      <c r="B1657" t="inlineStr">
        <is>
          <t>agence web amsterdam</t>
        </is>
      </c>
      <c r="C1657" t="inlineStr">
        <is>
          <t>Netherlands</t>
        </is>
      </c>
      <c r="D1657" t="inlineStr">
        <is>
          <t>nl</t>
        </is>
      </c>
      <c r="E1657" t="inlineStr">
        <is>
          <t>fr</t>
        </is>
      </c>
      <c r="F1657" t="inlineStr">
        <is>
          <t>NOT AVAILABLE</t>
        </is>
      </c>
      <c r="G1657" t="inlineStr">
        <is>
          <t>NOT AVAILABLE</t>
        </is>
      </c>
      <c r="H1657" t="inlineStr">
        <is>
          <t>NOT AVAILABLE</t>
        </is>
      </c>
      <c r="I1657" t="inlineStr">
        <is>
          <t>NOT AVAILABLE</t>
        </is>
      </c>
      <c r="J1657" t="inlineStr">
        <is>
          <t>NOT AVAILABLE</t>
        </is>
      </c>
      <c r="K1657" t="inlineStr">
        <is>
          <t>NOT AVAILABLE</t>
        </is>
      </c>
      <c r="L1657" t="inlineStr">
        <is>
          <t>NOT AVAILABLE</t>
        </is>
      </c>
      <c r="M1657" t="inlineStr">
        <is>
          <t>UNAVAILABLE</t>
        </is>
      </c>
      <c r="N1657" s="5" t="inlineStr">
        <is>
          <t>Semrush phrase_these returned no data (not billed)</t>
        </is>
      </c>
      <c r="O1657" t="inlineStr">
        <is>
          <t>2026-10-30</t>
        </is>
      </c>
      <c r="P1657">
        <f>IF(IF(J1657="NOT AVAILABLE","",J1657)="",12,IF(OR(ISNUMBER(SEARCH("Transactional",IF(J1657="NOT AVAILABLE","",J1657))),ISNUMBER(SEARCH("Commercial",IF(J1657="NOT AVAILABLE","",J1657)))),25,IF(ISNUMBER(SEARCH("Informational",IF(J1657="NOT AVAILABLE","",J1657))),10,IF(ISNUMBER(SEARCH("Navigational",IF(J1657="NOT AVAILABLE","",J1657))),0,12))))</f>
        <v/>
      </c>
      <c r="Q1657">
        <f>IF(ISNUMBER(F1657),MIN(30,ROUND(30*LOG10(F1657+1)/4,1)),0)</f>
        <v/>
      </c>
      <c r="R1657">
        <f>IF(ISNUMBER(G1657),ROUND(25*(100-G1657)/100,1),12.5)</f>
        <v/>
      </c>
      <c r="S1657" t="n">
        <v>3</v>
      </c>
      <c r="T1657">
        <f>ROUND(P1657+Q1657+R1657+S1657,0)</f>
        <v/>
      </c>
      <c r="U1657" s="5" t="inlineStr"/>
      <c r="V1657" s="5" t="inlineStr"/>
    </row>
    <row r="1658">
      <c r="A1658" t="inlineStr">
        <is>
          <t>K1656</t>
        </is>
      </c>
      <c r="B1658" t="inlineStr">
        <is>
          <t>création site web amsterdam</t>
        </is>
      </c>
      <c r="C1658" t="inlineStr">
        <is>
          <t>Netherlands</t>
        </is>
      </c>
      <c r="D1658" t="inlineStr">
        <is>
          <t>nl</t>
        </is>
      </c>
      <c r="E1658" t="inlineStr">
        <is>
          <t>fr</t>
        </is>
      </c>
      <c r="F1658" t="inlineStr">
        <is>
          <t>NOT AVAILABLE</t>
        </is>
      </c>
      <c r="G1658" t="inlineStr">
        <is>
          <t>NOT AVAILABLE</t>
        </is>
      </c>
      <c r="H1658" t="inlineStr">
        <is>
          <t>NOT AVAILABLE</t>
        </is>
      </c>
      <c r="I1658" t="inlineStr">
        <is>
          <t>NOT AVAILABLE</t>
        </is>
      </c>
      <c r="J1658" t="inlineStr">
        <is>
          <t>NOT AVAILABLE</t>
        </is>
      </c>
      <c r="K1658" t="inlineStr">
        <is>
          <t>NOT AVAILABLE</t>
        </is>
      </c>
      <c r="L1658" t="inlineStr">
        <is>
          <t>NOT AVAILABLE</t>
        </is>
      </c>
      <c r="M1658" t="inlineStr">
        <is>
          <t>UNAVAILABLE</t>
        </is>
      </c>
      <c r="N1658" s="5" t="inlineStr">
        <is>
          <t>Semrush phrase_these returned no data (not billed)</t>
        </is>
      </c>
      <c r="O1658" t="inlineStr">
        <is>
          <t>2026-10-30</t>
        </is>
      </c>
      <c r="P1658">
        <f>IF(IF(J1658="NOT AVAILABLE","",J1658)="",12,IF(OR(ISNUMBER(SEARCH("Transactional",IF(J1658="NOT AVAILABLE","",J1658))),ISNUMBER(SEARCH("Commercial",IF(J1658="NOT AVAILABLE","",J1658)))),25,IF(ISNUMBER(SEARCH("Informational",IF(J1658="NOT AVAILABLE","",J1658))),10,IF(ISNUMBER(SEARCH("Navigational",IF(J1658="NOT AVAILABLE","",J1658))),0,12))))</f>
        <v/>
      </c>
      <c r="Q1658">
        <f>IF(ISNUMBER(F1658),MIN(30,ROUND(30*LOG10(F1658+1)/4,1)),0)</f>
        <v/>
      </c>
      <c r="R1658">
        <f>IF(ISNUMBER(G1658),ROUND(25*(100-G1658)/100,1),12.5)</f>
        <v/>
      </c>
      <c r="S1658" t="n">
        <v>3</v>
      </c>
      <c r="T1658">
        <f>ROUND(P1658+Q1658+R1658+S1658,0)</f>
        <v/>
      </c>
      <c r="U1658" s="5" t="inlineStr"/>
      <c r="V1658" s="5" t="inlineStr"/>
    </row>
    <row r="1659">
      <c r="A1659" t="inlineStr">
        <is>
          <t>K1657</t>
        </is>
      </c>
      <c r="B1659" t="inlineStr">
        <is>
          <t>développement web amsterdam</t>
        </is>
      </c>
      <c r="C1659" t="inlineStr">
        <is>
          <t>Netherlands</t>
        </is>
      </c>
      <c r="D1659" t="inlineStr">
        <is>
          <t>nl</t>
        </is>
      </c>
      <c r="E1659" t="inlineStr">
        <is>
          <t>fr</t>
        </is>
      </c>
      <c r="F1659" t="inlineStr">
        <is>
          <t>NOT AVAILABLE</t>
        </is>
      </c>
      <c r="G1659" t="inlineStr">
        <is>
          <t>NOT AVAILABLE</t>
        </is>
      </c>
      <c r="H1659" t="inlineStr">
        <is>
          <t>NOT AVAILABLE</t>
        </is>
      </c>
      <c r="I1659" t="inlineStr">
        <is>
          <t>NOT AVAILABLE</t>
        </is>
      </c>
      <c r="J1659" t="inlineStr">
        <is>
          <t>NOT AVAILABLE</t>
        </is>
      </c>
      <c r="K1659" t="inlineStr">
        <is>
          <t>NOT AVAILABLE</t>
        </is>
      </c>
      <c r="L1659" t="inlineStr">
        <is>
          <t>NOT AVAILABLE</t>
        </is>
      </c>
      <c r="M1659" t="inlineStr">
        <is>
          <t>UNAVAILABLE</t>
        </is>
      </c>
      <c r="N1659" s="5" t="inlineStr">
        <is>
          <t>Semrush phrase_these returned no data (not billed)</t>
        </is>
      </c>
      <c r="O1659" t="inlineStr">
        <is>
          <t>2026-10-30</t>
        </is>
      </c>
      <c r="P1659">
        <f>IF(IF(J1659="NOT AVAILABLE","",J1659)="",12,IF(OR(ISNUMBER(SEARCH("Transactional",IF(J1659="NOT AVAILABLE","",J1659))),ISNUMBER(SEARCH("Commercial",IF(J1659="NOT AVAILABLE","",J1659)))),25,IF(ISNUMBER(SEARCH("Informational",IF(J1659="NOT AVAILABLE","",J1659))),10,IF(ISNUMBER(SEARCH("Navigational",IF(J1659="NOT AVAILABLE","",J1659))),0,12))))</f>
        <v/>
      </c>
      <c r="Q1659">
        <f>IF(ISNUMBER(F1659),MIN(30,ROUND(30*LOG10(F1659+1)/4,1)),0)</f>
        <v/>
      </c>
      <c r="R1659">
        <f>IF(ISNUMBER(G1659),ROUND(25*(100-G1659)/100,1),12.5)</f>
        <v/>
      </c>
      <c r="S1659" t="n">
        <v>3</v>
      </c>
      <c r="T1659">
        <f>ROUND(P1659+Q1659+R1659+S1659,0)</f>
        <v/>
      </c>
      <c r="U1659" s="5" t="inlineStr"/>
      <c r="V1659" s="5" t="inlineStr">
        <is>
          <t>PRIMARY /web-development-company/amsterdam</t>
        </is>
      </c>
    </row>
    <row r="1660">
      <c r="A1660" t="inlineStr">
        <is>
          <t>K1658</t>
        </is>
      </c>
      <c r="B1660" t="inlineStr">
        <is>
          <t>agence web lisbonne</t>
        </is>
      </c>
      <c r="C1660" t="inlineStr">
        <is>
          <t>Portugal</t>
        </is>
      </c>
      <c r="D1660" t="inlineStr">
        <is>
          <t>pt</t>
        </is>
      </c>
      <c r="E1660" t="inlineStr">
        <is>
          <t>fr</t>
        </is>
      </c>
      <c r="F1660" t="n">
        <v>0</v>
      </c>
      <c r="G1660" t="inlineStr">
        <is>
          <t>NOT AVAILABLE</t>
        </is>
      </c>
      <c r="H1660" t="n">
        <v>0</v>
      </c>
      <c r="I1660" t="n">
        <v>0</v>
      </c>
      <c r="J1660" t="inlineStr">
        <is>
          <t>NOT AVAILABLE</t>
        </is>
      </c>
      <c r="K1660" t="inlineStr">
        <is>
          <t>NOT AVAILABLE (report not requested)</t>
        </is>
      </c>
      <c r="L1660" t="inlineStr">
        <is>
          <t>flat (no data)</t>
        </is>
      </c>
      <c r="M1660" t="inlineStr">
        <is>
          <t>MEASURED</t>
        </is>
      </c>
      <c r="N1660" s="5" t="inlineStr">
        <is>
          <t>Semrush phrase_these (live, this session)</t>
        </is>
      </c>
      <c r="O1660" t="inlineStr">
        <is>
          <t>2026-10-30</t>
        </is>
      </c>
      <c r="P1660">
        <f>IF(IF(J1660="NOT AVAILABLE","",J1660)="",12,IF(OR(ISNUMBER(SEARCH("Transactional",IF(J1660="NOT AVAILABLE","",J1660))),ISNUMBER(SEARCH("Commercial",IF(J1660="NOT AVAILABLE","",J1660)))),25,IF(ISNUMBER(SEARCH("Informational",IF(J1660="NOT AVAILABLE","",J1660))),10,IF(ISNUMBER(SEARCH("Navigational",IF(J1660="NOT AVAILABLE","",J1660))),0,12))))</f>
        <v/>
      </c>
      <c r="Q1660">
        <f>IF(ISNUMBER(F1660),MIN(30,ROUND(30*LOG10(F1660+1)/4,1)),0)</f>
        <v/>
      </c>
      <c r="R1660">
        <f>IF(ISNUMBER(G1660),ROUND(25*(100-G1660)/100,1),12.5)</f>
        <v/>
      </c>
      <c r="S1660" t="n">
        <v>3</v>
      </c>
      <c r="T1660">
        <f>ROUND(P1660+Q1660+R1660+S1660,0)</f>
        <v/>
      </c>
      <c r="U1660" s="5" t="inlineStr"/>
      <c r="V1660" s="5" t="inlineStr"/>
    </row>
    <row r="1661">
      <c r="A1661" t="inlineStr">
        <is>
          <t>K1659</t>
        </is>
      </c>
      <c r="B1661" t="inlineStr">
        <is>
          <t>création site web lisbonne</t>
        </is>
      </c>
      <c r="C1661" t="inlineStr">
        <is>
          <t>Portugal</t>
        </is>
      </c>
      <c r="D1661" t="inlineStr">
        <is>
          <t>pt</t>
        </is>
      </c>
      <c r="E1661" t="inlineStr">
        <is>
          <t>fr</t>
        </is>
      </c>
      <c r="F1661" t="inlineStr">
        <is>
          <t>NOT AVAILABLE</t>
        </is>
      </c>
      <c r="G1661" t="inlineStr">
        <is>
          <t>NOT AVAILABLE</t>
        </is>
      </c>
      <c r="H1661" t="inlineStr">
        <is>
          <t>NOT AVAILABLE</t>
        </is>
      </c>
      <c r="I1661" t="inlineStr">
        <is>
          <t>NOT AVAILABLE</t>
        </is>
      </c>
      <c r="J1661" t="inlineStr">
        <is>
          <t>NOT AVAILABLE</t>
        </is>
      </c>
      <c r="K1661" t="inlineStr">
        <is>
          <t>NOT AVAILABLE</t>
        </is>
      </c>
      <c r="L1661" t="inlineStr">
        <is>
          <t>NOT AVAILABLE</t>
        </is>
      </c>
      <c r="M1661" t="inlineStr">
        <is>
          <t>UNAVAILABLE</t>
        </is>
      </c>
      <c r="N1661" s="5" t="inlineStr">
        <is>
          <t>Semrush phrase_these returned no data (not billed)</t>
        </is>
      </c>
      <c r="O1661" t="inlineStr">
        <is>
          <t>2026-10-30</t>
        </is>
      </c>
      <c r="P1661">
        <f>IF(IF(J1661="NOT AVAILABLE","",J1661)="",12,IF(OR(ISNUMBER(SEARCH("Transactional",IF(J1661="NOT AVAILABLE","",J1661))),ISNUMBER(SEARCH("Commercial",IF(J1661="NOT AVAILABLE","",J1661)))),25,IF(ISNUMBER(SEARCH("Informational",IF(J1661="NOT AVAILABLE","",J1661))),10,IF(ISNUMBER(SEARCH("Navigational",IF(J1661="NOT AVAILABLE","",J1661))),0,12))))</f>
        <v/>
      </c>
      <c r="Q1661">
        <f>IF(ISNUMBER(F1661),MIN(30,ROUND(30*LOG10(F1661+1)/4,1)),0)</f>
        <v/>
      </c>
      <c r="R1661">
        <f>IF(ISNUMBER(G1661),ROUND(25*(100-G1661)/100,1),12.5)</f>
        <v/>
      </c>
      <c r="S1661" t="n">
        <v>3</v>
      </c>
      <c r="T1661">
        <f>ROUND(P1661+Q1661+R1661+S1661,0)</f>
        <v/>
      </c>
      <c r="U1661" s="5" t="inlineStr"/>
      <c r="V1661" s="5" t="inlineStr"/>
    </row>
    <row r="1662">
      <c r="A1662" t="inlineStr">
        <is>
          <t>K1660</t>
        </is>
      </c>
      <c r="B1662" t="inlineStr">
        <is>
          <t>desenvolvimento web lisboa</t>
        </is>
      </c>
      <c r="C1662" t="inlineStr">
        <is>
          <t>Portugal</t>
        </is>
      </c>
      <c r="D1662" t="inlineStr">
        <is>
          <t>pt</t>
        </is>
      </c>
      <c r="E1662" t="inlineStr">
        <is>
          <t>pt</t>
        </is>
      </c>
      <c r="F1662" t="inlineStr">
        <is>
          <t>NOT AVAILABLE</t>
        </is>
      </c>
      <c r="G1662" t="inlineStr">
        <is>
          <t>NOT AVAILABLE</t>
        </is>
      </c>
      <c r="H1662" t="inlineStr">
        <is>
          <t>NOT AVAILABLE</t>
        </is>
      </c>
      <c r="I1662" t="inlineStr">
        <is>
          <t>NOT AVAILABLE</t>
        </is>
      </c>
      <c r="J1662" t="inlineStr">
        <is>
          <t>NOT AVAILABLE</t>
        </is>
      </c>
      <c r="K1662" t="inlineStr">
        <is>
          <t>NOT AVAILABLE</t>
        </is>
      </c>
      <c r="L1662" t="inlineStr">
        <is>
          <t>NOT AVAILABLE</t>
        </is>
      </c>
      <c r="M1662" t="inlineStr">
        <is>
          <t>UNAVAILABLE</t>
        </is>
      </c>
      <c r="N1662" s="5" t="inlineStr">
        <is>
          <t>Semrush phrase_these returned no data (not billed)</t>
        </is>
      </c>
      <c r="O1662" t="inlineStr">
        <is>
          <t>2026-10-30</t>
        </is>
      </c>
      <c r="P1662">
        <f>IF(IF(J1662="NOT AVAILABLE","",J1662)="",12,IF(OR(ISNUMBER(SEARCH("Transactional",IF(J1662="NOT AVAILABLE","",J1662))),ISNUMBER(SEARCH("Commercial",IF(J1662="NOT AVAILABLE","",J1662)))),25,IF(ISNUMBER(SEARCH("Informational",IF(J1662="NOT AVAILABLE","",J1662))),10,IF(ISNUMBER(SEARCH("Navigational",IF(J1662="NOT AVAILABLE","",J1662))),0,12))))</f>
        <v/>
      </c>
      <c r="Q1662">
        <f>IF(ISNUMBER(F1662),MIN(30,ROUND(30*LOG10(F1662+1)/4,1)),0)</f>
        <v/>
      </c>
      <c r="R1662">
        <f>IF(ISNUMBER(G1662),ROUND(25*(100-G1662)/100,1),12.5)</f>
        <v/>
      </c>
      <c r="S1662" t="n">
        <v>3</v>
      </c>
      <c r="T1662">
        <f>ROUND(P1662+Q1662+R1662+S1662,0)</f>
        <v/>
      </c>
      <c r="U1662" s="5" t="inlineStr"/>
      <c r="V1662" s="5" t="inlineStr">
        <is>
          <t>NOT RECOMMENDED /web-development-company/lisbon</t>
        </is>
      </c>
    </row>
    <row r="1663">
      <c r="A1663" t="inlineStr">
        <is>
          <t>K1661</t>
        </is>
      </c>
      <c r="B1663" t="inlineStr">
        <is>
          <t>développement web lisbonne</t>
        </is>
      </c>
      <c r="C1663" t="inlineStr">
        <is>
          <t>Portugal</t>
        </is>
      </c>
      <c r="D1663" t="inlineStr">
        <is>
          <t>pt</t>
        </is>
      </c>
      <c r="E1663" t="inlineStr">
        <is>
          <t>fr</t>
        </is>
      </c>
      <c r="F1663" t="inlineStr">
        <is>
          <t>NOT AVAILABLE</t>
        </is>
      </c>
      <c r="G1663" t="inlineStr">
        <is>
          <t>NOT AVAILABLE</t>
        </is>
      </c>
      <c r="H1663" t="inlineStr">
        <is>
          <t>NOT AVAILABLE</t>
        </is>
      </c>
      <c r="I1663" t="inlineStr">
        <is>
          <t>NOT AVAILABLE</t>
        </is>
      </c>
      <c r="J1663" t="inlineStr">
        <is>
          <t>NOT AVAILABLE</t>
        </is>
      </c>
      <c r="K1663" t="inlineStr">
        <is>
          <t>NOT AVAILABLE</t>
        </is>
      </c>
      <c r="L1663" t="inlineStr">
        <is>
          <t>NOT AVAILABLE</t>
        </is>
      </c>
      <c r="M1663" t="inlineStr">
        <is>
          <t>UNAVAILABLE</t>
        </is>
      </c>
      <c r="N1663" s="5" t="inlineStr">
        <is>
          <t>Semrush phrase_these returned no data (not billed)</t>
        </is>
      </c>
      <c r="O1663" t="inlineStr">
        <is>
          <t>2026-10-30</t>
        </is>
      </c>
      <c r="P1663">
        <f>IF(IF(J1663="NOT AVAILABLE","",J1663)="",12,IF(OR(ISNUMBER(SEARCH("Transactional",IF(J1663="NOT AVAILABLE","",J1663))),ISNUMBER(SEARCH("Commercial",IF(J1663="NOT AVAILABLE","",J1663)))),25,IF(ISNUMBER(SEARCH("Informational",IF(J1663="NOT AVAILABLE","",J1663))),10,IF(ISNUMBER(SEARCH("Navigational",IF(J1663="NOT AVAILABLE","",J1663))),0,12))))</f>
        <v/>
      </c>
      <c r="Q1663">
        <f>IF(ISNUMBER(F1663),MIN(30,ROUND(30*LOG10(F1663+1)/4,1)),0)</f>
        <v/>
      </c>
      <c r="R1663">
        <f>IF(ISNUMBER(G1663),ROUND(25*(100-G1663)/100,1),12.5)</f>
        <v/>
      </c>
      <c r="S1663" t="n">
        <v>3</v>
      </c>
      <c r="T1663">
        <f>ROUND(P1663+Q1663+R1663+S1663,0)</f>
        <v/>
      </c>
      <c r="U1663" s="5" t="inlineStr"/>
      <c r="V1663" s="5" t="inlineStr">
        <is>
          <t>PRIMARY /web-development-company/lisbon</t>
        </is>
      </c>
    </row>
    <row r="1664">
      <c r="A1664" t="inlineStr">
        <is>
          <t>K1662</t>
        </is>
      </c>
      <c r="B1664" t="inlineStr">
        <is>
          <t>agence web riyad</t>
        </is>
      </c>
      <c r="C1664" t="inlineStr">
        <is>
          <t>Saudi Arabia</t>
        </is>
      </c>
      <c r="D1664" t="inlineStr">
        <is>
          <t>sa</t>
        </is>
      </c>
      <c r="E1664" t="inlineStr">
        <is>
          <t>fr</t>
        </is>
      </c>
      <c r="F1664" t="inlineStr">
        <is>
          <t>NOT AVAILABLE</t>
        </is>
      </c>
      <c r="G1664" t="inlineStr">
        <is>
          <t>NOT AVAILABLE</t>
        </is>
      </c>
      <c r="H1664" t="inlineStr">
        <is>
          <t>NOT AVAILABLE</t>
        </is>
      </c>
      <c r="I1664" t="inlineStr">
        <is>
          <t>NOT AVAILABLE</t>
        </is>
      </c>
      <c r="J1664" t="inlineStr">
        <is>
          <t>NOT AVAILABLE</t>
        </is>
      </c>
      <c r="K1664" t="inlineStr">
        <is>
          <t>NOT AVAILABLE</t>
        </is>
      </c>
      <c r="L1664" t="inlineStr">
        <is>
          <t>NOT AVAILABLE</t>
        </is>
      </c>
      <c r="M1664" t="inlineStr">
        <is>
          <t>UNAVAILABLE</t>
        </is>
      </c>
      <c r="N1664" s="5" t="inlineStr">
        <is>
          <t>Semrush phrase_these returned no data (not billed)</t>
        </is>
      </c>
      <c r="O1664" t="inlineStr">
        <is>
          <t>2026-10-30</t>
        </is>
      </c>
      <c r="P1664">
        <f>IF(IF(J1664="NOT AVAILABLE","",J1664)="",12,IF(OR(ISNUMBER(SEARCH("Transactional",IF(J1664="NOT AVAILABLE","",J1664))),ISNUMBER(SEARCH("Commercial",IF(J1664="NOT AVAILABLE","",J1664)))),25,IF(ISNUMBER(SEARCH("Informational",IF(J1664="NOT AVAILABLE","",J1664))),10,IF(ISNUMBER(SEARCH("Navigational",IF(J1664="NOT AVAILABLE","",J1664))),0,12))))</f>
        <v/>
      </c>
      <c r="Q1664">
        <f>IF(ISNUMBER(F1664),MIN(30,ROUND(30*LOG10(F1664+1)/4,1)),0)</f>
        <v/>
      </c>
      <c r="R1664">
        <f>IF(ISNUMBER(G1664),ROUND(25*(100-G1664)/100,1),12.5)</f>
        <v/>
      </c>
      <c r="S1664" t="n">
        <v>3</v>
      </c>
      <c r="T1664">
        <f>ROUND(P1664+Q1664+R1664+S1664,0)</f>
        <v/>
      </c>
      <c r="U1664" s="5" t="inlineStr"/>
      <c r="V1664" s="5" t="inlineStr"/>
    </row>
    <row r="1665">
      <c r="A1665" t="inlineStr">
        <is>
          <t>K1663</t>
        </is>
      </c>
      <c r="B1665" t="inlineStr">
        <is>
          <t>création site web riyad</t>
        </is>
      </c>
      <c r="C1665" t="inlineStr">
        <is>
          <t>Saudi Arabia</t>
        </is>
      </c>
      <c r="D1665" t="inlineStr">
        <is>
          <t>sa</t>
        </is>
      </c>
      <c r="E1665" t="inlineStr">
        <is>
          <t>fr</t>
        </is>
      </c>
      <c r="F1665" t="inlineStr">
        <is>
          <t>NOT AVAILABLE</t>
        </is>
      </c>
      <c r="G1665" t="inlineStr">
        <is>
          <t>NOT AVAILABLE</t>
        </is>
      </c>
      <c r="H1665" t="inlineStr">
        <is>
          <t>NOT AVAILABLE</t>
        </is>
      </c>
      <c r="I1665" t="inlineStr">
        <is>
          <t>NOT AVAILABLE</t>
        </is>
      </c>
      <c r="J1665" t="inlineStr">
        <is>
          <t>NOT AVAILABLE</t>
        </is>
      </c>
      <c r="K1665" t="inlineStr">
        <is>
          <t>NOT AVAILABLE</t>
        </is>
      </c>
      <c r="L1665" t="inlineStr">
        <is>
          <t>NOT AVAILABLE</t>
        </is>
      </c>
      <c r="M1665" t="inlineStr">
        <is>
          <t>UNAVAILABLE</t>
        </is>
      </c>
      <c r="N1665" s="5" t="inlineStr">
        <is>
          <t>Semrush phrase_these returned no data (not billed)</t>
        </is>
      </c>
      <c r="O1665" t="inlineStr">
        <is>
          <t>2026-10-30</t>
        </is>
      </c>
      <c r="P1665">
        <f>IF(IF(J1665="NOT AVAILABLE","",J1665)="",12,IF(OR(ISNUMBER(SEARCH("Transactional",IF(J1665="NOT AVAILABLE","",J1665))),ISNUMBER(SEARCH("Commercial",IF(J1665="NOT AVAILABLE","",J1665)))),25,IF(ISNUMBER(SEARCH("Informational",IF(J1665="NOT AVAILABLE","",J1665))),10,IF(ISNUMBER(SEARCH("Navigational",IF(J1665="NOT AVAILABLE","",J1665))),0,12))))</f>
        <v/>
      </c>
      <c r="Q1665">
        <f>IF(ISNUMBER(F1665),MIN(30,ROUND(30*LOG10(F1665+1)/4,1)),0)</f>
        <v/>
      </c>
      <c r="R1665">
        <f>IF(ISNUMBER(G1665),ROUND(25*(100-G1665)/100,1),12.5)</f>
        <v/>
      </c>
      <c r="S1665" t="n">
        <v>3</v>
      </c>
      <c r="T1665">
        <f>ROUND(P1665+Q1665+R1665+S1665,0)</f>
        <v/>
      </c>
      <c r="U1665" s="5" t="inlineStr"/>
      <c r="V1665" s="5" t="inlineStr"/>
    </row>
    <row r="1666">
      <c r="A1666" t="inlineStr">
        <is>
          <t>K1664</t>
        </is>
      </c>
      <c r="B1666" t="inlineStr">
        <is>
          <t>développement web riyad</t>
        </is>
      </c>
      <c r="C1666" t="inlineStr">
        <is>
          <t>Saudi Arabia</t>
        </is>
      </c>
      <c r="D1666" t="inlineStr">
        <is>
          <t>sa</t>
        </is>
      </c>
      <c r="E1666" t="inlineStr">
        <is>
          <t>fr</t>
        </is>
      </c>
      <c r="F1666" t="inlineStr">
        <is>
          <t>NOT AVAILABLE</t>
        </is>
      </c>
      <c r="G1666" t="inlineStr">
        <is>
          <t>NOT AVAILABLE</t>
        </is>
      </c>
      <c r="H1666" t="inlineStr">
        <is>
          <t>NOT AVAILABLE</t>
        </is>
      </c>
      <c r="I1666" t="inlineStr">
        <is>
          <t>NOT AVAILABLE</t>
        </is>
      </c>
      <c r="J1666" t="inlineStr">
        <is>
          <t>NOT AVAILABLE</t>
        </is>
      </c>
      <c r="K1666" t="inlineStr">
        <is>
          <t>NOT AVAILABLE</t>
        </is>
      </c>
      <c r="L1666" t="inlineStr">
        <is>
          <t>NOT AVAILABLE</t>
        </is>
      </c>
      <c r="M1666" t="inlineStr">
        <is>
          <t>UNAVAILABLE</t>
        </is>
      </c>
      <c r="N1666" s="5" t="inlineStr">
        <is>
          <t>Semrush phrase_these returned no data (not billed)</t>
        </is>
      </c>
      <c r="O1666" t="inlineStr">
        <is>
          <t>2026-10-30</t>
        </is>
      </c>
      <c r="P1666">
        <f>IF(IF(J1666="NOT AVAILABLE","",J1666)="",12,IF(OR(ISNUMBER(SEARCH("Transactional",IF(J1666="NOT AVAILABLE","",J1666))),ISNUMBER(SEARCH("Commercial",IF(J1666="NOT AVAILABLE","",J1666)))),25,IF(ISNUMBER(SEARCH("Informational",IF(J1666="NOT AVAILABLE","",J1666))),10,IF(ISNUMBER(SEARCH("Navigational",IF(J1666="NOT AVAILABLE","",J1666))),0,12))))</f>
        <v/>
      </c>
      <c r="Q1666">
        <f>IF(ISNUMBER(F1666),MIN(30,ROUND(30*LOG10(F1666+1)/4,1)),0)</f>
        <v/>
      </c>
      <c r="R1666">
        <f>IF(ISNUMBER(G1666),ROUND(25*(100-G1666)/100,1),12.5)</f>
        <v/>
      </c>
      <c r="S1666" t="n">
        <v>3</v>
      </c>
      <c r="T1666">
        <f>ROUND(P1666+Q1666+R1666+S1666,0)</f>
        <v/>
      </c>
      <c r="U1666" s="5" t="inlineStr"/>
      <c r="V1666" s="5" t="inlineStr">
        <is>
          <t>PRIMARY /web-development-company/riyadh</t>
        </is>
      </c>
    </row>
    <row r="1667">
      <c r="A1667" t="inlineStr">
        <is>
          <t>K1665</t>
        </is>
      </c>
      <c r="B1667" t="inlineStr">
        <is>
          <t>web development company riyadh</t>
        </is>
      </c>
      <c r="C1667" t="inlineStr">
        <is>
          <t>Saudi Arabia</t>
        </is>
      </c>
      <c r="D1667" t="inlineStr">
        <is>
          <t>sa</t>
        </is>
      </c>
      <c r="E1667" t="inlineStr">
        <is>
          <t>en</t>
        </is>
      </c>
      <c r="F1667" t="n">
        <v>0</v>
      </c>
      <c r="G1667" t="inlineStr">
        <is>
          <t>NOT AVAILABLE</t>
        </is>
      </c>
      <c r="H1667" t="n">
        <v>0</v>
      </c>
      <c r="I1667" t="n">
        <v>0</v>
      </c>
      <c r="J1667" t="inlineStr">
        <is>
          <t>NOT AVAILABLE</t>
        </is>
      </c>
      <c r="K1667" t="inlineStr">
        <is>
          <t>NOT AVAILABLE (report not requested)</t>
        </is>
      </c>
      <c r="L1667" t="inlineStr">
        <is>
          <t>flat (no data)</t>
        </is>
      </c>
      <c r="M1667" t="inlineStr">
        <is>
          <t>MEASURED</t>
        </is>
      </c>
      <c r="N1667" s="5" t="inlineStr">
        <is>
          <t>Semrush phrase_these (live, this session)</t>
        </is>
      </c>
      <c r="O1667" t="inlineStr">
        <is>
          <t>2026-10-30</t>
        </is>
      </c>
      <c r="P1667">
        <f>IF(IF(J1667="NOT AVAILABLE","",J1667)="",12,IF(OR(ISNUMBER(SEARCH("Transactional",IF(J1667="NOT AVAILABLE","",J1667))),ISNUMBER(SEARCH("Commercial",IF(J1667="NOT AVAILABLE","",J1667)))),25,IF(ISNUMBER(SEARCH("Informational",IF(J1667="NOT AVAILABLE","",J1667))),10,IF(ISNUMBER(SEARCH("Navigational",IF(J1667="NOT AVAILABLE","",J1667))),0,12))))</f>
        <v/>
      </c>
      <c r="Q1667">
        <f>IF(ISNUMBER(F1667),MIN(30,ROUND(30*LOG10(F1667+1)/4,1)),0)</f>
        <v/>
      </c>
      <c r="R1667">
        <f>IF(ISNUMBER(G1667),ROUND(25*(100-G1667)/100,1),12.5)</f>
        <v/>
      </c>
      <c r="S1667" t="n">
        <v>3</v>
      </c>
      <c r="T1667">
        <f>ROUND(P1667+Q1667+R1667+S1667,0)</f>
        <v/>
      </c>
      <c r="U1667" s="5" t="inlineStr"/>
      <c r="V1667" s="5" t="inlineStr">
        <is>
          <t>NOT RECOMMENDED /web-development-company/riyadh</t>
        </is>
      </c>
    </row>
    <row r="1668">
      <c r="A1668" t="inlineStr">
        <is>
          <t>K1666</t>
        </is>
      </c>
      <c r="B1668" t="inlineStr">
        <is>
          <t>webbyrå stockholm</t>
        </is>
      </c>
      <c r="C1668" t="inlineStr">
        <is>
          <t>Sweden</t>
        </is>
      </c>
      <c r="D1668" t="inlineStr">
        <is>
          <t>se</t>
        </is>
      </c>
      <c r="E1668" t="inlineStr">
        <is>
          <t>sv</t>
        </is>
      </c>
      <c r="F1668" t="n">
        <v>1300</v>
      </c>
      <c r="G1668" t="n">
        <v>53</v>
      </c>
      <c r="H1668" t="n">
        <v>8.58</v>
      </c>
      <c r="I1668" t="n">
        <v>0.51</v>
      </c>
      <c r="J1668" t="inlineStr">
        <is>
          <t>Commercial</t>
        </is>
      </c>
      <c r="K1668" t="inlineStr">
        <is>
          <t>NOT AVAILABLE (report not requested)</t>
        </is>
      </c>
      <c r="L1668" t="inlineStr">
        <is>
          <t>rising (calc.)</t>
        </is>
      </c>
      <c r="M1668" t="inlineStr">
        <is>
          <t>MEASURED</t>
        </is>
      </c>
      <c r="N1668" s="5" t="inlineStr">
        <is>
          <t>Semrush phrase_these (live, this session)</t>
        </is>
      </c>
      <c r="O1668" t="inlineStr">
        <is>
          <t>2026-10-30</t>
        </is>
      </c>
      <c r="P1668">
        <f>IF(IF(J1668="NOT AVAILABLE","",J1668)="",12,IF(OR(ISNUMBER(SEARCH("Transactional",IF(J1668="NOT AVAILABLE","",J1668))),ISNUMBER(SEARCH("Commercial",IF(J1668="NOT AVAILABLE","",J1668)))),25,IF(ISNUMBER(SEARCH("Informational",IF(J1668="NOT AVAILABLE","",J1668))),10,IF(ISNUMBER(SEARCH("Navigational",IF(J1668="NOT AVAILABLE","",J1668))),0,12))))</f>
        <v/>
      </c>
      <c r="Q1668">
        <f>IF(ISNUMBER(F1668),MIN(30,ROUND(30*LOG10(F1668+1)/4,1)),0)</f>
        <v/>
      </c>
      <c r="R1668">
        <f>IF(ISNUMBER(G1668),ROUND(25*(100-G1668)/100,1),12.5)</f>
        <v/>
      </c>
      <c r="S1668" t="n">
        <v>3</v>
      </c>
      <c r="T1668">
        <f>ROUND(P1668+Q1668+R1668+S1668,0)</f>
        <v/>
      </c>
      <c r="U1668" s="5" t="inlineStr"/>
      <c r="V1668" s="5" t="inlineStr">
        <is>
          <t>NOT RECOMMENDED /web-development-company/stockholm</t>
        </is>
      </c>
    </row>
    <row r="1669">
      <c r="A1669" t="inlineStr">
        <is>
          <t>K1667</t>
        </is>
      </c>
      <c r="B1669" t="inlineStr">
        <is>
          <t>agence web stockholm</t>
        </is>
      </c>
      <c r="C1669" t="inlineStr">
        <is>
          <t>Sweden</t>
        </is>
      </c>
      <c r="D1669" t="inlineStr">
        <is>
          <t>se</t>
        </is>
      </c>
      <c r="E1669" t="inlineStr">
        <is>
          <t>fr</t>
        </is>
      </c>
      <c r="F1669" t="n">
        <v>0</v>
      </c>
      <c r="G1669" t="inlineStr">
        <is>
          <t>NOT AVAILABLE</t>
        </is>
      </c>
      <c r="H1669" t="n">
        <v>0</v>
      </c>
      <c r="I1669" t="n">
        <v>0</v>
      </c>
      <c r="J1669" t="inlineStr">
        <is>
          <t>NOT AVAILABLE</t>
        </is>
      </c>
      <c r="K1669" t="inlineStr">
        <is>
          <t>NOT AVAILABLE (report not requested)</t>
        </is>
      </c>
      <c r="L1669" t="inlineStr">
        <is>
          <t>flat (no data)</t>
        </is>
      </c>
      <c r="M1669" t="inlineStr">
        <is>
          <t>MEASURED</t>
        </is>
      </c>
      <c r="N1669" s="5" t="inlineStr">
        <is>
          <t>Semrush phrase_these (live, this session)</t>
        </is>
      </c>
      <c r="O1669" t="inlineStr">
        <is>
          <t>2026-10-30</t>
        </is>
      </c>
      <c r="P1669">
        <f>IF(IF(J1669="NOT AVAILABLE","",J1669)="",12,IF(OR(ISNUMBER(SEARCH("Transactional",IF(J1669="NOT AVAILABLE","",J1669))),ISNUMBER(SEARCH("Commercial",IF(J1669="NOT AVAILABLE","",J1669)))),25,IF(ISNUMBER(SEARCH("Informational",IF(J1669="NOT AVAILABLE","",J1669))),10,IF(ISNUMBER(SEARCH("Navigational",IF(J1669="NOT AVAILABLE","",J1669))),0,12))))</f>
        <v/>
      </c>
      <c r="Q1669">
        <f>IF(ISNUMBER(F1669),MIN(30,ROUND(30*LOG10(F1669+1)/4,1)),0)</f>
        <v/>
      </c>
      <c r="R1669">
        <f>IF(ISNUMBER(G1669),ROUND(25*(100-G1669)/100,1),12.5)</f>
        <v/>
      </c>
      <c r="S1669" t="n">
        <v>3</v>
      </c>
      <c r="T1669">
        <f>ROUND(P1669+Q1669+R1669+S1669,0)</f>
        <v/>
      </c>
      <c r="U1669" s="5" t="inlineStr"/>
      <c r="V1669" s="5" t="inlineStr"/>
    </row>
    <row r="1670">
      <c r="A1670" t="inlineStr">
        <is>
          <t>K1668</t>
        </is>
      </c>
      <c r="B1670" t="inlineStr">
        <is>
          <t>création site web stockholm</t>
        </is>
      </c>
      <c r="C1670" t="inlineStr">
        <is>
          <t>Sweden</t>
        </is>
      </c>
      <c r="D1670" t="inlineStr">
        <is>
          <t>se</t>
        </is>
      </c>
      <c r="E1670" t="inlineStr">
        <is>
          <t>fr</t>
        </is>
      </c>
      <c r="F1670" t="inlineStr">
        <is>
          <t>NOT AVAILABLE</t>
        </is>
      </c>
      <c r="G1670" t="inlineStr">
        <is>
          <t>NOT AVAILABLE</t>
        </is>
      </c>
      <c r="H1670" t="inlineStr">
        <is>
          <t>NOT AVAILABLE</t>
        </is>
      </c>
      <c r="I1670" t="inlineStr">
        <is>
          <t>NOT AVAILABLE</t>
        </is>
      </c>
      <c r="J1670" t="inlineStr">
        <is>
          <t>NOT AVAILABLE</t>
        </is>
      </c>
      <c r="K1670" t="inlineStr">
        <is>
          <t>NOT AVAILABLE</t>
        </is>
      </c>
      <c r="L1670" t="inlineStr">
        <is>
          <t>NOT AVAILABLE</t>
        </is>
      </c>
      <c r="M1670" t="inlineStr">
        <is>
          <t>UNAVAILABLE</t>
        </is>
      </c>
      <c r="N1670" s="5" t="inlineStr">
        <is>
          <t>Semrush phrase_these returned no data (not billed)</t>
        </is>
      </c>
      <c r="O1670" t="inlineStr">
        <is>
          <t>2026-10-30</t>
        </is>
      </c>
      <c r="P1670">
        <f>IF(IF(J1670="NOT AVAILABLE","",J1670)="",12,IF(OR(ISNUMBER(SEARCH("Transactional",IF(J1670="NOT AVAILABLE","",J1670))),ISNUMBER(SEARCH("Commercial",IF(J1670="NOT AVAILABLE","",J1670)))),25,IF(ISNUMBER(SEARCH("Informational",IF(J1670="NOT AVAILABLE","",J1670))),10,IF(ISNUMBER(SEARCH("Navigational",IF(J1670="NOT AVAILABLE","",J1670))),0,12))))</f>
        <v/>
      </c>
      <c r="Q1670">
        <f>IF(ISNUMBER(F1670),MIN(30,ROUND(30*LOG10(F1670+1)/4,1)),0)</f>
        <v/>
      </c>
      <c r="R1670">
        <f>IF(ISNUMBER(G1670),ROUND(25*(100-G1670)/100,1),12.5)</f>
        <v/>
      </c>
      <c r="S1670" t="n">
        <v>3</v>
      </c>
      <c r="T1670">
        <f>ROUND(P1670+Q1670+R1670+S1670,0)</f>
        <v/>
      </c>
      <c r="U1670" s="5" t="inlineStr"/>
      <c r="V1670" s="5" t="inlineStr"/>
    </row>
    <row r="1671">
      <c r="A1671" t="inlineStr">
        <is>
          <t>K1669</t>
        </is>
      </c>
      <c r="B1671" t="inlineStr">
        <is>
          <t>développement web stockholm</t>
        </is>
      </c>
      <c r="C1671" t="inlineStr">
        <is>
          <t>Sweden</t>
        </is>
      </c>
      <c r="D1671" t="inlineStr">
        <is>
          <t>se</t>
        </is>
      </c>
      <c r="E1671" t="inlineStr">
        <is>
          <t>fr</t>
        </is>
      </c>
      <c r="F1671" t="inlineStr">
        <is>
          <t>NOT AVAILABLE</t>
        </is>
      </c>
      <c r="G1671" t="inlineStr">
        <is>
          <t>NOT AVAILABLE</t>
        </is>
      </c>
      <c r="H1671" t="inlineStr">
        <is>
          <t>NOT AVAILABLE</t>
        </is>
      </c>
      <c r="I1671" t="inlineStr">
        <is>
          <t>NOT AVAILABLE</t>
        </is>
      </c>
      <c r="J1671" t="inlineStr">
        <is>
          <t>NOT AVAILABLE</t>
        </is>
      </c>
      <c r="K1671" t="inlineStr">
        <is>
          <t>NOT AVAILABLE</t>
        </is>
      </c>
      <c r="L1671" t="inlineStr">
        <is>
          <t>NOT AVAILABLE</t>
        </is>
      </c>
      <c r="M1671" t="inlineStr">
        <is>
          <t>UNAVAILABLE</t>
        </is>
      </c>
      <c r="N1671" s="5" t="inlineStr">
        <is>
          <t>Semrush phrase_these returned no data (not billed)</t>
        </is>
      </c>
      <c r="O1671" t="inlineStr">
        <is>
          <t>2026-10-30</t>
        </is>
      </c>
      <c r="P1671">
        <f>IF(IF(J1671="NOT AVAILABLE","",J1671)="",12,IF(OR(ISNUMBER(SEARCH("Transactional",IF(J1671="NOT AVAILABLE","",J1671))),ISNUMBER(SEARCH("Commercial",IF(J1671="NOT AVAILABLE","",J1671)))),25,IF(ISNUMBER(SEARCH("Informational",IF(J1671="NOT AVAILABLE","",J1671))),10,IF(ISNUMBER(SEARCH("Navigational",IF(J1671="NOT AVAILABLE","",J1671))),0,12))))</f>
        <v/>
      </c>
      <c r="Q1671">
        <f>IF(ISNUMBER(F1671),MIN(30,ROUND(30*LOG10(F1671+1)/4,1)),0)</f>
        <v/>
      </c>
      <c r="R1671">
        <f>IF(ISNUMBER(G1671),ROUND(25*(100-G1671)/100,1),12.5)</f>
        <v/>
      </c>
      <c r="S1671" t="n">
        <v>3</v>
      </c>
      <c r="T1671">
        <f>ROUND(P1671+Q1671+R1671+S1671,0)</f>
        <v/>
      </c>
      <c r="U1671" s="5" t="inlineStr"/>
      <c r="V1671" s="5" t="inlineStr">
        <is>
          <t>PRIMARY /web-development-company/stockholm</t>
        </is>
      </c>
    </row>
    <row r="1672">
      <c r="A1672" t="inlineStr">
        <is>
          <t>K1670</t>
        </is>
      </c>
      <c r="B1672" t="inlineStr">
        <is>
          <t>webdesigner</t>
        </is>
      </c>
      <c r="C1672" t="inlineStr">
        <is>
          <t>Senegal</t>
        </is>
      </c>
      <c r="D1672" t="inlineStr">
        <is>
          <t>sn</t>
        </is>
      </c>
      <c r="E1672" t="inlineStr">
        <is>
          <t>fr</t>
        </is>
      </c>
      <c r="F1672" t="n">
        <v>140</v>
      </c>
      <c r="G1672" t="n">
        <v>26</v>
      </c>
      <c r="H1672" t="n">
        <v>0.62</v>
      </c>
      <c r="I1672" t="n">
        <v>0.06</v>
      </c>
      <c r="J1672" t="inlineStr">
        <is>
          <t>Informational</t>
        </is>
      </c>
      <c r="K1672" t="inlineStr">
        <is>
          <t>NOT AVAILABLE (report not requested)</t>
        </is>
      </c>
      <c r="L1672" t="inlineStr">
        <is>
          <t>stable (calc.)</t>
        </is>
      </c>
      <c r="M1672" t="inlineStr">
        <is>
          <t>MEASURED</t>
        </is>
      </c>
      <c r="N1672" s="5" t="inlineStr">
        <is>
          <t>Semrush phrase_these (live, this session)</t>
        </is>
      </c>
      <c r="O1672" t="inlineStr">
        <is>
          <t>2026-10-30</t>
        </is>
      </c>
      <c r="P1672">
        <f>IF(IF(J1672="NOT AVAILABLE","",J1672)="",12,IF(OR(ISNUMBER(SEARCH("Transactional",IF(J1672="NOT AVAILABLE","",J1672))),ISNUMBER(SEARCH("Commercial",IF(J1672="NOT AVAILABLE","",J1672)))),25,IF(ISNUMBER(SEARCH("Informational",IF(J1672="NOT AVAILABLE","",J1672))),10,IF(ISNUMBER(SEARCH("Navigational",IF(J1672="NOT AVAILABLE","",J1672))),0,12))))</f>
        <v/>
      </c>
      <c r="Q1672">
        <f>IF(ISNUMBER(F1672),MIN(30,ROUND(30*LOG10(F1672+1)/4,1)),0)</f>
        <v/>
      </c>
      <c r="R1672">
        <f>IF(ISNUMBER(G1672),ROUND(25*(100-G1672)/100,1),12.5)</f>
        <v/>
      </c>
      <c r="S1672" t="n">
        <v>6</v>
      </c>
      <c r="T1672">
        <f>ROUND(P1672+Q1672+R1672+S1672,0)</f>
        <v/>
      </c>
      <c r="U1672" s="5" t="inlineStr"/>
      <c r="V1672" s="5" t="inlineStr"/>
    </row>
    <row r="1673">
      <c r="A1673" t="inlineStr">
        <is>
          <t>K1671</t>
        </is>
      </c>
      <c r="B1673" t="inlineStr">
        <is>
          <t>référencement naturel</t>
        </is>
      </c>
      <c r="C1673" t="inlineStr">
        <is>
          <t>Senegal</t>
        </is>
      </c>
      <c r="D1673" t="inlineStr">
        <is>
          <t>sn</t>
        </is>
      </c>
      <c r="E1673" t="inlineStr">
        <is>
          <t>fr</t>
        </is>
      </c>
      <c r="F1673" t="n">
        <v>40</v>
      </c>
      <c r="G1673" t="n">
        <v>47</v>
      </c>
      <c r="H1673" t="n">
        <v>0</v>
      </c>
      <c r="I1673" t="n">
        <v>0.33</v>
      </c>
      <c r="J1673" t="inlineStr">
        <is>
          <t>Informational</t>
        </is>
      </c>
      <c r="K1673" t="inlineStr">
        <is>
          <t>NOT AVAILABLE (report not requested)</t>
        </is>
      </c>
      <c r="L1673" t="inlineStr">
        <is>
          <t>rising (calc.)</t>
        </is>
      </c>
      <c r="M1673" t="inlineStr">
        <is>
          <t>MEASURED</t>
        </is>
      </c>
      <c r="N1673" s="5" t="inlineStr">
        <is>
          <t>Semrush phrase_these (live, this session)</t>
        </is>
      </c>
      <c r="O1673" t="inlineStr">
        <is>
          <t>2026-10-30</t>
        </is>
      </c>
      <c r="P1673">
        <f>IF(IF(J1673="NOT AVAILABLE","",J1673)="",12,IF(OR(ISNUMBER(SEARCH("Transactional",IF(J1673="NOT AVAILABLE","",J1673))),ISNUMBER(SEARCH("Commercial",IF(J1673="NOT AVAILABLE","",J1673)))),25,IF(ISNUMBER(SEARCH("Informational",IF(J1673="NOT AVAILABLE","",J1673))),10,IF(ISNUMBER(SEARCH("Navigational",IF(J1673="NOT AVAILABLE","",J1673))),0,12))))</f>
        <v/>
      </c>
      <c r="Q1673">
        <f>IF(ISNUMBER(F1673),MIN(30,ROUND(30*LOG10(F1673+1)/4,1)),0)</f>
        <v/>
      </c>
      <c r="R1673">
        <f>IF(ISNUMBER(G1673),ROUND(25*(100-G1673)/100,1),12.5)</f>
        <v/>
      </c>
      <c r="S1673" t="n">
        <v>6</v>
      </c>
      <c r="T1673">
        <f>ROUND(P1673+Q1673+R1673+S1673,0)</f>
        <v/>
      </c>
      <c r="U1673" s="5" t="inlineStr"/>
      <c r="V1673" s="5" t="inlineStr"/>
    </row>
    <row r="1674">
      <c r="A1674" t="inlineStr">
        <is>
          <t>K1672</t>
        </is>
      </c>
      <c r="B1674" t="inlineStr">
        <is>
          <t>agence web</t>
        </is>
      </c>
      <c r="C1674" t="inlineStr">
        <is>
          <t>Senegal</t>
        </is>
      </c>
      <c r="D1674" t="inlineStr">
        <is>
          <t>sn</t>
        </is>
      </c>
      <c r="E1674" t="inlineStr">
        <is>
          <t>fr</t>
        </is>
      </c>
      <c r="F1674" t="n">
        <v>30</v>
      </c>
      <c r="G1674" t="n">
        <v>17</v>
      </c>
      <c r="H1674" t="n">
        <v>0</v>
      </c>
      <c r="I1674" t="n">
        <v>0.09</v>
      </c>
      <c r="J1674" t="inlineStr">
        <is>
          <t>Commercial</t>
        </is>
      </c>
      <c r="K1674" t="inlineStr">
        <is>
          <t>NOT AVAILABLE (report not requested)</t>
        </is>
      </c>
      <c r="L1674" t="inlineStr">
        <is>
          <t>rising (calc.)</t>
        </is>
      </c>
      <c r="M1674" t="inlineStr">
        <is>
          <t>MEASURED</t>
        </is>
      </c>
      <c r="N1674" s="5" t="inlineStr">
        <is>
          <t>Semrush phrase_these (live, this session)</t>
        </is>
      </c>
      <c r="O1674" t="inlineStr">
        <is>
          <t>2026-10-30</t>
        </is>
      </c>
      <c r="P1674">
        <f>IF(IF(J1674="NOT AVAILABLE","",J1674)="",12,IF(OR(ISNUMBER(SEARCH("Transactional",IF(J1674="NOT AVAILABLE","",J1674))),ISNUMBER(SEARCH("Commercial",IF(J1674="NOT AVAILABLE","",J1674)))),25,IF(ISNUMBER(SEARCH("Informational",IF(J1674="NOT AVAILABLE","",J1674))),10,IF(ISNUMBER(SEARCH("Navigational",IF(J1674="NOT AVAILABLE","",J1674))),0,12))))</f>
        <v/>
      </c>
      <c r="Q1674">
        <f>IF(ISNUMBER(F1674),MIN(30,ROUND(30*LOG10(F1674+1)/4,1)),0)</f>
        <v/>
      </c>
      <c r="R1674">
        <f>IF(ISNUMBER(G1674),ROUND(25*(100-G1674)/100,1),12.5)</f>
        <v/>
      </c>
      <c r="S1674" t="n">
        <v>6</v>
      </c>
      <c r="T1674">
        <f>ROUND(P1674+Q1674+R1674+S1674,0)</f>
        <v/>
      </c>
      <c r="U1674" s="5" t="inlineStr"/>
      <c r="V1674" s="5" t="inlineStr"/>
    </row>
    <row r="1675">
      <c r="A1675" t="inlineStr">
        <is>
          <t>K1673</t>
        </is>
      </c>
      <c r="B1675" t="inlineStr">
        <is>
          <t>développeur web freelance</t>
        </is>
      </c>
      <c r="C1675" t="inlineStr">
        <is>
          <t>Senegal</t>
        </is>
      </c>
      <c r="D1675" t="inlineStr">
        <is>
          <t>sn</t>
        </is>
      </c>
      <c r="E1675" t="inlineStr">
        <is>
          <t>fr</t>
        </is>
      </c>
      <c r="F1675" t="n">
        <v>30</v>
      </c>
      <c r="G1675" t="inlineStr">
        <is>
          <t>NOT AVAILABLE</t>
        </is>
      </c>
      <c r="H1675" t="n">
        <v>0</v>
      </c>
      <c r="I1675" t="n">
        <v>0.86</v>
      </c>
      <c r="J1675" t="inlineStr">
        <is>
          <t>NOT AVAILABLE</t>
        </is>
      </c>
      <c r="K1675" t="inlineStr">
        <is>
          <t>NOT AVAILABLE (report not requested)</t>
        </is>
      </c>
      <c r="L1675" t="inlineStr">
        <is>
          <t>rising (calc.)</t>
        </is>
      </c>
      <c r="M1675" t="inlineStr">
        <is>
          <t>MEASURED</t>
        </is>
      </c>
      <c r="N1675" s="5" t="inlineStr">
        <is>
          <t>Semrush phrase_these (live, this session)</t>
        </is>
      </c>
      <c r="O1675" t="inlineStr">
        <is>
          <t>2026-10-30</t>
        </is>
      </c>
      <c r="P1675">
        <f>IF(IF(J1675="NOT AVAILABLE","",J1675)="",12,IF(OR(ISNUMBER(SEARCH("Transactional",IF(J1675="NOT AVAILABLE","",J1675))),ISNUMBER(SEARCH("Commercial",IF(J1675="NOT AVAILABLE","",J1675)))),25,IF(ISNUMBER(SEARCH("Informational",IF(J1675="NOT AVAILABLE","",J1675))),10,IF(ISNUMBER(SEARCH("Navigational",IF(J1675="NOT AVAILABLE","",J1675))),0,12))))</f>
        <v/>
      </c>
      <c r="Q1675">
        <f>IF(ISNUMBER(F1675),MIN(30,ROUND(30*LOG10(F1675+1)/4,1)),0)</f>
        <v/>
      </c>
      <c r="R1675">
        <f>IF(ISNUMBER(G1675),ROUND(25*(100-G1675)/100,1),12.5)</f>
        <v/>
      </c>
      <c r="S1675" t="n">
        <v>6</v>
      </c>
      <c r="T1675">
        <f>ROUND(P1675+Q1675+R1675+S1675,0)</f>
        <v/>
      </c>
      <c r="U1675" s="5" t="inlineStr"/>
      <c r="V1675" s="5" t="inlineStr"/>
    </row>
    <row r="1676">
      <c r="A1676" t="inlineStr">
        <is>
          <t>K1674</t>
        </is>
      </c>
      <c r="B1676" t="inlineStr">
        <is>
          <t>agence de développement web</t>
        </is>
      </c>
      <c r="C1676" t="inlineStr">
        <is>
          <t>Senegal</t>
        </is>
      </c>
      <c r="D1676" t="inlineStr">
        <is>
          <t>sn</t>
        </is>
      </c>
      <c r="E1676" t="inlineStr">
        <is>
          <t>fr</t>
        </is>
      </c>
      <c r="F1676" t="n">
        <v>20</v>
      </c>
      <c r="G1676" t="inlineStr">
        <is>
          <t>NOT AVAILABLE</t>
        </is>
      </c>
      <c r="H1676" t="n">
        <v>0</v>
      </c>
      <c r="I1676" t="n">
        <v>0</v>
      </c>
      <c r="J1676" t="inlineStr">
        <is>
          <t>NOT AVAILABLE</t>
        </is>
      </c>
      <c r="K1676" t="inlineStr">
        <is>
          <t>NOT AVAILABLE (report not requested)</t>
        </is>
      </c>
      <c r="L1676" t="inlineStr">
        <is>
          <t>declining (calc.)</t>
        </is>
      </c>
      <c r="M1676" t="inlineStr">
        <is>
          <t>MEASURED</t>
        </is>
      </c>
      <c r="N1676" s="5" t="inlineStr">
        <is>
          <t>Semrush phrase_these (live, this session)</t>
        </is>
      </c>
      <c r="O1676" t="inlineStr">
        <is>
          <t>2026-10-30</t>
        </is>
      </c>
      <c r="P1676">
        <f>IF(IF(J1676="NOT AVAILABLE","",J1676)="",12,IF(OR(ISNUMBER(SEARCH("Transactional",IF(J1676="NOT AVAILABLE","",J1676))),ISNUMBER(SEARCH("Commercial",IF(J1676="NOT AVAILABLE","",J1676)))),25,IF(ISNUMBER(SEARCH("Informational",IF(J1676="NOT AVAILABLE","",J1676))),10,IF(ISNUMBER(SEARCH("Navigational",IF(J1676="NOT AVAILABLE","",J1676))),0,12))))</f>
        <v/>
      </c>
      <c r="Q1676">
        <f>IF(ISNUMBER(F1676),MIN(30,ROUND(30*LOG10(F1676+1)/4,1)),0)</f>
        <v/>
      </c>
      <c r="R1676">
        <f>IF(ISNUMBER(G1676),ROUND(25*(100-G1676)/100,1),12.5)</f>
        <v/>
      </c>
      <c r="S1676" t="n">
        <v>6</v>
      </c>
      <c r="T1676">
        <f>ROUND(P1676+Q1676+R1676+S1676,0)</f>
        <v/>
      </c>
      <c r="U1676" s="5" t="inlineStr"/>
      <c r="V1676" s="5" t="inlineStr"/>
    </row>
    <row r="1677">
      <c r="A1677" t="inlineStr">
        <is>
          <t>K1675</t>
        </is>
      </c>
      <c r="B1677" t="inlineStr">
        <is>
          <t>agence digitale</t>
        </is>
      </c>
      <c r="C1677" t="inlineStr">
        <is>
          <t>Senegal</t>
        </is>
      </c>
      <c r="D1677" t="inlineStr">
        <is>
          <t>sn</t>
        </is>
      </c>
      <c r="E1677" t="inlineStr">
        <is>
          <t>fr</t>
        </is>
      </c>
      <c r="F1677" t="n">
        <v>20</v>
      </c>
      <c r="G1677" t="inlineStr">
        <is>
          <t>NOT AVAILABLE</t>
        </is>
      </c>
      <c r="H1677" t="n">
        <v>0</v>
      </c>
      <c r="I1677" t="n">
        <v>0.14</v>
      </c>
      <c r="J1677" t="inlineStr">
        <is>
          <t>NOT AVAILABLE</t>
        </is>
      </c>
      <c r="K1677" t="inlineStr">
        <is>
          <t>NOT AVAILABLE (report not requested)</t>
        </is>
      </c>
      <c r="L1677" t="inlineStr">
        <is>
          <t>stable (calc.)</t>
        </is>
      </c>
      <c r="M1677" t="inlineStr">
        <is>
          <t>MEASURED</t>
        </is>
      </c>
      <c r="N1677" s="5" t="inlineStr">
        <is>
          <t>Semrush phrase_these (live, this session)</t>
        </is>
      </c>
      <c r="O1677" t="inlineStr">
        <is>
          <t>2026-10-30</t>
        </is>
      </c>
      <c r="P1677">
        <f>IF(IF(J1677="NOT AVAILABLE","",J1677)="",12,IF(OR(ISNUMBER(SEARCH("Transactional",IF(J1677="NOT AVAILABLE","",J1677))),ISNUMBER(SEARCH("Commercial",IF(J1677="NOT AVAILABLE","",J1677)))),25,IF(ISNUMBER(SEARCH("Informational",IF(J1677="NOT AVAILABLE","",J1677))),10,IF(ISNUMBER(SEARCH("Navigational",IF(J1677="NOT AVAILABLE","",J1677))),0,12))))</f>
        <v/>
      </c>
      <c r="Q1677">
        <f>IF(ISNUMBER(F1677),MIN(30,ROUND(30*LOG10(F1677+1)/4,1)),0)</f>
        <v/>
      </c>
      <c r="R1677">
        <f>IF(ISNUMBER(G1677),ROUND(25*(100-G1677)/100,1),12.5)</f>
        <v/>
      </c>
      <c r="S1677" t="n">
        <v>6</v>
      </c>
      <c r="T1677">
        <f>ROUND(P1677+Q1677+R1677+S1677,0)</f>
        <v/>
      </c>
      <c r="U1677" s="5" t="inlineStr"/>
      <c r="V1677" s="5" t="inlineStr"/>
    </row>
    <row r="1678">
      <c r="A1678" t="inlineStr">
        <is>
          <t>K1676</t>
        </is>
      </c>
      <c r="B1678" t="inlineStr">
        <is>
          <t>agence seo</t>
        </is>
      </c>
      <c r="C1678" t="inlineStr">
        <is>
          <t>Senegal</t>
        </is>
      </c>
      <c r="D1678" t="inlineStr">
        <is>
          <t>sn</t>
        </is>
      </c>
      <c r="E1678" t="inlineStr">
        <is>
          <t>fr</t>
        </is>
      </c>
      <c r="F1678" t="n">
        <v>20</v>
      </c>
      <c r="G1678" t="inlineStr">
        <is>
          <t>NOT AVAILABLE</t>
        </is>
      </c>
      <c r="H1678" t="n">
        <v>0</v>
      </c>
      <c r="I1678" t="n">
        <v>0.29</v>
      </c>
      <c r="J1678" t="inlineStr">
        <is>
          <t>NOT AVAILABLE</t>
        </is>
      </c>
      <c r="K1678" t="inlineStr">
        <is>
          <t>NOT AVAILABLE (report not requested)</t>
        </is>
      </c>
      <c r="L1678" t="inlineStr">
        <is>
          <t>rising (calc.)</t>
        </is>
      </c>
      <c r="M1678" t="inlineStr">
        <is>
          <t>MEASURED</t>
        </is>
      </c>
      <c r="N1678" s="5" t="inlineStr">
        <is>
          <t>Semrush phrase_these (live, this session)</t>
        </is>
      </c>
      <c r="O1678" t="inlineStr">
        <is>
          <t>2026-10-30</t>
        </is>
      </c>
      <c r="P1678">
        <f>IF(IF(J1678="NOT AVAILABLE","",J1678)="",12,IF(OR(ISNUMBER(SEARCH("Transactional",IF(J1678="NOT AVAILABLE","",J1678))),ISNUMBER(SEARCH("Commercial",IF(J1678="NOT AVAILABLE","",J1678)))),25,IF(ISNUMBER(SEARCH("Informational",IF(J1678="NOT AVAILABLE","",J1678))),10,IF(ISNUMBER(SEARCH("Navigational",IF(J1678="NOT AVAILABLE","",J1678))),0,12))))</f>
        <v/>
      </c>
      <c r="Q1678">
        <f>IF(ISNUMBER(F1678),MIN(30,ROUND(30*LOG10(F1678+1)/4,1)),0)</f>
        <v/>
      </c>
      <c r="R1678">
        <f>IF(ISNUMBER(G1678),ROUND(25*(100-G1678)/100,1),12.5)</f>
        <v/>
      </c>
      <c r="S1678" t="n">
        <v>6</v>
      </c>
      <c r="T1678">
        <f>ROUND(P1678+Q1678+R1678+S1678,0)</f>
        <v/>
      </c>
      <c r="U1678" s="5" t="inlineStr"/>
      <c r="V1678" s="5" t="inlineStr"/>
    </row>
    <row r="1679">
      <c r="A1679" t="inlineStr">
        <is>
          <t>K1677</t>
        </is>
      </c>
      <c r="B1679" t="inlineStr">
        <is>
          <t>agence web dakar</t>
        </is>
      </c>
      <c r="C1679" t="inlineStr">
        <is>
          <t>Senegal</t>
        </is>
      </c>
      <c r="D1679" t="inlineStr">
        <is>
          <t>sn</t>
        </is>
      </c>
      <c r="E1679" t="inlineStr">
        <is>
          <t>fr</t>
        </is>
      </c>
      <c r="F1679" t="n">
        <v>20</v>
      </c>
      <c r="G1679" t="inlineStr">
        <is>
          <t>NOT AVAILABLE</t>
        </is>
      </c>
      <c r="H1679" t="n">
        <v>0</v>
      </c>
      <c r="I1679" t="n">
        <v>0.33</v>
      </c>
      <c r="J1679" t="inlineStr">
        <is>
          <t>NOT AVAILABLE</t>
        </is>
      </c>
      <c r="K1679" t="inlineStr">
        <is>
          <t>NOT AVAILABLE (report not requested)</t>
        </is>
      </c>
      <c r="L1679" t="inlineStr">
        <is>
          <t>declining (calc.)</t>
        </is>
      </c>
      <c r="M1679" t="inlineStr">
        <is>
          <t>MEASURED</t>
        </is>
      </c>
      <c r="N1679" s="5" t="inlineStr">
        <is>
          <t>Semrush phrase_these (live, this session)</t>
        </is>
      </c>
      <c r="O1679" t="inlineStr">
        <is>
          <t>2026-10-30</t>
        </is>
      </c>
      <c r="P1679">
        <f>IF(IF(J1679="NOT AVAILABLE","",J1679)="",12,IF(OR(ISNUMBER(SEARCH("Transactional",IF(J1679="NOT AVAILABLE","",J1679))),ISNUMBER(SEARCH("Commercial",IF(J1679="NOT AVAILABLE","",J1679)))),25,IF(ISNUMBER(SEARCH("Informational",IF(J1679="NOT AVAILABLE","",J1679))),10,IF(ISNUMBER(SEARCH("Navigational",IF(J1679="NOT AVAILABLE","",J1679))),0,12))))</f>
        <v/>
      </c>
      <c r="Q1679">
        <f>IF(ISNUMBER(F1679),MIN(30,ROUND(30*LOG10(F1679+1)/4,1)),0)</f>
        <v/>
      </c>
      <c r="R1679">
        <f>IF(ISNUMBER(G1679),ROUND(25*(100-G1679)/100,1),12.5)</f>
        <v/>
      </c>
      <c r="S1679" t="n">
        <v>6</v>
      </c>
      <c r="T1679">
        <f>ROUND(P1679+Q1679+R1679+S1679,0)</f>
        <v/>
      </c>
      <c r="U1679" s="5" t="inlineStr"/>
      <c r="V1679" s="5" t="inlineStr"/>
    </row>
    <row r="1680">
      <c r="A1680" t="inlineStr">
        <is>
          <t>K1678</t>
        </is>
      </c>
      <c r="B1680" t="inlineStr">
        <is>
          <t>conception site web</t>
        </is>
      </c>
      <c r="C1680" t="inlineStr">
        <is>
          <t>Senegal</t>
        </is>
      </c>
      <c r="D1680" t="inlineStr">
        <is>
          <t>sn</t>
        </is>
      </c>
      <c r="E1680" t="inlineStr">
        <is>
          <t>fr</t>
        </is>
      </c>
      <c r="F1680" t="n">
        <v>20</v>
      </c>
      <c r="G1680" t="inlineStr">
        <is>
          <t>NOT AVAILABLE</t>
        </is>
      </c>
      <c r="H1680" t="n">
        <v>0</v>
      </c>
      <c r="I1680" t="n">
        <v>0.86</v>
      </c>
      <c r="J1680" t="inlineStr">
        <is>
          <t>NOT AVAILABLE</t>
        </is>
      </c>
      <c r="K1680" t="inlineStr">
        <is>
          <t>NOT AVAILABLE (report not requested)</t>
        </is>
      </c>
      <c r="L1680" t="inlineStr">
        <is>
          <t>declining (calc.)</t>
        </is>
      </c>
      <c r="M1680" t="inlineStr">
        <is>
          <t>MEASURED</t>
        </is>
      </c>
      <c r="N1680" s="5" t="inlineStr">
        <is>
          <t>Semrush phrase_these (live, this session)</t>
        </is>
      </c>
      <c r="O1680" t="inlineStr">
        <is>
          <t>2026-10-30</t>
        </is>
      </c>
      <c r="P1680">
        <f>IF(IF(J1680="NOT AVAILABLE","",J1680)="",12,IF(OR(ISNUMBER(SEARCH("Transactional",IF(J1680="NOT AVAILABLE","",J1680))),ISNUMBER(SEARCH("Commercial",IF(J1680="NOT AVAILABLE","",J1680)))),25,IF(ISNUMBER(SEARCH("Informational",IF(J1680="NOT AVAILABLE","",J1680))),10,IF(ISNUMBER(SEARCH("Navigational",IF(J1680="NOT AVAILABLE","",J1680))),0,12))))</f>
        <v/>
      </c>
      <c r="Q1680">
        <f>IF(ISNUMBER(F1680),MIN(30,ROUND(30*LOG10(F1680+1)/4,1)),0)</f>
        <v/>
      </c>
      <c r="R1680">
        <f>IF(ISNUMBER(G1680),ROUND(25*(100-G1680)/100,1),12.5)</f>
        <v/>
      </c>
      <c r="S1680" t="n">
        <v>6</v>
      </c>
      <c r="T1680">
        <f>ROUND(P1680+Q1680+R1680+S1680,0)</f>
        <v/>
      </c>
      <c r="U1680" s="5" t="inlineStr"/>
      <c r="V1680" s="5" t="inlineStr"/>
    </row>
    <row r="1681">
      <c r="A1681" t="inlineStr">
        <is>
          <t>K1679</t>
        </is>
      </c>
      <c r="B1681" t="inlineStr">
        <is>
          <t>création boutique en ligne</t>
        </is>
      </c>
      <c r="C1681" t="inlineStr">
        <is>
          <t>Senegal</t>
        </is>
      </c>
      <c r="D1681" t="inlineStr">
        <is>
          <t>sn</t>
        </is>
      </c>
      <c r="E1681" t="inlineStr">
        <is>
          <t>fr</t>
        </is>
      </c>
      <c r="F1681" t="n">
        <v>20</v>
      </c>
      <c r="G1681" t="inlineStr">
        <is>
          <t>NOT AVAILABLE</t>
        </is>
      </c>
      <c r="H1681" t="n">
        <v>0.37</v>
      </c>
      <c r="I1681" t="n">
        <v>0.76</v>
      </c>
      <c r="J1681" t="inlineStr">
        <is>
          <t>NOT AVAILABLE</t>
        </is>
      </c>
      <c r="K1681" t="inlineStr">
        <is>
          <t>NOT AVAILABLE (report not requested)</t>
        </is>
      </c>
      <c r="L1681" t="inlineStr">
        <is>
          <t>rising (calc.)</t>
        </is>
      </c>
      <c r="M1681" t="inlineStr">
        <is>
          <t>MEASURED</t>
        </is>
      </c>
      <c r="N1681" s="5" t="inlineStr">
        <is>
          <t>Semrush phrase_these (live, this session)</t>
        </is>
      </c>
      <c r="O1681" t="inlineStr">
        <is>
          <t>2026-10-30</t>
        </is>
      </c>
      <c r="P1681">
        <f>IF(IF(J1681="NOT AVAILABLE","",J1681)="",12,IF(OR(ISNUMBER(SEARCH("Transactional",IF(J1681="NOT AVAILABLE","",J1681))),ISNUMBER(SEARCH("Commercial",IF(J1681="NOT AVAILABLE","",J1681)))),25,IF(ISNUMBER(SEARCH("Informational",IF(J1681="NOT AVAILABLE","",J1681))),10,IF(ISNUMBER(SEARCH("Navigational",IF(J1681="NOT AVAILABLE","",J1681))),0,12))))</f>
        <v/>
      </c>
      <c r="Q1681">
        <f>IF(ISNUMBER(F1681),MIN(30,ROUND(30*LOG10(F1681+1)/4,1)),0)</f>
        <v/>
      </c>
      <c r="R1681">
        <f>IF(ISNUMBER(G1681),ROUND(25*(100-G1681)/100,1),12.5)</f>
        <v/>
      </c>
      <c r="S1681" t="n">
        <v>6</v>
      </c>
      <c r="T1681">
        <f>ROUND(P1681+Q1681+R1681+S1681,0)</f>
        <v/>
      </c>
      <c r="U1681" s="5" t="inlineStr"/>
      <c r="V1681" s="5" t="inlineStr"/>
    </row>
    <row r="1682">
      <c r="A1682" t="inlineStr">
        <is>
          <t>K1680</t>
        </is>
      </c>
      <c r="B1682" t="inlineStr">
        <is>
          <t>création site e-commerce</t>
        </is>
      </c>
      <c r="C1682" t="inlineStr">
        <is>
          <t>Senegal</t>
        </is>
      </c>
      <c r="D1682" t="inlineStr">
        <is>
          <t>sn</t>
        </is>
      </c>
      <c r="E1682" t="inlineStr">
        <is>
          <t>fr</t>
        </is>
      </c>
      <c r="F1682" t="n">
        <v>20</v>
      </c>
      <c r="G1682" t="inlineStr">
        <is>
          <t>NOT AVAILABLE</t>
        </is>
      </c>
      <c r="H1682" t="n">
        <v>0</v>
      </c>
      <c r="I1682" t="n">
        <v>0.86</v>
      </c>
      <c r="J1682" t="inlineStr">
        <is>
          <t>NOT AVAILABLE</t>
        </is>
      </c>
      <c r="K1682" t="inlineStr">
        <is>
          <t>NOT AVAILABLE (report not requested)</t>
        </is>
      </c>
      <c r="L1682" t="inlineStr">
        <is>
          <t>rising (calc.)</t>
        </is>
      </c>
      <c r="M1682" t="inlineStr">
        <is>
          <t>MEASURED</t>
        </is>
      </c>
      <c r="N1682" s="5" t="inlineStr">
        <is>
          <t>Semrush phrase_these (live, this session)</t>
        </is>
      </c>
      <c r="O1682" t="inlineStr">
        <is>
          <t>2026-10-30</t>
        </is>
      </c>
      <c r="P1682">
        <f>IF(IF(J1682="NOT AVAILABLE","",J1682)="",12,IF(OR(ISNUMBER(SEARCH("Transactional",IF(J1682="NOT AVAILABLE","",J1682))),ISNUMBER(SEARCH("Commercial",IF(J1682="NOT AVAILABLE","",J1682)))),25,IF(ISNUMBER(SEARCH("Informational",IF(J1682="NOT AVAILABLE","",J1682))),10,IF(ISNUMBER(SEARCH("Navigational",IF(J1682="NOT AVAILABLE","",J1682))),0,12))))</f>
        <v/>
      </c>
      <c r="Q1682">
        <f>IF(ISNUMBER(F1682),MIN(30,ROUND(30*LOG10(F1682+1)/4,1)),0)</f>
        <v/>
      </c>
      <c r="R1682">
        <f>IF(ISNUMBER(G1682),ROUND(25*(100-G1682)/100,1),12.5)</f>
        <v/>
      </c>
      <c r="S1682" t="n">
        <v>6</v>
      </c>
      <c r="T1682">
        <f>ROUND(P1682+Q1682+R1682+S1682,0)</f>
        <v/>
      </c>
      <c r="U1682" s="5" t="inlineStr"/>
      <c r="V1682" s="5" t="inlineStr"/>
    </row>
    <row r="1683">
      <c r="A1683" t="inlineStr">
        <is>
          <t>K1681</t>
        </is>
      </c>
      <c r="B1683" t="inlineStr">
        <is>
          <t>création site internet</t>
        </is>
      </c>
      <c r="C1683" t="inlineStr">
        <is>
          <t>Senegal</t>
        </is>
      </c>
      <c r="D1683" t="inlineStr">
        <is>
          <t>sn</t>
        </is>
      </c>
      <c r="E1683" t="inlineStr">
        <is>
          <t>fr</t>
        </is>
      </c>
      <c r="F1683" t="n">
        <v>20</v>
      </c>
      <c r="G1683" t="inlineStr">
        <is>
          <t>NOT AVAILABLE</t>
        </is>
      </c>
      <c r="H1683" t="n">
        <v>0.44</v>
      </c>
      <c r="I1683" t="n">
        <v>0.57</v>
      </c>
      <c r="J1683" t="inlineStr">
        <is>
          <t>NOT AVAILABLE</t>
        </is>
      </c>
      <c r="K1683" t="inlineStr">
        <is>
          <t>NOT AVAILABLE (report not requested)</t>
        </is>
      </c>
      <c r="L1683" t="inlineStr">
        <is>
          <t>declining (calc.)</t>
        </is>
      </c>
      <c r="M1683" t="inlineStr">
        <is>
          <t>MEASURED</t>
        </is>
      </c>
      <c r="N1683" s="5" t="inlineStr">
        <is>
          <t>Semrush phrase_these (live, this session)</t>
        </is>
      </c>
      <c r="O1683" t="inlineStr">
        <is>
          <t>2026-10-30</t>
        </is>
      </c>
      <c r="P1683">
        <f>IF(IF(J1683="NOT AVAILABLE","",J1683)="",12,IF(OR(ISNUMBER(SEARCH("Transactional",IF(J1683="NOT AVAILABLE","",J1683))),ISNUMBER(SEARCH("Commercial",IF(J1683="NOT AVAILABLE","",J1683)))),25,IF(ISNUMBER(SEARCH("Informational",IF(J1683="NOT AVAILABLE","",J1683))),10,IF(ISNUMBER(SEARCH("Navigational",IF(J1683="NOT AVAILABLE","",J1683))),0,12))))</f>
        <v/>
      </c>
      <c r="Q1683">
        <f>IF(ISNUMBER(F1683),MIN(30,ROUND(30*LOG10(F1683+1)/4,1)),0)</f>
        <v/>
      </c>
      <c r="R1683">
        <f>IF(ISNUMBER(G1683),ROUND(25*(100-G1683)/100,1),12.5)</f>
        <v/>
      </c>
      <c r="S1683" t="n">
        <v>6</v>
      </c>
      <c r="T1683">
        <f>ROUND(P1683+Q1683+R1683+S1683,0)</f>
        <v/>
      </c>
      <c r="U1683" s="5" t="inlineStr"/>
      <c r="V1683" s="5" t="inlineStr"/>
    </row>
    <row r="1684">
      <c r="A1684" t="inlineStr">
        <is>
          <t>K1682</t>
        </is>
      </c>
      <c r="B1684" t="inlineStr">
        <is>
          <t>création site web</t>
        </is>
      </c>
      <c r="C1684" t="inlineStr">
        <is>
          <t>Senegal</t>
        </is>
      </c>
      <c r="D1684" t="inlineStr">
        <is>
          <t>sn</t>
        </is>
      </c>
      <c r="E1684" t="inlineStr">
        <is>
          <t>fr</t>
        </is>
      </c>
      <c r="F1684" t="n">
        <v>20</v>
      </c>
      <c r="G1684" t="inlineStr">
        <is>
          <t>NOT AVAILABLE</t>
        </is>
      </c>
      <c r="H1684" t="n">
        <v>0.5600000000000001</v>
      </c>
      <c r="I1684" t="n">
        <v>0.67</v>
      </c>
      <c r="J1684" t="inlineStr">
        <is>
          <t>NOT AVAILABLE</t>
        </is>
      </c>
      <c r="K1684" t="inlineStr">
        <is>
          <t>NOT AVAILABLE (report not requested)</t>
        </is>
      </c>
      <c r="L1684" t="inlineStr">
        <is>
          <t>declining (calc.)</t>
        </is>
      </c>
      <c r="M1684" t="inlineStr">
        <is>
          <t>MEASURED</t>
        </is>
      </c>
      <c r="N1684" s="5" t="inlineStr">
        <is>
          <t>Semrush phrase_these (live, this session)</t>
        </is>
      </c>
      <c r="O1684" t="inlineStr">
        <is>
          <t>2026-10-30</t>
        </is>
      </c>
      <c r="P1684">
        <f>IF(IF(J1684="NOT AVAILABLE","",J1684)="",12,IF(OR(ISNUMBER(SEARCH("Transactional",IF(J1684="NOT AVAILABLE","",J1684))),ISNUMBER(SEARCH("Commercial",IF(J1684="NOT AVAILABLE","",J1684)))),25,IF(ISNUMBER(SEARCH("Informational",IF(J1684="NOT AVAILABLE","",J1684))),10,IF(ISNUMBER(SEARCH("Navigational",IF(J1684="NOT AVAILABLE","",J1684))),0,12))))</f>
        <v/>
      </c>
      <c r="Q1684">
        <f>IF(ISNUMBER(F1684),MIN(30,ROUND(30*LOG10(F1684+1)/4,1)),0)</f>
        <v/>
      </c>
      <c r="R1684">
        <f>IF(ISNUMBER(G1684),ROUND(25*(100-G1684)/100,1),12.5)</f>
        <v/>
      </c>
      <c r="S1684" t="n">
        <v>6</v>
      </c>
      <c r="T1684">
        <f>ROUND(P1684+Q1684+R1684+S1684,0)</f>
        <v/>
      </c>
      <c r="U1684" s="5" t="inlineStr"/>
      <c r="V1684" s="5" t="inlineStr"/>
    </row>
    <row r="1685">
      <c r="A1685" t="inlineStr">
        <is>
          <t>K1683</t>
        </is>
      </c>
      <c r="B1685" t="inlineStr">
        <is>
          <t>prix site web</t>
        </is>
      </c>
      <c r="C1685" t="inlineStr">
        <is>
          <t>Senegal</t>
        </is>
      </c>
      <c r="D1685" t="inlineStr">
        <is>
          <t>sn</t>
        </is>
      </c>
      <c r="E1685" t="inlineStr">
        <is>
          <t>fr</t>
        </is>
      </c>
      <c r="F1685" t="n">
        <v>20</v>
      </c>
      <c r="G1685" t="inlineStr">
        <is>
          <t>NOT AVAILABLE</t>
        </is>
      </c>
      <c r="H1685" t="n">
        <v>0</v>
      </c>
      <c r="I1685" t="n">
        <v>0.37</v>
      </c>
      <c r="J1685" t="inlineStr">
        <is>
          <t>NOT AVAILABLE</t>
        </is>
      </c>
      <c r="K1685" t="inlineStr">
        <is>
          <t>NOT AVAILABLE (report not requested)</t>
        </is>
      </c>
      <c r="L1685" t="inlineStr">
        <is>
          <t>declining (calc.)</t>
        </is>
      </c>
      <c r="M1685" t="inlineStr">
        <is>
          <t>MEASURED</t>
        </is>
      </c>
      <c r="N1685" s="5" t="inlineStr">
        <is>
          <t>Semrush phrase_these (live, this session)</t>
        </is>
      </c>
      <c r="O1685" t="inlineStr">
        <is>
          <t>2026-10-30</t>
        </is>
      </c>
      <c r="P1685">
        <f>IF(IF(J1685="NOT AVAILABLE","",J1685)="",12,IF(OR(ISNUMBER(SEARCH("Transactional",IF(J1685="NOT AVAILABLE","",J1685))),ISNUMBER(SEARCH("Commercial",IF(J1685="NOT AVAILABLE","",J1685)))),25,IF(ISNUMBER(SEARCH("Informational",IF(J1685="NOT AVAILABLE","",J1685))),10,IF(ISNUMBER(SEARCH("Navigational",IF(J1685="NOT AVAILABLE","",J1685))),0,12))))</f>
        <v/>
      </c>
      <c r="Q1685">
        <f>IF(ISNUMBER(F1685),MIN(30,ROUND(30*LOG10(F1685+1)/4,1)),0)</f>
        <v/>
      </c>
      <c r="R1685">
        <f>IF(ISNUMBER(G1685),ROUND(25*(100-G1685)/100,1),12.5)</f>
        <v/>
      </c>
      <c r="S1685" t="n">
        <v>6</v>
      </c>
      <c r="T1685">
        <f>ROUND(P1685+Q1685+R1685+S1685,0)</f>
        <v/>
      </c>
      <c r="U1685" s="5" t="inlineStr"/>
      <c r="V1685" s="5" t="inlineStr"/>
    </row>
    <row r="1686">
      <c r="A1686" t="inlineStr">
        <is>
          <t>K1684</t>
        </is>
      </c>
      <c r="B1686" t="inlineStr">
        <is>
          <t>refonte site web</t>
        </is>
      </c>
      <c r="C1686" t="inlineStr">
        <is>
          <t>Senegal</t>
        </is>
      </c>
      <c r="D1686" t="inlineStr">
        <is>
          <t>sn</t>
        </is>
      </c>
      <c r="E1686" t="inlineStr">
        <is>
          <t>fr</t>
        </is>
      </c>
      <c r="F1686" t="n">
        <v>20</v>
      </c>
      <c r="G1686" t="inlineStr">
        <is>
          <t>NOT AVAILABLE</t>
        </is>
      </c>
      <c r="H1686" t="n">
        <v>0</v>
      </c>
      <c r="I1686" t="n">
        <v>0.33</v>
      </c>
      <c r="J1686" t="inlineStr">
        <is>
          <t>NOT AVAILABLE</t>
        </is>
      </c>
      <c r="K1686" t="inlineStr">
        <is>
          <t>NOT AVAILABLE (report not requested)</t>
        </is>
      </c>
      <c r="L1686" t="inlineStr">
        <is>
          <t>declining (calc.)</t>
        </is>
      </c>
      <c r="M1686" t="inlineStr">
        <is>
          <t>MEASURED</t>
        </is>
      </c>
      <c r="N1686" s="5" t="inlineStr">
        <is>
          <t>Semrush phrase_these (live, this session)</t>
        </is>
      </c>
      <c r="O1686" t="inlineStr">
        <is>
          <t>2026-10-30</t>
        </is>
      </c>
      <c r="P1686">
        <f>IF(IF(J1686="NOT AVAILABLE","",J1686)="",12,IF(OR(ISNUMBER(SEARCH("Transactional",IF(J1686="NOT AVAILABLE","",J1686))),ISNUMBER(SEARCH("Commercial",IF(J1686="NOT AVAILABLE","",J1686)))),25,IF(ISNUMBER(SEARCH("Informational",IF(J1686="NOT AVAILABLE","",J1686))),10,IF(ISNUMBER(SEARCH("Navigational",IF(J1686="NOT AVAILABLE","",J1686))),0,12))))</f>
        <v/>
      </c>
      <c r="Q1686">
        <f>IF(ISNUMBER(F1686),MIN(30,ROUND(30*LOG10(F1686+1)/4,1)),0)</f>
        <v/>
      </c>
      <c r="R1686">
        <f>IF(ISNUMBER(G1686),ROUND(25*(100-G1686)/100,1),12.5)</f>
        <v/>
      </c>
      <c r="S1686" t="n">
        <v>6</v>
      </c>
      <c r="T1686">
        <f>ROUND(P1686+Q1686+R1686+S1686,0)</f>
        <v/>
      </c>
      <c r="U1686" s="5" t="inlineStr"/>
      <c r="V1686" s="5" t="inlineStr"/>
    </row>
    <row r="1687">
      <c r="A1687" t="inlineStr">
        <is>
          <t>K1685</t>
        </is>
      </c>
      <c r="B1687" t="inlineStr">
        <is>
          <t>création site vitrine</t>
        </is>
      </c>
      <c r="C1687" t="inlineStr">
        <is>
          <t>Senegal</t>
        </is>
      </c>
      <c r="D1687" t="inlineStr">
        <is>
          <t>sn</t>
        </is>
      </c>
      <c r="E1687" t="inlineStr">
        <is>
          <t>fr</t>
        </is>
      </c>
      <c r="F1687" t="n">
        <v>10</v>
      </c>
      <c r="G1687" t="inlineStr">
        <is>
          <t>NOT AVAILABLE</t>
        </is>
      </c>
      <c r="H1687" t="n">
        <v>0</v>
      </c>
      <c r="I1687" t="n">
        <v>0.86</v>
      </c>
      <c r="J1687" t="inlineStr">
        <is>
          <t>NOT AVAILABLE</t>
        </is>
      </c>
      <c r="K1687" t="inlineStr">
        <is>
          <t>NOT AVAILABLE (report not requested)</t>
        </is>
      </c>
      <c r="L1687" t="inlineStr">
        <is>
          <t>rising (calc.)</t>
        </is>
      </c>
      <c r="M1687" t="inlineStr">
        <is>
          <t>MEASURED</t>
        </is>
      </c>
      <c r="N1687" s="5" t="inlineStr">
        <is>
          <t>Semrush phrase_these (live, this session)</t>
        </is>
      </c>
      <c r="O1687" t="inlineStr">
        <is>
          <t>2026-10-30</t>
        </is>
      </c>
      <c r="P1687">
        <f>IF(IF(J1687="NOT AVAILABLE","",J1687)="",12,IF(OR(ISNUMBER(SEARCH("Transactional",IF(J1687="NOT AVAILABLE","",J1687))),ISNUMBER(SEARCH("Commercial",IF(J1687="NOT AVAILABLE","",J1687)))),25,IF(ISNUMBER(SEARCH("Informational",IF(J1687="NOT AVAILABLE","",J1687))),10,IF(ISNUMBER(SEARCH("Navigational",IF(J1687="NOT AVAILABLE","",J1687))),0,12))))</f>
        <v/>
      </c>
      <c r="Q1687">
        <f>IF(ISNUMBER(F1687),MIN(30,ROUND(30*LOG10(F1687+1)/4,1)),0)</f>
        <v/>
      </c>
      <c r="R1687">
        <f>IF(ISNUMBER(G1687),ROUND(25*(100-G1687)/100,1),12.5)</f>
        <v/>
      </c>
      <c r="S1687" t="n">
        <v>6</v>
      </c>
      <c r="T1687">
        <f>ROUND(P1687+Q1687+R1687+S1687,0)</f>
        <v/>
      </c>
      <c r="U1687" s="5" t="inlineStr"/>
      <c r="V1687" s="5" t="inlineStr"/>
    </row>
    <row r="1688">
      <c r="A1688" t="inlineStr">
        <is>
          <t>K1686</t>
        </is>
      </c>
      <c r="B1688" t="inlineStr">
        <is>
          <t>création site web sénégal</t>
        </is>
      </c>
      <c r="C1688" t="inlineStr">
        <is>
          <t>Senegal</t>
        </is>
      </c>
      <c r="D1688" t="inlineStr">
        <is>
          <t>sn</t>
        </is>
      </c>
      <c r="E1688" t="inlineStr">
        <is>
          <t>fr</t>
        </is>
      </c>
      <c r="F1688" t="n">
        <v>10</v>
      </c>
      <c r="G1688" t="inlineStr">
        <is>
          <t>NOT AVAILABLE</t>
        </is>
      </c>
      <c r="H1688" t="n">
        <v>0</v>
      </c>
      <c r="I1688" t="n">
        <v>0.17</v>
      </c>
      <c r="J1688" t="inlineStr">
        <is>
          <t>NOT AVAILABLE</t>
        </is>
      </c>
      <c r="K1688" t="inlineStr">
        <is>
          <t>NOT AVAILABLE (report not requested)</t>
        </is>
      </c>
      <c r="L1688" t="inlineStr">
        <is>
          <t>declining (calc.)</t>
        </is>
      </c>
      <c r="M1688" t="inlineStr">
        <is>
          <t>MEASURED</t>
        </is>
      </c>
      <c r="N1688" s="5" t="inlineStr">
        <is>
          <t>Semrush phrase_these (live, this session)</t>
        </is>
      </c>
      <c r="O1688" t="inlineStr">
        <is>
          <t>2026-10-30</t>
        </is>
      </c>
      <c r="P1688">
        <f>IF(IF(J1688="NOT AVAILABLE","",J1688)="",12,IF(OR(ISNUMBER(SEARCH("Transactional",IF(J1688="NOT AVAILABLE","",J1688))),ISNUMBER(SEARCH("Commercial",IF(J1688="NOT AVAILABLE","",J1688)))),25,IF(ISNUMBER(SEARCH("Informational",IF(J1688="NOT AVAILABLE","",J1688))),10,IF(ISNUMBER(SEARCH("Navigational",IF(J1688="NOT AVAILABLE","",J1688))),0,12))))</f>
        <v/>
      </c>
      <c r="Q1688">
        <f>IF(ISNUMBER(F1688),MIN(30,ROUND(30*LOG10(F1688+1)/4,1)),0)</f>
        <v/>
      </c>
      <c r="R1688">
        <f>IF(ISNUMBER(G1688),ROUND(25*(100-G1688)/100,1),12.5)</f>
        <v/>
      </c>
      <c r="S1688" t="n">
        <v>6</v>
      </c>
      <c r="T1688">
        <f>ROUND(P1688+Q1688+R1688+S1688,0)</f>
        <v/>
      </c>
      <c r="U1688" s="5" t="inlineStr"/>
      <c r="V1688" s="5" t="inlineStr"/>
    </row>
    <row r="1689">
      <c r="A1689" t="inlineStr">
        <is>
          <t>K1687</t>
        </is>
      </c>
      <c r="B1689" t="inlineStr">
        <is>
          <t>développement application web</t>
        </is>
      </c>
      <c r="C1689" t="inlineStr">
        <is>
          <t>Senegal</t>
        </is>
      </c>
      <c r="D1689" t="inlineStr">
        <is>
          <t>sn</t>
        </is>
      </c>
      <c r="E1689" t="inlineStr">
        <is>
          <t>fr</t>
        </is>
      </c>
      <c r="F1689" t="n">
        <v>10</v>
      </c>
      <c r="G1689" t="inlineStr">
        <is>
          <t>NOT AVAILABLE</t>
        </is>
      </c>
      <c r="H1689" t="n">
        <v>0</v>
      </c>
      <c r="I1689" t="n">
        <v>0</v>
      </c>
      <c r="J1689" t="inlineStr">
        <is>
          <t>NOT AVAILABLE</t>
        </is>
      </c>
      <c r="K1689" t="inlineStr">
        <is>
          <t>NOT AVAILABLE (report not requested)</t>
        </is>
      </c>
      <c r="L1689" t="inlineStr">
        <is>
          <t>declining (calc.)</t>
        </is>
      </c>
      <c r="M1689" t="inlineStr">
        <is>
          <t>MEASURED</t>
        </is>
      </c>
      <c r="N1689" s="5" t="inlineStr">
        <is>
          <t>Semrush phrase_these (live, this session)</t>
        </is>
      </c>
      <c r="O1689" t="inlineStr">
        <is>
          <t>2026-10-30</t>
        </is>
      </c>
      <c r="P1689">
        <f>IF(IF(J1689="NOT AVAILABLE","",J1689)="",12,IF(OR(ISNUMBER(SEARCH("Transactional",IF(J1689="NOT AVAILABLE","",J1689))),ISNUMBER(SEARCH("Commercial",IF(J1689="NOT AVAILABLE","",J1689)))),25,IF(ISNUMBER(SEARCH("Informational",IF(J1689="NOT AVAILABLE","",J1689))),10,IF(ISNUMBER(SEARCH("Navigational",IF(J1689="NOT AVAILABLE","",J1689))),0,12))))</f>
        <v/>
      </c>
      <c r="Q1689">
        <f>IF(ISNUMBER(F1689),MIN(30,ROUND(30*LOG10(F1689+1)/4,1)),0)</f>
        <v/>
      </c>
      <c r="R1689">
        <f>IF(ISNUMBER(G1689),ROUND(25*(100-G1689)/100,1),12.5)</f>
        <v/>
      </c>
      <c r="S1689" t="n">
        <v>6</v>
      </c>
      <c r="T1689">
        <f>ROUND(P1689+Q1689+R1689+S1689,0)</f>
        <v/>
      </c>
      <c r="U1689" s="5" t="inlineStr"/>
      <c r="V1689" s="5" t="inlineStr"/>
    </row>
    <row r="1690">
      <c r="A1690" t="inlineStr">
        <is>
          <t>K1688</t>
        </is>
      </c>
      <c r="B1690" t="inlineStr">
        <is>
          <t>agence web maroc</t>
        </is>
      </c>
      <c r="C1690" t="inlineStr">
        <is>
          <t>Senegal</t>
        </is>
      </c>
      <c r="D1690" t="inlineStr">
        <is>
          <t>sn</t>
        </is>
      </c>
      <c r="E1690" t="inlineStr">
        <is>
          <t>fr</t>
        </is>
      </c>
      <c r="F1690" t="n">
        <v>0</v>
      </c>
      <c r="G1690" t="inlineStr">
        <is>
          <t>NOT AVAILABLE</t>
        </is>
      </c>
      <c r="H1690" t="n">
        <v>0</v>
      </c>
      <c r="I1690" t="n">
        <v>0</v>
      </c>
      <c r="J1690" t="inlineStr">
        <is>
          <t>NOT AVAILABLE</t>
        </is>
      </c>
      <c r="K1690" t="inlineStr">
        <is>
          <t>NOT AVAILABLE (report not requested)</t>
        </is>
      </c>
      <c r="L1690" t="inlineStr">
        <is>
          <t>flat (no data)</t>
        </is>
      </c>
      <c r="M1690" t="inlineStr">
        <is>
          <t>MEASURED</t>
        </is>
      </c>
      <c r="N1690" s="5" t="inlineStr">
        <is>
          <t>Semrush phrase_these (live, this session)</t>
        </is>
      </c>
      <c r="O1690" t="inlineStr">
        <is>
          <t>2026-10-30</t>
        </is>
      </c>
      <c r="P1690">
        <f>IF(IF(J1690="NOT AVAILABLE","",J1690)="",12,IF(OR(ISNUMBER(SEARCH("Transactional",IF(J1690="NOT AVAILABLE","",J1690))),ISNUMBER(SEARCH("Commercial",IF(J1690="NOT AVAILABLE","",J1690)))),25,IF(ISNUMBER(SEARCH("Informational",IF(J1690="NOT AVAILABLE","",J1690))),10,IF(ISNUMBER(SEARCH("Navigational",IF(J1690="NOT AVAILABLE","",J1690))),0,12))))</f>
        <v/>
      </c>
      <c r="Q1690">
        <f>IF(ISNUMBER(F1690),MIN(30,ROUND(30*LOG10(F1690+1)/4,1)),0)</f>
        <v/>
      </c>
      <c r="R1690">
        <f>IF(ISNUMBER(G1690),ROUND(25*(100-G1690)/100,1),12.5)</f>
        <v/>
      </c>
      <c r="S1690" t="n">
        <v>6</v>
      </c>
      <c r="T1690">
        <f>ROUND(P1690+Q1690+R1690+S1690,0)</f>
        <v/>
      </c>
      <c r="U1690" s="5" t="inlineStr"/>
      <c r="V1690" s="5" t="inlineStr"/>
    </row>
    <row r="1691">
      <c r="A1691" t="inlineStr">
        <is>
          <t>K1689</t>
        </is>
      </c>
      <c r="B1691" t="inlineStr">
        <is>
          <t>agence web nearshore</t>
        </is>
      </c>
      <c r="C1691" t="inlineStr">
        <is>
          <t>Senegal</t>
        </is>
      </c>
      <c r="D1691" t="inlineStr">
        <is>
          <t>sn</t>
        </is>
      </c>
      <c r="E1691" t="inlineStr">
        <is>
          <t>fr</t>
        </is>
      </c>
      <c r="F1691" t="inlineStr">
        <is>
          <t>NOT AVAILABLE</t>
        </is>
      </c>
      <c r="G1691" t="inlineStr">
        <is>
          <t>NOT AVAILABLE</t>
        </is>
      </c>
      <c r="H1691" t="inlineStr">
        <is>
          <t>NOT AVAILABLE</t>
        </is>
      </c>
      <c r="I1691" t="inlineStr">
        <is>
          <t>NOT AVAILABLE</t>
        </is>
      </c>
      <c r="J1691" t="inlineStr">
        <is>
          <t>NOT AVAILABLE</t>
        </is>
      </c>
      <c r="K1691" t="inlineStr">
        <is>
          <t>NOT AVAILABLE</t>
        </is>
      </c>
      <c r="L1691" t="inlineStr">
        <is>
          <t>NOT AVAILABLE</t>
        </is>
      </c>
      <c r="M1691" t="inlineStr">
        <is>
          <t>UNAVAILABLE</t>
        </is>
      </c>
      <c r="N1691" s="5" t="inlineStr">
        <is>
          <t>Semrush phrase_these returned no data (not billed)</t>
        </is>
      </c>
      <c r="O1691" t="inlineStr">
        <is>
          <t>2026-10-30</t>
        </is>
      </c>
      <c r="P1691">
        <f>IF(IF(J1691="NOT AVAILABLE","",J1691)="",12,IF(OR(ISNUMBER(SEARCH("Transactional",IF(J1691="NOT AVAILABLE","",J1691))),ISNUMBER(SEARCH("Commercial",IF(J1691="NOT AVAILABLE","",J1691)))),25,IF(ISNUMBER(SEARCH("Informational",IF(J1691="NOT AVAILABLE","",J1691))),10,IF(ISNUMBER(SEARCH("Navigational",IF(J1691="NOT AVAILABLE","",J1691))),0,12))))</f>
        <v/>
      </c>
      <c r="Q1691">
        <f>IF(ISNUMBER(F1691),MIN(30,ROUND(30*LOG10(F1691+1)/4,1)),0)</f>
        <v/>
      </c>
      <c r="R1691">
        <f>IF(ISNUMBER(G1691),ROUND(25*(100-G1691)/100,1),12.5)</f>
        <v/>
      </c>
      <c r="S1691" t="n">
        <v>6</v>
      </c>
      <c r="T1691">
        <f>ROUND(P1691+Q1691+R1691+S1691,0)</f>
        <v/>
      </c>
      <c r="U1691" s="5" t="inlineStr"/>
      <c r="V1691" s="5" t="inlineStr"/>
    </row>
    <row r="1692">
      <c r="A1692" t="inlineStr">
        <is>
          <t>K1690</t>
        </is>
      </c>
      <c r="B1692" t="inlineStr">
        <is>
          <t>agence web offshore</t>
        </is>
      </c>
      <c r="C1692" t="inlineStr">
        <is>
          <t>Senegal</t>
        </is>
      </c>
      <c r="D1692" t="inlineStr">
        <is>
          <t>sn</t>
        </is>
      </c>
      <c r="E1692" t="inlineStr">
        <is>
          <t>fr</t>
        </is>
      </c>
      <c r="F1692" t="n">
        <v>0</v>
      </c>
      <c r="G1692" t="inlineStr">
        <is>
          <t>NOT AVAILABLE</t>
        </is>
      </c>
      <c r="H1692" t="n">
        <v>0</v>
      </c>
      <c r="I1692" t="n">
        <v>0</v>
      </c>
      <c r="J1692" t="inlineStr">
        <is>
          <t>NOT AVAILABLE</t>
        </is>
      </c>
      <c r="K1692" t="inlineStr">
        <is>
          <t>NOT AVAILABLE (report not requested)</t>
        </is>
      </c>
      <c r="L1692" t="inlineStr">
        <is>
          <t>flat (no data)</t>
        </is>
      </c>
      <c r="M1692" t="inlineStr">
        <is>
          <t>MEASURED</t>
        </is>
      </c>
      <c r="N1692" s="5" t="inlineStr">
        <is>
          <t>Semrush phrase_these (live, this session)</t>
        </is>
      </c>
      <c r="O1692" t="inlineStr">
        <is>
          <t>2026-10-30</t>
        </is>
      </c>
      <c r="P1692">
        <f>IF(IF(J1692="NOT AVAILABLE","",J1692)="",12,IF(OR(ISNUMBER(SEARCH("Transactional",IF(J1692="NOT AVAILABLE","",J1692))),ISNUMBER(SEARCH("Commercial",IF(J1692="NOT AVAILABLE","",J1692)))),25,IF(ISNUMBER(SEARCH("Informational",IF(J1692="NOT AVAILABLE","",J1692))),10,IF(ISNUMBER(SEARCH("Navigational",IF(J1692="NOT AVAILABLE","",J1692))),0,12))))</f>
        <v/>
      </c>
      <c r="Q1692">
        <f>IF(ISNUMBER(F1692),MIN(30,ROUND(30*LOG10(F1692+1)/4,1)),0)</f>
        <v/>
      </c>
      <c r="R1692">
        <f>IF(ISNUMBER(G1692),ROUND(25*(100-G1692)/100,1),12.5)</f>
        <v/>
      </c>
      <c r="S1692" t="n">
        <v>6</v>
      </c>
      <c r="T1692">
        <f>ROUND(P1692+Q1692+R1692+S1692,0)</f>
        <v/>
      </c>
      <c r="U1692" s="5" t="inlineStr"/>
      <c r="V1692" s="5" t="inlineStr"/>
    </row>
    <row r="1693">
      <c r="A1693" t="inlineStr">
        <is>
          <t>K1691</t>
        </is>
      </c>
      <c r="B1693" t="inlineStr">
        <is>
          <t>agence web pas cher</t>
        </is>
      </c>
      <c r="C1693" t="inlineStr">
        <is>
          <t>Senegal</t>
        </is>
      </c>
      <c r="D1693" t="inlineStr">
        <is>
          <t>sn</t>
        </is>
      </c>
      <c r="E1693" t="inlineStr">
        <is>
          <t>fr</t>
        </is>
      </c>
      <c r="F1693" t="n">
        <v>0</v>
      </c>
      <c r="G1693" t="inlineStr">
        <is>
          <t>NOT AVAILABLE</t>
        </is>
      </c>
      <c r="H1693" t="n">
        <v>0</v>
      </c>
      <c r="I1693" t="n">
        <v>0</v>
      </c>
      <c r="J1693" t="inlineStr">
        <is>
          <t>NOT AVAILABLE</t>
        </is>
      </c>
      <c r="K1693" t="inlineStr">
        <is>
          <t>NOT AVAILABLE (report not requested)</t>
        </is>
      </c>
      <c r="L1693" t="inlineStr">
        <is>
          <t>flat (no data)</t>
        </is>
      </c>
      <c r="M1693" t="inlineStr">
        <is>
          <t>MEASURED</t>
        </is>
      </c>
      <c r="N1693" s="5" t="inlineStr">
        <is>
          <t>Semrush phrase_these (live, this session)</t>
        </is>
      </c>
      <c r="O1693" t="inlineStr">
        <is>
          <t>2026-10-30</t>
        </is>
      </c>
      <c r="P1693">
        <f>IF(IF(J1693="NOT AVAILABLE","",J1693)="",12,IF(OR(ISNUMBER(SEARCH("Transactional",IF(J1693="NOT AVAILABLE","",J1693))),ISNUMBER(SEARCH("Commercial",IF(J1693="NOT AVAILABLE","",J1693)))),25,IF(ISNUMBER(SEARCH("Informational",IF(J1693="NOT AVAILABLE","",J1693))),10,IF(ISNUMBER(SEARCH("Navigational",IF(J1693="NOT AVAILABLE","",J1693))),0,12))))</f>
        <v/>
      </c>
      <c r="Q1693">
        <f>IF(ISNUMBER(F1693),MIN(30,ROUND(30*LOG10(F1693+1)/4,1)),0)</f>
        <v/>
      </c>
      <c r="R1693">
        <f>IF(ISNUMBER(G1693),ROUND(25*(100-G1693)/100,1),12.5)</f>
        <v/>
      </c>
      <c r="S1693" t="n">
        <v>6</v>
      </c>
      <c r="T1693">
        <f>ROUND(P1693+Q1693+R1693+S1693,0)</f>
        <v/>
      </c>
      <c r="U1693" s="5" t="inlineStr"/>
      <c r="V1693" s="5" t="inlineStr"/>
    </row>
    <row r="1694">
      <c r="A1694" t="inlineStr">
        <is>
          <t>K1692</t>
        </is>
      </c>
      <c r="B1694" t="inlineStr">
        <is>
          <t>agence web sénégal</t>
        </is>
      </c>
      <c r="C1694" t="inlineStr">
        <is>
          <t>Senegal</t>
        </is>
      </c>
      <c r="D1694" t="inlineStr">
        <is>
          <t>sn</t>
        </is>
      </c>
      <c r="E1694" t="inlineStr">
        <is>
          <t>fr</t>
        </is>
      </c>
      <c r="F1694" t="inlineStr">
        <is>
          <t>NOT AVAILABLE</t>
        </is>
      </c>
      <c r="G1694" t="inlineStr">
        <is>
          <t>NOT AVAILABLE</t>
        </is>
      </c>
      <c r="H1694" t="inlineStr">
        <is>
          <t>NOT AVAILABLE</t>
        </is>
      </c>
      <c r="I1694" t="inlineStr">
        <is>
          <t>NOT AVAILABLE</t>
        </is>
      </c>
      <c r="J1694" t="inlineStr">
        <is>
          <t>NOT AVAILABLE</t>
        </is>
      </c>
      <c r="K1694" t="inlineStr">
        <is>
          <t>NOT AVAILABLE</t>
        </is>
      </c>
      <c r="L1694" t="inlineStr">
        <is>
          <t>NOT AVAILABLE</t>
        </is>
      </c>
      <c r="M1694" t="inlineStr">
        <is>
          <t>UNAVAILABLE</t>
        </is>
      </c>
      <c r="N1694" s="5" t="inlineStr">
        <is>
          <t>Semrush phrase_these returned no data (not billed)</t>
        </is>
      </c>
      <c r="O1694" t="inlineStr">
        <is>
          <t>2026-10-30</t>
        </is>
      </c>
      <c r="P1694">
        <f>IF(IF(J1694="NOT AVAILABLE","",J1694)="",12,IF(OR(ISNUMBER(SEARCH("Transactional",IF(J1694="NOT AVAILABLE","",J1694))),ISNUMBER(SEARCH("Commercial",IF(J1694="NOT AVAILABLE","",J1694)))),25,IF(ISNUMBER(SEARCH("Informational",IF(J1694="NOT AVAILABLE","",J1694))),10,IF(ISNUMBER(SEARCH("Navigational",IF(J1694="NOT AVAILABLE","",J1694))),0,12))))</f>
        <v/>
      </c>
      <c r="Q1694">
        <f>IF(ISNUMBER(F1694),MIN(30,ROUND(30*LOG10(F1694+1)/4,1)),0)</f>
        <v/>
      </c>
      <c r="R1694">
        <f>IF(ISNUMBER(G1694),ROUND(25*(100-G1694)/100,1),12.5)</f>
        <v/>
      </c>
      <c r="S1694" t="n">
        <v>6</v>
      </c>
      <c r="T1694">
        <f>ROUND(P1694+Q1694+R1694+S1694,0)</f>
        <v/>
      </c>
      <c r="U1694" s="5" t="inlineStr"/>
      <c r="V1694" s="5" t="inlineStr"/>
    </row>
    <row r="1695">
      <c r="A1695" t="inlineStr">
        <is>
          <t>K1693</t>
        </is>
      </c>
      <c r="B1695" t="inlineStr">
        <is>
          <t>création application web</t>
        </is>
      </c>
      <c r="C1695" t="inlineStr">
        <is>
          <t>Senegal</t>
        </is>
      </c>
      <c r="D1695" t="inlineStr">
        <is>
          <t>sn</t>
        </is>
      </c>
      <c r="E1695" t="inlineStr">
        <is>
          <t>fr</t>
        </is>
      </c>
      <c r="F1695" t="n">
        <v>0</v>
      </c>
      <c r="G1695" t="inlineStr">
        <is>
          <t>NOT AVAILABLE</t>
        </is>
      </c>
      <c r="H1695" t="n">
        <v>0</v>
      </c>
      <c r="I1695" t="n">
        <v>0</v>
      </c>
      <c r="J1695" t="inlineStr">
        <is>
          <t>NOT AVAILABLE</t>
        </is>
      </c>
      <c r="K1695" t="inlineStr">
        <is>
          <t>NOT AVAILABLE (report not requested)</t>
        </is>
      </c>
      <c r="L1695" t="inlineStr">
        <is>
          <t>flat (no data)</t>
        </is>
      </c>
      <c r="M1695" t="inlineStr">
        <is>
          <t>MEASURED</t>
        </is>
      </c>
      <c r="N1695" s="5" t="inlineStr">
        <is>
          <t>Semrush phrase_these (live, this session)</t>
        </is>
      </c>
      <c r="O1695" t="inlineStr">
        <is>
          <t>2026-10-30</t>
        </is>
      </c>
      <c r="P1695">
        <f>IF(IF(J1695="NOT AVAILABLE","",J1695)="",12,IF(OR(ISNUMBER(SEARCH("Transactional",IF(J1695="NOT AVAILABLE","",J1695))),ISNUMBER(SEARCH("Commercial",IF(J1695="NOT AVAILABLE","",J1695)))),25,IF(ISNUMBER(SEARCH("Informational",IF(J1695="NOT AVAILABLE","",J1695))),10,IF(ISNUMBER(SEARCH("Navigational",IF(J1695="NOT AVAILABLE","",J1695))),0,12))))</f>
        <v/>
      </c>
      <c r="Q1695">
        <f>IF(ISNUMBER(F1695),MIN(30,ROUND(30*LOG10(F1695+1)/4,1)),0)</f>
        <v/>
      </c>
      <c r="R1695">
        <f>IF(ISNUMBER(G1695),ROUND(25*(100-G1695)/100,1),12.5)</f>
        <v/>
      </c>
      <c r="S1695" t="n">
        <v>6</v>
      </c>
      <c r="T1695">
        <f>ROUND(P1695+Q1695+R1695+S1695,0)</f>
        <v/>
      </c>
      <c r="U1695" s="5" t="inlineStr"/>
      <c r="V1695" s="5" t="inlineStr"/>
    </row>
    <row r="1696">
      <c r="A1696" t="inlineStr">
        <is>
          <t>K1694</t>
        </is>
      </c>
      <c r="B1696" t="inlineStr">
        <is>
          <t>développement logiciel sur mesure</t>
        </is>
      </c>
      <c r="C1696" t="inlineStr">
        <is>
          <t>Senegal</t>
        </is>
      </c>
      <c r="D1696" t="inlineStr">
        <is>
          <t>sn</t>
        </is>
      </c>
      <c r="E1696" t="inlineStr">
        <is>
          <t>fr</t>
        </is>
      </c>
      <c r="F1696" t="n">
        <v>0</v>
      </c>
      <c r="G1696" t="inlineStr">
        <is>
          <t>NOT AVAILABLE</t>
        </is>
      </c>
      <c r="H1696" t="n">
        <v>0</v>
      </c>
      <c r="I1696" t="n">
        <v>0</v>
      </c>
      <c r="J1696" t="inlineStr">
        <is>
          <t>NOT AVAILABLE</t>
        </is>
      </c>
      <c r="K1696" t="inlineStr">
        <is>
          <t>NOT AVAILABLE (report not requested)</t>
        </is>
      </c>
      <c r="L1696" t="inlineStr">
        <is>
          <t>flat (no data)</t>
        </is>
      </c>
      <c r="M1696" t="inlineStr">
        <is>
          <t>MEASURED</t>
        </is>
      </c>
      <c r="N1696" s="5" t="inlineStr">
        <is>
          <t>Semrush phrase_these (live, this session)</t>
        </is>
      </c>
      <c r="O1696" t="inlineStr">
        <is>
          <t>2026-10-30</t>
        </is>
      </c>
      <c r="P1696">
        <f>IF(IF(J1696="NOT AVAILABLE","",J1696)="",12,IF(OR(ISNUMBER(SEARCH("Transactional",IF(J1696="NOT AVAILABLE","",J1696))),ISNUMBER(SEARCH("Commercial",IF(J1696="NOT AVAILABLE","",J1696)))),25,IF(ISNUMBER(SEARCH("Informational",IF(J1696="NOT AVAILABLE","",J1696))),10,IF(ISNUMBER(SEARCH("Navigational",IF(J1696="NOT AVAILABLE","",J1696))),0,12))))</f>
        <v/>
      </c>
      <c r="Q1696">
        <f>IF(ISNUMBER(F1696),MIN(30,ROUND(30*LOG10(F1696+1)/4,1)),0)</f>
        <v/>
      </c>
      <c r="R1696">
        <f>IF(ISNUMBER(G1696),ROUND(25*(100-G1696)/100,1),12.5)</f>
        <v/>
      </c>
      <c r="S1696" t="n">
        <v>6</v>
      </c>
      <c r="T1696">
        <f>ROUND(P1696+Q1696+R1696+S1696,0)</f>
        <v/>
      </c>
      <c r="U1696" s="5" t="inlineStr"/>
      <c r="V1696" s="5" t="inlineStr"/>
    </row>
    <row r="1697">
      <c r="A1697" t="inlineStr">
        <is>
          <t>K1695</t>
        </is>
      </c>
      <c r="B1697" t="inlineStr">
        <is>
          <t>développement saas</t>
        </is>
      </c>
      <c r="C1697" t="inlineStr">
        <is>
          <t>Senegal</t>
        </is>
      </c>
      <c r="D1697" t="inlineStr">
        <is>
          <t>sn</t>
        </is>
      </c>
      <c r="E1697" t="inlineStr">
        <is>
          <t>fr</t>
        </is>
      </c>
      <c r="F1697" t="inlineStr">
        <is>
          <t>NOT AVAILABLE</t>
        </is>
      </c>
      <c r="G1697" t="inlineStr">
        <is>
          <t>NOT AVAILABLE</t>
        </is>
      </c>
      <c r="H1697" t="inlineStr">
        <is>
          <t>NOT AVAILABLE</t>
        </is>
      </c>
      <c r="I1697" t="inlineStr">
        <is>
          <t>NOT AVAILABLE</t>
        </is>
      </c>
      <c r="J1697" t="inlineStr">
        <is>
          <t>NOT AVAILABLE</t>
        </is>
      </c>
      <c r="K1697" t="inlineStr">
        <is>
          <t>NOT AVAILABLE</t>
        </is>
      </c>
      <c r="L1697" t="inlineStr">
        <is>
          <t>NOT AVAILABLE</t>
        </is>
      </c>
      <c r="M1697" t="inlineStr">
        <is>
          <t>UNAVAILABLE</t>
        </is>
      </c>
      <c r="N1697" s="5" t="inlineStr">
        <is>
          <t>Semrush phrase_these returned no data (not billed)</t>
        </is>
      </c>
      <c r="O1697" t="inlineStr">
        <is>
          <t>2026-10-30</t>
        </is>
      </c>
      <c r="P1697">
        <f>IF(IF(J1697="NOT AVAILABLE","",J1697)="",12,IF(OR(ISNUMBER(SEARCH("Transactional",IF(J1697="NOT AVAILABLE","",J1697))),ISNUMBER(SEARCH("Commercial",IF(J1697="NOT AVAILABLE","",J1697)))),25,IF(ISNUMBER(SEARCH("Informational",IF(J1697="NOT AVAILABLE","",J1697))),10,IF(ISNUMBER(SEARCH("Navigational",IF(J1697="NOT AVAILABLE","",J1697))),0,12))))</f>
        <v/>
      </c>
      <c r="Q1697">
        <f>IF(ISNUMBER(F1697),MIN(30,ROUND(30*LOG10(F1697+1)/4,1)),0)</f>
        <v/>
      </c>
      <c r="R1697">
        <f>IF(ISNUMBER(G1697),ROUND(25*(100-G1697)/100,1),12.5)</f>
        <v/>
      </c>
      <c r="S1697" t="n">
        <v>6</v>
      </c>
      <c r="T1697">
        <f>ROUND(P1697+Q1697+R1697+S1697,0)</f>
        <v/>
      </c>
      <c r="U1697" s="5" t="inlineStr"/>
      <c r="V1697" s="5" t="inlineStr"/>
    </row>
    <row r="1698">
      <c r="A1698" t="inlineStr">
        <is>
          <t>K1696</t>
        </is>
      </c>
      <c r="B1698" t="inlineStr">
        <is>
          <t>développement web offshore</t>
        </is>
      </c>
      <c r="C1698" t="inlineStr">
        <is>
          <t>Senegal</t>
        </is>
      </c>
      <c r="D1698" t="inlineStr">
        <is>
          <t>sn</t>
        </is>
      </c>
      <c r="E1698" t="inlineStr">
        <is>
          <t>fr</t>
        </is>
      </c>
      <c r="F1698" t="inlineStr">
        <is>
          <t>NOT AVAILABLE</t>
        </is>
      </c>
      <c r="G1698" t="inlineStr">
        <is>
          <t>NOT AVAILABLE</t>
        </is>
      </c>
      <c r="H1698" t="inlineStr">
        <is>
          <t>NOT AVAILABLE</t>
        </is>
      </c>
      <c r="I1698" t="inlineStr">
        <is>
          <t>NOT AVAILABLE</t>
        </is>
      </c>
      <c r="J1698" t="inlineStr">
        <is>
          <t>NOT AVAILABLE</t>
        </is>
      </c>
      <c r="K1698" t="inlineStr">
        <is>
          <t>NOT AVAILABLE</t>
        </is>
      </c>
      <c r="L1698" t="inlineStr">
        <is>
          <t>NOT AVAILABLE</t>
        </is>
      </c>
      <c r="M1698" t="inlineStr">
        <is>
          <t>UNAVAILABLE</t>
        </is>
      </c>
      <c r="N1698" s="5" t="inlineStr">
        <is>
          <t>Semrush phrase_these returned no data (not billed)</t>
        </is>
      </c>
      <c r="O1698" t="inlineStr">
        <is>
          <t>2026-10-30</t>
        </is>
      </c>
      <c r="P1698">
        <f>IF(IF(J1698="NOT AVAILABLE","",J1698)="",12,IF(OR(ISNUMBER(SEARCH("Transactional",IF(J1698="NOT AVAILABLE","",J1698))),ISNUMBER(SEARCH("Commercial",IF(J1698="NOT AVAILABLE","",J1698)))),25,IF(ISNUMBER(SEARCH("Informational",IF(J1698="NOT AVAILABLE","",J1698))),10,IF(ISNUMBER(SEARCH("Navigational",IF(J1698="NOT AVAILABLE","",J1698))),0,12))))</f>
        <v/>
      </c>
      <c r="Q1698">
        <f>IF(ISNUMBER(F1698),MIN(30,ROUND(30*LOG10(F1698+1)/4,1)),0)</f>
        <v/>
      </c>
      <c r="R1698">
        <f>IF(ISNUMBER(G1698),ROUND(25*(100-G1698)/100,1),12.5)</f>
        <v/>
      </c>
      <c r="S1698" t="n">
        <v>6</v>
      </c>
      <c r="T1698">
        <f>ROUND(P1698+Q1698+R1698+S1698,0)</f>
        <v/>
      </c>
      <c r="U1698" s="5" t="inlineStr"/>
      <c r="V1698" s="5" t="inlineStr"/>
    </row>
    <row r="1699">
      <c r="A1699" t="inlineStr">
        <is>
          <t>K1697</t>
        </is>
      </c>
      <c r="B1699" t="inlineStr">
        <is>
          <t>développement web sur mesure</t>
        </is>
      </c>
      <c r="C1699" t="inlineStr">
        <is>
          <t>Senegal</t>
        </is>
      </c>
      <c r="D1699" t="inlineStr">
        <is>
          <t>sn</t>
        </is>
      </c>
      <c r="E1699" t="inlineStr">
        <is>
          <t>fr</t>
        </is>
      </c>
      <c r="F1699" t="inlineStr">
        <is>
          <t>NOT AVAILABLE</t>
        </is>
      </c>
      <c r="G1699" t="inlineStr">
        <is>
          <t>NOT AVAILABLE</t>
        </is>
      </c>
      <c r="H1699" t="inlineStr">
        <is>
          <t>NOT AVAILABLE</t>
        </is>
      </c>
      <c r="I1699" t="inlineStr">
        <is>
          <t>NOT AVAILABLE</t>
        </is>
      </c>
      <c r="J1699" t="inlineStr">
        <is>
          <t>NOT AVAILABLE</t>
        </is>
      </c>
      <c r="K1699" t="inlineStr">
        <is>
          <t>NOT AVAILABLE</t>
        </is>
      </c>
      <c r="L1699" t="inlineStr">
        <is>
          <t>NOT AVAILABLE</t>
        </is>
      </c>
      <c r="M1699" t="inlineStr">
        <is>
          <t>UNAVAILABLE</t>
        </is>
      </c>
      <c r="N1699" s="5" t="inlineStr">
        <is>
          <t>Semrush phrase_these returned no data (not billed)</t>
        </is>
      </c>
      <c r="O1699" t="inlineStr">
        <is>
          <t>2026-10-30</t>
        </is>
      </c>
      <c r="P1699">
        <f>IF(IF(J1699="NOT AVAILABLE","",J1699)="",12,IF(OR(ISNUMBER(SEARCH("Transactional",IF(J1699="NOT AVAILABLE","",J1699))),ISNUMBER(SEARCH("Commercial",IF(J1699="NOT AVAILABLE","",J1699)))),25,IF(ISNUMBER(SEARCH("Informational",IF(J1699="NOT AVAILABLE","",J1699))),10,IF(ISNUMBER(SEARCH("Navigational",IF(J1699="NOT AVAILABLE","",J1699))),0,12))))</f>
        <v/>
      </c>
      <c r="Q1699">
        <f>IF(ISNUMBER(F1699),MIN(30,ROUND(30*LOG10(F1699+1)/4,1)),0)</f>
        <v/>
      </c>
      <c r="R1699">
        <f>IF(ISNUMBER(G1699),ROUND(25*(100-G1699)/100,1),12.5)</f>
        <v/>
      </c>
      <c r="S1699" t="n">
        <v>6</v>
      </c>
      <c r="T1699">
        <f>ROUND(P1699+Q1699+R1699+S1699,0)</f>
        <v/>
      </c>
      <c r="U1699" s="5" t="inlineStr"/>
      <c r="V1699" s="5" t="inlineStr"/>
    </row>
    <row r="1700">
      <c r="A1700" t="inlineStr">
        <is>
          <t>K1698</t>
        </is>
      </c>
      <c r="B1700" t="inlineStr">
        <is>
          <t>développeur maroc</t>
        </is>
      </c>
      <c r="C1700" t="inlineStr">
        <is>
          <t>Senegal</t>
        </is>
      </c>
      <c r="D1700" t="inlineStr">
        <is>
          <t>sn</t>
        </is>
      </c>
      <c r="E1700" t="inlineStr">
        <is>
          <t>fr</t>
        </is>
      </c>
      <c r="F1700" t="inlineStr">
        <is>
          <t>NOT AVAILABLE</t>
        </is>
      </c>
      <c r="G1700" t="inlineStr">
        <is>
          <t>NOT AVAILABLE</t>
        </is>
      </c>
      <c r="H1700" t="inlineStr">
        <is>
          <t>NOT AVAILABLE</t>
        </is>
      </c>
      <c r="I1700" t="inlineStr">
        <is>
          <t>NOT AVAILABLE</t>
        </is>
      </c>
      <c r="J1700" t="inlineStr">
        <is>
          <t>NOT AVAILABLE</t>
        </is>
      </c>
      <c r="K1700" t="inlineStr">
        <is>
          <t>NOT AVAILABLE</t>
        </is>
      </c>
      <c r="L1700" t="inlineStr">
        <is>
          <t>NOT AVAILABLE</t>
        </is>
      </c>
      <c r="M1700" t="inlineStr">
        <is>
          <t>UNAVAILABLE</t>
        </is>
      </c>
      <c r="N1700" s="5" t="inlineStr">
        <is>
          <t>Semrush phrase_these returned no data (not billed)</t>
        </is>
      </c>
      <c r="O1700" t="inlineStr">
        <is>
          <t>2026-10-30</t>
        </is>
      </c>
      <c r="P1700">
        <f>IF(IF(J1700="NOT AVAILABLE","",J1700)="",12,IF(OR(ISNUMBER(SEARCH("Transactional",IF(J1700="NOT AVAILABLE","",J1700))),ISNUMBER(SEARCH("Commercial",IF(J1700="NOT AVAILABLE","",J1700)))),25,IF(ISNUMBER(SEARCH("Informational",IF(J1700="NOT AVAILABLE","",J1700))),10,IF(ISNUMBER(SEARCH("Navigational",IF(J1700="NOT AVAILABLE","",J1700))),0,12))))</f>
        <v/>
      </c>
      <c r="Q1700">
        <f>IF(ISNUMBER(F1700),MIN(30,ROUND(30*LOG10(F1700+1)/4,1)),0)</f>
        <v/>
      </c>
      <c r="R1700">
        <f>IF(ISNUMBER(G1700),ROUND(25*(100-G1700)/100,1),12.5)</f>
        <v/>
      </c>
      <c r="S1700" t="n">
        <v>6</v>
      </c>
      <c r="T1700">
        <f>ROUND(P1700+Q1700+R1700+S1700,0)</f>
        <v/>
      </c>
      <c r="U1700" s="5" t="inlineStr"/>
      <c r="V1700" s="5" t="inlineStr"/>
    </row>
    <row r="1701">
      <c r="A1701" t="inlineStr">
        <is>
          <t>K1699</t>
        </is>
      </c>
      <c r="B1701" t="inlineStr">
        <is>
          <t>externalisation développement web</t>
        </is>
      </c>
      <c r="C1701" t="inlineStr">
        <is>
          <t>Senegal</t>
        </is>
      </c>
      <c r="D1701" t="inlineStr">
        <is>
          <t>sn</t>
        </is>
      </c>
      <c r="E1701" t="inlineStr">
        <is>
          <t>fr</t>
        </is>
      </c>
      <c r="F1701" t="inlineStr">
        <is>
          <t>NOT AVAILABLE</t>
        </is>
      </c>
      <c r="G1701" t="inlineStr">
        <is>
          <t>NOT AVAILABLE</t>
        </is>
      </c>
      <c r="H1701" t="inlineStr">
        <is>
          <t>NOT AVAILABLE</t>
        </is>
      </c>
      <c r="I1701" t="inlineStr">
        <is>
          <t>NOT AVAILABLE</t>
        </is>
      </c>
      <c r="J1701" t="inlineStr">
        <is>
          <t>NOT AVAILABLE</t>
        </is>
      </c>
      <c r="K1701" t="inlineStr">
        <is>
          <t>NOT AVAILABLE</t>
        </is>
      </c>
      <c r="L1701" t="inlineStr">
        <is>
          <t>NOT AVAILABLE</t>
        </is>
      </c>
      <c r="M1701" t="inlineStr">
        <is>
          <t>UNAVAILABLE</t>
        </is>
      </c>
      <c r="N1701" s="5" t="inlineStr">
        <is>
          <t>Semrush phrase_these returned no data (not billed)</t>
        </is>
      </c>
      <c r="O1701" t="inlineStr">
        <is>
          <t>2026-10-30</t>
        </is>
      </c>
      <c r="P1701">
        <f>IF(IF(J1701="NOT AVAILABLE","",J1701)="",12,IF(OR(ISNUMBER(SEARCH("Transactional",IF(J1701="NOT AVAILABLE","",J1701))),ISNUMBER(SEARCH("Commercial",IF(J1701="NOT AVAILABLE","",J1701)))),25,IF(ISNUMBER(SEARCH("Informational",IF(J1701="NOT AVAILABLE","",J1701))),10,IF(ISNUMBER(SEARCH("Navigational",IF(J1701="NOT AVAILABLE","",J1701))),0,12))))</f>
        <v/>
      </c>
      <c r="Q1701">
        <f>IF(ISNUMBER(F1701),MIN(30,ROUND(30*LOG10(F1701+1)/4,1)),0)</f>
        <v/>
      </c>
      <c r="R1701">
        <f>IF(ISNUMBER(G1701),ROUND(25*(100-G1701)/100,1),12.5)</f>
        <v/>
      </c>
      <c r="S1701" t="n">
        <v>6</v>
      </c>
      <c r="T1701">
        <f>ROUND(P1701+Q1701+R1701+S1701,0)</f>
        <v/>
      </c>
      <c r="U1701" s="5" t="inlineStr"/>
      <c r="V1701" s="5" t="inlineStr"/>
    </row>
    <row r="1702">
      <c r="A1702" t="inlineStr">
        <is>
          <t>K1700</t>
        </is>
      </c>
      <c r="B1702" t="inlineStr">
        <is>
          <t>prix création site internet</t>
        </is>
      </c>
      <c r="C1702" t="inlineStr">
        <is>
          <t>Senegal</t>
        </is>
      </c>
      <c r="D1702" t="inlineStr">
        <is>
          <t>sn</t>
        </is>
      </c>
      <c r="E1702" t="inlineStr">
        <is>
          <t>fr</t>
        </is>
      </c>
      <c r="F1702" t="inlineStr">
        <is>
          <t>NOT AVAILABLE</t>
        </is>
      </c>
      <c r="G1702" t="inlineStr">
        <is>
          <t>NOT AVAILABLE</t>
        </is>
      </c>
      <c r="H1702" t="inlineStr">
        <is>
          <t>NOT AVAILABLE</t>
        </is>
      </c>
      <c r="I1702" t="inlineStr">
        <is>
          <t>NOT AVAILABLE</t>
        </is>
      </c>
      <c r="J1702" t="inlineStr">
        <is>
          <t>NOT AVAILABLE</t>
        </is>
      </c>
      <c r="K1702" t="inlineStr">
        <is>
          <t>NOT AVAILABLE</t>
        </is>
      </c>
      <c r="L1702" t="inlineStr">
        <is>
          <t>NOT AVAILABLE</t>
        </is>
      </c>
      <c r="M1702" t="inlineStr">
        <is>
          <t>UNAVAILABLE</t>
        </is>
      </c>
      <c r="N1702" s="5" t="inlineStr">
        <is>
          <t>Semrush phrase_these returned no data (not billed)</t>
        </is>
      </c>
      <c r="O1702" t="inlineStr">
        <is>
          <t>2026-10-30</t>
        </is>
      </c>
      <c r="P1702">
        <f>IF(IF(J1702="NOT AVAILABLE","",J1702)="",12,IF(OR(ISNUMBER(SEARCH("Transactional",IF(J1702="NOT AVAILABLE","",J1702))),ISNUMBER(SEARCH("Commercial",IF(J1702="NOT AVAILABLE","",J1702)))),25,IF(ISNUMBER(SEARCH("Informational",IF(J1702="NOT AVAILABLE","",J1702))),10,IF(ISNUMBER(SEARCH("Navigational",IF(J1702="NOT AVAILABLE","",J1702))),0,12))))</f>
        <v/>
      </c>
      <c r="Q1702">
        <f>IF(ISNUMBER(F1702),MIN(30,ROUND(30*LOG10(F1702+1)/4,1)),0)</f>
        <v/>
      </c>
      <c r="R1702">
        <f>IF(ISNUMBER(G1702),ROUND(25*(100-G1702)/100,1),12.5)</f>
        <v/>
      </c>
      <c r="S1702" t="n">
        <v>6</v>
      </c>
      <c r="T1702">
        <f>ROUND(P1702+Q1702+R1702+S1702,0)</f>
        <v/>
      </c>
      <c r="U1702" s="5" t="inlineStr"/>
      <c r="V1702" s="5" t="inlineStr"/>
    </row>
    <row r="1703">
      <c r="A1703" t="inlineStr">
        <is>
          <t>K1701</t>
        </is>
      </c>
      <c r="B1703" t="inlineStr">
        <is>
          <t>site internet professionnel</t>
        </is>
      </c>
      <c r="C1703" t="inlineStr">
        <is>
          <t>Senegal</t>
        </is>
      </c>
      <c r="D1703" t="inlineStr">
        <is>
          <t>sn</t>
        </is>
      </c>
      <c r="E1703" t="inlineStr">
        <is>
          <t>fr</t>
        </is>
      </c>
      <c r="F1703" t="inlineStr">
        <is>
          <t>NOT AVAILABLE</t>
        </is>
      </c>
      <c r="G1703" t="inlineStr">
        <is>
          <t>NOT AVAILABLE</t>
        </is>
      </c>
      <c r="H1703" t="inlineStr">
        <is>
          <t>NOT AVAILABLE</t>
        </is>
      </c>
      <c r="I1703" t="inlineStr">
        <is>
          <t>NOT AVAILABLE</t>
        </is>
      </c>
      <c r="J1703" t="inlineStr">
        <is>
          <t>NOT AVAILABLE</t>
        </is>
      </c>
      <c r="K1703" t="inlineStr">
        <is>
          <t>NOT AVAILABLE</t>
        </is>
      </c>
      <c r="L1703" t="inlineStr">
        <is>
          <t>NOT AVAILABLE</t>
        </is>
      </c>
      <c r="M1703" t="inlineStr">
        <is>
          <t>UNAVAILABLE</t>
        </is>
      </c>
      <c r="N1703" s="5" t="inlineStr">
        <is>
          <t>Semrush phrase_these returned no data (not billed)</t>
        </is>
      </c>
      <c r="O1703" t="inlineStr">
        <is>
          <t>2026-10-30</t>
        </is>
      </c>
      <c r="P1703">
        <f>IF(IF(J1703="NOT AVAILABLE","",J1703)="",12,IF(OR(ISNUMBER(SEARCH("Transactional",IF(J1703="NOT AVAILABLE","",J1703))),ISNUMBER(SEARCH("Commercial",IF(J1703="NOT AVAILABLE","",J1703)))),25,IF(ISNUMBER(SEARCH("Informational",IF(J1703="NOT AVAILABLE","",J1703))),10,IF(ISNUMBER(SEARCH("Navigational",IF(J1703="NOT AVAILABLE","",J1703))),0,12))))</f>
        <v/>
      </c>
      <c r="Q1703">
        <f>IF(ISNUMBER(F1703),MIN(30,ROUND(30*LOG10(F1703+1)/4,1)),0)</f>
        <v/>
      </c>
      <c r="R1703">
        <f>IF(ISNUMBER(G1703),ROUND(25*(100-G1703)/100,1),12.5)</f>
        <v/>
      </c>
      <c r="S1703" t="n">
        <v>6</v>
      </c>
      <c r="T1703">
        <f>ROUND(P1703+Q1703+R1703+S1703,0)</f>
        <v/>
      </c>
      <c r="U1703" s="5" t="inlineStr"/>
      <c r="V1703" s="5" t="inlineStr"/>
    </row>
    <row r="1704">
      <c r="A1704" t="inlineStr">
        <is>
          <t>K1702</t>
        </is>
      </c>
      <c r="B1704" t="inlineStr">
        <is>
          <t>sous-traitance développement web</t>
        </is>
      </c>
      <c r="C1704" t="inlineStr">
        <is>
          <t>Senegal</t>
        </is>
      </c>
      <c r="D1704" t="inlineStr">
        <is>
          <t>sn</t>
        </is>
      </c>
      <c r="E1704" t="inlineStr">
        <is>
          <t>fr</t>
        </is>
      </c>
      <c r="F1704" t="inlineStr">
        <is>
          <t>NOT AVAILABLE</t>
        </is>
      </c>
      <c r="G1704" t="inlineStr">
        <is>
          <t>NOT AVAILABLE</t>
        </is>
      </c>
      <c r="H1704" t="inlineStr">
        <is>
          <t>NOT AVAILABLE</t>
        </is>
      </c>
      <c r="I1704" t="inlineStr">
        <is>
          <t>NOT AVAILABLE</t>
        </is>
      </c>
      <c r="J1704" t="inlineStr">
        <is>
          <t>NOT AVAILABLE</t>
        </is>
      </c>
      <c r="K1704" t="inlineStr">
        <is>
          <t>NOT AVAILABLE</t>
        </is>
      </c>
      <c r="L1704" t="inlineStr">
        <is>
          <t>NOT AVAILABLE</t>
        </is>
      </c>
      <c r="M1704" t="inlineStr">
        <is>
          <t>UNAVAILABLE</t>
        </is>
      </c>
      <c r="N1704" s="5" t="inlineStr">
        <is>
          <t>Semrush phrase_these returned no data (not billed)</t>
        </is>
      </c>
      <c r="O1704" t="inlineStr">
        <is>
          <t>2026-10-30</t>
        </is>
      </c>
      <c r="P1704">
        <f>IF(IF(J1704="NOT AVAILABLE","",J1704)="",12,IF(OR(ISNUMBER(SEARCH("Transactional",IF(J1704="NOT AVAILABLE","",J1704))),ISNUMBER(SEARCH("Commercial",IF(J1704="NOT AVAILABLE","",J1704)))),25,IF(ISNUMBER(SEARCH("Informational",IF(J1704="NOT AVAILABLE","",J1704))),10,IF(ISNUMBER(SEARCH("Navigational",IF(J1704="NOT AVAILABLE","",J1704))),0,12))))</f>
        <v/>
      </c>
      <c r="Q1704">
        <f>IF(ISNUMBER(F1704),MIN(30,ROUND(30*LOG10(F1704+1)/4,1)),0)</f>
        <v/>
      </c>
      <c r="R1704">
        <f>IF(ISNUMBER(G1704),ROUND(25*(100-G1704)/100,1),12.5)</f>
        <v/>
      </c>
      <c r="S1704" t="n">
        <v>6</v>
      </c>
      <c r="T1704">
        <f>ROUND(P1704+Q1704+R1704+S1704,0)</f>
        <v/>
      </c>
      <c r="U1704" s="5" t="inlineStr"/>
      <c r="V1704" s="5" t="inlineStr"/>
    </row>
    <row r="1705">
      <c r="A1705" t="inlineStr">
        <is>
          <t>K1703</t>
        </is>
      </c>
      <c r="B1705" t="inlineStr">
        <is>
          <t>agence web tunisie</t>
        </is>
      </c>
      <c r="C1705" t="inlineStr">
        <is>
          <t>Tunisia</t>
        </is>
      </c>
      <c r="D1705" t="inlineStr">
        <is>
          <t>tn</t>
        </is>
      </c>
      <c r="E1705" t="inlineStr">
        <is>
          <t>fr</t>
        </is>
      </c>
      <c r="F1705" t="n">
        <v>880</v>
      </c>
      <c r="G1705" t="n">
        <v>9</v>
      </c>
      <c r="H1705" t="n">
        <v>0.48</v>
      </c>
      <c r="I1705" t="n">
        <v>0.01</v>
      </c>
      <c r="J1705" t="inlineStr">
        <is>
          <t>Commercial</t>
        </is>
      </c>
      <c r="K1705" t="inlineStr">
        <is>
          <t>NOT AVAILABLE (report not requested)</t>
        </is>
      </c>
      <c r="L1705" t="inlineStr">
        <is>
          <t>stable (calc.)</t>
        </is>
      </c>
      <c r="M1705" t="inlineStr">
        <is>
          <t>MEASURED</t>
        </is>
      </c>
      <c r="N1705" s="5" t="inlineStr">
        <is>
          <t>Semrush phrase_these (live, this session)</t>
        </is>
      </c>
      <c r="O1705" t="inlineStr">
        <is>
          <t>2026-10-30</t>
        </is>
      </c>
      <c r="P1705">
        <f>IF(IF(J1705="NOT AVAILABLE","",J1705)="",12,IF(OR(ISNUMBER(SEARCH("Transactional",IF(J1705="NOT AVAILABLE","",J1705))),ISNUMBER(SEARCH("Commercial",IF(J1705="NOT AVAILABLE","",J1705)))),25,IF(ISNUMBER(SEARCH("Informational",IF(J1705="NOT AVAILABLE","",J1705))),10,IF(ISNUMBER(SEARCH("Navigational",IF(J1705="NOT AVAILABLE","",J1705))),0,12))))</f>
        <v/>
      </c>
      <c r="Q1705">
        <f>IF(ISNUMBER(F1705),MIN(30,ROUND(30*LOG10(F1705+1)/4,1)),0)</f>
        <v/>
      </c>
      <c r="R1705">
        <f>IF(ISNUMBER(G1705),ROUND(25*(100-G1705)/100,1),12.5)</f>
        <v/>
      </c>
      <c r="S1705" t="n">
        <v>6</v>
      </c>
      <c r="T1705">
        <f>ROUND(P1705+Q1705+R1705+S1705,0)</f>
        <v/>
      </c>
      <c r="U1705" s="5" t="inlineStr"/>
      <c r="V1705" s="5" t="inlineStr">
        <is>
          <t>OPTIONAL /web-development-company/tunis</t>
        </is>
      </c>
    </row>
    <row r="1706">
      <c r="A1706" t="inlineStr">
        <is>
          <t>K1704</t>
        </is>
      </c>
      <c r="B1706" t="inlineStr">
        <is>
          <t>développement web tunisie</t>
        </is>
      </c>
      <c r="C1706" t="inlineStr">
        <is>
          <t>Tunisia</t>
        </is>
      </c>
      <c r="D1706" t="inlineStr">
        <is>
          <t>tn</t>
        </is>
      </c>
      <c r="E1706" t="inlineStr">
        <is>
          <t>fr</t>
        </is>
      </c>
      <c r="F1706" t="n">
        <v>260</v>
      </c>
      <c r="G1706" t="n">
        <v>18</v>
      </c>
      <c r="H1706" t="n">
        <v>0</v>
      </c>
      <c r="I1706" t="n">
        <v>0.01</v>
      </c>
      <c r="J1706" t="inlineStr">
        <is>
          <t>Commercial</t>
        </is>
      </c>
      <c r="K1706" t="inlineStr">
        <is>
          <t>NOT AVAILABLE (report not requested)</t>
        </is>
      </c>
      <c r="L1706" t="inlineStr">
        <is>
          <t>declining (calc.)</t>
        </is>
      </c>
      <c r="M1706" t="inlineStr">
        <is>
          <t>MEASURED</t>
        </is>
      </c>
      <c r="N1706" s="5" t="inlineStr">
        <is>
          <t>Semrush phrase_these (live, this session)</t>
        </is>
      </c>
      <c r="O1706" t="inlineStr">
        <is>
          <t>2026-10-30</t>
        </is>
      </c>
      <c r="P1706">
        <f>IF(IF(J1706="NOT AVAILABLE","",J1706)="",12,IF(OR(ISNUMBER(SEARCH("Transactional",IF(J1706="NOT AVAILABLE","",J1706))),ISNUMBER(SEARCH("Commercial",IF(J1706="NOT AVAILABLE","",J1706)))),25,IF(ISNUMBER(SEARCH("Informational",IF(J1706="NOT AVAILABLE","",J1706))),10,IF(ISNUMBER(SEARCH("Navigational",IF(J1706="NOT AVAILABLE","",J1706))),0,12))))</f>
        <v/>
      </c>
      <c r="Q1706">
        <f>IF(ISNUMBER(F1706),MIN(30,ROUND(30*LOG10(F1706+1)/4,1)),0)</f>
        <v/>
      </c>
      <c r="R1706">
        <f>IF(ISNUMBER(G1706),ROUND(25*(100-G1706)/100,1),12.5)</f>
        <v/>
      </c>
      <c r="S1706" t="n">
        <v>6</v>
      </c>
      <c r="T1706">
        <f>ROUND(P1706+Q1706+R1706+S1706,0)</f>
        <v/>
      </c>
      <c r="U1706" s="5" t="inlineStr"/>
      <c r="V1706" s="5" t="inlineStr">
        <is>
          <t>OPTIONAL /web-development-company/tunis</t>
        </is>
      </c>
    </row>
    <row r="1707">
      <c r="A1707" t="inlineStr">
        <is>
          <t>K1705</t>
        </is>
      </c>
      <c r="B1707" t="inlineStr">
        <is>
          <t>création site web tunisie</t>
        </is>
      </c>
      <c r="C1707" t="inlineStr">
        <is>
          <t>Tunisia</t>
        </is>
      </c>
      <c r="D1707" t="inlineStr">
        <is>
          <t>tn</t>
        </is>
      </c>
      <c r="E1707" t="inlineStr">
        <is>
          <t>fr</t>
        </is>
      </c>
      <c r="F1707" t="n">
        <v>170</v>
      </c>
      <c r="G1707" t="n">
        <v>29</v>
      </c>
      <c r="H1707" t="n">
        <v>0.93</v>
      </c>
      <c r="I1707" t="n">
        <v>0.06</v>
      </c>
      <c r="J1707" t="inlineStr">
        <is>
          <t>Informational</t>
        </is>
      </c>
      <c r="K1707" t="inlineStr">
        <is>
          <t>NOT AVAILABLE (report not requested)</t>
        </is>
      </c>
      <c r="L1707" t="inlineStr">
        <is>
          <t>declining (calc.)</t>
        </is>
      </c>
      <c r="M1707" t="inlineStr">
        <is>
          <t>MEASURED</t>
        </is>
      </c>
      <c r="N1707" s="5" t="inlineStr">
        <is>
          <t>Semrush phrase_these (live, this session)</t>
        </is>
      </c>
      <c r="O1707" t="inlineStr">
        <is>
          <t>2026-10-30</t>
        </is>
      </c>
      <c r="P1707">
        <f>IF(IF(J1707="NOT AVAILABLE","",J1707)="",12,IF(OR(ISNUMBER(SEARCH("Transactional",IF(J1707="NOT AVAILABLE","",J1707))),ISNUMBER(SEARCH("Commercial",IF(J1707="NOT AVAILABLE","",J1707)))),25,IF(ISNUMBER(SEARCH("Informational",IF(J1707="NOT AVAILABLE","",J1707))),10,IF(ISNUMBER(SEARCH("Navigational",IF(J1707="NOT AVAILABLE","",J1707))),0,12))))</f>
        <v/>
      </c>
      <c r="Q1707">
        <f>IF(ISNUMBER(F1707),MIN(30,ROUND(30*LOG10(F1707+1)/4,1)),0)</f>
        <v/>
      </c>
      <c r="R1707">
        <f>IF(ISNUMBER(G1707),ROUND(25*(100-G1707)/100,1),12.5)</f>
        <v/>
      </c>
      <c r="S1707" t="n">
        <v>6</v>
      </c>
      <c r="T1707">
        <f>ROUND(P1707+Q1707+R1707+S1707,0)</f>
        <v/>
      </c>
      <c r="U1707" s="5" t="inlineStr"/>
      <c r="V1707" s="5" t="inlineStr"/>
    </row>
    <row r="1708">
      <c r="A1708" t="inlineStr">
        <is>
          <t>K1706</t>
        </is>
      </c>
      <c r="B1708" t="inlineStr">
        <is>
          <t>agence web</t>
        </is>
      </c>
      <c r="C1708" t="inlineStr">
        <is>
          <t>Tunisia</t>
        </is>
      </c>
      <c r="D1708" t="inlineStr">
        <is>
          <t>tn</t>
        </is>
      </c>
      <c r="E1708" t="inlineStr">
        <is>
          <t>fr</t>
        </is>
      </c>
      <c r="F1708" t="n">
        <v>140</v>
      </c>
      <c r="G1708" t="n">
        <v>42</v>
      </c>
      <c r="H1708" t="n">
        <v>1.08</v>
      </c>
      <c r="I1708" t="n">
        <v>0.04</v>
      </c>
      <c r="J1708" t="inlineStr">
        <is>
          <t>Commercial</t>
        </is>
      </c>
      <c r="K1708" t="inlineStr">
        <is>
          <t>NOT AVAILABLE (report not requested)</t>
        </is>
      </c>
      <c r="L1708" t="inlineStr">
        <is>
          <t>declining (calc.)</t>
        </is>
      </c>
      <c r="M1708" t="inlineStr">
        <is>
          <t>MEASURED</t>
        </is>
      </c>
      <c r="N1708" s="5" t="inlineStr">
        <is>
          <t>Semrush phrase_these (live, this session)</t>
        </is>
      </c>
      <c r="O1708" t="inlineStr">
        <is>
          <t>2026-10-30</t>
        </is>
      </c>
      <c r="P1708">
        <f>IF(IF(J1708="NOT AVAILABLE","",J1708)="",12,IF(OR(ISNUMBER(SEARCH("Transactional",IF(J1708="NOT AVAILABLE","",J1708))),ISNUMBER(SEARCH("Commercial",IF(J1708="NOT AVAILABLE","",J1708)))),25,IF(ISNUMBER(SEARCH("Informational",IF(J1708="NOT AVAILABLE","",J1708))),10,IF(ISNUMBER(SEARCH("Navigational",IF(J1708="NOT AVAILABLE","",J1708))),0,12))))</f>
        <v/>
      </c>
      <c r="Q1708">
        <f>IF(ISNUMBER(F1708),MIN(30,ROUND(30*LOG10(F1708+1)/4,1)),0)</f>
        <v/>
      </c>
      <c r="R1708">
        <f>IF(ISNUMBER(G1708),ROUND(25*(100-G1708)/100,1),12.5)</f>
        <v/>
      </c>
      <c r="S1708" t="n">
        <v>6</v>
      </c>
      <c r="T1708">
        <f>ROUND(P1708+Q1708+R1708+S1708,0)</f>
        <v/>
      </c>
      <c r="U1708" s="5" t="inlineStr"/>
      <c r="V1708" s="5" t="inlineStr"/>
    </row>
    <row r="1709">
      <c r="A1709" t="inlineStr">
        <is>
          <t>K1707</t>
        </is>
      </c>
      <c r="B1709" t="inlineStr">
        <is>
          <t>création site web</t>
        </is>
      </c>
      <c r="C1709" t="inlineStr">
        <is>
          <t>Tunisia</t>
        </is>
      </c>
      <c r="D1709" t="inlineStr">
        <is>
          <t>tn</t>
        </is>
      </c>
      <c r="E1709" t="inlineStr">
        <is>
          <t>fr</t>
        </is>
      </c>
      <c r="F1709" t="n">
        <v>110</v>
      </c>
      <c r="G1709" t="inlineStr">
        <is>
          <t>NOT AVAILABLE</t>
        </is>
      </c>
      <c r="H1709" t="n">
        <v>0.33</v>
      </c>
      <c r="I1709" t="n">
        <v>0.5600000000000001</v>
      </c>
      <c r="J1709" t="inlineStr">
        <is>
          <t>NOT AVAILABLE</t>
        </is>
      </c>
      <c r="K1709" t="inlineStr">
        <is>
          <t>NOT AVAILABLE (report not requested)</t>
        </is>
      </c>
      <c r="L1709" t="inlineStr">
        <is>
          <t>declining (calc.)</t>
        </is>
      </c>
      <c r="M1709" t="inlineStr">
        <is>
          <t>MEASURED</t>
        </is>
      </c>
      <c r="N1709" s="5" t="inlineStr">
        <is>
          <t>Semrush phrase_these (live, this session)</t>
        </is>
      </c>
      <c r="O1709" t="inlineStr">
        <is>
          <t>2026-10-30</t>
        </is>
      </c>
      <c r="P1709">
        <f>IF(IF(J1709="NOT AVAILABLE","",J1709)="",12,IF(OR(ISNUMBER(SEARCH("Transactional",IF(J1709="NOT AVAILABLE","",J1709))),ISNUMBER(SEARCH("Commercial",IF(J1709="NOT AVAILABLE","",J1709)))),25,IF(ISNUMBER(SEARCH("Informational",IF(J1709="NOT AVAILABLE","",J1709))),10,IF(ISNUMBER(SEARCH("Navigational",IF(J1709="NOT AVAILABLE","",J1709))),0,12))))</f>
        <v/>
      </c>
      <c r="Q1709">
        <f>IF(ISNUMBER(F1709),MIN(30,ROUND(30*LOG10(F1709+1)/4,1)),0)</f>
        <v/>
      </c>
      <c r="R1709">
        <f>IF(ISNUMBER(G1709),ROUND(25*(100-G1709)/100,1),12.5)</f>
        <v/>
      </c>
      <c r="S1709" t="n">
        <v>6</v>
      </c>
      <c r="T1709">
        <f>ROUND(P1709+Q1709+R1709+S1709,0)</f>
        <v/>
      </c>
      <c r="U1709" s="5" t="inlineStr"/>
      <c r="V1709" s="5" t="inlineStr"/>
    </row>
    <row r="1710">
      <c r="A1710" t="inlineStr">
        <is>
          <t>K1708</t>
        </is>
      </c>
      <c r="B1710" t="inlineStr">
        <is>
          <t>agence digitale</t>
        </is>
      </c>
      <c r="C1710" t="inlineStr">
        <is>
          <t>Tunisia</t>
        </is>
      </c>
      <c r="D1710" t="inlineStr">
        <is>
          <t>tn</t>
        </is>
      </c>
      <c r="E1710" t="inlineStr">
        <is>
          <t>fr</t>
        </is>
      </c>
      <c r="F1710" t="n">
        <v>90</v>
      </c>
      <c r="G1710" t="inlineStr">
        <is>
          <t>NOT AVAILABLE</t>
        </is>
      </c>
      <c r="H1710" t="n">
        <v>0</v>
      </c>
      <c r="I1710" t="n">
        <v>0.03</v>
      </c>
      <c r="J1710" t="inlineStr">
        <is>
          <t>NOT AVAILABLE</t>
        </is>
      </c>
      <c r="K1710" t="inlineStr">
        <is>
          <t>NOT AVAILABLE (report not requested)</t>
        </is>
      </c>
      <c r="L1710" t="inlineStr">
        <is>
          <t>rising (calc.)</t>
        </is>
      </c>
      <c r="M1710" t="inlineStr">
        <is>
          <t>MEASURED</t>
        </is>
      </c>
      <c r="N1710" s="5" t="inlineStr">
        <is>
          <t>Semrush phrase_these (live, this session)</t>
        </is>
      </c>
      <c r="O1710" t="inlineStr">
        <is>
          <t>2026-10-30</t>
        </is>
      </c>
      <c r="P1710">
        <f>IF(IF(J1710="NOT AVAILABLE","",J1710)="",12,IF(OR(ISNUMBER(SEARCH("Transactional",IF(J1710="NOT AVAILABLE","",J1710))),ISNUMBER(SEARCH("Commercial",IF(J1710="NOT AVAILABLE","",J1710)))),25,IF(ISNUMBER(SEARCH("Informational",IF(J1710="NOT AVAILABLE","",J1710))),10,IF(ISNUMBER(SEARCH("Navigational",IF(J1710="NOT AVAILABLE","",J1710))),0,12))))</f>
        <v/>
      </c>
      <c r="Q1710">
        <f>IF(ISNUMBER(F1710),MIN(30,ROUND(30*LOG10(F1710+1)/4,1)),0)</f>
        <v/>
      </c>
      <c r="R1710">
        <f>IF(ISNUMBER(G1710),ROUND(25*(100-G1710)/100,1),12.5)</f>
        <v/>
      </c>
      <c r="S1710" t="n">
        <v>6</v>
      </c>
      <c r="T1710">
        <f>ROUND(P1710+Q1710+R1710+S1710,0)</f>
        <v/>
      </c>
      <c r="U1710" s="5" t="inlineStr"/>
      <c r="V1710" s="5" t="inlineStr"/>
    </row>
    <row r="1711">
      <c r="A1711" t="inlineStr">
        <is>
          <t>K1709</t>
        </is>
      </c>
      <c r="B1711" t="inlineStr">
        <is>
          <t>agence seo</t>
        </is>
      </c>
      <c r="C1711" t="inlineStr">
        <is>
          <t>Tunisia</t>
        </is>
      </c>
      <c r="D1711" t="inlineStr">
        <is>
          <t>tn</t>
        </is>
      </c>
      <c r="E1711" t="inlineStr">
        <is>
          <t>fr</t>
        </is>
      </c>
      <c r="F1711" t="n">
        <v>40</v>
      </c>
      <c r="G1711" t="inlineStr">
        <is>
          <t>NOT AVAILABLE</t>
        </is>
      </c>
      <c r="H1711" t="n">
        <v>0</v>
      </c>
      <c r="I1711" t="n">
        <v>0.05</v>
      </c>
      <c r="J1711" t="inlineStr">
        <is>
          <t>NOT AVAILABLE</t>
        </is>
      </c>
      <c r="K1711" t="inlineStr">
        <is>
          <t>NOT AVAILABLE (report not requested)</t>
        </is>
      </c>
      <c r="L1711" t="inlineStr">
        <is>
          <t>rising (calc.)</t>
        </is>
      </c>
      <c r="M1711" t="inlineStr">
        <is>
          <t>MEASURED</t>
        </is>
      </c>
      <c r="N1711" s="5" t="inlineStr">
        <is>
          <t>Semrush phrase_these (live, this session)</t>
        </is>
      </c>
      <c r="O1711" t="inlineStr">
        <is>
          <t>2026-10-30</t>
        </is>
      </c>
      <c r="P1711">
        <f>IF(IF(J1711="NOT AVAILABLE","",J1711)="",12,IF(OR(ISNUMBER(SEARCH("Transactional",IF(J1711="NOT AVAILABLE","",J1711))),ISNUMBER(SEARCH("Commercial",IF(J1711="NOT AVAILABLE","",J1711)))),25,IF(ISNUMBER(SEARCH("Informational",IF(J1711="NOT AVAILABLE","",J1711))),10,IF(ISNUMBER(SEARCH("Navigational",IF(J1711="NOT AVAILABLE","",J1711))),0,12))))</f>
        <v/>
      </c>
      <c r="Q1711">
        <f>IF(ISNUMBER(F1711),MIN(30,ROUND(30*LOG10(F1711+1)/4,1)),0)</f>
        <v/>
      </c>
      <c r="R1711">
        <f>IF(ISNUMBER(G1711),ROUND(25*(100-G1711)/100,1),12.5)</f>
        <v/>
      </c>
      <c r="S1711" t="n">
        <v>6</v>
      </c>
      <c r="T1711">
        <f>ROUND(P1711+Q1711+R1711+S1711,0)</f>
        <v/>
      </c>
      <c r="U1711" s="5" t="inlineStr"/>
      <c r="V1711" s="5" t="inlineStr"/>
    </row>
    <row r="1712">
      <c r="A1712" t="inlineStr">
        <is>
          <t>K1710</t>
        </is>
      </c>
      <c r="B1712" t="inlineStr">
        <is>
          <t>référencement naturel</t>
        </is>
      </c>
      <c r="C1712" t="inlineStr">
        <is>
          <t>Tunisia</t>
        </is>
      </c>
      <c r="D1712" t="inlineStr">
        <is>
          <t>tn</t>
        </is>
      </c>
      <c r="E1712" t="inlineStr">
        <is>
          <t>fr</t>
        </is>
      </c>
      <c r="F1712" t="n">
        <v>40</v>
      </c>
      <c r="G1712" t="inlineStr">
        <is>
          <t>NOT AVAILABLE</t>
        </is>
      </c>
      <c r="H1712" t="n">
        <v>0</v>
      </c>
      <c r="I1712" t="n">
        <v>0.13</v>
      </c>
      <c r="J1712" t="inlineStr">
        <is>
          <t>NOT AVAILABLE</t>
        </is>
      </c>
      <c r="K1712" t="inlineStr">
        <is>
          <t>NOT AVAILABLE (report not requested)</t>
        </is>
      </c>
      <c r="L1712" t="inlineStr">
        <is>
          <t>rising (calc.)</t>
        </is>
      </c>
      <c r="M1712" t="inlineStr">
        <is>
          <t>MEASURED</t>
        </is>
      </c>
      <c r="N1712" s="5" t="inlineStr">
        <is>
          <t>Semrush phrase_these (live, this session)</t>
        </is>
      </c>
      <c r="O1712" t="inlineStr">
        <is>
          <t>2026-10-30</t>
        </is>
      </c>
      <c r="P1712">
        <f>IF(IF(J1712="NOT AVAILABLE","",J1712)="",12,IF(OR(ISNUMBER(SEARCH("Transactional",IF(J1712="NOT AVAILABLE","",J1712))),ISNUMBER(SEARCH("Commercial",IF(J1712="NOT AVAILABLE","",J1712)))),25,IF(ISNUMBER(SEARCH("Informational",IF(J1712="NOT AVAILABLE","",J1712))),10,IF(ISNUMBER(SEARCH("Navigational",IF(J1712="NOT AVAILABLE","",J1712))),0,12))))</f>
        <v/>
      </c>
      <c r="Q1712">
        <f>IF(ISNUMBER(F1712),MIN(30,ROUND(30*LOG10(F1712+1)/4,1)),0)</f>
        <v/>
      </c>
      <c r="R1712">
        <f>IF(ISNUMBER(G1712),ROUND(25*(100-G1712)/100,1),12.5)</f>
        <v/>
      </c>
      <c r="S1712" t="n">
        <v>6</v>
      </c>
      <c r="T1712">
        <f>ROUND(P1712+Q1712+R1712+S1712,0)</f>
        <v/>
      </c>
      <c r="U1712" s="5" t="inlineStr"/>
      <c r="V1712" s="5" t="inlineStr"/>
    </row>
    <row r="1713">
      <c r="A1713" t="inlineStr">
        <is>
          <t>K1711</t>
        </is>
      </c>
      <c r="B1713" t="inlineStr">
        <is>
          <t>agence web offshore</t>
        </is>
      </c>
      <c r="C1713" t="inlineStr">
        <is>
          <t>Tunisia</t>
        </is>
      </c>
      <c r="D1713" t="inlineStr">
        <is>
          <t>tn</t>
        </is>
      </c>
      <c r="E1713" t="inlineStr">
        <is>
          <t>fr</t>
        </is>
      </c>
      <c r="F1713" t="n">
        <v>30</v>
      </c>
      <c r="G1713" t="inlineStr">
        <is>
          <t>NOT AVAILABLE</t>
        </is>
      </c>
      <c r="H1713" t="n">
        <v>0</v>
      </c>
      <c r="I1713" t="n">
        <v>0.33</v>
      </c>
      <c r="J1713" t="inlineStr">
        <is>
          <t>NOT AVAILABLE</t>
        </is>
      </c>
      <c r="K1713" t="inlineStr">
        <is>
          <t>NOT AVAILABLE (report not requested)</t>
        </is>
      </c>
      <c r="L1713" t="inlineStr">
        <is>
          <t>stable (calc.)</t>
        </is>
      </c>
      <c r="M1713" t="inlineStr">
        <is>
          <t>MEASURED</t>
        </is>
      </c>
      <c r="N1713" s="5" t="inlineStr">
        <is>
          <t>Semrush phrase_these (live, this session)</t>
        </is>
      </c>
      <c r="O1713" t="inlineStr">
        <is>
          <t>2026-10-30</t>
        </is>
      </c>
      <c r="P1713">
        <f>IF(IF(J1713="NOT AVAILABLE","",J1713)="",12,IF(OR(ISNUMBER(SEARCH("Transactional",IF(J1713="NOT AVAILABLE","",J1713))),ISNUMBER(SEARCH("Commercial",IF(J1713="NOT AVAILABLE","",J1713)))),25,IF(ISNUMBER(SEARCH("Informational",IF(J1713="NOT AVAILABLE","",J1713))),10,IF(ISNUMBER(SEARCH("Navigational",IF(J1713="NOT AVAILABLE","",J1713))),0,12))))</f>
        <v/>
      </c>
      <c r="Q1713">
        <f>IF(ISNUMBER(F1713),MIN(30,ROUND(30*LOG10(F1713+1)/4,1)),0)</f>
        <v/>
      </c>
      <c r="R1713">
        <f>IF(ISNUMBER(G1713),ROUND(25*(100-G1713)/100,1),12.5)</f>
        <v/>
      </c>
      <c r="S1713" t="n">
        <v>6</v>
      </c>
      <c r="T1713">
        <f>ROUND(P1713+Q1713+R1713+S1713,0)</f>
        <v/>
      </c>
      <c r="U1713" s="5" t="inlineStr"/>
      <c r="V1713" s="5" t="inlineStr"/>
    </row>
    <row r="1714">
      <c r="A1714" t="inlineStr">
        <is>
          <t>K1712</t>
        </is>
      </c>
      <c r="B1714" t="inlineStr">
        <is>
          <t>développement application web</t>
        </is>
      </c>
      <c r="C1714" t="inlineStr">
        <is>
          <t>Tunisia</t>
        </is>
      </c>
      <c r="D1714" t="inlineStr">
        <is>
          <t>tn</t>
        </is>
      </c>
      <c r="E1714" t="inlineStr">
        <is>
          <t>fr</t>
        </is>
      </c>
      <c r="F1714" t="n">
        <v>30</v>
      </c>
      <c r="G1714" t="inlineStr">
        <is>
          <t>NOT AVAILABLE</t>
        </is>
      </c>
      <c r="H1714" t="n">
        <v>0</v>
      </c>
      <c r="I1714" t="n">
        <v>0.14</v>
      </c>
      <c r="J1714" t="inlineStr">
        <is>
          <t>NOT AVAILABLE</t>
        </is>
      </c>
      <c r="K1714" t="inlineStr">
        <is>
          <t>NOT AVAILABLE (report not requested)</t>
        </is>
      </c>
      <c r="L1714" t="inlineStr">
        <is>
          <t>rising (calc.)</t>
        </is>
      </c>
      <c r="M1714" t="inlineStr">
        <is>
          <t>MEASURED</t>
        </is>
      </c>
      <c r="N1714" s="5" t="inlineStr">
        <is>
          <t>Semrush phrase_these (live, this session)</t>
        </is>
      </c>
      <c r="O1714" t="inlineStr">
        <is>
          <t>2026-10-30</t>
        </is>
      </c>
      <c r="P1714">
        <f>IF(IF(J1714="NOT AVAILABLE","",J1714)="",12,IF(OR(ISNUMBER(SEARCH("Transactional",IF(J1714="NOT AVAILABLE","",J1714))),ISNUMBER(SEARCH("Commercial",IF(J1714="NOT AVAILABLE","",J1714)))),25,IF(ISNUMBER(SEARCH("Informational",IF(J1714="NOT AVAILABLE","",J1714))),10,IF(ISNUMBER(SEARCH("Navigational",IF(J1714="NOT AVAILABLE","",J1714))),0,12))))</f>
        <v/>
      </c>
      <c r="Q1714">
        <f>IF(ISNUMBER(F1714),MIN(30,ROUND(30*LOG10(F1714+1)/4,1)),0)</f>
        <v/>
      </c>
      <c r="R1714">
        <f>IF(ISNUMBER(G1714),ROUND(25*(100-G1714)/100,1),12.5)</f>
        <v/>
      </c>
      <c r="S1714" t="n">
        <v>6</v>
      </c>
      <c r="T1714">
        <f>ROUND(P1714+Q1714+R1714+S1714,0)</f>
        <v/>
      </c>
      <c r="U1714" s="5" t="inlineStr"/>
      <c r="V1714" s="5" t="inlineStr"/>
    </row>
    <row r="1715">
      <c r="A1715" t="inlineStr">
        <is>
          <t>K1713</t>
        </is>
      </c>
      <c r="B1715" t="inlineStr">
        <is>
          <t>développement logiciel sur mesure</t>
        </is>
      </c>
      <c r="C1715" t="inlineStr">
        <is>
          <t>Tunisia</t>
        </is>
      </c>
      <c r="D1715" t="inlineStr">
        <is>
          <t>tn</t>
        </is>
      </c>
      <c r="E1715" t="inlineStr">
        <is>
          <t>fr</t>
        </is>
      </c>
      <c r="F1715" t="n">
        <v>30</v>
      </c>
      <c r="G1715" t="inlineStr">
        <is>
          <t>NOT AVAILABLE</t>
        </is>
      </c>
      <c r="H1715" t="n">
        <v>0</v>
      </c>
      <c r="I1715" t="n">
        <v>0.26</v>
      </c>
      <c r="J1715" t="inlineStr">
        <is>
          <t>NOT AVAILABLE</t>
        </is>
      </c>
      <c r="K1715" t="inlineStr">
        <is>
          <t>NOT AVAILABLE (report not requested)</t>
        </is>
      </c>
      <c r="L1715" t="inlineStr">
        <is>
          <t>declining (calc.)</t>
        </is>
      </c>
      <c r="M1715" t="inlineStr">
        <is>
          <t>MEASURED</t>
        </is>
      </c>
      <c r="N1715" s="5" t="inlineStr">
        <is>
          <t>Semrush phrase_these (live, this session)</t>
        </is>
      </c>
      <c r="O1715" t="inlineStr">
        <is>
          <t>2026-10-30</t>
        </is>
      </c>
      <c r="P1715">
        <f>IF(IF(J1715="NOT AVAILABLE","",J1715)="",12,IF(OR(ISNUMBER(SEARCH("Transactional",IF(J1715="NOT AVAILABLE","",J1715))),ISNUMBER(SEARCH("Commercial",IF(J1715="NOT AVAILABLE","",J1715)))),25,IF(ISNUMBER(SEARCH("Informational",IF(J1715="NOT AVAILABLE","",J1715))),10,IF(ISNUMBER(SEARCH("Navigational",IF(J1715="NOT AVAILABLE","",J1715))),0,12))))</f>
        <v/>
      </c>
      <c r="Q1715">
        <f>IF(ISNUMBER(F1715),MIN(30,ROUND(30*LOG10(F1715+1)/4,1)),0)</f>
        <v/>
      </c>
      <c r="R1715">
        <f>IF(ISNUMBER(G1715),ROUND(25*(100-G1715)/100,1),12.5)</f>
        <v/>
      </c>
      <c r="S1715" t="n">
        <v>6</v>
      </c>
      <c r="T1715">
        <f>ROUND(P1715+Q1715+R1715+S1715,0)</f>
        <v/>
      </c>
      <c r="U1715" s="5" t="inlineStr"/>
      <c r="V1715" s="5" t="inlineStr"/>
    </row>
    <row r="1716">
      <c r="A1716" t="inlineStr">
        <is>
          <t>K1714</t>
        </is>
      </c>
      <c r="B1716" t="inlineStr">
        <is>
          <t>développeur web freelance</t>
        </is>
      </c>
      <c r="C1716" t="inlineStr">
        <is>
          <t>Tunisia</t>
        </is>
      </c>
      <c r="D1716" t="inlineStr">
        <is>
          <t>tn</t>
        </is>
      </c>
      <c r="E1716" t="inlineStr">
        <is>
          <t>fr</t>
        </is>
      </c>
      <c r="F1716" t="n">
        <v>30</v>
      </c>
      <c r="G1716" t="inlineStr">
        <is>
          <t>NOT AVAILABLE</t>
        </is>
      </c>
      <c r="H1716" t="n">
        <v>0</v>
      </c>
      <c r="I1716" t="n">
        <v>0.01</v>
      </c>
      <c r="J1716" t="inlineStr">
        <is>
          <t>NOT AVAILABLE</t>
        </is>
      </c>
      <c r="K1716" t="inlineStr">
        <is>
          <t>NOT AVAILABLE (report not requested)</t>
        </is>
      </c>
      <c r="L1716" t="inlineStr">
        <is>
          <t>rising (calc.)</t>
        </is>
      </c>
      <c r="M1716" t="inlineStr">
        <is>
          <t>MEASURED</t>
        </is>
      </c>
      <c r="N1716" s="5" t="inlineStr">
        <is>
          <t>Semrush phrase_these (live, this session)</t>
        </is>
      </c>
      <c r="O1716" t="inlineStr">
        <is>
          <t>2026-10-30</t>
        </is>
      </c>
      <c r="P1716">
        <f>IF(IF(J1716="NOT AVAILABLE","",J1716)="",12,IF(OR(ISNUMBER(SEARCH("Transactional",IF(J1716="NOT AVAILABLE","",J1716))),ISNUMBER(SEARCH("Commercial",IF(J1716="NOT AVAILABLE","",J1716)))),25,IF(ISNUMBER(SEARCH("Informational",IF(J1716="NOT AVAILABLE","",J1716))),10,IF(ISNUMBER(SEARCH("Navigational",IF(J1716="NOT AVAILABLE","",J1716))),0,12))))</f>
        <v/>
      </c>
      <c r="Q1716">
        <f>IF(ISNUMBER(F1716),MIN(30,ROUND(30*LOG10(F1716+1)/4,1)),0)</f>
        <v/>
      </c>
      <c r="R1716">
        <f>IF(ISNUMBER(G1716),ROUND(25*(100-G1716)/100,1),12.5)</f>
        <v/>
      </c>
      <c r="S1716" t="n">
        <v>6</v>
      </c>
      <c r="T1716">
        <f>ROUND(P1716+Q1716+R1716+S1716,0)</f>
        <v/>
      </c>
      <c r="U1716" s="5" t="inlineStr"/>
      <c r="V1716" s="5" t="inlineStr"/>
    </row>
    <row r="1717">
      <c r="A1717" t="inlineStr">
        <is>
          <t>K1715</t>
        </is>
      </c>
      <c r="B1717" t="inlineStr">
        <is>
          <t>webdesigner</t>
        </is>
      </c>
      <c r="C1717" t="inlineStr">
        <is>
          <t>Tunisia</t>
        </is>
      </c>
      <c r="D1717" t="inlineStr">
        <is>
          <t>tn</t>
        </is>
      </c>
      <c r="E1717" t="inlineStr">
        <is>
          <t>fr</t>
        </is>
      </c>
      <c r="F1717" t="n">
        <v>30</v>
      </c>
      <c r="G1717" t="inlineStr">
        <is>
          <t>NOT AVAILABLE</t>
        </is>
      </c>
      <c r="H1717" t="n">
        <v>0</v>
      </c>
      <c r="I1717" t="n">
        <v>0.33</v>
      </c>
      <c r="J1717" t="inlineStr">
        <is>
          <t>NOT AVAILABLE</t>
        </is>
      </c>
      <c r="K1717" t="inlineStr">
        <is>
          <t>NOT AVAILABLE (report not requested)</t>
        </is>
      </c>
      <c r="L1717" t="inlineStr">
        <is>
          <t>declining (calc.)</t>
        </is>
      </c>
      <c r="M1717" t="inlineStr">
        <is>
          <t>MEASURED</t>
        </is>
      </c>
      <c r="N1717" s="5" t="inlineStr">
        <is>
          <t>Semrush phrase_these (live, this session)</t>
        </is>
      </c>
      <c r="O1717" t="inlineStr">
        <is>
          <t>2026-10-30</t>
        </is>
      </c>
      <c r="P1717">
        <f>IF(IF(J1717="NOT AVAILABLE","",J1717)="",12,IF(OR(ISNUMBER(SEARCH("Transactional",IF(J1717="NOT AVAILABLE","",J1717))),ISNUMBER(SEARCH("Commercial",IF(J1717="NOT AVAILABLE","",J1717)))),25,IF(ISNUMBER(SEARCH("Informational",IF(J1717="NOT AVAILABLE","",J1717))),10,IF(ISNUMBER(SEARCH("Navigational",IF(J1717="NOT AVAILABLE","",J1717))),0,12))))</f>
        <v/>
      </c>
      <c r="Q1717">
        <f>IF(ISNUMBER(F1717),MIN(30,ROUND(30*LOG10(F1717+1)/4,1)),0)</f>
        <v/>
      </c>
      <c r="R1717">
        <f>IF(ISNUMBER(G1717),ROUND(25*(100-G1717)/100,1),12.5)</f>
        <v/>
      </c>
      <c r="S1717" t="n">
        <v>6</v>
      </c>
      <c r="T1717">
        <f>ROUND(P1717+Q1717+R1717+S1717,0)</f>
        <v/>
      </c>
      <c r="U1717" s="5" t="inlineStr"/>
      <c r="V1717" s="5" t="inlineStr"/>
    </row>
    <row r="1718">
      <c r="A1718" t="inlineStr">
        <is>
          <t>K1716</t>
        </is>
      </c>
      <c r="B1718" t="inlineStr">
        <is>
          <t>agence de développement web</t>
        </is>
      </c>
      <c r="C1718" t="inlineStr">
        <is>
          <t>Tunisia</t>
        </is>
      </c>
      <c r="D1718" t="inlineStr">
        <is>
          <t>tn</t>
        </is>
      </c>
      <c r="E1718" t="inlineStr">
        <is>
          <t>fr</t>
        </is>
      </c>
      <c r="F1718" t="n">
        <v>20</v>
      </c>
      <c r="G1718" t="inlineStr">
        <is>
          <t>NOT AVAILABLE</t>
        </is>
      </c>
      <c r="H1718" t="n">
        <v>0</v>
      </c>
      <c r="I1718" t="n">
        <v>0.03</v>
      </c>
      <c r="J1718" t="inlineStr">
        <is>
          <t>NOT AVAILABLE</t>
        </is>
      </c>
      <c r="K1718" t="inlineStr">
        <is>
          <t>NOT AVAILABLE (report not requested)</t>
        </is>
      </c>
      <c r="L1718" t="inlineStr">
        <is>
          <t>stable (calc.)</t>
        </is>
      </c>
      <c r="M1718" t="inlineStr">
        <is>
          <t>MEASURED</t>
        </is>
      </c>
      <c r="N1718" s="5" t="inlineStr">
        <is>
          <t>Semrush phrase_these (live, this session)</t>
        </is>
      </c>
      <c r="O1718" t="inlineStr">
        <is>
          <t>2026-10-30</t>
        </is>
      </c>
      <c r="P1718">
        <f>IF(IF(J1718="NOT AVAILABLE","",J1718)="",12,IF(OR(ISNUMBER(SEARCH("Transactional",IF(J1718="NOT AVAILABLE","",J1718))),ISNUMBER(SEARCH("Commercial",IF(J1718="NOT AVAILABLE","",J1718)))),25,IF(ISNUMBER(SEARCH("Informational",IF(J1718="NOT AVAILABLE","",J1718))),10,IF(ISNUMBER(SEARCH("Navigational",IF(J1718="NOT AVAILABLE","",J1718))),0,12))))</f>
        <v/>
      </c>
      <c r="Q1718">
        <f>IF(ISNUMBER(F1718),MIN(30,ROUND(30*LOG10(F1718+1)/4,1)),0)</f>
        <v/>
      </c>
      <c r="R1718">
        <f>IF(ISNUMBER(G1718),ROUND(25*(100-G1718)/100,1),12.5)</f>
        <v/>
      </c>
      <c r="S1718" t="n">
        <v>6</v>
      </c>
      <c r="T1718">
        <f>ROUND(P1718+Q1718+R1718+S1718,0)</f>
        <v/>
      </c>
      <c r="U1718" s="5" t="inlineStr"/>
      <c r="V1718" s="5" t="inlineStr"/>
    </row>
    <row r="1719">
      <c r="A1719" t="inlineStr">
        <is>
          <t>K1717</t>
        </is>
      </c>
      <c r="B1719" t="inlineStr">
        <is>
          <t>agence web tunis</t>
        </is>
      </c>
      <c r="C1719" t="inlineStr">
        <is>
          <t>Tunisia</t>
        </is>
      </c>
      <c r="D1719" t="inlineStr">
        <is>
          <t>tn</t>
        </is>
      </c>
      <c r="E1719" t="inlineStr">
        <is>
          <t>fr</t>
        </is>
      </c>
      <c r="F1719" t="n">
        <v>20</v>
      </c>
      <c r="G1719" t="inlineStr">
        <is>
          <t>NOT AVAILABLE</t>
        </is>
      </c>
      <c r="H1719" t="n">
        <v>0</v>
      </c>
      <c r="I1719" t="n">
        <v>0.33</v>
      </c>
      <c r="J1719" t="inlineStr">
        <is>
          <t>NOT AVAILABLE</t>
        </is>
      </c>
      <c r="K1719" t="inlineStr">
        <is>
          <t>NOT AVAILABLE (report not requested)</t>
        </is>
      </c>
      <c r="L1719" t="inlineStr">
        <is>
          <t>rising (calc.)</t>
        </is>
      </c>
      <c r="M1719" t="inlineStr">
        <is>
          <t>MEASURED</t>
        </is>
      </c>
      <c r="N1719" s="5" t="inlineStr">
        <is>
          <t>Semrush phrase_these (live, this session)</t>
        </is>
      </c>
      <c r="O1719" t="inlineStr">
        <is>
          <t>2026-10-30</t>
        </is>
      </c>
      <c r="P1719">
        <f>IF(IF(J1719="NOT AVAILABLE","",J1719)="",12,IF(OR(ISNUMBER(SEARCH("Transactional",IF(J1719="NOT AVAILABLE","",J1719))),ISNUMBER(SEARCH("Commercial",IF(J1719="NOT AVAILABLE","",J1719)))),25,IF(ISNUMBER(SEARCH("Informational",IF(J1719="NOT AVAILABLE","",J1719))),10,IF(ISNUMBER(SEARCH("Navigational",IF(J1719="NOT AVAILABLE","",J1719))),0,12))))</f>
        <v/>
      </c>
      <c r="Q1719">
        <f>IF(ISNUMBER(F1719),MIN(30,ROUND(30*LOG10(F1719+1)/4,1)),0)</f>
        <v/>
      </c>
      <c r="R1719">
        <f>IF(ISNUMBER(G1719),ROUND(25*(100-G1719)/100,1),12.5)</f>
        <v/>
      </c>
      <c r="S1719" t="n">
        <v>6</v>
      </c>
      <c r="T1719">
        <f>ROUND(P1719+Q1719+R1719+S1719,0)</f>
        <v/>
      </c>
      <c r="U1719" s="5" t="inlineStr"/>
      <c r="V1719" s="5" t="inlineStr"/>
    </row>
    <row r="1720">
      <c r="A1720" t="inlineStr">
        <is>
          <t>K1718</t>
        </is>
      </c>
      <c r="B1720" t="inlineStr">
        <is>
          <t>conception site web</t>
        </is>
      </c>
      <c r="C1720" t="inlineStr">
        <is>
          <t>Tunisia</t>
        </is>
      </c>
      <c r="D1720" t="inlineStr">
        <is>
          <t>tn</t>
        </is>
      </c>
      <c r="E1720" t="inlineStr">
        <is>
          <t>fr</t>
        </is>
      </c>
      <c r="F1720" t="n">
        <v>20</v>
      </c>
      <c r="G1720" t="inlineStr">
        <is>
          <t>NOT AVAILABLE</t>
        </is>
      </c>
      <c r="H1720" t="n">
        <v>0</v>
      </c>
      <c r="I1720" t="n">
        <v>0.52</v>
      </c>
      <c r="J1720" t="inlineStr">
        <is>
          <t>NOT AVAILABLE</t>
        </is>
      </c>
      <c r="K1720" t="inlineStr">
        <is>
          <t>NOT AVAILABLE (report not requested)</t>
        </is>
      </c>
      <c r="L1720" t="inlineStr">
        <is>
          <t>declining (calc.)</t>
        </is>
      </c>
      <c r="M1720" t="inlineStr">
        <is>
          <t>MEASURED</t>
        </is>
      </c>
      <c r="N1720" s="5" t="inlineStr">
        <is>
          <t>Semrush phrase_these (live, this session)</t>
        </is>
      </c>
      <c r="O1720" t="inlineStr">
        <is>
          <t>2026-10-30</t>
        </is>
      </c>
      <c r="P1720">
        <f>IF(IF(J1720="NOT AVAILABLE","",J1720)="",12,IF(OR(ISNUMBER(SEARCH("Transactional",IF(J1720="NOT AVAILABLE","",J1720))),ISNUMBER(SEARCH("Commercial",IF(J1720="NOT AVAILABLE","",J1720)))),25,IF(ISNUMBER(SEARCH("Informational",IF(J1720="NOT AVAILABLE","",J1720))),10,IF(ISNUMBER(SEARCH("Navigational",IF(J1720="NOT AVAILABLE","",J1720))),0,12))))</f>
        <v/>
      </c>
      <c r="Q1720">
        <f>IF(ISNUMBER(F1720),MIN(30,ROUND(30*LOG10(F1720+1)/4,1)),0)</f>
        <v/>
      </c>
      <c r="R1720">
        <f>IF(ISNUMBER(G1720),ROUND(25*(100-G1720)/100,1),12.5)</f>
        <v/>
      </c>
      <c r="S1720" t="n">
        <v>6</v>
      </c>
      <c r="T1720">
        <f>ROUND(P1720+Q1720+R1720+S1720,0)</f>
        <v/>
      </c>
      <c r="U1720" s="5" t="inlineStr"/>
      <c r="V1720" s="5" t="inlineStr"/>
    </row>
    <row r="1721">
      <c r="A1721" t="inlineStr">
        <is>
          <t>K1719</t>
        </is>
      </c>
      <c r="B1721" t="inlineStr">
        <is>
          <t>création site e-commerce</t>
        </is>
      </c>
      <c r="C1721" t="inlineStr">
        <is>
          <t>Tunisia</t>
        </is>
      </c>
      <c r="D1721" t="inlineStr">
        <is>
          <t>tn</t>
        </is>
      </c>
      <c r="E1721" t="inlineStr">
        <is>
          <t>fr</t>
        </is>
      </c>
      <c r="F1721" t="n">
        <v>20</v>
      </c>
      <c r="G1721" t="inlineStr">
        <is>
          <t>NOT AVAILABLE</t>
        </is>
      </c>
      <c r="H1721" t="n">
        <v>0.3</v>
      </c>
      <c r="I1721" t="n">
        <v>0.25</v>
      </c>
      <c r="J1721" t="inlineStr">
        <is>
          <t>NOT AVAILABLE</t>
        </is>
      </c>
      <c r="K1721" t="inlineStr">
        <is>
          <t>NOT AVAILABLE (report not requested)</t>
        </is>
      </c>
      <c r="L1721" t="inlineStr">
        <is>
          <t>rising (calc.)</t>
        </is>
      </c>
      <c r="M1721" t="inlineStr">
        <is>
          <t>MEASURED</t>
        </is>
      </c>
      <c r="N1721" s="5" t="inlineStr">
        <is>
          <t>Semrush phrase_these (live, this session)</t>
        </is>
      </c>
      <c r="O1721" t="inlineStr">
        <is>
          <t>2026-10-30</t>
        </is>
      </c>
      <c r="P1721">
        <f>IF(IF(J1721="NOT AVAILABLE","",J1721)="",12,IF(OR(ISNUMBER(SEARCH("Transactional",IF(J1721="NOT AVAILABLE","",J1721))),ISNUMBER(SEARCH("Commercial",IF(J1721="NOT AVAILABLE","",J1721)))),25,IF(ISNUMBER(SEARCH("Informational",IF(J1721="NOT AVAILABLE","",J1721))),10,IF(ISNUMBER(SEARCH("Navigational",IF(J1721="NOT AVAILABLE","",J1721))),0,12))))</f>
        <v/>
      </c>
      <c r="Q1721">
        <f>IF(ISNUMBER(F1721),MIN(30,ROUND(30*LOG10(F1721+1)/4,1)),0)</f>
        <v/>
      </c>
      <c r="R1721">
        <f>IF(ISNUMBER(G1721),ROUND(25*(100-G1721)/100,1),12.5)</f>
        <v/>
      </c>
      <c r="S1721" t="n">
        <v>6</v>
      </c>
      <c r="T1721">
        <f>ROUND(P1721+Q1721+R1721+S1721,0)</f>
        <v/>
      </c>
      <c r="U1721" s="5" t="inlineStr"/>
      <c r="V1721" s="5" t="inlineStr"/>
    </row>
    <row r="1722">
      <c r="A1722" t="inlineStr">
        <is>
          <t>K1720</t>
        </is>
      </c>
      <c r="B1722" t="inlineStr">
        <is>
          <t>création site internet</t>
        </is>
      </c>
      <c r="C1722" t="inlineStr">
        <is>
          <t>Tunisia</t>
        </is>
      </c>
      <c r="D1722" t="inlineStr">
        <is>
          <t>tn</t>
        </is>
      </c>
      <c r="E1722" t="inlineStr">
        <is>
          <t>fr</t>
        </is>
      </c>
      <c r="F1722" t="n">
        <v>20</v>
      </c>
      <c r="G1722" t="inlineStr">
        <is>
          <t>NOT AVAILABLE</t>
        </is>
      </c>
      <c r="H1722" t="n">
        <v>0.41</v>
      </c>
      <c r="I1722" t="n">
        <v>0.37</v>
      </c>
      <c r="J1722" t="inlineStr">
        <is>
          <t>NOT AVAILABLE</t>
        </is>
      </c>
      <c r="K1722" t="inlineStr">
        <is>
          <t>NOT AVAILABLE (report not requested)</t>
        </is>
      </c>
      <c r="L1722" t="inlineStr">
        <is>
          <t>declining (calc.)</t>
        </is>
      </c>
      <c r="M1722" t="inlineStr">
        <is>
          <t>MEASURED</t>
        </is>
      </c>
      <c r="N1722" s="5" t="inlineStr">
        <is>
          <t>Semrush phrase_these (live, this session)</t>
        </is>
      </c>
      <c r="O1722" t="inlineStr">
        <is>
          <t>2026-10-30</t>
        </is>
      </c>
      <c r="P1722">
        <f>IF(IF(J1722="NOT AVAILABLE","",J1722)="",12,IF(OR(ISNUMBER(SEARCH("Transactional",IF(J1722="NOT AVAILABLE","",J1722))),ISNUMBER(SEARCH("Commercial",IF(J1722="NOT AVAILABLE","",J1722)))),25,IF(ISNUMBER(SEARCH("Informational",IF(J1722="NOT AVAILABLE","",J1722))),10,IF(ISNUMBER(SEARCH("Navigational",IF(J1722="NOT AVAILABLE","",J1722))),0,12))))</f>
        <v/>
      </c>
      <c r="Q1722">
        <f>IF(ISNUMBER(F1722),MIN(30,ROUND(30*LOG10(F1722+1)/4,1)),0)</f>
        <v/>
      </c>
      <c r="R1722">
        <f>IF(ISNUMBER(G1722),ROUND(25*(100-G1722)/100,1),12.5)</f>
        <v/>
      </c>
      <c r="S1722" t="n">
        <v>6</v>
      </c>
      <c r="T1722">
        <f>ROUND(P1722+Q1722+R1722+S1722,0)</f>
        <v/>
      </c>
      <c r="U1722" s="5" t="inlineStr"/>
      <c r="V1722" s="5" t="inlineStr"/>
    </row>
    <row r="1723">
      <c r="A1723" t="inlineStr">
        <is>
          <t>K1721</t>
        </is>
      </c>
      <c r="B1723" t="inlineStr">
        <is>
          <t>création site vitrine</t>
        </is>
      </c>
      <c r="C1723" t="inlineStr">
        <is>
          <t>Tunisia</t>
        </is>
      </c>
      <c r="D1723" t="inlineStr">
        <is>
          <t>tn</t>
        </is>
      </c>
      <c r="E1723" t="inlineStr">
        <is>
          <t>fr</t>
        </is>
      </c>
      <c r="F1723" t="n">
        <v>20</v>
      </c>
      <c r="G1723" t="inlineStr">
        <is>
          <t>NOT AVAILABLE</t>
        </is>
      </c>
      <c r="H1723" t="n">
        <v>0</v>
      </c>
      <c r="I1723" t="n">
        <v>0.79</v>
      </c>
      <c r="J1723" t="inlineStr">
        <is>
          <t>NOT AVAILABLE</t>
        </is>
      </c>
      <c r="K1723" t="inlineStr">
        <is>
          <t>NOT AVAILABLE (report not requested)</t>
        </is>
      </c>
      <c r="L1723" t="inlineStr">
        <is>
          <t>declining (calc.)</t>
        </is>
      </c>
      <c r="M1723" t="inlineStr">
        <is>
          <t>MEASURED</t>
        </is>
      </c>
      <c r="N1723" s="5" t="inlineStr">
        <is>
          <t>Semrush phrase_these (live, this session)</t>
        </is>
      </c>
      <c r="O1723" t="inlineStr">
        <is>
          <t>2026-10-30</t>
        </is>
      </c>
      <c r="P1723">
        <f>IF(IF(J1723="NOT AVAILABLE","",J1723)="",12,IF(OR(ISNUMBER(SEARCH("Transactional",IF(J1723="NOT AVAILABLE","",J1723))),ISNUMBER(SEARCH("Commercial",IF(J1723="NOT AVAILABLE","",J1723)))),25,IF(ISNUMBER(SEARCH("Informational",IF(J1723="NOT AVAILABLE","",J1723))),10,IF(ISNUMBER(SEARCH("Navigational",IF(J1723="NOT AVAILABLE","",J1723))),0,12))))</f>
        <v/>
      </c>
      <c r="Q1723">
        <f>IF(ISNUMBER(F1723),MIN(30,ROUND(30*LOG10(F1723+1)/4,1)),0)</f>
        <v/>
      </c>
      <c r="R1723">
        <f>IF(ISNUMBER(G1723),ROUND(25*(100-G1723)/100,1),12.5)</f>
        <v/>
      </c>
      <c r="S1723" t="n">
        <v>6</v>
      </c>
      <c r="T1723">
        <f>ROUND(P1723+Q1723+R1723+S1723,0)</f>
        <v/>
      </c>
      <c r="U1723" s="5" t="inlineStr"/>
      <c r="V1723" s="5" t="inlineStr"/>
    </row>
    <row r="1724">
      <c r="A1724" t="inlineStr">
        <is>
          <t>K1722</t>
        </is>
      </c>
      <c r="B1724" t="inlineStr">
        <is>
          <t>création site web tunis</t>
        </is>
      </c>
      <c r="C1724" t="inlineStr">
        <is>
          <t>Tunisia</t>
        </is>
      </c>
      <c r="D1724" t="inlineStr">
        <is>
          <t>tn</t>
        </is>
      </c>
      <c r="E1724" t="inlineStr">
        <is>
          <t>fr</t>
        </is>
      </c>
      <c r="F1724" t="n">
        <v>20</v>
      </c>
      <c r="G1724" t="inlineStr">
        <is>
          <t>NOT AVAILABLE</t>
        </is>
      </c>
      <c r="H1724" t="n">
        <v>0</v>
      </c>
      <c r="I1724" t="n">
        <v>0.33</v>
      </c>
      <c r="J1724" t="inlineStr">
        <is>
          <t>NOT AVAILABLE</t>
        </is>
      </c>
      <c r="K1724" t="inlineStr">
        <is>
          <t>NOT AVAILABLE (report not requested)</t>
        </is>
      </c>
      <c r="L1724" t="inlineStr">
        <is>
          <t>declining (calc.)</t>
        </is>
      </c>
      <c r="M1724" t="inlineStr">
        <is>
          <t>MEASURED</t>
        </is>
      </c>
      <c r="N1724" s="5" t="inlineStr">
        <is>
          <t>Semrush phrase_these (live, this session)</t>
        </is>
      </c>
      <c r="O1724" t="inlineStr">
        <is>
          <t>2026-10-30</t>
        </is>
      </c>
      <c r="P1724">
        <f>IF(IF(J1724="NOT AVAILABLE","",J1724)="",12,IF(OR(ISNUMBER(SEARCH("Transactional",IF(J1724="NOT AVAILABLE","",J1724))),ISNUMBER(SEARCH("Commercial",IF(J1724="NOT AVAILABLE","",J1724)))),25,IF(ISNUMBER(SEARCH("Informational",IF(J1724="NOT AVAILABLE","",J1724))),10,IF(ISNUMBER(SEARCH("Navigational",IF(J1724="NOT AVAILABLE","",J1724))),0,12))))</f>
        <v/>
      </c>
      <c r="Q1724">
        <f>IF(ISNUMBER(F1724),MIN(30,ROUND(30*LOG10(F1724+1)/4,1)),0)</f>
        <v/>
      </c>
      <c r="R1724">
        <f>IF(ISNUMBER(G1724),ROUND(25*(100-G1724)/100,1),12.5)</f>
        <v/>
      </c>
      <c r="S1724" t="n">
        <v>6</v>
      </c>
      <c r="T1724">
        <f>ROUND(P1724+Q1724+R1724+S1724,0)</f>
        <v/>
      </c>
      <c r="U1724" s="5" t="inlineStr"/>
      <c r="V1724" s="5" t="inlineStr"/>
    </row>
    <row r="1725">
      <c r="A1725" t="inlineStr">
        <is>
          <t>K1723</t>
        </is>
      </c>
      <c r="B1725" t="inlineStr">
        <is>
          <t>développement web sur mesure</t>
        </is>
      </c>
      <c r="C1725" t="inlineStr">
        <is>
          <t>Tunisia</t>
        </is>
      </c>
      <c r="D1725" t="inlineStr">
        <is>
          <t>tn</t>
        </is>
      </c>
      <c r="E1725" t="inlineStr">
        <is>
          <t>fr</t>
        </is>
      </c>
      <c r="F1725" t="n">
        <v>20</v>
      </c>
      <c r="G1725" t="inlineStr">
        <is>
          <t>NOT AVAILABLE</t>
        </is>
      </c>
      <c r="H1725" t="n">
        <v>0</v>
      </c>
      <c r="I1725" t="n">
        <v>0.33</v>
      </c>
      <c r="J1725" t="inlineStr">
        <is>
          <t>NOT AVAILABLE</t>
        </is>
      </c>
      <c r="K1725" t="inlineStr">
        <is>
          <t>NOT AVAILABLE (report not requested)</t>
        </is>
      </c>
      <c r="L1725" t="inlineStr">
        <is>
          <t>stable (calc.)</t>
        </is>
      </c>
      <c r="M1725" t="inlineStr">
        <is>
          <t>MEASURED</t>
        </is>
      </c>
      <c r="N1725" s="5" t="inlineStr">
        <is>
          <t>Semrush phrase_these (live, this session)</t>
        </is>
      </c>
      <c r="O1725" t="inlineStr">
        <is>
          <t>2026-10-30</t>
        </is>
      </c>
      <c r="P1725">
        <f>IF(IF(J1725="NOT AVAILABLE","",J1725)="",12,IF(OR(ISNUMBER(SEARCH("Transactional",IF(J1725="NOT AVAILABLE","",J1725))),ISNUMBER(SEARCH("Commercial",IF(J1725="NOT AVAILABLE","",J1725)))),25,IF(ISNUMBER(SEARCH("Informational",IF(J1725="NOT AVAILABLE","",J1725))),10,IF(ISNUMBER(SEARCH("Navigational",IF(J1725="NOT AVAILABLE","",J1725))),0,12))))</f>
        <v/>
      </c>
      <c r="Q1725">
        <f>IF(ISNUMBER(F1725),MIN(30,ROUND(30*LOG10(F1725+1)/4,1)),0)</f>
        <v/>
      </c>
      <c r="R1725">
        <f>IF(ISNUMBER(G1725),ROUND(25*(100-G1725)/100,1),12.5)</f>
        <v/>
      </c>
      <c r="S1725" t="n">
        <v>6</v>
      </c>
      <c r="T1725">
        <f>ROUND(P1725+Q1725+R1725+S1725,0)</f>
        <v/>
      </c>
      <c r="U1725" s="5" t="inlineStr"/>
      <c r="V1725" s="5" t="inlineStr"/>
    </row>
    <row r="1726">
      <c r="A1726" t="inlineStr">
        <is>
          <t>K1724</t>
        </is>
      </c>
      <c r="B1726" t="inlineStr">
        <is>
          <t>développement web tunis</t>
        </is>
      </c>
      <c r="C1726" t="inlineStr">
        <is>
          <t>Tunisia</t>
        </is>
      </c>
      <c r="D1726" t="inlineStr">
        <is>
          <t>tn</t>
        </is>
      </c>
      <c r="E1726" t="inlineStr">
        <is>
          <t>fr</t>
        </is>
      </c>
      <c r="F1726" t="n">
        <v>20</v>
      </c>
      <c r="G1726" t="inlineStr">
        <is>
          <t>NOT AVAILABLE</t>
        </is>
      </c>
      <c r="H1726" t="n">
        <v>0</v>
      </c>
      <c r="I1726" t="n">
        <v>0.33</v>
      </c>
      <c r="J1726" t="inlineStr">
        <is>
          <t>NOT AVAILABLE</t>
        </is>
      </c>
      <c r="K1726" t="inlineStr">
        <is>
          <t>NOT AVAILABLE (report not requested)</t>
        </is>
      </c>
      <c r="L1726" t="inlineStr">
        <is>
          <t>declining (calc.)</t>
        </is>
      </c>
      <c r="M1726" t="inlineStr">
        <is>
          <t>MEASURED</t>
        </is>
      </c>
      <c r="N1726" s="5" t="inlineStr">
        <is>
          <t>Semrush phrase_these (live, this session)</t>
        </is>
      </c>
      <c r="O1726" t="inlineStr">
        <is>
          <t>2026-10-30</t>
        </is>
      </c>
      <c r="P1726">
        <f>IF(IF(J1726="NOT AVAILABLE","",J1726)="",12,IF(OR(ISNUMBER(SEARCH("Transactional",IF(J1726="NOT AVAILABLE","",J1726))),ISNUMBER(SEARCH("Commercial",IF(J1726="NOT AVAILABLE","",J1726)))),25,IF(ISNUMBER(SEARCH("Informational",IF(J1726="NOT AVAILABLE","",J1726))),10,IF(ISNUMBER(SEARCH("Navigational",IF(J1726="NOT AVAILABLE","",J1726))),0,12))))</f>
        <v/>
      </c>
      <c r="Q1726">
        <f>IF(ISNUMBER(F1726),MIN(30,ROUND(30*LOG10(F1726+1)/4,1)),0)</f>
        <v/>
      </c>
      <c r="R1726">
        <f>IF(ISNUMBER(G1726),ROUND(25*(100-G1726)/100,1),12.5)</f>
        <v/>
      </c>
      <c r="S1726" t="n">
        <v>6</v>
      </c>
      <c r="T1726">
        <f>ROUND(P1726+Q1726+R1726+S1726,0)</f>
        <v/>
      </c>
      <c r="U1726" s="5" t="inlineStr"/>
      <c r="V1726" s="5" t="inlineStr">
        <is>
          <t>PRIMARY /web-development-company/tunis</t>
        </is>
      </c>
    </row>
    <row r="1727">
      <c r="A1727" t="inlineStr">
        <is>
          <t>K1725</t>
        </is>
      </c>
      <c r="B1727" t="inlineStr">
        <is>
          <t>prix site web</t>
        </is>
      </c>
      <c r="C1727" t="inlineStr">
        <is>
          <t>Tunisia</t>
        </is>
      </c>
      <c r="D1727" t="inlineStr">
        <is>
          <t>tn</t>
        </is>
      </c>
      <c r="E1727" t="inlineStr">
        <is>
          <t>fr</t>
        </is>
      </c>
      <c r="F1727" t="n">
        <v>20</v>
      </c>
      <c r="G1727" t="inlineStr">
        <is>
          <t>NOT AVAILABLE</t>
        </is>
      </c>
      <c r="H1727" t="n">
        <v>0</v>
      </c>
      <c r="I1727" t="n">
        <v>0.33</v>
      </c>
      <c r="J1727" t="inlineStr">
        <is>
          <t>NOT AVAILABLE</t>
        </is>
      </c>
      <c r="K1727" t="inlineStr">
        <is>
          <t>NOT AVAILABLE (report not requested)</t>
        </is>
      </c>
      <c r="L1727" t="inlineStr">
        <is>
          <t>declining (calc.)</t>
        </is>
      </c>
      <c r="M1727" t="inlineStr">
        <is>
          <t>MEASURED</t>
        </is>
      </c>
      <c r="N1727" s="5" t="inlineStr">
        <is>
          <t>Semrush phrase_these (live, this session)</t>
        </is>
      </c>
      <c r="O1727" t="inlineStr">
        <is>
          <t>2026-10-30</t>
        </is>
      </c>
      <c r="P1727">
        <f>IF(IF(J1727="NOT AVAILABLE","",J1727)="",12,IF(OR(ISNUMBER(SEARCH("Transactional",IF(J1727="NOT AVAILABLE","",J1727))),ISNUMBER(SEARCH("Commercial",IF(J1727="NOT AVAILABLE","",J1727)))),25,IF(ISNUMBER(SEARCH("Informational",IF(J1727="NOT AVAILABLE","",J1727))),10,IF(ISNUMBER(SEARCH("Navigational",IF(J1727="NOT AVAILABLE","",J1727))),0,12))))</f>
        <v/>
      </c>
      <c r="Q1727">
        <f>IF(ISNUMBER(F1727),MIN(30,ROUND(30*LOG10(F1727+1)/4,1)),0)</f>
        <v/>
      </c>
      <c r="R1727">
        <f>IF(ISNUMBER(G1727),ROUND(25*(100-G1727)/100,1),12.5)</f>
        <v/>
      </c>
      <c r="S1727" t="n">
        <v>6</v>
      </c>
      <c r="T1727">
        <f>ROUND(P1727+Q1727+R1727+S1727,0)</f>
        <v/>
      </c>
      <c r="U1727" s="5" t="inlineStr"/>
      <c r="V1727" s="5" t="inlineStr"/>
    </row>
    <row r="1728">
      <c r="A1728" t="inlineStr">
        <is>
          <t>K1726</t>
        </is>
      </c>
      <c r="B1728" t="inlineStr">
        <is>
          <t>refonte site web</t>
        </is>
      </c>
      <c r="C1728" t="inlineStr">
        <is>
          <t>Tunisia</t>
        </is>
      </c>
      <c r="D1728" t="inlineStr">
        <is>
          <t>tn</t>
        </is>
      </c>
      <c r="E1728" t="inlineStr">
        <is>
          <t>fr</t>
        </is>
      </c>
      <c r="F1728" t="n">
        <v>20</v>
      </c>
      <c r="G1728" t="inlineStr">
        <is>
          <t>NOT AVAILABLE</t>
        </is>
      </c>
      <c r="H1728" t="n">
        <v>0</v>
      </c>
      <c r="I1728" t="n">
        <v>0.33</v>
      </c>
      <c r="J1728" t="inlineStr">
        <is>
          <t>NOT AVAILABLE</t>
        </is>
      </c>
      <c r="K1728" t="inlineStr">
        <is>
          <t>NOT AVAILABLE (report not requested)</t>
        </is>
      </c>
      <c r="L1728" t="inlineStr">
        <is>
          <t>declining (calc.)</t>
        </is>
      </c>
      <c r="M1728" t="inlineStr">
        <is>
          <t>MEASURED</t>
        </is>
      </c>
      <c r="N1728" s="5" t="inlineStr">
        <is>
          <t>Semrush phrase_these (live, this session)</t>
        </is>
      </c>
      <c r="O1728" t="inlineStr">
        <is>
          <t>2026-10-30</t>
        </is>
      </c>
      <c r="P1728">
        <f>IF(IF(J1728="NOT AVAILABLE","",J1728)="",12,IF(OR(ISNUMBER(SEARCH("Transactional",IF(J1728="NOT AVAILABLE","",J1728))),ISNUMBER(SEARCH("Commercial",IF(J1728="NOT AVAILABLE","",J1728)))),25,IF(ISNUMBER(SEARCH("Informational",IF(J1728="NOT AVAILABLE","",J1728))),10,IF(ISNUMBER(SEARCH("Navigational",IF(J1728="NOT AVAILABLE","",J1728))),0,12))))</f>
        <v/>
      </c>
      <c r="Q1728">
        <f>IF(ISNUMBER(F1728),MIN(30,ROUND(30*LOG10(F1728+1)/4,1)),0)</f>
        <v/>
      </c>
      <c r="R1728">
        <f>IF(ISNUMBER(G1728),ROUND(25*(100-G1728)/100,1),12.5)</f>
        <v/>
      </c>
      <c r="S1728" t="n">
        <v>6</v>
      </c>
      <c r="T1728">
        <f>ROUND(P1728+Q1728+R1728+S1728,0)</f>
        <v/>
      </c>
      <c r="U1728" s="5" t="inlineStr"/>
      <c r="V1728" s="5" t="inlineStr"/>
    </row>
    <row r="1729">
      <c r="A1729" t="inlineStr">
        <is>
          <t>K1727</t>
        </is>
      </c>
      <c r="B1729" t="inlineStr">
        <is>
          <t>développement web offshore</t>
        </is>
      </c>
      <c r="C1729" t="inlineStr">
        <is>
          <t>Tunisia</t>
        </is>
      </c>
      <c r="D1729" t="inlineStr">
        <is>
          <t>tn</t>
        </is>
      </c>
      <c r="E1729" t="inlineStr">
        <is>
          <t>fr</t>
        </is>
      </c>
      <c r="F1729" t="n">
        <v>10</v>
      </c>
      <c r="G1729" t="inlineStr">
        <is>
          <t>NOT AVAILABLE</t>
        </is>
      </c>
      <c r="H1729" t="n">
        <v>0</v>
      </c>
      <c r="I1729" t="n">
        <v>0.33</v>
      </c>
      <c r="J1729" t="inlineStr">
        <is>
          <t>NOT AVAILABLE</t>
        </is>
      </c>
      <c r="K1729" t="inlineStr">
        <is>
          <t>NOT AVAILABLE (report not requested)</t>
        </is>
      </c>
      <c r="L1729" t="inlineStr">
        <is>
          <t>rising (calc.)</t>
        </is>
      </c>
      <c r="M1729" t="inlineStr">
        <is>
          <t>MEASURED</t>
        </is>
      </c>
      <c r="N1729" s="5" t="inlineStr">
        <is>
          <t>Semrush phrase_these (live, this session)</t>
        </is>
      </c>
      <c r="O1729" t="inlineStr">
        <is>
          <t>2026-10-30</t>
        </is>
      </c>
      <c r="P1729">
        <f>IF(IF(J1729="NOT AVAILABLE","",J1729)="",12,IF(OR(ISNUMBER(SEARCH("Transactional",IF(J1729="NOT AVAILABLE","",J1729))),ISNUMBER(SEARCH("Commercial",IF(J1729="NOT AVAILABLE","",J1729)))),25,IF(ISNUMBER(SEARCH("Informational",IF(J1729="NOT AVAILABLE","",J1729))),10,IF(ISNUMBER(SEARCH("Navigational",IF(J1729="NOT AVAILABLE","",J1729))),0,12))))</f>
        <v/>
      </c>
      <c r="Q1729">
        <f>IF(ISNUMBER(F1729),MIN(30,ROUND(30*LOG10(F1729+1)/4,1)),0)</f>
        <v/>
      </c>
      <c r="R1729">
        <f>IF(ISNUMBER(G1729),ROUND(25*(100-G1729)/100,1),12.5)</f>
        <v/>
      </c>
      <c r="S1729" t="n">
        <v>6</v>
      </c>
      <c r="T1729">
        <f>ROUND(P1729+Q1729+R1729+S1729,0)</f>
        <v/>
      </c>
      <c r="U1729" s="5" t="inlineStr"/>
      <c r="V1729" s="5" t="inlineStr"/>
    </row>
    <row r="1730">
      <c r="A1730" t="inlineStr">
        <is>
          <t>K1728</t>
        </is>
      </c>
      <c r="B1730" t="inlineStr">
        <is>
          <t>agence web maroc</t>
        </is>
      </c>
      <c r="C1730" t="inlineStr">
        <is>
          <t>Tunisia</t>
        </is>
      </c>
      <c r="D1730" t="inlineStr">
        <is>
          <t>tn</t>
        </is>
      </c>
      <c r="E1730" t="inlineStr">
        <is>
          <t>fr</t>
        </is>
      </c>
      <c r="F1730" t="n">
        <v>0</v>
      </c>
      <c r="G1730" t="inlineStr">
        <is>
          <t>NOT AVAILABLE</t>
        </is>
      </c>
      <c r="H1730" t="n">
        <v>0</v>
      </c>
      <c r="I1730" t="n">
        <v>0.86</v>
      </c>
      <c r="J1730" t="inlineStr">
        <is>
          <t>NOT AVAILABLE</t>
        </is>
      </c>
      <c r="K1730" t="inlineStr">
        <is>
          <t>NOT AVAILABLE (report not requested)</t>
        </is>
      </c>
      <c r="L1730" t="inlineStr">
        <is>
          <t>rising (calc.)</t>
        </is>
      </c>
      <c r="M1730" t="inlineStr">
        <is>
          <t>MEASURED</t>
        </is>
      </c>
      <c r="N1730" s="5" t="inlineStr">
        <is>
          <t>Semrush phrase_these (live, this session)</t>
        </is>
      </c>
      <c r="O1730" t="inlineStr">
        <is>
          <t>2026-10-30</t>
        </is>
      </c>
      <c r="P1730">
        <f>IF(IF(J1730="NOT AVAILABLE","",J1730)="",12,IF(OR(ISNUMBER(SEARCH("Transactional",IF(J1730="NOT AVAILABLE","",J1730))),ISNUMBER(SEARCH("Commercial",IF(J1730="NOT AVAILABLE","",J1730)))),25,IF(ISNUMBER(SEARCH("Informational",IF(J1730="NOT AVAILABLE","",J1730))),10,IF(ISNUMBER(SEARCH("Navigational",IF(J1730="NOT AVAILABLE","",J1730))),0,12))))</f>
        <v/>
      </c>
      <c r="Q1730">
        <f>IF(ISNUMBER(F1730),MIN(30,ROUND(30*LOG10(F1730+1)/4,1)),0)</f>
        <v/>
      </c>
      <c r="R1730">
        <f>IF(ISNUMBER(G1730),ROUND(25*(100-G1730)/100,1),12.5)</f>
        <v/>
      </c>
      <c r="S1730" t="n">
        <v>6</v>
      </c>
      <c r="T1730">
        <f>ROUND(P1730+Q1730+R1730+S1730,0)</f>
        <v/>
      </c>
      <c r="U1730" s="5" t="inlineStr"/>
      <c r="V1730" s="5" t="inlineStr"/>
    </row>
    <row r="1731">
      <c r="A1731" t="inlineStr">
        <is>
          <t>K1729</t>
        </is>
      </c>
      <c r="B1731" t="inlineStr">
        <is>
          <t>agence web nearshore</t>
        </is>
      </c>
      <c r="C1731" t="inlineStr">
        <is>
          <t>Tunisia</t>
        </is>
      </c>
      <c r="D1731" t="inlineStr">
        <is>
          <t>tn</t>
        </is>
      </c>
      <c r="E1731" t="inlineStr">
        <is>
          <t>fr</t>
        </is>
      </c>
      <c r="F1731" t="inlineStr">
        <is>
          <t>NOT AVAILABLE</t>
        </is>
      </c>
      <c r="G1731" t="inlineStr">
        <is>
          <t>NOT AVAILABLE</t>
        </is>
      </c>
      <c r="H1731" t="inlineStr">
        <is>
          <t>NOT AVAILABLE</t>
        </is>
      </c>
      <c r="I1731" t="inlineStr">
        <is>
          <t>NOT AVAILABLE</t>
        </is>
      </c>
      <c r="J1731" t="inlineStr">
        <is>
          <t>NOT AVAILABLE</t>
        </is>
      </c>
      <c r="K1731" t="inlineStr">
        <is>
          <t>NOT AVAILABLE</t>
        </is>
      </c>
      <c r="L1731" t="inlineStr">
        <is>
          <t>NOT AVAILABLE</t>
        </is>
      </c>
      <c r="M1731" t="inlineStr">
        <is>
          <t>UNAVAILABLE</t>
        </is>
      </c>
      <c r="N1731" s="5" t="inlineStr">
        <is>
          <t>Semrush phrase_these returned no data (not billed)</t>
        </is>
      </c>
      <c r="O1731" t="inlineStr">
        <is>
          <t>2026-10-30</t>
        </is>
      </c>
      <c r="P1731">
        <f>IF(IF(J1731="NOT AVAILABLE","",J1731)="",12,IF(OR(ISNUMBER(SEARCH("Transactional",IF(J1731="NOT AVAILABLE","",J1731))),ISNUMBER(SEARCH("Commercial",IF(J1731="NOT AVAILABLE","",J1731)))),25,IF(ISNUMBER(SEARCH("Informational",IF(J1731="NOT AVAILABLE","",J1731))),10,IF(ISNUMBER(SEARCH("Navigational",IF(J1731="NOT AVAILABLE","",J1731))),0,12))))</f>
        <v/>
      </c>
      <c r="Q1731">
        <f>IF(ISNUMBER(F1731),MIN(30,ROUND(30*LOG10(F1731+1)/4,1)),0)</f>
        <v/>
      </c>
      <c r="R1731">
        <f>IF(ISNUMBER(G1731),ROUND(25*(100-G1731)/100,1),12.5)</f>
        <v/>
      </c>
      <c r="S1731" t="n">
        <v>6</v>
      </c>
      <c r="T1731">
        <f>ROUND(P1731+Q1731+R1731+S1731,0)</f>
        <v/>
      </c>
      <c r="U1731" s="5" t="inlineStr"/>
      <c r="V1731" s="5" t="inlineStr"/>
    </row>
    <row r="1732">
      <c r="A1732" t="inlineStr">
        <is>
          <t>K1730</t>
        </is>
      </c>
      <c r="B1732" t="inlineStr">
        <is>
          <t>agence web pas cher</t>
        </is>
      </c>
      <c r="C1732" t="inlineStr">
        <is>
          <t>Tunisia</t>
        </is>
      </c>
      <c r="D1732" t="inlineStr">
        <is>
          <t>tn</t>
        </is>
      </c>
      <c r="E1732" t="inlineStr">
        <is>
          <t>fr</t>
        </is>
      </c>
      <c r="F1732" t="n">
        <v>0</v>
      </c>
      <c r="G1732" t="inlineStr">
        <is>
          <t>NOT AVAILABLE</t>
        </is>
      </c>
      <c r="H1732" t="n">
        <v>0</v>
      </c>
      <c r="I1732" t="n">
        <v>0</v>
      </c>
      <c r="J1732" t="inlineStr">
        <is>
          <t>NOT AVAILABLE</t>
        </is>
      </c>
      <c r="K1732" t="inlineStr">
        <is>
          <t>NOT AVAILABLE (report not requested)</t>
        </is>
      </c>
      <c r="L1732" t="inlineStr">
        <is>
          <t>flat (no data)</t>
        </is>
      </c>
      <c r="M1732" t="inlineStr">
        <is>
          <t>MEASURED</t>
        </is>
      </c>
      <c r="N1732" s="5" t="inlineStr">
        <is>
          <t>Semrush phrase_these (live, this session)</t>
        </is>
      </c>
      <c r="O1732" t="inlineStr">
        <is>
          <t>2026-10-30</t>
        </is>
      </c>
      <c r="P1732">
        <f>IF(IF(J1732="NOT AVAILABLE","",J1732)="",12,IF(OR(ISNUMBER(SEARCH("Transactional",IF(J1732="NOT AVAILABLE","",J1732))),ISNUMBER(SEARCH("Commercial",IF(J1732="NOT AVAILABLE","",J1732)))),25,IF(ISNUMBER(SEARCH("Informational",IF(J1732="NOT AVAILABLE","",J1732))),10,IF(ISNUMBER(SEARCH("Navigational",IF(J1732="NOT AVAILABLE","",J1732))),0,12))))</f>
        <v/>
      </c>
      <c r="Q1732">
        <f>IF(ISNUMBER(F1732),MIN(30,ROUND(30*LOG10(F1732+1)/4,1)),0)</f>
        <v/>
      </c>
      <c r="R1732">
        <f>IF(ISNUMBER(G1732),ROUND(25*(100-G1732)/100,1),12.5)</f>
        <v/>
      </c>
      <c r="S1732" t="n">
        <v>6</v>
      </c>
      <c r="T1732">
        <f>ROUND(P1732+Q1732+R1732+S1732,0)</f>
        <v/>
      </c>
      <c r="U1732" s="5" t="inlineStr"/>
      <c r="V1732" s="5" t="inlineStr"/>
    </row>
    <row r="1733">
      <c r="A1733" t="inlineStr">
        <is>
          <t>K1731</t>
        </is>
      </c>
      <c r="B1733" t="inlineStr">
        <is>
          <t>création application web</t>
        </is>
      </c>
      <c r="C1733" t="inlineStr">
        <is>
          <t>Tunisia</t>
        </is>
      </c>
      <c r="D1733" t="inlineStr">
        <is>
          <t>tn</t>
        </is>
      </c>
      <c r="E1733" t="inlineStr">
        <is>
          <t>fr</t>
        </is>
      </c>
      <c r="F1733" t="n">
        <v>0</v>
      </c>
      <c r="G1733" t="inlineStr">
        <is>
          <t>NOT AVAILABLE</t>
        </is>
      </c>
      <c r="H1733" t="n">
        <v>0</v>
      </c>
      <c r="I1733" t="n">
        <v>0</v>
      </c>
      <c r="J1733" t="inlineStr">
        <is>
          <t>NOT AVAILABLE</t>
        </is>
      </c>
      <c r="K1733" t="inlineStr">
        <is>
          <t>NOT AVAILABLE (report not requested)</t>
        </is>
      </c>
      <c r="L1733" t="inlineStr">
        <is>
          <t>flat (no data)</t>
        </is>
      </c>
      <c r="M1733" t="inlineStr">
        <is>
          <t>MEASURED</t>
        </is>
      </c>
      <c r="N1733" s="5" t="inlineStr">
        <is>
          <t>Semrush phrase_these (live, this session)</t>
        </is>
      </c>
      <c r="O1733" t="inlineStr">
        <is>
          <t>2026-10-30</t>
        </is>
      </c>
      <c r="P1733">
        <f>IF(IF(J1733="NOT AVAILABLE","",J1733)="",12,IF(OR(ISNUMBER(SEARCH("Transactional",IF(J1733="NOT AVAILABLE","",J1733))),ISNUMBER(SEARCH("Commercial",IF(J1733="NOT AVAILABLE","",J1733)))),25,IF(ISNUMBER(SEARCH("Informational",IF(J1733="NOT AVAILABLE","",J1733))),10,IF(ISNUMBER(SEARCH("Navigational",IF(J1733="NOT AVAILABLE","",J1733))),0,12))))</f>
        <v/>
      </c>
      <c r="Q1733">
        <f>IF(ISNUMBER(F1733),MIN(30,ROUND(30*LOG10(F1733+1)/4,1)),0)</f>
        <v/>
      </c>
      <c r="R1733">
        <f>IF(ISNUMBER(G1733),ROUND(25*(100-G1733)/100,1),12.5)</f>
        <v/>
      </c>
      <c r="S1733" t="n">
        <v>6</v>
      </c>
      <c r="T1733">
        <f>ROUND(P1733+Q1733+R1733+S1733,0)</f>
        <v/>
      </c>
      <c r="U1733" s="5" t="inlineStr"/>
      <c r="V1733" s="5" t="inlineStr"/>
    </row>
    <row r="1734">
      <c r="A1734" t="inlineStr">
        <is>
          <t>K1732</t>
        </is>
      </c>
      <c r="B1734" t="inlineStr">
        <is>
          <t>création boutique en ligne</t>
        </is>
      </c>
      <c r="C1734" t="inlineStr">
        <is>
          <t>Tunisia</t>
        </is>
      </c>
      <c r="D1734" t="inlineStr">
        <is>
          <t>tn</t>
        </is>
      </c>
      <c r="E1734" t="inlineStr">
        <is>
          <t>fr</t>
        </is>
      </c>
      <c r="F1734" t="inlineStr">
        <is>
          <t>NOT AVAILABLE</t>
        </is>
      </c>
      <c r="G1734" t="inlineStr">
        <is>
          <t>NOT AVAILABLE</t>
        </is>
      </c>
      <c r="H1734" t="inlineStr">
        <is>
          <t>NOT AVAILABLE</t>
        </is>
      </c>
      <c r="I1734" t="inlineStr">
        <is>
          <t>NOT AVAILABLE</t>
        </is>
      </c>
      <c r="J1734" t="inlineStr">
        <is>
          <t>NOT AVAILABLE</t>
        </is>
      </c>
      <c r="K1734" t="inlineStr">
        <is>
          <t>NOT AVAILABLE</t>
        </is>
      </c>
      <c r="L1734" t="inlineStr">
        <is>
          <t>NOT AVAILABLE</t>
        </is>
      </c>
      <c r="M1734" t="inlineStr">
        <is>
          <t>UNAVAILABLE</t>
        </is>
      </c>
      <c r="N1734" s="5" t="inlineStr">
        <is>
          <t>Semrush phrase_these returned no data (not billed)</t>
        </is>
      </c>
      <c r="O1734" t="inlineStr">
        <is>
          <t>2026-10-30</t>
        </is>
      </c>
      <c r="P1734">
        <f>IF(IF(J1734="NOT AVAILABLE","",J1734)="",12,IF(OR(ISNUMBER(SEARCH("Transactional",IF(J1734="NOT AVAILABLE","",J1734))),ISNUMBER(SEARCH("Commercial",IF(J1734="NOT AVAILABLE","",J1734)))),25,IF(ISNUMBER(SEARCH("Informational",IF(J1734="NOT AVAILABLE","",J1734))),10,IF(ISNUMBER(SEARCH("Navigational",IF(J1734="NOT AVAILABLE","",J1734))),0,12))))</f>
        <v/>
      </c>
      <c r="Q1734">
        <f>IF(ISNUMBER(F1734),MIN(30,ROUND(30*LOG10(F1734+1)/4,1)),0)</f>
        <v/>
      </c>
      <c r="R1734">
        <f>IF(ISNUMBER(G1734),ROUND(25*(100-G1734)/100,1),12.5)</f>
        <v/>
      </c>
      <c r="S1734" t="n">
        <v>6</v>
      </c>
      <c r="T1734">
        <f>ROUND(P1734+Q1734+R1734+S1734,0)</f>
        <v/>
      </c>
      <c r="U1734" s="5" t="inlineStr"/>
      <c r="V1734" s="5" t="inlineStr"/>
    </row>
    <row r="1735">
      <c r="A1735" t="inlineStr">
        <is>
          <t>K1733</t>
        </is>
      </c>
      <c r="B1735" t="inlineStr">
        <is>
          <t>développement saas</t>
        </is>
      </c>
      <c r="C1735" t="inlineStr">
        <is>
          <t>Tunisia</t>
        </is>
      </c>
      <c r="D1735" t="inlineStr">
        <is>
          <t>tn</t>
        </is>
      </c>
      <c r="E1735" t="inlineStr">
        <is>
          <t>fr</t>
        </is>
      </c>
      <c r="F1735" t="inlineStr">
        <is>
          <t>NOT AVAILABLE</t>
        </is>
      </c>
      <c r="G1735" t="inlineStr">
        <is>
          <t>NOT AVAILABLE</t>
        </is>
      </c>
      <c r="H1735" t="inlineStr">
        <is>
          <t>NOT AVAILABLE</t>
        </is>
      </c>
      <c r="I1735" t="inlineStr">
        <is>
          <t>NOT AVAILABLE</t>
        </is>
      </c>
      <c r="J1735" t="inlineStr">
        <is>
          <t>NOT AVAILABLE</t>
        </is>
      </c>
      <c r="K1735" t="inlineStr">
        <is>
          <t>NOT AVAILABLE</t>
        </is>
      </c>
      <c r="L1735" t="inlineStr">
        <is>
          <t>NOT AVAILABLE</t>
        </is>
      </c>
      <c r="M1735" t="inlineStr">
        <is>
          <t>UNAVAILABLE</t>
        </is>
      </c>
      <c r="N1735" s="5" t="inlineStr">
        <is>
          <t>Semrush phrase_these returned no data (not billed)</t>
        </is>
      </c>
      <c r="O1735" t="inlineStr">
        <is>
          <t>2026-10-30</t>
        </is>
      </c>
      <c r="P1735">
        <f>IF(IF(J1735="NOT AVAILABLE","",J1735)="",12,IF(OR(ISNUMBER(SEARCH("Transactional",IF(J1735="NOT AVAILABLE","",J1735))),ISNUMBER(SEARCH("Commercial",IF(J1735="NOT AVAILABLE","",J1735)))),25,IF(ISNUMBER(SEARCH("Informational",IF(J1735="NOT AVAILABLE","",J1735))),10,IF(ISNUMBER(SEARCH("Navigational",IF(J1735="NOT AVAILABLE","",J1735))),0,12))))</f>
        <v/>
      </c>
      <c r="Q1735">
        <f>IF(ISNUMBER(F1735),MIN(30,ROUND(30*LOG10(F1735+1)/4,1)),0)</f>
        <v/>
      </c>
      <c r="R1735">
        <f>IF(ISNUMBER(G1735),ROUND(25*(100-G1735)/100,1),12.5)</f>
        <v/>
      </c>
      <c r="S1735" t="n">
        <v>6</v>
      </c>
      <c r="T1735">
        <f>ROUND(P1735+Q1735+R1735+S1735,0)</f>
        <v/>
      </c>
      <c r="U1735" s="5" t="inlineStr"/>
      <c r="V1735" s="5" t="inlineStr"/>
    </row>
    <row r="1736">
      <c r="A1736" t="inlineStr">
        <is>
          <t>K1734</t>
        </is>
      </c>
      <c r="B1736" t="inlineStr">
        <is>
          <t>développeur maroc</t>
        </is>
      </c>
      <c r="C1736" t="inlineStr">
        <is>
          <t>Tunisia</t>
        </is>
      </c>
      <c r="D1736" t="inlineStr">
        <is>
          <t>tn</t>
        </is>
      </c>
      <c r="E1736" t="inlineStr">
        <is>
          <t>fr</t>
        </is>
      </c>
      <c r="F1736" t="inlineStr">
        <is>
          <t>NOT AVAILABLE</t>
        </is>
      </c>
      <c r="G1736" t="inlineStr">
        <is>
          <t>NOT AVAILABLE</t>
        </is>
      </c>
      <c r="H1736" t="inlineStr">
        <is>
          <t>NOT AVAILABLE</t>
        </is>
      </c>
      <c r="I1736" t="inlineStr">
        <is>
          <t>NOT AVAILABLE</t>
        </is>
      </c>
      <c r="J1736" t="inlineStr">
        <is>
          <t>NOT AVAILABLE</t>
        </is>
      </c>
      <c r="K1736" t="inlineStr">
        <is>
          <t>NOT AVAILABLE</t>
        </is>
      </c>
      <c r="L1736" t="inlineStr">
        <is>
          <t>NOT AVAILABLE</t>
        </is>
      </c>
      <c r="M1736" t="inlineStr">
        <is>
          <t>UNAVAILABLE</t>
        </is>
      </c>
      <c r="N1736" s="5" t="inlineStr">
        <is>
          <t>Semrush phrase_these returned no data (not billed)</t>
        </is>
      </c>
      <c r="O1736" t="inlineStr">
        <is>
          <t>2026-10-30</t>
        </is>
      </c>
      <c r="P1736">
        <f>IF(IF(J1736="NOT AVAILABLE","",J1736)="",12,IF(OR(ISNUMBER(SEARCH("Transactional",IF(J1736="NOT AVAILABLE","",J1736))),ISNUMBER(SEARCH("Commercial",IF(J1736="NOT AVAILABLE","",J1736)))),25,IF(ISNUMBER(SEARCH("Informational",IF(J1736="NOT AVAILABLE","",J1736))),10,IF(ISNUMBER(SEARCH("Navigational",IF(J1736="NOT AVAILABLE","",J1736))),0,12))))</f>
        <v/>
      </c>
      <c r="Q1736">
        <f>IF(ISNUMBER(F1736),MIN(30,ROUND(30*LOG10(F1736+1)/4,1)),0)</f>
        <v/>
      </c>
      <c r="R1736">
        <f>IF(ISNUMBER(G1736),ROUND(25*(100-G1736)/100,1),12.5)</f>
        <v/>
      </c>
      <c r="S1736" t="n">
        <v>6</v>
      </c>
      <c r="T1736">
        <f>ROUND(P1736+Q1736+R1736+S1736,0)</f>
        <v/>
      </c>
      <c r="U1736" s="5" t="inlineStr"/>
      <c r="V1736" s="5" t="inlineStr"/>
    </row>
    <row r="1737">
      <c r="A1737" t="inlineStr">
        <is>
          <t>K1735</t>
        </is>
      </c>
      <c r="B1737" t="inlineStr">
        <is>
          <t>externalisation développement web</t>
        </is>
      </c>
      <c r="C1737" t="inlineStr">
        <is>
          <t>Tunisia</t>
        </is>
      </c>
      <c r="D1737" t="inlineStr">
        <is>
          <t>tn</t>
        </is>
      </c>
      <c r="E1737" t="inlineStr">
        <is>
          <t>fr</t>
        </is>
      </c>
      <c r="F1737" t="inlineStr">
        <is>
          <t>NOT AVAILABLE</t>
        </is>
      </c>
      <c r="G1737" t="inlineStr">
        <is>
          <t>NOT AVAILABLE</t>
        </is>
      </c>
      <c r="H1737" t="inlineStr">
        <is>
          <t>NOT AVAILABLE</t>
        </is>
      </c>
      <c r="I1737" t="inlineStr">
        <is>
          <t>NOT AVAILABLE</t>
        </is>
      </c>
      <c r="J1737" t="inlineStr">
        <is>
          <t>NOT AVAILABLE</t>
        </is>
      </c>
      <c r="K1737" t="inlineStr">
        <is>
          <t>NOT AVAILABLE</t>
        </is>
      </c>
      <c r="L1737" t="inlineStr">
        <is>
          <t>NOT AVAILABLE</t>
        </is>
      </c>
      <c r="M1737" t="inlineStr">
        <is>
          <t>UNAVAILABLE</t>
        </is>
      </c>
      <c r="N1737" s="5" t="inlineStr">
        <is>
          <t>Semrush phrase_these returned no data (not billed)</t>
        </is>
      </c>
      <c r="O1737" t="inlineStr">
        <is>
          <t>2026-10-30</t>
        </is>
      </c>
      <c r="P1737">
        <f>IF(IF(J1737="NOT AVAILABLE","",J1737)="",12,IF(OR(ISNUMBER(SEARCH("Transactional",IF(J1737="NOT AVAILABLE","",J1737))),ISNUMBER(SEARCH("Commercial",IF(J1737="NOT AVAILABLE","",J1737)))),25,IF(ISNUMBER(SEARCH("Informational",IF(J1737="NOT AVAILABLE","",J1737))),10,IF(ISNUMBER(SEARCH("Navigational",IF(J1737="NOT AVAILABLE","",J1737))),0,12))))</f>
        <v/>
      </c>
      <c r="Q1737">
        <f>IF(ISNUMBER(F1737),MIN(30,ROUND(30*LOG10(F1737+1)/4,1)),0)</f>
        <v/>
      </c>
      <c r="R1737">
        <f>IF(ISNUMBER(G1737),ROUND(25*(100-G1737)/100,1),12.5)</f>
        <v/>
      </c>
      <c r="S1737" t="n">
        <v>6</v>
      </c>
      <c r="T1737">
        <f>ROUND(P1737+Q1737+R1737+S1737,0)</f>
        <v/>
      </c>
      <c r="U1737" s="5" t="inlineStr"/>
      <c r="V1737" s="5" t="inlineStr"/>
    </row>
    <row r="1738">
      <c r="A1738" t="inlineStr">
        <is>
          <t>K1736</t>
        </is>
      </c>
      <c r="B1738" t="inlineStr">
        <is>
          <t>prix création site internet</t>
        </is>
      </c>
      <c r="C1738" t="inlineStr">
        <is>
          <t>Tunisia</t>
        </is>
      </c>
      <c r="D1738" t="inlineStr">
        <is>
          <t>tn</t>
        </is>
      </c>
      <c r="E1738" t="inlineStr">
        <is>
          <t>fr</t>
        </is>
      </c>
      <c r="F1738" t="inlineStr">
        <is>
          <t>NOT AVAILABLE</t>
        </is>
      </c>
      <c r="G1738" t="inlineStr">
        <is>
          <t>NOT AVAILABLE</t>
        </is>
      </c>
      <c r="H1738" t="inlineStr">
        <is>
          <t>NOT AVAILABLE</t>
        </is>
      </c>
      <c r="I1738" t="inlineStr">
        <is>
          <t>NOT AVAILABLE</t>
        </is>
      </c>
      <c r="J1738" t="inlineStr">
        <is>
          <t>NOT AVAILABLE</t>
        </is>
      </c>
      <c r="K1738" t="inlineStr">
        <is>
          <t>NOT AVAILABLE</t>
        </is>
      </c>
      <c r="L1738" t="inlineStr">
        <is>
          <t>NOT AVAILABLE</t>
        </is>
      </c>
      <c r="M1738" t="inlineStr">
        <is>
          <t>UNAVAILABLE</t>
        </is>
      </c>
      <c r="N1738" s="5" t="inlineStr">
        <is>
          <t>Semrush phrase_these returned no data (not billed)</t>
        </is>
      </c>
      <c r="O1738" t="inlineStr">
        <is>
          <t>2026-10-30</t>
        </is>
      </c>
      <c r="P1738">
        <f>IF(IF(J1738="NOT AVAILABLE","",J1738)="",12,IF(OR(ISNUMBER(SEARCH("Transactional",IF(J1738="NOT AVAILABLE","",J1738))),ISNUMBER(SEARCH("Commercial",IF(J1738="NOT AVAILABLE","",J1738)))),25,IF(ISNUMBER(SEARCH("Informational",IF(J1738="NOT AVAILABLE","",J1738))),10,IF(ISNUMBER(SEARCH("Navigational",IF(J1738="NOT AVAILABLE","",J1738))),0,12))))</f>
        <v/>
      </c>
      <c r="Q1738">
        <f>IF(ISNUMBER(F1738),MIN(30,ROUND(30*LOG10(F1738+1)/4,1)),0)</f>
        <v/>
      </c>
      <c r="R1738">
        <f>IF(ISNUMBER(G1738),ROUND(25*(100-G1738)/100,1),12.5)</f>
        <v/>
      </c>
      <c r="S1738" t="n">
        <v>6</v>
      </c>
      <c r="T1738">
        <f>ROUND(P1738+Q1738+R1738+S1738,0)</f>
        <v/>
      </c>
      <c r="U1738" s="5" t="inlineStr"/>
      <c r="V1738" s="5" t="inlineStr"/>
    </row>
    <row r="1739">
      <c r="A1739" t="inlineStr">
        <is>
          <t>K1737</t>
        </is>
      </c>
      <c r="B1739" t="inlineStr">
        <is>
          <t>site internet professionnel</t>
        </is>
      </c>
      <c r="C1739" t="inlineStr">
        <is>
          <t>Tunisia</t>
        </is>
      </c>
      <c r="D1739" t="inlineStr">
        <is>
          <t>tn</t>
        </is>
      </c>
      <c r="E1739" t="inlineStr">
        <is>
          <t>fr</t>
        </is>
      </c>
      <c r="F1739" t="inlineStr">
        <is>
          <t>NOT AVAILABLE</t>
        </is>
      </c>
      <c r="G1739" t="inlineStr">
        <is>
          <t>NOT AVAILABLE</t>
        </is>
      </c>
      <c r="H1739" t="inlineStr">
        <is>
          <t>NOT AVAILABLE</t>
        </is>
      </c>
      <c r="I1739" t="inlineStr">
        <is>
          <t>NOT AVAILABLE</t>
        </is>
      </c>
      <c r="J1739" t="inlineStr">
        <is>
          <t>NOT AVAILABLE</t>
        </is>
      </c>
      <c r="K1739" t="inlineStr">
        <is>
          <t>NOT AVAILABLE</t>
        </is>
      </c>
      <c r="L1739" t="inlineStr">
        <is>
          <t>NOT AVAILABLE</t>
        </is>
      </c>
      <c r="M1739" t="inlineStr">
        <is>
          <t>UNAVAILABLE</t>
        </is>
      </c>
      <c r="N1739" s="5" t="inlineStr">
        <is>
          <t>Semrush phrase_these returned no data (not billed)</t>
        </is>
      </c>
      <c r="O1739" t="inlineStr">
        <is>
          <t>2026-10-30</t>
        </is>
      </c>
      <c r="P1739">
        <f>IF(IF(J1739="NOT AVAILABLE","",J1739)="",12,IF(OR(ISNUMBER(SEARCH("Transactional",IF(J1739="NOT AVAILABLE","",J1739))),ISNUMBER(SEARCH("Commercial",IF(J1739="NOT AVAILABLE","",J1739)))),25,IF(ISNUMBER(SEARCH("Informational",IF(J1739="NOT AVAILABLE","",J1739))),10,IF(ISNUMBER(SEARCH("Navigational",IF(J1739="NOT AVAILABLE","",J1739))),0,12))))</f>
        <v/>
      </c>
      <c r="Q1739">
        <f>IF(ISNUMBER(F1739),MIN(30,ROUND(30*LOG10(F1739+1)/4,1)),0)</f>
        <v/>
      </c>
      <c r="R1739">
        <f>IF(ISNUMBER(G1739),ROUND(25*(100-G1739)/100,1),12.5)</f>
        <v/>
      </c>
      <c r="S1739" t="n">
        <v>6</v>
      </c>
      <c r="T1739">
        <f>ROUND(P1739+Q1739+R1739+S1739,0)</f>
        <v/>
      </c>
      <c r="U1739" s="5" t="inlineStr"/>
      <c r="V1739" s="5" t="inlineStr"/>
    </row>
    <row r="1740">
      <c r="A1740" t="inlineStr">
        <is>
          <t>K1738</t>
        </is>
      </c>
      <c r="B1740" t="inlineStr">
        <is>
          <t>sous-traitance développement web</t>
        </is>
      </c>
      <c r="C1740" t="inlineStr">
        <is>
          <t>Tunisia</t>
        </is>
      </c>
      <c r="D1740" t="inlineStr">
        <is>
          <t>tn</t>
        </is>
      </c>
      <c r="E1740" t="inlineStr">
        <is>
          <t>fr</t>
        </is>
      </c>
      <c r="F1740" t="inlineStr">
        <is>
          <t>NOT AVAILABLE</t>
        </is>
      </c>
      <c r="G1740" t="inlineStr">
        <is>
          <t>NOT AVAILABLE</t>
        </is>
      </c>
      <c r="H1740" t="inlineStr">
        <is>
          <t>NOT AVAILABLE</t>
        </is>
      </c>
      <c r="I1740" t="inlineStr">
        <is>
          <t>NOT AVAILABLE</t>
        </is>
      </c>
      <c r="J1740" t="inlineStr">
        <is>
          <t>NOT AVAILABLE</t>
        </is>
      </c>
      <c r="K1740" t="inlineStr">
        <is>
          <t>NOT AVAILABLE</t>
        </is>
      </c>
      <c r="L1740" t="inlineStr">
        <is>
          <t>NOT AVAILABLE</t>
        </is>
      </c>
      <c r="M1740" t="inlineStr">
        <is>
          <t>UNAVAILABLE</t>
        </is>
      </c>
      <c r="N1740" s="5" t="inlineStr">
        <is>
          <t>Semrush phrase_these returned no data (not billed)</t>
        </is>
      </c>
      <c r="O1740" t="inlineStr">
        <is>
          <t>2026-10-30</t>
        </is>
      </c>
      <c r="P1740">
        <f>IF(IF(J1740="NOT AVAILABLE","",J1740)="",12,IF(OR(ISNUMBER(SEARCH("Transactional",IF(J1740="NOT AVAILABLE","",J1740))),ISNUMBER(SEARCH("Commercial",IF(J1740="NOT AVAILABLE","",J1740)))),25,IF(ISNUMBER(SEARCH("Informational",IF(J1740="NOT AVAILABLE","",J1740))),10,IF(ISNUMBER(SEARCH("Navigational",IF(J1740="NOT AVAILABLE","",J1740))),0,12))))</f>
        <v/>
      </c>
      <c r="Q1740">
        <f>IF(ISNUMBER(F1740),MIN(30,ROUND(30*LOG10(F1740+1)/4,1)),0)</f>
        <v/>
      </c>
      <c r="R1740">
        <f>IF(ISNUMBER(G1740),ROUND(25*(100-G1740)/100,1),12.5)</f>
        <v/>
      </c>
      <c r="S1740" t="n">
        <v>6</v>
      </c>
      <c r="T1740">
        <f>ROUND(P1740+Q1740+R1740+S1740,0)</f>
        <v/>
      </c>
      <c r="U1740" s="5" t="inlineStr"/>
      <c r="V1740" s="5" t="inlineStr"/>
    </row>
    <row r="1741">
      <c r="A1741" t="inlineStr">
        <is>
          <t>K1739</t>
        </is>
      </c>
      <c r="B1741" t="inlineStr">
        <is>
          <t>web development company london</t>
        </is>
      </c>
      <c r="C1741" t="inlineStr">
        <is>
          <t>United Kingdom</t>
        </is>
      </c>
      <c r="D1741" t="inlineStr">
        <is>
          <t>uk</t>
        </is>
      </c>
      <c r="E1741" t="inlineStr">
        <is>
          <t>en</t>
        </is>
      </c>
      <c r="F1741" t="n">
        <v>880</v>
      </c>
      <c r="G1741" t="n">
        <v>37</v>
      </c>
      <c r="H1741" t="n">
        <v>9.6</v>
      </c>
      <c r="I1741" t="n">
        <v>0.07000000000000001</v>
      </c>
      <c r="J1741" t="inlineStr">
        <is>
          <t>Commercial</t>
        </is>
      </c>
      <c r="K1741" t="inlineStr">
        <is>
          <t>NOT AVAILABLE (report not requested)</t>
        </is>
      </c>
      <c r="L1741" t="inlineStr">
        <is>
          <t>stable (calc.)</t>
        </is>
      </c>
      <c r="M1741" t="inlineStr">
        <is>
          <t>MEASURED</t>
        </is>
      </c>
      <c r="N1741" s="5" t="inlineStr">
        <is>
          <t>Semrush phrase_these (live, this session)</t>
        </is>
      </c>
      <c r="O1741" t="inlineStr">
        <is>
          <t>2026-10-30</t>
        </is>
      </c>
      <c r="P1741">
        <f>IF(IF(J1741="NOT AVAILABLE","",J1741)="",12,IF(OR(ISNUMBER(SEARCH("Transactional",IF(J1741="NOT AVAILABLE","",J1741))),ISNUMBER(SEARCH("Commercial",IF(J1741="NOT AVAILABLE","",J1741)))),25,IF(ISNUMBER(SEARCH("Informational",IF(J1741="NOT AVAILABLE","",J1741))),10,IF(ISNUMBER(SEARCH("Navigational",IF(J1741="NOT AVAILABLE","",J1741))),0,12))))</f>
        <v/>
      </c>
      <c r="Q1741">
        <f>IF(ISNUMBER(F1741),MIN(30,ROUND(30*LOG10(F1741+1)/4,1)),0)</f>
        <v/>
      </c>
      <c r="R1741">
        <f>IF(ISNUMBER(G1741),ROUND(25*(100-G1741)/100,1),12.5)</f>
        <v/>
      </c>
      <c r="S1741" t="n">
        <v>3</v>
      </c>
      <c r="T1741">
        <f>ROUND(P1741+Q1741+R1741+S1741,0)</f>
        <v/>
      </c>
      <c r="U1741" s="5" t="inlineStr"/>
      <c r="V1741" s="5" t="inlineStr">
        <is>
          <t>NOT RECOMMENDED /web-development-company/london</t>
        </is>
      </c>
    </row>
    <row r="1742">
      <c r="A1742" t="inlineStr">
        <is>
          <t>K1740</t>
        </is>
      </c>
      <c r="B1742" t="inlineStr">
        <is>
          <t>agence web londres</t>
        </is>
      </c>
      <c r="C1742" t="inlineStr">
        <is>
          <t>United Kingdom</t>
        </is>
      </c>
      <c r="D1742" t="inlineStr">
        <is>
          <t>uk</t>
        </is>
      </c>
      <c r="E1742" t="inlineStr">
        <is>
          <t>fr</t>
        </is>
      </c>
      <c r="F1742" t="n">
        <v>20</v>
      </c>
      <c r="G1742" t="inlineStr">
        <is>
          <t>NOT AVAILABLE</t>
        </is>
      </c>
      <c r="H1742" t="n">
        <v>0</v>
      </c>
      <c r="I1742" t="n">
        <v>0</v>
      </c>
      <c r="J1742" t="inlineStr">
        <is>
          <t>NOT AVAILABLE</t>
        </is>
      </c>
      <c r="K1742" t="inlineStr">
        <is>
          <t>NOT AVAILABLE (report not requested)</t>
        </is>
      </c>
      <c r="L1742" t="inlineStr">
        <is>
          <t>rising (calc.)</t>
        </is>
      </c>
      <c r="M1742" t="inlineStr">
        <is>
          <t>MEASURED</t>
        </is>
      </c>
      <c r="N1742" s="5" t="inlineStr">
        <is>
          <t>Semrush phrase_these (live, this session)</t>
        </is>
      </c>
      <c r="O1742" t="inlineStr">
        <is>
          <t>2026-10-30</t>
        </is>
      </c>
      <c r="P1742">
        <f>IF(IF(J1742="NOT AVAILABLE","",J1742)="",12,IF(OR(ISNUMBER(SEARCH("Transactional",IF(J1742="NOT AVAILABLE","",J1742))),ISNUMBER(SEARCH("Commercial",IF(J1742="NOT AVAILABLE","",J1742)))),25,IF(ISNUMBER(SEARCH("Informational",IF(J1742="NOT AVAILABLE","",J1742))),10,IF(ISNUMBER(SEARCH("Navigational",IF(J1742="NOT AVAILABLE","",J1742))),0,12))))</f>
        <v/>
      </c>
      <c r="Q1742">
        <f>IF(ISNUMBER(F1742),MIN(30,ROUND(30*LOG10(F1742+1)/4,1)),0)</f>
        <v/>
      </c>
      <c r="R1742">
        <f>IF(ISNUMBER(G1742),ROUND(25*(100-G1742)/100,1),12.5)</f>
        <v/>
      </c>
      <c r="S1742" t="n">
        <v>3</v>
      </c>
      <c r="T1742">
        <f>ROUND(P1742+Q1742+R1742+S1742,0)</f>
        <v/>
      </c>
      <c r="U1742" s="5" t="inlineStr"/>
      <c r="V1742" s="5" t="inlineStr"/>
    </row>
    <row r="1743">
      <c r="A1743" t="inlineStr">
        <is>
          <t>K1741</t>
        </is>
      </c>
      <c r="B1743" t="inlineStr">
        <is>
          <t>création site web londres</t>
        </is>
      </c>
      <c r="C1743" t="inlineStr">
        <is>
          <t>United Kingdom</t>
        </is>
      </c>
      <c r="D1743" t="inlineStr">
        <is>
          <t>uk</t>
        </is>
      </c>
      <c r="E1743" t="inlineStr">
        <is>
          <t>fr</t>
        </is>
      </c>
      <c r="F1743" t="n">
        <v>10</v>
      </c>
      <c r="G1743" t="inlineStr">
        <is>
          <t>NOT AVAILABLE</t>
        </is>
      </c>
      <c r="H1743" t="n">
        <v>0</v>
      </c>
      <c r="I1743" t="n">
        <v>0</v>
      </c>
      <c r="J1743" t="inlineStr">
        <is>
          <t>NOT AVAILABLE</t>
        </is>
      </c>
      <c r="K1743" t="inlineStr">
        <is>
          <t>NOT AVAILABLE (report not requested)</t>
        </is>
      </c>
      <c r="L1743" t="inlineStr">
        <is>
          <t>stable (calc.)</t>
        </is>
      </c>
      <c r="M1743" t="inlineStr">
        <is>
          <t>MEASURED</t>
        </is>
      </c>
      <c r="N1743" s="5" t="inlineStr">
        <is>
          <t>Semrush phrase_these (live, this session)</t>
        </is>
      </c>
      <c r="O1743" t="inlineStr">
        <is>
          <t>2026-10-30</t>
        </is>
      </c>
      <c r="P1743">
        <f>IF(IF(J1743="NOT AVAILABLE","",J1743)="",12,IF(OR(ISNUMBER(SEARCH("Transactional",IF(J1743="NOT AVAILABLE","",J1743))),ISNUMBER(SEARCH("Commercial",IF(J1743="NOT AVAILABLE","",J1743)))),25,IF(ISNUMBER(SEARCH("Informational",IF(J1743="NOT AVAILABLE","",J1743))),10,IF(ISNUMBER(SEARCH("Navigational",IF(J1743="NOT AVAILABLE","",J1743))),0,12))))</f>
        <v/>
      </c>
      <c r="Q1743">
        <f>IF(ISNUMBER(F1743),MIN(30,ROUND(30*LOG10(F1743+1)/4,1)),0)</f>
        <v/>
      </c>
      <c r="R1743">
        <f>IF(ISNUMBER(G1743),ROUND(25*(100-G1743)/100,1),12.5)</f>
        <v/>
      </c>
      <c r="S1743" t="n">
        <v>3</v>
      </c>
      <c r="T1743">
        <f>ROUND(P1743+Q1743+R1743+S1743,0)</f>
        <v/>
      </c>
      <c r="U1743" s="5" t="inlineStr"/>
      <c r="V1743" s="5" t="inlineStr"/>
    </row>
    <row r="1744">
      <c r="A1744" t="inlineStr">
        <is>
          <t>K1742</t>
        </is>
      </c>
      <c r="B1744" t="inlineStr">
        <is>
          <t>développement web londres</t>
        </is>
      </c>
      <c r="C1744" t="inlineStr">
        <is>
          <t>United Kingdom</t>
        </is>
      </c>
      <c r="D1744" t="inlineStr">
        <is>
          <t>uk</t>
        </is>
      </c>
      <c r="E1744" t="inlineStr">
        <is>
          <t>fr</t>
        </is>
      </c>
      <c r="F1744" t="inlineStr">
        <is>
          <t>NOT AVAILABLE</t>
        </is>
      </c>
      <c r="G1744" t="inlineStr">
        <is>
          <t>NOT AVAILABLE</t>
        </is>
      </c>
      <c r="H1744" t="inlineStr">
        <is>
          <t>NOT AVAILABLE</t>
        </is>
      </c>
      <c r="I1744" t="inlineStr">
        <is>
          <t>NOT AVAILABLE</t>
        </is>
      </c>
      <c r="J1744" t="inlineStr">
        <is>
          <t>NOT AVAILABLE</t>
        </is>
      </c>
      <c r="K1744" t="inlineStr">
        <is>
          <t>NOT AVAILABLE</t>
        </is>
      </c>
      <c r="L1744" t="inlineStr">
        <is>
          <t>NOT AVAILABLE</t>
        </is>
      </c>
      <c r="M1744" t="inlineStr">
        <is>
          <t>UNAVAILABLE</t>
        </is>
      </c>
      <c r="N1744" s="5" t="inlineStr">
        <is>
          <t>Semrush phrase_these returned no data (not billed)</t>
        </is>
      </c>
      <c r="O1744" t="inlineStr">
        <is>
          <t>2026-10-30</t>
        </is>
      </c>
      <c r="P1744">
        <f>IF(IF(J1744="NOT AVAILABLE","",J1744)="",12,IF(OR(ISNUMBER(SEARCH("Transactional",IF(J1744="NOT AVAILABLE","",J1744))),ISNUMBER(SEARCH("Commercial",IF(J1744="NOT AVAILABLE","",J1744)))),25,IF(ISNUMBER(SEARCH("Informational",IF(J1744="NOT AVAILABLE","",J1744))),10,IF(ISNUMBER(SEARCH("Navigational",IF(J1744="NOT AVAILABLE","",J1744))),0,12))))</f>
        <v/>
      </c>
      <c r="Q1744">
        <f>IF(ISNUMBER(F1744),MIN(30,ROUND(30*LOG10(F1744+1)/4,1)),0)</f>
        <v/>
      </c>
      <c r="R1744">
        <f>IF(ISNUMBER(G1744),ROUND(25*(100-G1744)/100,1),12.5)</f>
        <v/>
      </c>
      <c r="S1744" t="n">
        <v>3</v>
      </c>
      <c r="T1744">
        <f>ROUND(P1744+Q1744+R1744+S1744,0)</f>
        <v/>
      </c>
      <c r="U1744" s="5" t="inlineStr"/>
      <c r="V1744" s="5" t="inlineStr">
        <is>
          <t>PRIMARY /web-development-company/london</t>
        </is>
      </c>
    </row>
    <row r="1745">
      <c r="A1745" t="inlineStr">
        <is>
          <t>K1743</t>
        </is>
      </c>
      <c r="B1745" t="inlineStr">
        <is>
          <t>web development company new york</t>
        </is>
      </c>
      <c r="C1745" t="inlineStr">
        <is>
          <t>United States</t>
        </is>
      </c>
      <c r="D1745" t="inlineStr">
        <is>
          <t>us</t>
        </is>
      </c>
      <c r="E1745" t="inlineStr">
        <is>
          <t>en</t>
        </is>
      </c>
      <c r="F1745" t="n">
        <v>720</v>
      </c>
      <c r="G1745" t="n">
        <v>35</v>
      </c>
      <c r="H1745" t="n">
        <v>0</v>
      </c>
      <c r="I1745" t="n">
        <v>0.07000000000000001</v>
      </c>
      <c r="J1745" t="inlineStr">
        <is>
          <t>Commercial</t>
        </is>
      </c>
      <c r="K1745" t="inlineStr">
        <is>
          <t>NOT AVAILABLE (report not requested)</t>
        </is>
      </c>
      <c r="L1745" t="inlineStr">
        <is>
          <t>declining (calc.)</t>
        </is>
      </c>
      <c r="M1745" t="inlineStr">
        <is>
          <t>MEASURED</t>
        </is>
      </c>
      <c r="N1745" s="5" t="inlineStr">
        <is>
          <t>Semrush phrase_these (live, this session)</t>
        </is>
      </c>
      <c r="O1745" t="inlineStr">
        <is>
          <t>2026-10-30</t>
        </is>
      </c>
      <c r="P1745">
        <f>IF(IF(J1745="NOT AVAILABLE","",J1745)="",12,IF(OR(ISNUMBER(SEARCH("Transactional",IF(J1745="NOT AVAILABLE","",J1745))),ISNUMBER(SEARCH("Commercial",IF(J1745="NOT AVAILABLE","",J1745)))),25,IF(ISNUMBER(SEARCH("Informational",IF(J1745="NOT AVAILABLE","",J1745))),10,IF(ISNUMBER(SEARCH("Navigational",IF(J1745="NOT AVAILABLE","",J1745))),0,12))))</f>
        <v/>
      </c>
      <c r="Q1745">
        <f>IF(ISNUMBER(F1745),MIN(30,ROUND(30*LOG10(F1745+1)/4,1)),0)</f>
        <v/>
      </c>
      <c r="R1745">
        <f>IF(ISNUMBER(G1745),ROUND(25*(100-G1745)/100,1),12.5)</f>
        <v/>
      </c>
      <c r="S1745" t="n">
        <v>3</v>
      </c>
      <c r="T1745">
        <f>ROUND(P1745+Q1745+R1745+S1745,0)</f>
        <v/>
      </c>
      <c r="U1745" s="5" t="inlineStr"/>
      <c r="V1745" s="5" t="inlineStr">
        <is>
          <t>NOT RECOMMENDED /web-development-company/new-york</t>
        </is>
      </c>
    </row>
    <row r="1746">
      <c r="A1746" t="inlineStr">
        <is>
          <t>K1744</t>
        </is>
      </c>
      <c r="B1746" t="inlineStr">
        <is>
          <t>web development company chicago</t>
        </is>
      </c>
      <c r="C1746" t="inlineStr">
        <is>
          <t>United States</t>
        </is>
      </c>
      <c r="D1746" t="inlineStr">
        <is>
          <t>us</t>
        </is>
      </c>
      <c r="E1746" t="inlineStr">
        <is>
          <t>en</t>
        </is>
      </c>
      <c r="F1746" t="n">
        <v>590</v>
      </c>
      <c r="G1746" t="n">
        <v>32</v>
      </c>
      <c r="H1746" t="n">
        <v>16.28</v>
      </c>
      <c r="I1746" t="n">
        <v>0.1</v>
      </c>
      <c r="J1746" t="inlineStr">
        <is>
          <t>Commercial</t>
        </is>
      </c>
      <c r="K1746" t="inlineStr">
        <is>
          <t>NOT AVAILABLE (report not requested)</t>
        </is>
      </c>
      <c r="L1746" t="inlineStr">
        <is>
          <t>declining (calc.)</t>
        </is>
      </c>
      <c r="M1746" t="inlineStr">
        <is>
          <t>MEASURED</t>
        </is>
      </c>
      <c r="N1746" s="5" t="inlineStr">
        <is>
          <t>Semrush phrase_these (live, this session)</t>
        </is>
      </c>
      <c r="O1746" t="inlineStr">
        <is>
          <t>2026-10-30</t>
        </is>
      </c>
      <c r="P1746">
        <f>IF(IF(J1746="NOT AVAILABLE","",J1746)="",12,IF(OR(ISNUMBER(SEARCH("Transactional",IF(J1746="NOT AVAILABLE","",J1746))),ISNUMBER(SEARCH("Commercial",IF(J1746="NOT AVAILABLE","",J1746)))),25,IF(ISNUMBER(SEARCH("Informational",IF(J1746="NOT AVAILABLE","",J1746))),10,IF(ISNUMBER(SEARCH("Navigational",IF(J1746="NOT AVAILABLE","",J1746))),0,12))))</f>
        <v/>
      </c>
      <c r="Q1746">
        <f>IF(ISNUMBER(F1746),MIN(30,ROUND(30*LOG10(F1746+1)/4,1)),0)</f>
        <v/>
      </c>
      <c r="R1746">
        <f>IF(ISNUMBER(G1746),ROUND(25*(100-G1746)/100,1),12.5)</f>
        <v/>
      </c>
      <c r="S1746" t="n">
        <v>3</v>
      </c>
      <c r="T1746">
        <f>ROUND(P1746+Q1746+R1746+S1746,0)</f>
        <v/>
      </c>
      <c r="U1746" s="5" t="inlineStr"/>
      <c r="V1746" s="5" t="inlineStr">
        <is>
          <t>NOT RECOMMENDED /web-development-company/chicago</t>
        </is>
      </c>
    </row>
    <row r="1747">
      <c r="A1747" t="inlineStr">
        <is>
          <t>K1745</t>
        </is>
      </c>
      <c r="B1747" t="inlineStr">
        <is>
          <t>web development company los angeles</t>
        </is>
      </c>
      <c r="C1747" t="inlineStr">
        <is>
          <t>United States</t>
        </is>
      </c>
      <c r="D1747" t="inlineStr">
        <is>
          <t>us</t>
        </is>
      </c>
      <c r="E1747" t="inlineStr">
        <is>
          <t>en</t>
        </is>
      </c>
      <c r="F1747" t="n">
        <v>480</v>
      </c>
      <c r="G1747" t="n">
        <v>33</v>
      </c>
      <c r="H1747" t="n">
        <v>0</v>
      </c>
      <c r="I1747" t="n">
        <v>0.13</v>
      </c>
      <c r="J1747" t="inlineStr">
        <is>
          <t>Commercial</t>
        </is>
      </c>
      <c r="K1747" t="inlineStr">
        <is>
          <t>NOT AVAILABLE (report not requested)</t>
        </is>
      </c>
      <c r="L1747" t="inlineStr">
        <is>
          <t>declining (calc.)</t>
        </is>
      </c>
      <c r="M1747" t="inlineStr">
        <is>
          <t>MEASURED</t>
        </is>
      </c>
      <c r="N1747" s="5" t="inlineStr">
        <is>
          <t>Semrush phrase_these (live, this session)</t>
        </is>
      </c>
      <c r="O1747" t="inlineStr">
        <is>
          <t>2026-10-30</t>
        </is>
      </c>
      <c r="P1747">
        <f>IF(IF(J1747="NOT AVAILABLE","",J1747)="",12,IF(OR(ISNUMBER(SEARCH("Transactional",IF(J1747="NOT AVAILABLE","",J1747))),ISNUMBER(SEARCH("Commercial",IF(J1747="NOT AVAILABLE","",J1747)))),25,IF(ISNUMBER(SEARCH("Informational",IF(J1747="NOT AVAILABLE","",J1747))),10,IF(ISNUMBER(SEARCH("Navigational",IF(J1747="NOT AVAILABLE","",J1747))),0,12))))</f>
        <v/>
      </c>
      <c r="Q1747">
        <f>IF(ISNUMBER(F1747),MIN(30,ROUND(30*LOG10(F1747+1)/4,1)),0)</f>
        <v/>
      </c>
      <c r="R1747">
        <f>IF(ISNUMBER(G1747),ROUND(25*(100-G1747)/100,1),12.5)</f>
        <v/>
      </c>
      <c r="S1747" t="n">
        <v>3</v>
      </c>
      <c r="T1747">
        <f>ROUND(P1747+Q1747+R1747+S1747,0)</f>
        <v/>
      </c>
      <c r="U1747" s="5" t="inlineStr"/>
      <c r="V1747" s="5" t="inlineStr">
        <is>
          <t>NOT RECOMMENDED /web-development-company/los-angeles</t>
        </is>
      </c>
    </row>
    <row r="1748">
      <c r="A1748" t="inlineStr">
        <is>
          <t>K1746</t>
        </is>
      </c>
      <c r="B1748" t="inlineStr">
        <is>
          <t>web development company denver</t>
        </is>
      </c>
      <c r="C1748" t="inlineStr">
        <is>
          <t>United States</t>
        </is>
      </c>
      <c r="D1748" t="inlineStr">
        <is>
          <t>us</t>
        </is>
      </c>
      <c r="E1748" t="inlineStr">
        <is>
          <t>en</t>
        </is>
      </c>
      <c r="F1748" t="n">
        <v>320</v>
      </c>
      <c r="G1748" t="n">
        <v>31</v>
      </c>
      <c r="H1748" t="n">
        <v>15.59</v>
      </c>
      <c r="I1748" t="n">
        <v>0.1</v>
      </c>
      <c r="J1748" t="inlineStr">
        <is>
          <t>Commercial</t>
        </is>
      </c>
      <c r="K1748" t="inlineStr">
        <is>
          <t>NOT AVAILABLE (report not requested)</t>
        </is>
      </c>
      <c r="L1748" t="inlineStr">
        <is>
          <t>declining (calc.)</t>
        </is>
      </c>
      <c r="M1748" t="inlineStr">
        <is>
          <t>MEASURED</t>
        </is>
      </c>
      <c r="N1748" s="5" t="inlineStr">
        <is>
          <t>Semrush phrase_these (live, this session)</t>
        </is>
      </c>
      <c r="O1748" t="inlineStr">
        <is>
          <t>2026-10-30</t>
        </is>
      </c>
      <c r="P1748">
        <f>IF(IF(J1748="NOT AVAILABLE","",J1748)="",12,IF(OR(ISNUMBER(SEARCH("Transactional",IF(J1748="NOT AVAILABLE","",J1748))),ISNUMBER(SEARCH("Commercial",IF(J1748="NOT AVAILABLE","",J1748)))),25,IF(ISNUMBER(SEARCH("Informational",IF(J1748="NOT AVAILABLE","",J1748))),10,IF(ISNUMBER(SEARCH("Navigational",IF(J1748="NOT AVAILABLE","",J1748))),0,12))))</f>
        <v/>
      </c>
      <c r="Q1748">
        <f>IF(ISNUMBER(F1748),MIN(30,ROUND(30*LOG10(F1748+1)/4,1)),0)</f>
        <v/>
      </c>
      <c r="R1748">
        <f>IF(ISNUMBER(G1748),ROUND(25*(100-G1748)/100,1),12.5)</f>
        <v/>
      </c>
      <c r="S1748" t="n">
        <v>3</v>
      </c>
      <c r="T1748">
        <f>ROUND(P1748+Q1748+R1748+S1748,0)</f>
        <v/>
      </c>
      <c r="U1748" s="5" t="inlineStr"/>
      <c r="V1748" s="5" t="inlineStr">
        <is>
          <t>NOT RECOMMENDED /web-development-company/denver</t>
        </is>
      </c>
    </row>
    <row r="1749">
      <c r="A1749" t="inlineStr">
        <is>
          <t>K1747</t>
        </is>
      </c>
      <c r="B1749" t="inlineStr">
        <is>
          <t>web development company austin</t>
        </is>
      </c>
      <c r="C1749" t="inlineStr">
        <is>
          <t>United States</t>
        </is>
      </c>
      <c r="D1749" t="inlineStr">
        <is>
          <t>us</t>
        </is>
      </c>
      <c r="E1749" t="inlineStr">
        <is>
          <t>en</t>
        </is>
      </c>
      <c r="F1749" t="n">
        <v>260</v>
      </c>
      <c r="G1749" t="n">
        <v>70</v>
      </c>
      <c r="H1749" t="n">
        <v>11.05</v>
      </c>
      <c r="I1749" t="n">
        <v>0.1</v>
      </c>
      <c r="J1749" t="inlineStr">
        <is>
          <t>Commercial</t>
        </is>
      </c>
      <c r="K1749" t="inlineStr">
        <is>
          <t>NOT AVAILABLE (report not requested)</t>
        </is>
      </c>
      <c r="L1749" t="inlineStr">
        <is>
          <t>declining (calc.)</t>
        </is>
      </c>
      <c r="M1749" t="inlineStr">
        <is>
          <t>MEASURED</t>
        </is>
      </c>
      <c r="N1749" s="5" t="inlineStr">
        <is>
          <t>Semrush phrase_these (live, this session)</t>
        </is>
      </c>
      <c r="O1749" t="inlineStr">
        <is>
          <t>2026-10-30</t>
        </is>
      </c>
      <c r="P1749">
        <f>IF(IF(J1749="NOT AVAILABLE","",J1749)="",12,IF(OR(ISNUMBER(SEARCH("Transactional",IF(J1749="NOT AVAILABLE","",J1749))),ISNUMBER(SEARCH("Commercial",IF(J1749="NOT AVAILABLE","",J1749)))),25,IF(ISNUMBER(SEARCH("Informational",IF(J1749="NOT AVAILABLE","",J1749))),10,IF(ISNUMBER(SEARCH("Navigational",IF(J1749="NOT AVAILABLE","",J1749))),0,12))))</f>
        <v/>
      </c>
      <c r="Q1749">
        <f>IF(ISNUMBER(F1749),MIN(30,ROUND(30*LOG10(F1749+1)/4,1)),0)</f>
        <v/>
      </c>
      <c r="R1749">
        <f>IF(ISNUMBER(G1749),ROUND(25*(100-G1749)/100,1),12.5)</f>
        <v/>
      </c>
      <c r="S1749" t="n">
        <v>3</v>
      </c>
      <c r="T1749">
        <f>ROUND(P1749+Q1749+R1749+S1749,0)</f>
        <v/>
      </c>
      <c r="U1749" s="5" t="inlineStr"/>
      <c r="V1749" s="5" t="inlineStr">
        <is>
          <t>NOT RECOMMENDED /web-development-company/austin</t>
        </is>
      </c>
    </row>
    <row r="1750">
      <c r="A1750" t="inlineStr">
        <is>
          <t>K1748</t>
        </is>
      </c>
      <c r="B1750" t="inlineStr">
        <is>
          <t>web development company boston</t>
        </is>
      </c>
      <c r="C1750" t="inlineStr">
        <is>
          <t>United States</t>
        </is>
      </c>
      <c r="D1750" t="inlineStr">
        <is>
          <t>us</t>
        </is>
      </c>
      <c r="E1750" t="inlineStr">
        <is>
          <t>en</t>
        </is>
      </c>
      <c r="F1750" t="n">
        <v>140</v>
      </c>
      <c r="G1750" t="n">
        <v>55</v>
      </c>
      <c r="H1750" t="n">
        <v>0</v>
      </c>
      <c r="I1750" t="n">
        <v>0.33</v>
      </c>
      <c r="J1750" t="inlineStr">
        <is>
          <t>Commercial</t>
        </is>
      </c>
      <c r="K1750" t="inlineStr">
        <is>
          <t>NOT AVAILABLE (report not requested)</t>
        </is>
      </c>
      <c r="L1750" t="inlineStr">
        <is>
          <t>stable (calc.)</t>
        </is>
      </c>
      <c r="M1750" t="inlineStr">
        <is>
          <t>MEASURED</t>
        </is>
      </c>
      <c r="N1750" s="5" t="inlineStr">
        <is>
          <t>Semrush phrase_these (live, this session)</t>
        </is>
      </c>
      <c r="O1750" t="inlineStr">
        <is>
          <t>2026-10-30</t>
        </is>
      </c>
      <c r="P1750">
        <f>IF(IF(J1750="NOT AVAILABLE","",J1750)="",12,IF(OR(ISNUMBER(SEARCH("Transactional",IF(J1750="NOT AVAILABLE","",J1750))),ISNUMBER(SEARCH("Commercial",IF(J1750="NOT AVAILABLE","",J1750)))),25,IF(ISNUMBER(SEARCH("Informational",IF(J1750="NOT AVAILABLE","",J1750))),10,IF(ISNUMBER(SEARCH("Navigational",IF(J1750="NOT AVAILABLE","",J1750))),0,12))))</f>
        <v/>
      </c>
      <c r="Q1750">
        <f>IF(ISNUMBER(F1750),MIN(30,ROUND(30*LOG10(F1750+1)/4,1)),0)</f>
        <v/>
      </c>
      <c r="R1750">
        <f>IF(ISNUMBER(G1750),ROUND(25*(100-G1750)/100,1),12.5)</f>
        <v/>
      </c>
      <c r="S1750" t="n">
        <v>3</v>
      </c>
      <c r="T1750">
        <f>ROUND(P1750+Q1750+R1750+S1750,0)</f>
        <v/>
      </c>
      <c r="U1750" s="5" t="inlineStr"/>
      <c r="V1750" s="5" t="inlineStr">
        <is>
          <t>NOT RECOMMENDED /web-development-company/boston</t>
        </is>
      </c>
    </row>
    <row r="1751">
      <c r="A1751" t="inlineStr">
        <is>
          <t>K1749</t>
        </is>
      </c>
      <c r="B1751" t="inlineStr">
        <is>
          <t>web development company seattle</t>
        </is>
      </c>
      <c r="C1751" t="inlineStr">
        <is>
          <t>United States</t>
        </is>
      </c>
      <c r="D1751" t="inlineStr">
        <is>
          <t>us</t>
        </is>
      </c>
      <c r="E1751" t="inlineStr">
        <is>
          <t>en</t>
        </is>
      </c>
      <c r="F1751" t="n">
        <v>140</v>
      </c>
      <c r="G1751" t="n">
        <v>34</v>
      </c>
      <c r="H1751" t="n">
        <v>0</v>
      </c>
      <c r="I1751" t="n">
        <v>0.04</v>
      </c>
      <c r="J1751" t="inlineStr">
        <is>
          <t>Commercial</t>
        </is>
      </c>
      <c r="K1751" t="inlineStr">
        <is>
          <t>NOT AVAILABLE (report not requested)</t>
        </is>
      </c>
      <c r="L1751" t="inlineStr">
        <is>
          <t>declining (calc.)</t>
        </is>
      </c>
      <c r="M1751" t="inlineStr">
        <is>
          <t>MEASURED</t>
        </is>
      </c>
      <c r="N1751" s="5" t="inlineStr">
        <is>
          <t>Semrush phrase_these (live, this session)</t>
        </is>
      </c>
      <c r="O1751" t="inlineStr">
        <is>
          <t>2026-10-30</t>
        </is>
      </c>
      <c r="P1751">
        <f>IF(IF(J1751="NOT AVAILABLE","",J1751)="",12,IF(OR(ISNUMBER(SEARCH("Transactional",IF(J1751="NOT AVAILABLE","",J1751))),ISNUMBER(SEARCH("Commercial",IF(J1751="NOT AVAILABLE","",J1751)))),25,IF(ISNUMBER(SEARCH("Informational",IF(J1751="NOT AVAILABLE","",J1751))),10,IF(ISNUMBER(SEARCH("Navigational",IF(J1751="NOT AVAILABLE","",J1751))),0,12))))</f>
        <v/>
      </c>
      <c r="Q1751">
        <f>IF(ISNUMBER(F1751),MIN(30,ROUND(30*LOG10(F1751+1)/4,1)),0)</f>
        <v/>
      </c>
      <c r="R1751">
        <f>IF(ISNUMBER(G1751),ROUND(25*(100-G1751)/100,1),12.5)</f>
        <v/>
      </c>
      <c r="S1751" t="n">
        <v>3</v>
      </c>
      <c r="T1751">
        <f>ROUND(P1751+Q1751+R1751+S1751,0)</f>
        <v/>
      </c>
      <c r="U1751" s="5" t="inlineStr"/>
      <c r="V1751" s="5" t="inlineStr">
        <is>
          <t>NOT RECOMMENDED /web-development-company/seattle</t>
        </is>
      </c>
    </row>
    <row r="1752">
      <c r="A1752" t="inlineStr">
        <is>
          <t>K1750</t>
        </is>
      </c>
      <c r="B1752" t="inlineStr">
        <is>
          <t>web development company san francisco</t>
        </is>
      </c>
      <c r="C1752" t="inlineStr">
        <is>
          <t>United States</t>
        </is>
      </c>
      <c r="D1752" t="inlineStr">
        <is>
          <t>us</t>
        </is>
      </c>
      <c r="E1752" t="inlineStr">
        <is>
          <t>en</t>
        </is>
      </c>
      <c r="F1752" t="n">
        <v>90</v>
      </c>
      <c r="G1752" t="n">
        <v>27</v>
      </c>
      <c r="H1752" t="n">
        <v>0</v>
      </c>
      <c r="I1752" t="n">
        <v>0.33</v>
      </c>
      <c r="J1752" t="inlineStr">
        <is>
          <t>Commercial</t>
        </is>
      </c>
      <c r="K1752" t="inlineStr">
        <is>
          <t>NOT AVAILABLE (report not requested)</t>
        </is>
      </c>
      <c r="L1752" t="inlineStr">
        <is>
          <t>declining (calc.)</t>
        </is>
      </c>
      <c r="M1752" t="inlineStr">
        <is>
          <t>MEASURED</t>
        </is>
      </c>
      <c r="N1752" s="5" t="inlineStr">
        <is>
          <t>Semrush phrase_these (live, this session)</t>
        </is>
      </c>
      <c r="O1752" t="inlineStr">
        <is>
          <t>2026-10-30</t>
        </is>
      </c>
      <c r="P1752">
        <f>IF(IF(J1752="NOT AVAILABLE","",J1752)="",12,IF(OR(ISNUMBER(SEARCH("Transactional",IF(J1752="NOT AVAILABLE","",J1752))),ISNUMBER(SEARCH("Commercial",IF(J1752="NOT AVAILABLE","",J1752)))),25,IF(ISNUMBER(SEARCH("Informational",IF(J1752="NOT AVAILABLE","",J1752))),10,IF(ISNUMBER(SEARCH("Navigational",IF(J1752="NOT AVAILABLE","",J1752))),0,12))))</f>
        <v/>
      </c>
      <c r="Q1752">
        <f>IF(ISNUMBER(F1752),MIN(30,ROUND(30*LOG10(F1752+1)/4,1)),0)</f>
        <v/>
      </c>
      <c r="R1752">
        <f>IF(ISNUMBER(G1752),ROUND(25*(100-G1752)/100,1),12.5)</f>
        <v/>
      </c>
      <c r="S1752" t="n">
        <v>3</v>
      </c>
      <c r="T1752">
        <f>ROUND(P1752+Q1752+R1752+S1752,0)</f>
        <v/>
      </c>
      <c r="U1752" s="5" t="inlineStr"/>
      <c r="V1752" s="5" t="inlineStr">
        <is>
          <t>NOT RECOMMENDED /web-development-company/san-francisco</t>
        </is>
      </c>
    </row>
    <row r="1753">
      <c r="A1753" t="inlineStr">
        <is>
          <t>K1751</t>
        </is>
      </c>
      <c r="B1753" t="inlineStr">
        <is>
          <t>création site web new york</t>
        </is>
      </c>
      <c r="C1753" t="inlineStr">
        <is>
          <t>United States</t>
        </is>
      </c>
      <c r="D1753" t="inlineStr">
        <is>
          <t>us</t>
        </is>
      </c>
      <c r="E1753" t="inlineStr">
        <is>
          <t>fr</t>
        </is>
      </c>
      <c r="F1753" t="n">
        <v>10</v>
      </c>
      <c r="G1753" t="inlineStr">
        <is>
          <t>NOT AVAILABLE</t>
        </is>
      </c>
      <c r="H1753" t="n">
        <v>0</v>
      </c>
      <c r="I1753" t="n">
        <v>0</v>
      </c>
      <c r="J1753" t="inlineStr">
        <is>
          <t>NOT AVAILABLE</t>
        </is>
      </c>
      <c r="K1753" t="inlineStr">
        <is>
          <t>NOT AVAILABLE (report not requested)</t>
        </is>
      </c>
      <c r="L1753" t="inlineStr">
        <is>
          <t>stable (calc.)</t>
        </is>
      </c>
      <c r="M1753" t="inlineStr">
        <is>
          <t>MEASURED</t>
        </is>
      </c>
      <c r="N1753" s="5" t="inlineStr">
        <is>
          <t>Semrush phrase_these (live, this session)</t>
        </is>
      </c>
      <c r="O1753" t="inlineStr">
        <is>
          <t>2026-10-30</t>
        </is>
      </c>
      <c r="P1753">
        <f>IF(IF(J1753="NOT AVAILABLE","",J1753)="",12,IF(OR(ISNUMBER(SEARCH("Transactional",IF(J1753="NOT AVAILABLE","",J1753))),ISNUMBER(SEARCH("Commercial",IF(J1753="NOT AVAILABLE","",J1753)))),25,IF(ISNUMBER(SEARCH("Informational",IF(J1753="NOT AVAILABLE","",J1753))),10,IF(ISNUMBER(SEARCH("Navigational",IF(J1753="NOT AVAILABLE","",J1753))),0,12))))</f>
        <v/>
      </c>
      <c r="Q1753">
        <f>IF(ISNUMBER(F1753),MIN(30,ROUND(30*LOG10(F1753+1)/4,1)),0)</f>
        <v/>
      </c>
      <c r="R1753">
        <f>IF(ISNUMBER(G1753),ROUND(25*(100-G1753)/100,1),12.5)</f>
        <v/>
      </c>
      <c r="S1753" t="n">
        <v>3</v>
      </c>
      <c r="T1753">
        <f>ROUND(P1753+Q1753+R1753+S1753,0)</f>
        <v/>
      </c>
      <c r="U1753" s="5" t="inlineStr"/>
      <c r="V1753" s="5" t="inlineStr"/>
    </row>
    <row r="1754">
      <c r="A1754" t="inlineStr">
        <is>
          <t>K1752</t>
        </is>
      </c>
      <c r="B1754" t="inlineStr">
        <is>
          <t>création site web san francisco</t>
        </is>
      </c>
      <c r="C1754" t="inlineStr">
        <is>
          <t>United States</t>
        </is>
      </c>
      <c r="D1754" t="inlineStr">
        <is>
          <t>us</t>
        </is>
      </c>
      <c r="E1754" t="inlineStr">
        <is>
          <t>fr</t>
        </is>
      </c>
      <c r="F1754" t="n">
        <v>10</v>
      </c>
      <c r="G1754" t="inlineStr">
        <is>
          <t>NOT AVAILABLE</t>
        </is>
      </c>
      <c r="H1754" t="n">
        <v>0</v>
      </c>
      <c r="I1754" t="n">
        <v>0</v>
      </c>
      <c r="J1754" t="inlineStr">
        <is>
          <t>NOT AVAILABLE</t>
        </is>
      </c>
      <c r="K1754" t="inlineStr">
        <is>
          <t>NOT AVAILABLE (report not requested)</t>
        </is>
      </c>
      <c r="L1754" t="inlineStr">
        <is>
          <t>rising (calc.)</t>
        </is>
      </c>
      <c r="M1754" t="inlineStr">
        <is>
          <t>MEASURED</t>
        </is>
      </c>
      <c r="N1754" s="5" t="inlineStr">
        <is>
          <t>Semrush phrase_these (live, this session)</t>
        </is>
      </c>
      <c r="O1754" t="inlineStr">
        <is>
          <t>2026-10-30</t>
        </is>
      </c>
      <c r="P1754">
        <f>IF(IF(J1754="NOT AVAILABLE","",J1754)="",12,IF(OR(ISNUMBER(SEARCH("Transactional",IF(J1754="NOT AVAILABLE","",J1754))),ISNUMBER(SEARCH("Commercial",IF(J1754="NOT AVAILABLE","",J1754)))),25,IF(ISNUMBER(SEARCH("Informational",IF(J1754="NOT AVAILABLE","",J1754))),10,IF(ISNUMBER(SEARCH("Navigational",IF(J1754="NOT AVAILABLE","",J1754))),0,12))))</f>
        <v/>
      </c>
      <c r="Q1754">
        <f>IF(ISNUMBER(F1754),MIN(30,ROUND(30*LOG10(F1754+1)/4,1)),0)</f>
        <v/>
      </c>
      <c r="R1754">
        <f>IF(ISNUMBER(G1754),ROUND(25*(100-G1754)/100,1),12.5)</f>
        <v/>
      </c>
      <c r="S1754" t="n">
        <v>3</v>
      </c>
      <c r="T1754">
        <f>ROUND(P1754+Q1754+R1754+S1754,0)</f>
        <v/>
      </c>
      <c r="U1754" s="5" t="inlineStr"/>
      <c r="V1754" s="5" t="inlineStr"/>
    </row>
    <row r="1755">
      <c r="A1755" t="inlineStr">
        <is>
          <t>K1753</t>
        </is>
      </c>
      <c r="B1755" t="inlineStr">
        <is>
          <t>agence web austin</t>
        </is>
      </c>
      <c r="C1755" t="inlineStr">
        <is>
          <t>United States</t>
        </is>
      </c>
      <c r="D1755" t="inlineStr">
        <is>
          <t>us</t>
        </is>
      </c>
      <c r="E1755" t="inlineStr">
        <is>
          <t>fr</t>
        </is>
      </c>
      <c r="F1755" t="inlineStr">
        <is>
          <t>NOT AVAILABLE</t>
        </is>
      </c>
      <c r="G1755" t="inlineStr">
        <is>
          <t>NOT AVAILABLE</t>
        </is>
      </c>
      <c r="H1755" t="inlineStr">
        <is>
          <t>NOT AVAILABLE</t>
        </is>
      </c>
      <c r="I1755" t="inlineStr">
        <is>
          <t>NOT AVAILABLE</t>
        </is>
      </c>
      <c r="J1755" t="inlineStr">
        <is>
          <t>NOT AVAILABLE</t>
        </is>
      </c>
      <c r="K1755" t="inlineStr">
        <is>
          <t>NOT AVAILABLE</t>
        </is>
      </c>
      <c r="L1755" t="inlineStr">
        <is>
          <t>NOT AVAILABLE</t>
        </is>
      </c>
      <c r="M1755" t="inlineStr">
        <is>
          <t>UNAVAILABLE</t>
        </is>
      </c>
      <c r="N1755" s="5" t="inlineStr">
        <is>
          <t>Semrush phrase_these returned no data (not billed)</t>
        </is>
      </c>
      <c r="O1755" t="inlineStr">
        <is>
          <t>2026-10-30</t>
        </is>
      </c>
      <c r="P1755">
        <f>IF(IF(J1755="NOT AVAILABLE","",J1755)="",12,IF(OR(ISNUMBER(SEARCH("Transactional",IF(J1755="NOT AVAILABLE","",J1755))),ISNUMBER(SEARCH("Commercial",IF(J1755="NOT AVAILABLE","",J1755)))),25,IF(ISNUMBER(SEARCH("Informational",IF(J1755="NOT AVAILABLE","",J1755))),10,IF(ISNUMBER(SEARCH("Navigational",IF(J1755="NOT AVAILABLE","",J1755))),0,12))))</f>
        <v/>
      </c>
      <c r="Q1755">
        <f>IF(ISNUMBER(F1755),MIN(30,ROUND(30*LOG10(F1755+1)/4,1)),0)</f>
        <v/>
      </c>
      <c r="R1755">
        <f>IF(ISNUMBER(G1755),ROUND(25*(100-G1755)/100,1),12.5)</f>
        <v/>
      </c>
      <c r="S1755" t="n">
        <v>3</v>
      </c>
      <c r="T1755">
        <f>ROUND(P1755+Q1755+R1755+S1755,0)</f>
        <v/>
      </c>
      <c r="U1755" s="5" t="inlineStr"/>
      <c r="V1755" s="5" t="inlineStr"/>
    </row>
    <row r="1756">
      <c r="A1756" t="inlineStr">
        <is>
          <t>K1754</t>
        </is>
      </c>
      <c r="B1756" t="inlineStr">
        <is>
          <t>agence web boston</t>
        </is>
      </c>
      <c r="C1756" t="inlineStr">
        <is>
          <t>United States</t>
        </is>
      </c>
      <c r="D1756" t="inlineStr">
        <is>
          <t>us</t>
        </is>
      </c>
      <c r="E1756" t="inlineStr">
        <is>
          <t>fr</t>
        </is>
      </c>
      <c r="F1756" t="inlineStr">
        <is>
          <t>NOT AVAILABLE</t>
        </is>
      </c>
      <c r="G1756" t="inlineStr">
        <is>
          <t>NOT AVAILABLE</t>
        </is>
      </c>
      <c r="H1756" t="inlineStr">
        <is>
          <t>NOT AVAILABLE</t>
        </is>
      </c>
      <c r="I1756" t="inlineStr">
        <is>
          <t>NOT AVAILABLE</t>
        </is>
      </c>
      <c r="J1756" t="inlineStr">
        <is>
          <t>NOT AVAILABLE</t>
        </is>
      </c>
      <c r="K1756" t="inlineStr">
        <is>
          <t>NOT AVAILABLE</t>
        </is>
      </c>
      <c r="L1756" t="inlineStr">
        <is>
          <t>NOT AVAILABLE</t>
        </is>
      </c>
      <c r="M1756" t="inlineStr">
        <is>
          <t>UNAVAILABLE</t>
        </is>
      </c>
      <c r="N1756" s="5" t="inlineStr">
        <is>
          <t>Semrush phrase_these returned no data (not billed)</t>
        </is>
      </c>
      <c r="O1756" t="inlineStr">
        <is>
          <t>2026-10-30</t>
        </is>
      </c>
      <c r="P1756">
        <f>IF(IF(J1756="NOT AVAILABLE","",J1756)="",12,IF(OR(ISNUMBER(SEARCH("Transactional",IF(J1756="NOT AVAILABLE","",J1756))),ISNUMBER(SEARCH("Commercial",IF(J1756="NOT AVAILABLE","",J1756)))),25,IF(ISNUMBER(SEARCH("Informational",IF(J1756="NOT AVAILABLE","",J1756))),10,IF(ISNUMBER(SEARCH("Navigational",IF(J1756="NOT AVAILABLE","",J1756))),0,12))))</f>
        <v/>
      </c>
      <c r="Q1756">
        <f>IF(ISNUMBER(F1756),MIN(30,ROUND(30*LOG10(F1756+1)/4,1)),0)</f>
        <v/>
      </c>
      <c r="R1756">
        <f>IF(ISNUMBER(G1756),ROUND(25*(100-G1756)/100,1),12.5)</f>
        <v/>
      </c>
      <c r="S1756" t="n">
        <v>3</v>
      </c>
      <c r="T1756">
        <f>ROUND(P1756+Q1756+R1756+S1756,0)</f>
        <v/>
      </c>
      <c r="U1756" s="5" t="inlineStr"/>
      <c r="V1756" s="5" t="inlineStr"/>
    </row>
    <row r="1757">
      <c r="A1757" t="inlineStr">
        <is>
          <t>K1755</t>
        </is>
      </c>
      <c r="B1757" t="inlineStr">
        <is>
          <t>agence web chicago</t>
        </is>
      </c>
      <c r="C1757" t="inlineStr">
        <is>
          <t>United States</t>
        </is>
      </c>
      <c r="D1757" t="inlineStr">
        <is>
          <t>us</t>
        </is>
      </c>
      <c r="E1757" t="inlineStr">
        <is>
          <t>fr</t>
        </is>
      </c>
      <c r="F1757" t="inlineStr">
        <is>
          <t>NOT AVAILABLE</t>
        </is>
      </c>
      <c r="G1757" t="inlineStr">
        <is>
          <t>NOT AVAILABLE</t>
        </is>
      </c>
      <c r="H1757" t="inlineStr">
        <is>
          <t>NOT AVAILABLE</t>
        </is>
      </c>
      <c r="I1757" t="inlineStr">
        <is>
          <t>NOT AVAILABLE</t>
        </is>
      </c>
      <c r="J1757" t="inlineStr">
        <is>
          <t>NOT AVAILABLE</t>
        </is>
      </c>
      <c r="K1757" t="inlineStr">
        <is>
          <t>NOT AVAILABLE</t>
        </is>
      </c>
      <c r="L1757" t="inlineStr">
        <is>
          <t>NOT AVAILABLE</t>
        </is>
      </c>
      <c r="M1757" t="inlineStr">
        <is>
          <t>UNAVAILABLE</t>
        </is>
      </c>
      <c r="N1757" s="5" t="inlineStr">
        <is>
          <t>Semrush phrase_these returned no data (not billed)</t>
        </is>
      </c>
      <c r="O1757" t="inlineStr">
        <is>
          <t>2026-10-30</t>
        </is>
      </c>
      <c r="P1757">
        <f>IF(IF(J1757="NOT AVAILABLE","",J1757)="",12,IF(OR(ISNUMBER(SEARCH("Transactional",IF(J1757="NOT AVAILABLE","",J1757))),ISNUMBER(SEARCH("Commercial",IF(J1757="NOT AVAILABLE","",J1757)))),25,IF(ISNUMBER(SEARCH("Informational",IF(J1757="NOT AVAILABLE","",J1757))),10,IF(ISNUMBER(SEARCH("Navigational",IF(J1757="NOT AVAILABLE","",J1757))),0,12))))</f>
        <v/>
      </c>
      <c r="Q1757">
        <f>IF(ISNUMBER(F1757),MIN(30,ROUND(30*LOG10(F1757+1)/4,1)),0)</f>
        <v/>
      </c>
      <c r="R1757">
        <f>IF(ISNUMBER(G1757),ROUND(25*(100-G1757)/100,1),12.5)</f>
        <v/>
      </c>
      <c r="S1757" t="n">
        <v>3</v>
      </c>
      <c r="T1757">
        <f>ROUND(P1757+Q1757+R1757+S1757,0)</f>
        <v/>
      </c>
      <c r="U1757" s="5" t="inlineStr"/>
      <c r="V1757" s="5" t="inlineStr"/>
    </row>
    <row r="1758">
      <c r="A1758" t="inlineStr">
        <is>
          <t>K1756</t>
        </is>
      </c>
      <c r="B1758" t="inlineStr">
        <is>
          <t>agence web denver</t>
        </is>
      </c>
      <c r="C1758" t="inlineStr">
        <is>
          <t>United States</t>
        </is>
      </c>
      <c r="D1758" t="inlineStr">
        <is>
          <t>us</t>
        </is>
      </c>
      <c r="E1758" t="inlineStr">
        <is>
          <t>fr</t>
        </is>
      </c>
      <c r="F1758" t="inlineStr">
        <is>
          <t>NOT AVAILABLE</t>
        </is>
      </c>
      <c r="G1758" t="inlineStr">
        <is>
          <t>NOT AVAILABLE</t>
        </is>
      </c>
      <c r="H1758" t="inlineStr">
        <is>
          <t>NOT AVAILABLE</t>
        </is>
      </c>
      <c r="I1758" t="inlineStr">
        <is>
          <t>NOT AVAILABLE</t>
        </is>
      </c>
      <c r="J1758" t="inlineStr">
        <is>
          <t>NOT AVAILABLE</t>
        </is>
      </c>
      <c r="K1758" t="inlineStr">
        <is>
          <t>NOT AVAILABLE</t>
        </is>
      </c>
      <c r="L1758" t="inlineStr">
        <is>
          <t>NOT AVAILABLE</t>
        </is>
      </c>
      <c r="M1758" t="inlineStr">
        <is>
          <t>UNAVAILABLE</t>
        </is>
      </c>
      <c r="N1758" s="5" t="inlineStr">
        <is>
          <t>Semrush phrase_these returned no data (not billed)</t>
        </is>
      </c>
      <c r="O1758" t="inlineStr">
        <is>
          <t>2026-10-30</t>
        </is>
      </c>
      <c r="P1758">
        <f>IF(IF(J1758="NOT AVAILABLE","",J1758)="",12,IF(OR(ISNUMBER(SEARCH("Transactional",IF(J1758="NOT AVAILABLE","",J1758))),ISNUMBER(SEARCH("Commercial",IF(J1758="NOT AVAILABLE","",J1758)))),25,IF(ISNUMBER(SEARCH("Informational",IF(J1758="NOT AVAILABLE","",J1758))),10,IF(ISNUMBER(SEARCH("Navigational",IF(J1758="NOT AVAILABLE","",J1758))),0,12))))</f>
        <v/>
      </c>
      <c r="Q1758">
        <f>IF(ISNUMBER(F1758),MIN(30,ROUND(30*LOG10(F1758+1)/4,1)),0)</f>
        <v/>
      </c>
      <c r="R1758">
        <f>IF(ISNUMBER(G1758),ROUND(25*(100-G1758)/100,1),12.5)</f>
        <v/>
      </c>
      <c r="S1758" t="n">
        <v>3</v>
      </c>
      <c r="T1758">
        <f>ROUND(P1758+Q1758+R1758+S1758,0)</f>
        <v/>
      </c>
      <c r="U1758" s="5" t="inlineStr"/>
      <c r="V1758" s="5" t="inlineStr"/>
    </row>
    <row r="1759">
      <c r="A1759" t="inlineStr">
        <is>
          <t>K1757</t>
        </is>
      </c>
      <c r="B1759" t="inlineStr">
        <is>
          <t>agence web los angeles</t>
        </is>
      </c>
      <c r="C1759" t="inlineStr">
        <is>
          <t>United States</t>
        </is>
      </c>
      <c r="D1759" t="inlineStr">
        <is>
          <t>us</t>
        </is>
      </c>
      <c r="E1759" t="inlineStr">
        <is>
          <t>fr</t>
        </is>
      </c>
      <c r="F1759" t="n">
        <v>0</v>
      </c>
      <c r="G1759" t="inlineStr">
        <is>
          <t>NOT AVAILABLE</t>
        </is>
      </c>
      <c r="H1759" t="n">
        <v>0</v>
      </c>
      <c r="I1759" t="n">
        <v>0</v>
      </c>
      <c r="J1759" t="inlineStr">
        <is>
          <t>NOT AVAILABLE</t>
        </is>
      </c>
      <c r="K1759" t="inlineStr">
        <is>
          <t>NOT AVAILABLE (report not requested)</t>
        </is>
      </c>
      <c r="L1759" t="inlineStr">
        <is>
          <t>flat (no data)</t>
        </is>
      </c>
      <c r="M1759" t="inlineStr">
        <is>
          <t>MEASURED</t>
        </is>
      </c>
      <c r="N1759" s="5" t="inlineStr">
        <is>
          <t>Semrush phrase_these (live, this session)</t>
        </is>
      </c>
      <c r="O1759" t="inlineStr">
        <is>
          <t>2026-10-30</t>
        </is>
      </c>
      <c r="P1759">
        <f>IF(IF(J1759="NOT AVAILABLE","",J1759)="",12,IF(OR(ISNUMBER(SEARCH("Transactional",IF(J1759="NOT AVAILABLE","",J1759))),ISNUMBER(SEARCH("Commercial",IF(J1759="NOT AVAILABLE","",J1759)))),25,IF(ISNUMBER(SEARCH("Informational",IF(J1759="NOT AVAILABLE","",J1759))),10,IF(ISNUMBER(SEARCH("Navigational",IF(J1759="NOT AVAILABLE","",J1759))),0,12))))</f>
        <v/>
      </c>
      <c r="Q1759">
        <f>IF(ISNUMBER(F1759),MIN(30,ROUND(30*LOG10(F1759+1)/4,1)),0)</f>
        <v/>
      </c>
      <c r="R1759">
        <f>IF(ISNUMBER(G1759),ROUND(25*(100-G1759)/100,1),12.5)</f>
        <v/>
      </c>
      <c r="S1759" t="n">
        <v>3</v>
      </c>
      <c r="T1759">
        <f>ROUND(P1759+Q1759+R1759+S1759,0)</f>
        <v/>
      </c>
      <c r="U1759" s="5" t="inlineStr"/>
      <c r="V1759" s="5" t="inlineStr"/>
    </row>
    <row r="1760">
      <c r="A1760" t="inlineStr">
        <is>
          <t>K1758</t>
        </is>
      </c>
      <c r="B1760" t="inlineStr">
        <is>
          <t>agence web new york</t>
        </is>
      </c>
      <c r="C1760" t="inlineStr">
        <is>
          <t>United States</t>
        </is>
      </c>
      <c r="D1760" t="inlineStr">
        <is>
          <t>us</t>
        </is>
      </c>
      <c r="E1760" t="inlineStr">
        <is>
          <t>fr</t>
        </is>
      </c>
      <c r="F1760" t="n">
        <v>0</v>
      </c>
      <c r="G1760" t="inlineStr">
        <is>
          <t>NOT AVAILABLE</t>
        </is>
      </c>
      <c r="H1760" t="n">
        <v>0</v>
      </c>
      <c r="I1760" t="n">
        <v>0</v>
      </c>
      <c r="J1760" t="inlineStr">
        <is>
          <t>NOT AVAILABLE</t>
        </is>
      </c>
      <c r="K1760" t="inlineStr">
        <is>
          <t>NOT AVAILABLE (report not requested)</t>
        </is>
      </c>
      <c r="L1760" t="inlineStr">
        <is>
          <t>declining (calc.)</t>
        </is>
      </c>
      <c r="M1760" t="inlineStr">
        <is>
          <t>MEASURED</t>
        </is>
      </c>
      <c r="N1760" s="5" t="inlineStr">
        <is>
          <t>Semrush phrase_these (live, this session)</t>
        </is>
      </c>
      <c r="O1760" t="inlineStr">
        <is>
          <t>2026-10-30</t>
        </is>
      </c>
      <c r="P1760">
        <f>IF(IF(J1760="NOT AVAILABLE","",J1760)="",12,IF(OR(ISNUMBER(SEARCH("Transactional",IF(J1760="NOT AVAILABLE","",J1760))),ISNUMBER(SEARCH("Commercial",IF(J1760="NOT AVAILABLE","",J1760)))),25,IF(ISNUMBER(SEARCH("Informational",IF(J1760="NOT AVAILABLE","",J1760))),10,IF(ISNUMBER(SEARCH("Navigational",IF(J1760="NOT AVAILABLE","",J1760))),0,12))))</f>
        <v/>
      </c>
      <c r="Q1760">
        <f>IF(ISNUMBER(F1760),MIN(30,ROUND(30*LOG10(F1760+1)/4,1)),0)</f>
        <v/>
      </c>
      <c r="R1760">
        <f>IF(ISNUMBER(G1760),ROUND(25*(100-G1760)/100,1),12.5)</f>
        <v/>
      </c>
      <c r="S1760" t="n">
        <v>3</v>
      </c>
      <c r="T1760">
        <f>ROUND(P1760+Q1760+R1760+S1760,0)</f>
        <v/>
      </c>
      <c r="U1760" s="5" t="inlineStr"/>
      <c r="V1760" s="5" t="inlineStr"/>
    </row>
    <row r="1761">
      <c r="A1761" t="inlineStr">
        <is>
          <t>K1759</t>
        </is>
      </c>
      <c r="B1761" t="inlineStr">
        <is>
          <t>agence web san francisco</t>
        </is>
      </c>
      <c r="C1761" t="inlineStr">
        <is>
          <t>United States</t>
        </is>
      </c>
      <c r="D1761" t="inlineStr">
        <is>
          <t>us</t>
        </is>
      </c>
      <c r="E1761" t="inlineStr">
        <is>
          <t>fr</t>
        </is>
      </c>
      <c r="F1761" t="inlineStr">
        <is>
          <t>NOT AVAILABLE</t>
        </is>
      </c>
      <c r="G1761" t="inlineStr">
        <is>
          <t>NOT AVAILABLE</t>
        </is>
      </c>
      <c r="H1761" t="inlineStr">
        <is>
          <t>NOT AVAILABLE</t>
        </is>
      </c>
      <c r="I1761" t="inlineStr">
        <is>
          <t>NOT AVAILABLE</t>
        </is>
      </c>
      <c r="J1761" t="inlineStr">
        <is>
          <t>NOT AVAILABLE</t>
        </is>
      </c>
      <c r="K1761" t="inlineStr">
        <is>
          <t>NOT AVAILABLE</t>
        </is>
      </c>
      <c r="L1761" t="inlineStr">
        <is>
          <t>NOT AVAILABLE</t>
        </is>
      </c>
      <c r="M1761" t="inlineStr">
        <is>
          <t>UNAVAILABLE</t>
        </is>
      </c>
      <c r="N1761" s="5" t="inlineStr">
        <is>
          <t>Semrush phrase_these returned no data (not billed)</t>
        </is>
      </c>
      <c r="O1761" t="inlineStr">
        <is>
          <t>2026-10-30</t>
        </is>
      </c>
      <c r="P1761">
        <f>IF(IF(J1761="NOT AVAILABLE","",J1761)="",12,IF(OR(ISNUMBER(SEARCH("Transactional",IF(J1761="NOT AVAILABLE","",J1761))),ISNUMBER(SEARCH("Commercial",IF(J1761="NOT AVAILABLE","",J1761)))),25,IF(ISNUMBER(SEARCH("Informational",IF(J1761="NOT AVAILABLE","",J1761))),10,IF(ISNUMBER(SEARCH("Navigational",IF(J1761="NOT AVAILABLE","",J1761))),0,12))))</f>
        <v/>
      </c>
      <c r="Q1761">
        <f>IF(ISNUMBER(F1761),MIN(30,ROUND(30*LOG10(F1761+1)/4,1)),0)</f>
        <v/>
      </c>
      <c r="R1761">
        <f>IF(ISNUMBER(G1761),ROUND(25*(100-G1761)/100,1),12.5)</f>
        <v/>
      </c>
      <c r="S1761" t="n">
        <v>3</v>
      </c>
      <c r="T1761">
        <f>ROUND(P1761+Q1761+R1761+S1761,0)</f>
        <v/>
      </c>
      <c r="U1761" s="5" t="inlineStr"/>
      <c r="V1761" s="5" t="inlineStr"/>
    </row>
    <row r="1762">
      <c r="A1762" t="inlineStr">
        <is>
          <t>K1760</t>
        </is>
      </c>
      <c r="B1762" t="inlineStr">
        <is>
          <t>agence web seattle</t>
        </is>
      </c>
      <c r="C1762" t="inlineStr">
        <is>
          <t>United States</t>
        </is>
      </c>
      <c r="D1762" t="inlineStr">
        <is>
          <t>us</t>
        </is>
      </c>
      <c r="E1762" t="inlineStr">
        <is>
          <t>fr</t>
        </is>
      </c>
      <c r="F1762" t="inlineStr">
        <is>
          <t>NOT AVAILABLE</t>
        </is>
      </c>
      <c r="G1762" t="inlineStr">
        <is>
          <t>NOT AVAILABLE</t>
        </is>
      </c>
      <c r="H1762" t="inlineStr">
        <is>
          <t>NOT AVAILABLE</t>
        </is>
      </c>
      <c r="I1762" t="inlineStr">
        <is>
          <t>NOT AVAILABLE</t>
        </is>
      </c>
      <c r="J1762" t="inlineStr">
        <is>
          <t>NOT AVAILABLE</t>
        </is>
      </c>
      <c r="K1762" t="inlineStr">
        <is>
          <t>NOT AVAILABLE</t>
        </is>
      </c>
      <c r="L1762" t="inlineStr">
        <is>
          <t>NOT AVAILABLE</t>
        </is>
      </c>
      <c r="M1762" t="inlineStr">
        <is>
          <t>UNAVAILABLE</t>
        </is>
      </c>
      <c r="N1762" s="5" t="inlineStr">
        <is>
          <t>Semrush phrase_these returned no data (not billed)</t>
        </is>
      </c>
      <c r="O1762" t="inlineStr">
        <is>
          <t>2026-10-30</t>
        </is>
      </c>
      <c r="P1762">
        <f>IF(IF(J1762="NOT AVAILABLE","",J1762)="",12,IF(OR(ISNUMBER(SEARCH("Transactional",IF(J1762="NOT AVAILABLE","",J1762))),ISNUMBER(SEARCH("Commercial",IF(J1762="NOT AVAILABLE","",J1762)))),25,IF(ISNUMBER(SEARCH("Informational",IF(J1762="NOT AVAILABLE","",J1762))),10,IF(ISNUMBER(SEARCH("Navigational",IF(J1762="NOT AVAILABLE","",J1762))),0,12))))</f>
        <v/>
      </c>
      <c r="Q1762">
        <f>IF(ISNUMBER(F1762),MIN(30,ROUND(30*LOG10(F1762+1)/4,1)),0)</f>
        <v/>
      </c>
      <c r="R1762">
        <f>IF(ISNUMBER(G1762),ROUND(25*(100-G1762)/100,1),12.5)</f>
        <v/>
      </c>
      <c r="S1762" t="n">
        <v>3</v>
      </c>
      <c r="T1762">
        <f>ROUND(P1762+Q1762+R1762+S1762,0)</f>
        <v/>
      </c>
      <c r="U1762" s="5" t="inlineStr"/>
      <c r="V1762" s="5" t="inlineStr"/>
    </row>
    <row r="1763">
      <c r="A1763" t="inlineStr">
        <is>
          <t>K1761</t>
        </is>
      </c>
      <c r="B1763" t="inlineStr">
        <is>
          <t>création site web austin</t>
        </is>
      </c>
      <c r="C1763" t="inlineStr">
        <is>
          <t>United States</t>
        </is>
      </c>
      <c r="D1763" t="inlineStr">
        <is>
          <t>us</t>
        </is>
      </c>
      <c r="E1763" t="inlineStr">
        <is>
          <t>fr</t>
        </is>
      </c>
      <c r="F1763" t="inlineStr">
        <is>
          <t>NOT AVAILABLE</t>
        </is>
      </c>
      <c r="G1763" t="inlineStr">
        <is>
          <t>NOT AVAILABLE</t>
        </is>
      </c>
      <c r="H1763" t="inlineStr">
        <is>
          <t>NOT AVAILABLE</t>
        </is>
      </c>
      <c r="I1763" t="inlineStr">
        <is>
          <t>NOT AVAILABLE</t>
        </is>
      </c>
      <c r="J1763" t="inlineStr">
        <is>
          <t>NOT AVAILABLE</t>
        </is>
      </c>
      <c r="K1763" t="inlineStr">
        <is>
          <t>NOT AVAILABLE</t>
        </is>
      </c>
      <c r="L1763" t="inlineStr">
        <is>
          <t>NOT AVAILABLE</t>
        </is>
      </c>
      <c r="M1763" t="inlineStr">
        <is>
          <t>UNAVAILABLE</t>
        </is>
      </c>
      <c r="N1763" s="5" t="inlineStr">
        <is>
          <t>Semrush phrase_these returned no data (not billed)</t>
        </is>
      </c>
      <c r="O1763" t="inlineStr">
        <is>
          <t>2026-10-30</t>
        </is>
      </c>
      <c r="P1763">
        <f>IF(IF(J1763="NOT AVAILABLE","",J1763)="",12,IF(OR(ISNUMBER(SEARCH("Transactional",IF(J1763="NOT AVAILABLE","",J1763))),ISNUMBER(SEARCH("Commercial",IF(J1763="NOT AVAILABLE","",J1763)))),25,IF(ISNUMBER(SEARCH("Informational",IF(J1763="NOT AVAILABLE","",J1763))),10,IF(ISNUMBER(SEARCH("Navigational",IF(J1763="NOT AVAILABLE","",J1763))),0,12))))</f>
        <v/>
      </c>
      <c r="Q1763">
        <f>IF(ISNUMBER(F1763),MIN(30,ROUND(30*LOG10(F1763+1)/4,1)),0)</f>
        <v/>
      </c>
      <c r="R1763">
        <f>IF(ISNUMBER(G1763),ROUND(25*(100-G1763)/100,1),12.5)</f>
        <v/>
      </c>
      <c r="S1763" t="n">
        <v>3</v>
      </c>
      <c r="T1763">
        <f>ROUND(P1763+Q1763+R1763+S1763,0)</f>
        <v/>
      </c>
      <c r="U1763" s="5" t="inlineStr"/>
      <c r="V1763" s="5" t="inlineStr"/>
    </row>
    <row r="1764">
      <c r="A1764" t="inlineStr">
        <is>
          <t>K1762</t>
        </is>
      </c>
      <c r="B1764" t="inlineStr">
        <is>
          <t>création site web boston</t>
        </is>
      </c>
      <c r="C1764" t="inlineStr">
        <is>
          <t>United States</t>
        </is>
      </c>
      <c r="D1764" t="inlineStr">
        <is>
          <t>us</t>
        </is>
      </c>
      <c r="E1764" t="inlineStr">
        <is>
          <t>fr</t>
        </is>
      </c>
      <c r="F1764" t="inlineStr">
        <is>
          <t>NOT AVAILABLE</t>
        </is>
      </c>
      <c r="G1764" t="inlineStr">
        <is>
          <t>NOT AVAILABLE</t>
        </is>
      </c>
      <c r="H1764" t="inlineStr">
        <is>
          <t>NOT AVAILABLE</t>
        </is>
      </c>
      <c r="I1764" t="inlineStr">
        <is>
          <t>NOT AVAILABLE</t>
        </is>
      </c>
      <c r="J1764" t="inlineStr">
        <is>
          <t>NOT AVAILABLE</t>
        </is>
      </c>
      <c r="K1764" t="inlineStr">
        <is>
          <t>NOT AVAILABLE</t>
        </is>
      </c>
      <c r="L1764" t="inlineStr">
        <is>
          <t>NOT AVAILABLE</t>
        </is>
      </c>
      <c r="M1764" t="inlineStr">
        <is>
          <t>UNAVAILABLE</t>
        </is>
      </c>
      <c r="N1764" s="5" t="inlineStr">
        <is>
          <t>Semrush phrase_these returned no data (not billed)</t>
        </is>
      </c>
      <c r="O1764" t="inlineStr">
        <is>
          <t>2026-10-30</t>
        </is>
      </c>
      <c r="P1764">
        <f>IF(IF(J1764="NOT AVAILABLE","",J1764)="",12,IF(OR(ISNUMBER(SEARCH("Transactional",IF(J1764="NOT AVAILABLE","",J1764))),ISNUMBER(SEARCH("Commercial",IF(J1764="NOT AVAILABLE","",J1764)))),25,IF(ISNUMBER(SEARCH("Informational",IF(J1764="NOT AVAILABLE","",J1764))),10,IF(ISNUMBER(SEARCH("Navigational",IF(J1764="NOT AVAILABLE","",J1764))),0,12))))</f>
        <v/>
      </c>
      <c r="Q1764">
        <f>IF(ISNUMBER(F1764),MIN(30,ROUND(30*LOG10(F1764+1)/4,1)),0)</f>
        <v/>
      </c>
      <c r="R1764">
        <f>IF(ISNUMBER(G1764),ROUND(25*(100-G1764)/100,1),12.5)</f>
        <v/>
      </c>
      <c r="S1764" t="n">
        <v>3</v>
      </c>
      <c r="T1764">
        <f>ROUND(P1764+Q1764+R1764+S1764,0)</f>
        <v/>
      </c>
      <c r="U1764" s="5" t="inlineStr"/>
      <c r="V1764" s="5" t="inlineStr"/>
    </row>
    <row r="1765">
      <c r="A1765" t="inlineStr">
        <is>
          <t>K1763</t>
        </is>
      </c>
      <c r="B1765" t="inlineStr">
        <is>
          <t>création site web chicago</t>
        </is>
      </c>
      <c r="C1765" t="inlineStr">
        <is>
          <t>United States</t>
        </is>
      </c>
      <c r="D1765" t="inlineStr">
        <is>
          <t>us</t>
        </is>
      </c>
      <c r="E1765" t="inlineStr">
        <is>
          <t>fr</t>
        </is>
      </c>
      <c r="F1765" t="inlineStr">
        <is>
          <t>NOT AVAILABLE</t>
        </is>
      </c>
      <c r="G1765" t="inlineStr">
        <is>
          <t>NOT AVAILABLE</t>
        </is>
      </c>
      <c r="H1765" t="inlineStr">
        <is>
          <t>NOT AVAILABLE</t>
        </is>
      </c>
      <c r="I1765" t="inlineStr">
        <is>
          <t>NOT AVAILABLE</t>
        </is>
      </c>
      <c r="J1765" t="inlineStr">
        <is>
          <t>NOT AVAILABLE</t>
        </is>
      </c>
      <c r="K1765" t="inlineStr">
        <is>
          <t>NOT AVAILABLE</t>
        </is>
      </c>
      <c r="L1765" t="inlineStr">
        <is>
          <t>NOT AVAILABLE</t>
        </is>
      </c>
      <c r="M1765" t="inlineStr">
        <is>
          <t>UNAVAILABLE</t>
        </is>
      </c>
      <c r="N1765" s="5" t="inlineStr">
        <is>
          <t>Semrush phrase_these returned no data (not billed)</t>
        </is>
      </c>
      <c r="O1765" t="inlineStr">
        <is>
          <t>2026-10-30</t>
        </is>
      </c>
      <c r="P1765">
        <f>IF(IF(J1765="NOT AVAILABLE","",J1765)="",12,IF(OR(ISNUMBER(SEARCH("Transactional",IF(J1765="NOT AVAILABLE","",J1765))),ISNUMBER(SEARCH("Commercial",IF(J1765="NOT AVAILABLE","",J1765)))),25,IF(ISNUMBER(SEARCH("Informational",IF(J1765="NOT AVAILABLE","",J1765))),10,IF(ISNUMBER(SEARCH("Navigational",IF(J1765="NOT AVAILABLE","",J1765))),0,12))))</f>
        <v/>
      </c>
      <c r="Q1765">
        <f>IF(ISNUMBER(F1765),MIN(30,ROUND(30*LOG10(F1765+1)/4,1)),0)</f>
        <v/>
      </c>
      <c r="R1765">
        <f>IF(ISNUMBER(G1765),ROUND(25*(100-G1765)/100,1),12.5)</f>
        <v/>
      </c>
      <c r="S1765" t="n">
        <v>3</v>
      </c>
      <c r="T1765">
        <f>ROUND(P1765+Q1765+R1765+S1765,0)</f>
        <v/>
      </c>
      <c r="U1765" s="5" t="inlineStr"/>
      <c r="V1765" s="5" t="inlineStr"/>
    </row>
    <row r="1766">
      <c r="A1766" t="inlineStr">
        <is>
          <t>K1764</t>
        </is>
      </c>
      <c r="B1766" t="inlineStr">
        <is>
          <t>création site web denver</t>
        </is>
      </c>
      <c r="C1766" t="inlineStr">
        <is>
          <t>United States</t>
        </is>
      </c>
      <c r="D1766" t="inlineStr">
        <is>
          <t>us</t>
        </is>
      </c>
      <c r="E1766" t="inlineStr">
        <is>
          <t>fr</t>
        </is>
      </c>
      <c r="F1766" t="inlineStr">
        <is>
          <t>NOT AVAILABLE</t>
        </is>
      </c>
      <c r="G1766" t="inlineStr">
        <is>
          <t>NOT AVAILABLE</t>
        </is>
      </c>
      <c r="H1766" t="inlineStr">
        <is>
          <t>NOT AVAILABLE</t>
        </is>
      </c>
      <c r="I1766" t="inlineStr">
        <is>
          <t>NOT AVAILABLE</t>
        </is>
      </c>
      <c r="J1766" t="inlineStr">
        <is>
          <t>NOT AVAILABLE</t>
        </is>
      </c>
      <c r="K1766" t="inlineStr">
        <is>
          <t>NOT AVAILABLE</t>
        </is>
      </c>
      <c r="L1766" t="inlineStr">
        <is>
          <t>NOT AVAILABLE</t>
        </is>
      </c>
      <c r="M1766" t="inlineStr">
        <is>
          <t>UNAVAILABLE</t>
        </is>
      </c>
      <c r="N1766" s="5" t="inlineStr">
        <is>
          <t>Semrush phrase_these returned no data (not billed)</t>
        </is>
      </c>
      <c r="O1766" t="inlineStr">
        <is>
          <t>2026-10-30</t>
        </is>
      </c>
      <c r="P1766">
        <f>IF(IF(J1766="NOT AVAILABLE","",J1766)="",12,IF(OR(ISNUMBER(SEARCH("Transactional",IF(J1766="NOT AVAILABLE","",J1766))),ISNUMBER(SEARCH("Commercial",IF(J1766="NOT AVAILABLE","",J1766)))),25,IF(ISNUMBER(SEARCH("Informational",IF(J1766="NOT AVAILABLE","",J1766))),10,IF(ISNUMBER(SEARCH("Navigational",IF(J1766="NOT AVAILABLE","",J1766))),0,12))))</f>
        <v/>
      </c>
      <c r="Q1766">
        <f>IF(ISNUMBER(F1766),MIN(30,ROUND(30*LOG10(F1766+1)/4,1)),0)</f>
        <v/>
      </c>
      <c r="R1766">
        <f>IF(ISNUMBER(G1766),ROUND(25*(100-G1766)/100,1),12.5)</f>
        <v/>
      </c>
      <c r="S1766" t="n">
        <v>3</v>
      </c>
      <c r="T1766">
        <f>ROUND(P1766+Q1766+R1766+S1766,0)</f>
        <v/>
      </c>
      <c r="U1766" s="5" t="inlineStr"/>
      <c r="V1766" s="5" t="inlineStr"/>
    </row>
    <row r="1767">
      <c r="A1767" t="inlineStr">
        <is>
          <t>K1765</t>
        </is>
      </c>
      <c r="B1767" t="inlineStr">
        <is>
          <t>création site web los angeles</t>
        </is>
      </c>
      <c r="C1767" t="inlineStr">
        <is>
          <t>United States</t>
        </is>
      </c>
      <c r="D1767" t="inlineStr">
        <is>
          <t>us</t>
        </is>
      </c>
      <c r="E1767" t="inlineStr">
        <is>
          <t>fr</t>
        </is>
      </c>
      <c r="F1767" t="inlineStr">
        <is>
          <t>NOT AVAILABLE</t>
        </is>
      </c>
      <c r="G1767" t="inlineStr">
        <is>
          <t>NOT AVAILABLE</t>
        </is>
      </c>
      <c r="H1767" t="inlineStr">
        <is>
          <t>NOT AVAILABLE</t>
        </is>
      </c>
      <c r="I1767" t="inlineStr">
        <is>
          <t>NOT AVAILABLE</t>
        </is>
      </c>
      <c r="J1767" t="inlineStr">
        <is>
          <t>NOT AVAILABLE</t>
        </is>
      </c>
      <c r="K1767" t="inlineStr">
        <is>
          <t>NOT AVAILABLE</t>
        </is>
      </c>
      <c r="L1767" t="inlineStr">
        <is>
          <t>NOT AVAILABLE</t>
        </is>
      </c>
      <c r="M1767" t="inlineStr">
        <is>
          <t>UNAVAILABLE</t>
        </is>
      </c>
      <c r="N1767" s="5" t="inlineStr">
        <is>
          <t>Semrush phrase_these returned no data (not billed)</t>
        </is>
      </c>
      <c r="O1767" t="inlineStr">
        <is>
          <t>2026-10-30</t>
        </is>
      </c>
      <c r="P1767">
        <f>IF(IF(J1767="NOT AVAILABLE","",J1767)="",12,IF(OR(ISNUMBER(SEARCH("Transactional",IF(J1767="NOT AVAILABLE","",J1767))),ISNUMBER(SEARCH("Commercial",IF(J1767="NOT AVAILABLE","",J1767)))),25,IF(ISNUMBER(SEARCH("Informational",IF(J1767="NOT AVAILABLE","",J1767))),10,IF(ISNUMBER(SEARCH("Navigational",IF(J1767="NOT AVAILABLE","",J1767))),0,12))))</f>
        <v/>
      </c>
      <c r="Q1767">
        <f>IF(ISNUMBER(F1767),MIN(30,ROUND(30*LOG10(F1767+1)/4,1)),0)</f>
        <v/>
      </c>
      <c r="R1767">
        <f>IF(ISNUMBER(G1767),ROUND(25*(100-G1767)/100,1),12.5)</f>
        <v/>
      </c>
      <c r="S1767" t="n">
        <v>3</v>
      </c>
      <c r="T1767">
        <f>ROUND(P1767+Q1767+R1767+S1767,0)</f>
        <v/>
      </c>
      <c r="U1767" s="5" t="inlineStr"/>
      <c r="V1767" s="5" t="inlineStr"/>
    </row>
    <row r="1768">
      <c r="A1768" t="inlineStr">
        <is>
          <t>K1766</t>
        </is>
      </c>
      <c r="B1768" t="inlineStr">
        <is>
          <t>création site web seattle</t>
        </is>
      </c>
      <c r="C1768" t="inlineStr">
        <is>
          <t>United States</t>
        </is>
      </c>
      <c r="D1768" t="inlineStr">
        <is>
          <t>us</t>
        </is>
      </c>
      <c r="E1768" t="inlineStr">
        <is>
          <t>fr</t>
        </is>
      </c>
      <c r="F1768" t="inlineStr">
        <is>
          <t>NOT AVAILABLE</t>
        </is>
      </c>
      <c r="G1768" t="inlineStr">
        <is>
          <t>NOT AVAILABLE</t>
        </is>
      </c>
      <c r="H1768" t="inlineStr">
        <is>
          <t>NOT AVAILABLE</t>
        </is>
      </c>
      <c r="I1768" t="inlineStr">
        <is>
          <t>NOT AVAILABLE</t>
        </is>
      </c>
      <c r="J1768" t="inlineStr">
        <is>
          <t>NOT AVAILABLE</t>
        </is>
      </c>
      <c r="K1768" t="inlineStr">
        <is>
          <t>NOT AVAILABLE</t>
        </is>
      </c>
      <c r="L1768" t="inlineStr">
        <is>
          <t>NOT AVAILABLE</t>
        </is>
      </c>
      <c r="M1768" t="inlineStr">
        <is>
          <t>UNAVAILABLE</t>
        </is>
      </c>
      <c r="N1768" s="5" t="inlineStr">
        <is>
          <t>Semrush phrase_these returned no data (not billed)</t>
        </is>
      </c>
      <c r="O1768" t="inlineStr">
        <is>
          <t>2026-10-30</t>
        </is>
      </c>
      <c r="P1768">
        <f>IF(IF(J1768="NOT AVAILABLE","",J1768)="",12,IF(OR(ISNUMBER(SEARCH("Transactional",IF(J1768="NOT AVAILABLE","",J1768))),ISNUMBER(SEARCH("Commercial",IF(J1768="NOT AVAILABLE","",J1768)))),25,IF(ISNUMBER(SEARCH("Informational",IF(J1768="NOT AVAILABLE","",J1768))),10,IF(ISNUMBER(SEARCH("Navigational",IF(J1768="NOT AVAILABLE","",J1768))),0,12))))</f>
        <v/>
      </c>
      <c r="Q1768">
        <f>IF(ISNUMBER(F1768),MIN(30,ROUND(30*LOG10(F1768+1)/4,1)),0)</f>
        <v/>
      </c>
      <c r="R1768">
        <f>IF(ISNUMBER(G1768),ROUND(25*(100-G1768)/100,1),12.5)</f>
        <v/>
      </c>
      <c r="S1768" t="n">
        <v>3</v>
      </c>
      <c r="T1768">
        <f>ROUND(P1768+Q1768+R1768+S1768,0)</f>
        <v/>
      </c>
      <c r="U1768" s="5" t="inlineStr"/>
      <c r="V1768" s="5" t="inlineStr"/>
    </row>
    <row r="1769">
      <c r="A1769" t="inlineStr">
        <is>
          <t>K1767</t>
        </is>
      </c>
      <c r="B1769" t="inlineStr">
        <is>
          <t>développement web austin</t>
        </is>
      </c>
      <c r="C1769" t="inlineStr">
        <is>
          <t>United States</t>
        </is>
      </c>
      <c r="D1769" t="inlineStr">
        <is>
          <t>us</t>
        </is>
      </c>
      <c r="E1769" t="inlineStr">
        <is>
          <t>fr</t>
        </is>
      </c>
      <c r="F1769" t="inlineStr">
        <is>
          <t>NOT AVAILABLE</t>
        </is>
      </c>
      <c r="G1769" t="inlineStr">
        <is>
          <t>NOT AVAILABLE</t>
        </is>
      </c>
      <c r="H1769" t="inlineStr">
        <is>
          <t>NOT AVAILABLE</t>
        </is>
      </c>
      <c r="I1769" t="inlineStr">
        <is>
          <t>NOT AVAILABLE</t>
        </is>
      </c>
      <c r="J1769" t="inlineStr">
        <is>
          <t>NOT AVAILABLE</t>
        </is>
      </c>
      <c r="K1769" t="inlineStr">
        <is>
          <t>NOT AVAILABLE</t>
        </is>
      </c>
      <c r="L1769" t="inlineStr">
        <is>
          <t>NOT AVAILABLE</t>
        </is>
      </c>
      <c r="M1769" t="inlineStr">
        <is>
          <t>UNAVAILABLE</t>
        </is>
      </c>
      <c r="N1769" s="5" t="inlineStr">
        <is>
          <t>Semrush phrase_these returned no data (not billed)</t>
        </is>
      </c>
      <c r="O1769" t="inlineStr">
        <is>
          <t>2026-10-30</t>
        </is>
      </c>
      <c r="P1769">
        <f>IF(IF(J1769="NOT AVAILABLE","",J1769)="",12,IF(OR(ISNUMBER(SEARCH("Transactional",IF(J1769="NOT AVAILABLE","",J1769))),ISNUMBER(SEARCH("Commercial",IF(J1769="NOT AVAILABLE","",J1769)))),25,IF(ISNUMBER(SEARCH("Informational",IF(J1769="NOT AVAILABLE","",J1769))),10,IF(ISNUMBER(SEARCH("Navigational",IF(J1769="NOT AVAILABLE","",J1769))),0,12))))</f>
        <v/>
      </c>
      <c r="Q1769">
        <f>IF(ISNUMBER(F1769),MIN(30,ROUND(30*LOG10(F1769+1)/4,1)),0)</f>
        <v/>
      </c>
      <c r="R1769">
        <f>IF(ISNUMBER(G1769),ROUND(25*(100-G1769)/100,1),12.5)</f>
        <v/>
      </c>
      <c r="S1769" t="n">
        <v>3</v>
      </c>
      <c r="T1769">
        <f>ROUND(P1769+Q1769+R1769+S1769,0)</f>
        <v/>
      </c>
      <c r="U1769" s="5" t="inlineStr"/>
      <c r="V1769" s="5" t="inlineStr">
        <is>
          <t>PRIMARY /web-development-company/austin</t>
        </is>
      </c>
    </row>
    <row r="1770">
      <c r="A1770" t="inlineStr">
        <is>
          <t>K1768</t>
        </is>
      </c>
      <c r="B1770" t="inlineStr">
        <is>
          <t>développement web boston</t>
        </is>
      </c>
      <c r="C1770" t="inlineStr">
        <is>
          <t>United States</t>
        </is>
      </c>
      <c r="D1770" t="inlineStr">
        <is>
          <t>us</t>
        </is>
      </c>
      <c r="E1770" t="inlineStr">
        <is>
          <t>fr</t>
        </is>
      </c>
      <c r="F1770" t="inlineStr">
        <is>
          <t>NOT AVAILABLE</t>
        </is>
      </c>
      <c r="G1770" t="inlineStr">
        <is>
          <t>NOT AVAILABLE</t>
        </is>
      </c>
      <c r="H1770" t="inlineStr">
        <is>
          <t>NOT AVAILABLE</t>
        </is>
      </c>
      <c r="I1770" t="inlineStr">
        <is>
          <t>NOT AVAILABLE</t>
        </is>
      </c>
      <c r="J1770" t="inlineStr">
        <is>
          <t>NOT AVAILABLE</t>
        </is>
      </c>
      <c r="K1770" t="inlineStr">
        <is>
          <t>NOT AVAILABLE</t>
        </is>
      </c>
      <c r="L1770" t="inlineStr">
        <is>
          <t>NOT AVAILABLE</t>
        </is>
      </c>
      <c r="M1770" t="inlineStr">
        <is>
          <t>UNAVAILABLE</t>
        </is>
      </c>
      <c r="N1770" s="5" t="inlineStr">
        <is>
          <t>Semrush phrase_these returned no data (not billed)</t>
        </is>
      </c>
      <c r="O1770" t="inlineStr">
        <is>
          <t>2026-10-30</t>
        </is>
      </c>
      <c r="P1770">
        <f>IF(IF(J1770="NOT AVAILABLE","",J1770)="",12,IF(OR(ISNUMBER(SEARCH("Transactional",IF(J1770="NOT AVAILABLE","",J1770))),ISNUMBER(SEARCH("Commercial",IF(J1770="NOT AVAILABLE","",J1770)))),25,IF(ISNUMBER(SEARCH("Informational",IF(J1770="NOT AVAILABLE","",J1770))),10,IF(ISNUMBER(SEARCH("Navigational",IF(J1770="NOT AVAILABLE","",J1770))),0,12))))</f>
        <v/>
      </c>
      <c r="Q1770">
        <f>IF(ISNUMBER(F1770),MIN(30,ROUND(30*LOG10(F1770+1)/4,1)),0)</f>
        <v/>
      </c>
      <c r="R1770">
        <f>IF(ISNUMBER(G1770),ROUND(25*(100-G1770)/100,1),12.5)</f>
        <v/>
      </c>
      <c r="S1770" t="n">
        <v>3</v>
      </c>
      <c r="T1770">
        <f>ROUND(P1770+Q1770+R1770+S1770,0)</f>
        <v/>
      </c>
      <c r="U1770" s="5" t="inlineStr"/>
      <c r="V1770" s="5" t="inlineStr">
        <is>
          <t>PRIMARY /web-development-company/boston</t>
        </is>
      </c>
    </row>
    <row r="1771">
      <c r="A1771" t="inlineStr">
        <is>
          <t>K1769</t>
        </is>
      </c>
      <c r="B1771" t="inlineStr">
        <is>
          <t>développement web chicago</t>
        </is>
      </c>
      <c r="C1771" t="inlineStr">
        <is>
          <t>United States</t>
        </is>
      </c>
      <c r="D1771" t="inlineStr">
        <is>
          <t>us</t>
        </is>
      </c>
      <c r="E1771" t="inlineStr">
        <is>
          <t>fr</t>
        </is>
      </c>
      <c r="F1771" t="inlineStr">
        <is>
          <t>NOT AVAILABLE</t>
        </is>
      </c>
      <c r="G1771" t="inlineStr">
        <is>
          <t>NOT AVAILABLE</t>
        </is>
      </c>
      <c r="H1771" t="inlineStr">
        <is>
          <t>NOT AVAILABLE</t>
        </is>
      </c>
      <c r="I1771" t="inlineStr">
        <is>
          <t>NOT AVAILABLE</t>
        </is>
      </c>
      <c r="J1771" t="inlineStr">
        <is>
          <t>NOT AVAILABLE</t>
        </is>
      </c>
      <c r="K1771" t="inlineStr">
        <is>
          <t>NOT AVAILABLE</t>
        </is>
      </c>
      <c r="L1771" t="inlineStr">
        <is>
          <t>NOT AVAILABLE</t>
        </is>
      </c>
      <c r="M1771" t="inlineStr">
        <is>
          <t>UNAVAILABLE</t>
        </is>
      </c>
      <c r="N1771" s="5" t="inlineStr">
        <is>
          <t>Semrush phrase_these returned no data (not billed)</t>
        </is>
      </c>
      <c r="O1771" t="inlineStr">
        <is>
          <t>2026-10-30</t>
        </is>
      </c>
      <c r="P1771">
        <f>IF(IF(J1771="NOT AVAILABLE","",J1771)="",12,IF(OR(ISNUMBER(SEARCH("Transactional",IF(J1771="NOT AVAILABLE","",J1771))),ISNUMBER(SEARCH("Commercial",IF(J1771="NOT AVAILABLE","",J1771)))),25,IF(ISNUMBER(SEARCH("Informational",IF(J1771="NOT AVAILABLE","",J1771))),10,IF(ISNUMBER(SEARCH("Navigational",IF(J1771="NOT AVAILABLE","",J1771))),0,12))))</f>
        <v/>
      </c>
      <c r="Q1771">
        <f>IF(ISNUMBER(F1771),MIN(30,ROUND(30*LOG10(F1771+1)/4,1)),0)</f>
        <v/>
      </c>
      <c r="R1771">
        <f>IF(ISNUMBER(G1771),ROUND(25*(100-G1771)/100,1),12.5)</f>
        <v/>
      </c>
      <c r="S1771" t="n">
        <v>3</v>
      </c>
      <c r="T1771">
        <f>ROUND(P1771+Q1771+R1771+S1771,0)</f>
        <v/>
      </c>
      <c r="U1771" s="5" t="inlineStr"/>
      <c r="V1771" s="5" t="inlineStr">
        <is>
          <t>PRIMARY /web-development-company/chicago</t>
        </is>
      </c>
    </row>
    <row r="1772">
      <c r="A1772" t="inlineStr">
        <is>
          <t>K1770</t>
        </is>
      </c>
      <c r="B1772" t="inlineStr">
        <is>
          <t>développement web denver</t>
        </is>
      </c>
      <c r="C1772" t="inlineStr">
        <is>
          <t>United States</t>
        </is>
      </c>
      <c r="D1772" t="inlineStr">
        <is>
          <t>us</t>
        </is>
      </c>
      <c r="E1772" t="inlineStr">
        <is>
          <t>fr</t>
        </is>
      </c>
      <c r="F1772" t="inlineStr">
        <is>
          <t>NOT AVAILABLE</t>
        </is>
      </c>
      <c r="G1772" t="inlineStr">
        <is>
          <t>NOT AVAILABLE</t>
        </is>
      </c>
      <c r="H1772" t="inlineStr">
        <is>
          <t>NOT AVAILABLE</t>
        </is>
      </c>
      <c r="I1772" t="inlineStr">
        <is>
          <t>NOT AVAILABLE</t>
        </is>
      </c>
      <c r="J1772" t="inlineStr">
        <is>
          <t>NOT AVAILABLE</t>
        </is>
      </c>
      <c r="K1772" t="inlineStr">
        <is>
          <t>NOT AVAILABLE</t>
        </is>
      </c>
      <c r="L1772" t="inlineStr">
        <is>
          <t>NOT AVAILABLE</t>
        </is>
      </c>
      <c r="M1772" t="inlineStr">
        <is>
          <t>UNAVAILABLE</t>
        </is>
      </c>
      <c r="N1772" s="5" t="inlineStr">
        <is>
          <t>Semrush phrase_these returned no data (not billed)</t>
        </is>
      </c>
      <c r="O1772" t="inlineStr">
        <is>
          <t>2026-10-30</t>
        </is>
      </c>
      <c r="P1772">
        <f>IF(IF(J1772="NOT AVAILABLE","",J1772)="",12,IF(OR(ISNUMBER(SEARCH("Transactional",IF(J1772="NOT AVAILABLE","",J1772))),ISNUMBER(SEARCH("Commercial",IF(J1772="NOT AVAILABLE","",J1772)))),25,IF(ISNUMBER(SEARCH("Informational",IF(J1772="NOT AVAILABLE","",J1772))),10,IF(ISNUMBER(SEARCH("Navigational",IF(J1772="NOT AVAILABLE","",J1772))),0,12))))</f>
        <v/>
      </c>
      <c r="Q1772">
        <f>IF(ISNUMBER(F1772),MIN(30,ROUND(30*LOG10(F1772+1)/4,1)),0)</f>
        <v/>
      </c>
      <c r="R1772">
        <f>IF(ISNUMBER(G1772),ROUND(25*(100-G1772)/100,1),12.5)</f>
        <v/>
      </c>
      <c r="S1772" t="n">
        <v>3</v>
      </c>
      <c r="T1772">
        <f>ROUND(P1772+Q1772+R1772+S1772,0)</f>
        <v/>
      </c>
      <c r="U1772" s="5" t="inlineStr"/>
      <c r="V1772" s="5" t="inlineStr">
        <is>
          <t>PRIMARY /web-development-company/denver</t>
        </is>
      </c>
    </row>
    <row r="1773">
      <c r="A1773" t="inlineStr">
        <is>
          <t>K1771</t>
        </is>
      </c>
      <c r="B1773" t="inlineStr">
        <is>
          <t>développement web los angeles</t>
        </is>
      </c>
      <c r="C1773" t="inlineStr">
        <is>
          <t>United States</t>
        </is>
      </c>
      <c r="D1773" t="inlineStr">
        <is>
          <t>us</t>
        </is>
      </c>
      <c r="E1773" t="inlineStr">
        <is>
          <t>fr</t>
        </is>
      </c>
      <c r="F1773" t="inlineStr">
        <is>
          <t>NOT AVAILABLE</t>
        </is>
      </c>
      <c r="G1773" t="inlineStr">
        <is>
          <t>NOT AVAILABLE</t>
        </is>
      </c>
      <c r="H1773" t="inlineStr">
        <is>
          <t>NOT AVAILABLE</t>
        </is>
      </c>
      <c r="I1773" t="inlineStr">
        <is>
          <t>NOT AVAILABLE</t>
        </is>
      </c>
      <c r="J1773" t="inlineStr">
        <is>
          <t>NOT AVAILABLE</t>
        </is>
      </c>
      <c r="K1773" t="inlineStr">
        <is>
          <t>NOT AVAILABLE</t>
        </is>
      </c>
      <c r="L1773" t="inlineStr">
        <is>
          <t>NOT AVAILABLE</t>
        </is>
      </c>
      <c r="M1773" t="inlineStr">
        <is>
          <t>UNAVAILABLE</t>
        </is>
      </c>
      <c r="N1773" s="5" t="inlineStr">
        <is>
          <t>Semrush phrase_these returned no data (not billed)</t>
        </is>
      </c>
      <c r="O1773" t="inlineStr">
        <is>
          <t>2026-10-30</t>
        </is>
      </c>
      <c r="P1773">
        <f>IF(IF(J1773="NOT AVAILABLE","",J1773)="",12,IF(OR(ISNUMBER(SEARCH("Transactional",IF(J1773="NOT AVAILABLE","",J1773))),ISNUMBER(SEARCH("Commercial",IF(J1773="NOT AVAILABLE","",J1773)))),25,IF(ISNUMBER(SEARCH("Informational",IF(J1773="NOT AVAILABLE","",J1773))),10,IF(ISNUMBER(SEARCH("Navigational",IF(J1773="NOT AVAILABLE","",J1773))),0,12))))</f>
        <v/>
      </c>
      <c r="Q1773">
        <f>IF(ISNUMBER(F1773),MIN(30,ROUND(30*LOG10(F1773+1)/4,1)),0)</f>
        <v/>
      </c>
      <c r="R1773">
        <f>IF(ISNUMBER(G1773),ROUND(25*(100-G1773)/100,1),12.5)</f>
        <v/>
      </c>
      <c r="S1773" t="n">
        <v>3</v>
      </c>
      <c r="T1773">
        <f>ROUND(P1773+Q1773+R1773+S1773,0)</f>
        <v/>
      </c>
      <c r="U1773" s="5" t="inlineStr"/>
      <c r="V1773" s="5" t="inlineStr">
        <is>
          <t>PRIMARY /web-development-company/los-angeles</t>
        </is>
      </c>
    </row>
    <row r="1774">
      <c r="A1774" t="inlineStr">
        <is>
          <t>K1772</t>
        </is>
      </c>
      <c r="B1774" t="inlineStr">
        <is>
          <t>développement web new york</t>
        </is>
      </c>
      <c r="C1774" t="inlineStr">
        <is>
          <t>United States</t>
        </is>
      </c>
      <c r="D1774" t="inlineStr">
        <is>
          <t>us</t>
        </is>
      </c>
      <c r="E1774" t="inlineStr">
        <is>
          <t>fr</t>
        </is>
      </c>
      <c r="F1774" t="inlineStr">
        <is>
          <t>NOT AVAILABLE</t>
        </is>
      </c>
      <c r="G1774" t="inlineStr">
        <is>
          <t>NOT AVAILABLE</t>
        </is>
      </c>
      <c r="H1774" t="inlineStr">
        <is>
          <t>NOT AVAILABLE</t>
        </is>
      </c>
      <c r="I1774" t="inlineStr">
        <is>
          <t>NOT AVAILABLE</t>
        </is>
      </c>
      <c r="J1774" t="inlineStr">
        <is>
          <t>NOT AVAILABLE</t>
        </is>
      </c>
      <c r="K1774" t="inlineStr">
        <is>
          <t>NOT AVAILABLE</t>
        </is>
      </c>
      <c r="L1774" t="inlineStr">
        <is>
          <t>NOT AVAILABLE</t>
        </is>
      </c>
      <c r="M1774" t="inlineStr">
        <is>
          <t>UNAVAILABLE</t>
        </is>
      </c>
      <c r="N1774" s="5" t="inlineStr">
        <is>
          <t>Semrush phrase_these returned no data (not billed)</t>
        </is>
      </c>
      <c r="O1774" t="inlineStr">
        <is>
          <t>2026-10-30</t>
        </is>
      </c>
      <c r="P1774">
        <f>IF(IF(J1774="NOT AVAILABLE","",J1774)="",12,IF(OR(ISNUMBER(SEARCH("Transactional",IF(J1774="NOT AVAILABLE","",J1774))),ISNUMBER(SEARCH("Commercial",IF(J1774="NOT AVAILABLE","",J1774)))),25,IF(ISNUMBER(SEARCH("Informational",IF(J1774="NOT AVAILABLE","",J1774))),10,IF(ISNUMBER(SEARCH("Navigational",IF(J1774="NOT AVAILABLE","",J1774))),0,12))))</f>
        <v/>
      </c>
      <c r="Q1774">
        <f>IF(ISNUMBER(F1774),MIN(30,ROUND(30*LOG10(F1774+1)/4,1)),0)</f>
        <v/>
      </c>
      <c r="R1774">
        <f>IF(ISNUMBER(G1774),ROUND(25*(100-G1774)/100,1),12.5)</f>
        <v/>
      </c>
      <c r="S1774" t="n">
        <v>3</v>
      </c>
      <c r="T1774">
        <f>ROUND(P1774+Q1774+R1774+S1774,0)</f>
        <v/>
      </c>
      <c r="U1774" s="5" t="inlineStr"/>
      <c r="V1774" s="5" t="inlineStr">
        <is>
          <t>PRIMARY /web-development-company/new-york</t>
        </is>
      </c>
    </row>
    <row r="1775">
      <c r="A1775" t="inlineStr">
        <is>
          <t>K1773</t>
        </is>
      </c>
      <c r="B1775" t="inlineStr">
        <is>
          <t>développement web san francisco</t>
        </is>
      </c>
      <c r="C1775" t="inlineStr">
        <is>
          <t>United States</t>
        </is>
      </c>
      <c r="D1775" t="inlineStr">
        <is>
          <t>us</t>
        </is>
      </c>
      <c r="E1775" t="inlineStr">
        <is>
          <t>fr</t>
        </is>
      </c>
      <c r="F1775" t="inlineStr">
        <is>
          <t>NOT AVAILABLE</t>
        </is>
      </c>
      <c r="G1775" t="inlineStr">
        <is>
          <t>NOT AVAILABLE</t>
        </is>
      </c>
      <c r="H1775" t="inlineStr">
        <is>
          <t>NOT AVAILABLE</t>
        </is>
      </c>
      <c r="I1775" t="inlineStr">
        <is>
          <t>NOT AVAILABLE</t>
        </is>
      </c>
      <c r="J1775" t="inlineStr">
        <is>
          <t>NOT AVAILABLE</t>
        </is>
      </c>
      <c r="K1775" t="inlineStr">
        <is>
          <t>NOT AVAILABLE</t>
        </is>
      </c>
      <c r="L1775" t="inlineStr">
        <is>
          <t>NOT AVAILABLE</t>
        </is>
      </c>
      <c r="M1775" t="inlineStr">
        <is>
          <t>UNAVAILABLE</t>
        </is>
      </c>
      <c r="N1775" s="5" t="inlineStr">
        <is>
          <t>Semrush phrase_these returned no data (not billed)</t>
        </is>
      </c>
      <c r="O1775" t="inlineStr">
        <is>
          <t>2026-10-30</t>
        </is>
      </c>
      <c r="P1775">
        <f>IF(IF(J1775="NOT AVAILABLE","",J1775)="",12,IF(OR(ISNUMBER(SEARCH("Transactional",IF(J1775="NOT AVAILABLE","",J1775))),ISNUMBER(SEARCH("Commercial",IF(J1775="NOT AVAILABLE","",J1775)))),25,IF(ISNUMBER(SEARCH("Informational",IF(J1775="NOT AVAILABLE","",J1775))),10,IF(ISNUMBER(SEARCH("Navigational",IF(J1775="NOT AVAILABLE","",J1775))),0,12))))</f>
        <v/>
      </c>
      <c r="Q1775">
        <f>IF(ISNUMBER(F1775),MIN(30,ROUND(30*LOG10(F1775+1)/4,1)),0)</f>
        <v/>
      </c>
      <c r="R1775">
        <f>IF(ISNUMBER(G1775),ROUND(25*(100-G1775)/100,1),12.5)</f>
        <v/>
      </c>
      <c r="S1775" t="n">
        <v>3</v>
      </c>
      <c r="T1775">
        <f>ROUND(P1775+Q1775+R1775+S1775,0)</f>
        <v/>
      </c>
      <c r="U1775" s="5" t="inlineStr"/>
      <c r="V1775" s="5" t="inlineStr">
        <is>
          <t>PRIMARY /web-development-company/san-francisco</t>
        </is>
      </c>
    </row>
    <row r="1776">
      <c r="A1776" t="inlineStr">
        <is>
          <t>K1774</t>
        </is>
      </c>
      <c r="B1776" t="inlineStr">
        <is>
          <t>développement web seattle</t>
        </is>
      </c>
      <c r="C1776" t="inlineStr">
        <is>
          <t>United States</t>
        </is>
      </c>
      <c r="D1776" t="inlineStr">
        <is>
          <t>us</t>
        </is>
      </c>
      <c r="E1776" t="inlineStr">
        <is>
          <t>fr</t>
        </is>
      </c>
      <c r="F1776" t="inlineStr">
        <is>
          <t>NOT AVAILABLE</t>
        </is>
      </c>
      <c r="G1776" t="inlineStr">
        <is>
          <t>NOT AVAILABLE</t>
        </is>
      </c>
      <c r="H1776" t="inlineStr">
        <is>
          <t>NOT AVAILABLE</t>
        </is>
      </c>
      <c r="I1776" t="inlineStr">
        <is>
          <t>NOT AVAILABLE</t>
        </is>
      </c>
      <c r="J1776" t="inlineStr">
        <is>
          <t>NOT AVAILABLE</t>
        </is>
      </c>
      <c r="K1776" t="inlineStr">
        <is>
          <t>NOT AVAILABLE</t>
        </is>
      </c>
      <c r="L1776" t="inlineStr">
        <is>
          <t>NOT AVAILABLE</t>
        </is>
      </c>
      <c r="M1776" t="inlineStr">
        <is>
          <t>UNAVAILABLE</t>
        </is>
      </c>
      <c r="N1776" s="5" t="inlineStr">
        <is>
          <t>Semrush phrase_these returned no data (not billed)</t>
        </is>
      </c>
      <c r="O1776" t="inlineStr">
        <is>
          <t>2026-10-30</t>
        </is>
      </c>
      <c r="P1776">
        <f>IF(IF(J1776="NOT AVAILABLE","",J1776)="",12,IF(OR(ISNUMBER(SEARCH("Transactional",IF(J1776="NOT AVAILABLE","",J1776))),ISNUMBER(SEARCH("Commercial",IF(J1776="NOT AVAILABLE","",J1776)))),25,IF(ISNUMBER(SEARCH("Informational",IF(J1776="NOT AVAILABLE","",J1776))),10,IF(ISNUMBER(SEARCH("Navigational",IF(J1776="NOT AVAILABLE","",J1776))),0,12))))</f>
        <v/>
      </c>
      <c r="Q1776">
        <f>IF(ISNUMBER(F1776),MIN(30,ROUND(30*LOG10(F1776+1)/4,1)),0)</f>
        <v/>
      </c>
      <c r="R1776">
        <f>IF(ISNUMBER(G1776),ROUND(25*(100-G1776)/100,1),12.5)</f>
        <v/>
      </c>
      <c r="S1776" t="n">
        <v>3</v>
      </c>
      <c r="T1776">
        <f>ROUND(P1776+Q1776+R1776+S1776,0)</f>
        <v/>
      </c>
      <c r="U1776" s="5" t="inlineStr"/>
      <c r="V1776" s="5" t="inlineStr">
        <is>
          <t>PRIMARY /web-development-company/seattle</t>
        </is>
      </c>
    </row>
  </sheetData>
  <autoFilter ref="A2:V1776"/>
  <conditionalFormatting sqref="A3:V1776">
    <cfRule type="expression" priority="1" dxfId="2">
      <formula>$M3="MEASURED"</formula>
    </cfRule>
    <cfRule type="expression" priority="2" dxfId="3">
      <formula>$M3="ESTIMATED"</formula>
    </cfRule>
    <cfRule type="expression" priority="3" dxfId="4">
      <formula>$M3="SUGGESTED"</formula>
    </cfRule>
    <cfRule type="expression" priority="4" dxfId="5">
      <formula>$M3="UNAVAILABLE"</formula>
    </cfRule>
  </conditionalFormatting>
  <conditionalFormatting sqref="G3:G1776">
    <cfRule type="colorScale" priority="5">
      <colorScale>
        <cfvo type="num" val="0"/>
        <cfvo type="num" val="50"/>
        <cfvo type="num" val="100"/>
        <color rgb="0063BE7B"/>
        <color rgb="00FFEB84"/>
        <color rgb="00F8696B"/>
      </colorScale>
    </cfRule>
  </conditionalFormatting>
  <conditionalFormatting sqref="T3:T1776">
    <cfRule type="dataBar" priority="6">
      <dataBar>
        <cfvo type="num" val="0"/>
        <cfvo type="num" val="100"/>
        <color rgb="005B9BD5"/>
      </dataBar>
    </cfRule>
  </conditionalFormatting>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27"/>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50" customWidth="1" min="1" max="1"/>
    <col width="36" customWidth="1" min="2" max="2"/>
    <col width="14" customWidth="1" min="3" max="3"/>
    <col width="8" customWidth="1" min="4" max="4"/>
    <col width="15" customWidth="1" min="5" max="5"/>
    <col width="38" customWidth="1" min="6" max="6"/>
    <col width="10" customWidth="1" min="7" max="7"/>
    <col width="7" customWidth="1" min="8" max="8"/>
    <col width="8" customWidth="1" min="9" max="9"/>
    <col width="20" customWidth="1" min="10" max="10"/>
    <col width="12" customWidth="1" min="11" max="11"/>
    <col width="8" customWidth="1" min="12" max="12"/>
    <col width="9" customWidth="1" min="13" max="13"/>
    <col width="10" customWidth="1" min="14" max="14"/>
    <col width="10" customWidth="1" min="15" max="15"/>
    <col width="70" customWidth="1" min="16" max="16"/>
    <col width="44" customWidth="1" min="17" max="17"/>
  </cols>
  <sheetData>
    <row r="1">
      <c r="A1" s="10" t="inlineStr">
        <is>
          <t>← 01 Executive Summary</t>
        </is>
      </c>
      <c r="B1" s="11" t="inlineStr">
        <is>
          <t>Page-by-page keyword mapping - filter column A by URL to see every keyword assigned to a page</t>
        </is>
      </c>
    </row>
    <row r="2" ht="32" customHeight="1">
      <c r="A2" s="12" t="inlineStr">
        <is>
          <t>Page URL</t>
        </is>
      </c>
      <c r="B2" s="12" t="inlineStr">
        <is>
          <t>Page Name</t>
        </is>
      </c>
      <c r="C2" s="12" t="inlineStr">
        <is>
          <t>Target Country</t>
        </is>
      </c>
      <c r="D2" s="12" t="inlineStr">
        <is>
          <t>Database</t>
        </is>
      </c>
      <c r="E2" s="12" t="inlineStr">
        <is>
          <t>Keyword Role</t>
        </is>
      </c>
      <c r="F2" s="12" t="inlineStr">
        <is>
          <t>Keyword</t>
        </is>
      </c>
      <c r="G2" s="12" t="inlineStr">
        <is>
          <t>Search Volume</t>
        </is>
      </c>
      <c r="H2" s="12" t="inlineStr">
        <is>
          <t>KD%</t>
        </is>
      </c>
      <c r="I2" s="12" t="inlineStr">
        <is>
          <t>CPC (USD)</t>
        </is>
      </c>
      <c r="J2" s="12" t="inlineStr">
        <is>
          <t>Intent</t>
        </is>
      </c>
      <c r="K2" s="12" t="inlineStr">
        <is>
          <t>Data Status</t>
        </is>
      </c>
      <c r="L2" s="12" t="inlineStr">
        <is>
          <t>Priority</t>
        </is>
      </c>
      <c r="M2" s="12" t="inlineStr">
        <is>
          <t>Page Relevance 0-100</t>
        </is>
      </c>
      <c r="N2" s="12" t="inlineStr">
        <is>
          <t>Base Opportunity (calc.)</t>
        </is>
      </c>
      <c r="O2" s="12" t="inlineStr">
        <is>
          <t>Page Opportunity Score (calc.)</t>
        </is>
      </c>
      <c r="P2" s="12" t="inlineStr">
        <is>
          <t>Reason for Assignment</t>
        </is>
      </c>
      <c r="Q2" s="12" t="inlineStr">
        <is>
          <t>Cannibalization Risk</t>
        </is>
      </c>
    </row>
    <row r="3">
      <c r="A3" s="3" t="inlineStr">
        <is>
          <t>https://codesommet.com/</t>
        </is>
      </c>
      <c r="B3" s="5" t="inlineStr">
        <is>
          <t>Création Site Web au Maroc : Agence Web &amp; SaaS qui génère DES RÉSULTATS</t>
        </is>
      </c>
      <c r="C3" t="inlineStr">
        <is>
          <t>Morocco</t>
        </is>
      </c>
      <c r="D3" t="inlineStr">
        <is>
          <t>ma</t>
        </is>
      </c>
      <c r="E3" t="inlineStr">
        <is>
          <t>PRIMARY</t>
        </is>
      </c>
      <c r="F3" t="inlineStr">
        <is>
          <t>création site web maroc</t>
        </is>
      </c>
      <c r="G3" t="n">
        <v>1000</v>
      </c>
      <c r="H3" t="n">
        <v>22</v>
      </c>
      <c r="I3" t="n">
        <v>0.77</v>
      </c>
      <c r="J3" t="inlineStr">
        <is>
          <t>Informational</t>
        </is>
      </c>
      <c r="K3" t="inlineStr">
        <is>
          <t>MEASURED</t>
        </is>
      </c>
      <c r="L3" t="inlineStr">
        <is>
          <t>P1</t>
        </is>
      </c>
      <c r="M3" t="n">
        <v>100</v>
      </c>
      <c r="N3">
        <f>ROUND(IF(IF(J3="NOT AVAILABLE","",J3)="",12,IF(OR(ISNUMBER(SEARCH("Transactional",IF(J3="NOT AVAILABLE","",J3))),ISNUMBER(SEARCH("Commercial",IF(J3="NOT AVAILABLE","",J3)))),25,IF(ISNUMBER(SEARCH("Informational",IF(J3="NOT AVAILABLE","",J3))),10,IF(ISNUMBER(SEARCH("Navigational",IF(J3="NOT AVAILABLE","",J3))),0,12))))+IF(ISNUMBER(G3),MIN(30,ROUND(30*LOG10(G3+1)/4,1)),0)+IF(ISNUMBER(H3),ROUND(25*(100-H3)/100,1),12.5)+20,0)</f>
        <v/>
      </c>
      <c r="O3">
        <f>ROUND(N3*M3/100,0)</f>
        <v/>
      </c>
      <c r="P3" s="5" t="inlineStr">
        <is>
          <t>Highest-volume commercial head term in MA (1000, KD 22 = lowest KD among MA heads); already in title + H1; preserve</t>
        </is>
      </c>
      <c r="Q3" s="5" t="inlineStr">
        <is>
          <t>None detected</t>
        </is>
      </c>
    </row>
    <row r="4">
      <c r="A4" s="3" t="inlineStr">
        <is>
          <t>https://codesommet.com/</t>
        </is>
      </c>
      <c r="B4" s="5" t="inlineStr">
        <is>
          <t>Création Site Web au Maroc : Agence Web &amp; SaaS qui génère DES RÉSULTATS</t>
        </is>
      </c>
      <c r="C4" t="inlineStr">
        <is>
          <t>Morocco</t>
        </is>
      </c>
      <c r="D4" t="inlineStr">
        <is>
          <t>ma</t>
        </is>
      </c>
      <c r="E4" t="inlineStr">
        <is>
          <t>SECONDARY</t>
        </is>
      </c>
      <c r="F4" t="inlineStr">
        <is>
          <t>creation site web maroc</t>
        </is>
      </c>
      <c r="G4" t="n">
        <v>1000</v>
      </c>
      <c r="H4" t="n">
        <v>22</v>
      </c>
      <c r="I4" t="n">
        <v>0.77</v>
      </c>
      <c r="J4" t="inlineStr">
        <is>
          <t>Informational</t>
        </is>
      </c>
      <c r="K4" t="inlineStr">
        <is>
          <t>MEASURED</t>
        </is>
      </c>
      <c r="L4" t="inlineStr">
        <is>
          <t>P1</t>
        </is>
      </c>
      <c r="M4" t="n">
        <v>85</v>
      </c>
      <c r="N4">
        <f>ROUND(IF(IF(J4="NOT AVAILABLE","",J4)="",12,IF(OR(ISNUMBER(SEARCH("Transactional",IF(J4="NOT AVAILABLE","",J4))),ISNUMBER(SEARCH("Commercial",IF(J4="NOT AVAILABLE","",J4)))),25,IF(ISNUMBER(SEARCH("Informational",IF(J4="NOT AVAILABLE","",J4))),10,IF(ISNUMBER(SEARCH("Navigational",IF(J4="NOT AVAILABLE","",J4))),0,12))))+IF(ISNUMBER(G4),MIN(30,ROUND(30*LOG10(G4+1)/4,1)),0)+IF(ISNUMBER(H4),ROUND(25*(100-H4)/100,1),12.5)+20,0)</f>
        <v/>
      </c>
      <c r="O4">
        <f>ROUND(N4*M4/100,0)</f>
        <v/>
      </c>
      <c r="P4" s="5" t="inlineStr">
        <is>
          <t>Unaccented variant (same 1000 volume) - covered by the same copy, do not create a page</t>
        </is>
      </c>
      <c r="Q4" s="5" t="inlineStr">
        <is>
          <t>None detected</t>
        </is>
      </c>
    </row>
    <row r="5">
      <c r="A5" s="3" t="inlineStr">
        <is>
          <t>https://codesommet.com/</t>
        </is>
      </c>
      <c r="B5" s="5" t="inlineStr">
        <is>
          <t>Création Site Web au Maroc : Agence Web &amp; SaaS qui génère DES RÉSULTATS</t>
        </is>
      </c>
      <c r="C5" t="inlineStr">
        <is>
          <t>Morocco</t>
        </is>
      </c>
      <c r="D5" t="inlineStr">
        <is>
          <t>ma</t>
        </is>
      </c>
      <c r="E5" t="inlineStr">
        <is>
          <t>SECONDARY</t>
        </is>
      </c>
      <c r="F5" t="inlineStr">
        <is>
          <t>agence web maroc</t>
        </is>
      </c>
      <c r="G5" t="n">
        <v>480</v>
      </c>
      <c r="H5" t="n">
        <v>53</v>
      </c>
      <c r="I5" t="n">
        <v>0.62</v>
      </c>
      <c r="J5" t="inlineStr">
        <is>
          <t>Commercial</t>
        </is>
      </c>
      <c r="K5" t="inlineStr">
        <is>
          <t>MEASURED</t>
        </is>
      </c>
      <c r="L5" t="inlineStr">
        <is>
          <t>P1</t>
        </is>
      </c>
      <c r="M5" t="n">
        <v>85</v>
      </c>
      <c r="N5">
        <f>ROUND(IF(IF(J5="NOT AVAILABLE","",J5)="",12,IF(OR(ISNUMBER(SEARCH("Transactional",IF(J5="NOT AVAILABLE","",J5))),ISNUMBER(SEARCH("Commercial",IF(J5="NOT AVAILABLE","",J5)))),25,IF(ISNUMBER(SEARCH("Informational",IF(J5="NOT AVAILABLE","",J5))),10,IF(ISNUMBER(SEARCH("Navigational",IF(J5="NOT AVAILABLE","",J5))),0,12))))+IF(ISNUMBER(G5),MIN(30,ROUND(30*LOG10(G5+1)/4,1)),0)+IF(ISNUMBER(H5),ROUND(25*(100-H5)/100,1),12.5)+20,0)</f>
        <v/>
      </c>
      <c r="O5">
        <f>ROUND(N5*M5/100,0)</f>
        <v/>
      </c>
      <c r="P5" s="5" t="inlineStr">
        <is>
          <t>Second MA head term (480, KD 53); home is the natural "agency" page</t>
        </is>
      </c>
      <c r="Q5" s="5" t="inlineStr">
        <is>
          <t>None detected</t>
        </is>
      </c>
    </row>
    <row r="6">
      <c r="A6" s="3" t="inlineStr">
        <is>
          <t>https://codesommet.com/</t>
        </is>
      </c>
      <c r="B6" s="5" t="inlineStr">
        <is>
          <t>Création Site Web au Maroc : Agence Web &amp; SaaS qui génère DES RÉSULTATS</t>
        </is>
      </c>
      <c r="C6" t="inlineStr">
        <is>
          <t>Morocco</t>
        </is>
      </c>
      <c r="D6" t="inlineStr">
        <is>
          <t>ma</t>
        </is>
      </c>
      <c r="E6" t="inlineStr">
        <is>
          <t>SECONDARY</t>
        </is>
      </c>
      <c r="F6" t="inlineStr">
        <is>
          <t>agence digitale maroc</t>
        </is>
      </c>
      <c r="G6" t="n">
        <v>320</v>
      </c>
      <c r="H6" t="n">
        <v>57</v>
      </c>
      <c r="I6" t="n">
        <v>0.79</v>
      </c>
      <c r="J6" t="inlineStr">
        <is>
          <t>Commercial</t>
        </is>
      </c>
      <c r="K6" t="inlineStr">
        <is>
          <t>MEASURED</t>
        </is>
      </c>
      <c r="L6" t="inlineStr">
        <is>
          <t>P1</t>
        </is>
      </c>
      <c r="M6" t="n">
        <v>85</v>
      </c>
      <c r="N6">
        <f>ROUND(IF(IF(J6="NOT AVAILABLE","",J6)="",12,IF(OR(ISNUMBER(SEARCH("Transactional",IF(J6="NOT AVAILABLE","",J6))),ISNUMBER(SEARCH("Commercial",IF(J6="NOT AVAILABLE","",J6)))),25,IF(ISNUMBER(SEARCH("Informational",IF(J6="NOT AVAILABLE","",J6))),10,IF(ISNUMBER(SEARCH("Navigational",IF(J6="NOT AVAILABLE","",J6))),0,12))))+IF(ISNUMBER(G6),MIN(30,ROUND(30*LOG10(G6+1)/4,1)),0)+IF(ISNUMBER(H6),ROUND(25*(100-H6)/100,1),12.5)+20,0)</f>
        <v/>
      </c>
      <c r="O6">
        <f>ROUND(N6*M6/100,0)</f>
        <v/>
      </c>
      <c r="P6" s="5" t="inlineStr">
        <is>
          <t>Current secondary (320, KD 57); keep in copy, About must not take it as primary</t>
        </is>
      </c>
      <c r="Q6" s="5" t="inlineStr">
        <is>
          <t>None detected</t>
        </is>
      </c>
    </row>
    <row r="7">
      <c r="A7" s="3" t="inlineStr">
        <is>
          <t>https://codesommet.com/</t>
        </is>
      </c>
      <c r="B7" s="5" t="inlineStr">
        <is>
          <t>Création Site Web au Maroc : Agence Web &amp; SaaS qui génère DES RÉSULTATS</t>
        </is>
      </c>
      <c r="C7" t="inlineStr">
        <is>
          <t>Morocco</t>
        </is>
      </c>
      <c r="D7" t="inlineStr">
        <is>
          <t>ma</t>
        </is>
      </c>
      <c r="E7" t="inlineStr">
        <is>
          <t>FAQ</t>
        </is>
      </c>
      <c r="F7" t="inlineStr">
        <is>
          <t>créer un site web gratuit</t>
        </is>
      </c>
      <c r="G7" t="n">
        <v>320</v>
      </c>
      <c r="H7" t="n">
        <v>54</v>
      </c>
      <c r="I7" t="n">
        <v>0.67</v>
      </c>
      <c r="J7" t="inlineStr">
        <is>
          <t>Informational</t>
        </is>
      </c>
      <c r="K7" t="inlineStr">
        <is>
          <t>MEASURED</t>
        </is>
      </c>
      <c r="L7" t="inlineStr">
        <is>
          <t>P1</t>
        </is>
      </c>
      <c r="M7" t="n">
        <v>70</v>
      </c>
      <c r="N7">
        <f>ROUND(IF(IF(J7="NOT AVAILABLE","",J7)="",12,IF(OR(ISNUMBER(SEARCH("Transactional",IF(J7="NOT AVAILABLE","",J7))),ISNUMBER(SEARCH("Commercial",IF(J7="NOT AVAILABLE","",J7)))),25,IF(ISNUMBER(SEARCH("Informational",IF(J7="NOT AVAILABLE","",J7))),10,IF(ISNUMBER(SEARCH("Navigational",IF(J7="NOT AVAILABLE","",J7))),0,12))))+IF(ISNUMBER(G7),MIN(30,ROUND(30*LOG10(G7+1)/4,1)),0)+IF(ISNUMBER(H7),ROUND(25*(100-H7)/100,1),12.5)+20,0)</f>
        <v/>
      </c>
      <c r="O7">
        <f>ROUND(N7*M7/100,0)</f>
        <v/>
      </c>
      <c r="P7" s="5" t="inlineStr">
        <is>
          <t>DIY searchers (320) - FAQ can qualify them toward a professional site</t>
        </is>
      </c>
      <c r="Q7" s="5" t="inlineStr">
        <is>
          <t>None detected</t>
        </is>
      </c>
    </row>
    <row r="8">
      <c r="A8" s="3" t="inlineStr">
        <is>
          <t>https://codesommet.com/</t>
        </is>
      </c>
      <c r="B8" s="5" t="inlineStr">
        <is>
          <t>Création Site Web au Maroc : Agence Web &amp; SaaS qui génère DES RÉSULTATS</t>
        </is>
      </c>
      <c r="C8" t="inlineStr">
        <is>
          <t>Morocco</t>
        </is>
      </c>
      <c r="D8" t="inlineStr">
        <is>
          <t>ma</t>
        </is>
      </c>
      <c r="E8" t="inlineStr">
        <is>
          <t>FAQ</t>
        </is>
      </c>
      <c r="F8" t="inlineStr">
        <is>
          <t>comment créer un site web</t>
        </is>
      </c>
      <c r="G8" t="n">
        <v>170</v>
      </c>
      <c r="H8" t="inlineStr">
        <is>
          <t>NOT AVAILABLE</t>
        </is>
      </c>
      <c r="I8" t="n">
        <v>0.4</v>
      </c>
      <c r="J8" t="inlineStr">
        <is>
          <t>NOT AVAILABLE</t>
        </is>
      </c>
      <c r="K8" t="inlineStr">
        <is>
          <t>MEASURED</t>
        </is>
      </c>
      <c r="L8" t="inlineStr">
        <is>
          <t>P1</t>
        </is>
      </c>
      <c r="M8" t="n">
        <v>70</v>
      </c>
      <c r="N8">
        <f>ROUND(IF(IF(J8="NOT AVAILABLE","",J8)="",12,IF(OR(ISNUMBER(SEARCH("Transactional",IF(J8="NOT AVAILABLE","",J8))),ISNUMBER(SEARCH("Commercial",IF(J8="NOT AVAILABLE","",J8)))),25,IF(ISNUMBER(SEARCH("Informational",IF(J8="NOT AVAILABLE","",J8))),10,IF(ISNUMBER(SEARCH("Navigational",IF(J8="NOT AVAILABLE","",J8))),0,12))))+IF(ISNUMBER(G8),MIN(30,ROUND(30*LOG10(G8+1)/4,1)),0)+IF(ISNUMBER(H8),ROUND(25*(100-H8)/100,1),12.5)+20,0)</f>
        <v/>
      </c>
      <c r="O8">
        <f>ROUND(N8*M8/100,0)</f>
        <v/>
      </c>
      <c r="P8" s="5" t="inlineStr">
        <is>
          <t>MA question with measurable demand (170) - answer briefly, link to quote</t>
        </is>
      </c>
      <c r="Q8" s="5" t="inlineStr">
        <is>
          <t>None detected</t>
        </is>
      </c>
    </row>
    <row r="9">
      <c r="A9" s="3" t="inlineStr">
        <is>
          <t>https://codesommet.com/</t>
        </is>
      </c>
      <c r="B9" s="5" t="inlineStr">
        <is>
          <t>Création Site Web au Maroc : Agence Web &amp; SaaS qui génère DES RÉSULTATS</t>
        </is>
      </c>
      <c r="C9" t="inlineStr">
        <is>
          <t>Morocco</t>
        </is>
      </c>
      <c r="D9" t="inlineStr">
        <is>
          <t>ma</t>
        </is>
      </c>
      <c r="E9" t="inlineStr">
        <is>
          <t>SUPPORTING</t>
        </is>
      </c>
      <c r="F9" t="inlineStr">
        <is>
          <t>agence web</t>
        </is>
      </c>
      <c r="G9" t="n">
        <v>480</v>
      </c>
      <c r="H9" t="n">
        <v>51</v>
      </c>
      <c r="I9" t="n">
        <v>0.63</v>
      </c>
      <c r="J9" t="inlineStr">
        <is>
          <t>Commercial</t>
        </is>
      </c>
      <c r="K9" t="inlineStr">
        <is>
          <t>MEASURED</t>
        </is>
      </c>
      <c r="L9" t="inlineStr">
        <is>
          <t>P3</t>
        </is>
      </c>
      <c r="M9" t="n">
        <v>65</v>
      </c>
      <c r="N9">
        <f>ROUND(IF(IF(J9="NOT AVAILABLE","",J9)="",12,IF(OR(ISNUMBER(SEARCH("Transactional",IF(J9="NOT AVAILABLE","",J9))),ISNUMBER(SEARCH("Commercial",IF(J9="NOT AVAILABLE","",J9)))),25,IF(ISNUMBER(SEARCH("Informational",IF(J9="NOT AVAILABLE","",J9))),10,IF(ISNUMBER(SEARCH("Navigational",IF(J9="NOT AVAILABLE","",J9))),0,12))))+IF(ISNUMBER(G9),MIN(30,ROUND(30*LOG10(G9+1)/4,1)),0)+IF(ISNUMBER(H9),ROUND(25*(100-H9)/100,1),12.5)+20,0)</f>
        <v/>
      </c>
      <c r="O9">
        <f>ROUND(N9*M9/100,0)</f>
        <v/>
      </c>
      <c r="P9" s="5" t="inlineStr">
        <is>
          <t>Semantic/supporting term for body copy</t>
        </is>
      </c>
      <c r="Q9" s="5" t="inlineStr">
        <is>
          <t>None detected</t>
        </is>
      </c>
    </row>
    <row r="10">
      <c r="A10" s="3" t="inlineStr">
        <is>
          <t>https://codesommet.com/</t>
        </is>
      </c>
      <c r="B10" s="5" t="inlineStr">
        <is>
          <t>Création Site Web au Maroc : Agence Web &amp; SaaS qui génère DES RÉSULTATS</t>
        </is>
      </c>
      <c r="C10" t="inlineStr">
        <is>
          <t>Morocco</t>
        </is>
      </c>
      <c r="D10" t="inlineStr">
        <is>
          <t>ma</t>
        </is>
      </c>
      <c r="E10" t="inlineStr">
        <is>
          <t>SUPPORTING</t>
        </is>
      </c>
      <c r="F10" t="inlineStr">
        <is>
          <t>création site web</t>
        </is>
      </c>
      <c r="G10" t="n">
        <v>390</v>
      </c>
      <c r="H10" t="n">
        <v>69</v>
      </c>
      <c r="I10" t="n">
        <v>0.75</v>
      </c>
      <c r="J10" t="inlineStr">
        <is>
          <t>Informational</t>
        </is>
      </c>
      <c r="K10" t="inlineStr">
        <is>
          <t>MEASURED</t>
        </is>
      </c>
      <c r="L10" t="inlineStr">
        <is>
          <t>P3</t>
        </is>
      </c>
      <c r="M10" t="n">
        <v>65</v>
      </c>
      <c r="N10">
        <f>ROUND(IF(IF(J10="NOT AVAILABLE","",J10)="",12,IF(OR(ISNUMBER(SEARCH("Transactional",IF(J10="NOT AVAILABLE","",J10))),ISNUMBER(SEARCH("Commercial",IF(J10="NOT AVAILABLE","",J10)))),25,IF(ISNUMBER(SEARCH("Informational",IF(J10="NOT AVAILABLE","",J10))),10,IF(ISNUMBER(SEARCH("Navigational",IF(J10="NOT AVAILABLE","",J10))),0,12))))+IF(ISNUMBER(G10),MIN(30,ROUND(30*LOG10(G10+1)/4,1)),0)+IF(ISNUMBER(H10),ROUND(25*(100-H10)/100,1),12.5)+20,0)</f>
        <v/>
      </c>
      <c r="O10">
        <f>ROUND(N10*M10/100,0)</f>
        <v/>
      </c>
      <c r="P10" s="5" t="inlineStr">
        <is>
          <t>Semantic/supporting term for body copy</t>
        </is>
      </c>
      <c r="Q10" s="5" t="inlineStr">
        <is>
          <t>None detected</t>
        </is>
      </c>
    </row>
    <row r="11">
      <c r="A11" s="3" t="inlineStr">
        <is>
          <t>https://codesommet.com/</t>
        </is>
      </c>
      <c r="B11" s="5" t="inlineStr">
        <is>
          <t>Création Site Web au Maroc : Agence Web &amp; SaaS qui génère DES RÉSULTATS</t>
        </is>
      </c>
      <c r="C11" t="inlineStr">
        <is>
          <t>Morocco</t>
        </is>
      </c>
      <c r="D11" t="inlineStr">
        <is>
          <t>ma</t>
        </is>
      </c>
      <c r="E11" t="inlineStr">
        <is>
          <t>SUPPORTING</t>
        </is>
      </c>
      <c r="F11" t="inlineStr">
        <is>
          <t>création de site web</t>
        </is>
      </c>
      <c r="G11" t="n">
        <v>260</v>
      </c>
      <c r="H11" t="inlineStr">
        <is>
          <t>NOT AVAILABLE</t>
        </is>
      </c>
      <c r="I11" t="n">
        <v>1.03</v>
      </c>
      <c r="J11" t="inlineStr">
        <is>
          <t>NOT AVAILABLE</t>
        </is>
      </c>
      <c r="K11" t="inlineStr">
        <is>
          <t>MEASURED</t>
        </is>
      </c>
      <c r="L11" t="inlineStr">
        <is>
          <t>P3</t>
        </is>
      </c>
      <c r="M11" t="n">
        <v>65</v>
      </c>
      <c r="N11">
        <f>ROUND(IF(IF(J11="NOT AVAILABLE","",J11)="",12,IF(OR(ISNUMBER(SEARCH("Transactional",IF(J11="NOT AVAILABLE","",J11))),ISNUMBER(SEARCH("Commercial",IF(J11="NOT AVAILABLE","",J11)))),25,IF(ISNUMBER(SEARCH("Informational",IF(J11="NOT AVAILABLE","",J11))),10,IF(ISNUMBER(SEARCH("Navigational",IF(J11="NOT AVAILABLE","",J11))),0,12))))+IF(ISNUMBER(G11),MIN(30,ROUND(30*LOG10(G11+1)/4,1)),0)+IF(ISNUMBER(H11),ROUND(25*(100-H11)/100,1),12.5)+20,0)</f>
        <v/>
      </c>
      <c r="O11">
        <f>ROUND(N11*M11/100,0)</f>
        <v/>
      </c>
      <c r="P11" s="5" t="inlineStr">
        <is>
          <t>Semantic/supporting term for body copy</t>
        </is>
      </c>
      <c r="Q11" s="5" t="inlineStr">
        <is>
          <t>None detected</t>
        </is>
      </c>
    </row>
    <row r="12">
      <c r="A12" s="3" t="inlineStr">
        <is>
          <t>https://codesommet.com/</t>
        </is>
      </c>
      <c r="B12" s="5" t="inlineStr">
        <is>
          <t>Création Site Web au Maroc : Agence Web &amp; SaaS qui génère DES RÉSULTATS</t>
        </is>
      </c>
      <c r="C12" t="inlineStr">
        <is>
          <t>Morocco</t>
        </is>
      </c>
      <c r="D12" t="inlineStr">
        <is>
          <t>ma</t>
        </is>
      </c>
      <c r="E12" t="inlineStr">
        <is>
          <t>SUPPORTING</t>
        </is>
      </c>
      <c r="F12" t="inlineStr">
        <is>
          <t>agence de création de site web</t>
        </is>
      </c>
      <c r="G12" t="n">
        <v>90</v>
      </c>
      <c r="H12" t="inlineStr">
        <is>
          <t>NOT AVAILABLE</t>
        </is>
      </c>
      <c r="I12" t="n">
        <v>0.74</v>
      </c>
      <c r="J12" t="inlineStr">
        <is>
          <t>NOT AVAILABLE</t>
        </is>
      </c>
      <c r="K12" t="inlineStr">
        <is>
          <t>MEASURED</t>
        </is>
      </c>
      <c r="L12" t="inlineStr">
        <is>
          <t>P3</t>
        </is>
      </c>
      <c r="M12" t="n">
        <v>65</v>
      </c>
      <c r="N12">
        <f>ROUND(IF(IF(J12="NOT AVAILABLE","",J12)="",12,IF(OR(ISNUMBER(SEARCH("Transactional",IF(J12="NOT AVAILABLE","",J12))),ISNUMBER(SEARCH("Commercial",IF(J12="NOT AVAILABLE","",J12)))),25,IF(ISNUMBER(SEARCH("Informational",IF(J12="NOT AVAILABLE","",J12))),10,IF(ISNUMBER(SEARCH("Navigational",IF(J12="NOT AVAILABLE","",J12))),0,12))))+IF(ISNUMBER(G12),MIN(30,ROUND(30*LOG10(G12+1)/4,1)),0)+IF(ISNUMBER(H12),ROUND(25*(100-H12)/100,1),12.5)+20,0)</f>
        <v/>
      </c>
      <c r="O12">
        <f>ROUND(N12*M12/100,0)</f>
        <v/>
      </c>
      <c r="P12" s="5" t="inlineStr">
        <is>
          <t>Semantic/supporting term for body copy</t>
        </is>
      </c>
      <c r="Q12" s="5" t="inlineStr">
        <is>
          <t>None detected</t>
        </is>
      </c>
    </row>
    <row r="13">
      <c r="A13" s="3" t="inlineStr">
        <is>
          <t>https://codesommet.com/</t>
        </is>
      </c>
      <c r="B13" s="5" t="inlineStr">
        <is>
          <t>Création Site Web au Maroc : Agence Web &amp; SaaS qui génère DES RÉSULTATS</t>
        </is>
      </c>
      <c r="C13" t="inlineStr">
        <is>
          <t>Morocco</t>
        </is>
      </c>
      <c r="D13" t="inlineStr">
        <is>
          <t>ma</t>
        </is>
      </c>
      <c r="E13" t="inlineStr">
        <is>
          <t>SUPPORTING</t>
        </is>
      </c>
      <c r="F13" t="inlineStr">
        <is>
          <t>développeur web maroc</t>
        </is>
      </c>
      <c r="G13" t="n">
        <v>70</v>
      </c>
      <c r="H13" t="inlineStr">
        <is>
          <t>NOT AVAILABLE</t>
        </is>
      </c>
      <c r="I13" t="n">
        <v>0.6</v>
      </c>
      <c r="J13" t="inlineStr">
        <is>
          <t>NOT AVAILABLE</t>
        </is>
      </c>
      <c r="K13" t="inlineStr">
        <is>
          <t>MEASURED</t>
        </is>
      </c>
      <c r="L13" t="inlineStr">
        <is>
          <t>P3</t>
        </is>
      </c>
      <c r="M13" t="n">
        <v>65</v>
      </c>
      <c r="N13">
        <f>ROUND(IF(IF(J13="NOT AVAILABLE","",J13)="",12,IF(OR(ISNUMBER(SEARCH("Transactional",IF(J13="NOT AVAILABLE","",J13))),ISNUMBER(SEARCH("Commercial",IF(J13="NOT AVAILABLE","",J13)))),25,IF(ISNUMBER(SEARCH("Informational",IF(J13="NOT AVAILABLE","",J13))),10,IF(ISNUMBER(SEARCH("Navigational",IF(J13="NOT AVAILABLE","",J13))),0,12))))+IF(ISNUMBER(G13),MIN(30,ROUND(30*LOG10(G13+1)/4,1)),0)+IF(ISNUMBER(H13),ROUND(25*(100-H13)/100,1),12.5)+20,0)</f>
        <v/>
      </c>
      <c r="O13">
        <f>ROUND(N13*M13/100,0)</f>
        <v/>
      </c>
      <c r="P13" s="5" t="inlineStr">
        <is>
          <t>Semantic/supporting term for body copy</t>
        </is>
      </c>
      <c r="Q13" s="5" t="inlineStr">
        <is>
          <t>None detected</t>
        </is>
      </c>
    </row>
    <row r="14">
      <c r="A14" s="3" t="inlineStr">
        <is>
          <t>https://codesommet.com/</t>
        </is>
      </c>
      <c r="B14" s="5" t="inlineStr">
        <is>
          <t>Création Site Web au Maroc : Agence Web &amp; SaaS qui génère DES RÉSULTATS</t>
        </is>
      </c>
      <c r="C14" t="inlineStr">
        <is>
          <t>Morocco</t>
        </is>
      </c>
      <c r="D14" t="inlineStr">
        <is>
          <t>ma</t>
        </is>
      </c>
      <c r="E14" t="inlineStr">
        <is>
          <t>SUPPORTING</t>
        </is>
      </c>
      <c r="F14" t="inlineStr">
        <is>
          <t>site web maroc</t>
        </is>
      </c>
      <c r="G14" t="n">
        <v>70</v>
      </c>
      <c r="H14" t="inlineStr">
        <is>
          <t>NOT AVAILABLE</t>
        </is>
      </c>
      <c r="I14" t="n">
        <v>0.6899999999999999</v>
      </c>
      <c r="J14" t="inlineStr">
        <is>
          <t>NOT AVAILABLE</t>
        </is>
      </c>
      <c r="K14" t="inlineStr">
        <is>
          <t>MEASURED</t>
        </is>
      </c>
      <c r="L14" t="inlineStr">
        <is>
          <t>P3</t>
        </is>
      </c>
      <c r="M14" t="n">
        <v>65</v>
      </c>
      <c r="N14">
        <f>ROUND(IF(IF(J14="NOT AVAILABLE","",J14)="",12,IF(OR(ISNUMBER(SEARCH("Transactional",IF(J14="NOT AVAILABLE","",J14))),ISNUMBER(SEARCH("Commercial",IF(J14="NOT AVAILABLE","",J14)))),25,IF(ISNUMBER(SEARCH("Informational",IF(J14="NOT AVAILABLE","",J14))),10,IF(ISNUMBER(SEARCH("Navigational",IF(J14="NOT AVAILABLE","",J14))),0,12))))+IF(ISNUMBER(G14),MIN(30,ROUND(30*LOG10(G14+1)/4,1)),0)+IF(ISNUMBER(H14),ROUND(25*(100-H14)/100,1),12.5)+20,0)</f>
        <v/>
      </c>
      <c r="O14">
        <f>ROUND(N14*M14/100,0)</f>
        <v/>
      </c>
      <c r="P14" s="5" t="inlineStr">
        <is>
          <t>Semantic/supporting term for body copy</t>
        </is>
      </c>
      <c r="Q14" s="5" t="inlineStr">
        <is>
          <t>None detected</t>
        </is>
      </c>
    </row>
    <row r="15">
      <c r="A15" s="3" t="inlineStr">
        <is>
          <t>https://codesommet.com/</t>
        </is>
      </c>
      <c r="B15" s="5" t="inlineStr">
        <is>
          <t>Création Site Web au Maroc : Agence Web &amp; SaaS qui génère DES RÉSULTATS</t>
        </is>
      </c>
      <c r="C15" t="inlineStr">
        <is>
          <t>Morocco</t>
        </is>
      </c>
      <c r="D15" t="inlineStr">
        <is>
          <t>ma</t>
        </is>
      </c>
      <c r="E15" t="inlineStr">
        <is>
          <t>SUPPORTING</t>
        </is>
      </c>
      <c r="F15" t="inlineStr">
        <is>
          <t>création site web sur mesure</t>
        </is>
      </c>
      <c r="G15" t="n">
        <v>40</v>
      </c>
      <c r="H15" t="inlineStr">
        <is>
          <t>NOT AVAILABLE</t>
        </is>
      </c>
      <c r="I15" t="n">
        <v>0</v>
      </c>
      <c r="J15" t="inlineStr">
        <is>
          <t>NOT AVAILABLE</t>
        </is>
      </c>
      <c r="K15" t="inlineStr">
        <is>
          <t>MEASURED</t>
        </is>
      </c>
      <c r="L15" t="inlineStr">
        <is>
          <t>P3</t>
        </is>
      </c>
      <c r="M15" t="n">
        <v>65</v>
      </c>
      <c r="N15">
        <f>ROUND(IF(IF(J15="NOT AVAILABLE","",J15)="",12,IF(OR(ISNUMBER(SEARCH("Transactional",IF(J15="NOT AVAILABLE","",J15))),ISNUMBER(SEARCH("Commercial",IF(J15="NOT AVAILABLE","",J15)))),25,IF(ISNUMBER(SEARCH("Informational",IF(J15="NOT AVAILABLE","",J15))),10,IF(ISNUMBER(SEARCH("Navigational",IF(J15="NOT AVAILABLE","",J15))),0,12))))+IF(ISNUMBER(G15),MIN(30,ROUND(30*LOG10(G15+1)/4,1)),0)+IF(ISNUMBER(H15),ROUND(25*(100-H15)/100,1),12.5)+20,0)</f>
        <v/>
      </c>
      <c r="O15">
        <f>ROUND(N15*M15/100,0)</f>
        <v/>
      </c>
      <c r="P15" s="5" t="inlineStr">
        <is>
          <t>Differentiator vs template agencies</t>
        </is>
      </c>
      <c r="Q15" s="5" t="inlineStr">
        <is>
          <t>None detected</t>
        </is>
      </c>
    </row>
    <row r="16">
      <c r="A16" s="3" t="inlineStr">
        <is>
          <t>https://codesommet.com/</t>
        </is>
      </c>
      <c r="B16" s="5" t="inlineStr">
        <is>
          <t>Création Site Web au Maroc : Agence Web &amp; SaaS qui génère DES RÉSULTATS</t>
        </is>
      </c>
      <c r="C16" t="inlineStr">
        <is>
          <t>Morocco</t>
        </is>
      </c>
      <c r="D16" t="inlineStr">
        <is>
          <t>ma</t>
        </is>
      </c>
      <c r="E16" t="inlineStr">
        <is>
          <t>SUPPORTING</t>
        </is>
      </c>
      <c r="F16" t="inlineStr">
        <is>
          <t>création site internet maroc</t>
        </is>
      </c>
      <c r="G16" t="n">
        <v>30</v>
      </c>
      <c r="H16" t="inlineStr">
        <is>
          <t>NOT AVAILABLE</t>
        </is>
      </c>
      <c r="I16" t="n">
        <v>0</v>
      </c>
      <c r="J16" t="inlineStr">
        <is>
          <t>NOT AVAILABLE</t>
        </is>
      </c>
      <c r="K16" t="inlineStr">
        <is>
          <t>MEASURED</t>
        </is>
      </c>
      <c r="L16" t="inlineStr">
        <is>
          <t>P3</t>
        </is>
      </c>
      <c r="M16" t="n">
        <v>65</v>
      </c>
      <c r="N16">
        <f>ROUND(IF(IF(J16="NOT AVAILABLE","",J16)="",12,IF(OR(ISNUMBER(SEARCH("Transactional",IF(J16="NOT AVAILABLE","",J16))),ISNUMBER(SEARCH("Commercial",IF(J16="NOT AVAILABLE","",J16)))),25,IF(ISNUMBER(SEARCH("Informational",IF(J16="NOT AVAILABLE","",J16))),10,IF(ISNUMBER(SEARCH("Navigational",IF(J16="NOT AVAILABLE","",J16))),0,12))))+IF(ISNUMBER(G16),MIN(30,ROUND(30*LOG10(G16+1)/4,1)),0)+IF(ISNUMBER(H16),ROUND(25*(100-H16)/100,1),12.5)+20,0)</f>
        <v/>
      </c>
      <c r="O16">
        <f>ROUND(N16*M16/100,0)</f>
        <v/>
      </c>
      <c r="P16" s="5" t="inlineStr">
        <is>
          <t>Semantic/supporting term for body copy</t>
        </is>
      </c>
      <c r="Q16" s="5" t="inlineStr">
        <is>
          <t>None detected</t>
        </is>
      </c>
    </row>
    <row r="17">
      <c r="A17" s="3" t="inlineStr">
        <is>
          <t>https://codesommet.com/</t>
        </is>
      </c>
      <c r="B17" s="5" t="inlineStr">
        <is>
          <t>Création Site Web au Maroc : Agence Web &amp; SaaS qui génère DES RÉSULTATS</t>
        </is>
      </c>
      <c r="C17" t="inlineStr">
        <is>
          <t>Morocco</t>
        </is>
      </c>
      <c r="D17" t="inlineStr">
        <is>
          <t>ma</t>
        </is>
      </c>
      <c r="E17" t="inlineStr">
        <is>
          <t>SUPPORTING</t>
        </is>
      </c>
      <c r="F17" t="inlineStr">
        <is>
          <t>agence de développement web maroc</t>
        </is>
      </c>
      <c r="G17" t="n">
        <v>30</v>
      </c>
      <c r="H17" t="inlineStr">
        <is>
          <t>NOT AVAILABLE</t>
        </is>
      </c>
      <c r="I17" t="n">
        <v>0.15</v>
      </c>
      <c r="J17" t="inlineStr">
        <is>
          <t>NOT AVAILABLE</t>
        </is>
      </c>
      <c r="K17" t="inlineStr">
        <is>
          <t>MEASURED</t>
        </is>
      </c>
      <c r="L17" t="inlineStr">
        <is>
          <t>P3</t>
        </is>
      </c>
      <c r="M17" t="n">
        <v>65</v>
      </c>
      <c r="N17">
        <f>ROUND(IF(IF(J17="NOT AVAILABLE","",J17)="",12,IF(OR(ISNUMBER(SEARCH("Transactional",IF(J17="NOT AVAILABLE","",J17))),ISNUMBER(SEARCH("Commercial",IF(J17="NOT AVAILABLE","",J17)))),25,IF(ISNUMBER(SEARCH("Informational",IF(J17="NOT AVAILABLE","",J17))),10,IF(ISNUMBER(SEARCH("Navigational",IF(J17="NOT AVAILABLE","",J17))),0,12))))+IF(ISNUMBER(G17),MIN(30,ROUND(30*LOG10(G17+1)/4,1)),0)+IF(ISNUMBER(H17),ROUND(25*(100-H17)/100,1),12.5)+20,0)</f>
        <v/>
      </c>
      <c r="O17">
        <f>ROUND(N17*M17/100,0)</f>
        <v/>
      </c>
      <c r="P17" s="5" t="inlineStr">
        <is>
          <t>Semantic/supporting term for body copy</t>
        </is>
      </c>
      <c r="Q17" s="5" t="inlineStr">
        <is>
          <t>None detected</t>
        </is>
      </c>
    </row>
    <row r="18">
      <c r="A18" s="3" t="inlineStr">
        <is>
          <t>https://codesommet.com/</t>
        </is>
      </c>
      <c r="B18" s="5" t="inlineStr">
        <is>
          <t>Création Site Web au Maroc : Agence Web &amp; SaaS qui génère DES RÉSULTATS</t>
        </is>
      </c>
      <c r="C18" t="inlineStr">
        <is>
          <t>France</t>
        </is>
      </c>
      <c r="D18" t="inlineStr">
        <is>
          <t>fr</t>
        </is>
      </c>
      <c r="E18" t="inlineStr">
        <is>
          <t>OPTIONAL</t>
        </is>
      </c>
      <c r="F18" t="inlineStr">
        <is>
          <t>création site web sur mesure</t>
        </is>
      </c>
      <c r="G18" t="n">
        <v>320</v>
      </c>
      <c r="H18" t="n">
        <v>45</v>
      </c>
      <c r="I18" t="n">
        <v>3.23</v>
      </c>
      <c r="J18" t="inlineStr">
        <is>
          <t>Informational</t>
        </is>
      </c>
      <c r="K18" t="inlineStr">
        <is>
          <t>MEASURED</t>
        </is>
      </c>
      <c r="L18" t="inlineStr">
        <is>
          <t>P4</t>
        </is>
      </c>
      <c r="M18" t="n">
        <v>45</v>
      </c>
      <c r="N18">
        <f>ROUND(IF(IF(J18="NOT AVAILABLE","",J18)="",12,IF(OR(ISNUMBER(SEARCH("Transactional",IF(J18="NOT AVAILABLE","",J18))),ISNUMBER(SEARCH("Commercial",IF(J18="NOT AVAILABLE","",J18)))),25,IF(ISNUMBER(SEARCH("Informational",IF(J18="NOT AVAILABLE","",J18))),10,IF(ISNUMBER(SEARCH("Navigational",IF(J18="NOT AVAILABLE","",J18))),0,12))))+IF(ISNUMBER(G18),MIN(30,ROUND(30*LOG10(G18+1)/4,1)),0)+IF(ISNUMBER(H18),ROUND(25*(100-H18)/100,1),12.5)+14,0)</f>
        <v/>
      </c>
      <c r="O18">
        <f>ROUND(N18*M18/100,0)</f>
        <v/>
      </c>
      <c r="P18" s="5" t="inlineStr">
        <is>
          <t>FR market variant (320, KD 45) - only for FR-facing copy</t>
        </is>
      </c>
      <c r="Q18" s="5" t="inlineStr">
        <is>
          <t>None detected</t>
        </is>
      </c>
    </row>
    <row r="19">
      <c r="A19" s="3" t="inlineStr">
        <is>
          <t>https://codesommet.com/</t>
        </is>
      </c>
      <c r="B19" s="5" t="inlineStr">
        <is>
          <t>Création Site Web au Maroc : Agence Web &amp; SaaS qui génère DES RÉSULTATS</t>
        </is>
      </c>
      <c r="C19" t="inlineStr">
        <is>
          <t>Morocco</t>
        </is>
      </c>
      <c r="D19" t="inlineStr">
        <is>
          <t>ma</t>
        </is>
      </c>
      <c r="E19" t="inlineStr">
        <is>
          <t>NOT RECOMMENDED</t>
        </is>
      </c>
      <c r="F19" t="inlineStr">
        <is>
          <t>nom de domaine maroc</t>
        </is>
      </c>
      <c r="G19" t="n">
        <v>880</v>
      </c>
      <c r="H19" t="n">
        <v>42</v>
      </c>
      <c r="I19" t="n">
        <v>0.57</v>
      </c>
      <c r="J19" t="inlineStr">
        <is>
          <t>Informational</t>
        </is>
      </c>
      <c r="K19" t="inlineStr">
        <is>
          <t>MEASURED</t>
        </is>
      </c>
      <c r="L19" t="inlineStr">
        <is>
          <t>P4</t>
        </is>
      </c>
      <c r="M19" t="n">
        <v>0</v>
      </c>
      <c r="N19">
        <f>ROUND(IF(IF(J19="NOT AVAILABLE","",J19)="",12,IF(OR(ISNUMBER(SEARCH("Transactional",IF(J19="NOT AVAILABLE","",J19))),ISNUMBER(SEARCH("Commercial",IF(J19="NOT AVAILABLE","",J19)))),25,IF(ISNUMBER(SEARCH("Informational",IF(J19="NOT AVAILABLE","",J19))),10,IF(ISNUMBER(SEARCH("Navigational",IF(J19="NOT AVAILABLE","",J19))),0,12))))+IF(ISNUMBER(G19),MIN(30,ROUND(30*LOG10(G19+1)/4,1)),0)+IF(ISNUMBER(H19),ROUND(25*(100-H19)/100,1),12.5)+20,0)</f>
        <v/>
      </c>
      <c r="O19">
        <f>ROUND(N19*M19/100,0)</f>
        <v/>
      </c>
      <c r="P19" s="5" t="inlineStr">
        <is>
          <t>Hosting/registrar intent (hostino, vala rank) - not a CodeSommet product</t>
        </is>
      </c>
      <c r="Q19" s="5" t="inlineStr">
        <is>
          <t>n/a (not targeted)</t>
        </is>
      </c>
    </row>
    <row r="20">
      <c r="A20" s="3" t="inlineStr">
        <is>
          <t>https://codesommet.com/</t>
        </is>
      </c>
      <c r="B20" s="5" t="inlineStr">
        <is>
          <t>Création Site Web au Maroc : Agence Web &amp; SaaS qui génère DES RÉSULTATS</t>
        </is>
      </c>
      <c r="C20" t="inlineStr">
        <is>
          <t>Morocco</t>
        </is>
      </c>
      <c r="D20" t="inlineStr">
        <is>
          <t>ma</t>
        </is>
      </c>
      <c r="E20" t="inlineStr">
        <is>
          <t>NOT RECOMMENDED</t>
        </is>
      </c>
      <c r="F20" t="inlineStr">
        <is>
          <t>agence marketing digital maroc</t>
        </is>
      </c>
      <c r="G20" t="n">
        <v>210</v>
      </c>
      <c r="H20" t="inlineStr">
        <is>
          <t>NOT AVAILABLE</t>
        </is>
      </c>
      <c r="I20" t="n">
        <v>0.61</v>
      </c>
      <c r="J20" t="inlineStr">
        <is>
          <t>NOT AVAILABLE</t>
        </is>
      </c>
      <c r="K20" t="inlineStr">
        <is>
          <t>MEASURED</t>
        </is>
      </c>
      <c r="L20" t="inlineStr">
        <is>
          <t>P4</t>
        </is>
      </c>
      <c r="M20" t="n">
        <v>0</v>
      </c>
      <c r="N20">
        <f>ROUND(IF(IF(J20="NOT AVAILABLE","",J20)="",12,IF(OR(ISNUMBER(SEARCH("Transactional",IF(J20="NOT AVAILABLE","",J20))),ISNUMBER(SEARCH("Commercial",IF(J20="NOT AVAILABLE","",J20)))),25,IF(ISNUMBER(SEARCH("Informational",IF(J20="NOT AVAILABLE","",J20))),10,IF(ISNUMBER(SEARCH("Navigational",IF(J20="NOT AVAILABLE","",J20))),0,12))))+IF(ISNUMBER(G20),MIN(30,ROUND(30*LOG10(G20+1)/4,1)),0)+IF(ISNUMBER(H20),ROUND(25*(100-H20)/100,1),12.5)+20,0)</f>
        <v/>
      </c>
      <c r="O20">
        <f>ROUND(N20*M20/100,0)</f>
        <v/>
      </c>
      <c r="P20" s="5" t="inlineStr">
        <is>
          <t>Service not offered by CodeSommet (communication / marketing agency intent) - traffic would not convert</t>
        </is>
      </c>
      <c r="Q20" s="5" t="inlineStr">
        <is>
          <t>n/a (not targeted)</t>
        </is>
      </c>
    </row>
    <row r="21">
      <c r="A21" s="3" t="inlineStr">
        <is>
          <t>https://codesommet.com/</t>
        </is>
      </c>
      <c r="B21" s="5" t="inlineStr">
        <is>
          <t>Création Site Web au Maroc : Agence Web &amp; SaaS qui génère DES RÉSULTATS</t>
        </is>
      </c>
      <c r="C21" t="inlineStr">
        <is>
          <t>Morocco</t>
        </is>
      </c>
      <c r="D21" t="inlineStr">
        <is>
          <t>ma</t>
        </is>
      </c>
      <c r="E21" t="inlineStr">
        <is>
          <t>NOT RECOMMENDED</t>
        </is>
      </c>
      <c r="F21" t="inlineStr">
        <is>
          <t>agence de communication maroc</t>
        </is>
      </c>
      <c r="G21" t="n">
        <v>110</v>
      </c>
      <c r="H21" t="inlineStr">
        <is>
          <t>NOT AVAILABLE</t>
        </is>
      </c>
      <c r="I21" t="n">
        <v>0.35</v>
      </c>
      <c r="J21" t="inlineStr">
        <is>
          <t>NOT AVAILABLE</t>
        </is>
      </c>
      <c r="K21" t="inlineStr">
        <is>
          <t>MEASURED</t>
        </is>
      </c>
      <c r="L21" t="inlineStr">
        <is>
          <t>P4</t>
        </is>
      </c>
      <c r="M21" t="n">
        <v>0</v>
      </c>
      <c r="N21">
        <f>ROUND(IF(IF(J21="NOT AVAILABLE","",J21)="",12,IF(OR(ISNUMBER(SEARCH("Transactional",IF(J21="NOT AVAILABLE","",J21))),ISNUMBER(SEARCH("Commercial",IF(J21="NOT AVAILABLE","",J21)))),25,IF(ISNUMBER(SEARCH("Informational",IF(J21="NOT AVAILABLE","",J21))),10,IF(ISNUMBER(SEARCH("Navigational",IF(J21="NOT AVAILABLE","",J21))),0,12))))+IF(ISNUMBER(G21),MIN(30,ROUND(30*LOG10(G21+1)/4,1)),0)+IF(ISNUMBER(H21),ROUND(25*(100-H21)/100,1),12.5)+20,0)</f>
        <v/>
      </c>
      <c r="O21">
        <f>ROUND(N21*M21/100,0)</f>
        <v/>
      </c>
      <c r="P21" s="5" t="inlineStr">
        <is>
          <t>Service not offered by CodeSommet (communication / marketing agency intent) - traffic would not convert</t>
        </is>
      </c>
      <c r="Q21" s="5" t="inlineStr">
        <is>
          <t>n/a (not targeted)</t>
        </is>
      </c>
    </row>
    <row r="22">
      <c r="A22" s="3" t="inlineStr">
        <is>
          <t>https://codesommet.com/about</t>
        </is>
      </c>
      <c r="B22" s="5" t="inlineStr">
        <is>
          <t>À Propos : Agence Digitale au Maroc Depuis 2018</t>
        </is>
      </c>
      <c r="C22" t="inlineStr">
        <is>
          <t>Morocco</t>
        </is>
      </c>
      <c r="D22" t="inlineStr">
        <is>
          <t>ma</t>
        </is>
      </c>
      <c r="E22" t="inlineStr">
        <is>
          <t>PRIMARY</t>
        </is>
      </c>
      <c r="F22" t="inlineStr">
        <is>
          <t>codesommet</t>
        </is>
      </c>
      <c r="G22" t="inlineStr">
        <is>
          <t>NOT AVAILABLE</t>
        </is>
      </c>
      <c r="H22" t="inlineStr">
        <is>
          <t>NOT AVAILABLE</t>
        </is>
      </c>
      <c r="I22" t="inlineStr">
        <is>
          <t>NOT AVAILABLE</t>
        </is>
      </c>
      <c r="J22" t="inlineStr">
        <is>
          <t>NOT AVAILABLE</t>
        </is>
      </c>
      <c r="K22" t="inlineStr">
        <is>
          <t>UNAVAILABLE</t>
        </is>
      </c>
      <c r="L22" t="inlineStr">
        <is>
          <t>P3</t>
        </is>
      </c>
      <c r="M22" t="n">
        <v>100</v>
      </c>
      <c r="N22">
        <f>ROUND(IF(IF(J22="NOT AVAILABLE","",J22)="",12,IF(OR(ISNUMBER(SEARCH("Transactional",IF(J22="NOT AVAILABLE","",J22))),ISNUMBER(SEARCH("Commercial",IF(J22="NOT AVAILABLE","",J22)))),25,IF(ISNUMBER(SEARCH("Informational",IF(J22="NOT AVAILABLE","",J22))),10,IF(ISNUMBER(SEARCH("Navigational",IF(J22="NOT AVAILABLE","",J22))),0,12))))+IF(ISNUMBER(G22),MIN(30,ROUND(30*LOG10(G22+1)/4,1)),0)+IF(ISNUMBER(H22),ROUND(25*(100-H22)/100,1),12.5)+20,0)</f>
        <v/>
      </c>
      <c r="O22">
        <f>ROUND(N22*M22/100,0)</f>
        <v/>
      </c>
      <c r="P22" s="5" t="inlineStr">
        <is>
          <t>Brand/navigational page; ranking target is the brand (E-E-A-T), not a generic keyword</t>
        </is>
      </c>
      <c r="Q22" s="5" t="inlineStr">
        <is>
          <t>None detected</t>
        </is>
      </c>
    </row>
    <row r="23">
      <c r="A23" s="3" t="inlineStr">
        <is>
          <t>https://codesommet.com/about</t>
        </is>
      </c>
      <c r="B23" s="5" t="inlineStr">
        <is>
          <t>À Propos : Agence Digitale au Maroc Depuis 2018</t>
        </is>
      </c>
      <c r="C23" t="inlineStr">
        <is>
          <t>Morocco</t>
        </is>
      </c>
      <c r="D23" t="inlineStr">
        <is>
          <t>ma</t>
        </is>
      </c>
      <c r="E23" t="inlineStr">
        <is>
          <t>SUPPORTING</t>
        </is>
      </c>
      <c r="F23" t="inlineStr">
        <is>
          <t>agence digitale marrakech</t>
        </is>
      </c>
      <c r="G23" t="n">
        <v>140</v>
      </c>
      <c r="H23" t="inlineStr">
        <is>
          <t>NOT AVAILABLE</t>
        </is>
      </c>
      <c r="I23" t="n">
        <v>0.82</v>
      </c>
      <c r="J23" t="inlineStr">
        <is>
          <t>NOT AVAILABLE</t>
        </is>
      </c>
      <c r="K23" t="inlineStr">
        <is>
          <t>MEASURED</t>
        </is>
      </c>
      <c r="L23" t="inlineStr">
        <is>
          <t>P3</t>
        </is>
      </c>
      <c r="M23" t="n">
        <v>65</v>
      </c>
      <c r="N23">
        <f>ROUND(IF(IF(J23="NOT AVAILABLE","",J23)="",12,IF(OR(ISNUMBER(SEARCH("Transactional",IF(J23="NOT AVAILABLE","",J23))),ISNUMBER(SEARCH("Commercial",IF(J23="NOT AVAILABLE","",J23)))),25,IF(ISNUMBER(SEARCH("Informational",IF(J23="NOT AVAILABLE","",J23))),10,IF(ISNUMBER(SEARCH("Navigational",IF(J23="NOT AVAILABLE","",J23))),0,12))))+IF(ISNUMBER(G23),MIN(30,ROUND(30*LOG10(G23+1)/4,1)),0)+IF(ISNUMBER(H23),ROUND(25*(100-H23)/100,1),12.5)+20,0)</f>
        <v/>
      </c>
      <c r="O23">
        <f>ROUND(N23*M23/100,0)</f>
        <v/>
      </c>
      <c r="P23" s="5" t="inlineStr">
        <is>
          <t>Office is in Marrakech (140); mention naturally in "Notre Bureau" section, link to /marrakech</t>
        </is>
      </c>
      <c r="Q23" s="5" t="inlineStr">
        <is>
          <t>LOW: also SECONDARY on /web-development-company/marrakech</t>
        </is>
      </c>
    </row>
    <row r="24">
      <c r="A24" s="3" t="inlineStr">
        <is>
          <t>https://codesommet.com/about</t>
        </is>
      </c>
      <c r="B24" s="5" t="inlineStr">
        <is>
          <t>À Propos : Agence Digitale au Maroc Depuis 2018</t>
        </is>
      </c>
      <c r="C24" t="inlineStr">
        <is>
          <t>Morocco</t>
        </is>
      </c>
      <c r="D24" t="inlineStr">
        <is>
          <t>ma</t>
        </is>
      </c>
      <c r="E24" t="inlineStr">
        <is>
          <t>NOT RECOMMENDED</t>
        </is>
      </c>
      <c r="F24" t="inlineStr">
        <is>
          <t>agence web marrakech</t>
        </is>
      </c>
      <c r="G24" t="n">
        <v>320</v>
      </c>
      <c r="H24" t="n">
        <v>33</v>
      </c>
      <c r="I24" t="n">
        <v>0.75</v>
      </c>
      <c r="J24" t="inlineStr">
        <is>
          <t>Commercial</t>
        </is>
      </c>
      <c r="K24" t="inlineStr">
        <is>
          <t>MEASURED</t>
        </is>
      </c>
      <c r="L24" t="inlineStr">
        <is>
          <t>P4</t>
        </is>
      </c>
      <c r="M24" t="n">
        <v>0</v>
      </c>
      <c r="N24">
        <f>ROUND(IF(IF(J24="NOT AVAILABLE","",J24)="",12,IF(OR(ISNUMBER(SEARCH("Transactional",IF(J24="NOT AVAILABLE","",J24))),ISNUMBER(SEARCH("Commercial",IF(J24="NOT AVAILABLE","",J24)))),25,IF(ISNUMBER(SEARCH("Informational",IF(J24="NOT AVAILABLE","",J24))),10,IF(ISNUMBER(SEARCH("Navigational",IF(J24="NOT AVAILABLE","",J24))),0,12))))+IF(ISNUMBER(G24),MIN(30,ROUND(30*LOG10(G24+1)/4,1)),0)+IF(ISNUMBER(H24),ROUND(25*(100-H24)/100,1),12.5)+20,0)</f>
        <v/>
      </c>
      <c r="O24">
        <f>ROUND(N24*M24/100,0)</f>
        <v/>
      </c>
      <c r="P24" s="5" t="inlineStr">
        <is>
          <t>Belongs to /web-development-company/marrakech - avoid cannibalisation</t>
        </is>
      </c>
      <c r="Q24" s="5" t="inlineStr">
        <is>
          <t>n/a (not targeted)</t>
        </is>
      </c>
    </row>
    <row r="25">
      <c r="A25" s="3" t="inlineStr">
        <is>
          <t>https://codesommet.com/about</t>
        </is>
      </c>
      <c r="B25" s="5" t="inlineStr">
        <is>
          <t>À Propos : Agence Digitale au Maroc Depuis 2018</t>
        </is>
      </c>
      <c r="C25" t="inlineStr">
        <is>
          <t>Morocco</t>
        </is>
      </c>
      <c r="D25" t="inlineStr">
        <is>
          <t>ma</t>
        </is>
      </c>
      <c r="E25" t="inlineStr">
        <is>
          <t>NOT RECOMMENDED</t>
        </is>
      </c>
      <c r="F25" t="inlineStr">
        <is>
          <t>agence digitale maroc</t>
        </is>
      </c>
      <c r="G25" t="n">
        <v>320</v>
      </c>
      <c r="H25" t="n">
        <v>57</v>
      </c>
      <c r="I25" t="n">
        <v>0.79</v>
      </c>
      <c r="J25" t="inlineStr">
        <is>
          <t>Commercial</t>
        </is>
      </c>
      <c r="K25" t="inlineStr">
        <is>
          <t>MEASURED</t>
        </is>
      </c>
      <c r="L25" t="inlineStr">
        <is>
          <t>P4</t>
        </is>
      </c>
      <c r="M25" t="n">
        <v>0</v>
      </c>
      <c r="N25">
        <f>ROUND(IF(IF(J25="NOT AVAILABLE","",J25)="",12,IF(OR(ISNUMBER(SEARCH("Transactional",IF(J25="NOT AVAILABLE","",J25))),ISNUMBER(SEARCH("Commercial",IF(J25="NOT AVAILABLE","",J25)))),25,IF(ISNUMBER(SEARCH("Informational",IF(J25="NOT AVAILABLE","",J25))),10,IF(ISNUMBER(SEARCH("Navigational",IF(J25="NOT AVAILABLE","",J25))),0,12))))+IF(ISNUMBER(G25),MIN(30,ROUND(30*LOG10(G25+1)/4,1)),0)+IF(ISNUMBER(H25),ROUND(25*(100-H25)/100,1),12.5)+20,0)</f>
        <v/>
      </c>
      <c r="O25">
        <f>ROUND(N25*M25/100,0)</f>
        <v/>
      </c>
      <c r="P25" s="5" t="inlineStr">
        <is>
          <t>Belongs to homepage (secondary) - About title already contains it; keep but do not optimise further</t>
        </is>
      </c>
      <c r="Q25" s="5" t="inlineStr">
        <is>
          <t>n/a (not targeted)</t>
        </is>
      </c>
    </row>
    <row r="26">
      <c r="A26" s="3" t="inlineStr">
        <is>
          <t>https://codesommet.com/blog</t>
        </is>
      </c>
      <c r="B26" s="5" t="inlineStr">
        <is>
          <t>Blog Développement Web, SEO &amp; Design</t>
        </is>
      </c>
      <c r="C26" t="inlineStr">
        <is>
          <t>France</t>
        </is>
      </c>
      <c r="D26" t="inlineStr">
        <is>
          <t>fr</t>
        </is>
      </c>
      <c r="E26" t="inlineStr">
        <is>
          <t>PRIMARY</t>
        </is>
      </c>
      <c r="F26" t="inlineStr">
        <is>
          <t>blog développement web</t>
        </is>
      </c>
      <c r="G26" t="n">
        <v>10</v>
      </c>
      <c r="H26" t="inlineStr">
        <is>
          <t>NOT AVAILABLE</t>
        </is>
      </c>
      <c r="I26" t="n">
        <v>0</v>
      </c>
      <c r="J26" t="inlineStr">
        <is>
          <t>NOT AVAILABLE</t>
        </is>
      </c>
      <c r="K26" t="inlineStr">
        <is>
          <t>MEASURED</t>
        </is>
      </c>
      <c r="L26" t="inlineStr">
        <is>
          <t>P3</t>
        </is>
      </c>
      <c r="M26" t="n">
        <v>100</v>
      </c>
      <c r="N26">
        <f>ROUND(IF(IF(J26="NOT AVAILABLE","",J26)="",12,IF(OR(ISNUMBER(SEARCH("Transactional",IF(J26="NOT AVAILABLE","",J26))),ISNUMBER(SEARCH("Commercial",IF(J26="NOT AVAILABLE","",J26)))),25,IF(ISNUMBER(SEARCH("Informational",IF(J26="NOT AVAILABLE","",J26))),10,IF(ISNUMBER(SEARCH("Navigational",IF(J26="NOT AVAILABLE","",J26))),0,12))))+IF(ISNUMBER(G26),MIN(30,ROUND(30*LOG10(G26+1)/4,1)),0)+IF(ISNUMBER(H26),ROUND(25*(100-H26)/100,1),12.5)+14,0)</f>
        <v/>
      </c>
      <c r="O26">
        <f>ROUND(N26*M26/100,0)</f>
        <v/>
      </c>
      <c r="P26" s="5" t="inlineStr">
        <is>
          <t>Low volume (10); blog index is a crawl hub, not a ranking target</t>
        </is>
      </c>
      <c r="Q26" s="5" t="inlineStr">
        <is>
          <t>None detected</t>
        </is>
      </c>
    </row>
    <row r="27">
      <c r="A27" s="3" t="inlineStr">
        <is>
          <t>https://codesommet.com/blog</t>
        </is>
      </c>
      <c r="B27" s="5" t="inlineStr">
        <is>
          <t>Blog Développement Web, SEO &amp; Design</t>
        </is>
      </c>
      <c r="C27" t="inlineStr">
        <is>
          <t>France</t>
        </is>
      </c>
      <c r="D27" t="inlineStr">
        <is>
          <t>fr</t>
        </is>
      </c>
      <c r="E27" t="inlineStr">
        <is>
          <t>OPTIONAL</t>
        </is>
      </c>
      <c r="F27" t="inlineStr">
        <is>
          <t>blog seo</t>
        </is>
      </c>
      <c r="G27" t="n">
        <v>1300</v>
      </c>
      <c r="H27" t="n">
        <v>41</v>
      </c>
      <c r="I27" t="n">
        <v>1.73</v>
      </c>
      <c r="J27" t="inlineStr">
        <is>
          <t>Informational</t>
        </is>
      </c>
      <c r="K27" t="inlineStr">
        <is>
          <t>MEASURED</t>
        </is>
      </c>
      <c r="L27" t="inlineStr">
        <is>
          <t>P4</t>
        </is>
      </c>
      <c r="M27" t="n">
        <v>45</v>
      </c>
      <c r="N27">
        <f>ROUND(IF(IF(J27="NOT AVAILABLE","",J27)="",12,IF(OR(ISNUMBER(SEARCH("Transactional",IF(J27="NOT AVAILABLE","",J27))),ISNUMBER(SEARCH("Commercial",IF(J27="NOT AVAILABLE","",J27)))),25,IF(ISNUMBER(SEARCH("Informational",IF(J27="NOT AVAILABLE","",J27))),10,IF(ISNUMBER(SEARCH("Navigational",IF(J27="NOT AVAILABLE","",J27))),0,12))))+IF(ISNUMBER(G27),MIN(30,ROUND(30*LOG10(G27+1)/4,1)),0)+IF(ISNUMBER(H27),ROUND(25*(100-H27)/100,1),12.5)+14,0)</f>
        <v/>
      </c>
      <c r="O27">
        <f>ROUND(N27*M27/100,0)</f>
        <v/>
      </c>
      <c r="P27" s="5" t="inlineStr">
        <is>
          <t>FR 1300 but current posts are not SEO-topic; only after SEO articles exist</t>
        </is>
      </c>
      <c r="Q27" s="5" t="inlineStr">
        <is>
          <t>None detected</t>
        </is>
      </c>
    </row>
    <row r="28">
      <c r="A28" s="3" t="inlineStr">
        <is>
          <t>https://codesommet.com/blog/creer-une-plateforme-saas-mvp-multi-tenant-facturation-par-ou-commencer</t>
        </is>
      </c>
      <c r="B28" s="5" t="inlineStr">
        <is>
          <t>Créer une plateforme SaaS : MVP, multi-tenant, facturation — par où commencer ?</t>
        </is>
      </c>
      <c r="C28" t="inlineStr">
        <is>
          <t>France</t>
        </is>
      </c>
      <c r="D28" t="inlineStr">
        <is>
          <t>fr</t>
        </is>
      </c>
      <c r="E28" t="inlineStr">
        <is>
          <t>PRIMARY</t>
        </is>
      </c>
      <c r="F28" t="inlineStr">
        <is>
          <t>créer un saas</t>
        </is>
      </c>
      <c r="G28" t="n">
        <v>170</v>
      </c>
      <c r="H28" t="n">
        <v>10</v>
      </c>
      <c r="I28" t="n">
        <v>2.79</v>
      </c>
      <c r="J28" t="inlineStr">
        <is>
          <t>Informational</t>
        </is>
      </c>
      <c r="K28" t="inlineStr">
        <is>
          <t>MEASURED</t>
        </is>
      </c>
      <c r="L28" t="inlineStr">
        <is>
          <t>P3</t>
        </is>
      </c>
      <c r="M28" t="n">
        <v>100</v>
      </c>
      <c r="N28">
        <f>ROUND(IF(IF(J28="NOT AVAILABLE","",J28)="",12,IF(OR(ISNUMBER(SEARCH("Transactional",IF(J28="NOT AVAILABLE","",J28))),ISNUMBER(SEARCH("Commercial",IF(J28="NOT AVAILABLE","",J28)))),25,IF(ISNUMBER(SEARCH("Informational",IF(J28="NOT AVAILABLE","",J28))),10,IF(ISNUMBER(SEARCH("Navigational",IF(J28="NOT AVAILABLE","",J28))),0,12))))+IF(ISNUMBER(G28),MIN(30,ROUND(30*LOG10(G28+1)/4,1)),0)+IF(ISNUMBER(H28),ROUND(25*(100-H28)/100,1),12.5)+14,0)</f>
        <v/>
      </c>
      <c r="O28">
        <f>ROUND(N28*M28/100,0)</f>
        <v/>
      </c>
      <c r="P28" s="5" t="inlineStr">
        <is>
          <t>FR 170, KD 10 - how-to intent matches article</t>
        </is>
      </c>
      <c r="Q28" s="5" t="inlineStr">
        <is>
          <t>None detected</t>
        </is>
      </c>
    </row>
    <row r="29">
      <c r="A29" s="3" t="inlineStr">
        <is>
          <t>https://codesommet.com/blog/creer-une-plateforme-saas-mvp-multi-tenant-facturation-par-ou-commencer</t>
        </is>
      </c>
      <c r="B29" s="5" t="inlineStr">
        <is>
          <t>Créer une plateforme SaaS : MVP, multi-tenant, facturation — par où commencer ?</t>
        </is>
      </c>
      <c r="C29" t="inlineStr">
        <is>
          <t>France</t>
        </is>
      </c>
      <c r="D29" t="inlineStr">
        <is>
          <t>fr</t>
        </is>
      </c>
      <c r="E29" t="inlineStr">
        <is>
          <t>SECONDARY</t>
        </is>
      </c>
      <c r="F29" t="inlineStr">
        <is>
          <t>mvp saas</t>
        </is>
      </c>
      <c r="G29" t="n">
        <v>110</v>
      </c>
      <c r="H29" t="n">
        <v>13</v>
      </c>
      <c r="I29" t="n">
        <v>1.98</v>
      </c>
      <c r="J29" t="inlineStr">
        <is>
          <t>Informational</t>
        </is>
      </c>
      <c r="K29" t="inlineStr">
        <is>
          <t>MEASURED</t>
        </is>
      </c>
      <c r="L29" t="inlineStr">
        <is>
          <t>P3</t>
        </is>
      </c>
      <c r="M29" t="n">
        <v>85</v>
      </c>
      <c r="N29">
        <f>ROUND(IF(IF(J29="NOT AVAILABLE","",J29)="",12,IF(OR(ISNUMBER(SEARCH("Transactional",IF(J29="NOT AVAILABLE","",J29))),ISNUMBER(SEARCH("Commercial",IF(J29="NOT AVAILABLE","",J29)))),25,IF(ISNUMBER(SEARCH("Informational",IF(J29="NOT AVAILABLE","",J29))),10,IF(ISNUMBER(SEARCH("Navigational",IF(J29="NOT AVAILABLE","",J29))),0,12))))+IF(ISNUMBER(G29),MIN(30,ROUND(30*LOG10(G29+1)/4,1)),0)+IF(ISNUMBER(H29),ROUND(25*(100-H29)/100,1),12.5)+14,0)</f>
        <v/>
      </c>
      <c r="O29">
        <f>ROUND(N29*M29/100,0)</f>
        <v/>
      </c>
      <c r="P29" s="5" t="inlineStr">
        <is>
          <t>110, KD 13</t>
        </is>
      </c>
      <c r="Q29" s="5" t="inlineStr">
        <is>
          <t>None detected</t>
        </is>
      </c>
    </row>
    <row r="30">
      <c r="A30" s="3" t="inlineStr">
        <is>
          <t>https://codesommet.com/blog/creer-une-plateforme-saas-mvp-multi-tenant-facturation-par-ou-commencer</t>
        </is>
      </c>
      <c r="B30" s="5" t="inlineStr">
        <is>
          <t>Créer une plateforme SaaS : MVP, multi-tenant, facturation — par où commencer ?</t>
        </is>
      </c>
      <c r="C30" t="inlineStr">
        <is>
          <t>France</t>
        </is>
      </c>
      <c r="D30" t="inlineStr">
        <is>
          <t>fr</t>
        </is>
      </c>
      <c r="E30" t="inlineStr">
        <is>
          <t>SECONDARY</t>
        </is>
      </c>
      <c r="F30" t="inlineStr">
        <is>
          <t>créer un logiciel saas</t>
        </is>
      </c>
      <c r="G30" t="n">
        <v>70</v>
      </c>
      <c r="H30" t="n">
        <v>7</v>
      </c>
      <c r="I30" t="n">
        <v>0</v>
      </c>
      <c r="J30" t="inlineStr">
        <is>
          <t>Informational</t>
        </is>
      </c>
      <c r="K30" t="inlineStr">
        <is>
          <t>MEASURED</t>
        </is>
      </c>
      <c r="L30" t="inlineStr">
        <is>
          <t>P3</t>
        </is>
      </c>
      <c r="M30" t="n">
        <v>85</v>
      </c>
      <c r="N30">
        <f>ROUND(IF(IF(J30="NOT AVAILABLE","",J30)="",12,IF(OR(ISNUMBER(SEARCH("Transactional",IF(J30="NOT AVAILABLE","",J30))),ISNUMBER(SEARCH("Commercial",IF(J30="NOT AVAILABLE","",J30)))),25,IF(ISNUMBER(SEARCH("Informational",IF(J30="NOT AVAILABLE","",J30))),10,IF(ISNUMBER(SEARCH("Navigational",IF(J30="NOT AVAILABLE","",J30))),0,12))))+IF(ISNUMBER(G30),MIN(30,ROUND(30*LOG10(G30+1)/4,1)),0)+IF(ISNUMBER(H30),ROUND(25*(100-H30)/100,1),12.5)+14,0)</f>
        <v/>
      </c>
      <c r="O30">
        <f>ROUND(N30*M30/100,0)</f>
        <v/>
      </c>
      <c r="P30" s="5" t="inlineStr">
        <is>
          <t>70, KD 7</t>
        </is>
      </c>
      <c r="Q30" s="5" t="inlineStr">
        <is>
          <t>None detected</t>
        </is>
      </c>
    </row>
    <row r="31">
      <c r="A31" s="3" t="inlineStr">
        <is>
          <t>https://codesommet.com/blog/creer-une-plateforme-saas-mvp-multi-tenant-facturation-par-ou-commencer</t>
        </is>
      </c>
      <c r="B31" s="5" t="inlineStr">
        <is>
          <t>Créer une plateforme SaaS : MVP, multi-tenant, facturation — par où commencer ?</t>
        </is>
      </c>
      <c r="C31" t="inlineStr">
        <is>
          <t>France</t>
        </is>
      </c>
      <c r="D31" t="inlineStr">
        <is>
          <t>fr</t>
        </is>
      </c>
      <c r="E31" t="inlineStr">
        <is>
          <t>FAQ</t>
        </is>
      </c>
      <c r="F31" t="inlineStr">
        <is>
          <t>comment créer un saas</t>
        </is>
      </c>
      <c r="G31" t="n">
        <v>30</v>
      </c>
      <c r="H31" t="inlineStr">
        <is>
          <t>NOT AVAILABLE</t>
        </is>
      </c>
      <c r="I31" t="n">
        <v>2.36</v>
      </c>
      <c r="J31" t="inlineStr">
        <is>
          <t>NOT AVAILABLE</t>
        </is>
      </c>
      <c r="K31" t="inlineStr">
        <is>
          <t>MEASURED</t>
        </is>
      </c>
      <c r="L31" t="inlineStr">
        <is>
          <t>P3</t>
        </is>
      </c>
      <c r="M31" t="n">
        <v>70</v>
      </c>
      <c r="N31">
        <f>ROUND(IF(IF(J31="NOT AVAILABLE","",J31)="",12,IF(OR(ISNUMBER(SEARCH("Transactional",IF(J31="NOT AVAILABLE","",J31))),ISNUMBER(SEARCH("Commercial",IF(J31="NOT AVAILABLE","",J31)))),25,IF(ISNUMBER(SEARCH("Informational",IF(J31="NOT AVAILABLE","",J31))),10,IF(ISNUMBER(SEARCH("Navigational",IF(J31="NOT AVAILABLE","",J31))),0,12))))+IF(ISNUMBER(G31),MIN(30,ROUND(30*LOG10(G31+1)/4,1)),0)+IF(ISNUMBER(H31),ROUND(25*(100-H31)/100,1),12.5)+14,0)</f>
        <v/>
      </c>
      <c r="O31">
        <f>ROUND(N31*M31/100,0)</f>
        <v/>
      </c>
      <c r="P31" s="5" t="inlineStr">
        <is>
          <t>30</t>
        </is>
      </c>
      <c r="Q31" s="5" t="inlineStr">
        <is>
          <t>None detected</t>
        </is>
      </c>
    </row>
    <row r="32">
      <c r="A32" s="3" t="inlineStr">
        <is>
          <t>https://codesommet.com/blog/creer-une-plateforme-saas-mvp-multi-tenant-facturation-par-ou-commencer</t>
        </is>
      </c>
      <c r="B32" s="5" t="inlineStr">
        <is>
          <t>Créer une plateforme SaaS : MVP, multi-tenant, facturation — par où commencer ?</t>
        </is>
      </c>
      <c r="C32" t="inlineStr">
        <is>
          <t>France</t>
        </is>
      </c>
      <c r="D32" t="inlineStr">
        <is>
          <t>fr</t>
        </is>
      </c>
      <c r="E32" t="inlineStr">
        <is>
          <t>SUPPORTING</t>
        </is>
      </c>
      <c r="F32" t="inlineStr">
        <is>
          <t>saas multi tenant</t>
        </is>
      </c>
      <c r="G32" t="n">
        <v>20</v>
      </c>
      <c r="H32" t="inlineStr">
        <is>
          <t>NOT AVAILABLE</t>
        </is>
      </c>
      <c r="I32" t="n">
        <v>0</v>
      </c>
      <c r="J32" t="inlineStr">
        <is>
          <t>NOT AVAILABLE</t>
        </is>
      </c>
      <c r="K32" t="inlineStr">
        <is>
          <t>MEASURED</t>
        </is>
      </c>
      <c r="L32" t="inlineStr">
        <is>
          <t>P3</t>
        </is>
      </c>
      <c r="M32" t="n">
        <v>65</v>
      </c>
      <c r="N32">
        <f>ROUND(IF(IF(J32="NOT AVAILABLE","",J32)="",12,IF(OR(ISNUMBER(SEARCH("Transactional",IF(J32="NOT AVAILABLE","",J32))),ISNUMBER(SEARCH("Commercial",IF(J32="NOT AVAILABLE","",J32)))),25,IF(ISNUMBER(SEARCH("Informational",IF(J32="NOT AVAILABLE","",J32))),10,IF(ISNUMBER(SEARCH("Navigational",IF(J32="NOT AVAILABLE","",J32))),0,12))))+IF(ISNUMBER(G32),MIN(30,ROUND(30*LOG10(G32+1)/4,1)),0)+IF(ISNUMBER(H32),ROUND(25*(100-H32)/100,1),12.5)+14,0)</f>
        <v/>
      </c>
      <c r="O32">
        <f>ROUND(N32*M32/100,0)</f>
        <v/>
      </c>
      <c r="P32" s="5" t="inlineStr">
        <is>
          <t>Semantic/supporting term for body copy</t>
        </is>
      </c>
      <c r="Q32" s="5" t="inlineStr">
        <is>
          <t>None detected</t>
        </is>
      </c>
    </row>
    <row r="33">
      <c r="A33" s="3" t="inlineStr">
        <is>
          <t>https://codesommet.com/blog/creer-une-plateforme-saas-mvp-multi-tenant-facturation-par-ou-commencer</t>
        </is>
      </c>
      <c r="B33" s="5" t="inlineStr">
        <is>
          <t>Créer une plateforme SaaS : MVP, multi-tenant, facturation — par où commencer ?</t>
        </is>
      </c>
      <c r="C33" t="inlineStr">
        <is>
          <t>France</t>
        </is>
      </c>
      <c r="D33" t="inlineStr">
        <is>
          <t>fr</t>
        </is>
      </c>
      <c r="E33" t="inlineStr">
        <is>
          <t>SUPPORTING</t>
        </is>
      </c>
      <c r="F33" t="inlineStr">
        <is>
          <t>architecture multi tenant</t>
        </is>
      </c>
      <c r="G33" t="n">
        <v>20</v>
      </c>
      <c r="H33" t="inlineStr">
        <is>
          <t>NOT AVAILABLE</t>
        </is>
      </c>
      <c r="I33" t="n">
        <v>0</v>
      </c>
      <c r="J33" t="inlineStr">
        <is>
          <t>NOT AVAILABLE</t>
        </is>
      </c>
      <c r="K33" t="inlineStr">
        <is>
          <t>MEASURED</t>
        </is>
      </c>
      <c r="L33" t="inlineStr">
        <is>
          <t>P3</t>
        </is>
      </c>
      <c r="M33" t="n">
        <v>65</v>
      </c>
      <c r="N33">
        <f>ROUND(IF(IF(J33="NOT AVAILABLE","",J33)="",12,IF(OR(ISNUMBER(SEARCH("Transactional",IF(J33="NOT AVAILABLE","",J33))),ISNUMBER(SEARCH("Commercial",IF(J33="NOT AVAILABLE","",J33)))),25,IF(ISNUMBER(SEARCH("Informational",IF(J33="NOT AVAILABLE","",J33))),10,IF(ISNUMBER(SEARCH("Navigational",IF(J33="NOT AVAILABLE","",J33))),0,12))))+IF(ISNUMBER(G33),MIN(30,ROUND(30*LOG10(G33+1)/4,1)),0)+IF(ISNUMBER(H33),ROUND(25*(100-H33)/100,1),12.5)+14,0)</f>
        <v/>
      </c>
      <c r="O33">
        <f>ROUND(N33*M33/100,0)</f>
        <v/>
      </c>
      <c r="P33" s="5" t="inlineStr">
        <is>
          <t>Semantic/supporting term for body copy</t>
        </is>
      </c>
      <c r="Q33" s="5" t="inlineStr">
        <is>
          <t>None detected</t>
        </is>
      </c>
    </row>
    <row r="34">
      <c r="A34" s="3" t="inlineStr">
        <is>
          <t>https://codesommet.com/blog/creer-une-plateforme-saas-mvp-multi-tenant-facturation-par-ou-commencer</t>
        </is>
      </c>
      <c r="B34" s="5" t="inlineStr">
        <is>
          <t>Créer une plateforme SaaS : MVP, multi-tenant, facturation — par où commencer ?</t>
        </is>
      </c>
      <c r="C34" t="inlineStr">
        <is>
          <t>France</t>
        </is>
      </c>
      <c r="D34" t="inlineStr">
        <is>
          <t>fr</t>
        </is>
      </c>
      <c r="E34" t="inlineStr">
        <is>
          <t>NOT RECOMMENDED</t>
        </is>
      </c>
      <c r="F34" t="inlineStr">
        <is>
          <t>développement saas</t>
        </is>
      </c>
      <c r="G34" t="n">
        <v>170</v>
      </c>
      <c r="H34" t="n">
        <v>11</v>
      </c>
      <c r="I34" t="n">
        <v>6.46</v>
      </c>
      <c r="J34" t="inlineStr">
        <is>
          <t>Informational</t>
        </is>
      </c>
      <c r="K34" t="inlineStr">
        <is>
          <t>MEASURED</t>
        </is>
      </c>
      <c r="L34" t="inlineStr">
        <is>
          <t>P4</t>
        </is>
      </c>
      <c r="M34" t="n">
        <v>0</v>
      </c>
      <c r="N34">
        <f>ROUND(IF(IF(J34="NOT AVAILABLE","",J34)="",12,IF(OR(ISNUMBER(SEARCH("Transactional",IF(J34="NOT AVAILABLE","",J34))),ISNUMBER(SEARCH("Commercial",IF(J34="NOT AVAILABLE","",J34)))),25,IF(ISNUMBER(SEARCH("Informational",IF(J34="NOT AVAILABLE","",J34))),10,IF(ISNUMBER(SEARCH("Navigational",IF(J34="NOT AVAILABLE","",J34))),0,12))))+IF(ISNUMBER(G34),MIN(30,ROUND(30*LOG10(G34+1)/4,1)),0)+IF(ISNUMBER(H34),ROUND(25*(100-H34)/100,1),12.5)+14,0)</f>
        <v/>
      </c>
      <c r="O34">
        <f>ROUND(N34*M34/100,0)</f>
        <v/>
      </c>
      <c r="P34" s="5" t="inlineStr">
        <is>
          <t>Owned by SaaS service page - link to it</t>
        </is>
      </c>
      <c r="Q34" s="5" t="inlineStr">
        <is>
          <t>n/a (not targeted)</t>
        </is>
      </c>
    </row>
    <row r="35">
      <c r="A35" s="3" t="inlineStr">
        <is>
          <t>https://codesommet.com/blog/lms-sur-mesure-ou-produit-edtech-quelle-plateforme-e-learning</t>
        </is>
      </c>
      <c r="B35" s="5" t="inlineStr">
        <is>
          <t>LMS sur mesure ou produit EdTech : quelle plateforme e-learning pour votre organ</t>
        </is>
      </c>
      <c r="C35" t="inlineStr">
        <is>
          <t>France</t>
        </is>
      </c>
      <c r="D35" t="inlineStr">
        <is>
          <t>fr</t>
        </is>
      </c>
      <c r="E35" t="inlineStr">
        <is>
          <t>PRIMARY</t>
        </is>
      </c>
      <c r="F35" t="inlineStr">
        <is>
          <t>lms sur mesure</t>
        </is>
      </c>
      <c r="G35" t="inlineStr">
        <is>
          <t>NOT AVAILABLE</t>
        </is>
      </c>
      <c r="H35" t="inlineStr">
        <is>
          <t>NOT AVAILABLE</t>
        </is>
      </c>
      <c r="I35" t="inlineStr">
        <is>
          <t>NOT AVAILABLE</t>
        </is>
      </c>
      <c r="J35" t="inlineStr">
        <is>
          <t>NOT AVAILABLE</t>
        </is>
      </c>
      <c r="K35" t="inlineStr">
        <is>
          <t>UNAVAILABLE</t>
        </is>
      </c>
      <c r="L35" t="inlineStr">
        <is>
          <t>P3</t>
        </is>
      </c>
      <c r="M35" t="n">
        <v>100</v>
      </c>
      <c r="N35">
        <f>ROUND(IF(IF(J35="NOT AVAILABLE","",J35)="",12,IF(OR(ISNUMBER(SEARCH("Transactional",IF(J35="NOT AVAILABLE","",J35))),ISNUMBER(SEARCH("Commercial",IF(J35="NOT AVAILABLE","",J35)))),25,IF(ISNUMBER(SEARCH("Informational",IF(J35="NOT AVAILABLE","",J35))),10,IF(ISNUMBER(SEARCH("Navigational",IF(J35="NOT AVAILABLE","",J35))),0,12))))+IF(ISNUMBER(G35),MIN(30,ROUND(30*LOG10(G35+1)/4,1)),0)+IF(ISNUMBER(H35),ROUND(25*(100-H35)/100,1),12.5)+14,0)</f>
        <v/>
      </c>
      <c r="O35">
        <f>ROUND(N35*M35/100,0)</f>
        <v/>
      </c>
      <c r="P35" s="5" t="inlineStr">
        <is>
          <t>Exact article angle; Semrush has no volume - long-tail</t>
        </is>
      </c>
      <c r="Q35" s="5" t="inlineStr">
        <is>
          <t>None detected</t>
        </is>
      </c>
    </row>
    <row r="36">
      <c r="A36" s="3" t="inlineStr">
        <is>
          <t>https://codesommet.com/blog/lms-sur-mesure-ou-produit-edtech-quelle-plateforme-e-learning</t>
        </is>
      </c>
      <c r="B36" s="5" t="inlineStr">
        <is>
          <t>LMS sur mesure ou produit EdTech : quelle plateforme e-learning pour votre organ</t>
        </is>
      </c>
      <c r="C36" t="inlineStr">
        <is>
          <t>France</t>
        </is>
      </c>
      <c r="D36" t="inlineStr">
        <is>
          <t>fr</t>
        </is>
      </c>
      <c r="E36" t="inlineStr">
        <is>
          <t>OPTIONAL</t>
        </is>
      </c>
      <c r="F36" t="inlineStr">
        <is>
          <t>lms</t>
        </is>
      </c>
      <c r="G36" t="n">
        <v>12100</v>
      </c>
      <c r="H36" t="n">
        <v>31</v>
      </c>
      <c r="I36" t="n">
        <v>6.66</v>
      </c>
      <c r="J36" t="inlineStr">
        <is>
          <t>Informational</t>
        </is>
      </c>
      <c r="K36" t="inlineStr">
        <is>
          <t>MEASURED</t>
        </is>
      </c>
      <c r="L36" t="inlineStr">
        <is>
          <t>P4</t>
        </is>
      </c>
      <c r="M36" t="n">
        <v>45</v>
      </c>
      <c r="N36">
        <f>ROUND(IF(IF(J36="NOT AVAILABLE","",J36)="",12,IF(OR(ISNUMBER(SEARCH("Transactional",IF(J36="NOT AVAILABLE","",J36))),ISNUMBER(SEARCH("Commercial",IF(J36="NOT AVAILABLE","",J36)))),25,IF(ISNUMBER(SEARCH("Informational",IF(J36="NOT AVAILABLE","",J36))),10,IF(ISNUMBER(SEARCH("Navigational",IF(J36="NOT AVAILABLE","",J36))),0,12))))+IF(ISNUMBER(G36),MIN(30,ROUND(30*LOG10(G36+1)/4,1)),0)+IF(ISNUMBER(H36),ROUND(25*(100-H36)/100,1),12.5)+14,0)</f>
        <v/>
      </c>
      <c r="O36">
        <f>ROUND(N36*M36/100,0)</f>
        <v/>
      </c>
      <c r="P36" s="5" t="inlineStr">
        <is>
          <t>FR 12100 / KD 31 - definition intent; article must define LMS early</t>
        </is>
      </c>
      <c r="Q36" s="5" t="inlineStr">
        <is>
          <t>None detected</t>
        </is>
      </c>
    </row>
    <row r="37">
      <c r="A37" s="3" t="inlineStr">
        <is>
          <t>https://codesommet.com/blog/lms-sur-mesure-ou-produit-edtech-quelle-plateforme-e-learning</t>
        </is>
      </c>
      <c r="B37" s="5" t="inlineStr">
        <is>
          <t>LMS sur mesure ou produit EdTech : quelle plateforme e-learning pour votre organ</t>
        </is>
      </c>
      <c r="C37" t="inlineStr">
        <is>
          <t>Morocco</t>
        </is>
      </c>
      <c r="D37" t="inlineStr">
        <is>
          <t>ma</t>
        </is>
      </c>
      <c r="E37" t="inlineStr">
        <is>
          <t>OPTIONAL</t>
        </is>
      </c>
      <c r="F37" t="inlineStr">
        <is>
          <t>lms</t>
        </is>
      </c>
      <c r="G37" t="n">
        <v>1000</v>
      </c>
      <c r="H37" t="n">
        <v>32</v>
      </c>
      <c r="I37" t="n">
        <v>0.48</v>
      </c>
      <c r="J37" t="inlineStr">
        <is>
          <t>Informational</t>
        </is>
      </c>
      <c r="K37" t="inlineStr">
        <is>
          <t>MEASURED</t>
        </is>
      </c>
      <c r="L37" t="inlineStr">
        <is>
          <t>P4</t>
        </is>
      </c>
      <c r="M37" t="n">
        <v>45</v>
      </c>
      <c r="N37">
        <f>ROUND(IF(IF(J37="NOT AVAILABLE","",J37)="",12,IF(OR(ISNUMBER(SEARCH("Transactional",IF(J37="NOT AVAILABLE","",J37))),ISNUMBER(SEARCH("Commercial",IF(J37="NOT AVAILABLE","",J37)))),25,IF(ISNUMBER(SEARCH("Informational",IF(J37="NOT AVAILABLE","",J37))),10,IF(ISNUMBER(SEARCH("Navigational",IF(J37="NOT AVAILABLE","",J37))),0,12))))+IF(ISNUMBER(G37),MIN(30,ROUND(30*LOG10(G37+1)/4,1)),0)+IF(ISNUMBER(H37),ROUND(25*(100-H37)/100,1),12.5)+20,0)</f>
        <v/>
      </c>
      <c r="O37">
        <f>ROUND(N37*M37/100,0)</f>
        <v/>
      </c>
      <c r="P37" s="5" t="inlineStr">
        <is>
          <t>MA 1000 - same definition intent</t>
        </is>
      </c>
      <c r="Q37" s="5" t="inlineStr">
        <is>
          <t>None detected</t>
        </is>
      </c>
    </row>
    <row r="38">
      <c r="A38" s="3" t="inlineStr">
        <is>
          <t>https://codesommet.com/blog/lms-sur-mesure-ou-produit-edtech-quelle-plateforme-e-learning</t>
        </is>
      </c>
      <c r="B38" s="5" t="inlineStr">
        <is>
          <t>LMS sur mesure ou produit EdTech : quelle plateforme e-learning pour votre organ</t>
        </is>
      </c>
      <c r="C38" t="inlineStr">
        <is>
          <t>France</t>
        </is>
      </c>
      <c r="D38" t="inlineStr">
        <is>
          <t>fr</t>
        </is>
      </c>
      <c r="E38" t="inlineStr">
        <is>
          <t>NOT RECOMMENDED</t>
        </is>
      </c>
      <c r="F38" t="inlineStr">
        <is>
          <t>plateforme lms</t>
        </is>
      </c>
      <c r="G38" t="n">
        <v>1000</v>
      </c>
      <c r="H38" t="n">
        <v>37</v>
      </c>
      <c r="I38" t="n">
        <v>5.74</v>
      </c>
      <c r="J38" t="inlineStr">
        <is>
          <t>Informational</t>
        </is>
      </c>
      <c r="K38" t="inlineStr">
        <is>
          <t>MEASURED</t>
        </is>
      </c>
      <c r="L38" t="inlineStr">
        <is>
          <t>P4</t>
        </is>
      </c>
      <c r="M38" t="n">
        <v>0</v>
      </c>
      <c r="N38">
        <f>ROUND(IF(IF(J38="NOT AVAILABLE","",J38)="",12,IF(OR(ISNUMBER(SEARCH("Transactional",IF(J38="NOT AVAILABLE","",J38))),ISNUMBER(SEARCH("Commercial",IF(J38="NOT AVAILABLE","",J38)))),25,IF(ISNUMBER(SEARCH("Informational",IF(J38="NOT AVAILABLE","",J38))),10,IF(ISNUMBER(SEARCH("Navigational",IF(J38="NOT AVAILABLE","",J38))),0,12))))+IF(ISNUMBER(G38),MIN(30,ROUND(30*LOG10(G38+1)/4,1)),0)+IF(ISNUMBER(H38),ROUND(25*(100-H38)/100,1),12.5)+14,0)</f>
        <v/>
      </c>
      <c r="O38">
        <f>ROUND(N38*M38/100,0)</f>
        <v/>
      </c>
      <c r="P38" s="5" t="inlineStr">
        <is>
          <t>Owned by e-learning service page</t>
        </is>
      </c>
      <c r="Q38" s="5" t="inlineStr">
        <is>
          <t>n/a (not targeted)</t>
        </is>
      </c>
    </row>
    <row r="39">
      <c r="A39" s="3" t="inlineStr">
        <is>
          <t>https://codesommet.com/blog/site-immobilier-structurer-les-annonces-pour-le-seo-et-la-conversion</t>
        </is>
      </c>
      <c r="B39" s="5" t="inlineStr">
        <is>
          <t>Site immobilier : comment structurer les annonces pour le SEO et la conversion</t>
        </is>
      </c>
      <c r="C39" t="inlineStr">
        <is>
          <t>France</t>
        </is>
      </c>
      <c r="D39" t="inlineStr">
        <is>
          <t>fr</t>
        </is>
      </c>
      <c r="E39" t="inlineStr">
        <is>
          <t>PRIMARY</t>
        </is>
      </c>
      <c r="F39" t="inlineStr">
        <is>
          <t>seo immobilier</t>
        </is>
      </c>
      <c r="G39" t="n">
        <v>480</v>
      </c>
      <c r="H39" t="n">
        <v>24</v>
      </c>
      <c r="I39" t="n">
        <v>4.38</v>
      </c>
      <c r="J39" t="inlineStr">
        <is>
          <t>Informational</t>
        </is>
      </c>
      <c r="K39" t="inlineStr">
        <is>
          <t>MEASURED</t>
        </is>
      </c>
      <c r="L39" t="inlineStr">
        <is>
          <t>P3</t>
        </is>
      </c>
      <c r="M39" t="n">
        <v>100</v>
      </c>
      <c r="N39">
        <f>ROUND(IF(IF(J39="NOT AVAILABLE","",J39)="",12,IF(OR(ISNUMBER(SEARCH("Transactional",IF(J39="NOT AVAILABLE","",J39))),ISNUMBER(SEARCH("Commercial",IF(J39="NOT AVAILABLE","",J39)))),25,IF(ISNUMBER(SEARCH("Informational",IF(J39="NOT AVAILABLE","",J39))),10,IF(ISNUMBER(SEARCH("Navigational",IF(J39="NOT AVAILABLE","",J39))),0,12))))+IF(ISNUMBER(G39),MIN(30,ROUND(30*LOG10(G39+1)/4,1)),0)+IF(ISNUMBER(H39),ROUND(25*(100-H39)/100,1),12.5)+14,0)</f>
        <v/>
      </c>
      <c r="O39">
        <f>ROUND(N39*M39/100,0)</f>
        <v/>
      </c>
      <c r="P39" s="5" t="inlineStr">
        <is>
          <t>FR 480, KD 24</t>
        </is>
      </c>
      <c r="Q39" s="5" t="inlineStr">
        <is>
          <t>None detected</t>
        </is>
      </c>
    </row>
    <row r="40">
      <c r="A40" s="3" t="inlineStr">
        <is>
          <t>https://codesommet.com/blog/site-immobilier-structurer-les-annonces-pour-le-seo-et-la-conversion</t>
        </is>
      </c>
      <c r="B40" s="5" t="inlineStr">
        <is>
          <t>Site immobilier : comment structurer les annonces pour le SEO et la conversion</t>
        </is>
      </c>
      <c r="C40" t="inlineStr">
        <is>
          <t>France</t>
        </is>
      </c>
      <c r="D40" t="inlineStr">
        <is>
          <t>fr</t>
        </is>
      </c>
      <c r="E40" t="inlineStr">
        <is>
          <t>SECONDARY</t>
        </is>
      </c>
      <c r="F40" t="inlineStr">
        <is>
          <t>référencement site immobilier</t>
        </is>
      </c>
      <c r="G40" t="n">
        <v>320</v>
      </c>
      <c r="H40" t="n">
        <v>24</v>
      </c>
      <c r="I40" t="n">
        <v>0</v>
      </c>
      <c r="J40" t="inlineStr">
        <is>
          <t>Informational</t>
        </is>
      </c>
      <c r="K40" t="inlineStr">
        <is>
          <t>MEASURED</t>
        </is>
      </c>
      <c r="L40" t="inlineStr">
        <is>
          <t>P3</t>
        </is>
      </c>
      <c r="M40" t="n">
        <v>85</v>
      </c>
      <c r="N40">
        <f>ROUND(IF(IF(J40="NOT AVAILABLE","",J40)="",12,IF(OR(ISNUMBER(SEARCH("Transactional",IF(J40="NOT AVAILABLE","",J40))),ISNUMBER(SEARCH("Commercial",IF(J40="NOT AVAILABLE","",J40)))),25,IF(ISNUMBER(SEARCH("Informational",IF(J40="NOT AVAILABLE","",J40))),10,IF(ISNUMBER(SEARCH("Navigational",IF(J40="NOT AVAILABLE","",J40))),0,12))))+IF(ISNUMBER(G40),MIN(30,ROUND(30*LOG10(G40+1)/4,1)),0)+IF(ISNUMBER(H40),ROUND(25*(100-H40)/100,1),12.5)+14,0)</f>
        <v/>
      </c>
      <c r="O40">
        <f>ROUND(N40*M40/100,0)</f>
        <v/>
      </c>
      <c r="P40" s="5" t="inlineStr">
        <is>
          <t>320, KD 24</t>
        </is>
      </c>
      <c r="Q40" s="5" t="inlineStr">
        <is>
          <t>None detected</t>
        </is>
      </c>
    </row>
    <row r="41">
      <c r="A41" s="3" t="inlineStr">
        <is>
          <t>https://codesommet.com/blog/site-immobilier-structurer-les-annonces-pour-le-seo-et-la-conversion</t>
        </is>
      </c>
      <c r="B41" s="5" t="inlineStr">
        <is>
          <t>Site immobilier : comment structurer les annonces pour le SEO et la conversion</t>
        </is>
      </c>
      <c r="C41" t="inlineStr">
        <is>
          <t>France</t>
        </is>
      </c>
      <c r="D41" t="inlineStr">
        <is>
          <t>fr</t>
        </is>
      </c>
      <c r="E41" t="inlineStr">
        <is>
          <t>SUPPORTING</t>
        </is>
      </c>
      <c r="F41" t="inlineStr">
        <is>
          <t>rédiger une annonce immobilière</t>
        </is>
      </c>
      <c r="G41" t="n">
        <v>70</v>
      </c>
      <c r="H41" t="n">
        <v>18</v>
      </c>
      <c r="I41" t="n">
        <v>0.39</v>
      </c>
      <c r="J41" t="inlineStr">
        <is>
          <t>Informational</t>
        </is>
      </c>
      <c r="K41" t="inlineStr">
        <is>
          <t>MEASURED</t>
        </is>
      </c>
      <c r="L41" t="inlineStr">
        <is>
          <t>P3</t>
        </is>
      </c>
      <c r="M41" t="n">
        <v>65</v>
      </c>
      <c r="N41">
        <f>ROUND(IF(IF(J41="NOT AVAILABLE","",J41)="",12,IF(OR(ISNUMBER(SEARCH("Transactional",IF(J41="NOT AVAILABLE","",J41))),ISNUMBER(SEARCH("Commercial",IF(J41="NOT AVAILABLE","",J41)))),25,IF(ISNUMBER(SEARCH("Informational",IF(J41="NOT AVAILABLE","",J41))),10,IF(ISNUMBER(SEARCH("Navigational",IF(J41="NOT AVAILABLE","",J41))),0,12))))+IF(ISNUMBER(G41),MIN(30,ROUND(30*LOG10(G41+1)/4,1)),0)+IF(ISNUMBER(H41),ROUND(25*(100-H41)/100,1),12.5)+14,0)</f>
        <v/>
      </c>
      <c r="O41">
        <f>ROUND(N41*M41/100,0)</f>
        <v/>
      </c>
      <c r="P41" s="5" t="inlineStr">
        <is>
          <t>70, KD 18</t>
        </is>
      </c>
      <c r="Q41" s="5" t="inlineStr">
        <is>
          <t>None detected</t>
        </is>
      </c>
    </row>
    <row r="42">
      <c r="A42" s="3" t="inlineStr">
        <is>
          <t>https://codesommet.com/blog/site-immobilier-structurer-les-annonces-pour-le-seo-et-la-conversion</t>
        </is>
      </c>
      <c r="B42" s="5" t="inlineStr">
        <is>
          <t>Site immobilier : comment structurer les annonces pour le SEO et la conversion</t>
        </is>
      </c>
      <c r="C42" t="inlineStr">
        <is>
          <t>France</t>
        </is>
      </c>
      <c r="D42" t="inlineStr">
        <is>
          <t>fr</t>
        </is>
      </c>
      <c r="E42" t="inlineStr">
        <is>
          <t>NOT RECOMMENDED</t>
        </is>
      </c>
      <c r="F42" t="inlineStr">
        <is>
          <t>création site immobilier</t>
        </is>
      </c>
      <c r="G42" t="n">
        <v>390</v>
      </c>
      <c r="H42" t="n">
        <v>19</v>
      </c>
      <c r="I42" t="n">
        <v>4.03</v>
      </c>
      <c r="J42" t="inlineStr">
        <is>
          <t>Informational</t>
        </is>
      </c>
      <c r="K42" t="inlineStr">
        <is>
          <t>MEASURED</t>
        </is>
      </c>
      <c r="L42" t="inlineStr">
        <is>
          <t>P4</t>
        </is>
      </c>
      <c r="M42" t="n">
        <v>0</v>
      </c>
      <c r="N42">
        <f>ROUND(IF(IF(J42="NOT AVAILABLE","",J42)="",12,IF(OR(ISNUMBER(SEARCH("Transactional",IF(J42="NOT AVAILABLE","",J42))),ISNUMBER(SEARCH("Commercial",IF(J42="NOT AVAILABLE","",J42)))),25,IF(ISNUMBER(SEARCH("Informational",IF(J42="NOT AVAILABLE","",J42))),10,IF(ISNUMBER(SEARCH("Navigational",IF(J42="NOT AVAILABLE","",J42))),0,12))))+IF(ISNUMBER(G42),MIN(30,ROUND(30*LOG10(G42+1)/4,1)),0)+IF(ISNUMBER(H42),ROUND(25*(100-H42)/100,1),12.5)+14,0)</f>
        <v/>
      </c>
      <c r="O42">
        <f>ROUND(N42*M42/100,0)</f>
        <v/>
      </c>
      <c r="P42" s="5" t="inlineStr">
        <is>
          <t>Owned by real-estate service page</t>
        </is>
      </c>
      <c r="Q42" s="5" t="inlineStr">
        <is>
          <t>n/a (not targeted)</t>
        </is>
      </c>
    </row>
    <row r="43">
      <c r="A43" s="3" t="inlineStr">
        <is>
          <t>https://codesommet.com/blog/site-web-fintech-7-elements-qui-rassurent-un-visiteur</t>
        </is>
      </c>
      <c r="B43" s="5" t="inlineStr">
        <is>
          <t xml:space="preserve">Site web fintech : les 7 éléments qui rassurent un visiteur avant qu'il ne vous </t>
        </is>
      </c>
      <c r="C43" t="inlineStr">
        <is>
          <t>France</t>
        </is>
      </c>
      <c r="D43" t="inlineStr">
        <is>
          <t>fr</t>
        </is>
      </c>
      <c r="E43" t="inlineStr">
        <is>
          <t>PRIMARY</t>
        </is>
      </c>
      <c r="F43" t="inlineStr">
        <is>
          <t>éléments de réassurance site web</t>
        </is>
      </c>
      <c r="G43" t="n">
        <v>70</v>
      </c>
      <c r="H43" t="n">
        <v>17</v>
      </c>
      <c r="I43" t="n">
        <v>0</v>
      </c>
      <c r="J43" t="inlineStr">
        <is>
          <t>Informational</t>
        </is>
      </c>
      <c r="K43" t="inlineStr">
        <is>
          <t>MEASURED</t>
        </is>
      </c>
      <c r="L43" t="inlineStr">
        <is>
          <t>P3</t>
        </is>
      </c>
      <c r="M43" t="n">
        <v>100</v>
      </c>
      <c r="N43">
        <f>ROUND(IF(IF(J43="NOT AVAILABLE","",J43)="",12,IF(OR(ISNUMBER(SEARCH("Transactional",IF(J43="NOT AVAILABLE","",J43))),ISNUMBER(SEARCH("Commercial",IF(J43="NOT AVAILABLE","",J43)))),25,IF(ISNUMBER(SEARCH("Informational",IF(J43="NOT AVAILABLE","",J43))),10,IF(ISNUMBER(SEARCH("Navigational",IF(J43="NOT AVAILABLE","",J43))),0,12))))+IF(ISNUMBER(G43),MIN(30,ROUND(30*LOG10(G43+1)/4,1)),0)+IF(ISNUMBER(H43),ROUND(25*(100-H43)/100,1),12.5)+14,0)</f>
        <v/>
      </c>
      <c r="O43">
        <f>ROUND(N43*M43/100,0)</f>
        <v/>
      </c>
      <c r="P43" s="5" t="inlineStr">
        <is>
          <t>FR 70, KD 17 - article angle; leaves "site web fintech" to the service page</t>
        </is>
      </c>
      <c r="Q43" s="5" t="inlineStr">
        <is>
          <t>None detected</t>
        </is>
      </c>
    </row>
    <row r="44">
      <c r="A44" s="3" t="inlineStr">
        <is>
          <t>https://codesommet.com/blog/site-web-fintech-7-elements-qui-rassurent-un-visiteur</t>
        </is>
      </c>
      <c r="B44" s="5" t="inlineStr">
        <is>
          <t xml:space="preserve">Site web fintech : les 7 éléments qui rassurent un visiteur avant qu'il ne vous </t>
        </is>
      </c>
      <c r="C44" t="inlineStr">
        <is>
          <t>France</t>
        </is>
      </c>
      <c r="D44" t="inlineStr">
        <is>
          <t>fr</t>
        </is>
      </c>
      <c r="E44" t="inlineStr">
        <is>
          <t>SUPPORTING</t>
        </is>
      </c>
      <c r="F44" t="inlineStr">
        <is>
          <t>réassurance site web</t>
        </is>
      </c>
      <c r="G44" t="n">
        <v>20</v>
      </c>
      <c r="H44" t="inlineStr">
        <is>
          <t>NOT AVAILABLE</t>
        </is>
      </c>
      <c r="I44" t="n">
        <v>0</v>
      </c>
      <c r="J44" t="inlineStr">
        <is>
          <t>NOT AVAILABLE</t>
        </is>
      </c>
      <c r="K44" t="inlineStr">
        <is>
          <t>MEASURED</t>
        </is>
      </c>
      <c r="L44" t="inlineStr">
        <is>
          <t>P3</t>
        </is>
      </c>
      <c r="M44" t="n">
        <v>65</v>
      </c>
      <c r="N44">
        <f>ROUND(IF(IF(J44="NOT AVAILABLE","",J44)="",12,IF(OR(ISNUMBER(SEARCH("Transactional",IF(J44="NOT AVAILABLE","",J44))),ISNUMBER(SEARCH("Commercial",IF(J44="NOT AVAILABLE","",J44)))),25,IF(ISNUMBER(SEARCH("Informational",IF(J44="NOT AVAILABLE","",J44))),10,IF(ISNUMBER(SEARCH("Navigational",IF(J44="NOT AVAILABLE","",J44))),0,12))))+IF(ISNUMBER(G44),MIN(30,ROUND(30*LOG10(G44+1)/4,1)),0)+IF(ISNUMBER(H44),ROUND(25*(100-H44)/100,1),12.5)+14,0)</f>
        <v/>
      </c>
      <c r="O44">
        <f>ROUND(N44*M44/100,0)</f>
        <v/>
      </c>
      <c r="P44" s="5" t="inlineStr">
        <is>
          <t>Semantic/supporting term for body copy</t>
        </is>
      </c>
      <c r="Q44" s="5" t="inlineStr">
        <is>
          <t>None detected</t>
        </is>
      </c>
    </row>
    <row r="45">
      <c r="A45" s="3" t="inlineStr">
        <is>
          <t>https://codesommet.com/blog/site-web-fintech-7-elements-qui-rassurent-un-visiteur</t>
        </is>
      </c>
      <c r="B45" s="5" t="inlineStr">
        <is>
          <t xml:space="preserve">Site web fintech : les 7 éléments qui rassurent un visiteur avant qu'il ne vous </t>
        </is>
      </c>
      <c r="C45" t="inlineStr">
        <is>
          <t>France</t>
        </is>
      </c>
      <c r="D45" t="inlineStr">
        <is>
          <t>fr</t>
        </is>
      </c>
      <c r="E45" t="inlineStr">
        <is>
          <t>SUPPORTING</t>
        </is>
      </c>
      <c r="F45" t="inlineStr">
        <is>
          <t>confiance site web</t>
        </is>
      </c>
      <c r="G45" t="n">
        <v>20</v>
      </c>
      <c r="H45" t="inlineStr">
        <is>
          <t>NOT AVAILABLE</t>
        </is>
      </c>
      <c r="I45" t="n">
        <v>0</v>
      </c>
      <c r="J45" t="inlineStr">
        <is>
          <t>NOT AVAILABLE</t>
        </is>
      </c>
      <c r="K45" t="inlineStr">
        <is>
          <t>MEASURED</t>
        </is>
      </c>
      <c r="L45" t="inlineStr">
        <is>
          <t>P3</t>
        </is>
      </c>
      <c r="M45" t="n">
        <v>65</v>
      </c>
      <c r="N45">
        <f>ROUND(IF(IF(J45="NOT AVAILABLE","",J45)="",12,IF(OR(ISNUMBER(SEARCH("Transactional",IF(J45="NOT AVAILABLE","",J45))),ISNUMBER(SEARCH("Commercial",IF(J45="NOT AVAILABLE","",J45)))),25,IF(ISNUMBER(SEARCH("Informational",IF(J45="NOT AVAILABLE","",J45))),10,IF(ISNUMBER(SEARCH("Navigational",IF(J45="NOT AVAILABLE","",J45))),0,12))))+IF(ISNUMBER(G45),MIN(30,ROUND(30*LOG10(G45+1)/4,1)),0)+IF(ISNUMBER(H45),ROUND(25*(100-H45)/100,1),12.5)+14,0)</f>
        <v/>
      </c>
      <c r="O45">
        <f>ROUND(N45*M45/100,0)</f>
        <v/>
      </c>
      <c r="P45" s="5" t="inlineStr">
        <is>
          <t>Semantic/supporting term for body copy</t>
        </is>
      </c>
      <c r="Q45" s="5" t="inlineStr">
        <is>
          <t>None detected</t>
        </is>
      </c>
    </row>
    <row r="46">
      <c r="A46" s="3" t="inlineStr">
        <is>
          <t>https://codesommet.com/blog/site-web-fintech-7-elements-qui-rassurent-un-visiteur</t>
        </is>
      </c>
      <c r="B46" s="5" t="inlineStr">
        <is>
          <t xml:space="preserve">Site web fintech : les 7 éléments qui rassurent un visiteur avant qu'il ne vous </t>
        </is>
      </c>
      <c r="C46" t="inlineStr">
        <is>
          <t>France</t>
        </is>
      </c>
      <c r="D46" t="inlineStr">
        <is>
          <t>fr</t>
        </is>
      </c>
      <c r="E46" t="inlineStr">
        <is>
          <t>NOT RECOMMENDED</t>
        </is>
      </c>
      <c r="F46" t="inlineStr">
        <is>
          <t>site web fintech</t>
        </is>
      </c>
      <c r="G46" t="n">
        <v>30</v>
      </c>
      <c r="H46" t="inlineStr">
        <is>
          <t>NOT AVAILABLE</t>
        </is>
      </c>
      <c r="I46" t="n">
        <v>0</v>
      </c>
      <c r="J46" t="inlineStr">
        <is>
          <t>NOT AVAILABLE</t>
        </is>
      </c>
      <c r="K46" t="inlineStr">
        <is>
          <t>MEASURED</t>
        </is>
      </c>
      <c r="L46" t="inlineStr">
        <is>
          <t>P4</t>
        </is>
      </c>
      <c r="M46" t="n">
        <v>0</v>
      </c>
      <c r="N46">
        <f>ROUND(IF(IF(J46="NOT AVAILABLE","",J46)="",12,IF(OR(ISNUMBER(SEARCH("Transactional",IF(J46="NOT AVAILABLE","",J46))),ISNUMBER(SEARCH("Commercial",IF(J46="NOT AVAILABLE","",J46)))),25,IF(ISNUMBER(SEARCH("Informational",IF(J46="NOT AVAILABLE","",J46))),10,IF(ISNUMBER(SEARCH("Navigational",IF(J46="NOT AVAILABLE","",J46))),0,12))))+IF(ISNUMBER(G46),MIN(30,ROUND(30*LOG10(G46+1)/4,1)),0)+IF(ISNUMBER(H46),ROUND(25*(100-H46)/100,1),12.5)+14,0)</f>
        <v/>
      </c>
      <c r="O46">
        <f>ROUND(N46*M46/100,0)</f>
        <v/>
      </c>
      <c r="P46" s="5" t="inlineStr">
        <is>
          <t>Owned by fintech-website service page</t>
        </is>
      </c>
      <c r="Q46" s="5" t="inlineStr">
        <is>
          <t>n/a (not targeted)</t>
        </is>
      </c>
    </row>
    <row r="47">
      <c r="A47" s="3" t="inlineStr">
        <is>
          <t>https://codesommet.com/blog/site-web-telemedecine-cabinet-clinique-que-doit-il-contenir</t>
        </is>
      </c>
      <c r="B47" s="5" t="inlineStr">
        <is>
          <t>Site web de télémédecine pour cabinet ou clinique : que doit-il contenir ?</t>
        </is>
      </c>
      <c r="C47" t="inlineStr">
        <is>
          <t>France</t>
        </is>
      </c>
      <c r="D47" t="inlineStr">
        <is>
          <t>fr</t>
        </is>
      </c>
      <c r="E47" t="inlineStr">
        <is>
          <t>PRIMARY</t>
        </is>
      </c>
      <c r="F47" t="inlineStr">
        <is>
          <t>site de télémédecine</t>
        </is>
      </c>
      <c r="G47" t="n">
        <v>20</v>
      </c>
      <c r="H47" t="inlineStr">
        <is>
          <t>NOT AVAILABLE</t>
        </is>
      </c>
      <c r="I47" t="n">
        <v>0</v>
      </c>
      <c r="J47" t="inlineStr">
        <is>
          <t>NOT AVAILABLE</t>
        </is>
      </c>
      <c r="K47" t="inlineStr">
        <is>
          <t>MEASURED</t>
        </is>
      </c>
      <c r="L47" t="inlineStr">
        <is>
          <t>P3</t>
        </is>
      </c>
      <c r="M47" t="n">
        <v>100</v>
      </c>
      <c r="N47">
        <f>ROUND(IF(IF(J47="NOT AVAILABLE","",J47)="",12,IF(OR(ISNUMBER(SEARCH("Transactional",IF(J47="NOT AVAILABLE","",J47))),ISNUMBER(SEARCH("Commercial",IF(J47="NOT AVAILABLE","",J47)))),25,IF(ISNUMBER(SEARCH("Informational",IF(J47="NOT AVAILABLE","",J47))),10,IF(ISNUMBER(SEARCH("Navigational",IF(J47="NOT AVAILABLE","",J47))),0,12))))+IF(ISNUMBER(G47),MIN(30,ROUND(30*LOG10(G47+1)/4,1)),0)+IF(ISNUMBER(H47),ROUND(25*(100-H47)/100,1),12.5)+14,0)</f>
        <v/>
      </c>
      <c r="O47">
        <f>ROUND(N47*M47/100,0)</f>
        <v/>
      </c>
      <c r="P47" s="5" t="inlineStr">
        <is>
          <t>FR 20 - exact angle</t>
        </is>
      </c>
      <c r="Q47" s="5" t="inlineStr">
        <is>
          <t>None detected</t>
        </is>
      </c>
    </row>
    <row r="48">
      <c r="A48" s="3" t="inlineStr">
        <is>
          <t>https://codesommet.com/blog/site-web-telemedecine-cabinet-clinique-que-doit-il-contenir</t>
        </is>
      </c>
      <c r="B48" s="5" t="inlineStr">
        <is>
          <t>Site web de télémédecine pour cabinet ou clinique : que doit-il contenir ?</t>
        </is>
      </c>
      <c r="C48" t="inlineStr">
        <is>
          <t>France</t>
        </is>
      </c>
      <c r="D48" t="inlineStr">
        <is>
          <t>fr</t>
        </is>
      </c>
      <c r="E48" t="inlineStr">
        <is>
          <t>SUPPORTING</t>
        </is>
      </c>
      <c r="F48" t="inlineStr">
        <is>
          <t>téléconsultation site</t>
        </is>
      </c>
      <c r="G48" t="n">
        <v>20</v>
      </c>
      <c r="H48" t="inlineStr">
        <is>
          <t>NOT AVAILABLE</t>
        </is>
      </c>
      <c r="I48" t="n">
        <v>0</v>
      </c>
      <c r="J48" t="inlineStr">
        <is>
          <t>NOT AVAILABLE</t>
        </is>
      </c>
      <c r="K48" t="inlineStr">
        <is>
          <t>MEASURED</t>
        </is>
      </c>
      <c r="L48" t="inlineStr">
        <is>
          <t>P3</t>
        </is>
      </c>
      <c r="M48" t="n">
        <v>65</v>
      </c>
      <c r="N48">
        <f>ROUND(IF(IF(J48="NOT AVAILABLE","",J48)="",12,IF(OR(ISNUMBER(SEARCH("Transactional",IF(J48="NOT AVAILABLE","",J48))),ISNUMBER(SEARCH("Commercial",IF(J48="NOT AVAILABLE","",J48)))),25,IF(ISNUMBER(SEARCH("Informational",IF(J48="NOT AVAILABLE","",J48))),10,IF(ISNUMBER(SEARCH("Navigational",IF(J48="NOT AVAILABLE","",J48))),0,12))))+IF(ISNUMBER(G48),MIN(30,ROUND(30*LOG10(G48+1)/4,1)),0)+IF(ISNUMBER(H48),ROUND(25*(100-H48)/100,1),12.5)+14,0)</f>
        <v/>
      </c>
      <c r="O48">
        <f>ROUND(N48*M48/100,0)</f>
        <v/>
      </c>
      <c r="P48" s="5" t="inlineStr">
        <is>
          <t>Semantic/supporting term for body copy</t>
        </is>
      </c>
      <c r="Q48" s="5" t="inlineStr">
        <is>
          <t>None detected</t>
        </is>
      </c>
    </row>
    <row r="49">
      <c r="A49" s="3" t="inlineStr">
        <is>
          <t>https://codesommet.com/blog/site-web-telemedecine-cabinet-clinique-que-doit-il-contenir</t>
        </is>
      </c>
      <c r="B49" s="5" t="inlineStr">
        <is>
          <t>Site web de télémédecine pour cabinet ou clinique : que doit-il contenir ?</t>
        </is>
      </c>
      <c r="C49" t="inlineStr">
        <is>
          <t>France</t>
        </is>
      </c>
      <c r="D49" t="inlineStr">
        <is>
          <t>fr</t>
        </is>
      </c>
      <c r="E49" t="inlineStr">
        <is>
          <t>NOT RECOMMENDED</t>
        </is>
      </c>
      <c r="F49" t="inlineStr">
        <is>
          <t>site web cabinet médical</t>
        </is>
      </c>
      <c r="G49" t="n">
        <v>20</v>
      </c>
      <c r="H49" t="inlineStr">
        <is>
          <t>NOT AVAILABLE</t>
        </is>
      </c>
      <c r="I49" t="n">
        <v>0</v>
      </c>
      <c r="J49" t="inlineStr">
        <is>
          <t>NOT AVAILABLE</t>
        </is>
      </c>
      <c r="K49" t="inlineStr">
        <is>
          <t>MEASURED</t>
        </is>
      </c>
      <c r="L49" t="inlineStr">
        <is>
          <t>P4</t>
        </is>
      </c>
      <c r="M49" t="n">
        <v>0</v>
      </c>
      <c r="N49">
        <f>ROUND(IF(IF(J49="NOT AVAILABLE","",J49)="",12,IF(OR(ISNUMBER(SEARCH("Transactional",IF(J49="NOT AVAILABLE","",J49))),ISNUMBER(SEARCH("Commercial",IF(J49="NOT AVAILABLE","",J49)))),25,IF(ISNUMBER(SEARCH("Informational",IF(J49="NOT AVAILABLE","",J49))),10,IF(ISNUMBER(SEARCH("Navigational",IF(J49="NOT AVAILABLE","",J49))),0,12))))+IF(ISNUMBER(G49),MIN(30,ROUND(30*LOG10(G49+1)/4,1)),0)+IF(ISNUMBER(H49),ROUND(25*(100-H49)/100,1),12.5)+14,0)</f>
        <v/>
      </c>
      <c r="O49">
        <f>ROUND(N49*M49/100,0)</f>
        <v/>
      </c>
      <c r="P49" s="5" t="inlineStr">
        <is>
          <t>Owned by telemedicine-website service page</t>
        </is>
      </c>
      <c r="Q49" s="5" t="inlineStr">
        <is>
          <t>n/a (not targeted)</t>
        </is>
      </c>
    </row>
    <row r="50">
      <c r="A50" s="3" t="inlineStr">
        <is>
          <t>https://codesommet.com/contact</t>
        </is>
      </c>
      <c r="B50" s="5" t="inlineStr">
        <is>
          <t>Contact : Agence Web au Maroc, Réponse sous 24h</t>
        </is>
      </c>
      <c r="C50" t="inlineStr">
        <is>
          <t>Morocco</t>
        </is>
      </c>
      <c r="D50" t="inlineStr">
        <is>
          <t>ma</t>
        </is>
      </c>
      <c r="E50" t="inlineStr">
        <is>
          <t>PRIMARY</t>
        </is>
      </c>
      <c r="F50" t="inlineStr">
        <is>
          <t>contact agence web</t>
        </is>
      </c>
      <c r="G50" t="inlineStr">
        <is>
          <t>NOT AVAILABLE</t>
        </is>
      </c>
      <c r="H50" t="inlineStr">
        <is>
          <t>NOT AVAILABLE</t>
        </is>
      </c>
      <c r="I50" t="inlineStr">
        <is>
          <t>NOT AVAILABLE</t>
        </is>
      </c>
      <c r="J50" t="inlineStr">
        <is>
          <t>NOT AVAILABLE</t>
        </is>
      </c>
      <c r="K50" t="inlineStr">
        <is>
          <t>UNAVAILABLE</t>
        </is>
      </c>
      <c r="L50" t="inlineStr">
        <is>
          <t>P3</t>
        </is>
      </c>
      <c r="M50" t="n">
        <v>100</v>
      </c>
      <c r="N50">
        <f>ROUND(IF(IF(J50="NOT AVAILABLE","",J50)="",12,IF(OR(ISNUMBER(SEARCH("Transactional",IF(J50="NOT AVAILABLE","",J50))),ISNUMBER(SEARCH("Commercial",IF(J50="NOT AVAILABLE","",J50)))),25,IF(ISNUMBER(SEARCH("Informational",IF(J50="NOT AVAILABLE","",J50))),10,IF(ISNUMBER(SEARCH("Navigational",IF(J50="NOT AVAILABLE","",J50))),0,12))))+IF(ISNUMBER(G50),MIN(30,ROUND(30*LOG10(G50+1)/4,1)),0)+IF(ISNUMBER(H50),ROUND(25*(100-H50)/100,1),12.5)+20,0)</f>
        <v/>
      </c>
      <c r="O50">
        <f>ROUND(N50*M50/100,0)</f>
        <v/>
      </c>
      <c r="P50" s="5" t="inlineStr">
        <is>
          <t>Navigational/conversion page - no traffic objective; keep brand-oriented</t>
        </is>
      </c>
      <c r="Q50" s="5" t="inlineStr">
        <is>
          <t>None detected</t>
        </is>
      </c>
    </row>
    <row r="51">
      <c r="A51" s="3" t="inlineStr">
        <is>
          <t>https://codesommet.com/contact</t>
        </is>
      </c>
      <c r="B51" s="5" t="inlineStr">
        <is>
          <t>Contact : Agence Web au Maroc, Réponse sous 24h</t>
        </is>
      </c>
      <c r="C51" t="inlineStr">
        <is>
          <t>Morocco</t>
        </is>
      </c>
      <c r="D51" t="inlineStr">
        <is>
          <t>ma</t>
        </is>
      </c>
      <c r="E51" t="inlineStr">
        <is>
          <t>NOT RECOMMENDED</t>
        </is>
      </c>
      <c r="F51" t="inlineStr">
        <is>
          <t>agence web maroc</t>
        </is>
      </c>
      <c r="G51" t="n">
        <v>480</v>
      </c>
      <c r="H51" t="n">
        <v>53</v>
      </c>
      <c r="I51" t="n">
        <v>0.62</v>
      </c>
      <c r="J51" t="inlineStr">
        <is>
          <t>Commercial</t>
        </is>
      </c>
      <c r="K51" t="inlineStr">
        <is>
          <t>MEASURED</t>
        </is>
      </c>
      <c r="L51" t="inlineStr">
        <is>
          <t>P4</t>
        </is>
      </c>
      <c r="M51" t="n">
        <v>0</v>
      </c>
      <c r="N51">
        <f>ROUND(IF(IF(J51="NOT AVAILABLE","",J51)="",12,IF(OR(ISNUMBER(SEARCH("Transactional",IF(J51="NOT AVAILABLE","",J51))),ISNUMBER(SEARCH("Commercial",IF(J51="NOT AVAILABLE","",J51)))),25,IF(ISNUMBER(SEARCH("Informational",IF(J51="NOT AVAILABLE","",J51))),10,IF(ISNUMBER(SEARCH("Navigational",IF(J51="NOT AVAILABLE","",J51))),0,12))))+IF(ISNUMBER(G51),MIN(30,ROUND(30*LOG10(G51+1)/4,1)),0)+IF(ISNUMBER(H51),ROUND(25*(100-H51)/100,1),12.5)+20,0)</f>
        <v/>
      </c>
      <c r="O51">
        <f>ROUND(N51*M51/100,0)</f>
        <v/>
      </c>
      <c r="P51" s="5" t="inlineStr">
        <is>
          <t>Homepage keyword - contact title already uses "Agence Web au Maroc"; do not strengthen</t>
        </is>
      </c>
      <c r="Q51" s="5" t="inlineStr">
        <is>
          <t>n/a (not targeted)</t>
        </is>
      </c>
    </row>
    <row r="52">
      <c r="A52" s="3" t="inlineStr">
        <is>
          <t>https://codesommet.com/get-quote</t>
        </is>
      </c>
      <c r="B52" s="5" t="inlineStr">
        <is>
          <t>Obtenir un Devis Gratuit pour Votre Site Web</t>
        </is>
      </c>
      <c r="C52" t="inlineStr">
        <is>
          <t>Morocco</t>
        </is>
      </c>
      <c r="D52" t="inlineStr">
        <is>
          <t>ma</t>
        </is>
      </c>
      <c r="E52" t="inlineStr">
        <is>
          <t>PRIMARY</t>
        </is>
      </c>
      <c r="F52" t="inlineStr">
        <is>
          <t>devis site web</t>
        </is>
      </c>
      <c r="G52" t="n">
        <v>30</v>
      </c>
      <c r="H52" t="inlineStr">
        <is>
          <t>NOT AVAILABLE</t>
        </is>
      </c>
      <c r="I52" t="n">
        <v>0.37</v>
      </c>
      <c r="J52" t="inlineStr">
        <is>
          <t>NOT AVAILABLE</t>
        </is>
      </c>
      <c r="K52" t="inlineStr">
        <is>
          <t>MEASURED</t>
        </is>
      </c>
      <c r="L52" t="inlineStr">
        <is>
          <t>P1</t>
        </is>
      </c>
      <c r="M52" t="n">
        <v>100</v>
      </c>
      <c r="N52">
        <f>ROUND(IF(IF(J52="NOT AVAILABLE","",J52)="",12,IF(OR(ISNUMBER(SEARCH("Transactional",IF(J52="NOT AVAILABLE","",J52))),ISNUMBER(SEARCH("Commercial",IF(J52="NOT AVAILABLE","",J52)))),25,IF(ISNUMBER(SEARCH("Informational",IF(J52="NOT AVAILABLE","",J52))),10,IF(ISNUMBER(SEARCH("Navigational",IF(J52="NOT AVAILABLE","",J52))),0,12))))+IF(ISNUMBER(G52),MIN(30,ROUND(30*LOG10(G52+1)/4,1)),0)+IF(ISNUMBER(H52),ROUND(25*(100-H52)/100,1),12.5)+20,0)</f>
        <v/>
      </c>
      <c r="O52">
        <f>ROUND(N52*M52/100,0)</f>
        <v/>
      </c>
      <c r="P52" s="5" t="inlineStr">
        <is>
          <t>Transactional quote intent (MA 30); matches page purpose exactly</t>
        </is>
      </c>
      <c r="Q52" s="5" t="inlineStr">
        <is>
          <t>None detected</t>
        </is>
      </c>
    </row>
    <row r="53">
      <c r="A53" s="3" t="inlineStr">
        <is>
          <t>https://codesommet.com/get-quote</t>
        </is>
      </c>
      <c r="B53" s="5" t="inlineStr">
        <is>
          <t>Obtenir un Devis Gratuit pour Votre Site Web</t>
        </is>
      </c>
      <c r="C53" t="inlineStr">
        <is>
          <t>France</t>
        </is>
      </c>
      <c r="D53" t="inlineStr">
        <is>
          <t>fr</t>
        </is>
      </c>
      <c r="E53" t="inlineStr">
        <is>
          <t>SECONDARY</t>
        </is>
      </c>
      <c r="F53" t="inlineStr">
        <is>
          <t>devis création site internet</t>
        </is>
      </c>
      <c r="G53" t="n">
        <v>880</v>
      </c>
      <c r="H53" t="n">
        <v>16</v>
      </c>
      <c r="I53" t="n">
        <v>9.140000000000001</v>
      </c>
      <c r="J53" t="inlineStr">
        <is>
          <t>Informational</t>
        </is>
      </c>
      <c r="K53" t="inlineStr">
        <is>
          <t>MEASURED</t>
        </is>
      </c>
      <c r="L53" t="inlineStr">
        <is>
          <t>P1</t>
        </is>
      </c>
      <c r="M53" t="n">
        <v>85</v>
      </c>
      <c r="N53">
        <f>ROUND(IF(IF(J53="NOT AVAILABLE","",J53)="",12,IF(OR(ISNUMBER(SEARCH("Transactional",IF(J53="NOT AVAILABLE","",J53))),ISNUMBER(SEARCH("Commercial",IF(J53="NOT AVAILABLE","",J53)))),25,IF(ISNUMBER(SEARCH("Informational",IF(J53="NOT AVAILABLE","",J53))),10,IF(ISNUMBER(SEARCH("Navigational",IF(J53="NOT AVAILABLE","",J53))),0,12))))+IF(ISNUMBER(G53),MIN(30,ROUND(30*LOG10(G53+1)/4,1)),0)+IF(ISNUMBER(H53),ROUND(25*(100-H53)/100,1),12.5)+14,0)</f>
        <v/>
      </c>
      <c r="O53">
        <f>ROUND(N53*M53/100,0)</f>
        <v/>
      </c>
      <c r="P53" s="5" t="inlineStr">
        <is>
          <t>FR market (880, KD 16) - strongest quote query found; FR-facing copy only</t>
        </is>
      </c>
      <c r="Q53" s="5" t="inlineStr">
        <is>
          <t>None detected</t>
        </is>
      </c>
    </row>
    <row r="54">
      <c r="A54" s="3" t="inlineStr">
        <is>
          <t>https://codesommet.com/get-quote</t>
        </is>
      </c>
      <c r="B54" s="5" t="inlineStr">
        <is>
          <t>Obtenir un Devis Gratuit pour Votre Site Web</t>
        </is>
      </c>
      <c r="C54" t="inlineStr">
        <is>
          <t>France</t>
        </is>
      </c>
      <c r="D54" t="inlineStr">
        <is>
          <t>fr</t>
        </is>
      </c>
      <c r="E54" t="inlineStr">
        <is>
          <t>SECONDARY</t>
        </is>
      </c>
      <c r="F54" t="inlineStr">
        <is>
          <t>devis site web</t>
        </is>
      </c>
      <c r="G54" t="n">
        <v>590</v>
      </c>
      <c r="H54" t="n">
        <v>24</v>
      </c>
      <c r="I54" t="n">
        <v>5.18</v>
      </c>
      <c r="J54" t="inlineStr">
        <is>
          <t>Informational</t>
        </is>
      </c>
      <c r="K54" t="inlineStr">
        <is>
          <t>MEASURED</t>
        </is>
      </c>
      <c r="L54" t="inlineStr">
        <is>
          <t>P1</t>
        </is>
      </c>
      <c r="M54" t="n">
        <v>85</v>
      </c>
      <c r="N54">
        <f>ROUND(IF(IF(J54="NOT AVAILABLE","",J54)="",12,IF(OR(ISNUMBER(SEARCH("Transactional",IF(J54="NOT AVAILABLE","",J54))),ISNUMBER(SEARCH("Commercial",IF(J54="NOT AVAILABLE","",J54)))),25,IF(ISNUMBER(SEARCH("Informational",IF(J54="NOT AVAILABLE","",J54))),10,IF(ISNUMBER(SEARCH("Navigational",IF(J54="NOT AVAILABLE","",J54))),0,12))))+IF(ISNUMBER(G54),MIN(30,ROUND(30*LOG10(G54+1)/4,1)),0)+IF(ISNUMBER(H54),ROUND(25*(100-H54)/100,1),12.5)+14,0)</f>
        <v/>
      </c>
      <c r="O54">
        <f>ROUND(N54*M54/100,0)</f>
        <v/>
      </c>
      <c r="P54" s="5" t="inlineStr">
        <is>
          <t>FR market (590, KD 24)</t>
        </is>
      </c>
      <c r="Q54" s="5" t="inlineStr">
        <is>
          <t>None detected</t>
        </is>
      </c>
    </row>
    <row r="55">
      <c r="A55" s="3" t="inlineStr">
        <is>
          <t>https://codesommet.com/get-quote</t>
        </is>
      </c>
      <c r="B55" s="5" t="inlineStr">
        <is>
          <t>Obtenir un Devis Gratuit pour Votre Site Web</t>
        </is>
      </c>
      <c r="C55" t="inlineStr">
        <is>
          <t>Morocco</t>
        </is>
      </c>
      <c r="D55" t="inlineStr">
        <is>
          <t>ma</t>
        </is>
      </c>
      <c r="E55" t="inlineStr">
        <is>
          <t>SECONDARY</t>
        </is>
      </c>
      <c r="F55" t="inlineStr">
        <is>
          <t>création site web prix maroc</t>
        </is>
      </c>
      <c r="G55" t="n">
        <v>30</v>
      </c>
      <c r="H55" t="inlineStr">
        <is>
          <t>NOT AVAILABLE</t>
        </is>
      </c>
      <c r="I55" t="n">
        <v>0.28</v>
      </c>
      <c r="J55" t="inlineStr">
        <is>
          <t>NOT AVAILABLE</t>
        </is>
      </c>
      <c r="K55" t="inlineStr">
        <is>
          <t>MEASURED</t>
        </is>
      </c>
      <c r="L55" t="inlineStr">
        <is>
          <t>P1</t>
        </is>
      </c>
      <c r="M55" t="n">
        <v>85</v>
      </c>
      <c r="N55">
        <f>ROUND(IF(IF(J55="NOT AVAILABLE","",J55)="",12,IF(OR(ISNUMBER(SEARCH("Transactional",IF(J55="NOT AVAILABLE","",J55))),ISNUMBER(SEARCH("Commercial",IF(J55="NOT AVAILABLE","",J55)))),25,IF(ISNUMBER(SEARCH("Informational",IF(J55="NOT AVAILABLE","",J55))),10,IF(ISNUMBER(SEARCH("Navigational",IF(J55="NOT AVAILABLE","",J55))),0,12))))+IF(ISNUMBER(G55),MIN(30,ROUND(30*LOG10(G55+1)/4,1)),0)+IF(ISNUMBER(H55),ROUND(25*(100-H55)/100,1),12.5)+20,0)</f>
        <v/>
      </c>
      <c r="O55">
        <f>ROUND(N55*M55/100,0)</f>
        <v/>
      </c>
      <c r="P55" s="5" t="inlineStr">
        <is>
          <t>Price intent (30)</t>
        </is>
      </c>
      <c r="Q55" s="5" t="inlineStr">
        <is>
          <t>None detected</t>
        </is>
      </c>
    </row>
    <row r="56">
      <c r="A56" s="3" t="inlineStr">
        <is>
          <t>https://codesommet.com/get-quote</t>
        </is>
      </c>
      <c r="B56" s="5" t="inlineStr">
        <is>
          <t>Obtenir un Devis Gratuit pour Votre Site Web</t>
        </is>
      </c>
      <c r="C56" t="inlineStr">
        <is>
          <t>Morocco</t>
        </is>
      </c>
      <c r="D56" t="inlineStr">
        <is>
          <t>ma</t>
        </is>
      </c>
      <c r="E56" t="inlineStr">
        <is>
          <t>SECONDARY</t>
        </is>
      </c>
      <c r="F56" t="inlineStr">
        <is>
          <t>prix création site web</t>
        </is>
      </c>
      <c r="G56" t="n">
        <v>30</v>
      </c>
      <c r="H56" t="inlineStr">
        <is>
          <t>NOT AVAILABLE</t>
        </is>
      </c>
      <c r="I56" t="n">
        <v>0.3</v>
      </c>
      <c r="J56" t="inlineStr">
        <is>
          <t>NOT AVAILABLE</t>
        </is>
      </c>
      <c r="K56" t="inlineStr">
        <is>
          <t>MEASURED</t>
        </is>
      </c>
      <c r="L56" t="inlineStr">
        <is>
          <t>P1</t>
        </is>
      </c>
      <c r="M56" t="n">
        <v>85</v>
      </c>
      <c r="N56">
        <f>ROUND(IF(IF(J56="NOT AVAILABLE","",J56)="",12,IF(OR(ISNUMBER(SEARCH("Transactional",IF(J56="NOT AVAILABLE","",J56))),ISNUMBER(SEARCH("Commercial",IF(J56="NOT AVAILABLE","",J56)))),25,IF(ISNUMBER(SEARCH("Informational",IF(J56="NOT AVAILABLE","",J56))),10,IF(ISNUMBER(SEARCH("Navigational",IF(J56="NOT AVAILABLE","",J56))),0,12))))+IF(ISNUMBER(G56),MIN(30,ROUND(30*LOG10(G56+1)/4,1)),0)+IF(ISNUMBER(H56),ROUND(25*(100-H56)/100,1),12.5)+20,0)</f>
        <v/>
      </c>
      <c r="O56">
        <f>ROUND(N56*M56/100,0)</f>
        <v/>
      </c>
      <c r="P56" s="5" t="inlineStr">
        <is>
          <t>Price intent (30)</t>
        </is>
      </c>
      <c r="Q56" s="5" t="inlineStr">
        <is>
          <t>None detected</t>
        </is>
      </c>
    </row>
    <row r="57">
      <c r="A57" s="3" t="inlineStr">
        <is>
          <t>https://codesommet.com/get-quote</t>
        </is>
      </c>
      <c r="B57" s="5" t="inlineStr">
        <is>
          <t>Obtenir un Devis Gratuit pour Votre Site Web</t>
        </is>
      </c>
      <c r="C57" t="inlineStr">
        <is>
          <t>Morocco</t>
        </is>
      </c>
      <c r="D57" t="inlineStr">
        <is>
          <t>ma</t>
        </is>
      </c>
      <c r="E57" t="inlineStr">
        <is>
          <t>SECONDARY</t>
        </is>
      </c>
      <c r="F57" t="inlineStr">
        <is>
          <t>devis création site web</t>
        </is>
      </c>
      <c r="G57" t="n">
        <v>20</v>
      </c>
      <c r="H57" t="inlineStr">
        <is>
          <t>NOT AVAILABLE</t>
        </is>
      </c>
      <c r="I57" t="n">
        <v>0.33</v>
      </c>
      <c r="J57" t="inlineStr">
        <is>
          <t>NOT AVAILABLE</t>
        </is>
      </c>
      <c r="K57" t="inlineStr">
        <is>
          <t>MEASURED</t>
        </is>
      </c>
      <c r="L57" t="inlineStr">
        <is>
          <t>P1</t>
        </is>
      </c>
      <c r="M57" t="n">
        <v>85</v>
      </c>
      <c r="N57">
        <f>ROUND(IF(IF(J57="NOT AVAILABLE","",J57)="",12,IF(OR(ISNUMBER(SEARCH("Transactional",IF(J57="NOT AVAILABLE","",J57))),ISNUMBER(SEARCH("Commercial",IF(J57="NOT AVAILABLE","",J57)))),25,IF(ISNUMBER(SEARCH("Informational",IF(J57="NOT AVAILABLE","",J57))),10,IF(ISNUMBER(SEARCH("Navigational",IF(J57="NOT AVAILABLE","",J57))),0,12))))+IF(ISNUMBER(G57),MIN(30,ROUND(30*LOG10(G57+1)/4,1)),0)+IF(ISNUMBER(H57),ROUND(25*(100-H57)/100,1),12.5)+20,0)</f>
        <v/>
      </c>
      <c r="O57">
        <f>ROUND(N57*M57/100,0)</f>
        <v/>
      </c>
      <c r="P57" s="5" t="inlineStr">
        <is>
          <t>Close commercial variant of the page topic</t>
        </is>
      </c>
      <c r="Q57" s="5" t="inlineStr">
        <is>
          <t>None detected</t>
        </is>
      </c>
    </row>
    <row r="58">
      <c r="A58" s="3" t="inlineStr">
        <is>
          <t>https://codesommet.com/get-quote</t>
        </is>
      </c>
      <c r="B58" s="5" t="inlineStr">
        <is>
          <t>Obtenir un Devis Gratuit pour Votre Site Web</t>
        </is>
      </c>
      <c r="C58" t="inlineStr">
        <is>
          <t>Morocco</t>
        </is>
      </c>
      <c r="D58" t="inlineStr">
        <is>
          <t>ma</t>
        </is>
      </c>
      <c r="E58" t="inlineStr">
        <is>
          <t>SECONDARY</t>
        </is>
      </c>
      <c r="F58" t="inlineStr">
        <is>
          <t>prix site web maroc</t>
        </is>
      </c>
      <c r="G58" t="n">
        <v>20</v>
      </c>
      <c r="H58" t="inlineStr">
        <is>
          <t>NOT AVAILABLE</t>
        </is>
      </c>
      <c r="I58" t="n">
        <v>0.29</v>
      </c>
      <c r="J58" t="inlineStr">
        <is>
          <t>NOT AVAILABLE</t>
        </is>
      </c>
      <c r="K58" t="inlineStr">
        <is>
          <t>MEASURED</t>
        </is>
      </c>
      <c r="L58" t="inlineStr">
        <is>
          <t>P1</t>
        </is>
      </c>
      <c r="M58" t="n">
        <v>85</v>
      </c>
      <c r="N58">
        <f>ROUND(IF(IF(J58="NOT AVAILABLE","",J58)="",12,IF(OR(ISNUMBER(SEARCH("Transactional",IF(J58="NOT AVAILABLE","",J58))),ISNUMBER(SEARCH("Commercial",IF(J58="NOT AVAILABLE","",J58)))),25,IF(ISNUMBER(SEARCH("Informational",IF(J58="NOT AVAILABLE","",J58))),10,IF(ISNUMBER(SEARCH("Navigational",IF(J58="NOT AVAILABLE","",J58))),0,12))))+IF(ISNUMBER(G58),MIN(30,ROUND(30*LOG10(G58+1)/4,1)),0)+IF(ISNUMBER(H58),ROUND(25*(100-H58)/100,1),12.5)+20,0)</f>
        <v/>
      </c>
      <c r="O58">
        <f>ROUND(N58*M58/100,0)</f>
        <v/>
      </c>
      <c r="P58" s="5" t="inlineStr">
        <is>
          <t>Close commercial variant of the page topic</t>
        </is>
      </c>
      <c r="Q58" s="5" t="inlineStr">
        <is>
          <t>None detected</t>
        </is>
      </c>
    </row>
    <row r="59">
      <c r="A59" s="3" t="inlineStr">
        <is>
          <t>https://codesommet.com/get-quote</t>
        </is>
      </c>
      <c r="B59" s="5" t="inlineStr">
        <is>
          <t>Obtenir un Devis Gratuit pour Votre Site Web</t>
        </is>
      </c>
      <c r="C59" t="inlineStr">
        <is>
          <t>Morocco</t>
        </is>
      </c>
      <c r="D59" t="inlineStr">
        <is>
          <t>ma</t>
        </is>
      </c>
      <c r="E59" t="inlineStr">
        <is>
          <t>SECONDARY</t>
        </is>
      </c>
      <c r="F59" t="inlineStr">
        <is>
          <t>prix creation site web maroc</t>
        </is>
      </c>
      <c r="G59" t="n">
        <v>20</v>
      </c>
      <c r="H59" t="inlineStr">
        <is>
          <t>NOT AVAILABLE</t>
        </is>
      </c>
      <c r="I59" t="n">
        <v>0.28</v>
      </c>
      <c r="J59" t="inlineStr">
        <is>
          <t>NOT AVAILABLE</t>
        </is>
      </c>
      <c r="K59" t="inlineStr">
        <is>
          <t>MEASURED</t>
        </is>
      </c>
      <c r="L59" t="inlineStr">
        <is>
          <t>P1</t>
        </is>
      </c>
      <c r="M59" t="n">
        <v>85</v>
      </c>
      <c r="N59">
        <f>ROUND(IF(IF(J59="NOT AVAILABLE","",J59)="",12,IF(OR(ISNUMBER(SEARCH("Transactional",IF(J59="NOT AVAILABLE","",J59))),ISNUMBER(SEARCH("Commercial",IF(J59="NOT AVAILABLE","",J59)))),25,IF(ISNUMBER(SEARCH("Informational",IF(J59="NOT AVAILABLE","",J59))),10,IF(ISNUMBER(SEARCH("Navigational",IF(J59="NOT AVAILABLE","",J59))),0,12))))+IF(ISNUMBER(G59),MIN(30,ROUND(30*LOG10(G59+1)/4,1)),0)+IF(ISNUMBER(H59),ROUND(25*(100-H59)/100,1),12.5)+20,0)</f>
        <v/>
      </c>
      <c r="O59">
        <f>ROUND(N59*M59/100,0)</f>
        <v/>
      </c>
      <c r="P59" s="5" t="inlineStr">
        <is>
          <t>Close commercial variant of the page topic</t>
        </is>
      </c>
      <c r="Q59" s="5" t="inlineStr">
        <is>
          <t>None detected</t>
        </is>
      </c>
    </row>
    <row r="60">
      <c r="A60" s="3" t="inlineStr">
        <is>
          <t>https://codesommet.com/get-quote</t>
        </is>
      </c>
      <c r="B60" s="5" t="inlineStr">
        <is>
          <t>Obtenir un Devis Gratuit pour Votre Site Web</t>
        </is>
      </c>
      <c r="C60" t="inlineStr">
        <is>
          <t>Morocco</t>
        </is>
      </c>
      <c r="D60" t="inlineStr">
        <is>
          <t>ma</t>
        </is>
      </c>
      <c r="E60" t="inlineStr">
        <is>
          <t>SECONDARY</t>
        </is>
      </c>
      <c r="F60" t="inlineStr">
        <is>
          <t>devis site internet</t>
        </is>
      </c>
      <c r="G60" t="n">
        <v>20</v>
      </c>
      <c r="H60" t="inlineStr">
        <is>
          <t>NOT AVAILABLE</t>
        </is>
      </c>
      <c r="I60" t="n">
        <v>0</v>
      </c>
      <c r="J60" t="inlineStr">
        <is>
          <t>NOT AVAILABLE</t>
        </is>
      </c>
      <c r="K60" t="inlineStr">
        <is>
          <t>MEASURED</t>
        </is>
      </c>
      <c r="L60" t="inlineStr">
        <is>
          <t>P1</t>
        </is>
      </c>
      <c r="M60" t="n">
        <v>85</v>
      </c>
      <c r="N60">
        <f>ROUND(IF(IF(J60="NOT AVAILABLE","",J60)="",12,IF(OR(ISNUMBER(SEARCH("Transactional",IF(J60="NOT AVAILABLE","",J60))),ISNUMBER(SEARCH("Commercial",IF(J60="NOT AVAILABLE","",J60)))),25,IF(ISNUMBER(SEARCH("Informational",IF(J60="NOT AVAILABLE","",J60))),10,IF(ISNUMBER(SEARCH("Navigational",IF(J60="NOT AVAILABLE","",J60))),0,12))))+IF(ISNUMBER(G60),MIN(30,ROUND(30*LOG10(G60+1)/4,1)),0)+IF(ISNUMBER(H60),ROUND(25*(100-H60)/100,1),12.5)+20,0)</f>
        <v/>
      </c>
      <c r="O60">
        <f>ROUND(N60*M60/100,0)</f>
        <v/>
      </c>
      <c r="P60" s="5" t="inlineStr">
        <is>
          <t>Close commercial variant of the page topic</t>
        </is>
      </c>
      <c r="Q60" s="5" t="inlineStr">
        <is>
          <t>None detected</t>
        </is>
      </c>
    </row>
    <row r="61">
      <c r="A61" s="3" t="inlineStr">
        <is>
          <t>https://codesommet.com/get-quote</t>
        </is>
      </c>
      <c r="B61" s="5" t="inlineStr">
        <is>
          <t>Obtenir un Devis Gratuit pour Votre Site Web</t>
        </is>
      </c>
      <c r="C61" t="inlineStr">
        <is>
          <t>France</t>
        </is>
      </c>
      <c r="D61" t="inlineStr">
        <is>
          <t>fr</t>
        </is>
      </c>
      <c r="E61" t="inlineStr">
        <is>
          <t>FAQ</t>
        </is>
      </c>
      <c r="F61" t="inlineStr">
        <is>
          <t>combien coute un site internet</t>
        </is>
      </c>
      <c r="G61" t="n">
        <v>590</v>
      </c>
      <c r="H61" t="n">
        <v>33</v>
      </c>
      <c r="I61" t="n">
        <v>1.56</v>
      </c>
      <c r="J61" t="inlineStr">
        <is>
          <t>Informational</t>
        </is>
      </c>
      <c r="K61" t="inlineStr">
        <is>
          <t>MEASURED</t>
        </is>
      </c>
      <c r="L61" t="inlineStr">
        <is>
          <t>P1</t>
        </is>
      </c>
      <c r="M61" t="n">
        <v>70</v>
      </c>
      <c r="N61">
        <f>ROUND(IF(IF(J61="NOT AVAILABLE","",J61)="",12,IF(OR(ISNUMBER(SEARCH("Transactional",IF(J61="NOT AVAILABLE","",J61))),ISNUMBER(SEARCH("Commercial",IF(J61="NOT AVAILABLE","",J61)))),25,IF(ISNUMBER(SEARCH("Informational",IF(J61="NOT AVAILABLE","",J61))),10,IF(ISNUMBER(SEARCH("Navigational",IF(J61="NOT AVAILABLE","",J61))),0,12))))+IF(ISNUMBER(G61),MIN(30,ROUND(30*LOG10(G61+1)/4,1)),0)+IF(ISNUMBER(H61),ROUND(25*(100-H61)/100,1),12.5)+14,0)</f>
        <v/>
      </c>
      <c r="O61">
        <f>ROUND(N61*M61/100,0)</f>
        <v/>
      </c>
      <c r="P61" s="5" t="inlineStr">
        <is>
          <t>FR question (590, KD 33)</t>
        </is>
      </c>
      <c r="Q61" s="5" t="inlineStr">
        <is>
          <t>None detected</t>
        </is>
      </c>
    </row>
    <row r="62">
      <c r="A62" s="3" t="inlineStr">
        <is>
          <t>https://codesommet.com/get-quote</t>
        </is>
      </c>
      <c r="B62" s="5" t="inlineStr">
        <is>
          <t>Obtenir un Devis Gratuit pour Votre Site Web</t>
        </is>
      </c>
      <c r="C62" t="inlineStr">
        <is>
          <t>France</t>
        </is>
      </c>
      <c r="D62" t="inlineStr">
        <is>
          <t>fr</t>
        </is>
      </c>
      <c r="E62" t="inlineStr">
        <is>
          <t>FAQ</t>
        </is>
      </c>
      <c r="F62" t="inlineStr">
        <is>
          <t>prix d'un site internet</t>
        </is>
      </c>
      <c r="G62" t="n">
        <v>480</v>
      </c>
      <c r="H62" t="n">
        <v>32</v>
      </c>
      <c r="I62" t="n">
        <v>1.46</v>
      </c>
      <c r="J62" t="inlineStr">
        <is>
          <t>Informational</t>
        </is>
      </c>
      <c r="K62" t="inlineStr">
        <is>
          <t>MEASURED</t>
        </is>
      </c>
      <c r="L62" t="inlineStr">
        <is>
          <t>P1</t>
        </is>
      </c>
      <c r="M62" t="n">
        <v>70</v>
      </c>
      <c r="N62">
        <f>ROUND(IF(IF(J62="NOT AVAILABLE","",J62)="",12,IF(OR(ISNUMBER(SEARCH("Transactional",IF(J62="NOT AVAILABLE","",J62))),ISNUMBER(SEARCH("Commercial",IF(J62="NOT AVAILABLE","",J62)))),25,IF(ISNUMBER(SEARCH("Informational",IF(J62="NOT AVAILABLE","",J62))),10,IF(ISNUMBER(SEARCH("Navigational",IF(J62="NOT AVAILABLE","",J62))),0,12))))+IF(ISNUMBER(G62),MIN(30,ROUND(30*LOG10(G62+1)/4,1)),0)+IF(ISNUMBER(H62),ROUND(25*(100-H62)/100,1),12.5)+14,0)</f>
        <v/>
      </c>
      <c r="O62">
        <f>ROUND(N62*M62/100,0)</f>
        <v/>
      </c>
      <c r="P62" s="5" t="inlineStr">
        <is>
          <t>FR question (480, KD 32)</t>
        </is>
      </c>
      <c r="Q62" s="5" t="inlineStr">
        <is>
          <t>None detected</t>
        </is>
      </c>
    </row>
    <row r="63">
      <c r="A63" s="3" t="inlineStr">
        <is>
          <t>https://codesommet.com/get-quote</t>
        </is>
      </c>
      <c r="B63" s="5" t="inlineStr">
        <is>
          <t>Obtenir un Devis Gratuit pour Votre Site Web</t>
        </is>
      </c>
      <c r="C63" t="inlineStr">
        <is>
          <t>Morocco</t>
        </is>
      </c>
      <c r="D63" t="inlineStr">
        <is>
          <t>ma</t>
        </is>
      </c>
      <c r="E63" t="inlineStr">
        <is>
          <t>FAQ</t>
        </is>
      </c>
      <c r="F63" t="inlineStr">
        <is>
          <t>combien coute un site internet</t>
        </is>
      </c>
      <c r="G63" t="n">
        <v>20</v>
      </c>
      <c r="H63" t="inlineStr">
        <is>
          <t>NOT AVAILABLE</t>
        </is>
      </c>
      <c r="I63" t="n">
        <v>0</v>
      </c>
      <c r="J63" t="inlineStr">
        <is>
          <t>NOT AVAILABLE</t>
        </is>
      </c>
      <c r="K63" t="inlineStr">
        <is>
          <t>MEASURED</t>
        </is>
      </c>
      <c r="L63" t="inlineStr">
        <is>
          <t>P1</t>
        </is>
      </c>
      <c r="M63" t="n">
        <v>70</v>
      </c>
      <c r="N63">
        <f>ROUND(IF(IF(J63="NOT AVAILABLE","",J63)="",12,IF(OR(ISNUMBER(SEARCH("Transactional",IF(J63="NOT AVAILABLE","",J63))),ISNUMBER(SEARCH("Commercial",IF(J63="NOT AVAILABLE","",J63)))),25,IF(ISNUMBER(SEARCH("Informational",IF(J63="NOT AVAILABLE","",J63))),10,IF(ISNUMBER(SEARCH("Navigational",IF(J63="NOT AVAILABLE","",J63))),0,12))))+IF(ISNUMBER(G63),MIN(30,ROUND(30*LOG10(G63+1)/4,1)),0)+IF(ISNUMBER(H63),ROUND(25*(100-H63)/100,1),12.5)+20,0)</f>
        <v/>
      </c>
      <c r="O63">
        <f>ROUND(N63*M63/100,0)</f>
        <v/>
      </c>
      <c r="P63" s="5" t="inlineStr">
        <is>
          <t>MA question (20)</t>
        </is>
      </c>
      <c r="Q63" s="5" t="inlineStr">
        <is>
          <t>None detected</t>
        </is>
      </c>
    </row>
    <row r="64">
      <c r="A64" s="3" t="inlineStr">
        <is>
          <t>https://codesommet.com/industries</t>
        </is>
      </c>
      <c r="B64" s="5" t="inlineStr">
        <is>
          <t>Sites Web par Secteur : E-commerce, Santé et Sites Spécialisés Chaque Secteur</t>
        </is>
      </c>
      <c r="C64" t="inlineStr">
        <is>
          <t>Morocco</t>
        </is>
      </c>
      <c r="D64" t="inlineStr">
        <is>
          <t>ma</t>
        </is>
      </c>
      <c r="E64" t="inlineStr">
        <is>
          <t>PRIMARY</t>
        </is>
      </c>
      <c r="F64" t="inlineStr">
        <is>
          <t>création site web par secteur</t>
        </is>
      </c>
      <c r="G64" t="inlineStr">
        <is>
          <t>NOT AVAILABLE</t>
        </is>
      </c>
      <c r="H64" t="inlineStr">
        <is>
          <t>NOT AVAILABLE</t>
        </is>
      </c>
      <c r="I64" t="inlineStr">
        <is>
          <t>NOT AVAILABLE</t>
        </is>
      </c>
      <c r="J64" t="inlineStr">
        <is>
          <t>NOT AVAILABLE</t>
        </is>
      </c>
      <c r="K64" t="inlineStr">
        <is>
          <t>UNAVAILABLE</t>
        </is>
      </c>
      <c r="L64" t="inlineStr">
        <is>
          <t>P3</t>
        </is>
      </c>
      <c r="M64" t="n">
        <v>100</v>
      </c>
      <c r="N64">
        <f>ROUND(IF(IF(J64="NOT AVAILABLE","",J64)="",12,IF(OR(ISNUMBER(SEARCH("Transactional",IF(J64="NOT AVAILABLE","",J64))),ISNUMBER(SEARCH("Commercial",IF(J64="NOT AVAILABLE","",J64)))),25,IF(ISNUMBER(SEARCH("Informational",IF(J64="NOT AVAILABLE","",J64))),10,IF(ISNUMBER(SEARCH("Navigational",IF(J64="NOT AVAILABLE","",J64))),0,12))))+IF(ISNUMBER(G64),MIN(30,ROUND(30*LOG10(G64+1)/4,1)),0)+IF(ISNUMBER(H64),ROUND(25*(100-H64)/100,1),12.5)+20,0)</f>
        <v/>
      </c>
      <c r="O64">
        <f>ROUND(N64*M64/100,0)</f>
        <v/>
      </c>
      <c r="P64" s="5" t="inlineStr">
        <is>
          <t>Hub page - no measurable demand; value = internal linking to vertical service pages</t>
        </is>
      </c>
      <c r="Q64" s="5" t="inlineStr">
        <is>
          <t>None detected</t>
        </is>
      </c>
    </row>
    <row r="65">
      <c r="A65" s="3" t="inlineStr">
        <is>
          <t>https://codesommet.com/industries</t>
        </is>
      </c>
      <c r="B65" s="5" t="inlineStr">
        <is>
          <t>Sites Web par Secteur : E-commerce, Santé et Sites Spécialisés Chaque Secteur</t>
        </is>
      </c>
      <c r="C65" t="inlineStr">
        <is>
          <t>Morocco</t>
        </is>
      </c>
      <c r="D65" t="inlineStr">
        <is>
          <t>ma</t>
        </is>
      </c>
      <c r="E65" t="inlineStr">
        <is>
          <t>SUPPORTING</t>
        </is>
      </c>
      <c r="F65" t="inlineStr">
        <is>
          <t>site web agence de voyage</t>
        </is>
      </c>
      <c r="G65" t="n">
        <v>20</v>
      </c>
      <c r="H65" t="inlineStr">
        <is>
          <t>NOT AVAILABLE</t>
        </is>
      </c>
      <c r="I65" t="n">
        <v>0.12</v>
      </c>
      <c r="J65" t="inlineStr">
        <is>
          <t>NOT AVAILABLE</t>
        </is>
      </c>
      <c r="K65" t="inlineStr">
        <is>
          <t>MEASURED</t>
        </is>
      </c>
      <c r="L65" t="inlineStr">
        <is>
          <t>P3</t>
        </is>
      </c>
      <c r="M65" t="n">
        <v>65</v>
      </c>
      <c r="N65">
        <f>ROUND(IF(IF(J65="NOT AVAILABLE","",J65)="",12,IF(OR(ISNUMBER(SEARCH("Transactional",IF(J65="NOT AVAILABLE","",J65))),ISNUMBER(SEARCH("Commercial",IF(J65="NOT AVAILABLE","",J65)))),25,IF(ISNUMBER(SEARCH("Informational",IF(J65="NOT AVAILABLE","",J65))),10,IF(ISNUMBER(SEARCH("Navigational",IF(J65="NOT AVAILABLE","",J65))),0,12))))+IF(ISNUMBER(G65),MIN(30,ROUND(30*LOG10(G65+1)/4,1)),0)+IF(ISNUMBER(H65),ROUND(25*(100-H65)/100,1),12.5)+20,0)</f>
        <v/>
      </c>
      <c r="O65">
        <f>ROUND(N65*M65/100,0)</f>
        <v/>
      </c>
      <c r="P65" s="5" t="inlineStr">
        <is>
          <t>Only measured vertical term (20)</t>
        </is>
      </c>
      <c r="Q65" s="5" t="inlineStr">
        <is>
          <t>None detected</t>
        </is>
      </c>
    </row>
    <row r="66">
      <c r="A66" s="3" t="inlineStr">
        <is>
          <t>https://codesommet.com/legal/acceptable-use</t>
        </is>
      </c>
      <c r="B66" s="5" t="inlineStr">
        <is>
          <t>Politique d'Utilisation Acceptable</t>
        </is>
      </c>
      <c r="C66" t="inlineStr">
        <is>
          <t>Morocco</t>
        </is>
      </c>
      <c r="D66" t="inlineStr">
        <is>
          <t>ma</t>
        </is>
      </c>
      <c r="E66" t="inlineStr">
        <is>
          <t>NOT RECOMMENDED</t>
        </is>
      </c>
      <c r="F66" t="inlineStr">
        <is>
          <t>mentions légales codesommet</t>
        </is>
      </c>
      <c r="G66" t="inlineStr">
        <is>
          <t>NOT AVAILABLE</t>
        </is>
      </c>
      <c r="H66" t="inlineStr">
        <is>
          <t>NOT AVAILABLE</t>
        </is>
      </c>
      <c r="I66" t="inlineStr">
        <is>
          <t>NOT AVAILABLE</t>
        </is>
      </c>
      <c r="J66" t="inlineStr">
        <is>
          <t>NOT AVAILABLE</t>
        </is>
      </c>
      <c r="K66" t="inlineStr">
        <is>
          <t>SUGGESTED</t>
        </is>
      </c>
      <c r="L66" t="inlineStr">
        <is>
          <t>P4</t>
        </is>
      </c>
      <c r="M66" t="n">
        <v>0</v>
      </c>
      <c r="N66">
        <f>ROUND(IF(IF(J66="NOT AVAILABLE","",J66)="",12,IF(OR(ISNUMBER(SEARCH("Transactional",IF(J66="NOT AVAILABLE","",J66))),ISNUMBER(SEARCH("Commercial",IF(J66="NOT AVAILABLE","",J66)))),25,IF(ISNUMBER(SEARCH("Informational",IF(J66="NOT AVAILABLE","",J66))),10,IF(ISNUMBER(SEARCH("Navigational",IF(J66="NOT AVAILABLE","",J66))),0,12))))+IF(ISNUMBER(G66),MIN(30,ROUND(30*LOG10(G66+1)/4,1)),0)+IF(ISNUMBER(H66),ROUND(25*(100-H66)/100,1),12.5)+20,0)</f>
        <v/>
      </c>
      <c r="O66">
        <f>ROUND(N66*M66/100,0)</f>
        <v/>
      </c>
      <c r="P66" s="5" t="inlineStr">
        <is>
          <t>Legal page - no keyword targeting; keep indexable for trust</t>
        </is>
      </c>
      <c r="Q66" s="5" t="inlineStr">
        <is>
          <t>n/a (not targeted)</t>
        </is>
      </c>
    </row>
    <row r="67">
      <c r="A67" s="3" t="inlineStr">
        <is>
          <t>https://codesommet.com/legal/cookie-policy</t>
        </is>
      </c>
      <c r="B67" s="5" t="inlineStr">
        <is>
          <t>Politique de Cookies</t>
        </is>
      </c>
      <c r="C67" t="inlineStr">
        <is>
          <t>Morocco</t>
        </is>
      </c>
      <c r="D67" t="inlineStr">
        <is>
          <t>ma</t>
        </is>
      </c>
      <c r="E67" t="inlineStr">
        <is>
          <t>NOT RECOMMENDED</t>
        </is>
      </c>
      <c r="F67" t="inlineStr">
        <is>
          <t>mentions légales codesommet</t>
        </is>
      </c>
      <c r="G67" t="inlineStr">
        <is>
          <t>NOT AVAILABLE</t>
        </is>
      </c>
      <c r="H67" t="inlineStr">
        <is>
          <t>NOT AVAILABLE</t>
        </is>
      </c>
      <c r="I67" t="inlineStr">
        <is>
          <t>NOT AVAILABLE</t>
        </is>
      </c>
      <c r="J67" t="inlineStr">
        <is>
          <t>NOT AVAILABLE</t>
        </is>
      </c>
      <c r="K67" t="inlineStr">
        <is>
          <t>SUGGESTED</t>
        </is>
      </c>
      <c r="L67" t="inlineStr">
        <is>
          <t>P4</t>
        </is>
      </c>
      <c r="M67" t="n">
        <v>0</v>
      </c>
      <c r="N67">
        <f>ROUND(IF(IF(J67="NOT AVAILABLE","",J67)="",12,IF(OR(ISNUMBER(SEARCH("Transactional",IF(J67="NOT AVAILABLE","",J67))),ISNUMBER(SEARCH("Commercial",IF(J67="NOT AVAILABLE","",J67)))),25,IF(ISNUMBER(SEARCH("Informational",IF(J67="NOT AVAILABLE","",J67))),10,IF(ISNUMBER(SEARCH("Navigational",IF(J67="NOT AVAILABLE","",J67))),0,12))))+IF(ISNUMBER(G67),MIN(30,ROUND(30*LOG10(G67+1)/4,1)),0)+IF(ISNUMBER(H67),ROUND(25*(100-H67)/100,1),12.5)+20,0)</f>
        <v/>
      </c>
      <c r="O67">
        <f>ROUND(N67*M67/100,0)</f>
        <v/>
      </c>
      <c r="P67" s="5" t="inlineStr">
        <is>
          <t>Legal page - no keyword targeting; keep indexable for trust</t>
        </is>
      </c>
      <c r="Q67" s="5" t="inlineStr">
        <is>
          <t>n/a (not targeted)</t>
        </is>
      </c>
    </row>
    <row r="68">
      <c r="A68" s="3" t="inlineStr">
        <is>
          <t>https://codesommet.com/legal/privacy-policy</t>
        </is>
      </c>
      <c r="B68" s="5" t="inlineStr">
        <is>
          <t>Politique de Confidentialité</t>
        </is>
      </c>
      <c r="C68" t="inlineStr">
        <is>
          <t>Morocco</t>
        </is>
      </c>
      <c r="D68" t="inlineStr">
        <is>
          <t>ma</t>
        </is>
      </c>
      <c r="E68" t="inlineStr">
        <is>
          <t>NOT RECOMMENDED</t>
        </is>
      </c>
      <c r="F68" t="inlineStr">
        <is>
          <t>mentions légales codesommet</t>
        </is>
      </c>
      <c r="G68" t="inlineStr">
        <is>
          <t>NOT AVAILABLE</t>
        </is>
      </c>
      <c r="H68" t="inlineStr">
        <is>
          <t>NOT AVAILABLE</t>
        </is>
      </c>
      <c r="I68" t="inlineStr">
        <is>
          <t>NOT AVAILABLE</t>
        </is>
      </c>
      <c r="J68" t="inlineStr">
        <is>
          <t>NOT AVAILABLE</t>
        </is>
      </c>
      <c r="K68" t="inlineStr">
        <is>
          <t>SUGGESTED</t>
        </is>
      </c>
      <c r="L68" t="inlineStr">
        <is>
          <t>P4</t>
        </is>
      </c>
      <c r="M68" t="n">
        <v>0</v>
      </c>
      <c r="N68">
        <f>ROUND(IF(IF(J68="NOT AVAILABLE","",J68)="",12,IF(OR(ISNUMBER(SEARCH("Transactional",IF(J68="NOT AVAILABLE","",J68))),ISNUMBER(SEARCH("Commercial",IF(J68="NOT AVAILABLE","",J68)))),25,IF(ISNUMBER(SEARCH("Informational",IF(J68="NOT AVAILABLE","",J68))),10,IF(ISNUMBER(SEARCH("Navigational",IF(J68="NOT AVAILABLE","",J68))),0,12))))+IF(ISNUMBER(G68),MIN(30,ROUND(30*LOG10(G68+1)/4,1)),0)+IF(ISNUMBER(H68),ROUND(25*(100-H68)/100,1),12.5)+20,0)</f>
        <v/>
      </c>
      <c r="O68">
        <f>ROUND(N68*M68/100,0)</f>
        <v/>
      </c>
      <c r="P68" s="5" t="inlineStr">
        <is>
          <t>Legal page - no keyword targeting; keep indexable for trust</t>
        </is>
      </c>
      <c r="Q68" s="5" t="inlineStr">
        <is>
          <t>n/a (not targeted)</t>
        </is>
      </c>
    </row>
    <row r="69">
      <c r="A69" s="3" t="inlineStr">
        <is>
          <t>https://codesommet.com/legal/refund-policy</t>
        </is>
      </c>
      <c r="B69" s="5" t="inlineStr">
        <is>
          <t>Politique de Remboursement et d'Annulation</t>
        </is>
      </c>
      <c r="C69" t="inlineStr">
        <is>
          <t>Morocco</t>
        </is>
      </c>
      <c r="D69" t="inlineStr">
        <is>
          <t>ma</t>
        </is>
      </c>
      <c r="E69" t="inlineStr">
        <is>
          <t>NOT RECOMMENDED</t>
        </is>
      </c>
      <c r="F69" t="inlineStr">
        <is>
          <t>mentions légales codesommet</t>
        </is>
      </c>
      <c r="G69" t="inlineStr">
        <is>
          <t>NOT AVAILABLE</t>
        </is>
      </c>
      <c r="H69" t="inlineStr">
        <is>
          <t>NOT AVAILABLE</t>
        </is>
      </c>
      <c r="I69" t="inlineStr">
        <is>
          <t>NOT AVAILABLE</t>
        </is>
      </c>
      <c r="J69" t="inlineStr">
        <is>
          <t>NOT AVAILABLE</t>
        </is>
      </c>
      <c r="K69" t="inlineStr">
        <is>
          <t>SUGGESTED</t>
        </is>
      </c>
      <c r="L69" t="inlineStr">
        <is>
          <t>P4</t>
        </is>
      </c>
      <c r="M69" t="n">
        <v>0</v>
      </c>
      <c r="N69">
        <f>ROUND(IF(IF(J69="NOT AVAILABLE","",J69)="",12,IF(OR(ISNUMBER(SEARCH("Transactional",IF(J69="NOT AVAILABLE","",J69))),ISNUMBER(SEARCH("Commercial",IF(J69="NOT AVAILABLE","",J69)))),25,IF(ISNUMBER(SEARCH("Informational",IF(J69="NOT AVAILABLE","",J69))),10,IF(ISNUMBER(SEARCH("Navigational",IF(J69="NOT AVAILABLE","",J69))),0,12))))+IF(ISNUMBER(G69),MIN(30,ROUND(30*LOG10(G69+1)/4,1)),0)+IF(ISNUMBER(H69),ROUND(25*(100-H69)/100,1),12.5)+20,0)</f>
        <v/>
      </c>
      <c r="O69">
        <f>ROUND(N69*M69/100,0)</f>
        <v/>
      </c>
      <c r="P69" s="5" t="inlineStr">
        <is>
          <t>Legal page - no keyword targeting; keep indexable for trust</t>
        </is>
      </c>
      <c r="Q69" s="5" t="inlineStr">
        <is>
          <t>n/a (not targeted)</t>
        </is>
      </c>
    </row>
    <row r="70">
      <c r="A70" s="3" t="inlineStr">
        <is>
          <t>https://codesommet.com/legal/terms-of-service</t>
        </is>
      </c>
      <c r="B70" s="5" t="inlineStr">
        <is>
          <t>Conditions d'Utilisation</t>
        </is>
      </c>
      <c r="C70" t="inlineStr">
        <is>
          <t>Morocco</t>
        </is>
      </c>
      <c r="D70" t="inlineStr">
        <is>
          <t>ma</t>
        </is>
      </c>
      <c r="E70" t="inlineStr">
        <is>
          <t>NOT RECOMMENDED</t>
        </is>
      </c>
      <c r="F70" t="inlineStr">
        <is>
          <t>mentions légales codesommet</t>
        </is>
      </c>
      <c r="G70" t="inlineStr">
        <is>
          <t>NOT AVAILABLE</t>
        </is>
      </c>
      <c r="H70" t="inlineStr">
        <is>
          <t>NOT AVAILABLE</t>
        </is>
      </c>
      <c r="I70" t="inlineStr">
        <is>
          <t>NOT AVAILABLE</t>
        </is>
      </c>
      <c r="J70" t="inlineStr">
        <is>
          <t>NOT AVAILABLE</t>
        </is>
      </c>
      <c r="K70" t="inlineStr">
        <is>
          <t>SUGGESTED</t>
        </is>
      </c>
      <c r="L70" t="inlineStr">
        <is>
          <t>P4</t>
        </is>
      </c>
      <c r="M70" t="n">
        <v>0</v>
      </c>
      <c r="N70">
        <f>ROUND(IF(IF(J70="NOT AVAILABLE","",J70)="",12,IF(OR(ISNUMBER(SEARCH("Transactional",IF(J70="NOT AVAILABLE","",J70))),ISNUMBER(SEARCH("Commercial",IF(J70="NOT AVAILABLE","",J70)))),25,IF(ISNUMBER(SEARCH("Informational",IF(J70="NOT AVAILABLE","",J70))),10,IF(ISNUMBER(SEARCH("Navigational",IF(J70="NOT AVAILABLE","",J70))),0,12))))+IF(ISNUMBER(G70),MIN(30,ROUND(30*LOG10(G70+1)/4,1)),0)+IF(ISNUMBER(H70),ROUND(25*(100-H70)/100,1),12.5)+20,0)</f>
        <v/>
      </c>
      <c r="O70">
        <f>ROUND(N70*M70/100,0)</f>
        <v/>
      </c>
      <c r="P70" s="5" t="inlineStr">
        <is>
          <t>Legal page - no keyword targeting; keep indexable for trust</t>
        </is>
      </c>
      <c r="Q70" s="5" t="inlineStr">
        <is>
          <t>n/a (not targeted)</t>
        </is>
      </c>
    </row>
    <row r="71">
      <c r="A71" s="3" t="inlineStr">
        <is>
          <t>https://codesommet.com/locations</t>
        </is>
      </c>
      <c r="B71" s="5" t="inlineStr">
        <is>
          <t>Agence Web au Maroc et à l'International : des Sites Pour les Entreprises Intern</t>
        </is>
      </c>
      <c r="C71" t="inlineStr">
        <is>
          <t>Morocco</t>
        </is>
      </c>
      <c r="D71" t="inlineStr">
        <is>
          <t>ma</t>
        </is>
      </c>
      <c r="E71" t="inlineStr">
        <is>
          <t>PRIMARY</t>
        </is>
      </c>
      <c r="F71" t="inlineStr">
        <is>
          <t>agence web au maroc</t>
        </is>
      </c>
      <c r="G71" t="n">
        <v>30</v>
      </c>
      <c r="H71" t="inlineStr">
        <is>
          <t>NOT AVAILABLE</t>
        </is>
      </c>
      <c r="I71" t="n">
        <v>0.55</v>
      </c>
      <c r="J71" t="inlineStr">
        <is>
          <t>NOT AVAILABLE</t>
        </is>
      </c>
      <c r="K71" t="inlineStr">
        <is>
          <t>MEASURED</t>
        </is>
      </c>
      <c r="L71" t="inlineStr">
        <is>
          <t>P3</t>
        </is>
      </c>
      <c r="M71" t="n">
        <v>100</v>
      </c>
      <c r="N71">
        <f>ROUND(IF(IF(J71="NOT AVAILABLE","",J71)="",12,IF(OR(ISNUMBER(SEARCH("Transactional",IF(J71="NOT AVAILABLE","",J71))),ISNUMBER(SEARCH("Commercial",IF(J71="NOT AVAILABLE","",J71)))),25,IF(ISNUMBER(SEARCH("Informational",IF(J71="NOT AVAILABLE","",J71))),10,IF(ISNUMBER(SEARCH("Navigational",IF(J71="NOT AVAILABLE","",J71))),0,12))))+IF(ISNUMBER(G71),MIN(30,ROUND(30*LOG10(G71+1)/4,1)),0)+IF(ISNUMBER(H71),ROUND(25*(100-H71)/100,1),12.5)+20,0)</f>
        <v/>
      </c>
      <c r="O71">
        <f>ROUND(N71*M71/100,0)</f>
        <v/>
      </c>
      <c r="P71" s="5" t="inlineStr">
        <is>
          <t>Hub of city pages (30); keep hub role, do not compete with homepage</t>
        </is>
      </c>
      <c r="Q71" s="5" t="inlineStr">
        <is>
          <t>None detected</t>
        </is>
      </c>
    </row>
    <row r="72">
      <c r="A72" s="3" t="inlineStr">
        <is>
          <t>https://codesommet.com/locations</t>
        </is>
      </c>
      <c r="B72" s="5" t="inlineStr">
        <is>
          <t>Agence Web au Maroc et à l'International : des Sites Pour les Entreprises Intern</t>
        </is>
      </c>
      <c r="C72" t="inlineStr">
        <is>
          <t>Morocco</t>
        </is>
      </c>
      <c r="D72" t="inlineStr">
        <is>
          <t>ma</t>
        </is>
      </c>
      <c r="E72" t="inlineStr">
        <is>
          <t>SUPPORTING</t>
        </is>
      </c>
      <c r="F72" t="inlineStr">
        <is>
          <t>agence web offshore</t>
        </is>
      </c>
      <c r="G72" t="n">
        <v>30</v>
      </c>
      <c r="H72" t="inlineStr">
        <is>
          <t>NOT AVAILABLE</t>
        </is>
      </c>
      <c r="I72" t="n">
        <v>0</v>
      </c>
      <c r="J72" t="inlineStr">
        <is>
          <t>NOT AVAILABLE</t>
        </is>
      </c>
      <c r="K72" t="inlineStr">
        <is>
          <t>MEASURED</t>
        </is>
      </c>
      <c r="L72" t="inlineStr">
        <is>
          <t>P3</t>
        </is>
      </c>
      <c r="M72" t="n">
        <v>65</v>
      </c>
      <c r="N72">
        <f>ROUND(IF(IF(J72="NOT AVAILABLE","",J72)="",12,IF(OR(ISNUMBER(SEARCH("Transactional",IF(J72="NOT AVAILABLE","",J72))),ISNUMBER(SEARCH("Commercial",IF(J72="NOT AVAILABLE","",J72)))),25,IF(ISNUMBER(SEARCH("Informational",IF(J72="NOT AVAILABLE","",J72))),10,IF(ISNUMBER(SEARCH("Navigational",IF(J72="NOT AVAILABLE","",J72))),0,12))))+IF(ISNUMBER(G72),MIN(30,ROUND(30*LOG10(G72+1)/4,1)),0)+IF(ISNUMBER(H72),ROUND(25*(100-H72)/100,1),12.5)+20,0)</f>
        <v/>
      </c>
      <c r="O72">
        <f>ROUND(N72*M72/100,0)</f>
        <v/>
      </c>
      <c r="P72" s="5" t="inlineStr">
        <is>
          <t>30 - links to /worldwide</t>
        </is>
      </c>
      <c r="Q72" s="5" t="inlineStr">
        <is>
          <t>None detected</t>
        </is>
      </c>
    </row>
    <row r="73">
      <c r="A73" s="3" t="inlineStr">
        <is>
          <t>https://codesommet.com/locations</t>
        </is>
      </c>
      <c r="B73" s="5" t="inlineStr">
        <is>
          <t>Agence Web au Maroc et à l'International : des Sites Pour les Entreprises Intern</t>
        </is>
      </c>
      <c r="C73" t="inlineStr">
        <is>
          <t>Morocco</t>
        </is>
      </c>
      <c r="D73" t="inlineStr">
        <is>
          <t>ma</t>
        </is>
      </c>
      <c r="E73" t="inlineStr">
        <is>
          <t>NOT RECOMMENDED</t>
        </is>
      </c>
      <c r="F73" t="inlineStr">
        <is>
          <t>agence web maroc</t>
        </is>
      </c>
      <c r="G73" t="n">
        <v>480</v>
      </c>
      <c r="H73" t="n">
        <v>53</v>
      </c>
      <c r="I73" t="n">
        <v>0.62</v>
      </c>
      <c r="J73" t="inlineStr">
        <is>
          <t>Commercial</t>
        </is>
      </c>
      <c r="K73" t="inlineStr">
        <is>
          <t>MEASURED</t>
        </is>
      </c>
      <c r="L73" t="inlineStr">
        <is>
          <t>P4</t>
        </is>
      </c>
      <c r="M73" t="n">
        <v>0</v>
      </c>
      <c r="N73">
        <f>ROUND(IF(IF(J73="NOT AVAILABLE","",J73)="",12,IF(OR(ISNUMBER(SEARCH("Transactional",IF(J73="NOT AVAILABLE","",J73))),ISNUMBER(SEARCH("Commercial",IF(J73="NOT AVAILABLE","",J73)))),25,IF(ISNUMBER(SEARCH("Informational",IF(J73="NOT AVAILABLE","",J73))),10,IF(ISNUMBER(SEARCH("Navigational",IF(J73="NOT AVAILABLE","",J73))),0,12))))+IF(ISNUMBER(G73),MIN(30,ROUND(30*LOG10(G73+1)/4,1)),0)+IF(ISNUMBER(H73),ROUND(25*(100-H73)/100,1),12.5)+20,0)</f>
        <v/>
      </c>
      <c r="O73">
        <f>ROUND(N73*M73/100,0)</f>
        <v/>
      </c>
      <c r="P73" s="5" t="inlineStr">
        <is>
          <t>Homepage keyword - hub title overlap is a documented risk</t>
        </is>
      </c>
      <c r="Q73" s="5" t="inlineStr">
        <is>
          <t>n/a (not targeted)</t>
        </is>
      </c>
    </row>
    <row r="74">
      <c r="A74" s="3" t="inlineStr">
        <is>
          <t>https://codesommet.com/our-work</t>
        </is>
      </c>
      <c r="B74" s="5" t="inlineStr">
        <is>
          <t>Portfolio &amp; Études de Cas, Agence Web Maroc : Nos Projets Génèrent de Vrais Résu</t>
        </is>
      </c>
      <c r="C74" t="inlineStr">
        <is>
          <t>Morocco</t>
        </is>
      </c>
      <c r="D74" t="inlineStr">
        <is>
          <t>ma</t>
        </is>
      </c>
      <c r="E74" t="inlineStr">
        <is>
          <t>PRIMARY</t>
        </is>
      </c>
      <c r="F74" t="inlineStr">
        <is>
          <t>exemple de site web</t>
        </is>
      </c>
      <c r="G74" t="n">
        <v>20</v>
      </c>
      <c r="H74" t="inlineStr">
        <is>
          <t>NOT AVAILABLE</t>
        </is>
      </c>
      <c r="I74" t="n">
        <v>0.14</v>
      </c>
      <c r="J74" t="inlineStr">
        <is>
          <t>NOT AVAILABLE</t>
        </is>
      </c>
      <c r="K74" t="inlineStr">
        <is>
          <t>MEASURED</t>
        </is>
      </c>
      <c r="L74" t="inlineStr">
        <is>
          <t>P3</t>
        </is>
      </c>
      <c r="M74" t="n">
        <v>100</v>
      </c>
      <c r="N74">
        <f>ROUND(IF(IF(J74="NOT AVAILABLE","",J74)="",12,IF(OR(ISNUMBER(SEARCH("Transactional",IF(J74="NOT AVAILABLE","",J74))),ISNUMBER(SEARCH("Commercial",IF(J74="NOT AVAILABLE","",J74)))),25,IF(ISNUMBER(SEARCH("Informational",IF(J74="NOT AVAILABLE","",J74))),10,IF(ISNUMBER(SEARCH("Navigational",IF(J74="NOT AVAILABLE","",J74))),0,12))))+IF(ISNUMBER(G74),MIN(30,ROUND(30*LOG10(G74+1)/4,1)),0)+IF(ISNUMBER(H74),ROUND(25*(100-H74)/100,1),12.5)+20,0)</f>
        <v/>
      </c>
      <c r="O74">
        <f>ROUND(N74*M74/100,0)</f>
        <v/>
      </c>
      <c r="P74" s="5" t="inlineStr">
        <is>
          <t>Portfolio intent (20) - modest; page value is conversion/E-E-A-T</t>
        </is>
      </c>
      <c r="Q74" s="5" t="inlineStr">
        <is>
          <t>None detected</t>
        </is>
      </c>
    </row>
    <row r="75">
      <c r="A75" s="3" t="inlineStr">
        <is>
          <t>https://codesommet.com/our-work</t>
        </is>
      </c>
      <c r="B75" s="5" t="inlineStr">
        <is>
          <t>Portfolio &amp; Études de Cas, Agence Web Maroc : Nos Projets Génèrent de Vrais Résu</t>
        </is>
      </c>
      <c r="C75" t="inlineStr">
        <is>
          <t>Morocco</t>
        </is>
      </c>
      <c r="D75" t="inlineStr">
        <is>
          <t>ma</t>
        </is>
      </c>
      <c r="E75" t="inlineStr">
        <is>
          <t>SECONDARY</t>
        </is>
      </c>
      <c r="F75" t="inlineStr">
        <is>
          <t>exemple site web</t>
        </is>
      </c>
      <c r="G75" t="n">
        <v>20</v>
      </c>
      <c r="H75" t="inlineStr">
        <is>
          <t>NOT AVAILABLE</t>
        </is>
      </c>
      <c r="I75" t="n">
        <v>0.11</v>
      </c>
      <c r="J75" t="inlineStr">
        <is>
          <t>NOT AVAILABLE</t>
        </is>
      </c>
      <c r="K75" t="inlineStr">
        <is>
          <t>MEASURED</t>
        </is>
      </c>
      <c r="L75" t="inlineStr">
        <is>
          <t>P3</t>
        </is>
      </c>
      <c r="M75" t="n">
        <v>85</v>
      </c>
      <c r="N75">
        <f>ROUND(IF(IF(J75="NOT AVAILABLE","",J75)="",12,IF(OR(ISNUMBER(SEARCH("Transactional",IF(J75="NOT AVAILABLE","",J75))),ISNUMBER(SEARCH("Commercial",IF(J75="NOT AVAILABLE","",J75)))),25,IF(ISNUMBER(SEARCH("Informational",IF(J75="NOT AVAILABLE","",J75))),10,IF(ISNUMBER(SEARCH("Navigational",IF(J75="NOT AVAILABLE","",J75))),0,12))))+IF(ISNUMBER(G75),MIN(30,ROUND(30*LOG10(G75+1)/4,1)),0)+IF(ISNUMBER(H75),ROUND(25*(100-H75)/100,1),12.5)+20,0)</f>
        <v/>
      </c>
      <c r="O75">
        <f>ROUND(N75*M75/100,0)</f>
        <v/>
      </c>
      <c r="P75" s="5" t="inlineStr">
        <is>
          <t>Close commercial variant of the page topic</t>
        </is>
      </c>
      <c r="Q75" s="5" t="inlineStr">
        <is>
          <t>None detected</t>
        </is>
      </c>
    </row>
    <row r="76">
      <c r="A76" s="3" t="inlineStr">
        <is>
          <t>https://codesommet.com/our-work</t>
        </is>
      </c>
      <c r="B76" s="5" t="inlineStr">
        <is>
          <t>Portfolio &amp; Études de Cas, Agence Web Maroc : Nos Projets Génèrent de Vrais Résu</t>
        </is>
      </c>
      <c r="C76" t="inlineStr">
        <is>
          <t>Morocco</t>
        </is>
      </c>
      <c r="D76" t="inlineStr">
        <is>
          <t>ma</t>
        </is>
      </c>
      <c r="E76" t="inlineStr">
        <is>
          <t>SUPPORTING</t>
        </is>
      </c>
      <c r="F76" t="inlineStr">
        <is>
          <t>portfolio site web</t>
        </is>
      </c>
      <c r="G76" t="n">
        <v>10</v>
      </c>
      <c r="H76" t="inlineStr">
        <is>
          <t>NOT AVAILABLE</t>
        </is>
      </c>
      <c r="I76" t="n">
        <v>0.1</v>
      </c>
      <c r="J76" t="inlineStr">
        <is>
          <t>NOT AVAILABLE</t>
        </is>
      </c>
      <c r="K76" t="inlineStr">
        <is>
          <t>MEASURED</t>
        </is>
      </c>
      <c r="L76" t="inlineStr">
        <is>
          <t>P3</t>
        </is>
      </c>
      <c r="M76" t="n">
        <v>65</v>
      </c>
      <c r="N76">
        <f>ROUND(IF(IF(J76="NOT AVAILABLE","",J76)="",12,IF(OR(ISNUMBER(SEARCH("Transactional",IF(J76="NOT AVAILABLE","",J76))),ISNUMBER(SEARCH("Commercial",IF(J76="NOT AVAILABLE","",J76)))),25,IF(ISNUMBER(SEARCH("Informational",IF(J76="NOT AVAILABLE","",J76))),10,IF(ISNUMBER(SEARCH("Navigational",IF(J76="NOT AVAILABLE","",J76))),0,12))))+IF(ISNUMBER(G76),MIN(30,ROUND(30*LOG10(G76+1)/4,1)),0)+IF(ISNUMBER(H76),ROUND(25*(100-H76)/100,1),12.5)+20,0)</f>
        <v/>
      </c>
      <c r="O76">
        <f>ROUND(N76*M76/100,0)</f>
        <v/>
      </c>
      <c r="P76" s="5" t="inlineStr">
        <is>
          <t>Semantic/supporting term for body copy</t>
        </is>
      </c>
      <c r="Q76" s="5" t="inlineStr">
        <is>
          <t>None detected</t>
        </is>
      </c>
    </row>
    <row r="77">
      <c r="A77" s="3" t="inlineStr">
        <is>
          <t>https://codesommet.com/our-work</t>
        </is>
      </c>
      <c r="B77" s="5" t="inlineStr">
        <is>
          <t>Portfolio &amp; Études de Cas, Agence Web Maroc : Nos Projets Génèrent de Vrais Résu</t>
        </is>
      </c>
      <c r="C77" t="inlineStr">
        <is>
          <t>Morocco</t>
        </is>
      </c>
      <c r="D77" t="inlineStr">
        <is>
          <t>ma</t>
        </is>
      </c>
      <c r="E77" t="inlineStr">
        <is>
          <t>NOT RECOMMENDED</t>
        </is>
      </c>
      <c r="F77" t="inlineStr">
        <is>
          <t>agence web maroc</t>
        </is>
      </c>
      <c r="G77" t="n">
        <v>480</v>
      </c>
      <c r="H77" t="n">
        <v>53</v>
      </c>
      <c r="I77" t="n">
        <v>0.62</v>
      </c>
      <c r="J77" t="inlineStr">
        <is>
          <t>Commercial</t>
        </is>
      </c>
      <c r="K77" t="inlineStr">
        <is>
          <t>MEASURED</t>
        </is>
      </c>
      <c r="L77" t="inlineStr">
        <is>
          <t>P4</t>
        </is>
      </c>
      <c r="M77" t="n">
        <v>0</v>
      </c>
      <c r="N77">
        <f>ROUND(IF(IF(J77="NOT AVAILABLE","",J77)="",12,IF(OR(ISNUMBER(SEARCH("Transactional",IF(J77="NOT AVAILABLE","",J77))),ISNUMBER(SEARCH("Commercial",IF(J77="NOT AVAILABLE","",J77)))),25,IF(ISNUMBER(SEARCH("Informational",IF(J77="NOT AVAILABLE","",J77))),10,IF(ISNUMBER(SEARCH("Navigational",IF(J77="NOT AVAILABLE","",J77))),0,12))))+IF(ISNUMBER(G77),MIN(30,ROUND(30*LOG10(G77+1)/4,1)),0)+IF(ISNUMBER(H77),ROUND(25*(100-H77)/100,1),12.5)+20,0)</f>
        <v/>
      </c>
      <c r="O77">
        <f>ROUND(N77*M77/100,0)</f>
        <v/>
      </c>
      <c r="P77" s="5" t="inlineStr">
        <is>
          <t>Title contains "Agence Web Maroc" - homepage owns it; risk documented in cannibalisation sheet</t>
        </is>
      </c>
      <c r="Q77" s="5" t="inlineStr">
        <is>
          <t>n/a (not targeted)</t>
        </is>
      </c>
    </row>
    <row r="78">
      <c r="A78" s="3" t="inlineStr">
        <is>
          <t>https://codesommet.com/our-work/akoubri</t>
        </is>
      </c>
      <c r="B78" s="5" t="inlineStr">
        <is>
          <t>Akoubri Site d'Architecte à Marrakech</t>
        </is>
      </c>
      <c r="C78" t="inlineStr">
        <is>
          <t>France</t>
        </is>
      </c>
      <c r="D78" t="inlineStr">
        <is>
          <t>fr</t>
        </is>
      </c>
      <c r="E78" t="inlineStr">
        <is>
          <t>PRIMARY</t>
        </is>
      </c>
      <c r="F78" t="inlineStr">
        <is>
          <t>création site web architecte</t>
        </is>
      </c>
      <c r="G78" t="n">
        <v>70</v>
      </c>
      <c r="H78" t="n">
        <v>6</v>
      </c>
      <c r="I78" t="n">
        <v>0</v>
      </c>
      <c r="J78" t="inlineStr">
        <is>
          <t>Informational</t>
        </is>
      </c>
      <c r="K78" t="inlineStr">
        <is>
          <t>MEASURED</t>
        </is>
      </c>
      <c r="L78" t="inlineStr">
        <is>
          <t>P3</t>
        </is>
      </c>
      <c r="M78" t="n">
        <v>100</v>
      </c>
      <c r="N78">
        <f>ROUND(IF(IF(J78="NOT AVAILABLE","",J78)="",12,IF(OR(ISNUMBER(SEARCH("Transactional",IF(J78="NOT AVAILABLE","",J78))),ISNUMBER(SEARCH("Commercial",IF(J78="NOT AVAILABLE","",J78)))),25,IF(ISNUMBER(SEARCH("Informational",IF(J78="NOT AVAILABLE","",J78))),10,IF(ISNUMBER(SEARCH("Navigational",IF(J78="NOT AVAILABLE","",J78))),0,12))))+IF(ISNUMBER(G78),MIN(30,ROUND(30*LOG10(G78+1)/4,1)),0)+IF(ISNUMBER(H78),ROUND(25*(100-H78)/100,1),12.5)+14,0)</f>
        <v/>
      </c>
      <c r="O78">
        <f>ROUND(N78*M78/100,0)</f>
        <v/>
      </c>
      <c r="P78" s="5" t="inlineStr">
        <is>
          <t>FR 70, KD 6 - case study can rank for vertical long-tail</t>
        </is>
      </c>
      <c r="Q78" s="5" t="inlineStr">
        <is>
          <t>None detected</t>
        </is>
      </c>
    </row>
    <row r="79">
      <c r="A79" s="3" t="inlineStr">
        <is>
          <t>https://codesommet.com/our-work/akoubri</t>
        </is>
      </c>
      <c r="B79" s="5" t="inlineStr">
        <is>
          <t>Akoubri Site d'Architecte à Marrakech</t>
        </is>
      </c>
      <c r="C79" t="inlineStr">
        <is>
          <t>France</t>
        </is>
      </c>
      <c r="D79" t="inlineStr">
        <is>
          <t>fr</t>
        </is>
      </c>
      <c r="E79" t="inlineStr">
        <is>
          <t>SECONDARY</t>
        </is>
      </c>
      <c r="F79" t="inlineStr">
        <is>
          <t>site web architecte</t>
        </is>
      </c>
      <c r="G79" t="n">
        <v>70</v>
      </c>
      <c r="H79" t="n">
        <v>5</v>
      </c>
      <c r="I79" t="n">
        <v>0.9</v>
      </c>
      <c r="J79" t="inlineStr">
        <is>
          <t>Commercial</t>
        </is>
      </c>
      <c r="K79" t="inlineStr">
        <is>
          <t>MEASURED</t>
        </is>
      </c>
      <c r="L79" t="inlineStr">
        <is>
          <t>P3</t>
        </is>
      </c>
      <c r="M79" t="n">
        <v>85</v>
      </c>
      <c r="N79">
        <f>ROUND(IF(IF(J79="NOT AVAILABLE","",J79)="",12,IF(OR(ISNUMBER(SEARCH("Transactional",IF(J79="NOT AVAILABLE","",J79))),ISNUMBER(SEARCH("Commercial",IF(J79="NOT AVAILABLE","",J79)))),25,IF(ISNUMBER(SEARCH("Informational",IF(J79="NOT AVAILABLE","",J79))),10,IF(ISNUMBER(SEARCH("Navigational",IF(J79="NOT AVAILABLE","",J79))),0,12))))+IF(ISNUMBER(G79),MIN(30,ROUND(30*LOG10(G79+1)/4,1)),0)+IF(ISNUMBER(H79),ROUND(25*(100-H79)/100,1),12.5)+14,0)</f>
        <v/>
      </c>
      <c r="O79">
        <f>ROUND(N79*M79/100,0)</f>
        <v/>
      </c>
      <c r="P79" s="5" t="inlineStr">
        <is>
          <t>70, KD 5</t>
        </is>
      </c>
      <c r="Q79" s="5" t="inlineStr">
        <is>
          <t>None detected</t>
        </is>
      </c>
    </row>
    <row r="80">
      <c r="A80" s="3" t="inlineStr">
        <is>
          <t>https://codesommet.com/our-work/akoubri</t>
        </is>
      </c>
      <c r="B80" s="5" t="inlineStr">
        <is>
          <t>Akoubri Site d'Architecte à Marrakech</t>
        </is>
      </c>
      <c r="C80" t="inlineStr">
        <is>
          <t>France</t>
        </is>
      </c>
      <c r="D80" t="inlineStr">
        <is>
          <t>fr</t>
        </is>
      </c>
      <c r="E80" t="inlineStr">
        <is>
          <t>SUPPORTING</t>
        </is>
      </c>
      <c r="F80" t="inlineStr">
        <is>
          <t>site architecte</t>
        </is>
      </c>
      <c r="G80" t="n">
        <v>110</v>
      </c>
      <c r="H80" t="n">
        <v>43</v>
      </c>
      <c r="I80" t="n">
        <v>0.74</v>
      </c>
      <c r="J80" t="inlineStr">
        <is>
          <t>Informational</t>
        </is>
      </c>
      <c r="K80" t="inlineStr">
        <is>
          <t>MEASURED</t>
        </is>
      </c>
      <c r="L80" t="inlineStr">
        <is>
          <t>P3</t>
        </is>
      </c>
      <c r="M80" t="n">
        <v>65</v>
      </c>
      <c r="N80">
        <f>ROUND(IF(IF(J80="NOT AVAILABLE","",J80)="",12,IF(OR(ISNUMBER(SEARCH("Transactional",IF(J80="NOT AVAILABLE","",J80))),ISNUMBER(SEARCH("Commercial",IF(J80="NOT AVAILABLE","",J80)))),25,IF(ISNUMBER(SEARCH("Informational",IF(J80="NOT AVAILABLE","",J80))),10,IF(ISNUMBER(SEARCH("Navigational",IF(J80="NOT AVAILABLE","",J80))),0,12))))+IF(ISNUMBER(G80),MIN(30,ROUND(30*LOG10(G80+1)/4,1)),0)+IF(ISNUMBER(H80),ROUND(25*(100-H80)/100,1),12.5)+14,0)</f>
        <v/>
      </c>
      <c r="O80">
        <f>ROUND(N80*M80/100,0)</f>
        <v/>
      </c>
      <c r="P80" s="5" t="inlineStr">
        <is>
          <t>Semantic/supporting term for body copy</t>
        </is>
      </c>
      <c r="Q80" s="5" t="inlineStr">
        <is>
          <t>None detected</t>
        </is>
      </c>
    </row>
    <row r="81">
      <c r="A81" s="3" t="inlineStr">
        <is>
          <t>https://codesommet.com/our-work/akoubri</t>
        </is>
      </c>
      <c r="B81" s="5" t="inlineStr">
        <is>
          <t>Akoubri Site d'Architecte à Marrakech</t>
        </is>
      </c>
      <c r="C81" t="inlineStr">
        <is>
          <t>Morocco</t>
        </is>
      </c>
      <c r="D81" t="inlineStr">
        <is>
          <t>ma</t>
        </is>
      </c>
      <c r="E81" t="inlineStr">
        <is>
          <t>NOT RECOMMENDED</t>
        </is>
      </c>
      <c r="F81" t="inlineStr">
        <is>
          <t>architecte marrakech</t>
        </is>
      </c>
      <c r="G81" t="n">
        <v>1000</v>
      </c>
      <c r="H81" t="n">
        <v>31</v>
      </c>
      <c r="I81" t="n">
        <v>0.46</v>
      </c>
      <c r="J81" t="inlineStr">
        <is>
          <t>Commercial</t>
        </is>
      </c>
      <c r="K81" t="inlineStr">
        <is>
          <t>MEASURED</t>
        </is>
      </c>
      <c r="L81" t="inlineStr">
        <is>
          <t>P4</t>
        </is>
      </c>
      <c r="M81" t="n">
        <v>0</v>
      </c>
      <c r="N81">
        <f>ROUND(IF(IF(J81="NOT AVAILABLE","",J81)="",12,IF(OR(ISNUMBER(SEARCH("Transactional",IF(J81="NOT AVAILABLE","",J81))),ISNUMBER(SEARCH("Commercial",IF(J81="NOT AVAILABLE","",J81)))),25,IF(ISNUMBER(SEARCH("Informational",IF(J81="NOT AVAILABLE","",J81))),10,IF(ISNUMBER(SEARCH("Navigational",IF(J81="NOT AVAILABLE","",J81))),0,12))))+IF(ISNUMBER(G81),MIN(30,ROUND(30*LOG10(G81+1)/4,1)),0)+IF(ISNUMBER(H81),ROUND(25*(100-H81)/100,1),12.5)+20,0)</f>
        <v/>
      </c>
      <c r="O81">
        <f>ROUND(N81*M81/100,0)</f>
        <v/>
      </c>
      <c r="P81" s="5" t="inlineStr">
        <is>
          <t>People seeking an architect (1000) - wrong audience</t>
        </is>
      </c>
      <c r="Q81" s="5" t="inlineStr">
        <is>
          <t>n/a (not targeted)</t>
        </is>
      </c>
    </row>
    <row r="82">
      <c r="A82" s="3" t="inlineStr">
        <is>
          <t>https://codesommet.com/our-work/authentic-morocco-adventures</t>
        </is>
      </c>
      <c r="B82" s="5" t="inlineStr">
        <is>
          <t>Authentic Morocco Adventures Circuits Privés</t>
        </is>
      </c>
      <c r="C82" t="inlineStr">
        <is>
          <t>France</t>
        </is>
      </c>
      <c r="D82" t="inlineStr">
        <is>
          <t>fr</t>
        </is>
      </c>
      <c r="E82" t="inlineStr">
        <is>
          <t>PRIMARY</t>
        </is>
      </c>
      <c r="F82" t="inlineStr">
        <is>
          <t>site web agence de voyage</t>
        </is>
      </c>
      <c r="G82" t="n">
        <v>70</v>
      </c>
      <c r="H82" t="n">
        <v>10</v>
      </c>
      <c r="I82" t="n">
        <v>0.79</v>
      </c>
      <c r="J82" t="inlineStr">
        <is>
          <t>Informational</t>
        </is>
      </c>
      <c r="K82" t="inlineStr">
        <is>
          <t>MEASURED</t>
        </is>
      </c>
      <c r="L82" t="inlineStr">
        <is>
          <t>P3</t>
        </is>
      </c>
      <c r="M82" t="n">
        <v>100</v>
      </c>
      <c r="N82">
        <f>ROUND(IF(IF(J82="NOT AVAILABLE","",J82)="",12,IF(OR(ISNUMBER(SEARCH("Transactional",IF(J82="NOT AVAILABLE","",J82))),ISNUMBER(SEARCH("Commercial",IF(J82="NOT AVAILABLE","",J82)))),25,IF(ISNUMBER(SEARCH("Informational",IF(J82="NOT AVAILABLE","",J82))),10,IF(ISNUMBER(SEARCH("Navigational",IF(J82="NOT AVAILABLE","",J82))),0,12))))+IF(ISNUMBER(G82),MIN(30,ROUND(30*LOG10(G82+1)/4,1)),0)+IF(ISNUMBER(H82),ROUND(25*(100-H82)/100,1),12.5)+14,0)</f>
        <v/>
      </c>
      <c r="O82">
        <f>ROUND(N82*M82/100,0)</f>
        <v/>
      </c>
      <c r="P82" s="5" t="inlineStr">
        <is>
          <t>FR 70, KD 10</t>
        </is>
      </c>
      <c r="Q82" s="5" t="inlineStr">
        <is>
          <t>None detected</t>
        </is>
      </c>
    </row>
    <row r="83">
      <c r="A83" s="3" t="inlineStr">
        <is>
          <t>https://codesommet.com/our-work/authentic-morocco-adventures</t>
        </is>
      </c>
      <c r="B83" s="5" t="inlineStr">
        <is>
          <t>Authentic Morocco Adventures Circuits Privés</t>
        </is>
      </c>
      <c r="C83" t="inlineStr">
        <is>
          <t>Morocco</t>
        </is>
      </c>
      <c r="D83" t="inlineStr">
        <is>
          <t>ma</t>
        </is>
      </c>
      <c r="E83" t="inlineStr">
        <is>
          <t>SUPPORTING</t>
        </is>
      </c>
      <c r="F83" t="inlineStr">
        <is>
          <t>site web agence de voyage</t>
        </is>
      </c>
      <c r="G83" t="n">
        <v>20</v>
      </c>
      <c r="H83" t="inlineStr">
        <is>
          <t>NOT AVAILABLE</t>
        </is>
      </c>
      <c r="I83" t="n">
        <v>0.12</v>
      </c>
      <c r="J83" t="inlineStr">
        <is>
          <t>NOT AVAILABLE</t>
        </is>
      </c>
      <c r="K83" t="inlineStr">
        <is>
          <t>MEASURED</t>
        </is>
      </c>
      <c r="L83" t="inlineStr">
        <is>
          <t>P3</t>
        </is>
      </c>
      <c r="M83" t="n">
        <v>65</v>
      </c>
      <c r="N83">
        <f>ROUND(IF(IF(J83="NOT AVAILABLE","",J83)="",12,IF(OR(ISNUMBER(SEARCH("Transactional",IF(J83="NOT AVAILABLE","",J83))),ISNUMBER(SEARCH("Commercial",IF(J83="NOT AVAILABLE","",J83)))),25,IF(ISNUMBER(SEARCH("Informational",IF(J83="NOT AVAILABLE","",J83))),10,IF(ISNUMBER(SEARCH("Navigational",IF(J83="NOT AVAILABLE","",J83))),0,12))))+IF(ISNUMBER(G83),MIN(30,ROUND(30*LOG10(G83+1)/4,1)),0)+IF(ISNUMBER(H83),ROUND(25*(100-H83)/100,1),12.5)+20,0)</f>
        <v/>
      </c>
      <c r="O83">
        <f>ROUND(N83*M83/100,0)</f>
        <v/>
      </c>
      <c r="P83" s="5" t="inlineStr">
        <is>
          <t>Semantic/supporting term for body copy</t>
        </is>
      </c>
      <c r="Q83" s="5" t="inlineStr">
        <is>
          <t>None detected</t>
        </is>
      </c>
    </row>
    <row r="84">
      <c r="A84" s="3" t="inlineStr">
        <is>
          <t>https://codesommet.com/our-work/dental-pro</t>
        </is>
      </c>
      <c r="B84" s="5" t="inlineStr">
        <is>
          <t>Dental Pro E-commerce &amp; CMS Dentaire</t>
        </is>
      </c>
      <c r="C84" t="inlineStr">
        <is>
          <t>France</t>
        </is>
      </c>
      <c r="D84" t="inlineStr">
        <is>
          <t>fr</t>
        </is>
      </c>
      <c r="E84" t="inlineStr">
        <is>
          <t>PRIMARY</t>
        </is>
      </c>
      <c r="F84" t="inlineStr">
        <is>
          <t>site e-commerce dentaire</t>
        </is>
      </c>
      <c r="G84" t="inlineStr">
        <is>
          <t>NOT AVAILABLE</t>
        </is>
      </c>
      <c r="H84" t="inlineStr">
        <is>
          <t>NOT AVAILABLE</t>
        </is>
      </c>
      <c r="I84" t="inlineStr">
        <is>
          <t>NOT AVAILABLE</t>
        </is>
      </c>
      <c r="J84" t="inlineStr">
        <is>
          <t>NOT AVAILABLE</t>
        </is>
      </c>
      <c r="K84" t="inlineStr">
        <is>
          <t>UNAVAILABLE</t>
        </is>
      </c>
      <c r="L84" t="inlineStr">
        <is>
          <t>P3</t>
        </is>
      </c>
      <c r="M84" t="n">
        <v>100</v>
      </c>
      <c r="N84">
        <f>ROUND(IF(IF(J84="NOT AVAILABLE","",J84)="",12,IF(OR(ISNUMBER(SEARCH("Transactional",IF(J84="NOT AVAILABLE","",J84))),ISNUMBER(SEARCH("Commercial",IF(J84="NOT AVAILABLE","",J84)))),25,IF(ISNUMBER(SEARCH("Informational",IF(J84="NOT AVAILABLE","",J84))),10,IF(ISNUMBER(SEARCH("Navigational",IF(J84="NOT AVAILABLE","",J84))),0,12))))+IF(ISNUMBER(G84),MIN(30,ROUND(30*LOG10(G84+1)/4,1)),0)+IF(ISNUMBER(H84),ROUND(25*(100-H84)/100,1),12.5)+14,0)</f>
        <v/>
      </c>
      <c r="O84">
        <f>ROUND(N84*M84/100,0)</f>
        <v/>
      </c>
      <c r="P84" s="5" t="inlineStr">
        <is>
          <t>No measurable demand - portfolio proof page</t>
        </is>
      </c>
      <c r="Q84" s="5" t="inlineStr">
        <is>
          <t>None detected</t>
        </is>
      </c>
    </row>
    <row r="85">
      <c r="A85" s="3" t="inlineStr">
        <is>
          <t>https://codesommet.com/our-work/glamworlds</t>
        </is>
      </c>
      <c r="B85" s="5" t="inlineStr">
        <is>
          <t>GlamWorlds Boutique Shopify de Lunettes</t>
        </is>
      </c>
      <c r="C85" t="inlineStr">
        <is>
          <t>France</t>
        </is>
      </c>
      <c r="D85" t="inlineStr">
        <is>
          <t>fr</t>
        </is>
      </c>
      <c r="E85" t="inlineStr">
        <is>
          <t>PRIMARY</t>
        </is>
      </c>
      <c r="F85" t="inlineStr">
        <is>
          <t>création boutique shopify</t>
        </is>
      </c>
      <c r="G85" t="n">
        <v>50</v>
      </c>
      <c r="H85" t="inlineStr">
        <is>
          <t>NOT AVAILABLE</t>
        </is>
      </c>
      <c r="I85" t="n">
        <v>4.05</v>
      </c>
      <c r="J85" t="inlineStr">
        <is>
          <t>NOT AVAILABLE</t>
        </is>
      </c>
      <c r="K85" t="inlineStr">
        <is>
          <t>MEASURED</t>
        </is>
      </c>
      <c r="L85" t="inlineStr">
        <is>
          <t>P3</t>
        </is>
      </c>
      <c r="M85" t="n">
        <v>100</v>
      </c>
      <c r="N85">
        <f>ROUND(IF(IF(J85="NOT AVAILABLE","",J85)="",12,IF(OR(ISNUMBER(SEARCH("Transactional",IF(J85="NOT AVAILABLE","",J85))),ISNUMBER(SEARCH("Commercial",IF(J85="NOT AVAILABLE","",J85)))),25,IF(ISNUMBER(SEARCH("Informational",IF(J85="NOT AVAILABLE","",J85))),10,IF(ISNUMBER(SEARCH("Navigational",IF(J85="NOT AVAILABLE","",J85))),0,12))))+IF(ISNUMBER(G85),MIN(30,ROUND(30*LOG10(G85+1)/4,1)),0)+IF(ISNUMBER(H85),ROUND(25*(100-H85)/100,1),12.5)+14,0)</f>
        <v/>
      </c>
      <c r="O85">
        <f>ROUND(N85*M85/100,0)</f>
        <v/>
      </c>
      <c r="P85" s="5" t="inlineStr">
        <is>
          <t>FR 50 - honest description of the project</t>
        </is>
      </c>
      <c r="Q85" s="5" t="inlineStr">
        <is>
          <t>None detected</t>
        </is>
      </c>
    </row>
    <row r="86">
      <c r="A86" s="3" t="inlineStr">
        <is>
          <t>https://codesommet.com/our-work/glamworlds</t>
        </is>
      </c>
      <c r="B86" s="5" t="inlineStr">
        <is>
          <t>GlamWorlds Boutique Shopify de Lunettes</t>
        </is>
      </c>
      <c r="C86" t="inlineStr">
        <is>
          <t>France</t>
        </is>
      </c>
      <c r="D86" t="inlineStr">
        <is>
          <t>fr</t>
        </is>
      </c>
      <c r="E86" t="inlineStr">
        <is>
          <t>OPTIONAL</t>
        </is>
      </c>
      <c r="F86" t="inlineStr">
        <is>
          <t>boutique shopify</t>
        </is>
      </c>
      <c r="G86" t="n">
        <v>1600</v>
      </c>
      <c r="H86" t="n">
        <v>24</v>
      </c>
      <c r="I86" t="n">
        <v>2.02</v>
      </c>
      <c r="J86" t="inlineStr">
        <is>
          <t>Informational</t>
        </is>
      </c>
      <c r="K86" t="inlineStr">
        <is>
          <t>MEASURED</t>
        </is>
      </c>
      <c r="L86" t="inlineStr">
        <is>
          <t>P4</t>
        </is>
      </c>
      <c r="M86" t="n">
        <v>45</v>
      </c>
      <c r="N86">
        <f>ROUND(IF(IF(J86="NOT AVAILABLE","",J86)="",12,IF(OR(ISNUMBER(SEARCH("Transactional",IF(J86="NOT AVAILABLE","",J86))),ISNUMBER(SEARCH("Commercial",IF(J86="NOT AVAILABLE","",J86)))),25,IF(ISNUMBER(SEARCH("Informational",IF(J86="NOT AVAILABLE","",J86))),10,IF(ISNUMBER(SEARCH("Navigational",IF(J86="NOT AVAILABLE","",J86))),0,12))))+IF(ISNUMBER(G86),MIN(30,ROUND(30*LOG10(G86+1)/4,1)),0)+IF(ISNUMBER(H86),ROUND(25*(100-H86)/100,1),12.5)+14,0)</f>
        <v/>
      </c>
      <c r="O86">
        <f>ROUND(N86*M86/100,0)</f>
        <v/>
      </c>
      <c r="P86" s="5" t="inlineStr">
        <is>
          <t>1600, KD 24 - broad Shopify intent; case study unlikely to rank</t>
        </is>
      </c>
      <c r="Q86" s="5" t="inlineStr">
        <is>
          <t>None detected</t>
        </is>
      </c>
    </row>
    <row r="87">
      <c r="A87" s="3" t="inlineStr">
        <is>
          <t>https://codesommet.com/our-work/gls-sprachenzentrum</t>
        </is>
      </c>
      <c r="B87" s="5" t="inlineStr">
        <is>
          <t>GLS Sprachenzentrum École de Langue Allemande</t>
        </is>
      </c>
      <c r="C87" t="inlineStr">
        <is>
          <t>Morocco</t>
        </is>
      </c>
      <c r="D87" t="inlineStr">
        <is>
          <t>ma</t>
        </is>
      </c>
      <c r="E87" t="inlineStr">
        <is>
          <t>PRIMARY</t>
        </is>
      </c>
      <c r="F87" t="inlineStr">
        <is>
          <t>site web école de langues</t>
        </is>
      </c>
      <c r="G87" t="inlineStr">
        <is>
          <t>NOT AVAILABLE</t>
        </is>
      </c>
      <c r="H87" t="inlineStr">
        <is>
          <t>NOT AVAILABLE</t>
        </is>
      </c>
      <c r="I87" t="inlineStr">
        <is>
          <t>NOT AVAILABLE</t>
        </is>
      </c>
      <c r="J87" t="inlineStr">
        <is>
          <t>NOT AVAILABLE</t>
        </is>
      </c>
      <c r="K87" t="inlineStr">
        <is>
          <t>UNAVAILABLE</t>
        </is>
      </c>
      <c r="L87" t="inlineStr">
        <is>
          <t>P3</t>
        </is>
      </c>
      <c r="M87" t="n">
        <v>100</v>
      </c>
      <c r="N87">
        <f>ROUND(IF(IF(J87="NOT AVAILABLE","",J87)="",12,IF(OR(ISNUMBER(SEARCH("Transactional",IF(J87="NOT AVAILABLE","",J87))),ISNUMBER(SEARCH("Commercial",IF(J87="NOT AVAILABLE","",J87)))),25,IF(ISNUMBER(SEARCH("Informational",IF(J87="NOT AVAILABLE","",J87))),10,IF(ISNUMBER(SEARCH("Navigational",IF(J87="NOT AVAILABLE","",J87))),0,12))))+IF(ISNUMBER(G87),MIN(30,ROUND(30*LOG10(G87+1)/4,1)),0)+IF(ISNUMBER(H87),ROUND(25*(100-H87)/100,1),12.5)+20,0)</f>
        <v/>
      </c>
      <c r="O87">
        <f>ROUND(N87*M87/100,0)</f>
        <v/>
      </c>
      <c r="P87" s="5" t="inlineStr">
        <is>
          <t>Proof page for the language-school service - link to it</t>
        </is>
      </c>
      <c r="Q87" s="5" t="inlineStr">
        <is>
          <t>None detected</t>
        </is>
      </c>
    </row>
    <row r="88">
      <c r="A88" s="3" t="inlineStr">
        <is>
          <t>https://codesommet.com/our-work/gls-sprachenzentrum</t>
        </is>
      </c>
      <c r="B88" s="5" t="inlineStr">
        <is>
          <t>GLS Sprachenzentrum École de Langue Allemande</t>
        </is>
      </c>
      <c r="C88" t="inlineStr">
        <is>
          <t>Morocco</t>
        </is>
      </c>
      <c r="D88" t="inlineStr">
        <is>
          <t>ma</t>
        </is>
      </c>
      <c r="E88" t="inlineStr">
        <is>
          <t>NOT RECOMMENDED</t>
        </is>
      </c>
      <c r="F88" t="inlineStr">
        <is>
          <t>cours allemand casablanca</t>
        </is>
      </c>
      <c r="G88" t="n">
        <v>20</v>
      </c>
      <c r="H88" t="inlineStr">
        <is>
          <t>NOT AVAILABLE</t>
        </is>
      </c>
      <c r="I88" t="n">
        <v>0.32</v>
      </c>
      <c r="J88" t="inlineStr">
        <is>
          <t>NOT AVAILABLE</t>
        </is>
      </c>
      <c r="K88" t="inlineStr">
        <is>
          <t>MEASURED</t>
        </is>
      </c>
      <c r="L88" t="inlineStr">
        <is>
          <t>P4</t>
        </is>
      </c>
      <c r="M88" t="n">
        <v>0</v>
      </c>
      <c r="N88">
        <f>ROUND(IF(IF(J88="NOT AVAILABLE","",J88)="",12,IF(OR(ISNUMBER(SEARCH("Transactional",IF(J88="NOT AVAILABLE","",J88))),ISNUMBER(SEARCH("Commercial",IF(J88="NOT AVAILABLE","",J88)))),25,IF(ISNUMBER(SEARCH("Informational",IF(J88="NOT AVAILABLE","",J88))),10,IF(ISNUMBER(SEARCH("Navigational",IF(J88="NOT AVAILABLE","",J88))),0,12))))+IF(ISNUMBER(G88),MIN(30,ROUND(30*LOG10(G88+1)/4,1)),0)+IF(ISNUMBER(H88),ROUND(25*(100-H88)/100,1),12.5)+20,0)</f>
        <v/>
      </c>
      <c r="O88">
        <f>ROUND(N88*M88/100,0)</f>
        <v/>
      </c>
      <c r="P88" s="5" t="inlineStr">
        <is>
          <t>Client's own commercial keyword - never target from CodeSommet</t>
        </is>
      </c>
      <c r="Q88" s="5" t="inlineStr">
        <is>
          <t>n/a (not targeted)</t>
        </is>
      </c>
    </row>
    <row r="89">
      <c r="A89" s="3" t="inlineStr">
        <is>
          <t>https://codesommet.com/our-work/hssabek</t>
        </is>
      </c>
      <c r="B89" s="5" t="inlineStr">
        <is>
          <t>Hssabek SaaS de Facturation Multi-Tenant</t>
        </is>
      </c>
      <c r="C89" t="inlineStr">
        <is>
          <t>France</t>
        </is>
      </c>
      <c r="D89" t="inlineStr">
        <is>
          <t>fr</t>
        </is>
      </c>
      <c r="E89" t="inlineStr">
        <is>
          <t>PRIMARY</t>
        </is>
      </c>
      <c r="F89" t="inlineStr">
        <is>
          <t>saas facturation</t>
        </is>
      </c>
      <c r="G89" t="n">
        <v>20</v>
      </c>
      <c r="H89" t="inlineStr">
        <is>
          <t>NOT AVAILABLE</t>
        </is>
      </c>
      <c r="I89" t="n">
        <v>3.45</v>
      </c>
      <c r="J89" t="inlineStr">
        <is>
          <t>NOT AVAILABLE</t>
        </is>
      </c>
      <c r="K89" t="inlineStr">
        <is>
          <t>MEASURED</t>
        </is>
      </c>
      <c r="L89" t="inlineStr">
        <is>
          <t>P3</t>
        </is>
      </c>
      <c r="M89" t="n">
        <v>100</v>
      </c>
      <c r="N89">
        <f>ROUND(IF(IF(J89="NOT AVAILABLE","",J89)="",12,IF(OR(ISNUMBER(SEARCH("Transactional",IF(J89="NOT AVAILABLE","",J89))),ISNUMBER(SEARCH("Commercial",IF(J89="NOT AVAILABLE","",J89)))),25,IF(ISNUMBER(SEARCH("Informational",IF(J89="NOT AVAILABLE","",J89))),10,IF(ISNUMBER(SEARCH("Navigational",IF(J89="NOT AVAILABLE","",J89))),0,12))))+IF(ISNUMBER(G89),MIN(30,ROUND(30*LOG10(G89+1)/4,1)),0)+IF(ISNUMBER(H89),ROUND(25*(100-H89)/100,1),12.5)+14,0)</f>
        <v/>
      </c>
      <c r="O89">
        <f>ROUND(N89*M89/100,0)</f>
        <v/>
      </c>
      <c r="P89" s="5" t="inlineStr">
        <is>
          <t>Case-study topic (FR 20)</t>
        </is>
      </c>
      <c r="Q89" s="5" t="inlineStr">
        <is>
          <t>None detected</t>
        </is>
      </c>
    </row>
    <row r="90">
      <c r="A90" s="3" t="inlineStr">
        <is>
          <t>https://codesommet.com/our-work/hssabek</t>
        </is>
      </c>
      <c r="B90" s="5" t="inlineStr">
        <is>
          <t>Hssabek SaaS de Facturation Multi-Tenant</t>
        </is>
      </c>
      <c r="C90" t="inlineStr">
        <is>
          <t>France</t>
        </is>
      </c>
      <c r="D90" t="inlineStr">
        <is>
          <t>fr</t>
        </is>
      </c>
      <c r="E90" t="inlineStr">
        <is>
          <t>NOT RECOMMENDED</t>
        </is>
      </c>
      <c r="F90" t="inlineStr">
        <is>
          <t>logiciel de facturation</t>
        </is>
      </c>
      <c r="G90" t="n">
        <v>4400</v>
      </c>
      <c r="H90" t="n">
        <v>48</v>
      </c>
      <c r="I90" t="n">
        <v>4.49</v>
      </c>
      <c r="J90" t="inlineStr">
        <is>
          <t>Informational</t>
        </is>
      </c>
      <c r="K90" t="inlineStr">
        <is>
          <t>MEASURED</t>
        </is>
      </c>
      <c r="L90" t="inlineStr">
        <is>
          <t>P4</t>
        </is>
      </c>
      <c r="M90" t="n">
        <v>0</v>
      </c>
      <c r="N90">
        <f>ROUND(IF(IF(J90="NOT AVAILABLE","",J90)="",12,IF(OR(ISNUMBER(SEARCH("Transactional",IF(J90="NOT AVAILABLE","",J90))),ISNUMBER(SEARCH("Commercial",IF(J90="NOT AVAILABLE","",J90)))),25,IF(ISNUMBER(SEARCH("Informational",IF(J90="NOT AVAILABLE","",J90))),10,IF(ISNUMBER(SEARCH("Navigational",IF(J90="NOT AVAILABLE","",J90))),0,12))))+IF(ISNUMBER(G90),MIN(30,ROUND(30*LOG10(G90+1)/4,1)),0)+IF(ISNUMBER(H90),ROUND(25*(100-H90)/100,1),12.5)+14,0)</f>
        <v/>
      </c>
      <c r="O90">
        <f>ROUND(N90*M90/100,0)</f>
        <v/>
      </c>
      <c r="P90" s="5" t="inlineStr">
        <is>
          <t>Client product keyword (4400) - would mislead users</t>
        </is>
      </c>
      <c r="Q90" s="5" t="inlineStr">
        <is>
          <t>n/a (not targeted)</t>
        </is>
      </c>
    </row>
    <row r="91">
      <c r="A91" s="3" t="inlineStr">
        <is>
          <t>https://codesommet.com/our-work/hssabek</t>
        </is>
      </c>
      <c r="B91" s="5" t="inlineStr">
        <is>
          <t>Hssabek SaaS de Facturation Multi-Tenant</t>
        </is>
      </c>
      <c r="C91" t="inlineStr">
        <is>
          <t>Morocco</t>
        </is>
      </c>
      <c r="D91" t="inlineStr">
        <is>
          <t>ma</t>
        </is>
      </c>
      <c r="E91" t="inlineStr">
        <is>
          <t>NOT RECOMMENDED</t>
        </is>
      </c>
      <c r="F91" t="inlineStr">
        <is>
          <t>logiciel facturation maroc</t>
        </is>
      </c>
      <c r="G91" t="n">
        <v>20</v>
      </c>
      <c r="H91" t="inlineStr">
        <is>
          <t>NOT AVAILABLE</t>
        </is>
      </c>
      <c r="I91" t="n">
        <v>0.4</v>
      </c>
      <c r="J91" t="inlineStr">
        <is>
          <t>NOT AVAILABLE</t>
        </is>
      </c>
      <c r="K91" t="inlineStr">
        <is>
          <t>MEASURED</t>
        </is>
      </c>
      <c r="L91" t="inlineStr">
        <is>
          <t>P4</t>
        </is>
      </c>
      <c r="M91" t="n">
        <v>0</v>
      </c>
      <c r="N91">
        <f>ROUND(IF(IF(J91="NOT AVAILABLE","",J91)="",12,IF(OR(ISNUMBER(SEARCH("Transactional",IF(J91="NOT AVAILABLE","",J91))),ISNUMBER(SEARCH("Commercial",IF(J91="NOT AVAILABLE","",J91)))),25,IF(ISNUMBER(SEARCH("Informational",IF(J91="NOT AVAILABLE","",J91))),10,IF(ISNUMBER(SEARCH("Navigational",IF(J91="NOT AVAILABLE","",J91))),0,12))))+IF(ISNUMBER(G91),MIN(30,ROUND(30*LOG10(G91+1)/4,1)),0)+IF(ISNUMBER(H91),ROUND(25*(100-H91)/100,1),12.5)+20,0)</f>
        <v/>
      </c>
      <c r="O91">
        <f>ROUND(N91*M91/100,0)</f>
        <v/>
      </c>
      <c r="P91" s="5" t="inlineStr">
        <is>
          <t>Client product keyword</t>
        </is>
      </c>
      <c r="Q91" s="5" t="inlineStr">
        <is>
          <t>n/a (not targeted)</t>
        </is>
      </c>
    </row>
    <row r="92">
      <c r="A92" s="3" t="inlineStr">
        <is>
          <t>https://codesommet.com/our-work/mon-asso</t>
        </is>
      </c>
      <c r="B92" s="5" t="inlineStr">
        <is>
          <t>Mon Asso SaaS de Gestion Associative</t>
        </is>
      </c>
      <c r="C92" t="inlineStr">
        <is>
          <t>France</t>
        </is>
      </c>
      <c r="D92" t="inlineStr">
        <is>
          <t>fr</t>
        </is>
      </c>
      <c r="E92" t="inlineStr">
        <is>
          <t>PRIMARY</t>
        </is>
      </c>
      <c r="F92" t="inlineStr">
        <is>
          <t>développement saas association</t>
        </is>
      </c>
      <c r="G92" t="inlineStr">
        <is>
          <t>NOT AVAILABLE</t>
        </is>
      </c>
      <c r="H92" t="inlineStr">
        <is>
          <t>NOT AVAILABLE</t>
        </is>
      </c>
      <c r="I92" t="inlineStr">
        <is>
          <t>NOT AVAILABLE</t>
        </is>
      </c>
      <c r="J92" t="inlineStr">
        <is>
          <t>NOT AVAILABLE</t>
        </is>
      </c>
      <c r="K92" t="inlineStr">
        <is>
          <t>SUGGESTED</t>
        </is>
      </c>
      <c r="L92" t="inlineStr">
        <is>
          <t>P3</t>
        </is>
      </c>
      <c r="M92" t="n">
        <v>100</v>
      </c>
      <c r="N92">
        <f>ROUND(IF(IF(J92="NOT AVAILABLE","",J92)="",12,IF(OR(ISNUMBER(SEARCH("Transactional",IF(J92="NOT AVAILABLE","",J92))),ISNUMBER(SEARCH("Commercial",IF(J92="NOT AVAILABLE","",J92)))),25,IF(ISNUMBER(SEARCH("Informational",IF(J92="NOT AVAILABLE","",J92))),10,IF(ISNUMBER(SEARCH("Navigational",IF(J92="NOT AVAILABLE","",J92))),0,12))))+IF(ISNUMBER(G92),MIN(30,ROUND(30*LOG10(G92+1)/4,1)),0)+IF(ISNUMBER(H92),ROUND(25*(100-H92)/100,1),12.5)+14,0)</f>
        <v/>
      </c>
      <c r="O92">
        <f>ROUND(N92*M92/100,0)</f>
        <v/>
      </c>
      <c r="P92" s="5" t="inlineStr">
        <is>
          <t>Case-study topic; no measured demand</t>
        </is>
      </c>
      <c r="Q92" s="5" t="inlineStr">
        <is>
          <t>None detected</t>
        </is>
      </c>
    </row>
    <row r="93">
      <c r="A93" s="3" t="inlineStr">
        <is>
          <t>https://codesommet.com/our-work/mon-asso</t>
        </is>
      </c>
      <c r="B93" s="5" t="inlineStr">
        <is>
          <t>Mon Asso SaaS de Gestion Associative</t>
        </is>
      </c>
      <c r="C93" t="inlineStr">
        <is>
          <t>France</t>
        </is>
      </c>
      <c r="D93" t="inlineStr">
        <is>
          <t>fr</t>
        </is>
      </c>
      <c r="E93" t="inlineStr">
        <is>
          <t>NOT RECOMMENDED</t>
        </is>
      </c>
      <c r="F93" t="inlineStr">
        <is>
          <t>logiciel gestion association</t>
        </is>
      </c>
      <c r="G93" t="n">
        <v>590</v>
      </c>
      <c r="H93" t="n">
        <v>34</v>
      </c>
      <c r="I93" t="n">
        <v>2.77</v>
      </c>
      <c r="J93" t="inlineStr">
        <is>
          <t>Informational</t>
        </is>
      </c>
      <c r="K93" t="inlineStr">
        <is>
          <t>MEASURED</t>
        </is>
      </c>
      <c r="L93" t="inlineStr">
        <is>
          <t>P4</t>
        </is>
      </c>
      <c r="M93" t="n">
        <v>0</v>
      </c>
      <c r="N93">
        <f>ROUND(IF(IF(J93="NOT AVAILABLE","",J93)="",12,IF(OR(ISNUMBER(SEARCH("Transactional",IF(J93="NOT AVAILABLE","",J93))),ISNUMBER(SEARCH("Commercial",IF(J93="NOT AVAILABLE","",J93)))),25,IF(ISNUMBER(SEARCH("Informational",IF(J93="NOT AVAILABLE","",J93))),10,IF(ISNUMBER(SEARCH("Navigational",IF(J93="NOT AVAILABLE","",J93))),0,12))))+IF(ISNUMBER(G93),MIN(30,ROUND(30*LOG10(G93+1)/4,1)),0)+IF(ISNUMBER(H93),ROUND(25*(100-H93)/100,1),12.5)+14,0)</f>
        <v/>
      </c>
      <c r="O93">
        <f>ROUND(N93*M93/100,0)</f>
        <v/>
      </c>
      <c r="P93" s="5" t="inlineStr">
        <is>
          <t>Client product keyword (590)</t>
        </is>
      </c>
      <c r="Q93" s="5" t="inlineStr">
        <is>
          <t>n/a (not targeted)</t>
        </is>
      </c>
    </row>
    <row r="94">
      <c r="A94" s="3" t="inlineStr">
        <is>
          <t>https://codesommet.com/our-work/morocco-quest</t>
        </is>
      </c>
      <c r="B94" s="5" t="inlineStr">
        <is>
          <t>Morocco Quest Agence de Voyage de Luxe</t>
        </is>
      </c>
      <c r="C94" t="inlineStr">
        <is>
          <t>France</t>
        </is>
      </c>
      <c r="D94" t="inlineStr">
        <is>
          <t>fr</t>
        </is>
      </c>
      <c r="E94" t="inlineStr">
        <is>
          <t>PRIMARY</t>
        </is>
      </c>
      <c r="F94" t="inlineStr">
        <is>
          <t>création site agence de voyage</t>
        </is>
      </c>
      <c r="G94" t="n">
        <v>70</v>
      </c>
      <c r="H94" t="inlineStr">
        <is>
          <t>NOT AVAILABLE</t>
        </is>
      </c>
      <c r="I94" t="n">
        <v>0</v>
      </c>
      <c r="J94" t="inlineStr">
        <is>
          <t>NOT AVAILABLE</t>
        </is>
      </c>
      <c r="K94" t="inlineStr">
        <is>
          <t>MEASURED</t>
        </is>
      </c>
      <c r="L94" t="inlineStr">
        <is>
          <t>P3</t>
        </is>
      </c>
      <c r="M94" t="n">
        <v>100</v>
      </c>
      <c r="N94">
        <f>ROUND(IF(IF(J94="NOT AVAILABLE","",J94)="",12,IF(OR(ISNUMBER(SEARCH("Transactional",IF(J94="NOT AVAILABLE","",J94))),ISNUMBER(SEARCH("Commercial",IF(J94="NOT AVAILABLE","",J94)))),25,IF(ISNUMBER(SEARCH("Informational",IF(J94="NOT AVAILABLE","",J94))),10,IF(ISNUMBER(SEARCH("Navigational",IF(J94="NOT AVAILABLE","",J94))),0,12))))+IF(ISNUMBER(G94),MIN(30,ROUND(30*LOG10(G94+1)/4,1)),0)+IF(ISNUMBER(H94),ROUND(25*(100-H94)/100,1),12.5)+14,0)</f>
        <v/>
      </c>
      <c r="O94">
        <f>ROUND(N94*M94/100,0)</f>
        <v/>
      </c>
      <c r="P94" s="5" t="inlineStr">
        <is>
          <t>Distinct from Authentic Morocco case (both travel) - keep angles separate</t>
        </is>
      </c>
      <c r="Q94" s="5" t="inlineStr">
        <is>
          <t>None detected</t>
        </is>
      </c>
    </row>
    <row r="95">
      <c r="A95" s="3" t="inlineStr">
        <is>
          <t>https://codesommet.com/our-work/morocco-quest</t>
        </is>
      </c>
      <c r="B95" s="5" t="inlineStr">
        <is>
          <t>Morocco Quest Agence de Voyage de Luxe</t>
        </is>
      </c>
      <c r="C95" t="inlineStr">
        <is>
          <t>France</t>
        </is>
      </c>
      <c r="D95" t="inlineStr">
        <is>
          <t>fr</t>
        </is>
      </c>
      <c r="E95" t="inlineStr">
        <is>
          <t>NOT RECOMMENDED</t>
        </is>
      </c>
      <c r="F95" t="inlineStr">
        <is>
          <t>site agence de voyage</t>
        </is>
      </c>
      <c r="G95" t="n">
        <v>110</v>
      </c>
      <c r="H95" t="n">
        <v>81</v>
      </c>
      <c r="I95" t="n">
        <v>0.77</v>
      </c>
      <c r="J95" t="inlineStr">
        <is>
          <t>Commercial</t>
        </is>
      </c>
      <c r="K95" t="inlineStr">
        <is>
          <t>MEASURED</t>
        </is>
      </c>
      <c r="L95" t="inlineStr">
        <is>
          <t>P4</t>
        </is>
      </c>
      <c r="M95" t="n">
        <v>0</v>
      </c>
      <c r="N95">
        <f>ROUND(IF(IF(J95="NOT AVAILABLE","",J95)="",12,IF(OR(ISNUMBER(SEARCH("Transactional",IF(J95="NOT AVAILABLE","",J95))),ISNUMBER(SEARCH("Commercial",IF(J95="NOT AVAILABLE","",J95)))),25,IF(ISNUMBER(SEARCH("Informational",IF(J95="NOT AVAILABLE","",J95))),10,IF(ISNUMBER(SEARCH("Navigational",IF(J95="NOT AVAILABLE","",J95))),0,12))))+IF(ISNUMBER(G95),MIN(30,ROUND(30*LOG10(G95+1)/4,1)),0)+IF(ISNUMBER(H95),ROUND(25*(100-H95)/100,1),12.5)+14,0)</f>
        <v/>
      </c>
      <c r="O95">
        <f>ROUND(N95*M95/100,0)</f>
        <v/>
      </c>
      <c r="P95" s="5" t="inlineStr">
        <is>
          <t>KD 81, travellers looking for agencies</t>
        </is>
      </c>
      <c r="Q95" s="5" t="inlineStr">
        <is>
          <t>n/a (not targeted)</t>
        </is>
      </c>
    </row>
    <row r="96">
      <c r="A96" s="3" t="inlineStr">
        <is>
          <t>https://codesommet.com/services/ecommerce-website-development</t>
        </is>
      </c>
      <c r="B96" s="5" t="inlineStr">
        <is>
          <t>Création Site E-commerce au Maroc : une Boutique qui génère des VENTES EN LIGNE</t>
        </is>
      </c>
      <c r="C96" t="inlineStr">
        <is>
          <t>Morocco</t>
        </is>
      </c>
      <c r="D96" t="inlineStr">
        <is>
          <t>ma</t>
        </is>
      </c>
      <c r="E96" t="inlineStr">
        <is>
          <t>PRIMARY</t>
        </is>
      </c>
      <c r="F96" t="inlineStr">
        <is>
          <t>création site e-commerce maroc</t>
        </is>
      </c>
      <c r="G96" t="n">
        <v>20</v>
      </c>
      <c r="H96" t="inlineStr">
        <is>
          <t>NOT AVAILABLE</t>
        </is>
      </c>
      <c r="I96" t="n">
        <v>0.61</v>
      </c>
      <c r="J96" t="inlineStr">
        <is>
          <t>NOT AVAILABLE</t>
        </is>
      </c>
      <c r="K96" t="inlineStr">
        <is>
          <t>MEASURED</t>
        </is>
      </c>
      <c r="L96" t="inlineStr">
        <is>
          <t>P1</t>
        </is>
      </c>
      <c r="M96" t="n">
        <v>100</v>
      </c>
      <c r="N96">
        <f>ROUND(IF(IF(J96="NOT AVAILABLE","",J96)="",12,IF(OR(ISNUMBER(SEARCH("Transactional",IF(J96="NOT AVAILABLE","",J96))),ISNUMBER(SEARCH("Commercial",IF(J96="NOT AVAILABLE","",J96)))),25,IF(ISNUMBER(SEARCH("Informational",IF(J96="NOT AVAILABLE","",J96))),10,IF(ISNUMBER(SEARCH("Navigational",IF(J96="NOT AVAILABLE","",J96))),0,12))))+IF(ISNUMBER(G96),MIN(30,ROUND(30*LOG10(G96+1)/4,1)),0)+IF(ISNUMBER(H96),ROUND(25*(100-H96)/100,1),12.5)+20,0)</f>
        <v/>
      </c>
      <c r="O96">
        <f>ROUND(N96*M96/100,0)</f>
        <v/>
      </c>
      <c r="P96" s="5" t="inlineStr">
        <is>
          <t>Exact commercial match with title/H1 (MA 20) - preserve intent; cluster volume comes from variants below</t>
        </is>
      </c>
      <c r="Q96" s="5" t="inlineStr">
        <is>
          <t>None detected</t>
        </is>
      </c>
    </row>
    <row r="97">
      <c r="A97" s="3" t="inlineStr">
        <is>
          <t>https://codesommet.com/services/ecommerce-website-development</t>
        </is>
      </c>
      <c r="B97" s="5" t="inlineStr">
        <is>
          <t>Création Site E-commerce au Maroc : une Boutique qui génère des VENTES EN LIGNE</t>
        </is>
      </c>
      <c r="C97" t="inlineStr">
        <is>
          <t>France</t>
        </is>
      </c>
      <c r="D97" t="inlineStr">
        <is>
          <t>fr</t>
        </is>
      </c>
      <c r="E97" t="inlineStr">
        <is>
          <t>SECONDARY</t>
        </is>
      </c>
      <c r="F97" t="inlineStr">
        <is>
          <t>agence e-commerce</t>
        </is>
      </c>
      <c r="G97" t="n">
        <v>1900</v>
      </c>
      <c r="H97" t="n">
        <v>36</v>
      </c>
      <c r="I97" t="n">
        <v>4.46</v>
      </c>
      <c r="J97" t="inlineStr">
        <is>
          <t>Commercial</t>
        </is>
      </c>
      <c r="K97" t="inlineStr">
        <is>
          <t>MEASURED</t>
        </is>
      </c>
      <c r="L97" t="inlineStr">
        <is>
          <t>P1</t>
        </is>
      </c>
      <c r="M97" t="n">
        <v>85</v>
      </c>
      <c r="N97">
        <f>ROUND(IF(IF(J97="NOT AVAILABLE","",J97)="",12,IF(OR(ISNUMBER(SEARCH("Transactional",IF(J97="NOT AVAILABLE","",J97))),ISNUMBER(SEARCH("Commercial",IF(J97="NOT AVAILABLE","",J97)))),25,IF(ISNUMBER(SEARCH("Informational",IF(J97="NOT AVAILABLE","",J97))),10,IF(ISNUMBER(SEARCH("Navigational",IF(J97="NOT AVAILABLE","",J97))),0,12))))+IF(ISNUMBER(G97),MIN(30,ROUND(30*LOG10(G97+1)/4,1)),0)+IF(ISNUMBER(H97),ROUND(25*(100-H97)/100,1),12.5)+14,0)</f>
        <v/>
      </c>
      <c r="O97">
        <f>ROUND(N97*M97/100,0)</f>
        <v/>
      </c>
      <c r="P97" s="5" t="inlineStr">
        <is>
          <t>FR market (1900, KD 36)</t>
        </is>
      </c>
      <c r="Q97" s="5" t="inlineStr">
        <is>
          <t>None detected</t>
        </is>
      </c>
    </row>
    <row r="98">
      <c r="A98" s="3" t="inlineStr">
        <is>
          <t>https://codesommet.com/services/ecommerce-website-development</t>
        </is>
      </c>
      <c r="B98" s="5" t="inlineStr">
        <is>
          <t>Création Site E-commerce au Maroc : une Boutique qui génère des VENTES EN LIGNE</t>
        </is>
      </c>
      <c r="C98" t="inlineStr">
        <is>
          <t>France</t>
        </is>
      </c>
      <c r="D98" t="inlineStr">
        <is>
          <t>fr</t>
        </is>
      </c>
      <c r="E98" t="inlineStr">
        <is>
          <t>SECONDARY</t>
        </is>
      </c>
      <c r="F98" t="inlineStr">
        <is>
          <t>création site e-commerce</t>
        </is>
      </c>
      <c r="G98" t="n">
        <v>1300</v>
      </c>
      <c r="H98" t="n">
        <v>44</v>
      </c>
      <c r="I98" t="n">
        <v>3.88</v>
      </c>
      <c r="J98" t="inlineStr">
        <is>
          <t>Informational</t>
        </is>
      </c>
      <c r="K98" t="inlineStr">
        <is>
          <t>MEASURED</t>
        </is>
      </c>
      <c r="L98" t="inlineStr">
        <is>
          <t>P1</t>
        </is>
      </c>
      <c r="M98" t="n">
        <v>85</v>
      </c>
      <c r="N98">
        <f>ROUND(IF(IF(J98="NOT AVAILABLE","",J98)="",12,IF(OR(ISNUMBER(SEARCH("Transactional",IF(J98="NOT AVAILABLE","",J98))),ISNUMBER(SEARCH("Commercial",IF(J98="NOT AVAILABLE","",J98)))),25,IF(ISNUMBER(SEARCH("Informational",IF(J98="NOT AVAILABLE","",J98))),10,IF(ISNUMBER(SEARCH("Navigational",IF(J98="NOT AVAILABLE","",J98))),0,12))))+IF(ISNUMBER(G98),MIN(30,ROUND(30*LOG10(G98+1)/4,1)),0)+IF(ISNUMBER(H98),ROUND(25*(100-H98)/100,1),12.5)+14,0)</f>
        <v/>
      </c>
      <c r="O98">
        <f>ROUND(N98*M98/100,0)</f>
        <v/>
      </c>
      <c r="P98" s="5" t="inlineStr">
        <is>
          <t>FR market (1300, KD 44)</t>
        </is>
      </c>
      <c r="Q98" s="5" t="inlineStr">
        <is>
          <t>None detected</t>
        </is>
      </c>
    </row>
    <row r="99">
      <c r="A99" s="3" t="inlineStr">
        <is>
          <t>https://codesommet.com/services/ecommerce-website-development</t>
        </is>
      </c>
      <c r="B99" s="5" t="inlineStr">
        <is>
          <t>Création Site E-commerce au Maroc : une Boutique qui génère des VENTES EN LIGNE</t>
        </is>
      </c>
      <c r="C99" t="inlineStr">
        <is>
          <t>Morocco</t>
        </is>
      </c>
      <c r="D99" t="inlineStr">
        <is>
          <t>ma</t>
        </is>
      </c>
      <c r="E99" t="inlineStr">
        <is>
          <t>SECONDARY</t>
        </is>
      </c>
      <c r="F99" t="inlineStr">
        <is>
          <t>boutique en ligne maroc</t>
        </is>
      </c>
      <c r="G99" t="n">
        <v>140</v>
      </c>
      <c r="H99" t="inlineStr">
        <is>
          <t>NOT AVAILABLE</t>
        </is>
      </c>
      <c r="I99" t="n">
        <v>0.15</v>
      </c>
      <c r="J99" t="inlineStr">
        <is>
          <t>NOT AVAILABLE</t>
        </is>
      </c>
      <c r="K99" t="inlineStr">
        <is>
          <t>MEASURED</t>
        </is>
      </c>
      <c r="L99" t="inlineStr">
        <is>
          <t>P1</t>
        </is>
      </c>
      <c r="M99" t="n">
        <v>85</v>
      </c>
      <c r="N99">
        <f>ROUND(IF(IF(J99="NOT AVAILABLE","",J99)="",12,IF(OR(ISNUMBER(SEARCH("Transactional",IF(J99="NOT AVAILABLE","",J99))),ISNUMBER(SEARCH("Commercial",IF(J99="NOT AVAILABLE","",J99)))),25,IF(ISNUMBER(SEARCH("Informational",IF(J99="NOT AVAILABLE","",J99))),10,IF(ISNUMBER(SEARCH("Navigational",IF(J99="NOT AVAILABLE","",J99))),0,12))))+IF(ISNUMBER(G99),MIN(30,ROUND(30*LOG10(G99+1)/4,1)),0)+IF(ISNUMBER(H99),ROUND(25*(100-H99)/100,1),12.5)+20,0)</f>
        <v/>
      </c>
      <c r="O99">
        <f>ROUND(N99*M99/100,0)</f>
        <v/>
      </c>
      <c r="P99" s="5" t="inlineStr">
        <is>
          <t>140</t>
        </is>
      </c>
      <c r="Q99" s="5" t="inlineStr">
        <is>
          <t>None detected</t>
        </is>
      </c>
    </row>
    <row r="100">
      <c r="A100" s="3" t="inlineStr">
        <is>
          <t>https://codesommet.com/services/ecommerce-website-development</t>
        </is>
      </c>
      <c r="B100" s="5" t="inlineStr">
        <is>
          <t>Création Site E-commerce au Maroc : une Boutique qui génère des VENTES EN LIGNE</t>
        </is>
      </c>
      <c r="C100" t="inlineStr">
        <is>
          <t>Morocco</t>
        </is>
      </c>
      <c r="D100" t="inlineStr">
        <is>
          <t>ma</t>
        </is>
      </c>
      <c r="E100" t="inlineStr">
        <is>
          <t>SECONDARY</t>
        </is>
      </c>
      <c r="F100" t="inlineStr">
        <is>
          <t>site de vente en ligne maroc</t>
        </is>
      </c>
      <c r="G100" t="n">
        <v>140</v>
      </c>
      <c r="H100" t="inlineStr">
        <is>
          <t>NOT AVAILABLE</t>
        </is>
      </c>
      <c r="I100" t="n">
        <v>0.12</v>
      </c>
      <c r="J100" t="inlineStr">
        <is>
          <t>NOT AVAILABLE</t>
        </is>
      </c>
      <c r="K100" t="inlineStr">
        <is>
          <t>MEASURED</t>
        </is>
      </c>
      <c r="L100" t="inlineStr">
        <is>
          <t>P1</t>
        </is>
      </c>
      <c r="M100" t="n">
        <v>85</v>
      </c>
      <c r="N100">
        <f>ROUND(IF(IF(J100="NOT AVAILABLE","",J100)="",12,IF(OR(ISNUMBER(SEARCH("Transactional",IF(J100="NOT AVAILABLE","",J100))),ISNUMBER(SEARCH("Commercial",IF(J100="NOT AVAILABLE","",J100)))),25,IF(ISNUMBER(SEARCH("Informational",IF(J100="NOT AVAILABLE","",J100))),10,IF(ISNUMBER(SEARCH("Navigational",IF(J100="NOT AVAILABLE","",J100))),0,12))))+IF(ISNUMBER(G100),MIN(30,ROUND(30*LOG10(G100+1)/4,1)),0)+IF(ISNUMBER(H100),ROUND(25*(100-H100)/100,1),12.5)+20,0)</f>
        <v/>
      </c>
      <c r="O100">
        <f>ROUND(N100*M100/100,0)</f>
        <v/>
      </c>
      <c r="P100" s="5" t="inlineStr">
        <is>
          <t>140</t>
        </is>
      </c>
      <c r="Q100" s="5" t="inlineStr">
        <is>
          <t>None detected</t>
        </is>
      </c>
    </row>
    <row r="101">
      <c r="A101" s="3" t="inlineStr">
        <is>
          <t>https://codesommet.com/services/ecommerce-website-development</t>
        </is>
      </c>
      <c r="B101" s="5" t="inlineStr">
        <is>
          <t>Création Site E-commerce au Maroc : une Boutique qui génère des VENTES EN LIGNE</t>
        </is>
      </c>
      <c r="C101" t="inlineStr">
        <is>
          <t>France</t>
        </is>
      </c>
      <c r="D101" t="inlineStr">
        <is>
          <t>fr</t>
        </is>
      </c>
      <c r="E101" t="inlineStr">
        <is>
          <t>SECONDARY</t>
        </is>
      </c>
      <c r="F101" t="inlineStr">
        <is>
          <t>création site e-commerce sur mesure</t>
        </is>
      </c>
      <c r="G101" t="n">
        <v>140</v>
      </c>
      <c r="H101" t="n">
        <v>27</v>
      </c>
      <c r="I101" t="n">
        <v>2.4</v>
      </c>
      <c r="J101" t="inlineStr">
        <is>
          <t>Informational</t>
        </is>
      </c>
      <c r="K101" t="inlineStr">
        <is>
          <t>MEASURED</t>
        </is>
      </c>
      <c r="L101" t="inlineStr">
        <is>
          <t>P1</t>
        </is>
      </c>
      <c r="M101" t="n">
        <v>85</v>
      </c>
      <c r="N101">
        <f>ROUND(IF(IF(J101="NOT AVAILABLE","",J101)="",12,IF(OR(ISNUMBER(SEARCH("Transactional",IF(J101="NOT AVAILABLE","",J101))),ISNUMBER(SEARCH("Commercial",IF(J101="NOT AVAILABLE","",J101)))),25,IF(ISNUMBER(SEARCH("Informational",IF(J101="NOT AVAILABLE","",J101))),10,IF(ISNUMBER(SEARCH("Navigational",IF(J101="NOT AVAILABLE","",J101))),0,12))))+IF(ISNUMBER(G101),MIN(30,ROUND(30*LOG10(G101+1)/4,1)),0)+IF(ISNUMBER(H101),ROUND(25*(100-H101)/100,1),12.5)+14,0)</f>
        <v/>
      </c>
      <c r="O101">
        <f>ROUND(N101*M101/100,0)</f>
        <v/>
      </c>
      <c r="P101" s="5" t="inlineStr">
        <is>
          <t>FR 140, KD 27 - matches sur-mesure positioning</t>
        </is>
      </c>
      <c r="Q101" s="5" t="inlineStr">
        <is>
          <t>None detected</t>
        </is>
      </c>
    </row>
    <row r="102">
      <c r="A102" s="3" t="inlineStr">
        <is>
          <t>https://codesommet.com/services/ecommerce-website-development</t>
        </is>
      </c>
      <c r="B102" s="5" t="inlineStr">
        <is>
          <t>Création Site E-commerce au Maroc : une Boutique qui génère des VENTES EN LIGNE</t>
        </is>
      </c>
      <c r="C102" t="inlineStr">
        <is>
          <t>Morocco</t>
        </is>
      </c>
      <c r="D102" t="inlineStr">
        <is>
          <t>ma</t>
        </is>
      </c>
      <c r="E102" t="inlineStr">
        <is>
          <t>SECONDARY</t>
        </is>
      </c>
      <c r="F102" t="inlineStr">
        <is>
          <t>site e-commerce maroc</t>
        </is>
      </c>
      <c r="G102" t="n">
        <v>30</v>
      </c>
      <c r="H102" t="inlineStr">
        <is>
          <t>NOT AVAILABLE</t>
        </is>
      </c>
      <c r="I102" t="n">
        <v>0.28</v>
      </c>
      <c r="J102" t="inlineStr">
        <is>
          <t>NOT AVAILABLE</t>
        </is>
      </c>
      <c r="K102" t="inlineStr">
        <is>
          <t>MEASURED</t>
        </is>
      </c>
      <c r="L102" t="inlineStr">
        <is>
          <t>P1</t>
        </is>
      </c>
      <c r="M102" t="n">
        <v>85</v>
      </c>
      <c r="N102">
        <f>ROUND(IF(IF(J102="NOT AVAILABLE","",J102)="",12,IF(OR(ISNUMBER(SEARCH("Transactional",IF(J102="NOT AVAILABLE","",J102))),ISNUMBER(SEARCH("Commercial",IF(J102="NOT AVAILABLE","",J102)))),25,IF(ISNUMBER(SEARCH("Informational",IF(J102="NOT AVAILABLE","",J102))),10,IF(ISNUMBER(SEARCH("Navigational",IF(J102="NOT AVAILABLE","",J102))),0,12))))+IF(ISNUMBER(G102),MIN(30,ROUND(30*LOG10(G102+1)/4,1)),0)+IF(ISNUMBER(H102),ROUND(25*(100-H102)/100,1),12.5)+20,0)</f>
        <v/>
      </c>
      <c r="O102">
        <f>ROUND(N102*M102/100,0)</f>
        <v/>
      </c>
      <c r="P102" s="5" t="inlineStr">
        <is>
          <t>30</t>
        </is>
      </c>
      <c r="Q102" s="5" t="inlineStr">
        <is>
          <t>None detected</t>
        </is>
      </c>
    </row>
    <row r="103">
      <c r="A103" s="3" t="inlineStr">
        <is>
          <t>https://codesommet.com/services/ecommerce-website-development</t>
        </is>
      </c>
      <c r="B103" s="5" t="inlineStr">
        <is>
          <t>Création Site E-commerce au Maroc : une Boutique qui génère des VENTES EN LIGNE</t>
        </is>
      </c>
      <c r="C103" t="inlineStr">
        <is>
          <t>Morocco</t>
        </is>
      </c>
      <c r="D103" t="inlineStr">
        <is>
          <t>ma</t>
        </is>
      </c>
      <c r="E103" t="inlineStr">
        <is>
          <t>SECONDARY</t>
        </is>
      </c>
      <c r="F103" t="inlineStr">
        <is>
          <t>développement site e-commerce</t>
        </is>
      </c>
      <c r="G103" t="n">
        <v>30</v>
      </c>
      <c r="H103" t="inlineStr">
        <is>
          <t>NOT AVAILABLE</t>
        </is>
      </c>
      <c r="I103" t="n">
        <v>0</v>
      </c>
      <c r="J103" t="inlineStr">
        <is>
          <t>NOT AVAILABLE</t>
        </is>
      </c>
      <c r="K103" t="inlineStr">
        <is>
          <t>MEASURED</t>
        </is>
      </c>
      <c r="L103" t="inlineStr">
        <is>
          <t>P1</t>
        </is>
      </c>
      <c r="M103" t="n">
        <v>85</v>
      </c>
      <c r="N103">
        <f>ROUND(IF(IF(J103="NOT AVAILABLE","",J103)="",12,IF(OR(ISNUMBER(SEARCH("Transactional",IF(J103="NOT AVAILABLE","",J103))),ISNUMBER(SEARCH("Commercial",IF(J103="NOT AVAILABLE","",J103)))),25,IF(ISNUMBER(SEARCH("Informational",IF(J103="NOT AVAILABLE","",J103))),10,IF(ISNUMBER(SEARCH("Navigational",IF(J103="NOT AVAILABLE","",J103))),0,12))))+IF(ISNUMBER(G103),MIN(30,ROUND(30*LOG10(G103+1)/4,1)),0)+IF(ISNUMBER(H103),ROUND(25*(100-H103)/100,1),12.5)+20,0)</f>
        <v/>
      </c>
      <c r="O103">
        <f>ROUND(N103*M103/100,0)</f>
        <v/>
      </c>
      <c r="P103" s="5" t="inlineStr">
        <is>
          <t>Close commercial variant of the page topic</t>
        </is>
      </c>
      <c r="Q103" s="5" t="inlineStr">
        <is>
          <t>None detected</t>
        </is>
      </c>
    </row>
    <row r="104">
      <c r="A104" s="3" t="inlineStr">
        <is>
          <t>https://codesommet.com/services/ecommerce-website-development</t>
        </is>
      </c>
      <c r="B104" s="5" t="inlineStr">
        <is>
          <t>Création Site E-commerce au Maroc : une Boutique qui génère des VENTES EN LIGNE</t>
        </is>
      </c>
      <c r="C104" t="inlineStr">
        <is>
          <t>Morocco</t>
        </is>
      </c>
      <c r="D104" t="inlineStr">
        <is>
          <t>ma</t>
        </is>
      </c>
      <c r="E104" t="inlineStr">
        <is>
          <t>SECONDARY</t>
        </is>
      </c>
      <c r="F104" t="inlineStr">
        <is>
          <t>agence e-commerce maroc</t>
        </is>
      </c>
      <c r="G104" t="n">
        <v>20</v>
      </c>
      <c r="H104" t="inlineStr">
        <is>
          <t>NOT AVAILABLE</t>
        </is>
      </c>
      <c r="I104" t="n">
        <v>0.35</v>
      </c>
      <c r="J104" t="inlineStr">
        <is>
          <t>NOT AVAILABLE</t>
        </is>
      </c>
      <c r="K104" t="inlineStr">
        <is>
          <t>MEASURED</t>
        </is>
      </c>
      <c r="L104" t="inlineStr">
        <is>
          <t>P1</t>
        </is>
      </c>
      <c r="M104" t="n">
        <v>85</v>
      </c>
      <c r="N104">
        <f>ROUND(IF(IF(J104="NOT AVAILABLE","",J104)="",12,IF(OR(ISNUMBER(SEARCH("Transactional",IF(J104="NOT AVAILABLE","",J104))),ISNUMBER(SEARCH("Commercial",IF(J104="NOT AVAILABLE","",J104)))),25,IF(ISNUMBER(SEARCH("Informational",IF(J104="NOT AVAILABLE","",J104))),10,IF(ISNUMBER(SEARCH("Navigational",IF(J104="NOT AVAILABLE","",J104))),0,12))))+IF(ISNUMBER(G104),MIN(30,ROUND(30*LOG10(G104+1)/4,1)),0)+IF(ISNUMBER(H104),ROUND(25*(100-H104)/100,1),12.5)+20,0)</f>
        <v/>
      </c>
      <c r="O104">
        <f>ROUND(N104*M104/100,0)</f>
        <v/>
      </c>
      <c r="P104" s="5" t="inlineStr">
        <is>
          <t>Close commercial variant of the page topic</t>
        </is>
      </c>
      <c r="Q104" s="5" t="inlineStr">
        <is>
          <t>None detected</t>
        </is>
      </c>
    </row>
    <row r="105">
      <c r="A105" s="3" t="inlineStr">
        <is>
          <t>https://codesommet.com/services/ecommerce-website-development</t>
        </is>
      </c>
      <c r="B105" s="5" t="inlineStr">
        <is>
          <t>Création Site E-commerce au Maroc : une Boutique qui génère des VENTES EN LIGNE</t>
        </is>
      </c>
      <c r="C105" t="inlineStr">
        <is>
          <t>Morocco</t>
        </is>
      </c>
      <c r="D105" t="inlineStr">
        <is>
          <t>ma</t>
        </is>
      </c>
      <c r="E105" t="inlineStr">
        <is>
          <t>SECONDARY</t>
        </is>
      </c>
      <c r="F105" t="inlineStr">
        <is>
          <t>création site ecommerce maroc</t>
        </is>
      </c>
      <c r="G105" t="inlineStr">
        <is>
          <t>NOT AVAILABLE</t>
        </is>
      </c>
      <c r="H105" t="inlineStr">
        <is>
          <t>NOT AVAILABLE</t>
        </is>
      </c>
      <c r="I105" t="inlineStr">
        <is>
          <t>NOT AVAILABLE</t>
        </is>
      </c>
      <c r="J105" t="inlineStr">
        <is>
          <t>NOT AVAILABLE</t>
        </is>
      </c>
      <c r="K105" t="inlineStr">
        <is>
          <t>UNAVAILABLE</t>
        </is>
      </c>
      <c r="L105" t="inlineStr">
        <is>
          <t>P1</t>
        </is>
      </c>
      <c r="M105" t="n">
        <v>85</v>
      </c>
      <c r="N105">
        <f>ROUND(IF(IF(J105="NOT AVAILABLE","",J105)="",12,IF(OR(ISNUMBER(SEARCH("Transactional",IF(J105="NOT AVAILABLE","",J105))),ISNUMBER(SEARCH("Commercial",IF(J105="NOT AVAILABLE","",J105)))),25,IF(ISNUMBER(SEARCH("Informational",IF(J105="NOT AVAILABLE","",J105))),10,IF(ISNUMBER(SEARCH("Navigational",IF(J105="NOT AVAILABLE","",J105))),0,12))))+IF(ISNUMBER(G105),MIN(30,ROUND(30*LOG10(G105+1)/4,1)),0)+IF(ISNUMBER(H105),ROUND(25*(100-H105)/100,1),12.5)+20,0)</f>
        <v/>
      </c>
      <c r="O105">
        <f>ROUND(N105*M105/100,0)</f>
        <v/>
      </c>
      <c r="P105" s="5" t="inlineStr">
        <is>
          <t>Close commercial variant of the page topic</t>
        </is>
      </c>
      <c r="Q105" s="5" t="inlineStr">
        <is>
          <t>None detected</t>
        </is>
      </c>
    </row>
    <row r="106">
      <c r="A106" s="3" t="inlineStr">
        <is>
          <t>https://codesommet.com/services/ecommerce-website-development</t>
        </is>
      </c>
      <c r="B106" s="5" t="inlineStr">
        <is>
          <t>Création Site E-commerce au Maroc : une Boutique qui génère des VENTES EN LIGNE</t>
        </is>
      </c>
      <c r="C106" t="inlineStr">
        <is>
          <t>Morocco</t>
        </is>
      </c>
      <c r="D106" t="inlineStr">
        <is>
          <t>ma</t>
        </is>
      </c>
      <c r="E106" t="inlineStr">
        <is>
          <t>FAQ</t>
        </is>
      </c>
      <c r="F106" t="inlineStr">
        <is>
          <t>cmi paiement en ligne</t>
        </is>
      </c>
      <c r="G106" t="n">
        <v>170</v>
      </c>
      <c r="H106" t="inlineStr">
        <is>
          <t>NOT AVAILABLE</t>
        </is>
      </c>
      <c r="I106" t="n">
        <v>0</v>
      </c>
      <c r="J106" t="inlineStr">
        <is>
          <t>NOT AVAILABLE</t>
        </is>
      </c>
      <c r="K106" t="inlineStr">
        <is>
          <t>MEASURED</t>
        </is>
      </c>
      <c r="L106" t="inlineStr">
        <is>
          <t>P1</t>
        </is>
      </c>
      <c r="M106" t="n">
        <v>70</v>
      </c>
      <c r="N106">
        <f>ROUND(IF(IF(J106="NOT AVAILABLE","",J106)="",12,IF(OR(ISNUMBER(SEARCH("Transactional",IF(J106="NOT AVAILABLE","",J106))),ISNUMBER(SEARCH("Commercial",IF(J106="NOT AVAILABLE","",J106)))),25,IF(ISNUMBER(SEARCH("Informational",IF(J106="NOT AVAILABLE","",J106))),10,IF(ISNUMBER(SEARCH("Navigational",IF(J106="NOT AVAILABLE","",J106))),0,12))))+IF(ISNUMBER(G106),MIN(30,ROUND(30*LOG10(G106+1)/4,1)),0)+IF(ISNUMBER(H106),ROUND(25*(100-H106)/100,1),12.5)+20,0)</f>
        <v/>
      </c>
      <c r="O106">
        <f>ROUND(N106*M106/100,0)</f>
        <v/>
      </c>
      <c r="P106" s="5" t="inlineStr">
        <is>
          <t>170 - CMI payment integration question; strong local trust signal</t>
        </is>
      </c>
      <c r="Q106" s="5" t="inlineStr">
        <is>
          <t>None detected</t>
        </is>
      </c>
    </row>
    <row r="107">
      <c r="A107" s="3" t="inlineStr">
        <is>
          <t>https://codesommet.com/services/ecommerce-website-development</t>
        </is>
      </c>
      <c r="B107" s="5" t="inlineStr">
        <is>
          <t>Création Site E-commerce au Maroc : une Boutique qui génère des VENTES EN LIGNE</t>
        </is>
      </c>
      <c r="C107" t="inlineStr">
        <is>
          <t>France</t>
        </is>
      </c>
      <c r="D107" t="inlineStr">
        <is>
          <t>fr</t>
        </is>
      </c>
      <c r="E107" t="inlineStr">
        <is>
          <t>FAQ</t>
        </is>
      </c>
      <c r="F107" t="inlineStr">
        <is>
          <t>prix site e-commerce</t>
        </is>
      </c>
      <c r="G107" t="n">
        <v>170</v>
      </c>
      <c r="H107" t="n">
        <v>23</v>
      </c>
      <c r="I107" t="n">
        <v>1.21</v>
      </c>
      <c r="J107" t="inlineStr">
        <is>
          <t>Transactional</t>
        </is>
      </c>
      <c r="K107" t="inlineStr">
        <is>
          <t>MEASURED</t>
        </is>
      </c>
      <c r="L107" t="inlineStr">
        <is>
          <t>P1</t>
        </is>
      </c>
      <c r="M107" t="n">
        <v>70</v>
      </c>
      <c r="N107">
        <f>ROUND(IF(IF(J107="NOT AVAILABLE","",J107)="",12,IF(OR(ISNUMBER(SEARCH("Transactional",IF(J107="NOT AVAILABLE","",J107))),ISNUMBER(SEARCH("Commercial",IF(J107="NOT AVAILABLE","",J107)))),25,IF(ISNUMBER(SEARCH("Informational",IF(J107="NOT AVAILABLE","",J107))),10,IF(ISNUMBER(SEARCH("Navigational",IF(J107="NOT AVAILABLE","",J107))),0,12))))+IF(ISNUMBER(G107),MIN(30,ROUND(30*LOG10(G107+1)/4,1)),0)+IF(ISNUMBER(H107),ROUND(25*(100-H107)/100,1),12.5)+14,0)</f>
        <v/>
      </c>
      <c r="O107">
        <f>ROUND(N107*M107/100,0)</f>
        <v/>
      </c>
      <c r="P107" s="5" t="inlineStr">
        <is>
          <t>FR 170, KD 23</t>
        </is>
      </c>
      <c r="Q107" s="5" t="inlineStr">
        <is>
          <t>None detected</t>
        </is>
      </c>
    </row>
    <row r="108">
      <c r="A108" s="3" t="inlineStr">
        <is>
          <t>https://codesommet.com/services/ecommerce-website-development</t>
        </is>
      </c>
      <c r="B108" s="5" t="inlineStr">
        <is>
          <t>Création Site E-commerce au Maroc : une Boutique qui génère des VENTES EN LIGNE</t>
        </is>
      </c>
      <c r="C108" t="inlineStr">
        <is>
          <t>Morocco</t>
        </is>
      </c>
      <c r="D108" t="inlineStr">
        <is>
          <t>ma</t>
        </is>
      </c>
      <c r="E108" t="inlineStr">
        <is>
          <t>FAQ</t>
        </is>
      </c>
      <c r="F108" t="inlineStr">
        <is>
          <t>paiement en ligne maroc</t>
        </is>
      </c>
      <c r="G108" t="n">
        <v>20</v>
      </c>
      <c r="H108" t="inlineStr">
        <is>
          <t>NOT AVAILABLE</t>
        </is>
      </c>
      <c r="I108" t="n">
        <v>0.7</v>
      </c>
      <c r="J108" t="inlineStr">
        <is>
          <t>NOT AVAILABLE</t>
        </is>
      </c>
      <c r="K108" t="inlineStr">
        <is>
          <t>MEASURED</t>
        </is>
      </c>
      <c r="L108" t="inlineStr">
        <is>
          <t>P1</t>
        </is>
      </c>
      <c r="M108" t="n">
        <v>70</v>
      </c>
      <c r="N108">
        <f>ROUND(IF(IF(J108="NOT AVAILABLE","",J108)="",12,IF(OR(ISNUMBER(SEARCH("Transactional",IF(J108="NOT AVAILABLE","",J108))),ISNUMBER(SEARCH("Commercial",IF(J108="NOT AVAILABLE","",J108)))),25,IF(ISNUMBER(SEARCH("Informational",IF(J108="NOT AVAILABLE","",J108))),10,IF(ISNUMBER(SEARCH("Navigational",IF(J108="NOT AVAILABLE","",J108))),0,12))))+IF(ISNUMBER(G108),MIN(30,ROUND(30*LOG10(G108+1)/4,1)),0)+IF(ISNUMBER(H108),ROUND(25*(100-H108)/100,1),12.5)+20,0)</f>
        <v/>
      </c>
      <c r="O108">
        <f>ROUND(N108*M108/100,0)</f>
        <v/>
      </c>
      <c r="P108" s="5" t="inlineStr">
        <is>
          <t>Question-intent query answerable in the FAQ block</t>
        </is>
      </c>
      <c r="Q108" s="5" t="inlineStr">
        <is>
          <t>None detected</t>
        </is>
      </c>
    </row>
    <row r="109">
      <c r="A109" s="3" t="inlineStr">
        <is>
          <t>https://codesommet.com/services/ecommerce-website-development</t>
        </is>
      </c>
      <c r="B109" s="5" t="inlineStr">
        <is>
          <t>Création Site E-commerce au Maroc : une Boutique qui génère des VENTES EN LIGNE</t>
        </is>
      </c>
      <c r="C109" t="inlineStr">
        <is>
          <t>Morocco</t>
        </is>
      </c>
      <c r="D109" t="inlineStr">
        <is>
          <t>ma</t>
        </is>
      </c>
      <c r="E109" t="inlineStr">
        <is>
          <t>FAQ</t>
        </is>
      </c>
      <c r="F109" t="inlineStr">
        <is>
          <t>prix site e-commerce maroc</t>
        </is>
      </c>
      <c r="G109" t="n">
        <v>10</v>
      </c>
      <c r="H109" t="inlineStr">
        <is>
          <t>NOT AVAILABLE</t>
        </is>
      </c>
      <c r="I109" t="n">
        <v>0</v>
      </c>
      <c r="J109" t="inlineStr">
        <is>
          <t>NOT AVAILABLE</t>
        </is>
      </c>
      <c r="K109" t="inlineStr">
        <is>
          <t>MEASURED</t>
        </is>
      </c>
      <c r="L109" t="inlineStr">
        <is>
          <t>P1</t>
        </is>
      </c>
      <c r="M109" t="n">
        <v>70</v>
      </c>
      <c r="N109">
        <f>ROUND(IF(IF(J109="NOT AVAILABLE","",J109)="",12,IF(OR(ISNUMBER(SEARCH("Transactional",IF(J109="NOT AVAILABLE","",J109))),ISNUMBER(SEARCH("Commercial",IF(J109="NOT AVAILABLE","",J109)))),25,IF(ISNUMBER(SEARCH("Informational",IF(J109="NOT AVAILABLE","",J109))),10,IF(ISNUMBER(SEARCH("Navigational",IF(J109="NOT AVAILABLE","",J109))),0,12))))+IF(ISNUMBER(G109),MIN(30,ROUND(30*LOG10(G109+1)/4,1)),0)+IF(ISNUMBER(H109),ROUND(25*(100-H109)/100,1),12.5)+20,0)</f>
        <v/>
      </c>
      <c r="O109">
        <f>ROUND(N109*M109/100,0)</f>
        <v/>
      </c>
      <c r="P109" s="5" t="inlineStr">
        <is>
          <t>Question-intent query answerable in the FAQ block</t>
        </is>
      </c>
      <c r="Q109" s="5" t="inlineStr">
        <is>
          <t>None detected</t>
        </is>
      </c>
    </row>
    <row r="110">
      <c r="A110" s="3" t="inlineStr">
        <is>
          <t>https://codesommet.com/services/ecommerce-website-development</t>
        </is>
      </c>
      <c r="B110" s="5" t="inlineStr">
        <is>
          <t>Création Site E-commerce au Maroc : une Boutique qui génère des VENTES EN LIGNE</t>
        </is>
      </c>
      <c r="C110" t="inlineStr">
        <is>
          <t>Morocco</t>
        </is>
      </c>
      <c r="D110" t="inlineStr">
        <is>
          <t>ma</t>
        </is>
      </c>
      <c r="E110" t="inlineStr">
        <is>
          <t>SUPPORTING</t>
        </is>
      </c>
      <c r="F110" t="inlineStr">
        <is>
          <t>ecommerce maroc</t>
        </is>
      </c>
      <c r="G110" t="n">
        <v>260</v>
      </c>
      <c r="H110" t="inlineStr">
        <is>
          <t>NOT AVAILABLE</t>
        </is>
      </c>
      <c r="I110" t="n">
        <v>0.28</v>
      </c>
      <c r="J110" t="inlineStr">
        <is>
          <t>NOT AVAILABLE</t>
        </is>
      </c>
      <c r="K110" t="inlineStr">
        <is>
          <t>MEASURED</t>
        </is>
      </c>
      <c r="L110" t="inlineStr">
        <is>
          <t>P3</t>
        </is>
      </c>
      <c r="M110" t="n">
        <v>65</v>
      </c>
      <c r="N110">
        <f>ROUND(IF(IF(J110="NOT AVAILABLE","",J110)="",12,IF(OR(ISNUMBER(SEARCH("Transactional",IF(J110="NOT AVAILABLE","",J110))),ISNUMBER(SEARCH("Commercial",IF(J110="NOT AVAILABLE","",J110)))),25,IF(ISNUMBER(SEARCH("Informational",IF(J110="NOT AVAILABLE","",J110))),10,IF(ISNUMBER(SEARCH("Navigational",IF(J110="NOT AVAILABLE","",J110))),0,12))))+IF(ISNUMBER(G110),MIN(30,ROUND(30*LOG10(G110+1)/4,1)),0)+IF(ISNUMBER(H110),ROUND(25*(100-H110)/100,1),12.5)+20,0)</f>
        <v/>
      </c>
      <c r="O110">
        <f>ROUND(N110*M110/100,0)</f>
        <v/>
      </c>
      <c r="P110" s="5" t="inlineStr">
        <is>
          <t>260 - broad</t>
        </is>
      </c>
      <c r="Q110" s="5" t="inlineStr">
        <is>
          <t>None detected</t>
        </is>
      </c>
    </row>
    <row r="111">
      <c r="A111" s="3" t="inlineStr">
        <is>
          <t>https://codesommet.com/services/ecommerce-website-development</t>
        </is>
      </c>
      <c r="B111" s="5" t="inlineStr">
        <is>
          <t>Création Site E-commerce au Maroc : une Boutique qui génère des VENTES EN LIGNE</t>
        </is>
      </c>
      <c r="C111" t="inlineStr">
        <is>
          <t>France</t>
        </is>
      </c>
      <c r="D111" t="inlineStr">
        <is>
          <t>fr</t>
        </is>
      </c>
      <c r="E111" t="inlineStr">
        <is>
          <t>SUPPORTING</t>
        </is>
      </c>
      <c r="F111" t="inlineStr">
        <is>
          <t>agence création site e-commerce</t>
        </is>
      </c>
      <c r="G111" t="n">
        <v>260</v>
      </c>
      <c r="H111" t="n">
        <v>31</v>
      </c>
      <c r="I111" t="n">
        <v>3.3</v>
      </c>
      <c r="J111" t="inlineStr">
        <is>
          <t>Commercial</t>
        </is>
      </c>
      <c r="K111" t="inlineStr">
        <is>
          <t>MEASURED</t>
        </is>
      </c>
      <c r="L111" t="inlineStr">
        <is>
          <t>P3</t>
        </is>
      </c>
      <c r="M111" t="n">
        <v>65</v>
      </c>
      <c r="N111">
        <f>ROUND(IF(IF(J111="NOT AVAILABLE","",J111)="",12,IF(OR(ISNUMBER(SEARCH("Transactional",IF(J111="NOT AVAILABLE","",J111))),ISNUMBER(SEARCH("Commercial",IF(J111="NOT AVAILABLE","",J111)))),25,IF(ISNUMBER(SEARCH("Informational",IF(J111="NOT AVAILABLE","",J111))),10,IF(ISNUMBER(SEARCH("Navigational",IF(J111="NOT AVAILABLE","",J111))),0,12))))+IF(ISNUMBER(G111),MIN(30,ROUND(30*LOG10(G111+1)/4,1)),0)+IF(ISNUMBER(H111),ROUND(25*(100-H111)/100,1),12.5)+14,0)</f>
        <v/>
      </c>
      <c r="O111">
        <f>ROUND(N111*M111/100,0)</f>
        <v/>
      </c>
      <c r="P111" s="5" t="inlineStr">
        <is>
          <t>Semantic/supporting term for body copy</t>
        </is>
      </c>
      <c r="Q111" s="5" t="inlineStr">
        <is>
          <t>None detected</t>
        </is>
      </c>
    </row>
    <row r="112">
      <c r="A112" s="3" t="inlineStr">
        <is>
          <t>https://codesommet.com/services/ecommerce-website-development</t>
        </is>
      </c>
      <c r="B112" s="5" t="inlineStr">
        <is>
          <t>Création Site E-commerce au Maroc : une Boutique qui génère des VENTES EN LIGNE</t>
        </is>
      </c>
      <c r="C112" t="inlineStr">
        <is>
          <t>Morocco</t>
        </is>
      </c>
      <c r="D112" t="inlineStr">
        <is>
          <t>ma</t>
        </is>
      </c>
      <c r="E112" t="inlineStr">
        <is>
          <t>SUPPORTING</t>
        </is>
      </c>
      <c r="F112" t="inlineStr">
        <is>
          <t>site e commerce</t>
        </is>
      </c>
      <c r="G112" t="n">
        <v>140</v>
      </c>
      <c r="H112" t="inlineStr">
        <is>
          <t>NOT AVAILABLE</t>
        </is>
      </c>
      <c r="I112" t="n">
        <v>0.38</v>
      </c>
      <c r="J112" t="inlineStr">
        <is>
          <t>NOT AVAILABLE</t>
        </is>
      </c>
      <c r="K112" t="inlineStr">
        <is>
          <t>MEASURED</t>
        </is>
      </c>
      <c r="L112" t="inlineStr">
        <is>
          <t>P3</t>
        </is>
      </c>
      <c r="M112" t="n">
        <v>65</v>
      </c>
      <c r="N112">
        <f>ROUND(IF(IF(J112="NOT AVAILABLE","",J112)="",12,IF(OR(ISNUMBER(SEARCH("Transactional",IF(J112="NOT AVAILABLE","",J112))),ISNUMBER(SEARCH("Commercial",IF(J112="NOT AVAILABLE","",J112)))),25,IF(ISNUMBER(SEARCH("Informational",IF(J112="NOT AVAILABLE","",J112))),10,IF(ISNUMBER(SEARCH("Navigational",IF(J112="NOT AVAILABLE","",J112))),0,12))))+IF(ISNUMBER(G112),MIN(30,ROUND(30*LOG10(G112+1)/4,1)),0)+IF(ISNUMBER(H112),ROUND(25*(100-H112)/100,1),12.5)+20,0)</f>
        <v/>
      </c>
      <c r="O112">
        <f>ROUND(N112*M112/100,0)</f>
        <v/>
      </c>
      <c r="P112" s="5" t="inlineStr">
        <is>
          <t>140</t>
        </is>
      </c>
      <c r="Q112" s="5" t="inlineStr">
        <is>
          <t>None detected</t>
        </is>
      </c>
    </row>
    <row r="113">
      <c r="A113" s="3" t="inlineStr">
        <is>
          <t>https://codesommet.com/services/ecommerce-website-development</t>
        </is>
      </c>
      <c r="B113" s="5" t="inlineStr">
        <is>
          <t>Création Site E-commerce au Maroc : une Boutique qui génère des VENTES EN LIGNE</t>
        </is>
      </c>
      <c r="C113" t="inlineStr">
        <is>
          <t>France</t>
        </is>
      </c>
      <c r="D113" t="inlineStr">
        <is>
          <t>fr</t>
        </is>
      </c>
      <c r="E113" t="inlineStr">
        <is>
          <t>SUPPORTING</t>
        </is>
      </c>
      <c r="F113" t="inlineStr">
        <is>
          <t>site e-commerce sur mesure</t>
        </is>
      </c>
      <c r="G113" t="n">
        <v>90</v>
      </c>
      <c r="H113" t="n">
        <v>9</v>
      </c>
      <c r="I113" t="n">
        <v>0</v>
      </c>
      <c r="J113" t="inlineStr">
        <is>
          <t>Informational</t>
        </is>
      </c>
      <c r="K113" t="inlineStr">
        <is>
          <t>MEASURED</t>
        </is>
      </c>
      <c r="L113" t="inlineStr">
        <is>
          <t>P3</t>
        </is>
      </c>
      <c r="M113" t="n">
        <v>65</v>
      </c>
      <c r="N113">
        <f>ROUND(IF(IF(J113="NOT AVAILABLE","",J113)="",12,IF(OR(ISNUMBER(SEARCH("Transactional",IF(J113="NOT AVAILABLE","",J113))),ISNUMBER(SEARCH("Commercial",IF(J113="NOT AVAILABLE","",J113)))),25,IF(ISNUMBER(SEARCH("Informational",IF(J113="NOT AVAILABLE","",J113))),10,IF(ISNUMBER(SEARCH("Navigational",IF(J113="NOT AVAILABLE","",J113))),0,12))))+IF(ISNUMBER(G113),MIN(30,ROUND(30*LOG10(G113+1)/4,1)),0)+IF(ISNUMBER(H113),ROUND(25*(100-H113)/100,1),12.5)+14,0)</f>
        <v/>
      </c>
      <c r="O113">
        <f>ROUND(N113*M113/100,0)</f>
        <v/>
      </c>
      <c r="P113" s="5" t="inlineStr">
        <is>
          <t>FR 90, KD 9 - easiest FR win</t>
        </is>
      </c>
      <c r="Q113" s="5" t="inlineStr">
        <is>
          <t>None detected</t>
        </is>
      </c>
    </row>
    <row r="114">
      <c r="A114" s="3" t="inlineStr">
        <is>
          <t>https://codesommet.com/services/ecommerce-website-development</t>
        </is>
      </c>
      <c r="B114" s="5" t="inlineStr">
        <is>
          <t>Création Site E-commerce au Maroc : une Boutique qui génère des VENTES EN LIGNE</t>
        </is>
      </c>
      <c r="C114" t="inlineStr">
        <is>
          <t>Morocco</t>
        </is>
      </c>
      <c r="D114" t="inlineStr">
        <is>
          <t>ma</t>
        </is>
      </c>
      <c r="E114" t="inlineStr">
        <is>
          <t>SUPPORTING</t>
        </is>
      </c>
      <c r="F114" t="inlineStr">
        <is>
          <t>woocommerce maroc</t>
        </is>
      </c>
      <c r="G114" t="n">
        <v>20</v>
      </c>
      <c r="H114" t="inlineStr">
        <is>
          <t>NOT AVAILABLE</t>
        </is>
      </c>
      <c r="I114" t="n">
        <v>0.27</v>
      </c>
      <c r="J114" t="inlineStr">
        <is>
          <t>NOT AVAILABLE</t>
        </is>
      </c>
      <c r="K114" t="inlineStr">
        <is>
          <t>MEASURED</t>
        </is>
      </c>
      <c r="L114" t="inlineStr">
        <is>
          <t>P3</t>
        </is>
      </c>
      <c r="M114" t="n">
        <v>65</v>
      </c>
      <c r="N114">
        <f>ROUND(IF(IF(J114="NOT AVAILABLE","",J114)="",12,IF(OR(ISNUMBER(SEARCH("Transactional",IF(J114="NOT AVAILABLE","",J114))),ISNUMBER(SEARCH("Commercial",IF(J114="NOT AVAILABLE","",J114)))),25,IF(ISNUMBER(SEARCH("Informational",IF(J114="NOT AVAILABLE","",J114))),10,IF(ISNUMBER(SEARCH("Navigational",IF(J114="NOT AVAILABLE","",J114))),0,12))))+IF(ISNUMBER(G114),MIN(30,ROUND(30*LOG10(G114+1)/4,1)),0)+IF(ISNUMBER(H114),ROUND(25*(100-H114)/100,1),12.5)+20,0)</f>
        <v/>
      </c>
      <c r="O114">
        <f>ROUND(N114*M114/100,0)</f>
        <v/>
      </c>
      <c r="P114" s="5" t="inlineStr">
        <is>
          <t>Semantic/supporting term for body copy</t>
        </is>
      </c>
      <c r="Q114" s="5" t="inlineStr">
        <is>
          <t>None detected</t>
        </is>
      </c>
    </row>
    <row r="115">
      <c r="A115" s="3" t="inlineStr">
        <is>
          <t>https://codesommet.com/services/ecommerce-website-development</t>
        </is>
      </c>
      <c r="B115" s="5" t="inlineStr">
        <is>
          <t>Création Site E-commerce au Maroc : une Boutique qui génère des VENTES EN LIGNE</t>
        </is>
      </c>
      <c r="C115" t="inlineStr">
        <is>
          <t>Morocco</t>
        </is>
      </c>
      <c r="D115" t="inlineStr">
        <is>
          <t>ma</t>
        </is>
      </c>
      <c r="E115" t="inlineStr">
        <is>
          <t>OPTIONAL</t>
        </is>
      </c>
      <c r="F115" t="inlineStr">
        <is>
          <t>e-commerce maroc</t>
        </is>
      </c>
      <c r="G115" t="n">
        <v>480</v>
      </c>
      <c r="H115" t="n">
        <v>11</v>
      </c>
      <c r="I115" t="n">
        <v>0.16</v>
      </c>
      <c r="J115" t="inlineStr">
        <is>
          <t>Informational</t>
        </is>
      </c>
      <c r="K115" t="inlineStr">
        <is>
          <t>MEASURED</t>
        </is>
      </c>
      <c r="L115" t="inlineStr">
        <is>
          <t>P4</t>
        </is>
      </c>
      <c r="M115" t="n">
        <v>45</v>
      </c>
      <c r="N115">
        <f>ROUND(IF(IF(J115="NOT AVAILABLE","",J115)="",12,IF(OR(ISNUMBER(SEARCH("Transactional",IF(J115="NOT AVAILABLE","",J115))),ISNUMBER(SEARCH("Commercial",IF(J115="NOT AVAILABLE","",J115)))),25,IF(ISNUMBER(SEARCH("Informational",IF(J115="NOT AVAILABLE","",J115))),10,IF(ISNUMBER(SEARCH("Navigational",IF(J115="NOT AVAILABLE","",J115))),0,12))))+IF(ISNUMBER(G115),MIN(30,ROUND(30*LOG10(G115+1)/4,1)),0)+IF(ISNUMBER(H115),ROUND(25*(100-H115)/100,1),12.5)+20,0)</f>
        <v/>
      </c>
      <c r="O115">
        <f>ROUND(N115*M115/100,0)</f>
        <v/>
      </c>
      <c r="P115" s="5" t="inlineStr">
        <is>
          <t>480, KD 11 but informational (guides rank: rhillane, websuccess, vala) - better served by a blog guide linking here</t>
        </is>
      </c>
      <c r="Q115" s="5" t="inlineStr">
        <is>
          <t>None detected</t>
        </is>
      </c>
    </row>
    <row r="116">
      <c r="A116" s="3" t="inlineStr">
        <is>
          <t>https://codesommet.com/services/ecommerce-website-development</t>
        </is>
      </c>
      <c r="B116" s="5" t="inlineStr">
        <is>
          <t>Création Site E-commerce au Maroc : une Boutique qui génère des VENTES EN LIGNE</t>
        </is>
      </c>
      <c r="C116" t="inlineStr">
        <is>
          <t>Morocco</t>
        </is>
      </c>
      <c r="D116" t="inlineStr">
        <is>
          <t>ma</t>
        </is>
      </c>
      <c r="E116" t="inlineStr">
        <is>
          <t>NOT RECOMMENDED</t>
        </is>
      </c>
      <c r="F116" t="inlineStr">
        <is>
          <t>shopify maroc</t>
        </is>
      </c>
      <c r="G116" t="n">
        <v>320</v>
      </c>
      <c r="H116" t="n">
        <v>18</v>
      </c>
      <c r="I116" t="n">
        <v>18.76</v>
      </c>
      <c r="J116" t="inlineStr">
        <is>
          <t>Informational, Navigational</t>
        </is>
      </c>
      <c r="K116" t="inlineStr">
        <is>
          <t>MEASURED</t>
        </is>
      </c>
      <c r="L116" t="inlineStr">
        <is>
          <t>P4</t>
        </is>
      </c>
      <c r="M116" t="n">
        <v>0</v>
      </c>
      <c r="N116">
        <f>ROUND(IF(IF(J116="NOT AVAILABLE","",J116)="",12,IF(OR(ISNUMBER(SEARCH("Transactional",IF(J116="NOT AVAILABLE","",J116))),ISNUMBER(SEARCH("Commercial",IF(J116="NOT AVAILABLE","",J116)))),25,IF(ISNUMBER(SEARCH("Informational",IF(J116="NOT AVAILABLE","",J116))),10,IF(ISNUMBER(SEARCH("Navigational",IF(J116="NOT AVAILABLE","",J116))),0,12))))+IF(ISNUMBER(G116),MIN(30,ROUND(30*LOG10(G116+1)/4,1)),0)+IF(ISNUMBER(H116),ROUND(25*(100-H116)/100,1),12.5)+20,0)</f>
        <v/>
      </c>
      <c r="O116">
        <f>ROUND(N116*M116/100,0)</f>
        <v/>
      </c>
      <c r="P116" s="5" t="inlineStr">
        <is>
          <t>Platform intent (320, CPC 10) - CodeSommet sells custom builds, not Shopify (decision 27 Oct)</t>
        </is>
      </c>
      <c r="Q116" s="5" t="inlineStr">
        <is>
          <t>n/a (not targeted)</t>
        </is>
      </c>
    </row>
    <row r="117">
      <c r="A117" s="3" t="inlineStr">
        <is>
          <t>https://codesommet.com/services/edtech-platform-development</t>
        </is>
      </c>
      <c r="B117" s="5" t="inlineStr">
        <is>
          <t>Développement de Plateformes EdTech qui génèrent des PLATEFORMES EDTECH B2B</t>
        </is>
      </c>
      <c r="C117" t="inlineStr">
        <is>
          <t>France</t>
        </is>
      </c>
      <c r="D117" t="inlineStr">
        <is>
          <t>fr</t>
        </is>
      </c>
      <c r="E117" t="inlineStr">
        <is>
          <t>PRIMARY</t>
        </is>
      </c>
      <c r="F117" t="inlineStr">
        <is>
          <t>plateforme edtech</t>
        </is>
      </c>
      <c r="G117" t="n">
        <v>10</v>
      </c>
      <c r="H117" t="inlineStr">
        <is>
          <t>NOT AVAILABLE</t>
        </is>
      </c>
      <c r="I117" t="n">
        <v>2.04</v>
      </c>
      <c r="J117" t="inlineStr">
        <is>
          <t>NOT AVAILABLE</t>
        </is>
      </c>
      <c r="K117" t="inlineStr">
        <is>
          <t>MEASURED</t>
        </is>
      </c>
      <c r="L117" t="inlineStr">
        <is>
          <t>P2</t>
        </is>
      </c>
      <c r="M117" t="n">
        <v>100</v>
      </c>
      <c r="N117">
        <f>ROUND(IF(IF(J117="NOT AVAILABLE","",J117)="",12,IF(OR(ISNUMBER(SEARCH("Transactional",IF(J117="NOT AVAILABLE","",J117))),ISNUMBER(SEARCH("Commercial",IF(J117="NOT AVAILABLE","",J117)))),25,IF(ISNUMBER(SEARCH("Informational",IF(J117="NOT AVAILABLE","",J117))),10,IF(ISNUMBER(SEARCH("Navigational",IF(J117="NOT AVAILABLE","",J117))),0,12))))+IF(ISNUMBER(G117),MIN(30,ROUND(30*LOG10(G117+1)/4,1)),0)+IF(ISNUMBER(H117),ROUND(25*(100-H117)/100,1),12.5)+14,0)</f>
        <v/>
      </c>
      <c r="O117">
        <f>ROUND(N117*M117/100,0)</f>
        <v/>
      </c>
      <c r="P117" s="5" t="inlineStr">
        <is>
          <t>FR 10 - niche B2B term; differentiate from e-learning (LMS) page</t>
        </is>
      </c>
      <c r="Q117" s="5" t="inlineStr">
        <is>
          <t>None detected</t>
        </is>
      </c>
    </row>
    <row r="118">
      <c r="A118" s="3" t="inlineStr">
        <is>
          <t>https://codesommet.com/services/edtech-platform-development</t>
        </is>
      </c>
      <c r="B118" s="5" t="inlineStr">
        <is>
          <t>Développement de Plateformes EdTech qui génèrent des PLATEFORMES EDTECH B2B</t>
        </is>
      </c>
      <c r="C118" t="inlineStr">
        <is>
          <t>France</t>
        </is>
      </c>
      <c r="D118" t="inlineStr">
        <is>
          <t>fr</t>
        </is>
      </c>
      <c r="E118" t="inlineStr">
        <is>
          <t>SUPPORTING</t>
        </is>
      </c>
      <c r="F118" t="inlineStr">
        <is>
          <t>startup edtech</t>
        </is>
      </c>
      <c r="G118" t="n">
        <v>30</v>
      </c>
      <c r="H118" t="inlineStr">
        <is>
          <t>NOT AVAILABLE</t>
        </is>
      </c>
      <c r="I118" t="n">
        <v>0</v>
      </c>
      <c r="J118" t="inlineStr">
        <is>
          <t>NOT AVAILABLE</t>
        </is>
      </c>
      <c r="K118" t="inlineStr">
        <is>
          <t>MEASURED</t>
        </is>
      </c>
      <c r="L118" t="inlineStr">
        <is>
          <t>P3</t>
        </is>
      </c>
      <c r="M118" t="n">
        <v>65</v>
      </c>
      <c r="N118">
        <f>ROUND(IF(IF(J118="NOT AVAILABLE","",J118)="",12,IF(OR(ISNUMBER(SEARCH("Transactional",IF(J118="NOT AVAILABLE","",J118))),ISNUMBER(SEARCH("Commercial",IF(J118="NOT AVAILABLE","",J118)))),25,IF(ISNUMBER(SEARCH("Informational",IF(J118="NOT AVAILABLE","",J118))),10,IF(ISNUMBER(SEARCH("Navigational",IF(J118="NOT AVAILABLE","",J118))),0,12))))+IF(ISNUMBER(G118),MIN(30,ROUND(30*LOG10(G118+1)/4,1)),0)+IF(ISNUMBER(H118),ROUND(25*(100-H118)/100,1),12.5)+14,0)</f>
        <v/>
      </c>
      <c r="O118">
        <f>ROUND(N118*M118/100,0)</f>
        <v/>
      </c>
      <c r="P118" s="5" t="inlineStr">
        <is>
          <t>30 informational</t>
        </is>
      </c>
      <c r="Q118" s="5" t="inlineStr">
        <is>
          <t>None detected</t>
        </is>
      </c>
    </row>
    <row r="119">
      <c r="A119" s="3" t="inlineStr">
        <is>
          <t>https://codesommet.com/services/edtech-platform-development</t>
        </is>
      </c>
      <c r="B119" s="5" t="inlineStr">
        <is>
          <t>Développement de Plateformes EdTech qui génèrent des PLATEFORMES EDTECH B2B</t>
        </is>
      </c>
      <c r="C119" t="inlineStr">
        <is>
          <t>Morocco</t>
        </is>
      </c>
      <c r="D119" t="inlineStr">
        <is>
          <t>ma</t>
        </is>
      </c>
      <c r="E119" t="inlineStr">
        <is>
          <t>SUPPORTING</t>
        </is>
      </c>
      <c r="F119" t="inlineStr">
        <is>
          <t>edtech maroc</t>
        </is>
      </c>
      <c r="G119" t="n">
        <v>20</v>
      </c>
      <c r="H119" t="inlineStr">
        <is>
          <t>NOT AVAILABLE</t>
        </is>
      </c>
      <c r="I119" t="n">
        <v>0</v>
      </c>
      <c r="J119" t="inlineStr">
        <is>
          <t>NOT AVAILABLE</t>
        </is>
      </c>
      <c r="K119" t="inlineStr">
        <is>
          <t>MEASURED</t>
        </is>
      </c>
      <c r="L119" t="inlineStr">
        <is>
          <t>P3</t>
        </is>
      </c>
      <c r="M119" t="n">
        <v>65</v>
      </c>
      <c r="N119">
        <f>ROUND(IF(IF(J119="NOT AVAILABLE","",J119)="",12,IF(OR(ISNUMBER(SEARCH("Transactional",IF(J119="NOT AVAILABLE","",J119))),ISNUMBER(SEARCH("Commercial",IF(J119="NOT AVAILABLE","",J119)))),25,IF(ISNUMBER(SEARCH("Informational",IF(J119="NOT AVAILABLE","",J119))),10,IF(ISNUMBER(SEARCH("Navigational",IF(J119="NOT AVAILABLE","",J119))),0,12))))+IF(ISNUMBER(G119),MIN(30,ROUND(30*LOG10(G119+1)/4,1)),0)+IF(ISNUMBER(H119),ROUND(25*(100-H119)/100,1),12.5)+20,0)</f>
        <v/>
      </c>
      <c r="O119">
        <f>ROUND(N119*M119/100,0)</f>
        <v/>
      </c>
      <c r="P119" s="5" t="inlineStr">
        <is>
          <t>20</t>
        </is>
      </c>
      <c r="Q119" s="5" t="inlineStr">
        <is>
          <t>None detected</t>
        </is>
      </c>
    </row>
    <row r="120">
      <c r="A120" s="3" t="inlineStr">
        <is>
          <t>https://codesommet.com/services/education-website-development</t>
        </is>
      </c>
      <c r="B120" s="5" t="inlineStr">
        <is>
          <t>Création de Sites Web Éducatifs &amp; E-Learning qui génèrent des PORTAILS DE CANDID</t>
        </is>
      </c>
      <c r="C120" t="inlineStr">
        <is>
          <t>France</t>
        </is>
      </c>
      <c r="D120" t="inlineStr">
        <is>
          <t>fr</t>
        </is>
      </c>
      <c r="E120" t="inlineStr">
        <is>
          <t>PRIMARY</t>
        </is>
      </c>
      <c r="F120" t="inlineStr">
        <is>
          <t>site internet école</t>
        </is>
      </c>
      <c r="G120" t="n">
        <v>10</v>
      </c>
      <c r="H120" t="inlineStr">
        <is>
          <t>NOT AVAILABLE</t>
        </is>
      </c>
      <c r="I120" t="n">
        <v>0</v>
      </c>
      <c r="J120" t="inlineStr">
        <is>
          <t>NOT AVAILABLE</t>
        </is>
      </c>
      <c r="K120" t="inlineStr">
        <is>
          <t>MEASURED</t>
        </is>
      </c>
      <c r="L120" t="inlineStr">
        <is>
          <t>P2</t>
        </is>
      </c>
      <c r="M120" t="n">
        <v>100</v>
      </c>
      <c r="N120">
        <f>ROUND(IF(IF(J120="NOT AVAILABLE","",J120)="",12,IF(OR(ISNUMBER(SEARCH("Transactional",IF(J120="NOT AVAILABLE","",J120))),ISNUMBER(SEARCH("Commercial",IF(J120="NOT AVAILABLE","",J120)))),25,IF(ISNUMBER(SEARCH("Informational",IF(J120="NOT AVAILABLE","",J120))),10,IF(ISNUMBER(SEARCH("Navigational",IF(J120="NOT AVAILABLE","",J120))),0,12))))+IF(ISNUMBER(G120),MIN(30,ROUND(30*LOG10(G120+1)/4,1)),0)+IF(ISNUMBER(H120),ROUND(25*(100-H120)/100,1),12.5)+14,0)</f>
        <v/>
      </c>
      <c r="O120">
        <f>ROUND(N120*M120/100,0)</f>
        <v/>
      </c>
      <c r="P120" s="5" t="inlineStr">
        <is>
          <t>Low demand (FR 10) - keep as relevance anchor</t>
        </is>
      </c>
      <c r="Q120" s="5" t="inlineStr">
        <is>
          <t>None detected</t>
        </is>
      </c>
    </row>
    <row r="121">
      <c r="A121" s="3" t="inlineStr">
        <is>
          <t>https://codesommet.com/services/education-website-development</t>
        </is>
      </c>
      <c r="B121" s="5" t="inlineStr">
        <is>
          <t>Création de Sites Web Éducatifs &amp; E-Learning qui génèrent des PORTAILS DE CANDID</t>
        </is>
      </c>
      <c r="C121" t="inlineStr">
        <is>
          <t>France</t>
        </is>
      </c>
      <c r="D121" t="inlineStr">
        <is>
          <t>fr</t>
        </is>
      </c>
      <c r="E121" t="inlineStr">
        <is>
          <t>SECONDARY</t>
        </is>
      </c>
      <c r="F121" t="inlineStr">
        <is>
          <t>site web centre de formation</t>
        </is>
      </c>
      <c r="G121" t="n">
        <v>20</v>
      </c>
      <c r="H121" t="inlineStr">
        <is>
          <t>NOT AVAILABLE</t>
        </is>
      </c>
      <c r="I121" t="n">
        <v>0</v>
      </c>
      <c r="J121" t="inlineStr">
        <is>
          <t>NOT AVAILABLE</t>
        </is>
      </c>
      <c r="K121" t="inlineStr">
        <is>
          <t>MEASURED</t>
        </is>
      </c>
      <c r="L121" t="inlineStr">
        <is>
          <t>P2</t>
        </is>
      </c>
      <c r="M121" t="n">
        <v>85</v>
      </c>
      <c r="N121">
        <f>ROUND(IF(IF(J121="NOT AVAILABLE","",J121)="",12,IF(OR(ISNUMBER(SEARCH("Transactional",IF(J121="NOT AVAILABLE","",J121))),ISNUMBER(SEARCH("Commercial",IF(J121="NOT AVAILABLE","",J121)))),25,IF(ISNUMBER(SEARCH("Informational",IF(J121="NOT AVAILABLE","",J121))),10,IF(ISNUMBER(SEARCH("Navigational",IF(J121="NOT AVAILABLE","",J121))),0,12))))+IF(ISNUMBER(G121),MIN(30,ROUND(30*LOG10(G121+1)/4,1)),0)+IF(ISNUMBER(H121),ROUND(25*(100-H121)/100,1),12.5)+14,0)</f>
        <v/>
      </c>
      <c r="O121">
        <f>ROUND(N121*M121/100,0)</f>
        <v/>
      </c>
      <c r="P121" s="5" t="inlineStr">
        <is>
          <t>20</t>
        </is>
      </c>
      <c r="Q121" s="5" t="inlineStr">
        <is>
          <t>None detected</t>
        </is>
      </c>
    </row>
    <row r="122">
      <c r="A122" s="3" t="inlineStr">
        <is>
          <t>https://codesommet.com/services/education-website-development</t>
        </is>
      </c>
      <c r="B122" s="5" t="inlineStr">
        <is>
          <t>Création de Sites Web Éducatifs &amp; E-Learning qui génèrent des PORTAILS DE CANDID</t>
        </is>
      </c>
      <c r="C122" t="inlineStr">
        <is>
          <t>France</t>
        </is>
      </c>
      <c r="D122" t="inlineStr">
        <is>
          <t>fr</t>
        </is>
      </c>
      <c r="E122" t="inlineStr">
        <is>
          <t>SUPPORTING</t>
        </is>
      </c>
      <c r="F122" t="inlineStr">
        <is>
          <t>création site web école</t>
        </is>
      </c>
      <c r="G122" t="inlineStr">
        <is>
          <t>NOT AVAILABLE</t>
        </is>
      </c>
      <c r="H122" t="inlineStr">
        <is>
          <t>NOT AVAILABLE</t>
        </is>
      </c>
      <c r="I122" t="inlineStr">
        <is>
          <t>NOT AVAILABLE</t>
        </is>
      </c>
      <c r="J122" t="inlineStr">
        <is>
          <t>NOT AVAILABLE</t>
        </is>
      </c>
      <c r="K122" t="inlineStr">
        <is>
          <t>UNAVAILABLE</t>
        </is>
      </c>
      <c r="L122" t="inlineStr">
        <is>
          <t>P3</t>
        </is>
      </c>
      <c r="M122" t="n">
        <v>65</v>
      </c>
      <c r="N122">
        <f>ROUND(IF(IF(J122="NOT AVAILABLE","",J122)="",12,IF(OR(ISNUMBER(SEARCH("Transactional",IF(J122="NOT AVAILABLE","",J122))),ISNUMBER(SEARCH("Commercial",IF(J122="NOT AVAILABLE","",J122)))),25,IF(ISNUMBER(SEARCH("Informational",IF(J122="NOT AVAILABLE","",J122))),10,IF(ISNUMBER(SEARCH("Navigational",IF(J122="NOT AVAILABLE","",J122))),0,12))))+IF(ISNUMBER(G122),MIN(30,ROUND(30*LOG10(G122+1)/4,1)),0)+IF(ISNUMBER(H122),ROUND(25*(100-H122)/100,1),12.5)+14,0)</f>
        <v/>
      </c>
      <c r="O122">
        <f>ROUND(N122*M122/100,0)</f>
        <v/>
      </c>
      <c r="P122" s="5" t="inlineStr">
        <is>
          <t>Semantic/supporting term for body copy</t>
        </is>
      </c>
      <c r="Q122" s="5" t="inlineStr">
        <is>
          <t>None detected</t>
        </is>
      </c>
    </row>
    <row r="123">
      <c r="A123" s="3" t="inlineStr">
        <is>
          <t>https://codesommet.com/services/education-website-development</t>
        </is>
      </c>
      <c r="B123" s="5" t="inlineStr">
        <is>
          <t>Création de Sites Web Éducatifs &amp; E-Learning qui génèrent des PORTAILS DE CANDID</t>
        </is>
      </c>
      <c r="C123" t="inlineStr">
        <is>
          <t>Morocco</t>
        </is>
      </c>
      <c r="D123" t="inlineStr">
        <is>
          <t>ma</t>
        </is>
      </c>
      <c r="E123" t="inlineStr">
        <is>
          <t>SUPPORTING</t>
        </is>
      </c>
      <c r="F123" t="inlineStr">
        <is>
          <t>site web école privée</t>
        </is>
      </c>
      <c r="G123" t="inlineStr">
        <is>
          <t>NOT AVAILABLE</t>
        </is>
      </c>
      <c r="H123" t="inlineStr">
        <is>
          <t>NOT AVAILABLE</t>
        </is>
      </c>
      <c r="I123" t="inlineStr">
        <is>
          <t>NOT AVAILABLE</t>
        </is>
      </c>
      <c r="J123" t="inlineStr">
        <is>
          <t>NOT AVAILABLE</t>
        </is>
      </c>
      <c r="K123" t="inlineStr">
        <is>
          <t>UNAVAILABLE</t>
        </is>
      </c>
      <c r="L123" t="inlineStr">
        <is>
          <t>P3</t>
        </is>
      </c>
      <c r="M123" t="n">
        <v>65</v>
      </c>
      <c r="N123">
        <f>ROUND(IF(IF(J123="NOT AVAILABLE","",J123)="",12,IF(OR(ISNUMBER(SEARCH("Transactional",IF(J123="NOT AVAILABLE","",J123))),ISNUMBER(SEARCH("Commercial",IF(J123="NOT AVAILABLE","",J123)))),25,IF(ISNUMBER(SEARCH("Informational",IF(J123="NOT AVAILABLE","",J123))),10,IF(ISNUMBER(SEARCH("Navigational",IF(J123="NOT AVAILABLE","",J123))),0,12))))+IF(ISNUMBER(G123),MIN(30,ROUND(30*LOG10(G123+1)/4,1)),0)+IF(ISNUMBER(H123),ROUND(25*(100-H123)/100,1),12.5)+20,0)</f>
        <v/>
      </c>
      <c r="O123">
        <f>ROUND(N123*M123/100,0)</f>
        <v/>
      </c>
      <c r="P123" s="5" t="inlineStr">
        <is>
          <t>Semantic/supporting term for body copy</t>
        </is>
      </c>
      <c r="Q123" s="5" t="inlineStr">
        <is>
          <t>None detected</t>
        </is>
      </c>
    </row>
    <row r="124">
      <c r="A124" s="3" t="inlineStr">
        <is>
          <t>https://codesommet.com/services/education-website-development</t>
        </is>
      </c>
      <c r="B124" s="5" t="inlineStr">
        <is>
          <t>Création de Sites Web Éducatifs &amp; E-Learning qui génèrent des PORTAILS DE CANDID</t>
        </is>
      </c>
      <c r="C124" t="inlineStr">
        <is>
          <t>France</t>
        </is>
      </c>
      <c r="D124" t="inlineStr">
        <is>
          <t>fr</t>
        </is>
      </c>
      <c r="E124" t="inlineStr">
        <is>
          <t>NOT RECOMMENDED</t>
        </is>
      </c>
      <c r="F124" t="inlineStr">
        <is>
          <t>plateforme e-learning</t>
        </is>
      </c>
      <c r="G124" t="n">
        <v>2400</v>
      </c>
      <c r="H124" t="n">
        <v>31</v>
      </c>
      <c r="I124" t="n">
        <v>8.029999999999999</v>
      </c>
      <c r="J124" t="inlineStr">
        <is>
          <t>Informational</t>
        </is>
      </c>
      <c r="K124" t="inlineStr">
        <is>
          <t>MEASURED</t>
        </is>
      </c>
      <c r="L124" t="inlineStr">
        <is>
          <t>P4</t>
        </is>
      </c>
      <c r="M124" t="n">
        <v>0</v>
      </c>
      <c r="N124">
        <f>ROUND(IF(IF(J124="NOT AVAILABLE","",J124)="",12,IF(OR(ISNUMBER(SEARCH("Transactional",IF(J124="NOT AVAILABLE","",J124))),ISNUMBER(SEARCH("Commercial",IF(J124="NOT AVAILABLE","",J124)))),25,IF(ISNUMBER(SEARCH("Informational",IF(J124="NOT AVAILABLE","",J124))),10,IF(ISNUMBER(SEARCH("Navigational",IF(J124="NOT AVAILABLE","",J124))),0,12))))+IF(ISNUMBER(G124),MIN(30,ROUND(30*LOG10(G124+1)/4,1)),0)+IF(ISNUMBER(H124),ROUND(25*(100-H124)/100,1),12.5)+14,0)</f>
        <v/>
      </c>
      <c r="O124">
        <f>ROUND(N124*M124/100,0)</f>
        <v/>
      </c>
      <c r="P124" s="5" t="inlineStr">
        <is>
          <t>Owned by e-learning page</t>
        </is>
      </c>
      <c r="Q124" s="5" t="inlineStr">
        <is>
          <t>n/a (not targeted)</t>
        </is>
      </c>
    </row>
    <row r="125">
      <c r="A125" s="3" t="inlineStr">
        <is>
          <t>https://codesommet.com/services/elearning-platform-development</t>
        </is>
      </c>
      <c r="B125" s="5" t="inlineStr">
        <is>
          <t>Développement de Plateformes E-Learning qui génèrent des LMS POUR ÉCOLES, CENTRE</t>
        </is>
      </c>
      <c r="C125" t="inlineStr">
        <is>
          <t>France</t>
        </is>
      </c>
      <c r="D125" t="inlineStr">
        <is>
          <t>fr</t>
        </is>
      </c>
      <c r="E125" t="inlineStr">
        <is>
          <t>PRIMARY</t>
        </is>
      </c>
      <c r="F125" t="inlineStr">
        <is>
          <t>plateforme e-learning</t>
        </is>
      </c>
      <c r="G125" t="n">
        <v>2400</v>
      </c>
      <c r="H125" t="n">
        <v>31</v>
      </c>
      <c r="I125" t="n">
        <v>8.029999999999999</v>
      </c>
      <c r="J125" t="inlineStr">
        <is>
          <t>Informational</t>
        </is>
      </c>
      <c r="K125" t="inlineStr">
        <is>
          <t>MEASURED</t>
        </is>
      </c>
      <c r="L125" t="inlineStr">
        <is>
          <t>P2</t>
        </is>
      </c>
      <c r="M125" t="n">
        <v>100</v>
      </c>
      <c r="N125">
        <f>ROUND(IF(IF(J125="NOT AVAILABLE","",J125)="",12,IF(OR(ISNUMBER(SEARCH("Transactional",IF(J125="NOT AVAILABLE","",J125))),ISNUMBER(SEARCH("Commercial",IF(J125="NOT AVAILABLE","",J125)))),25,IF(ISNUMBER(SEARCH("Informational",IF(J125="NOT AVAILABLE","",J125))),10,IF(ISNUMBER(SEARCH("Navigational",IF(J125="NOT AVAILABLE","",J125))),0,12))))+IF(ISNUMBER(G125),MIN(30,ROUND(30*LOG10(G125+1)/4,1)),0)+IF(ISNUMBER(H125),ROUND(25*(100-H125)/100,1),12.5)+14,0)</f>
        <v/>
      </c>
      <c r="O125">
        <f>ROUND(N125*M125/100,0)</f>
        <v/>
      </c>
      <c r="P125" s="5" t="inlineStr">
        <is>
          <t>FR 2400, KD 31 - head term; partly informational (people comparing platforms) - realistic as long-term target</t>
        </is>
      </c>
      <c r="Q125" s="5" t="inlineStr">
        <is>
          <t>None detected</t>
        </is>
      </c>
    </row>
    <row r="126">
      <c r="A126" s="3" t="inlineStr">
        <is>
          <t>https://codesommet.com/services/elearning-platform-development</t>
        </is>
      </c>
      <c r="B126" s="5" t="inlineStr">
        <is>
          <t>Développement de Plateformes E-Learning qui génèrent des LMS POUR ÉCOLES, CENTRE</t>
        </is>
      </c>
      <c r="C126" t="inlineStr">
        <is>
          <t>France</t>
        </is>
      </c>
      <c r="D126" t="inlineStr">
        <is>
          <t>fr</t>
        </is>
      </c>
      <c r="E126" t="inlineStr">
        <is>
          <t>SECONDARY</t>
        </is>
      </c>
      <c r="F126" t="inlineStr">
        <is>
          <t>plateforme lms</t>
        </is>
      </c>
      <c r="G126" t="n">
        <v>1000</v>
      </c>
      <c r="H126" t="n">
        <v>37</v>
      </c>
      <c r="I126" t="n">
        <v>5.74</v>
      </c>
      <c r="J126" t="inlineStr">
        <is>
          <t>Informational</t>
        </is>
      </c>
      <c r="K126" t="inlineStr">
        <is>
          <t>MEASURED</t>
        </is>
      </c>
      <c r="L126" t="inlineStr">
        <is>
          <t>P2</t>
        </is>
      </c>
      <c r="M126" t="n">
        <v>85</v>
      </c>
      <c r="N126">
        <f>ROUND(IF(IF(J126="NOT AVAILABLE","",J126)="",12,IF(OR(ISNUMBER(SEARCH("Transactional",IF(J126="NOT AVAILABLE","",J126))),ISNUMBER(SEARCH("Commercial",IF(J126="NOT AVAILABLE","",J126)))),25,IF(ISNUMBER(SEARCH("Informational",IF(J126="NOT AVAILABLE","",J126))),10,IF(ISNUMBER(SEARCH("Navigational",IF(J126="NOT AVAILABLE","",J126))),0,12))))+IF(ISNUMBER(G126),MIN(30,ROUND(30*LOG10(G126+1)/4,1)),0)+IF(ISNUMBER(H126),ROUND(25*(100-H126)/100,1),12.5)+14,0)</f>
        <v/>
      </c>
      <c r="O126">
        <f>ROUND(N126*M126/100,0)</f>
        <v/>
      </c>
      <c r="P126" s="5" t="inlineStr">
        <is>
          <t>1000, KD 37</t>
        </is>
      </c>
      <c r="Q126" s="5" t="inlineStr">
        <is>
          <t>None detected</t>
        </is>
      </c>
    </row>
    <row r="127">
      <c r="A127" s="3" t="inlineStr">
        <is>
          <t>https://codesommet.com/services/elearning-platform-development</t>
        </is>
      </c>
      <c r="B127" s="5" t="inlineStr">
        <is>
          <t>Développement de Plateformes E-Learning qui génèrent des LMS POUR ÉCOLES, CENTRE</t>
        </is>
      </c>
      <c r="C127" t="inlineStr">
        <is>
          <t>France</t>
        </is>
      </c>
      <c r="D127" t="inlineStr">
        <is>
          <t>fr</t>
        </is>
      </c>
      <c r="E127" t="inlineStr">
        <is>
          <t>SECONDARY</t>
        </is>
      </c>
      <c r="F127" t="inlineStr">
        <is>
          <t>plateforme de formation en ligne</t>
        </is>
      </c>
      <c r="G127" t="n">
        <v>1000</v>
      </c>
      <c r="H127" t="n">
        <v>51</v>
      </c>
      <c r="I127" t="n">
        <v>4.36</v>
      </c>
      <c r="J127" t="inlineStr">
        <is>
          <t>Informational</t>
        </is>
      </c>
      <c r="K127" t="inlineStr">
        <is>
          <t>MEASURED</t>
        </is>
      </c>
      <c r="L127" t="inlineStr">
        <is>
          <t>P2</t>
        </is>
      </c>
      <c r="M127" t="n">
        <v>85</v>
      </c>
      <c r="N127">
        <f>ROUND(IF(IF(J127="NOT AVAILABLE","",J127)="",12,IF(OR(ISNUMBER(SEARCH("Transactional",IF(J127="NOT AVAILABLE","",J127))),ISNUMBER(SEARCH("Commercial",IF(J127="NOT AVAILABLE","",J127)))),25,IF(ISNUMBER(SEARCH("Informational",IF(J127="NOT AVAILABLE","",J127))),10,IF(ISNUMBER(SEARCH("Navigational",IF(J127="NOT AVAILABLE","",J127))),0,12))))+IF(ISNUMBER(G127),MIN(30,ROUND(30*LOG10(G127+1)/4,1)),0)+IF(ISNUMBER(H127),ROUND(25*(100-H127)/100,1),12.5)+14,0)</f>
        <v/>
      </c>
      <c r="O127">
        <f>ROUND(N127*M127/100,0)</f>
        <v/>
      </c>
      <c r="P127" s="5" t="inlineStr">
        <is>
          <t>1000, KD 51 - shared intent risk with online-course page (see sheet 09)</t>
        </is>
      </c>
      <c r="Q127" s="5" t="inlineStr">
        <is>
          <t>None detected</t>
        </is>
      </c>
    </row>
    <row r="128">
      <c r="A128" s="3" t="inlineStr">
        <is>
          <t>https://codesommet.com/services/elearning-platform-development</t>
        </is>
      </c>
      <c r="B128" s="5" t="inlineStr">
        <is>
          <t>Développement de Plateformes E-Learning qui génèrent des LMS POUR ÉCOLES, CENTRE</t>
        </is>
      </c>
      <c r="C128" t="inlineStr">
        <is>
          <t>France</t>
        </is>
      </c>
      <c r="D128" t="inlineStr">
        <is>
          <t>fr</t>
        </is>
      </c>
      <c r="E128" t="inlineStr">
        <is>
          <t>SECONDARY</t>
        </is>
      </c>
      <c r="F128" t="inlineStr">
        <is>
          <t>logiciel lms</t>
        </is>
      </c>
      <c r="G128" t="n">
        <v>170</v>
      </c>
      <c r="H128" t="n">
        <v>31</v>
      </c>
      <c r="I128" t="n">
        <v>6.91</v>
      </c>
      <c r="J128" t="inlineStr">
        <is>
          <t>Informational</t>
        </is>
      </c>
      <c r="K128" t="inlineStr">
        <is>
          <t>MEASURED</t>
        </is>
      </c>
      <c r="L128" t="inlineStr">
        <is>
          <t>P2</t>
        </is>
      </c>
      <c r="M128" t="n">
        <v>85</v>
      </c>
      <c r="N128">
        <f>ROUND(IF(IF(J128="NOT AVAILABLE","",J128)="",12,IF(OR(ISNUMBER(SEARCH("Transactional",IF(J128="NOT AVAILABLE","",J128))),ISNUMBER(SEARCH("Commercial",IF(J128="NOT AVAILABLE","",J128)))),25,IF(ISNUMBER(SEARCH("Informational",IF(J128="NOT AVAILABLE","",J128))),10,IF(ISNUMBER(SEARCH("Navigational",IF(J128="NOT AVAILABLE","",J128))),0,12))))+IF(ISNUMBER(G128),MIN(30,ROUND(30*LOG10(G128+1)/4,1)),0)+IF(ISNUMBER(H128),ROUND(25*(100-H128)/100,1),12.5)+14,0)</f>
        <v/>
      </c>
      <c r="O128">
        <f>ROUND(N128*M128/100,0)</f>
        <v/>
      </c>
      <c r="P128" s="5" t="inlineStr">
        <is>
          <t>170, KD 31</t>
        </is>
      </c>
      <c r="Q128" s="5" t="inlineStr">
        <is>
          <t>None detected</t>
        </is>
      </c>
    </row>
    <row r="129">
      <c r="A129" s="3" t="inlineStr">
        <is>
          <t>https://codesommet.com/services/elearning-platform-development</t>
        </is>
      </c>
      <c r="B129" s="5" t="inlineStr">
        <is>
          <t>Développement de Plateformes E-Learning qui génèrent des LMS POUR ÉCOLES, CENTRE</t>
        </is>
      </c>
      <c r="C129" t="inlineStr">
        <is>
          <t>France</t>
        </is>
      </c>
      <c r="D129" t="inlineStr">
        <is>
          <t>fr</t>
        </is>
      </c>
      <c r="E129" t="inlineStr">
        <is>
          <t>FAQ</t>
        </is>
      </c>
      <c r="F129" t="inlineStr">
        <is>
          <t>comment créer une plateforme e-learning</t>
        </is>
      </c>
      <c r="G129" t="n">
        <v>20</v>
      </c>
      <c r="H129" t="inlineStr">
        <is>
          <t>NOT AVAILABLE</t>
        </is>
      </c>
      <c r="I129" t="n">
        <v>0</v>
      </c>
      <c r="J129" t="inlineStr">
        <is>
          <t>NOT AVAILABLE</t>
        </is>
      </c>
      <c r="K129" t="inlineStr">
        <is>
          <t>MEASURED</t>
        </is>
      </c>
      <c r="L129" t="inlineStr">
        <is>
          <t>P2</t>
        </is>
      </c>
      <c r="M129" t="n">
        <v>70</v>
      </c>
      <c r="N129">
        <f>ROUND(IF(IF(J129="NOT AVAILABLE","",J129)="",12,IF(OR(ISNUMBER(SEARCH("Transactional",IF(J129="NOT AVAILABLE","",J129))),ISNUMBER(SEARCH("Commercial",IF(J129="NOT AVAILABLE","",J129)))),25,IF(ISNUMBER(SEARCH("Informational",IF(J129="NOT AVAILABLE","",J129))),10,IF(ISNUMBER(SEARCH("Navigational",IF(J129="NOT AVAILABLE","",J129))),0,12))))+IF(ISNUMBER(G129),MIN(30,ROUND(30*LOG10(G129+1)/4,1)),0)+IF(ISNUMBER(H129),ROUND(25*(100-H129)/100,1),12.5)+14,0)</f>
        <v/>
      </c>
      <c r="O129">
        <f>ROUND(N129*M129/100,0)</f>
        <v/>
      </c>
      <c r="P129" s="5" t="inlineStr">
        <is>
          <t>20</t>
        </is>
      </c>
      <c r="Q129" s="5" t="inlineStr">
        <is>
          <t>None detected</t>
        </is>
      </c>
    </row>
    <row r="130">
      <c r="A130" s="3" t="inlineStr">
        <is>
          <t>https://codesommet.com/services/elearning-platform-development</t>
        </is>
      </c>
      <c r="B130" s="5" t="inlineStr">
        <is>
          <t>Développement de Plateformes E-Learning qui génèrent des LMS POUR ÉCOLES, CENTRE</t>
        </is>
      </c>
      <c r="C130" t="inlineStr">
        <is>
          <t>Morocco</t>
        </is>
      </c>
      <c r="D130" t="inlineStr">
        <is>
          <t>ma</t>
        </is>
      </c>
      <c r="E130" t="inlineStr">
        <is>
          <t>SUPPORTING</t>
        </is>
      </c>
      <c r="F130" t="inlineStr">
        <is>
          <t>plateforme e-learning</t>
        </is>
      </c>
      <c r="G130" t="n">
        <v>20</v>
      </c>
      <c r="H130" t="inlineStr">
        <is>
          <t>NOT AVAILABLE</t>
        </is>
      </c>
      <c r="I130" t="n">
        <v>0.25</v>
      </c>
      <c r="J130" t="inlineStr">
        <is>
          <t>NOT AVAILABLE</t>
        </is>
      </c>
      <c r="K130" t="inlineStr">
        <is>
          <t>MEASURED</t>
        </is>
      </c>
      <c r="L130" t="inlineStr">
        <is>
          <t>P3</t>
        </is>
      </c>
      <c r="M130" t="n">
        <v>65</v>
      </c>
      <c r="N130">
        <f>ROUND(IF(IF(J130="NOT AVAILABLE","",J130)="",12,IF(OR(ISNUMBER(SEARCH("Transactional",IF(J130="NOT AVAILABLE","",J130))),ISNUMBER(SEARCH("Commercial",IF(J130="NOT AVAILABLE","",J130)))),25,IF(ISNUMBER(SEARCH("Informational",IF(J130="NOT AVAILABLE","",J130))),10,IF(ISNUMBER(SEARCH("Navigational",IF(J130="NOT AVAILABLE","",J130))),0,12))))+IF(ISNUMBER(G130),MIN(30,ROUND(30*LOG10(G130+1)/4,1)),0)+IF(ISNUMBER(H130),ROUND(25*(100-H130)/100,1),12.5)+20,0)</f>
        <v/>
      </c>
      <c r="O130">
        <f>ROUND(N130*M130/100,0)</f>
        <v/>
      </c>
      <c r="P130" s="5" t="inlineStr">
        <is>
          <t>MA 20</t>
        </is>
      </c>
      <c r="Q130" s="5" t="inlineStr">
        <is>
          <t>None detected</t>
        </is>
      </c>
    </row>
    <row r="131">
      <c r="A131" s="3" t="inlineStr">
        <is>
          <t>https://codesommet.com/services/elearning-platform-development</t>
        </is>
      </c>
      <c r="B131" s="5" t="inlineStr">
        <is>
          <t>Développement de Plateformes E-Learning qui génèrent des LMS POUR ÉCOLES, CENTRE</t>
        </is>
      </c>
      <c r="C131" t="inlineStr">
        <is>
          <t>Morocco</t>
        </is>
      </c>
      <c r="D131" t="inlineStr">
        <is>
          <t>ma</t>
        </is>
      </c>
      <c r="E131" t="inlineStr">
        <is>
          <t>SUPPORTING</t>
        </is>
      </c>
      <c r="F131" t="inlineStr">
        <is>
          <t>e-learning maroc</t>
        </is>
      </c>
      <c r="G131" t="n">
        <v>20</v>
      </c>
      <c r="H131" t="inlineStr">
        <is>
          <t>NOT AVAILABLE</t>
        </is>
      </c>
      <c r="I131" t="n">
        <v>0.18</v>
      </c>
      <c r="J131" t="inlineStr">
        <is>
          <t>NOT AVAILABLE</t>
        </is>
      </c>
      <c r="K131" t="inlineStr">
        <is>
          <t>MEASURED</t>
        </is>
      </c>
      <c r="L131" t="inlineStr">
        <is>
          <t>P3</t>
        </is>
      </c>
      <c r="M131" t="n">
        <v>65</v>
      </c>
      <c r="N131">
        <f>ROUND(IF(IF(J131="NOT AVAILABLE","",J131)="",12,IF(OR(ISNUMBER(SEARCH("Transactional",IF(J131="NOT AVAILABLE","",J131))),ISNUMBER(SEARCH("Commercial",IF(J131="NOT AVAILABLE","",J131)))),25,IF(ISNUMBER(SEARCH("Informational",IF(J131="NOT AVAILABLE","",J131))),10,IF(ISNUMBER(SEARCH("Navigational",IF(J131="NOT AVAILABLE","",J131))),0,12))))+IF(ISNUMBER(G131),MIN(30,ROUND(30*LOG10(G131+1)/4,1)),0)+IF(ISNUMBER(H131),ROUND(25*(100-H131)/100,1),12.5)+20,0)</f>
        <v/>
      </c>
      <c r="O131">
        <f>ROUND(N131*M131/100,0)</f>
        <v/>
      </c>
      <c r="P131" s="5" t="inlineStr">
        <is>
          <t>Semantic/supporting term for body copy</t>
        </is>
      </c>
      <c r="Q131" s="5" t="inlineStr">
        <is>
          <t>None detected</t>
        </is>
      </c>
    </row>
    <row r="132">
      <c r="A132" s="3" t="inlineStr">
        <is>
          <t>https://codesommet.com/services/elearning-platform-development</t>
        </is>
      </c>
      <c r="B132" s="5" t="inlineStr">
        <is>
          <t>Développement de Plateformes E-Learning qui génèrent des LMS POUR ÉCOLES, CENTRE</t>
        </is>
      </c>
      <c r="C132" t="inlineStr">
        <is>
          <t>Morocco</t>
        </is>
      </c>
      <c r="D132" t="inlineStr">
        <is>
          <t>ma</t>
        </is>
      </c>
      <c r="E132" t="inlineStr">
        <is>
          <t>SUPPORTING</t>
        </is>
      </c>
      <c r="F132" t="inlineStr">
        <is>
          <t>lms maroc</t>
        </is>
      </c>
      <c r="G132" t="n">
        <v>20</v>
      </c>
      <c r="H132" t="inlineStr">
        <is>
          <t>NOT AVAILABLE</t>
        </is>
      </c>
      <c r="I132" t="n">
        <v>0</v>
      </c>
      <c r="J132" t="inlineStr">
        <is>
          <t>NOT AVAILABLE</t>
        </is>
      </c>
      <c r="K132" t="inlineStr">
        <is>
          <t>MEASURED</t>
        </is>
      </c>
      <c r="L132" t="inlineStr">
        <is>
          <t>P3</t>
        </is>
      </c>
      <c r="M132" t="n">
        <v>65</v>
      </c>
      <c r="N132">
        <f>ROUND(IF(IF(J132="NOT AVAILABLE","",J132)="",12,IF(OR(ISNUMBER(SEARCH("Transactional",IF(J132="NOT AVAILABLE","",J132))),ISNUMBER(SEARCH("Commercial",IF(J132="NOT AVAILABLE","",J132)))),25,IF(ISNUMBER(SEARCH("Informational",IF(J132="NOT AVAILABLE","",J132))),10,IF(ISNUMBER(SEARCH("Navigational",IF(J132="NOT AVAILABLE","",J132))),0,12))))+IF(ISNUMBER(G132),MIN(30,ROUND(30*LOG10(G132+1)/4,1)),0)+IF(ISNUMBER(H132),ROUND(25*(100-H132)/100,1),12.5)+20,0)</f>
        <v/>
      </c>
      <c r="O132">
        <f>ROUND(N132*M132/100,0)</f>
        <v/>
      </c>
      <c r="P132" s="5" t="inlineStr">
        <is>
          <t>Semantic/supporting term for body copy</t>
        </is>
      </c>
      <c r="Q132" s="5" t="inlineStr">
        <is>
          <t>None detected</t>
        </is>
      </c>
    </row>
    <row r="133">
      <c r="A133" s="3" t="inlineStr">
        <is>
          <t>https://codesommet.com/services/elearning-platform-development</t>
        </is>
      </c>
      <c r="B133" s="5" t="inlineStr">
        <is>
          <t>Développement de Plateformes E-Learning qui génèrent des LMS POUR ÉCOLES, CENTRE</t>
        </is>
      </c>
      <c r="C133" t="inlineStr">
        <is>
          <t>France</t>
        </is>
      </c>
      <c r="D133" t="inlineStr">
        <is>
          <t>fr</t>
        </is>
      </c>
      <c r="E133" t="inlineStr">
        <is>
          <t>NOT RECOMMENDED</t>
        </is>
      </c>
      <c r="F133" t="inlineStr">
        <is>
          <t>lms</t>
        </is>
      </c>
      <c r="G133" t="n">
        <v>12100</v>
      </c>
      <c r="H133" t="n">
        <v>31</v>
      </c>
      <c r="I133" t="n">
        <v>6.66</v>
      </c>
      <c r="J133" t="inlineStr">
        <is>
          <t>Informational</t>
        </is>
      </c>
      <c r="K133" t="inlineStr">
        <is>
          <t>MEASURED</t>
        </is>
      </c>
      <c r="L133" t="inlineStr">
        <is>
          <t>P4</t>
        </is>
      </c>
      <c r="M133" t="n">
        <v>0</v>
      </c>
      <c r="N133">
        <f>ROUND(IF(IF(J133="NOT AVAILABLE","",J133)="",12,IF(OR(ISNUMBER(SEARCH("Transactional",IF(J133="NOT AVAILABLE","",J133))),ISNUMBER(SEARCH("Commercial",IF(J133="NOT AVAILABLE","",J133)))),25,IF(ISNUMBER(SEARCH("Informational",IF(J133="NOT AVAILABLE","",J133))),10,IF(ISNUMBER(SEARCH("Navigational",IF(J133="NOT AVAILABLE","",J133))),0,12))))+IF(ISNUMBER(G133),MIN(30,ROUND(30*LOG10(G133+1)/4,1)),0)+IF(ISNUMBER(H133),ROUND(25*(100-H133)/100,1),12.5)+14,0)</f>
        <v/>
      </c>
      <c r="O133">
        <f>ROUND(N133*M133/100,0)</f>
        <v/>
      </c>
      <c r="P133" s="5" t="inlineStr">
        <is>
          <t>Definition intent (12100) - serve from blog LMS article, not the service page</t>
        </is>
      </c>
      <c r="Q133" s="5" t="inlineStr">
        <is>
          <t>n/a (not targeted)</t>
        </is>
      </c>
    </row>
    <row r="134">
      <c r="A134" s="3" t="inlineStr">
        <is>
          <t>https://codesommet.com/services/fintech-platform-development</t>
        </is>
      </c>
      <c r="B134" s="5" t="inlineStr">
        <is>
          <t>Développement de Plateformes FinTech qui génèrent des PASSERELLES DE PAIEMENT</t>
        </is>
      </c>
      <c r="C134" t="inlineStr">
        <is>
          <t>France</t>
        </is>
      </c>
      <c r="D134" t="inlineStr">
        <is>
          <t>fr</t>
        </is>
      </c>
      <c r="E134" t="inlineStr">
        <is>
          <t>PRIMARY</t>
        </is>
      </c>
      <c r="F134" t="inlineStr">
        <is>
          <t>développement fintech</t>
        </is>
      </c>
      <c r="G134" t="n">
        <v>0</v>
      </c>
      <c r="H134" t="inlineStr">
        <is>
          <t>NOT AVAILABLE</t>
        </is>
      </c>
      <c r="I134" t="n">
        <v>0</v>
      </c>
      <c r="J134" t="inlineStr">
        <is>
          <t>NOT AVAILABLE</t>
        </is>
      </c>
      <c r="K134" t="inlineStr">
        <is>
          <t>MEASURED</t>
        </is>
      </c>
      <c r="L134" t="inlineStr">
        <is>
          <t>P2</t>
        </is>
      </c>
      <c r="M134" t="n">
        <v>100</v>
      </c>
      <c r="N134">
        <f>ROUND(IF(IF(J134="NOT AVAILABLE","",J134)="",12,IF(OR(ISNUMBER(SEARCH("Transactional",IF(J134="NOT AVAILABLE","",J134))),ISNUMBER(SEARCH("Commercial",IF(J134="NOT AVAILABLE","",J134)))),25,IF(ISNUMBER(SEARCH("Informational",IF(J134="NOT AVAILABLE","",J134))),10,IF(ISNUMBER(SEARCH("Navigational",IF(J134="NOT AVAILABLE","",J134))),0,12))))+IF(ISNUMBER(G134),MIN(30,ROUND(30*LOG10(G134+1)/4,1)),0)+IF(ISNUMBER(H134),ROUND(25*(100-H134)/100,1),12.5)+14,0)</f>
        <v/>
      </c>
      <c r="O134">
        <f>ROUND(N134*M134/100,0)</f>
        <v/>
      </c>
      <c r="P134" s="5" t="inlineStr">
        <is>
          <t>Exact service phrase; Semrush returned no data - keep as relevance anchor, expect little search traffic</t>
        </is>
      </c>
      <c r="Q134" s="5" t="inlineStr">
        <is>
          <t>None detected</t>
        </is>
      </c>
    </row>
    <row r="135">
      <c r="A135" s="3" t="inlineStr">
        <is>
          <t>https://codesommet.com/services/fintech-platform-development</t>
        </is>
      </c>
      <c r="B135" s="5" t="inlineStr">
        <is>
          <t>Développement de Plateformes FinTech qui génèrent des PASSERELLES DE PAIEMENT</t>
        </is>
      </c>
      <c r="C135" t="inlineStr">
        <is>
          <t>France</t>
        </is>
      </c>
      <c r="D135" t="inlineStr">
        <is>
          <t>fr</t>
        </is>
      </c>
      <c r="E135" t="inlineStr">
        <is>
          <t>SECONDARY</t>
        </is>
      </c>
      <c r="F135" t="inlineStr">
        <is>
          <t>plateforme de paiement</t>
        </is>
      </c>
      <c r="G135" t="n">
        <v>260</v>
      </c>
      <c r="H135" t="n">
        <v>35</v>
      </c>
      <c r="I135" t="n">
        <v>5.82</v>
      </c>
      <c r="J135" t="inlineStr">
        <is>
          <t>Informational</t>
        </is>
      </c>
      <c r="K135" t="inlineStr">
        <is>
          <t>MEASURED</t>
        </is>
      </c>
      <c r="L135" t="inlineStr">
        <is>
          <t>P2</t>
        </is>
      </c>
      <c r="M135" t="n">
        <v>85</v>
      </c>
      <c r="N135">
        <f>ROUND(IF(IF(J135="NOT AVAILABLE","",J135)="",12,IF(OR(ISNUMBER(SEARCH("Transactional",IF(J135="NOT AVAILABLE","",J135))),ISNUMBER(SEARCH("Commercial",IF(J135="NOT AVAILABLE","",J135)))),25,IF(ISNUMBER(SEARCH("Informational",IF(J135="NOT AVAILABLE","",J135))),10,IF(ISNUMBER(SEARCH("Navigational",IF(J135="NOT AVAILABLE","",J135))),0,12))))+IF(ISNUMBER(G135),MIN(30,ROUND(30*LOG10(G135+1)/4,1)),0)+IF(ISNUMBER(H135),ROUND(25*(100-H135)/100,1),12.5)+14,0)</f>
        <v/>
      </c>
      <c r="O135">
        <f>ROUND(N135*M135/100,0)</f>
        <v/>
      </c>
      <c r="P135" s="5" t="inlineStr">
        <is>
          <t>260, KD 35 - SERP likely payment providers; verify before optimising</t>
        </is>
      </c>
      <c r="Q135" s="5" t="inlineStr">
        <is>
          <t>None detected</t>
        </is>
      </c>
    </row>
    <row r="136">
      <c r="A136" s="3" t="inlineStr">
        <is>
          <t>https://codesommet.com/services/fintech-platform-development</t>
        </is>
      </c>
      <c r="B136" s="5" t="inlineStr">
        <is>
          <t>Développement de Plateformes FinTech qui génèrent des PASSERELLES DE PAIEMENT</t>
        </is>
      </c>
      <c r="C136" t="inlineStr">
        <is>
          <t>France</t>
        </is>
      </c>
      <c r="D136" t="inlineStr">
        <is>
          <t>fr</t>
        </is>
      </c>
      <c r="E136" t="inlineStr">
        <is>
          <t>OPTIONAL</t>
        </is>
      </c>
      <c r="F136" t="inlineStr">
        <is>
          <t>passerelle de paiement</t>
        </is>
      </c>
      <c r="G136" t="n">
        <v>390</v>
      </c>
      <c r="H136" t="n">
        <v>16</v>
      </c>
      <c r="I136" t="n">
        <v>7.87</v>
      </c>
      <c r="J136" t="inlineStr">
        <is>
          <t>Informational</t>
        </is>
      </c>
      <c r="K136" t="inlineStr">
        <is>
          <t>MEASURED</t>
        </is>
      </c>
      <c r="L136" t="inlineStr">
        <is>
          <t>P4</t>
        </is>
      </c>
      <c r="M136" t="n">
        <v>45</v>
      </c>
      <c r="N136">
        <f>ROUND(IF(IF(J136="NOT AVAILABLE","",J136)="",12,IF(OR(ISNUMBER(SEARCH("Transactional",IF(J136="NOT AVAILABLE","",J136))),ISNUMBER(SEARCH("Commercial",IF(J136="NOT AVAILABLE","",J136)))),25,IF(ISNUMBER(SEARCH("Informational",IF(J136="NOT AVAILABLE","",J136))),10,IF(ISNUMBER(SEARCH("Navigational",IF(J136="NOT AVAILABLE","",J136))),0,12))))+IF(ISNUMBER(G136),MIN(30,ROUND(30*LOG10(G136+1)/4,1)),0)+IF(ISNUMBER(H136),ROUND(25*(100-H136)/100,1),12.5)+14,0)</f>
        <v/>
      </c>
      <c r="O136">
        <f>ROUND(N136*M136/100,0)</f>
        <v/>
      </c>
      <c r="P136" s="5" t="inlineStr">
        <is>
          <t>390, KD 16 - mostly merchants seeking a provider; use in a section, not as page focus</t>
        </is>
      </c>
      <c r="Q136" s="5" t="inlineStr">
        <is>
          <t>None detected</t>
        </is>
      </c>
    </row>
    <row r="137">
      <c r="A137" s="3" t="inlineStr">
        <is>
          <t>https://codesommet.com/services/fintech-platform-development</t>
        </is>
      </c>
      <c r="B137" s="5" t="inlineStr">
        <is>
          <t>Développement de Plateformes FinTech qui génèrent des PASSERELLES DE PAIEMENT</t>
        </is>
      </c>
      <c r="C137" t="inlineStr">
        <is>
          <t>Morocco</t>
        </is>
      </c>
      <c r="D137" t="inlineStr">
        <is>
          <t>ma</t>
        </is>
      </c>
      <c r="E137" t="inlineStr">
        <is>
          <t>OPTIONAL</t>
        </is>
      </c>
      <c r="F137" t="inlineStr">
        <is>
          <t>fintech maroc</t>
        </is>
      </c>
      <c r="G137" t="n">
        <v>210</v>
      </c>
      <c r="H137" t="inlineStr">
        <is>
          <t>NOT AVAILABLE</t>
        </is>
      </c>
      <c r="I137" t="n">
        <v>2.33</v>
      </c>
      <c r="J137" t="inlineStr">
        <is>
          <t>NOT AVAILABLE</t>
        </is>
      </c>
      <c r="K137" t="inlineStr">
        <is>
          <t>MEASURED</t>
        </is>
      </c>
      <c r="L137" t="inlineStr">
        <is>
          <t>P4</t>
        </is>
      </c>
      <c r="M137" t="n">
        <v>45</v>
      </c>
      <c r="N137">
        <f>ROUND(IF(IF(J137="NOT AVAILABLE","",J137)="",12,IF(OR(ISNUMBER(SEARCH("Transactional",IF(J137="NOT AVAILABLE","",J137))),ISNUMBER(SEARCH("Commercial",IF(J137="NOT AVAILABLE","",J137)))),25,IF(ISNUMBER(SEARCH("Informational",IF(J137="NOT AVAILABLE","",J137))),10,IF(ISNUMBER(SEARCH("Navigational",IF(J137="NOT AVAILABLE","",J137))),0,12))))+IF(ISNUMBER(G137),MIN(30,ROUND(30*LOG10(G137+1)/4,1)),0)+IF(ISNUMBER(H137),ROUND(25*(100-H137)/100,1),12.5)+20,0)</f>
        <v/>
      </c>
      <c r="O137">
        <f>ROUND(N137*M137/100,0)</f>
        <v/>
      </c>
      <c r="P137" s="5" t="inlineStr">
        <is>
          <t>210 - informational/news intent</t>
        </is>
      </c>
      <c r="Q137" s="5" t="inlineStr">
        <is>
          <t>None detected</t>
        </is>
      </c>
    </row>
    <row r="138">
      <c r="A138" s="3" t="inlineStr">
        <is>
          <t>https://codesommet.com/services/fintech-website-development</t>
        </is>
      </c>
      <c r="B138" s="5" t="inlineStr">
        <is>
          <t>Création de Sites Web FinTech &amp; Finance qui génèrent des CROISSANCE FINANCIÈRE</t>
        </is>
      </c>
      <c r="C138" t="inlineStr">
        <is>
          <t>France</t>
        </is>
      </c>
      <c r="D138" t="inlineStr">
        <is>
          <t>fr</t>
        </is>
      </c>
      <c r="E138" t="inlineStr">
        <is>
          <t>PRIMARY</t>
        </is>
      </c>
      <c r="F138" t="inlineStr">
        <is>
          <t>site web fintech</t>
        </is>
      </c>
      <c r="G138" t="n">
        <v>30</v>
      </c>
      <c r="H138" t="inlineStr">
        <is>
          <t>NOT AVAILABLE</t>
        </is>
      </c>
      <c r="I138" t="n">
        <v>0</v>
      </c>
      <c r="J138" t="inlineStr">
        <is>
          <t>NOT AVAILABLE</t>
        </is>
      </c>
      <c r="K138" t="inlineStr">
        <is>
          <t>MEASURED</t>
        </is>
      </c>
      <c r="L138" t="inlineStr">
        <is>
          <t>P2</t>
        </is>
      </c>
      <c r="M138" t="n">
        <v>100</v>
      </c>
      <c r="N138">
        <f>ROUND(IF(IF(J138="NOT AVAILABLE","",J138)="",12,IF(OR(ISNUMBER(SEARCH("Transactional",IF(J138="NOT AVAILABLE","",J138))),ISNUMBER(SEARCH("Commercial",IF(J138="NOT AVAILABLE","",J138)))),25,IF(ISNUMBER(SEARCH("Informational",IF(J138="NOT AVAILABLE","",J138))),10,IF(ISNUMBER(SEARCH("Navigational",IF(J138="NOT AVAILABLE","",J138))),0,12))))+IF(ISNUMBER(G138),MIN(30,ROUND(30*LOG10(G138+1)/4,1)),0)+IF(ISNUMBER(H138),ROUND(25*(100-H138)/100,1),12.5)+14,0)</f>
        <v/>
      </c>
      <c r="O138">
        <f>ROUND(N138*M138/100,0)</f>
        <v/>
      </c>
      <c r="P138" s="5" t="inlineStr">
        <is>
          <t>FR 30 - exact match; blog fintech article targets "éléments de réassurance" instead</t>
        </is>
      </c>
      <c r="Q138" s="5" t="inlineStr">
        <is>
          <t>None detected</t>
        </is>
      </c>
    </row>
    <row r="139">
      <c r="A139" s="3" t="inlineStr">
        <is>
          <t>https://codesommet.com/services/fintech-website-development</t>
        </is>
      </c>
      <c r="B139" s="5" t="inlineStr">
        <is>
          <t>Création de Sites Web FinTech &amp; Finance qui génèrent des CROISSANCE FINANCIÈRE</t>
        </is>
      </c>
      <c r="C139" t="inlineStr">
        <is>
          <t>France</t>
        </is>
      </c>
      <c r="D139" t="inlineStr">
        <is>
          <t>fr</t>
        </is>
      </c>
      <c r="E139" t="inlineStr">
        <is>
          <t>SECONDARY</t>
        </is>
      </c>
      <c r="F139" t="inlineStr">
        <is>
          <t>site fintech</t>
        </is>
      </c>
      <c r="G139" t="n">
        <v>20</v>
      </c>
      <c r="H139" t="inlineStr">
        <is>
          <t>NOT AVAILABLE</t>
        </is>
      </c>
      <c r="I139" t="n">
        <v>0</v>
      </c>
      <c r="J139" t="inlineStr">
        <is>
          <t>NOT AVAILABLE</t>
        </is>
      </c>
      <c r="K139" t="inlineStr">
        <is>
          <t>MEASURED</t>
        </is>
      </c>
      <c r="L139" t="inlineStr">
        <is>
          <t>P2</t>
        </is>
      </c>
      <c r="M139" t="n">
        <v>85</v>
      </c>
      <c r="N139">
        <f>ROUND(IF(IF(J139="NOT AVAILABLE","",J139)="",12,IF(OR(ISNUMBER(SEARCH("Transactional",IF(J139="NOT AVAILABLE","",J139))),ISNUMBER(SEARCH("Commercial",IF(J139="NOT AVAILABLE","",J139)))),25,IF(ISNUMBER(SEARCH("Informational",IF(J139="NOT AVAILABLE","",J139))),10,IF(ISNUMBER(SEARCH("Navigational",IF(J139="NOT AVAILABLE","",J139))),0,12))))+IF(ISNUMBER(G139),MIN(30,ROUND(30*LOG10(G139+1)/4,1)),0)+IF(ISNUMBER(H139),ROUND(25*(100-H139)/100,1),12.5)+14,0)</f>
        <v/>
      </c>
      <c r="O139">
        <f>ROUND(N139*M139/100,0)</f>
        <v/>
      </c>
      <c r="P139" s="5" t="inlineStr">
        <is>
          <t>Close commercial variant of the page topic</t>
        </is>
      </c>
      <c r="Q139" s="5" t="inlineStr">
        <is>
          <t>None detected</t>
        </is>
      </c>
    </row>
    <row r="140">
      <c r="A140" s="3" t="inlineStr">
        <is>
          <t>https://codesommet.com/services/fintech-website-development</t>
        </is>
      </c>
      <c r="B140" s="5" t="inlineStr">
        <is>
          <t>Création de Sites Web FinTech &amp; Finance qui génèrent des CROISSANCE FINANCIÈRE</t>
        </is>
      </c>
      <c r="C140" t="inlineStr">
        <is>
          <t>France</t>
        </is>
      </c>
      <c r="D140" t="inlineStr">
        <is>
          <t>fr</t>
        </is>
      </c>
      <c r="E140" t="inlineStr">
        <is>
          <t>SUPPORTING</t>
        </is>
      </c>
      <c r="F140" t="inlineStr">
        <is>
          <t>site web banque</t>
        </is>
      </c>
      <c r="G140" t="n">
        <v>20</v>
      </c>
      <c r="H140" t="inlineStr">
        <is>
          <t>NOT AVAILABLE</t>
        </is>
      </c>
      <c r="I140" t="n">
        <v>0</v>
      </c>
      <c r="J140" t="inlineStr">
        <is>
          <t>NOT AVAILABLE</t>
        </is>
      </c>
      <c r="K140" t="inlineStr">
        <is>
          <t>MEASURED</t>
        </is>
      </c>
      <c r="L140" t="inlineStr">
        <is>
          <t>P3</t>
        </is>
      </c>
      <c r="M140" t="n">
        <v>65</v>
      </c>
      <c r="N140">
        <f>ROUND(IF(IF(J140="NOT AVAILABLE","",J140)="",12,IF(OR(ISNUMBER(SEARCH("Transactional",IF(J140="NOT AVAILABLE","",J140))),ISNUMBER(SEARCH("Commercial",IF(J140="NOT AVAILABLE","",J140)))),25,IF(ISNUMBER(SEARCH("Informational",IF(J140="NOT AVAILABLE","",J140))),10,IF(ISNUMBER(SEARCH("Navigational",IF(J140="NOT AVAILABLE","",J140))),0,12))))+IF(ISNUMBER(G140),MIN(30,ROUND(30*LOG10(G140+1)/4,1)),0)+IF(ISNUMBER(H140),ROUND(25*(100-H140)/100,1),12.5)+14,0)</f>
        <v/>
      </c>
      <c r="O140">
        <f>ROUND(N140*M140/100,0)</f>
        <v/>
      </c>
      <c r="P140" s="5" t="inlineStr">
        <is>
          <t>Semantic/supporting term for body copy</t>
        </is>
      </c>
      <c r="Q140" s="5" t="inlineStr">
        <is>
          <t>None detected</t>
        </is>
      </c>
    </row>
    <row r="141">
      <c r="A141" s="3" t="inlineStr">
        <is>
          <t>https://codesommet.com/services/fintech-website-development</t>
        </is>
      </c>
      <c r="B141" s="5" t="inlineStr">
        <is>
          <t>Création de Sites Web FinTech &amp; Finance qui génèrent des CROISSANCE FINANCIÈRE</t>
        </is>
      </c>
      <c r="C141" t="inlineStr">
        <is>
          <t>France</t>
        </is>
      </c>
      <c r="D141" t="inlineStr">
        <is>
          <t>fr</t>
        </is>
      </c>
      <c r="E141" t="inlineStr">
        <is>
          <t>SUPPORTING</t>
        </is>
      </c>
      <c r="F141" t="inlineStr">
        <is>
          <t>création site web finance</t>
        </is>
      </c>
      <c r="G141" t="n">
        <v>20</v>
      </c>
      <c r="H141" t="inlineStr">
        <is>
          <t>NOT AVAILABLE</t>
        </is>
      </c>
      <c r="I141" t="n">
        <v>0</v>
      </c>
      <c r="J141" t="inlineStr">
        <is>
          <t>NOT AVAILABLE</t>
        </is>
      </c>
      <c r="K141" t="inlineStr">
        <is>
          <t>MEASURED</t>
        </is>
      </c>
      <c r="L141" t="inlineStr">
        <is>
          <t>P3</t>
        </is>
      </c>
      <c r="M141" t="n">
        <v>65</v>
      </c>
      <c r="N141">
        <f>ROUND(IF(IF(J141="NOT AVAILABLE","",J141)="",12,IF(OR(ISNUMBER(SEARCH("Transactional",IF(J141="NOT AVAILABLE","",J141))),ISNUMBER(SEARCH("Commercial",IF(J141="NOT AVAILABLE","",J141)))),25,IF(ISNUMBER(SEARCH("Informational",IF(J141="NOT AVAILABLE","",J141))),10,IF(ISNUMBER(SEARCH("Navigational",IF(J141="NOT AVAILABLE","",J141))),0,12))))+IF(ISNUMBER(G141),MIN(30,ROUND(30*LOG10(G141+1)/4,1)),0)+IF(ISNUMBER(H141),ROUND(25*(100-H141)/100,1),12.5)+14,0)</f>
        <v/>
      </c>
      <c r="O141">
        <f>ROUND(N141*M141/100,0)</f>
        <v/>
      </c>
      <c r="P141" s="5" t="inlineStr">
        <is>
          <t>Semantic/supporting term for body copy</t>
        </is>
      </c>
      <c r="Q141" s="5" t="inlineStr">
        <is>
          <t>None detected</t>
        </is>
      </c>
    </row>
    <row r="142">
      <c r="A142" s="3" t="inlineStr">
        <is>
          <t>https://codesommet.com/services/fintech-website-development</t>
        </is>
      </c>
      <c r="B142" s="5" t="inlineStr">
        <is>
          <t>Création de Sites Web FinTech &amp; Finance qui génèrent des CROISSANCE FINANCIÈRE</t>
        </is>
      </c>
      <c r="C142" t="inlineStr">
        <is>
          <t>France</t>
        </is>
      </c>
      <c r="D142" t="inlineStr">
        <is>
          <t>fr</t>
        </is>
      </c>
      <c r="E142" t="inlineStr">
        <is>
          <t>OPTIONAL</t>
        </is>
      </c>
      <c r="F142" t="inlineStr">
        <is>
          <t>site internet expert comptable</t>
        </is>
      </c>
      <c r="G142" t="n">
        <v>170</v>
      </c>
      <c r="H142" t="n">
        <v>48</v>
      </c>
      <c r="I142" t="n">
        <v>1.18</v>
      </c>
      <c r="J142" t="inlineStr">
        <is>
          <t>Informational, Commercial</t>
        </is>
      </c>
      <c r="K142" t="inlineStr">
        <is>
          <t>MEASURED</t>
        </is>
      </c>
      <c r="L142" t="inlineStr">
        <is>
          <t>P4</t>
        </is>
      </c>
      <c r="M142" t="n">
        <v>45</v>
      </c>
      <c r="N142">
        <f>ROUND(IF(IF(J142="NOT AVAILABLE","",J142)="",12,IF(OR(ISNUMBER(SEARCH("Transactional",IF(J142="NOT AVAILABLE","",J142))),ISNUMBER(SEARCH("Commercial",IF(J142="NOT AVAILABLE","",J142)))),25,IF(ISNUMBER(SEARCH("Informational",IF(J142="NOT AVAILABLE","",J142))),10,IF(ISNUMBER(SEARCH("Navigational",IF(J142="NOT AVAILABLE","",J142))),0,12))))+IF(ISNUMBER(G142),MIN(30,ROUND(30*LOG10(G142+1)/4,1)),0)+IF(ISNUMBER(H142),ROUND(25*(100-H142)/100,1),12.5)+14,0)</f>
        <v/>
      </c>
      <c r="O142">
        <f>ROUND(N142*M142/100,0)</f>
        <v/>
      </c>
      <c r="P142" s="5" t="inlineStr">
        <is>
          <t>170, KD 48 - adjacent vertical; only if the page adds accounting-firm content</t>
        </is>
      </c>
      <c r="Q142" s="5" t="inlineStr">
        <is>
          <t>None detected</t>
        </is>
      </c>
    </row>
    <row r="143">
      <c r="A143" s="3" t="inlineStr">
        <is>
          <t>https://codesommet.com/services/healthcare-website-development</t>
        </is>
      </c>
      <c r="B143" s="5" t="inlineStr">
        <is>
          <t>Développement de Sites Web Santé &amp; Télésanté qui génèrent des PORTAILS PATIENTS</t>
        </is>
      </c>
      <c r="C143" t="inlineStr">
        <is>
          <t>France</t>
        </is>
      </c>
      <c r="D143" t="inlineStr">
        <is>
          <t>fr</t>
        </is>
      </c>
      <c r="E143" t="inlineStr">
        <is>
          <t>PRIMARY</t>
        </is>
      </c>
      <c r="F143" t="inlineStr">
        <is>
          <t>agence web santé</t>
        </is>
      </c>
      <c r="G143" t="n">
        <v>590</v>
      </c>
      <c r="H143" t="n">
        <v>28</v>
      </c>
      <c r="I143" t="n">
        <v>2.76</v>
      </c>
      <c r="J143" t="inlineStr">
        <is>
          <t>Informational</t>
        </is>
      </c>
      <c r="K143" t="inlineStr">
        <is>
          <t>MEASURED</t>
        </is>
      </c>
      <c r="L143" t="inlineStr">
        <is>
          <t>P2</t>
        </is>
      </c>
      <c r="M143" t="n">
        <v>100</v>
      </c>
      <c r="N143">
        <f>ROUND(IF(IF(J143="NOT AVAILABLE","",J143)="",12,IF(OR(ISNUMBER(SEARCH("Transactional",IF(J143="NOT AVAILABLE","",J143))),ISNUMBER(SEARCH("Commercial",IF(J143="NOT AVAILABLE","",J143)))),25,IF(ISNUMBER(SEARCH("Informational",IF(J143="NOT AVAILABLE","",J143))),10,IF(ISNUMBER(SEARCH("Navigational",IF(J143="NOT AVAILABLE","",J143))),0,12))))+IF(ISNUMBER(G143),MIN(30,ROUND(30*LOG10(G143+1)/4,1)),0)+IF(ISNUMBER(H143),ROUND(25*(100-H143)/100,1),12.5)+14,0)</f>
        <v/>
      </c>
      <c r="O143">
        <f>ROUND(N143*M143/100,0)</f>
        <v/>
      </c>
      <c r="P143" s="5" t="inlineStr">
        <is>
          <t>FR 590, KD 28 - commercial, matches "Sites Web Santé" page; best health query found</t>
        </is>
      </c>
      <c r="Q143" s="5" t="inlineStr">
        <is>
          <t>None detected</t>
        </is>
      </c>
    </row>
    <row r="144">
      <c r="A144" s="3" t="inlineStr">
        <is>
          <t>https://codesommet.com/services/healthcare-website-development</t>
        </is>
      </c>
      <c r="B144" s="5" t="inlineStr">
        <is>
          <t>Développement de Sites Web Santé &amp; Télésanté qui génèrent des PORTAILS PATIENTS</t>
        </is>
      </c>
      <c r="C144" t="inlineStr">
        <is>
          <t>France</t>
        </is>
      </c>
      <c r="D144" t="inlineStr">
        <is>
          <t>fr</t>
        </is>
      </c>
      <c r="E144" t="inlineStr">
        <is>
          <t>SECONDARY</t>
        </is>
      </c>
      <c r="F144" t="inlineStr">
        <is>
          <t>création site internet médecin</t>
        </is>
      </c>
      <c r="G144" t="n">
        <v>90</v>
      </c>
      <c r="H144" t="n">
        <v>6</v>
      </c>
      <c r="I144" t="n">
        <v>4.77</v>
      </c>
      <c r="J144" t="inlineStr">
        <is>
          <t>Informational</t>
        </is>
      </c>
      <c r="K144" t="inlineStr">
        <is>
          <t>MEASURED</t>
        </is>
      </c>
      <c r="L144" t="inlineStr">
        <is>
          <t>P2</t>
        </is>
      </c>
      <c r="M144" t="n">
        <v>85</v>
      </c>
      <c r="N144">
        <f>ROUND(IF(IF(J144="NOT AVAILABLE","",J144)="",12,IF(OR(ISNUMBER(SEARCH("Transactional",IF(J144="NOT AVAILABLE","",J144))),ISNUMBER(SEARCH("Commercial",IF(J144="NOT AVAILABLE","",J144)))),25,IF(ISNUMBER(SEARCH("Informational",IF(J144="NOT AVAILABLE","",J144))),10,IF(ISNUMBER(SEARCH("Navigational",IF(J144="NOT AVAILABLE","",J144))),0,12))))+IF(ISNUMBER(G144),MIN(30,ROUND(30*LOG10(G144+1)/4,1)),0)+IF(ISNUMBER(H144),ROUND(25*(100-H144)/100,1),12.5)+14,0)</f>
        <v/>
      </c>
      <c r="O144">
        <f>ROUND(N144*M144/100,0)</f>
        <v/>
      </c>
      <c r="P144" s="5" t="inlineStr">
        <is>
          <t>90, KD 6</t>
        </is>
      </c>
      <c r="Q144" s="5" t="inlineStr">
        <is>
          <t>None detected</t>
        </is>
      </c>
    </row>
    <row r="145">
      <c r="A145" s="3" t="inlineStr">
        <is>
          <t>https://codesommet.com/services/healthcare-website-development</t>
        </is>
      </c>
      <c r="B145" s="5" t="inlineStr">
        <is>
          <t>Développement de Sites Web Santé &amp; Télésanté qui génèrent des PORTAILS PATIENTS</t>
        </is>
      </c>
      <c r="C145" t="inlineStr">
        <is>
          <t>France</t>
        </is>
      </c>
      <c r="D145" t="inlineStr">
        <is>
          <t>fr</t>
        </is>
      </c>
      <c r="E145" t="inlineStr">
        <is>
          <t>SECONDARY</t>
        </is>
      </c>
      <c r="F145" t="inlineStr">
        <is>
          <t>site web médical</t>
        </is>
      </c>
      <c r="G145" t="n">
        <v>30</v>
      </c>
      <c r="H145" t="inlineStr">
        <is>
          <t>NOT AVAILABLE</t>
        </is>
      </c>
      <c r="I145" t="n">
        <v>0</v>
      </c>
      <c r="J145" t="inlineStr">
        <is>
          <t>NOT AVAILABLE</t>
        </is>
      </c>
      <c r="K145" t="inlineStr">
        <is>
          <t>MEASURED</t>
        </is>
      </c>
      <c r="L145" t="inlineStr">
        <is>
          <t>P2</t>
        </is>
      </c>
      <c r="M145" t="n">
        <v>85</v>
      </c>
      <c r="N145">
        <f>ROUND(IF(IF(J145="NOT AVAILABLE","",J145)="",12,IF(OR(ISNUMBER(SEARCH("Transactional",IF(J145="NOT AVAILABLE","",J145))),ISNUMBER(SEARCH("Commercial",IF(J145="NOT AVAILABLE","",J145)))),25,IF(ISNUMBER(SEARCH("Informational",IF(J145="NOT AVAILABLE","",J145))),10,IF(ISNUMBER(SEARCH("Navigational",IF(J145="NOT AVAILABLE","",J145))),0,12))))+IF(ISNUMBER(G145),MIN(30,ROUND(30*LOG10(G145+1)/4,1)),0)+IF(ISNUMBER(H145),ROUND(25*(100-H145)/100,1),12.5)+14,0)</f>
        <v/>
      </c>
      <c r="O145">
        <f>ROUND(N145*M145/100,0)</f>
        <v/>
      </c>
      <c r="P145" s="5" t="inlineStr">
        <is>
          <t>Close commercial variant of the page topic</t>
        </is>
      </c>
      <c r="Q145" s="5" t="inlineStr">
        <is>
          <t>None detected</t>
        </is>
      </c>
    </row>
    <row r="146">
      <c r="A146" s="3" t="inlineStr">
        <is>
          <t>https://codesommet.com/services/healthcare-website-development</t>
        </is>
      </c>
      <c r="B146" s="5" t="inlineStr">
        <is>
          <t>Développement de Sites Web Santé &amp; Télésanté qui génèrent des PORTAILS PATIENTS</t>
        </is>
      </c>
      <c r="C146" t="inlineStr">
        <is>
          <t>France</t>
        </is>
      </c>
      <c r="D146" t="inlineStr">
        <is>
          <t>fr</t>
        </is>
      </c>
      <c r="E146" t="inlineStr">
        <is>
          <t>SECONDARY</t>
        </is>
      </c>
      <c r="F146" t="inlineStr">
        <is>
          <t>site web santé</t>
        </is>
      </c>
      <c r="G146" t="n">
        <v>30</v>
      </c>
      <c r="H146" t="inlineStr">
        <is>
          <t>NOT AVAILABLE</t>
        </is>
      </c>
      <c r="I146" t="n">
        <v>0</v>
      </c>
      <c r="J146" t="inlineStr">
        <is>
          <t>NOT AVAILABLE</t>
        </is>
      </c>
      <c r="K146" t="inlineStr">
        <is>
          <t>MEASURED</t>
        </is>
      </c>
      <c r="L146" t="inlineStr">
        <is>
          <t>P2</t>
        </is>
      </c>
      <c r="M146" t="n">
        <v>85</v>
      </c>
      <c r="N146">
        <f>ROUND(IF(IF(J146="NOT AVAILABLE","",J146)="",12,IF(OR(ISNUMBER(SEARCH("Transactional",IF(J146="NOT AVAILABLE","",J146))),ISNUMBER(SEARCH("Commercial",IF(J146="NOT AVAILABLE","",J146)))),25,IF(ISNUMBER(SEARCH("Informational",IF(J146="NOT AVAILABLE","",J146))),10,IF(ISNUMBER(SEARCH("Navigational",IF(J146="NOT AVAILABLE","",J146))),0,12))))+IF(ISNUMBER(G146),MIN(30,ROUND(30*LOG10(G146+1)/4,1)),0)+IF(ISNUMBER(H146),ROUND(25*(100-H146)/100,1),12.5)+14,0)</f>
        <v/>
      </c>
      <c r="O146">
        <f>ROUND(N146*M146/100,0)</f>
        <v/>
      </c>
      <c r="P146" s="5" t="inlineStr">
        <is>
          <t>Close commercial variant of the page topic</t>
        </is>
      </c>
      <c r="Q146" s="5" t="inlineStr">
        <is>
          <t>None detected</t>
        </is>
      </c>
    </row>
    <row r="147">
      <c r="A147" s="3" t="inlineStr">
        <is>
          <t>https://codesommet.com/services/healthcare-website-development</t>
        </is>
      </c>
      <c r="B147" s="5" t="inlineStr">
        <is>
          <t>Développement de Sites Web Santé &amp; Télésanté qui génèrent des PORTAILS PATIENTS</t>
        </is>
      </c>
      <c r="C147" t="inlineStr">
        <is>
          <t>France</t>
        </is>
      </c>
      <c r="D147" t="inlineStr">
        <is>
          <t>fr</t>
        </is>
      </c>
      <c r="E147" t="inlineStr">
        <is>
          <t>SUPPORTING</t>
        </is>
      </c>
      <c r="F147" t="inlineStr">
        <is>
          <t>portail patient</t>
        </is>
      </c>
      <c r="G147" t="n">
        <v>390</v>
      </c>
      <c r="H147" t="n">
        <v>23</v>
      </c>
      <c r="I147" t="n">
        <v>1.19</v>
      </c>
      <c r="J147" t="inlineStr">
        <is>
          <t>Informational</t>
        </is>
      </c>
      <c r="K147" t="inlineStr">
        <is>
          <t>MEASURED</t>
        </is>
      </c>
      <c r="L147" t="inlineStr">
        <is>
          <t>P3</t>
        </is>
      </c>
      <c r="M147" t="n">
        <v>65</v>
      </c>
      <c r="N147">
        <f>ROUND(IF(IF(J147="NOT AVAILABLE","",J147)="",12,IF(OR(ISNUMBER(SEARCH("Transactional",IF(J147="NOT AVAILABLE","",J147))),ISNUMBER(SEARCH("Commercial",IF(J147="NOT AVAILABLE","",J147)))),25,IF(ISNUMBER(SEARCH("Informational",IF(J147="NOT AVAILABLE","",J147))),10,IF(ISNUMBER(SEARCH("Navigational",IF(J147="NOT AVAILABLE","",J147))),0,12))))+IF(ISNUMBER(G147),MIN(30,ROUND(30*LOG10(G147+1)/4,1)),0)+IF(ISNUMBER(H147),ROUND(25*(100-H147)/100,1),12.5)+14,0)</f>
        <v/>
      </c>
      <c r="O147">
        <f>ROUND(N147*M147/100,0)</f>
        <v/>
      </c>
      <c r="P147" s="5" t="inlineStr">
        <is>
          <t>390, KD 23 - H1 rotating term "PORTAILS PATIENTS"</t>
        </is>
      </c>
      <c r="Q147" s="5" t="inlineStr">
        <is>
          <t>None detected</t>
        </is>
      </c>
    </row>
    <row r="148">
      <c r="A148" s="3" t="inlineStr">
        <is>
          <t>https://codesommet.com/services/healthcare-website-development</t>
        </is>
      </c>
      <c r="B148" s="5" t="inlineStr">
        <is>
          <t>Développement de Sites Web Santé &amp; Télésanté qui génèrent des PORTAILS PATIENTS</t>
        </is>
      </c>
      <c r="C148" t="inlineStr">
        <is>
          <t>France</t>
        </is>
      </c>
      <c r="D148" t="inlineStr">
        <is>
          <t>fr</t>
        </is>
      </c>
      <c r="E148" t="inlineStr">
        <is>
          <t>SUPPORTING</t>
        </is>
      </c>
      <c r="F148" t="inlineStr">
        <is>
          <t>site internet clinique</t>
        </is>
      </c>
      <c r="G148" t="n">
        <v>50</v>
      </c>
      <c r="H148" t="inlineStr">
        <is>
          <t>NOT AVAILABLE</t>
        </is>
      </c>
      <c r="I148" t="n">
        <v>0</v>
      </c>
      <c r="J148" t="inlineStr">
        <is>
          <t>NOT AVAILABLE</t>
        </is>
      </c>
      <c r="K148" t="inlineStr">
        <is>
          <t>MEASURED</t>
        </is>
      </c>
      <c r="L148" t="inlineStr">
        <is>
          <t>P3</t>
        </is>
      </c>
      <c r="M148" t="n">
        <v>65</v>
      </c>
      <c r="N148">
        <f>ROUND(IF(IF(J148="NOT AVAILABLE","",J148)="",12,IF(OR(ISNUMBER(SEARCH("Transactional",IF(J148="NOT AVAILABLE","",J148))),ISNUMBER(SEARCH("Commercial",IF(J148="NOT AVAILABLE","",J148)))),25,IF(ISNUMBER(SEARCH("Informational",IF(J148="NOT AVAILABLE","",J148))),10,IF(ISNUMBER(SEARCH("Navigational",IF(J148="NOT AVAILABLE","",J148))),0,12))))+IF(ISNUMBER(G148),MIN(30,ROUND(30*LOG10(G148+1)/4,1)),0)+IF(ISNUMBER(H148),ROUND(25*(100-H148)/100,1),12.5)+14,0)</f>
        <v/>
      </c>
      <c r="O148">
        <f>ROUND(N148*M148/100,0)</f>
        <v/>
      </c>
      <c r="P148" s="5" t="inlineStr">
        <is>
          <t>Semantic/supporting term for body copy</t>
        </is>
      </c>
      <c r="Q148" s="5" t="inlineStr">
        <is>
          <t>None detected</t>
        </is>
      </c>
    </row>
    <row r="149">
      <c r="A149" s="3" t="inlineStr">
        <is>
          <t>https://codesommet.com/services/healthcare-website-development</t>
        </is>
      </c>
      <c r="B149" s="5" t="inlineStr">
        <is>
          <t>Développement de Sites Web Santé &amp; Télésanté qui génèrent des PORTAILS PATIENTS</t>
        </is>
      </c>
      <c r="C149" t="inlineStr">
        <is>
          <t>France</t>
        </is>
      </c>
      <c r="D149" t="inlineStr">
        <is>
          <t>fr</t>
        </is>
      </c>
      <c r="E149" t="inlineStr">
        <is>
          <t>SUPPORTING</t>
        </is>
      </c>
      <c r="F149" t="inlineStr">
        <is>
          <t>site web dentiste</t>
        </is>
      </c>
      <c r="G149" t="n">
        <v>50</v>
      </c>
      <c r="H149" t="inlineStr">
        <is>
          <t>NOT AVAILABLE</t>
        </is>
      </c>
      <c r="I149" t="n">
        <v>0</v>
      </c>
      <c r="J149" t="inlineStr">
        <is>
          <t>NOT AVAILABLE</t>
        </is>
      </c>
      <c r="K149" t="inlineStr">
        <is>
          <t>MEASURED</t>
        </is>
      </c>
      <c r="L149" t="inlineStr">
        <is>
          <t>P3</t>
        </is>
      </c>
      <c r="M149" t="n">
        <v>65</v>
      </c>
      <c r="N149">
        <f>ROUND(IF(IF(J149="NOT AVAILABLE","",J149)="",12,IF(OR(ISNUMBER(SEARCH("Transactional",IF(J149="NOT AVAILABLE","",J149))),ISNUMBER(SEARCH("Commercial",IF(J149="NOT AVAILABLE","",J149)))),25,IF(ISNUMBER(SEARCH("Informational",IF(J149="NOT AVAILABLE","",J149))),10,IF(ISNUMBER(SEARCH("Navigational",IF(J149="NOT AVAILABLE","",J149))),0,12))))+IF(ISNUMBER(G149),MIN(30,ROUND(30*LOG10(G149+1)/4,1)),0)+IF(ISNUMBER(H149),ROUND(25*(100-H149)/100,1),12.5)+14,0)</f>
        <v/>
      </c>
      <c r="O149">
        <f>ROUND(N149*M149/100,0)</f>
        <v/>
      </c>
      <c r="P149" s="5" t="inlineStr">
        <is>
          <t>Semantic/supporting term for body copy</t>
        </is>
      </c>
      <c r="Q149" s="5" t="inlineStr">
        <is>
          <t>None detected</t>
        </is>
      </c>
    </row>
    <row r="150">
      <c r="A150" s="3" t="inlineStr">
        <is>
          <t>https://codesommet.com/services/healthcare-website-development</t>
        </is>
      </c>
      <c r="B150" s="5" t="inlineStr">
        <is>
          <t>Développement de Sites Web Santé &amp; Télésanté qui génèrent des PORTAILS PATIENTS</t>
        </is>
      </c>
      <c r="C150" t="inlineStr">
        <is>
          <t>Morocco</t>
        </is>
      </c>
      <c r="D150" t="inlineStr">
        <is>
          <t>ma</t>
        </is>
      </c>
      <c r="E150" t="inlineStr">
        <is>
          <t>SUPPORTING</t>
        </is>
      </c>
      <c r="F150" t="inlineStr">
        <is>
          <t>site web dentiste</t>
        </is>
      </c>
      <c r="G150" t="n">
        <v>20</v>
      </c>
      <c r="H150" t="inlineStr">
        <is>
          <t>NOT AVAILABLE</t>
        </is>
      </c>
      <c r="I150" t="n">
        <v>0.15</v>
      </c>
      <c r="J150" t="inlineStr">
        <is>
          <t>NOT AVAILABLE</t>
        </is>
      </c>
      <c r="K150" t="inlineStr">
        <is>
          <t>MEASURED</t>
        </is>
      </c>
      <c r="L150" t="inlineStr">
        <is>
          <t>P3</t>
        </is>
      </c>
      <c r="M150" t="n">
        <v>65</v>
      </c>
      <c r="N150">
        <f>ROUND(IF(IF(J150="NOT AVAILABLE","",J150)="",12,IF(OR(ISNUMBER(SEARCH("Transactional",IF(J150="NOT AVAILABLE","",J150))),ISNUMBER(SEARCH("Commercial",IF(J150="NOT AVAILABLE","",J150)))),25,IF(ISNUMBER(SEARCH("Informational",IF(J150="NOT AVAILABLE","",J150))),10,IF(ISNUMBER(SEARCH("Navigational",IF(J150="NOT AVAILABLE","",J150))),0,12))))+IF(ISNUMBER(G150),MIN(30,ROUND(30*LOG10(G150+1)/4,1)),0)+IF(ISNUMBER(H150),ROUND(25*(100-H150)/100,1),12.5)+20,0)</f>
        <v/>
      </c>
      <c r="O150">
        <f>ROUND(N150*M150/100,0)</f>
        <v/>
      </c>
      <c r="P150" s="5" t="inlineStr">
        <is>
          <t>Semantic/supporting term for body copy</t>
        </is>
      </c>
      <c r="Q150" s="5" t="inlineStr">
        <is>
          <t>None detected</t>
        </is>
      </c>
    </row>
    <row r="151">
      <c r="A151" s="3" t="inlineStr">
        <is>
          <t>https://codesommet.com/services/healthcare-website-development</t>
        </is>
      </c>
      <c r="B151" s="5" t="inlineStr">
        <is>
          <t>Développement de Sites Web Santé &amp; Télésanté qui génèrent des PORTAILS PATIENTS</t>
        </is>
      </c>
      <c r="C151" t="inlineStr">
        <is>
          <t>France</t>
        </is>
      </c>
      <c r="D151" t="inlineStr">
        <is>
          <t>fr</t>
        </is>
      </c>
      <c r="E151" t="inlineStr">
        <is>
          <t>NOT RECOMMENDED</t>
        </is>
      </c>
      <c r="F151" t="inlineStr">
        <is>
          <t>site web cabinet médical</t>
        </is>
      </c>
      <c r="G151" t="n">
        <v>20</v>
      </c>
      <c r="H151" t="inlineStr">
        <is>
          <t>NOT AVAILABLE</t>
        </is>
      </c>
      <c r="I151" t="n">
        <v>0</v>
      </c>
      <c r="J151" t="inlineStr">
        <is>
          <t>NOT AVAILABLE</t>
        </is>
      </c>
      <c r="K151" t="inlineStr">
        <is>
          <t>MEASURED</t>
        </is>
      </c>
      <c r="L151" t="inlineStr">
        <is>
          <t>P4</t>
        </is>
      </c>
      <c r="M151" t="n">
        <v>0</v>
      </c>
      <c r="N151">
        <f>ROUND(IF(IF(J151="NOT AVAILABLE","",J151)="",12,IF(OR(ISNUMBER(SEARCH("Transactional",IF(J151="NOT AVAILABLE","",J151))),ISNUMBER(SEARCH("Commercial",IF(J151="NOT AVAILABLE","",J151)))),25,IF(ISNUMBER(SEARCH("Informational",IF(J151="NOT AVAILABLE","",J151))),10,IF(ISNUMBER(SEARCH("Navigational",IF(J151="NOT AVAILABLE","",J151))),0,12))))+IF(ISNUMBER(G151),MIN(30,ROUND(30*LOG10(G151+1)/4,1)),0)+IF(ISNUMBER(H151),ROUND(25*(100-H151)/100,1),12.5)+14,0)</f>
        <v/>
      </c>
      <c r="O151">
        <f>ROUND(N151*M151/100,0)</f>
        <v/>
      </c>
      <c r="P151" s="5" t="inlineStr">
        <is>
          <t>Owned by telemedicine-website page (private practice) - differentiate</t>
        </is>
      </c>
      <c r="Q151" s="5" t="inlineStr">
        <is>
          <t>n/a (not targeted)</t>
        </is>
      </c>
    </row>
    <row r="152">
      <c r="A152" s="3" t="inlineStr">
        <is>
          <t>https://codesommet.com/services/immigration-consultancy-website-development</t>
        </is>
      </c>
      <c r="B152" s="5" t="inlineStr">
        <is>
          <t>Sites Web pour Cabinets d'Immigration qui génèrent des PORTAILS DE DEMANDE DE VI</t>
        </is>
      </c>
      <c r="C152" t="inlineStr">
        <is>
          <t>France</t>
        </is>
      </c>
      <c r="D152" t="inlineStr">
        <is>
          <t>fr</t>
        </is>
      </c>
      <c r="E152" t="inlineStr">
        <is>
          <t>PRIMARY</t>
        </is>
      </c>
      <c r="F152" t="inlineStr">
        <is>
          <t>site web cabinet immigration</t>
        </is>
      </c>
      <c r="G152" t="inlineStr">
        <is>
          <t>NOT AVAILABLE</t>
        </is>
      </c>
      <c r="H152" t="inlineStr">
        <is>
          <t>NOT AVAILABLE</t>
        </is>
      </c>
      <c r="I152" t="inlineStr">
        <is>
          <t>NOT AVAILABLE</t>
        </is>
      </c>
      <c r="J152" t="inlineStr">
        <is>
          <t>NOT AVAILABLE</t>
        </is>
      </c>
      <c r="K152" t="inlineStr">
        <is>
          <t>UNAVAILABLE</t>
        </is>
      </c>
      <c r="L152" t="inlineStr">
        <is>
          <t>P2</t>
        </is>
      </c>
      <c r="M152" t="n">
        <v>100</v>
      </c>
      <c r="N152">
        <f>ROUND(IF(IF(J152="NOT AVAILABLE","",J152)="",12,IF(OR(ISNUMBER(SEARCH("Transactional",IF(J152="NOT AVAILABLE","",J152))),ISNUMBER(SEARCH("Commercial",IF(J152="NOT AVAILABLE","",J152)))),25,IF(ISNUMBER(SEARCH("Informational",IF(J152="NOT AVAILABLE","",J152))),10,IF(ISNUMBER(SEARCH("Navigational",IF(J152="NOT AVAILABLE","",J152))),0,12))))+IF(ISNUMBER(G152),MIN(30,ROUND(30*LOG10(G152+1)/4,1)),0)+IF(ISNUMBER(H152),ROUND(25*(100-H152)/100,1),12.5)+14,0)</f>
        <v/>
      </c>
      <c r="O152">
        <f>ROUND(N152*M152/100,0)</f>
        <v/>
      </c>
      <c r="P152" s="5" t="inlineStr">
        <is>
          <t>No measurable demand - keep as relevance anchor</t>
        </is>
      </c>
      <c r="Q152" s="5" t="inlineStr">
        <is>
          <t>None detected</t>
        </is>
      </c>
    </row>
    <row r="153">
      <c r="A153" s="3" t="inlineStr">
        <is>
          <t>https://codesommet.com/services/immigration-consultancy-website-development</t>
        </is>
      </c>
      <c r="B153" s="5" t="inlineStr">
        <is>
          <t>Sites Web pour Cabinets d'Immigration qui génèrent des PORTAILS DE DEMANDE DE VI</t>
        </is>
      </c>
      <c r="C153" t="inlineStr">
        <is>
          <t>Morocco</t>
        </is>
      </c>
      <c r="D153" t="inlineStr">
        <is>
          <t>ma</t>
        </is>
      </c>
      <c r="E153" t="inlineStr">
        <is>
          <t>NOT RECOMMENDED</t>
        </is>
      </c>
      <c r="F153" t="inlineStr">
        <is>
          <t>cabinet immigration canada maroc</t>
        </is>
      </c>
      <c r="G153" t="n">
        <v>20</v>
      </c>
      <c r="H153" t="inlineStr">
        <is>
          <t>NOT AVAILABLE</t>
        </is>
      </c>
      <c r="I153" t="n">
        <v>0</v>
      </c>
      <c r="J153" t="inlineStr">
        <is>
          <t>NOT AVAILABLE</t>
        </is>
      </c>
      <c r="K153" t="inlineStr">
        <is>
          <t>MEASURED</t>
        </is>
      </c>
      <c r="L153" t="inlineStr">
        <is>
          <t>P4</t>
        </is>
      </c>
      <c r="M153" t="n">
        <v>0</v>
      </c>
      <c r="N153">
        <f>ROUND(IF(IF(J153="NOT AVAILABLE","",J153)="",12,IF(OR(ISNUMBER(SEARCH("Transactional",IF(J153="NOT AVAILABLE","",J153))),ISNUMBER(SEARCH("Commercial",IF(J153="NOT AVAILABLE","",J153)))),25,IF(ISNUMBER(SEARCH("Informational",IF(J153="NOT AVAILABLE","",J153))),10,IF(ISNUMBER(SEARCH("Navigational",IF(J153="NOT AVAILABLE","",J153))),0,12))))+IF(ISNUMBER(G153),MIN(30,ROUND(30*LOG10(G153+1)/4,1)),0)+IF(ISNUMBER(H153),ROUND(25*(100-H153)/100,1),12.5)+20,0)</f>
        <v/>
      </c>
      <c r="O153">
        <f>ROUND(N153*M153/100,0)</f>
        <v/>
      </c>
      <c r="P153" s="5" t="inlineStr">
        <is>
          <t>People seeking an immigration consultant (20) - wrong audience</t>
        </is>
      </c>
      <c r="Q153" s="5" t="inlineStr">
        <is>
          <t>n/a (not targeted)</t>
        </is>
      </c>
    </row>
    <row r="154">
      <c r="A154" s="3" t="inlineStr">
        <is>
          <t>https://codesommet.com/services/language-school-website-development</t>
        </is>
      </c>
      <c r="B154" s="5" t="inlineStr">
        <is>
          <t>Création de Sites Web pour Écoles de Langues qui génèrent des Écoles de Langues</t>
        </is>
      </c>
      <c r="C154" t="inlineStr">
        <is>
          <t>France</t>
        </is>
      </c>
      <c r="D154" t="inlineStr">
        <is>
          <t>fr</t>
        </is>
      </c>
      <c r="E154" t="inlineStr">
        <is>
          <t>PRIMARY</t>
        </is>
      </c>
      <c r="F154" t="inlineStr">
        <is>
          <t>site web école de langues</t>
        </is>
      </c>
      <c r="G154" t="inlineStr">
        <is>
          <t>NOT AVAILABLE</t>
        </is>
      </c>
      <c r="H154" t="inlineStr">
        <is>
          <t>NOT AVAILABLE</t>
        </is>
      </c>
      <c r="I154" t="inlineStr">
        <is>
          <t>NOT AVAILABLE</t>
        </is>
      </c>
      <c r="J154" t="inlineStr">
        <is>
          <t>NOT AVAILABLE</t>
        </is>
      </c>
      <c r="K154" t="inlineStr">
        <is>
          <t>UNAVAILABLE</t>
        </is>
      </c>
      <c r="L154" t="inlineStr">
        <is>
          <t>P2</t>
        </is>
      </c>
      <c r="M154" t="n">
        <v>100</v>
      </c>
      <c r="N154">
        <f>ROUND(IF(IF(J154="NOT AVAILABLE","",J154)="",12,IF(OR(ISNUMBER(SEARCH("Transactional",IF(J154="NOT AVAILABLE","",J154))),ISNUMBER(SEARCH("Commercial",IF(J154="NOT AVAILABLE","",J154)))),25,IF(ISNUMBER(SEARCH("Informational",IF(J154="NOT AVAILABLE","",J154))),10,IF(ISNUMBER(SEARCH("Navigational",IF(J154="NOT AVAILABLE","",J154))),0,12))))+IF(ISNUMBER(G154),MIN(30,ROUND(30*LOG10(G154+1)/4,1)),0)+IF(ISNUMBER(H154),ROUND(25*(100-H154)/100,1),12.5)+14,0)</f>
        <v/>
      </c>
      <c r="O154">
        <f>ROUND(N154*M154/100,0)</f>
        <v/>
      </c>
      <c r="P154" s="5" t="inlineStr">
        <is>
          <t>No measurable demand in FR/MA - keep as relevance anchor; links from GLS case study</t>
        </is>
      </c>
      <c r="Q154" s="5" t="inlineStr">
        <is>
          <t>None detected</t>
        </is>
      </c>
    </row>
    <row r="155">
      <c r="A155" s="3" t="inlineStr">
        <is>
          <t>https://codesommet.com/services/language-school-website-development</t>
        </is>
      </c>
      <c r="B155" s="5" t="inlineStr">
        <is>
          <t>Création de Sites Web pour Écoles de Langues qui génèrent des Écoles de Langues</t>
        </is>
      </c>
      <c r="C155" t="inlineStr">
        <is>
          <t>France</t>
        </is>
      </c>
      <c r="D155" t="inlineStr">
        <is>
          <t>fr</t>
        </is>
      </c>
      <c r="E155" t="inlineStr">
        <is>
          <t>SUPPORTING</t>
        </is>
      </c>
      <c r="F155" t="inlineStr">
        <is>
          <t>logiciel école de langue</t>
        </is>
      </c>
      <c r="G155" t="inlineStr">
        <is>
          <t>NOT AVAILABLE</t>
        </is>
      </c>
      <c r="H155" t="inlineStr">
        <is>
          <t>NOT AVAILABLE</t>
        </is>
      </c>
      <c r="I155" t="inlineStr">
        <is>
          <t>NOT AVAILABLE</t>
        </is>
      </c>
      <c r="J155" t="inlineStr">
        <is>
          <t>NOT AVAILABLE</t>
        </is>
      </c>
      <c r="K155" t="inlineStr">
        <is>
          <t>UNAVAILABLE</t>
        </is>
      </c>
      <c r="L155" t="inlineStr">
        <is>
          <t>P3</t>
        </is>
      </c>
      <c r="M155" t="n">
        <v>65</v>
      </c>
      <c r="N155">
        <f>ROUND(IF(IF(J155="NOT AVAILABLE","",J155)="",12,IF(OR(ISNUMBER(SEARCH("Transactional",IF(J155="NOT AVAILABLE","",J155))),ISNUMBER(SEARCH("Commercial",IF(J155="NOT AVAILABLE","",J155)))),25,IF(ISNUMBER(SEARCH("Informational",IF(J155="NOT AVAILABLE","",J155))),10,IF(ISNUMBER(SEARCH("Navigational",IF(J155="NOT AVAILABLE","",J155))),0,12))))+IF(ISNUMBER(G155),MIN(30,ROUND(30*LOG10(G155+1)/4,1)),0)+IF(ISNUMBER(H155),ROUND(25*(100-H155)/100,1),12.5)+14,0)</f>
        <v/>
      </c>
      <c r="O155">
        <f>ROUND(N155*M155/100,0)</f>
        <v/>
      </c>
      <c r="P155" s="5" t="inlineStr">
        <is>
          <t>Semantic/supporting term for body copy</t>
        </is>
      </c>
      <c r="Q155" s="5" t="inlineStr">
        <is>
          <t>None detected</t>
        </is>
      </c>
    </row>
    <row r="156">
      <c r="A156" s="3" t="inlineStr">
        <is>
          <t>https://codesommet.com/services/online-course-platform-development</t>
        </is>
      </c>
      <c r="B156" s="5" t="inlineStr">
        <is>
          <t>Développement de Plateformes de Cours en Ligne qui génèrent des SITES WEB DE COU</t>
        </is>
      </c>
      <c r="C156" t="inlineStr">
        <is>
          <t>France</t>
        </is>
      </c>
      <c r="D156" t="inlineStr">
        <is>
          <t>fr</t>
        </is>
      </c>
      <c r="E156" t="inlineStr">
        <is>
          <t>PRIMARY</t>
        </is>
      </c>
      <c r="F156" t="inlineStr">
        <is>
          <t>vendre des formations en ligne</t>
        </is>
      </c>
      <c r="G156" t="n">
        <v>260</v>
      </c>
      <c r="H156" t="n">
        <v>10</v>
      </c>
      <c r="I156" t="n">
        <v>1.83</v>
      </c>
      <c r="J156" t="inlineStr">
        <is>
          <t>Informational</t>
        </is>
      </c>
      <c r="K156" t="inlineStr">
        <is>
          <t>MEASURED</t>
        </is>
      </c>
      <c r="L156" t="inlineStr">
        <is>
          <t>P2</t>
        </is>
      </c>
      <c r="M156" t="n">
        <v>100</v>
      </c>
      <c r="N156">
        <f>ROUND(IF(IF(J156="NOT AVAILABLE","",J156)="",12,IF(OR(ISNUMBER(SEARCH("Transactional",IF(J156="NOT AVAILABLE","",J156))),ISNUMBER(SEARCH("Commercial",IF(J156="NOT AVAILABLE","",J156)))),25,IF(ISNUMBER(SEARCH("Informational",IF(J156="NOT AVAILABLE","",J156))),10,IF(ISNUMBER(SEARCH("Navigational",IF(J156="NOT AVAILABLE","",J156))),0,12))))+IF(ISNUMBER(G156),MIN(30,ROUND(30*LOG10(G156+1)/4,1)),0)+IF(ISNUMBER(H156),ROUND(25*(100-H156)/100,1),12.5)+14,0)</f>
        <v/>
      </c>
      <c r="O156">
        <f>ROUND(N156*M156/100,0)</f>
        <v/>
      </c>
      <c r="P156" s="5" t="inlineStr">
        <is>
          <t>FR 260, KD 10 - creator/coach intent matches "cours en ligne" page; lowest KD</t>
        </is>
      </c>
      <c r="Q156" s="5" t="inlineStr">
        <is>
          <t>None detected</t>
        </is>
      </c>
    </row>
    <row r="157">
      <c r="A157" s="3" t="inlineStr">
        <is>
          <t>https://codesommet.com/services/online-course-platform-development</t>
        </is>
      </c>
      <c r="B157" s="5" t="inlineStr">
        <is>
          <t>Développement de Plateformes de Cours en Ligne qui génèrent des SITES WEB DE COU</t>
        </is>
      </c>
      <c r="C157" t="inlineStr">
        <is>
          <t>France</t>
        </is>
      </c>
      <c r="D157" t="inlineStr">
        <is>
          <t>fr</t>
        </is>
      </c>
      <c r="E157" t="inlineStr">
        <is>
          <t>SECONDARY</t>
        </is>
      </c>
      <c r="F157" t="inlineStr">
        <is>
          <t>plateforme de cours en ligne</t>
        </is>
      </c>
      <c r="G157" t="n">
        <v>480</v>
      </c>
      <c r="H157" t="n">
        <v>61</v>
      </c>
      <c r="I157" t="n">
        <v>2.96</v>
      </c>
      <c r="J157" t="inlineStr">
        <is>
          <t>Informational</t>
        </is>
      </c>
      <c r="K157" t="inlineStr">
        <is>
          <t>MEASURED</t>
        </is>
      </c>
      <c r="L157" t="inlineStr">
        <is>
          <t>P2</t>
        </is>
      </c>
      <c r="M157" t="n">
        <v>85</v>
      </c>
      <c r="N157">
        <f>ROUND(IF(IF(J157="NOT AVAILABLE","",J157)="",12,IF(OR(ISNUMBER(SEARCH("Transactional",IF(J157="NOT AVAILABLE","",J157))),ISNUMBER(SEARCH("Commercial",IF(J157="NOT AVAILABLE","",J157)))),25,IF(ISNUMBER(SEARCH("Informational",IF(J157="NOT AVAILABLE","",J157))),10,IF(ISNUMBER(SEARCH("Navigational",IF(J157="NOT AVAILABLE","",J157))),0,12))))+IF(ISNUMBER(G157),MIN(30,ROUND(30*LOG10(G157+1)/4,1)),0)+IF(ISNUMBER(H157),ROUND(25*(100-H157)/100,1),12.5)+14,0)</f>
        <v/>
      </c>
      <c r="O157">
        <f>ROUND(N157*M157/100,0)</f>
        <v/>
      </c>
      <c r="P157" s="5" t="inlineStr">
        <is>
          <t>480, KD 61</t>
        </is>
      </c>
      <c r="Q157" s="5" t="inlineStr">
        <is>
          <t>None detected</t>
        </is>
      </c>
    </row>
    <row r="158">
      <c r="A158" s="3" t="inlineStr">
        <is>
          <t>https://codesommet.com/services/online-course-platform-development</t>
        </is>
      </c>
      <c r="B158" s="5" t="inlineStr">
        <is>
          <t>Développement de Plateformes de Cours en Ligne qui génèrent des SITES WEB DE COU</t>
        </is>
      </c>
      <c r="C158" t="inlineStr">
        <is>
          <t>France</t>
        </is>
      </c>
      <c r="D158" t="inlineStr">
        <is>
          <t>fr</t>
        </is>
      </c>
      <c r="E158" t="inlineStr">
        <is>
          <t>SECONDARY</t>
        </is>
      </c>
      <c r="F158" t="inlineStr">
        <is>
          <t>créer un site de formation en ligne</t>
        </is>
      </c>
      <c r="G158" t="n">
        <v>70</v>
      </c>
      <c r="H158" t="n">
        <v>23</v>
      </c>
      <c r="I158" t="n">
        <v>3.48</v>
      </c>
      <c r="J158" t="inlineStr">
        <is>
          <t>Informational</t>
        </is>
      </c>
      <c r="K158" t="inlineStr">
        <is>
          <t>MEASURED</t>
        </is>
      </c>
      <c r="L158" t="inlineStr">
        <is>
          <t>P2</t>
        </is>
      </c>
      <c r="M158" t="n">
        <v>85</v>
      </c>
      <c r="N158">
        <f>ROUND(IF(IF(J158="NOT AVAILABLE","",J158)="",12,IF(OR(ISNUMBER(SEARCH("Transactional",IF(J158="NOT AVAILABLE","",J158))),ISNUMBER(SEARCH("Commercial",IF(J158="NOT AVAILABLE","",J158)))),25,IF(ISNUMBER(SEARCH("Informational",IF(J158="NOT AVAILABLE","",J158))),10,IF(ISNUMBER(SEARCH("Navigational",IF(J158="NOT AVAILABLE","",J158))),0,12))))+IF(ISNUMBER(G158),MIN(30,ROUND(30*LOG10(G158+1)/4,1)),0)+IF(ISNUMBER(H158),ROUND(25*(100-H158)/100,1),12.5)+14,0)</f>
        <v/>
      </c>
      <c r="O158">
        <f>ROUND(N158*M158/100,0)</f>
        <v/>
      </c>
      <c r="P158" s="5" t="inlineStr">
        <is>
          <t>70, KD 23</t>
        </is>
      </c>
      <c r="Q158" s="5" t="inlineStr">
        <is>
          <t>None detected</t>
        </is>
      </c>
    </row>
    <row r="159">
      <c r="A159" s="3" t="inlineStr">
        <is>
          <t>https://codesommet.com/services/online-course-platform-development</t>
        </is>
      </c>
      <c r="B159" s="5" t="inlineStr">
        <is>
          <t>Développement de Plateformes de Cours en Ligne qui génèrent des SITES WEB DE COU</t>
        </is>
      </c>
      <c r="C159" t="inlineStr">
        <is>
          <t>France</t>
        </is>
      </c>
      <c r="D159" t="inlineStr">
        <is>
          <t>fr</t>
        </is>
      </c>
      <c r="E159" t="inlineStr">
        <is>
          <t>FAQ</t>
        </is>
      </c>
      <c r="F159" t="inlineStr">
        <is>
          <t>comment créer un site de formation en ligne</t>
        </is>
      </c>
      <c r="G159" t="n">
        <v>20</v>
      </c>
      <c r="H159" t="inlineStr">
        <is>
          <t>NOT AVAILABLE</t>
        </is>
      </c>
      <c r="I159" t="n">
        <v>2.95</v>
      </c>
      <c r="J159" t="inlineStr">
        <is>
          <t>NOT AVAILABLE</t>
        </is>
      </c>
      <c r="K159" t="inlineStr">
        <is>
          <t>MEASURED</t>
        </is>
      </c>
      <c r="L159" t="inlineStr">
        <is>
          <t>P2</t>
        </is>
      </c>
      <c r="M159" t="n">
        <v>70</v>
      </c>
      <c r="N159">
        <f>ROUND(IF(IF(J159="NOT AVAILABLE","",J159)="",12,IF(OR(ISNUMBER(SEARCH("Transactional",IF(J159="NOT AVAILABLE","",J159))),ISNUMBER(SEARCH("Commercial",IF(J159="NOT AVAILABLE","",J159)))),25,IF(ISNUMBER(SEARCH("Informational",IF(J159="NOT AVAILABLE","",J159))),10,IF(ISNUMBER(SEARCH("Navigational",IF(J159="NOT AVAILABLE","",J159))),0,12))))+IF(ISNUMBER(G159),MIN(30,ROUND(30*LOG10(G159+1)/4,1)),0)+IF(ISNUMBER(H159),ROUND(25*(100-H159)/100,1),12.5)+14,0)</f>
        <v/>
      </c>
      <c r="O159">
        <f>ROUND(N159*M159/100,0)</f>
        <v/>
      </c>
      <c r="P159" s="5" t="inlineStr">
        <is>
          <t>20</t>
        </is>
      </c>
      <c r="Q159" s="5" t="inlineStr">
        <is>
          <t>None detected</t>
        </is>
      </c>
    </row>
    <row r="160">
      <c r="A160" s="3" t="inlineStr">
        <is>
          <t>https://codesommet.com/services/online-course-platform-development</t>
        </is>
      </c>
      <c r="B160" s="5" t="inlineStr">
        <is>
          <t>Développement de Plateformes de Cours en Ligne qui génèrent des SITES WEB DE COU</t>
        </is>
      </c>
      <c r="C160" t="inlineStr">
        <is>
          <t>Morocco</t>
        </is>
      </c>
      <c r="D160" t="inlineStr">
        <is>
          <t>ma</t>
        </is>
      </c>
      <c r="E160" t="inlineStr">
        <is>
          <t>SUPPORTING</t>
        </is>
      </c>
      <c r="F160" t="inlineStr">
        <is>
          <t>vendre des formations en ligne</t>
        </is>
      </c>
      <c r="G160" t="n">
        <v>20</v>
      </c>
      <c r="H160" t="inlineStr">
        <is>
          <t>NOT AVAILABLE</t>
        </is>
      </c>
      <c r="I160" t="n">
        <v>0</v>
      </c>
      <c r="J160" t="inlineStr">
        <is>
          <t>NOT AVAILABLE</t>
        </is>
      </c>
      <c r="K160" t="inlineStr">
        <is>
          <t>MEASURED</t>
        </is>
      </c>
      <c r="L160" t="inlineStr">
        <is>
          <t>P3</t>
        </is>
      </c>
      <c r="M160" t="n">
        <v>65</v>
      </c>
      <c r="N160">
        <f>ROUND(IF(IF(J160="NOT AVAILABLE","",J160)="",12,IF(OR(ISNUMBER(SEARCH("Transactional",IF(J160="NOT AVAILABLE","",J160))),ISNUMBER(SEARCH("Commercial",IF(J160="NOT AVAILABLE","",J160)))),25,IF(ISNUMBER(SEARCH("Informational",IF(J160="NOT AVAILABLE","",J160))),10,IF(ISNUMBER(SEARCH("Navigational",IF(J160="NOT AVAILABLE","",J160))),0,12))))+IF(ISNUMBER(G160),MIN(30,ROUND(30*LOG10(G160+1)/4,1)),0)+IF(ISNUMBER(H160),ROUND(25*(100-H160)/100,1),12.5)+20,0)</f>
        <v/>
      </c>
      <c r="O160">
        <f>ROUND(N160*M160/100,0)</f>
        <v/>
      </c>
      <c r="P160" s="5" t="inlineStr">
        <is>
          <t>MA 20</t>
        </is>
      </c>
      <c r="Q160" s="5" t="inlineStr">
        <is>
          <t>None detected</t>
        </is>
      </c>
    </row>
    <row r="161">
      <c r="A161" s="3" t="inlineStr">
        <is>
          <t>https://codesommet.com/services/online-course-platform-development</t>
        </is>
      </c>
      <c r="B161" s="5" t="inlineStr">
        <is>
          <t>Développement de Plateformes de Cours en Ligne qui génèrent des SITES WEB DE COU</t>
        </is>
      </c>
      <c r="C161" t="inlineStr">
        <is>
          <t>France</t>
        </is>
      </c>
      <c r="D161" t="inlineStr">
        <is>
          <t>fr</t>
        </is>
      </c>
      <c r="E161" t="inlineStr">
        <is>
          <t>NOT RECOMMENDED</t>
        </is>
      </c>
      <c r="F161" t="inlineStr">
        <is>
          <t>plateforme de formation en ligne</t>
        </is>
      </c>
      <c r="G161" t="n">
        <v>1000</v>
      </c>
      <c r="H161" t="n">
        <v>51</v>
      </c>
      <c r="I161" t="n">
        <v>4.36</v>
      </c>
      <c r="J161" t="inlineStr">
        <is>
          <t>Informational</t>
        </is>
      </c>
      <c r="K161" t="inlineStr">
        <is>
          <t>MEASURED</t>
        </is>
      </c>
      <c r="L161" t="inlineStr">
        <is>
          <t>P4</t>
        </is>
      </c>
      <c r="M161" t="n">
        <v>0</v>
      </c>
      <c r="N161">
        <f>ROUND(IF(IF(J161="NOT AVAILABLE","",J161)="",12,IF(OR(ISNUMBER(SEARCH("Transactional",IF(J161="NOT AVAILABLE","",J161))),ISNUMBER(SEARCH("Commercial",IF(J161="NOT AVAILABLE","",J161)))),25,IF(ISNUMBER(SEARCH("Informational",IF(J161="NOT AVAILABLE","",J161))),10,IF(ISNUMBER(SEARCH("Navigational",IF(J161="NOT AVAILABLE","",J161))),0,12))))+IF(ISNUMBER(G161),MIN(30,ROUND(30*LOG10(G161+1)/4,1)),0)+IF(ISNUMBER(H161),ROUND(25*(100-H161)/100,1),12.5)+14,0)</f>
        <v/>
      </c>
      <c r="O161">
        <f>ROUND(N161*M161/100,0)</f>
        <v/>
      </c>
      <c r="P161" s="5" t="inlineStr">
        <is>
          <t>Assigned to e-learning page (corporate/LMS)</t>
        </is>
      </c>
      <c r="Q161" s="5" t="inlineStr">
        <is>
          <t>n/a (not targeted)</t>
        </is>
      </c>
    </row>
    <row r="162">
      <c r="A162" s="3" t="inlineStr">
        <is>
          <t>https://codesommet.com/services/real-estate-website-development</t>
        </is>
      </c>
      <c r="B162" s="5" t="inlineStr">
        <is>
          <t>Sites Web Immobiliers &amp; Portails Sur Mesure qui génèrent des ANNONCES IMMOBILIÈR</t>
        </is>
      </c>
      <c r="C162" t="inlineStr">
        <is>
          <t>France</t>
        </is>
      </c>
      <c r="D162" t="inlineStr">
        <is>
          <t>fr</t>
        </is>
      </c>
      <c r="E162" t="inlineStr">
        <is>
          <t>PRIMARY</t>
        </is>
      </c>
      <c r="F162" t="inlineStr">
        <is>
          <t>création site immobilier</t>
        </is>
      </c>
      <c r="G162" t="n">
        <v>390</v>
      </c>
      <c r="H162" t="n">
        <v>19</v>
      </c>
      <c r="I162" t="n">
        <v>4.03</v>
      </c>
      <c r="J162" t="inlineStr">
        <is>
          <t>Informational</t>
        </is>
      </c>
      <c r="K162" t="inlineStr">
        <is>
          <t>MEASURED</t>
        </is>
      </c>
      <c r="L162" t="inlineStr">
        <is>
          <t>P2</t>
        </is>
      </c>
      <c r="M162" t="n">
        <v>100</v>
      </c>
      <c r="N162">
        <f>ROUND(IF(IF(J162="NOT AVAILABLE","",J162)="",12,IF(OR(ISNUMBER(SEARCH("Transactional",IF(J162="NOT AVAILABLE","",J162))),ISNUMBER(SEARCH("Commercial",IF(J162="NOT AVAILABLE","",J162)))),25,IF(ISNUMBER(SEARCH("Informational",IF(J162="NOT AVAILABLE","",J162))),10,IF(ISNUMBER(SEARCH("Navigational",IF(J162="NOT AVAILABLE","",J162))),0,12))))+IF(ISNUMBER(G162),MIN(30,ROUND(30*LOG10(G162+1)/4,1)),0)+IF(ISNUMBER(H162),ROUND(25*(100-H162)/100,1),12.5)+14,0)</f>
        <v/>
      </c>
      <c r="O162">
        <f>ROUND(N162*M162/100,0)</f>
        <v/>
      </c>
      <c r="P162" s="5" t="inlineStr">
        <is>
          <t>FR 390, KD 19 - commercial, exact match</t>
        </is>
      </c>
      <c r="Q162" s="5" t="inlineStr">
        <is>
          <t>None detected</t>
        </is>
      </c>
    </row>
    <row r="163">
      <c r="A163" s="3" t="inlineStr">
        <is>
          <t>https://codesommet.com/services/real-estate-website-development</t>
        </is>
      </c>
      <c r="B163" s="5" t="inlineStr">
        <is>
          <t>Sites Web Immobiliers &amp; Portails Sur Mesure qui génèrent des ANNONCES IMMOBILIÈR</t>
        </is>
      </c>
      <c r="C163" t="inlineStr">
        <is>
          <t>France</t>
        </is>
      </c>
      <c r="D163" t="inlineStr">
        <is>
          <t>fr</t>
        </is>
      </c>
      <c r="E163" t="inlineStr">
        <is>
          <t>SECONDARY</t>
        </is>
      </c>
      <c r="F163" t="inlineStr">
        <is>
          <t>agence web immobilier</t>
        </is>
      </c>
      <c r="G163" t="n">
        <v>260</v>
      </c>
      <c r="H163" t="n">
        <v>29</v>
      </c>
      <c r="I163" t="n">
        <v>0</v>
      </c>
      <c r="J163" t="inlineStr">
        <is>
          <t>Commercial</t>
        </is>
      </c>
      <c r="K163" t="inlineStr">
        <is>
          <t>MEASURED</t>
        </is>
      </c>
      <c r="L163" t="inlineStr">
        <is>
          <t>P2</t>
        </is>
      </c>
      <c r="M163" t="n">
        <v>85</v>
      </c>
      <c r="N163">
        <f>ROUND(IF(IF(J163="NOT AVAILABLE","",J163)="",12,IF(OR(ISNUMBER(SEARCH("Transactional",IF(J163="NOT AVAILABLE","",J163))),ISNUMBER(SEARCH("Commercial",IF(J163="NOT AVAILABLE","",J163)))),25,IF(ISNUMBER(SEARCH("Informational",IF(J163="NOT AVAILABLE","",J163))),10,IF(ISNUMBER(SEARCH("Navigational",IF(J163="NOT AVAILABLE","",J163))),0,12))))+IF(ISNUMBER(G163),MIN(30,ROUND(30*LOG10(G163+1)/4,1)),0)+IF(ISNUMBER(H163),ROUND(25*(100-H163)/100,1),12.5)+14,0)</f>
        <v/>
      </c>
      <c r="O163">
        <f>ROUND(N163*M163/100,0)</f>
        <v/>
      </c>
      <c r="P163" s="5" t="inlineStr">
        <is>
          <t>260, KD 29</t>
        </is>
      </c>
      <c r="Q163" s="5" t="inlineStr">
        <is>
          <t>None detected</t>
        </is>
      </c>
    </row>
    <row r="164">
      <c r="A164" s="3" t="inlineStr">
        <is>
          <t>https://codesommet.com/services/real-estate-website-development</t>
        </is>
      </c>
      <c r="B164" s="5" t="inlineStr">
        <is>
          <t>Sites Web Immobiliers &amp; Portails Sur Mesure qui génèrent des ANNONCES IMMOBILIÈR</t>
        </is>
      </c>
      <c r="C164" t="inlineStr">
        <is>
          <t>France</t>
        </is>
      </c>
      <c r="D164" t="inlineStr">
        <is>
          <t>fr</t>
        </is>
      </c>
      <c r="E164" t="inlineStr">
        <is>
          <t>SECONDARY</t>
        </is>
      </c>
      <c r="F164" t="inlineStr">
        <is>
          <t>site internet agence immobilière</t>
        </is>
      </c>
      <c r="G164" t="n">
        <v>110</v>
      </c>
      <c r="H164" t="n">
        <v>28</v>
      </c>
      <c r="I164" t="n">
        <v>2.8</v>
      </c>
      <c r="J164" t="inlineStr">
        <is>
          <t>Commercial</t>
        </is>
      </c>
      <c r="K164" t="inlineStr">
        <is>
          <t>MEASURED</t>
        </is>
      </c>
      <c r="L164" t="inlineStr">
        <is>
          <t>P2</t>
        </is>
      </c>
      <c r="M164" t="n">
        <v>85</v>
      </c>
      <c r="N164">
        <f>ROUND(IF(IF(J164="NOT AVAILABLE","",J164)="",12,IF(OR(ISNUMBER(SEARCH("Transactional",IF(J164="NOT AVAILABLE","",J164))),ISNUMBER(SEARCH("Commercial",IF(J164="NOT AVAILABLE","",J164)))),25,IF(ISNUMBER(SEARCH("Informational",IF(J164="NOT AVAILABLE","",J164))),10,IF(ISNUMBER(SEARCH("Navigational",IF(J164="NOT AVAILABLE","",J164))),0,12))))+IF(ISNUMBER(G164),MIN(30,ROUND(30*LOG10(G164+1)/4,1)),0)+IF(ISNUMBER(H164),ROUND(25*(100-H164)/100,1),12.5)+14,0)</f>
        <v/>
      </c>
      <c r="O164">
        <f>ROUND(N164*M164/100,0)</f>
        <v/>
      </c>
      <c r="P164" s="5" t="inlineStr">
        <is>
          <t>110, KD 28</t>
        </is>
      </c>
      <c r="Q164" s="5" t="inlineStr">
        <is>
          <t>None detected</t>
        </is>
      </c>
    </row>
    <row r="165">
      <c r="A165" s="3" t="inlineStr">
        <is>
          <t>https://codesommet.com/services/real-estate-website-development</t>
        </is>
      </c>
      <c r="B165" s="5" t="inlineStr">
        <is>
          <t>Sites Web Immobiliers &amp; Portails Sur Mesure qui génèrent des ANNONCES IMMOBILIÈR</t>
        </is>
      </c>
      <c r="C165" t="inlineStr">
        <is>
          <t>France</t>
        </is>
      </c>
      <c r="D165" t="inlineStr">
        <is>
          <t>fr</t>
        </is>
      </c>
      <c r="E165" t="inlineStr">
        <is>
          <t>SECONDARY</t>
        </is>
      </c>
      <c r="F165" t="inlineStr">
        <is>
          <t>création site web agence immobilière</t>
        </is>
      </c>
      <c r="G165" t="n">
        <v>90</v>
      </c>
      <c r="H165" t="n">
        <v>19</v>
      </c>
      <c r="I165" t="n">
        <v>0</v>
      </c>
      <c r="J165" t="inlineStr">
        <is>
          <t>Informational</t>
        </is>
      </c>
      <c r="K165" t="inlineStr">
        <is>
          <t>MEASURED</t>
        </is>
      </c>
      <c r="L165" t="inlineStr">
        <is>
          <t>P2</t>
        </is>
      </c>
      <c r="M165" t="n">
        <v>85</v>
      </c>
      <c r="N165">
        <f>ROUND(IF(IF(J165="NOT AVAILABLE","",J165)="",12,IF(OR(ISNUMBER(SEARCH("Transactional",IF(J165="NOT AVAILABLE","",J165))),ISNUMBER(SEARCH("Commercial",IF(J165="NOT AVAILABLE","",J165)))),25,IF(ISNUMBER(SEARCH("Informational",IF(J165="NOT AVAILABLE","",J165))),10,IF(ISNUMBER(SEARCH("Navigational",IF(J165="NOT AVAILABLE","",J165))),0,12))))+IF(ISNUMBER(G165),MIN(30,ROUND(30*LOG10(G165+1)/4,1)),0)+IF(ISNUMBER(H165),ROUND(25*(100-H165)/100,1),12.5)+14,0)</f>
        <v/>
      </c>
      <c r="O165">
        <f>ROUND(N165*M165/100,0)</f>
        <v/>
      </c>
      <c r="P165" s="5" t="inlineStr">
        <is>
          <t>90, KD 19</t>
        </is>
      </c>
      <c r="Q165" s="5" t="inlineStr">
        <is>
          <t>None detected</t>
        </is>
      </c>
    </row>
    <row r="166">
      <c r="A166" s="3" t="inlineStr">
        <is>
          <t>https://codesommet.com/services/real-estate-website-development</t>
        </is>
      </c>
      <c r="B166" s="5" t="inlineStr">
        <is>
          <t>Sites Web Immobiliers &amp; Portails Sur Mesure qui génèrent des ANNONCES IMMOBILIÈR</t>
        </is>
      </c>
      <c r="C166" t="inlineStr">
        <is>
          <t>France</t>
        </is>
      </c>
      <c r="D166" t="inlineStr">
        <is>
          <t>fr</t>
        </is>
      </c>
      <c r="E166" t="inlineStr">
        <is>
          <t>SUPPORTING</t>
        </is>
      </c>
      <c r="F166" t="inlineStr">
        <is>
          <t>portail immobilier</t>
        </is>
      </c>
      <c r="G166" t="n">
        <v>320</v>
      </c>
      <c r="H166" t="n">
        <v>31</v>
      </c>
      <c r="I166" t="n">
        <v>0.79</v>
      </c>
      <c r="J166" t="inlineStr">
        <is>
          <t>Transactional</t>
        </is>
      </c>
      <c r="K166" t="inlineStr">
        <is>
          <t>MEASURED</t>
        </is>
      </c>
      <c r="L166" t="inlineStr">
        <is>
          <t>P3</t>
        </is>
      </c>
      <c r="M166" t="n">
        <v>65</v>
      </c>
      <c r="N166">
        <f>ROUND(IF(IF(J166="NOT AVAILABLE","",J166)="",12,IF(OR(ISNUMBER(SEARCH("Transactional",IF(J166="NOT AVAILABLE","",J166))),ISNUMBER(SEARCH("Commercial",IF(J166="NOT AVAILABLE","",J166)))),25,IF(ISNUMBER(SEARCH("Informational",IF(J166="NOT AVAILABLE","",J166))),10,IF(ISNUMBER(SEARCH("Navigational",IF(J166="NOT AVAILABLE","",J166))),0,12))))+IF(ISNUMBER(G166),MIN(30,ROUND(30*LOG10(G166+1)/4,1)),0)+IF(ISNUMBER(H166),ROUND(25*(100-H166)/100,1),12.5)+14,0)</f>
        <v/>
      </c>
      <c r="O166">
        <f>ROUND(N166*M166/100,0)</f>
        <v/>
      </c>
      <c r="P166" s="5" t="inlineStr">
        <is>
          <t>320, KD 31</t>
        </is>
      </c>
      <c r="Q166" s="5" t="inlineStr">
        <is>
          <t>None detected</t>
        </is>
      </c>
    </row>
    <row r="167">
      <c r="A167" s="3" t="inlineStr">
        <is>
          <t>https://codesommet.com/services/real-estate-website-development</t>
        </is>
      </c>
      <c r="B167" s="5" t="inlineStr">
        <is>
          <t>Sites Web Immobiliers &amp; Portails Sur Mesure qui génèrent des ANNONCES IMMOBILIÈR</t>
        </is>
      </c>
      <c r="C167" t="inlineStr">
        <is>
          <t>France</t>
        </is>
      </c>
      <c r="D167" t="inlineStr">
        <is>
          <t>fr</t>
        </is>
      </c>
      <c r="E167" t="inlineStr">
        <is>
          <t>OPTIONAL</t>
        </is>
      </c>
      <c r="F167" t="inlineStr">
        <is>
          <t>logiciel immobilier</t>
        </is>
      </c>
      <c r="G167" t="n">
        <v>1300</v>
      </c>
      <c r="H167" t="n">
        <v>23</v>
      </c>
      <c r="I167" t="n">
        <v>4.48</v>
      </c>
      <c r="J167" t="inlineStr">
        <is>
          <t>Informational, Commercial</t>
        </is>
      </c>
      <c r="K167" t="inlineStr">
        <is>
          <t>MEASURED</t>
        </is>
      </c>
      <c r="L167" t="inlineStr">
        <is>
          <t>P4</t>
        </is>
      </c>
      <c r="M167" t="n">
        <v>45</v>
      </c>
      <c r="N167">
        <f>ROUND(IF(IF(J167="NOT AVAILABLE","",J167)="",12,IF(OR(ISNUMBER(SEARCH("Transactional",IF(J167="NOT AVAILABLE","",J167))),ISNUMBER(SEARCH("Commercial",IF(J167="NOT AVAILABLE","",J167)))),25,IF(ISNUMBER(SEARCH("Informational",IF(J167="NOT AVAILABLE","",J167))),10,IF(ISNUMBER(SEARCH("Navigational",IF(J167="NOT AVAILABLE","",J167))),0,12))))+IF(ISNUMBER(G167),MIN(30,ROUND(30*LOG10(G167+1)/4,1)),0)+IF(ISNUMBER(H167),ROUND(25*(100-H167)/100,1),12.5)+14,0)</f>
        <v/>
      </c>
      <c r="O167">
        <f>ROUND(N167*M167/100,0)</f>
        <v/>
      </c>
      <c r="P167" s="5" t="inlineStr">
        <is>
          <t>1300, KD 23 - software intent (CRM vendors); partial fit</t>
        </is>
      </c>
      <c r="Q167" s="5" t="inlineStr">
        <is>
          <t>None detected</t>
        </is>
      </c>
    </row>
    <row r="168">
      <c r="A168" s="3" t="inlineStr">
        <is>
          <t>https://codesommet.com/services/real-estate-website-development</t>
        </is>
      </c>
      <c r="B168" s="5" t="inlineStr">
        <is>
          <t>Sites Web Immobiliers &amp; Portails Sur Mesure qui génèrent des ANNONCES IMMOBILIÈR</t>
        </is>
      </c>
      <c r="C168" t="inlineStr">
        <is>
          <t>France</t>
        </is>
      </c>
      <c r="D168" t="inlineStr">
        <is>
          <t>fr</t>
        </is>
      </c>
      <c r="E168" t="inlineStr">
        <is>
          <t>NOT RECOMMENDED</t>
        </is>
      </c>
      <c r="F168" t="inlineStr">
        <is>
          <t>site immobilier</t>
        </is>
      </c>
      <c r="G168" t="n">
        <v>2400</v>
      </c>
      <c r="H168" t="n">
        <v>12</v>
      </c>
      <c r="I168" t="n">
        <v>0.33</v>
      </c>
      <c r="J168" t="inlineStr">
        <is>
          <t>Informational</t>
        </is>
      </c>
      <c r="K168" t="inlineStr">
        <is>
          <t>MEASURED</t>
        </is>
      </c>
      <c r="L168" t="inlineStr">
        <is>
          <t>P4</t>
        </is>
      </c>
      <c r="M168" t="n">
        <v>0</v>
      </c>
      <c r="N168">
        <f>ROUND(IF(IF(J168="NOT AVAILABLE","",J168)="",12,IF(OR(ISNUMBER(SEARCH("Transactional",IF(J168="NOT AVAILABLE","",J168))),ISNUMBER(SEARCH("Commercial",IF(J168="NOT AVAILABLE","",J168)))),25,IF(ISNUMBER(SEARCH("Informational",IF(J168="NOT AVAILABLE","",J168))),10,IF(ISNUMBER(SEARCH("Navigational",IF(J168="NOT AVAILABLE","",J168))),0,12))))+IF(ISNUMBER(G168),MIN(30,ROUND(30*LOG10(G168+1)/4,1)),0)+IF(ISNUMBER(H168),ROUND(25*(100-H168)/100,1),12.5)+14,0)</f>
        <v/>
      </c>
      <c r="O168">
        <f>ROUND(N168*M168/100,0)</f>
        <v/>
      </c>
      <c r="P168" s="5" t="inlineStr">
        <is>
          <t>Property seekers (2400)</t>
        </is>
      </c>
      <c r="Q168" s="5" t="inlineStr">
        <is>
          <t>n/a (not targeted)</t>
        </is>
      </c>
    </row>
    <row r="169">
      <c r="A169" s="3" t="inlineStr">
        <is>
          <t>https://codesommet.com/services/real-estate-website-development</t>
        </is>
      </c>
      <c r="B169" s="5" t="inlineStr">
        <is>
          <t>Sites Web Immobiliers &amp; Portails Sur Mesure qui génèrent des ANNONCES IMMOBILIÈR</t>
        </is>
      </c>
      <c r="C169" t="inlineStr">
        <is>
          <t>France</t>
        </is>
      </c>
      <c r="D169" t="inlineStr">
        <is>
          <t>fr</t>
        </is>
      </c>
      <c r="E169" t="inlineStr">
        <is>
          <t>NOT RECOMMENDED</t>
        </is>
      </c>
      <c r="F169" t="inlineStr">
        <is>
          <t>seo immobilier</t>
        </is>
      </c>
      <c r="G169" t="n">
        <v>480</v>
      </c>
      <c r="H169" t="n">
        <v>24</v>
      </c>
      <c r="I169" t="n">
        <v>4.38</v>
      </c>
      <c r="J169" t="inlineStr">
        <is>
          <t>Informational</t>
        </is>
      </c>
      <c r="K169" t="inlineStr">
        <is>
          <t>MEASURED</t>
        </is>
      </c>
      <c r="L169" t="inlineStr">
        <is>
          <t>P4</t>
        </is>
      </c>
      <c r="M169" t="n">
        <v>0</v>
      </c>
      <c r="N169">
        <f>ROUND(IF(IF(J169="NOT AVAILABLE","",J169)="",12,IF(OR(ISNUMBER(SEARCH("Transactional",IF(J169="NOT AVAILABLE","",J169))),ISNUMBER(SEARCH("Commercial",IF(J169="NOT AVAILABLE","",J169)))),25,IF(ISNUMBER(SEARCH("Informational",IF(J169="NOT AVAILABLE","",J169))),10,IF(ISNUMBER(SEARCH("Navigational",IF(J169="NOT AVAILABLE","",J169))),0,12))))+IF(ISNUMBER(G169),MIN(30,ROUND(30*LOG10(G169+1)/4,1)),0)+IF(ISNUMBER(H169),ROUND(25*(100-H169)/100,1),12.5)+14,0)</f>
        <v/>
      </c>
      <c r="O169">
        <f>ROUND(N169*M169/100,0)</f>
        <v/>
      </c>
      <c r="P169" s="5" t="inlineStr">
        <is>
          <t>Owned by the real-estate blog article</t>
        </is>
      </c>
      <c r="Q169" s="5" t="inlineStr">
        <is>
          <t>n/a (not targeted)</t>
        </is>
      </c>
    </row>
    <row r="170">
      <c r="A170" s="3" t="inlineStr">
        <is>
          <t>https://codesommet.com/services/real-estate-website-development</t>
        </is>
      </c>
      <c r="B170" s="5" t="inlineStr">
        <is>
          <t>Sites Web Immobiliers &amp; Portails Sur Mesure qui génèrent des ANNONCES IMMOBILIÈR</t>
        </is>
      </c>
      <c r="C170" t="inlineStr">
        <is>
          <t>Morocco</t>
        </is>
      </c>
      <c r="D170" t="inlineStr">
        <is>
          <t>ma</t>
        </is>
      </c>
      <c r="E170" t="inlineStr">
        <is>
          <t>NOT RECOMMENDED</t>
        </is>
      </c>
      <c r="F170" t="inlineStr">
        <is>
          <t>site immobilier maroc</t>
        </is>
      </c>
      <c r="G170" t="n">
        <v>170</v>
      </c>
      <c r="H170" t="inlineStr">
        <is>
          <t>NOT AVAILABLE</t>
        </is>
      </c>
      <c r="I170" t="n">
        <v>0.14</v>
      </c>
      <c r="J170" t="inlineStr">
        <is>
          <t>NOT AVAILABLE</t>
        </is>
      </c>
      <c r="K170" t="inlineStr">
        <is>
          <t>MEASURED</t>
        </is>
      </c>
      <c r="L170" t="inlineStr">
        <is>
          <t>P4</t>
        </is>
      </c>
      <c r="M170" t="n">
        <v>0</v>
      </c>
      <c r="N170">
        <f>ROUND(IF(IF(J170="NOT AVAILABLE","",J170)="",12,IF(OR(ISNUMBER(SEARCH("Transactional",IF(J170="NOT AVAILABLE","",J170))),ISNUMBER(SEARCH("Commercial",IF(J170="NOT AVAILABLE","",J170)))),25,IF(ISNUMBER(SEARCH("Informational",IF(J170="NOT AVAILABLE","",J170))),10,IF(ISNUMBER(SEARCH("Navigational",IF(J170="NOT AVAILABLE","",J170))),0,12))))+IF(ISNUMBER(G170),MIN(30,ROUND(30*LOG10(G170+1)/4,1)),0)+IF(ISNUMBER(H170),ROUND(25*(100-H170)/100,1),12.5)+20,0)</f>
        <v/>
      </c>
      <c r="O170">
        <f>ROUND(N170*M170/100,0)</f>
        <v/>
      </c>
      <c r="P170" s="5" t="inlineStr">
        <is>
          <t>Property seekers (avito/mubawab intent), 170</t>
        </is>
      </c>
      <c r="Q170" s="5" t="inlineStr">
        <is>
          <t>n/a (not targeted)</t>
        </is>
      </c>
    </row>
    <row r="171">
      <c r="A171" s="3" t="inlineStr">
        <is>
          <t>https://codesommet.com/services/saas-platform-development</t>
        </is>
      </c>
      <c r="B171" s="5" t="inlineStr">
        <is>
          <t>Développement de Plateformes SaaS &amp; B2B qui génèrent des TABLEAUX DE BORD UTILIS</t>
        </is>
      </c>
      <c r="C171" t="inlineStr">
        <is>
          <t>France</t>
        </is>
      </c>
      <c r="D171" t="inlineStr">
        <is>
          <t>fr</t>
        </is>
      </c>
      <c r="E171" t="inlineStr">
        <is>
          <t>PRIMARY</t>
        </is>
      </c>
      <c r="F171" t="inlineStr">
        <is>
          <t>développement saas</t>
        </is>
      </c>
      <c r="G171" t="n">
        <v>170</v>
      </c>
      <c r="H171" t="n">
        <v>11</v>
      </c>
      <c r="I171" t="n">
        <v>6.46</v>
      </c>
      <c r="J171" t="inlineStr">
        <is>
          <t>Informational</t>
        </is>
      </c>
      <c r="K171" t="inlineStr">
        <is>
          <t>MEASURED</t>
        </is>
      </c>
      <c r="L171" t="inlineStr">
        <is>
          <t>P2</t>
        </is>
      </c>
      <c r="M171" t="n">
        <v>100</v>
      </c>
      <c r="N171">
        <f>ROUND(IF(IF(J171="NOT AVAILABLE","",J171)="",12,IF(OR(ISNUMBER(SEARCH("Transactional",IF(J171="NOT AVAILABLE","",J171))),ISNUMBER(SEARCH("Commercial",IF(J171="NOT AVAILABLE","",J171)))),25,IF(ISNUMBER(SEARCH("Informational",IF(J171="NOT AVAILABLE","",J171))),10,IF(ISNUMBER(SEARCH("Navigational",IF(J171="NOT AVAILABLE","",J171))),0,12))))+IF(ISNUMBER(G171),MIN(30,ROUND(30*LOG10(G171+1)/4,1)),0)+IF(ISNUMBER(H171),ROUND(25*(100-H171)/100,1),12.5)+14,0)</f>
        <v/>
      </c>
      <c r="O171">
        <f>ROUND(N171*M171/100,0)</f>
        <v/>
      </c>
      <c r="P171" s="5" t="inlineStr">
        <is>
          <t>FR 170, KD 11 - commercial, low difficulty, exact service match (no MA demand)</t>
        </is>
      </c>
      <c r="Q171" s="5" t="inlineStr">
        <is>
          <t>None detected</t>
        </is>
      </c>
    </row>
    <row r="172">
      <c r="A172" s="3" t="inlineStr">
        <is>
          <t>https://codesommet.com/services/saas-platform-development</t>
        </is>
      </c>
      <c r="B172" s="5" t="inlineStr">
        <is>
          <t>Développement de Plateformes SaaS &amp; B2B qui génèrent des TABLEAUX DE BORD UTILIS</t>
        </is>
      </c>
      <c r="C172" t="inlineStr">
        <is>
          <t>France</t>
        </is>
      </c>
      <c r="D172" t="inlineStr">
        <is>
          <t>fr</t>
        </is>
      </c>
      <c r="E172" t="inlineStr">
        <is>
          <t>SECONDARY</t>
        </is>
      </c>
      <c r="F172" t="inlineStr">
        <is>
          <t>application web sur mesure</t>
        </is>
      </c>
      <c r="G172" t="n">
        <v>480</v>
      </c>
      <c r="H172" t="n">
        <v>14</v>
      </c>
      <c r="I172" t="n">
        <v>7.38</v>
      </c>
      <c r="J172" t="inlineStr">
        <is>
          <t>Informational</t>
        </is>
      </c>
      <c r="K172" t="inlineStr">
        <is>
          <t>MEASURED</t>
        </is>
      </c>
      <c r="L172" t="inlineStr">
        <is>
          <t>P2</t>
        </is>
      </c>
      <c r="M172" t="n">
        <v>85</v>
      </c>
      <c r="N172">
        <f>ROUND(IF(IF(J172="NOT AVAILABLE","",J172)="",12,IF(OR(ISNUMBER(SEARCH("Transactional",IF(J172="NOT AVAILABLE","",J172))),ISNUMBER(SEARCH("Commercial",IF(J172="NOT AVAILABLE","",J172)))),25,IF(ISNUMBER(SEARCH("Informational",IF(J172="NOT AVAILABLE","",J172))),10,IF(ISNUMBER(SEARCH("Navigational",IF(J172="NOT AVAILABLE","",J172))),0,12))))+IF(ISNUMBER(G172),MIN(30,ROUND(30*LOG10(G172+1)/4,1)),0)+IF(ISNUMBER(H172),ROUND(25*(100-H172)/100,1),12.5)+14,0)</f>
        <v/>
      </c>
      <c r="O172">
        <f>ROUND(N172*M172/100,0)</f>
        <v/>
      </c>
      <c r="P172" s="5" t="inlineStr">
        <is>
          <t>480, KD 14 - no dedicated page; SaaS &amp; B2B page is the closest match</t>
        </is>
      </c>
      <c r="Q172" s="5" t="inlineStr">
        <is>
          <t>None detected</t>
        </is>
      </c>
    </row>
    <row r="173">
      <c r="A173" s="3" t="inlineStr">
        <is>
          <t>https://codesommet.com/services/saas-platform-development</t>
        </is>
      </c>
      <c r="B173" s="5" t="inlineStr">
        <is>
          <t>Développement de Plateformes SaaS &amp; B2B qui génèrent des TABLEAUX DE BORD UTILIS</t>
        </is>
      </c>
      <c r="C173" t="inlineStr">
        <is>
          <t>France</t>
        </is>
      </c>
      <c r="D173" t="inlineStr">
        <is>
          <t>fr</t>
        </is>
      </c>
      <c r="E173" t="inlineStr">
        <is>
          <t>SECONDARY</t>
        </is>
      </c>
      <c r="F173" t="inlineStr">
        <is>
          <t>agence saas</t>
        </is>
      </c>
      <c r="G173" t="n">
        <v>320</v>
      </c>
      <c r="H173" t="n">
        <v>16</v>
      </c>
      <c r="I173" t="n">
        <v>7.18</v>
      </c>
      <c r="J173" t="inlineStr">
        <is>
          <t>Informational</t>
        </is>
      </c>
      <c r="K173" t="inlineStr">
        <is>
          <t>MEASURED</t>
        </is>
      </c>
      <c r="L173" t="inlineStr">
        <is>
          <t>P2</t>
        </is>
      </c>
      <c r="M173" t="n">
        <v>85</v>
      </c>
      <c r="N173">
        <f>ROUND(IF(IF(J173="NOT AVAILABLE","",J173)="",12,IF(OR(ISNUMBER(SEARCH("Transactional",IF(J173="NOT AVAILABLE","",J173))),ISNUMBER(SEARCH("Commercial",IF(J173="NOT AVAILABLE","",J173)))),25,IF(ISNUMBER(SEARCH("Informational",IF(J173="NOT AVAILABLE","",J173))),10,IF(ISNUMBER(SEARCH("Navigational",IF(J173="NOT AVAILABLE","",J173))),0,12))))+IF(ISNUMBER(G173),MIN(30,ROUND(30*LOG10(G173+1)/4,1)),0)+IF(ISNUMBER(H173),ROUND(25*(100-H173)/100,1),12.5)+14,0)</f>
        <v/>
      </c>
      <c r="O173">
        <f>ROUND(N173*M173/100,0)</f>
        <v/>
      </c>
      <c r="P173" s="5" t="inlineStr">
        <is>
          <t>320, KD 16</t>
        </is>
      </c>
      <c r="Q173" s="5" t="inlineStr">
        <is>
          <t>None detected</t>
        </is>
      </c>
    </row>
    <row r="174">
      <c r="A174" s="3" t="inlineStr">
        <is>
          <t>https://codesommet.com/services/saas-platform-development</t>
        </is>
      </c>
      <c r="B174" s="5" t="inlineStr">
        <is>
          <t>Développement de Plateformes SaaS &amp; B2B qui génèrent des TABLEAUX DE BORD UTILIS</t>
        </is>
      </c>
      <c r="C174" t="inlineStr">
        <is>
          <t>France</t>
        </is>
      </c>
      <c r="D174" t="inlineStr">
        <is>
          <t>fr</t>
        </is>
      </c>
      <c r="E174" t="inlineStr">
        <is>
          <t>SECONDARY</t>
        </is>
      </c>
      <c r="F174" t="inlineStr">
        <is>
          <t>logiciel saas sur mesure</t>
        </is>
      </c>
      <c r="G174" t="n">
        <v>170</v>
      </c>
      <c r="H174" t="n">
        <v>13</v>
      </c>
      <c r="I174" t="n">
        <v>0</v>
      </c>
      <c r="J174" t="inlineStr">
        <is>
          <t>Informational</t>
        </is>
      </c>
      <c r="K174" t="inlineStr">
        <is>
          <t>MEASURED</t>
        </is>
      </c>
      <c r="L174" t="inlineStr">
        <is>
          <t>P2</t>
        </is>
      </c>
      <c r="M174" t="n">
        <v>85</v>
      </c>
      <c r="N174">
        <f>ROUND(IF(IF(J174="NOT AVAILABLE","",J174)="",12,IF(OR(ISNUMBER(SEARCH("Transactional",IF(J174="NOT AVAILABLE","",J174))),ISNUMBER(SEARCH("Commercial",IF(J174="NOT AVAILABLE","",J174)))),25,IF(ISNUMBER(SEARCH("Informational",IF(J174="NOT AVAILABLE","",J174))),10,IF(ISNUMBER(SEARCH("Navigational",IF(J174="NOT AVAILABLE","",J174))),0,12))))+IF(ISNUMBER(G174),MIN(30,ROUND(30*LOG10(G174+1)/4,1)),0)+IF(ISNUMBER(H174),ROUND(25*(100-H174)/100,1),12.5)+14,0)</f>
        <v/>
      </c>
      <c r="O174">
        <f>ROUND(N174*M174/100,0)</f>
        <v/>
      </c>
      <c r="P174" s="5" t="inlineStr">
        <is>
          <t>170, KD 13</t>
        </is>
      </c>
      <c r="Q174" s="5" t="inlineStr">
        <is>
          <t>None detected</t>
        </is>
      </c>
    </row>
    <row r="175">
      <c r="A175" s="3" t="inlineStr">
        <is>
          <t>https://codesommet.com/services/saas-platform-development</t>
        </is>
      </c>
      <c r="B175" s="5" t="inlineStr">
        <is>
          <t>Développement de Plateformes SaaS &amp; B2B qui génèrent des TABLEAUX DE BORD UTILIS</t>
        </is>
      </c>
      <c r="C175" t="inlineStr">
        <is>
          <t>France</t>
        </is>
      </c>
      <c r="D175" t="inlineStr">
        <is>
          <t>fr</t>
        </is>
      </c>
      <c r="E175" t="inlineStr">
        <is>
          <t>SECONDARY</t>
        </is>
      </c>
      <c r="F175" t="inlineStr">
        <is>
          <t>développement application saas</t>
        </is>
      </c>
      <c r="G175" t="n">
        <v>110</v>
      </c>
      <c r="H175" t="n">
        <v>13</v>
      </c>
      <c r="I175" t="n">
        <v>0</v>
      </c>
      <c r="J175" t="inlineStr">
        <is>
          <t>Informational</t>
        </is>
      </c>
      <c r="K175" t="inlineStr">
        <is>
          <t>MEASURED</t>
        </is>
      </c>
      <c r="L175" t="inlineStr">
        <is>
          <t>P2</t>
        </is>
      </c>
      <c r="M175" t="n">
        <v>85</v>
      </c>
      <c r="N175">
        <f>ROUND(IF(IF(J175="NOT AVAILABLE","",J175)="",12,IF(OR(ISNUMBER(SEARCH("Transactional",IF(J175="NOT AVAILABLE","",J175))),ISNUMBER(SEARCH("Commercial",IF(J175="NOT AVAILABLE","",J175)))),25,IF(ISNUMBER(SEARCH("Informational",IF(J175="NOT AVAILABLE","",J175))),10,IF(ISNUMBER(SEARCH("Navigational",IF(J175="NOT AVAILABLE","",J175))),0,12))))+IF(ISNUMBER(G175),MIN(30,ROUND(30*LOG10(G175+1)/4,1)),0)+IF(ISNUMBER(H175),ROUND(25*(100-H175)/100,1),12.5)+14,0)</f>
        <v/>
      </c>
      <c r="O175">
        <f>ROUND(N175*M175/100,0)</f>
        <v/>
      </c>
      <c r="P175" s="5" t="inlineStr">
        <is>
          <t>110, KD 13</t>
        </is>
      </c>
      <c r="Q175" s="5" t="inlineStr">
        <is>
          <t>None detected</t>
        </is>
      </c>
    </row>
    <row r="176">
      <c r="A176" s="3" t="inlineStr">
        <is>
          <t>https://codesommet.com/services/saas-platform-development</t>
        </is>
      </c>
      <c r="B176" s="5" t="inlineStr">
        <is>
          <t>Développement de Plateformes SaaS &amp; B2B qui génèrent des TABLEAUX DE BORD UTILIS</t>
        </is>
      </c>
      <c r="C176" t="inlineStr">
        <is>
          <t>France</t>
        </is>
      </c>
      <c r="D176" t="inlineStr">
        <is>
          <t>fr</t>
        </is>
      </c>
      <c r="E176" t="inlineStr">
        <is>
          <t>SUPPORTING</t>
        </is>
      </c>
      <c r="F176" t="inlineStr">
        <is>
          <t>développement logiciel sur mesure</t>
        </is>
      </c>
      <c r="G176" t="n">
        <v>1300</v>
      </c>
      <c r="H176" t="n">
        <v>23</v>
      </c>
      <c r="I176" t="n">
        <v>7.38</v>
      </c>
      <c r="J176" t="inlineStr">
        <is>
          <t>Informational</t>
        </is>
      </c>
      <c r="K176" t="inlineStr">
        <is>
          <t>MEASURED</t>
        </is>
      </c>
      <c r="L176" t="inlineStr">
        <is>
          <t>P3</t>
        </is>
      </c>
      <c r="M176" t="n">
        <v>65</v>
      </c>
      <c r="N176">
        <f>ROUND(IF(IF(J176="NOT AVAILABLE","",J176)="",12,IF(OR(ISNUMBER(SEARCH("Transactional",IF(J176="NOT AVAILABLE","",J176))),ISNUMBER(SEARCH("Commercial",IF(J176="NOT AVAILABLE","",J176)))),25,IF(ISNUMBER(SEARCH("Informational",IF(J176="NOT AVAILABLE","",J176))),10,IF(ISNUMBER(SEARCH("Navigational",IF(J176="NOT AVAILABLE","",J176))),0,12))))+IF(ISNUMBER(G176),MIN(30,ROUND(30*LOG10(G176+1)/4,1)),0)+IF(ISNUMBER(H176),ROUND(25*(100-H176)/100,1),12.5)+14,0)</f>
        <v/>
      </c>
      <c r="O176">
        <f>ROUND(N176*M176/100,0)</f>
        <v/>
      </c>
      <c r="P176" s="5" t="inlineStr">
        <is>
          <t>1300, KD 23</t>
        </is>
      </c>
      <c r="Q176" s="5" t="inlineStr">
        <is>
          <t>None detected</t>
        </is>
      </c>
    </row>
    <row r="177">
      <c r="A177" s="3" t="inlineStr">
        <is>
          <t>https://codesommet.com/services/saas-platform-development</t>
        </is>
      </c>
      <c r="B177" s="5" t="inlineStr">
        <is>
          <t>Développement de Plateformes SaaS &amp; B2B qui génèrent des TABLEAUX DE BORD UTILIS</t>
        </is>
      </c>
      <c r="C177" t="inlineStr">
        <is>
          <t>France</t>
        </is>
      </c>
      <c r="D177" t="inlineStr">
        <is>
          <t>fr</t>
        </is>
      </c>
      <c r="E177" t="inlineStr">
        <is>
          <t>SUPPORTING</t>
        </is>
      </c>
      <c r="F177" t="inlineStr">
        <is>
          <t>développement application web</t>
        </is>
      </c>
      <c r="G177" t="n">
        <v>1000</v>
      </c>
      <c r="H177" t="n">
        <v>16</v>
      </c>
      <c r="I177" t="n">
        <v>10.13</v>
      </c>
      <c r="J177" t="inlineStr">
        <is>
          <t>Informational</t>
        </is>
      </c>
      <c r="K177" t="inlineStr">
        <is>
          <t>MEASURED</t>
        </is>
      </c>
      <c r="L177" t="inlineStr">
        <is>
          <t>P3</t>
        </is>
      </c>
      <c r="M177" t="n">
        <v>65</v>
      </c>
      <c r="N177">
        <f>ROUND(IF(IF(J177="NOT AVAILABLE","",J177)="",12,IF(OR(ISNUMBER(SEARCH("Transactional",IF(J177="NOT AVAILABLE","",J177))),ISNUMBER(SEARCH("Commercial",IF(J177="NOT AVAILABLE","",J177)))),25,IF(ISNUMBER(SEARCH("Informational",IF(J177="NOT AVAILABLE","",J177))),10,IF(ISNUMBER(SEARCH("Navigational",IF(J177="NOT AVAILABLE","",J177))),0,12))))+IF(ISNUMBER(G177),MIN(30,ROUND(30*LOG10(G177+1)/4,1)),0)+IF(ISNUMBER(H177),ROUND(25*(100-H177)/100,1),12.5)+14,0)</f>
        <v/>
      </c>
      <c r="O177">
        <f>ROUND(N177*M177/100,0)</f>
        <v/>
      </c>
      <c r="P177" s="5" t="inlineStr">
        <is>
          <t>1000, KD 16 - content gap (see sheet 10)</t>
        </is>
      </c>
      <c r="Q177" s="5" t="inlineStr">
        <is>
          <t>None detected</t>
        </is>
      </c>
    </row>
    <row r="178">
      <c r="A178" s="3" t="inlineStr">
        <is>
          <t>https://codesommet.com/services/saas-platform-development</t>
        </is>
      </c>
      <c r="B178" s="5" t="inlineStr">
        <is>
          <t>Développement de Plateformes SaaS &amp; B2B qui génèrent des TABLEAUX DE BORD UTILIS</t>
        </is>
      </c>
      <c r="C178" t="inlineStr">
        <is>
          <t>France</t>
        </is>
      </c>
      <c r="D178" t="inlineStr">
        <is>
          <t>fr</t>
        </is>
      </c>
      <c r="E178" t="inlineStr">
        <is>
          <t>SUPPORTING</t>
        </is>
      </c>
      <c r="F178" t="inlineStr">
        <is>
          <t>plateforme b2b</t>
        </is>
      </c>
      <c r="G178" t="n">
        <v>260</v>
      </c>
      <c r="H178" t="n">
        <v>19</v>
      </c>
      <c r="I178" t="n">
        <v>2.47</v>
      </c>
      <c r="J178" t="inlineStr">
        <is>
          <t>Informational</t>
        </is>
      </c>
      <c r="K178" t="inlineStr">
        <is>
          <t>MEASURED</t>
        </is>
      </c>
      <c r="L178" t="inlineStr">
        <is>
          <t>P3</t>
        </is>
      </c>
      <c r="M178" t="n">
        <v>65</v>
      </c>
      <c r="N178">
        <f>ROUND(IF(IF(J178="NOT AVAILABLE","",J178)="",12,IF(OR(ISNUMBER(SEARCH("Transactional",IF(J178="NOT AVAILABLE","",J178))),ISNUMBER(SEARCH("Commercial",IF(J178="NOT AVAILABLE","",J178)))),25,IF(ISNUMBER(SEARCH("Informational",IF(J178="NOT AVAILABLE","",J178))),10,IF(ISNUMBER(SEARCH("Navigational",IF(J178="NOT AVAILABLE","",J178))),0,12))))+IF(ISNUMBER(G178),MIN(30,ROUND(30*LOG10(G178+1)/4,1)),0)+IF(ISNUMBER(H178),ROUND(25*(100-H178)/100,1),12.5)+14,0)</f>
        <v/>
      </c>
      <c r="O178">
        <f>ROUND(N178*M178/100,0)</f>
        <v/>
      </c>
      <c r="P178" s="5" t="inlineStr">
        <is>
          <t>Semantic/supporting term for body copy</t>
        </is>
      </c>
      <c r="Q178" s="5" t="inlineStr">
        <is>
          <t>None detected</t>
        </is>
      </c>
    </row>
    <row r="179">
      <c r="A179" s="3" t="inlineStr">
        <is>
          <t>https://codesommet.com/services/saas-platform-development</t>
        </is>
      </c>
      <c r="B179" s="5" t="inlineStr">
        <is>
          <t>Développement de Plateformes SaaS &amp; B2B qui génèrent des TABLEAUX DE BORD UTILIS</t>
        </is>
      </c>
      <c r="C179" t="inlineStr">
        <is>
          <t>France</t>
        </is>
      </c>
      <c r="D179" t="inlineStr">
        <is>
          <t>fr</t>
        </is>
      </c>
      <c r="E179" t="inlineStr">
        <is>
          <t>SUPPORTING</t>
        </is>
      </c>
      <c r="F179" t="inlineStr">
        <is>
          <t>création application web</t>
        </is>
      </c>
      <c r="G179" t="n">
        <v>170</v>
      </c>
      <c r="H179" t="n">
        <v>18</v>
      </c>
      <c r="I179" t="n">
        <v>7.39</v>
      </c>
      <c r="J179" t="inlineStr">
        <is>
          <t>Informational</t>
        </is>
      </c>
      <c r="K179" t="inlineStr">
        <is>
          <t>MEASURED</t>
        </is>
      </c>
      <c r="L179" t="inlineStr">
        <is>
          <t>P3</t>
        </is>
      </c>
      <c r="M179" t="n">
        <v>65</v>
      </c>
      <c r="N179">
        <f>ROUND(IF(IF(J179="NOT AVAILABLE","",J179)="",12,IF(OR(ISNUMBER(SEARCH("Transactional",IF(J179="NOT AVAILABLE","",J179))),ISNUMBER(SEARCH("Commercial",IF(J179="NOT AVAILABLE","",J179)))),25,IF(ISNUMBER(SEARCH("Informational",IF(J179="NOT AVAILABLE","",J179))),10,IF(ISNUMBER(SEARCH("Navigational",IF(J179="NOT AVAILABLE","",J179))),0,12))))+IF(ISNUMBER(G179),MIN(30,ROUND(30*LOG10(G179+1)/4,1)),0)+IF(ISNUMBER(H179),ROUND(25*(100-H179)/100,1),12.5)+14,0)</f>
        <v/>
      </c>
      <c r="O179">
        <f>ROUND(N179*M179/100,0)</f>
        <v/>
      </c>
      <c r="P179" s="5" t="inlineStr">
        <is>
          <t>Semantic/supporting term for body copy</t>
        </is>
      </c>
      <c r="Q179" s="5" t="inlineStr">
        <is>
          <t>None detected</t>
        </is>
      </c>
    </row>
    <row r="180">
      <c r="A180" s="3" t="inlineStr">
        <is>
          <t>https://codesommet.com/services/saas-platform-development</t>
        </is>
      </c>
      <c r="B180" s="5" t="inlineStr">
        <is>
          <t>Développement de Plateformes SaaS &amp; B2B qui génèrent des TABLEAUX DE BORD UTILIS</t>
        </is>
      </c>
      <c r="C180" t="inlineStr">
        <is>
          <t>France</t>
        </is>
      </c>
      <c r="D180" t="inlineStr">
        <is>
          <t>fr</t>
        </is>
      </c>
      <c r="E180" t="inlineStr">
        <is>
          <t>SUPPORTING</t>
        </is>
      </c>
      <c r="F180" t="inlineStr">
        <is>
          <t>agence développement saas</t>
        </is>
      </c>
      <c r="G180" t="n">
        <v>70</v>
      </c>
      <c r="H180" t="n">
        <v>12</v>
      </c>
      <c r="I180" t="n">
        <v>15.03</v>
      </c>
      <c r="J180" t="inlineStr">
        <is>
          <t>Commercial</t>
        </is>
      </c>
      <c r="K180" t="inlineStr">
        <is>
          <t>MEASURED</t>
        </is>
      </c>
      <c r="L180" t="inlineStr">
        <is>
          <t>P3</t>
        </is>
      </c>
      <c r="M180" t="n">
        <v>65</v>
      </c>
      <c r="N180">
        <f>ROUND(IF(IF(J180="NOT AVAILABLE","",J180)="",12,IF(OR(ISNUMBER(SEARCH("Transactional",IF(J180="NOT AVAILABLE","",J180))),ISNUMBER(SEARCH("Commercial",IF(J180="NOT AVAILABLE","",J180)))),25,IF(ISNUMBER(SEARCH("Informational",IF(J180="NOT AVAILABLE","",J180))),10,IF(ISNUMBER(SEARCH("Navigational",IF(J180="NOT AVAILABLE","",J180))),0,12))))+IF(ISNUMBER(G180),MIN(30,ROUND(30*LOG10(G180+1)/4,1)),0)+IF(ISNUMBER(H180),ROUND(25*(100-H180)/100,1),12.5)+14,0)</f>
        <v/>
      </c>
      <c r="O180">
        <f>ROUND(N180*M180/100,0)</f>
        <v/>
      </c>
      <c r="P180" s="5" t="inlineStr">
        <is>
          <t>Semantic/supporting term for body copy</t>
        </is>
      </c>
      <c r="Q180" s="5" t="inlineStr">
        <is>
          <t>None detected</t>
        </is>
      </c>
    </row>
    <row r="181">
      <c r="A181" s="3" t="inlineStr">
        <is>
          <t>https://codesommet.com/services/saas-platform-development</t>
        </is>
      </c>
      <c r="B181" s="5" t="inlineStr">
        <is>
          <t>Développement de Plateformes SaaS &amp; B2B qui génèrent des TABLEAUX DE BORD UTILIS</t>
        </is>
      </c>
      <c r="C181" t="inlineStr">
        <is>
          <t>Morocco</t>
        </is>
      </c>
      <c r="D181" t="inlineStr">
        <is>
          <t>ma</t>
        </is>
      </c>
      <c r="E181" t="inlineStr">
        <is>
          <t>SUPPORTING</t>
        </is>
      </c>
      <c r="F181" t="inlineStr">
        <is>
          <t>logiciel sur mesure</t>
        </is>
      </c>
      <c r="G181" t="n">
        <v>30</v>
      </c>
      <c r="H181" t="inlineStr">
        <is>
          <t>NOT AVAILABLE</t>
        </is>
      </c>
      <c r="I181" t="n">
        <v>0</v>
      </c>
      <c r="J181" t="inlineStr">
        <is>
          <t>NOT AVAILABLE</t>
        </is>
      </c>
      <c r="K181" t="inlineStr">
        <is>
          <t>MEASURED</t>
        </is>
      </c>
      <c r="L181" t="inlineStr">
        <is>
          <t>P3</t>
        </is>
      </c>
      <c r="M181" t="n">
        <v>65</v>
      </c>
      <c r="N181">
        <f>ROUND(IF(IF(J181="NOT AVAILABLE","",J181)="",12,IF(OR(ISNUMBER(SEARCH("Transactional",IF(J181="NOT AVAILABLE","",J181))),ISNUMBER(SEARCH("Commercial",IF(J181="NOT AVAILABLE","",J181)))),25,IF(ISNUMBER(SEARCH("Informational",IF(J181="NOT AVAILABLE","",J181))),10,IF(ISNUMBER(SEARCH("Navigational",IF(J181="NOT AVAILABLE","",J181))),0,12))))+IF(ISNUMBER(G181),MIN(30,ROUND(30*LOG10(G181+1)/4,1)),0)+IF(ISNUMBER(H181),ROUND(25*(100-H181)/100,1),12.5)+20,0)</f>
        <v/>
      </c>
      <c r="O181">
        <f>ROUND(N181*M181/100,0)</f>
        <v/>
      </c>
      <c r="P181" s="5" t="inlineStr">
        <is>
          <t>MA 30</t>
        </is>
      </c>
      <c r="Q181" s="5" t="inlineStr">
        <is>
          <t>None detected</t>
        </is>
      </c>
    </row>
    <row r="182">
      <c r="A182" s="3" t="inlineStr">
        <is>
          <t>https://codesommet.com/services/saas-platform-development</t>
        </is>
      </c>
      <c r="B182" s="5" t="inlineStr">
        <is>
          <t>Développement de Plateformes SaaS &amp; B2B qui génèrent des TABLEAUX DE BORD UTILIS</t>
        </is>
      </c>
      <c r="C182" t="inlineStr">
        <is>
          <t>Morocco</t>
        </is>
      </c>
      <c r="D182" t="inlineStr">
        <is>
          <t>ma</t>
        </is>
      </c>
      <c r="E182" t="inlineStr">
        <is>
          <t>SUPPORTING</t>
        </is>
      </c>
      <c r="F182" t="inlineStr">
        <is>
          <t>développement application web</t>
        </is>
      </c>
      <c r="G182" t="n">
        <v>30</v>
      </c>
      <c r="H182" t="inlineStr">
        <is>
          <t>NOT AVAILABLE</t>
        </is>
      </c>
      <c r="I182" t="n">
        <v>0</v>
      </c>
      <c r="J182" t="inlineStr">
        <is>
          <t>NOT AVAILABLE</t>
        </is>
      </c>
      <c r="K182" t="inlineStr">
        <is>
          <t>MEASURED</t>
        </is>
      </c>
      <c r="L182" t="inlineStr">
        <is>
          <t>P3</t>
        </is>
      </c>
      <c r="M182" t="n">
        <v>65</v>
      </c>
      <c r="N182">
        <f>ROUND(IF(IF(J182="NOT AVAILABLE","",J182)="",12,IF(OR(ISNUMBER(SEARCH("Transactional",IF(J182="NOT AVAILABLE","",J182))),ISNUMBER(SEARCH("Commercial",IF(J182="NOT AVAILABLE","",J182)))),25,IF(ISNUMBER(SEARCH("Informational",IF(J182="NOT AVAILABLE","",J182))),10,IF(ISNUMBER(SEARCH("Navigational",IF(J182="NOT AVAILABLE","",J182))),0,12))))+IF(ISNUMBER(G182),MIN(30,ROUND(30*LOG10(G182+1)/4,1)),0)+IF(ISNUMBER(H182),ROUND(25*(100-H182)/100,1),12.5)+20,0)</f>
        <v/>
      </c>
      <c r="O182">
        <f>ROUND(N182*M182/100,0)</f>
        <v/>
      </c>
      <c r="P182" s="5" t="inlineStr">
        <is>
          <t>MA 30</t>
        </is>
      </c>
      <c r="Q182" s="5" t="inlineStr">
        <is>
          <t>None detected</t>
        </is>
      </c>
    </row>
    <row r="183">
      <c r="A183" s="3" t="inlineStr">
        <is>
          <t>https://codesommet.com/services/saas-platform-development</t>
        </is>
      </c>
      <c r="B183" s="5" t="inlineStr">
        <is>
          <t>Développement de Plateformes SaaS &amp; B2B qui génèrent des TABLEAUX DE BORD UTILIS</t>
        </is>
      </c>
      <c r="C183" t="inlineStr">
        <is>
          <t>France</t>
        </is>
      </c>
      <c r="D183" t="inlineStr">
        <is>
          <t>fr</t>
        </is>
      </c>
      <c r="E183" t="inlineStr">
        <is>
          <t>NOT RECOMMENDED</t>
        </is>
      </c>
      <c r="F183" t="inlineStr">
        <is>
          <t>créer un saas</t>
        </is>
      </c>
      <c r="G183" t="n">
        <v>170</v>
      </c>
      <c r="H183" t="n">
        <v>10</v>
      </c>
      <c r="I183" t="n">
        <v>2.79</v>
      </c>
      <c r="J183" t="inlineStr">
        <is>
          <t>Informational</t>
        </is>
      </c>
      <c r="K183" t="inlineStr">
        <is>
          <t>MEASURED</t>
        </is>
      </c>
      <c r="L183" t="inlineStr">
        <is>
          <t>P4</t>
        </is>
      </c>
      <c r="M183" t="n">
        <v>0</v>
      </c>
      <c r="N183">
        <f>ROUND(IF(IF(J183="NOT AVAILABLE","",J183)="",12,IF(OR(ISNUMBER(SEARCH("Transactional",IF(J183="NOT AVAILABLE","",J183))),ISNUMBER(SEARCH("Commercial",IF(J183="NOT AVAILABLE","",J183)))),25,IF(ISNUMBER(SEARCH("Informational",IF(J183="NOT AVAILABLE","",J183))),10,IF(ISNUMBER(SEARCH("Navigational",IF(J183="NOT AVAILABLE","",J183))),0,12))))+IF(ISNUMBER(G183),MIN(30,ROUND(30*LOG10(G183+1)/4,1)),0)+IF(ISNUMBER(H183),ROUND(25*(100-H183)/100,1),12.5)+14,0)</f>
        <v/>
      </c>
      <c r="O183">
        <f>ROUND(N183*M183/100,0)</f>
        <v/>
      </c>
      <c r="P183" s="5" t="inlineStr">
        <is>
          <t>Belongs to the SaaS blog article (how-to intent)</t>
        </is>
      </c>
      <c r="Q183" s="5" t="inlineStr">
        <is>
          <t>n/a (not targeted)</t>
        </is>
      </c>
    </row>
    <row r="184">
      <c r="A184" s="3" t="inlineStr">
        <is>
          <t>https://codesommet.com/services/saas-platform-development</t>
        </is>
      </c>
      <c r="B184" s="5" t="inlineStr">
        <is>
          <t>Développement de Plateformes SaaS &amp; B2B qui génèrent des TABLEAUX DE BORD UTILIS</t>
        </is>
      </c>
      <c r="C184" t="inlineStr">
        <is>
          <t>France</t>
        </is>
      </c>
      <c r="D184" t="inlineStr">
        <is>
          <t>fr</t>
        </is>
      </c>
      <c r="E184" t="inlineStr">
        <is>
          <t>NOT RECOMMENDED</t>
        </is>
      </c>
      <c r="F184" t="inlineStr">
        <is>
          <t>mvp saas</t>
        </is>
      </c>
      <c r="G184" t="n">
        <v>110</v>
      </c>
      <c r="H184" t="n">
        <v>13</v>
      </c>
      <c r="I184" t="n">
        <v>1.98</v>
      </c>
      <c r="J184" t="inlineStr">
        <is>
          <t>Informational</t>
        </is>
      </c>
      <c r="K184" t="inlineStr">
        <is>
          <t>MEASURED</t>
        </is>
      </c>
      <c r="L184" t="inlineStr">
        <is>
          <t>P4</t>
        </is>
      </c>
      <c r="M184" t="n">
        <v>0</v>
      </c>
      <c r="N184">
        <f>ROUND(IF(IF(J184="NOT AVAILABLE","",J184)="",12,IF(OR(ISNUMBER(SEARCH("Transactional",IF(J184="NOT AVAILABLE","",J184))),ISNUMBER(SEARCH("Commercial",IF(J184="NOT AVAILABLE","",J184)))),25,IF(ISNUMBER(SEARCH("Informational",IF(J184="NOT AVAILABLE","",J184))),10,IF(ISNUMBER(SEARCH("Navigational",IF(J184="NOT AVAILABLE","",J184))),0,12))))+IF(ISNUMBER(G184),MIN(30,ROUND(30*LOG10(G184+1)/4,1)),0)+IF(ISNUMBER(H184),ROUND(25*(100-H184)/100,1),12.5)+14,0)</f>
        <v/>
      </c>
      <c r="O184">
        <f>ROUND(N184*M184/100,0)</f>
        <v/>
      </c>
      <c r="P184" s="5" t="inlineStr">
        <is>
          <t>Belongs to the SaaS blog article</t>
        </is>
      </c>
      <c r="Q184" s="5" t="inlineStr">
        <is>
          <t>n/a (not targeted)</t>
        </is>
      </c>
    </row>
    <row r="185">
      <c r="A185" s="3" t="inlineStr">
        <is>
          <t>https://codesommet.com/services/seo-maroc</t>
        </is>
      </c>
      <c r="B185" s="5" t="inlineStr">
        <is>
          <t>Agence SEO Maroc : un Référencement Naturel Google qui génère des DEMANDES DE DE</t>
        </is>
      </c>
      <c r="C185" t="inlineStr">
        <is>
          <t>Morocco</t>
        </is>
      </c>
      <c r="D185" t="inlineStr">
        <is>
          <t>ma</t>
        </is>
      </c>
      <c r="E185" t="inlineStr">
        <is>
          <t>PRIMARY</t>
        </is>
      </c>
      <c r="F185" t="inlineStr">
        <is>
          <t>agence seo maroc</t>
        </is>
      </c>
      <c r="G185" t="n">
        <v>880</v>
      </c>
      <c r="H185" t="n">
        <v>44</v>
      </c>
      <c r="I185" t="n">
        <v>2.48</v>
      </c>
      <c r="J185" t="inlineStr">
        <is>
          <t>Commercial</t>
        </is>
      </c>
      <c r="K185" t="inlineStr">
        <is>
          <t>MEASURED</t>
        </is>
      </c>
      <c r="L185" t="inlineStr">
        <is>
          <t>P1</t>
        </is>
      </c>
      <c r="M185" t="n">
        <v>100</v>
      </c>
      <c r="N185">
        <f>ROUND(IF(IF(J185="NOT AVAILABLE","",J185)="",12,IF(OR(ISNUMBER(SEARCH("Transactional",IF(J185="NOT AVAILABLE","",J185))),ISNUMBER(SEARCH("Commercial",IF(J185="NOT AVAILABLE","",J185)))),25,IF(ISNUMBER(SEARCH("Informational",IF(J185="NOT AVAILABLE","",J185))),10,IF(ISNUMBER(SEARCH("Navigational",IF(J185="NOT AVAILABLE","",J185))),0,12))))+IF(ISNUMBER(G185),MIN(30,ROUND(30*LOG10(G185+1)/4,1)),0)+IF(ISNUMBER(H185),ROUND(25*(100-H185)/100,1),12.5)+20,0)</f>
        <v/>
      </c>
      <c r="O185">
        <f>ROUND(N185*M185/100,0)</f>
        <v/>
      </c>
      <c r="P185" s="5" t="inlineStr">
        <is>
          <t>MA 880, KD 44, CPC 2.48 (highest CPC) - page created for this term; competitors rank with dedicated service pages</t>
        </is>
      </c>
      <c r="Q185" s="5" t="inlineStr">
        <is>
          <t>None detected</t>
        </is>
      </c>
    </row>
    <row r="186">
      <c r="A186" s="3" t="inlineStr">
        <is>
          <t>https://codesommet.com/services/seo-maroc</t>
        </is>
      </c>
      <c r="B186" s="5" t="inlineStr">
        <is>
          <t>Agence SEO Maroc : un Référencement Naturel Google qui génère des DEMANDES DE DE</t>
        </is>
      </c>
      <c r="C186" t="inlineStr">
        <is>
          <t>Morocco</t>
        </is>
      </c>
      <c r="D186" t="inlineStr">
        <is>
          <t>ma</t>
        </is>
      </c>
      <c r="E186" t="inlineStr">
        <is>
          <t>SECONDARY</t>
        </is>
      </c>
      <c r="F186" t="inlineStr">
        <is>
          <t>seo maroc</t>
        </is>
      </c>
      <c r="G186" t="n">
        <v>320</v>
      </c>
      <c r="H186" t="n">
        <v>41</v>
      </c>
      <c r="I186" t="n">
        <v>0.83</v>
      </c>
      <c r="J186" t="inlineStr">
        <is>
          <t>Commercial</t>
        </is>
      </c>
      <c r="K186" t="inlineStr">
        <is>
          <t>MEASURED</t>
        </is>
      </c>
      <c r="L186" t="inlineStr">
        <is>
          <t>P1</t>
        </is>
      </c>
      <c r="M186" t="n">
        <v>85</v>
      </c>
      <c r="N186">
        <f>ROUND(IF(IF(J186="NOT AVAILABLE","",J186)="",12,IF(OR(ISNUMBER(SEARCH("Transactional",IF(J186="NOT AVAILABLE","",J186))),ISNUMBER(SEARCH("Commercial",IF(J186="NOT AVAILABLE","",J186)))),25,IF(ISNUMBER(SEARCH("Informational",IF(J186="NOT AVAILABLE","",J186))),10,IF(ISNUMBER(SEARCH("Navigational",IF(J186="NOT AVAILABLE","",J186))),0,12))))+IF(ISNUMBER(G186),MIN(30,ROUND(30*LOG10(G186+1)/4,1)),0)+IF(ISNUMBER(H186),ROUND(25*(100-H186)/100,1),12.5)+20,0)</f>
        <v/>
      </c>
      <c r="O186">
        <f>ROUND(N186*M186/100,0)</f>
        <v/>
      </c>
      <c r="P186" s="5" t="inlineStr">
        <is>
          <t>320, KD 41</t>
        </is>
      </c>
      <c r="Q186" s="5" t="inlineStr">
        <is>
          <t>None detected</t>
        </is>
      </c>
    </row>
    <row r="187">
      <c r="A187" s="3" t="inlineStr">
        <is>
          <t>https://codesommet.com/services/seo-maroc</t>
        </is>
      </c>
      <c r="B187" s="5" t="inlineStr">
        <is>
          <t>Agence SEO Maroc : un Référencement Naturel Google qui génère des DEMANDES DE DE</t>
        </is>
      </c>
      <c r="C187" t="inlineStr">
        <is>
          <t>Morocco</t>
        </is>
      </c>
      <c r="D187" t="inlineStr">
        <is>
          <t>ma</t>
        </is>
      </c>
      <c r="E187" t="inlineStr">
        <is>
          <t>SECONDARY</t>
        </is>
      </c>
      <c r="F187" t="inlineStr">
        <is>
          <t>agence seo marrakech</t>
        </is>
      </c>
      <c r="G187" t="n">
        <v>320</v>
      </c>
      <c r="H187" t="n">
        <v>20</v>
      </c>
      <c r="I187" t="n">
        <v>6.43</v>
      </c>
      <c r="J187" t="inlineStr">
        <is>
          <t>Commercial</t>
        </is>
      </c>
      <c r="K187" t="inlineStr">
        <is>
          <t>MEASURED</t>
        </is>
      </c>
      <c r="L187" t="inlineStr">
        <is>
          <t>P1</t>
        </is>
      </c>
      <c r="M187" t="n">
        <v>85</v>
      </c>
      <c r="N187">
        <f>ROUND(IF(IF(J187="NOT AVAILABLE","",J187)="",12,IF(OR(ISNUMBER(SEARCH("Transactional",IF(J187="NOT AVAILABLE","",J187))),ISNUMBER(SEARCH("Commercial",IF(J187="NOT AVAILABLE","",J187)))),25,IF(ISNUMBER(SEARCH("Informational",IF(J187="NOT AVAILABLE","",J187))),10,IF(ISNUMBER(SEARCH("Navigational",IF(J187="NOT AVAILABLE","",J187))),0,12))))+IF(ISNUMBER(G187),MIN(30,ROUND(30*LOG10(G187+1)/4,1)),0)+IF(ISNUMBER(H187),ROUND(25*(100-H187)/100,1),12.5)+20,0)</f>
        <v/>
      </c>
      <c r="O187">
        <f>ROUND(N187*M187/100,0)</f>
        <v/>
      </c>
      <c r="P187" s="5" t="inlineStr">
        <is>
          <t>320, KD 20 - local section; city page must not compete</t>
        </is>
      </c>
      <c r="Q187" s="5" t="inlineStr">
        <is>
          <t>None detected</t>
        </is>
      </c>
    </row>
    <row r="188">
      <c r="A188" s="3" t="inlineStr">
        <is>
          <t>https://codesommet.com/services/seo-maroc</t>
        </is>
      </c>
      <c r="B188" s="5" t="inlineStr">
        <is>
          <t>Agence SEO Maroc : un Référencement Naturel Google qui génère des DEMANDES DE DE</t>
        </is>
      </c>
      <c r="C188" t="inlineStr">
        <is>
          <t>Morocco</t>
        </is>
      </c>
      <c r="D188" t="inlineStr">
        <is>
          <t>ma</t>
        </is>
      </c>
      <c r="E188" t="inlineStr">
        <is>
          <t>SECONDARY</t>
        </is>
      </c>
      <c r="F188" t="inlineStr">
        <is>
          <t>agence seo casablanca</t>
        </is>
      </c>
      <c r="G188" t="n">
        <v>170</v>
      </c>
      <c r="H188" t="inlineStr">
        <is>
          <t>NOT AVAILABLE</t>
        </is>
      </c>
      <c r="I188" t="n">
        <v>1.18</v>
      </c>
      <c r="J188" t="inlineStr">
        <is>
          <t>NOT AVAILABLE</t>
        </is>
      </c>
      <c r="K188" t="inlineStr">
        <is>
          <t>MEASURED</t>
        </is>
      </c>
      <c r="L188" t="inlineStr">
        <is>
          <t>P1</t>
        </is>
      </c>
      <c r="M188" t="n">
        <v>85</v>
      </c>
      <c r="N188">
        <f>ROUND(IF(IF(J188="NOT AVAILABLE","",J188)="",12,IF(OR(ISNUMBER(SEARCH("Transactional",IF(J188="NOT AVAILABLE","",J188))),ISNUMBER(SEARCH("Commercial",IF(J188="NOT AVAILABLE","",J188)))),25,IF(ISNUMBER(SEARCH("Informational",IF(J188="NOT AVAILABLE","",J188))),10,IF(ISNUMBER(SEARCH("Navigational",IF(J188="NOT AVAILABLE","",J188))),0,12))))+IF(ISNUMBER(G188),MIN(30,ROUND(30*LOG10(G188+1)/4,1)),0)+IF(ISNUMBER(H188),ROUND(25*(100-H188)/100,1),12.5)+20,0)</f>
        <v/>
      </c>
      <c r="O188">
        <f>ROUND(N188*M188/100,0)</f>
        <v/>
      </c>
      <c r="P188" s="5" t="inlineStr">
        <is>
          <t>170 (KD n/a)</t>
        </is>
      </c>
      <c r="Q188" s="5" t="inlineStr">
        <is>
          <t>None detected</t>
        </is>
      </c>
    </row>
    <row r="189">
      <c r="A189" s="3" t="inlineStr">
        <is>
          <t>https://codesommet.com/services/seo-maroc</t>
        </is>
      </c>
      <c r="B189" s="5" t="inlineStr">
        <is>
          <t>Agence SEO Maroc : un Référencement Naturel Google qui génère des DEMANDES DE DE</t>
        </is>
      </c>
      <c r="C189" t="inlineStr">
        <is>
          <t>France</t>
        </is>
      </c>
      <c r="D189" t="inlineStr">
        <is>
          <t>fr</t>
        </is>
      </c>
      <c r="E189" t="inlineStr">
        <is>
          <t>SECONDARY</t>
        </is>
      </c>
      <c r="F189" t="inlineStr">
        <is>
          <t>agence seo maroc</t>
        </is>
      </c>
      <c r="G189" t="n">
        <v>90</v>
      </c>
      <c r="H189" t="n">
        <v>25</v>
      </c>
      <c r="I189" t="n">
        <v>0</v>
      </c>
      <c r="J189" t="inlineStr">
        <is>
          <t>Commercial</t>
        </is>
      </c>
      <c r="K189" t="inlineStr">
        <is>
          <t>MEASURED</t>
        </is>
      </c>
      <c r="L189" t="inlineStr">
        <is>
          <t>P1</t>
        </is>
      </c>
      <c r="M189" t="n">
        <v>85</v>
      </c>
      <c r="N189">
        <f>ROUND(IF(IF(J189="NOT AVAILABLE","",J189)="",12,IF(OR(ISNUMBER(SEARCH("Transactional",IF(J189="NOT AVAILABLE","",J189))),ISNUMBER(SEARCH("Commercial",IF(J189="NOT AVAILABLE","",J189)))),25,IF(ISNUMBER(SEARCH("Informational",IF(J189="NOT AVAILABLE","",J189))),10,IF(ISNUMBER(SEARCH("Navigational",IF(J189="NOT AVAILABLE","",J189))),0,12))))+IF(ISNUMBER(G189),MIN(30,ROUND(30*LOG10(G189+1)/4,1)),0)+IF(ISNUMBER(H189),ROUND(25*(100-H189)/100,1),12.5)+14,0)</f>
        <v/>
      </c>
      <c r="O189">
        <f>ROUND(N189*M189/100,0)</f>
        <v/>
      </c>
      <c r="P189" s="5" t="inlineStr">
        <is>
          <t>FR 90, KD 25 - French companies looking for Moroccan SEO providers</t>
        </is>
      </c>
      <c r="Q189" s="5" t="inlineStr">
        <is>
          <t>None detected</t>
        </is>
      </c>
    </row>
    <row r="190">
      <c r="A190" s="3" t="inlineStr">
        <is>
          <t>https://codesommet.com/services/seo-maroc</t>
        </is>
      </c>
      <c r="B190" s="5" t="inlineStr">
        <is>
          <t>Agence SEO Maroc : un Référencement Naturel Google qui génère des DEMANDES DE DE</t>
        </is>
      </c>
      <c r="C190" t="inlineStr">
        <is>
          <t>Morocco</t>
        </is>
      </c>
      <c r="D190" t="inlineStr">
        <is>
          <t>ma</t>
        </is>
      </c>
      <c r="E190" t="inlineStr">
        <is>
          <t>SECONDARY</t>
        </is>
      </c>
      <c r="F190" t="inlineStr">
        <is>
          <t>consultant seo maroc</t>
        </is>
      </c>
      <c r="G190" t="n">
        <v>70</v>
      </c>
      <c r="H190" t="inlineStr">
        <is>
          <t>NOT AVAILABLE</t>
        </is>
      </c>
      <c r="I190" t="n">
        <v>0</v>
      </c>
      <c r="J190" t="inlineStr">
        <is>
          <t>NOT AVAILABLE</t>
        </is>
      </c>
      <c r="K190" t="inlineStr">
        <is>
          <t>MEASURED</t>
        </is>
      </c>
      <c r="L190" t="inlineStr">
        <is>
          <t>P1</t>
        </is>
      </c>
      <c r="M190" t="n">
        <v>85</v>
      </c>
      <c r="N190">
        <f>ROUND(IF(IF(J190="NOT AVAILABLE","",J190)="",12,IF(OR(ISNUMBER(SEARCH("Transactional",IF(J190="NOT AVAILABLE","",J190))),ISNUMBER(SEARCH("Commercial",IF(J190="NOT AVAILABLE","",J190)))),25,IF(ISNUMBER(SEARCH("Informational",IF(J190="NOT AVAILABLE","",J190))),10,IF(ISNUMBER(SEARCH("Navigational",IF(J190="NOT AVAILABLE","",J190))),0,12))))+IF(ISNUMBER(G190),MIN(30,ROUND(30*LOG10(G190+1)/4,1)),0)+IF(ISNUMBER(H190),ROUND(25*(100-H190)/100,1),12.5)+20,0)</f>
        <v/>
      </c>
      <c r="O190">
        <f>ROUND(N190*M190/100,0)</f>
        <v/>
      </c>
      <c r="P190" s="5" t="inlineStr">
        <is>
          <t>70</t>
        </is>
      </c>
      <c r="Q190" s="5" t="inlineStr">
        <is>
          <t>None detected</t>
        </is>
      </c>
    </row>
    <row r="191">
      <c r="A191" s="3" t="inlineStr">
        <is>
          <t>https://codesommet.com/services/seo-maroc</t>
        </is>
      </c>
      <c r="B191" s="5" t="inlineStr">
        <is>
          <t>Agence SEO Maroc : un Référencement Naturel Google qui génère des DEMANDES DE DE</t>
        </is>
      </c>
      <c r="C191" t="inlineStr">
        <is>
          <t>Morocco</t>
        </is>
      </c>
      <c r="D191" t="inlineStr">
        <is>
          <t>ma</t>
        </is>
      </c>
      <c r="E191" t="inlineStr">
        <is>
          <t>FAQ</t>
        </is>
      </c>
      <c r="F191" t="inlineStr">
        <is>
          <t>audit seo gratuit</t>
        </is>
      </c>
      <c r="G191" t="n">
        <v>20</v>
      </c>
      <c r="H191" t="inlineStr">
        <is>
          <t>NOT AVAILABLE</t>
        </is>
      </c>
      <c r="I191" t="n">
        <v>0.11</v>
      </c>
      <c r="J191" t="inlineStr">
        <is>
          <t>NOT AVAILABLE</t>
        </is>
      </c>
      <c r="K191" t="inlineStr">
        <is>
          <t>MEASURED</t>
        </is>
      </c>
      <c r="L191" t="inlineStr">
        <is>
          <t>P1</t>
        </is>
      </c>
      <c r="M191" t="n">
        <v>70</v>
      </c>
      <c r="N191">
        <f>ROUND(IF(IF(J191="NOT AVAILABLE","",J191)="",12,IF(OR(ISNUMBER(SEARCH("Transactional",IF(J191="NOT AVAILABLE","",J191))),ISNUMBER(SEARCH("Commercial",IF(J191="NOT AVAILABLE","",J191)))),25,IF(ISNUMBER(SEARCH("Informational",IF(J191="NOT AVAILABLE","",J191))),10,IF(ISNUMBER(SEARCH("Navigational",IF(J191="NOT AVAILABLE","",J191))),0,12))))+IF(ISNUMBER(G191),MIN(30,ROUND(30*LOG10(G191+1)/4,1)),0)+IF(ISNUMBER(H191),ROUND(25*(100-H191)/100,1),12.5)+20,0)</f>
        <v/>
      </c>
      <c r="O191">
        <f>ROUND(N191*M191/100,0)</f>
        <v/>
      </c>
      <c r="P191" s="5" t="inlineStr">
        <is>
          <t>20 (FR 1900) - link to /tools/website-analyzer</t>
        </is>
      </c>
      <c r="Q191" s="5" t="inlineStr">
        <is>
          <t>LOW: also SECONDARY on /tools/website-analyzer</t>
        </is>
      </c>
    </row>
    <row r="192">
      <c r="A192" s="3" t="inlineStr">
        <is>
          <t>https://codesommet.com/services/seo-maroc</t>
        </is>
      </c>
      <c r="B192" s="5" t="inlineStr">
        <is>
          <t>Agence SEO Maroc : un Référencement Naturel Google qui génère des DEMANDES DE DE</t>
        </is>
      </c>
      <c r="C192" t="inlineStr">
        <is>
          <t>Morocco</t>
        </is>
      </c>
      <c r="D192" t="inlineStr">
        <is>
          <t>ma</t>
        </is>
      </c>
      <c r="E192" t="inlineStr">
        <is>
          <t>FAQ</t>
        </is>
      </c>
      <c r="F192" t="inlineStr">
        <is>
          <t>qu'est ce que le seo</t>
        </is>
      </c>
      <c r="G192" t="n">
        <v>20</v>
      </c>
      <c r="H192" t="inlineStr">
        <is>
          <t>NOT AVAILABLE</t>
        </is>
      </c>
      <c r="I192" t="n">
        <v>0</v>
      </c>
      <c r="J192" t="inlineStr">
        <is>
          <t>NOT AVAILABLE</t>
        </is>
      </c>
      <c r="K192" t="inlineStr">
        <is>
          <t>MEASURED</t>
        </is>
      </c>
      <c r="L192" t="inlineStr">
        <is>
          <t>P1</t>
        </is>
      </c>
      <c r="M192" t="n">
        <v>70</v>
      </c>
      <c r="N192">
        <f>ROUND(IF(IF(J192="NOT AVAILABLE","",J192)="",12,IF(OR(ISNUMBER(SEARCH("Transactional",IF(J192="NOT AVAILABLE","",J192))),ISNUMBER(SEARCH("Commercial",IF(J192="NOT AVAILABLE","",J192)))),25,IF(ISNUMBER(SEARCH("Informational",IF(J192="NOT AVAILABLE","",J192))),10,IF(ISNUMBER(SEARCH("Navigational",IF(J192="NOT AVAILABLE","",J192))),0,12))))+IF(ISNUMBER(G192),MIN(30,ROUND(30*LOG10(G192+1)/4,1)),0)+IF(ISNUMBER(H192),ROUND(25*(100-H192)/100,1),12.5)+20,0)</f>
        <v/>
      </c>
      <c r="O192">
        <f>ROUND(N192*M192/100,0)</f>
        <v/>
      </c>
      <c r="P192" s="5" t="inlineStr">
        <is>
          <t>20</t>
        </is>
      </c>
      <c r="Q192" s="5" t="inlineStr">
        <is>
          <t>None detected</t>
        </is>
      </c>
    </row>
    <row r="193">
      <c r="A193" s="3" t="inlineStr">
        <is>
          <t>https://codesommet.com/services/seo-maroc</t>
        </is>
      </c>
      <c r="B193" s="5" t="inlineStr">
        <is>
          <t>Agence SEO Maroc : un Référencement Naturel Google qui génère des DEMANDES DE DE</t>
        </is>
      </c>
      <c r="C193" t="inlineStr">
        <is>
          <t>Morocco</t>
        </is>
      </c>
      <c r="D193" t="inlineStr">
        <is>
          <t>ma</t>
        </is>
      </c>
      <c r="E193" t="inlineStr">
        <is>
          <t>FAQ</t>
        </is>
      </c>
      <c r="F193" t="inlineStr">
        <is>
          <t>c'est quoi le seo</t>
        </is>
      </c>
      <c r="G193" t="n">
        <v>20</v>
      </c>
      <c r="H193" t="inlineStr">
        <is>
          <t>NOT AVAILABLE</t>
        </is>
      </c>
      <c r="I193" t="n">
        <v>0</v>
      </c>
      <c r="J193" t="inlineStr">
        <is>
          <t>NOT AVAILABLE</t>
        </is>
      </c>
      <c r="K193" t="inlineStr">
        <is>
          <t>MEASURED</t>
        </is>
      </c>
      <c r="L193" t="inlineStr">
        <is>
          <t>P1</t>
        </is>
      </c>
      <c r="M193" t="n">
        <v>70</v>
      </c>
      <c r="N193">
        <f>ROUND(IF(IF(J193="NOT AVAILABLE","",J193)="",12,IF(OR(ISNUMBER(SEARCH("Transactional",IF(J193="NOT AVAILABLE","",J193))),ISNUMBER(SEARCH("Commercial",IF(J193="NOT AVAILABLE","",J193)))),25,IF(ISNUMBER(SEARCH("Informational",IF(J193="NOT AVAILABLE","",J193))),10,IF(ISNUMBER(SEARCH("Navigational",IF(J193="NOT AVAILABLE","",J193))),0,12))))+IF(ISNUMBER(G193),MIN(30,ROUND(30*LOG10(G193+1)/4,1)),0)+IF(ISNUMBER(H193),ROUND(25*(100-H193)/100,1),12.5)+20,0)</f>
        <v/>
      </c>
      <c r="O193">
        <f>ROUND(N193*M193/100,0)</f>
        <v/>
      </c>
      <c r="P193" s="5" t="inlineStr">
        <is>
          <t>20</t>
        </is>
      </c>
      <c r="Q193" s="5" t="inlineStr">
        <is>
          <t>None detected</t>
        </is>
      </c>
    </row>
    <row r="194">
      <c r="A194" s="3" t="inlineStr">
        <is>
          <t>https://codesommet.com/services/seo-maroc</t>
        </is>
      </c>
      <c r="B194" s="5" t="inlineStr">
        <is>
          <t>Agence SEO Maroc : un Référencement Naturel Google qui génère des DEMANDES DE DE</t>
        </is>
      </c>
      <c r="C194" t="inlineStr">
        <is>
          <t>Morocco</t>
        </is>
      </c>
      <c r="D194" t="inlineStr">
        <is>
          <t>ma</t>
        </is>
      </c>
      <c r="E194" t="inlineStr">
        <is>
          <t>FAQ</t>
        </is>
      </c>
      <c r="F194" t="inlineStr">
        <is>
          <t>comment faire du seo</t>
        </is>
      </c>
      <c r="G194" t="n">
        <v>20</v>
      </c>
      <c r="H194" t="inlineStr">
        <is>
          <t>NOT AVAILABLE</t>
        </is>
      </c>
      <c r="I194" t="n">
        <v>0</v>
      </c>
      <c r="J194" t="inlineStr">
        <is>
          <t>NOT AVAILABLE</t>
        </is>
      </c>
      <c r="K194" t="inlineStr">
        <is>
          <t>MEASURED</t>
        </is>
      </c>
      <c r="L194" t="inlineStr">
        <is>
          <t>P1</t>
        </is>
      </c>
      <c r="M194" t="n">
        <v>70</v>
      </c>
      <c r="N194">
        <f>ROUND(IF(IF(J194="NOT AVAILABLE","",J194)="",12,IF(OR(ISNUMBER(SEARCH("Transactional",IF(J194="NOT AVAILABLE","",J194))),ISNUMBER(SEARCH("Commercial",IF(J194="NOT AVAILABLE","",J194)))),25,IF(ISNUMBER(SEARCH("Informational",IF(J194="NOT AVAILABLE","",J194))),10,IF(ISNUMBER(SEARCH("Navigational",IF(J194="NOT AVAILABLE","",J194))),0,12))))+IF(ISNUMBER(G194),MIN(30,ROUND(30*LOG10(G194+1)/4,1)),0)+IF(ISNUMBER(H194),ROUND(25*(100-H194)/100,1),12.5)+20,0)</f>
        <v/>
      </c>
      <c r="O194">
        <f>ROUND(N194*M194/100,0)</f>
        <v/>
      </c>
      <c r="P194" s="5" t="inlineStr">
        <is>
          <t>20</t>
        </is>
      </c>
      <c r="Q194" s="5" t="inlineStr">
        <is>
          <t>None detected</t>
        </is>
      </c>
    </row>
    <row r="195">
      <c r="A195" s="3" t="inlineStr">
        <is>
          <t>https://codesommet.com/services/seo-maroc</t>
        </is>
      </c>
      <c r="B195" s="5" t="inlineStr">
        <is>
          <t>Agence SEO Maroc : un Référencement Naturel Google qui génère des DEMANDES DE DE</t>
        </is>
      </c>
      <c r="C195" t="inlineStr">
        <is>
          <t>Morocco</t>
        </is>
      </c>
      <c r="D195" t="inlineStr">
        <is>
          <t>ma</t>
        </is>
      </c>
      <c r="E195" t="inlineStr">
        <is>
          <t>SUPPORTING</t>
        </is>
      </c>
      <c r="F195" t="inlineStr">
        <is>
          <t>agence seo</t>
        </is>
      </c>
      <c r="G195" t="n">
        <v>140</v>
      </c>
      <c r="H195" t="inlineStr">
        <is>
          <t>NOT AVAILABLE</t>
        </is>
      </c>
      <c r="I195" t="n">
        <v>0.99</v>
      </c>
      <c r="J195" t="inlineStr">
        <is>
          <t>NOT AVAILABLE</t>
        </is>
      </c>
      <c r="K195" t="inlineStr">
        <is>
          <t>MEASURED</t>
        </is>
      </c>
      <c r="L195" t="inlineStr">
        <is>
          <t>P3</t>
        </is>
      </c>
      <c r="M195" t="n">
        <v>65</v>
      </c>
      <c r="N195">
        <f>ROUND(IF(IF(J195="NOT AVAILABLE","",J195)="",12,IF(OR(ISNUMBER(SEARCH("Transactional",IF(J195="NOT AVAILABLE","",J195))),ISNUMBER(SEARCH("Commercial",IF(J195="NOT AVAILABLE","",J195)))),25,IF(ISNUMBER(SEARCH("Informational",IF(J195="NOT AVAILABLE","",J195))),10,IF(ISNUMBER(SEARCH("Navigational",IF(J195="NOT AVAILABLE","",J195))),0,12))))+IF(ISNUMBER(G195),MIN(30,ROUND(30*LOG10(G195+1)/4,1)),0)+IF(ISNUMBER(H195),ROUND(25*(100-H195)/100,1),12.5)+20,0)</f>
        <v/>
      </c>
      <c r="O195">
        <f>ROUND(N195*M195/100,0)</f>
        <v/>
      </c>
      <c r="P195" s="5" t="inlineStr">
        <is>
          <t>140</t>
        </is>
      </c>
      <c r="Q195" s="5" t="inlineStr">
        <is>
          <t>None detected</t>
        </is>
      </c>
    </row>
    <row r="196">
      <c r="A196" s="3" t="inlineStr">
        <is>
          <t>https://codesommet.com/services/seo-maroc</t>
        </is>
      </c>
      <c r="B196" s="5" t="inlineStr">
        <is>
          <t>Agence SEO Maroc : un Référencement Naturel Google qui génère des DEMANDES DE DE</t>
        </is>
      </c>
      <c r="C196" t="inlineStr">
        <is>
          <t>Morocco</t>
        </is>
      </c>
      <c r="D196" t="inlineStr">
        <is>
          <t>ma</t>
        </is>
      </c>
      <c r="E196" t="inlineStr">
        <is>
          <t>SUPPORTING</t>
        </is>
      </c>
      <c r="F196" t="inlineStr">
        <is>
          <t>seo marrakech</t>
        </is>
      </c>
      <c r="G196" t="n">
        <v>90</v>
      </c>
      <c r="H196" t="inlineStr">
        <is>
          <t>NOT AVAILABLE</t>
        </is>
      </c>
      <c r="I196" t="n">
        <v>1.35</v>
      </c>
      <c r="J196" t="inlineStr">
        <is>
          <t>NOT AVAILABLE</t>
        </is>
      </c>
      <c r="K196" t="inlineStr">
        <is>
          <t>MEASURED</t>
        </is>
      </c>
      <c r="L196" t="inlineStr">
        <is>
          <t>P3</t>
        </is>
      </c>
      <c r="M196" t="n">
        <v>65</v>
      </c>
      <c r="N196">
        <f>ROUND(IF(IF(J196="NOT AVAILABLE","",J196)="",12,IF(OR(ISNUMBER(SEARCH("Transactional",IF(J196="NOT AVAILABLE","",J196))),ISNUMBER(SEARCH("Commercial",IF(J196="NOT AVAILABLE","",J196)))),25,IF(ISNUMBER(SEARCH("Informational",IF(J196="NOT AVAILABLE","",J196))),10,IF(ISNUMBER(SEARCH("Navigational",IF(J196="NOT AVAILABLE","",J196))),0,12))))+IF(ISNUMBER(G196),MIN(30,ROUND(30*LOG10(G196+1)/4,1)),0)+IF(ISNUMBER(H196),ROUND(25*(100-H196)/100,1),12.5)+20,0)</f>
        <v/>
      </c>
      <c r="O196">
        <f>ROUND(N196*M196/100,0)</f>
        <v/>
      </c>
      <c r="P196" s="5" t="inlineStr">
        <is>
          <t>90</t>
        </is>
      </c>
      <c r="Q196" s="5" t="inlineStr">
        <is>
          <t>None detected</t>
        </is>
      </c>
    </row>
    <row r="197">
      <c r="A197" s="3" t="inlineStr">
        <is>
          <t>https://codesommet.com/services/seo-maroc</t>
        </is>
      </c>
      <c r="B197" s="5" t="inlineStr">
        <is>
          <t>Agence SEO Maroc : un Référencement Naturel Google qui génère des DEMANDES DE DE</t>
        </is>
      </c>
      <c r="C197" t="inlineStr">
        <is>
          <t>Morocco</t>
        </is>
      </c>
      <c r="D197" t="inlineStr">
        <is>
          <t>ma</t>
        </is>
      </c>
      <c r="E197" t="inlineStr">
        <is>
          <t>SUPPORTING</t>
        </is>
      </c>
      <c r="F197" t="inlineStr">
        <is>
          <t>référencement naturel</t>
        </is>
      </c>
      <c r="G197" t="n">
        <v>40</v>
      </c>
      <c r="H197" t="inlineStr">
        <is>
          <t>NOT AVAILABLE</t>
        </is>
      </c>
      <c r="I197" t="n">
        <v>0.17</v>
      </c>
      <c r="J197" t="inlineStr">
        <is>
          <t>NOT AVAILABLE</t>
        </is>
      </c>
      <c r="K197" t="inlineStr">
        <is>
          <t>MEASURED</t>
        </is>
      </c>
      <c r="L197" t="inlineStr">
        <is>
          <t>P3</t>
        </is>
      </c>
      <c r="M197" t="n">
        <v>65</v>
      </c>
      <c r="N197">
        <f>ROUND(IF(IF(J197="NOT AVAILABLE","",J197)="",12,IF(OR(ISNUMBER(SEARCH("Transactional",IF(J197="NOT AVAILABLE","",J197))),ISNUMBER(SEARCH("Commercial",IF(J197="NOT AVAILABLE","",J197)))),25,IF(ISNUMBER(SEARCH("Informational",IF(J197="NOT AVAILABLE","",J197))),10,IF(ISNUMBER(SEARCH("Navigational",IF(J197="NOT AVAILABLE","",J197))),0,12))))+IF(ISNUMBER(G197),MIN(30,ROUND(30*LOG10(G197+1)/4,1)),0)+IF(ISNUMBER(H197),ROUND(25*(100-H197)/100,1),12.5)+20,0)</f>
        <v/>
      </c>
      <c r="O197">
        <f>ROUND(N197*M197/100,0)</f>
        <v/>
      </c>
      <c r="P197" s="5" t="inlineStr">
        <is>
          <t>40</t>
        </is>
      </c>
      <c r="Q197" s="5" t="inlineStr">
        <is>
          <t>None detected</t>
        </is>
      </c>
    </row>
    <row r="198">
      <c r="A198" s="3" t="inlineStr">
        <is>
          <t>https://codesommet.com/services/seo-maroc</t>
        </is>
      </c>
      <c r="B198" s="5" t="inlineStr">
        <is>
          <t>Agence SEO Maroc : un Référencement Naturel Google qui génère des DEMANDES DE DE</t>
        </is>
      </c>
      <c r="C198" t="inlineStr">
        <is>
          <t>Morocco</t>
        </is>
      </c>
      <c r="D198" t="inlineStr">
        <is>
          <t>ma</t>
        </is>
      </c>
      <c r="E198" t="inlineStr">
        <is>
          <t>SUPPORTING</t>
        </is>
      </c>
      <c r="F198" t="inlineStr">
        <is>
          <t>référencement naturel maroc</t>
        </is>
      </c>
      <c r="G198" t="n">
        <v>30</v>
      </c>
      <c r="H198" t="inlineStr">
        <is>
          <t>NOT AVAILABLE</t>
        </is>
      </c>
      <c r="I198" t="n">
        <v>0</v>
      </c>
      <c r="J198" t="inlineStr">
        <is>
          <t>NOT AVAILABLE</t>
        </is>
      </c>
      <c r="K198" t="inlineStr">
        <is>
          <t>MEASURED</t>
        </is>
      </c>
      <c r="L198" t="inlineStr">
        <is>
          <t>P3</t>
        </is>
      </c>
      <c r="M198" t="n">
        <v>65</v>
      </c>
      <c r="N198">
        <f>ROUND(IF(IF(J198="NOT AVAILABLE","",J198)="",12,IF(OR(ISNUMBER(SEARCH("Transactional",IF(J198="NOT AVAILABLE","",J198))),ISNUMBER(SEARCH("Commercial",IF(J198="NOT AVAILABLE","",J198)))),25,IF(ISNUMBER(SEARCH("Informational",IF(J198="NOT AVAILABLE","",J198))),10,IF(ISNUMBER(SEARCH("Navigational",IF(J198="NOT AVAILABLE","",J198))),0,12))))+IF(ISNUMBER(G198),MIN(30,ROUND(30*LOG10(G198+1)/4,1)),0)+IF(ISNUMBER(H198),ROUND(25*(100-H198)/100,1),12.5)+20,0)</f>
        <v/>
      </c>
      <c r="O198">
        <f>ROUND(N198*M198/100,0)</f>
        <v/>
      </c>
      <c r="P198" s="5" t="inlineStr">
        <is>
          <t>30</t>
        </is>
      </c>
      <c r="Q198" s="5" t="inlineStr">
        <is>
          <t>None detected</t>
        </is>
      </c>
    </row>
    <row r="199">
      <c r="A199" s="3" t="inlineStr">
        <is>
          <t>https://codesommet.com/services/seo-maroc</t>
        </is>
      </c>
      <c r="B199" s="5" t="inlineStr">
        <is>
          <t>Agence SEO Maroc : un Référencement Naturel Google qui génère des DEMANDES DE DE</t>
        </is>
      </c>
      <c r="C199" t="inlineStr">
        <is>
          <t>Morocco</t>
        </is>
      </c>
      <c r="D199" t="inlineStr">
        <is>
          <t>ma</t>
        </is>
      </c>
      <c r="E199" t="inlineStr">
        <is>
          <t>SUPPORTING</t>
        </is>
      </c>
      <c r="F199" t="inlineStr">
        <is>
          <t>agence référencement maroc</t>
        </is>
      </c>
      <c r="G199" t="n">
        <v>20</v>
      </c>
      <c r="H199" t="inlineStr">
        <is>
          <t>NOT AVAILABLE</t>
        </is>
      </c>
      <c r="I199" t="n">
        <v>0</v>
      </c>
      <c r="J199" t="inlineStr">
        <is>
          <t>NOT AVAILABLE</t>
        </is>
      </c>
      <c r="K199" t="inlineStr">
        <is>
          <t>MEASURED</t>
        </is>
      </c>
      <c r="L199" t="inlineStr">
        <is>
          <t>P3</t>
        </is>
      </c>
      <c r="M199" t="n">
        <v>65</v>
      </c>
      <c r="N199">
        <f>ROUND(IF(IF(J199="NOT AVAILABLE","",J199)="",12,IF(OR(ISNUMBER(SEARCH("Transactional",IF(J199="NOT AVAILABLE","",J199))),ISNUMBER(SEARCH("Commercial",IF(J199="NOT AVAILABLE","",J199)))),25,IF(ISNUMBER(SEARCH("Informational",IF(J199="NOT AVAILABLE","",J199))),10,IF(ISNUMBER(SEARCH("Navigational",IF(J199="NOT AVAILABLE","",J199))),0,12))))+IF(ISNUMBER(G199),MIN(30,ROUND(30*LOG10(G199+1)/4,1)),0)+IF(ISNUMBER(H199),ROUND(25*(100-H199)/100,1),12.5)+20,0)</f>
        <v/>
      </c>
      <c r="O199">
        <f>ROUND(N199*M199/100,0)</f>
        <v/>
      </c>
      <c r="P199" s="5" t="inlineStr">
        <is>
          <t>Semantic/supporting term for body copy</t>
        </is>
      </c>
      <c r="Q199" s="5" t="inlineStr">
        <is>
          <t>None detected</t>
        </is>
      </c>
    </row>
    <row r="200">
      <c r="A200" s="3" t="inlineStr">
        <is>
          <t>https://codesommet.com/services/seo-maroc</t>
        </is>
      </c>
      <c r="B200" s="5" t="inlineStr">
        <is>
          <t>Agence SEO Maroc : un Référencement Naturel Google qui génère des DEMANDES DE DE</t>
        </is>
      </c>
      <c r="C200" t="inlineStr">
        <is>
          <t>Morocco</t>
        </is>
      </c>
      <c r="D200" t="inlineStr">
        <is>
          <t>ma</t>
        </is>
      </c>
      <c r="E200" t="inlineStr">
        <is>
          <t>SUPPORTING</t>
        </is>
      </c>
      <c r="F200" t="inlineStr">
        <is>
          <t>expert seo maroc</t>
        </is>
      </c>
      <c r="G200" t="n">
        <v>20</v>
      </c>
      <c r="H200" t="inlineStr">
        <is>
          <t>NOT AVAILABLE</t>
        </is>
      </c>
      <c r="I200" t="n">
        <v>0</v>
      </c>
      <c r="J200" t="inlineStr">
        <is>
          <t>NOT AVAILABLE</t>
        </is>
      </c>
      <c r="K200" t="inlineStr">
        <is>
          <t>MEASURED</t>
        </is>
      </c>
      <c r="L200" t="inlineStr">
        <is>
          <t>P3</t>
        </is>
      </c>
      <c r="M200" t="n">
        <v>65</v>
      </c>
      <c r="N200">
        <f>ROUND(IF(IF(J200="NOT AVAILABLE","",J200)="",12,IF(OR(ISNUMBER(SEARCH("Transactional",IF(J200="NOT AVAILABLE","",J200))),ISNUMBER(SEARCH("Commercial",IF(J200="NOT AVAILABLE","",J200)))),25,IF(ISNUMBER(SEARCH("Informational",IF(J200="NOT AVAILABLE","",J200))),10,IF(ISNUMBER(SEARCH("Navigational",IF(J200="NOT AVAILABLE","",J200))),0,12))))+IF(ISNUMBER(G200),MIN(30,ROUND(30*LOG10(G200+1)/4,1)),0)+IF(ISNUMBER(H200),ROUND(25*(100-H200)/100,1),12.5)+20,0)</f>
        <v/>
      </c>
      <c r="O200">
        <f>ROUND(N200*M200/100,0)</f>
        <v/>
      </c>
      <c r="P200" s="5" t="inlineStr">
        <is>
          <t>Semantic/supporting term for body copy</t>
        </is>
      </c>
      <c r="Q200" s="5" t="inlineStr">
        <is>
          <t>None detected</t>
        </is>
      </c>
    </row>
    <row r="201">
      <c r="A201" s="3" t="inlineStr">
        <is>
          <t>https://codesommet.com/services/seo-maroc</t>
        </is>
      </c>
      <c r="B201" s="5" t="inlineStr">
        <is>
          <t>Agence SEO Maroc : un Référencement Naturel Google qui génère des DEMANDES DE DE</t>
        </is>
      </c>
      <c r="C201" t="inlineStr">
        <is>
          <t>Morocco</t>
        </is>
      </c>
      <c r="D201" t="inlineStr">
        <is>
          <t>ma</t>
        </is>
      </c>
      <c r="E201" t="inlineStr">
        <is>
          <t>SUPPORTING</t>
        </is>
      </c>
      <c r="F201" t="inlineStr">
        <is>
          <t>référencement site web maroc</t>
        </is>
      </c>
      <c r="G201" t="n">
        <v>20</v>
      </c>
      <c r="H201" t="inlineStr">
        <is>
          <t>NOT AVAILABLE</t>
        </is>
      </c>
      <c r="I201" t="n">
        <v>0</v>
      </c>
      <c r="J201" t="inlineStr">
        <is>
          <t>NOT AVAILABLE</t>
        </is>
      </c>
      <c r="K201" t="inlineStr">
        <is>
          <t>MEASURED</t>
        </is>
      </c>
      <c r="L201" t="inlineStr">
        <is>
          <t>P3</t>
        </is>
      </c>
      <c r="M201" t="n">
        <v>65</v>
      </c>
      <c r="N201">
        <f>ROUND(IF(IF(J201="NOT AVAILABLE","",J201)="",12,IF(OR(ISNUMBER(SEARCH("Transactional",IF(J201="NOT AVAILABLE","",J201))),ISNUMBER(SEARCH("Commercial",IF(J201="NOT AVAILABLE","",J201)))),25,IF(ISNUMBER(SEARCH("Informational",IF(J201="NOT AVAILABLE","",J201))),10,IF(ISNUMBER(SEARCH("Navigational",IF(J201="NOT AVAILABLE","",J201))),0,12))))+IF(ISNUMBER(G201),MIN(30,ROUND(30*LOG10(G201+1)/4,1)),0)+IF(ISNUMBER(H201),ROUND(25*(100-H201)/100,1),12.5)+20,0)</f>
        <v/>
      </c>
      <c r="O201">
        <f>ROUND(N201*M201/100,0)</f>
        <v/>
      </c>
      <c r="P201" s="5" t="inlineStr">
        <is>
          <t>Semantic/supporting term for body copy</t>
        </is>
      </c>
      <c r="Q201" s="5" t="inlineStr">
        <is>
          <t>None detected</t>
        </is>
      </c>
    </row>
    <row r="202">
      <c r="A202" s="3" t="inlineStr">
        <is>
          <t>https://codesommet.com/services/seo-maroc</t>
        </is>
      </c>
      <c r="B202" s="5" t="inlineStr">
        <is>
          <t>Agence SEO Maroc : un Référencement Naturel Google qui génère des DEMANDES DE DE</t>
        </is>
      </c>
      <c r="C202" t="inlineStr">
        <is>
          <t>Morocco</t>
        </is>
      </c>
      <c r="D202" t="inlineStr">
        <is>
          <t>ma</t>
        </is>
      </c>
      <c r="E202" t="inlineStr">
        <is>
          <t>SUPPORTING</t>
        </is>
      </c>
      <c r="F202" t="inlineStr">
        <is>
          <t>référencement maroc</t>
        </is>
      </c>
      <c r="G202" t="n">
        <v>20</v>
      </c>
      <c r="H202" t="inlineStr">
        <is>
          <t>NOT AVAILABLE</t>
        </is>
      </c>
      <c r="I202" t="n">
        <v>0.64</v>
      </c>
      <c r="J202" t="inlineStr">
        <is>
          <t>NOT AVAILABLE</t>
        </is>
      </c>
      <c r="K202" t="inlineStr">
        <is>
          <t>MEASURED</t>
        </is>
      </c>
      <c r="L202" t="inlineStr">
        <is>
          <t>P3</t>
        </is>
      </c>
      <c r="M202" t="n">
        <v>65</v>
      </c>
      <c r="N202">
        <f>ROUND(IF(IF(J202="NOT AVAILABLE","",J202)="",12,IF(OR(ISNUMBER(SEARCH("Transactional",IF(J202="NOT AVAILABLE","",J202))),ISNUMBER(SEARCH("Commercial",IF(J202="NOT AVAILABLE","",J202)))),25,IF(ISNUMBER(SEARCH("Informational",IF(J202="NOT AVAILABLE","",J202))),10,IF(ISNUMBER(SEARCH("Navigational",IF(J202="NOT AVAILABLE","",J202))),0,12))))+IF(ISNUMBER(G202),MIN(30,ROUND(30*LOG10(G202+1)/4,1)),0)+IF(ISNUMBER(H202),ROUND(25*(100-H202)/100,1),12.5)+20,0)</f>
        <v/>
      </c>
      <c r="O202">
        <f>ROUND(N202*M202/100,0)</f>
        <v/>
      </c>
      <c r="P202" s="5" t="inlineStr">
        <is>
          <t>Semantic/supporting term for body copy</t>
        </is>
      </c>
      <c r="Q202" s="5" t="inlineStr">
        <is>
          <t>None detected</t>
        </is>
      </c>
    </row>
    <row r="203">
      <c r="A203" s="3" t="inlineStr">
        <is>
          <t>https://codesommet.com/services/seo-maroc</t>
        </is>
      </c>
      <c r="B203" s="5" t="inlineStr">
        <is>
          <t>Agence SEO Maroc : un Référencement Naturel Google qui génère des DEMANDES DE DE</t>
        </is>
      </c>
      <c r="C203" t="inlineStr">
        <is>
          <t>Morocco</t>
        </is>
      </c>
      <c r="D203" t="inlineStr">
        <is>
          <t>ma</t>
        </is>
      </c>
      <c r="E203" t="inlineStr">
        <is>
          <t>SUPPORTING</t>
        </is>
      </c>
      <c r="F203" t="inlineStr">
        <is>
          <t>agence seo agadir</t>
        </is>
      </c>
      <c r="G203" t="n">
        <v>20</v>
      </c>
      <c r="H203" t="inlineStr">
        <is>
          <t>NOT AVAILABLE</t>
        </is>
      </c>
      <c r="I203" t="n">
        <v>0</v>
      </c>
      <c r="J203" t="inlineStr">
        <is>
          <t>NOT AVAILABLE</t>
        </is>
      </c>
      <c r="K203" t="inlineStr">
        <is>
          <t>MEASURED</t>
        </is>
      </c>
      <c r="L203" t="inlineStr">
        <is>
          <t>P3</t>
        </is>
      </c>
      <c r="M203" t="n">
        <v>65</v>
      </c>
      <c r="N203">
        <f>ROUND(IF(IF(J203="NOT AVAILABLE","",J203)="",12,IF(OR(ISNUMBER(SEARCH("Transactional",IF(J203="NOT AVAILABLE","",J203))),ISNUMBER(SEARCH("Commercial",IF(J203="NOT AVAILABLE","",J203)))),25,IF(ISNUMBER(SEARCH("Informational",IF(J203="NOT AVAILABLE","",J203))),10,IF(ISNUMBER(SEARCH("Navigational",IF(J203="NOT AVAILABLE","",J203))),0,12))))+IF(ISNUMBER(G203),MIN(30,ROUND(30*LOG10(G203+1)/4,1)),0)+IF(ISNUMBER(H203),ROUND(25*(100-H203)/100,1),12.5)+20,0)</f>
        <v/>
      </c>
      <c r="O203">
        <f>ROUND(N203*M203/100,0)</f>
        <v/>
      </c>
      <c r="P203" s="5" t="inlineStr">
        <is>
          <t>Semantic/supporting term for body copy</t>
        </is>
      </c>
      <c r="Q203" s="5" t="inlineStr">
        <is>
          <t>None detected</t>
        </is>
      </c>
    </row>
    <row r="204">
      <c r="A204" s="3" t="inlineStr">
        <is>
          <t>https://codesommet.com/services/seo-maroc</t>
        </is>
      </c>
      <c r="B204" s="5" t="inlineStr">
        <is>
          <t>Agence SEO Maroc : un Référencement Naturel Google qui génère des DEMANDES DE DE</t>
        </is>
      </c>
      <c r="C204" t="inlineStr">
        <is>
          <t>France</t>
        </is>
      </c>
      <c r="D204" t="inlineStr">
        <is>
          <t>fr</t>
        </is>
      </c>
      <c r="E204" t="inlineStr">
        <is>
          <t>NOT RECOMMENDED</t>
        </is>
      </c>
      <c r="F204" t="inlineStr">
        <is>
          <t>agence seo</t>
        </is>
      </c>
      <c r="G204" t="n">
        <v>60500</v>
      </c>
      <c r="H204" t="n">
        <v>61</v>
      </c>
      <c r="I204" t="n">
        <v>9.67</v>
      </c>
      <c r="J204" t="inlineStr">
        <is>
          <t>Commercial</t>
        </is>
      </c>
      <c r="K204" t="inlineStr">
        <is>
          <t>MEASURED</t>
        </is>
      </c>
      <c r="L204" t="inlineStr">
        <is>
          <t>P4</t>
        </is>
      </c>
      <c r="M204" t="n">
        <v>0</v>
      </c>
      <c r="N204">
        <f>ROUND(IF(IF(J204="NOT AVAILABLE","",J204)="",12,IF(OR(ISNUMBER(SEARCH("Transactional",IF(J204="NOT AVAILABLE","",J204))),ISNUMBER(SEARCH("Commercial",IF(J204="NOT AVAILABLE","",J204)))),25,IF(ISNUMBER(SEARCH("Informational",IF(J204="NOT AVAILABLE","",J204))),10,IF(ISNUMBER(SEARCH("Navigational",IF(J204="NOT AVAILABLE","",J204))),0,12))))+IF(ISNUMBER(G204),MIN(30,ROUND(30*LOG10(G204+1)/4,1)),0)+IF(ISNUMBER(H204),ROUND(25*(100-H204)/100,1),12.5)+14,0)</f>
        <v/>
      </c>
      <c r="O204">
        <f>ROUND(N204*M204/100,0)</f>
        <v/>
      </c>
      <c r="P204" s="5" t="inlineStr">
        <is>
          <t>FR 60500, KD 61 - national FR head term, unrealistic and off-market</t>
        </is>
      </c>
      <c r="Q204" s="5" t="inlineStr">
        <is>
          <t>n/a (not targeted)</t>
        </is>
      </c>
    </row>
    <row r="205">
      <c r="A205" s="3" t="inlineStr">
        <is>
          <t>https://codesommet.com/services/study-abroad-website-development</t>
        </is>
      </c>
      <c r="B205" s="5" t="inlineStr">
        <is>
          <t>Création de Sites Web Études à l'Étranger qui génèrent des PORTAILS DE CANDIDATU</t>
        </is>
      </c>
      <c r="C205" t="inlineStr">
        <is>
          <t>France</t>
        </is>
      </c>
      <c r="D205" t="inlineStr">
        <is>
          <t>fr</t>
        </is>
      </c>
      <c r="E205" t="inlineStr">
        <is>
          <t>PRIMARY</t>
        </is>
      </c>
      <c r="F205" t="inlineStr">
        <is>
          <t>site web agence études à l'étranger</t>
        </is>
      </c>
      <c r="G205" t="inlineStr">
        <is>
          <t>NOT AVAILABLE</t>
        </is>
      </c>
      <c r="H205" t="inlineStr">
        <is>
          <t>NOT AVAILABLE</t>
        </is>
      </c>
      <c r="I205" t="inlineStr">
        <is>
          <t>NOT AVAILABLE</t>
        </is>
      </c>
      <c r="J205" t="inlineStr">
        <is>
          <t>NOT AVAILABLE</t>
        </is>
      </c>
      <c r="K205" t="inlineStr">
        <is>
          <t>UNAVAILABLE</t>
        </is>
      </c>
      <c r="L205" t="inlineStr">
        <is>
          <t>P2</t>
        </is>
      </c>
      <c r="M205" t="n">
        <v>100</v>
      </c>
      <c r="N205">
        <f>ROUND(IF(IF(J205="NOT AVAILABLE","",J205)="",12,IF(OR(ISNUMBER(SEARCH("Transactional",IF(J205="NOT AVAILABLE","",J205))),ISNUMBER(SEARCH("Commercial",IF(J205="NOT AVAILABLE","",J205)))),25,IF(ISNUMBER(SEARCH("Informational",IF(J205="NOT AVAILABLE","",J205))),10,IF(ISNUMBER(SEARCH("Navigational",IF(J205="NOT AVAILABLE","",J205))),0,12))))+IF(ISNUMBER(G205),MIN(30,ROUND(30*LOG10(G205+1)/4,1)),0)+IF(ISNUMBER(H205),ROUND(25*(100-H205)/100,1),12.5)+14,0)</f>
        <v/>
      </c>
      <c r="O205">
        <f>ROUND(N205*M205/100,0)</f>
        <v/>
      </c>
      <c r="P205" s="5" t="inlineStr">
        <is>
          <t>No measurable demand - niche B2B; keep, rely on case studies + referrals</t>
        </is>
      </c>
      <c r="Q205" s="5" t="inlineStr">
        <is>
          <t>None detected</t>
        </is>
      </c>
    </row>
    <row r="206">
      <c r="A206" s="3" t="inlineStr">
        <is>
          <t>https://codesommet.com/services/study-abroad-website-development</t>
        </is>
      </c>
      <c r="B206" s="5" t="inlineStr">
        <is>
          <t>Création de Sites Web Études à l'Étranger qui génèrent des PORTAILS DE CANDIDATU</t>
        </is>
      </c>
      <c r="C206" t="inlineStr">
        <is>
          <t>Morocco</t>
        </is>
      </c>
      <c r="D206" t="inlineStr">
        <is>
          <t>ma</t>
        </is>
      </c>
      <c r="E206" t="inlineStr">
        <is>
          <t>NOT RECOMMENDED</t>
        </is>
      </c>
      <c r="F206" t="inlineStr">
        <is>
          <t>agence étude à l'étranger</t>
        </is>
      </c>
      <c r="G206" t="inlineStr">
        <is>
          <t>NOT AVAILABLE</t>
        </is>
      </c>
      <c r="H206" t="inlineStr">
        <is>
          <t>NOT AVAILABLE</t>
        </is>
      </c>
      <c r="I206" t="inlineStr">
        <is>
          <t>NOT AVAILABLE</t>
        </is>
      </c>
      <c r="J206" t="inlineStr">
        <is>
          <t>NOT AVAILABLE</t>
        </is>
      </c>
      <c r="K206" t="inlineStr">
        <is>
          <t>UNAVAILABLE</t>
        </is>
      </c>
      <c r="L206" t="inlineStr">
        <is>
          <t>P4</t>
        </is>
      </c>
      <c r="M206" t="n">
        <v>0</v>
      </c>
      <c r="N206">
        <f>ROUND(IF(IF(J206="NOT AVAILABLE","",J206)="",12,IF(OR(ISNUMBER(SEARCH("Transactional",IF(J206="NOT AVAILABLE","",J206))),ISNUMBER(SEARCH("Commercial",IF(J206="NOT AVAILABLE","",J206)))),25,IF(ISNUMBER(SEARCH("Informational",IF(J206="NOT AVAILABLE","",J206))),10,IF(ISNUMBER(SEARCH("Navigational",IF(J206="NOT AVAILABLE","",J206))),0,12))))+IF(ISNUMBER(G206),MIN(30,ROUND(30*LOG10(G206+1)/4,1)),0)+IF(ISNUMBER(H206),ROUND(25*(100-H206)/100,1),12.5)+20,0)</f>
        <v/>
      </c>
      <c r="O206">
        <f>ROUND(N206*M206/100,0)</f>
        <v/>
      </c>
      <c r="P206" s="5" t="inlineStr">
        <is>
          <t>Students seeking an agency, not agencies seeking a website</t>
        </is>
      </c>
      <c r="Q206" s="5" t="inlineStr">
        <is>
          <t>n/a (not targeted)</t>
        </is>
      </c>
    </row>
    <row r="207">
      <c r="A207" s="3" t="inlineStr">
        <is>
          <t>https://codesommet.com/services/telemedicine-platform-development</t>
        </is>
      </c>
      <c r="B207" s="5" t="inlineStr">
        <is>
          <t>Développement de PLATEFORMES DE TÉLÉMÉDECINE</t>
        </is>
      </c>
      <c r="C207" t="inlineStr">
        <is>
          <t>France</t>
        </is>
      </c>
      <c r="D207" t="inlineStr">
        <is>
          <t>fr</t>
        </is>
      </c>
      <c r="E207" t="inlineStr">
        <is>
          <t>PRIMARY</t>
        </is>
      </c>
      <c r="F207" t="inlineStr">
        <is>
          <t>logiciel téléconsultation</t>
        </is>
      </c>
      <c r="G207" t="n">
        <v>210</v>
      </c>
      <c r="H207" t="n">
        <v>29</v>
      </c>
      <c r="I207" t="n">
        <v>4.75</v>
      </c>
      <c r="J207" t="inlineStr">
        <is>
          <t>Informational</t>
        </is>
      </c>
      <c r="K207" t="inlineStr">
        <is>
          <t>MEASURED</t>
        </is>
      </c>
      <c r="L207" t="inlineStr">
        <is>
          <t>P2</t>
        </is>
      </c>
      <c r="M207" t="n">
        <v>100</v>
      </c>
      <c r="N207">
        <f>ROUND(IF(IF(J207="NOT AVAILABLE","",J207)="",12,IF(OR(ISNUMBER(SEARCH("Transactional",IF(J207="NOT AVAILABLE","",J207))),ISNUMBER(SEARCH("Commercial",IF(J207="NOT AVAILABLE","",J207)))),25,IF(ISNUMBER(SEARCH("Informational",IF(J207="NOT AVAILABLE","",J207))),10,IF(ISNUMBER(SEARCH("Navigational",IF(J207="NOT AVAILABLE","",J207))),0,12))))+IF(ISNUMBER(G207),MIN(30,ROUND(30*LOG10(G207+1)/4,1)),0)+IF(ISNUMBER(H207),ROUND(25*(100-H207)/100,1),12.5)+14,0)</f>
        <v/>
      </c>
      <c r="O207">
        <f>ROUND(N207*M207/100,0)</f>
        <v/>
      </c>
      <c r="P207" s="5" t="inlineStr">
        <is>
          <t>FR 210, KD 29 - software/platform intent matches page</t>
        </is>
      </c>
      <c r="Q207" s="5" t="inlineStr">
        <is>
          <t>None detected</t>
        </is>
      </c>
    </row>
    <row r="208">
      <c r="A208" s="3" t="inlineStr">
        <is>
          <t>https://codesommet.com/services/telemedicine-platform-development</t>
        </is>
      </c>
      <c r="B208" s="5" t="inlineStr">
        <is>
          <t>Développement de PLATEFORMES DE TÉLÉMÉDECINE</t>
        </is>
      </c>
      <c r="C208" t="inlineStr">
        <is>
          <t>France</t>
        </is>
      </c>
      <c r="D208" t="inlineStr">
        <is>
          <t>fr</t>
        </is>
      </c>
      <c r="E208" t="inlineStr">
        <is>
          <t>SECONDARY</t>
        </is>
      </c>
      <c r="F208" t="inlineStr">
        <is>
          <t>logiciel télémédecine</t>
        </is>
      </c>
      <c r="G208" t="n">
        <v>140</v>
      </c>
      <c r="H208" t="n">
        <v>21</v>
      </c>
      <c r="I208" t="n">
        <v>0</v>
      </c>
      <c r="J208" t="inlineStr">
        <is>
          <t>Informational</t>
        </is>
      </c>
      <c r="K208" t="inlineStr">
        <is>
          <t>MEASURED</t>
        </is>
      </c>
      <c r="L208" t="inlineStr">
        <is>
          <t>P2</t>
        </is>
      </c>
      <c r="M208" t="n">
        <v>85</v>
      </c>
      <c r="N208">
        <f>ROUND(IF(IF(J208="NOT AVAILABLE","",J208)="",12,IF(OR(ISNUMBER(SEARCH("Transactional",IF(J208="NOT AVAILABLE","",J208))),ISNUMBER(SEARCH("Commercial",IF(J208="NOT AVAILABLE","",J208)))),25,IF(ISNUMBER(SEARCH("Informational",IF(J208="NOT AVAILABLE","",J208))),10,IF(ISNUMBER(SEARCH("Navigational",IF(J208="NOT AVAILABLE","",J208))),0,12))))+IF(ISNUMBER(G208),MIN(30,ROUND(30*LOG10(G208+1)/4,1)),0)+IF(ISNUMBER(H208),ROUND(25*(100-H208)/100,1),12.5)+14,0)</f>
        <v/>
      </c>
      <c r="O208">
        <f>ROUND(N208*M208/100,0)</f>
        <v/>
      </c>
      <c r="P208" s="5" t="inlineStr">
        <is>
          <t>140, KD 21</t>
        </is>
      </c>
      <c r="Q208" s="5" t="inlineStr">
        <is>
          <t>None detected</t>
        </is>
      </c>
    </row>
    <row r="209">
      <c r="A209" s="3" t="inlineStr">
        <is>
          <t>https://codesommet.com/services/telemedicine-platform-development</t>
        </is>
      </c>
      <c r="B209" s="5" t="inlineStr">
        <is>
          <t>Développement de PLATEFORMES DE TÉLÉMÉDECINE</t>
        </is>
      </c>
      <c r="C209" t="inlineStr">
        <is>
          <t>France</t>
        </is>
      </c>
      <c r="D209" t="inlineStr">
        <is>
          <t>fr</t>
        </is>
      </c>
      <c r="E209" t="inlineStr">
        <is>
          <t>SECONDARY</t>
        </is>
      </c>
      <c r="F209" t="inlineStr">
        <is>
          <t>plateforme téléconsultation</t>
        </is>
      </c>
      <c r="G209" t="n">
        <v>70</v>
      </c>
      <c r="H209" t="n">
        <v>74</v>
      </c>
      <c r="I209" t="n">
        <v>2.15</v>
      </c>
      <c r="J209" t="inlineStr">
        <is>
          <t>Commercial</t>
        </is>
      </c>
      <c r="K209" t="inlineStr">
        <is>
          <t>MEASURED</t>
        </is>
      </c>
      <c r="L209" t="inlineStr">
        <is>
          <t>P2</t>
        </is>
      </c>
      <c r="M209" t="n">
        <v>85</v>
      </c>
      <c r="N209">
        <f>ROUND(IF(IF(J209="NOT AVAILABLE","",J209)="",12,IF(OR(ISNUMBER(SEARCH("Transactional",IF(J209="NOT AVAILABLE","",J209))),ISNUMBER(SEARCH("Commercial",IF(J209="NOT AVAILABLE","",J209)))),25,IF(ISNUMBER(SEARCH("Informational",IF(J209="NOT AVAILABLE","",J209))),10,IF(ISNUMBER(SEARCH("Navigational",IF(J209="NOT AVAILABLE","",J209))),0,12))))+IF(ISNUMBER(G209),MIN(30,ROUND(30*LOG10(G209+1)/4,1)),0)+IF(ISNUMBER(H209),ROUND(25*(100-H209)/100,1),12.5)+14,0)</f>
        <v/>
      </c>
      <c r="O209">
        <f>ROUND(N209*M209/100,0)</f>
        <v/>
      </c>
      <c r="P209" s="5" t="inlineStr">
        <is>
          <t>70, KD 74</t>
        </is>
      </c>
      <c r="Q209" s="5" t="inlineStr">
        <is>
          <t>None detected</t>
        </is>
      </c>
    </row>
    <row r="210">
      <c r="A210" s="3" t="inlineStr">
        <is>
          <t>https://codesommet.com/services/telemedicine-platform-development</t>
        </is>
      </c>
      <c r="B210" s="5" t="inlineStr">
        <is>
          <t>Développement de PLATEFORMES DE TÉLÉMÉDECINE</t>
        </is>
      </c>
      <c r="C210" t="inlineStr">
        <is>
          <t>France</t>
        </is>
      </c>
      <c r="D210" t="inlineStr">
        <is>
          <t>fr</t>
        </is>
      </c>
      <c r="E210" t="inlineStr">
        <is>
          <t>SECONDARY</t>
        </is>
      </c>
      <c r="F210" t="inlineStr">
        <is>
          <t>plateforme de télémédecine</t>
        </is>
      </c>
      <c r="G210" t="n">
        <v>20</v>
      </c>
      <c r="H210" t="inlineStr">
        <is>
          <t>NOT AVAILABLE</t>
        </is>
      </c>
      <c r="I210" t="n">
        <v>3</v>
      </c>
      <c r="J210" t="inlineStr">
        <is>
          <t>NOT AVAILABLE</t>
        </is>
      </c>
      <c r="K210" t="inlineStr">
        <is>
          <t>MEASURED</t>
        </is>
      </c>
      <c r="L210" t="inlineStr">
        <is>
          <t>P2</t>
        </is>
      </c>
      <c r="M210" t="n">
        <v>85</v>
      </c>
      <c r="N210">
        <f>ROUND(IF(IF(J210="NOT AVAILABLE","",J210)="",12,IF(OR(ISNUMBER(SEARCH("Transactional",IF(J210="NOT AVAILABLE","",J210))),ISNUMBER(SEARCH("Commercial",IF(J210="NOT AVAILABLE","",J210)))),25,IF(ISNUMBER(SEARCH("Informational",IF(J210="NOT AVAILABLE","",J210))),10,IF(ISNUMBER(SEARCH("Navigational",IF(J210="NOT AVAILABLE","",J210))),0,12))))+IF(ISNUMBER(G210),MIN(30,ROUND(30*LOG10(G210+1)/4,1)),0)+IF(ISNUMBER(H210),ROUND(25*(100-H210)/100,1),12.5)+14,0)</f>
        <v/>
      </c>
      <c r="O210">
        <f>ROUND(N210*M210/100,0)</f>
        <v/>
      </c>
      <c r="P210" s="5" t="inlineStr">
        <is>
          <t>Close commercial variant of the page topic</t>
        </is>
      </c>
      <c r="Q210" s="5" t="inlineStr">
        <is>
          <t>None detected</t>
        </is>
      </c>
    </row>
    <row r="211">
      <c r="A211" s="3" t="inlineStr">
        <is>
          <t>https://codesommet.com/services/telemedicine-platform-development</t>
        </is>
      </c>
      <c r="B211" s="5" t="inlineStr">
        <is>
          <t>Développement de PLATEFORMES DE TÉLÉMÉDECINE</t>
        </is>
      </c>
      <c r="C211" t="inlineStr">
        <is>
          <t>Morocco</t>
        </is>
      </c>
      <c r="D211" t="inlineStr">
        <is>
          <t>ma</t>
        </is>
      </c>
      <c r="E211" t="inlineStr">
        <is>
          <t>SUPPORTING</t>
        </is>
      </c>
      <c r="F211" t="inlineStr">
        <is>
          <t>plateforme de télémédecine</t>
        </is>
      </c>
      <c r="G211" t="n">
        <v>20</v>
      </c>
      <c r="H211" t="inlineStr">
        <is>
          <t>NOT AVAILABLE</t>
        </is>
      </c>
      <c r="I211" t="n">
        <v>0</v>
      </c>
      <c r="J211" t="inlineStr">
        <is>
          <t>NOT AVAILABLE</t>
        </is>
      </c>
      <c r="K211" t="inlineStr">
        <is>
          <t>MEASURED</t>
        </is>
      </c>
      <c r="L211" t="inlineStr">
        <is>
          <t>P3</t>
        </is>
      </c>
      <c r="M211" t="n">
        <v>65</v>
      </c>
      <c r="N211">
        <f>ROUND(IF(IF(J211="NOT AVAILABLE","",J211)="",12,IF(OR(ISNUMBER(SEARCH("Transactional",IF(J211="NOT AVAILABLE","",J211))),ISNUMBER(SEARCH("Commercial",IF(J211="NOT AVAILABLE","",J211)))),25,IF(ISNUMBER(SEARCH("Informational",IF(J211="NOT AVAILABLE","",J211))),10,IF(ISNUMBER(SEARCH("Navigational",IF(J211="NOT AVAILABLE","",J211))),0,12))))+IF(ISNUMBER(G211),MIN(30,ROUND(30*LOG10(G211+1)/4,1)),0)+IF(ISNUMBER(H211),ROUND(25*(100-H211)/100,1),12.5)+20,0)</f>
        <v/>
      </c>
      <c r="O211">
        <f>ROUND(N211*M211/100,0)</f>
        <v/>
      </c>
      <c r="P211" s="5" t="inlineStr">
        <is>
          <t>Semantic/supporting term for body copy</t>
        </is>
      </c>
      <c r="Q211" s="5" t="inlineStr">
        <is>
          <t>None detected</t>
        </is>
      </c>
    </row>
    <row r="212">
      <c r="A212" s="3" t="inlineStr">
        <is>
          <t>https://codesommet.com/services/telemedicine-platform-development</t>
        </is>
      </c>
      <c r="B212" s="5" t="inlineStr">
        <is>
          <t>Développement de PLATEFORMES DE TÉLÉMÉDECINE</t>
        </is>
      </c>
      <c r="C212" t="inlineStr">
        <is>
          <t>Morocco</t>
        </is>
      </c>
      <c r="D212" t="inlineStr">
        <is>
          <t>ma</t>
        </is>
      </c>
      <c r="E212" t="inlineStr">
        <is>
          <t>SUPPORTING</t>
        </is>
      </c>
      <c r="F212" t="inlineStr">
        <is>
          <t>télémédecine maroc</t>
        </is>
      </c>
      <c r="G212" t="n">
        <v>10</v>
      </c>
      <c r="H212" t="inlineStr">
        <is>
          <t>NOT AVAILABLE</t>
        </is>
      </c>
      <c r="I212" t="n">
        <v>0.47</v>
      </c>
      <c r="J212" t="inlineStr">
        <is>
          <t>NOT AVAILABLE</t>
        </is>
      </c>
      <c r="K212" t="inlineStr">
        <is>
          <t>MEASURED</t>
        </is>
      </c>
      <c r="L212" t="inlineStr">
        <is>
          <t>P3</t>
        </is>
      </c>
      <c r="M212" t="n">
        <v>65</v>
      </c>
      <c r="N212">
        <f>ROUND(IF(IF(J212="NOT AVAILABLE","",J212)="",12,IF(OR(ISNUMBER(SEARCH("Transactional",IF(J212="NOT AVAILABLE","",J212))),ISNUMBER(SEARCH("Commercial",IF(J212="NOT AVAILABLE","",J212)))),25,IF(ISNUMBER(SEARCH("Informational",IF(J212="NOT AVAILABLE","",J212))),10,IF(ISNUMBER(SEARCH("Navigational",IF(J212="NOT AVAILABLE","",J212))),0,12))))+IF(ISNUMBER(G212),MIN(30,ROUND(30*LOG10(G212+1)/4,1)),0)+IF(ISNUMBER(H212),ROUND(25*(100-H212)/100,1),12.5)+20,0)</f>
        <v/>
      </c>
      <c r="O212">
        <f>ROUND(N212*M212/100,0)</f>
        <v/>
      </c>
      <c r="P212" s="5" t="inlineStr">
        <is>
          <t>Semantic/supporting term for body copy</t>
        </is>
      </c>
      <c r="Q212" s="5" t="inlineStr">
        <is>
          <t>None detected</t>
        </is>
      </c>
    </row>
    <row r="213">
      <c r="A213" s="3" t="inlineStr">
        <is>
          <t>https://codesommet.com/services/telemedicine-website-development</t>
        </is>
      </c>
      <c r="B213" s="5" t="inlineStr">
        <is>
          <t>Site Web Cabinet Médical &amp; Télémédecine : nous créons des SITES WEB MÉDICAUX</t>
        </is>
      </c>
      <c r="C213" t="inlineStr">
        <is>
          <t>France</t>
        </is>
      </c>
      <c r="D213" t="inlineStr">
        <is>
          <t>fr</t>
        </is>
      </c>
      <c r="E213" t="inlineStr">
        <is>
          <t>PRIMARY</t>
        </is>
      </c>
      <c r="F213" t="inlineStr">
        <is>
          <t>site web cabinet médical</t>
        </is>
      </c>
      <c r="G213" t="n">
        <v>20</v>
      </c>
      <c r="H213" t="inlineStr">
        <is>
          <t>NOT AVAILABLE</t>
        </is>
      </c>
      <c r="I213" t="n">
        <v>0</v>
      </c>
      <c r="J213" t="inlineStr">
        <is>
          <t>NOT AVAILABLE</t>
        </is>
      </c>
      <c r="K213" t="inlineStr">
        <is>
          <t>MEASURED</t>
        </is>
      </c>
      <c r="L213" t="inlineStr">
        <is>
          <t>P2</t>
        </is>
      </c>
      <c r="M213" t="n">
        <v>100</v>
      </c>
      <c r="N213">
        <f>ROUND(IF(IF(J213="NOT AVAILABLE","",J213)="",12,IF(OR(ISNUMBER(SEARCH("Transactional",IF(J213="NOT AVAILABLE","",J213))),ISNUMBER(SEARCH("Commercial",IF(J213="NOT AVAILABLE","",J213)))),25,IF(ISNUMBER(SEARCH("Informational",IF(J213="NOT AVAILABLE","",J213))),10,IF(ISNUMBER(SEARCH("Navigational",IF(J213="NOT AVAILABLE","",J213))),0,12))))+IF(ISNUMBER(G213),MIN(30,ROUND(30*LOG10(G213+1)/4,1)),0)+IF(ISNUMBER(H213),ROUND(25*(100-H213)/100,1),12.5)+14,0)</f>
        <v/>
      </c>
      <c r="O213">
        <f>ROUND(N213*M213/100,0)</f>
        <v/>
      </c>
      <c r="P213" s="5" t="inlineStr">
        <is>
          <t>Exact title match (FR 20); differentiates from healthcare (organisations) page</t>
        </is>
      </c>
      <c r="Q213" s="5" t="inlineStr">
        <is>
          <t>None detected</t>
        </is>
      </c>
    </row>
    <row r="214">
      <c r="A214" s="3" t="inlineStr">
        <is>
          <t>https://codesommet.com/services/telemedicine-website-development</t>
        </is>
      </c>
      <c r="B214" s="5" t="inlineStr">
        <is>
          <t>Site Web Cabinet Médical &amp; Télémédecine : nous créons des SITES WEB MÉDICAUX</t>
        </is>
      </c>
      <c r="C214" t="inlineStr">
        <is>
          <t>Morocco</t>
        </is>
      </c>
      <c r="D214" t="inlineStr">
        <is>
          <t>ma</t>
        </is>
      </c>
      <c r="E214" t="inlineStr">
        <is>
          <t>SECONDARY</t>
        </is>
      </c>
      <c r="F214" t="inlineStr">
        <is>
          <t>site médecin</t>
        </is>
      </c>
      <c r="G214" t="n">
        <v>20</v>
      </c>
      <c r="H214" t="inlineStr">
        <is>
          <t>NOT AVAILABLE</t>
        </is>
      </c>
      <c r="I214" t="n">
        <v>0</v>
      </c>
      <c r="J214" t="inlineStr">
        <is>
          <t>NOT AVAILABLE</t>
        </is>
      </c>
      <c r="K214" t="inlineStr">
        <is>
          <t>MEASURED</t>
        </is>
      </c>
      <c r="L214" t="inlineStr">
        <is>
          <t>P2</t>
        </is>
      </c>
      <c r="M214" t="n">
        <v>85</v>
      </c>
      <c r="N214">
        <f>ROUND(IF(IF(J214="NOT AVAILABLE","",J214)="",12,IF(OR(ISNUMBER(SEARCH("Transactional",IF(J214="NOT AVAILABLE","",J214))),ISNUMBER(SEARCH("Commercial",IF(J214="NOT AVAILABLE","",J214)))),25,IF(ISNUMBER(SEARCH("Informational",IF(J214="NOT AVAILABLE","",J214))),10,IF(ISNUMBER(SEARCH("Navigational",IF(J214="NOT AVAILABLE","",J214))),0,12))))+IF(ISNUMBER(G214),MIN(30,ROUND(30*LOG10(G214+1)/4,1)),0)+IF(ISNUMBER(H214),ROUND(25*(100-H214)/100,1),12.5)+20,0)</f>
        <v/>
      </c>
      <c r="O214">
        <f>ROUND(N214*M214/100,0)</f>
        <v/>
      </c>
      <c r="P214" s="5" t="inlineStr">
        <is>
          <t>Close commercial variant of the page topic</t>
        </is>
      </c>
      <c r="Q214" s="5" t="inlineStr">
        <is>
          <t>None detected</t>
        </is>
      </c>
    </row>
    <row r="215">
      <c r="A215" s="3" t="inlineStr">
        <is>
          <t>https://codesommet.com/services/telemedicine-website-development</t>
        </is>
      </c>
      <c r="B215" s="5" t="inlineStr">
        <is>
          <t>Site Web Cabinet Médical &amp; Télémédecine : nous créons des SITES WEB MÉDICAUX</t>
        </is>
      </c>
      <c r="C215" t="inlineStr">
        <is>
          <t>France</t>
        </is>
      </c>
      <c r="D215" t="inlineStr">
        <is>
          <t>fr</t>
        </is>
      </c>
      <c r="E215" t="inlineStr">
        <is>
          <t>SECONDARY</t>
        </is>
      </c>
      <c r="F215" t="inlineStr">
        <is>
          <t>site médecin</t>
        </is>
      </c>
      <c r="G215" t="n">
        <v>10</v>
      </c>
      <c r="H215" t="inlineStr">
        <is>
          <t>NOT AVAILABLE</t>
        </is>
      </c>
      <c r="I215" t="n">
        <v>1.73</v>
      </c>
      <c r="J215" t="inlineStr">
        <is>
          <t>NOT AVAILABLE</t>
        </is>
      </c>
      <c r="K215" t="inlineStr">
        <is>
          <t>MEASURED</t>
        </is>
      </c>
      <c r="L215" t="inlineStr">
        <is>
          <t>P2</t>
        </is>
      </c>
      <c r="M215" t="n">
        <v>85</v>
      </c>
      <c r="N215">
        <f>ROUND(IF(IF(J215="NOT AVAILABLE","",J215)="",12,IF(OR(ISNUMBER(SEARCH("Transactional",IF(J215="NOT AVAILABLE","",J215))),ISNUMBER(SEARCH("Commercial",IF(J215="NOT AVAILABLE","",J215)))),25,IF(ISNUMBER(SEARCH("Informational",IF(J215="NOT AVAILABLE","",J215))),10,IF(ISNUMBER(SEARCH("Navigational",IF(J215="NOT AVAILABLE","",J215))),0,12))))+IF(ISNUMBER(G215),MIN(30,ROUND(30*LOG10(G215+1)/4,1)),0)+IF(ISNUMBER(H215),ROUND(25*(100-H215)/100,1),12.5)+14,0)</f>
        <v/>
      </c>
      <c r="O215">
        <f>ROUND(N215*M215/100,0)</f>
        <v/>
      </c>
      <c r="P215" s="5" t="inlineStr">
        <is>
          <t>Close commercial variant of the page topic</t>
        </is>
      </c>
      <c r="Q215" s="5" t="inlineStr">
        <is>
          <t>None detected</t>
        </is>
      </c>
    </row>
    <row r="216">
      <c r="A216" s="3" t="inlineStr">
        <is>
          <t>https://codesommet.com/services/telemedicine-website-development</t>
        </is>
      </c>
      <c r="B216" s="5" t="inlineStr">
        <is>
          <t>Site Web Cabinet Médical &amp; Télémédecine : nous créons des SITES WEB MÉDICAUX</t>
        </is>
      </c>
      <c r="C216" t="inlineStr">
        <is>
          <t>France</t>
        </is>
      </c>
      <c r="D216" t="inlineStr">
        <is>
          <t>fr</t>
        </is>
      </c>
      <c r="E216" t="inlineStr">
        <is>
          <t>SUPPORTING</t>
        </is>
      </c>
      <c r="F216" t="inlineStr">
        <is>
          <t>création site web cabinet médical</t>
        </is>
      </c>
      <c r="G216" t="inlineStr">
        <is>
          <t>NOT AVAILABLE</t>
        </is>
      </c>
      <c r="H216" t="inlineStr">
        <is>
          <t>NOT AVAILABLE</t>
        </is>
      </c>
      <c r="I216" t="inlineStr">
        <is>
          <t>NOT AVAILABLE</t>
        </is>
      </c>
      <c r="J216" t="inlineStr">
        <is>
          <t>NOT AVAILABLE</t>
        </is>
      </c>
      <c r="K216" t="inlineStr">
        <is>
          <t>UNAVAILABLE</t>
        </is>
      </c>
      <c r="L216" t="inlineStr">
        <is>
          <t>P3</t>
        </is>
      </c>
      <c r="M216" t="n">
        <v>65</v>
      </c>
      <c r="N216">
        <f>ROUND(IF(IF(J216="NOT AVAILABLE","",J216)="",12,IF(OR(ISNUMBER(SEARCH("Transactional",IF(J216="NOT AVAILABLE","",J216))),ISNUMBER(SEARCH("Commercial",IF(J216="NOT AVAILABLE","",J216)))),25,IF(ISNUMBER(SEARCH("Informational",IF(J216="NOT AVAILABLE","",J216))),10,IF(ISNUMBER(SEARCH("Navigational",IF(J216="NOT AVAILABLE","",J216))),0,12))))+IF(ISNUMBER(G216),MIN(30,ROUND(30*LOG10(G216+1)/4,1)),0)+IF(ISNUMBER(H216),ROUND(25*(100-H216)/100,1),12.5)+14,0)</f>
        <v/>
      </c>
      <c r="O216">
        <f>ROUND(N216*M216/100,0)</f>
        <v/>
      </c>
      <c r="P216" s="5" t="inlineStr">
        <is>
          <t>Semantic/supporting term for body copy</t>
        </is>
      </c>
      <c r="Q216" s="5" t="inlineStr">
        <is>
          <t>None detected</t>
        </is>
      </c>
    </row>
    <row r="217">
      <c r="A217" s="3" t="inlineStr">
        <is>
          <t>https://codesommet.com/services/telemedicine-website-development</t>
        </is>
      </c>
      <c r="B217" s="5" t="inlineStr">
        <is>
          <t>Site Web Cabinet Médical &amp; Télémédecine : nous créons des SITES WEB MÉDICAUX</t>
        </is>
      </c>
      <c r="C217" t="inlineStr">
        <is>
          <t>France</t>
        </is>
      </c>
      <c r="D217" t="inlineStr">
        <is>
          <t>fr</t>
        </is>
      </c>
      <c r="E217" t="inlineStr">
        <is>
          <t>NOT RECOMMENDED</t>
        </is>
      </c>
      <c r="F217" t="inlineStr">
        <is>
          <t>agence web santé</t>
        </is>
      </c>
      <c r="G217" t="n">
        <v>590</v>
      </c>
      <c r="H217" t="n">
        <v>28</v>
      </c>
      <c r="I217" t="n">
        <v>2.76</v>
      </c>
      <c r="J217" t="inlineStr">
        <is>
          <t>Informational</t>
        </is>
      </c>
      <c r="K217" t="inlineStr">
        <is>
          <t>MEASURED</t>
        </is>
      </c>
      <c r="L217" t="inlineStr">
        <is>
          <t>P4</t>
        </is>
      </c>
      <c r="M217" t="n">
        <v>0</v>
      </c>
      <c r="N217">
        <f>ROUND(IF(IF(J217="NOT AVAILABLE","",J217)="",12,IF(OR(ISNUMBER(SEARCH("Transactional",IF(J217="NOT AVAILABLE","",J217))),ISNUMBER(SEARCH("Commercial",IF(J217="NOT AVAILABLE","",J217)))),25,IF(ISNUMBER(SEARCH("Informational",IF(J217="NOT AVAILABLE","",J217))),10,IF(ISNUMBER(SEARCH("Navigational",IF(J217="NOT AVAILABLE","",J217))),0,12))))+IF(ISNUMBER(G217),MIN(30,ROUND(30*LOG10(G217+1)/4,1)),0)+IF(ISNUMBER(H217),ROUND(25*(100-H217)/100,1),12.5)+14,0)</f>
        <v/>
      </c>
      <c r="O217">
        <f>ROUND(N217*M217/100,0)</f>
        <v/>
      </c>
      <c r="P217" s="5" t="inlineStr">
        <is>
          <t>Owned by healthcare page</t>
        </is>
      </c>
      <c r="Q217" s="5" t="inlineStr">
        <is>
          <t>n/a (not targeted)</t>
        </is>
      </c>
    </row>
    <row r="218">
      <c r="A218" s="3" t="inlineStr">
        <is>
          <t>https://codesommet.com/services/university-website-development</t>
        </is>
      </c>
      <c r="B218" s="5" t="inlineStr">
        <is>
          <t xml:space="preserve">Développement de Sites Web Universitaires qui génèrent des PORTAILS D'ADMISSION </t>
        </is>
      </c>
      <c r="C218" t="inlineStr">
        <is>
          <t>France</t>
        </is>
      </c>
      <c r="D218" t="inlineStr">
        <is>
          <t>fr</t>
        </is>
      </c>
      <c r="E218" t="inlineStr">
        <is>
          <t>PRIMARY</t>
        </is>
      </c>
      <c r="F218" t="inlineStr">
        <is>
          <t>site web université</t>
        </is>
      </c>
      <c r="G218" t="n">
        <v>20</v>
      </c>
      <c r="H218" t="inlineStr">
        <is>
          <t>NOT AVAILABLE</t>
        </is>
      </c>
      <c r="I218" t="n">
        <v>0</v>
      </c>
      <c r="J218" t="inlineStr">
        <is>
          <t>NOT AVAILABLE</t>
        </is>
      </c>
      <c r="K218" t="inlineStr">
        <is>
          <t>MEASURED</t>
        </is>
      </c>
      <c r="L218" t="inlineStr">
        <is>
          <t>P2</t>
        </is>
      </c>
      <c r="M218" t="n">
        <v>100</v>
      </c>
      <c r="N218">
        <f>ROUND(IF(IF(J218="NOT AVAILABLE","",J218)="",12,IF(OR(ISNUMBER(SEARCH("Transactional",IF(J218="NOT AVAILABLE","",J218))),ISNUMBER(SEARCH("Commercial",IF(J218="NOT AVAILABLE","",J218)))),25,IF(ISNUMBER(SEARCH("Informational",IF(J218="NOT AVAILABLE","",J218))),10,IF(ISNUMBER(SEARCH("Navigational",IF(J218="NOT AVAILABLE","",J218))),0,12))))+IF(ISNUMBER(G218),MIN(30,ROUND(30*LOG10(G218+1)/4,1)),0)+IF(ISNUMBER(H218),ROUND(25*(100-H218)/100,1),12.5)+14,0)</f>
        <v/>
      </c>
      <c r="O218">
        <f>ROUND(N218*M218/100,0)</f>
        <v/>
      </c>
      <c r="P218" s="5" t="inlineStr">
        <is>
          <t>FR 20 / MA 10 - exact match</t>
        </is>
      </c>
      <c r="Q218" s="5" t="inlineStr">
        <is>
          <t>None detected</t>
        </is>
      </c>
    </row>
    <row r="219">
      <c r="A219" s="3" t="inlineStr">
        <is>
          <t>https://codesommet.com/services/university-website-development</t>
        </is>
      </c>
      <c r="B219" s="5" t="inlineStr">
        <is>
          <t xml:space="preserve">Développement de Sites Web Universitaires qui génèrent des PORTAILS D'ADMISSION </t>
        </is>
      </c>
      <c r="C219" t="inlineStr">
        <is>
          <t>Morocco</t>
        </is>
      </c>
      <c r="D219" t="inlineStr">
        <is>
          <t>ma</t>
        </is>
      </c>
      <c r="E219" t="inlineStr">
        <is>
          <t>SUPPORTING</t>
        </is>
      </c>
      <c r="F219" t="inlineStr">
        <is>
          <t>site web université</t>
        </is>
      </c>
      <c r="G219" t="n">
        <v>10</v>
      </c>
      <c r="H219" t="inlineStr">
        <is>
          <t>NOT AVAILABLE</t>
        </is>
      </c>
      <c r="I219" t="n">
        <v>0</v>
      </c>
      <c r="J219" t="inlineStr">
        <is>
          <t>NOT AVAILABLE</t>
        </is>
      </c>
      <c r="K219" t="inlineStr">
        <is>
          <t>MEASURED</t>
        </is>
      </c>
      <c r="L219" t="inlineStr">
        <is>
          <t>P3</t>
        </is>
      </c>
      <c r="M219" t="n">
        <v>65</v>
      </c>
      <c r="N219">
        <f>ROUND(IF(IF(J219="NOT AVAILABLE","",J219)="",12,IF(OR(ISNUMBER(SEARCH("Transactional",IF(J219="NOT AVAILABLE","",J219))),ISNUMBER(SEARCH("Commercial",IF(J219="NOT AVAILABLE","",J219)))),25,IF(ISNUMBER(SEARCH("Informational",IF(J219="NOT AVAILABLE","",J219))),10,IF(ISNUMBER(SEARCH("Navigational",IF(J219="NOT AVAILABLE","",J219))),0,12))))+IF(ISNUMBER(G219),MIN(30,ROUND(30*LOG10(G219+1)/4,1)),0)+IF(ISNUMBER(H219),ROUND(25*(100-H219)/100,1),12.5)+20,0)</f>
        <v/>
      </c>
      <c r="O219">
        <f>ROUND(N219*M219/100,0)</f>
        <v/>
      </c>
      <c r="P219" s="5" t="inlineStr">
        <is>
          <t>Semantic/supporting term for body copy</t>
        </is>
      </c>
      <c r="Q219" s="5" t="inlineStr">
        <is>
          <t>None detected</t>
        </is>
      </c>
    </row>
    <row r="220">
      <c r="A220" s="3" t="inlineStr">
        <is>
          <t>https://codesommet.com/services/university-website-development</t>
        </is>
      </c>
      <c r="B220" s="5" t="inlineStr">
        <is>
          <t xml:space="preserve">Développement de Sites Web Universitaires qui génèrent des PORTAILS D'ADMISSION </t>
        </is>
      </c>
      <c r="C220" t="inlineStr">
        <is>
          <t>France</t>
        </is>
      </c>
      <c r="D220" t="inlineStr">
        <is>
          <t>fr</t>
        </is>
      </c>
      <c r="E220" t="inlineStr">
        <is>
          <t>NOT RECOMMENDED</t>
        </is>
      </c>
      <c r="F220" t="inlineStr">
        <is>
          <t>portail étudiant</t>
        </is>
      </c>
      <c r="G220" t="n">
        <v>260</v>
      </c>
      <c r="H220" t="n">
        <v>33</v>
      </c>
      <c r="I220" t="n">
        <v>0</v>
      </c>
      <c r="J220" t="inlineStr">
        <is>
          <t>Informational</t>
        </is>
      </c>
      <c r="K220" t="inlineStr">
        <is>
          <t>MEASURED</t>
        </is>
      </c>
      <c r="L220" t="inlineStr">
        <is>
          <t>P4</t>
        </is>
      </c>
      <c r="M220" t="n">
        <v>0</v>
      </c>
      <c r="N220">
        <f>ROUND(IF(IF(J220="NOT AVAILABLE","",J220)="",12,IF(OR(ISNUMBER(SEARCH("Transactional",IF(J220="NOT AVAILABLE","",J220))),ISNUMBER(SEARCH("Commercial",IF(J220="NOT AVAILABLE","",J220)))),25,IF(ISNUMBER(SEARCH("Informational",IF(J220="NOT AVAILABLE","",J220))),10,IF(ISNUMBER(SEARCH("Navigational",IF(J220="NOT AVAILABLE","",J220))),0,12))))+IF(ISNUMBER(G220),MIN(30,ROUND(30*LOG10(G220+1)/4,1)),0)+IF(ISNUMBER(H220),ROUND(25*(100-H220)/100,1),12.5)+14,0)</f>
        <v/>
      </c>
      <c r="O220">
        <f>ROUND(N220*M220/100,0)</f>
        <v/>
      </c>
      <c r="P220" s="5" t="inlineStr">
        <is>
          <t>Navigational (students looking for their own portal login)</t>
        </is>
      </c>
      <c r="Q220" s="5" t="inlineStr">
        <is>
          <t>n/a (not targeted)</t>
        </is>
      </c>
    </row>
    <row r="221">
      <c r="A221" s="3" t="inlineStr">
        <is>
          <t>https://codesommet.com/services/university-website-development</t>
        </is>
      </c>
      <c r="B221" s="5" t="inlineStr">
        <is>
          <t xml:space="preserve">Développement de Sites Web Universitaires qui génèrent des PORTAILS D'ADMISSION </t>
        </is>
      </c>
      <c r="C221" t="inlineStr">
        <is>
          <t>Morocco</t>
        </is>
      </c>
      <c r="D221" t="inlineStr">
        <is>
          <t>ma</t>
        </is>
      </c>
      <c r="E221" t="inlineStr">
        <is>
          <t>NOT RECOMMENDED</t>
        </is>
      </c>
      <c r="F221" t="inlineStr">
        <is>
          <t>portail étudiant</t>
        </is>
      </c>
      <c r="G221" t="n">
        <v>210</v>
      </c>
      <c r="H221" t="inlineStr">
        <is>
          <t>NOT AVAILABLE</t>
        </is>
      </c>
      <c r="I221" t="n">
        <v>0</v>
      </c>
      <c r="J221" t="inlineStr">
        <is>
          <t>NOT AVAILABLE</t>
        </is>
      </c>
      <c r="K221" t="inlineStr">
        <is>
          <t>MEASURED</t>
        </is>
      </c>
      <c r="L221" t="inlineStr">
        <is>
          <t>P4</t>
        </is>
      </c>
      <c r="M221" t="n">
        <v>0</v>
      </c>
      <c r="N221">
        <f>ROUND(IF(IF(J221="NOT AVAILABLE","",J221)="",12,IF(OR(ISNUMBER(SEARCH("Transactional",IF(J221="NOT AVAILABLE","",J221))),ISNUMBER(SEARCH("Commercial",IF(J221="NOT AVAILABLE","",J221)))),25,IF(ISNUMBER(SEARCH("Informational",IF(J221="NOT AVAILABLE","",J221))),10,IF(ISNUMBER(SEARCH("Navigational",IF(J221="NOT AVAILABLE","",J221))),0,12))))+IF(ISNUMBER(G221),MIN(30,ROUND(30*LOG10(G221+1)/4,1)),0)+IF(ISNUMBER(H221),ROUND(25*(100-H221)/100,1),12.5)+20,0)</f>
        <v/>
      </c>
      <c r="O221">
        <f>ROUND(N221*M221/100,0)</f>
        <v/>
      </c>
      <c r="P221" s="5" t="inlineStr">
        <is>
          <t>Navigational (210) - students seeking login pages</t>
        </is>
      </c>
      <c r="Q221" s="5" t="inlineStr">
        <is>
          <t>n/a (not targeted)</t>
        </is>
      </c>
    </row>
    <row r="222">
      <c r="A222" s="3" t="inlineStr">
        <is>
          <t>https://codesommet.com/services/university-website-development</t>
        </is>
      </c>
      <c r="B222" s="5" t="inlineStr">
        <is>
          <t xml:space="preserve">Développement de Sites Web Universitaires qui génèrent des PORTAILS D'ADMISSION </t>
        </is>
      </c>
      <c r="C222" t="inlineStr">
        <is>
          <t>France</t>
        </is>
      </c>
      <c r="D222" t="inlineStr">
        <is>
          <t>fr</t>
        </is>
      </c>
      <c r="E222" t="inlineStr">
        <is>
          <t>NOT RECOMMENDED</t>
        </is>
      </c>
      <c r="F222" t="inlineStr">
        <is>
          <t>site universitaire</t>
        </is>
      </c>
      <c r="G222" t="n">
        <v>90</v>
      </c>
      <c r="H222" t="n">
        <v>98</v>
      </c>
      <c r="I222" t="n">
        <v>1.29</v>
      </c>
      <c r="J222" t="inlineStr">
        <is>
          <t>Transactional</t>
        </is>
      </c>
      <c r="K222" t="inlineStr">
        <is>
          <t>MEASURED</t>
        </is>
      </c>
      <c r="L222" t="inlineStr">
        <is>
          <t>P4</t>
        </is>
      </c>
      <c r="M222" t="n">
        <v>0</v>
      </c>
      <c r="N222">
        <f>ROUND(IF(IF(J222="NOT AVAILABLE","",J222)="",12,IF(OR(ISNUMBER(SEARCH("Transactional",IF(J222="NOT AVAILABLE","",J222))),ISNUMBER(SEARCH("Commercial",IF(J222="NOT AVAILABLE","",J222)))),25,IF(ISNUMBER(SEARCH("Informational",IF(J222="NOT AVAILABLE","",J222))),10,IF(ISNUMBER(SEARCH("Navigational",IF(J222="NOT AVAILABLE","",J222))),0,12))))+IF(ISNUMBER(G222),MIN(30,ROUND(30*LOG10(G222+1)/4,1)),0)+IF(ISNUMBER(H222),ROUND(25*(100-H222)/100,1),12.5)+14,0)</f>
        <v/>
      </c>
      <c r="O222">
        <f>ROUND(N222*M222/100,0)</f>
        <v/>
      </c>
      <c r="P222" s="5" t="inlineStr">
        <is>
          <t>Navigational, KD 98</t>
        </is>
      </c>
      <c r="Q222" s="5" t="inlineStr">
        <is>
          <t>n/a (not targeted)</t>
        </is>
      </c>
    </row>
    <row r="223">
      <c r="A223" s="3" t="inlineStr">
        <is>
          <t>https://codesommet.com/tools</t>
        </is>
      </c>
      <c r="B223" s="5" t="inlineStr">
        <is>
          <t>40+ Outils SEO &amp; IA Gratuits en Ligne Pour Votre Site Web</t>
        </is>
      </c>
      <c r="C223" t="inlineStr">
        <is>
          <t>France</t>
        </is>
      </c>
      <c r="D223" t="inlineStr">
        <is>
          <t>fr</t>
        </is>
      </c>
      <c r="E223" t="inlineStr">
        <is>
          <t>PRIMARY</t>
        </is>
      </c>
      <c r="F223" t="inlineStr">
        <is>
          <t>outil seo gratuit</t>
        </is>
      </c>
      <c r="G223" t="n">
        <v>720</v>
      </c>
      <c r="H223" t="n">
        <v>43</v>
      </c>
      <c r="I223" t="n">
        <v>2.39</v>
      </c>
      <c r="J223" t="inlineStr">
        <is>
          <t>Informational</t>
        </is>
      </c>
      <c r="K223" t="inlineStr">
        <is>
          <t>MEASURED</t>
        </is>
      </c>
      <c r="L223" t="inlineStr">
        <is>
          <t>P3</t>
        </is>
      </c>
      <c r="M223" t="n">
        <v>100</v>
      </c>
      <c r="N223">
        <f>ROUND(IF(IF(J223="NOT AVAILABLE","",J223)="",12,IF(OR(ISNUMBER(SEARCH("Transactional",IF(J223="NOT AVAILABLE","",J223))),ISNUMBER(SEARCH("Commercial",IF(J223="NOT AVAILABLE","",J223)))),25,IF(ISNUMBER(SEARCH("Informational",IF(J223="NOT AVAILABLE","",J223))),10,IF(ISNUMBER(SEARCH("Navigational",IF(J223="NOT AVAILABLE","",J223))),0,12))))+IF(ISNUMBER(G223),MIN(30,ROUND(30*LOG10(G223+1)/4,1)),0)+IF(ISNUMBER(H223),ROUND(25*(100-H223)/100,1),12.5)+14,0)</f>
        <v/>
      </c>
      <c r="O223">
        <f>ROUND(N223*M223/100,0)</f>
        <v/>
      </c>
      <c r="P223" s="5" t="inlineStr">
        <is>
          <t>Best hub query (FR 720, KD 43); title already "Outils SEO &amp; IA Gratuits"</t>
        </is>
      </c>
      <c r="Q223" s="5" t="inlineStr">
        <is>
          <t>None detected</t>
        </is>
      </c>
    </row>
    <row r="224">
      <c r="A224" s="3" t="inlineStr">
        <is>
          <t>https://codesommet.com/tools</t>
        </is>
      </c>
      <c r="B224" s="5" t="inlineStr">
        <is>
          <t>40+ Outils SEO &amp; IA Gratuits en Ligne Pour Votre Site Web</t>
        </is>
      </c>
      <c r="C224" t="inlineStr">
        <is>
          <t>France</t>
        </is>
      </c>
      <c r="D224" t="inlineStr">
        <is>
          <t>fr</t>
        </is>
      </c>
      <c r="E224" t="inlineStr">
        <is>
          <t>SECONDARY</t>
        </is>
      </c>
      <c r="F224" t="inlineStr">
        <is>
          <t>outils seo en ligne</t>
        </is>
      </c>
      <c r="G224" t="n">
        <v>320</v>
      </c>
      <c r="H224" t="n">
        <v>41</v>
      </c>
      <c r="I224" t="n">
        <v>0</v>
      </c>
      <c r="J224" t="inlineStr">
        <is>
          <t>Commercial</t>
        </is>
      </c>
      <c r="K224" t="inlineStr">
        <is>
          <t>MEASURED</t>
        </is>
      </c>
      <c r="L224" t="inlineStr">
        <is>
          <t>P3</t>
        </is>
      </c>
      <c r="M224" t="n">
        <v>85</v>
      </c>
      <c r="N224">
        <f>ROUND(IF(IF(J224="NOT AVAILABLE","",J224)="",12,IF(OR(ISNUMBER(SEARCH("Transactional",IF(J224="NOT AVAILABLE","",J224))),ISNUMBER(SEARCH("Commercial",IF(J224="NOT AVAILABLE","",J224)))),25,IF(ISNUMBER(SEARCH("Informational",IF(J224="NOT AVAILABLE","",J224))),10,IF(ISNUMBER(SEARCH("Navigational",IF(J224="NOT AVAILABLE","",J224))),0,12))))+IF(ISNUMBER(G224),MIN(30,ROUND(30*LOG10(G224+1)/4,1)),0)+IF(ISNUMBER(H224),ROUND(25*(100-H224)/100,1),12.5)+14,0)</f>
        <v/>
      </c>
      <c r="O224">
        <f>ROUND(N224*M224/100,0)</f>
        <v/>
      </c>
      <c r="P224" s="5" t="inlineStr">
        <is>
          <t>Close commercial variant of the page topic</t>
        </is>
      </c>
      <c r="Q224" s="5" t="inlineStr">
        <is>
          <t>None detected</t>
        </is>
      </c>
    </row>
    <row r="225">
      <c r="A225" s="3" t="inlineStr">
        <is>
          <t>https://codesommet.com/tools</t>
        </is>
      </c>
      <c r="B225" s="5" t="inlineStr">
        <is>
          <t>40+ Outils SEO &amp; IA Gratuits en Ligne Pour Votre Site Web</t>
        </is>
      </c>
      <c r="C225" t="inlineStr">
        <is>
          <t>France</t>
        </is>
      </c>
      <c r="D225" t="inlineStr">
        <is>
          <t>fr</t>
        </is>
      </c>
      <c r="E225" t="inlineStr">
        <is>
          <t>SECONDARY</t>
        </is>
      </c>
      <c r="F225" t="inlineStr">
        <is>
          <t>outils seo gratuits</t>
        </is>
      </c>
      <c r="G225" t="n">
        <v>170</v>
      </c>
      <c r="H225" t="n">
        <v>37</v>
      </c>
      <c r="I225" t="n">
        <v>2.25</v>
      </c>
      <c r="J225" t="inlineStr">
        <is>
          <t>Informational</t>
        </is>
      </c>
      <c r="K225" t="inlineStr">
        <is>
          <t>MEASURED</t>
        </is>
      </c>
      <c r="L225" t="inlineStr">
        <is>
          <t>P3</t>
        </is>
      </c>
      <c r="M225" t="n">
        <v>85</v>
      </c>
      <c r="N225">
        <f>ROUND(IF(IF(J225="NOT AVAILABLE","",J225)="",12,IF(OR(ISNUMBER(SEARCH("Transactional",IF(J225="NOT AVAILABLE","",J225))),ISNUMBER(SEARCH("Commercial",IF(J225="NOT AVAILABLE","",J225)))),25,IF(ISNUMBER(SEARCH("Informational",IF(J225="NOT AVAILABLE","",J225))),10,IF(ISNUMBER(SEARCH("Navigational",IF(J225="NOT AVAILABLE","",J225))),0,12))))+IF(ISNUMBER(G225),MIN(30,ROUND(30*LOG10(G225+1)/4,1)),0)+IF(ISNUMBER(H225),ROUND(25*(100-H225)/100,1),12.5)+14,0)</f>
        <v/>
      </c>
      <c r="O225">
        <f>ROUND(N225*M225/100,0)</f>
        <v/>
      </c>
      <c r="P225" s="5" t="inlineStr">
        <is>
          <t>Close commercial variant of the page topic</t>
        </is>
      </c>
      <c r="Q225" s="5" t="inlineStr">
        <is>
          <t>None detected</t>
        </is>
      </c>
    </row>
    <row r="226">
      <c r="A226" s="3" t="inlineStr">
        <is>
          <t>https://codesommet.com/tools</t>
        </is>
      </c>
      <c r="B226" s="5" t="inlineStr">
        <is>
          <t>40+ Outils SEO &amp; IA Gratuits en Ligne Pour Votre Site Web</t>
        </is>
      </c>
      <c r="C226" t="inlineStr">
        <is>
          <t>Morocco</t>
        </is>
      </c>
      <c r="D226" t="inlineStr">
        <is>
          <t>ma</t>
        </is>
      </c>
      <c r="E226" t="inlineStr">
        <is>
          <t>SECONDARY</t>
        </is>
      </c>
      <c r="F226" t="inlineStr">
        <is>
          <t>outil seo gratuit</t>
        </is>
      </c>
      <c r="G226" t="n">
        <v>20</v>
      </c>
      <c r="H226" t="inlineStr">
        <is>
          <t>NOT AVAILABLE</t>
        </is>
      </c>
      <c r="I226" t="n">
        <v>0</v>
      </c>
      <c r="J226" t="inlineStr">
        <is>
          <t>NOT AVAILABLE</t>
        </is>
      </c>
      <c r="K226" t="inlineStr">
        <is>
          <t>MEASURED</t>
        </is>
      </c>
      <c r="L226" t="inlineStr">
        <is>
          <t>P3</t>
        </is>
      </c>
      <c r="M226" t="n">
        <v>85</v>
      </c>
      <c r="N226">
        <f>ROUND(IF(IF(J226="NOT AVAILABLE","",J226)="",12,IF(OR(ISNUMBER(SEARCH("Transactional",IF(J226="NOT AVAILABLE","",J226))),ISNUMBER(SEARCH("Commercial",IF(J226="NOT AVAILABLE","",J226)))),25,IF(ISNUMBER(SEARCH("Informational",IF(J226="NOT AVAILABLE","",J226))),10,IF(ISNUMBER(SEARCH("Navigational",IF(J226="NOT AVAILABLE","",J226))),0,12))))+IF(ISNUMBER(G226),MIN(30,ROUND(30*LOG10(G226+1)/4,1)),0)+IF(ISNUMBER(H226),ROUND(25*(100-H226)/100,1),12.5)+20,0)</f>
        <v/>
      </c>
      <c r="O226">
        <f>ROUND(N226*M226/100,0)</f>
        <v/>
      </c>
      <c r="P226" s="5" t="inlineStr">
        <is>
          <t>MA market (20)</t>
        </is>
      </c>
      <c r="Q226" s="5" t="inlineStr">
        <is>
          <t>None detected</t>
        </is>
      </c>
    </row>
    <row r="227">
      <c r="A227" s="3" t="inlineStr">
        <is>
          <t>https://codesommet.com/tools</t>
        </is>
      </c>
      <c r="B227" s="5" t="inlineStr">
        <is>
          <t>40+ Outils SEO &amp; IA Gratuits en Ligne Pour Votre Site Web</t>
        </is>
      </c>
      <c r="C227" t="inlineStr">
        <is>
          <t>France</t>
        </is>
      </c>
      <c r="D227" t="inlineStr">
        <is>
          <t>fr</t>
        </is>
      </c>
      <c r="E227" t="inlineStr">
        <is>
          <t>SUPPORTING</t>
        </is>
      </c>
      <c r="F227" t="inlineStr">
        <is>
          <t>outil seo</t>
        </is>
      </c>
      <c r="G227" t="n">
        <v>1900</v>
      </c>
      <c r="H227" t="n">
        <v>44</v>
      </c>
      <c r="I227" t="n">
        <v>2.45</v>
      </c>
      <c r="J227" t="inlineStr">
        <is>
          <t>Informational</t>
        </is>
      </c>
      <c r="K227" t="inlineStr">
        <is>
          <t>MEASURED</t>
        </is>
      </c>
      <c r="L227" t="inlineStr">
        <is>
          <t>P3</t>
        </is>
      </c>
      <c r="M227" t="n">
        <v>65</v>
      </c>
      <c r="N227">
        <f>ROUND(IF(IF(J227="NOT AVAILABLE","",J227)="",12,IF(OR(ISNUMBER(SEARCH("Transactional",IF(J227="NOT AVAILABLE","",J227))),ISNUMBER(SEARCH("Commercial",IF(J227="NOT AVAILABLE","",J227)))),25,IF(ISNUMBER(SEARCH("Informational",IF(J227="NOT AVAILABLE","",J227))),10,IF(ISNUMBER(SEARCH("Navigational",IF(J227="NOT AVAILABLE","",J227))),0,12))))+IF(ISNUMBER(G227),MIN(30,ROUND(30*LOG10(G227+1)/4,1)),0)+IF(ISNUMBER(H227),ROUND(25*(100-H227)/100,1),12.5)+14,0)</f>
        <v/>
      </c>
      <c r="O227">
        <f>ROUND(N227*M227/100,0)</f>
        <v/>
      </c>
      <c r="P227" s="5" t="inlineStr">
        <is>
          <t>Semantic/supporting term for body copy</t>
        </is>
      </c>
      <c r="Q227" s="5" t="inlineStr">
        <is>
          <t>None detected</t>
        </is>
      </c>
    </row>
    <row r="228">
      <c r="A228" s="3" t="inlineStr">
        <is>
          <t>https://codesommet.com/tools</t>
        </is>
      </c>
      <c r="B228" s="5" t="inlineStr">
        <is>
          <t>40+ Outils SEO &amp; IA Gratuits en Ligne Pour Votre Site Web</t>
        </is>
      </c>
      <c r="C228" t="inlineStr">
        <is>
          <t>France</t>
        </is>
      </c>
      <c r="D228" t="inlineStr">
        <is>
          <t>fr</t>
        </is>
      </c>
      <c r="E228" t="inlineStr">
        <is>
          <t>SUPPORTING</t>
        </is>
      </c>
      <c r="F228" t="inlineStr">
        <is>
          <t>outils seo</t>
        </is>
      </c>
      <c r="G228" t="n">
        <v>1600</v>
      </c>
      <c r="H228" t="n">
        <v>42</v>
      </c>
      <c r="I228" t="n">
        <v>2.18</v>
      </c>
      <c r="J228" t="inlineStr">
        <is>
          <t>Informational, Commercial</t>
        </is>
      </c>
      <c r="K228" t="inlineStr">
        <is>
          <t>MEASURED</t>
        </is>
      </c>
      <c r="L228" t="inlineStr">
        <is>
          <t>P3</t>
        </is>
      </c>
      <c r="M228" t="n">
        <v>65</v>
      </c>
      <c r="N228">
        <f>ROUND(IF(IF(J228="NOT AVAILABLE","",J228)="",12,IF(OR(ISNUMBER(SEARCH("Transactional",IF(J228="NOT AVAILABLE","",J228))),ISNUMBER(SEARCH("Commercial",IF(J228="NOT AVAILABLE","",J228)))),25,IF(ISNUMBER(SEARCH("Informational",IF(J228="NOT AVAILABLE","",J228))),10,IF(ISNUMBER(SEARCH("Navigational",IF(J228="NOT AVAILABLE","",J228))),0,12))))+IF(ISNUMBER(G228),MIN(30,ROUND(30*LOG10(G228+1)/4,1)),0)+IF(ISNUMBER(H228),ROUND(25*(100-H228)/100,1),12.5)+14,0)</f>
        <v/>
      </c>
      <c r="O228">
        <f>ROUND(N228*M228/100,0)</f>
        <v/>
      </c>
      <c r="P228" s="5" t="inlineStr">
        <is>
          <t>1600, KD 42 - broad</t>
        </is>
      </c>
      <c r="Q228" s="5" t="inlineStr">
        <is>
          <t>None detected</t>
        </is>
      </c>
    </row>
    <row r="229">
      <c r="A229" s="3" t="inlineStr">
        <is>
          <t>https://codesommet.com/tools/ai-crawler-access-checker</t>
        </is>
      </c>
      <c r="B229" s="5" t="inlineStr">
        <is>
          <t>Accès des Robots d'IA : GPTBot, ClaudeBot</t>
        </is>
      </c>
      <c r="C229" t="inlineStr">
        <is>
          <t>France</t>
        </is>
      </c>
      <c r="D229" t="inlineStr">
        <is>
          <t>fr</t>
        </is>
      </c>
      <c r="E229" t="inlineStr">
        <is>
          <t>PRIMARY</t>
        </is>
      </c>
      <c r="F229" t="inlineStr">
        <is>
          <t>robots ia</t>
        </is>
      </c>
      <c r="G229" t="n">
        <v>320</v>
      </c>
      <c r="H229" t="n">
        <v>33</v>
      </c>
      <c r="I229" t="n">
        <v>0.79</v>
      </c>
      <c r="J229" t="inlineStr">
        <is>
          <t>Informational</t>
        </is>
      </c>
      <c r="K229" t="inlineStr">
        <is>
          <t>MEASURED</t>
        </is>
      </c>
      <c r="L229" t="inlineStr">
        <is>
          <t>P3</t>
        </is>
      </c>
      <c r="M229" t="n">
        <v>100</v>
      </c>
      <c r="N229">
        <f>ROUND(IF(IF(J229="NOT AVAILABLE","",J229)="",12,IF(OR(ISNUMBER(SEARCH("Transactional",IF(J229="NOT AVAILABLE","",J229))),ISNUMBER(SEARCH("Commercial",IF(J229="NOT AVAILABLE","",J229)))),25,IF(ISNUMBER(SEARCH("Informational",IF(J229="NOT AVAILABLE","",J229))),10,IF(ISNUMBER(SEARCH("Navigational",IF(J229="NOT AVAILABLE","",J229))),0,12))))+IF(ISNUMBER(G229),MIN(30,ROUND(30*LOG10(G229+1)/4,1)),0)+IF(ISNUMBER(H229),ROUND(25*(100-H229)/100,1),12.5)+14,0)</f>
        <v/>
      </c>
      <c r="O229">
        <f>ROUND(N229*M229/100,0)</f>
        <v/>
      </c>
      <c r="P229" s="5" t="inlineStr">
        <is>
          <t>Best-fitting measured FR query for the tool task (tools serve the francophone market; FR db used as proxy)</t>
        </is>
      </c>
      <c r="Q229" s="5" t="inlineStr">
        <is>
          <t>None detected</t>
        </is>
      </c>
    </row>
    <row r="230">
      <c r="A230" s="3" t="inlineStr">
        <is>
          <t>https://codesommet.com/tools/ai-crawler-access-checker</t>
        </is>
      </c>
      <c r="B230" s="5" t="inlineStr">
        <is>
          <t>Accès des Robots d'IA : GPTBot, ClaudeBot</t>
        </is>
      </c>
      <c r="C230" t="inlineStr">
        <is>
          <t>Morocco</t>
        </is>
      </c>
      <c r="D230" t="inlineStr">
        <is>
          <t>ma</t>
        </is>
      </c>
      <c r="E230" t="inlineStr">
        <is>
          <t>SECONDARY</t>
        </is>
      </c>
      <c r="F230" t="inlineStr">
        <is>
          <t>robots ia</t>
        </is>
      </c>
      <c r="G230" t="n">
        <v>20</v>
      </c>
      <c r="H230" t="inlineStr">
        <is>
          <t>NOT AVAILABLE</t>
        </is>
      </c>
      <c r="I230" t="n">
        <v>0</v>
      </c>
      <c r="J230" t="inlineStr">
        <is>
          <t>NOT AVAILABLE</t>
        </is>
      </c>
      <c r="K230" t="inlineStr">
        <is>
          <t>MEASURED</t>
        </is>
      </c>
      <c r="L230" t="inlineStr">
        <is>
          <t>P3</t>
        </is>
      </c>
      <c r="M230" t="n">
        <v>85</v>
      </c>
      <c r="N230">
        <f>ROUND(IF(IF(J230="NOT AVAILABLE","",J230)="",12,IF(OR(ISNUMBER(SEARCH("Transactional",IF(J230="NOT AVAILABLE","",J230))),ISNUMBER(SEARCH("Commercial",IF(J230="NOT AVAILABLE","",J230)))),25,IF(ISNUMBER(SEARCH("Informational",IF(J230="NOT AVAILABLE","",J230))),10,IF(ISNUMBER(SEARCH("Navigational",IF(J230="NOT AVAILABLE","",J230))),0,12))))+IF(ISNUMBER(G230),MIN(30,ROUND(30*LOG10(G230+1)/4,1)),0)+IF(ISNUMBER(H230),ROUND(25*(100-H230)/100,1),12.5)+20,0)</f>
        <v/>
      </c>
      <c r="O230">
        <f>ROUND(N230*M230/100,0)</f>
        <v/>
      </c>
      <c r="P230" s="5" t="inlineStr">
        <is>
          <t>Same query, Moroccan market (separate database, never summed)</t>
        </is>
      </c>
      <c r="Q230" s="5" t="inlineStr">
        <is>
          <t>None detected</t>
        </is>
      </c>
    </row>
    <row r="231">
      <c r="A231" s="3" t="inlineStr">
        <is>
          <t>https://codesommet.com/tools/ai-crawler-access-checker</t>
        </is>
      </c>
      <c r="B231" s="5" t="inlineStr">
        <is>
          <t>Accès des Robots d'IA : GPTBot, ClaudeBot</t>
        </is>
      </c>
      <c r="C231" t="inlineStr">
        <is>
          <t>France</t>
        </is>
      </c>
      <c r="D231" t="inlineStr">
        <is>
          <t>fr</t>
        </is>
      </c>
      <c r="E231" t="inlineStr">
        <is>
          <t>SUPPORTING</t>
        </is>
      </c>
      <c r="F231" t="inlineStr">
        <is>
          <t>crawler ia</t>
        </is>
      </c>
      <c r="G231" t="n">
        <v>20</v>
      </c>
      <c r="H231" t="inlineStr">
        <is>
          <t>NOT AVAILABLE</t>
        </is>
      </c>
      <c r="I231" t="n">
        <v>0</v>
      </c>
      <c r="J231" t="inlineStr">
        <is>
          <t>NOT AVAILABLE</t>
        </is>
      </c>
      <c r="K231" t="inlineStr">
        <is>
          <t>MEASURED</t>
        </is>
      </c>
      <c r="L231" t="inlineStr">
        <is>
          <t>P3</t>
        </is>
      </c>
      <c r="M231" t="n">
        <v>65</v>
      </c>
      <c r="N231">
        <f>ROUND(IF(IF(J231="NOT AVAILABLE","",J231)="",12,IF(OR(ISNUMBER(SEARCH("Transactional",IF(J231="NOT AVAILABLE","",J231))),ISNUMBER(SEARCH("Commercial",IF(J231="NOT AVAILABLE","",J231)))),25,IF(ISNUMBER(SEARCH("Informational",IF(J231="NOT AVAILABLE","",J231))),10,IF(ISNUMBER(SEARCH("Navigational",IF(J231="NOT AVAILABLE","",J231))),0,12))))+IF(ISNUMBER(G231),MIN(30,ROUND(30*LOG10(G231+1)/4,1)),0)+IF(ISNUMBER(H231),ROUND(25*(100-H231)/100,1),12.5)+14,0)</f>
        <v/>
      </c>
      <c r="O231">
        <f>ROUND(N231*M231/100,0)</f>
        <v/>
      </c>
      <c r="P231" s="5" t="inlineStr">
        <is>
          <t>Measured variant of the tool task</t>
        </is>
      </c>
      <c r="Q231" s="5" t="inlineStr">
        <is>
          <t>None detected</t>
        </is>
      </c>
    </row>
    <row r="232">
      <c r="A232" s="3" t="inlineStr">
        <is>
          <t>https://codesommet.com/tools/ai-crawler-access-checker</t>
        </is>
      </c>
      <c r="B232" s="5" t="inlineStr">
        <is>
          <t>Accès des Robots d'IA : GPTBot, ClaudeBot</t>
        </is>
      </c>
      <c r="C232" t="inlineStr">
        <is>
          <t>France</t>
        </is>
      </c>
      <c r="D232" t="inlineStr">
        <is>
          <t>fr</t>
        </is>
      </c>
      <c r="E232" t="inlineStr">
        <is>
          <t>SUPPORTING</t>
        </is>
      </c>
      <c r="F232" t="inlineStr">
        <is>
          <t>gptbot</t>
        </is>
      </c>
      <c r="G232" t="n">
        <v>10</v>
      </c>
      <c r="H232" t="inlineStr">
        <is>
          <t>NOT AVAILABLE</t>
        </is>
      </c>
      <c r="I232" t="n">
        <v>0</v>
      </c>
      <c r="J232" t="inlineStr">
        <is>
          <t>NOT AVAILABLE</t>
        </is>
      </c>
      <c r="K232" t="inlineStr">
        <is>
          <t>MEASURED</t>
        </is>
      </c>
      <c r="L232" t="inlineStr">
        <is>
          <t>P3</t>
        </is>
      </c>
      <c r="M232" t="n">
        <v>65</v>
      </c>
      <c r="N232">
        <f>ROUND(IF(IF(J232="NOT AVAILABLE","",J232)="",12,IF(OR(ISNUMBER(SEARCH("Transactional",IF(J232="NOT AVAILABLE","",J232))),ISNUMBER(SEARCH("Commercial",IF(J232="NOT AVAILABLE","",J232)))),25,IF(ISNUMBER(SEARCH("Informational",IF(J232="NOT AVAILABLE","",J232))),10,IF(ISNUMBER(SEARCH("Navigational",IF(J232="NOT AVAILABLE","",J232))),0,12))))+IF(ISNUMBER(G232),MIN(30,ROUND(30*LOG10(G232+1)/4,1)),0)+IF(ISNUMBER(H232),ROUND(25*(100-H232)/100,1),12.5)+14,0)</f>
        <v/>
      </c>
      <c r="O232">
        <f>ROUND(N232*M232/100,0)</f>
        <v/>
      </c>
      <c r="P232" s="5" t="inlineStr">
        <is>
          <t>Measured variant of the tool task</t>
        </is>
      </c>
      <c r="Q232" s="5" t="inlineStr">
        <is>
          <t>None detected</t>
        </is>
      </c>
    </row>
    <row r="233">
      <c r="A233" s="3" t="inlineStr">
        <is>
          <t>https://codesommet.com/tools/ai-crawler-access-checker</t>
        </is>
      </c>
      <c r="B233" s="5" t="inlineStr">
        <is>
          <t>Accès des Robots d'IA : GPTBot, ClaudeBot</t>
        </is>
      </c>
      <c r="C233" t="inlineStr">
        <is>
          <t>France</t>
        </is>
      </c>
      <c r="D233" t="inlineStr">
        <is>
          <t>fr</t>
        </is>
      </c>
      <c r="E233" t="inlineStr">
        <is>
          <t>OPTIONAL</t>
        </is>
      </c>
      <c r="F233" t="inlineStr">
        <is>
          <t>bloquer gptbot</t>
        </is>
      </c>
      <c r="G233" t="inlineStr">
        <is>
          <t>NOT AVAILABLE</t>
        </is>
      </c>
      <c r="H233" t="inlineStr">
        <is>
          <t>NOT AVAILABLE</t>
        </is>
      </c>
      <c r="I233" t="inlineStr">
        <is>
          <t>NOT AVAILABLE</t>
        </is>
      </c>
      <c r="J233" t="inlineStr">
        <is>
          <t>NOT AVAILABLE</t>
        </is>
      </c>
      <c r="K233" t="inlineStr">
        <is>
          <t>UNAVAILABLE</t>
        </is>
      </c>
      <c r="L233" t="inlineStr">
        <is>
          <t>P4</t>
        </is>
      </c>
      <c r="M233" t="n">
        <v>45</v>
      </c>
      <c r="N233">
        <f>ROUND(IF(IF(J233="NOT AVAILABLE","",J233)="",12,IF(OR(ISNUMBER(SEARCH("Transactional",IF(J233="NOT AVAILABLE","",J233))),ISNUMBER(SEARCH("Commercial",IF(J233="NOT AVAILABLE","",J233)))),25,IF(ISNUMBER(SEARCH("Informational",IF(J233="NOT AVAILABLE","",J233))),10,IF(ISNUMBER(SEARCH("Navigational",IF(J233="NOT AVAILABLE","",J233))),0,12))))+IF(ISNUMBER(G233),MIN(30,ROUND(30*LOG10(G233+1)/4,1)),0)+IF(ISNUMBER(H233),ROUND(25*(100-H233)/100,1),12.5)+14,0)</f>
        <v/>
      </c>
      <c r="O233">
        <f>ROUND(N233*M233/100,0)</f>
        <v/>
      </c>
      <c r="P233" s="5" t="inlineStr">
        <is>
          <t>Queried - Semrush returned no data or zero volume; usable as natural wording only</t>
        </is>
      </c>
      <c r="Q233" s="5" t="inlineStr">
        <is>
          <t>None detected</t>
        </is>
      </c>
    </row>
    <row r="234">
      <c r="A234" s="3" t="inlineStr">
        <is>
          <t>https://codesommet.com/tools/ai-readiness-checker</t>
        </is>
      </c>
      <c r="B234" s="5" t="inlineStr">
        <is>
          <t>Test de Préparation aux Moteurs IA (GEO)</t>
        </is>
      </c>
      <c r="C234" t="inlineStr">
        <is>
          <t>France</t>
        </is>
      </c>
      <c r="D234" t="inlineStr">
        <is>
          <t>fr</t>
        </is>
      </c>
      <c r="E234" t="inlineStr">
        <is>
          <t>PRIMARY</t>
        </is>
      </c>
      <c r="F234" t="inlineStr">
        <is>
          <t>geo seo</t>
        </is>
      </c>
      <c r="G234" t="n">
        <v>1900</v>
      </c>
      <c r="H234" t="n">
        <v>34</v>
      </c>
      <c r="I234" t="n">
        <v>1.53</v>
      </c>
      <c r="J234" t="inlineStr">
        <is>
          <t>Informational</t>
        </is>
      </c>
      <c r="K234" t="inlineStr">
        <is>
          <t>MEASURED</t>
        </is>
      </c>
      <c r="L234" t="inlineStr">
        <is>
          <t>P3</t>
        </is>
      </c>
      <c r="M234" t="n">
        <v>100</v>
      </c>
      <c r="N234">
        <f>ROUND(IF(IF(J234="NOT AVAILABLE","",J234)="",12,IF(OR(ISNUMBER(SEARCH("Transactional",IF(J234="NOT AVAILABLE","",J234))),ISNUMBER(SEARCH("Commercial",IF(J234="NOT AVAILABLE","",J234)))),25,IF(ISNUMBER(SEARCH("Informational",IF(J234="NOT AVAILABLE","",J234))),10,IF(ISNUMBER(SEARCH("Navigational",IF(J234="NOT AVAILABLE","",J234))),0,12))))+IF(ISNUMBER(G234),MIN(30,ROUND(30*LOG10(G234+1)/4,1)),0)+IF(ISNUMBER(H234),ROUND(25*(100-H234)/100,1),12.5)+14,0)</f>
        <v/>
      </c>
      <c r="O234">
        <f>ROUND(N234*M234/100,0)</f>
        <v/>
      </c>
      <c r="P234" s="5" t="inlineStr">
        <is>
          <t>Best-fitting measured FR query for the tool task (tools serve the francophone market; FR db used as proxy)</t>
        </is>
      </c>
      <c r="Q234" s="5" t="inlineStr">
        <is>
          <t>None detected</t>
        </is>
      </c>
    </row>
    <row r="235">
      <c r="A235" s="3" t="inlineStr">
        <is>
          <t>https://codesommet.com/tools/ai-readiness-checker</t>
        </is>
      </c>
      <c r="B235" s="5" t="inlineStr">
        <is>
          <t>Test de Préparation aux Moteurs IA (GEO)</t>
        </is>
      </c>
      <c r="C235" t="inlineStr">
        <is>
          <t>France</t>
        </is>
      </c>
      <c r="D235" t="inlineStr">
        <is>
          <t>fr</t>
        </is>
      </c>
      <c r="E235" t="inlineStr">
        <is>
          <t>SECONDARY</t>
        </is>
      </c>
      <c r="F235" t="inlineStr">
        <is>
          <t>generative engine optimization</t>
        </is>
      </c>
      <c r="G235" t="n">
        <v>1300</v>
      </c>
      <c r="H235" t="n">
        <v>64</v>
      </c>
      <c r="I235" t="n">
        <v>2.9</v>
      </c>
      <c r="J235" t="inlineStr">
        <is>
          <t>Informational</t>
        </is>
      </c>
      <c r="K235" t="inlineStr">
        <is>
          <t>MEASURED</t>
        </is>
      </c>
      <c r="L235" t="inlineStr">
        <is>
          <t>P3</t>
        </is>
      </c>
      <c r="M235" t="n">
        <v>85</v>
      </c>
      <c r="N235">
        <f>ROUND(IF(IF(J235="NOT AVAILABLE","",J235)="",12,IF(OR(ISNUMBER(SEARCH("Transactional",IF(J235="NOT AVAILABLE","",J235))),ISNUMBER(SEARCH("Commercial",IF(J235="NOT AVAILABLE","",J235)))),25,IF(ISNUMBER(SEARCH("Informational",IF(J235="NOT AVAILABLE","",J235))),10,IF(ISNUMBER(SEARCH("Navigational",IF(J235="NOT AVAILABLE","",J235))),0,12))))+IF(ISNUMBER(G235),MIN(30,ROUND(30*LOG10(G235+1)/4,1)),0)+IF(ISNUMBER(H235),ROUND(25*(100-H235)/100,1),12.5)+14,0)</f>
        <v/>
      </c>
      <c r="O235">
        <f>ROUND(N235*M235/100,0)</f>
        <v/>
      </c>
      <c r="P235" s="5" t="inlineStr">
        <is>
          <t>Measured variant of the tool task</t>
        </is>
      </c>
      <c r="Q235" s="5" t="inlineStr">
        <is>
          <t>None detected</t>
        </is>
      </c>
    </row>
    <row r="236">
      <c r="A236" s="3" t="inlineStr">
        <is>
          <t>https://codesommet.com/tools/ai-readiness-checker</t>
        </is>
      </c>
      <c r="B236" s="5" t="inlineStr">
        <is>
          <t>Test de Préparation aux Moteurs IA (GEO)</t>
        </is>
      </c>
      <c r="C236" t="inlineStr">
        <is>
          <t>France</t>
        </is>
      </c>
      <c r="D236" t="inlineStr">
        <is>
          <t>fr</t>
        </is>
      </c>
      <c r="E236" t="inlineStr">
        <is>
          <t>SECONDARY</t>
        </is>
      </c>
      <c r="F236" t="inlineStr">
        <is>
          <t>référencement ia</t>
        </is>
      </c>
      <c r="G236" t="n">
        <v>480</v>
      </c>
      <c r="H236" t="n">
        <v>24</v>
      </c>
      <c r="I236" t="n">
        <v>2.84</v>
      </c>
      <c r="J236" t="inlineStr">
        <is>
          <t>Informational</t>
        </is>
      </c>
      <c r="K236" t="inlineStr">
        <is>
          <t>MEASURED</t>
        </is>
      </c>
      <c r="L236" t="inlineStr">
        <is>
          <t>P3</t>
        </is>
      </c>
      <c r="M236" t="n">
        <v>85</v>
      </c>
      <c r="N236">
        <f>ROUND(IF(IF(J236="NOT AVAILABLE","",J236)="",12,IF(OR(ISNUMBER(SEARCH("Transactional",IF(J236="NOT AVAILABLE","",J236))),ISNUMBER(SEARCH("Commercial",IF(J236="NOT AVAILABLE","",J236)))),25,IF(ISNUMBER(SEARCH("Informational",IF(J236="NOT AVAILABLE","",J236))),10,IF(ISNUMBER(SEARCH("Navigational",IF(J236="NOT AVAILABLE","",J236))),0,12))))+IF(ISNUMBER(G236),MIN(30,ROUND(30*LOG10(G236+1)/4,1)),0)+IF(ISNUMBER(H236),ROUND(25*(100-H236)/100,1),12.5)+14,0)</f>
        <v/>
      </c>
      <c r="O236">
        <f>ROUND(N236*M236/100,0)</f>
        <v/>
      </c>
      <c r="P236" s="5" t="inlineStr">
        <is>
          <t>Measured variant of the tool task</t>
        </is>
      </c>
      <c r="Q236" s="5" t="inlineStr">
        <is>
          <t>None detected</t>
        </is>
      </c>
    </row>
    <row r="237">
      <c r="A237" s="3" t="inlineStr">
        <is>
          <t>https://codesommet.com/tools/ai-readiness-checker</t>
        </is>
      </c>
      <c r="B237" s="5" t="inlineStr">
        <is>
          <t>Test de Préparation aux Moteurs IA (GEO)</t>
        </is>
      </c>
      <c r="C237" t="inlineStr">
        <is>
          <t>France</t>
        </is>
      </c>
      <c r="D237" t="inlineStr">
        <is>
          <t>fr</t>
        </is>
      </c>
      <c r="E237" t="inlineStr">
        <is>
          <t>SUPPORTING</t>
        </is>
      </c>
      <c r="F237" t="inlineStr">
        <is>
          <t>optimisation moteurs ia</t>
        </is>
      </c>
      <c r="G237" t="n">
        <v>30</v>
      </c>
      <c r="H237" t="inlineStr">
        <is>
          <t>NOT AVAILABLE</t>
        </is>
      </c>
      <c r="I237" t="n">
        <v>0</v>
      </c>
      <c r="J237" t="inlineStr">
        <is>
          <t>NOT AVAILABLE</t>
        </is>
      </c>
      <c r="K237" t="inlineStr">
        <is>
          <t>MEASURED</t>
        </is>
      </c>
      <c r="L237" t="inlineStr">
        <is>
          <t>P3</t>
        </is>
      </c>
      <c r="M237" t="n">
        <v>65</v>
      </c>
      <c r="N237">
        <f>ROUND(IF(IF(J237="NOT AVAILABLE","",J237)="",12,IF(OR(ISNUMBER(SEARCH("Transactional",IF(J237="NOT AVAILABLE","",J237))),ISNUMBER(SEARCH("Commercial",IF(J237="NOT AVAILABLE","",J237)))),25,IF(ISNUMBER(SEARCH("Informational",IF(J237="NOT AVAILABLE","",J237))),10,IF(ISNUMBER(SEARCH("Navigational",IF(J237="NOT AVAILABLE","",J237))),0,12))))+IF(ISNUMBER(G237),MIN(30,ROUND(30*LOG10(G237+1)/4,1)),0)+IF(ISNUMBER(H237),ROUND(25*(100-H237)/100,1),12.5)+14,0)</f>
        <v/>
      </c>
      <c r="O237">
        <f>ROUND(N237*M237/100,0)</f>
        <v/>
      </c>
      <c r="P237" s="5" t="inlineStr">
        <is>
          <t>Measured variant of the tool task</t>
        </is>
      </c>
      <c r="Q237" s="5" t="inlineStr">
        <is>
          <t>None detected</t>
        </is>
      </c>
    </row>
    <row r="238">
      <c r="A238" s="3" t="inlineStr">
        <is>
          <t>https://codesommet.com/tools/base64-encoder</t>
        </is>
      </c>
      <c r="B238" s="5" t="inlineStr">
        <is>
          <t>Encodeur/Décodeur Base64 en Ligne Gratuit</t>
        </is>
      </c>
      <c r="C238" t="inlineStr">
        <is>
          <t>France</t>
        </is>
      </c>
      <c r="D238" t="inlineStr">
        <is>
          <t>fr</t>
        </is>
      </c>
      <c r="E238" t="inlineStr">
        <is>
          <t>PRIMARY</t>
        </is>
      </c>
      <c r="F238" t="inlineStr">
        <is>
          <t>base64 decode</t>
        </is>
      </c>
      <c r="G238" t="n">
        <v>9900</v>
      </c>
      <c r="H238" t="n">
        <v>60</v>
      </c>
      <c r="I238" t="n">
        <v>1.92</v>
      </c>
      <c r="J238" t="inlineStr">
        <is>
          <t>Informational</t>
        </is>
      </c>
      <c r="K238" t="inlineStr">
        <is>
          <t>MEASURED</t>
        </is>
      </c>
      <c r="L238" t="inlineStr">
        <is>
          <t>P3</t>
        </is>
      </c>
      <c r="M238" t="n">
        <v>100</v>
      </c>
      <c r="N238">
        <f>ROUND(IF(IF(J238="NOT AVAILABLE","",J238)="",12,IF(OR(ISNUMBER(SEARCH("Transactional",IF(J238="NOT AVAILABLE","",J238))),ISNUMBER(SEARCH("Commercial",IF(J238="NOT AVAILABLE","",J238)))),25,IF(ISNUMBER(SEARCH("Informational",IF(J238="NOT AVAILABLE","",J238))),10,IF(ISNUMBER(SEARCH("Navigational",IF(J238="NOT AVAILABLE","",J238))),0,12))))+IF(ISNUMBER(G238),MIN(30,ROUND(30*LOG10(G238+1)/4,1)),0)+IF(ISNUMBER(H238),ROUND(25*(100-H238)/100,1),12.5)+14,0)</f>
        <v/>
      </c>
      <c r="O238">
        <f>ROUND(N238*M238/100,0)</f>
        <v/>
      </c>
      <c r="P238" s="5" t="inlineStr">
        <is>
          <t>Best-fitting measured FR query for the tool task (tools serve the francophone market; FR db used as proxy)</t>
        </is>
      </c>
      <c r="Q238" s="5" t="inlineStr">
        <is>
          <t>None detected</t>
        </is>
      </c>
    </row>
    <row r="239">
      <c r="A239" s="3" t="inlineStr">
        <is>
          <t>https://codesommet.com/tools/base64-encoder</t>
        </is>
      </c>
      <c r="B239" s="5" t="inlineStr">
        <is>
          <t>Encodeur/Décodeur Base64 en Ligne Gratuit</t>
        </is>
      </c>
      <c r="C239" t="inlineStr">
        <is>
          <t>France</t>
        </is>
      </c>
      <c r="D239" t="inlineStr">
        <is>
          <t>fr</t>
        </is>
      </c>
      <c r="E239" t="inlineStr">
        <is>
          <t>SECONDARY</t>
        </is>
      </c>
      <c r="F239" t="inlineStr">
        <is>
          <t>base64 encode</t>
        </is>
      </c>
      <c r="G239" t="n">
        <v>1900</v>
      </c>
      <c r="H239" t="n">
        <v>69</v>
      </c>
      <c r="I239" t="n">
        <v>0</v>
      </c>
      <c r="J239" t="inlineStr">
        <is>
          <t>Informational</t>
        </is>
      </c>
      <c r="K239" t="inlineStr">
        <is>
          <t>MEASURED</t>
        </is>
      </c>
      <c r="L239" t="inlineStr">
        <is>
          <t>P3</t>
        </is>
      </c>
      <c r="M239" t="n">
        <v>85</v>
      </c>
      <c r="N239">
        <f>ROUND(IF(IF(J239="NOT AVAILABLE","",J239)="",12,IF(OR(ISNUMBER(SEARCH("Transactional",IF(J239="NOT AVAILABLE","",J239))),ISNUMBER(SEARCH("Commercial",IF(J239="NOT AVAILABLE","",J239)))),25,IF(ISNUMBER(SEARCH("Informational",IF(J239="NOT AVAILABLE","",J239))),10,IF(ISNUMBER(SEARCH("Navigational",IF(J239="NOT AVAILABLE","",J239))),0,12))))+IF(ISNUMBER(G239),MIN(30,ROUND(30*LOG10(G239+1)/4,1)),0)+IF(ISNUMBER(H239),ROUND(25*(100-H239)/100,1),12.5)+14,0)</f>
        <v/>
      </c>
      <c r="O239">
        <f>ROUND(N239*M239/100,0)</f>
        <v/>
      </c>
      <c r="P239" s="5" t="inlineStr">
        <is>
          <t>Measured variant of the tool task</t>
        </is>
      </c>
      <c r="Q239" s="5" t="inlineStr">
        <is>
          <t>None detected</t>
        </is>
      </c>
    </row>
    <row r="240">
      <c r="A240" s="3" t="inlineStr">
        <is>
          <t>https://codesommet.com/tools/base64-encoder</t>
        </is>
      </c>
      <c r="B240" s="5" t="inlineStr">
        <is>
          <t>Encodeur/Décodeur Base64 en Ligne Gratuit</t>
        </is>
      </c>
      <c r="C240" t="inlineStr">
        <is>
          <t>Morocco</t>
        </is>
      </c>
      <c r="D240" t="inlineStr">
        <is>
          <t>ma</t>
        </is>
      </c>
      <c r="E240" t="inlineStr">
        <is>
          <t>SECONDARY</t>
        </is>
      </c>
      <c r="F240" t="inlineStr">
        <is>
          <t>base64 decode</t>
        </is>
      </c>
      <c r="G240" t="n">
        <v>1300</v>
      </c>
      <c r="H240" t="n">
        <v>63</v>
      </c>
      <c r="I240" t="n">
        <v>0</v>
      </c>
      <c r="J240" t="inlineStr">
        <is>
          <t>Informational</t>
        </is>
      </c>
      <c r="K240" t="inlineStr">
        <is>
          <t>MEASURED</t>
        </is>
      </c>
      <c r="L240" t="inlineStr">
        <is>
          <t>P3</t>
        </is>
      </c>
      <c r="M240" t="n">
        <v>85</v>
      </c>
      <c r="N240">
        <f>ROUND(IF(IF(J240="NOT AVAILABLE","",J240)="",12,IF(OR(ISNUMBER(SEARCH("Transactional",IF(J240="NOT AVAILABLE","",J240))),ISNUMBER(SEARCH("Commercial",IF(J240="NOT AVAILABLE","",J240)))),25,IF(ISNUMBER(SEARCH("Informational",IF(J240="NOT AVAILABLE","",J240))),10,IF(ISNUMBER(SEARCH("Navigational",IF(J240="NOT AVAILABLE","",J240))),0,12))))+IF(ISNUMBER(G240),MIN(30,ROUND(30*LOG10(G240+1)/4,1)),0)+IF(ISNUMBER(H240),ROUND(25*(100-H240)/100,1),12.5)+20,0)</f>
        <v/>
      </c>
      <c r="O240">
        <f>ROUND(N240*M240/100,0)</f>
        <v/>
      </c>
      <c r="P240" s="5" t="inlineStr">
        <is>
          <t>Same query, Moroccan market (separate database, never summed)</t>
        </is>
      </c>
      <c r="Q240" s="5" t="inlineStr">
        <is>
          <t>None detected</t>
        </is>
      </c>
    </row>
    <row r="241">
      <c r="A241" s="3" t="inlineStr">
        <is>
          <t>https://codesommet.com/tools/base64-encoder</t>
        </is>
      </c>
      <c r="B241" s="5" t="inlineStr">
        <is>
          <t>Encodeur/Décodeur Base64 en Ligne Gratuit</t>
        </is>
      </c>
      <c r="C241" t="inlineStr">
        <is>
          <t>Morocco</t>
        </is>
      </c>
      <c r="D241" t="inlineStr">
        <is>
          <t>ma</t>
        </is>
      </c>
      <c r="E241" t="inlineStr">
        <is>
          <t>SUPPORTING</t>
        </is>
      </c>
      <c r="F241" t="inlineStr">
        <is>
          <t>base64 encode</t>
        </is>
      </c>
      <c r="G241" t="n">
        <v>210</v>
      </c>
      <c r="H241" t="inlineStr">
        <is>
          <t>NOT AVAILABLE</t>
        </is>
      </c>
      <c r="I241" t="n">
        <v>0</v>
      </c>
      <c r="J241" t="inlineStr">
        <is>
          <t>NOT AVAILABLE</t>
        </is>
      </c>
      <c r="K241" t="inlineStr">
        <is>
          <t>MEASURED</t>
        </is>
      </c>
      <c r="L241" t="inlineStr">
        <is>
          <t>P3</t>
        </is>
      </c>
      <c r="M241" t="n">
        <v>65</v>
      </c>
      <c r="N241">
        <f>ROUND(IF(IF(J241="NOT AVAILABLE","",J241)="",12,IF(OR(ISNUMBER(SEARCH("Transactional",IF(J241="NOT AVAILABLE","",J241))),ISNUMBER(SEARCH("Commercial",IF(J241="NOT AVAILABLE","",J241)))),25,IF(ISNUMBER(SEARCH("Informational",IF(J241="NOT AVAILABLE","",J241))),10,IF(ISNUMBER(SEARCH("Navigational",IF(J241="NOT AVAILABLE","",J241))),0,12))))+IF(ISNUMBER(G241),MIN(30,ROUND(30*LOG10(G241+1)/4,1)),0)+IF(ISNUMBER(H241),ROUND(25*(100-H241)/100,1),12.5)+20,0)</f>
        <v/>
      </c>
      <c r="O241">
        <f>ROUND(N241*M241/100,0)</f>
        <v/>
      </c>
      <c r="P241" s="5" t="inlineStr">
        <is>
          <t>Measured variant of the tool task (MA market)</t>
        </is>
      </c>
      <c r="Q241" s="5" t="inlineStr">
        <is>
          <t>None detected</t>
        </is>
      </c>
    </row>
    <row r="242">
      <c r="A242" s="3" t="inlineStr">
        <is>
          <t>https://codesommet.com/tools/base64-encoder</t>
        </is>
      </c>
      <c r="B242" s="5" t="inlineStr">
        <is>
          <t>Encodeur/Décodeur Base64 en Ligne Gratuit</t>
        </is>
      </c>
      <c r="C242" t="inlineStr">
        <is>
          <t>France</t>
        </is>
      </c>
      <c r="D242" t="inlineStr">
        <is>
          <t>fr</t>
        </is>
      </c>
      <c r="E242" t="inlineStr">
        <is>
          <t>SUPPORTING</t>
        </is>
      </c>
      <c r="F242" t="inlineStr">
        <is>
          <t>décoder base64</t>
        </is>
      </c>
      <c r="G242" t="n">
        <v>10</v>
      </c>
      <c r="H242" t="inlineStr">
        <is>
          <t>NOT AVAILABLE</t>
        </is>
      </c>
      <c r="I242" t="n">
        <v>0</v>
      </c>
      <c r="J242" t="inlineStr">
        <is>
          <t>NOT AVAILABLE</t>
        </is>
      </c>
      <c r="K242" t="inlineStr">
        <is>
          <t>MEASURED</t>
        </is>
      </c>
      <c r="L242" t="inlineStr">
        <is>
          <t>P3</t>
        </is>
      </c>
      <c r="M242" t="n">
        <v>65</v>
      </c>
      <c r="N242">
        <f>ROUND(IF(IF(J242="NOT AVAILABLE","",J242)="",12,IF(OR(ISNUMBER(SEARCH("Transactional",IF(J242="NOT AVAILABLE","",J242))),ISNUMBER(SEARCH("Commercial",IF(J242="NOT AVAILABLE","",J242)))),25,IF(ISNUMBER(SEARCH("Informational",IF(J242="NOT AVAILABLE","",J242))),10,IF(ISNUMBER(SEARCH("Navigational",IF(J242="NOT AVAILABLE","",J242))),0,12))))+IF(ISNUMBER(G242),MIN(30,ROUND(30*LOG10(G242+1)/4,1)),0)+IF(ISNUMBER(H242),ROUND(25*(100-H242)/100,1),12.5)+14,0)</f>
        <v/>
      </c>
      <c r="O242">
        <f>ROUND(N242*M242/100,0)</f>
        <v/>
      </c>
      <c r="P242" s="5" t="inlineStr">
        <is>
          <t>Measured variant of the tool task</t>
        </is>
      </c>
      <c r="Q242" s="5" t="inlineStr">
        <is>
          <t>None detected</t>
        </is>
      </c>
    </row>
    <row r="243">
      <c r="A243" s="3" t="inlineStr">
        <is>
          <t>https://codesommet.com/tools/base64-encoder</t>
        </is>
      </c>
      <c r="B243" s="5" t="inlineStr">
        <is>
          <t>Encodeur/Décodeur Base64 en Ligne Gratuit</t>
        </is>
      </c>
      <c r="C243" t="inlineStr">
        <is>
          <t>France</t>
        </is>
      </c>
      <c r="D243" t="inlineStr">
        <is>
          <t>fr</t>
        </is>
      </c>
      <c r="E243" t="inlineStr">
        <is>
          <t>OPTIONAL</t>
        </is>
      </c>
      <c r="F243" t="inlineStr">
        <is>
          <t>encodeur base64</t>
        </is>
      </c>
      <c r="G243" t="n">
        <v>0</v>
      </c>
      <c r="H243" t="inlineStr">
        <is>
          <t>NOT AVAILABLE</t>
        </is>
      </c>
      <c r="I243" t="n">
        <v>0</v>
      </c>
      <c r="J243" t="inlineStr">
        <is>
          <t>NOT AVAILABLE</t>
        </is>
      </c>
      <c r="K243" t="inlineStr">
        <is>
          <t>MEASURED</t>
        </is>
      </c>
      <c r="L243" t="inlineStr">
        <is>
          <t>P4</t>
        </is>
      </c>
      <c r="M243" t="n">
        <v>45</v>
      </c>
      <c r="N243">
        <f>ROUND(IF(IF(J243="NOT AVAILABLE","",J243)="",12,IF(OR(ISNUMBER(SEARCH("Transactional",IF(J243="NOT AVAILABLE","",J243))),ISNUMBER(SEARCH("Commercial",IF(J243="NOT AVAILABLE","",J243)))),25,IF(ISNUMBER(SEARCH("Informational",IF(J243="NOT AVAILABLE","",J243))),10,IF(ISNUMBER(SEARCH("Navigational",IF(J243="NOT AVAILABLE","",J243))),0,12))))+IF(ISNUMBER(G243),MIN(30,ROUND(30*LOG10(G243+1)/4,1)),0)+IF(ISNUMBER(H243),ROUND(25*(100-H243)/100,1),12.5)+14,0)</f>
        <v/>
      </c>
      <c r="O243">
        <f>ROUND(N243*M243/100,0)</f>
        <v/>
      </c>
      <c r="P243" s="5" t="inlineStr">
        <is>
          <t>Queried - Semrush returned no data or zero volume; usable as natural wording only</t>
        </is>
      </c>
      <c r="Q243" s="5" t="inlineStr">
        <is>
          <t>None detected</t>
        </is>
      </c>
    </row>
    <row r="244">
      <c r="A244" s="3" t="inlineStr">
        <is>
          <t>https://codesommet.com/tools/base64-encoder</t>
        </is>
      </c>
      <c r="B244" s="5" t="inlineStr">
        <is>
          <t>Encodeur/Décodeur Base64 en Ligne Gratuit</t>
        </is>
      </c>
      <c r="C244" t="inlineStr">
        <is>
          <t>France</t>
        </is>
      </c>
      <c r="D244" t="inlineStr">
        <is>
          <t>fr</t>
        </is>
      </c>
      <c r="E244" t="inlineStr">
        <is>
          <t>OPTIONAL</t>
        </is>
      </c>
      <c r="F244" t="inlineStr">
        <is>
          <t>base64 en ligne</t>
        </is>
      </c>
      <c r="G244" t="n">
        <v>0</v>
      </c>
      <c r="H244" t="inlineStr">
        <is>
          <t>NOT AVAILABLE</t>
        </is>
      </c>
      <c r="I244" t="n">
        <v>0</v>
      </c>
      <c r="J244" t="inlineStr">
        <is>
          <t>NOT AVAILABLE</t>
        </is>
      </c>
      <c r="K244" t="inlineStr">
        <is>
          <t>MEASURED</t>
        </is>
      </c>
      <c r="L244" t="inlineStr">
        <is>
          <t>P4</t>
        </is>
      </c>
      <c r="M244" t="n">
        <v>45</v>
      </c>
      <c r="N244">
        <f>ROUND(IF(IF(J244="NOT AVAILABLE","",J244)="",12,IF(OR(ISNUMBER(SEARCH("Transactional",IF(J244="NOT AVAILABLE","",J244))),ISNUMBER(SEARCH("Commercial",IF(J244="NOT AVAILABLE","",J244)))),25,IF(ISNUMBER(SEARCH("Informational",IF(J244="NOT AVAILABLE","",J244))),10,IF(ISNUMBER(SEARCH("Navigational",IF(J244="NOT AVAILABLE","",J244))),0,12))))+IF(ISNUMBER(G244),MIN(30,ROUND(30*LOG10(G244+1)/4,1)),0)+IF(ISNUMBER(H244),ROUND(25*(100-H244)/100,1),12.5)+14,0)</f>
        <v/>
      </c>
      <c r="O244">
        <f>ROUND(N244*M244/100,0)</f>
        <v/>
      </c>
      <c r="P244" s="5" t="inlineStr">
        <is>
          <t>Queried - Semrush returned no data or zero volume; usable as natural wording only</t>
        </is>
      </c>
      <c r="Q244" s="5" t="inlineStr">
        <is>
          <t>None detected</t>
        </is>
      </c>
    </row>
    <row r="245">
      <c r="A245" s="3" t="inlineStr">
        <is>
          <t>https://codesommet.com/tools/blog-title-generator</t>
        </is>
      </c>
      <c r="B245" s="5" t="inlineStr">
        <is>
          <t>Générateur de Titres de Blog IA Gratuit</t>
        </is>
      </c>
      <c r="C245" t="inlineStr">
        <is>
          <t>France</t>
        </is>
      </c>
      <c r="D245" t="inlineStr">
        <is>
          <t>fr</t>
        </is>
      </c>
      <c r="E245" t="inlineStr">
        <is>
          <t>PRIMARY</t>
        </is>
      </c>
      <c r="F245" t="inlineStr">
        <is>
          <t>générateur de titre</t>
        </is>
      </c>
      <c r="G245" t="n">
        <v>140</v>
      </c>
      <c r="H245" t="n">
        <v>21</v>
      </c>
      <c r="I245" t="n">
        <v>1.39</v>
      </c>
      <c r="J245" t="inlineStr">
        <is>
          <t>Informational</t>
        </is>
      </c>
      <c r="K245" t="inlineStr">
        <is>
          <t>MEASURED</t>
        </is>
      </c>
      <c r="L245" t="inlineStr">
        <is>
          <t>P3</t>
        </is>
      </c>
      <c r="M245" t="n">
        <v>100</v>
      </c>
      <c r="N245">
        <f>ROUND(IF(IF(J245="NOT AVAILABLE","",J245)="",12,IF(OR(ISNUMBER(SEARCH("Transactional",IF(J245="NOT AVAILABLE","",J245))),ISNUMBER(SEARCH("Commercial",IF(J245="NOT AVAILABLE","",J245)))),25,IF(ISNUMBER(SEARCH("Informational",IF(J245="NOT AVAILABLE","",J245))),10,IF(ISNUMBER(SEARCH("Navigational",IF(J245="NOT AVAILABLE","",J245))),0,12))))+IF(ISNUMBER(G245),MIN(30,ROUND(30*LOG10(G245+1)/4,1)),0)+IF(ISNUMBER(H245),ROUND(25*(100-H245)/100,1),12.5)+14,0)</f>
        <v/>
      </c>
      <c r="O245">
        <f>ROUND(N245*M245/100,0)</f>
        <v/>
      </c>
      <c r="P245" s="5" t="inlineStr">
        <is>
          <t>Best-fitting measured FR query for the tool task (tools serve the francophone market; FR db used as proxy)</t>
        </is>
      </c>
      <c r="Q245" s="5" t="inlineStr">
        <is>
          <t>None detected</t>
        </is>
      </c>
    </row>
    <row r="246">
      <c r="A246" s="3" t="inlineStr">
        <is>
          <t>https://codesommet.com/tools/blog-title-generator</t>
        </is>
      </c>
      <c r="B246" s="5" t="inlineStr">
        <is>
          <t>Générateur de Titres de Blog IA Gratuit</t>
        </is>
      </c>
      <c r="C246" t="inlineStr">
        <is>
          <t>France</t>
        </is>
      </c>
      <c r="D246" t="inlineStr">
        <is>
          <t>fr</t>
        </is>
      </c>
      <c r="E246" t="inlineStr">
        <is>
          <t>OPTIONAL</t>
        </is>
      </c>
      <c r="F246" t="inlineStr">
        <is>
          <t>générateur de titre de blog</t>
        </is>
      </c>
      <c r="G246" t="n">
        <v>0</v>
      </c>
      <c r="H246" t="inlineStr">
        <is>
          <t>NOT AVAILABLE</t>
        </is>
      </c>
      <c r="I246" t="n">
        <v>0</v>
      </c>
      <c r="J246" t="inlineStr">
        <is>
          <t>NOT AVAILABLE</t>
        </is>
      </c>
      <c r="K246" t="inlineStr">
        <is>
          <t>MEASURED</t>
        </is>
      </c>
      <c r="L246" t="inlineStr">
        <is>
          <t>P4</t>
        </is>
      </c>
      <c r="M246" t="n">
        <v>45</v>
      </c>
      <c r="N246">
        <f>ROUND(IF(IF(J246="NOT AVAILABLE","",J246)="",12,IF(OR(ISNUMBER(SEARCH("Transactional",IF(J246="NOT AVAILABLE","",J246))),ISNUMBER(SEARCH("Commercial",IF(J246="NOT AVAILABLE","",J246)))),25,IF(ISNUMBER(SEARCH("Informational",IF(J246="NOT AVAILABLE","",J246))),10,IF(ISNUMBER(SEARCH("Navigational",IF(J246="NOT AVAILABLE","",J246))),0,12))))+IF(ISNUMBER(G246),MIN(30,ROUND(30*LOG10(G246+1)/4,1)),0)+IF(ISNUMBER(H246),ROUND(25*(100-H246)/100,1),12.5)+14,0)</f>
        <v/>
      </c>
      <c r="O246">
        <f>ROUND(N246*M246/100,0)</f>
        <v/>
      </c>
      <c r="P246" s="5" t="inlineStr">
        <is>
          <t>Queried - Semrush returned no data or zero volume; usable as natural wording only</t>
        </is>
      </c>
      <c r="Q246" s="5" t="inlineStr">
        <is>
          <t>None detected</t>
        </is>
      </c>
    </row>
    <row r="247">
      <c r="A247" s="3" t="inlineStr">
        <is>
          <t>https://codesommet.com/tools/blog-title-generator</t>
        </is>
      </c>
      <c r="B247" s="5" t="inlineStr">
        <is>
          <t>Générateur de Titres de Blog IA Gratuit</t>
        </is>
      </c>
      <c r="C247" t="inlineStr">
        <is>
          <t>France</t>
        </is>
      </c>
      <c r="D247" t="inlineStr">
        <is>
          <t>fr</t>
        </is>
      </c>
      <c r="E247" t="inlineStr">
        <is>
          <t>OPTIONAL</t>
        </is>
      </c>
      <c r="F247" t="inlineStr">
        <is>
          <t>idée titre article</t>
        </is>
      </c>
      <c r="G247" t="n">
        <v>0</v>
      </c>
      <c r="H247" t="inlineStr">
        <is>
          <t>NOT AVAILABLE</t>
        </is>
      </c>
      <c r="I247" t="n">
        <v>0</v>
      </c>
      <c r="J247" t="inlineStr">
        <is>
          <t>NOT AVAILABLE</t>
        </is>
      </c>
      <c r="K247" t="inlineStr">
        <is>
          <t>MEASURED</t>
        </is>
      </c>
      <c r="L247" t="inlineStr">
        <is>
          <t>P4</t>
        </is>
      </c>
      <c r="M247" t="n">
        <v>45</v>
      </c>
      <c r="N247">
        <f>ROUND(IF(IF(J247="NOT AVAILABLE","",J247)="",12,IF(OR(ISNUMBER(SEARCH("Transactional",IF(J247="NOT AVAILABLE","",J247))),ISNUMBER(SEARCH("Commercial",IF(J247="NOT AVAILABLE","",J247)))),25,IF(ISNUMBER(SEARCH("Informational",IF(J247="NOT AVAILABLE","",J247))),10,IF(ISNUMBER(SEARCH("Navigational",IF(J247="NOT AVAILABLE","",J247))),0,12))))+IF(ISNUMBER(G247),MIN(30,ROUND(30*LOG10(G247+1)/4,1)),0)+IF(ISNUMBER(H247),ROUND(25*(100-H247)/100,1),12.5)+14,0)</f>
        <v/>
      </c>
      <c r="O247">
        <f>ROUND(N247*M247/100,0)</f>
        <v/>
      </c>
      <c r="P247" s="5" t="inlineStr">
        <is>
          <t>Queried - Semrush returned no data or zero volume; usable as natural wording only</t>
        </is>
      </c>
      <c r="Q247" s="5" t="inlineStr">
        <is>
          <t>None detected</t>
        </is>
      </c>
    </row>
    <row r="248">
      <c r="A248" s="3" t="inlineStr">
        <is>
          <t>https://codesommet.com/tools/blog-title-generator</t>
        </is>
      </c>
      <c r="B248" s="5" t="inlineStr">
        <is>
          <t>Générateur de Titres de Blog IA Gratuit</t>
        </is>
      </c>
      <c r="C248" t="inlineStr">
        <is>
          <t>France</t>
        </is>
      </c>
      <c r="D248" t="inlineStr">
        <is>
          <t>fr</t>
        </is>
      </c>
      <c r="E248" t="inlineStr">
        <is>
          <t>OPTIONAL</t>
        </is>
      </c>
      <c r="F248" t="inlineStr">
        <is>
          <t>générateur titre ia</t>
        </is>
      </c>
      <c r="G248" t="inlineStr">
        <is>
          <t>NOT AVAILABLE</t>
        </is>
      </c>
      <c r="H248" t="inlineStr">
        <is>
          <t>NOT AVAILABLE</t>
        </is>
      </c>
      <c r="I248" t="inlineStr">
        <is>
          <t>NOT AVAILABLE</t>
        </is>
      </c>
      <c r="J248" t="inlineStr">
        <is>
          <t>NOT AVAILABLE</t>
        </is>
      </c>
      <c r="K248" t="inlineStr">
        <is>
          <t>UNAVAILABLE</t>
        </is>
      </c>
      <c r="L248" t="inlineStr">
        <is>
          <t>P4</t>
        </is>
      </c>
      <c r="M248" t="n">
        <v>45</v>
      </c>
      <c r="N248">
        <f>ROUND(IF(IF(J248="NOT AVAILABLE","",J248)="",12,IF(OR(ISNUMBER(SEARCH("Transactional",IF(J248="NOT AVAILABLE","",J248))),ISNUMBER(SEARCH("Commercial",IF(J248="NOT AVAILABLE","",J248)))),25,IF(ISNUMBER(SEARCH("Informational",IF(J248="NOT AVAILABLE","",J248))),10,IF(ISNUMBER(SEARCH("Navigational",IF(J248="NOT AVAILABLE","",J248))),0,12))))+IF(ISNUMBER(G248),MIN(30,ROUND(30*LOG10(G248+1)/4,1)),0)+IF(ISNUMBER(H248),ROUND(25*(100-H248)/100,1),12.5)+14,0)</f>
        <v/>
      </c>
      <c r="O248">
        <f>ROUND(N248*M248/100,0)</f>
        <v/>
      </c>
      <c r="P248" s="5" t="inlineStr">
        <is>
          <t>Queried - Semrush returned no data or zero volume; usable as natural wording only</t>
        </is>
      </c>
      <c r="Q248" s="5" t="inlineStr">
        <is>
          <t>None detected</t>
        </is>
      </c>
    </row>
    <row r="249">
      <c r="A249" s="3" t="inlineStr">
        <is>
          <t>https://codesommet.com/tools/bot-viewer</t>
        </is>
      </c>
      <c r="B249" s="5" t="inlineStr">
        <is>
          <t>Bot Viewer : Votre Page Vue par Googlebot</t>
        </is>
      </c>
      <c r="C249" t="inlineStr">
        <is>
          <t>France</t>
        </is>
      </c>
      <c r="D249" t="inlineStr">
        <is>
          <t>fr</t>
        </is>
      </c>
      <c r="E249" t="inlineStr">
        <is>
          <t>PRIMARY</t>
        </is>
      </c>
      <c r="F249" t="inlineStr">
        <is>
          <t>googlebot</t>
        </is>
      </c>
      <c r="G249" t="n">
        <v>390</v>
      </c>
      <c r="H249" t="n">
        <v>22</v>
      </c>
      <c r="I249" t="n">
        <v>0</v>
      </c>
      <c r="J249" t="inlineStr">
        <is>
          <t>Informational</t>
        </is>
      </c>
      <c r="K249" t="inlineStr">
        <is>
          <t>MEASURED</t>
        </is>
      </c>
      <c r="L249" t="inlineStr">
        <is>
          <t>P3</t>
        </is>
      </c>
      <c r="M249" t="n">
        <v>100</v>
      </c>
      <c r="N249">
        <f>ROUND(IF(IF(J249="NOT AVAILABLE","",J249)="",12,IF(OR(ISNUMBER(SEARCH("Transactional",IF(J249="NOT AVAILABLE","",J249))),ISNUMBER(SEARCH("Commercial",IF(J249="NOT AVAILABLE","",J249)))),25,IF(ISNUMBER(SEARCH("Informational",IF(J249="NOT AVAILABLE","",J249))),10,IF(ISNUMBER(SEARCH("Navigational",IF(J249="NOT AVAILABLE","",J249))),0,12))))+IF(ISNUMBER(G249),MIN(30,ROUND(30*LOG10(G249+1)/4,1)),0)+IF(ISNUMBER(H249),ROUND(25*(100-H249)/100,1),12.5)+14,0)</f>
        <v/>
      </c>
      <c r="O249">
        <f>ROUND(N249*M249/100,0)</f>
        <v/>
      </c>
      <c r="P249" s="5" t="inlineStr">
        <is>
          <t>Best-fitting measured FR query for the tool task (tools serve the francophone market; FR db used as proxy)</t>
        </is>
      </c>
      <c r="Q249" s="5" t="inlineStr">
        <is>
          <t>None detected</t>
        </is>
      </c>
    </row>
    <row r="250">
      <c r="A250" s="3" t="inlineStr">
        <is>
          <t>https://codesommet.com/tools/bot-viewer</t>
        </is>
      </c>
      <c r="B250" s="5" t="inlineStr">
        <is>
          <t>Bot Viewer : Votre Page Vue par Googlebot</t>
        </is>
      </c>
      <c r="C250" t="inlineStr">
        <is>
          <t>Morocco</t>
        </is>
      </c>
      <c r="D250" t="inlineStr">
        <is>
          <t>ma</t>
        </is>
      </c>
      <c r="E250" t="inlineStr">
        <is>
          <t>SECONDARY</t>
        </is>
      </c>
      <c r="F250" t="inlineStr">
        <is>
          <t>googlebot</t>
        </is>
      </c>
      <c r="G250" t="n">
        <v>20</v>
      </c>
      <c r="H250" t="inlineStr">
        <is>
          <t>NOT AVAILABLE</t>
        </is>
      </c>
      <c r="I250" t="n">
        <v>0</v>
      </c>
      <c r="J250" t="inlineStr">
        <is>
          <t>NOT AVAILABLE</t>
        </is>
      </c>
      <c r="K250" t="inlineStr">
        <is>
          <t>MEASURED</t>
        </is>
      </c>
      <c r="L250" t="inlineStr">
        <is>
          <t>P3</t>
        </is>
      </c>
      <c r="M250" t="n">
        <v>85</v>
      </c>
      <c r="N250">
        <f>ROUND(IF(IF(J250="NOT AVAILABLE","",J250)="",12,IF(OR(ISNUMBER(SEARCH("Transactional",IF(J250="NOT AVAILABLE","",J250))),ISNUMBER(SEARCH("Commercial",IF(J250="NOT AVAILABLE","",J250)))),25,IF(ISNUMBER(SEARCH("Informational",IF(J250="NOT AVAILABLE","",J250))),10,IF(ISNUMBER(SEARCH("Navigational",IF(J250="NOT AVAILABLE","",J250))),0,12))))+IF(ISNUMBER(G250),MIN(30,ROUND(30*LOG10(G250+1)/4,1)),0)+IF(ISNUMBER(H250),ROUND(25*(100-H250)/100,1),12.5)+20,0)</f>
        <v/>
      </c>
      <c r="O250">
        <f>ROUND(N250*M250/100,0)</f>
        <v/>
      </c>
      <c r="P250" s="5" t="inlineStr">
        <is>
          <t>Same query, Moroccan market (separate database, never summed)</t>
        </is>
      </c>
      <c r="Q250" s="5" t="inlineStr">
        <is>
          <t>None detected</t>
        </is>
      </c>
    </row>
    <row r="251">
      <c r="A251" s="3" t="inlineStr">
        <is>
          <t>https://codesommet.com/tools/bot-viewer</t>
        </is>
      </c>
      <c r="B251" s="5" t="inlineStr">
        <is>
          <t>Bot Viewer : Votre Page Vue par Googlebot</t>
        </is>
      </c>
      <c r="C251" t="inlineStr">
        <is>
          <t>France</t>
        </is>
      </c>
      <c r="D251" t="inlineStr">
        <is>
          <t>fr</t>
        </is>
      </c>
      <c r="E251" t="inlineStr">
        <is>
          <t>OPTIONAL</t>
        </is>
      </c>
      <c r="F251" t="inlineStr">
        <is>
          <t>voir page comme googlebot</t>
        </is>
      </c>
      <c r="G251" t="inlineStr">
        <is>
          <t>NOT AVAILABLE</t>
        </is>
      </c>
      <c r="H251" t="inlineStr">
        <is>
          <t>NOT AVAILABLE</t>
        </is>
      </c>
      <c r="I251" t="inlineStr">
        <is>
          <t>NOT AVAILABLE</t>
        </is>
      </c>
      <c r="J251" t="inlineStr">
        <is>
          <t>NOT AVAILABLE</t>
        </is>
      </c>
      <c r="K251" t="inlineStr">
        <is>
          <t>UNAVAILABLE</t>
        </is>
      </c>
      <c r="L251" t="inlineStr">
        <is>
          <t>P4</t>
        </is>
      </c>
      <c r="M251" t="n">
        <v>45</v>
      </c>
      <c r="N251">
        <f>ROUND(IF(IF(J251="NOT AVAILABLE","",J251)="",12,IF(OR(ISNUMBER(SEARCH("Transactional",IF(J251="NOT AVAILABLE","",J251))),ISNUMBER(SEARCH("Commercial",IF(J251="NOT AVAILABLE","",J251)))),25,IF(ISNUMBER(SEARCH("Informational",IF(J251="NOT AVAILABLE","",J251))),10,IF(ISNUMBER(SEARCH("Navigational",IF(J251="NOT AVAILABLE","",J251))),0,12))))+IF(ISNUMBER(G251),MIN(30,ROUND(30*LOG10(G251+1)/4,1)),0)+IF(ISNUMBER(H251),ROUND(25*(100-H251)/100,1),12.5)+14,0)</f>
        <v/>
      </c>
      <c r="O251">
        <f>ROUND(N251*M251/100,0)</f>
        <v/>
      </c>
      <c r="P251" s="5" t="inlineStr">
        <is>
          <t>Queried - Semrush returned no data or zero volume; usable as natural wording only</t>
        </is>
      </c>
      <c r="Q251" s="5" t="inlineStr">
        <is>
          <t>None detected</t>
        </is>
      </c>
    </row>
    <row r="252">
      <c r="A252" s="3" t="inlineStr">
        <is>
          <t>https://codesommet.com/tools/bot-viewer</t>
        </is>
      </c>
      <c r="B252" s="5" t="inlineStr">
        <is>
          <t>Bot Viewer : Votre Page Vue par Googlebot</t>
        </is>
      </c>
      <c r="C252" t="inlineStr">
        <is>
          <t>France</t>
        </is>
      </c>
      <c r="D252" t="inlineStr">
        <is>
          <t>fr</t>
        </is>
      </c>
      <c r="E252" t="inlineStr">
        <is>
          <t>OPTIONAL</t>
        </is>
      </c>
      <c r="F252" t="inlineStr">
        <is>
          <t>simulateur googlebot</t>
        </is>
      </c>
      <c r="G252" t="n">
        <v>0</v>
      </c>
      <c r="H252" t="inlineStr">
        <is>
          <t>NOT AVAILABLE</t>
        </is>
      </c>
      <c r="I252" t="n">
        <v>0</v>
      </c>
      <c r="J252" t="inlineStr">
        <is>
          <t>NOT AVAILABLE</t>
        </is>
      </c>
      <c r="K252" t="inlineStr">
        <is>
          <t>MEASURED</t>
        </is>
      </c>
      <c r="L252" t="inlineStr">
        <is>
          <t>P4</t>
        </is>
      </c>
      <c r="M252" t="n">
        <v>45</v>
      </c>
      <c r="N252">
        <f>ROUND(IF(IF(J252="NOT AVAILABLE","",J252)="",12,IF(OR(ISNUMBER(SEARCH("Transactional",IF(J252="NOT AVAILABLE","",J252))),ISNUMBER(SEARCH("Commercial",IF(J252="NOT AVAILABLE","",J252)))),25,IF(ISNUMBER(SEARCH("Informational",IF(J252="NOT AVAILABLE","",J252))),10,IF(ISNUMBER(SEARCH("Navigational",IF(J252="NOT AVAILABLE","",J252))),0,12))))+IF(ISNUMBER(G252),MIN(30,ROUND(30*LOG10(G252+1)/4,1)),0)+IF(ISNUMBER(H252),ROUND(25*(100-H252)/100,1),12.5)+14,0)</f>
        <v/>
      </c>
      <c r="O252">
        <f>ROUND(N252*M252/100,0)</f>
        <v/>
      </c>
      <c r="P252" s="5" t="inlineStr">
        <is>
          <t>Queried - Semrush returned no data or zero volume; usable as natural wording only</t>
        </is>
      </c>
      <c r="Q252" s="5" t="inlineStr">
        <is>
          <t>None detected</t>
        </is>
      </c>
    </row>
    <row r="253">
      <c r="A253" s="3" t="inlineStr">
        <is>
          <t>https://codesommet.com/tools/broken-link-checker</t>
        </is>
      </c>
      <c r="B253" s="5" t="inlineStr">
        <is>
          <t>Vérificateur de Liens Brisés Gratuit</t>
        </is>
      </c>
      <c r="C253" t="inlineStr">
        <is>
          <t>France</t>
        </is>
      </c>
      <c r="D253" t="inlineStr">
        <is>
          <t>fr</t>
        </is>
      </c>
      <c r="E253" t="inlineStr">
        <is>
          <t>PRIMARY</t>
        </is>
      </c>
      <c r="F253" t="inlineStr">
        <is>
          <t>broken link checker</t>
        </is>
      </c>
      <c r="G253" t="n">
        <v>720</v>
      </c>
      <c r="H253" t="n">
        <v>78</v>
      </c>
      <c r="I253" t="n">
        <v>1.23</v>
      </c>
      <c r="J253" t="inlineStr">
        <is>
          <t>Informational, Commercial</t>
        </is>
      </c>
      <c r="K253" t="inlineStr">
        <is>
          <t>MEASURED</t>
        </is>
      </c>
      <c r="L253" t="inlineStr">
        <is>
          <t>P3</t>
        </is>
      </c>
      <c r="M253" t="n">
        <v>100</v>
      </c>
      <c r="N253">
        <f>ROUND(IF(IF(J253="NOT AVAILABLE","",J253)="",12,IF(OR(ISNUMBER(SEARCH("Transactional",IF(J253="NOT AVAILABLE","",J253))),ISNUMBER(SEARCH("Commercial",IF(J253="NOT AVAILABLE","",J253)))),25,IF(ISNUMBER(SEARCH("Informational",IF(J253="NOT AVAILABLE","",J253))),10,IF(ISNUMBER(SEARCH("Navigational",IF(J253="NOT AVAILABLE","",J253))),0,12))))+IF(ISNUMBER(G253),MIN(30,ROUND(30*LOG10(G253+1)/4,1)),0)+IF(ISNUMBER(H253),ROUND(25*(100-H253)/100,1),12.5)+14,0)</f>
        <v/>
      </c>
      <c r="O253">
        <f>ROUND(N253*M253/100,0)</f>
        <v/>
      </c>
      <c r="P253" s="5" t="inlineStr">
        <is>
          <t>Best-fitting measured FR query for the tool task (tools serve the francophone market; FR db used as proxy)</t>
        </is>
      </c>
      <c r="Q253" s="5" t="inlineStr">
        <is>
          <t>None detected</t>
        </is>
      </c>
    </row>
    <row r="254">
      <c r="A254" s="3" t="inlineStr">
        <is>
          <t>https://codesommet.com/tools/broken-link-checker</t>
        </is>
      </c>
      <c r="B254" s="5" t="inlineStr">
        <is>
          <t>Vérificateur de Liens Brisés Gratuit</t>
        </is>
      </c>
      <c r="C254" t="inlineStr">
        <is>
          <t>Morocco</t>
        </is>
      </c>
      <c r="D254" t="inlineStr">
        <is>
          <t>ma</t>
        </is>
      </c>
      <c r="E254" t="inlineStr">
        <is>
          <t>SECONDARY</t>
        </is>
      </c>
      <c r="F254" t="inlineStr">
        <is>
          <t>broken link checker</t>
        </is>
      </c>
      <c r="G254" t="n">
        <v>110</v>
      </c>
      <c r="H254" t="inlineStr">
        <is>
          <t>NOT AVAILABLE</t>
        </is>
      </c>
      <c r="I254" t="n">
        <v>0.52</v>
      </c>
      <c r="J254" t="inlineStr">
        <is>
          <t>NOT AVAILABLE</t>
        </is>
      </c>
      <c r="K254" t="inlineStr">
        <is>
          <t>MEASURED</t>
        </is>
      </c>
      <c r="L254" t="inlineStr">
        <is>
          <t>P3</t>
        </is>
      </c>
      <c r="M254" t="n">
        <v>85</v>
      </c>
      <c r="N254">
        <f>ROUND(IF(IF(J254="NOT AVAILABLE","",J254)="",12,IF(OR(ISNUMBER(SEARCH("Transactional",IF(J254="NOT AVAILABLE","",J254))),ISNUMBER(SEARCH("Commercial",IF(J254="NOT AVAILABLE","",J254)))),25,IF(ISNUMBER(SEARCH("Informational",IF(J254="NOT AVAILABLE","",J254))),10,IF(ISNUMBER(SEARCH("Navigational",IF(J254="NOT AVAILABLE","",J254))),0,12))))+IF(ISNUMBER(G254),MIN(30,ROUND(30*LOG10(G254+1)/4,1)),0)+IF(ISNUMBER(H254),ROUND(25*(100-H254)/100,1),12.5)+20,0)</f>
        <v/>
      </c>
      <c r="O254">
        <f>ROUND(N254*M254/100,0)</f>
        <v/>
      </c>
      <c r="P254" s="5" t="inlineStr">
        <is>
          <t>Same query, Moroccan market (separate database, never summed)</t>
        </is>
      </c>
      <c r="Q254" s="5" t="inlineStr">
        <is>
          <t>None detected</t>
        </is>
      </c>
    </row>
    <row r="255">
      <c r="A255" s="3" t="inlineStr">
        <is>
          <t>https://codesommet.com/tools/broken-link-checker</t>
        </is>
      </c>
      <c r="B255" s="5" t="inlineStr">
        <is>
          <t>Vérificateur de Liens Brisés Gratuit</t>
        </is>
      </c>
      <c r="C255" t="inlineStr">
        <is>
          <t>France</t>
        </is>
      </c>
      <c r="D255" t="inlineStr">
        <is>
          <t>fr</t>
        </is>
      </c>
      <c r="E255" t="inlineStr">
        <is>
          <t>SUPPORTING</t>
        </is>
      </c>
      <c r="F255" t="inlineStr">
        <is>
          <t>liens cassés</t>
        </is>
      </c>
      <c r="G255" t="n">
        <v>20</v>
      </c>
      <c r="H255" t="inlineStr">
        <is>
          <t>NOT AVAILABLE</t>
        </is>
      </c>
      <c r="I255" t="n">
        <v>0</v>
      </c>
      <c r="J255" t="inlineStr">
        <is>
          <t>NOT AVAILABLE</t>
        </is>
      </c>
      <c r="K255" t="inlineStr">
        <is>
          <t>MEASURED</t>
        </is>
      </c>
      <c r="L255" t="inlineStr">
        <is>
          <t>P3</t>
        </is>
      </c>
      <c r="M255" t="n">
        <v>65</v>
      </c>
      <c r="N255">
        <f>ROUND(IF(IF(J255="NOT AVAILABLE","",J255)="",12,IF(OR(ISNUMBER(SEARCH("Transactional",IF(J255="NOT AVAILABLE","",J255))),ISNUMBER(SEARCH("Commercial",IF(J255="NOT AVAILABLE","",J255)))),25,IF(ISNUMBER(SEARCH("Informational",IF(J255="NOT AVAILABLE","",J255))),10,IF(ISNUMBER(SEARCH("Navigational",IF(J255="NOT AVAILABLE","",J255))),0,12))))+IF(ISNUMBER(G255),MIN(30,ROUND(30*LOG10(G255+1)/4,1)),0)+IF(ISNUMBER(H255),ROUND(25*(100-H255)/100,1),12.5)+14,0)</f>
        <v/>
      </c>
      <c r="O255">
        <f>ROUND(N255*M255/100,0)</f>
        <v/>
      </c>
      <c r="P255" s="5" t="inlineStr">
        <is>
          <t>Measured variant of the tool task</t>
        </is>
      </c>
      <c r="Q255" s="5" t="inlineStr">
        <is>
          <t>None detected</t>
        </is>
      </c>
    </row>
    <row r="256">
      <c r="A256" s="3" t="inlineStr">
        <is>
          <t>https://codesommet.com/tools/broken-link-checker</t>
        </is>
      </c>
      <c r="B256" s="5" t="inlineStr">
        <is>
          <t>Vérificateur de Liens Brisés Gratuit</t>
        </is>
      </c>
      <c r="C256" t="inlineStr">
        <is>
          <t>France</t>
        </is>
      </c>
      <c r="D256" t="inlineStr">
        <is>
          <t>fr</t>
        </is>
      </c>
      <c r="E256" t="inlineStr">
        <is>
          <t>OPTIONAL</t>
        </is>
      </c>
      <c r="F256" t="inlineStr">
        <is>
          <t>vérifier liens cassés</t>
        </is>
      </c>
      <c r="G256" t="n">
        <v>0</v>
      </c>
      <c r="H256" t="inlineStr">
        <is>
          <t>NOT AVAILABLE</t>
        </is>
      </c>
      <c r="I256" t="n">
        <v>0</v>
      </c>
      <c r="J256" t="inlineStr">
        <is>
          <t>NOT AVAILABLE</t>
        </is>
      </c>
      <c r="K256" t="inlineStr">
        <is>
          <t>MEASURED</t>
        </is>
      </c>
      <c r="L256" t="inlineStr">
        <is>
          <t>P4</t>
        </is>
      </c>
      <c r="M256" t="n">
        <v>45</v>
      </c>
      <c r="N256">
        <f>ROUND(IF(IF(J256="NOT AVAILABLE","",J256)="",12,IF(OR(ISNUMBER(SEARCH("Transactional",IF(J256="NOT AVAILABLE","",J256))),ISNUMBER(SEARCH("Commercial",IF(J256="NOT AVAILABLE","",J256)))),25,IF(ISNUMBER(SEARCH("Informational",IF(J256="NOT AVAILABLE","",J256))),10,IF(ISNUMBER(SEARCH("Navigational",IF(J256="NOT AVAILABLE","",J256))),0,12))))+IF(ISNUMBER(G256),MIN(30,ROUND(30*LOG10(G256+1)/4,1)),0)+IF(ISNUMBER(H256),ROUND(25*(100-H256)/100,1),12.5)+14,0)</f>
        <v/>
      </c>
      <c r="O256">
        <f>ROUND(N256*M256/100,0)</f>
        <v/>
      </c>
      <c r="P256" s="5" t="inlineStr">
        <is>
          <t>Queried - Semrush returned no data or zero volume; usable as natural wording only</t>
        </is>
      </c>
      <c r="Q256" s="5" t="inlineStr">
        <is>
          <t>None detected</t>
        </is>
      </c>
    </row>
    <row r="257">
      <c r="A257" s="3" t="inlineStr">
        <is>
          <t>https://codesommet.com/tools/broken-link-checker</t>
        </is>
      </c>
      <c r="B257" s="5" t="inlineStr">
        <is>
          <t>Vérificateur de Liens Brisés Gratuit</t>
        </is>
      </c>
      <c r="C257" t="inlineStr">
        <is>
          <t>France</t>
        </is>
      </c>
      <c r="D257" t="inlineStr">
        <is>
          <t>fr</t>
        </is>
      </c>
      <c r="E257" t="inlineStr">
        <is>
          <t>OPTIONAL</t>
        </is>
      </c>
      <c r="F257" t="inlineStr">
        <is>
          <t>détecter liens morts</t>
        </is>
      </c>
      <c r="G257" t="n">
        <v>0</v>
      </c>
      <c r="H257" t="inlineStr">
        <is>
          <t>NOT AVAILABLE</t>
        </is>
      </c>
      <c r="I257" t="n">
        <v>0</v>
      </c>
      <c r="J257" t="inlineStr">
        <is>
          <t>NOT AVAILABLE</t>
        </is>
      </c>
      <c r="K257" t="inlineStr">
        <is>
          <t>MEASURED</t>
        </is>
      </c>
      <c r="L257" t="inlineStr">
        <is>
          <t>P4</t>
        </is>
      </c>
      <c r="M257" t="n">
        <v>45</v>
      </c>
      <c r="N257">
        <f>ROUND(IF(IF(J257="NOT AVAILABLE","",J257)="",12,IF(OR(ISNUMBER(SEARCH("Transactional",IF(J257="NOT AVAILABLE","",J257))),ISNUMBER(SEARCH("Commercial",IF(J257="NOT AVAILABLE","",J257)))),25,IF(ISNUMBER(SEARCH("Informational",IF(J257="NOT AVAILABLE","",J257))),10,IF(ISNUMBER(SEARCH("Navigational",IF(J257="NOT AVAILABLE","",J257))),0,12))))+IF(ISNUMBER(G257),MIN(30,ROUND(30*LOG10(G257+1)/4,1)),0)+IF(ISNUMBER(H257),ROUND(25*(100-H257)/100,1),12.5)+14,0)</f>
        <v/>
      </c>
      <c r="O257">
        <f>ROUND(N257*M257/100,0)</f>
        <v/>
      </c>
      <c r="P257" s="5" t="inlineStr">
        <is>
          <t>Queried - Semrush returned no data or zero volume; usable as natural wording only</t>
        </is>
      </c>
      <c r="Q257" s="5" t="inlineStr">
        <is>
          <t>None detected</t>
        </is>
      </c>
    </row>
    <row r="258">
      <c r="A258" s="3" t="inlineStr">
        <is>
          <t>https://codesommet.com/tools/canonical-checker</t>
        </is>
      </c>
      <c r="B258" s="5" t="inlineStr">
        <is>
          <t>Vérificateur de Balise Canonical Gratuit</t>
        </is>
      </c>
      <c r="C258" t="inlineStr">
        <is>
          <t>France</t>
        </is>
      </c>
      <c r="D258" t="inlineStr">
        <is>
          <t>fr</t>
        </is>
      </c>
      <c r="E258" t="inlineStr">
        <is>
          <t>PRIMARY</t>
        </is>
      </c>
      <c r="F258" t="inlineStr">
        <is>
          <t>url canonique</t>
        </is>
      </c>
      <c r="G258" t="n">
        <v>390</v>
      </c>
      <c r="H258" t="n">
        <v>30</v>
      </c>
      <c r="I258" t="n">
        <v>0.1</v>
      </c>
      <c r="J258" t="inlineStr">
        <is>
          <t>Informational</t>
        </is>
      </c>
      <c r="K258" t="inlineStr">
        <is>
          <t>MEASURED</t>
        </is>
      </c>
      <c r="L258" t="inlineStr">
        <is>
          <t>P3</t>
        </is>
      </c>
      <c r="M258" t="n">
        <v>100</v>
      </c>
      <c r="N258">
        <f>ROUND(IF(IF(J258="NOT AVAILABLE","",J258)="",12,IF(OR(ISNUMBER(SEARCH("Transactional",IF(J258="NOT AVAILABLE","",J258))),ISNUMBER(SEARCH("Commercial",IF(J258="NOT AVAILABLE","",J258)))),25,IF(ISNUMBER(SEARCH("Informational",IF(J258="NOT AVAILABLE","",J258))),10,IF(ISNUMBER(SEARCH("Navigational",IF(J258="NOT AVAILABLE","",J258))),0,12))))+IF(ISNUMBER(G258),MIN(30,ROUND(30*LOG10(G258+1)/4,1)),0)+IF(ISNUMBER(H258),ROUND(25*(100-H258)/100,1),12.5)+14,0)</f>
        <v/>
      </c>
      <c r="O258">
        <f>ROUND(N258*M258/100,0)</f>
        <v/>
      </c>
      <c r="P258" s="5" t="inlineStr">
        <is>
          <t>Best-fitting measured FR query for the tool task (tools serve the francophone market; FR db used as proxy)</t>
        </is>
      </c>
      <c r="Q258" s="5" t="inlineStr">
        <is>
          <t>None detected</t>
        </is>
      </c>
    </row>
    <row r="259">
      <c r="A259" s="3" t="inlineStr">
        <is>
          <t>https://codesommet.com/tools/canonical-checker</t>
        </is>
      </c>
      <c r="B259" s="5" t="inlineStr">
        <is>
          <t>Vérificateur de Balise Canonical Gratuit</t>
        </is>
      </c>
      <c r="C259" t="inlineStr">
        <is>
          <t>France</t>
        </is>
      </c>
      <c r="D259" t="inlineStr">
        <is>
          <t>fr</t>
        </is>
      </c>
      <c r="E259" t="inlineStr">
        <is>
          <t>SECONDARY</t>
        </is>
      </c>
      <c r="F259" t="inlineStr">
        <is>
          <t>canonical seo</t>
        </is>
      </c>
      <c r="G259" t="n">
        <v>170</v>
      </c>
      <c r="H259" t="n">
        <v>20</v>
      </c>
      <c r="I259" t="n">
        <v>0.82</v>
      </c>
      <c r="J259" t="inlineStr">
        <is>
          <t>Informational</t>
        </is>
      </c>
      <c r="K259" t="inlineStr">
        <is>
          <t>MEASURED</t>
        </is>
      </c>
      <c r="L259" t="inlineStr">
        <is>
          <t>P3</t>
        </is>
      </c>
      <c r="M259" t="n">
        <v>85</v>
      </c>
      <c r="N259">
        <f>ROUND(IF(IF(J259="NOT AVAILABLE","",J259)="",12,IF(OR(ISNUMBER(SEARCH("Transactional",IF(J259="NOT AVAILABLE","",J259))),ISNUMBER(SEARCH("Commercial",IF(J259="NOT AVAILABLE","",J259)))),25,IF(ISNUMBER(SEARCH("Informational",IF(J259="NOT AVAILABLE","",J259))),10,IF(ISNUMBER(SEARCH("Navigational",IF(J259="NOT AVAILABLE","",J259))),0,12))))+IF(ISNUMBER(G259),MIN(30,ROUND(30*LOG10(G259+1)/4,1)),0)+IF(ISNUMBER(H259),ROUND(25*(100-H259)/100,1),12.5)+14,0)</f>
        <v/>
      </c>
      <c r="O259">
        <f>ROUND(N259*M259/100,0)</f>
        <v/>
      </c>
      <c r="P259" s="5" t="inlineStr">
        <is>
          <t>Measured variant of the tool task</t>
        </is>
      </c>
      <c r="Q259" s="5" t="inlineStr">
        <is>
          <t>None detected</t>
        </is>
      </c>
    </row>
    <row r="260">
      <c r="A260" s="3" t="inlineStr">
        <is>
          <t>https://codesommet.com/tools/canonical-checker</t>
        </is>
      </c>
      <c r="B260" s="5" t="inlineStr">
        <is>
          <t>Vérificateur de Balise Canonical Gratuit</t>
        </is>
      </c>
      <c r="C260" t="inlineStr">
        <is>
          <t>Morocco</t>
        </is>
      </c>
      <c r="D260" t="inlineStr">
        <is>
          <t>ma</t>
        </is>
      </c>
      <c r="E260" t="inlineStr">
        <is>
          <t>SECONDARY</t>
        </is>
      </c>
      <c r="F260" t="inlineStr">
        <is>
          <t>url canonique</t>
        </is>
      </c>
      <c r="G260" t="n">
        <v>30</v>
      </c>
      <c r="H260" t="inlineStr">
        <is>
          <t>NOT AVAILABLE</t>
        </is>
      </c>
      <c r="I260" t="n">
        <v>0</v>
      </c>
      <c r="J260" t="inlineStr">
        <is>
          <t>NOT AVAILABLE</t>
        </is>
      </c>
      <c r="K260" t="inlineStr">
        <is>
          <t>MEASURED</t>
        </is>
      </c>
      <c r="L260" t="inlineStr">
        <is>
          <t>P3</t>
        </is>
      </c>
      <c r="M260" t="n">
        <v>85</v>
      </c>
      <c r="N260">
        <f>ROUND(IF(IF(J260="NOT AVAILABLE","",J260)="",12,IF(OR(ISNUMBER(SEARCH("Transactional",IF(J260="NOT AVAILABLE","",J260))),ISNUMBER(SEARCH("Commercial",IF(J260="NOT AVAILABLE","",J260)))),25,IF(ISNUMBER(SEARCH("Informational",IF(J260="NOT AVAILABLE","",J260))),10,IF(ISNUMBER(SEARCH("Navigational",IF(J260="NOT AVAILABLE","",J260))),0,12))))+IF(ISNUMBER(G260),MIN(30,ROUND(30*LOG10(G260+1)/4,1)),0)+IF(ISNUMBER(H260),ROUND(25*(100-H260)/100,1),12.5)+20,0)</f>
        <v/>
      </c>
      <c r="O260">
        <f>ROUND(N260*M260/100,0)</f>
        <v/>
      </c>
      <c r="P260" s="5" t="inlineStr">
        <is>
          <t>Same query, Moroccan market (separate database, never summed)</t>
        </is>
      </c>
      <c r="Q260" s="5" t="inlineStr">
        <is>
          <t>None detected</t>
        </is>
      </c>
    </row>
    <row r="261">
      <c r="A261" s="3" t="inlineStr">
        <is>
          <t>https://codesommet.com/tools/canonical-checker</t>
        </is>
      </c>
      <c r="B261" s="5" t="inlineStr">
        <is>
          <t>Vérificateur de Balise Canonical Gratuit</t>
        </is>
      </c>
      <c r="C261" t="inlineStr">
        <is>
          <t>France</t>
        </is>
      </c>
      <c r="D261" t="inlineStr">
        <is>
          <t>fr</t>
        </is>
      </c>
      <c r="E261" t="inlineStr">
        <is>
          <t>SUPPORTING</t>
        </is>
      </c>
      <c r="F261" t="inlineStr">
        <is>
          <t>balise canonical</t>
        </is>
      </c>
      <c r="G261" t="n">
        <v>90</v>
      </c>
      <c r="H261" t="n">
        <v>15</v>
      </c>
      <c r="I261" t="n">
        <v>0</v>
      </c>
      <c r="J261" t="inlineStr">
        <is>
          <t>Informational</t>
        </is>
      </c>
      <c r="K261" t="inlineStr">
        <is>
          <t>MEASURED</t>
        </is>
      </c>
      <c r="L261" t="inlineStr">
        <is>
          <t>P3</t>
        </is>
      </c>
      <c r="M261" t="n">
        <v>65</v>
      </c>
      <c r="N261">
        <f>ROUND(IF(IF(J261="NOT AVAILABLE","",J261)="",12,IF(OR(ISNUMBER(SEARCH("Transactional",IF(J261="NOT AVAILABLE","",J261))),ISNUMBER(SEARCH("Commercial",IF(J261="NOT AVAILABLE","",J261)))),25,IF(ISNUMBER(SEARCH("Informational",IF(J261="NOT AVAILABLE","",J261))),10,IF(ISNUMBER(SEARCH("Navigational",IF(J261="NOT AVAILABLE","",J261))),0,12))))+IF(ISNUMBER(G261),MIN(30,ROUND(30*LOG10(G261+1)/4,1)),0)+IF(ISNUMBER(H261),ROUND(25*(100-H261)/100,1),12.5)+14,0)</f>
        <v/>
      </c>
      <c r="O261">
        <f>ROUND(N261*M261/100,0)</f>
        <v/>
      </c>
      <c r="P261" s="5" t="inlineStr">
        <is>
          <t>Measured variant of the tool task</t>
        </is>
      </c>
      <c r="Q261" s="5" t="inlineStr">
        <is>
          <t>None detected</t>
        </is>
      </c>
    </row>
    <row r="262">
      <c r="A262" s="3" t="inlineStr">
        <is>
          <t>https://codesommet.com/tools/canonical-checker</t>
        </is>
      </c>
      <c r="B262" s="5" t="inlineStr">
        <is>
          <t>Vérificateur de Balise Canonical Gratuit</t>
        </is>
      </c>
      <c r="C262" t="inlineStr">
        <is>
          <t>France</t>
        </is>
      </c>
      <c r="D262" t="inlineStr">
        <is>
          <t>fr</t>
        </is>
      </c>
      <c r="E262" t="inlineStr">
        <is>
          <t>OPTIONAL</t>
        </is>
      </c>
      <c r="F262" t="inlineStr">
        <is>
          <t>vérifier canonical</t>
        </is>
      </c>
      <c r="G262" t="inlineStr">
        <is>
          <t>NOT AVAILABLE</t>
        </is>
      </c>
      <c r="H262" t="inlineStr">
        <is>
          <t>NOT AVAILABLE</t>
        </is>
      </c>
      <c r="I262" t="inlineStr">
        <is>
          <t>NOT AVAILABLE</t>
        </is>
      </c>
      <c r="J262" t="inlineStr">
        <is>
          <t>NOT AVAILABLE</t>
        </is>
      </c>
      <c r="K262" t="inlineStr">
        <is>
          <t>UNAVAILABLE</t>
        </is>
      </c>
      <c r="L262" t="inlineStr">
        <is>
          <t>P4</t>
        </is>
      </c>
      <c r="M262" t="n">
        <v>45</v>
      </c>
      <c r="N262">
        <f>ROUND(IF(IF(J262="NOT AVAILABLE","",J262)="",12,IF(OR(ISNUMBER(SEARCH("Transactional",IF(J262="NOT AVAILABLE","",J262))),ISNUMBER(SEARCH("Commercial",IF(J262="NOT AVAILABLE","",J262)))),25,IF(ISNUMBER(SEARCH("Informational",IF(J262="NOT AVAILABLE","",J262))),10,IF(ISNUMBER(SEARCH("Navigational",IF(J262="NOT AVAILABLE","",J262))),0,12))))+IF(ISNUMBER(G262),MIN(30,ROUND(30*LOG10(G262+1)/4,1)),0)+IF(ISNUMBER(H262),ROUND(25*(100-H262)/100,1),12.5)+14,0)</f>
        <v/>
      </c>
      <c r="O262">
        <f>ROUND(N262*M262/100,0)</f>
        <v/>
      </c>
      <c r="P262" s="5" t="inlineStr">
        <is>
          <t>Queried - Semrush returned no data or zero volume; usable as natural wording only</t>
        </is>
      </c>
      <c r="Q262" s="5" t="inlineStr">
        <is>
          <t>None detected</t>
        </is>
      </c>
    </row>
    <row r="263">
      <c r="A263" s="3" t="inlineStr">
        <is>
          <t>https://codesommet.com/tools/chatbot-script-generator</t>
        </is>
      </c>
      <c r="B263" s="5" t="inlineStr">
        <is>
          <t>Générateur de Script Chatbot IA Gratuit</t>
        </is>
      </c>
      <c r="C263" t="inlineStr">
        <is>
          <t>France</t>
        </is>
      </c>
      <c r="D263" t="inlineStr">
        <is>
          <t>fr</t>
        </is>
      </c>
      <c r="E263" t="inlineStr">
        <is>
          <t>PRIMARY</t>
        </is>
      </c>
      <c r="F263" t="inlineStr">
        <is>
          <t>créer un chatbot</t>
        </is>
      </c>
      <c r="G263" t="n">
        <v>480</v>
      </c>
      <c r="H263" t="n">
        <v>39</v>
      </c>
      <c r="I263" t="n">
        <v>2.62</v>
      </c>
      <c r="J263" t="inlineStr">
        <is>
          <t>Informational</t>
        </is>
      </c>
      <c r="K263" t="inlineStr">
        <is>
          <t>MEASURED</t>
        </is>
      </c>
      <c r="L263" t="inlineStr">
        <is>
          <t>P3</t>
        </is>
      </c>
      <c r="M263" t="n">
        <v>100</v>
      </c>
      <c r="N263">
        <f>ROUND(IF(IF(J263="NOT AVAILABLE","",J263)="",12,IF(OR(ISNUMBER(SEARCH("Transactional",IF(J263="NOT AVAILABLE","",J263))),ISNUMBER(SEARCH("Commercial",IF(J263="NOT AVAILABLE","",J263)))),25,IF(ISNUMBER(SEARCH("Informational",IF(J263="NOT AVAILABLE","",J263))),10,IF(ISNUMBER(SEARCH("Navigational",IF(J263="NOT AVAILABLE","",J263))),0,12))))+IF(ISNUMBER(G263),MIN(30,ROUND(30*LOG10(G263+1)/4,1)),0)+IF(ISNUMBER(H263),ROUND(25*(100-H263)/100,1),12.5)+14,0)</f>
        <v/>
      </c>
      <c r="O263">
        <f>ROUND(N263*M263/100,0)</f>
        <v/>
      </c>
      <c r="P263" s="5" t="inlineStr">
        <is>
          <t>Best-fitting measured FR query for the tool task (tools serve the francophone market; FR db used as proxy)</t>
        </is>
      </c>
      <c r="Q263" s="5" t="inlineStr">
        <is>
          <t>None detected</t>
        </is>
      </c>
    </row>
    <row r="264">
      <c r="A264" s="3" t="inlineStr">
        <is>
          <t>https://codesommet.com/tools/chatbot-script-generator</t>
        </is>
      </c>
      <c r="B264" s="5" t="inlineStr">
        <is>
          <t>Générateur de Script Chatbot IA Gratuit</t>
        </is>
      </c>
      <c r="C264" t="inlineStr">
        <is>
          <t>Morocco</t>
        </is>
      </c>
      <c r="D264" t="inlineStr">
        <is>
          <t>ma</t>
        </is>
      </c>
      <c r="E264" t="inlineStr">
        <is>
          <t>SECONDARY</t>
        </is>
      </c>
      <c r="F264" t="inlineStr">
        <is>
          <t>créer un chatbot</t>
        </is>
      </c>
      <c r="G264" t="n">
        <v>20</v>
      </c>
      <c r="H264" t="inlineStr">
        <is>
          <t>NOT AVAILABLE</t>
        </is>
      </c>
      <c r="I264" t="n">
        <v>0.13</v>
      </c>
      <c r="J264" t="inlineStr">
        <is>
          <t>NOT AVAILABLE</t>
        </is>
      </c>
      <c r="K264" t="inlineStr">
        <is>
          <t>MEASURED</t>
        </is>
      </c>
      <c r="L264" t="inlineStr">
        <is>
          <t>P3</t>
        </is>
      </c>
      <c r="M264" t="n">
        <v>85</v>
      </c>
      <c r="N264">
        <f>ROUND(IF(IF(J264="NOT AVAILABLE","",J264)="",12,IF(OR(ISNUMBER(SEARCH("Transactional",IF(J264="NOT AVAILABLE","",J264))),ISNUMBER(SEARCH("Commercial",IF(J264="NOT AVAILABLE","",J264)))),25,IF(ISNUMBER(SEARCH("Informational",IF(J264="NOT AVAILABLE","",J264))),10,IF(ISNUMBER(SEARCH("Navigational",IF(J264="NOT AVAILABLE","",J264))),0,12))))+IF(ISNUMBER(G264),MIN(30,ROUND(30*LOG10(G264+1)/4,1)),0)+IF(ISNUMBER(H264),ROUND(25*(100-H264)/100,1),12.5)+20,0)</f>
        <v/>
      </c>
      <c r="O264">
        <f>ROUND(N264*M264/100,0)</f>
        <v/>
      </c>
      <c r="P264" s="5" t="inlineStr">
        <is>
          <t>Same query, Moroccan market (separate database, never summed)</t>
        </is>
      </c>
      <c r="Q264" s="5" t="inlineStr">
        <is>
          <t>None detected</t>
        </is>
      </c>
    </row>
    <row r="265">
      <c r="A265" s="3" t="inlineStr">
        <is>
          <t>https://codesommet.com/tools/chatbot-script-generator</t>
        </is>
      </c>
      <c r="B265" s="5" t="inlineStr">
        <is>
          <t>Générateur de Script Chatbot IA Gratuit</t>
        </is>
      </c>
      <c r="C265" t="inlineStr">
        <is>
          <t>France</t>
        </is>
      </c>
      <c r="D265" t="inlineStr">
        <is>
          <t>fr</t>
        </is>
      </c>
      <c r="E265" t="inlineStr">
        <is>
          <t>SUPPORTING</t>
        </is>
      </c>
      <c r="F265" t="inlineStr">
        <is>
          <t>script chatbot</t>
        </is>
      </c>
      <c r="G265" t="n">
        <v>20</v>
      </c>
      <c r="H265" t="inlineStr">
        <is>
          <t>NOT AVAILABLE</t>
        </is>
      </c>
      <c r="I265" t="n">
        <v>0</v>
      </c>
      <c r="J265" t="inlineStr">
        <is>
          <t>NOT AVAILABLE</t>
        </is>
      </c>
      <c r="K265" t="inlineStr">
        <is>
          <t>MEASURED</t>
        </is>
      </c>
      <c r="L265" t="inlineStr">
        <is>
          <t>P3</t>
        </is>
      </c>
      <c r="M265" t="n">
        <v>65</v>
      </c>
      <c r="N265">
        <f>ROUND(IF(IF(J265="NOT AVAILABLE","",J265)="",12,IF(OR(ISNUMBER(SEARCH("Transactional",IF(J265="NOT AVAILABLE","",J265))),ISNUMBER(SEARCH("Commercial",IF(J265="NOT AVAILABLE","",J265)))),25,IF(ISNUMBER(SEARCH("Informational",IF(J265="NOT AVAILABLE","",J265))),10,IF(ISNUMBER(SEARCH("Navigational",IF(J265="NOT AVAILABLE","",J265))),0,12))))+IF(ISNUMBER(G265),MIN(30,ROUND(30*LOG10(G265+1)/4,1)),0)+IF(ISNUMBER(H265),ROUND(25*(100-H265)/100,1),12.5)+14,0)</f>
        <v/>
      </c>
      <c r="O265">
        <f>ROUND(N265*M265/100,0)</f>
        <v/>
      </c>
      <c r="P265" s="5" t="inlineStr">
        <is>
          <t>Measured variant of the tool task</t>
        </is>
      </c>
      <c r="Q265" s="5" t="inlineStr">
        <is>
          <t>None detected</t>
        </is>
      </c>
    </row>
    <row r="266">
      <c r="A266" s="3" t="inlineStr">
        <is>
          <t>https://codesommet.com/tools/chatbot-script-generator</t>
        </is>
      </c>
      <c r="B266" s="5" t="inlineStr">
        <is>
          <t>Générateur de Script Chatbot IA Gratuit</t>
        </is>
      </c>
      <c r="C266" t="inlineStr">
        <is>
          <t>France</t>
        </is>
      </c>
      <c r="D266" t="inlineStr">
        <is>
          <t>fr</t>
        </is>
      </c>
      <c r="E266" t="inlineStr">
        <is>
          <t>OPTIONAL</t>
        </is>
      </c>
      <c r="F266" t="inlineStr">
        <is>
          <t>générateur chatbot</t>
        </is>
      </c>
      <c r="G266" t="inlineStr">
        <is>
          <t>NOT AVAILABLE</t>
        </is>
      </c>
      <c r="H266" t="inlineStr">
        <is>
          <t>NOT AVAILABLE</t>
        </is>
      </c>
      <c r="I266" t="inlineStr">
        <is>
          <t>NOT AVAILABLE</t>
        </is>
      </c>
      <c r="J266" t="inlineStr">
        <is>
          <t>NOT AVAILABLE</t>
        </is>
      </c>
      <c r="K266" t="inlineStr">
        <is>
          <t>UNAVAILABLE</t>
        </is>
      </c>
      <c r="L266" t="inlineStr">
        <is>
          <t>P4</t>
        </is>
      </c>
      <c r="M266" t="n">
        <v>45</v>
      </c>
      <c r="N266">
        <f>ROUND(IF(IF(J266="NOT AVAILABLE","",J266)="",12,IF(OR(ISNUMBER(SEARCH("Transactional",IF(J266="NOT AVAILABLE","",J266))),ISNUMBER(SEARCH("Commercial",IF(J266="NOT AVAILABLE","",J266)))),25,IF(ISNUMBER(SEARCH("Informational",IF(J266="NOT AVAILABLE","",J266))),10,IF(ISNUMBER(SEARCH("Navigational",IF(J266="NOT AVAILABLE","",J266))),0,12))))+IF(ISNUMBER(G266),MIN(30,ROUND(30*LOG10(G266+1)/4,1)),0)+IF(ISNUMBER(H266),ROUND(25*(100-H266)/100,1),12.5)+14,0)</f>
        <v/>
      </c>
      <c r="O266">
        <f>ROUND(N266*M266/100,0)</f>
        <v/>
      </c>
      <c r="P266" s="5" t="inlineStr">
        <is>
          <t>Queried - Semrush returned no data or zero volume; usable as natural wording only</t>
        </is>
      </c>
      <c r="Q266" s="5" t="inlineStr">
        <is>
          <t>None detected</t>
        </is>
      </c>
    </row>
    <row r="267">
      <c r="A267" s="3" t="inlineStr">
        <is>
          <t>https://codesommet.com/tools/color-palette-generator</t>
        </is>
      </c>
      <c r="B267" s="5" t="inlineStr">
        <is>
          <t>Générateur de Palette de Couleurs Gratuit</t>
        </is>
      </c>
      <c r="C267" t="inlineStr">
        <is>
          <t>France</t>
        </is>
      </c>
      <c r="D267" t="inlineStr">
        <is>
          <t>fr</t>
        </is>
      </c>
      <c r="E267" t="inlineStr">
        <is>
          <t>PRIMARY</t>
        </is>
      </c>
      <c r="F267" t="inlineStr">
        <is>
          <t>palette de couleurs</t>
        </is>
      </c>
      <c r="G267" t="n">
        <v>1600</v>
      </c>
      <c r="H267" t="n">
        <v>48</v>
      </c>
      <c r="I267" t="n">
        <v>1.26</v>
      </c>
      <c r="J267" t="inlineStr">
        <is>
          <t>Informational</t>
        </is>
      </c>
      <c r="K267" t="inlineStr">
        <is>
          <t>MEASURED</t>
        </is>
      </c>
      <c r="L267" t="inlineStr">
        <is>
          <t>P3</t>
        </is>
      </c>
      <c r="M267" t="n">
        <v>100</v>
      </c>
      <c r="N267">
        <f>ROUND(IF(IF(J267="NOT AVAILABLE","",J267)="",12,IF(OR(ISNUMBER(SEARCH("Transactional",IF(J267="NOT AVAILABLE","",J267))),ISNUMBER(SEARCH("Commercial",IF(J267="NOT AVAILABLE","",J267)))),25,IF(ISNUMBER(SEARCH("Informational",IF(J267="NOT AVAILABLE","",J267))),10,IF(ISNUMBER(SEARCH("Navigational",IF(J267="NOT AVAILABLE","",J267))),0,12))))+IF(ISNUMBER(G267),MIN(30,ROUND(30*LOG10(G267+1)/4,1)),0)+IF(ISNUMBER(H267),ROUND(25*(100-H267)/100,1),12.5)+14,0)</f>
        <v/>
      </c>
      <c r="O267">
        <f>ROUND(N267*M267/100,0)</f>
        <v/>
      </c>
      <c r="P267" s="5" t="inlineStr">
        <is>
          <t>Best-fitting measured FR query for the tool task (tools serve the francophone market; FR db used as proxy)</t>
        </is>
      </c>
      <c r="Q267" s="5" t="inlineStr">
        <is>
          <t>None detected</t>
        </is>
      </c>
    </row>
    <row r="268">
      <c r="A268" s="3" t="inlineStr">
        <is>
          <t>https://codesommet.com/tools/color-palette-generator</t>
        </is>
      </c>
      <c r="B268" s="5" t="inlineStr">
        <is>
          <t>Générateur de Palette de Couleurs Gratuit</t>
        </is>
      </c>
      <c r="C268" t="inlineStr">
        <is>
          <t>Morocco</t>
        </is>
      </c>
      <c r="D268" t="inlineStr">
        <is>
          <t>ma</t>
        </is>
      </c>
      <c r="E268" t="inlineStr">
        <is>
          <t>SECONDARY</t>
        </is>
      </c>
      <c r="F268" t="inlineStr">
        <is>
          <t>palette de couleurs</t>
        </is>
      </c>
      <c r="G268" t="n">
        <v>1300</v>
      </c>
      <c r="H268" t="n">
        <v>53</v>
      </c>
      <c r="I268" t="n">
        <v>0.49</v>
      </c>
      <c r="J268" t="inlineStr">
        <is>
          <t>Informational</t>
        </is>
      </c>
      <c r="K268" t="inlineStr">
        <is>
          <t>MEASURED</t>
        </is>
      </c>
      <c r="L268" t="inlineStr">
        <is>
          <t>P3</t>
        </is>
      </c>
      <c r="M268" t="n">
        <v>85</v>
      </c>
      <c r="N268">
        <f>ROUND(IF(IF(J268="NOT AVAILABLE","",J268)="",12,IF(OR(ISNUMBER(SEARCH("Transactional",IF(J268="NOT AVAILABLE","",J268))),ISNUMBER(SEARCH("Commercial",IF(J268="NOT AVAILABLE","",J268)))),25,IF(ISNUMBER(SEARCH("Informational",IF(J268="NOT AVAILABLE","",J268))),10,IF(ISNUMBER(SEARCH("Navigational",IF(J268="NOT AVAILABLE","",J268))),0,12))))+IF(ISNUMBER(G268),MIN(30,ROUND(30*LOG10(G268+1)/4,1)),0)+IF(ISNUMBER(H268),ROUND(25*(100-H268)/100,1),12.5)+20,0)</f>
        <v/>
      </c>
      <c r="O268">
        <f>ROUND(N268*M268/100,0)</f>
        <v/>
      </c>
      <c r="P268" s="5" t="inlineStr">
        <is>
          <t>Same query, Moroccan market (separate database, never summed)</t>
        </is>
      </c>
      <c r="Q268" s="5" t="inlineStr">
        <is>
          <t>None detected</t>
        </is>
      </c>
    </row>
    <row r="269">
      <c r="A269" s="3" t="inlineStr">
        <is>
          <t>https://codesommet.com/tools/color-palette-generator</t>
        </is>
      </c>
      <c r="B269" s="5" t="inlineStr">
        <is>
          <t>Générateur de Palette de Couleurs Gratuit</t>
        </is>
      </c>
      <c r="C269" t="inlineStr">
        <is>
          <t>France</t>
        </is>
      </c>
      <c r="D269" t="inlineStr">
        <is>
          <t>fr</t>
        </is>
      </c>
      <c r="E269" t="inlineStr">
        <is>
          <t>SECONDARY</t>
        </is>
      </c>
      <c r="F269" t="inlineStr">
        <is>
          <t>palette couleur site web</t>
        </is>
      </c>
      <c r="G269" t="n">
        <v>140</v>
      </c>
      <c r="H269" t="n">
        <v>31</v>
      </c>
      <c r="I269" t="n">
        <v>1.1</v>
      </c>
      <c r="J269" t="inlineStr">
        <is>
          <t>Commercial</t>
        </is>
      </c>
      <c r="K269" t="inlineStr">
        <is>
          <t>MEASURED</t>
        </is>
      </c>
      <c r="L269" t="inlineStr">
        <is>
          <t>P3</t>
        </is>
      </c>
      <c r="M269" t="n">
        <v>85</v>
      </c>
      <c r="N269">
        <f>ROUND(IF(IF(J269="NOT AVAILABLE","",J269)="",12,IF(OR(ISNUMBER(SEARCH("Transactional",IF(J269="NOT AVAILABLE","",J269))),ISNUMBER(SEARCH("Commercial",IF(J269="NOT AVAILABLE","",J269)))),25,IF(ISNUMBER(SEARCH("Informational",IF(J269="NOT AVAILABLE","",J269))),10,IF(ISNUMBER(SEARCH("Navigational",IF(J269="NOT AVAILABLE","",J269))),0,12))))+IF(ISNUMBER(G269),MIN(30,ROUND(30*LOG10(G269+1)/4,1)),0)+IF(ISNUMBER(H269),ROUND(25*(100-H269)/100,1),12.5)+14,0)</f>
        <v/>
      </c>
      <c r="O269">
        <f>ROUND(N269*M269/100,0)</f>
        <v/>
      </c>
      <c r="P269" s="5" t="inlineStr">
        <is>
          <t>Measured variant of the tool task</t>
        </is>
      </c>
      <c r="Q269" s="5" t="inlineStr">
        <is>
          <t>None detected</t>
        </is>
      </c>
    </row>
    <row r="270">
      <c r="A270" s="3" t="inlineStr">
        <is>
          <t>https://codesommet.com/tools/color-palette-generator</t>
        </is>
      </c>
      <c r="B270" s="5" t="inlineStr">
        <is>
          <t>Générateur de Palette de Couleurs Gratuit</t>
        </is>
      </c>
      <c r="C270" t="inlineStr">
        <is>
          <t>France</t>
        </is>
      </c>
      <c r="D270" t="inlineStr">
        <is>
          <t>fr</t>
        </is>
      </c>
      <c r="E270" t="inlineStr">
        <is>
          <t>SECONDARY</t>
        </is>
      </c>
      <c r="F270" t="inlineStr">
        <is>
          <t>générateur couleur</t>
        </is>
      </c>
      <c r="G270" t="n">
        <v>110</v>
      </c>
      <c r="H270" t="n">
        <v>19</v>
      </c>
      <c r="I270" t="n">
        <v>0</v>
      </c>
      <c r="J270" t="inlineStr">
        <is>
          <t>Informational</t>
        </is>
      </c>
      <c r="K270" t="inlineStr">
        <is>
          <t>MEASURED</t>
        </is>
      </c>
      <c r="L270" t="inlineStr">
        <is>
          <t>P3</t>
        </is>
      </c>
      <c r="M270" t="n">
        <v>85</v>
      </c>
      <c r="N270">
        <f>ROUND(IF(IF(J270="NOT AVAILABLE","",J270)="",12,IF(OR(ISNUMBER(SEARCH("Transactional",IF(J270="NOT AVAILABLE","",J270))),ISNUMBER(SEARCH("Commercial",IF(J270="NOT AVAILABLE","",J270)))),25,IF(ISNUMBER(SEARCH("Informational",IF(J270="NOT AVAILABLE","",J270))),10,IF(ISNUMBER(SEARCH("Navigational",IF(J270="NOT AVAILABLE","",J270))),0,12))))+IF(ISNUMBER(G270),MIN(30,ROUND(30*LOG10(G270+1)/4,1)),0)+IF(ISNUMBER(H270),ROUND(25*(100-H270)/100,1),12.5)+14,0)</f>
        <v/>
      </c>
      <c r="O270">
        <f>ROUND(N270*M270/100,0)</f>
        <v/>
      </c>
      <c r="P270" s="5" t="inlineStr">
        <is>
          <t>Measured variant of the tool task</t>
        </is>
      </c>
      <c r="Q270" s="5" t="inlineStr">
        <is>
          <t>None detected</t>
        </is>
      </c>
    </row>
    <row r="271">
      <c r="A271" s="3" t="inlineStr">
        <is>
          <t>https://codesommet.com/tools/color-palette-generator</t>
        </is>
      </c>
      <c r="B271" s="5" t="inlineStr">
        <is>
          <t>Générateur de Palette de Couleurs Gratuit</t>
        </is>
      </c>
      <c r="C271" t="inlineStr">
        <is>
          <t>Morocco</t>
        </is>
      </c>
      <c r="D271" t="inlineStr">
        <is>
          <t>ma</t>
        </is>
      </c>
      <c r="E271" t="inlineStr">
        <is>
          <t>SUPPORTING</t>
        </is>
      </c>
      <c r="F271" t="inlineStr">
        <is>
          <t>générateur couleur</t>
        </is>
      </c>
      <c r="G271" t="n">
        <v>40</v>
      </c>
      <c r="H271" t="inlineStr">
        <is>
          <t>NOT AVAILABLE</t>
        </is>
      </c>
      <c r="I271" t="n">
        <v>0</v>
      </c>
      <c r="J271" t="inlineStr">
        <is>
          <t>NOT AVAILABLE</t>
        </is>
      </c>
      <c r="K271" t="inlineStr">
        <is>
          <t>MEASURED</t>
        </is>
      </c>
      <c r="L271" t="inlineStr">
        <is>
          <t>P3</t>
        </is>
      </c>
      <c r="M271" t="n">
        <v>65</v>
      </c>
      <c r="N271">
        <f>ROUND(IF(IF(J271="NOT AVAILABLE","",J271)="",12,IF(OR(ISNUMBER(SEARCH("Transactional",IF(J271="NOT AVAILABLE","",J271))),ISNUMBER(SEARCH("Commercial",IF(J271="NOT AVAILABLE","",J271)))),25,IF(ISNUMBER(SEARCH("Informational",IF(J271="NOT AVAILABLE","",J271))),10,IF(ISNUMBER(SEARCH("Navigational",IF(J271="NOT AVAILABLE","",J271))),0,12))))+IF(ISNUMBER(G271),MIN(30,ROUND(30*LOG10(G271+1)/4,1)),0)+IF(ISNUMBER(H271),ROUND(25*(100-H271)/100,1),12.5)+20,0)</f>
        <v/>
      </c>
      <c r="O271">
        <f>ROUND(N271*M271/100,0)</f>
        <v/>
      </c>
      <c r="P271" s="5" t="inlineStr">
        <is>
          <t>Measured variant of the tool task (MA market)</t>
        </is>
      </c>
      <c r="Q271" s="5" t="inlineStr">
        <is>
          <t>None detected</t>
        </is>
      </c>
    </row>
    <row r="272">
      <c r="A272" s="3" t="inlineStr">
        <is>
          <t>https://codesommet.com/tools/color-palette-generator</t>
        </is>
      </c>
      <c r="B272" s="5" t="inlineStr">
        <is>
          <t>Générateur de Palette de Couleurs Gratuit</t>
        </is>
      </c>
      <c r="C272" t="inlineStr">
        <is>
          <t>France</t>
        </is>
      </c>
      <c r="D272" t="inlineStr">
        <is>
          <t>fr</t>
        </is>
      </c>
      <c r="E272" t="inlineStr">
        <is>
          <t>SUPPORTING</t>
        </is>
      </c>
      <c r="F272" t="inlineStr">
        <is>
          <t>générateur de palette de couleurs</t>
        </is>
      </c>
      <c r="G272" t="n">
        <v>20</v>
      </c>
      <c r="H272" t="inlineStr">
        <is>
          <t>NOT AVAILABLE</t>
        </is>
      </c>
      <c r="I272" t="n">
        <v>0</v>
      </c>
      <c r="J272" t="inlineStr">
        <is>
          <t>NOT AVAILABLE</t>
        </is>
      </c>
      <c r="K272" t="inlineStr">
        <is>
          <t>MEASURED</t>
        </is>
      </c>
      <c r="L272" t="inlineStr">
        <is>
          <t>P3</t>
        </is>
      </c>
      <c r="M272" t="n">
        <v>65</v>
      </c>
      <c r="N272">
        <f>ROUND(IF(IF(J272="NOT AVAILABLE","",J272)="",12,IF(OR(ISNUMBER(SEARCH("Transactional",IF(J272="NOT AVAILABLE","",J272))),ISNUMBER(SEARCH("Commercial",IF(J272="NOT AVAILABLE","",J272)))),25,IF(ISNUMBER(SEARCH("Informational",IF(J272="NOT AVAILABLE","",J272))),10,IF(ISNUMBER(SEARCH("Navigational",IF(J272="NOT AVAILABLE","",J272))),0,12))))+IF(ISNUMBER(G272),MIN(30,ROUND(30*LOG10(G272+1)/4,1)),0)+IF(ISNUMBER(H272),ROUND(25*(100-H272)/100,1),12.5)+14,0)</f>
        <v/>
      </c>
      <c r="O272">
        <f>ROUND(N272*M272/100,0)</f>
        <v/>
      </c>
      <c r="P272" s="5" t="inlineStr">
        <is>
          <t>Measured variant of the tool task</t>
        </is>
      </c>
      <c r="Q272" s="5" t="inlineStr">
        <is>
          <t>None detected</t>
        </is>
      </c>
    </row>
    <row r="273">
      <c r="A273" s="3" t="inlineStr">
        <is>
          <t>https://codesommet.com/tools/color-palette-generator</t>
        </is>
      </c>
      <c r="B273" s="5" t="inlineStr">
        <is>
          <t>Générateur de Palette de Couleurs Gratuit</t>
        </is>
      </c>
      <c r="C273" t="inlineStr">
        <is>
          <t>Morocco</t>
        </is>
      </c>
      <c r="D273" t="inlineStr">
        <is>
          <t>ma</t>
        </is>
      </c>
      <c r="E273" t="inlineStr">
        <is>
          <t>SUPPORTING</t>
        </is>
      </c>
      <c r="F273" t="inlineStr">
        <is>
          <t>palette couleur site web</t>
        </is>
      </c>
      <c r="G273" t="n">
        <v>20</v>
      </c>
      <c r="H273" t="inlineStr">
        <is>
          <t>NOT AVAILABLE</t>
        </is>
      </c>
      <c r="I273" t="n">
        <v>0</v>
      </c>
      <c r="J273" t="inlineStr">
        <is>
          <t>NOT AVAILABLE</t>
        </is>
      </c>
      <c r="K273" t="inlineStr">
        <is>
          <t>MEASURED</t>
        </is>
      </c>
      <c r="L273" t="inlineStr">
        <is>
          <t>P3</t>
        </is>
      </c>
      <c r="M273" t="n">
        <v>65</v>
      </c>
      <c r="N273">
        <f>ROUND(IF(IF(J273="NOT AVAILABLE","",J273)="",12,IF(OR(ISNUMBER(SEARCH("Transactional",IF(J273="NOT AVAILABLE","",J273))),ISNUMBER(SEARCH("Commercial",IF(J273="NOT AVAILABLE","",J273)))),25,IF(ISNUMBER(SEARCH("Informational",IF(J273="NOT AVAILABLE","",J273))),10,IF(ISNUMBER(SEARCH("Navigational",IF(J273="NOT AVAILABLE","",J273))),0,12))))+IF(ISNUMBER(G273),MIN(30,ROUND(30*LOG10(G273+1)/4,1)),0)+IF(ISNUMBER(H273),ROUND(25*(100-H273)/100,1),12.5)+20,0)</f>
        <v/>
      </c>
      <c r="O273">
        <f>ROUND(N273*M273/100,0)</f>
        <v/>
      </c>
      <c r="P273" s="5" t="inlineStr">
        <is>
          <t>Measured variant of the tool task (MA market)</t>
        </is>
      </c>
      <c r="Q273" s="5" t="inlineStr">
        <is>
          <t>None detected</t>
        </is>
      </c>
    </row>
    <row r="274">
      <c r="A274" s="3" t="inlineStr">
        <is>
          <t>https://codesommet.com/tools/core-web-vitals-checker</t>
        </is>
      </c>
      <c r="B274" s="5" t="inlineStr">
        <is>
          <t>Test Core Web Vitals Gratuit : LCP, INP, CLS</t>
        </is>
      </c>
      <c r="C274" t="inlineStr">
        <is>
          <t>France</t>
        </is>
      </c>
      <c r="D274" t="inlineStr">
        <is>
          <t>fr</t>
        </is>
      </c>
      <c r="E274" t="inlineStr">
        <is>
          <t>PRIMARY</t>
        </is>
      </c>
      <c r="F274" t="inlineStr">
        <is>
          <t>test core web vitals</t>
        </is>
      </c>
      <c r="G274" t="n">
        <v>110</v>
      </c>
      <c r="H274" t="n">
        <v>27</v>
      </c>
      <c r="I274" t="n">
        <v>1.83</v>
      </c>
      <c r="J274" t="inlineStr">
        <is>
          <t>Informational</t>
        </is>
      </c>
      <c r="K274" t="inlineStr">
        <is>
          <t>MEASURED</t>
        </is>
      </c>
      <c r="L274" t="inlineStr">
        <is>
          <t>P3</t>
        </is>
      </c>
      <c r="M274" t="n">
        <v>100</v>
      </c>
      <c r="N274">
        <f>ROUND(IF(IF(J274="NOT AVAILABLE","",J274)="",12,IF(OR(ISNUMBER(SEARCH("Transactional",IF(J274="NOT AVAILABLE","",J274))),ISNUMBER(SEARCH("Commercial",IF(J274="NOT AVAILABLE","",J274)))),25,IF(ISNUMBER(SEARCH("Informational",IF(J274="NOT AVAILABLE","",J274))),10,IF(ISNUMBER(SEARCH("Navigational",IF(J274="NOT AVAILABLE","",J274))),0,12))))+IF(ISNUMBER(G274),MIN(30,ROUND(30*LOG10(G274+1)/4,1)),0)+IF(ISNUMBER(H274),ROUND(25*(100-H274)/100,1),12.5)+14,0)</f>
        <v/>
      </c>
      <c r="O274">
        <f>ROUND(N274*M274/100,0)</f>
        <v/>
      </c>
      <c r="P274" s="5" t="inlineStr">
        <is>
          <t>Best-fitting measured FR query for the tool task (tools serve the francophone market; FR db used as proxy)</t>
        </is>
      </c>
      <c r="Q274" s="5" t="inlineStr">
        <is>
          <t>None detected</t>
        </is>
      </c>
    </row>
    <row r="275">
      <c r="A275" s="3" t="inlineStr">
        <is>
          <t>https://codesommet.com/tools/core-web-vitals-checker</t>
        </is>
      </c>
      <c r="B275" s="5" t="inlineStr">
        <is>
          <t>Test Core Web Vitals Gratuit : LCP, INP, CLS</t>
        </is>
      </c>
      <c r="C275" t="inlineStr">
        <is>
          <t>France</t>
        </is>
      </c>
      <c r="D275" t="inlineStr">
        <is>
          <t>fr</t>
        </is>
      </c>
      <c r="E275" t="inlineStr">
        <is>
          <t>SECONDARY</t>
        </is>
      </c>
      <c r="F275" t="inlineStr">
        <is>
          <t>core web vitals</t>
        </is>
      </c>
      <c r="G275" t="n">
        <v>1900</v>
      </c>
      <c r="H275" t="n">
        <v>36</v>
      </c>
      <c r="I275" t="n">
        <v>1.52</v>
      </c>
      <c r="J275" t="inlineStr">
        <is>
          <t>Informational</t>
        </is>
      </c>
      <c r="K275" t="inlineStr">
        <is>
          <t>MEASURED</t>
        </is>
      </c>
      <c r="L275" t="inlineStr">
        <is>
          <t>P3</t>
        </is>
      </c>
      <c r="M275" t="n">
        <v>85</v>
      </c>
      <c r="N275">
        <f>ROUND(IF(IF(J275="NOT AVAILABLE","",J275)="",12,IF(OR(ISNUMBER(SEARCH("Transactional",IF(J275="NOT AVAILABLE","",J275))),ISNUMBER(SEARCH("Commercial",IF(J275="NOT AVAILABLE","",J275)))),25,IF(ISNUMBER(SEARCH("Informational",IF(J275="NOT AVAILABLE","",J275))),10,IF(ISNUMBER(SEARCH("Navigational",IF(J275="NOT AVAILABLE","",J275))),0,12))))+IF(ISNUMBER(G275),MIN(30,ROUND(30*LOG10(G275+1)/4,1)),0)+IF(ISNUMBER(H275),ROUND(25*(100-H275)/100,1),12.5)+14,0)</f>
        <v/>
      </c>
      <c r="O275">
        <f>ROUND(N275*M275/100,0)</f>
        <v/>
      </c>
      <c r="P275" s="5" t="inlineStr">
        <is>
          <t>Measured variant of the tool task</t>
        </is>
      </c>
      <c r="Q275" s="5" t="inlineStr">
        <is>
          <t>None detected</t>
        </is>
      </c>
    </row>
    <row r="276">
      <c r="A276" s="3" t="inlineStr">
        <is>
          <t>https://codesommet.com/tools/core-web-vitals-checker</t>
        </is>
      </c>
      <c r="B276" s="5" t="inlineStr">
        <is>
          <t>Test Core Web Vitals Gratuit : LCP, INP, CLS</t>
        </is>
      </c>
      <c r="C276" t="inlineStr">
        <is>
          <t>France</t>
        </is>
      </c>
      <c r="D276" t="inlineStr">
        <is>
          <t>fr</t>
        </is>
      </c>
      <c r="E276" t="inlineStr">
        <is>
          <t>SECONDARY</t>
        </is>
      </c>
      <c r="F276" t="inlineStr">
        <is>
          <t>core web vitals test</t>
        </is>
      </c>
      <c r="G276" t="n">
        <v>140</v>
      </c>
      <c r="H276" t="n">
        <v>37</v>
      </c>
      <c r="I276" t="n">
        <v>1.83</v>
      </c>
      <c r="J276" t="inlineStr">
        <is>
          <t>Informational</t>
        </is>
      </c>
      <c r="K276" t="inlineStr">
        <is>
          <t>MEASURED</t>
        </is>
      </c>
      <c r="L276" t="inlineStr">
        <is>
          <t>P3</t>
        </is>
      </c>
      <c r="M276" t="n">
        <v>85</v>
      </c>
      <c r="N276">
        <f>ROUND(IF(IF(J276="NOT AVAILABLE","",J276)="",12,IF(OR(ISNUMBER(SEARCH("Transactional",IF(J276="NOT AVAILABLE","",J276))),ISNUMBER(SEARCH("Commercial",IF(J276="NOT AVAILABLE","",J276)))),25,IF(ISNUMBER(SEARCH("Informational",IF(J276="NOT AVAILABLE","",J276))),10,IF(ISNUMBER(SEARCH("Navigational",IF(J276="NOT AVAILABLE","",J276))),0,12))))+IF(ISNUMBER(G276),MIN(30,ROUND(30*LOG10(G276+1)/4,1)),0)+IF(ISNUMBER(H276),ROUND(25*(100-H276)/100,1),12.5)+14,0)</f>
        <v/>
      </c>
      <c r="O276">
        <f>ROUND(N276*M276/100,0)</f>
        <v/>
      </c>
      <c r="P276" s="5" t="inlineStr">
        <is>
          <t>Measured variant of the tool task</t>
        </is>
      </c>
      <c r="Q276" s="5" t="inlineStr">
        <is>
          <t>None detected</t>
        </is>
      </c>
    </row>
    <row r="277">
      <c r="A277" s="3" t="inlineStr">
        <is>
          <t>https://codesommet.com/tools/core-web-vitals-checker</t>
        </is>
      </c>
      <c r="B277" s="5" t="inlineStr">
        <is>
          <t>Test Core Web Vitals Gratuit : LCP, INP, CLS</t>
        </is>
      </c>
      <c r="C277" t="inlineStr">
        <is>
          <t>France</t>
        </is>
      </c>
      <c r="D277" t="inlineStr">
        <is>
          <t>fr</t>
        </is>
      </c>
      <c r="E277" t="inlineStr">
        <is>
          <t>SUPPORTING</t>
        </is>
      </c>
      <c r="F277" t="inlineStr">
        <is>
          <t>lcp inp cls</t>
        </is>
      </c>
      <c r="G277" t="n">
        <v>20</v>
      </c>
      <c r="H277" t="inlineStr">
        <is>
          <t>NOT AVAILABLE</t>
        </is>
      </c>
      <c r="I277" t="n">
        <v>0</v>
      </c>
      <c r="J277" t="inlineStr">
        <is>
          <t>NOT AVAILABLE</t>
        </is>
      </c>
      <c r="K277" t="inlineStr">
        <is>
          <t>MEASURED</t>
        </is>
      </c>
      <c r="L277" t="inlineStr">
        <is>
          <t>P3</t>
        </is>
      </c>
      <c r="M277" t="n">
        <v>65</v>
      </c>
      <c r="N277">
        <f>ROUND(IF(IF(J277="NOT AVAILABLE","",J277)="",12,IF(OR(ISNUMBER(SEARCH("Transactional",IF(J277="NOT AVAILABLE","",J277))),ISNUMBER(SEARCH("Commercial",IF(J277="NOT AVAILABLE","",J277)))),25,IF(ISNUMBER(SEARCH("Informational",IF(J277="NOT AVAILABLE","",J277))),10,IF(ISNUMBER(SEARCH("Navigational",IF(J277="NOT AVAILABLE","",J277))),0,12))))+IF(ISNUMBER(G277),MIN(30,ROUND(30*LOG10(G277+1)/4,1)),0)+IF(ISNUMBER(H277),ROUND(25*(100-H277)/100,1),12.5)+14,0)</f>
        <v/>
      </c>
      <c r="O277">
        <f>ROUND(N277*M277/100,0)</f>
        <v/>
      </c>
      <c r="P277" s="5" t="inlineStr">
        <is>
          <t>Measured variant of the tool task</t>
        </is>
      </c>
      <c r="Q277" s="5" t="inlineStr">
        <is>
          <t>None detected</t>
        </is>
      </c>
    </row>
    <row r="278">
      <c r="A278" s="3" t="inlineStr">
        <is>
          <t>https://codesommet.com/tools/crawl-optimization-checker</t>
        </is>
      </c>
      <c r="B278" s="5" t="inlineStr">
        <is>
          <t>Test d'Optimisation du Budget de Crawl</t>
        </is>
      </c>
      <c r="C278" t="inlineStr">
        <is>
          <t>France</t>
        </is>
      </c>
      <c r="D278" t="inlineStr">
        <is>
          <t>fr</t>
        </is>
      </c>
      <c r="E278" t="inlineStr">
        <is>
          <t>PRIMARY</t>
        </is>
      </c>
      <c r="F278" t="inlineStr">
        <is>
          <t>crawl budget</t>
        </is>
      </c>
      <c r="G278" t="n">
        <v>210</v>
      </c>
      <c r="H278" t="n">
        <v>25</v>
      </c>
      <c r="I278" t="n">
        <v>0</v>
      </c>
      <c r="J278" t="inlineStr">
        <is>
          <t>Informational</t>
        </is>
      </c>
      <c r="K278" t="inlineStr">
        <is>
          <t>MEASURED</t>
        </is>
      </c>
      <c r="L278" t="inlineStr">
        <is>
          <t>P3</t>
        </is>
      </c>
      <c r="M278" t="n">
        <v>100</v>
      </c>
      <c r="N278">
        <f>ROUND(IF(IF(J278="NOT AVAILABLE","",J278)="",12,IF(OR(ISNUMBER(SEARCH("Transactional",IF(J278="NOT AVAILABLE","",J278))),ISNUMBER(SEARCH("Commercial",IF(J278="NOT AVAILABLE","",J278)))),25,IF(ISNUMBER(SEARCH("Informational",IF(J278="NOT AVAILABLE","",J278))),10,IF(ISNUMBER(SEARCH("Navigational",IF(J278="NOT AVAILABLE","",J278))),0,12))))+IF(ISNUMBER(G278),MIN(30,ROUND(30*LOG10(G278+1)/4,1)),0)+IF(ISNUMBER(H278),ROUND(25*(100-H278)/100,1),12.5)+14,0)</f>
        <v/>
      </c>
      <c r="O278">
        <f>ROUND(N278*M278/100,0)</f>
        <v/>
      </c>
      <c r="P278" s="5" t="inlineStr">
        <is>
          <t>Best-fitting measured FR query for the tool task (tools serve the francophone market; FR db used as proxy)</t>
        </is>
      </c>
      <c r="Q278" s="5" t="inlineStr">
        <is>
          <t>None detected</t>
        </is>
      </c>
    </row>
    <row r="279">
      <c r="A279" s="3" t="inlineStr">
        <is>
          <t>https://codesommet.com/tools/crawl-optimization-checker</t>
        </is>
      </c>
      <c r="B279" s="5" t="inlineStr">
        <is>
          <t>Test d'Optimisation du Budget de Crawl</t>
        </is>
      </c>
      <c r="C279" t="inlineStr">
        <is>
          <t>France</t>
        </is>
      </c>
      <c r="D279" t="inlineStr">
        <is>
          <t>fr</t>
        </is>
      </c>
      <c r="E279" t="inlineStr">
        <is>
          <t>SUPPORTING</t>
        </is>
      </c>
      <c r="F279" t="inlineStr">
        <is>
          <t>budget de crawl</t>
        </is>
      </c>
      <c r="G279" t="n">
        <v>30</v>
      </c>
      <c r="H279" t="inlineStr">
        <is>
          <t>NOT AVAILABLE</t>
        </is>
      </c>
      <c r="I279" t="n">
        <v>0</v>
      </c>
      <c r="J279" t="inlineStr">
        <is>
          <t>NOT AVAILABLE</t>
        </is>
      </c>
      <c r="K279" t="inlineStr">
        <is>
          <t>MEASURED</t>
        </is>
      </c>
      <c r="L279" t="inlineStr">
        <is>
          <t>P3</t>
        </is>
      </c>
      <c r="M279" t="n">
        <v>65</v>
      </c>
      <c r="N279">
        <f>ROUND(IF(IF(J279="NOT AVAILABLE","",J279)="",12,IF(OR(ISNUMBER(SEARCH("Transactional",IF(J279="NOT AVAILABLE","",J279))),ISNUMBER(SEARCH("Commercial",IF(J279="NOT AVAILABLE","",J279)))),25,IF(ISNUMBER(SEARCH("Informational",IF(J279="NOT AVAILABLE","",J279))),10,IF(ISNUMBER(SEARCH("Navigational",IF(J279="NOT AVAILABLE","",J279))),0,12))))+IF(ISNUMBER(G279),MIN(30,ROUND(30*LOG10(G279+1)/4,1)),0)+IF(ISNUMBER(H279),ROUND(25*(100-H279)/100,1),12.5)+14,0)</f>
        <v/>
      </c>
      <c r="O279">
        <f>ROUND(N279*M279/100,0)</f>
        <v/>
      </c>
      <c r="P279" s="5" t="inlineStr">
        <is>
          <t>Measured variant of the tool task</t>
        </is>
      </c>
      <c r="Q279" s="5" t="inlineStr">
        <is>
          <t>None detected</t>
        </is>
      </c>
    </row>
    <row r="280">
      <c r="A280" s="3" t="inlineStr">
        <is>
          <t>https://codesommet.com/tools/crawl-optimization-checker</t>
        </is>
      </c>
      <c r="B280" s="5" t="inlineStr">
        <is>
          <t>Test d'Optimisation du Budget de Crawl</t>
        </is>
      </c>
      <c r="C280" t="inlineStr">
        <is>
          <t>France</t>
        </is>
      </c>
      <c r="D280" t="inlineStr">
        <is>
          <t>fr</t>
        </is>
      </c>
      <c r="E280" t="inlineStr">
        <is>
          <t>OPTIONAL</t>
        </is>
      </c>
      <c r="F280" t="inlineStr">
        <is>
          <t>optimisation budget crawl</t>
        </is>
      </c>
      <c r="G280" t="inlineStr">
        <is>
          <t>NOT AVAILABLE</t>
        </is>
      </c>
      <c r="H280" t="inlineStr">
        <is>
          <t>NOT AVAILABLE</t>
        </is>
      </c>
      <c r="I280" t="inlineStr">
        <is>
          <t>NOT AVAILABLE</t>
        </is>
      </c>
      <c r="J280" t="inlineStr">
        <is>
          <t>NOT AVAILABLE</t>
        </is>
      </c>
      <c r="K280" t="inlineStr">
        <is>
          <t>UNAVAILABLE</t>
        </is>
      </c>
      <c r="L280" t="inlineStr">
        <is>
          <t>P4</t>
        </is>
      </c>
      <c r="M280" t="n">
        <v>45</v>
      </c>
      <c r="N280">
        <f>ROUND(IF(IF(J280="NOT AVAILABLE","",J280)="",12,IF(OR(ISNUMBER(SEARCH("Transactional",IF(J280="NOT AVAILABLE","",J280))),ISNUMBER(SEARCH("Commercial",IF(J280="NOT AVAILABLE","",J280)))),25,IF(ISNUMBER(SEARCH("Informational",IF(J280="NOT AVAILABLE","",J280))),10,IF(ISNUMBER(SEARCH("Navigational",IF(J280="NOT AVAILABLE","",J280))),0,12))))+IF(ISNUMBER(G280),MIN(30,ROUND(30*LOG10(G280+1)/4,1)),0)+IF(ISNUMBER(H280),ROUND(25*(100-H280)/100,1),12.5)+14,0)</f>
        <v/>
      </c>
      <c r="O280">
        <f>ROUND(N280*M280/100,0)</f>
        <v/>
      </c>
      <c r="P280" s="5" t="inlineStr">
        <is>
          <t>Queried - Semrush returned no data or zero volume; usable as natural wording only</t>
        </is>
      </c>
      <c r="Q280" s="5" t="inlineStr">
        <is>
          <t>None detected</t>
        </is>
      </c>
    </row>
    <row r="281">
      <c r="A281" s="3" t="inlineStr">
        <is>
          <t>https://codesommet.com/tools/crawl-visualizer</t>
        </is>
      </c>
      <c r="B281" s="5" t="inlineStr">
        <is>
          <t>Visualiseur de Crawl : Carte des Liens Internes</t>
        </is>
      </c>
      <c r="C281" t="inlineStr">
        <is>
          <t>France</t>
        </is>
      </c>
      <c r="D281" t="inlineStr">
        <is>
          <t>fr</t>
        </is>
      </c>
      <c r="E281" t="inlineStr">
        <is>
          <t>PRIMARY</t>
        </is>
      </c>
      <c r="F281" t="inlineStr">
        <is>
          <t>visualisation crawl</t>
        </is>
      </c>
      <c r="G281" t="inlineStr">
        <is>
          <t>NOT AVAILABLE</t>
        </is>
      </c>
      <c r="H281" t="inlineStr">
        <is>
          <t>NOT AVAILABLE</t>
        </is>
      </c>
      <c r="I281" t="inlineStr">
        <is>
          <t>NOT AVAILABLE</t>
        </is>
      </c>
      <c r="J281" t="inlineStr">
        <is>
          <t>NOT AVAILABLE</t>
        </is>
      </c>
      <c r="K281" t="inlineStr">
        <is>
          <t>UNAVAILABLE</t>
        </is>
      </c>
      <c r="L281" t="inlineStr">
        <is>
          <t>P3</t>
        </is>
      </c>
      <c r="M281" t="n">
        <v>100</v>
      </c>
      <c r="N281">
        <f>ROUND(IF(IF(J281="NOT AVAILABLE","",J281)="",12,IF(OR(ISNUMBER(SEARCH("Transactional",IF(J281="NOT AVAILABLE","",J281))),ISNUMBER(SEARCH("Commercial",IF(J281="NOT AVAILABLE","",J281)))),25,IF(ISNUMBER(SEARCH("Informational",IF(J281="NOT AVAILABLE","",J281))),10,IF(ISNUMBER(SEARCH("Navigational",IF(J281="NOT AVAILABLE","",J281))),0,12))))+IF(ISNUMBER(G281),MIN(30,ROUND(30*LOG10(G281+1)/4,1)),0)+IF(ISNUMBER(H281),ROUND(25*(100-H281)/100,1),12.5)+14,0)</f>
        <v/>
      </c>
      <c r="O281">
        <f>ROUND(N281*M281/100,0)</f>
        <v/>
      </c>
      <c r="P281" s="5" t="inlineStr">
        <is>
          <t>No measured demand for the tool phrases - long-tail anchor (UNAVAILABLE in Semrush)</t>
        </is>
      </c>
      <c r="Q281" s="5" t="inlineStr">
        <is>
          <t>None detected</t>
        </is>
      </c>
    </row>
    <row r="282">
      <c r="A282" s="3" t="inlineStr">
        <is>
          <t>https://codesommet.com/tools/crawl-visualizer</t>
        </is>
      </c>
      <c r="B282" s="5" t="inlineStr">
        <is>
          <t>Visualiseur de Crawl : Carte des Liens Internes</t>
        </is>
      </c>
      <c r="C282" t="inlineStr">
        <is>
          <t>France</t>
        </is>
      </c>
      <c r="D282" t="inlineStr">
        <is>
          <t>fr</t>
        </is>
      </c>
      <c r="E282" t="inlineStr">
        <is>
          <t>OPTIONAL</t>
        </is>
      </c>
      <c r="F282" t="inlineStr">
        <is>
          <t>visualiser maillage interne</t>
        </is>
      </c>
      <c r="G282" t="inlineStr">
        <is>
          <t>NOT AVAILABLE</t>
        </is>
      </c>
      <c r="H282" t="inlineStr">
        <is>
          <t>NOT AVAILABLE</t>
        </is>
      </c>
      <c r="I282" t="inlineStr">
        <is>
          <t>NOT AVAILABLE</t>
        </is>
      </c>
      <c r="J282" t="inlineStr">
        <is>
          <t>NOT AVAILABLE</t>
        </is>
      </c>
      <c r="K282" t="inlineStr">
        <is>
          <t>UNAVAILABLE</t>
        </is>
      </c>
      <c r="L282" t="inlineStr">
        <is>
          <t>P4</t>
        </is>
      </c>
      <c r="M282" t="n">
        <v>45</v>
      </c>
      <c r="N282">
        <f>ROUND(IF(IF(J282="NOT AVAILABLE","",J282)="",12,IF(OR(ISNUMBER(SEARCH("Transactional",IF(J282="NOT AVAILABLE","",J282))),ISNUMBER(SEARCH("Commercial",IF(J282="NOT AVAILABLE","",J282)))),25,IF(ISNUMBER(SEARCH("Informational",IF(J282="NOT AVAILABLE","",J282))),10,IF(ISNUMBER(SEARCH("Navigational",IF(J282="NOT AVAILABLE","",J282))),0,12))))+IF(ISNUMBER(G282),MIN(30,ROUND(30*LOG10(G282+1)/4,1)),0)+IF(ISNUMBER(H282),ROUND(25*(100-H282)/100,1),12.5)+14,0)</f>
        <v/>
      </c>
      <c r="O282">
        <f>ROUND(N282*M282/100,0)</f>
        <v/>
      </c>
      <c r="P282" s="5" t="inlineStr">
        <is>
          <t>Queried - Semrush returned no data or zero volume; usable as natural wording only</t>
        </is>
      </c>
      <c r="Q282" s="5" t="inlineStr">
        <is>
          <t>None detected</t>
        </is>
      </c>
    </row>
    <row r="283">
      <c r="A283" s="3" t="inlineStr">
        <is>
          <t>https://codesommet.com/tools/crawl-visualizer</t>
        </is>
      </c>
      <c r="B283" s="5" t="inlineStr">
        <is>
          <t>Visualiseur de Crawl : Carte des Liens Internes</t>
        </is>
      </c>
      <c r="C283" t="inlineStr">
        <is>
          <t>France</t>
        </is>
      </c>
      <c r="D283" t="inlineStr">
        <is>
          <t>fr</t>
        </is>
      </c>
      <c r="E283" t="inlineStr">
        <is>
          <t>OPTIONAL</t>
        </is>
      </c>
      <c r="F283" t="inlineStr">
        <is>
          <t>carte maillage interne</t>
        </is>
      </c>
      <c r="G283" t="inlineStr">
        <is>
          <t>NOT AVAILABLE</t>
        </is>
      </c>
      <c r="H283" t="inlineStr">
        <is>
          <t>NOT AVAILABLE</t>
        </is>
      </c>
      <c r="I283" t="inlineStr">
        <is>
          <t>NOT AVAILABLE</t>
        </is>
      </c>
      <c r="J283" t="inlineStr">
        <is>
          <t>NOT AVAILABLE</t>
        </is>
      </c>
      <c r="K283" t="inlineStr">
        <is>
          <t>UNAVAILABLE</t>
        </is>
      </c>
      <c r="L283" t="inlineStr">
        <is>
          <t>P4</t>
        </is>
      </c>
      <c r="M283" t="n">
        <v>45</v>
      </c>
      <c r="N283">
        <f>ROUND(IF(IF(J283="NOT AVAILABLE","",J283)="",12,IF(OR(ISNUMBER(SEARCH("Transactional",IF(J283="NOT AVAILABLE","",J283))),ISNUMBER(SEARCH("Commercial",IF(J283="NOT AVAILABLE","",J283)))),25,IF(ISNUMBER(SEARCH("Informational",IF(J283="NOT AVAILABLE","",J283))),10,IF(ISNUMBER(SEARCH("Navigational",IF(J283="NOT AVAILABLE","",J283))),0,12))))+IF(ISNUMBER(G283),MIN(30,ROUND(30*LOG10(G283+1)/4,1)),0)+IF(ISNUMBER(H283),ROUND(25*(100-H283)/100,1),12.5)+14,0)</f>
        <v/>
      </c>
      <c r="O283">
        <f>ROUND(N283*M283/100,0)</f>
        <v/>
      </c>
      <c r="P283" s="5" t="inlineStr">
        <is>
          <t>Queried - Semrush returned no data or zero volume; usable as natural wording only</t>
        </is>
      </c>
      <c r="Q283" s="5" t="inlineStr">
        <is>
          <t>None detected</t>
        </is>
      </c>
    </row>
    <row r="284">
      <c r="A284" s="3" t="inlineStr">
        <is>
          <t>https://codesommet.com/tools/css-minifier</t>
        </is>
      </c>
      <c r="B284" s="5" t="inlineStr">
        <is>
          <t>Minificateur CSS : Compression de Code Gratuite</t>
        </is>
      </c>
      <c r="C284" t="inlineStr">
        <is>
          <t>France</t>
        </is>
      </c>
      <c r="D284" t="inlineStr">
        <is>
          <t>fr</t>
        </is>
      </c>
      <c r="E284" t="inlineStr">
        <is>
          <t>PRIMARY</t>
        </is>
      </c>
      <c r="F284" t="inlineStr">
        <is>
          <t>minify css</t>
        </is>
      </c>
      <c r="G284" t="n">
        <v>320</v>
      </c>
      <c r="H284" t="n">
        <v>29</v>
      </c>
      <c r="I284" t="n">
        <v>0</v>
      </c>
      <c r="J284" t="inlineStr">
        <is>
          <t>Informational</t>
        </is>
      </c>
      <c r="K284" t="inlineStr">
        <is>
          <t>MEASURED</t>
        </is>
      </c>
      <c r="L284" t="inlineStr">
        <is>
          <t>P3</t>
        </is>
      </c>
      <c r="M284" t="n">
        <v>100</v>
      </c>
      <c r="N284">
        <f>ROUND(IF(IF(J284="NOT AVAILABLE","",J284)="",12,IF(OR(ISNUMBER(SEARCH("Transactional",IF(J284="NOT AVAILABLE","",J284))),ISNUMBER(SEARCH("Commercial",IF(J284="NOT AVAILABLE","",J284)))),25,IF(ISNUMBER(SEARCH("Informational",IF(J284="NOT AVAILABLE","",J284))),10,IF(ISNUMBER(SEARCH("Navigational",IF(J284="NOT AVAILABLE","",J284))),0,12))))+IF(ISNUMBER(G284),MIN(30,ROUND(30*LOG10(G284+1)/4,1)),0)+IF(ISNUMBER(H284),ROUND(25*(100-H284)/100,1),12.5)+14,0)</f>
        <v/>
      </c>
      <c r="O284">
        <f>ROUND(N284*M284/100,0)</f>
        <v/>
      </c>
      <c r="P284" s="5" t="inlineStr">
        <is>
          <t>Best-fitting measured FR query for the tool task (tools serve the francophone market; FR db used as proxy)</t>
        </is>
      </c>
      <c r="Q284" s="5" t="inlineStr">
        <is>
          <t>None detected</t>
        </is>
      </c>
    </row>
    <row r="285">
      <c r="A285" s="3" t="inlineStr">
        <is>
          <t>https://codesommet.com/tools/css-minifier</t>
        </is>
      </c>
      <c r="B285" s="5" t="inlineStr">
        <is>
          <t>Minificateur CSS : Compression de Code Gratuite</t>
        </is>
      </c>
      <c r="C285" t="inlineStr">
        <is>
          <t>France</t>
        </is>
      </c>
      <c r="D285" t="inlineStr">
        <is>
          <t>fr</t>
        </is>
      </c>
      <c r="E285" t="inlineStr">
        <is>
          <t>SECONDARY</t>
        </is>
      </c>
      <c r="F285" t="inlineStr">
        <is>
          <t>minifier css</t>
        </is>
      </c>
      <c r="G285" t="n">
        <v>260</v>
      </c>
      <c r="H285" t="n">
        <v>46</v>
      </c>
      <c r="I285" t="n">
        <v>0</v>
      </c>
      <c r="J285" t="inlineStr">
        <is>
          <t>Informational</t>
        </is>
      </c>
      <c r="K285" t="inlineStr">
        <is>
          <t>MEASURED</t>
        </is>
      </c>
      <c r="L285" t="inlineStr">
        <is>
          <t>P3</t>
        </is>
      </c>
      <c r="M285" t="n">
        <v>85</v>
      </c>
      <c r="N285">
        <f>ROUND(IF(IF(J285="NOT AVAILABLE","",J285)="",12,IF(OR(ISNUMBER(SEARCH("Transactional",IF(J285="NOT AVAILABLE","",J285))),ISNUMBER(SEARCH("Commercial",IF(J285="NOT AVAILABLE","",J285)))),25,IF(ISNUMBER(SEARCH("Informational",IF(J285="NOT AVAILABLE","",J285))),10,IF(ISNUMBER(SEARCH("Navigational",IF(J285="NOT AVAILABLE","",J285))),0,12))))+IF(ISNUMBER(G285),MIN(30,ROUND(30*LOG10(G285+1)/4,1)),0)+IF(ISNUMBER(H285),ROUND(25*(100-H285)/100,1),12.5)+14,0)</f>
        <v/>
      </c>
      <c r="O285">
        <f>ROUND(N285*M285/100,0)</f>
        <v/>
      </c>
      <c r="P285" s="5" t="inlineStr">
        <is>
          <t>Measured variant of the tool task</t>
        </is>
      </c>
      <c r="Q285" s="5" t="inlineStr">
        <is>
          <t>None detected</t>
        </is>
      </c>
    </row>
    <row r="286">
      <c r="A286" s="3" t="inlineStr">
        <is>
          <t>https://codesommet.com/tools/css-minifier</t>
        </is>
      </c>
      <c r="B286" s="5" t="inlineStr">
        <is>
          <t>Minificateur CSS : Compression de Code Gratuite</t>
        </is>
      </c>
      <c r="C286" t="inlineStr">
        <is>
          <t>France</t>
        </is>
      </c>
      <c r="D286" t="inlineStr">
        <is>
          <t>fr</t>
        </is>
      </c>
      <c r="E286" t="inlineStr">
        <is>
          <t>SECONDARY</t>
        </is>
      </c>
      <c r="F286" t="inlineStr">
        <is>
          <t>css minifier</t>
        </is>
      </c>
      <c r="G286" t="n">
        <v>260</v>
      </c>
      <c r="H286" t="n">
        <v>25</v>
      </c>
      <c r="I286" t="n">
        <v>0</v>
      </c>
      <c r="J286" t="inlineStr">
        <is>
          <t>Informational</t>
        </is>
      </c>
      <c r="K286" t="inlineStr">
        <is>
          <t>MEASURED</t>
        </is>
      </c>
      <c r="L286" t="inlineStr">
        <is>
          <t>P3</t>
        </is>
      </c>
      <c r="M286" t="n">
        <v>85</v>
      </c>
      <c r="N286">
        <f>ROUND(IF(IF(J286="NOT AVAILABLE","",J286)="",12,IF(OR(ISNUMBER(SEARCH("Transactional",IF(J286="NOT AVAILABLE","",J286))),ISNUMBER(SEARCH("Commercial",IF(J286="NOT AVAILABLE","",J286)))),25,IF(ISNUMBER(SEARCH("Informational",IF(J286="NOT AVAILABLE","",J286))),10,IF(ISNUMBER(SEARCH("Navigational",IF(J286="NOT AVAILABLE","",J286))),0,12))))+IF(ISNUMBER(G286),MIN(30,ROUND(30*LOG10(G286+1)/4,1)),0)+IF(ISNUMBER(H286),ROUND(25*(100-H286)/100,1),12.5)+14,0)</f>
        <v/>
      </c>
      <c r="O286">
        <f>ROUND(N286*M286/100,0)</f>
        <v/>
      </c>
      <c r="P286" s="5" t="inlineStr">
        <is>
          <t>Measured variant of the tool task</t>
        </is>
      </c>
      <c r="Q286" s="5" t="inlineStr">
        <is>
          <t>None detected</t>
        </is>
      </c>
    </row>
    <row r="287">
      <c r="A287" s="3" t="inlineStr">
        <is>
          <t>https://codesommet.com/tools/css-minifier</t>
        </is>
      </c>
      <c r="B287" s="5" t="inlineStr">
        <is>
          <t>Minificateur CSS : Compression de Code Gratuite</t>
        </is>
      </c>
      <c r="C287" t="inlineStr">
        <is>
          <t>Morocco</t>
        </is>
      </c>
      <c r="D287" t="inlineStr">
        <is>
          <t>ma</t>
        </is>
      </c>
      <c r="E287" t="inlineStr">
        <is>
          <t>SECONDARY</t>
        </is>
      </c>
      <c r="F287" t="inlineStr">
        <is>
          <t>minify css</t>
        </is>
      </c>
      <c r="G287" t="n">
        <v>170</v>
      </c>
      <c r="H287" t="inlineStr">
        <is>
          <t>NOT AVAILABLE</t>
        </is>
      </c>
      <c r="I287" t="n">
        <v>0</v>
      </c>
      <c r="J287" t="inlineStr">
        <is>
          <t>NOT AVAILABLE</t>
        </is>
      </c>
      <c r="K287" t="inlineStr">
        <is>
          <t>MEASURED</t>
        </is>
      </c>
      <c r="L287" t="inlineStr">
        <is>
          <t>P3</t>
        </is>
      </c>
      <c r="M287" t="n">
        <v>85</v>
      </c>
      <c r="N287">
        <f>ROUND(IF(IF(J287="NOT AVAILABLE","",J287)="",12,IF(OR(ISNUMBER(SEARCH("Transactional",IF(J287="NOT AVAILABLE","",J287))),ISNUMBER(SEARCH("Commercial",IF(J287="NOT AVAILABLE","",J287)))),25,IF(ISNUMBER(SEARCH("Informational",IF(J287="NOT AVAILABLE","",J287))),10,IF(ISNUMBER(SEARCH("Navigational",IF(J287="NOT AVAILABLE","",J287))),0,12))))+IF(ISNUMBER(G287),MIN(30,ROUND(30*LOG10(G287+1)/4,1)),0)+IF(ISNUMBER(H287),ROUND(25*(100-H287)/100,1),12.5)+20,0)</f>
        <v/>
      </c>
      <c r="O287">
        <f>ROUND(N287*M287/100,0)</f>
        <v/>
      </c>
      <c r="P287" s="5" t="inlineStr">
        <is>
          <t>Same query, Moroccan market (separate database, never summed)</t>
        </is>
      </c>
      <c r="Q287" s="5" t="inlineStr">
        <is>
          <t>None detected</t>
        </is>
      </c>
    </row>
    <row r="288">
      <c r="A288" s="3" t="inlineStr">
        <is>
          <t>https://codesommet.com/tools/css-minifier</t>
        </is>
      </c>
      <c r="B288" s="5" t="inlineStr">
        <is>
          <t>Minificateur CSS : Compression de Code Gratuite</t>
        </is>
      </c>
      <c r="C288" t="inlineStr">
        <is>
          <t>Morocco</t>
        </is>
      </c>
      <c r="D288" t="inlineStr">
        <is>
          <t>ma</t>
        </is>
      </c>
      <c r="E288" t="inlineStr">
        <is>
          <t>SUPPORTING</t>
        </is>
      </c>
      <c r="F288" t="inlineStr">
        <is>
          <t>minifier css</t>
        </is>
      </c>
      <c r="G288" t="n">
        <v>210</v>
      </c>
      <c r="H288" t="inlineStr">
        <is>
          <t>NOT AVAILABLE</t>
        </is>
      </c>
      <c r="I288" t="n">
        <v>0</v>
      </c>
      <c r="J288" t="inlineStr">
        <is>
          <t>NOT AVAILABLE</t>
        </is>
      </c>
      <c r="K288" t="inlineStr">
        <is>
          <t>MEASURED</t>
        </is>
      </c>
      <c r="L288" t="inlineStr">
        <is>
          <t>P3</t>
        </is>
      </c>
      <c r="M288" t="n">
        <v>65</v>
      </c>
      <c r="N288">
        <f>ROUND(IF(IF(J288="NOT AVAILABLE","",J288)="",12,IF(OR(ISNUMBER(SEARCH("Transactional",IF(J288="NOT AVAILABLE","",J288))),ISNUMBER(SEARCH("Commercial",IF(J288="NOT AVAILABLE","",J288)))),25,IF(ISNUMBER(SEARCH("Informational",IF(J288="NOT AVAILABLE","",J288))),10,IF(ISNUMBER(SEARCH("Navigational",IF(J288="NOT AVAILABLE","",J288))),0,12))))+IF(ISNUMBER(G288),MIN(30,ROUND(30*LOG10(G288+1)/4,1)),0)+IF(ISNUMBER(H288),ROUND(25*(100-H288)/100,1),12.5)+20,0)</f>
        <v/>
      </c>
      <c r="O288">
        <f>ROUND(N288*M288/100,0)</f>
        <v/>
      </c>
      <c r="P288" s="5" t="inlineStr">
        <is>
          <t>Measured variant of the tool task (MA market)</t>
        </is>
      </c>
      <c r="Q288" s="5" t="inlineStr">
        <is>
          <t>None detected</t>
        </is>
      </c>
    </row>
    <row r="289">
      <c r="A289" s="3" t="inlineStr">
        <is>
          <t>https://codesommet.com/tools/css-minifier</t>
        </is>
      </c>
      <c r="B289" s="5" t="inlineStr">
        <is>
          <t>Minificateur CSS : Compression de Code Gratuite</t>
        </is>
      </c>
      <c r="C289" t="inlineStr">
        <is>
          <t>Morocco</t>
        </is>
      </c>
      <c r="D289" t="inlineStr">
        <is>
          <t>ma</t>
        </is>
      </c>
      <c r="E289" t="inlineStr">
        <is>
          <t>SUPPORTING</t>
        </is>
      </c>
      <c r="F289" t="inlineStr">
        <is>
          <t>css minifier</t>
        </is>
      </c>
      <c r="G289" t="n">
        <v>170</v>
      </c>
      <c r="H289" t="inlineStr">
        <is>
          <t>NOT AVAILABLE</t>
        </is>
      </c>
      <c r="I289" t="n">
        <v>0</v>
      </c>
      <c r="J289" t="inlineStr">
        <is>
          <t>NOT AVAILABLE</t>
        </is>
      </c>
      <c r="K289" t="inlineStr">
        <is>
          <t>MEASURED</t>
        </is>
      </c>
      <c r="L289" t="inlineStr">
        <is>
          <t>P3</t>
        </is>
      </c>
      <c r="M289" t="n">
        <v>65</v>
      </c>
      <c r="N289">
        <f>ROUND(IF(IF(J289="NOT AVAILABLE","",J289)="",12,IF(OR(ISNUMBER(SEARCH("Transactional",IF(J289="NOT AVAILABLE","",J289))),ISNUMBER(SEARCH("Commercial",IF(J289="NOT AVAILABLE","",J289)))),25,IF(ISNUMBER(SEARCH("Informational",IF(J289="NOT AVAILABLE","",J289))),10,IF(ISNUMBER(SEARCH("Navigational",IF(J289="NOT AVAILABLE","",J289))),0,12))))+IF(ISNUMBER(G289),MIN(30,ROUND(30*LOG10(G289+1)/4,1)),0)+IF(ISNUMBER(H289),ROUND(25*(100-H289)/100,1),12.5)+20,0)</f>
        <v/>
      </c>
      <c r="O289">
        <f>ROUND(N289*M289/100,0)</f>
        <v/>
      </c>
      <c r="P289" s="5" t="inlineStr">
        <is>
          <t>Measured variant of the tool task (MA market)</t>
        </is>
      </c>
      <c r="Q289" s="5" t="inlineStr">
        <is>
          <t>None detected</t>
        </is>
      </c>
    </row>
    <row r="290">
      <c r="A290" s="3" t="inlineStr">
        <is>
          <t>https://codesommet.com/tools/css-minifier</t>
        </is>
      </c>
      <c r="B290" s="5" t="inlineStr">
        <is>
          <t>Minificateur CSS : Compression de Code Gratuite</t>
        </is>
      </c>
      <c r="C290" t="inlineStr">
        <is>
          <t>France</t>
        </is>
      </c>
      <c r="D290" t="inlineStr">
        <is>
          <t>fr</t>
        </is>
      </c>
      <c r="E290" t="inlineStr">
        <is>
          <t>SUPPORTING</t>
        </is>
      </c>
      <c r="F290" t="inlineStr">
        <is>
          <t>compresser css</t>
        </is>
      </c>
      <c r="G290" t="n">
        <v>20</v>
      </c>
      <c r="H290" t="inlineStr">
        <is>
          <t>NOT AVAILABLE</t>
        </is>
      </c>
      <c r="I290" t="n">
        <v>0</v>
      </c>
      <c r="J290" t="inlineStr">
        <is>
          <t>NOT AVAILABLE</t>
        </is>
      </c>
      <c r="K290" t="inlineStr">
        <is>
          <t>MEASURED</t>
        </is>
      </c>
      <c r="L290" t="inlineStr">
        <is>
          <t>P3</t>
        </is>
      </c>
      <c r="M290" t="n">
        <v>65</v>
      </c>
      <c r="N290">
        <f>ROUND(IF(IF(J290="NOT AVAILABLE","",J290)="",12,IF(OR(ISNUMBER(SEARCH("Transactional",IF(J290="NOT AVAILABLE","",J290))),ISNUMBER(SEARCH("Commercial",IF(J290="NOT AVAILABLE","",J290)))),25,IF(ISNUMBER(SEARCH("Informational",IF(J290="NOT AVAILABLE","",J290))),10,IF(ISNUMBER(SEARCH("Navigational",IF(J290="NOT AVAILABLE","",J290))),0,12))))+IF(ISNUMBER(G290),MIN(30,ROUND(30*LOG10(G290+1)/4,1)),0)+IF(ISNUMBER(H290),ROUND(25*(100-H290)/100,1),12.5)+14,0)</f>
        <v/>
      </c>
      <c r="O290">
        <f>ROUND(N290*M290/100,0)</f>
        <v/>
      </c>
      <c r="P290" s="5" t="inlineStr">
        <is>
          <t>Measured variant of the tool task</t>
        </is>
      </c>
      <c r="Q290" s="5" t="inlineStr">
        <is>
          <t>None detected</t>
        </is>
      </c>
    </row>
    <row r="291">
      <c r="A291" s="3" t="inlineStr">
        <is>
          <t>https://codesommet.com/tools/css-minifier</t>
        </is>
      </c>
      <c r="B291" s="5" t="inlineStr">
        <is>
          <t>Minificateur CSS : Compression de Code Gratuite</t>
        </is>
      </c>
      <c r="C291" t="inlineStr">
        <is>
          <t>Morocco</t>
        </is>
      </c>
      <c r="D291" t="inlineStr">
        <is>
          <t>ma</t>
        </is>
      </c>
      <c r="E291" t="inlineStr">
        <is>
          <t>SUPPORTING</t>
        </is>
      </c>
      <c r="F291" t="inlineStr">
        <is>
          <t>compresser css</t>
        </is>
      </c>
      <c r="G291" t="n">
        <v>20</v>
      </c>
      <c r="H291" t="inlineStr">
        <is>
          <t>NOT AVAILABLE</t>
        </is>
      </c>
      <c r="I291" t="n">
        <v>0</v>
      </c>
      <c r="J291" t="inlineStr">
        <is>
          <t>NOT AVAILABLE</t>
        </is>
      </c>
      <c r="K291" t="inlineStr">
        <is>
          <t>MEASURED</t>
        </is>
      </c>
      <c r="L291" t="inlineStr">
        <is>
          <t>P3</t>
        </is>
      </c>
      <c r="M291" t="n">
        <v>65</v>
      </c>
      <c r="N291">
        <f>ROUND(IF(IF(J291="NOT AVAILABLE","",J291)="",12,IF(OR(ISNUMBER(SEARCH("Transactional",IF(J291="NOT AVAILABLE","",J291))),ISNUMBER(SEARCH("Commercial",IF(J291="NOT AVAILABLE","",J291)))),25,IF(ISNUMBER(SEARCH("Informational",IF(J291="NOT AVAILABLE","",J291))),10,IF(ISNUMBER(SEARCH("Navigational",IF(J291="NOT AVAILABLE","",J291))),0,12))))+IF(ISNUMBER(G291),MIN(30,ROUND(30*LOG10(G291+1)/4,1)),0)+IF(ISNUMBER(H291),ROUND(25*(100-H291)/100,1),12.5)+20,0)</f>
        <v/>
      </c>
      <c r="O291">
        <f>ROUND(N291*M291/100,0)</f>
        <v/>
      </c>
      <c r="P291" s="5" t="inlineStr">
        <is>
          <t>Measured variant of the tool task (MA market)</t>
        </is>
      </c>
      <c r="Q291" s="5" t="inlineStr">
        <is>
          <t>None detected</t>
        </is>
      </c>
    </row>
    <row r="292">
      <c r="A292" s="3" t="inlineStr">
        <is>
          <t>https://codesommet.com/tools/domain-authority-checker</t>
        </is>
      </c>
      <c r="B292" s="5" t="inlineStr">
        <is>
          <t>Score de Fondations SEO Techniques Gratuit</t>
        </is>
      </c>
      <c r="C292" t="inlineStr">
        <is>
          <t>France</t>
        </is>
      </c>
      <c r="D292" t="inlineStr">
        <is>
          <t>fr</t>
        </is>
      </c>
      <c r="E292" t="inlineStr">
        <is>
          <t>PRIMARY</t>
        </is>
      </c>
      <c r="F292" t="inlineStr">
        <is>
          <t>audit seo technique</t>
        </is>
      </c>
      <c r="G292" t="inlineStr">
        <is>
          <t>NOT AVAILABLE</t>
        </is>
      </c>
      <c r="H292" t="inlineStr">
        <is>
          <t>NOT AVAILABLE</t>
        </is>
      </c>
      <c r="I292" t="inlineStr">
        <is>
          <t>NOT AVAILABLE</t>
        </is>
      </c>
      <c r="J292" t="inlineStr">
        <is>
          <t>NOT AVAILABLE</t>
        </is>
      </c>
      <c r="K292" t="inlineStr">
        <is>
          <t>SUGGESTED</t>
        </is>
      </c>
      <c r="L292" t="inlineStr">
        <is>
          <t>P3</t>
        </is>
      </c>
      <c r="M292" t="n">
        <v>100</v>
      </c>
      <c r="N292">
        <f>ROUND(IF(IF(J292="NOT AVAILABLE","",J292)="",12,IF(OR(ISNUMBER(SEARCH("Transactional",IF(J292="NOT AVAILABLE","",J292))),ISNUMBER(SEARCH("Commercial",IF(J292="NOT AVAILABLE","",J292)))),25,IF(ISNUMBER(SEARCH("Informational",IF(J292="NOT AVAILABLE","",J292))),10,IF(ISNUMBER(SEARCH("Navigational",IF(J292="NOT AVAILABLE","",J292))),0,12))))+IF(ISNUMBER(G292),MIN(30,ROUND(30*LOG10(G292+1)/4,1)),0)+IF(ISNUMBER(H292),ROUND(25*(100-H292)/100,1),12.5)+14,0)</f>
        <v/>
      </c>
      <c r="O292">
        <f>ROUND(N292*M292/100,0)</f>
        <v/>
      </c>
      <c r="P292" s="5" t="inlineStr">
        <is>
          <t>No measured demand for the tool phrases - long-tail anchor (UNAVAILABLE in Semrush)</t>
        </is>
      </c>
      <c r="Q292" s="5" t="inlineStr">
        <is>
          <t>None detected</t>
        </is>
      </c>
    </row>
    <row r="293">
      <c r="A293" s="3" t="inlineStr">
        <is>
          <t>https://codesommet.com/tools/domain-authority-checker</t>
        </is>
      </c>
      <c r="B293" s="5" t="inlineStr">
        <is>
          <t>Score de Fondations SEO Techniques Gratuit</t>
        </is>
      </c>
      <c r="C293" t="inlineStr">
        <is>
          <t>France</t>
        </is>
      </c>
      <c r="D293" t="inlineStr">
        <is>
          <t>fr</t>
        </is>
      </c>
      <c r="E293" t="inlineStr">
        <is>
          <t>OPTIONAL</t>
        </is>
      </c>
      <c r="F293" t="inlineStr">
        <is>
          <t>vérifier autorité domaine</t>
        </is>
      </c>
      <c r="G293" t="n">
        <v>0</v>
      </c>
      <c r="H293" t="inlineStr">
        <is>
          <t>NOT AVAILABLE</t>
        </is>
      </c>
      <c r="I293" t="n">
        <v>0</v>
      </c>
      <c r="J293" t="inlineStr">
        <is>
          <t>NOT AVAILABLE</t>
        </is>
      </c>
      <c r="K293" t="inlineStr">
        <is>
          <t>MEASURED</t>
        </is>
      </c>
      <c r="L293" t="inlineStr">
        <is>
          <t>P4</t>
        </is>
      </c>
      <c r="M293" t="n">
        <v>45</v>
      </c>
      <c r="N293">
        <f>ROUND(IF(IF(J293="NOT AVAILABLE","",J293)="",12,IF(OR(ISNUMBER(SEARCH("Transactional",IF(J293="NOT AVAILABLE","",J293))),ISNUMBER(SEARCH("Commercial",IF(J293="NOT AVAILABLE","",J293)))),25,IF(ISNUMBER(SEARCH("Informational",IF(J293="NOT AVAILABLE","",J293))),10,IF(ISNUMBER(SEARCH("Navigational",IF(J293="NOT AVAILABLE","",J293))),0,12))))+IF(ISNUMBER(G293),MIN(30,ROUND(30*LOG10(G293+1)/4,1)),0)+IF(ISNUMBER(H293),ROUND(25*(100-H293)/100,1),12.5)+14,0)</f>
        <v/>
      </c>
      <c r="O293">
        <f>ROUND(N293*M293/100,0)</f>
        <v/>
      </c>
      <c r="P293" s="5" t="inlineStr">
        <is>
          <t>Queried - Semrush returned no data or zero volume; usable as natural wording only</t>
        </is>
      </c>
      <c r="Q293" s="5" t="inlineStr">
        <is>
          <t>None detected</t>
        </is>
      </c>
    </row>
    <row r="294">
      <c r="A294" s="3" t="inlineStr">
        <is>
          <t>https://codesommet.com/tools/domain-authority-checker</t>
        </is>
      </c>
      <c r="B294" s="5" t="inlineStr">
        <is>
          <t>Score de Fondations SEO Techniques Gratuit</t>
        </is>
      </c>
      <c r="C294" t="inlineStr">
        <is>
          <t>France</t>
        </is>
      </c>
      <c r="D294" t="inlineStr">
        <is>
          <t>fr</t>
        </is>
      </c>
      <c r="E294" t="inlineStr">
        <is>
          <t>OPTIONAL</t>
        </is>
      </c>
      <c r="F294" t="inlineStr">
        <is>
          <t>score autorité domaine</t>
        </is>
      </c>
      <c r="G294" t="inlineStr">
        <is>
          <t>NOT AVAILABLE</t>
        </is>
      </c>
      <c r="H294" t="inlineStr">
        <is>
          <t>NOT AVAILABLE</t>
        </is>
      </c>
      <c r="I294" t="inlineStr">
        <is>
          <t>NOT AVAILABLE</t>
        </is>
      </c>
      <c r="J294" t="inlineStr">
        <is>
          <t>NOT AVAILABLE</t>
        </is>
      </c>
      <c r="K294" t="inlineStr">
        <is>
          <t>UNAVAILABLE</t>
        </is>
      </c>
      <c r="L294" t="inlineStr">
        <is>
          <t>P4</t>
        </is>
      </c>
      <c r="M294" t="n">
        <v>45</v>
      </c>
      <c r="N294">
        <f>ROUND(IF(IF(J294="NOT AVAILABLE","",J294)="",12,IF(OR(ISNUMBER(SEARCH("Transactional",IF(J294="NOT AVAILABLE","",J294))),ISNUMBER(SEARCH("Commercial",IF(J294="NOT AVAILABLE","",J294)))),25,IF(ISNUMBER(SEARCH("Informational",IF(J294="NOT AVAILABLE","",J294))),10,IF(ISNUMBER(SEARCH("Navigational",IF(J294="NOT AVAILABLE","",J294))),0,12))))+IF(ISNUMBER(G294),MIN(30,ROUND(30*LOG10(G294+1)/4,1)),0)+IF(ISNUMBER(H294),ROUND(25*(100-H294)/100,1),12.5)+14,0)</f>
        <v/>
      </c>
      <c r="O294">
        <f>ROUND(N294*M294/100,0)</f>
        <v/>
      </c>
      <c r="P294" s="5" t="inlineStr">
        <is>
          <t>Queried - Semrush returned no data or zero volume; usable as natural wording only</t>
        </is>
      </c>
      <c r="Q294" s="5" t="inlineStr">
        <is>
          <t>None detected</t>
        </is>
      </c>
    </row>
    <row r="295">
      <c r="A295" s="3" t="inlineStr">
        <is>
          <t>https://codesommet.com/tools/domain-authority-checker</t>
        </is>
      </c>
      <c r="B295" s="5" t="inlineStr">
        <is>
          <t>Score de Fondations SEO Techniques Gratuit</t>
        </is>
      </c>
      <c r="C295" t="inlineStr">
        <is>
          <t>France</t>
        </is>
      </c>
      <c r="D295" t="inlineStr">
        <is>
          <t>fr</t>
        </is>
      </c>
      <c r="E295" t="inlineStr">
        <is>
          <t>NOT RECOMMENDED</t>
        </is>
      </c>
      <c r="F295" t="inlineStr">
        <is>
          <t>domain authority</t>
        </is>
      </c>
      <c r="G295" t="n">
        <v>720</v>
      </c>
      <c r="H295" t="n">
        <v>83</v>
      </c>
      <c r="I295" t="n">
        <v>2.07</v>
      </c>
      <c r="J295" t="inlineStr">
        <is>
          <t>Informational</t>
        </is>
      </c>
      <c r="K295" t="inlineStr">
        <is>
          <t>MEASURED</t>
        </is>
      </c>
      <c r="L295" t="inlineStr">
        <is>
          <t>P4</t>
        </is>
      </c>
      <c r="M295" t="n">
        <v>0</v>
      </c>
      <c r="N295">
        <f>ROUND(IF(IF(J295="NOT AVAILABLE","",J295)="",12,IF(OR(ISNUMBER(SEARCH("Transactional",IF(J295="NOT AVAILABLE","",J295))),ISNUMBER(SEARCH("Commercial",IF(J295="NOT AVAILABLE","",J295)))),25,IF(ISNUMBER(SEARCH("Informational",IF(J295="NOT AVAILABLE","",J295))),10,IF(ISNUMBER(SEARCH("Navigational",IF(J295="NOT AVAILABLE","",J295))),0,12))))+IF(ISNUMBER(G295),MIN(30,ROUND(30*LOG10(G295+1)/4,1)),0)+IF(ISNUMBER(H295),ROUND(25*(100-H295)/100,1),12.5)+14,0)</f>
        <v/>
      </c>
      <c r="O295">
        <f>ROUND(N295*M295/100,0)</f>
        <v/>
      </c>
      <c r="P295" s="5" t="inlineStr">
        <is>
          <t>Tool was renamed to "Score de Fondations SEO" - promising Moz/Ahrefs DA would mislead</t>
        </is>
      </c>
      <c r="Q295" s="5" t="inlineStr">
        <is>
          <t>n/a (not targeted)</t>
        </is>
      </c>
    </row>
    <row r="296">
      <c r="A296" s="3" t="inlineStr">
        <is>
          <t>https://codesommet.com/tools/domain-authority-checker</t>
        </is>
      </c>
      <c r="B296" s="5" t="inlineStr">
        <is>
          <t>Score de Fondations SEO Techniques Gratuit</t>
        </is>
      </c>
      <c r="C296" t="inlineStr">
        <is>
          <t>France</t>
        </is>
      </c>
      <c r="D296" t="inlineStr">
        <is>
          <t>fr</t>
        </is>
      </c>
      <c r="E296" t="inlineStr">
        <is>
          <t>NOT RECOMMENDED</t>
        </is>
      </c>
      <c r="F296" t="inlineStr">
        <is>
          <t>autorité de domaine</t>
        </is>
      </c>
      <c r="G296" t="n">
        <v>210</v>
      </c>
      <c r="H296" t="n">
        <v>27</v>
      </c>
      <c r="I296" t="n">
        <v>1.17</v>
      </c>
      <c r="J296" t="inlineStr">
        <is>
          <t>Informational</t>
        </is>
      </c>
      <c r="K296" t="inlineStr">
        <is>
          <t>MEASURED</t>
        </is>
      </c>
      <c r="L296" t="inlineStr">
        <is>
          <t>P4</t>
        </is>
      </c>
      <c r="M296" t="n">
        <v>0</v>
      </c>
      <c r="N296">
        <f>ROUND(IF(IF(J296="NOT AVAILABLE","",J296)="",12,IF(OR(ISNUMBER(SEARCH("Transactional",IF(J296="NOT AVAILABLE","",J296))),ISNUMBER(SEARCH("Commercial",IF(J296="NOT AVAILABLE","",J296)))),25,IF(ISNUMBER(SEARCH("Informational",IF(J296="NOT AVAILABLE","",J296))),10,IF(ISNUMBER(SEARCH("Navigational",IF(J296="NOT AVAILABLE","",J296))),0,12))))+IF(ISNUMBER(G296),MIN(30,ROUND(30*LOG10(G296+1)/4,1)),0)+IF(ISNUMBER(H296),ROUND(25*(100-H296)/100,1),12.5)+14,0)</f>
        <v/>
      </c>
      <c r="O296">
        <f>ROUND(N296*M296/100,0)</f>
        <v/>
      </c>
      <c r="P296" s="5" t="inlineStr">
        <is>
          <t>Same honesty issue as above</t>
        </is>
      </c>
      <c r="Q296" s="5" t="inlineStr">
        <is>
          <t>n/a (not targeted)</t>
        </is>
      </c>
    </row>
    <row r="297">
      <c r="A297" s="3" t="inlineStr">
        <is>
          <t>https://codesommet.com/tools/domain-extractor</t>
        </is>
      </c>
      <c r="B297" s="5" t="inlineStr">
        <is>
          <t>Extracteur de Domaines d'une Liste d'URL</t>
        </is>
      </c>
      <c r="C297" t="inlineStr">
        <is>
          <t>France</t>
        </is>
      </c>
      <c r="D297" t="inlineStr">
        <is>
          <t>fr</t>
        </is>
      </c>
      <c r="E297" t="inlineStr">
        <is>
          <t>PRIMARY</t>
        </is>
      </c>
      <c r="F297" t="inlineStr">
        <is>
          <t>extraire domaine url</t>
        </is>
      </c>
      <c r="G297" t="inlineStr">
        <is>
          <t>NOT AVAILABLE</t>
        </is>
      </c>
      <c r="H297" t="inlineStr">
        <is>
          <t>NOT AVAILABLE</t>
        </is>
      </c>
      <c r="I297" t="inlineStr">
        <is>
          <t>NOT AVAILABLE</t>
        </is>
      </c>
      <c r="J297" t="inlineStr">
        <is>
          <t>NOT AVAILABLE</t>
        </is>
      </c>
      <c r="K297" t="inlineStr">
        <is>
          <t>UNAVAILABLE</t>
        </is>
      </c>
      <c r="L297" t="inlineStr">
        <is>
          <t>P3</t>
        </is>
      </c>
      <c r="M297" t="n">
        <v>100</v>
      </c>
      <c r="N297">
        <f>ROUND(IF(IF(J297="NOT AVAILABLE","",J297)="",12,IF(OR(ISNUMBER(SEARCH("Transactional",IF(J297="NOT AVAILABLE","",J297))),ISNUMBER(SEARCH("Commercial",IF(J297="NOT AVAILABLE","",J297)))),25,IF(ISNUMBER(SEARCH("Informational",IF(J297="NOT AVAILABLE","",J297))),10,IF(ISNUMBER(SEARCH("Navigational",IF(J297="NOT AVAILABLE","",J297))),0,12))))+IF(ISNUMBER(G297),MIN(30,ROUND(30*LOG10(G297+1)/4,1)),0)+IF(ISNUMBER(H297),ROUND(25*(100-H297)/100,1),12.5)+14,0)</f>
        <v/>
      </c>
      <c r="O297">
        <f>ROUND(N297*M297/100,0)</f>
        <v/>
      </c>
      <c r="P297" s="5" t="inlineStr">
        <is>
          <t>No measured demand for the tool phrases - long-tail anchor (UNAVAILABLE in Semrush)</t>
        </is>
      </c>
      <c r="Q297" s="5" t="inlineStr">
        <is>
          <t>None detected</t>
        </is>
      </c>
    </row>
    <row r="298">
      <c r="A298" s="3" t="inlineStr">
        <is>
          <t>https://codesommet.com/tools/domain-extractor</t>
        </is>
      </c>
      <c r="B298" s="5" t="inlineStr">
        <is>
          <t>Extracteur de Domaines d'une Liste d'URL</t>
        </is>
      </c>
      <c r="C298" t="inlineStr">
        <is>
          <t>France</t>
        </is>
      </c>
      <c r="D298" t="inlineStr">
        <is>
          <t>fr</t>
        </is>
      </c>
      <c r="E298" t="inlineStr">
        <is>
          <t>OPTIONAL</t>
        </is>
      </c>
      <c r="F298" t="inlineStr">
        <is>
          <t>extracteur de domaine</t>
        </is>
      </c>
      <c r="G298" t="inlineStr">
        <is>
          <t>NOT AVAILABLE</t>
        </is>
      </c>
      <c r="H298" t="inlineStr">
        <is>
          <t>NOT AVAILABLE</t>
        </is>
      </c>
      <c r="I298" t="inlineStr">
        <is>
          <t>NOT AVAILABLE</t>
        </is>
      </c>
      <c r="J298" t="inlineStr">
        <is>
          <t>NOT AVAILABLE</t>
        </is>
      </c>
      <c r="K298" t="inlineStr">
        <is>
          <t>UNAVAILABLE</t>
        </is>
      </c>
      <c r="L298" t="inlineStr">
        <is>
          <t>P4</t>
        </is>
      </c>
      <c r="M298" t="n">
        <v>45</v>
      </c>
      <c r="N298">
        <f>ROUND(IF(IF(J298="NOT AVAILABLE","",J298)="",12,IF(OR(ISNUMBER(SEARCH("Transactional",IF(J298="NOT AVAILABLE","",J298))),ISNUMBER(SEARCH("Commercial",IF(J298="NOT AVAILABLE","",J298)))),25,IF(ISNUMBER(SEARCH("Informational",IF(J298="NOT AVAILABLE","",J298))),10,IF(ISNUMBER(SEARCH("Navigational",IF(J298="NOT AVAILABLE","",J298))),0,12))))+IF(ISNUMBER(G298),MIN(30,ROUND(30*LOG10(G298+1)/4,1)),0)+IF(ISNUMBER(H298),ROUND(25*(100-H298)/100,1),12.5)+14,0)</f>
        <v/>
      </c>
      <c r="O298">
        <f>ROUND(N298*M298/100,0)</f>
        <v/>
      </c>
      <c r="P298" s="5" t="inlineStr">
        <is>
          <t>Queried - Semrush returned no data or zero volume; usable as natural wording only</t>
        </is>
      </c>
      <c r="Q298" s="5" t="inlineStr">
        <is>
          <t>None detected</t>
        </is>
      </c>
    </row>
    <row r="299">
      <c r="A299" s="3" t="inlineStr">
        <is>
          <t>https://codesommet.com/tools/domain-health-checker</t>
        </is>
      </c>
      <c r="B299" s="5" t="inlineStr">
        <is>
          <t>Santé de Domaine : Testeur DNS &amp; SSL Gratuit</t>
        </is>
      </c>
      <c r="C299" t="inlineStr">
        <is>
          <t>France</t>
        </is>
      </c>
      <c r="D299" t="inlineStr">
        <is>
          <t>fr</t>
        </is>
      </c>
      <c r="E299" t="inlineStr">
        <is>
          <t>PRIMARY</t>
        </is>
      </c>
      <c r="F299" t="inlineStr">
        <is>
          <t>test dns</t>
        </is>
      </c>
      <c r="G299" t="n">
        <v>1000</v>
      </c>
      <c r="H299" t="n">
        <v>56</v>
      </c>
      <c r="I299" t="n">
        <v>0</v>
      </c>
      <c r="J299" t="inlineStr">
        <is>
          <t>Informational</t>
        </is>
      </c>
      <c r="K299" t="inlineStr">
        <is>
          <t>MEASURED</t>
        </is>
      </c>
      <c r="L299" t="inlineStr">
        <is>
          <t>P3</t>
        </is>
      </c>
      <c r="M299" t="n">
        <v>100</v>
      </c>
      <c r="N299">
        <f>ROUND(IF(IF(J299="NOT AVAILABLE","",J299)="",12,IF(OR(ISNUMBER(SEARCH("Transactional",IF(J299="NOT AVAILABLE","",J299))),ISNUMBER(SEARCH("Commercial",IF(J299="NOT AVAILABLE","",J299)))),25,IF(ISNUMBER(SEARCH("Informational",IF(J299="NOT AVAILABLE","",J299))),10,IF(ISNUMBER(SEARCH("Navigational",IF(J299="NOT AVAILABLE","",J299))),0,12))))+IF(ISNUMBER(G299),MIN(30,ROUND(30*LOG10(G299+1)/4,1)),0)+IF(ISNUMBER(H299),ROUND(25*(100-H299)/100,1),12.5)+14,0)</f>
        <v/>
      </c>
      <c r="O299">
        <f>ROUND(N299*M299/100,0)</f>
        <v/>
      </c>
      <c r="P299" s="5" t="inlineStr">
        <is>
          <t>Best-fitting measured FR query for the tool task (tools serve the francophone market; FR db used as proxy)</t>
        </is>
      </c>
      <c r="Q299" s="5" t="inlineStr">
        <is>
          <t>None detected</t>
        </is>
      </c>
    </row>
    <row r="300">
      <c r="A300" s="3" t="inlineStr">
        <is>
          <t>https://codesommet.com/tools/domain-health-checker</t>
        </is>
      </c>
      <c r="B300" s="5" t="inlineStr">
        <is>
          <t>Santé de Domaine : Testeur DNS &amp; SSL Gratuit</t>
        </is>
      </c>
      <c r="C300" t="inlineStr">
        <is>
          <t>Morocco</t>
        </is>
      </c>
      <c r="D300" t="inlineStr">
        <is>
          <t>ma</t>
        </is>
      </c>
      <c r="E300" t="inlineStr">
        <is>
          <t>SECONDARY</t>
        </is>
      </c>
      <c r="F300" t="inlineStr">
        <is>
          <t>test dns</t>
        </is>
      </c>
      <c r="G300" t="n">
        <v>110</v>
      </c>
      <c r="H300" t="inlineStr">
        <is>
          <t>NOT AVAILABLE</t>
        </is>
      </c>
      <c r="I300" t="n">
        <v>0</v>
      </c>
      <c r="J300" t="inlineStr">
        <is>
          <t>NOT AVAILABLE</t>
        </is>
      </c>
      <c r="K300" t="inlineStr">
        <is>
          <t>MEASURED</t>
        </is>
      </c>
      <c r="L300" t="inlineStr">
        <is>
          <t>P3</t>
        </is>
      </c>
      <c r="M300" t="n">
        <v>85</v>
      </c>
      <c r="N300">
        <f>ROUND(IF(IF(J300="NOT AVAILABLE","",J300)="",12,IF(OR(ISNUMBER(SEARCH("Transactional",IF(J300="NOT AVAILABLE","",J300))),ISNUMBER(SEARCH("Commercial",IF(J300="NOT AVAILABLE","",J300)))),25,IF(ISNUMBER(SEARCH("Informational",IF(J300="NOT AVAILABLE","",J300))),10,IF(ISNUMBER(SEARCH("Navigational",IF(J300="NOT AVAILABLE","",J300))),0,12))))+IF(ISNUMBER(G300),MIN(30,ROUND(30*LOG10(G300+1)/4,1)),0)+IF(ISNUMBER(H300),ROUND(25*(100-H300)/100,1),12.5)+20,0)</f>
        <v/>
      </c>
      <c r="O300">
        <f>ROUND(N300*M300/100,0)</f>
        <v/>
      </c>
      <c r="P300" s="5" t="inlineStr">
        <is>
          <t>Same query, Moroccan market (separate database, never summed)</t>
        </is>
      </c>
      <c r="Q300" s="5" t="inlineStr">
        <is>
          <t>None detected</t>
        </is>
      </c>
    </row>
    <row r="301">
      <c r="A301" s="3" t="inlineStr">
        <is>
          <t>https://codesommet.com/tools/domain-health-checker</t>
        </is>
      </c>
      <c r="B301" s="5" t="inlineStr">
        <is>
          <t>Santé de Domaine : Testeur DNS &amp; SSL Gratuit</t>
        </is>
      </c>
      <c r="C301" t="inlineStr">
        <is>
          <t>France</t>
        </is>
      </c>
      <c r="D301" t="inlineStr">
        <is>
          <t>fr</t>
        </is>
      </c>
      <c r="E301" t="inlineStr">
        <is>
          <t>SUPPORTING</t>
        </is>
      </c>
      <c r="F301" t="inlineStr">
        <is>
          <t>vérifier domaine</t>
        </is>
      </c>
      <c r="G301" t="n">
        <v>40</v>
      </c>
      <c r="H301" t="inlineStr">
        <is>
          <t>NOT AVAILABLE</t>
        </is>
      </c>
      <c r="I301" t="n">
        <v>0.92</v>
      </c>
      <c r="J301" t="inlineStr">
        <is>
          <t>NOT AVAILABLE</t>
        </is>
      </c>
      <c r="K301" t="inlineStr">
        <is>
          <t>MEASURED</t>
        </is>
      </c>
      <c r="L301" t="inlineStr">
        <is>
          <t>P3</t>
        </is>
      </c>
      <c r="M301" t="n">
        <v>65</v>
      </c>
      <c r="N301">
        <f>ROUND(IF(IF(J301="NOT AVAILABLE","",J301)="",12,IF(OR(ISNUMBER(SEARCH("Transactional",IF(J301="NOT AVAILABLE","",J301))),ISNUMBER(SEARCH("Commercial",IF(J301="NOT AVAILABLE","",J301)))),25,IF(ISNUMBER(SEARCH("Informational",IF(J301="NOT AVAILABLE","",J301))),10,IF(ISNUMBER(SEARCH("Navigational",IF(J301="NOT AVAILABLE","",J301))),0,12))))+IF(ISNUMBER(G301),MIN(30,ROUND(30*LOG10(G301+1)/4,1)),0)+IF(ISNUMBER(H301),ROUND(25*(100-H301)/100,1),12.5)+14,0)</f>
        <v/>
      </c>
      <c r="O301">
        <f>ROUND(N301*M301/100,0)</f>
        <v/>
      </c>
      <c r="P301" s="5" t="inlineStr">
        <is>
          <t>Measured variant of the tool task</t>
        </is>
      </c>
      <c r="Q301" s="5" t="inlineStr">
        <is>
          <t>None detected</t>
        </is>
      </c>
    </row>
    <row r="302">
      <c r="A302" s="3" t="inlineStr">
        <is>
          <t>https://codesommet.com/tools/domain-health-checker</t>
        </is>
      </c>
      <c r="B302" s="5" t="inlineStr">
        <is>
          <t>Santé de Domaine : Testeur DNS &amp; SSL Gratuit</t>
        </is>
      </c>
      <c r="C302" t="inlineStr">
        <is>
          <t>France</t>
        </is>
      </c>
      <c r="D302" t="inlineStr">
        <is>
          <t>fr</t>
        </is>
      </c>
      <c r="E302" t="inlineStr">
        <is>
          <t>SUPPORTING</t>
        </is>
      </c>
      <c r="F302" t="inlineStr">
        <is>
          <t>vérifier dns</t>
        </is>
      </c>
      <c r="G302" t="n">
        <v>20</v>
      </c>
      <c r="H302" t="inlineStr">
        <is>
          <t>NOT AVAILABLE</t>
        </is>
      </c>
      <c r="I302" t="n">
        <v>0</v>
      </c>
      <c r="J302" t="inlineStr">
        <is>
          <t>NOT AVAILABLE</t>
        </is>
      </c>
      <c r="K302" t="inlineStr">
        <is>
          <t>MEASURED</t>
        </is>
      </c>
      <c r="L302" t="inlineStr">
        <is>
          <t>P3</t>
        </is>
      </c>
      <c r="M302" t="n">
        <v>65</v>
      </c>
      <c r="N302">
        <f>ROUND(IF(IF(J302="NOT AVAILABLE","",J302)="",12,IF(OR(ISNUMBER(SEARCH("Transactional",IF(J302="NOT AVAILABLE","",J302))),ISNUMBER(SEARCH("Commercial",IF(J302="NOT AVAILABLE","",J302)))),25,IF(ISNUMBER(SEARCH("Informational",IF(J302="NOT AVAILABLE","",J302))),10,IF(ISNUMBER(SEARCH("Navigational",IF(J302="NOT AVAILABLE","",J302))),0,12))))+IF(ISNUMBER(G302),MIN(30,ROUND(30*LOG10(G302+1)/4,1)),0)+IF(ISNUMBER(H302),ROUND(25*(100-H302)/100,1),12.5)+14,0)</f>
        <v/>
      </c>
      <c r="O302">
        <f>ROUND(N302*M302/100,0)</f>
        <v/>
      </c>
      <c r="P302" s="5" t="inlineStr">
        <is>
          <t>Measured variant of the tool task</t>
        </is>
      </c>
      <c r="Q302" s="5" t="inlineStr">
        <is>
          <t>None detected</t>
        </is>
      </c>
    </row>
    <row r="303">
      <c r="A303" s="3" t="inlineStr">
        <is>
          <t>https://codesommet.com/tools/domain-health-checker</t>
        </is>
      </c>
      <c r="B303" s="5" t="inlineStr">
        <is>
          <t>Santé de Domaine : Testeur DNS &amp; SSL Gratuit</t>
        </is>
      </c>
      <c r="C303" t="inlineStr">
        <is>
          <t>Morocco</t>
        </is>
      </c>
      <c r="D303" t="inlineStr">
        <is>
          <t>ma</t>
        </is>
      </c>
      <c r="E303" t="inlineStr">
        <is>
          <t>SUPPORTING</t>
        </is>
      </c>
      <c r="F303" t="inlineStr">
        <is>
          <t>vérifier domaine</t>
        </is>
      </c>
      <c r="G303" t="n">
        <v>20</v>
      </c>
      <c r="H303" t="inlineStr">
        <is>
          <t>NOT AVAILABLE</t>
        </is>
      </c>
      <c r="I303" t="n">
        <v>0.43</v>
      </c>
      <c r="J303" t="inlineStr">
        <is>
          <t>NOT AVAILABLE</t>
        </is>
      </c>
      <c r="K303" t="inlineStr">
        <is>
          <t>MEASURED</t>
        </is>
      </c>
      <c r="L303" t="inlineStr">
        <is>
          <t>P3</t>
        </is>
      </c>
      <c r="M303" t="n">
        <v>65</v>
      </c>
      <c r="N303">
        <f>ROUND(IF(IF(J303="NOT AVAILABLE","",J303)="",12,IF(OR(ISNUMBER(SEARCH("Transactional",IF(J303="NOT AVAILABLE","",J303))),ISNUMBER(SEARCH("Commercial",IF(J303="NOT AVAILABLE","",J303)))),25,IF(ISNUMBER(SEARCH("Informational",IF(J303="NOT AVAILABLE","",J303))),10,IF(ISNUMBER(SEARCH("Navigational",IF(J303="NOT AVAILABLE","",J303))),0,12))))+IF(ISNUMBER(G303),MIN(30,ROUND(30*LOG10(G303+1)/4,1)),0)+IF(ISNUMBER(H303),ROUND(25*(100-H303)/100,1),12.5)+20,0)</f>
        <v/>
      </c>
      <c r="O303">
        <f>ROUND(N303*M303/100,0)</f>
        <v/>
      </c>
      <c r="P303" s="5" t="inlineStr">
        <is>
          <t>Measured variant of the tool task (MA market)</t>
        </is>
      </c>
      <c r="Q303" s="5" t="inlineStr">
        <is>
          <t>None detected</t>
        </is>
      </c>
    </row>
    <row r="304">
      <c r="A304" s="3" t="inlineStr">
        <is>
          <t>https://codesommet.com/tools/domain-health-checker</t>
        </is>
      </c>
      <c r="B304" s="5" t="inlineStr">
        <is>
          <t>Santé de Domaine : Testeur DNS &amp; SSL Gratuit</t>
        </is>
      </c>
      <c r="C304" t="inlineStr">
        <is>
          <t>France</t>
        </is>
      </c>
      <c r="D304" t="inlineStr">
        <is>
          <t>fr</t>
        </is>
      </c>
      <c r="E304" t="inlineStr">
        <is>
          <t>NOT RECOMMENDED</t>
        </is>
      </c>
      <c r="F304" t="inlineStr">
        <is>
          <t>test ssl</t>
        </is>
      </c>
      <c r="G304" t="n">
        <v>320</v>
      </c>
      <c r="H304" t="n">
        <v>37</v>
      </c>
      <c r="I304" t="n">
        <v>0.89</v>
      </c>
      <c r="J304" t="inlineStr">
        <is>
          <t>Commercial</t>
        </is>
      </c>
      <c r="K304" t="inlineStr">
        <is>
          <t>MEASURED</t>
        </is>
      </c>
      <c r="L304" t="inlineStr">
        <is>
          <t>P4</t>
        </is>
      </c>
      <c r="M304" t="n">
        <v>0</v>
      </c>
      <c r="N304">
        <f>ROUND(IF(IF(J304="NOT AVAILABLE","",J304)="",12,IF(OR(ISNUMBER(SEARCH("Transactional",IF(J304="NOT AVAILABLE","",J304))),ISNUMBER(SEARCH("Commercial",IF(J304="NOT AVAILABLE","",J304)))),25,IF(ISNUMBER(SEARCH("Informational",IF(J304="NOT AVAILABLE","",J304))),10,IF(ISNUMBER(SEARCH("Navigational",IF(J304="NOT AVAILABLE","",J304))),0,12))))+IF(ISNUMBER(G304),MIN(30,ROUND(30*LOG10(G304+1)/4,1)),0)+IF(ISNUMBER(H304),ROUND(25*(100-H304)/100,1),12.5)+14,0)</f>
        <v/>
      </c>
      <c r="O304">
        <f>ROUND(N304*M304/100,0)</f>
        <v/>
      </c>
      <c r="P304" s="5" t="inlineStr">
        <is>
          <t>Assigned to ssl-certificate-checker</t>
        </is>
      </c>
      <c r="Q304" s="5" t="inlineStr">
        <is>
          <t>n/a (not targeted)</t>
        </is>
      </c>
    </row>
    <row r="305">
      <c r="A305" s="3" t="inlineStr">
        <is>
          <t>https://codesommet.com/tools/duplicate-content-checker</t>
        </is>
      </c>
      <c r="B305" s="5" t="inlineStr">
        <is>
          <t>Vérificateur de Contenu Dupliqué Gratuit</t>
        </is>
      </c>
      <c r="C305" t="inlineStr">
        <is>
          <t>France</t>
        </is>
      </c>
      <c r="D305" t="inlineStr">
        <is>
          <t>fr</t>
        </is>
      </c>
      <c r="E305" t="inlineStr">
        <is>
          <t>PRIMARY</t>
        </is>
      </c>
      <c r="F305" t="inlineStr">
        <is>
          <t>duplicate content</t>
        </is>
      </c>
      <c r="G305" t="n">
        <v>720</v>
      </c>
      <c r="H305" t="n">
        <v>32</v>
      </c>
      <c r="I305" t="n">
        <v>0</v>
      </c>
      <c r="J305" t="inlineStr">
        <is>
          <t>Informational</t>
        </is>
      </c>
      <c r="K305" t="inlineStr">
        <is>
          <t>MEASURED</t>
        </is>
      </c>
      <c r="L305" t="inlineStr">
        <is>
          <t>P3</t>
        </is>
      </c>
      <c r="M305" t="n">
        <v>100</v>
      </c>
      <c r="N305">
        <f>ROUND(IF(IF(J305="NOT AVAILABLE","",J305)="",12,IF(OR(ISNUMBER(SEARCH("Transactional",IF(J305="NOT AVAILABLE","",J305))),ISNUMBER(SEARCH("Commercial",IF(J305="NOT AVAILABLE","",J305)))),25,IF(ISNUMBER(SEARCH("Informational",IF(J305="NOT AVAILABLE","",J305))),10,IF(ISNUMBER(SEARCH("Navigational",IF(J305="NOT AVAILABLE","",J305))),0,12))))+IF(ISNUMBER(G305),MIN(30,ROUND(30*LOG10(G305+1)/4,1)),0)+IF(ISNUMBER(H305),ROUND(25*(100-H305)/100,1),12.5)+14,0)</f>
        <v/>
      </c>
      <c r="O305">
        <f>ROUND(N305*M305/100,0)</f>
        <v/>
      </c>
      <c r="P305" s="5" t="inlineStr">
        <is>
          <t>Best-fitting measured FR query for the tool task (tools serve the francophone market; FR db used as proxy)</t>
        </is>
      </c>
      <c r="Q305" s="5" t="inlineStr">
        <is>
          <t>None detected</t>
        </is>
      </c>
    </row>
    <row r="306">
      <c r="A306" s="3" t="inlineStr">
        <is>
          <t>https://codesommet.com/tools/duplicate-content-checker</t>
        </is>
      </c>
      <c r="B306" s="5" t="inlineStr">
        <is>
          <t>Vérificateur de Contenu Dupliqué Gratuit</t>
        </is>
      </c>
      <c r="C306" t="inlineStr">
        <is>
          <t>France</t>
        </is>
      </c>
      <c r="D306" t="inlineStr">
        <is>
          <t>fr</t>
        </is>
      </c>
      <c r="E306" t="inlineStr">
        <is>
          <t>SECONDARY</t>
        </is>
      </c>
      <c r="F306" t="inlineStr">
        <is>
          <t>contenu dupliqué</t>
        </is>
      </c>
      <c r="G306" t="n">
        <v>480</v>
      </c>
      <c r="H306" t="n">
        <v>22</v>
      </c>
      <c r="I306" t="n">
        <v>0</v>
      </c>
      <c r="J306" t="inlineStr">
        <is>
          <t>Informational</t>
        </is>
      </c>
      <c r="K306" t="inlineStr">
        <is>
          <t>MEASURED</t>
        </is>
      </c>
      <c r="L306" t="inlineStr">
        <is>
          <t>P3</t>
        </is>
      </c>
      <c r="M306" t="n">
        <v>85</v>
      </c>
      <c r="N306">
        <f>ROUND(IF(IF(J306="NOT AVAILABLE","",J306)="",12,IF(OR(ISNUMBER(SEARCH("Transactional",IF(J306="NOT AVAILABLE","",J306))),ISNUMBER(SEARCH("Commercial",IF(J306="NOT AVAILABLE","",J306)))),25,IF(ISNUMBER(SEARCH("Informational",IF(J306="NOT AVAILABLE","",J306))),10,IF(ISNUMBER(SEARCH("Navigational",IF(J306="NOT AVAILABLE","",J306))),0,12))))+IF(ISNUMBER(G306),MIN(30,ROUND(30*LOG10(G306+1)/4,1)),0)+IF(ISNUMBER(H306),ROUND(25*(100-H306)/100,1),12.5)+14,0)</f>
        <v/>
      </c>
      <c r="O306">
        <f>ROUND(N306*M306/100,0)</f>
        <v/>
      </c>
      <c r="P306" s="5" t="inlineStr">
        <is>
          <t>Measured variant of the tool task</t>
        </is>
      </c>
      <c r="Q306" s="5" t="inlineStr">
        <is>
          <t>None detected</t>
        </is>
      </c>
    </row>
    <row r="307">
      <c r="A307" s="3" t="inlineStr">
        <is>
          <t>https://codesommet.com/tools/duplicate-content-checker</t>
        </is>
      </c>
      <c r="B307" s="5" t="inlineStr">
        <is>
          <t>Vérificateur de Contenu Dupliqué Gratuit</t>
        </is>
      </c>
      <c r="C307" t="inlineStr">
        <is>
          <t>Morocco</t>
        </is>
      </c>
      <c r="D307" t="inlineStr">
        <is>
          <t>ma</t>
        </is>
      </c>
      <c r="E307" t="inlineStr">
        <is>
          <t>SECONDARY</t>
        </is>
      </c>
      <c r="F307" t="inlineStr">
        <is>
          <t>duplicate content</t>
        </is>
      </c>
      <c r="G307" t="n">
        <v>30</v>
      </c>
      <c r="H307" t="inlineStr">
        <is>
          <t>NOT AVAILABLE</t>
        </is>
      </c>
      <c r="I307" t="n">
        <v>0</v>
      </c>
      <c r="J307" t="inlineStr">
        <is>
          <t>NOT AVAILABLE</t>
        </is>
      </c>
      <c r="K307" t="inlineStr">
        <is>
          <t>MEASURED</t>
        </is>
      </c>
      <c r="L307" t="inlineStr">
        <is>
          <t>P3</t>
        </is>
      </c>
      <c r="M307" t="n">
        <v>85</v>
      </c>
      <c r="N307">
        <f>ROUND(IF(IF(J307="NOT AVAILABLE","",J307)="",12,IF(OR(ISNUMBER(SEARCH("Transactional",IF(J307="NOT AVAILABLE","",J307))),ISNUMBER(SEARCH("Commercial",IF(J307="NOT AVAILABLE","",J307)))),25,IF(ISNUMBER(SEARCH("Informational",IF(J307="NOT AVAILABLE","",J307))),10,IF(ISNUMBER(SEARCH("Navigational",IF(J307="NOT AVAILABLE","",J307))),0,12))))+IF(ISNUMBER(G307),MIN(30,ROUND(30*LOG10(G307+1)/4,1)),0)+IF(ISNUMBER(H307),ROUND(25*(100-H307)/100,1),12.5)+20,0)</f>
        <v/>
      </c>
      <c r="O307">
        <f>ROUND(N307*M307/100,0)</f>
        <v/>
      </c>
      <c r="P307" s="5" t="inlineStr">
        <is>
          <t>Same query, Moroccan market (separate database, never summed)</t>
        </is>
      </c>
      <c r="Q307" s="5" t="inlineStr">
        <is>
          <t>None detected</t>
        </is>
      </c>
    </row>
    <row r="308">
      <c r="A308" s="3" t="inlineStr">
        <is>
          <t>https://codesommet.com/tools/duplicate-content-checker</t>
        </is>
      </c>
      <c r="B308" s="5" t="inlineStr">
        <is>
          <t>Vérificateur de Contenu Dupliqué Gratuit</t>
        </is>
      </c>
      <c r="C308" t="inlineStr">
        <is>
          <t>Morocco</t>
        </is>
      </c>
      <c r="D308" t="inlineStr">
        <is>
          <t>ma</t>
        </is>
      </c>
      <c r="E308" t="inlineStr">
        <is>
          <t>SUPPORTING</t>
        </is>
      </c>
      <c r="F308" t="inlineStr">
        <is>
          <t>contenu dupliqué</t>
        </is>
      </c>
      <c r="G308" t="n">
        <v>40</v>
      </c>
      <c r="H308" t="inlineStr">
        <is>
          <t>NOT AVAILABLE</t>
        </is>
      </c>
      <c r="I308" t="n">
        <v>0</v>
      </c>
      <c r="J308" t="inlineStr">
        <is>
          <t>NOT AVAILABLE</t>
        </is>
      </c>
      <c r="K308" t="inlineStr">
        <is>
          <t>MEASURED</t>
        </is>
      </c>
      <c r="L308" t="inlineStr">
        <is>
          <t>P3</t>
        </is>
      </c>
      <c r="M308" t="n">
        <v>65</v>
      </c>
      <c r="N308">
        <f>ROUND(IF(IF(J308="NOT AVAILABLE","",J308)="",12,IF(OR(ISNUMBER(SEARCH("Transactional",IF(J308="NOT AVAILABLE","",J308))),ISNUMBER(SEARCH("Commercial",IF(J308="NOT AVAILABLE","",J308)))),25,IF(ISNUMBER(SEARCH("Informational",IF(J308="NOT AVAILABLE","",J308))),10,IF(ISNUMBER(SEARCH("Navigational",IF(J308="NOT AVAILABLE","",J308))),0,12))))+IF(ISNUMBER(G308),MIN(30,ROUND(30*LOG10(G308+1)/4,1)),0)+IF(ISNUMBER(H308),ROUND(25*(100-H308)/100,1),12.5)+20,0)</f>
        <v/>
      </c>
      <c r="O308">
        <f>ROUND(N308*M308/100,0)</f>
        <v/>
      </c>
      <c r="P308" s="5" t="inlineStr">
        <is>
          <t>Measured variant of the tool task (MA market)</t>
        </is>
      </c>
      <c r="Q308" s="5" t="inlineStr">
        <is>
          <t>None detected</t>
        </is>
      </c>
    </row>
    <row r="309">
      <c r="A309" s="3" t="inlineStr">
        <is>
          <t>https://codesommet.com/tools/duplicate-content-checker</t>
        </is>
      </c>
      <c r="B309" s="5" t="inlineStr">
        <is>
          <t>Vérificateur de Contenu Dupliqué Gratuit</t>
        </is>
      </c>
      <c r="C309" t="inlineStr">
        <is>
          <t>France</t>
        </is>
      </c>
      <c r="D309" t="inlineStr">
        <is>
          <t>fr</t>
        </is>
      </c>
      <c r="E309" t="inlineStr">
        <is>
          <t>SUPPORTING</t>
        </is>
      </c>
      <c r="F309" t="inlineStr">
        <is>
          <t>vérifier contenu dupliqué</t>
        </is>
      </c>
      <c r="G309" t="n">
        <v>20</v>
      </c>
      <c r="H309" t="inlineStr">
        <is>
          <t>NOT AVAILABLE</t>
        </is>
      </c>
      <c r="I309" t="n">
        <v>0</v>
      </c>
      <c r="J309" t="inlineStr">
        <is>
          <t>NOT AVAILABLE</t>
        </is>
      </c>
      <c r="K309" t="inlineStr">
        <is>
          <t>MEASURED</t>
        </is>
      </c>
      <c r="L309" t="inlineStr">
        <is>
          <t>P3</t>
        </is>
      </c>
      <c r="M309" t="n">
        <v>65</v>
      </c>
      <c r="N309">
        <f>ROUND(IF(IF(J309="NOT AVAILABLE","",J309)="",12,IF(OR(ISNUMBER(SEARCH("Transactional",IF(J309="NOT AVAILABLE","",J309))),ISNUMBER(SEARCH("Commercial",IF(J309="NOT AVAILABLE","",J309)))),25,IF(ISNUMBER(SEARCH("Informational",IF(J309="NOT AVAILABLE","",J309))),10,IF(ISNUMBER(SEARCH("Navigational",IF(J309="NOT AVAILABLE","",J309))),0,12))))+IF(ISNUMBER(G309),MIN(30,ROUND(30*LOG10(G309+1)/4,1)),0)+IF(ISNUMBER(H309),ROUND(25*(100-H309)/100,1),12.5)+14,0)</f>
        <v/>
      </c>
      <c r="O309">
        <f>ROUND(N309*M309/100,0)</f>
        <v/>
      </c>
      <c r="P309" s="5" t="inlineStr">
        <is>
          <t>Measured variant of the tool task</t>
        </is>
      </c>
      <c r="Q309" s="5" t="inlineStr">
        <is>
          <t>None detected</t>
        </is>
      </c>
    </row>
    <row r="310">
      <c r="A310" s="3" t="inlineStr">
        <is>
          <t>https://codesommet.com/tools/duplicate-content-checker</t>
        </is>
      </c>
      <c r="B310" s="5" t="inlineStr">
        <is>
          <t>Vérificateur de Contenu Dupliqué Gratuit</t>
        </is>
      </c>
      <c r="C310" t="inlineStr">
        <is>
          <t>France</t>
        </is>
      </c>
      <c r="D310" t="inlineStr">
        <is>
          <t>fr</t>
        </is>
      </c>
      <c r="E310" t="inlineStr">
        <is>
          <t>NOT RECOMMENDED</t>
        </is>
      </c>
      <c r="F310" t="inlineStr">
        <is>
          <t>détecteur de plagiat</t>
        </is>
      </c>
      <c r="G310" t="n">
        <v>1300</v>
      </c>
      <c r="H310" t="n">
        <v>59</v>
      </c>
      <c r="I310" t="n">
        <v>0.42</v>
      </c>
      <c r="J310" t="inlineStr">
        <is>
          <t>Commercial</t>
        </is>
      </c>
      <c r="K310" t="inlineStr">
        <is>
          <t>MEASURED</t>
        </is>
      </c>
      <c r="L310" t="inlineStr">
        <is>
          <t>P4</t>
        </is>
      </c>
      <c r="M310" t="n">
        <v>0</v>
      </c>
      <c r="N310">
        <f>ROUND(IF(IF(J310="NOT AVAILABLE","",J310)="",12,IF(OR(ISNUMBER(SEARCH("Transactional",IF(J310="NOT AVAILABLE","",J310))),ISNUMBER(SEARCH("Commercial",IF(J310="NOT AVAILABLE","",J310)))),25,IF(ISNUMBER(SEARCH("Informational",IF(J310="NOT AVAILABLE","",J310))),10,IF(ISNUMBER(SEARCH("Navigational",IF(J310="NOT AVAILABLE","",J310))),0,12))))+IF(ISNUMBER(G310),MIN(30,ROUND(30*LOG10(G310+1)/4,1)),0)+IF(ISNUMBER(H310),ROUND(25*(100-H310)/100,1),12.5)+14,0)</f>
        <v/>
      </c>
      <c r="O310">
        <f>ROUND(N310*M310/100,0)</f>
        <v/>
      </c>
      <c r="P310" s="5" t="inlineStr">
        <is>
          <t>Plagiarism-checker intent (students) - different tool</t>
        </is>
      </c>
      <c r="Q310" s="5" t="inlineStr">
        <is>
          <t>n/a (not targeted)</t>
        </is>
      </c>
    </row>
    <row r="311">
      <c r="A311" s="3" t="inlineStr">
        <is>
          <t>https://codesommet.com/tools/eeat-signals-checker</t>
        </is>
      </c>
      <c r="B311" s="5" t="inlineStr">
        <is>
          <t>Vérificateur de Signaux E-E-A-T Gratuit</t>
        </is>
      </c>
      <c r="C311" t="inlineStr">
        <is>
          <t>France</t>
        </is>
      </c>
      <c r="D311" t="inlineStr">
        <is>
          <t>fr</t>
        </is>
      </c>
      <c r="E311" t="inlineStr">
        <is>
          <t>PRIMARY</t>
        </is>
      </c>
      <c r="F311" t="inlineStr">
        <is>
          <t>e-e-a-t</t>
        </is>
      </c>
      <c r="G311" t="n">
        <v>2400</v>
      </c>
      <c r="H311" t="n">
        <v>36</v>
      </c>
      <c r="I311" t="n">
        <v>1.34</v>
      </c>
      <c r="J311" t="inlineStr">
        <is>
          <t>Informational</t>
        </is>
      </c>
      <c r="K311" t="inlineStr">
        <is>
          <t>MEASURED</t>
        </is>
      </c>
      <c r="L311" t="inlineStr">
        <is>
          <t>P3</t>
        </is>
      </c>
      <c r="M311" t="n">
        <v>100</v>
      </c>
      <c r="N311">
        <f>ROUND(IF(IF(J311="NOT AVAILABLE","",J311)="",12,IF(OR(ISNUMBER(SEARCH("Transactional",IF(J311="NOT AVAILABLE","",J311))),ISNUMBER(SEARCH("Commercial",IF(J311="NOT AVAILABLE","",J311)))),25,IF(ISNUMBER(SEARCH("Informational",IF(J311="NOT AVAILABLE","",J311))),10,IF(ISNUMBER(SEARCH("Navigational",IF(J311="NOT AVAILABLE","",J311))),0,12))))+IF(ISNUMBER(G311),MIN(30,ROUND(30*LOG10(G311+1)/4,1)),0)+IF(ISNUMBER(H311),ROUND(25*(100-H311)/100,1),12.5)+14,0)</f>
        <v/>
      </c>
      <c r="O311">
        <f>ROUND(N311*M311/100,0)</f>
        <v/>
      </c>
      <c r="P311" s="5" t="inlineStr">
        <is>
          <t>Best-fitting measured FR query for the tool task (tools serve the francophone market; FR db used as proxy)</t>
        </is>
      </c>
      <c r="Q311" s="5" t="inlineStr">
        <is>
          <t>None detected</t>
        </is>
      </c>
    </row>
    <row r="312">
      <c r="A312" s="3" t="inlineStr">
        <is>
          <t>https://codesommet.com/tools/eeat-signals-checker</t>
        </is>
      </c>
      <c r="B312" s="5" t="inlineStr">
        <is>
          <t>Vérificateur de Signaux E-E-A-T Gratuit</t>
        </is>
      </c>
      <c r="C312" t="inlineStr">
        <is>
          <t>France</t>
        </is>
      </c>
      <c r="D312" t="inlineStr">
        <is>
          <t>fr</t>
        </is>
      </c>
      <c r="E312" t="inlineStr">
        <is>
          <t>SECONDARY</t>
        </is>
      </c>
      <c r="F312" t="inlineStr">
        <is>
          <t>eeat</t>
        </is>
      </c>
      <c r="G312" t="n">
        <v>1600</v>
      </c>
      <c r="H312" t="n">
        <v>40</v>
      </c>
      <c r="I312" t="n">
        <v>0</v>
      </c>
      <c r="J312" t="inlineStr">
        <is>
          <t>Informational</t>
        </is>
      </c>
      <c r="K312" t="inlineStr">
        <is>
          <t>MEASURED</t>
        </is>
      </c>
      <c r="L312" t="inlineStr">
        <is>
          <t>P3</t>
        </is>
      </c>
      <c r="M312" t="n">
        <v>85</v>
      </c>
      <c r="N312">
        <f>ROUND(IF(IF(J312="NOT AVAILABLE","",J312)="",12,IF(OR(ISNUMBER(SEARCH("Transactional",IF(J312="NOT AVAILABLE","",J312))),ISNUMBER(SEARCH("Commercial",IF(J312="NOT AVAILABLE","",J312)))),25,IF(ISNUMBER(SEARCH("Informational",IF(J312="NOT AVAILABLE","",J312))),10,IF(ISNUMBER(SEARCH("Navigational",IF(J312="NOT AVAILABLE","",J312))),0,12))))+IF(ISNUMBER(G312),MIN(30,ROUND(30*LOG10(G312+1)/4,1)),0)+IF(ISNUMBER(H312),ROUND(25*(100-H312)/100,1),12.5)+14,0)</f>
        <v/>
      </c>
      <c r="O312">
        <f>ROUND(N312*M312/100,0)</f>
        <v/>
      </c>
      <c r="P312" s="5" t="inlineStr">
        <is>
          <t>Measured variant of the tool task</t>
        </is>
      </c>
      <c r="Q312" s="5" t="inlineStr">
        <is>
          <t>None detected</t>
        </is>
      </c>
    </row>
    <row r="313">
      <c r="A313" s="3" t="inlineStr">
        <is>
          <t>https://codesommet.com/tools/eeat-signals-checker</t>
        </is>
      </c>
      <c r="B313" s="5" t="inlineStr">
        <is>
          <t>Vérificateur de Signaux E-E-A-T Gratuit</t>
        </is>
      </c>
      <c r="C313" t="inlineStr">
        <is>
          <t>France</t>
        </is>
      </c>
      <c r="D313" t="inlineStr">
        <is>
          <t>fr</t>
        </is>
      </c>
      <c r="E313" t="inlineStr">
        <is>
          <t>SECONDARY</t>
        </is>
      </c>
      <c r="F313" t="inlineStr">
        <is>
          <t>eeat seo</t>
        </is>
      </c>
      <c r="G313" t="n">
        <v>260</v>
      </c>
      <c r="H313" t="n">
        <v>30</v>
      </c>
      <c r="I313" t="n">
        <v>0</v>
      </c>
      <c r="J313" t="inlineStr">
        <is>
          <t>Informational</t>
        </is>
      </c>
      <c r="K313" t="inlineStr">
        <is>
          <t>MEASURED</t>
        </is>
      </c>
      <c r="L313" t="inlineStr">
        <is>
          <t>P3</t>
        </is>
      </c>
      <c r="M313" t="n">
        <v>85</v>
      </c>
      <c r="N313">
        <f>ROUND(IF(IF(J313="NOT AVAILABLE","",J313)="",12,IF(OR(ISNUMBER(SEARCH("Transactional",IF(J313="NOT AVAILABLE","",J313))),ISNUMBER(SEARCH("Commercial",IF(J313="NOT AVAILABLE","",J313)))),25,IF(ISNUMBER(SEARCH("Informational",IF(J313="NOT AVAILABLE","",J313))),10,IF(ISNUMBER(SEARCH("Navigational",IF(J313="NOT AVAILABLE","",J313))),0,12))))+IF(ISNUMBER(G313),MIN(30,ROUND(30*LOG10(G313+1)/4,1)),0)+IF(ISNUMBER(H313),ROUND(25*(100-H313)/100,1),12.5)+14,0)</f>
        <v/>
      </c>
      <c r="O313">
        <f>ROUND(N313*M313/100,0)</f>
        <v/>
      </c>
      <c r="P313" s="5" t="inlineStr">
        <is>
          <t>Measured variant of the tool task</t>
        </is>
      </c>
      <c r="Q313" s="5" t="inlineStr">
        <is>
          <t>None detected</t>
        </is>
      </c>
    </row>
    <row r="314">
      <c r="A314" s="3" t="inlineStr">
        <is>
          <t>https://codesommet.com/tools/eeat-signals-checker</t>
        </is>
      </c>
      <c r="B314" s="5" t="inlineStr">
        <is>
          <t>Vérificateur de Signaux E-E-A-T Gratuit</t>
        </is>
      </c>
      <c r="C314" t="inlineStr">
        <is>
          <t>Morocco</t>
        </is>
      </c>
      <c r="D314" t="inlineStr">
        <is>
          <t>ma</t>
        </is>
      </c>
      <c r="E314" t="inlineStr">
        <is>
          <t>SUPPORTING</t>
        </is>
      </c>
      <c r="F314" t="inlineStr">
        <is>
          <t>eeat</t>
        </is>
      </c>
      <c r="G314" t="n">
        <v>20</v>
      </c>
      <c r="H314" t="inlineStr">
        <is>
          <t>NOT AVAILABLE</t>
        </is>
      </c>
      <c r="I314" t="n">
        <v>0</v>
      </c>
      <c r="J314" t="inlineStr">
        <is>
          <t>NOT AVAILABLE</t>
        </is>
      </c>
      <c r="K314" t="inlineStr">
        <is>
          <t>MEASURED</t>
        </is>
      </c>
      <c r="L314" t="inlineStr">
        <is>
          <t>P3</t>
        </is>
      </c>
      <c r="M314" t="n">
        <v>65</v>
      </c>
      <c r="N314">
        <f>ROUND(IF(IF(J314="NOT AVAILABLE","",J314)="",12,IF(OR(ISNUMBER(SEARCH("Transactional",IF(J314="NOT AVAILABLE","",J314))),ISNUMBER(SEARCH("Commercial",IF(J314="NOT AVAILABLE","",J314)))),25,IF(ISNUMBER(SEARCH("Informational",IF(J314="NOT AVAILABLE","",J314))),10,IF(ISNUMBER(SEARCH("Navigational",IF(J314="NOT AVAILABLE","",J314))),0,12))))+IF(ISNUMBER(G314),MIN(30,ROUND(30*LOG10(G314+1)/4,1)),0)+IF(ISNUMBER(H314),ROUND(25*(100-H314)/100,1),12.5)+20,0)</f>
        <v/>
      </c>
      <c r="O314">
        <f>ROUND(N314*M314/100,0)</f>
        <v/>
      </c>
      <c r="P314" s="5" t="inlineStr">
        <is>
          <t>Measured variant of the tool task (MA market)</t>
        </is>
      </c>
      <c r="Q314" s="5" t="inlineStr">
        <is>
          <t>None detected</t>
        </is>
      </c>
    </row>
    <row r="315">
      <c r="A315" s="3" t="inlineStr">
        <is>
          <t>https://codesommet.com/tools/expired-domain-checker</t>
        </is>
      </c>
      <c r="B315" s="5" t="inlineStr">
        <is>
          <t>Vérificateur de Domaines Expirés (RDAP)</t>
        </is>
      </c>
      <c r="C315" t="inlineStr">
        <is>
          <t>France</t>
        </is>
      </c>
      <c r="D315" t="inlineStr">
        <is>
          <t>fr</t>
        </is>
      </c>
      <c r="E315" t="inlineStr">
        <is>
          <t>PRIMARY</t>
        </is>
      </c>
      <c r="F315" t="inlineStr">
        <is>
          <t>nom de domaine expiré</t>
        </is>
      </c>
      <c r="G315" t="n">
        <v>170</v>
      </c>
      <c r="H315" t="n">
        <v>19</v>
      </c>
      <c r="I315" t="n">
        <v>1.56</v>
      </c>
      <c r="J315" t="inlineStr">
        <is>
          <t>Informational</t>
        </is>
      </c>
      <c r="K315" t="inlineStr">
        <is>
          <t>MEASURED</t>
        </is>
      </c>
      <c r="L315" t="inlineStr">
        <is>
          <t>P3</t>
        </is>
      </c>
      <c r="M315" t="n">
        <v>100</v>
      </c>
      <c r="N315">
        <f>ROUND(IF(IF(J315="NOT AVAILABLE","",J315)="",12,IF(OR(ISNUMBER(SEARCH("Transactional",IF(J315="NOT AVAILABLE","",J315))),ISNUMBER(SEARCH("Commercial",IF(J315="NOT AVAILABLE","",J315)))),25,IF(ISNUMBER(SEARCH("Informational",IF(J315="NOT AVAILABLE","",J315))),10,IF(ISNUMBER(SEARCH("Navigational",IF(J315="NOT AVAILABLE","",J315))),0,12))))+IF(ISNUMBER(G315),MIN(30,ROUND(30*LOG10(G315+1)/4,1)),0)+IF(ISNUMBER(H315),ROUND(25*(100-H315)/100,1),12.5)+14,0)</f>
        <v/>
      </c>
      <c r="O315">
        <f>ROUND(N315*M315/100,0)</f>
        <v/>
      </c>
      <c r="P315" s="5" t="inlineStr">
        <is>
          <t>Best-fitting measured FR query for the tool task (tools serve the francophone market; FR db used as proxy)</t>
        </is>
      </c>
      <c r="Q315" s="5" t="inlineStr">
        <is>
          <t>None detected</t>
        </is>
      </c>
    </row>
    <row r="316">
      <c r="A316" s="3" t="inlineStr">
        <is>
          <t>https://codesommet.com/tools/expired-domain-checker</t>
        </is>
      </c>
      <c r="B316" s="5" t="inlineStr">
        <is>
          <t>Vérificateur de Domaines Expirés (RDAP)</t>
        </is>
      </c>
      <c r="C316" t="inlineStr">
        <is>
          <t>Morocco</t>
        </is>
      </c>
      <c r="D316" t="inlineStr">
        <is>
          <t>ma</t>
        </is>
      </c>
      <c r="E316" t="inlineStr">
        <is>
          <t>SECONDARY</t>
        </is>
      </c>
      <c r="F316" t="inlineStr">
        <is>
          <t>nom de domaine expiré</t>
        </is>
      </c>
      <c r="G316" t="n">
        <v>20</v>
      </c>
      <c r="H316" t="inlineStr">
        <is>
          <t>NOT AVAILABLE</t>
        </is>
      </c>
      <c r="I316" t="n">
        <v>0</v>
      </c>
      <c r="J316" t="inlineStr">
        <is>
          <t>NOT AVAILABLE</t>
        </is>
      </c>
      <c r="K316" t="inlineStr">
        <is>
          <t>MEASURED</t>
        </is>
      </c>
      <c r="L316" t="inlineStr">
        <is>
          <t>P3</t>
        </is>
      </c>
      <c r="M316" t="n">
        <v>85</v>
      </c>
      <c r="N316">
        <f>ROUND(IF(IF(J316="NOT AVAILABLE","",J316)="",12,IF(OR(ISNUMBER(SEARCH("Transactional",IF(J316="NOT AVAILABLE","",J316))),ISNUMBER(SEARCH("Commercial",IF(J316="NOT AVAILABLE","",J316)))),25,IF(ISNUMBER(SEARCH("Informational",IF(J316="NOT AVAILABLE","",J316))),10,IF(ISNUMBER(SEARCH("Navigational",IF(J316="NOT AVAILABLE","",J316))),0,12))))+IF(ISNUMBER(G316),MIN(30,ROUND(30*LOG10(G316+1)/4,1)),0)+IF(ISNUMBER(H316),ROUND(25*(100-H316)/100,1),12.5)+20,0)</f>
        <v/>
      </c>
      <c r="O316">
        <f>ROUND(N316*M316/100,0)</f>
        <v/>
      </c>
      <c r="P316" s="5" t="inlineStr">
        <is>
          <t>Same query, Moroccan market (separate database, never summed)</t>
        </is>
      </c>
      <c r="Q316" s="5" t="inlineStr">
        <is>
          <t>None detected</t>
        </is>
      </c>
    </row>
    <row r="317">
      <c r="A317" s="3" t="inlineStr">
        <is>
          <t>https://codesommet.com/tools/expired-domain-checker</t>
        </is>
      </c>
      <c r="B317" s="5" t="inlineStr">
        <is>
          <t>Vérificateur de Domaines Expirés (RDAP)</t>
        </is>
      </c>
      <c r="C317" t="inlineStr">
        <is>
          <t>France</t>
        </is>
      </c>
      <c r="D317" t="inlineStr">
        <is>
          <t>fr</t>
        </is>
      </c>
      <c r="E317" t="inlineStr">
        <is>
          <t>SUPPORTING</t>
        </is>
      </c>
      <c r="F317" t="inlineStr">
        <is>
          <t>domaine expiré</t>
        </is>
      </c>
      <c r="G317" t="n">
        <v>90</v>
      </c>
      <c r="H317" t="n">
        <v>19</v>
      </c>
      <c r="I317" t="n">
        <v>1.22</v>
      </c>
      <c r="J317" t="inlineStr">
        <is>
          <t>Informational</t>
        </is>
      </c>
      <c r="K317" t="inlineStr">
        <is>
          <t>MEASURED</t>
        </is>
      </c>
      <c r="L317" t="inlineStr">
        <is>
          <t>P3</t>
        </is>
      </c>
      <c r="M317" t="n">
        <v>65</v>
      </c>
      <c r="N317">
        <f>ROUND(IF(IF(J317="NOT AVAILABLE","",J317)="",12,IF(OR(ISNUMBER(SEARCH("Transactional",IF(J317="NOT AVAILABLE","",J317))),ISNUMBER(SEARCH("Commercial",IF(J317="NOT AVAILABLE","",J317)))),25,IF(ISNUMBER(SEARCH("Informational",IF(J317="NOT AVAILABLE","",J317))),10,IF(ISNUMBER(SEARCH("Navigational",IF(J317="NOT AVAILABLE","",J317))),0,12))))+IF(ISNUMBER(G317),MIN(30,ROUND(30*LOG10(G317+1)/4,1)),0)+IF(ISNUMBER(H317),ROUND(25*(100-H317)/100,1),12.5)+14,0)</f>
        <v/>
      </c>
      <c r="O317">
        <f>ROUND(N317*M317/100,0)</f>
        <v/>
      </c>
      <c r="P317" s="5" t="inlineStr">
        <is>
          <t>Measured variant of the tool task</t>
        </is>
      </c>
      <c r="Q317" s="5" t="inlineStr">
        <is>
          <t>None detected</t>
        </is>
      </c>
    </row>
    <row r="318">
      <c r="A318" s="3" t="inlineStr">
        <is>
          <t>https://codesommet.com/tools/expired-domain-checker</t>
        </is>
      </c>
      <c r="B318" s="5" t="inlineStr">
        <is>
          <t>Vérificateur de Domaines Expirés (RDAP)</t>
        </is>
      </c>
      <c r="C318" t="inlineStr">
        <is>
          <t>France</t>
        </is>
      </c>
      <c r="D318" t="inlineStr">
        <is>
          <t>fr</t>
        </is>
      </c>
      <c r="E318" t="inlineStr">
        <is>
          <t>SUPPORTING</t>
        </is>
      </c>
      <c r="F318" t="inlineStr">
        <is>
          <t>domaines expirés</t>
        </is>
      </c>
      <c r="G318" t="n">
        <v>40</v>
      </c>
      <c r="H318" t="inlineStr">
        <is>
          <t>NOT AVAILABLE</t>
        </is>
      </c>
      <c r="I318" t="n">
        <v>1.21</v>
      </c>
      <c r="J318" t="inlineStr">
        <is>
          <t>NOT AVAILABLE</t>
        </is>
      </c>
      <c r="K318" t="inlineStr">
        <is>
          <t>MEASURED</t>
        </is>
      </c>
      <c r="L318" t="inlineStr">
        <is>
          <t>P3</t>
        </is>
      </c>
      <c r="M318" t="n">
        <v>65</v>
      </c>
      <c r="N318">
        <f>ROUND(IF(IF(J318="NOT AVAILABLE","",J318)="",12,IF(OR(ISNUMBER(SEARCH("Transactional",IF(J318="NOT AVAILABLE","",J318))),ISNUMBER(SEARCH("Commercial",IF(J318="NOT AVAILABLE","",J318)))),25,IF(ISNUMBER(SEARCH("Informational",IF(J318="NOT AVAILABLE","",J318))),10,IF(ISNUMBER(SEARCH("Navigational",IF(J318="NOT AVAILABLE","",J318))),0,12))))+IF(ISNUMBER(G318),MIN(30,ROUND(30*LOG10(G318+1)/4,1)),0)+IF(ISNUMBER(H318),ROUND(25*(100-H318)/100,1),12.5)+14,0)</f>
        <v/>
      </c>
      <c r="O318">
        <f>ROUND(N318*M318/100,0)</f>
        <v/>
      </c>
      <c r="P318" s="5" t="inlineStr">
        <is>
          <t>Measured variant of the tool task</t>
        </is>
      </c>
      <c r="Q318" s="5" t="inlineStr">
        <is>
          <t>None detected</t>
        </is>
      </c>
    </row>
    <row r="319">
      <c r="A319" s="3" t="inlineStr">
        <is>
          <t>https://codesommet.com/tools/expired-domain-checker</t>
        </is>
      </c>
      <c r="B319" s="5" t="inlineStr">
        <is>
          <t>Vérificateur de Domaines Expirés (RDAP)</t>
        </is>
      </c>
      <c r="C319" t="inlineStr">
        <is>
          <t>Morocco</t>
        </is>
      </c>
      <c r="D319" t="inlineStr">
        <is>
          <t>ma</t>
        </is>
      </c>
      <c r="E319" t="inlineStr">
        <is>
          <t>SUPPORTING</t>
        </is>
      </c>
      <c r="F319" t="inlineStr">
        <is>
          <t>domaine expiré</t>
        </is>
      </c>
      <c r="G319" t="n">
        <v>20</v>
      </c>
      <c r="H319" t="inlineStr">
        <is>
          <t>NOT AVAILABLE</t>
        </is>
      </c>
      <c r="I319" t="n">
        <v>0</v>
      </c>
      <c r="J319" t="inlineStr">
        <is>
          <t>NOT AVAILABLE</t>
        </is>
      </c>
      <c r="K319" t="inlineStr">
        <is>
          <t>MEASURED</t>
        </is>
      </c>
      <c r="L319" t="inlineStr">
        <is>
          <t>P3</t>
        </is>
      </c>
      <c r="M319" t="n">
        <v>65</v>
      </c>
      <c r="N319">
        <f>ROUND(IF(IF(J319="NOT AVAILABLE","",J319)="",12,IF(OR(ISNUMBER(SEARCH("Transactional",IF(J319="NOT AVAILABLE","",J319))),ISNUMBER(SEARCH("Commercial",IF(J319="NOT AVAILABLE","",J319)))),25,IF(ISNUMBER(SEARCH("Informational",IF(J319="NOT AVAILABLE","",J319))),10,IF(ISNUMBER(SEARCH("Navigational",IF(J319="NOT AVAILABLE","",J319))),0,12))))+IF(ISNUMBER(G319),MIN(30,ROUND(30*LOG10(G319+1)/4,1)),0)+IF(ISNUMBER(H319),ROUND(25*(100-H319)/100,1),12.5)+20,0)</f>
        <v/>
      </c>
      <c r="O319">
        <f>ROUND(N319*M319/100,0)</f>
        <v/>
      </c>
      <c r="P319" s="5" t="inlineStr">
        <is>
          <t>Measured variant of the tool task (MA market)</t>
        </is>
      </c>
      <c r="Q319" s="5" t="inlineStr">
        <is>
          <t>None detected</t>
        </is>
      </c>
    </row>
    <row r="320">
      <c r="A320" s="3" t="inlineStr">
        <is>
          <t>https://codesommet.com/tools/expired-domain-checker</t>
        </is>
      </c>
      <c r="B320" s="5" t="inlineStr">
        <is>
          <t>Vérificateur de Domaines Expirés (RDAP)</t>
        </is>
      </c>
      <c r="C320" t="inlineStr">
        <is>
          <t>Morocco</t>
        </is>
      </c>
      <c r="D320" t="inlineStr">
        <is>
          <t>ma</t>
        </is>
      </c>
      <c r="E320" t="inlineStr">
        <is>
          <t>SUPPORTING</t>
        </is>
      </c>
      <c r="F320" t="inlineStr">
        <is>
          <t>domaines expirés</t>
        </is>
      </c>
      <c r="G320" t="n">
        <v>20</v>
      </c>
      <c r="H320" t="inlineStr">
        <is>
          <t>NOT AVAILABLE</t>
        </is>
      </c>
      <c r="I320" t="n">
        <v>0</v>
      </c>
      <c r="J320" t="inlineStr">
        <is>
          <t>NOT AVAILABLE</t>
        </is>
      </c>
      <c r="K320" t="inlineStr">
        <is>
          <t>MEASURED</t>
        </is>
      </c>
      <c r="L320" t="inlineStr">
        <is>
          <t>P3</t>
        </is>
      </c>
      <c r="M320" t="n">
        <v>65</v>
      </c>
      <c r="N320">
        <f>ROUND(IF(IF(J320="NOT AVAILABLE","",J320)="",12,IF(OR(ISNUMBER(SEARCH("Transactional",IF(J320="NOT AVAILABLE","",J320))),ISNUMBER(SEARCH("Commercial",IF(J320="NOT AVAILABLE","",J320)))),25,IF(ISNUMBER(SEARCH("Informational",IF(J320="NOT AVAILABLE","",J320))),10,IF(ISNUMBER(SEARCH("Navigational",IF(J320="NOT AVAILABLE","",J320))),0,12))))+IF(ISNUMBER(G320),MIN(30,ROUND(30*LOG10(G320+1)/4,1)),0)+IF(ISNUMBER(H320),ROUND(25*(100-H320)/100,1),12.5)+20,0)</f>
        <v/>
      </c>
      <c r="O320">
        <f>ROUND(N320*M320/100,0)</f>
        <v/>
      </c>
      <c r="P320" s="5" t="inlineStr">
        <is>
          <t>Measured variant of the tool task (MA market)</t>
        </is>
      </c>
      <c r="Q320" s="5" t="inlineStr">
        <is>
          <t>None detected</t>
        </is>
      </c>
    </row>
    <row r="321">
      <c r="A321" s="3" t="inlineStr">
        <is>
          <t>https://codesommet.com/tools/faq-schema-generator</t>
        </is>
      </c>
      <c r="B321" s="5" t="inlineStr">
        <is>
          <t>Générateur de Schéma FAQ JSON-LD Gratuit</t>
        </is>
      </c>
      <c r="C321" t="inlineStr">
        <is>
          <t>France</t>
        </is>
      </c>
      <c r="D321" t="inlineStr">
        <is>
          <t>fr</t>
        </is>
      </c>
      <c r="E321" t="inlineStr">
        <is>
          <t>PRIMARY</t>
        </is>
      </c>
      <c r="F321" t="inlineStr">
        <is>
          <t>faq schema</t>
        </is>
      </c>
      <c r="G321" t="n">
        <v>50</v>
      </c>
      <c r="H321" t="inlineStr">
        <is>
          <t>NOT AVAILABLE</t>
        </is>
      </c>
      <c r="I321" t="n">
        <v>0</v>
      </c>
      <c r="J321" t="inlineStr">
        <is>
          <t>NOT AVAILABLE</t>
        </is>
      </c>
      <c r="K321" t="inlineStr">
        <is>
          <t>MEASURED</t>
        </is>
      </c>
      <c r="L321" t="inlineStr">
        <is>
          <t>P3</t>
        </is>
      </c>
      <c r="M321" t="n">
        <v>100</v>
      </c>
      <c r="N321">
        <f>ROUND(IF(IF(J321="NOT AVAILABLE","",J321)="",12,IF(OR(ISNUMBER(SEARCH("Transactional",IF(J321="NOT AVAILABLE","",J321))),ISNUMBER(SEARCH("Commercial",IF(J321="NOT AVAILABLE","",J321)))),25,IF(ISNUMBER(SEARCH("Informational",IF(J321="NOT AVAILABLE","",J321))),10,IF(ISNUMBER(SEARCH("Navigational",IF(J321="NOT AVAILABLE","",J321))),0,12))))+IF(ISNUMBER(G321),MIN(30,ROUND(30*LOG10(G321+1)/4,1)),0)+IF(ISNUMBER(H321),ROUND(25*(100-H321)/100,1),12.5)+14,0)</f>
        <v/>
      </c>
      <c r="O321">
        <f>ROUND(N321*M321/100,0)</f>
        <v/>
      </c>
      <c r="P321" s="5" t="inlineStr">
        <is>
          <t>Best-fitting measured FR query for the tool task (tools serve the francophone market; FR db used as proxy)</t>
        </is>
      </c>
      <c r="Q321" s="5" t="inlineStr">
        <is>
          <t>None detected</t>
        </is>
      </c>
    </row>
    <row r="322">
      <c r="A322" s="3" t="inlineStr">
        <is>
          <t>https://codesommet.com/tools/faq-schema-generator</t>
        </is>
      </c>
      <c r="B322" s="5" t="inlineStr">
        <is>
          <t>Générateur de Schéma FAQ JSON-LD Gratuit</t>
        </is>
      </c>
      <c r="C322" t="inlineStr">
        <is>
          <t>Morocco</t>
        </is>
      </c>
      <c r="D322" t="inlineStr">
        <is>
          <t>ma</t>
        </is>
      </c>
      <c r="E322" t="inlineStr">
        <is>
          <t>SECONDARY</t>
        </is>
      </c>
      <c r="F322" t="inlineStr">
        <is>
          <t>faq schema</t>
        </is>
      </c>
      <c r="G322" t="n">
        <v>20</v>
      </c>
      <c r="H322" t="inlineStr">
        <is>
          <t>NOT AVAILABLE</t>
        </is>
      </c>
      <c r="I322" t="n">
        <v>0</v>
      </c>
      <c r="J322" t="inlineStr">
        <is>
          <t>NOT AVAILABLE</t>
        </is>
      </c>
      <c r="K322" t="inlineStr">
        <is>
          <t>MEASURED</t>
        </is>
      </c>
      <c r="L322" t="inlineStr">
        <is>
          <t>P3</t>
        </is>
      </c>
      <c r="M322" t="n">
        <v>85</v>
      </c>
      <c r="N322">
        <f>ROUND(IF(IF(J322="NOT AVAILABLE","",J322)="",12,IF(OR(ISNUMBER(SEARCH("Transactional",IF(J322="NOT AVAILABLE","",J322))),ISNUMBER(SEARCH("Commercial",IF(J322="NOT AVAILABLE","",J322)))),25,IF(ISNUMBER(SEARCH("Informational",IF(J322="NOT AVAILABLE","",J322))),10,IF(ISNUMBER(SEARCH("Navigational",IF(J322="NOT AVAILABLE","",J322))),0,12))))+IF(ISNUMBER(G322),MIN(30,ROUND(30*LOG10(G322+1)/4,1)),0)+IF(ISNUMBER(H322),ROUND(25*(100-H322)/100,1),12.5)+20,0)</f>
        <v/>
      </c>
      <c r="O322">
        <f>ROUND(N322*M322/100,0)</f>
        <v/>
      </c>
      <c r="P322" s="5" t="inlineStr">
        <is>
          <t>Same query, Moroccan market (separate database, never summed)</t>
        </is>
      </c>
      <c r="Q322" s="5" t="inlineStr">
        <is>
          <t>None detected</t>
        </is>
      </c>
    </row>
    <row r="323">
      <c r="A323" s="3" t="inlineStr">
        <is>
          <t>https://codesommet.com/tools/faq-schema-generator</t>
        </is>
      </c>
      <c r="B323" s="5" t="inlineStr">
        <is>
          <t>Générateur de Schéma FAQ JSON-LD Gratuit</t>
        </is>
      </c>
      <c r="C323" t="inlineStr">
        <is>
          <t>France</t>
        </is>
      </c>
      <c r="D323" t="inlineStr">
        <is>
          <t>fr</t>
        </is>
      </c>
      <c r="E323" t="inlineStr">
        <is>
          <t>SUPPORTING</t>
        </is>
      </c>
      <c r="F323" t="inlineStr">
        <is>
          <t>schema faq</t>
        </is>
      </c>
      <c r="G323" t="n">
        <v>20</v>
      </c>
      <c r="H323" t="inlineStr">
        <is>
          <t>NOT AVAILABLE</t>
        </is>
      </c>
      <c r="I323" t="n">
        <v>0</v>
      </c>
      <c r="J323" t="inlineStr">
        <is>
          <t>NOT AVAILABLE</t>
        </is>
      </c>
      <c r="K323" t="inlineStr">
        <is>
          <t>MEASURED</t>
        </is>
      </c>
      <c r="L323" t="inlineStr">
        <is>
          <t>P3</t>
        </is>
      </c>
      <c r="M323" t="n">
        <v>65</v>
      </c>
      <c r="N323">
        <f>ROUND(IF(IF(J323="NOT AVAILABLE","",J323)="",12,IF(OR(ISNUMBER(SEARCH("Transactional",IF(J323="NOT AVAILABLE","",J323))),ISNUMBER(SEARCH("Commercial",IF(J323="NOT AVAILABLE","",J323)))),25,IF(ISNUMBER(SEARCH("Informational",IF(J323="NOT AVAILABLE","",J323))),10,IF(ISNUMBER(SEARCH("Navigational",IF(J323="NOT AVAILABLE","",J323))),0,12))))+IF(ISNUMBER(G323),MIN(30,ROUND(30*LOG10(G323+1)/4,1)),0)+IF(ISNUMBER(H323),ROUND(25*(100-H323)/100,1),12.5)+14,0)</f>
        <v/>
      </c>
      <c r="O323">
        <f>ROUND(N323*M323/100,0)</f>
        <v/>
      </c>
      <c r="P323" s="5" t="inlineStr">
        <is>
          <t>Measured variant of the tool task</t>
        </is>
      </c>
      <c r="Q323" s="5" t="inlineStr">
        <is>
          <t>None detected</t>
        </is>
      </c>
    </row>
    <row r="324">
      <c r="A324" s="3" t="inlineStr">
        <is>
          <t>https://codesommet.com/tools/faq-schema-generator</t>
        </is>
      </c>
      <c r="B324" s="5" t="inlineStr">
        <is>
          <t>Générateur de Schéma FAQ JSON-LD Gratuit</t>
        </is>
      </c>
      <c r="C324" t="inlineStr">
        <is>
          <t>Morocco</t>
        </is>
      </c>
      <c r="D324" t="inlineStr">
        <is>
          <t>ma</t>
        </is>
      </c>
      <c r="E324" t="inlineStr">
        <is>
          <t>SUPPORTING</t>
        </is>
      </c>
      <c r="F324" t="inlineStr">
        <is>
          <t>schema faq</t>
        </is>
      </c>
      <c r="G324" t="n">
        <v>20</v>
      </c>
      <c r="H324" t="inlineStr">
        <is>
          <t>NOT AVAILABLE</t>
        </is>
      </c>
      <c r="I324" t="n">
        <v>0</v>
      </c>
      <c r="J324" t="inlineStr">
        <is>
          <t>NOT AVAILABLE</t>
        </is>
      </c>
      <c r="K324" t="inlineStr">
        <is>
          <t>MEASURED</t>
        </is>
      </c>
      <c r="L324" t="inlineStr">
        <is>
          <t>P3</t>
        </is>
      </c>
      <c r="M324" t="n">
        <v>65</v>
      </c>
      <c r="N324">
        <f>ROUND(IF(IF(J324="NOT AVAILABLE","",J324)="",12,IF(OR(ISNUMBER(SEARCH("Transactional",IF(J324="NOT AVAILABLE","",J324))),ISNUMBER(SEARCH("Commercial",IF(J324="NOT AVAILABLE","",J324)))),25,IF(ISNUMBER(SEARCH("Informational",IF(J324="NOT AVAILABLE","",J324))),10,IF(ISNUMBER(SEARCH("Navigational",IF(J324="NOT AVAILABLE","",J324))),0,12))))+IF(ISNUMBER(G324),MIN(30,ROUND(30*LOG10(G324+1)/4,1)),0)+IF(ISNUMBER(H324),ROUND(25*(100-H324)/100,1),12.5)+20,0)</f>
        <v/>
      </c>
      <c r="O324">
        <f>ROUND(N324*M324/100,0)</f>
        <v/>
      </c>
      <c r="P324" s="5" t="inlineStr">
        <is>
          <t>Measured variant of the tool task (MA market)</t>
        </is>
      </c>
      <c r="Q324" s="5" t="inlineStr">
        <is>
          <t>None detected</t>
        </is>
      </c>
    </row>
    <row r="325">
      <c r="A325" s="3" t="inlineStr">
        <is>
          <t>https://codesommet.com/tools/faq-schema-generator</t>
        </is>
      </c>
      <c r="B325" s="5" t="inlineStr">
        <is>
          <t>Générateur de Schéma FAQ JSON-LD Gratuit</t>
        </is>
      </c>
      <c r="C325" t="inlineStr">
        <is>
          <t>France</t>
        </is>
      </c>
      <c r="D325" t="inlineStr">
        <is>
          <t>fr</t>
        </is>
      </c>
      <c r="E325" t="inlineStr">
        <is>
          <t>SUPPORTING</t>
        </is>
      </c>
      <c r="F325" t="inlineStr">
        <is>
          <t>faqpage schema</t>
        </is>
      </c>
      <c r="G325" t="n">
        <v>20</v>
      </c>
      <c r="H325" t="inlineStr">
        <is>
          <t>NOT AVAILABLE</t>
        </is>
      </c>
      <c r="I325" t="n">
        <v>0</v>
      </c>
      <c r="J325" t="inlineStr">
        <is>
          <t>NOT AVAILABLE</t>
        </is>
      </c>
      <c r="K325" t="inlineStr">
        <is>
          <t>MEASURED</t>
        </is>
      </c>
      <c r="L325" t="inlineStr">
        <is>
          <t>P3</t>
        </is>
      </c>
      <c r="M325" t="n">
        <v>65</v>
      </c>
      <c r="N325">
        <f>ROUND(IF(IF(J325="NOT AVAILABLE","",J325)="",12,IF(OR(ISNUMBER(SEARCH("Transactional",IF(J325="NOT AVAILABLE","",J325))),ISNUMBER(SEARCH("Commercial",IF(J325="NOT AVAILABLE","",J325)))),25,IF(ISNUMBER(SEARCH("Informational",IF(J325="NOT AVAILABLE","",J325))),10,IF(ISNUMBER(SEARCH("Navigational",IF(J325="NOT AVAILABLE","",J325))),0,12))))+IF(ISNUMBER(G325),MIN(30,ROUND(30*LOG10(G325+1)/4,1)),0)+IF(ISNUMBER(H325),ROUND(25*(100-H325)/100,1),12.5)+14,0)</f>
        <v/>
      </c>
      <c r="O325">
        <f>ROUND(N325*M325/100,0)</f>
        <v/>
      </c>
      <c r="P325" s="5" t="inlineStr">
        <is>
          <t>Measured variant of the tool task</t>
        </is>
      </c>
      <c r="Q325" s="5" t="inlineStr">
        <is>
          <t>None detected</t>
        </is>
      </c>
    </row>
    <row r="326">
      <c r="A326" s="3" t="inlineStr">
        <is>
          <t>https://codesommet.com/tools/faq-schema-generator</t>
        </is>
      </c>
      <c r="B326" s="5" t="inlineStr">
        <is>
          <t>Générateur de Schéma FAQ JSON-LD Gratuit</t>
        </is>
      </c>
      <c r="C326" t="inlineStr">
        <is>
          <t>France</t>
        </is>
      </c>
      <c r="D326" t="inlineStr">
        <is>
          <t>fr</t>
        </is>
      </c>
      <c r="E326" t="inlineStr">
        <is>
          <t>OPTIONAL</t>
        </is>
      </c>
      <c r="F326" t="inlineStr">
        <is>
          <t>générateur schema faq</t>
        </is>
      </c>
      <c r="G326" t="inlineStr">
        <is>
          <t>NOT AVAILABLE</t>
        </is>
      </c>
      <c r="H326" t="inlineStr">
        <is>
          <t>NOT AVAILABLE</t>
        </is>
      </c>
      <c r="I326" t="inlineStr">
        <is>
          <t>NOT AVAILABLE</t>
        </is>
      </c>
      <c r="J326" t="inlineStr">
        <is>
          <t>NOT AVAILABLE</t>
        </is>
      </c>
      <c r="K326" t="inlineStr">
        <is>
          <t>UNAVAILABLE</t>
        </is>
      </c>
      <c r="L326" t="inlineStr">
        <is>
          <t>P4</t>
        </is>
      </c>
      <c r="M326" t="n">
        <v>45</v>
      </c>
      <c r="N326">
        <f>ROUND(IF(IF(J326="NOT AVAILABLE","",J326)="",12,IF(OR(ISNUMBER(SEARCH("Transactional",IF(J326="NOT AVAILABLE","",J326))),ISNUMBER(SEARCH("Commercial",IF(J326="NOT AVAILABLE","",J326)))),25,IF(ISNUMBER(SEARCH("Informational",IF(J326="NOT AVAILABLE","",J326))),10,IF(ISNUMBER(SEARCH("Navigational",IF(J326="NOT AVAILABLE","",J326))),0,12))))+IF(ISNUMBER(G326),MIN(30,ROUND(30*LOG10(G326+1)/4,1)),0)+IF(ISNUMBER(H326),ROUND(25*(100-H326)/100,1),12.5)+14,0)</f>
        <v/>
      </c>
      <c r="O326">
        <f>ROUND(N326*M326/100,0)</f>
        <v/>
      </c>
      <c r="P326" s="5" t="inlineStr">
        <is>
          <t>Queried - Semrush returned no data or zero volume; usable as natural wording only</t>
        </is>
      </c>
      <c r="Q326" s="5" t="inlineStr">
        <is>
          <t>None detected</t>
        </is>
      </c>
    </row>
    <row r="327">
      <c r="A327" s="3" t="inlineStr">
        <is>
          <t>https://codesommet.com/tools/heading-analyzer</t>
        </is>
      </c>
      <c r="B327" s="5" t="inlineStr">
        <is>
          <t>Analyseur de Titres H1-H6 : Outil SEO</t>
        </is>
      </c>
      <c r="C327" t="inlineStr">
        <is>
          <t>France</t>
        </is>
      </c>
      <c r="D327" t="inlineStr">
        <is>
          <t>fr</t>
        </is>
      </c>
      <c r="E327" t="inlineStr">
        <is>
          <t>PRIMARY</t>
        </is>
      </c>
      <c r="F327" t="inlineStr">
        <is>
          <t>balise h1</t>
        </is>
      </c>
      <c r="G327" t="n">
        <v>390</v>
      </c>
      <c r="H327" t="n">
        <v>18</v>
      </c>
      <c r="I327" t="n">
        <v>0</v>
      </c>
      <c r="J327" t="inlineStr">
        <is>
          <t>Informational</t>
        </is>
      </c>
      <c r="K327" t="inlineStr">
        <is>
          <t>MEASURED</t>
        </is>
      </c>
      <c r="L327" t="inlineStr">
        <is>
          <t>P3</t>
        </is>
      </c>
      <c r="M327" t="n">
        <v>100</v>
      </c>
      <c r="N327">
        <f>ROUND(IF(IF(J327="NOT AVAILABLE","",J327)="",12,IF(OR(ISNUMBER(SEARCH("Transactional",IF(J327="NOT AVAILABLE","",J327))),ISNUMBER(SEARCH("Commercial",IF(J327="NOT AVAILABLE","",J327)))),25,IF(ISNUMBER(SEARCH("Informational",IF(J327="NOT AVAILABLE","",J327))),10,IF(ISNUMBER(SEARCH("Navigational",IF(J327="NOT AVAILABLE","",J327))),0,12))))+IF(ISNUMBER(G327),MIN(30,ROUND(30*LOG10(G327+1)/4,1)),0)+IF(ISNUMBER(H327),ROUND(25*(100-H327)/100,1),12.5)+14,0)</f>
        <v/>
      </c>
      <c r="O327">
        <f>ROUND(N327*M327/100,0)</f>
        <v/>
      </c>
      <c r="P327" s="5" t="inlineStr">
        <is>
          <t>Best-fitting measured FR query for the tool task (tools serve the francophone market; FR db used as proxy)</t>
        </is>
      </c>
      <c r="Q327" s="5" t="inlineStr">
        <is>
          <t>None detected</t>
        </is>
      </c>
    </row>
    <row r="328">
      <c r="A328" s="3" t="inlineStr">
        <is>
          <t>https://codesommet.com/tools/heading-analyzer</t>
        </is>
      </c>
      <c r="B328" s="5" t="inlineStr">
        <is>
          <t>Analyseur de Titres H1-H6 : Outil SEO</t>
        </is>
      </c>
      <c r="C328" t="inlineStr">
        <is>
          <t>Morocco</t>
        </is>
      </c>
      <c r="D328" t="inlineStr">
        <is>
          <t>ma</t>
        </is>
      </c>
      <c r="E328" t="inlineStr">
        <is>
          <t>SECONDARY</t>
        </is>
      </c>
      <c r="F328" t="inlineStr">
        <is>
          <t>balise h1</t>
        </is>
      </c>
      <c r="G328" t="n">
        <v>20</v>
      </c>
      <c r="H328" t="inlineStr">
        <is>
          <t>NOT AVAILABLE</t>
        </is>
      </c>
      <c r="I328" t="n">
        <v>0</v>
      </c>
      <c r="J328" t="inlineStr">
        <is>
          <t>NOT AVAILABLE</t>
        </is>
      </c>
      <c r="K328" t="inlineStr">
        <is>
          <t>MEASURED</t>
        </is>
      </c>
      <c r="L328" t="inlineStr">
        <is>
          <t>P3</t>
        </is>
      </c>
      <c r="M328" t="n">
        <v>85</v>
      </c>
      <c r="N328">
        <f>ROUND(IF(IF(J328="NOT AVAILABLE","",J328)="",12,IF(OR(ISNUMBER(SEARCH("Transactional",IF(J328="NOT AVAILABLE","",J328))),ISNUMBER(SEARCH("Commercial",IF(J328="NOT AVAILABLE","",J328)))),25,IF(ISNUMBER(SEARCH("Informational",IF(J328="NOT AVAILABLE","",J328))),10,IF(ISNUMBER(SEARCH("Navigational",IF(J328="NOT AVAILABLE","",J328))),0,12))))+IF(ISNUMBER(G328),MIN(30,ROUND(30*LOG10(G328+1)/4,1)),0)+IF(ISNUMBER(H328),ROUND(25*(100-H328)/100,1),12.5)+20,0)</f>
        <v/>
      </c>
      <c r="O328">
        <f>ROUND(N328*M328/100,0)</f>
        <v/>
      </c>
      <c r="P328" s="5" t="inlineStr">
        <is>
          <t>Same query, Moroccan market (separate database, never summed)</t>
        </is>
      </c>
      <c r="Q328" s="5" t="inlineStr">
        <is>
          <t>None detected</t>
        </is>
      </c>
    </row>
    <row r="329">
      <c r="A329" s="3" t="inlineStr">
        <is>
          <t>https://codesommet.com/tools/heading-analyzer</t>
        </is>
      </c>
      <c r="B329" s="5" t="inlineStr">
        <is>
          <t>Analyseur de Titres H1-H6 : Outil SEO</t>
        </is>
      </c>
      <c r="C329" t="inlineStr">
        <is>
          <t>France</t>
        </is>
      </c>
      <c r="D329" t="inlineStr">
        <is>
          <t>fr</t>
        </is>
      </c>
      <c r="E329" t="inlineStr">
        <is>
          <t>SUPPORTING</t>
        </is>
      </c>
      <c r="F329" t="inlineStr">
        <is>
          <t>structure hn</t>
        </is>
      </c>
      <c r="G329" t="n">
        <v>70</v>
      </c>
      <c r="H329" t="n">
        <v>8</v>
      </c>
      <c r="I329" t="n">
        <v>0</v>
      </c>
      <c r="J329" t="inlineStr">
        <is>
          <t>Informational</t>
        </is>
      </c>
      <c r="K329" t="inlineStr">
        <is>
          <t>MEASURED</t>
        </is>
      </c>
      <c r="L329" t="inlineStr">
        <is>
          <t>P3</t>
        </is>
      </c>
      <c r="M329" t="n">
        <v>65</v>
      </c>
      <c r="N329">
        <f>ROUND(IF(IF(J329="NOT AVAILABLE","",J329)="",12,IF(OR(ISNUMBER(SEARCH("Transactional",IF(J329="NOT AVAILABLE","",J329))),ISNUMBER(SEARCH("Commercial",IF(J329="NOT AVAILABLE","",J329)))),25,IF(ISNUMBER(SEARCH("Informational",IF(J329="NOT AVAILABLE","",J329))),10,IF(ISNUMBER(SEARCH("Navigational",IF(J329="NOT AVAILABLE","",J329))),0,12))))+IF(ISNUMBER(G329),MIN(30,ROUND(30*LOG10(G329+1)/4,1)),0)+IF(ISNUMBER(H329),ROUND(25*(100-H329)/100,1),12.5)+14,0)</f>
        <v/>
      </c>
      <c r="O329">
        <f>ROUND(N329*M329/100,0)</f>
        <v/>
      </c>
      <c r="P329" s="5" t="inlineStr">
        <is>
          <t>Measured variant of the tool task</t>
        </is>
      </c>
      <c r="Q329" s="5" t="inlineStr">
        <is>
          <t>None detected</t>
        </is>
      </c>
    </row>
    <row r="330">
      <c r="A330" s="3" t="inlineStr">
        <is>
          <t>https://codesommet.com/tools/heading-analyzer</t>
        </is>
      </c>
      <c r="B330" s="5" t="inlineStr">
        <is>
          <t>Analyseur de Titres H1-H6 : Outil SEO</t>
        </is>
      </c>
      <c r="C330" t="inlineStr">
        <is>
          <t>France</t>
        </is>
      </c>
      <c r="D330" t="inlineStr">
        <is>
          <t>fr</t>
        </is>
      </c>
      <c r="E330" t="inlineStr">
        <is>
          <t>SUPPORTING</t>
        </is>
      </c>
      <c r="F330" t="inlineStr">
        <is>
          <t>balises hn seo</t>
        </is>
      </c>
      <c r="G330" t="n">
        <v>50</v>
      </c>
      <c r="H330" t="inlineStr">
        <is>
          <t>NOT AVAILABLE</t>
        </is>
      </c>
      <c r="I330" t="n">
        <v>0</v>
      </c>
      <c r="J330" t="inlineStr">
        <is>
          <t>NOT AVAILABLE</t>
        </is>
      </c>
      <c r="K330" t="inlineStr">
        <is>
          <t>MEASURED</t>
        </is>
      </c>
      <c r="L330" t="inlineStr">
        <is>
          <t>P3</t>
        </is>
      </c>
      <c r="M330" t="n">
        <v>65</v>
      </c>
      <c r="N330">
        <f>ROUND(IF(IF(J330="NOT AVAILABLE","",J330)="",12,IF(OR(ISNUMBER(SEARCH("Transactional",IF(J330="NOT AVAILABLE","",J330))),ISNUMBER(SEARCH("Commercial",IF(J330="NOT AVAILABLE","",J330)))),25,IF(ISNUMBER(SEARCH("Informational",IF(J330="NOT AVAILABLE","",J330))),10,IF(ISNUMBER(SEARCH("Navigational",IF(J330="NOT AVAILABLE","",J330))),0,12))))+IF(ISNUMBER(G330),MIN(30,ROUND(30*LOG10(G330+1)/4,1)),0)+IF(ISNUMBER(H330),ROUND(25*(100-H330)/100,1),12.5)+14,0)</f>
        <v/>
      </c>
      <c r="O330">
        <f>ROUND(N330*M330/100,0)</f>
        <v/>
      </c>
      <c r="P330" s="5" t="inlineStr">
        <is>
          <t>Measured variant of the tool task</t>
        </is>
      </c>
      <c r="Q330" s="5" t="inlineStr">
        <is>
          <t>None detected</t>
        </is>
      </c>
    </row>
    <row r="331">
      <c r="A331" s="3" t="inlineStr">
        <is>
          <t>https://codesommet.com/tools/heading-analyzer</t>
        </is>
      </c>
      <c r="B331" s="5" t="inlineStr">
        <is>
          <t>Analyseur de Titres H1-H6 : Outil SEO</t>
        </is>
      </c>
      <c r="C331" t="inlineStr">
        <is>
          <t>France</t>
        </is>
      </c>
      <c r="D331" t="inlineStr">
        <is>
          <t>fr</t>
        </is>
      </c>
      <c r="E331" t="inlineStr">
        <is>
          <t>OPTIONAL</t>
        </is>
      </c>
      <c r="F331" t="inlineStr">
        <is>
          <t>vérifier balises h1</t>
        </is>
      </c>
      <c r="G331" t="inlineStr">
        <is>
          <t>NOT AVAILABLE</t>
        </is>
      </c>
      <c r="H331" t="inlineStr">
        <is>
          <t>NOT AVAILABLE</t>
        </is>
      </c>
      <c r="I331" t="inlineStr">
        <is>
          <t>NOT AVAILABLE</t>
        </is>
      </c>
      <c r="J331" t="inlineStr">
        <is>
          <t>NOT AVAILABLE</t>
        </is>
      </c>
      <c r="K331" t="inlineStr">
        <is>
          <t>UNAVAILABLE</t>
        </is>
      </c>
      <c r="L331" t="inlineStr">
        <is>
          <t>P4</t>
        </is>
      </c>
      <c r="M331" t="n">
        <v>45</v>
      </c>
      <c r="N331">
        <f>ROUND(IF(IF(J331="NOT AVAILABLE","",J331)="",12,IF(OR(ISNUMBER(SEARCH("Transactional",IF(J331="NOT AVAILABLE","",J331))),ISNUMBER(SEARCH("Commercial",IF(J331="NOT AVAILABLE","",J331)))),25,IF(ISNUMBER(SEARCH("Informational",IF(J331="NOT AVAILABLE","",J331))),10,IF(ISNUMBER(SEARCH("Navigational",IF(J331="NOT AVAILABLE","",J331))),0,12))))+IF(ISNUMBER(G331),MIN(30,ROUND(30*LOG10(G331+1)/4,1)),0)+IF(ISNUMBER(H331),ROUND(25*(100-H331)/100,1),12.5)+14,0)</f>
        <v/>
      </c>
      <c r="O331">
        <f>ROUND(N331*M331/100,0)</f>
        <v/>
      </c>
      <c r="P331" s="5" t="inlineStr">
        <is>
          <t>Queried - Semrush returned no data or zero volume; usable as natural wording only</t>
        </is>
      </c>
      <c r="Q331" s="5" t="inlineStr">
        <is>
          <t>None detected</t>
        </is>
      </c>
    </row>
    <row r="332">
      <c r="A332" s="3" t="inlineStr">
        <is>
          <t>https://codesommet.com/tools/hreflang-generator</t>
        </is>
      </c>
      <c r="B332" s="5" t="inlineStr">
        <is>
          <t>Générateur de Balises Hreflang Gratuit</t>
        </is>
      </c>
      <c r="C332" t="inlineStr">
        <is>
          <t>France</t>
        </is>
      </c>
      <c r="D332" t="inlineStr">
        <is>
          <t>fr</t>
        </is>
      </c>
      <c r="E332" t="inlineStr">
        <is>
          <t>PRIMARY</t>
        </is>
      </c>
      <c r="F332" t="inlineStr">
        <is>
          <t>hreflang</t>
        </is>
      </c>
      <c r="G332" t="n">
        <v>880</v>
      </c>
      <c r="H332" t="n">
        <v>29</v>
      </c>
      <c r="I332" t="n">
        <v>1</v>
      </c>
      <c r="J332" t="inlineStr">
        <is>
          <t>Informational</t>
        </is>
      </c>
      <c r="K332" t="inlineStr">
        <is>
          <t>MEASURED</t>
        </is>
      </c>
      <c r="L332" t="inlineStr">
        <is>
          <t>P3</t>
        </is>
      </c>
      <c r="M332" t="n">
        <v>100</v>
      </c>
      <c r="N332">
        <f>ROUND(IF(IF(J332="NOT AVAILABLE","",J332)="",12,IF(OR(ISNUMBER(SEARCH("Transactional",IF(J332="NOT AVAILABLE","",J332))),ISNUMBER(SEARCH("Commercial",IF(J332="NOT AVAILABLE","",J332)))),25,IF(ISNUMBER(SEARCH("Informational",IF(J332="NOT AVAILABLE","",J332))),10,IF(ISNUMBER(SEARCH("Navigational",IF(J332="NOT AVAILABLE","",J332))),0,12))))+IF(ISNUMBER(G332),MIN(30,ROUND(30*LOG10(G332+1)/4,1)),0)+IF(ISNUMBER(H332),ROUND(25*(100-H332)/100,1),12.5)+14,0)</f>
        <v/>
      </c>
      <c r="O332">
        <f>ROUND(N332*M332/100,0)</f>
        <v/>
      </c>
      <c r="P332" s="5" t="inlineStr">
        <is>
          <t>Best-fitting measured FR query for the tool task (tools serve the francophone market; FR db used as proxy)</t>
        </is>
      </c>
      <c r="Q332" s="5" t="inlineStr">
        <is>
          <t>None detected</t>
        </is>
      </c>
    </row>
    <row r="333">
      <c r="A333" s="3" t="inlineStr">
        <is>
          <t>https://codesommet.com/tools/hreflang-generator</t>
        </is>
      </c>
      <c r="B333" s="5" t="inlineStr">
        <is>
          <t>Générateur de Balises Hreflang Gratuit</t>
        </is>
      </c>
      <c r="C333" t="inlineStr">
        <is>
          <t>France</t>
        </is>
      </c>
      <c r="D333" t="inlineStr">
        <is>
          <t>fr</t>
        </is>
      </c>
      <c r="E333" t="inlineStr">
        <is>
          <t>SECONDARY</t>
        </is>
      </c>
      <c r="F333" t="inlineStr">
        <is>
          <t>balise hreflang</t>
        </is>
      </c>
      <c r="G333" t="n">
        <v>140</v>
      </c>
      <c r="H333" t="n">
        <v>22</v>
      </c>
      <c r="I333" t="n">
        <v>0</v>
      </c>
      <c r="J333" t="inlineStr">
        <is>
          <t>Informational</t>
        </is>
      </c>
      <c r="K333" t="inlineStr">
        <is>
          <t>MEASURED</t>
        </is>
      </c>
      <c r="L333" t="inlineStr">
        <is>
          <t>P3</t>
        </is>
      </c>
      <c r="M333" t="n">
        <v>85</v>
      </c>
      <c r="N333">
        <f>ROUND(IF(IF(J333="NOT AVAILABLE","",J333)="",12,IF(OR(ISNUMBER(SEARCH("Transactional",IF(J333="NOT AVAILABLE","",J333))),ISNUMBER(SEARCH("Commercial",IF(J333="NOT AVAILABLE","",J333)))),25,IF(ISNUMBER(SEARCH("Informational",IF(J333="NOT AVAILABLE","",J333))),10,IF(ISNUMBER(SEARCH("Navigational",IF(J333="NOT AVAILABLE","",J333))),0,12))))+IF(ISNUMBER(G333),MIN(30,ROUND(30*LOG10(G333+1)/4,1)),0)+IF(ISNUMBER(H333),ROUND(25*(100-H333)/100,1),12.5)+14,0)</f>
        <v/>
      </c>
      <c r="O333">
        <f>ROUND(N333*M333/100,0)</f>
        <v/>
      </c>
      <c r="P333" s="5" t="inlineStr">
        <is>
          <t>Measured variant of the tool task</t>
        </is>
      </c>
      <c r="Q333" s="5" t="inlineStr">
        <is>
          <t>None detected</t>
        </is>
      </c>
    </row>
    <row r="334">
      <c r="A334" s="3" t="inlineStr">
        <is>
          <t>https://codesommet.com/tools/hreflang-generator</t>
        </is>
      </c>
      <c r="B334" s="5" t="inlineStr">
        <is>
          <t>Générateur de Balises Hreflang Gratuit</t>
        </is>
      </c>
      <c r="C334" t="inlineStr">
        <is>
          <t>Morocco</t>
        </is>
      </c>
      <c r="D334" t="inlineStr">
        <is>
          <t>ma</t>
        </is>
      </c>
      <c r="E334" t="inlineStr">
        <is>
          <t>SECONDARY</t>
        </is>
      </c>
      <c r="F334" t="inlineStr">
        <is>
          <t>hreflang</t>
        </is>
      </c>
      <c r="G334" t="n">
        <v>20</v>
      </c>
      <c r="H334" t="inlineStr">
        <is>
          <t>NOT AVAILABLE</t>
        </is>
      </c>
      <c r="I334" t="n">
        <v>0</v>
      </c>
      <c r="J334" t="inlineStr">
        <is>
          <t>NOT AVAILABLE</t>
        </is>
      </c>
      <c r="K334" t="inlineStr">
        <is>
          <t>MEASURED</t>
        </is>
      </c>
      <c r="L334" t="inlineStr">
        <is>
          <t>P3</t>
        </is>
      </c>
      <c r="M334" t="n">
        <v>85</v>
      </c>
      <c r="N334">
        <f>ROUND(IF(IF(J334="NOT AVAILABLE","",J334)="",12,IF(OR(ISNUMBER(SEARCH("Transactional",IF(J334="NOT AVAILABLE","",J334))),ISNUMBER(SEARCH("Commercial",IF(J334="NOT AVAILABLE","",J334)))),25,IF(ISNUMBER(SEARCH("Informational",IF(J334="NOT AVAILABLE","",J334))),10,IF(ISNUMBER(SEARCH("Navigational",IF(J334="NOT AVAILABLE","",J334))),0,12))))+IF(ISNUMBER(G334),MIN(30,ROUND(30*LOG10(G334+1)/4,1)),0)+IF(ISNUMBER(H334),ROUND(25*(100-H334)/100,1),12.5)+20,0)</f>
        <v/>
      </c>
      <c r="O334">
        <f>ROUND(N334*M334/100,0)</f>
        <v/>
      </c>
      <c r="P334" s="5" t="inlineStr">
        <is>
          <t>Same query, Moroccan market (separate database, never summed)</t>
        </is>
      </c>
      <c r="Q334" s="5" t="inlineStr">
        <is>
          <t>None detected</t>
        </is>
      </c>
    </row>
    <row r="335">
      <c r="A335" s="3" t="inlineStr">
        <is>
          <t>https://codesommet.com/tools/hreflang-generator</t>
        </is>
      </c>
      <c r="B335" s="5" t="inlineStr">
        <is>
          <t>Générateur de Balises Hreflang Gratuit</t>
        </is>
      </c>
      <c r="C335" t="inlineStr">
        <is>
          <t>Morocco</t>
        </is>
      </c>
      <c r="D335" t="inlineStr">
        <is>
          <t>ma</t>
        </is>
      </c>
      <c r="E335" t="inlineStr">
        <is>
          <t>SUPPORTING</t>
        </is>
      </c>
      <c r="F335" t="inlineStr">
        <is>
          <t>balise hreflang</t>
        </is>
      </c>
      <c r="G335" t="n">
        <v>20</v>
      </c>
      <c r="H335" t="inlineStr">
        <is>
          <t>NOT AVAILABLE</t>
        </is>
      </c>
      <c r="I335" t="n">
        <v>0</v>
      </c>
      <c r="J335" t="inlineStr">
        <is>
          <t>NOT AVAILABLE</t>
        </is>
      </c>
      <c r="K335" t="inlineStr">
        <is>
          <t>MEASURED</t>
        </is>
      </c>
      <c r="L335" t="inlineStr">
        <is>
          <t>P3</t>
        </is>
      </c>
      <c r="M335" t="n">
        <v>65</v>
      </c>
      <c r="N335">
        <f>ROUND(IF(IF(J335="NOT AVAILABLE","",J335)="",12,IF(OR(ISNUMBER(SEARCH("Transactional",IF(J335="NOT AVAILABLE","",J335))),ISNUMBER(SEARCH("Commercial",IF(J335="NOT AVAILABLE","",J335)))),25,IF(ISNUMBER(SEARCH("Informational",IF(J335="NOT AVAILABLE","",J335))),10,IF(ISNUMBER(SEARCH("Navigational",IF(J335="NOT AVAILABLE","",J335))),0,12))))+IF(ISNUMBER(G335),MIN(30,ROUND(30*LOG10(G335+1)/4,1)),0)+IF(ISNUMBER(H335),ROUND(25*(100-H335)/100,1),12.5)+20,0)</f>
        <v/>
      </c>
      <c r="O335">
        <f>ROUND(N335*M335/100,0)</f>
        <v/>
      </c>
      <c r="P335" s="5" t="inlineStr">
        <is>
          <t>Measured variant of the tool task (MA market)</t>
        </is>
      </c>
      <c r="Q335" s="5" t="inlineStr">
        <is>
          <t>None detected</t>
        </is>
      </c>
    </row>
    <row r="336">
      <c r="A336" s="3" t="inlineStr">
        <is>
          <t>https://codesommet.com/tools/hreflang-generator</t>
        </is>
      </c>
      <c r="B336" s="5" t="inlineStr">
        <is>
          <t>Générateur de Balises Hreflang Gratuit</t>
        </is>
      </c>
      <c r="C336" t="inlineStr">
        <is>
          <t>France</t>
        </is>
      </c>
      <c r="D336" t="inlineStr">
        <is>
          <t>fr</t>
        </is>
      </c>
      <c r="E336" t="inlineStr">
        <is>
          <t>OPTIONAL</t>
        </is>
      </c>
      <c r="F336" t="inlineStr">
        <is>
          <t>générateur hreflang</t>
        </is>
      </c>
      <c r="G336" t="inlineStr">
        <is>
          <t>NOT AVAILABLE</t>
        </is>
      </c>
      <c r="H336" t="inlineStr">
        <is>
          <t>NOT AVAILABLE</t>
        </is>
      </c>
      <c r="I336" t="inlineStr">
        <is>
          <t>NOT AVAILABLE</t>
        </is>
      </c>
      <c r="J336" t="inlineStr">
        <is>
          <t>NOT AVAILABLE</t>
        </is>
      </c>
      <c r="K336" t="inlineStr">
        <is>
          <t>UNAVAILABLE</t>
        </is>
      </c>
      <c r="L336" t="inlineStr">
        <is>
          <t>P4</t>
        </is>
      </c>
      <c r="M336" t="n">
        <v>45</v>
      </c>
      <c r="N336">
        <f>ROUND(IF(IF(J336="NOT AVAILABLE","",J336)="",12,IF(OR(ISNUMBER(SEARCH("Transactional",IF(J336="NOT AVAILABLE","",J336))),ISNUMBER(SEARCH("Commercial",IF(J336="NOT AVAILABLE","",J336)))),25,IF(ISNUMBER(SEARCH("Informational",IF(J336="NOT AVAILABLE","",J336))),10,IF(ISNUMBER(SEARCH("Navigational",IF(J336="NOT AVAILABLE","",J336))),0,12))))+IF(ISNUMBER(G336),MIN(30,ROUND(30*LOG10(G336+1)/4,1)),0)+IF(ISNUMBER(H336),ROUND(25*(100-H336)/100,1),12.5)+14,0)</f>
        <v/>
      </c>
      <c r="O336">
        <f>ROUND(N336*M336/100,0)</f>
        <v/>
      </c>
      <c r="P336" s="5" t="inlineStr">
        <is>
          <t>Queried - Semrush returned no data or zero volume; usable as natural wording only</t>
        </is>
      </c>
      <c r="Q336" s="5" t="inlineStr">
        <is>
          <t>None detected</t>
        </is>
      </c>
    </row>
    <row r="337">
      <c r="A337" s="3" t="inlineStr">
        <is>
          <t>https://codesommet.com/tools/html-minifier</t>
        </is>
      </c>
      <c r="B337" s="5" t="inlineStr">
        <is>
          <t>Minificateur HTML/CSS/JS Gratuit</t>
        </is>
      </c>
      <c r="C337" t="inlineStr">
        <is>
          <t>France</t>
        </is>
      </c>
      <c r="D337" t="inlineStr">
        <is>
          <t>fr</t>
        </is>
      </c>
      <c r="E337" t="inlineStr">
        <is>
          <t>PRIMARY</t>
        </is>
      </c>
      <c r="F337" t="inlineStr">
        <is>
          <t>html minifier</t>
        </is>
      </c>
      <c r="G337" t="n">
        <v>260</v>
      </c>
      <c r="H337" t="n">
        <v>29</v>
      </c>
      <c r="I337" t="n">
        <v>0</v>
      </c>
      <c r="J337" t="inlineStr">
        <is>
          <t>Commercial</t>
        </is>
      </c>
      <c r="K337" t="inlineStr">
        <is>
          <t>MEASURED</t>
        </is>
      </c>
      <c r="L337" t="inlineStr">
        <is>
          <t>P3</t>
        </is>
      </c>
      <c r="M337" t="n">
        <v>100</v>
      </c>
      <c r="N337">
        <f>ROUND(IF(IF(J337="NOT AVAILABLE","",J337)="",12,IF(OR(ISNUMBER(SEARCH("Transactional",IF(J337="NOT AVAILABLE","",J337))),ISNUMBER(SEARCH("Commercial",IF(J337="NOT AVAILABLE","",J337)))),25,IF(ISNUMBER(SEARCH("Informational",IF(J337="NOT AVAILABLE","",J337))),10,IF(ISNUMBER(SEARCH("Navigational",IF(J337="NOT AVAILABLE","",J337))),0,12))))+IF(ISNUMBER(G337),MIN(30,ROUND(30*LOG10(G337+1)/4,1)),0)+IF(ISNUMBER(H337),ROUND(25*(100-H337)/100,1),12.5)+14,0)</f>
        <v/>
      </c>
      <c r="O337">
        <f>ROUND(N337*M337/100,0)</f>
        <v/>
      </c>
      <c r="P337" s="5" t="inlineStr">
        <is>
          <t>Best-fitting measured FR query for the tool task (tools serve the francophone market; FR db used as proxy)</t>
        </is>
      </c>
      <c r="Q337" s="5" t="inlineStr">
        <is>
          <t>None detected</t>
        </is>
      </c>
    </row>
    <row r="338">
      <c r="A338" s="3" t="inlineStr">
        <is>
          <t>https://codesommet.com/tools/html-minifier</t>
        </is>
      </c>
      <c r="B338" s="5" t="inlineStr">
        <is>
          <t>Minificateur HTML/CSS/JS Gratuit</t>
        </is>
      </c>
      <c r="C338" t="inlineStr">
        <is>
          <t>France</t>
        </is>
      </c>
      <c r="D338" t="inlineStr">
        <is>
          <t>fr</t>
        </is>
      </c>
      <c r="E338" t="inlineStr">
        <is>
          <t>SECONDARY</t>
        </is>
      </c>
      <c r="F338" t="inlineStr">
        <is>
          <t>minifier html</t>
        </is>
      </c>
      <c r="G338" t="n">
        <v>260</v>
      </c>
      <c r="H338" t="n">
        <v>65</v>
      </c>
      <c r="I338" t="n">
        <v>0</v>
      </c>
      <c r="J338" t="inlineStr">
        <is>
          <t>Informational</t>
        </is>
      </c>
      <c r="K338" t="inlineStr">
        <is>
          <t>MEASURED</t>
        </is>
      </c>
      <c r="L338" t="inlineStr">
        <is>
          <t>P3</t>
        </is>
      </c>
      <c r="M338" t="n">
        <v>85</v>
      </c>
      <c r="N338">
        <f>ROUND(IF(IF(J338="NOT AVAILABLE","",J338)="",12,IF(OR(ISNUMBER(SEARCH("Transactional",IF(J338="NOT AVAILABLE","",J338))),ISNUMBER(SEARCH("Commercial",IF(J338="NOT AVAILABLE","",J338)))),25,IF(ISNUMBER(SEARCH("Informational",IF(J338="NOT AVAILABLE","",J338))),10,IF(ISNUMBER(SEARCH("Navigational",IF(J338="NOT AVAILABLE","",J338))),0,12))))+IF(ISNUMBER(G338),MIN(30,ROUND(30*LOG10(G338+1)/4,1)),0)+IF(ISNUMBER(H338),ROUND(25*(100-H338)/100,1),12.5)+14,0)</f>
        <v/>
      </c>
      <c r="O338">
        <f>ROUND(N338*M338/100,0)</f>
        <v/>
      </c>
      <c r="P338" s="5" t="inlineStr">
        <is>
          <t>Measured variant of the tool task</t>
        </is>
      </c>
      <c r="Q338" s="5" t="inlineStr">
        <is>
          <t>None detected</t>
        </is>
      </c>
    </row>
    <row r="339">
      <c r="A339" s="3" t="inlineStr">
        <is>
          <t>https://codesommet.com/tools/html-minifier</t>
        </is>
      </c>
      <c r="B339" s="5" t="inlineStr">
        <is>
          <t>Minificateur HTML/CSS/JS Gratuit</t>
        </is>
      </c>
      <c r="C339" t="inlineStr">
        <is>
          <t>France</t>
        </is>
      </c>
      <c r="D339" t="inlineStr">
        <is>
          <t>fr</t>
        </is>
      </c>
      <c r="E339" t="inlineStr">
        <is>
          <t>SECONDARY</t>
        </is>
      </c>
      <c r="F339" t="inlineStr">
        <is>
          <t>minify html</t>
        </is>
      </c>
      <c r="G339" t="n">
        <v>260</v>
      </c>
      <c r="H339" t="n">
        <v>42</v>
      </c>
      <c r="I339" t="n">
        <v>0</v>
      </c>
      <c r="J339" t="inlineStr">
        <is>
          <t>Informational</t>
        </is>
      </c>
      <c r="K339" t="inlineStr">
        <is>
          <t>MEASURED</t>
        </is>
      </c>
      <c r="L339" t="inlineStr">
        <is>
          <t>P3</t>
        </is>
      </c>
      <c r="M339" t="n">
        <v>85</v>
      </c>
      <c r="N339">
        <f>ROUND(IF(IF(J339="NOT AVAILABLE","",J339)="",12,IF(OR(ISNUMBER(SEARCH("Transactional",IF(J339="NOT AVAILABLE","",J339))),ISNUMBER(SEARCH("Commercial",IF(J339="NOT AVAILABLE","",J339)))),25,IF(ISNUMBER(SEARCH("Informational",IF(J339="NOT AVAILABLE","",J339))),10,IF(ISNUMBER(SEARCH("Navigational",IF(J339="NOT AVAILABLE","",J339))),0,12))))+IF(ISNUMBER(G339),MIN(30,ROUND(30*LOG10(G339+1)/4,1)),0)+IF(ISNUMBER(H339),ROUND(25*(100-H339)/100,1),12.5)+14,0)</f>
        <v/>
      </c>
      <c r="O339">
        <f>ROUND(N339*M339/100,0)</f>
        <v/>
      </c>
      <c r="P339" s="5" t="inlineStr">
        <is>
          <t>Measured variant of the tool task</t>
        </is>
      </c>
      <c r="Q339" s="5" t="inlineStr">
        <is>
          <t>None detected</t>
        </is>
      </c>
    </row>
    <row r="340">
      <c r="A340" s="3" t="inlineStr">
        <is>
          <t>https://codesommet.com/tools/html-minifier</t>
        </is>
      </c>
      <c r="B340" s="5" t="inlineStr">
        <is>
          <t>Minificateur HTML/CSS/JS Gratuit</t>
        </is>
      </c>
      <c r="C340" t="inlineStr">
        <is>
          <t>Morocco</t>
        </is>
      </c>
      <c r="D340" t="inlineStr">
        <is>
          <t>ma</t>
        </is>
      </c>
      <c r="E340" t="inlineStr">
        <is>
          <t>SECONDARY</t>
        </is>
      </c>
      <c r="F340" t="inlineStr">
        <is>
          <t>html minifier</t>
        </is>
      </c>
      <c r="G340" t="n">
        <v>70</v>
      </c>
      <c r="H340" t="inlineStr">
        <is>
          <t>NOT AVAILABLE</t>
        </is>
      </c>
      <c r="I340" t="n">
        <v>0</v>
      </c>
      <c r="J340" t="inlineStr">
        <is>
          <t>NOT AVAILABLE</t>
        </is>
      </c>
      <c r="K340" t="inlineStr">
        <is>
          <t>MEASURED</t>
        </is>
      </c>
      <c r="L340" t="inlineStr">
        <is>
          <t>P3</t>
        </is>
      </c>
      <c r="M340" t="n">
        <v>85</v>
      </c>
      <c r="N340">
        <f>ROUND(IF(IF(J340="NOT AVAILABLE","",J340)="",12,IF(OR(ISNUMBER(SEARCH("Transactional",IF(J340="NOT AVAILABLE","",J340))),ISNUMBER(SEARCH("Commercial",IF(J340="NOT AVAILABLE","",J340)))),25,IF(ISNUMBER(SEARCH("Informational",IF(J340="NOT AVAILABLE","",J340))),10,IF(ISNUMBER(SEARCH("Navigational",IF(J340="NOT AVAILABLE","",J340))),0,12))))+IF(ISNUMBER(G340),MIN(30,ROUND(30*LOG10(G340+1)/4,1)),0)+IF(ISNUMBER(H340),ROUND(25*(100-H340)/100,1),12.5)+20,0)</f>
        <v/>
      </c>
      <c r="O340">
        <f>ROUND(N340*M340/100,0)</f>
        <v/>
      </c>
      <c r="P340" s="5" t="inlineStr">
        <is>
          <t>Same query, Moroccan market (separate database, never summed)</t>
        </is>
      </c>
      <c r="Q340" s="5" t="inlineStr">
        <is>
          <t>None detected</t>
        </is>
      </c>
    </row>
    <row r="341">
      <c r="A341" s="3" t="inlineStr">
        <is>
          <t>https://codesommet.com/tools/html-minifier</t>
        </is>
      </c>
      <c r="B341" s="5" t="inlineStr">
        <is>
          <t>Minificateur HTML/CSS/JS Gratuit</t>
        </is>
      </c>
      <c r="C341" t="inlineStr">
        <is>
          <t>Morocco</t>
        </is>
      </c>
      <c r="D341" t="inlineStr">
        <is>
          <t>ma</t>
        </is>
      </c>
      <c r="E341" t="inlineStr">
        <is>
          <t>SUPPORTING</t>
        </is>
      </c>
      <c r="F341" t="inlineStr">
        <is>
          <t>minify html</t>
        </is>
      </c>
      <c r="G341" t="n">
        <v>70</v>
      </c>
      <c r="H341" t="inlineStr">
        <is>
          <t>NOT AVAILABLE</t>
        </is>
      </c>
      <c r="I341" t="n">
        <v>0</v>
      </c>
      <c r="J341" t="inlineStr">
        <is>
          <t>NOT AVAILABLE</t>
        </is>
      </c>
      <c r="K341" t="inlineStr">
        <is>
          <t>MEASURED</t>
        </is>
      </c>
      <c r="L341" t="inlineStr">
        <is>
          <t>P3</t>
        </is>
      </c>
      <c r="M341" t="n">
        <v>65</v>
      </c>
      <c r="N341">
        <f>ROUND(IF(IF(J341="NOT AVAILABLE","",J341)="",12,IF(OR(ISNUMBER(SEARCH("Transactional",IF(J341="NOT AVAILABLE","",J341))),ISNUMBER(SEARCH("Commercial",IF(J341="NOT AVAILABLE","",J341)))),25,IF(ISNUMBER(SEARCH("Informational",IF(J341="NOT AVAILABLE","",J341))),10,IF(ISNUMBER(SEARCH("Navigational",IF(J341="NOT AVAILABLE","",J341))),0,12))))+IF(ISNUMBER(G341),MIN(30,ROUND(30*LOG10(G341+1)/4,1)),0)+IF(ISNUMBER(H341),ROUND(25*(100-H341)/100,1),12.5)+20,0)</f>
        <v/>
      </c>
      <c r="O341">
        <f>ROUND(N341*M341/100,0)</f>
        <v/>
      </c>
      <c r="P341" s="5" t="inlineStr">
        <is>
          <t>Measured variant of the tool task (MA market)</t>
        </is>
      </c>
      <c r="Q341" s="5" t="inlineStr">
        <is>
          <t>None detected</t>
        </is>
      </c>
    </row>
    <row r="342">
      <c r="A342" s="3" t="inlineStr">
        <is>
          <t>https://codesommet.com/tools/html-minifier</t>
        </is>
      </c>
      <c r="B342" s="5" t="inlineStr">
        <is>
          <t>Minificateur HTML/CSS/JS Gratuit</t>
        </is>
      </c>
      <c r="C342" t="inlineStr">
        <is>
          <t>Morocco</t>
        </is>
      </c>
      <c r="D342" t="inlineStr">
        <is>
          <t>ma</t>
        </is>
      </c>
      <c r="E342" t="inlineStr">
        <is>
          <t>SUPPORTING</t>
        </is>
      </c>
      <c r="F342" t="inlineStr">
        <is>
          <t>minifier html</t>
        </is>
      </c>
      <c r="G342" t="n">
        <v>30</v>
      </c>
      <c r="H342" t="inlineStr">
        <is>
          <t>NOT AVAILABLE</t>
        </is>
      </c>
      <c r="I342" t="n">
        <v>0</v>
      </c>
      <c r="J342" t="inlineStr">
        <is>
          <t>NOT AVAILABLE</t>
        </is>
      </c>
      <c r="K342" t="inlineStr">
        <is>
          <t>MEASURED</t>
        </is>
      </c>
      <c r="L342" t="inlineStr">
        <is>
          <t>P3</t>
        </is>
      </c>
      <c r="M342" t="n">
        <v>65</v>
      </c>
      <c r="N342">
        <f>ROUND(IF(IF(J342="NOT AVAILABLE","",J342)="",12,IF(OR(ISNUMBER(SEARCH("Transactional",IF(J342="NOT AVAILABLE","",J342))),ISNUMBER(SEARCH("Commercial",IF(J342="NOT AVAILABLE","",J342)))),25,IF(ISNUMBER(SEARCH("Informational",IF(J342="NOT AVAILABLE","",J342))),10,IF(ISNUMBER(SEARCH("Navigational",IF(J342="NOT AVAILABLE","",J342))),0,12))))+IF(ISNUMBER(G342),MIN(30,ROUND(30*LOG10(G342+1)/4,1)),0)+IF(ISNUMBER(H342),ROUND(25*(100-H342)/100,1),12.5)+20,0)</f>
        <v/>
      </c>
      <c r="O342">
        <f>ROUND(N342*M342/100,0)</f>
        <v/>
      </c>
      <c r="P342" s="5" t="inlineStr">
        <is>
          <t>Measured variant of the tool task (MA market)</t>
        </is>
      </c>
      <c r="Q342" s="5" t="inlineStr">
        <is>
          <t>None detected</t>
        </is>
      </c>
    </row>
    <row r="343">
      <c r="A343" s="3" t="inlineStr">
        <is>
          <t>https://codesommet.com/tools/html-minifier</t>
        </is>
      </c>
      <c r="B343" s="5" t="inlineStr">
        <is>
          <t>Minificateur HTML/CSS/JS Gratuit</t>
        </is>
      </c>
      <c r="C343" t="inlineStr">
        <is>
          <t>France</t>
        </is>
      </c>
      <c r="D343" t="inlineStr">
        <is>
          <t>fr</t>
        </is>
      </c>
      <c r="E343" t="inlineStr">
        <is>
          <t>SUPPORTING</t>
        </is>
      </c>
      <c r="F343" t="inlineStr">
        <is>
          <t>compresser html</t>
        </is>
      </c>
      <c r="G343" t="n">
        <v>20</v>
      </c>
      <c r="H343" t="inlineStr">
        <is>
          <t>NOT AVAILABLE</t>
        </is>
      </c>
      <c r="I343" t="n">
        <v>0</v>
      </c>
      <c r="J343" t="inlineStr">
        <is>
          <t>NOT AVAILABLE</t>
        </is>
      </c>
      <c r="K343" t="inlineStr">
        <is>
          <t>MEASURED</t>
        </is>
      </c>
      <c r="L343" t="inlineStr">
        <is>
          <t>P3</t>
        </is>
      </c>
      <c r="M343" t="n">
        <v>65</v>
      </c>
      <c r="N343">
        <f>ROUND(IF(IF(J343="NOT AVAILABLE","",J343)="",12,IF(OR(ISNUMBER(SEARCH("Transactional",IF(J343="NOT AVAILABLE","",J343))),ISNUMBER(SEARCH("Commercial",IF(J343="NOT AVAILABLE","",J343)))),25,IF(ISNUMBER(SEARCH("Informational",IF(J343="NOT AVAILABLE","",J343))),10,IF(ISNUMBER(SEARCH("Navigational",IF(J343="NOT AVAILABLE","",J343))),0,12))))+IF(ISNUMBER(G343),MIN(30,ROUND(30*LOG10(G343+1)/4,1)),0)+IF(ISNUMBER(H343),ROUND(25*(100-H343)/100,1),12.5)+14,0)</f>
        <v/>
      </c>
      <c r="O343">
        <f>ROUND(N343*M343/100,0)</f>
        <v/>
      </c>
      <c r="P343" s="5" t="inlineStr">
        <is>
          <t>Measured variant of the tool task</t>
        </is>
      </c>
      <c r="Q343" s="5" t="inlineStr">
        <is>
          <t>None detected</t>
        </is>
      </c>
    </row>
    <row r="344">
      <c r="A344" s="3" t="inlineStr">
        <is>
          <t>https://codesommet.com/tools/html-minifier</t>
        </is>
      </c>
      <c r="B344" s="5" t="inlineStr">
        <is>
          <t>Minificateur HTML/CSS/JS Gratuit</t>
        </is>
      </c>
      <c r="C344" t="inlineStr">
        <is>
          <t>Morocco</t>
        </is>
      </c>
      <c r="D344" t="inlineStr">
        <is>
          <t>ma</t>
        </is>
      </c>
      <c r="E344" t="inlineStr">
        <is>
          <t>SUPPORTING</t>
        </is>
      </c>
      <c r="F344" t="inlineStr">
        <is>
          <t>compresser html</t>
        </is>
      </c>
      <c r="G344" t="n">
        <v>10</v>
      </c>
      <c r="H344" t="inlineStr">
        <is>
          <t>NOT AVAILABLE</t>
        </is>
      </c>
      <c r="I344" t="n">
        <v>0</v>
      </c>
      <c r="J344" t="inlineStr">
        <is>
          <t>NOT AVAILABLE</t>
        </is>
      </c>
      <c r="K344" t="inlineStr">
        <is>
          <t>MEASURED</t>
        </is>
      </c>
      <c r="L344" t="inlineStr">
        <is>
          <t>P3</t>
        </is>
      </c>
      <c r="M344" t="n">
        <v>65</v>
      </c>
      <c r="N344">
        <f>ROUND(IF(IF(J344="NOT AVAILABLE","",J344)="",12,IF(OR(ISNUMBER(SEARCH("Transactional",IF(J344="NOT AVAILABLE","",J344))),ISNUMBER(SEARCH("Commercial",IF(J344="NOT AVAILABLE","",J344)))),25,IF(ISNUMBER(SEARCH("Informational",IF(J344="NOT AVAILABLE","",J344))),10,IF(ISNUMBER(SEARCH("Navigational",IF(J344="NOT AVAILABLE","",J344))),0,12))))+IF(ISNUMBER(G344),MIN(30,ROUND(30*LOG10(G344+1)/4,1)),0)+IF(ISNUMBER(H344),ROUND(25*(100-H344)/100,1),12.5)+20,0)</f>
        <v/>
      </c>
      <c r="O344">
        <f>ROUND(N344*M344/100,0)</f>
        <v/>
      </c>
      <c r="P344" s="5" t="inlineStr">
        <is>
          <t>Measured variant of the tool task (MA market)</t>
        </is>
      </c>
      <c r="Q344" s="5" t="inlineStr">
        <is>
          <t>None detected</t>
        </is>
      </c>
    </row>
    <row r="345">
      <c r="A345" s="3" t="inlineStr">
        <is>
          <t>https://codesommet.com/tools/html-to-text</t>
        </is>
      </c>
      <c r="B345" s="5" t="inlineStr">
        <is>
          <t>Convertisseur HTML en Texte Brut Gratuit</t>
        </is>
      </c>
      <c r="C345" t="inlineStr">
        <is>
          <t>France</t>
        </is>
      </c>
      <c r="D345" t="inlineStr">
        <is>
          <t>fr</t>
        </is>
      </c>
      <c r="E345" t="inlineStr">
        <is>
          <t>PRIMARY</t>
        </is>
      </c>
      <c r="F345" t="inlineStr">
        <is>
          <t>html to text</t>
        </is>
      </c>
      <c r="G345" t="n">
        <v>320</v>
      </c>
      <c r="H345" t="n">
        <v>68</v>
      </c>
      <c r="I345" t="n">
        <v>0</v>
      </c>
      <c r="J345" t="inlineStr">
        <is>
          <t>Informational</t>
        </is>
      </c>
      <c r="K345" t="inlineStr">
        <is>
          <t>MEASURED</t>
        </is>
      </c>
      <c r="L345" t="inlineStr">
        <is>
          <t>P3</t>
        </is>
      </c>
      <c r="M345" t="n">
        <v>100</v>
      </c>
      <c r="N345">
        <f>ROUND(IF(IF(J345="NOT AVAILABLE","",J345)="",12,IF(OR(ISNUMBER(SEARCH("Transactional",IF(J345="NOT AVAILABLE","",J345))),ISNUMBER(SEARCH("Commercial",IF(J345="NOT AVAILABLE","",J345)))),25,IF(ISNUMBER(SEARCH("Informational",IF(J345="NOT AVAILABLE","",J345))),10,IF(ISNUMBER(SEARCH("Navigational",IF(J345="NOT AVAILABLE","",J345))),0,12))))+IF(ISNUMBER(G345),MIN(30,ROUND(30*LOG10(G345+1)/4,1)),0)+IF(ISNUMBER(H345),ROUND(25*(100-H345)/100,1),12.5)+14,0)</f>
        <v/>
      </c>
      <c r="O345">
        <f>ROUND(N345*M345/100,0)</f>
        <v/>
      </c>
      <c r="P345" s="5" t="inlineStr">
        <is>
          <t>Best-fitting measured FR query for the tool task (tools serve the francophone market; FR db used as proxy)</t>
        </is>
      </c>
      <c r="Q345" s="5" t="inlineStr">
        <is>
          <t>None detected</t>
        </is>
      </c>
    </row>
    <row r="346">
      <c r="A346" s="3" t="inlineStr">
        <is>
          <t>https://codesommet.com/tools/html-to-text</t>
        </is>
      </c>
      <c r="B346" s="5" t="inlineStr">
        <is>
          <t>Convertisseur HTML en Texte Brut Gratuit</t>
        </is>
      </c>
      <c r="C346" t="inlineStr">
        <is>
          <t>Morocco</t>
        </is>
      </c>
      <c r="D346" t="inlineStr">
        <is>
          <t>ma</t>
        </is>
      </c>
      <c r="E346" t="inlineStr">
        <is>
          <t>SECONDARY</t>
        </is>
      </c>
      <c r="F346" t="inlineStr">
        <is>
          <t>html to text</t>
        </is>
      </c>
      <c r="G346" t="n">
        <v>140</v>
      </c>
      <c r="H346" t="inlineStr">
        <is>
          <t>NOT AVAILABLE</t>
        </is>
      </c>
      <c r="I346" t="n">
        <v>0</v>
      </c>
      <c r="J346" t="inlineStr">
        <is>
          <t>NOT AVAILABLE</t>
        </is>
      </c>
      <c r="K346" t="inlineStr">
        <is>
          <t>MEASURED</t>
        </is>
      </c>
      <c r="L346" t="inlineStr">
        <is>
          <t>P3</t>
        </is>
      </c>
      <c r="M346" t="n">
        <v>85</v>
      </c>
      <c r="N346">
        <f>ROUND(IF(IF(J346="NOT AVAILABLE","",J346)="",12,IF(OR(ISNUMBER(SEARCH("Transactional",IF(J346="NOT AVAILABLE","",J346))),ISNUMBER(SEARCH("Commercial",IF(J346="NOT AVAILABLE","",J346)))),25,IF(ISNUMBER(SEARCH("Informational",IF(J346="NOT AVAILABLE","",J346))),10,IF(ISNUMBER(SEARCH("Navigational",IF(J346="NOT AVAILABLE","",J346))),0,12))))+IF(ISNUMBER(G346),MIN(30,ROUND(30*LOG10(G346+1)/4,1)),0)+IF(ISNUMBER(H346),ROUND(25*(100-H346)/100,1),12.5)+20,0)</f>
        <v/>
      </c>
      <c r="O346">
        <f>ROUND(N346*M346/100,0)</f>
        <v/>
      </c>
      <c r="P346" s="5" t="inlineStr">
        <is>
          <t>Same query, Moroccan market (separate database, never summed)</t>
        </is>
      </c>
      <c r="Q346" s="5" t="inlineStr">
        <is>
          <t>None detected</t>
        </is>
      </c>
    </row>
    <row r="347">
      <c r="A347" s="3" t="inlineStr">
        <is>
          <t>https://codesommet.com/tools/html-to-text</t>
        </is>
      </c>
      <c r="B347" s="5" t="inlineStr">
        <is>
          <t>Convertisseur HTML en Texte Brut Gratuit</t>
        </is>
      </c>
      <c r="C347" t="inlineStr">
        <is>
          <t>France</t>
        </is>
      </c>
      <c r="D347" t="inlineStr">
        <is>
          <t>fr</t>
        </is>
      </c>
      <c r="E347" t="inlineStr">
        <is>
          <t>SUPPORTING</t>
        </is>
      </c>
      <c r="F347" t="inlineStr">
        <is>
          <t>html en texte</t>
        </is>
      </c>
      <c r="G347" t="n">
        <v>30</v>
      </c>
      <c r="H347" t="inlineStr">
        <is>
          <t>NOT AVAILABLE</t>
        </is>
      </c>
      <c r="I347" t="n">
        <v>0</v>
      </c>
      <c r="J347" t="inlineStr">
        <is>
          <t>NOT AVAILABLE</t>
        </is>
      </c>
      <c r="K347" t="inlineStr">
        <is>
          <t>MEASURED</t>
        </is>
      </c>
      <c r="L347" t="inlineStr">
        <is>
          <t>P3</t>
        </is>
      </c>
      <c r="M347" t="n">
        <v>65</v>
      </c>
      <c r="N347">
        <f>ROUND(IF(IF(J347="NOT AVAILABLE","",J347)="",12,IF(OR(ISNUMBER(SEARCH("Transactional",IF(J347="NOT AVAILABLE","",J347))),ISNUMBER(SEARCH("Commercial",IF(J347="NOT AVAILABLE","",J347)))),25,IF(ISNUMBER(SEARCH("Informational",IF(J347="NOT AVAILABLE","",J347))),10,IF(ISNUMBER(SEARCH("Navigational",IF(J347="NOT AVAILABLE","",J347))),0,12))))+IF(ISNUMBER(G347),MIN(30,ROUND(30*LOG10(G347+1)/4,1)),0)+IF(ISNUMBER(H347),ROUND(25*(100-H347)/100,1),12.5)+14,0)</f>
        <v/>
      </c>
      <c r="O347">
        <f>ROUND(N347*M347/100,0)</f>
        <v/>
      </c>
      <c r="P347" s="5" t="inlineStr">
        <is>
          <t>Measured variant of the tool task</t>
        </is>
      </c>
      <c r="Q347" s="5" t="inlineStr">
        <is>
          <t>None detected</t>
        </is>
      </c>
    </row>
    <row r="348">
      <c r="A348" s="3" t="inlineStr">
        <is>
          <t>https://codesommet.com/tools/html-to-text</t>
        </is>
      </c>
      <c r="B348" s="5" t="inlineStr">
        <is>
          <t>Convertisseur HTML en Texte Brut Gratuit</t>
        </is>
      </c>
      <c r="C348" t="inlineStr">
        <is>
          <t>France</t>
        </is>
      </c>
      <c r="D348" t="inlineStr">
        <is>
          <t>fr</t>
        </is>
      </c>
      <c r="E348" t="inlineStr">
        <is>
          <t>SUPPORTING</t>
        </is>
      </c>
      <c r="F348" t="inlineStr">
        <is>
          <t>convertir html en texte</t>
        </is>
      </c>
      <c r="G348" t="n">
        <v>30</v>
      </c>
      <c r="H348" t="inlineStr">
        <is>
          <t>NOT AVAILABLE</t>
        </is>
      </c>
      <c r="I348" t="n">
        <v>0</v>
      </c>
      <c r="J348" t="inlineStr">
        <is>
          <t>NOT AVAILABLE</t>
        </is>
      </c>
      <c r="K348" t="inlineStr">
        <is>
          <t>MEASURED</t>
        </is>
      </c>
      <c r="L348" t="inlineStr">
        <is>
          <t>P3</t>
        </is>
      </c>
      <c r="M348" t="n">
        <v>65</v>
      </c>
      <c r="N348">
        <f>ROUND(IF(IF(J348="NOT AVAILABLE","",J348)="",12,IF(OR(ISNUMBER(SEARCH("Transactional",IF(J348="NOT AVAILABLE","",J348))),ISNUMBER(SEARCH("Commercial",IF(J348="NOT AVAILABLE","",J348)))),25,IF(ISNUMBER(SEARCH("Informational",IF(J348="NOT AVAILABLE","",J348))),10,IF(ISNUMBER(SEARCH("Navigational",IF(J348="NOT AVAILABLE","",J348))),0,12))))+IF(ISNUMBER(G348),MIN(30,ROUND(30*LOG10(G348+1)/4,1)),0)+IF(ISNUMBER(H348),ROUND(25*(100-H348)/100,1),12.5)+14,0)</f>
        <v/>
      </c>
      <c r="O348">
        <f>ROUND(N348*M348/100,0)</f>
        <v/>
      </c>
      <c r="P348" s="5" t="inlineStr">
        <is>
          <t>Measured variant of the tool task</t>
        </is>
      </c>
      <c r="Q348" s="5" t="inlineStr">
        <is>
          <t>None detected</t>
        </is>
      </c>
    </row>
    <row r="349">
      <c r="A349" s="3" t="inlineStr">
        <is>
          <t>https://codesommet.com/tools/html-to-text</t>
        </is>
      </c>
      <c r="B349" s="5" t="inlineStr">
        <is>
          <t>Convertisseur HTML en Texte Brut Gratuit</t>
        </is>
      </c>
      <c r="C349" t="inlineStr">
        <is>
          <t>Morocco</t>
        </is>
      </c>
      <c r="D349" t="inlineStr">
        <is>
          <t>ma</t>
        </is>
      </c>
      <c r="E349" t="inlineStr">
        <is>
          <t>SUPPORTING</t>
        </is>
      </c>
      <c r="F349" t="inlineStr">
        <is>
          <t>convertir html en texte</t>
        </is>
      </c>
      <c r="G349" t="n">
        <v>20</v>
      </c>
      <c r="H349" t="inlineStr">
        <is>
          <t>NOT AVAILABLE</t>
        </is>
      </c>
      <c r="I349" t="n">
        <v>0</v>
      </c>
      <c r="J349" t="inlineStr">
        <is>
          <t>NOT AVAILABLE</t>
        </is>
      </c>
      <c r="K349" t="inlineStr">
        <is>
          <t>MEASURED</t>
        </is>
      </c>
      <c r="L349" t="inlineStr">
        <is>
          <t>P3</t>
        </is>
      </c>
      <c r="M349" t="n">
        <v>65</v>
      </c>
      <c r="N349">
        <f>ROUND(IF(IF(J349="NOT AVAILABLE","",J349)="",12,IF(OR(ISNUMBER(SEARCH("Transactional",IF(J349="NOT AVAILABLE","",J349))),ISNUMBER(SEARCH("Commercial",IF(J349="NOT AVAILABLE","",J349)))),25,IF(ISNUMBER(SEARCH("Informational",IF(J349="NOT AVAILABLE","",J349))),10,IF(ISNUMBER(SEARCH("Navigational",IF(J349="NOT AVAILABLE","",J349))),0,12))))+IF(ISNUMBER(G349),MIN(30,ROUND(30*LOG10(G349+1)/4,1)),0)+IF(ISNUMBER(H349),ROUND(25*(100-H349)/100,1),12.5)+20,0)</f>
        <v/>
      </c>
      <c r="O349">
        <f>ROUND(N349*M349/100,0)</f>
        <v/>
      </c>
      <c r="P349" s="5" t="inlineStr">
        <is>
          <t>Measured variant of the tool task (MA market)</t>
        </is>
      </c>
      <c r="Q349" s="5" t="inlineStr">
        <is>
          <t>None detected</t>
        </is>
      </c>
    </row>
    <row r="350">
      <c r="A350" s="3" t="inlineStr">
        <is>
          <t>https://codesommet.com/tools/image-alt-analyzer</t>
        </is>
      </c>
      <c r="B350" s="5" t="inlineStr">
        <is>
          <t>Analyseur de Texte Alt d'Image : SEO</t>
        </is>
      </c>
      <c r="C350" t="inlineStr">
        <is>
          <t>France</t>
        </is>
      </c>
      <c r="D350" t="inlineStr">
        <is>
          <t>fr</t>
        </is>
      </c>
      <c r="E350" t="inlineStr">
        <is>
          <t>PRIMARY</t>
        </is>
      </c>
      <c r="F350" t="inlineStr">
        <is>
          <t>balise alt</t>
        </is>
      </c>
      <c r="G350" t="n">
        <v>260</v>
      </c>
      <c r="H350" t="n">
        <v>21</v>
      </c>
      <c r="I350" t="n">
        <v>0</v>
      </c>
      <c r="J350" t="inlineStr">
        <is>
          <t>Informational</t>
        </is>
      </c>
      <c r="K350" t="inlineStr">
        <is>
          <t>MEASURED</t>
        </is>
      </c>
      <c r="L350" t="inlineStr">
        <is>
          <t>P3</t>
        </is>
      </c>
      <c r="M350" t="n">
        <v>100</v>
      </c>
      <c r="N350">
        <f>ROUND(IF(IF(J350="NOT AVAILABLE","",J350)="",12,IF(OR(ISNUMBER(SEARCH("Transactional",IF(J350="NOT AVAILABLE","",J350))),ISNUMBER(SEARCH("Commercial",IF(J350="NOT AVAILABLE","",J350)))),25,IF(ISNUMBER(SEARCH("Informational",IF(J350="NOT AVAILABLE","",J350))),10,IF(ISNUMBER(SEARCH("Navigational",IF(J350="NOT AVAILABLE","",J350))),0,12))))+IF(ISNUMBER(G350),MIN(30,ROUND(30*LOG10(G350+1)/4,1)),0)+IF(ISNUMBER(H350),ROUND(25*(100-H350)/100,1),12.5)+14,0)</f>
        <v/>
      </c>
      <c r="O350">
        <f>ROUND(N350*M350/100,0)</f>
        <v/>
      </c>
      <c r="P350" s="5" t="inlineStr">
        <is>
          <t>Best-fitting measured FR query for the tool task (tools serve the francophone market; FR db used as proxy)</t>
        </is>
      </c>
      <c r="Q350" s="5" t="inlineStr">
        <is>
          <t>None detected</t>
        </is>
      </c>
    </row>
    <row r="351">
      <c r="A351" s="3" t="inlineStr">
        <is>
          <t>https://codesommet.com/tools/image-alt-analyzer</t>
        </is>
      </c>
      <c r="B351" s="5" t="inlineStr">
        <is>
          <t>Analyseur de Texte Alt d'Image : SEO</t>
        </is>
      </c>
      <c r="C351" t="inlineStr">
        <is>
          <t>Morocco</t>
        </is>
      </c>
      <c r="D351" t="inlineStr">
        <is>
          <t>ma</t>
        </is>
      </c>
      <c r="E351" t="inlineStr">
        <is>
          <t>SECONDARY</t>
        </is>
      </c>
      <c r="F351" t="inlineStr">
        <is>
          <t>balise alt</t>
        </is>
      </c>
      <c r="G351" t="n">
        <v>10</v>
      </c>
      <c r="H351" t="inlineStr">
        <is>
          <t>NOT AVAILABLE</t>
        </is>
      </c>
      <c r="I351" t="n">
        <v>0</v>
      </c>
      <c r="J351" t="inlineStr">
        <is>
          <t>NOT AVAILABLE</t>
        </is>
      </c>
      <c r="K351" t="inlineStr">
        <is>
          <t>MEASURED</t>
        </is>
      </c>
      <c r="L351" t="inlineStr">
        <is>
          <t>P3</t>
        </is>
      </c>
      <c r="M351" t="n">
        <v>85</v>
      </c>
      <c r="N351">
        <f>ROUND(IF(IF(J351="NOT AVAILABLE","",J351)="",12,IF(OR(ISNUMBER(SEARCH("Transactional",IF(J351="NOT AVAILABLE","",J351))),ISNUMBER(SEARCH("Commercial",IF(J351="NOT AVAILABLE","",J351)))),25,IF(ISNUMBER(SEARCH("Informational",IF(J351="NOT AVAILABLE","",J351))),10,IF(ISNUMBER(SEARCH("Navigational",IF(J351="NOT AVAILABLE","",J351))),0,12))))+IF(ISNUMBER(G351),MIN(30,ROUND(30*LOG10(G351+1)/4,1)),0)+IF(ISNUMBER(H351),ROUND(25*(100-H351)/100,1),12.5)+20,0)</f>
        <v/>
      </c>
      <c r="O351">
        <f>ROUND(N351*M351/100,0)</f>
        <v/>
      </c>
      <c r="P351" s="5" t="inlineStr">
        <is>
          <t>Same query, Moroccan market (separate database, never summed)</t>
        </is>
      </c>
      <c r="Q351" s="5" t="inlineStr">
        <is>
          <t>None detected</t>
        </is>
      </c>
    </row>
    <row r="352">
      <c r="A352" s="3" t="inlineStr">
        <is>
          <t>https://codesommet.com/tools/image-alt-analyzer</t>
        </is>
      </c>
      <c r="B352" s="5" t="inlineStr">
        <is>
          <t>Analyseur de Texte Alt d'Image : SEO</t>
        </is>
      </c>
      <c r="C352" t="inlineStr">
        <is>
          <t>France</t>
        </is>
      </c>
      <c r="D352" t="inlineStr">
        <is>
          <t>fr</t>
        </is>
      </c>
      <c r="E352" t="inlineStr">
        <is>
          <t>SUPPORTING</t>
        </is>
      </c>
      <c r="F352" t="inlineStr">
        <is>
          <t>attribut alt</t>
        </is>
      </c>
      <c r="G352" t="n">
        <v>70</v>
      </c>
      <c r="H352" t="n">
        <v>24</v>
      </c>
      <c r="I352" t="n">
        <v>0</v>
      </c>
      <c r="J352" t="inlineStr">
        <is>
          <t>Informational</t>
        </is>
      </c>
      <c r="K352" t="inlineStr">
        <is>
          <t>MEASURED</t>
        </is>
      </c>
      <c r="L352" t="inlineStr">
        <is>
          <t>P3</t>
        </is>
      </c>
      <c r="M352" t="n">
        <v>65</v>
      </c>
      <c r="N352">
        <f>ROUND(IF(IF(J352="NOT AVAILABLE","",J352)="",12,IF(OR(ISNUMBER(SEARCH("Transactional",IF(J352="NOT AVAILABLE","",J352))),ISNUMBER(SEARCH("Commercial",IF(J352="NOT AVAILABLE","",J352)))),25,IF(ISNUMBER(SEARCH("Informational",IF(J352="NOT AVAILABLE","",J352))),10,IF(ISNUMBER(SEARCH("Navigational",IF(J352="NOT AVAILABLE","",J352))),0,12))))+IF(ISNUMBER(G352),MIN(30,ROUND(30*LOG10(G352+1)/4,1)),0)+IF(ISNUMBER(H352),ROUND(25*(100-H352)/100,1),12.5)+14,0)</f>
        <v/>
      </c>
      <c r="O352">
        <f>ROUND(N352*M352/100,0)</f>
        <v/>
      </c>
      <c r="P352" s="5" t="inlineStr">
        <is>
          <t>Measured variant of the tool task</t>
        </is>
      </c>
      <c r="Q352" s="5" t="inlineStr">
        <is>
          <t>None detected</t>
        </is>
      </c>
    </row>
    <row r="353">
      <c r="A353" s="3" t="inlineStr">
        <is>
          <t>https://codesommet.com/tools/image-alt-analyzer</t>
        </is>
      </c>
      <c r="B353" s="5" t="inlineStr">
        <is>
          <t>Analyseur de Texte Alt d'Image : SEO</t>
        </is>
      </c>
      <c r="C353" t="inlineStr">
        <is>
          <t>France</t>
        </is>
      </c>
      <c r="D353" t="inlineStr">
        <is>
          <t>fr</t>
        </is>
      </c>
      <c r="E353" t="inlineStr">
        <is>
          <t>SUPPORTING</t>
        </is>
      </c>
      <c r="F353" t="inlineStr">
        <is>
          <t>texte alternatif image</t>
        </is>
      </c>
      <c r="G353" t="n">
        <v>40</v>
      </c>
      <c r="H353" t="inlineStr">
        <is>
          <t>NOT AVAILABLE</t>
        </is>
      </c>
      <c r="I353" t="n">
        <v>0</v>
      </c>
      <c r="J353" t="inlineStr">
        <is>
          <t>NOT AVAILABLE</t>
        </is>
      </c>
      <c r="K353" t="inlineStr">
        <is>
          <t>MEASURED</t>
        </is>
      </c>
      <c r="L353" t="inlineStr">
        <is>
          <t>P3</t>
        </is>
      </c>
      <c r="M353" t="n">
        <v>65</v>
      </c>
      <c r="N353">
        <f>ROUND(IF(IF(J353="NOT AVAILABLE","",J353)="",12,IF(OR(ISNUMBER(SEARCH("Transactional",IF(J353="NOT AVAILABLE","",J353))),ISNUMBER(SEARCH("Commercial",IF(J353="NOT AVAILABLE","",J353)))),25,IF(ISNUMBER(SEARCH("Informational",IF(J353="NOT AVAILABLE","",J353))),10,IF(ISNUMBER(SEARCH("Navigational",IF(J353="NOT AVAILABLE","",J353))),0,12))))+IF(ISNUMBER(G353),MIN(30,ROUND(30*LOG10(G353+1)/4,1)),0)+IF(ISNUMBER(H353),ROUND(25*(100-H353)/100,1),12.5)+14,0)</f>
        <v/>
      </c>
      <c r="O353">
        <f>ROUND(N353*M353/100,0)</f>
        <v/>
      </c>
      <c r="P353" s="5" t="inlineStr">
        <is>
          <t>Measured variant of the tool task</t>
        </is>
      </c>
      <c r="Q353" s="5" t="inlineStr">
        <is>
          <t>None detected</t>
        </is>
      </c>
    </row>
    <row r="354">
      <c r="A354" s="3" t="inlineStr">
        <is>
          <t>https://codesommet.com/tools/image-alt-analyzer</t>
        </is>
      </c>
      <c r="B354" s="5" t="inlineStr">
        <is>
          <t>Analyseur de Texte Alt d'Image : SEO</t>
        </is>
      </c>
      <c r="C354" t="inlineStr">
        <is>
          <t>Morocco</t>
        </is>
      </c>
      <c r="D354" t="inlineStr">
        <is>
          <t>ma</t>
        </is>
      </c>
      <c r="E354" t="inlineStr">
        <is>
          <t>SUPPORTING</t>
        </is>
      </c>
      <c r="F354" t="inlineStr">
        <is>
          <t>attribut alt</t>
        </is>
      </c>
      <c r="G354" t="n">
        <v>20</v>
      </c>
      <c r="H354" t="inlineStr">
        <is>
          <t>NOT AVAILABLE</t>
        </is>
      </c>
      <c r="I354" t="n">
        <v>0</v>
      </c>
      <c r="J354" t="inlineStr">
        <is>
          <t>NOT AVAILABLE</t>
        </is>
      </c>
      <c r="K354" t="inlineStr">
        <is>
          <t>MEASURED</t>
        </is>
      </c>
      <c r="L354" t="inlineStr">
        <is>
          <t>P3</t>
        </is>
      </c>
      <c r="M354" t="n">
        <v>65</v>
      </c>
      <c r="N354">
        <f>ROUND(IF(IF(J354="NOT AVAILABLE","",J354)="",12,IF(OR(ISNUMBER(SEARCH("Transactional",IF(J354="NOT AVAILABLE","",J354))),ISNUMBER(SEARCH("Commercial",IF(J354="NOT AVAILABLE","",J354)))),25,IF(ISNUMBER(SEARCH("Informational",IF(J354="NOT AVAILABLE","",J354))),10,IF(ISNUMBER(SEARCH("Navigational",IF(J354="NOT AVAILABLE","",J354))),0,12))))+IF(ISNUMBER(G354),MIN(30,ROUND(30*LOG10(G354+1)/4,1)),0)+IF(ISNUMBER(H354),ROUND(25*(100-H354)/100,1),12.5)+20,0)</f>
        <v/>
      </c>
      <c r="O354">
        <f>ROUND(N354*M354/100,0)</f>
        <v/>
      </c>
      <c r="P354" s="5" t="inlineStr">
        <is>
          <t>Measured variant of the tool task (MA market)</t>
        </is>
      </c>
      <c r="Q354" s="5" t="inlineStr">
        <is>
          <t>None detected</t>
        </is>
      </c>
    </row>
    <row r="355">
      <c r="A355" s="3" t="inlineStr">
        <is>
          <t>https://codesommet.com/tools/image-alt-analyzer</t>
        </is>
      </c>
      <c r="B355" s="5" t="inlineStr">
        <is>
          <t>Analyseur de Texte Alt d'Image : SEO</t>
        </is>
      </c>
      <c r="C355" t="inlineStr">
        <is>
          <t>France</t>
        </is>
      </c>
      <c r="D355" t="inlineStr">
        <is>
          <t>fr</t>
        </is>
      </c>
      <c r="E355" t="inlineStr">
        <is>
          <t>SUPPORTING</t>
        </is>
      </c>
      <c r="F355" t="inlineStr">
        <is>
          <t>alt image seo</t>
        </is>
      </c>
      <c r="G355" t="n">
        <v>20</v>
      </c>
      <c r="H355" t="inlineStr">
        <is>
          <t>NOT AVAILABLE</t>
        </is>
      </c>
      <c r="I355" t="n">
        <v>0</v>
      </c>
      <c r="J355" t="inlineStr">
        <is>
          <t>NOT AVAILABLE</t>
        </is>
      </c>
      <c r="K355" t="inlineStr">
        <is>
          <t>MEASURED</t>
        </is>
      </c>
      <c r="L355" t="inlineStr">
        <is>
          <t>P3</t>
        </is>
      </c>
      <c r="M355" t="n">
        <v>65</v>
      </c>
      <c r="N355">
        <f>ROUND(IF(IF(J355="NOT AVAILABLE","",J355)="",12,IF(OR(ISNUMBER(SEARCH("Transactional",IF(J355="NOT AVAILABLE","",J355))),ISNUMBER(SEARCH("Commercial",IF(J355="NOT AVAILABLE","",J355)))),25,IF(ISNUMBER(SEARCH("Informational",IF(J355="NOT AVAILABLE","",J355))),10,IF(ISNUMBER(SEARCH("Navigational",IF(J355="NOT AVAILABLE","",J355))),0,12))))+IF(ISNUMBER(G355),MIN(30,ROUND(30*LOG10(G355+1)/4,1)),0)+IF(ISNUMBER(H355),ROUND(25*(100-H355)/100,1),12.5)+14,0)</f>
        <v/>
      </c>
      <c r="O355">
        <f>ROUND(N355*M355/100,0)</f>
        <v/>
      </c>
      <c r="P355" s="5" t="inlineStr">
        <is>
          <t>Measured variant of the tool task</t>
        </is>
      </c>
      <c r="Q355" s="5" t="inlineStr">
        <is>
          <t>None detected</t>
        </is>
      </c>
    </row>
    <row r="356">
      <c r="A356" s="3" t="inlineStr">
        <is>
          <t>https://codesommet.com/tools/image-alt-analyzer</t>
        </is>
      </c>
      <c r="B356" s="5" t="inlineStr">
        <is>
          <t>Analyseur de Texte Alt d'Image : SEO</t>
        </is>
      </c>
      <c r="C356" t="inlineStr">
        <is>
          <t>Morocco</t>
        </is>
      </c>
      <c r="D356" t="inlineStr">
        <is>
          <t>ma</t>
        </is>
      </c>
      <c r="E356" t="inlineStr">
        <is>
          <t>SUPPORTING</t>
        </is>
      </c>
      <c r="F356" t="inlineStr">
        <is>
          <t>alt image seo</t>
        </is>
      </c>
      <c r="G356" t="n">
        <v>10</v>
      </c>
      <c r="H356" t="inlineStr">
        <is>
          <t>NOT AVAILABLE</t>
        </is>
      </c>
      <c r="I356" t="n">
        <v>0</v>
      </c>
      <c r="J356" t="inlineStr">
        <is>
          <t>NOT AVAILABLE</t>
        </is>
      </c>
      <c r="K356" t="inlineStr">
        <is>
          <t>MEASURED</t>
        </is>
      </c>
      <c r="L356" t="inlineStr">
        <is>
          <t>P3</t>
        </is>
      </c>
      <c r="M356" t="n">
        <v>65</v>
      </c>
      <c r="N356">
        <f>ROUND(IF(IF(J356="NOT AVAILABLE","",J356)="",12,IF(OR(ISNUMBER(SEARCH("Transactional",IF(J356="NOT AVAILABLE","",J356))),ISNUMBER(SEARCH("Commercial",IF(J356="NOT AVAILABLE","",J356)))),25,IF(ISNUMBER(SEARCH("Informational",IF(J356="NOT AVAILABLE","",J356))),10,IF(ISNUMBER(SEARCH("Navigational",IF(J356="NOT AVAILABLE","",J356))),0,12))))+IF(ISNUMBER(G356),MIN(30,ROUND(30*LOG10(G356+1)/4,1)),0)+IF(ISNUMBER(H356),ROUND(25*(100-H356)/100,1),12.5)+20,0)</f>
        <v/>
      </c>
      <c r="O356">
        <f>ROUND(N356*M356/100,0)</f>
        <v/>
      </c>
      <c r="P356" s="5" t="inlineStr">
        <is>
          <t>Measured variant of the tool task (MA market)</t>
        </is>
      </c>
      <c r="Q356" s="5" t="inlineStr">
        <is>
          <t>None detected</t>
        </is>
      </c>
    </row>
    <row r="357">
      <c r="A357" s="3" t="inlineStr">
        <is>
          <t>https://codesommet.com/tools/image-compression-analyzer</t>
        </is>
      </c>
      <c r="B357" s="5" t="inlineStr">
        <is>
          <t>Analyseur de Compression d'Images Gratuit</t>
        </is>
      </c>
      <c r="C357" t="inlineStr">
        <is>
          <t>France</t>
        </is>
      </c>
      <c r="D357" t="inlineStr">
        <is>
          <t>fr</t>
        </is>
      </c>
      <c r="E357" t="inlineStr">
        <is>
          <t>PRIMARY</t>
        </is>
      </c>
      <c r="F357" t="inlineStr">
        <is>
          <t>optimisation image seo</t>
        </is>
      </c>
      <c r="G357" t="n">
        <v>20</v>
      </c>
      <c r="H357" t="inlineStr">
        <is>
          <t>NOT AVAILABLE</t>
        </is>
      </c>
      <c r="I357" t="n">
        <v>0</v>
      </c>
      <c r="J357" t="inlineStr">
        <is>
          <t>NOT AVAILABLE</t>
        </is>
      </c>
      <c r="K357" t="inlineStr">
        <is>
          <t>MEASURED</t>
        </is>
      </c>
      <c r="L357" t="inlineStr">
        <is>
          <t>P3</t>
        </is>
      </c>
      <c r="M357" t="n">
        <v>100</v>
      </c>
      <c r="N357">
        <f>ROUND(IF(IF(J357="NOT AVAILABLE","",J357)="",12,IF(OR(ISNUMBER(SEARCH("Transactional",IF(J357="NOT AVAILABLE","",J357))),ISNUMBER(SEARCH("Commercial",IF(J357="NOT AVAILABLE","",J357)))),25,IF(ISNUMBER(SEARCH("Informational",IF(J357="NOT AVAILABLE","",J357))),10,IF(ISNUMBER(SEARCH("Navigational",IF(J357="NOT AVAILABLE","",J357))),0,12))))+IF(ISNUMBER(G357),MIN(30,ROUND(30*LOG10(G357+1)/4,1)),0)+IF(ISNUMBER(H357),ROUND(25*(100-H357)/100,1),12.5)+14,0)</f>
        <v/>
      </c>
      <c r="O357">
        <f>ROUND(N357*M357/100,0)</f>
        <v/>
      </c>
      <c r="P357" s="5" t="inlineStr">
        <is>
          <t>Best-fitting measured FR query for the tool task (tools serve the francophone market; FR db used as proxy)</t>
        </is>
      </c>
      <c r="Q357" s="5" t="inlineStr">
        <is>
          <t>None detected</t>
        </is>
      </c>
    </row>
    <row r="358">
      <c r="A358" s="3" t="inlineStr">
        <is>
          <t>https://codesommet.com/tools/image-compression-analyzer</t>
        </is>
      </c>
      <c r="B358" s="5" t="inlineStr">
        <is>
          <t>Analyseur de Compression d'Images Gratuit</t>
        </is>
      </c>
      <c r="C358" t="inlineStr">
        <is>
          <t>France</t>
        </is>
      </c>
      <c r="D358" t="inlineStr">
        <is>
          <t>fr</t>
        </is>
      </c>
      <c r="E358" t="inlineStr">
        <is>
          <t>OPTIONAL</t>
        </is>
      </c>
      <c r="F358" t="inlineStr">
        <is>
          <t>analyse poids image</t>
        </is>
      </c>
      <c r="G358" t="inlineStr">
        <is>
          <t>NOT AVAILABLE</t>
        </is>
      </c>
      <c r="H358" t="inlineStr">
        <is>
          <t>NOT AVAILABLE</t>
        </is>
      </c>
      <c r="I358" t="inlineStr">
        <is>
          <t>NOT AVAILABLE</t>
        </is>
      </c>
      <c r="J358" t="inlineStr">
        <is>
          <t>NOT AVAILABLE</t>
        </is>
      </c>
      <c r="K358" t="inlineStr">
        <is>
          <t>UNAVAILABLE</t>
        </is>
      </c>
      <c r="L358" t="inlineStr">
        <is>
          <t>P4</t>
        </is>
      </c>
      <c r="M358" t="n">
        <v>45</v>
      </c>
      <c r="N358">
        <f>ROUND(IF(IF(J358="NOT AVAILABLE","",J358)="",12,IF(OR(ISNUMBER(SEARCH("Transactional",IF(J358="NOT AVAILABLE","",J358))),ISNUMBER(SEARCH("Commercial",IF(J358="NOT AVAILABLE","",J358)))),25,IF(ISNUMBER(SEARCH("Informational",IF(J358="NOT AVAILABLE","",J358))),10,IF(ISNUMBER(SEARCH("Navigational",IF(J358="NOT AVAILABLE","",J358))),0,12))))+IF(ISNUMBER(G358),MIN(30,ROUND(30*LOG10(G358+1)/4,1)),0)+IF(ISNUMBER(H358),ROUND(25*(100-H358)/100,1),12.5)+14,0)</f>
        <v/>
      </c>
      <c r="O358">
        <f>ROUND(N358*M358/100,0)</f>
        <v/>
      </c>
      <c r="P358" s="5" t="inlineStr">
        <is>
          <t>Queried - Semrush returned no data or zero volume; usable as natural wording only</t>
        </is>
      </c>
      <c r="Q358" s="5" t="inlineStr">
        <is>
          <t>None detected</t>
        </is>
      </c>
    </row>
    <row r="359">
      <c r="A359" s="3" t="inlineStr">
        <is>
          <t>https://codesommet.com/tools/image-compression-analyzer</t>
        </is>
      </c>
      <c r="B359" s="5" t="inlineStr">
        <is>
          <t>Analyseur de Compression d'Images Gratuit</t>
        </is>
      </c>
      <c r="C359" t="inlineStr">
        <is>
          <t>France</t>
        </is>
      </c>
      <c r="D359" t="inlineStr">
        <is>
          <t>fr</t>
        </is>
      </c>
      <c r="E359" t="inlineStr">
        <is>
          <t>OPTIONAL</t>
        </is>
      </c>
      <c r="F359" t="inlineStr">
        <is>
          <t>optimiser images site web</t>
        </is>
      </c>
      <c r="G359" t="n">
        <v>0</v>
      </c>
      <c r="H359" t="inlineStr">
        <is>
          <t>NOT AVAILABLE</t>
        </is>
      </c>
      <c r="I359" t="n">
        <v>0</v>
      </c>
      <c r="J359" t="inlineStr">
        <is>
          <t>NOT AVAILABLE</t>
        </is>
      </c>
      <c r="K359" t="inlineStr">
        <is>
          <t>MEASURED</t>
        </is>
      </c>
      <c r="L359" t="inlineStr">
        <is>
          <t>P4</t>
        </is>
      </c>
      <c r="M359" t="n">
        <v>45</v>
      </c>
      <c r="N359">
        <f>ROUND(IF(IF(J359="NOT AVAILABLE","",J359)="",12,IF(OR(ISNUMBER(SEARCH("Transactional",IF(J359="NOT AVAILABLE","",J359))),ISNUMBER(SEARCH("Commercial",IF(J359="NOT AVAILABLE","",J359)))),25,IF(ISNUMBER(SEARCH("Informational",IF(J359="NOT AVAILABLE","",J359))),10,IF(ISNUMBER(SEARCH("Navigational",IF(J359="NOT AVAILABLE","",J359))),0,12))))+IF(ISNUMBER(G359),MIN(30,ROUND(30*LOG10(G359+1)/4,1)),0)+IF(ISNUMBER(H359),ROUND(25*(100-H359)/100,1),12.5)+14,0)</f>
        <v/>
      </c>
      <c r="O359">
        <f>ROUND(N359*M359/100,0)</f>
        <v/>
      </c>
      <c r="P359" s="5" t="inlineStr">
        <is>
          <t>Queried - Semrush returned no data or zero volume; usable as natural wording only</t>
        </is>
      </c>
      <c r="Q359" s="5" t="inlineStr">
        <is>
          <t>None detected</t>
        </is>
      </c>
    </row>
    <row r="360">
      <c r="A360" s="3" t="inlineStr">
        <is>
          <t>https://codesommet.com/tools/image-compressor</t>
        </is>
      </c>
      <c r="B360" s="5" t="inlineStr">
        <is>
          <t>Compresseur d'Images Gratuit : WebP, JPEG</t>
        </is>
      </c>
      <c r="C360" t="inlineStr">
        <is>
          <t>France</t>
        </is>
      </c>
      <c r="D360" t="inlineStr">
        <is>
          <t>fr</t>
        </is>
      </c>
      <c r="E360" t="inlineStr">
        <is>
          <t>PRIMARY</t>
        </is>
      </c>
      <c r="F360" t="inlineStr">
        <is>
          <t>compresser image</t>
        </is>
      </c>
      <c r="G360" t="n">
        <v>22200</v>
      </c>
      <c r="H360" t="n">
        <v>28</v>
      </c>
      <c r="I360" t="n">
        <v>0</v>
      </c>
      <c r="J360" t="inlineStr">
        <is>
          <t>Informational</t>
        </is>
      </c>
      <c r="K360" t="inlineStr">
        <is>
          <t>MEASURED</t>
        </is>
      </c>
      <c r="L360" t="inlineStr">
        <is>
          <t>P3</t>
        </is>
      </c>
      <c r="M360" t="n">
        <v>100</v>
      </c>
      <c r="N360">
        <f>ROUND(IF(IF(J360="NOT AVAILABLE","",J360)="",12,IF(OR(ISNUMBER(SEARCH("Transactional",IF(J360="NOT AVAILABLE","",J360))),ISNUMBER(SEARCH("Commercial",IF(J360="NOT AVAILABLE","",J360)))),25,IF(ISNUMBER(SEARCH("Informational",IF(J360="NOT AVAILABLE","",J360))),10,IF(ISNUMBER(SEARCH("Navigational",IF(J360="NOT AVAILABLE","",J360))),0,12))))+IF(ISNUMBER(G360),MIN(30,ROUND(30*LOG10(G360+1)/4,1)),0)+IF(ISNUMBER(H360),ROUND(25*(100-H360)/100,1),12.5)+14,0)</f>
        <v/>
      </c>
      <c r="O360">
        <f>ROUND(N360*M360/100,0)</f>
        <v/>
      </c>
      <c r="P360" s="5" t="inlineStr">
        <is>
          <t>Best-fitting measured FR query for the tool task (tools serve the francophone market; FR db used as proxy)</t>
        </is>
      </c>
      <c r="Q360" s="5" t="inlineStr">
        <is>
          <t>None detected</t>
        </is>
      </c>
    </row>
    <row r="361">
      <c r="A361" s="3" t="inlineStr">
        <is>
          <t>https://codesommet.com/tools/image-compressor</t>
        </is>
      </c>
      <c r="B361" s="5" t="inlineStr">
        <is>
          <t>Compresseur d'Images Gratuit : WebP, JPEG</t>
        </is>
      </c>
      <c r="C361" t="inlineStr">
        <is>
          <t>France</t>
        </is>
      </c>
      <c r="D361" t="inlineStr">
        <is>
          <t>fr</t>
        </is>
      </c>
      <c r="E361" t="inlineStr">
        <is>
          <t>SECONDARY</t>
        </is>
      </c>
      <c r="F361" t="inlineStr">
        <is>
          <t>compresser photo</t>
        </is>
      </c>
      <c r="G361" t="n">
        <v>9900</v>
      </c>
      <c r="H361" t="n">
        <v>31</v>
      </c>
      <c r="I361" t="n">
        <v>0.26</v>
      </c>
      <c r="J361" t="inlineStr">
        <is>
          <t>Informational</t>
        </is>
      </c>
      <c r="K361" t="inlineStr">
        <is>
          <t>MEASURED</t>
        </is>
      </c>
      <c r="L361" t="inlineStr">
        <is>
          <t>P3</t>
        </is>
      </c>
      <c r="M361" t="n">
        <v>85</v>
      </c>
      <c r="N361">
        <f>ROUND(IF(IF(J361="NOT AVAILABLE","",J361)="",12,IF(OR(ISNUMBER(SEARCH("Transactional",IF(J361="NOT AVAILABLE","",J361))),ISNUMBER(SEARCH("Commercial",IF(J361="NOT AVAILABLE","",J361)))),25,IF(ISNUMBER(SEARCH("Informational",IF(J361="NOT AVAILABLE","",J361))),10,IF(ISNUMBER(SEARCH("Navigational",IF(J361="NOT AVAILABLE","",J361))),0,12))))+IF(ISNUMBER(G361),MIN(30,ROUND(30*LOG10(G361+1)/4,1)),0)+IF(ISNUMBER(H361),ROUND(25*(100-H361)/100,1),12.5)+14,0)</f>
        <v/>
      </c>
      <c r="O361">
        <f>ROUND(N361*M361/100,0)</f>
        <v/>
      </c>
      <c r="P361" s="5" t="inlineStr">
        <is>
          <t>Measured variant of the tool task</t>
        </is>
      </c>
      <c r="Q361" s="5" t="inlineStr">
        <is>
          <t>None detected</t>
        </is>
      </c>
    </row>
    <row r="362">
      <c r="A362" s="3" t="inlineStr">
        <is>
          <t>https://codesommet.com/tools/image-compressor</t>
        </is>
      </c>
      <c r="B362" s="5" t="inlineStr">
        <is>
          <t>Compresseur d'Images Gratuit : WebP, JPEG</t>
        </is>
      </c>
      <c r="C362" t="inlineStr">
        <is>
          <t>France</t>
        </is>
      </c>
      <c r="D362" t="inlineStr">
        <is>
          <t>fr</t>
        </is>
      </c>
      <c r="E362" t="inlineStr">
        <is>
          <t>SECONDARY</t>
        </is>
      </c>
      <c r="F362" t="inlineStr">
        <is>
          <t>réduire taille image</t>
        </is>
      </c>
      <c r="G362" t="n">
        <v>8100</v>
      </c>
      <c r="H362" t="n">
        <v>33</v>
      </c>
      <c r="I362" t="n">
        <v>0.18</v>
      </c>
      <c r="J362" t="inlineStr">
        <is>
          <t>Commercial</t>
        </is>
      </c>
      <c r="K362" t="inlineStr">
        <is>
          <t>MEASURED</t>
        </is>
      </c>
      <c r="L362" t="inlineStr">
        <is>
          <t>P3</t>
        </is>
      </c>
      <c r="M362" t="n">
        <v>85</v>
      </c>
      <c r="N362">
        <f>ROUND(IF(IF(J362="NOT AVAILABLE","",J362)="",12,IF(OR(ISNUMBER(SEARCH("Transactional",IF(J362="NOT AVAILABLE","",J362))),ISNUMBER(SEARCH("Commercial",IF(J362="NOT AVAILABLE","",J362)))),25,IF(ISNUMBER(SEARCH("Informational",IF(J362="NOT AVAILABLE","",J362))),10,IF(ISNUMBER(SEARCH("Navigational",IF(J362="NOT AVAILABLE","",J362))),0,12))))+IF(ISNUMBER(G362),MIN(30,ROUND(30*LOG10(G362+1)/4,1)),0)+IF(ISNUMBER(H362),ROUND(25*(100-H362)/100,1),12.5)+14,0)</f>
        <v/>
      </c>
      <c r="O362">
        <f>ROUND(N362*M362/100,0)</f>
        <v/>
      </c>
      <c r="P362" s="5" t="inlineStr">
        <is>
          <t>Measured variant of the tool task</t>
        </is>
      </c>
      <c r="Q362" s="5" t="inlineStr">
        <is>
          <t>None detected</t>
        </is>
      </c>
    </row>
    <row r="363">
      <c r="A363" s="3" t="inlineStr">
        <is>
          <t>https://codesommet.com/tools/image-compressor</t>
        </is>
      </c>
      <c r="B363" s="5" t="inlineStr">
        <is>
          <t>Compresseur d'Images Gratuit : WebP, JPEG</t>
        </is>
      </c>
      <c r="C363" t="inlineStr">
        <is>
          <t>Morocco</t>
        </is>
      </c>
      <c r="D363" t="inlineStr">
        <is>
          <t>ma</t>
        </is>
      </c>
      <c r="E363" t="inlineStr">
        <is>
          <t>SECONDARY</t>
        </is>
      </c>
      <c r="F363" t="inlineStr">
        <is>
          <t>compresser image</t>
        </is>
      </c>
      <c r="G363" t="n">
        <v>5400</v>
      </c>
      <c r="H363" t="n">
        <v>42</v>
      </c>
      <c r="I363" t="n">
        <v>0</v>
      </c>
      <c r="J363" t="inlineStr">
        <is>
          <t>Informational, Commercial</t>
        </is>
      </c>
      <c r="K363" t="inlineStr">
        <is>
          <t>MEASURED</t>
        </is>
      </c>
      <c r="L363" t="inlineStr">
        <is>
          <t>P3</t>
        </is>
      </c>
      <c r="M363" t="n">
        <v>85</v>
      </c>
      <c r="N363">
        <f>ROUND(IF(IF(J363="NOT AVAILABLE","",J363)="",12,IF(OR(ISNUMBER(SEARCH("Transactional",IF(J363="NOT AVAILABLE","",J363))),ISNUMBER(SEARCH("Commercial",IF(J363="NOT AVAILABLE","",J363)))),25,IF(ISNUMBER(SEARCH("Informational",IF(J363="NOT AVAILABLE","",J363))),10,IF(ISNUMBER(SEARCH("Navigational",IF(J363="NOT AVAILABLE","",J363))),0,12))))+IF(ISNUMBER(G363),MIN(30,ROUND(30*LOG10(G363+1)/4,1)),0)+IF(ISNUMBER(H363),ROUND(25*(100-H363)/100,1),12.5)+20,0)</f>
        <v/>
      </c>
      <c r="O363">
        <f>ROUND(N363*M363/100,0)</f>
        <v/>
      </c>
      <c r="P363" s="5" t="inlineStr">
        <is>
          <t>Same query, Moroccan market (separate database, never summed)</t>
        </is>
      </c>
      <c r="Q363" s="5" t="inlineStr">
        <is>
          <t>None detected</t>
        </is>
      </c>
    </row>
    <row r="364">
      <c r="A364" s="3" t="inlineStr">
        <is>
          <t>https://codesommet.com/tools/image-compressor</t>
        </is>
      </c>
      <c r="B364" s="5" t="inlineStr">
        <is>
          <t>Compresseur d'Images Gratuit : WebP, JPEG</t>
        </is>
      </c>
      <c r="C364" t="inlineStr">
        <is>
          <t>France</t>
        </is>
      </c>
      <c r="D364" t="inlineStr">
        <is>
          <t>fr</t>
        </is>
      </c>
      <c r="E364" t="inlineStr">
        <is>
          <t>SECONDARY</t>
        </is>
      </c>
      <c r="F364" t="inlineStr">
        <is>
          <t>compression image</t>
        </is>
      </c>
      <c r="G364" t="n">
        <v>5400</v>
      </c>
      <c r="H364" t="n">
        <v>49</v>
      </c>
      <c r="I364" t="n">
        <v>0.32</v>
      </c>
      <c r="J364" t="inlineStr">
        <is>
          <t>Informational</t>
        </is>
      </c>
      <c r="K364" t="inlineStr">
        <is>
          <t>MEASURED</t>
        </is>
      </c>
      <c r="L364" t="inlineStr">
        <is>
          <t>P3</t>
        </is>
      </c>
      <c r="M364" t="n">
        <v>85</v>
      </c>
      <c r="N364">
        <f>ROUND(IF(IF(J364="NOT AVAILABLE","",J364)="",12,IF(OR(ISNUMBER(SEARCH("Transactional",IF(J364="NOT AVAILABLE","",J364))),ISNUMBER(SEARCH("Commercial",IF(J364="NOT AVAILABLE","",J364)))),25,IF(ISNUMBER(SEARCH("Informational",IF(J364="NOT AVAILABLE","",J364))),10,IF(ISNUMBER(SEARCH("Navigational",IF(J364="NOT AVAILABLE","",J364))),0,12))))+IF(ISNUMBER(G364),MIN(30,ROUND(30*LOG10(G364+1)/4,1)),0)+IF(ISNUMBER(H364),ROUND(25*(100-H364)/100,1),12.5)+14,0)</f>
        <v/>
      </c>
      <c r="O364">
        <f>ROUND(N364*M364/100,0)</f>
        <v/>
      </c>
      <c r="P364" s="5" t="inlineStr">
        <is>
          <t>Measured variant of the tool task</t>
        </is>
      </c>
      <c r="Q364" s="5" t="inlineStr">
        <is>
          <t>None detected</t>
        </is>
      </c>
    </row>
    <row r="365">
      <c r="A365" s="3" t="inlineStr">
        <is>
          <t>https://codesommet.com/tools/image-compressor</t>
        </is>
      </c>
      <c r="B365" s="5" t="inlineStr">
        <is>
          <t>Compresseur d'Images Gratuit : WebP, JPEG</t>
        </is>
      </c>
      <c r="C365" t="inlineStr">
        <is>
          <t>France</t>
        </is>
      </c>
      <c r="D365" t="inlineStr">
        <is>
          <t>fr</t>
        </is>
      </c>
      <c r="E365" t="inlineStr">
        <is>
          <t>SECONDARY</t>
        </is>
      </c>
      <c r="F365" t="inlineStr">
        <is>
          <t>compresser image en ligne</t>
        </is>
      </c>
      <c r="G365" t="n">
        <v>590</v>
      </c>
      <c r="H365" t="n">
        <v>37</v>
      </c>
      <c r="I365" t="n">
        <v>0.25</v>
      </c>
      <c r="J365" t="inlineStr">
        <is>
          <t>Informational</t>
        </is>
      </c>
      <c r="K365" t="inlineStr">
        <is>
          <t>MEASURED</t>
        </is>
      </c>
      <c r="L365" t="inlineStr">
        <is>
          <t>P3</t>
        </is>
      </c>
      <c r="M365" t="n">
        <v>85</v>
      </c>
      <c r="N365">
        <f>ROUND(IF(IF(J365="NOT AVAILABLE","",J365)="",12,IF(OR(ISNUMBER(SEARCH("Transactional",IF(J365="NOT AVAILABLE","",J365))),ISNUMBER(SEARCH("Commercial",IF(J365="NOT AVAILABLE","",J365)))),25,IF(ISNUMBER(SEARCH("Informational",IF(J365="NOT AVAILABLE","",J365))),10,IF(ISNUMBER(SEARCH("Navigational",IF(J365="NOT AVAILABLE","",J365))),0,12))))+IF(ISNUMBER(G365),MIN(30,ROUND(30*LOG10(G365+1)/4,1)),0)+IF(ISNUMBER(H365),ROUND(25*(100-H365)/100,1),12.5)+14,0)</f>
        <v/>
      </c>
      <c r="O365">
        <f>ROUND(N365*M365/100,0)</f>
        <v/>
      </c>
      <c r="P365" s="5" t="inlineStr">
        <is>
          <t>Measured variant of the tool task</t>
        </is>
      </c>
      <c r="Q365" s="5" t="inlineStr">
        <is>
          <t>None detected</t>
        </is>
      </c>
    </row>
    <row r="366">
      <c r="A366" s="3" t="inlineStr">
        <is>
          <t>https://codesommet.com/tools/image-compressor</t>
        </is>
      </c>
      <c r="B366" s="5" t="inlineStr">
        <is>
          <t>Compresseur d'Images Gratuit : WebP, JPEG</t>
        </is>
      </c>
      <c r="C366" t="inlineStr">
        <is>
          <t>Morocco</t>
        </is>
      </c>
      <c r="D366" t="inlineStr">
        <is>
          <t>ma</t>
        </is>
      </c>
      <c r="E366" t="inlineStr">
        <is>
          <t>SUPPORTING</t>
        </is>
      </c>
      <c r="F366" t="inlineStr">
        <is>
          <t>compression image</t>
        </is>
      </c>
      <c r="G366" t="n">
        <v>5400</v>
      </c>
      <c r="H366" t="n">
        <v>42</v>
      </c>
      <c r="I366" t="n">
        <v>0</v>
      </c>
      <c r="J366" t="inlineStr">
        <is>
          <t>Informational, Commercial</t>
        </is>
      </c>
      <c r="K366" t="inlineStr">
        <is>
          <t>MEASURED</t>
        </is>
      </c>
      <c r="L366" t="inlineStr">
        <is>
          <t>P3</t>
        </is>
      </c>
      <c r="M366" t="n">
        <v>65</v>
      </c>
      <c r="N366">
        <f>ROUND(IF(IF(J366="NOT AVAILABLE","",J366)="",12,IF(OR(ISNUMBER(SEARCH("Transactional",IF(J366="NOT AVAILABLE","",J366))),ISNUMBER(SEARCH("Commercial",IF(J366="NOT AVAILABLE","",J366)))),25,IF(ISNUMBER(SEARCH("Informational",IF(J366="NOT AVAILABLE","",J366))),10,IF(ISNUMBER(SEARCH("Navigational",IF(J366="NOT AVAILABLE","",J366))),0,12))))+IF(ISNUMBER(G366),MIN(30,ROUND(30*LOG10(G366+1)/4,1)),0)+IF(ISNUMBER(H366),ROUND(25*(100-H366)/100,1),12.5)+20,0)</f>
        <v/>
      </c>
      <c r="O366">
        <f>ROUND(N366*M366/100,0)</f>
        <v/>
      </c>
      <c r="P366" s="5" t="inlineStr">
        <is>
          <t>Measured variant of the tool task (MA market)</t>
        </is>
      </c>
      <c r="Q366" s="5" t="inlineStr">
        <is>
          <t>None detected</t>
        </is>
      </c>
    </row>
    <row r="367">
      <c r="A367" s="3" t="inlineStr">
        <is>
          <t>https://codesommet.com/tools/image-compressor</t>
        </is>
      </c>
      <c r="B367" s="5" t="inlineStr">
        <is>
          <t>Compresseur d'Images Gratuit : WebP, JPEG</t>
        </is>
      </c>
      <c r="C367" t="inlineStr">
        <is>
          <t>Morocco</t>
        </is>
      </c>
      <c r="D367" t="inlineStr">
        <is>
          <t>ma</t>
        </is>
      </c>
      <c r="E367" t="inlineStr">
        <is>
          <t>SUPPORTING</t>
        </is>
      </c>
      <c r="F367" t="inlineStr">
        <is>
          <t>réduire taille image</t>
        </is>
      </c>
      <c r="G367" t="n">
        <v>1000</v>
      </c>
      <c r="H367" t="n">
        <v>39</v>
      </c>
      <c r="I367" t="n">
        <v>0.03</v>
      </c>
      <c r="J367" t="inlineStr">
        <is>
          <t>Informational</t>
        </is>
      </c>
      <c r="K367" t="inlineStr">
        <is>
          <t>MEASURED</t>
        </is>
      </c>
      <c r="L367" t="inlineStr">
        <is>
          <t>P3</t>
        </is>
      </c>
      <c r="M367" t="n">
        <v>65</v>
      </c>
      <c r="N367">
        <f>ROUND(IF(IF(J367="NOT AVAILABLE","",J367)="",12,IF(OR(ISNUMBER(SEARCH("Transactional",IF(J367="NOT AVAILABLE","",J367))),ISNUMBER(SEARCH("Commercial",IF(J367="NOT AVAILABLE","",J367)))),25,IF(ISNUMBER(SEARCH("Informational",IF(J367="NOT AVAILABLE","",J367))),10,IF(ISNUMBER(SEARCH("Navigational",IF(J367="NOT AVAILABLE","",J367))),0,12))))+IF(ISNUMBER(G367),MIN(30,ROUND(30*LOG10(G367+1)/4,1)),0)+IF(ISNUMBER(H367),ROUND(25*(100-H367)/100,1),12.5)+20,0)</f>
        <v/>
      </c>
      <c r="O367">
        <f>ROUND(N367*M367/100,0)</f>
        <v/>
      </c>
      <c r="P367" s="5" t="inlineStr">
        <is>
          <t>Measured variant of the tool task (MA market)</t>
        </is>
      </c>
      <c r="Q367" s="5" t="inlineStr">
        <is>
          <t>None detected</t>
        </is>
      </c>
    </row>
    <row r="368">
      <c r="A368" s="3" t="inlineStr">
        <is>
          <t>https://codesommet.com/tools/image-compressor</t>
        </is>
      </c>
      <c r="B368" s="5" t="inlineStr">
        <is>
          <t>Compresseur d'Images Gratuit : WebP, JPEG</t>
        </is>
      </c>
      <c r="C368" t="inlineStr">
        <is>
          <t>Morocco</t>
        </is>
      </c>
      <c r="D368" t="inlineStr">
        <is>
          <t>ma</t>
        </is>
      </c>
      <c r="E368" t="inlineStr">
        <is>
          <t>SUPPORTING</t>
        </is>
      </c>
      <c r="F368" t="inlineStr">
        <is>
          <t>compresser photo</t>
        </is>
      </c>
      <c r="G368" t="n">
        <v>720</v>
      </c>
      <c r="H368" t="n">
        <v>43</v>
      </c>
      <c r="I368" t="n">
        <v>0.03</v>
      </c>
      <c r="J368" t="inlineStr">
        <is>
          <t>Informational, Commercial</t>
        </is>
      </c>
      <c r="K368" t="inlineStr">
        <is>
          <t>MEASURED</t>
        </is>
      </c>
      <c r="L368" t="inlineStr">
        <is>
          <t>P3</t>
        </is>
      </c>
      <c r="M368" t="n">
        <v>65</v>
      </c>
      <c r="N368">
        <f>ROUND(IF(IF(J368="NOT AVAILABLE","",J368)="",12,IF(OR(ISNUMBER(SEARCH("Transactional",IF(J368="NOT AVAILABLE","",J368))),ISNUMBER(SEARCH("Commercial",IF(J368="NOT AVAILABLE","",J368)))),25,IF(ISNUMBER(SEARCH("Informational",IF(J368="NOT AVAILABLE","",J368))),10,IF(ISNUMBER(SEARCH("Navigational",IF(J368="NOT AVAILABLE","",J368))),0,12))))+IF(ISNUMBER(G368),MIN(30,ROUND(30*LOG10(G368+1)/4,1)),0)+IF(ISNUMBER(H368),ROUND(25*(100-H368)/100,1),12.5)+20,0)</f>
        <v/>
      </c>
      <c r="O368">
        <f>ROUND(N368*M368/100,0)</f>
        <v/>
      </c>
      <c r="P368" s="5" t="inlineStr">
        <is>
          <t>Measured variant of the tool task (MA market)</t>
        </is>
      </c>
      <c r="Q368" s="5" t="inlineStr">
        <is>
          <t>None detected</t>
        </is>
      </c>
    </row>
    <row r="369">
      <c r="A369" s="3" t="inlineStr">
        <is>
          <t>https://codesommet.com/tools/image-compressor</t>
        </is>
      </c>
      <c r="B369" s="5" t="inlineStr">
        <is>
          <t>Compresseur d'Images Gratuit : WebP, JPEG</t>
        </is>
      </c>
      <c r="C369" t="inlineStr">
        <is>
          <t>Morocco</t>
        </is>
      </c>
      <c r="D369" t="inlineStr">
        <is>
          <t>ma</t>
        </is>
      </c>
      <c r="E369" t="inlineStr">
        <is>
          <t>SUPPORTING</t>
        </is>
      </c>
      <c r="F369" t="inlineStr">
        <is>
          <t>compresser image en ligne</t>
        </is>
      </c>
      <c r="G369" t="n">
        <v>90</v>
      </c>
      <c r="H369" t="inlineStr">
        <is>
          <t>NOT AVAILABLE</t>
        </is>
      </c>
      <c r="I369" t="n">
        <v>0</v>
      </c>
      <c r="J369" t="inlineStr">
        <is>
          <t>NOT AVAILABLE</t>
        </is>
      </c>
      <c r="K369" t="inlineStr">
        <is>
          <t>MEASURED</t>
        </is>
      </c>
      <c r="L369" t="inlineStr">
        <is>
          <t>P3</t>
        </is>
      </c>
      <c r="M369" t="n">
        <v>65</v>
      </c>
      <c r="N369">
        <f>ROUND(IF(IF(J369="NOT AVAILABLE","",J369)="",12,IF(OR(ISNUMBER(SEARCH("Transactional",IF(J369="NOT AVAILABLE","",J369))),ISNUMBER(SEARCH("Commercial",IF(J369="NOT AVAILABLE","",J369)))),25,IF(ISNUMBER(SEARCH("Informational",IF(J369="NOT AVAILABLE","",J369))),10,IF(ISNUMBER(SEARCH("Navigational",IF(J369="NOT AVAILABLE","",J369))),0,12))))+IF(ISNUMBER(G369),MIN(30,ROUND(30*LOG10(G369+1)/4,1)),0)+IF(ISNUMBER(H369),ROUND(25*(100-H369)/100,1),12.5)+20,0)</f>
        <v/>
      </c>
      <c r="O369">
        <f>ROUND(N369*M369/100,0)</f>
        <v/>
      </c>
      <c r="P369" s="5" t="inlineStr">
        <is>
          <t>Measured variant of the tool task (MA market)</t>
        </is>
      </c>
      <c r="Q369" s="5" t="inlineStr">
        <is>
          <t>None detected</t>
        </is>
      </c>
    </row>
    <row r="370">
      <c r="A370" s="3" t="inlineStr">
        <is>
          <t>https://codesommet.com/tools/internal-link-analyzer</t>
        </is>
      </c>
      <c r="B370" s="5" t="inlineStr">
        <is>
          <t>Analyseur de Liens Internes Gratuit</t>
        </is>
      </c>
      <c r="C370" t="inlineStr">
        <is>
          <t>France</t>
        </is>
      </c>
      <c r="D370" t="inlineStr">
        <is>
          <t>fr</t>
        </is>
      </c>
      <c r="E370" t="inlineStr">
        <is>
          <t>PRIMARY</t>
        </is>
      </c>
      <c r="F370" t="inlineStr">
        <is>
          <t>maillage interne</t>
        </is>
      </c>
      <c r="G370" t="n">
        <v>1900</v>
      </c>
      <c r="H370" t="n">
        <v>25</v>
      </c>
      <c r="I370" t="n">
        <v>1.76</v>
      </c>
      <c r="J370" t="inlineStr">
        <is>
          <t>Informational</t>
        </is>
      </c>
      <c r="K370" t="inlineStr">
        <is>
          <t>MEASURED</t>
        </is>
      </c>
      <c r="L370" t="inlineStr">
        <is>
          <t>P3</t>
        </is>
      </c>
      <c r="M370" t="n">
        <v>100</v>
      </c>
      <c r="N370">
        <f>ROUND(IF(IF(J370="NOT AVAILABLE","",J370)="",12,IF(OR(ISNUMBER(SEARCH("Transactional",IF(J370="NOT AVAILABLE","",J370))),ISNUMBER(SEARCH("Commercial",IF(J370="NOT AVAILABLE","",J370)))),25,IF(ISNUMBER(SEARCH("Informational",IF(J370="NOT AVAILABLE","",J370))),10,IF(ISNUMBER(SEARCH("Navigational",IF(J370="NOT AVAILABLE","",J370))),0,12))))+IF(ISNUMBER(G370),MIN(30,ROUND(30*LOG10(G370+1)/4,1)),0)+IF(ISNUMBER(H370),ROUND(25*(100-H370)/100,1),12.5)+14,0)</f>
        <v/>
      </c>
      <c r="O370">
        <f>ROUND(N370*M370/100,0)</f>
        <v/>
      </c>
      <c r="P370" s="5" t="inlineStr">
        <is>
          <t>Best-fitting measured FR query for the tool task (tools serve the francophone market; FR db used as proxy)</t>
        </is>
      </c>
      <c r="Q370" s="5" t="inlineStr">
        <is>
          <t>None detected</t>
        </is>
      </c>
    </row>
    <row r="371">
      <c r="A371" s="3" t="inlineStr">
        <is>
          <t>https://codesommet.com/tools/internal-link-analyzer</t>
        </is>
      </c>
      <c r="B371" s="5" t="inlineStr">
        <is>
          <t>Analyseur de Liens Internes Gratuit</t>
        </is>
      </c>
      <c r="C371" t="inlineStr">
        <is>
          <t>France</t>
        </is>
      </c>
      <c r="D371" t="inlineStr">
        <is>
          <t>fr</t>
        </is>
      </c>
      <c r="E371" t="inlineStr">
        <is>
          <t>SECONDARY</t>
        </is>
      </c>
      <c r="F371" t="inlineStr">
        <is>
          <t>analyse maillage interne</t>
        </is>
      </c>
      <c r="G371" t="n">
        <v>140</v>
      </c>
      <c r="H371" t="n">
        <v>18</v>
      </c>
      <c r="I371" t="n">
        <v>0</v>
      </c>
      <c r="J371" t="inlineStr">
        <is>
          <t>Informational</t>
        </is>
      </c>
      <c r="K371" t="inlineStr">
        <is>
          <t>MEASURED</t>
        </is>
      </c>
      <c r="L371" t="inlineStr">
        <is>
          <t>P3</t>
        </is>
      </c>
      <c r="M371" t="n">
        <v>85</v>
      </c>
      <c r="N371">
        <f>ROUND(IF(IF(J371="NOT AVAILABLE","",J371)="",12,IF(OR(ISNUMBER(SEARCH("Transactional",IF(J371="NOT AVAILABLE","",J371))),ISNUMBER(SEARCH("Commercial",IF(J371="NOT AVAILABLE","",J371)))),25,IF(ISNUMBER(SEARCH("Informational",IF(J371="NOT AVAILABLE","",J371))),10,IF(ISNUMBER(SEARCH("Navigational",IF(J371="NOT AVAILABLE","",J371))),0,12))))+IF(ISNUMBER(G371),MIN(30,ROUND(30*LOG10(G371+1)/4,1)),0)+IF(ISNUMBER(H371),ROUND(25*(100-H371)/100,1),12.5)+14,0)</f>
        <v/>
      </c>
      <c r="O371">
        <f>ROUND(N371*M371/100,0)</f>
        <v/>
      </c>
      <c r="P371" s="5" t="inlineStr">
        <is>
          <t>Measured variant of the tool task</t>
        </is>
      </c>
      <c r="Q371" s="5" t="inlineStr">
        <is>
          <t>None detected</t>
        </is>
      </c>
    </row>
    <row r="372">
      <c r="A372" s="3" t="inlineStr">
        <is>
          <t>https://codesommet.com/tools/internal-link-analyzer</t>
        </is>
      </c>
      <c r="B372" s="5" t="inlineStr">
        <is>
          <t>Analyseur de Liens Internes Gratuit</t>
        </is>
      </c>
      <c r="C372" t="inlineStr">
        <is>
          <t>Morocco</t>
        </is>
      </c>
      <c r="D372" t="inlineStr">
        <is>
          <t>ma</t>
        </is>
      </c>
      <c r="E372" t="inlineStr">
        <is>
          <t>SECONDARY</t>
        </is>
      </c>
      <c r="F372" t="inlineStr">
        <is>
          <t>maillage interne</t>
        </is>
      </c>
      <c r="G372" t="n">
        <v>20</v>
      </c>
      <c r="H372" t="inlineStr">
        <is>
          <t>NOT AVAILABLE</t>
        </is>
      </c>
      <c r="I372" t="n">
        <v>0</v>
      </c>
      <c r="J372" t="inlineStr">
        <is>
          <t>NOT AVAILABLE</t>
        </is>
      </c>
      <c r="K372" t="inlineStr">
        <is>
          <t>MEASURED</t>
        </is>
      </c>
      <c r="L372" t="inlineStr">
        <is>
          <t>P3</t>
        </is>
      </c>
      <c r="M372" t="n">
        <v>85</v>
      </c>
      <c r="N372">
        <f>ROUND(IF(IF(J372="NOT AVAILABLE","",J372)="",12,IF(OR(ISNUMBER(SEARCH("Transactional",IF(J372="NOT AVAILABLE","",J372))),ISNUMBER(SEARCH("Commercial",IF(J372="NOT AVAILABLE","",J372)))),25,IF(ISNUMBER(SEARCH("Informational",IF(J372="NOT AVAILABLE","",J372))),10,IF(ISNUMBER(SEARCH("Navigational",IF(J372="NOT AVAILABLE","",J372))),0,12))))+IF(ISNUMBER(G372),MIN(30,ROUND(30*LOG10(G372+1)/4,1)),0)+IF(ISNUMBER(H372),ROUND(25*(100-H372)/100,1),12.5)+20,0)</f>
        <v/>
      </c>
      <c r="O372">
        <f>ROUND(N372*M372/100,0)</f>
        <v/>
      </c>
      <c r="P372" s="5" t="inlineStr">
        <is>
          <t>Same query, Moroccan market (separate database, never summed)</t>
        </is>
      </c>
      <c r="Q372" s="5" t="inlineStr">
        <is>
          <t>None detected</t>
        </is>
      </c>
    </row>
    <row r="373">
      <c r="A373" s="3" t="inlineStr">
        <is>
          <t>https://codesommet.com/tools/internal-link-analyzer</t>
        </is>
      </c>
      <c r="B373" s="5" t="inlineStr">
        <is>
          <t>Analyseur de Liens Internes Gratuit</t>
        </is>
      </c>
      <c r="C373" t="inlineStr">
        <is>
          <t>France</t>
        </is>
      </c>
      <c r="D373" t="inlineStr">
        <is>
          <t>fr</t>
        </is>
      </c>
      <c r="E373" t="inlineStr">
        <is>
          <t>SUPPORTING</t>
        </is>
      </c>
      <c r="F373" t="inlineStr">
        <is>
          <t>liens internes</t>
        </is>
      </c>
      <c r="G373" t="n">
        <v>70</v>
      </c>
      <c r="H373" t="n">
        <v>18</v>
      </c>
      <c r="I373" t="n">
        <v>0</v>
      </c>
      <c r="J373" t="inlineStr">
        <is>
          <t>Informational</t>
        </is>
      </c>
      <c r="K373" t="inlineStr">
        <is>
          <t>MEASURED</t>
        </is>
      </c>
      <c r="L373" t="inlineStr">
        <is>
          <t>P3</t>
        </is>
      </c>
      <c r="M373" t="n">
        <v>65</v>
      </c>
      <c r="N373">
        <f>ROUND(IF(IF(J373="NOT AVAILABLE","",J373)="",12,IF(OR(ISNUMBER(SEARCH("Transactional",IF(J373="NOT AVAILABLE","",J373))),ISNUMBER(SEARCH("Commercial",IF(J373="NOT AVAILABLE","",J373)))),25,IF(ISNUMBER(SEARCH("Informational",IF(J373="NOT AVAILABLE","",J373))),10,IF(ISNUMBER(SEARCH("Navigational",IF(J373="NOT AVAILABLE","",J373))),0,12))))+IF(ISNUMBER(G373),MIN(30,ROUND(30*LOG10(G373+1)/4,1)),0)+IF(ISNUMBER(H373),ROUND(25*(100-H373)/100,1),12.5)+14,0)</f>
        <v/>
      </c>
      <c r="O373">
        <f>ROUND(N373*M373/100,0)</f>
        <v/>
      </c>
      <c r="P373" s="5" t="inlineStr">
        <is>
          <t>Measured variant of the tool task</t>
        </is>
      </c>
      <c r="Q373" s="5" t="inlineStr">
        <is>
          <t>None detected</t>
        </is>
      </c>
    </row>
    <row r="374">
      <c r="A374" s="3" t="inlineStr">
        <is>
          <t>https://codesommet.com/tools/internal-link-analyzer</t>
        </is>
      </c>
      <c r="B374" s="5" t="inlineStr">
        <is>
          <t>Analyseur de Liens Internes Gratuit</t>
        </is>
      </c>
      <c r="C374" t="inlineStr">
        <is>
          <t>France</t>
        </is>
      </c>
      <c r="D374" t="inlineStr">
        <is>
          <t>fr</t>
        </is>
      </c>
      <c r="E374" t="inlineStr">
        <is>
          <t>SUPPORTING</t>
        </is>
      </c>
      <c r="F374" t="inlineStr">
        <is>
          <t>outil maillage interne</t>
        </is>
      </c>
      <c r="G374" t="n">
        <v>70</v>
      </c>
      <c r="H374" t="n">
        <v>17</v>
      </c>
      <c r="I374" t="n">
        <v>2.44</v>
      </c>
      <c r="J374" t="inlineStr">
        <is>
          <t>Informational</t>
        </is>
      </c>
      <c r="K374" t="inlineStr">
        <is>
          <t>MEASURED</t>
        </is>
      </c>
      <c r="L374" t="inlineStr">
        <is>
          <t>P3</t>
        </is>
      </c>
      <c r="M374" t="n">
        <v>65</v>
      </c>
      <c r="N374">
        <f>ROUND(IF(IF(J374="NOT AVAILABLE","",J374)="",12,IF(OR(ISNUMBER(SEARCH("Transactional",IF(J374="NOT AVAILABLE","",J374))),ISNUMBER(SEARCH("Commercial",IF(J374="NOT AVAILABLE","",J374)))),25,IF(ISNUMBER(SEARCH("Informational",IF(J374="NOT AVAILABLE","",J374))),10,IF(ISNUMBER(SEARCH("Navigational",IF(J374="NOT AVAILABLE","",J374))),0,12))))+IF(ISNUMBER(G374),MIN(30,ROUND(30*LOG10(G374+1)/4,1)),0)+IF(ISNUMBER(H374),ROUND(25*(100-H374)/100,1),12.5)+14,0)</f>
        <v/>
      </c>
      <c r="O374">
        <f>ROUND(N374*M374/100,0)</f>
        <v/>
      </c>
      <c r="P374" s="5" t="inlineStr">
        <is>
          <t>Measured variant of the tool task</t>
        </is>
      </c>
      <c r="Q374" s="5" t="inlineStr">
        <is>
          <t>None detected</t>
        </is>
      </c>
    </row>
    <row r="375">
      <c r="A375" s="3" t="inlineStr">
        <is>
          <t>https://codesommet.com/tools/invisible-character-cleaner</t>
        </is>
      </c>
      <c r="B375" s="5" t="inlineStr">
        <is>
          <t>Nettoyeur de Caractères Invisibles Gratuit</t>
        </is>
      </c>
      <c r="C375" t="inlineStr">
        <is>
          <t>France</t>
        </is>
      </c>
      <c r="D375" t="inlineStr">
        <is>
          <t>fr</t>
        </is>
      </c>
      <c r="E375" t="inlineStr">
        <is>
          <t>PRIMARY</t>
        </is>
      </c>
      <c r="F375" t="inlineStr">
        <is>
          <t>caractère invisible</t>
        </is>
      </c>
      <c r="G375" t="n">
        <v>6600</v>
      </c>
      <c r="H375" t="n">
        <v>16</v>
      </c>
      <c r="I375" t="n">
        <v>0</v>
      </c>
      <c r="J375" t="inlineStr">
        <is>
          <t>Informational</t>
        </is>
      </c>
      <c r="K375" t="inlineStr">
        <is>
          <t>MEASURED</t>
        </is>
      </c>
      <c r="L375" t="inlineStr">
        <is>
          <t>P3</t>
        </is>
      </c>
      <c r="M375" t="n">
        <v>100</v>
      </c>
      <c r="N375">
        <f>ROUND(IF(IF(J375="NOT AVAILABLE","",J375)="",12,IF(OR(ISNUMBER(SEARCH("Transactional",IF(J375="NOT AVAILABLE","",J375))),ISNUMBER(SEARCH("Commercial",IF(J375="NOT AVAILABLE","",J375)))),25,IF(ISNUMBER(SEARCH("Informational",IF(J375="NOT AVAILABLE","",J375))),10,IF(ISNUMBER(SEARCH("Navigational",IF(J375="NOT AVAILABLE","",J375))),0,12))))+IF(ISNUMBER(G375),MIN(30,ROUND(30*LOG10(G375+1)/4,1)),0)+IF(ISNUMBER(H375),ROUND(25*(100-H375)/100,1),12.5)+14,0)</f>
        <v/>
      </c>
      <c r="O375">
        <f>ROUND(N375*M375/100,0)</f>
        <v/>
      </c>
      <c r="P375" s="5" t="inlineStr">
        <is>
          <t>Best-fitting measured FR query for the tool task (tools serve the francophone market; FR db used as proxy)</t>
        </is>
      </c>
      <c r="Q375" s="5" t="inlineStr">
        <is>
          <t>None detected</t>
        </is>
      </c>
    </row>
    <row r="376">
      <c r="A376" s="3" t="inlineStr">
        <is>
          <t>https://codesommet.com/tools/invisible-character-cleaner</t>
        </is>
      </c>
      <c r="B376" s="5" t="inlineStr">
        <is>
          <t>Nettoyeur de Caractères Invisibles Gratuit</t>
        </is>
      </c>
      <c r="C376" t="inlineStr">
        <is>
          <t>Morocco</t>
        </is>
      </c>
      <c r="D376" t="inlineStr">
        <is>
          <t>ma</t>
        </is>
      </c>
      <c r="E376" t="inlineStr">
        <is>
          <t>SECONDARY</t>
        </is>
      </c>
      <c r="F376" t="inlineStr">
        <is>
          <t>caractère invisible</t>
        </is>
      </c>
      <c r="G376" t="n">
        <v>260</v>
      </c>
      <c r="H376" t="inlineStr">
        <is>
          <t>NOT AVAILABLE</t>
        </is>
      </c>
      <c r="I376" t="n">
        <v>0</v>
      </c>
      <c r="J376" t="inlineStr">
        <is>
          <t>NOT AVAILABLE</t>
        </is>
      </c>
      <c r="K376" t="inlineStr">
        <is>
          <t>MEASURED</t>
        </is>
      </c>
      <c r="L376" t="inlineStr">
        <is>
          <t>P3</t>
        </is>
      </c>
      <c r="M376" t="n">
        <v>85</v>
      </c>
      <c r="N376">
        <f>ROUND(IF(IF(J376="NOT AVAILABLE","",J376)="",12,IF(OR(ISNUMBER(SEARCH("Transactional",IF(J376="NOT AVAILABLE","",J376))),ISNUMBER(SEARCH("Commercial",IF(J376="NOT AVAILABLE","",J376)))),25,IF(ISNUMBER(SEARCH("Informational",IF(J376="NOT AVAILABLE","",J376))),10,IF(ISNUMBER(SEARCH("Navigational",IF(J376="NOT AVAILABLE","",J376))),0,12))))+IF(ISNUMBER(G376),MIN(30,ROUND(30*LOG10(G376+1)/4,1)),0)+IF(ISNUMBER(H376),ROUND(25*(100-H376)/100,1),12.5)+20,0)</f>
        <v/>
      </c>
      <c r="O376">
        <f>ROUND(N376*M376/100,0)</f>
        <v/>
      </c>
      <c r="P376" s="5" t="inlineStr">
        <is>
          <t>Same query, Moroccan market (separate database, never summed)</t>
        </is>
      </c>
      <c r="Q376" s="5" t="inlineStr">
        <is>
          <t>None detected</t>
        </is>
      </c>
    </row>
    <row r="377">
      <c r="A377" s="3" t="inlineStr">
        <is>
          <t>https://codesommet.com/tools/invisible-character-cleaner</t>
        </is>
      </c>
      <c r="B377" s="5" t="inlineStr">
        <is>
          <t>Nettoyeur de Caractères Invisibles Gratuit</t>
        </is>
      </c>
      <c r="C377" t="inlineStr">
        <is>
          <t>France</t>
        </is>
      </c>
      <c r="D377" t="inlineStr">
        <is>
          <t>fr</t>
        </is>
      </c>
      <c r="E377" t="inlineStr">
        <is>
          <t>OPTIONAL</t>
        </is>
      </c>
      <c r="F377" t="inlineStr">
        <is>
          <t>supprimer caractères invisibles</t>
        </is>
      </c>
      <c r="G377" t="inlineStr">
        <is>
          <t>NOT AVAILABLE</t>
        </is>
      </c>
      <c r="H377" t="inlineStr">
        <is>
          <t>NOT AVAILABLE</t>
        </is>
      </c>
      <c r="I377" t="inlineStr">
        <is>
          <t>NOT AVAILABLE</t>
        </is>
      </c>
      <c r="J377" t="inlineStr">
        <is>
          <t>NOT AVAILABLE</t>
        </is>
      </c>
      <c r="K377" t="inlineStr">
        <is>
          <t>UNAVAILABLE</t>
        </is>
      </c>
      <c r="L377" t="inlineStr">
        <is>
          <t>P4</t>
        </is>
      </c>
      <c r="M377" t="n">
        <v>45</v>
      </c>
      <c r="N377">
        <f>ROUND(IF(IF(J377="NOT AVAILABLE","",J377)="",12,IF(OR(ISNUMBER(SEARCH("Transactional",IF(J377="NOT AVAILABLE","",J377))),ISNUMBER(SEARCH("Commercial",IF(J377="NOT AVAILABLE","",J377)))),25,IF(ISNUMBER(SEARCH("Informational",IF(J377="NOT AVAILABLE","",J377))),10,IF(ISNUMBER(SEARCH("Navigational",IF(J377="NOT AVAILABLE","",J377))),0,12))))+IF(ISNUMBER(G377),MIN(30,ROUND(30*LOG10(G377+1)/4,1)),0)+IF(ISNUMBER(H377),ROUND(25*(100-H377)/100,1),12.5)+14,0)</f>
        <v/>
      </c>
      <c r="O377">
        <f>ROUND(N377*M377/100,0)</f>
        <v/>
      </c>
      <c r="P377" s="5" t="inlineStr">
        <is>
          <t>Queried - Semrush returned no data or zero volume; usable as natural wording only</t>
        </is>
      </c>
      <c r="Q377" s="5" t="inlineStr">
        <is>
          <t>None detected</t>
        </is>
      </c>
    </row>
    <row r="378">
      <c r="A378" s="3" t="inlineStr">
        <is>
          <t>https://codesommet.com/tools/invisible-character-cleaner</t>
        </is>
      </c>
      <c r="B378" s="5" t="inlineStr">
        <is>
          <t>Nettoyeur de Caractères Invisibles Gratuit</t>
        </is>
      </c>
      <c r="C378" t="inlineStr">
        <is>
          <t>France</t>
        </is>
      </c>
      <c r="D378" t="inlineStr">
        <is>
          <t>fr</t>
        </is>
      </c>
      <c r="E378" t="inlineStr">
        <is>
          <t>NOT RECOMMENDED</t>
        </is>
      </c>
      <c r="F378" t="inlineStr">
        <is>
          <t>détecter texte ia</t>
        </is>
      </c>
      <c r="G378" t="n">
        <v>720</v>
      </c>
      <c r="H378" t="n">
        <v>70</v>
      </c>
      <c r="I378" t="n">
        <v>0.17</v>
      </c>
      <c r="J378" t="inlineStr">
        <is>
          <t>Commercial</t>
        </is>
      </c>
      <c r="K378" t="inlineStr">
        <is>
          <t>MEASURED</t>
        </is>
      </c>
      <c r="L378" t="inlineStr">
        <is>
          <t>P4</t>
        </is>
      </c>
      <c r="M378" t="n">
        <v>0</v>
      </c>
      <c r="N378">
        <f>ROUND(IF(IF(J378="NOT AVAILABLE","",J378)="",12,IF(OR(ISNUMBER(SEARCH("Transactional",IF(J378="NOT AVAILABLE","",J378))),ISNUMBER(SEARCH("Commercial",IF(J378="NOT AVAILABLE","",J378)))),25,IF(ISNUMBER(SEARCH("Informational",IF(J378="NOT AVAILABLE","",J378))),10,IF(ISNUMBER(SEARCH("Navigational",IF(J378="NOT AVAILABLE","",J378))),0,12))))+IF(ISNUMBER(G378),MIN(30,ROUND(30*LOG10(G378+1)/4,1)),0)+IF(ISNUMBER(H378),ROUND(25*(100-H378)/100,1),12.5)+14,0)</f>
        <v/>
      </c>
      <c r="O378">
        <f>ROUND(N378*M378/100,0)</f>
        <v/>
      </c>
      <c r="P378" s="5" t="inlineStr">
        <is>
          <t>AI-detection intent - tool does not detect AI text</t>
        </is>
      </c>
      <c r="Q378" s="5" t="inlineStr">
        <is>
          <t>n/a (not targeted)</t>
        </is>
      </c>
    </row>
    <row r="379">
      <c r="A379" s="3" t="inlineStr">
        <is>
          <t>https://codesommet.com/tools/json-formatter</t>
        </is>
      </c>
      <c r="B379" s="5" t="inlineStr">
        <is>
          <t>Formateur et Validateur JSON Gratuit</t>
        </is>
      </c>
      <c r="C379" t="inlineStr">
        <is>
          <t>France</t>
        </is>
      </c>
      <c r="D379" t="inlineStr">
        <is>
          <t>fr</t>
        </is>
      </c>
      <c r="E379" t="inlineStr">
        <is>
          <t>PRIMARY</t>
        </is>
      </c>
      <c r="F379" t="inlineStr">
        <is>
          <t>json formatter</t>
        </is>
      </c>
      <c r="G379" t="n">
        <v>12100</v>
      </c>
      <c r="H379" t="n">
        <v>74</v>
      </c>
      <c r="I379" t="n">
        <v>3.91</v>
      </c>
      <c r="J379" t="inlineStr">
        <is>
          <t>Commercial</t>
        </is>
      </c>
      <c r="K379" t="inlineStr">
        <is>
          <t>MEASURED</t>
        </is>
      </c>
      <c r="L379" t="inlineStr">
        <is>
          <t>P3</t>
        </is>
      </c>
      <c r="M379" t="n">
        <v>100</v>
      </c>
      <c r="N379">
        <f>ROUND(IF(IF(J379="NOT AVAILABLE","",J379)="",12,IF(OR(ISNUMBER(SEARCH("Transactional",IF(J379="NOT AVAILABLE","",J379))),ISNUMBER(SEARCH("Commercial",IF(J379="NOT AVAILABLE","",J379)))),25,IF(ISNUMBER(SEARCH("Informational",IF(J379="NOT AVAILABLE","",J379))),10,IF(ISNUMBER(SEARCH("Navigational",IF(J379="NOT AVAILABLE","",J379))),0,12))))+IF(ISNUMBER(G379),MIN(30,ROUND(30*LOG10(G379+1)/4,1)),0)+IF(ISNUMBER(H379),ROUND(25*(100-H379)/100,1),12.5)+14,0)</f>
        <v/>
      </c>
      <c r="O379">
        <f>ROUND(N379*M379/100,0)</f>
        <v/>
      </c>
      <c r="P379" s="5" t="inlineStr">
        <is>
          <t>Best-fitting measured FR query for the tool task (tools serve the francophone market; FR db used as proxy)</t>
        </is>
      </c>
      <c r="Q379" s="5" t="inlineStr">
        <is>
          <t>None detected</t>
        </is>
      </c>
    </row>
    <row r="380">
      <c r="A380" s="3" t="inlineStr">
        <is>
          <t>https://codesommet.com/tools/json-formatter</t>
        </is>
      </c>
      <c r="B380" s="5" t="inlineStr">
        <is>
          <t>Formateur et Validateur JSON Gratuit</t>
        </is>
      </c>
      <c r="C380" t="inlineStr">
        <is>
          <t>France</t>
        </is>
      </c>
      <c r="D380" t="inlineStr">
        <is>
          <t>fr</t>
        </is>
      </c>
      <c r="E380" t="inlineStr">
        <is>
          <t>SECONDARY</t>
        </is>
      </c>
      <c r="F380" t="inlineStr">
        <is>
          <t>json viewer</t>
        </is>
      </c>
      <c r="G380" t="n">
        <v>3600</v>
      </c>
      <c r="H380" t="n">
        <v>83</v>
      </c>
      <c r="I380" t="n">
        <v>4.01</v>
      </c>
      <c r="J380" t="inlineStr">
        <is>
          <t>Informational</t>
        </is>
      </c>
      <c r="K380" t="inlineStr">
        <is>
          <t>MEASURED</t>
        </is>
      </c>
      <c r="L380" t="inlineStr">
        <is>
          <t>P3</t>
        </is>
      </c>
      <c r="M380" t="n">
        <v>85</v>
      </c>
      <c r="N380">
        <f>ROUND(IF(IF(J380="NOT AVAILABLE","",J380)="",12,IF(OR(ISNUMBER(SEARCH("Transactional",IF(J380="NOT AVAILABLE","",J380))),ISNUMBER(SEARCH("Commercial",IF(J380="NOT AVAILABLE","",J380)))),25,IF(ISNUMBER(SEARCH("Informational",IF(J380="NOT AVAILABLE","",J380))),10,IF(ISNUMBER(SEARCH("Navigational",IF(J380="NOT AVAILABLE","",J380))),0,12))))+IF(ISNUMBER(G380),MIN(30,ROUND(30*LOG10(G380+1)/4,1)),0)+IF(ISNUMBER(H380),ROUND(25*(100-H380)/100,1),12.5)+14,0)</f>
        <v/>
      </c>
      <c r="O380">
        <f>ROUND(N380*M380/100,0)</f>
        <v/>
      </c>
      <c r="P380" s="5" t="inlineStr">
        <is>
          <t>Measured variant of the tool task</t>
        </is>
      </c>
      <c r="Q380" s="5" t="inlineStr">
        <is>
          <t>None detected</t>
        </is>
      </c>
    </row>
    <row r="381">
      <c r="A381" s="3" t="inlineStr">
        <is>
          <t>https://codesommet.com/tools/json-formatter</t>
        </is>
      </c>
      <c r="B381" s="5" t="inlineStr">
        <is>
          <t>Formateur et Validateur JSON Gratuit</t>
        </is>
      </c>
      <c r="C381" t="inlineStr">
        <is>
          <t>France</t>
        </is>
      </c>
      <c r="D381" t="inlineStr">
        <is>
          <t>fr</t>
        </is>
      </c>
      <c r="E381" t="inlineStr">
        <is>
          <t>SECONDARY</t>
        </is>
      </c>
      <c r="F381" t="inlineStr">
        <is>
          <t>json validator</t>
        </is>
      </c>
      <c r="G381" t="n">
        <v>3600</v>
      </c>
      <c r="H381" t="n">
        <v>75</v>
      </c>
      <c r="I381" t="n">
        <v>1.6</v>
      </c>
      <c r="J381" t="inlineStr">
        <is>
          <t>Commercial</t>
        </is>
      </c>
      <c r="K381" t="inlineStr">
        <is>
          <t>MEASURED</t>
        </is>
      </c>
      <c r="L381" t="inlineStr">
        <is>
          <t>P3</t>
        </is>
      </c>
      <c r="M381" t="n">
        <v>85</v>
      </c>
      <c r="N381">
        <f>ROUND(IF(IF(J381="NOT AVAILABLE","",J381)="",12,IF(OR(ISNUMBER(SEARCH("Transactional",IF(J381="NOT AVAILABLE","",J381))),ISNUMBER(SEARCH("Commercial",IF(J381="NOT AVAILABLE","",J381)))),25,IF(ISNUMBER(SEARCH("Informational",IF(J381="NOT AVAILABLE","",J381))),10,IF(ISNUMBER(SEARCH("Navigational",IF(J381="NOT AVAILABLE","",J381))),0,12))))+IF(ISNUMBER(G381),MIN(30,ROUND(30*LOG10(G381+1)/4,1)),0)+IF(ISNUMBER(H381),ROUND(25*(100-H381)/100,1),12.5)+14,0)</f>
        <v/>
      </c>
      <c r="O381">
        <f>ROUND(N381*M381/100,0)</f>
        <v/>
      </c>
      <c r="P381" s="5" t="inlineStr">
        <is>
          <t>Measured variant of the tool task</t>
        </is>
      </c>
      <c r="Q381" s="5" t="inlineStr">
        <is>
          <t>None detected</t>
        </is>
      </c>
    </row>
    <row r="382">
      <c r="A382" s="3" t="inlineStr">
        <is>
          <t>https://codesommet.com/tools/json-formatter</t>
        </is>
      </c>
      <c r="B382" s="5" t="inlineStr">
        <is>
          <t>Formateur et Validateur JSON Gratuit</t>
        </is>
      </c>
      <c r="C382" t="inlineStr">
        <is>
          <t>Morocco</t>
        </is>
      </c>
      <c r="D382" t="inlineStr">
        <is>
          <t>ma</t>
        </is>
      </c>
      <c r="E382" t="inlineStr">
        <is>
          <t>SECONDARY</t>
        </is>
      </c>
      <c r="F382" t="inlineStr">
        <is>
          <t>json formatter</t>
        </is>
      </c>
      <c r="G382" t="n">
        <v>1600</v>
      </c>
      <c r="H382" t="n">
        <v>68</v>
      </c>
      <c r="I382" t="n">
        <v>0.01</v>
      </c>
      <c r="J382" t="inlineStr">
        <is>
          <t>Commercial</t>
        </is>
      </c>
      <c r="K382" t="inlineStr">
        <is>
          <t>MEASURED</t>
        </is>
      </c>
      <c r="L382" t="inlineStr">
        <is>
          <t>P3</t>
        </is>
      </c>
      <c r="M382" t="n">
        <v>85</v>
      </c>
      <c r="N382">
        <f>ROUND(IF(IF(J382="NOT AVAILABLE","",J382)="",12,IF(OR(ISNUMBER(SEARCH("Transactional",IF(J382="NOT AVAILABLE","",J382))),ISNUMBER(SEARCH("Commercial",IF(J382="NOT AVAILABLE","",J382)))),25,IF(ISNUMBER(SEARCH("Informational",IF(J382="NOT AVAILABLE","",J382))),10,IF(ISNUMBER(SEARCH("Navigational",IF(J382="NOT AVAILABLE","",J382))),0,12))))+IF(ISNUMBER(G382),MIN(30,ROUND(30*LOG10(G382+1)/4,1)),0)+IF(ISNUMBER(H382),ROUND(25*(100-H382)/100,1),12.5)+20,0)</f>
        <v/>
      </c>
      <c r="O382">
        <f>ROUND(N382*M382/100,0)</f>
        <v/>
      </c>
      <c r="P382" s="5" t="inlineStr">
        <is>
          <t>Same query, Moroccan market (separate database, never summed)</t>
        </is>
      </c>
      <c r="Q382" s="5" t="inlineStr">
        <is>
          <t>None detected</t>
        </is>
      </c>
    </row>
    <row r="383">
      <c r="A383" s="3" t="inlineStr">
        <is>
          <t>https://codesommet.com/tools/json-formatter</t>
        </is>
      </c>
      <c r="B383" s="5" t="inlineStr">
        <is>
          <t>Formateur et Validateur JSON Gratuit</t>
        </is>
      </c>
      <c r="C383" t="inlineStr">
        <is>
          <t>France</t>
        </is>
      </c>
      <c r="D383" t="inlineStr">
        <is>
          <t>fr</t>
        </is>
      </c>
      <c r="E383" t="inlineStr">
        <is>
          <t>SECONDARY</t>
        </is>
      </c>
      <c r="F383" t="inlineStr">
        <is>
          <t>formater json</t>
        </is>
      </c>
      <c r="G383" t="n">
        <v>110</v>
      </c>
      <c r="H383" t="n">
        <v>63</v>
      </c>
      <c r="I383" t="n">
        <v>0</v>
      </c>
      <c r="J383" t="inlineStr">
        <is>
          <t>Informational</t>
        </is>
      </c>
      <c r="K383" t="inlineStr">
        <is>
          <t>MEASURED</t>
        </is>
      </c>
      <c r="L383" t="inlineStr">
        <is>
          <t>P3</t>
        </is>
      </c>
      <c r="M383" t="n">
        <v>85</v>
      </c>
      <c r="N383">
        <f>ROUND(IF(IF(J383="NOT AVAILABLE","",J383)="",12,IF(OR(ISNUMBER(SEARCH("Transactional",IF(J383="NOT AVAILABLE","",J383))),ISNUMBER(SEARCH("Commercial",IF(J383="NOT AVAILABLE","",J383)))),25,IF(ISNUMBER(SEARCH("Informational",IF(J383="NOT AVAILABLE","",J383))),10,IF(ISNUMBER(SEARCH("Navigational",IF(J383="NOT AVAILABLE","",J383))),0,12))))+IF(ISNUMBER(G383),MIN(30,ROUND(30*LOG10(G383+1)/4,1)),0)+IF(ISNUMBER(H383),ROUND(25*(100-H383)/100,1),12.5)+14,0)</f>
        <v/>
      </c>
      <c r="O383">
        <f>ROUND(N383*M383/100,0)</f>
        <v/>
      </c>
      <c r="P383" s="5" t="inlineStr">
        <is>
          <t>Measured variant of the tool task</t>
        </is>
      </c>
      <c r="Q383" s="5" t="inlineStr">
        <is>
          <t>None detected</t>
        </is>
      </c>
    </row>
    <row r="384">
      <c r="A384" s="3" t="inlineStr">
        <is>
          <t>https://codesommet.com/tools/json-formatter</t>
        </is>
      </c>
      <c r="B384" s="5" t="inlineStr">
        <is>
          <t>Formateur et Validateur JSON Gratuit</t>
        </is>
      </c>
      <c r="C384" t="inlineStr">
        <is>
          <t>France</t>
        </is>
      </c>
      <c r="D384" t="inlineStr">
        <is>
          <t>fr</t>
        </is>
      </c>
      <c r="E384" t="inlineStr">
        <is>
          <t>SECONDARY</t>
        </is>
      </c>
      <c r="F384" t="inlineStr">
        <is>
          <t>json en ligne</t>
        </is>
      </c>
      <c r="G384" t="n">
        <v>110</v>
      </c>
      <c r="H384" t="n">
        <v>35</v>
      </c>
      <c r="I384" t="n">
        <v>1.56</v>
      </c>
      <c r="J384" t="inlineStr">
        <is>
          <t>Informational</t>
        </is>
      </c>
      <c r="K384" t="inlineStr">
        <is>
          <t>MEASURED</t>
        </is>
      </c>
      <c r="L384" t="inlineStr">
        <is>
          <t>P3</t>
        </is>
      </c>
      <c r="M384" t="n">
        <v>85</v>
      </c>
      <c r="N384">
        <f>ROUND(IF(IF(J384="NOT AVAILABLE","",J384)="",12,IF(OR(ISNUMBER(SEARCH("Transactional",IF(J384="NOT AVAILABLE","",J384))),ISNUMBER(SEARCH("Commercial",IF(J384="NOT AVAILABLE","",J384)))),25,IF(ISNUMBER(SEARCH("Informational",IF(J384="NOT AVAILABLE","",J384))),10,IF(ISNUMBER(SEARCH("Navigational",IF(J384="NOT AVAILABLE","",J384))),0,12))))+IF(ISNUMBER(G384),MIN(30,ROUND(30*LOG10(G384+1)/4,1)),0)+IF(ISNUMBER(H384),ROUND(25*(100-H384)/100,1),12.5)+14,0)</f>
        <v/>
      </c>
      <c r="O384">
        <f>ROUND(N384*M384/100,0)</f>
        <v/>
      </c>
      <c r="P384" s="5" t="inlineStr">
        <is>
          <t>Measured variant of the tool task</t>
        </is>
      </c>
      <c r="Q384" s="5" t="inlineStr">
        <is>
          <t>None detected</t>
        </is>
      </c>
    </row>
    <row r="385">
      <c r="A385" s="3" t="inlineStr">
        <is>
          <t>https://codesommet.com/tools/json-formatter</t>
        </is>
      </c>
      <c r="B385" s="5" t="inlineStr">
        <is>
          <t>Formateur et Validateur JSON Gratuit</t>
        </is>
      </c>
      <c r="C385" t="inlineStr">
        <is>
          <t>Morocco</t>
        </is>
      </c>
      <c r="D385" t="inlineStr">
        <is>
          <t>ma</t>
        </is>
      </c>
      <c r="E385" t="inlineStr">
        <is>
          <t>SUPPORTING</t>
        </is>
      </c>
      <c r="F385" t="inlineStr">
        <is>
          <t>json viewer</t>
        </is>
      </c>
      <c r="G385" t="n">
        <v>590</v>
      </c>
      <c r="H385" t="n">
        <v>75</v>
      </c>
      <c r="I385" t="n">
        <v>0</v>
      </c>
      <c r="J385" t="inlineStr">
        <is>
          <t>Informational</t>
        </is>
      </c>
      <c r="K385" t="inlineStr">
        <is>
          <t>MEASURED</t>
        </is>
      </c>
      <c r="L385" t="inlineStr">
        <is>
          <t>P3</t>
        </is>
      </c>
      <c r="M385" t="n">
        <v>65</v>
      </c>
      <c r="N385">
        <f>ROUND(IF(IF(J385="NOT AVAILABLE","",J385)="",12,IF(OR(ISNUMBER(SEARCH("Transactional",IF(J385="NOT AVAILABLE","",J385))),ISNUMBER(SEARCH("Commercial",IF(J385="NOT AVAILABLE","",J385)))),25,IF(ISNUMBER(SEARCH("Informational",IF(J385="NOT AVAILABLE","",J385))),10,IF(ISNUMBER(SEARCH("Navigational",IF(J385="NOT AVAILABLE","",J385))),0,12))))+IF(ISNUMBER(G385),MIN(30,ROUND(30*LOG10(G385+1)/4,1)),0)+IF(ISNUMBER(H385),ROUND(25*(100-H385)/100,1),12.5)+20,0)</f>
        <v/>
      </c>
      <c r="O385">
        <f>ROUND(N385*M385/100,0)</f>
        <v/>
      </c>
      <c r="P385" s="5" t="inlineStr">
        <is>
          <t>Measured variant of the tool task (MA market)</t>
        </is>
      </c>
      <c r="Q385" s="5" t="inlineStr">
        <is>
          <t>None detected</t>
        </is>
      </c>
    </row>
    <row r="386">
      <c r="A386" s="3" t="inlineStr">
        <is>
          <t>https://codesommet.com/tools/json-formatter</t>
        </is>
      </c>
      <c r="B386" s="5" t="inlineStr">
        <is>
          <t>Formateur et Validateur JSON Gratuit</t>
        </is>
      </c>
      <c r="C386" t="inlineStr">
        <is>
          <t>Morocco</t>
        </is>
      </c>
      <c r="D386" t="inlineStr">
        <is>
          <t>ma</t>
        </is>
      </c>
      <c r="E386" t="inlineStr">
        <is>
          <t>SUPPORTING</t>
        </is>
      </c>
      <c r="F386" t="inlineStr">
        <is>
          <t>json validator</t>
        </is>
      </c>
      <c r="G386" t="n">
        <v>170</v>
      </c>
      <c r="H386" t="inlineStr">
        <is>
          <t>NOT AVAILABLE</t>
        </is>
      </c>
      <c r="I386" t="n">
        <v>0</v>
      </c>
      <c r="J386" t="inlineStr">
        <is>
          <t>NOT AVAILABLE</t>
        </is>
      </c>
      <c r="K386" t="inlineStr">
        <is>
          <t>MEASURED</t>
        </is>
      </c>
      <c r="L386" t="inlineStr">
        <is>
          <t>P3</t>
        </is>
      </c>
      <c r="M386" t="n">
        <v>65</v>
      </c>
      <c r="N386">
        <f>ROUND(IF(IF(J386="NOT AVAILABLE","",J386)="",12,IF(OR(ISNUMBER(SEARCH("Transactional",IF(J386="NOT AVAILABLE","",J386))),ISNUMBER(SEARCH("Commercial",IF(J386="NOT AVAILABLE","",J386)))),25,IF(ISNUMBER(SEARCH("Informational",IF(J386="NOT AVAILABLE","",J386))),10,IF(ISNUMBER(SEARCH("Navigational",IF(J386="NOT AVAILABLE","",J386))),0,12))))+IF(ISNUMBER(G386),MIN(30,ROUND(30*LOG10(G386+1)/4,1)),0)+IF(ISNUMBER(H386),ROUND(25*(100-H386)/100,1),12.5)+20,0)</f>
        <v/>
      </c>
      <c r="O386">
        <f>ROUND(N386*M386/100,0)</f>
        <v/>
      </c>
      <c r="P386" s="5" t="inlineStr">
        <is>
          <t>Measured variant of the tool task (MA market)</t>
        </is>
      </c>
      <c r="Q386" s="5" t="inlineStr">
        <is>
          <t>None detected</t>
        </is>
      </c>
    </row>
    <row r="387">
      <c r="A387" s="3" t="inlineStr">
        <is>
          <t>https://codesommet.com/tools/json-formatter</t>
        </is>
      </c>
      <c r="B387" s="5" t="inlineStr">
        <is>
          <t>Formateur et Validateur JSON Gratuit</t>
        </is>
      </c>
      <c r="C387" t="inlineStr">
        <is>
          <t>Morocco</t>
        </is>
      </c>
      <c r="D387" t="inlineStr">
        <is>
          <t>ma</t>
        </is>
      </c>
      <c r="E387" t="inlineStr">
        <is>
          <t>SUPPORTING</t>
        </is>
      </c>
      <c r="F387" t="inlineStr">
        <is>
          <t>formater json</t>
        </is>
      </c>
      <c r="G387" t="n">
        <v>30</v>
      </c>
      <c r="H387" t="inlineStr">
        <is>
          <t>NOT AVAILABLE</t>
        </is>
      </c>
      <c r="I387" t="n">
        <v>0</v>
      </c>
      <c r="J387" t="inlineStr">
        <is>
          <t>NOT AVAILABLE</t>
        </is>
      </c>
      <c r="K387" t="inlineStr">
        <is>
          <t>MEASURED</t>
        </is>
      </c>
      <c r="L387" t="inlineStr">
        <is>
          <t>P3</t>
        </is>
      </c>
      <c r="M387" t="n">
        <v>65</v>
      </c>
      <c r="N387">
        <f>ROUND(IF(IF(J387="NOT AVAILABLE","",J387)="",12,IF(OR(ISNUMBER(SEARCH("Transactional",IF(J387="NOT AVAILABLE","",J387))),ISNUMBER(SEARCH("Commercial",IF(J387="NOT AVAILABLE","",J387)))),25,IF(ISNUMBER(SEARCH("Informational",IF(J387="NOT AVAILABLE","",J387))),10,IF(ISNUMBER(SEARCH("Navigational",IF(J387="NOT AVAILABLE","",J387))),0,12))))+IF(ISNUMBER(G387),MIN(30,ROUND(30*LOG10(G387+1)/4,1)),0)+IF(ISNUMBER(H387),ROUND(25*(100-H387)/100,1),12.5)+20,0)</f>
        <v/>
      </c>
      <c r="O387">
        <f>ROUND(N387*M387/100,0)</f>
        <v/>
      </c>
      <c r="P387" s="5" t="inlineStr">
        <is>
          <t>Measured variant of the tool task (MA market)</t>
        </is>
      </c>
      <c r="Q387" s="5" t="inlineStr">
        <is>
          <t>None detected</t>
        </is>
      </c>
    </row>
    <row r="388">
      <c r="A388" s="3" t="inlineStr">
        <is>
          <t>https://codesommet.com/tools/json-formatter</t>
        </is>
      </c>
      <c r="B388" s="5" t="inlineStr">
        <is>
          <t>Formateur et Validateur JSON Gratuit</t>
        </is>
      </c>
      <c r="C388" t="inlineStr">
        <is>
          <t>Morocco</t>
        </is>
      </c>
      <c r="D388" t="inlineStr">
        <is>
          <t>ma</t>
        </is>
      </c>
      <c r="E388" t="inlineStr">
        <is>
          <t>SUPPORTING</t>
        </is>
      </c>
      <c r="F388" t="inlineStr">
        <is>
          <t>json en ligne</t>
        </is>
      </c>
      <c r="G388" t="n">
        <v>20</v>
      </c>
      <c r="H388" t="inlineStr">
        <is>
          <t>NOT AVAILABLE</t>
        </is>
      </c>
      <c r="I388" t="n">
        <v>0</v>
      </c>
      <c r="J388" t="inlineStr">
        <is>
          <t>NOT AVAILABLE</t>
        </is>
      </c>
      <c r="K388" t="inlineStr">
        <is>
          <t>MEASURED</t>
        </is>
      </c>
      <c r="L388" t="inlineStr">
        <is>
          <t>P3</t>
        </is>
      </c>
      <c r="M388" t="n">
        <v>65</v>
      </c>
      <c r="N388">
        <f>ROUND(IF(IF(J388="NOT AVAILABLE","",J388)="",12,IF(OR(ISNUMBER(SEARCH("Transactional",IF(J388="NOT AVAILABLE","",J388))),ISNUMBER(SEARCH("Commercial",IF(J388="NOT AVAILABLE","",J388)))),25,IF(ISNUMBER(SEARCH("Informational",IF(J388="NOT AVAILABLE","",J388))),10,IF(ISNUMBER(SEARCH("Navigational",IF(J388="NOT AVAILABLE","",J388))),0,12))))+IF(ISNUMBER(G388),MIN(30,ROUND(30*LOG10(G388+1)/4,1)),0)+IF(ISNUMBER(H388),ROUND(25*(100-H388)/100,1),12.5)+20,0)</f>
        <v/>
      </c>
      <c r="O388">
        <f>ROUND(N388*M388/100,0)</f>
        <v/>
      </c>
      <c r="P388" s="5" t="inlineStr">
        <is>
          <t>Measured variant of the tool task (MA market)</t>
        </is>
      </c>
      <c r="Q388" s="5" t="inlineStr">
        <is>
          <t>None detected</t>
        </is>
      </c>
    </row>
    <row r="389">
      <c r="A389" s="3" t="inlineStr">
        <is>
          <t>https://codesommet.com/tools/keyword-density-analyzer</t>
        </is>
      </c>
      <c r="B389" s="5" t="inlineStr">
        <is>
          <t>Analyseur de Densité de Mots-Clés Gratuit</t>
        </is>
      </c>
      <c r="C389" t="inlineStr">
        <is>
          <t>France</t>
        </is>
      </c>
      <c r="D389" t="inlineStr">
        <is>
          <t>fr</t>
        </is>
      </c>
      <c r="E389" t="inlineStr">
        <is>
          <t>PRIMARY</t>
        </is>
      </c>
      <c r="F389" t="inlineStr">
        <is>
          <t>densité mot clé</t>
        </is>
      </c>
      <c r="G389" t="n">
        <v>170</v>
      </c>
      <c r="H389" t="n">
        <v>21</v>
      </c>
      <c r="I389" t="n">
        <v>0</v>
      </c>
      <c r="J389" t="inlineStr">
        <is>
          <t>Informational</t>
        </is>
      </c>
      <c r="K389" t="inlineStr">
        <is>
          <t>MEASURED</t>
        </is>
      </c>
      <c r="L389" t="inlineStr">
        <is>
          <t>P3</t>
        </is>
      </c>
      <c r="M389" t="n">
        <v>100</v>
      </c>
      <c r="N389">
        <f>ROUND(IF(IF(J389="NOT AVAILABLE","",J389)="",12,IF(OR(ISNUMBER(SEARCH("Transactional",IF(J389="NOT AVAILABLE","",J389))),ISNUMBER(SEARCH("Commercial",IF(J389="NOT AVAILABLE","",J389)))),25,IF(ISNUMBER(SEARCH("Informational",IF(J389="NOT AVAILABLE","",J389))),10,IF(ISNUMBER(SEARCH("Navigational",IF(J389="NOT AVAILABLE","",J389))),0,12))))+IF(ISNUMBER(G389),MIN(30,ROUND(30*LOG10(G389+1)/4,1)),0)+IF(ISNUMBER(H389),ROUND(25*(100-H389)/100,1),12.5)+14,0)</f>
        <v/>
      </c>
      <c r="O389">
        <f>ROUND(N389*M389/100,0)</f>
        <v/>
      </c>
      <c r="P389" s="5" t="inlineStr">
        <is>
          <t>Best-fitting measured FR query for the tool task (tools serve the francophone market; FR db used as proxy)</t>
        </is>
      </c>
      <c r="Q389" s="5" t="inlineStr">
        <is>
          <t>None detected</t>
        </is>
      </c>
    </row>
    <row r="390">
      <c r="A390" s="3" t="inlineStr">
        <is>
          <t>https://codesommet.com/tools/keyword-density-analyzer</t>
        </is>
      </c>
      <c r="B390" s="5" t="inlineStr">
        <is>
          <t>Analyseur de Densité de Mots-Clés Gratuit</t>
        </is>
      </c>
      <c r="C390" t="inlineStr">
        <is>
          <t>France</t>
        </is>
      </c>
      <c r="D390" t="inlineStr">
        <is>
          <t>fr</t>
        </is>
      </c>
      <c r="E390" t="inlineStr">
        <is>
          <t>SUPPORTING</t>
        </is>
      </c>
      <c r="F390" t="inlineStr">
        <is>
          <t>densité de mots clés</t>
        </is>
      </c>
      <c r="G390" t="n">
        <v>70</v>
      </c>
      <c r="H390" t="n">
        <v>20</v>
      </c>
      <c r="I390" t="n">
        <v>0</v>
      </c>
      <c r="J390" t="inlineStr">
        <is>
          <t>Informational</t>
        </is>
      </c>
      <c r="K390" t="inlineStr">
        <is>
          <t>MEASURED</t>
        </is>
      </c>
      <c r="L390" t="inlineStr">
        <is>
          <t>P3</t>
        </is>
      </c>
      <c r="M390" t="n">
        <v>65</v>
      </c>
      <c r="N390">
        <f>ROUND(IF(IF(J390="NOT AVAILABLE","",J390)="",12,IF(OR(ISNUMBER(SEARCH("Transactional",IF(J390="NOT AVAILABLE","",J390))),ISNUMBER(SEARCH("Commercial",IF(J390="NOT AVAILABLE","",J390)))),25,IF(ISNUMBER(SEARCH("Informational",IF(J390="NOT AVAILABLE","",J390))),10,IF(ISNUMBER(SEARCH("Navigational",IF(J390="NOT AVAILABLE","",J390))),0,12))))+IF(ISNUMBER(G390),MIN(30,ROUND(30*LOG10(G390+1)/4,1)),0)+IF(ISNUMBER(H390),ROUND(25*(100-H390)/100,1),12.5)+14,0)</f>
        <v/>
      </c>
      <c r="O390">
        <f>ROUND(N390*M390/100,0)</f>
        <v/>
      </c>
      <c r="P390" s="5" t="inlineStr">
        <is>
          <t>Measured variant of the tool task</t>
        </is>
      </c>
      <c r="Q390" s="5" t="inlineStr">
        <is>
          <t>None detected</t>
        </is>
      </c>
    </row>
    <row r="391">
      <c r="A391" s="3" t="inlineStr">
        <is>
          <t>https://codesommet.com/tools/keyword-density-analyzer</t>
        </is>
      </c>
      <c r="B391" s="5" t="inlineStr">
        <is>
          <t>Analyseur de Densité de Mots-Clés Gratuit</t>
        </is>
      </c>
      <c r="C391" t="inlineStr">
        <is>
          <t>France</t>
        </is>
      </c>
      <c r="D391" t="inlineStr">
        <is>
          <t>fr</t>
        </is>
      </c>
      <c r="E391" t="inlineStr">
        <is>
          <t>OPTIONAL</t>
        </is>
      </c>
      <c r="F391" t="inlineStr">
        <is>
          <t>calcul densité mot clé</t>
        </is>
      </c>
      <c r="G391" t="inlineStr">
        <is>
          <t>NOT AVAILABLE</t>
        </is>
      </c>
      <c r="H391" t="inlineStr">
        <is>
          <t>NOT AVAILABLE</t>
        </is>
      </c>
      <c r="I391" t="inlineStr">
        <is>
          <t>NOT AVAILABLE</t>
        </is>
      </c>
      <c r="J391" t="inlineStr">
        <is>
          <t>NOT AVAILABLE</t>
        </is>
      </c>
      <c r="K391" t="inlineStr">
        <is>
          <t>UNAVAILABLE</t>
        </is>
      </c>
      <c r="L391" t="inlineStr">
        <is>
          <t>P4</t>
        </is>
      </c>
      <c r="M391" t="n">
        <v>45</v>
      </c>
      <c r="N391">
        <f>ROUND(IF(IF(J391="NOT AVAILABLE","",J391)="",12,IF(OR(ISNUMBER(SEARCH("Transactional",IF(J391="NOT AVAILABLE","",J391))),ISNUMBER(SEARCH("Commercial",IF(J391="NOT AVAILABLE","",J391)))),25,IF(ISNUMBER(SEARCH("Informational",IF(J391="NOT AVAILABLE","",J391))),10,IF(ISNUMBER(SEARCH("Navigational",IF(J391="NOT AVAILABLE","",J391))),0,12))))+IF(ISNUMBER(G391),MIN(30,ROUND(30*LOG10(G391+1)/4,1)),0)+IF(ISNUMBER(H391),ROUND(25*(100-H391)/100,1),12.5)+14,0)</f>
        <v/>
      </c>
      <c r="O391">
        <f>ROUND(N391*M391/100,0)</f>
        <v/>
      </c>
      <c r="P391" s="5" t="inlineStr">
        <is>
          <t>Queried - Semrush returned no data or zero volume; usable as natural wording only</t>
        </is>
      </c>
      <c r="Q391" s="5" t="inlineStr">
        <is>
          <t>None detected</t>
        </is>
      </c>
    </row>
    <row r="392">
      <c r="A392" s="3" t="inlineStr">
        <is>
          <t>https://codesommet.com/tools/keyword-modifier-generator</t>
        </is>
      </c>
      <c r="B392" s="5" t="inlineStr">
        <is>
          <t>Générateur de Variantes de Mots-Clés</t>
        </is>
      </c>
      <c r="C392" t="inlineStr">
        <is>
          <t>France</t>
        </is>
      </c>
      <c r="D392" t="inlineStr">
        <is>
          <t>fr</t>
        </is>
      </c>
      <c r="E392" t="inlineStr">
        <is>
          <t>PRIMARY</t>
        </is>
      </c>
      <c r="F392" t="inlineStr">
        <is>
          <t>générateur de mots clés</t>
        </is>
      </c>
      <c r="G392" t="n">
        <v>590</v>
      </c>
      <c r="H392" t="n">
        <v>38</v>
      </c>
      <c r="I392" t="n">
        <v>1.84</v>
      </c>
      <c r="J392" t="inlineStr">
        <is>
          <t>Informational</t>
        </is>
      </c>
      <c r="K392" t="inlineStr">
        <is>
          <t>MEASURED</t>
        </is>
      </c>
      <c r="L392" t="inlineStr">
        <is>
          <t>P3</t>
        </is>
      </c>
      <c r="M392" t="n">
        <v>100</v>
      </c>
      <c r="N392">
        <f>ROUND(IF(IF(J392="NOT AVAILABLE","",J392)="",12,IF(OR(ISNUMBER(SEARCH("Transactional",IF(J392="NOT AVAILABLE","",J392))),ISNUMBER(SEARCH("Commercial",IF(J392="NOT AVAILABLE","",J392)))),25,IF(ISNUMBER(SEARCH("Informational",IF(J392="NOT AVAILABLE","",J392))),10,IF(ISNUMBER(SEARCH("Navigational",IF(J392="NOT AVAILABLE","",J392))),0,12))))+IF(ISNUMBER(G392),MIN(30,ROUND(30*LOG10(G392+1)/4,1)),0)+IF(ISNUMBER(H392),ROUND(25*(100-H392)/100,1),12.5)+14,0)</f>
        <v/>
      </c>
      <c r="O392">
        <f>ROUND(N392*M392/100,0)</f>
        <v/>
      </c>
      <c r="P392" s="5" t="inlineStr">
        <is>
          <t>Best-fitting measured FR query for the tool task (tools serve the francophone market; FR db used as proxy)</t>
        </is>
      </c>
      <c r="Q392" s="5" t="inlineStr">
        <is>
          <t>None detected</t>
        </is>
      </c>
    </row>
    <row r="393">
      <c r="A393" s="3" t="inlineStr">
        <is>
          <t>https://codesommet.com/tools/keyword-modifier-generator</t>
        </is>
      </c>
      <c r="B393" s="5" t="inlineStr">
        <is>
          <t>Générateur de Variantes de Mots-Clés</t>
        </is>
      </c>
      <c r="C393" t="inlineStr">
        <is>
          <t>France</t>
        </is>
      </c>
      <c r="D393" t="inlineStr">
        <is>
          <t>fr</t>
        </is>
      </c>
      <c r="E393" t="inlineStr">
        <is>
          <t>SECONDARY</t>
        </is>
      </c>
      <c r="F393" t="inlineStr">
        <is>
          <t>trouver mots clés</t>
        </is>
      </c>
      <c r="G393" t="n">
        <v>260</v>
      </c>
      <c r="H393" t="n">
        <v>49</v>
      </c>
      <c r="I393" t="n">
        <v>2.19</v>
      </c>
      <c r="J393" t="inlineStr">
        <is>
          <t>Informational</t>
        </is>
      </c>
      <c r="K393" t="inlineStr">
        <is>
          <t>MEASURED</t>
        </is>
      </c>
      <c r="L393" t="inlineStr">
        <is>
          <t>P3</t>
        </is>
      </c>
      <c r="M393" t="n">
        <v>85</v>
      </c>
      <c r="N393">
        <f>ROUND(IF(IF(J393="NOT AVAILABLE","",J393)="",12,IF(OR(ISNUMBER(SEARCH("Transactional",IF(J393="NOT AVAILABLE","",J393))),ISNUMBER(SEARCH("Commercial",IF(J393="NOT AVAILABLE","",J393)))),25,IF(ISNUMBER(SEARCH("Informational",IF(J393="NOT AVAILABLE","",J393))),10,IF(ISNUMBER(SEARCH("Navigational",IF(J393="NOT AVAILABLE","",J393))),0,12))))+IF(ISNUMBER(G393),MIN(30,ROUND(30*LOG10(G393+1)/4,1)),0)+IF(ISNUMBER(H393),ROUND(25*(100-H393)/100,1),12.5)+14,0)</f>
        <v/>
      </c>
      <c r="O393">
        <f>ROUND(N393*M393/100,0)</f>
        <v/>
      </c>
      <c r="P393" s="5" t="inlineStr">
        <is>
          <t>Measured variant of the tool task</t>
        </is>
      </c>
      <c r="Q393" s="5" t="inlineStr">
        <is>
          <t>None detected</t>
        </is>
      </c>
    </row>
    <row r="394">
      <c r="A394" s="3" t="inlineStr">
        <is>
          <t>https://codesommet.com/tools/keyword-modifier-generator</t>
        </is>
      </c>
      <c r="B394" s="5" t="inlineStr">
        <is>
          <t>Générateur de Variantes de Mots-Clés</t>
        </is>
      </c>
      <c r="C394" t="inlineStr">
        <is>
          <t>France</t>
        </is>
      </c>
      <c r="D394" t="inlineStr">
        <is>
          <t>fr</t>
        </is>
      </c>
      <c r="E394" t="inlineStr">
        <is>
          <t>SECONDARY</t>
        </is>
      </c>
      <c r="F394" t="inlineStr">
        <is>
          <t>générateur mots clés</t>
        </is>
      </c>
      <c r="G394" t="n">
        <v>170</v>
      </c>
      <c r="H394" t="n">
        <v>44</v>
      </c>
      <c r="I394" t="n">
        <v>1.73</v>
      </c>
      <c r="J394" t="inlineStr">
        <is>
          <t>Commercial</t>
        </is>
      </c>
      <c r="K394" t="inlineStr">
        <is>
          <t>MEASURED</t>
        </is>
      </c>
      <c r="L394" t="inlineStr">
        <is>
          <t>P3</t>
        </is>
      </c>
      <c r="M394" t="n">
        <v>85</v>
      </c>
      <c r="N394">
        <f>ROUND(IF(IF(J394="NOT AVAILABLE","",J394)="",12,IF(OR(ISNUMBER(SEARCH("Transactional",IF(J394="NOT AVAILABLE","",J394))),ISNUMBER(SEARCH("Commercial",IF(J394="NOT AVAILABLE","",J394)))),25,IF(ISNUMBER(SEARCH("Informational",IF(J394="NOT AVAILABLE","",J394))),10,IF(ISNUMBER(SEARCH("Navigational",IF(J394="NOT AVAILABLE","",J394))),0,12))))+IF(ISNUMBER(G394),MIN(30,ROUND(30*LOG10(G394+1)/4,1)),0)+IF(ISNUMBER(H394),ROUND(25*(100-H394)/100,1),12.5)+14,0)</f>
        <v/>
      </c>
      <c r="O394">
        <f>ROUND(N394*M394/100,0)</f>
        <v/>
      </c>
      <c r="P394" s="5" t="inlineStr">
        <is>
          <t>Measured variant of the tool task</t>
        </is>
      </c>
      <c r="Q394" s="5" t="inlineStr">
        <is>
          <t>None detected</t>
        </is>
      </c>
    </row>
    <row r="395">
      <c r="A395" s="3" t="inlineStr">
        <is>
          <t>https://codesommet.com/tools/keyword-modifier-generator</t>
        </is>
      </c>
      <c r="B395" s="5" t="inlineStr">
        <is>
          <t>Générateur de Variantes de Mots-Clés</t>
        </is>
      </c>
      <c r="C395" t="inlineStr">
        <is>
          <t>Morocco</t>
        </is>
      </c>
      <c r="D395" t="inlineStr">
        <is>
          <t>ma</t>
        </is>
      </c>
      <c r="E395" t="inlineStr">
        <is>
          <t>SECONDARY</t>
        </is>
      </c>
      <c r="F395" t="inlineStr">
        <is>
          <t>générateur de mots clés</t>
        </is>
      </c>
      <c r="G395" t="n">
        <v>10</v>
      </c>
      <c r="H395" t="inlineStr">
        <is>
          <t>NOT AVAILABLE</t>
        </is>
      </c>
      <c r="I395" t="n">
        <v>0</v>
      </c>
      <c r="J395" t="inlineStr">
        <is>
          <t>NOT AVAILABLE</t>
        </is>
      </c>
      <c r="K395" t="inlineStr">
        <is>
          <t>MEASURED</t>
        </is>
      </c>
      <c r="L395" t="inlineStr">
        <is>
          <t>P3</t>
        </is>
      </c>
      <c r="M395" t="n">
        <v>85</v>
      </c>
      <c r="N395">
        <f>ROUND(IF(IF(J395="NOT AVAILABLE","",J395)="",12,IF(OR(ISNUMBER(SEARCH("Transactional",IF(J395="NOT AVAILABLE","",J395))),ISNUMBER(SEARCH("Commercial",IF(J395="NOT AVAILABLE","",J395)))),25,IF(ISNUMBER(SEARCH("Informational",IF(J395="NOT AVAILABLE","",J395))),10,IF(ISNUMBER(SEARCH("Navigational",IF(J395="NOT AVAILABLE","",J395))),0,12))))+IF(ISNUMBER(G395),MIN(30,ROUND(30*LOG10(G395+1)/4,1)),0)+IF(ISNUMBER(H395),ROUND(25*(100-H395)/100,1),12.5)+20,0)</f>
        <v/>
      </c>
      <c r="O395">
        <f>ROUND(N395*M395/100,0)</f>
        <v/>
      </c>
      <c r="P395" s="5" t="inlineStr">
        <is>
          <t>Same query, Moroccan market (separate database, never summed)</t>
        </is>
      </c>
      <c r="Q395" s="5" t="inlineStr">
        <is>
          <t>None detected</t>
        </is>
      </c>
    </row>
    <row r="396">
      <c r="A396" s="3" t="inlineStr">
        <is>
          <t>https://codesommet.com/tools/keyword-modifier-generator</t>
        </is>
      </c>
      <c r="B396" s="5" t="inlineStr">
        <is>
          <t>Générateur de Variantes de Mots-Clés</t>
        </is>
      </c>
      <c r="C396" t="inlineStr">
        <is>
          <t>Morocco</t>
        </is>
      </c>
      <c r="D396" t="inlineStr">
        <is>
          <t>ma</t>
        </is>
      </c>
      <c r="E396" t="inlineStr">
        <is>
          <t>SUPPORTING</t>
        </is>
      </c>
      <c r="F396" t="inlineStr">
        <is>
          <t>générateur mots clés</t>
        </is>
      </c>
      <c r="G396" t="n">
        <v>20</v>
      </c>
      <c r="H396" t="inlineStr">
        <is>
          <t>NOT AVAILABLE</t>
        </is>
      </c>
      <c r="I396" t="n">
        <v>0</v>
      </c>
      <c r="J396" t="inlineStr">
        <is>
          <t>NOT AVAILABLE</t>
        </is>
      </c>
      <c r="K396" t="inlineStr">
        <is>
          <t>MEASURED</t>
        </is>
      </c>
      <c r="L396" t="inlineStr">
        <is>
          <t>P3</t>
        </is>
      </c>
      <c r="M396" t="n">
        <v>65</v>
      </c>
      <c r="N396">
        <f>ROUND(IF(IF(J396="NOT AVAILABLE","",J396)="",12,IF(OR(ISNUMBER(SEARCH("Transactional",IF(J396="NOT AVAILABLE","",J396))),ISNUMBER(SEARCH("Commercial",IF(J396="NOT AVAILABLE","",J396)))),25,IF(ISNUMBER(SEARCH("Informational",IF(J396="NOT AVAILABLE","",J396))),10,IF(ISNUMBER(SEARCH("Navigational",IF(J396="NOT AVAILABLE","",J396))),0,12))))+IF(ISNUMBER(G396),MIN(30,ROUND(30*LOG10(G396+1)/4,1)),0)+IF(ISNUMBER(H396),ROUND(25*(100-H396)/100,1),12.5)+20,0)</f>
        <v/>
      </c>
      <c r="O396">
        <f>ROUND(N396*M396/100,0)</f>
        <v/>
      </c>
      <c r="P396" s="5" t="inlineStr">
        <is>
          <t>Measured variant of the tool task (MA market)</t>
        </is>
      </c>
      <c r="Q396" s="5" t="inlineStr">
        <is>
          <t>None detected</t>
        </is>
      </c>
    </row>
    <row r="397">
      <c r="A397" s="3" t="inlineStr">
        <is>
          <t>https://codesommet.com/tools/keyword-modifier-generator</t>
        </is>
      </c>
      <c r="B397" s="5" t="inlineStr">
        <is>
          <t>Générateur de Variantes de Mots-Clés</t>
        </is>
      </c>
      <c r="C397" t="inlineStr">
        <is>
          <t>France</t>
        </is>
      </c>
      <c r="D397" t="inlineStr">
        <is>
          <t>fr</t>
        </is>
      </c>
      <c r="E397" t="inlineStr">
        <is>
          <t>SUPPORTING</t>
        </is>
      </c>
      <c r="F397" t="inlineStr">
        <is>
          <t>idée mots clés</t>
        </is>
      </c>
      <c r="G397" t="n">
        <v>10</v>
      </c>
      <c r="H397" t="inlineStr">
        <is>
          <t>NOT AVAILABLE</t>
        </is>
      </c>
      <c r="I397" t="n">
        <v>0</v>
      </c>
      <c r="J397" t="inlineStr">
        <is>
          <t>NOT AVAILABLE</t>
        </is>
      </c>
      <c r="K397" t="inlineStr">
        <is>
          <t>MEASURED</t>
        </is>
      </c>
      <c r="L397" t="inlineStr">
        <is>
          <t>P3</t>
        </is>
      </c>
      <c r="M397" t="n">
        <v>65</v>
      </c>
      <c r="N397">
        <f>ROUND(IF(IF(J397="NOT AVAILABLE","",J397)="",12,IF(OR(ISNUMBER(SEARCH("Transactional",IF(J397="NOT AVAILABLE","",J397))),ISNUMBER(SEARCH("Commercial",IF(J397="NOT AVAILABLE","",J397)))),25,IF(ISNUMBER(SEARCH("Informational",IF(J397="NOT AVAILABLE","",J397))),10,IF(ISNUMBER(SEARCH("Navigational",IF(J397="NOT AVAILABLE","",J397))),0,12))))+IF(ISNUMBER(G397),MIN(30,ROUND(30*LOG10(G397+1)/4,1)),0)+IF(ISNUMBER(H397),ROUND(25*(100-H397)/100,1),12.5)+14,0)</f>
        <v/>
      </c>
      <c r="O397">
        <f>ROUND(N397*M397/100,0)</f>
        <v/>
      </c>
      <c r="P397" s="5" t="inlineStr">
        <is>
          <t>Measured variant of the tool task</t>
        </is>
      </c>
      <c r="Q397" s="5" t="inlineStr">
        <is>
          <t>None detected</t>
        </is>
      </c>
    </row>
    <row r="398">
      <c r="A398" s="3" t="inlineStr">
        <is>
          <t>https://codesommet.com/tools/landing-page-generator</t>
        </is>
      </c>
      <c r="B398" s="5" t="inlineStr">
        <is>
          <t>Générateur de Landing Page IA Gratuit</t>
        </is>
      </c>
      <c r="C398" t="inlineStr">
        <is>
          <t>France</t>
        </is>
      </c>
      <c r="D398" t="inlineStr">
        <is>
          <t>fr</t>
        </is>
      </c>
      <c r="E398" t="inlineStr">
        <is>
          <t>PRIMARY</t>
        </is>
      </c>
      <c r="F398" t="inlineStr">
        <is>
          <t>créer une landing page</t>
        </is>
      </c>
      <c r="G398" t="n">
        <v>590</v>
      </c>
      <c r="H398" t="n">
        <v>31</v>
      </c>
      <c r="I398" t="n">
        <v>4.58</v>
      </c>
      <c r="J398" t="inlineStr">
        <is>
          <t>Commercial</t>
        </is>
      </c>
      <c r="K398" t="inlineStr">
        <is>
          <t>MEASURED</t>
        </is>
      </c>
      <c r="L398" t="inlineStr">
        <is>
          <t>P3</t>
        </is>
      </c>
      <c r="M398" t="n">
        <v>100</v>
      </c>
      <c r="N398">
        <f>ROUND(IF(IF(J398="NOT AVAILABLE","",J398)="",12,IF(OR(ISNUMBER(SEARCH("Transactional",IF(J398="NOT AVAILABLE","",J398))),ISNUMBER(SEARCH("Commercial",IF(J398="NOT AVAILABLE","",J398)))),25,IF(ISNUMBER(SEARCH("Informational",IF(J398="NOT AVAILABLE","",J398))),10,IF(ISNUMBER(SEARCH("Navigational",IF(J398="NOT AVAILABLE","",J398))),0,12))))+IF(ISNUMBER(G398),MIN(30,ROUND(30*LOG10(G398+1)/4,1)),0)+IF(ISNUMBER(H398),ROUND(25*(100-H398)/100,1),12.5)+14,0)</f>
        <v/>
      </c>
      <c r="O398">
        <f>ROUND(N398*M398/100,0)</f>
        <v/>
      </c>
      <c r="P398" s="5" t="inlineStr">
        <is>
          <t>Best-fitting measured FR query for the tool task (tools serve the francophone market; FR db used as proxy)</t>
        </is>
      </c>
      <c r="Q398" s="5" t="inlineStr">
        <is>
          <t>None detected</t>
        </is>
      </c>
    </row>
    <row r="399">
      <c r="A399" s="3" t="inlineStr">
        <is>
          <t>https://codesommet.com/tools/landing-page-generator</t>
        </is>
      </c>
      <c r="B399" s="5" t="inlineStr">
        <is>
          <t>Générateur de Landing Page IA Gratuit</t>
        </is>
      </c>
      <c r="C399" t="inlineStr">
        <is>
          <t>France</t>
        </is>
      </c>
      <c r="D399" t="inlineStr">
        <is>
          <t>fr</t>
        </is>
      </c>
      <c r="E399" t="inlineStr">
        <is>
          <t>SECONDARY</t>
        </is>
      </c>
      <c r="F399" t="inlineStr">
        <is>
          <t>landing page</t>
        </is>
      </c>
      <c r="G399" t="n">
        <v>8100</v>
      </c>
      <c r="H399" t="n">
        <v>35</v>
      </c>
      <c r="I399" t="n">
        <v>2.55</v>
      </c>
      <c r="J399" t="inlineStr">
        <is>
          <t>Informational</t>
        </is>
      </c>
      <c r="K399" t="inlineStr">
        <is>
          <t>MEASURED</t>
        </is>
      </c>
      <c r="L399" t="inlineStr">
        <is>
          <t>P3</t>
        </is>
      </c>
      <c r="M399" t="n">
        <v>85</v>
      </c>
      <c r="N399">
        <f>ROUND(IF(IF(J399="NOT AVAILABLE","",J399)="",12,IF(OR(ISNUMBER(SEARCH("Transactional",IF(J399="NOT AVAILABLE","",J399))),ISNUMBER(SEARCH("Commercial",IF(J399="NOT AVAILABLE","",J399)))),25,IF(ISNUMBER(SEARCH("Informational",IF(J399="NOT AVAILABLE","",J399))),10,IF(ISNUMBER(SEARCH("Navigational",IF(J399="NOT AVAILABLE","",J399))),0,12))))+IF(ISNUMBER(G399),MIN(30,ROUND(30*LOG10(G399+1)/4,1)),0)+IF(ISNUMBER(H399),ROUND(25*(100-H399)/100,1),12.5)+14,0)</f>
        <v/>
      </c>
      <c r="O399">
        <f>ROUND(N399*M399/100,0)</f>
        <v/>
      </c>
      <c r="P399" s="5" t="inlineStr">
        <is>
          <t>Measured variant of the tool task</t>
        </is>
      </c>
      <c r="Q399" s="5" t="inlineStr">
        <is>
          <t>None detected</t>
        </is>
      </c>
    </row>
    <row r="400">
      <c r="A400" s="3" t="inlineStr">
        <is>
          <t>https://codesommet.com/tools/landing-page-generator</t>
        </is>
      </c>
      <c r="B400" s="5" t="inlineStr">
        <is>
          <t>Générateur de Landing Page IA Gratuit</t>
        </is>
      </c>
      <c r="C400" t="inlineStr">
        <is>
          <t>France</t>
        </is>
      </c>
      <c r="D400" t="inlineStr">
        <is>
          <t>fr</t>
        </is>
      </c>
      <c r="E400" t="inlineStr">
        <is>
          <t>SECONDARY</t>
        </is>
      </c>
      <c r="F400" t="inlineStr">
        <is>
          <t>landing page gratuite</t>
        </is>
      </c>
      <c r="G400" t="n">
        <v>320</v>
      </c>
      <c r="H400" t="n">
        <v>26</v>
      </c>
      <c r="I400" t="n">
        <v>3.24</v>
      </c>
      <c r="J400" t="inlineStr">
        <is>
          <t>Informational</t>
        </is>
      </c>
      <c r="K400" t="inlineStr">
        <is>
          <t>MEASURED</t>
        </is>
      </c>
      <c r="L400" t="inlineStr">
        <is>
          <t>P3</t>
        </is>
      </c>
      <c r="M400" t="n">
        <v>85</v>
      </c>
      <c r="N400">
        <f>ROUND(IF(IF(J400="NOT AVAILABLE","",J400)="",12,IF(OR(ISNUMBER(SEARCH("Transactional",IF(J400="NOT AVAILABLE","",J400))),ISNUMBER(SEARCH("Commercial",IF(J400="NOT AVAILABLE","",J400)))),25,IF(ISNUMBER(SEARCH("Informational",IF(J400="NOT AVAILABLE","",J400))),10,IF(ISNUMBER(SEARCH("Navigational",IF(J400="NOT AVAILABLE","",J400))),0,12))))+IF(ISNUMBER(G400),MIN(30,ROUND(30*LOG10(G400+1)/4,1)),0)+IF(ISNUMBER(H400),ROUND(25*(100-H400)/100,1),12.5)+14,0)</f>
        <v/>
      </c>
      <c r="O400">
        <f>ROUND(N400*M400/100,0)</f>
        <v/>
      </c>
      <c r="P400" s="5" t="inlineStr">
        <is>
          <t>Measured variant of the tool task</t>
        </is>
      </c>
      <c r="Q400" s="5" t="inlineStr">
        <is>
          <t>None detected</t>
        </is>
      </c>
    </row>
    <row r="401">
      <c r="A401" s="3" t="inlineStr">
        <is>
          <t>https://codesommet.com/tools/landing-page-generator</t>
        </is>
      </c>
      <c r="B401" s="5" t="inlineStr">
        <is>
          <t>Générateur de Landing Page IA Gratuit</t>
        </is>
      </c>
      <c r="C401" t="inlineStr">
        <is>
          <t>Morocco</t>
        </is>
      </c>
      <c r="D401" t="inlineStr">
        <is>
          <t>ma</t>
        </is>
      </c>
      <c r="E401" t="inlineStr">
        <is>
          <t>SECONDARY</t>
        </is>
      </c>
      <c r="F401" t="inlineStr">
        <is>
          <t>créer une landing page</t>
        </is>
      </c>
      <c r="G401" t="n">
        <v>20</v>
      </c>
      <c r="H401" t="inlineStr">
        <is>
          <t>NOT AVAILABLE</t>
        </is>
      </c>
      <c r="I401" t="n">
        <v>0.37</v>
      </c>
      <c r="J401" t="inlineStr">
        <is>
          <t>NOT AVAILABLE</t>
        </is>
      </c>
      <c r="K401" t="inlineStr">
        <is>
          <t>MEASURED</t>
        </is>
      </c>
      <c r="L401" t="inlineStr">
        <is>
          <t>P3</t>
        </is>
      </c>
      <c r="M401" t="n">
        <v>85</v>
      </c>
      <c r="N401">
        <f>ROUND(IF(IF(J401="NOT AVAILABLE","",J401)="",12,IF(OR(ISNUMBER(SEARCH("Transactional",IF(J401="NOT AVAILABLE","",J401))),ISNUMBER(SEARCH("Commercial",IF(J401="NOT AVAILABLE","",J401)))),25,IF(ISNUMBER(SEARCH("Informational",IF(J401="NOT AVAILABLE","",J401))),10,IF(ISNUMBER(SEARCH("Navigational",IF(J401="NOT AVAILABLE","",J401))),0,12))))+IF(ISNUMBER(G401),MIN(30,ROUND(30*LOG10(G401+1)/4,1)),0)+IF(ISNUMBER(H401),ROUND(25*(100-H401)/100,1),12.5)+20,0)</f>
        <v/>
      </c>
      <c r="O401">
        <f>ROUND(N401*M401/100,0)</f>
        <v/>
      </c>
      <c r="P401" s="5" t="inlineStr">
        <is>
          <t>Same query, Moroccan market (separate database, never summed)</t>
        </is>
      </c>
      <c r="Q401" s="5" t="inlineStr">
        <is>
          <t>None detected</t>
        </is>
      </c>
    </row>
    <row r="402">
      <c r="A402" s="3" t="inlineStr">
        <is>
          <t>https://codesommet.com/tools/landing-page-generator</t>
        </is>
      </c>
      <c r="B402" s="5" t="inlineStr">
        <is>
          <t>Générateur de Landing Page IA Gratuit</t>
        </is>
      </c>
      <c r="C402" t="inlineStr">
        <is>
          <t>Morocco</t>
        </is>
      </c>
      <c r="D402" t="inlineStr">
        <is>
          <t>ma</t>
        </is>
      </c>
      <c r="E402" t="inlineStr">
        <is>
          <t>SUPPORTING</t>
        </is>
      </c>
      <c r="F402" t="inlineStr">
        <is>
          <t>landing page</t>
        </is>
      </c>
      <c r="G402" t="n">
        <v>1900</v>
      </c>
      <c r="H402" t="n">
        <v>35</v>
      </c>
      <c r="I402" t="n">
        <v>0.37</v>
      </c>
      <c r="J402" t="inlineStr">
        <is>
          <t>Informational, Commercial</t>
        </is>
      </c>
      <c r="K402" t="inlineStr">
        <is>
          <t>MEASURED</t>
        </is>
      </c>
      <c r="L402" t="inlineStr">
        <is>
          <t>P3</t>
        </is>
      </c>
      <c r="M402" t="n">
        <v>65</v>
      </c>
      <c r="N402">
        <f>ROUND(IF(IF(J402="NOT AVAILABLE","",J402)="",12,IF(OR(ISNUMBER(SEARCH("Transactional",IF(J402="NOT AVAILABLE","",J402))),ISNUMBER(SEARCH("Commercial",IF(J402="NOT AVAILABLE","",J402)))),25,IF(ISNUMBER(SEARCH("Informational",IF(J402="NOT AVAILABLE","",J402))),10,IF(ISNUMBER(SEARCH("Navigational",IF(J402="NOT AVAILABLE","",J402))),0,12))))+IF(ISNUMBER(G402),MIN(30,ROUND(30*LOG10(G402+1)/4,1)),0)+IF(ISNUMBER(H402),ROUND(25*(100-H402)/100,1),12.5)+20,0)</f>
        <v/>
      </c>
      <c r="O402">
        <f>ROUND(N402*M402/100,0)</f>
        <v/>
      </c>
      <c r="P402" s="5" t="inlineStr">
        <is>
          <t>Measured variant of the tool task (MA market)</t>
        </is>
      </c>
      <c r="Q402" s="5" t="inlineStr">
        <is>
          <t>None detected</t>
        </is>
      </c>
    </row>
    <row r="403">
      <c r="A403" s="3" t="inlineStr">
        <is>
          <t>https://codesommet.com/tools/landing-page-generator</t>
        </is>
      </c>
      <c r="B403" s="5" t="inlineStr">
        <is>
          <t>Générateur de Landing Page IA Gratuit</t>
        </is>
      </c>
      <c r="C403" t="inlineStr">
        <is>
          <t>Morocco</t>
        </is>
      </c>
      <c r="D403" t="inlineStr">
        <is>
          <t>ma</t>
        </is>
      </c>
      <c r="E403" t="inlineStr">
        <is>
          <t>SUPPORTING</t>
        </is>
      </c>
      <c r="F403" t="inlineStr">
        <is>
          <t>landing page gratuite</t>
        </is>
      </c>
      <c r="G403" t="n">
        <v>20</v>
      </c>
      <c r="H403" t="inlineStr">
        <is>
          <t>NOT AVAILABLE</t>
        </is>
      </c>
      <c r="I403" t="n">
        <v>0.25</v>
      </c>
      <c r="J403" t="inlineStr">
        <is>
          <t>NOT AVAILABLE</t>
        </is>
      </c>
      <c r="K403" t="inlineStr">
        <is>
          <t>MEASURED</t>
        </is>
      </c>
      <c r="L403" t="inlineStr">
        <is>
          <t>P3</t>
        </is>
      </c>
      <c r="M403" t="n">
        <v>65</v>
      </c>
      <c r="N403">
        <f>ROUND(IF(IF(J403="NOT AVAILABLE","",J403)="",12,IF(OR(ISNUMBER(SEARCH("Transactional",IF(J403="NOT AVAILABLE","",J403))),ISNUMBER(SEARCH("Commercial",IF(J403="NOT AVAILABLE","",J403)))),25,IF(ISNUMBER(SEARCH("Informational",IF(J403="NOT AVAILABLE","",J403))),10,IF(ISNUMBER(SEARCH("Navigational",IF(J403="NOT AVAILABLE","",J403))),0,12))))+IF(ISNUMBER(G403),MIN(30,ROUND(30*LOG10(G403+1)/4,1)),0)+IF(ISNUMBER(H403),ROUND(25*(100-H403)/100,1),12.5)+20,0)</f>
        <v/>
      </c>
      <c r="O403">
        <f>ROUND(N403*M403/100,0)</f>
        <v/>
      </c>
      <c r="P403" s="5" t="inlineStr">
        <is>
          <t>Measured variant of the tool task (MA market)</t>
        </is>
      </c>
      <c r="Q403" s="5" t="inlineStr">
        <is>
          <t>None detected</t>
        </is>
      </c>
    </row>
    <row r="404">
      <c r="A404" s="3" t="inlineStr">
        <is>
          <t>https://codesommet.com/tools/landing-page-generator</t>
        </is>
      </c>
      <c r="B404" s="5" t="inlineStr">
        <is>
          <t>Générateur de Landing Page IA Gratuit</t>
        </is>
      </c>
      <c r="C404" t="inlineStr">
        <is>
          <t>France</t>
        </is>
      </c>
      <c r="D404" t="inlineStr">
        <is>
          <t>fr</t>
        </is>
      </c>
      <c r="E404" t="inlineStr">
        <is>
          <t>OPTIONAL</t>
        </is>
      </c>
      <c r="F404" t="inlineStr">
        <is>
          <t>générateur landing page</t>
        </is>
      </c>
      <c r="G404" t="n">
        <v>0</v>
      </c>
      <c r="H404" t="inlineStr">
        <is>
          <t>NOT AVAILABLE</t>
        </is>
      </c>
      <c r="I404" t="n">
        <v>0</v>
      </c>
      <c r="J404" t="inlineStr">
        <is>
          <t>NOT AVAILABLE</t>
        </is>
      </c>
      <c r="K404" t="inlineStr">
        <is>
          <t>MEASURED</t>
        </is>
      </c>
      <c r="L404" t="inlineStr">
        <is>
          <t>P4</t>
        </is>
      </c>
      <c r="M404" t="n">
        <v>45</v>
      </c>
      <c r="N404">
        <f>ROUND(IF(IF(J404="NOT AVAILABLE","",J404)="",12,IF(OR(ISNUMBER(SEARCH("Transactional",IF(J404="NOT AVAILABLE","",J404))),ISNUMBER(SEARCH("Commercial",IF(J404="NOT AVAILABLE","",J404)))),25,IF(ISNUMBER(SEARCH("Informational",IF(J404="NOT AVAILABLE","",J404))),10,IF(ISNUMBER(SEARCH("Navigational",IF(J404="NOT AVAILABLE","",J404))),0,12))))+IF(ISNUMBER(G404),MIN(30,ROUND(30*LOG10(G404+1)/4,1)),0)+IF(ISNUMBER(H404),ROUND(25*(100-H404)/100,1),12.5)+14,0)</f>
        <v/>
      </c>
      <c r="O404">
        <f>ROUND(N404*M404/100,0)</f>
        <v/>
      </c>
      <c r="P404" s="5" t="inlineStr">
        <is>
          <t>Queried - Semrush returned no data or zero volume; usable as natural wording only</t>
        </is>
      </c>
      <c r="Q404" s="5" t="inlineStr">
        <is>
          <t>None detected</t>
        </is>
      </c>
    </row>
    <row r="405">
      <c r="A405" s="3" t="inlineStr">
        <is>
          <t>https://codesommet.com/tools/llms-txt-generator</t>
        </is>
      </c>
      <c r="B405" s="5" t="inlineStr">
        <is>
          <t>Générateur de Fichier llms.txt Gratuit</t>
        </is>
      </c>
      <c r="C405" t="inlineStr">
        <is>
          <t>France</t>
        </is>
      </c>
      <c r="D405" t="inlineStr">
        <is>
          <t>fr</t>
        </is>
      </c>
      <c r="E405" t="inlineStr">
        <is>
          <t>PRIMARY</t>
        </is>
      </c>
      <c r="F405" t="inlineStr">
        <is>
          <t>llms.txt</t>
        </is>
      </c>
      <c r="G405" t="n">
        <v>1900</v>
      </c>
      <c r="H405" t="n">
        <v>31</v>
      </c>
      <c r="I405" t="n">
        <v>0.23</v>
      </c>
      <c r="J405" t="inlineStr">
        <is>
          <t>Informational</t>
        </is>
      </c>
      <c r="K405" t="inlineStr">
        <is>
          <t>MEASURED</t>
        </is>
      </c>
      <c r="L405" t="inlineStr">
        <is>
          <t>P3</t>
        </is>
      </c>
      <c r="M405" t="n">
        <v>100</v>
      </c>
      <c r="N405">
        <f>ROUND(IF(IF(J405="NOT AVAILABLE","",J405)="",12,IF(OR(ISNUMBER(SEARCH("Transactional",IF(J405="NOT AVAILABLE","",J405))),ISNUMBER(SEARCH("Commercial",IF(J405="NOT AVAILABLE","",J405)))),25,IF(ISNUMBER(SEARCH("Informational",IF(J405="NOT AVAILABLE","",J405))),10,IF(ISNUMBER(SEARCH("Navigational",IF(J405="NOT AVAILABLE","",J405))),0,12))))+IF(ISNUMBER(G405),MIN(30,ROUND(30*LOG10(G405+1)/4,1)),0)+IF(ISNUMBER(H405),ROUND(25*(100-H405)/100,1),12.5)+14,0)</f>
        <v/>
      </c>
      <c r="O405">
        <f>ROUND(N405*M405/100,0)</f>
        <v/>
      </c>
      <c r="P405" s="5" t="inlineStr">
        <is>
          <t>Best-fitting measured FR query for the tool task (tools serve the francophone market; FR db used as proxy)</t>
        </is>
      </c>
      <c r="Q405" s="5" t="inlineStr">
        <is>
          <t>None detected</t>
        </is>
      </c>
    </row>
    <row r="406">
      <c r="A406" s="3" t="inlineStr">
        <is>
          <t>https://codesommet.com/tools/llms-txt-generator</t>
        </is>
      </c>
      <c r="B406" s="5" t="inlineStr">
        <is>
          <t>Générateur de Fichier llms.txt Gratuit</t>
        </is>
      </c>
      <c r="C406" t="inlineStr">
        <is>
          <t>France</t>
        </is>
      </c>
      <c r="D406" t="inlineStr">
        <is>
          <t>fr</t>
        </is>
      </c>
      <c r="E406" t="inlineStr">
        <is>
          <t>SECONDARY</t>
        </is>
      </c>
      <c r="F406" t="inlineStr">
        <is>
          <t>llms txt</t>
        </is>
      </c>
      <c r="G406" t="n">
        <v>720</v>
      </c>
      <c r="H406" t="n">
        <v>29</v>
      </c>
      <c r="I406" t="n">
        <v>0.23</v>
      </c>
      <c r="J406" t="inlineStr">
        <is>
          <t>Informational</t>
        </is>
      </c>
      <c r="K406" t="inlineStr">
        <is>
          <t>MEASURED</t>
        </is>
      </c>
      <c r="L406" t="inlineStr">
        <is>
          <t>P3</t>
        </is>
      </c>
      <c r="M406" t="n">
        <v>85</v>
      </c>
      <c r="N406">
        <f>ROUND(IF(IF(J406="NOT AVAILABLE","",J406)="",12,IF(OR(ISNUMBER(SEARCH("Transactional",IF(J406="NOT AVAILABLE","",J406))),ISNUMBER(SEARCH("Commercial",IF(J406="NOT AVAILABLE","",J406)))),25,IF(ISNUMBER(SEARCH("Informational",IF(J406="NOT AVAILABLE","",J406))),10,IF(ISNUMBER(SEARCH("Navigational",IF(J406="NOT AVAILABLE","",J406))),0,12))))+IF(ISNUMBER(G406),MIN(30,ROUND(30*LOG10(G406+1)/4,1)),0)+IF(ISNUMBER(H406),ROUND(25*(100-H406)/100,1),12.5)+14,0)</f>
        <v/>
      </c>
      <c r="O406">
        <f>ROUND(N406*M406/100,0)</f>
        <v/>
      </c>
      <c r="P406" s="5" t="inlineStr">
        <is>
          <t>Measured variant of the tool task</t>
        </is>
      </c>
      <c r="Q406" s="5" t="inlineStr">
        <is>
          <t>None detected</t>
        </is>
      </c>
    </row>
    <row r="407">
      <c r="A407" s="3" t="inlineStr">
        <is>
          <t>https://codesommet.com/tools/llms-txt-generator</t>
        </is>
      </c>
      <c r="B407" s="5" t="inlineStr">
        <is>
          <t>Générateur de Fichier llms.txt Gratuit</t>
        </is>
      </c>
      <c r="C407" t="inlineStr">
        <is>
          <t>France</t>
        </is>
      </c>
      <c r="D407" t="inlineStr">
        <is>
          <t>fr</t>
        </is>
      </c>
      <c r="E407" t="inlineStr">
        <is>
          <t>SECONDARY</t>
        </is>
      </c>
      <c r="F407" t="inlineStr">
        <is>
          <t>fichier llms.txt</t>
        </is>
      </c>
      <c r="G407" t="n">
        <v>320</v>
      </c>
      <c r="H407" t="n">
        <v>25</v>
      </c>
      <c r="I407" t="n">
        <v>0.13</v>
      </c>
      <c r="J407" t="inlineStr">
        <is>
          <t>Informational</t>
        </is>
      </c>
      <c r="K407" t="inlineStr">
        <is>
          <t>MEASURED</t>
        </is>
      </c>
      <c r="L407" t="inlineStr">
        <is>
          <t>P3</t>
        </is>
      </c>
      <c r="M407" t="n">
        <v>85</v>
      </c>
      <c r="N407">
        <f>ROUND(IF(IF(J407="NOT AVAILABLE","",J407)="",12,IF(OR(ISNUMBER(SEARCH("Transactional",IF(J407="NOT AVAILABLE","",J407))),ISNUMBER(SEARCH("Commercial",IF(J407="NOT AVAILABLE","",J407)))),25,IF(ISNUMBER(SEARCH("Informational",IF(J407="NOT AVAILABLE","",J407))),10,IF(ISNUMBER(SEARCH("Navigational",IF(J407="NOT AVAILABLE","",J407))),0,12))))+IF(ISNUMBER(G407),MIN(30,ROUND(30*LOG10(G407+1)/4,1)),0)+IF(ISNUMBER(H407),ROUND(25*(100-H407)/100,1),12.5)+14,0)</f>
        <v/>
      </c>
      <c r="O407">
        <f>ROUND(N407*M407/100,0)</f>
        <v/>
      </c>
      <c r="P407" s="5" t="inlineStr">
        <is>
          <t>Measured variant of the tool task</t>
        </is>
      </c>
      <c r="Q407" s="5" t="inlineStr">
        <is>
          <t>None detected</t>
        </is>
      </c>
    </row>
    <row r="408">
      <c r="A408" s="3" t="inlineStr">
        <is>
          <t>https://codesommet.com/tools/local-business-schema</t>
        </is>
      </c>
      <c r="B408" s="5" t="inlineStr">
        <is>
          <t>Générateur de Schéma LocalBusiness Gratuit</t>
        </is>
      </c>
      <c r="C408" t="inlineStr">
        <is>
          <t>France</t>
        </is>
      </c>
      <c r="D408" t="inlineStr">
        <is>
          <t>fr</t>
        </is>
      </c>
      <c r="E408" t="inlineStr">
        <is>
          <t>PRIMARY</t>
        </is>
      </c>
      <c r="F408" t="inlineStr">
        <is>
          <t>local business schema</t>
        </is>
      </c>
      <c r="G408" t="n">
        <v>20</v>
      </c>
      <c r="H408" t="inlineStr">
        <is>
          <t>NOT AVAILABLE</t>
        </is>
      </c>
      <c r="I408" t="n">
        <v>0</v>
      </c>
      <c r="J408" t="inlineStr">
        <is>
          <t>NOT AVAILABLE</t>
        </is>
      </c>
      <c r="K408" t="inlineStr">
        <is>
          <t>MEASURED</t>
        </is>
      </c>
      <c r="L408" t="inlineStr">
        <is>
          <t>P3</t>
        </is>
      </c>
      <c r="M408" t="n">
        <v>100</v>
      </c>
      <c r="N408">
        <f>ROUND(IF(IF(J408="NOT AVAILABLE","",J408)="",12,IF(OR(ISNUMBER(SEARCH("Transactional",IF(J408="NOT AVAILABLE","",J408))),ISNUMBER(SEARCH("Commercial",IF(J408="NOT AVAILABLE","",J408)))),25,IF(ISNUMBER(SEARCH("Informational",IF(J408="NOT AVAILABLE","",J408))),10,IF(ISNUMBER(SEARCH("Navigational",IF(J408="NOT AVAILABLE","",J408))),0,12))))+IF(ISNUMBER(G408),MIN(30,ROUND(30*LOG10(G408+1)/4,1)),0)+IF(ISNUMBER(H408),ROUND(25*(100-H408)/100,1),12.5)+14,0)</f>
        <v/>
      </c>
      <c r="O408">
        <f>ROUND(N408*M408/100,0)</f>
        <v/>
      </c>
      <c r="P408" s="5" t="inlineStr">
        <is>
          <t>Best-fitting measured FR query for the tool task (tools serve the francophone market; FR db used as proxy)</t>
        </is>
      </c>
      <c r="Q408" s="5" t="inlineStr">
        <is>
          <t>None detected</t>
        </is>
      </c>
    </row>
    <row r="409">
      <c r="A409" s="3" t="inlineStr">
        <is>
          <t>https://codesommet.com/tools/local-business-schema</t>
        </is>
      </c>
      <c r="B409" s="5" t="inlineStr">
        <is>
          <t>Générateur de Schéma LocalBusiness Gratuit</t>
        </is>
      </c>
      <c r="C409" t="inlineStr">
        <is>
          <t>France</t>
        </is>
      </c>
      <c r="D409" t="inlineStr">
        <is>
          <t>fr</t>
        </is>
      </c>
      <c r="E409" t="inlineStr">
        <is>
          <t>SUPPORTING</t>
        </is>
      </c>
      <c r="F409" t="inlineStr">
        <is>
          <t>schema localbusiness</t>
        </is>
      </c>
      <c r="G409" t="n">
        <v>20</v>
      </c>
      <c r="H409" t="inlineStr">
        <is>
          <t>NOT AVAILABLE</t>
        </is>
      </c>
      <c r="I409" t="n">
        <v>0</v>
      </c>
      <c r="J409" t="inlineStr">
        <is>
          <t>NOT AVAILABLE</t>
        </is>
      </c>
      <c r="K409" t="inlineStr">
        <is>
          <t>MEASURED</t>
        </is>
      </c>
      <c r="L409" t="inlineStr">
        <is>
          <t>P3</t>
        </is>
      </c>
      <c r="M409" t="n">
        <v>65</v>
      </c>
      <c r="N409">
        <f>ROUND(IF(IF(J409="NOT AVAILABLE","",J409)="",12,IF(OR(ISNUMBER(SEARCH("Transactional",IF(J409="NOT AVAILABLE","",J409))),ISNUMBER(SEARCH("Commercial",IF(J409="NOT AVAILABLE","",J409)))),25,IF(ISNUMBER(SEARCH("Informational",IF(J409="NOT AVAILABLE","",J409))),10,IF(ISNUMBER(SEARCH("Navigational",IF(J409="NOT AVAILABLE","",J409))),0,12))))+IF(ISNUMBER(G409),MIN(30,ROUND(30*LOG10(G409+1)/4,1)),0)+IF(ISNUMBER(H409),ROUND(25*(100-H409)/100,1),12.5)+14,0)</f>
        <v/>
      </c>
      <c r="O409">
        <f>ROUND(N409*M409/100,0)</f>
        <v/>
      </c>
      <c r="P409" s="5" t="inlineStr">
        <is>
          <t>Measured variant of the tool task</t>
        </is>
      </c>
      <c r="Q409" s="5" t="inlineStr">
        <is>
          <t>None detected</t>
        </is>
      </c>
    </row>
    <row r="410">
      <c r="A410" s="3" t="inlineStr">
        <is>
          <t>https://codesommet.com/tools/local-business-schema</t>
        </is>
      </c>
      <c r="B410" s="5" t="inlineStr">
        <is>
          <t>Générateur de Schéma LocalBusiness Gratuit</t>
        </is>
      </c>
      <c r="C410" t="inlineStr">
        <is>
          <t>France</t>
        </is>
      </c>
      <c r="D410" t="inlineStr">
        <is>
          <t>fr</t>
        </is>
      </c>
      <c r="E410" t="inlineStr">
        <is>
          <t>OPTIONAL</t>
        </is>
      </c>
      <c r="F410" t="inlineStr">
        <is>
          <t>données structurées entreprise locale</t>
        </is>
      </c>
      <c r="G410" t="inlineStr">
        <is>
          <t>NOT AVAILABLE</t>
        </is>
      </c>
      <c r="H410" t="inlineStr">
        <is>
          <t>NOT AVAILABLE</t>
        </is>
      </c>
      <c r="I410" t="inlineStr">
        <is>
          <t>NOT AVAILABLE</t>
        </is>
      </c>
      <c r="J410" t="inlineStr">
        <is>
          <t>NOT AVAILABLE</t>
        </is>
      </c>
      <c r="K410" t="inlineStr">
        <is>
          <t>UNAVAILABLE</t>
        </is>
      </c>
      <c r="L410" t="inlineStr">
        <is>
          <t>P4</t>
        </is>
      </c>
      <c r="M410" t="n">
        <v>45</v>
      </c>
      <c r="N410">
        <f>ROUND(IF(IF(J410="NOT AVAILABLE","",J410)="",12,IF(OR(ISNUMBER(SEARCH("Transactional",IF(J410="NOT AVAILABLE","",J410))),ISNUMBER(SEARCH("Commercial",IF(J410="NOT AVAILABLE","",J410)))),25,IF(ISNUMBER(SEARCH("Informational",IF(J410="NOT AVAILABLE","",J410))),10,IF(ISNUMBER(SEARCH("Navigational",IF(J410="NOT AVAILABLE","",J410))),0,12))))+IF(ISNUMBER(G410),MIN(30,ROUND(30*LOG10(G410+1)/4,1)),0)+IF(ISNUMBER(H410),ROUND(25*(100-H410)/100,1),12.5)+14,0)</f>
        <v/>
      </c>
      <c r="O410">
        <f>ROUND(N410*M410/100,0)</f>
        <v/>
      </c>
      <c r="P410" s="5" t="inlineStr">
        <is>
          <t>Queried - Semrush returned no data or zero volume; usable as natural wording only</t>
        </is>
      </c>
      <c r="Q410" s="5" t="inlineStr">
        <is>
          <t>None detected</t>
        </is>
      </c>
    </row>
    <row r="411">
      <c r="A411" s="3" t="inlineStr">
        <is>
          <t>https://codesommet.com/tools/lorem-ipsum-generator</t>
        </is>
      </c>
      <c r="B411" s="5" t="inlineStr">
        <is>
          <t>Générateur Lorem Ipsum Gratuit</t>
        </is>
      </c>
      <c r="C411" t="inlineStr">
        <is>
          <t>France</t>
        </is>
      </c>
      <c r="D411" t="inlineStr">
        <is>
          <t>fr</t>
        </is>
      </c>
      <c r="E411" t="inlineStr">
        <is>
          <t>PRIMARY</t>
        </is>
      </c>
      <c r="F411" t="inlineStr">
        <is>
          <t>lorem ipsum</t>
        </is>
      </c>
      <c r="G411" t="n">
        <v>40500</v>
      </c>
      <c r="H411" t="n">
        <v>45</v>
      </c>
      <c r="I411" t="n">
        <v>1.78</v>
      </c>
      <c r="J411" t="inlineStr">
        <is>
          <t>Informational</t>
        </is>
      </c>
      <c r="K411" t="inlineStr">
        <is>
          <t>MEASURED</t>
        </is>
      </c>
      <c r="L411" t="inlineStr">
        <is>
          <t>P3</t>
        </is>
      </c>
      <c r="M411" t="n">
        <v>100</v>
      </c>
      <c r="N411">
        <f>ROUND(IF(IF(J411="NOT AVAILABLE","",J411)="",12,IF(OR(ISNUMBER(SEARCH("Transactional",IF(J411="NOT AVAILABLE","",J411))),ISNUMBER(SEARCH("Commercial",IF(J411="NOT AVAILABLE","",J411)))),25,IF(ISNUMBER(SEARCH("Informational",IF(J411="NOT AVAILABLE","",J411))),10,IF(ISNUMBER(SEARCH("Navigational",IF(J411="NOT AVAILABLE","",J411))),0,12))))+IF(ISNUMBER(G411),MIN(30,ROUND(30*LOG10(G411+1)/4,1)),0)+IF(ISNUMBER(H411),ROUND(25*(100-H411)/100,1),12.5)+14,0)</f>
        <v/>
      </c>
      <c r="O411">
        <f>ROUND(N411*M411/100,0)</f>
        <v/>
      </c>
      <c r="P411" s="5" t="inlineStr">
        <is>
          <t>Best-fitting measured FR query for the tool task (tools serve the francophone market; FR db used as proxy)</t>
        </is>
      </c>
      <c r="Q411" s="5" t="inlineStr">
        <is>
          <t>None detected</t>
        </is>
      </c>
    </row>
    <row r="412">
      <c r="A412" s="3" t="inlineStr">
        <is>
          <t>https://codesommet.com/tools/lorem-ipsum-generator</t>
        </is>
      </c>
      <c r="B412" s="5" t="inlineStr">
        <is>
          <t>Générateur Lorem Ipsum Gratuit</t>
        </is>
      </c>
      <c r="C412" t="inlineStr">
        <is>
          <t>Morocco</t>
        </is>
      </c>
      <c r="D412" t="inlineStr">
        <is>
          <t>ma</t>
        </is>
      </c>
      <c r="E412" t="inlineStr">
        <is>
          <t>SECONDARY</t>
        </is>
      </c>
      <c r="F412" t="inlineStr">
        <is>
          <t>lorem ipsum</t>
        </is>
      </c>
      <c r="G412" t="n">
        <v>1900</v>
      </c>
      <c r="H412" t="n">
        <v>49</v>
      </c>
      <c r="I412" t="n">
        <v>0</v>
      </c>
      <c r="J412" t="inlineStr">
        <is>
          <t>Navigational</t>
        </is>
      </c>
      <c r="K412" t="inlineStr">
        <is>
          <t>MEASURED</t>
        </is>
      </c>
      <c r="L412" t="inlineStr">
        <is>
          <t>P3</t>
        </is>
      </c>
      <c r="M412" t="n">
        <v>85</v>
      </c>
      <c r="N412">
        <f>ROUND(IF(IF(J412="NOT AVAILABLE","",J412)="",12,IF(OR(ISNUMBER(SEARCH("Transactional",IF(J412="NOT AVAILABLE","",J412))),ISNUMBER(SEARCH("Commercial",IF(J412="NOT AVAILABLE","",J412)))),25,IF(ISNUMBER(SEARCH("Informational",IF(J412="NOT AVAILABLE","",J412))),10,IF(ISNUMBER(SEARCH("Navigational",IF(J412="NOT AVAILABLE","",J412))),0,12))))+IF(ISNUMBER(G412),MIN(30,ROUND(30*LOG10(G412+1)/4,1)),0)+IF(ISNUMBER(H412),ROUND(25*(100-H412)/100,1),12.5)+20,0)</f>
        <v/>
      </c>
      <c r="O412">
        <f>ROUND(N412*M412/100,0)</f>
        <v/>
      </c>
      <c r="P412" s="5" t="inlineStr">
        <is>
          <t>Same query, Moroccan market (separate database, never summed)</t>
        </is>
      </c>
      <c r="Q412" s="5" t="inlineStr">
        <is>
          <t>None detected</t>
        </is>
      </c>
    </row>
    <row r="413">
      <c r="A413" s="3" t="inlineStr">
        <is>
          <t>https://codesommet.com/tools/lorem-ipsum-generator</t>
        </is>
      </c>
      <c r="B413" s="5" t="inlineStr">
        <is>
          <t>Générateur Lorem Ipsum Gratuit</t>
        </is>
      </c>
      <c r="C413" t="inlineStr">
        <is>
          <t>France</t>
        </is>
      </c>
      <c r="D413" t="inlineStr">
        <is>
          <t>fr</t>
        </is>
      </c>
      <c r="E413" t="inlineStr">
        <is>
          <t>SECONDARY</t>
        </is>
      </c>
      <c r="F413" t="inlineStr">
        <is>
          <t>faux texte</t>
        </is>
      </c>
      <c r="G413" t="n">
        <v>1600</v>
      </c>
      <c r="H413" t="n">
        <v>32</v>
      </c>
      <c r="I413" t="n">
        <v>0</v>
      </c>
      <c r="J413" t="inlineStr">
        <is>
          <t>Informational</t>
        </is>
      </c>
      <c r="K413" t="inlineStr">
        <is>
          <t>MEASURED</t>
        </is>
      </c>
      <c r="L413" t="inlineStr">
        <is>
          <t>P3</t>
        </is>
      </c>
      <c r="M413" t="n">
        <v>85</v>
      </c>
      <c r="N413">
        <f>ROUND(IF(IF(J413="NOT AVAILABLE","",J413)="",12,IF(OR(ISNUMBER(SEARCH("Transactional",IF(J413="NOT AVAILABLE","",J413))),ISNUMBER(SEARCH("Commercial",IF(J413="NOT AVAILABLE","",J413)))),25,IF(ISNUMBER(SEARCH("Informational",IF(J413="NOT AVAILABLE","",J413))),10,IF(ISNUMBER(SEARCH("Navigational",IF(J413="NOT AVAILABLE","",J413))),0,12))))+IF(ISNUMBER(G413),MIN(30,ROUND(30*LOG10(G413+1)/4,1)),0)+IF(ISNUMBER(H413),ROUND(25*(100-H413)/100,1),12.5)+14,0)</f>
        <v/>
      </c>
      <c r="O413">
        <f>ROUND(N413*M413/100,0)</f>
        <v/>
      </c>
      <c r="P413" s="5" t="inlineStr">
        <is>
          <t>Measured variant of the tool task</t>
        </is>
      </c>
      <c r="Q413" s="5" t="inlineStr">
        <is>
          <t>None detected</t>
        </is>
      </c>
    </row>
    <row r="414">
      <c r="A414" s="3" t="inlineStr">
        <is>
          <t>https://codesommet.com/tools/lorem-ipsum-generator</t>
        </is>
      </c>
      <c r="B414" s="5" t="inlineStr">
        <is>
          <t>Générateur Lorem Ipsum Gratuit</t>
        </is>
      </c>
      <c r="C414" t="inlineStr">
        <is>
          <t>France</t>
        </is>
      </c>
      <c r="D414" t="inlineStr">
        <is>
          <t>fr</t>
        </is>
      </c>
      <c r="E414" t="inlineStr">
        <is>
          <t>SECONDARY</t>
        </is>
      </c>
      <c r="F414" t="inlineStr">
        <is>
          <t>texte lorem ipsum</t>
        </is>
      </c>
      <c r="G414" t="n">
        <v>1000</v>
      </c>
      <c r="H414" t="n">
        <v>48</v>
      </c>
      <c r="I414" t="n">
        <v>1.42</v>
      </c>
      <c r="J414" t="inlineStr">
        <is>
          <t>Informational</t>
        </is>
      </c>
      <c r="K414" t="inlineStr">
        <is>
          <t>MEASURED</t>
        </is>
      </c>
      <c r="L414" t="inlineStr">
        <is>
          <t>P3</t>
        </is>
      </c>
      <c r="M414" t="n">
        <v>85</v>
      </c>
      <c r="N414">
        <f>ROUND(IF(IF(J414="NOT AVAILABLE","",J414)="",12,IF(OR(ISNUMBER(SEARCH("Transactional",IF(J414="NOT AVAILABLE","",J414))),ISNUMBER(SEARCH("Commercial",IF(J414="NOT AVAILABLE","",J414)))),25,IF(ISNUMBER(SEARCH("Informational",IF(J414="NOT AVAILABLE","",J414))),10,IF(ISNUMBER(SEARCH("Navigational",IF(J414="NOT AVAILABLE","",J414))),0,12))))+IF(ISNUMBER(G414),MIN(30,ROUND(30*LOG10(G414+1)/4,1)),0)+IF(ISNUMBER(H414),ROUND(25*(100-H414)/100,1),12.5)+14,0)</f>
        <v/>
      </c>
      <c r="O414">
        <f>ROUND(N414*M414/100,0)</f>
        <v/>
      </c>
      <c r="P414" s="5" t="inlineStr">
        <is>
          <t>Measured variant of the tool task</t>
        </is>
      </c>
      <c r="Q414" s="5" t="inlineStr">
        <is>
          <t>None detected</t>
        </is>
      </c>
    </row>
    <row r="415">
      <c r="A415" s="3" t="inlineStr">
        <is>
          <t>https://codesommet.com/tools/lorem-ipsum-generator</t>
        </is>
      </c>
      <c r="B415" s="5" t="inlineStr">
        <is>
          <t>Générateur Lorem Ipsum Gratuit</t>
        </is>
      </c>
      <c r="C415" t="inlineStr">
        <is>
          <t>France</t>
        </is>
      </c>
      <c r="D415" t="inlineStr">
        <is>
          <t>fr</t>
        </is>
      </c>
      <c r="E415" t="inlineStr">
        <is>
          <t>SECONDARY</t>
        </is>
      </c>
      <c r="F415" t="inlineStr">
        <is>
          <t>générateur lorem ipsum</t>
        </is>
      </c>
      <c r="G415" t="n">
        <v>260</v>
      </c>
      <c r="H415" t="n">
        <v>37</v>
      </c>
      <c r="I415" t="n">
        <v>0</v>
      </c>
      <c r="J415" t="inlineStr">
        <is>
          <t>Informational</t>
        </is>
      </c>
      <c r="K415" t="inlineStr">
        <is>
          <t>MEASURED</t>
        </is>
      </c>
      <c r="L415" t="inlineStr">
        <is>
          <t>P3</t>
        </is>
      </c>
      <c r="M415" t="n">
        <v>85</v>
      </c>
      <c r="N415">
        <f>ROUND(IF(IF(J415="NOT AVAILABLE","",J415)="",12,IF(OR(ISNUMBER(SEARCH("Transactional",IF(J415="NOT AVAILABLE","",J415))),ISNUMBER(SEARCH("Commercial",IF(J415="NOT AVAILABLE","",J415)))),25,IF(ISNUMBER(SEARCH("Informational",IF(J415="NOT AVAILABLE","",J415))),10,IF(ISNUMBER(SEARCH("Navigational",IF(J415="NOT AVAILABLE","",J415))),0,12))))+IF(ISNUMBER(G415),MIN(30,ROUND(30*LOG10(G415+1)/4,1)),0)+IF(ISNUMBER(H415),ROUND(25*(100-H415)/100,1),12.5)+14,0)</f>
        <v/>
      </c>
      <c r="O415">
        <f>ROUND(N415*M415/100,0)</f>
        <v/>
      </c>
      <c r="P415" s="5" t="inlineStr">
        <is>
          <t>Measured variant of the tool task</t>
        </is>
      </c>
      <c r="Q415" s="5" t="inlineStr">
        <is>
          <t>None detected</t>
        </is>
      </c>
    </row>
    <row r="416">
      <c r="A416" s="3" t="inlineStr">
        <is>
          <t>https://codesommet.com/tools/lorem-ipsum-generator</t>
        </is>
      </c>
      <c r="B416" s="5" t="inlineStr">
        <is>
          <t>Générateur Lorem Ipsum Gratuit</t>
        </is>
      </c>
      <c r="C416" t="inlineStr">
        <is>
          <t>Morocco</t>
        </is>
      </c>
      <c r="D416" t="inlineStr">
        <is>
          <t>ma</t>
        </is>
      </c>
      <c r="E416" t="inlineStr">
        <is>
          <t>SUPPORTING</t>
        </is>
      </c>
      <c r="F416" t="inlineStr">
        <is>
          <t>faux texte</t>
        </is>
      </c>
      <c r="G416" t="n">
        <v>90</v>
      </c>
      <c r="H416" t="inlineStr">
        <is>
          <t>NOT AVAILABLE</t>
        </is>
      </c>
      <c r="I416" t="n">
        <v>0</v>
      </c>
      <c r="J416" t="inlineStr">
        <is>
          <t>NOT AVAILABLE</t>
        </is>
      </c>
      <c r="K416" t="inlineStr">
        <is>
          <t>MEASURED</t>
        </is>
      </c>
      <c r="L416" t="inlineStr">
        <is>
          <t>P3</t>
        </is>
      </c>
      <c r="M416" t="n">
        <v>65</v>
      </c>
      <c r="N416">
        <f>ROUND(IF(IF(J416="NOT AVAILABLE","",J416)="",12,IF(OR(ISNUMBER(SEARCH("Transactional",IF(J416="NOT AVAILABLE","",J416))),ISNUMBER(SEARCH("Commercial",IF(J416="NOT AVAILABLE","",J416)))),25,IF(ISNUMBER(SEARCH("Informational",IF(J416="NOT AVAILABLE","",J416))),10,IF(ISNUMBER(SEARCH("Navigational",IF(J416="NOT AVAILABLE","",J416))),0,12))))+IF(ISNUMBER(G416),MIN(30,ROUND(30*LOG10(G416+1)/4,1)),0)+IF(ISNUMBER(H416),ROUND(25*(100-H416)/100,1),12.5)+20,0)</f>
        <v/>
      </c>
      <c r="O416">
        <f>ROUND(N416*M416/100,0)</f>
        <v/>
      </c>
      <c r="P416" s="5" t="inlineStr">
        <is>
          <t>Measured variant of the tool task (MA market)</t>
        </is>
      </c>
      <c r="Q416" s="5" t="inlineStr">
        <is>
          <t>None detected</t>
        </is>
      </c>
    </row>
    <row r="417">
      <c r="A417" s="3" t="inlineStr">
        <is>
          <t>https://codesommet.com/tools/lorem-ipsum-generator</t>
        </is>
      </c>
      <c r="B417" s="5" t="inlineStr">
        <is>
          <t>Générateur Lorem Ipsum Gratuit</t>
        </is>
      </c>
      <c r="C417" t="inlineStr">
        <is>
          <t>Morocco</t>
        </is>
      </c>
      <c r="D417" t="inlineStr">
        <is>
          <t>ma</t>
        </is>
      </c>
      <c r="E417" t="inlineStr">
        <is>
          <t>SUPPORTING</t>
        </is>
      </c>
      <c r="F417" t="inlineStr">
        <is>
          <t>texte lorem ipsum</t>
        </is>
      </c>
      <c r="G417" t="n">
        <v>90</v>
      </c>
      <c r="H417" t="inlineStr">
        <is>
          <t>NOT AVAILABLE</t>
        </is>
      </c>
      <c r="I417" t="n">
        <v>0</v>
      </c>
      <c r="J417" t="inlineStr">
        <is>
          <t>NOT AVAILABLE</t>
        </is>
      </c>
      <c r="K417" t="inlineStr">
        <is>
          <t>MEASURED</t>
        </is>
      </c>
      <c r="L417" t="inlineStr">
        <is>
          <t>P3</t>
        </is>
      </c>
      <c r="M417" t="n">
        <v>65</v>
      </c>
      <c r="N417">
        <f>ROUND(IF(IF(J417="NOT AVAILABLE","",J417)="",12,IF(OR(ISNUMBER(SEARCH("Transactional",IF(J417="NOT AVAILABLE","",J417))),ISNUMBER(SEARCH("Commercial",IF(J417="NOT AVAILABLE","",J417)))),25,IF(ISNUMBER(SEARCH("Informational",IF(J417="NOT AVAILABLE","",J417))),10,IF(ISNUMBER(SEARCH("Navigational",IF(J417="NOT AVAILABLE","",J417))),0,12))))+IF(ISNUMBER(G417),MIN(30,ROUND(30*LOG10(G417+1)/4,1)),0)+IF(ISNUMBER(H417),ROUND(25*(100-H417)/100,1),12.5)+20,0)</f>
        <v/>
      </c>
      <c r="O417">
        <f>ROUND(N417*M417/100,0)</f>
        <v/>
      </c>
      <c r="P417" s="5" t="inlineStr">
        <is>
          <t>Measured variant of the tool task (MA market)</t>
        </is>
      </c>
      <c r="Q417" s="5" t="inlineStr">
        <is>
          <t>None detected</t>
        </is>
      </c>
    </row>
    <row r="418">
      <c r="A418" s="3" t="inlineStr">
        <is>
          <t>https://codesommet.com/tools/lorem-ipsum-generator</t>
        </is>
      </c>
      <c r="B418" s="5" t="inlineStr">
        <is>
          <t>Générateur Lorem Ipsum Gratuit</t>
        </is>
      </c>
      <c r="C418" t="inlineStr">
        <is>
          <t>Morocco</t>
        </is>
      </c>
      <c r="D418" t="inlineStr">
        <is>
          <t>ma</t>
        </is>
      </c>
      <c r="E418" t="inlineStr">
        <is>
          <t>SUPPORTING</t>
        </is>
      </c>
      <c r="F418" t="inlineStr">
        <is>
          <t>générateur lorem ipsum</t>
        </is>
      </c>
      <c r="G418" t="n">
        <v>10</v>
      </c>
      <c r="H418" t="inlineStr">
        <is>
          <t>NOT AVAILABLE</t>
        </is>
      </c>
      <c r="I418" t="n">
        <v>0</v>
      </c>
      <c r="J418" t="inlineStr">
        <is>
          <t>NOT AVAILABLE</t>
        </is>
      </c>
      <c r="K418" t="inlineStr">
        <is>
          <t>MEASURED</t>
        </is>
      </c>
      <c r="L418" t="inlineStr">
        <is>
          <t>P3</t>
        </is>
      </c>
      <c r="M418" t="n">
        <v>65</v>
      </c>
      <c r="N418">
        <f>ROUND(IF(IF(J418="NOT AVAILABLE","",J418)="",12,IF(OR(ISNUMBER(SEARCH("Transactional",IF(J418="NOT AVAILABLE","",J418))),ISNUMBER(SEARCH("Commercial",IF(J418="NOT AVAILABLE","",J418)))),25,IF(ISNUMBER(SEARCH("Informational",IF(J418="NOT AVAILABLE","",J418))),10,IF(ISNUMBER(SEARCH("Navigational",IF(J418="NOT AVAILABLE","",J418))),0,12))))+IF(ISNUMBER(G418),MIN(30,ROUND(30*LOG10(G418+1)/4,1)),0)+IF(ISNUMBER(H418),ROUND(25*(100-H418)/100,1),12.5)+20,0)</f>
        <v/>
      </c>
      <c r="O418">
        <f>ROUND(N418*M418/100,0)</f>
        <v/>
      </c>
      <c r="P418" s="5" t="inlineStr">
        <is>
          <t>Measured variant of the tool task (MA market)</t>
        </is>
      </c>
      <c r="Q418" s="5" t="inlineStr">
        <is>
          <t>None detected</t>
        </is>
      </c>
    </row>
    <row r="419">
      <c r="A419" s="3" t="inlineStr">
        <is>
          <t>https://codesommet.com/tools/meta-extractor</t>
        </is>
      </c>
      <c r="B419" s="5" t="inlineStr">
        <is>
          <t>Extracteur de Métadonnées en Masse</t>
        </is>
      </c>
      <c r="C419" t="inlineStr">
        <is>
          <t>France</t>
        </is>
      </c>
      <c r="D419" t="inlineStr">
        <is>
          <t>fr</t>
        </is>
      </c>
      <c r="E419" t="inlineStr">
        <is>
          <t>PRIMARY</t>
        </is>
      </c>
      <c r="F419" t="inlineStr">
        <is>
          <t>extraire meta title</t>
        </is>
      </c>
      <c r="G419" t="inlineStr">
        <is>
          <t>NOT AVAILABLE</t>
        </is>
      </c>
      <c r="H419" t="inlineStr">
        <is>
          <t>NOT AVAILABLE</t>
        </is>
      </c>
      <c r="I419" t="inlineStr">
        <is>
          <t>NOT AVAILABLE</t>
        </is>
      </c>
      <c r="J419" t="inlineStr">
        <is>
          <t>NOT AVAILABLE</t>
        </is>
      </c>
      <c r="K419" t="inlineStr">
        <is>
          <t>UNAVAILABLE</t>
        </is>
      </c>
      <c r="L419" t="inlineStr">
        <is>
          <t>P3</t>
        </is>
      </c>
      <c r="M419" t="n">
        <v>100</v>
      </c>
      <c r="N419">
        <f>ROUND(IF(IF(J419="NOT AVAILABLE","",J419)="",12,IF(OR(ISNUMBER(SEARCH("Transactional",IF(J419="NOT AVAILABLE","",J419))),ISNUMBER(SEARCH("Commercial",IF(J419="NOT AVAILABLE","",J419)))),25,IF(ISNUMBER(SEARCH("Informational",IF(J419="NOT AVAILABLE","",J419))),10,IF(ISNUMBER(SEARCH("Navigational",IF(J419="NOT AVAILABLE","",J419))),0,12))))+IF(ISNUMBER(G419),MIN(30,ROUND(30*LOG10(G419+1)/4,1)),0)+IF(ISNUMBER(H419),ROUND(25*(100-H419)/100,1),12.5)+14,0)</f>
        <v/>
      </c>
      <c r="O419">
        <f>ROUND(N419*M419/100,0)</f>
        <v/>
      </c>
      <c r="P419" s="5" t="inlineStr">
        <is>
          <t>No measured demand for the tool phrases - long-tail anchor (UNAVAILABLE in Semrush)</t>
        </is>
      </c>
      <c r="Q419" s="5" t="inlineStr">
        <is>
          <t>None detected</t>
        </is>
      </c>
    </row>
    <row r="420">
      <c r="A420" s="3" t="inlineStr">
        <is>
          <t>https://codesommet.com/tools/meta-extractor</t>
        </is>
      </c>
      <c r="B420" s="5" t="inlineStr">
        <is>
          <t>Extracteur de Métadonnées en Masse</t>
        </is>
      </c>
      <c r="C420" t="inlineStr">
        <is>
          <t>France</t>
        </is>
      </c>
      <c r="D420" t="inlineStr">
        <is>
          <t>fr</t>
        </is>
      </c>
      <c r="E420" t="inlineStr">
        <is>
          <t>OPTIONAL</t>
        </is>
      </c>
      <c r="F420" t="inlineStr">
        <is>
          <t>extracteur meta</t>
        </is>
      </c>
      <c r="G420" t="inlineStr">
        <is>
          <t>NOT AVAILABLE</t>
        </is>
      </c>
      <c r="H420" t="inlineStr">
        <is>
          <t>NOT AVAILABLE</t>
        </is>
      </c>
      <c r="I420" t="inlineStr">
        <is>
          <t>NOT AVAILABLE</t>
        </is>
      </c>
      <c r="J420" t="inlineStr">
        <is>
          <t>NOT AVAILABLE</t>
        </is>
      </c>
      <c r="K420" t="inlineStr">
        <is>
          <t>UNAVAILABLE</t>
        </is>
      </c>
      <c r="L420" t="inlineStr">
        <is>
          <t>P4</t>
        </is>
      </c>
      <c r="M420" t="n">
        <v>45</v>
      </c>
      <c r="N420">
        <f>ROUND(IF(IF(J420="NOT AVAILABLE","",J420)="",12,IF(OR(ISNUMBER(SEARCH("Transactional",IF(J420="NOT AVAILABLE","",J420))),ISNUMBER(SEARCH("Commercial",IF(J420="NOT AVAILABLE","",J420)))),25,IF(ISNUMBER(SEARCH("Informational",IF(J420="NOT AVAILABLE","",J420))),10,IF(ISNUMBER(SEARCH("Navigational",IF(J420="NOT AVAILABLE","",J420))),0,12))))+IF(ISNUMBER(G420),MIN(30,ROUND(30*LOG10(G420+1)/4,1)),0)+IF(ISNUMBER(H420),ROUND(25*(100-H420)/100,1),12.5)+14,0)</f>
        <v/>
      </c>
      <c r="O420">
        <f>ROUND(N420*M420/100,0)</f>
        <v/>
      </c>
      <c r="P420" s="5" t="inlineStr">
        <is>
          <t>Queried - Semrush returned no data or zero volume; usable as natural wording only</t>
        </is>
      </c>
      <c r="Q420" s="5" t="inlineStr">
        <is>
          <t>None detected</t>
        </is>
      </c>
    </row>
    <row r="421">
      <c r="A421" s="3" t="inlineStr">
        <is>
          <t>https://codesommet.com/tools/meta-extractor</t>
        </is>
      </c>
      <c r="B421" s="5" t="inlineStr">
        <is>
          <t>Extracteur de Métadonnées en Masse</t>
        </is>
      </c>
      <c r="C421" t="inlineStr">
        <is>
          <t>France</t>
        </is>
      </c>
      <c r="D421" t="inlineStr">
        <is>
          <t>fr</t>
        </is>
      </c>
      <c r="E421" t="inlineStr">
        <is>
          <t>OPTIONAL</t>
        </is>
      </c>
      <c r="F421" t="inlineStr">
        <is>
          <t>extraire balises title</t>
        </is>
      </c>
      <c r="G421" t="inlineStr">
        <is>
          <t>NOT AVAILABLE</t>
        </is>
      </c>
      <c r="H421" t="inlineStr">
        <is>
          <t>NOT AVAILABLE</t>
        </is>
      </c>
      <c r="I421" t="inlineStr">
        <is>
          <t>NOT AVAILABLE</t>
        </is>
      </c>
      <c r="J421" t="inlineStr">
        <is>
          <t>NOT AVAILABLE</t>
        </is>
      </c>
      <c r="K421" t="inlineStr">
        <is>
          <t>UNAVAILABLE</t>
        </is>
      </c>
      <c r="L421" t="inlineStr">
        <is>
          <t>P4</t>
        </is>
      </c>
      <c r="M421" t="n">
        <v>45</v>
      </c>
      <c r="N421">
        <f>ROUND(IF(IF(J421="NOT AVAILABLE","",J421)="",12,IF(OR(ISNUMBER(SEARCH("Transactional",IF(J421="NOT AVAILABLE","",J421))),ISNUMBER(SEARCH("Commercial",IF(J421="NOT AVAILABLE","",J421)))),25,IF(ISNUMBER(SEARCH("Informational",IF(J421="NOT AVAILABLE","",J421))),10,IF(ISNUMBER(SEARCH("Navigational",IF(J421="NOT AVAILABLE","",J421))),0,12))))+IF(ISNUMBER(G421),MIN(30,ROUND(30*LOG10(G421+1)/4,1)),0)+IF(ISNUMBER(H421),ROUND(25*(100-H421)/100,1),12.5)+14,0)</f>
        <v/>
      </c>
      <c r="O421">
        <f>ROUND(N421*M421/100,0)</f>
        <v/>
      </c>
      <c r="P421" s="5" t="inlineStr">
        <is>
          <t>Queried - Semrush returned no data or zero volume; usable as natural wording only</t>
        </is>
      </c>
      <c r="Q421" s="5" t="inlineStr">
        <is>
          <t>None detected</t>
        </is>
      </c>
    </row>
    <row r="422">
      <c r="A422" s="3" t="inlineStr">
        <is>
          <t>https://codesommet.com/tools/meta-refresh-generator</t>
        </is>
      </c>
      <c r="B422" s="5" t="inlineStr">
        <is>
          <t>Générateur de Balise Meta Refresh Gratuit</t>
        </is>
      </c>
      <c r="C422" t="inlineStr">
        <is>
          <t>France</t>
        </is>
      </c>
      <c r="D422" t="inlineStr">
        <is>
          <t>fr</t>
        </is>
      </c>
      <c r="E422" t="inlineStr">
        <is>
          <t>PRIMARY</t>
        </is>
      </c>
      <c r="F422" t="inlineStr">
        <is>
          <t>meta refresh</t>
        </is>
      </c>
      <c r="G422" t="n">
        <v>30</v>
      </c>
      <c r="H422" t="inlineStr">
        <is>
          <t>NOT AVAILABLE</t>
        </is>
      </c>
      <c r="I422" t="n">
        <v>0</v>
      </c>
      <c r="J422" t="inlineStr">
        <is>
          <t>NOT AVAILABLE</t>
        </is>
      </c>
      <c r="K422" t="inlineStr">
        <is>
          <t>MEASURED</t>
        </is>
      </c>
      <c r="L422" t="inlineStr">
        <is>
          <t>P3</t>
        </is>
      </c>
      <c r="M422" t="n">
        <v>100</v>
      </c>
      <c r="N422">
        <f>ROUND(IF(IF(J422="NOT AVAILABLE","",J422)="",12,IF(OR(ISNUMBER(SEARCH("Transactional",IF(J422="NOT AVAILABLE","",J422))),ISNUMBER(SEARCH("Commercial",IF(J422="NOT AVAILABLE","",J422)))),25,IF(ISNUMBER(SEARCH("Informational",IF(J422="NOT AVAILABLE","",J422))),10,IF(ISNUMBER(SEARCH("Navigational",IF(J422="NOT AVAILABLE","",J422))),0,12))))+IF(ISNUMBER(G422),MIN(30,ROUND(30*LOG10(G422+1)/4,1)),0)+IF(ISNUMBER(H422),ROUND(25*(100-H422)/100,1),12.5)+14,0)</f>
        <v/>
      </c>
      <c r="O422">
        <f>ROUND(N422*M422/100,0)</f>
        <v/>
      </c>
      <c r="P422" s="5" t="inlineStr">
        <is>
          <t>Best-fitting measured FR query for the tool task (tools serve the francophone market; FR db used as proxy)</t>
        </is>
      </c>
      <c r="Q422" s="5" t="inlineStr">
        <is>
          <t>None detected</t>
        </is>
      </c>
    </row>
    <row r="423">
      <c r="A423" s="3" t="inlineStr">
        <is>
          <t>https://codesommet.com/tools/meta-refresh-generator</t>
        </is>
      </c>
      <c r="B423" s="5" t="inlineStr">
        <is>
          <t>Générateur de Balise Meta Refresh Gratuit</t>
        </is>
      </c>
      <c r="C423" t="inlineStr">
        <is>
          <t>Morocco</t>
        </is>
      </c>
      <c r="D423" t="inlineStr">
        <is>
          <t>ma</t>
        </is>
      </c>
      <c r="E423" t="inlineStr">
        <is>
          <t>SECONDARY</t>
        </is>
      </c>
      <c r="F423" t="inlineStr">
        <is>
          <t>meta refresh</t>
        </is>
      </c>
      <c r="G423" t="n">
        <v>20</v>
      </c>
      <c r="H423" t="inlineStr">
        <is>
          <t>NOT AVAILABLE</t>
        </is>
      </c>
      <c r="I423" t="n">
        <v>0</v>
      </c>
      <c r="J423" t="inlineStr">
        <is>
          <t>NOT AVAILABLE</t>
        </is>
      </c>
      <c r="K423" t="inlineStr">
        <is>
          <t>MEASURED</t>
        </is>
      </c>
      <c r="L423" t="inlineStr">
        <is>
          <t>P3</t>
        </is>
      </c>
      <c r="M423" t="n">
        <v>85</v>
      </c>
      <c r="N423">
        <f>ROUND(IF(IF(J423="NOT AVAILABLE","",J423)="",12,IF(OR(ISNUMBER(SEARCH("Transactional",IF(J423="NOT AVAILABLE","",J423))),ISNUMBER(SEARCH("Commercial",IF(J423="NOT AVAILABLE","",J423)))),25,IF(ISNUMBER(SEARCH("Informational",IF(J423="NOT AVAILABLE","",J423))),10,IF(ISNUMBER(SEARCH("Navigational",IF(J423="NOT AVAILABLE","",J423))),0,12))))+IF(ISNUMBER(G423),MIN(30,ROUND(30*LOG10(G423+1)/4,1)),0)+IF(ISNUMBER(H423),ROUND(25*(100-H423)/100,1),12.5)+20,0)</f>
        <v/>
      </c>
      <c r="O423">
        <f>ROUND(N423*M423/100,0)</f>
        <v/>
      </c>
      <c r="P423" s="5" t="inlineStr">
        <is>
          <t>Same query, Moroccan market (separate database, never summed)</t>
        </is>
      </c>
      <c r="Q423" s="5" t="inlineStr">
        <is>
          <t>None detected</t>
        </is>
      </c>
    </row>
    <row r="424">
      <c r="A424" s="3" t="inlineStr">
        <is>
          <t>https://codesommet.com/tools/meta-refresh-generator</t>
        </is>
      </c>
      <c r="B424" s="5" t="inlineStr">
        <is>
          <t>Générateur de Balise Meta Refresh Gratuit</t>
        </is>
      </c>
      <c r="C424" t="inlineStr">
        <is>
          <t>France</t>
        </is>
      </c>
      <c r="D424" t="inlineStr">
        <is>
          <t>fr</t>
        </is>
      </c>
      <c r="E424" t="inlineStr">
        <is>
          <t>OPTIONAL</t>
        </is>
      </c>
      <c r="F424" t="inlineStr">
        <is>
          <t>redirection meta refresh</t>
        </is>
      </c>
      <c r="G424" t="n">
        <v>0</v>
      </c>
      <c r="H424" t="inlineStr">
        <is>
          <t>NOT AVAILABLE</t>
        </is>
      </c>
      <c r="I424" t="n">
        <v>0</v>
      </c>
      <c r="J424" t="inlineStr">
        <is>
          <t>NOT AVAILABLE</t>
        </is>
      </c>
      <c r="K424" t="inlineStr">
        <is>
          <t>MEASURED</t>
        </is>
      </c>
      <c r="L424" t="inlineStr">
        <is>
          <t>P4</t>
        </is>
      </c>
      <c r="M424" t="n">
        <v>45</v>
      </c>
      <c r="N424">
        <f>ROUND(IF(IF(J424="NOT AVAILABLE","",J424)="",12,IF(OR(ISNUMBER(SEARCH("Transactional",IF(J424="NOT AVAILABLE","",J424))),ISNUMBER(SEARCH("Commercial",IF(J424="NOT AVAILABLE","",J424)))),25,IF(ISNUMBER(SEARCH("Informational",IF(J424="NOT AVAILABLE","",J424))),10,IF(ISNUMBER(SEARCH("Navigational",IF(J424="NOT AVAILABLE","",J424))),0,12))))+IF(ISNUMBER(G424),MIN(30,ROUND(30*LOG10(G424+1)/4,1)),0)+IF(ISNUMBER(H424),ROUND(25*(100-H424)/100,1),12.5)+14,0)</f>
        <v/>
      </c>
      <c r="O424">
        <f>ROUND(N424*M424/100,0)</f>
        <v/>
      </c>
      <c r="P424" s="5" t="inlineStr">
        <is>
          <t>Queried - Semrush returned no data or zero volume; usable as natural wording only</t>
        </is>
      </c>
      <c r="Q424" s="5" t="inlineStr">
        <is>
          <t>None detected</t>
        </is>
      </c>
    </row>
    <row r="425">
      <c r="A425" s="3" t="inlineStr">
        <is>
          <t>https://codesommet.com/tools/meta-refresh-generator</t>
        </is>
      </c>
      <c r="B425" s="5" t="inlineStr">
        <is>
          <t>Générateur de Balise Meta Refresh Gratuit</t>
        </is>
      </c>
      <c r="C425" t="inlineStr">
        <is>
          <t>France</t>
        </is>
      </c>
      <c r="D425" t="inlineStr">
        <is>
          <t>fr</t>
        </is>
      </c>
      <c r="E425" t="inlineStr">
        <is>
          <t>OPTIONAL</t>
        </is>
      </c>
      <c r="F425" t="inlineStr">
        <is>
          <t>balise meta refresh</t>
        </is>
      </c>
      <c r="G425" t="n">
        <v>0</v>
      </c>
      <c r="H425" t="inlineStr">
        <is>
          <t>NOT AVAILABLE</t>
        </is>
      </c>
      <c r="I425" t="n">
        <v>0</v>
      </c>
      <c r="J425" t="inlineStr">
        <is>
          <t>NOT AVAILABLE</t>
        </is>
      </c>
      <c r="K425" t="inlineStr">
        <is>
          <t>MEASURED</t>
        </is>
      </c>
      <c r="L425" t="inlineStr">
        <is>
          <t>P4</t>
        </is>
      </c>
      <c r="M425" t="n">
        <v>45</v>
      </c>
      <c r="N425">
        <f>ROUND(IF(IF(J425="NOT AVAILABLE","",J425)="",12,IF(OR(ISNUMBER(SEARCH("Transactional",IF(J425="NOT AVAILABLE","",J425))),ISNUMBER(SEARCH("Commercial",IF(J425="NOT AVAILABLE","",J425)))),25,IF(ISNUMBER(SEARCH("Informational",IF(J425="NOT AVAILABLE","",J425))),10,IF(ISNUMBER(SEARCH("Navigational",IF(J425="NOT AVAILABLE","",J425))),0,12))))+IF(ISNUMBER(G425),MIN(30,ROUND(30*LOG10(G425+1)/4,1)),0)+IF(ISNUMBER(H425),ROUND(25*(100-H425)/100,1),12.5)+14,0)</f>
        <v/>
      </c>
      <c r="O425">
        <f>ROUND(N425*M425/100,0)</f>
        <v/>
      </c>
      <c r="P425" s="5" t="inlineStr">
        <is>
          <t>Queried - Semrush returned no data or zero volume; usable as natural wording only</t>
        </is>
      </c>
      <c r="Q425" s="5" t="inlineStr">
        <is>
          <t>None detected</t>
        </is>
      </c>
    </row>
    <row r="426">
      <c r="A426" s="3" t="inlineStr">
        <is>
          <t>https://codesommet.com/tools/meta-tag-generator</t>
        </is>
      </c>
      <c r="B426" s="5" t="inlineStr">
        <is>
          <t>Générateur de Balises Méta IA Gratuit</t>
        </is>
      </c>
      <c r="C426" t="inlineStr">
        <is>
          <t>France</t>
        </is>
      </c>
      <c r="D426" t="inlineStr">
        <is>
          <t>fr</t>
        </is>
      </c>
      <c r="E426" t="inlineStr">
        <is>
          <t>PRIMARY</t>
        </is>
      </c>
      <c r="F426" t="inlineStr">
        <is>
          <t>balise meta</t>
        </is>
      </c>
      <c r="G426" t="n">
        <v>320</v>
      </c>
      <c r="H426" t="n">
        <v>37</v>
      </c>
      <c r="I426" t="n">
        <v>1.22</v>
      </c>
      <c r="J426" t="inlineStr">
        <is>
          <t>Informational</t>
        </is>
      </c>
      <c r="K426" t="inlineStr">
        <is>
          <t>MEASURED</t>
        </is>
      </c>
      <c r="L426" t="inlineStr">
        <is>
          <t>P3</t>
        </is>
      </c>
      <c r="M426" t="n">
        <v>100</v>
      </c>
      <c r="N426">
        <f>ROUND(IF(IF(J426="NOT AVAILABLE","",J426)="",12,IF(OR(ISNUMBER(SEARCH("Transactional",IF(J426="NOT AVAILABLE","",J426))),ISNUMBER(SEARCH("Commercial",IF(J426="NOT AVAILABLE","",J426)))),25,IF(ISNUMBER(SEARCH("Informational",IF(J426="NOT AVAILABLE","",J426))),10,IF(ISNUMBER(SEARCH("Navigational",IF(J426="NOT AVAILABLE","",J426))),0,12))))+IF(ISNUMBER(G426),MIN(30,ROUND(30*LOG10(G426+1)/4,1)),0)+IF(ISNUMBER(H426),ROUND(25*(100-H426)/100,1),12.5)+14,0)</f>
        <v/>
      </c>
      <c r="O426">
        <f>ROUND(N426*M426/100,0)</f>
        <v/>
      </c>
      <c r="P426" s="5" t="inlineStr">
        <is>
          <t>Best-fitting measured FR query for the tool task (tools serve the francophone market; FR db used as proxy)</t>
        </is>
      </c>
      <c r="Q426" s="5" t="inlineStr">
        <is>
          <t>None detected</t>
        </is>
      </c>
    </row>
    <row r="427">
      <c r="A427" s="3" t="inlineStr">
        <is>
          <t>https://codesommet.com/tools/meta-tag-generator</t>
        </is>
      </c>
      <c r="B427" s="5" t="inlineStr">
        <is>
          <t>Générateur de Balises Méta IA Gratuit</t>
        </is>
      </c>
      <c r="C427" t="inlineStr">
        <is>
          <t>France</t>
        </is>
      </c>
      <c r="D427" t="inlineStr">
        <is>
          <t>fr</t>
        </is>
      </c>
      <c r="E427" t="inlineStr">
        <is>
          <t>SECONDARY</t>
        </is>
      </c>
      <c r="F427" t="inlineStr">
        <is>
          <t>meta description</t>
        </is>
      </c>
      <c r="G427" t="n">
        <v>1000</v>
      </c>
      <c r="H427" t="n">
        <v>37</v>
      </c>
      <c r="I427" t="n">
        <v>0.89</v>
      </c>
      <c r="J427" t="inlineStr">
        <is>
          <t>NOT AVAILABLE</t>
        </is>
      </c>
      <c r="K427" t="inlineStr">
        <is>
          <t>MEASURED</t>
        </is>
      </c>
      <c r="L427" t="inlineStr">
        <is>
          <t>P3</t>
        </is>
      </c>
      <c r="M427" t="n">
        <v>85</v>
      </c>
      <c r="N427">
        <f>ROUND(IF(IF(J427="NOT AVAILABLE","",J427)="",12,IF(OR(ISNUMBER(SEARCH("Transactional",IF(J427="NOT AVAILABLE","",J427))),ISNUMBER(SEARCH("Commercial",IF(J427="NOT AVAILABLE","",J427)))),25,IF(ISNUMBER(SEARCH("Informational",IF(J427="NOT AVAILABLE","",J427))),10,IF(ISNUMBER(SEARCH("Navigational",IF(J427="NOT AVAILABLE","",J427))),0,12))))+IF(ISNUMBER(G427),MIN(30,ROUND(30*LOG10(G427+1)/4,1)),0)+IF(ISNUMBER(H427),ROUND(25*(100-H427)/100,1),12.5)+14,0)</f>
        <v/>
      </c>
      <c r="O427">
        <f>ROUND(N427*M427/100,0)</f>
        <v/>
      </c>
      <c r="P427" s="5" t="inlineStr">
        <is>
          <t>Measured variant of the tool task</t>
        </is>
      </c>
      <c r="Q427" s="5" t="inlineStr">
        <is>
          <t>None detected</t>
        </is>
      </c>
    </row>
    <row r="428">
      <c r="A428" s="3" t="inlineStr">
        <is>
          <t>https://codesommet.com/tools/meta-tag-generator</t>
        </is>
      </c>
      <c r="B428" s="5" t="inlineStr">
        <is>
          <t>Générateur de Balises Méta IA Gratuit</t>
        </is>
      </c>
      <c r="C428" t="inlineStr">
        <is>
          <t>Morocco</t>
        </is>
      </c>
      <c r="D428" t="inlineStr">
        <is>
          <t>ma</t>
        </is>
      </c>
      <c r="E428" t="inlineStr">
        <is>
          <t>SECONDARY</t>
        </is>
      </c>
      <c r="F428" t="inlineStr">
        <is>
          <t>balise meta</t>
        </is>
      </c>
      <c r="G428" t="n">
        <v>20</v>
      </c>
      <c r="H428" t="inlineStr">
        <is>
          <t>NOT AVAILABLE</t>
        </is>
      </c>
      <c r="I428" t="n">
        <v>0</v>
      </c>
      <c r="J428" t="inlineStr">
        <is>
          <t>NOT AVAILABLE</t>
        </is>
      </c>
      <c r="K428" t="inlineStr">
        <is>
          <t>MEASURED</t>
        </is>
      </c>
      <c r="L428" t="inlineStr">
        <is>
          <t>P3</t>
        </is>
      </c>
      <c r="M428" t="n">
        <v>85</v>
      </c>
      <c r="N428">
        <f>ROUND(IF(IF(J428="NOT AVAILABLE","",J428)="",12,IF(OR(ISNUMBER(SEARCH("Transactional",IF(J428="NOT AVAILABLE","",J428))),ISNUMBER(SEARCH("Commercial",IF(J428="NOT AVAILABLE","",J428)))),25,IF(ISNUMBER(SEARCH("Informational",IF(J428="NOT AVAILABLE","",J428))),10,IF(ISNUMBER(SEARCH("Navigational",IF(J428="NOT AVAILABLE","",J428))),0,12))))+IF(ISNUMBER(G428),MIN(30,ROUND(30*LOG10(G428+1)/4,1)),0)+IF(ISNUMBER(H428),ROUND(25*(100-H428)/100,1),12.5)+20,0)</f>
        <v/>
      </c>
      <c r="O428">
        <f>ROUND(N428*M428/100,0)</f>
        <v/>
      </c>
      <c r="P428" s="5" t="inlineStr">
        <is>
          <t>Same query, Moroccan market (separate database, never summed)</t>
        </is>
      </c>
      <c r="Q428" s="5" t="inlineStr">
        <is>
          <t>None detected</t>
        </is>
      </c>
    </row>
    <row r="429">
      <c r="A429" s="3" t="inlineStr">
        <is>
          <t>https://codesommet.com/tools/meta-tag-generator</t>
        </is>
      </c>
      <c r="B429" s="5" t="inlineStr">
        <is>
          <t>Générateur de Balises Méta IA Gratuit</t>
        </is>
      </c>
      <c r="C429" t="inlineStr">
        <is>
          <t>Morocco</t>
        </is>
      </c>
      <c r="D429" t="inlineStr">
        <is>
          <t>ma</t>
        </is>
      </c>
      <c r="E429" t="inlineStr">
        <is>
          <t>SUPPORTING</t>
        </is>
      </c>
      <c r="F429" t="inlineStr">
        <is>
          <t>meta description</t>
        </is>
      </c>
      <c r="G429" t="n">
        <v>20</v>
      </c>
      <c r="H429" t="inlineStr">
        <is>
          <t>NOT AVAILABLE</t>
        </is>
      </c>
      <c r="I429" t="n">
        <v>0</v>
      </c>
      <c r="J429" t="inlineStr">
        <is>
          <t>NOT AVAILABLE</t>
        </is>
      </c>
      <c r="K429" t="inlineStr">
        <is>
          <t>MEASURED</t>
        </is>
      </c>
      <c r="L429" t="inlineStr">
        <is>
          <t>P3</t>
        </is>
      </c>
      <c r="M429" t="n">
        <v>65</v>
      </c>
      <c r="N429">
        <f>ROUND(IF(IF(J429="NOT AVAILABLE","",J429)="",12,IF(OR(ISNUMBER(SEARCH("Transactional",IF(J429="NOT AVAILABLE","",J429))),ISNUMBER(SEARCH("Commercial",IF(J429="NOT AVAILABLE","",J429)))),25,IF(ISNUMBER(SEARCH("Informational",IF(J429="NOT AVAILABLE","",J429))),10,IF(ISNUMBER(SEARCH("Navigational",IF(J429="NOT AVAILABLE","",J429))),0,12))))+IF(ISNUMBER(G429),MIN(30,ROUND(30*LOG10(G429+1)/4,1)),0)+IF(ISNUMBER(H429),ROUND(25*(100-H429)/100,1),12.5)+20,0)</f>
        <v/>
      </c>
      <c r="O429">
        <f>ROUND(N429*M429/100,0)</f>
        <v/>
      </c>
      <c r="P429" s="5" t="inlineStr">
        <is>
          <t>Measured variant of the tool task (MA market)</t>
        </is>
      </c>
      <c r="Q429" s="5" t="inlineStr">
        <is>
          <t>None detected</t>
        </is>
      </c>
    </row>
    <row r="430">
      <c r="A430" s="3" t="inlineStr">
        <is>
          <t>https://codesommet.com/tools/meta-tag-generator</t>
        </is>
      </c>
      <c r="B430" s="5" t="inlineStr">
        <is>
          <t>Générateur de Balises Méta IA Gratuit</t>
        </is>
      </c>
      <c r="C430" t="inlineStr">
        <is>
          <t>France</t>
        </is>
      </c>
      <c r="D430" t="inlineStr">
        <is>
          <t>fr</t>
        </is>
      </c>
      <c r="E430" t="inlineStr">
        <is>
          <t>SUPPORTING</t>
        </is>
      </c>
      <c r="F430" t="inlineStr">
        <is>
          <t>meta tag generator</t>
        </is>
      </c>
      <c r="G430" t="n">
        <v>20</v>
      </c>
      <c r="H430" t="inlineStr">
        <is>
          <t>NOT AVAILABLE</t>
        </is>
      </c>
      <c r="I430" t="n">
        <v>0</v>
      </c>
      <c r="J430" t="inlineStr">
        <is>
          <t>NOT AVAILABLE</t>
        </is>
      </c>
      <c r="K430" t="inlineStr">
        <is>
          <t>MEASURED</t>
        </is>
      </c>
      <c r="L430" t="inlineStr">
        <is>
          <t>P3</t>
        </is>
      </c>
      <c r="M430" t="n">
        <v>65</v>
      </c>
      <c r="N430">
        <f>ROUND(IF(IF(J430="NOT AVAILABLE","",J430)="",12,IF(OR(ISNUMBER(SEARCH("Transactional",IF(J430="NOT AVAILABLE","",J430))),ISNUMBER(SEARCH("Commercial",IF(J430="NOT AVAILABLE","",J430)))),25,IF(ISNUMBER(SEARCH("Informational",IF(J430="NOT AVAILABLE","",J430))),10,IF(ISNUMBER(SEARCH("Navigational",IF(J430="NOT AVAILABLE","",J430))),0,12))))+IF(ISNUMBER(G430),MIN(30,ROUND(30*LOG10(G430+1)/4,1)),0)+IF(ISNUMBER(H430),ROUND(25*(100-H430)/100,1),12.5)+14,0)</f>
        <v/>
      </c>
      <c r="O430">
        <f>ROUND(N430*M430/100,0)</f>
        <v/>
      </c>
      <c r="P430" s="5" t="inlineStr">
        <is>
          <t>Measured variant of the tool task</t>
        </is>
      </c>
      <c r="Q430" s="5" t="inlineStr">
        <is>
          <t>None detected</t>
        </is>
      </c>
    </row>
    <row r="431">
      <c r="A431" s="3" t="inlineStr">
        <is>
          <t>https://codesommet.com/tools/meta-tag-generator</t>
        </is>
      </c>
      <c r="B431" s="5" t="inlineStr">
        <is>
          <t>Générateur de Balises Méta IA Gratuit</t>
        </is>
      </c>
      <c r="C431" t="inlineStr">
        <is>
          <t>Morocco</t>
        </is>
      </c>
      <c r="D431" t="inlineStr">
        <is>
          <t>ma</t>
        </is>
      </c>
      <c r="E431" t="inlineStr">
        <is>
          <t>SUPPORTING</t>
        </is>
      </c>
      <c r="F431" t="inlineStr">
        <is>
          <t>meta tag generator</t>
        </is>
      </c>
      <c r="G431" t="n">
        <v>20</v>
      </c>
      <c r="H431" t="inlineStr">
        <is>
          <t>NOT AVAILABLE</t>
        </is>
      </c>
      <c r="I431" t="n">
        <v>0</v>
      </c>
      <c r="J431" t="inlineStr">
        <is>
          <t>NOT AVAILABLE</t>
        </is>
      </c>
      <c r="K431" t="inlineStr">
        <is>
          <t>MEASURED</t>
        </is>
      </c>
      <c r="L431" t="inlineStr">
        <is>
          <t>P3</t>
        </is>
      </c>
      <c r="M431" t="n">
        <v>65</v>
      </c>
      <c r="N431">
        <f>ROUND(IF(IF(J431="NOT AVAILABLE","",J431)="",12,IF(OR(ISNUMBER(SEARCH("Transactional",IF(J431="NOT AVAILABLE","",J431))),ISNUMBER(SEARCH("Commercial",IF(J431="NOT AVAILABLE","",J431)))),25,IF(ISNUMBER(SEARCH("Informational",IF(J431="NOT AVAILABLE","",J431))),10,IF(ISNUMBER(SEARCH("Navigational",IF(J431="NOT AVAILABLE","",J431))),0,12))))+IF(ISNUMBER(G431),MIN(30,ROUND(30*LOG10(G431+1)/4,1)),0)+IF(ISNUMBER(H431),ROUND(25*(100-H431)/100,1),12.5)+20,0)</f>
        <v/>
      </c>
      <c r="O431">
        <f>ROUND(N431*M431/100,0)</f>
        <v/>
      </c>
      <c r="P431" s="5" t="inlineStr">
        <is>
          <t>Measured variant of the tool task (MA market)</t>
        </is>
      </c>
      <c r="Q431" s="5" t="inlineStr">
        <is>
          <t>None detected</t>
        </is>
      </c>
    </row>
    <row r="432">
      <c r="A432" s="3" t="inlineStr">
        <is>
          <t>https://codesommet.com/tools/meta-tag-generator</t>
        </is>
      </c>
      <c r="B432" s="5" t="inlineStr">
        <is>
          <t>Générateur de Balises Méta IA Gratuit</t>
        </is>
      </c>
      <c r="C432" t="inlineStr">
        <is>
          <t>France</t>
        </is>
      </c>
      <c r="D432" t="inlineStr">
        <is>
          <t>fr</t>
        </is>
      </c>
      <c r="E432" t="inlineStr">
        <is>
          <t>SUPPORTING</t>
        </is>
      </c>
      <c r="F432" t="inlineStr">
        <is>
          <t>générateur meta description</t>
        </is>
      </c>
      <c r="G432" t="n">
        <v>10</v>
      </c>
      <c r="H432" t="inlineStr">
        <is>
          <t>NOT AVAILABLE</t>
        </is>
      </c>
      <c r="I432" t="n">
        <v>0</v>
      </c>
      <c r="J432" t="inlineStr">
        <is>
          <t>NOT AVAILABLE</t>
        </is>
      </c>
      <c r="K432" t="inlineStr">
        <is>
          <t>MEASURED</t>
        </is>
      </c>
      <c r="L432" t="inlineStr">
        <is>
          <t>P3</t>
        </is>
      </c>
      <c r="M432" t="n">
        <v>65</v>
      </c>
      <c r="N432">
        <f>ROUND(IF(IF(J432="NOT AVAILABLE","",J432)="",12,IF(OR(ISNUMBER(SEARCH("Transactional",IF(J432="NOT AVAILABLE","",J432))),ISNUMBER(SEARCH("Commercial",IF(J432="NOT AVAILABLE","",J432)))),25,IF(ISNUMBER(SEARCH("Informational",IF(J432="NOT AVAILABLE","",J432))),10,IF(ISNUMBER(SEARCH("Navigational",IF(J432="NOT AVAILABLE","",J432))),0,12))))+IF(ISNUMBER(G432),MIN(30,ROUND(30*LOG10(G432+1)/4,1)),0)+IF(ISNUMBER(H432),ROUND(25*(100-H432)/100,1),12.5)+14,0)</f>
        <v/>
      </c>
      <c r="O432">
        <f>ROUND(N432*M432/100,0)</f>
        <v/>
      </c>
      <c r="P432" s="5" t="inlineStr">
        <is>
          <t>Measured variant of the tool task</t>
        </is>
      </c>
      <c r="Q432" s="5" t="inlineStr">
        <is>
          <t>None detected</t>
        </is>
      </c>
    </row>
    <row r="433">
      <c r="A433" s="3" t="inlineStr">
        <is>
          <t>https://codesommet.com/tools/meta-tag-generator</t>
        </is>
      </c>
      <c r="B433" s="5" t="inlineStr">
        <is>
          <t>Générateur de Balises Méta IA Gratuit</t>
        </is>
      </c>
      <c r="C433" t="inlineStr">
        <is>
          <t>France</t>
        </is>
      </c>
      <c r="D433" t="inlineStr">
        <is>
          <t>fr</t>
        </is>
      </c>
      <c r="E433" t="inlineStr">
        <is>
          <t>OPTIONAL</t>
        </is>
      </c>
      <c r="F433" t="inlineStr">
        <is>
          <t>générateur de balises meta</t>
        </is>
      </c>
      <c r="G433" t="n">
        <v>0</v>
      </c>
      <c r="H433" t="inlineStr">
        <is>
          <t>NOT AVAILABLE</t>
        </is>
      </c>
      <c r="I433" t="n">
        <v>0</v>
      </c>
      <c r="J433" t="inlineStr">
        <is>
          <t>NOT AVAILABLE</t>
        </is>
      </c>
      <c r="K433" t="inlineStr">
        <is>
          <t>MEASURED</t>
        </is>
      </c>
      <c r="L433" t="inlineStr">
        <is>
          <t>P4</t>
        </is>
      </c>
      <c r="M433" t="n">
        <v>45</v>
      </c>
      <c r="N433">
        <f>ROUND(IF(IF(J433="NOT AVAILABLE","",J433)="",12,IF(OR(ISNUMBER(SEARCH("Transactional",IF(J433="NOT AVAILABLE","",J433))),ISNUMBER(SEARCH("Commercial",IF(J433="NOT AVAILABLE","",J433)))),25,IF(ISNUMBER(SEARCH("Informational",IF(J433="NOT AVAILABLE","",J433))),10,IF(ISNUMBER(SEARCH("Navigational",IF(J433="NOT AVAILABLE","",J433))),0,12))))+IF(ISNUMBER(G433),MIN(30,ROUND(30*LOG10(G433+1)/4,1)),0)+IF(ISNUMBER(H433),ROUND(25*(100-H433)/100,1),12.5)+14,0)</f>
        <v/>
      </c>
      <c r="O433">
        <f>ROUND(N433*M433/100,0)</f>
        <v/>
      </c>
      <c r="P433" s="5" t="inlineStr">
        <is>
          <t>Queried - Semrush returned no data or zero volume; usable as natural wording only</t>
        </is>
      </c>
      <c r="Q433" s="5" t="inlineStr">
        <is>
          <t>None detected</t>
        </is>
      </c>
    </row>
    <row r="434">
      <c r="A434" s="3" t="inlineStr">
        <is>
          <t>https://codesommet.com/tools/mobile-friendly-test</t>
        </is>
      </c>
      <c r="B434" s="5" t="inlineStr">
        <is>
          <t>Test de Compatibilité Mobile Gratuit</t>
        </is>
      </c>
      <c r="C434" t="inlineStr">
        <is>
          <t>France</t>
        </is>
      </c>
      <c r="D434" t="inlineStr">
        <is>
          <t>fr</t>
        </is>
      </c>
      <c r="E434" t="inlineStr">
        <is>
          <t>PRIMARY</t>
        </is>
      </c>
      <c r="F434" t="inlineStr">
        <is>
          <t>mobile friendly test</t>
        </is>
      </c>
      <c r="G434" t="n">
        <v>210</v>
      </c>
      <c r="H434" t="n">
        <v>22</v>
      </c>
      <c r="I434" t="n">
        <v>1.9</v>
      </c>
      <c r="J434" t="inlineStr">
        <is>
          <t>Informational</t>
        </is>
      </c>
      <c r="K434" t="inlineStr">
        <is>
          <t>MEASURED</t>
        </is>
      </c>
      <c r="L434" t="inlineStr">
        <is>
          <t>P3</t>
        </is>
      </c>
      <c r="M434" t="n">
        <v>100</v>
      </c>
      <c r="N434">
        <f>ROUND(IF(IF(J434="NOT AVAILABLE","",J434)="",12,IF(OR(ISNUMBER(SEARCH("Transactional",IF(J434="NOT AVAILABLE","",J434))),ISNUMBER(SEARCH("Commercial",IF(J434="NOT AVAILABLE","",J434)))),25,IF(ISNUMBER(SEARCH("Informational",IF(J434="NOT AVAILABLE","",J434))),10,IF(ISNUMBER(SEARCH("Navigational",IF(J434="NOT AVAILABLE","",J434))),0,12))))+IF(ISNUMBER(G434),MIN(30,ROUND(30*LOG10(G434+1)/4,1)),0)+IF(ISNUMBER(H434),ROUND(25*(100-H434)/100,1),12.5)+14,0)</f>
        <v/>
      </c>
      <c r="O434">
        <f>ROUND(N434*M434/100,0)</f>
        <v/>
      </c>
      <c r="P434" s="5" t="inlineStr">
        <is>
          <t>Best-fitting measured FR query for the tool task (tools serve the francophone market; FR db used as proxy)</t>
        </is>
      </c>
      <c r="Q434" s="5" t="inlineStr">
        <is>
          <t>None detected</t>
        </is>
      </c>
    </row>
    <row r="435">
      <c r="A435" s="3" t="inlineStr">
        <is>
          <t>https://codesommet.com/tools/mobile-friendly-test</t>
        </is>
      </c>
      <c r="B435" s="5" t="inlineStr">
        <is>
          <t>Test de Compatibilité Mobile Gratuit</t>
        </is>
      </c>
      <c r="C435" t="inlineStr">
        <is>
          <t>France</t>
        </is>
      </c>
      <c r="D435" t="inlineStr">
        <is>
          <t>fr</t>
        </is>
      </c>
      <c r="E435" t="inlineStr">
        <is>
          <t>SECONDARY</t>
        </is>
      </c>
      <c r="F435" t="inlineStr">
        <is>
          <t>test mobile friendly</t>
        </is>
      </c>
      <c r="G435" t="n">
        <v>140</v>
      </c>
      <c r="H435" t="n">
        <v>20</v>
      </c>
      <c r="I435" t="n">
        <v>1.9</v>
      </c>
      <c r="J435" t="inlineStr">
        <is>
          <t>Informational</t>
        </is>
      </c>
      <c r="K435" t="inlineStr">
        <is>
          <t>MEASURED</t>
        </is>
      </c>
      <c r="L435" t="inlineStr">
        <is>
          <t>P3</t>
        </is>
      </c>
      <c r="M435" t="n">
        <v>85</v>
      </c>
      <c r="N435">
        <f>ROUND(IF(IF(J435="NOT AVAILABLE","",J435)="",12,IF(OR(ISNUMBER(SEARCH("Transactional",IF(J435="NOT AVAILABLE","",J435))),ISNUMBER(SEARCH("Commercial",IF(J435="NOT AVAILABLE","",J435)))),25,IF(ISNUMBER(SEARCH("Informational",IF(J435="NOT AVAILABLE","",J435))),10,IF(ISNUMBER(SEARCH("Navigational",IF(J435="NOT AVAILABLE","",J435))),0,12))))+IF(ISNUMBER(G435),MIN(30,ROUND(30*LOG10(G435+1)/4,1)),0)+IF(ISNUMBER(H435),ROUND(25*(100-H435)/100,1),12.5)+14,0)</f>
        <v/>
      </c>
      <c r="O435">
        <f>ROUND(N435*M435/100,0)</f>
        <v/>
      </c>
      <c r="P435" s="5" t="inlineStr">
        <is>
          <t>Measured variant of the tool task</t>
        </is>
      </c>
      <c r="Q435" s="5" t="inlineStr">
        <is>
          <t>None detected</t>
        </is>
      </c>
    </row>
    <row r="436">
      <c r="A436" s="3" t="inlineStr">
        <is>
          <t>https://codesommet.com/tools/mobile-friendly-test</t>
        </is>
      </c>
      <c r="B436" s="5" t="inlineStr">
        <is>
          <t>Test de Compatibilité Mobile Gratuit</t>
        </is>
      </c>
      <c r="C436" t="inlineStr">
        <is>
          <t>Morocco</t>
        </is>
      </c>
      <c r="D436" t="inlineStr">
        <is>
          <t>ma</t>
        </is>
      </c>
      <c r="E436" t="inlineStr">
        <is>
          <t>SECONDARY</t>
        </is>
      </c>
      <c r="F436" t="inlineStr">
        <is>
          <t>mobile friendly test</t>
        </is>
      </c>
      <c r="G436" t="n">
        <v>10</v>
      </c>
      <c r="H436" t="inlineStr">
        <is>
          <t>NOT AVAILABLE</t>
        </is>
      </c>
      <c r="I436" t="n">
        <v>0</v>
      </c>
      <c r="J436" t="inlineStr">
        <is>
          <t>NOT AVAILABLE</t>
        </is>
      </c>
      <c r="K436" t="inlineStr">
        <is>
          <t>MEASURED</t>
        </is>
      </c>
      <c r="L436" t="inlineStr">
        <is>
          <t>P3</t>
        </is>
      </c>
      <c r="M436" t="n">
        <v>85</v>
      </c>
      <c r="N436">
        <f>ROUND(IF(IF(J436="NOT AVAILABLE","",J436)="",12,IF(OR(ISNUMBER(SEARCH("Transactional",IF(J436="NOT AVAILABLE","",J436))),ISNUMBER(SEARCH("Commercial",IF(J436="NOT AVAILABLE","",J436)))),25,IF(ISNUMBER(SEARCH("Informational",IF(J436="NOT AVAILABLE","",J436))),10,IF(ISNUMBER(SEARCH("Navigational",IF(J436="NOT AVAILABLE","",J436))),0,12))))+IF(ISNUMBER(G436),MIN(30,ROUND(30*LOG10(G436+1)/4,1)),0)+IF(ISNUMBER(H436),ROUND(25*(100-H436)/100,1),12.5)+20,0)</f>
        <v/>
      </c>
      <c r="O436">
        <f>ROUND(N436*M436/100,0)</f>
        <v/>
      </c>
      <c r="P436" s="5" t="inlineStr">
        <is>
          <t>Same query, Moroccan market (separate database, never summed)</t>
        </is>
      </c>
      <c r="Q436" s="5" t="inlineStr">
        <is>
          <t>None detected</t>
        </is>
      </c>
    </row>
    <row r="437">
      <c r="A437" s="3" t="inlineStr">
        <is>
          <t>https://codesommet.com/tools/mobile-friendly-test</t>
        </is>
      </c>
      <c r="B437" s="5" t="inlineStr">
        <is>
          <t>Test de Compatibilité Mobile Gratuit</t>
        </is>
      </c>
      <c r="C437" t="inlineStr">
        <is>
          <t>France</t>
        </is>
      </c>
      <c r="D437" t="inlineStr">
        <is>
          <t>fr</t>
        </is>
      </c>
      <c r="E437" t="inlineStr">
        <is>
          <t>SUPPORTING</t>
        </is>
      </c>
      <c r="F437" t="inlineStr">
        <is>
          <t>site responsive test</t>
        </is>
      </c>
      <c r="G437" t="n">
        <v>90</v>
      </c>
      <c r="H437" t="n">
        <v>24</v>
      </c>
      <c r="I437" t="n">
        <v>1.79</v>
      </c>
      <c r="J437" t="inlineStr">
        <is>
          <t>Informational</t>
        </is>
      </c>
      <c r="K437" t="inlineStr">
        <is>
          <t>MEASURED</t>
        </is>
      </c>
      <c r="L437" t="inlineStr">
        <is>
          <t>P3</t>
        </is>
      </c>
      <c r="M437" t="n">
        <v>65</v>
      </c>
      <c r="N437">
        <f>ROUND(IF(IF(J437="NOT AVAILABLE","",J437)="",12,IF(OR(ISNUMBER(SEARCH("Transactional",IF(J437="NOT AVAILABLE","",J437))),ISNUMBER(SEARCH("Commercial",IF(J437="NOT AVAILABLE","",J437)))),25,IF(ISNUMBER(SEARCH("Informational",IF(J437="NOT AVAILABLE","",J437))),10,IF(ISNUMBER(SEARCH("Navigational",IF(J437="NOT AVAILABLE","",J437))),0,12))))+IF(ISNUMBER(G437),MIN(30,ROUND(30*LOG10(G437+1)/4,1)),0)+IF(ISNUMBER(H437),ROUND(25*(100-H437)/100,1),12.5)+14,0)</f>
        <v/>
      </c>
      <c r="O437">
        <f>ROUND(N437*M437/100,0)</f>
        <v/>
      </c>
      <c r="P437" s="5" t="inlineStr">
        <is>
          <t>Measured variant of the tool task</t>
        </is>
      </c>
      <c r="Q437" s="5" t="inlineStr">
        <is>
          <t>None detected</t>
        </is>
      </c>
    </row>
    <row r="438">
      <c r="A438" s="3" t="inlineStr">
        <is>
          <t>https://codesommet.com/tools/mobile-friendly-test</t>
        </is>
      </c>
      <c r="B438" s="5" t="inlineStr">
        <is>
          <t>Test de Compatibilité Mobile Gratuit</t>
        </is>
      </c>
      <c r="C438" t="inlineStr">
        <is>
          <t>France</t>
        </is>
      </c>
      <c r="D438" t="inlineStr">
        <is>
          <t>fr</t>
        </is>
      </c>
      <c r="E438" t="inlineStr">
        <is>
          <t>SUPPORTING</t>
        </is>
      </c>
      <c r="F438" t="inlineStr">
        <is>
          <t>test compatibilité mobile</t>
        </is>
      </c>
      <c r="G438" t="n">
        <v>20</v>
      </c>
      <c r="H438" t="inlineStr">
        <is>
          <t>NOT AVAILABLE</t>
        </is>
      </c>
      <c r="I438" t="n">
        <v>0</v>
      </c>
      <c r="J438" t="inlineStr">
        <is>
          <t>NOT AVAILABLE</t>
        </is>
      </c>
      <c r="K438" t="inlineStr">
        <is>
          <t>MEASURED</t>
        </is>
      </c>
      <c r="L438" t="inlineStr">
        <is>
          <t>P3</t>
        </is>
      </c>
      <c r="M438" t="n">
        <v>65</v>
      </c>
      <c r="N438">
        <f>ROUND(IF(IF(J438="NOT AVAILABLE","",J438)="",12,IF(OR(ISNUMBER(SEARCH("Transactional",IF(J438="NOT AVAILABLE","",J438))),ISNUMBER(SEARCH("Commercial",IF(J438="NOT AVAILABLE","",J438)))),25,IF(ISNUMBER(SEARCH("Informational",IF(J438="NOT AVAILABLE","",J438))),10,IF(ISNUMBER(SEARCH("Navigational",IF(J438="NOT AVAILABLE","",J438))),0,12))))+IF(ISNUMBER(G438),MIN(30,ROUND(30*LOG10(G438+1)/4,1)),0)+IF(ISNUMBER(H438),ROUND(25*(100-H438)/100,1),12.5)+14,0)</f>
        <v/>
      </c>
      <c r="O438">
        <f>ROUND(N438*M438/100,0)</f>
        <v/>
      </c>
      <c r="P438" s="5" t="inlineStr">
        <is>
          <t>Measured variant of the tool task</t>
        </is>
      </c>
      <c r="Q438" s="5" t="inlineStr">
        <is>
          <t>None detected</t>
        </is>
      </c>
    </row>
    <row r="439">
      <c r="A439" s="3" t="inlineStr">
        <is>
          <t>https://codesommet.com/tools/mobile-friendly-test</t>
        </is>
      </c>
      <c r="B439" s="5" t="inlineStr">
        <is>
          <t>Test de Compatibilité Mobile Gratuit</t>
        </is>
      </c>
      <c r="C439" t="inlineStr">
        <is>
          <t>Morocco</t>
        </is>
      </c>
      <c r="D439" t="inlineStr">
        <is>
          <t>ma</t>
        </is>
      </c>
      <c r="E439" t="inlineStr">
        <is>
          <t>SUPPORTING</t>
        </is>
      </c>
      <c r="F439" t="inlineStr">
        <is>
          <t>site responsive test</t>
        </is>
      </c>
      <c r="G439" t="n">
        <v>20</v>
      </c>
      <c r="H439" t="inlineStr">
        <is>
          <t>NOT AVAILABLE</t>
        </is>
      </c>
      <c r="I439" t="n">
        <v>0</v>
      </c>
      <c r="J439" t="inlineStr">
        <is>
          <t>NOT AVAILABLE</t>
        </is>
      </c>
      <c r="K439" t="inlineStr">
        <is>
          <t>MEASURED</t>
        </is>
      </c>
      <c r="L439" t="inlineStr">
        <is>
          <t>P3</t>
        </is>
      </c>
      <c r="M439" t="n">
        <v>65</v>
      </c>
      <c r="N439">
        <f>ROUND(IF(IF(J439="NOT AVAILABLE","",J439)="",12,IF(OR(ISNUMBER(SEARCH("Transactional",IF(J439="NOT AVAILABLE","",J439))),ISNUMBER(SEARCH("Commercial",IF(J439="NOT AVAILABLE","",J439)))),25,IF(ISNUMBER(SEARCH("Informational",IF(J439="NOT AVAILABLE","",J439))),10,IF(ISNUMBER(SEARCH("Navigational",IF(J439="NOT AVAILABLE","",J439))),0,12))))+IF(ISNUMBER(G439),MIN(30,ROUND(30*LOG10(G439+1)/4,1)),0)+IF(ISNUMBER(H439),ROUND(25*(100-H439)/100,1),12.5)+20,0)</f>
        <v/>
      </c>
      <c r="O439">
        <f>ROUND(N439*M439/100,0)</f>
        <v/>
      </c>
      <c r="P439" s="5" t="inlineStr">
        <is>
          <t>Measured variant of the tool task (MA market)</t>
        </is>
      </c>
      <c r="Q439" s="5" t="inlineStr">
        <is>
          <t>None detected</t>
        </is>
      </c>
    </row>
    <row r="440">
      <c r="A440" s="3" t="inlineStr">
        <is>
          <t>https://codesommet.com/tools/mobile-friendly-test</t>
        </is>
      </c>
      <c r="B440" s="5" t="inlineStr">
        <is>
          <t>Test de Compatibilité Mobile Gratuit</t>
        </is>
      </c>
      <c r="C440" t="inlineStr">
        <is>
          <t>Morocco</t>
        </is>
      </c>
      <c r="D440" t="inlineStr">
        <is>
          <t>ma</t>
        </is>
      </c>
      <c r="E440" t="inlineStr">
        <is>
          <t>SUPPORTING</t>
        </is>
      </c>
      <c r="F440" t="inlineStr">
        <is>
          <t>test mobile friendly</t>
        </is>
      </c>
      <c r="G440" t="n">
        <v>10</v>
      </c>
      <c r="H440" t="inlineStr">
        <is>
          <t>NOT AVAILABLE</t>
        </is>
      </c>
      <c r="I440" t="n">
        <v>0</v>
      </c>
      <c r="J440" t="inlineStr">
        <is>
          <t>NOT AVAILABLE</t>
        </is>
      </c>
      <c r="K440" t="inlineStr">
        <is>
          <t>MEASURED</t>
        </is>
      </c>
      <c r="L440" t="inlineStr">
        <is>
          <t>P3</t>
        </is>
      </c>
      <c r="M440" t="n">
        <v>65</v>
      </c>
      <c r="N440">
        <f>ROUND(IF(IF(J440="NOT AVAILABLE","",J440)="",12,IF(OR(ISNUMBER(SEARCH("Transactional",IF(J440="NOT AVAILABLE","",J440))),ISNUMBER(SEARCH("Commercial",IF(J440="NOT AVAILABLE","",J440)))),25,IF(ISNUMBER(SEARCH("Informational",IF(J440="NOT AVAILABLE","",J440))),10,IF(ISNUMBER(SEARCH("Navigational",IF(J440="NOT AVAILABLE","",J440))),0,12))))+IF(ISNUMBER(G440),MIN(30,ROUND(30*LOG10(G440+1)/4,1)),0)+IF(ISNUMBER(H440),ROUND(25*(100-H440)/100,1),12.5)+20,0)</f>
        <v/>
      </c>
      <c r="O440">
        <f>ROUND(N440*M440/100,0)</f>
        <v/>
      </c>
      <c r="P440" s="5" t="inlineStr">
        <is>
          <t>Measured variant of the tool task (MA market)</t>
        </is>
      </c>
      <c r="Q440" s="5" t="inlineStr">
        <is>
          <t>None detected</t>
        </is>
      </c>
    </row>
    <row r="441">
      <c r="A441" s="3" t="inlineStr">
        <is>
          <t>https://codesommet.com/tools/ngram-extractor</t>
        </is>
      </c>
      <c r="B441" s="5" t="inlineStr">
        <is>
          <t>Extracteur de N-grammes : Mots Fréquents</t>
        </is>
      </c>
      <c r="C441" t="inlineStr">
        <is>
          <t>France</t>
        </is>
      </c>
      <c r="D441" t="inlineStr">
        <is>
          <t>fr</t>
        </is>
      </c>
      <c r="E441" t="inlineStr">
        <is>
          <t>PRIMARY</t>
        </is>
      </c>
      <c r="F441" t="inlineStr">
        <is>
          <t>n-gram</t>
        </is>
      </c>
      <c r="G441" t="n">
        <v>90</v>
      </c>
      <c r="H441" t="n">
        <v>19</v>
      </c>
      <c r="I441" t="n">
        <v>0</v>
      </c>
      <c r="J441" t="inlineStr">
        <is>
          <t>Informational</t>
        </is>
      </c>
      <c r="K441" t="inlineStr">
        <is>
          <t>MEASURED</t>
        </is>
      </c>
      <c r="L441" t="inlineStr">
        <is>
          <t>P3</t>
        </is>
      </c>
      <c r="M441" t="n">
        <v>100</v>
      </c>
      <c r="N441">
        <f>ROUND(IF(IF(J441="NOT AVAILABLE","",J441)="",12,IF(OR(ISNUMBER(SEARCH("Transactional",IF(J441="NOT AVAILABLE","",J441))),ISNUMBER(SEARCH("Commercial",IF(J441="NOT AVAILABLE","",J441)))),25,IF(ISNUMBER(SEARCH("Informational",IF(J441="NOT AVAILABLE","",J441))),10,IF(ISNUMBER(SEARCH("Navigational",IF(J441="NOT AVAILABLE","",J441))),0,12))))+IF(ISNUMBER(G441),MIN(30,ROUND(30*LOG10(G441+1)/4,1)),0)+IF(ISNUMBER(H441),ROUND(25*(100-H441)/100,1),12.5)+14,0)</f>
        <v/>
      </c>
      <c r="O441">
        <f>ROUND(N441*M441/100,0)</f>
        <v/>
      </c>
      <c r="P441" s="5" t="inlineStr">
        <is>
          <t>Best-fitting measured FR query for the tool task (tools serve the francophone market; FR db used as proxy)</t>
        </is>
      </c>
      <c r="Q441" s="5" t="inlineStr">
        <is>
          <t>None detected</t>
        </is>
      </c>
    </row>
    <row r="442">
      <c r="A442" s="3" t="inlineStr">
        <is>
          <t>https://codesommet.com/tools/ngram-extractor</t>
        </is>
      </c>
      <c r="B442" s="5" t="inlineStr">
        <is>
          <t>Extracteur de N-grammes : Mots Fréquents</t>
        </is>
      </c>
      <c r="C442" t="inlineStr">
        <is>
          <t>Morocco</t>
        </is>
      </c>
      <c r="D442" t="inlineStr">
        <is>
          <t>ma</t>
        </is>
      </c>
      <c r="E442" t="inlineStr">
        <is>
          <t>SECONDARY</t>
        </is>
      </c>
      <c r="F442" t="inlineStr">
        <is>
          <t>n-gram</t>
        </is>
      </c>
      <c r="G442" t="n">
        <v>20</v>
      </c>
      <c r="H442" t="inlineStr">
        <is>
          <t>NOT AVAILABLE</t>
        </is>
      </c>
      <c r="I442" t="n">
        <v>0</v>
      </c>
      <c r="J442" t="inlineStr">
        <is>
          <t>NOT AVAILABLE</t>
        </is>
      </c>
      <c r="K442" t="inlineStr">
        <is>
          <t>MEASURED</t>
        </is>
      </c>
      <c r="L442" t="inlineStr">
        <is>
          <t>P3</t>
        </is>
      </c>
      <c r="M442" t="n">
        <v>85</v>
      </c>
      <c r="N442">
        <f>ROUND(IF(IF(J442="NOT AVAILABLE","",J442)="",12,IF(OR(ISNUMBER(SEARCH("Transactional",IF(J442="NOT AVAILABLE","",J442))),ISNUMBER(SEARCH("Commercial",IF(J442="NOT AVAILABLE","",J442)))),25,IF(ISNUMBER(SEARCH("Informational",IF(J442="NOT AVAILABLE","",J442))),10,IF(ISNUMBER(SEARCH("Navigational",IF(J442="NOT AVAILABLE","",J442))),0,12))))+IF(ISNUMBER(G442),MIN(30,ROUND(30*LOG10(G442+1)/4,1)),0)+IF(ISNUMBER(H442),ROUND(25*(100-H442)/100,1),12.5)+20,0)</f>
        <v/>
      </c>
      <c r="O442">
        <f>ROUND(N442*M442/100,0)</f>
        <v/>
      </c>
      <c r="P442" s="5" t="inlineStr">
        <is>
          <t>Same query, Moroccan market (separate database, never summed)</t>
        </is>
      </c>
      <c r="Q442" s="5" t="inlineStr">
        <is>
          <t>None detected</t>
        </is>
      </c>
    </row>
    <row r="443">
      <c r="A443" s="3" t="inlineStr">
        <is>
          <t>https://codesommet.com/tools/ngram-extractor</t>
        </is>
      </c>
      <c r="B443" s="5" t="inlineStr">
        <is>
          <t>Extracteur de N-grammes : Mots Fréquents</t>
        </is>
      </c>
      <c r="C443" t="inlineStr">
        <is>
          <t>France</t>
        </is>
      </c>
      <c r="D443" t="inlineStr">
        <is>
          <t>fr</t>
        </is>
      </c>
      <c r="E443" t="inlineStr">
        <is>
          <t>OPTIONAL</t>
        </is>
      </c>
      <c r="F443" t="inlineStr">
        <is>
          <t>extraire mots fréquents</t>
        </is>
      </c>
      <c r="G443" t="inlineStr">
        <is>
          <t>NOT AVAILABLE</t>
        </is>
      </c>
      <c r="H443" t="inlineStr">
        <is>
          <t>NOT AVAILABLE</t>
        </is>
      </c>
      <c r="I443" t="inlineStr">
        <is>
          <t>NOT AVAILABLE</t>
        </is>
      </c>
      <c r="J443" t="inlineStr">
        <is>
          <t>NOT AVAILABLE</t>
        </is>
      </c>
      <c r="K443" t="inlineStr">
        <is>
          <t>UNAVAILABLE</t>
        </is>
      </c>
      <c r="L443" t="inlineStr">
        <is>
          <t>P4</t>
        </is>
      </c>
      <c r="M443" t="n">
        <v>45</v>
      </c>
      <c r="N443">
        <f>ROUND(IF(IF(J443="NOT AVAILABLE","",J443)="",12,IF(OR(ISNUMBER(SEARCH("Transactional",IF(J443="NOT AVAILABLE","",J443))),ISNUMBER(SEARCH("Commercial",IF(J443="NOT AVAILABLE","",J443)))),25,IF(ISNUMBER(SEARCH("Informational",IF(J443="NOT AVAILABLE","",J443))),10,IF(ISNUMBER(SEARCH("Navigational",IF(J443="NOT AVAILABLE","",J443))),0,12))))+IF(ISNUMBER(G443),MIN(30,ROUND(30*LOG10(G443+1)/4,1)),0)+IF(ISNUMBER(H443),ROUND(25*(100-H443)/100,1),12.5)+14,0)</f>
        <v/>
      </c>
      <c r="O443">
        <f>ROUND(N443*M443/100,0)</f>
        <v/>
      </c>
      <c r="P443" s="5" t="inlineStr">
        <is>
          <t>Queried - Semrush returned no data or zero volume; usable as natural wording only</t>
        </is>
      </c>
      <c r="Q443" s="5" t="inlineStr">
        <is>
          <t>None detected</t>
        </is>
      </c>
    </row>
    <row r="444">
      <c r="A444" s="3" t="inlineStr">
        <is>
          <t>https://codesommet.com/tools/ngram-extractor</t>
        </is>
      </c>
      <c r="B444" s="5" t="inlineStr">
        <is>
          <t>Extracteur de N-grammes : Mots Fréquents</t>
        </is>
      </c>
      <c r="C444" t="inlineStr">
        <is>
          <t>France</t>
        </is>
      </c>
      <c r="D444" t="inlineStr">
        <is>
          <t>fr</t>
        </is>
      </c>
      <c r="E444" t="inlineStr">
        <is>
          <t>OPTIONAL</t>
        </is>
      </c>
      <c r="F444" t="inlineStr">
        <is>
          <t>analyse fréquence mots</t>
        </is>
      </c>
      <c r="G444" t="n">
        <v>0</v>
      </c>
      <c r="H444" t="inlineStr">
        <is>
          <t>NOT AVAILABLE</t>
        </is>
      </c>
      <c r="I444" t="n">
        <v>0</v>
      </c>
      <c r="J444" t="inlineStr">
        <is>
          <t>NOT AVAILABLE</t>
        </is>
      </c>
      <c r="K444" t="inlineStr">
        <is>
          <t>MEASURED</t>
        </is>
      </c>
      <c r="L444" t="inlineStr">
        <is>
          <t>P4</t>
        </is>
      </c>
      <c r="M444" t="n">
        <v>45</v>
      </c>
      <c r="N444">
        <f>ROUND(IF(IF(J444="NOT AVAILABLE","",J444)="",12,IF(OR(ISNUMBER(SEARCH("Transactional",IF(J444="NOT AVAILABLE","",J444))),ISNUMBER(SEARCH("Commercial",IF(J444="NOT AVAILABLE","",J444)))),25,IF(ISNUMBER(SEARCH("Informational",IF(J444="NOT AVAILABLE","",J444))),10,IF(ISNUMBER(SEARCH("Navigational",IF(J444="NOT AVAILABLE","",J444))),0,12))))+IF(ISNUMBER(G444),MIN(30,ROUND(30*LOG10(G444+1)/4,1)),0)+IF(ISNUMBER(H444),ROUND(25*(100-H444)/100,1),12.5)+14,0)</f>
        <v/>
      </c>
      <c r="O444">
        <f>ROUND(N444*M444/100,0)</f>
        <v/>
      </c>
      <c r="P444" s="5" t="inlineStr">
        <is>
          <t>Queried - Semrush returned no data or zero volume; usable as natural wording only</t>
        </is>
      </c>
      <c r="Q444" s="5" t="inlineStr">
        <is>
          <t>None detected</t>
        </is>
      </c>
    </row>
    <row r="445">
      <c r="A445" s="3" t="inlineStr">
        <is>
          <t>https://codesommet.com/tools/ngram-extractor</t>
        </is>
      </c>
      <c r="B445" s="5" t="inlineStr">
        <is>
          <t>Extracteur de N-grammes : Mots Fréquents</t>
        </is>
      </c>
      <c r="C445" t="inlineStr">
        <is>
          <t>France</t>
        </is>
      </c>
      <c r="D445" t="inlineStr">
        <is>
          <t>fr</t>
        </is>
      </c>
      <c r="E445" t="inlineStr">
        <is>
          <t>NOT RECOMMENDED</t>
        </is>
      </c>
      <c r="F445" t="inlineStr">
        <is>
          <t>ngram</t>
        </is>
      </c>
      <c r="G445" t="n">
        <v>390</v>
      </c>
      <c r="H445" t="n">
        <v>47</v>
      </c>
      <c r="I445" t="n">
        <v>0</v>
      </c>
      <c r="J445" t="inlineStr">
        <is>
          <t>Navigational</t>
        </is>
      </c>
      <c r="K445" t="inlineStr">
        <is>
          <t>MEASURED</t>
        </is>
      </c>
      <c r="L445" t="inlineStr">
        <is>
          <t>P4</t>
        </is>
      </c>
      <c r="M445" t="n">
        <v>0</v>
      </c>
      <c r="N445">
        <f>ROUND(IF(IF(J445="NOT AVAILABLE","",J445)="",12,IF(OR(ISNUMBER(SEARCH("Transactional",IF(J445="NOT AVAILABLE","",J445))),ISNUMBER(SEARCH("Commercial",IF(J445="NOT AVAILABLE","",J445)))),25,IF(ISNUMBER(SEARCH("Informational",IF(J445="NOT AVAILABLE","",J445))),10,IF(ISNUMBER(SEARCH("Navigational",IF(J445="NOT AVAILABLE","",J445))),0,12))))+IF(ISNUMBER(G445),MIN(30,ROUND(30*LOG10(G445+1)/4,1)),0)+IF(ISNUMBER(H445),ROUND(25*(100-H445)/100,1),12.5)+14,0)</f>
        <v/>
      </c>
      <c r="O445">
        <f>ROUND(N445*M445/100,0)</f>
        <v/>
      </c>
      <c r="P445" s="5" t="inlineStr">
        <is>
          <t>Navigational intent (Google Books Ngram Viewer)</t>
        </is>
      </c>
      <c r="Q445" s="5" t="inlineStr">
        <is>
          <t>n/a (not targeted)</t>
        </is>
      </c>
    </row>
    <row r="446">
      <c r="A446" s="3" t="inlineStr">
        <is>
          <t>https://codesommet.com/tools/nofollow-link-checker</t>
        </is>
      </c>
      <c r="B446" s="5" t="inlineStr">
        <is>
          <t>Vérificateur de Liens Nofollow Gratuit</t>
        </is>
      </c>
      <c r="C446" t="inlineStr">
        <is>
          <t>France</t>
        </is>
      </c>
      <c r="D446" t="inlineStr">
        <is>
          <t>fr</t>
        </is>
      </c>
      <c r="E446" t="inlineStr">
        <is>
          <t>PRIMARY</t>
        </is>
      </c>
      <c r="F446" t="inlineStr">
        <is>
          <t>nofollow</t>
        </is>
      </c>
      <c r="G446" t="n">
        <v>260</v>
      </c>
      <c r="H446" t="n">
        <v>23</v>
      </c>
      <c r="I446" t="n">
        <v>0</v>
      </c>
      <c r="J446" t="inlineStr">
        <is>
          <t>Informational</t>
        </is>
      </c>
      <c r="K446" t="inlineStr">
        <is>
          <t>MEASURED</t>
        </is>
      </c>
      <c r="L446" t="inlineStr">
        <is>
          <t>P3</t>
        </is>
      </c>
      <c r="M446" t="n">
        <v>100</v>
      </c>
      <c r="N446">
        <f>ROUND(IF(IF(J446="NOT AVAILABLE","",J446)="",12,IF(OR(ISNUMBER(SEARCH("Transactional",IF(J446="NOT AVAILABLE","",J446))),ISNUMBER(SEARCH("Commercial",IF(J446="NOT AVAILABLE","",J446)))),25,IF(ISNUMBER(SEARCH("Informational",IF(J446="NOT AVAILABLE","",J446))),10,IF(ISNUMBER(SEARCH("Navigational",IF(J446="NOT AVAILABLE","",J446))),0,12))))+IF(ISNUMBER(G446),MIN(30,ROUND(30*LOG10(G446+1)/4,1)),0)+IF(ISNUMBER(H446),ROUND(25*(100-H446)/100,1),12.5)+14,0)</f>
        <v/>
      </c>
      <c r="O446">
        <f>ROUND(N446*M446/100,0)</f>
        <v/>
      </c>
      <c r="P446" s="5" t="inlineStr">
        <is>
          <t>Best-fitting measured FR query for the tool task (tools serve the francophone market; FR db used as proxy)</t>
        </is>
      </c>
      <c r="Q446" s="5" t="inlineStr">
        <is>
          <t>None detected</t>
        </is>
      </c>
    </row>
    <row r="447">
      <c r="A447" s="3" t="inlineStr">
        <is>
          <t>https://codesommet.com/tools/nofollow-link-checker</t>
        </is>
      </c>
      <c r="B447" s="5" t="inlineStr">
        <is>
          <t>Vérificateur de Liens Nofollow Gratuit</t>
        </is>
      </c>
      <c r="C447" t="inlineStr">
        <is>
          <t>Morocco</t>
        </is>
      </c>
      <c r="D447" t="inlineStr">
        <is>
          <t>ma</t>
        </is>
      </c>
      <c r="E447" t="inlineStr">
        <is>
          <t>SECONDARY</t>
        </is>
      </c>
      <c r="F447" t="inlineStr">
        <is>
          <t>nofollow</t>
        </is>
      </c>
      <c r="G447" t="n">
        <v>20</v>
      </c>
      <c r="H447" t="inlineStr">
        <is>
          <t>NOT AVAILABLE</t>
        </is>
      </c>
      <c r="I447" t="n">
        <v>0</v>
      </c>
      <c r="J447" t="inlineStr">
        <is>
          <t>NOT AVAILABLE</t>
        </is>
      </c>
      <c r="K447" t="inlineStr">
        <is>
          <t>MEASURED</t>
        </is>
      </c>
      <c r="L447" t="inlineStr">
        <is>
          <t>P3</t>
        </is>
      </c>
      <c r="M447" t="n">
        <v>85</v>
      </c>
      <c r="N447">
        <f>ROUND(IF(IF(J447="NOT AVAILABLE","",J447)="",12,IF(OR(ISNUMBER(SEARCH("Transactional",IF(J447="NOT AVAILABLE","",J447))),ISNUMBER(SEARCH("Commercial",IF(J447="NOT AVAILABLE","",J447)))),25,IF(ISNUMBER(SEARCH("Informational",IF(J447="NOT AVAILABLE","",J447))),10,IF(ISNUMBER(SEARCH("Navigational",IF(J447="NOT AVAILABLE","",J447))),0,12))))+IF(ISNUMBER(G447),MIN(30,ROUND(30*LOG10(G447+1)/4,1)),0)+IF(ISNUMBER(H447),ROUND(25*(100-H447)/100,1),12.5)+20,0)</f>
        <v/>
      </c>
      <c r="O447">
        <f>ROUND(N447*M447/100,0)</f>
        <v/>
      </c>
      <c r="P447" s="5" t="inlineStr">
        <is>
          <t>Same query, Moroccan market (separate database, never summed)</t>
        </is>
      </c>
      <c r="Q447" s="5" t="inlineStr">
        <is>
          <t>None detected</t>
        </is>
      </c>
    </row>
    <row r="448">
      <c r="A448" s="3" t="inlineStr">
        <is>
          <t>https://codesommet.com/tools/nofollow-link-checker</t>
        </is>
      </c>
      <c r="B448" s="5" t="inlineStr">
        <is>
          <t>Vérificateur de Liens Nofollow Gratuit</t>
        </is>
      </c>
      <c r="C448" t="inlineStr">
        <is>
          <t>France</t>
        </is>
      </c>
      <c r="D448" t="inlineStr">
        <is>
          <t>fr</t>
        </is>
      </c>
      <c r="E448" t="inlineStr">
        <is>
          <t>SUPPORTING</t>
        </is>
      </c>
      <c r="F448" t="inlineStr">
        <is>
          <t>lien nofollow</t>
        </is>
      </c>
      <c r="G448" t="n">
        <v>70</v>
      </c>
      <c r="H448" t="n">
        <v>21</v>
      </c>
      <c r="I448" t="n">
        <v>0</v>
      </c>
      <c r="J448" t="inlineStr">
        <is>
          <t>Informational, Commercial</t>
        </is>
      </c>
      <c r="K448" t="inlineStr">
        <is>
          <t>MEASURED</t>
        </is>
      </c>
      <c r="L448" t="inlineStr">
        <is>
          <t>P3</t>
        </is>
      </c>
      <c r="M448" t="n">
        <v>65</v>
      </c>
      <c r="N448">
        <f>ROUND(IF(IF(J448="NOT AVAILABLE","",J448)="",12,IF(OR(ISNUMBER(SEARCH("Transactional",IF(J448="NOT AVAILABLE","",J448))),ISNUMBER(SEARCH("Commercial",IF(J448="NOT AVAILABLE","",J448)))),25,IF(ISNUMBER(SEARCH("Informational",IF(J448="NOT AVAILABLE","",J448))),10,IF(ISNUMBER(SEARCH("Navigational",IF(J448="NOT AVAILABLE","",J448))),0,12))))+IF(ISNUMBER(G448),MIN(30,ROUND(30*LOG10(G448+1)/4,1)),0)+IF(ISNUMBER(H448),ROUND(25*(100-H448)/100,1),12.5)+14,0)</f>
        <v/>
      </c>
      <c r="O448">
        <f>ROUND(N448*M448/100,0)</f>
        <v/>
      </c>
      <c r="P448" s="5" t="inlineStr">
        <is>
          <t>Measured variant of the tool task</t>
        </is>
      </c>
      <c r="Q448" s="5" t="inlineStr">
        <is>
          <t>None detected</t>
        </is>
      </c>
    </row>
    <row r="449">
      <c r="A449" s="3" t="inlineStr">
        <is>
          <t>https://codesommet.com/tools/nofollow-link-checker</t>
        </is>
      </c>
      <c r="B449" s="5" t="inlineStr">
        <is>
          <t>Vérificateur de Liens Nofollow Gratuit</t>
        </is>
      </c>
      <c r="C449" t="inlineStr">
        <is>
          <t>France</t>
        </is>
      </c>
      <c r="D449" t="inlineStr">
        <is>
          <t>fr</t>
        </is>
      </c>
      <c r="E449" t="inlineStr">
        <is>
          <t>SUPPORTING</t>
        </is>
      </c>
      <c r="F449" t="inlineStr">
        <is>
          <t>nofollow dofollow</t>
        </is>
      </c>
      <c r="G449" t="n">
        <v>10</v>
      </c>
      <c r="H449" t="inlineStr">
        <is>
          <t>NOT AVAILABLE</t>
        </is>
      </c>
      <c r="I449" t="n">
        <v>0</v>
      </c>
      <c r="J449" t="inlineStr">
        <is>
          <t>NOT AVAILABLE</t>
        </is>
      </c>
      <c r="K449" t="inlineStr">
        <is>
          <t>MEASURED</t>
        </is>
      </c>
      <c r="L449" t="inlineStr">
        <is>
          <t>P3</t>
        </is>
      </c>
      <c r="M449" t="n">
        <v>65</v>
      </c>
      <c r="N449">
        <f>ROUND(IF(IF(J449="NOT AVAILABLE","",J449)="",12,IF(OR(ISNUMBER(SEARCH("Transactional",IF(J449="NOT AVAILABLE","",J449))),ISNUMBER(SEARCH("Commercial",IF(J449="NOT AVAILABLE","",J449)))),25,IF(ISNUMBER(SEARCH("Informational",IF(J449="NOT AVAILABLE","",J449))),10,IF(ISNUMBER(SEARCH("Navigational",IF(J449="NOT AVAILABLE","",J449))),0,12))))+IF(ISNUMBER(G449),MIN(30,ROUND(30*LOG10(G449+1)/4,1)),0)+IF(ISNUMBER(H449),ROUND(25*(100-H449)/100,1),12.5)+14,0)</f>
        <v/>
      </c>
      <c r="O449">
        <f>ROUND(N449*M449/100,0)</f>
        <v/>
      </c>
      <c r="P449" s="5" t="inlineStr">
        <is>
          <t>Measured variant of the tool task</t>
        </is>
      </c>
      <c r="Q449" s="5" t="inlineStr">
        <is>
          <t>None detected</t>
        </is>
      </c>
    </row>
    <row r="450">
      <c r="A450" s="3" t="inlineStr">
        <is>
          <t>https://codesommet.com/tools/nofollow-link-checker</t>
        </is>
      </c>
      <c r="B450" s="5" t="inlineStr">
        <is>
          <t>Vérificateur de Liens Nofollow Gratuit</t>
        </is>
      </c>
      <c r="C450" t="inlineStr">
        <is>
          <t>Morocco</t>
        </is>
      </c>
      <c r="D450" t="inlineStr">
        <is>
          <t>ma</t>
        </is>
      </c>
      <c r="E450" t="inlineStr">
        <is>
          <t>SUPPORTING</t>
        </is>
      </c>
      <c r="F450" t="inlineStr">
        <is>
          <t>nofollow dofollow</t>
        </is>
      </c>
      <c r="G450" t="n">
        <v>10</v>
      </c>
      <c r="H450" t="inlineStr">
        <is>
          <t>NOT AVAILABLE</t>
        </is>
      </c>
      <c r="I450" t="n">
        <v>0</v>
      </c>
      <c r="J450" t="inlineStr">
        <is>
          <t>NOT AVAILABLE</t>
        </is>
      </c>
      <c r="K450" t="inlineStr">
        <is>
          <t>MEASURED</t>
        </is>
      </c>
      <c r="L450" t="inlineStr">
        <is>
          <t>P3</t>
        </is>
      </c>
      <c r="M450" t="n">
        <v>65</v>
      </c>
      <c r="N450">
        <f>ROUND(IF(IF(J450="NOT AVAILABLE","",J450)="",12,IF(OR(ISNUMBER(SEARCH("Transactional",IF(J450="NOT AVAILABLE","",J450))),ISNUMBER(SEARCH("Commercial",IF(J450="NOT AVAILABLE","",J450)))),25,IF(ISNUMBER(SEARCH("Informational",IF(J450="NOT AVAILABLE","",J450))),10,IF(ISNUMBER(SEARCH("Navigational",IF(J450="NOT AVAILABLE","",J450))),0,12))))+IF(ISNUMBER(G450),MIN(30,ROUND(30*LOG10(G450+1)/4,1)),0)+IF(ISNUMBER(H450),ROUND(25*(100-H450)/100,1),12.5)+20,0)</f>
        <v/>
      </c>
      <c r="O450">
        <f>ROUND(N450*M450/100,0)</f>
        <v/>
      </c>
      <c r="P450" s="5" t="inlineStr">
        <is>
          <t>Measured variant of the tool task (MA market)</t>
        </is>
      </c>
      <c r="Q450" s="5" t="inlineStr">
        <is>
          <t>None detected</t>
        </is>
      </c>
    </row>
    <row r="451">
      <c r="A451" s="3" t="inlineStr">
        <is>
          <t>https://codesommet.com/tools/nofollow-link-checker</t>
        </is>
      </c>
      <c r="B451" s="5" t="inlineStr">
        <is>
          <t>Vérificateur de Liens Nofollow Gratuit</t>
        </is>
      </c>
      <c r="C451" t="inlineStr">
        <is>
          <t>France</t>
        </is>
      </c>
      <c r="D451" t="inlineStr">
        <is>
          <t>fr</t>
        </is>
      </c>
      <c r="E451" t="inlineStr">
        <is>
          <t>OPTIONAL</t>
        </is>
      </c>
      <c r="F451" t="inlineStr">
        <is>
          <t>vérifier lien nofollow</t>
        </is>
      </c>
      <c r="G451" t="n">
        <v>0</v>
      </c>
      <c r="H451" t="inlineStr">
        <is>
          <t>NOT AVAILABLE</t>
        </is>
      </c>
      <c r="I451" t="n">
        <v>0</v>
      </c>
      <c r="J451" t="inlineStr">
        <is>
          <t>NOT AVAILABLE</t>
        </is>
      </c>
      <c r="K451" t="inlineStr">
        <is>
          <t>MEASURED</t>
        </is>
      </c>
      <c r="L451" t="inlineStr">
        <is>
          <t>P4</t>
        </is>
      </c>
      <c r="M451" t="n">
        <v>45</v>
      </c>
      <c r="N451">
        <f>ROUND(IF(IF(J451="NOT AVAILABLE","",J451)="",12,IF(OR(ISNUMBER(SEARCH("Transactional",IF(J451="NOT AVAILABLE","",J451))),ISNUMBER(SEARCH("Commercial",IF(J451="NOT AVAILABLE","",J451)))),25,IF(ISNUMBER(SEARCH("Informational",IF(J451="NOT AVAILABLE","",J451))),10,IF(ISNUMBER(SEARCH("Navigational",IF(J451="NOT AVAILABLE","",J451))),0,12))))+IF(ISNUMBER(G451),MIN(30,ROUND(30*LOG10(G451+1)/4,1)),0)+IF(ISNUMBER(H451),ROUND(25*(100-H451)/100,1),12.5)+14,0)</f>
        <v/>
      </c>
      <c r="O451">
        <f>ROUND(N451*M451/100,0)</f>
        <v/>
      </c>
      <c r="P451" s="5" t="inlineStr">
        <is>
          <t>Queried - Semrush returned no data or zero volume; usable as natural wording only</t>
        </is>
      </c>
      <c r="Q451" s="5" t="inlineStr">
        <is>
          <t>None detected</t>
        </is>
      </c>
    </row>
    <row r="452">
      <c r="A452" s="3" t="inlineStr">
        <is>
          <t>https://codesommet.com/tools/og-preview-generator</t>
        </is>
      </c>
      <c r="B452" s="5" t="inlineStr">
        <is>
          <t>Aperçu Open Graph : Testeur Image OG</t>
        </is>
      </c>
      <c r="C452" t="inlineStr">
        <is>
          <t>France</t>
        </is>
      </c>
      <c r="D452" t="inlineStr">
        <is>
          <t>fr</t>
        </is>
      </c>
      <c r="E452" t="inlineStr">
        <is>
          <t>PRIMARY</t>
        </is>
      </c>
      <c r="F452" t="inlineStr">
        <is>
          <t>open graph</t>
        </is>
      </c>
      <c r="G452" t="n">
        <v>480</v>
      </c>
      <c r="H452" t="n">
        <v>41</v>
      </c>
      <c r="I452" t="n">
        <v>0</v>
      </c>
      <c r="J452" t="inlineStr">
        <is>
          <t>Informational</t>
        </is>
      </c>
      <c r="K452" t="inlineStr">
        <is>
          <t>MEASURED</t>
        </is>
      </c>
      <c r="L452" t="inlineStr">
        <is>
          <t>P3</t>
        </is>
      </c>
      <c r="M452" t="n">
        <v>100</v>
      </c>
      <c r="N452">
        <f>ROUND(IF(IF(J452="NOT AVAILABLE","",J452)="",12,IF(OR(ISNUMBER(SEARCH("Transactional",IF(J452="NOT AVAILABLE","",J452))),ISNUMBER(SEARCH("Commercial",IF(J452="NOT AVAILABLE","",J452)))),25,IF(ISNUMBER(SEARCH("Informational",IF(J452="NOT AVAILABLE","",J452))),10,IF(ISNUMBER(SEARCH("Navigational",IF(J452="NOT AVAILABLE","",J452))),0,12))))+IF(ISNUMBER(G452),MIN(30,ROUND(30*LOG10(G452+1)/4,1)),0)+IF(ISNUMBER(H452),ROUND(25*(100-H452)/100,1),12.5)+14,0)</f>
        <v/>
      </c>
      <c r="O452">
        <f>ROUND(N452*M452/100,0)</f>
        <v/>
      </c>
      <c r="P452" s="5" t="inlineStr">
        <is>
          <t>Best-fitting measured FR query for the tool task (tools serve the francophone market; FR db used as proxy)</t>
        </is>
      </c>
      <c r="Q452" s="5" t="inlineStr">
        <is>
          <t>None detected</t>
        </is>
      </c>
    </row>
    <row r="453">
      <c r="A453" s="3" t="inlineStr">
        <is>
          <t>https://codesommet.com/tools/og-preview-generator</t>
        </is>
      </c>
      <c r="B453" s="5" t="inlineStr">
        <is>
          <t>Aperçu Open Graph : Testeur Image OG</t>
        </is>
      </c>
      <c r="C453" t="inlineStr">
        <is>
          <t>France</t>
        </is>
      </c>
      <c r="D453" t="inlineStr">
        <is>
          <t>fr</t>
        </is>
      </c>
      <c r="E453" t="inlineStr">
        <is>
          <t>SECONDARY</t>
        </is>
      </c>
      <c r="F453" t="inlineStr">
        <is>
          <t>og image</t>
        </is>
      </c>
      <c r="G453" t="n">
        <v>320</v>
      </c>
      <c r="H453" t="n">
        <v>36</v>
      </c>
      <c r="I453" t="n">
        <v>0</v>
      </c>
      <c r="J453" t="inlineStr">
        <is>
          <t>Informational</t>
        </is>
      </c>
      <c r="K453" t="inlineStr">
        <is>
          <t>MEASURED</t>
        </is>
      </c>
      <c r="L453" t="inlineStr">
        <is>
          <t>P3</t>
        </is>
      </c>
      <c r="M453" t="n">
        <v>85</v>
      </c>
      <c r="N453">
        <f>ROUND(IF(IF(J453="NOT AVAILABLE","",J453)="",12,IF(OR(ISNUMBER(SEARCH("Transactional",IF(J453="NOT AVAILABLE","",J453))),ISNUMBER(SEARCH("Commercial",IF(J453="NOT AVAILABLE","",J453)))),25,IF(ISNUMBER(SEARCH("Informational",IF(J453="NOT AVAILABLE","",J453))),10,IF(ISNUMBER(SEARCH("Navigational",IF(J453="NOT AVAILABLE","",J453))),0,12))))+IF(ISNUMBER(G453),MIN(30,ROUND(30*LOG10(G453+1)/4,1)),0)+IF(ISNUMBER(H453),ROUND(25*(100-H453)/100,1),12.5)+14,0)</f>
        <v/>
      </c>
      <c r="O453">
        <f>ROUND(N453*M453/100,0)</f>
        <v/>
      </c>
      <c r="P453" s="5" t="inlineStr">
        <is>
          <t>Measured variant of the tool task</t>
        </is>
      </c>
      <c r="Q453" s="5" t="inlineStr">
        <is>
          <t>None detected</t>
        </is>
      </c>
    </row>
    <row r="454">
      <c r="A454" s="3" t="inlineStr">
        <is>
          <t>https://codesommet.com/tools/og-preview-generator</t>
        </is>
      </c>
      <c r="B454" s="5" t="inlineStr">
        <is>
          <t>Aperçu Open Graph : Testeur Image OG</t>
        </is>
      </c>
      <c r="C454" t="inlineStr">
        <is>
          <t>Morocco</t>
        </is>
      </c>
      <c r="D454" t="inlineStr">
        <is>
          <t>ma</t>
        </is>
      </c>
      <c r="E454" t="inlineStr">
        <is>
          <t>SECONDARY</t>
        </is>
      </c>
      <c r="F454" t="inlineStr">
        <is>
          <t>open graph</t>
        </is>
      </c>
      <c r="G454" t="n">
        <v>20</v>
      </c>
      <c r="H454" t="inlineStr">
        <is>
          <t>NOT AVAILABLE</t>
        </is>
      </c>
      <c r="I454" t="n">
        <v>0</v>
      </c>
      <c r="J454" t="inlineStr">
        <is>
          <t>NOT AVAILABLE</t>
        </is>
      </c>
      <c r="K454" t="inlineStr">
        <is>
          <t>MEASURED</t>
        </is>
      </c>
      <c r="L454" t="inlineStr">
        <is>
          <t>P3</t>
        </is>
      </c>
      <c r="M454" t="n">
        <v>85</v>
      </c>
      <c r="N454">
        <f>ROUND(IF(IF(J454="NOT AVAILABLE","",J454)="",12,IF(OR(ISNUMBER(SEARCH("Transactional",IF(J454="NOT AVAILABLE","",J454))),ISNUMBER(SEARCH("Commercial",IF(J454="NOT AVAILABLE","",J454)))),25,IF(ISNUMBER(SEARCH("Informational",IF(J454="NOT AVAILABLE","",J454))),10,IF(ISNUMBER(SEARCH("Navigational",IF(J454="NOT AVAILABLE","",J454))),0,12))))+IF(ISNUMBER(G454),MIN(30,ROUND(30*LOG10(G454+1)/4,1)),0)+IF(ISNUMBER(H454),ROUND(25*(100-H454)/100,1),12.5)+20,0)</f>
        <v/>
      </c>
      <c r="O454">
        <f>ROUND(N454*M454/100,0)</f>
        <v/>
      </c>
      <c r="P454" s="5" t="inlineStr">
        <is>
          <t>Same query, Moroccan market (separate database, never summed)</t>
        </is>
      </c>
      <c r="Q454" s="5" t="inlineStr">
        <is>
          <t>None detected</t>
        </is>
      </c>
    </row>
    <row r="455">
      <c r="A455" s="3" t="inlineStr">
        <is>
          <t>https://codesommet.com/tools/og-preview-generator</t>
        </is>
      </c>
      <c r="B455" s="5" t="inlineStr">
        <is>
          <t>Aperçu Open Graph : Testeur Image OG</t>
        </is>
      </c>
      <c r="C455" t="inlineStr">
        <is>
          <t>Morocco</t>
        </is>
      </c>
      <c r="D455" t="inlineStr">
        <is>
          <t>ma</t>
        </is>
      </c>
      <c r="E455" t="inlineStr">
        <is>
          <t>SUPPORTING</t>
        </is>
      </c>
      <c r="F455" t="inlineStr">
        <is>
          <t>og image</t>
        </is>
      </c>
      <c r="G455" t="n">
        <v>30</v>
      </c>
      <c r="H455" t="inlineStr">
        <is>
          <t>NOT AVAILABLE</t>
        </is>
      </c>
      <c r="I455" t="n">
        <v>0</v>
      </c>
      <c r="J455" t="inlineStr">
        <is>
          <t>NOT AVAILABLE</t>
        </is>
      </c>
      <c r="K455" t="inlineStr">
        <is>
          <t>MEASURED</t>
        </is>
      </c>
      <c r="L455" t="inlineStr">
        <is>
          <t>P3</t>
        </is>
      </c>
      <c r="M455" t="n">
        <v>65</v>
      </c>
      <c r="N455">
        <f>ROUND(IF(IF(J455="NOT AVAILABLE","",J455)="",12,IF(OR(ISNUMBER(SEARCH("Transactional",IF(J455="NOT AVAILABLE","",J455))),ISNUMBER(SEARCH("Commercial",IF(J455="NOT AVAILABLE","",J455)))),25,IF(ISNUMBER(SEARCH("Informational",IF(J455="NOT AVAILABLE","",J455))),10,IF(ISNUMBER(SEARCH("Navigational",IF(J455="NOT AVAILABLE","",J455))),0,12))))+IF(ISNUMBER(G455),MIN(30,ROUND(30*LOG10(G455+1)/4,1)),0)+IF(ISNUMBER(H455),ROUND(25*(100-H455)/100,1),12.5)+20,0)</f>
        <v/>
      </c>
      <c r="O455">
        <f>ROUND(N455*M455/100,0)</f>
        <v/>
      </c>
      <c r="P455" s="5" t="inlineStr">
        <is>
          <t>Measured variant of the tool task (MA market)</t>
        </is>
      </c>
      <c r="Q455" s="5" t="inlineStr">
        <is>
          <t>None detected</t>
        </is>
      </c>
    </row>
    <row r="456">
      <c r="A456" s="3" t="inlineStr">
        <is>
          <t>https://codesommet.com/tools/og-preview-generator</t>
        </is>
      </c>
      <c r="B456" s="5" t="inlineStr">
        <is>
          <t>Aperçu Open Graph : Testeur Image OG</t>
        </is>
      </c>
      <c r="C456" t="inlineStr">
        <is>
          <t>France</t>
        </is>
      </c>
      <c r="D456" t="inlineStr">
        <is>
          <t>fr</t>
        </is>
      </c>
      <c r="E456" t="inlineStr">
        <is>
          <t>OPTIONAL</t>
        </is>
      </c>
      <c r="F456" t="inlineStr">
        <is>
          <t>aperçu open graph</t>
        </is>
      </c>
      <c r="G456" t="n">
        <v>0</v>
      </c>
      <c r="H456" t="inlineStr">
        <is>
          <t>NOT AVAILABLE</t>
        </is>
      </c>
      <c r="I456" t="n">
        <v>0</v>
      </c>
      <c r="J456" t="inlineStr">
        <is>
          <t>NOT AVAILABLE</t>
        </is>
      </c>
      <c r="K456" t="inlineStr">
        <is>
          <t>MEASURED</t>
        </is>
      </c>
      <c r="L456" t="inlineStr">
        <is>
          <t>P4</t>
        </is>
      </c>
      <c r="M456" t="n">
        <v>45</v>
      </c>
      <c r="N456">
        <f>ROUND(IF(IF(J456="NOT AVAILABLE","",J456)="",12,IF(OR(ISNUMBER(SEARCH("Transactional",IF(J456="NOT AVAILABLE","",J456))),ISNUMBER(SEARCH("Commercial",IF(J456="NOT AVAILABLE","",J456)))),25,IF(ISNUMBER(SEARCH("Informational",IF(J456="NOT AVAILABLE","",J456))),10,IF(ISNUMBER(SEARCH("Navigational",IF(J456="NOT AVAILABLE","",J456))),0,12))))+IF(ISNUMBER(G456),MIN(30,ROUND(30*LOG10(G456+1)/4,1)),0)+IF(ISNUMBER(H456),ROUND(25*(100-H456)/100,1),12.5)+14,0)</f>
        <v/>
      </c>
      <c r="O456">
        <f>ROUND(N456*M456/100,0)</f>
        <v/>
      </c>
      <c r="P456" s="5" t="inlineStr">
        <is>
          <t>Queried - Semrush returned no data or zero volume; usable as natural wording only</t>
        </is>
      </c>
      <c r="Q456" s="5" t="inlineStr">
        <is>
          <t>None detected</t>
        </is>
      </c>
    </row>
    <row r="457">
      <c r="A457" s="3" t="inlineStr">
        <is>
          <t>https://codesommet.com/tools/og-preview-generator</t>
        </is>
      </c>
      <c r="B457" s="5" t="inlineStr">
        <is>
          <t>Aperçu Open Graph : Testeur Image OG</t>
        </is>
      </c>
      <c r="C457" t="inlineStr">
        <is>
          <t>France</t>
        </is>
      </c>
      <c r="D457" t="inlineStr">
        <is>
          <t>fr</t>
        </is>
      </c>
      <c r="E457" t="inlineStr">
        <is>
          <t>NOT RECOMMENDED</t>
        </is>
      </c>
      <c r="F457" t="inlineStr">
        <is>
          <t>facebook debugger</t>
        </is>
      </c>
      <c r="G457" t="n">
        <v>320</v>
      </c>
      <c r="H457" t="n">
        <v>33</v>
      </c>
      <c r="I457" t="n">
        <v>0</v>
      </c>
      <c r="J457" t="inlineStr">
        <is>
          <t>Informational</t>
        </is>
      </c>
      <c r="K457" t="inlineStr">
        <is>
          <t>MEASURED</t>
        </is>
      </c>
      <c r="L457" t="inlineStr">
        <is>
          <t>P4</t>
        </is>
      </c>
      <c r="M457" t="n">
        <v>0</v>
      </c>
      <c r="N457">
        <f>ROUND(IF(IF(J457="NOT AVAILABLE","",J457)="",12,IF(OR(ISNUMBER(SEARCH("Transactional",IF(J457="NOT AVAILABLE","",J457))),ISNUMBER(SEARCH("Commercial",IF(J457="NOT AVAILABLE","",J457)))),25,IF(ISNUMBER(SEARCH("Informational",IF(J457="NOT AVAILABLE","",J457))),10,IF(ISNUMBER(SEARCH("Navigational",IF(J457="NOT AVAILABLE","",J457))),0,12))))+IF(ISNUMBER(G457),MIN(30,ROUND(30*LOG10(G457+1)/4,1)),0)+IF(ISNUMBER(H457),ROUND(25*(100-H457)/100,1),12.5)+14,0)</f>
        <v/>
      </c>
      <c r="O457">
        <f>ROUND(N457*M457/100,0)</f>
        <v/>
      </c>
      <c r="P457" s="5" t="inlineStr">
        <is>
          <t>Navigational to Meta's own tool</t>
        </is>
      </c>
      <c r="Q457" s="5" t="inlineStr">
        <is>
          <t>n/a (not targeted)</t>
        </is>
      </c>
    </row>
    <row r="458">
      <c r="A458" s="3" t="inlineStr">
        <is>
          <t>https://codesommet.com/tools/page-speed-analyzer</t>
        </is>
      </c>
      <c r="B458" s="5" t="inlineStr">
        <is>
          <t>Analyseur de Vitesse de Page Gratuit</t>
        </is>
      </c>
      <c r="C458" t="inlineStr">
        <is>
          <t>France</t>
        </is>
      </c>
      <c r="D458" t="inlineStr">
        <is>
          <t>fr</t>
        </is>
      </c>
      <c r="E458" t="inlineStr">
        <is>
          <t>PRIMARY</t>
        </is>
      </c>
      <c r="F458" t="inlineStr">
        <is>
          <t>test vitesse site web</t>
        </is>
      </c>
      <c r="G458" t="n">
        <v>260</v>
      </c>
      <c r="H458" t="n">
        <v>36</v>
      </c>
      <c r="I458" t="n">
        <v>1.31</v>
      </c>
      <c r="J458" t="inlineStr">
        <is>
          <t>Commercial</t>
        </is>
      </c>
      <c r="K458" t="inlineStr">
        <is>
          <t>MEASURED</t>
        </is>
      </c>
      <c r="L458" t="inlineStr">
        <is>
          <t>P3</t>
        </is>
      </c>
      <c r="M458" t="n">
        <v>100</v>
      </c>
      <c r="N458">
        <f>ROUND(IF(IF(J458="NOT AVAILABLE","",J458)="",12,IF(OR(ISNUMBER(SEARCH("Transactional",IF(J458="NOT AVAILABLE","",J458))),ISNUMBER(SEARCH("Commercial",IF(J458="NOT AVAILABLE","",J458)))),25,IF(ISNUMBER(SEARCH("Informational",IF(J458="NOT AVAILABLE","",J458))),10,IF(ISNUMBER(SEARCH("Navigational",IF(J458="NOT AVAILABLE","",J458))),0,12))))+IF(ISNUMBER(G458),MIN(30,ROUND(30*LOG10(G458+1)/4,1)),0)+IF(ISNUMBER(H458),ROUND(25*(100-H458)/100,1),12.5)+14,0)</f>
        <v/>
      </c>
      <c r="O458">
        <f>ROUND(N458*M458/100,0)</f>
        <v/>
      </c>
      <c r="P458" s="5" t="inlineStr">
        <is>
          <t>Best-fitting measured FR query for the tool task (tools serve the francophone market; FR db used as proxy)</t>
        </is>
      </c>
      <c r="Q458" s="5" t="inlineStr">
        <is>
          <t>None detected</t>
        </is>
      </c>
    </row>
    <row r="459">
      <c r="A459" s="3" t="inlineStr">
        <is>
          <t>https://codesommet.com/tools/page-speed-analyzer</t>
        </is>
      </c>
      <c r="B459" s="5" t="inlineStr">
        <is>
          <t>Analyseur de Vitesse de Page Gratuit</t>
        </is>
      </c>
      <c r="C459" t="inlineStr">
        <is>
          <t>France</t>
        </is>
      </c>
      <c r="D459" t="inlineStr">
        <is>
          <t>fr</t>
        </is>
      </c>
      <c r="E459" t="inlineStr">
        <is>
          <t>SECONDARY</t>
        </is>
      </c>
      <c r="F459" t="inlineStr">
        <is>
          <t>test vitesse site</t>
        </is>
      </c>
      <c r="G459" t="n">
        <v>260</v>
      </c>
      <c r="H459" t="n">
        <v>43</v>
      </c>
      <c r="I459" t="n">
        <v>1.02</v>
      </c>
      <c r="J459" t="inlineStr">
        <is>
          <t>Informational</t>
        </is>
      </c>
      <c r="K459" t="inlineStr">
        <is>
          <t>MEASURED</t>
        </is>
      </c>
      <c r="L459" t="inlineStr">
        <is>
          <t>P3</t>
        </is>
      </c>
      <c r="M459" t="n">
        <v>85</v>
      </c>
      <c r="N459">
        <f>ROUND(IF(IF(J459="NOT AVAILABLE","",J459)="",12,IF(OR(ISNUMBER(SEARCH("Transactional",IF(J459="NOT AVAILABLE","",J459))),ISNUMBER(SEARCH("Commercial",IF(J459="NOT AVAILABLE","",J459)))),25,IF(ISNUMBER(SEARCH("Informational",IF(J459="NOT AVAILABLE","",J459))),10,IF(ISNUMBER(SEARCH("Navigational",IF(J459="NOT AVAILABLE","",J459))),0,12))))+IF(ISNUMBER(G459),MIN(30,ROUND(30*LOG10(G459+1)/4,1)),0)+IF(ISNUMBER(H459),ROUND(25*(100-H459)/100,1),12.5)+14,0)</f>
        <v/>
      </c>
      <c r="O459">
        <f>ROUND(N459*M459/100,0)</f>
        <v/>
      </c>
      <c r="P459" s="5" t="inlineStr">
        <is>
          <t>Measured variant of the tool task</t>
        </is>
      </c>
      <c r="Q459" s="5" t="inlineStr">
        <is>
          <t>None detected</t>
        </is>
      </c>
    </row>
    <row r="460">
      <c r="A460" s="3" t="inlineStr">
        <is>
          <t>https://codesommet.com/tools/page-speed-analyzer</t>
        </is>
      </c>
      <c r="B460" s="5" t="inlineStr">
        <is>
          <t>Analyseur de Vitesse de Page Gratuit</t>
        </is>
      </c>
      <c r="C460" t="inlineStr">
        <is>
          <t>France</t>
        </is>
      </c>
      <c r="D460" t="inlineStr">
        <is>
          <t>fr</t>
        </is>
      </c>
      <c r="E460" t="inlineStr">
        <is>
          <t>SECONDARY</t>
        </is>
      </c>
      <c r="F460" t="inlineStr">
        <is>
          <t>vitesse site web</t>
        </is>
      </c>
      <c r="G460" t="n">
        <v>210</v>
      </c>
      <c r="H460" t="n">
        <v>31</v>
      </c>
      <c r="I460" t="n">
        <v>1.16</v>
      </c>
      <c r="J460" t="inlineStr">
        <is>
          <t>Informational</t>
        </is>
      </c>
      <c r="K460" t="inlineStr">
        <is>
          <t>MEASURED</t>
        </is>
      </c>
      <c r="L460" t="inlineStr">
        <is>
          <t>P3</t>
        </is>
      </c>
      <c r="M460" t="n">
        <v>85</v>
      </c>
      <c r="N460">
        <f>ROUND(IF(IF(J460="NOT AVAILABLE","",J460)="",12,IF(OR(ISNUMBER(SEARCH("Transactional",IF(J460="NOT AVAILABLE","",J460))),ISNUMBER(SEARCH("Commercial",IF(J460="NOT AVAILABLE","",J460)))),25,IF(ISNUMBER(SEARCH("Informational",IF(J460="NOT AVAILABLE","",J460))),10,IF(ISNUMBER(SEARCH("Navigational",IF(J460="NOT AVAILABLE","",J460))),0,12))))+IF(ISNUMBER(G460),MIN(30,ROUND(30*LOG10(G460+1)/4,1)),0)+IF(ISNUMBER(H460),ROUND(25*(100-H460)/100,1),12.5)+14,0)</f>
        <v/>
      </c>
      <c r="O460">
        <f>ROUND(N460*M460/100,0)</f>
        <v/>
      </c>
      <c r="P460" s="5" t="inlineStr">
        <is>
          <t>Measured variant of the tool task</t>
        </is>
      </c>
      <c r="Q460" s="5" t="inlineStr">
        <is>
          <t>None detected</t>
        </is>
      </c>
    </row>
    <row r="461">
      <c r="A461" s="3" t="inlineStr">
        <is>
          <t>https://codesommet.com/tools/page-speed-analyzer</t>
        </is>
      </c>
      <c r="B461" s="5" t="inlineStr">
        <is>
          <t>Analyseur de Vitesse de Page Gratuit</t>
        </is>
      </c>
      <c r="C461" t="inlineStr">
        <is>
          <t>France</t>
        </is>
      </c>
      <c r="D461" t="inlineStr">
        <is>
          <t>fr</t>
        </is>
      </c>
      <c r="E461" t="inlineStr">
        <is>
          <t>SECONDARY</t>
        </is>
      </c>
      <c r="F461" t="inlineStr">
        <is>
          <t>tester vitesse site web</t>
        </is>
      </c>
      <c r="G461" t="n">
        <v>170</v>
      </c>
      <c r="H461" t="n">
        <v>35</v>
      </c>
      <c r="I461" t="n">
        <v>1.07</v>
      </c>
      <c r="J461" t="inlineStr">
        <is>
          <t>Commercial</t>
        </is>
      </c>
      <c r="K461" t="inlineStr">
        <is>
          <t>MEASURED</t>
        </is>
      </c>
      <c r="L461" t="inlineStr">
        <is>
          <t>P3</t>
        </is>
      </c>
      <c r="M461" t="n">
        <v>85</v>
      </c>
      <c r="N461">
        <f>ROUND(IF(IF(J461="NOT AVAILABLE","",J461)="",12,IF(OR(ISNUMBER(SEARCH("Transactional",IF(J461="NOT AVAILABLE","",J461))),ISNUMBER(SEARCH("Commercial",IF(J461="NOT AVAILABLE","",J461)))),25,IF(ISNUMBER(SEARCH("Informational",IF(J461="NOT AVAILABLE","",J461))),10,IF(ISNUMBER(SEARCH("Navigational",IF(J461="NOT AVAILABLE","",J461))),0,12))))+IF(ISNUMBER(G461),MIN(30,ROUND(30*LOG10(G461+1)/4,1)),0)+IF(ISNUMBER(H461),ROUND(25*(100-H461)/100,1),12.5)+14,0)</f>
        <v/>
      </c>
      <c r="O461">
        <f>ROUND(N461*M461/100,0)</f>
        <v/>
      </c>
      <c r="P461" s="5" t="inlineStr">
        <is>
          <t>Measured variant of the tool task</t>
        </is>
      </c>
      <c r="Q461" s="5" t="inlineStr">
        <is>
          <t>None detected</t>
        </is>
      </c>
    </row>
    <row r="462">
      <c r="A462" s="3" t="inlineStr">
        <is>
          <t>https://codesommet.com/tools/page-speed-analyzer</t>
        </is>
      </c>
      <c r="B462" s="5" t="inlineStr">
        <is>
          <t>Analyseur de Vitesse de Page Gratuit</t>
        </is>
      </c>
      <c r="C462" t="inlineStr">
        <is>
          <t>Morocco</t>
        </is>
      </c>
      <c r="D462" t="inlineStr">
        <is>
          <t>ma</t>
        </is>
      </c>
      <c r="E462" t="inlineStr">
        <is>
          <t>SECONDARY</t>
        </is>
      </c>
      <c r="F462" t="inlineStr">
        <is>
          <t>test vitesse site web</t>
        </is>
      </c>
      <c r="G462" t="n">
        <v>20</v>
      </c>
      <c r="H462" t="inlineStr">
        <is>
          <t>NOT AVAILABLE</t>
        </is>
      </c>
      <c r="I462" t="n">
        <v>0</v>
      </c>
      <c r="J462" t="inlineStr">
        <is>
          <t>NOT AVAILABLE</t>
        </is>
      </c>
      <c r="K462" t="inlineStr">
        <is>
          <t>MEASURED</t>
        </is>
      </c>
      <c r="L462" t="inlineStr">
        <is>
          <t>P3</t>
        </is>
      </c>
      <c r="M462" t="n">
        <v>85</v>
      </c>
      <c r="N462">
        <f>ROUND(IF(IF(J462="NOT AVAILABLE","",J462)="",12,IF(OR(ISNUMBER(SEARCH("Transactional",IF(J462="NOT AVAILABLE","",J462))),ISNUMBER(SEARCH("Commercial",IF(J462="NOT AVAILABLE","",J462)))),25,IF(ISNUMBER(SEARCH("Informational",IF(J462="NOT AVAILABLE","",J462))),10,IF(ISNUMBER(SEARCH("Navigational",IF(J462="NOT AVAILABLE","",J462))),0,12))))+IF(ISNUMBER(G462),MIN(30,ROUND(30*LOG10(G462+1)/4,1)),0)+IF(ISNUMBER(H462),ROUND(25*(100-H462)/100,1),12.5)+20,0)</f>
        <v/>
      </c>
      <c r="O462">
        <f>ROUND(N462*M462/100,0)</f>
        <v/>
      </c>
      <c r="P462" s="5" t="inlineStr">
        <is>
          <t>Same query, Moroccan market (separate database, never summed)</t>
        </is>
      </c>
      <c r="Q462" s="5" t="inlineStr">
        <is>
          <t>None detected</t>
        </is>
      </c>
    </row>
    <row r="463">
      <c r="A463" s="3" t="inlineStr">
        <is>
          <t>https://codesommet.com/tools/page-speed-analyzer</t>
        </is>
      </c>
      <c r="B463" s="5" t="inlineStr">
        <is>
          <t>Analyseur de Vitesse de Page Gratuit</t>
        </is>
      </c>
      <c r="C463" t="inlineStr">
        <is>
          <t>Morocco</t>
        </is>
      </c>
      <c r="D463" t="inlineStr">
        <is>
          <t>ma</t>
        </is>
      </c>
      <c r="E463" t="inlineStr">
        <is>
          <t>SUPPORTING</t>
        </is>
      </c>
      <c r="F463" t="inlineStr">
        <is>
          <t>vitesse site web</t>
        </is>
      </c>
      <c r="G463" t="n">
        <v>30</v>
      </c>
      <c r="H463" t="inlineStr">
        <is>
          <t>NOT AVAILABLE</t>
        </is>
      </c>
      <c r="I463" t="n">
        <v>0</v>
      </c>
      <c r="J463" t="inlineStr">
        <is>
          <t>NOT AVAILABLE</t>
        </is>
      </c>
      <c r="K463" t="inlineStr">
        <is>
          <t>MEASURED</t>
        </is>
      </c>
      <c r="L463" t="inlineStr">
        <is>
          <t>P3</t>
        </is>
      </c>
      <c r="M463" t="n">
        <v>65</v>
      </c>
      <c r="N463">
        <f>ROUND(IF(IF(J463="NOT AVAILABLE","",J463)="",12,IF(OR(ISNUMBER(SEARCH("Transactional",IF(J463="NOT AVAILABLE","",J463))),ISNUMBER(SEARCH("Commercial",IF(J463="NOT AVAILABLE","",J463)))),25,IF(ISNUMBER(SEARCH("Informational",IF(J463="NOT AVAILABLE","",J463))),10,IF(ISNUMBER(SEARCH("Navigational",IF(J463="NOT AVAILABLE","",J463))),0,12))))+IF(ISNUMBER(G463),MIN(30,ROUND(30*LOG10(G463+1)/4,1)),0)+IF(ISNUMBER(H463),ROUND(25*(100-H463)/100,1),12.5)+20,0)</f>
        <v/>
      </c>
      <c r="O463">
        <f>ROUND(N463*M463/100,0)</f>
        <v/>
      </c>
      <c r="P463" s="5" t="inlineStr">
        <is>
          <t>Measured variant of the tool task (MA market)</t>
        </is>
      </c>
      <c r="Q463" s="5" t="inlineStr">
        <is>
          <t>None detected</t>
        </is>
      </c>
    </row>
    <row r="464">
      <c r="A464" s="3" t="inlineStr">
        <is>
          <t>https://codesommet.com/tools/page-speed-analyzer</t>
        </is>
      </c>
      <c r="B464" s="5" t="inlineStr">
        <is>
          <t>Analyseur de Vitesse de Page Gratuit</t>
        </is>
      </c>
      <c r="C464" t="inlineStr">
        <is>
          <t>Morocco</t>
        </is>
      </c>
      <c r="D464" t="inlineStr">
        <is>
          <t>ma</t>
        </is>
      </c>
      <c r="E464" t="inlineStr">
        <is>
          <t>SUPPORTING</t>
        </is>
      </c>
      <c r="F464" t="inlineStr">
        <is>
          <t>tester vitesse site web</t>
        </is>
      </c>
      <c r="G464" t="n">
        <v>20</v>
      </c>
      <c r="H464" t="inlineStr">
        <is>
          <t>NOT AVAILABLE</t>
        </is>
      </c>
      <c r="I464" t="n">
        <v>0</v>
      </c>
      <c r="J464" t="inlineStr">
        <is>
          <t>NOT AVAILABLE</t>
        </is>
      </c>
      <c r="K464" t="inlineStr">
        <is>
          <t>MEASURED</t>
        </is>
      </c>
      <c r="L464" t="inlineStr">
        <is>
          <t>P3</t>
        </is>
      </c>
      <c r="M464" t="n">
        <v>65</v>
      </c>
      <c r="N464">
        <f>ROUND(IF(IF(J464="NOT AVAILABLE","",J464)="",12,IF(OR(ISNUMBER(SEARCH("Transactional",IF(J464="NOT AVAILABLE","",J464))),ISNUMBER(SEARCH("Commercial",IF(J464="NOT AVAILABLE","",J464)))),25,IF(ISNUMBER(SEARCH("Informational",IF(J464="NOT AVAILABLE","",J464))),10,IF(ISNUMBER(SEARCH("Navigational",IF(J464="NOT AVAILABLE","",J464))),0,12))))+IF(ISNUMBER(G464),MIN(30,ROUND(30*LOG10(G464+1)/4,1)),0)+IF(ISNUMBER(H464),ROUND(25*(100-H464)/100,1),12.5)+20,0)</f>
        <v/>
      </c>
      <c r="O464">
        <f>ROUND(N464*M464/100,0)</f>
        <v/>
      </c>
      <c r="P464" s="5" t="inlineStr">
        <is>
          <t>Measured variant of the tool task (MA market)</t>
        </is>
      </c>
      <c r="Q464" s="5" t="inlineStr">
        <is>
          <t>None detected</t>
        </is>
      </c>
    </row>
    <row r="465">
      <c r="A465" s="3" t="inlineStr">
        <is>
          <t>https://codesommet.com/tools/page-speed-analyzer</t>
        </is>
      </c>
      <c r="B465" s="5" t="inlineStr">
        <is>
          <t>Analyseur de Vitesse de Page Gratuit</t>
        </is>
      </c>
      <c r="C465" t="inlineStr">
        <is>
          <t>Morocco</t>
        </is>
      </c>
      <c r="D465" t="inlineStr">
        <is>
          <t>ma</t>
        </is>
      </c>
      <c r="E465" t="inlineStr">
        <is>
          <t>SUPPORTING</t>
        </is>
      </c>
      <c r="F465" t="inlineStr">
        <is>
          <t>test vitesse site</t>
        </is>
      </c>
      <c r="G465" t="n">
        <v>10</v>
      </c>
      <c r="H465" t="inlineStr">
        <is>
          <t>NOT AVAILABLE</t>
        </is>
      </c>
      <c r="I465" t="n">
        <v>0</v>
      </c>
      <c r="J465" t="inlineStr">
        <is>
          <t>NOT AVAILABLE</t>
        </is>
      </c>
      <c r="K465" t="inlineStr">
        <is>
          <t>MEASURED</t>
        </is>
      </c>
      <c r="L465" t="inlineStr">
        <is>
          <t>P3</t>
        </is>
      </c>
      <c r="M465" t="n">
        <v>65</v>
      </c>
      <c r="N465">
        <f>ROUND(IF(IF(J465="NOT AVAILABLE","",J465)="",12,IF(OR(ISNUMBER(SEARCH("Transactional",IF(J465="NOT AVAILABLE","",J465))),ISNUMBER(SEARCH("Commercial",IF(J465="NOT AVAILABLE","",J465)))),25,IF(ISNUMBER(SEARCH("Informational",IF(J465="NOT AVAILABLE","",J465))),10,IF(ISNUMBER(SEARCH("Navigational",IF(J465="NOT AVAILABLE","",J465))),0,12))))+IF(ISNUMBER(G465),MIN(30,ROUND(30*LOG10(G465+1)/4,1)),0)+IF(ISNUMBER(H465),ROUND(25*(100-H465)/100,1),12.5)+20,0)</f>
        <v/>
      </c>
      <c r="O465">
        <f>ROUND(N465*M465/100,0)</f>
        <v/>
      </c>
      <c r="P465" s="5" t="inlineStr">
        <is>
          <t>Measured variant of the tool task (MA market)</t>
        </is>
      </c>
      <c r="Q465" s="5" t="inlineStr">
        <is>
          <t>None detected</t>
        </is>
      </c>
    </row>
    <row r="466">
      <c r="A466" s="3" t="inlineStr">
        <is>
          <t>https://codesommet.com/tools/page-speed-analyzer</t>
        </is>
      </c>
      <c r="B466" s="5" t="inlineStr">
        <is>
          <t>Analyseur de Vitesse de Page Gratuit</t>
        </is>
      </c>
      <c r="C466" t="inlineStr">
        <is>
          <t>France</t>
        </is>
      </c>
      <c r="D466" t="inlineStr">
        <is>
          <t>fr</t>
        </is>
      </c>
      <c r="E466" t="inlineStr">
        <is>
          <t>NOT RECOMMENDED</t>
        </is>
      </c>
      <c r="F466" t="inlineStr">
        <is>
          <t>pagespeed</t>
        </is>
      </c>
      <c r="G466" t="n">
        <v>5400</v>
      </c>
      <c r="H466" t="n">
        <v>36</v>
      </c>
      <c r="I466" t="n">
        <v>1.53</v>
      </c>
      <c r="J466" t="inlineStr">
        <is>
          <t>Informational</t>
        </is>
      </c>
      <c r="K466" t="inlineStr">
        <is>
          <t>MEASURED</t>
        </is>
      </c>
      <c r="L466" t="inlineStr">
        <is>
          <t>P4</t>
        </is>
      </c>
      <c r="M466" t="n">
        <v>0</v>
      </c>
      <c r="N466">
        <f>ROUND(IF(IF(J466="NOT AVAILABLE","",J466)="",12,IF(OR(ISNUMBER(SEARCH("Transactional",IF(J466="NOT AVAILABLE","",J466))),ISNUMBER(SEARCH("Commercial",IF(J466="NOT AVAILABLE","",J466)))),25,IF(ISNUMBER(SEARCH("Informational",IF(J466="NOT AVAILABLE","",J466))),10,IF(ISNUMBER(SEARCH("Navigational",IF(J466="NOT AVAILABLE","",J466))),0,12))))+IF(ISNUMBER(G466),MIN(30,ROUND(30*LOG10(G466+1)/4,1)),0)+IF(ISNUMBER(H466),ROUND(25*(100-H466)/100,1),12.5)+14,0)</f>
        <v/>
      </c>
      <c r="O466">
        <f>ROUND(N466*M466/100,0)</f>
        <v/>
      </c>
      <c r="P466" s="5" t="inlineStr">
        <is>
          <t>Navigational to Google PageSpeed Insights</t>
        </is>
      </c>
      <c r="Q466" s="5" t="inlineStr">
        <is>
          <t>n/a (not targeted)</t>
        </is>
      </c>
    </row>
    <row r="467">
      <c r="A467" s="3" t="inlineStr">
        <is>
          <t>https://codesommet.com/tools/qr-code-generator</t>
        </is>
      </c>
      <c r="B467" s="5" t="inlineStr">
        <is>
          <t>Générateur de QR Code Gratuit</t>
        </is>
      </c>
      <c r="C467" t="inlineStr">
        <is>
          <t>France</t>
        </is>
      </c>
      <c r="D467" t="inlineStr">
        <is>
          <t>fr</t>
        </is>
      </c>
      <c r="E467" t="inlineStr">
        <is>
          <t>PRIMARY</t>
        </is>
      </c>
      <c r="F467" t="inlineStr">
        <is>
          <t>générateur qr code</t>
        </is>
      </c>
      <c r="G467" t="n">
        <v>4400</v>
      </c>
      <c r="H467" t="n">
        <v>44</v>
      </c>
      <c r="I467" t="n">
        <v>0.48</v>
      </c>
      <c r="J467" t="inlineStr">
        <is>
          <t>Informational</t>
        </is>
      </c>
      <c r="K467" t="inlineStr">
        <is>
          <t>MEASURED</t>
        </is>
      </c>
      <c r="L467" t="inlineStr">
        <is>
          <t>P3</t>
        </is>
      </c>
      <c r="M467" t="n">
        <v>100</v>
      </c>
      <c r="N467">
        <f>ROUND(IF(IF(J467="NOT AVAILABLE","",J467)="",12,IF(OR(ISNUMBER(SEARCH("Transactional",IF(J467="NOT AVAILABLE","",J467))),ISNUMBER(SEARCH("Commercial",IF(J467="NOT AVAILABLE","",J467)))),25,IF(ISNUMBER(SEARCH("Informational",IF(J467="NOT AVAILABLE","",J467))),10,IF(ISNUMBER(SEARCH("Navigational",IF(J467="NOT AVAILABLE","",J467))),0,12))))+IF(ISNUMBER(G467),MIN(30,ROUND(30*LOG10(G467+1)/4,1)),0)+IF(ISNUMBER(H467),ROUND(25*(100-H467)/100,1),12.5)+14,0)</f>
        <v/>
      </c>
      <c r="O467">
        <f>ROUND(N467*M467/100,0)</f>
        <v/>
      </c>
      <c r="P467" s="5" t="inlineStr">
        <is>
          <t>Best-fitting measured FR query for the tool task (tools serve the francophone market; FR db used as proxy)</t>
        </is>
      </c>
      <c r="Q467" s="5" t="inlineStr">
        <is>
          <t>None detected</t>
        </is>
      </c>
    </row>
    <row r="468">
      <c r="A468" s="3" t="inlineStr">
        <is>
          <t>https://codesommet.com/tools/qr-code-generator</t>
        </is>
      </c>
      <c r="B468" s="5" t="inlineStr">
        <is>
          <t>Générateur de QR Code Gratuit</t>
        </is>
      </c>
      <c r="C468" t="inlineStr">
        <is>
          <t>France</t>
        </is>
      </c>
      <c r="D468" t="inlineStr">
        <is>
          <t>fr</t>
        </is>
      </c>
      <c r="E468" t="inlineStr">
        <is>
          <t>SECONDARY</t>
        </is>
      </c>
      <c r="F468" t="inlineStr">
        <is>
          <t>qr code gratuit</t>
        </is>
      </c>
      <c r="G468" t="n">
        <v>40500</v>
      </c>
      <c r="H468" t="n">
        <v>55</v>
      </c>
      <c r="I468" t="n">
        <v>0.39</v>
      </c>
      <c r="J468" t="inlineStr">
        <is>
          <t>Informational</t>
        </is>
      </c>
      <c r="K468" t="inlineStr">
        <is>
          <t>MEASURED</t>
        </is>
      </c>
      <c r="L468" t="inlineStr">
        <is>
          <t>P3</t>
        </is>
      </c>
      <c r="M468" t="n">
        <v>85</v>
      </c>
      <c r="N468">
        <f>ROUND(IF(IF(J468="NOT AVAILABLE","",J468)="",12,IF(OR(ISNUMBER(SEARCH("Transactional",IF(J468="NOT AVAILABLE","",J468))),ISNUMBER(SEARCH("Commercial",IF(J468="NOT AVAILABLE","",J468)))),25,IF(ISNUMBER(SEARCH("Informational",IF(J468="NOT AVAILABLE","",J468))),10,IF(ISNUMBER(SEARCH("Navigational",IF(J468="NOT AVAILABLE","",J468))),0,12))))+IF(ISNUMBER(G468),MIN(30,ROUND(30*LOG10(G468+1)/4,1)),0)+IF(ISNUMBER(H468),ROUND(25*(100-H468)/100,1),12.5)+14,0)</f>
        <v/>
      </c>
      <c r="O468">
        <f>ROUND(N468*M468/100,0)</f>
        <v/>
      </c>
      <c r="P468" s="5" t="inlineStr">
        <is>
          <t>Measured variant of the tool task</t>
        </is>
      </c>
      <c r="Q468" s="5" t="inlineStr">
        <is>
          <t>None detected</t>
        </is>
      </c>
    </row>
    <row r="469">
      <c r="A469" s="3" t="inlineStr">
        <is>
          <t>https://codesommet.com/tools/qr-code-generator</t>
        </is>
      </c>
      <c r="B469" s="5" t="inlineStr">
        <is>
          <t>Générateur de QR Code Gratuit</t>
        </is>
      </c>
      <c r="C469" t="inlineStr">
        <is>
          <t>France</t>
        </is>
      </c>
      <c r="D469" t="inlineStr">
        <is>
          <t>fr</t>
        </is>
      </c>
      <c r="E469" t="inlineStr">
        <is>
          <t>SECONDARY</t>
        </is>
      </c>
      <c r="F469" t="inlineStr">
        <is>
          <t>générer qr code</t>
        </is>
      </c>
      <c r="G469" t="n">
        <v>5400</v>
      </c>
      <c r="H469" t="n">
        <v>56</v>
      </c>
      <c r="I469" t="n">
        <v>0.53</v>
      </c>
      <c r="J469" t="inlineStr">
        <is>
          <t>Informational</t>
        </is>
      </c>
      <c r="K469" t="inlineStr">
        <is>
          <t>MEASURED</t>
        </is>
      </c>
      <c r="L469" t="inlineStr">
        <is>
          <t>P3</t>
        </is>
      </c>
      <c r="M469" t="n">
        <v>85</v>
      </c>
      <c r="N469">
        <f>ROUND(IF(IF(J469="NOT AVAILABLE","",J469)="",12,IF(OR(ISNUMBER(SEARCH("Transactional",IF(J469="NOT AVAILABLE","",J469))),ISNUMBER(SEARCH("Commercial",IF(J469="NOT AVAILABLE","",J469)))),25,IF(ISNUMBER(SEARCH("Informational",IF(J469="NOT AVAILABLE","",J469))),10,IF(ISNUMBER(SEARCH("Navigational",IF(J469="NOT AVAILABLE","",J469))),0,12))))+IF(ISNUMBER(G469),MIN(30,ROUND(30*LOG10(G469+1)/4,1)),0)+IF(ISNUMBER(H469),ROUND(25*(100-H469)/100,1),12.5)+14,0)</f>
        <v/>
      </c>
      <c r="O469">
        <f>ROUND(N469*M469/100,0)</f>
        <v/>
      </c>
      <c r="P469" s="5" t="inlineStr">
        <is>
          <t>Measured variant of the tool task</t>
        </is>
      </c>
      <c r="Q469" s="5" t="inlineStr">
        <is>
          <t>None detected</t>
        </is>
      </c>
    </row>
    <row r="470">
      <c r="A470" s="3" t="inlineStr">
        <is>
          <t>https://codesommet.com/tools/qr-code-generator</t>
        </is>
      </c>
      <c r="B470" s="5" t="inlineStr">
        <is>
          <t>Générateur de QR Code Gratuit</t>
        </is>
      </c>
      <c r="C470" t="inlineStr">
        <is>
          <t>France</t>
        </is>
      </c>
      <c r="D470" t="inlineStr">
        <is>
          <t>fr</t>
        </is>
      </c>
      <c r="E470" t="inlineStr">
        <is>
          <t>SECONDARY</t>
        </is>
      </c>
      <c r="F470" t="inlineStr">
        <is>
          <t>créer qr code</t>
        </is>
      </c>
      <c r="G470" t="n">
        <v>3600</v>
      </c>
      <c r="H470" t="n">
        <v>37</v>
      </c>
      <c r="I470" t="n">
        <v>0.46</v>
      </c>
      <c r="J470" t="inlineStr">
        <is>
          <t>Informational</t>
        </is>
      </c>
      <c r="K470" t="inlineStr">
        <is>
          <t>MEASURED</t>
        </is>
      </c>
      <c r="L470" t="inlineStr">
        <is>
          <t>P3</t>
        </is>
      </c>
      <c r="M470" t="n">
        <v>85</v>
      </c>
      <c r="N470">
        <f>ROUND(IF(IF(J470="NOT AVAILABLE","",J470)="",12,IF(OR(ISNUMBER(SEARCH("Transactional",IF(J470="NOT AVAILABLE","",J470))),ISNUMBER(SEARCH("Commercial",IF(J470="NOT AVAILABLE","",J470)))),25,IF(ISNUMBER(SEARCH("Informational",IF(J470="NOT AVAILABLE","",J470))),10,IF(ISNUMBER(SEARCH("Navigational",IF(J470="NOT AVAILABLE","",J470))),0,12))))+IF(ISNUMBER(G470),MIN(30,ROUND(30*LOG10(G470+1)/4,1)),0)+IF(ISNUMBER(H470),ROUND(25*(100-H470)/100,1),12.5)+14,0)</f>
        <v/>
      </c>
      <c r="O470">
        <f>ROUND(N470*M470/100,0)</f>
        <v/>
      </c>
      <c r="P470" s="5" t="inlineStr">
        <is>
          <t>Measured variant of the tool task</t>
        </is>
      </c>
      <c r="Q470" s="5" t="inlineStr">
        <is>
          <t>None detected</t>
        </is>
      </c>
    </row>
    <row r="471">
      <c r="A471" s="3" t="inlineStr">
        <is>
          <t>https://codesommet.com/tools/qr-code-generator</t>
        </is>
      </c>
      <c r="B471" s="5" t="inlineStr">
        <is>
          <t>Générateur de QR Code Gratuit</t>
        </is>
      </c>
      <c r="C471" t="inlineStr">
        <is>
          <t>Morocco</t>
        </is>
      </c>
      <c r="D471" t="inlineStr">
        <is>
          <t>ma</t>
        </is>
      </c>
      <c r="E471" t="inlineStr">
        <is>
          <t>SECONDARY</t>
        </is>
      </c>
      <c r="F471" t="inlineStr">
        <is>
          <t>générateur qr code</t>
        </is>
      </c>
      <c r="G471" t="n">
        <v>210</v>
      </c>
      <c r="H471" t="inlineStr">
        <is>
          <t>NOT AVAILABLE</t>
        </is>
      </c>
      <c r="I471" t="n">
        <v>0.32</v>
      </c>
      <c r="J471" t="inlineStr">
        <is>
          <t>NOT AVAILABLE</t>
        </is>
      </c>
      <c r="K471" t="inlineStr">
        <is>
          <t>MEASURED</t>
        </is>
      </c>
      <c r="L471" t="inlineStr">
        <is>
          <t>P3</t>
        </is>
      </c>
      <c r="M471" t="n">
        <v>85</v>
      </c>
      <c r="N471">
        <f>ROUND(IF(IF(J471="NOT AVAILABLE","",J471)="",12,IF(OR(ISNUMBER(SEARCH("Transactional",IF(J471="NOT AVAILABLE","",J471))),ISNUMBER(SEARCH("Commercial",IF(J471="NOT AVAILABLE","",J471)))),25,IF(ISNUMBER(SEARCH("Informational",IF(J471="NOT AVAILABLE","",J471))),10,IF(ISNUMBER(SEARCH("Navigational",IF(J471="NOT AVAILABLE","",J471))),0,12))))+IF(ISNUMBER(G471),MIN(30,ROUND(30*LOG10(G471+1)/4,1)),0)+IF(ISNUMBER(H471),ROUND(25*(100-H471)/100,1),12.5)+20,0)</f>
        <v/>
      </c>
      <c r="O471">
        <f>ROUND(N471*M471/100,0)</f>
        <v/>
      </c>
      <c r="P471" s="5" t="inlineStr">
        <is>
          <t>Same query, Moroccan market (separate database, never summed)</t>
        </is>
      </c>
      <c r="Q471" s="5" t="inlineStr">
        <is>
          <t>None detected</t>
        </is>
      </c>
    </row>
    <row r="472">
      <c r="A472" s="3" t="inlineStr">
        <is>
          <t>https://codesommet.com/tools/qr-code-generator</t>
        </is>
      </c>
      <c r="B472" s="5" t="inlineStr">
        <is>
          <t>Générateur de QR Code Gratuit</t>
        </is>
      </c>
      <c r="C472" t="inlineStr">
        <is>
          <t>Morocco</t>
        </is>
      </c>
      <c r="D472" t="inlineStr">
        <is>
          <t>ma</t>
        </is>
      </c>
      <c r="E472" t="inlineStr">
        <is>
          <t>SUPPORTING</t>
        </is>
      </c>
      <c r="F472" t="inlineStr">
        <is>
          <t>qr code gratuit</t>
        </is>
      </c>
      <c r="G472" t="n">
        <v>590</v>
      </c>
      <c r="H472" t="n">
        <v>47</v>
      </c>
      <c r="I472" t="n">
        <v>0.1</v>
      </c>
      <c r="J472" t="inlineStr">
        <is>
          <t>Commercial</t>
        </is>
      </c>
      <c r="K472" t="inlineStr">
        <is>
          <t>MEASURED</t>
        </is>
      </c>
      <c r="L472" t="inlineStr">
        <is>
          <t>P3</t>
        </is>
      </c>
      <c r="M472" t="n">
        <v>65</v>
      </c>
      <c r="N472">
        <f>ROUND(IF(IF(J472="NOT AVAILABLE","",J472)="",12,IF(OR(ISNUMBER(SEARCH("Transactional",IF(J472="NOT AVAILABLE","",J472))),ISNUMBER(SEARCH("Commercial",IF(J472="NOT AVAILABLE","",J472)))),25,IF(ISNUMBER(SEARCH("Informational",IF(J472="NOT AVAILABLE","",J472))),10,IF(ISNUMBER(SEARCH("Navigational",IF(J472="NOT AVAILABLE","",J472))),0,12))))+IF(ISNUMBER(G472),MIN(30,ROUND(30*LOG10(G472+1)/4,1)),0)+IF(ISNUMBER(H472),ROUND(25*(100-H472)/100,1),12.5)+20,0)</f>
        <v/>
      </c>
      <c r="O472">
        <f>ROUND(N472*M472/100,0)</f>
        <v/>
      </c>
      <c r="P472" s="5" t="inlineStr">
        <is>
          <t>Measured variant of the tool task (MA market)</t>
        </is>
      </c>
      <c r="Q472" s="5" t="inlineStr">
        <is>
          <t>None detected</t>
        </is>
      </c>
    </row>
    <row r="473">
      <c r="A473" s="3" t="inlineStr">
        <is>
          <t>https://codesommet.com/tools/qr-code-generator</t>
        </is>
      </c>
      <c r="B473" s="5" t="inlineStr">
        <is>
          <t>Générateur de QR Code Gratuit</t>
        </is>
      </c>
      <c r="C473" t="inlineStr">
        <is>
          <t>Morocco</t>
        </is>
      </c>
      <c r="D473" t="inlineStr">
        <is>
          <t>ma</t>
        </is>
      </c>
      <c r="E473" t="inlineStr">
        <is>
          <t>SUPPORTING</t>
        </is>
      </c>
      <c r="F473" t="inlineStr">
        <is>
          <t>créer qr code</t>
        </is>
      </c>
      <c r="G473" t="n">
        <v>260</v>
      </c>
      <c r="H473" t="inlineStr">
        <is>
          <t>NOT AVAILABLE</t>
        </is>
      </c>
      <c r="I473" t="n">
        <v>0.14</v>
      </c>
      <c r="J473" t="inlineStr">
        <is>
          <t>NOT AVAILABLE</t>
        </is>
      </c>
      <c r="K473" t="inlineStr">
        <is>
          <t>MEASURED</t>
        </is>
      </c>
      <c r="L473" t="inlineStr">
        <is>
          <t>P3</t>
        </is>
      </c>
      <c r="M473" t="n">
        <v>65</v>
      </c>
      <c r="N473">
        <f>ROUND(IF(IF(J473="NOT AVAILABLE","",J473)="",12,IF(OR(ISNUMBER(SEARCH("Transactional",IF(J473="NOT AVAILABLE","",J473))),ISNUMBER(SEARCH("Commercial",IF(J473="NOT AVAILABLE","",J473)))),25,IF(ISNUMBER(SEARCH("Informational",IF(J473="NOT AVAILABLE","",J473))),10,IF(ISNUMBER(SEARCH("Navigational",IF(J473="NOT AVAILABLE","",J473))),0,12))))+IF(ISNUMBER(G473),MIN(30,ROUND(30*LOG10(G473+1)/4,1)),0)+IF(ISNUMBER(H473),ROUND(25*(100-H473)/100,1),12.5)+20,0)</f>
        <v/>
      </c>
      <c r="O473">
        <f>ROUND(N473*M473/100,0)</f>
        <v/>
      </c>
      <c r="P473" s="5" t="inlineStr">
        <is>
          <t>Measured variant of the tool task (MA market)</t>
        </is>
      </c>
      <c r="Q473" s="5" t="inlineStr">
        <is>
          <t>None detected</t>
        </is>
      </c>
    </row>
    <row r="474">
      <c r="A474" s="3" t="inlineStr">
        <is>
          <t>https://codesommet.com/tools/qr-code-generator</t>
        </is>
      </c>
      <c r="B474" s="5" t="inlineStr">
        <is>
          <t>Générateur de QR Code Gratuit</t>
        </is>
      </c>
      <c r="C474" t="inlineStr">
        <is>
          <t>Morocco</t>
        </is>
      </c>
      <c r="D474" t="inlineStr">
        <is>
          <t>ma</t>
        </is>
      </c>
      <c r="E474" t="inlineStr">
        <is>
          <t>SUPPORTING</t>
        </is>
      </c>
      <c r="F474" t="inlineStr">
        <is>
          <t>générer qr code</t>
        </is>
      </c>
      <c r="G474" t="n">
        <v>110</v>
      </c>
      <c r="H474" t="inlineStr">
        <is>
          <t>NOT AVAILABLE</t>
        </is>
      </c>
      <c r="I474" t="n">
        <v>0.31</v>
      </c>
      <c r="J474" t="inlineStr">
        <is>
          <t>NOT AVAILABLE</t>
        </is>
      </c>
      <c r="K474" t="inlineStr">
        <is>
          <t>MEASURED</t>
        </is>
      </c>
      <c r="L474" t="inlineStr">
        <is>
          <t>P3</t>
        </is>
      </c>
      <c r="M474" t="n">
        <v>65</v>
      </c>
      <c r="N474">
        <f>ROUND(IF(IF(J474="NOT AVAILABLE","",J474)="",12,IF(OR(ISNUMBER(SEARCH("Transactional",IF(J474="NOT AVAILABLE","",J474))),ISNUMBER(SEARCH("Commercial",IF(J474="NOT AVAILABLE","",J474)))),25,IF(ISNUMBER(SEARCH("Informational",IF(J474="NOT AVAILABLE","",J474))),10,IF(ISNUMBER(SEARCH("Navigational",IF(J474="NOT AVAILABLE","",J474))),0,12))))+IF(ISNUMBER(G474),MIN(30,ROUND(30*LOG10(G474+1)/4,1)),0)+IF(ISNUMBER(H474),ROUND(25*(100-H474)/100,1),12.5)+20,0)</f>
        <v/>
      </c>
      <c r="O474">
        <f>ROUND(N474*M474/100,0)</f>
        <v/>
      </c>
      <c r="P474" s="5" t="inlineStr">
        <is>
          <t>Measured variant of the tool task (MA market)</t>
        </is>
      </c>
      <c r="Q474" s="5" t="inlineStr">
        <is>
          <t>None detected</t>
        </is>
      </c>
    </row>
    <row r="475">
      <c r="A475" s="3" t="inlineStr">
        <is>
          <t>https://codesommet.com/tools/qr-code-generator</t>
        </is>
      </c>
      <c r="B475" s="5" t="inlineStr">
        <is>
          <t>Générateur de QR Code Gratuit</t>
        </is>
      </c>
      <c r="C475" t="inlineStr">
        <is>
          <t>France</t>
        </is>
      </c>
      <c r="D475" t="inlineStr">
        <is>
          <t>fr</t>
        </is>
      </c>
      <c r="E475" t="inlineStr">
        <is>
          <t>OPTIONAL</t>
        </is>
      </c>
      <c r="F475" t="inlineStr">
        <is>
          <t>qr code</t>
        </is>
      </c>
      <c r="G475" t="n">
        <v>90500</v>
      </c>
      <c r="H475" t="n">
        <v>60</v>
      </c>
      <c r="I475" t="n">
        <v>0.39</v>
      </c>
      <c r="J475" t="inlineStr">
        <is>
          <t>Informational</t>
        </is>
      </c>
      <c r="K475" t="inlineStr">
        <is>
          <t>MEASURED</t>
        </is>
      </c>
      <c r="L475" t="inlineStr">
        <is>
          <t>P4</t>
        </is>
      </c>
      <c r="M475" t="n">
        <v>45</v>
      </c>
      <c r="N475">
        <f>ROUND(IF(IF(J475="NOT AVAILABLE","",J475)="",12,IF(OR(ISNUMBER(SEARCH("Transactional",IF(J475="NOT AVAILABLE","",J475))),ISNUMBER(SEARCH("Commercial",IF(J475="NOT AVAILABLE","",J475)))),25,IF(ISNUMBER(SEARCH("Informational",IF(J475="NOT AVAILABLE","",J475))),10,IF(ISNUMBER(SEARCH("Navigational",IF(J475="NOT AVAILABLE","",J475))),0,12))))+IF(ISNUMBER(G475),MIN(30,ROUND(30*LOG10(G475+1)/4,1)),0)+IF(ISNUMBER(H475),ROUND(25*(100-H475)/100,1),12.5)+14,0)</f>
        <v/>
      </c>
      <c r="O475">
        <f>ROUND(N475*M475/100,0)</f>
        <v/>
      </c>
      <c r="P475" s="5" t="inlineStr">
        <is>
          <t>Head term 90500, KD 60 - kept OPTIONAL rather than primary</t>
        </is>
      </c>
      <c r="Q475" s="5" t="inlineStr">
        <is>
          <t>None detected</t>
        </is>
      </c>
    </row>
    <row r="476">
      <c r="A476" s="3" t="inlineStr">
        <is>
          <t>https://codesommet.com/tools/readability-analyzer</t>
        </is>
      </c>
      <c r="B476" s="5" t="inlineStr">
        <is>
          <t>Analyseur de Lisibilité de Contenu Gratuit</t>
        </is>
      </c>
      <c r="C476" t="inlineStr">
        <is>
          <t>France</t>
        </is>
      </c>
      <c r="D476" t="inlineStr">
        <is>
          <t>fr</t>
        </is>
      </c>
      <c r="E476" t="inlineStr">
        <is>
          <t>PRIMARY</t>
        </is>
      </c>
      <c r="F476" t="inlineStr">
        <is>
          <t>test lisibilité</t>
        </is>
      </c>
      <c r="G476" t="n">
        <v>20</v>
      </c>
      <c r="H476" t="inlineStr">
        <is>
          <t>NOT AVAILABLE</t>
        </is>
      </c>
      <c r="I476" t="n">
        <v>0</v>
      </c>
      <c r="J476" t="inlineStr">
        <is>
          <t>NOT AVAILABLE</t>
        </is>
      </c>
      <c r="K476" t="inlineStr">
        <is>
          <t>MEASURED</t>
        </is>
      </c>
      <c r="L476" t="inlineStr">
        <is>
          <t>P3</t>
        </is>
      </c>
      <c r="M476" t="n">
        <v>100</v>
      </c>
      <c r="N476">
        <f>ROUND(IF(IF(J476="NOT AVAILABLE","",J476)="",12,IF(OR(ISNUMBER(SEARCH("Transactional",IF(J476="NOT AVAILABLE","",J476))),ISNUMBER(SEARCH("Commercial",IF(J476="NOT AVAILABLE","",J476)))),25,IF(ISNUMBER(SEARCH("Informational",IF(J476="NOT AVAILABLE","",J476))),10,IF(ISNUMBER(SEARCH("Navigational",IF(J476="NOT AVAILABLE","",J476))),0,12))))+IF(ISNUMBER(G476),MIN(30,ROUND(30*LOG10(G476+1)/4,1)),0)+IF(ISNUMBER(H476),ROUND(25*(100-H476)/100,1),12.5)+14,0)</f>
        <v/>
      </c>
      <c r="O476">
        <f>ROUND(N476*M476/100,0)</f>
        <v/>
      </c>
      <c r="P476" s="5" t="inlineStr">
        <is>
          <t>Best-fitting measured FR query for the tool task (tools serve the francophone market; FR db used as proxy)</t>
        </is>
      </c>
      <c r="Q476" s="5" t="inlineStr">
        <is>
          <t>None detected</t>
        </is>
      </c>
    </row>
    <row r="477">
      <c r="A477" s="3" t="inlineStr">
        <is>
          <t>https://codesommet.com/tools/readability-analyzer</t>
        </is>
      </c>
      <c r="B477" s="5" t="inlineStr">
        <is>
          <t>Analyseur de Lisibilité de Contenu Gratuit</t>
        </is>
      </c>
      <c r="C477" t="inlineStr">
        <is>
          <t>France</t>
        </is>
      </c>
      <c r="D477" t="inlineStr">
        <is>
          <t>fr</t>
        </is>
      </c>
      <c r="E477" t="inlineStr">
        <is>
          <t>SECONDARY</t>
        </is>
      </c>
      <c r="F477" t="inlineStr">
        <is>
          <t>flesch</t>
        </is>
      </c>
      <c r="G477" t="n">
        <v>110</v>
      </c>
      <c r="H477" t="n">
        <v>12</v>
      </c>
      <c r="I477" t="n">
        <v>0</v>
      </c>
      <c r="J477" t="inlineStr">
        <is>
          <t>Informational</t>
        </is>
      </c>
      <c r="K477" t="inlineStr">
        <is>
          <t>MEASURED</t>
        </is>
      </c>
      <c r="L477" t="inlineStr">
        <is>
          <t>P3</t>
        </is>
      </c>
      <c r="M477" t="n">
        <v>85</v>
      </c>
      <c r="N477">
        <f>ROUND(IF(IF(J477="NOT AVAILABLE","",J477)="",12,IF(OR(ISNUMBER(SEARCH("Transactional",IF(J477="NOT AVAILABLE","",J477))),ISNUMBER(SEARCH("Commercial",IF(J477="NOT AVAILABLE","",J477)))),25,IF(ISNUMBER(SEARCH("Informational",IF(J477="NOT AVAILABLE","",J477))),10,IF(ISNUMBER(SEARCH("Navigational",IF(J477="NOT AVAILABLE","",J477))),0,12))))+IF(ISNUMBER(G477),MIN(30,ROUND(30*LOG10(G477+1)/4,1)),0)+IF(ISNUMBER(H477),ROUND(25*(100-H477)/100,1),12.5)+14,0)</f>
        <v/>
      </c>
      <c r="O477">
        <f>ROUND(N477*M477/100,0)</f>
        <v/>
      </c>
      <c r="P477" s="5" t="inlineStr">
        <is>
          <t>Measured variant of the tool task</t>
        </is>
      </c>
      <c r="Q477" s="5" t="inlineStr">
        <is>
          <t>None detected</t>
        </is>
      </c>
    </row>
    <row r="478">
      <c r="A478" s="3" t="inlineStr">
        <is>
          <t>https://codesommet.com/tools/readability-analyzer</t>
        </is>
      </c>
      <c r="B478" s="5" t="inlineStr">
        <is>
          <t>Analyseur de Lisibilité de Contenu Gratuit</t>
        </is>
      </c>
      <c r="C478" t="inlineStr">
        <is>
          <t>France</t>
        </is>
      </c>
      <c r="D478" t="inlineStr">
        <is>
          <t>fr</t>
        </is>
      </c>
      <c r="E478" t="inlineStr">
        <is>
          <t>SUPPORTING</t>
        </is>
      </c>
      <c r="F478" t="inlineStr">
        <is>
          <t>score de lisibilité</t>
        </is>
      </c>
      <c r="G478" t="n">
        <v>20</v>
      </c>
      <c r="H478" t="inlineStr">
        <is>
          <t>NOT AVAILABLE</t>
        </is>
      </c>
      <c r="I478" t="n">
        <v>0</v>
      </c>
      <c r="J478" t="inlineStr">
        <is>
          <t>NOT AVAILABLE</t>
        </is>
      </c>
      <c r="K478" t="inlineStr">
        <is>
          <t>MEASURED</t>
        </is>
      </c>
      <c r="L478" t="inlineStr">
        <is>
          <t>P3</t>
        </is>
      </c>
      <c r="M478" t="n">
        <v>65</v>
      </c>
      <c r="N478">
        <f>ROUND(IF(IF(J478="NOT AVAILABLE","",J478)="",12,IF(OR(ISNUMBER(SEARCH("Transactional",IF(J478="NOT AVAILABLE","",J478))),ISNUMBER(SEARCH("Commercial",IF(J478="NOT AVAILABLE","",J478)))),25,IF(ISNUMBER(SEARCH("Informational",IF(J478="NOT AVAILABLE","",J478))),10,IF(ISNUMBER(SEARCH("Navigational",IF(J478="NOT AVAILABLE","",J478))),0,12))))+IF(ISNUMBER(G478),MIN(30,ROUND(30*LOG10(G478+1)/4,1)),0)+IF(ISNUMBER(H478),ROUND(25*(100-H478)/100,1),12.5)+14,0)</f>
        <v/>
      </c>
      <c r="O478">
        <f>ROUND(N478*M478/100,0)</f>
        <v/>
      </c>
      <c r="P478" s="5" t="inlineStr">
        <is>
          <t>Measured variant of the tool task</t>
        </is>
      </c>
      <c r="Q478" s="5" t="inlineStr">
        <is>
          <t>None detected</t>
        </is>
      </c>
    </row>
    <row r="479">
      <c r="A479" s="3" t="inlineStr">
        <is>
          <t>https://codesommet.com/tools/readability-analyzer</t>
        </is>
      </c>
      <c r="B479" s="5" t="inlineStr">
        <is>
          <t>Analyseur de Lisibilité de Contenu Gratuit</t>
        </is>
      </c>
      <c r="C479" t="inlineStr">
        <is>
          <t>France</t>
        </is>
      </c>
      <c r="D479" t="inlineStr">
        <is>
          <t>fr</t>
        </is>
      </c>
      <c r="E479" t="inlineStr">
        <is>
          <t>OPTIONAL</t>
        </is>
      </c>
      <c r="F479" t="inlineStr">
        <is>
          <t>lisibilité texte</t>
        </is>
      </c>
      <c r="G479" t="inlineStr">
        <is>
          <t>NOT AVAILABLE</t>
        </is>
      </c>
      <c r="H479" t="inlineStr">
        <is>
          <t>NOT AVAILABLE</t>
        </is>
      </c>
      <c r="I479" t="inlineStr">
        <is>
          <t>NOT AVAILABLE</t>
        </is>
      </c>
      <c r="J479" t="inlineStr">
        <is>
          <t>NOT AVAILABLE</t>
        </is>
      </c>
      <c r="K479" t="inlineStr">
        <is>
          <t>UNAVAILABLE</t>
        </is>
      </c>
      <c r="L479" t="inlineStr">
        <is>
          <t>P4</t>
        </is>
      </c>
      <c r="M479" t="n">
        <v>45</v>
      </c>
      <c r="N479">
        <f>ROUND(IF(IF(J479="NOT AVAILABLE","",J479)="",12,IF(OR(ISNUMBER(SEARCH("Transactional",IF(J479="NOT AVAILABLE","",J479))),ISNUMBER(SEARCH("Commercial",IF(J479="NOT AVAILABLE","",J479)))),25,IF(ISNUMBER(SEARCH("Informational",IF(J479="NOT AVAILABLE","",J479))),10,IF(ISNUMBER(SEARCH("Navigational",IF(J479="NOT AVAILABLE","",J479))),0,12))))+IF(ISNUMBER(G479),MIN(30,ROUND(30*LOG10(G479+1)/4,1)),0)+IF(ISNUMBER(H479),ROUND(25*(100-H479)/100,1),12.5)+14,0)</f>
        <v/>
      </c>
      <c r="O479">
        <f>ROUND(N479*M479/100,0)</f>
        <v/>
      </c>
      <c r="P479" s="5" t="inlineStr">
        <is>
          <t>Queried - Semrush returned no data or zero volume; usable as natural wording only</t>
        </is>
      </c>
      <c r="Q479" s="5" t="inlineStr">
        <is>
          <t>None detected</t>
        </is>
      </c>
    </row>
    <row r="480">
      <c r="A480" s="3" t="inlineStr">
        <is>
          <t>https://codesommet.com/tools/redirect-checker</t>
        </is>
      </c>
      <c r="B480" s="5" t="inlineStr">
        <is>
          <t>Vérificateur de Redirections 301 et 302</t>
        </is>
      </c>
      <c r="C480" t="inlineStr">
        <is>
          <t>France</t>
        </is>
      </c>
      <c r="D480" t="inlineStr">
        <is>
          <t>fr</t>
        </is>
      </c>
      <c r="E480" t="inlineStr">
        <is>
          <t>PRIMARY</t>
        </is>
      </c>
      <c r="F480" t="inlineStr">
        <is>
          <t>redirect checker</t>
        </is>
      </c>
      <c r="G480" t="n">
        <v>480</v>
      </c>
      <c r="H480" t="n">
        <v>55</v>
      </c>
      <c r="I480" t="n">
        <v>0.61</v>
      </c>
      <c r="J480" t="inlineStr">
        <is>
          <t>Commercial</t>
        </is>
      </c>
      <c r="K480" t="inlineStr">
        <is>
          <t>MEASURED</t>
        </is>
      </c>
      <c r="L480" t="inlineStr">
        <is>
          <t>P3</t>
        </is>
      </c>
      <c r="M480" t="n">
        <v>100</v>
      </c>
      <c r="N480">
        <f>ROUND(IF(IF(J480="NOT AVAILABLE","",J480)="",12,IF(OR(ISNUMBER(SEARCH("Transactional",IF(J480="NOT AVAILABLE","",J480))),ISNUMBER(SEARCH("Commercial",IF(J480="NOT AVAILABLE","",J480)))),25,IF(ISNUMBER(SEARCH("Informational",IF(J480="NOT AVAILABLE","",J480))),10,IF(ISNUMBER(SEARCH("Navigational",IF(J480="NOT AVAILABLE","",J480))),0,12))))+IF(ISNUMBER(G480),MIN(30,ROUND(30*LOG10(G480+1)/4,1)),0)+IF(ISNUMBER(H480),ROUND(25*(100-H480)/100,1),12.5)+14,0)</f>
        <v/>
      </c>
      <c r="O480">
        <f>ROUND(N480*M480/100,0)</f>
        <v/>
      </c>
      <c r="P480" s="5" t="inlineStr">
        <is>
          <t>Best-fitting measured FR query for the tool task (tools serve the francophone market; FR db used as proxy)</t>
        </is>
      </c>
      <c r="Q480" s="5" t="inlineStr">
        <is>
          <t>None detected</t>
        </is>
      </c>
    </row>
    <row r="481">
      <c r="A481" s="3" t="inlineStr">
        <is>
          <t>https://codesommet.com/tools/redirect-checker</t>
        </is>
      </c>
      <c r="B481" s="5" t="inlineStr">
        <is>
          <t>Vérificateur de Redirections 301 et 302</t>
        </is>
      </c>
      <c r="C481" t="inlineStr">
        <is>
          <t>France</t>
        </is>
      </c>
      <c r="D481" t="inlineStr">
        <is>
          <t>fr</t>
        </is>
      </c>
      <c r="E481" t="inlineStr">
        <is>
          <t>SECONDARY</t>
        </is>
      </c>
      <c r="F481" t="inlineStr">
        <is>
          <t>redirection 301</t>
        </is>
      </c>
      <c r="G481" t="n">
        <v>1000</v>
      </c>
      <c r="H481" t="n">
        <v>37</v>
      </c>
      <c r="I481" t="n">
        <v>0.11</v>
      </c>
      <c r="J481" t="inlineStr">
        <is>
          <t>Informational</t>
        </is>
      </c>
      <c r="K481" t="inlineStr">
        <is>
          <t>MEASURED</t>
        </is>
      </c>
      <c r="L481" t="inlineStr">
        <is>
          <t>P3</t>
        </is>
      </c>
      <c r="M481" t="n">
        <v>85</v>
      </c>
      <c r="N481">
        <f>ROUND(IF(IF(J481="NOT AVAILABLE","",J481)="",12,IF(OR(ISNUMBER(SEARCH("Transactional",IF(J481="NOT AVAILABLE","",J481))),ISNUMBER(SEARCH("Commercial",IF(J481="NOT AVAILABLE","",J481)))),25,IF(ISNUMBER(SEARCH("Informational",IF(J481="NOT AVAILABLE","",J481))),10,IF(ISNUMBER(SEARCH("Navigational",IF(J481="NOT AVAILABLE","",J481))),0,12))))+IF(ISNUMBER(G481),MIN(30,ROUND(30*LOG10(G481+1)/4,1)),0)+IF(ISNUMBER(H481),ROUND(25*(100-H481)/100,1),12.5)+14,0)</f>
        <v/>
      </c>
      <c r="O481">
        <f>ROUND(N481*M481/100,0)</f>
        <v/>
      </c>
      <c r="P481" s="5" t="inlineStr">
        <is>
          <t>Measured variant of the tool task</t>
        </is>
      </c>
      <c r="Q481" s="5" t="inlineStr">
        <is>
          <t>None detected</t>
        </is>
      </c>
    </row>
    <row r="482">
      <c r="A482" s="3" t="inlineStr">
        <is>
          <t>https://codesommet.com/tools/redirect-checker</t>
        </is>
      </c>
      <c r="B482" s="5" t="inlineStr">
        <is>
          <t>Vérificateur de Redirections 301 et 302</t>
        </is>
      </c>
      <c r="C482" t="inlineStr">
        <is>
          <t>France</t>
        </is>
      </c>
      <c r="D482" t="inlineStr">
        <is>
          <t>fr</t>
        </is>
      </c>
      <c r="E482" t="inlineStr">
        <is>
          <t>SECONDARY</t>
        </is>
      </c>
      <c r="F482" t="inlineStr">
        <is>
          <t>test redirection</t>
        </is>
      </c>
      <c r="G482" t="n">
        <v>260</v>
      </c>
      <c r="H482" t="n">
        <v>33</v>
      </c>
      <c r="I482" t="n">
        <v>0</v>
      </c>
      <c r="J482" t="inlineStr">
        <is>
          <t>Commercial</t>
        </is>
      </c>
      <c r="K482" t="inlineStr">
        <is>
          <t>MEASURED</t>
        </is>
      </c>
      <c r="L482" t="inlineStr">
        <is>
          <t>P3</t>
        </is>
      </c>
      <c r="M482" t="n">
        <v>85</v>
      </c>
      <c r="N482">
        <f>ROUND(IF(IF(J482="NOT AVAILABLE","",J482)="",12,IF(OR(ISNUMBER(SEARCH("Transactional",IF(J482="NOT AVAILABLE","",J482))),ISNUMBER(SEARCH("Commercial",IF(J482="NOT AVAILABLE","",J482)))),25,IF(ISNUMBER(SEARCH("Informational",IF(J482="NOT AVAILABLE","",J482))),10,IF(ISNUMBER(SEARCH("Navigational",IF(J482="NOT AVAILABLE","",J482))),0,12))))+IF(ISNUMBER(G482),MIN(30,ROUND(30*LOG10(G482+1)/4,1)),0)+IF(ISNUMBER(H482),ROUND(25*(100-H482)/100,1),12.5)+14,0)</f>
        <v/>
      </c>
      <c r="O482">
        <f>ROUND(N482*M482/100,0)</f>
        <v/>
      </c>
      <c r="P482" s="5" t="inlineStr">
        <is>
          <t>Measured variant of the tool task</t>
        </is>
      </c>
      <c r="Q482" s="5" t="inlineStr">
        <is>
          <t>None detected</t>
        </is>
      </c>
    </row>
    <row r="483">
      <c r="A483" s="3" t="inlineStr">
        <is>
          <t>https://codesommet.com/tools/redirect-checker</t>
        </is>
      </c>
      <c r="B483" s="5" t="inlineStr">
        <is>
          <t>Vérificateur de Redirections 301 et 302</t>
        </is>
      </c>
      <c r="C483" t="inlineStr">
        <is>
          <t>Morocco</t>
        </is>
      </c>
      <c r="D483" t="inlineStr">
        <is>
          <t>ma</t>
        </is>
      </c>
      <c r="E483" t="inlineStr">
        <is>
          <t>SECONDARY</t>
        </is>
      </c>
      <c r="F483" t="inlineStr">
        <is>
          <t>redirect checker</t>
        </is>
      </c>
      <c r="G483" t="n">
        <v>170</v>
      </c>
      <c r="H483" t="inlineStr">
        <is>
          <t>NOT AVAILABLE</t>
        </is>
      </c>
      <c r="I483" t="n">
        <v>0</v>
      </c>
      <c r="J483" t="inlineStr">
        <is>
          <t>NOT AVAILABLE</t>
        </is>
      </c>
      <c r="K483" t="inlineStr">
        <is>
          <t>MEASURED</t>
        </is>
      </c>
      <c r="L483" t="inlineStr">
        <is>
          <t>P3</t>
        </is>
      </c>
      <c r="M483" t="n">
        <v>85</v>
      </c>
      <c r="N483">
        <f>ROUND(IF(IF(J483="NOT AVAILABLE","",J483)="",12,IF(OR(ISNUMBER(SEARCH("Transactional",IF(J483="NOT AVAILABLE","",J483))),ISNUMBER(SEARCH("Commercial",IF(J483="NOT AVAILABLE","",J483)))),25,IF(ISNUMBER(SEARCH("Informational",IF(J483="NOT AVAILABLE","",J483))),10,IF(ISNUMBER(SEARCH("Navigational",IF(J483="NOT AVAILABLE","",J483))),0,12))))+IF(ISNUMBER(G483),MIN(30,ROUND(30*LOG10(G483+1)/4,1)),0)+IF(ISNUMBER(H483),ROUND(25*(100-H483)/100,1),12.5)+20,0)</f>
        <v/>
      </c>
      <c r="O483">
        <f>ROUND(N483*M483/100,0)</f>
        <v/>
      </c>
      <c r="P483" s="5" t="inlineStr">
        <is>
          <t>Same query, Moroccan market (separate database, never summed)</t>
        </is>
      </c>
      <c r="Q483" s="5" t="inlineStr">
        <is>
          <t>None detected</t>
        </is>
      </c>
    </row>
    <row r="484">
      <c r="A484" s="3" t="inlineStr">
        <is>
          <t>https://codesommet.com/tools/redirect-checker</t>
        </is>
      </c>
      <c r="B484" s="5" t="inlineStr">
        <is>
          <t>Vérificateur de Redirections 301 et 302</t>
        </is>
      </c>
      <c r="C484" t="inlineStr">
        <is>
          <t>Morocco</t>
        </is>
      </c>
      <c r="D484" t="inlineStr">
        <is>
          <t>ma</t>
        </is>
      </c>
      <c r="E484" t="inlineStr">
        <is>
          <t>SUPPORTING</t>
        </is>
      </c>
      <c r="F484" t="inlineStr">
        <is>
          <t>redirection 301</t>
        </is>
      </c>
      <c r="G484" t="n">
        <v>20</v>
      </c>
      <c r="H484" t="inlineStr">
        <is>
          <t>NOT AVAILABLE</t>
        </is>
      </c>
      <c r="I484" t="n">
        <v>0</v>
      </c>
      <c r="J484" t="inlineStr">
        <is>
          <t>NOT AVAILABLE</t>
        </is>
      </c>
      <c r="K484" t="inlineStr">
        <is>
          <t>MEASURED</t>
        </is>
      </c>
      <c r="L484" t="inlineStr">
        <is>
          <t>P3</t>
        </is>
      </c>
      <c r="M484" t="n">
        <v>65</v>
      </c>
      <c r="N484">
        <f>ROUND(IF(IF(J484="NOT AVAILABLE","",J484)="",12,IF(OR(ISNUMBER(SEARCH("Transactional",IF(J484="NOT AVAILABLE","",J484))),ISNUMBER(SEARCH("Commercial",IF(J484="NOT AVAILABLE","",J484)))),25,IF(ISNUMBER(SEARCH("Informational",IF(J484="NOT AVAILABLE","",J484))),10,IF(ISNUMBER(SEARCH("Navigational",IF(J484="NOT AVAILABLE","",J484))),0,12))))+IF(ISNUMBER(G484),MIN(30,ROUND(30*LOG10(G484+1)/4,1)),0)+IF(ISNUMBER(H484),ROUND(25*(100-H484)/100,1),12.5)+20,0)</f>
        <v/>
      </c>
      <c r="O484">
        <f>ROUND(N484*M484/100,0)</f>
        <v/>
      </c>
      <c r="P484" s="5" t="inlineStr">
        <is>
          <t>Measured variant of the tool task (MA market)</t>
        </is>
      </c>
      <c r="Q484" s="5" t="inlineStr">
        <is>
          <t>None detected</t>
        </is>
      </c>
    </row>
    <row r="485">
      <c r="A485" s="3" t="inlineStr">
        <is>
          <t>https://codesommet.com/tools/redirect-checker</t>
        </is>
      </c>
      <c r="B485" s="5" t="inlineStr">
        <is>
          <t>Vérificateur de Redirections 301 et 302</t>
        </is>
      </c>
      <c r="C485" t="inlineStr">
        <is>
          <t>Morocco</t>
        </is>
      </c>
      <c r="D485" t="inlineStr">
        <is>
          <t>ma</t>
        </is>
      </c>
      <c r="E485" t="inlineStr">
        <is>
          <t>SUPPORTING</t>
        </is>
      </c>
      <c r="F485" t="inlineStr">
        <is>
          <t>test redirection</t>
        </is>
      </c>
      <c r="G485" t="n">
        <v>10</v>
      </c>
      <c r="H485" t="inlineStr">
        <is>
          <t>NOT AVAILABLE</t>
        </is>
      </c>
      <c r="I485" t="n">
        <v>0</v>
      </c>
      <c r="J485" t="inlineStr">
        <is>
          <t>NOT AVAILABLE</t>
        </is>
      </c>
      <c r="K485" t="inlineStr">
        <is>
          <t>MEASURED</t>
        </is>
      </c>
      <c r="L485" t="inlineStr">
        <is>
          <t>P3</t>
        </is>
      </c>
      <c r="M485" t="n">
        <v>65</v>
      </c>
      <c r="N485">
        <f>ROUND(IF(IF(J485="NOT AVAILABLE","",J485)="",12,IF(OR(ISNUMBER(SEARCH("Transactional",IF(J485="NOT AVAILABLE","",J485))),ISNUMBER(SEARCH("Commercial",IF(J485="NOT AVAILABLE","",J485)))),25,IF(ISNUMBER(SEARCH("Informational",IF(J485="NOT AVAILABLE","",J485))),10,IF(ISNUMBER(SEARCH("Navigational",IF(J485="NOT AVAILABLE","",J485))),0,12))))+IF(ISNUMBER(G485),MIN(30,ROUND(30*LOG10(G485+1)/4,1)),0)+IF(ISNUMBER(H485),ROUND(25*(100-H485)/100,1),12.5)+20,0)</f>
        <v/>
      </c>
      <c r="O485">
        <f>ROUND(N485*M485/100,0)</f>
        <v/>
      </c>
      <c r="P485" s="5" t="inlineStr">
        <is>
          <t>Measured variant of the tool task (MA market)</t>
        </is>
      </c>
      <c r="Q485" s="5" t="inlineStr">
        <is>
          <t>None detected</t>
        </is>
      </c>
    </row>
    <row r="486">
      <c r="A486" s="3" t="inlineStr">
        <is>
          <t>https://codesommet.com/tools/redirect-checker</t>
        </is>
      </c>
      <c r="B486" s="5" t="inlineStr">
        <is>
          <t>Vérificateur de Redirections 301 et 302</t>
        </is>
      </c>
      <c r="C486" t="inlineStr">
        <is>
          <t>France</t>
        </is>
      </c>
      <c r="D486" t="inlineStr">
        <is>
          <t>fr</t>
        </is>
      </c>
      <c r="E486" t="inlineStr">
        <is>
          <t>OPTIONAL</t>
        </is>
      </c>
      <c r="F486" t="inlineStr">
        <is>
          <t>vérifier redirection</t>
        </is>
      </c>
      <c r="G486" t="n">
        <v>0</v>
      </c>
      <c r="H486" t="inlineStr">
        <is>
          <t>NOT AVAILABLE</t>
        </is>
      </c>
      <c r="I486" t="n">
        <v>0</v>
      </c>
      <c r="J486" t="inlineStr">
        <is>
          <t>NOT AVAILABLE</t>
        </is>
      </c>
      <c r="K486" t="inlineStr">
        <is>
          <t>MEASURED</t>
        </is>
      </c>
      <c r="L486" t="inlineStr">
        <is>
          <t>P4</t>
        </is>
      </c>
      <c r="M486" t="n">
        <v>45</v>
      </c>
      <c r="N486">
        <f>ROUND(IF(IF(J486="NOT AVAILABLE","",J486)="",12,IF(OR(ISNUMBER(SEARCH("Transactional",IF(J486="NOT AVAILABLE","",J486))),ISNUMBER(SEARCH("Commercial",IF(J486="NOT AVAILABLE","",J486)))),25,IF(ISNUMBER(SEARCH("Informational",IF(J486="NOT AVAILABLE","",J486))),10,IF(ISNUMBER(SEARCH("Navigational",IF(J486="NOT AVAILABLE","",J486))),0,12))))+IF(ISNUMBER(G486),MIN(30,ROUND(30*LOG10(G486+1)/4,1)),0)+IF(ISNUMBER(H486),ROUND(25*(100-H486)/100,1),12.5)+14,0)</f>
        <v/>
      </c>
      <c r="O486">
        <f>ROUND(N486*M486/100,0)</f>
        <v/>
      </c>
      <c r="P486" s="5" t="inlineStr">
        <is>
          <t>Queried - Semrush returned no data or zero volume; usable as natural wording only</t>
        </is>
      </c>
      <c r="Q486" s="5" t="inlineStr">
        <is>
          <t>None detected</t>
        </is>
      </c>
    </row>
    <row r="487">
      <c r="A487" s="3" t="inlineStr">
        <is>
          <t>https://codesommet.com/tools/robots-txt-generator</t>
        </is>
      </c>
      <c r="B487" s="5" t="inlineStr">
        <is>
          <t>Générateur de Fichier Robots.txt Gratuit</t>
        </is>
      </c>
      <c r="C487" t="inlineStr">
        <is>
          <t>France</t>
        </is>
      </c>
      <c r="D487" t="inlineStr">
        <is>
          <t>fr</t>
        </is>
      </c>
      <c r="E487" t="inlineStr">
        <is>
          <t>PRIMARY</t>
        </is>
      </c>
      <c r="F487" t="inlineStr">
        <is>
          <t>robots.txt</t>
        </is>
      </c>
      <c r="G487" t="n">
        <v>1900</v>
      </c>
      <c r="H487" t="n">
        <v>36</v>
      </c>
      <c r="I487" t="n">
        <v>0.88</v>
      </c>
      <c r="J487" t="inlineStr">
        <is>
          <t>Informational</t>
        </is>
      </c>
      <c r="K487" t="inlineStr">
        <is>
          <t>MEASURED</t>
        </is>
      </c>
      <c r="L487" t="inlineStr">
        <is>
          <t>P3</t>
        </is>
      </c>
      <c r="M487" t="n">
        <v>100</v>
      </c>
      <c r="N487">
        <f>ROUND(IF(IF(J487="NOT AVAILABLE","",J487)="",12,IF(OR(ISNUMBER(SEARCH("Transactional",IF(J487="NOT AVAILABLE","",J487))),ISNUMBER(SEARCH("Commercial",IF(J487="NOT AVAILABLE","",J487)))),25,IF(ISNUMBER(SEARCH("Informational",IF(J487="NOT AVAILABLE","",J487))),10,IF(ISNUMBER(SEARCH("Navigational",IF(J487="NOT AVAILABLE","",J487))),0,12))))+IF(ISNUMBER(G487),MIN(30,ROUND(30*LOG10(G487+1)/4,1)),0)+IF(ISNUMBER(H487),ROUND(25*(100-H487)/100,1),12.5)+14,0)</f>
        <v/>
      </c>
      <c r="O487">
        <f>ROUND(N487*M487/100,0)</f>
        <v/>
      </c>
      <c r="P487" s="5" t="inlineStr">
        <is>
          <t>Best-fitting measured FR query for the tool task (tools serve the francophone market; FR db used as proxy)</t>
        </is>
      </c>
      <c r="Q487" s="5" t="inlineStr">
        <is>
          <t>None detected</t>
        </is>
      </c>
    </row>
    <row r="488">
      <c r="A488" s="3" t="inlineStr">
        <is>
          <t>https://codesommet.com/tools/robots-txt-generator</t>
        </is>
      </c>
      <c r="B488" s="5" t="inlineStr">
        <is>
          <t>Générateur de Fichier Robots.txt Gratuit</t>
        </is>
      </c>
      <c r="C488" t="inlineStr">
        <is>
          <t>Morocco</t>
        </is>
      </c>
      <c r="D488" t="inlineStr">
        <is>
          <t>ma</t>
        </is>
      </c>
      <c r="E488" t="inlineStr">
        <is>
          <t>SECONDARY</t>
        </is>
      </c>
      <c r="F488" t="inlineStr">
        <is>
          <t>robots.txt</t>
        </is>
      </c>
      <c r="G488" t="n">
        <v>260</v>
      </c>
      <c r="H488" t="inlineStr">
        <is>
          <t>NOT AVAILABLE</t>
        </is>
      </c>
      <c r="I488" t="n">
        <v>0.34</v>
      </c>
      <c r="J488" t="inlineStr">
        <is>
          <t>NOT AVAILABLE</t>
        </is>
      </c>
      <c r="K488" t="inlineStr">
        <is>
          <t>MEASURED</t>
        </is>
      </c>
      <c r="L488" t="inlineStr">
        <is>
          <t>P3</t>
        </is>
      </c>
      <c r="M488" t="n">
        <v>85</v>
      </c>
      <c r="N488">
        <f>ROUND(IF(IF(J488="NOT AVAILABLE","",J488)="",12,IF(OR(ISNUMBER(SEARCH("Transactional",IF(J488="NOT AVAILABLE","",J488))),ISNUMBER(SEARCH("Commercial",IF(J488="NOT AVAILABLE","",J488)))),25,IF(ISNUMBER(SEARCH("Informational",IF(J488="NOT AVAILABLE","",J488))),10,IF(ISNUMBER(SEARCH("Navigational",IF(J488="NOT AVAILABLE","",J488))),0,12))))+IF(ISNUMBER(G488),MIN(30,ROUND(30*LOG10(G488+1)/4,1)),0)+IF(ISNUMBER(H488),ROUND(25*(100-H488)/100,1),12.5)+20,0)</f>
        <v/>
      </c>
      <c r="O488">
        <f>ROUND(N488*M488/100,0)</f>
        <v/>
      </c>
      <c r="P488" s="5" t="inlineStr">
        <is>
          <t>Same query, Moroccan market (separate database, never summed)</t>
        </is>
      </c>
      <c r="Q488" s="5" t="inlineStr">
        <is>
          <t>None detected</t>
        </is>
      </c>
    </row>
    <row r="489">
      <c r="A489" s="3" t="inlineStr">
        <is>
          <t>https://codesommet.com/tools/robots-txt-generator</t>
        </is>
      </c>
      <c r="B489" s="5" t="inlineStr">
        <is>
          <t>Générateur de Fichier Robots.txt Gratuit</t>
        </is>
      </c>
      <c r="C489" t="inlineStr">
        <is>
          <t>France</t>
        </is>
      </c>
      <c r="D489" t="inlineStr">
        <is>
          <t>fr</t>
        </is>
      </c>
      <c r="E489" t="inlineStr">
        <is>
          <t>SUPPORTING</t>
        </is>
      </c>
      <c r="F489" t="inlineStr">
        <is>
          <t>fichier robots.txt</t>
        </is>
      </c>
      <c r="G489" t="n">
        <v>90</v>
      </c>
      <c r="H489" t="n">
        <v>37</v>
      </c>
      <c r="I489" t="n">
        <v>0.17</v>
      </c>
      <c r="J489" t="inlineStr">
        <is>
          <t>Informational</t>
        </is>
      </c>
      <c r="K489" t="inlineStr">
        <is>
          <t>MEASURED</t>
        </is>
      </c>
      <c r="L489" t="inlineStr">
        <is>
          <t>P3</t>
        </is>
      </c>
      <c r="M489" t="n">
        <v>65</v>
      </c>
      <c r="N489">
        <f>ROUND(IF(IF(J489="NOT AVAILABLE","",J489)="",12,IF(OR(ISNUMBER(SEARCH("Transactional",IF(J489="NOT AVAILABLE","",J489))),ISNUMBER(SEARCH("Commercial",IF(J489="NOT AVAILABLE","",J489)))),25,IF(ISNUMBER(SEARCH("Informational",IF(J489="NOT AVAILABLE","",J489))),10,IF(ISNUMBER(SEARCH("Navigational",IF(J489="NOT AVAILABLE","",J489))),0,12))))+IF(ISNUMBER(G489),MIN(30,ROUND(30*LOG10(G489+1)/4,1)),0)+IF(ISNUMBER(H489),ROUND(25*(100-H489)/100,1),12.5)+14,0)</f>
        <v/>
      </c>
      <c r="O489">
        <f>ROUND(N489*M489/100,0)</f>
        <v/>
      </c>
      <c r="P489" s="5" t="inlineStr">
        <is>
          <t>Measured variant of the tool task</t>
        </is>
      </c>
      <c r="Q489" s="5" t="inlineStr">
        <is>
          <t>None detected</t>
        </is>
      </c>
    </row>
    <row r="490">
      <c r="A490" s="3" t="inlineStr">
        <is>
          <t>https://codesommet.com/tools/robots-txt-generator</t>
        </is>
      </c>
      <c r="B490" s="5" t="inlineStr">
        <is>
          <t>Générateur de Fichier Robots.txt Gratuit</t>
        </is>
      </c>
      <c r="C490" t="inlineStr">
        <is>
          <t>Morocco</t>
        </is>
      </c>
      <c r="D490" t="inlineStr">
        <is>
          <t>ma</t>
        </is>
      </c>
      <c r="E490" t="inlineStr">
        <is>
          <t>SUPPORTING</t>
        </is>
      </c>
      <c r="F490" t="inlineStr">
        <is>
          <t>fichier robots.txt</t>
        </is>
      </c>
      <c r="G490" t="n">
        <v>30</v>
      </c>
      <c r="H490" t="inlineStr">
        <is>
          <t>NOT AVAILABLE</t>
        </is>
      </c>
      <c r="I490" t="n">
        <v>0</v>
      </c>
      <c r="J490" t="inlineStr">
        <is>
          <t>NOT AVAILABLE</t>
        </is>
      </c>
      <c r="K490" t="inlineStr">
        <is>
          <t>MEASURED</t>
        </is>
      </c>
      <c r="L490" t="inlineStr">
        <is>
          <t>P3</t>
        </is>
      </c>
      <c r="M490" t="n">
        <v>65</v>
      </c>
      <c r="N490">
        <f>ROUND(IF(IF(J490="NOT AVAILABLE","",J490)="",12,IF(OR(ISNUMBER(SEARCH("Transactional",IF(J490="NOT AVAILABLE","",J490))),ISNUMBER(SEARCH("Commercial",IF(J490="NOT AVAILABLE","",J490)))),25,IF(ISNUMBER(SEARCH("Informational",IF(J490="NOT AVAILABLE","",J490))),10,IF(ISNUMBER(SEARCH("Navigational",IF(J490="NOT AVAILABLE","",J490))),0,12))))+IF(ISNUMBER(G490),MIN(30,ROUND(30*LOG10(G490+1)/4,1)),0)+IF(ISNUMBER(H490),ROUND(25*(100-H490)/100,1),12.5)+20,0)</f>
        <v/>
      </c>
      <c r="O490">
        <f>ROUND(N490*M490/100,0)</f>
        <v/>
      </c>
      <c r="P490" s="5" t="inlineStr">
        <is>
          <t>Measured variant of the tool task (MA market)</t>
        </is>
      </c>
      <c r="Q490" s="5" t="inlineStr">
        <is>
          <t>None detected</t>
        </is>
      </c>
    </row>
    <row r="491">
      <c r="A491" s="3" t="inlineStr">
        <is>
          <t>https://codesommet.com/tools/robots-txt-generator</t>
        </is>
      </c>
      <c r="B491" s="5" t="inlineStr">
        <is>
          <t>Générateur de Fichier Robots.txt Gratuit</t>
        </is>
      </c>
      <c r="C491" t="inlineStr">
        <is>
          <t>France</t>
        </is>
      </c>
      <c r="D491" t="inlineStr">
        <is>
          <t>fr</t>
        </is>
      </c>
      <c r="E491" t="inlineStr">
        <is>
          <t>OPTIONAL</t>
        </is>
      </c>
      <c r="F491" t="inlineStr">
        <is>
          <t>générateur robots.txt</t>
        </is>
      </c>
      <c r="G491" t="n">
        <v>0</v>
      </c>
      <c r="H491" t="inlineStr">
        <is>
          <t>NOT AVAILABLE</t>
        </is>
      </c>
      <c r="I491" t="n">
        <v>0</v>
      </c>
      <c r="J491" t="inlineStr">
        <is>
          <t>NOT AVAILABLE</t>
        </is>
      </c>
      <c r="K491" t="inlineStr">
        <is>
          <t>MEASURED</t>
        </is>
      </c>
      <c r="L491" t="inlineStr">
        <is>
          <t>P4</t>
        </is>
      </c>
      <c r="M491" t="n">
        <v>45</v>
      </c>
      <c r="N491">
        <f>ROUND(IF(IF(J491="NOT AVAILABLE","",J491)="",12,IF(OR(ISNUMBER(SEARCH("Transactional",IF(J491="NOT AVAILABLE","",J491))),ISNUMBER(SEARCH("Commercial",IF(J491="NOT AVAILABLE","",J491)))),25,IF(ISNUMBER(SEARCH("Informational",IF(J491="NOT AVAILABLE","",J491))),10,IF(ISNUMBER(SEARCH("Navigational",IF(J491="NOT AVAILABLE","",J491))),0,12))))+IF(ISNUMBER(G491),MIN(30,ROUND(30*LOG10(G491+1)/4,1)),0)+IF(ISNUMBER(H491),ROUND(25*(100-H491)/100,1),12.5)+14,0)</f>
        <v/>
      </c>
      <c r="O491">
        <f>ROUND(N491*M491/100,0)</f>
        <v/>
      </c>
      <c r="P491" s="5" t="inlineStr">
        <is>
          <t>Queried - Semrush returned no data or zero volume; usable as natural wording only</t>
        </is>
      </c>
      <c r="Q491" s="5" t="inlineStr">
        <is>
          <t>None detected</t>
        </is>
      </c>
    </row>
    <row r="492">
      <c r="A492" s="3" t="inlineStr">
        <is>
          <t>https://codesommet.com/tools/robots-txt-generator</t>
        </is>
      </c>
      <c r="B492" s="5" t="inlineStr">
        <is>
          <t>Générateur de Fichier Robots.txt Gratuit</t>
        </is>
      </c>
      <c r="C492" t="inlineStr">
        <is>
          <t>France</t>
        </is>
      </c>
      <c r="D492" t="inlineStr">
        <is>
          <t>fr</t>
        </is>
      </c>
      <c r="E492" t="inlineStr">
        <is>
          <t>OPTIONAL</t>
        </is>
      </c>
      <c r="F492" t="inlineStr">
        <is>
          <t>créer robots.txt</t>
        </is>
      </c>
      <c r="G492" t="n">
        <v>0</v>
      </c>
      <c r="H492" t="inlineStr">
        <is>
          <t>NOT AVAILABLE</t>
        </is>
      </c>
      <c r="I492" t="n">
        <v>0</v>
      </c>
      <c r="J492" t="inlineStr">
        <is>
          <t>NOT AVAILABLE</t>
        </is>
      </c>
      <c r="K492" t="inlineStr">
        <is>
          <t>MEASURED</t>
        </is>
      </c>
      <c r="L492" t="inlineStr">
        <is>
          <t>P4</t>
        </is>
      </c>
      <c r="M492" t="n">
        <v>45</v>
      </c>
      <c r="N492">
        <f>ROUND(IF(IF(J492="NOT AVAILABLE","",J492)="",12,IF(OR(ISNUMBER(SEARCH("Transactional",IF(J492="NOT AVAILABLE","",J492))),ISNUMBER(SEARCH("Commercial",IF(J492="NOT AVAILABLE","",J492)))),25,IF(ISNUMBER(SEARCH("Informational",IF(J492="NOT AVAILABLE","",J492))),10,IF(ISNUMBER(SEARCH("Navigational",IF(J492="NOT AVAILABLE","",J492))),0,12))))+IF(ISNUMBER(G492),MIN(30,ROUND(30*LOG10(G492+1)/4,1)),0)+IF(ISNUMBER(H492),ROUND(25*(100-H492)/100,1),12.5)+14,0)</f>
        <v/>
      </c>
      <c r="O492">
        <f>ROUND(N492*M492/100,0)</f>
        <v/>
      </c>
      <c r="P492" s="5" t="inlineStr">
        <is>
          <t>Queried - Semrush returned no data or zero volume; usable as natural wording only</t>
        </is>
      </c>
      <c r="Q492" s="5" t="inlineStr">
        <is>
          <t>None detected</t>
        </is>
      </c>
    </row>
    <row r="493">
      <c r="A493" s="3" t="inlineStr">
        <is>
          <t>https://codesommet.com/tools/robots-txt-tester</t>
        </is>
      </c>
      <c r="B493" s="5" t="inlineStr">
        <is>
          <t>Testeur Robots.txt : URL Bloquée ou Non ?</t>
        </is>
      </c>
      <c r="C493" t="inlineStr">
        <is>
          <t>France</t>
        </is>
      </c>
      <c r="D493" t="inlineStr">
        <is>
          <t>fr</t>
        </is>
      </c>
      <c r="E493" t="inlineStr">
        <is>
          <t>PRIMARY</t>
        </is>
      </c>
      <c r="F493" t="inlineStr">
        <is>
          <t>test robots.txt</t>
        </is>
      </c>
      <c r="G493" t="n">
        <v>260</v>
      </c>
      <c r="H493" t="n">
        <v>20</v>
      </c>
      <c r="I493" t="n">
        <v>1.66</v>
      </c>
      <c r="J493" t="inlineStr">
        <is>
          <t>Informational</t>
        </is>
      </c>
      <c r="K493" t="inlineStr">
        <is>
          <t>MEASURED</t>
        </is>
      </c>
      <c r="L493" t="inlineStr">
        <is>
          <t>P3</t>
        </is>
      </c>
      <c r="M493" t="n">
        <v>100</v>
      </c>
      <c r="N493">
        <f>ROUND(IF(IF(J493="NOT AVAILABLE","",J493)="",12,IF(OR(ISNUMBER(SEARCH("Transactional",IF(J493="NOT AVAILABLE","",J493))),ISNUMBER(SEARCH("Commercial",IF(J493="NOT AVAILABLE","",J493)))),25,IF(ISNUMBER(SEARCH("Informational",IF(J493="NOT AVAILABLE","",J493))),10,IF(ISNUMBER(SEARCH("Navigational",IF(J493="NOT AVAILABLE","",J493))),0,12))))+IF(ISNUMBER(G493),MIN(30,ROUND(30*LOG10(G493+1)/4,1)),0)+IF(ISNUMBER(H493),ROUND(25*(100-H493)/100,1),12.5)+14,0)</f>
        <v/>
      </c>
      <c r="O493">
        <f>ROUND(N493*M493/100,0)</f>
        <v/>
      </c>
      <c r="P493" s="5" t="inlineStr">
        <is>
          <t>Best-fitting measured FR query for the tool task (tools serve the francophone market; FR db used as proxy)</t>
        </is>
      </c>
      <c r="Q493" s="5" t="inlineStr">
        <is>
          <t>None detected</t>
        </is>
      </c>
    </row>
    <row r="494">
      <c r="A494" s="3" t="inlineStr">
        <is>
          <t>https://codesommet.com/tools/robots-txt-tester</t>
        </is>
      </c>
      <c r="B494" s="5" t="inlineStr">
        <is>
          <t>Testeur Robots.txt : URL Bloquée ou Non ?</t>
        </is>
      </c>
      <c r="C494" t="inlineStr">
        <is>
          <t>France</t>
        </is>
      </c>
      <c r="D494" t="inlineStr">
        <is>
          <t>fr</t>
        </is>
      </c>
      <c r="E494" t="inlineStr">
        <is>
          <t>SECONDARY</t>
        </is>
      </c>
      <c r="F494" t="inlineStr">
        <is>
          <t>robots.txt tester</t>
        </is>
      </c>
      <c r="G494" t="n">
        <v>320</v>
      </c>
      <c r="H494" t="n">
        <v>51</v>
      </c>
      <c r="I494" t="n">
        <v>1.66</v>
      </c>
      <c r="J494" t="inlineStr">
        <is>
          <t>Commercial</t>
        </is>
      </c>
      <c r="K494" t="inlineStr">
        <is>
          <t>MEASURED</t>
        </is>
      </c>
      <c r="L494" t="inlineStr">
        <is>
          <t>P3</t>
        </is>
      </c>
      <c r="M494" t="n">
        <v>85</v>
      </c>
      <c r="N494">
        <f>ROUND(IF(IF(J494="NOT AVAILABLE","",J494)="",12,IF(OR(ISNUMBER(SEARCH("Transactional",IF(J494="NOT AVAILABLE","",J494))),ISNUMBER(SEARCH("Commercial",IF(J494="NOT AVAILABLE","",J494)))),25,IF(ISNUMBER(SEARCH("Informational",IF(J494="NOT AVAILABLE","",J494))),10,IF(ISNUMBER(SEARCH("Navigational",IF(J494="NOT AVAILABLE","",J494))),0,12))))+IF(ISNUMBER(G494),MIN(30,ROUND(30*LOG10(G494+1)/4,1)),0)+IF(ISNUMBER(H494),ROUND(25*(100-H494)/100,1),12.5)+14,0)</f>
        <v/>
      </c>
      <c r="O494">
        <f>ROUND(N494*M494/100,0)</f>
        <v/>
      </c>
      <c r="P494" s="5" t="inlineStr">
        <is>
          <t>Measured variant of the tool task</t>
        </is>
      </c>
      <c r="Q494" s="5" t="inlineStr">
        <is>
          <t>None detected</t>
        </is>
      </c>
    </row>
    <row r="495">
      <c r="A495" s="3" t="inlineStr">
        <is>
          <t>https://codesommet.com/tools/robots-txt-tester</t>
        </is>
      </c>
      <c r="B495" s="5" t="inlineStr">
        <is>
          <t>Testeur Robots.txt : URL Bloquée ou Non ?</t>
        </is>
      </c>
      <c r="C495" t="inlineStr">
        <is>
          <t>Morocco</t>
        </is>
      </c>
      <c r="D495" t="inlineStr">
        <is>
          <t>ma</t>
        </is>
      </c>
      <c r="E495" t="inlineStr">
        <is>
          <t>SECONDARY</t>
        </is>
      </c>
      <c r="F495" t="inlineStr">
        <is>
          <t>test robots.txt</t>
        </is>
      </c>
      <c r="G495" t="n">
        <v>20</v>
      </c>
      <c r="H495" t="inlineStr">
        <is>
          <t>NOT AVAILABLE</t>
        </is>
      </c>
      <c r="I495" t="n">
        <v>0</v>
      </c>
      <c r="J495" t="inlineStr">
        <is>
          <t>NOT AVAILABLE</t>
        </is>
      </c>
      <c r="K495" t="inlineStr">
        <is>
          <t>MEASURED</t>
        </is>
      </c>
      <c r="L495" t="inlineStr">
        <is>
          <t>P3</t>
        </is>
      </c>
      <c r="M495" t="n">
        <v>85</v>
      </c>
      <c r="N495">
        <f>ROUND(IF(IF(J495="NOT AVAILABLE","",J495)="",12,IF(OR(ISNUMBER(SEARCH("Transactional",IF(J495="NOT AVAILABLE","",J495))),ISNUMBER(SEARCH("Commercial",IF(J495="NOT AVAILABLE","",J495)))),25,IF(ISNUMBER(SEARCH("Informational",IF(J495="NOT AVAILABLE","",J495))),10,IF(ISNUMBER(SEARCH("Navigational",IF(J495="NOT AVAILABLE","",J495))),0,12))))+IF(ISNUMBER(G495),MIN(30,ROUND(30*LOG10(G495+1)/4,1)),0)+IF(ISNUMBER(H495),ROUND(25*(100-H495)/100,1),12.5)+20,0)</f>
        <v/>
      </c>
      <c r="O495">
        <f>ROUND(N495*M495/100,0)</f>
        <v/>
      </c>
      <c r="P495" s="5" t="inlineStr">
        <is>
          <t>Same query, Moroccan market (separate database, never summed)</t>
        </is>
      </c>
      <c r="Q495" s="5" t="inlineStr">
        <is>
          <t>None detected</t>
        </is>
      </c>
    </row>
    <row r="496">
      <c r="A496" s="3" t="inlineStr">
        <is>
          <t>https://codesommet.com/tools/robots-txt-tester</t>
        </is>
      </c>
      <c r="B496" s="5" t="inlineStr">
        <is>
          <t>Testeur Robots.txt : URL Bloquée ou Non ?</t>
        </is>
      </c>
      <c r="C496" t="inlineStr">
        <is>
          <t>France</t>
        </is>
      </c>
      <c r="D496" t="inlineStr">
        <is>
          <t>fr</t>
        </is>
      </c>
      <c r="E496" t="inlineStr">
        <is>
          <t>SUPPORTING</t>
        </is>
      </c>
      <c r="F496" t="inlineStr">
        <is>
          <t>tester robots.txt</t>
        </is>
      </c>
      <c r="G496" t="n">
        <v>30</v>
      </c>
      <c r="H496" t="n">
        <v>19</v>
      </c>
      <c r="I496" t="n">
        <v>0.8100000000000001</v>
      </c>
      <c r="J496" t="inlineStr">
        <is>
          <t>Informational</t>
        </is>
      </c>
      <c r="K496" t="inlineStr">
        <is>
          <t>MEASURED</t>
        </is>
      </c>
      <c r="L496" t="inlineStr">
        <is>
          <t>P3</t>
        </is>
      </c>
      <c r="M496" t="n">
        <v>65</v>
      </c>
      <c r="N496">
        <f>ROUND(IF(IF(J496="NOT AVAILABLE","",J496)="",12,IF(OR(ISNUMBER(SEARCH("Transactional",IF(J496="NOT AVAILABLE","",J496))),ISNUMBER(SEARCH("Commercial",IF(J496="NOT AVAILABLE","",J496)))),25,IF(ISNUMBER(SEARCH("Informational",IF(J496="NOT AVAILABLE","",J496))),10,IF(ISNUMBER(SEARCH("Navigational",IF(J496="NOT AVAILABLE","",J496))),0,12))))+IF(ISNUMBER(G496),MIN(30,ROUND(30*LOG10(G496+1)/4,1)),0)+IF(ISNUMBER(H496),ROUND(25*(100-H496)/100,1),12.5)+14,0)</f>
        <v/>
      </c>
      <c r="O496">
        <f>ROUND(N496*M496/100,0)</f>
        <v/>
      </c>
      <c r="P496" s="5" t="inlineStr">
        <is>
          <t>Measured variant of the tool task</t>
        </is>
      </c>
      <c r="Q496" s="5" t="inlineStr">
        <is>
          <t>None detected</t>
        </is>
      </c>
    </row>
    <row r="497">
      <c r="A497" s="3" t="inlineStr">
        <is>
          <t>https://codesommet.com/tools/robots-txt-tester</t>
        </is>
      </c>
      <c r="B497" s="5" t="inlineStr">
        <is>
          <t>Testeur Robots.txt : URL Bloquée ou Non ?</t>
        </is>
      </c>
      <c r="C497" t="inlineStr">
        <is>
          <t>Morocco</t>
        </is>
      </c>
      <c r="D497" t="inlineStr">
        <is>
          <t>ma</t>
        </is>
      </c>
      <c r="E497" t="inlineStr">
        <is>
          <t>SUPPORTING</t>
        </is>
      </c>
      <c r="F497" t="inlineStr">
        <is>
          <t>robots.txt tester</t>
        </is>
      </c>
      <c r="G497" t="n">
        <v>20</v>
      </c>
      <c r="H497" t="inlineStr">
        <is>
          <t>NOT AVAILABLE</t>
        </is>
      </c>
      <c r="I497" t="n">
        <v>0</v>
      </c>
      <c r="J497" t="inlineStr">
        <is>
          <t>NOT AVAILABLE</t>
        </is>
      </c>
      <c r="K497" t="inlineStr">
        <is>
          <t>MEASURED</t>
        </is>
      </c>
      <c r="L497" t="inlineStr">
        <is>
          <t>P3</t>
        </is>
      </c>
      <c r="M497" t="n">
        <v>65</v>
      </c>
      <c r="N497">
        <f>ROUND(IF(IF(J497="NOT AVAILABLE","",J497)="",12,IF(OR(ISNUMBER(SEARCH("Transactional",IF(J497="NOT AVAILABLE","",J497))),ISNUMBER(SEARCH("Commercial",IF(J497="NOT AVAILABLE","",J497)))),25,IF(ISNUMBER(SEARCH("Informational",IF(J497="NOT AVAILABLE","",J497))),10,IF(ISNUMBER(SEARCH("Navigational",IF(J497="NOT AVAILABLE","",J497))),0,12))))+IF(ISNUMBER(G497),MIN(30,ROUND(30*LOG10(G497+1)/4,1)),0)+IF(ISNUMBER(H497),ROUND(25*(100-H497)/100,1),12.5)+20,0)</f>
        <v/>
      </c>
      <c r="O497">
        <f>ROUND(N497*M497/100,0)</f>
        <v/>
      </c>
      <c r="P497" s="5" t="inlineStr">
        <is>
          <t>Measured variant of the tool task (MA market)</t>
        </is>
      </c>
      <c r="Q497" s="5" t="inlineStr">
        <is>
          <t>None detected</t>
        </is>
      </c>
    </row>
    <row r="498">
      <c r="A498" s="3" t="inlineStr">
        <is>
          <t>https://codesommet.com/tools/robots-validator</t>
        </is>
      </c>
      <c r="B498" s="5" t="inlineStr">
        <is>
          <t>Validateur Robots.txt Gratuit</t>
        </is>
      </c>
      <c r="C498" t="inlineStr">
        <is>
          <t>France</t>
        </is>
      </c>
      <c r="D498" t="inlineStr">
        <is>
          <t>fr</t>
        </is>
      </c>
      <c r="E498" t="inlineStr">
        <is>
          <t>PRIMARY</t>
        </is>
      </c>
      <c r="F498" t="inlineStr">
        <is>
          <t>valider robots.txt</t>
        </is>
      </c>
      <c r="G498" t="inlineStr">
        <is>
          <t>NOT AVAILABLE</t>
        </is>
      </c>
      <c r="H498" t="inlineStr">
        <is>
          <t>NOT AVAILABLE</t>
        </is>
      </c>
      <c r="I498" t="inlineStr">
        <is>
          <t>NOT AVAILABLE</t>
        </is>
      </c>
      <c r="J498" t="inlineStr">
        <is>
          <t>NOT AVAILABLE</t>
        </is>
      </c>
      <c r="K498" t="inlineStr">
        <is>
          <t>UNAVAILABLE</t>
        </is>
      </c>
      <c r="L498" t="inlineStr">
        <is>
          <t>P3</t>
        </is>
      </c>
      <c r="M498" t="n">
        <v>100</v>
      </c>
      <c r="N498">
        <f>ROUND(IF(IF(J498="NOT AVAILABLE","",J498)="",12,IF(OR(ISNUMBER(SEARCH("Transactional",IF(J498="NOT AVAILABLE","",J498))),ISNUMBER(SEARCH("Commercial",IF(J498="NOT AVAILABLE","",J498)))),25,IF(ISNUMBER(SEARCH("Informational",IF(J498="NOT AVAILABLE","",J498))),10,IF(ISNUMBER(SEARCH("Navigational",IF(J498="NOT AVAILABLE","",J498))),0,12))))+IF(ISNUMBER(G498),MIN(30,ROUND(30*LOG10(G498+1)/4,1)),0)+IF(ISNUMBER(H498),ROUND(25*(100-H498)/100,1),12.5)+14,0)</f>
        <v/>
      </c>
      <c r="O498">
        <f>ROUND(N498*M498/100,0)</f>
        <v/>
      </c>
      <c r="P498" s="5" t="inlineStr">
        <is>
          <t>No measured demand for the tool phrases - long-tail anchor (UNAVAILABLE in Semrush)</t>
        </is>
      </c>
      <c r="Q498" s="5" t="inlineStr">
        <is>
          <t>None detected</t>
        </is>
      </c>
    </row>
    <row r="499">
      <c r="A499" s="3" t="inlineStr">
        <is>
          <t>https://codesommet.com/tools/robots-validator</t>
        </is>
      </c>
      <c r="B499" s="5" t="inlineStr">
        <is>
          <t>Validateur Robots.txt Gratuit</t>
        </is>
      </c>
      <c r="C499" t="inlineStr">
        <is>
          <t>France</t>
        </is>
      </c>
      <c r="D499" t="inlineStr">
        <is>
          <t>fr</t>
        </is>
      </c>
      <c r="E499" t="inlineStr">
        <is>
          <t>OPTIONAL</t>
        </is>
      </c>
      <c r="F499" t="inlineStr">
        <is>
          <t>vérifier robots.txt</t>
        </is>
      </c>
      <c r="G499" t="n">
        <v>0</v>
      </c>
      <c r="H499" t="inlineStr">
        <is>
          <t>NOT AVAILABLE</t>
        </is>
      </c>
      <c r="I499" t="n">
        <v>0</v>
      </c>
      <c r="J499" t="inlineStr">
        <is>
          <t>NOT AVAILABLE</t>
        </is>
      </c>
      <c r="K499" t="inlineStr">
        <is>
          <t>MEASURED</t>
        </is>
      </c>
      <c r="L499" t="inlineStr">
        <is>
          <t>P4</t>
        </is>
      </c>
      <c r="M499" t="n">
        <v>45</v>
      </c>
      <c r="N499">
        <f>ROUND(IF(IF(J499="NOT AVAILABLE","",J499)="",12,IF(OR(ISNUMBER(SEARCH("Transactional",IF(J499="NOT AVAILABLE","",J499))),ISNUMBER(SEARCH("Commercial",IF(J499="NOT AVAILABLE","",J499)))),25,IF(ISNUMBER(SEARCH("Informational",IF(J499="NOT AVAILABLE","",J499))),10,IF(ISNUMBER(SEARCH("Navigational",IF(J499="NOT AVAILABLE","",J499))),0,12))))+IF(ISNUMBER(G499),MIN(30,ROUND(30*LOG10(G499+1)/4,1)),0)+IF(ISNUMBER(H499),ROUND(25*(100-H499)/100,1),12.5)+14,0)</f>
        <v/>
      </c>
      <c r="O499">
        <f>ROUND(N499*M499/100,0)</f>
        <v/>
      </c>
      <c r="P499" s="5" t="inlineStr">
        <is>
          <t>Queried - Semrush returned no data or zero volume; usable as natural wording only</t>
        </is>
      </c>
      <c r="Q499" s="5" t="inlineStr">
        <is>
          <t>None detected</t>
        </is>
      </c>
    </row>
    <row r="500">
      <c r="A500" s="3" t="inlineStr">
        <is>
          <t>https://codesommet.com/tools/robots-validator</t>
        </is>
      </c>
      <c r="B500" s="5" t="inlineStr">
        <is>
          <t>Validateur Robots.txt Gratuit</t>
        </is>
      </c>
      <c r="C500" t="inlineStr">
        <is>
          <t>France</t>
        </is>
      </c>
      <c r="D500" t="inlineStr">
        <is>
          <t>fr</t>
        </is>
      </c>
      <c r="E500" t="inlineStr">
        <is>
          <t>OPTIONAL</t>
        </is>
      </c>
      <c r="F500" t="inlineStr">
        <is>
          <t>validateur robots.txt</t>
        </is>
      </c>
      <c r="G500" t="n">
        <v>0</v>
      </c>
      <c r="H500" t="inlineStr">
        <is>
          <t>NOT AVAILABLE</t>
        </is>
      </c>
      <c r="I500" t="n">
        <v>0</v>
      </c>
      <c r="J500" t="inlineStr">
        <is>
          <t>NOT AVAILABLE</t>
        </is>
      </c>
      <c r="K500" t="inlineStr">
        <is>
          <t>MEASURED</t>
        </is>
      </c>
      <c r="L500" t="inlineStr">
        <is>
          <t>P4</t>
        </is>
      </c>
      <c r="M500" t="n">
        <v>45</v>
      </c>
      <c r="N500">
        <f>ROUND(IF(IF(J500="NOT AVAILABLE","",J500)="",12,IF(OR(ISNUMBER(SEARCH("Transactional",IF(J500="NOT AVAILABLE","",J500))),ISNUMBER(SEARCH("Commercial",IF(J500="NOT AVAILABLE","",J500)))),25,IF(ISNUMBER(SEARCH("Informational",IF(J500="NOT AVAILABLE","",J500))),10,IF(ISNUMBER(SEARCH("Navigational",IF(J500="NOT AVAILABLE","",J500))),0,12))))+IF(ISNUMBER(G500),MIN(30,ROUND(30*LOG10(G500+1)/4,1)),0)+IF(ISNUMBER(H500),ROUND(25*(100-H500)/100,1),12.5)+14,0)</f>
        <v/>
      </c>
      <c r="O500">
        <f>ROUND(N500*M500/100,0)</f>
        <v/>
      </c>
      <c r="P500" s="5" t="inlineStr">
        <is>
          <t>Queried - Semrush returned no data or zero volume; usable as natural wording only</t>
        </is>
      </c>
      <c r="Q500" s="5" t="inlineStr">
        <is>
          <t>None detected</t>
        </is>
      </c>
    </row>
    <row r="501">
      <c r="A501" s="3" t="inlineStr">
        <is>
          <t>https://codesommet.com/tools/schema-generator</t>
        </is>
      </c>
      <c r="B501" s="5" t="inlineStr">
        <is>
          <t>Générateur de Schema Markup JSON-LD</t>
        </is>
      </c>
      <c r="C501" t="inlineStr">
        <is>
          <t>France</t>
        </is>
      </c>
      <c r="D501" t="inlineStr">
        <is>
          <t>fr</t>
        </is>
      </c>
      <c r="E501" t="inlineStr">
        <is>
          <t>PRIMARY</t>
        </is>
      </c>
      <c r="F501" t="inlineStr">
        <is>
          <t>schema markup</t>
        </is>
      </c>
      <c r="G501" t="n">
        <v>210</v>
      </c>
      <c r="H501" t="n">
        <v>12</v>
      </c>
      <c r="I501" t="n">
        <v>1.2</v>
      </c>
      <c r="J501" t="inlineStr">
        <is>
          <t>Informational</t>
        </is>
      </c>
      <c r="K501" t="inlineStr">
        <is>
          <t>MEASURED</t>
        </is>
      </c>
      <c r="L501" t="inlineStr">
        <is>
          <t>P3</t>
        </is>
      </c>
      <c r="M501" t="n">
        <v>100</v>
      </c>
      <c r="N501">
        <f>ROUND(IF(IF(J501="NOT AVAILABLE","",J501)="",12,IF(OR(ISNUMBER(SEARCH("Transactional",IF(J501="NOT AVAILABLE","",J501))),ISNUMBER(SEARCH("Commercial",IF(J501="NOT AVAILABLE","",J501)))),25,IF(ISNUMBER(SEARCH("Informational",IF(J501="NOT AVAILABLE","",J501))),10,IF(ISNUMBER(SEARCH("Navigational",IF(J501="NOT AVAILABLE","",J501))),0,12))))+IF(ISNUMBER(G501),MIN(30,ROUND(30*LOG10(G501+1)/4,1)),0)+IF(ISNUMBER(H501),ROUND(25*(100-H501)/100,1),12.5)+14,0)</f>
        <v/>
      </c>
      <c r="O501">
        <f>ROUND(N501*M501/100,0)</f>
        <v/>
      </c>
      <c r="P501" s="5" t="inlineStr">
        <is>
          <t>Best-fitting measured FR query for the tool task (tools serve the francophone market; FR db used as proxy)</t>
        </is>
      </c>
      <c r="Q501" s="5" t="inlineStr">
        <is>
          <t>None detected</t>
        </is>
      </c>
    </row>
    <row r="502">
      <c r="A502" s="3" t="inlineStr">
        <is>
          <t>https://codesommet.com/tools/schema-generator</t>
        </is>
      </c>
      <c r="B502" s="5" t="inlineStr">
        <is>
          <t>Générateur de Schema Markup JSON-LD</t>
        </is>
      </c>
      <c r="C502" t="inlineStr">
        <is>
          <t>France</t>
        </is>
      </c>
      <c r="D502" t="inlineStr">
        <is>
          <t>fr</t>
        </is>
      </c>
      <c r="E502" t="inlineStr">
        <is>
          <t>SECONDARY</t>
        </is>
      </c>
      <c r="F502" t="inlineStr">
        <is>
          <t>json-ld</t>
        </is>
      </c>
      <c r="G502" t="n">
        <v>1000</v>
      </c>
      <c r="H502" t="n">
        <v>61</v>
      </c>
      <c r="I502" t="n">
        <v>5.03</v>
      </c>
      <c r="J502" t="inlineStr">
        <is>
          <t>Informational</t>
        </is>
      </c>
      <c r="K502" t="inlineStr">
        <is>
          <t>MEASURED</t>
        </is>
      </c>
      <c r="L502" t="inlineStr">
        <is>
          <t>P3</t>
        </is>
      </c>
      <c r="M502" t="n">
        <v>85</v>
      </c>
      <c r="N502">
        <f>ROUND(IF(IF(J502="NOT AVAILABLE","",J502)="",12,IF(OR(ISNUMBER(SEARCH("Transactional",IF(J502="NOT AVAILABLE","",J502))),ISNUMBER(SEARCH("Commercial",IF(J502="NOT AVAILABLE","",J502)))),25,IF(ISNUMBER(SEARCH("Informational",IF(J502="NOT AVAILABLE","",J502))),10,IF(ISNUMBER(SEARCH("Navigational",IF(J502="NOT AVAILABLE","",J502))),0,12))))+IF(ISNUMBER(G502),MIN(30,ROUND(30*LOG10(G502+1)/4,1)),0)+IF(ISNUMBER(H502),ROUND(25*(100-H502)/100,1),12.5)+14,0)</f>
        <v/>
      </c>
      <c r="O502">
        <f>ROUND(N502*M502/100,0)</f>
        <v/>
      </c>
      <c r="P502" s="5" t="inlineStr">
        <is>
          <t>Measured variant of the tool task</t>
        </is>
      </c>
      <c r="Q502" s="5" t="inlineStr">
        <is>
          <t>None detected</t>
        </is>
      </c>
    </row>
    <row r="503">
      <c r="A503" s="3" t="inlineStr">
        <is>
          <t>https://codesommet.com/tools/schema-generator</t>
        </is>
      </c>
      <c r="B503" s="5" t="inlineStr">
        <is>
          <t>Générateur de Schema Markup JSON-LD</t>
        </is>
      </c>
      <c r="C503" t="inlineStr">
        <is>
          <t>France</t>
        </is>
      </c>
      <c r="D503" t="inlineStr">
        <is>
          <t>fr</t>
        </is>
      </c>
      <c r="E503" t="inlineStr">
        <is>
          <t>SECONDARY</t>
        </is>
      </c>
      <c r="F503" t="inlineStr">
        <is>
          <t>données structurées</t>
        </is>
      </c>
      <c r="G503" t="n">
        <v>880</v>
      </c>
      <c r="H503" t="n">
        <v>35</v>
      </c>
      <c r="I503" t="n">
        <v>0</v>
      </c>
      <c r="J503" t="inlineStr">
        <is>
          <t>Informational</t>
        </is>
      </c>
      <c r="K503" t="inlineStr">
        <is>
          <t>MEASURED</t>
        </is>
      </c>
      <c r="L503" t="inlineStr">
        <is>
          <t>P3</t>
        </is>
      </c>
      <c r="M503" t="n">
        <v>85</v>
      </c>
      <c r="N503">
        <f>ROUND(IF(IF(J503="NOT AVAILABLE","",J503)="",12,IF(OR(ISNUMBER(SEARCH("Transactional",IF(J503="NOT AVAILABLE","",J503))),ISNUMBER(SEARCH("Commercial",IF(J503="NOT AVAILABLE","",J503)))),25,IF(ISNUMBER(SEARCH("Informational",IF(J503="NOT AVAILABLE","",J503))),10,IF(ISNUMBER(SEARCH("Navigational",IF(J503="NOT AVAILABLE","",J503))),0,12))))+IF(ISNUMBER(G503),MIN(30,ROUND(30*LOG10(G503+1)/4,1)),0)+IF(ISNUMBER(H503),ROUND(25*(100-H503)/100,1),12.5)+14,0)</f>
        <v/>
      </c>
      <c r="O503">
        <f>ROUND(N503*M503/100,0)</f>
        <v/>
      </c>
      <c r="P503" s="5" t="inlineStr">
        <is>
          <t>Measured variant of the tool task</t>
        </is>
      </c>
      <c r="Q503" s="5" t="inlineStr">
        <is>
          <t>None detected</t>
        </is>
      </c>
    </row>
    <row r="504">
      <c r="A504" s="3" t="inlineStr">
        <is>
          <t>https://codesommet.com/tools/schema-generator</t>
        </is>
      </c>
      <c r="B504" s="5" t="inlineStr">
        <is>
          <t>Générateur de Schema Markup JSON-LD</t>
        </is>
      </c>
      <c r="C504" t="inlineStr">
        <is>
          <t>Morocco</t>
        </is>
      </c>
      <c r="D504" t="inlineStr">
        <is>
          <t>ma</t>
        </is>
      </c>
      <c r="E504" t="inlineStr">
        <is>
          <t>SECONDARY</t>
        </is>
      </c>
      <c r="F504" t="inlineStr">
        <is>
          <t>schema markup</t>
        </is>
      </c>
      <c r="G504" t="n">
        <v>50</v>
      </c>
      <c r="H504" t="inlineStr">
        <is>
          <t>NOT AVAILABLE</t>
        </is>
      </c>
      <c r="I504" t="n">
        <v>0</v>
      </c>
      <c r="J504" t="inlineStr">
        <is>
          <t>NOT AVAILABLE</t>
        </is>
      </c>
      <c r="K504" t="inlineStr">
        <is>
          <t>MEASURED</t>
        </is>
      </c>
      <c r="L504" t="inlineStr">
        <is>
          <t>P3</t>
        </is>
      </c>
      <c r="M504" t="n">
        <v>85</v>
      </c>
      <c r="N504">
        <f>ROUND(IF(IF(J504="NOT AVAILABLE","",J504)="",12,IF(OR(ISNUMBER(SEARCH("Transactional",IF(J504="NOT AVAILABLE","",J504))),ISNUMBER(SEARCH("Commercial",IF(J504="NOT AVAILABLE","",J504)))),25,IF(ISNUMBER(SEARCH("Informational",IF(J504="NOT AVAILABLE","",J504))),10,IF(ISNUMBER(SEARCH("Navigational",IF(J504="NOT AVAILABLE","",J504))),0,12))))+IF(ISNUMBER(G504),MIN(30,ROUND(30*LOG10(G504+1)/4,1)),0)+IF(ISNUMBER(H504),ROUND(25*(100-H504)/100,1),12.5)+20,0)</f>
        <v/>
      </c>
      <c r="O504">
        <f>ROUND(N504*M504/100,0)</f>
        <v/>
      </c>
      <c r="P504" s="5" t="inlineStr">
        <is>
          <t>Same query, Moroccan market (separate database, never summed)</t>
        </is>
      </c>
      <c r="Q504" s="5" t="inlineStr">
        <is>
          <t>None detected</t>
        </is>
      </c>
    </row>
    <row r="505">
      <c r="A505" s="3" t="inlineStr">
        <is>
          <t>https://codesommet.com/tools/schema-generator</t>
        </is>
      </c>
      <c r="B505" s="5" t="inlineStr">
        <is>
          <t>Générateur de Schema Markup JSON-LD</t>
        </is>
      </c>
      <c r="C505" t="inlineStr">
        <is>
          <t>Morocco</t>
        </is>
      </c>
      <c r="D505" t="inlineStr">
        <is>
          <t>ma</t>
        </is>
      </c>
      <c r="E505" t="inlineStr">
        <is>
          <t>SUPPORTING</t>
        </is>
      </c>
      <c r="F505" t="inlineStr">
        <is>
          <t>données structurées</t>
        </is>
      </c>
      <c r="G505" t="n">
        <v>30</v>
      </c>
      <c r="H505" t="inlineStr">
        <is>
          <t>NOT AVAILABLE</t>
        </is>
      </c>
      <c r="I505" t="n">
        <v>0</v>
      </c>
      <c r="J505" t="inlineStr">
        <is>
          <t>NOT AVAILABLE</t>
        </is>
      </c>
      <c r="K505" t="inlineStr">
        <is>
          <t>MEASURED</t>
        </is>
      </c>
      <c r="L505" t="inlineStr">
        <is>
          <t>P3</t>
        </is>
      </c>
      <c r="M505" t="n">
        <v>65</v>
      </c>
      <c r="N505">
        <f>ROUND(IF(IF(J505="NOT AVAILABLE","",J505)="",12,IF(OR(ISNUMBER(SEARCH("Transactional",IF(J505="NOT AVAILABLE","",J505))),ISNUMBER(SEARCH("Commercial",IF(J505="NOT AVAILABLE","",J505)))),25,IF(ISNUMBER(SEARCH("Informational",IF(J505="NOT AVAILABLE","",J505))),10,IF(ISNUMBER(SEARCH("Navigational",IF(J505="NOT AVAILABLE","",J505))),0,12))))+IF(ISNUMBER(G505),MIN(30,ROUND(30*LOG10(G505+1)/4,1)),0)+IF(ISNUMBER(H505),ROUND(25*(100-H505)/100,1),12.5)+20,0)</f>
        <v/>
      </c>
      <c r="O505">
        <f>ROUND(N505*M505/100,0)</f>
        <v/>
      </c>
      <c r="P505" s="5" t="inlineStr">
        <is>
          <t>Measured variant of the tool task (MA market)</t>
        </is>
      </c>
      <c r="Q505" s="5" t="inlineStr">
        <is>
          <t>None detected</t>
        </is>
      </c>
    </row>
    <row r="506">
      <c r="A506" s="3" t="inlineStr">
        <is>
          <t>https://codesommet.com/tools/schema-generator</t>
        </is>
      </c>
      <c r="B506" s="5" t="inlineStr">
        <is>
          <t>Générateur de Schema Markup JSON-LD</t>
        </is>
      </c>
      <c r="C506" t="inlineStr">
        <is>
          <t>Morocco</t>
        </is>
      </c>
      <c r="D506" t="inlineStr">
        <is>
          <t>ma</t>
        </is>
      </c>
      <c r="E506" t="inlineStr">
        <is>
          <t>SUPPORTING</t>
        </is>
      </c>
      <c r="F506" t="inlineStr">
        <is>
          <t>json-ld</t>
        </is>
      </c>
      <c r="G506" t="n">
        <v>10</v>
      </c>
      <c r="H506" t="inlineStr">
        <is>
          <t>NOT AVAILABLE</t>
        </is>
      </c>
      <c r="I506" t="n">
        <v>0</v>
      </c>
      <c r="J506" t="inlineStr">
        <is>
          <t>NOT AVAILABLE</t>
        </is>
      </c>
      <c r="K506" t="inlineStr">
        <is>
          <t>MEASURED</t>
        </is>
      </c>
      <c r="L506" t="inlineStr">
        <is>
          <t>P3</t>
        </is>
      </c>
      <c r="M506" t="n">
        <v>65</v>
      </c>
      <c r="N506">
        <f>ROUND(IF(IF(J506="NOT AVAILABLE","",J506)="",12,IF(OR(ISNUMBER(SEARCH("Transactional",IF(J506="NOT AVAILABLE","",J506))),ISNUMBER(SEARCH("Commercial",IF(J506="NOT AVAILABLE","",J506)))),25,IF(ISNUMBER(SEARCH("Informational",IF(J506="NOT AVAILABLE","",J506))),10,IF(ISNUMBER(SEARCH("Navigational",IF(J506="NOT AVAILABLE","",J506))),0,12))))+IF(ISNUMBER(G506),MIN(30,ROUND(30*LOG10(G506+1)/4,1)),0)+IF(ISNUMBER(H506),ROUND(25*(100-H506)/100,1),12.5)+20,0)</f>
        <v/>
      </c>
      <c r="O506">
        <f>ROUND(N506*M506/100,0)</f>
        <v/>
      </c>
      <c r="P506" s="5" t="inlineStr">
        <is>
          <t>Measured variant of the tool task (MA market)</t>
        </is>
      </c>
      <c r="Q506" s="5" t="inlineStr">
        <is>
          <t>None detected</t>
        </is>
      </c>
    </row>
    <row r="507">
      <c r="A507" s="3" t="inlineStr">
        <is>
          <t>https://codesommet.com/tools/schema-generator</t>
        </is>
      </c>
      <c r="B507" s="5" t="inlineStr">
        <is>
          <t>Générateur de Schema Markup JSON-LD</t>
        </is>
      </c>
      <c r="C507" t="inlineStr">
        <is>
          <t>France</t>
        </is>
      </c>
      <c r="D507" t="inlineStr">
        <is>
          <t>fr</t>
        </is>
      </c>
      <c r="E507" t="inlineStr">
        <is>
          <t>OPTIONAL</t>
        </is>
      </c>
      <c r="F507" t="inlineStr">
        <is>
          <t>générateur schema</t>
        </is>
      </c>
      <c r="G507" t="n">
        <v>0</v>
      </c>
      <c r="H507" t="inlineStr">
        <is>
          <t>NOT AVAILABLE</t>
        </is>
      </c>
      <c r="I507" t="n">
        <v>0</v>
      </c>
      <c r="J507" t="inlineStr">
        <is>
          <t>NOT AVAILABLE</t>
        </is>
      </c>
      <c r="K507" t="inlineStr">
        <is>
          <t>MEASURED</t>
        </is>
      </c>
      <c r="L507" t="inlineStr">
        <is>
          <t>P4</t>
        </is>
      </c>
      <c r="M507" t="n">
        <v>45</v>
      </c>
      <c r="N507">
        <f>ROUND(IF(IF(J507="NOT AVAILABLE","",J507)="",12,IF(OR(ISNUMBER(SEARCH("Transactional",IF(J507="NOT AVAILABLE","",J507))),ISNUMBER(SEARCH("Commercial",IF(J507="NOT AVAILABLE","",J507)))),25,IF(ISNUMBER(SEARCH("Informational",IF(J507="NOT AVAILABLE","",J507))),10,IF(ISNUMBER(SEARCH("Navigational",IF(J507="NOT AVAILABLE","",J507))),0,12))))+IF(ISNUMBER(G507),MIN(30,ROUND(30*LOG10(G507+1)/4,1)),0)+IF(ISNUMBER(H507),ROUND(25*(100-H507)/100,1),12.5)+14,0)</f>
        <v/>
      </c>
      <c r="O507">
        <f>ROUND(N507*M507/100,0)</f>
        <v/>
      </c>
      <c r="P507" s="5" t="inlineStr">
        <is>
          <t>Queried - Semrush returned no data or zero volume; usable as natural wording only</t>
        </is>
      </c>
      <c r="Q507" s="5" t="inlineStr">
        <is>
          <t>None detected</t>
        </is>
      </c>
    </row>
    <row r="508">
      <c r="A508" s="3" t="inlineStr">
        <is>
          <t>https://codesommet.com/tools/schema-generator</t>
        </is>
      </c>
      <c r="B508" s="5" t="inlineStr">
        <is>
          <t>Générateur de Schema Markup JSON-LD</t>
        </is>
      </c>
      <c r="C508" t="inlineStr">
        <is>
          <t>France</t>
        </is>
      </c>
      <c r="D508" t="inlineStr">
        <is>
          <t>fr</t>
        </is>
      </c>
      <c r="E508" t="inlineStr">
        <is>
          <t>OPTIONAL</t>
        </is>
      </c>
      <c r="F508" t="inlineStr">
        <is>
          <t>générateur données structurées</t>
        </is>
      </c>
      <c r="G508" t="inlineStr">
        <is>
          <t>NOT AVAILABLE</t>
        </is>
      </c>
      <c r="H508" t="inlineStr">
        <is>
          <t>NOT AVAILABLE</t>
        </is>
      </c>
      <c r="I508" t="inlineStr">
        <is>
          <t>NOT AVAILABLE</t>
        </is>
      </c>
      <c r="J508" t="inlineStr">
        <is>
          <t>NOT AVAILABLE</t>
        </is>
      </c>
      <c r="K508" t="inlineStr">
        <is>
          <t>UNAVAILABLE</t>
        </is>
      </c>
      <c r="L508" t="inlineStr">
        <is>
          <t>P4</t>
        </is>
      </c>
      <c r="M508" t="n">
        <v>45</v>
      </c>
      <c r="N508">
        <f>ROUND(IF(IF(J508="NOT AVAILABLE","",J508)="",12,IF(OR(ISNUMBER(SEARCH("Transactional",IF(J508="NOT AVAILABLE","",J508))),ISNUMBER(SEARCH("Commercial",IF(J508="NOT AVAILABLE","",J508)))),25,IF(ISNUMBER(SEARCH("Informational",IF(J508="NOT AVAILABLE","",J508))),10,IF(ISNUMBER(SEARCH("Navigational",IF(J508="NOT AVAILABLE","",J508))),0,12))))+IF(ISNUMBER(G508),MIN(30,ROUND(30*LOG10(G508+1)/4,1)),0)+IF(ISNUMBER(H508),ROUND(25*(100-H508)/100,1),12.5)+14,0)</f>
        <v/>
      </c>
      <c r="O508">
        <f>ROUND(N508*M508/100,0)</f>
        <v/>
      </c>
      <c r="P508" s="5" t="inlineStr">
        <is>
          <t>Queried - Semrush returned no data or zero volume; usable as natural wording only</t>
        </is>
      </c>
      <c r="Q508" s="5" t="inlineStr">
        <is>
          <t>None detected</t>
        </is>
      </c>
    </row>
    <row r="509">
      <c r="A509" s="3" t="inlineStr">
        <is>
          <t>https://codesommet.com/tools/security-headers-checker</t>
        </is>
      </c>
      <c r="B509" s="5" t="inlineStr">
        <is>
          <t>Test des En-têtes de Sécurité HTTP (A à F)</t>
        </is>
      </c>
      <c r="C509" t="inlineStr">
        <is>
          <t>France</t>
        </is>
      </c>
      <c r="D509" t="inlineStr">
        <is>
          <t>fr</t>
        </is>
      </c>
      <c r="E509" t="inlineStr">
        <is>
          <t>PRIMARY</t>
        </is>
      </c>
      <c r="F509" t="inlineStr">
        <is>
          <t>security headers</t>
        </is>
      </c>
      <c r="G509" t="n">
        <v>480</v>
      </c>
      <c r="H509" t="n">
        <v>52</v>
      </c>
      <c r="I509" t="n">
        <v>3.22</v>
      </c>
      <c r="J509" t="inlineStr">
        <is>
          <t>Navigational</t>
        </is>
      </c>
      <c r="K509" t="inlineStr">
        <is>
          <t>MEASURED</t>
        </is>
      </c>
      <c r="L509" t="inlineStr">
        <is>
          <t>P3</t>
        </is>
      </c>
      <c r="M509" t="n">
        <v>100</v>
      </c>
      <c r="N509">
        <f>ROUND(IF(IF(J509="NOT AVAILABLE","",J509)="",12,IF(OR(ISNUMBER(SEARCH("Transactional",IF(J509="NOT AVAILABLE","",J509))),ISNUMBER(SEARCH("Commercial",IF(J509="NOT AVAILABLE","",J509)))),25,IF(ISNUMBER(SEARCH("Informational",IF(J509="NOT AVAILABLE","",J509))),10,IF(ISNUMBER(SEARCH("Navigational",IF(J509="NOT AVAILABLE","",J509))),0,12))))+IF(ISNUMBER(G509),MIN(30,ROUND(30*LOG10(G509+1)/4,1)),0)+IF(ISNUMBER(H509),ROUND(25*(100-H509)/100,1),12.5)+14,0)</f>
        <v/>
      </c>
      <c r="O509">
        <f>ROUND(N509*M509/100,0)</f>
        <v/>
      </c>
      <c r="P509" s="5" t="inlineStr">
        <is>
          <t>Best-fitting measured FR query for the tool task (tools serve the francophone market; FR db used as proxy)</t>
        </is>
      </c>
      <c r="Q509" s="5" t="inlineStr">
        <is>
          <t>None detected</t>
        </is>
      </c>
    </row>
    <row r="510">
      <c r="A510" s="3" t="inlineStr">
        <is>
          <t>https://codesommet.com/tools/security-headers-checker</t>
        </is>
      </c>
      <c r="B510" s="5" t="inlineStr">
        <is>
          <t>Test des En-têtes de Sécurité HTTP (A à F)</t>
        </is>
      </c>
      <c r="C510" t="inlineStr">
        <is>
          <t>Morocco</t>
        </is>
      </c>
      <c r="D510" t="inlineStr">
        <is>
          <t>ma</t>
        </is>
      </c>
      <c r="E510" t="inlineStr">
        <is>
          <t>SECONDARY</t>
        </is>
      </c>
      <c r="F510" t="inlineStr">
        <is>
          <t>security headers</t>
        </is>
      </c>
      <c r="G510" t="n">
        <v>50</v>
      </c>
      <c r="H510" t="inlineStr">
        <is>
          <t>NOT AVAILABLE</t>
        </is>
      </c>
      <c r="I510" t="n">
        <v>0</v>
      </c>
      <c r="J510" t="inlineStr">
        <is>
          <t>NOT AVAILABLE</t>
        </is>
      </c>
      <c r="K510" t="inlineStr">
        <is>
          <t>MEASURED</t>
        </is>
      </c>
      <c r="L510" t="inlineStr">
        <is>
          <t>P3</t>
        </is>
      </c>
      <c r="M510" t="n">
        <v>85</v>
      </c>
      <c r="N510">
        <f>ROUND(IF(IF(J510="NOT AVAILABLE","",J510)="",12,IF(OR(ISNUMBER(SEARCH("Transactional",IF(J510="NOT AVAILABLE","",J510))),ISNUMBER(SEARCH("Commercial",IF(J510="NOT AVAILABLE","",J510)))),25,IF(ISNUMBER(SEARCH("Informational",IF(J510="NOT AVAILABLE","",J510))),10,IF(ISNUMBER(SEARCH("Navigational",IF(J510="NOT AVAILABLE","",J510))),0,12))))+IF(ISNUMBER(G510),MIN(30,ROUND(30*LOG10(G510+1)/4,1)),0)+IF(ISNUMBER(H510),ROUND(25*(100-H510)/100,1),12.5)+20,0)</f>
        <v/>
      </c>
      <c r="O510">
        <f>ROUND(N510*M510/100,0)</f>
        <v/>
      </c>
      <c r="P510" s="5" t="inlineStr">
        <is>
          <t>Same query, Moroccan market (separate database, never summed)</t>
        </is>
      </c>
      <c r="Q510" s="5" t="inlineStr">
        <is>
          <t>None detected</t>
        </is>
      </c>
    </row>
    <row r="511">
      <c r="A511" s="3" t="inlineStr">
        <is>
          <t>https://codesommet.com/tools/security-headers-checker</t>
        </is>
      </c>
      <c r="B511" s="5" t="inlineStr">
        <is>
          <t>Test des En-têtes de Sécurité HTTP (A à F)</t>
        </is>
      </c>
      <c r="C511" t="inlineStr">
        <is>
          <t>France</t>
        </is>
      </c>
      <c r="D511" t="inlineStr">
        <is>
          <t>fr</t>
        </is>
      </c>
      <c r="E511" t="inlineStr">
        <is>
          <t>OPTIONAL</t>
        </is>
      </c>
      <c r="F511" t="inlineStr">
        <is>
          <t>en-têtes de sécurité</t>
        </is>
      </c>
      <c r="G511" t="inlineStr">
        <is>
          <t>NOT AVAILABLE</t>
        </is>
      </c>
      <c r="H511" t="inlineStr">
        <is>
          <t>NOT AVAILABLE</t>
        </is>
      </c>
      <c r="I511" t="inlineStr">
        <is>
          <t>NOT AVAILABLE</t>
        </is>
      </c>
      <c r="J511" t="inlineStr">
        <is>
          <t>NOT AVAILABLE</t>
        </is>
      </c>
      <c r="K511" t="inlineStr">
        <is>
          <t>UNAVAILABLE</t>
        </is>
      </c>
      <c r="L511" t="inlineStr">
        <is>
          <t>P4</t>
        </is>
      </c>
      <c r="M511" t="n">
        <v>45</v>
      </c>
      <c r="N511">
        <f>ROUND(IF(IF(J511="NOT AVAILABLE","",J511)="",12,IF(OR(ISNUMBER(SEARCH("Transactional",IF(J511="NOT AVAILABLE","",J511))),ISNUMBER(SEARCH("Commercial",IF(J511="NOT AVAILABLE","",J511)))),25,IF(ISNUMBER(SEARCH("Informational",IF(J511="NOT AVAILABLE","",J511))),10,IF(ISNUMBER(SEARCH("Navigational",IF(J511="NOT AVAILABLE","",J511))),0,12))))+IF(ISNUMBER(G511),MIN(30,ROUND(30*LOG10(G511+1)/4,1)),0)+IF(ISNUMBER(H511),ROUND(25*(100-H511)/100,1),12.5)+14,0)</f>
        <v/>
      </c>
      <c r="O511">
        <f>ROUND(N511*M511/100,0)</f>
        <v/>
      </c>
      <c r="P511" s="5" t="inlineStr">
        <is>
          <t>Queried - Semrush returned no data or zero volume; usable as natural wording only</t>
        </is>
      </c>
      <c r="Q511" s="5" t="inlineStr">
        <is>
          <t>None detected</t>
        </is>
      </c>
    </row>
    <row r="512">
      <c r="A512" s="3" t="inlineStr">
        <is>
          <t>https://codesommet.com/tools/security-headers-checker</t>
        </is>
      </c>
      <c r="B512" s="5" t="inlineStr">
        <is>
          <t>Test des En-têtes de Sécurité HTTP (A à F)</t>
        </is>
      </c>
      <c r="C512" t="inlineStr">
        <is>
          <t>France</t>
        </is>
      </c>
      <c r="D512" t="inlineStr">
        <is>
          <t>fr</t>
        </is>
      </c>
      <c r="E512" t="inlineStr">
        <is>
          <t>OPTIONAL</t>
        </is>
      </c>
      <c r="F512" t="inlineStr">
        <is>
          <t>test en-têtes http</t>
        </is>
      </c>
      <c r="G512" t="inlineStr">
        <is>
          <t>NOT AVAILABLE</t>
        </is>
      </c>
      <c r="H512" t="inlineStr">
        <is>
          <t>NOT AVAILABLE</t>
        </is>
      </c>
      <c r="I512" t="inlineStr">
        <is>
          <t>NOT AVAILABLE</t>
        </is>
      </c>
      <c r="J512" t="inlineStr">
        <is>
          <t>NOT AVAILABLE</t>
        </is>
      </c>
      <c r="K512" t="inlineStr">
        <is>
          <t>UNAVAILABLE</t>
        </is>
      </c>
      <c r="L512" t="inlineStr">
        <is>
          <t>P4</t>
        </is>
      </c>
      <c r="M512" t="n">
        <v>45</v>
      </c>
      <c r="N512">
        <f>ROUND(IF(IF(J512="NOT AVAILABLE","",J512)="",12,IF(OR(ISNUMBER(SEARCH("Transactional",IF(J512="NOT AVAILABLE","",J512))),ISNUMBER(SEARCH("Commercial",IF(J512="NOT AVAILABLE","",J512)))),25,IF(ISNUMBER(SEARCH("Informational",IF(J512="NOT AVAILABLE","",J512))),10,IF(ISNUMBER(SEARCH("Navigational",IF(J512="NOT AVAILABLE","",J512))),0,12))))+IF(ISNUMBER(G512),MIN(30,ROUND(30*LOG10(G512+1)/4,1)),0)+IF(ISNUMBER(H512),ROUND(25*(100-H512)/100,1),12.5)+14,0)</f>
        <v/>
      </c>
      <c r="O512">
        <f>ROUND(N512*M512/100,0)</f>
        <v/>
      </c>
      <c r="P512" s="5" t="inlineStr">
        <is>
          <t>Queried - Semrush returned no data or zero volume; usable as natural wording only</t>
        </is>
      </c>
      <c r="Q512" s="5" t="inlineStr">
        <is>
          <t>None detected</t>
        </is>
      </c>
    </row>
    <row r="513">
      <c r="A513" s="3" t="inlineStr">
        <is>
          <t>https://codesommet.com/tools/serp-snippet-preview</t>
        </is>
      </c>
      <c r="B513" s="5" t="inlineStr">
        <is>
          <t>Aperçu SERP Google : Titre et Meta</t>
        </is>
      </c>
      <c r="C513" t="inlineStr">
        <is>
          <t>France</t>
        </is>
      </c>
      <c r="D513" t="inlineStr">
        <is>
          <t>fr</t>
        </is>
      </c>
      <c r="E513" t="inlineStr">
        <is>
          <t>PRIMARY</t>
        </is>
      </c>
      <c r="F513" t="inlineStr">
        <is>
          <t>simulateur serp</t>
        </is>
      </c>
      <c r="G513" t="n">
        <v>260</v>
      </c>
      <c r="H513" t="n">
        <v>11</v>
      </c>
      <c r="I513" t="n">
        <v>0</v>
      </c>
      <c r="J513" t="inlineStr">
        <is>
          <t>Informational, Commercial</t>
        </is>
      </c>
      <c r="K513" t="inlineStr">
        <is>
          <t>MEASURED</t>
        </is>
      </c>
      <c r="L513" t="inlineStr">
        <is>
          <t>P3</t>
        </is>
      </c>
      <c r="M513" t="n">
        <v>100</v>
      </c>
      <c r="N513">
        <f>ROUND(IF(IF(J513="NOT AVAILABLE","",J513)="",12,IF(OR(ISNUMBER(SEARCH("Transactional",IF(J513="NOT AVAILABLE","",J513))),ISNUMBER(SEARCH("Commercial",IF(J513="NOT AVAILABLE","",J513)))),25,IF(ISNUMBER(SEARCH("Informational",IF(J513="NOT AVAILABLE","",J513))),10,IF(ISNUMBER(SEARCH("Navigational",IF(J513="NOT AVAILABLE","",J513))),0,12))))+IF(ISNUMBER(G513),MIN(30,ROUND(30*LOG10(G513+1)/4,1)),0)+IF(ISNUMBER(H513),ROUND(25*(100-H513)/100,1),12.5)+14,0)</f>
        <v/>
      </c>
      <c r="O513">
        <f>ROUND(N513*M513/100,0)</f>
        <v/>
      </c>
      <c r="P513" s="5" t="inlineStr">
        <is>
          <t>Best-fitting measured FR query for the tool task (tools serve the francophone market; FR db used as proxy)</t>
        </is>
      </c>
      <c r="Q513" s="5" t="inlineStr">
        <is>
          <t>None detected</t>
        </is>
      </c>
    </row>
    <row r="514">
      <c r="A514" s="3" t="inlineStr">
        <is>
          <t>https://codesommet.com/tools/serp-snippet-preview</t>
        </is>
      </c>
      <c r="B514" s="5" t="inlineStr">
        <is>
          <t>Aperçu SERP Google : Titre et Meta</t>
        </is>
      </c>
      <c r="C514" t="inlineStr">
        <is>
          <t>France</t>
        </is>
      </c>
      <c r="D514" t="inlineStr">
        <is>
          <t>fr</t>
        </is>
      </c>
      <c r="E514" t="inlineStr">
        <is>
          <t>SUPPORTING</t>
        </is>
      </c>
      <c r="F514" t="inlineStr">
        <is>
          <t>serp preview</t>
        </is>
      </c>
      <c r="G514" t="n">
        <v>20</v>
      </c>
      <c r="H514" t="inlineStr">
        <is>
          <t>NOT AVAILABLE</t>
        </is>
      </c>
      <c r="I514" t="n">
        <v>0</v>
      </c>
      <c r="J514" t="inlineStr">
        <is>
          <t>NOT AVAILABLE</t>
        </is>
      </c>
      <c r="K514" t="inlineStr">
        <is>
          <t>MEASURED</t>
        </is>
      </c>
      <c r="L514" t="inlineStr">
        <is>
          <t>P3</t>
        </is>
      </c>
      <c r="M514" t="n">
        <v>65</v>
      </c>
      <c r="N514">
        <f>ROUND(IF(IF(J514="NOT AVAILABLE","",J514)="",12,IF(OR(ISNUMBER(SEARCH("Transactional",IF(J514="NOT AVAILABLE","",J514))),ISNUMBER(SEARCH("Commercial",IF(J514="NOT AVAILABLE","",J514)))),25,IF(ISNUMBER(SEARCH("Informational",IF(J514="NOT AVAILABLE","",J514))),10,IF(ISNUMBER(SEARCH("Navigational",IF(J514="NOT AVAILABLE","",J514))),0,12))))+IF(ISNUMBER(G514),MIN(30,ROUND(30*LOG10(G514+1)/4,1)),0)+IF(ISNUMBER(H514),ROUND(25*(100-H514)/100,1),12.5)+14,0)</f>
        <v/>
      </c>
      <c r="O514">
        <f>ROUND(N514*M514/100,0)</f>
        <v/>
      </c>
      <c r="P514" s="5" t="inlineStr">
        <is>
          <t>Measured variant of the tool task</t>
        </is>
      </c>
      <c r="Q514" s="5" t="inlineStr">
        <is>
          <t>None detected</t>
        </is>
      </c>
    </row>
    <row r="515">
      <c r="A515" s="3" t="inlineStr">
        <is>
          <t>https://codesommet.com/tools/serp-snippet-preview</t>
        </is>
      </c>
      <c r="B515" s="5" t="inlineStr">
        <is>
          <t>Aperçu SERP Google : Titre et Meta</t>
        </is>
      </c>
      <c r="C515" t="inlineStr">
        <is>
          <t>Morocco</t>
        </is>
      </c>
      <c r="D515" t="inlineStr">
        <is>
          <t>ma</t>
        </is>
      </c>
      <c r="E515" t="inlineStr">
        <is>
          <t>SUPPORTING</t>
        </is>
      </c>
      <c r="F515" t="inlineStr">
        <is>
          <t>serp preview</t>
        </is>
      </c>
      <c r="G515" t="n">
        <v>20</v>
      </c>
      <c r="H515" t="inlineStr">
        <is>
          <t>NOT AVAILABLE</t>
        </is>
      </c>
      <c r="I515" t="n">
        <v>0</v>
      </c>
      <c r="J515" t="inlineStr">
        <is>
          <t>NOT AVAILABLE</t>
        </is>
      </c>
      <c r="K515" t="inlineStr">
        <is>
          <t>MEASURED</t>
        </is>
      </c>
      <c r="L515" t="inlineStr">
        <is>
          <t>P3</t>
        </is>
      </c>
      <c r="M515" t="n">
        <v>65</v>
      </c>
      <c r="N515">
        <f>ROUND(IF(IF(J515="NOT AVAILABLE","",J515)="",12,IF(OR(ISNUMBER(SEARCH("Transactional",IF(J515="NOT AVAILABLE","",J515))),ISNUMBER(SEARCH("Commercial",IF(J515="NOT AVAILABLE","",J515)))),25,IF(ISNUMBER(SEARCH("Informational",IF(J515="NOT AVAILABLE","",J515))),10,IF(ISNUMBER(SEARCH("Navigational",IF(J515="NOT AVAILABLE","",J515))),0,12))))+IF(ISNUMBER(G515),MIN(30,ROUND(30*LOG10(G515+1)/4,1)),0)+IF(ISNUMBER(H515),ROUND(25*(100-H515)/100,1),12.5)+20,0)</f>
        <v/>
      </c>
      <c r="O515">
        <f>ROUND(N515*M515/100,0)</f>
        <v/>
      </c>
      <c r="P515" s="5" t="inlineStr">
        <is>
          <t>Measured variant of the tool task (MA market)</t>
        </is>
      </c>
      <c r="Q515" s="5" t="inlineStr">
        <is>
          <t>None detected</t>
        </is>
      </c>
    </row>
    <row r="516">
      <c r="A516" s="3" t="inlineStr">
        <is>
          <t>https://codesommet.com/tools/serp-snippet-preview</t>
        </is>
      </c>
      <c r="B516" s="5" t="inlineStr">
        <is>
          <t>Aperçu SERP Google : Titre et Meta</t>
        </is>
      </c>
      <c r="C516" t="inlineStr">
        <is>
          <t>France</t>
        </is>
      </c>
      <c r="D516" t="inlineStr">
        <is>
          <t>fr</t>
        </is>
      </c>
      <c r="E516" t="inlineStr">
        <is>
          <t>SUPPORTING</t>
        </is>
      </c>
      <c r="F516" t="inlineStr">
        <is>
          <t>simulateur google</t>
        </is>
      </c>
      <c r="G516" t="n">
        <v>20</v>
      </c>
      <c r="H516" t="inlineStr">
        <is>
          <t>NOT AVAILABLE</t>
        </is>
      </c>
      <c r="I516" t="n">
        <v>0</v>
      </c>
      <c r="J516" t="inlineStr">
        <is>
          <t>NOT AVAILABLE</t>
        </is>
      </c>
      <c r="K516" t="inlineStr">
        <is>
          <t>MEASURED</t>
        </is>
      </c>
      <c r="L516" t="inlineStr">
        <is>
          <t>P3</t>
        </is>
      </c>
      <c r="M516" t="n">
        <v>65</v>
      </c>
      <c r="N516">
        <f>ROUND(IF(IF(J516="NOT AVAILABLE","",J516)="",12,IF(OR(ISNUMBER(SEARCH("Transactional",IF(J516="NOT AVAILABLE","",J516))),ISNUMBER(SEARCH("Commercial",IF(J516="NOT AVAILABLE","",J516)))),25,IF(ISNUMBER(SEARCH("Informational",IF(J516="NOT AVAILABLE","",J516))),10,IF(ISNUMBER(SEARCH("Navigational",IF(J516="NOT AVAILABLE","",J516))),0,12))))+IF(ISNUMBER(G516),MIN(30,ROUND(30*LOG10(G516+1)/4,1)),0)+IF(ISNUMBER(H516),ROUND(25*(100-H516)/100,1),12.5)+14,0)</f>
        <v/>
      </c>
      <c r="O516">
        <f>ROUND(N516*M516/100,0)</f>
        <v/>
      </c>
      <c r="P516" s="5" t="inlineStr">
        <is>
          <t>Measured variant of the tool task</t>
        </is>
      </c>
      <c r="Q516" s="5" t="inlineStr">
        <is>
          <t>None detected</t>
        </is>
      </c>
    </row>
    <row r="517">
      <c r="A517" s="3" t="inlineStr">
        <is>
          <t>https://codesommet.com/tools/serp-snippet-preview</t>
        </is>
      </c>
      <c r="B517" s="5" t="inlineStr">
        <is>
          <t>Aperçu SERP Google : Titre et Meta</t>
        </is>
      </c>
      <c r="C517" t="inlineStr">
        <is>
          <t>France</t>
        </is>
      </c>
      <c r="D517" t="inlineStr">
        <is>
          <t>fr</t>
        </is>
      </c>
      <c r="E517" t="inlineStr">
        <is>
          <t>OPTIONAL</t>
        </is>
      </c>
      <c r="F517" t="inlineStr">
        <is>
          <t>aperçu serp</t>
        </is>
      </c>
      <c r="G517" t="inlineStr">
        <is>
          <t>NOT AVAILABLE</t>
        </is>
      </c>
      <c r="H517" t="inlineStr">
        <is>
          <t>NOT AVAILABLE</t>
        </is>
      </c>
      <c r="I517" t="inlineStr">
        <is>
          <t>NOT AVAILABLE</t>
        </is>
      </c>
      <c r="J517" t="inlineStr">
        <is>
          <t>NOT AVAILABLE</t>
        </is>
      </c>
      <c r="K517" t="inlineStr">
        <is>
          <t>UNAVAILABLE</t>
        </is>
      </c>
      <c r="L517" t="inlineStr">
        <is>
          <t>P4</t>
        </is>
      </c>
      <c r="M517" t="n">
        <v>45</v>
      </c>
      <c r="N517">
        <f>ROUND(IF(IF(J517="NOT AVAILABLE","",J517)="",12,IF(OR(ISNUMBER(SEARCH("Transactional",IF(J517="NOT AVAILABLE","",J517))),ISNUMBER(SEARCH("Commercial",IF(J517="NOT AVAILABLE","",J517)))),25,IF(ISNUMBER(SEARCH("Informational",IF(J517="NOT AVAILABLE","",J517))),10,IF(ISNUMBER(SEARCH("Navigational",IF(J517="NOT AVAILABLE","",J517))),0,12))))+IF(ISNUMBER(G517),MIN(30,ROUND(30*LOG10(G517+1)/4,1)),0)+IF(ISNUMBER(H517),ROUND(25*(100-H517)/100,1),12.5)+14,0)</f>
        <v/>
      </c>
      <c r="O517">
        <f>ROUND(N517*M517/100,0)</f>
        <v/>
      </c>
      <c r="P517" s="5" t="inlineStr">
        <is>
          <t>Queried - Semrush returned no data or zero volume; usable as natural wording only</t>
        </is>
      </c>
      <c r="Q517" s="5" t="inlineStr">
        <is>
          <t>None detected</t>
        </is>
      </c>
    </row>
    <row r="518">
      <c r="A518" s="3" t="inlineStr">
        <is>
          <t>https://codesommet.com/tools/sitemap-url-extractor</t>
        </is>
      </c>
      <c r="B518" s="5" t="inlineStr">
        <is>
          <t>Extracteur d'URL de Sitemap XML Gratuit</t>
        </is>
      </c>
      <c r="C518" t="inlineStr">
        <is>
          <t>France</t>
        </is>
      </c>
      <c r="D518" t="inlineStr">
        <is>
          <t>fr</t>
        </is>
      </c>
      <c r="E518" t="inlineStr">
        <is>
          <t>PRIMARY</t>
        </is>
      </c>
      <c r="F518" t="inlineStr">
        <is>
          <t>sitemap url extractor</t>
        </is>
      </c>
      <c r="G518" t="n">
        <v>10</v>
      </c>
      <c r="H518" t="inlineStr">
        <is>
          <t>NOT AVAILABLE</t>
        </is>
      </c>
      <c r="I518" t="n">
        <v>0</v>
      </c>
      <c r="J518" t="inlineStr">
        <is>
          <t>NOT AVAILABLE</t>
        </is>
      </c>
      <c r="K518" t="inlineStr">
        <is>
          <t>MEASURED</t>
        </is>
      </c>
      <c r="L518" t="inlineStr">
        <is>
          <t>P3</t>
        </is>
      </c>
      <c r="M518" t="n">
        <v>100</v>
      </c>
      <c r="N518">
        <f>ROUND(IF(IF(J518="NOT AVAILABLE","",J518)="",12,IF(OR(ISNUMBER(SEARCH("Transactional",IF(J518="NOT AVAILABLE","",J518))),ISNUMBER(SEARCH("Commercial",IF(J518="NOT AVAILABLE","",J518)))),25,IF(ISNUMBER(SEARCH("Informational",IF(J518="NOT AVAILABLE","",J518))),10,IF(ISNUMBER(SEARCH("Navigational",IF(J518="NOT AVAILABLE","",J518))),0,12))))+IF(ISNUMBER(G518),MIN(30,ROUND(30*LOG10(G518+1)/4,1)),0)+IF(ISNUMBER(H518),ROUND(25*(100-H518)/100,1),12.5)+14,0)</f>
        <v/>
      </c>
      <c r="O518">
        <f>ROUND(N518*M518/100,0)</f>
        <v/>
      </c>
      <c r="P518" s="5" t="inlineStr">
        <is>
          <t>Best-fitting measured FR query for the tool task (tools serve the francophone market; FR db used as proxy)</t>
        </is>
      </c>
      <c r="Q518" s="5" t="inlineStr">
        <is>
          <t>None detected</t>
        </is>
      </c>
    </row>
    <row r="519">
      <c r="A519" s="3" t="inlineStr">
        <is>
          <t>https://codesommet.com/tools/sitemap-url-extractor</t>
        </is>
      </c>
      <c r="B519" s="5" t="inlineStr">
        <is>
          <t>Extracteur d'URL de Sitemap XML Gratuit</t>
        </is>
      </c>
      <c r="C519" t="inlineStr">
        <is>
          <t>France</t>
        </is>
      </c>
      <c r="D519" t="inlineStr">
        <is>
          <t>fr</t>
        </is>
      </c>
      <c r="E519" t="inlineStr">
        <is>
          <t>OPTIONAL</t>
        </is>
      </c>
      <c r="F519" t="inlineStr">
        <is>
          <t>extraire url sitemap</t>
        </is>
      </c>
      <c r="G519" t="inlineStr">
        <is>
          <t>NOT AVAILABLE</t>
        </is>
      </c>
      <c r="H519" t="inlineStr">
        <is>
          <t>NOT AVAILABLE</t>
        </is>
      </c>
      <c r="I519" t="inlineStr">
        <is>
          <t>NOT AVAILABLE</t>
        </is>
      </c>
      <c r="J519" t="inlineStr">
        <is>
          <t>NOT AVAILABLE</t>
        </is>
      </c>
      <c r="K519" t="inlineStr">
        <is>
          <t>UNAVAILABLE</t>
        </is>
      </c>
      <c r="L519" t="inlineStr">
        <is>
          <t>P4</t>
        </is>
      </c>
      <c r="M519" t="n">
        <v>45</v>
      </c>
      <c r="N519">
        <f>ROUND(IF(IF(J519="NOT AVAILABLE","",J519)="",12,IF(OR(ISNUMBER(SEARCH("Transactional",IF(J519="NOT AVAILABLE","",J519))),ISNUMBER(SEARCH("Commercial",IF(J519="NOT AVAILABLE","",J519)))),25,IF(ISNUMBER(SEARCH("Informational",IF(J519="NOT AVAILABLE","",J519))),10,IF(ISNUMBER(SEARCH("Navigational",IF(J519="NOT AVAILABLE","",J519))),0,12))))+IF(ISNUMBER(G519),MIN(30,ROUND(30*LOG10(G519+1)/4,1)),0)+IF(ISNUMBER(H519),ROUND(25*(100-H519)/100,1),12.5)+14,0)</f>
        <v/>
      </c>
      <c r="O519">
        <f>ROUND(N519*M519/100,0)</f>
        <v/>
      </c>
      <c r="P519" s="5" t="inlineStr">
        <is>
          <t>Queried - Semrush returned no data or zero volume; usable as natural wording only</t>
        </is>
      </c>
      <c r="Q519" s="5" t="inlineStr">
        <is>
          <t>None detected</t>
        </is>
      </c>
    </row>
    <row r="520">
      <c r="A520" s="3" t="inlineStr">
        <is>
          <t>https://codesommet.com/tools/sitemap-validator</t>
        </is>
      </c>
      <c r="B520" s="5" t="inlineStr">
        <is>
          <t>Validateur de Sitemap XML Gratuit</t>
        </is>
      </c>
      <c r="C520" t="inlineStr">
        <is>
          <t>France</t>
        </is>
      </c>
      <c r="D520" t="inlineStr">
        <is>
          <t>fr</t>
        </is>
      </c>
      <c r="E520" t="inlineStr">
        <is>
          <t>PRIMARY</t>
        </is>
      </c>
      <c r="F520" t="inlineStr">
        <is>
          <t>sitemap validator</t>
        </is>
      </c>
      <c r="G520" t="n">
        <v>70</v>
      </c>
      <c r="H520" t="n">
        <v>31</v>
      </c>
      <c r="I520" t="n">
        <v>2.2</v>
      </c>
      <c r="J520" t="inlineStr">
        <is>
          <t>Commercial</t>
        </is>
      </c>
      <c r="K520" t="inlineStr">
        <is>
          <t>MEASURED</t>
        </is>
      </c>
      <c r="L520" t="inlineStr">
        <is>
          <t>P3</t>
        </is>
      </c>
      <c r="M520" t="n">
        <v>100</v>
      </c>
      <c r="N520">
        <f>ROUND(IF(IF(J520="NOT AVAILABLE","",J520)="",12,IF(OR(ISNUMBER(SEARCH("Transactional",IF(J520="NOT AVAILABLE","",J520))),ISNUMBER(SEARCH("Commercial",IF(J520="NOT AVAILABLE","",J520)))),25,IF(ISNUMBER(SEARCH("Informational",IF(J520="NOT AVAILABLE","",J520))),10,IF(ISNUMBER(SEARCH("Navigational",IF(J520="NOT AVAILABLE","",J520))),0,12))))+IF(ISNUMBER(G520),MIN(30,ROUND(30*LOG10(G520+1)/4,1)),0)+IF(ISNUMBER(H520),ROUND(25*(100-H520)/100,1),12.5)+14,0)</f>
        <v/>
      </c>
      <c r="O520">
        <f>ROUND(N520*M520/100,0)</f>
        <v/>
      </c>
      <c r="P520" s="5" t="inlineStr">
        <is>
          <t>Best-fitting measured FR query for the tool task (tools serve the francophone market; FR db used as proxy)</t>
        </is>
      </c>
      <c r="Q520" s="5" t="inlineStr">
        <is>
          <t>None detected</t>
        </is>
      </c>
    </row>
    <row r="521">
      <c r="A521" s="3" t="inlineStr">
        <is>
          <t>https://codesommet.com/tools/sitemap-validator</t>
        </is>
      </c>
      <c r="B521" s="5" t="inlineStr">
        <is>
          <t>Validateur de Sitemap XML Gratuit</t>
        </is>
      </c>
      <c r="C521" t="inlineStr">
        <is>
          <t>Morocco</t>
        </is>
      </c>
      <c r="D521" t="inlineStr">
        <is>
          <t>ma</t>
        </is>
      </c>
      <c r="E521" t="inlineStr">
        <is>
          <t>SECONDARY</t>
        </is>
      </c>
      <c r="F521" t="inlineStr">
        <is>
          <t>sitemap validator</t>
        </is>
      </c>
      <c r="G521" t="n">
        <v>10</v>
      </c>
      <c r="H521" t="inlineStr">
        <is>
          <t>NOT AVAILABLE</t>
        </is>
      </c>
      <c r="I521" t="n">
        <v>0</v>
      </c>
      <c r="J521" t="inlineStr">
        <is>
          <t>NOT AVAILABLE</t>
        </is>
      </c>
      <c r="K521" t="inlineStr">
        <is>
          <t>MEASURED</t>
        </is>
      </c>
      <c r="L521" t="inlineStr">
        <is>
          <t>P3</t>
        </is>
      </c>
      <c r="M521" t="n">
        <v>85</v>
      </c>
      <c r="N521">
        <f>ROUND(IF(IF(J521="NOT AVAILABLE","",J521)="",12,IF(OR(ISNUMBER(SEARCH("Transactional",IF(J521="NOT AVAILABLE","",J521))),ISNUMBER(SEARCH("Commercial",IF(J521="NOT AVAILABLE","",J521)))),25,IF(ISNUMBER(SEARCH("Informational",IF(J521="NOT AVAILABLE","",J521))),10,IF(ISNUMBER(SEARCH("Navigational",IF(J521="NOT AVAILABLE","",J521))),0,12))))+IF(ISNUMBER(G521),MIN(30,ROUND(30*LOG10(G521+1)/4,1)),0)+IF(ISNUMBER(H521),ROUND(25*(100-H521)/100,1),12.5)+20,0)</f>
        <v/>
      </c>
      <c r="O521">
        <f>ROUND(N521*M521/100,0)</f>
        <v/>
      </c>
      <c r="P521" s="5" t="inlineStr">
        <is>
          <t>Same query, Moroccan market (separate database, never summed)</t>
        </is>
      </c>
      <c r="Q521" s="5" t="inlineStr">
        <is>
          <t>None detected</t>
        </is>
      </c>
    </row>
    <row r="522">
      <c r="A522" s="3" t="inlineStr">
        <is>
          <t>https://codesommet.com/tools/sitemap-validator</t>
        </is>
      </c>
      <c r="B522" s="5" t="inlineStr">
        <is>
          <t>Validateur de Sitemap XML Gratuit</t>
        </is>
      </c>
      <c r="C522" t="inlineStr">
        <is>
          <t>France</t>
        </is>
      </c>
      <c r="D522" t="inlineStr">
        <is>
          <t>fr</t>
        </is>
      </c>
      <c r="E522" t="inlineStr">
        <is>
          <t>SUPPORTING</t>
        </is>
      </c>
      <c r="F522" t="inlineStr">
        <is>
          <t>vérifier sitemap</t>
        </is>
      </c>
      <c r="G522" t="n">
        <v>20</v>
      </c>
      <c r="H522" t="inlineStr">
        <is>
          <t>NOT AVAILABLE</t>
        </is>
      </c>
      <c r="I522" t="n">
        <v>0</v>
      </c>
      <c r="J522" t="inlineStr">
        <is>
          <t>NOT AVAILABLE</t>
        </is>
      </c>
      <c r="K522" t="inlineStr">
        <is>
          <t>MEASURED</t>
        </is>
      </c>
      <c r="L522" t="inlineStr">
        <is>
          <t>P3</t>
        </is>
      </c>
      <c r="M522" t="n">
        <v>65</v>
      </c>
      <c r="N522">
        <f>ROUND(IF(IF(J522="NOT AVAILABLE","",J522)="",12,IF(OR(ISNUMBER(SEARCH("Transactional",IF(J522="NOT AVAILABLE","",J522))),ISNUMBER(SEARCH("Commercial",IF(J522="NOT AVAILABLE","",J522)))),25,IF(ISNUMBER(SEARCH("Informational",IF(J522="NOT AVAILABLE","",J522))),10,IF(ISNUMBER(SEARCH("Navigational",IF(J522="NOT AVAILABLE","",J522))),0,12))))+IF(ISNUMBER(G522),MIN(30,ROUND(30*LOG10(G522+1)/4,1)),0)+IF(ISNUMBER(H522),ROUND(25*(100-H522)/100,1),12.5)+14,0)</f>
        <v/>
      </c>
      <c r="O522">
        <f>ROUND(N522*M522/100,0)</f>
        <v/>
      </c>
      <c r="P522" s="5" t="inlineStr">
        <is>
          <t>Measured variant of the tool task</t>
        </is>
      </c>
      <c r="Q522" s="5" t="inlineStr">
        <is>
          <t>None detected</t>
        </is>
      </c>
    </row>
    <row r="523">
      <c r="A523" s="3" t="inlineStr">
        <is>
          <t>https://codesommet.com/tools/sitemap-validator</t>
        </is>
      </c>
      <c r="B523" s="5" t="inlineStr">
        <is>
          <t>Validateur de Sitemap XML Gratuit</t>
        </is>
      </c>
      <c r="C523" t="inlineStr">
        <is>
          <t>France</t>
        </is>
      </c>
      <c r="D523" t="inlineStr">
        <is>
          <t>fr</t>
        </is>
      </c>
      <c r="E523" t="inlineStr">
        <is>
          <t>OPTIONAL</t>
        </is>
      </c>
      <c r="F523" t="inlineStr">
        <is>
          <t>valider sitemap</t>
        </is>
      </c>
      <c r="G523" t="inlineStr">
        <is>
          <t>NOT AVAILABLE</t>
        </is>
      </c>
      <c r="H523" t="inlineStr">
        <is>
          <t>NOT AVAILABLE</t>
        </is>
      </c>
      <c r="I523" t="inlineStr">
        <is>
          <t>NOT AVAILABLE</t>
        </is>
      </c>
      <c r="J523" t="inlineStr">
        <is>
          <t>NOT AVAILABLE</t>
        </is>
      </c>
      <c r="K523" t="inlineStr">
        <is>
          <t>UNAVAILABLE</t>
        </is>
      </c>
      <c r="L523" t="inlineStr">
        <is>
          <t>P4</t>
        </is>
      </c>
      <c r="M523" t="n">
        <v>45</v>
      </c>
      <c r="N523">
        <f>ROUND(IF(IF(J523="NOT AVAILABLE","",J523)="",12,IF(OR(ISNUMBER(SEARCH("Transactional",IF(J523="NOT AVAILABLE","",J523))),ISNUMBER(SEARCH("Commercial",IF(J523="NOT AVAILABLE","",J523)))),25,IF(ISNUMBER(SEARCH("Informational",IF(J523="NOT AVAILABLE","",J523))),10,IF(ISNUMBER(SEARCH("Navigational",IF(J523="NOT AVAILABLE","",J523))),0,12))))+IF(ISNUMBER(G523),MIN(30,ROUND(30*LOG10(G523+1)/4,1)),0)+IF(ISNUMBER(H523),ROUND(25*(100-H523)/100,1),12.5)+14,0)</f>
        <v/>
      </c>
      <c r="O523">
        <f>ROUND(N523*M523/100,0)</f>
        <v/>
      </c>
      <c r="P523" s="5" t="inlineStr">
        <is>
          <t>Queried - Semrush returned no data or zero volume; usable as natural wording only</t>
        </is>
      </c>
      <c r="Q523" s="5" t="inlineStr">
        <is>
          <t>None detected</t>
        </is>
      </c>
    </row>
    <row r="524">
      <c r="A524" s="3" t="inlineStr">
        <is>
          <t>https://codesommet.com/tools/ssl-certificate-checker</t>
        </is>
      </c>
      <c r="B524" s="5" t="inlineStr">
        <is>
          <t>Vérificateur de Certificat SSL/TLS Gratuit</t>
        </is>
      </c>
      <c r="C524" t="inlineStr">
        <is>
          <t>France</t>
        </is>
      </c>
      <c r="D524" t="inlineStr">
        <is>
          <t>fr</t>
        </is>
      </c>
      <c r="E524" t="inlineStr">
        <is>
          <t>PRIMARY</t>
        </is>
      </c>
      <c r="F524" t="inlineStr">
        <is>
          <t>test ssl</t>
        </is>
      </c>
      <c r="G524" t="n">
        <v>320</v>
      </c>
      <c r="H524" t="n">
        <v>37</v>
      </c>
      <c r="I524" t="n">
        <v>0.89</v>
      </c>
      <c r="J524" t="inlineStr">
        <is>
          <t>Commercial</t>
        </is>
      </c>
      <c r="K524" t="inlineStr">
        <is>
          <t>MEASURED</t>
        </is>
      </c>
      <c r="L524" t="inlineStr">
        <is>
          <t>P3</t>
        </is>
      </c>
      <c r="M524" t="n">
        <v>100</v>
      </c>
      <c r="N524">
        <f>ROUND(IF(IF(J524="NOT AVAILABLE","",J524)="",12,IF(OR(ISNUMBER(SEARCH("Transactional",IF(J524="NOT AVAILABLE","",J524))),ISNUMBER(SEARCH("Commercial",IF(J524="NOT AVAILABLE","",J524)))),25,IF(ISNUMBER(SEARCH("Informational",IF(J524="NOT AVAILABLE","",J524))),10,IF(ISNUMBER(SEARCH("Navigational",IF(J524="NOT AVAILABLE","",J524))),0,12))))+IF(ISNUMBER(G524),MIN(30,ROUND(30*LOG10(G524+1)/4,1)),0)+IF(ISNUMBER(H524),ROUND(25*(100-H524)/100,1),12.5)+14,0)</f>
        <v/>
      </c>
      <c r="O524">
        <f>ROUND(N524*M524/100,0)</f>
        <v/>
      </c>
      <c r="P524" s="5" t="inlineStr">
        <is>
          <t>Best-fitting measured FR query for the tool task (tools serve the francophone market; FR db used as proxy)</t>
        </is>
      </c>
      <c r="Q524" s="5" t="inlineStr">
        <is>
          <t>None detected</t>
        </is>
      </c>
    </row>
    <row r="525">
      <c r="A525" s="3" t="inlineStr">
        <is>
          <t>https://codesommet.com/tools/ssl-certificate-checker</t>
        </is>
      </c>
      <c r="B525" s="5" t="inlineStr">
        <is>
          <t>Vérificateur de Certificat SSL/TLS Gratuit</t>
        </is>
      </c>
      <c r="C525" t="inlineStr">
        <is>
          <t>France</t>
        </is>
      </c>
      <c r="D525" t="inlineStr">
        <is>
          <t>fr</t>
        </is>
      </c>
      <c r="E525" t="inlineStr">
        <is>
          <t>SECONDARY</t>
        </is>
      </c>
      <c r="F525" t="inlineStr">
        <is>
          <t>ssl checker</t>
        </is>
      </c>
      <c r="G525" t="n">
        <v>1900</v>
      </c>
      <c r="H525" t="n">
        <v>67</v>
      </c>
      <c r="I525" t="n">
        <v>0</v>
      </c>
      <c r="J525" t="inlineStr">
        <is>
          <t>Commercial</t>
        </is>
      </c>
      <c r="K525" t="inlineStr">
        <is>
          <t>MEASURED</t>
        </is>
      </c>
      <c r="L525" t="inlineStr">
        <is>
          <t>P3</t>
        </is>
      </c>
      <c r="M525" t="n">
        <v>85</v>
      </c>
      <c r="N525">
        <f>ROUND(IF(IF(J525="NOT AVAILABLE","",J525)="",12,IF(OR(ISNUMBER(SEARCH("Transactional",IF(J525="NOT AVAILABLE","",J525))),ISNUMBER(SEARCH("Commercial",IF(J525="NOT AVAILABLE","",J525)))),25,IF(ISNUMBER(SEARCH("Informational",IF(J525="NOT AVAILABLE","",J525))),10,IF(ISNUMBER(SEARCH("Navigational",IF(J525="NOT AVAILABLE","",J525))),0,12))))+IF(ISNUMBER(G525),MIN(30,ROUND(30*LOG10(G525+1)/4,1)),0)+IF(ISNUMBER(H525),ROUND(25*(100-H525)/100,1),12.5)+14,0)</f>
        <v/>
      </c>
      <c r="O525">
        <f>ROUND(N525*M525/100,0)</f>
        <v/>
      </c>
      <c r="P525" s="5" t="inlineStr">
        <is>
          <t>Measured variant of the tool task</t>
        </is>
      </c>
      <c r="Q525" s="5" t="inlineStr">
        <is>
          <t>None detected</t>
        </is>
      </c>
    </row>
    <row r="526">
      <c r="A526" s="3" t="inlineStr">
        <is>
          <t>https://codesommet.com/tools/ssl-certificate-checker</t>
        </is>
      </c>
      <c r="B526" s="5" t="inlineStr">
        <is>
          <t>Vérificateur de Certificat SSL/TLS Gratuit</t>
        </is>
      </c>
      <c r="C526" t="inlineStr">
        <is>
          <t>Morocco</t>
        </is>
      </c>
      <c r="D526" t="inlineStr">
        <is>
          <t>ma</t>
        </is>
      </c>
      <c r="E526" t="inlineStr">
        <is>
          <t>SECONDARY</t>
        </is>
      </c>
      <c r="F526" t="inlineStr">
        <is>
          <t>test ssl</t>
        </is>
      </c>
      <c r="G526" t="n">
        <v>20</v>
      </c>
      <c r="H526" t="inlineStr">
        <is>
          <t>NOT AVAILABLE</t>
        </is>
      </c>
      <c r="I526" t="n">
        <v>0</v>
      </c>
      <c r="J526" t="inlineStr">
        <is>
          <t>NOT AVAILABLE</t>
        </is>
      </c>
      <c r="K526" t="inlineStr">
        <is>
          <t>MEASURED</t>
        </is>
      </c>
      <c r="L526" t="inlineStr">
        <is>
          <t>P3</t>
        </is>
      </c>
      <c r="M526" t="n">
        <v>85</v>
      </c>
      <c r="N526">
        <f>ROUND(IF(IF(J526="NOT AVAILABLE","",J526)="",12,IF(OR(ISNUMBER(SEARCH("Transactional",IF(J526="NOT AVAILABLE","",J526))),ISNUMBER(SEARCH("Commercial",IF(J526="NOT AVAILABLE","",J526)))),25,IF(ISNUMBER(SEARCH("Informational",IF(J526="NOT AVAILABLE","",J526))),10,IF(ISNUMBER(SEARCH("Navigational",IF(J526="NOT AVAILABLE","",J526))),0,12))))+IF(ISNUMBER(G526),MIN(30,ROUND(30*LOG10(G526+1)/4,1)),0)+IF(ISNUMBER(H526),ROUND(25*(100-H526)/100,1),12.5)+20,0)</f>
        <v/>
      </c>
      <c r="O526">
        <f>ROUND(N526*M526/100,0)</f>
        <v/>
      </c>
      <c r="P526" s="5" t="inlineStr">
        <is>
          <t>Same query, Moroccan market (separate database, never summed)</t>
        </is>
      </c>
      <c r="Q526" s="5" t="inlineStr">
        <is>
          <t>None detected</t>
        </is>
      </c>
    </row>
    <row r="527">
      <c r="A527" s="3" t="inlineStr">
        <is>
          <t>https://codesommet.com/tools/ssl-certificate-checker</t>
        </is>
      </c>
      <c r="B527" s="5" t="inlineStr">
        <is>
          <t>Vérificateur de Certificat SSL/TLS Gratuit</t>
        </is>
      </c>
      <c r="C527" t="inlineStr">
        <is>
          <t>Morocco</t>
        </is>
      </c>
      <c r="D527" t="inlineStr">
        <is>
          <t>ma</t>
        </is>
      </c>
      <c r="E527" t="inlineStr">
        <is>
          <t>SUPPORTING</t>
        </is>
      </c>
      <c r="F527" t="inlineStr">
        <is>
          <t>ssl checker</t>
        </is>
      </c>
      <c r="G527" t="n">
        <v>260</v>
      </c>
      <c r="H527" t="inlineStr">
        <is>
          <t>NOT AVAILABLE</t>
        </is>
      </c>
      <c r="I527" t="n">
        <v>0.6899999999999999</v>
      </c>
      <c r="J527" t="inlineStr">
        <is>
          <t>NOT AVAILABLE</t>
        </is>
      </c>
      <c r="K527" t="inlineStr">
        <is>
          <t>MEASURED</t>
        </is>
      </c>
      <c r="L527" t="inlineStr">
        <is>
          <t>P3</t>
        </is>
      </c>
      <c r="M527" t="n">
        <v>65</v>
      </c>
      <c r="N527">
        <f>ROUND(IF(IF(J527="NOT AVAILABLE","",J527)="",12,IF(OR(ISNUMBER(SEARCH("Transactional",IF(J527="NOT AVAILABLE","",J527))),ISNUMBER(SEARCH("Commercial",IF(J527="NOT AVAILABLE","",J527)))),25,IF(ISNUMBER(SEARCH("Informational",IF(J527="NOT AVAILABLE","",J527))),10,IF(ISNUMBER(SEARCH("Navigational",IF(J527="NOT AVAILABLE","",J527))),0,12))))+IF(ISNUMBER(G527),MIN(30,ROUND(30*LOG10(G527+1)/4,1)),0)+IF(ISNUMBER(H527),ROUND(25*(100-H527)/100,1),12.5)+20,0)</f>
        <v/>
      </c>
      <c r="O527">
        <f>ROUND(N527*M527/100,0)</f>
        <v/>
      </c>
      <c r="P527" s="5" t="inlineStr">
        <is>
          <t>Measured variant of the tool task (MA market)</t>
        </is>
      </c>
      <c r="Q527" s="5" t="inlineStr">
        <is>
          <t>None detected</t>
        </is>
      </c>
    </row>
    <row r="528">
      <c r="A528" s="3" t="inlineStr">
        <is>
          <t>https://codesommet.com/tools/ssl-certificate-checker</t>
        </is>
      </c>
      <c r="B528" s="5" t="inlineStr">
        <is>
          <t>Vérificateur de Certificat SSL/TLS Gratuit</t>
        </is>
      </c>
      <c r="C528" t="inlineStr">
        <is>
          <t>France</t>
        </is>
      </c>
      <c r="D528" t="inlineStr">
        <is>
          <t>fr</t>
        </is>
      </c>
      <c r="E528" t="inlineStr">
        <is>
          <t>SUPPORTING</t>
        </is>
      </c>
      <c r="F528" t="inlineStr">
        <is>
          <t>vérifier certificat ssl</t>
        </is>
      </c>
      <c r="G528" t="n">
        <v>30</v>
      </c>
      <c r="H528" t="inlineStr">
        <is>
          <t>NOT AVAILABLE</t>
        </is>
      </c>
      <c r="I528" t="n">
        <v>0.91</v>
      </c>
      <c r="J528" t="inlineStr">
        <is>
          <t>NOT AVAILABLE</t>
        </is>
      </c>
      <c r="K528" t="inlineStr">
        <is>
          <t>MEASURED</t>
        </is>
      </c>
      <c r="L528" t="inlineStr">
        <is>
          <t>P3</t>
        </is>
      </c>
      <c r="M528" t="n">
        <v>65</v>
      </c>
      <c r="N528">
        <f>ROUND(IF(IF(J528="NOT AVAILABLE","",J528)="",12,IF(OR(ISNUMBER(SEARCH("Transactional",IF(J528="NOT AVAILABLE","",J528))),ISNUMBER(SEARCH("Commercial",IF(J528="NOT AVAILABLE","",J528)))),25,IF(ISNUMBER(SEARCH("Informational",IF(J528="NOT AVAILABLE","",J528))),10,IF(ISNUMBER(SEARCH("Navigational",IF(J528="NOT AVAILABLE","",J528))),0,12))))+IF(ISNUMBER(G528),MIN(30,ROUND(30*LOG10(G528+1)/4,1)),0)+IF(ISNUMBER(H528),ROUND(25*(100-H528)/100,1),12.5)+14,0)</f>
        <v/>
      </c>
      <c r="O528">
        <f>ROUND(N528*M528/100,0)</f>
        <v/>
      </c>
      <c r="P528" s="5" t="inlineStr">
        <is>
          <t>Measured variant of the tool task</t>
        </is>
      </c>
      <c r="Q528" s="5" t="inlineStr">
        <is>
          <t>None detected</t>
        </is>
      </c>
    </row>
    <row r="529">
      <c r="A529" s="3" t="inlineStr">
        <is>
          <t>https://codesommet.com/tools/ssl-certificate-checker</t>
        </is>
      </c>
      <c r="B529" s="5" t="inlineStr">
        <is>
          <t>Vérificateur de Certificat SSL/TLS Gratuit</t>
        </is>
      </c>
      <c r="C529" t="inlineStr">
        <is>
          <t>Morocco</t>
        </is>
      </c>
      <c r="D529" t="inlineStr">
        <is>
          <t>ma</t>
        </is>
      </c>
      <c r="E529" t="inlineStr">
        <is>
          <t>SUPPORTING</t>
        </is>
      </c>
      <c r="F529" t="inlineStr">
        <is>
          <t>vérifier certificat ssl</t>
        </is>
      </c>
      <c r="G529" t="n">
        <v>20</v>
      </c>
      <c r="H529" t="inlineStr">
        <is>
          <t>NOT AVAILABLE</t>
        </is>
      </c>
      <c r="I529" t="n">
        <v>0</v>
      </c>
      <c r="J529" t="inlineStr">
        <is>
          <t>NOT AVAILABLE</t>
        </is>
      </c>
      <c r="K529" t="inlineStr">
        <is>
          <t>MEASURED</t>
        </is>
      </c>
      <c r="L529" t="inlineStr">
        <is>
          <t>P3</t>
        </is>
      </c>
      <c r="M529" t="n">
        <v>65</v>
      </c>
      <c r="N529">
        <f>ROUND(IF(IF(J529="NOT AVAILABLE","",J529)="",12,IF(OR(ISNUMBER(SEARCH("Transactional",IF(J529="NOT AVAILABLE","",J529))),ISNUMBER(SEARCH("Commercial",IF(J529="NOT AVAILABLE","",J529)))),25,IF(ISNUMBER(SEARCH("Informational",IF(J529="NOT AVAILABLE","",J529))),10,IF(ISNUMBER(SEARCH("Navigational",IF(J529="NOT AVAILABLE","",J529))),0,12))))+IF(ISNUMBER(G529),MIN(30,ROUND(30*LOG10(G529+1)/4,1)),0)+IF(ISNUMBER(H529),ROUND(25*(100-H529)/100,1),12.5)+20,0)</f>
        <v/>
      </c>
      <c r="O529">
        <f>ROUND(N529*M529/100,0)</f>
        <v/>
      </c>
      <c r="P529" s="5" t="inlineStr">
        <is>
          <t>Measured variant of the tool task (MA market)</t>
        </is>
      </c>
      <c r="Q529" s="5" t="inlineStr">
        <is>
          <t>None detected</t>
        </is>
      </c>
    </row>
    <row r="530">
      <c r="A530" s="3" t="inlineStr">
        <is>
          <t>https://codesommet.com/tools/ssl-certificate-checker</t>
        </is>
      </c>
      <c r="B530" s="5" t="inlineStr">
        <is>
          <t>Vérificateur de Certificat SSL/TLS Gratuit</t>
        </is>
      </c>
      <c r="C530" t="inlineStr">
        <is>
          <t>France</t>
        </is>
      </c>
      <c r="D530" t="inlineStr">
        <is>
          <t>fr</t>
        </is>
      </c>
      <c r="E530" t="inlineStr">
        <is>
          <t>NOT RECOMMENDED</t>
        </is>
      </c>
      <c r="F530" t="inlineStr">
        <is>
          <t>certificat ssl</t>
        </is>
      </c>
      <c r="G530" t="n">
        <v>2900</v>
      </c>
      <c r="H530" t="n">
        <v>63</v>
      </c>
      <c r="I530" t="n">
        <v>1.31</v>
      </c>
      <c r="J530" t="inlineStr">
        <is>
          <t>NOT AVAILABLE</t>
        </is>
      </c>
      <c r="K530" t="inlineStr">
        <is>
          <t>MEASURED</t>
        </is>
      </c>
      <c r="L530" t="inlineStr">
        <is>
          <t>P4</t>
        </is>
      </c>
      <c r="M530" t="n">
        <v>0</v>
      </c>
      <c r="N530">
        <f>ROUND(IF(IF(J530="NOT AVAILABLE","",J530)="",12,IF(OR(ISNUMBER(SEARCH("Transactional",IF(J530="NOT AVAILABLE","",J530))),ISNUMBER(SEARCH("Commercial",IF(J530="NOT AVAILABLE","",J530)))),25,IF(ISNUMBER(SEARCH("Informational",IF(J530="NOT AVAILABLE","",J530))),10,IF(ISNUMBER(SEARCH("Navigational",IF(J530="NOT AVAILABLE","",J530))),0,12))))+IF(ISNUMBER(G530),MIN(30,ROUND(30*LOG10(G530+1)/4,1)),0)+IF(ISNUMBER(H530),ROUND(25*(100-H530)/100,1),12.5)+14,0)</f>
        <v/>
      </c>
      <c r="O530">
        <f>ROUND(N530*M530/100,0)</f>
        <v/>
      </c>
      <c r="P530" s="5" t="inlineStr">
        <is>
          <t>Buy/understand-certificate intent</t>
        </is>
      </c>
      <c r="Q530" s="5" t="inlineStr">
        <is>
          <t>n/a (not targeted)</t>
        </is>
      </c>
    </row>
    <row r="531">
      <c r="A531" s="3" t="inlineStr">
        <is>
          <t>https://codesommet.com/tools/structured-data-extractor</t>
        </is>
      </c>
      <c r="B531" s="5" t="inlineStr">
        <is>
          <t>Extracteur de Données Structurées JSON-LD</t>
        </is>
      </c>
      <c r="C531" t="inlineStr">
        <is>
          <t>France</t>
        </is>
      </c>
      <c r="D531" t="inlineStr">
        <is>
          <t>fr</t>
        </is>
      </c>
      <c r="E531" t="inlineStr">
        <is>
          <t>PRIMARY</t>
        </is>
      </c>
      <c r="F531" t="inlineStr">
        <is>
          <t>test données structurées</t>
        </is>
      </c>
      <c r="G531" t="n">
        <v>720</v>
      </c>
      <c r="H531" t="n">
        <v>37</v>
      </c>
      <c r="I531" t="n">
        <v>0</v>
      </c>
      <c r="J531" t="inlineStr">
        <is>
          <t>Navigational</t>
        </is>
      </c>
      <c r="K531" t="inlineStr">
        <is>
          <t>MEASURED</t>
        </is>
      </c>
      <c r="L531" t="inlineStr">
        <is>
          <t>P3</t>
        </is>
      </c>
      <c r="M531" t="n">
        <v>100</v>
      </c>
      <c r="N531">
        <f>ROUND(IF(IF(J531="NOT AVAILABLE","",J531)="",12,IF(OR(ISNUMBER(SEARCH("Transactional",IF(J531="NOT AVAILABLE","",J531))),ISNUMBER(SEARCH("Commercial",IF(J531="NOT AVAILABLE","",J531)))),25,IF(ISNUMBER(SEARCH("Informational",IF(J531="NOT AVAILABLE","",J531))),10,IF(ISNUMBER(SEARCH("Navigational",IF(J531="NOT AVAILABLE","",J531))),0,12))))+IF(ISNUMBER(G531),MIN(30,ROUND(30*LOG10(G531+1)/4,1)),0)+IF(ISNUMBER(H531),ROUND(25*(100-H531)/100,1),12.5)+14,0)</f>
        <v/>
      </c>
      <c r="O531">
        <f>ROUND(N531*M531/100,0)</f>
        <v/>
      </c>
      <c r="P531" s="5" t="inlineStr">
        <is>
          <t>Best-fitting measured FR query for the tool task (tools serve the francophone market; FR db used as proxy)</t>
        </is>
      </c>
      <c r="Q531" s="5" t="inlineStr">
        <is>
          <t>None detected</t>
        </is>
      </c>
    </row>
    <row r="532">
      <c r="A532" s="3" t="inlineStr">
        <is>
          <t>https://codesommet.com/tools/structured-data-extractor</t>
        </is>
      </c>
      <c r="B532" s="5" t="inlineStr">
        <is>
          <t>Extracteur de Données Structurées JSON-LD</t>
        </is>
      </c>
      <c r="C532" t="inlineStr">
        <is>
          <t>France</t>
        </is>
      </c>
      <c r="D532" t="inlineStr">
        <is>
          <t>fr</t>
        </is>
      </c>
      <c r="E532" t="inlineStr">
        <is>
          <t>SECONDARY</t>
        </is>
      </c>
      <c r="F532" t="inlineStr">
        <is>
          <t>tester données structurées</t>
        </is>
      </c>
      <c r="G532" t="n">
        <v>480</v>
      </c>
      <c r="H532" t="n">
        <v>35</v>
      </c>
      <c r="I532" t="n">
        <v>0</v>
      </c>
      <c r="J532" t="inlineStr">
        <is>
          <t>Informational, Navigational</t>
        </is>
      </c>
      <c r="K532" t="inlineStr">
        <is>
          <t>MEASURED</t>
        </is>
      </c>
      <c r="L532" t="inlineStr">
        <is>
          <t>P3</t>
        </is>
      </c>
      <c r="M532" t="n">
        <v>85</v>
      </c>
      <c r="N532">
        <f>ROUND(IF(IF(J532="NOT AVAILABLE","",J532)="",12,IF(OR(ISNUMBER(SEARCH("Transactional",IF(J532="NOT AVAILABLE","",J532))),ISNUMBER(SEARCH("Commercial",IF(J532="NOT AVAILABLE","",J532)))),25,IF(ISNUMBER(SEARCH("Informational",IF(J532="NOT AVAILABLE","",J532))),10,IF(ISNUMBER(SEARCH("Navigational",IF(J532="NOT AVAILABLE","",J532))),0,12))))+IF(ISNUMBER(G532),MIN(30,ROUND(30*LOG10(G532+1)/4,1)),0)+IF(ISNUMBER(H532),ROUND(25*(100-H532)/100,1),12.5)+14,0)</f>
        <v/>
      </c>
      <c r="O532">
        <f>ROUND(N532*M532/100,0)</f>
        <v/>
      </c>
      <c r="P532" s="5" t="inlineStr">
        <is>
          <t>Measured variant of the tool task</t>
        </is>
      </c>
      <c r="Q532" s="5" t="inlineStr">
        <is>
          <t>None detected</t>
        </is>
      </c>
    </row>
    <row r="533">
      <c r="A533" s="3" t="inlineStr">
        <is>
          <t>https://codesommet.com/tools/structured-data-extractor</t>
        </is>
      </c>
      <c r="B533" s="5" t="inlineStr">
        <is>
          <t>Extracteur de Données Structurées JSON-LD</t>
        </is>
      </c>
      <c r="C533" t="inlineStr">
        <is>
          <t>France</t>
        </is>
      </c>
      <c r="D533" t="inlineStr">
        <is>
          <t>fr</t>
        </is>
      </c>
      <c r="E533" t="inlineStr">
        <is>
          <t>OPTIONAL</t>
        </is>
      </c>
      <c r="F533" t="inlineStr">
        <is>
          <t>extraire json-ld</t>
        </is>
      </c>
      <c r="G533" t="inlineStr">
        <is>
          <t>NOT AVAILABLE</t>
        </is>
      </c>
      <c r="H533" t="inlineStr">
        <is>
          <t>NOT AVAILABLE</t>
        </is>
      </c>
      <c r="I533" t="inlineStr">
        <is>
          <t>NOT AVAILABLE</t>
        </is>
      </c>
      <c r="J533" t="inlineStr">
        <is>
          <t>NOT AVAILABLE</t>
        </is>
      </c>
      <c r="K533" t="inlineStr">
        <is>
          <t>UNAVAILABLE</t>
        </is>
      </c>
      <c r="L533" t="inlineStr">
        <is>
          <t>P4</t>
        </is>
      </c>
      <c r="M533" t="n">
        <v>45</v>
      </c>
      <c r="N533">
        <f>ROUND(IF(IF(J533="NOT AVAILABLE","",J533)="",12,IF(OR(ISNUMBER(SEARCH("Transactional",IF(J533="NOT AVAILABLE","",J533))),ISNUMBER(SEARCH("Commercial",IF(J533="NOT AVAILABLE","",J533)))),25,IF(ISNUMBER(SEARCH("Informational",IF(J533="NOT AVAILABLE","",J533))),10,IF(ISNUMBER(SEARCH("Navigational",IF(J533="NOT AVAILABLE","",J533))),0,12))))+IF(ISNUMBER(G533),MIN(30,ROUND(30*LOG10(G533+1)/4,1)),0)+IF(ISNUMBER(H533),ROUND(25*(100-H533)/100,1),12.5)+14,0)</f>
        <v/>
      </c>
      <c r="O533">
        <f>ROUND(N533*M533/100,0)</f>
        <v/>
      </c>
      <c r="P533" s="5" t="inlineStr">
        <is>
          <t>Queried - Semrush returned no data or zero volume; usable as natural wording only</t>
        </is>
      </c>
      <c r="Q533" s="5" t="inlineStr">
        <is>
          <t>None detected</t>
        </is>
      </c>
    </row>
    <row r="534">
      <c r="A534" s="3" t="inlineStr">
        <is>
          <t>https://codesommet.com/tools/text-case-converter</t>
        </is>
      </c>
      <c r="B534" s="5" t="inlineStr">
        <is>
          <t>Convertisseur de Casse de Texte Gratuit</t>
        </is>
      </c>
      <c r="C534" t="inlineStr">
        <is>
          <t>France</t>
        </is>
      </c>
      <c r="D534" t="inlineStr">
        <is>
          <t>fr</t>
        </is>
      </c>
      <c r="E534" t="inlineStr">
        <is>
          <t>PRIMARY</t>
        </is>
      </c>
      <c r="F534" t="inlineStr">
        <is>
          <t>majuscule en minuscule</t>
        </is>
      </c>
      <c r="G534" t="n">
        <v>3600</v>
      </c>
      <c r="H534" t="n">
        <v>25</v>
      </c>
      <c r="I534" t="n">
        <v>0</v>
      </c>
      <c r="J534" t="inlineStr">
        <is>
          <t>Informational</t>
        </is>
      </c>
      <c r="K534" t="inlineStr">
        <is>
          <t>MEASURED</t>
        </is>
      </c>
      <c r="L534" t="inlineStr">
        <is>
          <t>P3</t>
        </is>
      </c>
      <c r="M534" t="n">
        <v>100</v>
      </c>
      <c r="N534">
        <f>ROUND(IF(IF(J534="NOT AVAILABLE","",J534)="",12,IF(OR(ISNUMBER(SEARCH("Transactional",IF(J534="NOT AVAILABLE","",J534))),ISNUMBER(SEARCH("Commercial",IF(J534="NOT AVAILABLE","",J534)))),25,IF(ISNUMBER(SEARCH("Informational",IF(J534="NOT AVAILABLE","",J534))),10,IF(ISNUMBER(SEARCH("Navigational",IF(J534="NOT AVAILABLE","",J534))),0,12))))+IF(ISNUMBER(G534),MIN(30,ROUND(30*LOG10(G534+1)/4,1)),0)+IF(ISNUMBER(H534),ROUND(25*(100-H534)/100,1),12.5)+14,0)</f>
        <v/>
      </c>
      <c r="O534">
        <f>ROUND(N534*M534/100,0)</f>
        <v/>
      </c>
      <c r="P534" s="5" t="inlineStr">
        <is>
          <t>Best-fitting measured FR query for the tool task (tools serve the francophone market; FR db used as proxy)</t>
        </is>
      </c>
      <c r="Q534" s="5" t="inlineStr">
        <is>
          <t>None detected</t>
        </is>
      </c>
    </row>
    <row r="535">
      <c r="A535" s="3" t="inlineStr">
        <is>
          <t>https://codesommet.com/tools/text-case-converter</t>
        </is>
      </c>
      <c r="B535" s="5" t="inlineStr">
        <is>
          <t>Convertisseur de Casse de Texte Gratuit</t>
        </is>
      </c>
      <c r="C535" t="inlineStr">
        <is>
          <t>France</t>
        </is>
      </c>
      <c r="D535" t="inlineStr">
        <is>
          <t>fr</t>
        </is>
      </c>
      <c r="E535" t="inlineStr">
        <is>
          <t>SECONDARY</t>
        </is>
      </c>
      <c r="F535" t="inlineStr">
        <is>
          <t>mettre en majuscule</t>
        </is>
      </c>
      <c r="G535" t="n">
        <v>390</v>
      </c>
      <c r="H535" t="n">
        <v>28</v>
      </c>
      <c r="I535" t="n">
        <v>0</v>
      </c>
      <c r="J535" t="inlineStr">
        <is>
          <t>Informational</t>
        </is>
      </c>
      <c r="K535" t="inlineStr">
        <is>
          <t>MEASURED</t>
        </is>
      </c>
      <c r="L535" t="inlineStr">
        <is>
          <t>P3</t>
        </is>
      </c>
      <c r="M535" t="n">
        <v>85</v>
      </c>
      <c r="N535">
        <f>ROUND(IF(IF(J535="NOT AVAILABLE","",J535)="",12,IF(OR(ISNUMBER(SEARCH("Transactional",IF(J535="NOT AVAILABLE","",J535))),ISNUMBER(SEARCH("Commercial",IF(J535="NOT AVAILABLE","",J535)))),25,IF(ISNUMBER(SEARCH("Informational",IF(J535="NOT AVAILABLE","",J535))),10,IF(ISNUMBER(SEARCH("Navigational",IF(J535="NOT AVAILABLE","",J535))),0,12))))+IF(ISNUMBER(G535),MIN(30,ROUND(30*LOG10(G535+1)/4,1)),0)+IF(ISNUMBER(H535),ROUND(25*(100-H535)/100,1),12.5)+14,0)</f>
        <v/>
      </c>
      <c r="O535">
        <f>ROUND(N535*M535/100,0)</f>
        <v/>
      </c>
      <c r="P535" s="5" t="inlineStr">
        <is>
          <t>Measured variant of the tool task</t>
        </is>
      </c>
      <c r="Q535" s="5" t="inlineStr">
        <is>
          <t>None detected</t>
        </is>
      </c>
    </row>
    <row r="536">
      <c r="A536" s="3" t="inlineStr">
        <is>
          <t>https://codesommet.com/tools/text-case-converter</t>
        </is>
      </c>
      <c r="B536" s="5" t="inlineStr">
        <is>
          <t>Convertisseur de Casse de Texte Gratuit</t>
        </is>
      </c>
      <c r="C536" t="inlineStr">
        <is>
          <t>Morocco</t>
        </is>
      </c>
      <c r="D536" t="inlineStr">
        <is>
          <t>ma</t>
        </is>
      </c>
      <c r="E536" t="inlineStr">
        <is>
          <t>SECONDARY</t>
        </is>
      </c>
      <c r="F536" t="inlineStr">
        <is>
          <t>majuscule en minuscule</t>
        </is>
      </c>
      <c r="G536" t="n">
        <v>20</v>
      </c>
      <c r="H536" t="inlineStr">
        <is>
          <t>NOT AVAILABLE</t>
        </is>
      </c>
      <c r="I536" t="n">
        <v>0</v>
      </c>
      <c r="J536" t="inlineStr">
        <is>
          <t>NOT AVAILABLE</t>
        </is>
      </c>
      <c r="K536" t="inlineStr">
        <is>
          <t>MEASURED</t>
        </is>
      </c>
      <c r="L536" t="inlineStr">
        <is>
          <t>P3</t>
        </is>
      </c>
      <c r="M536" t="n">
        <v>85</v>
      </c>
      <c r="N536">
        <f>ROUND(IF(IF(J536="NOT AVAILABLE","",J536)="",12,IF(OR(ISNUMBER(SEARCH("Transactional",IF(J536="NOT AVAILABLE","",J536))),ISNUMBER(SEARCH("Commercial",IF(J536="NOT AVAILABLE","",J536)))),25,IF(ISNUMBER(SEARCH("Informational",IF(J536="NOT AVAILABLE","",J536))),10,IF(ISNUMBER(SEARCH("Navigational",IF(J536="NOT AVAILABLE","",J536))),0,12))))+IF(ISNUMBER(G536),MIN(30,ROUND(30*LOG10(G536+1)/4,1)),0)+IF(ISNUMBER(H536),ROUND(25*(100-H536)/100,1),12.5)+20,0)</f>
        <v/>
      </c>
      <c r="O536">
        <f>ROUND(N536*M536/100,0)</f>
        <v/>
      </c>
      <c r="P536" s="5" t="inlineStr">
        <is>
          <t>Same query, Moroccan market (separate database, never summed)</t>
        </is>
      </c>
      <c r="Q536" s="5" t="inlineStr">
        <is>
          <t>None detected</t>
        </is>
      </c>
    </row>
    <row r="537">
      <c r="A537" s="3" t="inlineStr">
        <is>
          <t>https://codesommet.com/tools/text-case-converter</t>
        </is>
      </c>
      <c r="B537" s="5" t="inlineStr">
        <is>
          <t>Convertisseur de Casse de Texte Gratuit</t>
        </is>
      </c>
      <c r="C537" t="inlineStr">
        <is>
          <t>France</t>
        </is>
      </c>
      <c r="D537" t="inlineStr">
        <is>
          <t>fr</t>
        </is>
      </c>
      <c r="E537" t="inlineStr">
        <is>
          <t>SUPPORTING</t>
        </is>
      </c>
      <c r="F537" t="inlineStr">
        <is>
          <t>convertisseur majuscule</t>
        </is>
      </c>
      <c r="G537" t="n">
        <v>90</v>
      </c>
      <c r="H537" t="n">
        <v>9</v>
      </c>
      <c r="I537" t="n">
        <v>0</v>
      </c>
      <c r="J537" t="inlineStr">
        <is>
          <t>Informational</t>
        </is>
      </c>
      <c r="K537" t="inlineStr">
        <is>
          <t>MEASURED</t>
        </is>
      </c>
      <c r="L537" t="inlineStr">
        <is>
          <t>P3</t>
        </is>
      </c>
      <c r="M537" t="n">
        <v>65</v>
      </c>
      <c r="N537">
        <f>ROUND(IF(IF(J537="NOT AVAILABLE","",J537)="",12,IF(OR(ISNUMBER(SEARCH("Transactional",IF(J537="NOT AVAILABLE","",J537))),ISNUMBER(SEARCH("Commercial",IF(J537="NOT AVAILABLE","",J537)))),25,IF(ISNUMBER(SEARCH("Informational",IF(J537="NOT AVAILABLE","",J537))),10,IF(ISNUMBER(SEARCH("Navigational",IF(J537="NOT AVAILABLE","",J537))),0,12))))+IF(ISNUMBER(G537),MIN(30,ROUND(30*LOG10(G537+1)/4,1)),0)+IF(ISNUMBER(H537),ROUND(25*(100-H537)/100,1),12.5)+14,0)</f>
        <v/>
      </c>
      <c r="O537">
        <f>ROUND(N537*M537/100,0)</f>
        <v/>
      </c>
      <c r="P537" s="5" t="inlineStr">
        <is>
          <t>Measured variant of the tool task</t>
        </is>
      </c>
      <c r="Q537" s="5" t="inlineStr">
        <is>
          <t>None detected</t>
        </is>
      </c>
    </row>
    <row r="538">
      <c r="A538" s="3" t="inlineStr">
        <is>
          <t>https://codesommet.com/tools/text-case-converter</t>
        </is>
      </c>
      <c r="B538" s="5" t="inlineStr">
        <is>
          <t>Convertisseur de Casse de Texte Gratuit</t>
        </is>
      </c>
      <c r="C538" t="inlineStr">
        <is>
          <t>Morocco</t>
        </is>
      </c>
      <c r="D538" t="inlineStr">
        <is>
          <t>ma</t>
        </is>
      </c>
      <c r="E538" t="inlineStr">
        <is>
          <t>SUPPORTING</t>
        </is>
      </c>
      <c r="F538" t="inlineStr">
        <is>
          <t>mettre en majuscule</t>
        </is>
      </c>
      <c r="G538" t="n">
        <v>20</v>
      </c>
      <c r="H538" t="inlineStr">
        <is>
          <t>NOT AVAILABLE</t>
        </is>
      </c>
      <c r="I538" t="n">
        <v>0</v>
      </c>
      <c r="J538" t="inlineStr">
        <is>
          <t>NOT AVAILABLE</t>
        </is>
      </c>
      <c r="K538" t="inlineStr">
        <is>
          <t>MEASURED</t>
        </is>
      </c>
      <c r="L538" t="inlineStr">
        <is>
          <t>P3</t>
        </is>
      </c>
      <c r="M538" t="n">
        <v>65</v>
      </c>
      <c r="N538">
        <f>ROUND(IF(IF(J538="NOT AVAILABLE","",J538)="",12,IF(OR(ISNUMBER(SEARCH("Transactional",IF(J538="NOT AVAILABLE","",J538))),ISNUMBER(SEARCH("Commercial",IF(J538="NOT AVAILABLE","",J538)))),25,IF(ISNUMBER(SEARCH("Informational",IF(J538="NOT AVAILABLE","",J538))),10,IF(ISNUMBER(SEARCH("Navigational",IF(J538="NOT AVAILABLE","",J538))),0,12))))+IF(ISNUMBER(G538),MIN(30,ROUND(30*LOG10(G538+1)/4,1)),0)+IF(ISNUMBER(H538),ROUND(25*(100-H538)/100,1),12.5)+20,0)</f>
        <v/>
      </c>
      <c r="O538">
        <f>ROUND(N538*M538/100,0)</f>
        <v/>
      </c>
      <c r="P538" s="5" t="inlineStr">
        <is>
          <t>Measured variant of the tool task (MA market)</t>
        </is>
      </c>
      <c r="Q538" s="5" t="inlineStr">
        <is>
          <t>None detected</t>
        </is>
      </c>
    </row>
    <row r="539">
      <c r="A539" s="3" t="inlineStr">
        <is>
          <t>https://codesommet.com/tools/text-case-converter</t>
        </is>
      </c>
      <c r="B539" s="5" t="inlineStr">
        <is>
          <t>Convertisseur de Casse de Texte Gratuit</t>
        </is>
      </c>
      <c r="C539" t="inlineStr">
        <is>
          <t>France</t>
        </is>
      </c>
      <c r="D539" t="inlineStr">
        <is>
          <t>fr</t>
        </is>
      </c>
      <c r="E539" t="inlineStr">
        <is>
          <t>OPTIONAL</t>
        </is>
      </c>
      <c r="F539" t="inlineStr">
        <is>
          <t>convertir majuscule minuscule</t>
        </is>
      </c>
      <c r="G539" t="n">
        <v>0</v>
      </c>
      <c r="H539" t="inlineStr">
        <is>
          <t>NOT AVAILABLE</t>
        </is>
      </c>
      <c r="I539" t="n">
        <v>0</v>
      </c>
      <c r="J539" t="inlineStr">
        <is>
          <t>NOT AVAILABLE</t>
        </is>
      </c>
      <c r="K539" t="inlineStr">
        <is>
          <t>MEASURED</t>
        </is>
      </c>
      <c r="L539" t="inlineStr">
        <is>
          <t>P4</t>
        </is>
      </c>
      <c r="M539" t="n">
        <v>45</v>
      </c>
      <c r="N539">
        <f>ROUND(IF(IF(J539="NOT AVAILABLE","",J539)="",12,IF(OR(ISNUMBER(SEARCH("Transactional",IF(J539="NOT AVAILABLE","",J539))),ISNUMBER(SEARCH("Commercial",IF(J539="NOT AVAILABLE","",J539)))),25,IF(ISNUMBER(SEARCH("Informational",IF(J539="NOT AVAILABLE","",J539))),10,IF(ISNUMBER(SEARCH("Navigational",IF(J539="NOT AVAILABLE","",J539))),0,12))))+IF(ISNUMBER(G539),MIN(30,ROUND(30*LOG10(G539+1)/4,1)),0)+IF(ISNUMBER(H539),ROUND(25*(100-H539)/100,1),12.5)+14,0)</f>
        <v/>
      </c>
      <c r="O539">
        <f>ROUND(N539*M539/100,0)</f>
        <v/>
      </c>
      <c r="P539" s="5" t="inlineStr">
        <is>
          <t>Queried - Semrush returned no data or zero volume; usable as natural wording only</t>
        </is>
      </c>
      <c r="Q539" s="5" t="inlineStr">
        <is>
          <t>None detected</t>
        </is>
      </c>
    </row>
    <row r="540">
      <c r="A540" s="3" t="inlineStr">
        <is>
          <t>https://codesommet.com/tools/text-editor</t>
        </is>
      </c>
      <c r="B540" s="5" t="inlineStr">
        <is>
          <t>Éditeur de Texte Ligne par Ligne Gratuit</t>
        </is>
      </c>
      <c r="C540" t="inlineStr">
        <is>
          <t>France</t>
        </is>
      </c>
      <c r="D540" t="inlineStr">
        <is>
          <t>fr</t>
        </is>
      </c>
      <c r="E540" t="inlineStr">
        <is>
          <t>PRIMARY</t>
        </is>
      </c>
      <c r="F540" t="inlineStr">
        <is>
          <t>éditeur de texte en ligne</t>
        </is>
      </c>
      <c r="G540" t="n">
        <v>260</v>
      </c>
      <c r="H540" t="n">
        <v>57</v>
      </c>
      <c r="I540" t="n">
        <v>0.54</v>
      </c>
      <c r="J540" t="inlineStr">
        <is>
          <t>Commercial</t>
        </is>
      </c>
      <c r="K540" t="inlineStr">
        <is>
          <t>MEASURED</t>
        </is>
      </c>
      <c r="L540" t="inlineStr">
        <is>
          <t>P3</t>
        </is>
      </c>
      <c r="M540" t="n">
        <v>100</v>
      </c>
      <c r="N540">
        <f>ROUND(IF(IF(J540="NOT AVAILABLE","",J540)="",12,IF(OR(ISNUMBER(SEARCH("Transactional",IF(J540="NOT AVAILABLE","",J540))),ISNUMBER(SEARCH("Commercial",IF(J540="NOT AVAILABLE","",J540)))),25,IF(ISNUMBER(SEARCH("Informational",IF(J540="NOT AVAILABLE","",J540))),10,IF(ISNUMBER(SEARCH("Navigational",IF(J540="NOT AVAILABLE","",J540))),0,12))))+IF(ISNUMBER(G540),MIN(30,ROUND(30*LOG10(G540+1)/4,1)),0)+IF(ISNUMBER(H540),ROUND(25*(100-H540)/100,1),12.5)+14,0)</f>
        <v/>
      </c>
      <c r="O540">
        <f>ROUND(N540*M540/100,0)</f>
        <v/>
      </c>
      <c r="P540" s="5" t="inlineStr">
        <is>
          <t>Best-fitting measured FR query for the tool task (tools serve the francophone market; FR db used as proxy)</t>
        </is>
      </c>
      <c r="Q540" s="5" t="inlineStr">
        <is>
          <t>None detected</t>
        </is>
      </c>
    </row>
    <row r="541">
      <c r="A541" s="3" t="inlineStr">
        <is>
          <t>https://codesommet.com/tools/text-editor</t>
        </is>
      </c>
      <c r="B541" s="5" t="inlineStr">
        <is>
          <t>Éditeur de Texte Ligne par Ligne Gratuit</t>
        </is>
      </c>
      <c r="C541" t="inlineStr">
        <is>
          <t>Morocco</t>
        </is>
      </c>
      <c r="D541" t="inlineStr">
        <is>
          <t>ma</t>
        </is>
      </c>
      <c r="E541" t="inlineStr">
        <is>
          <t>SECONDARY</t>
        </is>
      </c>
      <c r="F541" t="inlineStr">
        <is>
          <t>éditeur de texte en ligne</t>
        </is>
      </c>
      <c r="G541" t="n">
        <v>10</v>
      </c>
      <c r="H541" t="inlineStr">
        <is>
          <t>NOT AVAILABLE</t>
        </is>
      </c>
      <c r="I541" t="n">
        <v>0</v>
      </c>
      <c r="J541" t="inlineStr">
        <is>
          <t>NOT AVAILABLE</t>
        </is>
      </c>
      <c r="K541" t="inlineStr">
        <is>
          <t>MEASURED</t>
        </is>
      </c>
      <c r="L541" t="inlineStr">
        <is>
          <t>P3</t>
        </is>
      </c>
      <c r="M541" t="n">
        <v>85</v>
      </c>
      <c r="N541">
        <f>ROUND(IF(IF(J541="NOT AVAILABLE","",J541)="",12,IF(OR(ISNUMBER(SEARCH("Transactional",IF(J541="NOT AVAILABLE","",J541))),ISNUMBER(SEARCH("Commercial",IF(J541="NOT AVAILABLE","",J541)))),25,IF(ISNUMBER(SEARCH("Informational",IF(J541="NOT AVAILABLE","",J541))),10,IF(ISNUMBER(SEARCH("Navigational",IF(J541="NOT AVAILABLE","",J541))),0,12))))+IF(ISNUMBER(G541),MIN(30,ROUND(30*LOG10(G541+1)/4,1)),0)+IF(ISNUMBER(H541),ROUND(25*(100-H541)/100,1),12.5)+20,0)</f>
        <v/>
      </c>
      <c r="O541">
        <f>ROUND(N541*M541/100,0)</f>
        <v/>
      </c>
      <c r="P541" s="5" t="inlineStr">
        <is>
          <t>Same query, Moroccan market (separate database, never summed)</t>
        </is>
      </c>
      <c r="Q541" s="5" t="inlineStr">
        <is>
          <t>None detected</t>
        </is>
      </c>
    </row>
    <row r="542">
      <c r="A542" s="3" t="inlineStr">
        <is>
          <t>https://codesommet.com/tools/text-editor</t>
        </is>
      </c>
      <c r="B542" s="5" t="inlineStr">
        <is>
          <t>Éditeur de Texte Ligne par Ligne Gratuit</t>
        </is>
      </c>
      <c r="C542" t="inlineStr">
        <is>
          <t>France</t>
        </is>
      </c>
      <c r="D542" t="inlineStr">
        <is>
          <t>fr</t>
        </is>
      </c>
      <c r="E542" t="inlineStr">
        <is>
          <t>OPTIONAL</t>
        </is>
      </c>
      <c r="F542" t="inlineStr">
        <is>
          <t>supprimer lignes en double</t>
        </is>
      </c>
      <c r="G542" t="inlineStr">
        <is>
          <t>NOT AVAILABLE</t>
        </is>
      </c>
      <c r="H542" t="inlineStr">
        <is>
          <t>NOT AVAILABLE</t>
        </is>
      </c>
      <c r="I542" t="inlineStr">
        <is>
          <t>NOT AVAILABLE</t>
        </is>
      </c>
      <c r="J542" t="inlineStr">
        <is>
          <t>NOT AVAILABLE</t>
        </is>
      </c>
      <c r="K542" t="inlineStr">
        <is>
          <t>UNAVAILABLE</t>
        </is>
      </c>
      <c r="L542" t="inlineStr">
        <is>
          <t>P4</t>
        </is>
      </c>
      <c r="M542" t="n">
        <v>45</v>
      </c>
      <c r="N542">
        <f>ROUND(IF(IF(J542="NOT AVAILABLE","",J542)="",12,IF(OR(ISNUMBER(SEARCH("Transactional",IF(J542="NOT AVAILABLE","",J542))),ISNUMBER(SEARCH("Commercial",IF(J542="NOT AVAILABLE","",J542)))),25,IF(ISNUMBER(SEARCH("Informational",IF(J542="NOT AVAILABLE","",J542))),10,IF(ISNUMBER(SEARCH("Navigational",IF(J542="NOT AVAILABLE","",J542))),0,12))))+IF(ISNUMBER(G542),MIN(30,ROUND(30*LOG10(G542+1)/4,1)),0)+IF(ISNUMBER(H542),ROUND(25*(100-H542)/100,1),12.5)+14,0)</f>
        <v/>
      </c>
      <c r="O542">
        <f>ROUND(N542*M542/100,0)</f>
        <v/>
      </c>
      <c r="P542" s="5" t="inlineStr">
        <is>
          <t>Queried - Semrush returned no data or zero volume; usable as natural wording only</t>
        </is>
      </c>
      <c r="Q542" s="5" t="inlineStr">
        <is>
          <t>None detected</t>
        </is>
      </c>
    </row>
    <row r="543">
      <c r="A543" s="3" t="inlineStr">
        <is>
          <t>https://codesommet.com/tools/text-editor</t>
        </is>
      </c>
      <c r="B543" s="5" t="inlineStr">
        <is>
          <t>Éditeur de Texte Ligne par Ligne Gratuit</t>
        </is>
      </c>
      <c r="C543" t="inlineStr">
        <is>
          <t>France</t>
        </is>
      </c>
      <c r="D543" t="inlineStr">
        <is>
          <t>fr</t>
        </is>
      </c>
      <c r="E543" t="inlineStr">
        <is>
          <t>OPTIONAL</t>
        </is>
      </c>
      <c r="F543" t="inlineStr">
        <is>
          <t>trier lignes</t>
        </is>
      </c>
      <c r="G543" t="inlineStr">
        <is>
          <t>NOT AVAILABLE</t>
        </is>
      </c>
      <c r="H543" t="inlineStr">
        <is>
          <t>NOT AVAILABLE</t>
        </is>
      </c>
      <c r="I543" t="inlineStr">
        <is>
          <t>NOT AVAILABLE</t>
        </is>
      </c>
      <c r="J543" t="inlineStr">
        <is>
          <t>NOT AVAILABLE</t>
        </is>
      </c>
      <c r="K543" t="inlineStr">
        <is>
          <t>UNAVAILABLE</t>
        </is>
      </c>
      <c r="L543" t="inlineStr">
        <is>
          <t>P4</t>
        </is>
      </c>
      <c r="M543" t="n">
        <v>45</v>
      </c>
      <c r="N543">
        <f>ROUND(IF(IF(J543="NOT AVAILABLE","",J543)="",12,IF(OR(ISNUMBER(SEARCH("Transactional",IF(J543="NOT AVAILABLE","",J543))),ISNUMBER(SEARCH("Commercial",IF(J543="NOT AVAILABLE","",J543)))),25,IF(ISNUMBER(SEARCH("Informational",IF(J543="NOT AVAILABLE","",J543))),10,IF(ISNUMBER(SEARCH("Navigational",IF(J543="NOT AVAILABLE","",J543))),0,12))))+IF(ISNUMBER(G543),MIN(30,ROUND(30*LOG10(G543+1)/4,1)),0)+IF(ISNUMBER(H543),ROUND(25*(100-H543)/100,1),12.5)+14,0)</f>
        <v/>
      </c>
      <c r="O543">
        <f>ROUND(N543*M543/100,0)</f>
        <v/>
      </c>
      <c r="P543" s="5" t="inlineStr">
        <is>
          <t>Queried - Semrush returned no data or zero volume; usable as natural wording only</t>
        </is>
      </c>
      <c r="Q543" s="5" t="inlineStr">
        <is>
          <t>None detected</t>
        </is>
      </c>
    </row>
    <row r="544">
      <c r="A544" s="3" t="inlineStr">
        <is>
          <t>https://codesommet.com/tools/url-editor</t>
        </is>
      </c>
      <c r="B544" s="5" t="inlineStr">
        <is>
          <t>Éditeur d'URL en Masse : Nettoyer les URL</t>
        </is>
      </c>
      <c r="C544" t="inlineStr">
        <is>
          <t>France</t>
        </is>
      </c>
      <c r="D544" t="inlineStr">
        <is>
          <t>fr</t>
        </is>
      </c>
      <c r="E544" t="inlineStr">
        <is>
          <t>PRIMARY</t>
        </is>
      </c>
      <c r="F544" t="inlineStr">
        <is>
          <t>nettoyer url</t>
        </is>
      </c>
      <c r="G544" t="inlineStr">
        <is>
          <t>NOT AVAILABLE</t>
        </is>
      </c>
      <c r="H544" t="inlineStr">
        <is>
          <t>NOT AVAILABLE</t>
        </is>
      </c>
      <c r="I544" t="inlineStr">
        <is>
          <t>NOT AVAILABLE</t>
        </is>
      </c>
      <c r="J544" t="inlineStr">
        <is>
          <t>NOT AVAILABLE</t>
        </is>
      </c>
      <c r="K544" t="inlineStr">
        <is>
          <t>UNAVAILABLE</t>
        </is>
      </c>
      <c r="L544" t="inlineStr">
        <is>
          <t>P3</t>
        </is>
      </c>
      <c r="M544" t="n">
        <v>100</v>
      </c>
      <c r="N544">
        <f>ROUND(IF(IF(J544="NOT AVAILABLE","",J544)="",12,IF(OR(ISNUMBER(SEARCH("Transactional",IF(J544="NOT AVAILABLE","",J544))),ISNUMBER(SEARCH("Commercial",IF(J544="NOT AVAILABLE","",J544)))),25,IF(ISNUMBER(SEARCH("Informational",IF(J544="NOT AVAILABLE","",J544))),10,IF(ISNUMBER(SEARCH("Navigational",IF(J544="NOT AVAILABLE","",J544))),0,12))))+IF(ISNUMBER(G544),MIN(30,ROUND(30*LOG10(G544+1)/4,1)),0)+IF(ISNUMBER(H544),ROUND(25*(100-H544)/100,1),12.5)+14,0)</f>
        <v/>
      </c>
      <c r="O544">
        <f>ROUND(N544*M544/100,0)</f>
        <v/>
      </c>
      <c r="P544" s="5" t="inlineStr">
        <is>
          <t>No measured demand for the tool phrases - long-tail anchor (UNAVAILABLE in Semrush)</t>
        </is>
      </c>
      <c r="Q544" s="5" t="inlineStr">
        <is>
          <t>None detected</t>
        </is>
      </c>
    </row>
    <row r="545">
      <c r="A545" s="3" t="inlineStr">
        <is>
          <t>https://codesommet.com/tools/url-editor</t>
        </is>
      </c>
      <c r="B545" s="5" t="inlineStr">
        <is>
          <t>Éditeur d'URL en Masse : Nettoyer les URL</t>
        </is>
      </c>
      <c r="C545" t="inlineStr">
        <is>
          <t>France</t>
        </is>
      </c>
      <c r="D545" t="inlineStr">
        <is>
          <t>fr</t>
        </is>
      </c>
      <c r="E545" t="inlineStr">
        <is>
          <t>OPTIONAL</t>
        </is>
      </c>
      <c r="F545" t="inlineStr">
        <is>
          <t>éditer url en masse</t>
        </is>
      </c>
      <c r="G545" t="inlineStr">
        <is>
          <t>NOT AVAILABLE</t>
        </is>
      </c>
      <c r="H545" t="inlineStr">
        <is>
          <t>NOT AVAILABLE</t>
        </is>
      </c>
      <c r="I545" t="inlineStr">
        <is>
          <t>NOT AVAILABLE</t>
        </is>
      </c>
      <c r="J545" t="inlineStr">
        <is>
          <t>NOT AVAILABLE</t>
        </is>
      </c>
      <c r="K545" t="inlineStr">
        <is>
          <t>UNAVAILABLE</t>
        </is>
      </c>
      <c r="L545" t="inlineStr">
        <is>
          <t>P4</t>
        </is>
      </c>
      <c r="M545" t="n">
        <v>45</v>
      </c>
      <c r="N545">
        <f>ROUND(IF(IF(J545="NOT AVAILABLE","",J545)="",12,IF(OR(ISNUMBER(SEARCH("Transactional",IF(J545="NOT AVAILABLE","",J545))),ISNUMBER(SEARCH("Commercial",IF(J545="NOT AVAILABLE","",J545)))),25,IF(ISNUMBER(SEARCH("Informational",IF(J545="NOT AVAILABLE","",J545))),10,IF(ISNUMBER(SEARCH("Navigational",IF(J545="NOT AVAILABLE","",J545))),0,12))))+IF(ISNUMBER(G545),MIN(30,ROUND(30*LOG10(G545+1)/4,1)),0)+IF(ISNUMBER(H545),ROUND(25*(100-H545)/100,1),12.5)+14,0)</f>
        <v/>
      </c>
      <c r="O545">
        <f>ROUND(N545*M545/100,0)</f>
        <v/>
      </c>
      <c r="P545" s="5" t="inlineStr">
        <is>
          <t>Queried - Semrush returned no data or zero volume; usable as natural wording only</t>
        </is>
      </c>
      <c r="Q545" s="5" t="inlineStr">
        <is>
          <t>None detected</t>
        </is>
      </c>
    </row>
    <row r="546">
      <c r="A546" s="3" t="inlineStr">
        <is>
          <t>https://codesommet.com/tools/url-editor</t>
        </is>
      </c>
      <c r="B546" s="5" t="inlineStr">
        <is>
          <t>Éditeur d'URL en Masse : Nettoyer les URL</t>
        </is>
      </c>
      <c r="C546" t="inlineStr">
        <is>
          <t>France</t>
        </is>
      </c>
      <c r="D546" t="inlineStr">
        <is>
          <t>fr</t>
        </is>
      </c>
      <c r="E546" t="inlineStr">
        <is>
          <t>OPTIONAL</t>
        </is>
      </c>
      <c r="F546" t="inlineStr">
        <is>
          <t>supprimer paramètres url</t>
        </is>
      </c>
      <c r="G546" t="inlineStr">
        <is>
          <t>NOT AVAILABLE</t>
        </is>
      </c>
      <c r="H546" t="inlineStr">
        <is>
          <t>NOT AVAILABLE</t>
        </is>
      </c>
      <c r="I546" t="inlineStr">
        <is>
          <t>NOT AVAILABLE</t>
        </is>
      </c>
      <c r="J546" t="inlineStr">
        <is>
          <t>NOT AVAILABLE</t>
        </is>
      </c>
      <c r="K546" t="inlineStr">
        <is>
          <t>UNAVAILABLE</t>
        </is>
      </c>
      <c r="L546" t="inlineStr">
        <is>
          <t>P4</t>
        </is>
      </c>
      <c r="M546" t="n">
        <v>45</v>
      </c>
      <c r="N546">
        <f>ROUND(IF(IF(J546="NOT AVAILABLE","",J546)="",12,IF(OR(ISNUMBER(SEARCH("Transactional",IF(J546="NOT AVAILABLE","",J546))),ISNUMBER(SEARCH("Commercial",IF(J546="NOT AVAILABLE","",J546)))),25,IF(ISNUMBER(SEARCH("Informational",IF(J546="NOT AVAILABLE","",J546))),10,IF(ISNUMBER(SEARCH("Navigational",IF(J546="NOT AVAILABLE","",J546))),0,12))))+IF(ISNUMBER(G546),MIN(30,ROUND(30*LOG10(G546+1)/4,1)),0)+IF(ISNUMBER(H546),ROUND(25*(100-H546)/100,1),12.5)+14,0)</f>
        <v/>
      </c>
      <c r="O546">
        <f>ROUND(N546*M546/100,0)</f>
        <v/>
      </c>
      <c r="P546" s="5" t="inlineStr">
        <is>
          <t>Queried - Semrush returned no data or zero volume; usable as natural wording only</t>
        </is>
      </c>
      <c r="Q546" s="5" t="inlineStr">
        <is>
          <t>None detected</t>
        </is>
      </c>
    </row>
    <row r="547">
      <c r="A547" s="3" t="inlineStr">
        <is>
          <t>https://codesommet.com/tools/url-slug-generator</t>
        </is>
      </c>
      <c r="B547" s="5" t="inlineStr">
        <is>
          <t>Générateur de Slug d'URL SEO Gratuit</t>
        </is>
      </c>
      <c r="C547" t="inlineStr">
        <is>
          <t>France</t>
        </is>
      </c>
      <c r="D547" t="inlineStr">
        <is>
          <t>fr</t>
        </is>
      </c>
      <c r="E547" t="inlineStr">
        <is>
          <t>PRIMARY</t>
        </is>
      </c>
      <c r="F547" t="inlineStr">
        <is>
          <t>slug seo</t>
        </is>
      </c>
      <c r="G547" t="n">
        <v>170</v>
      </c>
      <c r="H547" t="n">
        <v>13</v>
      </c>
      <c r="I547" t="n">
        <v>0</v>
      </c>
      <c r="J547" t="inlineStr">
        <is>
          <t>Informational</t>
        </is>
      </c>
      <c r="K547" t="inlineStr">
        <is>
          <t>MEASURED</t>
        </is>
      </c>
      <c r="L547" t="inlineStr">
        <is>
          <t>P3</t>
        </is>
      </c>
      <c r="M547" t="n">
        <v>100</v>
      </c>
      <c r="N547">
        <f>ROUND(IF(IF(J547="NOT AVAILABLE","",J547)="",12,IF(OR(ISNUMBER(SEARCH("Transactional",IF(J547="NOT AVAILABLE","",J547))),ISNUMBER(SEARCH("Commercial",IF(J547="NOT AVAILABLE","",J547)))),25,IF(ISNUMBER(SEARCH("Informational",IF(J547="NOT AVAILABLE","",J547))),10,IF(ISNUMBER(SEARCH("Navigational",IF(J547="NOT AVAILABLE","",J547))),0,12))))+IF(ISNUMBER(G547),MIN(30,ROUND(30*LOG10(G547+1)/4,1)),0)+IF(ISNUMBER(H547),ROUND(25*(100-H547)/100,1),12.5)+14,0)</f>
        <v/>
      </c>
      <c r="O547">
        <f>ROUND(N547*M547/100,0)</f>
        <v/>
      </c>
      <c r="P547" s="5" t="inlineStr">
        <is>
          <t>Best-fitting measured FR query for the tool task (tools serve the francophone market; FR db used as proxy)</t>
        </is>
      </c>
      <c r="Q547" s="5" t="inlineStr">
        <is>
          <t>None detected</t>
        </is>
      </c>
    </row>
    <row r="548">
      <c r="A548" s="3" t="inlineStr">
        <is>
          <t>https://codesommet.com/tools/url-slug-generator</t>
        </is>
      </c>
      <c r="B548" s="5" t="inlineStr">
        <is>
          <t>Générateur de Slug d'URL SEO Gratuit</t>
        </is>
      </c>
      <c r="C548" t="inlineStr">
        <is>
          <t>Morocco</t>
        </is>
      </c>
      <c r="D548" t="inlineStr">
        <is>
          <t>ma</t>
        </is>
      </c>
      <c r="E548" t="inlineStr">
        <is>
          <t>SECONDARY</t>
        </is>
      </c>
      <c r="F548" t="inlineStr">
        <is>
          <t>slug seo</t>
        </is>
      </c>
      <c r="G548" t="n">
        <v>10</v>
      </c>
      <c r="H548" t="inlineStr">
        <is>
          <t>NOT AVAILABLE</t>
        </is>
      </c>
      <c r="I548" t="n">
        <v>0</v>
      </c>
      <c r="J548" t="inlineStr">
        <is>
          <t>NOT AVAILABLE</t>
        </is>
      </c>
      <c r="K548" t="inlineStr">
        <is>
          <t>MEASURED</t>
        </is>
      </c>
      <c r="L548" t="inlineStr">
        <is>
          <t>P3</t>
        </is>
      </c>
      <c r="M548" t="n">
        <v>85</v>
      </c>
      <c r="N548">
        <f>ROUND(IF(IF(J548="NOT AVAILABLE","",J548)="",12,IF(OR(ISNUMBER(SEARCH("Transactional",IF(J548="NOT AVAILABLE","",J548))),ISNUMBER(SEARCH("Commercial",IF(J548="NOT AVAILABLE","",J548)))),25,IF(ISNUMBER(SEARCH("Informational",IF(J548="NOT AVAILABLE","",J548))),10,IF(ISNUMBER(SEARCH("Navigational",IF(J548="NOT AVAILABLE","",J548))),0,12))))+IF(ISNUMBER(G548),MIN(30,ROUND(30*LOG10(G548+1)/4,1)),0)+IF(ISNUMBER(H548),ROUND(25*(100-H548)/100,1),12.5)+20,0)</f>
        <v/>
      </c>
      <c r="O548">
        <f>ROUND(N548*M548/100,0)</f>
        <v/>
      </c>
      <c r="P548" s="5" t="inlineStr">
        <is>
          <t>Same query, Moroccan market (separate database, never summed)</t>
        </is>
      </c>
      <c r="Q548" s="5" t="inlineStr">
        <is>
          <t>None detected</t>
        </is>
      </c>
    </row>
    <row r="549">
      <c r="A549" s="3" t="inlineStr">
        <is>
          <t>https://codesommet.com/tools/url-slug-generator</t>
        </is>
      </c>
      <c r="B549" s="5" t="inlineStr">
        <is>
          <t>Générateur de Slug d'URL SEO Gratuit</t>
        </is>
      </c>
      <c r="C549" t="inlineStr">
        <is>
          <t>France</t>
        </is>
      </c>
      <c r="D549" t="inlineStr">
        <is>
          <t>fr</t>
        </is>
      </c>
      <c r="E549" t="inlineStr">
        <is>
          <t>SUPPORTING</t>
        </is>
      </c>
      <c r="F549" t="inlineStr">
        <is>
          <t>slug url</t>
        </is>
      </c>
      <c r="G549" t="n">
        <v>70</v>
      </c>
      <c r="H549" t="n">
        <v>15</v>
      </c>
      <c r="I549" t="n">
        <v>0</v>
      </c>
      <c r="J549" t="inlineStr">
        <is>
          <t>Informational</t>
        </is>
      </c>
      <c r="K549" t="inlineStr">
        <is>
          <t>MEASURED</t>
        </is>
      </c>
      <c r="L549" t="inlineStr">
        <is>
          <t>P3</t>
        </is>
      </c>
      <c r="M549" t="n">
        <v>65</v>
      </c>
      <c r="N549">
        <f>ROUND(IF(IF(J549="NOT AVAILABLE","",J549)="",12,IF(OR(ISNUMBER(SEARCH("Transactional",IF(J549="NOT AVAILABLE","",J549))),ISNUMBER(SEARCH("Commercial",IF(J549="NOT AVAILABLE","",J549)))),25,IF(ISNUMBER(SEARCH("Informational",IF(J549="NOT AVAILABLE","",J549))),10,IF(ISNUMBER(SEARCH("Navigational",IF(J549="NOT AVAILABLE","",J549))),0,12))))+IF(ISNUMBER(G549),MIN(30,ROUND(30*LOG10(G549+1)/4,1)),0)+IF(ISNUMBER(H549),ROUND(25*(100-H549)/100,1),12.5)+14,0)</f>
        <v/>
      </c>
      <c r="O549">
        <f>ROUND(N549*M549/100,0)</f>
        <v/>
      </c>
      <c r="P549" s="5" t="inlineStr">
        <is>
          <t>Measured variant of the tool task</t>
        </is>
      </c>
      <c r="Q549" s="5" t="inlineStr">
        <is>
          <t>None detected</t>
        </is>
      </c>
    </row>
    <row r="550">
      <c r="A550" s="3" t="inlineStr">
        <is>
          <t>https://codesommet.com/tools/url-slug-generator</t>
        </is>
      </c>
      <c r="B550" s="5" t="inlineStr">
        <is>
          <t>Générateur de Slug d'URL SEO Gratuit</t>
        </is>
      </c>
      <c r="C550" t="inlineStr">
        <is>
          <t>Morocco</t>
        </is>
      </c>
      <c r="D550" t="inlineStr">
        <is>
          <t>ma</t>
        </is>
      </c>
      <c r="E550" t="inlineStr">
        <is>
          <t>SUPPORTING</t>
        </is>
      </c>
      <c r="F550" t="inlineStr">
        <is>
          <t>slug url</t>
        </is>
      </c>
      <c r="G550" t="n">
        <v>20</v>
      </c>
      <c r="H550" t="inlineStr">
        <is>
          <t>NOT AVAILABLE</t>
        </is>
      </c>
      <c r="I550" t="n">
        <v>0</v>
      </c>
      <c r="J550" t="inlineStr">
        <is>
          <t>NOT AVAILABLE</t>
        </is>
      </c>
      <c r="K550" t="inlineStr">
        <is>
          <t>MEASURED</t>
        </is>
      </c>
      <c r="L550" t="inlineStr">
        <is>
          <t>P3</t>
        </is>
      </c>
      <c r="M550" t="n">
        <v>65</v>
      </c>
      <c r="N550">
        <f>ROUND(IF(IF(J550="NOT AVAILABLE","",J550)="",12,IF(OR(ISNUMBER(SEARCH("Transactional",IF(J550="NOT AVAILABLE","",J550))),ISNUMBER(SEARCH("Commercial",IF(J550="NOT AVAILABLE","",J550)))),25,IF(ISNUMBER(SEARCH("Informational",IF(J550="NOT AVAILABLE","",J550))),10,IF(ISNUMBER(SEARCH("Navigational",IF(J550="NOT AVAILABLE","",J550))),0,12))))+IF(ISNUMBER(G550),MIN(30,ROUND(30*LOG10(G550+1)/4,1)),0)+IF(ISNUMBER(H550),ROUND(25*(100-H550)/100,1),12.5)+20,0)</f>
        <v/>
      </c>
      <c r="O550">
        <f>ROUND(N550*M550/100,0)</f>
        <v/>
      </c>
      <c r="P550" s="5" t="inlineStr">
        <is>
          <t>Measured variant of the tool task (MA market)</t>
        </is>
      </c>
      <c r="Q550" s="5" t="inlineStr">
        <is>
          <t>None detected</t>
        </is>
      </c>
    </row>
    <row r="551">
      <c r="A551" s="3" t="inlineStr">
        <is>
          <t>https://codesommet.com/tools/url-slug-generator</t>
        </is>
      </c>
      <c r="B551" s="5" t="inlineStr">
        <is>
          <t>Générateur de Slug d'URL SEO Gratuit</t>
        </is>
      </c>
      <c r="C551" t="inlineStr">
        <is>
          <t>France</t>
        </is>
      </c>
      <c r="D551" t="inlineStr">
        <is>
          <t>fr</t>
        </is>
      </c>
      <c r="E551" t="inlineStr">
        <is>
          <t>OPTIONAL</t>
        </is>
      </c>
      <c r="F551" t="inlineStr">
        <is>
          <t>générateur de slug</t>
        </is>
      </c>
      <c r="G551" t="inlineStr">
        <is>
          <t>NOT AVAILABLE</t>
        </is>
      </c>
      <c r="H551" t="inlineStr">
        <is>
          <t>NOT AVAILABLE</t>
        </is>
      </c>
      <c r="I551" t="inlineStr">
        <is>
          <t>NOT AVAILABLE</t>
        </is>
      </c>
      <c r="J551" t="inlineStr">
        <is>
          <t>NOT AVAILABLE</t>
        </is>
      </c>
      <c r="K551" t="inlineStr">
        <is>
          <t>UNAVAILABLE</t>
        </is>
      </c>
      <c r="L551" t="inlineStr">
        <is>
          <t>P4</t>
        </is>
      </c>
      <c r="M551" t="n">
        <v>45</v>
      </c>
      <c r="N551">
        <f>ROUND(IF(IF(J551="NOT AVAILABLE","",J551)="",12,IF(OR(ISNUMBER(SEARCH("Transactional",IF(J551="NOT AVAILABLE","",J551))),ISNUMBER(SEARCH("Commercial",IF(J551="NOT AVAILABLE","",J551)))),25,IF(ISNUMBER(SEARCH("Informational",IF(J551="NOT AVAILABLE","",J551))),10,IF(ISNUMBER(SEARCH("Navigational",IF(J551="NOT AVAILABLE","",J551))),0,12))))+IF(ISNUMBER(G551),MIN(30,ROUND(30*LOG10(G551+1)/4,1)),0)+IF(ISNUMBER(H551),ROUND(25*(100-H551)/100,1),12.5)+14,0)</f>
        <v/>
      </c>
      <c r="O551">
        <f>ROUND(N551*M551/100,0)</f>
        <v/>
      </c>
      <c r="P551" s="5" t="inlineStr">
        <is>
          <t>Queried - Semrush returned no data or zero volume; usable as natural wording only</t>
        </is>
      </c>
      <c r="Q551" s="5" t="inlineStr">
        <is>
          <t>None detected</t>
        </is>
      </c>
    </row>
    <row r="552">
      <c r="A552" s="3" t="inlineStr">
        <is>
          <t>https://codesommet.com/tools/utm-builder</t>
        </is>
      </c>
      <c r="B552" s="5" t="inlineStr">
        <is>
          <t>Générateur d'URL UTM Gratuit</t>
        </is>
      </c>
      <c r="C552" t="inlineStr">
        <is>
          <t>France</t>
        </is>
      </c>
      <c r="D552" t="inlineStr">
        <is>
          <t>fr</t>
        </is>
      </c>
      <c r="E552" t="inlineStr">
        <is>
          <t>PRIMARY</t>
        </is>
      </c>
      <c r="F552" t="inlineStr">
        <is>
          <t>utm builder</t>
        </is>
      </c>
      <c r="G552" t="n">
        <v>1600</v>
      </c>
      <c r="H552" t="n">
        <v>51</v>
      </c>
      <c r="I552" t="n">
        <v>48.33</v>
      </c>
      <c r="J552" t="inlineStr">
        <is>
          <t>Informational</t>
        </is>
      </c>
      <c r="K552" t="inlineStr">
        <is>
          <t>MEASURED</t>
        </is>
      </c>
      <c r="L552" t="inlineStr">
        <is>
          <t>P3</t>
        </is>
      </c>
      <c r="M552" t="n">
        <v>100</v>
      </c>
      <c r="N552">
        <f>ROUND(IF(IF(J552="NOT AVAILABLE","",J552)="",12,IF(OR(ISNUMBER(SEARCH("Transactional",IF(J552="NOT AVAILABLE","",J552))),ISNUMBER(SEARCH("Commercial",IF(J552="NOT AVAILABLE","",J552)))),25,IF(ISNUMBER(SEARCH("Informational",IF(J552="NOT AVAILABLE","",J552))),10,IF(ISNUMBER(SEARCH("Navigational",IF(J552="NOT AVAILABLE","",J552))),0,12))))+IF(ISNUMBER(G552),MIN(30,ROUND(30*LOG10(G552+1)/4,1)),0)+IF(ISNUMBER(H552),ROUND(25*(100-H552)/100,1),12.5)+14,0)</f>
        <v/>
      </c>
      <c r="O552">
        <f>ROUND(N552*M552/100,0)</f>
        <v/>
      </c>
      <c r="P552" s="5" t="inlineStr">
        <is>
          <t>Best-fitting measured FR query for the tool task (tools serve the francophone market; FR db used as proxy)</t>
        </is>
      </c>
      <c r="Q552" s="5" t="inlineStr">
        <is>
          <t>None detected</t>
        </is>
      </c>
    </row>
    <row r="553">
      <c r="A553" s="3" t="inlineStr">
        <is>
          <t>https://codesommet.com/tools/utm-builder</t>
        </is>
      </c>
      <c r="B553" s="5" t="inlineStr">
        <is>
          <t>Générateur d'URL UTM Gratuit</t>
        </is>
      </c>
      <c r="C553" t="inlineStr">
        <is>
          <t>France</t>
        </is>
      </c>
      <c r="D553" t="inlineStr">
        <is>
          <t>fr</t>
        </is>
      </c>
      <c r="E553" t="inlineStr">
        <is>
          <t>SECONDARY</t>
        </is>
      </c>
      <c r="F553" t="inlineStr">
        <is>
          <t>utm</t>
        </is>
      </c>
      <c r="G553" t="n">
        <v>5400</v>
      </c>
      <c r="H553" t="n">
        <v>36</v>
      </c>
      <c r="I553" t="n">
        <v>3.31</v>
      </c>
      <c r="J553" t="inlineStr">
        <is>
          <t>Informational, Navigational</t>
        </is>
      </c>
      <c r="K553" t="inlineStr">
        <is>
          <t>MEASURED</t>
        </is>
      </c>
      <c r="L553" t="inlineStr">
        <is>
          <t>P3</t>
        </is>
      </c>
      <c r="M553" t="n">
        <v>85</v>
      </c>
      <c r="N553">
        <f>ROUND(IF(IF(J553="NOT AVAILABLE","",J553)="",12,IF(OR(ISNUMBER(SEARCH("Transactional",IF(J553="NOT AVAILABLE","",J553))),ISNUMBER(SEARCH("Commercial",IF(J553="NOT AVAILABLE","",J553)))),25,IF(ISNUMBER(SEARCH("Informational",IF(J553="NOT AVAILABLE","",J553))),10,IF(ISNUMBER(SEARCH("Navigational",IF(J553="NOT AVAILABLE","",J553))),0,12))))+IF(ISNUMBER(G553),MIN(30,ROUND(30*LOG10(G553+1)/4,1)),0)+IF(ISNUMBER(H553),ROUND(25*(100-H553)/100,1),12.5)+14,0)</f>
        <v/>
      </c>
      <c r="O553">
        <f>ROUND(N553*M553/100,0)</f>
        <v/>
      </c>
      <c r="P553" s="5" t="inlineStr">
        <is>
          <t>Measured variant of the tool task</t>
        </is>
      </c>
      <c r="Q553" s="5" t="inlineStr">
        <is>
          <t>None detected</t>
        </is>
      </c>
    </row>
    <row r="554">
      <c r="A554" s="3" t="inlineStr">
        <is>
          <t>https://codesommet.com/tools/utm-builder</t>
        </is>
      </c>
      <c r="B554" s="5" t="inlineStr">
        <is>
          <t>Générateur d'URL UTM Gratuit</t>
        </is>
      </c>
      <c r="C554" t="inlineStr">
        <is>
          <t>France</t>
        </is>
      </c>
      <c r="D554" t="inlineStr">
        <is>
          <t>fr</t>
        </is>
      </c>
      <c r="E554" t="inlineStr">
        <is>
          <t>SECONDARY</t>
        </is>
      </c>
      <c r="F554" t="inlineStr">
        <is>
          <t>lien utm</t>
        </is>
      </c>
      <c r="G554" t="n">
        <v>260</v>
      </c>
      <c r="H554" t="n">
        <v>33</v>
      </c>
      <c r="I554" t="n">
        <v>7.31</v>
      </c>
      <c r="J554" t="inlineStr">
        <is>
          <t>Informational</t>
        </is>
      </c>
      <c r="K554" t="inlineStr">
        <is>
          <t>MEASURED</t>
        </is>
      </c>
      <c r="L554" t="inlineStr">
        <is>
          <t>P3</t>
        </is>
      </c>
      <c r="M554" t="n">
        <v>85</v>
      </c>
      <c r="N554">
        <f>ROUND(IF(IF(J554="NOT AVAILABLE","",J554)="",12,IF(OR(ISNUMBER(SEARCH("Transactional",IF(J554="NOT AVAILABLE","",J554))),ISNUMBER(SEARCH("Commercial",IF(J554="NOT AVAILABLE","",J554)))),25,IF(ISNUMBER(SEARCH("Informational",IF(J554="NOT AVAILABLE","",J554))),10,IF(ISNUMBER(SEARCH("Navigational",IF(J554="NOT AVAILABLE","",J554))),0,12))))+IF(ISNUMBER(G554),MIN(30,ROUND(30*LOG10(G554+1)/4,1)),0)+IF(ISNUMBER(H554),ROUND(25*(100-H554)/100,1),12.5)+14,0)</f>
        <v/>
      </c>
      <c r="O554">
        <f>ROUND(N554*M554/100,0)</f>
        <v/>
      </c>
      <c r="P554" s="5" t="inlineStr">
        <is>
          <t>Measured variant of the tool task</t>
        </is>
      </c>
      <c r="Q554" s="5" t="inlineStr">
        <is>
          <t>None detected</t>
        </is>
      </c>
    </row>
    <row r="555">
      <c r="A555" s="3" t="inlineStr">
        <is>
          <t>https://codesommet.com/tools/utm-builder</t>
        </is>
      </c>
      <c r="B555" s="5" t="inlineStr">
        <is>
          <t>Générateur d'URL UTM Gratuit</t>
        </is>
      </c>
      <c r="C555" t="inlineStr">
        <is>
          <t>Morocco</t>
        </is>
      </c>
      <c r="D555" t="inlineStr">
        <is>
          <t>ma</t>
        </is>
      </c>
      <c r="E555" t="inlineStr">
        <is>
          <t>SECONDARY</t>
        </is>
      </c>
      <c r="F555" t="inlineStr">
        <is>
          <t>utm builder</t>
        </is>
      </c>
      <c r="G555" t="n">
        <v>210</v>
      </c>
      <c r="H555" t="inlineStr">
        <is>
          <t>NOT AVAILABLE</t>
        </is>
      </c>
      <c r="I555" t="n">
        <v>0</v>
      </c>
      <c r="J555" t="inlineStr">
        <is>
          <t>NOT AVAILABLE</t>
        </is>
      </c>
      <c r="K555" t="inlineStr">
        <is>
          <t>MEASURED</t>
        </is>
      </c>
      <c r="L555" t="inlineStr">
        <is>
          <t>P3</t>
        </is>
      </c>
      <c r="M555" t="n">
        <v>85</v>
      </c>
      <c r="N555">
        <f>ROUND(IF(IF(J555="NOT AVAILABLE","",J555)="",12,IF(OR(ISNUMBER(SEARCH("Transactional",IF(J555="NOT AVAILABLE","",J555))),ISNUMBER(SEARCH("Commercial",IF(J555="NOT AVAILABLE","",J555)))),25,IF(ISNUMBER(SEARCH("Informational",IF(J555="NOT AVAILABLE","",J555))),10,IF(ISNUMBER(SEARCH("Navigational",IF(J555="NOT AVAILABLE","",J555))),0,12))))+IF(ISNUMBER(G555),MIN(30,ROUND(30*LOG10(G555+1)/4,1)),0)+IF(ISNUMBER(H555),ROUND(25*(100-H555)/100,1),12.5)+20,0)</f>
        <v/>
      </c>
      <c r="O555">
        <f>ROUND(N555*M555/100,0)</f>
        <v/>
      </c>
      <c r="P555" s="5" t="inlineStr">
        <is>
          <t>Same query, Moroccan market (separate database, never summed)</t>
        </is>
      </c>
      <c r="Q555" s="5" t="inlineStr">
        <is>
          <t>None detected</t>
        </is>
      </c>
    </row>
    <row r="556">
      <c r="A556" s="3" t="inlineStr">
        <is>
          <t>https://codesommet.com/tools/utm-builder</t>
        </is>
      </c>
      <c r="B556" s="5" t="inlineStr">
        <is>
          <t>Générateur d'URL UTM Gratuit</t>
        </is>
      </c>
      <c r="C556" t="inlineStr">
        <is>
          <t>Morocco</t>
        </is>
      </c>
      <c r="D556" t="inlineStr">
        <is>
          <t>ma</t>
        </is>
      </c>
      <c r="E556" t="inlineStr">
        <is>
          <t>SUPPORTING</t>
        </is>
      </c>
      <c r="F556" t="inlineStr">
        <is>
          <t>utm</t>
        </is>
      </c>
      <c r="G556" t="n">
        <v>590</v>
      </c>
      <c r="H556" t="n">
        <v>62</v>
      </c>
      <c r="I556" t="n">
        <v>0</v>
      </c>
      <c r="J556" t="inlineStr">
        <is>
          <t>Navigational</t>
        </is>
      </c>
      <c r="K556" t="inlineStr">
        <is>
          <t>MEASURED</t>
        </is>
      </c>
      <c r="L556" t="inlineStr">
        <is>
          <t>P3</t>
        </is>
      </c>
      <c r="M556" t="n">
        <v>65</v>
      </c>
      <c r="N556">
        <f>ROUND(IF(IF(J556="NOT AVAILABLE","",J556)="",12,IF(OR(ISNUMBER(SEARCH("Transactional",IF(J556="NOT AVAILABLE","",J556))),ISNUMBER(SEARCH("Commercial",IF(J556="NOT AVAILABLE","",J556)))),25,IF(ISNUMBER(SEARCH("Informational",IF(J556="NOT AVAILABLE","",J556))),10,IF(ISNUMBER(SEARCH("Navigational",IF(J556="NOT AVAILABLE","",J556))),0,12))))+IF(ISNUMBER(G556),MIN(30,ROUND(30*LOG10(G556+1)/4,1)),0)+IF(ISNUMBER(H556),ROUND(25*(100-H556)/100,1),12.5)+20,0)</f>
        <v/>
      </c>
      <c r="O556">
        <f>ROUND(N556*M556/100,0)</f>
        <v/>
      </c>
      <c r="P556" s="5" t="inlineStr">
        <is>
          <t>Measured variant of the tool task (MA market)</t>
        </is>
      </c>
      <c r="Q556" s="5" t="inlineStr">
        <is>
          <t>None detected</t>
        </is>
      </c>
    </row>
    <row r="557">
      <c r="A557" s="3" t="inlineStr">
        <is>
          <t>https://codesommet.com/tools/utm-builder</t>
        </is>
      </c>
      <c r="B557" s="5" t="inlineStr">
        <is>
          <t>Générateur d'URL UTM Gratuit</t>
        </is>
      </c>
      <c r="C557" t="inlineStr">
        <is>
          <t>France</t>
        </is>
      </c>
      <c r="D557" t="inlineStr">
        <is>
          <t>fr</t>
        </is>
      </c>
      <c r="E557" t="inlineStr">
        <is>
          <t>SUPPORTING</t>
        </is>
      </c>
      <c r="F557" t="inlineStr">
        <is>
          <t>générateur utm</t>
        </is>
      </c>
      <c r="G557" t="n">
        <v>70</v>
      </c>
      <c r="H557" t="n">
        <v>9</v>
      </c>
      <c r="I557" t="n">
        <v>28.13</v>
      </c>
      <c r="J557" t="inlineStr">
        <is>
          <t>Informational</t>
        </is>
      </c>
      <c r="K557" t="inlineStr">
        <is>
          <t>MEASURED</t>
        </is>
      </c>
      <c r="L557" t="inlineStr">
        <is>
          <t>P3</t>
        </is>
      </c>
      <c r="M557" t="n">
        <v>65</v>
      </c>
      <c r="N557">
        <f>ROUND(IF(IF(J557="NOT AVAILABLE","",J557)="",12,IF(OR(ISNUMBER(SEARCH("Transactional",IF(J557="NOT AVAILABLE","",J557))),ISNUMBER(SEARCH("Commercial",IF(J557="NOT AVAILABLE","",J557)))),25,IF(ISNUMBER(SEARCH("Informational",IF(J557="NOT AVAILABLE","",J557))),10,IF(ISNUMBER(SEARCH("Navigational",IF(J557="NOT AVAILABLE","",J557))),0,12))))+IF(ISNUMBER(G557),MIN(30,ROUND(30*LOG10(G557+1)/4,1)),0)+IF(ISNUMBER(H557),ROUND(25*(100-H557)/100,1),12.5)+14,0)</f>
        <v/>
      </c>
      <c r="O557">
        <f>ROUND(N557*M557/100,0)</f>
        <v/>
      </c>
      <c r="P557" s="5" t="inlineStr">
        <is>
          <t>Measured variant of the tool task</t>
        </is>
      </c>
      <c r="Q557" s="5" t="inlineStr">
        <is>
          <t>None detected</t>
        </is>
      </c>
    </row>
    <row r="558">
      <c r="A558" s="3" t="inlineStr">
        <is>
          <t>https://codesommet.com/tools/utm-builder</t>
        </is>
      </c>
      <c r="B558" s="5" t="inlineStr">
        <is>
          <t>Générateur d'URL UTM Gratuit</t>
        </is>
      </c>
      <c r="C558" t="inlineStr">
        <is>
          <t>France</t>
        </is>
      </c>
      <c r="D558" t="inlineStr">
        <is>
          <t>fr</t>
        </is>
      </c>
      <c r="E558" t="inlineStr">
        <is>
          <t>SUPPORTING</t>
        </is>
      </c>
      <c r="F558" t="inlineStr">
        <is>
          <t>créer lien utm</t>
        </is>
      </c>
      <c r="G558" t="n">
        <v>20</v>
      </c>
      <c r="H558" t="inlineStr">
        <is>
          <t>NOT AVAILABLE</t>
        </is>
      </c>
      <c r="I558" t="n">
        <v>0</v>
      </c>
      <c r="J558" t="inlineStr">
        <is>
          <t>NOT AVAILABLE</t>
        </is>
      </c>
      <c r="K558" t="inlineStr">
        <is>
          <t>MEASURED</t>
        </is>
      </c>
      <c r="L558" t="inlineStr">
        <is>
          <t>P3</t>
        </is>
      </c>
      <c r="M558" t="n">
        <v>65</v>
      </c>
      <c r="N558">
        <f>ROUND(IF(IF(J558="NOT AVAILABLE","",J558)="",12,IF(OR(ISNUMBER(SEARCH("Transactional",IF(J558="NOT AVAILABLE","",J558))),ISNUMBER(SEARCH("Commercial",IF(J558="NOT AVAILABLE","",J558)))),25,IF(ISNUMBER(SEARCH("Informational",IF(J558="NOT AVAILABLE","",J558))),10,IF(ISNUMBER(SEARCH("Navigational",IF(J558="NOT AVAILABLE","",J558))),0,12))))+IF(ISNUMBER(G558),MIN(30,ROUND(30*LOG10(G558+1)/4,1)),0)+IF(ISNUMBER(H558),ROUND(25*(100-H558)/100,1),12.5)+14,0)</f>
        <v/>
      </c>
      <c r="O558">
        <f>ROUND(N558*M558/100,0)</f>
        <v/>
      </c>
      <c r="P558" s="5" t="inlineStr">
        <is>
          <t>Measured variant of the tool task</t>
        </is>
      </c>
      <c r="Q558" s="5" t="inlineStr">
        <is>
          <t>None detected</t>
        </is>
      </c>
    </row>
    <row r="559">
      <c r="A559" s="3" t="inlineStr">
        <is>
          <t>https://codesommet.com/tools/utm-builder</t>
        </is>
      </c>
      <c r="B559" s="5" t="inlineStr">
        <is>
          <t>Générateur d'URL UTM Gratuit</t>
        </is>
      </c>
      <c r="C559" t="inlineStr">
        <is>
          <t>Morocco</t>
        </is>
      </c>
      <c r="D559" t="inlineStr">
        <is>
          <t>ma</t>
        </is>
      </c>
      <c r="E559" t="inlineStr">
        <is>
          <t>SUPPORTING</t>
        </is>
      </c>
      <c r="F559" t="inlineStr">
        <is>
          <t>lien utm</t>
        </is>
      </c>
      <c r="G559" t="n">
        <v>10</v>
      </c>
      <c r="H559" t="inlineStr">
        <is>
          <t>NOT AVAILABLE</t>
        </is>
      </c>
      <c r="I559" t="n">
        <v>0</v>
      </c>
      <c r="J559" t="inlineStr">
        <is>
          <t>NOT AVAILABLE</t>
        </is>
      </c>
      <c r="K559" t="inlineStr">
        <is>
          <t>MEASURED</t>
        </is>
      </c>
      <c r="L559" t="inlineStr">
        <is>
          <t>P3</t>
        </is>
      </c>
      <c r="M559" t="n">
        <v>65</v>
      </c>
      <c r="N559">
        <f>ROUND(IF(IF(J559="NOT AVAILABLE","",J559)="",12,IF(OR(ISNUMBER(SEARCH("Transactional",IF(J559="NOT AVAILABLE","",J559))),ISNUMBER(SEARCH("Commercial",IF(J559="NOT AVAILABLE","",J559)))),25,IF(ISNUMBER(SEARCH("Informational",IF(J559="NOT AVAILABLE","",J559))),10,IF(ISNUMBER(SEARCH("Navigational",IF(J559="NOT AVAILABLE","",J559))),0,12))))+IF(ISNUMBER(G559),MIN(30,ROUND(30*LOG10(G559+1)/4,1)),0)+IF(ISNUMBER(H559),ROUND(25*(100-H559)/100,1),12.5)+20,0)</f>
        <v/>
      </c>
      <c r="O559">
        <f>ROUND(N559*M559/100,0)</f>
        <v/>
      </c>
      <c r="P559" s="5" t="inlineStr">
        <is>
          <t>Measured variant of the tool task (MA market)</t>
        </is>
      </c>
      <c r="Q559" s="5" t="inlineStr">
        <is>
          <t>None detected</t>
        </is>
      </c>
    </row>
    <row r="560">
      <c r="A560" s="3" t="inlineStr">
        <is>
          <t>https://codesommet.com/tools/website-analyzer</t>
        </is>
      </c>
      <c r="B560" s="5" t="inlineStr">
        <is>
          <t>Analyseur de Site Web : Audit SEO Gratuit</t>
        </is>
      </c>
      <c r="C560" t="inlineStr">
        <is>
          <t>France</t>
        </is>
      </c>
      <c r="D560" t="inlineStr">
        <is>
          <t>fr</t>
        </is>
      </c>
      <c r="E560" t="inlineStr">
        <is>
          <t>PRIMARY</t>
        </is>
      </c>
      <c r="F560" t="inlineStr">
        <is>
          <t>audit seo gratuit</t>
        </is>
      </c>
      <c r="G560" t="n">
        <v>1900</v>
      </c>
      <c r="H560" t="n">
        <v>31</v>
      </c>
      <c r="I560" t="n">
        <v>2.46</v>
      </c>
      <c r="J560" t="inlineStr">
        <is>
          <t>Informational</t>
        </is>
      </c>
      <c r="K560" t="inlineStr">
        <is>
          <t>MEASURED</t>
        </is>
      </c>
      <c r="L560" t="inlineStr">
        <is>
          <t>P1</t>
        </is>
      </c>
      <c r="M560" t="n">
        <v>100</v>
      </c>
      <c r="N560">
        <f>ROUND(IF(IF(J560="NOT AVAILABLE","",J560)="",12,IF(OR(ISNUMBER(SEARCH("Transactional",IF(J560="NOT AVAILABLE","",J560))),ISNUMBER(SEARCH("Commercial",IF(J560="NOT AVAILABLE","",J560)))),25,IF(ISNUMBER(SEARCH("Informational",IF(J560="NOT AVAILABLE","",J560))),10,IF(ISNUMBER(SEARCH("Navigational",IF(J560="NOT AVAILABLE","",J560))),0,12))))+IF(ISNUMBER(G560),MIN(30,ROUND(30*LOG10(G560+1)/4,1)),0)+IF(ISNUMBER(H560),ROUND(25*(100-H560)/100,1),12.5)+14,0)</f>
        <v/>
      </c>
      <c r="O560">
        <f>ROUND(N560*M560/100,0)</f>
        <v/>
      </c>
      <c r="P560" s="5" t="inlineStr">
        <is>
          <t>Best-fitting measured FR query for the tool task (tools serve the francophone market; FR db used as proxy)</t>
        </is>
      </c>
      <c r="Q560" s="5" t="inlineStr">
        <is>
          <t>None detected</t>
        </is>
      </c>
    </row>
    <row r="561">
      <c r="A561" s="3" t="inlineStr">
        <is>
          <t>https://codesommet.com/tools/website-analyzer</t>
        </is>
      </c>
      <c r="B561" s="5" t="inlineStr">
        <is>
          <t>Analyseur de Site Web : Audit SEO Gratuit</t>
        </is>
      </c>
      <c r="C561" t="inlineStr">
        <is>
          <t>France</t>
        </is>
      </c>
      <c r="D561" t="inlineStr">
        <is>
          <t>fr</t>
        </is>
      </c>
      <c r="E561" t="inlineStr">
        <is>
          <t>SECONDARY</t>
        </is>
      </c>
      <c r="F561" t="inlineStr">
        <is>
          <t>audit seo</t>
        </is>
      </c>
      <c r="G561" t="n">
        <v>6600</v>
      </c>
      <c r="H561" t="n">
        <v>44</v>
      </c>
      <c r="I561" t="n">
        <v>3.08</v>
      </c>
      <c r="J561" t="inlineStr">
        <is>
          <t>Informational</t>
        </is>
      </c>
      <c r="K561" t="inlineStr">
        <is>
          <t>MEASURED</t>
        </is>
      </c>
      <c r="L561" t="inlineStr">
        <is>
          <t>P1</t>
        </is>
      </c>
      <c r="M561" t="n">
        <v>85</v>
      </c>
      <c r="N561">
        <f>ROUND(IF(IF(J561="NOT AVAILABLE","",J561)="",12,IF(OR(ISNUMBER(SEARCH("Transactional",IF(J561="NOT AVAILABLE","",J561))),ISNUMBER(SEARCH("Commercial",IF(J561="NOT AVAILABLE","",J561)))),25,IF(ISNUMBER(SEARCH("Informational",IF(J561="NOT AVAILABLE","",J561))),10,IF(ISNUMBER(SEARCH("Navigational",IF(J561="NOT AVAILABLE","",J561))),0,12))))+IF(ISNUMBER(G561),MIN(30,ROUND(30*LOG10(G561+1)/4,1)),0)+IF(ISNUMBER(H561),ROUND(25*(100-H561)/100,1),12.5)+14,0)</f>
        <v/>
      </c>
      <c r="O561">
        <f>ROUND(N561*M561/100,0)</f>
        <v/>
      </c>
      <c r="P561" s="5" t="inlineStr">
        <is>
          <t>Measured variant of the tool task</t>
        </is>
      </c>
      <c r="Q561" s="5" t="inlineStr">
        <is>
          <t>None detected</t>
        </is>
      </c>
    </row>
    <row r="562">
      <c r="A562" s="3" t="inlineStr">
        <is>
          <t>https://codesommet.com/tools/website-analyzer</t>
        </is>
      </c>
      <c r="B562" s="5" t="inlineStr">
        <is>
          <t>Analyseur de Site Web : Audit SEO Gratuit</t>
        </is>
      </c>
      <c r="C562" t="inlineStr">
        <is>
          <t>France</t>
        </is>
      </c>
      <c r="D562" t="inlineStr">
        <is>
          <t>fr</t>
        </is>
      </c>
      <c r="E562" t="inlineStr">
        <is>
          <t>SECONDARY</t>
        </is>
      </c>
      <c r="F562" t="inlineStr">
        <is>
          <t>audit site web</t>
        </is>
      </c>
      <c r="G562" t="n">
        <v>1600</v>
      </c>
      <c r="H562" t="n">
        <v>34</v>
      </c>
      <c r="I562" t="n">
        <v>3.31</v>
      </c>
      <c r="J562" t="inlineStr">
        <is>
          <t>Informational</t>
        </is>
      </c>
      <c r="K562" t="inlineStr">
        <is>
          <t>MEASURED</t>
        </is>
      </c>
      <c r="L562" t="inlineStr">
        <is>
          <t>P1</t>
        </is>
      </c>
      <c r="M562" t="n">
        <v>85</v>
      </c>
      <c r="N562">
        <f>ROUND(IF(IF(J562="NOT AVAILABLE","",J562)="",12,IF(OR(ISNUMBER(SEARCH("Transactional",IF(J562="NOT AVAILABLE","",J562))),ISNUMBER(SEARCH("Commercial",IF(J562="NOT AVAILABLE","",J562)))),25,IF(ISNUMBER(SEARCH("Informational",IF(J562="NOT AVAILABLE","",J562))),10,IF(ISNUMBER(SEARCH("Navigational",IF(J562="NOT AVAILABLE","",J562))),0,12))))+IF(ISNUMBER(G562),MIN(30,ROUND(30*LOG10(G562+1)/4,1)),0)+IF(ISNUMBER(H562),ROUND(25*(100-H562)/100,1),12.5)+14,0)</f>
        <v/>
      </c>
      <c r="O562">
        <f>ROUND(N562*M562/100,0)</f>
        <v/>
      </c>
      <c r="P562" s="5" t="inlineStr">
        <is>
          <t>Measured variant of the tool task</t>
        </is>
      </c>
      <c r="Q562" s="5" t="inlineStr">
        <is>
          <t>None detected</t>
        </is>
      </c>
    </row>
    <row r="563">
      <c r="A563" s="3" t="inlineStr">
        <is>
          <t>https://codesommet.com/tools/website-analyzer</t>
        </is>
      </c>
      <c r="B563" s="5" t="inlineStr">
        <is>
          <t>Analyseur de Site Web : Audit SEO Gratuit</t>
        </is>
      </c>
      <c r="C563" t="inlineStr">
        <is>
          <t>France</t>
        </is>
      </c>
      <c r="D563" t="inlineStr">
        <is>
          <t>fr</t>
        </is>
      </c>
      <c r="E563" t="inlineStr">
        <is>
          <t>SECONDARY</t>
        </is>
      </c>
      <c r="F563" t="inlineStr">
        <is>
          <t>analyse site web gratuit</t>
        </is>
      </c>
      <c r="G563" t="n">
        <v>880</v>
      </c>
      <c r="H563" t="n">
        <v>37</v>
      </c>
      <c r="I563" t="n">
        <v>1.77</v>
      </c>
      <c r="J563" t="inlineStr">
        <is>
          <t>Informational</t>
        </is>
      </c>
      <c r="K563" t="inlineStr">
        <is>
          <t>MEASURED</t>
        </is>
      </c>
      <c r="L563" t="inlineStr">
        <is>
          <t>P1</t>
        </is>
      </c>
      <c r="M563" t="n">
        <v>85</v>
      </c>
      <c r="N563">
        <f>ROUND(IF(IF(J563="NOT AVAILABLE","",J563)="",12,IF(OR(ISNUMBER(SEARCH("Transactional",IF(J563="NOT AVAILABLE","",J563))),ISNUMBER(SEARCH("Commercial",IF(J563="NOT AVAILABLE","",J563)))),25,IF(ISNUMBER(SEARCH("Informational",IF(J563="NOT AVAILABLE","",J563))),10,IF(ISNUMBER(SEARCH("Navigational",IF(J563="NOT AVAILABLE","",J563))),0,12))))+IF(ISNUMBER(G563),MIN(30,ROUND(30*LOG10(G563+1)/4,1)),0)+IF(ISNUMBER(H563),ROUND(25*(100-H563)/100,1),12.5)+14,0)</f>
        <v/>
      </c>
      <c r="O563">
        <f>ROUND(N563*M563/100,0)</f>
        <v/>
      </c>
      <c r="P563" s="5" t="inlineStr">
        <is>
          <t>Measured variant of the tool task</t>
        </is>
      </c>
      <c r="Q563" s="5" t="inlineStr">
        <is>
          <t>None detected</t>
        </is>
      </c>
    </row>
    <row r="564">
      <c r="A564" s="3" t="inlineStr">
        <is>
          <t>https://codesommet.com/tools/website-analyzer</t>
        </is>
      </c>
      <c r="B564" s="5" t="inlineStr">
        <is>
          <t>Analyseur de Site Web : Audit SEO Gratuit</t>
        </is>
      </c>
      <c r="C564" t="inlineStr">
        <is>
          <t>France</t>
        </is>
      </c>
      <c r="D564" t="inlineStr">
        <is>
          <t>fr</t>
        </is>
      </c>
      <c r="E564" t="inlineStr">
        <is>
          <t>SECONDARY</t>
        </is>
      </c>
      <c r="F564" t="inlineStr">
        <is>
          <t>analyse seo gratuit</t>
        </is>
      </c>
      <c r="G564" t="n">
        <v>590</v>
      </c>
      <c r="H564" t="n">
        <v>32</v>
      </c>
      <c r="I564" t="n">
        <v>2.22</v>
      </c>
      <c r="J564" t="inlineStr">
        <is>
          <t>Commercial</t>
        </is>
      </c>
      <c r="K564" t="inlineStr">
        <is>
          <t>MEASURED</t>
        </is>
      </c>
      <c r="L564" t="inlineStr">
        <is>
          <t>P1</t>
        </is>
      </c>
      <c r="M564" t="n">
        <v>85</v>
      </c>
      <c r="N564">
        <f>ROUND(IF(IF(J564="NOT AVAILABLE","",J564)="",12,IF(OR(ISNUMBER(SEARCH("Transactional",IF(J564="NOT AVAILABLE","",J564))),ISNUMBER(SEARCH("Commercial",IF(J564="NOT AVAILABLE","",J564)))),25,IF(ISNUMBER(SEARCH("Informational",IF(J564="NOT AVAILABLE","",J564))),10,IF(ISNUMBER(SEARCH("Navigational",IF(J564="NOT AVAILABLE","",J564))),0,12))))+IF(ISNUMBER(G564),MIN(30,ROUND(30*LOG10(G564+1)/4,1)),0)+IF(ISNUMBER(H564),ROUND(25*(100-H564)/100,1),12.5)+14,0)</f>
        <v/>
      </c>
      <c r="O564">
        <f>ROUND(N564*M564/100,0)</f>
        <v/>
      </c>
      <c r="P564" s="5" t="inlineStr">
        <is>
          <t>Measured variant of the tool task</t>
        </is>
      </c>
      <c r="Q564" s="5" t="inlineStr">
        <is>
          <t>None detected</t>
        </is>
      </c>
    </row>
    <row r="565">
      <c r="A565" s="3" t="inlineStr">
        <is>
          <t>https://codesommet.com/tools/website-analyzer</t>
        </is>
      </c>
      <c r="B565" s="5" t="inlineStr">
        <is>
          <t>Analyseur de Site Web : Audit SEO Gratuit</t>
        </is>
      </c>
      <c r="C565" t="inlineStr">
        <is>
          <t>France</t>
        </is>
      </c>
      <c r="D565" t="inlineStr">
        <is>
          <t>fr</t>
        </is>
      </c>
      <c r="E565" t="inlineStr">
        <is>
          <t>SECONDARY</t>
        </is>
      </c>
      <c r="F565" t="inlineStr">
        <is>
          <t>audit site web gratuit</t>
        </is>
      </c>
      <c r="G565" t="n">
        <v>480</v>
      </c>
      <c r="H565" t="n">
        <v>38</v>
      </c>
      <c r="I565" t="n">
        <v>2.12</v>
      </c>
      <c r="J565" t="inlineStr">
        <is>
          <t>Commercial</t>
        </is>
      </c>
      <c r="K565" t="inlineStr">
        <is>
          <t>MEASURED</t>
        </is>
      </c>
      <c r="L565" t="inlineStr">
        <is>
          <t>P1</t>
        </is>
      </c>
      <c r="M565" t="n">
        <v>85</v>
      </c>
      <c r="N565">
        <f>ROUND(IF(IF(J565="NOT AVAILABLE","",J565)="",12,IF(OR(ISNUMBER(SEARCH("Transactional",IF(J565="NOT AVAILABLE","",J565))),ISNUMBER(SEARCH("Commercial",IF(J565="NOT AVAILABLE","",J565)))),25,IF(ISNUMBER(SEARCH("Informational",IF(J565="NOT AVAILABLE","",J565))),10,IF(ISNUMBER(SEARCH("Navigational",IF(J565="NOT AVAILABLE","",J565))),0,12))))+IF(ISNUMBER(G565),MIN(30,ROUND(30*LOG10(G565+1)/4,1)),0)+IF(ISNUMBER(H565),ROUND(25*(100-H565)/100,1),12.5)+14,0)</f>
        <v/>
      </c>
      <c r="O565">
        <f>ROUND(N565*M565/100,0)</f>
        <v/>
      </c>
      <c r="P565" s="5" t="inlineStr">
        <is>
          <t>Measured variant of the tool task</t>
        </is>
      </c>
      <c r="Q565" s="5" t="inlineStr">
        <is>
          <t>None detected</t>
        </is>
      </c>
    </row>
    <row r="566">
      <c r="A566" s="3" t="inlineStr">
        <is>
          <t>https://codesommet.com/tools/website-analyzer</t>
        </is>
      </c>
      <c r="B566" s="5" t="inlineStr">
        <is>
          <t>Analyseur de Site Web : Audit SEO Gratuit</t>
        </is>
      </c>
      <c r="C566" t="inlineStr">
        <is>
          <t>France</t>
        </is>
      </c>
      <c r="D566" t="inlineStr">
        <is>
          <t>fr</t>
        </is>
      </c>
      <c r="E566" t="inlineStr">
        <is>
          <t>SECONDARY</t>
        </is>
      </c>
      <c r="F566" t="inlineStr">
        <is>
          <t>analyser mon site web</t>
        </is>
      </c>
      <c r="G566" t="n">
        <v>260</v>
      </c>
      <c r="H566" t="n">
        <v>43</v>
      </c>
      <c r="I566" t="n">
        <v>1.66</v>
      </c>
      <c r="J566" t="inlineStr">
        <is>
          <t>Informational</t>
        </is>
      </c>
      <c r="K566" t="inlineStr">
        <is>
          <t>MEASURED</t>
        </is>
      </c>
      <c r="L566" t="inlineStr">
        <is>
          <t>P1</t>
        </is>
      </c>
      <c r="M566" t="n">
        <v>85</v>
      </c>
      <c r="N566">
        <f>ROUND(IF(IF(J566="NOT AVAILABLE","",J566)="",12,IF(OR(ISNUMBER(SEARCH("Transactional",IF(J566="NOT AVAILABLE","",J566))),ISNUMBER(SEARCH("Commercial",IF(J566="NOT AVAILABLE","",J566)))),25,IF(ISNUMBER(SEARCH("Informational",IF(J566="NOT AVAILABLE","",J566))),10,IF(ISNUMBER(SEARCH("Navigational",IF(J566="NOT AVAILABLE","",J566))),0,12))))+IF(ISNUMBER(G566),MIN(30,ROUND(30*LOG10(G566+1)/4,1)),0)+IF(ISNUMBER(H566),ROUND(25*(100-H566)/100,1),12.5)+14,0)</f>
        <v/>
      </c>
      <c r="O566">
        <f>ROUND(N566*M566/100,0)</f>
        <v/>
      </c>
      <c r="P566" s="5" t="inlineStr">
        <is>
          <t>Measured variant of the tool task</t>
        </is>
      </c>
      <c r="Q566" s="5" t="inlineStr">
        <is>
          <t>None detected</t>
        </is>
      </c>
    </row>
    <row r="567">
      <c r="A567" s="3" t="inlineStr">
        <is>
          <t>https://codesommet.com/tools/website-analyzer</t>
        </is>
      </c>
      <c r="B567" s="5" t="inlineStr">
        <is>
          <t>Analyseur de Site Web : Audit SEO Gratuit</t>
        </is>
      </c>
      <c r="C567" t="inlineStr">
        <is>
          <t>France</t>
        </is>
      </c>
      <c r="D567" t="inlineStr">
        <is>
          <t>fr</t>
        </is>
      </c>
      <c r="E567" t="inlineStr">
        <is>
          <t>SECONDARY</t>
        </is>
      </c>
      <c r="F567" t="inlineStr">
        <is>
          <t>analyseur site web</t>
        </is>
      </c>
      <c r="G567" t="n">
        <v>260</v>
      </c>
      <c r="H567" t="n">
        <v>43</v>
      </c>
      <c r="I567" t="n">
        <v>2.15</v>
      </c>
      <c r="J567" t="inlineStr">
        <is>
          <t>Informational</t>
        </is>
      </c>
      <c r="K567" t="inlineStr">
        <is>
          <t>MEASURED</t>
        </is>
      </c>
      <c r="L567" t="inlineStr">
        <is>
          <t>P1</t>
        </is>
      </c>
      <c r="M567" t="n">
        <v>85</v>
      </c>
      <c r="N567">
        <f>ROUND(IF(IF(J567="NOT AVAILABLE","",J567)="",12,IF(OR(ISNUMBER(SEARCH("Transactional",IF(J567="NOT AVAILABLE","",J567))),ISNUMBER(SEARCH("Commercial",IF(J567="NOT AVAILABLE","",J567)))),25,IF(ISNUMBER(SEARCH("Informational",IF(J567="NOT AVAILABLE","",J567))),10,IF(ISNUMBER(SEARCH("Navigational",IF(J567="NOT AVAILABLE","",J567))),0,12))))+IF(ISNUMBER(G567),MIN(30,ROUND(30*LOG10(G567+1)/4,1)),0)+IF(ISNUMBER(H567),ROUND(25*(100-H567)/100,1),12.5)+14,0)</f>
        <v/>
      </c>
      <c r="O567">
        <f>ROUND(N567*M567/100,0)</f>
        <v/>
      </c>
      <c r="P567" s="5" t="inlineStr">
        <is>
          <t>Measured variant of the tool task</t>
        </is>
      </c>
      <c r="Q567" s="5" t="inlineStr">
        <is>
          <t>None detected</t>
        </is>
      </c>
    </row>
    <row r="568">
      <c r="A568" s="3" t="inlineStr">
        <is>
          <t>https://codesommet.com/tools/website-analyzer</t>
        </is>
      </c>
      <c r="B568" s="5" t="inlineStr">
        <is>
          <t>Analyseur de Site Web : Audit SEO Gratuit</t>
        </is>
      </c>
      <c r="C568" t="inlineStr">
        <is>
          <t>France</t>
        </is>
      </c>
      <c r="D568" t="inlineStr">
        <is>
          <t>fr</t>
        </is>
      </c>
      <c r="E568" t="inlineStr">
        <is>
          <t>SECONDARY</t>
        </is>
      </c>
      <c r="F568" t="inlineStr">
        <is>
          <t>test site web gratuit</t>
        </is>
      </c>
      <c r="G568" t="n">
        <v>170</v>
      </c>
      <c r="H568" t="n">
        <v>41</v>
      </c>
      <c r="I568" t="n">
        <v>1.58</v>
      </c>
      <c r="J568" t="inlineStr">
        <is>
          <t>Commercial</t>
        </is>
      </c>
      <c r="K568" t="inlineStr">
        <is>
          <t>MEASURED</t>
        </is>
      </c>
      <c r="L568" t="inlineStr">
        <is>
          <t>P1</t>
        </is>
      </c>
      <c r="M568" t="n">
        <v>85</v>
      </c>
      <c r="N568">
        <f>ROUND(IF(IF(J568="NOT AVAILABLE","",J568)="",12,IF(OR(ISNUMBER(SEARCH("Transactional",IF(J568="NOT AVAILABLE","",J568))),ISNUMBER(SEARCH("Commercial",IF(J568="NOT AVAILABLE","",J568)))),25,IF(ISNUMBER(SEARCH("Informational",IF(J568="NOT AVAILABLE","",J568))),10,IF(ISNUMBER(SEARCH("Navigational",IF(J568="NOT AVAILABLE","",J568))),0,12))))+IF(ISNUMBER(G568),MIN(30,ROUND(30*LOG10(G568+1)/4,1)),0)+IF(ISNUMBER(H568),ROUND(25*(100-H568)/100,1),12.5)+14,0)</f>
        <v/>
      </c>
      <c r="O568">
        <f>ROUND(N568*M568/100,0)</f>
        <v/>
      </c>
      <c r="P568" s="5" t="inlineStr">
        <is>
          <t>Measured variant of the tool task</t>
        </is>
      </c>
      <c r="Q568" s="5" t="inlineStr">
        <is>
          <t>None detected</t>
        </is>
      </c>
    </row>
    <row r="569">
      <c r="A569" s="3" t="inlineStr">
        <is>
          <t>https://codesommet.com/tools/website-analyzer</t>
        </is>
      </c>
      <c r="B569" s="5" t="inlineStr">
        <is>
          <t>Analyseur de Site Web : Audit SEO Gratuit</t>
        </is>
      </c>
      <c r="C569" t="inlineStr">
        <is>
          <t>Morocco</t>
        </is>
      </c>
      <c r="D569" t="inlineStr">
        <is>
          <t>ma</t>
        </is>
      </c>
      <c r="E569" t="inlineStr">
        <is>
          <t>SECONDARY</t>
        </is>
      </c>
      <c r="F569" t="inlineStr">
        <is>
          <t>audit seo gratuit</t>
        </is>
      </c>
      <c r="G569" t="n">
        <v>20</v>
      </c>
      <c r="H569" t="inlineStr">
        <is>
          <t>NOT AVAILABLE</t>
        </is>
      </c>
      <c r="I569" t="n">
        <v>0.11</v>
      </c>
      <c r="J569" t="inlineStr">
        <is>
          <t>NOT AVAILABLE</t>
        </is>
      </c>
      <c r="K569" t="inlineStr">
        <is>
          <t>MEASURED</t>
        </is>
      </c>
      <c r="L569" t="inlineStr">
        <is>
          <t>P1</t>
        </is>
      </c>
      <c r="M569" t="n">
        <v>85</v>
      </c>
      <c r="N569">
        <f>ROUND(IF(IF(J569="NOT AVAILABLE","",J569)="",12,IF(OR(ISNUMBER(SEARCH("Transactional",IF(J569="NOT AVAILABLE","",J569))),ISNUMBER(SEARCH("Commercial",IF(J569="NOT AVAILABLE","",J569)))),25,IF(ISNUMBER(SEARCH("Informational",IF(J569="NOT AVAILABLE","",J569))),10,IF(ISNUMBER(SEARCH("Navigational",IF(J569="NOT AVAILABLE","",J569))),0,12))))+IF(ISNUMBER(G569),MIN(30,ROUND(30*LOG10(G569+1)/4,1)),0)+IF(ISNUMBER(H569),ROUND(25*(100-H569)/100,1),12.5)+20,0)</f>
        <v/>
      </c>
      <c r="O569">
        <f>ROUND(N569*M569/100,0)</f>
        <v/>
      </c>
      <c r="P569" s="5" t="inlineStr">
        <is>
          <t>Same query, Moroccan market (separate database, never summed)</t>
        </is>
      </c>
      <c r="Q569" s="5" t="inlineStr">
        <is>
          <t>None detected</t>
        </is>
      </c>
    </row>
    <row r="570">
      <c r="A570" s="3" t="inlineStr">
        <is>
          <t>https://codesommet.com/tools/website-analyzer</t>
        </is>
      </c>
      <c r="B570" s="5" t="inlineStr">
        <is>
          <t>Analyseur de Site Web : Audit SEO Gratuit</t>
        </is>
      </c>
      <c r="C570" t="inlineStr">
        <is>
          <t>Morocco</t>
        </is>
      </c>
      <c r="D570" t="inlineStr">
        <is>
          <t>ma</t>
        </is>
      </c>
      <c r="E570" t="inlineStr">
        <is>
          <t>SUPPORTING</t>
        </is>
      </c>
      <c r="F570" t="inlineStr">
        <is>
          <t>audit seo</t>
        </is>
      </c>
      <c r="G570" t="n">
        <v>90</v>
      </c>
      <c r="H570" t="inlineStr">
        <is>
          <t>NOT AVAILABLE</t>
        </is>
      </c>
      <c r="I570" t="n">
        <v>0.97</v>
      </c>
      <c r="J570" t="inlineStr">
        <is>
          <t>NOT AVAILABLE</t>
        </is>
      </c>
      <c r="K570" t="inlineStr">
        <is>
          <t>MEASURED</t>
        </is>
      </c>
      <c r="L570" t="inlineStr">
        <is>
          <t>P3</t>
        </is>
      </c>
      <c r="M570" t="n">
        <v>65</v>
      </c>
      <c r="N570">
        <f>ROUND(IF(IF(J570="NOT AVAILABLE","",J570)="",12,IF(OR(ISNUMBER(SEARCH("Transactional",IF(J570="NOT AVAILABLE","",J570))),ISNUMBER(SEARCH("Commercial",IF(J570="NOT AVAILABLE","",J570)))),25,IF(ISNUMBER(SEARCH("Informational",IF(J570="NOT AVAILABLE","",J570))),10,IF(ISNUMBER(SEARCH("Navigational",IF(J570="NOT AVAILABLE","",J570))),0,12))))+IF(ISNUMBER(G570),MIN(30,ROUND(30*LOG10(G570+1)/4,1)),0)+IF(ISNUMBER(H570),ROUND(25*(100-H570)/100,1),12.5)+20,0)</f>
        <v/>
      </c>
      <c r="O570">
        <f>ROUND(N570*M570/100,0)</f>
        <v/>
      </c>
      <c r="P570" s="5" t="inlineStr">
        <is>
          <t>Measured variant of the tool task (MA market)</t>
        </is>
      </c>
      <c r="Q570" s="5" t="inlineStr">
        <is>
          <t>None detected</t>
        </is>
      </c>
    </row>
    <row r="571">
      <c r="A571" s="3" t="inlineStr">
        <is>
          <t>https://codesommet.com/tools/website-analyzer</t>
        </is>
      </c>
      <c r="B571" s="5" t="inlineStr">
        <is>
          <t>Analyseur de Site Web : Audit SEO Gratuit</t>
        </is>
      </c>
      <c r="C571" t="inlineStr">
        <is>
          <t>Morocco</t>
        </is>
      </c>
      <c r="D571" t="inlineStr">
        <is>
          <t>ma</t>
        </is>
      </c>
      <c r="E571" t="inlineStr">
        <is>
          <t>SUPPORTING</t>
        </is>
      </c>
      <c r="F571" t="inlineStr">
        <is>
          <t>audit site web gratuit</t>
        </is>
      </c>
      <c r="G571" t="n">
        <v>30</v>
      </c>
      <c r="H571" t="inlineStr">
        <is>
          <t>NOT AVAILABLE</t>
        </is>
      </c>
      <c r="I571" t="n">
        <v>0</v>
      </c>
      <c r="J571" t="inlineStr">
        <is>
          <t>NOT AVAILABLE</t>
        </is>
      </c>
      <c r="K571" t="inlineStr">
        <is>
          <t>MEASURED</t>
        </is>
      </c>
      <c r="L571" t="inlineStr">
        <is>
          <t>P3</t>
        </is>
      </c>
      <c r="M571" t="n">
        <v>65</v>
      </c>
      <c r="N571">
        <f>ROUND(IF(IF(J571="NOT AVAILABLE","",J571)="",12,IF(OR(ISNUMBER(SEARCH("Transactional",IF(J571="NOT AVAILABLE","",J571))),ISNUMBER(SEARCH("Commercial",IF(J571="NOT AVAILABLE","",J571)))),25,IF(ISNUMBER(SEARCH("Informational",IF(J571="NOT AVAILABLE","",J571))),10,IF(ISNUMBER(SEARCH("Navigational",IF(J571="NOT AVAILABLE","",J571))),0,12))))+IF(ISNUMBER(G571),MIN(30,ROUND(30*LOG10(G571+1)/4,1)),0)+IF(ISNUMBER(H571),ROUND(25*(100-H571)/100,1),12.5)+20,0)</f>
        <v/>
      </c>
      <c r="O571">
        <f>ROUND(N571*M571/100,0)</f>
        <v/>
      </c>
      <c r="P571" s="5" t="inlineStr">
        <is>
          <t>Measured variant of the tool task (MA market)</t>
        </is>
      </c>
      <c r="Q571" s="5" t="inlineStr">
        <is>
          <t>None detected</t>
        </is>
      </c>
    </row>
    <row r="572">
      <c r="A572" s="3" t="inlineStr">
        <is>
          <t>https://codesommet.com/tools/website-analyzer</t>
        </is>
      </c>
      <c r="B572" s="5" t="inlineStr">
        <is>
          <t>Analyseur de Site Web : Audit SEO Gratuit</t>
        </is>
      </c>
      <c r="C572" t="inlineStr">
        <is>
          <t>Morocco</t>
        </is>
      </c>
      <c r="D572" t="inlineStr">
        <is>
          <t>ma</t>
        </is>
      </c>
      <c r="E572" t="inlineStr">
        <is>
          <t>SUPPORTING</t>
        </is>
      </c>
      <c r="F572" t="inlineStr">
        <is>
          <t>analyse site web gratuit</t>
        </is>
      </c>
      <c r="G572" t="n">
        <v>20</v>
      </c>
      <c r="H572" t="inlineStr">
        <is>
          <t>NOT AVAILABLE</t>
        </is>
      </c>
      <c r="I572" t="n">
        <v>0.3</v>
      </c>
      <c r="J572" t="inlineStr">
        <is>
          <t>NOT AVAILABLE</t>
        </is>
      </c>
      <c r="K572" t="inlineStr">
        <is>
          <t>MEASURED</t>
        </is>
      </c>
      <c r="L572" t="inlineStr">
        <is>
          <t>P3</t>
        </is>
      </c>
      <c r="M572" t="n">
        <v>65</v>
      </c>
      <c r="N572">
        <f>ROUND(IF(IF(J572="NOT AVAILABLE","",J572)="",12,IF(OR(ISNUMBER(SEARCH("Transactional",IF(J572="NOT AVAILABLE","",J572))),ISNUMBER(SEARCH("Commercial",IF(J572="NOT AVAILABLE","",J572)))),25,IF(ISNUMBER(SEARCH("Informational",IF(J572="NOT AVAILABLE","",J572))),10,IF(ISNUMBER(SEARCH("Navigational",IF(J572="NOT AVAILABLE","",J572))),0,12))))+IF(ISNUMBER(G572),MIN(30,ROUND(30*LOG10(G572+1)/4,1)),0)+IF(ISNUMBER(H572),ROUND(25*(100-H572)/100,1),12.5)+20,0)</f>
        <v/>
      </c>
      <c r="O572">
        <f>ROUND(N572*M572/100,0)</f>
        <v/>
      </c>
      <c r="P572" s="5" t="inlineStr">
        <is>
          <t>Measured variant of the tool task (MA market)</t>
        </is>
      </c>
      <c r="Q572" s="5" t="inlineStr">
        <is>
          <t>None detected</t>
        </is>
      </c>
    </row>
    <row r="573">
      <c r="A573" s="3" t="inlineStr">
        <is>
          <t>https://codesommet.com/tools/website-analyzer</t>
        </is>
      </c>
      <c r="B573" s="5" t="inlineStr">
        <is>
          <t>Analyseur de Site Web : Audit SEO Gratuit</t>
        </is>
      </c>
      <c r="C573" t="inlineStr">
        <is>
          <t>Morocco</t>
        </is>
      </c>
      <c r="D573" t="inlineStr">
        <is>
          <t>ma</t>
        </is>
      </c>
      <c r="E573" t="inlineStr">
        <is>
          <t>SUPPORTING</t>
        </is>
      </c>
      <c r="F573" t="inlineStr">
        <is>
          <t>analyseur site web</t>
        </is>
      </c>
      <c r="G573" t="n">
        <v>20</v>
      </c>
      <c r="H573" t="inlineStr">
        <is>
          <t>NOT AVAILABLE</t>
        </is>
      </c>
      <c r="I573" t="n">
        <v>0.26</v>
      </c>
      <c r="J573" t="inlineStr">
        <is>
          <t>NOT AVAILABLE</t>
        </is>
      </c>
      <c r="K573" t="inlineStr">
        <is>
          <t>MEASURED</t>
        </is>
      </c>
      <c r="L573" t="inlineStr">
        <is>
          <t>P3</t>
        </is>
      </c>
      <c r="M573" t="n">
        <v>65</v>
      </c>
      <c r="N573">
        <f>ROUND(IF(IF(J573="NOT AVAILABLE","",J573)="",12,IF(OR(ISNUMBER(SEARCH("Transactional",IF(J573="NOT AVAILABLE","",J573))),ISNUMBER(SEARCH("Commercial",IF(J573="NOT AVAILABLE","",J573)))),25,IF(ISNUMBER(SEARCH("Informational",IF(J573="NOT AVAILABLE","",J573))),10,IF(ISNUMBER(SEARCH("Navigational",IF(J573="NOT AVAILABLE","",J573))),0,12))))+IF(ISNUMBER(G573),MIN(30,ROUND(30*LOG10(G573+1)/4,1)),0)+IF(ISNUMBER(H573),ROUND(25*(100-H573)/100,1),12.5)+20,0)</f>
        <v/>
      </c>
      <c r="O573">
        <f>ROUND(N573*M573/100,0)</f>
        <v/>
      </c>
      <c r="P573" s="5" t="inlineStr">
        <is>
          <t>Measured variant of the tool task (MA market)</t>
        </is>
      </c>
      <c r="Q573" s="5" t="inlineStr">
        <is>
          <t>None detected</t>
        </is>
      </c>
    </row>
    <row r="574">
      <c r="A574" s="3" t="inlineStr">
        <is>
          <t>https://codesommet.com/tools/website-analyzer</t>
        </is>
      </c>
      <c r="B574" s="5" t="inlineStr">
        <is>
          <t>Analyseur de Site Web : Audit SEO Gratuit</t>
        </is>
      </c>
      <c r="C574" t="inlineStr">
        <is>
          <t>Morocco</t>
        </is>
      </c>
      <c r="D574" t="inlineStr">
        <is>
          <t>ma</t>
        </is>
      </c>
      <c r="E574" t="inlineStr">
        <is>
          <t>SUPPORTING</t>
        </is>
      </c>
      <c r="F574" t="inlineStr">
        <is>
          <t>test site web gratuit</t>
        </is>
      </c>
      <c r="G574" t="n">
        <v>20</v>
      </c>
      <c r="H574" t="inlineStr">
        <is>
          <t>NOT AVAILABLE</t>
        </is>
      </c>
      <c r="I574" t="n">
        <v>0</v>
      </c>
      <c r="J574" t="inlineStr">
        <is>
          <t>NOT AVAILABLE</t>
        </is>
      </c>
      <c r="K574" t="inlineStr">
        <is>
          <t>MEASURED</t>
        </is>
      </c>
      <c r="L574" t="inlineStr">
        <is>
          <t>P3</t>
        </is>
      </c>
      <c r="M574" t="n">
        <v>65</v>
      </c>
      <c r="N574">
        <f>ROUND(IF(IF(J574="NOT AVAILABLE","",J574)="",12,IF(OR(ISNUMBER(SEARCH("Transactional",IF(J574="NOT AVAILABLE","",J574))),ISNUMBER(SEARCH("Commercial",IF(J574="NOT AVAILABLE","",J574)))),25,IF(ISNUMBER(SEARCH("Informational",IF(J574="NOT AVAILABLE","",J574))),10,IF(ISNUMBER(SEARCH("Navigational",IF(J574="NOT AVAILABLE","",J574))),0,12))))+IF(ISNUMBER(G574),MIN(30,ROUND(30*LOG10(G574+1)/4,1)),0)+IF(ISNUMBER(H574),ROUND(25*(100-H574)/100,1),12.5)+20,0)</f>
        <v/>
      </c>
      <c r="O574">
        <f>ROUND(N574*M574/100,0)</f>
        <v/>
      </c>
      <c r="P574" s="5" t="inlineStr">
        <is>
          <t>Measured variant of the tool task (MA market)</t>
        </is>
      </c>
      <c r="Q574" s="5" t="inlineStr">
        <is>
          <t>None detected</t>
        </is>
      </c>
    </row>
    <row r="575">
      <c r="A575" s="3" t="inlineStr">
        <is>
          <t>https://codesommet.com/tools/website-analyzer</t>
        </is>
      </c>
      <c r="B575" s="5" t="inlineStr">
        <is>
          <t>Analyseur de Site Web : Audit SEO Gratuit</t>
        </is>
      </c>
      <c r="C575" t="inlineStr">
        <is>
          <t>Morocco</t>
        </is>
      </c>
      <c r="D575" t="inlineStr">
        <is>
          <t>ma</t>
        </is>
      </c>
      <c r="E575" t="inlineStr">
        <is>
          <t>SUPPORTING</t>
        </is>
      </c>
      <c r="F575" t="inlineStr">
        <is>
          <t>analyse seo gratuit</t>
        </is>
      </c>
      <c r="G575" t="n">
        <v>20</v>
      </c>
      <c r="H575" t="inlineStr">
        <is>
          <t>NOT AVAILABLE</t>
        </is>
      </c>
      <c r="I575" t="n">
        <v>0</v>
      </c>
      <c r="J575" t="inlineStr">
        <is>
          <t>NOT AVAILABLE</t>
        </is>
      </c>
      <c r="K575" t="inlineStr">
        <is>
          <t>MEASURED</t>
        </is>
      </c>
      <c r="L575" t="inlineStr">
        <is>
          <t>P3</t>
        </is>
      </c>
      <c r="M575" t="n">
        <v>65</v>
      </c>
      <c r="N575">
        <f>ROUND(IF(IF(J575="NOT AVAILABLE","",J575)="",12,IF(OR(ISNUMBER(SEARCH("Transactional",IF(J575="NOT AVAILABLE","",J575))),ISNUMBER(SEARCH("Commercial",IF(J575="NOT AVAILABLE","",J575)))),25,IF(ISNUMBER(SEARCH("Informational",IF(J575="NOT AVAILABLE","",J575))),10,IF(ISNUMBER(SEARCH("Navigational",IF(J575="NOT AVAILABLE","",J575))),0,12))))+IF(ISNUMBER(G575),MIN(30,ROUND(30*LOG10(G575+1)/4,1)),0)+IF(ISNUMBER(H575),ROUND(25*(100-H575)/100,1),12.5)+20,0)</f>
        <v/>
      </c>
      <c r="O575">
        <f>ROUND(N575*M575/100,0)</f>
        <v/>
      </c>
      <c r="P575" s="5" t="inlineStr">
        <is>
          <t>Measured variant of the tool task (MA market)</t>
        </is>
      </c>
      <c r="Q575" s="5" t="inlineStr">
        <is>
          <t>None detected</t>
        </is>
      </c>
    </row>
    <row r="576">
      <c r="A576" s="3" t="inlineStr">
        <is>
          <t>https://codesommet.com/tools/website-analyzer</t>
        </is>
      </c>
      <c r="B576" s="5" t="inlineStr">
        <is>
          <t>Analyseur de Site Web : Audit SEO Gratuit</t>
        </is>
      </c>
      <c r="C576" t="inlineStr">
        <is>
          <t>Morocco</t>
        </is>
      </c>
      <c r="D576" t="inlineStr">
        <is>
          <t>ma</t>
        </is>
      </c>
      <c r="E576" t="inlineStr">
        <is>
          <t>SUPPORTING</t>
        </is>
      </c>
      <c r="F576" t="inlineStr">
        <is>
          <t>analyser mon site web</t>
        </is>
      </c>
      <c r="G576" t="n">
        <v>10</v>
      </c>
      <c r="H576" t="inlineStr">
        <is>
          <t>NOT AVAILABLE</t>
        </is>
      </c>
      <c r="I576" t="n">
        <v>0</v>
      </c>
      <c r="J576" t="inlineStr">
        <is>
          <t>NOT AVAILABLE</t>
        </is>
      </c>
      <c r="K576" t="inlineStr">
        <is>
          <t>MEASURED</t>
        </is>
      </c>
      <c r="L576" t="inlineStr">
        <is>
          <t>P3</t>
        </is>
      </c>
      <c r="M576" t="n">
        <v>65</v>
      </c>
      <c r="N576">
        <f>ROUND(IF(IF(J576="NOT AVAILABLE","",J576)="",12,IF(OR(ISNUMBER(SEARCH("Transactional",IF(J576="NOT AVAILABLE","",J576))),ISNUMBER(SEARCH("Commercial",IF(J576="NOT AVAILABLE","",J576)))),25,IF(ISNUMBER(SEARCH("Informational",IF(J576="NOT AVAILABLE","",J576))),10,IF(ISNUMBER(SEARCH("Navigational",IF(J576="NOT AVAILABLE","",J576))),0,12))))+IF(ISNUMBER(G576),MIN(30,ROUND(30*LOG10(G576+1)/4,1)),0)+IF(ISNUMBER(H576),ROUND(25*(100-H576)/100,1),12.5)+20,0)</f>
        <v/>
      </c>
      <c r="O576">
        <f>ROUND(N576*M576/100,0)</f>
        <v/>
      </c>
      <c r="P576" s="5" t="inlineStr">
        <is>
          <t>Measured variant of the tool task (MA market)</t>
        </is>
      </c>
      <c r="Q576" s="5" t="inlineStr">
        <is>
          <t>None detected</t>
        </is>
      </c>
    </row>
    <row r="577">
      <c r="A577" s="3" t="inlineStr">
        <is>
          <t>https://codesommet.com/tools/website-analyzer</t>
        </is>
      </c>
      <c r="B577" s="5" t="inlineStr">
        <is>
          <t>Analyseur de Site Web : Audit SEO Gratuit</t>
        </is>
      </c>
      <c r="C577" t="inlineStr">
        <is>
          <t>Morocco</t>
        </is>
      </c>
      <c r="D577" t="inlineStr">
        <is>
          <t>ma</t>
        </is>
      </c>
      <c r="E577" t="inlineStr">
        <is>
          <t>SUPPORTING</t>
        </is>
      </c>
      <c r="F577" t="inlineStr">
        <is>
          <t>audit site web</t>
        </is>
      </c>
      <c r="G577" t="n">
        <v>10</v>
      </c>
      <c r="H577" t="inlineStr">
        <is>
          <t>NOT AVAILABLE</t>
        </is>
      </c>
      <c r="I577" t="n">
        <v>0.32</v>
      </c>
      <c r="J577" t="inlineStr">
        <is>
          <t>NOT AVAILABLE</t>
        </is>
      </c>
      <c r="K577" t="inlineStr">
        <is>
          <t>MEASURED</t>
        </is>
      </c>
      <c r="L577" t="inlineStr">
        <is>
          <t>P3</t>
        </is>
      </c>
      <c r="M577" t="n">
        <v>65</v>
      </c>
      <c r="N577">
        <f>ROUND(IF(IF(J577="NOT AVAILABLE","",J577)="",12,IF(OR(ISNUMBER(SEARCH("Transactional",IF(J577="NOT AVAILABLE","",J577))),ISNUMBER(SEARCH("Commercial",IF(J577="NOT AVAILABLE","",J577)))),25,IF(ISNUMBER(SEARCH("Informational",IF(J577="NOT AVAILABLE","",J577))),10,IF(ISNUMBER(SEARCH("Navigational",IF(J577="NOT AVAILABLE","",J577))),0,12))))+IF(ISNUMBER(G577),MIN(30,ROUND(30*LOG10(G577+1)/4,1)),0)+IF(ISNUMBER(H577),ROUND(25*(100-H577)/100,1),12.5)+20,0)</f>
        <v/>
      </c>
      <c r="O577">
        <f>ROUND(N577*M577/100,0)</f>
        <v/>
      </c>
      <c r="P577" s="5" t="inlineStr">
        <is>
          <t>Measured variant of the tool task (MA market)</t>
        </is>
      </c>
      <c r="Q577" s="5" t="inlineStr">
        <is>
          <t>None detected</t>
        </is>
      </c>
    </row>
    <row r="578">
      <c r="A578" s="3" t="inlineStr">
        <is>
          <t>https://codesommet.com/tools/website-readiness-checker</t>
        </is>
      </c>
      <c r="B578" s="5" t="inlineStr">
        <is>
          <t>Vérificateur de Préparation de Site Web Gratuit</t>
        </is>
      </c>
      <c r="C578" t="inlineStr">
        <is>
          <t>France</t>
        </is>
      </c>
      <c r="D578" t="inlineStr">
        <is>
          <t>fr</t>
        </is>
      </c>
      <c r="E578" t="inlineStr">
        <is>
          <t>PRIMARY</t>
        </is>
      </c>
      <c r="F578" t="inlineStr">
        <is>
          <t>checklist mise en ligne site</t>
        </is>
      </c>
      <c r="G578" t="inlineStr">
        <is>
          <t>NOT AVAILABLE</t>
        </is>
      </c>
      <c r="H578" t="inlineStr">
        <is>
          <t>NOT AVAILABLE</t>
        </is>
      </c>
      <c r="I578" t="inlineStr">
        <is>
          <t>NOT AVAILABLE</t>
        </is>
      </c>
      <c r="J578" t="inlineStr">
        <is>
          <t>NOT AVAILABLE</t>
        </is>
      </c>
      <c r="K578" t="inlineStr">
        <is>
          <t>UNAVAILABLE</t>
        </is>
      </c>
      <c r="L578" t="inlineStr">
        <is>
          <t>P3</t>
        </is>
      </c>
      <c r="M578" t="n">
        <v>100</v>
      </c>
      <c r="N578">
        <f>ROUND(IF(IF(J578="NOT AVAILABLE","",J578)="",12,IF(OR(ISNUMBER(SEARCH("Transactional",IF(J578="NOT AVAILABLE","",J578))),ISNUMBER(SEARCH("Commercial",IF(J578="NOT AVAILABLE","",J578)))),25,IF(ISNUMBER(SEARCH("Informational",IF(J578="NOT AVAILABLE","",J578))),10,IF(ISNUMBER(SEARCH("Navigational",IF(J578="NOT AVAILABLE","",J578))),0,12))))+IF(ISNUMBER(G578),MIN(30,ROUND(30*LOG10(G578+1)/4,1)),0)+IF(ISNUMBER(H578),ROUND(25*(100-H578)/100,1),12.5)+14,0)</f>
        <v/>
      </c>
      <c r="O578">
        <f>ROUND(N578*M578/100,0)</f>
        <v/>
      </c>
      <c r="P578" s="5" t="inlineStr">
        <is>
          <t>No measured demand for the tool phrases - long-tail anchor (UNAVAILABLE in Semrush)</t>
        </is>
      </c>
      <c r="Q578" s="5" t="inlineStr">
        <is>
          <t>None detected</t>
        </is>
      </c>
    </row>
    <row r="579">
      <c r="A579" s="3" t="inlineStr">
        <is>
          <t>https://codesommet.com/tools/website-readiness-checker</t>
        </is>
      </c>
      <c r="B579" s="5" t="inlineStr">
        <is>
          <t>Vérificateur de Préparation de Site Web Gratuit</t>
        </is>
      </c>
      <c r="C579" t="inlineStr">
        <is>
          <t>France</t>
        </is>
      </c>
      <c r="D579" t="inlineStr">
        <is>
          <t>fr</t>
        </is>
      </c>
      <c r="E579" t="inlineStr">
        <is>
          <t>OPTIONAL</t>
        </is>
      </c>
      <c r="F579" t="inlineStr">
        <is>
          <t>site prêt à lancer</t>
        </is>
      </c>
      <c r="G579" t="inlineStr">
        <is>
          <t>NOT AVAILABLE</t>
        </is>
      </c>
      <c r="H579" t="inlineStr">
        <is>
          <t>NOT AVAILABLE</t>
        </is>
      </c>
      <c r="I579" t="inlineStr">
        <is>
          <t>NOT AVAILABLE</t>
        </is>
      </c>
      <c r="J579" t="inlineStr">
        <is>
          <t>NOT AVAILABLE</t>
        </is>
      </c>
      <c r="K579" t="inlineStr">
        <is>
          <t>UNAVAILABLE</t>
        </is>
      </c>
      <c r="L579" t="inlineStr">
        <is>
          <t>P4</t>
        </is>
      </c>
      <c r="M579" t="n">
        <v>45</v>
      </c>
      <c r="N579">
        <f>ROUND(IF(IF(J579="NOT AVAILABLE","",J579)="",12,IF(OR(ISNUMBER(SEARCH("Transactional",IF(J579="NOT AVAILABLE","",J579))),ISNUMBER(SEARCH("Commercial",IF(J579="NOT AVAILABLE","",J579)))),25,IF(ISNUMBER(SEARCH("Informational",IF(J579="NOT AVAILABLE","",J579))),10,IF(ISNUMBER(SEARCH("Navigational",IF(J579="NOT AVAILABLE","",J579))),0,12))))+IF(ISNUMBER(G579),MIN(30,ROUND(30*LOG10(G579+1)/4,1)),0)+IF(ISNUMBER(H579),ROUND(25*(100-H579)/100,1),12.5)+14,0)</f>
        <v/>
      </c>
      <c r="O579">
        <f>ROUND(N579*M579/100,0)</f>
        <v/>
      </c>
      <c r="P579" s="5" t="inlineStr">
        <is>
          <t>Queried - Semrush returned no data or zero volume; usable as natural wording only</t>
        </is>
      </c>
      <c r="Q579" s="5" t="inlineStr">
        <is>
          <t>None detected</t>
        </is>
      </c>
    </row>
    <row r="580">
      <c r="A580" s="3" t="inlineStr">
        <is>
          <t>https://codesommet.com/tools/website-readiness-checker</t>
        </is>
      </c>
      <c r="B580" s="5" t="inlineStr">
        <is>
          <t>Vérificateur de Préparation de Site Web Gratuit</t>
        </is>
      </c>
      <c r="C580" t="inlineStr">
        <is>
          <t>France</t>
        </is>
      </c>
      <c r="D580" t="inlineStr">
        <is>
          <t>fr</t>
        </is>
      </c>
      <c r="E580" t="inlineStr">
        <is>
          <t>OPTIONAL</t>
        </is>
      </c>
      <c r="F580" t="inlineStr">
        <is>
          <t>vérifier site avant mise en ligne</t>
        </is>
      </c>
      <c r="G580" t="inlineStr">
        <is>
          <t>NOT AVAILABLE</t>
        </is>
      </c>
      <c r="H580" t="inlineStr">
        <is>
          <t>NOT AVAILABLE</t>
        </is>
      </c>
      <c r="I580" t="inlineStr">
        <is>
          <t>NOT AVAILABLE</t>
        </is>
      </c>
      <c r="J580" t="inlineStr">
        <is>
          <t>NOT AVAILABLE</t>
        </is>
      </c>
      <c r="K580" t="inlineStr">
        <is>
          <t>UNAVAILABLE</t>
        </is>
      </c>
      <c r="L580" t="inlineStr">
        <is>
          <t>P4</t>
        </is>
      </c>
      <c r="M580" t="n">
        <v>45</v>
      </c>
      <c r="N580">
        <f>ROUND(IF(IF(J580="NOT AVAILABLE","",J580)="",12,IF(OR(ISNUMBER(SEARCH("Transactional",IF(J580="NOT AVAILABLE","",J580))),ISNUMBER(SEARCH("Commercial",IF(J580="NOT AVAILABLE","",J580)))),25,IF(ISNUMBER(SEARCH("Informational",IF(J580="NOT AVAILABLE","",J580))),10,IF(ISNUMBER(SEARCH("Navigational",IF(J580="NOT AVAILABLE","",J580))),0,12))))+IF(ISNUMBER(G580),MIN(30,ROUND(30*LOG10(G580+1)/4,1)),0)+IF(ISNUMBER(H580),ROUND(25*(100-H580)/100,1),12.5)+14,0)</f>
        <v/>
      </c>
      <c r="O580">
        <f>ROUND(N580*M580/100,0)</f>
        <v/>
      </c>
      <c r="P580" s="5" t="inlineStr">
        <is>
          <t>Queried - Semrush returned no data or zero volume; usable as natural wording only</t>
        </is>
      </c>
      <c r="Q580" s="5" t="inlineStr">
        <is>
          <t>None detected</t>
        </is>
      </c>
    </row>
    <row r="581">
      <c r="A581" s="3" t="inlineStr">
        <is>
          <t>https://codesommet.com/tools/word-counter</t>
        </is>
      </c>
      <c r="B581" s="5" t="inlineStr">
        <is>
          <t>Compteur de Mots et de Caractères Gratuit</t>
        </is>
      </c>
      <c r="C581" t="inlineStr">
        <is>
          <t>France</t>
        </is>
      </c>
      <c r="D581" t="inlineStr">
        <is>
          <t>fr</t>
        </is>
      </c>
      <c r="E581" t="inlineStr">
        <is>
          <t>PRIMARY</t>
        </is>
      </c>
      <c r="F581" t="inlineStr">
        <is>
          <t>compteur de mots</t>
        </is>
      </c>
      <c r="G581" t="n">
        <v>18100</v>
      </c>
      <c r="H581" t="n">
        <v>32</v>
      </c>
      <c r="I581" t="n">
        <v>0.03</v>
      </c>
      <c r="J581" t="inlineStr">
        <is>
          <t>Informational</t>
        </is>
      </c>
      <c r="K581" t="inlineStr">
        <is>
          <t>MEASURED</t>
        </is>
      </c>
      <c r="L581" t="inlineStr">
        <is>
          <t>P3</t>
        </is>
      </c>
      <c r="M581" t="n">
        <v>100</v>
      </c>
      <c r="N581">
        <f>ROUND(IF(IF(J581="NOT AVAILABLE","",J581)="",12,IF(OR(ISNUMBER(SEARCH("Transactional",IF(J581="NOT AVAILABLE","",J581))),ISNUMBER(SEARCH("Commercial",IF(J581="NOT AVAILABLE","",J581)))),25,IF(ISNUMBER(SEARCH("Informational",IF(J581="NOT AVAILABLE","",J581))),10,IF(ISNUMBER(SEARCH("Navigational",IF(J581="NOT AVAILABLE","",J581))),0,12))))+IF(ISNUMBER(G581),MIN(30,ROUND(30*LOG10(G581+1)/4,1)),0)+IF(ISNUMBER(H581),ROUND(25*(100-H581)/100,1),12.5)+14,0)</f>
        <v/>
      </c>
      <c r="O581">
        <f>ROUND(N581*M581/100,0)</f>
        <v/>
      </c>
      <c r="P581" s="5" t="inlineStr">
        <is>
          <t>Best-fitting measured FR query for the tool task (tools serve the francophone market; FR db used as proxy)</t>
        </is>
      </c>
      <c r="Q581" s="5" t="inlineStr">
        <is>
          <t>None detected</t>
        </is>
      </c>
    </row>
    <row r="582">
      <c r="A582" s="3" t="inlineStr">
        <is>
          <t>https://codesommet.com/tools/word-counter</t>
        </is>
      </c>
      <c r="B582" s="5" t="inlineStr">
        <is>
          <t>Compteur de Mots et de Caractères Gratuit</t>
        </is>
      </c>
      <c r="C582" t="inlineStr">
        <is>
          <t>France</t>
        </is>
      </c>
      <c r="D582" t="inlineStr">
        <is>
          <t>fr</t>
        </is>
      </c>
      <c r="E582" t="inlineStr">
        <is>
          <t>SECONDARY</t>
        </is>
      </c>
      <c r="F582" t="inlineStr">
        <is>
          <t>compteur de caractères</t>
        </is>
      </c>
      <c r="G582" t="n">
        <v>9900</v>
      </c>
      <c r="H582" t="n">
        <v>29</v>
      </c>
      <c r="I582" t="n">
        <v>0.02</v>
      </c>
      <c r="J582" t="inlineStr">
        <is>
          <t>Commercial</t>
        </is>
      </c>
      <c r="K582" t="inlineStr">
        <is>
          <t>MEASURED</t>
        </is>
      </c>
      <c r="L582" t="inlineStr">
        <is>
          <t>P3</t>
        </is>
      </c>
      <c r="M582" t="n">
        <v>85</v>
      </c>
      <c r="N582">
        <f>ROUND(IF(IF(J582="NOT AVAILABLE","",J582)="",12,IF(OR(ISNUMBER(SEARCH("Transactional",IF(J582="NOT AVAILABLE","",J582))),ISNUMBER(SEARCH("Commercial",IF(J582="NOT AVAILABLE","",J582)))),25,IF(ISNUMBER(SEARCH("Informational",IF(J582="NOT AVAILABLE","",J582))),10,IF(ISNUMBER(SEARCH("Navigational",IF(J582="NOT AVAILABLE","",J582))),0,12))))+IF(ISNUMBER(G582),MIN(30,ROUND(30*LOG10(G582+1)/4,1)),0)+IF(ISNUMBER(H582),ROUND(25*(100-H582)/100,1),12.5)+14,0)</f>
        <v/>
      </c>
      <c r="O582">
        <f>ROUND(N582*M582/100,0)</f>
        <v/>
      </c>
      <c r="P582" s="5" t="inlineStr">
        <is>
          <t>Measured variant of the tool task</t>
        </is>
      </c>
      <c r="Q582" s="5" t="inlineStr">
        <is>
          <t>None detected</t>
        </is>
      </c>
    </row>
    <row r="583">
      <c r="A583" s="3" t="inlineStr">
        <is>
          <t>https://codesommet.com/tools/word-counter</t>
        </is>
      </c>
      <c r="B583" s="5" t="inlineStr">
        <is>
          <t>Compteur de Mots et de Caractères Gratuit</t>
        </is>
      </c>
      <c r="C583" t="inlineStr">
        <is>
          <t>France</t>
        </is>
      </c>
      <c r="D583" t="inlineStr">
        <is>
          <t>fr</t>
        </is>
      </c>
      <c r="E583" t="inlineStr">
        <is>
          <t>SECONDARY</t>
        </is>
      </c>
      <c r="F583" t="inlineStr">
        <is>
          <t>nombre de mots</t>
        </is>
      </c>
      <c r="G583" t="n">
        <v>2900</v>
      </c>
      <c r="H583" t="n">
        <v>38</v>
      </c>
      <c r="I583" t="n">
        <v>0.03</v>
      </c>
      <c r="J583" t="inlineStr">
        <is>
          <t>Informational</t>
        </is>
      </c>
      <c r="K583" t="inlineStr">
        <is>
          <t>MEASURED</t>
        </is>
      </c>
      <c r="L583" t="inlineStr">
        <is>
          <t>P3</t>
        </is>
      </c>
      <c r="M583" t="n">
        <v>85</v>
      </c>
      <c r="N583">
        <f>ROUND(IF(IF(J583="NOT AVAILABLE","",J583)="",12,IF(OR(ISNUMBER(SEARCH("Transactional",IF(J583="NOT AVAILABLE","",J583))),ISNUMBER(SEARCH("Commercial",IF(J583="NOT AVAILABLE","",J583)))),25,IF(ISNUMBER(SEARCH("Informational",IF(J583="NOT AVAILABLE","",J583))),10,IF(ISNUMBER(SEARCH("Navigational",IF(J583="NOT AVAILABLE","",J583))),0,12))))+IF(ISNUMBER(G583),MIN(30,ROUND(30*LOG10(G583+1)/4,1)),0)+IF(ISNUMBER(H583),ROUND(25*(100-H583)/100,1),12.5)+14,0)</f>
        <v/>
      </c>
      <c r="O583">
        <f>ROUND(N583*M583/100,0)</f>
        <v/>
      </c>
      <c r="P583" s="5" t="inlineStr">
        <is>
          <t>Measured variant of the tool task</t>
        </is>
      </c>
      <c r="Q583" s="5" t="inlineStr">
        <is>
          <t>None detected</t>
        </is>
      </c>
    </row>
    <row r="584">
      <c r="A584" s="3" t="inlineStr">
        <is>
          <t>https://codesommet.com/tools/word-counter</t>
        </is>
      </c>
      <c r="B584" s="5" t="inlineStr">
        <is>
          <t>Compteur de Mots et de Caractères Gratuit</t>
        </is>
      </c>
      <c r="C584" t="inlineStr">
        <is>
          <t>France</t>
        </is>
      </c>
      <c r="D584" t="inlineStr">
        <is>
          <t>fr</t>
        </is>
      </c>
      <c r="E584" t="inlineStr">
        <is>
          <t>SECONDARY</t>
        </is>
      </c>
      <c r="F584" t="inlineStr">
        <is>
          <t>compter les mots</t>
        </is>
      </c>
      <c r="G584" t="n">
        <v>2900</v>
      </c>
      <c r="H584" t="n">
        <v>35</v>
      </c>
      <c r="I584" t="n">
        <v>0.03</v>
      </c>
      <c r="J584" t="inlineStr">
        <is>
          <t>Informational</t>
        </is>
      </c>
      <c r="K584" t="inlineStr">
        <is>
          <t>MEASURED</t>
        </is>
      </c>
      <c r="L584" t="inlineStr">
        <is>
          <t>P3</t>
        </is>
      </c>
      <c r="M584" t="n">
        <v>85</v>
      </c>
      <c r="N584">
        <f>ROUND(IF(IF(J584="NOT AVAILABLE","",J584)="",12,IF(OR(ISNUMBER(SEARCH("Transactional",IF(J584="NOT AVAILABLE","",J584))),ISNUMBER(SEARCH("Commercial",IF(J584="NOT AVAILABLE","",J584)))),25,IF(ISNUMBER(SEARCH("Informational",IF(J584="NOT AVAILABLE","",J584))),10,IF(ISNUMBER(SEARCH("Navigational",IF(J584="NOT AVAILABLE","",J584))),0,12))))+IF(ISNUMBER(G584),MIN(30,ROUND(30*LOG10(G584+1)/4,1)),0)+IF(ISNUMBER(H584),ROUND(25*(100-H584)/100,1),12.5)+14,0)</f>
        <v/>
      </c>
      <c r="O584">
        <f>ROUND(N584*M584/100,0)</f>
        <v/>
      </c>
      <c r="P584" s="5" t="inlineStr">
        <is>
          <t>Measured variant of the tool task</t>
        </is>
      </c>
      <c r="Q584" s="5" t="inlineStr">
        <is>
          <t>None detected</t>
        </is>
      </c>
    </row>
    <row r="585">
      <c r="A585" s="3" t="inlineStr">
        <is>
          <t>https://codesommet.com/tools/word-counter</t>
        </is>
      </c>
      <c r="B585" s="5" t="inlineStr">
        <is>
          <t>Compteur de Mots et de Caractères Gratuit</t>
        </is>
      </c>
      <c r="C585" t="inlineStr">
        <is>
          <t>France</t>
        </is>
      </c>
      <c r="D585" t="inlineStr">
        <is>
          <t>fr</t>
        </is>
      </c>
      <c r="E585" t="inlineStr">
        <is>
          <t>SECONDARY</t>
        </is>
      </c>
      <c r="F585" t="inlineStr">
        <is>
          <t>compteur de mot</t>
        </is>
      </c>
      <c r="G585" t="n">
        <v>2900</v>
      </c>
      <c r="H585" t="n">
        <v>30</v>
      </c>
      <c r="I585" t="n">
        <v>0.03</v>
      </c>
      <c r="J585" t="inlineStr">
        <is>
          <t>NOT AVAILABLE</t>
        </is>
      </c>
      <c r="K585" t="inlineStr">
        <is>
          <t>MEASURED</t>
        </is>
      </c>
      <c r="L585" t="inlineStr">
        <is>
          <t>P3</t>
        </is>
      </c>
      <c r="M585" t="n">
        <v>85</v>
      </c>
      <c r="N585">
        <f>ROUND(IF(IF(J585="NOT AVAILABLE","",J585)="",12,IF(OR(ISNUMBER(SEARCH("Transactional",IF(J585="NOT AVAILABLE","",J585))),ISNUMBER(SEARCH("Commercial",IF(J585="NOT AVAILABLE","",J585)))),25,IF(ISNUMBER(SEARCH("Informational",IF(J585="NOT AVAILABLE","",J585))),10,IF(ISNUMBER(SEARCH("Navigational",IF(J585="NOT AVAILABLE","",J585))),0,12))))+IF(ISNUMBER(G585),MIN(30,ROUND(30*LOG10(G585+1)/4,1)),0)+IF(ISNUMBER(H585),ROUND(25*(100-H585)/100,1),12.5)+14,0)</f>
        <v/>
      </c>
      <c r="O585">
        <f>ROUND(N585*M585/100,0)</f>
        <v/>
      </c>
      <c r="P585" s="5" t="inlineStr">
        <is>
          <t>Measured variant of the tool task</t>
        </is>
      </c>
      <c r="Q585" s="5" t="inlineStr">
        <is>
          <t>None detected</t>
        </is>
      </c>
    </row>
    <row r="586">
      <c r="A586" s="3" t="inlineStr">
        <is>
          <t>https://codesommet.com/tools/word-counter</t>
        </is>
      </c>
      <c r="B586" s="5" t="inlineStr">
        <is>
          <t>Compteur de Mots et de Caractères Gratuit</t>
        </is>
      </c>
      <c r="C586" t="inlineStr">
        <is>
          <t>Morocco</t>
        </is>
      </c>
      <c r="D586" t="inlineStr">
        <is>
          <t>ma</t>
        </is>
      </c>
      <c r="E586" t="inlineStr">
        <is>
          <t>SECONDARY</t>
        </is>
      </c>
      <c r="F586" t="inlineStr">
        <is>
          <t>compteur de mots</t>
        </is>
      </c>
      <c r="G586" t="n">
        <v>480</v>
      </c>
      <c r="H586" t="n">
        <v>32</v>
      </c>
      <c r="I586" t="n">
        <v>0.02</v>
      </c>
      <c r="J586" t="inlineStr">
        <is>
          <t>Informational</t>
        </is>
      </c>
      <c r="K586" t="inlineStr">
        <is>
          <t>MEASURED</t>
        </is>
      </c>
      <c r="L586" t="inlineStr">
        <is>
          <t>P3</t>
        </is>
      </c>
      <c r="M586" t="n">
        <v>85</v>
      </c>
      <c r="N586">
        <f>ROUND(IF(IF(J586="NOT AVAILABLE","",J586)="",12,IF(OR(ISNUMBER(SEARCH("Transactional",IF(J586="NOT AVAILABLE","",J586))),ISNUMBER(SEARCH("Commercial",IF(J586="NOT AVAILABLE","",J586)))),25,IF(ISNUMBER(SEARCH("Informational",IF(J586="NOT AVAILABLE","",J586))),10,IF(ISNUMBER(SEARCH("Navigational",IF(J586="NOT AVAILABLE","",J586))),0,12))))+IF(ISNUMBER(G586),MIN(30,ROUND(30*LOG10(G586+1)/4,1)),0)+IF(ISNUMBER(H586),ROUND(25*(100-H586)/100,1),12.5)+20,0)</f>
        <v/>
      </c>
      <c r="O586">
        <f>ROUND(N586*M586/100,0)</f>
        <v/>
      </c>
      <c r="P586" s="5" t="inlineStr">
        <is>
          <t>Same query, Moroccan market (separate database, never summed)</t>
        </is>
      </c>
      <c r="Q586" s="5" t="inlineStr">
        <is>
          <t>None detected</t>
        </is>
      </c>
    </row>
    <row r="587">
      <c r="A587" s="3" t="inlineStr">
        <is>
          <t>https://codesommet.com/tools/word-counter</t>
        </is>
      </c>
      <c r="B587" s="5" t="inlineStr">
        <is>
          <t>Compteur de Mots et de Caractères Gratuit</t>
        </is>
      </c>
      <c r="C587" t="inlineStr">
        <is>
          <t>Morocco</t>
        </is>
      </c>
      <c r="D587" t="inlineStr">
        <is>
          <t>ma</t>
        </is>
      </c>
      <c r="E587" t="inlineStr">
        <is>
          <t>SUPPORTING</t>
        </is>
      </c>
      <c r="F587" t="inlineStr">
        <is>
          <t>compteur de caractères</t>
        </is>
      </c>
      <c r="G587" t="n">
        <v>170</v>
      </c>
      <c r="H587" t="inlineStr">
        <is>
          <t>NOT AVAILABLE</t>
        </is>
      </c>
      <c r="I587" t="n">
        <v>0.01</v>
      </c>
      <c r="J587" t="inlineStr">
        <is>
          <t>NOT AVAILABLE</t>
        </is>
      </c>
      <c r="K587" t="inlineStr">
        <is>
          <t>MEASURED</t>
        </is>
      </c>
      <c r="L587" t="inlineStr">
        <is>
          <t>P3</t>
        </is>
      </c>
      <c r="M587" t="n">
        <v>65</v>
      </c>
      <c r="N587">
        <f>ROUND(IF(IF(J587="NOT AVAILABLE","",J587)="",12,IF(OR(ISNUMBER(SEARCH("Transactional",IF(J587="NOT AVAILABLE","",J587))),ISNUMBER(SEARCH("Commercial",IF(J587="NOT AVAILABLE","",J587)))),25,IF(ISNUMBER(SEARCH("Informational",IF(J587="NOT AVAILABLE","",J587))),10,IF(ISNUMBER(SEARCH("Navigational",IF(J587="NOT AVAILABLE","",J587))),0,12))))+IF(ISNUMBER(G587),MIN(30,ROUND(30*LOG10(G587+1)/4,1)),0)+IF(ISNUMBER(H587),ROUND(25*(100-H587)/100,1),12.5)+20,0)</f>
        <v/>
      </c>
      <c r="O587">
        <f>ROUND(N587*M587/100,0)</f>
        <v/>
      </c>
      <c r="P587" s="5" t="inlineStr">
        <is>
          <t>Measured variant of the tool task (MA market)</t>
        </is>
      </c>
      <c r="Q587" s="5" t="inlineStr">
        <is>
          <t>None detected</t>
        </is>
      </c>
    </row>
    <row r="588">
      <c r="A588" s="3" t="inlineStr">
        <is>
          <t>https://codesommet.com/tools/word-counter</t>
        </is>
      </c>
      <c r="B588" s="5" t="inlineStr">
        <is>
          <t>Compteur de Mots et de Caractères Gratuit</t>
        </is>
      </c>
      <c r="C588" t="inlineStr">
        <is>
          <t>Morocco</t>
        </is>
      </c>
      <c r="D588" t="inlineStr">
        <is>
          <t>ma</t>
        </is>
      </c>
      <c r="E588" t="inlineStr">
        <is>
          <t>SUPPORTING</t>
        </is>
      </c>
      <c r="F588" t="inlineStr">
        <is>
          <t>compter les mots</t>
        </is>
      </c>
      <c r="G588" t="n">
        <v>110</v>
      </c>
      <c r="H588" t="inlineStr">
        <is>
          <t>NOT AVAILABLE</t>
        </is>
      </c>
      <c r="I588" t="n">
        <v>0.02</v>
      </c>
      <c r="J588" t="inlineStr">
        <is>
          <t>NOT AVAILABLE</t>
        </is>
      </c>
      <c r="K588" t="inlineStr">
        <is>
          <t>MEASURED</t>
        </is>
      </c>
      <c r="L588" t="inlineStr">
        <is>
          <t>P3</t>
        </is>
      </c>
      <c r="M588" t="n">
        <v>65</v>
      </c>
      <c r="N588">
        <f>ROUND(IF(IF(J588="NOT AVAILABLE","",J588)="",12,IF(OR(ISNUMBER(SEARCH("Transactional",IF(J588="NOT AVAILABLE","",J588))),ISNUMBER(SEARCH("Commercial",IF(J588="NOT AVAILABLE","",J588)))),25,IF(ISNUMBER(SEARCH("Informational",IF(J588="NOT AVAILABLE","",J588))),10,IF(ISNUMBER(SEARCH("Navigational",IF(J588="NOT AVAILABLE","",J588))),0,12))))+IF(ISNUMBER(G588),MIN(30,ROUND(30*LOG10(G588+1)/4,1)),0)+IF(ISNUMBER(H588),ROUND(25*(100-H588)/100,1),12.5)+20,0)</f>
        <v/>
      </c>
      <c r="O588">
        <f>ROUND(N588*M588/100,0)</f>
        <v/>
      </c>
      <c r="P588" s="5" t="inlineStr">
        <is>
          <t>Measured variant of the tool task (MA market)</t>
        </is>
      </c>
      <c r="Q588" s="5" t="inlineStr">
        <is>
          <t>None detected</t>
        </is>
      </c>
    </row>
    <row r="589">
      <c r="A589" s="3" t="inlineStr">
        <is>
          <t>https://codesommet.com/tools/word-counter</t>
        </is>
      </c>
      <c r="B589" s="5" t="inlineStr">
        <is>
          <t>Compteur de Mots et de Caractères Gratuit</t>
        </is>
      </c>
      <c r="C589" t="inlineStr">
        <is>
          <t>Morocco</t>
        </is>
      </c>
      <c r="D589" t="inlineStr">
        <is>
          <t>ma</t>
        </is>
      </c>
      <c r="E589" t="inlineStr">
        <is>
          <t>SUPPORTING</t>
        </is>
      </c>
      <c r="F589" t="inlineStr">
        <is>
          <t>compteur de mot</t>
        </is>
      </c>
      <c r="G589" t="n">
        <v>90</v>
      </c>
      <c r="H589" t="inlineStr">
        <is>
          <t>NOT AVAILABLE</t>
        </is>
      </c>
      <c r="I589" t="n">
        <v>0.03</v>
      </c>
      <c r="J589" t="inlineStr">
        <is>
          <t>NOT AVAILABLE</t>
        </is>
      </c>
      <c r="K589" t="inlineStr">
        <is>
          <t>MEASURED</t>
        </is>
      </c>
      <c r="L589" t="inlineStr">
        <is>
          <t>P3</t>
        </is>
      </c>
      <c r="M589" t="n">
        <v>65</v>
      </c>
      <c r="N589">
        <f>ROUND(IF(IF(J589="NOT AVAILABLE","",J589)="",12,IF(OR(ISNUMBER(SEARCH("Transactional",IF(J589="NOT AVAILABLE","",J589))),ISNUMBER(SEARCH("Commercial",IF(J589="NOT AVAILABLE","",J589)))),25,IF(ISNUMBER(SEARCH("Informational",IF(J589="NOT AVAILABLE","",J589))),10,IF(ISNUMBER(SEARCH("Navigational",IF(J589="NOT AVAILABLE","",J589))),0,12))))+IF(ISNUMBER(G589),MIN(30,ROUND(30*LOG10(G589+1)/4,1)),0)+IF(ISNUMBER(H589),ROUND(25*(100-H589)/100,1),12.5)+20,0)</f>
        <v/>
      </c>
      <c r="O589">
        <f>ROUND(N589*M589/100,0)</f>
        <v/>
      </c>
      <c r="P589" s="5" t="inlineStr">
        <is>
          <t>Measured variant of the tool task (MA market)</t>
        </is>
      </c>
      <c r="Q589" s="5" t="inlineStr">
        <is>
          <t>None detected</t>
        </is>
      </c>
    </row>
    <row r="590">
      <c r="A590" s="3" t="inlineStr">
        <is>
          <t>https://codesommet.com/tools/word-counter</t>
        </is>
      </c>
      <c r="B590" s="5" t="inlineStr">
        <is>
          <t>Compteur de Mots et de Caractères Gratuit</t>
        </is>
      </c>
      <c r="C590" t="inlineStr">
        <is>
          <t>Morocco</t>
        </is>
      </c>
      <c r="D590" t="inlineStr">
        <is>
          <t>ma</t>
        </is>
      </c>
      <c r="E590" t="inlineStr">
        <is>
          <t>SUPPORTING</t>
        </is>
      </c>
      <c r="F590" t="inlineStr">
        <is>
          <t>nombre de mots</t>
        </is>
      </c>
      <c r="G590" t="n">
        <v>40</v>
      </c>
      <c r="H590" t="inlineStr">
        <is>
          <t>NOT AVAILABLE</t>
        </is>
      </c>
      <c r="I590" t="n">
        <v>0.02</v>
      </c>
      <c r="J590" t="inlineStr">
        <is>
          <t>NOT AVAILABLE</t>
        </is>
      </c>
      <c r="K590" t="inlineStr">
        <is>
          <t>MEASURED</t>
        </is>
      </c>
      <c r="L590" t="inlineStr">
        <is>
          <t>P3</t>
        </is>
      </c>
      <c r="M590" t="n">
        <v>65</v>
      </c>
      <c r="N590">
        <f>ROUND(IF(IF(J590="NOT AVAILABLE","",J590)="",12,IF(OR(ISNUMBER(SEARCH("Transactional",IF(J590="NOT AVAILABLE","",J590))),ISNUMBER(SEARCH("Commercial",IF(J590="NOT AVAILABLE","",J590)))),25,IF(ISNUMBER(SEARCH("Informational",IF(J590="NOT AVAILABLE","",J590))),10,IF(ISNUMBER(SEARCH("Navigational",IF(J590="NOT AVAILABLE","",J590))),0,12))))+IF(ISNUMBER(G590),MIN(30,ROUND(30*LOG10(G590+1)/4,1)),0)+IF(ISNUMBER(H590),ROUND(25*(100-H590)/100,1),12.5)+20,0)</f>
        <v/>
      </c>
      <c r="O590">
        <f>ROUND(N590*M590/100,0)</f>
        <v/>
      </c>
      <c r="P590" s="5" t="inlineStr">
        <is>
          <t>Measured variant of the tool task (MA market)</t>
        </is>
      </c>
      <c r="Q590" s="5" t="inlineStr">
        <is>
          <t>None detected</t>
        </is>
      </c>
    </row>
    <row r="591">
      <c r="A591" s="3" t="inlineStr">
        <is>
          <t>https://codesommet.com/tools/xml-sitemap-generator</t>
        </is>
      </c>
      <c r="B591" s="5" t="inlineStr">
        <is>
          <t>Générateur de Sitemap XML Gratuit</t>
        </is>
      </c>
      <c r="C591" t="inlineStr">
        <is>
          <t>France</t>
        </is>
      </c>
      <c r="D591" t="inlineStr">
        <is>
          <t>fr</t>
        </is>
      </c>
      <c r="E591" t="inlineStr">
        <is>
          <t>PRIMARY</t>
        </is>
      </c>
      <c r="F591" t="inlineStr">
        <is>
          <t>sitemap xml</t>
        </is>
      </c>
      <c r="G591" t="n">
        <v>720</v>
      </c>
      <c r="H591" t="n">
        <v>39</v>
      </c>
      <c r="I591" t="n">
        <v>1.45</v>
      </c>
      <c r="J591" t="inlineStr">
        <is>
          <t>Informational</t>
        </is>
      </c>
      <c r="K591" t="inlineStr">
        <is>
          <t>MEASURED</t>
        </is>
      </c>
      <c r="L591" t="inlineStr">
        <is>
          <t>P3</t>
        </is>
      </c>
      <c r="M591" t="n">
        <v>100</v>
      </c>
      <c r="N591">
        <f>ROUND(IF(IF(J591="NOT AVAILABLE","",J591)="",12,IF(OR(ISNUMBER(SEARCH("Transactional",IF(J591="NOT AVAILABLE","",J591))),ISNUMBER(SEARCH("Commercial",IF(J591="NOT AVAILABLE","",J591)))),25,IF(ISNUMBER(SEARCH("Informational",IF(J591="NOT AVAILABLE","",J591))),10,IF(ISNUMBER(SEARCH("Navigational",IF(J591="NOT AVAILABLE","",J591))),0,12))))+IF(ISNUMBER(G591),MIN(30,ROUND(30*LOG10(G591+1)/4,1)),0)+IF(ISNUMBER(H591),ROUND(25*(100-H591)/100,1),12.5)+14,0)</f>
        <v/>
      </c>
      <c r="O591">
        <f>ROUND(N591*M591/100,0)</f>
        <v/>
      </c>
      <c r="P591" s="5" t="inlineStr">
        <is>
          <t>Best-fitting measured FR query for the tool task (tools serve the francophone market; FR db used as proxy)</t>
        </is>
      </c>
      <c r="Q591" s="5" t="inlineStr">
        <is>
          <t>None detected</t>
        </is>
      </c>
    </row>
    <row r="592">
      <c r="A592" s="3" t="inlineStr">
        <is>
          <t>https://codesommet.com/tools/xml-sitemap-generator</t>
        </is>
      </c>
      <c r="B592" s="5" t="inlineStr">
        <is>
          <t>Générateur de Sitemap XML Gratuit</t>
        </is>
      </c>
      <c r="C592" t="inlineStr">
        <is>
          <t>France</t>
        </is>
      </c>
      <c r="D592" t="inlineStr">
        <is>
          <t>fr</t>
        </is>
      </c>
      <c r="E592" t="inlineStr">
        <is>
          <t>SECONDARY</t>
        </is>
      </c>
      <c r="F592" t="inlineStr">
        <is>
          <t>sitemap generator</t>
        </is>
      </c>
      <c r="G592" t="n">
        <v>480</v>
      </c>
      <c r="H592" t="n">
        <v>51</v>
      </c>
      <c r="I592" t="n">
        <v>1.69</v>
      </c>
      <c r="J592" t="inlineStr">
        <is>
          <t>Commercial</t>
        </is>
      </c>
      <c r="K592" t="inlineStr">
        <is>
          <t>MEASURED</t>
        </is>
      </c>
      <c r="L592" t="inlineStr">
        <is>
          <t>P3</t>
        </is>
      </c>
      <c r="M592" t="n">
        <v>85</v>
      </c>
      <c r="N592">
        <f>ROUND(IF(IF(J592="NOT AVAILABLE","",J592)="",12,IF(OR(ISNUMBER(SEARCH("Transactional",IF(J592="NOT AVAILABLE","",J592))),ISNUMBER(SEARCH("Commercial",IF(J592="NOT AVAILABLE","",J592)))),25,IF(ISNUMBER(SEARCH("Informational",IF(J592="NOT AVAILABLE","",J592))),10,IF(ISNUMBER(SEARCH("Navigational",IF(J592="NOT AVAILABLE","",J592))),0,12))))+IF(ISNUMBER(G592),MIN(30,ROUND(30*LOG10(G592+1)/4,1)),0)+IF(ISNUMBER(H592),ROUND(25*(100-H592)/100,1),12.5)+14,0)</f>
        <v/>
      </c>
      <c r="O592">
        <f>ROUND(N592*M592/100,0)</f>
        <v/>
      </c>
      <c r="P592" s="5" t="inlineStr">
        <is>
          <t>Measured variant of the tool task</t>
        </is>
      </c>
      <c r="Q592" s="5" t="inlineStr">
        <is>
          <t>None detected</t>
        </is>
      </c>
    </row>
    <row r="593">
      <c r="A593" s="3" t="inlineStr">
        <is>
          <t>https://codesommet.com/tools/xml-sitemap-generator</t>
        </is>
      </c>
      <c r="B593" s="5" t="inlineStr">
        <is>
          <t>Générateur de Sitemap XML Gratuit</t>
        </is>
      </c>
      <c r="C593" t="inlineStr">
        <is>
          <t>Morocco</t>
        </is>
      </c>
      <c r="D593" t="inlineStr">
        <is>
          <t>ma</t>
        </is>
      </c>
      <c r="E593" t="inlineStr">
        <is>
          <t>SECONDARY</t>
        </is>
      </c>
      <c r="F593" t="inlineStr">
        <is>
          <t>sitemap xml</t>
        </is>
      </c>
      <c r="G593" t="n">
        <v>210</v>
      </c>
      <c r="H593" t="inlineStr">
        <is>
          <t>NOT AVAILABLE</t>
        </is>
      </c>
      <c r="I593" t="n">
        <v>1.54</v>
      </c>
      <c r="J593" t="inlineStr">
        <is>
          <t>NOT AVAILABLE</t>
        </is>
      </c>
      <c r="K593" t="inlineStr">
        <is>
          <t>MEASURED</t>
        </is>
      </c>
      <c r="L593" t="inlineStr">
        <is>
          <t>P3</t>
        </is>
      </c>
      <c r="M593" t="n">
        <v>85</v>
      </c>
      <c r="N593">
        <f>ROUND(IF(IF(J593="NOT AVAILABLE","",J593)="",12,IF(OR(ISNUMBER(SEARCH("Transactional",IF(J593="NOT AVAILABLE","",J593))),ISNUMBER(SEARCH("Commercial",IF(J593="NOT AVAILABLE","",J593)))),25,IF(ISNUMBER(SEARCH("Informational",IF(J593="NOT AVAILABLE","",J593))),10,IF(ISNUMBER(SEARCH("Navigational",IF(J593="NOT AVAILABLE","",J593))),0,12))))+IF(ISNUMBER(G593),MIN(30,ROUND(30*LOG10(G593+1)/4,1)),0)+IF(ISNUMBER(H593),ROUND(25*(100-H593)/100,1),12.5)+20,0)</f>
        <v/>
      </c>
      <c r="O593">
        <f>ROUND(N593*M593/100,0)</f>
        <v/>
      </c>
      <c r="P593" s="5" t="inlineStr">
        <is>
          <t>Same query, Moroccan market (separate database, never summed)</t>
        </is>
      </c>
      <c r="Q593" s="5" t="inlineStr">
        <is>
          <t>None detected</t>
        </is>
      </c>
    </row>
    <row r="594">
      <c r="A594" s="3" t="inlineStr">
        <is>
          <t>https://codesommet.com/tools/xml-sitemap-generator</t>
        </is>
      </c>
      <c r="B594" s="5" t="inlineStr">
        <is>
          <t>Générateur de Sitemap XML Gratuit</t>
        </is>
      </c>
      <c r="C594" t="inlineStr">
        <is>
          <t>Morocco</t>
        </is>
      </c>
      <c r="D594" t="inlineStr">
        <is>
          <t>ma</t>
        </is>
      </c>
      <c r="E594" t="inlineStr">
        <is>
          <t>SUPPORTING</t>
        </is>
      </c>
      <c r="F594" t="inlineStr">
        <is>
          <t>sitemap generator</t>
        </is>
      </c>
      <c r="G594" t="n">
        <v>210</v>
      </c>
      <c r="H594" t="inlineStr">
        <is>
          <t>NOT AVAILABLE</t>
        </is>
      </c>
      <c r="I594" t="n">
        <v>2.08</v>
      </c>
      <c r="J594" t="inlineStr">
        <is>
          <t>NOT AVAILABLE</t>
        </is>
      </c>
      <c r="K594" t="inlineStr">
        <is>
          <t>MEASURED</t>
        </is>
      </c>
      <c r="L594" t="inlineStr">
        <is>
          <t>P3</t>
        </is>
      </c>
      <c r="M594" t="n">
        <v>65</v>
      </c>
      <c r="N594">
        <f>ROUND(IF(IF(J594="NOT AVAILABLE","",J594)="",12,IF(OR(ISNUMBER(SEARCH("Transactional",IF(J594="NOT AVAILABLE","",J594))),ISNUMBER(SEARCH("Commercial",IF(J594="NOT AVAILABLE","",J594)))),25,IF(ISNUMBER(SEARCH("Informational",IF(J594="NOT AVAILABLE","",J594))),10,IF(ISNUMBER(SEARCH("Navigational",IF(J594="NOT AVAILABLE","",J594))),0,12))))+IF(ISNUMBER(G594),MIN(30,ROUND(30*LOG10(G594+1)/4,1)),0)+IF(ISNUMBER(H594),ROUND(25*(100-H594)/100,1),12.5)+20,0)</f>
        <v/>
      </c>
      <c r="O594">
        <f>ROUND(N594*M594/100,0)</f>
        <v/>
      </c>
      <c r="P594" s="5" t="inlineStr">
        <is>
          <t>Measured variant of the tool task (MA market)</t>
        </is>
      </c>
      <c r="Q594" s="5" t="inlineStr">
        <is>
          <t>None detected</t>
        </is>
      </c>
    </row>
    <row r="595">
      <c r="A595" s="3" t="inlineStr">
        <is>
          <t>https://codesommet.com/tools/xml-sitemap-generator</t>
        </is>
      </c>
      <c r="B595" s="5" t="inlineStr">
        <is>
          <t>Générateur de Sitemap XML Gratuit</t>
        </is>
      </c>
      <c r="C595" t="inlineStr">
        <is>
          <t>France</t>
        </is>
      </c>
      <c r="D595" t="inlineStr">
        <is>
          <t>fr</t>
        </is>
      </c>
      <c r="E595" t="inlineStr">
        <is>
          <t>SUPPORTING</t>
        </is>
      </c>
      <c r="F595" t="inlineStr">
        <is>
          <t>générateur sitemap</t>
        </is>
      </c>
      <c r="G595" t="n">
        <v>20</v>
      </c>
      <c r="H595" t="inlineStr">
        <is>
          <t>NOT AVAILABLE</t>
        </is>
      </c>
      <c r="I595" t="n">
        <v>0</v>
      </c>
      <c r="J595" t="inlineStr">
        <is>
          <t>NOT AVAILABLE</t>
        </is>
      </c>
      <c r="K595" t="inlineStr">
        <is>
          <t>MEASURED</t>
        </is>
      </c>
      <c r="L595" t="inlineStr">
        <is>
          <t>P3</t>
        </is>
      </c>
      <c r="M595" t="n">
        <v>65</v>
      </c>
      <c r="N595">
        <f>ROUND(IF(IF(J595="NOT AVAILABLE","",J595)="",12,IF(OR(ISNUMBER(SEARCH("Transactional",IF(J595="NOT AVAILABLE","",J595))),ISNUMBER(SEARCH("Commercial",IF(J595="NOT AVAILABLE","",J595)))),25,IF(ISNUMBER(SEARCH("Informational",IF(J595="NOT AVAILABLE","",J595))),10,IF(ISNUMBER(SEARCH("Navigational",IF(J595="NOT AVAILABLE","",J595))),0,12))))+IF(ISNUMBER(G595),MIN(30,ROUND(30*LOG10(G595+1)/4,1)),0)+IF(ISNUMBER(H595),ROUND(25*(100-H595)/100,1),12.5)+14,0)</f>
        <v/>
      </c>
      <c r="O595">
        <f>ROUND(N595*M595/100,0)</f>
        <v/>
      </c>
      <c r="P595" s="5" t="inlineStr">
        <is>
          <t>Measured variant of the tool task</t>
        </is>
      </c>
      <c r="Q595" s="5" t="inlineStr">
        <is>
          <t>None detected</t>
        </is>
      </c>
    </row>
    <row r="596">
      <c r="A596" s="3" t="inlineStr">
        <is>
          <t>https://codesommet.com/tools/xml-sitemap-generator</t>
        </is>
      </c>
      <c r="B596" s="5" t="inlineStr">
        <is>
          <t>Générateur de Sitemap XML Gratuit</t>
        </is>
      </c>
      <c r="C596" t="inlineStr">
        <is>
          <t>Morocco</t>
        </is>
      </c>
      <c r="D596" t="inlineStr">
        <is>
          <t>ma</t>
        </is>
      </c>
      <c r="E596" t="inlineStr">
        <is>
          <t>SUPPORTING</t>
        </is>
      </c>
      <c r="F596" t="inlineStr">
        <is>
          <t>générateur sitemap</t>
        </is>
      </c>
      <c r="G596" t="n">
        <v>20</v>
      </c>
      <c r="H596" t="inlineStr">
        <is>
          <t>NOT AVAILABLE</t>
        </is>
      </c>
      <c r="I596" t="n">
        <v>0</v>
      </c>
      <c r="J596" t="inlineStr">
        <is>
          <t>NOT AVAILABLE</t>
        </is>
      </c>
      <c r="K596" t="inlineStr">
        <is>
          <t>MEASURED</t>
        </is>
      </c>
      <c r="L596" t="inlineStr">
        <is>
          <t>P3</t>
        </is>
      </c>
      <c r="M596" t="n">
        <v>65</v>
      </c>
      <c r="N596">
        <f>ROUND(IF(IF(J596="NOT AVAILABLE","",J596)="",12,IF(OR(ISNUMBER(SEARCH("Transactional",IF(J596="NOT AVAILABLE","",J596))),ISNUMBER(SEARCH("Commercial",IF(J596="NOT AVAILABLE","",J596)))),25,IF(ISNUMBER(SEARCH("Informational",IF(J596="NOT AVAILABLE","",J596))),10,IF(ISNUMBER(SEARCH("Navigational",IF(J596="NOT AVAILABLE","",J596))),0,12))))+IF(ISNUMBER(G596),MIN(30,ROUND(30*LOG10(G596+1)/4,1)),0)+IF(ISNUMBER(H596),ROUND(25*(100-H596)/100,1),12.5)+20,0)</f>
        <v/>
      </c>
      <c r="O596">
        <f>ROUND(N596*M596/100,0)</f>
        <v/>
      </c>
      <c r="P596" s="5" t="inlineStr">
        <is>
          <t>Measured variant of the tool task (MA market)</t>
        </is>
      </c>
      <c r="Q596" s="5" t="inlineStr">
        <is>
          <t>None detected</t>
        </is>
      </c>
    </row>
    <row r="597">
      <c r="A597" s="3" t="inlineStr">
        <is>
          <t>https://codesommet.com/tools/xml-sitemap-generator</t>
        </is>
      </c>
      <c r="B597" s="5" t="inlineStr">
        <is>
          <t>Générateur de Sitemap XML Gratuit</t>
        </is>
      </c>
      <c r="C597" t="inlineStr">
        <is>
          <t>France</t>
        </is>
      </c>
      <c r="D597" t="inlineStr">
        <is>
          <t>fr</t>
        </is>
      </c>
      <c r="E597" t="inlineStr">
        <is>
          <t>SUPPORTING</t>
        </is>
      </c>
      <c r="F597" t="inlineStr">
        <is>
          <t>créer sitemap xml</t>
        </is>
      </c>
      <c r="G597" t="n">
        <v>20</v>
      </c>
      <c r="H597" t="inlineStr">
        <is>
          <t>NOT AVAILABLE</t>
        </is>
      </c>
      <c r="I597" t="n">
        <v>0</v>
      </c>
      <c r="J597" t="inlineStr">
        <is>
          <t>NOT AVAILABLE</t>
        </is>
      </c>
      <c r="K597" t="inlineStr">
        <is>
          <t>MEASURED</t>
        </is>
      </c>
      <c r="L597" t="inlineStr">
        <is>
          <t>P3</t>
        </is>
      </c>
      <c r="M597" t="n">
        <v>65</v>
      </c>
      <c r="N597">
        <f>ROUND(IF(IF(J597="NOT AVAILABLE","",J597)="",12,IF(OR(ISNUMBER(SEARCH("Transactional",IF(J597="NOT AVAILABLE","",J597))),ISNUMBER(SEARCH("Commercial",IF(J597="NOT AVAILABLE","",J597)))),25,IF(ISNUMBER(SEARCH("Informational",IF(J597="NOT AVAILABLE","",J597))),10,IF(ISNUMBER(SEARCH("Navigational",IF(J597="NOT AVAILABLE","",J597))),0,12))))+IF(ISNUMBER(G597),MIN(30,ROUND(30*LOG10(G597+1)/4,1)),0)+IF(ISNUMBER(H597),ROUND(25*(100-H597)/100,1),12.5)+14,0)</f>
        <v/>
      </c>
      <c r="O597">
        <f>ROUND(N597*M597/100,0)</f>
        <v/>
      </c>
      <c r="P597" s="5" t="inlineStr">
        <is>
          <t>Measured variant of the tool task</t>
        </is>
      </c>
      <c r="Q597" s="5" t="inlineStr">
        <is>
          <t>None detected</t>
        </is>
      </c>
    </row>
    <row r="598">
      <c r="A598" s="3" t="inlineStr">
        <is>
          <t>https://codesommet.com/web-development-company/abudhabi</t>
        </is>
      </c>
      <c r="B598" s="5" t="inlineStr">
        <is>
          <t>Développement Web à Abu Dhabi, EAU : des sites web qui génèrent Portails Immobil</t>
        </is>
      </c>
      <c r="C598" t="inlineStr">
        <is>
          <t>United Arab Emirates</t>
        </is>
      </c>
      <c r="D598" t="inlineStr">
        <is>
          <t>ae</t>
        </is>
      </c>
      <c r="E598" t="inlineStr">
        <is>
          <t>PRIMARY</t>
        </is>
      </c>
      <c r="F598" t="inlineStr">
        <is>
          <t>développement web abu dhabi</t>
        </is>
      </c>
      <c r="G598" t="inlineStr">
        <is>
          <t>NOT AVAILABLE</t>
        </is>
      </c>
      <c r="H598" t="inlineStr">
        <is>
          <t>NOT AVAILABLE</t>
        </is>
      </c>
      <c r="I598" t="inlineStr">
        <is>
          <t>NOT AVAILABLE</t>
        </is>
      </c>
      <c r="J598" t="inlineStr">
        <is>
          <t>NOT AVAILABLE</t>
        </is>
      </c>
      <c r="K598" t="inlineStr">
        <is>
          <t>UNAVAILABLE</t>
        </is>
      </c>
      <c r="L598" t="inlineStr">
        <is>
          <t>P3</t>
        </is>
      </c>
      <c r="M598" t="n">
        <v>100</v>
      </c>
      <c r="N598">
        <f>ROUND(IF(IF(J598="NOT AVAILABLE","",J598)="",12,IF(OR(ISNUMBER(SEARCH("Transactional",IF(J598="NOT AVAILABLE","",J598))),ISNUMBER(SEARCH("Commercial",IF(J598="NOT AVAILABLE","",J598)))),25,IF(ISNUMBER(SEARCH("Informational",IF(J598="NOT AVAILABLE","",J598))),10,IF(ISNUMBER(SEARCH("Navigational",IF(J598="NOT AVAILABLE","",J598))),0,12))))+IF(ISNUMBER(G598),MIN(30,ROUND(30*LOG10(G598+1)/4,1)),0)+IF(ISNUMBER(H598),ROUND(25*(100-H598)/100,1),12.5)+3,0)</f>
        <v/>
      </c>
      <c r="O598">
        <f>ROUND(N598*M598/100,0)</f>
        <v/>
      </c>
      <c r="P598" s="5" t="inlineStr">
        <is>
          <t>Matches current H1; Semrush shows no/negligible French-language demand in this market</t>
        </is>
      </c>
      <c r="Q598" s="5" t="inlineStr">
        <is>
          <t>None detected</t>
        </is>
      </c>
    </row>
    <row r="599">
      <c r="A599" s="3" t="inlineStr">
        <is>
          <t>https://codesommet.com/web-development-company/abudhabi</t>
        </is>
      </c>
      <c r="B599" s="5" t="inlineStr">
        <is>
          <t>Développement Web à Abu Dhabi, EAU : des sites web qui génèrent Portails Immobil</t>
        </is>
      </c>
      <c r="C599" t="inlineStr">
        <is>
          <t>United Arab Emirates</t>
        </is>
      </c>
      <c r="D599" t="inlineStr">
        <is>
          <t>ae</t>
        </is>
      </c>
      <c r="E599" t="inlineStr">
        <is>
          <t>NOT RECOMMENDED</t>
        </is>
      </c>
      <c r="F599" t="inlineStr">
        <is>
          <t>web development company abu dhabi</t>
        </is>
      </c>
      <c r="G599" t="n">
        <v>390</v>
      </c>
      <c r="H599" t="n">
        <v>18</v>
      </c>
      <c r="I599" t="n">
        <v>8.81</v>
      </c>
      <c r="J599" t="inlineStr">
        <is>
          <t>Commercial</t>
        </is>
      </c>
      <c r="K599" t="inlineStr">
        <is>
          <t>MEASURED</t>
        </is>
      </c>
      <c r="L599" t="inlineStr">
        <is>
          <t>P4</t>
        </is>
      </c>
      <c r="M599" t="n">
        <v>0</v>
      </c>
      <c r="N599">
        <f>ROUND(IF(IF(J599="NOT AVAILABLE","",J599)="",12,IF(OR(ISNUMBER(SEARCH("Transactional",IF(J599="NOT AVAILABLE","",J599))),ISNUMBER(SEARCH("Commercial",IF(J599="NOT AVAILABLE","",J599)))),25,IF(ISNUMBER(SEARCH("Informational",IF(J599="NOT AVAILABLE","",J599))),10,IF(ISNUMBER(SEARCH("Navigational",IF(J599="NOT AVAILABLE","",J599))),0,12))))+IF(ISNUMBER(G599),MIN(30,ROUND(30*LOG10(G599+1)/4,1)),0)+IF(ISNUMBER(H599),ROUND(25*(100-H599)/100,1),12.5)+3,0)</f>
        <v/>
      </c>
      <c r="O599">
        <f>ROUND(N599*M599/100,0)</f>
        <v/>
      </c>
      <c r="P599" s="5" t="inlineStr">
        <is>
          <t>Local-language demand (390) but the page is in French - language mismatch; see sheet 08</t>
        </is>
      </c>
      <c r="Q599" s="5" t="inlineStr">
        <is>
          <t>n/a (not targeted)</t>
        </is>
      </c>
    </row>
    <row r="600">
      <c r="A600" s="3" t="inlineStr">
        <is>
          <t>https://codesommet.com/web-development-company/agadir</t>
        </is>
      </c>
      <c r="B600" s="5" t="inlineStr">
        <is>
          <t>Agence Web Agadir : Création de Sites qui génèrent LA CROISSANCE DES ENTREPRISES</t>
        </is>
      </c>
      <c r="C600" t="inlineStr">
        <is>
          <t>Morocco</t>
        </is>
      </c>
      <c r="D600" t="inlineStr">
        <is>
          <t>ma</t>
        </is>
      </c>
      <c r="E600" t="inlineStr">
        <is>
          <t>PRIMARY</t>
        </is>
      </c>
      <c r="F600" t="inlineStr">
        <is>
          <t>agence web agadir</t>
        </is>
      </c>
      <c r="G600" t="n">
        <v>140</v>
      </c>
      <c r="H600" t="inlineStr">
        <is>
          <t>NOT AVAILABLE</t>
        </is>
      </c>
      <c r="I600" t="n">
        <v>0.57</v>
      </c>
      <c r="J600" t="inlineStr">
        <is>
          <t>NOT AVAILABLE</t>
        </is>
      </c>
      <c r="K600" t="inlineStr">
        <is>
          <t>MEASURED</t>
        </is>
      </c>
      <c r="L600" t="inlineStr">
        <is>
          <t>P1</t>
        </is>
      </c>
      <c r="M600" t="n">
        <v>100</v>
      </c>
      <c r="N600">
        <f>ROUND(IF(IF(J600="NOT AVAILABLE","",J600)="",12,IF(OR(ISNUMBER(SEARCH("Transactional",IF(J600="NOT AVAILABLE","",J600))),ISNUMBER(SEARCH("Commercial",IF(J600="NOT AVAILABLE","",J600)))),25,IF(ISNUMBER(SEARCH("Informational",IF(J600="NOT AVAILABLE","",J600))),10,IF(ISNUMBER(SEARCH("Navigational",IF(J600="NOT AVAILABLE","",J600))),0,12))))+IF(ISNUMBER(G600),MIN(30,ROUND(30*LOG10(G600+1)/4,1)),0)+IF(ISNUMBER(H600),ROUND(25*(100-H600)/100,1),12.5)+20,0)</f>
        <v/>
      </c>
      <c r="O600">
        <f>ROUND(N600*M600/100,0)</f>
        <v/>
      </c>
      <c r="P600" s="5" t="inlineStr">
        <is>
          <t>MA 140 - title aligned (page created 27 Oct)</t>
        </is>
      </c>
      <c r="Q600" s="5" t="inlineStr">
        <is>
          <t>None detected</t>
        </is>
      </c>
    </row>
    <row r="601">
      <c r="A601" s="3" t="inlineStr">
        <is>
          <t>https://codesommet.com/web-development-company/agadir</t>
        </is>
      </c>
      <c r="B601" s="5" t="inlineStr">
        <is>
          <t>Agence Web Agadir : Création de Sites qui génèrent LA CROISSANCE DES ENTREPRISES</t>
        </is>
      </c>
      <c r="C601" t="inlineStr">
        <is>
          <t>Morocco</t>
        </is>
      </c>
      <c r="D601" t="inlineStr">
        <is>
          <t>ma</t>
        </is>
      </c>
      <c r="E601" t="inlineStr">
        <is>
          <t>SECONDARY</t>
        </is>
      </c>
      <c r="F601" t="inlineStr">
        <is>
          <t>création site web agadir</t>
        </is>
      </c>
      <c r="G601" t="n">
        <v>90</v>
      </c>
      <c r="H601" t="inlineStr">
        <is>
          <t>NOT AVAILABLE</t>
        </is>
      </c>
      <c r="I601" t="n">
        <v>0</v>
      </c>
      <c r="J601" t="inlineStr">
        <is>
          <t>NOT AVAILABLE</t>
        </is>
      </c>
      <c r="K601" t="inlineStr">
        <is>
          <t>MEASURED</t>
        </is>
      </c>
      <c r="L601" t="inlineStr">
        <is>
          <t>P1</t>
        </is>
      </c>
      <c r="M601" t="n">
        <v>85</v>
      </c>
      <c r="N601">
        <f>ROUND(IF(IF(J601="NOT AVAILABLE","",J601)="",12,IF(OR(ISNUMBER(SEARCH("Transactional",IF(J601="NOT AVAILABLE","",J601))),ISNUMBER(SEARCH("Commercial",IF(J601="NOT AVAILABLE","",J601)))),25,IF(ISNUMBER(SEARCH("Informational",IF(J601="NOT AVAILABLE","",J601))),10,IF(ISNUMBER(SEARCH("Navigational",IF(J601="NOT AVAILABLE","",J601))),0,12))))+IF(ISNUMBER(G601),MIN(30,ROUND(30*LOG10(G601+1)/4,1)),0)+IF(ISNUMBER(H601),ROUND(25*(100-H601)/100,1),12.5)+20,0)</f>
        <v/>
      </c>
      <c r="O601">
        <f>ROUND(N601*M601/100,0)</f>
        <v/>
      </c>
      <c r="P601" s="5" t="inlineStr">
        <is>
          <t>90</t>
        </is>
      </c>
      <c r="Q601" s="5" t="inlineStr">
        <is>
          <t>None detected</t>
        </is>
      </c>
    </row>
    <row r="602">
      <c r="A602" s="3" t="inlineStr">
        <is>
          <t>https://codesommet.com/web-development-company/agadir</t>
        </is>
      </c>
      <c r="B602" s="5" t="inlineStr">
        <is>
          <t>Agence Web Agadir : Création de Sites qui génèrent LA CROISSANCE DES ENTREPRISES</t>
        </is>
      </c>
      <c r="C602" t="inlineStr">
        <is>
          <t>Morocco</t>
        </is>
      </c>
      <c r="D602" t="inlineStr">
        <is>
          <t>ma</t>
        </is>
      </c>
      <c r="E602" t="inlineStr">
        <is>
          <t>SUPPORTING</t>
        </is>
      </c>
      <c r="F602" t="inlineStr">
        <is>
          <t>site web agadir</t>
        </is>
      </c>
      <c r="G602" t="n">
        <v>30</v>
      </c>
      <c r="H602" t="inlineStr">
        <is>
          <t>NOT AVAILABLE</t>
        </is>
      </c>
      <c r="I602" t="n">
        <v>0</v>
      </c>
      <c r="J602" t="inlineStr">
        <is>
          <t>NOT AVAILABLE</t>
        </is>
      </c>
      <c r="K602" t="inlineStr">
        <is>
          <t>MEASURED</t>
        </is>
      </c>
      <c r="L602" t="inlineStr">
        <is>
          <t>P3</t>
        </is>
      </c>
      <c r="M602" t="n">
        <v>65</v>
      </c>
      <c r="N602">
        <f>ROUND(IF(IF(J602="NOT AVAILABLE","",J602)="",12,IF(OR(ISNUMBER(SEARCH("Transactional",IF(J602="NOT AVAILABLE","",J602))),ISNUMBER(SEARCH("Commercial",IF(J602="NOT AVAILABLE","",J602)))),25,IF(ISNUMBER(SEARCH("Informational",IF(J602="NOT AVAILABLE","",J602))),10,IF(ISNUMBER(SEARCH("Navigational",IF(J602="NOT AVAILABLE","",J602))),0,12))))+IF(ISNUMBER(G602),MIN(30,ROUND(30*LOG10(G602+1)/4,1)),0)+IF(ISNUMBER(H602),ROUND(25*(100-H602)/100,1),12.5)+20,0)</f>
        <v/>
      </c>
      <c r="O602">
        <f>ROUND(N602*M602/100,0)</f>
        <v/>
      </c>
      <c r="P602" s="5" t="inlineStr">
        <is>
          <t>Semantic/supporting term for body copy</t>
        </is>
      </c>
      <c r="Q602" s="5" t="inlineStr">
        <is>
          <t>None detected</t>
        </is>
      </c>
    </row>
    <row r="603">
      <c r="A603" s="3" t="inlineStr">
        <is>
          <t>https://codesommet.com/web-development-company/agadir</t>
        </is>
      </c>
      <c r="B603" s="5" t="inlineStr">
        <is>
          <t>Agence Web Agadir : Création de Sites qui génèrent LA CROISSANCE DES ENTREPRISES</t>
        </is>
      </c>
      <c r="C603" t="inlineStr">
        <is>
          <t>Morocco</t>
        </is>
      </c>
      <c r="D603" t="inlineStr">
        <is>
          <t>ma</t>
        </is>
      </c>
      <c r="E603" t="inlineStr">
        <is>
          <t>SUPPORTING</t>
        </is>
      </c>
      <c r="F603" t="inlineStr">
        <is>
          <t>agence digitale agadir</t>
        </is>
      </c>
      <c r="G603" t="n">
        <v>20</v>
      </c>
      <c r="H603" t="inlineStr">
        <is>
          <t>NOT AVAILABLE</t>
        </is>
      </c>
      <c r="I603" t="n">
        <v>0.37</v>
      </c>
      <c r="J603" t="inlineStr">
        <is>
          <t>NOT AVAILABLE</t>
        </is>
      </c>
      <c r="K603" t="inlineStr">
        <is>
          <t>MEASURED</t>
        </is>
      </c>
      <c r="L603" t="inlineStr">
        <is>
          <t>P3</t>
        </is>
      </c>
      <c r="M603" t="n">
        <v>65</v>
      </c>
      <c r="N603">
        <f>ROUND(IF(IF(J603="NOT AVAILABLE","",J603)="",12,IF(OR(ISNUMBER(SEARCH("Transactional",IF(J603="NOT AVAILABLE","",J603))),ISNUMBER(SEARCH("Commercial",IF(J603="NOT AVAILABLE","",J603)))),25,IF(ISNUMBER(SEARCH("Informational",IF(J603="NOT AVAILABLE","",J603))),10,IF(ISNUMBER(SEARCH("Navigational",IF(J603="NOT AVAILABLE","",J603))),0,12))))+IF(ISNUMBER(G603),MIN(30,ROUND(30*LOG10(G603+1)/4,1)),0)+IF(ISNUMBER(H603),ROUND(25*(100-H603)/100,1),12.5)+20,0)</f>
        <v/>
      </c>
      <c r="O603">
        <f>ROUND(N603*M603/100,0)</f>
        <v/>
      </c>
      <c r="P603" s="5" t="inlineStr">
        <is>
          <t>Semantic/supporting term for body copy</t>
        </is>
      </c>
      <c r="Q603" s="5" t="inlineStr">
        <is>
          <t>None detected</t>
        </is>
      </c>
    </row>
    <row r="604">
      <c r="A604" s="3" t="inlineStr">
        <is>
          <t>https://codesommet.com/web-development-company/agadir</t>
        </is>
      </c>
      <c r="B604" s="5" t="inlineStr">
        <is>
          <t>Agence Web Agadir : Création de Sites qui génèrent LA CROISSANCE DES ENTREPRISES</t>
        </is>
      </c>
      <c r="C604" t="inlineStr">
        <is>
          <t>Morocco</t>
        </is>
      </c>
      <c r="D604" t="inlineStr">
        <is>
          <t>ma</t>
        </is>
      </c>
      <c r="E604" t="inlineStr">
        <is>
          <t>SUPPORTING</t>
        </is>
      </c>
      <c r="F604" t="inlineStr">
        <is>
          <t>développeur web agadir</t>
        </is>
      </c>
      <c r="G604" t="n">
        <v>20</v>
      </c>
      <c r="H604" t="inlineStr">
        <is>
          <t>NOT AVAILABLE</t>
        </is>
      </c>
      <c r="I604" t="n">
        <v>0</v>
      </c>
      <c r="J604" t="inlineStr">
        <is>
          <t>NOT AVAILABLE</t>
        </is>
      </c>
      <c r="K604" t="inlineStr">
        <is>
          <t>MEASURED</t>
        </is>
      </c>
      <c r="L604" t="inlineStr">
        <is>
          <t>P3</t>
        </is>
      </c>
      <c r="M604" t="n">
        <v>65</v>
      </c>
      <c r="N604">
        <f>ROUND(IF(IF(J604="NOT AVAILABLE","",J604)="",12,IF(OR(ISNUMBER(SEARCH("Transactional",IF(J604="NOT AVAILABLE","",J604))),ISNUMBER(SEARCH("Commercial",IF(J604="NOT AVAILABLE","",J604)))),25,IF(ISNUMBER(SEARCH("Informational",IF(J604="NOT AVAILABLE","",J604))),10,IF(ISNUMBER(SEARCH("Navigational",IF(J604="NOT AVAILABLE","",J604))),0,12))))+IF(ISNUMBER(G604),MIN(30,ROUND(30*LOG10(G604+1)/4,1)),0)+IF(ISNUMBER(H604),ROUND(25*(100-H604)/100,1),12.5)+20,0)</f>
        <v/>
      </c>
      <c r="O604">
        <f>ROUND(N604*M604/100,0)</f>
        <v/>
      </c>
      <c r="P604" s="5" t="inlineStr">
        <is>
          <t>Semantic/supporting term for body copy</t>
        </is>
      </c>
      <c r="Q604" s="5" t="inlineStr">
        <is>
          <t>None detected</t>
        </is>
      </c>
    </row>
    <row r="605">
      <c r="A605" s="3" t="inlineStr">
        <is>
          <t>https://codesommet.com/web-development-company/agadir</t>
        </is>
      </c>
      <c r="B605" s="5" t="inlineStr">
        <is>
          <t>Agence Web Agadir : Création de Sites qui génèrent LA CROISSANCE DES ENTREPRISES</t>
        </is>
      </c>
      <c r="C605" t="inlineStr">
        <is>
          <t>Morocco</t>
        </is>
      </c>
      <c r="D605" t="inlineStr">
        <is>
          <t>ma</t>
        </is>
      </c>
      <c r="E605" t="inlineStr">
        <is>
          <t>NOT RECOMMENDED</t>
        </is>
      </c>
      <c r="F605" t="inlineStr">
        <is>
          <t>agence de communication agadir</t>
        </is>
      </c>
      <c r="G605" t="n">
        <v>140</v>
      </c>
      <c r="H605" t="inlineStr">
        <is>
          <t>NOT AVAILABLE</t>
        </is>
      </c>
      <c r="I605" t="n">
        <v>0.31</v>
      </c>
      <c r="J605" t="inlineStr">
        <is>
          <t>NOT AVAILABLE</t>
        </is>
      </c>
      <c r="K605" t="inlineStr">
        <is>
          <t>MEASURED</t>
        </is>
      </c>
      <c r="L605" t="inlineStr">
        <is>
          <t>P4</t>
        </is>
      </c>
      <c r="M605" t="n">
        <v>0</v>
      </c>
      <c r="N605">
        <f>ROUND(IF(IF(J605="NOT AVAILABLE","",J605)="",12,IF(OR(ISNUMBER(SEARCH("Transactional",IF(J605="NOT AVAILABLE","",J605))),ISNUMBER(SEARCH("Commercial",IF(J605="NOT AVAILABLE","",J605)))),25,IF(ISNUMBER(SEARCH("Informational",IF(J605="NOT AVAILABLE","",J605))),10,IF(ISNUMBER(SEARCH("Navigational",IF(J605="NOT AVAILABLE","",J605))),0,12))))+IF(ISNUMBER(G605),MIN(30,ROUND(30*LOG10(G605+1)/4,1)),0)+IF(ISNUMBER(H605),ROUND(25*(100-H605)/100,1),12.5)+20,0)</f>
        <v/>
      </c>
      <c r="O605">
        <f>ROUND(N605*M605/100,0)</f>
        <v/>
      </c>
      <c r="P605" s="5" t="inlineStr">
        <is>
          <t>Service not offered by CodeSommet (communication / marketing agency intent) - traffic would not convert (140)</t>
        </is>
      </c>
      <c r="Q605" s="5" t="inlineStr">
        <is>
          <t>n/a (not targeted)</t>
        </is>
      </c>
    </row>
    <row r="606">
      <c r="A606" s="3" t="inlineStr">
        <is>
          <t>https://codesommet.com/web-development-company/agadir</t>
        </is>
      </c>
      <c r="B606" s="5" t="inlineStr">
        <is>
          <t>Agence Web Agadir : Création de Sites qui génèrent LA CROISSANCE DES ENTREPRISES</t>
        </is>
      </c>
      <c r="C606" t="inlineStr">
        <is>
          <t>Morocco</t>
        </is>
      </c>
      <c r="D606" t="inlineStr">
        <is>
          <t>ma</t>
        </is>
      </c>
      <c r="E606" t="inlineStr">
        <is>
          <t>NOT RECOMMENDED</t>
        </is>
      </c>
      <c r="F606" t="inlineStr">
        <is>
          <t>agence seo agadir</t>
        </is>
      </c>
      <c r="G606" t="n">
        <v>20</v>
      </c>
      <c r="H606" t="inlineStr">
        <is>
          <t>NOT AVAILABLE</t>
        </is>
      </c>
      <c r="I606" t="n">
        <v>0</v>
      </c>
      <c r="J606" t="inlineStr">
        <is>
          <t>NOT AVAILABLE</t>
        </is>
      </c>
      <c r="K606" t="inlineStr">
        <is>
          <t>MEASURED</t>
        </is>
      </c>
      <c r="L606" t="inlineStr">
        <is>
          <t>P4</t>
        </is>
      </c>
      <c r="M606" t="n">
        <v>0</v>
      </c>
      <c r="N606">
        <f>ROUND(IF(IF(J606="NOT AVAILABLE","",J606)="",12,IF(OR(ISNUMBER(SEARCH("Transactional",IF(J606="NOT AVAILABLE","",J606))),ISNUMBER(SEARCH("Commercial",IF(J606="NOT AVAILABLE","",J606)))),25,IF(ISNUMBER(SEARCH("Informational",IF(J606="NOT AVAILABLE","",J606))),10,IF(ISNUMBER(SEARCH("Navigational",IF(J606="NOT AVAILABLE","",J606))),0,12))))+IF(ISNUMBER(G606),MIN(30,ROUND(30*LOG10(G606+1)/4,1)),0)+IF(ISNUMBER(H606),ROUND(25*(100-H606)/100,1),12.5)+20,0)</f>
        <v/>
      </c>
      <c r="O606">
        <f>ROUND(N606*M606/100,0)</f>
        <v/>
      </c>
      <c r="P606" s="5" t="inlineStr">
        <is>
          <t>Owned by /services/seo-maroc</t>
        </is>
      </c>
      <c r="Q606" s="5" t="inlineStr">
        <is>
          <t>n/a (not targeted)</t>
        </is>
      </c>
    </row>
    <row r="607">
      <c r="A607" s="3" t="inlineStr">
        <is>
          <t>https://codesommet.com/web-development-company/amsterdam</t>
        </is>
      </c>
      <c r="B607" s="5" t="inlineStr">
        <is>
          <t>Développement Web à Amsterdam, Pays-Bas : des sites web qui génèrent Plateformes</t>
        </is>
      </c>
      <c r="C607" t="inlineStr">
        <is>
          <t>Netherlands</t>
        </is>
      </c>
      <c r="D607" t="inlineStr">
        <is>
          <t>nl</t>
        </is>
      </c>
      <c r="E607" t="inlineStr">
        <is>
          <t>PRIMARY</t>
        </is>
      </c>
      <c r="F607" t="inlineStr">
        <is>
          <t>développement web amsterdam</t>
        </is>
      </c>
      <c r="G607" t="inlineStr">
        <is>
          <t>NOT AVAILABLE</t>
        </is>
      </c>
      <c r="H607" t="inlineStr">
        <is>
          <t>NOT AVAILABLE</t>
        </is>
      </c>
      <c r="I607" t="inlineStr">
        <is>
          <t>NOT AVAILABLE</t>
        </is>
      </c>
      <c r="J607" t="inlineStr">
        <is>
          <t>NOT AVAILABLE</t>
        </is>
      </c>
      <c r="K607" t="inlineStr">
        <is>
          <t>UNAVAILABLE</t>
        </is>
      </c>
      <c r="L607" t="inlineStr">
        <is>
          <t>P3</t>
        </is>
      </c>
      <c r="M607" t="n">
        <v>100</v>
      </c>
      <c r="N607">
        <f>ROUND(IF(IF(J607="NOT AVAILABLE","",J607)="",12,IF(OR(ISNUMBER(SEARCH("Transactional",IF(J607="NOT AVAILABLE","",J607))),ISNUMBER(SEARCH("Commercial",IF(J607="NOT AVAILABLE","",J607)))),25,IF(ISNUMBER(SEARCH("Informational",IF(J607="NOT AVAILABLE","",J607))),10,IF(ISNUMBER(SEARCH("Navigational",IF(J607="NOT AVAILABLE","",J607))),0,12))))+IF(ISNUMBER(G607),MIN(30,ROUND(30*LOG10(G607+1)/4,1)),0)+IF(ISNUMBER(H607),ROUND(25*(100-H607)/100,1),12.5)+3,0)</f>
        <v/>
      </c>
      <c r="O607">
        <f>ROUND(N607*M607/100,0)</f>
        <v/>
      </c>
      <c r="P607" s="5" t="inlineStr">
        <is>
          <t>Matches current H1; Semrush shows no/negligible French-language demand in this market</t>
        </is>
      </c>
      <c r="Q607" s="5" t="inlineStr">
        <is>
          <t>None detected</t>
        </is>
      </c>
    </row>
    <row r="608">
      <c r="A608" s="3" t="inlineStr">
        <is>
          <t>https://codesommet.com/web-development-company/amsterdam</t>
        </is>
      </c>
      <c r="B608" s="5" t="inlineStr">
        <is>
          <t>Développement Web à Amsterdam, Pays-Bas : des sites web qui génèrent Plateformes</t>
        </is>
      </c>
      <c r="C608" t="inlineStr">
        <is>
          <t>Netherlands</t>
        </is>
      </c>
      <c r="D608" t="inlineStr">
        <is>
          <t>nl</t>
        </is>
      </c>
      <c r="E608" t="inlineStr">
        <is>
          <t>NOT RECOMMENDED</t>
        </is>
      </c>
      <c r="F608" t="inlineStr">
        <is>
          <t>web development amsterdam</t>
        </is>
      </c>
      <c r="G608" t="n">
        <v>260</v>
      </c>
      <c r="H608" t="n">
        <v>14</v>
      </c>
      <c r="I608" t="n">
        <v>4.56</v>
      </c>
      <c r="J608" t="inlineStr">
        <is>
          <t>Commercial</t>
        </is>
      </c>
      <c r="K608" t="inlineStr">
        <is>
          <t>MEASURED</t>
        </is>
      </c>
      <c r="L608" t="inlineStr">
        <is>
          <t>P4</t>
        </is>
      </c>
      <c r="M608" t="n">
        <v>0</v>
      </c>
      <c r="N608">
        <f>ROUND(IF(IF(J608="NOT AVAILABLE","",J608)="",12,IF(OR(ISNUMBER(SEARCH("Transactional",IF(J608="NOT AVAILABLE","",J608))),ISNUMBER(SEARCH("Commercial",IF(J608="NOT AVAILABLE","",J608)))),25,IF(ISNUMBER(SEARCH("Informational",IF(J608="NOT AVAILABLE","",J608))),10,IF(ISNUMBER(SEARCH("Navigational",IF(J608="NOT AVAILABLE","",J608))),0,12))))+IF(ISNUMBER(G608),MIN(30,ROUND(30*LOG10(G608+1)/4,1)),0)+IF(ISNUMBER(H608),ROUND(25*(100-H608)/100,1),12.5)+3,0)</f>
        <v/>
      </c>
      <c r="O608">
        <f>ROUND(N608*M608/100,0)</f>
        <v/>
      </c>
      <c r="P608" s="5" t="inlineStr">
        <is>
          <t>Local-language demand (260) but the page is in French - language mismatch; see sheet 08</t>
        </is>
      </c>
      <c r="Q608" s="5" t="inlineStr">
        <is>
          <t>n/a (not targeted)</t>
        </is>
      </c>
    </row>
    <row r="609">
      <c r="A609" s="3" t="inlineStr">
        <is>
          <t>https://codesommet.com/web-development-company/austin</t>
        </is>
      </c>
      <c r="B609" s="5" t="inlineStr">
        <is>
          <t xml:space="preserve">Développement Web à Austin, États-Unis : des sites web qui génèrent Tableaux de </t>
        </is>
      </c>
      <c r="C609" t="inlineStr">
        <is>
          <t>United States</t>
        </is>
      </c>
      <c r="D609" t="inlineStr">
        <is>
          <t>us</t>
        </is>
      </c>
      <c r="E609" t="inlineStr">
        <is>
          <t>PRIMARY</t>
        </is>
      </c>
      <c r="F609" t="inlineStr">
        <is>
          <t>développement web austin</t>
        </is>
      </c>
      <c r="G609" t="inlineStr">
        <is>
          <t>NOT AVAILABLE</t>
        </is>
      </c>
      <c r="H609" t="inlineStr">
        <is>
          <t>NOT AVAILABLE</t>
        </is>
      </c>
      <c r="I609" t="inlineStr">
        <is>
          <t>NOT AVAILABLE</t>
        </is>
      </c>
      <c r="J609" t="inlineStr">
        <is>
          <t>NOT AVAILABLE</t>
        </is>
      </c>
      <c r="K609" t="inlineStr">
        <is>
          <t>UNAVAILABLE</t>
        </is>
      </c>
      <c r="L609" t="inlineStr">
        <is>
          <t>P3</t>
        </is>
      </c>
      <c r="M609" t="n">
        <v>100</v>
      </c>
      <c r="N609">
        <f>ROUND(IF(IF(J609="NOT AVAILABLE","",J609)="",12,IF(OR(ISNUMBER(SEARCH("Transactional",IF(J609="NOT AVAILABLE","",J609))),ISNUMBER(SEARCH("Commercial",IF(J609="NOT AVAILABLE","",J609)))),25,IF(ISNUMBER(SEARCH("Informational",IF(J609="NOT AVAILABLE","",J609))),10,IF(ISNUMBER(SEARCH("Navigational",IF(J609="NOT AVAILABLE","",J609))),0,12))))+IF(ISNUMBER(G609),MIN(30,ROUND(30*LOG10(G609+1)/4,1)),0)+IF(ISNUMBER(H609),ROUND(25*(100-H609)/100,1),12.5)+3,0)</f>
        <v/>
      </c>
      <c r="O609">
        <f>ROUND(N609*M609/100,0)</f>
        <v/>
      </c>
      <c r="P609" s="5" t="inlineStr">
        <is>
          <t>Matches current H1; Semrush shows no/negligible French-language demand in this market</t>
        </is>
      </c>
      <c r="Q609" s="5" t="inlineStr">
        <is>
          <t>None detected</t>
        </is>
      </c>
    </row>
    <row r="610">
      <c r="A610" s="3" t="inlineStr">
        <is>
          <t>https://codesommet.com/web-development-company/austin</t>
        </is>
      </c>
      <c r="B610" s="5" t="inlineStr">
        <is>
          <t xml:space="preserve">Développement Web à Austin, États-Unis : des sites web qui génèrent Tableaux de </t>
        </is>
      </c>
      <c r="C610" t="inlineStr">
        <is>
          <t>United States</t>
        </is>
      </c>
      <c r="D610" t="inlineStr">
        <is>
          <t>us</t>
        </is>
      </c>
      <c r="E610" t="inlineStr">
        <is>
          <t>NOT RECOMMENDED</t>
        </is>
      </c>
      <c r="F610" t="inlineStr">
        <is>
          <t>web development company austin</t>
        </is>
      </c>
      <c r="G610" t="n">
        <v>260</v>
      </c>
      <c r="H610" t="n">
        <v>70</v>
      </c>
      <c r="I610" t="n">
        <v>11.05</v>
      </c>
      <c r="J610" t="inlineStr">
        <is>
          <t>Commercial</t>
        </is>
      </c>
      <c r="K610" t="inlineStr">
        <is>
          <t>MEASURED</t>
        </is>
      </c>
      <c r="L610" t="inlineStr">
        <is>
          <t>P4</t>
        </is>
      </c>
      <c r="M610" t="n">
        <v>0</v>
      </c>
      <c r="N610">
        <f>ROUND(IF(IF(J610="NOT AVAILABLE","",J610)="",12,IF(OR(ISNUMBER(SEARCH("Transactional",IF(J610="NOT AVAILABLE","",J610))),ISNUMBER(SEARCH("Commercial",IF(J610="NOT AVAILABLE","",J610)))),25,IF(ISNUMBER(SEARCH("Informational",IF(J610="NOT AVAILABLE","",J610))),10,IF(ISNUMBER(SEARCH("Navigational",IF(J610="NOT AVAILABLE","",J610))),0,12))))+IF(ISNUMBER(G610),MIN(30,ROUND(30*LOG10(G610+1)/4,1)),0)+IF(ISNUMBER(H610),ROUND(25*(100-H610)/100,1),12.5)+3,0)</f>
        <v/>
      </c>
      <c r="O610">
        <f>ROUND(N610*M610/100,0)</f>
        <v/>
      </c>
      <c r="P610" s="5" t="inlineStr">
        <is>
          <t>Local-language demand (260) but the page is in French - language mismatch; see sheet 08</t>
        </is>
      </c>
      <c r="Q610" s="5" t="inlineStr">
        <is>
          <t>n/a (not targeted)</t>
        </is>
      </c>
    </row>
    <row r="611">
      <c r="A611" s="3" t="inlineStr">
        <is>
          <t>https://codesommet.com/web-development-company/barcelona</t>
        </is>
      </c>
      <c r="B611" s="5" t="inlineStr">
        <is>
          <t>Développement Web à Barcelone, Espagne : des sites web qui génèrent CROISSANCE D</t>
        </is>
      </c>
      <c r="C611" t="inlineStr">
        <is>
          <t>Spain</t>
        </is>
      </c>
      <c r="D611" t="inlineStr">
        <is>
          <t>es</t>
        </is>
      </c>
      <c r="E611" t="inlineStr">
        <is>
          <t>PRIMARY</t>
        </is>
      </c>
      <c r="F611" t="inlineStr">
        <is>
          <t>développement web barcelone</t>
        </is>
      </c>
      <c r="G611" t="inlineStr">
        <is>
          <t>NOT AVAILABLE</t>
        </is>
      </c>
      <c r="H611" t="inlineStr">
        <is>
          <t>NOT AVAILABLE</t>
        </is>
      </c>
      <c r="I611" t="inlineStr">
        <is>
          <t>NOT AVAILABLE</t>
        </is>
      </c>
      <c r="J611" t="inlineStr">
        <is>
          <t>NOT AVAILABLE</t>
        </is>
      </c>
      <c r="K611" t="inlineStr">
        <is>
          <t>UNAVAILABLE</t>
        </is>
      </c>
      <c r="L611" t="inlineStr">
        <is>
          <t>P3</t>
        </is>
      </c>
      <c r="M611" t="n">
        <v>100</v>
      </c>
      <c r="N611">
        <f>ROUND(IF(IF(J611="NOT AVAILABLE","",J611)="",12,IF(OR(ISNUMBER(SEARCH("Transactional",IF(J611="NOT AVAILABLE","",J611))),ISNUMBER(SEARCH("Commercial",IF(J611="NOT AVAILABLE","",J611)))),25,IF(ISNUMBER(SEARCH("Informational",IF(J611="NOT AVAILABLE","",J611))),10,IF(ISNUMBER(SEARCH("Navigational",IF(J611="NOT AVAILABLE","",J611))),0,12))))+IF(ISNUMBER(G611),MIN(30,ROUND(30*LOG10(G611+1)/4,1)),0)+IF(ISNUMBER(H611),ROUND(25*(100-H611)/100,1),12.5)+3,0)</f>
        <v/>
      </c>
      <c r="O611">
        <f>ROUND(N611*M611/100,0)</f>
        <v/>
      </c>
      <c r="P611" s="5" t="inlineStr">
        <is>
          <t>Matches current H1; Semrush shows no/negligible French-language demand in this market</t>
        </is>
      </c>
      <c r="Q611" s="5" t="inlineStr">
        <is>
          <t>None detected</t>
        </is>
      </c>
    </row>
    <row r="612">
      <c r="A612" s="3" t="inlineStr">
        <is>
          <t>https://codesommet.com/web-development-company/barcelona</t>
        </is>
      </c>
      <c r="B612" s="5" t="inlineStr">
        <is>
          <t>Développement Web à Barcelone, Espagne : des sites web qui génèrent CROISSANCE D</t>
        </is>
      </c>
      <c r="C612" t="inlineStr">
        <is>
          <t>France</t>
        </is>
      </c>
      <c r="D612" t="inlineStr">
        <is>
          <t>fr</t>
        </is>
      </c>
      <c r="E612" t="inlineStr">
        <is>
          <t>OPTIONAL</t>
        </is>
      </c>
      <c r="F612" t="inlineStr">
        <is>
          <t>agence web barcelone</t>
        </is>
      </c>
      <c r="G612" t="n">
        <v>50</v>
      </c>
      <c r="H612" t="inlineStr">
        <is>
          <t>NOT AVAILABLE</t>
        </is>
      </c>
      <c r="I612" t="n">
        <v>0</v>
      </c>
      <c r="J612" t="inlineStr">
        <is>
          <t>NOT AVAILABLE</t>
        </is>
      </c>
      <c r="K612" t="inlineStr">
        <is>
          <t>MEASURED</t>
        </is>
      </c>
      <c r="L612" t="inlineStr">
        <is>
          <t>P4</t>
        </is>
      </c>
      <c r="M612" t="n">
        <v>45</v>
      </c>
      <c r="N612">
        <f>ROUND(IF(IF(J612="NOT AVAILABLE","",J612)="",12,IF(OR(ISNUMBER(SEARCH("Transactional",IF(J612="NOT AVAILABLE","",J612))),ISNUMBER(SEARCH("Commercial",IF(J612="NOT AVAILABLE","",J612)))),25,IF(ISNUMBER(SEARCH("Informational",IF(J612="NOT AVAILABLE","",J612))),10,IF(ISNUMBER(SEARCH("Navigational",IF(J612="NOT AVAILABLE","",J612))),0,12))))+IF(ISNUMBER(G612),MIN(30,ROUND(30*LOG10(G612+1)/4,1)),0)+IF(ISNUMBER(H612),ROUND(25*(100-H612)/100,1),12.5)+14,0)</f>
        <v/>
      </c>
      <c r="O612">
        <f>ROUND(N612*M612/100,0)</f>
        <v/>
      </c>
      <c r="P612" s="5" t="inlineStr">
        <is>
          <t>French searchers in France looking for a provider in this city</t>
        </is>
      </c>
      <c r="Q612" s="5" t="inlineStr">
        <is>
          <t>None detected</t>
        </is>
      </c>
    </row>
    <row r="613">
      <c r="A613" s="3" t="inlineStr">
        <is>
          <t>https://codesommet.com/web-development-company/barcelona</t>
        </is>
      </c>
      <c r="B613" s="5" t="inlineStr">
        <is>
          <t>Développement Web à Barcelone, Espagne : des sites web qui génèrent CROISSANCE D</t>
        </is>
      </c>
      <c r="C613" t="inlineStr">
        <is>
          <t>Spain</t>
        </is>
      </c>
      <c r="D613" t="inlineStr">
        <is>
          <t>es</t>
        </is>
      </c>
      <c r="E613" t="inlineStr">
        <is>
          <t>NOT RECOMMENDED</t>
        </is>
      </c>
      <c r="F613" t="inlineStr">
        <is>
          <t>desarrollo web barcelona</t>
        </is>
      </c>
      <c r="G613" t="n">
        <v>1300</v>
      </c>
      <c r="H613" t="n">
        <v>14</v>
      </c>
      <c r="I613" t="n">
        <v>4.19</v>
      </c>
      <c r="J613" t="inlineStr">
        <is>
          <t>Commercial</t>
        </is>
      </c>
      <c r="K613" t="inlineStr">
        <is>
          <t>MEASURED</t>
        </is>
      </c>
      <c r="L613" t="inlineStr">
        <is>
          <t>P4</t>
        </is>
      </c>
      <c r="M613" t="n">
        <v>0</v>
      </c>
      <c r="N613">
        <f>ROUND(IF(IF(J613="NOT AVAILABLE","",J613)="",12,IF(OR(ISNUMBER(SEARCH("Transactional",IF(J613="NOT AVAILABLE","",J613))),ISNUMBER(SEARCH("Commercial",IF(J613="NOT AVAILABLE","",J613)))),25,IF(ISNUMBER(SEARCH("Informational",IF(J613="NOT AVAILABLE","",J613))),10,IF(ISNUMBER(SEARCH("Navigational",IF(J613="NOT AVAILABLE","",J613))),0,12))))+IF(ISNUMBER(G613),MIN(30,ROUND(30*LOG10(G613+1)/4,1)),0)+IF(ISNUMBER(H613),ROUND(25*(100-H613)/100,1),12.5)+3,0)</f>
        <v/>
      </c>
      <c r="O613">
        <f>ROUND(N613*M613/100,0)</f>
        <v/>
      </c>
      <c r="P613" s="5" t="inlineStr">
        <is>
          <t>Local-language demand (1300) but the page is in French - language mismatch; see sheet 08</t>
        </is>
      </c>
      <c r="Q613" s="5" t="inlineStr">
        <is>
          <t>n/a (not targeted)</t>
        </is>
      </c>
    </row>
    <row r="614">
      <c r="A614" s="3" t="inlineStr">
        <is>
          <t>https://codesommet.com/web-development-company/berlin</t>
        </is>
      </c>
      <c r="B614" s="5" t="inlineStr">
        <is>
          <t>Développement Web à Berlin, Allemagne : des sites web qui génèrent Tableaux de B</t>
        </is>
      </c>
      <c r="C614" t="inlineStr">
        <is>
          <t>Germany</t>
        </is>
      </c>
      <c r="D614" t="inlineStr">
        <is>
          <t>de</t>
        </is>
      </c>
      <c r="E614" t="inlineStr">
        <is>
          <t>PRIMARY</t>
        </is>
      </c>
      <c r="F614" t="inlineStr">
        <is>
          <t>développement web berlin</t>
        </is>
      </c>
      <c r="G614" t="inlineStr">
        <is>
          <t>NOT AVAILABLE</t>
        </is>
      </c>
      <c r="H614" t="inlineStr">
        <is>
          <t>NOT AVAILABLE</t>
        </is>
      </c>
      <c r="I614" t="inlineStr">
        <is>
          <t>NOT AVAILABLE</t>
        </is>
      </c>
      <c r="J614" t="inlineStr">
        <is>
          <t>NOT AVAILABLE</t>
        </is>
      </c>
      <c r="K614" t="inlineStr">
        <is>
          <t>UNAVAILABLE</t>
        </is>
      </c>
      <c r="L614" t="inlineStr">
        <is>
          <t>P3</t>
        </is>
      </c>
      <c r="M614" t="n">
        <v>100</v>
      </c>
      <c r="N614">
        <f>ROUND(IF(IF(J614="NOT AVAILABLE","",J614)="",12,IF(OR(ISNUMBER(SEARCH("Transactional",IF(J614="NOT AVAILABLE","",J614))),ISNUMBER(SEARCH("Commercial",IF(J614="NOT AVAILABLE","",J614)))),25,IF(ISNUMBER(SEARCH("Informational",IF(J614="NOT AVAILABLE","",J614))),10,IF(ISNUMBER(SEARCH("Navigational",IF(J614="NOT AVAILABLE","",J614))),0,12))))+IF(ISNUMBER(G614),MIN(30,ROUND(30*LOG10(G614+1)/4,1)),0)+IF(ISNUMBER(H614),ROUND(25*(100-H614)/100,1),12.5)+3,0)</f>
        <v/>
      </c>
      <c r="O614">
        <f>ROUND(N614*M614/100,0)</f>
        <v/>
      </c>
      <c r="P614" s="5" t="inlineStr">
        <is>
          <t>Matches current H1; Semrush shows no/negligible French-language demand in this market</t>
        </is>
      </c>
      <c r="Q614" s="5" t="inlineStr">
        <is>
          <t>None detected</t>
        </is>
      </c>
    </row>
    <row r="615">
      <c r="A615" s="3" t="inlineStr">
        <is>
          <t>https://codesommet.com/web-development-company/berlin</t>
        </is>
      </c>
      <c r="B615" s="5" t="inlineStr">
        <is>
          <t>Développement Web à Berlin, Allemagne : des sites web qui génèrent Tableaux de B</t>
        </is>
      </c>
      <c r="C615" t="inlineStr">
        <is>
          <t>Germany</t>
        </is>
      </c>
      <c r="D615" t="inlineStr">
        <is>
          <t>de</t>
        </is>
      </c>
      <c r="E615" t="inlineStr">
        <is>
          <t>NOT RECOMMENDED</t>
        </is>
      </c>
      <c r="F615" t="inlineStr">
        <is>
          <t>webentwicklung berlin</t>
        </is>
      </c>
      <c r="G615" t="n">
        <v>480</v>
      </c>
      <c r="H615" t="n">
        <v>29</v>
      </c>
      <c r="I615" t="n">
        <v>2.77</v>
      </c>
      <c r="J615" t="inlineStr">
        <is>
          <t>Commercial</t>
        </is>
      </c>
      <c r="K615" t="inlineStr">
        <is>
          <t>MEASURED</t>
        </is>
      </c>
      <c r="L615" t="inlineStr">
        <is>
          <t>P4</t>
        </is>
      </c>
      <c r="M615" t="n">
        <v>0</v>
      </c>
      <c r="N615">
        <f>ROUND(IF(IF(J615="NOT AVAILABLE","",J615)="",12,IF(OR(ISNUMBER(SEARCH("Transactional",IF(J615="NOT AVAILABLE","",J615))),ISNUMBER(SEARCH("Commercial",IF(J615="NOT AVAILABLE","",J615)))),25,IF(ISNUMBER(SEARCH("Informational",IF(J615="NOT AVAILABLE","",J615))),10,IF(ISNUMBER(SEARCH("Navigational",IF(J615="NOT AVAILABLE","",J615))),0,12))))+IF(ISNUMBER(G615),MIN(30,ROUND(30*LOG10(G615+1)/4,1)),0)+IF(ISNUMBER(H615),ROUND(25*(100-H615)/100,1),12.5)+3,0)</f>
        <v/>
      </c>
      <c r="O615">
        <f>ROUND(N615*M615/100,0)</f>
        <v/>
      </c>
      <c r="P615" s="5" t="inlineStr">
        <is>
          <t>Local-language demand (480) but the page is in French - language mismatch; see sheet 08</t>
        </is>
      </c>
      <c r="Q615" s="5" t="inlineStr">
        <is>
          <t>n/a (not targeted)</t>
        </is>
      </c>
    </row>
    <row r="616">
      <c r="A616" s="3" t="inlineStr">
        <is>
          <t>https://codesommet.com/web-development-company/boston</t>
        </is>
      </c>
      <c r="B616" s="5" t="inlineStr">
        <is>
          <t xml:space="preserve">Développement Web à Boston, États-Unis : des sites web qui génèrent Plateformes </t>
        </is>
      </c>
      <c r="C616" t="inlineStr">
        <is>
          <t>United States</t>
        </is>
      </c>
      <c r="D616" t="inlineStr">
        <is>
          <t>us</t>
        </is>
      </c>
      <c r="E616" t="inlineStr">
        <is>
          <t>PRIMARY</t>
        </is>
      </c>
      <c r="F616" t="inlineStr">
        <is>
          <t>développement web boston</t>
        </is>
      </c>
      <c r="G616" t="inlineStr">
        <is>
          <t>NOT AVAILABLE</t>
        </is>
      </c>
      <c r="H616" t="inlineStr">
        <is>
          <t>NOT AVAILABLE</t>
        </is>
      </c>
      <c r="I616" t="inlineStr">
        <is>
          <t>NOT AVAILABLE</t>
        </is>
      </c>
      <c r="J616" t="inlineStr">
        <is>
          <t>NOT AVAILABLE</t>
        </is>
      </c>
      <c r="K616" t="inlineStr">
        <is>
          <t>UNAVAILABLE</t>
        </is>
      </c>
      <c r="L616" t="inlineStr">
        <is>
          <t>P3</t>
        </is>
      </c>
      <c r="M616" t="n">
        <v>100</v>
      </c>
      <c r="N616">
        <f>ROUND(IF(IF(J616="NOT AVAILABLE","",J616)="",12,IF(OR(ISNUMBER(SEARCH("Transactional",IF(J616="NOT AVAILABLE","",J616))),ISNUMBER(SEARCH("Commercial",IF(J616="NOT AVAILABLE","",J616)))),25,IF(ISNUMBER(SEARCH("Informational",IF(J616="NOT AVAILABLE","",J616))),10,IF(ISNUMBER(SEARCH("Navigational",IF(J616="NOT AVAILABLE","",J616))),0,12))))+IF(ISNUMBER(G616),MIN(30,ROUND(30*LOG10(G616+1)/4,1)),0)+IF(ISNUMBER(H616),ROUND(25*(100-H616)/100,1),12.5)+3,0)</f>
        <v/>
      </c>
      <c r="O616">
        <f>ROUND(N616*M616/100,0)</f>
        <v/>
      </c>
      <c r="P616" s="5" t="inlineStr">
        <is>
          <t>Matches current H1; Semrush shows no/negligible French-language demand in this market</t>
        </is>
      </c>
      <c r="Q616" s="5" t="inlineStr">
        <is>
          <t>None detected</t>
        </is>
      </c>
    </row>
    <row r="617">
      <c r="A617" s="3" t="inlineStr">
        <is>
          <t>https://codesommet.com/web-development-company/boston</t>
        </is>
      </c>
      <c r="B617" s="5" t="inlineStr">
        <is>
          <t xml:space="preserve">Développement Web à Boston, États-Unis : des sites web qui génèrent Plateformes </t>
        </is>
      </c>
      <c r="C617" t="inlineStr">
        <is>
          <t>United States</t>
        </is>
      </c>
      <c r="D617" t="inlineStr">
        <is>
          <t>us</t>
        </is>
      </c>
      <c r="E617" t="inlineStr">
        <is>
          <t>NOT RECOMMENDED</t>
        </is>
      </c>
      <c r="F617" t="inlineStr">
        <is>
          <t>web development company boston</t>
        </is>
      </c>
      <c r="G617" t="n">
        <v>140</v>
      </c>
      <c r="H617" t="n">
        <v>55</v>
      </c>
      <c r="I617" t="n">
        <v>0</v>
      </c>
      <c r="J617" t="inlineStr">
        <is>
          <t>Commercial</t>
        </is>
      </c>
      <c r="K617" t="inlineStr">
        <is>
          <t>MEASURED</t>
        </is>
      </c>
      <c r="L617" t="inlineStr">
        <is>
          <t>P4</t>
        </is>
      </c>
      <c r="M617" t="n">
        <v>0</v>
      </c>
      <c r="N617">
        <f>ROUND(IF(IF(J617="NOT AVAILABLE","",J617)="",12,IF(OR(ISNUMBER(SEARCH("Transactional",IF(J617="NOT AVAILABLE","",J617))),ISNUMBER(SEARCH("Commercial",IF(J617="NOT AVAILABLE","",J617)))),25,IF(ISNUMBER(SEARCH("Informational",IF(J617="NOT AVAILABLE","",J617))),10,IF(ISNUMBER(SEARCH("Navigational",IF(J617="NOT AVAILABLE","",J617))),0,12))))+IF(ISNUMBER(G617),MIN(30,ROUND(30*LOG10(G617+1)/4,1)),0)+IF(ISNUMBER(H617),ROUND(25*(100-H617)/100,1),12.5)+3,0)</f>
        <v/>
      </c>
      <c r="O617">
        <f>ROUND(N617*M617/100,0)</f>
        <v/>
      </c>
      <c r="P617" s="5" t="inlineStr">
        <is>
          <t>Local-language demand (140) but the page is in French - language mismatch; see sheet 08</t>
        </is>
      </c>
      <c r="Q617" s="5" t="inlineStr">
        <is>
          <t>n/a (not targeted)</t>
        </is>
      </c>
    </row>
    <row r="618">
      <c r="A618" s="3" t="inlineStr">
        <is>
          <t>https://codesommet.com/web-development-company/brussels</t>
        </is>
      </c>
      <c r="B618" s="5" t="inlineStr">
        <is>
          <t>Développement Web à Bruxelles, Belgique : des sites web qui génèrent Plateformes</t>
        </is>
      </c>
      <c r="C618" t="inlineStr">
        <is>
          <t>Belgium</t>
        </is>
      </c>
      <c r="D618" t="inlineStr">
        <is>
          <t>be</t>
        </is>
      </c>
      <c r="E618" t="inlineStr">
        <is>
          <t>PRIMARY</t>
        </is>
      </c>
      <c r="F618" t="inlineStr">
        <is>
          <t>création site web bruxelles</t>
        </is>
      </c>
      <c r="G618" t="n">
        <v>140</v>
      </c>
      <c r="H618" t="n">
        <v>5</v>
      </c>
      <c r="I618" t="n">
        <v>4.94</v>
      </c>
      <c r="J618" t="inlineStr">
        <is>
          <t>Commercial</t>
        </is>
      </c>
      <c r="K618" t="inlineStr">
        <is>
          <t>MEASURED</t>
        </is>
      </c>
      <c r="L618" t="inlineStr">
        <is>
          <t>P3</t>
        </is>
      </c>
      <c r="M618" t="n">
        <v>100</v>
      </c>
      <c r="N618">
        <f>ROUND(IF(IF(J618="NOT AVAILABLE","",J618)="",12,IF(OR(ISNUMBER(SEARCH("Transactional",IF(J618="NOT AVAILABLE","",J618))),ISNUMBER(SEARCH("Commercial",IF(J618="NOT AVAILABLE","",J618)))),25,IF(ISNUMBER(SEARCH("Informational",IF(J618="NOT AVAILABLE","",J618))),10,IF(ISNUMBER(SEARCH("Navigational",IF(J618="NOT AVAILABLE","",J618))),0,12))))+IF(ISNUMBER(G618),MIN(30,ROUND(30*LOG10(G618+1)/4,1)),0)+IF(ISNUMBER(H618),ROUND(25*(100-H618)/100,1),12.5)+10,0)</f>
        <v/>
      </c>
      <c r="O618">
        <f>ROUND(N618*M618/100,0)</f>
        <v/>
      </c>
      <c r="P618" s="5" t="inlineStr">
        <is>
          <t>BE 140, KD 5 - best francophone city opportunity found</t>
        </is>
      </c>
      <c r="Q618" s="5" t="inlineStr">
        <is>
          <t>None detected</t>
        </is>
      </c>
    </row>
    <row r="619">
      <c r="A619" s="3" t="inlineStr">
        <is>
          <t>https://codesommet.com/web-development-company/brussels</t>
        </is>
      </c>
      <c r="B619" s="5" t="inlineStr">
        <is>
          <t>Développement Web à Bruxelles, Belgique : des sites web qui génèrent Plateformes</t>
        </is>
      </c>
      <c r="C619" t="inlineStr">
        <is>
          <t>Belgium</t>
        </is>
      </c>
      <c r="D619" t="inlineStr">
        <is>
          <t>be</t>
        </is>
      </c>
      <c r="E619" t="inlineStr">
        <is>
          <t>SECONDARY</t>
        </is>
      </c>
      <c r="F619" t="inlineStr">
        <is>
          <t>agence web bruxelles</t>
        </is>
      </c>
      <c r="G619" t="n">
        <v>1300</v>
      </c>
      <c r="H619" t="n">
        <v>53</v>
      </c>
      <c r="I619" t="n">
        <v>2.97</v>
      </c>
      <c r="J619" t="inlineStr">
        <is>
          <t>Commercial</t>
        </is>
      </c>
      <c r="K619" t="inlineStr">
        <is>
          <t>MEASURED</t>
        </is>
      </c>
      <c r="L619" t="inlineStr">
        <is>
          <t>P3</t>
        </is>
      </c>
      <c r="M619" t="n">
        <v>85</v>
      </c>
      <c r="N619">
        <f>ROUND(IF(IF(J619="NOT AVAILABLE","",J619)="",12,IF(OR(ISNUMBER(SEARCH("Transactional",IF(J619="NOT AVAILABLE","",J619))),ISNUMBER(SEARCH("Commercial",IF(J619="NOT AVAILABLE","",J619)))),25,IF(ISNUMBER(SEARCH("Informational",IF(J619="NOT AVAILABLE","",J619))),10,IF(ISNUMBER(SEARCH("Navigational",IF(J619="NOT AVAILABLE","",J619))),0,12))))+IF(ISNUMBER(G619),MIN(30,ROUND(30*LOG10(G619+1)/4,1)),0)+IF(ISNUMBER(H619),ROUND(25*(100-H619)/100,1),12.5)+10,0)</f>
        <v/>
      </c>
      <c r="O619">
        <f>ROUND(N619*M619/100,0)</f>
        <v/>
      </c>
      <c r="P619" s="5" t="inlineStr">
        <is>
          <t>BE 1300, KD 53 - competitive (local agencies + Sortlist)</t>
        </is>
      </c>
      <c r="Q619" s="5" t="inlineStr">
        <is>
          <t>None detected</t>
        </is>
      </c>
    </row>
    <row r="620">
      <c r="A620" s="3" t="inlineStr">
        <is>
          <t>https://codesommet.com/web-development-company/brussels</t>
        </is>
      </c>
      <c r="B620" s="5" t="inlineStr">
        <is>
          <t>Développement Web à Bruxelles, Belgique : des sites web qui génèrent Plateformes</t>
        </is>
      </c>
      <c r="C620" t="inlineStr">
        <is>
          <t>Belgium</t>
        </is>
      </c>
      <c r="D620" t="inlineStr">
        <is>
          <t>be</t>
        </is>
      </c>
      <c r="E620" t="inlineStr">
        <is>
          <t>SUPPORTING</t>
        </is>
      </c>
      <c r="F620" t="inlineStr">
        <is>
          <t>développement web bruxelles</t>
        </is>
      </c>
      <c r="G620" t="n">
        <v>50</v>
      </c>
      <c r="H620" t="inlineStr">
        <is>
          <t>NOT AVAILABLE</t>
        </is>
      </c>
      <c r="I620" t="n">
        <v>3.31</v>
      </c>
      <c r="J620" t="inlineStr">
        <is>
          <t>NOT AVAILABLE</t>
        </is>
      </c>
      <c r="K620" t="inlineStr">
        <is>
          <t>MEASURED</t>
        </is>
      </c>
      <c r="L620" t="inlineStr">
        <is>
          <t>P3</t>
        </is>
      </c>
      <c r="M620" t="n">
        <v>65</v>
      </c>
      <c r="N620">
        <f>ROUND(IF(IF(J620="NOT AVAILABLE","",J620)="",12,IF(OR(ISNUMBER(SEARCH("Transactional",IF(J620="NOT AVAILABLE","",J620))),ISNUMBER(SEARCH("Commercial",IF(J620="NOT AVAILABLE","",J620)))),25,IF(ISNUMBER(SEARCH("Informational",IF(J620="NOT AVAILABLE","",J620))),10,IF(ISNUMBER(SEARCH("Navigational",IF(J620="NOT AVAILABLE","",J620))),0,12))))+IF(ISNUMBER(G620),MIN(30,ROUND(30*LOG10(G620+1)/4,1)),0)+IF(ISNUMBER(H620),ROUND(25*(100-H620)/100,1),12.5)+10,0)</f>
        <v/>
      </c>
      <c r="O620">
        <f>ROUND(N620*M620/100,0)</f>
        <v/>
      </c>
      <c r="P620" s="5" t="inlineStr">
        <is>
          <t>BE 50 - current H1 phrasing</t>
        </is>
      </c>
      <c r="Q620" s="5" t="inlineStr">
        <is>
          <t>None detected</t>
        </is>
      </c>
    </row>
    <row r="621">
      <c r="A621" s="3" t="inlineStr">
        <is>
          <t>https://codesommet.com/web-development-company/brussels</t>
        </is>
      </c>
      <c r="B621" s="5" t="inlineStr">
        <is>
          <t>Développement Web à Bruxelles, Belgique : des sites web qui génèrent Plateformes</t>
        </is>
      </c>
      <c r="C621" t="inlineStr">
        <is>
          <t>France</t>
        </is>
      </c>
      <c r="D621" t="inlineStr">
        <is>
          <t>fr</t>
        </is>
      </c>
      <c r="E621" t="inlineStr">
        <is>
          <t>OPTIONAL</t>
        </is>
      </c>
      <c r="F621" t="inlineStr">
        <is>
          <t>agence web bruxelles</t>
        </is>
      </c>
      <c r="G621" t="n">
        <v>260</v>
      </c>
      <c r="H621" t="n">
        <v>44</v>
      </c>
      <c r="I621" t="n">
        <v>2.22</v>
      </c>
      <c r="J621" t="inlineStr">
        <is>
          <t>Commercial</t>
        </is>
      </c>
      <c r="K621" t="inlineStr">
        <is>
          <t>MEASURED</t>
        </is>
      </c>
      <c r="L621" t="inlineStr">
        <is>
          <t>P4</t>
        </is>
      </c>
      <c r="M621" t="n">
        <v>45</v>
      </c>
      <c r="N621">
        <f>ROUND(IF(IF(J621="NOT AVAILABLE","",J621)="",12,IF(OR(ISNUMBER(SEARCH("Transactional",IF(J621="NOT AVAILABLE","",J621))),ISNUMBER(SEARCH("Commercial",IF(J621="NOT AVAILABLE","",J621)))),25,IF(ISNUMBER(SEARCH("Informational",IF(J621="NOT AVAILABLE","",J621))),10,IF(ISNUMBER(SEARCH("Navigational",IF(J621="NOT AVAILABLE","",J621))),0,12))))+IF(ISNUMBER(G621),MIN(30,ROUND(30*LOG10(G621+1)/4,1)),0)+IF(ISNUMBER(H621),ROUND(25*(100-H621)/100,1),12.5)+14,0)</f>
        <v/>
      </c>
      <c r="O621">
        <f>ROUND(N621*M621/100,0)</f>
        <v/>
      </c>
      <c r="P621" s="5" t="inlineStr">
        <is>
          <t>French searchers in France looking for a provider in this city</t>
        </is>
      </c>
      <c r="Q621" s="5" t="inlineStr">
        <is>
          <t>None detected</t>
        </is>
      </c>
    </row>
    <row r="622">
      <c r="A622" s="3" t="inlineStr">
        <is>
          <t>https://codesommet.com/web-development-company/brussels</t>
        </is>
      </c>
      <c r="B622" s="5" t="inlineStr">
        <is>
          <t>Développement Web à Bruxelles, Belgique : des sites web qui génèrent Plateformes</t>
        </is>
      </c>
      <c r="C622" t="inlineStr">
        <is>
          <t>France</t>
        </is>
      </c>
      <c r="D622" t="inlineStr">
        <is>
          <t>fr</t>
        </is>
      </c>
      <c r="E622" t="inlineStr">
        <is>
          <t>OPTIONAL</t>
        </is>
      </c>
      <c r="F622" t="inlineStr">
        <is>
          <t>création site web bruxelles</t>
        </is>
      </c>
      <c r="G622" t="n">
        <v>50</v>
      </c>
      <c r="H622" t="inlineStr">
        <is>
          <t>NOT AVAILABLE</t>
        </is>
      </c>
      <c r="I622" t="n">
        <v>0</v>
      </c>
      <c r="J622" t="inlineStr">
        <is>
          <t>NOT AVAILABLE</t>
        </is>
      </c>
      <c r="K622" t="inlineStr">
        <is>
          <t>MEASURED</t>
        </is>
      </c>
      <c r="L622" t="inlineStr">
        <is>
          <t>P4</t>
        </is>
      </c>
      <c r="M622" t="n">
        <v>45</v>
      </c>
      <c r="N622">
        <f>ROUND(IF(IF(J622="NOT AVAILABLE","",J622)="",12,IF(OR(ISNUMBER(SEARCH("Transactional",IF(J622="NOT AVAILABLE","",J622))),ISNUMBER(SEARCH("Commercial",IF(J622="NOT AVAILABLE","",J622)))),25,IF(ISNUMBER(SEARCH("Informational",IF(J622="NOT AVAILABLE","",J622))),10,IF(ISNUMBER(SEARCH("Navigational",IF(J622="NOT AVAILABLE","",J622))),0,12))))+IF(ISNUMBER(G622),MIN(30,ROUND(30*LOG10(G622+1)/4,1)),0)+IF(ISNUMBER(H622),ROUND(25*(100-H622)/100,1),12.5)+14,0)</f>
        <v/>
      </c>
      <c r="O622">
        <f>ROUND(N622*M622/100,0)</f>
        <v/>
      </c>
      <c r="P622" s="5" t="inlineStr">
        <is>
          <t>French searchers in France looking for a provider in this city</t>
        </is>
      </c>
      <c r="Q622" s="5" t="inlineStr">
        <is>
          <t>None detected</t>
        </is>
      </c>
    </row>
    <row r="623">
      <c r="A623" s="3" t="inlineStr">
        <is>
          <t>https://codesommet.com/web-development-company/brussels</t>
        </is>
      </c>
      <c r="B623" s="5" t="inlineStr">
        <is>
          <t>Développement Web à Bruxelles, Belgique : des sites web qui génèrent Plateformes</t>
        </is>
      </c>
      <c r="C623" t="inlineStr">
        <is>
          <t>France</t>
        </is>
      </c>
      <c r="D623" t="inlineStr">
        <is>
          <t>fr</t>
        </is>
      </c>
      <c r="E623" t="inlineStr">
        <is>
          <t>OPTIONAL</t>
        </is>
      </c>
      <c r="F623" t="inlineStr">
        <is>
          <t>développement web bruxelles</t>
        </is>
      </c>
      <c r="G623" t="n">
        <v>10</v>
      </c>
      <c r="H623" t="inlineStr">
        <is>
          <t>NOT AVAILABLE</t>
        </is>
      </c>
      <c r="I623" t="n">
        <v>0</v>
      </c>
      <c r="J623" t="inlineStr">
        <is>
          <t>NOT AVAILABLE</t>
        </is>
      </c>
      <c r="K623" t="inlineStr">
        <is>
          <t>MEASURED</t>
        </is>
      </c>
      <c r="L623" t="inlineStr">
        <is>
          <t>P4</t>
        </is>
      </c>
      <c r="M623" t="n">
        <v>45</v>
      </c>
      <c r="N623">
        <f>ROUND(IF(IF(J623="NOT AVAILABLE","",J623)="",12,IF(OR(ISNUMBER(SEARCH("Transactional",IF(J623="NOT AVAILABLE","",J623))),ISNUMBER(SEARCH("Commercial",IF(J623="NOT AVAILABLE","",J623)))),25,IF(ISNUMBER(SEARCH("Informational",IF(J623="NOT AVAILABLE","",J623))),10,IF(ISNUMBER(SEARCH("Navigational",IF(J623="NOT AVAILABLE","",J623))),0,12))))+IF(ISNUMBER(G623),MIN(30,ROUND(30*LOG10(G623+1)/4,1)),0)+IF(ISNUMBER(H623),ROUND(25*(100-H623)/100,1),12.5)+14,0)</f>
        <v/>
      </c>
      <c r="O623">
        <f>ROUND(N623*M623/100,0)</f>
        <v/>
      </c>
      <c r="P623" s="5" t="inlineStr">
        <is>
          <t>French searchers in France looking for a provider in this city</t>
        </is>
      </c>
      <c r="Q623" s="5" t="inlineStr">
        <is>
          <t>None detected</t>
        </is>
      </c>
    </row>
    <row r="624">
      <c r="A624" s="3" t="inlineStr">
        <is>
          <t>https://codesommet.com/web-development-company/cairo</t>
        </is>
      </c>
      <c r="B624" s="5" t="inlineStr">
        <is>
          <t>Développement Web au Caire, Égypte : des sites web qui génèrent CROISSANCE DES E</t>
        </is>
      </c>
      <c r="C624" t="inlineStr">
        <is>
          <t>Egypt</t>
        </is>
      </c>
      <c r="D624" t="inlineStr">
        <is>
          <t>eg</t>
        </is>
      </c>
      <c r="E624" t="inlineStr">
        <is>
          <t>PRIMARY</t>
        </is>
      </c>
      <c r="F624" t="inlineStr">
        <is>
          <t>développement web le caire</t>
        </is>
      </c>
      <c r="G624" t="inlineStr">
        <is>
          <t>NOT AVAILABLE</t>
        </is>
      </c>
      <c r="H624" t="inlineStr">
        <is>
          <t>NOT AVAILABLE</t>
        </is>
      </c>
      <c r="I624" t="inlineStr">
        <is>
          <t>NOT AVAILABLE</t>
        </is>
      </c>
      <c r="J624" t="inlineStr">
        <is>
          <t>NOT AVAILABLE</t>
        </is>
      </c>
      <c r="K624" t="inlineStr">
        <is>
          <t>UNAVAILABLE</t>
        </is>
      </c>
      <c r="L624" t="inlineStr">
        <is>
          <t>P3</t>
        </is>
      </c>
      <c r="M624" t="n">
        <v>100</v>
      </c>
      <c r="N624">
        <f>ROUND(IF(IF(J624="NOT AVAILABLE","",J624)="",12,IF(OR(ISNUMBER(SEARCH("Transactional",IF(J624="NOT AVAILABLE","",J624))),ISNUMBER(SEARCH("Commercial",IF(J624="NOT AVAILABLE","",J624)))),25,IF(ISNUMBER(SEARCH("Informational",IF(J624="NOT AVAILABLE","",J624))),10,IF(ISNUMBER(SEARCH("Navigational",IF(J624="NOT AVAILABLE","",J624))),0,12))))+IF(ISNUMBER(G624),MIN(30,ROUND(30*LOG10(G624+1)/4,1)),0)+IF(ISNUMBER(H624),ROUND(25*(100-H624)/100,1),12.5)+3,0)</f>
        <v/>
      </c>
      <c r="O624">
        <f>ROUND(N624*M624/100,0)</f>
        <v/>
      </c>
      <c r="P624" s="5" t="inlineStr">
        <is>
          <t>Matches current H1; Semrush shows no/negligible French-language demand in this market</t>
        </is>
      </c>
      <c r="Q624" s="5" t="inlineStr">
        <is>
          <t>None detected</t>
        </is>
      </c>
    </row>
    <row r="625">
      <c r="A625" s="3" t="inlineStr">
        <is>
          <t>https://codesommet.com/web-development-company/cairo</t>
        </is>
      </c>
      <c r="B625" s="5" t="inlineStr">
        <is>
          <t>Développement Web au Caire, Égypte : des sites web qui génèrent CROISSANCE DES E</t>
        </is>
      </c>
      <c r="C625" t="inlineStr">
        <is>
          <t>Egypt</t>
        </is>
      </c>
      <c r="D625" t="inlineStr">
        <is>
          <t>eg</t>
        </is>
      </c>
      <c r="E625" t="inlineStr">
        <is>
          <t>NOT RECOMMENDED</t>
        </is>
      </c>
      <c r="F625" t="inlineStr">
        <is>
          <t>web development company cairo</t>
        </is>
      </c>
      <c r="G625" t="n">
        <v>0</v>
      </c>
      <c r="H625" t="inlineStr">
        <is>
          <t>NOT AVAILABLE</t>
        </is>
      </c>
      <c r="I625" t="n">
        <v>0</v>
      </c>
      <c r="J625" t="inlineStr">
        <is>
          <t>NOT AVAILABLE</t>
        </is>
      </c>
      <c r="K625" t="inlineStr">
        <is>
          <t>MEASURED</t>
        </is>
      </c>
      <c r="L625" t="inlineStr">
        <is>
          <t>P4</t>
        </is>
      </c>
      <c r="M625" t="n">
        <v>0</v>
      </c>
      <c r="N625">
        <f>ROUND(IF(IF(J625="NOT AVAILABLE","",J625)="",12,IF(OR(ISNUMBER(SEARCH("Transactional",IF(J625="NOT AVAILABLE","",J625))),ISNUMBER(SEARCH("Commercial",IF(J625="NOT AVAILABLE","",J625)))),25,IF(ISNUMBER(SEARCH("Informational",IF(J625="NOT AVAILABLE","",J625))),10,IF(ISNUMBER(SEARCH("Navigational",IF(J625="NOT AVAILABLE","",J625))),0,12))))+IF(ISNUMBER(G625),MIN(30,ROUND(30*LOG10(G625+1)/4,1)),0)+IF(ISNUMBER(H625),ROUND(25*(100-H625)/100,1),12.5)+3,0)</f>
        <v/>
      </c>
      <c r="O625">
        <f>ROUND(N625*M625/100,0)</f>
        <v/>
      </c>
      <c r="P625" s="5" t="inlineStr">
        <is>
          <t>Local-language demand (0) but the page is in French - language mismatch; see sheet 08</t>
        </is>
      </c>
      <c r="Q625" s="5" t="inlineStr">
        <is>
          <t>n/a (not targeted)</t>
        </is>
      </c>
    </row>
    <row r="626">
      <c r="A626" s="3" t="inlineStr">
        <is>
          <t>https://codesommet.com/web-development-company/casablanca</t>
        </is>
      </c>
      <c r="B626" s="5" t="inlineStr">
        <is>
          <t>Agence Web Casablanca : Création de Sites qui génèrent LA CROISSANCE DES ENTREPR</t>
        </is>
      </c>
      <c r="C626" t="inlineStr">
        <is>
          <t>Morocco</t>
        </is>
      </c>
      <c r="D626" t="inlineStr">
        <is>
          <t>ma</t>
        </is>
      </c>
      <c r="E626" t="inlineStr">
        <is>
          <t>PRIMARY</t>
        </is>
      </c>
      <c r="F626" t="inlineStr">
        <is>
          <t>agence web casablanca</t>
        </is>
      </c>
      <c r="G626" t="n">
        <v>1000</v>
      </c>
      <c r="H626" t="n">
        <v>52</v>
      </c>
      <c r="I626" t="n">
        <v>0.73</v>
      </c>
      <c r="J626" t="inlineStr">
        <is>
          <t>Commercial</t>
        </is>
      </c>
      <c r="K626" t="inlineStr">
        <is>
          <t>MEASURED</t>
        </is>
      </c>
      <c r="L626" t="inlineStr">
        <is>
          <t>P1</t>
        </is>
      </c>
      <c r="M626" t="n">
        <v>100</v>
      </c>
      <c r="N626">
        <f>ROUND(IF(IF(J626="NOT AVAILABLE","",J626)="",12,IF(OR(ISNUMBER(SEARCH("Transactional",IF(J626="NOT AVAILABLE","",J626))),ISNUMBER(SEARCH("Commercial",IF(J626="NOT AVAILABLE","",J626)))),25,IF(ISNUMBER(SEARCH("Informational",IF(J626="NOT AVAILABLE","",J626))),10,IF(ISNUMBER(SEARCH("Navigational",IF(J626="NOT AVAILABLE","",J626))),0,12))))+IF(ISNUMBER(G626),MIN(30,ROUND(30*LOG10(G626+1)/4,1)),0)+IF(ISNUMBER(H626),ROUND(25*(100-H626)/100,1),12.5)+20,0)</f>
        <v/>
      </c>
      <c r="O626">
        <f>ROUND(N626*M626/100,0)</f>
        <v/>
      </c>
      <c r="P626" s="5" t="inlineStr">
        <is>
          <t>MA 1000, KD 52 - city head term; title/H1 aligned</t>
        </is>
      </c>
      <c r="Q626" s="5" t="inlineStr">
        <is>
          <t>None detected</t>
        </is>
      </c>
    </row>
    <row r="627">
      <c r="A627" s="3" t="inlineStr">
        <is>
          <t>https://codesommet.com/web-development-company/casablanca</t>
        </is>
      </c>
      <c r="B627" s="5" t="inlineStr">
        <is>
          <t>Agence Web Casablanca : Création de Sites qui génèrent LA CROISSANCE DES ENTREPR</t>
        </is>
      </c>
      <c r="C627" t="inlineStr">
        <is>
          <t>Morocco</t>
        </is>
      </c>
      <c r="D627" t="inlineStr">
        <is>
          <t>ma</t>
        </is>
      </c>
      <c r="E627" t="inlineStr">
        <is>
          <t>SECONDARY</t>
        </is>
      </c>
      <c r="F627" t="inlineStr">
        <is>
          <t>agence digitale casablanca</t>
        </is>
      </c>
      <c r="G627" t="n">
        <v>260</v>
      </c>
      <c r="H627" t="inlineStr">
        <is>
          <t>NOT AVAILABLE</t>
        </is>
      </c>
      <c r="I627" t="n">
        <v>0.78</v>
      </c>
      <c r="J627" t="inlineStr">
        <is>
          <t>NOT AVAILABLE</t>
        </is>
      </c>
      <c r="K627" t="inlineStr">
        <is>
          <t>MEASURED</t>
        </is>
      </c>
      <c r="L627" t="inlineStr">
        <is>
          <t>P1</t>
        </is>
      </c>
      <c r="M627" t="n">
        <v>85</v>
      </c>
      <c r="N627">
        <f>ROUND(IF(IF(J627="NOT AVAILABLE","",J627)="",12,IF(OR(ISNUMBER(SEARCH("Transactional",IF(J627="NOT AVAILABLE","",J627))),ISNUMBER(SEARCH("Commercial",IF(J627="NOT AVAILABLE","",J627)))),25,IF(ISNUMBER(SEARCH("Informational",IF(J627="NOT AVAILABLE","",J627))),10,IF(ISNUMBER(SEARCH("Navigational",IF(J627="NOT AVAILABLE","",J627))),0,12))))+IF(ISNUMBER(G627),MIN(30,ROUND(30*LOG10(G627+1)/4,1)),0)+IF(ISNUMBER(H627),ROUND(25*(100-H627)/100,1),12.5)+20,0)</f>
        <v/>
      </c>
      <c r="O627">
        <f>ROUND(N627*M627/100,0)</f>
        <v/>
      </c>
      <c r="P627" s="5" t="inlineStr">
        <is>
          <t>260</t>
        </is>
      </c>
      <c r="Q627" s="5" t="inlineStr">
        <is>
          <t>None detected</t>
        </is>
      </c>
    </row>
    <row r="628">
      <c r="A628" s="3" t="inlineStr">
        <is>
          <t>https://codesommet.com/web-development-company/casablanca</t>
        </is>
      </c>
      <c r="B628" s="5" t="inlineStr">
        <is>
          <t>Agence Web Casablanca : Création de Sites qui génèrent LA CROISSANCE DES ENTREPR</t>
        </is>
      </c>
      <c r="C628" t="inlineStr">
        <is>
          <t>Morocco</t>
        </is>
      </c>
      <c r="D628" t="inlineStr">
        <is>
          <t>ma</t>
        </is>
      </c>
      <c r="E628" t="inlineStr">
        <is>
          <t>SECONDARY</t>
        </is>
      </c>
      <c r="F628" t="inlineStr">
        <is>
          <t>création site web casablanca</t>
        </is>
      </c>
      <c r="G628" t="n">
        <v>210</v>
      </c>
      <c r="H628" t="inlineStr">
        <is>
          <t>NOT AVAILABLE</t>
        </is>
      </c>
      <c r="I628" t="n">
        <v>0.91</v>
      </c>
      <c r="J628" t="inlineStr">
        <is>
          <t>NOT AVAILABLE</t>
        </is>
      </c>
      <c r="K628" t="inlineStr">
        <is>
          <t>MEASURED</t>
        </is>
      </c>
      <c r="L628" t="inlineStr">
        <is>
          <t>P1</t>
        </is>
      </c>
      <c r="M628" t="n">
        <v>85</v>
      </c>
      <c r="N628">
        <f>ROUND(IF(IF(J628="NOT AVAILABLE","",J628)="",12,IF(OR(ISNUMBER(SEARCH("Transactional",IF(J628="NOT AVAILABLE","",J628))),ISNUMBER(SEARCH("Commercial",IF(J628="NOT AVAILABLE","",J628)))),25,IF(ISNUMBER(SEARCH("Informational",IF(J628="NOT AVAILABLE","",J628))),10,IF(ISNUMBER(SEARCH("Navigational",IF(J628="NOT AVAILABLE","",J628))),0,12))))+IF(ISNUMBER(G628),MIN(30,ROUND(30*LOG10(G628+1)/4,1)),0)+IF(ISNUMBER(H628),ROUND(25*(100-H628)/100,1),12.5)+20,0)</f>
        <v/>
      </c>
      <c r="O628">
        <f>ROUND(N628*M628/100,0)</f>
        <v/>
      </c>
      <c r="P628" s="5" t="inlineStr">
        <is>
          <t>210</t>
        </is>
      </c>
      <c r="Q628" s="5" t="inlineStr">
        <is>
          <t>None detected</t>
        </is>
      </c>
    </row>
    <row r="629">
      <c r="A629" s="3" t="inlineStr">
        <is>
          <t>https://codesommet.com/web-development-company/casablanca</t>
        </is>
      </c>
      <c r="B629" s="5" t="inlineStr">
        <is>
          <t>Agence Web Casablanca : Création de Sites qui génèrent LA CROISSANCE DES ENTREPR</t>
        </is>
      </c>
      <c r="C629" t="inlineStr">
        <is>
          <t>Morocco</t>
        </is>
      </c>
      <c r="D629" t="inlineStr">
        <is>
          <t>ma</t>
        </is>
      </c>
      <c r="E629" t="inlineStr">
        <is>
          <t>SECONDARY</t>
        </is>
      </c>
      <c r="F629" t="inlineStr">
        <is>
          <t>agence création site web casablanca</t>
        </is>
      </c>
      <c r="G629" t="n">
        <v>30</v>
      </c>
      <c r="H629" t="inlineStr">
        <is>
          <t>NOT AVAILABLE</t>
        </is>
      </c>
      <c r="I629" t="n">
        <v>0.63</v>
      </c>
      <c r="J629" t="inlineStr">
        <is>
          <t>NOT AVAILABLE</t>
        </is>
      </c>
      <c r="K629" t="inlineStr">
        <is>
          <t>MEASURED</t>
        </is>
      </c>
      <c r="L629" t="inlineStr">
        <is>
          <t>P1</t>
        </is>
      </c>
      <c r="M629" t="n">
        <v>85</v>
      </c>
      <c r="N629">
        <f>ROUND(IF(IF(J629="NOT AVAILABLE","",J629)="",12,IF(OR(ISNUMBER(SEARCH("Transactional",IF(J629="NOT AVAILABLE","",J629))),ISNUMBER(SEARCH("Commercial",IF(J629="NOT AVAILABLE","",J629)))),25,IF(ISNUMBER(SEARCH("Informational",IF(J629="NOT AVAILABLE","",J629))),10,IF(ISNUMBER(SEARCH("Navigational",IF(J629="NOT AVAILABLE","",J629))),0,12))))+IF(ISNUMBER(G629),MIN(30,ROUND(30*LOG10(G629+1)/4,1)),0)+IF(ISNUMBER(H629),ROUND(25*(100-H629)/100,1),12.5)+20,0)</f>
        <v/>
      </c>
      <c r="O629">
        <f>ROUND(N629*M629/100,0)</f>
        <v/>
      </c>
      <c r="P629" s="5" t="inlineStr">
        <is>
          <t>30</t>
        </is>
      </c>
      <c r="Q629" s="5" t="inlineStr">
        <is>
          <t>None detected</t>
        </is>
      </c>
    </row>
    <row r="630">
      <c r="A630" s="3" t="inlineStr">
        <is>
          <t>https://codesommet.com/web-development-company/casablanca</t>
        </is>
      </c>
      <c r="B630" s="5" t="inlineStr">
        <is>
          <t>Agence Web Casablanca : Création de Sites qui génèrent LA CROISSANCE DES ENTREPR</t>
        </is>
      </c>
      <c r="C630" t="inlineStr">
        <is>
          <t>Morocco</t>
        </is>
      </c>
      <c r="D630" t="inlineStr">
        <is>
          <t>ma</t>
        </is>
      </c>
      <c r="E630" t="inlineStr">
        <is>
          <t>SUPPORTING</t>
        </is>
      </c>
      <c r="F630" t="inlineStr">
        <is>
          <t>création site internet casablanca</t>
        </is>
      </c>
      <c r="G630" t="n">
        <v>20</v>
      </c>
      <c r="H630" t="inlineStr">
        <is>
          <t>NOT AVAILABLE</t>
        </is>
      </c>
      <c r="I630" t="n">
        <v>0</v>
      </c>
      <c r="J630" t="inlineStr">
        <is>
          <t>NOT AVAILABLE</t>
        </is>
      </c>
      <c r="K630" t="inlineStr">
        <is>
          <t>MEASURED</t>
        </is>
      </c>
      <c r="L630" t="inlineStr">
        <is>
          <t>P3</t>
        </is>
      </c>
      <c r="M630" t="n">
        <v>65</v>
      </c>
      <c r="N630">
        <f>ROUND(IF(IF(J630="NOT AVAILABLE","",J630)="",12,IF(OR(ISNUMBER(SEARCH("Transactional",IF(J630="NOT AVAILABLE","",J630))),ISNUMBER(SEARCH("Commercial",IF(J630="NOT AVAILABLE","",J630)))),25,IF(ISNUMBER(SEARCH("Informational",IF(J630="NOT AVAILABLE","",J630))),10,IF(ISNUMBER(SEARCH("Navigational",IF(J630="NOT AVAILABLE","",J630))),0,12))))+IF(ISNUMBER(G630),MIN(30,ROUND(30*LOG10(G630+1)/4,1)),0)+IF(ISNUMBER(H630),ROUND(25*(100-H630)/100,1),12.5)+20,0)</f>
        <v/>
      </c>
      <c r="O630">
        <f>ROUND(N630*M630/100,0)</f>
        <v/>
      </c>
      <c r="P630" s="5" t="inlineStr">
        <is>
          <t>Semantic/supporting term for body copy</t>
        </is>
      </c>
      <c r="Q630" s="5" t="inlineStr">
        <is>
          <t>None detected</t>
        </is>
      </c>
    </row>
    <row r="631">
      <c r="A631" s="3" t="inlineStr">
        <is>
          <t>https://codesommet.com/web-development-company/casablanca</t>
        </is>
      </c>
      <c r="B631" s="5" t="inlineStr">
        <is>
          <t>Agence Web Casablanca : Création de Sites qui génèrent LA CROISSANCE DES ENTREPR</t>
        </is>
      </c>
      <c r="C631" t="inlineStr">
        <is>
          <t>Morocco</t>
        </is>
      </c>
      <c r="D631" t="inlineStr">
        <is>
          <t>ma</t>
        </is>
      </c>
      <c r="E631" t="inlineStr">
        <is>
          <t>SUPPORTING</t>
        </is>
      </c>
      <c r="F631" t="inlineStr">
        <is>
          <t>développeur web casablanca</t>
        </is>
      </c>
      <c r="G631" t="n">
        <v>20</v>
      </c>
      <c r="H631" t="inlineStr">
        <is>
          <t>NOT AVAILABLE</t>
        </is>
      </c>
      <c r="I631" t="n">
        <v>0.28</v>
      </c>
      <c r="J631" t="inlineStr">
        <is>
          <t>NOT AVAILABLE</t>
        </is>
      </c>
      <c r="K631" t="inlineStr">
        <is>
          <t>MEASURED</t>
        </is>
      </c>
      <c r="L631" t="inlineStr">
        <is>
          <t>P3</t>
        </is>
      </c>
      <c r="M631" t="n">
        <v>65</v>
      </c>
      <c r="N631">
        <f>ROUND(IF(IF(J631="NOT AVAILABLE","",J631)="",12,IF(OR(ISNUMBER(SEARCH("Transactional",IF(J631="NOT AVAILABLE","",J631))),ISNUMBER(SEARCH("Commercial",IF(J631="NOT AVAILABLE","",J631)))),25,IF(ISNUMBER(SEARCH("Informational",IF(J631="NOT AVAILABLE","",J631))),10,IF(ISNUMBER(SEARCH("Navigational",IF(J631="NOT AVAILABLE","",J631))),0,12))))+IF(ISNUMBER(G631),MIN(30,ROUND(30*LOG10(G631+1)/4,1)),0)+IF(ISNUMBER(H631),ROUND(25*(100-H631)/100,1),12.5)+20,0)</f>
        <v/>
      </c>
      <c r="O631">
        <f>ROUND(N631*M631/100,0)</f>
        <v/>
      </c>
      <c r="P631" s="5" t="inlineStr">
        <is>
          <t>Semantic/supporting term for body copy</t>
        </is>
      </c>
      <c r="Q631" s="5" t="inlineStr">
        <is>
          <t>None detected</t>
        </is>
      </c>
    </row>
    <row r="632">
      <c r="A632" s="3" t="inlineStr">
        <is>
          <t>https://codesommet.com/web-development-company/casablanca</t>
        </is>
      </c>
      <c r="B632" s="5" t="inlineStr">
        <is>
          <t>Agence Web Casablanca : Création de Sites qui génèrent LA CROISSANCE DES ENTREPR</t>
        </is>
      </c>
      <c r="C632" t="inlineStr">
        <is>
          <t>Morocco</t>
        </is>
      </c>
      <c r="D632" t="inlineStr">
        <is>
          <t>ma</t>
        </is>
      </c>
      <c r="E632" t="inlineStr">
        <is>
          <t>SUPPORTING</t>
        </is>
      </c>
      <c r="F632" t="inlineStr">
        <is>
          <t>site web casablanca</t>
        </is>
      </c>
      <c r="G632" t="n">
        <v>20</v>
      </c>
      <c r="H632" t="inlineStr">
        <is>
          <t>NOT AVAILABLE</t>
        </is>
      </c>
      <c r="I632" t="n">
        <v>0.61</v>
      </c>
      <c r="J632" t="inlineStr">
        <is>
          <t>NOT AVAILABLE</t>
        </is>
      </c>
      <c r="K632" t="inlineStr">
        <is>
          <t>MEASURED</t>
        </is>
      </c>
      <c r="L632" t="inlineStr">
        <is>
          <t>P3</t>
        </is>
      </c>
      <c r="M632" t="n">
        <v>65</v>
      </c>
      <c r="N632">
        <f>ROUND(IF(IF(J632="NOT AVAILABLE","",J632)="",12,IF(OR(ISNUMBER(SEARCH("Transactional",IF(J632="NOT AVAILABLE","",J632))),ISNUMBER(SEARCH("Commercial",IF(J632="NOT AVAILABLE","",J632)))),25,IF(ISNUMBER(SEARCH("Informational",IF(J632="NOT AVAILABLE","",J632))),10,IF(ISNUMBER(SEARCH("Navigational",IF(J632="NOT AVAILABLE","",J632))),0,12))))+IF(ISNUMBER(G632),MIN(30,ROUND(30*LOG10(G632+1)/4,1)),0)+IF(ISNUMBER(H632),ROUND(25*(100-H632)/100,1),12.5)+20,0)</f>
        <v/>
      </c>
      <c r="O632">
        <f>ROUND(N632*M632/100,0)</f>
        <v/>
      </c>
      <c r="P632" s="5" t="inlineStr">
        <is>
          <t>Semantic/supporting term for body copy</t>
        </is>
      </c>
      <c r="Q632" s="5" t="inlineStr">
        <is>
          <t>None detected</t>
        </is>
      </c>
    </row>
    <row r="633">
      <c r="A633" s="3" t="inlineStr">
        <is>
          <t>https://codesommet.com/web-development-company/casablanca</t>
        </is>
      </c>
      <c r="B633" s="5" t="inlineStr">
        <is>
          <t>Agence Web Casablanca : Création de Sites qui génèrent LA CROISSANCE DES ENTREPR</t>
        </is>
      </c>
      <c r="C633" t="inlineStr">
        <is>
          <t>Morocco</t>
        </is>
      </c>
      <c r="D633" t="inlineStr">
        <is>
          <t>ma</t>
        </is>
      </c>
      <c r="E633" t="inlineStr">
        <is>
          <t>SUPPORTING</t>
        </is>
      </c>
      <c r="F633" t="inlineStr">
        <is>
          <t>conception site web casablanca</t>
        </is>
      </c>
      <c r="G633" t="n">
        <v>20</v>
      </c>
      <c r="H633" t="inlineStr">
        <is>
          <t>NOT AVAILABLE</t>
        </is>
      </c>
      <c r="I633" t="n">
        <v>0</v>
      </c>
      <c r="J633" t="inlineStr">
        <is>
          <t>NOT AVAILABLE</t>
        </is>
      </c>
      <c r="K633" t="inlineStr">
        <is>
          <t>MEASURED</t>
        </is>
      </c>
      <c r="L633" t="inlineStr">
        <is>
          <t>P3</t>
        </is>
      </c>
      <c r="M633" t="n">
        <v>65</v>
      </c>
      <c r="N633">
        <f>ROUND(IF(IF(J633="NOT AVAILABLE","",J633)="",12,IF(OR(ISNUMBER(SEARCH("Transactional",IF(J633="NOT AVAILABLE","",J633))),ISNUMBER(SEARCH("Commercial",IF(J633="NOT AVAILABLE","",J633)))),25,IF(ISNUMBER(SEARCH("Informational",IF(J633="NOT AVAILABLE","",J633))),10,IF(ISNUMBER(SEARCH("Navigational",IF(J633="NOT AVAILABLE","",J633))),0,12))))+IF(ISNUMBER(G633),MIN(30,ROUND(30*LOG10(G633+1)/4,1)),0)+IF(ISNUMBER(H633),ROUND(25*(100-H633)/100,1),12.5)+20,0)</f>
        <v/>
      </c>
      <c r="O633">
        <f>ROUND(N633*M633/100,0)</f>
        <v/>
      </c>
      <c r="P633" s="5" t="inlineStr">
        <is>
          <t>Semantic/supporting term for body copy</t>
        </is>
      </c>
      <c r="Q633" s="5" t="inlineStr">
        <is>
          <t>None detected</t>
        </is>
      </c>
    </row>
    <row r="634">
      <c r="A634" s="3" t="inlineStr">
        <is>
          <t>https://codesommet.com/web-development-company/casablanca</t>
        </is>
      </c>
      <c r="B634" s="5" t="inlineStr">
        <is>
          <t>Agence Web Casablanca : Création de Sites qui génèrent LA CROISSANCE DES ENTREPR</t>
        </is>
      </c>
      <c r="C634" t="inlineStr">
        <is>
          <t>Morocco</t>
        </is>
      </c>
      <c r="D634" t="inlineStr">
        <is>
          <t>ma</t>
        </is>
      </c>
      <c r="E634" t="inlineStr">
        <is>
          <t>NOT RECOMMENDED</t>
        </is>
      </c>
      <c r="F634" t="inlineStr">
        <is>
          <t>agence de communication casablanca</t>
        </is>
      </c>
      <c r="G634" t="n">
        <v>590</v>
      </c>
      <c r="H634" t="n">
        <v>51</v>
      </c>
      <c r="I634" t="n">
        <v>0.44</v>
      </c>
      <c r="J634" t="inlineStr">
        <is>
          <t>Commercial</t>
        </is>
      </c>
      <c r="K634" t="inlineStr">
        <is>
          <t>MEASURED</t>
        </is>
      </c>
      <c r="L634" t="inlineStr">
        <is>
          <t>P4</t>
        </is>
      </c>
      <c r="M634" t="n">
        <v>0</v>
      </c>
      <c r="N634">
        <f>ROUND(IF(IF(J634="NOT AVAILABLE","",J634)="",12,IF(OR(ISNUMBER(SEARCH("Transactional",IF(J634="NOT AVAILABLE","",J634))),ISNUMBER(SEARCH("Commercial",IF(J634="NOT AVAILABLE","",J634)))),25,IF(ISNUMBER(SEARCH("Informational",IF(J634="NOT AVAILABLE","",J634))),10,IF(ISNUMBER(SEARCH("Navigational",IF(J634="NOT AVAILABLE","",J634))),0,12))))+IF(ISNUMBER(G634),MIN(30,ROUND(30*LOG10(G634+1)/4,1)),0)+IF(ISNUMBER(H634),ROUND(25*(100-H634)/100,1),12.5)+20,0)</f>
        <v/>
      </c>
      <c r="O634">
        <f>ROUND(N634*M634/100,0)</f>
        <v/>
      </c>
      <c r="P634" s="5" t="inlineStr">
        <is>
          <t>Service not offered by CodeSommet (communication / marketing agency intent) - traffic would not convert (590)</t>
        </is>
      </c>
      <c r="Q634" s="5" t="inlineStr">
        <is>
          <t>n/a (not targeted)</t>
        </is>
      </c>
    </row>
    <row r="635">
      <c r="A635" s="3" t="inlineStr">
        <is>
          <t>https://codesommet.com/web-development-company/casablanca</t>
        </is>
      </c>
      <c r="B635" s="5" t="inlineStr">
        <is>
          <t>Agence Web Casablanca : Création de Sites qui génèrent LA CROISSANCE DES ENTREPR</t>
        </is>
      </c>
      <c r="C635" t="inlineStr">
        <is>
          <t>Morocco</t>
        </is>
      </c>
      <c r="D635" t="inlineStr">
        <is>
          <t>ma</t>
        </is>
      </c>
      <c r="E635" t="inlineStr">
        <is>
          <t>NOT RECOMMENDED</t>
        </is>
      </c>
      <c r="F635" t="inlineStr">
        <is>
          <t>agence marketing digital casablanca</t>
        </is>
      </c>
      <c r="G635" t="n">
        <v>390</v>
      </c>
      <c r="H635" t="n">
        <v>39</v>
      </c>
      <c r="I635" t="n">
        <v>0.62</v>
      </c>
      <c r="J635" t="inlineStr">
        <is>
          <t>Commercial</t>
        </is>
      </c>
      <c r="K635" t="inlineStr">
        <is>
          <t>MEASURED</t>
        </is>
      </c>
      <c r="L635" t="inlineStr">
        <is>
          <t>P4</t>
        </is>
      </c>
      <c r="M635" t="n">
        <v>0</v>
      </c>
      <c r="N635">
        <f>ROUND(IF(IF(J635="NOT AVAILABLE","",J635)="",12,IF(OR(ISNUMBER(SEARCH("Transactional",IF(J635="NOT AVAILABLE","",J635))),ISNUMBER(SEARCH("Commercial",IF(J635="NOT AVAILABLE","",J635)))),25,IF(ISNUMBER(SEARCH("Informational",IF(J635="NOT AVAILABLE","",J635))),10,IF(ISNUMBER(SEARCH("Navigational",IF(J635="NOT AVAILABLE","",J635))),0,12))))+IF(ISNUMBER(G635),MIN(30,ROUND(30*LOG10(G635+1)/4,1)),0)+IF(ISNUMBER(H635),ROUND(25*(100-H635)/100,1),12.5)+20,0)</f>
        <v/>
      </c>
      <c r="O635">
        <f>ROUND(N635*M635/100,0)</f>
        <v/>
      </c>
      <c r="P635" s="5" t="inlineStr">
        <is>
          <t>Service not offered by CodeSommet (communication / marketing agency intent) - traffic would not convert (390)</t>
        </is>
      </c>
      <c r="Q635" s="5" t="inlineStr">
        <is>
          <t>n/a (not targeted)</t>
        </is>
      </c>
    </row>
    <row r="636">
      <c r="A636" s="3" t="inlineStr">
        <is>
          <t>https://codesommet.com/web-development-company/casablanca</t>
        </is>
      </c>
      <c r="B636" s="5" t="inlineStr">
        <is>
          <t>Agence Web Casablanca : Création de Sites qui génèrent LA CROISSANCE DES ENTREPR</t>
        </is>
      </c>
      <c r="C636" t="inlineStr">
        <is>
          <t>Morocco</t>
        </is>
      </c>
      <c r="D636" t="inlineStr">
        <is>
          <t>ma</t>
        </is>
      </c>
      <c r="E636" t="inlineStr">
        <is>
          <t>NOT RECOMMENDED</t>
        </is>
      </c>
      <c r="F636" t="inlineStr">
        <is>
          <t>agence seo casablanca</t>
        </is>
      </c>
      <c r="G636" t="n">
        <v>170</v>
      </c>
      <c r="H636" t="inlineStr">
        <is>
          <t>NOT AVAILABLE</t>
        </is>
      </c>
      <c r="I636" t="n">
        <v>1.18</v>
      </c>
      <c r="J636" t="inlineStr">
        <is>
          <t>NOT AVAILABLE</t>
        </is>
      </c>
      <c r="K636" t="inlineStr">
        <is>
          <t>MEASURED</t>
        </is>
      </c>
      <c r="L636" t="inlineStr">
        <is>
          <t>P4</t>
        </is>
      </c>
      <c r="M636" t="n">
        <v>0</v>
      </c>
      <c r="N636">
        <f>ROUND(IF(IF(J636="NOT AVAILABLE","",J636)="",12,IF(OR(ISNUMBER(SEARCH("Transactional",IF(J636="NOT AVAILABLE","",J636))),ISNUMBER(SEARCH("Commercial",IF(J636="NOT AVAILABLE","",J636)))),25,IF(ISNUMBER(SEARCH("Informational",IF(J636="NOT AVAILABLE","",J636))),10,IF(ISNUMBER(SEARCH("Navigational",IF(J636="NOT AVAILABLE","",J636))),0,12))))+IF(ISNUMBER(G636),MIN(30,ROUND(30*LOG10(G636+1)/4,1)),0)+IF(ISNUMBER(H636),ROUND(25*(100-H636)/100,1),12.5)+20,0)</f>
        <v/>
      </c>
      <c r="O636">
        <f>ROUND(N636*M636/100,0)</f>
        <v/>
      </c>
      <c r="P636" s="5" t="inlineStr">
        <is>
          <t>Owned by /services/seo-maroc - link with that anchor instead</t>
        </is>
      </c>
      <c r="Q636" s="5" t="inlineStr">
        <is>
          <t>n/a (not targeted)</t>
        </is>
      </c>
    </row>
    <row r="637">
      <c r="A637" s="3" t="inlineStr">
        <is>
          <t>https://codesommet.com/web-development-company/chicago</t>
        </is>
      </c>
      <c r="B637" s="5" t="inlineStr">
        <is>
          <t>Développement Web à Chicago, États-Unis : des sites web qui génèrent Tableaux de</t>
        </is>
      </c>
      <c r="C637" t="inlineStr">
        <is>
          <t>United States</t>
        </is>
      </c>
      <c r="D637" t="inlineStr">
        <is>
          <t>us</t>
        </is>
      </c>
      <c r="E637" t="inlineStr">
        <is>
          <t>PRIMARY</t>
        </is>
      </c>
      <c r="F637" t="inlineStr">
        <is>
          <t>développement web chicago</t>
        </is>
      </c>
      <c r="G637" t="inlineStr">
        <is>
          <t>NOT AVAILABLE</t>
        </is>
      </c>
      <c r="H637" t="inlineStr">
        <is>
          <t>NOT AVAILABLE</t>
        </is>
      </c>
      <c r="I637" t="inlineStr">
        <is>
          <t>NOT AVAILABLE</t>
        </is>
      </c>
      <c r="J637" t="inlineStr">
        <is>
          <t>NOT AVAILABLE</t>
        </is>
      </c>
      <c r="K637" t="inlineStr">
        <is>
          <t>UNAVAILABLE</t>
        </is>
      </c>
      <c r="L637" t="inlineStr">
        <is>
          <t>P3</t>
        </is>
      </c>
      <c r="M637" t="n">
        <v>100</v>
      </c>
      <c r="N637">
        <f>ROUND(IF(IF(J637="NOT AVAILABLE","",J637)="",12,IF(OR(ISNUMBER(SEARCH("Transactional",IF(J637="NOT AVAILABLE","",J637))),ISNUMBER(SEARCH("Commercial",IF(J637="NOT AVAILABLE","",J637)))),25,IF(ISNUMBER(SEARCH("Informational",IF(J637="NOT AVAILABLE","",J637))),10,IF(ISNUMBER(SEARCH("Navigational",IF(J637="NOT AVAILABLE","",J637))),0,12))))+IF(ISNUMBER(G637),MIN(30,ROUND(30*LOG10(G637+1)/4,1)),0)+IF(ISNUMBER(H637),ROUND(25*(100-H637)/100,1),12.5)+3,0)</f>
        <v/>
      </c>
      <c r="O637">
        <f>ROUND(N637*M637/100,0)</f>
        <v/>
      </c>
      <c r="P637" s="5" t="inlineStr">
        <is>
          <t>Matches current H1; Semrush shows no/negligible French-language demand in this market</t>
        </is>
      </c>
      <c r="Q637" s="5" t="inlineStr">
        <is>
          <t>None detected</t>
        </is>
      </c>
    </row>
    <row r="638">
      <c r="A638" s="3" t="inlineStr">
        <is>
          <t>https://codesommet.com/web-development-company/chicago</t>
        </is>
      </c>
      <c r="B638" s="5" t="inlineStr">
        <is>
          <t>Développement Web à Chicago, États-Unis : des sites web qui génèrent Tableaux de</t>
        </is>
      </c>
      <c r="C638" t="inlineStr">
        <is>
          <t>United States</t>
        </is>
      </c>
      <c r="D638" t="inlineStr">
        <is>
          <t>us</t>
        </is>
      </c>
      <c r="E638" t="inlineStr">
        <is>
          <t>NOT RECOMMENDED</t>
        </is>
      </c>
      <c r="F638" t="inlineStr">
        <is>
          <t>web development company chicago</t>
        </is>
      </c>
      <c r="G638" t="n">
        <v>590</v>
      </c>
      <c r="H638" t="n">
        <v>32</v>
      </c>
      <c r="I638" t="n">
        <v>16.28</v>
      </c>
      <c r="J638" t="inlineStr">
        <is>
          <t>Commercial</t>
        </is>
      </c>
      <c r="K638" t="inlineStr">
        <is>
          <t>MEASURED</t>
        </is>
      </c>
      <c r="L638" t="inlineStr">
        <is>
          <t>P4</t>
        </is>
      </c>
      <c r="M638" t="n">
        <v>0</v>
      </c>
      <c r="N638">
        <f>ROUND(IF(IF(J638="NOT AVAILABLE","",J638)="",12,IF(OR(ISNUMBER(SEARCH("Transactional",IF(J638="NOT AVAILABLE","",J638))),ISNUMBER(SEARCH("Commercial",IF(J638="NOT AVAILABLE","",J638)))),25,IF(ISNUMBER(SEARCH("Informational",IF(J638="NOT AVAILABLE","",J638))),10,IF(ISNUMBER(SEARCH("Navigational",IF(J638="NOT AVAILABLE","",J638))),0,12))))+IF(ISNUMBER(G638),MIN(30,ROUND(30*LOG10(G638+1)/4,1)),0)+IF(ISNUMBER(H638),ROUND(25*(100-H638)/100,1),12.5)+3,0)</f>
        <v/>
      </c>
      <c r="O638">
        <f>ROUND(N638*M638/100,0)</f>
        <v/>
      </c>
      <c r="P638" s="5" t="inlineStr">
        <is>
          <t>Local-language demand (590) but the page is in French - language mismatch; see sheet 08</t>
        </is>
      </c>
      <c r="Q638" s="5" t="inlineStr">
        <is>
          <t>n/a (not targeted)</t>
        </is>
      </c>
    </row>
    <row r="639">
      <c r="A639" s="3" t="inlineStr">
        <is>
          <t>https://codesommet.com/web-development-company/copenhagen</t>
        </is>
      </c>
      <c r="B639" s="5" t="inlineStr">
        <is>
          <t>Développement Web à Copenhague, Danemark : des sites web qui génèrent Plateforme</t>
        </is>
      </c>
      <c r="C639" t="inlineStr">
        <is>
          <t>Denmark</t>
        </is>
      </c>
      <c r="D639" t="inlineStr">
        <is>
          <t>dk</t>
        </is>
      </c>
      <c r="E639" t="inlineStr">
        <is>
          <t>PRIMARY</t>
        </is>
      </c>
      <c r="F639" t="inlineStr">
        <is>
          <t>développement web copenhague</t>
        </is>
      </c>
      <c r="G639" t="inlineStr">
        <is>
          <t>NOT AVAILABLE</t>
        </is>
      </c>
      <c r="H639" t="inlineStr">
        <is>
          <t>NOT AVAILABLE</t>
        </is>
      </c>
      <c r="I639" t="inlineStr">
        <is>
          <t>NOT AVAILABLE</t>
        </is>
      </c>
      <c r="J639" t="inlineStr">
        <is>
          <t>NOT AVAILABLE</t>
        </is>
      </c>
      <c r="K639" t="inlineStr">
        <is>
          <t>UNAVAILABLE</t>
        </is>
      </c>
      <c r="L639" t="inlineStr">
        <is>
          <t>P3</t>
        </is>
      </c>
      <c r="M639" t="n">
        <v>100</v>
      </c>
      <c r="N639">
        <f>ROUND(IF(IF(J639="NOT AVAILABLE","",J639)="",12,IF(OR(ISNUMBER(SEARCH("Transactional",IF(J639="NOT AVAILABLE","",J639))),ISNUMBER(SEARCH("Commercial",IF(J639="NOT AVAILABLE","",J639)))),25,IF(ISNUMBER(SEARCH("Informational",IF(J639="NOT AVAILABLE","",J639))),10,IF(ISNUMBER(SEARCH("Navigational",IF(J639="NOT AVAILABLE","",J639))),0,12))))+IF(ISNUMBER(G639),MIN(30,ROUND(30*LOG10(G639+1)/4,1)),0)+IF(ISNUMBER(H639),ROUND(25*(100-H639)/100,1),12.5)+3,0)</f>
        <v/>
      </c>
      <c r="O639">
        <f>ROUND(N639*M639/100,0)</f>
        <v/>
      </c>
      <c r="P639" s="5" t="inlineStr">
        <is>
          <t>Matches current H1; Semrush shows no/negligible French-language demand in this market</t>
        </is>
      </c>
      <c r="Q639" s="5" t="inlineStr">
        <is>
          <t>None detected</t>
        </is>
      </c>
    </row>
    <row r="640">
      <c r="A640" s="3" t="inlineStr">
        <is>
          <t>https://codesommet.com/web-development-company/copenhagen</t>
        </is>
      </c>
      <c r="B640" s="5" t="inlineStr">
        <is>
          <t>Développement Web à Copenhague, Danemark : des sites web qui génèrent Plateforme</t>
        </is>
      </c>
      <c r="C640" t="inlineStr">
        <is>
          <t>Denmark</t>
        </is>
      </c>
      <c r="D640" t="inlineStr">
        <is>
          <t>dk</t>
        </is>
      </c>
      <c r="E640" t="inlineStr">
        <is>
          <t>NOT RECOMMENDED</t>
        </is>
      </c>
      <c r="F640" t="inlineStr">
        <is>
          <t>web development copenhagen</t>
        </is>
      </c>
      <c r="G640" t="n">
        <v>20</v>
      </c>
      <c r="H640" t="inlineStr">
        <is>
          <t>NOT AVAILABLE</t>
        </is>
      </c>
      <c r="I640" t="n">
        <v>0</v>
      </c>
      <c r="J640" t="inlineStr">
        <is>
          <t>NOT AVAILABLE</t>
        </is>
      </c>
      <c r="K640" t="inlineStr">
        <is>
          <t>MEASURED</t>
        </is>
      </c>
      <c r="L640" t="inlineStr">
        <is>
          <t>P4</t>
        </is>
      </c>
      <c r="M640" t="n">
        <v>0</v>
      </c>
      <c r="N640">
        <f>ROUND(IF(IF(J640="NOT AVAILABLE","",J640)="",12,IF(OR(ISNUMBER(SEARCH("Transactional",IF(J640="NOT AVAILABLE","",J640))),ISNUMBER(SEARCH("Commercial",IF(J640="NOT AVAILABLE","",J640)))),25,IF(ISNUMBER(SEARCH("Informational",IF(J640="NOT AVAILABLE","",J640))),10,IF(ISNUMBER(SEARCH("Navigational",IF(J640="NOT AVAILABLE","",J640))),0,12))))+IF(ISNUMBER(G640),MIN(30,ROUND(30*LOG10(G640+1)/4,1)),0)+IF(ISNUMBER(H640),ROUND(25*(100-H640)/100,1),12.5)+3,0)</f>
        <v/>
      </c>
      <c r="O640">
        <f>ROUND(N640*M640/100,0)</f>
        <v/>
      </c>
      <c r="P640" s="5" t="inlineStr">
        <is>
          <t>Local-language demand (20) but the page is in French - language mismatch; see sheet 08</t>
        </is>
      </c>
      <c r="Q640" s="5" t="inlineStr">
        <is>
          <t>n/a (not targeted)</t>
        </is>
      </c>
    </row>
    <row r="641">
      <c r="A641" s="3" t="inlineStr">
        <is>
          <t>https://codesommet.com/web-development-company/denver</t>
        </is>
      </c>
      <c r="B641" s="5" t="inlineStr">
        <is>
          <t xml:space="preserve">Développement Web à Denver, États-Unis : des sites web qui génèrent Tableaux de </t>
        </is>
      </c>
      <c r="C641" t="inlineStr">
        <is>
          <t>United States</t>
        </is>
      </c>
      <c r="D641" t="inlineStr">
        <is>
          <t>us</t>
        </is>
      </c>
      <c r="E641" t="inlineStr">
        <is>
          <t>PRIMARY</t>
        </is>
      </c>
      <c r="F641" t="inlineStr">
        <is>
          <t>développement web denver</t>
        </is>
      </c>
      <c r="G641" t="inlineStr">
        <is>
          <t>NOT AVAILABLE</t>
        </is>
      </c>
      <c r="H641" t="inlineStr">
        <is>
          <t>NOT AVAILABLE</t>
        </is>
      </c>
      <c r="I641" t="inlineStr">
        <is>
          <t>NOT AVAILABLE</t>
        </is>
      </c>
      <c r="J641" t="inlineStr">
        <is>
          <t>NOT AVAILABLE</t>
        </is>
      </c>
      <c r="K641" t="inlineStr">
        <is>
          <t>UNAVAILABLE</t>
        </is>
      </c>
      <c r="L641" t="inlineStr">
        <is>
          <t>P3</t>
        </is>
      </c>
      <c r="M641" t="n">
        <v>100</v>
      </c>
      <c r="N641">
        <f>ROUND(IF(IF(J641="NOT AVAILABLE","",J641)="",12,IF(OR(ISNUMBER(SEARCH("Transactional",IF(J641="NOT AVAILABLE","",J641))),ISNUMBER(SEARCH("Commercial",IF(J641="NOT AVAILABLE","",J641)))),25,IF(ISNUMBER(SEARCH("Informational",IF(J641="NOT AVAILABLE","",J641))),10,IF(ISNUMBER(SEARCH("Navigational",IF(J641="NOT AVAILABLE","",J641))),0,12))))+IF(ISNUMBER(G641),MIN(30,ROUND(30*LOG10(G641+1)/4,1)),0)+IF(ISNUMBER(H641),ROUND(25*(100-H641)/100,1),12.5)+3,0)</f>
        <v/>
      </c>
      <c r="O641">
        <f>ROUND(N641*M641/100,0)</f>
        <v/>
      </c>
      <c r="P641" s="5" t="inlineStr">
        <is>
          <t>Matches current H1; Semrush shows no/negligible French-language demand in this market</t>
        </is>
      </c>
      <c r="Q641" s="5" t="inlineStr">
        <is>
          <t>None detected</t>
        </is>
      </c>
    </row>
    <row r="642">
      <c r="A642" s="3" t="inlineStr">
        <is>
          <t>https://codesommet.com/web-development-company/denver</t>
        </is>
      </c>
      <c r="B642" s="5" t="inlineStr">
        <is>
          <t xml:space="preserve">Développement Web à Denver, États-Unis : des sites web qui génèrent Tableaux de </t>
        </is>
      </c>
      <c r="C642" t="inlineStr">
        <is>
          <t>United States</t>
        </is>
      </c>
      <c r="D642" t="inlineStr">
        <is>
          <t>us</t>
        </is>
      </c>
      <c r="E642" t="inlineStr">
        <is>
          <t>NOT RECOMMENDED</t>
        </is>
      </c>
      <c r="F642" t="inlineStr">
        <is>
          <t>web development company denver</t>
        </is>
      </c>
      <c r="G642" t="n">
        <v>320</v>
      </c>
      <c r="H642" t="n">
        <v>31</v>
      </c>
      <c r="I642" t="n">
        <v>15.59</v>
      </c>
      <c r="J642" t="inlineStr">
        <is>
          <t>Commercial</t>
        </is>
      </c>
      <c r="K642" t="inlineStr">
        <is>
          <t>MEASURED</t>
        </is>
      </c>
      <c r="L642" t="inlineStr">
        <is>
          <t>P4</t>
        </is>
      </c>
      <c r="M642" t="n">
        <v>0</v>
      </c>
      <c r="N642">
        <f>ROUND(IF(IF(J642="NOT AVAILABLE","",J642)="",12,IF(OR(ISNUMBER(SEARCH("Transactional",IF(J642="NOT AVAILABLE","",J642))),ISNUMBER(SEARCH("Commercial",IF(J642="NOT AVAILABLE","",J642)))),25,IF(ISNUMBER(SEARCH("Informational",IF(J642="NOT AVAILABLE","",J642))),10,IF(ISNUMBER(SEARCH("Navigational",IF(J642="NOT AVAILABLE","",J642))),0,12))))+IF(ISNUMBER(G642),MIN(30,ROUND(30*LOG10(G642+1)/4,1)),0)+IF(ISNUMBER(H642),ROUND(25*(100-H642)/100,1),12.5)+3,0)</f>
        <v/>
      </c>
      <c r="O642">
        <f>ROUND(N642*M642/100,0)</f>
        <v/>
      </c>
      <c r="P642" s="5" t="inlineStr">
        <is>
          <t>Local-language demand (320) but the page is in French - language mismatch; see sheet 08</t>
        </is>
      </c>
      <c r="Q642" s="5" t="inlineStr">
        <is>
          <t>n/a (not targeted)</t>
        </is>
      </c>
    </row>
    <row r="643">
      <c r="A643" s="3" t="inlineStr">
        <is>
          <t>https://codesommet.com/web-development-company/dubai</t>
        </is>
      </c>
      <c r="B643" s="5" t="inlineStr">
        <is>
          <t>Développement Web à Dubaï, EAU : des sites web qui génèrent CROISSANCE COMMERCIA</t>
        </is>
      </c>
      <c r="C643" t="inlineStr">
        <is>
          <t>United Arab Emirates</t>
        </is>
      </c>
      <c r="D643" t="inlineStr">
        <is>
          <t>ae</t>
        </is>
      </c>
      <c r="E643" t="inlineStr">
        <is>
          <t>PRIMARY</t>
        </is>
      </c>
      <c r="F643" t="inlineStr">
        <is>
          <t>développement web dubai</t>
        </is>
      </c>
      <c r="G643" t="inlineStr">
        <is>
          <t>NOT AVAILABLE</t>
        </is>
      </c>
      <c r="H643" t="inlineStr">
        <is>
          <t>NOT AVAILABLE</t>
        </is>
      </c>
      <c r="I643" t="inlineStr">
        <is>
          <t>NOT AVAILABLE</t>
        </is>
      </c>
      <c r="J643" t="inlineStr">
        <is>
          <t>NOT AVAILABLE</t>
        </is>
      </c>
      <c r="K643" t="inlineStr">
        <is>
          <t>UNAVAILABLE</t>
        </is>
      </c>
      <c r="L643" t="inlineStr">
        <is>
          <t>P3</t>
        </is>
      </c>
      <c r="M643" t="n">
        <v>100</v>
      </c>
      <c r="N643">
        <f>ROUND(IF(IF(J643="NOT AVAILABLE","",J643)="",12,IF(OR(ISNUMBER(SEARCH("Transactional",IF(J643="NOT AVAILABLE","",J643))),ISNUMBER(SEARCH("Commercial",IF(J643="NOT AVAILABLE","",J643)))),25,IF(ISNUMBER(SEARCH("Informational",IF(J643="NOT AVAILABLE","",J643))),10,IF(ISNUMBER(SEARCH("Navigational",IF(J643="NOT AVAILABLE","",J643))),0,12))))+IF(ISNUMBER(G643),MIN(30,ROUND(30*LOG10(G643+1)/4,1)),0)+IF(ISNUMBER(H643),ROUND(25*(100-H643)/100,1),12.5)+3,0)</f>
        <v/>
      </c>
      <c r="O643">
        <f>ROUND(N643*M643/100,0)</f>
        <v/>
      </c>
      <c r="P643" s="5" t="inlineStr">
        <is>
          <t>Matches current H1; Semrush shows no/negligible French-language demand in this market</t>
        </is>
      </c>
      <c r="Q643" s="5" t="inlineStr">
        <is>
          <t>None detected</t>
        </is>
      </c>
    </row>
    <row r="644">
      <c r="A644" s="3" t="inlineStr">
        <is>
          <t>https://codesommet.com/web-development-company/dubai</t>
        </is>
      </c>
      <c r="B644" s="5" t="inlineStr">
        <is>
          <t>Développement Web à Dubaï, EAU : des sites web qui génèrent CROISSANCE COMMERCIA</t>
        </is>
      </c>
      <c r="C644" t="inlineStr">
        <is>
          <t>France</t>
        </is>
      </c>
      <c r="D644" t="inlineStr">
        <is>
          <t>fr</t>
        </is>
      </c>
      <c r="E644" t="inlineStr">
        <is>
          <t>OPTIONAL</t>
        </is>
      </c>
      <c r="F644" t="inlineStr">
        <is>
          <t>agence web dubai</t>
        </is>
      </c>
      <c r="G644" t="n">
        <v>20</v>
      </c>
      <c r="H644" t="inlineStr">
        <is>
          <t>NOT AVAILABLE</t>
        </is>
      </c>
      <c r="I644" t="n">
        <v>0</v>
      </c>
      <c r="J644" t="inlineStr">
        <is>
          <t>NOT AVAILABLE</t>
        </is>
      </c>
      <c r="K644" t="inlineStr">
        <is>
          <t>MEASURED</t>
        </is>
      </c>
      <c r="L644" t="inlineStr">
        <is>
          <t>P4</t>
        </is>
      </c>
      <c r="M644" t="n">
        <v>45</v>
      </c>
      <c r="N644">
        <f>ROUND(IF(IF(J644="NOT AVAILABLE","",J644)="",12,IF(OR(ISNUMBER(SEARCH("Transactional",IF(J644="NOT AVAILABLE","",J644))),ISNUMBER(SEARCH("Commercial",IF(J644="NOT AVAILABLE","",J644)))),25,IF(ISNUMBER(SEARCH("Informational",IF(J644="NOT AVAILABLE","",J644))),10,IF(ISNUMBER(SEARCH("Navigational",IF(J644="NOT AVAILABLE","",J644))),0,12))))+IF(ISNUMBER(G644),MIN(30,ROUND(30*LOG10(G644+1)/4,1)),0)+IF(ISNUMBER(H644),ROUND(25*(100-H644)/100,1),12.5)+14,0)</f>
        <v/>
      </c>
      <c r="O644">
        <f>ROUND(N644*M644/100,0)</f>
        <v/>
      </c>
      <c r="P644" s="5" t="inlineStr">
        <is>
          <t>French searchers in France looking for a provider in this city</t>
        </is>
      </c>
      <c r="Q644" s="5" t="inlineStr">
        <is>
          <t>None detected</t>
        </is>
      </c>
    </row>
    <row r="645">
      <c r="A645" s="3" t="inlineStr">
        <is>
          <t>https://codesommet.com/web-development-company/dubai</t>
        </is>
      </c>
      <c r="B645" s="5" t="inlineStr">
        <is>
          <t>Développement Web à Dubaï, EAU : des sites web qui génèrent CROISSANCE COMMERCIA</t>
        </is>
      </c>
      <c r="C645" t="inlineStr">
        <is>
          <t>United Arab Emirates</t>
        </is>
      </c>
      <c r="D645" t="inlineStr">
        <is>
          <t>ae</t>
        </is>
      </c>
      <c r="E645" t="inlineStr">
        <is>
          <t>NOT RECOMMENDED</t>
        </is>
      </c>
      <c r="F645" t="inlineStr">
        <is>
          <t>web development company dubai</t>
        </is>
      </c>
      <c r="G645" t="n">
        <v>1600</v>
      </c>
      <c r="H645" t="n">
        <v>31</v>
      </c>
      <c r="I645" t="n">
        <v>6.25</v>
      </c>
      <c r="J645" t="inlineStr">
        <is>
          <t>Commercial</t>
        </is>
      </c>
      <c r="K645" t="inlineStr">
        <is>
          <t>MEASURED</t>
        </is>
      </c>
      <c r="L645" t="inlineStr">
        <is>
          <t>P4</t>
        </is>
      </c>
      <c r="M645" t="n">
        <v>0</v>
      </c>
      <c r="N645">
        <f>ROUND(IF(IF(J645="NOT AVAILABLE","",J645)="",12,IF(OR(ISNUMBER(SEARCH("Transactional",IF(J645="NOT AVAILABLE","",J645))),ISNUMBER(SEARCH("Commercial",IF(J645="NOT AVAILABLE","",J645)))),25,IF(ISNUMBER(SEARCH("Informational",IF(J645="NOT AVAILABLE","",J645))),10,IF(ISNUMBER(SEARCH("Navigational",IF(J645="NOT AVAILABLE","",J645))),0,12))))+IF(ISNUMBER(G645),MIN(30,ROUND(30*LOG10(G645+1)/4,1)),0)+IF(ISNUMBER(H645),ROUND(25*(100-H645)/100,1),12.5)+3,0)</f>
        <v/>
      </c>
      <c r="O645">
        <f>ROUND(N645*M645/100,0)</f>
        <v/>
      </c>
      <c r="P645" s="5" t="inlineStr">
        <is>
          <t>Local-language demand (1600) but the page is in French - language mismatch; see sheet 08</t>
        </is>
      </c>
      <c r="Q645" s="5" t="inlineStr">
        <is>
          <t>n/a (not targeted)</t>
        </is>
      </c>
    </row>
    <row r="646">
      <c r="A646" s="3" t="inlineStr">
        <is>
          <t>https://codesommet.com/web-development-company/dublin</t>
        </is>
      </c>
      <c r="B646" s="5" t="inlineStr">
        <is>
          <t>Développement Web à Dublin, Irlande : des sites web qui génèrent Tableaux de Bor</t>
        </is>
      </c>
      <c r="C646" t="inlineStr">
        <is>
          <t>Ireland</t>
        </is>
      </c>
      <c r="D646" t="inlineStr">
        <is>
          <t>ie</t>
        </is>
      </c>
      <c r="E646" t="inlineStr">
        <is>
          <t>PRIMARY</t>
        </is>
      </c>
      <c r="F646" t="inlineStr">
        <is>
          <t>développement web dublin</t>
        </is>
      </c>
      <c r="G646" t="inlineStr">
        <is>
          <t>NOT AVAILABLE</t>
        </is>
      </c>
      <c r="H646" t="inlineStr">
        <is>
          <t>NOT AVAILABLE</t>
        </is>
      </c>
      <c r="I646" t="inlineStr">
        <is>
          <t>NOT AVAILABLE</t>
        </is>
      </c>
      <c r="J646" t="inlineStr">
        <is>
          <t>NOT AVAILABLE</t>
        </is>
      </c>
      <c r="K646" t="inlineStr">
        <is>
          <t>UNAVAILABLE</t>
        </is>
      </c>
      <c r="L646" t="inlineStr">
        <is>
          <t>P3</t>
        </is>
      </c>
      <c r="M646" t="n">
        <v>100</v>
      </c>
      <c r="N646">
        <f>ROUND(IF(IF(J646="NOT AVAILABLE","",J646)="",12,IF(OR(ISNUMBER(SEARCH("Transactional",IF(J646="NOT AVAILABLE","",J646))),ISNUMBER(SEARCH("Commercial",IF(J646="NOT AVAILABLE","",J646)))),25,IF(ISNUMBER(SEARCH("Informational",IF(J646="NOT AVAILABLE","",J646))),10,IF(ISNUMBER(SEARCH("Navigational",IF(J646="NOT AVAILABLE","",J646))),0,12))))+IF(ISNUMBER(G646),MIN(30,ROUND(30*LOG10(G646+1)/4,1)),0)+IF(ISNUMBER(H646),ROUND(25*(100-H646)/100,1),12.5)+3,0)</f>
        <v/>
      </c>
      <c r="O646">
        <f>ROUND(N646*M646/100,0)</f>
        <v/>
      </c>
      <c r="P646" s="5" t="inlineStr">
        <is>
          <t>Matches current H1; Semrush shows no/negligible French-language demand in this market</t>
        </is>
      </c>
      <c r="Q646" s="5" t="inlineStr">
        <is>
          <t>None detected</t>
        </is>
      </c>
    </row>
    <row r="647">
      <c r="A647" s="3" t="inlineStr">
        <is>
          <t>https://codesommet.com/web-development-company/dublin</t>
        </is>
      </c>
      <c r="B647" s="5" t="inlineStr">
        <is>
          <t>Développement Web à Dublin, Irlande : des sites web qui génèrent Tableaux de Bor</t>
        </is>
      </c>
      <c r="C647" t="inlineStr">
        <is>
          <t>Ireland</t>
        </is>
      </c>
      <c r="D647" t="inlineStr">
        <is>
          <t>ie</t>
        </is>
      </c>
      <c r="E647" t="inlineStr">
        <is>
          <t>NOT RECOMMENDED</t>
        </is>
      </c>
      <c r="F647" t="inlineStr">
        <is>
          <t>web development company dublin</t>
        </is>
      </c>
      <c r="G647" t="n">
        <v>260</v>
      </c>
      <c r="H647" t="n">
        <v>58</v>
      </c>
      <c r="I647" t="n">
        <v>3.61</v>
      </c>
      <c r="J647" t="inlineStr">
        <is>
          <t>Commercial</t>
        </is>
      </c>
      <c r="K647" t="inlineStr">
        <is>
          <t>MEASURED</t>
        </is>
      </c>
      <c r="L647" t="inlineStr">
        <is>
          <t>P4</t>
        </is>
      </c>
      <c r="M647" t="n">
        <v>0</v>
      </c>
      <c r="N647">
        <f>ROUND(IF(IF(J647="NOT AVAILABLE","",J647)="",12,IF(OR(ISNUMBER(SEARCH("Transactional",IF(J647="NOT AVAILABLE","",J647))),ISNUMBER(SEARCH("Commercial",IF(J647="NOT AVAILABLE","",J647)))),25,IF(ISNUMBER(SEARCH("Informational",IF(J647="NOT AVAILABLE","",J647))),10,IF(ISNUMBER(SEARCH("Navigational",IF(J647="NOT AVAILABLE","",J647))),0,12))))+IF(ISNUMBER(G647),MIN(30,ROUND(30*LOG10(G647+1)/4,1)),0)+IF(ISNUMBER(H647),ROUND(25*(100-H647)/100,1),12.5)+3,0)</f>
        <v/>
      </c>
      <c r="O647">
        <f>ROUND(N647*M647/100,0)</f>
        <v/>
      </c>
      <c r="P647" s="5" t="inlineStr">
        <is>
          <t>Local-language demand (260) but the page is in French - language mismatch; see sheet 08</t>
        </is>
      </c>
      <c r="Q647" s="5" t="inlineStr">
        <is>
          <t>n/a (not targeted)</t>
        </is>
      </c>
    </row>
    <row r="648">
      <c r="A648" s="3" t="inlineStr">
        <is>
          <t>https://codesommet.com/web-development-company/lagos</t>
        </is>
      </c>
      <c r="B648" s="5" t="inlineStr">
        <is>
          <t>Développement Web à Lagos, Nigeria : des sites web qui génèrent CROISSANCE COMME</t>
        </is>
      </c>
      <c r="C648" t="inlineStr">
        <is>
          <t>Nigeria</t>
        </is>
      </c>
      <c r="D648" t="inlineStr">
        <is>
          <t>ng</t>
        </is>
      </c>
      <c r="E648" t="inlineStr">
        <is>
          <t>PRIMARY</t>
        </is>
      </c>
      <c r="F648" t="inlineStr">
        <is>
          <t>développement web lagos</t>
        </is>
      </c>
      <c r="G648" t="inlineStr">
        <is>
          <t>NOT AVAILABLE</t>
        </is>
      </c>
      <c r="H648" t="inlineStr">
        <is>
          <t>NOT AVAILABLE</t>
        </is>
      </c>
      <c r="I648" t="inlineStr">
        <is>
          <t>NOT AVAILABLE</t>
        </is>
      </c>
      <c r="J648" t="inlineStr">
        <is>
          <t>NOT AVAILABLE</t>
        </is>
      </c>
      <c r="K648" t="inlineStr">
        <is>
          <t>UNAVAILABLE</t>
        </is>
      </c>
      <c r="L648" t="inlineStr">
        <is>
          <t>P3</t>
        </is>
      </c>
      <c r="M648" t="n">
        <v>100</v>
      </c>
      <c r="N648">
        <f>ROUND(IF(IF(J648="NOT AVAILABLE","",J648)="",12,IF(OR(ISNUMBER(SEARCH("Transactional",IF(J648="NOT AVAILABLE","",J648))),ISNUMBER(SEARCH("Commercial",IF(J648="NOT AVAILABLE","",J648)))),25,IF(ISNUMBER(SEARCH("Informational",IF(J648="NOT AVAILABLE","",J648))),10,IF(ISNUMBER(SEARCH("Navigational",IF(J648="NOT AVAILABLE","",J648))),0,12))))+IF(ISNUMBER(G648),MIN(30,ROUND(30*LOG10(G648+1)/4,1)),0)+IF(ISNUMBER(H648),ROUND(25*(100-H648)/100,1),12.5)+3,0)</f>
        <v/>
      </c>
      <c r="O648">
        <f>ROUND(N648*M648/100,0)</f>
        <v/>
      </c>
      <c r="P648" s="5" t="inlineStr">
        <is>
          <t>Matches current H1; Semrush shows no/negligible French-language demand in this market</t>
        </is>
      </c>
      <c r="Q648" s="5" t="inlineStr">
        <is>
          <t>None detected</t>
        </is>
      </c>
    </row>
    <row r="649">
      <c r="A649" s="3" t="inlineStr">
        <is>
          <t>https://codesommet.com/web-development-company/lagos</t>
        </is>
      </c>
      <c r="B649" s="5" t="inlineStr">
        <is>
          <t>Développement Web à Lagos, Nigeria : des sites web qui génèrent CROISSANCE COMME</t>
        </is>
      </c>
      <c r="C649" t="inlineStr">
        <is>
          <t>Nigeria</t>
        </is>
      </c>
      <c r="D649" t="inlineStr">
        <is>
          <t>ng</t>
        </is>
      </c>
      <c r="E649" t="inlineStr">
        <is>
          <t>NOT RECOMMENDED</t>
        </is>
      </c>
      <c r="F649" t="inlineStr">
        <is>
          <t>web development company lagos</t>
        </is>
      </c>
      <c r="G649" t="inlineStr">
        <is>
          <t>NOT AVAILABLE</t>
        </is>
      </c>
      <c r="H649" t="inlineStr">
        <is>
          <t>NOT AVAILABLE</t>
        </is>
      </c>
      <c r="I649" t="inlineStr">
        <is>
          <t>NOT AVAILABLE</t>
        </is>
      </c>
      <c r="J649" t="inlineStr">
        <is>
          <t>NOT AVAILABLE</t>
        </is>
      </c>
      <c r="K649" t="inlineStr">
        <is>
          <t>UNAVAILABLE</t>
        </is>
      </c>
      <c r="L649" t="inlineStr">
        <is>
          <t>P4</t>
        </is>
      </c>
      <c r="M649" t="n">
        <v>0</v>
      </c>
      <c r="N649">
        <f>ROUND(IF(IF(J649="NOT AVAILABLE","",J649)="",12,IF(OR(ISNUMBER(SEARCH("Transactional",IF(J649="NOT AVAILABLE","",J649))),ISNUMBER(SEARCH("Commercial",IF(J649="NOT AVAILABLE","",J649)))),25,IF(ISNUMBER(SEARCH("Informational",IF(J649="NOT AVAILABLE","",J649))),10,IF(ISNUMBER(SEARCH("Navigational",IF(J649="NOT AVAILABLE","",J649))),0,12))))+IF(ISNUMBER(G649),MIN(30,ROUND(30*LOG10(G649+1)/4,1)),0)+IF(ISNUMBER(H649),ROUND(25*(100-H649)/100,1),12.5)+3,0)</f>
        <v/>
      </c>
      <c r="O649">
        <f>ROUND(N649*M649/100,0)</f>
        <v/>
      </c>
      <c r="P649" s="5" t="inlineStr">
        <is>
          <t>Local-language demand (no data) but the page is in French - language mismatch; see sheet 08</t>
        </is>
      </c>
      <c r="Q649" s="5" t="inlineStr">
        <is>
          <t>n/a (not targeted)</t>
        </is>
      </c>
    </row>
    <row r="650">
      <c r="A650" s="3" t="inlineStr">
        <is>
          <t>https://codesommet.com/web-development-company/lisbon</t>
        </is>
      </c>
      <c r="B650" s="5" t="inlineStr">
        <is>
          <t>Développement Web à Lisbonne, Portugal : des sites web qui génèrent CROISSANCE C</t>
        </is>
      </c>
      <c r="C650" t="inlineStr">
        <is>
          <t>Portugal</t>
        </is>
      </c>
      <c r="D650" t="inlineStr">
        <is>
          <t>pt</t>
        </is>
      </c>
      <c r="E650" t="inlineStr">
        <is>
          <t>PRIMARY</t>
        </is>
      </c>
      <c r="F650" t="inlineStr">
        <is>
          <t>développement web lisbonne</t>
        </is>
      </c>
      <c r="G650" t="inlineStr">
        <is>
          <t>NOT AVAILABLE</t>
        </is>
      </c>
      <c r="H650" t="inlineStr">
        <is>
          <t>NOT AVAILABLE</t>
        </is>
      </c>
      <c r="I650" t="inlineStr">
        <is>
          <t>NOT AVAILABLE</t>
        </is>
      </c>
      <c r="J650" t="inlineStr">
        <is>
          <t>NOT AVAILABLE</t>
        </is>
      </c>
      <c r="K650" t="inlineStr">
        <is>
          <t>UNAVAILABLE</t>
        </is>
      </c>
      <c r="L650" t="inlineStr">
        <is>
          <t>P3</t>
        </is>
      </c>
      <c r="M650" t="n">
        <v>100</v>
      </c>
      <c r="N650">
        <f>ROUND(IF(IF(J650="NOT AVAILABLE","",J650)="",12,IF(OR(ISNUMBER(SEARCH("Transactional",IF(J650="NOT AVAILABLE","",J650))),ISNUMBER(SEARCH("Commercial",IF(J650="NOT AVAILABLE","",J650)))),25,IF(ISNUMBER(SEARCH("Informational",IF(J650="NOT AVAILABLE","",J650))),10,IF(ISNUMBER(SEARCH("Navigational",IF(J650="NOT AVAILABLE","",J650))),0,12))))+IF(ISNUMBER(G650),MIN(30,ROUND(30*LOG10(G650+1)/4,1)),0)+IF(ISNUMBER(H650),ROUND(25*(100-H650)/100,1),12.5)+3,0)</f>
        <v/>
      </c>
      <c r="O650">
        <f>ROUND(N650*M650/100,0)</f>
        <v/>
      </c>
      <c r="P650" s="5" t="inlineStr">
        <is>
          <t>Matches current H1; Semrush shows no/negligible French-language demand in this market</t>
        </is>
      </c>
      <c r="Q650" s="5" t="inlineStr">
        <is>
          <t>None detected</t>
        </is>
      </c>
    </row>
    <row r="651">
      <c r="A651" s="3" t="inlineStr">
        <is>
          <t>https://codesommet.com/web-development-company/lisbon</t>
        </is>
      </c>
      <c r="B651" s="5" t="inlineStr">
        <is>
          <t>Développement Web à Lisbonne, Portugal : des sites web qui génèrent CROISSANCE C</t>
        </is>
      </c>
      <c r="C651" t="inlineStr">
        <is>
          <t>France</t>
        </is>
      </c>
      <c r="D651" t="inlineStr">
        <is>
          <t>fr</t>
        </is>
      </c>
      <c r="E651" t="inlineStr">
        <is>
          <t>OPTIONAL</t>
        </is>
      </c>
      <c r="F651" t="inlineStr">
        <is>
          <t>agence web lisbonne</t>
        </is>
      </c>
      <c r="G651" t="n">
        <v>20</v>
      </c>
      <c r="H651" t="inlineStr">
        <is>
          <t>NOT AVAILABLE</t>
        </is>
      </c>
      <c r="I651" t="n">
        <v>0</v>
      </c>
      <c r="J651" t="inlineStr">
        <is>
          <t>NOT AVAILABLE</t>
        </is>
      </c>
      <c r="K651" t="inlineStr">
        <is>
          <t>MEASURED</t>
        </is>
      </c>
      <c r="L651" t="inlineStr">
        <is>
          <t>P4</t>
        </is>
      </c>
      <c r="M651" t="n">
        <v>45</v>
      </c>
      <c r="N651">
        <f>ROUND(IF(IF(J651="NOT AVAILABLE","",J651)="",12,IF(OR(ISNUMBER(SEARCH("Transactional",IF(J651="NOT AVAILABLE","",J651))),ISNUMBER(SEARCH("Commercial",IF(J651="NOT AVAILABLE","",J651)))),25,IF(ISNUMBER(SEARCH("Informational",IF(J651="NOT AVAILABLE","",J651))),10,IF(ISNUMBER(SEARCH("Navigational",IF(J651="NOT AVAILABLE","",J651))),0,12))))+IF(ISNUMBER(G651),MIN(30,ROUND(30*LOG10(G651+1)/4,1)),0)+IF(ISNUMBER(H651),ROUND(25*(100-H651)/100,1),12.5)+14,0)</f>
        <v/>
      </c>
      <c r="O651">
        <f>ROUND(N651*M651/100,0)</f>
        <v/>
      </c>
      <c r="P651" s="5" t="inlineStr">
        <is>
          <t>French searchers in France looking for a provider in this city</t>
        </is>
      </c>
      <c r="Q651" s="5" t="inlineStr">
        <is>
          <t>None detected</t>
        </is>
      </c>
    </row>
    <row r="652">
      <c r="A652" s="3" t="inlineStr">
        <is>
          <t>https://codesommet.com/web-development-company/lisbon</t>
        </is>
      </c>
      <c r="B652" s="5" t="inlineStr">
        <is>
          <t>Développement Web à Lisbonne, Portugal : des sites web qui génèrent CROISSANCE C</t>
        </is>
      </c>
      <c r="C652" t="inlineStr">
        <is>
          <t>Portugal</t>
        </is>
      </c>
      <c r="D652" t="inlineStr">
        <is>
          <t>pt</t>
        </is>
      </c>
      <c r="E652" t="inlineStr">
        <is>
          <t>NOT RECOMMENDED</t>
        </is>
      </c>
      <c r="F652" t="inlineStr">
        <is>
          <t>desenvolvimento web lisboa</t>
        </is>
      </c>
      <c r="G652" t="inlineStr">
        <is>
          <t>NOT AVAILABLE</t>
        </is>
      </c>
      <c r="H652" t="inlineStr">
        <is>
          <t>NOT AVAILABLE</t>
        </is>
      </c>
      <c r="I652" t="inlineStr">
        <is>
          <t>NOT AVAILABLE</t>
        </is>
      </c>
      <c r="J652" t="inlineStr">
        <is>
          <t>NOT AVAILABLE</t>
        </is>
      </c>
      <c r="K652" t="inlineStr">
        <is>
          <t>UNAVAILABLE</t>
        </is>
      </c>
      <c r="L652" t="inlineStr">
        <is>
          <t>P4</t>
        </is>
      </c>
      <c r="M652" t="n">
        <v>0</v>
      </c>
      <c r="N652">
        <f>ROUND(IF(IF(J652="NOT AVAILABLE","",J652)="",12,IF(OR(ISNUMBER(SEARCH("Transactional",IF(J652="NOT AVAILABLE","",J652))),ISNUMBER(SEARCH("Commercial",IF(J652="NOT AVAILABLE","",J652)))),25,IF(ISNUMBER(SEARCH("Informational",IF(J652="NOT AVAILABLE","",J652))),10,IF(ISNUMBER(SEARCH("Navigational",IF(J652="NOT AVAILABLE","",J652))),0,12))))+IF(ISNUMBER(G652),MIN(30,ROUND(30*LOG10(G652+1)/4,1)),0)+IF(ISNUMBER(H652),ROUND(25*(100-H652)/100,1),12.5)+3,0)</f>
        <v/>
      </c>
      <c r="O652">
        <f>ROUND(N652*M652/100,0)</f>
        <v/>
      </c>
      <c r="P652" s="5" t="inlineStr">
        <is>
          <t>Local-language demand (no data) but the page is in French - language mismatch; see sheet 08</t>
        </is>
      </c>
      <c r="Q652" s="5" t="inlineStr">
        <is>
          <t>n/a (not targeted)</t>
        </is>
      </c>
    </row>
    <row r="653">
      <c r="A653" s="3" t="inlineStr">
        <is>
          <t>https://codesommet.com/web-development-company/london</t>
        </is>
      </c>
      <c r="B653" s="5" t="inlineStr">
        <is>
          <t>Développement Web à Londres, Royaume-Uni : des sites web qui génèrent Plateforme</t>
        </is>
      </c>
      <c r="C653" t="inlineStr">
        <is>
          <t>United Kingdom</t>
        </is>
      </c>
      <c r="D653" t="inlineStr">
        <is>
          <t>uk</t>
        </is>
      </c>
      <c r="E653" t="inlineStr">
        <is>
          <t>PRIMARY</t>
        </is>
      </c>
      <c r="F653" t="inlineStr">
        <is>
          <t>développement web londres</t>
        </is>
      </c>
      <c r="G653" t="inlineStr">
        <is>
          <t>NOT AVAILABLE</t>
        </is>
      </c>
      <c r="H653" t="inlineStr">
        <is>
          <t>NOT AVAILABLE</t>
        </is>
      </c>
      <c r="I653" t="inlineStr">
        <is>
          <t>NOT AVAILABLE</t>
        </is>
      </c>
      <c r="J653" t="inlineStr">
        <is>
          <t>NOT AVAILABLE</t>
        </is>
      </c>
      <c r="K653" t="inlineStr">
        <is>
          <t>UNAVAILABLE</t>
        </is>
      </c>
      <c r="L653" t="inlineStr">
        <is>
          <t>P3</t>
        </is>
      </c>
      <c r="M653" t="n">
        <v>100</v>
      </c>
      <c r="N653">
        <f>ROUND(IF(IF(J653="NOT AVAILABLE","",J653)="",12,IF(OR(ISNUMBER(SEARCH("Transactional",IF(J653="NOT AVAILABLE","",J653))),ISNUMBER(SEARCH("Commercial",IF(J653="NOT AVAILABLE","",J653)))),25,IF(ISNUMBER(SEARCH("Informational",IF(J653="NOT AVAILABLE","",J653))),10,IF(ISNUMBER(SEARCH("Navigational",IF(J653="NOT AVAILABLE","",J653))),0,12))))+IF(ISNUMBER(G653),MIN(30,ROUND(30*LOG10(G653+1)/4,1)),0)+IF(ISNUMBER(H653),ROUND(25*(100-H653)/100,1),12.5)+3,0)</f>
        <v/>
      </c>
      <c r="O653">
        <f>ROUND(N653*M653/100,0)</f>
        <v/>
      </c>
      <c r="P653" s="5" t="inlineStr">
        <is>
          <t>Matches current H1; Semrush shows no/negligible French-language demand in this market</t>
        </is>
      </c>
      <c r="Q653" s="5" t="inlineStr">
        <is>
          <t>None detected</t>
        </is>
      </c>
    </row>
    <row r="654">
      <c r="A654" s="3" t="inlineStr">
        <is>
          <t>https://codesommet.com/web-development-company/london</t>
        </is>
      </c>
      <c r="B654" s="5" t="inlineStr">
        <is>
          <t>Développement Web à Londres, Royaume-Uni : des sites web qui génèrent Plateforme</t>
        </is>
      </c>
      <c r="C654" t="inlineStr">
        <is>
          <t>France</t>
        </is>
      </c>
      <c r="D654" t="inlineStr">
        <is>
          <t>fr</t>
        </is>
      </c>
      <c r="E654" t="inlineStr">
        <is>
          <t>OPTIONAL</t>
        </is>
      </c>
      <c r="F654" t="inlineStr">
        <is>
          <t>agence web londres</t>
        </is>
      </c>
      <c r="G654" t="n">
        <v>20</v>
      </c>
      <c r="H654" t="inlineStr">
        <is>
          <t>NOT AVAILABLE</t>
        </is>
      </c>
      <c r="I654" t="n">
        <v>0</v>
      </c>
      <c r="J654" t="inlineStr">
        <is>
          <t>NOT AVAILABLE</t>
        </is>
      </c>
      <c r="K654" t="inlineStr">
        <is>
          <t>MEASURED</t>
        </is>
      </c>
      <c r="L654" t="inlineStr">
        <is>
          <t>P4</t>
        </is>
      </c>
      <c r="M654" t="n">
        <v>45</v>
      </c>
      <c r="N654">
        <f>ROUND(IF(IF(J654="NOT AVAILABLE","",J654)="",12,IF(OR(ISNUMBER(SEARCH("Transactional",IF(J654="NOT AVAILABLE","",J654))),ISNUMBER(SEARCH("Commercial",IF(J654="NOT AVAILABLE","",J654)))),25,IF(ISNUMBER(SEARCH("Informational",IF(J654="NOT AVAILABLE","",J654))),10,IF(ISNUMBER(SEARCH("Navigational",IF(J654="NOT AVAILABLE","",J654))),0,12))))+IF(ISNUMBER(G654),MIN(30,ROUND(30*LOG10(G654+1)/4,1)),0)+IF(ISNUMBER(H654),ROUND(25*(100-H654)/100,1),12.5)+14,0)</f>
        <v/>
      </c>
      <c r="O654">
        <f>ROUND(N654*M654/100,0)</f>
        <v/>
      </c>
      <c r="P654" s="5" t="inlineStr">
        <is>
          <t>French searchers in France looking for a provider in this city</t>
        </is>
      </c>
      <c r="Q654" s="5" t="inlineStr">
        <is>
          <t>None detected</t>
        </is>
      </c>
    </row>
    <row r="655">
      <c r="A655" s="3" t="inlineStr">
        <is>
          <t>https://codesommet.com/web-development-company/london</t>
        </is>
      </c>
      <c r="B655" s="5" t="inlineStr">
        <is>
          <t>Développement Web à Londres, Royaume-Uni : des sites web qui génèrent Plateforme</t>
        </is>
      </c>
      <c r="C655" t="inlineStr">
        <is>
          <t>United Kingdom</t>
        </is>
      </c>
      <c r="D655" t="inlineStr">
        <is>
          <t>uk</t>
        </is>
      </c>
      <c r="E655" t="inlineStr">
        <is>
          <t>NOT RECOMMENDED</t>
        </is>
      </c>
      <c r="F655" t="inlineStr">
        <is>
          <t>web development company london</t>
        </is>
      </c>
      <c r="G655" t="n">
        <v>880</v>
      </c>
      <c r="H655" t="n">
        <v>37</v>
      </c>
      <c r="I655" t="n">
        <v>9.6</v>
      </c>
      <c r="J655" t="inlineStr">
        <is>
          <t>Commercial</t>
        </is>
      </c>
      <c r="K655" t="inlineStr">
        <is>
          <t>MEASURED</t>
        </is>
      </c>
      <c r="L655" t="inlineStr">
        <is>
          <t>P4</t>
        </is>
      </c>
      <c r="M655" t="n">
        <v>0</v>
      </c>
      <c r="N655">
        <f>ROUND(IF(IF(J655="NOT AVAILABLE","",J655)="",12,IF(OR(ISNUMBER(SEARCH("Transactional",IF(J655="NOT AVAILABLE","",J655))),ISNUMBER(SEARCH("Commercial",IF(J655="NOT AVAILABLE","",J655)))),25,IF(ISNUMBER(SEARCH("Informational",IF(J655="NOT AVAILABLE","",J655))),10,IF(ISNUMBER(SEARCH("Navigational",IF(J655="NOT AVAILABLE","",J655))),0,12))))+IF(ISNUMBER(G655),MIN(30,ROUND(30*LOG10(G655+1)/4,1)),0)+IF(ISNUMBER(H655),ROUND(25*(100-H655)/100,1),12.5)+3,0)</f>
        <v/>
      </c>
      <c r="O655">
        <f>ROUND(N655*M655/100,0)</f>
        <v/>
      </c>
      <c r="P655" s="5" t="inlineStr">
        <is>
          <t>Local-language demand (880) but the page is in French - language mismatch; see sheet 08</t>
        </is>
      </c>
      <c r="Q655" s="5" t="inlineStr">
        <is>
          <t>n/a (not targeted)</t>
        </is>
      </c>
    </row>
    <row r="656">
      <c r="A656" s="3" t="inlineStr">
        <is>
          <t>https://codesommet.com/web-development-company/los-angeles</t>
        </is>
      </c>
      <c r="B656" s="5" t="inlineStr">
        <is>
          <t>Développement Web à Los Angeles, États-Unis : des sites web qui génèrent Tableau</t>
        </is>
      </c>
      <c r="C656" t="inlineStr">
        <is>
          <t>United States</t>
        </is>
      </c>
      <c r="D656" t="inlineStr">
        <is>
          <t>us</t>
        </is>
      </c>
      <c r="E656" t="inlineStr">
        <is>
          <t>PRIMARY</t>
        </is>
      </c>
      <c r="F656" t="inlineStr">
        <is>
          <t>développement web los angeles</t>
        </is>
      </c>
      <c r="G656" t="inlineStr">
        <is>
          <t>NOT AVAILABLE</t>
        </is>
      </c>
      <c r="H656" t="inlineStr">
        <is>
          <t>NOT AVAILABLE</t>
        </is>
      </c>
      <c r="I656" t="inlineStr">
        <is>
          <t>NOT AVAILABLE</t>
        </is>
      </c>
      <c r="J656" t="inlineStr">
        <is>
          <t>NOT AVAILABLE</t>
        </is>
      </c>
      <c r="K656" t="inlineStr">
        <is>
          <t>UNAVAILABLE</t>
        </is>
      </c>
      <c r="L656" t="inlineStr">
        <is>
          <t>P3</t>
        </is>
      </c>
      <c r="M656" t="n">
        <v>100</v>
      </c>
      <c r="N656">
        <f>ROUND(IF(IF(J656="NOT AVAILABLE","",J656)="",12,IF(OR(ISNUMBER(SEARCH("Transactional",IF(J656="NOT AVAILABLE","",J656))),ISNUMBER(SEARCH("Commercial",IF(J656="NOT AVAILABLE","",J656)))),25,IF(ISNUMBER(SEARCH("Informational",IF(J656="NOT AVAILABLE","",J656))),10,IF(ISNUMBER(SEARCH("Navigational",IF(J656="NOT AVAILABLE","",J656))),0,12))))+IF(ISNUMBER(G656),MIN(30,ROUND(30*LOG10(G656+1)/4,1)),0)+IF(ISNUMBER(H656),ROUND(25*(100-H656)/100,1),12.5)+3,0)</f>
        <v/>
      </c>
      <c r="O656">
        <f>ROUND(N656*M656/100,0)</f>
        <v/>
      </c>
      <c r="P656" s="5" t="inlineStr">
        <is>
          <t>Matches current H1; Semrush shows no/negligible French-language demand in this market</t>
        </is>
      </c>
      <c r="Q656" s="5" t="inlineStr">
        <is>
          <t>None detected</t>
        </is>
      </c>
    </row>
    <row r="657">
      <c r="A657" s="3" t="inlineStr">
        <is>
          <t>https://codesommet.com/web-development-company/los-angeles</t>
        </is>
      </c>
      <c r="B657" s="5" t="inlineStr">
        <is>
          <t>Développement Web à Los Angeles, États-Unis : des sites web qui génèrent Tableau</t>
        </is>
      </c>
      <c r="C657" t="inlineStr">
        <is>
          <t>United States</t>
        </is>
      </c>
      <c r="D657" t="inlineStr">
        <is>
          <t>us</t>
        </is>
      </c>
      <c r="E657" t="inlineStr">
        <is>
          <t>NOT RECOMMENDED</t>
        </is>
      </c>
      <c r="F657" t="inlineStr">
        <is>
          <t>web development company los angeles</t>
        </is>
      </c>
      <c r="G657" t="n">
        <v>480</v>
      </c>
      <c r="H657" t="n">
        <v>33</v>
      </c>
      <c r="I657" t="n">
        <v>0</v>
      </c>
      <c r="J657" t="inlineStr">
        <is>
          <t>Commercial</t>
        </is>
      </c>
      <c r="K657" t="inlineStr">
        <is>
          <t>MEASURED</t>
        </is>
      </c>
      <c r="L657" t="inlineStr">
        <is>
          <t>P4</t>
        </is>
      </c>
      <c r="M657" t="n">
        <v>0</v>
      </c>
      <c r="N657">
        <f>ROUND(IF(IF(J657="NOT AVAILABLE","",J657)="",12,IF(OR(ISNUMBER(SEARCH("Transactional",IF(J657="NOT AVAILABLE","",J657))),ISNUMBER(SEARCH("Commercial",IF(J657="NOT AVAILABLE","",J657)))),25,IF(ISNUMBER(SEARCH("Informational",IF(J657="NOT AVAILABLE","",J657))),10,IF(ISNUMBER(SEARCH("Navigational",IF(J657="NOT AVAILABLE","",J657))),0,12))))+IF(ISNUMBER(G657),MIN(30,ROUND(30*LOG10(G657+1)/4,1)),0)+IF(ISNUMBER(H657),ROUND(25*(100-H657)/100,1),12.5)+3,0)</f>
        <v/>
      </c>
      <c r="O657">
        <f>ROUND(N657*M657/100,0)</f>
        <v/>
      </c>
      <c r="P657" s="5" t="inlineStr">
        <is>
          <t>Local-language demand (480) but the page is in French - language mismatch; see sheet 08</t>
        </is>
      </c>
      <c r="Q657" s="5" t="inlineStr">
        <is>
          <t>n/a (not targeted)</t>
        </is>
      </c>
    </row>
    <row r="658">
      <c r="A658" s="3" t="inlineStr">
        <is>
          <t>https://codesommet.com/web-development-company/madrid</t>
        </is>
      </c>
      <c r="B658" s="5" t="inlineStr">
        <is>
          <t>Développement Web à Madrid, Espagne : des sites web qui génèrent CROISSANCE COMM</t>
        </is>
      </c>
      <c r="C658" t="inlineStr">
        <is>
          <t>Spain</t>
        </is>
      </c>
      <c r="D658" t="inlineStr">
        <is>
          <t>es</t>
        </is>
      </c>
      <c r="E658" t="inlineStr">
        <is>
          <t>PRIMARY</t>
        </is>
      </c>
      <c r="F658" t="inlineStr">
        <is>
          <t>développement web madrid</t>
        </is>
      </c>
      <c r="G658" t="inlineStr">
        <is>
          <t>NOT AVAILABLE</t>
        </is>
      </c>
      <c r="H658" t="inlineStr">
        <is>
          <t>NOT AVAILABLE</t>
        </is>
      </c>
      <c r="I658" t="inlineStr">
        <is>
          <t>NOT AVAILABLE</t>
        </is>
      </c>
      <c r="J658" t="inlineStr">
        <is>
          <t>NOT AVAILABLE</t>
        </is>
      </c>
      <c r="K658" t="inlineStr">
        <is>
          <t>UNAVAILABLE</t>
        </is>
      </c>
      <c r="L658" t="inlineStr">
        <is>
          <t>P3</t>
        </is>
      </c>
      <c r="M658" t="n">
        <v>100</v>
      </c>
      <c r="N658">
        <f>ROUND(IF(IF(J658="NOT AVAILABLE","",J658)="",12,IF(OR(ISNUMBER(SEARCH("Transactional",IF(J658="NOT AVAILABLE","",J658))),ISNUMBER(SEARCH("Commercial",IF(J658="NOT AVAILABLE","",J658)))),25,IF(ISNUMBER(SEARCH("Informational",IF(J658="NOT AVAILABLE","",J658))),10,IF(ISNUMBER(SEARCH("Navigational",IF(J658="NOT AVAILABLE","",J658))),0,12))))+IF(ISNUMBER(G658),MIN(30,ROUND(30*LOG10(G658+1)/4,1)),0)+IF(ISNUMBER(H658),ROUND(25*(100-H658)/100,1),12.5)+3,0)</f>
        <v/>
      </c>
      <c r="O658">
        <f>ROUND(N658*M658/100,0)</f>
        <v/>
      </c>
      <c r="P658" s="5" t="inlineStr">
        <is>
          <t>Matches current H1; Semrush shows no/negligible French-language demand in this market</t>
        </is>
      </c>
      <c r="Q658" s="5" t="inlineStr">
        <is>
          <t>None detected</t>
        </is>
      </c>
    </row>
    <row r="659">
      <c r="A659" s="3" t="inlineStr">
        <is>
          <t>https://codesommet.com/web-development-company/madrid</t>
        </is>
      </c>
      <c r="B659" s="5" t="inlineStr">
        <is>
          <t>Développement Web à Madrid, Espagne : des sites web qui génèrent CROISSANCE COMM</t>
        </is>
      </c>
      <c r="C659" t="inlineStr">
        <is>
          <t>Spain</t>
        </is>
      </c>
      <c r="D659" t="inlineStr">
        <is>
          <t>es</t>
        </is>
      </c>
      <c r="E659" t="inlineStr">
        <is>
          <t>NOT RECOMMENDED</t>
        </is>
      </c>
      <c r="F659" t="inlineStr">
        <is>
          <t>desarrollo web madrid</t>
        </is>
      </c>
      <c r="G659" t="n">
        <v>1300</v>
      </c>
      <c r="H659" t="n">
        <v>23</v>
      </c>
      <c r="I659" t="n">
        <v>4.41</v>
      </c>
      <c r="J659" t="inlineStr">
        <is>
          <t>Transactional</t>
        </is>
      </c>
      <c r="K659" t="inlineStr">
        <is>
          <t>MEASURED</t>
        </is>
      </c>
      <c r="L659" t="inlineStr">
        <is>
          <t>P4</t>
        </is>
      </c>
      <c r="M659" t="n">
        <v>0</v>
      </c>
      <c r="N659">
        <f>ROUND(IF(IF(J659="NOT AVAILABLE","",J659)="",12,IF(OR(ISNUMBER(SEARCH("Transactional",IF(J659="NOT AVAILABLE","",J659))),ISNUMBER(SEARCH("Commercial",IF(J659="NOT AVAILABLE","",J659)))),25,IF(ISNUMBER(SEARCH("Informational",IF(J659="NOT AVAILABLE","",J659))),10,IF(ISNUMBER(SEARCH("Navigational",IF(J659="NOT AVAILABLE","",J659))),0,12))))+IF(ISNUMBER(G659),MIN(30,ROUND(30*LOG10(G659+1)/4,1)),0)+IF(ISNUMBER(H659),ROUND(25*(100-H659)/100,1),12.5)+3,0)</f>
        <v/>
      </c>
      <c r="O659">
        <f>ROUND(N659*M659/100,0)</f>
        <v/>
      </c>
      <c r="P659" s="5" t="inlineStr">
        <is>
          <t>Local-language demand (1300) but the page is in French - language mismatch; see sheet 08</t>
        </is>
      </c>
      <c r="Q659" s="5" t="inlineStr">
        <is>
          <t>n/a (not targeted)</t>
        </is>
      </c>
    </row>
    <row r="660">
      <c r="A660" s="3" t="inlineStr">
        <is>
          <t>https://codesommet.com/web-development-company/marrakech</t>
        </is>
      </c>
      <c r="B660" s="5" t="inlineStr">
        <is>
          <t>Création Site Web Marrakech : votre Agence Web pour des sites qui génèrent LA CR</t>
        </is>
      </c>
      <c r="C660" t="inlineStr">
        <is>
          <t>Morocco</t>
        </is>
      </c>
      <c r="D660" t="inlineStr">
        <is>
          <t>ma</t>
        </is>
      </c>
      <c r="E660" t="inlineStr">
        <is>
          <t>PRIMARY</t>
        </is>
      </c>
      <c r="F660" t="inlineStr">
        <is>
          <t>création site web marrakech</t>
        </is>
      </c>
      <c r="G660" t="n">
        <v>590</v>
      </c>
      <c r="H660" t="n">
        <v>19</v>
      </c>
      <c r="I660" t="n">
        <v>0.58</v>
      </c>
      <c r="J660" t="inlineStr">
        <is>
          <t>Commercial</t>
        </is>
      </c>
      <c r="K660" t="inlineStr">
        <is>
          <t>MEASURED</t>
        </is>
      </c>
      <c r="L660" t="inlineStr">
        <is>
          <t>P1</t>
        </is>
      </c>
      <c r="M660" t="n">
        <v>100</v>
      </c>
      <c r="N660">
        <f>ROUND(IF(IF(J660="NOT AVAILABLE","",J660)="",12,IF(OR(ISNUMBER(SEARCH("Transactional",IF(J660="NOT AVAILABLE","",J660))),ISNUMBER(SEARCH("Commercial",IF(J660="NOT AVAILABLE","",J660)))),25,IF(ISNUMBER(SEARCH("Informational",IF(J660="NOT AVAILABLE","",J660))),10,IF(ISNUMBER(SEARCH("Navigational",IF(J660="NOT AVAILABLE","",J660))),0,12))))+IF(ISNUMBER(G660),MIN(30,ROUND(30*LOG10(G660+1)/4,1)),0)+IF(ISNUMBER(H660),ROUND(25*(100-H660)/100,1),12.5)+20,0)</f>
        <v/>
      </c>
      <c r="O660">
        <f>ROUND(N660*M660/100,0)</f>
        <v/>
      </c>
      <c r="P660" s="5" t="inlineStr">
        <is>
          <t>MA 590, KD 19 - best city opportunity; title/H1 aligned; local office = genuine proximity</t>
        </is>
      </c>
      <c r="Q660" s="5" t="inlineStr">
        <is>
          <t>None detected</t>
        </is>
      </c>
    </row>
    <row r="661">
      <c r="A661" s="3" t="inlineStr">
        <is>
          <t>https://codesommet.com/web-development-company/marrakech</t>
        </is>
      </c>
      <c r="B661" s="5" t="inlineStr">
        <is>
          <t>Création Site Web Marrakech : votre Agence Web pour des sites qui génèrent LA CR</t>
        </is>
      </c>
      <c r="C661" t="inlineStr">
        <is>
          <t>Morocco</t>
        </is>
      </c>
      <c r="D661" t="inlineStr">
        <is>
          <t>ma</t>
        </is>
      </c>
      <c r="E661" t="inlineStr">
        <is>
          <t>SECONDARY</t>
        </is>
      </c>
      <c r="F661" t="inlineStr">
        <is>
          <t>creation site web marrakech</t>
        </is>
      </c>
      <c r="G661" t="n">
        <v>590</v>
      </c>
      <c r="H661" t="n">
        <v>19</v>
      </c>
      <c r="I661" t="n">
        <v>0.58</v>
      </c>
      <c r="J661" t="inlineStr">
        <is>
          <t>Commercial</t>
        </is>
      </c>
      <c r="K661" t="inlineStr">
        <is>
          <t>MEASURED</t>
        </is>
      </c>
      <c r="L661" t="inlineStr">
        <is>
          <t>P1</t>
        </is>
      </c>
      <c r="M661" t="n">
        <v>85</v>
      </c>
      <c r="N661">
        <f>ROUND(IF(IF(J661="NOT AVAILABLE","",J661)="",12,IF(OR(ISNUMBER(SEARCH("Transactional",IF(J661="NOT AVAILABLE","",J661))),ISNUMBER(SEARCH("Commercial",IF(J661="NOT AVAILABLE","",J661)))),25,IF(ISNUMBER(SEARCH("Informational",IF(J661="NOT AVAILABLE","",J661))),10,IF(ISNUMBER(SEARCH("Navigational",IF(J661="NOT AVAILABLE","",J661))),0,12))))+IF(ISNUMBER(G661),MIN(30,ROUND(30*LOG10(G661+1)/4,1)),0)+IF(ISNUMBER(H661),ROUND(25*(100-H661)/100,1),12.5)+20,0)</f>
        <v/>
      </c>
      <c r="O661">
        <f>ROUND(N661*M661/100,0)</f>
        <v/>
      </c>
      <c r="P661" s="5" t="inlineStr">
        <is>
          <t>Unaccented variant (590)</t>
        </is>
      </c>
      <c r="Q661" s="5" t="inlineStr">
        <is>
          <t>None detected</t>
        </is>
      </c>
    </row>
    <row r="662">
      <c r="A662" s="3" t="inlineStr">
        <is>
          <t>https://codesommet.com/web-development-company/marrakech</t>
        </is>
      </c>
      <c r="B662" s="5" t="inlineStr">
        <is>
          <t>Création Site Web Marrakech : votre Agence Web pour des sites qui génèrent LA CR</t>
        </is>
      </c>
      <c r="C662" t="inlineStr">
        <is>
          <t>Morocco</t>
        </is>
      </c>
      <c r="D662" t="inlineStr">
        <is>
          <t>ma</t>
        </is>
      </c>
      <c r="E662" t="inlineStr">
        <is>
          <t>SECONDARY</t>
        </is>
      </c>
      <c r="F662" t="inlineStr">
        <is>
          <t>agence web marrakech</t>
        </is>
      </c>
      <c r="G662" t="n">
        <v>320</v>
      </c>
      <c r="H662" t="n">
        <v>33</v>
      </c>
      <c r="I662" t="n">
        <v>0.75</v>
      </c>
      <c r="J662" t="inlineStr">
        <is>
          <t>Commercial</t>
        </is>
      </c>
      <c r="K662" t="inlineStr">
        <is>
          <t>MEASURED</t>
        </is>
      </c>
      <c r="L662" t="inlineStr">
        <is>
          <t>P1</t>
        </is>
      </c>
      <c r="M662" t="n">
        <v>85</v>
      </c>
      <c r="N662">
        <f>ROUND(IF(IF(J662="NOT AVAILABLE","",J662)="",12,IF(OR(ISNUMBER(SEARCH("Transactional",IF(J662="NOT AVAILABLE","",J662))),ISNUMBER(SEARCH("Commercial",IF(J662="NOT AVAILABLE","",J662)))),25,IF(ISNUMBER(SEARCH("Informational",IF(J662="NOT AVAILABLE","",J662))),10,IF(ISNUMBER(SEARCH("Navigational",IF(J662="NOT AVAILABLE","",J662))),0,12))))+IF(ISNUMBER(G662),MIN(30,ROUND(30*LOG10(G662+1)/4,1)),0)+IF(ISNUMBER(H662),ROUND(25*(100-H662)/100,1),12.5)+20,0)</f>
        <v/>
      </c>
      <c r="O662">
        <f>ROUND(N662*M662/100,0)</f>
        <v/>
      </c>
      <c r="P662" s="5" t="inlineStr">
        <is>
          <t>320, KD 33</t>
        </is>
      </c>
      <c r="Q662" s="5" t="inlineStr">
        <is>
          <t>None detected</t>
        </is>
      </c>
    </row>
    <row r="663">
      <c r="A663" s="3" t="inlineStr">
        <is>
          <t>https://codesommet.com/web-development-company/marrakech</t>
        </is>
      </c>
      <c r="B663" s="5" t="inlineStr">
        <is>
          <t>Création Site Web Marrakech : votre Agence Web pour des sites qui génèrent LA CR</t>
        </is>
      </c>
      <c r="C663" t="inlineStr">
        <is>
          <t>Morocco</t>
        </is>
      </c>
      <c r="D663" t="inlineStr">
        <is>
          <t>ma</t>
        </is>
      </c>
      <c r="E663" t="inlineStr">
        <is>
          <t>SECONDARY</t>
        </is>
      </c>
      <c r="F663" t="inlineStr">
        <is>
          <t>création site internet marrakech</t>
        </is>
      </c>
      <c r="G663" t="n">
        <v>170</v>
      </c>
      <c r="H663" t="inlineStr">
        <is>
          <t>NOT AVAILABLE</t>
        </is>
      </c>
      <c r="I663" t="n">
        <v>1.24</v>
      </c>
      <c r="J663" t="inlineStr">
        <is>
          <t>NOT AVAILABLE</t>
        </is>
      </c>
      <c r="K663" t="inlineStr">
        <is>
          <t>MEASURED</t>
        </is>
      </c>
      <c r="L663" t="inlineStr">
        <is>
          <t>P1</t>
        </is>
      </c>
      <c r="M663" t="n">
        <v>85</v>
      </c>
      <c r="N663">
        <f>ROUND(IF(IF(J663="NOT AVAILABLE","",J663)="",12,IF(OR(ISNUMBER(SEARCH("Transactional",IF(J663="NOT AVAILABLE","",J663))),ISNUMBER(SEARCH("Commercial",IF(J663="NOT AVAILABLE","",J663)))),25,IF(ISNUMBER(SEARCH("Informational",IF(J663="NOT AVAILABLE","",J663))),10,IF(ISNUMBER(SEARCH("Navigational",IF(J663="NOT AVAILABLE","",J663))),0,12))))+IF(ISNUMBER(G663),MIN(30,ROUND(30*LOG10(G663+1)/4,1)),0)+IF(ISNUMBER(H663),ROUND(25*(100-H663)/100,1),12.5)+20,0)</f>
        <v/>
      </c>
      <c r="O663">
        <f>ROUND(N663*M663/100,0)</f>
        <v/>
      </c>
      <c r="P663" s="5" t="inlineStr">
        <is>
          <t>170</t>
        </is>
      </c>
      <c r="Q663" s="5" t="inlineStr">
        <is>
          <t>None detected</t>
        </is>
      </c>
    </row>
    <row r="664">
      <c r="A664" s="3" t="inlineStr">
        <is>
          <t>https://codesommet.com/web-development-company/marrakech</t>
        </is>
      </c>
      <c r="B664" s="5" t="inlineStr">
        <is>
          <t>Création Site Web Marrakech : votre Agence Web pour des sites qui génèrent LA CR</t>
        </is>
      </c>
      <c r="C664" t="inlineStr">
        <is>
          <t>Morocco</t>
        </is>
      </c>
      <c r="D664" t="inlineStr">
        <is>
          <t>ma</t>
        </is>
      </c>
      <c r="E664" t="inlineStr">
        <is>
          <t>SECONDARY</t>
        </is>
      </c>
      <c r="F664" t="inlineStr">
        <is>
          <t>agence digitale marrakech</t>
        </is>
      </c>
      <c r="G664" t="n">
        <v>140</v>
      </c>
      <c r="H664" t="inlineStr">
        <is>
          <t>NOT AVAILABLE</t>
        </is>
      </c>
      <c r="I664" t="n">
        <v>0.82</v>
      </c>
      <c r="J664" t="inlineStr">
        <is>
          <t>NOT AVAILABLE</t>
        </is>
      </c>
      <c r="K664" t="inlineStr">
        <is>
          <t>MEASURED</t>
        </is>
      </c>
      <c r="L664" t="inlineStr">
        <is>
          <t>P1</t>
        </is>
      </c>
      <c r="M664" t="n">
        <v>85</v>
      </c>
      <c r="N664">
        <f>ROUND(IF(IF(J664="NOT AVAILABLE","",J664)="",12,IF(OR(ISNUMBER(SEARCH("Transactional",IF(J664="NOT AVAILABLE","",J664))),ISNUMBER(SEARCH("Commercial",IF(J664="NOT AVAILABLE","",J664)))),25,IF(ISNUMBER(SEARCH("Informational",IF(J664="NOT AVAILABLE","",J664))),10,IF(ISNUMBER(SEARCH("Navigational",IF(J664="NOT AVAILABLE","",J664))),0,12))))+IF(ISNUMBER(G664),MIN(30,ROUND(30*LOG10(G664+1)/4,1)),0)+IF(ISNUMBER(H664),ROUND(25*(100-H664)/100,1),12.5)+20,0)</f>
        <v/>
      </c>
      <c r="O664">
        <f>ROUND(N664*M664/100,0)</f>
        <v/>
      </c>
      <c r="P664" s="5" t="inlineStr">
        <is>
          <t>140</t>
        </is>
      </c>
      <c r="Q664" s="5" t="inlineStr">
        <is>
          <t>None detected</t>
        </is>
      </c>
    </row>
    <row r="665">
      <c r="A665" s="3" t="inlineStr">
        <is>
          <t>https://codesommet.com/web-development-company/marrakech</t>
        </is>
      </c>
      <c r="B665" s="5" t="inlineStr">
        <is>
          <t>Création Site Web Marrakech : votre Agence Web pour des sites qui génèrent LA CR</t>
        </is>
      </c>
      <c r="C665" t="inlineStr">
        <is>
          <t>Morocco</t>
        </is>
      </c>
      <c r="D665" t="inlineStr">
        <is>
          <t>ma</t>
        </is>
      </c>
      <c r="E665" t="inlineStr">
        <is>
          <t>SECONDARY</t>
        </is>
      </c>
      <c r="F665" t="inlineStr">
        <is>
          <t>site web marrakech</t>
        </is>
      </c>
      <c r="G665" t="n">
        <v>90</v>
      </c>
      <c r="H665" t="inlineStr">
        <is>
          <t>NOT AVAILABLE</t>
        </is>
      </c>
      <c r="I665" t="n">
        <v>0.76</v>
      </c>
      <c r="J665" t="inlineStr">
        <is>
          <t>NOT AVAILABLE</t>
        </is>
      </c>
      <c r="K665" t="inlineStr">
        <is>
          <t>MEASURED</t>
        </is>
      </c>
      <c r="L665" t="inlineStr">
        <is>
          <t>P1</t>
        </is>
      </c>
      <c r="M665" t="n">
        <v>85</v>
      </c>
      <c r="N665">
        <f>ROUND(IF(IF(J665="NOT AVAILABLE","",J665)="",12,IF(OR(ISNUMBER(SEARCH("Transactional",IF(J665="NOT AVAILABLE","",J665))),ISNUMBER(SEARCH("Commercial",IF(J665="NOT AVAILABLE","",J665)))),25,IF(ISNUMBER(SEARCH("Informational",IF(J665="NOT AVAILABLE","",J665))),10,IF(ISNUMBER(SEARCH("Navigational",IF(J665="NOT AVAILABLE","",J665))),0,12))))+IF(ISNUMBER(G665),MIN(30,ROUND(30*LOG10(G665+1)/4,1)),0)+IF(ISNUMBER(H665),ROUND(25*(100-H665)/100,1),12.5)+20,0)</f>
        <v/>
      </c>
      <c r="O665">
        <f>ROUND(N665*M665/100,0)</f>
        <v/>
      </c>
      <c r="P665" s="5" t="inlineStr">
        <is>
          <t>90</t>
        </is>
      </c>
      <c r="Q665" s="5" t="inlineStr">
        <is>
          <t>None detected</t>
        </is>
      </c>
    </row>
    <row r="666">
      <c r="A666" s="3" t="inlineStr">
        <is>
          <t>https://codesommet.com/web-development-company/marrakech</t>
        </is>
      </c>
      <c r="B666" s="5" t="inlineStr">
        <is>
          <t>Création Site Web Marrakech : votre Agence Web pour des sites qui génèrent LA CR</t>
        </is>
      </c>
      <c r="C666" t="inlineStr">
        <is>
          <t>Morocco</t>
        </is>
      </c>
      <c r="D666" t="inlineStr">
        <is>
          <t>ma</t>
        </is>
      </c>
      <c r="E666" t="inlineStr">
        <is>
          <t>SUPPORTING</t>
        </is>
      </c>
      <c r="F666" t="inlineStr">
        <is>
          <t>développeur web marrakech</t>
        </is>
      </c>
      <c r="G666" t="n">
        <v>30</v>
      </c>
      <c r="H666" t="inlineStr">
        <is>
          <t>NOT AVAILABLE</t>
        </is>
      </c>
      <c r="I666" t="n">
        <v>0.75</v>
      </c>
      <c r="J666" t="inlineStr">
        <is>
          <t>NOT AVAILABLE</t>
        </is>
      </c>
      <c r="K666" t="inlineStr">
        <is>
          <t>MEASURED</t>
        </is>
      </c>
      <c r="L666" t="inlineStr">
        <is>
          <t>P3</t>
        </is>
      </c>
      <c r="M666" t="n">
        <v>65</v>
      </c>
      <c r="N666">
        <f>ROUND(IF(IF(J666="NOT AVAILABLE","",J666)="",12,IF(OR(ISNUMBER(SEARCH("Transactional",IF(J666="NOT AVAILABLE","",J666))),ISNUMBER(SEARCH("Commercial",IF(J666="NOT AVAILABLE","",J666)))),25,IF(ISNUMBER(SEARCH("Informational",IF(J666="NOT AVAILABLE","",J666))),10,IF(ISNUMBER(SEARCH("Navigational",IF(J666="NOT AVAILABLE","",J666))),0,12))))+IF(ISNUMBER(G666),MIN(30,ROUND(30*LOG10(G666+1)/4,1)),0)+IF(ISNUMBER(H666),ROUND(25*(100-H666)/100,1),12.5)+20,0)</f>
        <v/>
      </c>
      <c r="O666">
        <f>ROUND(N666*M666/100,0)</f>
        <v/>
      </c>
      <c r="P666" s="5" t="inlineStr">
        <is>
          <t>Semantic/supporting term for body copy</t>
        </is>
      </c>
      <c r="Q666" s="5" t="inlineStr">
        <is>
          <t>None detected</t>
        </is>
      </c>
    </row>
    <row r="667">
      <c r="A667" s="3" t="inlineStr">
        <is>
          <t>https://codesommet.com/web-development-company/marrakech</t>
        </is>
      </c>
      <c r="B667" s="5" t="inlineStr">
        <is>
          <t>Création Site Web Marrakech : votre Agence Web pour des sites qui génèrent LA CR</t>
        </is>
      </c>
      <c r="C667" t="inlineStr">
        <is>
          <t>Morocco</t>
        </is>
      </c>
      <c r="D667" t="inlineStr">
        <is>
          <t>ma</t>
        </is>
      </c>
      <c r="E667" t="inlineStr">
        <is>
          <t>SUPPORTING</t>
        </is>
      </c>
      <c r="F667" t="inlineStr">
        <is>
          <t>création de site web marrakech</t>
        </is>
      </c>
      <c r="G667" t="n">
        <v>30</v>
      </c>
      <c r="H667" t="inlineStr">
        <is>
          <t>NOT AVAILABLE</t>
        </is>
      </c>
      <c r="I667" t="n">
        <v>0.8100000000000001</v>
      </c>
      <c r="J667" t="inlineStr">
        <is>
          <t>NOT AVAILABLE</t>
        </is>
      </c>
      <c r="K667" t="inlineStr">
        <is>
          <t>MEASURED</t>
        </is>
      </c>
      <c r="L667" t="inlineStr">
        <is>
          <t>P3</t>
        </is>
      </c>
      <c r="M667" t="n">
        <v>65</v>
      </c>
      <c r="N667">
        <f>ROUND(IF(IF(J667="NOT AVAILABLE","",J667)="",12,IF(OR(ISNUMBER(SEARCH("Transactional",IF(J667="NOT AVAILABLE","",J667))),ISNUMBER(SEARCH("Commercial",IF(J667="NOT AVAILABLE","",J667)))),25,IF(ISNUMBER(SEARCH("Informational",IF(J667="NOT AVAILABLE","",J667))),10,IF(ISNUMBER(SEARCH("Navigational",IF(J667="NOT AVAILABLE","",J667))),0,12))))+IF(ISNUMBER(G667),MIN(30,ROUND(30*LOG10(G667+1)/4,1)),0)+IF(ISNUMBER(H667),ROUND(25*(100-H667)/100,1),12.5)+20,0)</f>
        <v/>
      </c>
      <c r="O667">
        <f>ROUND(N667*M667/100,0)</f>
        <v/>
      </c>
      <c r="P667" s="5" t="inlineStr">
        <is>
          <t>Semantic/supporting term for body copy</t>
        </is>
      </c>
      <c r="Q667" s="5" t="inlineStr">
        <is>
          <t>None detected</t>
        </is>
      </c>
    </row>
    <row r="668">
      <c r="A668" s="3" t="inlineStr">
        <is>
          <t>https://codesommet.com/web-development-company/marrakech</t>
        </is>
      </c>
      <c r="B668" s="5" t="inlineStr">
        <is>
          <t>Création Site Web Marrakech : votre Agence Web pour des sites qui génèrent LA CR</t>
        </is>
      </c>
      <c r="C668" t="inlineStr">
        <is>
          <t>Morocco</t>
        </is>
      </c>
      <c r="D668" t="inlineStr">
        <is>
          <t>ma</t>
        </is>
      </c>
      <c r="E668" t="inlineStr">
        <is>
          <t>SUPPORTING</t>
        </is>
      </c>
      <c r="F668" t="inlineStr">
        <is>
          <t>web agency marrakech</t>
        </is>
      </c>
      <c r="G668" t="n">
        <v>20</v>
      </c>
      <c r="H668" t="inlineStr">
        <is>
          <t>NOT AVAILABLE</t>
        </is>
      </c>
      <c r="I668" t="n">
        <v>0</v>
      </c>
      <c r="J668" t="inlineStr">
        <is>
          <t>NOT AVAILABLE</t>
        </is>
      </c>
      <c r="K668" t="inlineStr">
        <is>
          <t>MEASURED</t>
        </is>
      </c>
      <c r="L668" t="inlineStr">
        <is>
          <t>P3</t>
        </is>
      </c>
      <c r="M668" t="n">
        <v>65</v>
      </c>
      <c r="N668">
        <f>ROUND(IF(IF(J668="NOT AVAILABLE","",J668)="",12,IF(OR(ISNUMBER(SEARCH("Transactional",IF(J668="NOT AVAILABLE","",J668))),ISNUMBER(SEARCH("Commercial",IF(J668="NOT AVAILABLE","",J668)))),25,IF(ISNUMBER(SEARCH("Informational",IF(J668="NOT AVAILABLE","",J668))),10,IF(ISNUMBER(SEARCH("Navigational",IF(J668="NOT AVAILABLE","",J668))),0,12))))+IF(ISNUMBER(G668),MIN(30,ROUND(30*LOG10(G668+1)/4,1)),0)+IF(ISNUMBER(H668),ROUND(25*(100-H668)/100,1),12.5)+20,0)</f>
        <v/>
      </c>
      <c r="O668">
        <f>ROUND(N668*M668/100,0)</f>
        <v/>
      </c>
      <c r="P668" s="5" t="inlineStr">
        <is>
          <t>Semantic/supporting term for body copy</t>
        </is>
      </c>
      <c r="Q668" s="5" t="inlineStr">
        <is>
          <t>None detected</t>
        </is>
      </c>
    </row>
    <row r="669">
      <c r="A669" s="3" t="inlineStr">
        <is>
          <t>https://codesommet.com/web-development-company/marrakech</t>
        </is>
      </c>
      <c r="B669" s="5" t="inlineStr">
        <is>
          <t>Création Site Web Marrakech : votre Agence Web pour des sites qui génèrent LA CR</t>
        </is>
      </c>
      <c r="C669" t="inlineStr">
        <is>
          <t>Morocco</t>
        </is>
      </c>
      <c r="D669" t="inlineStr">
        <is>
          <t>ma</t>
        </is>
      </c>
      <c r="E669" t="inlineStr">
        <is>
          <t>NOT RECOMMENDED</t>
        </is>
      </c>
      <c r="F669" t="inlineStr">
        <is>
          <t>agence de communication marrakech</t>
        </is>
      </c>
      <c r="G669" t="n">
        <v>1000</v>
      </c>
      <c r="H669" t="n">
        <v>36</v>
      </c>
      <c r="I669" t="n">
        <v>0.47</v>
      </c>
      <c r="J669" t="inlineStr">
        <is>
          <t>Commercial</t>
        </is>
      </c>
      <c r="K669" t="inlineStr">
        <is>
          <t>MEASURED</t>
        </is>
      </c>
      <c r="L669" t="inlineStr">
        <is>
          <t>P4</t>
        </is>
      </c>
      <c r="M669" t="n">
        <v>0</v>
      </c>
      <c r="N669">
        <f>ROUND(IF(IF(J669="NOT AVAILABLE","",J669)="",12,IF(OR(ISNUMBER(SEARCH("Transactional",IF(J669="NOT AVAILABLE","",J669))),ISNUMBER(SEARCH("Commercial",IF(J669="NOT AVAILABLE","",J669)))),25,IF(ISNUMBER(SEARCH("Informational",IF(J669="NOT AVAILABLE","",J669))),10,IF(ISNUMBER(SEARCH("Navigational",IF(J669="NOT AVAILABLE","",J669))),0,12))))+IF(ISNUMBER(G669),MIN(30,ROUND(30*LOG10(G669+1)/4,1)),0)+IF(ISNUMBER(H669),ROUND(25*(100-H669)/100,1),12.5)+20,0)</f>
        <v/>
      </c>
      <c r="O669">
        <f>ROUND(N669*M669/100,0)</f>
        <v/>
      </c>
      <c r="P669" s="5" t="inlineStr">
        <is>
          <t>Service not offered by CodeSommet (communication / marketing agency intent) - traffic would not convert (1000)</t>
        </is>
      </c>
      <c r="Q669" s="5" t="inlineStr">
        <is>
          <t>n/a (not targeted)</t>
        </is>
      </c>
    </row>
    <row r="670">
      <c r="A670" s="3" t="inlineStr">
        <is>
          <t>https://codesommet.com/web-development-company/marrakech</t>
        </is>
      </c>
      <c r="B670" s="5" t="inlineStr">
        <is>
          <t>Création Site Web Marrakech : votre Agence Web pour des sites qui génèrent LA CR</t>
        </is>
      </c>
      <c r="C670" t="inlineStr">
        <is>
          <t>Morocco</t>
        </is>
      </c>
      <c r="D670" t="inlineStr">
        <is>
          <t>ma</t>
        </is>
      </c>
      <c r="E670" t="inlineStr">
        <is>
          <t>NOT RECOMMENDED</t>
        </is>
      </c>
      <c r="F670" t="inlineStr">
        <is>
          <t>agence seo marrakech</t>
        </is>
      </c>
      <c r="G670" t="n">
        <v>320</v>
      </c>
      <c r="H670" t="n">
        <v>20</v>
      </c>
      <c r="I670" t="n">
        <v>6.43</v>
      </c>
      <c r="J670" t="inlineStr">
        <is>
          <t>Commercial</t>
        </is>
      </c>
      <c r="K670" t="inlineStr">
        <is>
          <t>MEASURED</t>
        </is>
      </c>
      <c r="L670" t="inlineStr">
        <is>
          <t>P4</t>
        </is>
      </c>
      <c r="M670" t="n">
        <v>0</v>
      </c>
      <c r="N670">
        <f>ROUND(IF(IF(J670="NOT AVAILABLE","",J670)="",12,IF(OR(ISNUMBER(SEARCH("Transactional",IF(J670="NOT AVAILABLE","",J670))),ISNUMBER(SEARCH("Commercial",IF(J670="NOT AVAILABLE","",J670)))),25,IF(ISNUMBER(SEARCH("Informational",IF(J670="NOT AVAILABLE","",J670))),10,IF(ISNUMBER(SEARCH("Navigational",IF(J670="NOT AVAILABLE","",J670))),0,12))))+IF(ISNUMBER(G670),MIN(30,ROUND(30*LOG10(G670+1)/4,1)),0)+IF(ISNUMBER(H670),ROUND(25*(100-H670)/100,1),12.5)+20,0)</f>
        <v/>
      </c>
      <c r="O670">
        <f>ROUND(N670*M670/100,0)</f>
        <v/>
      </c>
      <c r="P670" s="5" t="inlineStr">
        <is>
          <t>Assigned to /services/seo-maroc (local section) - link with this anchor</t>
        </is>
      </c>
      <c r="Q670" s="5" t="inlineStr">
        <is>
          <t>n/a (not targeted)</t>
        </is>
      </c>
    </row>
    <row r="671">
      <c r="A671" s="3" t="inlineStr">
        <is>
          <t>https://codesommet.com/web-development-company/marrakech</t>
        </is>
      </c>
      <c r="B671" s="5" t="inlineStr">
        <is>
          <t>Création Site Web Marrakech : votre Agence Web pour des sites qui génèrent LA CR</t>
        </is>
      </c>
      <c r="C671" t="inlineStr">
        <is>
          <t>Morocco</t>
        </is>
      </c>
      <c r="D671" t="inlineStr">
        <is>
          <t>ma</t>
        </is>
      </c>
      <c r="E671" t="inlineStr">
        <is>
          <t>NOT RECOMMENDED</t>
        </is>
      </c>
      <c r="F671" t="inlineStr">
        <is>
          <t>agence marketing digital marrakech</t>
        </is>
      </c>
      <c r="G671" t="n">
        <v>210</v>
      </c>
      <c r="H671" t="inlineStr">
        <is>
          <t>NOT AVAILABLE</t>
        </is>
      </c>
      <c r="I671" t="n">
        <v>1.11</v>
      </c>
      <c r="J671" t="inlineStr">
        <is>
          <t>NOT AVAILABLE</t>
        </is>
      </c>
      <c r="K671" t="inlineStr">
        <is>
          <t>MEASURED</t>
        </is>
      </c>
      <c r="L671" t="inlineStr">
        <is>
          <t>P4</t>
        </is>
      </c>
      <c r="M671" t="n">
        <v>0</v>
      </c>
      <c r="N671">
        <f>ROUND(IF(IF(J671="NOT AVAILABLE","",J671)="",12,IF(OR(ISNUMBER(SEARCH("Transactional",IF(J671="NOT AVAILABLE","",J671))),ISNUMBER(SEARCH("Commercial",IF(J671="NOT AVAILABLE","",J671)))),25,IF(ISNUMBER(SEARCH("Informational",IF(J671="NOT AVAILABLE","",J671))),10,IF(ISNUMBER(SEARCH("Navigational",IF(J671="NOT AVAILABLE","",J671))),0,12))))+IF(ISNUMBER(G671),MIN(30,ROUND(30*LOG10(G671+1)/4,1)),0)+IF(ISNUMBER(H671),ROUND(25*(100-H671)/100,1),12.5)+20,0)</f>
        <v/>
      </c>
      <c r="O671">
        <f>ROUND(N671*M671/100,0)</f>
        <v/>
      </c>
      <c r="P671" s="5" t="inlineStr">
        <is>
          <t>Service not offered by CodeSommet (communication / marketing agency intent) - traffic would not convert (210)</t>
        </is>
      </c>
      <c r="Q671" s="5" t="inlineStr">
        <is>
          <t>n/a (not targeted)</t>
        </is>
      </c>
    </row>
    <row r="672">
      <c r="A672" s="3" t="inlineStr">
        <is>
          <t>https://codesommet.com/web-development-company/milan</t>
        </is>
      </c>
      <c r="B672" s="5" t="inlineStr">
        <is>
          <t>Développement Web à Milan, Italie : des sites web qui génèrent CROISSANCE COMMER</t>
        </is>
      </c>
      <c r="C672" t="inlineStr">
        <is>
          <t>Italy</t>
        </is>
      </c>
      <c r="D672" t="inlineStr">
        <is>
          <t>it</t>
        </is>
      </c>
      <c r="E672" t="inlineStr">
        <is>
          <t>PRIMARY</t>
        </is>
      </c>
      <c r="F672" t="inlineStr">
        <is>
          <t>développement web milan</t>
        </is>
      </c>
      <c r="G672" t="inlineStr">
        <is>
          <t>NOT AVAILABLE</t>
        </is>
      </c>
      <c r="H672" t="inlineStr">
        <is>
          <t>NOT AVAILABLE</t>
        </is>
      </c>
      <c r="I672" t="inlineStr">
        <is>
          <t>NOT AVAILABLE</t>
        </is>
      </c>
      <c r="J672" t="inlineStr">
        <is>
          <t>NOT AVAILABLE</t>
        </is>
      </c>
      <c r="K672" t="inlineStr">
        <is>
          <t>UNAVAILABLE</t>
        </is>
      </c>
      <c r="L672" t="inlineStr">
        <is>
          <t>P3</t>
        </is>
      </c>
      <c r="M672" t="n">
        <v>100</v>
      </c>
      <c r="N672">
        <f>ROUND(IF(IF(J672="NOT AVAILABLE","",J672)="",12,IF(OR(ISNUMBER(SEARCH("Transactional",IF(J672="NOT AVAILABLE","",J672))),ISNUMBER(SEARCH("Commercial",IF(J672="NOT AVAILABLE","",J672)))),25,IF(ISNUMBER(SEARCH("Informational",IF(J672="NOT AVAILABLE","",J672))),10,IF(ISNUMBER(SEARCH("Navigational",IF(J672="NOT AVAILABLE","",J672))),0,12))))+IF(ISNUMBER(G672),MIN(30,ROUND(30*LOG10(G672+1)/4,1)),0)+IF(ISNUMBER(H672),ROUND(25*(100-H672)/100,1),12.5)+3,0)</f>
        <v/>
      </c>
      <c r="O672">
        <f>ROUND(N672*M672/100,0)</f>
        <v/>
      </c>
      <c r="P672" s="5" t="inlineStr">
        <is>
          <t>Matches current H1; Semrush shows no/negligible French-language demand in this market</t>
        </is>
      </c>
      <c r="Q672" s="5" t="inlineStr">
        <is>
          <t>None detected</t>
        </is>
      </c>
    </row>
    <row r="673">
      <c r="A673" s="3" t="inlineStr">
        <is>
          <t>https://codesommet.com/web-development-company/milan</t>
        </is>
      </c>
      <c r="B673" s="5" t="inlineStr">
        <is>
          <t>Développement Web à Milan, Italie : des sites web qui génèrent CROISSANCE COMMER</t>
        </is>
      </c>
      <c r="C673" t="inlineStr">
        <is>
          <t>Italy</t>
        </is>
      </c>
      <c r="D673" t="inlineStr">
        <is>
          <t>it</t>
        </is>
      </c>
      <c r="E673" t="inlineStr">
        <is>
          <t>NOT RECOMMENDED</t>
        </is>
      </c>
      <c r="F673" t="inlineStr">
        <is>
          <t>sviluppo siti web milano</t>
        </is>
      </c>
      <c r="G673" t="n">
        <v>210</v>
      </c>
      <c r="H673" t="n">
        <v>23</v>
      </c>
      <c r="I673" t="n">
        <v>2.85</v>
      </c>
      <c r="J673" t="inlineStr">
        <is>
          <t>Commercial</t>
        </is>
      </c>
      <c r="K673" t="inlineStr">
        <is>
          <t>MEASURED</t>
        </is>
      </c>
      <c r="L673" t="inlineStr">
        <is>
          <t>P4</t>
        </is>
      </c>
      <c r="M673" t="n">
        <v>0</v>
      </c>
      <c r="N673">
        <f>ROUND(IF(IF(J673="NOT AVAILABLE","",J673)="",12,IF(OR(ISNUMBER(SEARCH("Transactional",IF(J673="NOT AVAILABLE","",J673))),ISNUMBER(SEARCH("Commercial",IF(J673="NOT AVAILABLE","",J673)))),25,IF(ISNUMBER(SEARCH("Informational",IF(J673="NOT AVAILABLE","",J673))),10,IF(ISNUMBER(SEARCH("Navigational",IF(J673="NOT AVAILABLE","",J673))),0,12))))+IF(ISNUMBER(G673),MIN(30,ROUND(30*LOG10(G673+1)/4,1)),0)+IF(ISNUMBER(H673),ROUND(25*(100-H673)/100,1),12.5)+3,0)</f>
        <v/>
      </c>
      <c r="O673">
        <f>ROUND(N673*M673/100,0)</f>
        <v/>
      </c>
      <c r="P673" s="5" t="inlineStr">
        <is>
          <t>Local-language demand (210) but the page is in French - language mismatch; see sheet 08</t>
        </is>
      </c>
      <c r="Q673" s="5" t="inlineStr">
        <is>
          <t>n/a (not targeted)</t>
        </is>
      </c>
    </row>
    <row r="674">
      <c r="A674" s="3" t="inlineStr">
        <is>
          <t>https://codesommet.com/web-development-company/new-york</t>
        </is>
      </c>
      <c r="B674" s="5" t="inlineStr">
        <is>
          <t>Développement Web à New York, États-Unis : des sites web qui génèrent Plateforme</t>
        </is>
      </c>
      <c r="C674" t="inlineStr">
        <is>
          <t>United States</t>
        </is>
      </c>
      <c r="D674" t="inlineStr">
        <is>
          <t>us</t>
        </is>
      </c>
      <c r="E674" t="inlineStr">
        <is>
          <t>PRIMARY</t>
        </is>
      </c>
      <c r="F674" t="inlineStr">
        <is>
          <t>développement web new york</t>
        </is>
      </c>
      <c r="G674" t="inlineStr">
        <is>
          <t>NOT AVAILABLE</t>
        </is>
      </c>
      <c r="H674" t="inlineStr">
        <is>
          <t>NOT AVAILABLE</t>
        </is>
      </c>
      <c r="I674" t="inlineStr">
        <is>
          <t>NOT AVAILABLE</t>
        </is>
      </c>
      <c r="J674" t="inlineStr">
        <is>
          <t>NOT AVAILABLE</t>
        </is>
      </c>
      <c r="K674" t="inlineStr">
        <is>
          <t>UNAVAILABLE</t>
        </is>
      </c>
      <c r="L674" t="inlineStr">
        <is>
          <t>P3</t>
        </is>
      </c>
      <c r="M674" t="n">
        <v>100</v>
      </c>
      <c r="N674">
        <f>ROUND(IF(IF(J674="NOT AVAILABLE","",J674)="",12,IF(OR(ISNUMBER(SEARCH("Transactional",IF(J674="NOT AVAILABLE","",J674))),ISNUMBER(SEARCH("Commercial",IF(J674="NOT AVAILABLE","",J674)))),25,IF(ISNUMBER(SEARCH("Informational",IF(J674="NOT AVAILABLE","",J674))),10,IF(ISNUMBER(SEARCH("Navigational",IF(J674="NOT AVAILABLE","",J674))),0,12))))+IF(ISNUMBER(G674),MIN(30,ROUND(30*LOG10(G674+1)/4,1)),0)+IF(ISNUMBER(H674),ROUND(25*(100-H674)/100,1),12.5)+3,0)</f>
        <v/>
      </c>
      <c r="O674">
        <f>ROUND(N674*M674/100,0)</f>
        <v/>
      </c>
      <c r="P674" s="5" t="inlineStr">
        <is>
          <t>Matches current H1; Semrush shows no/negligible French-language demand in this market</t>
        </is>
      </c>
      <c r="Q674" s="5" t="inlineStr">
        <is>
          <t>None detected</t>
        </is>
      </c>
    </row>
    <row r="675">
      <c r="A675" s="3" t="inlineStr">
        <is>
          <t>https://codesommet.com/web-development-company/new-york</t>
        </is>
      </c>
      <c r="B675" s="5" t="inlineStr">
        <is>
          <t>Développement Web à New York, États-Unis : des sites web qui génèrent Plateforme</t>
        </is>
      </c>
      <c r="C675" t="inlineStr">
        <is>
          <t>France</t>
        </is>
      </c>
      <c r="D675" t="inlineStr">
        <is>
          <t>fr</t>
        </is>
      </c>
      <c r="E675" t="inlineStr">
        <is>
          <t>OPTIONAL</t>
        </is>
      </c>
      <c r="F675" t="inlineStr">
        <is>
          <t>agence web new york</t>
        </is>
      </c>
      <c r="G675" t="n">
        <v>20</v>
      </c>
      <c r="H675" t="inlineStr">
        <is>
          <t>NOT AVAILABLE</t>
        </is>
      </c>
      <c r="I675" t="n">
        <v>0</v>
      </c>
      <c r="J675" t="inlineStr">
        <is>
          <t>NOT AVAILABLE</t>
        </is>
      </c>
      <c r="K675" t="inlineStr">
        <is>
          <t>MEASURED</t>
        </is>
      </c>
      <c r="L675" t="inlineStr">
        <is>
          <t>P4</t>
        </is>
      </c>
      <c r="M675" t="n">
        <v>45</v>
      </c>
      <c r="N675">
        <f>ROUND(IF(IF(J675="NOT AVAILABLE","",J675)="",12,IF(OR(ISNUMBER(SEARCH("Transactional",IF(J675="NOT AVAILABLE","",J675))),ISNUMBER(SEARCH("Commercial",IF(J675="NOT AVAILABLE","",J675)))),25,IF(ISNUMBER(SEARCH("Informational",IF(J675="NOT AVAILABLE","",J675))),10,IF(ISNUMBER(SEARCH("Navigational",IF(J675="NOT AVAILABLE","",J675))),0,12))))+IF(ISNUMBER(G675),MIN(30,ROUND(30*LOG10(G675+1)/4,1)),0)+IF(ISNUMBER(H675),ROUND(25*(100-H675)/100,1),12.5)+14,0)</f>
        <v/>
      </c>
      <c r="O675">
        <f>ROUND(N675*M675/100,0)</f>
        <v/>
      </c>
      <c r="P675" s="5" t="inlineStr">
        <is>
          <t>French searchers in France looking for a provider in this city</t>
        </is>
      </c>
      <c r="Q675" s="5" t="inlineStr">
        <is>
          <t>None detected</t>
        </is>
      </c>
    </row>
    <row r="676">
      <c r="A676" s="3" t="inlineStr">
        <is>
          <t>https://codesommet.com/web-development-company/new-york</t>
        </is>
      </c>
      <c r="B676" s="5" t="inlineStr">
        <is>
          <t>Développement Web à New York, États-Unis : des sites web qui génèrent Plateforme</t>
        </is>
      </c>
      <c r="C676" t="inlineStr">
        <is>
          <t>United States</t>
        </is>
      </c>
      <c r="D676" t="inlineStr">
        <is>
          <t>us</t>
        </is>
      </c>
      <c r="E676" t="inlineStr">
        <is>
          <t>NOT RECOMMENDED</t>
        </is>
      </c>
      <c r="F676" t="inlineStr">
        <is>
          <t>web development company new york</t>
        </is>
      </c>
      <c r="G676" t="n">
        <v>720</v>
      </c>
      <c r="H676" t="n">
        <v>35</v>
      </c>
      <c r="I676" t="n">
        <v>0</v>
      </c>
      <c r="J676" t="inlineStr">
        <is>
          <t>Commercial</t>
        </is>
      </c>
      <c r="K676" t="inlineStr">
        <is>
          <t>MEASURED</t>
        </is>
      </c>
      <c r="L676" t="inlineStr">
        <is>
          <t>P4</t>
        </is>
      </c>
      <c r="M676" t="n">
        <v>0</v>
      </c>
      <c r="N676">
        <f>ROUND(IF(IF(J676="NOT AVAILABLE","",J676)="",12,IF(OR(ISNUMBER(SEARCH("Transactional",IF(J676="NOT AVAILABLE","",J676))),ISNUMBER(SEARCH("Commercial",IF(J676="NOT AVAILABLE","",J676)))),25,IF(ISNUMBER(SEARCH("Informational",IF(J676="NOT AVAILABLE","",J676))),10,IF(ISNUMBER(SEARCH("Navigational",IF(J676="NOT AVAILABLE","",J676))),0,12))))+IF(ISNUMBER(G676),MIN(30,ROUND(30*LOG10(G676+1)/4,1)),0)+IF(ISNUMBER(H676),ROUND(25*(100-H676)/100,1),12.5)+3,0)</f>
        <v/>
      </c>
      <c r="O676">
        <f>ROUND(N676*M676/100,0)</f>
        <v/>
      </c>
      <c r="P676" s="5" t="inlineStr">
        <is>
          <t>Local-language demand (720) but the page is in French - language mismatch; see sheet 08</t>
        </is>
      </c>
      <c r="Q676" s="5" t="inlineStr">
        <is>
          <t>n/a (not targeted)</t>
        </is>
      </c>
    </row>
    <row r="677">
      <c r="A677" s="3" t="inlineStr">
        <is>
          <t>https://codesommet.com/web-development-company/paris</t>
        </is>
      </c>
      <c r="B677" s="5" t="inlineStr">
        <is>
          <t xml:space="preserve">Développement Web à Paris, France : des sites web qui génèrent Tableaux de Bord </t>
        </is>
      </c>
      <c r="C677" t="inlineStr">
        <is>
          <t>France</t>
        </is>
      </c>
      <c r="D677" t="inlineStr">
        <is>
          <t>fr</t>
        </is>
      </c>
      <c r="E677" t="inlineStr">
        <is>
          <t>PRIMARY</t>
        </is>
      </c>
      <c r="F677" t="inlineStr">
        <is>
          <t>développement web paris</t>
        </is>
      </c>
      <c r="G677" t="n">
        <v>260</v>
      </c>
      <c r="H677" t="n">
        <v>31</v>
      </c>
      <c r="I677" t="n">
        <v>2.07</v>
      </c>
      <c r="J677" t="inlineStr">
        <is>
          <t>Commercial</t>
        </is>
      </c>
      <c r="K677" t="inlineStr">
        <is>
          <t>MEASURED</t>
        </is>
      </c>
      <c r="L677" t="inlineStr">
        <is>
          <t>P3</t>
        </is>
      </c>
      <c r="M677" t="n">
        <v>100</v>
      </c>
      <c r="N677">
        <f>ROUND(IF(IF(J677="NOT AVAILABLE","",J677)="",12,IF(OR(ISNUMBER(SEARCH("Transactional",IF(J677="NOT AVAILABLE","",J677))),ISNUMBER(SEARCH("Commercial",IF(J677="NOT AVAILABLE","",J677)))),25,IF(ISNUMBER(SEARCH("Informational",IF(J677="NOT AVAILABLE","",J677))),10,IF(ISNUMBER(SEARCH("Navigational",IF(J677="NOT AVAILABLE","",J677))),0,12))))+IF(ISNUMBER(G677),MIN(30,ROUND(30*LOG10(G677+1)/4,1)),0)+IF(ISNUMBER(H677),ROUND(25*(100-H677)/100,1),12.5)+14,0)</f>
        <v/>
      </c>
      <c r="O677">
        <f>ROUND(N677*M677/100,0)</f>
        <v/>
      </c>
      <c r="P677" s="5" t="inlineStr">
        <is>
          <t>Matches current H1 (FR 260, KD 31); Paris is a francophone market</t>
        </is>
      </c>
      <c r="Q677" s="5" t="inlineStr">
        <is>
          <t>None detected</t>
        </is>
      </c>
    </row>
    <row r="678">
      <c r="A678" s="3" t="inlineStr">
        <is>
          <t>https://codesommet.com/web-development-company/paris</t>
        </is>
      </c>
      <c r="B678" s="5" t="inlineStr">
        <is>
          <t xml:space="preserve">Développement Web à Paris, France : des sites web qui génèrent Tableaux de Bord </t>
        </is>
      </c>
      <c r="C678" t="inlineStr">
        <is>
          <t>France</t>
        </is>
      </c>
      <c r="D678" t="inlineStr">
        <is>
          <t>fr</t>
        </is>
      </c>
      <c r="E678" t="inlineStr">
        <is>
          <t>SECONDARY</t>
        </is>
      </c>
      <c r="F678" t="inlineStr">
        <is>
          <t>création site web paris</t>
        </is>
      </c>
      <c r="G678" t="n">
        <v>320</v>
      </c>
      <c r="H678" t="n">
        <v>28</v>
      </c>
      <c r="I678" t="n">
        <v>1.68</v>
      </c>
      <c r="J678" t="inlineStr">
        <is>
          <t>Commercial</t>
        </is>
      </c>
      <c r="K678" t="inlineStr">
        <is>
          <t>MEASURED</t>
        </is>
      </c>
      <c r="L678" t="inlineStr">
        <is>
          <t>P3</t>
        </is>
      </c>
      <c r="M678" t="n">
        <v>85</v>
      </c>
      <c r="N678">
        <f>ROUND(IF(IF(J678="NOT AVAILABLE","",J678)="",12,IF(OR(ISNUMBER(SEARCH("Transactional",IF(J678="NOT AVAILABLE","",J678))),ISNUMBER(SEARCH("Commercial",IF(J678="NOT AVAILABLE","",J678)))),25,IF(ISNUMBER(SEARCH("Informational",IF(J678="NOT AVAILABLE","",J678))),10,IF(ISNUMBER(SEARCH("Navigational",IF(J678="NOT AVAILABLE","",J678))),0,12))))+IF(ISNUMBER(G678),MIN(30,ROUND(30*LOG10(G678+1)/4,1)),0)+IF(ISNUMBER(H678),ROUND(25*(100-H678)/100,1),12.5)+14,0)</f>
        <v/>
      </c>
      <c r="O678">
        <f>ROUND(N678*M678/100,0)</f>
        <v/>
      </c>
      <c r="P678" s="5" t="inlineStr">
        <is>
          <t>FR 320, KD 28</t>
        </is>
      </c>
      <c r="Q678" s="5" t="inlineStr">
        <is>
          <t>None detected</t>
        </is>
      </c>
    </row>
    <row r="679">
      <c r="A679" s="3" t="inlineStr">
        <is>
          <t>https://codesommet.com/web-development-company/paris</t>
        </is>
      </c>
      <c r="B679" s="5" t="inlineStr">
        <is>
          <t xml:space="preserve">Développement Web à Paris, France : des sites web qui génèrent Tableaux de Bord </t>
        </is>
      </c>
      <c r="C679" t="inlineStr">
        <is>
          <t>France</t>
        </is>
      </c>
      <c r="D679" t="inlineStr">
        <is>
          <t>fr</t>
        </is>
      </c>
      <c r="E679" t="inlineStr">
        <is>
          <t>OPTIONAL</t>
        </is>
      </c>
      <c r="F679" t="inlineStr">
        <is>
          <t>agence web paris</t>
        </is>
      </c>
      <c r="G679" t="n">
        <v>3600</v>
      </c>
      <c r="H679" t="n">
        <v>36</v>
      </c>
      <c r="I679" t="n">
        <v>2.99</v>
      </c>
      <c r="J679" t="inlineStr">
        <is>
          <t>NOT AVAILABLE</t>
        </is>
      </c>
      <c r="K679" t="inlineStr">
        <is>
          <t>MEASURED</t>
        </is>
      </c>
      <c r="L679" t="inlineStr">
        <is>
          <t>P4</t>
        </is>
      </c>
      <c r="M679" t="n">
        <v>45</v>
      </c>
      <c r="N679">
        <f>ROUND(IF(IF(J679="NOT AVAILABLE","",J679)="",12,IF(OR(ISNUMBER(SEARCH("Transactional",IF(J679="NOT AVAILABLE","",J679))),ISNUMBER(SEARCH("Commercial",IF(J679="NOT AVAILABLE","",J679)))),25,IF(ISNUMBER(SEARCH("Informational",IF(J679="NOT AVAILABLE","",J679))),10,IF(ISNUMBER(SEARCH("Navigational",IF(J679="NOT AVAILABLE","",J679))),0,12))))+IF(ISNUMBER(G679),MIN(30,ROUND(30*LOG10(G679+1)/4,1)),0)+IF(ISNUMBER(H679),ROUND(25*(100-H679)/100,1),12.5)+14,0)</f>
        <v/>
      </c>
      <c r="O679">
        <f>ROUND(N679*M679/100,0)</f>
        <v/>
      </c>
      <c r="P679" s="5" t="inlineStr">
        <is>
          <t>FR 3600, KD 36 - very competitive local head term; physical-presence expectation</t>
        </is>
      </c>
      <c r="Q679" s="5" t="inlineStr">
        <is>
          <t>None detected</t>
        </is>
      </c>
    </row>
    <row r="680">
      <c r="A680" s="3" t="inlineStr">
        <is>
          <t>https://codesommet.com/web-development-company/rabat</t>
        </is>
      </c>
      <c r="B680" s="5" t="inlineStr">
        <is>
          <t>Agence Web Rabat : Création de Sites qui génèrent LA CROISSANCE COMMERCIALE À RA</t>
        </is>
      </c>
      <c r="C680" t="inlineStr">
        <is>
          <t>Morocco</t>
        </is>
      </c>
      <c r="D680" t="inlineStr">
        <is>
          <t>ma</t>
        </is>
      </c>
      <c r="E680" t="inlineStr">
        <is>
          <t>PRIMARY</t>
        </is>
      </c>
      <c r="F680" t="inlineStr">
        <is>
          <t>agence web rabat</t>
        </is>
      </c>
      <c r="G680" t="n">
        <v>260</v>
      </c>
      <c r="H680" t="inlineStr">
        <is>
          <t>NOT AVAILABLE</t>
        </is>
      </c>
      <c r="I680" t="n">
        <v>0.8</v>
      </c>
      <c r="J680" t="inlineStr">
        <is>
          <t>NOT AVAILABLE</t>
        </is>
      </c>
      <c r="K680" t="inlineStr">
        <is>
          <t>MEASURED</t>
        </is>
      </c>
      <c r="L680" t="inlineStr">
        <is>
          <t>P1</t>
        </is>
      </c>
      <c r="M680" t="n">
        <v>100</v>
      </c>
      <c r="N680">
        <f>ROUND(IF(IF(J680="NOT AVAILABLE","",J680)="",12,IF(OR(ISNUMBER(SEARCH("Transactional",IF(J680="NOT AVAILABLE","",J680))),ISNUMBER(SEARCH("Commercial",IF(J680="NOT AVAILABLE","",J680)))),25,IF(ISNUMBER(SEARCH("Informational",IF(J680="NOT AVAILABLE","",J680))),10,IF(ISNUMBER(SEARCH("Navigational",IF(J680="NOT AVAILABLE","",J680))),0,12))))+IF(ISNUMBER(G680),MIN(30,ROUND(30*LOG10(G680+1)/4,1)),0)+IF(ISNUMBER(H680),ROUND(25*(100-H680)/100,1),12.5)+20,0)</f>
        <v/>
      </c>
      <c r="O680">
        <f>ROUND(N680*M680/100,0)</f>
        <v/>
      </c>
      <c r="P680" s="5" t="inlineStr">
        <is>
          <t>MA 260 - city head term; title aligned</t>
        </is>
      </c>
      <c r="Q680" s="5" t="inlineStr">
        <is>
          <t>None detected</t>
        </is>
      </c>
    </row>
    <row r="681">
      <c r="A681" s="3" t="inlineStr">
        <is>
          <t>https://codesommet.com/web-development-company/rabat</t>
        </is>
      </c>
      <c r="B681" s="5" t="inlineStr">
        <is>
          <t>Agence Web Rabat : Création de Sites qui génèrent LA CROISSANCE COMMERCIALE À RA</t>
        </is>
      </c>
      <c r="C681" t="inlineStr">
        <is>
          <t>Morocco</t>
        </is>
      </c>
      <c r="D681" t="inlineStr">
        <is>
          <t>ma</t>
        </is>
      </c>
      <c r="E681" t="inlineStr">
        <is>
          <t>SECONDARY</t>
        </is>
      </c>
      <c r="F681" t="inlineStr">
        <is>
          <t>agence digitale rabat</t>
        </is>
      </c>
      <c r="G681" t="n">
        <v>170</v>
      </c>
      <c r="H681" t="inlineStr">
        <is>
          <t>NOT AVAILABLE</t>
        </is>
      </c>
      <c r="I681" t="n">
        <v>0.54</v>
      </c>
      <c r="J681" t="inlineStr">
        <is>
          <t>NOT AVAILABLE</t>
        </is>
      </c>
      <c r="K681" t="inlineStr">
        <is>
          <t>MEASURED</t>
        </is>
      </c>
      <c r="L681" t="inlineStr">
        <is>
          <t>P1</t>
        </is>
      </c>
      <c r="M681" t="n">
        <v>85</v>
      </c>
      <c r="N681">
        <f>ROUND(IF(IF(J681="NOT AVAILABLE","",J681)="",12,IF(OR(ISNUMBER(SEARCH("Transactional",IF(J681="NOT AVAILABLE","",J681))),ISNUMBER(SEARCH("Commercial",IF(J681="NOT AVAILABLE","",J681)))),25,IF(ISNUMBER(SEARCH("Informational",IF(J681="NOT AVAILABLE","",J681))),10,IF(ISNUMBER(SEARCH("Navigational",IF(J681="NOT AVAILABLE","",J681))),0,12))))+IF(ISNUMBER(G681),MIN(30,ROUND(30*LOG10(G681+1)/4,1)),0)+IF(ISNUMBER(H681),ROUND(25*(100-H681)/100,1),12.5)+20,0)</f>
        <v/>
      </c>
      <c r="O681">
        <f>ROUND(N681*M681/100,0)</f>
        <v/>
      </c>
      <c r="P681" s="5" t="inlineStr">
        <is>
          <t>170</t>
        </is>
      </c>
      <c r="Q681" s="5" t="inlineStr">
        <is>
          <t>None detected</t>
        </is>
      </c>
    </row>
    <row r="682">
      <c r="A682" s="3" t="inlineStr">
        <is>
          <t>https://codesommet.com/web-development-company/rabat</t>
        </is>
      </c>
      <c r="B682" s="5" t="inlineStr">
        <is>
          <t>Agence Web Rabat : Création de Sites qui génèrent LA CROISSANCE COMMERCIALE À RA</t>
        </is>
      </c>
      <c r="C682" t="inlineStr">
        <is>
          <t>Morocco</t>
        </is>
      </c>
      <c r="D682" t="inlineStr">
        <is>
          <t>ma</t>
        </is>
      </c>
      <c r="E682" t="inlineStr">
        <is>
          <t>SECONDARY</t>
        </is>
      </c>
      <c r="F682" t="inlineStr">
        <is>
          <t>création site web rabat</t>
        </is>
      </c>
      <c r="G682" t="n">
        <v>140</v>
      </c>
      <c r="H682" t="inlineStr">
        <is>
          <t>NOT AVAILABLE</t>
        </is>
      </c>
      <c r="I682" t="n">
        <v>0.67</v>
      </c>
      <c r="J682" t="inlineStr">
        <is>
          <t>NOT AVAILABLE</t>
        </is>
      </c>
      <c r="K682" t="inlineStr">
        <is>
          <t>MEASURED</t>
        </is>
      </c>
      <c r="L682" t="inlineStr">
        <is>
          <t>P1</t>
        </is>
      </c>
      <c r="M682" t="n">
        <v>85</v>
      </c>
      <c r="N682">
        <f>ROUND(IF(IF(J682="NOT AVAILABLE","",J682)="",12,IF(OR(ISNUMBER(SEARCH("Transactional",IF(J682="NOT AVAILABLE","",J682))),ISNUMBER(SEARCH("Commercial",IF(J682="NOT AVAILABLE","",J682)))),25,IF(ISNUMBER(SEARCH("Informational",IF(J682="NOT AVAILABLE","",J682))),10,IF(ISNUMBER(SEARCH("Navigational",IF(J682="NOT AVAILABLE","",J682))),0,12))))+IF(ISNUMBER(G682),MIN(30,ROUND(30*LOG10(G682+1)/4,1)),0)+IF(ISNUMBER(H682),ROUND(25*(100-H682)/100,1),12.5)+20,0)</f>
        <v/>
      </c>
      <c r="O682">
        <f>ROUND(N682*M682/100,0)</f>
        <v/>
      </c>
      <c r="P682" s="5" t="inlineStr">
        <is>
          <t>140</t>
        </is>
      </c>
      <c r="Q682" s="5" t="inlineStr">
        <is>
          <t>None detected</t>
        </is>
      </c>
    </row>
    <row r="683">
      <c r="A683" s="3" t="inlineStr">
        <is>
          <t>https://codesommet.com/web-development-company/rabat</t>
        </is>
      </c>
      <c r="B683" s="5" t="inlineStr">
        <is>
          <t>Agence Web Rabat : Création de Sites qui génèrent LA CROISSANCE COMMERCIALE À RA</t>
        </is>
      </c>
      <c r="C683" t="inlineStr">
        <is>
          <t>Morocco</t>
        </is>
      </c>
      <c r="D683" t="inlineStr">
        <is>
          <t>ma</t>
        </is>
      </c>
      <c r="E683" t="inlineStr">
        <is>
          <t>SUPPORTING</t>
        </is>
      </c>
      <c r="F683" t="inlineStr">
        <is>
          <t>création site internet rabat</t>
        </is>
      </c>
      <c r="G683" t="n">
        <v>20</v>
      </c>
      <c r="H683" t="inlineStr">
        <is>
          <t>NOT AVAILABLE</t>
        </is>
      </c>
      <c r="I683" t="n">
        <v>0</v>
      </c>
      <c r="J683" t="inlineStr">
        <is>
          <t>NOT AVAILABLE</t>
        </is>
      </c>
      <c r="K683" t="inlineStr">
        <is>
          <t>MEASURED</t>
        </is>
      </c>
      <c r="L683" t="inlineStr">
        <is>
          <t>P3</t>
        </is>
      </c>
      <c r="M683" t="n">
        <v>65</v>
      </c>
      <c r="N683">
        <f>ROUND(IF(IF(J683="NOT AVAILABLE","",J683)="",12,IF(OR(ISNUMBER(SEARCH("Transactional",IF(J683="NOT AVAILABLE","",J683))),ISNUMBER(SEARCH("Commercial",IF(J683="NOT AVAILABLE","",J683)))),25,IF(ISNUMBER(SEARCH("Informational",IF(J683="NOT AVAILABLE","",J683))),10,IF(ISNUMBER(SEARCH("Navigational",IF(J683="NOT AVAILABLE","",J683))),0,12))))+IF(ISNUMBER(G683),MIN(30,ROUND(30*LOG10(G683+1)/4,1)),0)+IF(ISNUMBER(H683),ROUND(25*(100-H683)/100,1),12.5)+20,0)</f>
        <v/>
      </c>
      <c r="O683">
        <f>ROUND(N683*M683/100,0)</f>
        <v/>
      </c>
      <c r="P683" s="5" t="inlineStr">
        <is>
          <t>Semantic/supporting term for body copy</t>
        </is>
      </c>
      <c r="Q683" s="5" t="inlineStr">
        <is>
          <t>None detected</t>
        </is>
      </c>
    </row>
    <row r="684">
      <c r="A684" s="3" t="inlineStr">
        <is>
          <t>https://codesommet.com/web-development-company/rabat</t>
        </is>
      </c>
      <c r="B684" s="5" t="inlineStr">
        <is>
          <t>Agence Web Rabat : Création de Sites qui génèrent LA CROISSANCE COMMERCIALE À RA</t>
        </is>
      </c>
      <c r="C684" t="inlineStr">
        <is>
          <t>Morocco</t>
        </is>
      </c>
      <c r="D684" t="inlineStr">
        <is>
          <t>ma</t>
        </is>
      </c>
      <c r="E684" t="inlineStr">
        <is>
          <t>SUPPORTING</t>
        </is>
      </c>
      <c r="F684" t="inlineStr">
        <is>
          <t>développeur web rabat</t>
        </is>
      </c>
      <c r="G684" t="n">
        <v>20</v>
      </c>
      <c r="H684" t="inlineStr">
        <is>
          <t>NOT AVAILABLE</t>
        </is>
      </c>
      <c r="I684" t="n">
        <v>0</v>
      </c>
      <c r="J684" t="inlineStr">
        <is>
          <t>NOT AVAILABLE</t>
        </is>
      </c>
      <c r="K684" t="inlineStr">
        <is>
          <t>MEASURED</t>
        </is>
      </c>
      <c r="L684" t="inlineStr">
        <is>
          <t>P3</t>
        </is>
      </c>
      <c r="M684" t="n">
        <v>65</v>
      </c>
      <c r="N684">
        <f>ROUND(IF(IF(J684="NOT AVAILABLE","",J684)="",12,IF(OR(ISNUMBER(SEARCH("Transactional",IF(J684="NOT AVAILABLE","",J684))),ISNUMBER(SEARCH("Commercial",IF(J684="NOT AVAILABLE","",J684)))),25,IF(ISNUMBER(SEARCH("Informational",IF(J684="NOT AVAILABLE","",J684))),10,IF(ISNUMBER(SEARCH("Navigational",IF(J684="NOT AVAILABLE","",J684))),0,12))))+IF(ISNUMBER(G684),MIN(30,ROUND(30*LOG10(G684+1)/4,1)),0)+IF(ISNUMBER(H684),ROUND(25*(100-H684)/100,1),12.5)+20,0)</f>
        <v/>
      </c>
      <c r="O684">
        <f>ROUND(N684*M684/100,0)</f>
        <v/>
      </c>
      <c r="P684" s="5" t="inlineStr">
        <is>
          <t>Semantic/supporting term for body copy</t>
        </is>
      </c>
      <c r="Q684" s="5" t="inlineStr">
        <is>
          <t>None detected</t>
        </is>
      </c>
    </row>
    <row r="685">
      <c r="A685" s="3" t="inlineStr">
        <is>
          <t>https://codesommet.com/web-development-company/rabat</t>
        </is>
      </c>
      <c r="B685" s="5" t="inlineStr">
        <is>
          <t>Agence Web Rabat : Création de Sites qui génèrent LA CROISSANCE COMMERCIALE À RA</t>
        </is>
      </c>
      <c r="C685" t="inlineStr">
        <is>
          <t>Morocco</t>
        </is>
      </c>
      <c r="D685" t="inlineStr">
        <is>
          <t>ma</t>
        </is>
      </c>
      <c r="E685" t="inlineStr">
        <is>
          <t>SUPPORTING</t>
        </is>
      </c>
      <c r="F685" t="inlineStr">
        <is>
          <t>site web rabat</t>
        </is>
      </c>
      <c r="G685" t="n">
        <v>20</v>
      </c>
      <c r="H685" t="inlineStr">
        <is>
          <t>NOT AVAILABLE</t>
        </is>
      </c>
      <c r="I685" t="n">
        <v>0</v>
      </c>
      <c r="J685" t="inlineStr">
        <is>
          <t>NOT AVAILABLE</t>
        </is>
      </c>
      <c r="K685" t="inlineStr">
        <is>
          <t>MEASURED</t>
        </is>
      </c>
      <c r="L685" t="inlineStr">
        <is>
          <t>P3</t>
        </is>
      </c>
      <c r="M685" t="n">
        <v>65</v>
      </c>
      <c r="N685">
        <f>ROUND(IF(IF(J685="NOT AVAILABLE","",J685)="",12,IF(OR(ISNUMBER(SEARCH("Transactional",IF(J685="NOT AVAILABLE","",J685))),ISNUMBER(SEARCH("Commercial",IF(J685="NOT AVAILABLE","",J685)))),25,IF(ISNUMBER(SEARCH("Informational",IF(J685="NOT AVAILABLE","",J685))),10,IF(ISNUMBER(SEARCH("Navigational",IF(J685="NOT AVAILABLE","",J685))),0,12))))+IF(ISNUMBER(G685),MIN(30,ROUND(30*LOG10(G685+1)/4,1)),0)+IF(ISNUMBER(H685),ROUND(25*(100-H685)/100,1),12.5)+20,0)</f>
        <v/>
      </c>
      <c r="O685">
        <f>ROUND(N685*M685/100,0)</f>
        <v/>
      </c>
      <c r="P685" s="5" t="inlineStr">
        <is>
          <t>Semantic/supporting term for body copy</t>
        </is>
      </c>
      <c r="Q685" s="5" t="inlineStr">
        <is>
          <t>None detected</t>
        </is>
      </c>
    </row>
    <row r="686">
      <c r="A686" s="3" t="inlineStr">
        <is>
          <t>https://codesommet.com/web-development-company/rabat</t>
        </is>
      </c>
      <c r="B686" s="5" t="inlineStr">
        <is>
          <t>Agence Web Rabat : Création de Sites qui génèrent LA CROISSANCE COMMERCIALE À RA</t>
        </is>
      </c>
      <c r="C686" t="inlineStr">
        <is>
          <t>Morocco</t>
        </is>
      </c>
      <c r="D686" t="inlineStr">
        <is>
          <t>ma</t>
        </is>
      </c>
      <c r="E686" t="inlineStr">
        <is>
          <t>SUPPORTING</t>
        </is>
      </c>
      <c r="F686" t="inlineStr">
        <is>
          <t>création de site web rabat</t>
        </is>
      </c>
      <c r="G686" t="n">
        <v>20</v>
      </c>
      <c r="H686" t="inlineStr">
        <is>
          <t>NOT AVAILABLE</t>
        </is>
      </c>
      <c r="I686" t="n">
        <v>0.55</v>
      </c>
      <c r="J686" t="inlineStr">
        <is>
          <t>NOT AVAILABLE</t>
        </is>
      </c>
      <c r="K686" t="inlineStr">
        <is>
          <t>MEASURED</t>
        </is>
      </c>
      <c r="L686" t="inlineStr">
        <is>
          <t>P3</t>
        </is>
      </c>
      <c r="M686" t="n">
        <v>65</v>
      </c>
      <c r="N686">
        <f>ROUND(IF(IF(J686="NOT AVAILABLE","",J686)="",12,IF(OR(ISNUMBER(SEARCH("Transactional",IF(J686="NOT AVAILABLE","",J686))),ISNUMBER(SEARCH("Commercial",IF(J686="NOT AVAILABLE","",J686)))),25,IF(ISNUMBER(SEARCH("Informational",IF(J686="NOT AVAILABLE","",J686))),10,IF(ISNUMBER(SEARCH("Navigational",IF(J686="NOT AVAILABLE","",J686))),0,12))))+IF(ISNUMBER(G686),MIN(30,ROUND(30*LOG10(G686+1)/4,1)),0)+IF(ISNUMBER(H686),ROUND(25*(100-H686)/100,1),12.5)+20,0)</f>
        <v/>
      </c>
      <c r="O686">
        <f>ROUND(N686*M686/100,0)</f>
        <v/>
      </c>
      <c r="P686" s="5" t="inlineStr">
        <is>
          <t>Semantic/supporting term for body copy</t>
        </is>
      </c>
      <c r="Q686" s="5" t="inlineStr">
        <is>
          <t>None detected</t>
        </is>
      </c>
    </row>
    <row r="687">
      <c r="A687" s="3" t="inlineStr">
        <is>
          <t>https://codesommet.com/web-development-company/rabat</t>
        </is>
      </c>
      <c r="B687" s="5" t="inlineStr">
        <is>
          <t>Agence Web Rabat : Création de Sites qui génèrent LA CROISSANCE COMMERCIALE À RA</t>
        </is>
      </c>
      <c r="C687" t="inlineStr">
        <is>
          <t>Morocco</t>
        </is>
      </c>
      <c r="D687" t="inlineStr">
        <is>
          <t>ma</t>
        </is>
      </c>
      <c r="E687" t="inlineStr">
        <is>
          <t>NOT RECOMMENDED</t>
        </is>
      </c>
      <c r="F687" t="inlineStr">
        <is>
          <t>agence de communication rabat</t>
        </is>
      </c>
      <c r="G687" t="n">
        <v>390</v>
      </c>
      <c r="H687" t="n">
        <v>26</v>
      </c>
      <c r="I687" t="n">
        <v>0.92</v>
      </c>
      <c r="J687" t="inlineStr">
        <is>
          <t>Commercial</t>
        </is>
      </c>
      <c r="K687" t="inlineStr">
        <is>
          <t>MEASURED</t>
        </is>
      </c>
      <c r="L687" t="inlineStr">
        <is>
          <t>P4</t>
        </is>
      </c>
      <c r="M687" t="n">
        <v>0</v>
      </c>
      <c r="N687">
        <f>ROUND(IF(IF(J687="NOT AVAILABLE","",J687)="",12,IF(OR(ISNUMBER(SEARCH("Transactional",IF(J687="NOT AVAILABLE","",J687))),ISNUMBER(SEARCH("Commercial",IF(J687="NOT AVAILABLE","",J687)))),25,IF(ISNUMBER(SEARCH("Informational",IF(J687="NOT AVAILABLE","",J687))),10,IF(ISNUMBER(SEARCH("Navigational",IF(J687="NOT AVAILABLE","",J687))),0,12))))+IF(ISNUMBER(G687),MIN(30,ROUND(30*LOG10(G687+1)/4,1)),0)+IF(ISNUMBER(H687),ROUND(25*(100-H687)/100,1),12.5)+20,0)</f>
        <v/>
      </c>
      <c r="O687">
        <f>ROUND(N687*M687/100,0)</f>
        <v/>
      </c>
      <c r="P687" s="5" t="inlineStr">
        <is>
          <t>Service not offered by CodeSommet (communication / marketing agency intent) - traffic would not convert (390)</t>
        </is>
      </c>
      <c r="Q687" s="5" t="inlineStr">
        <is>
          <t>n/a (not targeted)</t>
        </is>
      </c>
    </row>
    <row r="688">
      <c r="A688" s="3" t="inlineStr">
        <is>
          <t>https://codesommet.com/web-development-company/rabat</t>
        </is>
      </c>
      <c r="B688" s="5" t="inlineStr">
        <is>
          <t>Agence Web Rabat : Création de Sites qui génèrent LA CROISSANCE COMMERCIALE À RA</t>
        </is>
      </c>
      <c r="C688" t="inlineStr">
        <is>
          <t>Morocco</t>
        </is>
      </c>
      <c r="D688" t="inlineStr">
        <is>
          <t>ma</t>
        </is>
      </c>
      <c r="E688" t="inlineStr">
        <is>
          <t>NOT RECOMMENDED</t>
        </is>
      </c>
      <c r="F688" t="inlineStr">
        <is>
          <t>agence marketing digital rabat</t>
        </is>
      </c>
      <c r="G688" t="n">
        <v>170</v>
      </c>
      <c r="H688" t="inlineStr">
        <is>
          <t>NOT AVAILABLE</t>
        </is>
      </c>
      <c r="I688" t="n">
        <v>0.75</v>
      </c>
      <c r="J688" t="inlineStr">
        <is>
          <t>NOT AVAILABLE</t>
        </is>
      </c>
      <c r="K688" t="inlineStr">
        <is>
          <t>MEASURED</t>
        </is>
      </c>
      <c r="L688" t="inlineStr">
        <is>
          <t>P4</t>
        </is>
      </c>
      <c r="M688" t="n">
        <v>0</v>
      </c>
      <c r="N688">
        <f>ROUND(IF(IF(J688="NOT AVAILABLE","",J688)="",12,IF(OR(ISNUMBER(SEARCH("Transactional",IF(J688="NOT AVAILABLE","",J688))),ISNUMBER(SEARCH("Commercial",IF(J688="NOT AVAILABLE","",J688)))),25,IF(ISNUMBER(SEARCH("Informational",IF(J688="NOT AVAILABLE","",J688))),10,IF(ISNUMBER(SEARCH("Navigational",IF(J688="NOT AVAILABLE","",J688))),0,12))))+IF(ISNUMBER(G688),MIN(30,ROUND(30*LOG10(G688+1)/4,1)),0)+IF(ISNUMBER(H688),ROUND(25*(100-H688)/100,1),12.5)+20,0)</f>
        <v/>
      </c>
      <c r="O688">
        <f>ROUND(N688*M688/100,0)</f>
        <v/>
      </c>
      <c r="P688" s="5" t="inlineStr">
        <is>
          <t>Service not offered by CodeSommet (communication / marketing agency intent) - traffic would not convert (170)</t>
        </is>
      </c>
      <c r="Q688" s="5" t="inlineStr">
        <is>
          <t>n/a (not targeted)</t>
        </is>
      </c>
    </row>
    <row r="689">
      <c r="A689" s="3" t="inlineStr">
        <is>
          <t>https://codesommet.com/web-development-company/riyadh</t>
        </is>
      </c>
      <c r="B689" s="5" t="inlineStr">
        <is>
          <t>Développement Web à Riyad, Arabie Saoudite : des sites web qui génèrent CROISSAN</t>
        </is>
      </c>
      <c r="C689" t="inlineStr">
        <is>
          <t>Saudi Arabia</t>
        </is>
      </c>
      <c r="D689" t="inlineStr">
        <is>
          <t>sa</t>
        </is>
      </c>
      <c r="E689" t="inlineStr">
        <is>
          <t>PRIMARY</t>
        </is>
      </c>
      <c r="F689" t="inlineStr">
        <is>
          <t>développement web riyad</t>
        </is>
      </c>
      <c r="G689" t="inlineStr">
        <is>
          <t>NOT AVAILABLE</t>
        </is>
      </c>
      <c r="H689" t="inlineStr">
        <is>
          <t>NOT AVAILABLE</t>
        </is>
      </c>
      <c r="I689" t="inlineStr">
        <is>
          <t>NOT AVAILABLE</t>
        </is>
      </c>
      <c r="J689" t="inlineStr">
        <is>
          <t>NOT AVAILABLE</t>
        </is>
      </c>
      <c r="K689" t="inlineStr">
        <is>
          <t>UNAVAILABLE</t>
        </is>
      </c>
      <c r="L689" t="inlineStr">
        <is>
          <t>P3</t>
        </is>
      </c>
      <c r="M689" t="n">
        <v>100</v>
      </c>
      <c r="N689">
        <f>ROUND(IF(IF(J689="NOT AVAILABLE","",J689)="",12,IF(OR(ISNUMBER(SEARCH("Transactional",IF(J689="NOT AVAILABLE","",J689))),ISNUMBER(SEARCH("Commercial",IF(J689="NOT AVAILABLE","",J689)))),25,IF(ISNUMBER(SEARCH("Informational",IF(J689="NOT AVAILABLE","",J689))),10,IF(ISNUMBER(SEARCH("Navigational",IF(J689="NOT AVAILABLE","",J689))),0,12))))+IF(ISNUMBER(G689),MIN(30,ROUND(30*LOG10(G689+1)/4,1)),0)+IF(ISNUMBER(H689),ROUND(25*(100-H689)/100,1),12.5)+3,0)</f>
        <v/>
      </c>
      <c r="O689">
        <f>ROUND(N689*M689/100,0)</f>
        <v/>
      </c>
      <c r="P689" s="5" t="inlineStr">
        <is>
          <t>Matches current H1; Semrush shows no/negligible French-language demand in this market</t>
        </is>
      </c>
      <c r="Q689" s="5" t="inlineStr">
        <is>
          <t>None detected</t>
        </is>
      </c>
    </row>
    <row r="690">
      <c r="A690" s="3" t="inlineStr">
        <is>
          <t>https://codesommet.com/web-development-company/riyadh</t>
        </is>
      </c>
      <c r="B690" s="5" t="inlineStr">
        <is>
          <t>Développement Web à Riyad, Arabie Saoudite : des sites web qui génèrent CROISSAN</t>
        </is>
      </c>
      <c r="C690" t="inlineStr">
        <is>
          <t>Saudi Arabia</t>
        </is>
      </c>
      <c r="D690" t="inlineStr">
        <is>
          <t>sa</t>
        </is>
      </c>
      <c r="E690" t="inlineStr">
        <is>
          <t>NOT RECOMMENDED</t>
        </is>
      </c>
      <c r="F690" t="inlineStr">
        <is>
          <t>web development company riyadh</t>
        </is>
      </c>
      <c r="G690" t="n">
        <v>0</v>
      </c>
      <c r="H690" t="inlineStr">
        <is>
          <t>NOT AVAILABLE</t>
        </is>
      </c>
      <c r="I690" t="n">
        <v>0</v>
      </c>
      <c r="J690" t="inlineStr">
        <is>
          <t>NOT AVAILABLE</t>
        </is>
      </c>
      <c r="K690" t="inlineStr">
        <is>
          <t>MEASURED</t>
        </is>
      </c>
      <c r="L690" t="inlineStr">
        <is>
          <t>P4</t>
        </is>
      </c>
      <c r="M690" t="n">
        <v>0</v>
      </c>
      <c r="N690">
        <f>ROUND(IF(IF(J690="NOT AVAILABLE","",J690)="",12,IF(OR(ISNUMBER(SEARCH("Transactional",IF(J690="NOT AVAILABLE","",J690))),ISNUMBER(SEARCH("Commercial",IF(J690="NOT AVAILABLE","",J690)))),25,IF(ISNUMBER(SEARCH("Informational",IF(J690="NOT AVAILABLE","",J690))),10,IF(ISNUMBER(SEARCH("Navigational",IF(J690="NOT AVAILABLE","",J690))),0,12))))+IF(ISNUMBER(G690),MIN(30,ROUND(30*LOG10(G690+1)/4,1)),0)+IF(ISNUMBER(H690),ROUND(25*(100-H690)/100,1),12.5)+3,0)</f>
        <v/>
      </c>
      <c r="O690">
        <f>ROUND(N690*M690/100,0)</f>
        <v/>
      </c>
      <c r="P690" s="5" t="inlineStr">
        <is>
          <t>Local-language demand (0) but the page is in French - language mismatch; see sheet 08</t>
        </is>
      </c>
      <c r="Q690" s="5" t="inlineStr">
        <is>
          <t>n/a (not targeted)</t>
        </is>
      </c>
    </row>
    <row r="691">
      <c r="A691" s="3" t="inlineStr">
        <is>
          <t>https://codesommet.com/web-development-company/rome</t>
        </is>
      </c>
      <c r="B691" s="5" t="inlineStr">
        <is>
          <t>Développement Web à Rome, Italie : des sites web qui génèrent CROISSANCE COMMERC</t>
        </is>
      </c>
      <c r="C691" t="inlineStr">
        <is>
          <t>Italy</t>
        </is>
      </c>
      <c r="D691" t="inlineStr">
        <is>
          <t>it</t>
        </is>
      </c>
      <c r="E691" t="inlineStr">
        <is>
          <t>PRIMARY</t>
        </is>
      </c>
      <c r="F691" t="inlineStr">
        <is>
          <t>développement web rome</t>
        </is>
      </c>
      <c r="G691" t="inlineStr">
        <is>
          <t>NOT AVAILABLE</t>
        </is>
      </c>
      <c r="H691" t="inlineStr">
        <is>
          <t>NOT AVAILABLE</t>
        </is>
      </c>
      <c r="I691" t="inlineStr">
        <is>
          <t>NOT AVAILABLE</t>
        </is>
      </c>
      <c r="J691" t="inlineStr">
        <is>
          <t>NOT AVAILABLE</t>
        </is>
      </c>
      <c r="K691" t="inlineStr">
        <is>
          <t>UNAVAILABLE</t>
        </is>
      </c>
      <c r="L691" t="inlineStr">
        <is>
          <t>P3</t>
        </is>
      </c>
      <c r="M691" t="n">
        <v>100</v>
      </c>
      <c r="N691">
        <f>ROUND(IF(IF(J691="NOT AVAILABLE","",J691)="",12,IF(OR(ISNUMBER(SEARCH("Transactional",IF(J691="NOT AVAILABLE","",J691))),ISNUMBER(SEARCH("Commercial",IF(J691="NOT AVAILABLE","",J691)))),25,IF(ISNUMBER(SEARCH("Informational",IF(J691="NOT AVAILABLE","",J691))),10,IF(ISNUMBER(SEARCH("Navigational",IF(J691="NOT AVAILABLE","",J691))),0,12))))+IF(ISNUMBER(G691),MIN(30,ROUND(30*LOG10(G691+1)/4,1)),0)+IF(ISNUMBER(H691),ROUND(25*(100-H691)/100,1),12.5)+3,0)</f>
        <v/>
      </c>
      <c r="O691">
        <f>ROUND(N691*M691/100,0)</f>
        <v/>
      </c>
      <c r="P691" s="5" t="inlineStr">
        <is>
          <t>Matches current H1; Semrush shows no/negligible French-language demand in this market</t>
        </is>
      </c>
      <c r="Q691" s="5" t="inlineStr">
        <is>
          <t>None detected</t>
        </is>
      </c>
    </row>
    <row r="692">
      <c r="A692" s="3" t="inlineStr">
        <is>
          <t>https://codesommet.com/web-development-company/rome</t>
        </is>
      </c>
      <c r="B692" s="5" t="inlineStr">
        <is>
          <t>Développement Web à Rome, Italie : des sites web qui génèrent CROISSANCE COMMERC</t>
        </is>
      </c>
      <c r="C692" t="inlineStr">
        <is>
          <t>Italy</t>
        </is>
      </c>
      <c r="D692" t="inlineStr">
        <is>
          <t>it</t>
        </is>
      </c>
      <c r="E692" t="inlineStr">
        <is>
          <t>NOT RECOMMENDED</t>
        </is>
      </c>
      <c r="F692" t="inlineStr">
        <is>
          <t>sviluppo siti web roma</t>
        </is>
      </c>
      <c r="G692" t="n">
        <v>110</v>
      </c>
      <c r="H692" t="n">
        <v>16</v>
      </c>
      <c r="I692" t="n">
        <v>4.22</v>
      </c>
      <c r="J692" t="inlineStr">
        <is>
          <t>Commercial</t>
        </is>
      </c>
      <c r="K692" t="inlineStr">
        <is>
          <t>MEASURED</t>
        </is>
      </c>
      <c r="L692" t="inlineStr">
        <is>
          <t>P4</t>
        </is>
      </c>
      <c r="M692" t="n">
        <v>0</v>
      </c>
      <c r="N692">
        <f>ROUND(IF(IF(J692="NOT AVAILABLE","",J692)="",12,IF(OR(ISNUMBER(SEARCH("Transactional",IF(J692="NOT AVAILABLE","",J692))),ISNUMBER(SEARCH("Commercial",IF(J692="NOT AVAILABLE","",J692)))),25,IF(ISNUMBER(SEARCH("Informational",IF(J692="NOT AVAILABLE","",J692))),10,IF(ISNUMBER(SEARCH("Navigational",IF(J692="NOT AVAILABLE","",J692))),0,12))))+IF(ISNUMBER(G692),MIN(30,ROUND(30*LOG10(G692+1)/4,1)),0)+IF(ISNUMBER(H692),ROUND(25*(100-H692)/100,1),12.5)+3,0)</f>
        <v/>
      </c>
      <c r="O692">
        <f>ROUND(N692*M692/100,0)</f>
        <v/>
      </c>
      <c r="P692" s="5" t="inlineStr">
        <is>
          <t>Local-language demand (110) but the page is in French - language mismatch; see sheet 08</t>
        </is>
      </c>
      <c r="Q692" s="5" t="inlineStr">
        <is>
          <t>n/a (not targeted)</t>
        </is>
      </c>
    </row>
    <row r="693">
      <c r="A693" s="3" t="inlineStr">
        <is>
          <t>https://codesommet.com/web-development-company/san-francisco</t>
        </is>
      </c>
      <c r="B693" s="5" t="inlineStr">
        <is>
          <t>Développement Web à San Francisco, États-Unis : des sites web qui génèrent Table</t>
        </is>
      </c>
      <c r="C693" t="inlineStr">
        <is>
          <t>United States</t>
        </is>
      </c>
      <c r="D693" t="inlineStr">
        <is>
          <t>us</t>
        </is>
      </c>
      <c r="E693" t="inlineStr">
        <is>
          <t>PRIMARY</t>
        </is>
      </c>
      <c r="F693" t="inlineStr">
        <is>
          <t>développement web san francisco</t>
        </is>
      </c>
      <c r="G693" t="inlineStr">
        <is>
          <t>NOT AVAILABLE</t>
        </is>
      </c>
      <c r="H693" t="inlineStr">
        <is>
          <t>NOT AVAILABLE</t>
        </is>
      </c>
      <c r="I693" t="inlineStr">
        <is>
          <t>NOT AVAILABLE</t>
        </is>
      </c>
      <c r="J693" t="inlineStr">
        <is>
          <t>NOT AVAILABLE</t>
        </is>
      </c>
      <c r="K693" t="inlineStr">
        <is>
          <t>UNAVAILABLE</t>
        </is>
      </c>
      <c r="L693" t="inlineStr">
        <is>
          <t>P3</t>
        </is>
      </c>
      <c r="M693" t="n">
        <v>100</v>
      </c>
      <c r="N693">
        <f>ROUND(IF(IF(J693="NOT AVAILABLE","",J693)="",12,IF(OR(ISNUMBER(SEARCH("Transactional",IF(J693="NOT AVAILABLE","",J693))),ISNUMBER(SEARCH("Commercial",IF(J693="NOT AVAILABLE","",J693)))),25,IF(ISNUMBER(SEARCH("Informational",IF(J693="NOT AVAILABLE","",J693))),10,IF(ISNUMBER(SEARCH("Navigational",IF(J693="NOT AVAILABLE","",J693))),0,12))))+IF(ISNUMBER(G693),MIN(30,ROUND(30*LOG10(G693+1)/4,1)),0)+IF(ISNUMBER(H693),ROUND(25*(100-H693)/100,1),12.5)+3,0)</f>
        <v/>
      </c>
      <c r="O693">
        <f>ROUND(N693*M693/100,0)</f>
        <v/>
      </c>
      <c r="P693" s="5" t="inlineStr">
        <is>
          <t>Matches current H1; Semrush shows no/negligible French-language demand in this market</t>
        </is>
      </c>
      <c r="Q693" s="5" t="inlineStr">
        <is>
          <t>None detected</t>
        </is>
      </c>
    </row>
    <row r="694">
      <c r="A694" s="3" t="inlineStr">
        <is>
          <t>https://codesommet.com/web-development-company/san-francisco</t>
        </is>
      </c>
      <c r="B694" s="5" t="inlineStr">
        <is>
          <t>Développement Web à San Francisco, États-Unis : des sites web qui génèrent Table</t>
        </is>
      </c>
      <c r="C694" t="inlineStr">
        <is>
          <t>United States</t>
        </is>
      </c>
      <c r="D694" t="inlineStr">
        <is>
          <t>us</t>
        </is>
      </c>
      <c r="E694" t="inlineStr">
        <is>
          <t>NOT RECOMMENDED</t>
        </is>
      </c>
      <c r="F694" t="inlineStr">
        <is>
          <t>web development company san francisco</t>
        </is>
      </c>
      <c r="G694" t="n">
        <v>90</v>
      </c>
      <c r="H694" t="n">
        <v>27</v>
      </c>
      <c r="I694" t="n">
        <v>0</v>
      </c>
      <c r="J694" t="inlineStr">
        <is>
          <t>Commercial</t>
        </is>
      </c>
      <c r="K694" t="inlineStr">
        <is>
          <t>MEASURED</t>
        </is>
      </c>
      <c r="L694" t="inlineStr">
        <is>
          <t>P4</t>
        </is>
      </c>
      <c r="M694" t="n">
        <v>0</v>
      </c>
      <c r="N694">
        <f>ROUND(IF(IF(J694="NOT AVAILABLE","",J694)="",12,IF(OR(ISNUMBER(SEARCH("Transactional",IF(J694="NOT AVAILABLE","",J694))),ISNUMBER(SEARCH("Commercial",IF(J694="NOT AVAILABLE","",J694)))),25,IF(ISNUMBER(SEARCH("Informational",IF(J694="NOT AVAILABLE","",J694))),10,IF(ISNUMBER(SEARCH("Navigational",IF(J694="NOT AVAILABLE","",J694))),0,12))))+IF(ISNUMBER(G694),MIN(30,ROUND(30*LOG10(G694+1)/4,1)),0)+IF(ISNUMBER(H694),ROUND(25*(100-H694)/100,1),12.5)+3,0)</f>
        <v/>
      </c>
      <c r="O694">
        <f>ROUND(N694*M694/100,0)</f>
        <v/>
      </c>
      <c r="P694" s="5" t="inlineStr">
        <is>
          <t>Local-language demand (90) but the page is in French - language mismatch; see sheet 08</t>
        </is>
      </c>
      <c r="Q694" s="5" t="inlineStr">
        <is>
          <t>n/a (not targeted)</t>
        </is>
      </c>
    </row>
    <row r="695">
      <c r="A695" s="3" t="inlineStr">
        <is>
          <t>https://codesommet.com/web-development-company/seattle</t>
        </is>
      </c>
      <c r="B695" s="5" t="inlineStr">
        <is>
          <t>Développement Web à Seattle, États-Unis : des sites web qui génèrent Tableaux de</t>
        </is>
      </c>
      <c r="C695" t="inlineStr">
        <is>
          <t>United States</t>
        </is>
      </c>
      <c r="D695" t="inlineStr">
        <is>
          <t>us</t>
        </is>
      </c>
      <c r="E695" t="inlineStr">
        <is>
          <t>PRIMARY</t>
        </is>
      </c>
      <c r="F695" t="inlineStr">
        <is>
          <t>développement web seattle</t>
        </is>
      </c>
      <c r="G695" t="inlineStr">
        <is>
          <t>NOT AVAILABLE</t>
        </is>
      </c>
      <c r="H695" t="inlineStr">
        <is>
          <t>NOT AVAILABLE</t>
        </is>
      </c>
      <c r="I695" t="inlineStr">
        <is>
          <t>NOT AVAILABLE</t>
        </is>
      </c>
      <c r="J695" t="inlineStr">
        <is>
          <t>NOT AVAILABLE</t>
        </is>
      </c>
      <c r="K695" t="inlineStr">
        <is>
          <t>UNAVAILABLE</t>
        </is>
      </c>
      <c r="L695" t="inlineStr">
        <is>
          <t>P3</t>
        </is>
      </c>
      <c r="M695" t="n">
        <v>100</v>
      </c>
      <c r="N695">
        <f>ROUND(IF(IF(J695="NOT AVAILABLE","",J695)="",12,IF(OR(ISNUMBER(SEARCH("Transactional",IF(J695="NOT AVAILABLE","",J695))),ISNUMBER(SEARCH("Commercial",IF(J695="NOT AVAILABLE","",J695)))),25,IF(ISNUMBER(SEARCH("Informational",IF(J695="NOT AVAILABLE","",J695))),10,IF(ISNUMBER(SEARCH("Navigational",IF(J695="NOT AVAILABLE","",J695))),0,12))))+IF(ISNUMBER(G695),MIN(30,ROUND(30*LOG10(G695+1)/4,1)),0)+IF(ISNUMBER(H695),ROUND(25*(100-H695)/100,1),12.5)+3,0)</f>
        <v/>
      </c>
      <c r="O695">
        <f>ROUND(N695*M695/100,0)</f>
        <v/>
      </c>
      <c r="P695" s="5" t="inlineStr">
        <is>
          <t>Matches current H1; Semrush shows no/negligible French-language demand in this market</t>
        </is>
      </c>
      <c r="Q695" s="5" t="inlineStr">
        <is>
          <t>None detected</t>
        </is>
      </c>
    </row>
    <row r="696">
      <c r="A696" s="3" t="inlineStr">
        <is>
          <t>https://codesommet.com/web-development-company/seattle</t>
        </is>
      </c>
      <c r="B696" s="5" t="inlineStr">
        <is>
          <t>Développement Web à Seattle, États-Unis : des sites web qui génèrent Tableaux de</t>
        </is>
      </c>
      <c r="C696" t="inlineStr">
        <is>
          <t>United States</t>
        </is>
      </c>
      <c r="D696" t="inlineStr">
        <is>
          <t>us</t>
        </is>
      </c>
      <c r="E696" t="inlineStr">
        <is>
          <t>NOT RECOMMENDED</t>
        </is>
      </c>
      <c r="F696" t="inlineStr">
        <is>
          <t>web development company seattle</t>
        </is>
      </c>
      <c r="G696" t="n">
        <v>140</v>
      </c>
      <c r="H696" t="n">
        <v>34</v>
      </c>
      <c r="I696" t="n">
        <v>0</v>
      </c>
      <c r="J696" t="inlineStr">
        <is>
          <t>Commercial</t>
        </is>
      </c>
      <c r="K696" t="inlineStr">
        <is>
          <t>MEASURED</t>
        </is>
      </c>
      <c r="L696" t="inlineStr">
        <is>
          <t>P4</t>
        </is>
      </c>
      <c r="M696" t="n">
        <v>0</v>
      </c>
      <c r="N696">
        <f>ROUND(IF(IF(J696="NOT AVAILABLE","",J696)="",12,IF(OR(ISNUMBER(SEARCH("Transactional",IF(J696="NOT AVAILABLE","",J696))),ISNUMBER(SEARCH("Commercial",IF(J696="NOT AVAILABLE","",J696)))),25,IF(ISNUMBER(SEARCH("Informational",IF(J696="NOT AVAILABLE","",J696))),10,IF(ISNUMBER(SEARCH("Navigational",IF(J696="NOT AVAILABLE","",J696))),0,12))))+IF(ISNUMBER(G696),MIN(30,ROUND(30*LOG10(G696+1)/4,1)),0)+IF(ISNUMBER(H696),ROUND(25*(100-H696)/100,1),12.5)+3,0)</f>
        <v/>
      </c>
      <c r="O696">
        <f>ROUND(N696*M696/100,0)</f>
        <v/>
      </c>
      <c r="P696" s="5" t="inlineStr">
        <is>
          <t>Local-language demand (140) but the page is in French - language mismatch; see sheet 08</t>
        </is>
      </c>
      <c r="Q696" s="5" t="inlineStr">
        <is>
          <t>n/a (not targeted)</t>
        </is>
      </c>
    </row>
    <row r="697">
      <c r="A697" s="3" t="inlineStr">
        <is>
          <t>https://codesommet.com/web-development-company/stockholm</t>
        </is>
      </c>
      <c r="B697" s="5" t="inlineStr">
        <is>
          <t>Développement Web à Stockholm, Suède : des sites web qui génèrent Tableaux de Bo</t>
        </is>
      </c>
      <c r="C697" t="inlineStr">
        <is>
          <t>Sweden</t>
        </is>
      </c>
      <c r="D697" t="inlineStr">
        <is>
          <t>se</t>
        </is>
      </c>
      <c r="E697" t="inlineStr">
        <is>
          <t>PRIMARY</t>
        </is>
      </c>
      <c r="F697" t="inlineStr">
        <is>
          <t>développement web stockholm</t>
        </is>
      </c>
      <c r="G697" t="inlineStr">
        <is>
          <t>NOT AVAILABLE</t>
        </is>
      </c>
      <c r="H697" t="inlineStr">
        <is>
          <t>NOT AVAILABLE</t>
        </is>
      </c>
      <c r="I697" t="inlineStr">
        <is>
          <t>NOT AVAILABLE</t>
        </is>
      </c>
      <c r="J697" t="inlineStr">
        <is>
          <t>NOT AVAILABLE</t>
        </is>
      </c>
      <c r="K697" t="inlineStr">
        <is>
          <t>UNAVAILABLE</t>
        </is>
      </c>
      <c r="L697" t="inlineStr">
        <is>
          <t>P3</t>
        </is>
      </c>
      <c r="M697" t="n">
        <v>100</v>
      </c>
      <c r="N697">
        <f>ROUND(IF(IF(J697="NOT AVAILABLE","",J697)="",12,IF(OR(ISNUMBER(SEARCH("Transactional",IF(J697="NOT AVAILABLE","",J697))),ISNUMBER(SEARCH("Commercial",IF(J697="NOT AVAILABLE","",J697)))),25,IF(ISNUMBER(SEARCH("Informational",IF(J697="NOT AVAILABLE","",J697))),10,IF(ISNUMBER(SEARCH("Navigational",IF(J697="NOT AVAILABLE","",J697))),0,12))))+IF(ISNUMBER(G697),MIN(30,ROUND(30*LOG10(G697+1)/4,1)),0)+IF(ISNUMBER(H697),ROUND(25*(100-H697)/100,1),12.5)+3,0)</f>
        <v/>
      </c>
      <c r="O697">
        <f>ROUND(N697*M697/100,0)</f>
        <v/>
      </c>
      <c r="P697" s="5" t="inlineStr">
        <is>
          <t>Matches current H1; Semrush shows no/negligible French-language demand in this market</t>
        </is>
      </c>
      <c r="Q697" s="5" t="inlineStr">
        <is>
          <t>None detected</t>
        </is>
      </c>
    </row>
    <row r="698">
      <c r="A698" s="3" t="inlineStr">
        <is>
          <t>https://codesommet.com/web-development-company/stockholm</t>
        </is>
      </c>
      <c r="B698" s="5" t="inlineStr">
        <is>
          <t>Développement Web à Stockholm, Suède : des sites web qui génèrent Tableaux de Bo</t>
        </is>
      </c>
      <c r="C698" t="inlineStr">
        <is>
          <t>Sweden</t>
        </is>
      </c>
      <c r="D698" t="inlineStr">
        <is>
          <t>se</t>
        </is>
      </c>
      <c r="E698" t="inlineStr">
        <is>
          <t>NOT RECOMMENDED</t>
        </is>
      </c>
      <c r="F698" t="inlineStr">
        <is>
          <t>webbyrå stockholm</t>
        </is>
      </c>
      <c r="G698" t="n">
        <v>1300</v>
      </c>
      <c r="H698" t="n">
        <v>53</v>
      </c>
      <c r="I698" t="n">
        <v>8.58</v>
      </c>
      <c r="J698" t="inlineStr">
        <is>
          <t>Commercial</t>
        </is>
      </c>
      <c r="K698" t="inlineStr">
        <is>
          <t>MEASURED</t>
        </is>
      </c>
      <c r="L698" t="inlineStr">
        <is>
          <t>P4</t>
        </is>
      </c>
      <c r="M698" t="n">
        <v>0</v>
      </c>
      <c r="N698">
        <f>ROUND(IF(IF(J698="NOT AVAILABLE","",J698)="",12,IF(OR(ISNUMBER(SEARCH("Transactional",IF(J698="NOT AVAILABLE","",J698))),ISNUMBER(SEARCH("Commercial",IF(J698="NOT AVAILABLE","",J698)))),25,IF(ISNUMBER(SEARCH("Informational",IF(J698="NOT AVAILABLE","",J698))),10,IF(ISNUMBER(SEARCH("Navigational",IF(J698="NOT AVAILABLE","",J698))),0,12))))+IF(ISNUMBER(G698),MIN(30,ROUND(30*LOG10(G698+1)/4,1)),0)+IF(ISNUMBER(H698),ROUND(25*(100-H698)/100,1),12.5)+3,0)</f>
        <v/>
      </c>
      <c r="O698">
        <f>ROUND(N698*M698/100,0)</f>
        <v/>
      </c>
      <c r="P698" s="5" t="inlineStr">
        <is>
          <t>Local-language demand (1300) but the page is in French - language mismatch; see sheet 08</t>
        </is>
      </c>
      <c r="Q698" s="5" t="inlineStr">
        <is>
          <t>n/a (not targeted)</t>
        </is>
      </c>
    </row>
    <row r="699">
      <c r="A699" s="3" t="inlineStr">
        <is>
          <t>https://codesommet.com/web-development-company/tangier</t>
        </is>
      </c>
      <c r="B699" s="5" t="inlineStr">
        <is>
          <t>Création Site Web Tanger : votre Agence Web pour des sites qui génèrent LA CROIS</t>
        </is>
      </c>
      <c r="C699" t="inlineStr">
        <is>
          <t>Morocco</t>
        </is>
      </c>
      <c r="D699" t="inlineStr">
        <is>
          <t>ma</t>
        </is>
      </c>
      <c r="E699" t="inlineStr">
        <is>
          <t>PRIMARY</t>
        </is>
      </c>
      <c r="F699" t="inlineStr">
        <is>
          <t>creation site web tanger</t>
        </is>
      </c>
      <c r="G699" t="n">
        <v>320</v>
      </c>
      <c r="H699" t="n">
        <v>11</v>
      </c>
      <c r="I699" t="n">
        <v>0.76</v>
      </c>
      <c r="J699" t="inlineStr">
        <is>
          <t>Commercial</t>
        </is>
      </c>
      <c r="K699" t="inlineStr">
        <is>
          <t>MEASURED</t>
        </is>
      </c>
      <c r="L699" t="inlineStr">
        <is>
          <t>P1</t>
        </is>
      </c>
      <c r="M699" t="n">
        <v>100</v>
      </c>
      <c r="N699">
        <f>ROUND(IF(IF(J699="NOT AVAILABLE","",J699)="",12,IF(OR(ISNUMBER(SEARCH("Transactional",IF(J699="NOT AVAILABLE","",J699))),ISNUMBER(SEARCH("Commercial",IF(J699="NOT AVAILABLE","",J699)))),25,IF(ISNUMBER(SEARCH("Informational",IF(J699="NOT AVAILABLE","",J699))),10,IF(ISNUMBER(SEARCH("Navigational",IF(J699="NOT AVAILABLE","",J699))),0,12))))+IF(ISNUMBER(G699),MIN(30,ROUND(30*LOG10(G699+1)/4,1)),0)+IF(ISNUMBER(H699),ROUND(25*(100-H699)/100,1),12.5)+20,0)</f>
        <v/>
      </c>
      <c r="O699">
        <f>ROUND(N699*M699/100,0)</f>
        <v/>
      </c>
      <c r="P699" s="5" t="inlineStr">
        <is>
          <t>MA 320, KD 11 (accented "création site web tanger" = 260) - write with accents; title aligned</t>
        </is>
      </c>
      <c r="Q699" s="5" t="inlineStr">
        <is>
          <t>None detected</t>
        </is>
      </c>
    </row>
    <row r="700">
      <c r="A700" s="3" t="inlineStr">
        <is>
          <t>https://codesommet.com/web-development-company/tangier</t>
        </is>
      </c>
      <c r="B700" s="5" t="inlineStr">
        <is>
          <t>Création Site Web Tanger : votre Agence Web pour des sites qui génèrent LA CROIS</t>
        </is>
      </c>
      <c r="C700" t="inlineStr">
        <is>
          <t>Morocco</t>
        </is>
      </c>
      <c r="D700" t="inlineStr">
        <is>
          <t>ma</t>
        </is>
      </c>
      <c r="E700" t="inlineStr">
        <is>
          <t>SECONDARY</t>
        </is>
      </c>
      <c r="F700" t="inlineStr">
        <is>
          <t>création site web tanger</t>
        </is>
      </c>
      <c r="G700" t="n">
        <v>260</v>
      </c>
      <c r="H700" t="inlineStr">
        <is>
          <t>NOT AVAILABLE</t>
        </is>
      </c>
      <c r="I700" t="n">
        <v>0.66</v>
      </c>
      <c r="J700" t="inlineStr">
        <is>
          <t>NOT AVAILABLE</t>
        </is>
      </c>
      <c r="K700" t="inlineStr">
        <is>
          <t>MEASURED</t>
        </is>
      </c>
      <c r="L700" t="inlineStr">
        <is>
          <t>P1</t>
        </is>
      </c>
      <c r="M700" t="n">
        <v>85</v>
      </c>
      <c r="N700">
        <f>ROUND(IF(IF(J700="NOT AVAILABLE","",J700)="",12,IF(OR(ISNUMBER(SEARCH("Transactional",IF(J700="NOT AVAILABLE","",J700))),ISNUMBER(SEARCH("Commercial",IF(J700="NOT AVAILABLE","",J700)))),25,IF(ISNUMBER(SEARCH("Informational",IF(J700="NOT AVAILABLE","",J700))),10,IF(ISNUMBER(SEARCH("Navigational",IF(J700="NOT AVAILABLE","",J700))),0,12))))+IF(ISNUMBER(G700),MIN(30,ROUND(30*LOG10(G700+1)/4,1)),0)+IF(ISNUMBER(H700),ROUND(25*(100-H700)/100,1),12.5)+20,0)</f>
        <v/>
      </c>
      <c r="O700">
        <f>ROUND(N700*M700/100,0)</f>
        <v/>
      </c>
      <c r="P700" s="5" t="inlineStr">
        <is>
          <t>Accented variant (260)</t>
        </is>
      </c>
      <c r="Q700" s="5" t="inlineStr">
        <is>
          <t>None detected</t>
        </is>
      </c>
    </row>
    <row r="701">
      <c r="A701" s="3" t="inlineStr">
        <is>
          <t>https://codesommet.com/web-development-company/tangier</t>
        </is>
      </c>
      <c r="B701" s="5" t="inlineStr">
        <is>
          <t>Création Site Web Tanger : votre Agence Web pour des sites qui génèrent LA CROIS</t>
        </is>
      </c>
      <c r="C701" t="inlineStr">
        <is>
          <t>Morocco</t>
        </is>
      </c>
      <c r="D701" t="inlineStr">
        <is>
          <t>ma</t>
        </is>
      </c>
      <c r="E701" t="inlineStr">
        <is>
          <t>SECONDARY</t>
        </is>
      </c>
      <c r="F701" t="inlineStr">
        <is>
          <t>agence web tanger</t>
        </is>
      </c>
      <c r="G701" t="n">
        <v>40</v>
      </c>
      <c r="H701" t="inlineStr">
        <is>
          <t>NOT AVAILABLE</t>
        </is>
      </c>
      <c r="I701" t="n">
        <v>0.84</v>
      </c>
      <c r="J701" t="inlineStr">
        <is>
          <t>NOT AVAILABLE</t>
        </is>
      </c>
      <c r="K701" t="inlineStr">
        <is>
          <t>MEASURED</t>
        </is>
      </c>
      <c r="L701" t="inlineStr">
        <is>
          <t>P1</t>
        </is>
      </c>
      <c r="M701" t="n">
        <v>85</v>
      </c>
      <c r="N701">
        <f>ROUND(IF(IF(J701="NOT AVAILABLE","",J701)="",12,IF(OR(ISNUMBER(SEARCH("Transactional",IF(J701="NOT AVAILABLE","",J701))),ISNUMBER(SEARCH("Commercial",IF(J701="NOT AVAILABLE","",J701)))),25,IF(ISNUMBER(SEARCH("Informational",IF(J701="NOT AVAILABLE","",J701))),10,IF(ISNUMBER(SEARCH("Navigational",IF(J701="NOT AVAILABLE","",J701))),0,12))))+IF(ISNUMBER(G701),MIN(30,ROUND(30*LOG10(G701+1)/4,1)),0)+IF(ISNUMBER(H701),ROUND(25*(100-H701)/100,1),12.5)+20,0)</f>
        <v/>
      </c>
      <c r="O701">
        <f>ROUND(N701*M701/100,0)</f>
        <v/>
      </c>
      <c r="P701" s="5" t="inlineStr">
        <is>
          <t>40</t>
        </is>
      </c>
      <c r="Q701" s="5" t="inlineStr">
        <is>
          <t>None detected</t>
        </is>
      </c>
    </row>
    <row r="702">
      <c r="A702" s="3" t="inlineStr">
        <is>
          <t>https://codesommet.com/web-development-company/tangier</t>
        </is>
      </c>
      <c r="B702" s="5" t="inlineStr">
        <is>
          <t>Création Site Web Tanger : votre Agence Web pour des sites qui génèrent LA CROIS</t>
        </is>
      </c>
      <c r="C702" t="inlineStr">
        <is>
          <t>Morocco</t>
        </is>
      </c>
      <c r="D702" t="inlineStr">
        <is>
          <t>ma</t>
        </is>
      </c>
      <c r="E702" t="inlineStr">
        <is>
          <t>SUPPORTING</t>
        </is>
      </c>
      <c r="F702" t="inlineStr">
        <is>
          <t>agence digitale tanger</t>
        </is>
      </c>
      <c r="G702" t="n">
        <v>30</v>
      </c>
      <c r="H702" t="inlineStr">
        <is>
          <t>NOT AVAILABLE</t>
        </is>
      </c>
      <c r="I702" t="n">
        <v>0.92</v>
      </c>
      <c r="J702" t="inlineStr">
        <is>
          <t>NOT AVAILABLE</t>
        </is>
      </c>
      <c r="K702" t="inlineStr">
        <is>
          <t>MEASURED</t>
        </is>
      </c>
      <c r="L702" t="inlineStr">
        <is>
          <t>P3</t>
        </is>
      </c>
      <c r="M702" t="n">
        <v>65</v>
      </c>
      <c r="N702">
        <f>ROUND(IF(IF(J702="NOT AVAILABLE","",J702)="",12,IF(OR(ISNUMBER(SEARCH("Transactional",IF(J702="NOT AVAILABLE","",J702))),ISNUMBER(SEARCH("Commercial",IF(J702="NOT AVAILABLE","",J702)))),25,IF(ISNUMBER(SEARCH("Informational",IF(J702="NOT AVAILABLE","",J702))),10,IF(ISNUMBER(SEARCH("Navigational",IF(J702="NOT AVAILABLE","",J702))),0,12))))+IF(ISNUMBER(G702),MIN(30,ROUND(30*LOG10(G702+1)/4,1)),0)+IF(ISNUMBER(H702),ROUND(25*(100-H702)/100,1),12.5)+20,0)</f>
        <v/>
      </c>
      <c r="O702">
        <f>ROUND(N702*M702/100,0)</f>
        <v/>
      </c>
      <c r="P702" s="5" t="inlineStr">
        <is>
          <t>Semantic/supporting term for body copy</t>
        </is>
      </c>
      <c r="Q702" s="5" t="inlineStr">
        <is>
          <t>None detected</t>
        </is>
      </c>
    </row>
    <row r="703">
      <c r="A703" s="3" t="inlineStr">
        <is>
          <t>https://codesommet.com/web-development-company/tangier</t>
        </is>
      </c>
      <c r="B703" s="5" t="inlineStr">
        <is>
          <t>Création Site Web Tanger : votre Agence Web pour des sites qui génèrent LA CROIS</t>
        </is>
      </c>
      <c r="C703" t="inlineStr">
        <is>
          <t>Morocco</t>
        </is>
      </c>
      <c r="D703" t="inlineStr">
        <is>
          <t>ma</t>
        </is>
      </c>
      <c r="E703" t="inlineStr">
        <is>
          <t>SUPPORTING</t>
        </is>
      </c>
      <c r="F703" t="inlineStr">
        <is>
          <t>site web tanger</t>
        </is>
      </c>
      <c r="G703" t="n">
        <v>30</v>
      </c>
      <c r="H703" t="inlineStr">
        <is>
          <t>NOT AVAILABLE</t>
        </is>
      </c>
      <c r="I703" t="n">
        <v>0.68</v>
      </c>
      <c r="J703" t="inlineStr">
        <is>
          <t>NOT AVAILABLE</t>
        </is>
      </c>
      <c r="K703" t="inlineStr">
        <is>
          <t>MEASURED</t>
        </is>
      </c>
      <c r="L703" t="inlineStr">
        <is>
          <t>P3</t>
        </is>
      </c>
      <c r="M703" t="n">
        <v>65</v>
      </c>
      <c r="N703">
        <f>ROUND(IF(IF(J703="NOT AVAILABLE","",J703)="",12,IF(OR(ISNUMBER(SEARCH("Transactional",IF(J703="NOT AVAILABLE","",J703))),ISNUMBER(SEARCH("Commercial",IF(J703="NOT AVAILABLE","",J703)))),25,IF(ISNUMBER(SEARCH("Informational",IF(J703="NOT AVAILABLE","",J703))),10,IF(ISNUMBER(SEARCH("Navigational",IF(J703="NOT AVAILABLE","",J703))),0,12))))+IF(ISNUMBER(G703),MIN(30,ROUND(30*LOG10(G703+1)/4,1)),0)+IF(ISNUMBER(H703),ROUND(25*(100-H703)/100,1),12.5)+20,0)</f>
        <v/>
      </c>
      <c r="O703">
        <f>ROUND(N703*M703/100,0)</f>
        <v/>
      </c>
      <c r="P703" s="5" t="inlineStr">
        <is>
          <t>Semantic/supporting term for body copy</t>
        </is>
      </c>
      <c r="Q703" s="5" t="inlineStr">
        <is>
          <t>None detected</t>
        </is>
      </c>
    </row>
    <row r="704">
      <c r="A704" s="3" t="inlineStr">
        <is>
          <t>https://codesommet.com/web-development-company/tangier</t>
        </is>
      </c>
      <c r="B704" s="5" t="inlineStr">
        <is>
          <t>Création Site Web Tanger : votre Agence Web pour des sites qui génèrent LA CROIS</t>
        </is>
      </c>
      <c r="C704" t="inlineStr">
        <is>
          <t>Morocco</t>
        </is>
      </c>
      <c r="D704" t="inlineStr">
        <is>
          <t>ma</t>
        </is>
      </c>
      <c r="E704" t="inlineStr">
        <is>
          <t>NOT RECOMMENDED</t>
        </is>
      </c>
      <c r="F704" t="inlineStr">
        <is>
          <t>agence marketing digital tanger</t>
        </is>
      </c>
      <c r="G704" t="n">
        <v>170</v>
      </c>
      <c r="H704" t="inlineStr">
        <is>
          <t>NOT AVAILABLE</t>
        </is>
      </c>
      <c r="I704" t="n">
        <v>1.02</v>
      </c>
      <c r="J704" t="inlineStr">
        <is>
          <t>NOT AVAILABLE</t>
        </is>
      </c>
      <c r="K704" t="inlineStr">
        <is>
          <t>MEASURED</t>
        </is>
      </c>
      <c r="L704" t="inlineStr">
        <is>
          <t>P4</t>
        </is>
      </c>
      <c r="M704" t="n">
        <v>0</v>
      </c>
      <c r="N704">
        <f>ROUND(IF(IF(J704="NOT AVAILABLE","",J704)="",12,IF(OR(ISNUMBER(SEARCH("Transactional",IF(J704="NOT AVAILABLE","",J704))),ISNUMBER(SEARCH("Commercial",IF(J704="NOT AVAILABLE","",J704)))),25,IF(ISNUMBER(SEARCH("Informational",IF(J704="NOT AVAILABLE","",J704))),10,IF(ISNUMBER(SEARCH("Navigational",IF(J704="NOT AVAILABLE","",J704))),0,12))))+IF(ISNUMBER(G704),MIN(30,ROUND(30*LOG10(G704+1)/4,1)),0)+IF(ISNUMBER(H704),ROUND(25*(100-H704)/100,1),12.5)+20,0)</f>
        <v/>
      </c>
      <c r="O704">
        <f>ROUND(N704*M704/100,0)</f>
        <v/>
      </c>
      <c r="P704" s="5" t="inlineStr">
        <is>
          <t>Service not offered by CodeSommet (communication / marketing agency intent) - traffic would not convert</t>
        </is>
      </c>
      <c r="Q704" s="5" t="inlineStr">
        <is>
          <t>n/a (not targeted)</t>
        </is>
      </c>
    </row>
    <row r="705">
      <c r="A705" s="3" t="inlineStr">
        <is>
          <t>https://codesommet.com/web-development-company/tangier</t>
        </is>
      </c>
      <c r="B705" s="5" t="inlineStr">
        <is>
          <t>Création Site Web Tanger : votre Agence Web pour des sites qui génèrent LA CROIS</t>
        </is>
      </c>
      <c r="C705" t="inlineStr">
        <is>
          <t>Morocco</t>
        </is>
      </c>
      <c r="D705" t="inlineStr">
        <is>
          <t>ma</t>
        </is>
      </c>
      <c r="E705" t="inlineStr">
        <is>
          <t>NOT RECOMMENDED</t>
        </is>
      </c>
      <c r="F705" t="inlineStr">
        <is>
          <t>agence de communication tanger</t>
        </is>
      </c>
      <c r="G705" t="n">
        <v>110</v>
      </c>
      <c r="H705" t="inlineStr">
        <is>
          <t>NOT AVAILABLE</t>
        </is>
      </c>
      <c r="I705" t="n">
        <v>0.61</v>
      </c>
      <c r="J705" t="inlineStr">
        <is>
          <t>NOT AVAILABLE</t>
        </is>
      </c>
      <c r="K705" t="inlineStr">
        <is>
          <t>MEASURED</t>
        </is>
      </c>
      <c r="L705" t="inlineStr">
        <is>
          <t>P4</t>
        </is>
      </c>
      <c r="M705" t="n">
        <v>0</v>
      </c>
      <c r="N705">
        <f>ROUND(IF(IF(J705="NOT AVAILABLE","",J705)="",12,IF(OR(ISNUMBER(SEARCH("Transactional",IF(J705="NOT AVAILABLE","",J705))),ISNUMBER(SEARCH("Commercial",IF(J705="NOT AVAILABLE","",J705)))),25,IF(ISNUMBER(SEARCH("Informational",IF(J705="NOT AVAILABLE","",J705))),10,IF(ISNUMBER(SEARCH("Navigational",IF(J705="NOT AVAILABLE","",J705))),0,12))))+IF(ISNUMBER(G705),MIN(30,ROUND(30*LOG10(G705+1)/4,1)),0)+IF(ISNUMBER(H705),ROUND(25*(100-H705)/100,1),12.5)+20,0)</f>
        <v/>
      </c>
      <c r="O705">
        <f>ROUND(N705*M705/100,0)</f>
        <v/>
      </c>
      <c r="P705" s="5" t="inlineStr">
        <is>
          <t>Service not offered by CodeSommet (communication / marketing agency intent) - traffic would not convert</t>
        </is>
      </c>
      <c r="Q705" s="5" t="inlineStr">
        <is>
          <t>n/a (not targeted)</t>
        </is>
      </c>
    </row>
    <row r="706">
      <c r="A706" s="3" t="inlineStr">
        <is>
          <t>https://codesommet.com/web-development-company/toronto</t>
        </is>
      </c>
      <c r="B706" s="5" t="inlineStr">
        <is>
          <t>Développement Web à Toronto, Canada : des sites web qui génèrent Tableaux de Bor</t>
        </is>
      </c>
      <c r="C706" t="inlineStr">
        <is>
          <t>Canada</t>
        </is>
      </c>
      <c r="D706" t="inlineStr">
        <is>
          <t>ca</t>
        </is>
      </c>
      <c r="E706" t="inlineStr">
        <is>
          <t>PRIMARY</t>
        </is>
      </c>
      <c r="F706" t="inlineStr">
        <is>
          <t>développement web toronto</t>
        </is>
      </c>
      <c r="G706" t="inlineStr">
        <is>
          <t>NOT AVAILABLE</t>
        </is>
      </c>
      <c r="H706" t="inlineStr">
        <is>
          <t>NOT AVAILABLE</t>
        </is>
      </c>
      <c r="I706" t="inlineStr">
        <is>
          <t>NOT AVAILABLE</t>
        </is>
      </c>
      <c r="J706" t="inlineStr">
        <is>
          <t>NOT AVAILABLE</t>
        </is>
      </c>
      <c r="K706" t="inlineStr">
        <is>
          <t>UNAVAILABLE</t>
        </is>
      </c>
      <c r="L706" t="inlineStr">
        <is>
          <t>P3</t>
        </is>
      </c>
      <c r="M706" t="n">
        <v>100</v>
      </c>
      <c r="N706">
        <f>ROUND(IF(IF(J706="NOT AVAILABLE","",J706)="",12,IF(OR(ISNUMBER(SEARCH("Transactional",IF(J706="NOT AVAILABLE","",J706))),ISNUMBER(SEARCH("Commercial",IF(J706="NOT AVAILABLE","",J706)))),25,IF(ISNUMBER(SEARCH("Informational",IF(J706="NOT AVAILABLE","",J706))),10,IF(ISNUMBER(SEARCH("Navigational",IF(J706="NOT AVAILABLE","",J706))),0,12))))+IF(ISNUMBER(G706),MIN(30,ROUND(30*LOG10(G706+1)/4,1)),0)+IF(ISNUMBER(H706),ROUND(25*(100-H706)/100,1),12.5)+10,0)</f>
        <v/>
      </c>
      <c r="O706">
        <f>ROUND(N706*M706/100,0)</f>
        <v/>
      </c>
      <c r="P706" s="5" t="inlineStr">
        <is>
          <t>Matches current H1; Semrush shows no/negligible French-language demand in this market</t>
        </is>
      </c>
      <c r="Q706" s="5" t="inlineStr">
        <is>
          <t>None detected</t>
        </is>
      </c>
    </row>
    <row r="707">
      <c r="A707" s="3" t="inlineStr">
        <is>
          <t>https://codesommet.com/web-development-company/toronto</t>
        </is>
      </c>
      <c r="B707" s="5" t="inlineStr">
        <is>
          <t>Développement Web à Toronto, Canada : des sites web qui génèrent Tableaux de Bor</t>
        </is>
      </c>
      <c r="C707" t="inlineStr">
        <is>
          <t>Canada</t>
        </is>
      </c>
      <c r="D707" t="inlineStr">
        <is>
          <t>ca</t>
        </is>
      </c>
      <c r="E707" t="inlineStr">
        <is>
          <t>NOT RECOMMENDED</t>
        </is>
      </c>
      <c r="F707" t="inlineStr">
        <is>
          <t>web development company toronto</t>
        </is>
      </c>
      <c r="G707" t="n">
        <v>1000</v>
      </c>
      <c r="H707" t="n">
        <v>33</v>
      </c>
      <c r="I707" t="n">
        <v>6.18</v>
      </c>
      <c r="J707" t="inlineStr">
        <is>
          <t>Commercial</t>
        </is>
      </c>
      <c r="K707" t="inlineStr">
        <is>
          <t>MEASURED</t>
        </is>
      </c>
      <c r="L707" t="inlineStr">
        <is>
          <t>P4</t>
        </is>
      </c>
      <c r="M707" t="n">
        <v>0</v>
      </c>
      <c r="N707">
        <f>ROUND(IF(IF(J707="NOT AVAILABLE","",J707)="",12,IF(OR(ISNUMBER(SEARCH("Transactional",IF(J707="NOT AVAILABLE","",J707))),ISNUMBER(SEARCH("Commercial",IF(J707="NOT AVAILABLE","",J707)))),25,IF(ISNUMBER(SEARCH("Informational",IF(J707="NOT AVAILABLE","",J707))),10,IF(ISNUMBER(SEARCH("Navigational",IF(J707="NOT AVAILABLE","",J707))),0,12))))+IF(ISNUMBER(G707),MIN(30,ROUND(30*LOG10(G707+1)/4,1)),0)+IF(ISNUMBER(H707),ROUND(25*(100-H707)/100,1),12.5)+10,0)</f>
        <v/>
      </c>
      <c r="O707">
        <f>ROUND(N707*M707/100,0)</f>
        <v/>
      </c>
      <c r="P707" s="5" t="inlineStr">
        <is>
          <t>Local-language demand (1000) but the page is in French - language mismatch; see sheet 08</t>
        </is>
      </c>
      <c r="Q707" s="5" t="inlineStr">
        <is>
          <t>n/a (not targeted)</t>
        </is>
      </c>
    </row>
    <row r="708">
      <c r="A708" s="3" t="inlineStr">
        <is>
          <t>https://codesommet.com/web-development-company/tunis</t>
        </is>
      </c>
      <c r="B708" s="5" t="inlineStr">
        <is>
          <t>Développement Web à Tunis, Tunisie : des sites web qui génèrent CROISSANCE COMME</t>
        </is>
      </c>
      <c r="C708" t="inlineStr">
        <is>
          <t>Tunisia</t>
        </is>
      </c>
      <c r="D708" t="inlineStr">
        <is>
          <t>tn</t>
        </is>
      </c>
      <c r="E708" t="inlineStr">
        <is>
          <t>PRIMARY</t>
        </is>
      </c>
      <c r="F708" t="inlineStr">
        <is>
          <t>développement web tunis</t>
        </is>
      </c>
      <c r="G708" t="n">
        <v>20</v>
      </c>
      <c r="H708" t="inlineStr">
        <is>
          <t>NOT AVAILABLE</t>
        </is>
      </c>
      <c r="I708" t="n">
        <v>0</v>
      </c>
      <c r="J708" t="inlineStr">
        <is>
          <t>NOT AVAILABLE</t>
        </is>
      </c>
      <c r="K708" t="inlineStr">
        <is>
          <t>MEASURED</t>
        </is>
      </c>
      <c r="L708" t="inlineStr">
        <is>
          <t>P3</t>
        </is>
      </c>
      <c r="M708" t="n">
        <v>100</v>
      </c>
      <c r="N708">
        <f>ROUND(IF(IF(J708="NOT AVAILABLE","",J708)="",12,IF(OR(ISNUMBER(SEARCH("Transactional",IF(J708="NOT AVAILABLE","",J708))),ISNUMBER(SEARCH("Commercial",IF(J708="NOT AVAILABLE","",J708)))),25,IF(ISNUMBER(SEARCH("Informational",IF(J708="NOT AVAILABLE","",J708))),10,IF(ISNUMBER(SEARCH("Navigational",IF(J708="NOT AVAILABLE","",J708))),0,12))))+IF(ISNUMBER(G708),MIN(30,ROUND(30*LOG10(G708+1)/4,1)),0)+IF(ISNUMBER(H708),ROUND(25*(100-H708)/100,1),12.5)+6,0)</f>
        <v/>
      </c>
      <c r="O708">
        <f>ROUND(N708*M708/100,0)</f>
        <v/>
      </c>
      <c r="P708" s="5" t="inlineStr">
        <is>
          <t>Matches H1; TN 20 only</t>
        </is>
      </c>
      <c r="Q708" s="5" t="inlineStr">
        <is>
          <t>None detected</t>
        </is>
      </c>
    </row>
    <row r="709">
      <c r="A709" s="3" t="inlineStr">
        <is>
          <t>https://codesommet.com/web-development-company/tunis</t>
        </is>
      </c>
      <c r="B709" s="5" t="inlineStr">
        <is>
          <t>Développement Web à Tunis, Tunisie : des sites web qui génèrent CROISSANCE COMME</t>
        </is>
      </c>
      <c r="C709" t="inlineStr">
        <is>
          <t>Tunisia</t>
        </is>
      </c>
      <c r="D709" t="inlineStr">
        <is>
          <t>tn</t>
        </is>
      </c>
      <c r="E709" t="inlineStr">
        <is>
          <t>OPTIONAL</t>
        </is>
      </c>
      <c r="F709" t="inlineStr">
        <is>
          <t>agence web tunisie</t>
        </is>
      </c>
      <c r="G709" t="n">
        <v>880</v>
      </c>
      <c r="H709" t="n">
        <v>9</v>
      </c>
      <c r="I709" t="n">
        <v>0.48</v>
      </c>
      <c r="J709" t="inlineStr">
        <is>
          <t>Commercial</t>
        </is>
      </c>
      <c r="K709" t="inlineStr">
        <is>
          <t>MEASURED</t>
        </is>
      </c>
      <c r="L709" t="inlineStr">
        <is>
          <t>P4</t>
        </is>
      </c>
      <c r="M709" t="n">
        <v>45</v>
      </c>
      <c r="N709">
        <f>ROUND(IF(IF(J709="NOT AVAILABLE","",J709)="",12,IF(OR(ISNUMBER(SEARCH("Transactional",IF(J709="NOT AVAILABLE","",J709))),ISNUMBER(SEARCH("Commercial",IF(J709="NOT AVAILABLE","",J709)))),25,IF(ISNUMBER(SEARCH("Informational",IF(J709="NOT AVAILABLE","",J709))),10,IF(ISNUMBER(SEARCH("Navigational",IF(J709="NOT AVAILABLE","",J709))),0,12))))+IF(ISNUMBER(G709),MIN(30,ROUND(30*LOG10(G709+1)/4,1)),0)+IF(ISNUMBER(H709),ROUND(25*(100-H709)/100,1),12.5)+6,0)</f>
        <v/>
      </c>
      <c r="O709">
        <f>ROUND(N709*M709/100,0)</f>
        <v/>
      </c>
      <c r="P709" s="5" t="inlineStr">
        <is>
          <t>TN 880, KD 9 - country-level; local low-cost competition makes conversion uncertain</t>
        </is>
      </c>
      <c r="Q709" s="5" t="inlineStr">
        <is>
          <t>None detected</t>
        </is>
      </c>
    </row>
    <row r="710">
      <c r="A710" s="3" t="inlineStr">
        <is>
          <t>https://codesommet.com/web-development-company/tunis</t>
        </is>
      </c>
      <c r="B710" s="5" t="inlineStr">
        <is>
          <t>Développement Web à Tunis, Tunisie : des sites web qui génèrent CROISSANCE COMME</t>
        </is>
      </c>
      <c r="C710" t="inlineStr">
        <is>
          <t>Tunisia</t>
        </is>
      </c>
      <c r="D710" t="inlineStr">
        <is>
          <t>tn</t>
        </is>
      </c>
      <c r="E710" t="inlineStr">
        <is>
          <t>OPTIONAL</t>
        </is>
      </c>
      <c r="F710" t="inlineStr">
        <is>
          <t>développement web tunisie</t>
        </is>
      </c>
      <c r="G710" t="n">
        <v>260</v>
      </c>
      <c r="H710" t="n">
        <v>18</v>
      </c>
      <c r="I710" t="n">
        <v>0</v>
      </c>
      <c r="J710" t="inlineStr">
        <is>
          <t>Commercial</t>
        </is>
      </c>
      <c r="K710" t="inlineStr">
        <is>
          <t>MEASURED</t>
        </is>
      </c>
      <c r="L710" t="inlineStr">
        <is>
          <t>P4</t>
        </is>
      </c>
      <c r="M710" t="n">
        <v>45</v>
      </c>
      <c r="N710">
        <f>ROUND(IF(IF(J710="NOT AVAILABLE","",J710)="",12,IF(OR(ISNUMBER(SEARCH("Transactional",IF(J710="NOT AVAILABLE","",J710))),ISNUMBER(SEARCH("Commercial",IF(J710="NOT AVAILABLE","",J710)))),25,IF(ISNUMBER(SEARCH("Informational",IF(J710="NOT AVAILABLE","",J710))),10,IF(ISNUMBER(SEARCH("Navigational",IF(J710="NOT AVAILABLE","",J710))),0,12))))+IF(ISNUMBER(G710),MIN(30,ROUND(30*LOG10(G710+1)/4,1)),0)+IF(ISNUMBER(H710),ROUND(25*(100-H710)/100,1),12.5)+6,0)</f>
        <v/>
      </c>
      <c r="O710">
        <f>ROUND(N710*M710/100,0)</f>
        <v/>
      </c>
      <c r="P710" s="5" t="inlineStr">
        <is>
          <t>TN 260, KD 18</t>
        </is>
      </c>
      <c r="Q710" s="5" t="inlineStr">
        <is>
          <t>None detected</t>
        </is>
      </c>
    </row>
    <row r="711">
      <c r="A711" s="3" t="inlineStr">
        <is>
          <t>https://codesommet.com/web-development-company/tunis</t>
        </is>
      </c>
      <c r="B711" s="5" t="inlineStr">
        <is>
          <t>Développement Web à Tunis, Tunisie : des sites web qui génèrent CROISSANCE COMME</t>
        </is>
      </c>
      <c r="C711" t="inlineStr">
        <is>
          <t>France</t>
        </is>
      </c>
      <c r="D711" t="inlineStr">
        <is>
          <t>fr</t>
        </is>
      </c>
      <c r="E711" t="inlineStr">
        <is>
          <t>OPTIONAL</t>
        </is>
      </c>
      <c r="F711" t="inlineStr">
        <is>
          <t>agence web tunis</t>
        </is>
      </c>
      <c r="G711" t="n">
        <v>20</v>
      </c>
      <c r="H711" t="inlineStr">
        <is>
          <t>NOT AVAILABLE</t>
        </is>
      </c>
      <c r="I711" t="n">
        <v>0</v>
      </c>
      <c r="J711" t="inlineStr">
        <is>
          <t>NOT AVAILABLE</t>
        </is>
      </c>
      <c r="K711" t="inlineStr">
        <is>
          <t>MEASURED</t>
        </is>
      </c>
      <c r="L711" t="inlineStr">
        <is>
          <t>P4</t>
        </is>
      </c>
      <c r="M711" t="n">
        <v>45</v>
      </c>
      <c r="N711">
        <f>ROUND(IF(IF(J711="NOT AVAILABLE","",J711)="",12,IF(OR(ISNUMBER(SEARCH("Transactional",IF(J711="NOT AVAILABLE","",J711))),ISNUMBER(SEARCH("Commercial",IF(J711="NOT AVAILABLE","",J711)))),25,IF(ISNUMBER(SEARCH("Informational",IF(J711="NOT AVAILABLE","",J711))),10,IF(ISNUMBER(SEARCH("Navigational",IF(J711="NOT AVAILABLE","",J711))),0,12))))+IF(ISNUMBER(G711),MIN(30,ROUND(30*LOG10(G711+1)/4,1)),0)+IF(ISNUMBER(H711),ROUND(25*(100-H711)/100,1),12.5)+14,0)</f>
        <v/>
      </c>
      <c r="O711">
        <f>ROUND(N711*M711/100,0)</f>
        <v/>
      </c>
      <c r="P711" s="5" t="inlineStr">
        <is>
          <t>French searchers in France looking for a provider in this city</t>
        </is>
      </c>
      <c r="Q711" s="5" t="inlineStr">
        <is>
          <t>None detected</t>
        </is>
      </c>
    </row>
    <row r="712">
      <c r="A712" s="3" t="inlineStr">
        <is>
          <t>https://codesommet.com/web-development-company/vancouver</t>
        </is>
      </c>
      <c r="B712" s="5" t="inlineStr">
        <is>
          <t>Développement Web à Vancouver, Canada : des sites web qui génèrent Tableaux de B</t>
        </is>
      </c>
      <c r="C712" t="inlineStr">
        <is>
          <t>Canada</t>
        </is>
      </c>
      <c r="D712" t="inlineStr">
        <is>
          <t>ca</t>
        </is>
      </c>
      <c r="E712" t="inlineStr">
        <is>
          <t>PRIMARY</t>
        </is>
      </c>
      <c r="F712" t="inlineStr">
        <is>
          <t>développement web vancouver</t>
        </is>
      </c>
      <c r="G712" t="inlineStr">
        <is>
          <t>NOT AVAILABLE</t>
        </is>
      </c>
      <c r="H712" t="inlineStr">
        <is>
          <t>NOT AVAILABLE</t>
        </is>
      </c>
      <c r="I712" t="inlineStr">
        <is>
          <t>NOT AVAILABLE</t>
        </is>
      </c>
      <c r="J712" t="inlineStr">
        <is>
          <t>NOT AVAILABLE</t>
        </is>
      </c>
      <c r="K712" t="inlineStr">
        <is>
          <t>UNAVAILABLE</t>
        </is>
      </c>
      <c r="L712" t="inlineStr">
        <is>
          <t>P3</t>
        </is>
      </c>
      <c r="M712" t="n">
        <v>100</v>
      </c>
      <c r="N712">
        <f>ROUND(IF(IF(J712="NOT AVAILABLE","",J712)="",12,IF(OR(ISNUMBER(SEARCH("Transactional",IF(J712="NOT AVAILABLE","",J712))),ISNUMBER(SEARCH("Commercial",IF(J712="NOT AVAILABLE","",J712)))),25,IF(ISNUMBER(SEARCH("Informational",IF(J712="NOT AVAILABLE","",J712))),10,IF(ISNUMBER(SEARCH("Navigational",IF(J712="NOT AVAILABLE","",J712))),0,12))))+IF(ISNUMBER(G712),MIN(30,ROUND(30*LOG10(G712+1)/4,1)),0)+IF(ISNUMBER(H712),ROUND(25*(100-H712)/100,1),12.5)+10,0)</f>
        <v/>
      </c>
      <c r="O712">
        <f>ROUND(N712*M712/100,0)</f>
        <v/>
      </c>
      <c r="P712" s="5" t="inlineStr">
        <is>
          <t>Matches current H1; Semrush shows no/negligible French-language demand in this market</t>
        </is>
      </c>
      <c r="Q712" s="5" t="inlineStr">
        <is>
          <t>None detected</t>
        </is>
      </c>
    </row>
    <row r="713">
      <c r="A713" s="3" t="inlineStr">
        <is>
          <t>https://codesommet.com/web-development-company/vancouver</t>
        </is>
      </c>
      <c r="B713" s="5" t="inlineStr">
        <is>
          <t>Développement Web à Vancouver, Canada : des sites web qui génèrent Tableaux de B</t>
        </is>
      </c>
      <c r="C713" t="inlineStr">
        <is>
          <t>Canada</t>
        </is>
      </c>
      <c r="D713" t="inlineStr">
        <is>
          <t>ca</t>
        </is>
      </c>
      <c r="E713" t="inlineStr">
        <is>
          <t>NOT RECOMMENDED</t>
        </is>
      </c>
      <c r="F713" t="inlineStr">
        <is>
          <t>web development company vancouver</t>
        </is>
      </c>
      <c r="G713" t="n">
        <v>260</v>
      </c>
      <c r="H713" t="n">
        <v>46</v>
      </c>
      <c r="I713" t="n">
        <v>6.03</v>
      </c>
      <c r="J713" t="inlineStr">
        <is>
          <t>Commercial</t>
        </is>
      </c>
      <c r="K713" t="inlineStr">
        <is>
          <t>MEASURED</t>
        </is>
      </c>
      <c r="L713" t="inlineStr">
        <is>
          <t>P4</t>
        </is>
      </c>
      <c r="M713" t="n">
        <v>0</v>
      </c>
      <c r="N713">
        <f>ROUND(IF(IF(J713="NOT AVAILABLE","",J713)="",12,IF(OR(ISNUMBER(SEARCH("Transactional",IF(J713="NOT AVAILABLE","",J713))),ISNUMBER(SEARCH("Commercial",IF(J713="NOT AVAILABLE","",J713)))),25,IF(ISNUMBER(SEARCH("Informational",IF(J713="NOT AVAILABLE","",J713))),10,IF(ISNUMBER(SEARCH("Navigational",IF(J713="NOT AVAILABLE","",J713))),0,12))))+IF(ISNUMBER(G713),MIN(30,ROUND(30*LOG10(G713+1)/4,1)),0)+IF(ISNUMBER(H713),ROUND(25*(100-H713)/100,1),12.5)+10,0)</f>
        <v/>
      </c>
      <c r="O713">
        <f>ROUND(N713*M713/100,0)</f>
        <v/>
      </c>
      <c r="P713" s="5" t="inlineStr">
        <is>
          <t>Local-language demand (260) but the page is in French - language mismatch; see sheet 08</t>
        </is>
      </c>
      <c r="Q713" s="5" t="inlineStr">
        <is>
          <t>n/a (not targeted)</t>
        </is>
      </c>
    </row>
    <row r="714">
      <c r="A714" s="3" t="inlineStr">
        <is>
          <t>https://codesommet.com/web-development-company/worldwide</t>
        </is>
      </c>
      <c r="B714" s="5" t="inlineStr">
        <is>
          <t>Agence Web Offshore au Maroc : nous travaillons à distance, où que vous soyez PA</t>
        </is>
      </c>
      <c r="C714" t="inlineStr">
        <is>
          <t>Morocco</t>
        </is>
      </c>
      <c r="D714" t="inlineStr">
        <is>
          <t>ma</t>
        </is>
      </c>
      <c r="E714" t="inlineStr">
        <is>
          <t>PRIMARY</t>
        </is>
      </c>
      <c r="F714" t="inlineStr">
        <is>
          <t>agence web offshore maroc</t>
        </is>
      </c>
      <c r="G714" t="n">
        <v>140</v>
      </c>
      <c r="H714" t="inlineStr">
        <is>
          <t>NOT AVAILABLE</t>
        </is>
      </c>
      <c r="I714" t="n">
        <v>0</v>
      </c>
      <c r="J714" t="inlineStr">
        <is>
          <t>NOT AVAILABLE</t>
        </is>
      </c>
      <c r="K714" t="inlineStr">
        <is>
          <t>MEASURED</t>
        </is>
      </c>
      <c r="L714" t="inlineStr">
        <is>
          <t>P1</t>
        </is>
      </c>
      <c r="M714" t="n">
        <v>100</v>
      </c>
      <c r="N714">
        <f>ROUND(IF(IF(J714="NOT AVAILABLE","",J714)="",12,IF(OR(ISNUMBER(SEARCH("Transactional",IF(J714="NOT AVAILABLE","",J714))),ISNUMBER(SEARCH("Commercial",IF(J714="NOT AVAILABLE","",J714)))),25,IF(ISNUMBER(SEARCH("Informational",IF(J714="NOT AVAILABLE","",J714))),10,IF(ISNUMBER(SEARCH("Navigational",IF(J714="NOT AVAILABLE","",J714))),0,12))))+IF(ISNUMBER(G714),MIN(30,ROUND(30*LOG10(G714+1)/4,1)),0)+IF(ISNUMBER(H714),ROUND(25*(100-H714)/100,1),12.5)+20,0)</f>
        <v/>
      </c>
      <c r="O714">
        <f>ROUND(N714*M714/100,0)</f>
        <v/>
      </c>
      <c r="P714" s="5" t="inlineStr">
        <is>
          <t>MA 140 - exact title match; offshore positioning for foreign clients</t>
        </is>
      </c>
      <c r="Q714" s="5" t="inlineStr">
        <is>
          <t>None detected</t>
        </is>
      </c>
    </row>
    <row r="715">
      <c r="A715" s="3" t="inlineStr">
        <is>
          <t>https://codesommet.com/web-development-company/worldwide</t>
        </is>
      </c>
      <c r="B715" s="5" t="inlineStr">
        <is>
          <t>Agence Web Offshore au Maroc : nous travaillons à distance, où que vous soyez PA</t>
        </is>
      </c>
      <c r="C715" t="inlineStr">
        <is>
          <t>France</t>
        </is>
      </c>
      <c r="D715" t="inlineStr">
        <is>
          <t>fr</t>
        </is>
      </c>
      <c r="E715" t="inlineStr">
        <is>
          <t>SECONDARY</t>
        </is>
      </c>
      <c r="F715" t="inlineStr">
        <is>
          <t>agence de développement web</t>
        </is>
      </c>
      <c r="G715" t="n">
        <v>1300</v>
      </c>
      <c r="H715" t="n">
        <v>32</v>
      </c>
      <c r="I715" t="n">
        <v>4.62</v>
      </c>
      <c r="J715" t="inlineStr">
        <is>
          <t>Commercial</t>
        </is>
      </c>
      <c r="K715" t="inlineStr">
        <is>
          <t>MEASURED</t>
        </is>
      </c>
      <c r="L715" t="inlineStr">
        <is>
          <t>P1</t>
        </is>
      </c>
      <c r="M715" t="n">
        <v>85</v>
      </c>
      <c r="N715">
        <f>ROUND(IF(IF(J715="NOT AVAILABLE","",J715)="",12,IF(OR(ISNUMBER(SEARCH("Transactional",IF(J715="NOT AVAILABLE","",J715))),ISNUMBER(SEARCH("Commercial",IF(J715="NOT AVAILABLE","",J715)))),25,IF(ISNUMBER(SEARCH("Informational",IF(J715="NOT AVAILABLE","",J715))),10,IF(ISNUMBER(SEARCH("Navigational",IF(J715="NOT AVAILABLE","",J715))),0,12))))+IF(ISNUMBER(G715),MIN(30,ROUND(30*LOG10(G715+1)/4,1)),0)+IF(ISNUMBER(H715),ROUND(25*(100-H715)/100,1),12.5)+14,0)</f>
        <v/>
      </c>
      <c r="O715">
        <f>ROUND(N715*M715/100,0)</f>
        <v/>
      </c>
      <c r="P715" s="5" t="inlineStr">
        <is>
          <t>1300, KD 32 - FR head; realistic only with authority</t>
        </is>
      </c>
      <c r="Q715" s="5" t="inlineStr">
        <is>
          <t>None detected</t>
        </is>
      </c>
    </row>
    <row r="716">
      <c r="A716" s="3" t="inlineStr">
        <is>
          <t>https://codesommet.com/web-development-company/worldwide</t>
        </is>
      </c>
      <c r="B716" s="5" t="inlineStr">
        <is>
          <t>Agence Web Offshore au Maroc : nous travaillons à distance, où que vous soyez PA</t>
        </is>
      </c>
      <c r="C716" t="inlineStr">
        <is>
          <t>France</t>
        </is>
      </c>
      <c r="D716" t="inlineStr">
        <is>
          <t>fr</t>
        </is>
      </c>
      <c r="E716" t="inlineStr">
        <is>
          <t>SECONDARY</t>
        </is>
      </c>
      <c r="F716" t="inlineStr">
        <is>
          <t>agence web offshore</t>
        </is>
      </c>
      <c r="G716" t="n">
        <v>480</v>
      </c>
      <c r="H716" t="n">
        <v>19</v>
      </c>
      <c r="I716" t="n">
        <v>0</v>
      </c>
      <c r="J716" t="inlineStr">
        <is>
          <t>Informational</t>
        </is>
      </c>
      <c r="K716" t="inlineStr">
        <is>
          <t>MEASURED</t>
        </is>
      </c>
      <c r="L716" t="inlineStr">
        <is>
          <t>P1</t>
        </is>
      </c>
      <c r="M716" t="n">
        <v>85</v>
      </c>
      <c r="N716">
        <f>ROUND(IF(IF(J716="NOT AVAILABLE","",J716)="",12,IF(OR(ISNUMBER(SEARCH("Transactional",IF(J716="NOT AVAILABLE","",J716))),ISNUMBER(SEARCH("Commercial",IF(J716="NOT AVAILABLE","",J716)))),25,IF(ISNUMBER(SEARCH("Informational",IF(J716="NOT AVAILABLE","",J716))),10,IF(ISNUMBER(SEARCH("Navigational",IF(J716="NOT AVAILABLE","",J716))),0,12))))+IF(ISNUMBER(G716),MIN(30,ROUND(30*LOG10(G716+1)/4,1)),0)+IF(ISNUMBER(H716),ROUND(25*(100-H716)/100,1),12.5)+14,0)</f>
        <v/>
      </c>
      <c r="O716">
        <f>ROUND(N716*M716/100,0)</f>
        <v/>
      </c>
      <c r="P716" s="5" t="inlineStr">
        <is>
          <t>FR 480, KD 19 - main FR offshore query</t>
        </is>
      </c>
      <c r="Q716" s="5" t="inlineStr">
        <is>
          <t>None detected</t>
        </is>
      </c>
    </row>
    <row r="717">
      <c r="A717" s="3" t="inlineStr">
        <is>
          <t>https://codesommet.com/web-development-company/worldwide</t>
        </is>
      </c>
      <c r="B717" s="5" t="inlineStr">
        <is>
          <t>Agence Web Offshore au Maroc : nous travaillons à distance, où que vous soyez PA</t>
        </is>
      </c>
      <c r="C717" t="inlineStr">
        <is>
          <t>France</t>
        </is>
      </c>
      <c r="D717" t="inlineStr">
        <is>
          <t>fr</t>
        </is>
      </c>
      <c r="E717" t="inlineStr">
        <is>
          <t>SECONDARY</t>
        </is>
      </c>
      <c r="F717" t="inlineStr">
        <is>
          <t>développement web offshore</t>
        </is>
      </c>
      <c r="G717" t="n">
        <v>210</v>
      </c>
      <c r="H717" t="n">
        <v>12</v>
      </c>
      <c r="I717" t="n">
        <v>0</v>
      </c>
      <c r="J717" t="inlineStr">
        <is>
          <t>Informational</t>
        </is>
      </c>
      <c r="K717" t="inlineStr">
        <is>
          <t>MEASURED</t>
        </is>
      </c>
      <c r="L717" t="inlineStr">
        <is>
          <t>P1</t>
        </is>
      </c>
      <c r="M717" t="n">
        <v>85</v>
      </c>
      <c r="N717">
        <f>ROUND(IF(IF(J717="NOT AVAILABLE","",J717)="",12,IF(OR(ISNUMBER(SEARCH("Transactional",IF(J717="NOT AVAILABLE","",J717))),ISNUMBER(SEARCH("Commercial",IF(J717="NOT AVAILABLE","",J717)))),25,IF(ISNUMBER(SEARCH("Informational",IF(J717="NOT AVAILABLE","",J717))),10,IF(ISNUMBER(SEARCH("Navigational",IF(J717="NOT AVAILABLE","",J717))),0,12))))+IF(ISNUMBER(G717),MIN(30,ROUND(30*LOG10(G717+1)/4,1)),0)+IF(ISNUMBER(H717),ROUND(25*(100-H717)/100,1),12.5)+14,0)</f>
        <v/>
      </c>
      <c r="O717">
        <f>ROUND(N717*M717/100,0)</f>
        <v/>
      </c>
      <c r="P717" s="5" t="inlineStr">
        <is>
          <t>210, KD 12</t>
        </is>
      </c>
      <c r="Q717" s="5" t="inlineStr">
        <is>
          <t>None detected</t>
        </is>
      </c>
    </row>
    <row r="718">
      <c r="A718" s="3" t="inlineStr">
        <is>
          <t>https://codesommet.com/web-development-company/worldwide</t>
        </is>
      </c>
      <c r="B718" s="5" t="inlineStr">
        <is>
          <t>Agence Web Offshore au Maroc : nous travaillons à distance, où que vous soyez PA</t>
        </is>
      </c>
      <c r="C718" t="inlineStr">
        <is>
          <t>France</t>
        </is>
      </c>
      <c r="D718" t="inlineStr">
        <is>
          <t>fr</t>
        </is>
      </c>
      <c r="E718" t="inlineStr">
        <is>
          <t>SECONDARY</t>
        </is>
      </c>
      <c r="F718" t="inlineStr">
        <is>
          <t>développeur offshore</t>
        </is>
      </c>
      <c r="G718" t="n">
        <v>110</v>
      </c>
      <c r="H718" t="n">
        <v>10</v>
      </c>
      <c r="I718" t="n">
        <v>3.54</v>
      </c>
      <c r="J718" t="inlineStr">
        <is>
          <t>Informational</t>
        </is>
      </c>
      <c r="K718" t="inlineStr">
        <is>
          <t>MEASURED</t>
        </is>
      </c>
      <c r="L718" t="inlineStr">
        <is>
          <t>P1</t>
        </is>
      </c>
      <c r="M718" t="n">
        <v>85</v>
      </c>
      <c r="N718">
        <f>ROUND(IF(IF(J718="NOT AVAILABLE","",J718)="",12,IF(OR(ISNUMBER(SEARCH("Transactional",IF(J718="NOT AVAILABLE","",J718))),ISNUMBER(SEARCH("Commercial",IF(J718="NOT AVAILABLE","",J718)))),25,IF(ISNUMBER(SEARCH("Informational",IF(J718="NOT AVAILABLE","",J718))),10,IF(ISNUMBER(SEARCH("Navigational",IF(J718="NOT AVAILABLE","",J718))),0,12))))+IF(ISNUMBER(G718),MIN(30,ROUND(30*LOG10(G718+1)/4,1)),0)+IF(ISNUMBER(H718),ROUND(25*(100-H718)/100,1),12.5)+14,0)</f>
        <v/>
      </c>
      <c r="O718">
        <f>ROUND(N718*M718/100,0)</f>
        <v/>
      </c>
      <c r="P718" s="5" t="inlineStr">
        <is>
          <t>110, KD 10</t>
        </is>
      </c>
      <c r="Q718" s="5" t="inlineStr">
        <is>
          <t>None detected</t>
        </is>
      </c>
    </row>
    <row r="719">
      <c r="A719" s="3" t="inlineStr">
        <is>
          <t>https://codesommet.com/web-development-company/worldwide</t>
        </is>
      </c>
      <c r="B719" s="5" t="inlineStr">
        <is>
          <t>Agence Web Offshore au Maroc : nous travaillons à distance, où que vous soyez PA</t>
        </is>
      </c>
      <c r="C719" t="inlineStr">
        <is>
          <t>France</t>
        </is>
      </c>
      <c r="D719" t="inlineStr">
        <is>
          <t>fr</t>
        </is>
      </c>
      <c r="E719" t="inlineStr">
        <is>
          <t>SUPPORTING</t>
        </is>
      </c>
      <c r="F719" t="inlineStr">
        <is>
          <t>développement web sur mesure</t>
        </is>
      </c>
      <c r="G719" t="n">
        <v>1600</v>
      </c>
      <c r="H719" t="n">
        <v>10</v>
      </c>
      <c r="I719" t="n">
        <v>6.28</v>
      </c>
      <c r="J719" t="inlineStr">
        <is>
          <t>Informational</t>
        </is>
      </c>
      <c r="K719" t="inlineStr">
        <is>
          <t>MEASURED</t>
        </is>
      </c>
      <c r="L719" t="inlineStr">
        <is>
          <t>P3</t>
        </is>
      </c>
      <c r="M719" t="n">
        <v>65</v>
      </c>
      <c r="N719">
        <f>ROUND(IF(IF(J719="NOT AVAILABLE","",J719)="",12,IF(OR(ISNUMBER(SEARCH("Transactional",IF(J719="NOT AVAILABLE","",J719))),ISNUMBER(SEARCH("Commercial",IF(J719="NOT AVAILABLE","",J719)))),25,IF(ISNUMBER(SEARCH("Informational",IF(J719="NOT AVAILABLE","",J719))),10,IF(ISNUMBER(SEARCH("Navigational",IF(J719="NOT AVAILABLE","",J719))),0,12))))+IF(ISNUMBER(G719),MIN(30,ROUND(30*LOG10(G719+1)/4,1)),0)+IF(ISNUMBER(H719),ROUND(25*(100-H719)/100,1),12.5)+14,0)</f>
        <v/>
      </c>
      <c r="O719">
        <f>ROUND(N719*M719/100,0)</f>
        <v/>
      </c>
      <c r="P719" s="5" t="inlineStr">
        <is>
          <t>1600, KD 10 - FR; strongest low-KD FR term, see content gap</t>
        </is>
      </c>
      <c r="Q719" s="5" t="inlineStr">
        <is>
          <t>None detected</t>
        </is>
      </c>
    </row>
    <row r="720">
      <c r="A720" s="3" t="inlineStr">
        <is>
          <t>https://codesommet.com/web-development-company/worldwide</t>
        </is>
      </c>
      <c r="B720" s="5" t="inlineStr">
        <is>
          <t>Agence Web Offshore au Maroc : nous travaillons à distance, où que vous soyez PA</t>
        </is>
      </c>
      <c r="C720" t="inlineStr">
        <is>
          <t>France</t>
        </is>
      </c>
      <c r="D720" t="inlineStr">
        <is>
          <t>fr</t>
        </is>
      </c>
      <c r="E720" t="inlineStr">
        <is>
          <t>SUPPORTING</t>
        </is>
      </c>
      <c r="F720" t="inlineStr">
        <is>
          <t>sous-traitance développement web</t>
        </is>
      </c>
      <c r="G720" t="n">
        <v>40</v>
      </c>
      <c r="H720" t="inlineStr">
        <is>
          <t>NOT AVAILABLE</t>
        </is>
      </c>
      <c r="I720" t="n">
        <v>0</v>
      </c>
      <c r="J720" t="inlineStr">
        <is>
          <t>NOT AVAILABLE</t>
        </is>
      </c>
      <c r="K720" t="inlineStr">
        <is>
          <t>MEASURED</t>
        </is>
      </c>
      <c r="L720" t="inlineStr">
        <is>
          <t>P3</t>
        </is>
      </c>
      <c r="M720" t="n">
        <v>65</v>
      </c>
      <c r="N720">
        <f>ROUND(IF(IF(J720="NOT AVAILABLE","",J720)="",12,IF(OR(ISNUMBER(SEARCH("Transactional",IF(J720="NOT AVAILABLE","",J720))),ISNUMBER(SEARCH("Commercial",IF(J720="NOT AVAILABLE","",J720)))),25,IF(ISNUMBER(SEARCH("Informational",IF(J720="NOT AVAILABLE","",J720))),10,IF(ISNUMBER(SEARCH("Navigational",IF(J720="NOT AVAILABLE","",J720))),0,12))))+IF(ISNUMBER(G720),MIN(30,ROUND(30*LOG10(G720+1)/4,1)),0)+IF(ISNUMBER(H720),ROUND(25*(100-H720)/100,1),12.5)+14,0)</f>
        <v/>
      </c>
      <c r="O720">
        <f>ROUND(N720*M720/100,0)</f>
        <v/>
      </c>
      <c r="P720" s="5" t="inlineStr">
        <is>
          <t>40</t>
        </is>
      </c>
      <c r="Q720" s="5" t="inlineStr">
        <is>
          <t>None detected</t>
        </is>
      </c>
    </row>
    <row r="721">
      <c r="A721" s="3" t="inlineStr">
        <is>
          <t>https://codesommet.com/web-development-company/worldwide</t>
        </is>
      </c>
      <c r="B721" s="5" t="inlineStr">
        <is>
          <t>Agence Web Offshore au Maroc : nous travaillons à distance, où que vous soyez PA</t>
        </is>
      </c>
      <c r="C721" t="inlineStr">
        <is>
          <t>France</t>
        </is>
      </c>
      <c r="D721" t="inlineStr">
        <is>
          <t>fr</t>
        </is>
      </c>
      <c r="E721" t="inlineStr">
        <is>
          <t>SUPPORTING</t>
        </is>
      </c>
      <c r="F721" t="inlineStr">
        <is>
          <t>externalisation développement web</t>
        </is>
      </c>
      <c r="G721" t="n">
        <v>20</v>
      </c>
      <c r="H721" t="inlineStr">
        <is>
          <t>NOT AVAILABLE</t>
        </is>
      </c>
      <c r="I721" t="n">
        <v>0</v>
      </c>
      <c r="J721" t="inlineStr">
        <is>
          <t>NOT AVAILABLE</t>
        </is>
      </c>
      <c r="K721" t="inlineStr">
        <is>
          <t>MEASURED</t>
        </is>
      </c>
      <c r="L721" t="inlineStr">
        <is>
          <t>P3</t>
        </is>
      </c>
      <c r="M721" t="n">
        <v>65</v>
      </c>
      <c r="N721">
        <f>ROUND(IF(IF(J721="NOT AVAILABLE","",J721)="",12,IF(OR(ISNUMBER(SEARCH("Transactional",IF(J721="NOT AVAILABLE","",J721))),ISNUMBER(SEARCH("Commercial",IF(J721="NOT AVAILABLE","",J721)))),25,IF(ISNUMBER(SEARCH("Informational",IF(J721="NOT AVAILABLE","",J721))),10,IF(ISNUMBER(SEARCH("Navigational",IF(J721="NOT AVAILABLE","",J721))),0,12))))+IF(ISNUMBER(G721),MIN(30,ROUND(30*LOG10(G721+1)/4,1)),0)+IF(ISNUMBER(H721),ROUND(25*(100-H721)/100,1),12.5)+14,0)</f>
        <v/>
      </c>
      <c r="O721">
        <f>ROUND(N721*M721/100,0)</f>
        <v/>
      </c>
      <c r="P721" s="5" t="inlineStr">
        <is>
          <t>20</t>
        </is>
      </c>
      <c r="Q721" s="5" t="inlineStr">
        <is>
          <t>None detected</t>
        </is>
      </c>
    </row>
    <row r="722">
      <c r="A722" s="3" t="inlineStr">
        <is>
          <t>https://codesommet.com/web-development-company/worldwide</t>
        </is>
      </c>
      <c r="B722" s="5" t="inlineStr">
        <is>
          <t>Agence Web Offshore au Maroc : nous travaillons à distance, où que vous soyez PA</t>
        </is>
      </c>
      <c r="C722" t="inlineStr">
        <is>
          <t>France</t>
        </is>
      </c>
      <c r="D722" t="inlineStr">
        <is>
          <t>fr</t>
        </is>
      </c>
      <c r="E722" t="inlineStr">
        <is>
          <t>SUPPORTING</t>
        </is>
      </c>
      <c r="F722" t="inlineStr">
        <is>
          <t>nearshore maroc</t>
        </is>
      </c>
      <c r="G722" t="n">
        <v>20</v>
      </c>
      <c r="H722" t="inlineStr">
        <is>
          <t>NOT AVAILABLE</t>
        </is>
      </c>
      <c r="I722" t="n">
        <v>0</v>
      </c>
      <c r="J722" t="inlineStr">
        <is>
          <t>NOT AVAILABLE</t>
        </is>
      </c>
      <c r="K722" t="inlineStr">
        <is>
          <t>MEASURED</t>
        </is>
      </c>
      <c r="L722" t="inlineStr">
        <is>
          <t>P3</t>
        </is>
      </c>
      <c r="M722" t="n">
        <v>65</v>
      </c>
      <c r="N722">
        <f>ROUND(IF(IF(J722="NOT AVAILABLE","",J722)="",12,IF(OR(ISNUMBER(SEARCH("Transactional",IF(J722="NOT AVAILABLE","",J722))),ISNUMBER(SEARCH("Commercial",IF(J722="NOT AVAILABLE","",J722)))),25,IF(ISNUMBER(SEARCH("Informational",IF(J722="NOT AVAILABLE","",J722))),10,IF(ISNUMBER(SEARCH("Navigational",IF(J722="NOT AVAILABLE","",J722))),0,12))))+IF(ISNUMBER(G722),MIN(30,ROUND(30*LOG10(G722+1)/4,1)),0)+IF(ISNUMBER(H722),ROUND(25*(100-H722)/100,1),12.5)+14,0)</f>
        <v/>
      </c>
      <c r="O722">
        <f>ROUND(N722*M722/100,0)</f>
        <v/>
      </c>
      <c r="P722" s="5" t="inlineStr">
        <is>
          <t>Semantic/supporting term for body copy</t>
        </is>
      </c>
      <c r="Q722" s="5" t="inlineStr">
        <is>
          <t>None detected</t>
        </is>
      </c>
    </row>
    <row r="723">
      <c r="A723" s="3" t="inlineStr">
        <is>
          <t>https://codesommet.com/web-development-company/worldwide</t>
        </is>
      </c>
      <c r="B723" s="5" t="inlineStr">
        <is>
          <t>Agence Web Offshore au Maroc : nous travaillons à distance, où que vous soyez PA</t>
        </is>
      </c>
      <c r="C723" t="inlineStr">
        <is>
          <t>France</t>
        </is>
      </c>
      <c r="D723" t="inlineStr">
        <is>
          <t>fr</t>
        </is>
      </c>
      <c r="E723" t="inlineStr">
        <is>
          <t>SUPPORTING</t>
        </is>
      </c>
      <c r="F723" t="inlineStr">
        <is>
          <t>offshore maroc</t>
        </is>
      </c>
      <c r="G723" t="n">
        <v>20</v>
      </c>
      <c r="H723" t="inlineStr">
        <is>
          <t>NOT AVAILABLE</t>
        </is>
      </c>
      <c r="I723" t="n">
        <v>0</v>
      </c>
      <c r="J723" t="inlineStr">
        <is>
          <t>NOT AVAILABLE</t>
        </is>
      </c>
      <c r="K723" t="inlineStr">
        <is>
          <t>MEASURED</t>
        </is>
      </c>
      <c r="L723" t="inlineStr">
        <is>
          <t>P3</t>
        </is>
      </c>
      <c r="M723" t="n">
        <v>65</v>
      </c>
      <c r="N723">
        <f>ROUND(IF(IF(J723="NOT AVAILABLE","",J723)="",12,IF(OR(ISNUMBER(SEARCH("Transactional",IF(J723="NOT AVAILABLE","",J723))),ISNUMBER(SEARCH("Commercial",IF(J723="NOT AVAILABLE","",J723)))),25,IF(ISNUMBER(SEARCH("Informational",IF(J723="NOT AVAILABLE","",J723))),10,IF(ISNUMBER(SEARCH("Navigational",IF(J723="NOT AVAILABLE","",J723))),0,12))))+IF(ISNUMBER(G723),MIN(30,ROUND(30*LOG10(G723+1)/4,1)),0)+IF(ISNUMBER(H723),ROUND(25*(100-H723)/100,1),12.5)+14,0)</f>
        <v/>
      </c>
      <c r="O723">
        <f>ROUND(N723*M723/100,0)</f>
        <v/>
      </c>
      <c r="P723" s="5" t="inlineStr">
        <is>
          <t>Semantic/supporting term for body copy</t>
        </is>
      </c>
      <c r="Q723" s="5" t="inlineStr">
        <is>
          <t>None detected</t>
        </is>
      </c>
    </row>
    <row r="724">
      <c r="A724" s="3" t="inlineStr">
        <is>
          <t>https://codesommet.com/web-development-company/worldwide</t>
        </is>
      </c>
      <c r="B724" s="5" t="inlineStr">
        <is>
          <t>Agence Web Offshore au Maroc : nous travaillons à distance, où que vous soyez PA</t>
        </is>
      </c>
      <c r="C724" t="inlineStr">
        <is>
          <t>Morocco</t>
        </is>
      </c>
      <c r="D724" t="inlineStr">
        <is>
          <t>ma</t>
        </is>
      </c>
      <c r="E724" t="inlineStr">
        <is>
          <t>NOT RECOMMENDED</t>
        </is>
      </c>
      <c r="F724" t="inlineStr">
        <is>
          <t>agence web maroc</t>
        </is>
      </c>
      <c r="G724" t="n">
        <v>480</v>
      </c>
      <c r="H724" t="n">
        <v>53</v>
      </c>
      <c r="I724" t="n">
        <v>0.62</v>
      </c>
      <c r="J724" t="inlineStr">
        <is>
          <t>Commercial</t>
        </is>
      </c>
      <c r="K724" t="inlineStr">
        <is>
          <t>MEASURED</t>
        </is>
      </c>
      <c r="L724" t="inlineStr">
        <is>
          <t>P4</t>
        </is>
      </c>
      <c r="M724" t="n">
        <v>0</v>
      </c>
      <c r="N724">
        <f>ROUND(IF(IF(J724="NOT AVAILABLE","",J724)="",12,IF(OR(ISNUMBER(SEARCH("Transactional",IF(J724="NOT AVAILABLE","",J724))),ISNUMBER(SEARCH("Commercial",IF(J724="NOT AVAILABLE","",J724)))),25,IF(ISNUMBER(SEARCH("Informational",IF(J724="NOT AVAILABLE","",J724))),10,IF(ISNUMBER(SEARCH("Navigational",IF(J724="NOT AVAILABLE","",J724))),0,12))))+IF(ISNUMBER(G724),MIN(30,ROUND(30*LOG10(G724+1)/4,1)),0)+IF(ISNUMBER(H724),ROUND(25*(100-H724)/100,1),12.5)+20,0)</f>
        <v/>
      </c>
      <c r="O724">
        <f>ROUND(N724*M724/100,0)</f>
        <v/>
      </c>
      <c r="P724" s="5" t="inlineStr">
        <is>
          <t>Homepage keyword</t>
        </is>
      </c>
      <c r="Q724" s="5" t="inlineStr">
        <is>
          <t>n/a (not targeted)</t>
        </is>
      </c>
    </row>
    <row r="725">
      <c r="A725" s="3" t="inlineStr">
        <is>
          <t>https://codesommet.com/web-development-company/zurich</t>
        </is>
      </c>
      <c r="B725" s="5" t="inlineStr">
        <is>
          <t>Développement Web à Zurich, Suisse : des sites web qui génèrent Plateformes FinT</t>
        </is>
      </c>
      <c r="C725" t="inlineStr">
        <is>
          <t>Switzerland</t>
        </is>
      </c>
      <c r="D725" t="inlineStr">
        <is>
          <t>ch</t>
        </is>
      </c>
      <c r="E725" t="inlineStr">
        <is>
          <t>PRIMARY</t>
        </is>
      </c>
      <c r="F725" t="inlineStr">
        <is>
          <t>développement web zurich</t>
        </is>
      </c>
      <c r="G725" t="inlineStr">
        <is>
          <t>NOT AVAILABLE</t>
        </is>
      </c>
      <c r="H725" t="inlineStr">
        <is>
          <t>NOT AVAILABLE</t>
        </is>
      </c>
      <c r="I725" t="inlineStr">
        <is>
          <t>NOT AVAILABLE</t>
        </is>
      </c>
      <c r="J725" t="inlineStr">
        <is>
          <t>NOT AVAILABLE</t>
        </is>
      </c>
      <c r="K725" t="inlineStr">
        <is>
          <t>UNAVAILABLE</t>
        </is>
      </c>
      <c r="L725" t="inlineStr">
        <is>
          <t>P3</t>
        </is>
      </c>
      <c r="M725" t="n">
        <v>100</v>
      </c>
      <c r="N725">
        <f>ROUND(IF(IF(J725="NOT AVAILABLE","",J725)="",12,IF(OR(ISNUMBER(SEARCH("Transactional",IF(J725="NOT AVAILABLE","",J725))),ISNUMBER(SEARCH("Commercial",IF(J725="NOT AVAILABLE","",J725)))),25,IF(ISNUMBER(SEARCH("Informational",IF(J725="NOT AVAILABLE","",J725))),10,IF(ISNUMBER(SEARCH("Navigational",IF(J725="NOT AVAILABLE","",J725))),0,12))))+IF(ISNUMBER(G725),MIN(30,ROUND(30*LOG10(G725+1)/4,1)),0)+IF(ISNUMBER(H725),ROUND(25*(100-H725)/100,1),12.5)+10,0)</f>
        <v/>
      </c>
      <c r="O725">
        <f>ROUND(N725*M725/100,0)</f>
        <v/>
      </c>
      <c r="P725" s="5" t="inlineStr">
        <is>
          <t>Matches current H1; Semrush shows no/negligible French-language demand in this market</t>
        </is>
      </c>
      <c r="Q725" s="5" t="inlineStr">
        <is>
          <t>None detected</t>
        </is>
      </c>
    </row>
    <row r="726">
      <c r="A726" s="3" t="inlineStr">
        <is>
          <t>https://codesommet.com/web-development-company/zurich</t>
        </is>
      </c>
      <c r="B726" s="5" t="inlineStr">
        <is>
          <t>Développement Web à Zurich, Suisse : des sites web qui génèrent Plateformes FinT</t>
        </is>
      </c>
      <c r="C726" t="inlineStr">
        <is>
          <t>France</t>
        </is>
      </c>
      <c r="D726" t="inlineStr">
        <is>
          <t>fr</t>
        </is>
      </c>
      <c r="E726" t="inlineStr">
        <is>
          <t>OPTIONAL</t>
        </is>
      </c>
      <c r="F726" t="inlineStr">
        <is>
          <t>agence web zurich</t>
        </is>
      </c>
      <c r="G726" t="n">
        <v>50</v>
      </c>
      <c r="H726" t="inlineStr">
        <is>
          <t>NOT AVAILABLE</t>
        </is>
      </c>
      <c r="I726" t="n">
        <v>0</v>
      </c>
      <c r="J726" t="inlineStr">
        <is>
          <t>NOT AVAILABLE</t>
        </is>
      </c>
      <c r="K726" t="inlineStr">
        <is>
          <t>MEASURED</t>
        </is>
      </c>
      <c r="L726" t="inlineStr">
        <is>
          <t>P4</t>
        </is>
      </c>
      <c r="M726" t="n">
        <v>45</v>
      </c>
      <c r="N726">
        <f>ROUND(IF(IF(J726="NOT AVAILABLE","",J726)="",12,IF(OR(ISNUMBER(SEARCH("Transactional",IF(J726="NOT AVAILABLE","",J726))),ISNUMBER(SEARCH("Commercial",IF(J726="NOT AVAILABLE","",J726)))),25,IF(ISNUMBER(SEARCH("Informational",IF(J726="NOT AVAILABLE","",J726))),10,IF(ISNUMBER(SEARCH("Navigational",IF(J726="NOT AVAILABLE","",J726))),0,12))))+IF(ISNUMBER(G726),MIN(30,ROUND(30*LOG10(G726+1)/4,1)),0)+IF(ISNUMBER(H726),ROUND(25*(100-H726)/100,1),12.5)+14,0)</f>
        <v/>
      </c>
      <c r="O726">
        <f>ROUND(N726*M726/100,0)</f>
        <v/>
      </c>
      <c r="P726" s="5" t="inlineStr">
        <is>
          <t>French searchers in France looking for a provider in this city</t>
        </is>
      </c>
      <c r="Q726" s="5" t="inlineStr">
        <is>
          <t>None detected</t>
        </is>
      </c>
    </row>
    <row r="727">
      <c r="A727" s="3" t="inlineStr">
        <is>
          <t>https://codesommet.com/web-development-company/zurich</t>
        </is>
      </c>
      <c r="B727" s="5" t="inlineStr">
        <is>
          <t>Développement Web à Zurich, Suisse : des sites web qui génèrent Plateformes FinT</t>
        </is>
      </c>
      <c r="C727" t="inlineStr">
        <is>
          <t>Switzerland</t>
        </is>
      </c>
      <c r="D727" t="inlineStr">
        <is>
          <t>ch</t>
        </is>
      </c>
      <c r="E727" t="inlineStr">
        <is>
          <t>NOT RECOMMENDED</t>
        </is>
      </c>
      <c r="F727" t="inlineStr">
        <is>
          <t>webagentur zürich</t>
        </is>
      </c>
      <c r="G727" t="n">
        <v>1000</v>
      </c>
      <c r="H727" t="n">
        <v>52</v>
      </c>
      <c r="I727" t="n">
        <v>7.4</v>
      </c>
      <c r="J727" t="inlineStr">
        <is>
          <t>Commercial</t>
        </is>
      </c>
      <c r="K727" t="inlineStr">
        <is>
          <t>MEASURED</t>
        </is>
      </c>
      <c r="L727" t="inlineStr">
        <is>
          <t>P4</t>
        </is>
      </c>
      <c r="M727" t="n">
        <v>0</v>
      </c>
      <c r="N727">
        <f>ROUND(IF(IF(J727="NOT AVAILABLE","",J727)="",12,IF(OR(ISNUMBER(SEARCH("Transactional",IF(J727="NOT AVAILABLE","",J727))),ISNUMBER(SEARCH("Commercial",IF(J727="NOT AVAILABLE","",J727)))),25,IF(ISNUMBER(SEARCH("Informational",IF(J727="NOT AVAILABLE","",J727))),10,IF(ISNUMBER(SEARCH("Navigational",IF(J727="NOT AVAILABLE","",J727))),0,12))))+IF(ISNUMBER(G727),MIN(30,ROUND(30*LOG10(G727+1)/4,1)),0)+IF(ISNUMBER(H727),ROUND(25*(100-H727)/100,1),12.5)+10,0)</f>
        <v/>
      </c>
      <c r="O727">
        <f>ROUND(N727*M727/100,0)</f>
        <v/>
      </c>
      <c r="P727" s="5" t="inlineStr">
        <is>
          <t>Local-language demand (1000) but the page is in French - language mismatch; see sheet 08</t>
        </is>
      </c>
      <c r="Q727" s="5" t="inlineStr">
        <is>
          <t>n/a (not targeted)</t>
        </is>
      </c>
    </row>
  </sheetData>
  <autoFilter ref="A2:Q727"/>
  <conditionalFormatting sqref="A3:Q727">
    <cfRule type="expression" priority="1" dxfId="2">
      <formula>$K3="MEASURED"</formula>
    </cfRule>
    <cfRule type="expression" priority="2" dxfId="3">
      <formula>$K3="ESTIMATED"</formula>
    </cfRule>
    <cfRule type="expression" priority="3" dxfId="4">
      <formula>$K3="SUGGESTED"</formula>
    </cfRule>
    <cfRule type="expression" priority="4" dxfId="5">
      <formula>$K3="UNAVAILABLE"</formula>
    </cfRule>
  </conditionalFormatting>
  <conditionalFormatting sqref="H3:H727">
    <cfRule type="colorScale" priority="5">
      <colorScale>
        <cfvo type="num" val="0"/>
        <cfvo type="num" val="50"/>
        <cfvo type="num" val="100"/>
        <color rgb="0063BE7B"/>
        <color rgb="00FFEB84"/>
        <color rgb="00F8696B"/>
      </colorScale>
    </cfRule>
  </conditionalFormatting>
  <conditionalFormatting sqref="O3:O727">
    <cfRule type="dataBar" priority="6">
      <dataBar>
        <cfvo type="num" val="0"/>
        <cfvo type="num" val="100"/>
        <color rgb="005B9BD5"/>
      </dataBar>
    </cfRule>
  </conditionalFormatting>
  <conditionalFormatting sqref="Q3:Q727">
    <cfRule type="expression" priority="7" dxfId="0">
      <formula>LEFT($Q3,4)="HIGH"</formula>
    </cfRule>
    <cfRule type="expression" priority="8" dxfId="1">
      <formula>LEFT($Q3,6)="MEDIUM"</formula>
    </cfRule>
  </conditionalFormatting>
  <conditionalFormatting sqref="E3:E727">
    <cfRule type="expression" priority="9" dxfId="6">
      <formula>$E3="PRIMARY"</formula>
    </cfRule>
  </conditionalFormatting>
  <dataValidations count="2">
    <dataValidation sqref="E3:E727" showDropDown="0" showInputMessage="0" showErrorMessage="0" allowBlank="1" type="list">
      <formula1>"PRIMARY,SECONDARY,SUPPORTING,FAQ,OPTIONAL,NOT RECOMMENDED"</formula1>
    </dataValidation>
    <dataValidation sqref="L3:L727" showDropDown="0" showInputMessage="0" showErrorMessage="0" allowBlank="1" type="list">
      <formula1>"P1,P2,P3,P4"</formula1>
    </dataValidation>
  </dataValidations>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38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8" customWidth="1" min="1" max="1"/>
    <col width="7" customWidth="1" min="2" max="2"/>
    <col width="22" customWidth="1" min="3" max="3"/>
    <col width="44" customWidth="1" min="4" max="4"/>
    <col width="7" customWidth="1" min="5" max="5"/>
    <col width="22" customWidth="1" min="6" max="6"/>
    <col width="34" customWidth="1" min="7" max="7"/>
    <col width="15" customWidth="1" min="8" max="8"/>
    <col width="8" customWidth="1" min="9" max="9"/>
    <col width="9" customWidth="1" min="10" max="10"/>
    <col width="7" customWidth="1" min="11" max="11"/>
    <col width="8" customWidth="1" min="12" max="12"/>
    <col width="12" customWidth="1" min="13" max="13"/>
    <col width="12" customWidth="1" min="14" max="14"/>
    <col width="56" customWidth="1" min="15" max="15"/>
    <col width="30" customWidth="1" min="16" max="16"/>
    <col width="8" customWidth="1" min="17" max="17"/>
    <col width="8" customWidth="1" min="18" max="18"/>
    <col width="70" customWidth="1" min="19" max="19"/>
  </cols>
  <sheetData>
    <row r="1">
      <c r="A1" s="10" t="inlineStr">
        <is>
          <t>← 01 Executive Summary</t>
        </is>
      </c>
      <c r="B1" s="11" t="inlineStr">
        <is>
          <t>Section-by-section keyword mapping - H1/H2-delimited blocks of every crawled page</t>
        </is>
      </c>
    </row>
    <row r="2" ht="32" customHeight="1">
      <c r="A2" s="12" t="inlineStr">
        <is>
          <t>Page URL</t>
        </is>
      </c>
      <c r="B2" s="12" t="inlineStr">
        <is>
          <t>Section #</t>
        </is>
      </c>
      <c r="C2" s="12" t="inlineStr">
        <is>
          <t>Section Name (type)</t>
        </is>
      </c>
      <c r="D2" s="12" t="inlineStr">
        <is>
          <t>Existing Heading</t>
        </is>
      </c>
      <c r="E2" s="12" t="inlineStr">
        <is>
          <t>Heading Level</t>
        </is>
      </c>
      <c r="F2" s="12" t="inlineStr">
        <is>
          <t>Section Intent</t>
        </is>
      </c>
      <c r="G2" s="12" t="inlineStr">
        <is>
          <t>Keyword</t>
        </is>
      </c>
      <c r="H2" s="12" t="inlineStr">
        <is>
          <t>Keyword Type</t>
        </is>
      </c>
      <c r="I2" s="12" t="inlineStr">
        <is>
          <t>Database</t>
        </is>
      </c>
      <c r="J2" s="12" t="inlineStr">
        <is>
          <t>Search Volume</t>
        </is>
      </c>
      <c r="K2" s="12" t="inlineStr">
        <is>
          <t>KD%</t>
        </is>
      </c>
      <c r="L2" s="12" t="inlineStr">
        <is>
          <t>CPC (USD)</t>
        </is>
      </c>
      <c r="M2" s="12" t="inlineStr">
        <is>
          <t>Data Status</t>
        </is>
      </c>
      <c r="N2" s="12" t="inlineStr">
        <is>
          <t>Existing content satisfies intent?</t>
        </is>
      </c>
      <c r="O2" s="12" t="inlineStr">
        <is>
          <t>Recommendation</t>
        </is>
      </c>
      <c r="P2" s="12" t="inlineStr">
        <is>
          <t>Content Gap</t>
        </is>
      </c>
      <c r="Q2" s="12" t="inlineStr">
        <is>
          <t>Priority</t>
        </is>
      </c>
      <c r="R2" s="12" t="inlineStr">
        <is>
          <t>Section words</t>
        </is>
      </c>
      <c r="S2" s="12" t="inlineStr">
        <is>
          <t>Existing content summary</t>
        </is>
      </c>
    </row>
    <row r="3">
      <c r="A3" s="3" t="inlineStr">
        <is>
          <t>https://codesommet.com/</t>
        </is>
      </c>
      <c r="B3" t="n">
        <v>1</v>
      </c>
      <c r="C3" t="inlineStr">
        <is>
          <t>Hero / H1</t>
        </is>
      </c>
      <c r="D3" s="5" t="inlineStr">
        <is>
          <t>Création Site Web au Maroc : Agence Web &amp; SaaS qui génère DES RÉSULTATS</t>
        </is>
      </c>
      <c r="E3" t="inlineStr">
        <is>
          <t>H1</t>
        </is>
      </c>
      <c r="F3" s="5" t="inlineStr">
        <is>
          <t>Commercial / transactional</t>
        </is>
      </c>
      <c r="G3" t="inlineStr">
        <is>
          <t>création site web maroc</t>
        </is>
      </c>
      <c r="H3" t="inlineStr">
        <is>
          <t>PRIMARY</t>
        </is>
      </c>
      <c r="I3" t="inlineStr">
        <is>
          <t>ma</t>
        </is>
      </c>
      <c r="J3" t="n">
        <v>1000</v>
      </c>
      <c r="K3" t="n">
        <v>22</v>
      </c>
      <c r="L3" t="n">
        <v>0.77</v>
      </c>
      <c r="M3" t="inlineStr">
        <is>
          <t>MEASURED</t>
        </is>
      </c>
      <c r="N3" t="inlineStr">
        <is>
          <t>Yes</t>
        </is>
      </c>
      <c r="O3" s="5" t="inlineStr">
        <is>
          <t>Covered - keep wording; no change</t>
        </is>
      </c>
      <c r="P3" s="5" t="inlineStr"/>
      <c r="Q3" t="inlineStr">
        <is>
          <t>P2</t>
        </is>
      </c>
      <c r="R3" t="n">
        <v>63</v>
      </c>
      <c r="S3" s="5" t="inlineStr">
        <is>
          <t>Nous créons des sites web haute performance, des boutiques e-commerce et des solutions digitales sur mesure qui génèrent des résultats et soutiennent la croissance de votre activité. Parlez-nous de votre projet . Réserve</t>
        </is>
      </c>
    </row>
    <row r="4">
      <c r="A4" s="3" t="inlineStr">
        <is>
          <t>https://codesommet.com/</t>
        </is>
      </c>
      <c r="B4" t="n">
        <v>2</v>
      </c>
      <c r="C4" t="inlineStr">
        <is>
          <t>Services / features</t>
        </is>
      </c>
      <c r="D4" s="5" t="inlineStr">
        <is>
          <t>Un Design Pixel-Perfect Allié à une Technologie Puissante</t>
        </is>
      </c>
      <c r="E4" t="inlineStr">
        <is>
          <t>H2</t>
        </is>
      </c>
      <c r="F4" s="5" t="inlineStr">
        <is>
          <t>Commercial / transactional</t>
        </is>
      </c>
      <c r="G4" t="inlineStr">
        <is>
          <t>agence web maroc</t>
        </is>
      </c>
      <c r="H4" t="inlineStr">
        <is>
          <t>SECONDARY</t>
        </is>
      </c>
      <c r="I4" t="inlineStr">
        <is>
          <t>ma</t>
        </is>
      </c>
      <c r="J4" t="n">
        <v>480</v>
      </c>
      <c r="K4" t="n">
        <v>53</v>
      </c>
      <c r="L4" t="n">
        <v>0.62</v>
      </c>
      <c r="M4" t="inlineStr">
        <is>
          <t>MEASURED</t>
        </is>
      </c>
      <c r="N4" t="inlineStr">
        <is>
          <t>Partly</t>
        </is>
      </c>
      <c r="O4" s="5" t="inlineStr">
        <is>
          <t>Work "agence web maroc" (or a close natural variant) into existing copy - no new heading needed</t>
        </is>
      </c>
      <c r="P4" s="5" t="inlineStr">
        <is>
          <t>Keyword/variant absent from this section</t>
        </is>
      </c>
      <c r="Q4" t="inlineStr">
        <is>
          <t>P1</t>
        </is>
      </c>
      <c r="R4" t="n">
        <v>16</v>
      </c>
      <c r="S4" s="5" t="inlineStr">
        <is>
          <t>Des designs primés qui captivent les utilisateurs et stimulent la croissance Découvrez nos spécialisations par secteur .</t>
        </is>
      </c>
    </row>
    <row r="5">
      <c r="A5" s="3" t="inlineStr">
        <is>
          <t>https://codesommet.com/</t>
        </is>
      </c>
      <c r="B5" t="n">
        <v>3</v>
      </c>
      <c r="C5" t="inlineStr">
        <is>
          <t>Proof / portfolio / results</t>
        </is>
      </c>
      <c r="D5" s="5" t="inlineStr">
        <is>
          <t>Des Résultats Prouvés Qui Parlent d'Eux-Mêmes</t>
        </is>
      </c>
      <c r="E5" t="inlineStr">
        <is>
          <t>H2</t>
        </is>
      </c>
      <c r="F5" s="5" t="inlineStr">
        <is>
          <t>Commercial investigation</t>
        </is>
      </c>
      <c r="G5" t="inlineStr">
        <is>
          <t>création site web maroc</t>
        </is>
      </c>
      <c r="H5" t="inlineStr">
        <is>
          <t>SUPPORTS PRIMARY</t>
        </is>
      </c>
      <c r="I5" t="inlineStr">
        <is>
          <t>ma</t>
        </is>
      </c>
      <c r="J5" t="n">
        <v>1000</v>
      </c>
      <c r="K5" t="n">
        <v>22</v>
      </c>
      <c r="L5" t="n">
        <v>0.77</v>
      </c>
      <c r="M5" t="inlineStr">
        <is>
          <t>MEASURED</t>
        </is>
      </c>
      <c r="N5" t="inlineStr">
        <is>
          <t>Yes (supporting block)</t>
        </is>
      </c>
      <c r="O5" s="5" t="inlineStr">
        <is>
          <t>Supports the primary topic - add only if natural</t>
        </is>
      </c>
      <c r="P5" s="5" t="inlineStr"/>
      <c r="Q5" t="inlineStr">
        <is>
          <t>P2</t>
        </is>
      </c>
      <c r="R5" t="n">
        <v>67</v>
      </c>
      <c r="S5" s="5" t="inlineStr">
        <is>
          <t>Approuvé par des entreprises de multiples secteurs De Nombreux Projets Livrés Des sites web livrés qui génèrent des leads et établissent une présence digitale professionnelle 8+ Design Web Pages d'atterrissage Logos Prés</t>
        </is>
      </c>
    </row>
    <row r="6">
      <c r="A6" s="3" t="inlineStr">
        <is>
          <t>https://codesommet.com/</t>
        </is>
      </c>
      <c r="B6" t="n">
        <v>4</v>
      </c>
      <c r="C6" t="inlineStr">
        <is>
          <t>Proof / portfolio / results</t>
        </is>
      </c>
      <c r="D6" s="5" t="inlineStr">
        <is>
          <t>18 Fonctionnalités Premium. Intégrées à Chaque Projet.</t>
        </is>
      </c>
      <c r="E6" t="inlineStr">
        <is>
          <t>H2</t>
        </is>
      </c>
      <c r="F6" s="5" t="inlineStr">
        <is>
          <t>Commercial investigation</t>
        </is>
      </c>
      <c r="G6" t="inlineStr">
        <is>
          <t>création site web maroc</t>
        </is>
      </c>
      <c r="H6" t="inlineStr">
        <is>
          <t>SUPPORTS PRIMARY</t>
        </is>
      </c>
      <c r="I6" t="inlineStr">
        <is>
          <t>ma</t>
        </is>
      </c>
      <c r="J6" t="n">
        <v>1000</v>
      </c>
      <c r="K6" t="n">
        <v>22</v>
      </c>
      <c r="L6" t="n">
        <v>0.77</v>
      </c>
      <c r="M6" t="inlineStr">
        <is>
          <t>MEASURED</t>
        </is>
      </c>
      <c r="N6" t="inlineStr">
        <is>
          <t>Yes (supporting block)</t>
        </is>
      </c>
      <c r="O6" s="5" t="inlineStr">
        <is>
          <t>Supports the primary topic - add only if natural</t>
        </is>
      </c>
      <c r="P6" s="5" t="inlineStr"/>
      <c r="Q6" t="inlineStr">
        <is>
          <t>P2</t>
        </is>
      </c>
      <c r="R6" t="n">
        <v>122</v>
      </c>
      <c r="S6" s="5" t="inlineStr">
        <is>
          <t xml:space="preserve">Des fonctionnalités et capacités de niveau entreprise incluses en standard. Obtenez votre devis personnalisé gratuit dès aujourd'hui. Chatbots IA Systèmes de Réservation Passerelle de Paiement WhatsApp Business Tableaux </t>
        </is>
      </c>
    </row>
    <row r="7">
      <c r="A7" s="3" t="inlineStr">
        <is>
          <t>https://codesommet.com/</t>
        </is>
      </c>
      <c r="B7" t="n">
        <v>5</v>
      </c>
      <c r="C7" t="inlineStr">
        <is>
          <t>Why us / differentiation</t>
        </is>
      </c>
      <c r="D7" s="5" t="inlineStr">
        <is>
          <t>Pourquoi les Leaders du Secteur Choisissent CodeSommet</t>
        </is>
      </c>
      <c r="E7" t="inlineStr">
        <is>
          <t>H2</t>
        </is>
      </c>
      <c r="F7" s="5" t="inlineStr">
        <is>
          <t>Commercial investigation</t>
        </is>
      </c>
      <c r="G7" t="inlineStr">
        <is>
          <t>création site web maroc</t>
        </is>
      </c>
      <c r="H7" t="inlineStr">
        <is>
          <t>SUPPORTS PRIMARY</t>
        </is>
      </c>
      <c r="I7" t="inlineStr">
        <is>
          <t>ma</t>
        </is>
      </c>
      <c r="J7" t="n">
        <v>1000</v>
      </c>
      <c r="K7" t="n">
        <v>22</v>
      </c>
      <c r="L7" t="n">
        <v>0.77</v>
      </c>
      <c r="M7" t="inlineStr">
        <is>
          <t>MEASURED</t>
        </is>
      </c>
      <c r="N7" t="inlineStr">
        <is>
          <t>Yes (supporting block)</t>
        </is>
      </c>
      <c r="O7" s="5" t="inlineStr">
        <is>
          <t>Supports the primary topic - add only if natural</t>
        </is>
      </c>
      <c r="P7" s="5" t="inlineStr"/>
      <c r="Q7" t="inlineStr">
        <is>
          <t>P2</t>
        </is>
      </c>
      <c r="R7" t="n">
        <v>211</v>
      </c>
      <c r="S7" s="5" t="inlineStr">
        <is>
          <t>Le mélange parfait de créativité, technologie et stratégie commerciale Intelligence Alimentée par l'IA Chatbots et automatisations IA intégrés à votre site. Design de Tableau de Bord Époustouflant Tableaux de bord et vis</t>
        </is>
      </c>
    </row>
    <row r="8">
      <c r="A8" s="3" t="inlineStr">
        <is>
          <t>https://codesommet.com/</t>
        </is>
      </c>
      <c r="B8" t="n">
        <v>6</v>
      </c>
      <c r="C8" t="inlineStr">
        <is>
          <t>Testimonials / social proof</t>
        </is>
      </c>
      <c r="D8" s="5" t="inlineStr">
        <is>
          <t>Impact Réel, Histoires Réelles</t>
        </is>
      </c>
      <c r="E8" t="inlineStr">
        <is>
          <t>H2</t>
        </is>
      </c>
      <c r="F8" s="5" t="inlineStr">
        <is>
          <t>Commercial investigation</t>
        </is>
      </c>
      <c r="G8" t="inlineStr">
        <is>
          <t>création site web maroc</t>
        </is>
      </c>
      <c r="H8" t="inlineStr">
        <is>
          <t>SUPPORTS PRIMARY</t>
        </is>
      </c>
      <c r="I8" t="inlineStr">
        <is>
          <t>ma</t>
        </is>
      </c>
      <c r="J8" t="n">
        <v>1000</v>
      </c>
      <c r="K8" t="n">
        <v>22</v>
      </c>
      <c r="L8" t="n">
        <v>0.77</v>
      </c>
      <c r="M8" t="inlineStr">
        <is>
          <t>MEASURED</t>
        </is>
      </c>
      <c r="N8" t="inlineStr">
        <is>
          <t>Yes</t>
        </is>
      </c>
      <c r="O8" s="5" t="inlineStr">
        <is>
          <t>Covered - keep wording; no change</t>
        </is>
      </c>
      <c r="P8" s="5" t="inlineStr"/>
      <c r="Q8" t="inlineStr">
        <is>
          <t>P2</t>
        </is>
      </c>
      <c r="R8" t="n">
        <v>226</v>
      </c>
      <c r="S8" s="5" t="inlineStr">
        <is>
          <t>Comment nous avons transformé des entreprises grâce à des solutions alimentées par l'IA "Travailler avec CodeSommet a complètement transformé notre présence en ligne. Au-delà de la création d'un site moderne et rapide, i</t>
        </is>
      </c>
    </row>
    <row r="9">
      <c r="A9" s="3" t="inlineStr">
        <is>
          <t>https://codesommet.com/</t>
        </is>
      </c>
      <c r="B9" t="n">
        <v>7</v>
      </c>
      <c r="C9" t="inlineStr">
        <is>
          <t>Process / how it works</t>
        </is>
      </c>
      <c r="D9" s="5" t="inlineStr">
        <is>
          <t>Comment Commencer en 3 étapes Simples</t>
        </is>
      </c>
      <c r="E9" t="inlineStr">
        <is>
          <t>H2</t>
        </is>
      </c>
      <c r="F9" s="5" t="inlineStr">
        <is>
          <t>Informational / commercial</t>
        </is>
      </c>
      <c r="G9" t="inlineStr">
        <is>
          <t>création site web maroc</t>
        </is>
      </c>
      <c r="H9" t="inlineStr">
        <is>
          <t>SUPPORTS PRIMARY</t>
        </is>
      </c>
      <c r="I9" t="inlineStr">
        <is>
          <t>ma</t>
        </is>
      </c>
      <c r="J9" t="n">
        <v>1000</v>
      </c>
      <c r="K9" t="n">
        <v>22</v>
      </c>
      <c r="L9" t="n">
        <v>0.77</v>
      </c>
      <c r="M9" t="inlineStr">
        <is>
          <t>MEASURED</t>
        </is>
      </c>
      <c r="N9" t="inlineStr">
        <is>
          <t>Yes (supporting block)</t>
        </is>
      </c>
      <c r="O9" s="5" t="inlineStr">
        <is>
          <t>Supports the primary topic - add only if natural</t>
        </is>
      </c>
      <c r="P9" s="5" t="inlineStr"/>
      <c r="Q9" t="inlineStr">
        <is>
          <t>P2</t>
        </is>
      </c>
      <c r="R9" t="n">
        <v>285</v>
      </c>
      <c r="S9" s="5" t="inlineStr">
        <is>
          <t>Du premier appel à la livraison du projet, voyez exactement comment nous travaillons ensemble Étape 1 Retainer 1 projet actif Révisions illimitées Design &amp; développement SEO &amp; contenu Recommandé Développement de Site Web</t>
        </is>
      </c>
    </row>
    <row r="10">
      <c r="A10" s="3" t="inlineStr">
        <is>
          <t>https://codesommet.com/</t>
        </is>
      </c>
      <c r="B10" t="n">
        <v>8</v>
      </c>
      <c r="C10" t="inlineStr">
        <is>
          <t>Pricing / offers</t>
        </is>
      </c>
      <c r="D10" s="5" t="inlineStr">
        <is>
          <t>Le Choix d'Investissement Intelligent</t>
        </is>
      </c>
      <c r="E10" t="inlineStr">
        <is>
          <t>H2</t>
        </is>
      </c>
      <c r="F10" s="5" t="inlineStr">
        <is>
          <t>Commercial / transactional</t>
        </is>
      </c>
      <c r="G10" t="inlineStr">
        <is>
          <t>création site web prix maroc</t>
        </is>
      </c>
      <c r="H10" t="inlineStr">
        <is>
          <t>SECONDARY</t>
        </is>
      </c>
      <c r="I10" t="inlineStr">
        <is>
          <t>ma</t>
        </is>
      </c>
      <c r="J10" t="n">
        <v>30</v>
      </c>
      <c r="K10" t="inlineStr">
        <is>
          <t>NOT AVAILABLE</t>
        </is>
      </c>
      <c r="L10" t="n">
        <v>0.28</v>
      </c>
      <c r="M10" t="inlineStr">
        <is>
          <t>MEASURED</t>
        </is>
      </c>
      <c r="N10" t="inlineStr">
        <is>
          <t>Partly</t>
        </is>
      </c>
      <c r="O10" s="5" t="inlineStr">
        <is>
          <t>Work "création site web prix maroc" (or a close natural variant) into existing copy - no new heading needed</t>
        </is>
      </c>
      <c r="P10" s="5" t="inlineStr">
        <is>
          <t>Keyword/variant absent from this section</t>
        </is>
      </c>
      <c r="Q10" t="inlineStr">
        <is>
          <t>P1</t>
        </is>
      </c>
      <c r="R10" t="n">
        <v>111</v>
      </c>
      <c r="S10" s="5" t="inlineStr">
        <is>
          <t>Comparez vos options et découvrez pourquoi CodeSommet offre le meilleur rapport qualité-prix. Demandez Votre Devis Gratuit CodeSommet Designer à temps plein Autres agences Investissement Tarification sur mesure Coûts sal</t>
        </is>
      </c>
    </row>
    <row r="11">
      <c r="A11" s="3" t="inlineStr">
        <is>
          <t>https://codesommet.com/</t>
        </is>
      </c>
      <c r="B11" t="n">
        <v>9</v>
      </c>
      <c r="C11" t="inlineStr">
        <is>
          <t>Problems / pain points</t>
        </is>
      </c>
      <c r="D11" s="5" t="inlineStr">
        <is>
          <t>6 Problèmes Courants de Sites Web que Nous Résolvons</t>
        </is>
      </c>
      <c r="E11" t="inlineStr">
        <is>
          <t>H2</t>
        </is>
      </c>
      <c r="F11" s="5" t="inlineStr">
        <is>
          <t>Commercial / transactional</t>
        </is>
      </c>
      <c r="G11" t="inlineStr">
        <is>
          <t>agence digitale maroc</t>
        </is>
      </c>
      <c r="H11" t="inlineStr">
        <is>
          <t>SECONDARY</t>
        </is>
      </c>
      <c r="I11" t="inlineStr">
        <is>
          <t>ma</t>
        </is>
      </c>
      <c r="J11" t="n">
        <v>320</v>
      </c>
      <c r="K11" t="n">
        <v>57</v>
      </c>
      <c r="L11" t="n">
        <v>0.79</v>
      </c>
      <c r="M11" t="inlineStr">
        <is>
          <t>MEASURED</t>
        </is>
      </c>
      <c r="N11" t="inlineStr">
        <is>
          <t>Partly</t>
        </is>
      </c>
      <c r="O11" s="5" t="inlineStr">
        <is>
          <t>Work "agence digitale maroc" (or a close natural variant) into existing copy - no new heading needed</t>
        </is>
      </c>
      <c r="P11" s="5" t="inlineStr">
        <is>
          <t>Keyword/variant absent from this section</t>
        </is>
      </c>
      <c r="Q11" t="inlineStr">
        <is>
          <t>P1</t>
        </is>
      </c>
      <c r="R11" t="n">
        <v>239</v>
      </c>
      <c r="S11" s="5" t="inlineStr">
        <is>
          <t>Transformez les défis en opportunités avec nos solutions éprouvées 1. Mauvaise Expérience Utilisateur Problème Chargement lent, navigation confuse et design obsolète qui frustrent les visiteurs. Appuyez pour résoudre Sol</t>
        </is>
      </c>
    </row>
    <row r="12">
      <c r="A12" s="3" t="inlineStr">
        <is>
          <t>https://codesommet.com/</t>
        </is>
      </c>
      <c r="B12" t="n">
        <v>10</v>
      </c>
      <c r="C12" t="inlineStr">
        <is>
          <t>Pricing / offers</t>
        </is>
      </c>
      <c r="D12" s="5" t="inlineStr">
        <is>
          <t>Solutions Personnalisées, Conçues pour Vous</t>
        </is>
      </c>
      <c r="E12" t="inlineStr">
        <is>
          <t>H2</t>
        </is>
      </c>
      <c r="F12" s="5" t="inlineStr">
        <is>
          <t>Commercial / transactional</t>
        </is>
      </c>
      <c r="G12" t="inlineStr">
        <is>
          <t>création site web prix maroc</t>
        </is>
      </c>
      <c r="H12" t="inlineStr">
        <is>
          <t>SECONDARY</t>
        </is>
      </c>
      <c r="I12" t="inlineStr">
        <is>
          <t>ma</t>
        </is>
      </c>
      <c r="J12" t="n">
        <v>30</v>
      </c>
      <c r="K12" t="inlineStr">
        <is>
          <t>NOT AVAILABLE</t>
        </is>
      </c>
      <c r="L12" t="n">
        <v>0.28</v>
      </c>
      <c r="M12" t="inlineStr">
        <is>
          <t>MEASURED</t>
        </is>
      </c>
      <c r="N12" t="inlineStr">
        <is>
          <t>Partly</t>
        </is>
      </c>
      <c r="O12" s="5" t="inlineStr">
        <is>
          <t>Work "création site web prix maroc" (or a close natural variant) into existing copy - no new heading needed</t>
        </is>
      </c>
      <c r="P12" s="5" t="inlineStr">
        <is>
          <t>Keyword/variant absent from this section</t>
        </is>
      </c>
      <c r="Q12" t="inlineStr">
        <is>
          <t>P1</t>
        </is>
      </c>
      <c r="R12" t="n">
        <v>206</v>
      </c>
      <c r="S12" s="5" t="inlineStr">
        <is>
          <t>Réservez un appel découverte pour discuter de vos besoins et obtenir un devis personnalisé Recommandé Développement de Site Web Site vitrine en 2-5 jours (express en 2 jours possible), e-commerce ou SaaS : première versi</t>
        </is>
      </c>
    </row>
    <row r="13">
      <c r="A13" s="3" t="inlineStr">
        <is>
          <t>https://codesommet.com/</t>
        </is>
      </c>
      <c r="B13" t="n">
        <v>11</v>
      </c>
      <c r="C13" t="inlineStr">
        <is>
          <t>CTA / conversion</t>
        </is>
      </c>
      <c r="D13" s="5" t="inlineStr">
        <is>
          <t>Un Mois Trop Chargé ? Mettez en Pause à Tout Moment.</t>
        </is>
      </c>
      <c r="E13" t="inlineStr">
        <is>
          <t>H2</t>
        </is>
      </c>
      <c r="F13" s="5" t="inlineStr">
        <is>
          <t>Conversion</t>
        </is>
      </c>
      <c r="G13" t="inlineStr">
        <is>
          <t>—</t>
        </is>
      </c>
      <c r="H13" t="inlineStr">
        <is>
          <t>NONE</t>
        </is>
      </c>
      <c r="I13" t="inlineStr">
        <is>
          <t>—</t>
        </is>
      </c>
      <c r="J13" t="inlineStr">
        <is>
          <t>—</t>
        </is>
      </c>
      <c r="K13" t="inlineStr">
        <is>
          <t>—</t>
        </is>
      </c>
      <c r="L13" t="inlineStr">
        <is>
          <t>—</t>
        </is>
      </c>
      <c r="M13" t="inlineStr">
        <is>
          <t>—</t>
        </is>
      </c>
      <c r="N13" t="inlineStr">
        <is>
          <t>n/a</t>
        </is>
      </c>
      <c r="O13" s="5" t="inlineStr">
        <is>
          <t>No keyword target - keep conversion/navigation focus; use descriptive, non-repeated anchor texts</t>
        </is>
      </c>
      <c r="P13" s="5" t="inlineStr"/>
      <c r="Q13" t="inlineStr">
        <is>
          <t>P2</t>
        </is>
      </c>
      <c r="R13" t="n">
        <v>14</v>
      </c>
      <c r="S13" s="5" t="inlineStr">
        <is>
          <t>Zéro pénalité. Reprenez quand vous voulez. Votre abonnement, vos règles. Commencez Sans Risque Aujourd'hui</t>
        </is>
      </c>
    </row>
    <row r="14">
      <c r="A14" s="3" t="inlineStr">
        <is>
          <t>https://codesommet.com/</t>
        </is>
      </c>
      <c r="B14" t="n">
        <v>12</v>
      </c>
      <c r="C14" t="inlineStr">
        <is>
          <t>CTA / conversion</t>
        </is>
      </c>
      <c r="D14" s="5" t="inlineStr">
        <is>
          <t>Prêt à Construire Quelque Chose d'Extraordinaire ?</t>
        </is>
      </c>
      <c r="E14" t="inlineStr">
        <is>
          <t>H2</t>
        </is>
      </c>
      <c r="F14" s="5" t="inlineStr">
        <is>
          <t>Conversion</t>
        </is>
      </c>
      <c r="G14" t="inlineStr">
        <is>
          <t>—</t>
        </is>
      </c>
      <c r="H14" t="inlineStr">
        <is>
          <t>NONE</t>
        </is>
      </c>
      <c r="I14" t="inlineStr">
        <is>
          <t>—</t>
        </is>
      </c>
      <c r="J14" t="inlineStr">
        <is>
          <t>—</t>
        </is>
      </c>
      <c r="K14" t="inlineStr">
        <is>
          <t>—</t>
        </is>
      </c>
      <c r="L14" t="inlineStr">
        <is>
          <t>—</t>
        </is>
      </c>
      <c r="M14" t="inlineStr">
        <is>
          <t>—</t>
        </is>
      </c>
      <c r="N14" t="inlineStr">
        <is>
          <t>n/a</t>
        </is>
      </c>
      <c r="O14" s="5" t="inlineStr">
        <is>
          <t>No keyword target - keep conversion/navigation focus; use descriptive, non-repeated anchor texts</t>
        </is>
      </c>
      <c r="P14" s="5" t="inlineStr"/>
      <c r="Q14" t="inlineStr">
        <is>
          <t>P2</t>
        </is>
      </c>
      <c r="R14" t="n">
        <v>135</v>
      </c>
      <c r="S14" s="5" t="inlineStr">
        <is>
          <t>Rejoignez les startups, PME et entreprises qui ont choisi CodeSommet Réserver un Appel Découverte Analyser Mon Site Gratuitement Réserver un Appel Découverte Analysez Votre Site Web Discutons de la façon dont nous pouvon</t>
        </is>
      </c>
    </row>
    <row r="15">
      <c r="A15" s="3" t="inlineStr">
        <is>
          <t>https://codesommet.com/</t>
        </is>
      </c>
      <c r="B15" t="n">
        <v>13</v>
      </c>
      <c r="C15" t="inlineStr">
        <is>
          <t>Internal-link block</t>
        </is>
      </c>
      <c r="D15" s="5" t="inlineStr">
        <is>
          <t>Derniers Articles du Blog</t>
        </is>
      </c>
      <c r="E15" t="inlineStr">
        <is>
          <t>H2</t>
        </is>
      </c>
      <c r="F15" s="5" t="inlineStr">
        <is>
          <t>Navigation</t>
        </is>
      </c>
      <c r="G15" t="inlineStr">
        <is>
          <t>—</t>
        </is>
      </c>
      <c r="H15" t="inlineStr">
        <is>
          <t>NONE</t>
        </is>
      </c>
      <c r="I15" t="inlineStr">
        <is>
          <t>—</t>
        </is>
      </c>
      <c r="J15" t="inlineStr">
        <is>
          <t>—</t>
        </is>
      </c>
      <c r="K15" t="inlineStr">
        <is>
          <t>—</t>
        </is>
      </c>
      <c r="L15" t="inlineStr">
        <is>
          <t>—</t>
        </is>
      </c>
      <c r="M15" t="inlineStr">
        <is>
          <t>—</t>
        </is>
      </c>
      <c r="N15" t="inlineStr">
        <is>
          <t>n/a</t>
        </is>
      </c>
      <c r="O15" s="5" t="inlineStr">
        <is>
          <t>No keyword target - keep conversion/navigation focus; use descriptive, non-repeated anchor texts</t>
        </is>
      </c>
      <c r="P15" s="5" t="inlineStr"/>
      <c r="Q15" t="inlineStr">
        <is>
          <t>P2</t>
        </is>
      </c>
      <c r="R15" t="n">
        <v>304</v>
      </c>
      <c r="S15" s="5" t="inlineStr">
        <is>
          <t>Nos conseils, analyses et actualités sur le développement web et l'IA Développement Web 24 août 2026 · 7 min de lecture Créer une plateforme SaaS : MVP, multi-tenant, facturation — par où commencer ? Lancer un SaaS, c'es</t>
        </is>
      </c>
    </row>
    <row r="16">
      <c r="A16" s="3" t="inlineStr">
        <is>
          <t>https://codesommet.com/about</t>
        </is>
      </c>
      <c r="B16" t="n">
        <v>1</v>
      </c>
      <c r="C16" t="inlineStr">
        <is>
          <t>Hero / H1</t>
        </is>
      </c>
      <c r="D16" s="5" t="inlineStr">
        <is>
          <t>À Propos : Agence Digitale au Maroc Depuis 2018</t>
        </is>
      </c>
      <c r="E16" t="inlineStr">
        <is>
          <t>H1</t>
        </is>
      </c>
      <c r="F16" s="5" t="inlineStr">
        <is>
          <t>Navigational / commercial investigation</t>
        </is>
      </c>
      <c r="G16" t="inlineStr">
        <is>
          <t>codesommet</t>
        </is>
      </c>
      <c r="H16" t="inlineStr">
        <is>
          <t>PRIMARY</t>
        </is>
      </c>
      <c r="I16" t="inlineStr">
        <is>
          <t>ma</t>
        </is>
      </c>
      <c r="J16" t="inlineStr">
        <is>
          <t>NOT AVAILABLE</t>
        </is>
      </c>
      <c r="K16" t="inlineStr">
        <is>
          <t>NOT AVAILABLE</t>
        </is>
      </c>
      <c r="L16" t="inlineStr">
        <is>
          <t>NOT AVAILABLE</t>
        </is>
      </c>
      <c r="M16" t="inlineStr">
        <is>
          <t>UNAVAILABLE</t>
        </is>
      </c>
      <c r="N16" t="inlineStr">
        <is>
          <t>Yes</t>
        </is>
      </c>
      <c r="O16" s="5" t="inlineStr">
        <is>
          <t>Covered - keep wording; no change</t>
        </is>
      </c>
      <c r="P16" s="5" t="inlineStr"/>
      <c r="Q16" t="inlineStr">
        <is>
          <t>P3</t>
        </is>
      </c>
      <c r="R16" t="n">
        <v>79</v>
      </c>
      <c r="S16" s="5" t="inlineStr">
        <is>
          <t>Nous sommes CodeSommet, une agence digitale basée au Maroc spécialisée en développement web, design UI/UX, branding, SEO, e-commerce, applications mobiles et solutions SaaS. Donnons vie à votre vision - contactez-nous dè</t>
        </is>
      </c>
    </row>
    <row r="17">
      <c r="A17" s="3" t="inlineStr">
        <is>
          <t>https://codesommet.com/about</t>
        </is>
      </c>
      <c r="B17" t="n">
        <v>2</v>
      </c>
      <c r="C17" t="inlineStr">
        <is>
          <t>Proof / portfolio / results</t>
        </is>
      </c>
      <c r="D17" s="5" t="inlineStr">
        <is>
          <t>Des Solutions Digitales Complètes Qui Génèrent des Résultats</t>
        </is>
      </c>
      <c r="E17" t="inlineStr">
        <is>
          <t>H2</t>
        </is>
      </c>
      <c r="F17" s="5" t="inlineStr">
        <is>
          <t>Commercial investigation</t>
        </is>
      </c>
      <c r="G17" t="inlineStr">
        <is>
          <t>codesommet</t>
        </is>
      </c>
      <c r="H17" t="inlineStr">
        <is>
          <t>SUPPORTS PRIMARY</t>
        </is>
      </c>
      <c r="I17" t="inlineStr">
        <is>
          <t>ma</t>
        </is>
      </c>
      <c r="J17" t="inlineStr">
        <is>
          <t>NOT AVAILABLE</t>
        </is>
      </c>
      <c r="K17" t="inlineStr">
        <is>
          <t>NOT AVAILABLE</t>
        </is>
      </c>
      <c r="L17" t="inlineStr">
        <is>
          <t>NOT AVAILABLE</t>
        </is>
      </c>
      <c r="M17" t="inlineStr">
        <is>
          <t>UNAVAILABLE</t>
        </is>
      </c>
      <c r="N17" t="inlineStr">
        <is>
          <t>Yes</t>
        </is>
      </c>
      <c r="O17" s="5" t="inlineStr">
        <is>
          <t>Covered - keep wording; no change</t>
        </is>
      </c>
      <c r="P17" s="5" t="inlineStr"/>
      <c r="Q17" t="inlineStr">
        <is>
          <t>P3</t>
        </is>
      </c>
      <c r="R17" t="n">
        <v>79</v>
      </c>
      <c r="S17" s="5" t="inlineStr">
        <is>
          <t>Depuis 2018, CodeSommet aide les entreprises au Maroc et à l'international à se développer grâce au développement web, design UI/UX, branding, SEO, e-commerce, applications mobiles et solutions SaaS. De la stratégie au l</t>
        </is>
      </c>
    </row>
    <row r="18">
      <c r="A18" s="3" t="inlineStr">
        <is>
          <t>https://codesommet.com/about</t>
        </is>
      </c>
      <c r="B18" t="n">
        <v>3</v>
      </c>
      <c r="C18" t="inlineStr">
        <is>
          <t>Why us / differentiation</t>
        </is>
      </c>
      <c r="D18" s="5" t="inlineStr">
        <is>
          <t>Nous Ne Sommes Pas une Agence Ordinaire</t>
        </is>
      </c>
      <c r="E18" t="inlineStr">
        <is>
          <t>H2</t>
        </is>
      </c>
      <c r="F18" s="5" t="inlineStr">
        <is>
          <t>Commercial investigation</t>
        </is>
      </c>
      <c r="G18" t="inlineStr">
        <is>
          <t>codesommet</t>
        </is>
      </c>
      <c r="H18" t="inlineStr">
        <is>
          <t>SUPPORTS PRIMARY</t>
        </is>
      </c>
      <c r="I18" t="inlineStr">
        <is>
          <t>ma</t>
        </is>
      </c>
      <c r="J18" t="inlineStr">
        <is>
          <t>NOT AVAILABLE</t>
        </is>
      </c>
      <c r="K18" t="inlineStr">
        <is>
          <t>NOT AVAILABLE</t>
        </is>
      </c>
      <c r="L18" t="inlineStr">
        <is>
          <t>NOT AVAILABLE</t>
        </is>
      </c>
      <c r="M18" t="inlineStr">
        <is>
          <t>UNAVAILABLE</t>
        </is>
      </c>
      <c r="N18" t="inlineStr">
        <is>
          <t>Yes</t>
        </is>
      </c>
      <c r="O18" s="5" t="inlineStr">
        <is>
          <t>Covered - keep wording; no change</t>
        </is>
      </c>
      <c r="P18" s="5" t="inlineStr"/>
      <c r="Q18" t="inlineStr">
        <is>
          <t>P3</t>
        </is>
      </c>
      <c r="R18" t="n">
        <v>104</v>
      </c>
      <c r="S18" s="5" t="inlineStr">
        <is>
          <t xml:space="preserve">Votre partenaire de croissance depuis 2018. Du développement web au branding en passant par le SEO - nous faisons tout. Contactez-nous pour une consultation gratuite et discutons de votre projet. Agences Traditionnelles </t>
        </is>
      </c>
    </row>
    <row r="19">
      <c r="A19" s="3" t="inlineStr">
        <is>
          <t>https://codesommet.com/about</t>
        </is>
      </c>
      <c r="B19" t="n">
        <v>4</v>
      </c>
      <c r="C19" t="inlineStr">
        <is>
          <t>Services / features</t>
        </is>
      </c>
      <c r="D19" s="5" t="inlineStr">
        <is>
          <t>Découvrez Notre Expertise en Action</t>
        </is>
      </c>
      <c r="E19" t="inlineStr">
        <is>
          <t>H2</t>
        </is>
      </c>
      <c r="F19" s="5" t="inlineStr">
        <is>
          <t>Navigational / commercial investigation</t>
        </is>
      </c>
      <c r="G19" t="inlineStr">
        <is>
          <t>agence digitale marrakech</t>
        </is>
      </c>
      <c r="H19" t="inlineStr">
        <is>
          <t>SUPPORTING</t>
        </is>
      </c>
      <c r="I19" t="inlineStr">
        <is>
          <t>ma</t>
        </is>
      </c>
      <c r="J19" t="n">
        <v>140</v>
      </c>
      <c r="K19" t="inlineStr">
        <is>
          <t>NOT AVAILABLE</t>
        </is>
      </c>
      <c r="L19" t="n">
        <v>0.82</v>
      </c>
      <c r="M19" t="inlineStr">
        <is>
          <t>MEASURED</t>
        </is>
      </c>
      <c r="N19" t="inlineStr">
        <is>
          <t>Yes (supporting block)</t>
        </is>
      </c>
      <c r="O19" s="5" t="inlineStr">
        <is>
          <t>Supports the primary topic - add only if natural</t>
        </is>
      </c>
      <c r="P19" s="5" t="inlineStr"/>
      <c r="Q19" t="inlineStr">
        <is>
          <t>P3</t>
        </is>
      </c>
      <c r="R19" t="n">
        <v>120</v>
      </c>
      <c r="S19" s="5" t="inlineStr">
        <is>
          <t>Essayez notre Analyseur de Site Web gratuit - de nombreuses vérifications alimentées par l'IA, conçues par notre équipe pour démontrer ce que nous pouvons faire pour vous. Essayer l'Outil Gratuit ✓ Conçu par notre équipe</t>
        </is>
      </c>
    </row>
    <row r="20">
      <c r="A20" s="3" t="inlineStr">
        <is>
          <t>https://codesommet.com/about</t>
        </is>
      </c>
      <c r="B20" t="n">
        <v>5</v>
      </c>
      <c r="C20" t="inlineStr">
        <is>
          <t>Local relevance</t>
        </is>
      </c>
      <c r="D20" s="5" t="inlineStr">
        <is>
          <t>Notre Bureau à Marrakech</t>
        </is>
      </c>
      <c r="E20" t="inlineStr">
        <is>
          <t>H2</t>
        </is>
      </c>
      <c r="F20" s="5" t="inlineStr">
        <is>
          <t>Navigational / commercial investigation</t>
        </is>
      </c>
      <c r="G20" t="inlineStr">
        <is>
          <t>agence digitale marrakech</t>
        </is>
      </c>
      <c r="H20" t="inlineStr">
        <is>
          <t>SUPPORTING</t>
        </is>
      </c>
      <c r="I20" t="inlineStr">
        <is>
          <t>ma</t>
        </is>
      </c>
      <c r="J20" t="n">
        <v>140</v>
      </c>
      <c r="K20" t="inlineStr">
        <is>
          <t>NOT AVAILABLE</t>
        </is>
      </c>
      <c r="L20" t="n">
        <v>0.82</v>
      </c>
      <c r="M20" t="inlineStr">
        <is>
          <t>MEASURED</t>
        </is>
      </c>
      <c r="N20" t="inlineStr">
        <is>
          <t>Yes (supporting block)</t>
        </is>
      </c>
      <c r="O20" s="5" t="inlineStr">
        <is>
          <t>Supports the primary topic - add only if natural</t>
        </is>
      </c>
      <c r="P20" s="5" t="inlineStr"/>
      <c r="Q20" t="inlineStr">
        <is>
          <t>P3</t>
        </is>
      </c>
      <c r="R20" t="n">
        <v>40</v>
      </c>
      <c r="S20" s="5" t="inlineStr">
        <is>
          <t>Basés à Marrakech, nous apportons une expertise locale et une qualité internationale à chaque projet. Écrivez-nous pour démarrer votre prochain projet. 🇲🇦 Marrakech (Bureau Principal) Marrakech, Maroc Siège Social Vous a</t>
        </is>
      </c>
    </row>
    <row r="21">
      <c r="A21" s="3" t="inlineStr">
        <is>
          <t>https://codesommet.com/about</t>
        </is>
      </c>
      <c r="B21" t="n">
        <v>6</v>
      </c>
      <c r="C21" t="inlineStr">
        <is>
          <t>CTA / conversion</t>
        </is>
      </c>
      <c r="D21" s="5" t="inlineStr">
        <is>
          <t>Prêt à Créer Quelque Chose d'Extraordinaire ?</t>
        </is>
      </c>
      <c r="E21" t="inlineStr">
        <is>
          <t>H2</t>
        </is>
      </c>
      <c r="F21" s="5" t="inlineStr">
        <is>
          <t>Conversion</t>
        </is>
      </c>
      <c r="G21" t="inlineStr">
        <is>
          <t>—</t>
        </is>
      </c>
      <c r="H21" t="inlineStr">
        <is>
          <t>NONE</t>
        </is>
      </c>
      <c r="I21" t="inlineStr">
        <is>
          <t>—</t>
        </is>
      </c>
      <c r="J21" t="inlineStr">
        <is>
          <t>—</t>
        </is>
      </c>
      <c r="K21" t="inlineStr">
        <is>
          <t>—</t>
        </is>
      </c>
      <c r="L21" t="inlineStr">
        <is>
          <t>—</t>
        </is>
      </c>
      <c r="M21" t="inlineStr">
        <is>
          <t>—</t>
        </is>
      </c>
      <c r="N21" t="inlineStr">
        <is>
          <t>n/a</t>
        </is>
      </c>
      <c r="O21" s="5" t="inlineStr">
        <is>
          <t>No keyword target - keep conversion/navigation focus; use descriptive, non-repeated anchor texts</t>
        </is>
      </c>
      <c r="P21" s="5" t="inlineStr"/>
      <c r="Q21" t="inlineStr">
        <is>
          <t>P4</t>
        </is>
      </c>
      <c r="R21" t="n">
        <v>117</v>
      </c>
      <c r="S21" s="5" t="inlineStr">
        <is>
          <t>Rejoignez les entreprises visionnaires qui ont choisi l'excellence Réserver un Appel Découverte Analyser Mon Site Gratuitement Réserver un Appel Découverte Analyser Votre Site Web Discutons de comment l'IA et le design m</t>
        </is>
      </c>
    </row>
    <row r="22">
      <c r="A22" s="3" t="inlineStr">
        <is>
          <t>https://codesommet.com/contact</t>
        </is>
      </c>
      <c r="B22" t="n">
        <v>1</v>
      </c>
      <c r="C22" t="inlineStr">
        <is>
          <t>Hero / H1</t>
        </is>
      </c>
      <c r="D22" s="5" t="inlineStr">
        <is>
          <t>Contact : Agence Web au Maroc, Réponse sous 24h</t>
        </is>
      </c>
      <c r="E22" t="inlineStr">
        <is>
          <t>H1</t>
        </is>
      </c>
      <c r="F22" s="5" t="inlineStr">
        <is>
          <t>Navigational / commercial investigation</t>
        </is>
      </c>
      <c r="G22" t="inlineStr">
        <is>
          <t>contact agence web</t>
        </is>
      </c>
      <c r="H22" t="inlineStr">
        <is>
          <t>PRIMARY</t>
        </is>
      </c>
      <c r="I22" t="inlineStr">
        <is>
          <t>ma</t>
        </is>
      </c>
      <c r="J22" t="inlineStr">
        <is>
          <t>NOT AVAILABLE</t>
        </is>
      </c>
      <c r="K22" t="inlineStr">
        <is>
          <t>NOT AVAILABLE</t>
        </is>
      </c>
      <c r="L22" t="inlineStr">
        <is>
          <t>NOT AVAILABLE</t>
        </is>
      </c>
      <c r="M22" t="inlineStr">
        <is>
          <t>UNAVAILABLE</t>
        </is>
      </c>
      <c r="N22" t="inlineStr">
        <is>
          <t>Yes</t>
        </is>
      </c>
      <c r="O22" s="5" t="inlineStr">
        <is>
          <t>Covered - keep wording; no change</t>
        </is>
      </c>
      <c r="P22" s="5" t="inlineStr"/>
      <c r="Q22" t="inlineStr">
        <is>
          <t>P3</t>
        </is>
      </c>
      <c r="R22" t="n">
        <v>63</v>
      </c>
      <c r="S22" s="5" t="inlineStr">
        <is>
          <t xml:space="preserve">Prêt à lancer un site web qui génère de vrais prospects ? Nous sommes là pour vous aider. Réservez un appel stratégique gratuit ou contactez-nous directement. Temps de Réponse Rapide Nous répondons sous 24 heures Équipe </t>
        </is>
      </c>
    </row>
    <row r="23">
      <c r="A23" s="3" t="inlineStr">
        <is>
          <t>https://codesommet.com/contact</t>
        </is>
      </c>
      <c r="B23" t="n">
        <v>2</v>
      </c>
      <c r="C23" t="inlineStr">
        <is>
          <t>CTA / conversion</t>
        </is>
      </c>
      <c r="D23" s="5" t="inlineStr">
        <is>
          <t>Envoyez-nous un Email</t>
        </is>
      </c>
      <c r="E23" t="inlineStr">
        <is>
          <t>H2</t>
        </is>
      </c>
      <c r="F23" s="5" t="inlineStr">
        <is>
          <t>Conversion</t>
        </is>
      </c>
      <c r="G23" t="inlineStr">
        <is>
          <t>—</t>
        </is>
      </c>
      <c r="H23" t="inlineStr">
        <is>
          <t>NONE</t>
        </is>
      </c>
      <c r="I23" t="inlineStr">
        <is>
          <t>—</t>
        </is>
      </c>
      <c r="J23" t="inlineStr">
        <is>
          <t>—</t>
        </is>
      </c>
      <c r="K23" t="inlineStr">
        <is>
          <t>—</t>
        </is>
      </c>
      <c r="L23" t="inlineStr">
        <is>
          <t>—</t>
        </is>
      </c>
      <c r="M23" t="inlineStr">
        <is>
          <t>—</t>
        </is>
      </c>
      <c r="N23" t="inlineStr">
        <is>
          <t>n/a</t>
        </is>
      </c>
      <c r="O23" s="5" t="inlineStr">
        <is>
          <t>No keyword target - keep conversion/navigation focus; use descriptive, non-repeated anchor texts</t>
        </is>
      </c>
      <c r="P23" s="5" t="inlineStr"/>
      <c r="Q23" t="inlineStr">
        <is>
          <t>P4</t>
        </is>
      </c>
      <c r="R23" t="n">
        <v>4</v>
      </c>
      <c r="S23" s="5" t="inlineStr">
        <is>
          <t>Écrivez-nous Envoyer un Email</t>
        </is>
      </c>
    </row>
    <row r="24">
      <c r="A24" s="3" t="inlineStr">
        <is>
          <t>https://codesommet.com/contact</t>
        </is>
      </c>
      <c r="B24" t="n">
        <v>3</v>
      </c>
      <c r="C24" t="inlineStr">
        <is>
          <t>Content block</t>
        </is>
      </c>
      <c r="D24" s="5" t="inlineStr">
        <is>
          <t>WhatsApp</t>
        </is>
      </c>
      <c r="E24" t="inlineStr">
        <is>
          <t>H2</t>
        </is>
      </c>
      <c r="F24" s="5" t="inlineStr">
        <is>
          <t>Navigational / commercial investigation</t>
        </is>
      </c>
      <c r="G24" t="inlineStr">
        <is>
          <t>contact agence web</t>
        </is>
      </c>
      <c r="H24" t="inlineStr">
        <is>
          <t>SUPPORTS PRIMARY</t>
        </is>
      </c>
      <c r="I24" t="inlineStr">
        <is>
          <t>ma</t>
        </is>
      </c>
      <c r="J24" t="inlineStr">
        <is>
          <t>NOT AVAILABLE</t>
        </is>
      </c>
      <c r="K24" t="inlineStr">
        <is>
          <t>NOT AVAILABLE</t>
        </is>
      </c>
      <c r="L24" t="inlineStr">
        <is>
          <t>NOT AVAILABLE</t>
        </is>
      </c>
      <c r="M24" t="inlineStr">
        <is>
          <t>UNAVAILABLE</t>
        </is>
      </c>
      <c r="N24" t="inlineStr">
        <is>
          <t>Yes (supporting block)</t>
        </is>
      </c>
      <c r="O24" s="5" t="inlineStr">
        <is>
          <t>Supports the primary topic - add only if natural</t>
        </is>
      </c>
      <c r="P24" s="5" t="inlineStr"/>
      <c r="Q24" t="inlineStr">
        <is>
          <t>P3</t>
        </is>
      </c>
      <c r="R24" t="n">
        <v>7</v>
      </c>
      <c r="S24" s="5" t="inlineStr">
        <is>
          <t>Discutez directement avec nous Démarrer le Chat</t>
        </is>
      </c>
    </row>
    <row r="25">
      <c r="A25" s="3" t="inlineStr">
        <is>
          <t>https://codesommet.com/contact</t>
        </is>
      </c>
      <c r="B25" t="n">
        <v>4</v>
      </c>
      <c r="C25" t="inlineStr">
        <is>
          <t>Content block</t>
        </is>
      </c>
      <c r="D25" s="5" t="inlineStr">
        <is>
          <t>Heures d'Ouverture</t>
        </is>
      </c>
      <c r="E25" t="inlineStr">
        <is>
          <t>H2</t>
        </is>
      </c>
      <c r="F25" s="5" t="inlineStr">
        <is>
          <t>Navigational / commercial investigation</t>
        </is>
      </c>
      <c r="G25" t="inlineStr">
        <is>
          <t>contact agence web</t>
        </is>
      </c>
      <c r="H25" t="inlineStr">
        <is>
          <t>SUPPORTS PRIMARY</t>
        </is>
      </c>
      <c r="I25" t="inlineStr">
        <is>
          <t>ma</t>
        </is>
      </c>
      <c r="J25" t="inlineStr">
        <is>
          <t>NOT AVAILABLE</t>
        </is>
      </c>
      <c r="K25" t="inlineStr">
        <is>
          <t>NOT AVAILABLE</t>
        </is>
      </c>
      <c r="L25" t="inlineStr">
        <is>
          <t>NOT AVAILABLE</t>
        </is>
      </c>
      <c r="M25" t="inlineStr">
        <is>
          <t>UNAVAILABLE</t>
        </is>
      </c>
      <c r="N25" t="inlineStr">
        <is>
          <t>Yes (supporting block)</t>
        </is>
      </c>
      <c r="O25" s="5" t="inlineStr">
        <is>
          <t>Supports the primary topic - add only if natural</t>
        </is>
      </c>
      <c r="P25" s="5" t="inlineStr"/>
      <c r="Q25" t="inlineStr">
        <is>
          <t>P3</t>
        </is>
      </c>
      <c r="R25" t="n">
        <v>14</v>
      </c>
      <c r="S25" s="5" t="inlineStr">
        <is>
          <t>Lun-Ven : 9h - 18h (GMT+1) Sam : 10h - 14h (GMT+1) Notre Emplacement</t>
        </is>
      </c>
    </row>
    <row r="26">
      <c r="A26" s="3" t="inlineStr">
        <is>
          <t>https://codesommet.com/contact</t>
        </is>
      </c>
      <c r="B26" t="n">
        <v>5</v>
      </c>
      <c r="C26" t="inlineStr">
        <is>
          <t>Local relevance</t>
        </is>
      </c>
      <c r="D26" s="5" t="inlineStr">
        <is>
          <t>Où Nous Trouver</t>
        </is>
      </c>
      <c r="E26" t="inlineStr">
        <is>
          <t>H2</t>
        </is>
      </c>
      <c r="F26" s="5" t="inlineStr">
        <is>
          <t>Navigational / commercial investigation</t>
        </is>
      </c>
      <c r="G26" t="inlineStr">
        <is>
          <t>contact agence web</t>
        </is>
      </c>
      <c r="H26" t="inlineStr">
        <is>
          <t>SUPPORTS PRIMARY</t>
        </is>
      </c>
      <c r="I26" t="inlineStr">
        <is>
          <t>ma</t>
        </is>
      </c>
      <c r="J26" t="inlineStr">
        <is>
          <t>NOT AVAILABLE</t>
        </is>
      </c>
      <c r="K26" t="inlineStr">
        <is>
          <t>NOT AVAILABLE</t>
        </is>
      </c>
      <c r="L26" t="inlineStr">
        <is>
          <t>NOT AVAILABLE</t>
        </is>
      </c>
      <c r="M26" t="inlineStr">
        <is>
          <t>UNAVAILABLE</t>
        </is>
      </c>
      <c r="N26" t="inlineStr">
        <is>
          <t>Yes (supporting block)</t>
        </is>
      </c>
      <c r="O26" s="5" t="inlineStr">
        <is>
          <t>Supports the primary topic - add only if natural</t>
        </is>
      </c>
      <c r="P26" s="5" t="inlineStr"/>
      <c r="Q26" t="inlineStr">
        <is>
          <t>P3</t>
        </is>
      </c>
      <c r="R26" t="n">
        <v>81</v>
      </c>
      <c r="S26" s="5" t="inlineStr">
        <is>
          <t>Basés au Maroc, nous apportons une expertise locale et des standards internationaux à chaque projet que nous entreprenons. codesommet@gmail.com +212 6 32 58 20 96 WhatsApp Contactez-Nous Nous serions ravis d'en savoir pl</t>
        </is>
      </c>
    </row>
    <row r="27">
      <c r="A27" s="3" t="inlineStr">
        <is>
          <t>https://codesommet.com/contact</t>
        </is>
      </c>
      <c r="B27" t="n">
        <v>6</v>
      </c>
      <c r="C27" t="inlineStr">
        <is>
          <t>CTA / conversion</t>
        </is>
      </c>
      <c r="D27" s="5" t="inlineStr">
        <is>
          <t>Contactez-Nous</t>
        </is>
      </c>
      <c r="E27" t="inlineStr">
        <is>
          <t>H2</t>
        </is>
      </c>
      <c r="F27" s="5" t="inlineStr">
        <is>
          <t>Conversion</t>
        </is>
      </c>
      <c r="G27" t="inlineStr">
        <is>
          <t>—</t>
        </is>
      </c>
      <c r="H27" t="inlineStr">
        <is>
          <t>NONE</t>
        </is>
      </c>
      <c r="I27" t="inlineStr">
        <is>
          <t>—</t>
        </is>
      </c>
      <c r="J27" t="inlineStr">
        <is>
          <t>—</t>
        </is>
      </c>
      <c r="K27" t="inlineStr">
        <is>
          <t>—</t>
        </is>
      </c>
      <c r="L27" t="inlineStr">
        <is>
          <t>—</t>
        </is>
      </c>
      <c r="M27" t="inlineStr">
        <is>
          <t>—</t>
        </is>
      </c>
      <c r="N27" t="inlineStr">
        <is>
          <t>n/a</t>
        </is>
      </c>
      <c r="O27" s="5" t="inlineStr">
        <is>
          <t>No keyword target - keep conversion/navigation focus; use descriptive, non-repeated anchor texts</t>
        </is>
      </c>
      <c r="P27" s="5" t="inlineStr"/>
      <c r="Q27" t="inlineStr">
        <is>
          <t>P4</t>
        </is>
      </c>
      <c r="R27" t="n">
        <v>121</v>
      </c>
      <c r="S27" s="5" t="inlineStr">
        <is>
          <t>Remplissez le formulaire ci-dessous et nous vous répondrons sous 24 heures Vous avez besoin d'un devis chiffré précis plutôt que d'échanger d'abord ? demandez votre devis structuré . Ou voir des exemples de projets livré</t>
        </is>
      </c>
    </row>
    <row r="28">
      <c r="A28" s="3" t="inlineStr">
        <is>
          <t>https://codesommet.com/contact</t>
        </is>
      </c>
      <c r="B28" t="n">
        <v>7</v>
      </c>
      <c r="C28" t="inlineStr">
        <is>
          <t>CTA / conversion</t>
        </is>
      </c>
      <c r="D28" s="5" t="inlineStr">
        <is>
          <t>Que Se Passe-t-il Ensuite ?</t>
        </is>
      </c>
      <c r="E28" t="inlineStr">
        <is>
          <t>H2</t>
        </is>
      </c>
      <c r="F28" s="5" t="inlineStr">
        <is>
          <t>Conversion</t>
        </is>
      </c>
      <c r="G28" t="inlineStr">
        <is>
          <t>—</t>
        </is>
      </c>
      <c r="H28" t="inlineStr">
        <is>
          <t>NONE</t>
        </is>
      </c>
      <c r="I28" t="inlineStr">
        <is>
          <t>—</t>
        </is>
      </c>
      <c r="J28" t="inlineStr">
        <is>
          <t>—</t>
        </is>
      </c>
      <c r="K28" t="inlineStr">
        <is>
          <t>—</t>
        </is>
      </c>
      <c r="L28" t="inlineStr">
        <is>
          <t>—</t>
        </is>
      </c>
      <c r="M28" t="inlineStr">
        <is>
          <t>—</t>
        </is>
      </c>
      <c r="N28" t="inlineStr">
        <is>
          <t>n/a</t>
        </is>
      </c>
      <c r="O28" s="5" t="inlineStr">
        <is>
          <t>No keyword target - keep conversion/navigation focus; use descriptive, non-repeated anchor texts</t>
        </is>
      </c>
      <c r="P28" s="5" t="inlineStr"/>
      <c r="Q28" t="inlineStr">
        <is>
          <t>P4</t>
        </is>
      </c>
      <c r="R28" t="n">
        <v>65</v>
      </c>
      <c r="S28" s="5" t="inlineStr">
        <is>
          <t>Voici ce à quoi vous pouvez vous attendre lorsque vous nous contactez 1 Réponse Rapide Nous vous répondrons sous 24 heures pour comprendre les besoins et objectifs de votre projet 2 Appel Stratégique Planifiez une consul</t>
        </is>
      </c>
    </row>
    <row r="29">
      <c r="A29" s="3" t="inlineStr">
        <is>
          <t>https://codesommet.com/contact</t>
        </is>
      </c>
      <c r="B29" t="n">
        <v>8</v>
      </c>
      <c r="C29" t="inlineStr">
        <is>
          <t>CTA / conversion</t>
        </is>
      </c>
      <c r="D29" s="5" t="inlineStr">
        <is>
          <t>Prêt à Créer Quelque Chose d'Extraordinaire ?</t>
        </is>
      </c>
      <c r="E29" t="inlineStr">
        <is>
          <t>H2</t>
        </is>
      </c>
      <c r="F29" s="5" t="inlineStr">
        <is>
          <t>Conversion</t>
        </is>
      </c>
      <c r="G29" t="inlineStr">
        <is>
          <t>—</t>
        </is>
      </c>
      <c r="H29" t="inlineStr">
        <is>
          <t>NONE</t>
        </is>
      </c>
      <c r="I29" t="inlineStr">
        <is>
          <t>—</t>
        </is>
      </c>
      <c r="J29" t="inlineStr">
        <is>
          <t>—</t>
        </is>
      </c>
      <c r="K29" t="inlineStr">
        <is>
          <t>—</t>
        </is>
      </c>
      <c r="L29" t="inlineStr">
        <is>
          <t>—</t>
        </is>
      </c>
      <c r="M29" t="inlineStr">
        <is>
          <t>—</t>
        </is>
      </c>
      <c r="N29" t="inlineStr">
        <is>
          <t>n/a</t>
        </is>
      </c>
      <c r="O29" s="5" t="inlineStr">
        <is>
          <t>No keyword target - keep conversion/navigation focus; use descriptive, non-repeated anchor texts</t>
        </is>
      </c>
      <c r="P29" s="5" t="inlineStr"/>
      <c r="Q29" t="inlineStr">
        <is>
          <t>P4</t>
        </is>
      </c>
      <c r="R29" t="n">
        <v>119</v>
      </c>
      <c r="S29" s="5" t="inlineStr">
        <is>
          <t>Rejoignez les entreprises visionnaires qui ont choisi l'excellence Réserver un Appel Découverte Analyser Mon Site Gratuitement Réserver un Appel Découverte Analyser Votre Site Web Discutons de la façon dont l'IA et le de</t>
        </is>
      </c>
    </row>
    <row r="30">
      <c r="A30" s="3" t="inlineStr">
        <is>
          <t>https://codesommet.com/get-quote</t>
        </is>
      </c>
      <c r="B30" t="n">
        <v>1</v>
      </c>
      <c r="C30" t="inlineStr">
        <is>
          <t>Hero / H1</t>
        </is>
      </c>
      <c r="D30" s="5" t="inlineStr">
        <is>
          <t>Obtenir un Devis Gratuit pour Votre Site Web</t>
        </is>
      </c>
      <c r="E30" t="inlineStr">
        <is>
          <t>H1</t>
        </is>
      </c>
      <c r="F30" s="5" t="inlineStr">
        <is>
          <t>Transactional</t>
        </is>
      </c>
      <c r="G30" t="inlineStr">
        <is>
          <t>devis site web</t>
        </is>
      </c>
      <c r="H30" t="inlineStr">
        <is>
          <t>PRIMARY</t>
        </is>
      </c>
      <c r="I30" t="inlineStr">
        <is>
          <t>ma</t>
        </is>
      </c>
      <c r="J30" t="n">
        <v>30</v>
      </c>
      <c r="K30" t="inlineStr">
        <is>
          <t>NOT AVAILABLE</t>
        </is>
      </c>
      <c r="L30" t="n">
        <v>0.37</v>
      </c>
      <c r="M30" t="inlineStr">
        <is>
          <t>MEASURED</t>
        </is>
      </c>
      <c r="N30" t="inlineStr">
        <is>
          <t>Yes</t>
        </is>
      </c>
      <c r="O30" s="5" t="inlineStr">
        <is>
          <t>Covered - keep wording; no change</t>
        </is>
      </c>
      <c r="P30" s="5" t="inlineStr"/>
      <c r="Q30" t="inlineStr">
        <is>
          <t>P2</t>
        </is>
      </c>
      <c r="R30" t="n">
        <v>253</v>
      </c>
      <c r="S30" s="5" t="inlineStr">
        <is>
          <t>Parlez-nous de votre projet et nous vous fournirons un devis personnalisé selon vos besoins. Devis gratuit Réponse sous 24h Sans engagement Tarification sur mesure 1 À propos de vous 2 Votre Projet 3 Détails Ne pas rempl</t>
        </is>
      </c>
    </row>
    <row r="31">
      <c r="A31" s="3" t="inlineStr">
        <is>
          <t>https://codesommet.com/get-quote</t>
        </is>
      </c>
      <c r="B31" t="n">
        <v>2</v>
      </c>
      <c r="C31" t="inlineStr">
        <is>
          <t>Content block</t>
        </is>
      </c>
      <c r="D31" s="5" t="inlineStr">
        <is>
          <t>Demande de devis envoyée !</t>
        </is>
      </c>
      <c r="E31" t="inlineStr">
        <is>
          <t>H2</t>
        </is>
      </c>
      <c r="F31" s="5" t="inlineStr">
        <is>
          <t>Transactional</t>
        </is>
      </c>
      <c r="G31" t="inlineStr">
        <is>
          <t>création site web prix maroc</t>
        </is>
      </c>
      <c r="H31" t="inlineStr">
        <is>
          <t>SECONDARY</t>
        </is>
      </c>
      <c r="I31" t="inlineStr">
        <is>
          <t>ma</t>
        </is>
      </c>
      <c r="J31" t="n">
        <v>30</v>
      </c>
      <c r="K31" t="inlineStr">
        <is>
          <t>NOT AVAILABLE</t>
        </is>
      </c>
      <c r="L31" t="n">
        <v>0.28</v>
      </c>
      <c r="M31" t="inlineStr">
        <is>
          <t>MEASURED</t>
        </is>
      </c>
      <c r="N31" t="inlineStr">
        <is>
          <t>Partly</t>
        </is>
      </c>
      <c r="O31" s="5" t="inlineStr">
        <is>
          <t>Work "création site web prix maroc" (or a close natural variant) into existing copy - no new heading needed</t>
        </is>
      </c>
      <c r="P31" s="5" t="inlineStr">
        <is>
          <t>Keyword/variant absent from this section</t>
        </is>
      </c>
      <c r="Q31" t="inlineStr">
        <is>
          <t>P1</t>
        </is>
      </c>
      <c r="R31" t="n">
        <v>25</v>
      </c>
      <c r="S31" s="5" t="inlineStr">
        <is>
          <t>Nous examinerons les détails de votre projet et vous recontacterons sous 24 heures avec un devis personnalisé adapté à vos besoins. Envoyer une autre demande</t>
        </is>
      </c>
    </row>
    <row r="32">
      <c r="A32" s="3" t="inlineStr">
        <is>
          <t>https://codesommet.com/our-work</t>
        </is>
      </c>
      <c r="B32" t="n">
        <v>1</v>
      </c>
      <c r="C32" t="inlineStr">
        <is>
          <t>Hero / H1</t>
        </is>
      </c>
      <c r="D32" s="5" t="inlineStr">
        <is>
          <t>Portfolio &amp; Études de Cas, Agence Web Maroc : Nos Projets Génèrent de Vrais Résultats</t>
        </is>
      </c>
      <c r="E32" t="inlineStr">
        <is>
          <t>H1</t>
        </is>
      </c>
      <c r="F32" s="5" t="inlineStr">
        <is>
          <t>Navigational / commercial investigation</t>
        </is>
      </c>
      <c r="G32" t="inlineStr">
        <is>
          <t>exemple de site web</t>
        </is>
      </c>
      <c r="H32" t="inlineStr">
        <is>
          <t>PRIMARY</t>
        </is>
      </c>
      <c r="I32" t="inlineStr">
        <is>
          <t>ma</t>
        </is>
      </c>
      <c r="J32" t="n">
        <v>20</v>
      </c>
      <c r="K32" t="inlineStr">
        <is>
          <t>NOT AVAILABLE</t>
        </is>
      </c>
      <c r="L32" t="n">
        <v>0.14</v>
      </c>
      <c r="M32" t="inlineStr">
        <is>
          <t>MEASURED</t>
        </is>
      </c>
      <c r="N32" t="inlineStr">
        <is>
          <t>Partly</t>
        </is>
      </c>
      <c r="O32" s="5" t="inlineStr">
        <is>
          <t>Work "exemple de site web" (or a close natural variant) into existing copy - no new heading needed</t>
        </is>
      </c>
      <c r="P32" s="5" t="inlineStr">
        <is>
          <t>Keyword/variant absent from this section</t>
        </is>
      </c>
      <c r="Q32" t="inlineStr">
        <is>
          <t>P3</t>
        </is>
      </c>
      <c r="R32" t="n">
        <v>53</v>
      </c>
      <c r="S32" s="5" t="inlineStr">
        <is>
          <t>des sites web alimentés par l'IA et des tableaux de bord intelligents qui transforment les entreprises dans l'éducation, la santé et au-delà Chaque projet ci-dessous appartient à un secteur précis — pour aller plus loin,</t>
        </is>
      </c>
    </row>
    <row r="33">
      <c r="A33" s="3" t="inlineStr">
        <is>
          <t>https://codesommet.com/our-work</t>
        </is>
      </c>
      <c r="B33" t="n">
        <v>2</v>
      </c>
      <c r="C33" t="inlineStr">
        <is>
          <t>Content block</t>
        </is>
      </c>
      <c r="D33" s="5" t="inlineStr">
        <is>
          <t>GLS Sprachenzentrum</t>
        </is>
      </c>
      <c r="E33" t="inlineStr">
        <is>
          <t>H2</t>
        </is>
      </c>
      <c r="F33" s="5" t="inlineStr">
        <is>
          <t>Navigational / commercial investigation</t>
        </is>
      </c>
      <c r="G33" t="inlineStr">
        <is>
          <t>exemple site web</t>
        </is>
      </c>
      <c r="H33" t="inlineStr">
        <is>
          <t>SECONDARY</t>
        </is>
      </c>
      <c r="I33" t="inlineStr">
        <is>
          <t>ma</t>
        </is>
      </c>
      <c r="J33" t="n">
        <v>20</v>
      </c>
      <c r="K33" t="inlineStr">
        <is>
          <t>NOT AVAILABLE</t>
        </is>
      </c>
      <c r="L33" t="n">
        <v>0.11</v>
      </c>
      <c r="M33" t="inlineStr">
        <is>
          <t>MEASURED</t>
        </is>
      </c>
      <c r="N33" t="inlineStr">
        <is>
          <t>Partly</t>
        </is>
      </c>
      <c r="O33" s="5" t="inlineStr">
        <is>
          <t>Work "exemple site web" (or a close natural variant) into existing copy - no new heading needed</t>
        </is>
      </c>
      <c r="P33" s="5" t="inlineStr">
        <is>
          <t>Keyword/variant absent from this section</t>
        </is>
      </c>
      <c r="Q33" t="inlineStr">
        <is>
          <t>P3</t>
        </is>
      </c>
      <c r="R33" t="n">
        <v>20</v>
      </c>
      <c r="S33" s="5" t="inlineStr">
        <is>
          <t>Éducation Des inscriptions en ligne au CRM étudiant, sur une seule application Site bilingue CRM et automatisation Tableau de bord</t>
        </is>
      </c>
    </row>
    <row r="34">
      <c r="A34" s="3" t="inlineStr">
        <is>
          <t>https://codesommet.com/our-work</t>
        </is>
      </c>
      <c r="B34" t="n">
        <v>3</v>
      </c>
      <c r="C34" t="inlineStr">
        <is>
          <t>Content block</t>
        </is>
      </c>
      <c r="D34" s="5" t="inlineStr">
        <is>
          <t>Akoubri</t>
        </is>
      </c>
      <c r="E34" t="inlineStr">
        <is>
          <t>H2</t>
        </is>
      </c>
      <c r="F34" s="5" t="inlineStr">
        <is>
          <t>Navigational / commercial investigation</t>
        </is>
      </c>
      <c r="G34" t="inlineStr">
        <is>
          <t>portfolio site web</t>
        </is>
      </c>
      <c r="H34" t="inlineStr">
        <is>
          <t>SUPPORTING</t>
        </is>
      </c>
      <c r="I34" t="inlineStr">
        <is>
          <t>ma</t>
        </is>
      </c>
      <c r="J34" t="n">
        <v>10</v>
      </c>
      <c r="K34" t="inlineStr">
        <is>
          <t>NOT AVAILABLE</t>
        </is>
      </c>
      <c r="L34" t="n">
        <v>0.1</v>
      </c>
      <c r="M34" t="inlineStr">
        <is>
          <t>MEASURED</t>
        </is>
      </c>
      <c r="N34" t="inlineStr">
        <is>
          <t>Yes (supporting block)</t>
        </is>
      </c>
      <c r="O34" s="5" t="inlineStr">
        <is>
          <t>Supports the primary topic - add only if natural</t>
        </is>
      </c>
      <c r="P34" s="5" t="inlineStr"/>
      <c r="Q34" t="inlineStr">
        <is>
          <t>P3</t>
        </is>
      </c>
      <c r="R34" t="n">
        <v>14</v>
      </c>
      <c r="S34" s="5" t="inlineStr">
        <is>
          <t>Architecture Un cabinet d'architecture présenté projet par projet Site vitrine Galerie de projets SEO</t>
        </is>
      </c>
    </row>
    <row r="35">
      <c r="A35" s="3" t="inlineStr">
        <is>
          <t>https://codesommet.com/our-work</t>
        </is>
      </c>
      <c r="B35" t="n">
        <v>4</v>
      </c>
      <c r="C35" t="inlineStr">
        <is>
          <t>Content block</t>
        </is>
      </c>
      <c r="D35" s="5" t="inlineStr">
        <is>
          <t>Authentic Morocco Adventures</t>
        </is>
      </c>
      <c r="E35" t="inlineStr">
        <is>
          <t>H2</t>
        </is>
      </c>
      <c r="F35" s="5" t="inlineStr">
        <is>
          <t>Navigational / commercial investigation</t>
        </is>
      </c>
      <c r="G35" t="inlineStr">
        <is>
          <t>exemple site web</t>
        </is>
      </c>
      <c r="H35" t="inlineStr">
        <is>
          <t>SECONDARY</t>
        </is>
      </c>
      <c r="I35" t="inlineStr">
        <is>
          <t>ma</t>
        </is>
      </c>
      <c r="J35" t="n">
        <v>20</v>
      </c>
      <c r="K35" t="inlineStr">
        <is>
          <t>NOT AVAILABLE</t>
        </is>
      </c>
      <c r="L35" t="n">
        <v>0.11</v>
      </c>
      <c r="M35" t="inlineStr">
        <is>
          <t>MEASURED</t>
        </is>
      </c>
      <c r="N35" t="inlineStr">
        <is>
          <t>Partly</t>
        </is>
      </c>
      <c r="O35" s="5" t="inlineStr">
        <is>
          <t>Work "exemple site web" (or a close natural variant) into existing copy - no new heading needed</t>
        </is>
      </c>
      <c r="P35" s="5" t="inlineStr">
        <is>
          <t>Keyword/variant absent from this section</t>
        </is>
      </c>
      <c r="Q35" t="inlineStr">
        <is>
          <t>P3</t>
        </is>
      </c>
      <c r="R35" t="n">
        <v>15</v>
      </c>
      <c r="S35" s="5" t="inlineStr">
        <is>
          <t>Tourisme 62 circuits au Maroc, réservés directement sur WhatsApp Site de voyage Réservation WhatsApp SEO</t>
        </is>
      </c>
    </row>
    <row r="36">
      <c r="A36" s="3" t="inlineStr">
        <is>
          <t>https://codesommet.com/our-work</t>
        </is>
      </c>
      <c r="B36" t="n">
        <v>5</v>
      </c>
      <c r="C36" t="inlineStr">
        <is>
          <t>Content block</t>
        </is>
      </c>
      <c r="D36" s="5" t="inlineStr">
        <is>
          <t>GlamWorlds</t>
        </is>
      </c>
      <c r="E36" t="inlineStr">
        <is>
          <t>H2</t>
        </is>
      </c>
      <c r="F36" s="5" t="inlineStr">
        <is>
          <t>Navigational / commercial investigation</t>
        </is>
      </c>
      <c r="G36" t="inlineStr">
        <is>
          <t>portfolio site web</t>
        </is>
      </c>
      <c r="H36" t="inlineStr">
        <is>
          <t>SUPPORTING</t>
        </is>
      </c>
      <c r="I36" t="inlineStr">
        <is>
          <t>ma</t>
        </is>
      </c>
      <c r="J36" t="n">
        <v>10</v>
      </c>
      <c r="K36" t="inlineStr">
        <is>
          <t>NOT AVAILABLE</t>
        </is>
      </c>
      <c r="L36" t="n">
        <v>0.1</v>
      </c>
      <c r="M36" t="inlineStr">
        <is>
          <t>MEASURED</t>
        </is>
      </c>
      <c r="N36" t="inlineStr">
        <is>
          <t>Yes (supporting block)</t>
        </is>
      </c>
      <c r="O36" s="5" t="inlineStr">
        <is>
          <t>Supports the primary topic - add only if natural</t>
        </is>
      </c>
      <c r="P36" s="5" t="inlineStr"/>
      <c r="Q36" t="inlineStr">
        <is>
          <t>P3</t>
        </is>
      </c>
      <c r="R36" t="n">
        <v>18</v>
      </c>
      <c r="S36" s="5" t="inlineStr">
        <is>
          <t>Beauté Des lunettes de luxe vendues en ligne, du produit au paiement E-commerce Shopify Paiement en ligne SEO</t>
        </is>
      </c>
    </row>
    <row r="37">
      <c r="A37" s="3" t="inlineStr">
        <is>
          <t>https://codesommet.com/our-work</t>
        </is>
      </c>
      <c r="B37" t="n">
        <v>6</v>
      </c>
      <c r="C37" t="inlineStr">
        <is>
          <t>Content block</t>
        </is>
      </c>
      <c r="D37" s="5" t="inlineStr">
        <is>
          <t>Mon Asso</t>
        </is>
      </c>
      <c r="E37" t="inlineStr">
        <is>
          <t>H2</t>
        </is>
      </c>
      <c r="F37" s="5" t="inlineStr">
        <is>
          <t>Navigational / commercial investigation</t>
        </is>
      </c>
      <c r="G37" t="inlineStr">
        <is>
          <t>exemple site web</t>
        </is>
      </c>
      <c r="H37" t="inlineStr">
        <is>
          <t>SECONDARY</t>
        </is>
      </c>
      <c r="I37" t="inlineStr">
        <is>
          <t>ma</t>
        </is>
      </c>
      <c r="J37" t="n">
        <v>20</v>
      </c>
      <c r="K37" t="inlineStr">
        <is>
          <t>NOT AVAILABLE</t>
        </is>
      </c>
      <c r="L37" t="n">
        <v>0.11</v>
      </c>
      <c r="M37" t="inlineStr">
        <is>
          <t>MEASURED</t>
        </is>
      </c>
      <c r="N37" t="inlineStr">
        <is>
          <t>Partly</t>
        </is>
      </c>
      <c r="O37" s="5" t="inlineStr">
        <is>
          <t>Work "exemple site web" (or a close natural variant) into existing copy - no new heading needed</t>
        </is>
      </c>
      <c r="P37" s="5" t="inlineStr">
        <is>
          <t>Keyword/variant absent from this section</t>
        </is>
      </c>
      <c r="Q37" t="inlineStr">
        <is>
          <t>P3</t>
        </is>
      </c>
      <c r="R37" t="n">
        <v>18</v>
      </c>
      <c r="S37" s="5" t="inlineStr">
        <is>
          <t>SaaS Membres, cotisations et événements d'une association, au même endroit Plateforme SaaS Tableau de bord Rôles et permissions</t>
        </is>
      </c>
    </row>
    <row r="38">
      <c r="A38" s="3" t="inlineStr">
        <is>
          <t>https://codesommet.com/our-work</t>
        </is>
      </c>
      <c r="B38" t="n">
        <v>7</v>
      </c>
      <c r="C38" t="inlineStr">
        <is>
          <t>Content block</t>
        </is>
      </c>
      <c r="D38" s="5" t="inlineStr">
        <is>
          <t>Morocco Quest</t>
        </is>
      </c>
      <c r="E38" t="inlineStr">
        <is>
          <t>H2</t>
        </is>
      </c>
      <c r="F38" s="5" t="inlineStr">
        <is>
          <t>Navigational / commercial investigation</t>
        </is>
      </c>
      <c r="G38" t="inlineStr">
        <is>
          <t>portfolio site web</t>
        </is>
      </c>
      <c r="H38" t="inlineStr">
        <is>
          <t>SUPPORTING</t>
        </is>
      </c>
      <c r="I38" t="inlineStr">
        <is>
          <t>ma</t>
        </is>
      </c>
      <c r="J38" t="n">
        <v>10</v>
      </c>
      <c r="K38" t="inlineStr">
        <is>
          <t>NOT AVAILABLE</t>
        </is>
      </c>
      <c r="L38" t="n">
        <v>0.1</v>
      </c>
      <c r="M38" t="inlineStr">
        <is>
          <t>MEASURED</t>
        </is>
      </c>
      <c r="N38" t="inlineStr">
        <is>
          <t>Yes (supporting block)</t>
        </is>
      </c>
      <c r="O38" s="5" t="inlineStr">
        <is>
          <t>Supports the primary topic - add only if natural</t>
        </is>
      </c>
      <c r="P38" s="5" t="inlineStr"/>
      <c r="Q38" t="inlineStr">
        <is>
          <t>P3</t>
        </is>
      </c>
      <c r="R38" t="n">
        <v>14</v>
      </c>
      <c r="S38" s="5" t="inlineStr">
        <is>
          <t>Tourisme Circuits et réservations gérés sans toucher au code Application Laravel Panneau d'administration Réservations</t>
        </is>
      </c>
    </row>
    <row r="39">
      <c r="A39" s="3" t="inlineStr">
        <is>
          <t>https://codesommet.com/our-work</t>
        </is>
      </c>
      <c r="B39" t="n">
        <v>8</v>
      </c>
      <c r="C39" t="inlineStr">
        <is>
          <t>Content block</t>
        </is>
      </c>
      <c r="D39" s="5" t="inlineStr">
        <is>
          <t>Dental Pro</t>
        </is>
      </c>
      <c r="E39" t="inlineStr">
        <is>
          <t>H2</t>
        </is>
      </c>
      <c r="F39" s="5" t="inlineStr">
        <is>
          <t>Navigational / commercial investigation</t>
        </is>
      </c>
      <c r="G39" t="inlineStr">
        <is>
          <t>exemple site web</t>
        </is>
      </c>
      <c r="H39" t="inlineStr">
        <is>
          <t>SECONDARY</t>
        </is>
      </c>
      <c r="I39" t="inlineStr">
        <is>
          <t>ma</t>
        </is>
      </c>
      <c r="J39" t="n">
        <v>20</v>
      </c>
      <c r="K39" t="inlineStr">
        <is>
          <t>NOT AVAILABLE</t>
        </is>
      </c>
      <c r="L39" t="n">
        <v>0.11</v>
      </c>
      <c r="M39" t="inlineStr">
        <is>
          <t>MEASURED</t>
        </is>
      </c>
      <c r="N39" t="inlineStr">
        <is>
          <t>Partly</t>
        </is>
      </c>
      <c r="O39" s="5" t="inlineStr">
        <is>
          <t>Work "exemple site web" (or a close natural variant) into existing copy - no new heading needed</t>
        </is>
      </c>
      <c r="P39" s="5" t="inlineStr">
        <is>
          <t>Keyword/variant absent from this section</t>
        </is>
      </c>
      <c r="Q39" t="inlineStr">
        <is>
          <t>P3</t>
        </is>
      </c>
      <c r="R39" t="n">
        <v>16</v>
      </c>
      <c r="S39" s="5" t="inlineStr">
        <is>
          <t>Santé Produits, articles et réservations dentaires, pilotés depuis un seul backoffice E-commerce CMS sur mesure Réservations</t>
        </is>
      </c>
    </row>
    <row r="40">
      <c r="A40" s="3" t="inlineStr">
        <is>
          <t>https://codesommet.com/our-work</t>
        </is>
      </c>
      <c r="B40" t="n">
        <v>9</v>
      </c>
      <c r="C40" t="inlineStr">
        <is>
          <t>Content block</t>
        </is>
      </c>
      <c r="D40" s="5" t="inlineStr">
        <is>
          <t>Hssabek</t>
        </is>
      </c>
      <c r="E40" t="inlineStr">
        <is>
          <t>H2</t>
        </is>
      </c>
      <c r="F40" s="5" t="inlineStr">
        <is>
          <t>Navigational / commercial investigation</t>
        </is>
      </c>
      <c r="G40" t="inlineStr">
        <is>
          <t>portfolio site web</t>
        </is>
      </c>
      <c r="H40" t="inlineStr">
        <is>
          <t>SUPPORTING</t>
        </is>
      </c>
      <c r="I40" t="inlineStr">
        <is>
          <t>ma</t>
        </is>
      </c>
      <c r="J40" t="n">
        <v>10</v>
      </c>
      <c r="K40" t="inlineStr">
        <is>
          <t>NOT AVAILABLE</t>
        </is>
      </c>
      <c r="L40" t="n">
        <v>0.1</v>
      </c>
      <c r="M40" t="inlineStr">
        <is>
          <t>MEASURED</t>
        </is>
      </c>
      <c r="N40" t="inlineStr">
        <is>
          <t>Yes (supporting block)</t>
        </is>
      </c>
      <c r="O40" s="5" t="inlineStr">
        <is>
          <t>Supports the primary topic - add only if natural</t>
        </is>
      </c>
      <c r="P40" s="5" t="inlineStr"/>
      <c r="Q40" t="inlineStr">
        <is>
          <t>P3</t>
        </is>
      </c>
      <c r="R40" t="n">
        <v>79</v>
      </c>
      <c r="S40" s="5" t="inlineStr">
        <is>
          <t>SaaS Devis, factures et paiements des TPE, chacune dans son propre espace SaaS multi-tenant Facturation Exports PDF et Excel Des boutiques comme GlamWorlds ou Dental Pro s'appuient sur notre offre de développement e-comm</t>
        </is>
      </c>
    </row>
    <row r="41">
      <c r="A41" s="3" t="inlineStr">
        <is>
          <t>https://codesommet.com/our-work</t>
        </is>
      </c>
      <c r="B41" t="n">
        <v>10</v>
      </c>
      <c r="C41" t="inlineStr">
        <is>
          <t>Content block</t>
        </is>
      </c>
      <c r="D41" s="5" t="inlineStr">
        <is>
          <t>Vous vous demandez comment se positionne votre site web ?</t>
        </is>
      </c>
      <c r="E41" t="inlineStr">
        <is>
          <t>H2</t>
        </is>
      </c>
      <c r="F41" s="5" t="inlineStr">
        <is>
          <t>Navigational / commercial investigation</t>
        </is>
      </c>
      <c r="G41" t="inlineStr">
        <is>
          <t>exemple site web</t>
        </is>
      </c>
      <c r="H41" t="inlineStr">
        <is>
          <t>SECONDARY</t>
        </is>
      </c>
      <c r="I41" t="inlineStr">
        <is>
          <t>ma</t>
        </is>
      </c>
      <c r="J41" t="n">
        <v>20</v>
      </c>
      <c r="K41" t="inlineStr">
        <is>
          <t>NOT AVAILABLE</t>
        </is>
      </c>
      <c r="L41" t="n">
        <v>0.11</v>
      </c>
      <c r="M41" t="inlineStr">
        <is>
          <t>MEASURED</t>
        </is>
      </c>
      <c r="N41" t="inlineStr">
        <is>
          <t>Partly</t>
        </is>
      </c>
      <c r="O41" s="5" t="inlineStr">
        <is>
          <t>Work "exemple site web" (or a close natural variant) into existing copy - no new heading needed</t>
        </is>
      </c>
      <c r="P41" s="5" t="inlineStr">
        <is>
          <t>Keyword/variant absent from this section</t>
        </is>
      </c>
      <c r="Q41" t="inlineStr">
        <is>
          <t>P3</t>
        </is>
      </c>
      <c r="R41" t="n">
        <v>39</v>
      </c>
      <c r="S41" s="5" t="inlineStr">
        <is>
          <t>Obtenez une analyse gratuite de votre site web propulsée par l'IA avec plus de 40 vérifications complètes en SEO, Performance, Design et Sécurité. Analyser Votre Site Web Gratuitement ✓ Aucune carte bancaire requise ✓ Ré</t>
        </is>
      </c>
    </row>
    <row r="42">
      <c r="A42" s="3" t="inlineStr">
        <is>
          <t>https://codesommet.com/our-work</t>
        </is>
      </c>
      <c r="B42" t="n">
        <v>11</v>
      </c>
      <c r="C42" t="inlineStr">
        <is>
          <t>CTA / conversion</t>
        </is>
      </c>
      <c r="D42" s="5" t="inlineStr">
        <is>
          <t>Prêt à Créer Quelque Chose d'Extraordinaire ?</t>
        </is>
      </c>
      <c r="E42" t="inlineStr">
        <is>
          <t>H2</t>
        </is>
      </c>
      <c r="F42" s="5" t="inlineStr">
        <is>
          <t>Conversion</t>
        </is>
      </c>
      <c r="G42" t="inlineStr">
        <is>
          <t>—</t>
        </is>
      </c>
      <c r="H42" t="inlineStr">
        <is>
          <t>NONE</t>
        </is>
      </c>
      <c r="I42" t="inlineStr">
        <is>
          <t>—</t>
        </is>
      </c>
      <c r="J42" t="inlineStr">
        <is>
          <t>—</t>
        </is>
      </c>
      <c r="K42" t="inlineStr">
        <is>
          <t>—</t>
        </is>
      </c>
      <c r="L42" t="inlineStr">
        <is>
          <t>—</t>
        </is>
      </c>
      <c r="M42" t="inlineStr">
        <is>
          <t>—</t>
        </is>
      </c>
      <c r="N42" t="inlineStr">
        <is>
          <t>n/a</t>
        </is>
      </c>
      <c r="O42" s="5" t="inlineStr">
        <is>
          <t>No keyword target - keep conversion/navigation focus; use descriptive, non-repeated anchor texts</t>
        </is>
      </c>
      <c r="P42" s="5" t="inlineStr"/>
      <c r="Q42" t="inlineStr">
        <is>
          <t>P4</t>
        </is>
      </c>
      <c r="R42" t="n">
        <v>119</v>
      </c>
      <c r="S42" s="5" t="inlineStr">
        <is>
          <t>Vous voulez des résultats similaires ? Obtenez votre devis gratuit aujourd'hui Réserver un Appel Découverte Analyser Mon Site Gratuitement Réserver un Appel Découverte Analyser Votre Site Web Planifiez une consultation g</t>
        </is>
      </c>
    </row>
    <row r="43">
      <c r="A43" s="3" t="inlineStr">
        <is>
          <t>https://codesommet.com/industries</t>
        </is>
      </c>
      <c r="B43" t="n">
        <v>1</v>
      </c>
      <c r="C43" t="inlineStr">
        <is>
          <t>Hero / H1</t>
        </is>
      </c>
      <c r="D43" s="5" t="inlineStr">
        <is>
          <t>Sites Web par Secteur : E-commerce, Santé et Sites Spécialisés Chaque Secteur</t>
        </is>
      </c>
      <c r="E43" t="inlineStr">
        <is>
          <t>H1</t>
        </is>
      </c>
      <c r="F43" s="5" t="inlineStr">
        <is>
          <t>Navigational / commercial investigation</t>
        </is>
      </c>
      <c r="G43" t="inlineStr">
        <is>
          <t>création site web par secteur</t>
        </is>
      </c>
      <c r="H43" t="inlineStr">
        <is>
          <t>PRIMARY</t>
        </is>
      </c>
      <c r="I43" t="inlineStr">
        <is>
          <t>ma</t>
        </is>
      </c>
      <c r="J43" t="inlineStr">
        <is>
          <t>NOT AVAILABLE</t>
        </is>
      </c>
      <c r="K43" t="inlineStr">
        <is>
          <t>NOT AVAILABLE</t>
        </is>
      </c>
      <c r="L43" t="inlineStr">
        <is>
          <t>NOT AVAILABLE</t>
        </is>
      </c>
      <c r="M43" t="inlineStr">
        <is>
          <t>UNAVAILABLE</t>
        </is>
      </c>
      <c r="N43" t="inlineStr">
        <is>
          <t>Partly</t>
        </is>
      </c>
      <c r="O43" s="5" t="inlineStr">
        <is>
          <t>Work "création site web par secteur" (or a close natural variant) into existing copy - no new heading needed</t>
        </is>
      </c>
      <c r="P43" s="5" t="inlineStr">
        <is>
          <t>Keyword/variant absent from this section</t>
        </is>
      </c>
      <c r="Q43" t="inlineStr">
        <is>
          <t>P3</t>
        </is>
      </c>
      <c r="R43" t="n">
        <v>35</v>
      </c>
      <c r="S43" s="5" t="inlineStr">
        <is>
          <t>De l'éducation à la santé, du SaaS à l'immobilier — nous créons des sites web spécifiques à chaque secteur avec des fonctionnalités propulsées par l'IA et une optimisation des conversions. Démarrer Votre Projet Voir le P</t>
        </is>
      </c>
    </row>
    <row r="44">
      <c r="A44" s="3" t="inlineStr">
        <is>
          <t>https://codesommet.com/industries</t>
        </is>
      </c>
      <c r="B44" t="n">
        <v>2</v>
      </c>
      <c r="C44" t="inlineStr">
        <is>
          <t>Content block</t>
        </is>
      </c>
      <c r="D44" s="5" t="inlineStr">
        <is>
          <t>Éducation &amp; Formation ( 8 secteurs )</t>
        </is>
      </c>
      <c r="E44" t="inlineStr">
        <is>
          <t>H2</t>
        </is>
      </c>
      <c r="F44" s="5" t="inlineStr">
        <is>
          <t>Navigational / commercial investigation</t>
        </is>
      </c>
      <c r="G44" t="inlineStr">
        <is>
          <t>site web agence de voyage</t>
        </is>
      </c>
      <c r="H44" t="inlineStr">
        <is>
          <t>SUPPORTING</t>
        </is>
      </c>
      <c r="I44" t="inlineStr">
        <is>
          <t>ma</t>
        </is>
      </c>
      <c r="J44" t="n">
        <v>20</v>
      </c>
      <c r="K44" t="inlineStr">
        <is>
          <t>NOT AVAILABLE</t>
        </is>
      </c>
      <c r="L44" t="n">
        <v>0.12</v>
      </c>
      <c r="M44" t="inlineStr">
        <is>
          <t>MEASURED</t>
        </is>
      </c>
      <c r="N44" t="inlineStr">
        <is>
          <t>Yes (supporting block)</t>
        </is>
      </c>
      <c r="O44" s="5" t="inlineStr">
        <is>
          <t>Supports the primary topic - add only if natural</t>
        </is>
      </c>
      <c r="P44" s="5" t="inlineStr"/>
      <c r="Q44" t="inlineStr">
        <is>
          <t>P3</t>
        </is>
      </c>
      <c r="R44" t="n">
        <v>25</v>
      </c>
      <c r="S44" s="5" t="inlineStr">
        <is>
          <t>Plateforme E-Learning EdTech &amp; E-Learning Éducation &amp; EdTech Conseil en Immigration Écoles de Langues Plateformes de Cours en Ligne Études à l'Étranger &amp; Conseil Visa Universités &amp; Enseignement Supérieur</t>
        </is>
      </c>
    </row>
    <row r="45">
      <c r="A45" s="3" t="inlineStr">
        <is>
          <t>https://codesommet.com/industries</t>
        </is>
      </c>
      <c r="B45" t="n">
        <v>3</v>
      </c>
      <c r="C45" t="inlineStr">
        <is>
          <t>Content block</t>
        </is>
      </c>
      <c r="D45" s="5" t="inlineStr">
        <is>
          <t>Santé &amp; Médecine ( 3 secteurs )</t>
        </is>
      </c>
      <c r="E45" t="inlineStr">
        <is>
          <t>H2</t>
        </is>
      </c>
      <c r="F45" s="5" t="inlineStr">
        <is>
          <t>Navigational / commercial investigation</t>
        </is>
      </c>
      <c r="G45" t="inlineStr">
        <is>
          <t>site web agence de voyage</t>
        </is>
      </c>
      <c r="H45" t="inlineStr">
        <is>
          <t>SUPPORTING</t>
        </is>
      </c>
      <c r="I45" t="inlineStr">
        <is>
          <t>ma</t>
        </is>
      </c>
      <c r="J45" t="n">
        <v>20</v>
      </c>
      <c r="K45" t="inlineStr">
        <is>
          <t>NOT AVAILABLE</t>
        </is>
      </c>
      <c r="L45" t="n">
        <v>0.12</v>
      </c>
      <c r="M45" t="inlineStr">
        <is>
          <t>MEASURED</t>
        </is>
      </c>
      <c r="N45" t="inlineStr">
        <is>
          <t>Yes (supporting block)</t>
        </is>
      </c>
      <c r="O45" s="5" t="inlineStr">
        <is>
          <t>Supports the primary topic - add only if natural</t>
        </is>
      </c>
      <c r="P45" s="5" t="inlineStr"/>
      <c r="Q45" t="inlineStr">
        <is>
          <t>P3</t>
        </is>
      </c>
      <c r="R45" t="n">
        <v>11</v>
      </c>
      <c r="S45" s="5" t="inlineStr">
        <is>
          <t>Santé &amp; Médecine SEO &amp; Référencement Naturel Télémédecine &amp; Soins Virtuels Plateformes de Télémédecine</t>
        </is>
      </c>
    </row>
    <row r="46">
      <c r="A46" s="3" t="inlineStr">
        <is>
          <t>https://codesommet.com/industries</t>
        </is>
      </c>
      <c r="B46" t="n">
        <v>4</v>
      </c>
      <c r="C46" t="inlineStr">
        <is>
          <t>Services / features</t>
        </is>
      </c>
      <c r="D46" s="5" t="inlineStr">
        <is>
          <t>SaaS &amp; Technologie ( 2 secteurs )</t>
        </is>
      </c>
      <c r="E46" t="inlineStr">
        <is>
          <t>H2</t>
        </is>
      </c>
      <c r="F46" s="5" t="inlineStr">
        <is>
          <t>Navigational / commercial investigation</t>
        </is>
      </c>
      <c r="G46" t="inlineStr">
        <is>
          <t>site web agence de voyage</t>
        </is>
      </c>
      <c r="H46" t="inlineStr">
        <is>
          <t>SUPPORTING</t>
        </is>
      </c>
      <c r="I46" t="inlineStr">
        <is>
          <t>ma</t>
        </is>
      </c>
      <c r="J46" t="n">
        <v>20</v>
      </c>
      <c r="K46" t="inlineStr">
        <is>
          <t>NOT AVAILABLE</t>
        </is>
      </c>
      <c r="L46" t="n">
        <v>0.12</v>
      </c>
      <c r="M46" t="inlineStr">
        <is>
          <t>MEASURED</t>
        </is>
      </c>
      <c r="N46" t="inlineStr">
        <is>
          <t>Yes (supporting block)</t>
        </is>
      </c>
      <c r="O46" s="5" t="inlineStr">
        <is>
          <t>Supports the primary topic - add only if natural</t>
        </is>
      </c>
      <c r="P46" s="5" t="inlineStr"/>
      <c r="Q46" t="inlineStr">
        <is>
          <t>P3</t>
        </is>
      </c>
      <c r="R46" t="n">
        <v>4</v>
      </c>
      <c r="S46" s="5" t="inlineStr">
        <is>
          <t>E-commerce SaaS &amp; Logiciels B2B</t>
        </is>
      </c>
    </row>
    <row r="47">
      <c r="A47" s="3" t="inlineStr">
        <is>
          <t>https://codesommet.com/industries</t>
        </is>
      </c>
      <c r="B47" t="n">
        <v>5</v>
      </c>
      <c r="C47" t="inlineStr">
        <is>
          <t>Content block</t>
        </is>
      </c>
      <c r="D47" s="5" t="inlineStr">
        <is>
          <t>Finance &amp; Professionnel ( 2 secteur )</t>
        </is>
      </c>
      <c r="E47" t="inlineStr">
        <is>
          <t>H2</t>
        </is>
      </c>
      <c r="F47" s="5" t="inlineStr">
        <is>
          <t>Navigational / commercial investigation</t>
        </is>
      </c>
      <c r="G47" t="inlineStr">
        <is>
          <t>site web agence de voyage</t>
        </is>
      </c>
      <c r="H47" t="inlineStr">
        <is>
          <t>SUPPORTING</t>
        </is>
      </c>
      <c r="I47" t="inlineStr">
        <is>
          <t>ma</t>
        </is>
      </c>
      <c r="J47" t="n">
        <v>20</v>
      </c>
      <c r="K47" t="inlineStr">
        <is>
          <t>NOT AVAILABLE</t>
        </is>
      </c>
      <c r="L47" t="n">
        <v>0.12</v>
      </c>
      <c r="M47" t="inlineStr">
        <is>
          <t>MEASURED</t>
        </is>
      </c>
      <c r="N47" t="inlineStr">
        <is>
          <t>Yes (supporting block)</t>
        </is>
      </c>
      <c r="O47" s="5" t="inlineStr">
        <is>
          <t>Supports the primary topic - add only if natural</t>
        </is>
      </c>
      <c r="P47" s="5" t="inlineStr"/>
      <c r="Q47" t="inlineStr">
        <is>
          <t>P3</t>
        </is>
      </c>
      <c r="R47" t="n">
        <v>5</v>
      </c>
      <c r="S47" s="5" t="inlineStr">
        <is>
          <t>Plateformes FinTech Sites web FinTech</t>
        </is>
      </c>
    </row>
    <row r="48">
      <c r="A48" s="3" t="inlineStr">
        <is>
          <t>https://codesommet.com/industries</t>
        </is>
      </c>
      <c r="B48" t="n">
        <v>6</v>
      </c>
      <c r="C48" t="inlineStr">
        <is>
          <t>Content block</t>
        </is>
      </c>
      <c r="D48" s="5" t="inlineStr">
        <is>
          <t>Immobilier &amp; Propriété ( 1 secteur )</t>
        </is>
      </c>
      <c r="E48" t="inlineStr">
        <is>
          <t>H2</t>
        </is>
      </c>
      <c r="F48" s="5" t="inlineStr">
        <is>
          <t>Navigational / commercial investigation</t>
        </is>
      </c>
      <c r="G48" t="inlineStr">
        <is>
          <t>site web agence de voyage</t>
        </is>
      </c>
      <c r="H48" t="inlineStr">
        <is>
          <t>SUPPORTING</t>
        </is>
      </c>
      <c r="I48" t="inlineStr">
        <is>
          <t>ma</t>
        </is>
      </c>
      <c r="J48" t="n">
        <v>20</v>
      </c>
      <c r="K48" t="inlineStr">
        <is>
          <t>NOT AVAILABLE</t>
        </is>
      </c>
      <c r="L48" t="n">
        <v>0.12</v>
      </c>
      <c r="M48" t="inlineStr">
        <is>
          <t>MEASURED</t>
        </is>
      </c>
      <c r="N48" t="inlineStr">
        <is>
          <t>Yes (supporting block)</t>
        </is>
      </c>
      <c r="O48" s="5" t="inlineStr">
        <is>
          <t>Supports the primary topic - add only if natural</t>
        </is>
      </c>
      <c r="P48" s="5" t="inlineStr"/>
      <c r="Q48" t="inlineStr">
        <is>
          <t>P3</t>
        </is>
      </c>
      <c r="R48" t="n">
        <v>1</v>
      </c>
      <c r="S48" s="5" t="inlineStr">
        <is>
          <t>Immobilier</t>
        </is>
      </c>
    </row>
    <row r="49">
      <c r="A49" s="3" t="inlineStr">
        <is>
          <t>https://codesommet.com/industries</t>
        </is>
      </c>
      <c r="B49" t="n">
        <v>7</v>
      </c>
      <c r="C49" t="inlineStr">
        <is>
          <t>Content block</t>
        </is>
      </c>
      <c r="D49" s="5" t="inlineStr">
        <is>
          <t>Vous ne trouvez pas votre secteur ?</t>
        </is>
      </c>
      <c r="E49" t="inlineStr">
        <is>
          <t>H2</t>
        </is>
      </c>
      <c r="F49" s="5" t="inlineStr">
        <is>
          <t>Navigational / commercial investigation</t>
        </is>
      </c>
      <c r="G49" t="inlineStr">
        <is>
          <t>site web agence de voyage</t>
        </is>
      </c>
      <c r="H49" t="inlineStr">
        <is>
          <t>SUPPORTING</t>
        </is>
      </c>
      <c r="I49" t="inlineStr">
        <is>
          <t>ma</t>
        </is>
      </c>
      <c r="J49" t="n">
        <v>20</v>
      </c>
      <c r="K49" t="inlineStr">
        <is>
          <t>NOT AVAILABLE</t>
        </is>
      </c>
      <c r="L49" t="n">
        <v>0.12</v>
      </c>
      <c r="M49" t="inlineStr">
        <is>
          <t>MEASURED</t>
        </is>
      </c>
      <c r="N49" t="inlineStr">
        <is>
          <t>Yes (supporting block)</t>
        </is>
      </c>
      <c r="O49" s="5" t="inlineStr">
        <is>
          <t>Supports the primary topic - add only if natural</t>
        </is>
      </c>
      <c r="P49" s="5" t="inlineStr"/>
      <c r="Q49" t="inlineStr">
        <is>
          <t>P3</t>
        </is>
      </c>
      <c r="R49" t="n">
        <v>26</v>
      </c>
      <c r="S49" s="5" t="inlineStr">
        <is>
          <t>Nous travaillons avec des entreprises de tous les secteurs. Contactez-nous pour discuter de vos besoins personnalisés. Contactez-Nous Découvrir les villes où nous intervenons Discutons sur WhatsApp</t>
        </is>
      </c>
    </row>
    <row r="50">
      <c r="A50" s="3" t="inlineStr">
        <is>
          <t>https://codesommet.com/locations</t>
        </is>
      </c>
      <c r="B50" t="n">
        <v>1</v>
      </c>
      <c r="C50" t="inlineStr">
        <is>
          <t>Hero / H1</t>
        </is>
      </c>
      <c r="D50" s="5" t="inlineStr">
        <is>
          <t>Agence Web au Maroc et à l'International : des Sites Pour les Entreprises Internationales</t>
        </is>
      </c>
      <c r="E50" t="inlineStr">
        <is>
          <t>H1</t>
        </is>
      </c>
      <c r="F50" s="5" t="inlineStr">
        <is>
          <t>Navigational / commercial investigation</t>
        </is>
      </c>
      <c r="G50" t="inlineStr">
        <is>
          <t>agence web au maroc</t>
        </is>
      </c>
      <c r="H50" t="inlineStr">
        <is>
          <t>PRIMARY</t>
        </is>
      </c>
      <c r="I50" t="inlineStr">
        <is>
          <t>ma</t>
        </is>
      </c>
      <c r="J50" t="n">
        <v>30</v>
      </c>
      <c r="K50" t="inlineStr">
        <is>
          <t>NOT AVAILABLE</t>
        </is>
      </c>
      <c r="L50" t="n">
        <v>0.55</v>
      </c>
      <c r="M50" t="inlineStr">
        <is>
          <t>MEASURED</t>
        </is>
      </c>
      <c r="N50" t="inlineStr">
        <is>
          <t>Yes</t>
        </is>
      </c>
      <c r="O50" s="5" t="inlineStr">
        <is>
          <t>Covered - keep wording; no change</t>
        </is>
      </c>
      <c r="P50" s="5" t="inlineStr"/>
      <c r="Q50" t="inlineStr">
        <is>
          <t>P3</t>
        </is>
      </c>
      <c r="R50" t="n">
        <v>32</v>
      </c>
      <c r="S50" s="5" t="inlineStr">
        <is>
          <t>Des sites web alimentés par l'IA aux tableaux de bord intelligents, nous livrons des solutions web de pointe adaptées à votre marché local sur 4 continents. Démarrer Votre Projet Voir le Portfolio</t>
        </is>
      </c>
    </row>
    <row r="51">
      <c r="A51" s="3" t="inlineStr">
        <is>
          <t>https://codesommet.com/locations</t>
        </is>
      </c>
      <c r="B51" t="n">
        <v>2</v>
      </c>
      <c r="C51" t="inlineStr">
        <is>
          <t>Content block</t>
        </is>
      </c>
      <c r="D51" s="5" t="inlineStr">
        <is>
          <t>Maroc (4 villes )</t>
        </is>
      </c>
      <c r="E51" t="inlineStr">
        <is>
          <t>H2</t>
        </is>
      </c>
      <c r="F51" s="5" t="inlineStr">
        <is>
          <t>Navigational / commercial investigation</t>
        </is>
      </c>
      <c r="G51" t="inlineStr">
        <is>
          <t>agence web offshore</t>
        </is>
      </c>
      <c r="H51" t="inlineStr">
        <is>
          <t>SUPPORTING</t>
        </is>
      </c>
      <c r="I51" t="inlineStr">
        <is>
          <t>ma</t>
        </is>
      </c>
      <c r="J51" t="n">
        <v>30</v>
      </c>
      <c r="K51" t="inlineStr">
        <is>
          <t>NOT AVAILABLE</t>
        </is>
      </c>
      <c r="L51" t="n">
        <v>0</v>
      </c>
      <c r="M51" t="inlineStr">
        <is>
          <t>MEASURED</t>
        </is>
      </c>
      <c r="N51" t="inlineStr">
        <is>
          <t>Yes (supporting block)</t>
        </is>
      </c>
      <c r="O51" s="5" t="inlineStr">
        <is>
          <t>Supports the primary topic - add only if natural</t>
        </is>
      </c>
      <c r="P51" s="5" t="inlineStr"/>
      <c r="Q51" t="inlineStr">
        <is>
          <t>P3</t>
        </is>
      </c>
      <c r="R51" t="n">
        <v>10</v>
      </c>
      <c r="S51" s="5" t="inlineStr">
        <is>
          <t>Casablanca 🇲🇦 Maroc Marrakech 🇲🇦 Maroc Rabat 🇲🇦 Maroc Tanger 🇲🇦 Maroc Agadir 🇲🇦 Maroc</t>
        </is>
      </c>
    </row>
    <row r="52">
      <c r="A52" s="3" t="inlineStr">
        <is>
          <t>https://codesommet.com/locations</t>
        </is>
      </c>
      <c r="B52" t="n">
        <v>3</v>
      </c>
      <c r="C52" t="inlineStr">
        <is>
          <t>Content block</t>
        </is>
      </c>
      <c r="D52" s="5" t="inlineStr">
        <is>
          <t>Moyen-Orient ( 3 villes )</t>
        </is>
      </c>
      <c r="E52" t="inlineStr">
        <is>
          <t>H2</t>
        </is>
      </c>
      <c r="F52" s="5" t="inlineStr">
        <is>
          <t>Navigational / commercial investigation</t>
        </is>
      </c>
      <c r="G52" t="inlineStr">
        <is>
          <t>agence web offshore</t>
        </is>
      </c>
      <c r="H52" t="inlineStr">
        <is>
          <t>SUPPORTING</t>
        </is>
      </c>
      <c r="I52" t="inlineStr">
        <is>
          <t>ma</t>
        </is>
      </c>
      <c r="J52" t="n">
        <v>30</v>
      </c>
      <c r="K52" t="inlineStr">
        <is>
          <t>NOT AVAILABLE</t>
        </is>
      </c>
      <c r="L52" t="n">
        <v>0</v>
      </c>
      <c r="M52" t="inlineStr">
        <is>
          <t>MEASURED</t>
        </is>
      </c>
      <c r="N52" t="inlineStr">
        <is>
          <t>Yes (supporting block)</t>
        </is>
      </c>
      <c r="O52" s="5" t="inlineStr">
        <is>
          <t>Supports the primary topic - add only if natural</t>
        </is>
      </c>
      <c r="P52" s="5" t="inlineStr"/>
      <c r="Q52" t="inlineStr">
        <is>
          <t>P3</t>
        </is>
      </c>
      <c r="R52" t="n">
        <v>8</v>
      </c>
      <c r="S52" s="5" t="inlineStr">
        <is>
          <t>Abu Dhabi 🇦🇪 EAU Dubai 🇦🇪 UAE Riyad 🇸🇦 Arabie Saoudite</t>
        </is>
      </c>
    </row>
    <row r="53">
      <c r="A53" s="3" t="inlineStr">
        <is>
          <t>https://codesommet.com/locations</t>
        </is>
      </c>
      <c r="B53" t="n">
        <v>4</v>
      </c>
      <c r="C53" t="inlineStr">
        <is>
          <t>Content block</t>
        </is>
      </c>
      <c r="D53" s="5" t="inlineStr">
        <is>
          <t>Afrique (3 villes )</t>
        </is>
      </c>
      <c r="E53" t="inlineStr">
        <is>
          <t>H2</t>
        </is>
      </c>
      <c r="F53" s="5" t="inlineStr">
        <is>
          <t>Navigational / commercial investigation</t>
        </is>
      </c>
      <c r="G53" t="inlineStr">
        <is>
          <t>agence web offshore</t>
        </is>
      </c>
      <c r="H53" t="inlineStr">
        <is>
          <t>SUPPORTING</t>
        </is>
      </c>
      <c r="I53" t="inlineStr">
        <is>
          <t>ma</t>
        </is>
      </c>
      <c r="J53" t="n">
        <v>30</v>
      </c>
      <c r="K53" t="inlineStr">
        <is>
          <t>NOT AVAILABLE</t>
        </is>
      </c>
      <c r="L53" t="n">
        <v>0</v>
      </c>
      <c r="M53" t="inlineStr">
        <is>
          <t>MEASURED</t>
        </is>
      </c>
      <c r="N53" t="inlineStr">
        <is>
          <t>Yes (supporting block)</t>
        </is>
      </c>
      <c r="O53" s="5" t="inlineStr">
        <is>
          <t>Supports the primary topic - add only if natural</t>
        </is>
      </c>
      <c r="P53" s="5" t="inlineStr"/>
      <c r="Q53" t="inlineStr">
        <is>
          <t>P3</t>
        </is>
      </c>
      <c r="R53" t="n">
        <v>6</v>
      </c>
      <c r="S53" s="5" t="inlineStr">
        <is>
          <t>Tunis 🇹🇳 Tunisie Cairo 🇪🇬 Égypte Lagos 🇳🇬 Nigéria</t>
        </is>
      </c>
    </row>
    <row r="54">
      <c r="A54" s="3" t="inlineStr">
        <is>
          <t>https://codesommet.com/locations</t>
        </is>
      </c>
      <c r="B54" t="n">
        <v>5</v>
      </c>
      <c r="C54" t="inlineStr">
        <is>
          <t>Content block</t>
        </is>
      </c>
      <c r="D54" s="5" t="inlineStr">
        <is>
          <t>Europe du Sud (5 villes )</t>
        </is>
      </c>
      <c r="E54" t="inlineStr">
        <is>
          <t>H2</t>
        </is>
      </c>
      <c r="F54" s="5" t="inlineStr">
        <is>
          <t>Navigational / commercial investigation</t>
        </is>
      </c>
      <c r="G54" t="inlineStr">
        <is>
          <t>agence web offshore</t>
        </is>
      </c>
      <c r="H54" t="inlineStr">
        <is>
          <t>SUPPORTING</t>
        </is>
      </c>
      <c r="I54" t="inlineStr">
        <is>
          <t>ma</t>
        </is>
      </c>
      <c r="J54" t="n">
        <v>30</v>
      </c>
      <c r="K54" t="inlineStr">
        <is>
          <t>NOT AVAILABLE</t>
        </is>
      </c>
      <c r="L54" t="n">
        <v>0</v>
      </c>
      <c r="M54" t="inlineStr">
        <is>
          <t>MEASURED</t>
        </is>
      </c>
      <c r="N54" t="inlineStr">
        <is>
          <t>Yes (supporting block)</t>
        </is>
      </c>
      <c r="O54" s="5" t="inlineStr">
        <is>
          <t>Supports the primary topic - add only if natural</t>
        </is>
      </c>
      <c r="P54" s="5" t="inlineStr"/>
      <c r="Q54" t="inlineStr">
        <is>
          <t>P3</t>
        </is>
      </c>
      <c r="R54" t="n">
        <v>10</v>
      </c>
      <c r="S54" s="5" t="inlineStr">
        <is>
          <t>Madrid 🇪🇸 Espagne Barcelone 🇪🇸 Spain Lisbonne 🇵🇹 Portugal Rome 🇮🇹 Italie Milan 🇮🇹 Italy</t>
        </is>
      </c>
    </row>
    <row r="55">
      <c r="A55" s="3" t="inlineStr">
        <is>
          <t>https://codesommet.com/locations</t>
        </is>
      </c>
      <c r="B55" t="n">
        <v>6</v>
      </c>
      <c r="C55" t="inlineStr">
        <is>
          <t>Content block</t>
        </is>
      </c>
      <c r="D55" s="5" t="inlineStr">
        <is>
          <t>Europe ( 9 villes )</t>
        </is>
      </c>
      <c r="E55" t="inlineStr">
        <is>
          <t>H2</t>
        </is>
      </c>
      <c r="F55" s="5" t="inlineStr">
        <is>
          <t>Navigational / commercial investigation</t>
        </is>
      </c>
      <c r="G55" t="inlineStr">
        <is>
          <t>agence web offshore</t>
        </is>
      </c>
      <c r="H55" t="inlineStr">
        <is>
          <t>SUPPORTING</t>
        </is>
      </c>
      <c r="I55" t="inlineStr">
        <is>
          <t>ma</t>
        </is>
      </c>
      <c r="J55" t="n">
        <v>30</v>
      </c>
      <c r="K55" t="inlineStr">
        <is>
          <t>NOT AVAILABLE</t>
        </is>
      </c>
      <c r="L55" t="n">
        <v>0</v>
      </c>
      <c r="M55" t="inlineStr">
        <is>
          <t>MEASURED</t>
        </is>
      </c>
      <c r="N55" t="inlineStr">
        <is>
          <t>Yes (supporting block)</t>
        </is>
      </c>
      <c r="O55" s="5" t="inlineStr">
        <is>
          <t>Supports the primary topic - add only if natural</t>
        </is>
      </c>
      <c r="P55" s="5" t="inlineStr"/>
      <c r="Q55" t="inlineStr">
        <is>
          <t>P3</t>
        </is>
      </c>
      <c r="R55" t="n">
        <v>18</v>
      </c>
      <c r="S55" s="5" t="inlineStr">
        <is>
          <t>Amsterdam 🇳🇱 Pays-Bas Berlin 🇩🇪 Allemagne Bruxelles 🇧🇪 Belgique Copenhague 🇩🇰 Danemark Dublin 🇮🇪 Irlande Londres 🇬🇧 Royaume-Uni Paris 🇫🇷 France Stockholm 🇸🇪 Suède Zurich 🇨🇭 Suisse</t>
        </is>
      </c>
    </row>
    <row r="56">
      <c r="A56" s="3" t="inlineStr">
        <is>
          <t>https://codesommet.com/locations</t>
        </is>
      </c>
      <c r="B56" t="n">
        <v>7</v>
      </c>
      <c r="C56" t="inlineStr">
        <is>
          <t>Content block</t>
        </is>
      </c>
      <c r="D56" s="5" t="inlineStr">
        <is>
          <t>États-Unis ( 8 villes )</t>
        </is>
      </c>
      <c r="E56" t="inlineStr">
        <is>
          <t>H2</t>
        </is>
      </c>
      <c r="F56" s="5" t="inlineStr">
        <is>
          <t>Navigational / commercial investigation</t>
        </is>
      </c>
      <c r="G56" t="inlineStr">
        <is>
          <t>agence web offshore</t>
        </is>
      </c>
      <c r="H56" t="inlineStr">
        <is>
          <t>SUPPORTING</t>
        </is>
      </c>
      <c r="I56" t="inlineStr">
        <is>
          <t>ma</t>
        </is>
      </c>
      <c r="J56" t="n">
        <v>30</v>
      </c>
      <c r="K56" t="inlineStr">
        <is>
          <t>NOT AVAILABLE</t>
        </is>
      </c>
      <c r="L56" t="n">
        <v>0</v>
      </c>
      <c r="M56" t="inlineStr">
        <is>
          <t>MEASURED</t>
        </is>
      </c>
      <c r="N56" t="inlineStr">
        <is>
          <t>Yes (supporting block)</t>
        </is>
      </c>
      <c r="O56" s="5" t="inlineStr">
        <is>
          <t>Supports the primary topic - add only if natural</t>
        </is>
      </c>
      <c r="P56" s="5" t="inlineStr"/>
      <c r="Q56" t="inlineStr">
        <is>
          <t>P3</t>
        </is>
      </c>
      <c r="R56" t="n">
        <v>19</v>
      </c>
      <c r="S56" s="5" t="inlineStr">
        <is>
          <t>Austin 🇺🇸 États-Unis Boston 🇺🇸 États-Unis Chicago 🇺🇸 États-Unis Denver 🇺🇸 États-Unis Los Angeles 🇺🇸 États-Unis New York 🇺🇸 États-Unis San Francisco 🇺🇸 États-Unis Seattle 🇺🇸 États-Unis</t>
        </is>
      </c>
    </row>
    <row r="57">
      <c r="A57" s="3" t="inlineStr">
        <is>
          <t>https://codesommet.com/locations</t>
        </is>
      </c>
      <c r="B57" t="n">
        <v>8</v>
      </c>
      <c r="C57" t="inlineStr">
        <is>
          <t>Content block</t>
        </is>
      </c>
      <c r="D57" s="5" t="inlineStr">
        <is>
          <t>Canada ( 2 villes )</t>
        </is>
      </c>
      <c r="E57" t="inlineStr">
        <is>
          <t>H2</t>
        </is>
      </c>
      <c r="F57" s="5" t="inlineStr">
        <is>
          <t>Navigational / commercial investigation</t>
        </is>
      </c>
      <c r="G57" t="inlineStr">
        <is>
          <t>agence web offshore</t>
        </is>
      </c>
      <c r="H57" t="inlineStr">
        <is>
          <t>SUPPORTING</t>
        </is>
      </c>
      <c r="I57" t="inlineStr">
        <is>
          <t>ma</t>
        </is>
      </c>
      <c r="J57" t="n">
        <v>30</v>
      </c>
      <c r="K57" t="inlineStr">
        <is>
          <t>NOT AVAILABLE</t>
        </is>
      </c>
      <c r="L57" t="n">
        <v>0</v>
      </c>
      <c r="M57" t="inlineStr">
        <is>
          <t>MEASURED</t>
        </is>
      </c>
      <c r="N57" t="inlineStr">
        <is>
          <t>Yes (supporting block)</t>
        </is>
      </c>
      <c r="O57" s="5" t="inlineStr">
        <is>
          <t>Supports the primary topic - add only if natural</t>
        </is>
      </c>
      <c r="P57" s="5" t="inlineStr"/>
      <c r="Q57" t="inlineStr">
        <is>
          <t>P3</t>
        </is>
      </c>
      <c r="R57" t="n">
        <v>4</v>
      </c>
      <c r="S57" s="5" t="inlineStr">
        <is>
          <t>Toronto 🇨🇦 Canada Vancouver 🇨🇦 Canada</t>
        </is>
      </c>
    </row>
    <row r="58">
      <c r="A58" s="3" t="inlineStr">
        <is>
          <t>https://codesommet.com/locations</t>
        </is>
      </c>
      <c r="B58" t="n">
        <v>9</v>
      </c>
      <c r="C58" t="inlineStr">
        <is>
          <t>Content block</t>
        </is>
      </c>
      <c r="D58" s="5" t="inlineStr">
        <is>
          <t>Votre Ville n'Apparaît Pas ?</t>
        </is>
      </c>
      <c r="E58" t="inlineStr">
        <is>
          <t>H2</t>
        </is>
      </c>
      <c r="F58" s="5" t="inlineStr">
        <is>
          <t>Navigational / commercial investigation</t>
        </is>
      </c>
      <c r="G58" t="inlineStr">
        <is>
          <t>agence web offshore</t>
        </is>
      </c>
      <c r="H58" t="inlineStr">
        <is>
          <t>SUPPORTING</t>
        </is>
      </c>
      <c r="I58" t="inlineStr">
        <is>
          <t>ma</t>
        </is>
      </c>
      <c r="J58" t="n">
        <v>30</v>
      </c>
      <c r="K58" t="inlineStr">
        <is>
          <t>NOT AVAILABLE</t>
        </is>
      </c>
      <c r="L58" t="n">
        <v>0</v>
      </c>
      <c r="M58" t="inlineStr">
        <is>
          <t>MEASURED</t>
        </is>
      </c>
      <c r="N58" t="inlineStr">
        <is>
          <t>Yes (supporting block)</t>
        </is>
      </c>
      <c r="O58" s="5" t="inlineStr">
        <is>
          <t>Supports the primary topic - add only if natural</t>
        </is>
      </c>
      <c r="P58" s="5" t="inlineStr"/>
      <c r="Q58" t="inlineStr">
        <is>
          <t>P3</t>
        </is>
      </c>
      <c r="R58" t="n">
        <v>37</v>
      </c>
      <c r="S58" s="5" t="inlineStr">
        <is>
          <t xml:space="preserve">Nous travaillons avec des entreprises du monde entier, quel que soit leur emplacement. Contactez-nous pour discuter de votre projet. Contactez-Nous Vous cherchez une expertise par secteur plutôt que par ville ? voir nos </t>
        </is>
      </c>
    </row>
    <row r="59">
      <c r="A59" s="3" t="inlineStr">
        <is>
          <t>https://codesommet.com/tools</t>
        </is>
      </c>
      <c r="B59" t="n">
        <v>1</v>
      </c>
      <c r="C59" t="inlineStr">
        <is>
          <t>Hero / H1</t>
        </is>
      </c>
      <c r="D59" s="5" t="inlineStr">
        <is>
          <t>40+ Outils SEO &amp; IA Gratuits en Ligne Pour Votre Site Web</t>
        </is>
      </c>
      <c r="E59" t="inlineStr">
        <is>
          <t>H1</t>
        </is>
      </c>
      <c r="F59" s="5" t="inlineStr">
        <is>
          <t>Navigational / commercial investigation</t>
        </is>
      </c>
      <c r="G59" t="inlineStr">
        <is>
          <t>outil seo gratuit</t>
        </is>
      </c>
      <c r="H59" t="inlineStr">
        <is>
          <t>PRIMARY</t>
        </is>
      </c>
      <c r="I59" t="inlineStr">
        <is>
          <t>fr</t>
        </is>
      </c>
      <c r="J59" t="n">
        <v>720</v>
      </c>
      <c r="K59" t="n">
        <v>43</v>
      </c>
      <c r="L59" t="n">
        <v>2.39</v>
      </c>
      <c r="M59" t="inlineStr">
        <is>
          <t>MEASURED</t>
        </is>
      </c>
      <c r="N59" t="inlineStr">
        <is>
          <t>Yes</t>
        </is>
      </c>
      <c r="O59" s="5" t="inlineStr">
        <is>
          <t>Covered - keep wording; no change</t>
        </is>
      </c>
      <c r="P59" s="5" t="inlineStr"/>
      <c r="Q59" t="inlineStr">
        <is>
          <t>P3</t>
        </is>
      </c>
      <c r="R59" t="n">
        <v>1273</v>
      </c>
      <c r="S59" s="5" t="inlineStr">
        <is>
          <t xml:space="preserve">Outils de qualité professionnelle pour améliorer les performances de votre site web, le classement SEO et les conversions. Tous les outils sont entièrement gratuits. Parcourir les Outils Besoin d'une Solution Sur Mesure </t>
        </is>
      </c>
    </row>
    <row r="60">
      <c r="A60" s="3" t="inlineStr">
        <is>
          <t>https://codesommet.com/tools</t>
        </is>
      </c>
      <c r="B60" t="n">
        <v>2</v>
      </c>
      <c r="C60" t="inlineStr">
        <is>
          <t>Tool interface</t>
        </is>
      </c>
      <c r="D60" s="5" t="inlineStr">
        <is>
          <t>Aucun outil trouvé</t>
        </is>
      </c>
      <c r="E60" t="inlineStr">
        <is>
          <t>H2</t>
        </is>
      </c>
      <c r="F60" s="5" t="inlineStr">
        <is>
          <t>Tool use</t>
        </is>
      </c>
      <c r="G60" t="inlineStr">
        <is>
          <t>outils seo en ligne</t>
        </is>
      </c>
      <c r="H60" t="inlineStr">
        <is>
          <t>SECONDARY</t>
        </is>
      </c>
      <c r="I60" t="inlineStr">
        <is>
          <t>fr</t>
        </is>
      </c>
      <c r="J60" t="n">
        <v>320</v>
      </c>
      <c r="K60" t="n">
        <v>41</v>
      </c>
      <c r="L60" t="n">
        <v>0</v>
      </c>
      <c r="M60" t="inlineStr">
        <is>
          <t>MEASURED</t>
        </is>
      </c>
      <c r="N60" t="inlineStr">
        <is>
          <t>Partly</t>
        </is>
      </c>
      <c r="O60" s="5" t="inlineStr">
        <is>
          <t>Work "outils seo en ligne" (or a close natural variant) into existing copy - no new heading needed</t>
        </is>
      </c>
      <c r="P60" s="5" t="inlineStr">
        <is>
          <t>Keyword/variant absent from this section</t>
        </is>
      </c>
      <c r="Q60" t="inlineStr">
        <is>
          <t>P3</t>
        </is>
      </c>
      <c r="R60" t="n">
        <v>10</v>
      </c>
      <c r="S60" s="5" t="inlineStr">
        <is>
          <t>Essayez un autre terme de recherche ou une autre catégorie</t>
        </is>
      </c>
    </row>
    <row r="61">
      <c r="A61" s="3" t="inlineStr">
        <is>
          <t>https://codesommet.com/tools</t>
        </is>
      </c>
      <c r="B61" t="n">
        <v>3</v>
      </c>
      <c r="C61" t="inlineStr">
        <is>
          <t>CTA / conversion</t>
        </is>
      </c>
      <c r="D61" s="5" t="inlineStr">
        <is>
          <t>Besoin d'une Solution Sur Mesure ?</t>
        </is>
      </c>
      <c r="E61" t="inlineStr">
        <is>
          <t>H2</t>
        </is>
      </c>
      <c r="F61" s="5" t="inlineStr">
        <is>
          <t>Conversion</t>
        </is>
      </c>
      <c r="G61" t="inlineStr">
        <is>
          <t>—</t>
        </is>
      </c>
      <c r="H61" t="inlineStr">
        <is>
          <t>NONE</t>
        </is>
      </c>
      <c r="I61" t="inlineStr">
        <is>
          <t>—</t>
        </is>
      </c>
      <c r="J61" t="inlineStr">
        <is>
          <t>—</t>
        </is>
      </c>
      <c r="K61" t="inlineStr">
        <is>
          <t>—</t>
        </is>
      </c>
      <c r="L61" t="inlineStr">
        <is>
          <t>—</t>
        </is>
      </c>
      <c r="M61" t="inlineStr">
        <is>
          <t>—</t>
        </is>
      </c>
      <c r="N61" t="inlineStr">
        <is>
          <t>n/a</t>
        </is>
      </c>
      <c r="O61" s="5" t="inlineStr">
        <is>
          <t>No keyword target - keep conversion/navigation focus; use descriptive, non-repeated anchor texts</t>
        </is>
      </c>
      <c r="P61" s="5" t="inlineStr"/>
      <c r="Q61" t="inlineStr">
        <is>
          <t>P4</t>
        </is>
      </c>
      <c r="R61" t="n">
        <v>37</v>
      </c>
      <c r="S61" s="5" t="inlineStr">
        <is>
          <t xml:space="preserve">Nous créons des sites web alimentés par l'IA, des tableaux de bord et des outils personnalisés pour l'éducation, la santé et les startups SaaS. Réserver un Appel Stratégique Demander un devis pour votre projet Discutons </t>
        </is>
      </c>
    </row>
    <row r="62">
      <c r="A62" s="3" t="inlineStr">
        <is>
          <t>https://codesommet.com/blog</t>
        </is>
      </c>
      <c r="B62" t="n">
        <v>1</v>
      </c>
      <c r="C62" t="inlineStr">
        <is>
          <t>Hero / H1</t>
        </is>
      </c>
      <c r="D62" s="5" t="inlineStr">
        <is>
          <t>Blog Développement Web, SEO &amp; Design</t>
        </is>
      </c>
      <c r="E62" t="inlineStr">
        <is>
          <t>H1</t>
        </is>
      </c>
      <c r="F62" s="5" t="inlineStr">
        <is>
          <t>Navigational / commercial investigation</t>
        </is>
      </c>
      <c r="G62" t="inlineStr">
        <is>
          <t>blog développement web</t>
        </is>
      </c>
      <c r="H62" t="inlineStr">
        <is>
          <t>PRIMARY</t>
        </is>
      </c>
      <c r="I62" t="inlineStr">
        <is>
          <t>fr</t>
        </is>
      </c>
      <c r="J62" t="n">
        <v>10</v>
      </c>
      <c r="K62" t="inlineStr">
        <is>
          <t>NOT AVAILABLE</t>
        </is>
      </c>
      <c r="L62" t="n">
        <v>0</v>
      </c>
      <c r="M62" t="inlineStr">
        <is>
          <t>MEASURED</t>
        </is>
      </c>
      <c r="N62" t="inlineStr">
        <is>
          <t>Yes</t>
        </is>
      </c>
      <c r="O62" s="5" t="inlineStr">
        <is>
          <t>Covered - keep wording; no change</t>
        </is>
      </c>
      <c r="P62" s="5" t="inlineStr"/>
      <c r="Q62" t="inlineStr">
        <is>
          <t>P3</t>
        </is>
      </c>
      <c r="R62" t="n">
        <v>343</v>
      </c>
      <c r="S62" s="5" t="inlineStr">
        <is>
          <t>Découvrez nos articles, tutoriels et conseils pour réussir votre projet digital et rester à jour avec les dernières tendances tech. Articles Experts Tendances Tech Tutoriels Pratiques Développement Web 5 min de lecture S</t>
        </is>
      </c>
    </row>
    <row r="63">
      <c r="A63" s="3" t="inlineStr">
        <is>
          <t>https://codesommet.com/blog</t>
        </is>
      </c>
      <c r="B63" t="n">
        <v>2</v>
      </c>
      <c r="C63" t="inlineStr">
        <is>
          <t>Content block</t>
        </is>
      </c>
      <c r="D63" s="5" t="inlineStr">
        <is>
          <t>NE MANQUEZ AUCUN ARTICLE</t>
        </is>
      </c>
      <c r="E63" t="inlineStr">
        <is>
          <t>H2</t>
        </is>
      </c>
      <c r="F63" s="5" t="inlineStr">
        <is>
          <t>Navigational / commercial investigation</t>
        </is>
      </c>
      <c r="G63" t="inlineStr">
        <is>
          <t>blog développement web</t>
        </is>
      </c>
      <c r="H63" t="inlineStr">
        <is>
          <t>SUPPORTS PRIMARY</t>
        </is>
      </c>
      <c r="I63" t="inlineStr">
        <is>
          <t>fr</t>
        </is>
      </c>
      <c r="J63" t="n">
        <v>10</v>
      </c>
      <c r="K63" t="inlineStr">
        <is>
          <t>NOT AVAILABLE</t>
        </is>
      </c>
      <c r="L63" t="n">
        <v>0</v>
      </c>
      <c r="M63" t="inlineStr">
        <is>
          <t>MEASURED</t>
        </is>
      </c>
      <c r="N63" t="inlineStr">
        <is>
          <t>Yes (supporting block)</t>
        </is>
      </c>
      <c r="O63" s="5" t="inlineStr">
        <is>
          <t>Supports the primary topic - add only if natural</t>
        </is>
      </c>
      <c r="P63" s="5" t="inlineStr"/>
      <c r="Q63" t="inlineStr">
        <is>
          <t>P3</t>
        </is>
      </c>
      <c r="R63" t="n">
        <v>103</v>
      </c>
      <c r="S63" s="5" t="inlineStr">
        <is>
          <t>Recevez nos derniers articles, tutoriels et conseils directement dans votre boîte mail. Pas de spam, que du contenu de qualité. S'abonner Rejoignez 500+ professionnels. Désabonnement en un clic. Développement Web Laravel</t>
        </is>
      </c>
    </row>
    <row r="64">
      <c r="A64" s="3" t="inlineStr">
        <is>
          <t>https://codesommet.com/legal/privacy-policy</t>
        </is>
      </c>
      <c r="B64" t="n">
        <v>1</v>
      </c>
      <c r="C64" t="inlineStr">
        <is>
          <t>Legal text</t>
        </is>
      </c>
      <c r="D64" s="5" t="inlineStr">
        <is>
          <t>Politique de Confidentialité</t>
        </is>
      </c>
      <c r="E64" t="inlineStr">
        <is>
          <t>H1</t>
        </is>
      </c>
      <c r="F64" s="5" t="inlineStr">
        <is>
          <t>Compliance</t>
        </is>
      </c>
      <c r="G64" t="inlineStr">
        <is>
          <t>—</t>
        </is>
      </c>
      <c r="H64" t="inlineStr">
        <is>
          <t>NONE</t>
        </is>
      </c>
      <c r="I64" t="inlineStr">
        <is>
          <t>—</t>
        </is>
      </c>
      <c r="J64" t="inlineStr">
        <is>
          <t>—</t>
        </is>
      </c>
      <c r="K64" t="inlineStr">
        <is>
          <t>—</t>
        </is>
      </c>
      <c r="L64" t="inlineStr">
        <is>
          <t>—</t>
        </is>
      </c>
      <c r="M64" t="inlineStr">
        <is>
          <t>—</t>
        </is>
      </c>
      <c r="N64" t="inlineStr">
        <is>
          <t>n/a</t>
        </is>
      </c>
      <c r="O64" s="5" t="inlineStr">
        <is>
          <t>No keyword target (legal)</t>
        </is>
      </c>
      <c r="P64" s="5" t="inlineStr"/>
      <c r="Q64" t="inlineStr">
        <is>
          <t>P4</t>
        </is>
      </c>
      <c r="R64" t="n">
        <v>24</v>
      </c>
      <c r="S64" s="5" t="inlineStr">
        <is>
          <t>Votre vie privée nous tient à cœur. Découvrez comment nous collectons, utilisons et protégeons vos informations personnelles. Informations collectées Utilisation des données Vos droits</t>
        </is>
      </c>
    </row>
    <row r="65">
      <c r="A65" s="3" t="inlineStr">
        <is>
          <t>https://codesommet.com/legal/privacy-policy</t>
        </is>
      </c>
      <c r="B65" t="n">
        <v>2</v>
      </c>
      <c r="C65" t="inlineStr">
        <is>
          <t>Legal text</t>
        </is>
      </c>
      <c r="D65" s="5" t="inlineStr">
        <is>
          <t>Introduction</t>
        </is>
      </c>
      <c r="E65" t="inlineStr">
        <is>
          <t>H2</t>
        </is>
      </c>
      <c r="F65" s="5" t="inlineStr">
        <is>
          <t>Compliance</t>
        </is>
      </c>
      <c r="G65" t="inlineStr">
        <is>
          <t>—</t>
        </is>
      </c>
      <c r="H65" t="inlineStr">
        <is>
          <t>NONE</t>
        </is>
      </c>
      <c r="I65" t="inlineStr">
        <is>
          <t>—</t>
        </is>
      </c>
      <c r="J65" t="inlineStr">
        <is>
          <t>—</t>
        </is>
      </c>
      <c r="K65" t="inlineStr">
        <is>
          <t>—</t>
        </is>
      </c>
      <c r="L65" t="inlineStr">
        <is>
          <t>—</t>
        </is>
      </c>
      <c r="M65" t="inlineStr">
        <is>
          <t>—</t>
        </is>
      </c>
      <c r="N65" t="inlineStr">
        <is>
          <t>n/a</t>
        </is>
      </c>
      <c r="O65" s="5" t="inlineStr">
        <is>
          <t>No keyword target (legal)</t>
        </is>
      </c>
      <c r="P65" s="5" t="inlineStr"/>
      <c r="Q65" t="inlineStr">
        <is>
          <t>P4</t>
        </is>
      </c>
      <c r="R65" t="n">
        <v>109</v>
      </c>
      <c r="S65" s="5" t="inlineStr">
        <is>
          <t xml:space="preserve">Bienvenue chez CodeSommet ("nous", "notre"). Cette Politique de Confidentialité explique comment nous collectons, utilisons, divulguons et protégeons vos informations lorsque vous visitez notre site web codesommet.com , </t>
        </is>
      </c>
    </row>
    <row r="66">
      <c r="A66" s="3" t="inlineStr">
        <is>
          <t>https://codesommet.com/legal/privacy-policy</t>
        </is>
      </c>
      <c r="B66" t="n">
        <v>3</v>
      </c>
      <c r="C66" t="inlineStr">
        <is>
          <t>Legal text</t>
        </is>
      </c>
      <c r="D66" s="5" t="inlineStr">
        <is>
          <t>Informations que nous collectons</t>
        </is>
      </c>
      <c r="E66" t="inlineStr">
        <is>
          <t>H2</t>
        </is>
      </c>
      <c r="F66" s="5" t="inlineStr">
        <is>
          <t>Compliance</t>
        </is>
      </c>
      <c r="G66" t="inlineStr">
        <is>
          <t>—</t>
        </is>
      </c>
      <c r="H66" t="inlineStr">
        <is>
          <t>NONE</t>
        </is>
      </c>
      <c r="I66" t="inlineStr">
        <is>
          <t>—</t>
        </is>
      </c>
      <c r="J66" t="inlineStr">
        <is>
          <t>—</t>
        </is>
      </c>
      <c r="K66" t="inlineStr">
        <is>
          <t>—</t>
        </is>
      </c>
      <c r="L66" t="inlineStr">
        <is>
          <t>—</t>
        </is>
      </c>
      <c r="M66" t="inlineStr">
        <is>
          <t>—</t>
        </is>
      </c>
      <c r="N66" t="inlineStr">
        <is>
          <t>n/a</t>
        </is>
      </c>
      <c r="O66" s="5" t="inlineStr">
        <is>
          <t>No keyword target (legal)</t>
        </is>
      </c>
      <c r="P66" s="5" t="inlineStr"/>
      <c r="Q66" t="inlineStr">
        <is>
          <t>P4</t>
        </is>
      </c>
      <c r="R66" t="n">
        <v>198</v>
      </c>
      <c r="S66" s="5" t="inlineStr">
        <is>
          <t>1. Informations personnelles que vous fournissez Lorsque vous interagissez avec nos services, nous pouvons collecter : Coordonnées : Nom, adresse e-mail, numéro de téléphone, nom de l'entreprise Informations commerciales</t>
        </is>
      </c>
    </row>
    <row r="67">
      <c r="A67" s="3" t="inlineStr">
        <is>
          <t>https://codesommet.com/legal/privacy-policy</t>
        </is>
      </c>
      <c r="B67" t="n">
        <v>4</v>
      </c>
      <c r="C67" t="inlineStr">
        <is>
          <t>Legal text</t>
        </is>
      </c>
      <c r="D67" s="5" t="inlineStr">
        <is>
          <t>Comment nous utilisons vos informations</t>
        </is>
      </c>
      <c r="E67" t="inlineStr">
        <is>
          <t>H2</t>
        </is>
      </c>
      <c r="F67" s="5" t="inlineStr">
        <is>
          <t>Compliance</t>
        </is>
      </c>
      <c r="G67" t="inlineStr">
        <is>
          <t>—</t>
        </is>
      </c>
      <c r="H67" t="inlineStr">
        <is>
          <t>NONE</t>
        </is>
      </c>
      <c r="I67" t="inlineStr">
        <is>
          <t>—</t>
        </is>
      </c>
      <c r="J67" t="inlineStr">
        <is>
          <t>—</t>
        </is>
      </c>
      <c r="K67" t="inlineStr">
        <is>
          <t>—</t>
        </is>
      </c>
      <c r="L67" t="inlineStr">
        <is>
          <t>—</t>
        </is>
      </c>
      <c r="M67" t="inlineStr">
        <is>
          <t>—</t>
        </is>
      </c>
      <c r="N67" t="inlineStr">
        <is>
          <t>n/a</t>
        </is>
      </c>
      <c r="O67" s="5" t="inlineStr">
        <is>
          <t>No keyword target (legal)</t>
        </is>
      </c>
      <c r="P67" s="5" t="inlineStr"/>
      <c r="Q67" t="inlineStr">
        <is>
          <t>P4</t>
        </is>
      </c>
      <c r="R67" t="n">
        <v>147</v>
      </c>
      <c r="S67" s="5" t="inlineStr">
        <is>
          <t>Nous utilisons les informations collectées aux fins suivantes : Fourniture de services : Pour fournir, maintenir et améliorer nos services de développement web, communiquer sur les projets, livrer les travaux terminés et</t>
        </is>
      </c>
    </row>
    <row r="68">
      <c r="A68" s="3" t="inlineStr">
        <is>
          <t>https://codesommet.com/legal/privacy-policy</t>
        </is>
      </c>
      <c r="B68" t="n">
        <v>5</v>
      </c>
      <c r="C68" t="inlineStr">
        <is>
          <t>Legal text</t>
        </is>
      </c>
      <c r="D68" s="5" t="inlineStr">
        <is>
          <t>Partage et divulgation des données</t>
        </is>
      </c>
      <c r="E68" t="inlineStr">
        <is>
          <t>H2</t>
        </is>
      </c>
      <c r="F68" s="5" t="inlineStr">
        <is>
          <t>Compliance</t>
        </is>
      </c>
      <c r="G68" t="inlineStr">
        <is>
          <t>—</t>
        </is>
      </c>
      <c r="H68" t="inlineStr">
        <is>
          <t>NONE</t>
        </is>
      </c>
      <c r="I68" t="inlineStr">
        <is>
          <t>—</t>
        </is>
      </c>
      <c r="J68" t="inlineStr">
        <is>
          <t>—</t>
        </is>
      </c>
      <c r="K68" t="inlineStr">
        <is>
          <t>—</t>
        </is>
      </c>
      <c r="L68" t="inlineStr">
        <is>
          <t>—</t>
        </is>
      </c>
      <c r="M68" t="inlineStr">
        <is>
          <t>—</t>
        </is>
      </c>
      <c r="N68" t="inlineStr">
        <is>
          <t>n/a</t>
        </is>
      </c>
      <c r="O68" s="5" t="inlineStr">
        <is>
          <t>No keyword target (legal)</t>
        </is>
      </c>
      <c r="P68" s="5" t="inlineStr"/>
      <c r="Q68" t="inlineStr">
        <is>
          <t>P4</t>
        </is>
      </c>
      <c r="R68" t="n">
        <v>117</v>
      </c>
      <c r="S68" s="5" t="inlineStr">
        <is>
          <t>Nous ne vendons pas vos informations personnelles. Nous pouvons partager vos données avec : Prestataires de services : Des fournisseurs tiers de confiance qui nous aident à fournir des services (hébergement, traitement d</t>
        </is>
      </c>
    </row>
    <row r="69">
      <c r="A69" s="3" t="inlineStr">
        <is>
          <t>https://codesommet.com/legal/privacy-policy</t>
        </is>
      </c>
      <c r="B69" t="n">
        <v>6</v>
      </c>
      <c r="C69" t="inlineStr">
        <is>
          <t>Legal text</t>
        </is>
      </c>
      <c r="D69" s="5" t="inlineStr">
        <is>
          <t>Sécurité des données</t>
        </is>
      </c>
      <c r="E69" t="inlineStr">
        <is>
          <t>H2</t>
        </is>
      </c>
      <c r="F69" s="5" t="inlineStr">
        <is>
          <t>Compliance</t>
        </is>
      </c>
      <c r="G69" t="inlineStr">
        <is>
          <t>—</t>
        </is>
      </c>
      <c r="H69" t="inlineStr">
        <is>
          <t>NONE</t>
        </is>
      </c>
      <c r="I69" t="inlineStr">
        <is>
          <t>—</t>
        </is>
      </c>
      <c r="J69" t="inlineStr">
        <is>
          <t>—</t>
        </is>
      </c>
      <c r="K69" t="inlineStr">
        <is>
          <t>—</t>
        </is>
      </c>
      <c r="L69" t="inlineStr">
        <is>
          <t>—</t>
        </is>
      </c>
      <c r="M69" t="inlineStr">
        <is>
          <t>—</t>
        </is>
      </c>
      <c r="N69" t="inlineStr">
        <is>
          <t>n/a</t>
        </is>
      </c>
      <c r="O69" s="5" t="inlineStr">
        <is>
          <t>No keyword target (legal)</t>
        </is>
      </c>
      <c r="P69" s="5" t="inlineStr"/>
      <c r="Q69" t="inlineStr">
        <is>
          <t>P4</t>
        </is>
      </c>
      <c r="R69" t="n">
        <v>99</v>
      </c>
      <c r="S69" s="5" t="inlineStr">
        <is>
          <t>Nous mettons en œuvre des mesures de sécurité conformes aux normes de l'industrie pour protéger vos informations personnelles : Chiffrement : Chiffrement SSL/TLS pour la transmission des données Stockage sécurisé : Bases</t>
        </is>
      </c>
    </row>
    <row r="70">
      <c r="A70" s="3" t="inlineStr">
        <is>
          <t>https://codesommet.com/legal/privacy-policy</t>
        </is>
      </c>
      <c r="B70" t="n">
        <v>7</v>
      </c>
      <c r="C70" t="inlineStr">
        <is>
          <t>Legal text</t>
        </is>
      </c>
      <c r="D70" s="5" t="inlineStr">
        <is>
          <t>Vos droits en matière de vie privée</t>
        </is>
      </c>
      <c r="E70" t="inlineStr">
        <is>
          <t>H2</t>
        </is>
      </c>
      <c r="F70" s="5" t="inlineStr">
        <is>
          <t>Compliance</t>
        </is>
      </c>
      <c r="G70" t="inlineStr">
        <is>
          <t>—</t>
        </is>
      </c>
      <c r="H70" t="inlineStr">
        <is>
          <t>NONE</t>
        </is>
      </c>
      <c r="I70" t="inlineStr">
        <is>
          <t>—</t>
        </is>
      </c>
      <c r="J70" t="inlineStr">
        <is>
          <t>—</t>
        </is>
      </c>
      <c r="K70" t="inlineStr">
        <is>
          <t>—</t>
        </is>
      </c>
      <c r="L70" t="inlineStr">
        <is>
          <t>—</t>
        </is>
      </c>
      <c r="M70" t="inlineStr">
        <is>
          <t>—</t>
        </is>
      </c>
      <c r="N70" t="inlineStr">
        <is>
          <t>n/a</t>
        </is>
      </c>
      <c r="O70" s="5" t="inlineStr">
        <is>
          <t>No keyword target (legal)</t>
        </is>
      </c>
      <c r="P70" s="5" t="inlineStr"/>
      <c r="Q70" t="inlineStr">
        <is>
          <t>P4</t>
        </is>
      </c>
      <c r="R70" t="n">
        <v>197</v>
      </c>
      <c r="S70" s="5" t="inlineStr">
        <is>
          <t>En vertu du RGPD (pour les résidents de l'UE/Royaume-Uni) : Droit d'accès : Demander une copie de vos données personnelles Droit de rectification : Corriger les données inexactes ou incomplètes Droit à l'effacement : Dem</t>
        </is>
      </c>
    </row>
    <row r="71">
      <c r="A71" s="3" t="inlineStr">
        <is>
          <t>https://codesommet.com/legal/privacy-policy</t>
        </is>
      </c>
      <c r="B71" t="n">
        <v>8</v>
      </c>
      <c r="C71" t="inlineStr">
        <is>
          <t>Legal text</t>
        </is>
      </c>
      <c r="D71" s="5" t="inlineStr">
        <is>
          <t>Cookies et technologies de suivi</t>
        </is>
      </c>
      <c r="E71" t="inlineStr">
        <is>
          <t>H2</t>
        </is>
      </c>
      <c r="F71" s="5" t="inlineStr">
        <is>
          <t>Compliance</t>
        </is>
      </c>
      <c r="G71" t="inlineStr">
        <is>
          <t>—</t>
        </is>
      </c>
      <c r="H71" t="inlineStr">
        <is>
          <t>NONE</t>
        </is>
      </c>
      <c r="I71" t="inlineStr">
        <is>
          <t>—</t>
        </is>
      </c>
      <c r="J71" t="inlineStr">
        <is>
          <t>—</t>
        </is>
      </c>
      <c r="K71" t="inlineStr">
        <is>
          <t>—</t>
        </is>
      </c>
      <c r="L71" t="inlineStr">
        <is>
          <t>—</t>
        </is>
      </c>
      <c r="M71" t="inlineStr">
        <is>
          <t>—</t>
        </is>
      </c>
      <c r="N71" t="inlineStr">
        <is>
          <t>n/a</t>
        </is>
      </c>
      <c r="O71" s="5" t="inlineStr">
        <is>
          <t>No keyword target (legal)</t>
        </is>
      </c>
      <c r="P71" s="5" t="inlineStr"/>
      <c r="Q71" t="inlineStr">
        <is>
          <t>P4</t>
        </is>
      </c>
      <c r="R71" t="n">
        <v>86</v>
      </c>
      <c r="S71" s="5" t="inlineStr">
        <is>
          <t>Nous utilisons des cookies et des technologies similaires pour améliorer votre expérience. Pour des informations détaillées, veuillez consulter notre politique relative aux cookies . Types de cookies que nous utilisons :</t>
        </is>
      </c>
    </row>
    <row r="72">
      <c r="A72" s="3" t="inlineStr">
        <is>
          <t>https://codesommet.com/legal/privacy-policy</t>
        </is>
      </c>
      <c r="B72" t="n">
        <v>9</v>
      </c>
      <c r="C72" t="inlineStr">
        <is>
          <t>Legal text</t>
        </is>
      </c>
      <c r="D72" s="5" t="inlineStr">
        <is>
          <t>Transferts internationaux de données</t>
        </is>
      </c>
      <c r="E72" t="inlineStr">
        <is>
          <t>H2</t>
        </is>
      </c>
      <c r="F72" s="5" t="inlineStr">
        <is>
          <t>Compliance</t>
        </is>
      </c>
      <c r="G72" t="inlineStr">
        <is>
          <t>—</t>
        </is>
      </c>
      <c r="H72" t="inlineStr">
        <is>
          <t>NONE</t>
        </is>
      </c>
      <c r="I72" t="inlineStr">
        <is>
          <t>—</t>
        </is>
      </c>
      <c r="J72" t="inlineStr">
        <is>
          <t>—</t>
        </is>
      </c>
      <c r="K72" t="inlineStr">
        <is>
          <t>—</t>
        </is>
      </c>
      <c r="L72" t="inlineStr">
        <is>
          <t>—</t>
        </is>
      </c>
      <c r="M72" t="inlineStr">
        <is>
          <t>—</t>
        </is>
      </c>
      <c r="N72" t="inlineStr">
        <is>
          <t>n/a</t>
        </is>
      </c>
      <c r="O72" s="5" t="inlineStr">
        <is>
          <t>No keyword target (legal)</t>
        </is>
      </c>
      <c r="P72" s="5" t="inlineStr"/>
      <c r="Q72" t="inlineStr">
        <is>
          <t>P4</t>
        </is>
      </c>
      <c r="R72" t="n">
        <v>87</v>
      </c>
      <c r="S72" s="5" t="inlineStr">
        <is>
          <t>CodeSommet opère à l'international avec son siège social au Maroc. Vos informations peuvent être transférées vers, et conservées sur, des serveurs situés en dehors de votre pays. Nous veillons à ce que tous les transfert</t>
        </is>
      </c>
    </row>
    <row r="73">
      <c r="A73" s="3" t="inlineStr">
        <is>
          <t>https://codesommet.com/legal/privacy-policy</t>
        </is>
      </c>
      <c r="B73" t="n">
        <v>10</v>
      </c>
      <c r="C73" t="inlineStr">
        <is>
          <t>Legal text</t>
        </is>
      </c>
      <c r="D73" s="5" t="inlineStr">
        <is>
          <t>Conservation des données</t>
        </is>
      </c>
      <c r="E73" t="inlineStr">
        <is>
          <t>H2</t>
        </is>
      </c>
      <c r="F73" s="5" t="inlineStr">
        <is>
          <t>Compliance</t>
        </is>
      </c>
      <c r="G73" t="inlineStr">
        <is>
          <t>—</t>
        </is>
      </c>
      <c r="H73" t="inlineStr">
        <is>
          <t>NONE</t>
        </is>
      </c>
      <c r="I73" t="inlineStr">
        <is>
          <t>—</t>
        </is>
      </c>
      <c r="J73" t="inlineStr">
        <is>
          <t>—</t>
        </is>
      </c>
      <c r="K73" t="inlineStr">
        <is>
          <t>—</t>
        </is>
      </c>
      <c r="L73" t="inlineStr">
        <is>
          <t>—</t>
        </is>
      </c>
      <c r="M73" t="inlineStr">
        <is>
          <t>—</t>
        </is>
      </c>
      <c r="N73" t="inlineStr">
        <is>
          <t>n/a</t>
        </is>
      </c>
      <c r="O73" s="5" t="inlineStr">
        <is>
          <t>No keyword target (legal)</t>
        </is>
      </c>
      <c r="P73" s="5" t="inlineStr"/>
      <c r="Q73" t="inlineStr">
        <is>
          <t>P4</t>
        </is>
      </c>
      <c r="R73" t="n">
        <v>87</v>
      </c>
      <c r="S73" s="5" t="inlineStr">
        <is>
          <t>Nous conservons vos informations personnelles uniquement aussi longtemps que nécessaire pour atteindre les objectifs décrits dans cette Politique de Confidentialité : Données client : Durée de la relation commerciale + 7</t>
        </is>
      </c>
    </row>
    <row r="74">
      <c r="A74" s="3" t="inlineStr">
        <is>
          <t>https://codesommet.com/legal/privacy-policy</t>
        </is>
      </c>
      <c r="B74" t="n">
        <v>11</v>
      </c>
      <c r="C74" t="inlineStr">
        <is>
          <t>Legal text</t>
        </is>
      </c>
      <c r="D74" s="5" t="inlineStr">
        <is>
          <t>Protection des données des enfants</t>
        </is>
      </c>
      <c r="E74" t="inlineStr">
        <is>
          <t>H2</t>
        </is>
      </c>
      <c r="F74" s="5" t="inlineStr">
        <is>
          <t>Compliance</t>
        </is>
      </c>
      <c r="G74" t="inlineStr">
        <is>
          <t>—</t>
        </is>
      </c>
      <c r="H74" t="inlineStr">
        <is>
          <t>NONE</t>
        </is>
      </c>
      <c r="I74" t="inlineStr">
        <is>
          <t>—</t>
        </is>
      </c>
      <c r="J74" t="inlineStr">
        <is>
          <t>—</t>
        </is>
      </c>
      <c r="K74" t="inlineStr">
        <is>
          <t>—</t>
        </is>
      </c>
      <c r="L74" t="inlineStr">
        <is>
          <t>—</t>
        </is>
      </c>
      <c r="M74" t="inlineStr">
        <is>
          <t>—</t>
        </is>
      </c>
      <c r="N74" t="inlineStr">
        <is>
          <t>n/a</t>
        </is>
      </c>
      <c r="O74" s="5" t="inlineStr">
        <is>
          <t>No keyword target (legal)</t>
        </is>
      </c>
      <c r="P74" s="5" t="inlineStr"/>
      <c r="Q74" t="inlineStr">
        <is>
          <t>P4</t>
        </is>
      </c>
      <c r="R74" t="n">
        <v>58</v>
      </c>
      <c r="S74" s="5" t="inlineStr">
        <is>
          <t xml:space="preserve">Nos services ne s'adressent pas aux personnes de moins de 18 ans. Nous ne collectons pas sciemment d'informations personnelles auprès d'enfants de moins de 18 ans. Si vous êtes un parent ou un tuteur et pensez que votre </t>
        </is>
      </c>
    </row>
    <row r="75">
      <c r="A75" s="3" t="inlineStr">
        <is>
          <t>https://codesommet.com/legal/privacy-policy</t>
        </is>
      </c>
      <c r="B75" t="n">
        <v>12</v>
      </c>
      <c r="C75" t="inlineStr">
        <is>
          <t>Legal text</t>
        </is>
      </c>
      <c r="D75" s="5" t="inlineStr">
        <is>
          <t>Modifications de cette politique de confidentialité</t>
        </is>
      </c>
      <c r="E75" t="inlineStr">
        <is>
          <t>H2</t>
        </is>
      </c>
      <c r="F75" s="5" t="inlineStr">
        <is>
          <t>Compliance</t>
        </is>
      </c>
      <c r="G75" t="inlineStr">
        <is>
          <t>—</t>
        </is>
      </c>
      <c r="H75" t="inlineStr">
        <is>
          <t>NONE</t>
        </is>
      </c>
      <c r="I75" t="inlineStr">
        <is>
          <t>—</t>
        </is>
      </c>
      <c r="J75" t="inlineStr">
        <is>
          <t>—</t>
        </is>
      </c>
      <c r="K75" t="inlineStr">
        <is>
          <t>—</t>
        </is>
      </c>
      <c r="L75" t="inlineStr">
        <is>
          <t>—</t>
        </is>
      </c>
      <c r="M75" t="inlineStr">
        <is>
          <t>—</t>
        </is>
      </c>
      <c r="N75" t="inlineStr">
        <is>
          <t>n/a</t>
        </is>
      </c>
      <c r="O75" s="5" t="inlineStr">
        <is>
          <t>No keyword target (legal)</t>
        </is>
      </c>
      <c r="P75" s="5" t="inlineStr"/>
      <c r="Q75" t="inlineStr">
        <is>
          <t>P4</t>
        </is>
      </c>
      <c r="R75" t="n">
        <v>95</v>
      </c>
      <c r="S75" s="5" t="inlineStr">
        <is>
          <t>Nous pouvons mettre à jour cette Politique de Confidentialité de temps à autre pour refléter les changements dans nos pratiques, la technologie, les exigences légales ou pour d'autres raisons. Nous vous informerons de to</t>
        </is>
      </c>
    </row>
    <row r="76">
      <c r="A76" s="3" t="inlineStr">
        <is>
          <t>https://codesommet.com/legal/privacy-policy</t>
        </is>
      </c>
      <c r="B76" t="n">
        <v>13</v>
      </c>
      <c r="C76" t="inlineStr">
        <is>
          <t>Legal text</t>
        </is>
      </c>
      <c r="D76" s="5" t="inlineStr">
        <is>
          <t>Contactez-nous</t>
        </is>
      </c>
      <c r="E76" t="inlineStr">
        <is>
          <t>H2</t>
        </is>
      </c>
      <c r="F76" s="5" t="inlineStr">
        <is>
          <t>Compliance</t>
        </is>
      </c>
      <c r="G76" t="inlineStr">
        <is>
          <t>—</t>
        </is>
      </c>
      <c r="H76" t="inlineStr">
        <is>
          <t>NONE</t>
        </is>
      </c>
      <c r="I76" t="inlineStr">
        <is>
          <t>—</t>
        </is>
      </c>
      <c r="J76" t="inlineStr">
        <is>
          <t>—</t>
        </is>
      </c>
      <c r="K76" t="inlineStr">
        <is>
          <t>—</t>
        </is>
      </c>
      <c r="L76" t="inlineStr">
        <is>
          <t>—</t>
        </is>
      </c>
      <c r="M76" t="inlineStr">
        <is>
          <t>—</t>
        </is>
      </c>
      <c r="N76" t="inlineStr">
        <is>
          <t>n/a</t>
        </is>
      </c>
      <c r="O76" s="5" t="inlineStr">
        <is>
          <t>No keyword target (legal)</t>
        </is>
      </c>
      <c r="P76" s="5" t="inlineStr"/>
      <c r="Q76" t="inlineStr">
        <is>
          <t>P4</t>
        </is>
      </c>
      <c r="R76" t="n">
        <v>88</v>
      </c>
      <c r="S76" s="5" t="inlineStr">
        <is>
          <t>Si vous avez des questions, des préoccupations ou des demandes concernant cette Politique de Confidentialité ou nos pratiques en matière de données, veuillez nous contacter : CodeSommet Agence Premium de Développement We</t>
        </is>
      </c>
    </row>
    <row r="77">
      <c r="A77" s="3" t="inlineStr">
        <is>
          <t>https://codesommet.com/legal/terms-of-service</t>
        </is>
      </c>
      <c r="B77" t="n">
        <v>1</v>
      </c>
      <c r="C77" t="inlineStr">
        <is>
          <t>Legal text</t>
        </is>
      </c>
      <c r="D77" s="5" t="inlineStr">
        <is>
          <t>Conditions d'Utilisation</t>
        </is>
      </c>
      <c r="E77" t="inlineStr">
        <is>
          <t>H1</t>
        </is>
      </c>
      <c r="F77" s="5" t="inlineStr">
        <is>
          <t>Compliance</t>
        </is>
      </c>
      <c r="G77" t="inlineStr">
        <is>
          <t>—</t>
        </is>
      </c>
      <c r="H77" t="inlineStr">
        <is>
          <t>NONE</t>
        </is>
      </c>
      <c r="I77" t="inlineStr">
        <is>
          <t>—</t>
        </is>
      </c>
      <c r="J77" t="inlineStr">
        <is>
          <t>—</t>
        </is>
      </c>
      <c r="K77" t="inlineStr">
        <is>
          <t>—</t>
        </is>
      </c>
      <c r="L77" t="inlineStr">
        <is>
          <t>—</t>
        </is>
      </c>
      <c r="M77" t="inlineStr">
        <is>
          <t>—</t>
        </is>
      </c>
      <c r="N77" t="inlineStr">
        <is>
          <t>n/a</t>
        </is>
      </c>
      <c r="O77" s="5" t="inlineStr">
        <is>
          <t>No keyword target (legal)</t>
        </is>
      </c>
      <c r="P77" s="5" t="inlineStr"/>
      <c r="Q77" t="inlineStr">
        <is>
          <t>P4</t>
        </is>
      </c>
      <c r="R77" t="n">
        <v>24</v>
      </c>
      <c r="S77" s="5" t="inlineStr">
        <is>
          <t>Ces conditions régissent votre utilisation de nos services. Veuillez les lire attentivement avant de vous engager avec CodeSommet. Services Conditions de paiement Propriété intellectuelle</t>
        </is>
      </c>
    </row>
    <row r="78">
      <c r="A78" s="3" t="inlineStr">
        <is>
          <t>https://codesommet.com/legal/terms-of-service</t>
        </is>
      </c>
      <c r="B78" t="n">
        <v>2</v>
      </c>
      <c r="C78" t="inlineStr">
        <is>
          <t>Legal text</t>
        </is>
      </c>
      <c r="D78" s="5" t="inlineStr">
        <is>
          <t>Acceptation des conditions</t>
        </is>
      </c>
      <c r="E78" t="inlineStr">
        <is>
          <t>H2</t>
        </is>
      </c>
      <c r="F78" s="5" t="inlineStr">
        <is>
          <t>Compliance</t>
        </is>
      </c>
      <c r="G78" t="inlineStr">
        <is>
          <t>—</t>
        </is>
      </c>
      <c r="H78" t="inlineStr">
        <is>
          <t>NONE</t>
        </is>
      </c>
      <c r="I78" t="inlineStr">
        <is>
          <t>—</t>
        </is>
      </c>
      <c r="J78" t="inlineStr">
        <is>
          <t>—</t>
        </is>
      </c>
      <c r="K78" t="inlineStr">
        <is>
          <t>—</t>
        </is>
      </c>
      <c r="L78" t="inlineStr">
        <is>
          <t>—</t>
        </is>
      </c>
      <c r="M78" t="inlineStr">
        <is>
          <t>—</t>
        </is>
      </c>
      <c r="N78" t="inlineStr">
        <is>
          <t>n/a</t>
        </is>
      </c>
      <c r="O78" s="5" t="inlineStr">
        <is>
          <t>No keyword target (legal)</t>
        </is>
      </c>
      <c r="P78" s="5" t="inlineStr"/>
      <c r="Q78" t="inlineStr">
        <is>
          <t>P4</t>
        </is>
      </c>
      <c r="R78" t="n">
        <v>135</v>
      </c>
      <c r="S78" s="5" t="inlineStr">
        <is>
          <t>Bienvenue chez CodeSommet. Ces Conditions d'Utilisation ("Conditions") constituent un accord juridiquement contraignant entre vous ("Client", "vous" ou "votre") et CodeSommet ("nous", "notre") concernant votre utilisatio</t>
        </is>
      </c>
    </row>
    <row r="79">
      <c r="A79" s="3" t="inlineStr">
        <is>
          <t>https://codesommet.com/legal/terms-of-service</t>
        </is>
      </c>
      <c r="B79" t="n">
        <v>3</v>
      </c>
      <c r="C79" t="inlineStr">
        <is>
          <t>Legal text</t>
        </is>
      </c>
      <c r="D79" s="5" t="inlineStr">
        <is>
          <t>Définitions</t>
        </is>
      </c>
      <c r="E79" t="inlineStr">
        <is>
          <t>H2</t>
        </is>
      </c>
      <c r="F79" s="5" t="inlineStr">
        <is>
          <t>Compliance</t>
        </is>
      </c>
      <c r="G79" t="inlineStr">
        <is>
          <t>—</t>
        </is>
      </c>
      <c r="H79" t="inlineStr">
        <is>
          <t>NONE</t>
        </is>
      </c>
      <c r="I79" t="inlineStr">
        <is>
          <t>—</t>
        </is>
      </c>
      <c r="J79" t="inlineStr">
        <is>
          <t>—</t>
        </is>
      </c>
      <c r="K79" t="inlineStr">
        <is>
          <t>—</t>
        </is>
      </c>
      <c r="L79" t="inlineStr">
        <is>
          <t>—</t>
        </is>
      </c>
      <c r="M79" t="inlineStr">
        <is>
          <t>—</t>
        </is>
      </c>
      <c r="N79" t="inlineStr">
        <is>
          <t>n/a</t>
        </is>
      </c>
      <c r="O79" s="5" t="inlineStr">
        <is>
          <t>No keyword target (legal)</t>
        </is>
      </c>
      <c r="P79" s="5" t="inlineStr"/>
      <c r="Q79" t="inlineStr">
        <is>
          <t>P4</t>
        </is>
      </c>
      <c r="R79" t="n">
        <v>94</v>
      </c>
      <c r="S79" s="5" t="inlineStr">
        <is>
          <t>"Services" désigne tous les services de développement web, de design, de branding et services connexes fournis par CodeSommet. "Client" désigne toute personne physique ou morale qui fait appel aux services de CodeSommet.</t>
        </is>
      </c>
    </row>
    <row r="80">
      <c r="A80" s="3" t="inlineStr">
        <is>
          <t>https://codesommet.com/legal/terms-of-service</t>
        </is>
      </c>
      <c r="B80" t="n">
        <v>4</v>
      </c>
      <c r="C80" t="inlineStr">
        <is>
          <t>Legal text</t>
        </is>
      </c>
      <c r="D80" s="5" t="inlineStr">
        <is>
          <t>Services fournis</t>
        </is>
      </c>
      <c r="E80" t="inlineStr">
        <is>
          <t>H2</t>
        </is>
      </c>
      <c r="F80" s="5" t="inlineStr">
        <is>
          <t>Compliance</t>
        </is>
      </c>
      <c r="G80" t="inlineStr">
        <is>
          <t>—</t>
        </is>
      </c>
      <c r="H80" t="inlineStr">
        <is>
          <t>NONE</t>
        </is>
      </c>
      <c r="I80" t="inlineStr">
        <is>
          <t>—</t>
        </is>
      </c>
      <c r="J80" t="inlineStr">
        <is>
          <t>—</t>
        </is>
      </c>
      <c r="K80" t="inlineStr">
        <is>
          <t>—</t>
        </is>
      </c>
      <c r="L80" t="inlineStr">
        <is>
          <t>—</t>
        </is>
      </c>
      <c r="M80" t="inlineStr">
        <is>
          <t>—</t>
        </is>
      </c>
      <c r="N80" t="inlineStr">
        <is>
          <t>n/a</t>
        </is>
      </c>
      <c r="O80" s="5" t="inlineStr">
        <is>
          <t>No keyword target (legal)</t>
        </is>
      </c>
      <c r="P80" s="5" t="inlineStr"/>
      <c r="Q80" t="inlineStr">
        <is>
          <t>P4</t>
        </is>
      </c>
      <c r="R80" t="n">
        <v>282</v>
      </c>
      <c r="S80" s="5" t="inlineStr">
        <is>
          <t>1. Services de forfait Services de forfait mensuel Nos plans de forfait mensuel incluent généralement : Gestion de projet active Équipe de développement senior dédiée Appels de suivi et mises à jour réguliers Livraison r</t>
        </is>
      </c>
    </row>
    <row r="81">
      <c r="A81" s="3" t="inlineStr">
        <is>
          <t>https://codesommet.com/legal/terms-of-service</t>
        </is>
      </c>
      <c r="B81" t="n">
        <v>5</v>
      </c>
      <c r="C81" t="inlineStr">
        <is>
          <t>Legal text</t>
        </is>
      </c>
      <c r="D81" s="5" t="inlineStr">
        <is>
          <t>Responsabilités du client</t>
        </is>
      </c>
      <c r="E81" t="inlineStr">
        <is>
          <t>H2</t>
        </is>
      </c>
      <c r="F81" s="5" t="inlineStr">
        <is>
          <t>Compliance</t>
        </is>
      </c>
      <c r="G81" t="inlineStr">
        <is>
          <t>—</t>
        </is>
      </c>
      <c r="H81" t="inlineStr">
        <is>
          <t>NONE</t>
        </is>
      </c>
      <c r="I81" t="inlineStr">
        <is>
          <t>—</t>
        </is>
      </c>
      <c r="J81" t="inlineStr">
        <is>
          <t>—</t>
        </is>
      </c>
      <c r="K81" t="inlineStr">
        <is>
          <t>—</t>
        </is>
      </c>
      <c r="L81" t="inlineStr">
        <is>
          <t>—</t>
        </is>
      </c>
      <c r="M81" t="inlineStr">
        <is>
          <t>—</t>
        </is>
      </c>
      <c r="N81" t="inlineStr">
        <is>
          <t>n/a</t>
        </is>
      </c>
      <c r="O81" s="5" t="inlineStr">
        <is>
          <t>No keyword target (legal)</t>
        </is>
      </c>
      <c r="P81" s="5" t="inlineStr"/>
      <c r="Q81" t="inlineStr">
        <is>
          <t>P4</t>
        </is>
      </c>
      <c r="R81" t="n">
        <v>174</v>
      </c>
      <c r="S81" s="5" t="inlineStr">
        <is>
          <t>En tant que client, vous acceptez de : Fournir des informations en temps voulu : Fournir tout le contenu, les images, les éléments de marque et les informations nécessaires à la réalisation du projet dans les délais conv</t>
        </is>
      </c>
    </row>
    <row r="82">
      <c r="A82" s="3" t="inlineStr">
        <is>
          <t>https://codesommet.com/legal/terms-of-service</t>
        </is>
      </c>
      <c r="B82" t="n">
        <v>6</v>
      </c>
      <c r="C82" t="inlineStr">
        <is>
          <t>Legal text</t>
        </is>
      </c>
      <c r="D82" s="5" t="inlineStr">
        <is>
          <t>Conditions de paiement</t>
        </is>
      </c>
      <c r="E82" t="inlineStr">
        <is>
          <t>H2</t>
        </is>
      </c>
      <c r="F82" s="5" t="inlineStr">
        <is>
          <t>Compliance</t>
        </is>
      </c>
      <c r="G82" t="inlineStr">
        <is>
          <t>—</t>
        </is>
      </c>
      <c r="H82" t="inlineStr">
        <is>
          <t>NONE</t>
        </is>
      </c>
      <c r="I82" t="inlineStr">
        <is>
          <t>—</t>
        </is>
      </c>
      <c r="J82" t="inlineStr">
        <is>
          <t>—</t>
        </is>
      </c>
      <c r="K82" t="inlineStr">
        <is>
          <t>—</t>
        </is>
      </c>
      <c r="L82" t="inlineStr">
        <is>
          <t>—</t>
        </is>
      </c>
      <c r="M82" t="inlineStr">
        <is>
          <t>—</t>
        </is>
      </c>
      <c r="N82" t="inlineStr">
        <is>
          <t>n/a</t>
        </is>
      </c>
      <c r="O82" s="5" t="inlineStr">
        <is>
          <t>No keyword target (legal)</t>
        </is>
      </c>
      <c r="P82" s="5" t="inlineStr"/>
      <c r="Q82" t="inlineStr">
        <is>
          <t>P4</t>
        </is>
      </c>
      <c r="R82" t="n">
        <v>447</v>
      </c>
      <c r="S82" s="5" t="inlineStr">
        <is>
          <t>1. Tarification et frais Les tarifs commencent à partir de 1 499 $ et sont personnalisés en fonction de la portée, des exigences et de la complexité de votre projet. La tarification finale est discutée lors de votre appe</t>
        </is>
      </c>
    </row>
    <row r="83">
      <c r="A83" s="3" t="inlineStr">
        <is>
          <t>https://codesommet.com/legal/terms-of-service</t>
        </is>
      </c>
      <c r="B83" t="n">
        <v>7</v>
      </c>
      <c r="C83" t="inlineStr">
        <is>
          <t>Legal text</t>
        </is>
      </c>
      <c r="D83" s="5" t="inlineStr">
        <is>
          <t>Droits de propriété intellectuelle</t>
        </is>
      </c>
      <c r="E83" t="inlineStr">
        <is>
          <t>H2</t>
        </is>
      </c>
      <c r="F83" s="5" t="inlineStr">
        <is>
          <t>Compliance</t>
        </is>
      </c>
      <c r="G83" t="inlineStr">
        <is>
          <t>—</t>
        </is>
      </c>
      <c r="H83" t="inlineStr">
        <is>
          <t>NONE</t>
        </is>
      </c>
      <c r="I83" t="inlineStr">
        <is>
          <t>—</t>
        </is>
      </c>
      <c r="J83" t="inlineStr">
        <is>
          <t>—</t>
        </is>
      </c>
      <c r="K83" t="inlineStr">
        <is>
          <t>—</t>
        </is>
      </c>
      <c r="L83" t="inlineStr">
        <is>
          <t>—</t>
        </is>
      </c>
      <c r="M83" t="inlineStr">
        <is>
          <t>—</t>
        </is>
      </c>
      <c r="N83" t="inlineStr">
        <is>
          <t>n/a</t>
        </is>
      </c>
      <c r="O83" s="5" t="inlineStr">
        <is>
          <t>No keyword target (legal)</t>
        </is>
      </c>
      <c r="P83" s="5" t="inlineStr"/>
      <c r="Q83" t="inlineStr">
        <is>
          <t>P4</t>
        </is>
      </c>
      <c r="R83" t="n">
        <v>274</v>
      </c>
      <c r="S83" s="5" t="inlineStr">
        <is>
          <t>1. Propriété des livrables finaux Après paiement intégral, vous détiendrez les droits sur les livrables finaux approuvés, notamment : Design et code de site web personnalisé Logos personnalisés et éléments de marque créé</t>
        </is>
      </c>
    </row>
    <row r="84">
      <c r="A84" s="3" t="inlineStr">
        <is>
          <t>https://codesommet.com/legal/terms-of-service</t>
        </is>
      </c>
      <c r="B84" t="n">
        <v>8</v>
      </c>
      <c r="C84" t="inlineStr">
        <is>
          <t>Legal text</t>
        </is>
      </c>
      <c r="D84" s="5" t="inlineStr">
        <is>
          <t>Calendrier et livraison du projet</t>
        </is>
      </c>
      <c r="E84" t="inlineStr">
        <is>
          <t>H2</t>
        </is>
      </c>
      <c r="F84" s="5" t="inlineStr">
        <is>
          <t>Compliance</t>
        </is>
      </c>
      <c r="G84" t="inlineStr">
        <is>
          <t>—</t>
        </is>
      </c>
      <c r="H84" t="inlineStr">
        <is>
          <t>NONE</t>
        </is>
      </c>
      <c r="I84" t="inlineStr">
        <is>
          <t>—</t>
        </is>
      </c>
      <c r="J84" t="inlineStr">
        <is>
          <t>—</t>
        </is>
      </c>
      <c r="K84" t="inlineStr">
        <is>
          <t>—</t>
        </is>
      </c>
      <c r="L84" t="inlineStr">
        <is>
          <t>—</t>
        </is>
      </c>
      <c r="M84" t="inlineStr">
        <is>
          <t>—</t>
        </is>
      </c>
      <c r="N84" t="inlineStr">
        <is>
          <t>n/a</t>
        </is>
      </c>
      <c r="O84" s="5" t="inlineStr">
        <is>
          <t>No keyword target (legal)</t>
        </is>
      </c>
      <c r="P84" s="5" t="inlineStr"/>
      <c r="Q84" t="inlineStr">
        <is>
          <t>P4</t>
        </is>
      </c>
      <c r="R84" t="n">
        <v>120</v>
      </c>
      <c r="S84" s="5" t="inlineStr">
        <is>
          <t>Délais standards Tâches de forfait : Délais de livraison tels que spécifiés dans votre accord de service Développement de site web : Calendrier basé sur la portée et la complexité du projet (décrit dans la proposition) R</t>
        </is>
      </c>
    </row>
    <row r="85">
      <c r="A85" s="3" t="inlineStr">
        <is>
          <t>https://codesommet.com/legal/terms-of-service</t>
        </is>
      </c>
      <c r="B85" t="n">
        <v>9</v>
      </c>
      <c r="C85" t="inlineStr">
        <is>
          <t>Legal text</t>
        </is>
      </c>
      <c r="D85" s="5" t="inlineStr">
        <is>
          <t>Révisions et modifications</t>
        </is>
      </c>
      <c r="E85" t="inlineStr">
        <is>
          <t>H2</t>
        </is>
      </c>
      <c r="F85" s="5" t="inlineStr">
        <is>
          <t>Compliance</t>
        </is>
      </c>
      <c r="G85" t="inlineStr">
        <is>
          <t>—</t>
        </is>
      </c>
      <c r="H85" t="inlineStr">
        <is>
          <t>NONE</t>
        </is>
      </c>
      <c r="I85" t="inlineStr">
        <is>
          <t>—</t>
        </is>
      </c>
      <c r="J85" t="inlineStr">
        <is>
          <t>—</t>
        </is>
      </c>
      <c r="K85" t="inlineStr">
        <is>
          <t>—</t>
        </is>
      </c>
      <c r="L85" t="inlineStr">
        <is>
          <t>—</t>
        </is>
      </c>
      <c r="M85" t="inlineStr">
        <is>
          <t>—</t>
        </is>
      </c>
      <c r="N85" t="inlineStr">
        <is>
          <t>n/a</t>
        </is>
      </c>
      <c r="O85" s="5" t="inlineStr">
        <is>
          <t>No keyword target (legal)</t>
        </is>
      </c>
      <c r="P85" s="5" t="inlineStr"/>
      <c r="Q85" t="inlineStr">
        <is>
          <t>P4</t>
        </is>
      </c>
      <c r="R85" t="n">
        <v>159</v>
      </c>
      <c r="S85" s="5" t="inlineStr">
        <is>
          <t>Révisions incluses Services de forfait : Politique de révision telle que décrite dans votre accord de service Projets ponctuels : Nombre de tours de révision spécifié dans votre proposition *Les allocations de révision s</t>
        </is>
      </c>
    </row>
    <row r="86">
      <c r="A86" s="3" t="inlineStr">
        <is>
          <t>https://codesommet.com/legal/terms-of-service</t>
        </is>
      </c>
      <c r="B86" t="n">
        <v>10</v>
      </c>
      <c r="C86" t="inlineStr">
        <is>
          <t>Legal text</t>
        </is>
      </c>
      <c r="D86" s="5" t="inlineStr">
        <is>
          <t>Garanties et clauses de non-responsabilité</t>
        </is>
      </c>
      <c r="E86" t="inlineStr">
        <is>
          <t>H2</t>
        </is>
      </c>
      <c r="F86" s="5" t="inlineStr">
        <is>
          <t>Compliance</t>
        </is>
      </c>
      <c r="G86" t="inlineStr">
        <is>
          <t>—</t>
        </is>
      </c>
      <c r="H86" t="inlineStr">
        <is>
          <t>NONE</t>
        </is>
      </c>
      <c r="I86" t="inlineStr">
        <is>
          <t>—</t>
        </is>
      </c>
      <c r="J86" t="inlineStr">
        <is>
          <t>—</t>
        </is>
      </c>
      <c r="K86" t="inlineStr">
        <is>
          <t>—</t>
        </is>
      </c>
      <c r="L86" t="inlineStr">
        <is>
          <t>—</t>
        </is>
      </c>
      <c r="M86" t="inlineStr">
        <is>
          <t>—</t>
        </is>
      </c>
      <c r="N86" t="inlineStr">
        <is>
          <t>n/a</t>
        </is>
      </c>
      <c r="O86" s="5" t="inlineStr">
        <is>
          <t>No keyword target (legal)</t>
        </is>
      </c>
      <c r="P86" s="5" t="inlineStr"/>
      <c r="Q86" t="inlineStr">
        <is>
          <t>P4</t>
        </is>
      </c>
      <c r="R86" t="n">
        <v>128</v>
      </c>
      <c r="S86" s="5" t="inlineStr">
        <is>
          <t>Nos garanties Les services seront exécutés avec compétence et soin professionnels Les livrables seront substantiellement conformes aux spécifications convenues Le travail sera original et ne portera pas atteinte aux droi</t>
        </is>
      </c>
    </row>
    <row r="87">
      <c r="A87" s="3" t="inlineStr">
        <is>
          <t>https://codesommet.com/legal/terms-of-service</t>
        </is>
      </c>
      <c r="B87" t="n">
        <v>11</v>
      </c>
      <c r="C87" t="inlineStr">
        <is>
          <t>Legal text</t>
        </is>
      </c>
      <c r="D87" s="5" t="inlineStr">
        <is>
          <t>Limitation de responsabilité</t>
        </is>
      </c>
      <c r="E87" t="inlineStr">
        <is>
          <t>H2</t>
        </is>
      </c>
      <c r="F87" s="5" t="inlineStr">
        <is>
          <t>Compliance</t>
        </is>
      </c>
      <c r="G87" t="inlineStr">
        <is>
          <t>—</t>
        </is>
      </c>
      <c r="H87" t="inlineStr">
        <is>
          <t>NONE</t>
        </is>
      </c>
      <c r="I87" t="inlineStr">
        <is>
          <t>—</t>
        </is>
      </c>
      <c r="J87" t="inlineStr">
        <is>
          <t>—</t>
        </is>
      </c>
      <c r="K87" t="inlineStr">
        <is>
          <t>—</t>
        </is>
      </c>
      <c r="L87" t="inlineStr">
        <is>
          <t>—</t>
        </is>
      </c>
      <c r="M87" t="inlineStr">
        <is>
          <t>—</t>
        </is>
      </c>
      <c r="N87" t="inlineStr">
        <is>
          <t>n/a</t>
        </is>
      </c>
      <c r="O87" s="5" t="inlineStr">
        <is>
          <t>No keyword target (legal)</t>
        </is>
      </c>
      <c r="P87" s="5" t="inlineStr"/>
      <c r="Q87" t="inlineStr">
        <is>
          <t>P4</t>
        </is>
      </c>
      <c r="R87" t="n">
        <v>122</v>
      </c>
      <c r="S87" s="5" t="inlineStr">
        <is>
          <t>DANS LA MESURE MAXIMALE PERMISE PAR LA LOI : RESPONSABILITÉ TOTALE : Notre responsabilité totale pour toute réclamation découlant de nos services ne dépassera pas le montant que vous nous avez payé pour le service spécif</t>
        </is>
      </c>
    </row>
    <row r="88">
      <c r="A88" s="3" t="inlineStr">
        <is>
          <t>https://codesommet.com/legal/terms-of-service</t>
        </is>
      </c>
      <c r="B88" t="n">
        <v>12</v>
      </c>
      <c r="C88" t="inlineStr">
        <is>
          <t>Legal text</t>
        </is>
      </c>
      <c r="D88" s="5" t="inlineStr">
        <is>
          <t>Indemnisation</t>
        </is>
      </c>
      <c r="E88" t="inlineStr">
        <is>
          <t>H2</t>
        </is>
      </c>
      <c r="F88" s="5" t="inlineStr">
        <is>
          <t>Compliance</t>
        </is>
      </c>
      <c r="G88" t="inlineStr">
        <is>
          <t>—</t>
        </is>
      </c>
      <c r="H88" t="inlineStr">
        <is>
          <t>NONE</t>
        </is>
      </c>
      <c r="I88" t="inlineStr">
        <is>
          <t>—</t>
        </is>
      </c>
      <c r="J88" t="inlineStr">
        <is>
          <t>—</t>
        </is>
      </c>
      <c r="K88" t="inlineStr">
        <is>
          <t>—</t>
        </is>
      </c>
      <c r="L88" t="inlineStr">
        <is>
          <t>—</t>
        </is>
      </c>
      <c r="M88" t="inlineStr">
        <is>
          <t>—</t>
        </is>
      </c>
      <c r="N88" t="inlineStr">
        <is>
          <t>n/a</t>
        </is>
      </c>
      <c r="O88" s="5" t="inlineStr">
        <is>
          <t>No keyword target (legal)</t>
        </is>
      </c>
      <c r="P88" s="5" t="inlineStr"/>
      <c r="Q88" t="inlineStr">
        <is>
          <t>P4</t>
        </is>
      </c>
      <c r="R88" t="n">
        <v>96</v>
      </c>
      <c r="S88" s="5" t="inlineStr">
        <is>
          <t>Vous acceptez d'indemniser, de défendre et de dégager de toute responsabilité CodeSommet, ses dirigeants, administrateurs, employés et agents de toute réclamation, responsabilité, dommage, perte et dépense (y compris les</t>
        </is>
      </c>
    </row>
    <row r="89">
      <c r="A89" s="3" t="inlineStr">
        <is>
          <t>https://codesommet.com/legal/terms-of-service</t>
        </is>
      </c>
      <c r="B89" t="n">
        <v>13</v>
      </c>
      <c r="C89" t="inlineStr">
        <is>
          <t>Legal text</t>
        </is>
      </c>
      <c r="D89" s="5" t="inlineStr">
        <is>
          <t>Résiliation</t>
        </is>
      </c>
      <c r="E89" t="inlineStr">
        <is>
          <t>H2</t>
        </is>
      </c>
      <c r="F89" s="5" t="inlineStr">
        <is>
          <t>Compliance</t>
        </is>
      </c>
      <c r="G89" t="inlineStr">
        <is>
          <t>—</t>
        </is>
      </c>
      <c r="H89" t="inlineStr">
        <is>
          <t>NONE</t>
        </is>
      </c>
      <c r="I89" t="inlineStr">
        <is>
          <t>—</t>
        </is>
      </c>
      <c r="J89" t="inlineStr">
        <is>
          <t>—</t>
        </is>
      </c>
      <c r="K89" t="inlineStr">
        <is>
          <t>—</t>
        </is>
      </c>
      <c r="L89" t="inlineStr">
        <is>
          <t>—</t>
        </is>
      </c>
      <c r="M89" t="inlineStr">
        <is>
          <t>—</t>
        </is>
      </c>
      <c r="N89" t="inlineStr">
        <is>
          <t>n/a</t>
        </is>
      </c>
      <c r="O89" s="5" t="inlineStr">
        <is>
          <t>No keyword target (legal)</t>
        </is>
      </c>
      <c r="P89" s="5" t="inlineStr"/>
      <c r="Q89" t="inlineStr">
        <is>
          <t>P4</t>
        </is>
      </c>
      <c r="R89" t="n">
        <v>157</v>
      </c>
      <c r="S89" s="5" t="inlineStr">
        <is>
          <t>Résiliation par le client Services de forfait : Vous pouvez annuler avec un préavis écrit de 7 jours avant le prochain cycle de facturation. Pas de remboursement pour la période de facturation en cours. Projets ponctuels</t>
        </is>
      </c>
    </row>
    <row r="90">
      <c r="A90" s="3" t="inlineStr">
        <is>
          <t>https://codesommet.com/legal/terms-of-service</t>
        </is>
      </c>
      <c r="B90" t="n">
        <v>14</v>
      </c>
      <c r="C90" t="inlineStr">
        <is>
          <t>Legal text</t>
        </is>
      </c>
      <c r="D90" s="5" t="inlineStr">
        <is>
          <t>Confidentialité</t>
        </is>
      </c>
      <c r="E90" t="inlineStr">
        <is>
          <t>H2</t>
        </is>
      </c>
      <c r="F90" s="5" t="inlineStr">
        <is>
          <t>Compliance</t>
        </is>
      </c>
      <c r="G90" t="inlineStr">
        <is>
          <t>—</t>
        </is>
      </c>
      <c r="H90" t="inlineStr">
        <is>
          <t>NONE</t>
        </is>
      </c>
      <c r="I90" t="inlineStr">
        <is>
          <t>—</t>
        </is>
      </c>
      <c r="J90" t="inlineStr">
        <is>
          <t>—</t>
        </is>
      </c>
      <c r="K90" t="inlineStr">
        <is>
          <t>—</t>
        </is>
      </c>
      <c r="L90" t="inlineStr">
        <is>
          <t>—</t>
        </is>
      </c>
      <c r="M90" t="inlineStr">
        <is>
          <t>—</t>
        </is>
      </c>
      <c r="N90" t="inlineStr">
        <is>
          <t>n/a</t>
        </is>
      </c>
      <c r="O90" s="5" t="inlineStr">
        <is>
          <t>No keyword target (legal)</t>
        </is>
      </c>
      <c r="P90" s="5" t="inlineStr"/>
      <c r="Q90" t="inlineStr">
        <is>
          <t>P4</t>
        </is>
      </c>
      <c r="R90" t="n">
        <v>92</v>
      </c>
      <c r="S90" s="5" t="inlineStr">
        <is>
          <t>Les deux parties s'engagent à maintenir la confidentialité de toute information propriétaire ou sensible partagée au cours de l'engagement. Nos obligations de confidentialité Nous protégerons : Vos stratégies et plans co</t>
        </is>
      </c>
    </row>
    <row r="91">
      <c r="A91" s="3" t="inlineStr">
        <is>
          <t>https://codesommet.com/legal/terms-of-service</t>
        </is>
      </c>
      <c r="B91" t="n">
        <v>15</v>
      </c>
      <c r="C91" t="inlineStr">
        <is>
          <t>Legal text</t>
        </is>
      </c>
      <c r="D91" s="5" t="inlineStr">
        <is>
          <t>Résolution des litiges</t>
        </is>
      </c>
      <c r="E91" t="inlineStr">
        <is>
          <t>H2</t>
        </is>
      </c>
      <c r="F91" s="5" t="inlineStr">
        <is>
          <t>Compliance</t>
        </is>
      </c>
      <c r="G91" t="inlineStr">
        <is>
          <t>—</t>
        </is>
      </c>
      <c r="H91" t="inlineStr">
        <is>
          <t>NONE</t>
        </is>
      </c>
      <c r="I91" t="inlineStr">
        <is>
          <t>—</t>
        </is>
      </c>
      <c r="J91" t="inlineStr">
        <is>
          <t>—</t>
        </is>
      </c>
      <c r="K91" t="inlineStr">
        <is>
          <t>—</t>
        </is>
      </c>
      <c r="L91" t="inlineStr">
        <is>
          <t>—</t>
        </is>
      </c>
      <c r="M91" t="inlineStr">
        <is>
          <t>—</t>
        </is>
      </c>
      <c r="N91" t="inlineStr">
        <is>
          <t>n/a</t>
        </is>
      </c>
      <c r="O91" s="5" t="inlineStr">
        <is>
          <t>No keyword target (legal)</t>
        </is>
      </c>
      <c r="P91" s="5" t="inlineStr"/>
      <c r="Q91" t="inlineStr">
        <is>
          <t>P4</t>
        </is>
      </c>
      <c r="R91" t="n">
        <v>158</v>
      </c>
      <c r="S91" s="5" t="inlineStr">
        <is>
          <t>1. Résolution informelle Avant d'engager une procédure formelle, les deux parties s'engagent à tenter de résoudre les litiges par une négociation de bonne foi. Contactez-nous à codesommet@gmail.com avec vos préoccupation</t>
        </is>
      </c>
    </row>
    <row r="92">
      <c r="A92" s="3" t="inlineStr">
        <is>
          <t>https://codesommet.com/legal/terms-of-service</t>
        </is>
      </c>
      <c r="B92" t="n">
        <v>16</v>
      </c>
      <c r="C92" t="inlineStr">
        <is>
          <t>Legal text</t>
        </is>
      </c>
      <c r="D92" s="5" t="inlineStr">
        <is>
          <t>Droit applicable</t>
        </is>
      </c>
      <c r="E92" t="inlineStr">
        <is>
          <t>H2</t>
        </is>
      </c>
      <c r="F92" s="5" t="inlineStr">
        <is>
          <t>Compliance</t>
        </is>
      </c>
      <c r="G92" t="inlineStr">
        <is>
          <t>—</t>
        </is>
      </c>
      <c r="H92" t="inlineStr">
        <is>
          <t>NONE</t>
        </is>
      </c>
      <c r="I92" t="inlineStr">
        <is>
          <t>—</t>
        </is>
      </c>
      <c r="J92" t="inlineStr">
        <is>
          <t>—</t>
        </is>
      </c>
      <c r="K92" t="inlineStr">
        <is>
          <t>—</t>
        </is>
      </c>
      <c r="L92" t="inlineStr">
        <is>
          <t>—</t>
        </is>
      </c>
      <c r="M92" t="inlineStr">
        <is>
          <t>—</t>
        </is>
      </c>
      <c r="N92" t="inlineStr">
        <is>
          <t>n/a</t>
        </is>
      </c>
      <c r="O92" s="5" t="inlineStr">
        <is>
          <t>No keyword target (legal)</t>
        </is>
      </c>
      <c r="P92" s="5" t="inlineStr"/>
      <c r="Q92" t="inlineStr">
        <is>
          <t>P4</t>
        </is>
      </c>
      <c r="R92" t="n">
        <v>66</v>
      </c>
      <c r="S92" s="5" t="inlineStr">
        <is>
          <t>Ces Conditions seront régies et interprétées conformément aux lois du Maroc, sans tenir compte de ses dispositions en matière de conflit de lois. Pour les clients situés aux États-Unis, les lois fédérales et étatiques am</t>
        </is>
      </c>
    </row>
    <row r="93">
      <c r="A93" s="3" t="inlineStr">
        <is>
          <t>https://codesommet.com/legal/terms-of-service</t>
        </is>
      </c>
      <c r="B93" t="n">
        <v>17</v>
      </c>
      <c r="C93" t="inlineStr">
        <is>
          <t>Legal text</t>
        </is>
      </c>
      <c r="D93" s="5" t="inlineStr">
        <is>
          <t>Dispositions diverses</t>
        </is>
      </c>
      <c r="E93" t="inlineStr">
        <is>
          <t>H2</t>
        </is>
      </c>
      <c r="F93" s="5" t="inlineStr">
        <is>
          <t>Compliance</t>
        </is>
      </c>
      <c r="G93" t="inlineStr">
        <is>
          <t>—</t>
        </is>
      </c>
      <c r="H93" t="inlineStr">
        <is>
          <t>NONE</t>
        </is>
      </c>
      <c r="I93" t="inlineStr">
        <is>
          <t>—</t>
        </is>
      </c>
      <c r="J93" t="inlineStr">
        <is>
          <t>—</t>
        </is>
      </c>
      <c r="K93" t="inlineStr">
        <is>
          <t>—</t>
        </is>
      </c>
      <c r="L93" t="inlineStr">
        <is>
          <t>—</t>
        </is>
      </c>
      <c r="M93" t="inlineStr">
        <is>
          <t>—</t>
        </is>
      </c>
      <c r="N93" t="inlineStr">
        <is>
          <t>n/a</t>
        </is>
      </c>
      <c r="O93" s="5" t="inlineStr">
        <is>
          <t>No keyword target (legal)</t>
        </is>
      </c>
      <c r="P93" s="5" t="inlineStr"/>
      <c r="Q93" t="inlineStr">
        <is>
          <t>P4</t>
        </is>
      </c>
      <c r="R93" t="n">
        <v>210</v>
      </c>
      <c r="S93" s="5" t="inlineStr">
        <is>
          <t>Intégralité de l'accord Ces Conditions, ainsi que notre Politique de Confidentialité et tout accord de projet signé, constituent l'intégralité de l'accord entre vous et CodeSommet. Modifications Nous pouvons modifier ces</t>
        </is>
      </c>
    </row>
    <row r="94">
      <c r="A94" s="3" t="inlineStr">
        <is>
          <t>https://codesommet.com/legal/terms-of-service</t>
        </is>
      </c>
      <c r="B94" t="n">
        <v>18</v>
      </c>
      <c r="C94" t="inlineStr">
        <is>
          <t>Legal text</t>
        </is>
      </c>
      <c r="D94" s="5" t="inlineStr">
        <is>
          <t>Des questions sur ces conditions ?</t>
        </is>
      </c>
      <c r="E94" t="inlineStr">
        <is>
          <t>H2</t>
        </is>
      </c>
      <c r="F94" s="5" t="inlineStr">
        <is>
          <t>Compliance</t>
        </is>
      </c>
      <c r="G94" t="inlineStr">
        <is>
          <t>—</t>
        </is>
      </c>
      <c r="H94" t="inlineStr">
        <is>
          <t>NONE</t>
        </is>
      </c>
      <c r="I94" t="inlineStr">
        <is>
          <t>—</t>
        </is>
      </c>
      <c r="J94" t="inlineStr">
        <is>
          <t>—</t>
        </is>
      </c>
      <c r="K94" t="inlineStr">
        <is>
          <t>—</t>
        </is>
      </c>
      <c r="L94" t="inlineStr">
        <is>
          <t>—</t>
        </is>
      </c>
      <c r="M94" t="inlineStr">
        <is>
          <t>—</t>
        </is>
      </c>
      <c r="N94" t="inlineStr">
        <is>
          <t>n/a</t>
        </is>
      </c>
      <c r="O94" s="5" t="inlineStr">
        <is>
          <t>No keyword target (legal)</t>
        </is>
      </c>
      <c r="P94" s="5" t="inlineStr"/>
      <c r="Q94" t="inlineStr">
        <is>
          <t>P4</t>
        </is>
      </c>
      <c r="R94" t="n">
        <v>110</v>
      </c>
      <c r="S94" s="5" t="inlineStr">
        <is>
          <t xml:space="preserve">Si vous avez des questions ou des préoccupations concernant ces Conditions d'Utilisation, veuillez nous contacter : CodeSommet Agence Premium de Développement Web Email : codesommet@gmail.com Téléphone : +212 6 32 58 20 </t>
        </is>
      </c>
    </row>
    <row r="95">
      <c r="A95" s="3" t="inlineStr">
        <is>
          <t>https://codesommet.com/legal/refund-policy</t>
        </is>
      </c>
      <c r="B95" t="n">
        <v>1</v>
      </c>
      <c r="C95" t="inlineStr">
        <is>
          <t>Legal text</t>
        </is>
      </c>
      <c r="D95" s="5" t="inlineStr">
        <is>
          <t>Politique de Remboursement et d'Annulation</t>
        </is>
      </c>
      <c r="E95" t="inlineStr">
        <is>
          <t>H1</t>
        </is>
      </c>
      <c r="F95" s="5" t="inlineStr">
        <is>
          <t>Compliance</t>
        </is>
      </c>
      <c r="G95" t="inlineStr">
        <is>
          <t>—</t>
        </is>
      </c>
      <c r="H95" t="inlineStr">
        <is>
          <t>NONE</t>
        </is>
      </c>
      <c r="I95" t="inlineStr">
        <is>
          <t>—</t>
        </is>
      </c>
      <c r="J95" t="inlineStr">
        <is>
          <t>—</t>
        </is>
      </c>
      <c r="K95" t="inlineStr">
        <is>
          <t>—</t>
        </is>
      </c>
      <c r="L95" t="inlineStr">
        <is>
          <t>—</t>
        </is>
      </c>
      <c r="M95" t="inlineStr">
        <is>
          <t>—</t>
        </is>
      </c>
      <c r="N95" t="inlineStr">
        <is>
          <t>n/a</t>
        </is>
      </c>
      <c r="O95" s="5" t="inlineStr">
        <is>
          <t>No keyword target (legal)</t>
        </is>
      </c>
      <c r="P95" s="5" t="inlineStr"/>
      <c r="Q95" t="inlineStr">
        <is>
          <t>P4</t>
        </is>
      </c>
      <c r="R95" t="n">
        <v>23</v>
      </c>
      <c r="S95" s="5" t="inlineStr">
        <is>
          <t>Des conditions de remboursement claires et transparentes pour tous nos services. Votre satisfaction est notre priorité. Remboursements Forfait Remboursements Projet Demander un remboursement</t>
        </is>
      </c>
    </row>
    <row r="96">
      <c r="A96" s="3" t="inlineStr">
        <is>
          <t>https://codesommet.com/legal/refund-policy</t>
        </is>
      </c>
      <c r="B96" t="n">
        <v>2</v>
      </c>
      <c r="C96" t="inlineStr">
        <is>
          <t>Legal text</t>
        </is>
      </c>
      <c r="D96" s="5" t="inlineStr">
        <is>
          <t>Notre engagement d'équité</t>
        </is>
      </c>
      <c r="E96" t="inlineStr">
        <is>
          <t>H2</t>
        </is>
      </c>
      <c r="F96" s="5" t="inlineStr">
        <is>
          <t>Compliance</t>
        </is>
      </c>
      <c r="G96" t="inlineStr">
        <is>
          <t>—</t>
        </is>
      </c>
      <c r="H96" t="inlineStr">
        <is>
          <t>NONE</t>
        </is>
      </c>
      <c r="I96" t="inlineStr">
        <is>
          <t>—</t>
        </is>
      </c>
      <c r="J96" t="inlineStr">
        <is>
          <t>—</t>
        </is>
      </c>
      <c r="K96" t="inlineStr">
        <is>
          <t>—</t>
        </is>
      </c>
      <c r="L96" t="inlineStr">
        <is>
          <t>—</t>
        </is>
      </c>
      <c r="M96" t="inlineStr">
        <is>
          <t>—</t>
        </is>
      </c>
      <c r="N96" t="inlineStr">
        <is>
          <t>n/a</t>
        </is>
      </c>
      <c r="O96" s="5" t="inlineStr">
        <is>
          <t>No keyword target (legal)</t>
        </is>
      </c>
      <c r="P96" s="5" t="inlineStr"/>
      <c r="Q96" t="inlineStr">
        <is>
          <t>P4</t>
        </is>
      </c>
      <c r="R96" t="n">
        <v>119</v>
      </c>
      <c r="S96" s="5" t="inlineStr">
        <is>
          <t>Chez CodeSommet, nous garantissons la qualité de notre travail. Cette Politique de Remboursement et d'Annulation explique les conditions dans lesquelles les remboursements sont accordés pour nos services. Tous les paieme</t>
        </is>
      </c>
    </row>
    <row r="97">
      <c r="A97" s="3" t="inlineStr">
        <is>
          <t>https://codesommet.com/legal/refund-policy</t>
        </is>
      </c>
      <c r="B97" t="n">
        <v>3</v>
      </c>
      <c r="C97" t="inlineStr">
        <is>
          <t>Legal text</t>
        </is>
      </c>
      <c r="D97" s="5" t="inlineStr">
        <is>
          <t>Services de forfait mensuel</t>
        </is>
      </c>
      <c r="E97" t="inlineStr">
        <is>
          <t>H2</t>
        </is>
      </c>
      <c r="F97" s="5" t="inlineStr">
        <is>
          <t>Compliance</t>
        </is>
      </c>
      <c r="G97" t="inlineStr">
        <is>
          <t>—</t>
        </is>
      </c>
      <c r="H97" t="inlineStr">
        <is>
          <t>NONE</t>
        </is>
      </c>
      <c r="I97" t="inlineStr">
        <is>
          <t>—</t>
        </is>
      </c>
      <c r="J97" t="inlineStr">
        <is>
          <t>—</t>
        </is>
      </c>
      <c r="K97" t="inlineStr">
        <is>
          <t>—</t>
        </is>
      </c>
      <c r="L97" t="inlineStr">
        <is>
          <t>—</t>
        </is>
      </c>
      <c r="M97" t="inlineStr">
        <is>
          <t>—</t>
        </is>
      </c>
      <c r="N97" t="inlineStr">
        <is>
          <t>n/a</t>
        </is>
      </c>
      <c r="O97" s="5" t="inlineStr">
        <is>
          <t>No keyword target (legal)</t>
        </is>
      </c>
      <c r="P97" s="5" t="inlineStr"/>
      <c r="Q97" t="inlineStr">
        <is>
          <t>P4</t>
        </is>
      </c>
      <c r="R97" t="n">
        <v>325</v>
      </c>
      <c r="S97" s="5" t="inlineStr">
        <is>
          <t>Conditions d'annulation Délai de préavis : Vous pouvez annuler votre forfait à tout moment en fournissant un préavis écrit de 7 jours avant le prochain cycle de facturation. Méthode d'annulation : Envoyez votre demande d</t>
        </is>
      </c>
    </row>
    <row r="98">
      <c r="A98" s="3" t="inlineStr">
        <is>
          <t>https://codesommet.com/legal/refund-policy</t>
        </is>
      </c>
      <c r="B98" t="n">
        <v>4</v>
      </c>
      <c r="C98" t="inlineStr">
        <is>
          <t>Legal text</t>
        </is>
      </c>
      <c r="D98" s="5" t="inlineStr">
        <is>
          <t>Développement de site web (Projets ponctuels)</t>
        </is>
      </c>
      <c r="E98" t="inlineStr">
        <is>
          <t>H2</t>
        </is>
      </c>
      <c r="F98" s="5" t="inlineStr">
        <is>
          <t>Compliance</t>
        </is>
      </c>
      <c r="G98" t="inlineStr">
        <is>
          <t>—</t>
        </is>
      </c>
      <c r="H98" t="inlineStr">
        <is>
          <t>NONE</t>
        </is>
      </c>
      <c r="I98" t="inlineStr">
        <is>
          <t>—</t>
        </is>
      </c>
      <c r="J98" t="inlineStr">
        <is>
          <t>—</t>
        </is>
      </c>
      <c r="K98" t="inlineStr">
        <is>
          <t>—</t>
        </is>
      </c>
      <c r="L98" t="inlineStr">
        <is>
          <t>—</t>
        </is>
      </c>
      <c r="M98" t="inlineStr">
        <is>
          <t>—</t>
        </is>
      </c>
      <c r="N98" t="inlineStr">
        <is>
          <t>n/a</t>
        </is>
      </c>
      <c r="O98" s="5" t="inlineStr">
        <is>
          <t>No keyword target (legal)</t>
        </is>
      </c>
      <c r="P98" s="5" t="inlineStr"/>
      <c r="Q98" t="inlineStr">
        <is>
          <t>P4</t>
        </is>
      </c>
      <c r="R98" t="n">
        <v>476</v>
      </c>
      <c r="S98" s="5" t="inlineStr">
        <is>
          <t>Structure de paiement Acompte initial : Paiement initial (généralement 50%) requis pour commencer le travail tel que spécifié dans votre proposition Paiement final : Solde restant dû à l'achèvement du projet avant la liv</t>
        </is>
      </c>
    </row>
    <row r="99">
      <c r="A99" s="3" t="inlineStr">
        <is>
          <t>https://codesommet.com/legal/refund-policy</t>
        </is>
      </c>
      <c r="B99" t="n">
        <v>5</v>
      </c>
      <c r="C99" t="inlineStr">
        <is>
          <t>Legal text</t>
        </is>
      </c>
      <c r="D99" s="5" t="inlineStr">
        <is>
          <t>Frais et charges supplémentaires</t>
        </is>
      </c>
      <c r="E99" t="inlineStr">
        <is>
          <t>H2</t>
        </is>
      </c>
      <c r="F99" s="5" t="inlineStr">
        <is>
          <t>Compliance</t>
        </is>
      </c>
      <c r="G99" t="inlineStr">
        <is>
          <t>—</t>
        </is>
      </c>
      <c r="H99" t="inlineStr">
        <is>
          <t>NONE</t>
        </is>
      </c>
      <c r="I99" t="inlineStr">
        <is>
          <t>—</t>
        </is>
      </c>
      <c r="J99" t="inlineStr">
        <is>
          <t>—</t>
        </is>
      </c>
      <c r="K99" t="inlineStr">
        <is>
          <t>—</t>
        </is>
      </c>
      <c r="L99" t="inlineStr">
        <is>
          <t>—</t>
        </is>
      </c>
      <c r="M99" t="inlineStr">
        <is>
          <t>—</t>
        </is>
      </c>
      <c r="N99" t="inlineStr">
        <is>
          <t>n/a</t>
        </is>
      </c>
      <c r="O99" s="5" t="inlineStr">
        <is>
          <t>No keyword target (legal)</t>
        </is>
      </c>
      <c r="P99" s="5" t="inlineStr"/>
      <c r="Q99" t="inlineStr">
        <is>
          <t>P4</t>
        </is>
      </c>
      <c r="R99" t="n">
        <v>236</v>
      </c>
      <c r="S99" s="5" t="inlineStr">
        <is>
          <t>Services complémentaires Les services supplémentaires achetés séparément sont soumis à leurs propres conditions de remboursement : Pages et fonctionnalités supplémentaires : Remboursables si le travail n'a pas encore com</t>
        </is>
      </c>
    </row>
    <row r="100">
      <c r="A100" s="3" t="inlineStr">
        <is>
          <t>https://codesommet.com/legal/refund-policy</t>
        </is>
      </c>
      <c r="B100" t="n">
        <v>6</v>
      </c>
      <c r="C100" t="inlineStr">
        <is>
          <t>Legal text</t>
        </is>
      </c>
      <c r="D100" s="5" t="inlineStr">
        <is>
          <t>Comment demander un remboursement</t>
        </is>
      </c>
      <c r="E100" t="inlineStr">
        <is>
          <t>H2</t>
        </is>
      </c>
      <c r="F100" s="5" t="inlineStr">
        <is>
          <t>Compliance</t>
        </is>
      </c>
      <c r="G100" t="inlineStr">
        <is>
          <t>—</t>
        </is>
      </c>
      <c r="H100" t="inlineStr">
        <is>
          <t>NONE</t>
        </is>
      </c>
      <c r="I100" t="inlineStr">
        <is>
          <t>—</t>
        </is>
      </c>
      <c r="J100" t="inlineStr">
        <is>
          <t>—</t>
        </is>
      </c>
      <c r="K100" t="inlineStr">
        <is>
          <t>—</t>
        </is>
      </c>
      <c r="L100" t="inlineStr">
        <is>
          <t>—</t>
        </is>
      </c>
      <c r="M100" t="inlineStr">
        <is>
          <t>—</t>
        </is>
      </c>
      <c r="N100" t="inlineStr">
        <is>
          <t>n/a</t>
        </is>
      </c>
      <c r="O100" s="5" t="inlineStr">
        <is>
          <t>No keyword target (legal)</t>
        </is>
      </c>
      <c r="P100" s="5" t="inlineStr"/>
      <c r="Q100" t="inlineStr">
        <is>
          <t>P4</t>
        </is>
      </c>
      <c r="R100" t="n">
        <v>248</v>
      </c>
      <c r="S100" s="5" t="inlineStr">
        <is>
          <t>Processus de demande de remboursement Envoyez-nous un e-mail : Envoyez une demande de remboursement à codesommet@gmail.com Objet : Utilisez "Demande de remboursement - [Votre nom/Entreprise]" Incluez les informations : N</t>
        </is>
      </c>
    </row>
    <row r="101">
      <c r="A101" s="3" t="inlineStr">
        <is>
          <t>https://codesommet.com/legal/refund-policy</t>
        </is>
      </c>
      <c r="B101" t="n">
        <v>7</v>
      </c>
      <c r="C101" t="inlineStr">
        <is>
          <t>Legal text</t>
        </is>
      </c>
      <c r="D101" s="5" t="inlineStr">
        <is>
          <t>Circonstances particulières</t>
        </is>
      </c>
      <c r="E101" t="inlineStr">
        <is>
          <t>H2</t>
        </is>
      </c>
      <c r="F101" s="5" t="inlineStr">
        <is>
          <t>Compliance</t>
        </is>
      </c>
      <c r="G101" t="inlineStr">
        <is>
          <t>—</t>
        </is>
      </c>
      <c r="H101" t="inlineStr">
        <is>
          <t>NONE</t>
        </is>
      </c>
      <c r="I101" t="inlineStr">
        <is>
          <t>—</t>
        </is>
      </c>
      <c r="J101" t="inlineStr">
        <is>
          <t>—</t>
        </is>
      </c>
      <c r="K101" t="inlineStr">
        <is>
          <t>—</t>
        </is>
      </c>
      <c r="L101" t="inlineStr">
        <is>
          <t>—</t>
        </is>
      </c>
      <c r="M101" t="inlineStr">
        <is>
          <t>—</t>
        </is>
      </c>
      <c r="N101" t="inlineStr">
        <is>
          <t>n/a</t>
        </is>
      </c>
      <c r="O101" s="5" t="inlineStr">
        <is>
          <t>No keyword target (legal)</t>
        </is>
      </c>
      <c r="P101" s="5" t="inlineStr"/>
      <c r="Q101" t="inlineStr">
        <is>
          <t>P4</t>
        </is>
      </c>
      <c r="R101" t="n">
        <v>211</v>
      </c>
      <c r="S101" s="5" t="inlineStr">
        <is>
          <t>Situations d'urgence Nous comprenons que les circonstances de la vie peuvent changer. Dans les cas de : Urgences médicales Fermeture d'entreprise ou faillite Catastrophes naturelles ou événements de force majeure Décès d</t>
        </is>
      </c>
    </row>
    <row r="102">
      <c r="A102" s="3" t="inlineStr">
        <is>
          <t>https://codesommet.com/legal/refund-policy</t>
        </is>
      </c>
      <c r="B102" t="n">
        <v>8</v>
      </c>
      <c r="C102" t="inlineStr">
        <is>
          <t>Legal text</t>
        </is>
      </c>
      <c r="D102" s="5" t="inlineStr">
        <is>
          <t>Des questions sur les remboursements ?</t>
        </is>
      </c>
      <c r="E102" t="inlineStr">
        <is>
          <t>H2</t>
        </is>
      </c>
      <c r="F102" s="5" t="inlineStr">
        <is>
          <t>Compliance</t>
        </is>
      </c>
      <c r="G102" t="inlineStr">
        <is>
          <t>—</t>
        </is>
      </c>
      <c r="H102" t="inlineStr">
        <is>
          <t>NONE</t>
        </is>
      </c>
      <c r="I102" t="inlineStr">
        <is>
          <t>—</t>
        </is>
      </c>
      <c r="J102" t="inlineStr">
        <is>
          <t>—</t>
        </is>
      </c>
      <c r="K102" t="inlineStr">
        <is>
          <t>—</t>
        </is>
      </c>
      <c r="L102" t="inlineStr">
        <is>
          <t>—</t>
        </is>
      </c>
      <c r="M102" t="inlineStr">
        <is>
          <t>—</t>
        </is>
      </c>
      <c r="N102" t="inlineStr">
        <is>
          <t>n/a</t>
        </is>
      </c>
      <c r="O102" s="5" t="inlineStr">
        <is>
          <t>No keyword target (legal)</t>
        </is>
      </c>
      <c r="P102" s="5" t="inlineStr"/>
      <c r="Q102" t="inlineStr">
        <is>
          <t>P4</t>
        </is>
      </c>
      <c r="R102" t="n">
        <v>111</v>
      </c>
      <c r="S102" s="5" t="inlineStr">
        <is>
          <t>Si vous avez des questions sur notre politique de remboursement, avez besoin de demander un remboursement ou souhaitez discuter de votre situation spécifique, veuillez nous contacter : CodeSommet Agence Premium de Dévelo</t>
        </is>
      </c>
    </row>
    <row r="103">
      <c r="A103" s="3" t="inlineStr">
        <is>
          <t>https://codesommet.com/legal/refund-policy</t>
        </is>
      </c>
      <c r="B103" t="n">
        <v>9</v>
      </c>
      <c r="C103" t="inlineStr">
        <is>
          <t>Legal text</t>
        </is>
      </c>
      <c r="D103" s="5" t="inlineStr">
        <is>
          <t>Mentions légales importantes</t>
        </is>
      </c>
      <c r="E103" t="inlineStr">
        <is>
          <t>H2</t>
        </is>
      </c>
      <c r="F103" s="5" t="inlineStr">
        <is>
          <t>Compliance</t>
        </is>
      </c>
      <c r="G103" t="inlineStr">
        <is>
          <t>—</t>
        </is>
      </c>
      <c r="H103" t="inlineStr">
        <is>
          <t>NONE</t>
        </is>
      </c>
      <c r="I103" t="inlineStr">
        <is>
          <t>—</t>
        </is>
      </c>
      <c r="J103" t="inlineStr">
        <is>
          <t>—</t>
        </is>
      </c>
      <c r="K103" t="inlineStr">
        <is>
          <t>—</t>
        </is>
      </c>
      <c r="L103" t="inlineStr">
        <is>
          <t>—</t>
        </is>
      </c>
      <c r="M103" t="inlineStr">
        <is>
          <t>—</t>
        </is>
      </c>
      <c r="N103" t="inlineStr">
        <is>
          <t>n/a</t>
        </is>
      </c>
      <c r="O103" s="5" t="inlineStr">
        <is>
          <t>No keyword target (legal)</t>
        </is>
      </c>
      <c r="P103" s="5" t="inlineStr"/>
      <c r="Q103" t="inlineStr">
        <is>
          <t>P4</t>
        </is>
      </c>
      <c r="R103" t="n">
        <v>144</v>
      </c>
      <c r="S103" s="5" t="inlineStr">
        <is>
          <t>Modifications de la politique : Nous nous réservons le droit de modifier cette Politique de Remboursement à tout moment. Les modifications seront publiées sur cette page avec une date de "Dernière mise à jour" actualisée</t>
        </is>
      </c>
    </row>
    <row r="104">
      <c r="A104" s="3" t="inlineStr">
        <is>
          <t>https://codesommet.com/legal/cookie-policy</t>
        </is>
      </c>
      <c r="B104" t="n">
        <v>1</v>
      </c>
      <c r="C104" t="inlineStr">
        <is>
          <t>Legal text</t>
        </is>
      </c>
      <c r="D104" s="5" t="inlineStr">
        <is>
          <t>Politique de Cookies</t>
        </is>
      </c>
      <c r="E104" t="inlineStr">
        <is>
          <t>H1</t>
        </is>
      </c>
      <c r="F104" s="5" t="inlineStr">
        <is>
          <t>Compliance</t>
        </is>
      </c>
      <c r="G104" t="inlineStr">
        <is>
          <t>—</t>
        </is>
      </c>
      <c r="H104" t="inlineStr">
        <is>
          <t>NONE</t>
        </is>
      </c>
      <c r="I104" t="inlineStr">
        <is>
          <t>—</t>
        </is>
      </c>
      <c r="J104" t="inlineStr">
        <is>
          <t>—</t>
        </is>
      </c>
      <c r="K104" t="inlineStr">
        <is>
          <t>—</t>
        </is>
      </c>
      <c r="L104" t="inlineStr">
        <is>
          <t>—</t>
        </is>
      </c>
      <c r="M104" t="inlineStr">
        <is>
          <t>—</t>
        </is>
      </c>
      <c r="N104" t="inlineStr">
        <is>
          <t>n/a</t>
        </is>
      </c>
      <c r="O104" s="5" t="inlineStr">
        <is>
          <t>No keyword target (legal)</t>
        </is>
      </c>
      <c r="P104" s="5" t="inlineStr"/>
      <c r="Q104" t="inlineStr">
        <is>
          <t>P4</t>
        </is>
      </c>
      <c r="R104" t="n">
        <v>26</v>
      </c>
      <c r="S104" s="5" t="inlineStr">
        <is>
          <t>Découvrez comment nous utilisons les cookies et les technologies similaires pour améliorer votre expérience de navigation. Que sont les cookies Types de cookies Gérer les cookies</t>
        </is>
      </c>
    </row>
    <row r="105">
      <c r="A105" s="3" t="inlineStr">
        <is>
          <t>https://codesommet.com/legal/cookie-policy</t>
        </is>
      </c>
      <c r="B105" t="n">
        <v>2</v>
      </c>
      <c r="C105" t="inlineStr">
        <is>
          <t>Legal text</t>
        </is>
      </c>
      <c r="D105" s="5" t="inlineStr">
        <is>
          <t>Introduction</t>
        </is>
      </c>
      <c r="E105" t="inlineStr">
        <is>
          <t>H2</t>
        </is>
      </c>
      <c r="F105" s="5" t="inlineStr">
        <is>
          <t>Compliance</t>
        </is>
      </c>
      <c r="G105" t="inlineStr">
        <is>
          <t>—</t>
        </is>
      </c>
      <c r="H105" t="inlineStr">
        <is>
          <t>NONE</t>
        </is>
      </c>
      <c r="I105" t="inlineStr">
        <is>
          <t>—</t>
        </is>
      </c>
      <c r="J105" t="inlineStr">
        <is>
          <t>—</t>
        </is>
      </c>
      <c r="K105" t="inlineStr">
        <is>
          <t>—</t>
        </is>
      </c>
      <c r="L105" t="inlineStr">
        <is>
          <t>—</t>
        </is>
      </c>
      <c r="M105" t="inlineStr">
        <is>
          <t>—</t>
        </is>
      </c>
      <c r="N105" t="inlineStr">
        <is>
          <t>n/a</t>
        </is>
      </c>
      <c r="O105" s="5" t="inlineStr">
        <is>
          <t>No keyword target (legal)</t>
        </is>
      </c>
      <c r="P105" s="5" t="inlineStr"/>
      <c r="Q105" t="inlineStr">
        <is>
          <t>P4</t>
        </is>
      </c>
      <c r="R105" t="n">
        <v>86</v>
      </c>
      <c r="S105" s="5" t="inlineStr">
        <is>
          <t>Cette Politique de Cookies explique comment CodeSommet ("nous", "notre") utilise les cookies et les technologies de suivi similaires sur notre site web codesommet.com . En utilisant notre site web, vous consentez à notre</t>
        </is>
      </c>
    </row>
    <row r="106">
      <c r="A106" s="3" t="inlineStr">
        <is>
          <t>https://codesommet.com/legal/cookie-policy</t>
        </is>
      </c>
      <c r="B106" t="n">
        <v>3</v>
      </c>
      <c r="C106" t="inlineStr">
        <is>
          <t>Legal text</t>
        </is>
      </c>
      <c r="D106" s="5" t="inlineStr">
        <is>
          <t>Que sont les cookies ?</t>
        </is>
      </c>
      <c r="E106" t="inlineStr">
        <is>
          <t>H2</t>
        </is>
      </c>
      <c r="F106" s="5" t="inlineStr">
        <is>
          <t>Compliance</t>
        </is>
      </c>
      <c r="G106" t="inlineStr">
        <is>
          <t>—</t>
        </is>
      </c>
      <c r="H106" t="inlineStr">
        <is>
          <t>NONE</t>
        </is>
      </c>
      <c r="I106" t="inlineStr">
        <is>
          <t>—</t>
        </is>
      </c>
      <c r="J106" t="inlineStr">
        <is>
          <t>—</t>
        </is>
      </c>
      <c r="K106" t="inlineStr">
        <is>
          <t>—</t>
        </is>
      </c>
      <c r="L106" t="inlineStr">
        <is>
          <t>—</t>
        </is>
      </c>
      <c r="M106" t="inlineStr">
        <is>
          <t>—</t>
        </is>
      </c>
      <c r="N106" t="inlineStr">
        <is>
          <t>n/a</t>
        </is>
      </c>
      <c r="O106" s="5" t="inlineStr">
        <is>
          <t>No keyword target (legal)</t>
        </is>
      </c>
      <c r="P106" s="5" t="inlineStr"/>
      <c r="Q106" t="inlineStr">
        <is>
          <t>P4</t>
        </is>
      </c>
      <c r="R106" t="n">
        <v>133</v>
      </c>
      <c r="S106" s="5" t="inlineStr">
        <is>
          <t>Les cookies sont de petits fichiers texte qui sont placés sur votre appareil (ordinateur, smartphone, tablette) lorsque vous visitez un site web. Ils sont largement utilisés pour faire fonctionner les sites web plus effi</t>
        </is>
      </c>
    </row>
    <row r="107">
      <c r="A107" s="3" t="inlineStr">
        <is>
          <t>https://codesommet.com/legal/cookie-policy</t>
        </is>
      </c>
      <c r="B107" t="n">
        <v>4</v>
      </c>
      <c r="C107" t="inlineStr">
        <is>
          <t>Legal text</t>
        </is>
      </c>
      <c r="D107" s="5" t="inlineStr">
        <is>
          <t>Types de cookies que nous utilisons</t>
        </is>
      </c>
      <c r="E107" t="inlineStr">
        <is>
          <t>H2</t>
        </is>
      </c>
      <c r="F107" s="5" t="inlineStr">
        <is>
          <t>Compliance</t>
        </is>
      </c>
      <c r="G107" t="inlineStr">
        <is>
          <t>—</t>
        </is>
      </c>
      <c r="H107" t="inlineStr">
        <is>
          <t>NONE</t>
        </is>
      </c>
      <c r="I107" t="inlineStr">
        <is>
          <t>—</t>
        </is>
      </c>
      <c r="J107" t="inlineStr">
        <is>
          <t>—</t>
        </is>
      </c>
      <c r="K107" t="inlineStr">
        <is>
          <t>—</t>
        </is>
      </c>
      <c r="L107" t="inlineStr">
        <is>
          <t>—</t>
        </is>
      </c>
      <c r="M107" t="inlineStr">
        <is>
          <t>—</t>
        </is>
      </c>
      <c r="N107" t="inlineStr">
        <is>
          <t>n/a</t>
        </is>
      </c>
      <c r="O107" s="5" t="inlineStr">
        <is>
          <t>No keyword target (legal)</t>
        </is>
      </c>
      <c r="P107" s="5" t="inlineStr"/>
      <c r="Q107" t="inlineStr">
        <is>
          <t>P4</t>
        </is>
      </c>
      <c r="R107" t="n">
        <v>249</v>
      </c>
      <c r="S107" s="5" t="inlineStr">
        <is>
          <t>1. Cookies essentiels (strictement nécessaires) Objectif : Ces cookies sont nécessaires au bon fonctionnement de notre site web. Exemples : Cookies d'authentification pour mémoriser votre connexion Cookies de sécurité po</t>
        </is>
      </c>
    </row>
    <row r="108">
      <c r="A108" s="3" t="inlineStr">
        <is>
          <t>https://codesommet.com/legal/cookie-policy</t>
        </is>
      </c>
      <c r="B108" t="n">
        <v>5</v>
      </c>
      <c r="C108" t="inlineStr">
        <is>
          <t>Legal text</t>
        </is>
      </c>
      <c r="D108" s="5" t="inlineStr">
        <is>
          <t>Cookies tiers</t>
        </is>
      </c>
      <c r="E108" t="inlineStr">
        <is>
          <t>H2</t>
        </is>
      </c>
      <c r="F108" s="5" t="inlineStr">
        <is>
          <t>Compliance</t>
        </is>
      </c>
      <c r="G108" t="inlineStr">
        <is>
          <t>—</t>
        </is>
      </c>
      <c r="H108" t="inlineStr">
        <is>
          <t>NONE</t>
        </is>
      </c>
      <c r="I108" t="inlineStr">
        <is>
          <t>—</t>
        </is>
      </c>
      <c r="J108" t="inlineStr">
        <is>
          <t>—</t>
        </is>
      </c>
      <c r="K108" t="inlineStr">
        <is>
          <t>—</t>
        </is>
      </c>
      <c r="L108" t="inlineStr">
        <is>
          <t>—</t>
        </is>
      </c>
      <c r="M108" t="inlineStr">
        <is>
          <t>—</t>
        </is>
      </c>
      <c r="N108" t="inlineStr">
        <is>
          <t>n/a</t>
        </is>
      </c>
      <c r="O108" s="5" t="inlineStr">
        <is>
          <t>No keyword target (legal)</t>
        </is>
      </c>
      <c r="P108" s="5" t="inlineStr"/>
      <c r="Q108" t="inlineStr">
        <is>
          <t>P4</t>
        </is>
      </c>
      <c r="R108" t="n">
        <v>120</v>
      </c>
      <c r="S108" s="5" t="inlineStr">
        <is>
          <t>Nous utilisons des services tiers qui peuvent placer leurs propres cookies sur votre appareil : Google Analytics 4 Objectif : Analyse du site web et analyse du trafic Données collectées : Statistiques d'utilisation anony</t>
        </is>
      </c>
    </row>
    <row r="109">
      <c r="A109" s="3" t="inlineStr">
        <is>
          <t>https://codesommet.com/legal/cookie-policy</t>
        </is>
      </c>
      <c r="B109" t="n">
        <v>6</v>
      </c>
      <c r="C109" t="inlineStr">
        <is>
          <t>Legal text</t>
        </is>
      </c>
      <c r="D109" s="5" t="inlineStr">
        <is>
          <t>Comment contrôler et supprimer les cookies</t>
        </is>
      </c>
      <c r="E109" t="inlineStr">
        <is>
          <t>H2</t>
        </is>
      </c>
      <c r="F109" s="5" t="inlineStr">
        <is>
          <t>Compliance</t>
        </is>
      </c>
      <c r="G109" t="inlineStr">
        <is>
          <t>—</t>
        </is>
      </c>
      <c r="H109" t="inlineStr">
        <is>
          <t>NONE</t>
        </is>
      </c>
      <c r="I109" t="inlineStr">
        <is>
          <t>—</t>
        </is>
      </c>
      <c r="J109" t="inlineStr">
        <is>
          <t>—</t>
        </is>
      </c>
      <c r="K109" t="inlineStr">
        <is>
          <t>—</t>
        </is>
      </c>
      <c r="L109" t="inlineStr">
        <is>
          <t>—</t>
        </is>
      </c>
      <c r="M109" t="inlineStr">
        <is>
          <t>—</t>
        </is>
      </c>
      <c r="N109" t="inlineStr">
        <is>
          <t>n/a</t>
        </is>
      </c>
      <c r="O109" s="5" t="inlineStr">
        <is>
          <t>No keyword target (legal)</t>
        </is>
      </c>
      <c r="P109" s="5" t="inlineStr"/>
      <c r="Q109" t="inlineStr">
        <is>
          <t>P4</t>
        </is>
      </c>
      <c r="R109" t="n">
        <v>137</v>
      </c>
      <c r="S109" s="5" t="inlineStr">
        <is>
          <t>Paramètres du navigateur La plupart des navigateurs web vous permettent de gérer les cookies via leurs paramètres. Vous pouvez : Bloquer tous les cookies Accepter uniquement les cookies propriétaires Supprimer les cookie</t>
        </is>
      </c>
    </row>
    <row r="110">
      <c r="A110" s="3" t="inlineStr">
        <is>
          <t>https://codesommet.com/legal/cookie-policy</t>
        </is>
      </c>
      <c r="B110" t="n">
        <v>7</v>
      </c>
      <c r="C110" t="inlineStr">
        <is>
          <t>Legal text</t>
        </is>
      </c>
      <c r="D110" s="5" t="inlineStr">
        <is>
          <t>Vos choix de consentement aux cookies</t>
        </is>
      </c>
      <c r="E110" t="inlineStr">
        <is>
          <t>H2</t>
        </is>
      </c>
      <c r="F110" s="5" t="inlineStr">
        <is>
          <t>Compliance</t>
        </is>
      </c>
      <c r="G110" t="inlineStr">
        <is>
          <t>—</t>
        </is>
      </c>
      <c r="H110" t="inlineStr">
        <is>
          <t>NONE</t>
        </is>
      </c>
      <c r="I110" t="inlineStr">
        <is>
          <t>—</t>
        </is>
      </c>
      <c r="J110" t="inlineStr">
        <is>
          <t>—</t>
        </is>
      </c>
      <c r="K110" t="inlineStr">
        <is>
          <t>—</t>
        </is>
      </c>
      <c r="L110" t="inlineStr">
        <is>
          <t>—</t>
        </is>
      </c>
      <c r="M110" t="inlineStr">
        <is>
          <t>—</t>
        </is>
      </c>
      <c r="N110" t="inlineStr">
        <is>
          <t>n/a</t>
        </is>
      </c>
      <c r="O110" s="5" t="inlineStr">
        <is>
          <t>No keyword target (legal)</t>
        </is>
      </c>
      <c r="P110" s="5" t="inlineStr"/>
      <c r="Q110" t="inlineStr">
        <is>
          <t>P4</t>
        </is>
      </c>
      <c r="R110" t="n">
        <v>107</v>
      </c>
      <c r="S110" s="5" t="inlineStr">
        <is>
          <t>Lors de votre première visite sur notre site web, vous verrez une bannière de consentement aux cookies qui vous permet de : Accepter tous les cookies : Autoriser tous les cookies, y compris ceux d'analyse et de marketing</t>
        </is>
      </c>
    </row>
    <row r="111">
      <c r="A111" s="3" t="inlineStr">
        <is>
          <t>https://codesommet.com/legal/cookie-policy</t>
        </is>
      </c>
      <c r="B111" t="n">
        <v>8</v>
      </c>
      <c r="C111" t="inlineStr">
        <is>
          <t>Legal text</t>
        </is>
      </c>
      <c r="D111" s="5" t="inlineStr">
        <is>
          <t>Do Not Track (DNT)</t>
        </is>
      </c>
      <c r="E111" t="inlineStr">
        <is>
          <t>H2</t>
        </is>
      </c>
      <c r="F111" s="5" t="inlineStr">
        <is>
          <t>Compliance</t>
        </is>
      </c>
      <c r="G111" t="inlineStr">
        <is>
          <t>—</t>
        </is>
      </c>
      <c r="H111" t="inlineStr">
        <is>
          <t>NONE</t>
        </is>
      </c>
      <c r="I111" t="inlineStr">
        <is>
          <t>—</t>
        </is>
      </c>
      <c r="J111" t="inlineStr">
        <is>
          <t>—</t>
        </is>
      </c>
      <c r="K111" t="inlineStr">
        <is>
          <t>—</t>
        </is>
      </c>
      <c r="L111" t="inlineStr">
        <is>
          <t>—</t>
        </is>
      </c>
      <c r="M111" t="inlineStr">
        <is>
          <t>—</t>
        </is>
      </c>
      <c r="N111" t="inlineStr">
        <is>
          <t>n/a</t>
        </is>
      </c>
      <c r="O111" s="5" t="inlineStr">
        <is>
          <t>No keyword target (legal)</t>
        </is>
      </c>
      <c r="P111" s="5" t="inlineStr"/>
      <c r="Q111" t="inlineStr">
        <is>
          <t>P4</t>
        </is>
      </c>
      <c r="R111" t="n">
        <v>75</v>
      </c>
      <c r="S111" s="5" t="inlineStr">
        <is>
          <t>Certains navigateurs incluent une fonctionnalité "Do Not Track" (DNT) qui signale aux sites web que vous ne souhaitez pas que votre activité en ligne soit suivie. Actuellement, il n'existe pas de norme universelle pour r</t>
        </is>
      </c>
    </row>
    <row r="112">
      <c r="A112" s="3" t="inlineStr">
        <is>
          <t>https://codesommet.com/legal/cookie-policy</t>
        </is>
      </c>
      <c r="B112" t="n">
        <v>9</v>
      </c>
      <c r="C112" t="inlineStr">
        <is>
          <t>Legal text</t>
        </is>
      </c>
      <c r="D112" s="5" t="inlineStr">
        <is>
          <t>Mises à jour de cette politique de cookies</t>
        </is>
      </c>
      <c r="E112" t="inlineStr">
        <is>
          <t>H2</t>
        </is>
      </c>
      <c r="F112" s="5" t="inlineStr">
        <is>
          <t>Compliance</t>
        </is>
      </c>
      <c r="G112" t="inlineStr">
        <is>
          <t>—</t>
        </is>
      </c>
      <c r="H112" t="inlineStr">
        <is>
          <t>NONE</t>
        </is>
      </c>
      <c r="I112" t="inlineStr">
        <is>
          <t>—</t>
        </is>
      </c>
      <c r="J112" t="inlineStr">
        <is>
          <t>—</t>
        </is>
      </c>
      <c r="K112" t="inlineStr">
        <is>
          <t>—</t>
        </is>
      </c>
      <c r="L112" t="inlineStr">
        <is>
          <t>—</t>
        </is>
      </c>
      <c r="M112" t="inlineStr">
        <is>
          <t>—</t>
        </is>
      </c>
      <c r="N112" t="inlineStr">
        <is>
          <t>n/a</t>
        </is>
      </c>
      <c r="O112" s="5" t="inlineStr">
        <is>
          <t>No keyword target (legal)</t>
        </is>
      </c>
      <c r="P112" s="5" t="inlineStr"/>
      <c r="Q112" t="inlineStr">
        <is>
          <t>P4</t>
        </is>
      </c>
      <c r="R112" t="n">
        <v>99</v>
      </c>
      <c r="S112" s="5" t="inlineStr">
        <is>
          <t>Nous pouvons mettre à jour cette Politique de Cookies de temps à autre pour refléter les changements dans nos pratiques, la technologie, les exigences légales ou pour d'autres raisons opérationnelles. La date de "Dernièr</t>
        </is>
      </c>
    </row>
    <row r="113">
      <c r="A113" s="3" t="inlineStr">
        <is>
          <t>https://codesommet.com/legal/cookie-policy</t>
        </is>
      </c>
      <c r="B113" t="n">
        <v>10</v>
      </c>
      <c r="C113" t="inlineStr">
        <is>
          <t>Legal text</t>
        </is>
      </c>
      <c r="D113" s="5" t="inlineStr">
        <is>
          <t>Des questions sur les cookies ?</t>
        </is>
      </c>
      <c r="E113" t="inlineStr">
        <is>
          <t>H2</t>
        </is>
      </c>
      <c r="F113" s="5" t="inlineStr">
        <is>
          <t>Compliance</t>
        </is>
      </c>
      <c r="G113" t="inlineStr">
        <is>
          <t>—</t>
        </is>
      </c>
      <c r="H113" t="inlineStr">
        <is>
          <t>NONE</t>
        </is>
      </c>
      <c r="I113" t="inlineStr">
        <is>
          <t>—</t>
        </is>
      </c>
      <c r="J113" t="inlineStr">
        <is>
          <t>—</t>
        </is>
      </c>
      <c r="K113" t="inlineStr">
        <is>
          <t>—</t>
        </is>
      </c>
      <c r="L113" t="inlineStr">
        <is>
          <t>—</t>
        </is>
      </c>
      <c r="M113" t="inlineStr">
        <is>
          <t>—</t>
        </is>
      </c>
      <c r="N113" t="inlineStr">
        <is>
          <t>n/a</t>
        </is>
      </c>
      <c r="O113" s="5" t="inlineStr">
        <is>
          <t>No keyword target (legal)</t>
        </is>
      </c>
      <c r="P113" s="5" t="inlineStr"/>
      <c r="Q113" t="inlineStr">
        <is>
          <t>P4</t>
        </is>
      </c>
      <c r="R113" t="n">
        <v>76</v>
      </c>
      <c r="S113" s="5" t="inlineStr">
        <is>
          <t>Si vous avez des questions ou des préoccupations concernant notre utilisation des cookies, veuillez nous contacter : CodeSommet Agence Premium de Développement Web Email : codesommet@gmail.com Téléphone : +212 6 32 58 20</t>
        </is>
      </c>
    </row>
    <row r="114">
      <c r="A114" s="3" t="inlineStr">
        <is>
          <t>https://codesommet.com/legal/acceptable-use</t>
        </is>
      </c>
      <c r="B114" t="n">
        <v>1</v>
      </c>
      <c r="C114" t="inlineStr">
        <is>
          <t>Legal text</t>
        </is>
      </c>
      <c r="D114" s="5" t="inlineStr">
        <is>
          <t>Politique d'Utilisation Acceptable</t>
        </is>
      </c>
      <c r="E114" t="inlineStr">
        <is>
          <t>H1</t>
        </is>
      </c>
      <c r="F114" s="5" t="inlineStr">
        <is>
          <t>Compliance</t>
        </is>
      </c>
      <c r="G114" t="inlineStr">
        <is>
          <t>—</t>
        </is>
      </c>
      <c r="H114" t="inlineStr">
        <is>
          <t>NONE</t>
        </is>
      </c>
      <c r="I114" t="inlineStr">
        <is>
          <t>—</t>
        </is>
      </c>
      <c r="J114" t="inlineStr">
        <is>
          <t>—</t>
        </is>
      </c>
      <c r="K114" t="inlineStr">
        <is>
          <t>—</t>
        </is>
      </c>
      <c r="L114" t="inlineStr">
        <is>
          <t>—</t>
        </is>
      </c>
      <c r="M114" t="inlineStr">
        <is>
          <t>—</t>
        </is>
      </c>
      <c r="N114" t="inlineStr">
        <is>
          <t>n/a</t>
        </is>
      </c>
      <c r="O114" s="5" t="inlineStr">
        <is>
          <t>No keyword target (legal)</t>
        </is>
      </c>
      <c r="P114" s="5" t="inlineStr"/>
      <c r="Q114" t="inlineStr">
        <is>
          <t>P4</t>
        </is>
      </c>
      <c r="R114" t="n">
        <v>20</v>
      </c>
      <c r="S114" s="5" t="inlineStr">
        <is>
          <t>Directives pour une utilisation responsable et légale des services et de la plateforme de CodeSommet. Utilisations autorisées Utilisations interdites Violations</t>
        </is>
      </c>
    </row>
    <row r="115">
      <c r="A115" s="3" t="inlineStr">
        <is>
          <t>https://codesommet.com/legal/acceptable-use</t>
        </is>
      </c>
      <c r="B115" t="n">
        <v>2</v>
      </c>
      <c r="C115" t="inlineStr">
        <is>
          <t>Legal text</t>
        </is>
      </c>
      <c r="D115" s="5" t="inlineStr">
        <is>
          <t>Introduction</t>
        </is>
      </c>
      <c r="E115" t="inlineStr">
        <is>
          <t>H2</t>
        </is>
      </c>
      <c r="F115" s="5" t="inlineStr">
        <is>
          <t>Compliance</t>
        </is>
      </c>
      <c r="G115" t="inlineStr">
        <is>
          <t>—</t>
        </is>
      </c>
      <c r="H115" t="inlineStr">
        <is>
          <t>NONE</t>
        </is>
      </c>
      <c r="I115" t="inlineStr">
        <is>
          <t>—</t>
        </is>
      </c>
      <c r="J115" t="inlineStr">
        <is>
          <t>—</t>
        </is>
      </c>
      <c r="K115" t="inlineStr">
        <is>
          <t>—</t>
        </is>
      </c>
      <c r="L115" t="inlineStr">
        <is>
          <t>—</t>
        </is>
      </c>
      <c r="M115" t="inlineStr">
        <is>
          <t>—</t>
        </is>
      </c>
      <c r="N115" t="inlineStr">
        <is>
          <t>n/a</t>
        </is>
      </c>
      <c r="O115" s="5" t="inlineStr">
        <is>
          <t>No keyword target (legal)</t>
        </is>
      </c>
      <c r="P115" s="5" t="inlineStr"/>
      <c r="Q115" t="inlineStr">
        <is>
          <t>P4</t>
        </is>
      </c>
      <c r="R115" t="n">
        <v>97</v>
      </c>
      <c r="S115" s="5" t="inlineStr">
        <is>
          <t>Cette Politique d'Utilisation Acceptable ("PUA") régit votre utilisation du site web, des services et de la plateforme de CodeSommet. Cette politique est conçue pour protéger nos utilisateurs, notre entreprise et la comm</t>
        </is>
      </c>
    </row>
    <row r="116">
      <c r="A116" s="3" t="inlineStr">
        <is>
          <t>https://codesommet.com/legal/acceptable-use</t>
        </is>
      </c>
      <c r="B116" t="n">
        <v>3</v>
      </c>
      <c r="C116" t="inlineStr">
        <is>
          <t>Legal text</t>
        </is>
      </c>
      <c r="D116" s="5" t="inlineStr">
        <is>
          <t>Utilisations autorisées</t>
        </is>
      </c>
      <c r="E116" t="inlineStr">
        <is>
          <t>H2</t>
        </is>
      </c>
      <c r="F116" s="5" t="inlineStr">
        <is>
          <t>Compliance</t>
        </is>
      </c>
      <c r="G116" t="inlineStr">
        <is>
          <t>—</t>
        </is>
      </c>
      <c r="H116" t="inlineStr">
        <is>
          <t>NONE</t>
        </is>
      </c>
      <c r="I116" t="inlineStr">
        <is>
          <t>—</t>
        </is>
      </c>
      <c r="J116" t="inlineStr">
        <is>
          <t>—</t>
        </is>
      </c>
      <c r="K116" t="inlineStr">
        <is>
          <t>—</t>
        </is>
      </c>
      <c r="L116" t="inlineStr">
        <is>
          <t>—</t>
        </is>
      </c>
      <c r="M116" t="inlineStr">
        <is>
          <t>—</t>
        </is>
      </c>
      <c r="N116" t="inlineStr">
        <is>
          <t>n/a</t>
        </is>
      </c>
      <c r="O116" s="5" t="inlineStr">
        <is>
          <t>No keyword target (legal)</t>
        </is>
      </c>
      <c r="P116" s="5" t="inlineStr"/>
      <c r="Q116" t="inlineStr">
        <is>
          <t>P4</t>
        </is>
      </c>
      <c r="R116" t="n">
        <v>132</v>
      </c>
      <c r="S116" s="5" t="inlineStr">
        <is>
          <t>Vous pouvez utiliser nos services à des fins légales, notamment mais sans s'y limiter : Sites web d'entreprise : Créer des sites web professionnels pour des entreprises, organisations et marques personnelles légitimes E-</t>
        </is>
      </c>
    </row>
    <row r="117">
      <c r="A117" s="3" t="inlineStr">
        <is>
          <t>https://codesommet.com/legal/acceptable-use</t>
        </is>
      </c>
      <c r="B117" t="n">
        <v>4</v>
      </c>
      <c r="C117" t="inlineStr">
        <is>
          <t>Legal text</t>
        </is>
      </c>
      <c r="D117" s="5" t="inlineStr">
        <is>
          <t>Utilisations interdites</t>
        </is>
      </c>
      <c r="E117" t="inlineStr">
        <is>
          <t>H2</t>
        </is>
      </c>
      <c r="F117" s="5" t="inlineStr">
        <is>
          <t>Compliance</t>
        </is>
      </c>
      <c r="G117" t="inlineStr">
        <is>
          <t>—</t>
        </is>
      </c>
      <c r="H117" t="inlineStr">
        <is>
          <t>NONE</t>
        </is>
      </c>
      <c r="I117" t="inlineStr">
        <is>
          <t>—</t>
        </is>
      </c>
      <c r="J117" t="inlineStr">
        <is>
          <t>—</t>
        </is>
      </c>
      <c r="K117" t="inlineStr">
        <is>
          <t>—</t>
        </is>
      </c>
      <c r="L117" t="inlineStr">
        <is>
          <t>—</t>
        </is>
      </c>
      <c r="M117" t="inlineStr">
        <is>
          <t>—</t>
        </is>
      </c>
      <c r="N117" t="inlineStr">
        <is>
          <t>n/a</t>
        </is>
      </c>
      <c r="O117" s="5" t="inlineStr">
        <is>
          <t>No keyword target (legal)</t>
        </is>
      </c>
      <c r="P117" s="5" t="inlineStr"/>
      <c r="Q117" t="inlineStr">
        <is>
          <t>P4</t>
        </is>
      </c>
      <c r="R117" t="n">
        <v>513</v>
      </c>
      <c r="S117" s="5" t="inlineStr">
        <is>
          <t>Vous NE POUVEZ PAS utiliser nos services pour l'un des usages suivants : 1. Activités illégales Toute activité qui enfreint les lois locales, nationales ou internationales Promouvoir, faciliter ou participer à des activi</t>
        </is>
      </c>
    </row>
    <row r="118">
      <c r="A118" s="3" t="inlineStr">
        <is>
          <t>https://codesommet.com/legal/acceptable-use</t>
        </is>
      </c>
      <c r="B118" t="n">
        <v>5</v>
      </c>
      <c r="C118" t="inlineStr">
        <is>
          <t>Legal text</t>
        </is>
      </c>
      <c r="D118" s="5" t="inlineStr">
        <is>
          <t>Sécurité et utilisation responsable</t>
        </is>
      </c>
      <c r="E118" t="inlineStr">
        <is>
          <t>H2</t>
        </is>
      </c>
      <c r="F118" s="5" t="inlineStr">
        <is>
          <t>Compliance</t>
        </is>
      </c>
      <c r="G118" t="inlineStr">
        <is>
          <t>—</t>
        </is>
      </c>
      <c r="H118" t="inlineStr">
        <is>
          <t>NONE</t>
        </is>
      </c>
      <c r="I118" t="inlineStr">
        <is>
          <t>—</t>
        </is>
      </c>
      <c r="J118" t="inlineStr">
        <is>
          <t>—</t>
        </is>
      </c>
      <c r="K118" t="inlineStr">
        <is>
          <t>—</t>
        </is>
      </c>
      <c r="L118" t="inlineStr">
        <is>
          <t>—</t>
        </is>
      </c>
      <c r="M118" t="inlineStr">
        <is>
          <t>—</t>
        </is>
      </c>
      <c r="N118" t="inlineStr">
        <is>
          <t>n/a</t>
        </is>
      </c>
      <c r="O118" s="5" t="inlineStr">
        <is>
          <t>No keyword target (legal)</t>
        </is>
      </c>
      <c r="P118" s="5" t="inlineStr"/>
      <c r="Q118" t="inlineStr">
        <is>
          <t>P4</t>
        </is>
      </c>
      <c r="R118" t="n">
        <v>146</v>
      </c>
      <c r="S118" s="5" t="inlineStr">
        <is>
          <t>Vous êtes responsable de : Sécurité du compte : Maintenir la confidentialité de vos identifiants de connexion Protection par mot de passe : Utiliser des mots de passe forts et uniques et activer l'authentification à deux</t>
        </is>
      </c>
    </row>
    <row r="119">
      <c r="A119" s="3" t="inlineStr">
        <is>
          <t>https://codesommet.com/legal/acceptable-use</t>
        </is>
      </c>
      <c r="B119" t="n">
        <v>6</v>
      </c>
      <c r="C119" t="inlineStr">
        <is>
          <t>Legal text</t>
        </is>
      </c>
      <c r="D119" s="5" t="inlineStr">
        <is>
          <t>Conséquences des violations</t>
        </is>
      </c>
      <c r="E119" t="inlineStr">
        <is>
          <t>H2</t>
        </is>
      </c>
      <c r="F119" s="5" t="inlineStr">
        <is>
          <t>Compliance</t>
        </is>
      </c>
      <c r="G119" t="inlineStr">
        <is>
          <t>—</t>
        </is>
      </c>
      <c r="H119" t="inlineStr">
        <is>
          <t>NONE</t>
        </is>
      </c>
      <c r="I119" t="inlineStr">
        <is>
          <t>—</t>
        </is>
      </c>
      <c r="J119" t="inlineStr">
        <is>
          <t>—</t>
        </is>
      </c>
      <c r="K119" t="inlineStr">
        <is>
          <t>—</t>
        </is>
      </c>
      <c r="L119" t="inlineStr">
        <is>
          <t>—</t>
        </is>
      </c>
      <c r="M119" t="inlineStr">
        <is>
          <t>—</t>
        </is>
      </c>
      <c r="N119" t="inlineStr">
        <is>
          <t>n/a</t>
        </is>
      </c>
      <c r="O119" s="5" t="inlineStr">
        <is>
          <t>No keyword target (legal)</t>
        </is>
      </c>
      <c r="P119" s="5" t="inlineStr"/>
      <c r="Q119" t="inlineStr">
        <is>
          <t>P4</t>
        </is>
      </c>
      <c r="R119" t="n">
        <v>229</v>
      </c>
      <c r="S119" s="5" t="inlineStr">
        <is>
          <t>Si vous enfreignez cette Politique d'Utilisation Acceptable, nous pouvons prendre une ou plusieurs des mesures suivantes : 1. Avertissement Émettre un avertissement écrit formel pour les violations mineures ou de premièr</t>
        </is>
      </c>
    </row>
    <row r="120">
      <c r="A120" s="3" t="inlineStr">
        <is>
          <t>https://codesommet.com/legal/acceptable-use</t>
        </is>
      </c>
      <c r="B120" t="n">
        <v>7</v>
      </c>
      <c r="C120" t="inlineStr">
        <is>
          <t>Legal text</t>
        </is>
      </c>
      <c r="D120" s="5" t="inlineStr">
        <is>
          <t>Signalement des violations</t>
        </is>
      </c>
      <c r="E120" t="inlineStr">
        <is>
          <t>H2</t>
        </is>
      </c>
      <c r="F120" s="5" t="inlineStr">
        <is>
          <t>Compliance</t>
        </is>
      </c>
      <c r="G120" t="inlineStr">
        <is>
          <t>—</t>
        </is>
      </c>
      <c r="H120" t="inlineStr">
        <is>
          <t>NONE</t>
        </is>
      </c>
      <c r="I120" t="inlineStr">
        <is>
          <t>—</t>
        </is>
      </c>
      <c r="J120" t="inlineStr">
        <is>
          <t>—</t>
        </is>
      </c>
      <c r="K120" t="inlineStr">
        <is>
          <t>—</t>
        </is>
      </c>
      <c r="L120" t="inlineStr">
        <is>
          <t>—</t>
        </is>
      </c>
      <c r="M120" t="inlineStr">
        <is>
          <t>—</t>
        </is>
      </c>
      <c r="N120" t="inlineStr">
        <is>
          <t>n/a</t>
        </is>
      </c>
      <c r="O120" s="5" t="inlineStr">
        <is>
          <t>No keyword target (legal)</t>
        </is>
      </c>
      <c r="P120" s="5" t="inlineStr"/>
      <c r="Q120" t="inlineStr">
        <is>
          <t>P4</t>
        </is>
      </c>
      <c r="R120" t="n">
        <v>133</v>
      </c>
      <c r="S120" s="5" t="inlineStr">
        <is>
          <t>Si vous avez connaissance d'un contenu ou d'une activité qui enfreint cette Politique d'Utilisation Acceptable, veuillez nous le signaler immédiatement. Comment signaler Envoyez un rapport détaillé à codesommet@gmail.com</t>
        </is>
      </c>
    </row>
    <row r="121">
      <c r="A121" s="3" t="inlineStr">
        <is>
          <t>https://codesommet.com/legal/acceptable-use</t>
        </is>
      </c>
      <c r="B121" t="n">
        <v>8</v>
      </c>
      <c r="C121" t="inlineStr">
        <is>
          <t>Legal text</t>
        </is>
      </c>
      <c r="D121" s="5" t="inlineStr">
        <is>
          <t>Mises à jour de cette politique</t>
        </is>
      </c>
      <c r="E121" t="inlineStr">
        <is>
          <t>H2</t>
        </is>
      </c>
      <c r="F121" s="5" t="inlineStr">
        <is>
          <t>Compliance</t>
        </is>
      </c>
      <c r="G121" t="inlineStr">
        <is>
          <t>—</t>
        </is>
      </c>
      <c r="H121" t="inlineStr">
        <is>
          <t>NONE</t>
        </is>
      </c>
      <c r="I121" t="inlineStr">
        <is>
          <t>—</t>
        </is>
      </c>
      <c r="J121" t="inlineStr">
        <is>
          <t>—</t>
        </is>
      </c>
      <c r="K121" t="inlineStr">
        <is>
          <t>—</t>
        </is>
      </c>
      <c r="L121" t="inlineStr">
        <is>
          <t>—</t>
        </is>
      </c>
      <c r="M121" t="inlineStr">
        <is>
          <t>—</t>
        </is>
      </c>
      <c r="N121" t="inlineStr">
        <is>
          <t>n/a</t>
        </is>
      </c>
      <c r="O121" s="5" t="inlineStr">
        <is>
          <t>No keyword target (legal)</t>
        </is>
      </c>
      <c r="P121" s="5" t="inlineStr"/>
      <c r="Q121" t="inlineStr">
        <is>
          <t>P4</t>
        </is>
      </c>
      <c r="R121" t="n">
        <v>86</v>
      </c>
      <c r="S121" s="5" t="inlineStr">
        <is>
          <t>Nous pouvons mettre à jour cette Politique d'Utilisation Acceptable de temps à autre pour refléter les changements technologiques, les exigences légales ou nos pratiques commerciales. Nous vous informerons des changement</t>
        </is>
      </c>
    </row>
    <row r="122">
      <c r="A122" s="3" t="inlineStr">
        <is>
          <t>https://codesommet.com/legal/acceptable-use</t>
        </is>
      </c>
      <c r="B122" t="n">
        <v>9</v>
      </c>
      <c r="C122" t="inlineStr">
        <is>
          <t>Legal text</t>
        </is>
      </c>
      <c r="D122" s="5" t="inlineStr">
        <is>
          <t>Des questions ou des préoccupations ?</t>
        </is>
      </c>
      <c r="E122" t="inlineStr">
        <is>
          <t>H2</t>
        </is>
      </c>
      <c r="F122" s="5" t="inlineStr">
        <is>
          <t>Compliance</t>
        </is>
      </c>
      <c r="G122" t="inlineStr">
        <is>
          <t>—</t>
        </is>
      </c>
      <c r="H122" t="inlineStr">
        <is>
          <t>NONE</t>
        </is>
      </c>
      <c r="I122" t="inlineStr">
        <is>
          <t>—</t>
        </is>
      </c>
      <c r="J122" t="inlineStr">
        <is>
          <t>—</t>
        </is>
      </c>
      <c r="K122" t="inlineStr">
        <is>
          <t>—</t>
        </is>
      </c>
      <c r="L122" t="inlineStr">
        <is>
          <t>—</t>
        </is>
      </c>
      <c r="M122" t="inlineStr">
        <is>
          <t>—</t>
        </is>
      </c>
      <c r="N122" t="inlineStr">
        <is>
          <t>n/a</t>
        </is>
      </c>
      <c r="O122" s="5" t="inlineStr">
        <is>
          <t>No keyword target (legal)</t>
        </is>
      </c>
      <c r="P122" s="5" t="inlineStr"/>
      <c r="Q122" t="inlineStr">
        <is>
          <t>P4</t>
        </is>
      </c>
      <c r="R122" t="n">
        <v>84</v>
      </c>
      <c r="S122" s="5" t="inlineStr">
        <is>
          <t>Si vous avez des questions sur cette Politique d'Utilisation Acceptable ou avez besoin de précisions sur ce qui est autorisé, veuillez nous contacter : CodeSommet Agence Premium de Développement Web Email : codesommet@gm</t>
        </is>
      </c>
    </row>
    <row r="123">
      <c r="A123" s="3" t="inlineStr">
        <is>
          <t>https://codesommet.com/services/ecommerce-website-development</t>
        </is>
      </c>
      <c r="B123" t="n">
        <v>1</v>
      </c>
      <c r="C123" t="inlineStr">
        <is>
          <t>Hero / H1</t>
        </is>
      </c>
      <c r="D123" s="5" t="inlineStr">
        <is>
          <t>Création Site E-commerce au Maroc : une Boutique qui génère des VENTES EN LIGNE</t>
        </is>
      </c>
      <c r="E123" t="inlineStr">
        <is>
          <t>H1</t>
        </is>
      </c>
      <c r="F123" s="5" t="inlineStr">
        <is>
          <t>Commercial</t>
        </is>
      </c>
      <c r="G123" t="inlineStr">
        <is>
          <t>création site e-commerce maroc</t>
        </is>
      </c>
      <c r="H123" t="inlineStr">
        <is>
          <t>PRIMARY</t>
        </is>
      </c>
      <c r="I123" t="inlineStr">
        <is>
          <t>ma</t>
        </is>
      </c>
      <c r="J123" t="n">
        <v>20</v>
      </c>
      <c r="K123" t="inlineStr">
        <is>
          <t>NOT AVAILABLE</t>
        </is>
      </c>
      <c r="L123" t="n">
        <v>0.61</v>
      </c>
      <c r="M123" t="inlineStr">
        <is>
          <t>MEASURED</t>
        </is>
      </c>
      <c r="N123" t="inlineStr">
        <is>
          <t>Yes</t>
        </is>
      </c>
      <c r="O123" s="5" t="inlineStr">
        <is>
          <t>Covered - keep wording; no change</t>
        </is>
      </c>
      <c r="P123" s="5" t="inlineStr"/>
      <c r="Q123" t="inlineStr">
        <is>
          <t>P2</t>
        </is>
      </c>
      <c r="R123" t="n">
        <v>66</v>
      </c>
      <c r="S123" s="5" t="inlineStr">
        <is>
          <t>Plateformes e-commerce personnalisées avec traitement sécurisé des paiements, gestion d'inventaire en temps réel, recommandations de produits alimentées par l'IA et flux de paiement optimisés pour la conversion afin d'ai</t>
        </is>
      </c>
    </row>
    <row r="124">
      <c r="A124" s="3" t="inlineStr">
        <is>
          <t>https://codesommet.com/services/ecommerce-website-development</t>
        </is>
      </c>
      <c r="B124" t="n">
        <v>2</v>
      </c>
      <c r="C124" t="inlineStr">
        <is>
          <t>Why us / differentiation</t>
        </is>
      </c>
      <c r="D124" s="5" t="inlineStr">
        <is>
          <t>Pourquoi Choisir CodeSommet dans le secteur E-commerce ?</t>
        </is>
      </c>
      <c r="E124" t="inlineStr">
        <is>
          <t>H2</t>
        </is>
      </c>
      <c r="F124" s="5" t="inlineStr">
        <is>
          <t>Commercial investigation</t>
        </is>
      </c>
      <c r="G124" t="inlineStr">
        <is>
          <t>création site e-commerce maroc</t>
        </is>
      </c>
      <c r="H124" t="inlineStr">
        <is>
          <t>SUPPORTS PRIMARY</t>
        </is>
      </c>
      <c r="I124" t="inlineStr">
        <is>
          <t>ma</t>
        </is>
      </c>
      <c r="J124" t="n">
        <v>20</v>
      </c>
      <c r="K124" t="inlineStr">
        <is>
          <t>NOT AVAILABLE</t>
        </is>
      </c>
      <c r="L124" t="n">
        <v>0.61</v>
      </c>
      <c r="M124" t="inlineStr">
        <is>
          <t>MEASURED</t>
        </is>
      </c>
      <c r="N124" t="inlineStr">
        <is>
          <t>Yes (supporting block)</t>
        </is>
      </c>
      <c r="O124" s="5" t="inlineStr">
        <is>
          <t>Supports the primary topic - add only if natural</t>
        </is>
      </c>
      <c r="P124" s="5" t="inlineStr"/>
      <c r="Q124" t="inlineStr">
        <is>
          <t>P2</t>
        </is>
      </c>
      <c r="R124" t="n">
        <v>177</v>
      </c>
      <c r="S124" s="5" t="inlineStr">
        <is>
          <t>L'expertise locale rencontre les standards internationaux. Voici ce qui fait de nous le partenaire idéal en développement web dans le secteur E-commerce. Paiement Optimisé pour la Conversion Flux de paiement simplifié av</t>
        </is>
      </c>
    </row>
    <row r="125">
      <c r="A125" s="3" t="inlineStr">
        <is>
          <t>https://codesommet.com/services/ecommerce-website-development</t>
        </is>
      </c>
      <c r="B125" t="n">
        <v>3</v>
      </c>
      <c r="C125" t="inlineStr">
        <is>
          <t>Proof / portfolio / results</t>
        </is>
      </c>
      <c r="D125" s="5" t="inlineStr">
        <is>
          <t>Adopté par les E-commerce Entreprises</t>
        </is>
      </c>
      <c r="E125" t="inlineStr">
        <is>
          <t>H2</t>
        </is>
      </c>
      <c r="F125" s="5" t="inlineStr">
        <is>
          <t>Commercial investigation</t>
        </is>
      </c>
      <c r="G125" t="inlineStr">
        <is>
          <t>création site e-commerce maroc</t>
        </is>
      </c>
      <c r="H125" t="inlineStr">
        <is>
          <t>SUPPORTS PRIMARY</t>
        </is>
      </c>
      <c r="I125" t="inlineStr">
        <is>
          <t>ma</t>
        </is>
      </c>
      <c r="J125" t="n">
        <v>20</v>
      </c>
      <c r="K125" t="inlineStr">
        <is>
          <t>NOT AVAILABLE</t>
        </is>
      </c>
      <c r="L125" t="n">
        <v>0.61</v>
      </c>
      <c r="M125" t="inlineStr">
        <is>
          <t>MEASURED</t>
        </is>
      </c>
      <c r="N125" t="inlineStr">
        <is>
          <t>Yes (supporting block)</t>
        </is>
      </c>
      <c r="O125" s="5" t="inlineStr">
        <is>
          <t>Supports the primary topic - add only if natural</t>
        </is>
      </c>
      <c r="P125" s="5" t="inlineStr"/>
      <c r="Q125" t="inlineStr">
        <is>
          <t>P2</t>
        </is>
      </c>
      <c r="R125" t="n">
        <v>22</v>
      </c>
      <c r="S125" s="5" t="inlineStr">
        <is>
          <t>Projets livrés sur mesure Prospects générés pour nos clients Clients accompagnés Résultats réels de E-commerce avec lesquelles nous avons collaboré Défis Courants</t>
        </is>
      </c>
    </row>
    <row r="126">
      <c r="A126" s="3" t="inlineStr">
        <is>
          <t>https://codesommet.com/services/ecommerce-website-development</t>
        </is>
      </c>
      <c r="B126" t="n">
        <v>4</v>
      </c>
      <c r="C126" t="inlineStr">
        <is>
          <t>Problems / pain points</t>
        </is>
      </c>
      <c r="D126" s="5" t="inlineStr">
        <is>
          <t>Le Défi : E-commerce Les Entreprises Font Face à des Défis Web Uniques</t>
        </is>
      </c>
      <c r="E126" t="inlineStr">
        <is>
          <t>H2</t>
        </is>
      </c>
      <c r="F126" s="5" t="inlineStr">
        <is>
          <t>Commercial</t>
        </is>
      </c>
      <c r="G126" t="inlineStr">
        <is>
          <t>boutique en ligne maroc</t>
        </is>
      </c>
      <c r="H126" t="inlineStr">
        <is>
          <t>SECONDARY</t>
        </is>
      </c>
      <c r="I126" t="inlineStr">
        <is>
          <t>ma</t>
        </is>
      </c>
      <c r="J126" t="n">
        <v>140</v>
      </c>
      <c r="K126" t="inlineStr">
        <is>
          <t>NOT AVAILABLE</t>
        </is>
      </c>
      <c r="L126" t="n">
        <v>0.15</v>
      </c>
      <c r="M126" t="inlineStr">
        <is>
          <t>MEASURED</t>
        </is>
      </c>
      <c r="N126" t="inlineStr">
        <is>
          <t>Partly</t>
        </is>
      </c>
      <c r="O126" s="5" t="inlineStr">
        <is>
          <t>Work "boutique en ligne maroc" (or a close natural variant) into existing copy - no new heading needed</t>
        </is>
      </c>
      <c r="P126" s="5" t="inlineStr">
        <is>
          <t>Keyword/variant absent from this section</t>
        </is>
      </c>
      <c r="Q126" t="inlineStr">
        <is>
          <t>P1</t>
        </is>
      </c>
      <c r="R126" t="n">
        <v>222</v>
      </c>
      <c r="S126" s="5" t="inlineStr">
        <is>
          <t>Les développeurs web généralistes ne comprennent pas ces problématiques spécifiques au e-commerce Taux Élevés d'Abandon de Panier Les processus de paiement complexes font perdre une grande partie des paniers. Des flux si</t>
        </is>
      </c>
    </row>
    <row r="127">
      <c r="A127" s="3" t="inlineStr">
        <is>
          <t>https://codesommet.com/services/ecommerce-website-development</t>
        </is>
      </c>
      <c r="B127" t="n">
        <v>5</v>
      </c>
      <c r="C127" t="inlineStr">
        <is>
          <t>Services / features</t>
        </is>
      </c>
      <c r="D127" s="5" t="inlineStr">
        <is>
          <t>Fonctionnalités Essentielles for E-commerce Sites Web</t>
        </is>
      </c>
      <c r="E127" t="inlineStr">
        <is>
          <t>H2</t>
        </is>
      </c>
      <c r="F127" s="5" t="inlineStr">
        <is>
          <t>Commercial</t>
        </is>
      </c>
      <c r="G127" t="inlineStr">
        <is>
          <t>site de vente en ligne maroc</t>
        </is>
      </c>
      <c r="H127" t="inlineStr">
        <is>
          <t>SECONDARY</t>
        </is>
      </c>
      <c r="I127" t="inlineStr">
        <is>
          <t>ma</t>
        </is>
      </c>
      <c r="J127" t="n">
        <v>140</v>
      </c>
      <c r="K127" t="inlineStr">
        <is>
          <t>NOT AVAILABLE</t>
        </is>
      </c>
      <c r="L127" t="n">
        <v>0.12</v>
      </c>
      <c r="M127" t="inlineStr">
        <is>
          <t>MEASURED</t>
        </is>
      </c>
      <c r="N127" t="inlineStr">
        <is>
          <t>Partly</t>
        </is>
      </c>
      <c r="O127" s="5" t="inlineStr">
        <is>
          <t>Work "site de vente en ligne maroc" (or a close natural variant) into existing copy - no new heading needed</t>
        </is>
      </c>
      <c r="P127" s="5" t="inlineStr">
        <is>
          <t>Keyword/variant absent from this section</t>
        </is>
      </c>
      <c r="Q127" t="inlineStr">
        <is>
          <t>P1</t>
        </is>
      </c>
      <c r="R127" t="n">
        <v>338</v>
      </c>
      <c r="S127" s="5" t="inlineStr">
        <is>
          <t>Tout ce dont votre entreprise e-commerce a besoin sur une seule plateforme Flux de Paiement Optimisé Paiement simplifié sur une seule page avec option invité, remplissage automatique, indicateurs de progression et méthod</t>
        </is>
      </c>
    </row>
    <row r="128">
      <c r="A128" s="3" t="inlineStr">
        <is>
          <t>https://codesommet.com/services/ecommerce-website-development</t>
        </is>
      </c>
      <c r="B128" t="n">
        <v>6</v>
      </c>
      <c r="C128" t="inlineStr">
        <is>
          <t>Testimonials / social proof</t>
        </is>
      </c>
      <c r="D128" s="5" t="inlineStr">
        <is>
          <t>Histoires de Succès en E-commerce</t>
        </is>
      </c>
      <c r="E128" t="inlineStr">
        <is>
          <t>H2</t>
        </is>
      </c>
      <c r="F128" s="5" t="inlineStr">
        <is>
          <t>Commercial investigation</t>
        </is>
      </c>
      <c r="G128" t="inlineStr">
        <is>
          <t>création site e-commerce maroc</t>
        </is>
      </c>
      <c r="H128" t="inlineStr">
        <is>
          <t>SUPPORTS PRIMARY</t>
        </is>
      </c>
      <c r="I128" t="inlineStr">
        <is>
          <t>ma</t>
        </is>
      </c>
      <c r="J128" t="n">
        <v>20</v>
      </c>
      <c r="K128" t="inlineStr">
        <is>
          <t>NOT AVAILABLE</t>
        </is>
      </c>
      <c r="L128" t="n">
        <v>0.61</v>
      </c>
      <c r="M128" t="inlineStr">
        <is>
          <t>MEASURED</t>
        </is>
      </c>
      <c r="N128" t="inlineStr">
        <is>
          <t>Yes (supporting block)</t>
        </is>
      </c>
      <c r="O128" s="5" t="inlineStr">
        <is>
          <t>Supports the primary topic - add only if natural</t>
        </is>
      </c>
      <c r="P128" s="5" t="inlineStr"/>
      <c r="Q128" t="inlineStr">
        <is>
          <t>P2</t>
        </is>
      </c>
      <c r="R128" t="n">
        <v>35</v>
      </c>
      <c r="S128" s="5" t="inlineStr">
        <is>
          <t>Projets réels, résultats réels. Découvrez comment nous avons aidé les entreprises en E-commerce à atteindre leurs objectifs numériques. Beauté GlamWorlds Boutique e-commerce de beauté et lunettes de luxe Maroc Calendrier</t>
        </is>
      </c>
    </row>
    <row r="129">
      <c r="A129" s="3" t="inlineStr">
        <is>
          <t>https://codesommet.com/services/ecommerce-website-development</t>
        </is>
      </c>
      <c r="B129" t="n">
        <v>7</v>
      </c>
      <c r="C129" t="inlineStr">
        <is>
          <t>Process / how it works</t>
        </is>
      </c>
      <c r="D129" s="5" t="inlineStr">
        <is>
          <t>Notre Processus de Développement for E-commerce</t>
        </is>
      </c>
      <c r="E129" t="inlineStr">
        <is>
          <t>H2</t>
        </is>
      </c>
      <c r="F129" s="5" t="inlineStr">
        <is>
          <t>Informational / commercial</t>
        </is>
      </c>
      <c r="G129" t="inlineStr">
        <is>
          <t>création site e-commerce maroc</t>
        </is>
      </c>
      <c r="H129" t="inlineStr">
        <is>
          <t>SUPPORTS PRIMARY</t>
        </is>
      </c>
      <c r="I129" t="inlineStr">
        <is>
          <t>ma</t>
        </is>
      </c>
      <c r="J129" t="n">
        <v>20</v>
      </c>
      <c r="K129" t="inlineStr">
        <is>
          <t>NOT AVAILABLE</t>
        </is>
      </c>
      <c r="L129" t="n">
        <v>0.61</v>
      </c>
      <c r="M129" t="inlineStr">
        <is>
          <t>MEASURED</t>
        </is>
      </c>
      <c r="N129" t="inlineStr">
        <is>
          <t>Yes (supporting block)</t>
        </is>
      </c>
      <c r="O129" s="5" t="inlineStr">
        <is>
          <t>Supports the primary topic - add only if natural</t>
        </is>
      </c>
      <c r="P129" s="5" t="inlineStr"/>
      <c r="Q129" t="inlineStr">
        <is>
          <t>P2</t>
        </is>
      </c>
      <c r="R129" t="n">
        <v>165</v>
      </c>
      <c r="S129" s="5" t="inlineStr">
        <is>
          <t>Du concept au lancement en 4 étapes, optimisé pour les entreprises e-commerce Étape 1 Découverte et Design de Boutique Planification de la structure et de la taxonomie du catalogue produits Analyse concurrentielle des bo</t>
        </is>
      </c>
    </row>
    <row r="130">
      <c r="A130" s="3" t="inlineStr">
        <is>
          <t>https://codesommet.com/services/ecommerce-website-development</t>
        </is>
      </c>
      <c r="B130" t="n">
        <v>8</v>
      </c>
      <c r="C130" t="inlineStr">
        <is>
          <t>Pricing / offers</t>
        </is>
      </c>
      <c r="D130" s="5" t="inlineStr">
        <is>
          <t>Solutions Personnalisées, Tarification Transparente</t>
        </is>
      </c>
      <c r="E130" t="inlineStr">
        <is>
          <t>H2</t>
        </is>
      </c>
      <c r="F130" s="5" t="inlineStr">
        <is>
          <t>Commercial / transactional</t>
        </is>
      </c>
      <c r="G130" t="inlineStr">
        <is>
          <t>prix site e-commerce</t>
        </is>
      </c>
      <c r="H130" t="inlineStr">
        <is>
          <t>SECONDARY</t>
        </is>
      </c>
      <c r="I130" t="inlineStr">
        <is>
          <t>fr</t>
        </is>
      </c>
      <c r="J130" t="n">
        <v>170</v>
      </c>
      <c r="K130" t="n">
        <v>23</v>
      </c>
      <c r="L130" t="n">
        <v>1.21</v>
      </c>
      <c r="M130" t="inlineStr">
        <is>
          <t>MEASURED</t>
        </is>
      </c>
      <c r="N130" t="inlineStr">
        <is>
          <t>Partly</t>
        </is>
      </c>
      <c r="O130" s="5" t="inlineStr">
        <is>
          <t>Work "prix site e-commerce" (or a close natural variant) into existing copy - no new heading needed</t>
        </is>
      </c>
      <c r="P130" s="5" t="inlineStr">
        <is>
          <t>Keyword/variant absent from this section</t>
        </is>
      </c>
      <c r="Q130" t="inlineStr">
        <is>
          <t>P1</t>
        </is>
      </c>
      <c r="R130" t="n">
        <v>201</v>
      </c>
      <c r="S130" s="5" t="inlineStr">
        <is>
          <t>Réservez un appel découverte pour discuter de vos besoins spécifiques et obtenir un devis personnalisé Recommandé Développement de Sites Web Site web complet avec fonctionnalités IA, tableaux de bord et design premium li</t>
        </is>
      </c>
    </row>
    <row r="131">
      <c r="A131" s="3" t="inlineStr">
        <is>
          <t>https://codesommet.com/services/ecommerce-website-development</t>
        </is>
      </c>
      <c r="B131" t="n">
        <v>9</v>
      </c>
      <c r="C131" t="inlineStr">
        <is>
          <t>CTA / conversion</t>
        </is>
      </c>
      <c r="D131" s="5" t="inlineStr">
        <is>
          <t>Prêt à Transformer Votre Site Web E-commerce ?</t>
        </is>
      </c>
      <c r="E131" t="inlineStr">
        <is>
          <t>H2</t>
        </is>
      </c>
      <c r="F131" s="5" t="inlineStr">
        <is>
          <t>Conversion</t>
        </is>
      </c>
      <c r="G131" t="inlineStr">
        <is>
          <t>—</t>
        </is>
      </c>
      <c r="H131" t="inlineStr">
        <is>
          <t>NONE</t>
        </is>
      </c>
      <c r="I131" t="inlineStr">
        <is>
          <t>—</t>
        </is>
      </c>
      <c r="J131" t="inlineStr">
        <is>
          <t>—</t>
        </is>
      </c>
      <c r="K131" t="inlineStr">
        <is>
          <t>—</t>
        </is>
      </c>
      <c r="L131" t="inlineStr">
        <is>
          <t>—</t>
        </is>
      </c>
      <c r="M131" t="inlineStr">
        <is>
          <t>—</t>
        </is>
      </c>
      <c r="N131" t="inlineStr">
        <is>
          <t>n/a</t>
        </is>
      </c>
      <c r="O131" s="5" t="inlineStr">
        <is>
          <t>No keyword target - keep conversion/navigation focus; use descriptive, non-repeated anchor texts</t>
        </is>
      </c>
      <c r="P131" s="5" t="inlineStr"/>
      <c r="Q131" t="inlineStr">
        <is>
          <t>P2</t>
        </is>
      </c>
      <c r="R131" t="n">
        <v>41</v>
      </c>
      <c r="S131" s="5" t="inlineStr">
        <is>
          <t>Obtenez d'abord une analyse gratuite complète : Audit SEO Vérification des performances Révision du design Recommandations alimentées par l'IA Analyser Votre Site Web - 100% Gratuit Pas de carte de crédit requise • Résul</t>
        </is>
      </c>
    </row>
    <row r="132">
      <c r="A132" s="3" t="inlineStr">
        <is>
          <t>https://codesommet.com/services/ecommerce-website-development</t>
        </is>
      </c>
      <c r="B132" t="n">
        <v>10</v>
      </c>
      <c r="C132" t="inlineStr">
        <is>
          <t>Why us / differentiation</t>
        </is>
      </c>
      <c r="D132" s="5" t="inlineStr">
        <is>
          <t>CodeSommet E-commerce vs Autres</t>
        </is>
      </c>
      <c r="E132" t="inlineStr">
        <is>
          <t>H2</t>
        </is>
      </c>
      <c r="F132" s="5" t="inlineStr">
        <is>
          <t>Commercial investigation</t>
        </is>
      </c>
      <c r="G132" t="inlineStr">
        <is>
          <t>création site e-commerce maroc</t>
        </is>
      </c>
      <c r="H132" t="inlineStr">
        <is>
          <t>SUPPORTS PRIMARY</t>
        </is>
      </c>
      <c r="I132" t="inlineStr">
        <is>
          <t>ma</t>
        </is>
      </c>
      <c r="J132" t="n">
        <v>20</v>
      </c>
      <c r="K132" t="inlineStr">
        <is>
          <t>NOT AVAILABLE</t>
        </is>
      </c>
      <c r="L132" t="n">
        <v>0.61</v>
      </c>
      <c r="M132" t="inlineStr">
        <is>
          <t>MEASURED</t>
        </is>
      </c>
      <c r="N132" t="inlineStr">
        <is>
          <t>Yes (supporting block)</t>
        </is>
      </c>
      <c r="O132" s="5" t="inlineStr">
        <is>
          <t>Supports the primary topic - add only if natural</t>
        </is>
      </c>
      <c r="P132" s="5" t="inlineStr"/>
      <c r="Q132" t="inlineStr">
        <is>
          <t>P2</t>
        </is>
      </c>
      <c r="R132" t="n">
        <v>210</v>
      </c>
      <c r="S132" s="5" t="inlineStr">
        <is>
          <t>Découvrez pourquoi E-commerce entreprises choisissent CodeSommet plutôt que d'autres agences locales et concurrents internationaux. Fonctionnalité CodeSommet E-commerce Autres E-commerce Agences Agences Internationales P</t>
        </is>
      </c>
    </row>
    <row r="133">
      <c r="A133" s="3" t="inlineStr">
        <is>
          <t>https://codesommet.com/services/ecommerce-website-development</t>
        </is>
      </c>
      <c r="B133" t="n">
        <v>11</v>
      </c>
      <c r="C133" t="inlineStr">
        <is>
          <t>Testimonials / social proof</t>
        </is>
      </c>
      <c r="D133" s="5" t="inlineStr">
        <is>
          <t>Ce que Nos Clients en E-commerce Disent de Nous</t>
        </is>
      </c>
      <c r="E133" t="inlineStr">
        <is>
          <t>H2</t>
        </is>
      </c>
      <c r="F133" s="5" t="inlineStr">
        <is>
          <t>Commercial investigation</t>
        </is>
      </c>
      <c r="G133" t="inlineStr">
        <is>
          <t>création site e-commerce maroc</t>
        </is>
      </c>
      <c r="H133" t="inlineStr">
        <is>
          <t>SUPPORTS PRIMARY</t>
        </is>
      </c>
      <c r="I133" t="inlineStr">
        <is>
          <t>ma</t>
        </is>
      </c>
      <c r="J133" t="n">
        <v>20</v>
      </c>
      <c r="K133" t="inlineStr">
        <is>
          <t>NOT AVAILABLE</t>
        </is>
      </c>
      <c r="L133" t="n">
        <v>0.61</v>
      </c>
      <c r="M133" t="inlineStr">
        <is>
          <t>MEASURED</t>
        </is>
      </c>
      <c r="N133" t="inlineStr">
        <is>
          <t>Yes (supporting block)</t>
        </is>
      </c>
      <c r="O133" s="5" t="inlineStr">
        <is>
          <t>Supports the primary topic - add only if natural</t>
        </is>
      </c>
      <c r="P133" s="5" t="inlineStr"/>
      <c r="Q133" t="inlineStr">
        <is>
          <t>P2</t>
        </is>
      </c>
      <c r="R133" t="n">
        <v>105</v>
      </c>
      <c r="S133" s="5" t="inlineStr">
        <is>
          <t xml:space="preserve">Ne nous croyez pas sur parole. Écoutez les entreprises en E-commerce qui ont obtenu des résultats remarquables avec CodeSommet. "Une collaboration professionnelle du début à la fin. Je recommande sans hésiter." Mohammed </t>
        </is>
      </c>
    </row>
    <row r="134">
      <c r="A134" s="3" t="inlineStr">
        <is>
          <t>https://codesommet.com/services/ecommerce-website-development</t>
        </is>
      </c>
      <c r="B134" t="n">
        <v>12</v>
      </c>
      <c r="C134" t="inlineStr">
        <is>
          <t>FAQ</t>
        </is>
      </c>
      <c r="D134" s="5" t="inlineStr">
        <is>
          <t>Questions Fréquemment Posées sur le Développement Web en E-commerce</t>
        </is>
      </c>
      <c r="E134" t="inlineStr">
        <is>
          <t>H2</t>
        </is>
      </c>
      <c r="F134" s="5" t="inlineStr">
        <is>
          <t>Informational (pre-purchase questions)</t>
        </is>
      </c>
      <c r="G134" t="inlineStr">
        <is>
          <t>cmi paiement en ligne</t>
        </is>
      </c>
      <c r="H134" t="inlineStr">
        <is>
          <t>FAQ</t>
        </is>
      </c>
      <c r="I134" t="inlineStr">
        <is>
          <t>ma</t>
        </is>
      </c>
      <c r="J134" t="n">
        <v>170</v>
      </c>
      <c r="K134" t="inlineStr">
        <is>
          <t>NOT AVAILABLE</t>
        </is>
      </c>
      <c r="L134" t="n">
        <v>0</v>
      </c>
      <c r="M134" t="inlineStr">
        <is>
          <t>MEASURED</t>
        </is>
      </c>
      <c r="N134" t="inlineStr">
        <is>
          <t>Partly</t>
        </is>
      </c>
      <c r="O134" s="5" t="inlineStr">
        <is>
          <t>Work "cmi paiement en ligne" (or a close natural variant) into existing copy - no new heading needed</t>
        </is>
      </c>
      <c r="P134" s="5" t="inlineStr">
        <is>
          <t>Keyword/variant absent from this section</t>
        </is>
      </c>
      <c r="Q134" t="inlineStr">
        <is>
          <t>P1</t>
        </is>
      </c>
      <c r="R134" t="n">
        <v>533</v>
      </c>
      <c r="S134" s="5" t="inlineStr">
        <is>
          <t>Vous avez des questions ? Nous avons les réponses. Voici les questions les plus courantes de E-commerce entreprises. 1 Combien de temps faut-il pour construire un site web e-commerce ? Le délai dépend surtout de la taill</t>
        </is>
      </c>
    </row>
    <row r="135">
      <c r="A135" s="3" t="inlineStr">
        <is>
          <t>https://codesommet.com/services/ecommerce-website-development</t>
        </is>
      </c>
      <c r="B135" t="n">
        <v>13</v>
      </c>
      <c r="C135" t="inlineStr">
        <is>
          <t>Services / features</t>
        </is>
      </c>
      <c r="D135" s="5" t="inlineStr">
        <is>
          <t>Au Service de Clients dans le Monde Entier</t>
        </is>
      </c>
      <c r="E135" t="inlineStr">
        <is>
          <t>H2</t>
        </is>
      </c>
      <c r="F135" s="5" t="inlineStr">
        <is>
          <t>Commercial</t>
        </is>
      </c>
      <c r="G135" t="inlineStr">
        <is>
          <t>site e-commerce maroc</t>
        </is>
      </c>
      <c r="H135" t="inlineStr">
        <is>
          <t>SECONDARY</t>
        </is>
      </c>
      <c r="I135" t="inlineStr">
        <is>
          <t>ma</t>
        </is>
      </c>
      <c r="J135" t="n">
        <v>30</v>
      </c>
      <c r="K135" t="inlineStr">
        <is>
          <t>NOT AVAILABLE</t>
        </is>
      </c>
      <c r="L135" t="n">
        <v>0.28</v>
      </c>
      <c r="M135" t="inlineStr">
        <is>
          <t>MEASURED</t>
        </is>
      </c>
      <c r="N135" t="inlineStr">
        <is>
          <t>Yes</t>
        </is>
      </c>
      <c r="O135" s="5" t="inlineStr">
        <is>
          <t>Covered - keep wording; no change</t>
        </is>
      </c>
      <c r="P135" s="5" t="inlineStr"/>
      <c r="Q135" t="inlineStr">
        <is>
          <t>P2</t>
        </is>
      </c>
      <c r="R135" t="n">
        <v>59</v>
      </c>
      <c r="S135" s="5" t="inlineStr">
        <is>
          <t>Nous avons construit des sites web e-commerce pour des clients à travers le monde. Que vous soyez au Maroc ou ailleurs, nous livrons des solutions de classe mondiale. Dubaï 🇦🇪 UAE Casablanca 🇲🇦 Maroc San Francisco 🇺🇸 Éta</t>
        </is>
      </c>
    </row>
    <row r="136">
      <c r="A136" s="3" t="inlineStr">
        <is>
          <t>https://codesommet.com/services/ecommerce-website-development</t>
        </is>
      </c>
      <c r="B136" t="n">
        <v>14</v>
      </c>
      <c r="C136" t="inlineStr">
        <is>
          <t>Internal-link block</t>
        </is>
      </c>
      <c r="D136" s="5" t="inlineStr">
        <is>
          <t>Industries Connexes que Nous Servons</t>
        </is>
      </c>
      <c r="E136" t="inlineStr">
        <is>
          <t>H2</t>
        </is>
      </c>
      <c r="F136" s="5" t="inlineStr">
        <is>
          <t>Navigation</t>
        </is>
      </c>
      <c r="G136" t="inlineStr">
        <is>
          <t>—</t>
        </is>
      </c>
      <c r="H136" t="inlineStr">
        <is>
          <t>NONE</t>
        </is>
      </c>
      <c r="I136" t="inlineStr">
        <is>
          <t>—</t>
        </is>
      </c>
      <c r="J136" t="inlineStr">
        <is>
          <t>—</t>
        </is>
      </c>
      <c r="K136" t="inlineStr">
        <is>
          <t>—</t>
        </is>
      </c>
      <c r="L136" t="inlineStr">
        <is>
          <t>—</t>
        </is>
      </c>
      <c r="M136" t="inlineStr">
        <is>
          <t>—</t>
        </is>
      </c>
      <c r="N136" t="inlineStr">
        <is>
          <t>n/a</t>
        </is>
      </c>
      <c r="O136" s="5" t="inlineStr">
        <is>
          <t>No keyword target - keep conversion/navigation focus; use descriptive, non-repeated anchor texts</t>
        </is>
      </c>
      <c r="P136" s="5" t="inlineStr"/>
      <c r="Q136" t="inlineStr">
        <is>
          <t>P2</t>
        </is>
      </c>
      <c r="R136" t="n">
        <v>107</v>
      </c>
      <c r="S136" s="5" t="inlineStr">
        <is>
          <t>Découvrez nos services de développement web spécialisés pour d'autres industries Plateformes SaaS Applications SaaS complètes avec authentification, facturation et fonctionnalités en temps réel. Conseil en Études à l'Étr</t>
        </is>
      </c>
    </row>
    <row r="137">
      <c r="A137" s="3" t="inlineStr">
        <is>
          <t>https://codesommet.com/services/ecommerce-website-development</t>
        </is>
      </c>
      <c r="B137" t="n">
        <v>15</v>
      </c>
      <c r="C137" t="inlineStr">
        <is>
          <t>Internal-link block</t>
        </is>
      </c>
      <c r="D137" s="5" t="inlineStr">
        <is>
          <t>Explorer Plus</t>
        </is>
      </c>
      <c r="E137" t="inlineStr">
        <is>
          <t>H2</t>
        </is>
      </c>
      <c r="F137" s="5" t="inlineStr">
        <is>
          <t>Navigation</t>
        </is>
      </c>
      <c r="G137" t="inlineStr">
        <is>
          <t>—</t>
        </is>
      </c>
      <c r="H137" t="inlineStr">
        <is>
          <t>NONE</t>
        </is>
      </c>
      <c r="I137" t="inlineStr">
        <is>
          <t>—</t>
        </is>
      </c>
      <c r="J137" t="inlineStr">
        <is>
          <t>—</t>
        </is>
      </c>
      <c r="K137" t="inlineStr">
        <is>
          <t>—</t>
        </is>
      </c>
      <c r="L137" t="inlineStr">
        <is>
          <t>—</t>
        </is>
      </c>
      <c r="M137" t="inlineStr">
        <is>
          <t>—</t>
        </is>
      </c>
      <c r="N137" t="inlineStr">
        <is>
          <t>n/a</t>
        </is>
      </c>
      <c r="O137" s="5" t="inlineStr">
        <is>
          <t>No keyword target - keep conversion/navigation focus; use descriptive, non-repeated anchor texts</t>
        </is>
      </c>
      <c r="P137" s="5" t="inlineStr"/>
      <c r="Q137" t="inlineStr">
        <is>
          <t>P2</t>
        </is>
      </c>
      <c r="R137" t="n">
        <v>85</v>
      </c>
      <c r="S137" s="5" t="inlineStr">
        <is>
          <t>Découvrez ce qui fait de CodeSommet votre partenaire idéal en développement web Audit Gratuit de Site Web Obtenez une analyse alimentée par l'IA avec une série complète de vérifications En savoir plus Voir Nos Réalisatio</t>
        </is>
      </c>
    </row>
    <row r="138">
      <c r="A138" s="3" t="inlineStr">
        <is>
          <t>https://codesommet.com/services/ecommerce-website-development</t>
        </is>
      </c>
      <c r="B138" t="n">
        <v>16</v>
      </c>
      <c r="C138" t="inlineStr">
        <is>
          <t>CTA / conversion</t>
        </is>
      </c>
      <c r="D138" s="5" t="inlineStr">
        <is>
          <t>Prêt à Construire Quelque Chose d'Extraordinaire ?</t>
        </is>
      </c>
      <c r="E138" t="inlineStr">
        <is>
          <t>H2</t>
        </is>
      </c>
      <c r="F138" s="5" t="inlineStr">
        <is>
          <t>Conversion</t>
        </is>
      </c>
      <c r="G138" t="inlineStr">
        <is>
          <t>—</t>
        </is>
      </c>
      <c r="H138" t="inlineStr">
        <is>
          <t>NONE</t>
        </is>
      </c>
      <c r="I138" t="inlineStr">
        <is>
          <t>—</t>
        </is>
      </c>
      <c r="J138" t="inlineStr">
        <is>
          <t>—</t>
        </is>
      </c>
      <c r="K138" t="inlineStr">
        <is>
          <t>—</t>
        </is>
      </c>
      <c r="L138" t="inlineStr">
        <is>
          <t>—</t>
        </is>
      </c>
      <c r="M138" t="inlineStr">
        <is>
          <t>—</t>
        </is>
      </c>
      <c r="N138" t="inlineStr">
        <is>
          <t>n/a</t>
        </is>
      </c>
      <c r="O138" s="5" t="inlineStr">
        <is>
          <t>No keyword target - keep conversion/navigation focus; use descriptive, non-repeated anchor texts</t>
        </is>
      </c>
      <c r="P138" s="5" t="inlineStr"/>
      <c r="Q138" t="inlineStr">
        <is>
          <t>P2</t>
        </is>
      </c>
      <c r="R138" t="n">
        <v>117</v>
      </c>
      <c r="S138" s="5" t="inlineStr">
        <is>
          <t>Rejoignez les entreprises visionnaires qui ont choisi l'excellence Réserver un Appel Découverte Analyser Mon Site Gratuitement Réserver un Appel Découverte Analyser Votre Site Web Discutons de comment l'IA et le design m</t>
        </is>
      </c>
    </row>
    <row r="139">
      <c r="A139" s="3" t="inlineStr">
        <is>
          <t>https://codesommet.com/services/saas-platform-development</t>
        </is>
      </c>
      <c r="B139" t="n">
        <v>1</v>
      </c>
      <c r="C139" t="inlineStr">
        <is>
          <t>Hero / H1</t>
        </is>
      </c>
      <c r="D139" s="5" t="inlineStr">
        <is>
          <t>Développement de Plateformes SaaS &amp; B2B qui génèrent des TABLEAUX DE BORD UTILISATEURS</t>
        </is>
      </c>
      <c r="E139" t="inlineStr">
        <is>
          <t>H1</t>
        </is>
      </c>
      <c r="F139" s="5" t="inlineStr">
        <is>
          <t>Commercial</t>
        </is>
      </c>
      <c r="G139" t="inlineStr">
        <is>
          <t>développement saas</t>
        </is>
      </c>
      <c r="H139" t="inlineStr">
        <is>
          <t>PRIMARY</t>
        </is>
      </c>
      <c r="I139" t="inlineStr">
        <is>
          <t>fr</t>
        </is>
      </c>
      <c r="J139" t="n">
        <v>170</v>
      </c>
      <c r="K139" t="n">
        <v>11</v>
      </c>
      <c r="L139" t="n">
        <v>6.46</v>
      </c>
      <c r="M139" t="inlineStr">
        <is>
          <t>MEASURED</t>
        </is>
      </c>
      <c r="N139" t="inlineStr">
        <is>
          <t>Yes</t>
        </is>
      </c>
      <c r="O139" s="5" t="inlineStr">
        <is>
          <t>Covered - keep wording; no change</t>
        </is>
      </c>
      <c r="P139" s="5" t="inlineStr"/>
      <c r="Q139" t="inlineStr">
        <is>
          <t>P2</t>
        </is>
      </c>
      <c r="R139" t="n">
        <v>67</v>
      </c>
      <c r="S139" s="5" t="inlineStr">
        <is>
          <t>Développement spécialisé de plateformes SaaS pour les éditeurs B2B, fournisseurs de services cloud et startups tech. Nous créons des plateformes SaaS avec architecture évolutive, analytiques en temps réel et intégrations</t>
        </is>
      </c>
    </row>
    <row r="140">
      <c r="A140" s="3" t="inlineStr">
        <is>
          <t>https://codesommet.com/services/saas-platform-development</t>
        </is>
      </c>
      <c r="B140" t="n">
        <v>2</v>
      </c>
      <c r="C140" t="inlineStr">
        <is>
          <t>Why us / differentiation</t>
        </is>
      </c>
      <c r="D140" s="5" t="inlineStr">
        <is>
          <t>Pourquoi Choisir CodeSommet dans le secteur SaaS &amp; Logiciels B2B ?</t>
        </is>
      </c>
      <c r="E140" t="inlineStr">
        <is>
          <t>H2</t>
        </is>
      </c>
      <c r="F140" s="5" t="inlineStr">
        <is>
          <t>Commercial investigation</t>
        </is>
      </c>
      <c r="G140" t="inlineStr">
        <is>
          <t>développement saas</t>
        </is>
      </c>
      <c r="H140" t="inlineStr">
        <is>
          <t>SUPPORTS PRIMARY</t>
        </is>
      </c>
      <c r="I140" t="inlineStr">
        <is>
          <t>fr</t>
        </is>
      </c>
      <c r="J140" t="n">
        <v>170</v>
      </c>
      <c r="K140" t="n">
        <v>11</v>
      </c>
      <c r="L140" t="n">
        <v>6.46</v>
      </c>
      <c r="M140" t="inlineStr">
        <is>
          <t>MEASURED</t>
        </is>
      </c>
      <c r="N140" t="inlineStr">
        <is>
          <t>Yes</t>
        </is>
      </c>
      <c r="O140" s="5" t="inlineStr">
        <is>
          <t>Covered - keep wording; no change</t>
        </is>
      </c>
      <c r="P140" s="5" t="inlineStr"/>
      <c r="Q140" t="inlineStr">
        <is>
          <t>P2</t>
        </is>
      </c>
      <c r="R140" t="n">
        <v>202</v>
      </c>
      <c r="S140" s="5" t="inlineStr">
        <is>
          <t>Une expertise locale alliée à des standards internationaux. Voici ce qui fait de nous le partenaire idéal en développement web dans le secteur SaaS &amp; Logiciels B2B. Une Part Importante de Nos Clients est dans le SaaS Exp</t>
        </is>
      </c>
    </row>
    <row r="141">
      <c r="A141" s="3" t="inlineStr">
        <is>
          <t>https://codesommet.com/services/saas-platform-development</t>
        </is>
      </c>
      <c r="B141" t="n">
        <v>3</v>
      </c>
      <c r="C141" t="inlineStr">
        <is>
          <t>Proof / portfolio / results</t>
        </is>
      </c>
      <c r="D141" s="5" t="inlineStr">
        <is>
          <t>Adopté par les SaaS &amp; Logiciels B2B Entreprises</t>
        </is>
      </c>
      <c r="E141" t="inlineStr">
        <is>
          <t>H2</t>
        </is>
      </c>
      <c r="F141" s="5" t="inlineStr">
        <is>
          <t>Commercial investigation</t>
        </is>
      </c>
      <c r="G141" t="inlineStr">
        <is>
          <t>développement saas</t>
        </is>
      </c>
      <c r="H141" t="inlineStr">
        <is>
          <t>SUPPORTS PRIMARY</t>
        </is>
      </c>
      <c r="I141" t="inlineStr">
        <is>
          <t>fr</t>
        </is>
      </c>
      <c r="J141" t="n">
        <v>170</v>
      </c>
      <c r="K141" t="n">
        <v>11</v>
      </c>
      <c r="L141" t="n">
        <v>6.46</v>
      </c>
      <c r="M141" t="inlineStr">
        <is>
          <t>MEASURED</t>
        </is>
      </c>
      <c r="N141" t="inlineStr">
        <is>
          <t>Yes (supporting block)</t>
        </is>
      </c>
      <c r="O141" s="5" t="inlineStr">
        <is>
          <t>Supports the primary topic - add only if natural</t>
        </is>
      </c>
      <c r="P141" s="5" t="inlineStr"/>
      <c r="Q141" t="inlineStr">
        <is>
          <t>P2</t>
        </is>
      </c>
      <c r="R141" t="n">
        <v>24</v>
      </c>
      <c r="S141" s="5" t="inlineStr">
        <is>
          <t>Projets livrés sur mesure Prospects générés pour nos clients Clients accompagnés Résultats réels de SaaS &amp; Logiciels B2B avec lesquelles nous avons collaboré Défis Courants</t>
        </is>
      </c>
    </row>
    <row r="142">
      <c r="A142" s="3" t="inlineStr">
        <is>
          <t>https://codesommet.com/services/saas-platform-development</t>
        </is>
      </c>
      <c r="B142" t="n">
        <v>4</v>
      </c>
      <c r="C142" t="inlineStr">
        <is>
          <t>Problems / pain points</t>
        </is>
      </c>
      <c r="D142" s="5" t="inlineStr">
        <is>
          <t>Le Défi : SaaS &amp; Logiciels B2B Les Entreprises Font Face à des Défis Web Uniques</t>
        </is>
      </c>
      <c r="E142" t="inlineStr">
        <is>
          <t>H2</t>
        </is>
      </c>
      <c r="F142" s="5" t="inlineStr">
        <is>
          <t>Commercial</t>
        </is>
      </c>
      <c r="G142" t="inlineStr">
        <is>
          <t>application web sur mesure</t>
        </is>
      </c>
      <c r="H142" t="inlineStr">
        <is>
          <t>SECONDARY</t>
        </is>
      </c>
      <c r="I142" t="inlineStr">
        <is>
          <t>fr</t>
        </is>
      </c>
      <c r="J142" t="n">
        <v>480</v>
      </c>
      <c r="K142" t="n">
        <v>14</v>
      </c>
      <c r="L142" t="n">
        <v>7.38</v>
      </c>
      <c r="M142" t="inlineStr">
        <is>
          <t>MEASURED</t>
        </is>
      </c>
      <c r="N142" t="inlineStr">
        <is>
          <t>Partly</t>
        </is>
      </c>
      <c r="O142" s="5" t="inlineStr">
        <is>
          <t>Work "application web sur mesure" (or a close natural variant) into existing copy - no new heading needed</t>
        </is>
      </c>
      <c r="P142" s="5" t="inlineStr">
        <is>
          <t>Keyword/variant absent from this section</t>
        </is>
      </c>
      <c r="Q142" t="inlineStr">
        <is>
          <t>P2</t>
        </is>
      </c>
      <c r="R142" t="n">
        <v>281</v>
      </c>
      <c r="S142" s="5" t="inlineStr">
        <is>
          <t xml:space="preserve">Les développeurs web généralistes ne comprennent pas ces problèmes spécifiques au SaaS &amp; logiciels B2B Le MVP ne Passe pas à l'Échelle en Production Votre prototype fonctionne pour une poignée d'utilisateurs mais plante </t>
        </is>
      </c>
    </row>
    <row r="143">
      <c r="A143" s="3" t="inlineStr">
        <is>
          <t>https://codesommet.com/services/saas-platform-development</t>
        </is>
      </c>
      <c r="B143" t="n">
        <v>5</v>
      </c>
      <c r="C143" t="inlineStr">
        <is>
          <t>Services / features</t>
        </is>
      </c>
      <c r="D143" s="5" t="inlineStr">
        <is>
          <t>Fonctionnalités Essentielles pour SaaS &amp; Logiciels B2B Sites Web</t>
        </is>
      </c>
      <c r="E143" t="inlineStr">
        <is>
          <t>H2</t>
        </is>
      </c>
      <c r="F143" s="5" t="inlineStr">
        <is>
          <t>Commercial</t>
        </is>
      </c>
      <c r="G143" t="inlineStr">
        <is>
          <t>agence saas</t>
        </is>
      </c>
      <c r="H143" t="inlineStr">
        <is>
          <t>SECONDARY</t>
        </is>
      </c>
      <c r="I143" t="inlineStr">
        <is>
          <t>fr</t>
        </is>
      </c>
      <c r="J143" t="n">
        <v>320</v>
      </c>
      <c r="K143" t="n">
        <v>16</v>
      </c>
      <c r="L143" t="n">
        <v>7.18</v>
      </c>
      <c r="M143" t="inlineStr">
        <is>
          <t>MEASURED</t>
        </is>
      </c>
      <c r="N143" t="inlineStr">
        <is>
          <t>Partly</t>
        </is>
      </c>
      <c r="O143" s="5" t="inlineStr">
        <is>
          <t>Work "agence saas" (or a close natural variant) into existing copy - no new heading needed</t>
        </is>
      </c>
      <c r="P143" s="5" t="inlineStr">
        <is>
          <t>Keyword/variant absent from this section</t>
        </is>
      </c>
      <c r="Q143" t="inlineStr">
        <is>
          <t>P2</t>
        </is>
      </c>
      <c r="R143" t="n">
        <v>166</v>
      </c>
      <c r="S143" s="5" t="inlineStr">
        <is>
          <t xml:space="preserve">Tout ce dont votre entreprise SaaS &amp; logiciels B2B a besoin en une seule plateforme Tableau de Bord Utilisateur Tableau de bord analytique complet avec métriques en temps réel, flux d'activité et insights personnalisés. </t>
        </is>
      </c>
    </row>
    <row r="144">
      <c r="A144" s="3" t="inlineStr">
        <is>
          <t>https://codesommet.com/services/saas-platform-development</t>
        </is>
      </c>
      <c r="B144" t="n">
        <v>6</v>
      </c>
      <c r="C144" t="inlineStr">
        <is>
          <t>Testimonials / social proof</t>
        </is>
      </c>
      <c r="D144" s="5" t="inlineStr">
        <is>
          <t>Histoires de Succès en SaaS &amp; Logiciels B2B</t>
        </is>
      </c>
      <c r="E144" t="inlineStr">
        <is>
          <t>H2</t>
        </is>
      </c>
      <c r="F144" s="5" t="inlineStr">
        <is>
          <t>Commercial investigation</t>
        </is>
      </c>
      <c r="G144" t="inlineStr">
        <is>
          <t>développement saas</t>
        </is>
      </c>
      <c r="H144" t="inlineStr">
        <is>
          <t>SUPPORTS PRIMARY</t>
        </is>
      </c>
      <c r="I144" t="inlineStr">
        <is>
          <t>fr</t>
        </is>
      </c>
      <c r="J144" t="n">
        <v>170</v>
      </c>
      <c r="K144" t="n">
        <v>11</v>
      </c>
      <c r="L144" t="n">
        <v>6.46</v>
      </c>
      <c r="M144" t="inlineStr">
        <is>
          <t>MEASURED</t>
        </is>
      </c>
      <c r="N144" t="inlineStr">
        <is>
          <t>Yes (supporting block)</t>
        </is>
      </c>
      <c r="O144" s="5" t="inlineStr">
        <is>
          <t>Supports the primary topic - add only if natural</t>
        </is>
      </c>
      <c r="P144" s="5" t="inlineStr"/>
      <c r="Q144" t="inlineStr">
        <is>
          <t>P2</t>
        </is>
      </c>
      <c r="R144" t="n">
        <v>42</v>
      </c>
      <c r="S144" s="5" t="inlineStr">
        <is>
          <t>Projets réels, résultats réels. Découvrez comment nous avons aidé les entreprises en SaaS &amp; Logiciels B2B à atteindre leurs objectifs numériques. SaaS Mon Asso Plateforme SaaS de gestion d'associations Maroc SaaS Hssabek</t>
        </is>
      </c>
    </row>
    <row r="145">
      <c r="A145" s="3" t="inlineStr">
        <is>
          <t>https://codesommet.com/services/saas-platform-development</t>
        </is>
      </c>
      <c r="B145" t="n">
        <v>7</v>
      </c>
      <c r="C145" t="inlineStr">
        <is>
          <t>Process / how it works</t>
        </is>
      </c>
      <c r="D145" s="5" t="inlineStr">
        <is>
          <t>Notre Processus de Développement pour SaaS &amp; Logiciels B2B</t>
        </is>
      </c>
      <c r="E145" t="inlineStr">
        <is>
          <t>H2</t>
        </is>
      </c>
      <c r="F145" s="5" t="inlineStr">
        <is>
          <t>Informational / commercial</t>
        </is>
      </c>
      <c r="G145" t="inlineStr">
        <is>
          <t>développement saas</t>
        </is>
      </c>
      <c r="H145" t="inlineStr">
        <is>
          <t>SUPPORTS PRIMARY</t>
        </is>
      </c>
      <c r="I145" t="inlineStr">
        <is>
          <t>fr</t>
        </is>
      </c>
      <c r="J145" t="n">
        <v>170</v>
      </c>
      <c r="K145" t="n">
        <v>11</v>
      </c>
      <c r="L145" t="n">
        <v>6.46</v>
      </c>
      <c r="M145" t="inlineStr">
        <is>
          <t>MEASURED</t>
        </is>
      </c>
      <c r="N145" t="inlineStr">
        <is>
          <t>Yes</t>
        </is>
      </c>
      <c r="O145" s="5" t="inlineStr">
        <is>
          <t>Covered - keep wording; no change</t>
        </is>
      </c>
      <c r="P145" s="5" t="inlineStr"/>
      <c r="Q145" t="inlineStr">
        <is>
          <t>P2</t>
        </is>
      </c>
      <c r="R145" t="n">
        <v>112</v>
      </c>
      <c r="S145" s="5" t="inlineStr">
        <is>
          <t>Du concept au lancement en 4 étapes, optimisé pour les entreprises SaaS &amp; logiciels B2B Étape 1 Découverte &amp; Architecture Rapport d'analyse concurrentielle Cartographie des personas utilisateurs &amp; parcours Priorisation d</t>
        </is>
      </c>
    </row>
    <row r="146">
      <c r="A146" s="3" t="inlineStr">
        <is>
          <t>https://codesommet.com/services/saas-platform-development</t>
        </is>
      </c>
      <c r="B146" t="n">
        <v>8</v>
      </c>
      <c r="C146" t="inlineStr">
        <is>
          <t>Pricing / offers</t>
        </is>
      </c>
      <c r="D146" s="5" t="inlineStr">
        <is>
          <t>Solutions Personnalisées, Tarification Transparente</t>
        </is>
      </c>
      <c r="E146" t="inlineStr">
        <is>
          <t>H2</t>
        </is>
      </c>
      <c r="F146" s="5" t="inlineStr">
        <is>
          <t>Commercial / transactional</t>
        </is>
      </c>
      <c r="G146" t="inlineStr">
        <is>
          <t>développement saas</t>
        </is>
      </c>
      <c r="H146" t="inlineStr">
        <is>
          <t>SUPPORTS PRIMARY</t>
        </is>
      </c>
      <c r="I146" t="inlineStr">
        <is>
          <t>fr</t>
        </is>
      </c>
      <c r="J146" t="n">
        <v>170</v>
      </c>
      <c r="K146" t="n">
        <v>11</v>
      </c>
      <c r="L146" t="n">
        <v>6.46</v>
      </c>
      <c r="M146" t="inlineStr">
        <is>
          <t>MEASURED</t>
        </is>
      </c>
      <c r="N146" t="inlineStr">
        <is>
          <t>Yes (supporting block)</t>
        </is>
      </c>
      <c r="O146" s="5" t="inlineStr">
        <is>
          <t>Supports the primary topic - add only if natural</t>
        </is>
      </c>
      <c r="P146" s="5" t="inlineStr"/>
      <c r="Q146" t="inlineStr">
        <is>
          <t>P2</t>
        </is>
      </c>
      <c r="R146" t="n">
        <v>201</v>
      </c>
      <c r="S146" s="5" t="inlineStr">
        <is>
          <t>Réservez un appel découverte pour discuter de vos besoins spécifiques et obtenir un devis personnalisé Recommandé Développement de Sites Web Site web complet avec fonctionnalités IA, tableaux de bord et design premium li</t>
        </is>
      </c>
    </row>
    <row r="147">
      <c r="A147" s="3" t="inlineStr">
        <is>
          <t>https://codesommet.com/services/saas-platform-development</t>
        </is>
      </c>
      <c r="B147" t="n">
        <v>9</v>
      </c>
      <c r="C147" t="inlineStr">
        <is>
          <t>CTA / conversion</t>
        </is>
      </c>
      <c r="D147" s="5" t="inlineStr">
        <is>
          <t>Prêt à Transformer Votre Site Web SaaS &amp; Logiciels B2B ?</t>
        </is>
      </c>
      <c r="E147" t="inlineStr">
        <is>
          <t>H2</t>
        </is>
      </c>
      <c r="F147" s="5" t="inlineStr">
        <is>
          <t>Conversion</t>
        </is>
      </c>
      <c r="G147" t="inlineStr">
        <is>
          <t>—</t>
        </is>
      </c>
      <c r="H147" t="inlineStr">
        <is>
          <t>NONE</t>
        </is>
      </c>
      <c r="I147" t="inlineStr">
        <is>
          <t>—</t>
        </is>
      </c>
      <c r="J147" t="inlineStr">
        <is>
          <t>—</t>
        </is>
      </c>
      <c r="K147" t="inlineStr">
        <is>
          <t>—</t>
        </is>
      </c>
      <c r="L147" t="inlineStr">
        <is>
          <t>—</t>
        </is>
      </c>
      <c r="M147" t="inlineStr">
        <is>
          <t>—</t>
        </is>
      </c>
      <c r="N147" t="inlineStr">
        <is>
          <t>n/a</t>
        </is>
      </c>
      <c r="O147" s="5" t="inlineStr">
        <is>
          <t>No keyword target - keep conversion/navigation focus; use descriptive, non-repeated anchor texts</t>
        </is>
      </c>
      <c r="P147" s="5" t="inlineStr"/>
      <c r="Q147" t="inlineStr">
        <is>
          <t>P2</t>
        </is>
      </c>
      <c r="R147" t="n">
        <v>41</v>
      </c>
      <c r="S147" s="5" t="inlineStr">
        <is>
          <t xml:space="preserve">Obtenez d'abord une analyse gratuite complète : Audit SEO Vérification des performances Révision du design Recommandations alimentées par l'IA Analyser Votre Site Web - Entièrement Gratuit Pas de carte de crédit requise </t>
        </is>
      </c>
    </row>
    <row r="148">
      <c r="A148" s="3" t="inlineStr">
        <is>
          <t>https://codesommet.com/services/saas-platform-development</t>
        </is>
      </c>
      <c r="B148" t="n">
        <v>10</v>
      </c>
      <c r="C148" t="inlineStr">
        <is>
          <t>Why us / differentiation</t>
        </is>
      </c>
      <c r="D148" s="5" t="inlineStr">
        <is>
          <t>CodeSommet SaaS &amp; Logiciels B2B vs Autres</t>
        </is>
      </c>
      <c r="E148" t="inlineStr">
        <is>
          <t>H2</t>
        </is>
      </c>
      <c r="F148" s="5" t="inlineStr">
        <is>
          <t>Commercial investigation</t>
        </is>
      </c>
      <c r="G148" t="inlineStr">
        <is>
          <t>développement saas</t>
        </is>
      </c>
      <c r="H148" t="inlineStr">
        <is>
          <t>SUPPORTS PRIMARY</t>
        </is>
      </c>
      <c r="I148" t="inlineStr">
        <is>
          <t>fr</t>
        </is>
      </c>
      <c r="J148" t="n">
        <v>170</v>
      </c>
      <c r="K148" t="n">
        <v>11</v>
      </c>
      <c r="L148" t="n">
        <v>6.46</v>
      </c>
      <c r="M148" t="inlineStr">
        <is>
          <t>MEASURED</t>
        </is>
      </c>
      <c r="N148" t="inlineStr">
        <is>
          <t>Yes</t>
        </is>
      </c>
      <c r="O148" s="5" t="inlineStr">
        <is>
          <t>Covered - keep wording; no change</t>
        </is>
      </c>
      <c r="P148" s="5" t="inlineStr"/>
      <c r="Q148" t="inlineStr">
        <is>
          <t>P2</t>
        </is>
      </c>
      <c r="R148" t="n">
        <v>131</v>
      </c>
      <c r="S148" s="5" t="inlineStr">
        <is>
          <t>Découvrez pourquoi SaaS &amp; Logiciels B2B entreprises choisissent CodeSommet plutôt que d'autres agences locales et concurrents internationaux. Fonctionnalité CodeSommet SaaS &amp; Logiciels B2B Autres SaaS &amp; Logiciels B2B Age</t>
        </is>
      </c>
    </row>
    <row r="149">
      <c r="A149" s="3" t="inlineStr">
        <is>
          <t>https://codesommet.com/services/saas-platform-development</t>
        </is>
      </c>
      <c r="B149" t="n">
        <v>11</v>
      </c>
      <c r="C149" t="inlineStr">
        <is>
          <t>Testimonials / social proof</t>
        </is>
      </c>
      <c r="D149" s="5" t="inlineStr">
        <is>
          <t>Ce que Nos Clients en SaaS &amp; Logiciels B2B Disent de Nous</t>
        </is>
      </c>
      <c r="E149" t="inlineStr">
        <is>
          <t>H2</t>
        </is>
      </c>
      <c r="F149" s="5" t="inlineStr">
        <is>
          <t>Commercial investigation</t>
        </is>
      </c>
      <c r="G149" t="inlineStr">
        <is>
          <t>développement saas</t>
        </is>
      </c>
      <c r="H149" t="inlineStr">
        <is>
          <t>SUPPORTS PRIMARY</t>
        </is>
      </c>
      <c r="I149" t="inlineStr">
        <is>
          <t>fr</t>
        </is>
      </c>
      <c r="J149" t="n">
        <v>170</v>
      </c>
      <c r="K149" t="n">
        <v>11</v>
      </c>
      <c r="L149" t="n">
        <v>6.46</v>
      </c>
      <c r="M149" t="inlineStr">
        <is>
          <t>MEASURED</t>
        </is>
      </c>
      <c r="N149" t="inlineStr">
        <is>
          <t>Yes (supporting block)</t>
        </is>
      </c>
      <c r="O149" s="5" t="inlineStr">
        <is>
          <t>Supports the primary topic - add only if natural</t>
        </is>
      </c>
      <c r="P149" s="5" t="inlineStr"/>
      <c r="Q149" t="inlineStr">
        <is>
          <t>P2</t>
        </is>
      </c>
      <c r="R149" t="n">
        <v>107</v>
      </c>
      <c r="S149" s="5" t="inlineStr">
        <is>
          <t>Ne nous croyez pas sur parole. Écoutez les entreprises en SaaS &amp; Logiciels B2B qui ont obtenu des résultats remarquables avec CodeSommet. "Une collaboration professionnelle du début à la fin. Je recommande sans hésiter."</t>
        </is>
      </c>
    </row>
    <row r="150">
      <c r="A150" s="3" t="inlineStr">
        <is>
          <t>https://codesommet.com/services/saas-platform-development</t>
        </is>
      </c>
      <c r="B150" t="n">
        <v>12</v>
      </c>
      <c r="C150" t="inlineStr">
        <is>
          <t>FAQ</t>
        </is>
      </c>
      <c r="D150" s="5" t="inlineStr">
        <is>
          <t>Questions Fréquemment Posées sur le Développement Web en SaaS &amp; Logiciels B2B</t>
        </is>
      </c>
      <c r="E150" t="inlineStr">
        <is>
          <t>H2</t>
        </is>
      </c>
      <c r="F150" s="5" t="inlineStr">
        <is>
          <t>Informational (pre-purchase questions)</t>
        </is>
      </c>
      <c r="G150" t="inlineStr">
        <is>
          <t>développement saas</t>
        </is>
      </c>
      <c r="H150" t="inlineStr">
        <is>
          <t>SUPPORTS PRIMARY</t>
        </is>
      </c>
      <c r="I150" t="inlineStr">
        <is>
          <t>fr</t>
        </is>
      </c>
      <c r="J150" t="n">
        <v>170</v>
      </c>
      <c r="K150" t="n">
        <v>11</v>
      </c>
      <c r="L150" t="n">
        <v>6.46</v>
      </c>
      <c r="M150" t="inlineStr">
        <is>
          <t>MEASURED</t>
        </is>
      </c>
      <c r="N150" t="inlineStr">
        <is>
          <t>Yes</t>
        </is>
      </c>
      <c r="O150" s="5" t="inlineStr">
        <is>
          <t>Covered - keep wording; no change</t>
        </is>
      </c>
      <c r="P150" s="5" t="inlineStr"/>
      <c r="Q150" t="inlineStr">
        <is>
          <t>P2</t>
        </is>
      </c>
      <c r="R150" t="n">
        <v>600</v>
      </c>
      <c r="S150" s="5" t="inlineStr">
        <is>
          <t>Vous avez des questions ? Nous avons les réponses. Voici les questions les plus courantes de SaaS &amp; Logiciels B2B entreprises. 1 Combien de temps faut-il pour créer une plateforme SaaS ? Le délai dépend du périmètre fonc</t>
        </is>
      </c>
    </row>
    <row r="151">
      <c r="A151" s="3" t="inlineStr">
        <is>
          <t>https://codesommet.com/services/saas-platform-development</t>
        </is>
      </c>
      <c r="B151" t="n">
        <v>13</v>
      </c>
      <c r="C151" t="inlineStr">
        <is>
          <t>Services / features</t>
        </is>
      </c>
      <c r="D151" s="5" t="inlineStr">
        <is>
          <t>Au Service de Clients dans le Monde Entier</t>
        </is>
      </c>
      <c r="E151" t="inlineStr">
        <is>
          <t>H2</t>
        </is>
      </c>
      <c r="F151" s="5" t="inlineStr">
        <is>
          <t>Commercial</t>
        </is>
      </c>
      <c r="G151" t="inlineStr">
        <is>
          <t>logiciel saas sur mesure</t>
        </is>
      </c>
      <c r="H151" t="inlineStr">
        <is>
          <t>SECONDARY</t>
        </is>
      </c>
      <c r="I151" t="inlineStr">
        <is>
          <t>fr</t>
        </is>
      </c>
      <c r="J151" t="n">
        <v>170</v>
      </c>
      <c r="K151" t="n">
        <v>13</v>
      </c>
      <c r="L151" t="n">
        <v>0</v>
      </c>
      <c r="M151" t="inlineStr">
        <is>
          <t>MEASURED</t>
        </is>
      </c>
      <c r="N151" t="inlineStr">
        <is>
          <t>Partly</t>
        </is>
      </c>
      <c r="O151" s="5" t="inlineStr">
        <is>
          <t>Work "logiciel saas sur mesure" (or a close natural variant) into existing copy - no new heading needed</t>
        </is>
      </c>
      <c r="P151" s="5" t="inlineStr">
        <is>
          <t>Keyword/variant absent from this section</t>
        </is>
      </c>
      <c r="Q151" t="inlineStr">
        <is>
          <t>P2</t>
        </is>
      </c>
      <c r="R151" t="n">
        <v>62</v>
      </c>
      <c r="S151" s="5" t="inlineStr">
        <is>
          <t>Nous avons créé des sites web SaaS &amp; logiciels B2B pour des clients du monde entier. Que vous soyez au Maroc ou ailleurs, nous livrons des solutions de classe mondiale. Dubaï 🇦🇪 UAE Casablanca 🇲🇦 Maroc San Francisco 🇺🇸 É</t>
        </is>
      </c>
    </row>
    <row r="152">
      <c r="A152" s="3" t="inlineStr">
        <is>
          <t>https://codesommet.com/services/saas-platform-development</t>
        </is>
      </c>
      <c r="B152" t="n">
        <v>14</v>
      </c>
      <c r="C152" t="inlineStr">
        <is>
          <t>Internal-link block</t>
        </is>
      </c>
      <c r="D152" s="5" t="inlineStr">
        <is>
          <t>Industries Connexes que Nous Servons</t>
        </is>
      </c>
      <c r="E152" t="inlineStr">
        <is>
          <t>H2</t>
        </is>
      </c>
      <c r="F152" s="5" t="inlineStr">
        <is>
          <t>Navigation</t>
        </is>
      </c>
      <c r="G152" t="inlineStr">
        <is>
          <t>—</t>
        </is>
      </c>
      <c r="H152" t="inlineStr">
        <is>
          <t>NONE</t>
        </is>
      </c>
      <c r="I152" t="inlineStr">
        <is>
          <t>—</t>
        </is>
      </c>
      <c r="J152" t="inlineStr">
        <is>
          <t>—</t>
        </is>
      </c>
      <c r="K152" t="inlineStr">
        <is>
          <t>—</t>
        </is>
      </c>
      <c r="L152" t="inlineStr">
        <is>
          <t>—</t>
        </is>
      </c>
      <c r="M152" t="inlineStr">
        <is>
          <t>—</t>
        </is>
      </c>
      <c r="N152" t="inlineStr">
        <is>
          <t>n/a</t>
        </is>
      </c>
      <c r="O152" s="5" t="inlineStr">
        <is>
          <t>No keyword target - keep conversion/navigation focus; use descriptive, non-repeated anchor texts</t>
        </is>
      </c>
      <c r="P152" s="5" t="inlineStr"/>
      <c r="Q152" t="inlineStr">
        <is>
          <t>P2</t>
        </is>
      </c>
      <c r="R152" t="n">
        <v>119</v>
      </c>
      <c r="S152" s="5" t="inlineStr">
        <is>
          <t xml:space="preserve">Découvrez nos services de développement web spécialisés pour d'autres industries Conseil en Études à l'Étranger Plateformes de cours, systèmes LMS et portails étudiants pour les agences d'études à l'étranger. Immobilier </t>
        </is>
      </c>
    </row>
    <row r="153">
      <c r="A153" s="3" t="inlineStr">
        <is>
          <t>https://codesommet.com/services/saas-platform-development</t>
        </is>
      </c>
      <c r="B153" t="n">
        <v>15</v>
      </c>
      <c r="C153" t="inlineStr">
        <is>
          <t>Internal-link block</t>
        </is>
      </c>
      <c r="D153" s="5" t="inlineStr">
        <is>
          <t>Articles liés</t>
        </is>
      </c>
      <c r="E153" t="inlineStr">
        <is>
          <t>H2</t>
        </is>
      </c>
      <c r="F153" s="5" t="inlineStr">
        <is>
          <t>Navigation</t>
        </is>
      </c>
      <c r="G153" t="inlineStr">
        <is>
          <t>—</t>
        </is>
      </c>
      <c r="H153" t="inlineStr">
        <is>
          <t>NONE</t>
        </is>
      </c>
      <c r="I153" t="inlineStr">
        <is>
          <t>—</t>
        </is>
      </c>
      <c r="J153" t="inlineStr">
        <is>
          <t>—</t>
        </is>
      </c>
      <c r="K153" t="inlineStr">
        <is>
          <t>—</t>
        </is>
      </c>
      <c r="L153" t="inlineStr">
        <is>
          <t>—</t>
        </is>
      </c>
      <c r="M153" t="inlineStr">
        <is>
          <t>—</t>
        </is>
      </c>
      <c r="N153" t="inlineStr">
        <is>
          <t>n/a</t>
        </is>
      </c>
      <c r="O153" s="5" t="inlineStr">
        <is>
          <t>No keyword target - keep conversion/navigation focus; use descriptive, non-repeated anchor texts</t>
        </is>
      </c>
      <c r="P153" s="5" t="inlineStr"/>
      <c r="Q153" t="inlineStr">
        <is>
          <t>P2</t>
        </is>
      </c>
      <c r="R153" t="n">
        <v>187</v>
      </c>
      <c r="S153" s="5" t="inlineStr">
        <is>
          <t>Guides et conseils de notre blog pour approfondir ce type de projet. Développement Web 24 août 2026 · 7 min de lecture Créer une plateforme SaaS : MVP, multi-tenant, facturation — par où commencer ? Lancer un SaaS, c'est</t>
        </is>
      </c>
    </row>
    <row r="154">
      <c r="A154" s="3" t="inlineStr">
        <is>
          <t>https://codesommet.com/services/saas-platform-development</t>
        </is>
      </c>
      <c r="B154" t="n">
        <v>16</v>
      </c>
      <c r="C154" t="inlineStr">
        <is>
          <t>Internal-link block</t>
        </is>
      </c>
      <c r="D154" s="5" t="inlineStr">
        <is>
          <t>Explorer Plus</t>
        </is>
      </c>
      <c r="E154" t="inlineStr">
        <is>
          <t>H2</t>
        </is>
      </c>
      <c r="F154" s="5" t="inlineStr">
        <is>
          <t>Navigation</t>
        </is>
      </c>
      <c r="G154" t="inlineStr">
        <is>
          <t>—</t>
        </is>
      </c>
      <c r="H154" t="inlineStr">
        <is>
          <t>NONE</t>
        </is>
      </c>
      <c r="I154" t="inlineStr">
        <is>
          <t>—</t>
        </is>
      </c>
      <c r="J154" t="inlineStr">
        <is>
          <t>—</t>
        </is>
      </c>
      <c r="K154" t="inlineStr">
        <is>
          <t>—</t>
        </is>
      </c>
      <c r="L154" t="inlineStr">
        <is>
          <t>—</t>
        </is>
      </c>
      <c r="M154" t="inlineStr">
        <is>
          <t>—</t>
        </is>
      </c>
      <c r="N154" t="inlineStr">
        <is>
          <t>n/a</t>
        </is>
      </c>
      <c r="O154" s="5" t="inlineStr">
        <is>
          <t>No keyword target - keep conversion/navigation focus; use descriptive, non-repeated anchor texts</t>
        </is>
      </c>
      <c r="P154" s="5" t="inlineStr"/>
      <c r="Q154" t="inlineStr">
        <is>
          <t>P2</t>
        </is>
      </c>
      <c r="R154" t="n">
        <v>84</v>
      </c>
      <c r="S154" s="5" t="inlineStr">
        <is>
          <t>Découvrez ce qui fait de CodeSommet votre partenaire idéal en développement web Audit Gratuit de Site Web Obtenez une analyse alimentée par l'IA avec des dizaines de vérifications En savoir plus Voir Nos Réalisations Exp</t>
        </is>
      </c>
    </row>
    <row r="155">
      <c r="A155" s="3" t="inlineStr">
        <is>
          <t>https://codesommet.com/services/saas-platform-development</t>
        </is>
      </c>
      <c r="B155" t="n">
        <v>17</v>
      </c>
      <c r="C155" t="inlineStr">
        <is>
          <t>CTA / conversion</t>
        </is>
      </c>
      <c r="D155" s="5" t="inlineStr">
        <is>
          <t>Prêt à Construire Quelque Chose d'Extraordinaire ?</t>
        </is>
      </c>
      <c r="E155" t="inlineStr">
        <is>
          <t>H2</t>
        </is>
      </c>
      <c r="F155" s="5" t="inlineStr">
        <is>
          <t>Conversion</t>
        </is>
      </c>
      <c r="G155" t="inlineStr">
        <is>
          <t>—</t>
        </is>
      </c>
      <c r="H155" t="inlineStr">
        <is>
          <t>NONE</t>
        </is>
      </c>
      <c r="I155" t="inlineStr">
        <is>
          <t>—</t>
        </is>
      </c>
      <c r="J155" t="inlineStr">
        <is>
          <t>—</t>
        </is>
      </c>
      <c r="K155" t="inlineStr">
        <is>
          <t>—</t>
        </is>
      </c>
      <c r="L155" t="inlineStr">
        <is>
          <t>—</t>
        </is>
      </c>
      <c r="M155" t="inlineStr">
        <is>
          <t>—</t>
        </is>
      </c>
      <c r="N155" t="inlineStr">
        <is>
          <t>n/a</t>
        </is>
      </c>
      <c r="O155" s="5" t="inlineStr">
        <is>
          <t>No keyword target - keep conversion/navigation focus; use descriptive, non-repeated anchor texts</t>
        </is>
      </c>
      <c r="P155" s="5" t="inlineStr"/>
      <c r="Q155" t="inlineStr">
        <is>
          <t>P2</t>
        </is>
      </c>
      <c r="R155" t="n">
        <v>117</v>
      </c>
      <c r="S155" s="5" t="inlineStr">
        <is>
          <t>Rejoignez les entreprises visionnaires qui ont choisi l'excellence Réserver un Appel Découverte Analyser Mon Site Gratuitement Réserver un Appel Découverte Analyser Votre Site Web Discutons de comment l'IA et le design m</t>
        </is>
      </c>
    </row>
    <row r="156">
      <c r="A156" s="3" t="inlineStr">
        <is>
          <t>https://codesommet.com/services/fintech-platform-development</t>
        </is>
      </c>
      <c r="B156" t="n">
        <v>1</v>
      </c>
      <c r="C156" t="inlineStr">
        <is>
          <t>Hero / H1</t>
        </is>
      </c>
      <c r="D156" s="5" t="inlineStr">
        <is>
          <t>Développement de Plateformes FinTech qui génèrent des PASSERELLES DE PAIEMENT</t>
        </is>
      </c>
      <c r="E156" t="inlineStr">
        <is>
          <t>H1</t>
        </is>
      </c>
      <c r="F156" s="5" t="inlineStr">
        <is>
          <t>Commercial</t>
        </is>
      </c>
      <c r="G156" t="inlineStr">
        <is>
          <t>développement fintech</t>
        </is>
      </c>
      <c r="H156" t="inlineStr">
        <is>
          <t>PRIMARY</t>
        </is>
      </c>
      <c r="I156" t="inlineStr">
        <is>
          <t>fr</t>
        </is>
      </c>
      <c r="J156" t="n">
        <v>0</v>
      </c>
      <c r="K156" t="inlineStr">
        <is>
          <t>NOT AVAILABLE</t>
        </is>
      </c>
      <c r="L156" t="n">
        <v>0</v>
      </c>
      <c r="M156" t="inlineStr">
        <is>
          <t>MEASURED</t>
        </is>
      </c>
      <c r="N156" t="inlineStr">
        <is>
          <t>Yes</t>
        </is>
      </c>
      <c r="O156" s="5" t="inlineStr">
        <is>
          <t>Covered - keep wording; no change</t>
        </is>
      </c>
      <c r="P156" s="5" t="inlineStr"/>
      <c r="Q156" t="inlineStr">
        <is>
          <t>P2</t>
        </is>
      </c>
      <c r="R156" t="n">
        <v>81</v>
      </c>
      <c r="S156" s="5" t="inlineStr">
        <is>
          <t>Développement de plateformes FinTech spécialisé pour les processeurs de paiement, les banques numériques, les plateformes de trading et les services financiers. Nous construisons des plateformes FinTech suivant les bonne</t>
        </is>
      </c>
    </row>
    <row r="157">
      <c r="A157" s="3" t="inlineStr">
        <is>
          <t>https://codesommet.com/services/fintech-platform-development</t>
        </is>
      </c>
      <c r="B157" t="n">
        <v>2</v>
      </c>
      <c r="C157" t="inlineStr">
        <is>
          <t>Why us / differentiation</t>
        </is>
      </c>
      <c r="D157" s="5" t="inlineStr">
        <is>
          <t>Pourquoi Choisir CodeSommet dans le secteur FinTech et Services Financiers ?</t>
        </is>
      </c>
      <c r="E157" t="inlineStr">
        <is>
          <t>H2</t>
        </is>
      </c>
      <c r="F157" s="5" t="inlineStr">
        <is>
          <t>Commercial investigation</t>
        </is>
      </c>
      <c r="G157" t="inlineStr">
        <is>
          <t>développement fintech</t>
        </is>
      </c>
      <c r="H157" t="inlineStr">
        <is>
          <t>SUPPORTS PRIMARY</t>
        </is>
      </c>
      <c r="I157" t="inlineStr">
        <is>
          <t>fr</t>
        </is>
      </c>
      <c r="J157" t="n">
        <v>0</v>
      </c>
      <c r="K157" t="inlineStr">
        <is>
          <t>NOT AVAILABLE</t>
        </is>
      </c>
      <c r="L157" t="n">
        <v>0</v>
      </c>
      <c r="M157" t="inlineStr">
        <is>
          <t>MEASURED</t>
        </is>
      </c>
      <c r="N157" t="inlineStr">
        <is>
          <t>Yes</t>
        </is>
      </c>
      <c r="O157" s="5" t="inlineStr">
        <is>
          <t>Covered - keep wording; no change</t>
        </is>
      </c>
      <c r="P157" s="5" t="inlineStr"/>
      <c r="Q157" t="inlineStr">
        <is>
          <t>P2</t>
        </is>
      </c>
      <c r="R157" t="n">
        <v>216</v>
      </c>
      <c r="S157" s="5" t="inlineStr">
        <is>
          <t>L'expertise locale rencontre les standards internationaux. Voici ce qui fait de nous le partenaire idéal en développement web dans le secteur FinTech et Services Financiers . Une Part Importante de Nos Clients Est dans l</t>
        </is>
      </c>
    </row>
    <row r="158">
      <c r="A158" s="3" t="inlineStr">
        <is>
          <t>https://codesommet.com/services/fintech-platform-development</t>
        </is>
      </c>
      <c r="B158" t="n">
        <v>3</v>
      </c>
      <c r="C158" t="inlineStr">
        <is>
          <t>Proof / portfolio / results</t>
        </is>
      </c>
      <c r="D158" s="5" t="inlineStr">
        <is>
          <t>Adopté par les FinTech et Services Financiers Entreprises</t>
        </is>
      </c>
      <c r="E158" t="inlineStr">
        <is>
          <t>H2</t>
        </is>
      </c>
      <c r="F158" s="5" t="inlineStr">
        <is>
          <t>Commercial investigation</t>
        </is>
      </c>
      <c r="G158" t="inlineStr">
        <is>
          <t>développement fintech</t>
        </is>
      </c>
      <c r="H158" t="inlineStr">
        <is>
          <t>SUPPORTS PRIMARY</t>
        </is>
      </c>
      <c r="I158" t="inlineStr">
        <is>
          <t>fr</t>
        </is>
      </c>
      <c r="J158" t="n">
        <v>0</v>
      </c>
      <c r="K158" t="inlineStr">
        <is>
          <t>NOT AVAILABLE</t>
        </is>
      </c>
      <c r="L158" t="n">
        <v>0</v>
      </c>
      <c r="M158" t="inlineStr">
        <is>
          <t>MEASURED</t>
        </is>
      </c>
      <c r="N158" t="inlineStr">
        <is>
          <t>Yes (supporting block)</t>
        </is>
      </c>
      <c r="O158" s="5" t="inlineStr">
        <is>
          <t>Supports the primary topic - add only if natural</t>
        </is>
      </c>
      <c r="P158" s="5" t="inlineStr"/>
      <c r="Q158" t="inlineStr">
        <is>
          <t>P2</t>
        </is>
      </c>
      <c r="R158" t="n">
        <v>25</v>
      </c>
      <c r="S158" s="5" t="inlineStr">
        <is>
          <t>Projets livrés sur mesure Prospects générés pour nos clients Clients accompagnés Résultats réels de FinTech et Services Financiers avec lesquelles nous avons collaboré Défis Courants</t>
        </is>
      </c>
    </row>
    <row r="159">
      <c r="A159" s="3" t="inlineStr">
        <is>
          <t>https://codesommet.com/services/fintech-platform-development</t>
        </is>
      </c>
      <c r="B159" t="n">
        <v>4</v>
      </c>
      <c r="C159" t="inlineStr">
        <is>
          <t>Problems / pain points</t>
        </is>
      </c>
      <c r="D159" s="5" t="inlineStr">
        <is>
          <t>Le Défi : FinTech et Services Financiers Les Entreprises Font Face à des Défis Web Uniques</t>
        </is>
      </c>
      <c r="E159" t="inlineStr">
        <is>
          <t>H2</t>
        </is>
      </c>
      <c r="F159" s="5" t="inlineStr">
        <is>
          <t>Commercial</t>
        </is>
      </c>
      <c r="G159" t="inlineStr">
        <is>
          <t>plateforme de paiement</t>
        </is>
      </c>
      <c r="H159" t="inlineStr">
        <is>
          <t>SECONDARY</t>
        </is>
      </c>
      <c r="I159" t="inlineStr">
        <is>
          <t>fr</t>
        </is>
      </c>
      <c r="J159" t="n">
        <v>260</v>
      </c>
      <c r="K159" t="n">
        <v>35</v>
      </c>
      <c r="L159" t="n">
        <v>5.82</v>
      </c>
      <c r="M159" t="inlineStr">
        <is>
          <t>MEASURED</t>
        </is>
      </c>
      <c r="N159" t="inlineStr">
        <is>
          <t>Yes</t>
        </is>
      </c>
      <c r="O159" s="5" t="inlineStr">
        <is>
          <t>Covered - keep wording; no change</t>
        </is>
      </c>
      <c r="P159" s="5" t="inlineStr"/>
      <c r="Q159" t="inlineStr">
        <is>
          <t>P2</t>
        </is>
      </c>
      <c r="R159" t="n">
        <v>311</v>
      </c>
      <c r="S159" s="5" t="inlineStr">
        <is>
          <t>Les développeurs web généralistes ne comprennent pas ces problématiques spécifiques à la fintech et aux services financiers Cette page couvre le développement de plateformes produit (paiement, trading, KYC, conformité) —</t>
        </is>
      </c>
    </row>
    <row r="160">
      <c r="A160" s="3" t="inlineStr">
        <is>
          <t>https://codesommet.com/services/fintech-platform-development</t>
        </is>
      </c>
      <c r="B160" t="n">
        <v>5</v>
      </c>
      <c r="C160" t="inlineStr">
        <is>
          <t>Internal-link block</t>
        </is>
      </c>
      <c r="D160" s="5" t="inlineStr">
        <is>
          <t>Articles liés</t>
        </is>
      </c>
      <c r="E160" t="inlineStr">
        <is>
          <t>H2</t>
        </is>
      </c>
      <c r="F160" s="5" t="inlineStr">
        <is>
          <t>Navigation</t>
        </is>
      </c>
      <c r="G160" t="inlineStr">
        <is>
          <t>—</t>
        </is>
      </c>
      <c r="H160" t="inlineStr">
        <is>
          <t>NONE</t>
        </is>
      </c>
      <c r="I160" t="inlineStr">
        <is>
          <t>—</t>
        </is>
      </c>
      <c r="J160" t="inlineStr">
        <is>
          <t>—</t>
        </is>
      </c>
      <c r="K160" t="inlineStr">
        <is>
          <t>—</t>
        </is>
      </c>
      <c r="L160" t="inlineStr">
        <is>
          <t>—</t>
        </is>
      </c>
      <c r="M160" t="inlineStr">
        <is>
          <t>—</t>
        </is>
      </c>
      <c r="N160" t="inlineStr">
        <is>
          <t>n/a</t>
        </is>
      </c>
      <c r="O160" s="5" t="inlineStr">
        <is>
          <t>No keyword target - keep conversion/navigation focus; use descriptive, non-repeated anchor texts</t>
        </is>
      </c>
      <c r="P160" s="5" t="inlineStr"/>
      <c r="Q160" t="inlineStr">
        <is>
          <t>P2</t>
        </is>
      </c>
      <c r="R160" t="n">
        <v>136</v>
      </c>
      <c r="S160" s="5" t="inlineStr">
        <is>
          <t>Guides et conseils de notre blog pour approfondir ce type de projet. Développement Web 24 août 2026 · 7 min de lecture Créer une plateforme SaaS : MVP, multi-tenant, facturation — par où commencer ? Lancer un SaaS, c'est</t>
        </is>
      </c>
    </row>
    <row r="161">
      <c r="A161" s="3" t="inlineStr">
        <is>
          <t>https://codesommet.com/services/fintech-platform-development</t>
        </is>
      </c>
      <c r="B161" t="n">
        <v>6</v>
      </c>
      <c r="C161" t="inlineStr">
        <is>
          <t>Services / features</t>
        </is>
      </c>
      <c r="D161" s="5" t="inlineStr">
        <is>
          <t>Fonctionnalités Essentielles for FinTech et Services Financiers Sites Web</t>
        </is>
      </c>
      <c r="E161" t="inlineStr">
        <is>
          <t>H2</t>
        </is>
      </c>
      <c r="F161" s="5" t="inlineStr">
        <is>
          <t>Commercial</t>
        </is>
      </c>
      <c r="G161" t="inlineStr">
        <is>
          <t>plateforme de paiement</t>
        </is>
      </c>
      <c r="H161" t="inlineStr">
        <is>
          <t>SECONDARY</t>
        </is>
      </c>
      <c r="I161" t="inlineStr">
        <is>
          <t>fr</t>
        </is>
      </c>
      <c r="J161" t="n">
        <v>260</v>
      </c>
      <c r="K161" t="n">
        <v>35</v>
      </c>
      <c r="L161" t="n">
        <v>5.82</v>
      </c>
      <c r="M161" t="inlineStr">
        <is>
          <t>MEASURED</t>
        </is>
      </c>
      <c r="N161" t="inlineStr">
        <is>
          <t>Yes</t>
        </is>
      </c>
      <c r="O161" s="5" t="inlineStr">
        <is>
          <t>Covered - keep wording; no change</t>
        </is>
      </c>
      <c r="P161" s="5" t="inlineStr"/>
      <c r="Q161" t="inlineStr">
        <is>
          <t>P2</t>
        </is>
      </c>
      <c r="R161" t="n">
        <v>201</v>
      </c>
      <c r="S161" s="5" t="inlineStr">
        <is>
          <t>Tout ce dont votre entreprise fintech et de services financiers a besoin sur une seule plateforme — besoin aussi d'un tableau de bord SaaS complet au-delà de la conformité financière ? Passerelle de Paiement Traitement s</t>
        </is>
      </c>
    </row>
    <row r="162">
      <c r="A162" s="3" t="inlineStr">
        <is>
          <t>https://codesommet.com/services/fintech-platform-development</t>
        </is>
      </c>
      <c r="B162" t="n">
        <v>7</v>
      </c>
      <c r="C162" t="inlineStr">
        <is>
          <t>Testimonials / social proof</t>
        </is>
      </c>
      <c r="D162" s="5" t="inlineStr">
        <is>
          <t>Histoires de Succès en FinTech et Services Financiers</t>
        </is>
      </c>
      <c r="E162" t="inlineStr">
        <is>
          <t>H2</t>
        </is>
      </c>
      <c r="F162" s="5" t="inlineStr">
        <is>
          <t>Commercial investigation</t>
        </is>
      </c>
      <c r="G162" t="inlineStr">
        <is>
          <t>développement fintech</t>
        </is>
      </c>
      <c r="H162" t="inlineStr">
        <is>
          <t>SUPPORTS PRIMARY</t>
        </is>
      </c>
      <c r="I162" t="inlineStr">
        <is>
          <t>fr</t>
        </is>
      </c>
      <c r="J162" t="n">
        <v>0</v>
      </c>
      <c r="K162" t="inlineStr">
        <is>
          <t>NOT AVAILABLE</t>
        </is>
      </c>
      <c r="L162" t="n">
        <v>0</v>
      </c>
      <c r="M162" t="inlineStr">
        <is>
          <t>MEASURED</t>
        </is>
      </c>
      <c r="N162" t="inlineStr">
        <is>
          <t>Yes (supporting block)</t>
        </is>
      </c>
      <c r="O162" s="5" t="inlineStr">
        <is>
          <t>Supports the primary topic - add only if natural</t>
        </is>
      </c>
      <c r="P162" s="5" t="inlineStr"/>
      <c r="Q162" t="inlineStr">
        <is>
          <t>P2</t>
        </is>
      </c>
      <c r="R162" t="n">
        <v>43</v>
      </c>
      <c r="S162" s="5" t="inlineStr">
        <is>
          <t>Projets réels, résultats réels. Découvrez comment nous avons aidé les entreprises en FinTech et Services Financiers à atteindre leurs objectifs numériques. SaaS Mon Asso Plateforme SaaS de gestion d'associations Maroc Sa</t>
        </is>
      </c>
    </row>
    <row r="163">
      <c r="A163" s="3" t="inlineStr">
        <is>
          <t>https://codesommet.com/services/fintech-platform-development</t>
        </is>
      </c>
      <c r="B163" t="n">
        <v>8</v>
      </c>
      <c r="C163" t="inlineStr">
        <is>
          <t>Process / how it works</t>
        </is>
      </c>
      <c r="D163" s="5" t="inlineStr">
        <is>
          <t>Notre Processus de Développement for FinTech et Services Financiers</t>
        </is>
      </c>
      <c r="E163" t="inlineStr">
        <is>
          <t>H2</t>
        </is>
      </c>
      <c r="F163" s="5" t="inlineStr">
        <is>
          <t>Informational / commercial</t>
        </is>
      </c>
      <c r="G163" t="inlineStr">
        <is>
          <t>développement fintech</t>
        </is>
      </c>
      <c r="H163" t="inlineStr">
        <is>
          <t>SUPPORTS PRIMARY</t>
        </is>
      </c>
      <c r="I163" t="inlineStr">
        <is>
          <t>fr</t>
        </is>
      </c>
      <c r="J163" t="n">
        <v>0</v>
      </c>
      <c r="K163" t="inlineStr">
        <is>
          <t>NOT AVAILABLE</t>
        </is>
      </c>
      <c r="L163" t="n">
        <v>0</v>
      </c>
      <c r="M163" t="inlineStr">
        <is>
          <t>MEASURED</t>
        </is>
      </c>
      <c r="N163" t="inlineStr">
        <is>
          <t>Yes</t>
        </is>
      </c>
      <c r="O163" s="5" t="inlineStr">
        <is>
          <t>Covered - keep wording; no change</t>
        </is>
      </c>
      <c r="P163" s="5" t="inlineStr"/>
      <c r="Q163" t="inlineStr">
        <is>
          <t>P2</t>
        </is>
      </c>
      <c r="R163" t="n">
        <v>137</v>
      </c>
      <c r="S163" s="5" t="inlineStr">
        <is>
          <t xml:space="preserve">Du concept au lancement en 4 étapes, optimisé pour les entreprises fintech et de services financiers Étape 1 Découverte et Planification de Conformité Analyse des exigences réglementaires Conception de l'architecture de </t>
        </is>
      </c>
    </row>
    <row r="164">
      <c r="A164" s="3" t="inlineStr">
        <is>
          <t>https://codesommet.com/services/fintech-platform-development</t>
        </is>
      </c>
      <c r="B164" t="n">
        <v>9</v>
      </c>
      <c r="C164" t="inlineStr">
        <is>
          <t>Pricing / offers</t>
        </is>
      </c>
      <c r="D164" s="5" t="inlineStr">
        <is>
          <t>Solutions Personnalisées, Tarification Transparente</t>
        </is>
      </c>
      <c r="E164" t="inlineStr">
        <is>
          <t>H2</t>
        </is>
      </c>
      <c r="F164" s="5" t="inlineStr">
        <is>
          <t>Commercial / transactional</t>
        </is>
      </c>
      <c r="G164" t="inlineStr">
        <is>
          <t>développement fintech</t>
        </is>
      </c>
      <c r="H164" t="inlineStr">
        <is>
          <t>SUPPORTS PRIMARY</t>
        </is>
      </c>
      <c r="I164" t="inlineStr">
        <is>
          <t>fr</t>
        </is>
      </c>
      <c r="J164" t="n">
        <v>0</v>
      </c>
      <c r="K164" t="inlineStr">
        <is>
          <t>NOT AVAILABLE</t>
        </is>
      </c>
      <c r="L164" t="n">
        <v>0</v>
      </c>
      <c r="M164" t="inlineStr">
        <is>
          <t>MEASURED</t>
        </is>
      </c>
      <c r="N164" t="inlineStr">
        <is>
          <t>Yes (supporting block)</t>
        </is>
      </c>
      <c r="O164" s="5" t="inlineStr">
        <is>
          <t>Supports the primary topic - add only if natural</t>
        </is>
      </c>
      <c r="P164" s="5" t="inlineStr"/>
      <c r="Q164" t="inlineStr">
        <is>
          <t>P2</t>
        </is>
      </c>
      <c r="R164" t="n">
        <v>201</v>
      </c>
      <c r="S164" s="5" t="inlineStr">
        <is>
          <t>Réservez un appel découverte pour discuter de vos besoins spécifiques et obtenir un devis personnalisé Recommandé Développement de Sites Web Site web complet avec fonctionnalités IA, tableaux de bord et design premium li</t>
        </is>
      </c>
    </row>
    <row r="165">
      <c r="A165" s="3" t="inlineStr">
        <is>
          <t>https://codesommet.com/services/fintech-platform-development</t>
        </is>
      </c>
      <c r="B165" t="n">
        <v>10</v>
      </c>
      <c r="C165" t="inlineStr">
        <is>
          <t>CTA / conversion</t>
        </is>
      </c>
      <c r="D165" s="5" t="inlineStr">
        <is>
          <t>Prêt à Transformer Votre Site Web FinTech et de Services Financiers ?</t>
        </is>
      </c>
      <c r="E165" t="inlineStr">
        <is>
          <t>H2</t>
        </is>
      </c>
      <c r="F165" s="5" t="inlineStr">
        <is>
          <t>Conversion</t>
        </is>
      </c>
      <c r="G165" t="inlineStr">
        <is>
          <t>—</t>
        </is>
      </c>
      <c r="H165" t="inlineStr">
        <is>
          <t>NONE</t>
        </is>
      </c>
      <c r="I165" t="inlineStr">
        <is>
          <t>—</t>
        </is>
      </c>
      <c r="J165" t="inlineStr">
        <is>
          <t>—</t>
        </is>
      </c>
      <c r="K165" t="inlineStr">
        <is>
          <t>—</t>
        </is>
      </c>
      <c r="L165" t="inlineStr">
        <is>
          <t>—</t>
        </is>
      </c>
      <c r="M165" t="inlineStr">
        <is>
          <t>—</t>
        </is>
      </c>
      <c r="N165" t="inlineStr">
        <is>
          <t>n/a</t>
        </is>
      </c>
      <c r="O165" s="5" t="inlineStr">
        <is>
          <t>No keyword target - keep conversion/navigation focus; use descriptive, non-repeated anchor texts</t>
        </is>
      </c>
      <c r="P165" s="5" t="inlineStr"/>
      <c r="Q165" t="inlineStr">
        <is>
          <t>P2</t>
        </is>
      </c>
      <c r="R165" t="n">
        <v>41</v>
      </c>
      <c r="S165" s="5" t="inlineStr">
        <is>
          <t xml:space="preserve">Obtenez d'abord une analyse gratuite complète : Audit SEO Vérification des performances Révision du design Recommandations alimentées par l'IA Analyser Votre Site Web - Entièrement Gratuit Pas de carte de crédit requise </t>
        </is>
      </c>
    </row>
    <row r="166">
      <c r="A166" s="3" t="inlineStr">
        <is>
          <t>https://codesommet.com/services/fintech-platform-development</t>
        </is>
      </c>
      <c r="B166" t="n">
        <v>11</v>
      </c>
      <c r="C166" t="inlineStr">
        <is>
          <t>Why us / differentiation</t>
        </is>
      </c>
      <c r="D166" s="5" t="inlineStr">
        <is>
          <t>CodeSommet FinTech et Services Financiers vs Autres</t>
        </is>
      </c>
      <c r="E166" t="inlineStr">
        <is>
          <t>H2</t>
        </is>
      </c>
      <c r="F166" s="5" t="inlineStr">
        <is>
          <t>Commercial investigation</t>
        </is>
      </c>
      <c r="G166" t="inlineStr">
        <is>
          <t>développement fintech</t>
        </is>
      </c>
      <c r="H166" t="inlineStr">
        <is>
          <t>SUPPORTS PRIMARY</t>
        </is>
      </c>
      <c r="I166" t="inlineStr">
        <is>
          <t>fr</t>
        </is>
      </c>
      <c r="J166" t="n">
        <v>0</v>
      </c>
      <c r="K166" t="inlineStr">
        <is>
          <t>NOT AVAILABLE</t>
        </is>
      </c>
      <c r="L166" t="n">
        <v>0</v>
      </c>
      <c r="M166" t="inlineStr">
        <is>
          <t>MEASURED</t>
        </is>
      </c>
      <c r="N166" t="inlineStr">
        <is>
          <t>Yes</t>
        </is>
      </c>
      <c r="O166" s="5" t="inlineStr">
        <is>
          <t>Covered - keep wording; no change</t>
        </is>
      </c>
      <c r="P166" s="5" t="inlineStr"/>
      <c r="Q166" t="inlineStr">
        <is>
          <t>P2</t>
        </is>
      </c>
      <c r="R166" t="n">
        <v>142</v>
      </c>
      <c r="S166" s="5" t="inlineStr">
        <is>
          <t>Découvrez pourquoi FinTech et Services Financiers entreprises choisissent CodeSommet plutôt que d'autres agences locales et concurrents internationaux. Fonctionnalité CodeSommet FinTech et Services Financiers Other FinTe</t>
        </is>
      </c>
    </row>
    <row r="167">
      <c r="A167" s="3" t="inlineStr">
        <is>
          <t>https://codesommet.com/services/fintech-platform-development</t>
        </is>
      </c>
      <c r="B167" t="n">
        <v>12</v>
      </c>
      <c r="C167" t="inlineStr">
        <is>
          <t>Testimonials / social proof</t>
        </is>
      </c>
      <c r="D167" s="5" t="inlineStr">
        <is>
          <t>Ce que Nos Clients en FinTech et Services Financiers Disent de Nous</t>
        </is>
      </c>
      <c r="E167" t="inlineStr">
        <is>
          <t>H2</t>
        </is>
      </c>
      <c r="F167" s="5" t="inlineStr">
        <is>
          <t>Commercial investigation</t>
        </is>
      </c>
      <c r="G167" t="inlineStr">
        <is>
          <t>développement fintech</t>
        </is>
      </c>
      <c r="H167" t="inlineStr">
        <is>
          <t>SUPPORTS PRIMARY</t>
        </is>
      </c>
      <c r="I167" t="inlineStr">
        <is>
          <t>fr</t>
        </is>
      </c>
      <c r="J167" t="n">
        <v>0</v>
      </c>
      <c r="K167" t="inlineStr">
        <is>
          <t>NOT AVAILABLE</t>
        </is>
      </c>
      <c r="L167" t="n">
        <v>0</v>
      </c>
      <c r="M167" t="inlineStr">
        <is>
          <t>MEASURED</t>
        </is>
      </c>
      <c r="N167" t="inlineStr">
        <is>
          <t>Yes (supporting block)</t>
        </is>
      </c>
      <c r="O167" s="5" t="inlineStr">
        <is>
          <t>Supports the primary topic - add only if natural</t>
        </is>
      </c>
      <c r="P167" s="5" t="inlineStr"/>
      <c r="Q167" t="inlineStr">
        <is>
          <t>P2</t>
        </is>
      </c>
      <c r="R167" t="n">
        <v>108</v>
      </c>
      <c r="S167" s="5" t="inlineStr">
        <is>
          <t>Ne nous croyez pas sur parole. Écoutez les entreprises en FinTech et Services Financiers qui ont obtenu des résultats remarquables avec CodeSommet. "Une collaboration professionnelle du début à la fin. Je recommande sans</t>
        </is>
      </c>
    </row>
    <row r="168">
      <c r="A168" s="3" t="inlineStr">
        <is>
          <t>https://codesommet.com/services/fintech-platform-development</t>
        </is>
      </c>
      <c r="B168" t="n">
        <v>13</v>
      </c>
      <c r="C168" t="inlineStr">
        <is>
          <t>FAQ</t>
        </is>
      </c>
      <c r="D168" s="5" t="inlineStr">
        <is>
          <t>Questions Fréquemment Posées sur le Développement Web en FinTech et Services Financiers</t>
        </is>
      </c>
      <c r="E168" t="inlineStr">
        <is>
          <t>H2</t>
        </is>
      </c>
      <c r="F168" s="5" t="inlineStr">
        <is>
          <t>Informational (pre-purchase questions)</t>
        </is>
      </c>
      <c r="G168" t="inlineStr">
        <is>
          <t>développement fintech</t>
        </is>
      </c>
      <c r="H168" t="inlineStr">
        <is>
          <t>SUPPORTS PRIMARY</t>
        </is>
      </c>
      <c r="I168" t="inlineStr">
        <is>
          <t>fr</t>
        </is>
      </c>
      <c r="J168" t="n">
        <v>0</v>
      </c>
      <c r="K168" t="inlineStr">
        <is>
          <t>NOT AVAILABLE</t>
        </is>
      </c>
      <c r="L168" t="n">
        <v>0</v>
      </c>
      <c r="M168" t="inlineStr">
        <is>
          <t>MEASURED</t>
        </is>
      </c>
      <c r="N168" t="inlineStr">
        <is>
          <t>Yes</t>
        </is>
      </c>
      <c r="O168" s="5" t="inlineStr">
        <is>
          <t>Covered - keep wording; no change</t>
        </is>
      </c>
      <c r="P168" s="5" t="inlineStr"/>
      <c r="Q168" t="inlineStr">
        <is>
          <t>P2</t>
        </is>
      </c>
      <c r="R168" t="n">
        <v>602</v>
      </c>
      <c r="S168" s="5" t="inlineStr">
        <is>
          <t>Vous avez des questions ? Nous avons les réponses. Voici les questions les plus courantes de FinTech et Services Financiers entreprises. 1 Combien de temps faut-il pour construire une plateforme FinTech ? Le délai dépend</t>
        </is>
      </c>
    </row>
    <row r="169">
      <c r="A169" s="3" t="inlineStr">
        <is>
          <t>https://codesommet.com/services/fintech-platform-development</t>
        </is>
      </c>
      <c r="B169" t="n">
        <v>14</v>
      </c>
      <c r="C169" t="inlineStr">
        <is>
          <t>Services / features</t>
        </is>
      </c>
      <c r="D169" s="5" t="inlineStr">
        <is>
          <t>Au Service de Clients dans le Monde Entier</t>
        </is>
      </c>
      <c r="E169" t="inlineStr">
        <is>
          <t>H2</t>
        </is>
      </c>
      <c r="F169" s="5" t="inlineStr">
        <is>
          <t>Commercial</t>
        </is>
      </c>
      <c r="G169" t="inlineStr">
        <is>
          <t>plateforme de paiement</t>
        </is>
      </c>
      <c r="H169" t="inlineStr">
        <is>
          <t>SECONDARY</t>
        </is>
      </c>
      <c r="I169" t="inlineStr">
        <is>
          <t>fr</t>
        </is>
      </c>
      <c r="J169" t="n">
        <v>260</v>
      </c>
      <c r="K169" t="n">
        <v>35</v>
      </c>
      <c r="L169" t="n">
        <v>5.82</v>
      </c>
      <c r="M169" t="inlineStr">
        <is>
          <t>MEASURED</t>
        </is>
      </c>
      <c r="N169" t="inlineStr">
        <is>
          <t>Partly</t>
        </is>
      </c>
      <c r="O169" s="5" t="inlineStr">
        <is>
          <t>Work "plateforme de paiement" (or a close natural variant) into existing copy - no new heading needed</t>
        </is>
      </c>
      <c r="P169" s="5" t="inlineStr">
        <is>
          <t>Keyword/variant absent from this section</t>
        </is>
      </c>
      <c r="Q169" t="inlineStr">
        <is>
          <t>P2</t>
        </is>
      </c>
      <c r="R169" t="n">
        <v>66</v>
      </c>
      <c r="S169" s="5" t="inlineStr">
        <is>
          <t>Nous avons construit des sites web fintech et de services financiers pour des clients à travers le monde. Que vous soyez au Maroc ou ailleurs, nous livrons des solutions de classe mondiale. Dubaï 🇦🇪 UAE Casablanca 🇲🇦 Mar</t>
        </is>
      </c>
    </row>
    <row r="170">
      <c r="A170" s="3" t="inlineStr">
        <is>
          <t>https://codesommet.com/services/fintech-platform-development</t>
        </is>
      </c>
      <c r="B170" t="n">
        <v>15</v>
      </c>
      <c r="C170" t="inlineStr">
        <is>
          <t>Internal-link block</t>
        </is>
      </c>
      <c r="D170" s="5" t="inlineStr">
        <is>
          <t>Industries Connexes que Nous Servons</t>
        </is>
      </c>
      <c r="E170" t="inlineStr">
        <is>
          <t>H2</t>
        </is>
      </c>
      <c r="F170" s="5" t="inlineStr">
        <is>
          <t>Navigation</t>
        </is>
      </c>
      <c r="G170" t="inlineStr">
        <is>
          <t>—</t>
        </is>
      </c>
      <c r="H170" t="inlineStr">
        <is>
          <t>NONE</t>
        </is>
      </c>
      <c r="I170" t="inlineStr">
        <is>
          <t>—</t>
        </is>
      </c>
      <c r="J170" t="inlineStr">
        <is>
          <t>—</t>
        </is>
      </c>
      <c r="K170" t="inlineStr">
        <is>
          <t>—</t>
        </is>
      </c>
      <c r="L170" t="inlineStr">
        <is>
          <t>—</t>
        </is>
      </c>
      <c r="M170" t="inlineStr">
        <is>
          <t>—</t>
        </is>
      </c>
      <c r="N170" t="inlineStr">
        <is>
          <t>n/a</t>
        </is>
      </c>
      <c r="O170" s="5" t="inlineStr">
        <is>
          <t>No keyword target - keep conversion/navigation focus; use descriptive, non-repeated anchor texts</t>
        </is>
      </c>
      <c r="P170" s="5" t="inlineStr"/>
      <c r="Q170" t="inlineStr">
        <is>
          <t>P2</t>
        </is>
      </c>
      <c r="R170" t="n">
        <v>117</v>
      </c>
      <c r="S170" s="5" t="inlineStr">
        <is>
          <t>Découvrez nos services de développement web spécialisés pour d'autres industries Conseil en Études à l'Étranger Plateformes de cours, systèmes LMS et portails étudiants pour les agences d'études à l'étranger. Écoles de L</t>
        </is>
      </c>
    </row>
    <row r="171">
      <c r="A171" s="3" t="inlineStr">
        <is>
          <t>https://codesommet.com/services/fintech-platform-development</t>
        </is>
      </c>
      <c r="B171" t="n">
        <v>16</v>
      </c>
      <c r="C171" t="inlineStr">
        <is>
          <t>Internal-link block</t>
        </is>
      </c>
      <c r="D171" s="5" t="inlineStr">
        <is>
          <t>Explorer Plus</t>
        </is>
      </c>
      <c r="E171" t="inlineStr">
        <is>
          <t>H2</t>
        </is>
      </c>
      <c r="F171" s="5" t="inlineStr">
        <is>
          <t>Navigation</t>
        </is>
      </c>
      <c r="G171" t="inlineStr">
        <is>
          <t>—</t>
        </is>
      </c>
      <c r="H171" t="inlineStr">
        <is>
          <t>NONE</t>
        </is>
      </c>
      <c r="I171" t="inlineStr">
        <is>
          <t>—</t>
        </is>
      </c>
      <c r="J171" t="inlineStr">
        <is>
          <t>—</t>
        </is>
      </c>
      <c r="K171" t="inlineStr">
        <is>
          <t>—</t>
        </is>
      </c>
      <c r="L171" t="inlineStr">
        <is>
          <t>—</t>
        </is>
      </c>
      <c r="M171" t="inlineStr">
        <is>
          <t>—</t>
        </is>
      </c>
      <c r="N171" t="inlineStr">
        <is>
          <t>n/a</t>
        </is>
      </c>
      <c r="O171" s="5" t="inlineStr">
        <is>
          <t>No keyword target - keep conversion/navigation focus; use descriptive, non-repeated anchor texts</t>
        </is>
      </c>
      <c r="P171" s="5" t="inlineStr"/>
      <c r="Q171" t="inlineStr">
        <is>
          <t>P2</t>
        </is>
      </c>
      <c r="R171" t="n">
        <v>84</v>
      </c>
      <c r="S171" s="5" t="inlineStr">
        <is>
          <t>Découvrez ce qui fait de CodeSommet votre partenaire idéal en développement web Audit Gratuit de Site Web Obtenez une analyse alimentée par l'IA avec des dizaines de vérifications En savoir plus Voir Nos Réalisations Exp</t>
        </is>
      </c>
    </row>
    <row r="172">
      <c r="A172" s="3" t="inlineStr">
        <is>
          <t>https://codesommet.com/services/fintech-platform-development</t>
        </is>
      </c>
      <c r="B172" t="n">
        <v>17</v>
      </c>
      <c r="C172" t="inlineStr">
        <is>
          <t>CTA / conversion</t>
        </is>
      </c>
      <c r="D172" s="5" t="inlineStr">
        <is>
          <t>Prêt à Construire Quelque Chose d'Extraordinaire ?</t>
        </is>
      </c>
      <c r="E172" t="inlineStr">
        <is>
          <t>H2</t>
        </is>
      </c>
      <c r="F172" s="5" t="inlineStr">
        <is>
          <t>Conversion</t>
        </is>
      </c>
      <c r="G172" t="inlineStr">
        <is>
          <t>—</t>
        </is>
      </c>
      <c r="H172" t="inlineStr">
        <is>
          <t>NONE</t>
        </is>
      </c>
      <c r="I172" t="inlineStr">
        <is>
          <t>—</t>
        </is>
      </c>
      <c r="J172" t="inlineStr">
        <is>
          <t>—</t>
        </is>
      </c>
      <c r="K172" t="inlineStr">
        <is>
          <t>—</t>
        </is>
      </c>
      <c r="L172" t="inlineStr">
        <is>
          <t>—</t>
        </is>
      </c>
      <c r="M172" t="inlineStr">
        <is>
          <t>—</t>
        </is>
      </c>
      <c r="N172" t="inlineStr">
        <is>
          <t>n/a</t>
        </is>
      </c>
      <c r="O172" s="5" t="inlineStr">
        <is>
          <t>No keyword target - keep conversion/navigation focus; use descriptive, non-repeated anchor texts</t>
        </is>
      </c>
      <c r="P172" s="5" t="inlineStr"/>
      <c r="Q172" t="inlineStr">
        <is>
          <t>P2</t>
        </is>
      </c>
      <c r="R172" t="n">
        <v>117</v>
      </c>
      <c r="S172" s="5" t="inlineStr">
        <is>
          <t>Rejoignez les entreprises visionnaires qui ont choisi l'excellence Réserver un Appel Découverte Analyser Mon Site Gratuitement Réserver un Appel Découverte Analyser Votre Site Web Discutons de comment l'IA et le design m</t>
        </is>
      </c>
    </row>
    <row r="173">
      <c r="A173" s="3" t="inlineStr">
        <is>
          <t>https://codesommet.com/services/fintech-website-development</t>
        </is>
      </c>
      <c r="B173" t="n">
        <v>1</v>
      </c>
      <c r="C173" t="inlineStr">
        <is>
          <t>Hero / H1</t>
        </is>
      </c>
      <c r="D173" s="5" t="inlineStr">
        <is>
          <t>Création de Sites Web FinTech &amp; Finance qui génèrent des CROISSANCE FINANCIÈRE</t>
        </is>
      </c>
      <c r="E173" t="inlineStr">
        <is>
          <t>H1</t>
        </is>
      </c>
      <c r="F173" s="5" t="inlineStr">
        <is>
          <t>Commercial</t>
        </is>
      </c>
      <c r="G173" t="inlineStr">
        <is>
          <t>site web fintech</t>
        </is>
      </c>
      <c r="H173" t="inlineStr">
        <is>
          <t>PRIMARY</t>
        </is>
      </c>
      <c r="I173" t="inlineStr">
        <is>
          <t>fr</t>
        </is>
      </c>
      <c r="J173" t="n">
        <v>30</v>
      </c>
      <c r="K173" t="inlineStr">
        <is>
          <t>NOT AVAILABLE</t>
        </is>
      </c>
      <c r="L173" t="n">
        <v>0</v>
      </c>
      <c r="M173" t="inlineStr">
        <is>
          <t>MEASURED</t>
        </is>
      </c>
      <c r="N173" t="inlineStr">
        <is>
          <t>Yes</t>
        </is>
      </c>
      <c r="O173" s="5" t="inlineStr">
        <is>
          <t>Covered - keep wording; no change</t>
        </is>
      </c>
      <c r="P173" s="5" t="inlineStr"/>
      <c r="Q173" t="inlineStr">
        <is>
          <t>P2</t>
        </is>
      </c>
      <c r="R173" t="n">
        <v>83</v>
      </c>
      <c r="S173" s="5" t="inlineStr">
        <is>
          <t>Développement de sites web FinTech spécialisé pour les sociétés de paiement, les banques numériques, les sociétés d'investissement et les services financiers. Nous construisons des sites web FinTech avec des intégrations</t>
        </is>
      </c>
    </row>
    <row r="174">
      <c r="A174" s="3" t="inlineStr">
        <is>
          <t>https://codesommet.com/services/fintech-website-development</t>
        </is>
      </c>
      <c r="B174" t="n">
        <v>2</v>
      </c>
      <c r="C174" t="inlineStr">
        <is>
          <t>Why us / differentiation</t>
        </is>
      </c>
      <c r="D174" s="5" t="inlineStr">
        <is>
          <t>Pourquoi Choisir CodeSommet dans le secteur FinTech et Services Financiers ?</t>
        </is>
      </c>
      <c r="E174" t="inlineStr">
        <is>
          <t>H2</t>
        </is>
      </c>
      <c r="F174" s="5" t="inlineStr">
        <is>
          <t>Commercial investigation</t>
        </is>
      </c>
      <c r="G174" t="inlineStr">
        <is>
          <t>site web fintech</t>
        </is>
      </c>
      <c r="H174" t="inlineStr">
        <is>
          <t>SUPPORTS PRIMARY</t>
        </is>
      </c>
      <c r="I174" t="inlineStr">
        <is>
          <t>fr</t>
        </is>
      </c>
      <c r="J174" t="n">
        <v>30</v>
      </c>
      <c r="K174" t="inlineStr">
        <is>
          <t>NOT AVAILABLE</t>
        </is>
      </c>
      <c r="L174" t="n">
        <v>0</v>
      </c>
      <c r="M174" t="inlineStr">
        <is>
          <t>MEASURED</t>
        </is>
      </c>
      <c r="N174" t="inlineStr">
        <is>
          <t>Yes</t>
        </is>
      </c>
      <c r="O174" s="5" t="inlineStr">
        <is>
          <t>Covered - keep wording; no change</t>
        </is>
      </c>
      <c r="P174" s="5" t="inlineStr"/>
      <c r="Q174" t="inlineStr">
        <is>
          <t>P2</t>
        </is>
      </c>
      <c r="R174" t="n">
        <v>263</v>
      </c>
      <c r="S174" s="5" t="inlineStr">
        <is>
          <t xml:space="preserve">L'expertise locale rencontre les standards internationaux. Voici ce qui fait de nous le partenaire idéal en développement web dans le secteur FinTech et Services Financiers . Une Part Importante de Nos Clients Sont dans </t>
        </is>
      </c>
    </row>
    <row r="175">
      <c r="A175" s="3" t="inlineStr">
        <is>
          <t>https://codesommet.com/services/fintech-website-development</t>
        </is>
      </c>
      <c r="B175" t="n">
        <v>3</v>
      </c>
      <c r="C175" t="inlineStr">
        <is>
          <t>Internal-link block</t>
        </is>
      </c>
      <c r="D175" s="5" t="inlineStr">
        <is>
          <t>Articles liés</t>
        </is>
      </c>
      <c r="E175" t="inlineStr">
        <is>
          <t>H2</t>
        </is>
      </c>
      <c r="F175" s="5" t="inlineStr">
        <is>
          <t>Navigation</t>
        </is>
      </c>
      <c r="G175" t="inlineStr">
        <is>
          <t>—</t>
        </is>
      </c>
      <c r="H175" t="inlineStr">
        <is>
          <t>NONE</t>
        </is>
      </c>
      <c r="I175" t="inlineStr">
        <is>
          <t>—</t>
        </is>
      </c>
      <c r="J175" t="inlineStr">
        <is>
          <t>—</t>
        </is>
      </c>
      <c r="K175" t="inlineStr">
        <is>
          <t>—</t>
        </is>
      </c>
      <c r="L175" t="inlineStr">
        <is>
          <t>—</t>
        </is>
      </c>
      <c r="M175" t="inlineStr">
        <is>
          <t>—</t>
        </is>
      </c>
      <c r="N175" t="inlineStr">
        <is>
          <t>n/a</t>
        </is>
      </c>
      <c r="O175" s="5" t="inlineStr">
        <is>
          <t>No keyword target - keep conversion/navigation focus; use descriptive, non-repeated anchor texts</t>
        </is>
      </c>
      <c r="P175" s="5" t="inlineStr"/>
      <c r="Q175" t="inlineStr">
        <is>
          <t>P2</t>
        </is>
      </c>
      <c r="R175" t="n">
        <v>77</v>
      </c>
      <c r="S175" s="5" t="inlineStr">
        <is>
          <t>Guides et conseils de notre blog pour approfondir ce type de projet. Développement Web 8 août 2026 · 7 min de lecture Site web fintech : les 7 éléments qui rassurent un visiteur avant qu'il ne vous contacte Dans la finan</t>
        </is>
      </c>
    </row>
    <row r="176">
      <c r="A176" s="3" t="inlineStr">
        <is>
          <t>https://codesommet.com/services/fintech-website-development</t>
        </is>
      </c>
      <c r="B176" t="n">
        <v>4</v>
      </c>
      <c r="C176" t="inlineStr">
        <is>
          <t>Proof / portfolio / results</t>
        </is>
      </c>
      <c r="D176" s="5" t="inlineStr">
        <is>
          <t>Adopté par les FinTech et Services Financiers Entreprises</t>
        </is>
      </c>
      <c r="E176" t="inlineStr">
        <is>
          <t>H2</t>
        </is>
      </c>
      <c r="F176" s="5" t="inlineStr">
        <is>
          <t>Commercial investigation</t>
        </is>
      </c>
      <c r="G176" t="inlineStr">
        <is>
          <t>site web fintech</t>
        </is>
      </c>
      <c r="H176" t="inlineStr">
        <is>
          <t>SUPPORTS PRIMARY</t>
        </is>
      </c>
      <c r="I176" t="inlineStr">
        <is>
          <t>fr</t>
        </is>
      </c>
      <c r="J176" t="n">
        <v>30</v>
      </c>
      <c r="K176" t="inlineStr">
        <is>
          <t>NOT AVAILABLE</t>
        </is>
      </c>
      <c r="L176" t="n">
        <v>0</v>
      </c>
      <c r="M176" t="inlineStr">
        <is>
          <t>MEASURED</t>
        </is>
      </c>
      <c r="N176" t="inlineStr">
        <is>
          <t>Yes</t>
        </is>
      </c>
      <c r="O176" s="5" t="inlineStr">
        <is>
          <t>Covered - keep wording; no change</t>
        </is>
      </c>
      <c r="P176" s="5" t="inlineStr"/>
      <c r="Q176" t="inlineStr">
        <is>
          <t>P2</t>
        </is>
      </c>
      <c r="R176" t="n">
        <v>25</v>
      </c>
      <c r="S176" s="5" t="inlineStr">
        <is>
          <t>Projets livrés sur mesure Prospects générés pour nos clients Clients accompagnés Résultats réels de FinTech et Services Financiers avec lesquelles nous avons collaboré Défis Courants</t>
        </is>
      </c>
    </row>
    <row r="177">
      <c r="A177" s="3" t="inlineStr">
        <is>
          <t>https://codesommet.com/services/fintech-website-development</t>
        </is>
      </c>
      <c r="B177" t="n">
        <v>5</v>
      </c>
      <c r="C177" t="inlineStr">
        <is>
          <t>Problems / pain points</t>
        </is>
      </c>
      <c r="D177" s="5" t="inlineStr">
        <is>
          <t>Le Défi : FinTech et Services Financiers Les Entreprises Font Face à des Défis Web Uniques</t>
        </is>
      </c>
      <c r="E177" t="inlineStr">
        <is>
          <t>H2</t>
        </is>
      </c>
      <c r="F177" s="5" t="inlineStr">
        <is>
          <t>Commercial</t>
        </is>
      </c>
      <c r="G177" t="inlineStr">
        <is>
          <t>site fintech</t>
        </is>
      </c>
      <c r="H177" t="inlineStr">
        <is>
          <t>SECONDARY</t>
        </is>
      </c>
      <c r="I177" t="inlineStr">
        <is>
          <t>fr</t>
        </is>
      </c>
      <c r="J177" t="n">
        <v>20</v>
      </c>
      <c r="K177" t="inlineStr">
        <is>
          <t>NOT AVAILABLE</t>
        </is>
      </c>
      <c r="L177" t="n">
        <v>0</v>
      </c>
      <c r="M177" t="inlineStr">
        <is>
          <t>MEASURED</t>
        </is>
      </c>
      <c r="N177" t="inlineStr">
        <is>
          <t>Yes</t>
        </is>
      </c>
      <c r="O177" s="5" t="inlineStr">
        <is>
          <t>Covered - keep wording; no change</t>
        </is>
      </c>
      <c r="P177" s="5" t="inlineStr"/>
      <c r="Q177" t="inlineStr">
        <is>
          <t>P2</t>
        </is>
      </c>
      <c r="R177" t="n">
        <v>451</v>
      </c>
      <c r="S177" s="5" t="inlineStr">
        <is>
          <t>Les agences web généralistes traitent votre site fintech comme un site vitrine classique — elles ratent les codes de confiance et de conformité qui font qu'un visiteur reste ou qu'il repart vers un concurrent. Votre Site</t>
        </is>
      </c>
    </row>
    <row r="178">
      <c r="A178" s="3" t="inlineStr">
        <is>
          <t>https://codesommet.com/services/fintech-website-development</t>
        </is>
      </c>
      <c r="B178" t="n">
        <v>6</v>
      </c>
      <c r="C178" t="inlineStr">
        <is>
          <t>Services / features</t>
        </is>
      </c>
      <c r="D178" s="5" t="inlineStr">
        <is>
          <t>Fonctionnalités Essentielles for FinTech et Services Financiers Sites Web</t>
        </is>
      </c>
      <c r="E178" t="inlineStr">
        <is>
          <t>H2</t>
        </is>
      </c>
      <c r="F178" s="5" t="inlineStr">
        <is>
          <t>Commercial</t>
        </is>
      </c>
      <c r="G178" t="inlineStr">
        <is>
          <t>site web banque</t>
        </is>
      </c>
      <c r="H178" t="inlineStr">
        <is>
          <t>SUPPORTING</t>
        </is>
      </c>
      <c r="I178" t="inlineStr">
        <is>
          <t>fr</t>
        </is>
      </c>
      <c r="J178" t="n">
        <v>20</v>
      </c>
      <c r="K178" t="inlineStr">
        <is>
          <t>NOT AVAILABLE</t>
        </is>
      </c>
      <c r="L178" t="n">
        <v>0</v>
      </c>
      <c r="M178" t="inlineStr">
        <is>
          <t>MEASURED</t>
        </is>
      </c>
      <c r="N178" t="inlineStr">
        <is>
          <t>Yes (supporting block)</t>
        </is>
      </c>
      <c r="O178" s="5" t="inlineStr">
        <is>
          <t>Supports the primary topic - add only if natural</t>
        </is>
      </c>
      <c r="P178" s="5" t="inlineStr"/>
      <c r="Q178" t="inlineStr">
        <is>
          <t>P2</t>
        </is>
      </c>
      <c r="R178" t="n">
        <v>269</v>
      </c>
      <c r="S178" s="5" t="inlineStr">
        <is>
          <t>Tout ce dont votre entreprise fintech et de services financiers a besoin sur un seul site web Sécurité et Conformité Mises en Valeur Pages et blocs de réassurance qui affichent vos certifications existantes, vos pratique</t>
        </is>
      </c>
    </row>
    <row r="179">
      <c r="A179" s="3" t="inlineStr">
        <is>
          <t>https://codesommet.com/services/fintech-website-development</t>
        </is>
      </c>
      <c r="B179" t="n">
        <v>7</v>
      </c>
      <c r="C179" t="inlineStr">
        <is>
          <t>Testimonials / social proof</t>
        </is>
      </c>
      <c r="D179" s="5" t="inlineStr">
        <is>
          <t>Histoires de Succès en FinTech et Services Financiers</t>
        </is>
      </c>
      <c r="E179" t="inlineStr">
        <is>
          <t>H2</t>
        </is>
      </c>
      <c r="F179" s="5" t="inlineStr">
        <is>
          <t>Commercial investigation</t>
        </is>
      </c>
      <c r="G179" t="inlineStr">
        <is>
          <t>site web fintech</t>
        </is>
      </c>
      <c r="H179" t="inlineStr">
        <is>
          <t>SUPPORTS PRIMARY</t>
        </is>
      </c>
      <c r="I179" t="inlineStr">
        <is>
          <t>fr</t>
        </is>
      </c>
      <c r="J179" t="n">
        <v>30</v>
      </c>
      <c r="K179" t="inlineStr">
        <is>
          <t>NOT AVAILABLE</t>
        </is>
      </c>
      <c r="L179" t="n">
        <v>0</v>
      </c>
      <c r="M179" t="inlineStr">
        <is>
          <t>MEASURED</t>
        </is>
      </c>
      <c r="N179" t="inlineStr">
        <is>
          <t>Yes</t>
        </is>
      </c>
      <c r="O179" s="5" t="inlineStr">
        <is>
          <t>Covered - keep wording; no change</t>
        </is>
      </c>
      <c r="P179" s="5" t="inlineStr"/>
      <c r="Q179" t="inlineStr">
        <is>
          <t>P2</t>
        </is>
      </c>
      <c r="R179" t="n">
        <v>43</v>
      </c>
      <c r="S179" s="5" t="inlineStr">
        <is>
          <t>Projets réels, résultats réels. Découvrez comment nous avons aidé les entreprises en FinTech et Services Financiers à atteindre leurs objectifs numériques. SaaS Mon Asso Plateforme SaaS de gestion d'associations Maroc Sa</t>
        </is>
      </c>
    </row>
    <row r="180">
      <c r="A180" s="3" t="inlineStr">
        <is>
          <t>https://codesommet.com/services/fintech-website-development</t>
        </is>
      </c>
      <c r="B180" t="n">
        <v>8</v>
      </c>
      <c r="C180" t="inlineStr">
        <is>
          <t>Process / how it works</t>
        </is>
      </c>
      <c r="D180" s="5" t="inlineStr">
        <is>
          <t>Notre Processus de Développement for FinTech et Services Financiers</t>
        </is>
      </c>
      <c r="E180" t="inlineStr">
        <is>
          <t>H2</t>
        </is>
      </c>
      <c r="F180" s="5" t="inlineStr">
        <is>
          <t>Informational / commercial</t>
        </is>
      </c>
      <c r="G180" t="inlineStr">
        <is>
          <t>site web fintech</t>
        </is>
      </c>
      <c r="H180" t="inlineStr">
        <is>
          <t>SUPPORTS PRIMARY</t>
        </is>
      </c>
      <c r="I180" t="inlineStr">
        <is>
          <t>fr</t>
        </is>
      </c>
      <c r="J180" t="n">
        <v>30</v>
      </c>
      <c r="K180" t="inlineStr">
        <is>
          <t>NOT AVAILABLE</t>
        </is>
      </c>
      <c r="L180" t="n">
        <v>0</v>
      </c>
      <c r="M180" t="inlineStr">
        <is>
          <t>MEASURED</t>
        </is>
      </c>
      <c r="N180" t="inlineStr">
        <is>
          <t>Yes</t>
        </is>
      </c>
      <c r="O180" s="5" t="inlineStr">
        <is>
          <t>Covered - keep wording; no change</t>
        </is>
      </c>
      <c r="P180" s="5" t="inlineStr"/>
      <c r="Q180" t="inlineStr">
        <is>
          <t>P2</t>
        </is>
      </c>
      <c r="R180" t="n">
        <v>145</v>
      </c>
      <c r="S180" s="5" t="inlineStr">
        <is>
          <t xml:space="preserve">Du concept au lancement en 4 étapes, optimisé pour les entreprises fintech et de services financiers Étape 1 Découverte et Planification de Conformité Analyse des exigences réglementaires Conception de l'architecture de </t>
        </is>
      </c>
    </row>
    <row r="181">
      <c r="A181" s="3" t="inlineStr">
        <is>
          <t>https://codesommet.com/services/fintech-website-development</t>
        </is>
      </c>
      <c r="B181" t="n">
        <v>9</v>
      </c>
      <c r="C181" t="inlineStr">
        <is>
          <t>Pricing / offers</t>
        </is>
      </c>
      <c r="D181" s="5" t="inlineStr">
        <is>
          <t>Solutions Personnalisées, Tarification Transparente</t>
        </is>
      </c>
      <c r="E181" t="inlineStr">
        <is>
          <t>H2</t>
        </is>
      </c>
      <c r="F181" s="5" t="inlineStr">
        <is>
          <t>Commercial / transactional</t>
        </is>
      </c>
      <c r="G181" t="inlineStr">
        <is>
          <t>site web fintech</t>
        </is>
      </c>
      <c r="H181" t="inlineStr">
        <is>
          <t>SUPPORTS PRIMARY</t>
        </is>
      </c>
      <c r="I181" t="inlineStr">
        <is>
          <t>fr</t>
        </is>
      </c>
      <c r="J181" t="n">
        <v>30</v>
      </c>
      <c r="K181" t="inlineStr">
        <is>
          <t>NOT AVAILABLE</t>
        </is>
      </c>
      <c r="L181" t="n">
        <v>0</v>
      </c>
      <c r="M181" t="inlineStr">
        <is>
          <t>MEASURED</t>
        </is>
      </c>
      <c r="N181" t="inlineStr">
        <is>
          <t>Yes (supporting block)</t>
        </is>
      </c>
      <c r="O181" s="5" t="inlineStr">
        <is>
          <t>Supports the primary topic - add only if natural</t>
        </is>
      </c>
      <c r="P181" s="5" t="inlineStr"/>
      <c r="Q181" t="inlineStr">
        <is>
          <t>P2</t>
        </is>
      </c>
      <c r="R181" t="n">
        <v>201</v>
      </c>
      <c r="S181" s="5" t="inlineStr">
        <is>
          <t>Réservez un appel découverte pour discuter de vos besoins spécifiques et obtenir un devis personnalisé Recommandé Développement de Sites Web Site web complet avec fonctionnalités IA, tableaux de bord et design premium li</t>
        </is>
      </c>
    </row>
    <row r="182">
      <c r="A182" s="3" t="inlineStr">
        <is>
          <t>https://codesommet.com/services/fintech-website-development</t>
        </is>
      </c>
      <c r="B182" t="n">
        <v>10</v>
      </c>
      <c r="C182" t="inlineStr">
        <is>
          <t>CTA / conversion</t>
        </is>
      </c>
      <c r="D182" s="5" t="inlineStr">
        <is>
          <t>Prêt à Transformer Votre Site Web FinTech et de Services Financiers ?</t>
        </is>
      </c>
      <c r="E182" t="inlineStr">
        <is>
          <t>H2</t>
        </is>
      </c>
      <c r="F182" s="5" t="inlineStr">
        <is>
          <t>Conversion</t>
        </is>
      </c>
      <c r="G182" t="inlineStr">
        <is>
          <t>—</t>
        </is>
      </c>
      <c r="H182" t="inlineStr">
        <is>
          <t>NONE</t>
        </is>
      </c>
      <c r="I182" t="inlineStr">
        <is>
          <t>—</t>
        </is>
      </c>
      <c r="J182" t="inlineStr">
        <is>
          <t>—</t>
        </is>
      </c>
      <c r="K182" t="inlineStr">
        <is>
          <t>—</t>
        </is>
      </c>
      <c r="L182" t="inlineStr">
        <is>
          <t>—</t>
        </is>
      </c>
      <c r="M182" t="inlineStr">
        <is>
          <t>—</t>
        </is>
      </c>
      <c r="N182" t="inlineStr">
        <is>
          <t>n/a</t>
        </is>
      </c>
      <c r="O182" s="5" t="inlineStr">
        <is>
          <t>No keyword target - keep conversion/navigation focus; use descriptive, non-repeated anchor texts</t>
        </is>
      </c>
      <c r="P182" s="5" t="inlineStr"/>
      <c r="Q182" t="inlineStr">
        <is>
          <t>P2</t>
        </is>
      </c>
      <c r="R182" t="n">
        <v>41</v>
      </c>
      <c r="S182" s="5" t="inlineStr">
        <is>
          <t>Obtenez d'abord une analyse gratuite complète : Audit SEO Vérification des performances Révision du design Recommandations alimentées par l'IA Analyser Votre Site Web - 100% Gratuit Pas de carte de crédit requise • Résul</t>
        </is>
      </c>
    </row>
    <row r="183">
      <c r="A183" s="3" t="inlineStr">
        <is>
          <t>https://codesommet.com/services/fintech-website-development</t>
        </is>
      </c>
      <c r="B183" t="n">
        <v>11</v>
      </c>
      <c r="C183" t="inlineStr">
        <is>
          <t>Why us / differentiation</t>
        </is>
      </c>
      <c r="D183" s="5" t="inlineStr">
        <is>
          <t>CodeSommet FinTech et Services Financiers vs Autres</t>
        </is>
      </c>
      <c r="E183" t="inlineStr">
        <is>
          <t>H2</t>
        </is>
      </c>
      <c r="F183" s="5" t="inlineStr">
        <is>
          <t>Commercial investigation</t>
        </is>
      </c>
      <c r="G183" t="inlineStr">
        <is>
          <t>site web fintech</t>
        </is>
      </c>
      <c r="H183" t="inlineStr">
        <is>
          <t>SUPPORTS PRIMARY</t>
        </is>
      </c>
      <c r="I183" t="inlineStr">
        <is>
          <t>fr</t>
        </is>
      </c>
      <c r="J183" t="n">
        <v>30</v>
      </c>
      <c r="K183" t="inlineStr">
        <is>
          <t>NOT AVAILABLE</t>
        </is>
      </c>
      <c r="L183" t="n">
        <v>0</v>
      </c>
      <c r="M183" t="inlineStr">
        <is>
          <t>MEASURED</t>
        </is>
      </c>
      <c r="N183" t="inlineStr">
        <is>
          <t>Yes</t>
        </is>
      </c>
      <c r="O183" s="5" t="inlineStr">
        <is>
          <t>Covered - keep wording; no change</t>
        </is>
      </c>
      <c r="P183" s="5" t="inlineStr"/>
      <c r="Q183" t="inlineStr">
        <is>
          <t>P2</t>
        </is>
      </c>
      <c r="R183" t="n">
        <v>150</v>
      </c>
      <c r="S183" s="5" t="inlineStr">
        <is>
          <t>Découvrez pourquoi FinTech et Services Financiers entreprises choisissent CodeSommet plutôt que d'autres agences locales et concurrents internationaux. Fonctionnalité CodeSommet FinTech et Services Financiers Autres FinT</t>
        </is>
      </c>
    </row>
    <row r="184">
      <c r="A184" s="3" t="inlineStr">
        <is>
          <t>https://codesommet.com/services/fintech-website-development</t>
        </is>
      </c>
      <c r="B184" t="n">
        <v>12</v>
      </c>
      <c r="C184" t="inlineStr">
        <is>
          <t>Testimonials / social proof</t>
        </is>
      </c>
      <c r="D184" s="5" t="inlineStr">
        <is>
          <t>Ce que Nos Clients en FinTech et Services Financiers Disent de Nous</t>
        </is>
      </c>
      <c r="E184" t="inlineStr">
        <is>
          <t>H2</t>
        </is>
      </c>
      <c r="F184" s="5" t="inlineStr">
        <is>
          <t>Commercial investigation</t>
        </is>
      </c>
      <c r="G184" t="inlineStr">
        <is>
          <t>site web fintech</t>
        </is>
      </c>
      <c r="H184" t="inlineStr">
        <is>
          <t>SUPPORTS PRIMARY</t>
        </is>
      </c>
      <c r="I184" t="inlineStr">
        <is>
          <t>fr</t>
        </is>
      </c>
      <c r="J184" t="n">
        <v>30</v>
      </c>
      <c r="K184" t="inlineStr">
        <is>
          <t>NOT AVAILABLE</t>
        </is>
      </c>
      <c r="L184" t="n">
        <v>0</v>
      </c>
      <c r="M184" t="inlineStr">
        <is>
          <t>MEASURED</t>
        </is>
      </c>
      <c r="N184" t="inlineStr">
        <is>
          <t>Yes</t>
        </is>
      </c>
      <c r="O184" s="5" t="inlineStr">
        <is>
          <t>Covered - keep wording; no change</t>
        </is>
      </c>
      <c r="P184" s="5" t="inlineStr"/>
      <c r="Q184" t="inlineStr">
        <is>
          <t>P2</t>
        </is>
      </c>
      <c r="R184" t="n">
        <v>108</v>
      </c>
      <c r="S184" s="5" t="inlineStr">
        <is>
          <t>Ne nous croyez pas sur parole. Écoutez les entreprises en FinTech et Services Financiers qui ont obtenu des résultats remarquables avec CodeSommet. "Une collaboration professionnelle du début à la fin. Je recommande sans</t>
        </is>
      </c>
    </row>
    <row r="185">
      <c r="A185" s="3" t="inlineStr">
        <is>
          <t>https://codesommet.com/services/fintech-website-development</t>
        </is>
      </c>
      <c r="B185" t="n">
        <v>13</v>
      </c>
      <c r="C185" t="inlineStr">
        <is>
          <t>FAQ</t>
        </is>
      </c>
      <c r="D185" s="5" t="inlineStr">
        <is>
          <t>Questions Fréquemment Posées sur le Développement Web en FinTech et Services Financiers</t>
        </is>
      </c>
      <c r="E185" t="inlineStr">
        <is>
          <t>H2</t>
        </is>
      </c>
      <c r="F185" s="5" t="inlineStr">
        <is>
          <t>Informational (pre-purchase questions)</t>
        </is>
      </c>
      <c r="G185" t="inlineStr">
        <is>
          <t>site web fintech</t>
        </is>
      </c>
      <c r="H185" t="inlineStr">
        <is>
          <t>SUPPORTS PRIMARY</t>
        </is>
      </c>
      <c r="I185" t="inlineStr">
        <is>
          <t>fr</t>
        </is>
      </c>
      <c r="J185" t="n">
        <v>30</v>
      </c>
      <c r="K185" t="inlineStr">
        <is>
          <t>NOT AVAILABLE</t>
        </is>
      </c>
      <c r="L185" t="n">
        <v>0</v>
      </c>
      <c r="M185" t="inlineStr">
        <is>
          <t>MEASURED</t>
        </is>
      </c>
      <c r="N185" t="inlineStr">
        <is>
          <t>Yes</t>
        </is>
      </c>
      <c r="O185" s="5" t="inlineStr">
        <is>
          <t>Covered - keep wording; no change</t>
        </is>
      </c>
      <c r="P185" s="5" t="inlineStr"/>
      <c r="Q185" t="inlineStr">
        <is>
          <t>P2</t>
        </is>
      </c>
      <c r="R185" t="n">
        <v>419</v>
      </c>
      <c r="S185" s="5" t="inlineStr">
        <is>
          <t>Vous avez des questions ? Nous avons les réponses. Voici les questions les plus courantes de FinTech et Services Financiers entreprises. 1 Le site peut-il présenter plusieurs produits ou offres financières ? Oui. Nous st</t>
        </is>
      </c>
    </row>
    <row r="186">
      <c r="A186" s="3" t="inlineStr">
        <is>
          <t>https://codesommet.com/services/fintech-website-development</t>
        </is>
      </c>
      <c r="B186" t="n">
        <v>14</v>
      </c>
      <c r="C186" t="inlineStr">
        <is>
          <t>Services / features</t>
        </is>
      </c>
      <c r="D186" s="5" t="inlineStr">
        <is>
          <t>Au Service de Clients dans le Monde Entier</t>
        </is>
      </c>
      <c r="E186" t="inlineStr">
        <is>
          <t>H2</t>
        </is>
      </c>
      <c r="F186" s="5" t="inlineStr">
        <is>
          <t>Commercial</t>
        </is>
      </c>
      <c r="G186" t="inlineStr">
        <is>
          <t>création site web finance</t>
        </is>
      </c>
      <c r="H186" t="inlineStr">
        <is>
          <t>SUPPORTING</t>
        </is>
      </c>
      <c r="I186" t="inlineStr">
        <is>
          <t>fr</t>
        </is>
      </c>
      <c r="J186" t="n">
        <v>20</v>
      </c>
      <c r="K186" t="inlineStr">
        <is>
          <t>NOT AVAILABLE</t>
        </is>
      </c>
      <c r="L186" t="n">
        <v>0</v>
      </c>
      <c r="M186" t="inlineStr">
        <is>
          <t>MEASURED</t>
        </is>
      </c>
      <c r="N186" t="inlineStr">
        <is>
          <t>Yes (supporting block)</t>
        </is>
      </c>
      <c r="O186" s="5" t="inlineStr">
        <is>
          <t>Supports the primary topic - add only if natural</t>
        </is>
      </c>
      <c r="P186" s="5" t="inlineStr"/>
      <c r="Q186" t="inlineStr">
        <is>
          <t>P2</t>
        </is>
      </c>
      <c r="R186" t="n">
        <v>66</v>
      </c>
      <c r="S186" s="5" t="inlineStr">
        <is>
          <t>Nous avons construit des sites web fintech et de services financiers pour des clients à travers le monde. Que vous soyez au Maroc ou ailleurs, nous livrons des solutions de classe mondiale. Dubaï 🇦🇪 UAE Casablanca 🇲🇦 Mar</t>
        </is>
      </c>
    </row>
    <row r="187">
      <c r="A187" s="3" t="inlineStr">
        <is>
          <t>https://codesommet.com/services/fintech-website-development</t>
        </is>
      </c>
      <c r="B187" t="n">
        <v>15</v>
      </c>
      <c r="C187" t="inlineStr">
        <is>
          <t>Internal-link block</t>
        </is>
      </c>
      <c r="D187" s="5" t="inlineStr">
        <is>
          <t>Industries Connexes que Nous Servons</t>
        </is>
      </c>
      <c r="E187" t="inlineStr">
        <is>
          <t>H2</t>
        </is>
      </c>
      <c r="F187" s="5" t="inlineStr">
        <is>
          <t>Navigation</t>
        </is>
      </c>
      <c r="G187" t="inlineStr">
        <is>
          <t>—</t>
        </is>
      </c>
      <c r="H187" t="inlineStr">
        <is>
          <t>NONE</t>
        </is>
      </c>
      <c r="I187" t="inlineStr">
        <is>
          <t>—</t>
        </is>
      </c>
      <c r="J187" t="inlineStr">
        <is>
          <t>—</t>
        </is>
      </c>
      <c r="K187" t="inlineStr">
        <is>
          <t>—</t>
        </is>
      </c>
      <c r="L187" t="inlineStr">
        <is>
          <t>—</t>
        </is>
      </c>
      <c r="M187" t="inlineStr">
        <is>
          <t>—</t>
        </is>
      </c>
      <c r="N187" t="inlineStr">
        <is>
          <t>n/a</t>
        </is>
      </c>
      <c r="O187" s="5" t="inlineStr">
        <is>
          <t>No keyword target - keep conversion/navigation focus; use descriptive, non-repeated anchor texts</t>
        </is>
      </c>
      <c r="P187" s="5" t="inlineStr"/>
      <c r="Q187" t="inlineStr">
        <is>
          <t>P2</t>
        </is>
      </c>
      <c r="R187" t="n">
        <v>117</v>
      </c>
      <c r="S187" s="5" t="inlineStr">
        <is>
          <t xml:space="preserve">Découvrez nos services de développement web spécialisés pour d'autres industries Conseil en Études à l'Étranger Plateformes de cours, systèmes LMS et portails étudiants pour les agences d'études à l'étranger. E-commerce </t>
        </is>
      </c>
    </row>
    <row r="188">
      <c r="A188" s="3" t="inlineStr">
        <is>
          <t>https://codesommet.com/services/fintech-website-development</t>
        </is>
      </c>
      <c r="B188" t="n">
        <v>16</v>
      </c>
      <c r="C188" t="inlineStr">
        <is>
          <t>Internal-link block</t>
        </is>
      </c>
      <c r="D188" s="5" t="inlineStr">
        <is>
          <t>Explorer Plus</t>
        </is>
      </c>
      <c r="E188" t="inlineStr">
        <is>
          <t>H2</t>
        </is>
      </c>
      <c r="F188" s="5" t="inlineStr">
        <is>
          <t>Navigation</t>
        </is>
      </c>
      <c r="G188" t="inlineStr">
        <is>
          <t>—</t>
        </is>
      </c>
      <c r="H188" t="inlineStr">
        <is>
          <t>NONE</t>
        </is>
      </c>
      <c r="I188" t="inlineStr">
        <is>
          <t>—</t>
        </is>
      </c>
      <c r="J188" t="inlineStr">
        <is>
          <t>—</t>
        </is>
      </c>
      <c r="K188" t="inlineStr">
        <is>
          <t>—</t>
        </is>
      </c>
      <c r="L188" t="inlineStr">
        <is>
          <t>—</t>
        </is>
      </c>
      <c r="M188" t="inlineStr">
        <is>
          <t>—</t>
        </is>
      </c>
      <c r="N188" t="inlineStr">
        <is>
          <t>n/a</t>
        </is>
      </c>
      <c r="O188" s="5" t="inlineStr">
        <is>
          <t>No keyword target - keep conversion/navigation focus; use descriptive, non-repeated anchor texts</t>
        </is>
      </c>
      <c r="P188" s="5" t="inlineStr"/>
      <c r="Q188" t="inlineStr">
        <is>
          <t>P2</t>
        </is>
      </c>
      <c r="R188" t="n">
        <v>84</v>
      </c>
      <c r="S188" s="5" t="inlineStr">
        <is>
          <t>Découvrez ce qui fait de CodeSommet votre partenaire idéal en développement web Audit Gratuit de Site Web Obtenez une analyse alimentée par l'IA avec des dizaines de vérifications En savoir plus Voir Nos Réalisations Exp</t>
        </is>
      </c>
    </row>
    <row r="189">
      <c r="A189" s="3" t="inlineStr">
        <is>
          <t>https://codesommet.com/services/fintech-website-development</t>
        </is>
      </c>
      <c r="B189" t="n">
        <v>17</v>
      </c>
      <c r="C189" t="inlineStr">
        <is>
          <t>CTA / conversion</t>
        </is>
      </c>
      <c r="D189" s="5" t="inlineStr">
        <is>
          <t>Prêt à Construire Quelque Chose d'Extraordinaire ?</t>
        </is>
      </c>
      <c r="E189" t="inlineStr">
        <is>
          <t>H2</t>
        </is>
      </c>
      <c r="F189" s="5" t="inlineStr">
        <is>
          <t>Conversion</t>
        </is>
      </c>
      <c r="G189" t="inlineStr">
        <is>
          <t>—</t>
        </is>
      </c>
      <c r="H189" t="inlineStr">
        <is>
          <t>NONE</t>
        </is>
      </c>
      <c r="I189" t="inlineStr">
        <is>
          <t>—</t>
        </is>
      </c>
      <c r="J189" t="inlineStr">
        <is>
          <t>—</t>
        </is>
      </c>
      <c r="K189" t="inlineStr">
        <is>
          <t>—</t>
        </is>
      </c>
      <c r="L189" t="inlineStr">
        <is>
          <t>—</t>
        </is>
      </c>
      <c r="M189" t="inlineStr">
        <is>
          <t>—</t>
        </is>
      </c>
      <c r="N189" t="inlineStr">
        <is>
          <t>n/a</t>
        </is>
      </c>
      <c r="O189" s="5" t="inlineStr">
        <is>
          <t>No keyword target - keep conversion/navigation focus; use descriptive, non-repeated anchor texts</t>
        </is>
      </c>
      <c r="P189" s="5" t="inlineStr"/>
      <c r="Q189" t="inlineStr">
        <is>
          <t>P2</t>
        </is>
      </c>
      <c r="R189" t="n">
        <v>117</v>
      </c>
      <c r="S189" s="5" t="inlineStr">
        <is>
          <t>Rejoignez les entreprises visionnaires qui ont choisi l'excellence Réserver un Appel Découverte Analyser Mon Site Gratuitement Réserver un Appel Découverte Analyser Votre Site Web Discutons de comment l'IA et le design m</t>
        </is>
      </c>
    </row>
    <row r="190">
      <c r="A190" s="3" t="inlineStr">
        <is>
          <t>https://codesommet.com/services/healthcare-website-development</t>
        </is>
      </c>
      <c r="B190" t="n">
        <v>1</v>
      </c>
      <c r="C190" t="inlineStr">
        <is>
          <t>Hero / H1</t>
        </is>
      </c>
      <c r="D190" s="5" t="inlineStr">
        <is>
          <t>Développement de Sites Web Santé &amp; Télésanté qui génèrent des PORTAILS PATIENTS</t>
        </is>
      </c>
      <c r="E190" t="inlineStr">
        <is>
          <t>H1</t>
        </is>
      </c>
      <c r="F190" s="5" t="inlineStr">
        <is>
          <t>Commercial</t>
        </is>
      </c>
      <c r="G190" t="inlineStr">
        <is>
          <t>agence web santé</t>
        </is>
      </c>
      <c r="H190" t="inlineStr">
        <is>
          <t>PRIMARY</t>
        </is>
      </c>
      <c r="I190" t="inlineStr">
        <is>
          <t>fr</t>
        </is>
      </c>
      <c r="J190" t="n">
        <v>590</v>
      </c>
      <c r="K190" t="n">
        <v>28</v>
      </c>
      <c r="L190" t="n">
        <v>2.76</v>
      </c>
      <c r="M190" t="inlineStr">
        <is>
          <t>MEASURED</t>
        </is>
      </c>
      <c r="N190" t="inlineStr">
        <is>
          <t>Partly</t>
        </is>
      </c>
      <c r="O190" s="5" t="inlineStr">
        <is>
          <t>Work "agence web santé" (or a close natural variant) into existing copy - no new heading needed</t>
        </is>
      </c>
      <c r="P190" s="5" t="inlineStr">
        <is>
          <t>Keyword/variant absent from this section</t>
        </is>
      </c>
      <c r="Q190" t="inlineStr">
        <is>
          <t>P2</t>
        </is>
      </c>
      <c r="R190" t="n">
        <v>78</v>
      </c>
      <c r="S190" s="5" t="inlineStr">
        <is>
          <t>Développement de sites web de santé spécialisé pour les cliniques, les hôpitaux et les cabinets médicaux. Nous construisons des sites web de santé avec portails patients, téléconsultation et systèmes de rendez-vous, conç</t>
        </is>
      </c>
    </row>
    <row r="191">
      <c r="A191" s="3" t="inlineStr">
        <is>
          <t>https://codesommet.com/services/healthcare-website-development</t>
        </is>
      </c>
      <c r="B191" t="n">
        <v>2</v>
      </c>
      <c r="C191" t="inlineStr">
        <is>
          <t>Why us / differentiation</t>
        </is>
      </c>
      <c r="D191" s="5" t="inlineStr">
        <is>
          <t>Pourquoi Choisir CodeSommet dans le secteur Santé et Médical ?</t>
        </is>
      </c>
      <c r="E191" t="inlineStr">
        <is>
          <t>H2</t>
        </is>
      </c>
      <c r="F191" s="5" t="inlineStr">
        <is>
          <t>Commercial investigation</t>
        </is>
      </c>
      <c r="G191" t="inlineStr">
        <is>
          <t>agence web santé</t>
        </is>
      </c>
      <c r="H191" t="inlineStr">
        <is>
          <t>SUPPORTS PRIMARY</t>
        </is>
      </c>
      <c r="I191" t="inlineStr">
        <is>
          <t>fr</t>
        </is>
      </c>
      <c r="J191" t="n">
        <v>590</v>
      </c>
      <c r="K191" t="n">
        <v>28</v>
      </c>
      <c r="L191" t="n">
        <v>2.76</v>
      </c>
      <c r="M191" t="inlineStr">
        <is>
          <t>MEASURED</t>
        </is>
      </c>
      <c r="N191" t="inlineStr">
        <is>
          <t>Yes (supporting block)</t>
        </is>
      </c>
      <c r="O191" s="5" t="inlineStr">
        <is>
          <t>Supports the primary topic - add only if natural</t>
        </is>
      </c>
      <c r="P191" s="5" t="inlineStr"/>
      <c r="Q191" t="inlineStr">
        <is>
          <t>P2</t>
        </is>
      </c>
      <c r="R191" t="n">
        <v>220</v>
      </c>
      <c r="S191" s="5" t="inlineStr">
        <is>
          <t>L'expertise locale rencontre les standards internationaux. Voici ce qui fait de nous le partenaire idéal en développement web dans le secteur Santé et Médical . La Santé Est au Cœur de Notre Activité Expertise approfondi</t>
        </is>
      </c>
    </row>
    <row r="192">
      <c r="A192" s="3" t="inlineStr">
        <is>
          <t>https://codesommet.com/services/healthcare-website-development</t>
        </is>
      </c>
      <c r="B192" t="n">
        <v>3</v>
      </c>
      <c r="C192" t="inlineStr">
        <is>
          <t>Proof / portfolio / results</t>
        </is>
      </c>
      <c r="D192" s="5" t="inlineStr">
        <is>
          <t>Adopté par les Santé et Médical Entreprises</t>
        </is>
      </c>
      <c r="E192" t="inlineStr">
        <is>
          <t>H2</t>
        </is>
      </c>
      <c r="F192" s="5" t="inlineStr">
        <is>
          <t>Commercial investigation</t>
        </is>
      </c>
      <c r="G192" t="inlineStr">
        <is>
          <t>agence web santé</t>
        </is>
      </c>
      <c r="H192" t="inlineStr">
        <is>
          <t>SUPPORTS PRIMARY</t>
        </is>
      </c>
      <c r="I192" t="inlineStr">
        <is>
          <t>fr</t>
        </is>
      </c>
      <c r="J192" t="n">
        <v>590</v>
      </c>
      <c r="K192" t="n">
        <v>28</v>
      </c>
      <c r="L192" t="n">
        <v>2.76</v>
      </c>
      <c r="M192" t="inlineStr">
        <is>
          <t>MEASURED</t>
        </is>
      </c>
      <c r="N192" t="inlineStr">
        <is>
          <t>Yes (supporting block)</t>
        </is>
      </c>
      <c r="O192" s="5" t="inlineStr">
        <is>
          <t>Supports the primary topic - add only if natural</t>
        </is>
      </c>
      <c r="P192" s="5" t="inlineStr"/>
      <c r="Q192" t="inlineStr">
        <is>
          <t>P2</t>
        </is>
      </c>
      <c r="R192" t="n">
        <v>24</v>
      </c>
      <c r="S192" s="5" t="inlineStr">
        <is>
          <t>Projets livrés sur mesure Prospects générés pour nos clients Clients accompagnés Résultats réels de Santé et Médical avec lesquelles nous avons collaboré Défis Courants</t>
        </is>
      </c>
    </row>
    <row r="193">
      <c r="A193" s="3" t="inlineStr">
        <is>
          <t>https://codesommet.com/services/healthcare-website-development</t>
        </is>
      </c>
      <c r="B193" t="n">
        <v>4</v>
      </c>
      <c r="C193" t="inlineStr">
        <is>
          <t>Problems / pain points</t>
        </is>
      </c>
      <c r="D193" s="5" t="inlineStr">
        <is>
          <t>Le Défi : Santé et Médical Les Entreprises Font Face à des Défis Web Uniques</t>
        </is>
      </c>
      <c r="E193" t="inlineStr">
        <is>
          <t>H2</t>
        </is>
      </c>
      <c r="F193" s="5" t="inlineStr">
        <is>
          <t>Commercial</t>
        </is>
      </c>
      <c r="G193" t="inlineStr">
        <is>
          <t>création site internet médecin</t>
        </is>
      </c>
      <c r="H193" t="inlineStr">
        <is>
          <t>SECONDARY</t>
        </is>
      </c>
      <c r="I193" t="inlineStr">
        <is>
          <t>fr</t>
        </is>
      </c>
      <c r="J193" t="n">
        <v>90</v>
      </c>
      <c r="K193" t="n">
        <v>6</v>
      </c>
      <c r="L193" t="n">
        <v>4.77</v>
      </c>
      <c r="M193" t="inlineStr">
        <is>
          <t>MEASURED</t>
        </is>
      </c>
      <c r="N193" t="inlineStr">
        <is>
          <t>Partly</t>
        </is>
      </c>
      <c r="O193" s="5" t="inlineStr">
        <is>
          <t>Work "création site internet médecin" (or a close natural variant) into existing copy - no new heading needed</t>
        </is>
      </c>
      <c r="P193" s="5" t="inlineStr">
        <is>
          <t>Keyword/variant absent from this section</t>
        </is>
      </c>
      <c r="Q193" t="inlineStr">
        <is>
          <t>P2</t>
        </is>
      </c>
      <c r="R193" t="n">
        <v>411</v>
      </c>
      <c r="S193" s="5" t="inlineStr">
        <is>
          <t>Les développeurs web généralistes ne comprennent pas ces problématiques spécifiques à la santé et au médical Les Portails Patients Ne Répondent Pas aux Normes HIPAA Les constructeurs de sites web génériques ne fournissen</t>
        </is>
      </c>
    </row>
    <row r="194">
      <c r="A194" s="3" t="inlineStr">
        <is>
          <t>https://codesommet.com/services/healthcare-website-development</t>
        </is>
      </c>
      <c r="B194" t="n">
        <v>5</v>
      </c>
      <c r="C194" t="inlineStr">
        <is>
          <t>Services / features</t>
        </is>
      </c>
      <c r="D194" s="5" t="inlineStr">
        <is>
          <t>Fonctionnalités Essentielles for Santé et Médical Sites Web</t>
        </is>
      </c>
      <c r="E194" t="inlineStr">
        <is>
          <t>H2</t>
        </is>
      </c>
      <c r="F194" s="5" t="inlineStr">
        <is>
          <t>Commercial</t>
        </is>
      </c>
      <c r="G194" t="inlineStr">
        <is>
          <t>site web médical</t>
        </is>
      </c>
      <c r="H194" t="inlineStr">
        <is>
          <t>SECONDARY</t>
        </is>
      </c>
      <c r="I194" t="inlineStr">
        <is>
          <t>fr</t>
        </is>
      </c>
      <c r="J194" t="n">
        <v>30</v>
      </c>
      <c r="K194" t="inlineStr">
        <is>
          <t>NOT AVAILABLE</t>
        </is>
      </c>
      <c r="L194" t="n">
        <v>0</v>
      </c>
      <c r="M194" t="inlineStr">
        <is>
          <t>MEASURED</t>
        </is>
      </c>
      <c r="N194" t="inlineStr">
        <is>
          <t>Yes</t>
        </is>
      </c>
      <c r="O194" s="5" t="inlineStr">
        <is>
          <t>Covered - keep wording; no change</t>
        </is>
      </c>
      <c r="P194" s="5" t="inlineStr"/>
      <c r="Q194" t="inlineStr">
        <is>
          <t>P2</t>
        </is>
      </c>
      <c r="R194" t="n">
        <v>168</v>
      </c>
      <c r="S194" s="5" t="inlineStr">
        <is>
          <t>Tout ce dont votre entreprise de santé et médicale a besoin sur une seule plateforme Système de Prise de Rendez-vous Réservation en ligne avec disponibilité en temps réel, rappels automatisés et gestion des listes d'atte</t>
        </is>
      </c>
    </row>
    <row r="195">
      <c r="A195" s="3" t="inlineStr">
        <is>
          <t>https://codesommet.com/services/healthcare-website-development</t>
        </is>
      </c>
      <c r="B195" t="n">
        <v>6</v>
      </c>
      <c r="C195" t="inlineStr">
        <is>
          <t>Internal-link block</t>
        </is>
      </c>
      <c r="D195" s="5" t="inlineStr">
        <is>
          <t>Articles liés</t>
        </is>
      </c>
      <c r="E195" t="inlineStr">
        <is>
          <t>H2</t>
        </is>
      </c>
      <c r="F195" s="5" t="inlineStr">
        <is>
          <t>Navigation</t>
        </is>
      </c>
      <c r="G195" t="inlineStr">
        <is>
          <t>—</t>
        </is>
      </c>
      <c r="H195" t="inlineStr">
        <is>
          <t>NONE</t>
        </is>
      </c>
      <c r="I195" t="inlineStr">
        <is>
          <t>—</t>
        </is>
      </c>
      <c r="J195" t="inlineStr">
        <is>
          <t>—</t>
        </is>
      </c>
      <c r="K195" t="inlineStr">
        <is>
          <t>—</t>
        </is>
      </c>
      <c r="L195" t="inlineStr">
        <is>
          <t>—</t>
        </is>
      </c>
      <c r="M195" t="inlineStr">
        <is>
          <t>—</t>
        </is>
      </c>
      <c r="N195" t="inlineStr">
        <is>
          <t>n/a</t>
        </is>
      </c>
      <c r="O195" s="5" t="inlineStr">
        <is>
          <t>No keyword target - keep conversion/navigation focus; use descriptive, non-repeated anchor texts</t>
        </is>
      </c>
      <c r="P195" s="5" t="inlineStr"/>
      <c r="Q195" t="inlineStr">
        <is>
          <t>P2</t>
        </is>
      </c>
      <c r="R195" t="n">
        <v>74</v>
      </c>
      <c r="S195" s="5" t="inlineStr">
        <is>
          <t>Guides et conseils de notre blog pour approfondir ce type de projet. Développement Web 12 août 2026 · 7 min de lecture Site web de télémédecine pour cabinet ou clinique : que doit-il contenir ? Proposer des téléconsultat</t>
        </is>
      </c>
    </row>
    <row r="196">
      <c r="A196" s="3" t="inlineStr">
        <is>
          <t>https://codesommet.com/services/healthcare-website-development</t>
        </is>
      </c>
      <c r="B196" t="n">
        <v>7</v>
      </c>
      <c r="C196" t="inlineStr">
        <is>
          <t>Testimonials / social proof</t>
        </is>
      </c>
      <c r="D196" s="5" t="inlineStr">
        <is>
          <t>Histoires de Succès en Santé et Médical</t>
        </is>
      </c>
      <c r="E196" t="inlineStr">
        <is>
          <t>H2</t>
        </is>
      </c>
      <c r="F196" s="5" t="inlineStr">
        <is>
          <t>Commercial investigation</t>
        </is>
      </c>
      <c r="G196" t="inlineStr">
        <is>
          <t>agence web santé</t>
        </is>
      </c>
      <c r="H196" t="inlineStr">
        <is>
          <t>SUPPORTS PRIMARY</t>
        </is>
      </c>
      <c r="I196" t="inlineStr">
        <is>
          <t>fr</t>
        </is>
      </c>
      <c r="J196" t="n">
        <v>590</v>
      </c>
      <c r="K196" t="n">
        <v>28</v>
      </c>
      <c r="L196" t="n">
        <v>2.76</v>
      </c>
      <c r="M196" t="inlineStr">
        <is>
          <t>MEASURED</t>
        </is>
      </c>
      <c r="N196" t="inlineStr">
        <is>
          <t>Yes (supporting block)</t>
        </is>
      </c>
      <c r="O196" s="5" t="inlineStr">
        <is>
          <t>Supports the primary topic - add only if natural</t>
        </is>
      </c>
      <c r="P196" s="5" t="inlineStr"/>
      <c r="Q196" t="inlineStr">
        <is>
          <t>P2</t>
        </is>
      </c>
      <c r="R196" t="n">
        <v>38</v>
      </c>
      <c r="S196" s="5" t="inlineStr">
        <is>
          <t>Projets réels, résultats réels. Découvrez comment nous avons aidé les entreprises en Santé et Médical à atteindre leurs objectifs numériques. Santé Dental Pro Boutique en ligne de matériel et pièces dentaires Maroc Calen</t>
        </is>
      </c>
    </row>
    <row r="197">
      <c r="A197" s="3" t="inlineStr">
        <is>
          <t>https://codesommet.com/services/healthcare-website-development</t>
        </is>
      </c>
      <c r="B197" t="n">
        <v>8</v>
      </c>
      <c r="C197" t="inlineStr">
        <is>
          <t>Process / how it works</t>
        </is>
      </c>
      <c r="D197" s="5" t="inlineStr">
        <is>
          <t>Notre Processus de Développement for Santé et Médical</t>
        </is>
      </c>
      <c r="E197" t="inlineStr">
        <is>
          <t>H2</t>
        </is>
      </c>
      <c r="F197" s="5" t="inlineStr">
        <is>
          <t>Informational / commercial</t>
        </is>
      </c>
      <c r="G197" t="inlineStr">
        <is>
          <t>agence web santé</t>
        </is>
      </c>
      <c r="H197" t="inlineStr">
        <is>
          <t>SUPPORTS PRIMARY</t>
        </is>
      </c>
      <c r="I197" t="inlineStr">
        <is>
          <t>fr</t>
        </is>
      </c>
      <c r="J197" t="n">
        <v>590</v>
      </c>
      <c r="K197" t="n">
        <v>28</v>
      </c>
      <c r="L197" t="n">
        <v>2.76</v>
      </c>
      <c r="M197" t="inlineStr">
        <is>
          <t>MEASURED</t>
        </is>
      </c>
      <c r="N197" t="inlineStr">
        <is>
          <t>Yes (supporting block)</t>
        </is>
      </c>
      <c r="O197" s="5" t="inlineStr">
        <is>
          <t>Supports the primary topic - add only if natural</t>
        </is>
      </c>
      <c r="P197" s="5" t="inlineStr"/>
      <c r="Q197" t="inlineStr">
        <is>
          <t>P2</t>
        </is>
      </c>
      <c r="R197" t="n">
        <v>179</v>
      </c>
      <c r="S197" s="5" t="inlineStr">
        <is>
          <t>Du concept au lancement en 4 étapes, optimisé pour les entreprises de santé et médicales Étape 1 Découverte et Planification de Conformité HIPAA Audit du flux de travail du cabinet et cartographie du parcours patient Lis</t>
        </is>
      </c>
    </row>
    <row r="198">
      <c r="A198" s="3" t="inlineStr">
        <is>
          <t>https://codesommet.com/services/healthcare-website-development</t>
        </is>
      </c>
      <c r="B198" t="n">
        <v>9</v>
      </c>
      <c r="C198" t="inlineStr">
        <is>
          <t>Pricing / offers</t>
        </is>
      </c>
      <c r="D198" s="5" t="inlineStr">
        <is>
          <t>Solutions Personnalisées, Tarification Transparente</t>
        </is>
      </c>
      <c r="E198" t="inlineStr">
        <is>
          <t>H2</t>
        </is>
      </c>
      <c r="F198" s="5" t="inlineStr">
        <is>
          <t>Commercial / transactional</t>
        </is>
      </c>
      <c r="G198" t="inlineStr">
        <is>
          <t>agence web santé</t>
        </is>
      </c>
      <c r="H198" t="inlineStr">
        <is>
          <t>SUPPORTS PRIMARY</t>
        </is>
      </c>
      <c r="I198" t="inlineStr">
        <is>
          <t>fr</t>
        </is>
      </c>
      <c r="J198" t="n">
        <v>590</v>
      </c>
      <c r="K198" t="n">
        <v>28</v>
      </c>
      <c r="L198" t="n">
        <v>2.76</v>
      </c>
      <c r="M198" t="inlineStr">
        <is>
          <t>MEASURED</t>
        </is>
      </c>
      <c r="N198" t="inlineStr">
        <is>
          <t>Yes (supporting block)</t>
        </is>
      </c>
      <c r="O198" s="5" t="inlineStr">
        <is>
          <t>Supports the primary topic - add only if natural</t>
        </is>
      </c>
      <c r="P198" s="5" t="inlineStr"/>
      <c r="Q198" t="inlineStr">
        <is>
          <t>P2</t>
        </is>
      </c>
      <c r="R198" t="n">
        <v>201</v>
      </c>
      <c r="S198" s="5" t="inlineStr">
        <is>
          <t>Réservez un appel découverte pour discuter de vos besoins spécifiques et obtenir un devis personnalisé Recommandé Développement de Sites Web Site web complet avec fonctionnalités IA, tableaux de bord et design premium li</t>
        </is>
      </c>
    </row>
    <row r="199">
      <c r="A199" s="3" t="inlineStr">
        <is>
          <t>https://codesommet.com/services/healthcare-website-development</t>
        </is>
      </c>
      <c r="B199" t="n">
        <v>10</v>
      </c>
      <c r="C199" t="inlineStr">
        <is>
          <t>CTA / conversion</t>
        </is>
      </c>
      <c r="D199" s="5" t="inlineStr">
        <is>
          <t>Prêt à Transformer Votre Site Web de Santé et Médical ?</t>
        </is>
      </c>
      <c r="E199" t="inlineStr">
        <is>
          <t>H2</t>
        </is>
      </c>
      <c r="F199" s="5" t="inlineStr">
        <is>
          <t>Conversion</t>
        </is>
      </c>
      <c r="G199" t="inlineStr">
        <is>
          <t>—</t>
        </is>
      </c>
      <c r="H199" t="inlineStr">
        <is>
          <t>NONE</t>
        </is>
      </c>
      <c r="I199" t="inlineStr">
        <is>
          <t>—</t>
        </is>
      </c>
      <c r="J199" t="inlineStr">
        <is>
          <t>—</t>
        </is>
      </c>
      <c r="K199" t="inlineStr">
        <is>
          <t>—</t>
        </is>
      </c>
      <c r="L199" t="inlineStr">
        <is>
          <t>—</t>
        </is>
      </c>
      <c r="M199" t="inlineStr">
        <is>
          <t>—</t>
        </is>
      </c>
      <c r="N199" t="inlineStr">
        <is>
          <t>n/a</t>
        </is>
      </c>
      <c r="O199" s="5" t="inlineStr">
        <is>
          <t>No keyword target - keep conversion/navigation focus; use descriptive, non-repeated anchor texts</t>
        </is>
      </c>
      <c r="P199" s="5" t="inlineStr"/>
      <c r="Q199" t="inlineStr">
        <is>
          <t>P2</t>
        </is>
      </c>
      <c r="R199" t="n">
        <v>41</v>
      </c>
      <c r="S199" s="5" t="inlineStr">
        <is>
          <t>Obtenez d'abord une analyse gratuite complète : Audit SEO Vérification des performances Révision du design Recommandations alimentées par l'IA Analyser Votre Site Web - 100% Gratuit Pas de carte de crédit requise • Résul</t>
        </is>
      </c>
    </row>
    <row r="200">
      <c r="A200" s="3" t="inlineStr">
        <is>
          <t>https://codesommet.com/services/healthcare-website-development</t>
        </is>
      </c>
      <c r="B200" t="n">
        <v>11</v>
      </c>
      <c r="C200" t="inlineStr">
        <is>
          <t>Why us / differentiation</t>
        </is>
      </c>
      <c r="D200" s="5" t="inlineStr">
        <is>
          <t>CodeSommet Santé et Médical vs Autres</t>
        </is>
      </c>
      <c r="E200" t="inlineStr">
        <is>
          <t>H2</t>
        </is>
      </c>
      <c r="F200" s="5" t="inlineStr">
        <is>
          <t>Commercial investigation</t>
        </is>
      </c>
      <c r="G200" t="inlineStr">
        <is>
          <t>agence web santé</t>
        </is>
      </c>
      <c r="H200" t="inlineStr">
        <is>
          <t>SUPPORTS PRIMARY</t>
        </is>
      </c>
      <c r="I200" t="inlineStr">
        <is>
          <t>fr</t>
        </is>
      </c>
      <c r="J200" t="n">
        <v>590</v>
      </c>
      <c r="K200" t="n">
        <v>28</v>
      </c>
      <c r="L200" t="n">
        <v>2.76</v>
      </c>
      <c r="M200" t="inlineStr">
        <is>
          <t>MEASURED</t>
        </is>
      </c>
      <c r="N200" t="inlineStr">
        <is>
          <t>Yes</t>
        </is>
      </c>
      <c r="O200" s="5" t="inlineStr">
        <is>
          <t>Covered - keep wording; no change</t>
        </is>
      </c>
      <c r="P200" s="5" t="inlineStr"/>
      <c r="Q200" t="inlineStr">
        <is>
          <t>P2</t>
        </is>
      </c>
      <c r="R200" t="n">
        <v>127</v>
      </c>
      <c r="S200" s="5" t="inlineStr">
        <is>
          <t xml:space="preserve">Découvrez pourquoi Santé et Médical entreprises choisissent CodeSommet plutôt que d'autres agences locales et concurrents internationaux. Fonctionnalité CodeSommet Santé et Médical Other Santé et Médical Agences Agences </t>
        </is>
      </c>
    </row>
    <row r="201">
      <c r="A201" s="3" t="inlineStr">
        <is>
          <t>https://codesommet.com/services/healthcare-website-development</t>
        </is>
      </c>
      <c r="B201" t="n">
        <v>12</v>
      </c>
      <c r="C201" t="inlineStr">
        <is>
          <t>Testimonials / social proof</t>
        </is>
      </c>
      <c r="D201" s="5" t="inlineStr">
        <is>
          <t>Ce que Nos Clients en Santé et Médical Disent de Nous</t>
        </is>
      </c>
      <c r="E201" t="inlineStr">
        <is>
          <t>H2</t>
        </is>
      </c>
      <c r="F201" s="5" t="inlineStr">
        <is>
          <t>Commercial investigation</t>
        </is>
      </c>
      <c r="G201" t="inlineStr">
        <is>
          <t>agence web santé</t>
        </is>
      </c>
      <c r="H201" t="inlineStr">
        <is>
          <t>SUPPORTS PRIMARY</t>
        </is>
      </c>
      <c r="I201" t="inlineStr">
        <is>
          <t>fr</t>
        </is>
      </c>
      <c r="J201" t="n">
        <v>590</v>
      </c>
      <c r="K201" t="n">
        <v>28</v>
      </c>
      <c r="L201" t="n">
        <v>2.76</v>
      </c>
      <c r="M201" t="inlineStr">
        <is>
          <t>MEASURED</t>
        </is>
      </c>
      <c r="N201" t="inlineStr">
        <is>
          <t>Yes (supporting block)</t>
        </is>
      </c>
      <c r="O201" s="5" t="inlineStr">
        <is>
          <t>Supports the primary topic - add only if natural</t>
        </is>
      </c>
      <c r="P201" s="5" t="inlineStr"/>
      <c r="Q201" t="inlineStr">
        <is>
          <t>P2</t>
        </is>
      </c>
      <c r="R201" t="n">
        <v>107</v>
      </c>
      <c r="S201" s="5" t="inlineStr">
        <is>
          <t>Ne nous croyez pas sur parole. Écoutez les entreprises en Santé et Médical qui ont obtenu des résultats remarquables avec CodeSommet. "Une collaboration professionnelle du début à la fin. Je recommande sans hésiter." Moh</t>
        </is>
      </c>
    </row>
    <row r="202">
      <c r="A202" s="3" t="inlineStr">
        <is>
          <t>https://codesommet.com/services/healthcare-website-development</t>
        </is>
      </c>
      <c r="B202" t="n">
        <v>13</v>
      </c>
      <c r="C202" t="inlineStr">
        <is>
          <t>FAQ</t>
        </is>
      </c>
      <c r="D202" s="5" t="inlineStr">
        <is>
          <t>Questions Fréquemment Posées sur le Développement Web en Santé et Médical</t>
        </is>
      </c>
      <c r="E202" t="inlineStr">
        <is>
          <t>H2</t>
        </is>
      </c>
      <c r="F202" s="5" t="inlineStr">
        <is>
          <t>Informational (pre-purchase questions)</t>
        </is>
      </c>
      <c r="G202" t="inlineStr">
        <is>
          <t>agence web santé</t>
        </is>
      </c>
      <c r="H202" t="inlineStr">
        <is>
          <t>SUPPORTS PRIMARY</t>
        </is>
      </c>
      <c r="I202" t="inlineStr">
        <is>
          <t>fr</t>
        </is>
      </c>
      <c r="J202" t="n">
        <v>590</v>
      </c>
      <c r="K202" t="n">
        <v>28</v>
      </c>
      <c r="L202" t="n">
        <v>2.76</v>
      </c>
      <c r="M202" t="inlineStr">
        <is>
          <t>MEASURED</t>
        </is>
      </c>
      <c r="N202" t="inlineStr">
        <is>
          <t>Yes (supporting block)</t>
        </is>
      </c>
      <c r="O202" s="5" t="inlineStr">
        <is>
          <t>Supports the primary topic - add only if natural</t>
        </is>
      </c>
      <c r="P202" s="5" t="inlineStr"/>
      <c r="Q202" t="inlineStr">
        <is>
          <t>P2</t>
        </is>
      </c>
      <c r="R202" t="n">
        <v>548</v>
      </c>
      <c r="S202" s="5" t="inlineStr">
        <is>
          <t>Vous avez des questions ? Nous avons les réponses. Voici les questions les plus courantes de Santé et Médical entreprises. 1 Combien de temps faut-il pour construire un site web de santé ? Pour un site vitrine de cabinet</t>
        </is>
      </c>
    </row>
    <row r="203">
      <c r="A203" s="3" t="inlineStr">
        <is>
          <t>https://codesommet.com/services/healthcare-website-development</t>
        </is>
      </c>
      <c r="B203" t="n">
        <v>14</v>
      </c>
      <c r="C203" t="inlineStr">
        <is>
          <t>Services / features</t>
        </is>
      </c>
      <c r="D203" s="5" t="inlineStr">
        <is>
          <t>Au Service de Clients dans le Monde Entier</t>
        </is>
      </c>
      <c r="E203" t="inlineStr">
        <is>
          <t>H2</t>
        </is>
      </c>
      <c r="F203" s="5" t="inlineStr">
        <is>
          <t>Commercial</t>
        </is>
      </c>
      <c r="G203" t="inlineStr">
        <is>
          <t>site web santé</t>
        </is>
      </c>
      <c r="H203" t="inlineStr">
        <is>
          <t>SECONDARY</t>
        </is>
      </c>
      <c r="I203" t="inlineStr">
        <is>
          <t>fr</t>
        </is>
      </c>
      <c r="J203" t="n">
        <v>30</v>
      </c>
      <c r="K203" t="inlineStr">
        <is>
          <t>NOT AVAILABLE</t>
        </is>
      </c>
      <c r="L203" t="n">
        <v>0</v>
      </c>
      <c r="M203" t="inlineStr">
        <is>
          <t>MEASURED</t>
        </is>
      </c>
      <c r="N203" t="inlineStr">
        <is>
          <t>Yes</t>
        </is>
      </c>
      <c r="O203" s="5" t="inlineStr">
        <is>
          <t>Covered - keep wording; no change</t>
        </is>
      </c>
      <c r="P203" s="5" t="inlineStr"/>
      <c r="Q203" t="inlineStr">
        <is>
          <t>P2</t>
        </is>
      </c>
      <c r="R203" t="n">
        <v>64</v>
      </c>
      <c r="S203" s="5" t="inlineStr">
        <is>
          <t>Nous avons construit des sites web de santé et médicaux pour des clients à travers le monde. Que vous soyez au Maroc ou ailleurs, nous livrons des solutions de classe mondiale. Dubaï 🇦🇪 UAE Casablanca 🇲🇦 Maroc San Franci</t>
        </is>
      </c>
    </row>
    <row r="204">
      <c r="A204" s="3" t="inlineStr">
        <is>
          <t>https://codesommet.com/services/healthcare-website-development</t>
        </is>
      </c>
      <c r="B204" t="n">
        <v>15</v>
      </c>
      <c r="C204" t="inlineStr">
        <is>
          <t>Internal-link block</t>
        </is>
      </c>
      <c r="D204" s="5" t="inlineStr">
        <is>
          <t>Industries Connexes que Nous Servons</t>
        </is>
      </c>
      <c r="E204" t="inlineStr">
        <is>
          <t>H2</t>
        </is>
      </c>
      <c r="F204" s="5" t="inlineStr">
        <is>
          <t>Navigation</t>
        </is>
      </c>
      <c r="G204" t="inlineStr">
        <is>
          <t>—</t>
        </is>
      </c>
      <c r="H204" t="inlineStr">
        <is>
          <t>NONE</t>
        </is>
      </c>
      <c r="I204" t="inlineStr">
        <is>
          <t>—</t>
        </is>
      </c>
      <c r="J204" t="inlineStr">
        <is>
          <t>—</t>
        </is>
      </c>
      <c r="K204" t="inlineStr">
        <is>
          <t>—</t>
        </is>
      </c>
      <c r="L204" t="inlineStr">
        <is>
          <t>—</t>
        </is>
      </c>
      <c r="M204" t="inlineStr">
        <is>
          <t>—</t>
        </is>
      </c>
      <c r="N204" t="inlineStr">
        <is>
          <t>n/a</t>
        </is>
      </c>
      <c r="O204" s="5" t="inlineStr">
        <is>
          <t>No keyword target - keep conversion/navigation focus; use descriptive, non-repeated anchor texts</t>
        </is>
      </c>
      <c r="P204" s="5" t="inlineStr"/>
      <c r="Q204" t="inlineStr">
        <is>
          <t>P2</t>
        </is>
      </c>
      <c r="R204" t="n">
        <v>113</v>
      </c>
      <c r="S204" s="5" t="inlineStr">
        <is>
          <t>Découvrez nos services de développement web spécialisés pour d'autres industries Télémédecine Plateformes de consultation vidéo sécurisées avec gestion des patients et systèmes d'ordonnances. Conseil en Études à l'Étrang</t>
        </is>
      </c>
    </row>
    <row r="205">
      <c r="A205" s="3" t="inlineStr">
        <is>
          <t>https://codesommet.com/services/healthcare-website-development</t>
        </is>
      </c>
      <c r="B205" t="n">
        <v>16</v>
      </c>
      <c r="C205" t="inlineStr">
        <is>
          <t>Internal-link block</t>
        </is>
      </c>
      <c r="D205" s="5" t="inlineStr">
        <is>
          <t>Explorer Plus</t>
        </is>
      </c>
      <c r="E205" t="inlineStr">
        <is>
          <t>H2</t>
        </is>
      </c>
      <c r="F205" s="5" t="inlineStr">
        <is>
          <t>Navigation</t>
        </is>
      </c>
      <c r="G205" t="inlineStr">
        <is>
          <t>—</t>
        </is>
      </c>
      <c r="H205" t="inlineStr">
        <is>
          <t>NONE</t>
        </is>
      </c>
      <c r="I205" t="inlineStr">
        <is>
          <t>—</t>
        </is>
      </c>
      <c r="J205" t="inlineStr">
        <is>
          <t>—</t>
        </is>
      </c>
      <c r="K205" t="inlineStr">
        <is>
          <t>—</t>
        </is>
      </c>
      <c r="L205" t="inlineStr">
        <is>
          <t>—</t>
        </is>
      </c>
      <c r="M205" t="inlineStr">
        <is>
          <t>—</t>
        </is>
      </c>
      <c r="N205" t="inlineStr">
        <is>
          <t>n/a</t>
        </is>
      </c>
      <c r="O205" s="5" t="inlineStr">
        <is>
          <t>No keyword target - keep conversion/navigation focus; use descriptive, non-repeated anchor texts</t>
        </is>
      </c>
      <c r="P205" s="5" t="inlineStr"/>
      <c r="Q205" t="inlineStr">
        <is>
          <t>P2</t>
        </is>
      </c>
      <c r="R205" t="n">
        <v>85</v>
      </c>
      <c r="S205" s="5" t="inlineStr">
        <is>
          <t>Découvrez ce qui fait de CodeSommet votre partenaire idéal en développement web Audit Gratuit de Site Web Obtenez une analyse alimentée par l'IA avec une batterie complète de vérifications En savoir plus Voir Nos Réalisa</t>
        </is>
      </c>
    </row>
    <row r="206">
      <c r="A206" s="3" t="inlineStr">
        <is>
          <t>https://codesommet.com/services/healthcare-website-development</t>
        </is>
      </c>
      <c r="B206" t="n">
        <v>17</v>
      </c>
      <c r="C206" t="inlineStr">
        <is>
          <t>CTA / conversion</t>
        </is>
      </c>
      <c r="D206" s="5" t="inlineStr">
        <is>
          <t>Prêt à Construire Quelque Chose d'Extraordinaire ?</t>
        </is>
      </c>
      <c r="E206" t="inlineStr">
        <is>
          <t>H2</t>
        </is>
      </c>
      <c r="F206" s="5" t="inlineStr">
        <is>
          <t>Conversion</t>
        </is>
      </c>
      <c r="G206" t="inlineStr">
        <is>
          <t>—</t>
        </is>
      </c>
      <c r="H206" t="inlineStr">
        <is>
          <t>NONE</t>
        </is>
      </c>
      <c r="I206" t="inlineStr">
        <is>
          <t>—</t>
        </is>
      </c>
      <c r="J206" t="inlineStr">
        <is>
          <t>—</t>
        </is>
      </c>
      <c r="K206" t="inlineStr">
        <is>
          <t>—</t>
        </is>
      </c>
      <c r="L206" t="inlineStr">
        <is>
          <t>—</t>
        </is>
      </c>
      <c r="M206" t="inlineStr">
        <is>
          <t>—</t>
        </is>
      </c>
      <c r="N206" t="inlineStr">
        <is>
          <t>n/a</t>
        </is>
      </c>
      <c r="O206" s="5" t="inlineStr">
        <is>
          <t>No keyword target - keep conversion/navigation focus; use descriptive, non-repeated anchor texts</t>
        </is>
      </c>
      <c r="P206" s="5" t="inlineStr"/>
      <c r="Q206" t="inlineStr">
        <is>
          <t>P2</t>
        </is>
      </c>
      <c r="R206" t="n">
        <v>117</v>
      </c>
      <c r="S206" s="5" t="inlineStr">
        <is>
          <t>Rejoignez les entreprises visionnaires qui ont choisi l'excellence Réserver un Appel Découverte Analyser Mon Site Gratuitement Réserver un Appel Découverte Analyser Votre Site Web Discutons de comment l'IA et le design m</t>
        </is>
      </c>
    </row>
    <row r="207">
      <c r="A207" s="3" t="inlineStr">
        <is>
          <t>https://codesommet.com/services/education-website-development</t>
        </is>
      </c>
      <c r="B207" t="n">
        <v>1</v>
      </c>
      <c r="C207" t="inlineStr">
        <is>
          <t>Hero / H1</t>
        </is>
      </c>
      <c r="D207" s="5" t="inlineStr">
        <is>
          <t>Création de Sites Web Éducatifs &amp; E-Learning qui génèrent des PORTAILS DE CANDIDATURE ÉTUDIANTS</t>
        </is>
      </c>
      <c r="E207" t="inlineStr">
        <is>
          <t>H1</t>
        </is>
      </c>
      <c r="F207" s="5" t="inlineStr">
        <is>
          <t>Commercial</t>
        </is>
      </c>
      <c r="G207" t="inlineStr">
        <is>
          <t>site internet école</t>
        </is>
      </c>
      <c r="H207" t="inlineStr">
        <is>
          <t>PRIMARY</t>
        </is>
      </c>
      <c r="I207" t="inlineStr">
        <is>
          <t>fr</t>
        </is>
      </c>
      <c r="J207" t="n">
        <v>10</v>
      </c>
      <c r="K207" t="inlineStr">
        <is>
          <t>NOT AVAILABLE</t>
        </is>
      </c>
      <c r="L207" t="n">
        <v>0</v>
      </c>
      <c r="M207" t="inlineStr">
        <is>
          <t>MEASURED</t>
        </is>
      </c>
      <c r="N207" t="inlineStr">
        <is>
          <t>Partly</t>
        </is>
      </c>
      <c r="O207" s="5" t="inlineStr">
        <is>
          <t>Work "site internet école" (or a close natural variant) into existing copy - no new heading needed</t>
        </is>
      </c>
      <c r="P207" s="5" t="inlineStr">
        <is>
          <t>Keyword/variant absent from this section</t>
        </is>
      </c>
      <c r="Q207" t="inlineStr">
        <is>
          <t>P2</t>
        </is>
      </c>
      <c r="R207" t="n">
        <v>76</v>
      </c>
      <c r="S207" s="5" t="inlineStr">
        <is>
          <t>Développement de sites web éducatifs spécialisé pour les agences d'études à l'étranger, les écoles de langues et les plateformes d'apprentissage en ligne. Nous construisons des sites web éducatifs avec des portails étudi</t>
        </is>
      </c>
    </row>
    <row r="208">
      <c r="A208" s="3" t="inlineStr">
        <is>
          <t>https://codesommet.com/services/education-website-development</t>
        </is>
      </c>
      <c r="B208" t="n">
        <v>2</v>
      </c>
      <c r="C208" t="inlineStr">
        <is>
          <t>Why us / differentiation</t>
        </is>
      </c>
      <c r="D208" s="5" t="inlineStr">
        <is>
          <t>Pourquoi Choisir CodeSommet dans le secteur Éducation et EdTech ?</t>
        </is>
      </c>
      <c r="E208" t="inlineStr">
        <is>
          <t>H2</t>
        </is>
      </c>
      <c r="F208" s="5" t="inlineStr">
        <is>
          <t>Commercial investigation</t>
        </is>
      </c>
      <c r="G208" t="inlineStr">
        <is>
          <t>site internet école</t>
        </is>
      </c>
      <c r="H208" t="inlineStr">
        <is>
          <t>SUPPORTS PRIMARY</t>
        </is>
      </c>
      <c r="I208" t="inlineStr">
        <is>
          <t>fr</t>
        </is>
      </c>
      <c r="J208" t="n">
        <v>10</v>
      </c>
      <c r="K208" t="inlineStr">
        <is>
          <t>NOT AVAILABLE</t>
        </is>
      </c>
      <c r="L208" t="n">
        <v>0</v>
      </c>
      <c r="M208" t="inlineStr">
        <is>
          <t>MEASURED</t>
        </is>
      </c>
      <c r="N208" t="inlineStr">
        <is>
          <t>Yes (supporting block)</t>
        </is>
      </c>
      <c r="O208" s="5" t="inlineStr">
        <is>
          <t>Supports the primary topic - add only if natural</t>
        </is>
      </c>
      <c r="P208" s="5" t="inlineStr"/>
      <c r="Q208" t="inlineStr">
        <is>
          <t>P2</t>
        </is>
      </c>
      <c r="R208" t="n">
        <v>242</v>
      </c>
      <c r="S208" s="5" t="inlineStr">
        <is>
          <t>L'expertise locale rencontre les standards internationaux. Voici ce qui fait de nous le partenaire idéal en développement web dans le secteur Éducation et EdTech . L'Éducation au Cœur de Notre Activité Expertise approfon</t>
        </is>
      </c>
    </row>
    <row r="209">
      <c r="A209" s="3" t="inlineStr">
        <is>
          <t>https://codesommet.com/services/education-website-development</t>
        </is>
      </c>
      <c r="B209" t="n">
        <v>3</v>
      </c>
      <c r="C209" t="inlineStr">
        <is>
          <t>Proof / portfolio / results</t>
        </is>
      </c>
      <c r="D209" s="5" t="inlineStr">
        <is>
          <t>Adopté par les Éducation et EdTech Entreprises</t>
        </is>
      </c>
      <c r="E209" t="inlineStr">
        <is>
          <t>H2</t>
        </is>
      </c>
      <c r="F209" s="5" t="inlineStr">
        <is>
          <t>Commercial investigation</t>
        </is>
      </c>
      <c r="G209" t="inlineStr">
        <is>
          <t>site internet école</t>
        </is>
      </c>
      <c r="H209" t="inlineStr">
        <is>
          <t>SUPPORTS PRIMARY</t>
        </is>
      </c>
      <c r="I209" t="inlineStr">
        <is>
          <t>fr</t>
        </is>
      </c>
      <c r="J209" t="n">
        <v>10</v>
      </c>
      <c r="K209" t="inlineStr">
        <is>
          <t>NOT AVAILABLE</t>
        </is>
      </c>
      <c r="L209" t="n">
        <v>0</v>
      </c>
      <c r="M209" t="inlineStr">
        <is>
          <t>MEASURED</t>
        </is>
      </c>
      <c r="N209" t="inlineStr">
        <is>
          <t>Yes (supporting block)</t>
        </is>
      </c>
      <c r="O209" s="5" t="inlineStr">
        <is>
          <t>Supports the primary topic - add only if natural</t>
        </is>
      </c>
      <c r="P209" s="5" t="inlineStr"/>
      <c r="Q209" t="inlineStr">
        <is>
          <t>P2</t>
        </is>
      </c>
      <c r="R209" t="n">
        <v>24</v>
      </c>
      <c r="S209" s="5" t="inlineStr">
        <is>
          <t>Projets livrés sur mesure Prospects générés pour nos clients Clients accompagnés Résultats réels de Éducation et EdTech avec lesquelles nous avons collaboré Défis Courants</t>
        </is>
      </c>
    </row>
    <row r="210">
      <c r="A210" s="3" t="inlineStr">
        <is>
          <t>https://codesommet.com/services/education-website-development</t>
        </is>
      </c>
      <c r="B210" t="n">
        <v>4</v>
      </c>
      <c r="C210" t="inlineStr">
        <is>
          <t>Problems / pain points</t>
        </is>
      </c>
      <c r="D210" s="5" t="inlineStr">
        <is>
          <t>Le Défi : Éducation et EdTech Les Entreprises Font Face à des Défis Web Uniques</t>
        </is>
      </c>
      <c r="E210" t="inlineStr">
        <is>
          <t>H2</t>
        </is>
      </c>
      <c r="F210" s="5" t="inlineStr">
        <is>
          <t>Commercial</t>
        </is>
      </c>
      <c r="G210" t="inlineStr">
        <is>
          <t>site web centre de formation</t>
        </is>
      </c>
      <c r="H210" t="inlineStr">
        <is>
          <t>SECONDARY</t>
        </is>
      </c>
      <c r="I210" t="inlineStr">
        <is>
          <t>fr</t>
        </is>
      </c>
      <c r="J210" t="n">
        <v>20</v>
      </c>
      <c r="K210" t="inlineStr">
        <is>
          <t>NOT AVAILABLE</t>
        </is>
      </c>
      <c r="L210" t="n">
        <v>0</v>
      </c>
      <c r="M210" t="inlineStr">
        <is>
          <t>MEASURED</t>
        </is>
      </c>
      <c r="N210" t="inlineStr">
        <is>
          <t>Partly</t>
        </is>
      </c>
      <c r="O210" s="5" t="inlineStr">
        <is>
          <t>Work "site web centre de formation" (or a close natural variant) into existing copy - no new heading needed</t>
        </is>
      </c>
      <c r="P210" s="5" t="inlineStr">
        <is>
          <t>Keyword/variant absent from this section</t>
        </is>
      </c>
      <c r="Q210" t="inlineStr">
        <is>
          <t>P2</t>
        </is>
      </c>
      <c r="R210" t="n">
        <v>395</v>
      </c>
      <c r="S210" s="5" t="inlineStr">
        <is>
          <t xml:space="preserve">Les développeurs web généralistes ne comprennent pas ces problématiques spécifiques à l'éducation et à l'edtech Les Constructeurs de Sites Génériques Ne Fonctionnent Pas Wix et WordPress ne peuvent pas gérer les flux de </t>
        </is>
      </c>
    </row>
    <row r="211">
      <c r="A211" s="3" t="inlineStr">
        <is>
          <t>https://codesommet.com/services/education-website-development</t>
        </is>
      </c>
      <c r="B211" t="n">
        <v>5</v>
      </c>
      <c r="C211" t="inlineStr">
        <is>
          <t>Services / features</t>
        </is>
      </c>
      <c r="D211" s="5" t="inlineStr">
        <is>
          <t>Fonctionnalités Essentielles for Éducation et EdTech Sites Web</t>
        </is>
      </c>
      <c r="E211" t="inlineStr">
        <is>
          <t>H2</t>
        </is>
      </c>
      <c r="F211" s="5" t="inlineStr">
        <is>
          <t>Commercial</t>
        </is>
      </c>
      <c r="G211" t="inlineStr">
        <is>
          <t>création site web école</t>
        </is>
      </c>
      <c r="H211" t="inlineStr">
        <is>
          <t>SUPPORTING</t>
        </is>
      </c>
      <c r="I211" t="inlineStr">
        <is>
          <t>fr</t>
        </is>
      </c>
      <c r="J211" t="inlineStr">
        <is>
          <t>NOT AVAILABLE</t>
        </is>
      </c>
      <c r="K211" t="inlineStr">
        <is>
          <t>NOT AVAILABLE</t>
        </is>
      </c>
      <c r="L211" t="inlineStr">
        <is>
          <t>NOT AVAILABLE</t>
        </is>
      </c>
      <c r="M211" t="inlineStr">
        <is>
          <t>UNAVAILABLE</t>
        </is>
      </c>
      <c r="N211" t="inlineStr">
        <is>
          <t>Yes (supporting block)</t>
        </is>
      </c>
      <c r="O211" s="5" t="inlineStr">
        <is>
          <t>Supports the primary topic - add only if natural</t>
        </is>
      </c>
      <c r="P211" s="5" t="inlineStr"/>
      <c r="Q211" t="inlineStr">
        <is>
          <t>P2</t>
        </is>
      </c>
      <c r="R211" t="n">
        <v>158</v>
      </c>
      <c r="S211" s="5" t="inlineStr">
        <is>
          <t xml:space="preserve">Tout ce dont votre entreprise d'éducation et edtech a besoin sur une seule plateforme Portail de Candidature Formulaires de candidature intelligents avec téléchargement de documents, suivi en temps réel et notifications </t>
        </is>
      </c>
    </row>
    <row r="212">
      <c r="A212" s="3" t="inlineStr">
        <is>
          <t>https://codesommet.com/services/education-website-development</t>
        </is>
      </c>
      <c r="B212" t="n">
        <v>6</v>
      </c>
      <c r="C212" t="inlineStr">
        <is>
          <t>Testimonials / social proof</t>
        </is>
      </c>
      <c r="D212" s="5" t="inlineStr">
        <is>
          <t>Histoires de Succès en Éducation et EdTech</t>
        </is>
      </c>
      <c r="E212" t="inlineStr">
        <is>
          <t>H2</t>
        </is>
      </c>
      <c r="F212" s="5" t="inlineStr">
        <is>
          <t>Commercial investigation</t>
        </is>
      </c>
      <c r="G212" t="inlineStr">
        <is>
          <t>site internet école</t>
        </is>
      </c>
      <c r="H212" t="inlineStr">
        <is>
          <t>SUPPORTS PRIMARY</t>
        </is>
      </c>
      <c r="I212" t="inlineStr">
        <is>
          <t>fr</t>
        </is>
      </c>
      <c r="J212" t="n">
        <v>10</v>
      </c>
      <c r="K212" t="inlineStr">
        <is>
          <t>NOT AVAILABLE</t>
        </is>
      </c>
      <c r="L212" t="n">
        <v>0</v>
      </c>
      <c r="M212" t="inlineStr">
        <is>
          <t>MEASURED</t>
        </is>
      </c>
      <c r="N212" t="inlineStr">
        <is>
          <t>Yes (supporting block)</t>
        </is>
      </c>
      <c r="O212" s="5" t="inlineStr">
        <is>
          <t>Supports the primary topic - add only if natural</t>
        </is>
      </c>
      <c r="P212" s="5" t="inlineStr"/>
      <c r="Q212" t="inlineStr">
        <is>
          <t>P2</t>
        </is>
      </c>
      <c r="R212" t="n">
        <v>66</v>
      </c>
      <c r="S212" s="5" t="inlineStr">
        <is>
          <t>Projets réels, résultats réels. Découvrez comment nous avons aidé les entreprises en Éducation et EdTech à atteindre leurs objectifs numériques. Au-delà de l'Allemagne et du Maroc, découvrez notre travail avec Morocco Qu</t>
        </is>
      </c>
    </row>
    <row r="213">
      <c r="A213" s="3" t="inlineStr">
        <is>
          <t>https://codesommet.com/services/education-website-development</t>
        </is>
      </c>
      <c r="B213" t="n">
        <v>7</v>
      </c>
      <c r="C213" t="inlineStr">
        <is>
          <t>Process / how it works</t>
        </is>
      </c>
      <c r="D213" s="5" t="inlineStr">
        <is>
          <t>Notre Processus de Développement for Éducation et EdTech</t>
        </is>
      </c>
      <c r="E213" t="inlineStr">
        <is>
          <t>H2</t>
        </is>
      </c>
      <c r="F213" s="5" t="inlineStr">
        <is>
          <t>Informational / commercial</t>
        </is>
      </c>
      <c r="G213" t="inlineStr">
        <is>
          <t>site internet école</t>
        </is>
      </c>
      <c r="H213" t="inlineStr">
        <is>
          <t>SUPPORTS PRIMARY</t>
        </is>
      </c>
      <c r="I213" t="inlineStr">
        <is>
          <t>fr</t>
        </is>
      </c>
      <c r="J213" t="n">
        <v>10</v>
      </c>
      <c r="K213" t="inlineStr">
        <is>
          <t>NOT AVAILABLE</t>
        </is>
      </c>
      <c r="L213" t="n">
        <v>0</v>
      </c>
      <c r="M213" t="inlineStr">
        <is>
          <t>MEASURED</t>
        </is>
      </c>
      <c r="N213" t="inlineStr">
        <is>
          <t>Yes (supporting block)</t>
        </is>
      </c>
      <c r="O213" s="5" t="inlineStr">
        <is>
          <t>Supports the primary topic - add only if natural</t>
        </is>
      </c>
      <c r="P213" s="5" t="inlineStr"/>
      <c r="Q213" t="inlineStr">
        <is>
          <t>P2</t>
        </is>
      </c>
      <c r="R213" t="n">
        <v>102</v>
      </c>
      <c r="S213" s="5" t="inlineStr">
        <is>
          <t>Du concept au lancement en 4 étapes, optimisé pour les entreprises d'éducation et edtech Étape 1 Découverte et Analyse Rapport d'analyse concurrentielle Développement de personas étudiants Priorisation des fonctionnalité</t>
        </is>
      </c>
    </row>
    <row r="214">
      <c r="A214" s="3" t="inlineStr">
        <is>
          <t>https://codesommet.com/services/education-website-development</t>
        </is>
      </c>
      <c r="B214" t="n">
        <v>8</v>
      </c>
      <c r="C214" t="inlineStr">
        <is>
          <t>Pricing / offers</t>
        </is>
      </c>
      <c r="D214" s="5" t="inlineStr">
        <is>
          <t>Solutions Personnalisées, Tarification Transparente</t>
        </is>
      </c>
      <c r="E214" t="inlineStr">
        <is>
          <t>H2</t>
        </is>
      </c>
      <c r="F214" s="5" t="inlineStr">
        <is>
          <t>Commercial / transactional</t>
        </is>
      </c>
      <c r="G214" t="inlineStr">
        <is>
          <t>site internet école</t>
        </is>
      </c>
      <c r="H214" t="inlineStr">
        <is>
          <t>SUPPORTS PRIMARY</t>
        </is>
      </c>
      <c r="I214" t="inlineStr">
        <is>
          <t>fr</t>
        </is>
      </c>
      <c r="J214" t="n">
        <v>10</v>
      </c>
      <c r="K214" t="inlineStr">
        <is>
          <t>NOT AVAILABLE</t>
        </is>
      </c>
      <c r="L214" t="n">
        <v>0</v>
      </c>
      <c r="M214" t="inlineStr">
        <is>
          <t>MEASURED</t>
        </is>
      </c>
      <c r="N214" t="inlineStr">
        <is>
          <t>Yes (supporting block)</t>
        </is>
      </c>
      <c r="O214" s="5" t="inlineStr">
        <is>
          <t>Supports the primary topic - add only if natural</t>
        </is>
      </c>
      <c r="P214" s="5" t="inlineStr"/>
      <c r="Q214" t="inlineStr">
        <is>
          <t>P2</t>
        </is>
      </c>
      <c r="R214" t="n">
        <v>201</v>
      </c>
      <c r="S214" s="5" t="inlineStr">
        <is>
          <t>Réservez un appel découverte pour discuter de vos besoins spécifiques et obtenir un devis personnalisé Recommandé Développement de Sites Web Site web complet avec fonctionnalités IA, tableaux de bord et design premium li</t>
        </is>
      </c>
    </row>
    <row r="215">
      <c r="A215" s="3" t="inlineStr">
        <is>
          <t>https://codesommet.com/services/education-website-development</t>
        </is>
      </c>
      <c r="B215" t="n">
        <v>9</v>
      </c>
      <c r="C215" t="inlineStr">
        <is>
          <t>CTA / conversion</t>
        </is>
      </c>
      <c r="D215" s="5" t="inlineStr">
        <is>
          <t>Prêt à Transformer Votre Site Web Éducation et EdTech ?</t>
        </is>
      </c>
      <c r="E215" t="inlineStr">
        <is>
          <t>H2</t>
        </is>
      </c>
      <c r="F215" s="5" t="inlineStr">
        <is>
          <t>Conversion</t>
        </is>
      </c>
      <c r="G215" t="inlineStr">
        <is>
          <t>—</t>
        </is>
      </c>
      <c r="H215" t="inlineStr">
        <is>
          <t>NONE</t>
        </is>
      </c>
      <c r="I215" t="inlineStr">
        <is>
          <t>—</t>
        </is>
      </c>
      <c r="J215" t="inlineStr">
        <is>
          <t>—</t>
        </is>
      </c>
      <c r="K215" t="inlineStr">
        <is>
          <t>—</t>
        </is>
      </c>
      <c r="L215" t="inlineStr">
        <is>
          <t>—</t>
        </is>
      </c>
      <c r="M215" t="inlineStr">
        <is>
          <t>—</t>
        </is>
      </c>
      <c r="N215" t="inlineStr">
        <is>
          <t>n/a</t>
        </is>
      </c>
      <c r="O215" s="5" t="inlineStr">
        <is>
          <t>No keyword target - keep conversion/navigation focus; use descriptive, non-repeated anchor texts</t>
        </is>
      </c>
      <c r="P215" s="5" t="inlineStr"/>
      <c r="Q215" t="inlineStr">
        <is>
          <t>P2</t>
        </is>
      </c>
      <c r="R215" t="n">
        <v>41</v>
      </c>
      <c r="S215" s="5" t="inlineStr">
        <is>
          <t>Obtenez d'abord une analyse gratuite complète : Audit SEO Vérification des performances Révision du design Recommandations alimentées par l'IA Analyser Votre Site Web - 100% Gratuit Pas de carte de crédit requise • Résul</t>
        </is>
      </c>
    </row>
    <row r="216">
      <c r="A216" s="3" t="inlineStr">
        <is>
          <t>https://codesommet.com/services/education-website-development</t>
        </is>
      </c>
      <c r="B216" t="n">
        <v>10</v>
      </c>
      <c r="C216" t="inlineStr">
        <is>
          <t>Why us / differentiation</t>
        </is>
      </c>
      <c r="D216" s="5" t="inlineStr">
        <is>
          <t>CodeSommet Éducation et EdTech vs Autres</t>
        </is>
      </c>
      <c r="E216" t="inlineStr">
        <is>
          <t>H2</t>
        </is>
      </c>
      <c r="F216" s="5" t="inlineStr">
        <is>
          <t>Commercial investigation</t>
        </is>
      </c>
      <c r="G216" t="inlineStr">
        <is>
          <t>site internet école</t>
        </is>
      </c>
      <c r="H216" t="inlineStr">
        <is>
          <t>SUPPORTS PRIMARY</t>
        </is>
      </c>
      <c r="I216" t="inlineStr">
        <is>
          <t>fr</t>
        </is>
      </c>
      <c r="J216" t="n">
        <v>10</v>
      </c>
      <c r="K216" t="inlineStr">
        <is>
          <t>NOT AVAILABLE</t>
        </is>
      </c>
      <c r="L216" t="n">
        <v>0</v>
      </c>
      <c r="M216" t="inlineStr">
        <is>
          <t>MEASURED</t>
        </is>
      </c>
      <c r="N216" t="inlineStr">
        <is>
          <t>Yes (supporting block)</t>
        </is>
      </c>
      <c r="O216" s="5" t="inlineStr">
        <is>
          <t>Supports the primary topic - add only if natural</t>
        </is>
      </c>
      <c r="P216" s="5" t="inlineStr"/>
      <c r="Q216" t="inlineStr">
        <is>
          <t>P2</t>
        </is>
      </c>
      <c r="R216" t="n">
        <v>133</v>
      </c>
      <c r="S216" s="5" t="inlineStr">
        <is>
          <t>Découvrez pourquoi Éducation et EdTech entreprises choisissent CodeSommet plutôt que d'autres agences locales et concurrents internationaux. Fonctionnalité CodeSommet Éducation et EdTech Other Éducation et EdTech Agences</t>
        </is>
      </c>
    </row>
    <row r="217">
      <c r="A217" s="3" t="inlineStr">
        <is>
          <t>https://codesommet.com/services/education-website-development</t>
        </is>
      </c>
      <c r="B217" t="n">
        <v>11</v>
      </c>
      <c r="C217" t="inlineStr">
        <is>
          <t>Testimonials / social proof</t>
        </is>
      </c>
      <c r="D217" s="5" t="inlineStr">
        <is>
          <t>Ce que Nos Clients en Éducation et EdTech Disent de Nous</t>
        </is>
      </c>
      <c r="E217" t="inlineStr">
        <is>
          <t>H2</t>
        </is>
      </c>
      <c r="F217" s="5" t="inlineStr">
        <is>
          <t>Commercial investigation</t>
        </is>
      </c>
      <c r="G217" t="inlineStr">
        <is>
          <t>site internet école</t>
        </is>
      </c>
      <c r="H217" t="inlineStr">
        <is>
          <t>SUPPORTS PRIMARY</t>
        </is>
      </c>
      <c r="I217" t="inlineStr">
        <is>
          <t>fr</t>
        </is>
      </c>
      <c r="J217" t="n">
        <v>10</v>
      </c>
      <c r="K217" t="inlineStr">
        <is>
          <t>NOT AVAILABLE</t>
        </is>
      </c>
      <c r="L217" t="n">
        <v>0</v>
      </c>
      <c r="M217" t="inlineStr">
        <is>
          <t>MEASURED</t>
        </is>
      </c>
      <c r="N217" t="inlineStr">
        <is>
          <t>Yes (supporting block)</t>
        </is>
      </c>
      <c r="O217" s="5" t="inlineStr">
        <is>
          <t>Supports the primary topic - add only if natural</t>
        </is>
      </c>
      <c r="P217" s="5" t="inlineStr"/>
      <c r="Q217" t="inlineStr">
        <is>
          <t>P2</t>
        </is>
      </c>
      <c r="R217" t="n">
        <v>107</v>
      </c>
      <c r="S217" s="5" t="inlineStr">
        <is>
          <t xml:space="preserve">Ne nous croyez pas sur parole. Écoutez les entreprises en Éducation et EdTech qui ont obtenu des résultats remarquables avec CodeSommet. "Une collaboration professionnelle du début à la fin. Je recommande sans hésiter." </t>
        </is>
      </c>
    </row>
    <row r="218">
      <c r="A218" s="3" t="inlineStr">
        <is>
          <t>https://codesommet.com/services/education-website-development</t>
        </is>
      </c>
      <c r="B218" t="n">
        <v>12</v>
      </c>
      <c r="C218" t="inlineStr">
        <is>
          <t>FAQ</t>
        </is>
      </c>
      <c r="D218" s="5" t="inlineStr">
        <is>
          <t>Questions Fréquemment Posées sur le Développement Web en Éducation et EdTech</t>
        </is>
      </c>
      <c r="E218" t="inlineStr">
        <is>
          <t>H2</t>
        </is>
      </c>
      <c r="F218" s="5" t="inlineStr">
        <is>
          <t>Informational (pre-purchase questions)</t>
        </is>
      </c>
      <c r="G218" t="inlineStr">
        <is>
          <t>site internet école</t>
        </is>
      </c>
      <c r="H218" t="inlineStr">
        <is>
          <t>SUPPORTS PRIMARY</t>
        </is>
      </c>
      <c r="I218" t="inlineStr">
        <is>
          <t>fr</t>
        </is>
      </c>
      <c r="J218" t="n">
        <v>10</v>
      </c>
      <c r="K218" t="inlineStr">
        <is>
          <t>NOT AVAILABLE</t>
        </is>
      </c>
      <c r="L218" t="n">
        <v>0</v>
      </c>
      <c r="M218" t="inlineStr">
        <is>
          <t>MEASURED</t>
        </is>
      </c>
      <c r="N218" t="inlineStr">
        <is>
          <t>Yes (supporting block)</t>
        </is>
      </c>
      <c r="O218" s="5" t="inlineStr">
        <is>
          <t>Supports the primary topic - add only if natural</t>
        </is>
      </c>
      <c r="P218" s="5" t="inlineStr"/>
      <c r="Q218" t="inlineStr">
        <is>
          <t>P2</t>
        </is>
      </c>
      <c r="R218" t="n">
        <v>527</v>
      </c>
      <c r="S218" s="5" t="inlineStr">
        <is>
          <t>Vous avez des questions ? Nous avons les réponses. Voici les questions les plus courantes de Éducation et EdTech entreprises. 1 Combien de temps faut-il pour construire un site web éducatif ? Pour un site vitrine d'école</t>
        </is>
      </c>
    </row>
    <row r="219">
      <c r="A219" s="3" t="inlineStr">
        <is>
          <t>https://codesommet.com/services/education-website-development</t>
        </is>
      </c>
      <c r="B219" t="n">
        <v>13</v>
      </c>
      <c r="C219" t="inlineStr">
        <is>
          <t>Services / features</t>
        </is>
      </c>
      <c r="D219" s="5" t="inlineStr">
        <is>
          <t>Au Service de Clients dans le Monde Entier</t>
        </is>
      </c>
      <c r="E219" t="inlineStr">
        <is>
          <t>H2</t>
        </is>
      </c>
      <c r="F219" s="5" t="inlineStr">
        <is>
          <t>Commercial</t>
        </is>
      </c>
      <c r="G219" t="inlineStr">
        <is>
          <t>site web école privée</t>
        </is>
      </c>
      <c r="H219" t="inlineStr">
        <is>
          <t>SUPPORTING</t>
        </is>
      </c>
      <c r="I219" t="inlineStr">
        <is>
          <t>ma</t>
        </is>
      </c>
      <c r="J219" t="inlineStr">
        <is>
          <t>NOT AVAILABLE</t>
        </is>
      </c>
      <c r="K219" t="inlineStr">
        <is>
          <t>NOT AVAILABLE</t>
        </is>
      </c>
      <c r="L219" t="inlineStr">
        <is>
          <t>NOT AVAILABLE</t>
        </is>
      </c>
      <c r="M219" t="inlineStr">
        <is>
          <t>UNAVAILABLE</t>
        </is>
      </c>
      <c r="N219" t="inlineStr">
        <is>
          <t>Yes (supporting block)</t>
        </is>
      </c>
      <c r="O219" s="5" t="inlineStr">
        <is>
          <t>Supports the primary topic - add only if natural</t>
        </is>
      </c>
      <c r="P219" s="5" t="inlineStr"/>
      <c r="Q219" t="inlineStr">
        <is>
          <t>P2</t>
        </is>
      </c>
      <c r="R219" t="n">
        <v>63</v>
      </c>
      <c r="S219" s="5" t="inlineStr">
        <is>
          <t>Nous avons construit des sites web d'éducation et edtech pour des clients à travers le monde. Que vous soyez au Maroc ou ailleurs, nous livrons des solutions de classe mondiale. Dubaï 🇦🇪 UAE Casablanca 🇲🇦 Maroc San Franc</t>
        </is>
      </c>
    </row>
    <row r="220">
      <c r="A220" s="3" t="inlineStr">
        <is>
          <t>https://codesommet.com/services/education-website-development</t>
        </is>
      </c>
      <c r="B220" t="n">
        <v>14</v>
      </c>
      <c r="C220" t="inlineStr">
        <is>
          <t>Internal-link block</t>
        </is>
      </c>
      <c r="D220" s="5" t="inlineStr">
        <is>
          <t>Industries Connexes que Nous Servons</t>
        </is>
      </c>
      <c r="E220" t="inlineStr">
        <is>
          <t>H2</t>
        </is>
      </c>
      <c r="F220" s="5" t="inlineStr">
        <is>
          <t>Navigation</t>
        </is>
      </c>
      <c r="G220" t="inlineStr">
        <is>
          <t>—</t>
        </is>
      </c>
      <c r="H220" t="inlineStr">
        <is>
          <t>NONE</t>
        </is>
      </c>
      <c r="I220" t="inlineStr">
        <is>
          <t>—</t>
        </is>
      </c>
      <c r="J220" t="inlineStr">
        <is>
          <t>—</t>
        </is>
      </c>
      <c r="K220" t="inlineStr">
        <is>
          <t>—</t>
        </is>
      </c>
      <c r="L220" t="inlineStr">
        <is>
          <t>—</t>
        </is>
      </c>
      <c r="M220" t="inlineStr">
        <is>
          <t>—</t>
        </is>
      </c>
      <c r="N220" t="inlineStr">
        <is>
          <t>n/a</t>
        </is>
      </c>
      <c r="O220" s="5" t="inlineStr">
        <is>
          <t>No keyword target - keep conversion/navigation focus; use descriptive, non-repeated anchor texts</t>
        </is>
      </c>
      <c r="P220" s="5" t="inlineStr"/>
      <c r="Q220" t="inlineStr">
        <is>
          <t>P2</t>
        </is>
      </c>
      <c r="R220" t="n">
        <v>155</v>
      </c>
      <c r="S220" s="5" t="inlineStr">
        <is>
          <t>Découvrez nos services de développement web spécialisés pour d'autres industries Conseil en Études à l'Étranger Plateformes de cours, systèmes LMS et portails étudiants pour les agences d'études à l'étranger. Écoles de L</t>
        </is>
      </c>
    </row>
    <row r="221">
      <c r="A221" s="3" t="inlineStr">
        <is>
          <t>https://codesommet.com/services/education-website-development</t>
        </is>
      </c>
      <c r="B221" t="n">
        <v>15</v>
      </c>
      <c r="C221" t="inlineStr">
        <is>
          <t>Internal-link block</t>
        </is>
      </c>
      <c r="D221" s="5" t="inlineStr">
        <is>
          <t>Explorer Plus</t>
        </is>
      </c>
      <c r="E221" t="inlineStr">
        <is>
          <t>H2</t>
        </is>
      </c>
      <c r="F221" s="5" t="inlineStr">
        <is>
          <t>Navigation</t>
        </is>
      </c>
      <c r="G221" t="inlineStr">
        <is>
          <t>—</t>
        </is>
      </c>
      <c r="H221" t="inlineStr">
        <is>
          <t>NONE</t>
        </is>
      </c>
      <c r="I221" t="inlineStr">
        <is>
          <t>—</t>
        </is>
      </c>
      <c r="J221" t="inlineStr">
        <is>
          <t>—</t>
        </is>
      </c>
      <c r="K221" t="inlineStr">
        <is>
          <t>—</t>
        </is>
      </c>
      <c r="L221" t="inlineStr">
        <is>
          <t>—</t>
        </is>
      </c>
      <c r="M221" t="inlineStr">
        <is>
          <t>—</t>
        </is>
      </c>
      <c r="N221" t="inlineStr">
        <is>
          <t>n/a</t>
        </is>
      </c>
      <c r="O221" s="5" t="inlineStr">
        <is>
          <t>No keyword target - keep conversion/navigation focus; use descriptive, non-repeated anchor texts</t>
        </is>
      </c>
      <c r="P221" s="5" t="inlineStr"/>
      <c r="Q221" t="inlineStr">
        <is>
          <t>P2</t>
        </is>
      </c>
      <c r="R221" t="n">
        <v>84</v>
      </c>
      <c r="S221" s="5" t="inlineStr">
        <is>
          <t>Découvrez ce qui fait de CodeSommet votre partenaire idéal en développement web Audit Gratuit de Site Web Obtenez une analyse alimentée par l'IA avec plus de 40 vérifications En savoir plus Voir Nos Réalisations Explorez</t>
        </is>
      </c>
    </row>
    <row r="222">
      <c r="A222" s="3" t="inlineStr">
        <is>
          <t>https://codesommet.com/services/education-website-development</t>
        </is>
      </c>
      <c r="B222" t="n">
        <v>16</v>
      </c>
      <c r="C222" t="inlineStr">
        <is>
          <t>CTA / conversion</t>
        </is>
      </c>
      <c r="D222" s="5" t="inlineStr">
        <is>
          <t>Prêt à Construire Quelque Chose d'Extraordinaire ?</t>
        </is>
      </c>
      <c r="E222" t="inlineStr">
        <is>
          <t>H2</t>
        </is>
      </c>
      <c r="F222" s="5" t="inlineStr">
        <is>
          <t>Conversion</t>
        </is>
      </c>
      <c r="G222" t="inlineStr">
        <is>
          <t>—</t>
        </is>
      </c>
      <c r="H222" t="inlineStr">
        <is>
          <t>NONE</t>
        </is>
      </c>
      <c r="I222" t="inlineStr">
        <is>
          <t>—</t>
        </is>
      </c>
      <c r="J222" t="inlineStr">
        <is>
          <t>—</t>
        </is>
      </c>
      <c r="K222" t="inlineStr">
        <is>
          <t>—</t>
        </is>
      </c>
      <c r="L222" t="inlineStr">
        <is>
          <t>—</t>
        </is>
      </c>
      <c r="M222" t="inlineStr">
        <is>
          <t>—</t>
        </is>
      </c>
      <c r="N222" t="inlineStr">
        <is>
          <t>n/a</t>
        </is>
      </c>
      <c r="O222" s="5" t="inlineStr">
        <is>
          <t>No keyword target - keep conversion/navigation focus; use descriptive, non-repeated anchor texts</t>
        </is>
      </c>
      <c r="P222" s="5" t="inlineStr"/>
      <c r="Q222" t="inlineStr">
        <is>
          <t>P2</t>
        </is>
      </c>
      <c r="R222" t="n">
        <v>117</v>
      </c>
      <c r="S222" s="5" t="inlineStr">
        <is>
          <t>Rejoignez les entreprises visionnaires qui ont choisi l'excellence Réserver un Appel Découverte Analyser Mon Site Gratuitement Réserver un Appel Découverte Analyser Votre Site Web Discutons de comment l'IA et le design m</t>
        </is>
      </c>
    </row>
    <row r="223">
      <c r="A223" s="3" t="inlineStr">
        <is>
          <t>https://codesommet.com/services/edtech-platform-development</t>
        </is>
      </c>
      <c r="B223" t="n">
        <v>1</v>
      </c>
      <c r="C223" t="inlineStr">
        <is>
          <t>Hero / H1</t>
        </is>
      </c>
      <c r="D223" s="5" t="inlineStr">
        <is>
          <t>Développement de Plateformes EdTech qui génèrent des PLATEFORMES EDTECH B2B</t>
        </is>
      </c>
      <c r="E223" t="inlineStr">
        <is>
          <t>H1</t>
        </is>
      </c>
      <c r="F223" s="5" t="inlineStr">
        <is>
          <t>Commercial</t>
        </is>
      </c>
      <c r="G223" t="inlineStr">
        <is>
          <t>plateforme edtech</t>
        </is>
      </c>
      <c r="H223" t="inlineStr">
        <is>
          <t>PRIMARY</t>
        </is>
      </c>
      <c r="I223" t="inlineStr">
        <is>
          <t>fr</t>
        </is>
      </c>
      <c r="J223" t="n">
        <v>10</v>
      </c>
      <c r="K223" t="inlineStr">
        <is>
          <t>NOT AVAILABLE</t>
        </is>
      </c>
      <c r="L223" t="n">
        <v>2.04</v>
      </c>
      <c r="M223" t="inlineStr">
        <is>
          <t>MEASURED</t>
        </is>
      </c>
      <c r="N223" t="inlineStr">
        <is>
          <t>Yes</t>
        </is>
      </c>
      <c r="O223" s="5" t="inlineStr">
        <is>
          <t>Covered - keep wording; no change</t>
        </is>
      </c>
      <c r="P223" s="5" t="inlineStr"/>
      <c r="Q223" t="inlineStr">
        <is>
          <t>P2</t>
        </is>
      </c>
      <c r="R223" t="n">
        <v>114</v>
      </c>
      <c r="S223" s="5" t="inlineStr">
        <is>
          <t>Développement de plateformes EdTech pour les éditeurs, startups et entreprises qui commercialisent ou licencient un produit d'apprentissage à plusieurs clients : architecture multi-tenant, marque blanche par client, fact</t>
        </is>
      </c>
    </row>
    <row r="224">
      <c r="A224" s="3" t="inlineStr">
        <is>
          <t>https://codesommet.com/services/edtech-platform-development</t>
        </is>
      </c>
      <c r="B224" t="n">
        <v>2</v>
      </c>
      <c r="C224" t="inlineStr">
        <is>
          <t>Internal-link block</t>
        </is>
      </c>
      <c r="D224" s="5" t="inlineStr">
        <is>
          <t>Articles liés</t>
        </is>
      </c>
      <c r="E224" t="inlineStr">
        <is>
          <t>H2</t>
        </is>
      </c>
      <c r="F224" s="5" t="inlineStr">
        <is>
          <t>Navigation</t>
        </is>
      </c>
      <c r="G224" t="inlineStr">
        <is>
          <t>—</t>
        </is>
      </c>
      <c r="H224" t="inlineStr">
        <is>
          <t>NONE</t>
        </is>
      </c>
      <c r="I224" t="inlineStr">
        <is>
          <t>—</t>
        </is>
      </c>
      <c r="J224" t="inlineStr">
        <is>
          <t>—</t>
        </is>
      </c>
      <c r="K224" t="inlineStr">
        <is>
          <t>—</t>
        </is>
      </c>
      <c r="L224" t="inlineStr">
        <is>
          <t>—</t>
        </is>
      </c>
      <c r="M224" t="inlineStr">
        <is>
          <t>—</t>
        </is>
      </c>
      <c r="N224" t="inlineStr">
        <is>
          <t>n/a</t>
        </is>
      </c>
      <c r="O224" s="5" t="inlineStr">
        <is>
          <t>No keyword target - keep conversion/navigation focus; use descriptive, non-repeated anchor texts</t>
        </is>
      </c>
      <c r="P224" s="5" t="inlineStr"/>
      <c r="Q224" t="inlineStr">
        <is>
          <t>P2</t>
        </is>
      </c>
      <c r="R224" t="n">
        <v>129</v>
      </c>
      <c r="S224" s="5" t="inlineStr">
        <is>
          <t>Guides et conseils de notre blog pour approfondir ce type de projet. Développement Web 24 août 2026 · 7 min de lecture Créer une plateforme SaaS : MVP, multi-tenant, facturation — par où commencer ? Lancer un SaaS, c'est</t>
        </is>
      </c>
    </row>
    <row r="225">
      <c r="A225" s="3" t="inlineStr">
        <is>
          <t>https://codesommet.com/services/edtech-platform-development</t>
        </is>
      </c>
      <c r="B225" t="n">
        <v>3</v>
      </c>
      <c r="C225" t="inlineStr">
        <is>
          <t>Why us / differentiation</t>
        </is>
      </c>
      <c r="D225" s="5" t="inlineStr">
        <is>
          <t>Pourquoi Choisir CodeSommet dans le secteur EdTech et E-Learning ?</t>
        </is>
      </c>
      <c r="E225" t="inlineStr">
        <is>
          <t>H2</t>
        </is>
      </c>
      <c r="F225" s="5" t="inlineStr">
        <is>
          <t>Commercial investigation</t>
        </is>
      </c>
      <c r="G225" t="inlineStr">
        <is>
          <t>plateforme edtech</t>
        </is>
      </c>
      <c r="H225" t="inlineStr">
        <is>
          <t>SUPPORTS PRIMARY</t>
        </is>
      </c>
      <c r="I225" t="inlineStr">
        <is>
          <t>fr</t>
        </is>
      </c>
      <c r="J225" t="n">
        <v>10</v>
      </c>
      <c r="K225" t="inlineStr">
        <is>
          <t>NOT AVAILABLE</t>
        </is>
      </c>
      <c r="L225" t="n">
        <v>2.04</v>
      </c>
      <c r="M225" t="inlineStr">
        <is>
          <t>MEASURED</t>
        </is>
      </c>
      <c r="N225" t="inlineStr">
        <is>
          <t>Yes (supporting block)</t>
        </is>
      </c>
      <c r="O225" s="5" t="inlineStr">
        <is>
          <t>Supports the primary topic - add only if natural</t>
        </is>
      </c>
      <c r="P225" s="5" t="inlineStr"/>
      <c r="Q225" t="inlineStr">
        <is>
          <t>P2</t>
        </is>
      </c>
      <c r="R225" t="n">
        <v>183</v>
      </c>
      <c r="S225" s="5" t="inlineStr">
        <is>
          <t>L'expertise locale rencontre les standards internationaux. Voici ce qui fait de nous le partenaire idéal en développement web dans le secteur EdTech et E-Learning . Spécialistes en Technologie Éducative Nous concevons de</t>
        </is>
      </c>
    </row>
    <row r="226">
      <c r="A226" s="3" t="inlineStr">
        <is>
          <t>https://codesommet.com/services/edtech-platform-development</t>
        </is>
      </c>
      <c r="B226" t="n">
        <v>4</v>
      </c>
      <c r="C226" t="inlineStr">
        <is>
          <t>Proof / portfolio / results</t>
        </is>
      </c>
      <c r="D226" s="5" t="inlineStr">
        <is>
          <t>Adopté par les EdTech et E-Learning Entreprises</t>
        </is>
      </c>
      <c r="E226" t="inlineStr">
        <is>
          <t>H2</t>
        </is>
      </c>
      <c r="F226" s="5" t="inlineStr">
        <is>
          <t>Commercial investigation</t>
        </is>
      </c>
      <c r="G226" t="inlineStr">
        <is>
          <t>plateforme edtech</t>
        </is>
      </c>
      <c r="H226" t="inlineStr">
        <is>
          <t>SUPPORTS PRIMARY</t>
        </is>
      </c>
      <c r="I226" t="inlineStr">
        <is>
          <t>fr</t>
        </is>
      </c>
      <c r="J226" t="n">
        <v>10</v>
      </c>
      <c r="K226" t="inlineStr">
        <is>
          <t>NOT AVAILABLE</t>
        </is>
      </c>
      <c r="L226" t="n">
        <v>2.04</v>
      </c>
      <c r="M226" t="inlineStr">
        <is>
          <t>MEASURED</t>
        </is>
      </c>
      <c r="N226" t="inlineStr">
        <is>
          <t>Yes (supporting block)</t>
        </is>
      </c>
      <c r="O226" s="5" t="inlineStr">
        <is>
          <t>Supports the primary topic - add only if natural</t>
        </is>
      </c>
      <c r="P226" s="5" t="inlineStr"/>
      <c r="Q226" t="inlineStr">
        <is>
          <t>P2</t>
        </is>
      </c>
      <c r="R226" t="n">
        <v>26</v>
      </c>
      <c r="S226" s="5" t="inlineStr">
        <is>
          <t>Produits EdTech livrés sur mesure Acquisition de clients renforcée Éditeurs et startups accompagnés Résultats réels de EdTech et E-Learning avec lesquelles nous avons collaboré Défis Courants</t>
        </is>
      </c>
    </row>
    <row r="227">
      <c r="A227" s="3" t="inlineStr">
        <is>
          <t>https://codesommet.com/services/edtech-platform-development</t>
        </is>
      </c>
      <c r="B227" t="n">
        <v>5</v>
      </c>
      <c r="C227" t="inlineStr">
        <is>
          <t>Problems / pain points</t>
        </is>
      </c>
      <c r="D227" s="5" t="inlineStr">
        <is>
          <t>Le Défi : EdTech et E-Learning Les Entreprises Font Face à des Défis Web Uniques</t>
        </is>
      </c>
      <c r="E227" t="inlineStr">
        <is>
          <t>H2</t>
        </is>
      </c>
      <c r="F227" s="5" t="inlineStr">
        <is>
          <t>Commercial</t>
        </is>
      </c>
      <c r="G227" t="inlineStr">
        <is>
          <t>startup edtech</t>
        </is>
      </c>
      <c r="H227" t="inlineStr">
        <is>
          <t>SUPPORTING</t>
        </is>
      </c>
      <c r="I227" t="inlineStr">
        <is>
          <t>fr</t>
        </is>
      </c>
      <c r="J227" t="n">
        <v>30</v>
      </c>
      <c r="K227" t="inlineStr">
        <is>
          <t>NOT AVAILABLE</t>
        </is>
      </c>
      <c r="L227" t="n">
        <v>0</v>
      </c>
      <c r="M227" t="inlineStr">
        <is>
          <t>MEASURED</t>
        </is>
      </c>
      <c r="N227" t="inlineStr">
        <is>
          <t>Yes (supporting block)</t>
        </is>
      </c>
      <c r="O227" s="5" t="inlineStr">
        <is>
          <t>Supports the primary topic - add only if natural</t>
        </is>
      </c>
      <c r="P227" s="5" t="inlineStr"/>
      <c r="Q227" t="inlineStr">
        <is>
          <t>P2</t>
        </is>
      </c>
      <c r="R227" t="n">
        <v>434</v>
      </c>
      <c r="S227" s="5" t="inlineStr">
        <is>
          <t>Les développeurs web généralistes ne comprennent pas les contraintes spécifiques d'un produit EdTech destiné à être revendu ou licencié à plusieurs clients institutionnels. Aucune Plateforme No-Code Ne Supporte le Multi-</t>
        </is>
      </c>
    </row>
    <row r="228">
      <c r="A228" s="3" t="inlineStr">
        <is>
          <t>https://codesommet.com/services/edtech-platform-development</t>
        </is>
      </c>
      <c r="B228" t="n">
        <v>6</v>
      </c>
      <c r="C228" t="inlineStr">
        <is>
          <t>Services / features</t>
        </is>
      </c>
      <c r="D228" s="5" t="inlineStr">
        <is>
          <t>Fonctionnalités Essentielles for EdTech et E-Learning Sites Web</t>
        </is>
      </c>
      <c r="E228" t="inlineStr">
        <is>
          <t>H2</t>
        </is>
      </c>
      <c r="F228" s="5" t="inlineStr">
        <is>
          <t>Commercial</t>
        </is>
      </c>
      <c r="G228" t="inlineStr">
        <is>
          <t>edtech maroc</t>
        </is>
      </c>
      <c r="H228" t="inlineStr">
        <is>
          <t>SUPPORTING</t>
        </is>
      </c>
      <c r="I228" t="inlineStr">
        <is>
          <t>ma</t>
        </is>
      </c>
      <c r="J228" t="n">
        <v>20</v>
      </c>
      <c r="K228" t="inlineStr">
        <is>
          <t>NOT AVAILABLE</t>
        </is>
      </c>
      <c r="L228" t="n">
        <v>0</v>
      </c>
      <c r="M228" t="inlineStr">
        <is>
          <t>MEASURED</t>
        </is>
      </c>
      <c r="N228" t="inlineStr">
        <is>
          <t>Yes (supporting block)</t>
        </is>
      </c>
      <c r="O228" s="5" t="inlineStr">
        <is>
          <t>Supports the primary topic - add only if natural</t>
        </is>
      </c>
      <c r="P228" s="5" t="inlineStr"/>
      <c r="Q228" t="inlineStr">
        <is>
          <t>P2</t>
        </is>
      </c>
      <c r="R228" t="n">
        <v>143</v>
      </c>
      <c r="S228" s="5" t="inlineStr">
        <is>
          <t>Tout ce dont votre entreprise edtech et e-learning a besoin sur une seule plateforme Plateforme d'Apprentissage Vidéo Lecteur vidéo en streaming avec chapitres, contrôle de vitesse, notes et suivi de progression. Streami</t>
        </is>
      </c>
    </row>
    <row r="229">
      <c r="A229" s="3" t="inlineStr">
        <is>
          <t>https://codesommet.com/services/edtech-platform-development</t>
        </is>
      </c>
      <c r="B229" t="n">
        <v>7</v>
      </c>
      <c r="C229" t="inlineStr">
        <is>
          <t>Testimonials / social proof</t>
        </is>
      </c>
      <c r="D229" s="5" t="inlineStr">
        <is>
          <t>Histoires de Succès en EdTech et E-Learning</t>
        </is>
      </c>
      <c r="E229" t="inlineStr">
        <is>
          <t>H2</t>
        </is>
      </c>
      <c r="F229" s="5" t="inlineStr">
        <is>
          <t>Commercial investigation</t>
        </is>
      </c>
      <c r="G229" t="inlineStr">
        <is>
          <t>plateforme edtech</t>
        </is>
      </c>
      <c r="H229" t="inlineStr">
        <is>
          <t>SUPPORTS PRIMARY</t>
        </is>
      </c>
      <c r="I229" t="inlineStr">
        <is>
          <t>fr</t>
        </is>
      </c>
      <c r="J229" t="n">
        <v>10</v>
      </c>
      <c r="K229" t="inlineStr">
        <is>
          <t>NOT AVAILABLE</t>
        </is>
      </c>
      <c r="L229" t="n">
        <v>2.04</v>
      </c>
      <c r="M229" t="inlineStr">
        <is>
          <t>MEASURED</t>
        </is>
      </c>
      <c r="N229" t="inlineStr">
        <is>
          <t>Yes</t>
        </is>
      </c>
      <c r="O229" s="5" t="inlineStr">
        <is>
          <t>Covered - keep wording; no change</t>
        </is>
      </c>
      <c r="P229" s="5" t="inlineStr"/>
      <c r="Q229" t="inlineStr">
        <is>
          <t>P2</t>
        </is>
      </c>
      <c r="R229" t="n">
        <v>48</v>
      </c>
      <c r="S229" s="5" t="inlineStr">
        <is>
          <t xml:space="preserve">Projets réels, résultats réels. Découvrez comment nous avons aidé les entreprises en EdTech et E-Learning à atteindre leurs objectifs numériques. Éducation GLS Sprachenzentrum Centre de langues allemand avec inscription </t>
        </is>
      </c>
    </row>
    <row r="230">
      <c r="A230" s="3" t="inlineStr">
        <is>
          <t>https://codesommet.com/services/edtech-platform-development</t>
        </is>
      </c>
      <c r="B230" t="n">
        <v>8</v>
      </c>
      <c r="C230" t="inlineStr">
        <is>
          <t>Process / how it works</t>
        </is>
      </c>
      <c r="D230" s="5" t="inlineStr">
        <is>
          <t>Notre Processus de Développement for EdTech et E-Learning</t>
        </is>
      </c>
      <c r="E230" t="inlineStr">
        <is>
          <t>H2</t>
        </is>
      </c>
      <c r="F230" s="5" t="inlineStr">
        <is>
          <t>Informational / commercial</t>
        </is>
      </c>
      <c r="G230" t="inlineStr">
        <is>
          <t>plateforme edtech</t>
        </is>
      </c>
      <c r="H230" t="inlineStr">
        <is>
          <t>SUPPORTS PRIMARY</t>
        </is>
      </c>
      <c r="I230" t="inlineStr">
        <is>
          <t>fr</t>
        </is>
      </c>
      <c r="J230" t="n">
        <v>10</v>
      </c>
      <c r="K230" t="inlineStr">
        <is>
          <t>NOT AVAILABLE</t>
        </is>
      </c>
      <c r="L230" t="n">
        <v>2.04</v>
      </c>
      <c r="M230" t="inlineStr">
        <is>
          <t>MEASURED</t>
        </is>
      </c>
      <c r="N230" t="inlineStr">
        <is>
          <t>Yes</t>
        </is>
      </c>
      <c r="O230" s="5" t="inlineStr">
        <is>
          <t>Covered - keep wording; no change</t>
        </is>
      </c>
      <c r="P230" s="5" t="inlineStr"/>
      <c r="Q230" t="inlineStr">
        <is>
          <t>P2</t>
        </is>
      </c>
      <c r="R230" t="n">
        <v>106</v>
      </c>
      <c r="S230" s="5" t="inlineStr">
        <is>
          <t>Du concept au lancement en 4 étapes, optimisé pour les entreprises edtech et e-learning Étape 1 Design et Architecture de Plateforme Analyse LMS concurrentielle Développement de personas d'apprenants Conception de la str</t>
        </is>
      </c>
    </row>
    <row r="231">
      <c r="A231" s="3" t="inlineStr">
        <is>
          <t>https://codesommet.com/services/edtech-platform-development</t>
        </is>
      </c>
      <c r="B231" t="n">
        <v>9</v>
      </c>
      <c r="C231" t="inlineStr">
        <is>
          <t>Pricing / offers</t>
        </is>
      </c>
      <c r="D231" s="5" t="inlineStr">
        <is>
          <t>Solutions Personnalisées, Tarification Transparente</t>
        </is>
      </c>
      <c r="E231" t="inlineStr">
        <is>
          <t>H2</t>
        </is>
      </c>
      <c r="F231" s="5" t="inlineStr">
        <is>
          <t>Commercial / transactional</t>
        </is>
      </c>
      <c r="G231" t="inlineStr">
        <is>
          <t>plateforme edtech</t>
        </is>
      </c>
      <c r="H231" t="inlineStr">
        <is>
          <t>SUPPORTS PRIMARY</t>
        </is>
      </c>
      <c r="I231" t="inlineStr">
        <is>
          <t>fr</t>
        </is>
      </c>
      <c r="J231" t="n">
        <v>10</v>
      </c>
      <c r="K231" t="inlineStr">
        <is>
          <t>NOT AVAILABLE</t>
        </is>
      </c>
      <c r="L231" t="n">
        <v>2.04</v>
      </c>
      <c r="M231" t="inlineStr">
        <is>
          <t>MEASURED</t>
        </is>
      </c>
      <c r="N231" t="inlineStr">
        <is>
          <t>Yes (supporting block)</t>
        </is>
      </c>
      <c r="O231" s="5" t="inlineStr">
        <is>
          <t>Supports the primary topic - add only if natural</t>
        </is>
      </c>
      <c r="P231" s="5" t="inlineStr"/>
      <c r="Q231" t="inlineStr">
        <is>
          <t>P2</t>
        </is>
      </c>
      <c r="R231" t="n">
        <v>201</v>
      </c>
      <c r="S231" s="5" t="inlineStr">
        <is>
          <t>Réservez un appel découverte pour discuter de vos besoins spécifiques et obtenir un devis personnalisé Recommandé Développement de Sites Web Site web complet avec fonctionnalités IA, tableaux de bord et design premium li</t>
        </is>
      </c>
    </row>
    <row r="232">
      <c r="A232" s="3" t="inlineStr">
        <is>
          <t>https://codesommet.com/services/edtech-platform-development</t>
        </is>
      </c>
      <c r="B232" t="n">
        <v>10</v>
      </c>
      <c r="C232" t="inlineStr">
        <is>
          <t>CTA / conversion</t>
        </is>
      </c>
      <c r="D232" s="5" t="inlineStr">
        <is>
          <t>Prêt à Transformer Votre Site Web EdTech et E-Learning ?</t>
        </is>
      </c>
      <c r="E232" t="inlineStr">
        <is>
          <t>H2</t>
        </is>
      </c>
      <c r="F232" s="5" t="inlineStr">
        <is>
          <t>Conversion</t>
        </is>
      </c>
      <c r="G232" t="inlineStr">
        <is>
          <t>—</t>
        </is>
      </c>
      <c r="H232" t="inlineStr">
        <is>
          <t>NONE</t>
        </is>
      </c>
      <c r="I232" t="inlineStr">
        <is>
          <t>—</t>
        </is>
      </c>
      <c r="J232" t="inlineStr">
        <is>
          <t>—</t>
        </is>
      </c>
      <c r="K232" t="inlineStr">
        <is>
          <t>—</t>
        </is>
      </c>
      <c r="L232" t="inlineStr">
        <is>
          <t>—</t>
        </is>
      </c>
      <c r="M232" t="inlineStr">
        <is>
          <t>—</t>
        </is>
      </c>
      <c r="N232" t="inlineStr">
        <is>
          <t>n/a</t>
        </is>
      </c>
      <c r="O232" s="5" t="inlineStr">
        <is>
          <t>No keyword target - keep conversion/navigation focus; use descriptive, non-repeated anchor texts</t>
        </is>
      </c>
      <c r="P232" s="5" t="inlineStr"/>
      <c r="Q232" t="inlineStr">
        <is>
          <t>P2</t>
        </is>
      </c>
      <c r="R232" t="n">
        <v>41</v>
      </c>
      <c r="S232" s="5" t="inlineStr">
        <is>
          <t>Obtenez d'abord une analyse gratuite complète : Audit SEO Vérification des performances Révision du design Recommandations alimentées par l'IA Analyser Votre Site Web - 100% Gratuit Pas de carte de crédit requise • Résul</t>
        </is>
      </c>
    </row>
    <row r="233">
      <c r="A233" s="3" t="inlineStr">
        <is>
          <t>https://codesommet.com/services/edtech-platform-development</t>
        </is>
      </c>
      <c r="B233" t="n">
        <v>11</v>
      </c>
      <c r="C233" t="inlineStr">
        <is>
          <t>Why us / differentiation</t>
        </is>
      </c>
      <c r="D233" s="5" t="inlineStr">
        <is>
          <t>CodeSommet EdTech et E-Learning vs Autres</t>
        </is>
      </c>
      <c r="E233" t="inlineStr">
        <is>
          <t>H2</t>
        </is>
      </c>
      <c r="F233" s="5" t="inlineStr">
        <is>
          <t>Commercial investigation</t>
        </is>
      </c>
      <c r="G233" t="inlineStr">
        <is>
          <t>plateforme edtech</t>
        </is>
      </c>
      <c r="H233" t="inlineStr">
        <is>
          <t>SUPPORTS PRIMARY</t>
        </is>
      </c>
      <c r="I233" t="inlineStr">
        <is>
          <t>fr</t>
        </is>
      </c>
      <c r="J233" t="n">
        <v>10</v>
      </c>
      <c r="K233" t="inlineStr">
        <is>
          <t>NOT AVAILABLE</t>
        </is>
      </c>
      <c r="L233" t="n">
        <v>2.04</v>
      </c>
      <c r="M233" t="inlineStr">
        <is>
          <t>MEASURED</t>
        </is>
      </c>
      <c r="N233" t="inlineStr">
        <is>
          <t>Yes</t>
        </is>
      </c>
      <c r="O233" s="5" t="inlineStr">
        <is>
          <t>Covered - keep wording; no change</t>
        </is>
      </c>
      <c r="P233" s="5" t="inlineStr"/>
      <c r="Q233" t="inlineStr">
        <is>
          <t>P2</t>
        </is>
      </c>
      <c r="R233" t="n">
        <v>140</v>
      </c>
      <c r="S233" s="5" t="inlineStr">
        <is>
          <t>Découvrez pourquoi EdTech et E-Learning entreprises choisissent CodeSommet plutôt que d'autres agences locales et concurrents internationaux. Fonctionnalité CodeSommet EdTech et E-Learning Autres EdTech et E-Learning Age</t>
        </is>
      </c>
    </row>
    <row r="234">
      <c r="A234" s="3" t="inlineStr">
        <is>
          <t>https://codesommet.com/services/edtech-platform-development</t>
        </is>
      </c>
      <c r="B234" t="n">
        <v>12</v>
      </c>
      <c r="C234" t="inlineStr">
        <is>
          <t>Testimonials / social proof</t>
        </is>
      </c>
      <c r="D234" s="5" t="inlineStr">
        <is>
          <t>Ce que Nos Clients en EdTech et E-Learning Disent de Nous</t>
        </is>
      </c>
      <c r="E234" t="inlineStr">
        <is>
          <t>H2</t>
        </is>
      </c>
      <c r="F234" s="5" t="inlineStr">
        <is>
          <t>Commercial investigation</t>
        </is>
      </c>
      <c r="G234" t="inlineStr">
        <is>
          <t>plateforme edtech</t>
        </is>
      </c>
      <c r="H234" t="inlineStr">
        <is>
          <t>SUPPORTS PRIMARY</t>
        </is>
      </c>
      <c r="I234" t="inlineStr">
        <is>
          <t>fr</t>
        </is>
      </c>
      <c r="J234" t="n">
        <v>10</v>
      </c>
      <c r="K234" t="inlineStr">
        <is>
          <t>NOT AVAILABLE</t>
        </is>
      </c>
      <c r="L234" t="n">
        <v>2.04</v>
      </c>
      <c r="M234" t="inlineStr">
        <is>
          <t>MEASURED</t>
        </is>
      </c>
      <c r="N234" t="inlineStr">
        <is>
          <t>Yes (supporting block)</t>
        </is>
      </c>
      <c r="O234" s="5" t="inlineStr">
        <is>
          <t>Supports the primary topic - add only if natural</t>
        </is>
      </c>
      <c r="P234" s="5" t="inlineStr"/>
      <c r="Q234" t="inlineStr">
        <is>
          <t>P2</t>
        </is>
      </c>
      <c r="R234" t="n">
        <v>107</v>
      </c>
      <c r="S234" s="5" t="inlineStr">
        <is>
          <t>Ne nous croyez pas sur parole. Écoutez les entreprises en EdTech et E-Learning qui ont obtenu des résultats remarquables avec CodeSommet. "Une collaboration professionnelle du début à la fin. Je recommande sans hésiter."</t>
        </is>
      </c>
    </row>
    <row r="235">
      <c r="A235" s="3" t="inlineStr">
        <is>
          <t>https://codesommet.com/services/edtech-platform-development</t>
        </is>
      </c>
      <c r="B235" t="n">
        <v>13</v>
      </c>
      <c r="C235" t="inlineStr">
        <is>
          <t>FAQ</t>
        </is>
      </c>
      <c r="D235" s="5" t="inlineStr">
        <is>
          <t>Questions Fréquemment Posées sur le Développement Web en EdTech et E-Learning</t>
        </is>
      </c>
      <c r="E235" t="inlineStr">
        <is>
          <t>H2</t>
        </is>
      </c>
      <c r="F235" s="5" t="inlineStr">
        <is>
          <t>Informational (pre-purchase questions)</t>
        </is>
      </c>
      <c r="G235" t="inlineStr">
        <is>
          <t>plateforme edtech</t>
        </is>
      </c>
      <c r="H235" t="inlineStr">
        <is>
          <t>SUPPORTS PRIMARY</t>
        </is>
      </c>
      <c r="I235" t="inlineStr">
        <is>
          <t>fr</t>
        </is>
      </c>
      <c r="J235" t="n">
        <v>10</v>
      </c>
      <c r="K235" t="inlineStr">
        <is>
          <t>NOT AVAILABLE</t>
        </is>
      </c>
      <c r="L235" t="n">
        <v>2.04</v>
      </c>
      <c r="M235" t="inlineStr">
        <is>
          <t>MEASURED</t>
        </is>
      </c>
      <c r="N235" t="inlineStr">
        <is>
          <t>Yes</t>
        </is>
      </c>
      <c r="O235" s="5" t="inlineStr">
        <is>
          <t>Covered - keep wording; no change</t>
        </is>
      </c>
      <c r="P235" s="5" t="inlineStr"/>
      <c r="Q235" t="inlineStr">
        <is>
          <t>P2</t>
        </is>
      </c>
      <c r="R235" t="n">
        <v>445</v>
      </c>
      <c r="S235" s="5" t="inlineStr">
        <is>
          <t>Vous avez des questions ? Nous avons les réponses. Voici les questions les plus courantes de EdTech et E-Learning entreprises. 1 Combien de temps faut-il pour construire une plateforme EdTech B2B multi-clients personnali</t>
        </is>
      </c>
    </row>
    <row r="236">
      <c r="A236" s="3" t="inlineStr">
        <is>
          <t>https://codesommet.com/services/edtech-platform-development</t>
        </is>
      </c>
      <c r="B236" t="n">
        <v>14</v>
      </c>
      <c r="C236" t="inlineStr">
        <is>
          <t>Services / features</t>
        </is>
      </c>
      <c r="D236" s="5" t="inlineStr">
        <is>
          <t>Au Service de Clients dans le Monde Entier</t>
        </is>
      </c>
      <c r="E236" t="inlineStr">
        <is>
          <t>H2</t>
        </is>
      </c>
      <c r="F236" s="5" t="inlineStr">
        <is>
          <t>Commercial</t>
        </is>
      </c>
      <c r="G236" t="inlineStr">
        <is>
          <t>startup edtech</t>
        </is>
      </c>
      <c r="H236" t="inlineStr">
        <is>
          <t>SUPPORTING</t>
        </is>
      </c>
      <c r="I236" t="inlineStr">
        <is>
          <t>fr</t>
        </is>
      </c>
      <c r="J236" t="n">
        <v>30</v>
      </c>
      <c r="K236" t="inlineStr">
        <is>
          <t>NOT AVAILABLE</t>
        </is>
      </c>
      <c r="L236" t="n">
        <v>0</v>
      </c>
      <c r="M236" t="inlineStr">
        <is>
          <t>MEASURED</t>
        </is>
      </c>
      <c r="N236" t="inlineStr">
        <is>
          <t>Yes (supporting block)</t>
        </is>
      </c>
      <c r="O236" s="5" t="inlineStr">
        <is>
          <t>Supports the primary topic - add only if natural</t>
        </is>
      </c>
      <c r="P236" s="5" t="inlineStr"/>
      <c r="Q236" t="inlineStr">
        <is>
          <t>P2</t>
        </is>
      </c>
      <c r="R236" t="n">
        <v>63</v>
      </c>
      <c r="S236" s="5" t="inlineStr">
        <is>
          <t>Nous avons construit des sites web edtech et e-learning pour des clients à travers le monde. Que vous soyez au Maroc ou ailleurs, nous livrons des solutions de classe mondiale. Dubaï 🇦🇪 UAE Casablanca 🇲🇦 Maroc San Franci</t>
        </is>
      </c>
    </row>
    <row r="237">
      <c r="A237" s="3" t="inlineStr">
        <is>
          <t>https://codesommet.com/services/edtech-platform-development</t>
        </is>
      </c>
      <c r="B237" t="n">
        <v>15</v>
      </c>
      <c r="C237" t="inlineStr">
        <is>
          <t>Internal-link block</t>
        </is>
      </c>
      <c r="D237" s="5" t="inlineStr">
        <is>
          <t>Industries Connexes que Nous Servons</t>
        </is>
      </c>
      <c r="E237" t="inlineStr">
        <is>
          <t>H2</t>
        </is>
      </c>
      <c r="F237" s="5" t="inlineStr">
        <is>
          <t>Navigation</t>
        </is>
      </c>
      <c r="G237" t="inlineStr">
        <is>
          <t>—</t>
        </is>
      </c>
      <c r="H237" t="inlineStr">
        <is>
          <t>NONE</t>
        </is>
      </c>
      <c r="I237" t="inlineStr">
        <is>
          <t>—</t>
        </is>
      </c>
      <c r="J237" t="inlineStr">
        <is>
          <t>—</t>
        </is>
      </c>
      <c r="K237" t="inlineStr">
        <is>
          <t>—</t>
        </is>
      </c>
      <c r="L237" t="inlineStr">
        <is>
          <t>—</t>
        </is>
      </c>
      <c r="M237" t="inlineStr">
        <is>
          <t>—</t>
        </is>
      </c>
      <c r="N237" t="inlineStr">
        <is>
          <t>n/a</t>
        </is>
      </c>
      <c r="O237" s="5" t="inlineStr">
        <is>
          <t>No keyword target - keep conversion/navigation focus; use descriptive, non-repeated anchor texts</t>
        </is>
      </c>
      <c r="P237" s="5" t="inlineStr"/>
      <c r="Q237" t="inlineStr">
        <is>
          <t>P2</t>
        </is>
      </c>
      <c r="R237" t="n">
        <v>123</v>
      </c>
      <c r="S237" s="5" t="inlineStr">
        <is>
          <t>Découvrez nos services de développement web spécialisés pour d'autres industries Conseil en Études à l'Étranger Plateformes de cours, systèmes LMS et portails étudiants pour les agences d'études à l'étranger. Écoles de L</t>
        </is>
      </c>
    </row>
    <row r="238">
      <c r="A238" s="3" t="inlineStr">
        <is>
          <t>https://codesommet.com/services/edtech-platform-development</t>
        </is>
      </c>
      <c r="B238" t="n">
        <v>16</v>
      </c>
      <c r="C238" t="inlineStr">
        <is>
          <t>Internal-link block</t>
        </is>
      </c>
      <c r="D238" s="5" t="inlineStr">
        <is>
          <t>Explorer Plus</t>
        </is>
      </c>
      <c r="E238" t="inlineStr">
        <is>
          <t>H2</t>
        </is>
      </c>
      <c r="F238" s="5" t="inlineStr">
        <is>
          <t>Navigation</t>
        </is>
      </c>
      <c r="G238" t="inlineStr">
        <is>
          <t>—</t>
        </is>
      </c>
      <c r="H238" t="inlineStr">
        <is>
          <t>NONE</t>
        </is>
      </c>
      <c r="I238" t="inlineStr">
        <is>
          <t>—</t>
        </is>
      </c>
      <c r="J238" t="inlineStr">
        <is>
          <t>—</t>
        </is>
      </c>
      <c r="K238" t="inlineStr">
        <is>
          <t>—</t>
        </is>
      </c>
      <c r="L238" t="inlineStr">
        <is>
          <t>—</t>
        </is>
      </c>
      <c r="M238" t="inlineStr">
        <is>
          <t>—</t>
        </is>
      </c>
      <c r="N238" t="inlineStr">
        <is>
          <t>n/a</t>
        </is>
      </c>
      <c r="O238" s="5" t="inlineStr">
        <is>
          <t>No keyword target - keep conversion/navigation focus; use descriptive, non-repeated anchor texts</t>
        </is>
      </c>
      <c r="P238" s="5" t="inlineStr"/>
      <c r="Q238" t="inlineStr">
        <is>
          <t>P2</t>
        </is>
      </c>
      <c r="R238" t="n">
        <v>84</v>
      </c>
      <c r="S238" s="5" t="inlineStr">
        <is>
          <t>Découvrez ce qui fait de CodeSommet votre partenaire idéal en développement web Audit Gratuit de Site Web Obtenez une analyse alimentée par l'IA avec plus de 40 vérifications En savoir plus Voir Nos Réalisations Explorez</t>
        </is>
      </c>
    </row>
    <row r="239">
      <c r="A239" s="3" t="inlineStr">
        <is>
          <t>https://codesommet.com/services/edtech-platform-development</t>
        </is>
      </c>
      <c r="B239" t="n">
        <v>17</v>
      </c>
      <c r="C239" t="inlineStr">
        <is>
          <t>CTA / conversion</t>
        </is>
      </c>
      <c r="D239" s="5" t="inlineStr">
        <is>
          <t>Prêt à Construire Quelque Chose d'Extraordinaire ?</t>
        </is>
      </c>
      <c r="E239" t="inlineStr">
        <is>
          <t>H2</t>
        </is>
      </c>
      <c r="F239" s="5" t="inlineStr">
        <is>
          <t>Conversion</t>
        </is>
      </c>
      <c r="G239" t="inlineStr">
        <is>
          <t>—</t>
        </is>
      </c>
      <c r="H239" t="inlineStr">
        <is>
          <t>NONE</t>
        </is>
      </c>
      <c r="I239" t="inlineStr">
        <is>
          <t>—</t>
        </is>
      </c>
      <c r="J239" t="inlineStr">
        <is>
          <t>—</t>
        </is>
      </c>
      <c r="K239" t="inlineStr">
        <is>
          <t>—</t>
        </is>
      </c>
      <c r="L239" t="inlineStr">
        <is>
          <t>—</t>
        </is>
      </c>
      <c r="M239" t="inlineStr">
        <is>
          <t>—</t>
        </is>
      </c>
      <c r="N239" t="inlineStr">
        <is>
          <t>n/a</t>
        </is>
      </c>
      <c r="O239" s="5" t="inlineStr">
        <is>
          <t>No keyword target - keep conversion/navigation focus; use descriptive, non-repeated anchor texts</t>
        </is>
      </c>
      <c r="P239" s="5" t="inlineStr"/>
      <c r="Q239" t="inlineStr">
        <is>
          <t>P2</t>
        </is>
      </c>
      <c r="R239" t="n">
        <v>117</v>
      </c>
      <c r="S239" s="5" t="inlineStr">
        <is>
          <t>Rejoignez les entreprises visionnaires qui ont choisi l'excellence Réserver un Appel Découverte Analyser Mon Site Gratuitement Réserver un Appel Découverte Analyser Votre Site Web Discutons de comment l'IA et le design m</t>
        </is>
      </c>
    </row>
    <row r="240">
      <c r="A240" s="3" t="inlineStr">
        <is>
          <t>https://codesommet.com/services/elearning-platform-development</t>
        </is>
      </c>
      <c r="B240" t="n">
        <v>1</v>
      </c>
      <c r="C240" t="inlineStr">
        <is>
          <t>Hero / H1</t>
        </is>
      </c>
      <c r="D240" s="5" t="inlineStr">
        <is>
          <t>Développement de Plateformes E-Learning qui génèrent des LMS POUR ÉCOLES, CENTRES DE FORMATION ET ENTREPRISES</t>
        </is>
      </c>
      <c r="E240" t="inlineStr">
        <is>
          <t>H1</t>
        </is>
      </c>
      <c r="F240" s="5" t="inlineStr">
        <is>
          <t>Commercial</t>
        </is>
      </c>
      <c r="G240" t="inlineStr">
        <is>
          <t>plateforme e-learning</t>
        </is>
      </c>
      <c r="H240" t="inlineStr">
        <is>
          <t>PRIMARY</t>
        </is>
      </c>
      <c r="I240" t="inlineStr">
        <is>
          <t>fr</t>
        </is>
      </c>
      <c r="J240" t="n">
        <v>2400</v>
      </c>
      <c r="K240" t="n">
        <v>31</v>
      </c>
      <c r="L240" t="n">
        <v>8.029999999999999</v>
      </c>
      <c r="M240" t="inlineStr">
        <is>
          <t>MEASURED</t>
        </is>
      </c>
      <c r="N240" t="inlineStr">
        <is>
          <t>Yes</t>
        </is>
      </c>
      <c r="O240" s="5" t="inlineStr">
        <is>
          <t>Covered - keep wording; no change</t>
        </is>
      </c>
      <c r="P240" s="5" t="inlineStr"/>
      <c r="Q240" t="inlineStr">
        <is>
          <t>P2</t>
        </is>
      </c>
      <c r="R240" t="n">
        <v>61</v>
      </c>
      <c r="S240" s="5" t="inlineStr">
        <is>
          <t>Développement de plateformes e-learning et LMS sur mesure pour les écoles, centres de formation et entreprises qui forment leurs propres apprenants ou collaborateurs : parcours structurés, suivi de progression, évaluatio</t>
        </is>
      </c>
    </row>
    <row r="241">
      <c r="A241" s="3" t="inlineStr">
        <is>
          <t>https://codesommet.com/services/elearning-platform-development</t>
        </is>
      </c>
      <c r="B241" t="n">
        <v>2</v>
      </c>
      <c r="C241" t="inlineStr">
        <is>
          <t>Why us / differentiation</t>
        </is>
      </c>
      <c r="D241" s="5" t="inlineStr">
        <is>
          <t>Pourquoi Choisir CodeSommet dans le secteur E-Learning ?</t>
        </is>
      </c>
      <c r="E241" t="inlineStr">
        <is>
          <t>H2</t>
        </is>
      </c>
      <c r="F241" s="5" t="inlineStr">
        <is>
          <t>Commercial investigation</t>
        </is>
      </c>
      <c r="G241" t="inlineStr">
        <is>
          <t>plateforme e-learning</t>
        </is>
      </c>
      <c r="H241" t="inlineStr">
        <is>
          <t>SUPPORTS PRIMARY</t>
        </is>
      </c>
      <c r="I241" t="inlineStr">
        <is>
          <t>fr</t>
        </is>
      </c>
      <c r="J241" t="n">
        <v>2400</v>
      </c>
      <c r="K241" t="n">
        <v>31</v>
      </c>
      <c r="L241" t="n">
        <v>8.029999999999999</v>
      </c>
      <c r="M241" t="inlineStr">
        <is>
          <t>MEASURED</t>
        </is>
      </c>
      <c r="N241" t="inlineStr">
        <is>
          <t>Yes</t>
        </is>
      </c>
      <c r="O241" s="5" t="inlineStr">
        <is>
          <t>Covered - keep wording; no change</t>
        </is>
      </c>
      <c r="P241" s="5" t="inlineStr"/>
      <c r="Q241" t="inlineStr">
        <is>
          <t>P2</t>
        </is>
      </c>
      <c r="R241" t="n">
        <v>174</v>
      </c>
      <c r="S241" s="5" t="inlineStr">
        <is>
          <t>L'expertise locale rencontre les standards internationaux. Voici ce qui fait de nous le partenaire idéal en développement web dans le secteur E-Learning . Spécialistes en Technologie E-Learning Nous construisons des plat</t>
        </is>
      </c>
    </row>
    <row r="242">
      <c r="A242" s="3" t="inlineStr">
        <is>
          <t>https://codesommet.com/services/elearning-platform-development</t>
        </is>
      </c>
      <c r="B242" t="n">
        <v>3</v>
      </c>
      <c r="C242" t="inlineStr">
        <is>
          <t>Proof / portfolio / results</t>
        </is>
      </c>
      <c r="D242" s="5" t="inlineStr">
        <is>
          <t>Adopté par les E-Learning Entreprises</t>
        </is>
      </c>
      <c r="E242" t="inlineStr">
        <is>
          <t>H2</t>
        </is>
      </c>
      <c r="F242" s="5" t="inlineStr">
        <is>
          <t>Commercial investigation</t>
        </is>
      </c>
      <c r="G242" t="inlineStr">
        <is>
          <t>plateforme e-learning</t>
        </is>
      </c>
      <c r="H242" t="inlineStr">
        <is>
          <t>SUPPORTS PRIMARY</t>
        </is>
      </c>
      <c r="I242" t="inlineStr">
        <is>
          <t>fr</t>
        </is>
      </c>
      <c r="J242" t="n">
        <v>2400</v>
      </c>
      <c r="K242" t="n">
        <v>31</v>
      </c>
      <c r="L242" t="n">
        <v>8.029999999999999</v>
      </c>
      <c r="M242" t="inlineStr">
        <is>
          <t>MEASURED</t>
        </is>
      </c>
      <c r="N242" t="inlineStr">
        <is>
          <t>Yes</t>
        </is>
      </c>
      <c r="O242" s="5" t="inlineStr">
        <is>
          <t>Covered - keep wording; no change</t>
        </is>
      </c>
      <c r="P242" s="5" t="inlineStr"/>
      <c r="Q242" t="inlineStr">
        <is>
          <t>P2</t>
        </is>
      </c>
      <c r="R242" t="n">
        <v>26</v>
      </c>
      <c r="S242" s="5" t="inlineStr">
        <is>
          <t>Plateformes LMS livrées sur mesure Taux de complétion en hausse Établissements et entreprises accompagnés Résultats réels de E-Learning Platform avec lesquelles nous avons collaboré Défis Courants</t>
        </is>
      </c>
    </row>
    <row r="243">
      <c r="A243" s="3" t="inlineStr">
        <is>
          <t>https://codesommet.com/services/elearning-platform-development</t>
        </is>
      </c>
      <c r="B243" t="n">
        <v>4</v>
      </c>
      <c r="C243" t="inlineStr">
        <is>
          <t>Problems / pain points</t>
        </is>
      </c>
      <c r="D243" s="5" t="inlineStr">
        <is>
          <t>Le Défi : E-Learning Les Entreprises Font Face à des Défis Web Uniques</t>
        </is>
      </c>
      <c r="E243" t="inlineStr">
        <is>
          <t>H2</t>
        </is>
      </c>
      <c r="F243" s="5" t="inlineStr">
        <is>
          <t>Commercial</t>
        </is>
      </c>
      <c r="G243" t="inlineStr">
        <is>
          <t>plateforme lms</t>
        </is>
      </c>
      <c r="H243" t="inlineStr">
        <is>
          <t>SECONDARY</t>
        </is>
      </c>
      <c r="I243" t="inlineStr">
        <is>
          <t>fr</t>
        </is>
      </c>
      <c r="J243" t="n">
        <v>1000</v>
      </c>
      <c r="K243" t="n">
        <v>37</v>
      </c>
      <c r="L243" t="n">
        <v>5.74</v>
      </c>
      <c r="M243" t="inlineStr">
        <is>
          <t>MEASURED</t>
        </is>
      </c>
      <c r="N243" t="inlineStr">
        <is>
          <t>Yes</t>
        </is>
      </c>
      <c r="O243" s="5" t="inlineStr">
        <is>
          <t>Covered - keep wording; no change</t>
        </is>
      </c>
      <c r="P243" s="5" t="inlineStr"/>
      <c r="Q243" t="inlineStr">
        <is>
          <t>P2</t>
        </is>
      </c>
      <c r="R243" t="n">
        <v>333</v>
      </c>
      <c r="S243" s="5" t="inlineStr">
        <is>
          <t xml:space="preserve">Les développeurs web généralistes ne connaissent pas les contraintes d'une plateforme de formation utilisée en interne par un établissement ou une entreprise. Un LMS Générique Ne Suit Pas Vos Parcours Les LMS génériques </t>
        </is>
      </c>
    </row>
    <row r="244">
      <c r="A244" s="3" t="inlineStr">
        <is>
          <t>https://codesommet.com/services/elearning-platform-development</t>
        </is>
      </c>
      <c r="B244" t="n">
        <v>5</v>
      </c>
      <c r="C244" t="inlineStr">
        <is>
          <t>Services / features</t>
        </is>
      </c>
      <c r="D244" s="5" t="inlineStr">
        <is>
          <t>Fonctionnalités Essentielles for E-Learning Platform Sites Web</t>
        </is>
      </c>
      <c r="E244" t="inlineStr">
        <is>
          <t>H2</t>
        </is>
      </c>
      <c r="F244" s="5" t="inlineStr">
        <is>
          <t>Commercial</t>
        </is>
      </c>
      <c r="G244" t="inlineStr">
        <is>
          <t>plateforme de formation en ligne</t>
        </is>
      </c>
      <c r="H244" t="inlineStr">
        <is>
          <t>SECONDARY</t>
        </is>
      </c>
      <c r="I244" t="inlineStr">
        <is>
          <t>fr</t>
        </is>
      </c>
      <c r="J244" t="n">
        <v>1000</v>
      </c>
      <c r="K244" t="n">
        <v>51</v>
      </c>
      <c r="L244" t="n">
        <v>4.36</v>
      </c>
      <c r="M244" t="inlineStr">
        <is>
          <t>MEASURED</t>
        </is>
      </c>
      <c r="N244" t="inlineStr">
        <is>
          <t>Partly</t>
        </is>
      </c>
      <c r="O244" s="5" t="inlineStr">
        <is>
          <t>Work "plateforme de formation en ligne" (or a close natural variant) into existing copy - no new heading needed</t>
        </is>
      </c>
      <c r="P244" s="5" t="inlineStr">
        <is>
          <t>Keyword/variant absent from this section</t>
        </is>
      </c>
      <c r="Q244" t="inlineStr">
        <is>
          <t>P2</t>
        </is>
      </c>
      <c r="R244" t="n">
        <v>208</v>
      </c>
      <c r="S244" s="5" t="inlineStr">
        <is>
          <t>Tout ce dont votre entreprise e-learning platform a besoin sur une seule plateforme Plateforme d'Apprentissage Vidéo Interface intuitive de création de cours par glisser-déposer pour les instructeurs Organisation des mod</t>
        </is>
      </c>
    </row>
    <row r="245">
      <c r="A245" s="3" t="inlineStr">
        <is>
          <t>https://codesommet.com/services/elearning-platform-development</t>
        </is>
      </c>
      <c r="B245" t="n">
        <v>6</v>
      </c>
      <c r="C245" t="inlineStr">
        <is>
          <t>Testimonials / social proof</t>
        </is>
      </c>
      <c r="D245" s="5" t="inlineStr">
        <is>
          <t>Histoires de Succès en E-Learning</t>
        </is>
      </c>
      <c r="E245" t="inlineStr">
        <is>
          <t>H2</t>
        </is>
      </c>
      <c r="F245" s="5" t="inlineStr">
        <is>
          <t>Commercial investigation</t>
        </is>
      </c>
      <c r="G245" t="inlineStr">
        <is>
          <t>plateforme e-learning</t>
        </is>
      </c>
      <c r="H245" t="inlineStr">
        <is>
          <t>SUPPORTS PRIMARY</t>
        </is>
      </c>
      <c r="I245" t="inlineStr">
        <is>
          <t>fr</t>
        </is>
      </c>
      <c r="J245" t="n">
        <v>2400</v>
      </c>
      <c r="K245" t="n">
        <v>31</v>
      </c>
      <c r="L245" t="n">
        <v>8.029999999999999</v>
      </c>
      <c r="M245" t="inlineStr">
        <is>
          <t>MEASURED</t>
        </is>
      </c>
      <c r="N245" t="inlineStr">
        <is>
          <t>Yes</t>
        </is>
      </c>
      <c r="O245" s="5" t="inlineStr">
        <is>
          <t>Covered - keep wording; no change</t>
        </is>
      </c>
      <c r="P245" s="5" t="inlineStr"/>
      <c r="Q245" t="inlineStr">
        <is>
          <t>P2</t>
        </is>
      </c>
      <c r="R245" t="n">
        <v>44</v>
      </c>
      <c r="S245" s="5" t="inlineStr">
        <is>
          <t>Projets réels, résultats réels. Découvrez comment nous avons aidé les entreprises en E-Learning à atteindre leurs objectifs numériques. Éducation GLS Sprachenzentrum Centre de langues allemand avec inscription en ligne M</t>
        </is>
      </c>
    </row>
    <row r="246">
      <c r="A246" s="3" t="inlineStr">
        <is>
          <t>https://codesommet.com/services/elearning-platform-development</t>
        </is>
      </c>
      <c r="B246" t="n">
        <v>7</v>
      </c>
      <c r="C246" t="inlineStr">
        <is>
          <t>Process / how it works</t>
        </is>
      </c>
      <c r="D246" s="5" t="inlineStr">
        <is>
          <t>Notre Processus de Développement for E-Learning Platform</t>
        </is>
      </c>
      <c r="E246" t="inlineStr">
        <is>
          <t>H2</t>
        </is>
      </c>
      <c r="F246" s="5" t="inlineStr">
        <is>
          <t>Informational / commercial</t>
        </is>
      </c>
      <c r="G246" t="inlineStr">
        <is>
          <t>plateforme e-learning</t>
        </is>
      </c>
      <c r="H246" t="inlineStr">
        <is>
          <t>SUPPORTS PRIMARY</t>
        </is>
      </c>
      <c r="I246" t="inlineStr">
        <is>
          <t>fr</t>
        </is>
      </c>
      <c r="J246" t="n">
        <v>2400</v>
      </c>
      <c r="K246" t="n">
        <v>31</v>
      </c>
      <c r="L246" t="n">
        <v>8.029999999999999</v>
      </c>
      <c r="M246" t="inlineStr">
        <is>
          <t>MEASURED</t>
        </is>
      </c>
      <c r="N246" t="inlineStr">
        <is>
          <t>Yes</t>
        </is>
      </c>
      <c r="O246" s="5" t="inlineStr">
        <is>
          <t>Covered - keep wording; no change</t>
        </is>
      </c>
      <c r="P246" s="5" t="inlineStr"/>
      <c r="Q246" t="inlineStr">
        <is>
          <t>P2</t>
        </is>
      </c>
      <c r="R246" t="n">
        <v>102</v>
      </c>
      <c r="S246" s="5" t="inlineStr">
        <is>
          <t>Du concept au lancement en 4 étapes, optimisé pour les entreprises e-learning Étape 1 Design et Architecture de Plateforme Analyse LMS concurrentielle Développement de personas d'apprenants Conception de la structure des</t>
        </is>
      </c>
    </row>
    <row r="247">
      <c r="A247" s="3" t="inlineStr">
        <is>
          <t>https://codesommet.com/services/elearning-platform-development</t>
        </is>
      </c>
      <c r="B247" t="n">
        <v>8</v>
      </c>
      <c r="C247" t="inlineStr">
        <is>
          <t>Pricing / offers</t>
        </is>
      </c>
      <c r="D247" s="5" t="inlineStr">
        <is>
          <t>Solutions Personnalisées, Tarification Transparente</t>
        </is>
      </c>
      <c r="E247" t="inlineStr">
        <is>
          <t>H2</t>
        </is>
      </c>
      <c r="F247" s="5" t="inlineStr">
        <is>
          <t>Commercial / transactional</t>
        </is>
      </c>
      <c r="G247" t="inlineStr">
        <is>
          <t>plateforme e-learning</t>
        </is>
      </c>
      <c r="H247" t="inlineStr">
        <is>
          <t>SUPPORTS PRIMARY</t>
        </is>
      </c>
      <c r="I247" t="inlineStr">
        <is>
          <t>fr</t>
        </is>
      </c>
      <c r="J247" t="n">
        <v>2400</v>
      </c>
      <c r="K247" t="n">
        <v>31</v>
      </c>
      <c r="L247" t="n">
        <v>8.029999999999999</v>
      </c>
      <c r="M247" t="inlineStr">
        <is>
          <t>MEASURED</t>
        </is>
      </c>
      <c r="N247" t="inlineStr">
        <is>
          <t>Yes (supporting block)</t>
        </is>
      </c>
      <c r="O247" s="5" t="inlineStr">
        <is>
          <t>Supports the primary topic - add only if natural</t>
        </is>
      </c>
      <c r="P247" s="5" t="inlineStr"/>
      <c r="Q247" t="inlineStr">
        <is>
          <t>P2</t>
        </is>
      </c>
      <c r="R247" t="n">
        <v>201</v>
      </c>
      <c r="S247" s="5" t="inlineStr">
        <is>
          <t>Réservez un appel découverte pour discuter de vos besoins spécifiques et obtenir un devis personnalisé Recommandé Développement de Sites Web Site web complet avec fonctionnalités IA, tableaux de bord et design premium li</t>
        </is>
      </c>
    </row>
    <row r="248">
      <c r="A248" s="3" t="inlineStr">
        <is>
          <t>https://codesommet.com/services/elearning-platform-development</t>
        </is>
      </c>
      <c r="B248" t="n">
        <v>9</v>
      </c>
      <c r="C248" t="inlineStr">
        <is>
          <t>CTA / conversion</t>
        </is>
      </c>
      <c r="D248" s="5" t="inlineStr">
        <is>
          <t>Prêt à Transformer Votre Site Web E-Learning ?</t>
        </is>
      </c>
      <c r="E248" t="inlineStr">
        <is>
          <t>H2</t>
        </is>
      </c>
      <c r="F248" s="5" t="inlineStr">
        <is>
          <t>Conversion</t>
        </is>
      </c>
      <c r="G248" t="inlineStr">
        <is>
          <t>—</t>
        </is>
      </c>
      <c r="H248" t="inlineStr">
        <is>
          <t>NONE</t>
        </is>
      </c>
      <c r="I248" t="inlineStr">
        <is>
          <t>—</t>
        </is>
      </c>
      <c r="J248" t="inlineStr">
        <is>
          <t>—</t>
        </is>
      </c>
      <c r="K248" t="inlineStr">
        <is>
          <t>—</t>
        </is>
      </c>
      <c r="L248" t="inlineStr">
        <is>
          <t>—</t>
        </is>
      </c>
      <c r="M248" t="inlineStr">
        <is>
          <t>—</t>
        </is>
      </c>
      <c r="N248" t="inlineStr">
        <is>
          <t>n/a</t>
        </is>
      </c>
      <c r="O248" s="5" t="inlineStr">
        <is>
          <t>No keyword target - keep conversion/navigation focus; use descriptive, non-repeated anchor texts</t>
        </is>
      </c>
      <c r="P248" s="5" t="inlineStr"/>
      <c r="Q248" t="inlineStr">
        <is>
          <t>P2</t>
        </is>
      </c>
      <c r="R248" t="n">
        <v>41</v>
      </c>
      <c r="S248" s="5" t="inlineStr">
        <is>
          <t>Obtenez d'abord une analyse gratuite complète : Audit SEO Vérification des performances Révision du design Recommandations alimentées par l'IA Analyser Votre Site Web - 100% Gratuit Pas de carte de crédit requise • Résul</t>
        </is>
      </c>
    </row>
    <row r="249">
      <c r="A249" s="3" t="inlineStr">
        <is>
          <t>https://codesommet.com/services/elearning-platform-development</t>
        </is>
      </c>
      <c r="B249" t="n">
        <v>10</v>
      </c>
      <c r="C249" t="inlineStr">
        <is>
          <t>Why us / differentiation</t>
        </is>
      </c>
      <c r="D249" s="5" t="inlineStr">
        <is>
          <t>CodeSommet E-Learning vs Autres</t>
        </is>
      </c>
      <c r="E249" t="inlineStr">
        <is>
          <t>H2</t>
        </is>
      </c>
      <c r="F249" s="5" t="inlineStr">
        <is>
          <t>Commercial investigation</t>
        </is>
      </c>
      <c r="G249" t="inlineStr">
        <is>
          <t>plateforme e-learning</t>
        </is>
      </c>
      <c r="H249" t="inlineStr">
        <is>
          <t>SUPPORTS PRIMARY</t>
        </is>
      </c>
      <c r="I249" t="inlineStr">
        <is>
          <t>fr</t>
        </is>
      </c>
      <c r="J249" t="n">
        <v>2400</v>
      </c>
      <c r="K249" t="n">
        <v>31</v>
      </c>
      <c r="L249" t="n">
        <v>8.029999999999999</v>
      </c>
      <c r="M249" t="inlineStr">
        <is>
          <t>MEASURED</t>
        </is>
      </c>
      <c r="N249" t="inlineStr">
        <is>
          <t>Yes</t>
        </is>
      </c>
      <c r="O249" s="5" t="inlineStr">
        <is>
          <t>Covered - keep wording; no change</t>
        </is>
      </c>
      <c r="P249" s="5" t="inlineStr"/>
      <c r="Q249" t="inlineStr">
        <is>
          <t>P2</t>
        </is>
      </c>
      <c r="R249" t="n">
        <v>130</v>
      </c>
      <c r="S249" s="5" t="inlineStr">
        <is>
          <t>Découvrez pourquoi E-Learning Platform entreprises choisissent CodeSommet plutôt que d'autres agences locales et concurrents internationaux. Fonctionnalité CodeSommet E-Learning Autres E-Learning Agences Agences Internat</t>
        </is>
      </c>
    </row>
    <row r="250">
      <c r="A250" s="3" t="inlineStr">
        <is>
          <t>https://codesommet.com/services/elearning-platform-development</t>
        </is>
      </c>
      <c r="B250" t="n">
        <v>11</v>
      </c>
      <c r="C250" t="inlineStr">
        <is>
          <t>Testimonials / social proof</t>
        </is>
      </c>
      <c r="D250" s="5" t="inlineStr">
        <is>
          <t>Ce que Nos Clients E-Learning Disent de Nous</t>
        </is>
      </c>
      <c r="E250" t="inlineStr">
        <is>
          <t>H2</t>
        </is>
      </c>
      <c r="F250" s="5" t="inlineStr">
        <is>
          <t>Commercial investigation</t>
        </is>
      </c>
      <c r="G250" t="inlineStr">
        <is>
          <t>plateforme e-learning</t>
        </is>
      </c>
      <c r="H250" t="inlineStr">
        <is>
          <t>SUPPORTS PRIMARY</t>
        </is>
      </c>
      <c r="I250" t="inlineStr">
        <is>
          <t>fr</t>
        </is>
      </c>
      <c r="J250" t="n">
        <v>2400</v>
      </c>
      <c r="K250" t="n">
        <v>31</v>
      </c>
      <c r="L250" t="n">
        <v>8.029999999999999</v>
      </c>
      <c r="M250" t="inlineStr">
        <is>
          <t>MEASURED</t>
        </is>
      </c>
      <c r="N250" t="inlineStr">
        <is>
          <t>Yes (supporting block)</t>
        </is>
      </c>
      <c r="O250" s="5" t="inlineStr">
        <is>
          <t>Supports the primary topic - add only if natural</t>
        </is>
      </c>
      <c r="P250" s="5" t="inlineStr"/>
      <c r="Q250" t="inlineStr">
        <is>
          <t>P2</t>
        </is>
      </c>
      <c r="R250" t="n">
        <v>105</v>
      </c>
      <c r="S250" s="5" t="inlineStr">
        <is>
          <t>Ne nous croyez pas sur parole. Écoutez les entreprises en E-Learning qui ont obtenu des résultats remarquables avec CodeSommet. "Une équipe réactive et attentive à nos besoins. Le site reflète parfaitement notre activité</t>
        </is>
      </c>
    </row>
    <row r="251">
      <c r="A251" s="3" t="inlineStr">
        <is>
          <t>https://codesommet.com/services/elearning-platform-development</t>
        </is>
      </c>
      <c r="B251" t="n">
        <v>12</v>
      </c>
      <c r="C251" t="inlineStr">
        <is>
          <t>FAQ</t>
        </is>
      </c>
      <c r="D251" s="5" t="inlineStr">
        <is>
          <t>Questions Fréquemment Posées sur le Développement Web E-Learning</t>
        </is>
      </c>
      <c r="E251" t="inlineStr">
        <is>
          <t>H2</t>
        </is>
      </c>
      <c r="F251" s="5" t="inlineStr">
        <is>
          <t>Informational (pre-purchase questions)</t>
        </is>
      </c>
      <c r="G251" t="inlineStr">
        <is>
          <t>comment créer une plateforme e-learning</t>
        </is>
      </c>
      <c r="H251" t="inlineStr">
        <is>
          <t>FAQ</t>
        </is>
      </c>
      <c r="I251" t="inlineStr">
        <is>
          <t>fr</t>
        </is>
      </c>
      <c r="J251" t="n">
        <v>20</v>
      </c>
      <c r="K251" t="inlineStr">
        <is>
          <t>NOT AVAILABLE</t>
        </is>
      </c>
      <c r="L251" t="n">
        <v>0</v>
      </c>
      <c r="M251" t="inlineStr">
        <is>
          <t>MEASURED</t>
        </is>
      </c>
      <c r="N251" t="inlineStr">
        <is>
          <t>Partly</t>
        </is>
      </c>
      <c r="O251" s="5" t="inlineStr">
        <is>
          <t>Work "comment créer une plateforme e-learning" (or a close natural variant) into existing copy - no new heading needed</t>
        </is>
      </c>
      <c r="P251" s="5" t="inlineStr">
        <is>
          <t>Keyword/variant absent from this section</t>
        </is>
      </c>
      <c r="Q251" t="inlineStr">
        <is>
          <t>P2</t>
        </is>
      </c>
      <c r="R251" t="n">
        <v>393</v>
      </c>
      <c r="S251" s="5" t="inlineStr">
        <is>
          <t>Vous avez des questions ? Nous avons les réponses. Voici les questions les plus courantes de E-Learning entreprises. 1 Combien de temps faut-il pour mettre en place une plateforme de formation interne ? Cela dépend du no</t>
        </is>
      </c>
    </row>
    <row r="252">
      <c r="A252" s="3" t="inlineStr">
        <is>
          <t>https://codesommet.com/services/elearning-platform-development</t>
        </is>
      </c>
      <c r="B252" t="n">
        <v>13</v>
      </c>
      <c r="C252" t="inlineStr">
        <is>
          <t>Services / features</t>
        </is>
      </c>
      <c r="D252" s="5" t="inlineStr">
        <is>
          <t>Au Service de Clients dans le Monde Entier</t>
        </is>
      </c>
      <c r="E252" t="inlineStr">
        <is>
          <t>H2</t>
        </is>
      </c>
      <c r="F252" s="5" t="inlineStr">
        <is>
          <t>Commercial</t>
        </is>
      </c>
      <c r="G252" t="inlineStr">
        <is>
          <t>logiciel lms</t>
        </is>
      </c>
      <c r="H252" t="inlineStr">
        <is>
          <t>SECONDARY</t>
        </is>
      </c>
      <c r="I252" t="inlineStr">
        <is>
          <t>fr</t>
        </is>
      </c>
      <c r="J252" t="n">
        <v>170</v>
      </c>
      <c r="K252" t="n">
        <v>31</v>
      </c>
      <c r="L252" t="n">
        <v>6.91</v>
      </c>
      <c r="M252" t="inlineStr">
        <is>
          <t>MEASURED</t>
        </is>
      </c>
      <c r="N252" t="inlineStr">
        <is>
          <t>Partly</t>
        </is>
      </c>
      <c r="O252" s="5" t="inlineStr">
        <is>
          <t>Work "logiciel lms" (or a close natural variant) into existing copy - no new heading needed</t>
        </is>
      </c>
      <c r="P252" s="5" t="inlineStr">
        <is>
          <t>Keyword/variant absent from this section</t>
        </is>
      </c>
      <c r="Q252" t="inlineStr">
        <is>
          <t>P2</t>
        </is>
      </c>
      <c r="R252" t="n">
        <v>60</v>
      </c>
      <c r="S252" s="5" t="inlineStr">
        <is>
          <t>Nous avons construit des sites web e-learning pour des clients à travers le monde. Que vous soyez au Maroc ou ailleurs, nous livrons des solutions de classe mondiale. Dubaï 🇦🇪 UAE Casablanca 🇲🇦 Maroc San Francisco 🇺🇸 Éta</t>
        </is>
      </c>
    </row>
    <row r="253">
      <c r="A253" s="3" t="inlineStr">
        <is>
          <t>https://codesommet.com/services/elearning-platform-development</t>
        </is>
      </c>
      <c r="B253" t="n">
        <v>14</v>
      </c>
      <c r="C253" t="inlineStr">
        <is>
          <t>Internal-link block</t>
        </is>
      </c>
      <c r="D253" s="5" t="inlineStr">
        <is>
          <t>Industries Connexes que Nous Servons</t>
        </is>
      </c>
      <c r="E253" t="inlineStr">
        <is>
          <t>H2</t>
        </is>
      </c>
      <c r="F253" s="5" t="inlineStr">
        <is>
          <t>Navigation</t>
        </is>
      </c>
      <c r="G253" t="inlineStr">
        <is>
          <t>—</t>
        </is>
      </c>
      <c r="H253" t="inlineStr">
        <is>
          <t>NONE</t>
        </is>
      </c>
      <c r="I253" t="inlineStr">
        <is>
          <t>—</t>
        </is>
      </c>
      <c r="J253" t="inlineStr">
        <is>
          <t>—</t>
        </is>
      </c>
      <c r="K253" t="inlineStr">
        <is>
          <t>—</t>
        </is>
      </c>
      <c r="L253" t="inlineStr">
        <is>
          <t>—</t>
        </is>
      </c>
      <c r="M253" t="inlineStr">
        <is>
          <t>—</t>
        </is>
      </c>
      <c r="N253" t="inlineStr">
        <is>
          <t>n/a</t>
        </is>
      </c>
      <c r="O253" s="5" t="inlineStr">
        <is>
          <t>No keyword target - keep conversion/navigation focus; use descriptive, non-repeated anchor texts</t>
        </is>
      </c>
      <c r="P253" s="5" t="inlineStr"/>
      <c r="Q253" t="inlineStr">
        <is>
          <t>P2</t>
        </is>
      </c>
      <c r="R253" t="n">
        <v>133</v>
      </c>
      <c r="S253" s="5" t="inlineStr">
        <is>
          <t>Découvrez nos services de développement web spécialisés pour d'autres industries Conseil en Études à l'Étranger Plateformes de cours, systèmes LMS et portails étudiants pour les agences d'études à l'étranger. Écoles de L</t>
        </is>
      </c>
    </row>
    <row r="254">
      <c r="A254" s="3" t="inlineStr">
        <is>
          <t>https://codesommet.com/services/elearning-platform-development</t>
        </is>
      </c>
      <c r="B254" t="n">
        <v>15</v>
      </c>
      <c r="C254" t="inlineStr">
        <is>
          <t>Internal-link block</t>
        </is>
      </c>
      <c r="D254" s="5" t="inlineStr">
        <is>
          <t>Articles liés</t>
        </is>
      </c>
      <c r="E254" t="inlineStr">
        <is>
          <t>H2</t>
        </is>
      </c>
      <c r="F254" s="5" t="inlineStr">
        <is>
          <t>Navigation</t>
        </is>
      </c>
      <c r="G254" t="inlineStr">
        <is>
          <t>—</t>
        </is>
      </c>
      <c r="H254" t="inlineStr">
        <is>
          <t>NONE</t>
        </is>
      </c>
      <c r="I254" t="inlineStr">
        <is>
          <t>—</t>
        </is>
      </c>
      <c r="J254" t="inlineStr">
        <is>
          <t>—</t>
        </is>
      </c>
      <c r="K254" t="inlineStr">
        <is>
          <t>—</t>
        </is>
      </c>
      <c r="L254" t="inlineStr">
        <is>
          <t>—</t>
        </is>
      </c>
      <c r="M254" t="inlineStr">
        <is>
          <t>—</t>
        </is>
      </c>
      <c r="N254" t="inlineStr">
        <is>
          <t>n/a</t>
        </is>
      </c>
      <c r="O254" s="5" t="inlineStr">
        <is>
          <t>No keyword target - keep conversion/navigation focus; use descriptive, non-repeated anchor texts</t>
        </is>
      </c>
      <c r="P254" s="5" t="inlineStr"/>
      <c r="Q254" t="inlineStr">
        <is>
          <t>P2</t>
        </is>
      </c>
      <c r="R254" t="n">
        <v>75</v>
      </c>
      <c r="S254" s="5" t="inlineStr">
        <is>
          <t>Guides et conseils de notre blog pour approfondir ce type de projet. Développement Web 16 août 2026 · 6 min de lecture LMS sur mesure ou produit EdTech : quelle plateforme e-learning pour votre organisation ? Un LMS pour</t>
        </is>
      </c>
    </row>
    <row r="255">
      <c r="A255" s="3" t="inlineStr">
        <is>
          <t>https://codesommet.com/services/elearning-platform-development</t>
        </is>
      </c>
      <c r="B255" t="n">
        <v>16</v>
      </c>
      <c r="C255" t="inlineStr">
        <is>
          <t>Internal-link block</t>
        </is>
      </c>
      <c r="D255" s="5" t="inlineStr">
        <is>
          <t>Explorer Plus</t>
        </is>
      </c>
      <c r="E255" t="inlineStr">
        <is>
          <t>H2</t>
        </is>
      </c>
      <c r="F255" s="5" t="inlineStr">
        <is>
          <t>Navigation</t>
        </is>
      </c>
      <c r="G255" t="inlineStr">
        <is>
          <t>—</t>
        </is>
      </c>
      <c r="H255" t="inlineStr">
        <is>
          <t>NONE</t>
        </is>
      </c>
      <c r="I255" t="inlineStr">
        <is>
          <t>—</t>
        </is>
      </c>
      <c r="J255" t="inlineStr">
        <is>
          <t>—</t>
        </is>
      </c>
      <c r="K255" t="inlineStr">
        <is>
          <t>—</t>
        </is>
      </c>
      <c r="L255" t="inlineStr">
        <is>
          <t>—</t>
        </is>
      </c>
      <c r="M255" t="inlineStr">
        <is>
          <t>—</t>
        </is>
      </c>
      <c r="N255" t="inlineStr">
        <is>
          <t>n/a</t>
        </is>
      </c>
      <c r="O255" s="5" t="inlineStr">
        <is>
          <t>No keyword target - keep conversion/navigation focus; use descriptive, non-repeated anchor texts</t>
        </is>
      </c>
      <c r="P255" s="5" t="inlineStr"/>
      <c r="Q255" t="inlineStr">
        <is>
          <t>P2</t>
        </is>
      </c>
      <c r="R255" t="n">
        <v>84</v>
      </c>
      <c r="S255" s="5" t="inlineStr">
        <is>
          <t>Découvrez ce qui fait de CodeSommet votre partenaire idéal en développement web Audit Gratuit de Site Web Obtenez une analyse alimentée par l'IA avec plus de 40 vérifications En savoir plus Voir Nos Réalisations Explorez</t>
        </is>
      </c>
    </row>
    <row r="256">
      <c r="A256" s="3" t="inlineStr">
        <is>
          <t>https://codesommet.com/services/elearning-platform-development</t>
        </is>
      </c>
      <c r="B256" t="n">
        <v>17</v>
      </c>
      <c r="C256" t="inlineStr">
        <is>
          <t>CTA / conversion</t>
        </is>
      </c>
      <c r="D256" s="5" t="inlineStr">
        <is>
          <t>Prêt à Construire Quelque Chose d'Extraordinaire ?</t>
        </is>
      </c>
      <c r="E256" t="inlineStr">
        <is>
          <t>H2</t>
        </is>
      </c>
      <c r="F256" s="5" t="inlineStr">
        <is>
          <t>Conversion</t>
        </is>
      </c>
      <c r="G256" t="inlineStr">
        <is>
          <t>—</t>
        </is>
      </c>
      <c r="H256" t="inlineStr">
        <is>
          <t>NONE</t>
        </is>
      </c>
      <c r="I256" t="inlineStr">
        <is>
          <t>—</t>
        </is>
      </c>
      <c r="J256" t="inlineStr">
        <is>
          <t>—</t>
        </is>
      </c>
      <c r="K256" t="inlineStr">
        <is>
          <t>—</t>
        </is>
      </c>
      <c r="L256" t="inlineStr">
        <is>
          <t>—</t>
        </is>
      </c>
      <c r="M256" t="inlineStr">
        <is>
          <t>—</t>
        </is>
      </c>
      <c r="N256" t="inlineStr">
        <is>
          <t>n/a</t>
        </is>
      </c>
      <c r="O256" s="5" t="inlineStr">
        <is>
          <t>No keyword target - keep conversion/navigation focus; use descriptive, non-repeated anchor texts</t>
        </is>
      </c>
      <c r="P256" s="5" t="inlineStr"/>
      <c r="Q256" t="inlineStr">
        <is>
          <t>P2</t>
        </is>
      </c>
      <c r="R256" t="n">
        <v>117</v>
      </c>
      <c r="S256" s="5" t="inlineStr">
        <is>
          <t>Rejoignez les entreprises visionnaires qui ont choisi l'excellence Réserver un Appel Découverte Analyser Mon Site Gratuitement Réserver un Appel Découverte Analyser Votre Site Web Discutons de comment l'IA et le design m</t>
        </is>
      </c>
    </row>
    <row r="257">
      <c r="A257" s="3" t="inlineStr">
        <is>
          <t>https://codesommet.com/services/online-course-platform-development</t>
        </is>
      </c>
      <c r="B257" t="n">
        <v>1</v>
      </c>
      <c r="C257" t="inlineStr">
        <is>
          <t>Hero / H1</t>
        </is>
      </c>
      <c r="D257" s="5" t="inlineStr">
        <is>
          <t>Développement de Plateformes de Cours en Ligne qui génèrent des SITES WEB DE COURS PERSONNALISÉS</t>
        </is>
      </c>
      <c r="E257" t="inlineStr">
        <is>
          <t>H1</t>
        </is>
      </c>
      <c r="F257" s="5" t="inlineStr">
        <is>
          <t>Commercial</t>
        </is>
      </c>
      <c r="G257" t="inlineStr">
        <is>
          <t>vendre des formations en ligne</t>
        </is>
      </c>
      <c r="H257" t="inlineStr">
        <is>
          <t>PRIMARY</t>
        </is>
      </c>
      <c r="I257" t="inlineStr">
        <is>
          <t>fr</t>
        </is>
      </c>
      <c r="J257" t="n">
        <v>260</v>
      </c>
      <c r="K257" t="n">
        <v>10</v>
      </c>
      <c r="L257" t="n">
        <v>1.83</v>
      </c>
      <c r="M257" t="inlineStr">
        <is>
          <t>MEASURED</t>
        </is>
      </c>
      <c r="N257" t="inlineStr">
        <is>
          <t>Partly</t>
        </is>
      </c>
      <c r="O257" s="5" t="inlineStr">
        <is>
          <t>Work "vendre des formations en ligne" (or a close natural variant) into existing copy - no new heading needed</t>
        </is>
      </c>
      <c r="P257" s="5" t="inlineStr">
        <is>
          <t>Keyword/variant absent from this section</t>
        </is>
      </c>
      <c r="Q257" t="inlineStr">
        <is>
          <t>P2</t>
        </is>
      </c>
      <c r="R257" t="n">
        <v>79</v>
      </c>
      <c r="S257" s="5" t="inlineStr">
        <is>
          <t>Développement de plateformes de cours en ligne sur mesure pour coachs, créateurs de cours et éducateurs. Nous créons des plateformes avec hébergement vidéo, gestion des abonnements et intégration de paiement. Réalisez d'</t>
        </is>
      </c>
    </row>
    <row r="258">
      <c r="A258" s="3" t="inlineStr">
        <is>
          <t>https://codesommet.com/services/online-course-platform-development</t>
        </is>
      </c>
      <c r="B258" t="n">
        <v>2</v>
      </c>
      <c r="C258" t="inlineStr">
        <is>
          <t>Why us / differentiation</t>
        </is>
      </c>
      <c r="D258" s="5" t="inlineStr">
        <is>
          <t>Pourquoi Choisir CodeSommet dans le secteur Plateformes de Cours en Ligne ?</t>
        </is>
      </c>
      <c r="E258" t="inlineStr">
        <is>
          <t>H2</t>
        </is>
      </c>
      <c r="F258" s="5" t="inlineStr">
        <is>
          <t>Commercial investigation</t>
        </is>
      </c>
      <c r="G258" t="inlineStr">
        <is>
          <t>vendre des formations en ligne</t>
        </is>
      </c>
      <c r="H258" t="inlineStr">
        <is>
          <t>SUPPORTS PRIMARY</t>
        </is>
      </c>
      <c r="I258" t="inlineStr">
        <is>
          <t>fr</t>
        </is>
      </c>
      <c r="J258" t="n">
        <v>260</v>
      </c>
      <c r="K258" t="n">
        <v>10</v>
      </c>
      <c r="L258" t="n">
        <v>1.83</v>
      </c>
      <c r="M258" t="inlineStr">
        <is>
          <t>MEASURED</t>
        </is>
      </c>
      <c r="N258" t="inlineStr">
        <is>
          <t>Yes (supporting block)</t>
        </is>
      </c>
      <c r="O258" s="5" t="inlineStr">
        <is>
          <t>Supports the primary topic - add only if natural</t>
        </is>
      </c>
      <c r="P258" s="5" t="inlineStr"/>
      <c r="Q258" t="inlineStr">
        <is>
          <t>P2</t>
        </is>
      </c>
      <c r="R258" t="n">
        <v>175</v>
      </c>
      <c r="S258" s="5" t="inlineStr">
        <is>
          <t>Une expertise locale alliée à des standards internationaux. Voici ce qui fait de nous le partenaire idéal en développement web dans le secteur Plateformes de Cours en Ligne . Spécialistes en Plateformes de Cours Nous con</t>
        </is>
      </c>
    </row>
    <row r="259">
      <c r="A259" s="3" t="inlineStr">
        <is>
          <t>https://codesommet.com/services/online-course-platform-development</t>
        </is>
      </c>
      <c r="B259" t="n">
        <v>3</v>
      </c>
      <c r="C259" t="inlineStr">
        <is>
          <t>Proof / portfolio / results</t>
        </is>
      </c>
      <c r="D259" s="5" t="inlineStr">
        <is>
          <t>Adopté par les Plateformes de Cours en Ligne Entreprises</t>
        </is>
      </c>
      <c r="E259" t="inlineStr">
        <is>
          <t>H2</t>
        </is>
      </c>
      <c r="F259" s="5" t="inlineStr">
        <is>
          <t>Commercial investigation</t>
        </is>
      </c>
      <c r="G259" t="inlineStr">
        <is>
          <t>vendre des formations en ligne</t>
        </is>
      </c>
      <c r="H259" t="inlineStr">
        <is>
          <t>SUPPORTS PRIMARY</t>
        </is>
      </c>
      <c r="I259" t="inlineStr">
        <is>
          <t>fr</t>
        </is>
      </c>
      <c r="J259" t="n">
        <v>260</v>
      </c>
      <c r="K259" t="n">
        <v>10</v>
      </c>
      <c r="L259" t="n">
        <v>1.83</v>
      </c>
      <c r="M259" t="inlineStr">
        <is>
          <t>MEASURED</t>
        </is>
      </c>
      <c r="N259" t="inlineStr">
        <is>
          <t>Yes (supporting block)</t>
        </is>
      </c>
      <c r="O259" s="5" t="inlineStr">
        <is>
          <t>Supports the primary topic - add only if natural</t>
        </is>
      </c>
      <c r="P259" s="5" t="inlineStr"/>
      <c r="Q259" t="inlineStr">
        <is>
          <t>P2</t>
        </is>
      </c>
      <c r="R259" t="n">
        <v>26</v>
      </c>
      <c r="S259" s="5" t="inlineStr">
        <is>
          <t>Projets livrés sur mesure Prospects générés pour nos clients Clients accompagnés Résultats réels de Plateformes de Cours en Ligne avec lesquelles nous avons collaboré Défis Courants</t>
        </is>
      </c>
    </row>
    <row r="260">
      <c r="A260" s="3" t="inlineStr">
        <is>
          <t>https://codesommet.com/services/online-course-platform-development</t>
        </is>
      </c>
      <c r="B260" t="n">
        <v>4</v>
      </c>
      <c r="C260" t="inlineStr">
        <is>
          <t>Problems / pain points</t>
        </is>
      </c>
      <c r="D260" s="5" t="inlineStr">
        <is>
          <t>Le Défi : Plateformes de Cours en Ligne Les Entreprises Font Face à des Défis Web Uniques</t>
        </is>
      </c>
      <c r="E260" t="inlineStr">
        <is>
          <t>H2</t>
        </is>
      </c>
      <c r="F260" s="5" t="inlineStr">
        <is>
          <t>Commercial</t>
        </is>
      </c>
      <c r="G260" t="inlineStr">
        <is>
          <t>plateforme de cours en ligne</t>
        </is>
      </c>
      <c r="H260" t="inlineStr">
        <is>
          <t>SECONDARY</t>
        </is>
      </c>
      <c r="I260" t="inlineStr">
        <is>
          <t>fr</t>
        </is>
      </c>
      <c r="J260" t="n">
        <v>480</v>
      </c>
      <c r="K260" t="n">
        <v>61</v>
      </c>
      <c r="L260" t="n">
        <v>2.96</v>
      </c>
      <c r="M260" t="inlineStr">
        <is>
          <t>MEASURED</t>
        </is>
      </c>
      <c r="N260" t="inlineStr">
        <is>
          <t>Yes</t>
        </is>
      </c>
      <c r="O260" s="5" t="inlineStr">
        <is>
          <t>Covered - keep wording; no change</t>
        </is>
      </c>
      <c r="P260" s="5" t="inlineStr"/>
      <c r="Q260" t="inlineStr">
        <is>
          <t>P2</t>
        </is>
      </c>
      <c r="R260" t="n">
        <v>241</v>
      </c>
      <c r="S260" s="5" t="inlineStr">
        <is>
          <t>Les développeurs web généralistes ne comprennent pas ces problèmes spécifiques aux plateformes de cours en ligne Les Frais de Plateforme Tuent Vos Profits Teachable prend 5% + frais Stripe. Kajabi et les plateformes simi</t>
        </is>
      </c>
    </row>
    <row r="261">
      <c r="A261" s="3" t="inlineStr">
        <is>
          <t>https://codesommet.com/services/online-course-platform-development</t>
        </is>
      </c>
      <c r="B261" t="n">
        <v>5</v>
      </c>
      <c r="C261" t="inlineStr">
        <is>
          <t>Services / features</t>
        </is>
      </c>
      <c r="D261" s="5" t="inlineStr">
        <is>
          <t>Fonctionnalités Essentielles pour Plateformes de Cours en Ligne Sites Web</t>
        </is>
      </c>
      <c r="E261" t="inlineStr">
        <is>
          <t>H2</t>
        </is>
      </c>
      <c r="F261" s="5" t="inlineStr">
        <is>
          <t>Commercial</t>
        </is>
      </c>
      <c r="G261" t="inlineStr">
        <is>
          <t>créer un site de formation en ligne</t>
        </is>
      </c>
      <c r="H261" t="inlineStr">
        <is>
          <t>SECONDARY</t>
        </is>
      </c>
      <c r="I261" t="inlineStr">
        <is>
          <t>fr</t>
        </is>
      </c>
      <c r="J261" t="n">
        <v>70</v>
      </c>
      <c r="K261" t="n">
        <v>23</v>
      </c>
      <c r="L261" t="n">
        <v>3.48</v>
      </c>
      <c r="M261" t="inlineStr">
        <is>
          <t>MEASURED</t>
        </is>
      </c>
      <c r="N261" t="inlineStr">
        <is>
          <t>Partly</t>
        </is>
      </c>
      <c r="O261" s="5" t="inlineStr">
        <is>
          <t>Work "créer un site de formation en ligne" (or a close natural variant) into existing copy - no new heading needed</t>
        </is>
      </c>
      <c r="P261" s="5" t="inlineStr">
        <is>
          <t>Keyword/variant absent from this section</t>
        </is>
      </c>
      <c r="Q261" t="inlineStr">
        <is>
          <t>P2</t>
        </is>
      </c>
      <c r="R261" t="n">
        <v>149</v>
      </c>
      <c r="S261" s="5" t="inlineStr">
        <is>
          <t xml:space="preserve">Tout ce dont votre entreprise de cours en ligne a besoin en une seule plateforme Lecteur Vidéo de Cours Lecteur vidéo élégant avec chapitres, contrôle de vitesse, notes et sauvegarde de progression. Qualité de streaming </t>
        </is>
      </c>
    </row>
    <row r="262">
      <c r="A262" s="3" t="inlineStr">
        <is>
          <t>https://codesommet.com/services/online-course-platform-development</t>
        </is>
      </c>
      <c r="B262" t="n">
        <v>6</v>
      </c>
      <c r="C262" t="inlineStr">
        <is>
          <t>Testimonials / social proof</t>
        </is>
      </c>
      <c r="D262" s="5" t="inlineStr">
        <is>
          <t>Histoires de Succès en Plateformes de Cours en Ligne</t>
        </is>
      </c>
      <c r="E262" t="inlineStr">
        <is>
          <t>H2</t>
        </is>
      </c>
      <c r="F262" s="5" t="inlineStr">
        <is>
          <t>Commercial investigation</t>
        </is>
      </c>
      <c r="G262" t="inlineStr">
        <is>
          <t>vendre des formations en ligne</t>
        </is>
      </c>
      <c r="H262" t="inlineStr">
        <is>
          <t>SUPPORTS PRIMARY</t>
        </is>
      </c>
      <c r="I262" t="inlineStr">
        <is>
          <t>fr</t>
        </is>
      </c>
      <c r="J262" t="n">
        <v>260</v>
      </c>
      <c r="K262" t="n">
        <v>10</v>
      </c>
      <c r="L262" t="n">
        <v>1.83</v>
      </c>
      <c r="M262" t="inlineStr">
        <is>
          <t>MEASURED</t>
        </is>
      </c>
      <c r="N262" t="inlineStr">
        <is>
          <t>Yes (supporting block)</t>
        </is>
      </c>
      <c r="O262" s="5" t="inlineStr">
        <is>
          <t>Supports the primary topic - add only if natural</t>
        </is>
      </c>
      <c r="P262" s="5" t="inlineStr"/>
      <c r="Q262" t="inlineStr">
        <is>
          <t>P2</t>
        </is>
      </c>
      <c r="R262" t="n">
        <v>50</v>
      </c>
      <c r="S262" s="5" t="inlineStr">
        <is>
          <t>Projets réels, résultats réels. Découvrez comment nous avons aidé les entreprises en Plateformes de Cours en Ligne à atteindre leurs objectifs numériques. Éducation GLS Sprachenzentrum Centre de langues allemand avec ins</t>
        </is>
      </c>
    </row>
    <row r="263">
      <c r="A263" s="3" t="inlineStr">
        <is>
          <t>https://codesommet.com/services/online-course-platform-development</t>
        </is>
      </c>
      <c r="B263" t="n">
        <v>7</v>
      </c>
      <c r="C263" t="inlineStr">
        <is>
          <t>Process / how it works</t>
        </is>
      </c>
      <c r="D263" s="5" t="inlineStr">
        <is>
          <t>Notre Processus de Développement pour Plateformes de Cours en Ligne</t>
        </is>
      </c>
      <c r="E263" t="inlineStr">
        <is>
          <t>H2</t>
        </is>
      </c>
      <c r="F263" s="5" t="inlineStr">
        <is>
          <t>Informational / commercial</t>
        </is>
      </c>
      <c r="G263" t="inlineStr">
        <is>
          <t>vendre des formations en ligne</t>
        </is>
      </c>
      <c r="H263" t="inlineStr">
        <is>
          <t>SUPPORTS PRIMARY</t>
        </is>
      </c>
      <c r="I263" t="inlineStr">
        <is>
          <t>fr</t>
        </is>
      </c>
      <c r="J263" t="n">
        <v>260</v>
      </c>
      <c r="K263" t="n">
        <v>10</v>
      </c>
      <c r="L263" t="n">
        <v>1.83</v>
      </c>
      <c r="M263" t="inlineStr">
        <is>
          <t>MEASURED</t>
        </is>
      </c>
      <c r="N263" t="inlineStr">
        <is>
          <t>Yes (supporting block)</t>
        </is>
      </c>
      <c r="O263" s="5" t="inlineStr">
        <is>
          <t>Supports the primary topic - add only if natural</t>
        </is>
      </c>
      <c r="P263" s="5" t="inlineStr"/>
      <c r="Q263" t="inlineStr">
        <is>
          <t>P2</t>
        </is>
      </c>
      <c r="R263" t="n">
        <v>117</v>
      </c>
      <c r="S263" s="5" t="inlineStr">
        <is>
          <t xml:space="preserve">Du concept au lancement en 4 étapes, optimisé pour les entreprises de cours en ligne Étape 1 Structure &amp; Design de Cours Audit du contenu de cours Maquettes de design de plateforme Intégration de la marque Étape 1 Étape </t>
        </is>
      </c>
    </row>
    <row r="264">
      <c r="A264" s="3" t="inlineStr">
        <is>
          <t>https://codesommet.com/services/online-course-platform-development</t>
        </is>
      </c>
      <c r="B264" t="n">
        <v>8</v>
      </c>
      <c r="C264" t="inlineStr">
        <is>
          <t>Pricing / offers</t>
        </is>
      </c>
      <c r="D264" s="5" t="inlineStr">
        <is>
          <t>Solutions Personnalisées, Tarification Transparente</t>
        </is>
      </c>
      <c r="E264" t="inlineStr">
        <is>
          <t>H2</t>
        </is>
      </c>
      <c r="F264" s="5" t="inlineStr">
        <is>
          <t>Commercial / transactional</t>
        </is>
      </c>
      <c r="G264" t="inlineStr">
        <is>
          <t>vendre des formations en ligne</t>
        </is>
      </c>
      <c r="H264" t="inlineStr">
        <is>
          <t>SUPPORTS PRIMARY</t>
        </is>
      </c>
      <c r="I264" t="inlineStr">
        <is>
          <t>fr</t>
        </is>
      </c>
      <c r="J264" t="n">
        <v>260</v>
      </c>
      <c r="K264" t="n">
        <v>10</v>
      </c>
      <c r="L264" t="n">
        <v>1.83</v>
      </c>
      <c r="M264" t="inlineStr">
        <is>
          <t>MEASURED</t>
        </is>
      </c>
      <c r="N264" t="inlineStr">
        <is>
          <t>Yes (supporting block)</t>
        </is>
      </c>
      <c r="O264" s="5" t="inlineStr">
        <is>
          <t>Supports the primary topic - add only if natural</t>
        </is>
      </c>
      <c r="P264" s="5" t="inlineStr"/>
      <c r="Q264" t="inlineStr">
        <is>
          <t>P2</t>
        </is>
      </c>
      <c r="R264" t="n">
        <v>201</v>
      </c>
      <c r="S264" s="5" t="inlineStr">
        <is>
          <t>Réservez un appel découverte pour discuter de vos besoins spécifiques et obtenir un devis personnalisé Recommandé Développement de Sites Web Site web complet avec fonctionnalités IA, tableaux de bord et design premium li</t>
        </is>
      </c>
    </row>
    <row r="265">
      <c r="A265" s="3" t="inlineStr">
        <is>
          <t>https://codesommet.com/services/online-course-platform-development</t>
        </is>
      </c>
      <c r="B265" t="n">
        <v>9</v>
      </c>
      <c r="C265" t="inlineStr">
        <is>
          <t>CTA / conversion</t>
        </is>
      </c>
      <c r="D265" s="5" t="inlineStr">
        <is>
          <t>Prêt à Transformer Votre Site Web de Plateformes de Cours en Ligne ?</t>
        </is>
      </c>
      <c r="E265" t="inlineStr">
        <is>
          <t>H2</t>
        </is>
      </c>
      <c r="F265" s="5" t="inlineStr">
        <is>
          <t>Conversion</t>
        </is>
      </c>
      <c r="G265" t="inlineStr">
        <is>
          <t>—</t>
        </is>
      </c>
      <c r="H265" t="inlineStr">
        <is>
          <t>NONE</t>
        </is>
      </c>
      <c r="I265" t="inlineStr">
        <is>
          <t>—</t>
        </is>
      </c>
      <c r="J265" t="inlineStr">
        <is>
          <t>—</t>
        </is>
      </c>
      <c r="K265" t="inlineStr">
        <is>
          <t>—</t>
        </is>
      </c>
      <c r="L265" t="inlineStr">
        <is>
          <t>—</t>
        </is>
      </c>
      <c r="M265" t="inlineStr">
        <is>
          <t>—</t>
        </is>
      </c>
      <c r="N265" t="inlineStr">
        <is>
          <t>n/a</t>
        </is>
      </c>
      <c r="O265" s="5" t="inlineStr">
        <is>
          <t>No keyword target - keep conversion/navigation focus; use descriptive, non-repeated anchor texts</t>
        </is>
      </c>
      <c r="P265" s="5" t="inlineStr"/>
      <c r="Q265" t="inlineStr">
        <is>
          <t>P2</t>
        </is>
      </c>
      <c r="R265" t="n">
        <v>41</v>
      </c>
      <c r="S265" s="5" t="inlineStr">
        <is>
          <t>Obtenez d'abord une analyse gratuite complète : Audit SEO Vérification des performances Révision du design Recommandations alimentées par l'IA Analyser Votre Site Web - 100 % Gratuit Pas de carte de crédit requise • Résu</t>
        </is>
      </c>
    </row>
    <row r="266">
      <c r="A266" s="3" t="inlineStr">
        <is>
          <t>https://codesommet.com/services/online-course-platform-development</t>
        </is>
      </c>
      <c r="B266" t="n">
        <v>10</v>
      </c>
      <c r="C266" t="inlineStr">
        <is>
          <t>Why us / differentiation</t>
        </is>
      </c>
      <c r="D266" s="5" t="inlineStr">
        <is>
          <t>CodeSommet Plateformes de Cours en Ligne vs Autres</t>
        </is>
      </c>
      <c r="E266" t="inlineStr">
        <is>
          <t>H2</t>
        </is>
      </c>
      <c r="F266" s="5" t="inlineStr">
        <is>
          <t>Commercial investigation</t>
        </is>
      </c>
      <c r="G266" t="inlineStr">
        <is>
          <t>vendre des formations en ligne</t>
        </is>
      </c>
      <c r="H266" t="inlineStr">
        <is>
          <t>SUPPORTS PRIMARY</t>
        </is>
      </c>
      <c r="I266" t="inlineStr">
        <is>
          <t>fr</t>
        </is>
      </c>
      <c r="J266" t="n">
        <v>260</v>
      </c>
      <c r="K266" t="n">
        <v>10</v>
      </c>
      <c r="L266" t="n">
        <v>1.83</v>
      </c>
      <c r="M266" t="inlineStr">
        <is>
          <t>MEASURED</t>
        </is>
      </c>
      <c r="N266" t="inlineStr">
        <is>
          <t>Yes (supporting block)</t>
        </is>
      </c>
      <c r="O266" s="5" t="inlineStr">
        <is>
          <t>Supports the primary topic - add only if natural</t>
        </is>
      </c>
      <c r="P266" s="5" t="inlineStr"/>
      <c r="Q266" t="inlineStr">
        <is>
          <t>P2</t>
        </is>
      </c>
      <c r="R266" t="n">
        <v>158</v>
      </c>
      <c r="S266" s="5" t="inlineStr">
        <is>
          <t>Découvrez pourquoi Plateformes de Cours en Ligne entreprises choisissent CodeSommet plutôt que d'autres agences locales et concurrents internationaux. Fonctionnalité CodeSommet Plateformes de Cours en Ligne Other Platefo</t>
        </is>
      </c>
    </row>
    <row r="267">
      <c r="A267" s="3" t="inlineStr">
        <is>
          <t>https://codesommet.com/services/online-course-platform-development</t>
        </is>
      </c>
      <c r="B267" t="n">
        <v>11</v>
      </c>
      <c r="C267" t="inlineStr">
        <is>
          <t>Testimonials / social proof</t>
        </is>
      </c>
      <c r="D267" s="5" t="inlineStr">
        <is>
          <t>Ce que Nos Clients en Plateformes de Cours en Ligne Disent de Nous</t>
        </is>
      </c>
      <c r="E267" t="inlineStr">
        <is>
          <t>H2</t>
        </is>
      </c>
      <c r="F267" s="5" t="inlineStr">
        <is>
          <t>Commercial investigation</t>
        </is>
      </c>
      <c r="G267" t="inlineStr">
        <is>
          <t>vendre des formations en ligne</t>
        </is>
      </c>
      <c r="H267" t="inlineStr">
        <is>
          <t>SUPPORTS PRIMARY</t>
        </is>
      </c>
      <c r="I267" t="inlineStr">
        <is>
          <t>fr</t>
        </is>
      </c>
      <c r="J267" t="n">
        <v>260</v>
      </c>
      <c r="K267" t="n">
        <v>10</v>
      </c>
      <c r="L267" t="n">
        <v>1.83</v>
      </c>
      <c r="M267" t="inlineStr">
        <is>
          <t>MEASURED</t>
        </is>
      </c>
      <c r="N267" t="inlineStr">
        <is>
          <t>Yes (supporting block)</t>
        </is>
      </c>
      <c r="O267" s="5" t="inlineStr">
        <is>
          <t>Supports the primary topic - add only if natural</t>
        </is>
      </c>
      <c r="P267" s="5" t="inlineStr"/>
      <c r="Q267" t="inlineStr">
        <is>
          <t>P2</t>
        </is>
      </c>
      <c r="R267" t="n">
        <v>118</v>
      </c>
      <c r="S267" s="5" t="inlineStr">
        <is>
          <t xml:space="preserve">Ne nous croyez pas sur parole. Écoutez les entreprises en Plateformes de Cours en Ligne qui ont obtenu des résultats remarquables avec CodeSommet. "Une collaboration professionnelle du début à la fin. Je recommande sans </t>
        </is>
      </c>
    </row>
    <row r="268">
      <c r="A268" s="3" t="inlineStr">
        <is>
          <t>https://codesommet.com/services/online-course-platform-development</t>
        </is>
      </c>
      <c r="B268" t="n">
        <v>12</v>
      </c>
      <c r="C268" t="inlineStr">
        <is>
          <t>FAQ</t>
        </is>
      </c>
      <c r="D268" s="5" t="inlineStr">
        <is>
          <t>Questions Fréquemment Posées sur le Développement Web en Plateformes de Cours en Ligne</t>
        </is>
      </c>
      <c r="E268" t="inlineStr">
        <is>
          <t>H2</t>
        </is>
      </c>
      <c r="F268" s="5" t="inlineStr">
        <is>
          <t>Informational (pre-purchase questions)</t>
        </is>
      </c>
      <c r="G268" t="inlineStr">
        <is>
          <t>comment créer un site de formation en ligne</t>
        </is>
      </c>
      <c r="H268" t="inlineStr">
        <is>
          <t>FAQ</t>
        </is>
      </c>
      <c r="I268" t="inlineStr">
        <is>
          <t>fr</t>
        </is>
      </c>
      <c r="J268" t="n">
        <v>20</v>
      </c>
      <c r="K268" t="inlineStr">
        <is>
          <t>NOT AVAILABLE</t>
        </is>
      </c>
      <c r="L268" t="n">
        <v>2.95</v>
      </c>
      <c r="M268" t="inlineStr">
        <is>
          <t>MEASURED</t>
        </is>
      </c>
      <c r="N268" t="inlineStr">
        <is>
          <t>Partly</t>
        </is>
      </c>
      <c r="O268" s="5" t="inlineStr">
        <is>
          <t>Work "comment créer un site de formation en ligne" (or a close natural variant) into existing copy - no new heading needed</t>
        </is>
      </c>
      <c r="P268" s="5" t="inlineStr">
        <is>
          <t>Keyword/variant absent from this section</t>
        </is>
      </c>
      <c r="Q268" t="inlineStr">
        <is>
          <t>P2</t>
        </is>
      </c>
      <c r="R268" t="n">
        <v>623</v>
      </c>
      <c r="S268" s="5" t="inlineStr">
        <is>
          <t>Vous avez des questions ? Nous avons les réponses. Voici les questions les plus courantes de Plateformes de Cours en Ligne entreprises. 1 Combien de temps faut-il pour migrer depuis Teachable ou Kajabi ? Cela dépend du v</t>
        </is>
      </c>
    </row>
    <row r="269">
      <c r="A269" s="3" t="inlineStr">
        <is>
          <t>https://codesommet.com/services/online-course-platform-development</t>
        </is>
      </c>
      <c r="B269" t="n">
        <v>13</v>
      </c>
      <c r="C269" t="inlineStr">
        <is>
          <t>Services / features</t>
        </is>
      </c>
      <c r="D269" s="5" t="inlineStr">
        <is>
          <t>Au Service de Clients dans le Monde Entier</t>
        </is>
      </c>
      <c r="E269" t="inlineStr">
        <is>
          <t>H2</t>
        </is>
      </c>
      <c r="F269" s="5" t="inlineStr">
        <is>
          <t>Commercial</t>
        </is>
      </c>
      <c r="G269" t="inlineStr">
        <is>
          <t>plateforme de cours en ligne</t>
        </is>
      </c>
      <c r="H269" t="inlineStr">
        <is>
          <t>SECONDARY</t>
        </is>
      </c>
      <c r="I269" t="inlineStr">
        <is>
          <t>fr</t>
        </is>
      </c>
      <c r="J269" t="n">
        <v>480</v>
      </c>
      <c r="K269" t="n">
        <v>61</v>
      </c>
      <c r="L269" t="n">
        <v>2.96</v>
      </c>
      <c r="M269" t="inlineStr">
        <is>
          <t>MEASURED</t>
        </is>
      </c>
      <c r="N269" t="inlineStr">
        <is>
          <t>Yes</t>
        </is>
      </c>
      <c r="O269" s="5" t="inlineStr">
        <is>
          <t>Covered - keep wording; no change</t>
        </is>
      </c>
      <c r="P269" s="5" t="inlineStr"/>
      <c r="Q269" t="inlineStr">
        <is>
          <t>P2</t>
        </is>
      </c>
      <c r="R269" t="n">
        <v>67</v>
      </c>
      <c r="S269" s="5" t="inlineStr">
        <is>
          <t>Nous avons créé des sites web de plateformes de cours en ligne pour des clients du monde entier. Que vous soyez au Maroc ou ailleurs, nous livrons des solutions de classe mondiale. Dubaï 🇦🇪 UAE Casablanca 🇲🇦 Maroc San Fr</t>
        </is>
      </c>
    </row>
    <row r="270">
      <c r="A270" s="3" t="inlineStr">
        <is>
          <t>https://codesommet.com/services/online-course-platform-development</t>
        </is>
      </c>
      <c r="B270" t="n">
        <v>14</v>
      </c>
      <c r="C270" t="inlineStr">
        <is>
          <t>Internal-link block</t>
        </is>
      </c>
      <c r="D270" s="5" t="inlineStr">
        <is>
          <t>Industries Connexes que Nous Servons</t>
        </is>
      </c>
      <c r="E270" t="inlineStr">
        <is>
          <t>H2</t>
        </is>
      </c>
      <c r="F270" s="5" t="inlineStr">
        <is>
          <t>Navigation</t>
        </is>
      </c>
      <c r="G270" t="inlineStr">
        <is>
          <t>—</t>
        </is>
      </c>
      <c r="H270" t="inlineStr">
        <is>
          <t>NONE</t>
        </is>
      </c>
      <c r="I270" t="inlineStr">
        <is>
          <t>—</t>
        </is>
      </c>
      <c r="J270" t="inlineStr">
        <is>
          <t>—</t>
        </is>
      </c>
      <c r="K270" t="inlineStr">
        <is>
          <t>—</t>
        </is>
      </c>
      <c r="L270" t="inlineStr">
        <is>
          <t>—</t>
        </is>
      </c>
      <c r="M270" t="inlineStr">
        <is>
          <t>—</t>
        </is>
      </c>
      <c r="N270" t="inlineStr">
        <is>
          <t>n/a</t>
        </is>
      </c>
      <c r="O270" s="5" t="inlineStr">
        <is>
          <t>No keyword target - keep conversion/navigation focus; use descriptive, non-repeated anchor texts</t>
        </is>
      </c>
      <c r="P270" s="5" t="inlineStr"/>
      <c r="Q270" t="inlineStr">
        <is>
          <t>P2</t>
        </is>
      </c>
      <c r="R270" t="n">
        <v>132</v>
      </c>
      <c r="S270" s="5" t="inlineStr">
        <is>
          <t>Découvrez nos services de développement web spécialisés pour d'autres industries Conseil en Études à l'Étranger Plateformes de cours, systèmes LMS et portails étudiants pour les agences d'études à l'étranger. Écoles de L</t>
        </is>
      </c>
    </row>
    <row r="271">
      <c r="A271" s="3" t="inlineStr">
        <is>
          <t>https://codesommet.com/services/online-course-platform-development</t>
        </is>
      </c>
      <c r="B271" t="n">
        <v>15</v>
      </c>
      <c r="C271" t="inlineStr">
        <is>
          <t>Internal-link block</t>
        </is>
      </c>
      <c r="D271" s="5" t="inlineStr">
        <is>
          <t>Explorer Plus</t>
        </is>
      </c>
      <c r="E271" t="inlineStr">
        <is>
          <t>H2</t>
        </is>
      </c>
      <c r="F271" s="5" t="inlineStr">
        <is>
          <t>Navigation</t>
        </is>
      </c>
      <c r="G271" t="inlineStr">
        <is>
          <t>—</t>
        </is>
      </c>
      <c r="H271" t="inlineStr">
        <is>
          <t>NONE</t>
        </is>
      </c>
      <c r="I271" t="inlineStr">
        <is>
          <t>—</t>
        </is>
      </c>
      <c r="J271" t="inlineStr">
        <is>
          <t>—</t>
        </is>
      </c>
      <c r="K271" t="inlineStr">
        <is>
          <t>—</t>
        </is>
      </c>
      <c r="L271" t="inlineStr">
        <is>
          <t>—</t>
        </is>
      </c>
      <c r="M271" t="inlineStr">
        <is>
          <t>—</t>
        </is>
      </c>
      <c r="N271" t="inlineStr">
        <is>
          <t>n/a</t>
        </is>
      </c>
      <c r="O271" s="5" t="inlineStr">
        <is>
          <t>No keyword target - keep conversion/navigation focus; use descriptive, non-repeated anchor texts</t>
        </is>
      </c>
      <c r="P271" s="5" t="inlineStr"/>
      <c r="Q271" t="inlineStr">
        <is>
          <t>P2</t>
        </is>
      </c>
      <c r="R271" t="n">
        <v>85</v>
      </c>
      <c r="S271" s="5" t="inlineStr">
        <is>
          <t>Découvrez ce qui fait de CodeSommet votre partenaire idéal en développement web Audit Gratuit de Site Web Obtenez une analyse alimentée par l'IA avec une série complète de vérifications En savoir plus Voir Nos Réalisatio</t>
        </is>
      </c>
    </row>
    <row r="272">
      <c r="A272" s="3" t="inlineStr">
        <is>
          <t>https://codesommet.com/services/online-course-platform-development</t>
        </is>
      </c>
      <c r="B272" t="n">
        <v>16</v>
      </c>
      <c r="C272" t="inlineStr">
        <is>
          <t>CTA / conversion</t>
        </is>
      </c>
      <c r="D272" s="5" t="inlineStr">
        <is>
          <t>Prêt à Construire Quelque Chose d'Extraordinaire ?</t>
        </is>
      </c>
      <c r="E272" t="inlineStr">
        <is>
          <t>H2</t>
        </is>
      </c>
      <c r="F272" s="5" t="inlineStr">
        <is>
          <t>Conversion</t>
        </is>
      </c>
      <c r="G272" t="inlineStr">
        <is>
          <t>—</t>
        </is>
      </c>
      <c r="H272" t="inlineStr">
        <is>
          <t>NONE</t>
        </is>
      </c>
      <c r="I272" t="inlineStr">
        <is>
          <t>—</t>
        </is>
      </c>
      <c r="J272" t="inlineStr">
        <is>
          <t>—</t>
        </is>
      </c>
      <c r="K272" t="inlineStr">
        <is>
          <t>—</t>
        </is>
      </c>
      <c r="L272" t="inlineStr">
        <is>
          <t>—</t>
        </is>
      </c>
      <c r="M272" t="inlineStr">
        <is>
          <t>—</t>
        </is>
      </c>
      <c r="N272" t="inlineStr">
        <is>
          <t>n/a</t>
        </is>
      </c>
      <c r="O272" s="5" t="inlineStr">
        <is>
          <t>No keyword target - keep conversion/navigation focus; use descriptive, non-repeated anchor texts</t>
        </is>
      </c>
      <c r="P272" s="5" t="inlineStr"/>
      <c r="Q272" t="inlineStr">
        <is>
          <t>P2</t>
        </is>
      </c>
      <c r="R272" t="n">
        <v>117</v>
      </c>
      <c r="S272" s="5" t="inlineStr">
        <is>
          <t>Rejoignez les entreprises visionnaires qui ont choisi l'excellence Réserver un Appel Découverte Analyser Mon Site Gratuitement Réserver un Appel Découverte Analyser Votre Site Web Discutons de comment l'IA et le design m</t>
        </is>
      </c>
    </row>
    <row r="273">
      <c r="A273" s="3" t="inlineStr">
        <is>
          <t>https://codesommet.com/services/university-website-development</t>
        </is>
      </c>
      <c r="B273" t="n">
        <v>1</v>
      </c>
      <c r="C273" t="inlineStr">
        <is>
          <t>Hero / H1</t>
        </is>
      </c>
      <c r="D273" s="5" t="inlineStr">
        <is>
          <t>Développement de Sites Web Universitaires qui génèrent des PORTAILS D'ADMISSION ÉTUDIANTE</t>
        </is>
      </c>
      <c r="E273" t="inlineStr">
        <is>
          <t>H1</t>
        </is>
      </c>
      <c r="F273" s="5" t="inlineStr">
        <is>
          <t>Commercial</t>
        </is>
      </c>
      <c r="G273" t="inlineStr">
        <is>
          <t>site web université</t>
        </is>
      </c>
      <c r="H273" t="inlineStr">
        <is>
          <t>PRIMARY</t>
        </is>
      </c>
      <c r="I273" t="inlineStr">
        <is>
          <t>fr</t>
        </is>
      </c>
      <c r="J273" t="n">
        <v>20</v>
      </c>
      <c r="K273" t="inlineStr">
        <is>
          <t>NOT AVAILABLE</t>
        </is>
      </c>
      <c r="L273" t="n">
        <v>0</v>
      </c>
      <c r="M273" t="inlineStr">
        <is>
          <t>MEASURED</t>
        </is>
      </c>
      <c r="N273" t="inlineStr">
        <is>
          <t>Yes</t>
        </is>
      </c>
      <c r="O273" s="5" t="inlineStr">
        <is>
          <t>Covered - keep wording; no change</t>
        </is>
      </c>
      <c r="P273" s="5" t="inlineStr"/>
      <c r="Q273" t="inlineStr">
        <is>
          <t>P2</t>
        </is>
      </c>
      <c r="R273" t="n">
        <v>70</v>
      </c>
      <c r="S273" s="5" t="inlineStr">
        <is>
          <t>Développement de sites web universitaires sur mesure pour les établissements d'enseignement supérieur. Nous créons des sites avec systèmes d'admission étudiante, catalogues de cours, portails enseignants et outils de ges</t>
        </is>
      </c>
    </row>
    <row r="274">
      <c r="A274" s="3" t="inlineStr">
        <is>
          <t>https://codesommet.com/services/university-website-development</t>
        </is>
      </c>
      <c r="B274" t="n">
        <v>2</v>
      </c>
      <c r="C274" t="inlineStr">
        <is>
          <t>Why us / differentiation</t>
        </is>
      </c>
      <c r="D274" s="5" t="inlineStr">
        <is>
          <t>Pourquoi Choisir CodeSommet dans le secteur Universités &amp; Enseignement Supérieur ?</t>
        </is>
      </c>
      <c r="E274" t="inlineStr">
        <is>
          <t>H2</t>
        </is>
      </c>
      <c r="F274" s="5" t="inlineStr">
        <is>
          <t>Commercial investigation</t>
        </is>
      </c>
      <c r="G274" t="inlineStr">
        <is>
          <t>site web université</t>
        </is>
      </c>
      <c r="H274" t="inlineStr">
        <is>
          <t>SUPPORTS PRIMARY</t>
        </is>
      </c>
      <c r="I274" t="inlineStr">
        <is>
          <t>fr</t>
        </is>
      </c>
      <c r="J274" t="n">
        <v>20</v>
      </c>
      <c r="K274" t="inlineStr">
        <is>
          <t>NOT AVAILABLE</t>
        </is>
      </c>
      <c r="L274" t="n">
        <v>0</v>
      </c>
      <c r="M274" t="inlineStr">
        <is>
          <t>MEASURED</t>
        </is>
      </c>
      <c r="N274" t="inlineStr">
        <is>
          <t>Yes</t>
        </is>
      </c>
      <c r="O274" s="5" t="inlineStr">
        <is>
          <t>Covered - keep wording; no change</t>
        </is>
      </c>
      <c r="P274" s="5" t="inlineStr"/>
      <c r="Q274" t="inlineStr">
        <is>
          <t>P2</t>
        </is>
      </c>
      <c r="R274" t="n">
        <v>165</v>
      </c>
      <c r="S274" s="5" t="inlineStr">
        <is>
          <t xml:space="preserve">Une expertise locale alliée à des standards internationaux. Voici ce qui fait de nous le partenaire idéal en développement web dans le secteur Universités &amp; Enseignement Supérieur . Experts Web en Enseignement Supérieur </t>
        </is>
      </c>
    </row>
    <row r="275">
      <c r="A275" s="3" t="inlineStr">
        <is>
          <t>https://codesommet.com/services/university-website-development</t>
        </is>
      </c>
      <c r="B275" t="n">
        <v>3</v>
      </c>
      <c r="C275" t="inlineStr">
        <is>
          <t>Proof / portfolio / results</t>
        </is>
      </c>
      <c r="D275" s="5" t="inlineStr">
        <is>
          <t>Adopté par les Universités &amp; Enseignement Supérieur Entreprises</t>
        </is>
      </c>
      <c r="E275" t="inlineStr">
        <is>
          <t>H2</t>
        </is>
      </c>
      <c r="F275" s="5" t="inlineStr">
        <is>
          <t>Commercial investigation</t>
        </is>
      </c>
      <c r="G275" t="inlineStr">
        <is>
          <t>site web université</t>
        </is>
      </c>
      <c r="H275" t="inlineStr">
        <is>
          <t>SUPPORTS PRIMARY</t>
        </is>
      </c>
      <c r="I275" t="inlineStr">
        <is>
          <t>fr</t>
        </is>
      </c>
      <c r="J275" t="n">
        <v>20</v>
      </c>
      <c r="K275" t="inlineStr">
        <is>
          <t>NOT AVAILABLE</t>
        </is>
      </c>
      <c r="L275" t="n">
        <v>0</v>
      </c>
      <c r="M275" t="inlineStr">
        <is>
          <t>MEASURED</t>
        </is>
      </c>
      <c r="N275" t="inlineStr">
        <is>
          <t>Yes</t>
        </is>
      </c>
      <c r="O275" s="5" t="inlineStr">
        <is>
          <t>Covered - keep wording; no change</t>
        </is>
      </c>
      <c r="P275" s="5" t="inlineStr"/>
      <c r="Q275" t="inlineStr">
        <is>
          <t>P2</t>
        </is>
      </c>
      <c r="R275" t="n">
        <v>24</v>
      </c>
      <c r="S275" s="5" t="inlineStr">
        <is>
          <t>Projets livrés sur mesure Prospects générés pour nos clients Clients accompagnés Résultats réels de Universités &amp; Enseignement Supérieur avec lesquelles nous avons collaboré Défis Courants</t>
        </is>
      </c>
    </row>
    <row r="276">
      <c r="A276" s="3" t="inlineStr">
        <is>
          <t>https://codesommet.com/services/university-website-development</t>
        </is>
      </c>
      <c r="B276" t="n">
        <v>4</v>
      </c>
      <c r="C276" t="inlineStr">
        <is>
          <t>Problems / pain points</t>
        </is>
      </c>
      <c r="D276" s="5" t="inlineStr">
        <is>
          <t>Le Défi : Universités &amp; Enseignement Supérieur Les Entreprises Font Face à des Défis Web Uniques</t>
        </is>
      </c>
      <c r="E276" t="inlineStr">
        <is>
          <t>H2</t>
        </is>
      </c>
      <c r="F276" s="5" t="inlineStr">
        <is>
          <t>Commercial</t>
        </is>
      </c>
      <c r="G276" t="inlineStr">
        <is>
          <t>site web université</t>
        </is>
      </c>
      <c r="H276" t="inlineStr">
        <is>
          <t>SUPPORTS PRIMARY</t>
        </is>
      </c>
      <c r="I276" t="inlineStr">
        <is>
          <t>fr</t>
        </is>
      </c>
      <c r="J276" t="n">
        <v>20</v>
      </c>
      <c r="K276" t="inlineStr">
        <is>
          <t>NOT AVAILABLE</t>
        </is>
      </c>
      <c r="L276" t="n">
        <v>0</v>
      </c>
      <c r="M276" t="inlineStr">
        <is>
          <t>MEASURED</t>
        </is>
      </c>
      <c r="N276" t="inlineStr">
        <is>
          <t>Yes</t>
        </is>
      </c>
      <c r="O276" s="5" t="inlineStr">
        <is>
          <t>Covered - keep wording; no change</t>
        </is>
      </c>
      <c r="P276" s="5" t="inlineStr"/>
      <c r="Q276" t="inlineStr">
        <is>
          <t>P2</t>
        </is>
      </c>
      <c r="R276" t="n">
        <v>279</v>
      </c>
      <c r="S276" s="5" t="inlineStr">
        <is>
          <t xml:space="preserve">Les développeurs web généralistes ne comprennent pas ces problèmes spécifiques aux universités &amp; enseignement supérieur Sites Web Universitaires Obsolètes De nombreux sites web universitaires datent de plusieurs années, </t>
        </is>
      </c>
    </row>
    <row r="277">
      <c r="A277" s="3" t="inlineStr">
        <is>
          <t>https://codesommet.com/services/university-website-development</t>
        </is>
      </c>
      <c r="B277" t="n">
        <v>5</v>
      </c>
      <c r="C277" t="inlineStr">
        <is>
          <t>Services / features</t>
        </is>
      </c>
      <c r="D277" s="5" t="inlineStr">
        <is>
          <t>Fonctionnalités Essentielles pour Universités &amp; Enseignement Supérieur Sites Web</t>
        </is>
      </c>
      <c r="E277" t="inlineStr">
        <is>
          <t>H2</t>
        </is>
      </c>
      <c r="F277" s="5" t="inlineStr">
        <is>
          <t>Commercial</t>
        </is>
      </c>
      <c r="G277" t="inlineStr">
        <is>
          <t>site web université</t>
        </is>
      </c>
      <c r="H277" t="inlineStr">
        <is>
          <t>SUPPORTS PRIMARY</t>
        </is>
      </c>
      <c r="I277" t="inlineStr">
        <is>
          <t>fr</t>
        </is>
      </c>
      <c r="J277" t="n">
        <v>20</v>
      </c>
      <c r="K277" t="inlineStr">
        <is>
          <t>NOT AVAILABLE</t>
        </is>
      </c>
      <c r="L277" t="n">
        <v>0</v>
      </c>
      <c r="M277" t="inlineStr">
        <is>
          <t>MEASURED</t>
        </is>
      </c>
      <c r="N277" t="inlineStr">
        <is>
          <t>Yes</t>
        </is>
      </c>
      <c r="O277" s="5" t="inlineStr">
        <is>
          <t>Covered - keep wording; no change</t>
        </is>
      </c>
      <c r="P277" s="5" t="inlineStr"/>
      <c r="Q277" t="inlineStr">
        <is>
          <t>P2</t>
        </is>
      </c>
      <c r="R277" t="n">
        <v>168</v>
      </c>
      <c r="S277" s="5" t="inlineStr">
        <is>
          <t>Tout ce dont votre entreprise d'universités &amp; enseignement supérieur a besoin en une seule plateforme Portail d'Admissions Étudiantes Système de candidature en ligne avec téléchargement de documents, suivi des candidatur</t>
        </is>
      </c>
    </row>
    <row r="278">
      <c r="A278" s="3" t="inlineStr">
        <is>
          <t>https://codesommet.com/services/university-website-development</t>
        </is>
      </c>
      <c r="B278" t="n">
        <v>6</v>
      </c>
      <c r="C278" t="inlineStr">
        <is>
          <t>Testimonials / social proof</t>
        </is>
      </c>
      <c r="D278" s="5" t="inlineStr">
        <is>
          <t>Histoires de Succès en Universités &amp; Enseignement Supérieur</t>
        </is>
      </c>
      <c r="E278" t="inlineStr">
        <is>
          <t>H2</t>
        </is>
      </c>
      <c r="F278" s="5" t="inlineStr">
        <is>
          <t>Commercial investigation</t>
        </is>
      </c>
      <c r="G278" t="inlineStr">
        <is>
          <t>site web université</t>
        </is>
      </c>
      <c r="H278" t="inlineStr">
        <is>
          <t>SUPPORTS PRIMARY</t>
        </is>
      </c>
      <c r="I278" t="inlineStr">
        <is>
          <t>fr</t>
        </is>
      </c>
      <c r="J278" t="n">
        <v>20</v>
      </c>
      <c r="K278" t="inlineStr">
        <is>
          <t>NOT AVAILABLE</t>
        </is>
      </c>
      <c r="L278" t="n">
        <v>0</v>
      </c>
      <c r="M278" t="inlineStr">
        <is>
          <t>MEASURED</t>
        </is>
      </c>
      <c r="N278" t="inlineStr">
        <is>
          <t>Yes</t>
        </is>
      </c>
      <c r="O278" s="5" t="inlineStr">
        <is>
          <t>Covered - keep wording; no change</t>
        </is>
      </c>
      <c r="P278" s="5" t="inlineStr"/>
      <c r="Q278" t="inlineStr">
        <is>
          <t>P2</t>
        </is>
      </c>
      <c r="R278" t="n">
        <v>48</v>
      </c>
      <c r="S278" s="5" t="inlineStr">
        <is>
          <t>Projets réels, résultats réels. Découvrez comment nous avons aidé les entreprises en Universités &amp; Enseignement Supérieur à atteindre leurs objectifs numériques. Éducation GLS Sprachenzentrum Centre de langues allemand a</t>
        </is>
      </c>
    </row>
    <row r="279">
      <c r="A279" s="3" t="inlineStr">
        <is>
          <t>https://codesommet.com/services/university-website-development</t>
        </is>
      </c>
      <c r="B279" t="n">
        <v>7</v>
      </c>
      <c r="C279" t="inlineStr">
        <is>
          <t>Process / how it works</t>
        </is>
      </c>
      <c r="D279" s="5" t="inlineStr">
        <is>
          <t>Notre Processus de Développement pour Universités &amp; Enseignement Supérieur</t>
        </is>
      </c>
      <c r="E279" t="inlineStr">
        <is>
          <t>H2</t>
        </is>
      </c>
      <c r="F279" s="5" t="inlineStr">
        <is>
          <t>Informational / commercial</t>
        </is>
      </c>
      <c r="G279" t="inlineStr">
        <is>
          <t>site web université</t>
        </is>
      </c>
      <c r="H279" t="inlineStr">
        <is>
          <t>SUPPORTS PRIMARY</t>
        </is>
      </c>
      <c r="I279" t="inlineStr">
        <is>
          <t>fr</t>
        </is>
      </c>
      <c r="J279" t="n">
        <v>20</v>
      </c>
      <c r="K279" t="inlineStr">
        <is>
          <t>NOT AVAILABLE</t>
        </is>
      </c>
      <c r="L279" t="n">
        <v>0</v>
      </c>
      <c r="M279" t="inlineStr">
        <is>
          <t>MEASURED</t>
        </is>
      </c>
      <c r="N279" t="inlineStr">
        <is>
          <t>Yes</t>
        </is>
      </c>
      <c r="O279" s="5" t="inlineStr">
        <is>
          <t>Covered - keep wording; no change</t>
        </is>
      </c>
      <c r="P279" s="5" t="inlineStr"/>
      <c r="Q279" t="inlineStr">
        <is>
          <t>P2</t>
        </is>
      </c>
      <c r="R279" t="n">
        <v>116</v>
      </c>
      <c r="S279" s="5" t="inlineStr">
        <is>
          <t>Du concept au lancement en 4 étapes, optimisé pour les entreprises d'universités &amp; enseignement supérieur Étape 1-2 Découverte &amp; Planification Entretiens avec les parties prenantes (admissions, IT, enseignants) Analyse d</t>
        </is>
      </c>
    </row>
    <row r="280">
      <c r="A280" s="3" t="inlineStr">
        <is>
          <t>https://codesommet.com/services/university-website-development</t>
        </is>
      </c>
      <c r="B280" t="n">
        <v>8</v>
      </c>
      <c r="C280" t="inlineStr">
        <is>
          <t>Pricing / offers</t>
        </is>
      </c>
      <c r="D280" s="5" t="inlineStr">
        <is>
          <t>Solutions Personnalisées, Tarification Transparente</t>
        </is>
      </c>
      <c r="E280" t="inlineStr">
        <is>
          <t>H2</t>
        </is>
      </c>
      <c r="F280" s="5" t="inlineStr">
        <is>
          <t>Commercial / transactional</t>
        </is>
      </c>
      <c r="G280" t="inlineStr">
        <is>
          <t>site web université</t>
        </is>
      </c>
      <c r="H280" t="inlineStr">
        <is>
          <t>SUPPORTS PRIMARY</t>
        </is>
      </c>
      <c r="I280" t="inlineStr">
        <is>
          <t>fr</t>
        </is>
      </c>
      <c r="J280" t="n">
        <v>20</v>
      </c>
      <c r="K280" t="inlineStr">
        <is>
          <t>NOT AVAILABLE</t>
        </is>
      </c>
      <c r="L280" t="n">
        <v>0</v>
      </c>
      <c r="M280" t="inlineStr">
        <is>
          <t>MEASURED</t>
        </is>
      </c>
      <c r="N280" t="inlineStr">
        <is>
          <t>Yes (supporting block)</t>
        </is>
      </c>
      <c r="O280" s="5" t="inlineStr">
        <is>
          <t>Supports the primary topic - add only if natural</t>
        </is>
      </c>
      <c r="P280" s="5" t="inlineStr"/>
      <c r="Q280" t="inlineStr">
        <is>
          <t>P2</t>
        </is>
      </c>
      <c r="R280" t="n">
        <v>201</v>
      </c>
      <c r="S280" s="5" t="inlineStr">
        <is>
          <t>Réservez un appel découverte pour discuter de vos besoins spécifiques et obtenir un devis personnalisé Recommandé Développement de Sites Web Site web complet avec fonctionnalités IA, tableaux de bord et design premium li</t>
        </is>
      </c>
    </row>
    <row r="281">
      <c r="A281" s="3" t="inlineStr">
        <is>
          <t>https://codesommet.com/services/university-website-development</t>
        </is>
      </c>
      <c r="B281" t="n">
        <v>9</v>
      </c>
      <c r="C281" t="inlineStr">
        <is>
          <t>CTA / conversion</t>
        </is>
      </c>
      <c r="D281" s="5" t="inlineStr">
        <is>
          <t>Prêt à Transformer Votre Site Web d'Universités &amp; Enseignement Supérieur ?</t>
        </is>
      </c>
      <c r="E281" t="inlineStr">
        <is>
          <t>H2</t>
        </is>
      </c>
      <c r="F281" s="5" t="inlineStr">
        <is>
          <t>Conversion</t>
        </is>
      </c>
      <c r="G281" t="inlineStr">
        <is>
          <t>—</t>
        </is>
      </c>
      <c r="H281" t="inlineStr">
        <is>
          <t>NONE</t>
        </is>
      </c>
      <c r="I281" t="inlineStr">
        <is>
          <t>—</t>
        </is>
      </c>
      <c r="J281" t="inlineStr">
        <is>
          <t>—</t>
        </is>
      </c>
      <c r="K281" t="inlineStr">
        <is>
          <t>—</t>
        </is>
      </c>
      <c r="L281" t="inlineStr">
        <is>
          <t>—</t>
        </is>
      </c>
      <c r="M281" t="inlineStr">
        <is>
          <t>—</t>
        </is>
      </c>
      <c r="N281" t="inlineStr">
        <is>
          <t>n/a</t>
        </is>
      </c>
      <c r="O281" s="5" t="inlineStr">
        <is>
          <t>No keyword target - keep conversion/navigation focus; use descriptive, non-repeated anchor texts</t>
        </is>
      </c>
      <c r="P281" s="5" t="inlineStr"/>
      <c r="Q281" t="inlineStr">
        <is>
          <t>P2</t>
        </is>
      </c>
      <c r="R281" t="n">
        <v>41</v>
      </c>
      <c r="S281" s="5" t="inlineStr">
        <is>
          <t>Obtenez d'abord une analyse gratuite complète : Audit SEO Vérification des performances Révision du design Recommandations alimentées par l'IA Analyser Votre Site Web - 100 % Gratuit Pas de carte de crédit requise • Résu</t>
        </is>
      </c>
    </row>
    <row r="282">
      <c r="A282" s="3" t="inlineStr">
        <is>
          <t>https://codesommet.com/services/university-website-development</t>
        </is>
      </c>
      <c r="B282" t="n">
        <v>10</v>
      </c>
      <c r="C282" t="inlineStr">
        <is>
          <t>Why us / differentiation</t>
        </is>
      </c>
      <c r="D282" s="5" t="inlineStr">
        <is>
          <t>CodeSommet Universités &amp; Enseignement Supérieur vs Autres</t>
        </is>
      </c>
      <c r="E282" t="inlineStr">
        <is>
          <t>H2</t>
        </is>
      </c>
      <c r="F282" s="5" t="inlineStr">
        <is>
          <t>Commercial investigation</t>
        </is>
      </c>
      <c r="G282" t="inlineStr">
        <is>
          <t>site web université</t>
        </is>
      </c>
      <c r="H282" t="inlineStr">
        <is>
          <t>SUPPORTS PRIMARY</t>
        </is>
      </c>
      <c r="I282" t="inlineStr">
        <is>
          <t>fr</t>
        </is>
      </c>
      <c r="J282" t="n">
        <v>20</v>
      </c>
      <c r="K282" t="inlineStr">
        <is>
          <t>NOT AVAILABLE</t>
        </is>
      </c>
      <c r="L282" t="n">
        <v>0</v>
      </c>
      <c r="M282" t="inlineStr">
        <is>
          <t>MEASURED</t>
        </is>
      </c>
      <c r="N282" t="inlineStr">
        <is>
          <t>Yes</t>
        </is>
      </c>
      <c r="O282" s="5" t="inlineStr">
        <is>
          <t>Covered - keep wording; no change</t>
        </is>
      </c>
      <c r="P282" s="5" t="inlineStr"/>
      <c r="Q282" t="inlineStr">
        <is>
          <t>P2</t>
        </is>
      </c>
      <c r="R282" t="n">
        <v>136</v>
      </c>
      <c r="S282" s="5" t="inlineStr">
        <is>
          <t>Découvrez pourquoi Universités &amp; Enseignement Supérieur entreprises choisissent CodeSommet plutôt que d'autres agences locales et concurrents internationaux. Fonctionnalité CodeSommet Universités &amp; Enseignement Supérieur</t>
        </is>
      </c>
    </row>
    <row r="283">
      <c r="A283" s="3" t="inlineStr">
        <is>
          <t>https://codesommet.com/services/university-website-development</t>
        </is>
      </c>
      <c r="B283" t="n">
        <v>11</v>
      </c>
      <c r="C283" t="inlineStr">
        <is>
          <t>Testimonials / social proof</t>
        </is>
      </c>
      <c r="D283" s="5" t="inlineStr">
        <is>
          <t>Ce que Nos Clients en Universités &amp; Enseignement Supérieur Disent de Nous</t>
        </is>
      </c>
      <c r="E283" t="inlineStr">
        <is>
          <t>H2</t>
        </is>
      </c>
      <c r="F283" s="5" t="inlineStr">
        <is>
          <t>Commercial investigation</t>
        </is>
      </c>
      <c r="G283" t="inlineStr">
        <is>
          <t>site web université</t>
        </is>
      </c>
      <c r="H283" t="inlineStr">
        <is>
          <t>SUPPORTS PRIMARY</t>
        </is>
      </c>
      <c r="I283" t="inlineStr">
        <is>
          <t>fr</t>
        </is>
      </c>
      <c r="J283" t="n">
        <v>20</v>
      </c>
      <c r="K283" t="inlineStr">
        <is>
          <t>NOT AVAILABLE</t>
        </is>
      </c>
      <c r="L283" t="n">
        <v>0</v>
      </c>
      <c r="M283" t="inlineStr">
        <is>
          <t>MEASURED</t>
        </is>
      </c>
      <c r="N283" t="inlineStr">
        <is>
          <t>Yes</t>
        </is>
      </c>
      <c r="O283" s="5" t="inlineStr">
        <is>
          <t>Covered - keep wording; no change</t>
        </is>
      </c>
      <c r="P283" s="5" t="inlineStr"/>
      <c r="Q283" t="inlineStr">
        <is>
          <t>P2</t>
        </is>
      </c>
      <c r="R283" t="n">
        <v>110</v>
      </c>
      <c r="S283" s="5" t="inlineStr">
        <is>
          <t>Ne nous croyez pas sur parole. Écoutez les entreprises en Universités &amp; Enseignement Supérieur qui ont obtenu des résultats remarquables avec CodeSommet. "Une collaboration professionnelle du début à la fin. Je recommand</t>
        </is>
      </c>
    </row>
    <row r="284">
      <c r="A284" s="3" t="inlineStr">
        <is>
          <t>https://codesommet.com/services/university-website-development</t>
        </is>
      </c>
      <c r="B284" t="n">
        <v>12</v>
      </c>
      <c r="C284" t="inlineStr">
        <is>
          <t>FAQ</t>
        </is>
      </c>
      <c r="D284" s="5" t="inlineStr">
        <is>
          <t>Questions Fréquemment Posées sur le Développement Web en Universités &amp; Enseignement Supérieur</t>
        </is>
      </c>
      <c r="E284" t="inlineStr">
        <is>
          <t>H2</t>
        </is>
      </c>
      <c r="F284" s="5" t="inlineStr">
        <is>
          <t>Informational (pre-purchase questions)</t>
        </is>
      </c>
      <c r="G284" t="inlineStr">
        <is>
          <t>site web université</t>
        </is>
      </c>
      <c r="H284" t="inlineStr">
        <is>
          <t>SUPPORTS PRIMARY</t>
        </is>
      </c>
      <c r="I284" t="inlineStr">
        <is>
          <t>fr</t>
        </is>
      </c>
      <c r="J284" t="n">
        <v>20</v>
      </c>
      <c r="K284" t="inlineStr">
        <is>
          <t>NOT AVAILABLE</t>
        </is>
      </c>
      <c r="L284" t="n">
        <v>0</v>
      </c>
      <c r="M284" t="inlineStr">
        <is>
          <t>MEASURED</t>
        </is>
      </c>
      <c r="N284" t="inlineStr">
        <is>
          <t>Yes</t>
        </is>
      </c>
      <c r="O284" s="5" t="inlineStr">
        <is>
          <t>Covered - keep wording; no change</t>
        </is>
      </c>
      <c r="P284" s="5" t="inlineStr"/>
      <c r="Q284" t="inlineStr">
        <is>
          <t>P2</t>
        </is>
      </c>
      <c r="R284" t="n">
        <v>540</v>
      </c>
      <c r="S284" s="5" t="inlineStr">
        <is>
          <t xml:space="preserve">Vous avez des questions ? Nous avons les réponses. Voici les questions les plus courantes de Universités &amp; Enseignement Supérieur entreprises. 1 Combien de temps faut-il pour créer un site web universitaire avec portail </t>
        </is>
      </c>
    </row>
    <row r="285">
      <c r="A285" s="3" t="inlineStr">
        <is>
          <t>https://codesommet.com/services/university-website-development</t>
        </is>
      </c>
      <c r="B285" t="n">
        <v>13</v>
      </c>
      <c r="C285" t="inlineStr">
        <is>
          <t>Services / features</t>
        </is>
      </c>
      <c r="D285" s="5" t="inlineStr">
        <is>
          <t>Au Service de Clients dans le Monde Entier</t>
        </is>
      </c>
      <c r="E285" t="inlineStr">
        <is>
          <t>H2</t>
        </is>
      </c>
      <c r="F285" s="5" t="inlineStr">
        <is>
          <t>Commercial</t>
        </is>
      </c>
      <c r="G285" t="inlineStr">
        <is>
          <t>site web université</t>
        </is>
      </c>
      <c r="H285" t="inlineStr">
        <is>
          <t>SUPPORTS PRIMARY</t>
        </is>
      </c>
      <c r="I285" t="inlineStr">
        <is>
          <t>fr</t>
        </is>
      </c>
      <c r="J285" t="n">
        <v>20</v>
      </c>
      <c r="K285" t="inlineStr">
        <is>
          <t>NOT AVAILABLE</t>
        </is>
      </c>
      <c r="L285" t="n">
        <v>0</v>
      </c>
      <c r="M285" t="inlineStr">
        <is>
          <t>MEASURED</t>
        </is>
      </c>
      <c r="N285" t="inlineStr">
        <is>
          <t>Yes</t>
        </is>
      </c>
      <c r="O285" s="5" t="inlineStr">
        <is>
          <t>Covered - keep wording; no change</t>
        </is>
      </c>
      <c r="P285" s="5" t="inlineStr"/>
      <c r="Q285" t="inlineStr">
        <is>
          <t>P2</t>
        </is>
      </c>
      <c r="R285" t="n">
        <v>62</v>
      </c>
      <c r="S285" s="5" t="inlineStr">
        <is>
          <t xml:space="preserve">Nous avons créé des sites web d'universités &amp; enseignement supérieur pour des clients du monde entier. Que vous soyez au Maroc ou ailleurs, nous livrons des solutions de classe mondiale. Dubaï 🇦🇪 UAE Casablanca 🇲🇦 Maroc </t>
        </is>
      </c>
    </row>
    <row r="286">
      <c r="A286" s="3" t="inlineStr">
        <is>
          <t>https://codesommet.com/services/university-website-development</t>
        </is>
      </c>
      <c r="B286" t="n">
        <v>14</v>
      </c>
      <c r="C286" t="inlineStr">
        <is>
          <t>Internal-link block</t>
        </is>
      </c>
      <c r="D286" s="5" t="inlineStr">
        <is>
          <t>Industries Connexes que Nous Servons</t>
        </is>
      </c>
      <c r="E286" t="inlineStr">
        <is>
          <t>H2</t>
        </is>
      </c>
      <c r="F286" s="5" t="inlineStr">
        <is>
          <t>Navigation</t>
        </is>
      </c>
      <c r="G286" t="inlineStr">
        <is>
          <t>—</t>
        </is>
      </c>
      <c r="H286" t="inlineStr">
        <is>
          <t>NONE</t>
        </is>
      </c>
      <c r="I286" t="inlineStr">
        <is>
          <t>—</t>
        </is>
      </c>
      <c r="J286" t="inlineStr">
        <is>
          <t>—</t>
        </is>
      </c>
      <c r="K286" t="inlineStr">
        <is>
          <t>—</t>
        </is>
      </c>
      <c r="L286" t="inlineStr">
        <is>
          <t>—</t>
        </is>
      </c>
      <c r="M286" t="inlineStr">
        <is>
          <t>—</t>
        </is>
      </c>
      <c r="N286" t="inlineStr">
        <is>
          <t>n/a</t>
        </is>
      </c>
      <c r="O286" s="5" t="inlineStr">
        <is>
          <t>No keyword target - keep conversion/navigation focus; use descriptive, non-repeated anchor texts</t>
        </is>
      </c>
      <c r="P286" s="5" t="inlineStr"/>
      <c r="Q286" t="inlineStr">
        <is>
          <t>P2</t>
        </is>
      </c>
      <c r="R286" t="n">
        <v>126</v>
      </c>
      <c r="S286" s="5" t="inlineStr">
        <is>
          <t>Découvrez nos services de développement web spécialisés pour d'autres industries Conseil en Études à l'Étranger Plateformes de cours, systèmes LMS et portails étudiants pour les agences d'études à l'étranger. Écoles de L</t>
        </is>
      </c>
    </row>
    <row r="287">
      <c r="A287" s="3" t="inlineStr">
        <is>
          <t>https://codesommet.com/services/university-website-development</t>
        </is>
      </c>
      <c r="B287" t="n">
        <v>15</v>
      </c>
      <c r="C287" t="inlineStr">
        <is>
          <t>Internal-link block</t>
        </is>
      </c>
      <c r="D287" s="5" t="inlineStr">
        <is>
          <t>Explorer Plus</t>
        </is>
      </c>
      <c r="E287" t="inlineStr">
        <is>
          <t>H2</t>
        </is>
      </c>
      <c r="F287" s="5" t="inlineStr">
        <is>
          <t>Navigation</t>
        </is>
      </c>
      <c r="G287" t="inlineStr">
        <is>
          <t>—</t>
        </is>
      </c>
      <c r="H287" t="inlineStr">
        <is>
          <t>NONE</t>
        </is>
      </c>
      <c r="I287" t="inlineStr">
        <is>
          <t>—</t>
        </is>
      </c>
      <c r="J287" t="inlineStr">
        <is>
          <t>—</t>
        </is>
      </c>
      <c r="K287" t="inlineStr">
        <is>
          <t>—</t>
        </is>
      </c>
      <c r="L287" t="inlineStr">
        <is>
          <t>—</t>
        </is>
      </c>
      <c r="M287" t="inlineStr">
        <is>
          <t>—</t>
        </is>
      </c>
      <c r="N287" t="inlineStr">
        <is>
          <t>n/a</t>
        </is>
      </c>
      <c r="O287" s="5" t="inlineStr">
        <is>
          <t>No keyword target - keep conversion/navigation focus; use descriptive, non-repeated anchor texts</t>
        </is>
      </c>
      <c r="P287" s="5" t="inlineStr"/>
      <c r="Q287" t="inlineStr">
        <is>
          <t>P2</t>
        </is>
      </c>
      <c r="R287" t="n">
        <v>84</v>
      </c>
      <c r="S287" s="5" t="inlineStr">
        <is>
          <t>Découvrez ce qui fait de CodeSommet votre partenaire idéal en développement web Audit Gratuit de Site Web Obtenez une analyse alimentée par l'IA avec plus de 40 vérifications En savoir plus Voir Nos Réalisations Explorez</t>
        </is>
      </c>
    </row>
    <row r="288">
      <c r="A288" s="3" t="inlineStr">
        <is>
          <t>https://codesommet.com/services/university-website-development</t>
        </is>
      </c>
      <c r="B288" t="n">
        <v>16</v>
      </c>
      <c r="C288" t="inlineStr">
        <is>
          <t>CTA / conversion</t>
        </is>
      </c>
      <c r="D288" s="5" t="inlineStr">
        <is>
          <t>Prêt à Construire Quelque Chose d'Extraordinaire ?</t>
        </is>
      </c>
      <c r="E288" t="inlineStr">
        <is>
          <t>H2</t>
        </is>
      </c>
      <c r="F288" s="5" t="inlineStr">
        <is>
          <t>Conversion</t>
        </is>
      </c>
      <c r="G288" t="inlineStr">
        <is>
          <t>—</t>
        </is>
      </c>
      <c r="H288" t="inlineStr">
        <is>
          <t>NONE</t>
        </is>
      </c>
      <c r="I288" t="inlineStr">
        <is>
          <t>—</t>
        </is>
      </c>
      <c r="J288" t="inlineStr">
        <is>
          <t>—</t>
        </is>
      </c>
      <c r="K288" t="inlineStr">
        <is>
          <t>—</t>
        </is>
      </c>
      <c r="L288" t="inlineStr">
        <is>
          <t>—</t>
        </is>
      </c>
      <c r="M288" t="inlineStr">
        <is>
          <t>—</t>
        </is>
      </c>
      <c r="N288" t="inlineStr">
        <is>
          <t>n/a</t>
        </is>
      </c>
      <c r="O288" s="5" t="inlineStr">
        <is>
          <t>No keyword target - keep conversion/navigation focus; use descriptive, non-repeated anchor texts</t>
        </is>
      </c>
      <c r="P288" s="5" t="inlineStr"/>
      <c r="Q288" t="inlineStr">
        <is>
          <t>P2</t>
        </is>
      </c>
      <c r="R288" t="n">
        <v>117</v>
      </c>
      <c r="S288" s="5" t="inlineStr">
        <is>
          <t>Rejoignez les entreprises visionnaires qui ont choisi l'excellence Réserver un Appel Découverte Analyser Mon Site Gratuitement Réserver un Appel Découverte Analyser Votre Site Web Discutons de comment l'IA et le design m</t>
        </is>
      </c>
    </row>
    <row r="289">
      <c r="A289" s="3" t="inlineStr">
        <is>
          <t>https://codesommet.com/services/language-school-website-development</t>
        </is>
      </c>
      <c r="B289" t="n">
        <v>1</v>
      </c>
      <c r="C289" t="inlineStr">
        <is>
          <t>Hero / H1</t>
        </is>
      </c>
      <c r="D289" s="5" t="inlineStr">
        <is>
          <t>Création de Sites Web pour Écoles de Langues qui génèrent des Écoles de Langues</t>
        </is>
      </c>
      <c r="E289" t="inlineStr">
        <is>
          <t>H1</t>
        </is>
      </c>
      <c r="F289" s="5" t="inlineStr">
        <is>
          <t>Commercial</t>
        </is>
      </c>
      <c r="G289" t="inlineStr">
        <is>
          <t>site web école de langues</t>
        </is>
      </c>
      <c r="H289" t="inlineStr">
        <is>
          <t>PRIMARY</t>
        </is>
      </c>
      <c r="I289" t="inlineStr">
        <is>
          <t>fr</t>
        </is>
      </c>
      <c r="J289" t="inlineStr">
        <is>
          <t>NOT AVAILABLE</t>
        </is>
      </c>
      <c r="K289" t="inlineStr">
        <is>
          <t>NOT AVAILABLE</t>
        </is>
      </c>
      <c r="L289" t="inlineStr">
        <is>
          <t>NOT AVAILABLE</t>
        </is>
      </c>
      <c r="M289" t="inlineStr">
        <is>
          <t>UNAVAILABLE</t>
        </is>
      </c>
      <c r="N289" t="inlineStr">
        <is>
          <t>Yes</t>
        </is>
      </c>
      <c r="O289" s="5" t="inlineStr">
        <is>
          <t>Covered - keep wording; no change</t>
        </is>
      </c>
      <c r="P289" s="5" t="inlineStr"/>
      <c r="Q289" t="inlineStr">
        <is>
          <t>P2</t>
        </is>
      </c>
      <c r="R289" t="n">
        <v>62</v>
      </c>
      <c r="S289" s="5" t="inlineStr">
        <is>
          <t xml:space="preserve">Créez des plateformes d'apprentissage des langues engageantes avec retour de prononciation alimenté par l'IA, leçons interactives, tutorat en direct, contenu d'immersion culturelle et expériences ludiques qui accélèrent </t>
        </is>
      </c>
    </row>
    <row r="290">
      <c r="A290" s="3" t="inlineStr">
        <is>
          <t>https://codesommet.com/services/language-school-website-development</t>
        </is>
      </c>
      <c r="B290" t="n">
        <v>2</v>
      </c>
      <c r="C290" t="inlineStr">
        <is>
          <t>Why us / differentiation</t>
        </is>
      </c>
      <c r="D290" s="5" t="inlineStr">
        <is>
          <t>Pourquoi Choisir CodeSommet dans le secteur Écoles de Langues ?</t>
        </is>
      </c>
      <c r="E290" t="inlineStr">
        <is>
          <t>H2</t>
        </is>
      </c>
      <c r="F290" s="5" t="inlineStr">
        <is>
          <t>Commercial investigation</t>
        </is>
      </c>
      <c r="G290" t="inlineStr">
        <is>
          <t>site web école de langues</t>
        </is>
      </c>
      <c r="H290" t="inlineStr">
        <is>
          <t>SUPPORTS PRIMARY</t>
        </is>
      </c>
      <c r="I290" t="inlineStr">
        <is>
          <t>fr</t>
        </is>
      </c>
      <c r="J290" t="inlineStr">
        <is>
          <t>NOT AVAILABLE</t>
        </is>
      </c>
      <c r="K290" t="inlineStr">
        <is>
          <t>NOT AVAILABLE</t>
        </is>
      </c>
      <c r="L290" t="inlineStr">
        <is>
          <t>NOT AVAILABLE</t>
        </is>
      </c>
      <c r="M290" t="inlineStr">
        <is>
          <t>UNAVAILABLE</t>
        </is>
      </c>
      <c r="N290" t="inlineStr">
        <is>
          <t>Yes</t>
        </is>
      </c>
      <c r="O290" s="5" t="inlineStr">
        <is>
          <t>Covered - keep wording; no change</t>
        </is>
      </c>
      <c r="P290" s="5" t="inlineStr"/>
      <c r="Q290" t="inlineStr">
        <is>
          <t>P2</t>
        </is>
      </c>
      <c r="R290" t="n">
        <v>232</v>
      </c>
      <c r="S290" s="5" t="inlineStr">
        <is>
          <t>Une expertise locale alliée à des standards internationaux. Voici ce qui fait de nous le partenaire idéal en développement web dans le secteur Écoles de Langues . Spécialistes en Éducation Linguistique Expert dans la cré</t>
        </is>
      </c>
    </row>
    <row r="291">
      <c r="A291" s="3" t="inlineStr">
        <is>
          <t>https://codesommet.com/services/language-school-website-development</t>
        </is>
      </c>
      <c r="B291" t="n">
        <v>3</v>
      </c>
      <c r="C291" t="inlineStr">
        <is>
          <t>Proof / portfolio / results</t>
        </is>
      </c>
      <c r="D291" s="5" t="inlineStr">
        <is>
          <t>Adopté par les Écoles de Langues Entreprises</t>
        </is>
      </c>
      <c r="E291" t="inlineStr">
        <is>
          <t>H2</t>
        </is>
      </c>
      <c r="F291" s="5" t="inlineStr">
        <is>
          <t>Commercial investigation</t>
        </is>
      </c>
      <c r="G291" t="inlineStr">
        <is>
          <t>site web école de langues</t>
        </is>
      </c>
      <c r="H291" t="inlineStr">
        <is>
          <t>SUPPORTS PRIMARY</t>
        </is>
      </c>
      <c r="I291" t="inlineStr">
        <is>
          <t>fr</t>
        </is>
      </c>
      <c r="J291" t="inlineStr">
        <is>
          <t>NOT AVAILABLE</t>
        </is>
      </c>
      <c r="K291" t="inlineStr">
        <is>
          <t>NOT AVAILABLE</t>
        </is>
      </c>
      <c r="L291" t="inlineStr">
        <is>
          <t>NOT AVAILABLE</t>
        </is>
      </c>
      <c r="M291" t="inlineStr">
        <is>
          <t>UNAVAILABLE</t>
        </is>
      </c>
      <c r="N291" t="inlineStr">
        <is>
          <t>Yes</t>
        </is>
      </c>
      <c r="O291" s="5" t="inlineStr">
        <is>
          <t>Covered - keep wording; no change</t>
        </is>
      </c>
      <c r="P291" s="5" t="inlineStr"/>
      <c r="Q291" t="inlineStr">
        <is>
          <t>P2</t>
        </is>
      </c>
      <c r="R291" t="n">
        <v>24</v>
      </c>
      <c r="S291" s="5" t="inlineStr">
        <is>
          <t>Projets livrés sur mesure Prospects générés pour nos clients Clients accompagnés Résultats réels de Écoles de Langues avec lesquelles nous avons collaboré Défis Courants</t>
        </is>
      </c>
    </row>
    <row r="292">
      <c r="A292" s="3" t="inlineStr">
        <is>
          <t>https://codesommet.com/services/language-school-website-development</t>
        </is>
      </c>
      <c r="B292" t="n">
        <v>4</v>
      </c>
      <c r="C292" t="inlineStr">
        <is>
          <t>Problems / pain points</t>
        </is>
      </c>
      <c r="D292" s="5" t="inlineStr">
        <is>
          <t>Le Défi : Écoles de Langues Les Entreprises Font Face à des Défis Web Uniques</t>
        </is>
      </c>
      <c r="E292" t="inlineStr">
        <is>
          <t>H2</t>
        </is>
      </c>
      <c r="F292" s="5" t="inlineStr">
        <is>
          <t>Commercial</t>
        </is>
      </c>
      <c r="G292" t="inlineStr">
        <is>
          <t>logiciel école de langue</t>
        </is>
      </c>
      <c r="H292" t="inlineStr">
        <is>
          <t>SUPPORTING</t>
        </is>
      </c>
      <c r="I292" t="inlineStr">
        <is>
          <t>fr</t>
        </is>
      </c>
      <c r="J292" t="inlineStr">
        <is>
          <t>NOT AVAILABLE</t>
        </is>
      </c>
      <c r="K292" t="inlineStr">
        <is>
          <t>NOT AVAILABLE</t>
        </is>
      </c>
      <c r="L292" t="inlineStr">
        <is>
          <t>NOT AVAILABLE</t>
        </is>
      </c>
      <c r="M292" t="inlineStr">
        <is>
          <t>UNAVAILABLE</t>
        </is>
      </c>
      <c r="N292" t="inlineStr">
        <is>
          <t>Yes (supporting block)</t>
        </is>
      </c>
      <c r="O292" s="5" t="inlineStr">
        <is>
          <t>Supports the primary topic - add only if natural</t>
        </is>
      </c>
      <c r="P292" s="5" t="inlineStr"/>
      <c r="Q292" t="inlineStr">
        <is>
          <t>P2</t>
        </is>
      </c>
      <c r="R292" t="n">
        <v>393</v>
      </c>
      <c r="S292" s="5" t="inlineStr">
        <is>
          <t>Les développeurs web généralistes ne comprennent pas ces problèmes spécifiques aux écoles de langues Faible Engagement Étudiant &amp; Abandons Wix et WordPress ne peuvent pas gérer les flux de candidature étudiants complexes</t>
        </is>
      </c>
    </row>
    <row r="293">
      <c r="A293" s="3" t="inlineStr">
        <is>
          <t>https://codesommet.com/services/language-school-website-development</t>
        </is>
      </c>
      <c r="B293" t="n">
        <v>5</v>
      </c>
      <c r="C293" t="inlineStr">
        <is>
          <t>Services / features</t>
        </is>
      </c>
      <c r="D293" s="5" t="inlineStr">
        <is>
          <t>Fonctionnalités Essentielles pour Écoles de Langues Sites Web</t>
        </is>
      </c>
      <c r="E293" t="inlineStr">
        <is>
          <t>H2</t>
        </is>
      </c>
      <c r="F293" s="5" t="inlineStr">
        <is>
          <t>Commercial</t>
        </is>
      </c>
      <c r="G293" t="inlineStr">
        <is>
          <t>logiciel école de langue</t>
        </is>
      </c>
      <c r="H293" t="inlineStr">
        <is>
          <t>SUPPORTING</t>
        </is>
      </c>
      <c r="I293" t="inlineStr">
        <is>
          <t>fr</t>
        </is>
      </c>
      <c r="J293" t="inlineStr">
        <is>
          <t>NOT AVAILABLE</t>
        </is>
      </c>
      <c r="K293" t="inlineStr">
        <is>
          <t>NOT AVAILABLE</t>
        </is>
      </c>
      <c r="L293" t="inlineStr">
        <is>
          <t>NOT AVAILABLE</t>
        </is>
      </c>
      <c r="M293" t="inlineStr">
        <is>
          <t>UNAVAILABLE</t>
        </is>
      </c>
      <c r="N293" t="inlineStr">
        <is>
          <t>Yes (supporting block)</t>
        </is>
      </c>
      <c r="O293" s="5" t="inlineStr">
        <is>
          <t>Supports the primary topic - add only if natural</t>
        </is>
      </c>
      <c r="P293" s="5" t="inlineStr"/>
      <c r="Q293" t="inlineStr">
        <is>
          <t>P2</t>
        </is>
      </c>
      <c r="R293" t="n">
        <v>170</v>
      </c>
      <c r="S293" s="5" t="inlineStr">
        <is>
          <t>Tout ce dont votre entreprise d'école de langues a besoin en une seule plateforme Inscription aux Cours &amp; Test de Placement Formulaires de candidature intelligents avec téléchargement de documents, suivi en temps réel et</t>
        </is>
      </c>
    </row>
    <row r="294">
      <c r="A294" s="3" t="inlineStr">
        <is>
          <t>https://codesommet.com/services/language-school-website-development</t>
        </is>
      </c>
      <c r="B294" t="n">
        <v>6</v>
      </c>
      <c r="C294" t="inlineStr">
        <is>
          <t>Testimonials / social proof</t>
        </is>
      </c>
      <c r="D294" s="5" t="inlineStr">
        <is>
          <t>Histoires de Succès en Écoles de Langues</t>
        </is>
      </c>
      <c r="E294" t="inlineStr">
        <is>
          <t>H2</t>
        </is>
      </c>
      <c r="F294" s="5" t="inlineStr">
        <is>
          <t>Commercial investigation</t>
        </is>
      </c>
      <c r="G294" t="inlineStr">
        <is>
          <t>site web école de langues</t>
        </is>
      </c>
      <c r="H294" t="inlineStr">
        <is>
          <t>SUPPORTS PRIMARY</t>
        </is>
      </c>
      <c r="I294" t="inlineStr">
        <is>
          <t>fr</t>
        </is>
      </c>
      <c r="J294" t="inlineStr">
        <is>
          <t>NOT AVAILABLE</t>
        </is>
      </c>
      <c r="K294" t="inlineStr">
        <is>
          <t>NOT AVAILABLE</t>
        </is>
      </c>
      <c r="L294" t="inlineStr">
        <is>
          <t>NOT AVAILABLE</t>
        </is>
      </c>
      <c r="M294" t="inlineStr">
        <is>
          <t>UNAVAILABLE</t>
        </is>
      </c>
      <c r="N294" t="inlineStr">
        <is>
          <t>Yes</t>
        </is>
      </c>
      <c r="O294" s="5" t="inlineStr">
        <is>
          <t>Covered - keep wording; no change</t>
        </is>
      </c>
      <c r="P294" s="5" t="inlineStr"/>
      <c r="Q294" t="inlineStr">
        <is>
          <t>P2</t>
        </is>
      </c>
      <c r="R294" t="n">
        <v>48</v>
      </c>
      <c r="S294" s="5" t="inlineStr">
        <is>
          <t xml:space="preserve">Projets réels, résultats réels. Découvrez comment nous avons aidé les entreprises en Écoles de Langues à atteindre leurs objectifs numériques. Éducation GLS Sprachenzentrum Centre de langues allemand avec inscription en </t>
        </is>
      </c>
    </row>
    <row r="295">
      <c r="A295" s="3" t="inlineStr">
        <is>
          <t>https://codesommet.com/services/language-school-website-development</t>
        </is>
      </c>
      <c r="B295" t="n">
        <v>7</v>
      </c>
      <c r="C295" t="inlineStr">
        <is>
          <t>Process / how it works</t>
        </is>
      </c>
      <c r="D295" s="5" t="inlineStr">
        <is>
          <t>Notre Processus de Développement pour Écoles de Langues</t>
        </is>
      </c>
      <c r="E295" t="inlineStr">
        <is>
          <t>H2</t>
        </is>
      </c>
      <c r="F295" s="5" t="inlineStr">
        <is>
          <t>Informational / commercial</t>
        </is>
      </c>
      <c r="G295" t="inlineStr">
        <is>
          <t>site web école de langues</t>
        </is>
      </c>
      <c r="H295" t="inlineStr">
        <is>
          <t>SUPPORTS PRIMARY</t>
        </is>
      </c>
      <c r="I295" t="inlineStr">
        <is>
          <t>fr</t>
        </is>
      </c>
      <c r="J295" t="inlineStr">
        <is>
          <t>NOT AVAILABLE</t>
        </is>
      </c>
      <c r="K295" t="inlineStr">
        <is>
          <t>NOT AVAILABLE</t>
        </is>
      </c>
      <c r="L295" t="inlineStr">
        <is>
          <t>NOT AVAILABLE</t>
        </is>
      </c>
      <c r="M295" t="inlineStr">
        <is>
          <t>UNAVAILABLE</t>
        </is>
      </c>
      <c r="N295" t="inlineStr">
        <is>
          <t>Yes</t>
        </is>
      </c>
      <c r="O295" s="5" t="inlineStr">
        <is>
          <t>Covered - keep wording; no change</t>
        </is>
      </c>
      <c r="P295" s="5" t="inlineStr"/>
      <c r="Q295" t="inlineStr">
        <is>
          <t>P2</t>
        </is>
      </c>
      <c r="R295" t="n">
        <v>103</v>
      </c>
      <c r="S295" s="5" t="inlineStr">
        <is>
          <t xml:space="preserve">Du concept au lancement en 4 étapes, optimisé pour les entreprises d'écoles de langues Étape 1 Découverte et Analyse Rapport d'analyse concurrentielle Développement de personas étudiants Priorisation des fonctionnalités </t>
        </is>
      </c>
    </row>
    <row r="296">
      <c r="A296" s="3" t="inlineStr">
        <is>
          <t>https://codesommet.com/services/language-school-website-development</t>
        </is>
      </c>
      <c r="B296" t="n">
        <v>8</v>
      </c>
      <c r="C296" t="inlineStr">
        <is>
          <t>Pricing / offers</t>
        </is>
      </c>
      <c r="D296" s="5" t="inlineStr">
        <is>
          <t>Solutions Personnalisées, Tarification Transparente</t>
        </is>
      </c>
      <c r="E296" t="inlineStr">
        <is>
          <t>H2</t>
        </is>
      </c>
      <c r="F296" s="5" t="inlineStr">
        <is>
          <t>Commercial / transactional</t>
        </is>
      </c>
      <c r="G296" t="inlineStr">
        <is>
          <t>site web école de langues</t>
        </is>
      </c>
      <c r="H296" t="inlineStr">
        <is>
          <t>SUPPORTS PRIMARY</t>
        </is>
      </c>
      <c r="I296" t="inlineStr">
        <is>
          <t>fr</t>
        </is>
      </c>
      <c r="J296" t="inlineStr">
        <is>
          <t>NOT AVAILABLE</t>
        </is>
      </c>
      <c r="K296" t="inlineStr">
        <is>
          <t>NOT AVAILABLE</t>
        </is>
      </c>
      <c r="L296" t="inlineStr">
        <is>
          <t>NOT AVAILABLE</t>
        </is>
      </c>
      <c r="M296" t="inlineStr">
        <is>
          <t>UNAVAILABLE</t>
        </is>
      </c>
      <c r="N296" t="inlineStr">
        <is>
          <t>Yes (supporting block)</t>
        </is>
      </c>
      <c r="O296" s="5" t="inlineStr">
        <is>
          <t>Supports the primary topic - add only if natural</t>
        </is>
      </c>
      <c r="P296" s="5" t="inlineStr"/>
      <c r="Q296" t="inlineStr">
        <is>
          <t>P2</t>
        </is>
      </c>
      <c r="R296" t="n">
        <v>201</v>
      </c>
      <c r="S296" s="5" t="inlineStr">
        <is>
          <t>Réservez un appel découverte pour discuter de vos besoins spécifiques et obtenir un devis personnalisé Recommandé Développement de Sites Web Site web complet avec fonctionnalités IA, tableaux de bord et design premium li</t>
        </is>
      </c>
    </row>
    <row r="297">
      <c r="A297" s="3" t="inlineStr">
        <is>
          <t>https://codesommet.com/services/language-school-website-development</t>
        </is>
      </c>
      <c r="B297" t="n">
        <v>9</v>
      </c>
      <c r="C297" t="inlineStr">
        <is>
          <t>CTA / conversion</t>
        </is>
      </c>
      <c r="D297" s="5" t="inlineStr">
        <is>
          <t>Prêt à Transformer Votre Site Web d'Écoles de Langues ?</t>
        </is>
      </c>
      <c r="E297" t="inlineStr">
        <is>
          <t>H2</t>
        </is>
      </c>
      <c r="F297" s="5" t="inlineStr">
        <is>
          <t>Conversion</t>
        </is>
      </c>
      <c r="G297" t="inlineStr">
        <is>
          <t>—</t>
        </is>
      </c>
      <c r="H297" t="inlineStr">
        <is>
          <t>NONE</t>
        </is>
      </c>
      <c r="I297" t="inlineStr">
        <is>
          <t>—</t>
        </is>
      </c>
      <c r="J297" t="inlineStr">
        <is>
          <t>—</t>
        </is>
      </c>
      <c r="K297" t="inlineStr">
        <is>
          <t>—</t>
        </is>
      </c>
      <c r="L297" t="inlineStr">
        <is>
          <t>—</t>
        </is>
      </c>
      <c r="M297" t="inlineStr">
        <is>
          <t>—</t>
        </is>
      </c>
      <c r="N297" t="inlineStr">
        <is>
          <t>n/a</t>
        </is>
      </c>
      <c r="O297" s="5" t="inlineStr">
        <is>
          <t>No keyword target - keep conversion/navigation focus; use descriptive, non-repeated anchor texts</t>
        </is>
      </c>
      <c r="P297" s="5" t="inlineStr"/>
      <c r="Q297" t="inlineStr">
        <is>
          <t>P2</t>
        </is>
      </c>
      <c r="R297" t="n">
        <v>41</v>
      </c>
      <c r="S297" s="5" t="inlineStr">
        <is>
          <t>Obtenez d'abord une analyse gratuite complète : Audit SEO Vérification des performances Révision du design Recommandations alimentées par l'IA Analyser Votre Site Web - 100 % Gratuit Pas de carte de crédit requise • Résu</t>
        </is>
      </c>
    </row>
    <row r="298">
      <c r="A298" s="3" t="inlineStr">
        <is>
          <t>https://codesommet.com/services/language-school-website-development</t>
        </is>
      </c>
      <c r="B298" t="n">
        <v>10</v>
      </c>
      <c r="C298" t="inlineStr">
        <is>
          <t>Why us / differentiation</t>
        </is>
      </c>
      <c r="D298" s="5" t="inlineStr">
        <is>
          <t>CodeSommet Écoles de Langues vs Autres</t>
        </is>
      </c>
      <c r="E298" t="inlineStr">
        <is>
          <t>H2</t>
        </is>
      </c>
      <c r="F298" s="5" t="inlineStr">
        <is>
          <t>Commercial investigation</t>
        </is>
      </c>
      <c r="G298" t="inlineStr">
        <is>
          <t>site web école de langues</t>
        </is>
      </c>
      <c r="H298" t="inlineStr">
        <is>
          <t>SUPPORTS PRIMARY</t>
        </is>
      </c>
      <c r="I298" t="inlineStr">
        <is>
          <t>fr</t>
        </is>
      </c>
      <c r="J298" t="inlineStr">
        <is>
          <t>NOT AVAILABLE</t>
        </is>
      </c>
      <c r="K298" t="inlineStr">
        <is>
          <t>NOT AVAILABLE</t>
        </is>
      </c>
      <c r="L298" t="inlineStr">
        <is>
          <t>NOT AVAILABLE</t>
        </is>
      </c>
      <c r="M298" t="inlineStr">
        <is>
          <t>UNAVAILABLE</t>
        </is>
      </c>
      <c r="N298" t="inlineStr">
        <is>
          <t>Yes</t>
        </is>
      </c>
      <c r="O298" s="5" t="inlineStr">
        <is>
          <t>Covered - keep wording; no change</t>
        </is>
      </c>
      <c r="P298" s="5" t="inlineStr"/>
      <c r="Q298" t="inlineStr">
        <is>
          <t>P2</t>
        </is>
      </c>
      <c r="R298" t="n">
        <v>204</v>
      </c>
      <c r="S298" s="5" t="inlineStr">
        <is>
          <t>Découvrez pourquoi Écoles de Langues entreprises choisissent CodeSommet plutôt que d'autres agences locales et concurrents internationaux. Fonctionnalité CodeSommet Écoles de Langues Other Écoles de Langues Agences Agenc</t>
        </is>
      </c>
    </row>
    <row r="299">
      <c r="A299" s="3" t="inlineStr">
        <is>
          <t>https://codesommet.com/services/language-school-website-development</t>
        </is>
      </c>
      <c r="B299" t="n">
        <v>11</v>
      </c>
      <c r="C299" t="inlineStr">
        <is>
          <t>Testimonials / social proof</t>
        </is>
      </c>
      <c r="D299" s="5" t="inlineStr">
        <is>
          <t>Ce que Nos Clients en Écoles de Langues Disent de Nous</t>
        </is>
      </c>
      <c r="E299" t="inlineStr">
        <is>
          <t>H2</t>
        </is>
      </c>
      <c r="F299" s="5" t="inlineStr">
        <is>
          <t>Commercial investigation</t>
        </is>
      </c>
      <c r="G299" t="inlineStr">
        <is>
          <t>site web école de langues</t>
        </is>
      </c>
      <c r="H299" t="inlineStr">
        <is>
          <t>SUPPORTS PRIMARY</t>
        </is>
      </c>
      <c r="I299" t="inlineStr">
        <is>
          <t>fr</t>
        </is>
      </c>
      <c r="J299" t="inlineStr">
        <is>
          <t>NOT AVAILABLE</t>
        </is>
      </c>
      <c r="K299" t="inlineStr">
        <is>
          <t>NOT AVAILABLE</t>
        </is>
      </c>
      <c r="L299" t="inlineStr">
        <is>
          <t>NOT AVAILABLE</t>
        </is>
      </c>
      <c r="M299" t="inlineStr">
        <is>
          <t>UNAVAILABLE</t>
        </is>
      </c>
      <c r="N299" t="inlineStr">
        <is>
          <t>Yes</t>
        </is>
      </c>
      <c r="O299" s="5" t="inlineStr">
        <is>
          <t>Covered - keep wording; no change</t>
        </is>
      </c>
      <c r="P299" s="5" t="inlineStr"/>
      <c r="Q299" t="inlineStr">
        <is>
          <t>P2</t>
        </is>
      </c>
      <c r="R299" t="n">
        <v>116</v>
      </c>
      <c r="S299" s="5" t="inlineStr">
        <is>
          <t>Ne nous croyez pas sur parole. Écoutez les entreprises en Écoles de Langues qui ont obtenu des résultats remarquables avec CodeSommet. "Une collaboration professionnelle du début à la fin. Je recommande sans hésiter." Mo</t>
        </is>
      </c>
    </row>
    <row r="300">
      <c r="A300" s="3" t="inlineStr">
        <is>
          <t>https://codesommet.com/services/language-school-website-development</t>
        </is>
      </c>
      <c r="B300" t="n">
        <v>12</v>
      </c>
      <c r="C300" t="inlineStr">
        <is>
          <t>FAQ</t>
        </is>
      </c>
      <c r="D300" s="5" t="inlineStr">
        <is>
          <t>Questions Fréquemment Posées sur le Développement Web en Écoles de Langues</t>
        </is>
      </c>
      <c r="E300" t="inlineStr">
        <is>
          <t>H2</t>
        </is>
      </c>
      <c r="F300" s="5" t="inlineStr">
        <is>
          <t>Informational (pre-purchase questions)</t>
        </is>
      </c>
      <c r="G300" t="inlineStr">
        <is>
          <t>site web école de langues</t>
        </is>
      </c>
      <c r="H300" t="inlineStr">
        <is>
          <t>SUPPORTS PRIMARY</t>
        </is>
      </c>
      <c r="I300" t="inlineStr">
        <is>
          <t>fr</t>
        </is>
      </c>
      <c r="J300" t="inlineStr">
        <is>
          <t>NOT AVAILABLE</t>
        </is>
      </c>
      <c r="K300" t="inlineStr">
        <is>
          <t>NOT AVAILABLE</t>
        </is>
      </c>
      <c r="L300" t="inlineStr">
        <is>
          <t>NOT AVAILABLE</t>
        </is>
      </c>
      <c r="M300" t="inlineStr">
        <is>
          <t>UNAVAILABLE</t>
        </is>
      </c>
      <c r="N300" t="inlineStr">
        <is>
          <t>Yes</t>
        </is>
      </c>
      <c r="O300" s="5" t="inlineStr">
        <is>
          <t>Covered - keep wording; no change</t>
        </is>
      </c>
      <c r="P300" s="5" t="inlineStr"/>
      <c r="Q300" t="inlineStr">
        <is>
          <t>P2</t>
        </is>
      </c>
      <c r="R300" t="n">
        <v>536</v>
      </c>
      <c r="S300" s="5" t="inlineStr">
        <is>
          <t>Vous avez des questions ? Nous avons les réponses. Voici les questions les plus courantes de Écoles de Langues entreprises. 1 Combien de temps faut-il pour créer un site web d'école de langues ? Pour un site vitrine d'éc</t>
        </is>
      </c>
    </row>
    <row r="301">
      <c r="A301" s="3" t="inlineStr">
        <is>
          <t>https://codesommet.com/services/language-school-website-development</t>
        </is>
      </c>
      <c r="B301" t="n">
        <v>13</v>
      </c>
      <c r="C301" t="inlineStr">
        <is>
          <t>Services / features</t>
        </is>
      </c>
      <c r="D301" s="5" t="inlineStr">
        <is>
          <t>Au Service de Clients dans le Monde Entier</t>
        </is>
      </c>
      <c r="E301" t="inlineStr">
        <is>
          <t>H2</t>
        </is>
      </c>
      <c r="F301" s="5" t="inlineStr">
        <is>
          <t>Commercial</t>
        </is>
      </c>
      <c r="G301" t="inlineStr">
        <is>
          <t>logiciel école de langue</t>
        </is>
      </c>
      <c r="H301" t="inlineStr">
        <is>
          <t>SUPPORTING</t>
        </is>
      </c>
      <c r="I301" t="inlineStr">
        <is>
          <t>fr</t>
        </is>
      </c>
      <c r="J301" t="inlineStr">
        <is>
          <t>NOT AVAILABLE</t>
        </is>
      </c>
      <c r="K301" t="inlineStr">
        <is>
          <t>NOT AVAILABLE</t>
        </is>
      </c>
      <c r="L301" t="inlineStr">
        <is>
          <t>NOT AVAILABLE</t>
        </is>
      </c>
      <c r="M301" t="inlineStr">
        <is>
          <t>UNAVAILABLE</t>
        </is>
      </c>
      <c r="N301" t="inlineStr">
        <is>
          <t>Yes (supporting block)</t>
        </is>
      </c>
      <c r="O301" s="5" t="inlineStr">
        <is>
          <t>Supports the primary topic - add only if natural</t>
        </is>
      </c>
      <c r="P301" s="5" t="inlineStr"/>
      <c r="Q301" t="inlineStr">
        <is>
          <t>P2</t>
        </is>
      </c>
      <c r="R301" t="n">
        <v>63</v>
      </c>
      <c r="S301" s="5" t="inlineStr">
        <is>
          <t>Nous avons créé des sites web pour écoles de langues pour des clients du monde entier. Que vous soyez au Maroc ou ailleurs, nous livrons des solutions de classe mondiale. Dubaï 🇦🇪 UAE Casablanca 🇲🇦 Maroc San Francisco 🇺🇸</t>
        </is>
      </c>
    </row>
    <row r="302">
      <c r="A302" s="3" t="inlineStr">
        <is>
          <t>https://codesommet.com/services/language-school-website-development</t>
        </is>
      </c>
      <c r="B302" t="n">
        <v>14</v>
      </c>
      <c r="C302" t="inlineStr">
        <is>
          <t>Internal-link block</t>
        </is>
      </c>
      <c r="D302" s="5" t="inlineStr">
        <is>
          <t>Industries Connexes que Nous Servons</t>
        </is>
      </c>
      <c r="E302" t="inlineStr">
        <is>
          <t>H2</t>
        </is>
      </c>
      <c r="F302" s="5" t="inlineStr">
        <is>
          <t>Navigation</t>
        </is>
      </c>
      <c r="G302" t="inlineStr">
        <is>
          <t>—</t>
        </is>
      </c>
      <c r="H302" t="inlineStr">
        <is>
          <t>NONE</t>
        </is>
      </c>
      <c r="I302" t="inlineStr">
        <is>
          <t>—</t>
        </is>
      </c>
      <c r="J302" t="inlineStr">
        <is>
          <t>—</t>
        </is>
      </c>
      <c r="K302" t="inlineStr">
        <is>
          <t>—</t>
        </is>
      </c>
      <c r="L302" t="inlineStr">
        <is>
          <t>—</t>
        </is>
      </c>
      <c r="M302" t="inlineStr">
        <is>
          <t>—</t>
        </is>
      </c>
      <c r="N302" t="inlineStr">
        <is>
          <t>n/a</t>
        </is>
      </c>
      <c r="O302" s="5" t="inlineStr">
        <is>
          <t>No keyword target - keep conversion/navigation focus; use descriptive, non-repeated anchor texts</t>
        </is>
      </c>
      <c r="P302" s="5" t="inlineStr"/>
      <c r="Q302" t="inlineStr">
        <is>
          <t>P2</t>
        </is>
      </c>
      <c r="R302" t="n">
        <v>131</v>
      </c>
      <c r="S302" s="5" t="inlineStr">
        <is>
          <t>Découvrez nos services de développement web spécialisés pour d'autres industries Conseil en Études à l'Étranger Plateformes de cours, systèmes LMS et portails étudiants pour les agences d'études à l'étranger. Éducation &amp;</t>
        </is>
      </c>
    </row>
    <row r="303">
      <c r="A303" s="3" t="inlineStr">
        <is>
          <t>https://codesommet.com/services/language-school-website-development</t>
        </is>
      </c>
      <c r="B303" t="n">
        <v>15</v>
      </c>
      <c r="C303" t="inlineStr">
        <is>
          <t>Internal-link block</t>
        </is>
      </c>
      <c r="D303" s="5" t="inlineStr">
        <is>
          <t>Explorer Plus</t>
        </is>
      </c>
      <c r="E303" t="inlineStr">
        <is>
          <t>H2</t>
        </is>
      </c>
      <c r="F303" s="5" t="inlineStr">
        <is>
          <t>Navigation</t>
        </is>
      </c>
      <c r="G303" t="inlineStr">
        <is>
          <t>—</t>
        </is>
      </c>
      <c r="H303" t="inlineStr">
        <is>
          <t>NONE</t>
        </is>
      </c>
      <c r="I303" t="inlineStr">
        <is>
          <t>—</t>
        </is>
      </c>
      <c r="J303" t="inlineStr">
        <is>
          <t>—</t>
        </is>
      </c>
      <c r="K303" t="inlineStr">
        <is>
          <t>—</t>
        </is>
      </c>
      <c r="L303" t="inlineStr">
        <is>
          <t>—</t>
        </is>
      </c>
      <c r="M303" t="inlineStr">
        <is>
          <t>—</t>
        </is>
      </c>
      <c r="N303" t="inlineStr">
        <is>
          <t>n/a</t>
        </is>
      </c>
      <c r="O303" s="5" t="inlineStr">
        <is>
          <t>No keyword target - keep conversion/navigation focus; use descriptive, non-repeated anchor texts</t>
        </is>
      </c>
      <c r="P303" s="5" t="inlineStr"/>
      <c r="Q303" t="inlineStr">
        <is>
          <t>P2</t>
        </is>
      </c>
      <c r="R303" t="n">
        <v>83</v>
      </c>
      <c r="S303" s="5" t="inlineStr">
        <is>
          <t>Découvrez ce qui fait de CodeSommet votre partenaire idéal en développement web Audit Gratuit de Site Web Obtenez une analyse alimentée par l'IA avec de nombreuses vérifications En savoir plus Voir Nos Réalisations Explo</t>
        </is>
      </c>
    </row>
    <row r="304">
      <c r="A304" s="3" t="inlineStr">
        <is>
          <t>https://codesommet.com/services/language-school-website-development</t>
        </is>
      </c>
      <c r="B304" t="n">
        <v>16</v>
      </c>
      <c r="C304" t="inlineStr">
        <is>
          <t>CTA / conversion</t>
        </is>
      </c>
      <c r="D304" s="5" t="inlineStr">
        <is>
          <t>Prêt à Construire Quelque Chose d'Extraordinaire ?</t>
        </is>
      </c>
      <c r="E304" t="inlineStr">
        <is>
          <t>H2</t>
        </is>
      </c>
      <c r="F304" s="5" t="inlineStr">
        <is>
          <t>Conversion</t>
        </is>
      </c>
      <c r="G304" t="inlineStr">
        <is>
          <t>—</t>
        </is>
      </c>
      <c r="H304" t="inlineStr">
        <is>
          <t>NONE</t>
        </is>
      </c>
      <c r="I304" t="inlineStr">
        <is>
          <t>—</t>
        </is>
      </c>
      <c r="J304" t="inlineStr">
        <is>
          <t>—</t>
        </is>
      </c>
      <c r="K304" t="inlineStr">
        <is>
          <t>—</t>
        </is>
      </c>
      <c r="L304" t="inlineStr">
        <is>
          <t>—</t>
        </is>
      </c>
      <c r="M304" t="inlineStr">
        <is>
          <t>—</t>
        </is>
      </c>
      <c r="N304" t="inlineStr">
        <is>
          <t>n/a</t>
        </is>
      </c>
      <c r="O304" s="5" t="inlineStr">
        <is>
          <t>No keyword target - keep conversion/navigation focus; use descriptive, non-repeated anchor texts</t>
        </is>
      </c>
      <c r="P304" s="5" t="inlineStr"/>
      <c r="Q304" t="inlineStr">
        <is>
          <t>P2</t>
        </is>
      </c>
      <c r="R304" t="n">
        <v>117</v>
      </c>
      <c r="S304" s="5" t="inlineStr">
        <is>
          <t>Rejoignez les entreprises visionnaires qui ont choisi l'excellence Réserver un Appel Découverte Analyser Mon Site Gratuitement Réserver un Appel Découverte Analyser Votre Site Web Discutons de comment l'IA et le design m</t>
        </is>
      </c>
    </row>
    <row r="305">
      <c r="A305" s="3" t="inlineStr">
        <is>
          <t>https://codesommet.com/services/study-abroad-website-development</t>
        </is>
      </c>
      <c r="B305" t="n">
        <v>1</v>
      </c>
      <c r="C305" t="inlineStr">
        <is>
          <t>Hero / H1</t>
        </is>
      </c>
      <c r="D305" s="5" t="inlineStr">
        <is>
          <t>Création de Sites Web Études à l'Étranger qui génèrent des PORTAILS DE CANDIDATURE ÉTUDIANTS</t>
        </is>
      </c>
      <c r="E305" t="inlineStr">
        <is>
          <t>H1</t>
        </is>
      </c>
      <c r="F305" s="5" t="inlineStr">
        <is>
          <t>Commercial</t>
        </is>
      </c>
      <c r="G305" t="inlineStr">
        <is>
          <t>site web agence études à l'étranger</t>
        </is>
      </c>
      <c r="H305" t="inlineStr">
        <is>
          <t>PRIMARY</t>
        </is>
      </c>
      <c r="I305" t="inlineStr">
        <is>
          <t>fr</t>
        </is>
      </c>
      <c r="J305" t="inlineStr">
        <is>
          <t>NOT AVAILABLE</t>
        </is>
      </c>
      <c r="K305" t="inlineStr">
        <is>
          <t>NOT AVAILABLE</t>
        </is>
      </c>
      <c r="L305" t="inlineStr">
        <is>
          <t>NOT AVAILABLE</t>
        </is>
      </c>
      <c r="M305" t="inlineStr">
        <is>
          <t>UNAVAILABLE</t>
        </is>
      </c>
      <c r="N305" t="inlineStr">
        <is>
          <t>Yes</t>
        </is>
      </c>
      <c r="O305" s="5" t="inlineStr">
        <is>
          <t>Covered - keep wording; no change</t>
        </is>
      </c>
      <c r="P305" s="5" t="inlineStr"/>
      <c r="Q305" t="inlineStr">
        <is>
          <t>P2</t>
        </is>
      </c>
      <c r="R305" t="n">
        <v>76</v>
      </c>
      <c r="S305" s="5" t="inlineStr">
        <is>
          <t>Développement spécialisé de sites web d'études à l'étranger pour les cabinets de conseil en éducation internationale, agences de visa et services de placement universitaire. Nous créons des plateformes avec portails de c</t>
        </is>
      </c>
    </row>
    <row r="306">
      <c r="A306" s="3" t="inlineStr">
        <is>
          <t>https://codesommet.com/services/study-abroad-website-development</t>
        </is>
      </c>
      <c r="B306" t="n">
        <v>2</v>
      </c>
      <c r="C306" t="inlineStr">
        <is>
          <t>Proof / portfolio / results</t>
        </is>
      </c>
      <c r="D306" s="5" t="inlineStr">
        <is>
          <t>Pourquoi Choisir CodeSommet dans le secteur Études à l'Étranger &amp; Conseil en Visa ?</t>
        </is>
      </c>
      <c r="E306" t="inlineStr">
        <is>
          <t>H2</t>
        </is>
      </c>
      <c r="F306" s="5" t="inlineStr">
        <is>
          <t>Commercial investigation</t>
        </is>
      </c>
      <c r="G306" t="inlineStr">
        <is>
          <t>site web agence études à l'étranger</t>
        </is>
      </c>
      <c r="H306" t="inlineStr">
        <is>
          <t>SUPPORTS PRIMARY</t>
        </is>
      </c>
      <c r="I306" t="inlineStr">
        <is>
          <t>fr</t>
        </is>
      </c>
      <c r="J306" t="inlineStr">
        <is>
          <t>NOT AVAILABLE</t>
        </is>
      </c>
      <c r="K306" t="inlineStr">
        <is>
          <t>NOT AVAILABLE</t>
        </is>
      </c>
      <c r="L306" t="inlineStr">
        <is>
          <t>NOT AVAILABLE</t>
        </is>
      </c>
      <c r="M306" t="inlineStr">
        <is>
          <t>UNAVAILABLE</t>
        </is>
      </c>
      <c r="N306" t="inlineStr">
        <is>
          <t>Yes (supporting block)</t>
        </is>
      </c>
      <c r="O306" s="5" t="inlineStr">
        <is>
          <t>Supports the primary topic - add only if natural</t>
        </is>
      </c>
      <c r="P306" s="5" t="inlineStr"/>
      <c r="Q306" t="inlineStr">
        <is>
          <t>P2</t>
        </is>
      </c>
      <c r="R306" t="n">
        <v>222</v>
      </c>
      <c r="S306" s="5" t="inlineStr">
        <is>
          <t>Une expertise locale alliée à des standards internationaux. Voici ce qui fait de nous le partenaire idéal en développement web dans le secteur Études à l'Étranger &amp; Conseil en Visa . Une Grande Partie de Nos Clients sont</t>
        </is>
      </c>
    </row>
    <row r="307">
      <c r="A307" s="3" t="inlineStr">
        <is>
          <t>https://codesommet.com/services/study-abroad-website-development</t>
        </is>
      </c>
      <c r="B307" t="n">
        <v>3</v>
      </c>
      <c r="C307" t="inlineStr">
        <is>
          <t>Proof / portfolio / results</t>
        </is>
      </c>
      <c r="D307" s="5" t="inlineStr">
        <is>
          <t>Adopté par les Études à l'Étranger &amp; Conseil en Visa Entreprises</t>
        </is>
      </c>
      <c r="E307" t="inlineStr">
        <is>
          <t>H2</t>
        </is>
      </c>
      <c r="F307" s="5" t="inlineStr">
        <is>
          <t>Commercial investigation</t>
        </is>
      </c>
      <c r="G307" t="inlineStr">
        <is>
          <t>site web agence études à l'étranger</t>
        </is>
      </c>
      <c r="H307" t="inlineStr">
        <is>
          <t>SUPPORTS PRIMARY</t>
        </is>
      </c>
      <c r="I307" t="inlineStr">
        <is>
          <t>fr</t>
        </is>
      </c>
      <c r="J307" t="inlineStr">
        <is>
          <t>NOT AVAILABLE</t>
        </is>
      </c>
      <c r="K307" t="inlineStr">
        <is>
          <t>NOT AVAILABLE</t>
        </is>
      </c>
      <c r="L307" t="inlineStr">
        <is>
          <t>NOT AVAILABLE</t>
        </is>
      </c>
      <c r="M307" t="inlineStr">
        <is>
          <t>UNAVAILABLE</t>
        </is>
      </c>
      <c r="N307" t="inlineStr">
        <is>
          <t>Yes (supporting block)</t>
        </is>
      </c>
      <c r="O307" s="5" t="inlineStr">
        <is>
          <t>Supports the primary topic - add only if natural</t>
        </is>
      </c>
      <c r="P307" s="5" t="inlineStr"/>
      <c r="Q307" t="inlineStr">
        <is>
          <t>P2</t>
        </is>
      </c>
      <c r="R307" t="n">
        <v>27</v>
      </c>
      <c r="S307" s="5" t="inlineStr">
        <is>
          <t>Projets livrés sur mesure Prospects générés pour nos clients Clients accompagnés Résultats réels de Études à l'Étranger &amp; Conseil en Visa avec lesquelles nous avons collaboré Défis Courants</t>
        </is>
      </c>
    </row>
    <row r="308">
      <c r="A308" s="3" t="inlineStr">
        <is>
          <t>https://codesommet.com/services/study-abroad-website-development</t>
        </is>
      </c>
      <c r="B308" t="n">
        <v>4</v>
      </c>
      <c r="C308" t="inlineStr">
        <is>
          <t>Problems / pain points</t>
        </is>
      </c>
      <c r="D308" s="5" t="inlineStr">
        <is>
          <t>Le Défi</t>
        </is>
      </c>
      <c r="E308" t="inlineStr">
        <is>
          <t>H2</t>
        </is>
      </c>
      <c r="F308" s="5" t="inlineStr">
        <is>
          <t>Commercial</t>
        </is>
      </c>
      <c r="G308" t="inlineStr">
        <is>
          <t>site web agence études à l'étranger</t>
        </is>
      </c>
      <c r="H308" t="inlineStr">
        <is>
          <t>SUPPORTS PRIMARY</t>
        </is>
      </c>
      <c r="I308" t="inlineStr">
        <is>
          <t>fr</t>
        </is>
      </c>
      <c r="J308" t="inlineStr">
        <is>
          <t>NOT AVAILABLE</t>
        </is>
      </c>
      <c r="K308" t="inlineStr">
        <is>
          <t>NOT AVAILABLE</t>
        </is>
      </c>
      <c r="L308" t="inlineStr">
        <is>
          <t>NOT AVAILABLE</t>
        </is>
      </c>
      <c r="M308" t="inlineStr">
        <is>
          <t>UNAVAILABLE</t>
        </is>
      </c>
      <c r="N308" t="inlineStr">
        <is>
          <t>Yes</t>
        </is>
      </c>
      <c r="O308" s="5" t="inlineStr">
        <is>
          <t>Covered - keep wording; no change</t>
        </is>
      </c>
      <c r="P308" s="5" t="inlineStr"/>
      <c r="Q308" t="inlineStr">
        <is>
          <t>P2</t>
        </is>
      </c>
      <c r="R308" t="n">
        <v>442</v>
      </c>
      <c r="S308" s="5" t="inlineStr">
        <is>
          <t>Les développeurs web généralistes ne comprennent pas ces problèmes spécifiques aux études à l'étranger &amp; conseil en visa Les Constructeurs de Sites Génériques Ne Fonctionnent Pas pour Study Abroad Wix et WordPress ne gèr</t>
        </is>
      </c>
    </row>
    <row r="309">
      <c r="A309" s="3" t="inlineStr">
        <is>
          <t>https://codesommet.com/services/study-abroad-website-development</t>
        </is>
      </c>
      <c r="B309" t="n">
        <v>5</v>
      </c>
      <c r="C309" t="inlineStr">
        <is>
          <t>Services / features</t>
        </is>
      </c>
      <c r="D309" s="5" t="inlineStr">
        <is>
          <t>Fonctionnalités Essentielles pour</t>
        </is>
      </c>
      <c r="E309" t="inlineStr">
        <is>
          <t>H2</t>
        </is>
      </c>
      <c r="F309" s="5" t="inlineStr">
        <is>
          <t>Commercial</t>
        </is>
      </c>
      <c r="G309" t="inlineStr">
        <is>
          <t>site web agence études à l'étranger</t>
        </is>
      </c>
      <c r="H309" t="inlineStr">
        <is>
          <t>SUPPORTS PRIMARY</t>
        </is>
      </c>
      <c r="I309" t="inlineStr">
        <is>
          <t>fr</t>
        </is>
      </c>
      <c r="J309" t="inlineStr">
        <is>
          <t>NOT AVAILABLE</t>
        </is>
      </c>
      <c r="K309" t="inlineStr">
        <is>
          <t>NOT AVAILABLE</t>
        </is>
      </c>
      <c r="L309" t="inlineStr">
        <is>
          <t>NOT AVAILABLE</t>
        </is>
      </c>
      <c r="M309" t="inlineStr">
        <is>
          <t>UNAVAILABLE</t>
        </is>
      </c>
      <c r="N309" t="inlineStr">
        <is>
          <t>Yes (supporting block)</t>
        </is>
      </c>
      <c r="O309" s="5" t="inlineStr">
        <is>
          <t>Supports the primary topic - add only if natural</t>
        </is>
      </c>
      <c r="P309" s="5" t="inlineStr"/>
      <c r="Q309" t="inlineStr">
        <is>
          <t>P2</t>
        </is>
      </c>
      <c r="R309" t="n">
        <v>187</v>
      </c>
      <c r="S309" s="5" t="inlineStr">
        <is>
          <t>Portail de Candidature Formulaires de candidature intelligents avec listes de vérification de documents spécifiques au pays et suivi en temps réel. Formulaires multi-étapes avec sélection du pays Téléchargement de docume</t>
        </is>
      </c>
    </row>
    <row r="310">
      <c r="A310" s="3" t="inlineStr">
        <is>
          <t>https://codesommet.com/services/study-abroad-website-development</t>
        </is>
      </c>
      <c r="B310" t="n">
        <v>6</v>
      </c>
      <c r="C310" t="inlineStr">
        <is>
          <t>Testimonials / social proof</t>
        </is>
      </c>
      <c r="D310" s="5" t="inlineStr">
        <is>
          <t>Histoires de Succès en Études à l'Étranger &amp; Conseil en Visa</t>
        </is>
      </c>
      <c r="E310" t="inlineStr">
        <is>
          <t>H2</t>
        </is>
      </c>
      <c r="F310" s="5" t="inlineStr">
        <is>
          <t>Commercial investigation</t>
        </is>
      </c>
      <c r="G310" t="inlineStr">
        <is>
          <t>site web agence études à l'étranger</t>
        </is>
      </c>
      <c r="H310" t="inlineStr">
        <is>
          <t>SUPPORTS PRIMARY</t>
        </is>
      </c>
      <c r="I310" t="inlineStr">
        <is>
          <t>fr</t>
        </is>
      </c>
      <c r="J310" t="inlineStr">
        <is>
          <t>NOT AVAILABLE</t>
        </is>
      </c>
      <c r="K310" t="inlineStr">
        <is>
          <t>NOT AVAILABLE</t>
        </is>
      </c>
      <c r="L310" t="inlineStr">
        <is>
          <t>NOT AVAILABLE</t>
        </is>
      </c>
      <c r="M310" t="inlineStr">
        <is>
          <t>UNAVAILABLE</t>
        </is>
      </c>
      <c r="N310" t="inlineStr">
        <is>
          <t>Yes</t>
        </is>
      </c>
      <c r="O310" s="5" t="inlineStr">
        <is>
          <t>Covered - keep wording; no change</t>
        </is>
      </c>
      <c r="P310" s="5" t="inlineStr"/>
      <c r="Q310" t="inlineStr">
        <is>
          <t>P2</t>
        </is>
      </c>
      <c r="R310" t="n">
        <v>54</v>
      </c>
      <c r="S310" s="5" t="inlineStr">
        <is>
          <t xml:space="preserve">Projets réels, résultats réels. Découvrez comment nous avons aidé les entreprises en Études à l'Étranger &amp; Conseil en Visa à atteindre leurs objectifs numériques. Éducation GLS Sprachenzentrum Centre de langues allemand </t>
        </is>
      </c>
    </row>
    <row r="311">
      <c r="A311" s="3" t="inlineStr">
        <is>
          <t>https://codesommet.com/services/study-abroad-website-development</t>
        </is>
      </c>
      <c r="B311" t="n">
        <v>7</v>
      </c>
      <c r="C311" t="inlineStr">
        <is>
          <t>Process / how it works</t>
        </is>
      </c>
      <c r="D311" s="5" t="inlineStr">
        <is>
          <t>Notre Processus de Développement pour Études à l'Étranger &amp; Conseil en Visa</t>
        </is>
      </c>
      <c r="E311" t="inlineStr">
        <is>
          <t>H2</t>
        </is>
      </c>
      <c r="F311" s="5" t="inlineStr">
        <is>
          <t>Informational / commercial</t>
        </is>
      </c>
      <c r="G311" t="inlineStr">
        <is>
          <t>site web agence études à l'étranger</t>
        </is>
      </c>
      <c r="H311" t="inlineStr">
        <is>
          <t>SUPPORTS PRIMARY</t>
        </is>
      </c>
      <c r="I311" t="inlineStr">
        <is>
          <t>fr</t>
        </is>
      </c>
      <c r="J311" t="inlineStr">
        <is>
          <t>NOT AVAILABLE</t>
        </is>
      </c>
      <c r="K311" t="inlineStr">
        <is>
          <t>NOT AVAILABLE</t>
        </is>
      </c>
      <c r="L311" t="inlineStr">
        <is>
          <t>NOT AVAILABLE</t>
        </is>
      </c>
      <c r="M311" t="inlineStr">
        <is>
          <t>UNAVAILABLE</t>
        </is>
      </c>
      <c r="N311" t="inlineStr">
        <is>
          <t>Yes (supporting block)</t>
        </is>
      </c>
      <c r="O311" s="5" t="inlineStr">
        <is>
          <t>Supports the primary topic - add only if natural</t>
        </is>
      </c>
      <c r="P311" s="5" t="inlineStr"/>
      <c r="Q311" t="inlineStr">
        <is>
          <t>P2</t>
        </is>
      </c>
      <c r="R311" t="n">
        <v>166</v>
      </c>
      <c r="S311" s="5" t="inlineStr">
        <is>
          <t>Du concept au lancement en 4 étapes, optimisé pour les entreprises de conseil en études à l'étranger &amp; visa Étape 1 Découverte &amp; Analyse du Marché Analyse de la concurrence pour les cabinets de conseil en études à l'étra</t>
        </is>
      </c>
    </row>
    <row r="312">
      <c r="A312" s="3" t="inlineStr">
        <is>
          <t>https://codesommet.com/services/study-abroad-website-development</t>
        </is>
      </c>
      <c r="B312" t="n">
        <v>8</v>
      </c>
      <c r="C312" t="inlineStr">
        <is>
          <t>Pricing / offers</t>
        </is>
      </c>
      <c r="D312" s="5" t="inlineStr">
        <is>
          <t>Solutions Personnalisées, Tarification Transparente</t>
        </is>
      </c>
      <c r="E312" t="inlineStr">
        <is>
          <t>H2</t>
        </is>
      </c>
      <c r="F312" s="5" t="inlineStr">
        <is>
          <t>Commercial / transactional</t>
        </is>
      </c>
      <c r="G312" t="inlineStr">
        <is>
          <t>site web agence études à l'étranger</t>
        </is>
      </c>
      <c r="H312" t="inlineStr">
        <is>
          <t>SUPPORTS PRIMARY</t>
        </is>
      </c>
      <c r="I312" t="inlineStr">
        <is>
          <t>fr</t>
        </is>
      </c>
      <c r="J312" t="inlineStr">
        <is>
          <t>NOT AVAILABLE</t>
        </is>
      </c>
      <c r="K312" t="inlineStr">
        <is>
          <t>NOT AVAILABLE</t>
        </is>
      </c>
      <c r="L312" t="inlineStr">
        <is>
          <t>NOT AVAILABLE</t>
        </is>
      </c>
      <c r="M312" t="inlineStr">
        <is>
          <t>UNAVAILABLE</t>
        </is>
      </c>
      <c r="N312" t="inlineStr">
        <is>
          <t>Yes (supporting block)</t>
        </is>
      </c>
      <c r="O312" s="5" t="inlineStr">
        <is>
          <t>Supports the primary topic - add only if natural</t>
        </is>
      </c>
      <c r="P312" s="5" t="inlineStr"/>
      <c r="Q312" t="inlineStr">
        <is>
          <t>P2</t>
        </is>
      </c>
      <c r="R312" t="n">
        <v>201</v>
      </c>
      <c r="S312" s="5" t="inlineStr">
        <is>
          <t>Réservez un appel découverte pour discuter de vos besoins spécifiques et obtenir un devis personnalisé Recommandé Développement de Sites Web Site web complet avec fonctionnalités IA, tableaux de bord et design premium li</t>
        </is>
      </c>
    </row>
    <row r="313">
      <c r="A313" s="3" t="inlineStr">
        <is>
          <t>https://codesommet.com/services/study-abroad-website-development</t>
        </is>
      </c>
      <c r="B313" t="n">
        <v>9</v>
      </c>
      <c r="C313" t="inlineStr">
        <is>
          <t>CTA / conversion</t>
        </is>
      </c>
      <c r="D313" s="5" t="inlineStr">
        <is>
          <t>Prêt à Transformer Votre Site Web d'Études à l'Étranger &amp; Conseil en Visa ?</t>
        </is>
      </c>
      <c r="E313" t="inlineStr">
        <is>
          <t>H2</t>
        </is>
      </c>
      <c r="F313" s="5" t="inlineStr">
        <is>
          <t>Conversion</t>
        </is>
      </c>
      <c r="G313" t="inlineStr">
        <is>
          <t>—</t>
        </is>
      </c>
      <c r="H313" t="inlineStr">
        <is>
          <t>NONE</t>
        </is>
      </c>
      <c r="I313" t="inlineStr">
        <is>
          <t>—</t>
        </is>
      </c>
      <c r="J313" t="inlineStr">
        <is>
          <t>—</t>
        </is>
      </c>
      <c r="K313" t="inlineStr">
        <is>
          <t>—</t>
        </is>
      </c>
      <c r="L313" t="inlineStr">
        <is>
          <t>—</t>
        </is>
      </c>
      <c r="M313" t="inlineStr">
        <is>
          <t>—</t>
        </is>
      </c>
      <c r="N313" t="inlineStr">
        <is>
          <t>n/a</t>
        </is>
      </c>
      <c r="O313" s="5" t="inlineStr">
        <is>
          <t>No keyword target - keep conversion/navigation focus; use descriptive, non-repeated anchor texts</t>
        </is>
      </c>
      <c r="P313" s="5" t="inlineStr"/>
      <c r="Q313" t="inlineStr">
        <is>
          <t>P2</t>
        </is>
      </c>
      <c r="R313" t="n">
        <v>168</v>
      </c>
      <c r="S313" s="5" t="inlineStr">
        <is>
          <t>Obtenez d'abord une analyse gratuite complète : Audit SEO Vérification des performances Révision du design Recommandations alimentées par l'IA Analyser Votre Site Web - 100 % Gratuit Pas de carte de crédit requise • Résu</t>
        </is>
      </c>
    </row>
    <row r="314">
      <c r="A314" s="3" t="inlineStr">
        <is>
          <t>https://codesommet.com/services/study-abroad-website-development</t>
        </is>
      </c>
      <c r="B314" t="n">
        <v>10</v>
      </c>
      <c r="C314" t="inlineStr">
        <is>
          <t>Testimonials / social proof</t>
        </is>
      </c>
      <c r="D314" s="5" t="inlineStr">
        <is>
          <t>Ce que Nos Clients en Études à l'Étranger &amp; Conseil en Visa Disent de Nous</t>
        </is>
      </c>
      <c r="E314" t="inlineStr">
        <is>
          <t>H2</t>
        </is>
      </c>
      <c r="F314" s="5" t="inlineStr">
        <is>
          <t>Commercial investigation</t>
        </is>
      </c>
      <c r="G314" t="inlineStr">
        <is>
          <t>site web agence études à l'étranger</t>
        </is>
      </c>
      <c r="H314" t="inlineStr">
        <is>
          <t>SUPPORTS PRIMARY</t>
        </is>
      </c>
      <c r="I314" t="inlineStr">
        <is>
          <t>fr</t>
        </is>
      </c>
      <c r="J314" t="inlineStr">
        <is>
          <t>NOT AVAILABLE</t>
        </is>
      </c>
      <c r="K314" t="inlineStr">
        <is>
          <t>NOT AVAILABLE</t>
        </is>
      </c>
      <c r="L314" t="inlineStr">
        <is>
          <t>NOT AVAILABLE</t>
        </is>
      </c>
      <c r="M314" t="inlineStr">
        <is>
          <t>UNAVAILABLE</t>
        </is>
      </c>
      <c r="N314" t="inlineStr">
        <is>
          <t>Yes (supporting block)</t>
        </is>
      </c>
      <c r="O314" s="5" t="inlineStr">
        <is>
          <t>Supports the primary topic - add only if natural</t>
        </is>
      </c>
      <c r="P314" s="5" t="inlineStr"/>
      <c r="Q314" t="inlineStr">
        <is>
          <t>P2</t>
        </is>
      </c>
      <c r="R314" t="n">
        <v>113</v>
      </c>
      <c r="S314" s="5" t="inlineStr">
        <is>
          <t>Ne nous croyez pas sur parole. Écoutez les entreprises en Études à l'Étranger &amp; Conseil en Visa qui ont obtenu des résultats remarquables avec CodeSommet. "Une collaboration professionnelle du début à la fin. Je recomman</t>
        </is>
      </c>
    </row>
    <row r="315">
      <c r="A315" s="3" t="inlineStr">
        <is>
          <t>https://codesommet.com/services/study-abroad-website-development</t>
        </is>
      </c>
      <c r="B315" t="n">
        <v>11</v>
      </c>
      <c r="C315" t="inlineStr">
        <is>
          <t>FAQ</t>
        </is>
      </c>
      <c r="D315" s="5" t="inlineStr">
        <is>
          <t>Questions Fréquemment Posées sur le Développement Web en Études à l'Étranger &amp; Conseil en Visa</t>
        </is>
      </c>
      <c r="E315" t="inlineStr">
        <is>
          <t>H2</t>
        </is>
      </c>
      <c r="F315" s="5" t="inlineStr">
        <is>
          <t>Informational (pre-purchase questions)</t>
        </is>
      </c>
      <c r="G315" t="inlineStr">
        <is>
          <t>site web agence études à l'étranger</t>
        </is>
      </c>
      <c r="H315" t="inlineStr">
        <is>
          <t>SUPPORTS PRIMARY</t>
        </is>
      </c>
      <c r="I315" t="inlineStr">
        <is>
          <t>fr</t>
        </is>
      </c>
      <c r="J315" t="inlineStr">
        <is>
          <t>NOT AVAILABLE</t>
        </is>
      </c>
      <c r="K315" t="inlineStr">
        <is>
          <t>NOT AVAILABLE</t>
        </is>
      </c>
      <c r="L315" t="inlineStr">
        <is>
          <t>NOT AVAILABLE</t>
        </is>
      </c>
      <c r="M315" t="inlineStr">
        <is>
          <t>UNAVAILABLE</t>
        </is>
      </c>
      <c r="N315" t="inlineStr">
        <is>
          <t>Yes (supporting block)</t>
        </is>
      </c>
      <c r="O315" s="5" t="inlineStr">
        <is>
          <t>Supports the primary topic - add only if natural</t>
        </is>
      </c>
      <c r="P315" s="5" t="inlineStr"/>
      <c r="Q315" t="inlineStr">
        <is>
          <t>P2</t>
        </is>
      </c>
      <c r="R315" t="n">
        <v>534</v>
      </c>
      <c r="S315" s="5" t="inlineStr">
        <is>
          <t>Vous avez des questions ? Nous avons les réponses. Voici les questions les plus courantes de Études à l'Étranger &amp; Conseil en Visa entreprises. 1 Combien de temps faut-il pour créer un site web d'études à l'étranger ? Po</t>
        </is>
      </c>
    </row>
    <row r="316">
      <c r="A316" s="3" t="inlineStr">
        <is>
          <t>https://codesommet.com/services/study-abroad-website-development</t>
        </is>
      </c>
      <c r="B316" t="n">
        <v>12</v>
      </c>
      <c r="C316" t="inlineStr">
        <is>
          <t>Services / features</t>
        </is>
      </c>
      <c r="D316" s="5" t="inlineStr">
        <is>
          <t>Au Service de Clients dans le Monde Entier</t>
        </is>
      </c>
      <c r="E316" t="inlineStr">
        <is>
          <t>H2</t>
        </is>
      </c>
      <c r="F316" s="5" t="inlineStr">
        <is>
          <t>Commercial</t>
        </is>
      </c>
      <c r="G316" t="inlineStr">
        <is>
          <t>site web agence études à l'étranger</t>
        </is>
      </c>
      <c r="H316" t="inlineStr">
        <is>
          <t>SUPPORTS PRIMARY</t>
        </is>
      </c>
      <c r="I316" t="inlineStr">
        <is>
          <t>fr</t>
        </is>
      </c>
      <c r="J316" t="inlineStr">
        <is>
          <t>NOT AVAILABLE</t>
        </is>
      </c>
      <c r="K316" t="inlineStr">
        <is>
          <t>NOT AVAILABLE</t>
        </is>
      </c>
      <c r="L316" t="inlineStr">
        <is>
          <t>NOT AVAILABLE</t>
        </is>
      </c>
      <c r="M316" t="inlineStr">
        <is>
          <t>UNAVAILABLE</t>
        </is>
      </c>
      <c r="N316" t="inlineStr">
        <is>
          <t>Yes (supporting block)</t>
        </is>
      </c>
      <c r="O316" s="5" t="inlineStr">
        <is>
          <t>Supports the primary topic - add only if natural</t>
        </is>
      </c>
      <c r="P316" s="5" t="inlineStr"/>
      <c r="Q316" t="inlineStr">
        <is>
          <t>P2</t>
        </is>
      </c>
      <c r="R316" t="n">
        <v>53</v>
      </c>
      <c r="S316" s="5" t="inlineStr">
        <is>
          <t>Nous avons créé des sites web d'études à l'étranger &amp; conseil en visa pour des clients du monde entier. Que vous soyez au Maroc ou ailleurs, nous livrons des solutions de classe mondiale. Dubaï 🇦🇪 UAE Casablanca 🇲🇦 Maroc</t>
        </is>
      </c>
    </row>
    <row r="317">
      <c r="A317" s="3" t="inlineStr">
        <is>
          <t>https://codesommet.com/services/study-abroad-website-development</t>
        </is>
      </c>
      <c r="B317" t="n">
        <v>13</v>
      </c>
      <c r="C317" t="inlineStr">
        <is>
          <t>Internal-link block</t>
        </is>
      </c>
      <c r="D317" s="5" t="inlineStr">
        <is>
          <t>Industries Connexes que Nous Servons</t>
        </is>
      </c>
      <c r="E317" t="inlineStr">
        <is>
          <t>H2</t>
        </is>
      </c>
      <c r="F317" s="5" t="inlineStr">
        <is>
          <t>Navigation</t>
        </is>
      </c>
      <c r="G317" t="inlineStr">
        <is>
          <t>—</t>
        </is>
      </c>
      <c r="H317" t="inlineStr">
        <is>
          <t>NONE</t>
        </is>
      </c>
      <c r="I317" t="inlineStr">
        <is>
          <t>—</t>
        </is>
      </c>
      <c r="J317" t="inlineStr">
        <is>
          <t>—</t>
        </is>
      </c>
      <c r="K317" t="inlineStr">
        <is>
          <t>—</t>
        </is>
      </c>
      <c r="L317" t="inlineStr">
        <is>
          <t>—</t>
        </is>
      </c>
      <c r="M317" t="inlineStr">
        <is>
          <t>—</t>
        </is>
      </c>
      <c r="N317" t="inlineStr">
        <is>
          <t>n/a</t>
        </is>
      </c>
      <c r="O317" s="5" t="inlineStr">
        <is>
          <t>No keyword target - keep conversion/navigation focus; use descriptive, non-repeated anchor texts</t>
        </is>
      </c>
      <c r="P317" s="5" t="inlineStr"/>
      <c r="Q317" t="inlineStr">
        <is>
          <t>P2</t>
        </is>
      </c>
      <c r="R317" t="n">
        <v>140</v>
      </c>
      <c r="S317" s="5" t="inlineStr">
        <is>
          <t>Découvrez nos services de développement web spécialisés pour d'autres industries Écoles de Langues Sites web modernes pour les instituts de formation linguistique avec gestion des cours et fonctionnalités d'apprentissage</t>
        </is>
      </c>
    </row>
    <row r="318">
      <c r="A318" s="3" t="inlineStr">
        <is>
          <t>https://codesommet.com/services/study-abroad-website-development</t>
        </is>
      </c>
      <c r="B318" t="n">
        <v>14</v>
      </c>
      <c r="C318" t="inlineStr">
        <is>
          <t>Internal-link block</t>
        </is>
      </c>
      <c r="D318" s="5" t="inlineStr">
        <is>
          <t>Explorer Plus</t>
        </is>
      </c>
      <c r="E318" t="inlineStr">
        <is>
          <t>H2</t>
        </is>
      </c>
      <c r="F318" s="5" t="inlineStr">
        <is>
          <t>Navigation</t>
        </is>
      </c>
      <c r="G318" t="inlineStr">
        <is>
          <t>—</t>
        </is>
      </c>
      <c r="H318" t="inlineStr">
        <is>
          <t>NONE</t>
        </is>
      </c>
      <c r="I318" t="inlineStr">
        <is>
          <t>—</t>
        </is>
      </c>
      <c r="J318" t="inlineStr">
        <is>
          <t>—</t>
        </is>
      </c>
      <c r="K318" t="inlineStr">
        <is>
          <t>—</t>
        </is>
      </c>
      <c r="L318" t="inlineStr">
        <is>
          <t>—</t>
        </is>
      </c>
      <c r="M318" t="inlineStr">
        <is>
          <t>—</t>
        </is>
      </c>
      <c r="N318" t="inlineStr">
        <is>
          <t>n/a</t>
        </is>
      </c>
      <c r="O318" s="5" t="inlineStr">
        <is>
          <t>No keyword target - keep conversion/navigation focus; use descriptive, non-repeated anchor texts</t>
        </is>
      </c>
      <c r="P318" s="5" t="inlineStr"/>
      <c r="Q318" t="inlineStr">
        <is>
          <t>P2</t>
        </is>
      </c>
      <c r="R318" t="n">
        <v>83</v>
      </c>
      <c r="S318" s="5" t="inlineStr">
        <is>
          <t>Découvrez ce qui fait de CodeSommet votre partenaire idéal en développement web Audit Gratuit de Site Web Obtenez une analyse alimentée par l'IA avec de nombreuses vérifications En savoir plus Voir Nos Réalisations Explo</t>
        </is>
      </c>
    </row>
    <row r="319">
      <c r="A319" s="3" t="inlineStr">
        <is>
          <t>https://codesommet.com/services/study-abroad-website-development</t>
        </is>
      </c>
      <c r="B319" t="n">
        <v>15</v>
      </c>
      <c r="C319" t="inlineStr">
        <is>
          <t>CTA / conversion</t>
        </is>
      </c>
      <c r="D319" s="5" t="inlineStr">
        <is>
          <t>Prêt à Construire Quelque Chose d'Extraordinaire ?</t>
        </is>
      </c>
      <c r="E319" t="inlineStr">
        <is>
          <t>H2</t>
        </is>
      </c>
      <c r="F319" s="5" t="inlineStr">
        <is>
          <t>Conversion</t>
        </is>
      </c>
      <c r="G319" t="inlineStr">
        <is>
          <t>—</t>
        </is>
      </c>
      <c r="H319" t="inlineStr">
        <is>
          <t>NONE</t>
        </is>
      </c>
      <c r="I319" t="inlineStr">
        <is>
          <t>—</t>
        </is>
      </c>
      <c r="J319" t="inlineStr">
        <is>
          <t>—</t>
        </is>
      </c>
      <c r="K319" t="inlineStr">
        <is>
          <t>—</t>
        </is>
      </c>
      <c r="L319" t="inlineStr">
        <is>
          <t>—</t>
        </is>
      </c>
      <c r="M319" t="inlineStr">
        <is>
          <t>—</t>
        </is>
      </c>
      <c r="N319" t="inlineStr">
        <is>
          <t>n/a</t>
        </is>
      </c>
      <c r="O319" s="5" t="inlineStr">
        <is>
          <t>No keyword target - keep conversion/navigation focus; use descriptive, non-repeated anchor texts</t>
        </is>
      </c>
      <c r="P319" s="5" t="inlineStr"/>
      <c r="Q319" t="inlineStr">
        <is>
          <t>P2</t>
        </is>
      </c>
      <c r="R319" t="n">
        <v>117</v>
      </c>
      <c r="S319" s="5" t="inlineStr">
        <is>
          <t>Rejoignez les entreprises visionnaires qui ont choisi l'excellence Réserver un Appel Découverte Analyser Mon Site Gratuitement Réserver un Appel Découverte Analyser Votre Site Web Discutons de comment l'IA et le design m</t>
        </is>
      </c>
    </row>
    <row r="320">
      <c r="A320" s="3" t="inlineStr">
        <is>
          <t>https://codesommet.com/services/immigration-consultancy-website-development</t>
        </is>
      </c>
      <c r="B320" t="n">
        <v>1</v>
      </c>
      <c r="C320" t="inlineStr">
        <is>
          <t>Hero / H1</t>
        </is>
      </c>
      <c r="D320" s="5" t="inlineStr">
        <is>
          <t>Sites Web pour Cabinets d'Immigration qui génèrent des PORTAILS DE DEMANDE DE VISA</t>
        </is>
      </c>
      <c r="E320" t="inlineStr">
        <is>
          <t>H1</t>
        </is>
      </c>
      <c r="F320" s="5" t="inlineStr">
        <is>
          <t>Commercial</t>
        </is>
      </c>
      <c r="G320" t="inlineStr">
        <is>
          <t>site web cabinet immigration</t>
        </is>
      </c>
      <c r="H320" t="inlineStr">
        <is>
          <t>PRIMARY</t>
        </is>
      </c>
      <c r="I320" t="inlineStr">
        <is>
          <t>fr</t>
        </is>
      </c>
      <c r="J320" t="inlineStr">
        <is>
          <t>NOT AVAILABLE</t>
        </is>
      </c>
      <c r="K320" t="inlineStr">
        <is>
          <t>NOT AVAILABLE</t>
        </is>
      </c>
      <c r="L320" t="inlineStr">
        <is>
          <t>NOT AVAILABLE</t>
        </is>
      </c>
      <c r="M320" t="inlineStr">
        <is>
          <t>UNAVAILABLE</t>
        </is>
      </c>
      <c r="N320" t="inlineStr">
        <is>
          <t>Yes</t>
        </is>
      </c>
      <c r="O320" s="5" t="inlineStr">
        <is>
          <t>Covered - keep wording; no change</t>
        </is>
      </c>
      <c r="P320" s="5" t="inlineStr"/>
      <c r="Q320" t="inlineStr">
        <is>
          <t>P2</t>
        </is>
      </c>
      <c r="R320" t="n">
        <v>73</v>
      </c>
      <c r="S320" s="5" t="inlineStr">
        <is>
          <t>Sites web de conseil en immigration personnalisés avec suivi de dossiers visa, gestion de documents, calculateurs d'éligibilité et portails clients. Aide les consultants en visa, les avocats en immigration et les agences</t>
        </is>
      </c>
    </row>
    <row r="321">
      <c r="A321" s="3" t="inlineStr">
        <is>
          <t>https://codesommet.com/services/immigration-consultancy-website-development</t>
        </is>
      </c>
      <c r="B321" t="n">
        <v>2</v>
      </c>
      <c r="C321" t="inlineStr">
        <is>
          <t>Why us / differentiation</t>
        </is>
      </c>
      <c r="D321" s="5" t="inlineStr">
        <is>
          <t>Pourquoi Choisir CodeSommet dans le secteur Conseil en Immigration ?</t>
        </is>
      </c>
      <c r="E321" t="inlineStr">
        <is>
          <t>H2</t>
        </is>
      </c>
      <c r="F321" s="5" t="inlineStr">
        <is>
          <t>Commercial investigation</t>
        </is>
      </c>
      <c r="G321" t="inlineStr">
        <is>
          <t>site web cabinet immigration</t>
        </is>
      </c>
      <c r="H321" t="inlineStr">
        <is>
          <t>SUPPORTS PRIMARY</t>
        </is>
      </c>
      <c r="I321" t="inlineStr">
        <is>
          <t>fr</t>
        </is>
      </c>
      <c r="J321" t="inlineStr">
        <is>
          <t>NOT AVAILABLE</t>
        </is>
      </c>
      <c r="K321" t="inlineStr">
        <is>
          <t>NOT AVAILABLE</t>
        </is>
      </c>
      <c r="L321" t="inlineStr">
        <is>
          <t>NOT AVAILABLE</t>
        </is>
      </c>
      <c r="M321" t="inlineStr">
        <is>
          <t>UNAVAILABLE</t>
        </is>
      </c>
      <c r="N321" t="inlineStr">
        <is>
          <t>Yes</t>
        </is>
      </c>
      <c r="O321" s="5" t="inlineStr">
        <is>
          <t>Covered - keep wording; no change</t>
        </is>
      </c>
      <c r="P321" s="5" t="inlineStr"/>
      <c r="Q321" t="inlineStr">
        <is>
          <t>P2</t>
        </is>
      </c>
      <c r="R321" t="n">
        <v>242</v>
      </c>
      <c r="S321" s="5" t="inlineStr">
        <is>
          <t xml:space="preserve">L'expertise locale rencontre les standards internationaux. Voici ce qui fait de nous le partenaire idéal en développement web dans le secteur Conseil en Immigration . Une Clientèle Ancrée dans les Cabinets d'Immigration </t>
        </is>
      </c>
    </row>
    <row r="322">
      <c r="A322" s="3" t="inlineStr">
        <is>
          <t>https://codesommet.com/services/immigration-consultancy-website-development</t>
        </is>
      </c>
      <c r="B322" t="n">
        <v>3</v>
      </c>
      <c r="C322" t="inlineStr">
        <is>
          <t>Proof / portfolio / results</t>
        </is>
      </c>
      <c r="D322" s="5" t="inlineStr">
        <is>
          <t>Adopté par les Conseil en Immigration Entreprises</t>
        </is>
      </c>
      <c r="E322" t="inlineStr">
        <is>
          <t>H2</t>
        </is>
      </c>
      <c r="F322" s="5" t="inlineStr">
        <is>
          <t>Commercial investigation</t>
        </is>
      </c>
      <c r="G322" t="inlineStr">
        <is>
          <t>site web cabinet immigration</t>
        </is>
      </c>
      <c r="H322" t="inlineStr">
        <is>
          <t>SUPPORTS PRIMARY</t>
        </is>
      </c>
      <c r="I322" t="inlineStr">
        <is>
          <t>fr</t>
        </is>
      </c>
      <c r="J322" t="inlineStr">
        <is>
          <t>NOT AVAILABLE</t>
        </is>
      </c>
      <c r="K322" t="inlineStr">
        <is>
          <t>NOT AVAILABLE</t>
        </is>
      </c>
      <c r="L322" t="inlineStr">
        <is>
          <t>NOT AVAILABLE</t>
        </is>
      </c>
      <c r="M322" t="inlineStr">
        <is>
          <t>UNAVAILABLE</t>
        </is>
      </c>
      <c r="N322" t="inlineStr">
        <is>
          <t>Yes (supporting block)</t>
        </is>
      </c>
      <c r="O322" s="5" t="inlineStr">
        <is>
          <t>Supports the primary topic - add only if natural</t>
        </is>
      </c>
      <c r="P322" s="5" t="inlineStr"/>
      <c r="Q322" t="inlineStr">
        <is>
          <t>P2</t>
        </is>
      </c>
      <c r="R322" t="n">
        <v>24</v>
      </c>
      <c r="S322" s="5" t="inlineStr">
        <is>
          <t>Projets livrés sur mesure Prospects générés pour nos clients Clients accompagnés Résultats réels de Conseil en Immigration avec lesquelles nous avons collaboré Défis Courants</t>
        </is>
      </c>
    </row>
    <row r="323">
      <c r="A323" s="3" t="inlineStr">
        <is>
          <t>https://codesommet.com/services/immigration-consultancy-website-development</t>
        </is>
      </c>
      <c r="B323" t="n">
        <v>4</v>
      </c>
      <c r="C323" t="inlineStr">
        <is>
          <t>Problems / pain points</t>
        </is>
      </c>
      <c r="D323" s="5" t="inlineStr">
        <is>
          <t>Le Défi : Conseil en Immigration Les Entreprises Font Face à des Défis Web Uniques</t>
        </is>
      </c>
      <c r="E323" t="inlineStr">
        <is>
          <t>H2</t>
        </is>
      </c>
      <c r="F323" s="5" t="inlineStr">
        <is>
          <t>Commercial</t>
        </is>
      </c>
      <c r="G323" t="inlineStr">
        <is>
          <t>site web cabinet immigration</t>
        </is>
      </c>
      <c r="H323" t="inlineStr">
        <is>
          <t>SUPPORTS PRIMARY</t>
        </is>
      </c>
      <c r="I323" t="inlineStr">
        <is>
          <t>fr</t>
        </is>
      </c>
      <c r="J323" t="inlineStr">
        <is>
          <t>NOT AVAILABLE</t>
        </is>
      </c>
      <c r="K323" t="inlineStr">
        <is>
          <t>NOT AVAILABLE</t>
        </is>
      </c>
      <c r="L323" t="inlineStr">
        <is>
          <t>NOT AVAILABLE</t>
        </is>
      </c>
      <c r="M323" t="inlineStr">
        <is>
          <t>UNAVAILABLE</t>
        </is>
      </c>
      <c r="N323" t="inlineStr">
        <is>
          <t>Yes (supporting block)</t>
        </is>
      </c>
      <c r="O323" s="5" t="inlineStr">
        <is>
          <t>Supports the primary topic - add only if natural</t>
        </is>
      </c>
      <c r="P323" s="5" t="inlineStr"/>
      <c r="Q323" t="inlineStr">
        <is>
          <t>P2</t>
        </is>
      </c>
      <c r="R323" t="n">
        <v>279</v>
      </c>
      <c r="S323" s="5" t="inlineStr">
        <is>
          <t xml:space="preserve">Les développeurs web généralistes ne comprennent pas ces problématiques spécifiques au conseil en immigration Les Sites Web Génériques Ne Peuvent Pas Gérer les Flux de Visa WordPress et Wix ne peuvent pas gérer le suivi </t>
        </is>
      </c>
    </row>
    <row r="324">
      <c r="A324" s="3" t="inlineStr">
        <is>
          <t>https://codesommet.com/services/immigration-consultancy-website-development</t>
        </is>
      </c>
      <c r="B324" t="n">
        <v>5</v>
      </c>
      <c r="C324" t="inlineStr">
        <is>
          <t>Services / features</t>
        </is>
      </c>
      <c r="D324" s="5" t="inlineStr">
        <is>
          <t>Fonctionnalités Essentielles for Conseil en Immigration Sites Web</t>
        </is>
      </c>
      <c r="E324" t="inlineStr">
        <is>
          <t>H2</t>
        </is>
      </c>
      <c r="F324" s="5" t="inlineStr">
        <is>
          <t>Commercial</t>
        </is>
      </c>
      <c r="G324" t="inlineStr">
        <is>
          <t>site web cabinet immigration</t>
        </is>
      </c>
      <c r="H324" t="inlineStr">
        <is>
          <t>SUPPORTS PRIMARY</t>
        </is>
      </c>
      <c r="I324" t="inlineStr">
        <is>
          <t>fr</t>
        </is>
      </c>
      <c r="J324" t="inlineStr">
        <is>
          <t>NOT AVAILABLE</t>
        </is>
      </c>
      <c r="K324" t="inlineStr">
        <is>
          <t>NOT AVAILABLE</t>
        </is>
      </c>
      <c r="L324" t="inlineStr">
        <is>
          <t>NOT AVAILABLE</t>
        </is>
      </c>
      <c r="M324" t="inlineStr">
        <is>
          <t>UNAVAILABLE</t>
        </is>
      </c>
      <c r="N324" t="inlineStr">
        <is>
          <t>Yes (supporting block)</t>
        </is>
      </c>
      <c r="O324" s="5" t="inlineStr">
        <is>
          <t>Supports the primary topic - add only if natural</t>
        </is>
      </c>
      <c r="P324" s="5" t="inlineStr"/>
      <c r="Q324" t="inlineStr">
        <is>
          <t>P2</t>
        </is>
      </c>
      <c r="R324" t="n">
        <v>315</v>
      </c>
      <c r="S324" s="5" t="inlineStr">
        <is>
          <t>Tout ce dont votre entreprise de conseil en immigration a besoin sur une seule plateforme Calculateur d'Éligibilité Visa Évaluation d'éligibilité alimentée par l'IA qui analyse les profils clients par rapport aux exigenc</t>
        </is>
      </c>
    </row>
    <row r="325">
      <c r="A325" s="3" t="inlineStr">
        <is>
          <t>https://codesommet.com/services/immigration-consultancy-website-development</t>
        </is>
      </c>
      <c r="B325" t="n">
        <v>6</v>
      </c>
      <c r="C325" t="inlineStr">
        <is>
          <t>Testimonials / social proof</t>
        </is>
      </c>
      <c r="D325" s="5" t="inlineStr">
        <is>
          <t>Histoires de Succès en Conseil en Immigration</t>
        </is>
      </c>
      <c r="E325" t="inlineStr">
        <is>
          <t>H2</t>
        </is>
      </c>
      <c r="F325" s="5" t="inlineStr">
        <is>
          <t>Commercial investigation</t>
        </is>
      </c>
      <c r="G325" t="inlineStr">
        <is>
          <t>site web cabinet immigration</t>
        </is>
      </c>
      <c r="H325" t="inlineStr">
        <is>
          <t>SUPPORTS PRIMARY</t>
        </is>
      </c>
      <c r="I325" t="inlineStr">
        <is>
          <t>fr</t>
        </is>
      </c>
      <c r="J325" t="inlineStr">
        <is>
          <t>NOT AVAILABLE</t>
        </is>
      </c>
      <c r="K325" t="inlineStr">
        <is>
          <t>NOT AVAILABLE</t>
        </is>
      </c>
      <c r="L325" t="inlineStr">
        <is>
          <t>NOT AVAILABLE</t>
        </is>
      </c>
      <c r="M325" t="inlineStr">
        <is>
          <t>UNAVAILABLE</t>
        </is>
      </c>
      <c r="N325" t="inlineStr">
        <is>
          <t>Yes (supporting block)</t>
        </is>
      </c>
      <c r="O325" s="5" t="inlineStr">
        <is>
          <t>Supports the primary topic - add only if natural</t>
        </is>
      </c>
      <c r="P325" s="5" t="inlineStr"/>
      <c r="Q325" t="inlineStr">
        <is>
          <t>P2</t>
        </is>
      </c>
      <c r="R325" t="n">
        <v>51</v>
      </c>
      <c r="S325" s="5" t="inlineStr">
        <is>
          <t>Projets réels, résultats réels. Découvrez comment nous avons aidé les entreprises en Conseil en Immigration à atteindre leurs objectifs numériques. Éducation GLS Sprachenzentrum Centre de langues allemand avec inscriptio</t>
        </is>
      </c>
    </row>
    <row r="326">
      <c r="A326" s="3" t="inlineStr">
        <is>
          <t>https://codesommet.com/services/immigration-consultancy-website-development</t>
        </is>
      </c>
      <c r="B326" t="n">
        <v>7</v>
      </c>
      <c r="C326" t="inlineStr">
        <is>
          <t>Process / how it works</t>
        </is>
      </c>
      <c r="D326" s="5" t="inlineStr">
        <is>
          <t>Notre Processus de Développement for Conseil en Immigration</t>
        </is>
      </c>
      <c r="E326" t="inlineStr">
        <is>
          <t>H2</t>
        </is>
      </c>
      <c r="F326" s="5" t="inlineStr">
        <is>
          <t>Informational / commercial</t>
        </is>
      </c>
      <c r="G326" t="inlineStr">
        <is>
          <t>site web cabinet immigration</t>
        </is>
      </c>
      <c r="H326" t="inlineStr">
        <is>
          <t>SUPPORTS PRIMARY</t>
        </is>
      </c>
      <c r="I326" t="inlineStr">
        <is>
          <t>fr</t>
        </is>
      </c>
      <c r="J326" t="inlineStr">
        <is>
          <t>NOT AVAILABLE</t>
        </is>
      </c>
      <c r="K326" t="inlineStr">
        <is>
          <t>NOT AVAILABLE</t>
        </is>
      </c>
      <c r="L326" t="inlineStr">
        <is>
          <t>NOT AVAILABLE</t>
        </is>
      </c>
      <c r="M326" t="inlineStr">
        <is>
          <t>UNAVAILABLE</t>
        </is>
      </c>
      <c r="N326" t="inlineStr">
        <is>
          <t>Yes</t>
        </is>
      </c>
      <c r="O326" s="5" t="inlineStr">
        <is>
          <t>Covered - keep wording; no change</t>
        </is>
      </c>
      <c r="P326" s="5" t="inlineStr"/>
      <c r="Q326" t="inlineStr">
        <is>
          <t>P2</t>
        </is>
      </c>
      <c r="R326" t="n">
        <v>166</v>
      </c>
      <c r="S326" s="5" t="inlineStr">
        <is>
          <t>Du concept au lancement en 4 étapes, optimisé pour les entreprises de conseil en immigration Étape 1 Découverte et Analyse de Conformité Analyse des pays cibles et cartographie des types de visa Analyse concurrentielle d</t>
        </is>
      </c>
    </row>
    <row r="327">
      <c r="A327" s="3" t="inlineStr">
        <is>
          <t>https://codesommet.com/services/immigration-consultancy-website-development</t>
        </is>
      </c>
      <c r="B327" t="n">
        <v>8</v>
      </c>
      <c r="C327" t="inlineStr">
        <is>
          <t>Pricing / offers</t>
        </is>
      </c>
      <c r="D327" s="5" t="inlineStr">
        <is>
          <t>Solutions Personnalisées, Tarification Transparente</t>
        </is>
      </c>
      <c r="E327" t="inlineStr">
        <is>
          <t>H2</t>
        </is>
      </c>
      <c r="F327" s="5" t="inlineStr">
        <is>
          <t>Commercial / transactional</t>
        </is>
      </c>
      <c r="G327" t="inlineStr">
        <is>
          <t>site web cabinet immigration</t>
        </is>
      </c>
      <c r="H327" t="inlineStr">
        <is>
          <t>SUPPORTS PRIMARY</t>
        </is>
      </c>
      <c r="I327" t="inlineStr">
        <is>
          <t>fr</t>
        </is>
      </c>
      <c r="J327" t="inlineStr">
        <is>
          <t>NOT AVAILABLE</t>
        </is>
      </c>
      <c r="K327" t="inlineStr">
        <is>
          <t>NOT AVAILABLE</t>
        </is>
      </c>
      <c r="L327" t="inlineStr">
        <is>
          <t>NOT AVAILABLE</t>
        </is>
      </c>
      <c r="M327" t="inlineStr">
        <is>
          <t>UNAVAILABLE</t>
        </is>
      </c>
      <c r="N327" t="inlineStr">
        <is>
          <t>Yes (supporting block)</t>
        </is>
      </c>
      <c r="O327" s="5" t="inlineStr">
        <is>
          <t>Supports the primary topic - add only if natural</t>
        </is>
      </c>
      <c r="P327" s="5" t="inlineStr"/>
      <c r="Q327" t="inlineStr">
        <is>
          <t>P2</t>
        </is>
      </c>
      <c r="R327" t="n">
        <v>201</v>
      </c>
      <c r="S327" s="5" t="inlineStr">
        <is>
          <t>Réservez un appel découverte pour discuter de vos besoins spécifiques et obtenir un devis personnalisé Recommandé Développement de Sites Web Site web complet avec fonctionnalités IA, tableaux de bord et design premium li</t>
        </is>
      </c>
    </row>
    <row r="328">
      <c r="A328" s="3" t="inlineStr">
        <is>
          <t>https://codesommet.com/services/immigration-consultancy-website-development</t>
        </is>
      </c>
      <c r="B328" t="n">
        <v>9</v>
      </c>
      <c r="C328" t="inlineStr">
        <is>
          <t>CTA / conversion</t>
        </is>
      </c>
      <c r="D328" s="5" t="inlineStr">
        <is>
          <t>Prêt à Transformer Votre Site Web de Conseil en Immigration ?</t>
        </is>
      </c>
      <c r="E328" t="inlineStr">
        <is>
          <t>H2</t>
        </is>
      </c>
      <c r="F328" s="5" t="inlineStr">
        <is>
          <t>Conversion</t>
        </is>
      </c>
      <c r="G328" t="inlineStr">
        <is>
          <t>—</t>
        </is>
      </c>
      <c r="H328" t="inlineStr">
        <is>
          <t>NONE</t>
        </is>
      </c>
      <c r="I328" t="inlineStr">
        <is>
          <t>—</t>
        </is>
      </c>
      <c r="J328" t="inlineStr">
        <is>
          <t>—</t>
        </is>
      </c>
      <c r="K328" t="inlineStr">
        <is>
          <t>—</t>
        </is>
      </c>
      <c r="L328" t="inlineStr">
        <is>
          <t>—</t>
        </is>
      </c>
      <c r="M328" t="inlineStr">
        <is>
          <t>—</t>
        </is>
      </c>
      <c r="N328" t="inlineStr">
        <is>
          <t>n/a</t>
        </is>
      </c>
      <c r="O328" s="5" t="inlineStr">
        <is>
          <t>No keyword target - keep conversion/navigation focus; use descriptive, non-repeated anchor texts</t>
        </is>
      </c>
      <c r="P328" s="5" t="inlineStr"/>
      <c r="Q328" t="inlineStr">
        <is>
          <t>P2</t>
        </is>
      </c>
      <c r="R328" t="n">
        <v>41</v>
      </c>
      <c r="S328" s="5" t="inlineStr">
        <is>
          <t>Obtenez d'abord une analyse gratuite complète : Audit SEO Vérification des performances Révision du design Recommandations alimentées par l'IA Analyser Votre Site Web - 100% Gratuit Pas de carte de crédit requise • Résul</t>
        </is>
      </c>
    </row>
    <row r="329">
      <c r="A329" s="3" t="inlineStr">
        <is>
          <t>https://codesommet.com/services/immigration-consultancy-website-development</t>
        </is>
      </c>
      <c r="B329" t="n">
        <v>10</v>
      </c>
      <c r="C329" t="inlineStr">
        <is>
          <t>Why us / differentiation</t>
        </is>
      </c>
      <c r="D329" s="5" t="inlineStr">
        <is>
          <t>CodeSommet Conseil en Immigration vs Autres</t>
        </is>
      </c>
      <c r="E329" t="inlineStr">
        <is>
          <t>H2</t>
        </is>
      </c>
      <c r="F329" s="5" t="inlineStr">
        <is>
          <t>Commercial investigation</t>
        </is>
      </c>
      <c r="G329" t="inlineStr">
        <is>
          <t>site web cabinet immigration</t>
        </is>
      </c>
      <c r="H329" t="inlineStr">
        <is>
          <t>SUPPORTS PRIMARY</t>
        </is>
      </c>
      <c r="I329" t="inlineStr">
        <is>
          <t>fr</t>
        </is>
      </c>
      <c r="J329" t="inlineStr">
        <is>
          <t>NOT AVAILABLE</t>
        </is>
      </c>
      <c r="K329" t="inlineStr">
        <is>
          <t>NOT AVAILABLE</t>
        </is>
      </c>
      <c r="L329" t="inlineStr">
        <is>
          <t>NOT AVAILABLE</t>
        </is>
      </c>
      <c r="M329" t="inlineStr">
        <is>
          <t>UNAVAILABLE</t>
        </is>
      </c>
      <c r="N329" t="inlineStr">
        <is>
          <t>Yes (supporting block)</t>
        </is>
      </c>
      <c r="O329" s="5" t="inlineStr">
        <is>
          <t>Supports the primary topic - add only if natural</t>
        </is>
      </c>
      <c r="P329" s="5" t="inlineStr"/>
      <c r="Q329" t="inlineStr">
        <is>
          <t>P2</t>
        </is>
      </c>
      <c r="R329" t="n">
        <v>167</v>
      </c>
      <c r="S329" s="5" t="inlineStr">
        <is>
          <t>Découvrez pourquoi Conseil en Immigration entreprises choisissent CodeSommet plutôt que d'autres agences locales et concurrents internationaux. Fonctionnalité CodeSommet Conseil en Immigration Other Conseil en Immigratio</t>
        </is>
      </c>
    </row>
    <row r="330">
      <c r="A330" s="3" t="inlineStr">
        <is>
          <t>https://codesommet.com/services/immigration-consultancy-website-development</t>
        </is>
      </c>
      <c r="B330" t="n">
        <v>11</v>
      </c>
      <c r="C330" t="inlineStr">
        <is>
          <t>Testimonials / social proof</t>
        </is>
      </c>
      <c r="D330" s="5" t="inlineStr">
        <is>
          <t>Ce que Nos Clients en Conseil en Immigration Disent de Nous</t>
        </is>
      </c>
      <c r="E330" t="inlineStr">
        <is>
          <t>H2</t>
        </is>
      </c>
      <c r="F330" s="5" t="inlineStr">
        <is>
          <t>Commercial investigation</t>
        </is>
      </c>
      <c r="G330" t="inlineStr">
        <is>
          <t>site web cabinet immigration</t>
        </is>
      </c>
      <c r="H330" t="inlineStr">
        <is>
          <t>SUPPORTS PRIMARY</t>
        </is>
      </c>
      <c r="I330" t="inlineStr">
        <is>
          <t>fr</t>
        </is>
      </c>
      <c r="J330" t="inlineStr">
        <is>
          <t>NOT AVAILABLE</t>
        </is>
      </c>
      <c r="K330" t="inlineStr">
        <is>
          <t>NOT AVAILABLE</t>
        </is>
      </c>
      <c r="L330" t="inlineStr">
        <is>
          <t>NOT AVAILABLE</t>
        </is>
      </c>
      <c r="M330" t="inlineStr">
        <is>
          <t>UNAVAILABLE</t>
        </is>
      </c>
      <c r="N330" t="inlineStr">
        <is>
          <t>Yes (supporting block)</t>
        </is>
      </c>
      <c r="O330" s="5" t="inlineStr">
        <is>
          <t>Supports the primary topic - add only if natural</t>
        </is>
      </c>
      <c r="P330" s="5" t="inlineStr"/>
      <c r="Q330" t="inlineStr">
        <is>
          <t>P2</t>
        </is>
      </c>
      <c r="R330" t="n">
        <v>116</v>
      </c>
      <c r="S330" s="5" t="inlineStr">
        <is>
          <t>Ne nous croyez pas sur parole. Écoutez les entreprises en Conseil en Immigration qui ont obtenu des résultats remarquables avec CodeSommet. "Une collaboration professionnelle du début à la fin. Je recommande sans hésiter</t>
        </is>
      </c>
    </row>
    <row r="331">
      <c r="A331" s="3" t="inlineStr">
        <is>
          <t>https://codesommet.com/services/immigration-consultancy-website-development</t>
        </is>
      </c>
      <c r="B331" t="n">
        <v>12</v>
      </c>
      <c r="C331" t="inlineStr">
        <is>
          <t>FAQ</t>
        </is>
      </c>
      <c r="D331" s="5" t="inlineStr">
        <is>
          <t>Questions Fréquemment Posées sur le Développement Web en Conseil en Immigration</t>
        </is>
      </c>
      <c r="E331" t="inlineStr">
        <is>
          <t>H2</t>
        </is>
      </c>
      <c r="F331" s="5" t="inlineStr">
        <is>
          <t>Informational (pre-purchase questions)</t>
        </is>
      </c>
      <c r="G331" t="inlineStr">
        <is>
          <t>site web cabinet immigration</t>
        </is>
      </c>
      <c r="H331" t="inlineStr">
        <is>
          <t>SUPPORTS PRIMARY</t>
        </is>
      </c>
      <c r="I331" t="inlineStr">
        <is>
          <t>fr</t>
        </is>
      </c>
      <c r="J331" t="inlineStr">
        <is>
          <t>NOT AVAILABLE</t>
        </is>
      </c>
      <c r="K331" t="inlineStr">
        <is>
          <t>NOT AVAILABLE</t>
        </is>
      </c>
      <c r="L331" t="inlineStr">
        <is>
          <t>NOT AVAILABLE</t>
        </is>
      </c>
      <c r="M331" t="inlineStr">
        <is>
          <t>UNAVAILABLE</t>
        </is>
      </c>
      <c r="N331" t="inlineStr">
        <is>
          <t>Yes</t>
        </is>
      </c>
      <c r="O331" s="5" t="inlineStr">
        <is>
          <t>Covered - keep wording; no change</t>
        </is>
      </c>
      <c r="P331" s="5" t="inlineStr"/>
      <c r="Q331" t="inlineStr">
        <is>
          <t>P2</t>
        </is>
      </c>
      <c r="R331" t="n">
        <v>647</v>
      </c>
      <c r="S331" s="5" t="inlineStr">
        <is>
          <t>Vous avez des questions ? Nous avons les réponses. Voici les questions les plus courantes de Conseil en Immigration entreprises. 1 Combien de temps faut-il pour construire un site web de conseil en immigration ? Tout dép</t>
        </is>
      </c>
    </row>
    <row r="332">
      <c r="A332" s="3" t="inlineStr">
        <is>
          <t>https://codesommet.com/services/immigration-consultancy-website-development</t>
        </is>
      </c>
      <c r="B332" t="n">
        <v>13</v>
      </c>
      <c r="C332" t="inlineStr">
        <is>
          <t>Services / features</t>
        </is>
      </c>
      <c r="D332" s="5" t="inlineStr">
        <is>
          <t>Au Service de Clients dans le Monde Entier</t>
        </is>
      </c>
      <c r="E332" t="inlineStr">
        <is>
          <t>H2</t>
        </is>
      </c>
      <c r="F332" s="5" t="inlineStr">
        <is>
          <t>Commercial</t>
        </is>
      </c>
      <c r="G332" t="inlineStr">
        <is>
          <t>site web cabinet immigration</t>
        </is>
      </c>
      <c r="H332" t="inlineStr">
        <is>
          <t>SUPPORTS PRIMARY</t>
        </is>
      </c>
      <c r="I332" t="inlineStr">
        <is>
          <t>fr</t>
        </is>
      </c>
      <c r="J332" t="inlineStr">
        <is>
          <t>NOT AVAILABLE</t>
        </is>
      </c>
      <c r="K332" t="inlineStr">
        <is>
          <t>NOT AVAILABLE</t>
        </is>
      </c>
      <c r="L332" t="inlineStr">
        <is>
          <t>NOT AVAILABLE</t>
        </is>
      </c>
      <c r="M332" t="inlineStr">
        <is>
          <t>UNAVAILABLE</t>
        </is>
      </c>
      <c r="N332" t="inlineStr">
        <is>
          <t>Yes (supporting block)</t>
        </is>
      </c>
      <c r="O332" s="5" t="inlineStr">
        <is>
          <t>Supports the primary topic - add only if natural</t>
        </is>
      </c>
      <c r="P332" s="5" t="inlineStr"/>
      <c r="Q332" t="inlineStr">
        <is>
          <t>P2</t>
        </is>
      </c>
      <c r="R332" t="n">
        <v>64</v>
      </c>
      <c r="S332" s="5" t="inlineStr">
        <is>
          <t>Nous avons construit des sites web de conseil en immigration pour des clients à travers le monde. Que vous soyez au Maroc ou ailleurs, nous livrons des solutions de classe mondiale. Dubaï 🇦🇪 UAE Casablanca 🇲🇦 Maroc San F</t>
        </is>
      </c>
    </row>
    <row r="333">
      <c r="A333" s="3" t="inlineStr">
        <is>
          <t>https://codesommet.com/services/immigration-consultancy-website-development</t>
        </is>
      </c>
      <c r="B333" t="n">
        <v>14</v>
      </c>
      <c r="C333" t="inlineStr">
        <is>
          <t>Internal-link block</t>
        </is>
      </c>
      <c r="D333" s="5" t="inlineStr">
        <is>
          <t>Industries Connexes que Nous Servons</t>
        </is>
      </c>
      <c r="E333" t="inlineStr">
        <is>
          <t>H2</t>
        </is>
      </c>
      <c r="F333" s="5" t="inlineStr">
        <is>
          <t>Navigation</t>
        </is>
      </c>
      <c r="G333" t="inlineStr">
        <is>
          <t>—</t>
        </is>
      </c>
      <c r="H333" t="inlineStr">
        <is>
          <t>NONE</t>
        </is>
      </c>
      <c r="I333" t="inlineStr">
        <is>
          <t>—</t>
        </is>
      </c>
      <c r="J333" t="inlineStr">
        <is>
          <t>—</t>
        </is>
      </c>
      <c r="K333" t="inlineStr">
        <is>
          <t>—</t>
        </is>
      </c>
      <c r="L333" t="inlineStr">
        <is>
          <t>—</t>
        </is>
      </c>
      <c r="M333" t="inlineStr">
        <is>
          <t>—</t>
        </is>
      </c>
      <c r="N333" t="inlineStr">
        <is>
          <t>n/a</t>
        </is>
      </c>
      <c r="O333" s="5" t="inlineStr">
        <is>
          <t>No keyword target - keep conversion/navigation focus; use descriptive, non-repeated anchor texts</t>
        </is>
      </c>
      <c r="P333" s="5" t="inlineStr"/>
      <c r="Q333" t="inlineStr">
        <is>
          <t>P2</t>
        </is>
      </c>
      <c r="R333" t="n">
        <v>123</v>
      </c>
      <c r="S333" s="5" t="inlineStr">
        <is>
          <t>Découvrez nos services de développement web spécialisés pour d'autres industries Conseil en Études à l'Étranger Plateformes de cours, systèmes LMS et portails étudiants pour les agences d'études à l'étranger. Écoles de L</t>
        </is>
      </c>
    </row>
    <row r="334">
      <c r="A334" s="3" t="inlineStr">
        <is>
          <t>https://codesommet.com/services/immigration-consultancy-website-development</t>
        </is>
      </c>
      <c r="B334" t="n">
        <v>15</v>
      </c>
      <c r="C334" t="inlineStr">
        <is>
          <t>Internal-link block</t>
        </is>
      </c>
      <c r="D334" s="5" t="inlineStr">
        <is>
          <t>Explorer Plus</t>
        </is>
      </c>
      <c r="E334" t="inlineStr">
        <is>
          <t>H2</t>
        </is>
      </c>
      <c r="F334" s="5" t="inlineStr">
        <is>
          <t>Navigation</t>
        </is>
      </c>
      <c r="G334" t="inlineStr">
        <is>
          <t>—</t>
        </is>
      </c>
      <c r="H334" t="inlineStr">
        <is>
          <t>NONE</t>
        </is>
      </c>
      <c r="I334" t="inlineStr">
        <is>
          <t>—</t>
        </is>
      </c>
      <c r="J334" t="inlineStr">
        <is>
          <t>—</t>
        </is>
      </c>
      <c r="K334" t="inlineStr">
        <is>
          <t>—</t>
        </is>
      </c>
      <c r="L334" t="inlineStr">
        <is>
          <t>—</t>
        </is>
      </c>
      <c r="M334" t="inlineStr">
        <is>
          <t>—</t>
        </is>
      </c>
      <c r="N334" t="inlineStr">
        <is>
          <t>n/a</t>
        </is>
      </c>
      <c r="O334" s="5" t="inlineStr">
        <is>
          <t>No keyword target - keep conversion/navigation focus; use descriptive, non-repeated anchor texts</t>
        </is>
      </c>
      <c r="P334" s="5" t="inlineStr"/>
      <c r="Q334" t="inlineStr">
        <is>
          <t>P2</t>
        </is>
      </c>
      <c r="R334" t="n">
        <v>85</v>
      </c>
      <c r="S334" s="5" t="inlineStr">
        <is>
          <t>Découvrez ce qui fait de CodeSommet votre partenaire idéal en développement web Audit Gratuit de Site Web Obtenez une analyse alimentée par l'IA avec une série complète de vérifications En savoir plus Voir Nos Réalisatio</t>
        </is>
      </c>
    </row>
    <row r="335">
      <c r="A335" s="3" t="inlineStr">
        <is>
          <t>https://codesommet.com/services/immigration-consultancy-website-development</t>
        </is>
      </c>
      <c r="B335" t="n">
        <v>16</v>
      </c>
      <c r="C335" t="inlineStr">
        <is>
          <t>CTA / conversion</t>
        </is>
      </c>
      <c r="D335" s="5" t="inlineStr">
        <is>
          <t>Prêt à Construire Quelque Chose d'Extraordinaire ?</t>
        </is>
      </c>
      <c r="E335" t="inlineStr">
        <is>
          <t>H2</t>
        </is>
      </c>
      <c r="F335" s="5" t="inlineStr">
        <is>
          <t>Conversion</t>
        </is>
      </c>
      <c r="G335" t="inlineStr">
        <is>
          <t>—</t>
        </is>
      </c>
      <c r="H335" t="inlineStr">
        <is>
          <t>NONE</t>
        </is>
      </c>
      <c r="I335" t="inlineStr">
        <is>
          <t>—</t>
        </is>
      </c>
      <c r="J335" t="inlineStr">
        <is>
          <t>—</t>
        </is>
      </c>
      <c r="K335" t="inlineStr">
        <is>
          <t>—</t>
        </is>
      </c>
      <c r="L335" t="inlineStr">
        <is>
          <t>—</t>
        </is>
      </c>
      <c r="M335" t="inlineStr">
        <is>
          <t>—</t>
        </is>
      </c>
      <c r="N335" t="inlineStr">
        <is>
          <t>n/a</t>
        </is>
      </c>
      <c r="O335" s="5" t="inlineStr">
        <is>
          <t>No keyword target - keep conversion/navigation focus; use descriptive, non-repeated anchor texts</t>
        </is>
      </c>
      <c r="P335" s="5" t="inlineStr"/>
      <c r="Q335" t="inlineStr">
        <is>
          <t>P2</t>
        </is>
      </c>
      <c r="R335" t="n">
        <v>117</v>
      </c>
      <c r="S335" s="5" t="inlineStr">
        <is>
          <t>Rejoignez les entreprises visionnaires qui ont choisi l'excellence Réserver un Appel Découverte Analyser Mon Site Gratuitement Réserver un Appel Découverte Analyser Votre Site Web Discutons de comment l'IA et le design m</t>
        </is>
      </c>
    </row>
    <row r="336">
      <c r="A336" s="3" t="inlineStr">
        <is>
          <t>https://codesommet.com/services/real-estate-website-development</t>
        </is>
      </c>
      <c r="B336" t="n">
        <v>1</v>
      </c>
      <c r="C336" t="inlineStr">
        <is>
          <t>Hero / H1</t>
        </is>
      </c>
      <c r="D336" s="5" t="inlineStr">
        <is>
          <t>Sites Web Immobiliers &amp; Portails Sur Mesure qui génèrent des ANNONCES IMMOBILIÈRES</t>
        </is>
      </c>
      <c r="E336" t="inlineStr">
        <is>
          <t>H1</t>
        </is>
      </c>
      <c r="F336" s="5" t="inlineStr">
        <is>
          <t>Commercial</t>
        </is>
      </c>
      <c r="G336" t="inlineStr">
        <is>
          <t>création site immobilier</t>
        </is>
      </c>
      <c r="H336" t="inlineStr">
        <is>
          <t>PRIMARY</t>
        </is>
      </c>
      <c r="I336" t="inlineStr">
        <is>
          <t>fr</t>
        </is>
      </c>
      <c r="J336" t="n">
        <v>390</v>
      </c>
      <c r="K336" t="n">
        <v>19</v>
      </c>
      <c r="L336" t="n">
        <v>4.03</v>
      </c>
      <c r="M336" t="inlineStr">
        <is>
          <t>MEASURED</t>
        </is>
      </c>
      <c r="N336" t="inlineStr">
        <is>
          <t>Partly</t>
        </is>
      </c>
      <c r="O336" s="5" t="inlineStr">
        <is>
          <t>Work "création site immobilier" (or a close natural variant) into existing copy - no new heading needed</t>
        </is>
      </c>
      <c r="P336" s="5" t="inlineStr">
        <is>
          <t>Keyword/variant absent from this section</t>
        </is>
      </c>
      <c r="Q336" t="inlineStr">
        <is>
          <t>P2</t>
        </is>
      </c>
      <c r="R336" t="n">
        <v>60</v>
      </c>
      <c r="S336" s="5" t="inlineStr">
        <is>
          <t>Portails immobiliers sur mesure avec recherche avancée, visites virtuelles, tableaux de bord agents et intégration MLS pour aider agences, courtiers et gestionnaires de biens à générer des prospects acheteurs qualifiés e</t>
        </is>
      </c>
    </row>
    <row r="337">
      <c r="A337" s="3" t="inlineStr">
        <is>
          <t>https://codesommet.com/services/real-estate-website-development</t>
        </is>
      </c>
      <c r="B337" t="n">
        <v>2</v>
      </c>
      <c r="C337" t="inlineStr">
        <is>
          <t>Why us / differentiation</t>
        </is>
      </c>
      <c r="D337" s="5" t="inlineStr">
        <is>
          <t>Pourquoi Choisir CodeSommet dans le secteur Immobilier ?</t>
        </is>
      </c>
      <c r="E337" t="inlineStr">
        <is>
          <t>H2</t>
        </is>
      </c>
      <c r="F337" s="5" t="inlineStr">
        <is>
          <t>Commercial investigation</t>
        </is>
      </c>
      <c r="G337" t="inlineStr">
        <is>
          <t>création site immobilier</t>
        </is>
      </c>
      <c r="H337" t="inlineStr">
        <is>
          <t>SUPPORTS PRIMARY</t>
        </is>
      </c>
      <c r="I337" t="inlineStr">
        <is>
          <t>fr</t>
        </is>
      </c>
      <c r="J337" t="n">
        <v>390</v>
      </c>
      <c r="K337" t="n">
        <v>19</v>
      </c>
      <c r="L337" t="n">
        <v>4.03</v>
      </c>
      <c r="M337" t="inlineStr">
        <is>
          <t>MEASURED</t>
        </is>
      </c>
      <c r="N337" t="inlineStr">
        <is>
          <t>Yes (supporting block)</t>
        </is>
      </c>
      <c r="O337" s="5" t="inlineStr">
        <is>
          <t>Supports the primary topic - add only if natural</t>
        </is>
      </c>
      <c r="P337" s="5" t="inlineStr"/>
      <c r="Q337" t="inlineStr">
        <is>
          <t>P2</t>
        </is>
      </c>
      <c r="R337" t="n">
        <v>171</v>
      </c>
      <c r="S337" s="5" t="inlineStr">
        <is>
          <t>Une expertise locale alliée à des standards internationaux. Voici ce qui fait de nous le partenaire idéal en développement web dans le secteur Immobilier . Recherche Avancée de Biens Recherche multi-filtres avec vue cart</t>
        </is>
      </c>
    </row>
    <row r="338">
      <c r="A338" s="3" t="inlineStr">
        <is>
          <t>https://codesommet.com/services/real-estate-website-development</t>
        </is>
      </c>
      <c r="B338" t="n">
        <v>3</v>
      </c>
      <c r="C338" t="inlineStr">
        <is>
          <t>Proof / portfolio / results</t>
        </is>
      </c>
      <c r="D338" s="5" t="inlineStr">
        <is>
          <t>Adopté par les Immobilier Entreprises</t>
        </is>
      </c>
      <c r="E338" t="inlineStr">
        <is>
          <t>H2</t>
        </is>
      </c>
      <c r="F338" s="5" t="inlineStr">
        <is>
          <t>Commercial investigation</t>
        </is>
      </c>
      <c r="G338" t="inlineStr">
        <is>
          <t>création site immobilier</t>
        </is>
      </c>
      <c r="H338" t="inlineStr">
        <is>
          <t>SUPPORTS PRIMARY</t>
        </is>
      </c>
      <c r="I338" t="inlineStr">
        <is>
          <t>fr</t>
        </is>
      </c>
      <c r="J338" t="n">
        <v>390</v>
      </c>
      <c r="K338" t="n">
        <v>19</v>
      </c>
      <c r="L338" t="n">
        <v>4.03</v>
      </c>
      <c r="M338" t="inlineStr">
        <is>
          <t>MEASURED</t>
        </is>
      </c>
      <c r="N338" t="inlineStr">
        <is>
          <t>Yes (supporting block)</t>
        </is>
      </c>
      <c r="O338" s="5" t="inlineStr">
        <is>
          <t>Supports the primary topic - add only if natural</t>
        </is>
      </c>
      <c r="P338" s="5" t="inlineStr"/>
      <c r="Q338" t="inlineStr">
        <is>
          <t>P2</t>
        </is>
      </c>
      <c r="R338" t="n">
        <v>22</v>
      </c>
      <c r="S338" s="5" t="inlineStr">
        <is>
          <t>Projets livrés sur mesure Prospects générés pour nos clients Clients accompagnés Résultats réels de Immobilier avec lesquelles nous avons collaboré Défis Courants</t>
        </is>
      </c>
    </row>
    <row r="339">
      <c r="A339" s="3" t="inlineStr">
        <is>
          <t>https://codesommet.com/services/real-estate-website-development</t>
        </is>
      </c>
      <c r="B339" t="n">
        <v>4</v>
      </c>
      <c r="C339" t="inlineStr">
        <is>
          <t>Problems / pain points</t>
        </is>
      </c>
      <c r="D339" s="5" t="inlineStr">
        <is>
          <t>Le Défi : Immobilier Les Entreprises Font Face à des Défis Web Uniques</t>
        </is>
      </c>
      <c r="E339" t="inlineStr">
        <is>
          <t>H2</t>
        </is>
      </c>
      <c r="F339" s="5" t="inlineStr">
        <is>
          <t>Commercial</t>
        </is>
      </c>
      <c r="G339" t="inlineStr">
        <is>
          <t>agence web immobilier</t>
        </is>
      </c>
      <c r="H339" t="inlineStr">
        <is>
          <t>SECONDARY</t>
        </is>
      </c>
      <c r="I339" t="inlineStr">
        <is>
          <t>fr</t>
        </is>
      </c>
      <c r="J339" t="n">
        <v>260</v>
      </c>
      <c r="K339" t="n">
        <v>29</v>
      </c>
      <c r="L339" t="n">
        <v>0</v>
      </c>
      <c r="M339" t="inlineStr">
        <is>
          <t>MEASURED</t>
        </is>
      </c>
      <c r="N339" t="inlineStr">
        <is>
          <t>Partly</t>
        </is>
      </c>
      <c r="O339" s="5" t="inlineStr">
        <is>
          <t>Work "agence web immobilier" (or a close natural variant) into existing copy - no new heading needed</t>
        </is>
      </c>
      <c r="P339" s="5" t="inlineStr">
        <is>
          <t>Keyword/variant absent from this section</t>
        </is>
      </c>
      <c r="Q339" t="inlineStr">
        <is>
          <t>P2</t>
        </is>
      </c>
      <c r="R339" t="n">
        <v>230</v>
      </c>
      <c r="S339" s="5" t="inlineStr">
        <is>
          <t>Les développeurs web généralistes ne comprennent pas ces problèmes spécifiques à l'immobilier Les Acheteurs ne Trouvent pas les Biens La recherche traditionnelle est limitée et frustrante. Les acheteurs ont besoin de fil</t>
        </is>
      </c>
    </row>
    <row r="340">
      <c r="A340" s="3" t="inlineStr">
        <is>
          <t>https://codesommet.com/services/real-estate-website-development</t>
        </is>
      </c>
      <c r="B340" t="n">
        <v>5</v>
      </c>
      <c r="C340" t="inlineStr">
        <is>
          <t>Services / features</t>
        </is>
      </c>
      <c r="D340" s="5" t="inlineStr">
        <is>
          <t>Fonctionnalités Essentielles pour Immobilier Sites Web</t>
        </is>
      </c>
      <c r="E340" t="inlineStr">
        <is>
          <t>H2</t>
        </is>
      </c>
      <c r="F340" s="5" t="inlineStr">
        <is>
          <t>Commercial</t>
        </is>
      </c>
      <c r="G340" t="inlineStr">
        <is>
          <t>site internet agence immobilière</t>
        </is>
      </c>
      <c r="H340" t="inlineStr">
        <is>
          <t>SECONDARY</t>
        </is>
      </c>
      <c r="I340" t="inlineStr">
        <is>
          <t>fr</t>
        </is>
      </c>
      <c r="J340" t="n">
        <v>110</v>
      </c>
      <c r="K340" t="n">
        <v>28</v>
      </c>
      <c r="L340" t="n">
        <v>2.8</v>
      </c>
      <c r="M340" t="inlineStr">
        <is>
          <t>MEASURED</t>
        </is>
      </c>
      <c r="N340" t="inlineStr">
        <is>
          <t>Partly</t>
        </is>
      </c>
      <c r="O340" s="5" t="inlineStr">
        <is>
          <t>Work "site internet agence immobilière" (or a close natural variant) into existing copy - no new heading needed</t>
        </is>
      </c>
      <c r="P340" s="5" t="inlineStr">
        <is>
          <t>Keyword/variant absent from this section</t>
        </is>
      </c>
      <c r="Q340" t="inlineStr">
        <is>
          <t>P2</t>
        </is>
      </c>
      <c r="R340" t="n">
        <v>317</v>
      </c>
      <c r="S340" s="5" t="inlineStr">
        <is>
          <t>Tout ce dont votre entreprise immobilière a besoin en une seule plateforme Recherche Avancée de Biens Moteur de recherche multi-filtres par localisation, prix, chambres, équipements et critères personnalisés. Vue carte a</t>
        </is>
      </c>
    </row>
    <row r="341">
      <c r="A341" s="3" t="inlineStr">
        <is>
          <t>https://codesommet.com/services/real-estate-website-development</t>
        </is>
      </c>
      <c r="B341" t="n">
        <v>6</v>
      </c>
      <c r="C341" t="inlineStr">
        <is>
          <t>Testimonials / social proof</t>
        </is>
      </c>
      <c r="D341" s="5" t="inlineStr">
        <is>
          <t>Histoires de Succès en Immobilier</t>
        </is>
      </c>
      <c r="E341" t="inlineStr">
        <is>
          <t>H2</t>
        </is>
      </c>
      <c r="F341" s="5" t="inlineStr">
        <is>
          <t>Commercial investigation</t>
        </is>
      </c>
      <c r="G341" t="inlineStr">
        <is>
          <t>création site immobilier</t>
        </is>
      </c>
      <c r="H341" t="inlineStr">
        <is>
          <t>SUPPORTS PRIMARY</t>
        </is>
      </c>
      <c r="I341" t="inlineStr">
        <is>
          <t>fr</t>
        </is>
      </c>
      <c r="J341" t="n">
        <v>390</v>
      </c>
      <c r="K341" t="n">
        <v>19</v>
      </c>
      <c r="L341" t="n">
        <v>4.03</v>
      </c>
      <c r="M341" t="inlineStr">
        <is>
          <t>MEASURED</t>
        </is>
      </c>
      <c r="N341" t="inlineStr">
        <is>
          <t>Yes (supporting block)</t>
        </is>
      </c>
      <c r="O341" s="5" t="inlineStr">
        <is>
          <t>Supports the primary topic - add only if natural</t>
        </is>
      </c>
      <c r="P341" s="5" t="inlineStr"/>
      <c r="Q341" t="inlineStr">
        <is>
          <t>P2</t>
        </is>
      </c>
      <c r="R341" t="n">
        <v>51</v>
      </c>
      <c r="S341" s="5" t="inlineStr">
        <is>
          <t xml:space="preserve">Projets réels, résultats réels. Découvrez comment nous avons aidé les entreprises en Immobilier à atteindre leurs objectifs numériques. Architecture Akoubri Cabinet d'architecture et de design d'intérieur : portfolio de </t>
        </is>
      </c>
    </row>
    <row r="342">
      <c r="A342" s="3" t="inlineStr">
        <is>
          <t>https://codesommet.com/services/real-estate-website-development</t>
        </is>
      </c>
      <c r="B342" t="n">
        <v>7</v>
      </c>
      <c r="C342" t="inlineStr">
        <is>
          <t>Process / how it works</t>
        </is>
      </c>
      <c r="D342" s="5" t="inlineStr">
        <is>
          <t>Notre Processus de Développement pour Immobilier</t>
        </is>
      </c>
      <c r="E342" t="inlineStr">
        <is>
          <t>H2</t>
        </is>
      </c>
      <c r="F342" s="5" t="inlineStr">
        <is>
          <t>Informational / commercial</t>
        </is>
      </c>
      <c r="G342" t="inlineStr">
        <is>
          <t>création site immobilier</t>
        </is>
      </c>
      <c r="H342" t="inlineStr">
        <is>
          <t>SUPPORTS PRIMARY</t>
        </is>
      </c>
      <c r="I342" t="inlineStr">
        <is>
          <t>fr</t>
        </is>
      </c>
      <c r="J342" t="n">
        <v>390</v>
      </c>
      <c r="K342" t="n">
        <v>19</v>
      </c>
      <c r="L342" t="n">
        <v>4.03</v>
      </c>
      <c r="M342" t="inlineStr">
        <is>
          <t>MEASURED</t>
        </is>
      </c>
      <c r="N342" t="inlineStr">
        <is>
          <t>Yes (supporting block)</t>
        </is>
      </c>
      <c r="O342" s="5" t="inlineStr">
        <is>
          <t>Supports the primary topic - add only if natural</t>
        </is>
      </c>
      <c r="P342" s="5" t="inlineStr"/>
      <c r="Q342" t="inlineStr">
        <is>
          <t>P2</t>
        </is>
      </c>
      <c r="R342" t="n">
        <v>158</v>
      </c>
      <c r="S342" s="5" t="inlineStr">
        <is>
          <t>Du concept au lancement en 4 étapes, optimisé pour les entreprises immobilières Étape 1 Découverte &amp; Design du Portail Immobilier Analyse du marché cible et recherche de personas acheteurs Analyse des plateformes immobil</t>
        </is>
      </c>
    </row>
    <row r="343">
      <c r="A343" s="3" t="inlineStr">
        <is>
          <t>https://codesommet.com/services/real-estate-website-development</t>
        </is>
      </c>
      <c r="B343" t="n">
        <v>8</v>
      </c>
      <c r="C343" t="inlineStr">
        <is>
          <t>Pricing / offers</t>
        </is>
      </c>
      <c r="D343" s="5" t="inlineStr">
        <is>
          <t>Solutions Personnalisées, Tarification Transparente</t>
        </is>
      </c>
      <c r="E343" t="inlineStr">
        <is>
          <t>H2</t>
        </is>
      </c>
      <c r="F343" s="5" t="inlineStr">
        <is>
          <t>Commercial / transactional</t>
        </is>
      </c>
      <c r="G343" t="inlineStr">
        <is>
          <t>création site immobilier</t>
        </is>
      </c>
      <c r="H343" t="inlineStr">
        <is>
          <t>SUPPORTS PRIMARY</t>
        </is>
      </c>
      <c r="I343" t="inlineStr">
        <is>
          <t>fr</t>
        </is>
      </c>
      <c r="J343" t="n">
        <v>390</v>
      </c>
      <c r="K343" t="n">
        <v>19</v>
      </c>
      <c r="L343" t="n">
        <v>4.03</v>
      </c>
      <c r="M343" t="inlineStr">
        <is>
          <t>MEASURED</t>
        </is>
      </c>
      <c r="N343" t="inlineStr">
        <is>
          <t>Yes (supporting block)</t>
        </is>
      </c>
      <c r="O343" s="5" t="inlineStr">
        <is>
          <t>Supports the primary topic - add only if natural</t>
        </is>
      </c>
      <c r="P343" s="5" t="inlineStr"/>
      <c r="Q343" t="inlineStr">
        <is>
          <t>P2</t>
        </is>
      </c>
      <c r="R343" t="n">
        <v>201</v>
      </c>
      <c r="S343" s="5" t="inlineStr">
        <is>
          <t>Réservez un appel découverte pour discuter de vos besoins spécifiques et obtenir un devis personnalisé Recommandé Développement de Sites Web Site web complet avec fonctionnalités IA, tableaux de bord et design premium li</t>
        </is>
      </c>
    </row>
    <row r="344">
      <c r="A344" s="3" t="inlineStr">
        <is>
          <t>https://codesommet.com/services/real-estate-website-development</t>
        </is>
      </c>
      <c r="B344" t="n">
        <v>9</v>
      </c>
      <c r="C344" t="inlineStr">
        <is>
          <t>CTA / conversion</t>
        </is>
      </c>
      <c r="D344" s="5" t="inlineStr">
        <is>
          <t>Prêt à Transformer Votre Site Web Immobilier ?</t>
        </is>
      </c>
      <c r="E344" t="inlineStr">
        <is>
          <t>H2</t>
        </is>
      </c>
      <c r="F344" s="5" t="inlineStr">
        <is>
          <t>Conversion</t>
        </is>
      </c>
      <c r="G344" t="inlineStr">
        <is>
          <t>—</t>
        </is>
      </c>
      <c r="H344" t="inlineStr">
        <is>
          <t>NONE</t>
        </is>
      </c>
      <c r="I344" t="inlineStr">
        <is>
          <t>—</t>
        </is>
      </c>
      <c r="J344" t="inlineStr">
        <is>
          <t>—</t>
        </is>
      </c>
      <c r="K344" t="inlineStr">
        <is>
          <t>—</t>
        </is>
      </c>
      <c r="L344" t="inlineStr">
        <is>
          <t>—</t>
        </is>
      </c>
      <c r="M344" t="inlineStr">
        <is>
          <t>—</t>
        </is>
      </c>
      <c r="N344" t="inlineStr">
        <is>
          <t>n/a</t>
        </is>
      </c>
      <c r="O344" s="5" t="inlineStr">
        <is>
          <t>No keyword target - keep conversion/navigation focus; use descriptive, non-repeated anchor texts</t>
        </is>
      </c>
      <c r="P344" s="5" t="inlineStr"/>
      <c r="Q344" t="inlineStr">
        <is>
          <t>P2</t>
        </is>
      </c>
      <c r="R344" t="n">
        <v>41</v>
      </c>
      <c r="S344" s="5" t="inlineStr">
        <is>
          <t>Obtenez d'abord une analyse gratuite complète : Audit SEO Vérification des performances Révision du design Recommandations alimentées par l'IA Analyser Votre Site Web - 100 % Gratuit Pas de carte de crédit requise • Résu</t>
        </is>
      </c>
    </row>
    <row r="345">
      <c r="A345" s="3" t="inlineStr">
        <is>
          <t>https://codesommet.com/services/real-estate-website-development</t>
        </is>
      </c>
      <c r="B345" t="n">
        <v>10</v>
      </c>
      <c r="C345" t="inlineStr">
        <is>
          <t>Why us / differentiation</t>
        </is>
      </c>
      <c r="D345" s="5" t="inlineStr">
        <is>
          <t>CodeSommet Immobilier vs Autres</t>
        </is>
      </c>
      <c r="E345" t="inlineStr">
        <is>
          <t>H2</t>
        </is>
      </c>
      <c r="F345" s="5" t="inlineStr">
        <is>
          <t>Commercial investigation</t>
        </is>
      </c>
      <c r="G345" t="inlineStr">
        <is>
          <t>création site immobilier</t>
        </is>
      </c>
      <c r="H345" t="inlineStr">
        <is>
          <t>SUPPORTS PRIMARY</t>
        </is>
      </c>
      <c r="I345" t="inlineStr">
        <is>
          <t>fr</t>
        </is>
      </c>
      <c r="J345" t="n">
        <v>390</v>
      </c>
      <c r="K345" t="n">
        <v>19</v>
      </c>
      <c r="L345" t="n">
        <v>4.03</v>
      </c>
      <c r="M345" t="inlineStr">
        <is>
          <t>MEASURED</t>
        </is>
      </c>
      <c r="N345" t="inlineStr">
        <is>
          <t>Yes (supporting block)</t>
        </is>
      </c>
      <c r="O345" s="5" t="inlineStr">
        <is>
          <t>Supports the primary topic - add only if natural</t>
        </is>
      </c>
      <c r="P345" s="5" t="inlineStr"/>
      <c r="Q345" t="inlineStr">
        <is>
          <t>P2</t>
        </is>
      </c>
      <c r="R345" t="n">
        <v>219</v>
      </c>
      <c r="S345" s="5" t="inlineStr">
        <is>
          <t>Découvrez pourquoi Immobilier entreprises choisissent CodeSommet plutôt que d'autres agences locales et concurrents internationaux. Fonctionnalité CodeSommet Immobilier Other Immobilier Agences Agences Internationales Pr</t>
        </is>
      </c>
    </row>
    <row r="346">
      <c r="A346" s="3" t="inlineStr">
        <is>
          <t>https://codesommet.com/services/real-estate-website-development</t>
        </is>
      </c>
      <c r="B346" t="n">
        <v>11</v>
      </c>
      <c r="C346" t="inlineStr">
        <is>
          <t>Testimonials / social proof</t>
        </is>
      </c>
      <c r="D346" s="5" t="inlineStr">
        <is>
          <t>Ce que Nos Clients en Immobilier Disent de Nous</t>
        </is>
      </c>
      <c r="E346" t="inlineStr">
        <is>
          <t>H2</t>
        </is>
      </c>
      <c r="F346" s="5" t="inlineStr">
        <is>
          <t>Commercial investigation</t>
        </is>
      </c>
      <c r="G346" t="inlineStr">
        <is>
          <t>création site immobilier</t>
        </is>
      </c>
      <c r="H346" t="inlineStr">
        <is>
          <t>SUPPORTS PRIMARY</t>
        </is>
      </c>
      <c r="I346" t="inlineStr">
        <is>
          <t>fr</t>
        </is>
      </c>
      <c r="J346" t="n">
        <v>390</v>
      </c>
      <c r="K346" t="n">
        <v>19</v>
      </c>
      <c r="L346" t="n">
        <v>4.03</v>
      </c>
      <c r="M346" t="inlineStr">
        <is>
          <t>MEASURED</t>
        </is>
      </c>
      <c r="N346" t="inlineStr">
        <is>
          <t>Yes (supporting block)</t>
        </is>
      </c>
      <c r="O346" s="5" t="inlineStr">
        <is>
          <t>Supports the primary topic - add only if natural</t>
        </is>
      </c>
      <c r="P346" s="5" t="inlineStr"/>
      <c r="Q346" t="inlineStr">
        <is>
          <t>P2</t>
        </is>
      </c>
      <c r="R346" t="n">
        <v>108</v>
      </c>
      <c r="S346" s="5" t="inlineStr">
        <is>
          <t xml:space="preserve">Ne nous croyez pas sur parole. Écoutez les entreprises en Immobilier qui ont obtenu des résultats remarquables avec CodeSommet. "Une collaboration professionnelle du début à la fin. Je recommande sans hésiter." Mohammed </t>
        </is>
      </c>
    </row>
    <row r="347">
      <c r="A347" s="3" t="inlineStr">
        <is>
          <t>https://codesommet.com/services/real-estate-website-development</t>
        </is>
      </c>
      <c r="B347" t="n">
        <v>12</v>
      </c>
      <c r="C347" t="inlineStr">
        <is>
          <t>FAQ</t>
        </is>
      </c>
      <c r="D347" s="5" t="inlineStr">
        <is>
          <t>Questions Fréquemment Posées sur le Développement Web en Immobilier</t>
        </is>
      </c>
      <c r="E347" t="inlineStr">
        <is>
          <t>H2</t>
        </is>
      </c>
      <c r="F347" s="5" t="inlineStr">
        <is>
          <t>Informational (pre-purchase questions)</t>
        </is>
      </c>
      <c r="G347" t="inlineStr">
        <is>
          <t>création site immobilier</t>
        </is>
      </c>
      <c r="H347" t="inlineStr">
        <is>
          <t>SUPPORTS PRIMARY</t>
        </is>
      </c>
      <c r="I347" t="inlineStr">
        <is>
          <t>fr</t>
        </is>
      </c>
      <c r="J347" t="n">
        <v>390</v>
      </c>
      <c r="K347" t="n">
        <v>19</v>
      </c>
      <c r="L347" t="n">
        <v>4.03</v>
      </c>
      <c r="M347" t="inlineStr">
        <is>
          <t>MEASURED</t>
        </is>
      </c>
      <c r="N347" t="inlineStr">
        <is>
          <t>Yes</t>
        </is>
      </c>
      <c r="O347" s="5" t="inlineStr">
        <is>
          <t>Covered - keep wording; no change</t>
        </is>
      </c>
      <c r="P347" s="5" t="inlineStr"/>
      <c r="Q347" t="inlineStr">
        <is>
          <t>P2</t>
        </is>
      </c>
      <c r="R347" t="n">
        <v>556</v>
      </c>
      <c r="S347" s="5" t="inlineStr">
        <is>
          <t>Vous avez des questions ? Nous avons les réponses. Voici les questions les plus courantes de Immobilier entreprises. 1 Combien de temps faut-il pour créer un site web immobilier ? Cela dépend du périmètre : un site d'age</t>
        </is>
      </c>
    </row>
    <row r="348">
      <c r="A348" s="3" t="inlineStr">
        <is>
          <t>https://codesommet.com/services/real-estate-website-development</t>
        </is>
      </c>
      <c r="B348" t="n">
        <v>13</v>
      </c>
      <c r="C348" t="inlineStr">
        <is>
          <t>Services / features</t>
        </is>
      </c>
      <c r="D348" s="5" t="inlineStr">
        <is>
          <t>Au Service de Clients dans le Monde Entier</t>
        </is>
      </c>
      <c r="E348" t="inlineStr">
        <is>
          <t>H2</t>
        </is>
      </c>
      <c r="F348" s="5" t="inlineStr">
        <is>
          <t>Commercial</t>
        </is>
      </c>
      <c r="G348" t="inlineStr">
        <is>
          <t>création site web agence immobilière</t>
        </is>
      </c>
      <c r="H348" t="inlineStr">
        <is>
          <t>SECONDARY</t>
        </is>
      </c>
      <c r="I348" t="inlineStr">
        <is>
          <t>fr</t>
        </is>
      </c>
      <c r="J348" t="n">
        <v>90</v>
      </c>
      <c r="K348" t="n">
        <v>19</v>
      </c>
      <c r="L348" t="n">
        <v>0</v>
      </c>
      <c r="M348" t="inlineStr">
        <is>
          <t>MEASURED</t>
        </is>
      </c>
      <c r="N348" t="inlineStr">
        <is>
          <t>Partly</t>
        </is>
      </c>
      <c r="O348" s="5" t="inlineStr">
        <is>
          <t>Work "création site web agence immobilière" (or a close natural variant) into existing copy - no new heading needed</t>
        </is>
      </c>
      <c r="P348" s="5" t="inlineStr">
        <is>
          <t>Keyword/variant absent from this section</t>
        </is>
      </c>
      <c r="Q348" t="inlineStr">
        <is>
          <t>P2</t>
        </is>
      </c>
      <c r="R348" t="n">
        <v>82</v>
      </c>
      <c r="S348" s="5" t="inlineStr">
        <is>
          <t>Nous avons créé des sites web immobiliers pour des clients du monde entier. Que vous soyez au Maroc ou ailleurs, nous livrons des solutions de classe mondiale. Dubaï 🇦🇪 UAE Casablanca 🇲🇦 Maroc San Francisco 🇺🇸 États-Unis</t>
        </is>
      </c>
    </row>
    <row r="349">
      <c r="A349" s="3" t="inlineStr">
        <is>
          <t>https://codesommet.com/services/real-estate-website-development</t>
        </is>
      </c>
      <c r="B349" t="n">
        <v>14</v>
      </c>
      <c r="C349" t="inlineStr">
        <is>
          <t>Internal-link block</t>
        </is>
      </c>
      <c r="D349" s="5" t="inlineStr">
        <is>
          <t>Industries Connexes que Nous Servons</t>
        </is>
      </c>
      <c r="E349" t="inlineStr">
        <is>
          <t>H2</t>
        </is>
      </c>
      <c r="F349" s="5" t="inlineStr">
        <is>
          <t>Navigation</t>
        </is>
      </c>
      <c r="G349" t="inlineStr">
        <is>
          <t>—</t>
        </is>
      </c>
      <c r="H349" t="inlineStr">
        <is>
          <t>NONE</t>
        </is>
      </c>
      <c r="I349" t="inlineStr">
        <is>
          <t>—</t>
        </is>
      </c>
      <c r="J349" t="inlineStr">
        <is>
          <t>—</t>
        </is>
      </c>
      <c r="K349" t="inlineStr">
        <is>
          <t>—</t>
        </is>
      </c>
      <c r="L349" t="inlineStr">
        <is>
          <t>—</t>
        </is>
      </c>
      <c r="M349" t="inlineStr">
        <is>
          <t>—</t>
        </is>
      </c>
      <c r="N349" t="inlineStr">
        <is>
          <t>n/a</t>
        </is>
      </c>
      <c r="O349" s="5" t="inlineStr">
        <is>
          <t>No keyword target - keep conversion/navigation focus; use descriptive, non-repeated anchor texts</t>
        </is>
      </c>
      <c r="P349" s="5" t="inlineStr"/>
      <c r="Q349" t="inlineStr">
        <is>
          <t>P2</t>
        </is>
      </c>
      <c r="R349" t="n">
        <v>117</v>
      </c>
      <c r="S349" s="5" t="inlineStr">
        <is>
          <t xml:space="preserve">Découvrez nos services de développement web spécialisés pour d'autres industries Conseil en Études à l'Étranger Plateformes de cours, systèmes LMS et portails étudiants pour les agences d'études à l'étranger. E-commerce </t>
        </is>
      </c>
    </row>
    <row r="350">
      <c r="A350" s="3" t="inlineStr">
        <is>
          <t>https://codesommet.com/services/real-estate-website-development</t>
        </is>
      </c>
      <c r="B350" t="n">
        <v>15</v>
      </c>
      <c r="C350" t="inlineStr">
        <is>
          <t>Internal-link block</t>
        </is>
      </c>
      <c r="D350" s="5" t="inlineStr">
        <is>
          <t>Articles liés</t>
        </is>
      </c>
      <c r="E350" t="inlineStr">
        <is>
          <t>H2</t>
        </is>
      </c>
      <c r="F350" s="5" t="inlineStr">
        <is>
          <t>Navigation</t>
        </is>
      </c>
      <c r="G350" t="inlineStr">
        <is>
          <t>—</t>
        </is>
      </c>
      <c r="H350" t="inlineStr">
        <is>
          <t>NONE</t>
        </is>
      </c>
      <c r="I350" t="inlineStr">
        <is>
          <t>—</t>
        </is>
      </c>
      <c r="J350" t="inlineStr">
        <is>
          <t>—</t>
        </is>
      </c>
      <c r="K350" t="inlineStr">
        <is>
          <t>—</t>
        </is>
      </c>
      <c r="L350" t="inlineStr">
        <is>
          <t>—</t>
        </is>
      </c>
      <c r="M350" t="inlineStr">
        <is>
          <t>—</t>
        </is>
      </c>
      <c r="N350" t="inlineStr">
        <is>
          <t>n/a</t>
        </is>
      </c>
      <c r="O350" s="5" t="inlineStr">
        <is>
          <t>No keyword target - keep conversion/navigation focus; use descriptive, non-repeated anchor texts</t>
        </is>
      </c>
      <c r="P350" s="5" t="inlineStr"/>
      <c r="Q350" t="inlineStr">
        <is>
          <t>P2</t>
        </is>
      </c>
      <c r="R350" t="n">
        <v>72</v>
      </c>
      <c r="S350" s="5" t="inlineStr">
        <is>
          <t>Guides et conseils de notre blog pour approfondir ce type de projet. Développement Web 20 août 2026 · 7 min de lecture Site immobilier : comment structurer les annonces pour le SEO et la conversion Une annonce immobilièr</t>
        </is>
      </c>
    </row>
    <row r="351">
      <c r="A351" s="3" t="inlineStr">
        <is>
          <t>https://codesommet.com/services/real-estate-website-development</t>
        </is>
      </c>
      <c r="B351" t="n">
        <v>16</v>
      </c>
      <c r="C351" t="inlineStr">
        <is>
          <t>Internal-link block</t>
        </is>
      </c>
      <c r="D351" s="5" t="inlineStr">
        <is>
          <t>Explorer Plus</t>
        </is>
      </c>
      <c r="E351" t="inlineStr">
        <is>
          <t>H2</t>
        </is>
      </c>
      <c r="F351" s="5" t="inlineStr">
        <is>
          <t>Navigation</t>
        </is>
      </c>
      <c r="G351" t="inlineStr">
        <is>
          <t>—</t>
        </is>
      </c>
      <c r="H351" t="inlineStr">
        <is>
          <t>NONE</t>
        </is>
      </c>
      <c r="I351" t="inlineStr">
        <is>
          <t>—</t>
        </is>
      </c>
      <c r="J351" t="inlineStr">
        <is>
          <t>—</t>
        </is>
      </c>
      <c r="K351" t="inlineStr">
        <is>
          <t>—</t>
        </is>
      </c>
      <c r="L351" t="inlineStr">
        <is>
          <t>—</t>
        </is>
      </c>
      <c r="M351" t="inlineStr">
        <is>
          <t>—</t>
        </is>
      </c>
      <c r="N351" t="inlineStr">
        <is>
          <t>n/a</t>
        </is>
      </c>
      <c r="O351" s="5" t="inlineStr">
        <is>
          <t>No keyword target - keep conversion/navigation focus; use descriptive, non-repeated anchor texts</t>
        </is>
      </c>
      <c r="P351" s="5" t="inlineStr"/>
      <c r="Q351" t="inlineStr">
        <is>
          <t>P2</t>
        </is>
      </c>
      <c r="R351" t="n">
        <v>85</v>
      </c>
      <c r="S351" s="5" t="inlineStr">
        <is>
          <t>Découvrez ce qui fait de CodeSommet votre partenaire idéal en développement web Audit Gratuit de Site Web Obtenez une analyse alimentée par l'IA avec une série complète de vérifications En savoir plus Voir Nos Réalisatio</t>
        </is>
      </c>
    </row>
    <row r="352">
      <c r="A352" s="3" t="inlineStr">
        <is>
          <t>https://codesommet.com/services/real-estate-website-development</t>
        </is>
      </c>
      <c r="B352" t="n">
        <v>17</v>
      </c>
      <c r="C352" t="inlineStr">
        <is>
          <t>CTA / conversion</t>
        </is>
      </c>
      <c r="D352" s="5" t="inlineStr">
        <is>
          <t>Prêt à Construire Quelque Chose d'Extraordinaire ?</t>
        </is>
      </c>
      <c r="E352" t="inlineStr">
        <is>
          <t>H2</t>
        </is>
      </c>
      <c r="F352" s="5" t="inlineStr">
        <is>
          <t>Conversion</t>
        </is>
      </c>
      <c r="G352" t="inlineStr">
        <is>
          <t>—</t>
        </is>
      </c>
      <c r="H352" t="inlineStr">
        <is>
          <t>NONE</t>
        </is>
      </c>
      <c r="I352" t="inlineStr">
        <is>
          <t>—</t>
        </is>
      </c>
      <c r="J352" t="inlineStr">
        <is>
          <t>—</t>
        </is>
      </c>
      <c r="K352" t="inlineStr">
        <is>
          <t>—</t>
        </is>
      </c>
      <c r="L352" t="inlineStr">
        <is>
          <t>—</t>
        </is>
      </c>
      <c r="M352" t="inlineStr">
        <is>
          <t>—</t>
        </is>
      </c>
      <c r="N352" t="inlineStr">
        <is>
          <t>n/a</t>
        </is>
      </c>
      <c r="O352" s="5" t="inlineStr">
        <is>
          <t>No keyword target - keep conversion/navigation focus; use descriptive, non-repeated anchor texts</t>
        </is>
      </c>
      <c r="P352" s="5" t="inlineStr"/>
      <c r="Q352" t="inlineStr">
        <is>
          <t>P2</t>
        </is>
      </c>
      <c r="R352" t="n">
        <v>117</v>
      </c>
      <c r="S352" s="5" t="inlineStr">
        <is>
          <t>Rejoignez les entreprises visionnaires qui ont choisi l'excellence Réserver un Appel Découverte Analyser Mon Site Gratuitement Réserver un Appel Découverte Analyser Votre Site Web Discutons de comment l'IA et le design m</t>
        </is>
      </c>
    </row>
    <row r="353">
      <c r="A353" s="3" t="inlineStr">
        <is>
          <t>https://codesommet.com/services/telemedicine-platform-development</t>
        </is>
      </c>
      <c r="B353" t="n">
        <v>1</v>
      </c>
      <c r="C353" t="inlineStr">
        <is>
          <t>Hero / H1</t>
        </is>
      </c>
      <c r="D353" s="5" t="inlineStr">
        <is>
          <t>Développement de PLATEFORMES DE TÉLÉMÉDECINE</t>
        </is>
      </c>
      <c r="E353" t="inlineStr">
        <is>
          <t>H1</t>
        </is>
      </c>
      <c r="F353" s="5" t="inlineStr">
        <is>
          <t>Commercial</t>
        </is>
      </c>
      <c r="G353" t="inlineStr">
        <is>
          <t>logiciel téléconsultation</t>
        </is>
      </c>
      <c r="H353" t="inlineStr">
        <is>
          <t>PRIMARY</t>
        </is>
      </c>
      <c r="I353" t="inlineStr">
        <is>
          <t>fr</t>
        </is>
      </c>
      <c r="J353" t="n">
        <v>210</v>
      </c>
      <c r="K353" t="n">
        <v>29</v>
      </c>
      <c r="L353" t="n">
        <v>4.75</v>
      </c>
      <c r="M353" t="inlineStr">
        <is>
          <t>MEASURED</t>
        </is>
      </c>
      <c r="N353" t="inlineStr">
        <is>
          <t>Partly</t>
        </is>
      </c>
      <c r="O353" s="5" t="inlineStr">
        <is>
          <t>Work "logiciel téléconsultation" (or a close natural variant) into existing copy - no new heading needed</t>
        </is>
      </c>
      <c r="P353" s="5" t="inlineStr">
        <is>
          <t>Keyword/variant absent from this section</t>
        </is>
      </c>
      <c r="Q353" t="inlineStr">
        <is>
          <t>P2</t>
        </is>
      </c>
      <c r="R353" t="n">
        <v>110</v>
      </c>
      <c r="S353" s="5" t="inlineStr">
        <is>
          <t>Développement spécialisé de plateformes de télémédecine pour les cliniques virtuelles, les médecins en ligne et les prestataires de soins à distance. Nous concevons des plateformes de télésanté avec consultations vidéo s</t>
        </is>
      </c>
    </row>
    <row r="354">
      <c r="A354" s="3" t="inlineStr">
        <is>
          <t>https://codesommet.com/services/telemedicine-platform-development</t>
        </is>
      </c>
      <c r="B354" t="n">
        <v>2</v>
      </c>
      <c r="C354" t="inlineStr">
        <is>
          <t>Internal-link block</t>
        </is>
      </c>
      <c r="D354" s="5" t="inlineStr">
        <is>
          <t>Articles liés</t>
        </is>
      </c>
      <c r="E354" t="inlineStr">
        <is>
          <t>H2</t>
        </is>
      </c>
      <c r="F354" s="5" t="inlineStr">
        <is>
          <t>Navigation</t>
        </is>
      </c>
      <c r="G354" t="inlineStr">
        <is>
          <t>—</t>
        </is>
      </c>
      <c r="H354" t="inlineStr">
        <is>
          <t>NONE</t>
        </is>
      </c>
      <c r="I354" t="inlineStr">
        <is>
          <t>—</t>
        </is>
      </c>
      <c r="J354" t="inlineStr">
        <is>
          <t>—</t>
        </is>
      </c>
      <c r="K354" t="inlineStr">
        <is>
          <t>—</t>
        </is>
      </c>
      <c r="L354" t="inlineStr">
        <is>
          <t>—</t>
        </is>
      </c>
      <c r="M354" t="inlineStr">
        <is>
          <t>—</t>
        </is>
      </c>
      <c r="N354" t="inlineStr">
        <is>
          <t>n/a</t>
        </is>
      </c>
      <c r="O354" s="5" t="inlineStr">
        <is>
          <t>No keyword target - keep conversion/navigation focus; use descriptive, non-repeated anchor texts</t>
        </is>
      </c>
      <c r="P354" s="5" t="inlineStr"/>
      <c r="Q354" t="inlineStr">
        <is>
          <t>P2</t>
        </is>
      </c>
      <c r="R354" t="n">
        <v>71</v>
      </c>
      <c r="S354" s="5" t="inlineStr">
        <is>
          <t>Guides et conseils de notre blog pour approfondir ce type de projet. Développement Web 12 août 2026 · 7 min de lecture Site web de télémédecine pour cabinet ou clinique : que doit-il contenir ? Proposer des téléconsultat</t>
        </is>
      </c>
    </row>
    <row r="355">
      <c r="A355" s="3" t="inlineStr">
        <is>
          <t>https://codesommet.com/services/telemedicine-platform-development</t>
        </is>
      </c>
      <c r="B355" t="n">
        <v>3</v>
      </c>
      <c r="C355" t="inlineStr">
        <is>
          <t>Why us / differentiation</t>
        </is>
      </c>
      <c r="D355" s="5" t="inlineStr">
        <is>
          <t>Pourquoi Choisir CodeSommet dans le secteur Télémédecine &amp; Virtual Care ?</t>
        </is>
      </c>
      <c r="E355" t="inlineStr">
        <is>
          <t>H2</t>
        </is>
      </c>
      <c r="F355" s="5" t="inlineStr">
        <is>
          <t>Commercial investigation</t>
        </is>
      </c>
      <c r="G355" t="inlineStr">
        <is>
          <t>logiciel téléconsultation</t>
        </is>
      </c>
      <c r="H355" t="inlineStr">
        <is>
          <t>SUPPORTS PRIMARY</t>
        </is>
      </c>
      <c r="I355" t="inlineStr">
        <is>
          <t>fr</t>
        </is>
      </c>
      <c r="J355" t="n">
        <v>210</v>
      </c>
      <c r="K355" t="n">
        <v>29</v>
      </c>
      <c r="L355" t="n">
        <v>4.75</v>
      </c>
      <c r="M355" t="inlineStr">
        <is>
          <t>MEASURED</t>
        </is>
      </c>
      <c r="N355" t="inlineStr">
        <is>
          <t>Yes (supporting block)</t>
        </is>
      </c>
      <c r="O355" s="5" t="inlineStr">
        <is>
          <t>Supports the primary topic - add only if natural</t>
        </is>
      </c>
      <c r="P355" s="5" t="inlineStr"/>
      <c r="Q355" t="inlineStr">
        <is>
          <t>P2</t>
        </is>
      </c>
      <c r="R355" t="n">
        <v>227</v>
      </c>
      <c r="S355" s="5" t="inlineStr">
        <is>
          <t xml:space="preserve">Une expertise locale alliée à des standards internationaux. Voici ce qui fait de nous le partenaire idéal en développement de plateforme dans le secteur Télémédecine &amp; Virtual Care . Les Plateformes de Télémédecine Sont </t>
        </is>
      </c>
    </row>
    <row r="356">
      <c r="A356" s="3" t="inlineStr">
        <is>
          <t>https://codesommet.com/services/telemedicine-platform-development</t>
        </is>
      </c>
      <c r="B356" t="n">
        <v>4</v>
      </c>
      <c r="C356" t="inlineStr">
        <is>
          <t>Proof / portfolio / results</t>
        </is>
      </c>
      <c r="D356" s="5" t="inlineStr">
        <is>
          <t>Adopté par les Télémédecine &amp; Virtual Care Entreprises</t>
        </is>
      </c>
      <c r="E356" t="inlineStr">
        <is>
          <t>H2</t>
        </is>
      </c>
      <c r="F356" s="5" t="inlineStr">
        <is>
          <t>Commercial investigation</t>
        </is>
      </c>
      <c r="G356" t="inlineStr">
        <is>
          <t>logiciel téléconsultation</t>
        </is>
      </c>
      <c r="H356" t="inlineStr">
        <is>
          <t>SUPPORTS PRIMARY</t>
        </is>
      </c>
      <c r="I356" t="inlineStr">
        <is>
          <t>fr</t>
        </is>
      </c>
      <c r="J356" t="n">
        <v>210</v>
      </c>
      <c r="K356" t="n">
        <v>29</v>
      </c>
      <c r="L356" t="n">
        <v>4.75</v>
      </c>
      <c r="M356" t="inlineStr">
        <is>
          <t>MEASURED</t>
        </is>
      </c>
      <c r="N356" t="inlineStr">
        <is>
          <t>Yes (supporting block)</t>
        </is>
      </c>
      <c r="O356" s="5" t="inlineStr">
        <is>
          <t>Supports the primary topic - add only if natural</t>
        </is>
      </c>
      <c r="P356" s="5" t="inlineStr"/>
      <c r="Q356" t="inlineStr">
        <is>
          <t>P2</t>
        </is>
      </c>
      <c r="R356" t="n">
        <v>24</v>
      </c>
      <c r="S356" s="5" t="inlineStr">
        <is>
          <t>Projets livrés sur mesure Prospects générés pour nos clients Clients accompagnés Résultats réels de Télémédecine &amp; Virtual Care avec lesquelles nous avons collaboré Défis Courants</t>
        </is>
      </c>
    </row>
    <row r="357">
      <c r="A357" s="3" t="inlineStr">
        <is>
          <t>https://codesommet.com/services/telemedicine-platform-development</t>
        </is>
      </c>
      <c r="B357" t="n">
        <v>5</v>
      </c>
      <c r="C357" t="inlineStr">
        <is>
          <t>Problems / pain points</t>
        </is>
      </c>
      <c r="D357" s="5" t="inlineStr">
        <is>
          <t>Le Défi : Télémédecine &amp; Virtual Care Les Entreprises de Télémédecine Font Face à des Défis Uniques</t>
        </is>
      </c>
      <c r="E357" t="inlineStr">
        <is>
          <t>H2</t>
        </is>
      </c>
      <c r="F357" s="5" t="inlineStr">
        <is>
          <t>Commercial</t>
        </is>
      </c>
      <c r="G357" t="inlineStr">
        <is>
          <t>logiciel télémédecine</t>
        </is>
      </c>
      <c r="H357" t="inlineStr">
        <is>
          <t>SECONDARY</t>
        </is>
      </c>
      <c r="I357" t="inlineStr">
        <is>
          <t>fr</t>
        </is>
      </c>
      <c r="J357" t="n">
        <v>140</v>
      </c>
      <c r="K357" t="n">
        <v>21</v>
      </c>
      <c r="L357" t="n">
        <v>0</v>
      </c>
      <c r="M357" t="inlineStr">
        <is>
          <t>MEASURED</t>
        </is>
      </c>
      <c r="N357" t="inlineStr">
        <is>
          <t>Partly</t>
        </is>
      </c>
      <c r="O357" s="5" t="inlineStr">
        <is>
          <t>Work "logiciel télémédecine" (or a close natural variant) into existing copy - no new heading needed</t>
        </is>
      </c>
      <c r="P357" s="5" t="inlineStr">
        <is>
          <t>Keyword/variant absent from this section</t>
        </is>
      </c>
      <c r="Q357" t="inlineStr">
        <is>
          <t>P2</t>
        </is>
      </c>
      <c r="R357" t="n">
        <v>374</v>
      </c>
      <c r="S357" s="5" t="inlineStr">
        <is>
          <t xml:space="preserve">Les développeurs web généralistes ne comprennent pas ces problèmes spécifiques à la télémédecine &amp; soins virtuels Les Plateformes Génériques ne sont pas Conformes HIPAA Zoom et Google Meet ne répondent pas aux exigences </t>
        </is>
      </c>
    </row>
    <row r="358">
      <c r="A358" s="3" t="inlineStr">
        <is>
          <t>https://codesommet.com/services/telemedicine-platform-development</t>
        </is>
      </c>
      <c r="B358" t="n">
        <v>6</v>
      </c>
      <c r="C358" t="inlineStr">
        <is>
          <t>Services / features</t>
        </is>
      </c>
      <c r="D358" s="5" t="inlineStr">
        <is>
          <t>Fonctionnalités Essentielles pour Télémédecine &amp; Virtual Care Plateformes</t>
        </is>
      </c>
      <c r="E358" t="inlineStr">
        <is>
          <t>H2</t>
        </is>
      </c>
      <c r="F358" s="5" t="inlineStr">
        <is>
          <t>Commercial</t>
        </is>
      </c>
      <c r="G358" t="inlineStr">
        <is>
          <t>plateforme téléconsultation</t>
        </is>
      </c>
      <c r="H358" t="inlineStr">
        <is>
          <t>SECONDARY</t>
        </is>
      </c>
      <c r="I358" t="inlineStr">
        <is>
          <t>fr</t>
        </is>
      </c>
      <c r="J358" t="n">
        <v>70</v>
      </c>
      <c r="K358" t="n">
        <v>74</v>
      </c>
      <c r="L358" t="n">
        <v>2.15</v>
      </c>
      <c r="M358" t="inlineStr">
        <is>
          <t>MEASURED</t>
        </is>
      </c>
      <c r="N358" t="inlineStr">
        <is>
          <t>Partly</t>
        </is>
      </c>
      <c r="O358" s="5" t="inlineStr">
        <is>
          <t>Work "plateforme téléconsultation" (or a close natural variant) into existing copy - no new heading needed</t>
        </is>
      </c>
      <c r="P358" s="5" t="inlineStr">
        <is>
          <t>Keyword/variant absent from this section</t>
        </is>
      </c>
      <c r="Q358" t="inlineStr">
        <is>
          <t>P2</t>
        </is>
      </c>
      <c r="R358" t="n">
        <v>185</v>
      </c>
      <c r="S358" s="5" t="inlineStr">
        <is>
          <t>Tout ce dont votre entreprise de télémédecine &amp; soins virtuels a besoin en une seule plateforme Plateforme de Consultation Vidéo Appels vidéo HD conformes HIPAA avec partage d'écran, téléchargement de fichiers et enregis</t>
        </is>
      </c>
    </row>
    <row r="359">
      <c r="A359" s="3" t="inlineStr">
        <is>
          <t>https://codesommet.com/services/telemedicine-platform-development</t>
        </is>
      </c>
      <c r="B359" t="n">
        <v>7</v>
      </c>
      <c r="C359" t="inlineStr">
        <is>
          <t>Testimonials / social proof</t>
        </is>
      </c>
      <c r="D359" s="5" t="inlineStr">
        <is>
          <t>Histoires de Succès en Télémédecine &amp; Virtual Care</t>
        </is>
      </c>
      <c r="E359" t="inlineStr">
        <is>
          <t>H2</t>
        </is>
      </c>
      <c r="F359" s="5" t="inlineStr">
        <is>
          <t>Commercial investigation</t>
        </is>
      </c>
      <c r="G359" t="inlineStr">
        <is>
          <t>logiciel téléconsultation</t>
        </is>
      </c>
      <c r="H359" t="inlineStr">
        <is>
          <t>SUPPORTS PRIMARY</t>
        </is>
      </c>
      <c r="I359" t="inlineStr">
        <is>
          <t>fr</t>
        </is>
      </c>
      <c r="J359" t="n">
        <v>210</v>
      </c>
      <c r="K359" t="n">
        <v>29</v>
      </c>
      <c r="L359" t="n">
        <v>4.75</v>
      </c>
      <c r="M359" t="inlineStr">
        <is>
          <t>MEASURED</t>
        </is>
      </c>
      <c r="N359" t="inlineStr">
        <is>
          <t>Yes (supporting block)</t>
        </is>
      </c>
      <c r="O359" s="5" t="inlineStr">
        <is>
          <t>Supports the primary topic - add only if natural</t>
        </is>
      </c>
      <c r="P359" s="5" t="inlineStr"/>
      <c r="Q359" t="inlineStr">
        <is>
          <t>P2</t>
        </is>
      </c>
      <c r="R359" t="n">
        <v>47</v>
      </c>
      <c r="S359" s="5" t="inlineStr">
        <is>
          <t xml:space="preserve">Projets réels, résultats réels. Découvrez comment nous avons aidé les entreprises en Télémédecine &amp; Virtual Care à atteindre leurs objectifs numériques. Santé Dental Pro Boutique en ligne de matériel et pièces dentaires </t>
        </is>
      </c>
    </row>
    <row r="360">
      <c r="A360" s="3" t="inlineStr">
        <is>
          <t>https://codesommet.com/services/telemedicine-platform-development</t>
        </is>
      </c>
      <c r="B360" t="n">
        <v>8</v>
      </c>
      <c r="C360" t="inlineStr">
        <is>
          <t>Process / how it works</t>
        </is>
      </c>
      <c r="D360" s="5" t="inlineStr">
        <is>
          <t>Notre Processus de Développement pour Télémédecine &amp; Virtual Care</t>
        </is>
      </c>
      <c r="E360" t="inlineStr">
        <is>
          <t>H2</t>
        </is>
      </c>
      <c r="F360" s="5" t="inlineStr">
        <is>
          <t>Informational / commercial</t>
        </is>
      </c>
      <c r="G360" t="inlineStr">
        <is>
          <t>logiciel téléconsultation</t>
        </is>
      </c>
      <c r="H360" t="inlineStr">
        <is>
          <t>SUPPORTS PRIMARY</t>
        </is>
      </c>
      <c r="I360" t="inlineStr">
        <is>
          <t>fr</t>
        </is>
      </c>
      <c r="J360" t="n">
        <v>210</v>
      </c>
      <c r="K360" t="n">
        <v>29</v>
      </c>
      <c r="L360" t="n">
        <v>4.75</v>
      </c>
      <c r="M360" t="inlineStr">
        <is>
          <t>MEASURED</t>
        </is>
      </c>
      <c r="N360" t="inlineStr">
        <is>
          <t>Yes (supporting block)</t>
        </is>
      </c>
      <c r="O360" s="5" t="inlineStr">
        <is>
          <t>Supports the primary topic - add only if natural</t>
        </is>
      </c>
      <c r="P360" s="5" t="inlineStr"/>
      <c r="Q360" t="inlineStr">
        <is>
          <t>P2</t>
        </is>
      </c>
      <c r="R360" t="n">
        <v>173</v>
      </c>
      <c r="S360" s="5" t="inlineStr">
        <is>
          <t>Du concept au lancement en 4 étapes, optimisé pour les entreprises de télémédecine &amp; soins virtuels Étape 1 Discovery &amp; Stratégie Télémédecine Analyse du flux de travail de télémédecine et définition des cas d'utilisatio</t>
        </is>
      </c>
    </row>
    <row r="361">
      <c r="A361" s="3" t="inlineStr">
        <is>
          <t>https://codesommet.com/services/telemedicine-platform-development</t>
        </is>
      </c>
      <c r="B361" t="n">
        <v>9</v>
      </c>
      <c r="C361" t="inlineStr">
        <is>
          <t>Pricing / offers</t>
        </is>
      </c>
      <c r="D361" s="5" t="inlineStr">
        <is>
          <t>Solutions Personnalisées, Tarification Transparente</t>
        </is>
      </c>
      <c r="E361" t="inlineStr">
        <is>
          <t>H2</t>
        </is>
      </c>
      <c r="F361" s="5" t="inlineStr">
        <is>
          <t>Commercial / transactional</t>
        </is>
      </c>
      <c r="G361" t="inlineStr">
        <is>
          <t>logiciel téléconsultation</t>
        </is>
      </c>
      <c r="H361" t="inlineStr">
        <is>
          <t>SUPPORTS PRIMARY</t>
        </is>
      </c>
      <c r="I361" t="inlineStr">
        <is>
          <t>fr</t>
        </is>
      </c>
      <c r="J361" t="n">
        <v>210</v>
      </c>
      <c r="K361" t="n">
        <v>29</v>
      </c>
      <c r="L361" t="n">
        <v>4.75</v>
      </c>
      <c r="M361" t="inlineStr">
        <is>
          <t>MEASURED</t>
        </is>
      </c>
      <c r="N361" t="inlineStr">
        <is>
          <t>Yes (supporting block)</t>
        </is>
      </c>
      <c r="O361" s="5" t="inlineStr">
        <is>
          <t>Supports the primary topic - add only if natural</t>
        </is>
      </c>
      <c r="P361" s="5" t="inlineStr"/>
      <c r="Q361" t="inlineStr">
        <is>
          <t>P2</t>
        </is>
      </c>
      <c r="R361" t="n">
        <v>200</v>
      </c>
      <c r="S361" s="5" t="inlineStr">
        <is>
          <t xml:space="preserve">Réservez un appel découverte pour discuter de vos besoins spécifiques et obtenir un devis personnalisé Recommandé Développement de Plateforme Plateforme de télémédecine complète avec fonctionnalités IA, tableaux de bord </t>
        </is>
      </c>
    </row>
    <row r="362">
      <c r="A362" s="3" t="inlineStr">
        <is>
          <t>https://codesommet.com/services/telemedicine-platform-development</t>
        </is>
      </c>
      <c r="B362" t="n">
        <v>10</v>
      </c>
      <c r="C362" t="inlineStr">
        <is>
          <t>CTA / conversion</t>
        </is>
      </c>
      <c r="D362" s="5" t="inlineStr">
        <is>
          <t>Prêt à Transformer Votre Plateforme de Télémédecine &amp; Soins Virtuels ?</t>
        </is>
      </c>
      <c r="E362" t="inlineStr">
        <is>
          <t>H2</t>
        </is>
      </c>
      <c r="F362" s="5" t="inlineStr">
        <is>
          <t>Conversion</t>
        </is>
      </c>
      <c r="G362" t="inlineStr">
        <is>
          <t>—</t>
        </is>
      </c>
      <c r="H362" t="inlineStr">
        <is>
          <t>NONE</t>
        </is>
      </c>
      <c r="I362" t="inlineStr">
        <is>
          <t>—</t>
        </is>
      </c>
      <c r="J362" t="inlineStr">
        <is>
          <t>—</t>
        </is>
      </c>
      <c r="K362" t="inlineStr">
        <is>
          <t>—</t>
        </is>
      </c>
      <c r="L362" t="inlineStr">
        <is>
          <t>—</t>
        </is>
      </c>
      <c r="M362" t="inlineStr">
        <is>
          <t>—</t>
        </is>
      </c>
      <c r="N362" t="inlineStr">
        <is>
          <t>n/a</t>
        </is>
      </c>
      <c r="O362" s="5" t="inlineStr">
        <is>
          <t>No keyword target - keep conversion/navigation focus; use descriptive, non-repeated anchor texts</t>
        </is>
      </c>
      <c r="P362" s="5" t="inlineStr"/>
      <c r="Q362" t="inlineStr">
        <is>
          <t>P2</t>
        </is>
      </c>
      <c r="R362" t="n">
        <v>41</v>
      </c>
      <c r="S362" s="5" t="inlineStr">
        <is>
          <t>Obtenez d'abord une analyse gratuite complète : Audit SEO Vérification des performances Révision du design Recommandations alimentées par l'IA Analyser Votre Site Web - 100 % Gratuit Pas de carte de crédit requise • Résu</t>
        </is>
      </c>
    </row>
    <row r="363">
      <c r="A363" s="3" t="inlineStr">
        <is>
          <t>https://codesommet.com/services/telemedicine-platform-development</t>
        </is>
      </c>
      <c r="B363" t="n">
        <v>11</v>
      </c>
      <c r="C363" t="inlineStr">
        <is>
          <t>Why us / differentiation</t>
        </is>
      </c>
      <c r="D363" s="5" t="inlineStr">
        <is>
          <t>CodeSommet Télémédecine &amp; Virtual Care vs Autres</t>
        </is>
      </c>
      <c r="E363" t="inlineStr">
        <is>
          <t>H2</t>
        </is>
      </c>
      <c r="F363" s="5" t="inlineStr">
        <is>
          <t>Commercial investigation</t>
        </is>
      </c>
      <c r="G363" t="inlineStr">
        <is>
          <t>logiciel téléconsultation</t>
        </is>
      </c>
      <c r="H363" t="inlineStr">
        <is>
          <t>SUPPORTS PRIMARY</t>
        </is>
      </c>
      <c r="I363" t="inlineStr">
        <is>
          <t>fr</t>
        </is>
      </c>
      <c r="J363" t="n">
        <v>210</v>
      </c>
      <c r="K363" t="n">
        <v>29</v>
      </c>
      <c r="L363" t="n">
        <v>4.75</v>
      </c>
      <c r="M363" t="inlineStr">
        <is>
          <t>MEASURED</t>
        </is>
      </c>
      <c r="N363" t="inlineStr">
        <is>
          <t>Yes (supporting block)</t>
        </is>
      </c>
      <c r="O363" s="5" t="inlineStr">
        <is>
          <t>Supports the primary topic - add only if natural</t>
        </is>
      </c>
      <c r="P363" s="5" t="inlineStr"/>
      <c r="Q363" t="inlineStr">
        <is>
          <t>P2</t>
        </is>
      </c>
      <c r="R363" t="n">
        <v>145</v>
      </c>
      <c r="S363" s="5" t="inlineStr">
        <is>
          <t>Découvrez pourquoi Télémédecine &amp; Virtual Care entreprises choisissent CodeSommet plutôt que d'autres agences locales et concurrents internationaux. Fonctionnalité CodeSommet Télémédecine &amp; Virtual Care Other Télémédecin</t>
        </is>
      </c>
    </row>
    <row r="364">
      <c r="A364" s="3" t="inlineStr">
        <is>
          <t>https://codesommet.com/services/telemedicine-platform-development</t>
        </is>
      </c>
      <c r="B364" t="n">
        <v>12</v>
      </c>
      <c r="C364" t="inlineStr">
        <is>
          <t>Testimonials / social proof</t>
        </is>
      </c>
      <c r="D364" s="5" t="inlineStr">
        <is>
          <t>Ce que Nos Clients en Télémédecine &amp; Virtual Care Disent de Nous</t>
        </is>
      </c>
      <c r="E364" t="inlineStr">
        <is>
          <t>H2</t>
        </is>
      </c>
      <c r="F364" s="5" t="inlineStr">
        <is>
          <t>Commercial investigation</t>
        </is>
      </c>
      <c r="G364" t="inlineStr">
        <is>
          <t>logiciel téléconsultation</t>
        </is>
      </c>
      <c r="H364" t="inlineStr">
        <is>
          <t>SUPPORTS PRIMARY</t>
        </is>
      </c>
      <c r="I364" t="inlineStr">
        <is>
          <t>fr</t>
        </is>
      </c>
      <c r="J364" t="n">
        <v>210</v>
      </c>
      <c r="K364" t="n">
        <v>29</v>
      </c>
      <c r="L364" t="n">
        <v>4.75</v>
      </c>
      <c r="M364" t="inlineStr">
        <is>
          <t>MEASURED</t>
        </is>
      </c>
      <c r="N364" t="inlineStr">
        <is>
          <t>Yes (supporting block)</t>
        </is>
      </c>
      <c r="O364" s="5" t="inlineStr">
        <is>
          <t>Supports the primary topic - add only if natural</t>
        </is>
      </c>
      <c r="P364" s="5" t="inlineStr"/>
      <c r="Q364" t="inlineStr">
        <is>
          <t>P2</t>
        </is>
      </c>
      <c r="R364" t="n">
        <v>107</v>
      </c>
      <c r="S364" s="5" t="inlineStr">
        <is>
          <t>Ne nous croyez pas sur parole. Écoutez les entreprises en Télémédecine &amp; Virtual Care qui ont obtenu des résultats remarquables avec CodeSommet. "Une collaboration professionnelle du début à la fin. Je recommande sans hé</t>
        </is>
      </c>
    </row>
    <row r="365">
      <c r="A365" s="3" t="inlineStr">
        <is>
          <t>https://codesommet.com/services/telemedicine-platform-development</t>
        </is>
      </c>
      <c r="B365" t="n">
        <v>13</v>
      </c>
      <c r="C365" t="inlineStr">
        <is>
          <t>FAQ</t>
        </is>
      </c>
      <c r="D365" s="5" t="inlineStr">
        <is>
          <t>Questions Fréquemment Posées sur le Développement de Plateforme en Télémédecine &amp; Virtual Care</t>
        </is>
      </c>
      <c r="E365" t="inlineStr">
        <is>
          <t>H2</t>
        </is>
      </c>
      <c r="F365" s="5" t="inlineStr">
        <is>
          <t>Informational (pre-purchase questions)</t>
        </is>
      </c>
      <c r="G365" t="inlineStr">
        <is>
          <t>logiciel téléconsultation</t>
        </is>
      </c>
      <c r="H365" t="inlineStr">
        <is>
          <t>SUPPORTS PRIMARY</t>
        </is>
      </c>
      <c r="I365" t="inlineStr">
        <is>
          <t>fr</t>
        </is>
      </c>
      <c r="J365" t="n">
        <v>210</v>
      </c>
      <c r="K365" t="n">
        <v>29</v>
      </c>
      <c r="L365" t="n">
        <v>4.75</v>
      </c>
      <c r="M365" t="inlineStr">
        <is>
          <t>MEASURED</t>
        </is>
      </c>
      <c r="N365" t="inlineStr">
        <is>
          <t>Yes (supporting block)</t>
        </is>
      </c>
      <c r="O365" s="5" t="inlineStr">
        <is>
          <t>Supports the primary topic - add only if natural</t>
        </is>
      </c>
      <c r="P365" s="5" t="inlineStr"/>
      <c r="Q365" t="inlineStr">
        <is>
          <t>P2</t>
        </is>
      </c>
      <c r="R365" t="n">
        <v>509</v>
      </c>
      <c r="S365" s="5" t="inlineStr">
        <is>
          <t>Vous avez des questions ? Nous avons les réponses. Voici les questions les plus courantes de Télémédecine &amp; Virtual Care entreprises. 1 Combien de temps faut-il pour créer une plateforme de télémédecine ? Le délai dépend</t>
        </is>
      </c>
    </row>
    <row r="366">
      <c r="A366" s="3" t="inlineStr">
        <is>
          <t>https://codesommet.com/services/telemedicine-platform-development</t>
        </is>
      </c>
      <c r="B366" t="n">
        <v>14</v>
      </c>
      <c r="C366" t="inlineStr">
        <is>
          <t>Services / features</t>
        </is>
      </c>
      <c r="D366" s="5" t="inlineStr">
        <is>
          <t>Au Service de Clients dans le Monde Entier</t>
        </is>
      </c>
      <c r="E366" t="inlineStr">
        <is>
          <t>H2</t>
        </is>
      </c>
      <c r="F366" s="5" t="inlineStr">
        <is>
          <t>Commercial</t>
        </is>
      </c>
      <c r="G366" t="inlineStr">
        <is>
          <t>plateforme de télémédecine</t>
        </is>
      </c>
      <c r="H366" t="inlineStr">
        <is>
          <t>SECONDARY</t>
        </is>
      </c>
      <c r="I366" t="inlineStr">
        <is>
          <t>fr</t>
        </is>
      </c>
      <c r="J366" t="n">
        <v>20</v>
      </c>
      <c r="K366" t="inlineStr">
        <is>
          <t>NOT AVAILABLE</t>
        </is>
      </c>
      <c r="L366" t="n">
        <v>3</v>
      </c>
      <c r="M366" t="inlineStr">
        <is>
          <t>MEASURED</t>
        </is>
      </c>
      <c r="N366" t="inlineStr">
        <is>
          <t>Yes</t>
        </is>
      </c>
      <c r="O366" s="5" t="inlineStr">
        <is>
          <t>Covered - keep wording; no change</t>
        </is>
      </c>
      <c r="P366" s="5" t="inlineStr"/>
      <c r="Q366" t="inlineStr">
        <is>
          <t>P2</t>
        </is>
      </c>
      <c r="R366" t="n">
        <v>63</v>
      </c>
      <c r="S366" s="5" t="inlineStr">
        <is>
          <t xml:space="preserve">Nous avons créé des plateformes de télémédecine &amp; soins virtuels pour des clients du monde entier. Que vous soyez au Maroc ou ailleurs, nous livrons des solutions de classe mondiale. Dubaï 🇦🇪 UAE Casablanca 🇲🇦 Maroc San </t>
        </is>
      </c>
    </row>
    <row r="367">
      <c r="A367" s="3" t="inlineStr">
        <is>
          <t>https://codesommet.com/services/telemedicine-platform-development</t>
        </is>
      </c>
      <c r="B367" t="n">
        <v>15</v>
      </c>
      <c r="C367" t="inlineStr">
        <is>
          <t>Internal-link block</t>
        </is>
      </c>
      <c r="D367" s="5" t="inlineStr">
        <is>
          <t>Industries Connexes que Nous Servons</t>
        </is>
      </c>
      <c r="E367" t="inlineStr">
        <is>
          <t>H2</t>
        </is>
      </c>
      <c r="F367" s="5" t="inlineStr">
        <is>
          <t>Navigation</t>
        </is>
      </c>
      <c r="G367" t="inlineStr">
        <is>
          <t>—</t>
        </is>
      </c>
      <c r="H367" t="inlineStr">
        <is>
          <t>NONE</t>
        </is>
      </c>
      <c r="I367" t="inlineStr">
        <is>
          <t>—</t>
        </is>
      </c>
      <c r="J367" t="inlineStr">
        <is>
          <t>—</t>
        </is>
      </c>
      <c r="K367" t="inlineStr">
        <is>
          <t>—</t>
        </is>
      </c>
      <c r="L367" t="inlineStr">
        <is>
          <t>—</t>
        </is>
      </c>
      <c r="M367" t="inlineStr">
        <is>
          <t>—</t>
        </is>
      </c>
      <c r="N367" t="inlineStr">
        <is>
          <t>n/a</t>
        </is>
      </c>
      <c r="O367" s="5" t="inlineStr">
        <is>
          <t>No keyword target - keep conversion/navigation focus; use descriptive, non-repeated anchor texts</t>
        </is>
      </c>
      <c r="P367" s="5" t="inlineStr"/>
      <c r="Q367" t="inlineStr">
        <is>
          <t>P2</t>
        </is>
      </c>
      <c r="R367" t="n">
        <v>120</v>
      </c>
      <c r="S367" s="5" t="inlineStr">
        <is>
          <t>Découvrez nos services de développement de plateformes spécialisés pour d'autres industries Santé Sites web de cliniques, systèmes de prise de rendez-vous et portails patients conformes aux réglementations de santé. Télé</t>
        </is>
      </c>
    </row>
    <row r="368">
      <c r="A368" s="3" t="inlineStr">
        <is>
          <t>https://codesommet.com/services/telemedicine-platform-development</t>
        </is>
      </c>
      <c r="B368" t="n">
        <v>16</v>
      </c>
      <c r="C368" t="inlineStr">
        <is>
          <t>Internal-link block</t>
        </is>
      </c>
      <c r="D368" s="5" t="inlineStr">
        <is>
          <t>Explorer Plus</t>
        </is>
      </c>
      <c r="E368" t="inlineStr">
        <is>
          <t>H2</t>
        </is>
      </c>
      <c r="F368" s="5" t="inlineStr">
        <is>
          <t>Navigation</t>
        </is>
      </c>
      <c r="G368" t="inlineStr">
        <is>
          <t>—</t>
        </is>
      </c>
      <c r="H368" t="inlineStr">
        <is>
          <t>NONE</t>
        </is>
      </c>
      <c r="I368" t="inlineStr">
        <is>
          <t>—</t>
        </is>
      </c>
      <c r="J368" t="inlineStr">
        <is>
          <t>—</t>
        </is>
      </c>
      <c r="K368" t="inlineStr">
        <is>
          <t>—</t>
        </is>
      </c>
      <c r="L368" t="inlineStr">
        <is>
          <t>—</t>
        </is>
      </c>
      <c r="M368" t="inlineStr">
        <is>
          <t>—</t>
        </is>
      </c>
      <c r="N368" t="inlineStr">
        <is>
          <t>n/a</t>
        </is>
      </c>
      <c r="O368" s="5" t="inlineStr">
        <is>
          <t>No keyword target - keep conversion/navigation focus; use descriptive, non-repeated anchor texts</t>
        </is>
      </c>
      <c r="P368" s="5" t="inlineStr"/>
      <c r="Q368" t="inlineStr">
        <is>
          <t>P2</t>
        </is>
      </c>
      <c r="R368" t="n">
        <v>86</v>
      </c>
      <c r="S368" s="5" t="inlineStr">
        <is>
          <t xml:space="preserve">Découvrez ce qui fait de CodeSommet votre partenaire idéal en développement de plateformes Audit Gratuit de Site Web Obtenez une analyse alimentée par l'IA avec une batterie complète de vérifications En savoir plus Voir </t>
        </is>
      </c>
    </row>
    <row r="369">
      <c r="A369" s="3" t="inlineStr">
        <is>
          <t>https://codesommet.com/services/telemedicine-platform-development</t>
        </is>
      </c>
      <c r="B369" t="n">
        <v>17</v>
      </c>
      <c r="C369" t="inlineStr">
        <is>
          <t>CTA / conversion</t>
        </is>
      </c>
      <c r="D369" s="5" t="inlineStr">
        <is>
          <t>Prêt à Construire Quelque Chose d'Extraordinaire ?</t>
        </is>
      </c>
      <c r="E369" t="inlineStr">
        <is>
          <t>H2</t>
        </is>
      </c>
      <c r="F369" s="5" t="inlineStr">
        <is>
          <t>Conversion</t>
        </is>
      </c>
      <c r="G369" t="inlineStr">
        <is>
          <t>—</t>
        </is>
      </c>
      <c r="H369" t="inlineStr">
        <is>
          <t>NONE</t>
        </is>
      </c>
      <c r="I369" t="inlineStr">
        <is>
          <t>—</t>
        </is>
      </c>
      <c r="J369" t="inlineStr">
        <is>
          <t>—</t>
        </is>
      </c>
      <c r="K369" t="inlineStr">
        <is>
          <t>—</t>
        </is>
      </c>
      <c r="L369" t="inlineStr">
        <is>
          <t>—</t>
        </is>
      </c>
      <c r="M369" t="inlineStr">
        <is>
          <t>—</t>
        </is>
      </c>
      <c r="N369" t="inlineStr">
        <is>
          <t>n/a</t>
        </is>
      </c>
      <c r="O369" s="5" t="inlineStr">
        <is>
          <t>No keyword target - keep conversion/navigation focus; use descriptive, non-repeated anchor texts</t>
        </is>
      </c>
      <c r="P369" s="5" t="inlineStr"/>
      <c r="Q369" t="inlineStr">
        <is>
          <t>P2</t>
        </is>
      </c>
      <c r="R369" t="n">
        <v>119</v>
      </c>
      <c r="S369" s="5" t="inlineStr">
        <is>
          <t>Rejoignez les entreprises visionnaires qui ont choisi l'excellence Réserver un Appel Découverte Analyser Mon Site Gratuitement Réserver un Appel Découverte Analyser Votre Site Web Discutons de comment l'IA et le design m</t>
        </is>
      </c>
    </row>
    <row r="370">
      <c r="A370" s="3" t="inlineStr">
        <is>
          <t>https://codesommet.com/services/telemedicine-website-development</t>
        </is>
      </c>
      <c r="B370" t="n">
        <v>1</v>
      </c>
      <c r="C370" t="inlineStr">
        <is>
          <t>Hero / H1</t>
        </is>
      </c>
      <c r="D370" s="5" t="inlineStr">
        <is>
          <t>Site Web Cabinet Médical &amp; Télémédecine : nous créons des SITES WEB MÉDICAUX</t>
        </is>
      </c>
      <c r="E370" t="inlineStr">
        <is>
          <t>H1</t>
        </is>
      </c>
      <c r="F370" s="5" t="inlineStr">
        <is>
          <t>Commercial</t>
        </is>
      </c>
      <c r="G370" t="inlineStr">
        <is>
          <t>site web cabinet médical</t>
        </is>
      </c>
      <c r="H370" t="inlineStr">
        <is>
          <t>PRIMARY</t>
        </is>
      </c>
      <c r="I370" t="inlineStr">
        <is>
          <t>fr</t>
        </is>
      </c>
      <c r="J370" t="n">
        <v>20</v>
      </c>
      <c r="K370" t="inlineStr">
        <is>
          <t>NOT AVAILABLE</t>
        </is>
      </c>
      <c r="L370" t="n">
        <v>0</v>
      </c>
      <c r="M370" t="inlineStr">
        <is>
          <t>MEASURED</t>
        </is>
      </c>
      <c r="N370" t="inlineStr">
        <is>
          <t>Yes</t>
        </is>
      </c>
      <c r="O370" s="5" t="inlineStr">
        <is>
          <t>Covered - keep wording; no change</t>
        </is>
      </c>
      <c r="P370" s="5" t="inlineStr"/>
      <c r="Q370" t="inlineStr">
        <is>
          <t>P2</t>
        </is>
      </c>
      <c r="R370" t="n">
        <v>101</v>
      </c>
      <c r="S370" s="5" t="inlineStr">
        <is>
          <t>Création de sites web pour cabinets médicaux, cliniques et médecins proposant des consultations à distance. Nous construisons des sites qui présentent vos spécialités, simplifient la prise de rendez-vous et rassurent les</t>
        </is>
      </c>
    </row>
    <row r="371">
      <c r="A371" s="3" t="inlineStr">
        <is>
          <t>https://codesommet.com/services/telemedicine-website-development</t>
        </is>
      </c>
      <c r="B371" t="n">
        <v>2</v>
      </c>
      <c r="C371" t="inlineStr">
        <is>
          <t>Internal-link block</t>
        </is>
      </c>
      <c r="D371" s="5" t="inlineStr">
        <is>
          <t>Articles liés</t>
        </is>
      </c>
      <c r="E371" t="inlineStr">
        <is>
          <t>H2</t>
        </is>
      </c>
      <c r="F371" s="5" t="inlineStr">
        <is>
          <t>Navigation</t>
        </is>
      </c>
      <c r="G371" t="inlineStr">
        <is>
          <t>—</t>
        </is>
      </c>
      <c r="H371" t="inlineStr">
        <is>
          <t>NONE</t>
        </is>
      </c>
      <c r="I371" t="inlineStr">
        <is>
          <t>—</t>
        </is>
      </c>
      <c r="J371" t="inlineStr">
        <is>
          <t>—</t>
        </is>
      </c>
      <c r="K371" t="inlineStr">
        <is>
          <t>—</t>
        </is>
      </c>
      <c r="L371" t="inlineStr">
        <is>
          <t>—</t>
        </is>
      </c>
      <c r="M371" t="inlineStr">
        <is>
          <t>—</t>
        </is>
      </c>
      <c r="N371" t="inlineStr">
        <is>
          <t>n/a</t>
        </is>
      </c>
      <c r="O371" s="5" t="inlineStr">
        <is>
          <t>No keyword target - keep conversion/navigation focus; use descriptive, non-repeated anchor texts</t>
        </is>
      </c>
      <c r="P371" s="5" t="inlineStr"/>
      <c r="Q371" t="inlineStr">
        <is>
          <t>P2</t>
        </is>
      </c>
      <c r="R371" t="n">
        <v>71</v>
      </c>
      <c r="S371" s="5" t="inlineStr">
        <is>
          <t>Guides et conseils de notre blog pour approfondir ce type de projet. Développement Web 12 août 2026 · 7 min de lecture Site web de télémédecine pour cabinet ou clinique : que doit-il contenir ? Proposer des téléconsultat</t>
        </is>
      </c>
    </row>
    <row r="372">
      <c r="A372" s="3" t="inlineStr">
        <is>
          <t>https://codesommet.com/services/telemedicine-website-development</t>
        </is>
      </c>
      <c r="B372" t="n">
        <v>3</v>
      </c>
      <c r="C372" t="inlineStr">
        <is>
          <t>Why us / differentiation</t>
        </is>
      </c>
      <c r="D372" s="5" t="inlineStr">
        <is>
          <t>Pourquoi Choisir CodeSommet dans le secteur Télémédecine &amp; Virtual Care ?</t>
        </is>
      </c>
      <c r="E372" t="inlineStr">
        <is>
          <t>H2</t>
        </is>
      </c>
      <c r="F372" s="5" t="inlineStr">
        <is>
          <t>Commercial investigation</t>
        </is>
      </c>
      <c r="G372" t="inlineStr">
        <is>
          <t>site web cabinet médical</t>
        </is>
      </c>
      <c r="H372" t="inlineStr">
        <is>
          <t>SUPPORTS PRIMARY</t>
        </is>
      </c>
      <c r="I372" t="inlineStr">
        <is>
          <t>fr</t>
        </is>
      </c>
      <c r="J372" t="n">
        <v>20</v>
      </c>
      <c r="K372" t="inlineStr">
        <is>
          <t>NOT AVAILABLE</t>
        </is>
      </c>
      <c r="L372" t="n">
        <v>0</v>
      </c>
      <c r="M372" t="inlineStr">
        <is>
          <t>MEASURED</t>
        </is>
      </c>
      <c r="N372" t="inlineStr">
        <is>
          <t>Yes</t>
        </is>
      </c>
      <c r="O372" s="5" t="inlineStr">
        <is>
          <t>Covered - keep wording; no change</t>
        </is>
      </c>
      <c r="P372" s="5" t="inlineStr"/>
      <c r="Q372" t="inlineStr">
        <is>
          <t>P2</t>
        </is>
      </c>
      <c r="R372" t="n">
        <v>286</v>
      </c>
      <c r="S372" s="5" t="inlineStr">
        <is>
          <t xml:space="preserve">Une expertise locale alliée à des standards internationaux. Voici ce qui fait de nous le partenaire idéal en développement web dans le secteur Télémédecine &amp; Virtual Care . Une Expertise Dédiée aux Cabinets Proposant la </t>
        </is>
      </c>
    </row>
    <row r="373">
      <c r="A373" s="3" t="inlineStr">
        <is>
          <t>https://codesommet.com/services/telemedicine-website-development</t>
        </is>
      </c>
      <c r="B373" t="n">
        <v>4</v>
      </c>
      <c r="C373" t="inlineStr">
        <is>
          <t>Proof / portfolio / results</t>
        </is>
      </c>
      <c r="D373" s="5" t="inlineStr">
        <is>
          <t>Adopté par les Télémédecine &amp; Virtual Care Entreprises</t>
        </is>
      </c>
      <c r="E373" t="inlineStr">
        <is>
          <t>H2</t>
        </is>
      </c>
      <c r="F373" s="5" t="inlineStr">
        <is>
          <t>Commercial investigation</t>
        </is>
      </c>
      <c r="G373" t="inlineStr">
        <is>
          <t>site web cabinet médical</t>
        </is>
      </c>
      <c r="H373" t="inlineStr">
        <is>
          <t>SUPPORTS PRIMARY</t>
        </is>
      </c>
      <c r="I373" t="inlineStr">
        <is>
          <t>fr</t>
        </is>
      </c>
      <c r="J373" t="n">
        <v>20</v>
      </c>
      <c r="K373" t="inlineStr">
        <is>
          <t>NOT AVAILABLE</t>
        </is>
      </c>
      <c r="L373" t="n">
        <v>0</v>
      </c>
      <c r="M373" t="inlineStr">
        <is>
          <t>MEASURED</t>
        </is>
      </c>
      <c r="N373" t="inlineStr">
        <is>
          <t>Yes (supporting block)</t>
        </is>
      </c>
      <c r="O373" s="5" t="inlineStr">
        <is>
          <t>Supports the primary topic - add only if natural</t>
        </is>
      </c>
      <c r="P373" s="5" t="inlineStr"/>
      <c r="Q373" t="inlineStr">
        <is>
          <t>P2</t>
        </is>
      </c>
      <c r="R373" t="n">
        <v>24</v>
      </c>
      <c r="S373" s="5" t="inlineStr">
        <is>
          <t>Projets livrés sur mesure Prospects générés pour nos clients Clients accompagnés Résultats réels de Télémédecine &amp; Virtual Care avec lesquelles nous avons collaboré Défis Courants</t>
        </is>
      </c>
    </row>
    <row r="374">
      <c r="A374" s="3" t="inlineStr">
        <is>
          <t>https://codesommet.com/services/telemedicine-website-development</t>
        </is>
      </c>
      <c r="B374" t="n">
        <v>5</v>
      </c>
      <c r="C374" t="inlineStr">
        <is>
          <t>Problems / pain points</t>
        </is>
      </c>
      <c r="D374" s="5" t="inlineStr">
        <is>
          <t>Le Défi : Télémédecine &amp; Virtual Care Les Entreprises Font Face à des Défis Web Uniques</t>
        </is>
      </c>
      <c r="E374" t="inlineStr">
        <is>
          <t>H2</t>
        </is>
      </c>
      <c r="F374" s="5" t="inlineStr">
        <is>
          <t>Commercial</t>
        </is>
      </c>
      <c r="G374" t="inlineStr">
        <is>
          <t>site médecin</t>
        </is>
      </c>
      <c r="H374" t="inlineStr">
        <is>
          <t>SECONDARY</t>
        </is>
      </c>
      <c r="I374" t="inlineStr">
        <is>
          <t>fr</t>
        </is>
      </c>
      <c r="J374" t="n">
        <v>10</v>
      </c>
      <c r="K374" t="inlineStr">
        <is>
          <t>NOT AVAILABLE</t>
        </is>
      </c>
      <c r="L374" t="n">
        <v>1.73</v>
      </c>
      <c r="M374" t="inlineStr">
        <is>
          <t>MEASURED</t>
        </is>
      </c>
      <c r="N374" t="inlineStr">
        <is>
          <t>Yes</t>
        </is>
      </c>
      <c r="O374" s="5" t="inlineStr">
        <is>
          <t>Covered - keep wording; no change</t>
        </is>
      </c>
      <c r="P374" s="5" t="inlineStr"/>
      <c r="Q374" t="inlineStr">
        <is>
          <t>P2</t>
        </is>
      </c>
      <c r="R374" t="n">
        <v>393</v>
      </c>
      <c r="S374" s="5" t="inlineStr">
        <is>
          <t>Les développeurs web généralistes ne comprennent pas ces problèmes spécifiques à la télémédecine &amp; soins virtuels Un Site Générique Ne Rassure Pas un Patient Un site vitrine standard ne suffit pas à rassurer un patient q</t>
        </is>
      </c>
    </row>
    <row r="375">
      <c r="A375" s="3" t="inlineStr">
        <is>
          <t>https://codesommet.com/services/telemedicine-website-development</t>
        </is>
      </c>
      <c r="B375" t="n">
        <v>6</v>
      </c>
      <c r="C375" t="inlineStr">
        <is>
          <t>Services / features</t>
        </is>
      </c>
      <c r="D375" s="5" t="inlineStr">
        <is>
          <t>Fonctionnalités Essentielles pour Télémédecine &amp; Virtual Care Sites Web</t>
        </is>
      </c>
      <c r="E375" t="inlineStr">
        <is>
          <t>H2</t>
        </is>
      </c>
      <c r="F375" s="5" t="inlineStr">
        <is>
          <t>Commercial</t>
        </is>
      </c>
      <c r="G375" t="inlineStr">
        <is>
          <t>création site web cabinet médical</t>
        </is>
      </c>
      <c r="H375" t="inlineStr">
        <is>
          <t>SUPPORTING</t>
        </is>
      </c>
      <c r="I375" t="inlineStr">
        <is>
          <t>fr</t>
        </is>
      </c>
      <c r="J375" t="inlineStr">
        <is>
          <t>NOT AVAILABLE</t>
        </is>
      </c>
      <c r="K375" t="inlineStr">
        <is>
          <t>NOT AVAILABLE</t>
        </is>
      </c>
      <c r="L375" t="inlineStr">
        <is>
          <t>NOT AVAILABLE</t>
        </is>
      </c>
      <c r="M375" t="inlineStr">
        <is>
          <t>UNAVAILABLE</t>
        </is>
      </c>
      <c r="N375" t="inlineStr">
        <is>
          <t>Yes (supporting block)</t>
        </is>
      </c>
      <c r="O375" s="5" t="inlineStr">
        <is>
          <t>Supports the primary topic - add only if natural</t>
        </is>
      </c>
      <c r="P375" s="5" t="inlineStr"/>
      <c r="Q375" t="inlineStr">
        <is>
          <t>P2</t>
        </is>
      </c>
      <c r="R375" t="n">
        <v>244</v>
      </c>
      <c r="S375" s="5" t="inlineStr">
        <is>
          <t>Tout ce dont votre site de cabinet médical ou de clinique a besoin en une seule page Présentation de Vos Spécialités et de Votre Équipe Présentation claire de vos spécialités et de votre équipe médicale, avec mise en ava</t>
        </is>
      </c>
    </row>
    <row r="376">
      <c r="A376" s="3" t="inlineStr">
        <is>
          <t>https://codesommet.com/services/telemedicine-website-development</t>
        </is>
      </c>
      <c r="B376" t="n">
        <v>7</v>
      </c>
      <c r="C376" t="inlineStr">
        <is>
          <t>Testimonials / social proof</t>
        </is>
      </c>
      <c r="D376" s="5" t="inlineStr">
        <is>
          <t>Histoires de Succès en Télémédecine &amp; Virtual Care</t>
        </is>
      </c>
      <c r="E376" t="inlineStr">
        <is>
          <t>H2</t>
        </is>
      </c>
      <c r="F376" s="5" t="inlineStr">
        <is>
          <t>Commercial investigation</t>
        </is>
      </c>
      <c r="G376" t="inlineStr">
        <is>
          <t>site web cabinet médical</t>
        </is>
      </c>
      <c r="H376" t="inlineStr">
        <is>
          <t>SUPPORTS PRIMARY</t>
        </is>
      </c>
      <c r="I376" t="inlineStr">
        <is>
          <t>fr</t>
        </is>
      </c>
      <c r="J376" t="n">
        <v>20</v>
      </c>
      <c r="K376" t="inlineStr">
        <is>
          <t>NOT AVAILABLE</t>
        </is>
      </c>
      <c r="L376" t="n">
        <v>0</v>
      </c>
      <c r="M376" t="inlineStr">
        <is>
          <t>MEASURED</t>
        </is>
      </c>
      <c r="N376" t="inlineStr">
        <is>
          <t>Yes (supporting block)</t>
        </is>
      </c>
      <c r="O376" s="5" t="inlineStr">
        <is>
          <t>Supports the primary topic - add only if natural</t>
        </is>
      </c>
      <c r="P376" s="5" t="inlineStr"/>
      <c r="Q376" t="inlineStr">
        <is>
          <t>P2</t>
        </is>
      </c>
      <c r="R376" t="n">
        <v>47</v>
      </c>
      <c r="S376" s="5" t="inlineStr">
        <is>
          <t xml:space="preserve">Projets réels, résultats réels. Découvrez comment nous avons aidé les entreprises en Télémédecine &amp; Virtual Care à atteindre leurs objectifs numériques. Santé Dental Pro Boutique en ligne de matériel et pièces dentaires </t>
        </is>
      </c>
    </row>
    <row r="377">
      <c r="A377" s="3" t="inlineStr">
        <is>
          <t>https://codesommet.com/services/telemedicine-website-development</t>
        </is>
      </c>
      <c r="B377" t="n">
        <v>8</v>
      </c>
      <c r="C377" t="inlineStr">
        <is>
          <t>Process / how it works</t>
        </is>
      </c>
      <c r="D377" s="5" t="inlineStr">
        <is>
          <t>Notre Processus de Développement pour Télémédecine &amp; Virtual Care</t>
        </is>
      </c>
      <c r="E377" t="inlineStr">
        <is>
          <t>H2</t>
        </is>
      </c>
      <c r="F377" s="5" t="inlineStr">
        <is>
          <t>Informational / commercial</t>
        </is>
      </c>
      <c r="G377" t="inlineStr">
        <is>
          <t>site web cabinet médical</t>
        </is>
      </c>
      <c r="H377" t="inlineStr">
        <is>
          <t>SUPPORTS PRIMARY</t>
        </is>
      </c>
      <c r="I377" t="inlineStr">
        <is>
          <t>fr</t>
        </is>
      </c>
      <c r="J377" t="n">
        <v>20</v>
      </c>
      <c r="K377" t="inlineStr">
        <is>
          <t>NOT AVAILABLE</t>
        </is>
      </c>
      <c r="L377" t="n">
        <v>0</v>
      </c>
      <c r="M377" t="inlineStr">
        <is>
          <t>MEASURED</t>
        </is>
      </c>
      <c r="N377" t="inlineStr">
        <is>
          <t>Yes</t>
        </is>
      </c>
      <c r="O377" s="5" t="inlineStr">
        <is>
          <t>Covered - keep wording; no change</t>
        </is>
      </c>
      <c r="P377" s="5" t="inlineStr"/>
      <c r="Q377" t="inlineStr">
        <is>
          <t>P2</t>
        </is>
      </c>
      <c r="R377" t="n">
        <v>186</v>
      </c>
      <c r="S377" s="5" t="inlineStr">
        <is>
          <t>De la découverte à la mise en ligne, un processus pensé pour les cabinets et cliniques Étape 1 Découverte &amp; Structure du Site Analyse de vos spécialités, de votre patientèle cible et de vos objectifs de prise de rendez-v</t>
        </is>
      </c>
    </row>
    <row r="378">
      <c r="A378" s="3" t="inlineStr">
        <is>
          <t>https://codesommet.com/services/telemedicine-website-development</t>
        </is>
      </c>
      <c r="B378" t="n">
        <v>9</v>
      </c>
      <c r="C378" t="inlineStr">
        <is>
          <t>Pricing / offers</t>
        </is>
      </c>
      <c r="D378" s="5" t="inlineStr">
        <is>
          <t>Solutions Personnalisées, Tarification Transparente</t>
        </is>
      </c>
      <c r="E378" t="inlineStr">
        <is>
          <t>H2</t>
        </is>
      </c>
      <c r="F378" s="5" t="inlineStr">
        <is>
          <t>Commercial / transactional</t>
        </is>
      </c>
      <c r="G378" t="inlineStr">
        <is>
          <t>site web cabinet médical</t>
        </is>
      </c>
      <c r="H378" t="inlineStr">
        <is>
          <t>SUPPORTS PRIMARY</t>
        </is>
      </c>
      <c r="I378" t="inlineStr">
        <is>
          <t>fr</t>
        </is>
      </c>
      <c r="J378" t="n">
        <v>20</v>
      </c>
      <c r="K378" t="inlineStr">
        <is>
          <t>NOT AVAILABLE</t>
        </is>
      </c>
      <c r="L378" t="n">
        <v>0</v>
      </c>
      <c r="M378" t="inlineStr">
        <is>
          <t>MEASURED</t>
        </is>
      </c>
      <c r="N378" t="inlineStr">
        <is>
          <t>Yes (supporting block)</t>
        </is>
      </c>
      <c r="O378" s="5" t="inlineStr">
        <is>
          <t>Supports the primary topic - add only if natural</t>
        </is>
      </c>
      <c r="P378" s="5" t="inlineStr"/>
      <c r="Q378" t="inlineStr">
        <is>
          <t>P2</t>
        </is>
      </c>
      <c r="R378" t="n">
        <v>201</v>
      </c>
      <c r="S378" s="5" t="inlineStr">
        <is>
          <t>Réservez un appel découverte pour discuter de vos besoins spécifiques et obtenir un devis personnalisé Recommandé Développement de Sites Web Site web complet avec fonctionnalités IA, tableaux de bord et design premium li</t>
        </is>
      </c>
    </row>
    <row r="379">
      <c r="A379" s="3" t="inlineStr">
        <is>
          <t>https://codesommet.com/services/telemedicine-website-development</t>
        </is>
      </c>
      <c r="B379" t="n">
        <v>10</v>
      </c>
      <c r="C379" t="inlineStr">
        <is>
          <t>CTA / conversion</t>
        </is>
      </c>
      <c r="D379" s="5" t="inlineStr">
        <is>
          <t>Prêt à Transformer le Site Web de Votre Cabinet ou Clinique ?</t>
        </is>
      </c>
      <c r="E379" t="inlineStr">
        <is>
          <t>H2</t>
        </is>
      </c>
      <c r="F379" s="5" t="inlineStr">
        <is>
          <t>Conversion</t>
        </is>
      </c>
      <c r="G379" t="inlineStr">
        <is>
          <t>—</t>
        </is>
      </c>
      <c r="H379" t="inlineStr">
        <is>
          <t>NONE</t>
        </is>
      </c>
      <c r="I379" t="inlineStr">
        <is>
          <t>—</t>
        </is>
      </c>
      <c r="J379" t="inlineStr">
        <is>
          <t>—</t>
        </is>
      </c>
      <c r="K379" t="inlineStr">
        <is>
          <t>—</t>
        </is>
      </c>
      <c r="L379" t="inlineStr">
        <is>
          <t>—</t>
        </is>
      </c>
      <c r="M379" t="inlineStr">
        <is>
          <t>—</t>
        </is>
      </c>
      <c r="N379" t="inlineStr">
        <is>
          <t>n/a</t>
        </is>
      </c>
      <c r="O379" s="5" t="inlineStr">
        <is>
          <t>No keyword target - keep conversion/navigation focus; use descriptive, non-repeated anchor texts</t>
        </is>
      </c>
      <c r="P379" s="5" t="inlineStr"/>
      <c r="Q379" t="inlineStr">
        <is>
          <t>P2</t>
        </is>
      </c>
      <c r="R379" t="n">
        <v>41</v>
      </c>
      <c r="S379" s="5" t="inlineStr">
        <is>
          <t>Obtenez d'abord une analyse gratuite complète : Audit SEO Vérification des performances Révision du design Recommandations alimentées par l'IA Analyser Votre Site Web - 100 % Gratuit Pas de carte de crédit requise • Résu</t>
        </is>
      </c>
    </row>
    <row r="380">
      <c r="A380" s="3" t="inlineStr">
        <is>
          <t>https://codesommet.com/services/telemedicine-website-development</t>
        </is>
      </c>
      <c r="B380" t="n">
        <v>11</v>
      </c>
      <c r="C380" t="inlineStr">
        <is>
          <t>Why us / differentiation</t>
        </is>
      </c>
      <c r="D380" s="5" t="inlineStr">
        <is>
          <t>CodeSommet Télémédecine &amp; Virtual Care vs Autres</t>
        </is>
      </c>
      <c r="E380" t="inlineStr">
        <is>
          <t>H2</t>
        </is>
      </c>
      <c r="F380" s="5" t="inlineStr">
        <is>
          <t>Commercial investigation</t>
        </is>
      </c>
      <c r="G380" t="inlineStr">
        <is>
          <t>site web cabinet médical</t>
        </is>
      </c>
      <c r="H380" t="inlineStr">
        <is>
          <t>SUPPORTS PRIMARY</t>
        </is>
      </c>
      <c r="I380" t="inlineStr">
        <is>
          <t>fr</t>
        </is>
      </c>
      <c r="J380" t="n">
        <v>20</v>
      </c>
      <c r="K380" t="inlineStr">
        <is>
          <t>NOT AVAILABLE</t>
        </is>
      </c>
      <c r="L380" t="n">
        <v>0</v>
      </c>
      <c r="M380" t="inlineStr">
        <is>
          <t>MEASURED</t>
        </is>
      </c>
      <c r="N380" t="inlineStr">
        <is>
          <t>Yes (supporting block)</t>
        </is>
      </c>
      <c r="O380" s="5" t="inlineStr">
        <is>
          <t>Supports the primary topic - add only if natural</t>
        </is>
      </c>
      <c r="P380" s="5" t="inlineStr"/>
      <c r="Q380" t="inlineStr">
        <is>
          <t>P2</t>
        </is>
      </c>
      <c r="R380" t="n">
        <v>166</v>
      </c>
      <c r="S380" s="5" t="inlineStr">
        <is>
          <t>Découvrez pourquoi Télémédecine &amp; Virtual Care entreprises choisissent CodeSommet plutôt que d'autres agences locales et concurrents internationaux. Fonctionnalité CodeSommet Télémédecine &amp; Virtual Care Other Télémédecin</t>
        </is>
      </c>
    </row>
    <row r="381">
      <c r="A381" s="3" t="inlineStr">
        <is>
          <t>https://codesommet.com/services/telemedicine-website-development</t>
        </is>
      </c>
      <c r="B381" t="n">
        <v>12</v>
      </c>
      <c r="C381" t="inlineStr">
        <is>
          <t>Testimonials / social proof</t>
        </is>
      </c>
      <c r="D381" s="5" t="inlineStr">
        <is>
          <t>Ce que Nos Clients en Télémédecine &amp; Virtual Care Disent de Nous</t>
        </is>
      </c>
      <c r="E381" t="inlineStr">
        <is>
          <t>H2</t>
        </is>
      </c>
      <c r="F381" s="5" t="inlineStr">
        <is>
          <t>Commercial investigation</t>
        </is>
      </c>
      <c r="G381" t="inlineStr">
        <is>
          <t>site web cabinet médical</t>
        </is>
      </c>
      <c r="H381" t="inlineStr">
        <is>
          <t>SUPPORTS PRIMARY</t>
        </is>
      </c>
      <c r="I381" t="inlineStr">
        <is>
          <t>fr</t>
        </is>
      </c>
      <c r="J381" t="n">
        <v>20</v>
      </c>
      <c r="K381" t="inlineStr">
        <is>
          <t>NOT AVAILABLE</t>
        </is>
      </c>
      <c r="L381" t="n">
        <v>0</v>
      </c>
      <c r="M381" t="inlineStr">
        <is>
          <t>MEASURED</t>
        </is>
      </c>
      <c r="N381" t="inlineStr">
        <is>
          <t>Yes (supporting block)</t>
        </is>
      </c>
      <c r="O381" s="5" t="inlineStr">
        <is>
          <t>Supports the primary topic - add only if natural</t>
        </is>
      </c>
      <c r="P381" s="5" t="inlineStr"/>
      <c r="Q381" t="inlineStr">
        <is>
          <t>P2</t>
        </is>
      </c>
      <c r="R381" t="n">
        <v>107</v>
      </c>
      <c r="S381" s="5" t="inlineStr">
        <is>
          <t>Ne nous croyez pas sur parole. Écoutez les entreprises en Télémédecine &amp; Virtual Care qui ont obtenu des résultats remarquables avec CodeSommet. "Une collaboration professionnelle du début à la fin. Je recommande sans hé</t>
        </is>
      </c>
    </row>
    <row r="382">
      <c r="A382" s="3" t="inlineStr">
        <is>
          <t>https://codesommet.com/services/telemedicine-website-development</t>
        </is>
      </c>
      <c r="B382" t="n">
        <v>13</v>
      </c>
      <c r="C382" t="inlineStr">
        <is>
          <t>FAQ</t>
        </is>
      </c>
      <c r="D382" s="5" t="inlineStr">
        <is>
          <t>Questions Fréquemment Posées sur le Développement Web en Télémédecine &amp; Virtual Care</t>
        </is>
      </c>
      <c r="E382" t="inlineStr">
        <is>
          <t>H2</t>
        </is>
      </c>
      <c r="F382" s="5" t="inlineStr">
        <is>
          <t>Informational (pre-purchase questions)</t>
        </is>
      </c>
      <c r="G382" t="inlineStr">
        <is>
          <t>site web cabinet médical</t>
        </is>
      </c>
      <c r="H382" t="inlineStr">
        <is>
          <t>SUPPORTS PRIMARY</t>
        </is>
      </c>
      <c r="I382" t="inlineStr">
        <is>
          <t>fr</t>
        </is>
      </c>
      <c r="J382" t="n">
        <v>20</v>
      </c>
      <c r="K382" t="inlineStr">
        <is>
          <t>NOT AVAILABLE</t>
        </is>
      </c>
      <c r="L382" t="n">
        <v>0</v>
      </c>
      <c r="M382" t="inlineStr">
        <is>
          <t>MEASURED</t>
        </is>
      </c>
      <c r="N382" t="inlineStr">
        <is>
          <t>Yes</t>
        </is>
      </c>
      <c r="O382" s="5" t="inlineStr">
        <is>
          <t>Covered - keep wording; no change</t>
        </is>
      </c>
      <c r="P382" s="5" t="inlineStr"/>
      <c r="Q382" t="inlineStr">
        <is>
          <t>P2</t>
        </is>
      </c>
      <c r="R382" t="n">
        <v>532</v>
      </c>
      <c r="S382" s="5" t="inlineStr">
        <is>
          <t>Vous avez des questions ? Nous avons les réponses. Voici les questions les plus courantes de Télémédecine &amp; Virtual Care entreprises. 1 Que doit contenir le site web d'un cabinet ou d'une clinique proposant la téléconsul</t>
        </is>
      </c>
    </row>
    <row r="383">
      <c r="A383" s="3" t="inlineStr">
        <is>
          <t>https://codesommet.com/services/telemedicine-website-development</t>
        </is>
      </c>
      <c r="B383" t="n">
        <v>14</v>
      </c>
      <c r="C383" t="inlineStr">
        <is>
          <t>Services / features</t>
        </is>
      </c>
      <c r="D383" s="5" t="inlineStr">
        <is>
          <t>Au Service de Clients dans le Monde Entier</t>
        </is>
      </c>
      <c r="E383" t="inlineStr">
        <is>
          <t>H2</t>
        </is>
      </c>
      <c r="F383" s="5" t="inlineStr">
        <is>
          <t>Commercial</t>
        </is>
      </c>
      <c r="G383" t="inlineStr">
        <is>
          <t>site médecin</t>
        </is>
      </c>
      <c r="H383" t="inlineStr">
        <is>
          <t>SECONDARY</t>
        </is>
      </c>
      <c r="I383" t="inlineStr">
        <is>
          <t>fr</t>
        </is>
      </c>
      <c r="J383" t="n">
        <v>10</v>
      </c>
      <c r="K383" t="inlineStr">
        <is>
          <t>NOT AVAILABLE</t>
        </is>
      </c>
      <c r="L383" t="n">
        <v>1.73</v>
      </c>
      <c r="M383" t="inlineStr">
        <is>
          <t>MEASURED</t>
        </is>
      </c>
      <c r="N383" t="inlineStr">
        <is>
          <t>Yes</t>
        </is>
      </c>
      <c r="O383" s="5" t="inlineStr">
        <is>
          <t>Covered - keep wording; no change</t>
        </is>
      </c>
      <c r="P383" s="5" t="inlineStr"/>
      <c r="Q383" t="inlineStr">
        <is>
          <t>P2</t>
        </is>
      </c>
      <c r="R383" t="n">
        <v>65</v>
      </c>
      <c r="S383" s="5" t="inlineStr">
        <is>
          <t>Nous avons créé des sites web pour des cabinets et cliniques proposant la téléconsultation, partout dans le monde. Que vous soyez au Maroc ou ailleurs, nous livrons des solutions de classe mondiale. Dubaï 🇦🇪 UAE Casablan</t>
        </is>
      </c>
    </row>
    <row r="384">
      <c r="A384" s="3" t="inlineStr">
        <is>
          <t>https://codesommet.com/services/telemedicine-website-development</t>
        </is>
      </c>
      <c r="B384" t="n">
        <v>15</v>
      </c>
      <c r="C384" t="inlineStr">
        <is>
          <t>Internal-link block</t>
        </is>
      </c>
      <c r="D384" s="5" t="inlineStr">
        <is>
          <t>Industries Connexes que Nous Servons</t>
        </is>
      </c>
      <c r="E384" t="inlineStr">
        <is>
          <t>H2</t>
        </is>
      </c>
      <c r="F384" s="5" t="inlineStr">
        <is>
          <t>Navigation</t>
        </is>
      </c>
      <c r="G384" t="inlineStr">
        <is>
          <t>—</t>
        </is>
      </c>
      <c r="H384" t="inlineStr">
        <is>
          <t>NONE</t>
        </is>
      </c>
      <c r="I384" t="inlineStr">
        <is>
          <t>—</t>
        </is>
      </c>
      <c r="J384" t="inlineStr">
        <is>
          <t>—</t>
        </is>
      </c>
      <c r="K384" t="inlineStr">
        <is>
          <t>—</t>
        </is>
      </c>
      <c r="L384" t="inlineStr">
        <is>
          <t>—</t>
        </is>
      </c>
      <c r="M384" t="inlineStr">
        <is>
          <t>—</t>
        </is>
      </c>
      <c r="N384" t="inlineStr">
        <is>
          <t>n/a</t>
        </is>
      </c>
      <c r="O384" s="5" t="inlineStr">
        <is>
          <t>No keyword target - keep conversion/navigation focus; use descriptive, non-repeated anchor texts</t>
        </is>
      </c>
      <c r="P384" s="5" t="inlineStr"/>
      <c r="Q384" t="inlineStr">
        <is>
          <t>P2</t>
        </is>
      </c>
      <c r="R384" t="n">
        <v>139</v>
      </c>
      <c r="S384" s="5" t="inlineStr">
        <is>
          <t>Découvrez nos services de développement de sites web spécialisés pour d'autres industries Santé Sites web de cliniques, systèmes de prise de rendez-vous et portails patients conformes aux réglementations de santé. Télémé</t>
        </is>
      </c>
    </row>
    <row r="385">
      <c r="A385" s="3" t="inlineStr">
        <is>
          <t>https://codesommet.com/services/telemedicine-website-development</t>
        </is>
      </c>
      <c r="B385" t="n">
        <v>16</v>
      </c>
      <c r="C385" t="inlineStr">
        <is>
          <t>Internal-link block</t>
        </is>
      </c>
      <c r="D385" s="5" t="inlineStr">
        <is>
          <t>Explorer Plus</t>
        </is>
      </c>
      <c r="E385" t="inlineStr">
        <is>
          <t>H2</t>
        </is>
      </c>
      <c r="F385" s="5" t="inlineStr">
        <is>
          <t>Navigation</t>
        </is>
      </c>
      <c r="G385" t="inlineStr">
        <is>
          <t>—</t>
        </is>
      </c>
      <c r="H385" t="inlineStr">
        <is>
          <t>NONE</t>
        </is>
      </c>
      <c r="I385" t="inlineStr">
        <is>
          <t>—</t>
        </is>
      </c>
      <c r="J385" t="inlineStr">
        <is>
          <t>—</t>
        </is>
      </c>
      <c r="K385" t="inlineStr">
        <is>
          <t>—</t>
        </is>
      </c>
      <c r="L385" t="inlineStr">
        <is>
          <t>—</t>
        </is>
      </c>
      <c r="M385" t="inlineStr">
        <is>
          <t>—</t>
        </is>
      </c>
      <c r="N385" t="inlineStr">
        <is>
          <t>n/a</t>
        </is>
      </c>
      <c r="O385" s="5" t="inlineStr">
        <is>
          <t>No keyword target - keep conversion/navigation focus; use descriptive, non-repeated anchor texts</t>
        </is>
      </c>
      <c r="P385" s="5" t="inlineStr"/>
      <c r="Q385" t="inlineStr">
        <is>
          <t>P2</t>
        </is>
      </c>
      <c r="R385" t="n">
        <v>84</v>
      </c>
      <c r="S385" s="5" t="inlineStr">
        <is>
          <t>Découvrez ce qui fait de CodeSommet votre partenaire idéal en développement web Audit Gratuit de Site Web Obtenez une analyse alimentée par l'IA avec des dizaines de vérifications En savoir plus Voir Nos Réalisations Exp</t>
        </is>
      </c>
    </row>
    <row r="386">
      <c r="A386" s="3" t="inlineStr">
        <is>
          <t>https://codesommet.com/services/telemedicine-website-development</t>
        </is>
      </c>
      <c r="B386" t="n">
        <v>17</v>
      </c>
      <c r="C386" t="inlineStr">
        <is>
          <t>CTA / conversion</t>
        </is>
      </c>
      <c r="D386" s="5" t="inlineStr">
        <is>
          <t>Prêt à Construire Quelque Chose d'Extraordinaire ?</t>
        </is>
      </c>
      <c r="E386" t="inlineStr">
        <is>
          <t>H2</t>
        </is>
      </c>
      <c r="F386" s="5" t="inlineStr">
        <is>
          <t>Conversion</t>
        </is>
      </c>
      <c r="G386" t="inlineStr">
        <is>
          <t>—</t>
        </is>
      </c>
      <c r="H386" t="inlineStr">
        <is>
          <t>NONE</t>
        </is>
      </c>
      <c r="I386" t="inlineStr">
        <is>
          <t>—</t>
        </is>
      </c>
      <c r="J386" t="inlineStr">
        <is>
          <t>—</t>
        </is>
      </c>
      <c r="K386" t="inlineStr">
        <is>
          <t>—</t>
        </is>
      </c>
      <c r="L386" t="inlineStr">
        <is>
          <t>—</t>
        </is>
      </c>
      <c r="M386" t="inlineStr">
        <is>
          <t>—</t>
        </is>
      </c>
      <c r="N386" t="inlineStr">
        <is>
          <t>n/a</t>
        </is>
      </c>
      <c r="O386" s="5" t="inlineStr">
        <is>
          <t>No keyword target - keep conversion/navigation focus; use descriptive, non-repeated anchor texts</t>
        </is>
      </c>
      <c r="P386" s="5" t="inlineStr"/>
      <c r="Q386" t="inlineStr">
        <is>
          <t>P2</t>
        </is>
      </c>
      <c r="R386" t="n">
        <v>123</v>
      </c>
      <c r="S386" s="5" t="inlineStr">
        <is>
          <t>Rejoignez les entreprises visionnaires qui ont choisi l'excellence Réserver un Appel Découverte Analyser Mon Site Gratuitement Réserver un Appel Découverte Analyser Votre Site Web Discutons de comment l'IA et le design m</t>
        </is>
      </c>
    </row>
    <row r="387">
      <c r="A387" s="3" t="inlineStr">
        <is>
          <t>https://codesommet.com/services/seo-maroc</t>
        </is>
      </c>
      <c r="B387" t="n">
        <v>1</v>
      </c>
      <c r="C387" t="inlineStr">
        <is>
          <t>Hero / H1</t>
        </is>
      </c>
      <c r="D387" s="5" t="inlineStr">
        <is>
          <t>Agence SEO Maroc : un Référencement Naturel Google qui génère des DEMANDES DE DEVIS</t>
        </is>
      </c>
      <c r="E387" t="inlineStr">
        <is>
          <t>H1</t>
        </is>
      </c>
      <c r="F387" s="5" t="inlineStr">
        <is>
          <t>Commercial</t>
        </is>
      </c>
      <c r="G387" t="inlineStr">
        <is>
          <t>agence seo maroc</t>
        </is>
      </c>
      <c r="H387" t="inlineStr">
        <is>
          <t>PRIMARY</t>
        </is>
      </c>
      <c r="I387" t="inlineStr">
        <is>
          <t>ma</t>
        </is>
      </c>
      <c r="J387" t="n">
        <v>880</v>
      </c>
      <c r="K387" t="n">
        <v>44</v>
      </c>
      <c r="L387" t="n">
        <v>2.48</v>
      </c>
      <c r="M387" t="inlineStr">
        <is>
          <t>MEASURED</t>
        </is>
      </c>
      <c r="N387" t="inlineStr">
        <is>
          <t>Yes</t>
        </is>
      </c>
      <c r="O387" s="5" t="inlineStr">
        <is>
          <t>Covered - keep wording; no change</t>
        </is>
      </c>
      <c r="P387" s="5" t="inlineStr"/>
      <c r="Q387" t="inlineStr">
        <is>
          <t>P2</t>
        </is>
      </c>
      <c r="R387" t="n">
        <v>72</v>
      </c>
      <c r="S387" s="5" t="inlineStr">
        <is>
          <t>Référencement naturel pour les entreprises marocaines : audit technique, recherche de mots-clés sur la base Semrush du Maroc, optimisation des pages, contenus et netlinking, avec un suivi mensuel des positions et du traf</t>
        </is>
      </c>
    </row>
    <row r="388">
      <c r="A388" s="3" t="inlineStr">
        <is>
          <t>https://codesommet.com/services/seo-maroc</t>
        </is>
      </c>
      <c r="B388" t="n">
        <v>2</v>
      </c>
      <c r="C388" t="inlineStr">
        <is>
          <t>Why us / differentiation</t>
        </is>
      </c>
      <c r="D388" s="5" t="inlineStr">
        <is>
          <t>Pourquoi Choisir CodeSommet pour votre Référencement au Maroc ?</t>
        </is>
      </c>
      <c r="E388" t="inlineStr">
        <is>
          <t>H2</t>
        </is>
      </c>
      <c r="F388" s="5" t="inlineStr">
        <is>
          <t>Commercial investigation</t>
        </is>
      </c>
      <c r="G388" t="inlineStr">
        <is>
          <t>agence seo maroc</t>
        </is>
      </c>
      <c r="H388" t="inlineStr">
        <is>
          <t>SUPPORTS PRIMARY</t>
        </is>
      </c>
      <c r="I388" t="inlineStr">
        <is>
          <t>ma</t>
        </is>
      </c>
      <c r="J388" t="n">
        <v>880</v>
      </c>
      <c r="K388" t="n">
        <v>44</v>
      </c>
      <c r="L388" t="n">
        <v>2.48</v>
      </c>
      <c r="M388" t="inlineStr">
        <is>
          <t>MEASURED</t>
        </is>
      </c>
      <c r="N388" t="inlineStr">
        <is>
          <t>Yes (supporting block)</t>
        </is>
      </c>
      <c r="O388" s="5" t="inlineStr">
        <is>
          <t>Supports the primary topic - add only if natural</t>
        </is>
      </c>
      <c r="P388" s="5" t="inlineStr"/>
      <c r="Q388" t="inlineStr">
        <is>
          <t>P2</t>
        </is>
      </c>
      <c r="R388" t="n">
        <v>202</v>
      </c>
      <c r="S388" s="5" t="inlineStr">
        <is>
          <t>Des données réelles du marché marocain et une équipe qui développe les sites qu'elle optimise. Voici ce qui fait de nous le partenaire idéal en référencement naturel au Maroc. Données Réelles du Marché Marocain Chaque mo</t>
        </is>
      </c>
    </row>
    <row r="389">
      <c r="A389" s="3" t="inlineStr">
        <is>
          <t>https://codesommet.com/services/seo-maroc</t>
        </is>
      </c>
      <c r="B389" t="n">
        <v>3</v>
      </c>
      <c r="C389" t="inlineStr">
        <is>
          <t>Proof / portfolio / results</t>
        </is>
      </c>
      <c r="D389" s="5" t="inlineStr">
        <is>
          <t>Adopté par les Entreprises Marocaines</t>
        </is>
      </c>
      <c r="E389" t="inlineStr">
        <is>
          <t>H2</t>
        </is>
      </c>
      <c r="F389" s="5" t="inlineStr">
        <is>
          <t>Commercial investigation</t>
        </is>
      </c>
      <c r="G389" t="inlineStr">
        <is>
          <t>agence seo maroc</t>
        </is>
      </c>
      <c r="H389" t="inlineStr">
        <is>
          <t>SUPPORTS PRIMARY</t>
        </is>
      </c>
      <c r="I389" t="inlineStr">
        <is>
          <t>ma</t>
        </is>
      </c>
      <c r="J389" t="n">
        <v>880</v>
      </c>
      <c r="K389" t="n">
        <v>44</v>
      </c>
      <c r="L389" t="n">
        <v>2.48</v>
      </c>
      <c r="M389" t="inlineStr">
        <is>
          <t>MEASURED</t>
        </is>
      </c>
      <c r="N389" t="inlineStr">
        <is>
          <t>Yes (supporting block)</t>
        </is>
      </c>
      <c r="O389" s="5" t="inlineStr">
        <is>
          <t>Supports the primary topic - add only if natural</t>
        </is>
      </c>
      <c r="P389" s="5" t="inlineStr"/>
      <c r="Q389" t="inlineStr">
        <is>
          <t>P2</t>
        </is>
      </c>
      <c r="R389" t="n">
        <v>23</v>
      </c>
      <c r="S389" s="5" t="inlineStr">
        <is>
          <t>Projets livrés sur mesure Prospects générés pour nos clients Clients accompagnés Résultats réels de nos clients avec lesquelles nous avons collaboré Problèmes Courants</t>
        </is>
      </c>
    </row>
    <row r="390">
      <c r="A390" s="3" t="inlineStr">
        <is>
          <t>https://codesommet.com/services/seo-maroc</t>
        </is>
      </c>
      <c r="B390" t="n">
        <v>4</v>
      </c>
      <c r="C390" t="inlineStr">
        <is>
          <t>Problems / pain points</t>
        </is>
      </c>
      <c r="D390" s="5" t="inlineStr">
        <is>
          <t>Le Défi : Les Entreprises Marocaines Font Face à des Problèmes de Visibilité Récurrents</t>
        </is>
      </c>
      <c r="E390" t="inlineStr">
        <is>
          <t>H2</t>
        </is>
      </c>
      <c r="F390" s="5" t="inlineStr">
        <is>
          <t>Commercial</t>
        </is>
      </c>
      <c r="G390" t="inlineStr">
        <is>
          <t>seo maroc</t>
        </is>
      </c>
      <c r="H390" t="inlineStr">
        <is>
          <t>SECONDARY</t>
        </is>
      </c>
      <c r="I390" t="inlineStr">
        <is>
          <t>ma</t>
        </is>
      </c>
      <c r="J390" t="n">
        <v>320</v>
      </c>
      <c r="K390" t="n">
        <v>41</v>
      </c>
      <c r="L390" t="n">
        <v>0.83</v>
      </c>
      <c r="M390" t="inlineStr">
        <is>
          <t>MEASURED</t>
        </is>
      </c>
      <c r="N390" t="inlineStr">
        <is>
          <t>Partly</t>
        </is>
      </c>
      <c r="O390" s="5" t="inlineStr">
        <is>
          <t>Work "seo maroc" (or a close natural variant) into existing copy - no new heading needed</t>
        </is>
      </c>
      <c r="P390" s="5" t="inlineStr">
        <is>
          <t>Keyword/variant absent from this section</t>
        </is>
      </c>
      <c r="Q390" t="inlineStr">
        <is>
          <t>P1</t>
        </is>
      </c>
      <c r="R390" t="n">
        <v>208</v>
      </c>
      <c r="S390" s="5" t="inlineStr">
        <is>
          <t>Un beau site ne sert à rien si personne ne le trouve sur Google Un Site Invisible sur Google Votre site existe mais n'apparaît sur aucune recherche utile. Sans structure technique saine ni pages ciblées, Google ne peut n</t>
        </is>
      </c>
    </row>
    <row r="391">
      <c r="A391" s="3" t="inlineStr">
        <is>
          <t>https://codesommet.com/services/seo-maroc</t>
        </is>
      </c>
      <c r="B391" t="n">
        <v>5</v>
      </c>
      <c r="C391" t="inlineStr">
        <is>
          <t>Services / features</t>
        </is>
      </c>
      <c r="D391" s="5" t="inlineStr">
        <is>
          <t>Ce que Comprend Notre Accompagnement</t>
        </is>
      </c>
      <c r="E391" t="inlineStr">
        <is>
          <t>H2</t>
        </is>
      </c>
      <c r="F391" s="5" t="inlineStr">
        <is>
          <t>Commercial</t>
        </is>
      </c>
      <c r="G391" t="inlineStr">
        <is>
          <t>agence seo marrakech</t>
        </is>
      </c>
      <c r="H391" t="inlineStr">
        <is>
          <t>SECONDARY</t>
        </is>
      </c>
      <c r="I391" t="inlineStr">
        <is>
          <t>ma</t>
        </is>
      </c>
      <c r="J391" t="n">
        <v>320</v>
      </c>
      <c r="K391" t="n">
        <v>20</v>
      </c>
      <c r="L391" t="n">
        <v>6.43</v>
      </c>
      <c r="M391" t="inlineStr">
        <is>
          <t>MEASURED</t>
        </is>
      </c>
      <c r="N391" t="inlineStr">
        <is>
          <t>Partly</t>
        </is>
      </c>
      <c r="O391" s="5" t="inlineStr">
        <is>
          <t>Work "agence seo marrakech" (or a close natural variant) into existing copy - no new heading needed</t>
        </is>
      </c>
      <c r="P391" s="5" t="inlineStr">
        <is>
          <t>Keyword/variant absent from this section</t>
        </is>
      </c>
      <c r="Q391" t="inlineStr">
        <is>
          <t>P1</t>
        </is>
      </c>
      <c r="R391" t="n">
        <v>319</v>
      </c>
      <c r="S391" s="5" t="inlineStr">
        <is>
          <t>Tout ce qu'il faut pour gagner des positions sur Google au Maroc Audit SEO Technique Complet Crawl complet du site, analyse de l'indexation dans Google Search Console, vérification des balises, des canonicals, des redire</t>
        </is>
      </c>
    </row>
    <row r="392">
      <c r="A392" s="3" t="inlineStr">
        <is>
          <t>https://codesommet.com/services/seo-maroc</t>
        </is>
      </c>
      <c r="B392" t="n">
        <v>6</v>
      </c>
      <c r="C392" t="inlineStr">
        <is>
          <t>Proof / portfolio / results</t>
        </is>
      </c>
      <c r="D392" s="5" t="inlineStr">
        <is>
          <t>Projets Livrés avec une Base SEO Solide</t>
        </is>
      </c>
      <c r="E392" t="inlineStr">
        <is>
          <t>H2</t>
        </is>
      </c>
      <c r="F392" s="5" t="inlineStr">
        <is>
          <t>Commercial investigation</t>
        </is>
      </c>
      <c r="G392" t="inlineStr">
        <is>
          <t>agence seo maroc</t>
        </is>
      </c>
      <c r="H392" t="inlineStr">
        <is>
          <t>SUPPORTS PRIMARY</t>
        </is>
      </c>
      <c r="I392" t="inlineStr">
        <is>
          <t>ma</t>
        </is>
      </c>
      <c r="J392" t="n">
        <v>880</v>
      </c>
      <c r="K392" t="n">
        <v>44</v>
      </c>
      <c r="L392" t="n">
        <v>2.48</v>
      </c>
      <c r="M392" t="inlineStr">
        <is>
          <t>MEASURED</t>
        </is>
      </c>
      <c r="N392" t="inlineStr">
        <is>
          <t>Yes (supporting block)</t>
        </is>
      </c>
      <c r="O392" s="5" t="inlineStr">
        <is>
          <t>Supports the primary topic - add only if natural</t>
        </is>
      </c>
      <c r="P392" s="5" t="inlineStr"/>
      <c r="Q392" t="inlineStr">
        <is>
          <t>P2</t>
        </is>
      </c>
      <c r="R392" t="n">
        <v>37</v>
      </c>
      <c r="S392" s="5" t="inlineStr">
        <is>
          <t>Projets réels, résultats réels. Découvrez comment nous avons aidé les entreprises marocaines à être trouvées par leurs clients. E-commerce GlamWorlds Boutique en ligne livrée avec une structure prête pour le référencemen</t>
        </is>
      </c>
    </row>
    <row r="393">
      <c r="A393" s="3" t="inlineStr">
        <is>
          <t>https://codesommet.com/services/seo-maroc</t>
        </is>
      </c>
      <c r="B393" t="n">
        <v>7</v>
      </c>
      <c r="C393" t="inlineStr">
        <is>
          <t>Process / how it works</t>
        </is>
      </c>
      <c r="D393" s="5" t="inlineStr">
        <is>
          <t>Notre Méthode de Référencement</t>
        </is>
      </c>
      <c r="E393" t="inlineStr">
        <is>
          <t>H2</t>
        </is>
      </c>
      <c r="F393" s="5" t="inlineStr">
        <is>
          <t>Informational / commercial</t>
        </is>
      </c>
      <c r="G393" t="inlineStr">
        <is>
          <t>agence seo maroc</t>
        </is>
      </c>
      <c r="H393" t="inlineStr">
        <is>
          <t>SUPPORTS PRIMARY</t>
        </is>
      </c>
      <c r="I393" t="inlineStr">
        <is>
          <t>ma</t>
        </is>
      </c>
      <c r="J393" t="n">
        <v>880</v>
      </c>
      <c r="K393" t="n">
        <v>44</v>
      </c>
      <c r="L393" t="n">
        <v>2.48</v>
      </c>
      <c r="M393" t="inlineStr">
        <is>
          <t>MEASURED</t>
        </is>
      </c>
      <c r="N393" t="inlineStr">
        <is>
          <t>Yes (supporting block)</t>
        </is>
      </c>
      <c r="O393" s="5" t="inlineStr">
        <is>
          <t>Supports the primary topic - add only if natural</t>
        </is>
      </c>
      <c r="P393" s="5" t="inlineStr"/>
      <c r="Q393" t="inlineStr">
        <is>
          <t>P2</t>
        </is>
      </c>
      <c r="R393" t="n">
        <v>157</v>
      </c>
      <c r="S393" s="5" t="inlineStr">
        <is>
          <t>De l'audit au suivi mensuel en 4 étapes, pensé pour les entreprises marocaines Étape 1 Audit Technique et Cadrage Crawl complet, Search Console et Core Web Vitals Analyse des concurrents déjà positionnés sur vos requêtes</t>
        </is>
      </c>
    </row>
    <row r="394">
      <c r="A394" s="3" t="inlineStr">
        <is>
          <t>https://codesommet.com/services/seo-maroc</t>
        </is>
      </c>
      <c r="B394" t="n">
        <v>8</v>
      </c>
      <c r="C394" t="inlineStr">
        <is>
          <t>Pricing / offers</t>
        </is>
      </c>
      <c r="D394" s="5" t="inlineStr">
        <is>
          <t>Offres SEO Claires, Tarification Transparente</t>
        </is>
      </c>
      <c r="E394" t="inlineStr">
        <is>
          <t>H2</t>
        </is>
      </c>
      <c r="F394" s="5" t="inlineStr">
        <is>
          <t>Commercial / transactional</t>
        </is>
      </c>
      <c r="G394" t="inlineStr">
        <is>
          <t>prix seo maroc</t>
        </is>
      </c>
      <c r="H394" t="inlineStr">
        <is>
          <t>SECONDARY</t>
        </is>
      </c>
      <c r="I394" t="inlineStr">
        <is>
          <t>ma</t>
        </is>
      </c>
      <c r="J394" t="inlineStr">
        <is>
          <t>NOT AVAILABLE</t>
        </is>
      </c>
      <c r="K394" t="inlineStr">
        <is>
          <t>NOT AVAILABLE</t>
        </is>
      </c>
      <c r="L394" t="inlineStr">
        <is>
          <t>NOT AVAILABLE</t>
        </is>
      </c>
      <c r="M394" t="inlineStr">
        <is>
          <t>UNAVAILABLE</t>
        </is>
      </c>
      <c r="N394" t="inlineStr">
        <is>
          <t>Partly</t>
        </is>
      </c>
      <c r="O394" s="5" t="inlineStr">
        <is>
          <t>Work "prix seo maroc" (or a close natural variant) into existing copy - no new heading needed</t>
        </is>
      </c>
      <c r="P394" s="5" t="inlineStr">
        <is>
          <t>Keyword/variant absent from this section</t>
        </is>
      </c>
      <c r="Q394" t="inlineStr">
        <is>
          <t>P1</t>
        </is>
      </c>
      <c r="R394" t="n">
        <v>215</v>
      </c>
      <c r="S394" s="5" t="inlineStr">
        <is>
          <t>Réservez un appel découverte pour analyser votre site et obtenir un devis adapté à vos objectifs Recommandé Audit &amp; Optimisation SEO Audit complet, recherche de mots-clés et optimisation des pages existantes, livrés avec</t>
        </is>
      </c>
    </row>
    <row r="395">
      <c r="A395" s="3" t="inlineStr">
        <is>
          <t>https://codesommet.com/services/seo-maroc</t>
        </is>
      </c>
      <c r="B395" t="n">
        <v>9</v>
      </c>
      <c r="C395" t="inlineStr">
        <is>
          <t>CTA / conversion</t>
        </is>
      </c>
      <c r="D395" s="5" t="inlineStr">
        <is>
          <t>Prêt à Améliorer Votre Référencement au Maroc ?</t>
        </is>
      </c>
      <c r="E395" t="inlineStr">
        <is>
          <t>H2</t>
        </is>
      </c>
      <c r="F395" s="5" t="inlineStr">
        <is>
          <t>Conversion</t>
        </is>
      </c>
      <c r="G395" t="inlineStr">
        <is>
          <t>—</t>
        </is>
      </c>
      <c r="H395" t="inlineStr">
        <is>
          <t>NONE</t>
        </is>
      </c>
      <c r="I395" t="inlineStr">
        <is>
          <t>—</t>
        </is>
      </c>
      <c r="J395" t="inlineStr">
        <is>
          <t>—</t>
        </is>
      </c>
      <c r="K395" t="inlineStr">
        <is>
          <t>—</t>
        </is>
      </c>
      <c r="L395" t="inlineStr">
        <is>
          <t>—</t>
        </is>
      </c>
      <c r="M395" t="inlineStr">
        <is>
          <t>—</t>
        </is>
      </c>
      <c r="N395" t="inlineStr">
        <is>
          <t>n/a</t>
        </is>
      </c>
      <c r="O395" s="5" t="inlineStr">
        <is>
          <t>No keyword target - keep conversion/navigation focus; use descriptive, non-repeated anchor texts</t>
        </is>
      </c>
      <c r="P395" s="5" t="inlineStr"/>
      <c r="Q395" t="inlineStr">
        <is>
          <t>P2</t>
        </is>
      </c>
      <c r="R395" t="n">
        <v>42</v>
      </c>
      <c r="S395" s="5" t="inlineStr">
        <is>
          <t>Obtenez d'abord une analyse gratuite de votre site : Audit SEO Vérification technique et performance Revue des contenus Recommandations priorisées Analyser Votre Site Web - 100% Gratuit Pas de carte de crédit requise • R</t>
        </is>
      </c>
    </row>
    <row r="396">
      <c r="A396" s="3" t="inlineStr">
        <is>
          <t>https://codesommet.com/services/seo-maroc</t>
        </is>
      </c>
      <c r="B396" t="n">
        <v>10</v>
      </c>
      <c r="C396" t="inlineStr">
        <is>
          <t>Why us / differentiation</t>
        </is>
      </c>
      <c r="D396" s="5" t="inlineStr">
        <is>
          <t>CodeSommet SEO vs Autres</t>
        </is>
      </c>
      <c r="E396" t="inlineStr">
        <is>
          <t>H2</t>
        </is>
      </c>
      <c r="F396" s="5" t="inlineStr">
        <is>
          <t>Commercial investigation</t>
        </is>
      </c>
      <c r="G396" t="inlineStr">
        <is>
          <t>agence seo maroc</t>
        </is>
      </c>
      <c r="H396" t="inlineStr">
        <is>
          <t>SUPPORTS PRIMARY</t>
        </is>
      </c>
      <c r="I396" t="inlineStr">
        <is>
          <t>ma</t>
        </is>
      </c>
      <c r="J396" t="n">
        <v>880</v>
      </c>
      <c r="K396" t="n">
        <v>44</v>
      </c>
      <c r="L396" t="n">
        <v>2.48</v>
      </c>
      <c r="M396" t="inlineStr">
        <is>
          <t>MEASURED</t>
        </is>
      </c>
      <c r="N396" t="inlineStr">
        <is>
          <t>Yes</t>
        </is>
      </c>
      <c r="O396" s="5" t="inlineStr">
        <is>
          <t>Covered - keep wording; no change</t>
        </is>
      </c>
      <c r="P396" s="5" t="inlineStr"/>
      <c r="Q396" t="inlineStr">
        <is>
          <t>P2</t>
        </is>
      </c>
      <c r="R396" t="n">
        <v>190</v>
      </c>
      <c r="S396" s="5" t="inlineStr">
        <is>
          <t>Découvrez pourquoi SEO entreprises choisissent CodeSommet plutôt que d'autres agences SEO locales et prestataires internationaux. Fonctionnalité CodeSommet SEO Autres Agences SEO Agences Internationales Prix de Départ De</t>
        </is>
      </c>
    </row>
    <row r="397">
      <c r="A397" s="3" t="inlineStr">
        <is>
          <t>https://codesommet.com/services/seo-maroc</t>
        </is>
      </c>
      <c r="B397" t="n">
        <v>11</v>
      </c>
      <c r="C397" t="inlineStr">
        <is>
          <t>Testimonials / social proof</t>
        </is>
      </c>
      <c r="D397" s="5" t="inlineStr">
        <is>
          <t>Ce que Nos Clients Disent de Nous</t>
        </is>
      </c>
      <c r="E397" t="inlineStr">
        <is>
          <t>H2</t>
        </is>
      </c>
      <c r="F397" s="5" t="inlineStr">
        <is>
          <t>Commercial investigation</t>
        </is>
      </c>
      <c r="G397" t="inlineStr">
        <is>
          <t>agence seo maroc</t>
        </is>
      </c>
      <c r="H397" t="inlineStr">
        <is>
          <t>SUPPORTS PRIMARY</t>
        </is>
      </c>
      <c r="I397" t="inlineStr">
        <is>
          <t>ma</t>
        </is>
      </c>
      <c r="J397" t="n">
        <v>880</v>
      </c>
      <c r="K397" t="n">
        <v>44</v>
      </c>
      <c r="L397" t="n">
        <v>2.48</v>
      </c>
      <c r="M397" t="inlineStr">
        <is>
          <t>MEASURED</t>
        </is>
      </c>
      <c r="N397" t="inlineStr">
        <is>
          <t>Yes (supporting block)</t>
        </is>
      </c>
      <c r="O397" s="5" t="inlineStr">
        <is>
          <t>Supports the primary topic - add only if natural</t>
        </is>
      </c>
      <c r="P397" s="5" t="inlineStr"/>
      <c r="Q397" t="inlineStr">
        <is>
          <t>P2</t>
        </is>
      </c>
      <c r="R397" t="n">
        <v>106</v>
      </c>
      <c r="S397" s="5" t="inlineStr">
        <is>
          <t>Ne nous croyez pas sur parole. Écoutez les entreprises que nous accompagnons qui ont obtenu des résultats remarquables avec CodeSommet. "Une collaboration professionnelle du début à la fin. Je recommande sans hésiter." M</t>
        </is>
      </c>
    </row>
    <row r="398">
      <c r="A398" s="3" t="inlineStr">
        <is>
          <t>https://codesommet.com/services/seo-maroc</t>
        </is>
      </c>
      <c r="B398" t="n">
        <v>12</v>
      </c>
      <c r="C398" t="inlineStr">
        <is>
          <t>FAQ</t>
        </is>
      </c>
      <c r="D398" s="5" t="inlineStr">
        <is>
          <t>Questions Fréquemment Posées sur le Référencement Naturel au Maroc</t>
        </is>
      </c>
      <c r="E398" t="inlineStr">
        <is>
          <t>H2</t>
        </is>
      </c>
      <c r="F398" s="5" t="inlineStr">
        <is>
          <t>Informational (pre-purchase questions)</t>
        </is>
      </c>
      <c r="G398" t="inlineStr">
        <is>
          <t>audit seo gratuit</t>
        </is>
      </c>
      <c r="H398" t="inlineStr">
        <is>
          <t>FAQ</t>
        </is>
      </c>
      <c r="I398" t="inlineStr">
        <is>
          <t>ma</t>
        </is>
      </c>
      <c r="J398" t="n">
        <v>20</v>
      </c>
      <c r="K398" t="inlineStr">
        <is>
          <t>NOT AVAILABLE</t>
        </is>
      </c>
      <c r="L398" t="n">
        <v>0.11</v>
      </c>
      <c r="M398" t="inlineStr">
        <is>
          <t>MEASURED</t>
        </is>
      </c>
      <c r="N398" t="inlineStr">
        <is>
          <t>Yes</t>
        </is>
      </c>
      <c r="O398" s="5" t="inlineStr">
        <is>
          <t>Covered - keep wording; no change</t>
        </is>
      </c>
      <c r="P398" s="5" t="inlineStr"/>
      <c r="Q398" t="inlineStr">
        <is>
          <t>P2</t>
        </is>
      </c>
      <c r="R398" t="n">
        <v>544</v>
      </c>
      <c r="S398" s="5" t="inlineStr">
        <is>
          <t>Vous avez des questions ? Nous avons les réponses. Voici les questions les plus courantes des entreprises qui cherchent une agence SEO au Maroc. 1 Combien de temps faut-il pour voir des résultats en référencement naturel</t>
        </is>
      </c>
    </row>
    <row r="399">
      <c r="A399" s="3" t="inlineStr">
        <is>
          <t>https://codesommet.com/services/seo-maroc</t>
        </is>
      </c>
      <c r="B399" t="n">
        <v>13</v>
      </c>
      <c r="C399" t="inlineStr">
        <is>
          <t>Local relevance</t>
        </is>
      </c>
      <c r="D399" s="5" t="inlineStr">
        <is>
          <t>Référencement Local dans Tout le Maroc</t>
        </is>
      </c>
      <c r="E399" t="inlineStr">
        <is>
          <t>H2</t>
        </is>
      </c>
      <c r="F399" s="5" t="inlineStr">
        <is>
          <t>Commercial</t>
        </is>
      </c>
      <c r="G399" t="inlineStr">
        <is>
          <t>agence seo casablanca</t>
        </is>
      </c>
      <c r="H399" t="inlineStr">
        <is>
          <t>SECONDARY</t>
        </is>
      </c>
      <c r="I399" t="inlineStr">
        <is>
          <t>ma</t>
        </is>
      </c>
      <c r="J399" t="n">
        <v>170</v>
      </c>
      <c r="K399" t="inlineStr">
        <is>
          <t>NOT AVAILABLE</t>
        </is>
      </c>
      <c r="L399" t="n">
        <v>1.18</v>
      </c>
      <c r="M399" t="inlineStr">
        <is>
          <t>MEASURED</t>
        </is>
      </c>
      <c r="N399" t="inlineStr">
        <is>
          <t>Partly</t>
        </is>
      </c>
      <c r="O399" s="5" t="inlineStr">
        <is>
          <t>Work "agence seo casablanca" (or a close natural variant) into existing copy - no new heading needed</t>
        </is>
      </c>
      <c r="P399" s="5" t="inlineStr">
        <is>
          <t>Keyword/variant absent from this section</t>
        </is>
      </c>
      <c r="Q399" t="inlineStr">
        <is>
          <t>P1</t>
        </is>
      </c>
      <c r="R399" t="n">
        <v>57</v>
      </c>
      <c r="S399" s="5" t="inlineStr">
        <is>
          <t>Nous référençons des entreprises dans les principales villes du Maroc et accompagnons aussi des clients à l'international. Le référencement local est intégré à chaque mission. Casablanca 🇲🇦 Maroc Marrakech 🇲🇦 Maroc Rabat</t>
        </is>
      </c>
    </row>
    <row r="400">
      <c r="A400" s="3" t="inlineStr">
        <is>
          <t>https://codesommet.com/services/seo-maroc</t>
        </is>
      </c>
      <c r="B400" t="n">
        <v>14</v>
      </c>
      <c r="C400" t="inlineStr">
        <is>
          <t>Internal-link block</t>
        </is>
      </c>
      <c r="D400" s="5" t="inlineStr">
        <is>
          <t>Services Complémentaires</t>
        </is>
      </c>
      <c r="E400" t="inlineStr">
        <is>
          <t>H2</t>
        </is>
      </c>
      <c r="F400" s="5" t="inlineStr">
        <is>
          <t>Navigation</t>
        </is>
      </c>
      <c r="G400" t="inlineStr">
        <is>
          <t>—</t>
        </is>
      </c>
      <c r="H400" t="inlineStr">
        <is>
          <t>NONE</t>
        </is>
      </c>
      <c r="I400" t="inlineStr">
        <is>
          <t>—</t>
        </is>
      </c>
      <c r="J400" t="inlineStr">
        <is>
          <t>—</t>
        </is>
      </c>
      <c r="K400" t="inlineStr">
        <is>
          <t>—</t>
        </is>
      </c>
      <c r="L400" t="inlineStr">
        <is>
          <t>—</t>
        </is>
      </c>
      <c r="M400" t="inlineStr">
        <is>
          <t>—</t>
        </is>
      </c>
      <c r="N400" t="inlineStr">
        <is>
          <t>n/a</t>
        </is>
      </c>
      <c r="O400" s="5" t="inlineStr">
        <is>
          <t>No keyword target - keep conversion/navigation focus; use descriptive, non-repeated anchor texts</t>
        </is>
      </c>
      <c r="P400" s="5" t="inlineStr"/>
      <c r="Q400" t="inlineStr">
        <is>
          <t>P2</t>
        </is>
      </c>
      <c r="R400" t="n">
        <v>115</v>
      </c>
      <c r="S400" s="5" t="inlineStr">
        <is>
          <t>Le SEO s'appuie sur un site solide : découvrez nos services de création et de développement web Plateformes SaaS Applications SaaS complètes avec authentification, facturation et fonctionnalités en temps réel. Conseil en</t>
        </is>
      </c>
    </row>
    <row r="401">
      <c r="A401" s="3" t="inlineStr">
        <is>
          <t>https://codesommet.com/services/seo-maroc</t>
        </is>
      </c>
      <c r="B401" t="n">
        <v>15</v>
      </c>
      <c r="C401" t="inlineStr">
        <is>
          <t>Internal-link block</t>
        </is>
      </c>
      <c r="D401" s="5" t="inlineStr">
        <is>
          <t>Explorer Plus</t>
        </is>
      </c>
      <c r="E401" t="inlineStr">
        <is>
          <t>H2</t>
        </is>
      </c>
      <c r="F401" s="5" t="inlineStr">
        <is>
          <t>Navigation</t>
        </is>
      </c>
      <c r="G401" t="inlineStr">
        <is>
          <t>—</t>
        </is>
      </c>
      <c r="H401" t="inlineStr">
        <is>
          <t>NONE</t>
        </is>
      </c>
      <c r="I401" t="inlineStr">
        <is>
          <t>—</t>
        </is>
      </c>
      <c r="J401" t="inlineStr">
        <is>
          <t>—</t>
        </is>
      </c>
      <c r="K401" t="inlineStr">
        <is>
          <t>—</t>
        </is>
      </c>
      <c r="L401" t="inlineStr">
        <is>
          <t>—</t>
        </is>
      </c>
      <c r="M401" t="inlineStr">
        <is>
          <t>—</t>
        </is>
      </c>
      <c r="N401" t="inlineStr">
        <is>
          <t>n/a</t>
        </is>
      </c>
      <c r="O401" s="5" t="inlineStr">
        <is>
          <t>No keyword target - keep conversion/navigation focus; use descriptive, non-repeated anchor texts</t>
        </is>
      </c>
      <c r="P401" s="5" t="inlineStr"/>
      <c r="Q401" t="inlineStr">
        <is>
          <t>P2</t>
        </is>
      </c>
      <c r="R401" t="n">
        <v>87</v>
      </c>
      <c r="S401" s="5" t="inlineStr">
        <is>
          <t>Découvrez ce qui fait de CodeSommet votre partenaire idéal en référencement naturel Audit Gratuit de Site Web Obtenez une analyse gratuite de votre site avec une série complète de vérifications SEO En savoir plus Voir No</t>
        </is>
      </c>
    </row>
    <row r="402">
      <c r="A402" s="3" t="inlineStr">
        <is>
          <t>https://codesommet.com/services/seo-maroc</t>
        </is>
      </c>
      <c r="B402" t="n">
        <v>16</v>
      </c>
      <c r="C402" t="inlineStr">
        <is>
          <t>CTA / conversion</t>
        </is>
      </c>
      <c r="D402" s="5" t="inlineStr">
        <is>
          <t>Prêt à Être Trouvé par Vos Clients sur Google ?</t>
        </is>
      </c>
      <c r="E402" t="inlineStr">
        <is>
          <t>H2</t>
        </is>
      </c>
      <c r="F402" s="5" t="inlineStr">
        <is>
          <t>Conversion</t>
        </is>
      </c>
      <c r="G402" t="inlineStr">
        <is>
          <t>—</t>
        </is>
      </c>
      <c r="H402" t="inlineStr">
        <is>
          <t>NONE</t>
        </is>
      </c>
      <c r="I402" t="inlineStr">
        <is>
          <t>—</t>
        </is>
      </c>
      <c r="J402" t="inlineStr">
        <is>
          <t>—</t>
        </is>
      </c>
      <c r="K402" t="inlineStr">
        <is>
          <t>—</t>
        </is>
      </c>
      <c r="L402" t="inlineStr">
        <is>
          <t>—</t>
        </is>
      </c>
      <c r="M402" t="inlineStr">
        <is>
          <t>—</t>
        </is>
      </c>
      <c r="N402" t="inlineStr">
        <is>
          <t>n/a</t>
        </is>
      </c>
      <c r="O402" s="5" t="inlineStr">
        <is>
          <t>No keyword target - keep conversion/navigation focus; use descriptive, non-repeated anchor texts</t>
        </is>
      </c>
      <c r="P402" s="5" t="inlineStr"/>
      <c r="Q402" t="inlineStr">
        <is>
          <t>P2</t>
        </is>
      </c>
      <c r="R402" t="n">
        <v>116</v>
      </c>
      <c r="S402" s="5" t="inlineStr">
        <is>
          <t>Rejoignez les entreprises visionnaires qui ont choisi l'excellence Réserver un Appel Découverte Analyser Mon Site Gratuitement Réserver un Appel Découverte Analyser Votre Site Web Discutons des requêtes sur lesquelles vo</t>
        </is>
      </c>
    </row>
    <row r="403">
      <c r="A403" s="3" t="inlineStr">
        <is>
          <t>https://codesommet.com/web-development-company/worldwide</t>
        </is>
      </c>
      <c r="B403" t="n">
        <v>1</v>
      </c>
      <c r="C403" t="inlineStr">
        <is>
          <t>Hero / H1</t>
        </is>
      </c>
      <c r="D403" s="5" t="inlineStr">
        <is>
          <t>Agence Web Offshore au Maroc : nous travaillons à distance, où que vous soyez PARTOUT OÙ QUE VOUS SOYEZ</t>
        </is>
      </c>
      <c r="E403" t="inlineStr">
        <is>
          <t>H1</t>
        </is>
      </c>
      <c r="F403" s="5" t="inlineStr">
        <is>
          <t>Commercial (local)</t>
        </is>
      </c>
      <c r="G403" t="inlineStr">
        <is>
          <t>agence web offshore maroc</t>
        </is>
      </c>
      <c r="H403" t="inlineStr">
        <is>
          <t>PRIMARY</t>
        </is>
      </c>
      <c r="I403" t="inlineStr">
        <is>
          <t>ma</t>
        </is>
      </c>
      <c r="J403" t="n">
        <v>140</v>
      </c>
      <c r="K403" t="inlineStr">
        <is>
          <t>NOT AVAILABLE</t>
        </is>
      </c>
      <c r="L403" t="n">
        <v>0</v>
      </c>
      <c r="M403" t="inlineStr">
        <is>
          <t>MEASURED</t>
        </is>
      </c>
      <c r="N403" t="inlineStr">
        <is>
          <t>Yes</t>
        </is>
      </c>
      <c r="O403" s="5" t="inlineStr">
        <is>
          <t>Covered - keep wording; no change</t>
        </is>
      </c>
      <c r="P403" s="5" t="inlineStr"/>
      <c r="Q403" t="inlineStr">
        <is>
          <t>P2</t>
        </is>
      </c>
      <c r="R403" t="n">
        <v>74</v>
      </c>
      <c r="S403" s="5" t="inlineStr">
        <is>
          <t>Basés au Maroc, nous livrons partout dans le monde. Nous créons des sites web premium alimentés par l'IA, des tableaux de bord intelligents et des plateformes SaaS pour des entreprises sur tous les continents. Sans front</t>
        </is>
      </c>
    </row>
    <row r="404">
      <c r="A404" s="3" t="inlineStr">
        <is>
          <t>https://codesommet.com/web-development-company/worldwide</t>
        </is>
      </c>
      <c r="B404" t="n">
        <v>2</v>
      </c>
      <c r="C404" t="inlineStr">
        <is>
          <t>Why us / differentiation</t>
        </is>
      </c>
      <c r="D404" s="5" t="inlineStr">
        <is>
          <t>Pourquoi les entreprises du monde entier choisissent CodeSommet</t>
        </is>
      </c>
      <c r="E404" t="inlineStr">
        <is>
          <t>H2</t>
        </is>
      </c>
      <c r="F404" s="5" t="inlineStr">
        <is>
          <t>Commercial investigation</t>
        </is>
      </c>
      <c r="G404" t="inlineStr">
        <is>
          <t>agence web offshore maroc</t>
        </is>
      </c>
      <c r="H404" t="inlineStr">
        <is>
          <t>SUPPORTS PRIMARY</t>
        </is>
      </c>
      <c r="I404" t="inlineStr">
        <is>
          <t>ma</t>
        </is>
      </c>
      <c r="J404" t="n">
        <v>140</v>
      </c>
      <c r="K404" t="inlineStr">
        <is>
          <t>NOT AVAILABLE</t>
        </is>
      </c>
      <c r="L404" t="n">
        <v>0</v>
      </c>
      <c r="M404" t="inlineStr">
        <is>
          <t>MEASURED</t>
        </is>
      </c>
      <c r="N404" t="inlineStr">
        <is>
          <t>Yes (supporting block)</t>
        </is>
      </c>
      <c r="O404" s="5" t="inlineStr">
        <is>
          <t>Supports the primary topic - add only if natural</t>
        </is>
      </c>
      <c r="P404" s="5" t="inlineStr"/>
      <c r="Q404" t="inlineStr">
        <is>
          <t>P2</t>
        </is>
      </c>
      <c r="R404" t="n">
        <v>180</v>
      </c>
      <c r="S404" s="5" t="inlineStr">
        <is>
          <t>Nous combinons les meilleurs talents du Maroc avec des processus de niveau international pour livrer des sites premium à distance, de manière fiable et dans les délais. Entièrement à Distance, Disponible Partout Quel que</t>
        </is>
      </c>
    </row>
    <row r="405">
      <c r="A405" s="3" t="inlineStr">
        <is>
          <t>https://codesommet.com/web-development-company/worldwide</t>
        </is>
      </c>
      <c r="B405" t="n">
        <v>3</v>
      </c>
      <c r="C405" t="inlineStr">
        <is>
          <t>Process / how it works</t>
        </is>
      </c>
      <c r="D405" s="5" t="inlineStr">
        <is>
          <t>Comment nous travaillons avec des clients dans le monde entier</t>
        </is>
      </c>
      <c r="E405" t="inlineStr">
        <is>
          <t>H2</t>
        </is>
      </c>
      <c r="F405" s="5" t="inlineStr">
        <is>
          <t>Informational / commercial</t>
        </is>
      </c>
      <c r="G405" t="inlineStr">
        <is>
          <t>agence web offshore maroc</t>
        </is>
      </c>
      <c r="H405" t="inlineStr">
        <is>
          <t>SUPPORTS PRIMARY</t>
        </is>
      </c>
      <c r="I405" t="inlineStr">
        <is>
          <t>ma</t>
        </is>
      </c>
      <c r="J405" t="n">
        <v>140</v>
      </c>
      <c r="K405" t="inlineStr">
        <is>
          <t>NOT AVAILABLE</t>
        </is>
      </c>
      <c r="L405" t="n">
        <v>0</v>
      </c>
      <c r="M405" t="inlineStr">
        <is>
          <t>MEASURED</t>
        </is>
      </c>
      <c r="N405" t="inlineStr">
        <is>
          <t>Yes (supporting block)</t>
        </is>
      </c>
      <c r="O405" s="5" t="inlineStr">
        <is>
          <t>Supports the primary topic - add only if natural</t>
        </is>
      </c>
      <c r="P405" s="5" t="inlineStr"/>
      <c r="Q405" t="inlineStr">
        <is>
          <t>P2</t>
        </is>
      </c>
      <c r="R405" t="n">
        <v>121</v>
      </c>
      <c r="S405" s="5" t="inlineStr">
        <is>
          <t xml:space="preserve">Un flux de travail à distance fluide, affiné projet après projet avec des clients répartis sur plusieurs continents. 1 Appel découverte Nous organisons un appel vidéo pour comprendre votre activité, vos objectifs et vos </t>
        </is>
      </c>
    </row>
    <row r="406">
      <c r="A406" s="3" t="inlineStr">
        <is>
          <t>https://codesommet.com/web-development-company/worldwide</t>
        </is>
      </c>
      <c r="B406" t="n">
        <v>4</v>
      </c>
      <c r="C406" t="inlineStr">
        <is>
          <t>Content block</t>
        </is>
      </c>
      <c r="D406" s="5" t="inlineStr">
        <is>
          <t>Secteurs que Nous Servons dans le Monde</t>
        </is>
      </c>
      <c r="E406" t="inlineStr">
        <is>
          <t>H2</t>
        </is>
      </c>
      <c r="F406" s="5" t="inlineStr">
        <is>
          <t>Commercial (local)</t>
        </is>
      </c>
      <c r="G406" t="inlineStr">
        <is>
          <t>agence de développement web</t>
        </is>
      </c>
      <c r="H406" t="inlineStr">
        <is>
          <t>SECONDARY</t>
        </is>
      </c>
      <c r="I406" t="inlineStr">
        <is>
          <t>fr</t>
        </is>
      </c>
      <c r="J406" t="n">
        <v>1300</v>
      </c>
      <c r="K406" t="n">
        <v>32</v>
      </c>
      <c r="L406" t="n">
        <v>4.62</v>
      </c>
      <c r="M406" t="inlineStr">
        <is>
          <t>MEASURED</t>
        </is>
      </c>
      <c r="N406" t="inlineStr">
        <is>
          <t>Partly</t>
        </is>
      </c>
      <c r="O406" s="5" t="inlineStr">
        <is>
          <t>Work "agence de développement web" (or a close natural variant) into existing copy - no new heading needed</t>
        </is>
      </c>
      <c r="P406" s="5" t="inlineStr">
        <is>
          <t>Keyword/variant absent from this section</t>
        </is>
      </c>
      <c r="Q406" t="inlineStr">
        <is>
          <t>P1</t>
        </is>
      </c>
      <c r="R406" t="n">
        <v>114</v>
      </c>
      <c r="S406" s="5" t="inlineStr">
        <is>
          <t>Des solutions spécialisées pour des entreprises de tous secteurs, livrées à distance avec le même niveau de qualité qu'une agence haut de gamme. Éducation &amp; EdTech Universités, cours en ligne, plateformes LMS, cabinets d</t>
        </is>
      </c>
    </row>
    <row r="407">
      <c r="A407" s="3" t="inlineStr">
        <is>
          <t>https://codesommet.com/web-development-company/worldwide</t>
        </is>
      </c>
      <c r="B407" t="n">
        <v>5</v>
      </c>
      <c r="C407" t="inlineStr">
        <is>
          <t>Testimonials / social proof</t>
        </is>
      </c>
      <c r="D407" s="5" t="inlineStr">
        <is>
          <t>Histoires de réussite à travers le monde</t>
        </is>
      </c>
      <c r="E407" t="inlineStr">
        <is>
          <t>H2</t>
        </is>
      </c>
      <c r="F407" s="5" t="inlineStr">
        <is>
          <t>Commercial investigation</t>
        </is>
      </c>
      <c r="G407" t="inlineStr">
        <is>
          <t>agence web offshore maroc</t>
        </is>
      </c>
      <c r="H407" t="inlineStr">
        <is>
          <t>SUPPORTS PRIMARY</t>
        </is>
      </c>
      <c r="I407" t="inlineStr">
        <is>
          <t>ma</t>
        </is>
      </c>
      <c r="J407" t="n">
        <v>140</v>
      </c>
      <c r="K407" t="inlineStr">
        <is>
          <t>NOT AVAILABLE</t>
        </is>
      </c>
      <c r="L407" t="n">
        <v>0</v>
      </c>
      <c r="M407" t="inlineStr">
        <is>
          <t>MEASURED</t>
        </is>
      </c>
      <c r="N407" t="inlineStr">
        <is>
          <t>Yes (supporting block)</t>
        </is>
      </c>
      <c r="O407" s="5" t="inlineStr">
        <is>
          <t>Supports the primary topic - add only if natural</t>
        </is>
      </c>
      <c r="P407" s="5" t="inlineStr"/>
      <c r="Q407" t="inlineStr">
        <is>
          <t>P2</t>
        </is>
      </c>
      <c r="R407" t="n">
        <v>94</v>
      </c>
      <c r="S407" s="5" t="inlineStr">
        <is>
          <t>De vrais projets livrés à de vraies entreprises — à distance, dans les délais et au-delà des attentes. SaaS Mon Asso Plateforme complète d'études à l'étranger avec matching universitaire alimenté par l'IA, moteur de rech</t>
        </is>
      </c>
    </row>
    <row r="408">
      <c r="A408" s="3" t="inlineStr">
        <is>
          <t>https://codesommet.com/web-development-company/worldwide</t>
        </is>
      </c>
      <c r="B408" t="n">
        <v>6</v>
      </c>
      <c r="C408" t="inlineStr">
        <is>
          <t>FAQ</t>
        </is>
      </c>
      <c r="D408" s="5" t="inlineStr">
        <is>
          <t>Questions fréquemment posées</t>
        </is>
      </c>
      <c r="E408" t="inlineStr">
        <is>
          <t>H2</t>
        </is>
      </c>
      <c r="F408" s="5" t="inlineStr">
        <is>
          <t>Informational (pre-purchase questions)</t>
        </is>
      </c>
      <c r="G408" t="inlineStr">
        <is>
          <t>agence web offshore maroc</t>
        </is>
      </c>
      <c r="H408" t="inlineStr">
        <is>
          <t>SUPPORTS PRIMARY</t>
        </is>
      </c>
      <c r="I408" t="inlineStr">
        <is>
          <t>ma</t>
        </is>
      </c>
      <c r="J408" t="n">
        <v>140</v>
      </c>
      <c r="K408" t="inlineStr">
        <is>
          <t>NOT AVAILABLE</t>
        </is>
      </c>
      <c r="L408" t="n">
        <v>0</v>
      </c>
      <c r="M408" t="inlineStr">
        <is>
          <t>MEASURED</t>
        </is>
      </c>
      <c r="N408" t="inlineStr">
        <is>
          <t>Yes (supporting block)</t>
        </is>
      </c>
      <c r="O408" s="5" t="inlineStr">
        <is>
          <t>Supports the primary topic - add only if natural</t>
        </is>
      </c>
      <c r="P408" s="5" t="inlineStr"/>
      <c r="Q408" t="inlineStr">
        <is>
          <t>P2</t>
        </is>
      </c>
      <c r="R408" t="n">
        <v>183</v>
      </c>
      <c r="S408" s="5" t="inlineStr">
        <is>
          <t>Nous sommes basés au Maroc, mais nous travaillons 100% à distance avec des clients du monde entier — de l'Europe et du Moyen-Orient à l'Amérique du Nord, l'Asie et au-delà. Absolument. Nous ajustons nos heures de travail</t>
        </is>
      </c>
    </row>
    <row r="409">
      <c r="A409" s="3" t="inlineStr">
        <is>
          <t>https://codesommet.com/web-development-company/worldwide</t>
        </is>
      </c>
      <c r="B409" t="n">
        <v>7</v>
      </c>
      <c r="C409" t="inlineStr">
        <is>
          <t>Internal-link block</t>
        </is>
      </c>
      <c r="D409" s="5" t="inlineStr">
        <is>
          <t>Explorer davantage</t>
        </is>
      </c>
      <c r="E409" t="inlineStr">
        <is>
          <t>H2</t>
        </is>
      </c>
      <c r="F409" s="5" t="inlineStr">
        <is>
          <t>Navigation</t>
        </is>
      </c>
      <c r="G409" t="inlineStr">
        <is>
          <t>—</t>
        </is>
      </c>
      <c r="H409" t="inlineStr">
        <is>
          <t>NONE</t>
        </is>
      </c>
      <c r="I409" t="inlineStr">
        <is>
          <t>—</t>
        </is>
      </c>
      <c r="J409" t="inlineStr">
        <is>
          <t>—</t>
        </is>
      </c>
      <c r="K409" t="inlineStr">
        <is>
          <t>—</t>
        </is>
      </c>
      <c r="L409" t="inlineStr">
        <is>
          <t>—</t>
        </is>
      </c>
      <c r="M409" t="inlineStr">
        <is>
          <t>—</t>
        </is>
      </c>
      <c r="N409" t="inlineStr">
        <is>
          <t>n/a</t>
        </is>
      </c>
      <c r="O409" s="5" t="inlineStr">
        <is>
          <t>No keyword target - keep conversion/navigation focus; use descriptive, non-repeated anchor texts</t>
        </is>
      </c>
      <c r="P409" s="5" t="inlineStr"/>
      <c r="Q409" t="inlineStr">
        <is>
          <t>P2</t>
        </is>
      </c>
      <c r="R409" t="n">
        <v>39</v>
      </c>
      <c r="S409" s="5" t="inlineStr">
        <is>
          <t>Parcourir Nos Réalisations Découvrez les projets que nous avons livrés pour des clients dans le monde entier. À Propos de CodeSommet Découvrez notre équipe, nos valeurs et notre approche. Demander une Consultation Prêt à</t>
        </is>
      </c>
    </row>
    <row r="410">
      <c r="A410" s="3" t="inlineStr">
        <is>
          <t>https://codesommet.com/web-development-company/worldwide</t>
        </is>
      </c>
      <c r="B410" t="n">
        <v>8</v>
      </c>
      <c r="C410" t="inlineStr">
        <is>
          <t>CTA / conversion</t>
        </is>
      </c>
      <c r="D410" s="5" t="inlineStr">
        <is>
          <t>Prêt à Créer Quelque Chose d'Extraordinaire ?</t>
        </is>
      </c>
      <c r="E410" t="inlineStr">
        <is>
          <t>H2</t>
        </is>
      </c>
      <c r="F410" s="5" t="inlineStr">
        <is>
          <t>Conversion</t>
        </is>
      </c>
      <c r="G410" t="inlineStr">
        <is>
          <t>—</t>
        </is>
      </c>
      <c r="H410" t="inlineStr">
        <is>
          <t>NONE</t>
        </is>
      </c>
      <c r="I410" t="inlineStr">
        <is>
          <t>—</t>
        </is>
      </c>
      <c r="J410" t="inlineStr">
        <is>
          <t>—</t>
        </is>
      </c>
      <c r="K410" t="inlineStr">
        <is>
          <t>—</t>
        </is>
      </c>
      <c r="L410" t="inlineStr">
        <is>
          <t>—</t>
        </is>
      </c>
      <c r="M410" t="inlineStr">
        <is>
          <t>—</t>
        </is>
      </c>
      <c r="N410" t="inlineStr">
        <is>
          <t>n/a</t>
        </is>
      </c>
      <c r="O410" s="5" t="inlineStr">
        <is>
          <t>No keyword target - keep conversion/navigation focus; use descriptive, non-repeated anchor texts</t>
        </is>
      </c>
      <c r="P410" s="5" t="inlineStr"/>
      <c r="Q410" t="inlineStr">
        <is>
          <t>P2</t>
        </is>
      </c>
      <c r="R410" t="n">
        <v>22</v>
      </c>
      <c r="S410" s="5" t="inlineStr">
        <is>
          <t>Où que vous soyez dans le monde — créons ensemble quelque chose d'exceptionnel. Obtenez une consultation gratuite dès aujourd'hui. Lancer Mon Projet Contactez-Nous</t>
        </is>
      </c>
    </row>
    <row r="411">
      <c r="A411" s="3" t="inlineStr">
        <is>
          <t>https://codesommet.com/web-development-company/casablanca</t>
        </is>
      </c>
      <c r="B411" t="n">
        <v>1</v>
      </c>
      <c r="C411" t="inlineStr">
        <is>
          <t>Hero / H1</t>
        </is>
      </c>
      <c r="D411" s="5" t="inlineStr">
        <is>
          <t>Agence Web Casablanca : Création de Sites qui génèrent LA CROISSANCE DES ENTREPRISES À CASABLANCA</t>
        </is>
      </c>
      <c r="E411" t="inlineStr">
        <is>
          <t>H1</t>
        </is>
      </c>
      <c r="F411" s="5" t="inlineStr">
        <is>
          <t>Commercial (local)</t>
        </is>
      </c>
      <c r="G411" t="inlineStr">
        <is>
          <t>agence web casablanca</t>
        </is>
      </c>
      <c r="H411" t="inlineStr">
        <is>
          <t>PRIMARY</t>
        </is>
      </c>
      <c r="I411" t="inlineStr">
        <is>
          <t>ma</t>
        </is>
      </c>
      <c r="J411" t="n">
        <v>1000</v>
      </c>
      <c r="K411" t="n">
        <v>52</v>
      </c>
      <c r="L411" t="n">
        <v>0.73</v>
      </c>
      <c r="M411" t="inlineStr">
        <is>
          <t>MEASURED</t>
        </is>
      </c>
      <c r="N411" t="inlineStr">
        <is>
          <t>Yes</t>
        </is>
      </c>
      <c r="O411" s="5" t="inlineStr">
        <is>
          <t>Covered - keep wording; no change</t>
        </is>
      </c>
      <c r="P411" s="5" t="inlineStr"/>
      <c r="Q411" t="inlineStr">
        <is>
          <t>P2</t>
        </is>
      </c>
      <c r="R411" t="n">
        <v>64</v>
      </c>
      <c r="S411" s="5" t="inlineStr">
        <is>
          <t>Studio de développement web basé au Maroc servant les entreprises du monde entier. Nous construisons des sites web alimentés par l'IA et des tableaux de bord intelligents à distance. Sites web de qualité premium livrés e</t>
        </is>
      </c>
    </row>
    <row r="412">
      <c r="A412" s="3" t="inlineStr">
        <is>
          <t>https://codesommet.com/web-development-company/casablanca</t>
        </is>
      </c>
      <c r="B412" t="n">
        <v>2</v>
      </c>
      <c r="C412" t="inlineStr">
        <is>
          <t>Why us / differentiation</t>
        </is>
      </c>
      <c r="D412" s="5" t="inlineStr">
        <is>
          <t>Pourquoi Choisir CodeSommet à Casablanca ?</t>
        </is>
      </c>
      <c r="E412" t="inlineStr">
        <is>
          <t>H2</t>
        </is>
      </c>
      <c r="F412" s="5" t="inlineStr">
        <is>
          <t>Commercial investigation</t>
        </is>
      </c>
      <c r="G412" t="inlineStr">
        <is>
          <t>agence web casablanca</t>
        </is>
      </c>
      <c r="H412" t="inlineStr">
        <is>
          <t>SUPPORTS PRIMARY</t>
        </is>
      </c>
      <c r="I412" t="inlineStr">
        <is>
          <t>ma</t>
        </is>
      </c>
      <c r="J412" t="n">
        <v>1000</v>
      </c>
      <c r="K412" t="n">
        <v>52</v>
      </c>
      <c r="L412" t="n">
        <v>0.73</v>
      </c>
      <c r="M412" t="inlineStr">
        <is>
          <t>MEASURED</t>
        </is>
      </c>
      <c r="N412" t="inlineStr">
        <is>
          <t>Yes (supporting block)</t>
        </is>
      </c>
      <c r="O412" s="5" t="inlineStr">
        <is>
          <t>Supports the primary topic - add only if natural</t>
        </is>
      </c>
      <c r="P412" s="5" t="inlineStr"/>
      <c r="Q412" t="inlineStr">
        <is>
          <t>P2</t>
        </is>
      </c>
      <c r="R412" t="n">
        <v>166</v>
      </c>
      <c r="S412" s="5" t="inlineStr">
        <is>
          <t>L'expertise locale rencontre les standards mondiaux. Voici ce qui fait de nous le partenaire de développement web idéal à Casablanca. Experts en IA Créez des chatbots intelligents, des workflows d'automatisation, de la r</t>
        </is>
      </c>
    </row>
    <row r="413">
      <c r="A413" s="3" t="inlineStr">
        <is>
          <t>https://codesommet.com/web-development-company/casablanca</t>
        </is>
      </c>
      <c r="B413" t="n">
        <v>3</v>
      </c>
      <c r="C413" t="inlineStr">
        <is>
          <t>Content block</t>
        </is>
      </c>
      <c r="D413" s="5" t="inlineStr">
        <is>
          <t>Approuvé par Casablanca Entreprises</t>
        </is>
      </c>
      <c r="E413" t="inlineStr">
        <is>
          <t>H2</t>
        </is>
      </c>
      <c r="F413" s="5" t="inlineStr">
        <is>
          <t>Commercial (local)</t>
        </is>
      </c>
      <c r="G413" t="inlineStr">
        <is>
          <t>agence digitale casablanca</t>
        </is>
      </c>
      <c r="H413" t="inlineStr">
        <is>
          <t>SECONDARY</t>
        </is>
      </c>
      <c r="I413" t="inlineStr">
        <is>
          <t>ma</t>
        </is>
      </c>
      <c r="J413" t="n">
        <v>260</v>
      </c>
      <c r="K413" t="inlineStr">
        <is>
          <t>NOT AVAILABLE</t>
        </is>
      </c>
      <c r="L413" t="n">
        <v>0.78</v>
      </c>
      <c r="M413" t="inlineStr">
        <is>
          <t>MEASURED</t>
        </is>
      </c>
      <c r="N413" t="inlineStr">
        <is>
          <t>Partly</t>
        </is>
      </c>
      <c r="O413" s="5" t="inlineStr">
        <is>
          <t>Work "agence digitale casablanca" (or a close natural variant) into existing copy - no new heading needed</t>
        </is>
      </c>
      <c r="P413" s="5" t="inlineStr">
        <is>
          <t>Keyword/variant absent from this section</t>
        </is>
      </c>
      <c r="Q413" t="inlineStr">
        <is>
          <t>P1</t>
        </is>
      </c>
      <c r="R413" t="n">
        <v>27</v>
      </c>
      <c r="S413" s="5" t="inlineStr">
        <is>
          <t>Projets livrés à l'international Sites pensés pour la conversion Clients dans plusieurs pays De vrais résultats de Casablanca - entreprises avec lesquelles nous avons collaboré Expertise Sectorielle</t>
        </is>
      </c>
    </row>
    <row r="414">
      <c r="A414" s="3" t="inlineStr">
        <is>
          <t>https://codesommet.com/web-development-company/casablanca</t>
        </is>
      </c>
      <c r="B414" t="n">
        <v>4</v>
      </c>
      <c r="C414" t="inlineStr">
        <is>
          <t>Content block</t>
        </is>
      </c>
      <c r="D414" s="5" t="inlineStr">
        <is>
          <t>Casablanca Nos Secteurs de Spécialisation</t>
        </is>
      </c>
      <c r="E414" t="inlineStr">
        <is>
          <t>H2</t>
        </is>
      </c>
      <c r="F414" s="5" t="inlineStr">
        <is>
          <t>Commercial (local)</t>
        </is>
      </c>
      <c r="G414" t="inlineStr">
        <is>
          <t>création site web casablanca</t>
        </is>
      </c>
      <c r="H414" t="inlineStr">
        <is>
          <t>SECONDARY</t>
        </is>
      </c>
      <c r="I414" t="inlineStr">
        <is>
          <t>ma</t>
        </is>
      </c>
      <c r="J414" t="n">
        <v>210</v>
      </c>
      <c r="K414" t="inlineStr">
        <is>
          <t>NOT AVAILABLE</t>
        </is>
      </c>
      <c r="L414" t="n">
        <v>0.91</v>
      </c>
      <c r="M414" t="inlineStr">
        <is>
          <t>MEASURED</t>
        </is>
      </c>
      <c r="N414" t="inlineStr">
        <is>
          <t>Partly</t>
        </is>
      </c>
      <c r="O414" s="5" t="inlineStr">
        <is>
          <t>Work "création site web casablanca" (or a close natural variant) into existing copy - no new heading needed</t>
        </is>
      </c>
      <c r="P414" s="5" t="inlineStr">
        <is>
          <t>Keyword/variant absent from this section</t>
        </is>
      </c>
      <c r="Q414" t="inlineStr">
        <is>
          <t>P1</t>
        </is>
      </c>
      <c r="R414" t="n">
        <v>187</v>
      </c>
      <c r="S414" s="5" t="inlineStr">
        <is>
          <t>Expertise approfondie dans Casablanca . Nous comprenons les défis uniques de votre secteur et les exigences de conformité. FinTech Plateformes financières sécurisées avec traitement des paiements, conformité et fonctionn</t>
        </is>
      </c>
    </row>
    <row r="415">
      <c r="A415" s="3" t="inlineStr">
        <is>
          <t>https://codesommet.com/web-development-company/casablanca</t>
        </is>
      </c>
      <c r="B415" t="n">
        <v>5</v>
      </c>
      <c r="C415" t="inlineStr">
        <is>
          <t>Testimonials / social proof</t>
        </is>
      </c>
      <c r="D415" s="5" t="inlineStr">
        <is>
          <t>Histoires de Succès de Casablanca</t>
        </is>
      </c>
      <c r="E415" t="inlineStr">
        <is>
          <t>H2</t>
        </is>
      </c>
      <c r="F415" s="5" t="inlineStr">
        <is>
          <t>Commercial investigation</t>
        </is>
      </c>
      <c r="G415" t="inlineStr">
        <is>
          <t>agence web casablanca</t>
        </is>
      </c>
      <c r="H415" t="inlineStr">
        <is>
          <t>SUPPORTS PRIMARY</t>
        </is>
      </c>
      <c r="I415" t="inlineStr">
        <is>
          <t>ma</t>
        </is>
      </c>
      <c r="J415" t="n">
        <v>1000</v>
      </c>
      <c r="K415" t="n">
        <v>52</v>
      </c>
      <c r="L415" t="n">
        <v>0.73</v>
      </c>
      <c r="M415" t="inlineStr">
        <is>
          <t>MEASURED</t>
        </is>
      </c>
      <c r="N415" t="inlineStr">
        <is>
          <t>Yes (supporting block)</t>
        </is>
      </c>
      <c r="O415" s="5" t="inlineStr">
        <is>
          <t>Supports the primary topic - add only if natural</t>
        </is>
      </c>
      <c r="P415" s="5" t="inlineStr"/>
      <c r="Q415" t="inlineStr">
        <is>
          <t>P2</t>
        </is>
      </c>
      <c r="R415" t="n">
        <v>55</v>
      </c>
      <c r="S415" s="5" t="inlineStr">
        <is>
          <t>De vrais projets, de vrais résultats. Découvrez comment nous avons aidé les entreprises à Casablanca atteindre leurs objectifs numériques. Beauté Boutique en ligne sur mesure GlamWorlds Maroc SaaS Plateforme de gestion a</t>
        </is>
      </c>
    </row>
    <row r="416">
      <c r="A416" s="3" t="inlineStr">
        <is>
          <t>https://codesommet.com/web-development-company/casablanca</t>
        </is>
      </c>
      <c r="B416" t="n">
        <v>6</v>
      </c>
      <c r="C416" t="inlineStr">
        <is>
          <t>Content block</t>
        </is>
      </c>
      <c r="D416" s="5" t="inlineStr">
        <is>
          <t>Des Plateformes Immobilières Pensées pour le Marché de Casablanca</t>
        </is>
      </c>
      <c r="E416" t="inlineStr">
        <is>
          <t>H2</t>
        </is>
      </c>
      <c r="F416" s="5" t="inlineStr">
        <is>
          <t>Commercial (local)</t>
        </is>
      </c>
      <c r="G416" t="inlineStr">
        <is>
          <t>agence création site web casablanca</t>
        </is>
      </c>
      <c r="H416" t="inlineStr">
        <is>
          <t>SECONDARY</t>
        </is>
      </c>
      <c r="I416" t="inlineStr">
        <is>
          <t>ma</t>
        </is>
      </c>
      <c r="J416" t="n">
        <v>30</v>
      </c>
      <c r="K416" t="inlineStr">
        <is>
          <t>NOT AVAILABLE</t>
        </is>
      </c>
      <c r="L416" t="n">
        <v>0.63</v>
      </c>
      <c r="M416" t="inlineStr">
        <is>
          <t>MEASURED</t>
        </is>
      </c>
      <c r="N416" t="inlineStr">
        <is>
          <t>Partly</t>
        </is>
      </c>
      <c r="O416" s="5" t="inlineStr">
        <is>
          <t>Work "agence création site web casablanca" (or a close natural variant) into existing copy - no new heading needed</t>
        </is>
      </c>
      <c r="P416" s="5" t="inlineStr">
        <is>
          <t>Keyword/variant absent from this section</t>
        </is>
      </c>
      <c r="Q416" t="inlineStr">
        <is>
          <t>P1</t>
        </is>
      </c>
      <c r="R416" t="n">
        <v>222</v>
      </c>
      <c r="S416" s="5" t="inlineStr">
        <is>
          <t>Solutions pour les entreprises de gestion et de promotion immobilière • Immobilier &amp; PropTech • Délai adapté à la portée du projet Le Constat Les entreprises de gestion immobilière à Casablanca jonglent souvent avec un s</t>
        </is>
      </c>
    </row>
    <row r="417">
      <c r="A417" s="3" t="inlineStr">
        <is>
          <t>https://codesommet.com/web-development-company/casablanca</t>
        </is>
      </c>
      <c r="B417" t="n">
        <v>7</v>
      </c>
      <c r="C417" t="inlineStr">
        <is>
          <t>Pricing / offers</t>
        </is>
      </c>
      <c r="D417" s="5" t="inlineStr">
        <is>
          <t>Solutions Personnalisées, Tarification Transparente</t>
        </is>
      </c>
      <c r="E417" t="inlineStr">
        <is>
          <t>H2</t>
        </is>
      </c>
      <c r="F417" s="5" t="inlineStr">
        <is>
          <t>Commercial / transactional</t>
        </is>
      </c>
      <c r="G417" t="inlineStr">
        <is>
          <t>prix création site web casablanca</t>
        </is>
      </c>
      <c r="H417" t="inlineStr">
        <is>
          <t>SECONDARY</t>
        </is>
      </c>
      <c r="I417" t="inlineStr">
        <is>
          <t>ma</t>
        </is>
      </c>
      <c r="J417" t="inlineStr">
        <is>
          <t>NOT AVAILABLE</t>
        </is>
      </c>
      <c r="K417" t="inlineStr">
        <is>
          <t>NOT AVAILABLE</t>
        </is>
      </c>
      <c r="L417" t="inlineStr">
        <is>
          <t>NOT AVAILABLE</t>
        </is>
      </c>
      <c r="M417" t="inlineStr">
        <is>
          <t>SUGGESTED</t>
        </is>
      </c>
      <c r="N417" t="inlineStr">
        <is>
          <t>Partly</t>
        </is>
      </c>
      <c r="O417" s="5" t="inlineStr">
        <is>
          <t>Work "prix création site web casablanca" (or a close natural variant) into existing copy - no new heading needed</t>
        </is>
      </c>
      <c r="P417" s="5" t="inlineStr">
        <is>
          <t>Keyword/variant absent from this section</t>
        </is>
      </c>
      <c r="Q417" t="inlineStr">
        <is>
          <t>P1</t>
        </is>
      </c>
      <c r="R417" t="n">
        <v>184</v>
      </c>
      <c r="S417" s="5" t="inlineStr">
        <is>
          <t>Réservez un appel découverte pour discuter de vos besoins spécifiques et obtenir un devis personnalisé Recommandé Développement Web Site web complet avec fonctionnalités IA, tableaux de bord et design premium livré en 2-</t>
        </is>
      </c>
    </row>
    <row r="418">
      <c r="A418" s="3" t="inlineStr">
        <is>
          <t>https://codesommet.com/web-development-company/casablanca</t>
        </is>
      </c>
      <c r="B418" t="n">
        <v>8</v>
      </c>
      <c r="C418" t="inlineStr">
        <is>
          <t>CTA / conversion</t>
        </is>
      </c>
      <c r="D418" s="5" t="inlineStr">
        <is>
          <t>Prêt à Améliorer Votre Site Web à Casablanca ?</t>
        </is>
      </c>
      <c r="E418" t="inlineStr">
        <is>
          <t>H2</t>
        </is>
      </c>
      <c r="F418" s="5" t="inlineStr">
        <is>
          <t>Conversion</t>
        </is>
      </c>
      <c r="G418" t="inlineStr">
        <is>
          <t>—</t>
        </is>
      </c>
      <c r="H418" t="inlineStr">
        <is>
          <t>NONE</t>
        </is>
      </c>
      <c r="I418" t="inlineStr">
        <is>
          <t>—</t>
        </is>
      </c>
      <c r="J418" t="inlineStr">
        <is>
          <t>—</t>
        </is>
      </c>
      <c r="K418" t="inlineStr">
        <is>
          <t>—</t>
        </is>
      </c>
      <c r="L418" t="inlineStr">
        <is>
          <t>—</t>
        </is>
      </c>
      <c r="M418" t="inlineStr">
        <is>
          <t>—</t>
        </is>
      </c>
      <c r="N418" t="inlineStr">
        <is>
          <t>n/a</t>
        </is>
      </c>
      <c r="O418" s="5" t="inlineStr">
        <is>
          <t>No keyword target - keep conversion/navigation focus; use descriptive, non-repeated anchor texts</t>
        </is>
      </c>
      <c r="P418" s="5" t="inlineStr"/>
      <c r="Q418" t="inlineStr">
        <is>
          <t>P2</t>
        </is>
      </c>
      <c r="R418" t="n">
        <v>40</v>
      </c>
      <c r="S418" s="5" t="inlineStr">
        <is>
          <t xml:space="preserve">Obtenez d'abord une analyse gratuite complète : Audit SEO Vérification de performance Revue de design Recommandations alimentées par l'IA Analyser Votre Site Web - 100% Gratuit Aucune carte de crédit requise • Résultats </t>
        </is>
      </c>
    </row>
    <row r="419">
      <c r="A419" s="3" t="inlineStr">
        <is>
          <t>https://codesommet.com/web-development-company/casablanca</t>
        </is>
      </c>
      <c r="B419" t="n">
        <v>9</v>
      </c>
      <c r="C419" t="inlineStr">
        <is>
          <t>Why us / differentiation</t>
        </is>
      </c>
      <c r="D419" s="5" t="inlineStr">
        <is>
          <t>CodeSommet Casablanca vs Autres</t>
        </is>
      </c>
      <c r="E419" t="inlineStr">
        <is>
          <t>H2</t>
        </is>
      </c>
      <c r="F419" s="5" t="inlineStr">
        <is>
          <t>Commercial investigation</t>
        </is>
      </c>
      <c r="G419" t="inlineStr">
        <is>
          <t>agence web casablanca</t>
        </is>
      </c>
      <c r="H419" t="inlineStr">
        <is>
          <t>SUPPORTS PRIMARY</t>
        </is>
      </c>
      <c r="I419" t="inlineStr">
        <is>
          <t>ma</t>
        </is>
      </c>
      <c r="J419" t="n">
        <v>1000</v>
      </c>
      <c r="K419" t="n">
        <v>52</v>
      </c>
      <c r="L419" t="n">
        <v>0.73</v>
      </c>
      <c r="M419" t="inlineStr">
        <is>
          <t>MEASURED</t>
        </is>
      </c>
      <c r="N419" t="inlineStr">
        <is>
          <t>Yes</t>
        </is>
      </c>
      <c r="O419" s="5" t="inlineStr">
        <is>
          <t>Covered - keep wording; no change</t>
        </is>
      </c>
      <c r="P419" s="5" t="inlineStr"/>
      <c r="Q419" t="inlineStr">
        <is>
          <t>P2</t>
        </is>
      </c>
      <c r="R419" t="n">
        <v>91</v>
      </c>
      <c r="S419" s="5" t="inlineStr">
        <is>
          <t>Découvrez pourquoi Casablanca entreprises choisissent CodeSommet plutôt que d'autres agences locales et concurrents internationaux. Fonctionnalité CodeSommet Casablanca Autres Casablanca Agences Agences Internationales R</t>
        </is>
      </c>
    </row>
    <row r="420">
      <c r="A420" s="3" t="inlineStr">
        <is>
          <t>https://codesommet.com/web-development-company/casablanca</t>
        </is>
      </c>
      <c r="B420" t="n">
        <v>10</v>
      </c>
      <c r="C420" t="inlineStr">
        <is>
          <t>Testimonials / social proof</t>
        </is>
      </c>
      <c r="D420" s="5" t="inlineStr">
        <is>
          <t>Quoi Casablanca Nos Clients Disent de Nous</t>
        </is>
      </c>
      <c r="E420" t="inlineStr">
        <is>
          <t>H2</t>
        </is>
      </c>
      <c r="F420" s="5" t="inlineStr">
        <is>
          <t>Commercial investigation</t>
        </is>
      </c>
      <c r="G420" t="inlineStr">
        <is>
          <t>agence web casablanca</t>
        </is>
      </c>
      <c r="H420" t="inlineStr">
        <is>
          <t>SUPPORTS PRIMARY</t>
        </is>
      </c>
      <c r="I420" t="inlineStr">
        <is>
          <t>ma</t>
        </is>
      </c>
      <c r="J420" t="n">
        <v>1000</v>
      </c>
      <c r="K420" t="n">
        <v>52</v>
      </c>
      <c r="L420" t="n">
        <v>0.73</v>
      </c>
      <c r="M420" t="inlineStr">
        <is>
          <t>MEASURED</t>
        </is>
      </c>
      <c r="N420" t="inlineStr">
        <is>
          <t>Yes (supporting block)</t>
        </is>
      </c>
      <c r="O420" s="5" t="inlineStr">
        <is>
          <t>Supports the primary topic - add only if natural</t>
        </is>
      </c>
      <c r="P420" s="5" t="inlineStr"/>
      <c r="Q420" t="inlineStr">
        <is>
          <t>P2</t>
        </is>
      </c>
      <c r="R420" t="n">
        <v>104</v>
      </c>
      <c r="S420" s="5" t="inlineStr">
        <is>
          <t>Ne vous fiez pas seulement à notre parole. Écoutez les entreprises de Casablanca qui ont obtenu des résultats remarquables avec CodeSommet. "Une collaboration professionnelle du début à la fin. Je recommande sans hésiter</t>
        </is>
      </c>
    </row>
    <row r="421">
      <c r="A421" s="3" t="inlineStr">
        <is>
          <t>https://codesommet.com/web-development-company/casablanca</t>
        </is>
      </c>
      <c r="B421" t="n">
        <v>11</v>
      </c>
      <c r="C421" t="inlineStr">
        <is>
          <t>Process / how it works</t>
        </is>
      </c>
      <c r="D421" s="5" t="inlineStr">
        <is>
          <t>Comment démarrer en 3 étapes simples</t>
        </is>
      </c>
      <c r="E421" t="inlineStr">
        <is>
          <t>H2</t>
        </is>
      </c>
      <c r="F421" s="5" t="inlineStr">
        <is>
          <t>Informational / commercial</t>
        </is>
      </c>
      <c r="G421" t="inlineStr">
        <is>
          <t>agence web casablanca</t>
        </is>
      </c>
      <c r="H421" t="inlineStr">
        <is>
          <t>SUPPORTS PRIMARY</t>
        </is>
      </c>
      <c r="I421" t="inlineStr">
        <is>
          <t>ma</t>
        </is>
      </c>
      <c r="J421" t="n">
        <v>1000</v>
      </c>
      <c r="K421" t="n">
        <v>52</v>
      </c>
      <c r="L421" t="n">
        <v>0.73</v>
      </c>
      <c r="M421" t="inlineStr">
        <is>
          <t>MEASURED</t>
        </is>
      </c>
      <c r="N421" t="inlineStr">
        <is>
          <t>Yes (supporting block)</t>
        </is>
      </c>
      <c r="O421" s="5" t="inlineStr">
        <is>
          <t>Supports the primary topic - add only if natural</t>
        </is>
      </c>
      <c r="P421" s="5" t="inlineStr"/>
      <c r="Q421" t="inlineStr">
        <is>
          <t>P2</t>
        </is>
      </c>
      <c r="R421" t="n">
        <v>286</v>
      </c>
      <c r="S421" s="5" t="inlineStr">
        <is>
          <t>Du premier appel à la livraison du projet, découvrez exactement comment nous travaillons ensemble Étape 1 Abonnement 1 projet actif Révisions illimitées Design &amp; développement SEO &amp; contenu Recommandé Développement de Si</t>
        </is>
      </c>
    </row>
    <row r="422">
      <c r="A422" s="3" t="inlineStr">
        <is>
          <t>https://codesommet.com/web-development-company/casablanca</t>
        </is>
      </c>
      <c r="B422" t="n">
        <v>12</v>
      </c>
      <c r="C422" t="inlineStr">
        <is>
          <t>FAQ</t>
        </is>
      </c>
      <c r="D422" s="5" t="inlineStr">
        <is>
          <t>Questions Fréquemment Posées Sur le Développement Web à Casablanca</t>
        </is>
      </c>
      <c r="E422" t="inlineStr">
        <is>
          <t>H2</t>
        </is>
      </c>
      <c r="F422" s="5" t="inlineStr">
        <is>
          <t>Informational (pre-purchase questions)</t>
        </is>
      </c>
      <c r="G422" t="inlineStr">
        <is>
          <t>agence web casablanca</t>
        </is>
      </c>
      <c r="H422" t="inlineStr">
        <is>
          <t>SUPPORTS PRIMARY</t>
        </is>
      </c>
      <c r="I422" t="inlineStr">
        <is>
          <t>ma</t>
        </is>
      </c>
      <c r="J422" t="n">
        <v>1000</v>
      </c>
      <c r="K422" t="n">
        <v>52</v>
      </c>
      <c r="L422" t="n">
        <v>0.73</v>
      </c>
      <c r="M422" t="inlineStr">
        <is>
          <t>MEASURED</t>
        </is>
      </c>
      <c r="N422" t="inlineStr">
        <is>
          <t>Yes (supporting block)</t>
        </is>
      </c>
      <c r="O422" s="5" t="inlineStr">
        <is>
          <t>Supports the primary topic - add only if natural</t>
        </is>
      </c>
      <c r="P422" s="5" t="inlineStr"/>
      <c r="Q422" t="inlineStr">
        <is>
          <t>P2</t>
        </is>
      </c>
      <c r="R422" t="n">
        <v>379</v>
      </c>
      <c r="S422" s="5" t="inlineStr">
        <is>
          <t>Vous avez des questions ? Nous avons les réponses. Voici les questions les plus fréquentes de Casablanca entreprises. 1 Avez-vous un bureau physique à Casablanca ? Nous n'avons pas de bureau à Casablanca : notre équipe t</t>
        </is>
      </c>
    </row>
    <row r="423">
      <c r="A423" s="3" t="inlineStr">
        <is>
          <t>https://codesommet.com/web-development-company/casablanca</t>
        </is>
      </c>
      <c r="B423" t="n">
        <v>13</v>
      </c>
      <c r="C423" t="inlineStr">
        <is>
          <t>Content block</t>
        </is>
      </c>
      <c r="D423" s="5" t="inlineStr">
        <is>
          <t>Nous Servons Également</t>
        </is>
      </c>
      <c r="E423" t="inlineStr">
        <is>
          <t>H2</t>
        </is>
      </c>
      <c r="F423" s="5" t="inlineStr">
        <is>
          <t>Commercial (local)</t>
        </is>
      </c>
      <c r="G423" t="inlineStr">
        <is>
          <t>agence digitale casablanca</t>
        </is>
      </c>
      <c r="H423" t="inlineStr">
        <is>
          <t>SECONDARY</t>
        </is>
      </c>
      <c r="I423" t="inlineStr">
        <is>
          <t>ma</t>
        </is>
      </c>
      <c r="J423" t="n">
        <v>260</v>
      </c>
      <c r="K423" t="inlineStr">
        <is>
          <t>NOT AVAILABLE</t>
        </is>
      </c>
      <c r="L423" t="n">
        <v>0.78</v>
      </c>
      <c r="M423" t="inlineStr">
        <is>
          <t>MEASURED</t>
        </is>
      </c>
      <c r="N423" t="inlineStr">
        <is>
          <t>Partly</t>
        </is>
      </c>
      <c r="O423" s="5" t="inlineStr">
        <is>
          <t>Work "agence digitale casablanca" (or a close natural variant) into existing copy - no new heading needed</t>
        </is>
      </c>
      <c r="P423" s="5" t="inlineStr">
        <is>
          <t>Keyword/variant absent from this section</t>
        </is>
      </c>
      <c r="Q423" t="inlineStr">
        <is>
          <t>P1</t>
        </is>
      </c>
      <c r="R423" t="n">
        <v>22</v>
      </c>
      <c r="S423" s="5" t="inlineStr">
        <is>
          <t>Explorez nos services de développement web dans d'autres villes à travers le monde Rabat Maroc Marrakech Maroc Tanger Maroc Voir Tout Locations</t>
        </is>
      </c>
    </row>
    <row r="424">
      <c r="A424" s="3" t="inlineStr">
        <is>
          <t>https://codesommet.com/web-development-company/casablanca</t>
        </is>
      </c>
      <c r="B424" t="n">
        <v>14</v>
      </c>
      <c r="C424" t="inlineStr">
        <is>
          <t>Content block</t>
        </is>
      </c>
      <c r="D424" s="5" t="inlineStr">
        <is>
          <t>En Savoir Plus</t>
        </is>
      </c>
      <c r="E424" t="inlineStr">
        <is>
          <t>H2</t>
        </is>
      </c>
      <c r="F424" s="5" t="inlineStr">
        <is>
          <t>Commercial (local)</t>
        </is>
      </c>
      <c r="G424" t="inlineStr">
        <is>
          <t>création site web casablanca</t>
        </is>
      </c>
      <c r="H424" t="inlineStr">
        <is>
          <t>SECONDARY</t>
        </is>
      </c>
      <c r="I424" t="inlineStr">
        <is>
          <t>ma</t>
        </is>
      </c>
      <c r="J424" t="n">
        <v>210</v>
      </c>
      <c r="K424" t="inlineStr">
        <is>
          <t>NOT AVAILABLE</t>
        </is>
      </c>
      <c r="L424" t="n">
        <v>0.91</v>
      </c>
      <c r="M424" t="inlineStr">
        <is>
          <t>MEASURED</t>
        </is>
      </c>
      <c r="N424" t="inlineStr">
        <is>
          <t>Partly</t>
        </is>
      </c>
      <c r="O424" s="5" t="inlineStr">
        <is>
          <t>Work "création site web casablanca" (or a close natural variant) into existing copy - no new heading needed</t>
        </is>
      </c>
      <c r="P424" s="5" t="inlineStr">
        <is>
          <t>Keyword/variant absent from this section</t>
        </is>
      </c>
      <c r="Q424" t="inlineStr">
        <is>
          <t>P1</t>
        </is>
      </c>
      <c r="R424" t="n">
        <v>82</v>
      </c>
      <c r="S424" s="5" t="inlineStr">
        <is>
          <t xml:space="preserve">Découvrez ce qui fait de CodeSommet votre partenaire de développement web idéal Audit Gratuit de Site Web Obtenez une analyse alimentée par l'IA avec plus de 40 vérifications En savoir plus Voir Nos Projets Explorez les </t>
        </is>
      </c>
    </row>
    <row r="425">
      <c r="A425" s="3" t="inlineStr">
        <is>
          <t>https://codesommet.com/web-development-company/casablanca</t>
        </is>
      </c>
      <c r="B425" t="n">
        <v>15</v>
      </c>
      <c r="C425" t="inlineStr">
        <is>
          <t>CTA / conversion</t>
        </is>
      </c>
      <c r="D425" s="5" t="inlineStr">
        <is>
          <t>Prêt à Créer Quelque Chose d'Extraordinaire ?</t>
        </is>
      </c>
      <c r="E425" t="inlineStr">
        <is>
          <t>H2</t>
        </is>
      </c>
      <c r="F425" s="5" t="inlineStr">
        <is>
          <t>Conversion</t>
        </is>
      </c>
      <c r="G425" t="inlineStr">
        <is>
          <t>—</t>
        </is>
      </c>
      <c r="H425" t="inlineStr">
        <is>
          <t>NONE</t>
        </is>
      </c>
      <c r="I425" t="inlineStr">
        <is>
          <t>—</t>
        </is>
      </c>
      <c r="J425" t="inlineStr">
        <is>
          <t>—</t>
        </is>
      </c>
      <c r="K425" t="inlineStr">
        <is>
          <t>—</t>
        </is>
      </c>
      <c r="L425" t="inlineStr">
        <is>
          <t>—</t>
        </is>
      </c>
      <c r="M425" t="inlineStr">
        <is>
          <t>—</t>
        </is>
      </c>
      <c r="N425" t="inlineStr">
        <is>
          <t>n/a</t>
        </is>
      </c>
      <c r="O425" s="5" t="inlineStr">
        <is>
          <t>No keyword target - keep conversion/navigation focus; use descriptive, non-repeated anchor texts</t>
        </is>
      </c>
      <c r="P425" s="5" t="inlineStr"/>
      <c r="Q425" t="inlineStr">
        <is>
          <t>P2</t>
        </is>
      </c>
      <c r="R425" t="n">
        <v>117</v>
      </c>
      <c r="S425" s="5" t="inlineStr">
        <is>
          <t>Rejoignez les entreprises visionnaires qui ont choisi l'excellence Réserver un Appel Découverte Analyser Mon Site Gratuitement Réserver un Appel Découverte Analyser Votre Site Web Discutons de comment l'IA et le design m</t>
        </is>
      </c>
    </row>
    <row r="426">
      <c r="A426" s="3" t="inlineStr">
        <is>
          <t>https://codesommet.com/web-development-company/marrakech</t>
        </is>
      </c>
      <c r="B426" t="n">
        <v>1</v>
      </c>
      <c r="C426" t="inlineStr">
        <is>
          <t>Hero / H1</t>
        </is>
      </c>
      <c r="D426" s="5" t="inlineStr">
        <is>
          <t>Création Site Web Marrakech : votre Agence Web pour des sites qui génèrent LA CROISSANCE COMMERCIALE À MARRAKECH</t>
        </is>
      </c>
      <c r="E426" t="inlineStr">
        <is>
          <t>H1</t>
        </is>
      </c>
      <c r="F426" s="5" t="inlineStr">
        <is>
          <t>Commercial (local)</t>
        </is>
      </c>
      <c r="G426" t="inlineStr">
        <is>
          <t>création site web marrakech</t>
        </is>
      </c>
      <c r="H426" t="inlineStr">
        <is>
          <t>PRIMARY</t>
        </is>
      </c>
      <c r="I426" t="inlineStr">
        <is>
          <t>ma</t>
        </is>
      </c>
      <c r="J426" t="n">
        <v>590</v>
      </c>
      <c r="K426" t="n">
        <v>19</v>
      </c>
      <c r="L426" t="n">
        <v>0.58</v>
      </c>
      <c r="M426" t="inlineStr">
        <is>
          <t>MEASURED</t>
        </is>
      </c>
      <c r="N426" t="inlineStr">
        <is>
          <t>Yes</t>
        </is>
      </c>
      <c r="O426" s="5" t="inlineStr">
        <is>
          <t>Covered - keep wording; no change</t>
        </is>
      </c>
      <c r="P426" s="5" t="inlineStr"/>
      <c r="Q426" t="inlineStr">
        <is>
          <t>P2</t>
        </is>
      </c>
      <c r="R426" t="n">
        <v>65</v>
      </c>
      <c r="S426" s="5" t="inlineStr">
        <is>
          <t>Studio de développement web basé au Maroc au service des entreprises du monde entier. Nous créons des sites web alimentés par l'IA et des tableaux de bord intelligents à distance. Sites web de qualité premium livrés en 7</t>
        </is>
      </c>
    </row>
    <row r="427">
      <c r="A427" s="3" t="inlineStr">
        <is>
          <t>https://codesommet.com/web-development-company/marrakech</t>
        </is>
      </c>
      <c r="B427" t="n">
        <v>2</v>
      </c>
      <c r="C427" t="inlineStr">
        <is>
          <t>Why us / differentiation</t>
        </is>
      </c>
      <c r="D427" s="5" t="inlineStr">
        <is>
          <t>Pourquoi Choisir CodeSommet à Marrakech ?</t>
        </is>
      </c>
      <c r="E427" t="inlineStr">
        <is>
          <t>H2</t>
        </is>
      </c>
      <c r="F427" s="5" t="inlineStr">
        <is>
          <t>Commercial investigation</t>
        </is>
      </c>
      <c r="G427" t="inlineStr">
        <is>
          <t>création site web marrakech</t>
        </is>
      </c>
      <c r="H427" t="inlineStr">
        <is>
          <t>SUPPORTS PRIMARY</t>
        </is>
      </c>
      <c r="I427" t="inlineStr">
        <is>
          <t>ma</t>
        </is>
      </c>
      <c r="J427" t="n">
        <v>590</v>
      </c>
      <c r="K427" t="n">
        <v>19</v>
      </c>
      <c r="L427" t="n">
        <v>0.58</v>
      </c>
      <c r="M427" t="inlineStr">
        <is>
          <t>MEASURED</t>
        </is>
      </c>
      <c r="N427" t="inlineStr">
        <is>
          <t>Yes (supporting block)</t>
        </is>
      </c>
      <c r="O427" s="5" t="inlineStr">
        <is>
          <t>Supports the primary topic - add only if natural</t>
        </is>
      </c>
      <c r="P427" s="5" t="inlineStr"/>
      <c r="Q427" t="inlineStr">
        <is>
          <t>P2</t>
        </is>
      </c>
      <c r="R427" t="n">
        <v>165</v>
      </c>
      <c r="S427" s="5" t="inlineStr">
        <is>
          <t>L'expertise locale rencontre les standards internationaux. Voici ce qui fait de nous le partenaire idéal en développement web à Marrakech. Experts en IA Créez des chatbots intelligents, des workflows d'automatisation, un</t>
        </is>
      </c>
    </row>
    <row r="428">
      <c r="A428" s="3" t="inlineStr">
        <is>
          <t>https://codesommet.com/web-development-company/marrakech</t>
        </is>
      </c>
      <c r="B428" t="n">
        <v>3</v>
      </c>
      <c r="C428" t="inlineStr">
        <is>
          <t>Content block</t>
        </is>
      </c>
      <c r="D428" s="5" t="inlineStr">
        <is>
          <t>Approuvé par les Entreprises de Marrakech</t>
        </is>
      </c>
      <c r="E428" t="inlineStr">
        <is>
          <t>H2</t>
        </is>
      </c>
      <c r="F428" s="5" t="inlineStr">
        <is>
          <t>Commercial (local)</t>
        </is>
      </c>
      <c r="G428" t="inlineStr">
        <is>
          <t>agence web marrakech</t>
        </is>
      </c>
      <c r="H428" t="inlineStr">
        <is>
          <t>SECONDARY</t>
        </is>
      </c>
      <c r="I428" t="inlineStr">
        <is>
          <t>ma</t>
        </is>
      </c>
      <c r="J428" t="n">
        <v>320</v>
      </c>
      <c r="K428" t="n">
        <v>33</v>
      </c>
      <c r="L428" t="n">
        <v>0.75</v>
      </c>
      <c r="M428" t="inlineStr">
        <is>
          <t>MEASURED</t>
        </is>
      </c>
      <c r="N428" t="inlineStr">
        <is>
          <t>Partly</t>
        </is>
      </c>
      <c r="O428" s="5" t="inlineStr">
        <is>
          <t>Work "agence web marrakech" (or a close natural variant) into existing copy - no new heading needed</t>
        </is>
      </c>
      <c r="P428" s="5" t="inlineStr">
        <is>
          <t>Keyword/variant absent from this section</t>
        </is>
      </c>
      <c r="Q428" t="inlineStr">
        <is>
          <t>P1</t>
        </is>
      </c>
      <c r="R428" t="n">
        <v>27</v>
      </c>
      <c r="S428" s="5" t="inlineStr">
        <is>
          <t>Projets livrés à l'international Sites pensés pour la conversion Clients dans plusieurs pays Résultats réels de Marrakech - des entreprises avec lesquelles nous avons collaboré Expertise Sectorielle</t>
        </is>
      </c>
    </row>
    <row r="429">
      <c r="A429" s="3" t="inlineStr">
        <is>
          <t>https://codesommet.com/web-development-company/marrakech</t>
        </is>
      </c>
      <c r="B429" t="n">
        <v>4</v>
      </c>
      <c r="C429" t="inlineStr">
        <is>
          <t>Content block</t>
        </is>
      </c>
      <c r="D429" s="5" t="inlineStr">
        <is>
          <t>Marrakech Nos Secteurs de Spécialisation</t>
        </is>
      </c>
      <c r="E429" t="inlineStr">
        <is>
          <t>H2</t>
        </is>
      </c>
      <c r="F429" s="5" t="inlineStr">
        <is>
          <t>Commercial (local)</t>
        </is>
      </c>
      <c r="G429" t="inlineStr">
        <is>
          <t>création site internet marrakech</t>
        </is>
      </c>
      <c r="H429" t="inlineStr">
        <is>
          <t>SECONDARY</t>
        </is>
      </c>
      <c r="I429" t="inlineStr">
        <is>
          <t>ma</t>
        </is>
      </c>
      <c r="J429" t="n">
        <v>170</v>
      </c>
      <c r="K429" t="inlineStr">
        <is>
          <t>NOT AVAILABLE</t>
        </is>
      </c>
      <c r="L429" t="n">
        <v>1.24</v>
      </c>
      <c r="M429" t="inlineStr">
        <is>
          <t>MEASURED</t>
        </is>
      </c>
      <c r="N429" t="inlineStr">
        <is>
          <t>Partly</t>
        </is>
      </c>
      <c r="O429" s="5" t="inlineStr">
        <is>
          <t>Work "création site internet marrakech" (or a close natural variant) into existing copy - no new heading needed</t>
        </is>
      </c>
      <c r="P429" s="5" t="inlineStr">
        <is>
          <t>Keyword/variant absent from this section</t>
        </is>
      </c>
      <c r="Q429" t="inlineStr">
        <is>
          <t>P1</t>
        </is>
      </c>
      <c r="R429" t="n">
        <v>191</v>
      </c>
      <c r="S429" s="5" t="inlineStr">
        <is>
          <t>Expertise approfondie dans les secteurs clés de Marrakech . Nous comprenons les défis uniques de votre secteur et les exigences de conformité. FinTech Plateformes financières sécurisées avec traitement des paiements, con</t>
        </is>
      </c>
    </row>
    <row r="430">
      <c r="A430" s="3" t="inlineStr">
        <is>
          <t>https://codesommet.com/web-development-company/marrakech</t>
        </is>
      </c>
      <c r="B430" t="n">
        <v>5</v>
      </c>
      <c r="C430" t="inlineStr">
        <is>
          <t>Testimonials / social proof</t>
        </is>
      </c>
      <c r="D430" s="5" t="inlineStr">
        <is>
          <t>Histoires de réussite à Marrakech</t>
        </is>
      </c>
      <c r="E430" t="inlineStr">
        <is>
          <t>H2</t>
        </is>
      </c>
      <c r="F430" s="5" t="inlineStr">
        <is>
          <t>Commercial investigation</t>
        </is>
      </c>
      <c r="G430" t="inlineStr">
        <is>
          <t>création site web marrakech</t>
        </is>
      </c>
      <c r="H430" t="inlineStr">
        <is>
          <t>SUPPORTS PRIMARY</t>
        </is>
      </c>
      <c r="I430" t="inlineStr">
        <is>
          <t>ma</t>
        </is>
      </c>
      <c r="J430" t="n">
        <v>590</v>
      </c>
      <c r="K430" t="n">
        <v>19</v>
      </c>
      <c r="L430" t="n">
        <v>0.58</v>
      </c>
      <c r="M430" t="inlineStr">
        <is>
          <t>MEASURED</t>
        </is>
      </c>
      <c r="N430" t="inlineStr">
        <is>
          <t>Yes (supporting block)</t>
        </is>
      </c>
      <c r="O430" s="5" t="inlineStr">
        <is>
          <t>Supports the primary topic - add only if natural</t>
        </is>
      </c>
      <c r="P430" s="5" t="inlineStr"/>
      <c r="Q430" t="inlineStr">
        <is>
          <t>P2</t>
        </is>
      </c>
      <c r="R430" t="n">
        <v>63</v>
      </c>
      <c r="S430" s="5" t="inlineStr">
        <is>
          <t>Des projets réels, des résultats concrets. Découvrez comment nous avons aidé des entreprises de Marrakech à atteindre leurs objectifs numériques. Beauté Boutique en ligne sur mesure GlamWorlds Maroc SaaS Plateforme de ge</t>
        </is>
      </c>
    </row>
    <row r="431">
      <c r="A431" s="3" t="inlineStr">
        <is>
          <t>https://codesommet.com/web-development-company/marrakech</t>
        </is>
      </c>
      <c r="B431" t="n">
        <v>6</v>
      </c>
      <c r="C431" t="inlineStr">
        <is>
          <t>Content block</t>
        </is>
      </c>
      <c r="D431" s="5" t="inlineStr">
        <is>
          <t>Des Plateformes Immobilières Pensées pour le Marché de Marrakech</t>
        </is>
      </c>
      <c r="E431" t="inlineStr">
        <is>
          <t>H2</t>
        </is>
      </c>
      <c r="F431" s="5" t="inlineStr">
        <is>
          <t>Commercial (local)</t>
        </is>
      </c>
      <c r="G431" t="inlineStr">
        <is>
          <t>agence digitale marrakech</t>
        </is>
      </c>
      <c r="H431" t="inlineStr">
        <is>
          <t>SECONDARY</t>
        </is>
      </c>
      <c r="I431" t="inlineStr">
        <is>
          <t>ma</t>
        </is>
      </c>
      <c r="J431" t="n">
        <v>140</v>
      </c>
      <c r="K431" t="inlineStr">
        <is>
          <t>NOT AVAILABLE</t>
        </is>
      </c>
      <c r="L431" t="n">
        <v>0.82</v>
      </c>
      <c r="M431" t="inlineStr">
        <is>
          <t>MEASURED</t>
        </is>
      </c>
      <c r="N431" t="inlineStr">
        <is>
          <t>Partly</t>
        </is>
      </c>
      <c r="O431" s="5" t="inlineStr">
        <is>
          <t>Work "agence digitale marrakech" (or a close natural variant) into existing copy - no new heading needed</t>
        </is>
      </c>
      <c r="P431" s="5" t="inlineStr">
        <is>
          <t>Keyword/variant absent from this section</t>
        </is>
      </c>
      <c r="Q431" t="inlineStr">
        <is>
          <t>P1</t>
        </is>
      </c>
      <c r="R431" t="n">
        <v>185</v>
      </c>
      <c r="S431" s="5" t="inlineStr">
        <is>
          <t>Pour les entreprises de gestion et de promotion immobilière • Immobilier &amp; PropTech • Délai adapté à la portée du projet Le Constat De nombreuses entreprises de gestion immobilière à Marrakech s'appuient encore sur un su</t>
        </is>
      </c>
    </row>
    <row r="432">
      <c r="A432" s="3" t="inlineStr">
        <is>
          <t>https://codesommet.com/web-development-company/marrakech</t>
        </is>
      </c>
      <c r="B432" t="n">
        <v>7</v>
      </c>
      <c r="C432" t="inlineStr">
        <is>
          <t>Pricing / offers</t>
        </is>
      </c>
      <c r="D432" s="5" t="inlineStr">
        <is>
          <t>Solutions Sur Mesure, Tarification Transparente</t>
        </is>
      </c>
      <c r="E432" t="inlineStr">
        <is>
          <t>H2</t>
        </is>
      </c>
      <c r="F432" s="5" t="inlineStr">
        <is>
          <t>Commercial / transactional</t>
        </is>
      </c>
      <c r="G432" t="inlineStr">
        <is>
          <t>prix création site web marrakech</t>
        </is>
      </c>
      <c r="H432" t="inlineStr">
        <is>
          <t>SECONDARY</t>
        </is>
      </c>
      <c r="I432" t="inlineStr">
        <is>
          <t>ma</t>
        </is>
      </c>
      <c r="J432" t="inlineStr">
        <is>
          <t>NOT AVAILABLE</t>
        </is>
      </c>
      <c r="K432" t="inlineStr">
        <is>
          <t>NOT AVAILABLE</t>
        </is>
      </c>
      <c r="L432" t="inlineStr">
        <is>
          <t>NOT AVAILABLE</t>
        </is>
      </c>
      <c r="M432" t="inlineStr">
        <is>
          <t>SUGGESTED</t>
        </is>
      </c>
      <c r="N432" t="inlineStr">
        <is>
          <t>Partly</t>
        </is>
      </c>
      <c r="O432" s="5" t="inlineStr">
        <is>
          <t>Work "prix création site web marrakech" (or a close natural variant) into existing copy - no new heading needed</t>
        </is>
      </c>
      <c r="P432" s="5" t="inlineStr">
        <is>
          <t>Keyword/variant absent from this section</t>
        </is>
      </c>
      <c r="Q432" t="inlineStr">
        <is>
          <t>P1</t>
        </is>
      </c>
      <c r="R432" t="n">
        <v>193</v>
      </c>
      <c r="S432" s="5" t="inlineStr">
        <is>
          <t>Réservez un appel découverte pour discuter de vos besoins spécifiques et obtenir un devis sur mesure Recommandé Développement de Sites Web Site web complet avec fonctionnalités IA, tableaux de bord et design premium livr</t>
        </is>
      </c>
    </row>
    <row r="433">
      <c r="A433" s="3" t="inlineStr">
        <is>
          <t>https://codesommet.com/web-development-company/marrakech</t>
        </is>
      </c>
      <c r="B433" t="n">
        <v>8</v>
      </c>
      <c r="C433" t="inlineStr">
        <is>
          <t>CTA / conversion</t>
        </is>
      </c>
      <c r="D433" s="5" t="inlineStr">
        <is>
          <t>Prêt à Améliorer Votre Site Web à Marrakech ?</t>
        </is>
      </c>
      <c r="E433" t="inlineStr">
        <is>
          <t>H2</t>
        </is>
      </c>
      <c r="F433" s="5" t="inlineStr">
        <is>
          <t>Conversion</t>
        </is>
      </c>
      <c r="G433" t="inlineStr">
        <is>
          <t>—</t>
        </is>
      </c>
      <c r="H433" t="inlineStr">
        <is>
          <t>NONE</t>
        </is>
      </c>
      <c r="I433" t="inlineStr">
        <is>
          <t>—</t>
        </is>
      </c>
      <c r="J433" t="inlineStr">
        <is>
          <t>—</t>
        </is>
      </c>
      <c r="K433" t="inlineStr">
        <is>
          <t>—</t>
        </is>
      </c>
      <c r="L433" t="inlineStr">
        <is>
          <t>—</t>
        </is>
      </c>
      <c r="M433" t="inlineStr">
        <is>
          <t>—</t>
        </is>
      </c>
      <c r="N433" t="inlineStr">
        <is>
          <t>n/a</t>
        </is>
      </c>
      <c r="O433" s="5" t="inlineStr">
        <is>
          <t>No keyword target - keep conversion/navigation focus; use descriptive, non-repeated anchor texts</t>
        </is>
      </c>
      <c r="P433" s="5" t="inlineStr"/>
      <c r="Q433" t="inlineStr">
        <is>
          <t>P2</t>
        </is>
      </c>
      <c r="R433" t="n">
        <v>40</v>
      </c>
      <c r="S433" s="5" t="inlineStr">
        <is>
          <t>Obtenez d'abord une analyse gratuite complète : Audit SEO Vérification des performances Revue du design Recommandations alimentées par l'IA Analyser Votre Site Web - 100% Gratuit Aucune carte de crédit requise • Résultat</t>
        </is>
      </c>
    </row>
    <row r="434">
      <c r="A434" s="3" t="inlineStr">
        <is>
          <t>https://codesommet.com/web-development-company/marrakech</t>
        </is>
      </c>
      <c r="B434" t="n">
        <v>9</v>
      </c>
      <c r="C434" t="inlineStr">
        <is>
          <t>Why us / differentiation</t>
        </is>
      </c>
      <c r="D434" s="5" t="inlineStr">
        <is>
          <t>CodeSommet Marrakech vs Autres</t>
        </is>
      </c>
      <c r="E434" t="inlineStr">
        <is>
          <t>H2</t>
        </is>
      </c>
      <c r="F434" s="5" t="inlineStr">
        <is>
          <t>Commercial investigation</t>
        </is>
      </c>
      <c r="G434" t="inlineStr">
        <is>
          <t>création site web marrakech</t>
        </is>
      </c>
      <c r="H434" t="inlineStr">
        <is>
          <t>SUPPORTS PRIMARY</t>
        </is>
      </c>
      <c r="I434" t="inlineStr">
        <is>
          <t>ma</t>
        </is>
      </c>
      <c r="J434" t="n">
        <v>590</v>
      </c>
      <c r="K434" t="n">
        <v>19</v>
      </c>
      <c r="L434" t="n">
        <v>0.58</v>
      </c>
      <c r="M434" t="inlineStr">
        <is>
          <t>MEASURED</t>
        </is>
      </c>
      <c r="N434" t="inlineStr">
        <is>
          <t>Yes (supporting block)</t>
        </is>
      </c>
      <c r="O434" s="5" t="inlineStr">
        <is>
          <t>Supports the primary topic - add only if natural</t>
        </is>
      </c>
      <c r="P434" s="5" t="inlineStr"/>
      <c r="Q434" t="inlineStr">
        <is>
          <t>P2</t>
        </is>
      </c>
      <c r="R434" t="n">
        <v>98</v>
      </c>
      <c r="S434" s="5" t="inlineStr">
        <is>
          <t>Découvrez pourquoi Marrakech les entreprises choisissent CodeSommet plutôt que d'autres agences locales et internationales. Fonctionnalité CodeSommet Marrakech Autres Agences de Marrakech Agences Internationales Révision</t>
        </is>
      </c>
    </row>
    <row r="435">
      <c r="A435" s="3" t="inlineStr">
        <is>
          <t>https://codesommet.com/web-development-company/marrakech</t>
        </is>
      </c>
      <c r="B435" t="n">
        <v>10</v>
      </c>
      <c r="C435" t="inlineStr">
        <is>
          <t>Testimonials / social proof</t>
        </is>
      </c>
      <c r="D435" s="5" t="inlineStr">
        <is>
          <t>Ce Que les Clients de Marrakech Disent de Nous</t>
        </is>
      </c>
      <c r="E435" t="inlineStr">
        <is>
          <t>H2</t>
        </is>
      </c>
      <c r="F435" s="5" t="inlineStr">
        <is>
          <t>Commercial investigation</t>
        </is>
      </c>
      <c r="G435" t="inlineStr">
        <is>
          <t>création site web marrakech</t>
        </is>
      </c>
      <c r="H435" t="inlineStr">
        <is>
          <t>SUPPORTS PRIMARY</t>
        </is>
      </c>
      <c r="I435" t="inlineStr">
        <is>
          <t>ma</t>
        </is>
      </c>
      <c r="J435" t="n">
        <v>590</v>
      </c>
      <c r="K435" t="n">
        <v>19</v>
      </c>
      <c r="L435" t="n">
        <v>0.58</v>
      </c>
      <c r="M435" t="inlineStr">
        <is>
          <t>MEASURED</t>
        </is>
      </c>
      <c r="N435" t="inlineStr">
        <is>
          <t>Yes (supporting block)</t>
        </is>
      </c>
      <c r="O435" s="5" t="inlineStr">
        <is>
          <t>Supports the primary topic - add only if natural</t>
        </is>
      </c>
      <c r="P435" s="5" t="inlineStr"/>
      <c r="Q435" t="inlineStr">
        <is>
          <t>P2</t>
        </is>
      </c>
      <c r="R435" t="n">
        <v>103</v>
      </c>
      <c r="S435" s="5" t="inlineStr">
        <is>
          <t>Ne nous croyez pas sur parole. Écoutez les entreprises de Marrakech qui ont obtenu des résultats remarquables avec CodeSommet. "Une collaboration professionnelle du début à la fin. Je recommande sans hésiter." Mohammed C</t>
        </is>
      </c>
    </row>
    <row r="436">
      <c r="A436" s="3" t="inlineStr">
        <is>
          <t>https://codesommet.com/web-development-company/marrakech</t>
        </is>
      </c>
      <c r="B436" t="n">
        <v>11</v>
      </c>
      <c r="C436" t="inlineStr">
        <is>
          <t>Process / how it works</t>
        </is>
      </c>
      <c r="D436" s="5" t="inlineStr">
        <is>
          <t>Comment démarrer en 3 étapes simples</t>
        </is>
      </c>
      <c r="E436" t="inlineStr">
        <is>
          <t>H2</t>
        </is>
      </c>
      <c r="F436" s="5" t="inlineStr">
        <is>
          <t>Informational / commercial</t>
        </is>
      </c>
      <c r="G436" t="inlineStr">
        <is>
          <t>création site web marrakech</t>
        </is>
      </c>
      <c r="H436" t="inlineStr">
        <is>
          <t>SUPPORTS PRIMARY</t>
        </is>
      </c>
      <c r="I436" t="inlineStr">
        <is>
          <t>ma</t>
        </is>
      </c>
      <c r="J436" t="n">
        <v>590</v>
      </c>
      <c r="K436" t="n">
        <v>19</v>
      </c>
      <c r="L436" t="n">
        <v>0.58</v>
      </c>
      <c r="M436" t="inlineStr">
        <is>
          <t>MEASURED</t>
        </is>
      </c>
      <c r="N436" t="inlineStr">
        <is>
          <t>Yes (supporting block)</t>
        </is>
      </c>
      <c r="O436" s="5" t="inlineStr">
        <is>
          <t>Supports the primary topic - add only if natural</t>
        </is>
      </c>
      <c r="P436" s="5" t="inlineStr"/>
      <c r="Q436" t="inlineStr">
        <is>
          <t>P2</t>
        </is>
      </c>
      <c r="R436" t="n">
        <v>286</v>
      </c>
      <c r="S436" s="5" t="inlineStr">
        <is>
          <t>Du premier appel à la livraison du projet, découvrez exactement comment nous travaillons ensemble Étape 1 Abonnement 1 projet actif Révisions illimitées Design &amp; développement SEO &amp; contenu Recommandé Développement de Si</t>
        </is>
      </c>
    </row>
    <row r="437">
      <c r="A437" s="3" t="inlineStr">
        <is>
          <t>https://codesommet.com/web-development-company/marrakech</t>
        </is>
      </c>
      <c r="B437" t="n">
        <v>12</v>
      </c>
      <c r="C437" t="inlineStr">
        <is>
          <t>FAQ</t>
        </is>
      </c>
      <c r="D437" s="5" t="inlineStr">
        <is>
          <t>Questions Fréquemment Posées sur le Développement Web à Marrakech</t>
        </is>
      </c>
      <c r="E437" t="inlineStr">
        <is>
          <t>H2</t>
        </is>
      </c>
      <c r="F437" s="5" t="inlineStr">
        <is>
          <t>Informational (pre-purchase questions)</t>
        </is>
      </c>
      <c r="G437" t="inlineStr">
        <is>
          <t>création site web marrakech</t>
        </is>
      </c>
      <c r="H437" t="inlineStr">
        <is>
          <t>SUPPORTS PRIMARY</t>
        </is>
      </c>
      <c r="I437" t="inlineStr">
        <is>
          <t>ma</t>
        </is>
      </c>
      <c r="J437" t="n">
        <v>590</v>
      </c>
      <c r="K437" t="n">
        <v>19</v>
      </c>
      <c r="L437" t="n">
        <v>0.58</v>
      </c>
      <c r="M437" t="inlineStr">
        <is>
          <t>MEASURED</t>
        </is>
      </c>
      <c r="N437" t="inlineStr">
        <is>
          <t>Yes (supporting block)</t>
        </is>
      </c>
      <c r="O437" s="5" t="inlineStr">
        <is>
          <t>Supports the primary topic - add only if natural</t>
        </is>
      </c>
      <c r="P437" s="5" t="inlineStr"/>
      <c r="Q437" t="inlineStr">
        <is>
          <t>P2</t>
        </is>
      </c>
      <c r="R437" t="n">
        <v>381</v>
      </c>
      <c r="S437" s="5" t="inlineStr">
        <is>
          <t xml:space="preserve">Vous avez des questions ? Nous avons les réponses. Voici les questions les plus fréquentes des entreprises de Marrakech. 1 Avez-vous un bureau physique à Marrakech ? Nous n'avons pas de bureau à Marrakech : notre équipe </t>
        </is>
      </c>
    </row>
    <row r="438">
      <c r="A438" s="3" t="inlineStr">
        <is>
          <t>https://codesommet.com/web-development-company/marrakech</t>
        </is>
      </c>
      <c r="B438" t="n">
        <v>13</v>
      </c>
      <c r="C438" t="inlineStr">
        <is>
          <t>Internal-link block</t>
        </is>
      </c>
      <c r="D438" s="5" t="inlineStr">
        <is>
          <t>Nous Desservons Aussi</t>
        </is>
      </c>
      <c r="E438" t="inlineStr">
        <is>
          <t>H2</t>
        </is>
      </c>
      <c r="F438" s="5" t="inlineStr">
        <is>
          <t>Navigation</t>
        </is>
      </c>
      <c r="G438" t="inlineStr">
        <is>
          <t>—</t>
        </is>
      </c>
      <c r="H438" t="inlineStr">
        <is>
          <t>NONE</t>
        </is>
      </c>
      <c r="I438" t="inlineStr">
        <is>
          <t>—</t>
        </is>
      </c>
      <c r="J438" t="inlineStr">
        <is>
          <t>—</t>
        </is>
      </c>
      <c r="K438" t="inlineStr">
        <is>
          <t>—</t>
        </is>
      </c>
      <c r="L438" t="inlineStr">
        <is>
          <t>—</t>
        </is>
      </c>
      <c r="M438" t="inlineStr">
        <is>
          <t>—</t>
        </is>
      </c>
      <c r="N438" t="inlineStr">
        <is>
          <t>n/a</t>
        </is>
      </c>
      <c r="O438" s="5" t="inlineStr">
        <is>
          <t>No keyword target - keep conversion/navigation focus; use descriptive, non-repeated anchor texts</t>
        </is>
      </c>
      <c r="P438" s="5" t="inlineStr"/>
      <c r="Q438" t="inlineStr">
        <is>
          <t>P2</t>
        </is>
      </c>
      <c r="R438" t="n">
        <v>35</v>
      </c>
      <c r="S438" s="5" t="inlineStr">
        <is>
          <t>Explorez nos services de développement web dans d'autres villes à travers le monde notre agence web à Rabat Maroc notre agence web à Tanger Maroc notre agence web à Casablanca Maroc Voir Toutes les Villes</t>
        </is>
      </c>
    </row>
    <row r="439">
      <c r="A439" s="3" t="inlineStr">
        <is>
          <t>https://codesommet.com/web-development-company/marrakech</t>
        </is>
      </c>
      <c r="B439" t="n">
        <v>14</v>
      </c>
      <c r="C439" t="inlineStr">
        <is>
          <t>Internal-link block</t>
        </is>
      </c>
      <c r="D439" s="5" t="inlineStr">
        <is>
          <t>Explorer Plus</t>
        </is>
      </c>
      <c r="E439" t="inlineStr">
        <is>
          <t>H2</t>
        </is>
      </c>
      <c r="F439" s="5" t="inlineStr">
        <is>
          <t>Navigation</t>
        </is>
      </c>
      <c r="G439" t="inlineStr">
        <is>
          <t>—</t>
        </is>
      </c>
      <c r="H439" t="inlineStr">
        <is>
          <t>NONE</t>
        </is>
      </c>
      <c r="I439" t="inlineStr">
        <is>
          <t>—</t>
        </is>
      </c>
      <c r="J439" t="inlineStr">
        <is>
          <t>—</t>
        </is>
      </c>
      <c r="K439" t="inlineStr">
        <is>
          <t>—</t>
        </is>
      </c>
      <c r="L439" t="inlineStr">
        <is>
          <t>—</t>
        </is>
      </c>
      <c r="M439" t="inlineStr">
        <is>
          <t>—</t>
        </is>
      </c>
      <c r="N439" t="inlineStr">
        <is>
          <t>n/a</t>
        </is>
      </c>
      <c r="O439" s="5" t="inlineStr">
        <is>
          <t>No keyword target - keep conversion/navigation focus; use descriptive, non-repeated anchor texts</t>
        </is>
      </c>
      <c r="P439" s="5" t="inlineStr"/>
      <c r="Q439" t="inlineStr">
        <is>
          <t>P2</t>
        </is>
      </c>
      <c r="R439" t="n">
        <v>83</v>
      </c>
      <c r="S439" s="5" t="inlineStr">
        <is>
          <t xml:space="preserve">Découvrez ce qui fait de CodeSommet votre partenaire idéal en développement web Audit Gratuit de Site Web Obtenez une analyse alimentée par l'IA avec plus de 40 vérifications En savoir plus Voir Nos Projets Explorez les </t>
        </is>
      </c>
    </row>
    <row r="440">
      <c r="A440" s="3" t="inlineStr">
        <is>
          <t>https://codesommet.com/web-development-company/marrakech</t>
        </is>
      </c>
      <c r="B440" t="n">
        <v>15</v>
      </c>
      <c r="C440" t="inlineStr">
        <is>
          <t>CTA / conversion</t>
        </is>
      </c>
      <c r="D440" s="5" t="inlineStr">
        <is>
          <t>Prêt à Créer Quelque Chose d'Extraordinaire ?</t>
        </is>
      </c>
      <c r="E440" t="inlineStr">
        <is>
          <t>H2</t>
        </is>
      </c>
      <c r="F440" s="5" t="inlineStr">
        <is>
          <t>Conversion</t>
        </is>
      </c>
      <c r="G440" t="inlineStr">
        <is>
          <t>—</t>
        </is>
      </c>
      <c r="H440" t="inlineStr">
        <is>
          <t>NONE</t>
        </is>
      </c>
      <c r="I440" t="inlineStr">
        <is>
          <t>—</t>
        </is>
      </c>
      <c r="J440" t="inlineStr">
        <is>
          <t>—</t>
        </is>
      </c>
      <c r="K440" t="inlineStr">
        <is>
          <t>—</t>
        </is>
      </c>
      <c r="L440" t="inlineStr">
        <is>
          <t>—</t>
        </is>
      </c>
      <c r="M440" t="inlineStr">
        <is>
          <t>—</t>
        </is>
      </c>
      <c r="N440" t="inlineStr">
        <is>
          <t>n/a</t>
        </is>
      </c>
      <c r="O440" s="5" t="inlineStr">
        <is>
          <t>No keyword target - keep conversion/navigation focus; use descriptive, non-repeated anchor texts</t>
        </is>
      </c>
      <c r="P440" s="5" t="inlineStr"/>
      <c r="Q440" t="inlineStr">
        <is>
          <t>P2</t>
        </is>
      </c>
      <c r="R440" t="n">
        <v>119</v>
      </c>
      <c r="S440" s="5" t="inlineStr">
        <is>
          <t>Rejoignez les entreprises visionnaires qui ont choisi l'excellence Réserver un Appel Découverte Analyser Mon Site Gratuitement Réserver un Appel Découverte Analyser Votre Site Web Discutons de la façon dont l'IA et le de</t>
        </is>
      </c>
    </row>
    <row r="441">
      <c r="A441" s="3" t="inlineStr">
        <is>
          <t>https://codesommet.com/web-development-company/rabat</t>
        </is>
      </c>
      <c r="B441" t="n">
        <v>1</v>
      </c>
      <c r="C441" t="inlineStr">
        <is>
          <t>Hero / H1</t>
        </is>
      </c>
      <c r="D441" s="5" t="inlineStr">
        <is>
          <t>Agence Web Rabat : Création de Sites qui génèrent LA CROISSANCE COMMERCIALE À RABAT</t>
        </is>
      </c>
      <c r="E441" t="inlineStr">
        <is>
          <t>H1</t>
        </is>
      </c>
      <c r="F441" s="5" t="inlineStr">
        <is>
          <t>Commercial (local)</t>
        </is>
      </c>
      <c r="G441" t="inlineStr">
        <is>
          <t>agence web rabat</t>
        </is>
      </c>
      <c r="H441" t="inlineStr">
        <is>
          <t>PRIMARY</t>
        </is>
      </c>
      <c r="I441" t="inlineStr">
        <is>
          <t>ma</t>
        </is>
      </c>
      <c r="J441" t="n">
        <v>260</v>
      </c>
      <c r="K441" t="inlineStr">
        <is>
          <t>NOT AVAILABLE</t>
        </is>
      </c>
      <c r="L441" t="n">
        <v>0.8</v>
      </c>
      <c r="M441" t="inlineStr">
        <is>
          <t>MEASURED</t>
        </is>
      </c>
      <c r="N441" t="inlineStr">
        <is>
          <t>Yes</t>
        </is>
      </c>
      <c r="O441" s="5" t="inlineStr">
        <is>
          <t>Covered - keep wording; no change</t>
        </is>
      </c>
      <c r="P441" s="5" t="inlineStr"/>
      <c r="Q441" t="inlineStr">
        <is>
          <t>P2</t>
        </is>
      </c>
      <c r="R441" t="n">
        <v>65</v>
      </c>
      <c r="S441" s="5" t="inlineStr">
        <is>
          <t>Studio de développement web basé au Maroc au service des entreprises du monde entier. Nous créons des sites web alimentés par l'IA et des tableaux de bord intelligents à distance. Sites web de qualité premium livrés en 7</t>
        </is>
      </c>
    </row>
    <row r="442">
      <c r="A442" s="3" t="inlineStr">
        <is>
          <t>https://codesommet.com/web-development-company/rabat</t>
        </is>
      </c>
      <c r="B442" t="n">
        <v>2</v>
      </c>
      <c r="C442" t="inlineStr">
        <is>
          <t>Why us / differentiation</t>
        </is>
      </c>
      <c r="D442" s="5" t="inlineStr">
        <is>
          <t>Pourquoi Choisir CodeSommet à Rabat ?</t>
        </is>
      </c>
      <c r="E442" t="inlineStr">
        <is>
          <t>H2</t>
        </is>
      </c>
      <c r="F442" s="5" t="inlineStr">
        <is>
          <t>Commercial investigation</t>
        </is>
      </c>
      <c r="G442" t="inlineStr">
        <is>
          <t>agence web rabat</t>
        </is>
      </c>
      <c r="H442" t="inlineStr">
        <is>
          <t>SUPPORTS PRIMARY</t>
        </is>
      </c>
      <c r="I442" t="inlineStr">
        <is>
          <t>ma</t>
        </is>
      </c>
      <c r="J442" t="n">
        <v>260</v>
      </c>
      <c r="K442" t="inlineStr">
        <is>
          <t>NOT AVAILABLE</t>
        </is>
      </c>
      <c r="L442" t="n">
        <v>0.8</v>
      </c>
      <c r="M442" t="inlineStr">
        <is>
          <t>MEASURED</t>
        </is>
      </c>
      <c r="N442" t="inlineStr">
        <is>
          <t>Yes (supporting block)</t>
        </is>
      </c>
      <c r="O442" s="5" t="inlineStr">
        <is>
          <t>Supports the primary topic - add only if natural</t>
        </is>
      </c>
      <c r="P442" s="5" t="inlineStr"/>
      <c r="Q442" t="inlineStr">
        <is>
          <t>P2</t>
        </is>
      </c>
      <c r="R442" t="n">
        <v>165</v>
      </c>
      <c r="S442" s="5" t="inlineStr">
        <is>
          <t>L'expertise locale rencontre les standards internationaux. Voici ce qui fait de nous le partenaire idéal en développement web à Rabat. Experts en IA Créez des chatbots intelligents, des workflows d'automatisation, une re</t>
        </is>
      </c>
    </row>
    <row r="443">
      <c r="A443" s="3" t="inlineStr">
        <is>
          <t>https://codesommet.com/web-development-company/rabat</t>
        </is>
      </c>
      <c r="B443" t="n">
        <v>3</v>
      </c>
      <c r="C443" t="inlineStr">
        <is>
          <t>Content block</t>
        </is>
      </c>
      <c r="D443" s="5" t="inlineStr">
        <is>
          <t>Approuvé par les Entreprises de Rabat</t>
        </is>
      </c>
      <c r="E443" t="inlineStr">
        <is>
          <t>H2</t>
        </is>
      </c>
      <c r="F443" s="5" t="inlineStr">
        <is>
          <t>Commercial (local)</t>
        </is>
      </c>
      <c r="G443" t="inlineStr">
        <is>
          <t>agence digitale rabat</t>
        </is>
      </c>
      <c r="H443" t="inlineStr">
        <is>
          <t>SECONDARY</t>
        </is>
      </c>
      <c r="I443" t="inlineStr">
        <is>
          <t>ma</t>
        </is>
      </c>
      <c r="J443" t="n">
        <v>170</v>
      </c>
      <c r="K443" t="inlineStr">
        <is>
          <t>NOT AVAILABLE</t>
        </is>
      </c>
      <c r="L443" t="n">
        <v>0.54</v>
      </c>
      <c r="M443" t="inlineStr">
        <is>
          <t>MEASURED</t>
        </is>
      </c>
      <c r="N443" t="inlineStr">
        <is>
          <t>Partly</t>
        </is>
      </c>
      <c r="O443" s="5" t="inlineStr">
        <is>
          <t>Work "agence digitale rabat" (or a close natural variant) into existing copy - no new heading needed</t>
        </is>
      </c>
      <c r="P443" s="5" t="inlineStr">
        <is>
          <t>Keyword/variant absent from this section</t>
        </is>
      </c>
      <c r="Q443" t="inlineStr">
        <is>
          <t>P1</t>
        </is>
      </c>
      <c r="R443" t="n">
        <v>27</v>
      </c>
      <c r="S443" s="5" t="inlineStr">
        <is>
          <t>Projets livrés à l'international Sites pensés pour la conversion Clients dans plusieurs pays Résultats réels de Rabat - des entreprises avec lesquelles nous avons collaboré Expertise Sectorielle</t>
        </is>
      </c>
    </row>
    <row r="444">
      <c r="A444" s="3" t="inlineStr">
        <is>
          <t>https://codesommet.com/web-development-company/rabat</t>
        </is>
      </c>
      <c r="B444" t="n">
        <v>4</v>
      </c>
      <c r="C444" t="inlineStr">
        <is>
          <t>Content block</t>
        </is>
      </c>
      <c r="D444" s="5" t="inlineStr">
        <is>
          <t>Rabat Nos Secteurs de Spécialisation</t>
        </is>
      </c>
      <c r="E444" t="inlineStr">
        <is>
          <t>H2</t>
        </is>
      </c>
      <c r="F444" s="5" t="inlineStr">
        <is>
          <t>Commercial (local)</t>
        </is>
      </c>
      <c r="G444" t="inlineStr">
        <is>
          <t>création site web rabat</t>
        </is>
      </c>
      <c r="H444" t="inlineStr">
        <is>
          <t>SECONDARY</t>
        </is>
      </c>
      <c r="I444" t="inlineStr">
        <is>
          <t>ma</t>
        </is>
      </c>
      <c r="J444" t="n">
        <v>140</v>
      </c>
      <c r="K444" t="inlineStr">
        <is>
          <t>NOT AVAILABLE</t>
        </is>
      </c>
      <c r="L444" t="n">
        <v>0.67</v>
      </c>
      <c r="M444" t="inlineStr">
        <is>
          <t>MEASURED</t>
        </is>
      </c>
      <c r="N444" t="inlineStr">
        <is>
          <t>Partly</t>
        </is>
      </c>
      <c r="O444" s="5" t="inlineStr">
        <is>
          <t>Work "création site web rabat" (or a close natural variant) into existing copy - no new heading needed</t>
        </is>
      </c>
      <c r="P444" s="5" t="inlineStr">
        <is>
          <t>Keyword/variant absent from this section</t>
        </is>
      </c>
      <c r="Q444" t="inlineStr">
        <is>
          <t>P1</t>
        </is>
      </c>
      <c r="R444" t="n">
        <v>191</v>
      </c>
      <c r="S444" s="5" t="inlineStr">
        <is>
          <t>Expertise approfondie dans les secteurs clés de Rabat . Nous comprenons les défis uniques de votre secteur et les exigences de conformité. FinTech Plateformes financières sécurisées avec traitement des paiements, conform</t>
        </is>
      </c>
    </row>
    <row r="445">
      <c r="A445" s="3" t="inlineStr">
        <is>
          <t>https://codesommet.com/web-development-company/rabat</t>
        </is>
      </c>
      <c r="B445" t="n">
        <v>5</v>
      </c>
      <c r="C445" t="inlineStr">
        <is>
          <t>Testimonials / social proof</t>
        </is>
      </c>
      <c r="D445" s="5" t="inlineStr">
        <is>
          <t>Histoires de réussite à Rabat</t>
        </is>
      </c>
      <c r="E445" t="inlineStr">
        <is>
          <t>H2</t>
        </is>
      </c>
      <c r="F445" s="5" t="inlineStr">
        <is>
          <t>Commercial investigation</t>
        </is>
      </c>
      <c r="G445" t="inlineStr">
        <is>
          <t>agence web rabat</t>
        </is>
      </c>
      <c r="H445" t="inlineStr">
        <is>
          <t>SUPPORTS PRIMARY</t>
        </is>
      </c>
      <c r="I445" t="inlineStr">
        <is>
          <t>ma</t>
        </is>
      </c>
      <c r="J445" t="n">
        <v>260</v>
      </c>
      <c r="K445" t="inlineStr">
        <is>
          <t>NOT AVAILABLE</t>
        </is>
      </c>
      <c r="L445" t="n">
        <v>0.8</v>
      </c>
      <c r="M445" t="inlineStr">
        <is>
          <t>MEASURED</t>
        </is>
      </c>
      <c r="N445" t="inlineStr">
        <is>
          <t>Yes (supporting block)</t>
        </is>
      </c>
      <c r="O445" s="5" t="inlineStr">
        <is>
          <t>Supports the primary topic - add only if natural</t>
        </is>
      </c>
      <c r="P445" s="5" t="inlineStr"/>
      <c r="Q445" t="inlineStr">
        <is>
          <t>P2</t>
        </is>
      </c>
      <c r="R445" t="n">
        <v>56</v>
      </c>
      <c r="S445" s="5" t="inlineStr">
        <is>
          <t>Des projets réels, des résultats concrets. Découvrez comment nous avons aidé des entreprises de Rabat à atteindre leurs objectifs numériques. Beauté Boutique en ligne sur mesure GlamWorlds Maroc SaaS Plateforme de gestio</t>
        </is>
      </c>
    </row>
    <row r="446">
      <c r="A446" s="3" t="inlineStr">
        <is>
          <t>https://codesommet.com/web-development-company/rabat</t>
        </is>
      </c>
      <c r="B446" t="n">
        <v>6</v>
      </c>
      <c r="C446" t="inlineStr">
        <is>
          <t>Content block</t>
        </is>
      </c>
      <c r="D446" s="5" t="inlineStr">
        <is>
          <t>Des Plateformes Immobilières Pensées pour les Entreprises de Rabat</t>
        </is>
      </c>
      <c r="E446" t="inlineStr">
        <is>
          <t>H2</t>
        </is>
      </c>
      <c r="F446" s="5" t="inlineStr">
        <is>
          <t>Commercial (local)</t>
        </is>
      </c>
      <c r="G446" t="inlineStr">
        <is>
          <t>création site internet rabat</t>
        </is>
      </c>
      <c r="H446" t="inlineStr">
        <is>
          <t>SUPPORTING</t>
        </is>
      </c>
      <c r="I446" t="inlineStr">
        <is>
          <t>ma</t>
        </is>
      </c>
      <c r="J446" t="n">
        <v>20</v>
      </c>
      <c r="K446" t="inlineStr">
        <is>
          <t>NOT AVAILABLE</t>
        </is>
      </c>
      <c r="L446" t="n">
        <v>0</v>
      </c>
      <c r="M446" t="inlineStr">
        <is>
          <t>MEASURED</t>
        </is>
      </c>
      <c r="N446" t="inlineStr">
        <is>
          <t>Yes (supporting block)</t>
        </is>
      </c>
      <c r="O446" s="5" t="inlineStr">
        <is>
          <t>Supports the primary topic - add only if natural</t>
        </is>
      </c>
      <c r="P446" s="5" t="inlineStr"/>
      <c r="Q446" t="inlineStr">
        <is>
          <t>P2</t>
        </is>
      </c>
      <c r="R446" t="n">
        <v>215</v>
      </c>
      <c r="S446" s="5" t="inlineStr">
        <is>
          <t>Solutions pour les acteurs de la gestion et de la promotion immobilière • Immobilier &amp; PropTech • Délai adapté à la portée du projet Le Défi Les entreprises de gestion immobilière basées à Rabat font souvent face au même</t>
        </is>
      </c>
    </row>
    <row r="447">
      <c r="A447" s="3" t="inlineStr">
        <is>
          <t>https://codesommet.com/web-development-company/rabat</t>
        </is>
      </c>
      <c r="B447" t="n">
        <v>7</v>
      </c>
      <c r="C447" t="inlineStr">
        <is>
          <t>Pricing / offers</t>
        </is>
      </c>
      <c r="D447" s="5" t="inlineStr">
        <is>
          <t>Solutions Sur Mesure, Tarification Transparente</t>
        </is>
      </c>
      <c r="E447" t="inlineStr">
        <is>
          <t>H2</t>
        </is>
      </c>
      <c r="F447" s="5" t="inlineStr">
        <is>
          <t>Commercial / transactional</t>
        </is>
      </c>
      <c r="G447" t="inlineStr">
        <is>
          <t>agence web rabat</t>
        </is>
      </c>
      <c r="H447" t="inlineStr">
        <is>
          <t>SUPPORTS PRIMARY</t>
        </is>
      </c>
      <c r="I447" t="inlineStr">
        <is>
          <t>ma</t>
        </is>
      </c>
      <c r="J447" t="n">
        <v>260</v>
      </c>
      <c r="K447" t="inlineStr">
        <is>
          <t>NOT AVAILABLE</t>
        </is>
      </c>
      <c r="L447" t="n">
        <v>0.8</v>
      </c>
      <c r="M447" t="inlineStr">
        <is>
          <t>MEASURED</t>
        </is>
      </c>
      <c r="N447" t="inlineStr">
        <is>
          <t>Yes (supporting block)</t>
        </is>
      </c>
      <c r="O447" s="5" t="inlineStr">
        <is>
          <t>Supports the primary topic - add only if natural</t>
        </is>
      </c>
      <c r="P447" s="5" t="inlineStr"/>
      <c r="Q447" t="inlineStr">
        <is>
          <t>P2</t>
        </is>
      </c>
      <c r="R447" t="n">
        <v>193</v>
      </c>
      <c r="S447" s="5" t="inlineStr">
        <is>
          <t>Réservez un appel découverte pour discuter de vos besoins spécifiques et obtenir un devis sur mesure Recommandé Développement de Sites Web Site web complet avec fonctionnalités IA, tableaux de bord et design premium livr</t>
        </is>
      </c>
    </row>
    <row r="448">
      <c r="A448" s="3" t="inlineStr">
        <is>
          <t>https://codesommet.com/web-development-company/rabat</t>
        </is>
      </c>
      <c r="B448" t="n">
        <v>8</v>
      </c>
      <c r="C448" t="inlineStr">
        <is>
          <t>CTA / conversion</t>
        </is>
      </c>
      <c r="D448" s="5" t="inlineStr">
        <is>
          <t>Prêt à Améliorer Votre Site Web à Rabat ?</t>
        </is>
      </c>
      <c r="E448" t="inlineStr">
        <is>
          <t>H2</t>
        </is>
      </c>
      <c r="F448" s="5" t="inlineStr">
        <is>
          <t>Conversion</t>
        </is>
      </c>
      <c r="G448" t="inlineStr">
        <is>
          <t>—</t>
        </is>
      </c>
      <c r="H448" t="inlineStr">
        <is>
          <t>NONE</t>
        </is>
      </c>
      <c r="I448" t="inlineStr">
        <is>
          <t>—</t>
        </is>
      </c>
      <c r="J448" t="inlineStr">
        <is>
          <t>—</t>
        </is>
      </c>
      <c r="K448" t="inlineStr">
        <is>
          <t>—</t>
        </is>
      </c>
      <c r="L448" t="inlineStr">
        <is>
          <t>—</t>
        </is>
      </c>
      <c r="M448" t="inlineStr">
        <is>
          <t>—</t>
        </is>
      </c>
      <c r="N448" t="inlineStr">
        <is>
          <t>n/a</t>
        </is>
      </c>
      <c r="O448" s="5" t="inlineStr">
        <is>
          <t>No keyword target - keep conversion/navigation focus; use descriptive, non-repeated anchor texts</t>
        </is>
      </c>
      <c r="P448" s="5" t="inlineStr"/>
      <c r="Q448" t="inlineStr">
        <is>
          <t>P2</t>
        </is>
      </c>
      <c r="R448" t="n">
        <v>40</v>
      </c>
      <c r="S448" s="5" t="inlineStr">
        <is>
          <t>Obtenez d'abord une analyse gratuite complète : Audit SEO Vérification des performances Revue du design Recommandations alimentées par l'IA Analyser Votre Site Web - 100% Gratuit Aucune carte de crédit requise • Résultat</t>
        </is>
      </c>
    </row>
    <row r="449">
      <c r="A449" s="3" t="inlineStr">
        <is>
          <t>https://codesommet.com/web-development-company/rabat</t>
        </is>
      </c>
      <c r="B449" t="n">
        <v>9</v>
      </c>
      <c r="C449" t="inlineStr">
        <is>
          <t>Why us / differentiation</t>
        </is>
      </c>
      <c r="D449" s="5" t="inlineStr">
        <is>
          <t>CodeSommet Rabat vs Autres</t>
        </is>
      </c>
      <c r="E449" t="inlineStr">
        <is>
          <t>H2</t>
        </is>
      </c>
      <c r="F449" s="5" t="inlineStr">
        <is>
          <t>Commercial investigation</t>
        </is>
      </c>
      <c r="G449" t="inlineStr">
        <is>
          <t>agence web rabat</t>
        </is>
      </c>
      <c r="H449" t="inlineStr">
        <is>
          <t>SUPPORTS PRIMARY</t>
        </is>
      </c>
      <c r="I449" t="inlineStr">
        <is>
          <t>ma</t>
        </is>
      </c>
      <c r="J449" t="n">
        <v>260</v>
      </c>
      <c r="K449" t="inlineStr">
        <is>
          <t>NOT AVAILABLE</t>
        </is>
      </c>
      <c r="L449" t="n">
        <v>0.8</v>
      </c>
      <c r="M449" t="inlineStr">
        <is>
          <t>MEASURED</t>
        </is>
      </c>
      <c r="N449" t="inlineStr">
        <is>
          <t>Yes</t>
        </is>
      </c>
      <c r="O449" s="5" t="inlineStr">
        <is>
          <t>Covered - keep wording; no change</t>
        </is>
      </c>
      <c r="P449" s="5" t="inlineStr"/>
      <c r="Q449" t="inlineStr">
        <is>
          <t>P2</t>
        </is>
      </c>
      <c r="R449" t="n">
        <v>98</v>
      </c>
      <c r="S449" s="5" t="inlineStr">
        <is>
          <t>Découvrez pourquoi Rabat les entreprises choisissent CodeSommet plutôt que d'autres agences locales et internationales. Fonctionnalité CodeSommet Rabat Autres Agences de Rabat Agences Internationales Révisions Illimitées</t>
        </is>
      </c>
    </row>
    <row r="450">
      <c r="A450" s="3" t="inlineStr">
        <is>
          <t>https://codesommet.com/web-development-company/rabat</t>
        </is>
      </c>
      <c r="B450" t="n">
        <v>10</v>
      </c>
      <c r="C450" t="inlineStr">
        <is>
          <t>Testimonials / social proof</t>
        </is>
      </c>
      <c r="D450" s="5" t="inlineStr">
        <is>
          <t>Ce Que les Clients de Rabat Disent de Nous</t>
        </is>
      </c>
      <c r="E450" t="inlineStr">
        <is>
          <t>H2</t>
        </is>
      </c>
      <c r="F450" s="5" t="inlineStr">
        <is>
          <t>Commercial investigation</t>
        </is>
      </c>
      <c r="G450" t="inlineStr">
        <is>
          <t>agence web rabat</t>
        </is>
      </c>
      <c r="H450" t="inlineStr">
        <is>
          <t>SUPPORTS PRIMARY</t>
        </is>
      </c>
      <c r="I450" t="inlineStr">
        <is>
          <t>ma</t>
        </is>
      </c>
      <c r="J450" t="n">
        <v>260</v>
      </c>
      <c r="K450" t="inlineStr">
        <is>
          <t>NOT AVAILABLE</t>
        </is>
      </c>
      <c r="L450" t="n">
        <v>0.8</v>
      </c>
      <c r="M450" t="inlineStr">
        <is>
          <t>MEASURED</t>
        </is>
      </c>
      <c r="N450" t="inlineStr">
        <is>
          <t>Yes (supporting block)</t>
        </is>
      </c>
      <c r="O450" s="5" t="inlineStr">
        <is>
          <t>Supports the primary topic - add only if natural</t>
        </is>
      </c>
      <c r="P450" s="5" t="inlineStr"/>
      <c r="Q450" t="inlineStr">
        <is>
          <t>P2</t>
        </is>
      </c>
      <c r="R450" t="n">
        <v>103</v>
      </c>
      <c r="S450" s="5" t="inlineStr">
        <is>
          <t>Ne nous croyez pas sur parole. Écoutez les entreprises de Rabat qui ont obtenu des résultats remarquables avec CodeSommet. "Une collaboration professionnelle du début à la fin. Je recommande sans hésiter." Mohammed Chaji</t>
        </is>
      </c>
    </row>
    <row r="451">
      <c r="A451" s="3" t="inlineStr">
        <is>
          <t>https://codesommet.com/web-development-company/rabat</t>
        </is>
      </c>
      <c r="B451" t="n">
        <v>11</v>
      </c>
      <c r="C451" t="inlineStr">
        <is>
          <t>Process / how it works</t>
        </is>
      </c>
      <c r="D451" s="5" t="inlineStr">
        <is>
          <t>Comment démarrer en 3 étapes simples</t>
        </is>
      </c>
      <c r="E451" t="inlineStr">
        <is>
          <t>H2</t>
        </is>
      </c>
      <c r="F451" s="5" t="inlineStr">
        <is>
          <t>Informational / commercial</t>
        </is>
      </c>
      <c r="G451" t="inlineStr">
        <is>
          <t>agence web rabat</t>
        </is>
      </c>
      <c r="H451" t="inlineStr">
        <is>
          <t>SUPPORTS PRIMARY</t>
        </is>
      </c>
      <c r="I451" t="inlineStr">
        <is>
          <t>ma</t>
        </is>
      </c>
      <c r="J451" t="n">
        <v>260</v>
      </c>
      <c r="K451" t="inlineStr">
        <is>
          <t>NOT AVAILABLE</t>
        </is>
      </c>
      <c r="L451" t="n">
        <v>0.8</v>
      </c>
      <c r="M451" t="inlineStr">
        <is>
          <t>MEASURED</t>
        </is>
      </c>
      <c r="N451" t="inlineStr">
        <is>
          <t>Yes (supporting block)</t>
        </is>
      </c>
      <c r="O451" s="5" t="inlineStr">
        <is>
          <t>Supports the primary topic - add only if natural</t>
        </is>
      </c>
      <c r="P451" s="5" t="inlineStr"/>
      <c r="Q451" t="inlineStr">
        <is>
          <t>P2</t>
        </is>
      </c>
      <c r="R451" t="n">
        <v>286</v>
      </c>
      <c r="S451" s="5" t="inlineStr">
        <is>
          <t>Du premier appel à la livraison du projet, découvrez exactement comment nous travaillons ensemble Étape 1 Abonnement 1 projet actif Révisions illimitées Design &amp; développement SEO &amp; contenu Recommandé Développement de Si</t>
        </is>
      </c>
    </row>
    <row r="452">
      <c r="A452" s="3" t="inlineStr">
        <is>
          <t>https://codesommet.com/web-development-company/rabat</t>
        </is>
      </c>
      <c r="B452" t="n">
        <v>12</v>
      </c>
      <c r="C452" t="inlineStr">
        <is>
          <t>FAQ</t>
        </is>
      </c>
      <c r="D452" s="5" t="inlineStr">
        <is>
          <t>Questions Fréquemment Posées sur le Développement Web à Rabat</t>
        </is>
      </c>
      <c r="E452" t="inlineStr">
        <is>
          <t>H2</t>
        </is>
      </c>
      <c r="F452" s="5" t="inlineStr">
        <is>
          <t>Informational (pre-purchase questions)</t>
        </is>
      </c>
      <c r="G452" t="inlineStr">
        <is>
          <t>agence web rabat</t>
        </is>
      </c>
      <c r="H452" t="inlineStr">
        <is>
          <t>SUPPORTS PRIMARY</t>
        </is>
      </c>
      <c r="I452" t="inlineStr">
        <is>
          <t>ma</t>
        </is>
      </c>
      <c r="J452" t="n">
        <v>260</v>
      </c>
      <c r="K452" t="inlineStr">
        <is>
          <t>NOT AVAILABLE</t>
        </is>
      </c>
      <c r="L452" t="n">
        <v>0.8</v>
      </c>
      <c r="M452" t="inlineStr">
        <is>
          <t>MEASURED</t>
        </is>
      </c>
      <c r="N452" t="inlineStr">
        <is>
          <t>Yes (supporting block)</t>
        </is>
      </c>
      <c r="O452" s="5" t="inlineStr">
        <is>
          <t>Supports the primary topic - add only if natural</t>
        </is>
      </c>
      <c r="P452" s="5" t="inlineStr"/>
      <c r="Q452" t="inlineStr">
        <is>
          <t>P2</t>
        </is>
      </c>
      <c r="R452" t="n">
        <v>381</v>
      </c>
      <c r="S452" s="5" t="inlineStr">
        <is>
          <t xml:space="preserve">Vous avez des questions ? Nous avons les réponses. Voici les questions les plus fréquentes des entreprises de Rabat. 1 Avez-vous un bureau physique à Rabat ? Nous n'avons pas de bureau à Rabat : notre équipe travaille à </t>
        </is>
      </c>
    </row>
    <row r="453">
      <c r="A453" s="3" t="inlineStr">
        <is>
          <t>https://codesommet.com/web-development-company/rabat</t>
        </is>
      </c>
      <c r="B453" t="n">
        <v>13</v>
      </c>
      <c r="C453" t="inlineStr">
        <is>
          <t>Internal-link block</t>
        </is>
      </c>
      <c r="D453" s="5" t="inlineStr">
        <is>
          <t>Nous Desservons Aussi</t>
        </is>
      </c>
      <c r="E453" t="inlineStr">
        <is>
          <t>H2</t>
        </is>
      </c>
      <c r="F453" s="5" t="inlineStr">
        <is>
          <t>Navigation</t>
        </is>
      </c>
      <c r="G453" t="inlineStr">
        <is>
          <t>—</t>
        </is>
      </c>
      <c r="H453" t="inlineStr">
        <is>
          <t>NONE</t>
        </is>
      </c>
      <c r="I453" t="inlineStr">
        <is>
          <t>—</t>
        </is>
      </c>
      <c r="J453" t="inlineStr">
        <is>
          <t>—</t>
        </is>
      </c>
      <c r="K453" t="inlineStr">
        <is>
          <t>—</t>
        </is>
      </c>
      <c r="L453" t="inlineStr">
        <is>
          <t>—</t>
        </is>
      </c>
      <c r="M453" t="inlineStr">
        <is>
          <t>—</t>
        </is>
      </c>
      <c r="N453" t="inlineStr">
        <is>
          <t>n/a</t>
        </is>
      </c>
      <c r="O453" s="5" t="inlineStr">
        <is>
          <t>No keyword target - keep conversion/navigation focus; use descriptive, non-repeated anchor texts</t>
        </is>
      </c>
      <c r="P453" s="5" t="inlineStr"/>
      <c r="Q453" t="inlineStr">
        <is>
          <t>P2</t>
        </is>
      </c>
      <c r="R453" t="n">
        <v>31</v>
      </c>
      <c r="S453" s="5" t="inlineStr">
        <is>
          <t>Explorez nos services de développement web dans d'autres villes à travers le monde Retrouvez notre agence de développement web à Casablanca . Marrakech Maroc Tanger Maroc Casablanca Maroc Voir Toutes les Villes</t>
        </is>
      </c>
    </row>
    <row r="454">
      <c r="A454" s="3" t="inlineStr">
        <is>
          <t>https://codesommet.com/web-development-company/rabat</t>
        </is>
      </c>
      <c r="B454" t="n">
        <v>14</v>
      </c>
      <c r="C454" t="inlineStr">
        <is>
          <t>Internal-link block</t>
        </is>
      </c>
      <c r="D454" s="5" t="inlineStr">
        <is>
          <t>Explorer Plus</t>
        </is>
      </c>
      <c r="E454" t="inlineStr">
        <is>
          <t>H2</t>
        </is>
      </c>
      <c r="F454" s="5" t="inlineStr">
        <is>
          <t>Navigation</t>
        </is>
      </c>
      <c r="G454" t="inlineStr">
        <is>
          <t>—</t>
        </is>
      </c>
      <c r="H454" t="inlineStr">
        <is>
          <t>NONE</t>
        </is>
      </c>
      <c r="I454" t="inlineStr">
        <is>
          <t>—</t>
        </is>
      </c>
      <c r="J454" t="inlineStr">
        <is>
          <t>—</t>
        </is>
      </c>
      <c r="K454" t="inlineStr">
        <is>
          <t>—</t>
        </is>
      </c>
      <c r="L454" t="inlineStr">
        <is>
          <t>—</t>
        </is>
      </c>
      <c r="M454" t="inlineStr">
        <is>
          <t>—</t>
        </is>
      </c>
      <c r="N454" t="inlineStr">
        <is>
          <t>n/a</t>
        </is>
      </c>
      <c r="O454" s="5" t="inlineStr">
        <is>
          <t>No keyword target - keep conversion/navigation focus; use descriptive, non-repeated anchor texts</t>
        </is>
      </c>
      <c r="P454" s="5" t="inlineStr"/>
      <c r="Q454" t="inlineStr">
        <is>
          <t>P2</t>
        </is>
      </c>
      <c r="R454" t="n">
        <v>83</v>
      </c>
      <c r="S454" s="5" t="inlineStr">
        <is>
          <t xml:space="preserve">Découvrez ce qui fait de CodeSommet votre partenaire idéal en développement web Audit Gratuit de Site Web Obtenez une analyse alimentée par l'IA avec plus de 40 vérifications En savoir plus Voir Nos Projets Explorez les </t>
        </is>
      </c>
    </row>
    <row r="455">
      <c r="A455" s="3" t="inlineStr">
        <is>
          <t>https://codesommet.com/web-development-company/rabat</t>
        </is>
      </c>
      <c r="B455" t="n">
        <v>15</v>
      </c>
      <c r="C455" t="inlineStr">
        <is>
          <t>CTA / conversion</t>
        </is>
      </c>
      <c r="D455" s="5" t="inlineStr">
        <is>
          <t>Prêt à Créer Quelque Chose d'Extraordinaire ?</t>
        </is>
      </c>
      <c r="E455" t="inlineStr">
        <is>
          <t>H2</t>
        </is>
      </c>
      <c r="F455" s="5" t="inlineStr">
        <is>
          <t>Conversion</t>
        </is>
      </c>
      <c r="G455" t="inlineStr">
        <is>
          <t>—</t>
        </is>
      </c>
      <c r="H455" t="inlineStr">
        <is>
          <t>NONE</t>
        </is>
      </c>
      <c r="I455" t="inlineStr">
        <is>
          <t>—</t>
        </is>
      </c>
      <c r="J455" t="inlineStr">
        <is>
          <t>—</t>
        </is>
      </c>
      <c r="K455" t="inlineStr">
        <is>
          <t>—</t>
        </is>
      </c>
      <c r="L455" t="inlineStr">
        <is>
          <t>—</t>
        </is>
      </c>
      <c r="M455" t="inlineStr">
        <is>
          <t>—</t>
        </is>
      </c>
      <c r="N455" t="inlineStr">
        <is>
          <t>n/a</t>
        </is>
      </c>
      <c r="O455" s="5" t="inlineStr">
        <is>
          <t>No keyword target - keep conversion/navigation focus; use descriptive, non-repeated anchor texts</t>
        </is>
      </c>
      <c r="P455" s="5" t="inlineStr"/>
      <c r="Q455" t="inlineStr">
        <is>
          <t>P2</t>
        </is>
      </c>
      <c r="R455" t="n">
        <v>119</v>
      </c>
      <c r="S455" s="5" t="inlineStr">
        <is>
          <t>Rejoignez les entreprises visionnaires qui ont choisi l'excellence Réserver un Appel Découverte Analyser Mon Site Gratuitement Réserver un Appel Découverte Analyser Votre Site Web Discutons de la façon dont l'IA et le de</t>
        </is>
      </c>
    </row>
    <row r="456">
      <c r="A456" s="3" t="inlineStr">
        <is>
          <t>https://codesommet.com/web-development-company/tangier</t>
        </is>
      </c>
      <c r="B456" t="n">
        <v>1</v>
      </c>
      <c r="C456" t="inlineStr">
        <is>
          <t>Hero / H1</t>
        </is>
      </c>
      <c r="D456" s="5" t="inlineStr">
        <is>
          <t>Création Site Web Tanger : votre Agence Web pour des sites qui génèrent LA CROISSANCE COMMERCIALE À TANGER</t>
        </is>
      </c>
      <c r="E456" t="inlineStr">
        <is>
          <t>H1</t>
        </is>
      </c>
      <c r="F456" s="5" t="inlineStr">
        <is>
          <t>Commercial (local)</t>
        </is>
      </c>
      <c r="G456" t="inlineStr">
        <is>
          <t>creation site web tanger</t>
        </is>
      </c>
      <c r="H456" t="inlineStr">
        <is>
          <t>PRIMARY</t>
        </is>
      </c>
      <c r="I456" t="inlineStr">
        <is>
          <t>ma</t>
        </is>
      </c>
      <c r="J456" t="n">
        <v>320</v>
      </c>
      <c r="K456" t="n">
        <v>11</v>
      </c>
      <c r="L456" t="n">
        <v>0.76</v>
      </c>
      <c r="M456" t="inlineStr">
        <is>
          <t>MEASURED</t>
        </is>
      </c>
      <c r="N456" t="inlineStr">
        <is>
          <t>Yes</t>
        </is>
      </c>
      <c r="O456" s="5" t="inlineStr">
        <is>
          <t>Covered - keep wording; no change</t>
        </is>
      </c>
      <c r="P456" s="5" t="inlineStr"/>
      <c r="Q456" t="inlineStr">
        <is>
          <t>P2</t>
        </is>
      </c>
      <c r="R456" t="n">
        <v>69</v>
      </c>
      <c r="S456" s="5" t="inlineStr">
        <is>
          <t>Studio de développement web basé au Maroc au service des entreprises du monde entier. Nous créons des sites web alimentés par l'IA et des tableaux de bord intelligents à distance. Sites web de qualité premium livrés en 7</t>
        </is>
      </c>
    </row>
    <row r="457">
      <c r="A457" s="3" t="inlineStr">
        <is>
          <t>https://codesommet.com/web-development-company/tangier</t>
        </is>
      </c>
      <c r="B457" t="n">
        <v>2</v>
      </c>
      <c r="C457" t="inlineStr">
        <is>
          <t>Why us / differentiation</t>
        </is>
      </c>
      <c r="D457" s="5" t="inlineStr">
        <is>
          <t>Pourquoi Choisir CodeSommet in Tanger ?</t>
        </is>
      </c>
      <c r="E457" t="inlineStr">
        <is>
          <t>H2</t>
        </is>
      </c>
      <c r="F457" s="5" t="inlineStr">
        <is>
          <t>Commercial investigation</t>
        </is>
      </c>
      <c r="G457" t="inlineStr">
        <is>
          <t>creation site web tanger</t>
        </is>
      </c>
      <c r="H457" t="inlineStr">
        <is>
          <t>SUPPORTS PRIMARY</t>
        </is>
      </c>
      <c r="I457" t="inlineStr">
        <is>
          <t>ma</t>
        </is>
      </c>
      <c r="J457" t="n">
        <v>320</v>
      </c>
      <c r="K457" t="n">
        <v>11</v>
      </c>
      <c r="L457" t="n">
        <v>0.76</v>
      </c>
      <c r="M457" t="inlineStr">
        <is>
          <t>MEASURED</t>
        </is>
      </c>
      <c r="N457" t="inlineStr">
        <is>
          <t>Yes (supporting block)</t>
        </is>
      </c>
      <c r="O457" s="5" t="inlineStr">
        <is>
          <t>Supports the primary topic - add only if natural</t>
        </is>
      </c>
      <c r="P457" s="5" t="inlineStr"/>
      <c r="Q457" t="inlineStr">
        <is>
          <t>P2</t>
        </is>
      </c>
      <c r="R457" t="n">
        <v>160</v>
      </c>
      <c r="S457" s="5" t="inlineStr">
        <is>
          <t>L'expertise locale rencontre les standards mondiaux. Voici ce qui fait de nous le partenaire idéal en développement web à Tanger. Experts en IA Créez des chatbots intelligents, des flux d'automatisation, des recherches p</t>
        </is>
      </c>
    </row>
    <row r="458">
      <c r="A458" s="3" t="inlineStr">
        <is>
          <t>https://codesommet.com/web-development-company/tangier</t>
        </is>
      </c>
      <c r="B458" t="n">
        <v>3</v>
      </c>
      <c r="C458" t="inlineStr">
        <is>
          <t>Content block</t>
        </is>
      </c>
      <c r="D458" s="5" t="inlineStr">
        <is>
          <t>Approuvé par Tanger Entreprises</t>
        </is>
      </c>
      <c r="E458" t="inlineStr">
        <is>
          <t>H2</t>
        </is>
      </c>
      <c r="F458" s="5" t="inlineStr">
        <is>
          <t>Commercial (local)</t>
        </is>
      </c>
      <c r="G458" t="inlineStr">
        <is>
          <t>agence web tanger</t>
        </is>
      </c>
      <c r="H458" t="inlineStr">
        <is>
          <t>SECONDARY</t>
        </is>
      </c>
      <c r="I458" t="inlineStr">
        <is>
          <t>ma</t>
        </is>
      </c>
      <c r="J458" t="n">
        <v>40</v>
      </c>
      <c r="K458" t="inlineStr">
        <is>
          <t>NOT AVAILABLE</t>
        </is>
      </c>
      <c r="L458" t="n">
        <v>0.84</v>
      </c>
      <c r="M458" t="inlineStr">
        <is>
          <t>MEASURED</t>
        </is>
      </c>
      <c r="N458" t="inlineStr">
        <is>
          <t>Partly</t>
        </is>
      </c>
      <c r="O458" s="5" t="inlineStr">
        <is>
          <t>Work "agence web tanger" (or a close natural variant) into existing copy - no new heading needed</t>
        </is>
      </c>
      <c r="P458" s="5" t="inlineStr">
        <is>
          <t>Keyword/variant absent from this section</t>
        </is>
      </c>
      <c r="Q458" t="inlineStr">
        <is>
          <t>P1</t>
        </is>
      </c>
      <c r="R458" t="n">
        <v>6</v>
      </c>
      <c r="S458" s="5" t="inlineStr">
        <is>
          <t>Projets livrés à l'international Expertise Sectorielle</t>
        </is>
      </c>
    </row>
    <row r="459">
      <c r="A459" s="3" t="inlineStr">
        <is>
          <t>https://codesommet.com/web-development-company/tangier</t>
        </is>
      </c>
      <c r="B459" t="n">
        <v>4</v>
      </c>
      <c r="C459" t="inlineStr">
        <is>
          <t>Content block</t>
        </is>
      </c>
      <c r="D459" s="5" t="inlineStr">
        <is>
          <t>Tanger Nos Secteurs de Spécialisation</t>
        </is>
      </c>
      <c r="E459" t="inlineStr">
        <is>
          <t>H2</t>
        </is>
      </c>
      <c r="F459" s="5" t="inlineStr">
        <is>
          <t>Commercial (local)</t>
        </is>
      </c>
      <c r="G459" t="inlineStr">
        <is>
          <t>agence digitale tanger</t>
        </is>
      </c>
      <c r="H459" t="inlineStr">
        <is>
          <t>SUPPORTING</t>
        </is>
      </c>
      <c r="I459" t="inlineStr">
        <is>
          <t>ma</t>
        </is>
      </c>
      <c r="J459" t="n">
        <v>30</v>
      </c>
      <c r="K459" t="inlineStr">
        <is>
          <t>NOT AVAILABLE</t>
        </is>
      </c>
      <c r="L459" t="n">
        <v>0.92</v>
      </c>
      <c r="M459" t="inlineStr">
        <is>
          <t>MEASURED</t>
        </is>
      </c>
      <c r="N459" t="inlineStr">
        <is>
          <t>Yes (supporting block)</t>
        </is>
      </c>
      <c r="O459" s="5" t="inlineStr">
        <is>
          <t>Supports the primary topic - add only if natural</t>
        </is>
      </c>
      <c r="P459" s="5" t="inlineStr"/>
      <c r="Q459" t="inlineStr">
        <is>
          <t>P2</t>
        </is>
      </c>
      <c r="R459" t="n">
        <v>200</v>
      </c>
      <c r="S459" s="5" t="inlineStr">
        <is>
          <t>Une expertise approfondie dans les secteurs clés de Tanger . Nous comprenons les défis propres à votre secteur et ses exigences de conformité. FinTech Plateformes financières sécurisées avec traitement des paiements, con</t>
        </is>
      </c>
    </row>
    <row r="460">
      <c r="A460" s="3" t="inlineStr">
        <is>
          <t>https://codesommet.com/web-development-company/tangier</t>
        </is>
      </c>
      <c r="B460" t="n">
        <v>5</v>
      </c>
      <c r="C460" t="inlineStr">
        <is>
          <t>Testimonials / social proof</t>
        </is>
      </c>
      <c r="D460" s="5" t="inlineStr">
        <is>
          <t>Histoires de réussite à Tanger</t>
        </is>
      </c>
      <c r="E460" t="inlineStr">
        <is>
          <t>H2</t>
        </is>
      </c>
      <c r="F460" s="5" t="inlineStr">
        <is>
          <t>Commercial investigation</t>
        </is>
      </c>
      <c r="G460" t="inlineStr">
        <is>
          <t>creation site web tanger</t>
        </is>
      </c>
      <c r="H460" t="inlineStr">
        <is>
          <t>SUPPORTS PRIMARY</t>
        </is>
      </c>
      <c r="I460" t="inlineStr">
        <is>
          <t>ma</t>
        </is>
      </c>
      <c r="J460" t="n">
        <v>320</v>
      </c>
      <c r="K460" t="n">
        <v>11</v>
      </c>
      <c r="L460" t="n">
        <v>0.76</v>
      </c>
      <c r="M460" t="inlineStr">
        <is>
          <t>MEASURED</t>
        </is>
      </c>
      <c r="N460" t="inlineStr">
        <is>
          <t>Yes (supporting block)</t>
        </is>
      </c>
      <c r="O460" s="5" t="inlineStr">
        <is>
          <t>Supports the primary topic - add only if natural</t>
        </is>
      </c>
      <c r="P460" s="5" t="inlineStr"/>
      <c r="Q460" t="inlineStr">
        <is>
          <t>P2</t>
        </is>
      </c>
      <c r="R460" t="n">
        <v>58</v>
      </c>
      <c r="S460" s="5" t="inlineStr">
        <is>
          <t>Des projets réels, des résultats concrets. Découvrez comment nous avons aidé des entreprises basées à Tanger à atteindre leurs objectifs numériques. Beauté Boutique en ligne sur mesure GlamWorlds Maroc SaaS Plateforme de</t>
        </is>
      </c>
    </row>
    <row r="461">
      <c r="A461" s="3" t="inlineStr">
        <is>
          <t>https://codesommet.com/web-development-company/tangier</t>
        </is>
      </c>
      <c r="B461" t="n">
        <v>6</v>
      </c>
      <c r="C461" t="inlineStr">
        <is>
          <t>Process / how it works</t>
        </is>
      </c>
      <c r="D461" s="5" t="inlineStr">
        <is>
          <t>Comment Nous Concevons des Plateformes Immobilières Pensées pour le Marché de Tanger</t>
        </is>
      </c>
      <c r="E461" t="inlineStr">
        <is>
          <t>H2</t>
        </is>
      </c>
      <c r="F461" s="5" t="inlineStr">
        <is>
          <t>Informational / commercial</t>
        </is>
      </c>
      <c r="G461" t="inlineStr">
        <is>
          <t>creation site web tanger</t>
        </is>
      </c>
      <c r="H461" t="inlineStr">
        <is>
          <t>SUPPORTS PRIMARY</t>
        </is>
      </c>
      <c r="I461" t="inlineStr">
        <is>
          <t>ma</t>
        </is>
      </c>
      <c r="J461" t="n">
        <v>320</v>
      </c>
      <c r="K461" t="n">
        <v>11</v>
      </c>
      <c r="L461" t="n">
        <v>0.76</v>
      </c>
      <c r="M461" t="inlineStr">
        <is>
          <t>MEASURED</t>
        </is>
      </c>
      <c r="N461" t="inlineStr">
        <is>
          <t>Yes (supporting block)</t>
        </is>
      </c>
      <c r="O461" s="5" t="inlineStr">
        <is>
          <t>Supports the primary topic - add only if natural</t>
        </is>
      </c>
      <c r="P461" s="5" t="inlineStr"/>
      <c r="Q461" t="inlineStr">
        <is>
          <t>P2</t>
        </is>
      </c>
      <c r="R461" t="n">
        <v>193</v>
      </c>
      <c r="S461" s="5" t="inlineStr">
        <is>
          <t>Entreprises de gestion et de promotion immobilière • Immobilier &amp; PropTech • Délai adapté à la portée du projet Le Défi Les sociétés de gestion et de promotion immobilière à Tanger font souvent face au même constat : sui</t>
        </is>
      </c>
    </row>
    <row r="462">
      <c r="A462" s="3" t="inlineStr">
        <is>
          <t>https://codesommet.com/web-development-company/tangier</t>
        </is>
      </c>
      <c r="B462" t="n">
        <v>7</v>
      </c>
      <c r="C462" t="inlineStr">
        <is>
          <t>Pricing / offers</t>
        </is>
      </c>
      <c r="D462" s="5" t="inlineStr">
        <is>
          <t>Solutions sur mesure, tarification transparente</t>
        </is>
      </c>
      <c r="E462" t="inlineStr">
        <is>
          <t>H2</t>
        </is>
      </c>
      <c r="F462" s="5" t="inlineStr">
        <is>
          <t>Commercial / transactional</t>
        </is>
      </c>
      <c r="G462" t="inlineStr">
        <is>
          <t>creation site web tanger</t>
        </is>
      </c>
      <c r="H462" t="inlineStr">
        <is>
          <t>SUPPORTS PRIMARY</t>
        </is>
      </c>
      <c r="I462" t="inlineStr">
        <is>
          <t>ma</t>
        </is>
      </c>
      <c r="J462" t="n">
        <v>320</v>
      </c>
      <c r="K462" t="n">
        <v>11</v>
      </c>
      <c r="L462" t="n">
        <v>0.76</v>
      </c>
      <c r="M462" t="inlineStr">
        <is>
          <t>MEASURED</t>
        </is>
      </c>
      <c r="N462" t="inlineStr">
        <is>
          <t>Yes (supporting block)</t>
        </is>
      </c>
      <c r="O462" s="5" t="inlineStr">
        <is>
          <t>Supports the primary topic - add only if natural</t>
        </is>
      </c>
      <c r="P462" s="5" t="inlineStr"/>
      <c r="Q462" t="inlineStr">
        <is>
          <t>P2</t>
        </is>
      </c>
      <c r="R462" t="n">
        <v>188</v>
      </c>
      <c r="S462" s="5" t="inlineStr">
        <is>
          <t>Réservez un appel découverte pour discuter de vos besoins spécifiques et obtenir un devis personnalisé Recommandé Développement Web Site web complet avec fonctionnalités IA, tableaux de bord et design premium livré en 2-</t>
        </is>
      </c>
    </row>
    <row r="463">
      <c r="A463" s="3" t="inlineStr">
        <is>
          <t>https://codesommet.com/web-development-company/tangier</t>
        </is>
      </c>
      <c r="B463" t="n">
        <v>8</v>
      </c>
      <c r="C463" t="inlineStr">
        <is>
          <t>CTA / conversion</t>
        </is>
      </c>
      <c r="D463" s="5" t="inlineStr">
        <is>
          <t>Prêt à Améliorer Votre Site Web à Tanger ?</t>
        </is>
      </c>
      <c r="E463" t="inlineStr">
        <is>
          <t>H2</t>
        </is>
      </c>
      <c r="F463" s="5" t="inlineStr">
        <is>
          <t>Conversion</t>
        </is>
      </c>
      <c r="G463" t="inlineStr">
        <is>
          <t>—</t>
        </is>
      </c>
      <c r="H463" t="inlineStr">
        <is>
          <t>NONE</t>
        </is>
      </c>
      <c r="I463" t="inlineStr">
        <is>
          <t>—</t>
        </is>
      </c>
      <c r="J463" t="inlineStr">
        <is>
          <t>—</t>
        </is>
      </c>
      <c r="K463" t="inlineStr">
        <is>
          <t>—</t>
        </is>
      </c>
      <c r="L463" t="inlineStr">
        <is>
          <t>—</t>
        </is>
      </c>
      <c r="M463" t="inlineStr">
        <is>
          <t>—</t>
        </is>
      </c>
      <c r="N463" t="inlineStr">
        <is>
          <t>n/a</t>
        </is>
      </c>
      <c r="O463" s="5" t="inlineStr">
        <is>
          <t>No keyword target - keep conversion/navigation focus; use descriptive, non-repeated anchor texts</t>
        </is>
      </c>
      <c r="P463" s="5" t="inlineStr"/>
      <c r="Q463" t="inlineStr">
        <is>
          <t>P2</t>
        </is>
      </c>
      <c r="R463" t="n">
        <v>39</v>
      </c>
      <c r="S463" s="5" t="inlineStr">
        <is>
          <t xml:space="preserve">Obtenez d'abord une analyse complète gratuite : Audit SEO Vérification de performance Revue de design Recommandations propulsées par l'IA Analyser Votre Site Web - 100 % Gratuit Aucune carte bancaire requise • Résultats </t>
        </is>
      </c>
    </row>
    <row r="464">
      <c r="A464" s="3" t="inlineStr">
        <is>
          <t>https://codesommet.com/web-development-company/tangier</t>
        </is>
      </c>
      <c r="B464" t="n">
        <v>9</v>
      </c>
      <c r="C464" t="inlineStr">
        <is>
          <t>Why us / differentiation</t>
        </is>
      </c>
      <c r="D464" s="5" t="inlineStr">
        <is>
          <t>CodeSommet Tanger vs Others</t>
        </is>
      </c>
      <c r="E464" t="inlineStr">
        <is>
          <t>H2</t>
        </is>
      </c>
      <c r="F464" s="5" t="inlineStr">
        <is>
          <t>Commercial investigation</t>
        </is>
      </c>
      <c r="G464" t="inlineStr">
        <is>
          <t>creation site web tanger</t>
        </is>
      </c>
      <c r="H464" t="inlineStr">
        <is>
          <t>SUPPORTS PRIMARY</t>
        </is>
      </c>
      <c r="I464" t="inlineStr">
        <is>
          <t>ma</t>
        </is>
      </c>
      <c r="J464" t="n">
        <v>320</v>
      </c>
      <c r="K464" t="n">
        <v>11</v>
      </c>
      <c r="L464" t="n">
        <v>0.76</v>
      </c>
      <c r="M464" t="inlineStr">
        <is>
          <t>MEASURED</t>
        </is>
      </c>
      <c r="N464" t="inlineStr">
        <is>
          <t>Yes (supporting block)</t>
        </is>
      </c>
      <c r="O464" s="5" t="inlineStr">
        <is>
          <t>Supports the primary topic - add only if natural</t>
        </is>
      </c>
      <c r="P464" s="5" t="inlineStr"/>
      <c r="Q464" t="inlineStr">
        <is>
          <t>P2</t>
        </is>
      </c>
      <c r="R464" t="n">
        <v>93</v>
      </c>
      <c r="S464" s="5" t="inlineStr">
        <is>
          <t>Découvrez pourquoi Tanger les entreprises choisissent CodeSommet plutôt que d'autres agences locales et internationales. Fonctionnalité CodeSommet Tanger Autres Tanger Agences Agences Internationales Révisions illimitées</t>
        </is>
      </c>
    </row>
    <row r="465">
      <c r="A465" s="3" t="inlineStr">
        <is>
          <t>https://codesommet.com/web-development-company/tangier</t>
        </is>
      </c>
      <c r="B465" t="n">
        <v>10</v>
      </c>
      <c r="C465" t="inlineStr">
        <is>
          <t>Testimonials / social proof</t>
        </is>
      </c>
      <c r="D465" s="5" t="inlineStr">
        <is>
          <t>Ce que nos clients de Tanger disent de nous</t>
        </is>
      </c>
      <c r="E465" t="inlineStr">
        <is>
          <t>H2</t>
        </is>
      </c>
      <c r="F465" s="5" t="inlineStr">
        <is>
          <t>Commercial investigation</t>
        </is>
      </c>
      <c r="G465" t="inlineStr">
        <is>
          <t>creation site web tanger</t>
        </is>
      </c>
      <c r="H465" t="inlineStr">
        <is>
          <t>SUPPORTS PRIMARY</t>
        </is>
      </c>
      <c r="I465" t="inlineStr">
        <is>
          <t>ma</t>
        </is>
      </c>
      <c r="J465" t="n">
        <v>320</v>
      </c>
      <c r="K465" t="n">
        <v>11</v>
      </c>
      <c r="L465" t="n">
        <v>0.76</v>
      </c>
      <c r="M465" t="inlineStr">
        <is>
          <t>MEASURED</t>
        </is>
      </c>
      <c r="N465" t="inlineStr">
        <is>
          <t>Yes (supporting block)</t>
        </is>
      </c>
      <c r="O465" s="5" t="inlineStr">
        <is>
          <t>Supports the primary topic - add only if natural</t>
        </is>
      </c>
      <c r="P465" s="5" t="inlineStr"/>
      <c r="Q465" t="inlineStr">
        <is>
          <t>P2</t>
        </is>
      </c>
      <c r="R465" t="n">
        <v>103</v>
      </c>
      <c r="S465" s="5" t="inlineStr">
        <is>
          <t>Ne nous croyez pas sur parole. Écoutez les entreprises de Tanger qui ont obtenu des résultats remarquables avec CodeSommet. "Une collaboration professionnelle du début à la fin. Je recommande sans hésiter." Mohammed Chaj</t>
        </is>
      </c>
    </row>
    <row r="466">
      <c r="A466" s="3" t="inlineStr">
        <is>
          <t>https://codesommet.com/web-development-company/tangier</t>
        </is>
      </c>
      <c r="B466" t="n">
        <v>11</v>
      </c>
      <c r="C466" t="inlineStr">
        <is>
          <t>Process / how it works</t>
        </is>
      </c>
      <c r="D466" s="5" t="inlineStr">
        <is>
          <t>Comment démarrer en 3 étapes simples</t>
        </is>
      </c>
      <c r="E466" t="inlineStr">
        <is>
          <t>H2</t>
        </is>
      </c>
      <c r="F466" s="5" t="inlineStr">
        <is>
          <t>Informational / commercial</t>
        </is>
      </c>
      <c r="G466" t="inlineStr">
        <is>
          <t>creation site web tanger</t>
        </is>
      </c>
      <c r="H466" t="inlineStr">
        <is>
          <t>SUPPORTS PRIMARY</t>
        </is>
      </c>
      <c r="I466" t="inlineStr">
        <is>
          <t>ma</t>
        </is>
      </c>
      <c r="J466" t="n">
        <v>320</v>
      </c>
      <c r="K466" t="n">
        <v>11</v>
      </c>
      <c r="L466" t="n">
        <v>0.76</v>
      </c>
      <c r="M466" t="inlineStr">
        <is>
          <t>MEASURED</t>
        </is>
      </c>
      <c r="N466" t="inlineStr">
        <is>
          <t>Yes (supporting block)</t>
        </is>
      </c>
      <c r="O466" s="5" t="inlineStr">
        <is>
          <t>Supports the primary topic - add only if natural</t>
        </is>
      </c>
      <c r="P466" s="5" t="inlineStr"/>
      <c r="Q466" t="inlineStr">
        <is>
          <t>P2</t>
        </is>
      </c>
      <c r="R466" t="n">
        <v>286</v>
      </c>
      <c r="S466" s="5" t="inlineStr">
        <is>
          <t>Du premier appel à la livraison du projet, découvrez exactement comment nous travaillons ensemble Étape 1 Abonnement 1 projet actif Révisions illimitées Design &amp; développement SEO &amp; contenu Recommandé Développement de Si</t>
        </is>
      </c>
    </row>
    <row r="467">
      <c r="A467" s="3" t="inlineStr">
        <is>
          <t>https://codesommet.com/web-development-company/tangier</t>
        </is>
      </c>
      <c r="B467" t="n">
        <v>12</v>
      </c>
      <c r="C467" t="inlineStr">
        <is>
          <t>FAQ</t>
        </is>
      </c>
      <c r="D467" s="5" t="inlineStr">
        <is>
          <t>Questions fréquemment posées sur le Développement Web à Tanger</t>
        </is>
      </c>
      <c r="E467" t="inlineStr">
        <is>
          <t>H2</t>
        </is>
      </c>
      <c r="F467" s="5" t="inlineStr">
        <is>
          <t>Informational (pre-purchase questions)</t>
        </is>
      </c>
      <c r="G467" t="inlineStr">
        <is>
          <t>creation site web tanger</t>
        </is>
      </c>
      <c r="H467" t="inlineStr">
        <is>
          <t>SUPPORTS PRIMARY</t>
        </is>
      </c>
      <c r="I467" t="inlineStr">
        <is>
          <t>ma</t>
        </is>
      </c>
      <c r="J467" t="n">
        <v>320</v>
      </c>
      <c r="K467" t="n">
        <v>11</v>
      </c>
      <c r="L467" t="n">
        <v>0.76</v>
      </c>
      <c r="M467" t="inlineStr">
        <is>
          <t>MEASURED</t>
        </is>
      </c>
      <c r="N467" t="inlineStr">
        <is>
          <t>Yes (supporting block)</t>
        </is>
      </c>
      <c r="O467" s="5" t="inlineStr">
        <is>
          <t>Supports the primary topic - add only if natural</t>
        </is>
      </c>
      <c r="P467" s="5" t="inlineStr"/>
      <c r="Q467" t="inlineStr">
        <is>
          <t>P2</t>
        </is>
      </c>
      <c r="R467" t="n">
        <v>378</v>
      </c>
      <c r="S467" s="5" t="inlineStr">
        <is>
          <t>Des questions ? Nous avons les réponses. Voici les questions les plus fréquentes des entreprises de Tanger. 1 Avez-vous un bureau physique à Tanger ? Nous n'avons pas de bureau à Tanger : notre équipe travaille à distanc</t>
        </is>
      </c>
    </row>
    <row r="468">
      <c r="A468" s="3" t="inlineStr">
        <is>
          <t>https://codesommet.com/web-development-company/tangier</t>
        </is>
      </c>
      <c r="B468" t="n">
        <v>13</v>
      </c>
      <c r="C468" t="inlineStr">
        <is>
          <t>Internal-link block</t>
        </is>
      </c>
      <c r="D468" s="5" t="inlineStr">
        <is>
          <t>Nous Desservons Également</t>
        </is>
      </c>
      <c r="E468" t="inlineStr">
        <is>
          <t>H2</t>
        </is>
      </c>
      <c r="F468" s="5" t="inlineStr">
        <is>
          <t>Navigation</t>
        </is>
      </c>
      <c r="G468" t="inlineStr">
        <is>
          <t>—</t>
        </is>
      </c>
      <c r="H468" t="inlineStr">
        <is>
          <t>NONE</t>
        </is>
      </c>
      <c r="I468" t="inlineStr">
        <is>
          <t>—</t>
        </is>
      </c>
      <c r="J468" t="inlineStr">
        <is>
          <t>—</t>
        </is>
      </c>
      <c r="K468" t="inlineStr">
        <is>
          <t>—</t>
        </is>
      </c>
      <c r="L468" t="inlineStr">
        <is>
          <t>—</t>
        </is>
      </c>
      <c r="M468" t="inlineStr">
        <is>
          <t>—</t>
        </is>
      </c>
      <c r="N468" t="inlineStr">
        <is>
          <t>n/a</t>
        </is>
      </c>
      <c r="O468" s="5" t="inlineStr">
        <is>
          <t>No keyword target - keep conversion/navigation focus; use descriptive, non-repeated anchor texts</t>
        </is>
      </c>
      <c r="P468" s="5" t="inlineStr"/>
      <c r="Q468" t="inlineStr">
        <is>
          <t>P2</t>
        </is>
      </c>
      <c r="R468" t="n">
        <v>24</v>
      </c>
      <c r="S468" s="5" t="inlineStr">
        <is>
          <t>Explorez nos services de développement web dans d'autres villes à travers le monde Rabat Maroc Marrakech Maroc CodeSommet à Casablanca Maroc Voir Tout Locations</t>
        </is>
      </c>
    </row>
    <row r="469">
      <c r="A469" s="3" t="inlineStr">
        <is>
          <t>https://codesommet.com/web-development-company/tangier</t>
        </is>
      </c>
      <c r="B469" t="n">
        <v>14</v>
      </c>
      <c r="C469" t="inlineStr">
        <is>
          <t>Internal-link block</t>
        </is>
      </c>
      <c r="D469" s="5" t="inlineStr">
        <is>
          <t>Explorer davantage</t>
        </is>
      </c>
      <c r="E469" t="inlineStr">
        <is>
          <t>H2</t>
        </is>
      </c>
      <c r="F469" s="5" t="inlineStr">
        <is>
          <t>Navigation</t>
        </is>
      </c>
      <c r="G469" t="inlineStr">
        <is>
          <t>—</t>
        </is>
      </c>
      <c r="H469" t="inlineStr">
        <is>
          <t>NONE</t>
        </is>
      </c>
      <c r="I469" t="inlineStr">
        <is>
          <t>—</t>
        </is>
      </c>
      <c r="J469" t="inlineStr">
        <is>
          <t>—</t>
        </is>
      </c>
      <c r="K469" t="inlineStr">
        <is>
          <t>—</t>
        </is>
      </c>
      <c r="L469" t="inlineStr">
        <is>
          <t>—</t>
        </is>
      </c>
      <c r="M469" t="inlineStr">
        <is>
          <t>—</t>
        </is>
      </c>
      <c r="N469" t="inlineStr">
        <is>
          <t>n/a</t>
        </is>
      </c>
      <c r="O469" s="5" t="inlineStr">
        <is>
          <t>No keyword target - keep conversion/navigation focus; use descriptive, non-repeated anchor texts</t>
        </is>
      </c>
      <c r="P469" s="5" t="inlineStr"/>
      <c r="Q469" t="inlineStr">
        <is>
          <t>P2</t>
        </is>
      </c>
      <c r="R469" t="n">
        <v>83</v>
      </c>
      <c r="S469" s="5" t="inlineStr">
        <is>
          <t>Découvrez ce qui fait de CodeSommet votre partenaire idéal en développement web Audit Gratuit de Site Web Obtenez une analyse alimentée par l'IA avec plus de 40 vérifications En savoir plus Voir Nos Projets Découvrez les</t>
        </is>
      </c>
    </row>
    <row r="470">
      <c r="A470" s="3" t="inlineStr">
        <is>
          <t>https://codesommet.com/web-development-company/tangier</t>
        </is>
      </c>
      <c r="B470" t="n">
        <v>15</v>
      </c>
      <c r="C470" t="inlineStr">
        <is>
          <t>CTA / conversion</t>
        </is>
      </c>
      <c r="D470" s="5" t="inlineStr">
        <is>
          <t>Prêt à Créer Quelque Chose d'Extraordinaire ?</t>
        </is>
      </c>
      <c r="E470" t="inlineStr">
        <is>
          <t>H2</t>
        </is>
      </c>
      <c r="F470" s="5" t="inlineStr">
        <is>
          <t>Conversion</t>
        </is>
      </c>
      <c r="G470" t="inlineStr">
        <is>
          <t>—</t>
        </is>
      </c>
      <c r="H470" t="inlineStr">
        <is>
          <t>NONE</t>
        </is>
      </c>
      <c r="I470" t="inlineStr">
        <is>
          <t>—</t>
        </is>
      </c>
      <c r="J470" t="inlineStr">
        <is>
          <t>—</t>
        </is>
      </c>
      <c r="K470" t="inlineStr">
        <is>
          <t>—</t>
        </is>
      </c>
      <c r="L470" t="inlineStr">
        <is>
          <t>—</t>
        </is>
      </c>
      <c r="M470" t="inlineStr">
        <is>
          <t>—</t>
        </is>
      </c>
      <c r="N470" t="inlineStr">
        <is>
          <t>n/a</t>
        </is>
      </c>
      <c r="O470" s="5" t="inlineStr">
        <is>
          <t>No keyword target - keep conversion/navigation focus; use descriptive, non-repeated anchor texts</t>
        </is>
      </c>
      <c r="P470" s="5" t="inlineStr"/>
      <c r="Q470" t="inlineStr">
        <is>
          <t>P2</t>
        </is>
      </c>
      <c r="R470" t="n">
        <v>119</v>
      </c>
      <c r="S470" s="5" t="inlineStr">
        <is>
          <t>Rejoignez les entreprises visionnaires qui ont choisi l'excellence Réserver un Appel Découverte Analyser Mon Site Gratuitement Réserver un Appel Découverte Analyser Votre Site Web Discutons de la façon dont l'IA et le de</t>
        </is>
      </c>
    </row>
    <row r="471">
      <c r="A471" s="3" t="inlineStr">
        <is>
          <t>https://codesommet.com/web-development-company/agadir</t>
        </is>
      </c>
      <c r="B471" t="n">
        <v>1</v>
      </c>
      <c r="C471" t="inlineStr">
        <is>
          <t>Hero / H1</t>
        </is>
      </c>
      <c r="D471" s="5" t="inlineStr">
        <is>
          <t>Agence Web Agadir : Création de Sites qui génèrent LA CROISSANCE DES ENTREPRISES À AGADIR</t>
        </is>
      </c>
      <c r="E471" t="inlineStr">
        <is>
          <t>H1</t>
        </is>
      </c>
      <c r="F471" s="5" t="inlineStr">
        <is>
          <t>Commercial (local)</t>
        </is>
      </c>
      <c r="G471" t="inlineStr">
        <is>
          <t>agence web agadir</t>
        </is>
      </c>
      <c r="H471" t="inlineStr">
        <is>
          <t>PRIMARY</t>
        </is>
      </c>
      <c r="I471" t="inlineStr">
        <is>
          <t>ma</t>
        </is>
      </c>
      <c r="J471" t="n">
        <v>140</v>
      </c>
      <c r="K471" t="inlineStr">
        <is>
          <t>NOT AVAILABLE</t>
        </is>
      </c>
      <c r="L471" t="n">
        <v>0.57</v>
      </c>
      <c r="M471" t="inlineStr">
        <is>
          <t>MEASURED</t>
        </is>
      </c>
      <c r="N471" t="inlineStr">
        <is>
          <t>Yes</t>
        </is>
      </c>
      <c r="O471" s="5" t="inlineStr">
        <is>
          <t>Covered - keep wording; no change</t>
        </is>
      </c>
      <c r="P471" s="5" t="inlineStr"/>
      <c r="Q471" t="inlineStr">
        <is>
          <t>P2</t>
        </is>
      </c>
      <c r="R471" t="n">
        <v>69</v>
      </c>
      <c r="S471" s="5" t="inlineStr">
        <is>
          <t>Agence web basée au Maroc au service des entreprises d'Agadir et de la région Souss-Massa : hôtels, agences de voyages, exportateurs agroalimentaires, promoteurs immobiliers et commerces. Sites vitrines, réservation en l</t>
        </is>
      </c>
    </row>
    <row r="472">
      <c r="A472" s="3" t="inlineStr">
        <is>
          <t>https://codesommet.com/web-development-company/agadir</t>
        </is>
      </c>
      <c r="B472" t="n">
        <v>2</v>
      </c>
      <c r="C472" t="inlineStr">
        <is>
          <t>Why us / differentiation</t>
        </is>
      </c>
      <c r="D472" s="5" t="inlineStr">
        <is>
          <t>Pourquoi Choisir CodeSommet à Agadir ?</t>
        </is>
      </c>
      <c r="E472" t="inlineStr">
        <is>
          <t>H2</t>
        </is>
      </c>
      <c r="F472" s="5" t="inlineStr">
        <is>
          <t>Commercial investigation</t>
        </is>
      </c>
      <c r="G472" t="inlineStr">
        <is>
          <t>agence web agadir</t>
        </is>
      </c>
      <c r="H472" t="inlineStr">
        <is>
          <t>SUPPORTS PRIMARY</t>
        </is>
      </c>
      <c r="I472" t="inlineStr">
        <is>
          <t>ma</t>
        </is>
      </c>
      <c r="J472" t="n">
        <v>140</v>
      </c>
      <c r="K472" t="inlineStr">
        <is>
          <t>NOT AVAILABLE</t>
        </is>
      </c>
      <c r="L472" t="n">
        <v>0.57</v>
      </c>
      <c r="M472" t="inlineStr">
        <is>
          <t>MEASURED</t>
        </is>
      </c>
      <c r="N472" t="inlineStr">
        <is>
          <t>Yes (supporting block)</t>
        </is>
      </c>
      <c r="O472" s="5" t="inlineStr">
        <is>
          <t>Supports the primary topic - add only if natural</t>
        </is>
      </c>
      <c r="P472" s="5" t="inlineStr"/>
      <c r="Q472" t="inlineStr">
        <is>
          <t>P2</t>
        </is>
      </c>
      <c r="R472" t="n">
        <v>178</v>
      </c>
      <c r="S472" s="5" t="inlineStr">
        <is>
          <t xml:space="preserve">L'expertise marocaine rencontre les standards internationaux. Voici ce qui fait de nous le partenaire de développement web idéal à Agadir. Experts en IA Chatbots multilingues (français, anglais, arabe) pour répondre aux </t>
        </is>
      </c>
    </row>
    <row r="473">
      <c r="A473" s="3" t="inlineStr">
        <is>
          <t>https://codesommet.com/web-development-company/agadir</t>
        </is>
      </c>
      <c r="B473" t="n">
        <v>3</v>
      </c>
      <c r="C473" t="inlineStr">
        <is>
          <t>Content block</t>
        </is>
      </c>
      <c r="D473" s="5" t="inlineStr">
        <is>
          <t>Approuvé par les Entreprises Marocaines</t>
        </is>
      </c>
      <c r="E473" t="inlineStr">
        <is>
          <t>H2</t>
        </is>
      </c>
      <c r="F473" s="5" t="inlineStr">
        <is>
          <t>Commercial (local)</t>
        </is>
      </c>
      <c r="G473" t="inlineStr">
        <is>
          <t>création site web agadir</t>
        </is>
      </c>
      <c r="H473" t="inlineStr">
        <is>
          <t>SECONDARY</t>
        </is>
      </c>
      <c r="I473" t="inlineStr">
        <is>
          <t>ma</t>
        </is>
      </c>
      <c r="J473" t="n">
        <v>90</v>
      </c>
      <c r="K473" t="inlineStr">
        <is>
          <t>NOT AVAILABLE</t>
        </is>
      </c>
      <c r="L473" t="n">
        <v>0</v>
      </c>
      <c r="M473" t="inlineStr">
        <is>
          <t>MEASURED</t>
        </is>
      </c>
      <c r="N473" t="inlineStr">
        <is>
          <t>Partly</t>
        </is>
      </c>
      <c r="O473" s="5" t="inlineStr">
        <is>
          <t>Work "création site web agadir" (or a close natural variant) into existing copy - no new heading needed</t>
        </is>
      </c>
      <c r="P473" s="5" t="inlineStr">
        <is>
          <t>Keyword/variant absent from this section</t>
        </is>
      </c>
      <c r="Q473" t="inlineStr">
        <is>
          <t>P1</t>
        </is>
      </c>
      <c r="R473" t="n">
        <v>27</v>
      </c>
      <c r="S473" s="5" t="inlineStr">
        <is>
          <t>Projets livrés à l'international Sites pensés pour la conversion Clients dans plusieurs pays De vrais résultats de Agadir - entreprises avec lesquelles nous avons collaboré Expertise Sectorielle</t>
        </is>
      </c>
    </row>
    <row r="474">
      <c r="A474" s="3" t="inlineStr">
        <is>
          <t>https://codesommet.com/web-development-company/agadir</t>
        </is>
      </c>
      <c r="B474" t="n">
        <v>4</v>
      </c>
      <c r="C474" t="inlineStr">
        <is>
          <t>Content block</t>
        </is>
      </c>
      <c r="D474" s="5" t="inlineStr">
        <is>
          <t>Nos Secteurs de Spécialisation à Agadir</t>
        </is>
      </c>
      <c r="E474" t="inlineStr">
        <is>
          <t>H2</t>
        </is>
      </c>
      <c r="F474" s="5" t="inlineStr">
        <is>
          <t>Commercial (local)</t>
        </is>
      </c>
      <c r="G474" t="inlineStr">
        <is>
          <t>site web agadir</t>
        </is>
      </c>
      <c r="H474" t="inlineStr">
        <is>
          <t>SUPPORTING</t>
        </is>
      </c>
      <c r="I474" t="inlineStr">
        <is>
          <t>ma</t>
        </is>
      </c>
      <c r="J474" t="n">
        <v>30</v>
      </c>
      <c r="K474" t="inlineStr">
        <is>
          <t>NOT AVAILABLE</t>
        </is>
      </c>
      <c r="L474" t="n">
        <v>0</v>
      </c>
      <c r="M474" t="inlineStr">
        <is>
          <t>MEASURED</t>
        </is>
      </c>
      <c r="N474" t="inlineStr">
        <is>
          <t>Yes</t>
        </is>
      </c>
      <c r="O474" s="5" t="inlineStr">
        <is>
          <t>Covered - keep wording; no change</t>
        </is>
      </c>
      <c r="P474" s="5" t="inlineStr"/>
      <c r="Q474" t="inlineStr">
        <is>
          <t>P2</t>
        </is>
      </c>
      <c r="R474" t="n">
        <v>230</v>
      </c>
      <c r="S474" s="5" t="inlineStr">
        <is>
          <t>Expertise approfondie des entreprises d'Agadir et du Souss-Massa. Nous comprenons les saisons touristiques, les contraintes d'export et les attentes d'une clientèle internationale. Commerce &amp; Export Boutiques en ligne et</t>
        </is>
      </c>
    </row>
    <row r="475">
      <c r="A475" s="3" t="inlineStr">
        <is>
          <t>https://codesommet.com/web-development-company/agadir</t>
        </is>
      </c>
      <c r="B475" t="n">
        <v>5</v>
      </c>
      <c r="C475" t="inlineStr">
        <is>
          <t>Proof / portfolio / results</t>
        </is>
      </c>
      <c r="D475" s="5" t="inlineStr">
        <is>
          <t>Réalisations Utiles aux Entreprises d' Agadir</t>
        </is>
      </c>
      <c r="E475" t="inlineStr">
        <is>
          <t>H2</t>
        </is>
      </c>
      <c r="F475" s="5" t="inlineStr">
        <is>
          <t>Commercial investigation</t>
        </is>
      </c>
      <c r="G475" t="inlineStr">
        <is>
          <t>agence web agadir</t>
        </is>
      </c>
      <c r="H475" t="inlineStr">
        <is>
          <t>SUPPORTS PRIMARY</t>
        </is>
      </c>
      <c r="I475" t="inlineStr">
        <is>
          <t>ma</t>
        </is>
      </c>
      <c r="J475" t="n">
        <v>140</v>
      </c>
      <c r="K475" t="inlineStr">
        <is>
          <t>NOT AVAILABLE</t>
        </is>
      </c>
      <c r="L475" t="n">
        <v>0.57</v>
      </c>
      <c r="M475" t="inlineStr">
        <is>
          <t>MEASURED</t>
        </is>
      </c>
      <c r="N475" t="inlineStr">
        <is>
          <t>Yes (supporting block)</t>
        </is>
      </c>
      <c r="O475" s="5" t="inlineStr">
        <is>
          <t>Supports the primary topic - add only if natural</t>
        </is>
      </c>
      <c r="P475" s="5" t="inlineStr"/>
      <c r="Q475" t="inlineStr">
        <is>
          <t>P2</t>
        </is>
      </c>
      <c r="R475" t="n">
        <v>46</v>
      </c>
      <c r="S475" s="5" t="inlineStr">
        <is>
          <t>De vrais projets, de vrais résultats. Découvrez comment nous avons aidé les entreprises marocaines à atteindre leurs objectifs numériques. Beauté Boutique en ligne sur mesure GlamWorlds Maroc SaaS Plateforme de gestion a</t>
        </is>
      </c>
    </row>
    <row r="476">
      <c r="A476" s="3" t="inlineStr">
        <is>
          <t>https://codesommet.com/web-development-company/agadir</t>
        </is>
      </c>
      <c r="B476" t="n">
        <v>6</v>
      </c>
      <c r="C476" t="inlineStr">
        <is>
          <t>Content block</t>
        </is>
      </c>
      <c r="D476" s="5" t="inlineStr">
        <is>
          <t>Des Sites de Réservation Pensés pour le Tourisme à Agadir</t>
        </is>
      </c>
      <c r="E476" t="inlineStr">
        <is>
          <t>H2</t>
        </is>
      </c>
      <c r="F476" s="5" t="inlineStr">
        <is>
          <t>Commercial (local)</t>
        </is>
      </c>
      <c r="G476" t="inlineStr">
        <is>
          <t>agence digitale agadir</t>
        </is>
      </c>
      <c r="H476" t="inlineStr">
        <is>
          <t>SUPPORTING</t>
        </is>
      </c>
      <c r="I476" t="inlineStr">
        <is>
          <t>ma</t>
        </is>
      </c>
      <c r="J476" t="n">
        <v>20</v>
      </c>
      <c r="K476" t="inlineStr">
        <is>
          <t>NOT AVAILABLE</t>
        </is>
      </c>
      <c r="L476" t="n">
        <v>0.37</v>
      </c>
      <c r="M476" t="inlineStr">
        <is>
          <t>MEASURED</t>
        </is>
      </c>
      <c r="N476" t="inlineStr">
        <is>
          <t>Yes (supporting block)</t>
        </is>
      </c>
      <c r="O476" s="5" t="inlineStr">
        <is>
          <t>Supports the primary topic - add only if natural</t>
        </is>
      </c>
      <c r="P476" s="5" t="inlineStr"/>
      <c r="Q476" t="inlineStr">
        <is>
          <t>P2</t>
        </is>
      </c>
      <c r="R476" t="n">
        <v>202</v>
      </c>
      <c r="S476" s="5" t="inlineStr">
        <is>
          <t>Solutions pour les hôtels, riads, agences de voyages et prestataires d'activités • Immobilier &amp; Résidences de Vacances • Délai adapté à la portée du projet Le Constat Beaucoup d'hébergements et d'agences d'Agadir dépende</t>
        </is>
      </c>
    </row>
    <row r="477">
      <c r="A477" s="3" t="inlineStr">
        <is>
          <t>https://codesommet.com/web-development-company/agadir</t>
        </is>
      </c>
      <c r="B477" t="n">
        <v>7</v>
      </c>
      <c r="C477" t="inlineStr">
        <is>
          <t>Pricing / offers</t>
        </is>
      </c>
      <c r="D477" s="5" t="inlineStr">
        <is>
          <t>Solutions Personnalisées, Tarification Transparente</t>
        </is>
      </c>
      <c r="E477" t="inlineStr">
        <is>
          <t>H2</t>
        </is>
      </c>
      <c r="F477" s="5" t="inlineStr">
        <is>
          <t>Commercial / transactional</t>
        </is>
      </c>
      <c r="G477" t="inlineStr">
        <is>
          <t>agence web agadir</t>
        </is>
      </c>
      <c r="H477" t="inlineStr">
        <is>
          <t>SUPPORTS PRIMARY</t>
        </is>
      </c>
      <c r="I477" t="inlineStr">
        <is>
          <t>ma</t>
        </is>
      </c>
      <c r="J477" t="n">
        <v>140</v>
      </c>
      <c r="K477" t="inlineStr">
        <is>
          <t>NOT AVAILABLE</t>
        </is>
      </c>
      <c r="L477" t="n">
        <v>0.57</v>
      </c>
      <c r="M477" t="inlineStr">
        <is>
          <t>MEASURED</t>
        </is>
      </c>
      <c r="N477" t="inlineStr">
        <is>
          <t>Yes (supporting block)</t>
        </is>
      </c>
      <c r="O477" s="5" t="inlineStr">
        <is>
          <t>Supports the primary topic - add only if natural</t>
        </is>
      </c>
      <c r="P477" s="5" t="inlineStr"/>
      <c r="Q477" t="inlineStr">
        <is>
          <t>P2</t>
        </is>
      </c>
      <c r="R477" t="n">
        <v>184</v>
      </c>
      <c r="S477" s="5" t="inlineStr">
        <is>
          <t>Réservez un appel découverte pour discuter de vos besoins spécifiques et obtenir un devis personnalisé Recommandé Développement Web Site web complet avec fonctionnalités IA, tableaux de bord et design premium livré en 2-</t>
        </is>
      </c>
    </row>
    <row r="478">
      <c r="A478" s="3" t="inlineStr">
        <is>
          <t>https://codesommet.com/web-development-company/agadir</t>
        </is>
      </c>
      <c r="B478" t="n">
        <v>8</v>
      </c>
      <c r="C478" t="inlineStr">
        <is>
          <t>CTA / conversion</t>
        </is>
      </c>
      <c r="D478" s="5" t="inlineStr">
        <is>
          <t>Prêt à Améliorer Votre Site Web à Agadir ?</t>
        </is>
      </c>
      <c r="E478" t="inlineStr">
        <is>
          <t>H2</t>
        </is>
      </c>
      <c r="F478" s="5" t="inlineStr">
        <is>
          <t>Conversion</t>
        </is>
      </c>
      <c r="G478" t="inlineStr">
        <is>
          <t>—</t>
        </is>
      </c>
      <c r="H478" t="inlineStr">
        <is>
          <t>NONE</t>
        </is>
      </c>
      <c r="I478" t="inlineStr">
        <is>
          <t>—</t>
        </is>
      </c>
      <c r="J478" t="inlineStr">
        <is>
          <t>—</t>
        </is>
      </c>
      <c r="K478" t="inlineStr">
        <is>
          <t>—</t>
        </is>
      </c>
      <c r="L478" t="inlineStr">
        <is>
          <t>—</t>
        </is>
      </c>
      <c r="M478" t="inlineStr">
        <is>
          <t>—</t>
        </is>
      </c>
      <c r="N478" t="inlineStr">
        <is>
          <t>n/a</t>
        </is>
      </c>
      <c r="O478" s="5" t="inlineStr">
        <is>
          <t>No keyword target - keep conversion/navigation focus; use descriptive, non-repeated anchor texts</t>
        </is>
      </c>
      <c r="P478" s="5" t="inlineStr"/>
      <c r="Q478" t="inlineStr">
        <is>
          <t>P2</t>
        </is>
      </c>
      <c r="R478" t="n">
        <v>40</v>
      </c>
      <c r="S478" s="5" t="inlineStr">
        <is>
          <t xml:space="preserve">Obtenez d'abord une analyse gratuite complète : Audit SEO Vérification de performance Revue de design Recommandations alimentées par l'IA Analyser Votre Site Web - 100% Gratuit Aucune carte de crédit requise • Résultats </t>
        </is>
      </c>
    </row>
    <row r="479">
      <c r="A479" s="3" t="inlineStr">
        <is>
          <t>https://codesommet.com/web-development-company/agadir</t>
        </is>
      </c>
      <c r="B479" t="n">
        <v>9</v>
      </c>
      <c r="C479" t="inlineStr">
        <is>
          <t>Why us / differentiation</t>
        </is>
      </c>
      <c r="D479" s="5" t="inlineStr">
        <is>
          <t>CodeSommet Agadir vs Autres</t>
        </is>
      </c>
      <c r="E479" t="inlineStr">
        <is>
          <t>H2</t>
        </is>
      </c>
      <c r="F479" s="5" t="inlineStr">
        <is>
          <t>Commercial investigation</t>
        </is>
      </c>
      <c r="G479" t="inlineStr">
        <is>
          <t>agence web agadir</t>
        </is>
      </c>
      <c r="H479" t="inlineStr">
        <is>
          <t>SUPPORTS PRIMARY</t>
        </is>
      </c>
      <c r="I479" t="inlineStr">
        <is>
          <t>ma</t>
        </is>
      </c>
      <c r="J479" t="n">
        <v>140</v>
      </c>
      <c r="K479" t="inlineStr">
        <is>
          <t>NOT AVAILABLE</t>
        </is>
      </c>
      <c r="L479" t="n">
        <v>0.57</v>
      </c>
      <c r="M479" t="inlineStr">
        <is>
          <t>MEASURED</t>
        </is>
      </c>
      <c r="N479" t="inlineStr">
        <is>
          <t>Yes</t>
        </is>
      </c>
      <c r="O479" s="5" t="inlineStr">
        <is>
          <t>Covered - keep wording; no change</t>
        </is>
      </c>
      <c r="P479" s="5" t="inlineStr"/>
      <c r="Q479" t="inlineStr">
        <is>
          <t>P2</t>
        </is>
      </c>
      <c r="R479" t="n">
        <v>91</v>
      </c>
      <c r="S479" s="5" t="inlineStr">
        <is>
          <t>Découvrez pourquoi Agadir entreprises choisissent CodeSommet plutôt que d'autres agences locales et concurrents internationaux. Fonctionnalité CodeSommet Agadir Autres Agadir Agences Agences Internationales Révisions Ill</t>
        </is>
      </c>
    </row>
    <row r="480">
      <c r="A480" s="3" t="inlineStr">
        <is>
          <t>https://codesommet.com/web-development-company/agadir</t>
        </is>
      </c>
      <c r="B480" t="n">
        <v>10</v>
      </c>
      <c r="C480" t="inlineStr">
        <is>
          <t>Testimonials / social proof</t>
        </is>
      </c>
      <c r="D480" s="5" t="inlineStr">
        <is>
          <t>Ce que Nos Clients Marocains Disent de Nous</t>
        </is>
      </c>
      <c r="E480" t="inlineStr">
        <is>
          <t>H2</t>
        </is>
      </c>
      <c r="F480" s="5" t="inlineStr">
        <is>
          <t>Commercial investigation</t>
        </is>
      </c>
      <c r="G480" t="inlineStr">
        <is>
          <t>agence web agadir</t>
        </is>
      </c>
      <c r="H480" t="inlineStr">
        <is>
          <t>SUPPORTS PRIMARY</t>
        </is>
      </c>
      <c r="I480" t="inlineStr">
        <is>
          <t>ma</t>
        </is>
      </c>
      <c r="J480" t="n">
        <v>140</v>
      </c>
      <c r="K480" t="inlineStr">
        <is>
          <t>NOT AVAILABLE</t>
        </is>
      </c>
      <c r="L480" t="n">
        <v>0.57</v>
      </c>
      <c r="M480" t="inlineStr">
        <is>
          <t>MEASURED</t>
        </is>
      </c>
      <c r="N480" t="inlineStr">
        <is>
          <t>Yes (supporting block)</t>
        </is>
      </c>
      <c r="O480" s="5" t="inlineStr">
        <is>
          <t>Supports the primary topic - add only if natural</t>
        </is>
      </c>
      <c r="P480" s="5" t="inlineStr"/>
      <c r="Q480" t="inlineStr">
        <is>
          <t>P2</t>
        </is>
      </c>
      <c r="R480" t="n">
        <v>104</v>
      </c>
      <c r="S480" s="5" t="inlineStr">
        <is>
          <t>Ne vous fiez pas seulement à notre parole. Écoutez les entreprises de Agadir qui ont obtenu des résultats remarquables avec CodeSommet. "Une collaboration professionnelle du début à la fin. Je recommande sans hésiter." M</t>
        </is>
      </c>
    </row>
    <row r="481">
      <c r="A481" s="3" t="inlineStr">
        <is>
          <t>https://codesommet.com/web-development-company/agadir</t>
        </is>
      </c>
      <c r="B481" t="n">
        <v>11</v>
      </c>
      <c r="C481" t="inlineStr">
        <is>
          <t>Process / how it works</t>
        </is>
      </c>
      <c r="D481" s="5" t="inlineStr">
        <is>
          <t>Comment démarrer en 3 étapes simples</t>
        </is>
      </c>
      <c r="E481" t="inlineStr">
        <is>
          <t>H2</t>
        </is>
      </c>
      <c r="F481" s="5" t="inlineStr">
        <is>
          <t>Informational / commercial</t>
        </is>
      </c>
      <c r="G481" t="inlineStr">
        <is>
          <t>agence web agadir</t>
        </is>
      </c>
      <c r="H481" t="inlineStr">
        <is>
          <t>SUPPORTS PRIMARY</t>
        </is>
      </c>
      <c r="I481" t="inlineStr">
        <is>
          <t>ma</t>
        </is>
      </c>
      <c r="J481" t="n">
        <v>140</v>
      </c>
      <c r="K481" t="inlineStr">
        <is>
          <t>NOT AVAILABLE</t>
        </is>
      </c>
      <c r="L481" t="n">
        <v>0.57</v>
      </c>
      <c r="M481" t="inlineStr">
        <is>
          <t>MEASURED</t>
        </is>
      </c>
      <c r="N481" t="inlineStr">
        <is>
          <t>Yes (supporting block)</t>
        </is>
      </c>
      <c r="O481" s="5" t="inlineStr">
        <is>
          <t>Supports the primary topic - add only if natural</t>
        </is>
      </c>
      <c r="P481" s="5" t="inlineStr"/>
      <c r="Q481" t="inlineStr">
        <is>
          <t>P2</t>
        </is>
      </c>
      <c r="R481" t="n">
        <v>286</v>
      </c>
      <c r="S481" s="5" t="inlineStr">
        <is>
          <t>Du premier appel à la livraison du projet, découvrez exactement comment nous travaillons ensemble Étape 1 Abonnement 1 projet actif Révisions illimitées Design &amp; développement SEO &amp; contenu Recommandé Développement de Si</t>
        </is>
      </c>
    </row>
    <row r="482">
      <c r="A482" s="3" t="inlineStr">
        <is>
          <t>https://codesommet.com/web-development-company/agadir</t>
        </is>
      </c>
      <c r="B482" t="n">
        <v>12</v>
      </c>
      <c r="C482" t="inlineStr">
        <is>
          <t>FAQ</t>
        </is>
      </c>
      <c r="D482" s="5" t="inlineStr">
        <is>
          <t>Questions Fréquemment Posées Sur la Création de Site Web à Agadir</t>
        </is>
      </c>
      <c r="E482" t="inlineStr">
        <is>
          <t>H2</t>
        </is>
      </c>
      <c r="F482" s="5" t="inlineStr">
        <is>
          <t>Informational (pre-purchase questions)</t>
        </is>
      </c>
      <c r="G482" t="inlineStr">
        <is>
          <t>agence web agadir</t>
        </is>
      </c>
      <c r="H482" t="inlineStr">
        <is>
          <t>SUPPORTS PRIMARY</t>
        </is>
      </c>
      <c r="I482" t="inlineStr">
        <is>
          <t>ma</t>
        </is>
      </c>
      <c r="J482" t="n">
        <v>140</v>
      </c>
      <c r="K482" t="inlineStr">
        <is>
          <t>NOT AVAILABLE</t>
        </is>
      </c>
      <c r="L482" t="n">
        <v>0.57</v>
      </c>
      <c r="M482" t="inlineStr">
        <is>
          <t>MEASURED</t>
        </is>
      </c>
      <c r="N482" t="inlineStr">
        <is>
          <t>Yes</t>
        </is>
      </c>
      <c r="O482" s="5" t="inlineStr">
        <is>
          <t>Covered - keep wording; no change</t>
        </is>
      </c>
      <c r="P482" s="5" t="inlineStr"/>
      <c r="Q482" t="inlineStr">
        <is>
          <t>P2</t>
        </is>
      </c>
      <c r="R482" t="n">
        <v>415</v>
      </c>
      <c r="S482" s="5" t="inlineStr">
        <is>
          <t xml:space="preserve">Vous avez des questions ? Nous avons les réponses. Voici les questions les plus fréquentes des entreprises d'Agadir. 1 Avez-vous un bureau physique à Agadir ? Nous n'avons pas de bureau à Agadir : notre équipe travaille </t>
        </is>
      </c>
    </row>
    <row r="483">
      <c r="A483" s="3" t="inlineStr">
        <is>
          <t>https://codesommet.com/web-development-company/agadir</t>
        </is>
      </c>
      <c r="B483" t="n">
        <v>13</v>
      </c>
      <c r="C483" t="inlineStr">
        <is>
          <t>Content block</t>
        </is>
      </c>
      <c r="D483" s="5" t="inlineStr">
        <is>
          <t>Nous Servons Également</t>
        </is>
      </c>
      <c r="E483" t="inlineStr">
        <is>
          <t>H2</t>
        </is>
      </c>
      <c r="F483" s="5" t="inlineStr">
        <is>
          <t>Commercial (local)</t>
        </is>
      </c>
      <c r="G483" t="inlineStr">
        <is>
          <t>développeur web agadir</t>
        </is>
      </c>
      <c r="H483" t="inlineStr">
        <is>
          <t>SUPPORTING</t>
        </is>
      </c>
      <c r="I483" t="inlineStr">
        <is>
          <t>ma</t>
        </is>
      </c>
      <c r="J483" t="n">
        <v>20</v>
      </c>
      <c r="K483" t="inlineStr">
        <is>
          <t>NOT AVAILABLE</t>
        </is>
      </c>
      <c r="L483" t="n">
        <v>0</v>
      </c>
      <c r="M483" t="inlineStr">
        <is>
          <t>MEASURED</t>
        </is>
      </c>
      <c r="N483" t="inlineStr">
        <is>
          <t>Yes (supporting block)</t>
        </is>
      </c>
      <c r="O483" s="5" t="inlineStr">
        <is>
          <t>Supports the primary topic - add only if natural</t>
        </is>
      </c>
      <c r="P483" s="5" t="inlineStr"/>
      <c r="Q483" t="inlineStr">
        <is>
          <t>P2</t>
        </is>
      </c>
      <c r="R483" t="n">
        <v>21</v>
      </c>
      <c r="S483" s="5" t="inlineStr">
        <is>
          <t>Explorez nos services de développement web dans d'autres villes du Maroc Casablanca Maroc Marrakech Maroc Tanger Maroc Voir Toutes les Villes</t>
        </is>
      </c>
    </row>
    <row r="484">
      <c r="A484" s="3" t="inlineStr">
        <is>
          <t>https://codesommet.com/web-development-company/agadir</t>
        </is>
      </c>
      <c r="B484" t="n">
        <v>14</v>
      </c>
      <c r="C484" t="inlineStr">
        <is>
          <t>Content block</t>
        </is>
      </c>
      <c r="D484" s="5" t="inlineStr">
        <is>
          <t>En Savoir Plus</t>
        </is>
      </c>
      <c r="E484" t="inlineStr">
        <is>
          <t>H2</t>
        </is>
      </c>
      <c r="F484" s="5" t="inlineStr">
        <is>
          <t>Commercial (local)</t>
        </is>
      </c>
      <c r="G484" t="inlineStr">
        <is>
          <t>création site web agadir</t>
        </is>
      </c>
      <c r="H484" t="inlineStr">
        <is>
          <t>SECONDARY</t>
        </is>
      </c>
      <c r="I484" t="inlineStr">
        <is>
          <t>ma</t>
        </is>
      </c>
      <c r="J484" t="n">
        <v>90</v>
      </c>
      <c r="K484" t="inlineStr">
        <is>
          <t>NOT AVAILABLE</t>
        </is>
      </c>
      <c r="L484" t="n">
        <v>0</v>
      </c>
      <c r="M484" t="inlineStr">
        <is>
          <t>MEASURED</t>
        </is>
      </c>
      <c r="N484" t="inlineStr">
        <is>
          <t>Partly</t>
        </is>
      </c>
      <c r="O484" s="5" t="inlineStr">
        <is>
          <t>Work "création site web agadir" (or a close natural variant) into existing copy - no new heading needed</t>
        </is>
      </c>
      <c r="P484" s="5" t="inlineStr">
        <is>
          <t>Keyword/variant absent from this section</t>
        </is>
      </c>
      <c r="Q484" t="inlineStr">
        <is>
          <t>P1</t>
        </is>
      </c>
      <c r="R484" t="n">
        <v>82</v>
      </c>
      <c r="S484" s="5" t="inlineStr">
        <is>
          <t xml:space="preserve">Découvrez ce qui fait de CodeSommet votre partenaire de développement web idéal Audit Gratuit de Site Web Obtenez une analyse alimentée par l'IA avec plus de 40 vérifications En savoir plus Voir Nos Projets Explorez les </t>
        </is>
      </c>
    </row>
    <row r="485">
      <c r="A485" s="3" t="inlineStr">
        <is>
          <t>https://codesommet.com/web-development-company/agadir</t>
        </is>
      </c>
      <c r="B485" t="n">
        <v>15</v>
      </c>
      <c r="C485" t="inlineStr">
        <is>
          <t>CTA / conversion</t>
        </is>
      </c>
      <c r="D485" s="5" t="inlineStr">
        <is>
          <t>Prêt à Créer Quelque Chose d'Extraordinaire ?</t>
        </is>
      </c>
      <c r="E485" t="inlineStr">
        <is>
          <t>H2</t>
        </is>
      </c>
      <c r="F485" s="5" t="inlineStr">
        <is>
          <t>Conversion</t>
        </is>
      </c>
      <c r="G485" t="inlineStr">
        <is>
          <t>—</t>
        </is>
      </c>
      <c r="H485" t="inlineStr">
        <is>
          <t>NONE</t>
        </is>
      </c>
      <c r="I485" t="inlineStr">
        <is>
          <t>—</t>
        </is>
      </c>
      <c r="J485" t="inlineStr">
        <is>
          <t>—</t>
        </is>
      </c>
      <c r="K485" t="inlineStr">
        <is>
          <t>—</t>
        </is>
      </c>
      <c r="L485" t="inlineStr">
        <is>
          <t>—</t>
        </is>
      </c>
      <c r="M485" t="inlineStr">
        <is>
          <t>—</t>
        </is>
      </c>
      <c r="N485" t="inlineStr">
        <is>
          <t>n/a</t>
        </is>
      </c>
      <c r="O485" s="5" t="inlineStr">
        <is>
          <t>No keyword target - keep conversion/navigation focus; use descriptive, non-repeated anchor texts</t>
        </is>
      </c>
      <c r="P485" s="5" t="inlineStr"/>
      <c r="Q485" t="inlineStr">
        <is>
          <t>P2</t>
        </is>
      </c>
      <c r="R485" t="n">
        <v>117</v>
      </c>
      <c r="S485" s="5" t="inlineStr">
        <is>
          <t>Rejoignez les entreprises visionnaires qui ont choisi l'excellence Réserver un Appel Découverte Analyser Mon Site Gratuitement Réserver un Appel Découverte Analyser Votre Site Web Discutons de comment l'IA et le design m</t>
        </is>
      </c>
    </row>
    <row r="486">
      <c r="A486" s="3" t="inlineStr">
        <is>
          <t>https://codesommet.com/web-development-company/dubai</t>
        </is>
      </c>
      <c r="B486" t="n">
        <v>1</v>
      </c>
      <c r="C486" t="inlineStr">
        <is>
          <t>Hero / H1</t>
        </is>
      </c>
      <c r="D486" s="5" t="inlineStr">
        <is>
          <t>Développement Web à Dubaï, EAU : des sites web qui génèrent CROISSANCE COMMERCIALE À DUBAÏ</t>
        </is>
      </c>
      <c r="E486" t="inlineStr">
        <is>
          <t>H1</t>
        </is>
      </c>
      <c r="F486" s="5" t="inlineStr">
        <is>
          <t>Commercial (local)</t>
        </is>
      </c>
      <c r="G486" t="inlineStr">
        <is>
          <t>développement web dubai</t>
        </is>
      </c>
      <c r="H486" t="inlineStr">
        <is>
          <t>PRIMARY</t>
        </is>
      </c>
      <c r="I486" t="inlineStr">
        <is>
          <t>ae</t>
        </is>
      </c>
      <c r="J486" t="inlineStr">
        <is>
          <t>NOT AVAILABLE</t>
        </is>
      </c>
      <c r="K486" t="inlineStr">
        <is>
          <t>NOT AVAILABLE</t>
        </is>
      </c>
      <c r="L486" t="inlineStr">
        <is>
          <t>NOT AVAILABLE</t>
        </is>
      </c>
      <c r="M486" t="inlineStr">
        <is>
          <t>UNAVAILABLE</t>
        </is>
      </c>
      <c r="N486" t="inlineStr">
        <is>
          <t>Yes</t>
        </is>
      </c>
      <c r="O486" s="5" t="inlineStr">
        <is>
          <t>Covered - keep wording; no change</t>
        </is>
      </c>
      <c r="P486" s="5" t="inlineStr"/>
      <c r="Q486" t="inlineStr">
        <is>
          <t>P3</t>
        </is>
      </c>
      <c r="R486" t="n">
        <v>65</v>
      </c>
      <c r="S486" s="5" t="inlineStr">
        <is>
          <t>Studio de développement web basé au Maroc au service des entreprises du monde entier. Nous créons des sites web alimentés par l'IA et des tableaux de bord intelligents à distance. Sites web de qualité premium livrés en 7</t>
        </is>
      </c>
    </row>
    <row r="487">
      <c r="A487" s="3" t="inlineStr">
        <is>
          <t>https://codesommet.com/web-development-company/dubai</t>
        </is>
      </c>
      <c r="B487" t="n">
        <v>2</v>
      </c>
      <c r="C487" t="inlineStr">
        <is>
          <t>Why us / differentiation</t>
        </is>
      </c>
      <c r="D487" s="5" t="inlineStr">
        <is>
          <t>Pourquoi Choisir CodeSommet à Dubai ?</t>
        </is>
      </c>
      <c r="E487" t="inlineStr">
        <is>
          <t>H2</t>
        </is>
      </c>
      <c r="F487" s="5" t="inlineStr">
        <is>
          <t>Commercial investigation</t>
        </is>
      </c>
      <c r="G487" t="inlineStr">
        <is>
          <t>développement web dubai</t>
        </is>
      </c>
      <c r="H487" t="inlineStr">
        <is>
          <t>SUPPORTS PRIMARY</t>
        </is>
      </c>
      <c r="I487" t="inlineStr">
        <is>
          <t>ae</t>
        </is>
      </c>
      <c r="J487" t="inlineStr">
        <is>
          <t>NOT AVAILABLE</t>
        </is>
      </c>
      <c r="K487" t="inlineStr">
        <is>
          <t>NOT AVAILABLE</t>
        </is>
      </c>
      <c r="L487" t="inlineStr">
        <is>
          <t>NOT AVAILABLE</t>
        </is>
      </c>
      <c r="M487" t="inlineStr">
        <is>
          <t>UNAVAILABLE</t>
        </is>
      </c>
      <c r="N487" t="inlineStr">
        <is>
          <t>Yes</t>
        </is>
      </c>
      <c r="O487" s="5" t="inlineStr">
        <is>
          <t>Covered - keep wording; no change</t>
        </is>
      </c>
      <c r="P487" s="5" t="inlineStr"/>
      <c r="Q487" t="inlineStr">
        <is>
          <t>P3</t>
        </is>
      </c>
      <c r="R487" t="n">
        <v>165</v>
      </c>
      <c r="S487" s="5" t="inlineStr">
        <is>
          <t>L'expertise locale rencontre les standards internationaux. Voici ce qui fait de nous le partenaire idéal en développement web à Dubai. Experts en IA Créez des chatbots intelligents, des workflows d'automatisation, une re</t>
        </is>
      </c>
    </row>
    <row r="488">
      <c r="A488" s="3" t="inlineStr">
        <is>
          <t>https://codesommet.com/web-development-company/dubai</t>
        </is>
      </c>
      <c r="B488" t="n">
        <v>3</v>
      </c>
      <c r="C488" t="inlineStr">
        <is>
          <t>Content block</t>
        </is>
      </c>
      <c r="D488" s="5" t="inlineStr">
        <is>
          <t>Approuvé par les Entreprises de Dubai</t>
        </is>
      </c>
      <c r="E488" t="inlineStr">
        <is>
          <t>H2</t>
        </is>
      </c>
      <c r="F488" s="5" t="inlineStr">
        <is>
          <t>Commercial (local)</t>
        </is>
      </c>
      <c r="G488" t="inlineStr">
        <is>
          <t>développement web dubai</t>
        </is>
      </c>
      <c r="H488" t="inlineStr">
        <is>
          <t>SUPPORTS PRIMARY</t>
        </is>
      </c>
      <c r="I488" t="inlineStr">
        <is>
          <t>ae</t>
        </is>
      </c>
      <c r="J488" t="inlineStr">
        <is>
          <t>NOT AVAILABLE</t>
        </is>
      </c>
      <c r="K488" t="inlineStr">
        <is>
          <t>NOT AVAILABLE</t>
        </is>
      </c>
      <c r="L488" t="inlineStr">
        <is>
          <t>NOT AVAILABLE</t>
        </is>
      </c>
      <c r="M488" t="inlineStr">
        <is>
          <t>UNAVAILABLE</t>
        </is>
      </c>
      <c r="N488" t="inlineStr">
        <is>
          <t>Yes (supporting block)</t>
        </is>
      </c>
      <c r="O488" s="5" t="inlineStr">
        <is>
          <t>Supports the primary topic - add only if natural</t>
        </is>
      </c>
      <c r="P488" s="5" t="inlineStr"/>
      <c r="Q488" t="inlineStr">
        <is>
          <t>P3</t>
        </is>
      </c>
      <c r="R488" t="n">
        <v>27</v>
      </c>
      <c r="S488" s="5" t="inlineStr">
        <is>
          <t>Projets livrés à l'international Sites pensés pour la conversion Clients dans plusieurs pays Résultats réels de Dubai - des entreprises avec lesquelles nous avons collaboré Expertise Sectorielle</t>
        </is>
      </c>
    </row>
    <row r="489">
      <c r="A489" s="3" t="inlineStr">
        <is>
          <t>https://codesommet.com/web-development-company/dubai</t>
        </is>
      </c>
      <c r="B489" t="n">
        <v>4</v>
      </c>
      <c r="C489" t="inlineStr">
        <is>
          <t>Content block</t>
        </is>
      </c>
      <c r="D489" s="5" t="inlineStr">
        <is>
          <t>Dubai Nos Secteurs de Spécialisation</t>
        </is>
      </c>
      <c r="E489" t="inlineStr">
        <is>
          <t>H2</t>
        </is>
      </c>
      <c r="F489" s="5" t="inlineStr">
        <is>
          <t>Commercial (local)</t>
        </is>
      </c>
      <c r="G489" t="inlineStr">
        <is>
          <t>développement web dubai</t>
        </is>
      </c>
      <c r="H489" t="inlineStr">
        <is>
          <t>SUPPORTS PRIMARY</t>
        </is>
      </c>
      <c r="I489" t="inlineStr">
        <is>
          <t>ae</t>
        </is>
      </c>
      <c r="J489" t="inlineStr">
        <is>
          <t>NOT AVAILABLE</t>
        </is>
      </c>
      <c r="K489" t="inlineStr">
        <is>
          <t>NOT AVAILABLE</t>
        </is>
      </c>
      <c r="L489" t="inlineStr">
        <is>
          <t>NOT AVAILABLE</t>
        </is>
      </c>
      <c r="M489" t="inlineStr">
        <is>
          <t>UNAVAILABLE</t>
        </is>
      </c>
      <c r="N489" t="inlineStr">
        <is>
          <t>Yes</t>
        </is>
      </c>
      <c r="O489" s="5" t="inlineStr">
        <is>
          <t>Covered - keep wording; no change</t>
        </is>
      </c>
      <c r="P489" s="5" t="inlineStr"/>
      <c r="Q489" t="inlineStr">
        <is>
          <t>P3</t>
        </is>
      </c>
      <c r="R489" t="n">
        <v>191</v>
      </c>
      <c r="S489" s="5" t="inlineStr">
        <is>
          <t>Expertise approfondie dans les secteurs clés de Dubai . Nous comprenons les défis uniques de votre secteur et les exigences de conformité. FinTech Plateformes financières sécurisées avec traitement des paiements, conform</t>
        </is>
      </c>
    </row>
    <row r="490">
      <c r="A490" s="3" t="inlineStr">
        <is>
          <t>https://codesommet.com/web-development-company/dubai</t>
        </is>
      </c>
      <c r="B490" t="n">
        <v>5</v>
      </c>
      <c r="C490" t="inlineStr">
        <is>
          <t>Testimonials / social proof</t>
        </is>
      </c>
      <c r="D490" s="5" t="inlineStr">
        <is>
          <t>Histoires de réussite à Dubai</t>
        </is>
      </c>
      <c r="E490" t="inlineStr">
        <is>
          <t>H2</t>
        </is>
      </c>
      <c r="F490" s="5" t="inlineStr">
        <is>
          <t>Commercial investigation</t>
        </is>
      </c>
      <c r="G490" t="inlineStr">
        <is>
          <t>développement web dubai</t>
        </is>
      </c>
      <c r="H490" t="inlineStr">
        <is>
          <t>SUPPORTS PRIMARY</t>
        </is>
      </c>
      <c r="I490" t="inlineStr">
        <is>
          <t>ae</t>
        </is>
      </c>
      <c r="J490" t="inlineStr">
        <is>
          <t>NOT AVAILABLE</t>
        </is>
      </c>
      <c r="K490" t="inlineStr">
        <is>
          <t>NOT AVAILABLE</t>
        </is>
      </c>
      <c r="L490" t="inlineStr">
        <is>
          <t>NOT AVAILABLE</t>
        </is>
      </c>
      <c r="M490" t="inlineStr">
        <is>
          <t>UNAVAILABLE</t>
        </is>
      </c>
      <c r="N490" t="inlineStr">
        <is>
          <t>Yes (supporting block)</t>
        </is>
      </c>
      <c r="O490" s="5" t="inlineStr">
        <is>
          <t>Supports the primary topic - add only if natural</t>
        </is>
      </c>
      <c r="P490" s="5" t="inlineStr"/>
      <c r="Q490" t="inlineStr">
        <is>
          <t>P3</t>
        </is>
      </c>
      <c r="R490" t="n">
        <v>56</v>
      </c>
      <c r="S490" s="5" t="inlineStr">
        <is>
          <t>Des projets réels, des résultats concrets. Découvrez comment nous avons aidé des entreprises de Dubai à atteindre leurs objectifs numériques. Beauté Boutique en ligne sur mesure GlamWorlds Maroc SaaS Plateforme de gestio</t>
        </is>
      </c>
    </row>
    <row r="491">
      <c r="A491" s="3" t="inlineStr">
        <is>
          <t>https://codesommet.com/web-development-company/dubai</t>
        </is>
      </c>
      <c r="B491" t="n">
        <v>6</v>
      </c>
      <c r="C491" t="inlineStr">
        <is>
          <t>Process / how it works</t>
        </is>
      </c>
      <c r="D491" s="5" t="inlineStr">
        <is>
          <t>Comment Nous Concevons des Plateformes Immobilières Performantes pour le Marché de Dubai</t>
        </is>
      </c>
      <c r="E491" t="inlineStr">
        <is>
          <t>H2</t>
        </is>
      </c>
      <c r="F491" s="5" t="inlineStr">
        <is>
          <t>Informational / commercial</t>
        </is>
      </c>
      <c r="G491" t="inlineStr">
        <is>
          <t>développement web dubai</t>
        </is>
      </c>
      <c r="H491" t="inlineStr">
        <is>
          <t>SUPPORTS PRIMARY</t>
        </is>
      </c>
      <c r="I491" t="inlineStr">
        <is>
          <t>ae</t>
        </is>
      </c>
      <c r="J491" t="inlineStr">
        <is>
          <t>NOT AVAILABLE</t>
        </is>
      </c>
      <c r="K491" t="inlineStr">
        <is>
          <t>NOT AVAILABLE</t>
        </is>
      </c>
      <c r="L491" t="inlineStr">
        <is>
          <t>NOT AVAILABLE</t>
        </is>
      </c>
      <c r="M491" t="inlineStr">
        <is>
          <t>UNAVAILABLE</t>
        </is>
      </c>
      <c r="N491" t="inlineStr">
        <is>
          <t>Yes (supporting block)</t>
        </is>
      </c>
      <c r="O491" s="5" t="inlineStr">
        <is>
          <t>Supports the primary topic - add only if natural</t>
        </is>
      </c>
      <c r="P491" s="5" t="inlineStr"/>
      <c r="Q491" t="inlineStr">
        <is>
          <t>P3</t>
        </is>
      </c>
      <c r="R491" t="n">
        <v>201</v>
      </c>
      <c r="S491" s="5" t="inlineStr">
        <is>
          <t>Entreprises de gestion et de promotion immobilière • Immobilier &amp; PropTech • Délai adapté à la portée du projet Le Contexte Les entreprises de gestion immobilière à Dubai doivent souvent jongler avec un volume élevé de p</t>
        </is>
      </c>
    </row>
    <row r="492">
      <c r="A492" s="3" t="inlineStr">
        <is>
          <t>https://codesommet.com/web-development-company/dubai</t>
        </is>
      </c>
      <c r="B492" t="n">
        <v>7</v>
      </c>
      <c r="C492" t="inlineStr">
        <is>
          <t>Pricing / offers</t>
        </is>
      </c>
      <c r="D492" s="5" t="inlineStr">
        <is>
          <t>Solutions Sur Mesure, Tarification Transparente</t>
        </is>
      </c>
      <c r="E492" t="inlineStr">
        <is>
          <t>H2</t>
        </is>
      </c>
      <c r="F492" s="5" t="inlineStr">
        <is>
          <t>Commercial / transactional</t>
        </is>
      </c>
      <c r="G492" t="inlineStr">
        <is>
          <t>développement web dubai</t>
        </is>
      </c>
      <c r="H492" t="inlineStr">
        <is>
          <t>SUPPORTS PRIMARY</t>
        </is>
      </c>
      <c r="I492" t="inlineStr">
        <is>
          <t>ae</t>
        </is>
      </c>
      <c r="J492" t="inlineStr">
        <is>
          <t>NOT AVAILABLE</t>
        </is>
      </c>
      <c r="K492" t="inlineStr">
        <is>
          <t>NOT AVAILABLE</t>
        </is>
      </c>
      <c r="L492" t="inlineStr">
        <is>
          <t>NOT AVAILABLE</t>
        </is>
      </c>
      <c r="M492" t="inlineStr">
        <is>
          <t>UNAVAILABLE</t>
        </is>
      </c>
      <c r="N492" t="inlineStr">
        <is>
          <t>Yes (supporting block)</t>
        </is>
      </c>
      <c r="O492" s="5" t="inlineStr">
        <is>
          <t>Supports the primary topic - add only if natural</t>
        </is>
      </c>
      <c r="P492" s="5" t="inlineStr"/>
      <c r="Q492" t="inlineStr">
        <is>
          <t>P3</t>
        </is>
      </c>
      <c r="R492" t="n">
        <v>193</v>
      </c>
      <c r="S492" s="5" t="inlineStr">
        <is>
          <t>Réservez un appel découverte pour discuter de vos besoins spécifiques et obtenir un devis sur mesure Recommandé Développement de Sites Web Site web complet avec fonctionnalités IA, tableaux de bord et design premium livr</t>
        </is>
      </c>
    </row>
    <row r="493">
      <c r="A493" s="3" t="inlineStr">
        <is>
          <t>https://codesommet.com/web-development-company/dubai</t>
        </is>
      </c>
      <c r="B493" t="n">
        <v>8</v>
      </c>
      <c r="C493" t="inlineStr">
        <is>
          <t>CTA / conversion</t>
        </is>
      </c>
      <c r="D493" s="5" t="inlineStr">
        <is>
          <t>Prêt à Améliorer Votre Site Web à Dubai ?</t>
        </is>
      </c>
      <c r="E493" t="inlineStr">
        <is>
          <t>H2</t>
        </is>
      </c>
      <c r="F493" s="5" t="inlineStr">
        <is>
          <t>Conversion</t>
        </is>
      </c>
      <c r="G493" t="inlineStr">
        <is>
          <t>—</t>
        </is>
      </c>
      <c r="H493" t="inlineStr">
        <is>
          <t>NONE</t>
        </is>
      </c>
      <c r="I493" t="inlineStr">
        <is>
          <t>—</t>
        </is>
      </c>
      <c r="J493" t="inlineStr">
        <is>
          <t>—</t>
        </is>
      </c>
      <c r="K493" t="inlineStr">
        <is>
          <t>—</t>
        </is>
      </c>
      <c r="L493" t="inlineStr">
        <is>
          <t>—</t>
        </is>
      </c>
      <c r="M493" t="inlineStr">
        <is>
          <t>—</t>
        </is>
      </c>
      <c r="N493" t="inlineStr">
        <is>
          <t>n/a</t>
        </is>
      </c>
      <c r="O493" s="5" t="inlineStr">
        <is>
          <t>No keyword target - keep conversion/navigation focus; use descriptive, non-repeated anchor texts</t>
        </is>
      </c>
      <c r="P493" s="5" t="inlineStr"/>
      <c r="Q493" t="inlineStr">
        <is>
          <t>P4</t>
        </is>
      </c>
      <c r="R493" t="n">
        <v>40</v>
      </c>
      <c r="S493" s="5" t="inlineStr">
        <is>
          <t>Obtenez d'abord une analyse gratuite complète : Audit SEO Vérification des performances Revue du design Recommandations alimentées par l'IA Analyser Votre Site Web - 100% Gratuit Aucune carte de crédit requise • Résultat</t>
        </is>
      </c>
    </row>
    <row r="494">
      <c r="A494" s="3" t="inlineStr">
        <is>
          <t>https://codesommet.com/web-development-company/dubai</t>
        </is>
      </c>
      <c r="B494" t="n">
        <v>9</v>
      </c>
      <c r="C494" t="inlineStr">
        <is>
          <t>Why us / differentiation</t>
        </is>
      </c>
      <c r="D494" s="5" t="inlineStr">
        <is>
          <t>CodeSommet Dubai vs Autres</t>
        </is>
      </c>
      <c r="E494" t="inlineStr">
        <is>
          <t>H2</t>
        </is>
      </c>
      <c r="F494" s="5" t="inlineStr">
        <is>
          <t>Commercial investigation</t>
        </is>
      </c>
      <c r="G494" t="inlineStr">
        <is>
          <t>développement web dubai</t>
        </is>
      </c>
      <c r="H494" t="inlineStr">
        <is>
          <t>SUPPORTS PRIMARY</t>
        </is>
      </c>
      <c r="I494" t="inlineStr">
        <is>
          <t>ae</t>
        </is>
      </c>
      <c r="J494" t="inlineStr">
        <is>
          <t>NOT AVAILABLE</t>
        </is>
      </c>
      <c r="K494" t="inlineStr">
        <is>
          <t>NOT AVAILABLE</t>
        </is>
      </c>
      <c r="L494" t="inlineStr">
        <is>
          <t>NOT AVAILABLE</t>
        </is>
      </c>
      <c r="M494" t="inlineStr">
        <is>
          <t>UNAVAILABLE</t>
        </is>
      </c>
      <c r="N494" t="inlineStr">
        <is>
          <t>Yes</t>
        </is>
      </c>
      <c r="O494" s="5" t="inlineStr">
        <is>
          <t>Covered - keep wording; no change</t>
        </is>
      </c>
      <c r="P494" s="5" t="inlineStr"/>
      <c r="Q494" t="inlineStr">
        <is>
          <t>P3</t>
        </is>
      </c>
      <c r="R494" t="n">
        <v>98</v>
      </c>
      <c r="S494" s="5" t="inlineStr">
        <is>
          <t>Découvrez pourquoi Dubai les entreprises choisissent CodeSommet plutôt que d'autres agences locales et internationales. Fonctionnalité CodeSommet Dubai Autres Agences de Dubai Agences Internationales Révisions Illimitées</t>
        </is>
      </c>
    </row>
    <row r="495">
      <c r="A495" s="3" t="inlineStr">
        <is>
          <t>https://codesommet.com/web-development-company/dubai</t>
        </is>
      </c>
      <c r="B495" t="n">
        <v>10</v>
      </c>
      <c r="C495" t="inlineStr">
        <is>
          <t>Testimonials / social proof</t>
        </is>
      </c>
      <c r="D495" s="5" t="inlineStr">
        <is>
          <t>Ce Que les Clients de Dubai Disent de Nous</t>
        </is>
      </c>
      <c r="E495" t="inlineStr">
        <is>
          <t>H2</t>
        </is>
      </c>
      <c r="F495" s="5" t="inlineStr">
        <is>
          <t>Commercial investigation</t>
        </is>
      </c>
      <c r="G495" t="inlineStr">
        <is>
          <t>développement web dubai</t>
        </is>
      </c>
      <c r="H495" t="inlineStr">
        <is>
          <t>SUPPORTS PRIMARY</t>
        </is>
      </c>
      <c r="I495" t="inlineStr">
        <is>
          <t>ae</t>
        </is>
      </c>
      <c r="J495" t="inlineStr">
        <is>
          <t>NOT AVAILABLE</t>
        </is>
      </c>
      <c r="K495" t="inlineStr">
        <is>
          <t>NOT AVAILABLE</t>
        </is>
      </c>
      <c r="L495" t="inlineStr">
        <is>
          <t>NOT AVAILABLE</t>
        </is>
      </c>
      <c r="M495" t="inlineStr">
        <is>
          <t>UNAVAILABLE</t>
        </is>
      </c>
      <c r="N495" t="inlineStr">
        <is>
          <t>Yes (supporting block)</t>
        </is>
      </c>
      <c r="O495" s="5" t="inlineStr">
        <is>
          <t>Supports the primary topic - add only if natural</t>
        </is>
      </c>
      <c r="P495" s="5" t="inlineStr"/>
      <c r="Q495" t="inlineStr">
        <is>
          <t>P3</t>
        </is>
      </c>
      <c r="R495" t="n">
        <v>103</v>
      </c>
      <c r="S495" s="5" t="inlineStr">
        <is>
          <t>Ne nous croyez pas sur parole. Écoutez les entreprises de Dubai qui ont obtenu des résultats remarquables avec CodeSommet. "Une collaboration professionnelle du début à la fin. Je recommande sans hésiter." Mohammed Chaji</t>
        </is>
      </c>
    </row>
    <row r="496">
      <c r="A496" s="3" t="inlineStr">
        <is>
          <t>https://codesommet.com/web-development-company/dubai</t>
        </is>
      </c>
      <c r="B496" t="n">
        <v>11</v>
      </c>
      <c r="C496" t="inlineStr">
        <is>
          <t>Process / how it works</t>
        </is>
      </c>
      <c r="D496" s="5" t="inlineStr">
        <is>
          <t>Comment démarrer en 3 étapes simples</t>
        </is>
      </c>
      <c r="E496" t="inlineStr">
        <is>
          <t>H2</t>
        </is>
      </c>
      <c r="F496" s="5" t="inlineStr">
        <is>
          <t>Informational / commercial</t>
        </is>
      </c>
      <c r="G496" t="inlineStr">
        <is>
          <t>développement web dubai</t>
        </is>
      </c>
      <c r="H496" t="inlineStr">
        <is>
          <t>SUPPORTS PRIMARY</t>
        </is>
      </c>
      <c r="I496" t="inlineStr">
        <is>
          <t>ae</t>
        </is>
      </c>
      <c r="J496" t="inlineStr">
        <is>
          <t>NOT AVAILABLE</t>
        </is>
      </c>
      <c r="K496" t="inlineStr">
        <is>
          <t>NOT AVAILABLE</t>
        </is>
      </c>
      <c r="L496" t="inlineStr">
        <is>
          <t>NOT AVAILABLE</t>
        </is>
      </c>
      <c r="M496" t="inlineStr">
        <is>
          <t>UNAVAILABLE</t>
        </is>
      </c>
      <c r="N496" t="inlineStr">
        <is>
          <t>Yes (supporting block)</t>
        </is>
      </c>
      <c r="O496" s="5" t="inlineStr">
        <is>
          <t>Supports the primary topic - add only if natural</t>
        </is>
      </c>
      <c r="P496" s="5" t="inlineStr"/>
      <c r="Q496" t="inlineStr">
        <is>
          <t>P3</t>
        </is>
      </c>
      <c r="R496" t="n">
        <v>286</v>
      </c>
      <c r="S496" s="5" t="inlineStr">
        <is>
          <t>Du premier appel à la livraison du projet, découvrez exactement comment nous travaillons ensemble Étape 1 Abonnement 1 projet actif Révisions illimitées Design &amp; développement SEO &amp; contenu Recommandé Développement de Si</t>
        </is>
      </c>
    </row>
    <row r="497">
      <c r="A497" s="3" t="inlineStr">
        <is>
          <t>https://codesommet.com/web-development-company/dubai</t>
        </is>
      </c>
      <c r="B497" t="n">
        <v>12</v>
      </c>
      <c r="C497" t="inlineStr">
        <is>
          <t>FAQ</t>
        </is>
      </c>
      <c r="D497" s="5" t="inlineStr">
        <is>
          <t>Questions Fréquemment Posées sur le Développement Web à Dubai</t>
        </is>
      </c>
      <c r="E497" t="inlineStr">
        <is>
          <t>H2</t>
        </is>
      </c>
      <c r="F497" s="5" t="inlineStr">
        <is>
          <t>Informational (pre-purchase questions)</t>
        </is>
      </c>
      <c r="G497" t="inlineStr">
        <is>
          <t>développement web dubai</t>
        </is>
      </c>
      <c r="H497" t="inlineStr">
        <is>
          <t>SUPPORTS PRIMARY</t>
        </is>
      </c>
      <c r="I497" t="inlineStr">
        <is>
          <t>ae</t>
        </is>
      </c>
      <c r="J497" t="inlineStr">
        <is>
          <t>NOT AVAILABLE</t>
        </is>
      </c>
      <c r="K497" t="inlineStr">
        <is>
          <t>NOT AVAILABLE</t>
        </is>
      </c>
      <c r="L497" t="inlineStr">
        <is>
          <t>NOT AVAILABLE</t>
        </is>
      </c>
      <c r="M497" t="inlineStr">
        <is>
          <t>UNAVAILABLE</t>
        </is>
      </c>
      <c r="N497" t="inlineStr">
        <is>
          <t>Yes</t>
        </is>
      </c>
      <c r="O497" s="5" t="inlineStr">
        <is>
          <t>Covered - keep wording; no change</t>
        </is>
      </c>
      <c r="P497" s="5" t="inlineStr"/>
      <c r="Q497" t="inlineStr">
        <is>
          <t>P3</t>
        </is>
      </c>
      <c r="R497" t="n">
        <v>383</v>
      </c>
      <c r="S497" s="5" t="inlineStr">
        <is>
          <t xml:space="preserve">Vous avez des questions ? Nous avons les réponses. Voici les questions les plus fréquentes des entreprises de Dubai. 1 Avez-vous un bureau physique à Dubai ? Nous n'avons pas de bureau à Dubaï : notre équipe travaille à </t>
        </is>
      </c>
    </row>
    <row r="498">
      <c r="A498" s="3" t="inlineStr">
        <is>
          <t>https://codesommet.com/web-development-company/dubai</t>
        </is>
      </c>
      <c r="B498" t="n">
        <v>13</v>
      </c>
      <c r="C498" t="inlineStr">
        <is>
          <t>Internal-link block</t>
        </is>
      </c>
      <c r="D498" s="5" t="inlineStr">
        <is>
          <t>Nous Desservons Aussi</t>
        </is>
      </c>
      <c r="E498" t="inlineStr">
        <is>
          <t>H2</t>
        </is>
      </c>
      <c r="F498" s="5" t="inlineStr">
        <is>
          <t>Navigation</t>
        </is>
      </c>
      <c r="G498" t="inlineStr">
        <is>
          <t>—</t>
        </is>
      </c>
      <c r="H498" t="inlineStr">
        <is>
          <t>NONE</t>
        </is>
      </c>
      <c r="I498" t="inlineStr">
        <is>
          <t>—</t>
        </is>
      </c>
      <c r="J498" t="inlineStr">
        <is>
          <t>—</t>
        </is>
      </c>
      <c r="K498" t="inlineStr">
        <is>
          <t>—</t>
        </is>
      </c>
      <c r="L498" t="inlineStr">
        <is>
          <t>—</t>
        </is>
      </c>
      <c r="M498" t="inlineStr">
        <is>
          <t>—</t>
        </is>
      </c>
      <c r="N498" t="inlineStr">
        <is>
          <t>n/a</t>
        </is>
      </c>
      <c r="O498" s="5" t="inlineStr">
        <is>
          <t>No keyword target - keep conversion/navigation focus; use descriptive, non-repeated anchor texts</t>
        </is>
      </c>
      <c r="P498" s="5" t="inlineStr"/>
      <c r="Q498" t="inlineStr">
        <is>
          <t>P4</t>
        </is>
      </c>
      <c r="R498" t="n">
        <v>23</v>
      </c>
      <c r="S498" s="5" t="inlineStr">
        <is>
          <t>Explorez nos services de développement web dans d'autres villes à travers le monde Abu Dhabi UAE Riyad Arabie Saoudite Voir Toutes les Villes</t>
        </is>
      </c>
    </row>
    <row r="499">
      <c r="A499" s="3" t="inlineStr">
        <is>
          <t>https://codesommet.com/web-development-company/dubai</t>
        </is>
      </c>
      <c r="B499" t="n">
        <v>14</v>
      </c>
      <c r="C499" t="inlineStr">
        <is>
          <t>Internal-link block</t>
        </is>
      </c>
      <c r="D499" s="5" t="inlineStr">
        <is>
          <t>Explorer Plus</t>
        </is>
      </c>
      <c r="E499" t="inlineStr">
        <is>
          <t>H2</t>
        </is>
      </c>
      <c r="F499" s="5" t="inlineStr">
        <is>
          <t>Navigation</t>
        </is>
      </c>
      <c r="G499" t="inlineStr">
        <is>
          <t>—</t>
        </is>
      </c>
      <c r="H499" t="inlineStr">
        <is>
          <t>NONE</t>
        </is>
      </c>
      <c r="I499" t="inlineStr">
        <is>
          <t>—</t>
        </is>
      </c>
      <c r="J499" t="inlineStr">
        <is>
          <t>—</t>
        </is>
      </c>
      <c r="K499" t="inlineStr">
        <is>
          <t>—</t>
        </is>
      </c>
      <c r="L499" t="inlineStr">
        <is>
          <t>—</t>
        </is>
      </c>
      <c r="M499" t="inlineStr">
        <is>
          <t>—</t>
        </is>
      </c>
      <c r="N499" t="inlineStr">
        <is>
          <t>n/a</t>
        </is>
      </c>
      <c r="O499" s="5" t="inlineStr">
        <is>
          <t>No keyword target - keep conversion/navigation focus; use descriptive, non-repeated anchor texts</t>
        </is>
      </c>
      <c r="P499" s="5" t="inlineStr"/>
      <c r="Q499" t="inlineStr">
        <is>
          <t>P4</t>
        </is>
      </c>
      <c r="R499" t="n">
        <v>83</v>
      </c>
      <c r="S499" s="5" t="inlineStr">
        <is>
          <t xml:space="preserve">Découvrez ce qui fait de CodeSommet votre partenaire idéal en développement web Audit Gratuit de Site Web Obtenez une analyse alimentée par l'IA avec plus de 40 vérifications En savoir plus Voir Nos Projets Explorez les </t>
        </is>
      </c>
    </row>
    <row r="500">
      <c r="A500" s="3" t="inlineStr">
        <is>
          <t>https://codesommet.com/web-development-company/dubai</t>
        </is>
      </c>
      <c r="B500" t="n">
        <v>15</v>
      </c>
      <c r="C500" t="inlineStr">
        <is>
          <t>CTA / conversion</t>
        </is>
      </c>
      <c r="D500" s="5" t="inlineStr">
        <is>
          <t>Prêt à Créer Quelque Chose d'Extraordinaire ?</t>
        </is>
      </c>
      <c r="E500" t="inlineStr">
        <is>
          <t>H2</t>
        </is>
      </c>
      <c r="F500" s="5" t="inlineStr">
        <is>
          <t>Conversion</t>
        </is>
      </c>
      <c r="G500" t="inlineStr">
        <is>
          <t>—</t>
        </is>
      </c>
      <c r="H500" t="inlineStr">
        <is>
          <t>NONE</t>
        </is>
      </c>
      <c r="I500" t="inlineStr">
        <is>
          <t>—</t>
        </is>
      </c>
      <c r="J500" t="inlineStr">
        <is>
          <t>—</t>
        </is>
      </c>
      <c r="K500" t="inlineStr">
        <is>
          <t>—</t>
        </is>
      </c>
      <c r="L500" t="inlineStr">
        <is>
          <t>—</t>
        </is>
      </c>
      <c r="M500" t="inlineStr">
        <is>
          <t>—</t>
        </is>
      </c>
      <c r="N500" t="inlineStr">
        <is>
          <t>n/a</t>
        </is>
      </c>
      <c r="O500" s="5" t="inlineStr">
        <is>
          <t>No keyword target - keep conversion/navigation focus; use descriptive, non-repeated anchor texts</t>
        </is>
      </c>
      <c r="P500" s="5" t="inlineStr"/>
      <c r="Q500" t="inlineStr">
        <is>
          <t>P4</t>
        </is>
      </c>
      <c r="R500" t="n">
        <v>119</v>
      </c>
      <c r="S500" s="5" t="inlineStr">
        <is>
          <t>Rejoignez les entreprises visionnaires qui ont choisi l'excellence Réserver un Appel Découverte Analyser Mon Site Gratuitement Réserver un Appel Découverte Analyser Votre Site Web Discutons de la façon dont l'IA et le de</t>
        </is>
      </c>
    </row>
    <row r="501">
      <c r="A501" s="3" t="inlineStr">
        <is>
          <t>https://codesommet.com/web-development-company/abudhabi</t>
        </is>
      </c>
      <c r="B501" t="n">
        <v>1</v>
      </c>
      <c r="C501" t="inlineStr">
        <is>
          <t>Hero / H1</t>
        </is>
      </c>
      <c r="D501" s="5" t="inlineStr">
        <is>
          <t>Développement Web à Abu Dhabi, EAU : des sites web qui génèrent Portails Immobiliers</t>
        </is>
      </c>
      <c r="E501" t="inlineStr">
        <is>
          <t>H1</t>
        </is>
      </c>
      <c r="F501" s="5" t="inlineStr">
        <is>
          <t>Commercial (local)</t>
        </is>
      </c>
      <c r="G501" t="inlineStr">
        <is>
          <t>développement web abu dhabi</t>
        </is>
      </c>
      <c r="H501" t="inlineStr">
        <is>
          <t>PRIMARY</t>
        </is>
      </c>
      <c r="I501" t="inlineStr">
        <is>
          <t>ae</t>
        </is>
      </c>
      <c r="J501" t="inlineStr">
        <is>
          <t>NOT AVAILABLE</t>
        </is>
      </c>
      <c r="K501" t="inlineStr">
        <is>
          <t>NOT AVAILABLE</t>
        </is>
      </c>
      <c r="L501" t="inlineStr">
        <is>
          <t>NOT AVAILABLE</t>
        </is>
      </c>
      <c r="M501" t="inlineStr">
        <is>
          <t>UNAVAILABLE</t>
        </is>
      </c>
      <c r="N501" t="inlineStr">
        <is>
          <t>Yes</t>
        </is>
      </c>
      <c r="O501" s="5" t="inlineStr">
        <is>
          <t>Covered - keep wording; no change</t>
        </is>
      </c>
      <c r="P501" s="5" t="inlineStr"/>
      <c r="Q501" t="inlineStr">
        <is>
          <t>P3</t>
        </is>
      </c>
      <c r="R501" t="n">
        <v>68</v>
      </c>
      <c r="S501" s="5" t="inlineStr">
        <is>
          <t>Associez-vous à l'agence de développement web de confiance d'Abu Dhabi pour des sites web alimentés par l'IA et des tableaux de bord intelligents. Nous sommes spécialisés dans la création de solutions sécurisées et évolu</t>
        </is>
      </c>
    </row>
    <row r="502">
      <c r="A502" s="3" t="inlineStr">
        <is>
          <t>https://codesommet.com/web-development-company/abudhabi</t>
        </is>
      </c>
      <c r="B502" t="n">
        <v>2</v>
      </c>
      <c r="C502" t="inlineStr">
        <is>
          <t>Why us / differentiation</t>
        </is>
      </c>
      <c r="D502" s="5" t="inlineStr">
        <is>
          <t>Pourquoi Choisir CodeSommet à Abu Dhabi ?</t>
        </is>
      </c>
      <c r="E502" t="inlineStr">
        <is>
          <t>H2</t>
        </is>
      </c>
      <c r="F502" s="5" t="inlineStr">
        <is>
          <t>Commercial investigation</t>
        </is>
      </c>
      <c r="G502" t="inlineStr">
        <is>
          <t>développement web abu dhabi</t>
        </is>
      </c>
      <c r="H502" t="inlineStr">
        <is>
          <t>SUPPORTS PRIMARY</t>
        </is>
      </c>
      <c r="I502" t="inlineStr">
        <is>
          <t>ae</t>
        </is>
      </c>
      <c r="J502" t="inlineStr">
        <is>
          <t>NOT AVAILABLE</t>
        </is>
      </c>
      <c r="K502" t="inlineStr">
        <is>
          <t>NOT AVAILABLE</t>
        </is>
      </c>
      <c r="L502" t="inlineStr">
        <is>
          <t>NOT AVAILABLE</t>
        </is>
      </c>
      <c r="M502" t="inlineStr">
        <is>
          <t>UNAVAILABLE</t>
        </is>
      </c>
      <c r="N502" t="inlineStr">
        <is>
          <t>Yes</t>
        </is>
      </c>
      <c r="O502" s="5" t="inlineStr">
        <is>
          <t>Covered - keep wording; no change</t>
        </is>
      </c>
      <c r="P502" s="5" t="inlineStr"/>
      <c r="Q502" t="inlineStr">
        <is>
          <t>P3</t>
        </is>
      </c>
      <c r="R502" t="n">
        <v>158</v>
      </c>
      <c r="S502" s="5" t="inlineStr">
        <is>
          <t>L'expertise locale rencontre les standards mondiaux. Voici ce qui fait de nous le partenaire de développement web idéal à Abu Dhabi. Experts en IA Créez des chatbots intelligents, des workflows d'automatisation, des anal</t>
        </is>
      </c>
    </row>
    <row r="503">
      <c r="A503" s="3" t="inlineStr">
        <is>
          <t>https://codesommet.com/web-development-company/abudhabi</t>
        </is>
      </c>
      <c r="B503" t="n">
        <v>3</v>
      </c>
      <c r="C503" t="inlineStr">
        <is>
          <t>Content block</t>
        </is>
      </c>
      <c r="D503" s="5" t="inlineStr">
        <is>
          <t>Approuvé par Abu Dhabi Entreprises</t>
        </is>
      </c>
      <c r="E503" t="inlineStr">
        <is>
          <t>H2</t>
        </is>
      </c>
      <c r="F503" s="5" t="inlineStr">
        <is>
          <t>Commercial (local)</t>
        </is>
      </c>
      <c r="G503" t="inlineStr">
        <is>
          <t>développement web abu dhabi</t>
        </is>
      </c>
      <c r="H503" t="inlineStr">
        <is>
          <t>SUPPORTS PRIMARY</t>
        </is>
      </c>
      <c r="I503" t="inlineStr">
        <is>
          <t>ae</t>
        </is>
      </c>
      <c r="J503" t="inlineStr">
        <is>
          <t>NOT AVAILABLE</t>
        </is>
      </c>
      <c r="K503" t="inlineStr">
        <is>
          <t>NOT AVAILABLE</t>
        </is>
      </c>
      <c r="L503" t="inlineStr">
        <is>
          <t>NOT AVAILABLE</t>
        </is>
      </c>
      <c r="M503" t="inlineStr">
        <is>
          <t>UNAVAILABLE</t>
        </is>
      </c>
      <c r="N503" t="inlineStr">
        <is>
          <t>Yes (supporting block)</t>
        </is>
      </c>
      <c r="O503" s="5" t="inlineStr">
        <is>
          <t>Supports the primary topic - add only if natural</t>
        </is>
      </c>
      <c r="P503" s="5" t="inlineStr"/>
      <c r="Q503" t="inlineStr">
        <is>
          <t>P3</t>
        </is>
      </c>
      <c r="R503" t="n">
        <v>28</v>
      </c>
      <c r="S503" s="5" t="inlineStr">
        <is>
          <t>Projets livrés à l'international Sites pensés pour la conversion Clients dans plusieurs pays De vrais résultats de Abu Dhabi - entreprises avec lesquelles nous avons collaboré Expertise Sectorielle</t>
        </is>
      </c>
    </row>
    <row r="504">
      <c r="A504" s="3" t="inlineStr">
        <is>
          <t>https://codesommet.com/web-development-company/abudhabi</t>
        </is>
      </c>
      <c r="B504" t="n">
        <v>4</v>
      </c>
      <c r="C504" t="inlineStr">
        <is>
          <t>Content block</t>
        </is>
      </c>
      <c r="D504" s="5" t="inlineStr">
        <is>
          <t>Abu Dhabi Nos Secteurs de Spécialisation</t>
        </is>
      </c>
      <c r="E504" t="inlineStr">
        <is>
          <t>H2</t>
        </is>
      </c>
      <c r="F504" s="5" t="inlineStr">
        <is>
          <t>Commercial (local)</t>
        </is>
      </c>
      <c r="G504" t="inlineStr">
        <is>
          <t>développement web abu dhabi</t>
        </is>
      </c>
      <c r="H504" t="inlineStr">
        <is>
          <t>SUPPORTS PRIMARY</t>
        </is>
      </c>
      <c r="I504" t="inlineStr">
        <is>
          <t>ae</t>
        </is>
      </c>
      <c r="J504" t="inlineStr">
        <is>
          <t>NOT AVAILABLE</t>
        </is>
      </c>
      <c r="K504" t="inlineStr">
        <is>
          <t>NOT AVAILABLE</t>
        </is>
      </c>
      <c r="L504" t="inlineStr">
        <is>
          <t>NOT AVAILABLE</t>
        </is>
      </c>
      <c r="M504" t="inlineStr">
        <is>
          <t>UNAVAILABLE</t>
        </is>
      </c>
      <c r="N504" t="inlineStr">
        <is>
          <t>Yes</t>
        </is>
      </c>
      <c r="O504" s="5" t="inlineStr">
        <is>
          <t>Covered - keep wording; no change</t>
        </is>
      </c>
      <c r="P504" s="5" t="inlineStr"/>
      <c r="Q504" t="inlineStr">
        <is>
          <t>P3</t>
        </is>
      </c>
      <c r="R504" t="n">
        <v>197</v>
      </c>
      <c r="S504" s="5" t="inlineStr">
        <is>
          <t>Expertise approfondie dans Abu Dhabi . Nous comprenons les défis uniques de votre secteur et les exigences de conformité. FinTech Plateformes financières sécurisées avec traitement des paiements, conformité et fonctionna</t>
        </is>
      </c>
    </row>
    <row r="505">
      <c r="A505" s="3" t="inlineStr">
        <is>
          <t>https://codesommet.com/web-development-company/abudhabi</t>
        </is>
      </c>
      <c r="B505" t="n">
        <v>5</v>
      </c>
      <c r="C505" t="inlineStr">
        <is>
          <t>Testimonials / social proof</t>
        </is>
      </c>
      <c r="D505" s="5" t="inlineStr">
        <is>
          <t>Histoires de Succès de Abu Dhabi</t>
        </is>
      </c>
      <c r="E505" t="inlineStr">
        <is>
          <t>H2</t>
        </is>
      </c>
      <c r="F505" s="5" t="inlineStr">
        <is>
          <t>Commercial investigation</t>
        </is>
      </c>
      <c r="G505" t="inlineStr">
        <is>
          <t>développement web abu dhabi</t>
        </is>
      </c>
      <c r="H505" t="inlineStr">
        <is>
          <t>SUPPORTS PRIMARY</t>
        </is>
      </c>
      <c r="I505" t="inlineStr">
        <is>
          <t>ae</t>
        </is>
      </c>
      <c r="J505" t="inlineStr">
        <is>
          <t>NOT AVAILABLE</t>
        </is>
      </c>
      <c r="K505" t="inlineStr">
        <is>
          <t>NOT AVAILABLE</t>
        </is>
      </c>
      <c r="L505" t="inlineStr">
        <is>
          <t>NOT AVAILABLE</t>
        </is>
      </c>
      <c r="M505" t="inlineStr">
        <is>
          <t>UNAVAILABLE</t>
        </is>
      </c>
      <c r="N505" t="inlineStr">
        <is>
          <t>Yes (supporting block)</t>
        </is>
      </c>
      <c r="O505" s="5" t="inlineStr">
        <is>
          <t>Supports the primary topic - add only if natural</t>
        </is>
      </c>
      <c r="P505" s="5" t="inlineStr"/>
      <c r="Q505" t="inlineStr">
        <is>
          <t>P3</t>
        </is>
      </c>
      <c r="R505" t="n">
        <v>57</v>
      </c>
      <c r="S505" s="5" t="inlineStr">
        <is>
          <t>De vrais projets, de vrais résultats. Découvrez comment nous avons aidé les entreprises à Abu Dhabi atteindre leurs objectifs numériques. Beauté Boutique en ligne sur mesure GlamWorlds Maroc SaaS Plateforme de gestion as</t>
        </is>
      </c>
    </row>
    <row r="506">
      <c r="A506" s="3" t="inlineStr">
        <is>
          <t>https://codesommet.com/web-development-company/abudhabi</t>
        </is>
      </c>
      <c r="B506" t="n">
        <v>6</v>
      </c>
      <c r="C506" t="inlineStr">
        <is>
          <t>Process / how it works</t>
        </is>
      </c>
      <c r="D506" s="5" t="inlineStr">
        <is>
          <t>Notre Approche pour les Plateformes Gouvernementales et Institutionnelles</t>
        </is>
      </c>
      <c r="E506" t="inlineStr">
        <is>
          <t>H2</t>
        </is>
      </c>
      <c r="F506" s="5" t="inlineStr">
        <is>
          <t>Informational / commercial</t>
        </is>
      </c>
      <c r="G506" t="inlineStr">
        <is>
          <t>développement web abu dhabi</t>
        </is>
      </c>
      <c r="H506" t="inlineStr">
        <is>
          <t>SUPPORTS PRIMARY</t>
        </is>
      </c>
      <c r="I506" t="inlineStr">
        <is>
          <t>ae</t>
        </is>
      </c>
      <c r="J506" t="inlineStr">
        <is>
          <t>NOT AVAILABLE</t>
        </is>
      </c>
      <c r="K506" t="inlineStr">
        <is>
          <t>NOT AVAILABLE</t>
        </is>
      </c>
      <c r="L506" t="inlineStr">
        <is>
          <t>NOT AVAILABLE</t>
        </is>
      </c>
      <c r="M506" t="inlineStr">
        <is>
          <t>UNAVAILABLE</t>
        </is>
      </c>
      <c r="N506" t="inlineStr">
        <is>
          <t>Yes</t>
        </is>
      </c>
      <c r="O506" s="5" t="inlineStr">
        <is>
          <t>Covered - keep wording; no change</t>
        </is>
      </c>
      <c r="P506" s="5" t="inlineStr"/>
      <c r="Q506" t="inlineStr">
        <is>
          <t>P3</t>
        </is>
      </c>
      <c r="R506" t="n">
        <v>140</v>
      </c>
      <c r="S506" s="5" t="inlineStr">
        <is>
          <t>Développement de portails numériques pour le secteur public et parapublic • Govtech • Délai adapté à la portée du projet Le Défi Les organismes publics et semi-publics à Abu Dhabi ont besoin de portails fiables, avec aut</t>
        </is>
      </c>
    </row>
    <row r="507">
      <c r="A507" s="3" t="inlineStr">
        <is>
          <t>https://codesommet.com/web-development-company/abudhabi</t>
        </is>
      </c>
      <c r="B507" t="n">
        <v>7</v>
      </c>
      <c r="C507" t="inlineStr">
        <is>
          <t>Pricing / offers</t>
        </is>
      </c>
      <c r="D507" s="5" t="inlineStr">
        <is>
          <t>Solutions Personnalisées, Tarification Transparente</t>
        </is>
      </c>
      <c r="E507" t="inlineStr">
        <is>
          <t>H2</t>
        </is>
      </c>
      <c r="F507" s="5" t="inlineStr">
        <is>
          <t>Commercial / transactional</t>
        </is>
      </c>
      <c r="G507" t="inlineStr">
        <is>
          <t>développement web abu dhabi</t>
        </is>
      </c>
      <c r="H507" t="inlineStr">
        <is>
          <t>SUPPORTS PRIMARY</t>
        </is>
      </c>
      <c r="I507" t="inlineStr">
        <is>
          <t>ae</t>
        </is>
      </c>
      <c r="J507" t="inlineStr">
        <is>
          <t>NOT AVAILABLE</t>
        </is>
      </c>
      <c r="K507" t="inlineStr">
        <is>
          <t>NOT AVAILABLE</t>
        </is>
      </c>
      <c r="L507" t="inlineStr">
        <is>
          <t>NOT AVAILABLE</t>
        </is>
      </c>
      <c r="M507" t="inlineStr">
        <is>
          <t>UNAVAILABLE</t>
        </is>
      </c>
      <c r="N507" t="inlineStr">
        <is>
          <t>Yes (supporting block)</t>
        </is>
      </c>
      <c r="O507" s="5" t="inlineStr">
        <is>
          <t>Supports the primary topic - add only if natural</t>
        </is>
      </c>
      <c r="P507" s="5" t="inlineStr"/>
      <c r="Q507" t="inlineStr">
        <is>
          <t>P3</t>
        </is>
      </c>
      <c r="R507" t="n">
        <v>184</v>
      </c>
      <c r="S507" s="5" t="inlineStr">
        <is>
          <t>Réservez un appel découverte pour discuter de vos besoins spécifiques et obtenir un devis personnalisé Recommandé Développement Web Site web complet avec fonctionnalités IA, tableaux de bord et design premium livré en 2-</t>
        </is>
      </c>
    </row>
    <row r="508">
      <c r="A508" s="3" t="inlineStr">
        <is>
          <t>https://codesommet.com/web-development-company/abudhabi</t>
        </is>
      </c>
      <c r="B508" t="n">
        <v>8</v>
      </c>
      <c r="C508" t="inlineStr">
        <is>
          <t>CTA / conversion</t>
        </is>
      </c>
      <c r="D508" s="5" t="inlineStr">
        <is>
          <t>Prêt à Améliorer Votre Site Web à Abu Dhabi ?</t>
        </is>
      </c>
      <c r="E508" t="inlineStr">
        <is>
          <t>H2</t>
        </is>
      </c>
      <c r="F508" s="5" t="inlineStr">
        <is>
          <t>Conversion</t>
        </is>
      </c>
      <c r="G508" t="inlineStr">
        <is>
          <t>—</t>
        </is>
      </c>
      <c r="H508" t="inlineStr">
        <is>
          <t>NONE</t>
        </is>
      </c>
      <c r="I508" t="inlineStr">
        <is>
          <t>—</t>
        </is>
      </c>
      <c r="J508" t="inlineStr">
        <is>
          <t>—</t>
        </is>
      </c>
      <c r="K508" t="inlineStr">
        <is>
          <t>—</t>
        </is>
      </c>
      <c r="L508" t="inlineStr">
        <is>
          <t>—</t>
        </is>
      </c>
      <c r="M508" t="inlineStr">
        <is>
          <t>—</t>
        </is>
      </c>
      <c r="N508" t="inlineStr">
        <is>
          <t>n/a</t>
        </is>
      </c>
      <c r="O508" s="5" t="inlineStr">
        <is>
          <t>No keyword target - keep conversion/navigation focus; use descriptive, non-repeated anchor texts</t>
        </is>
      </c>
      <c r="P508" s="5" t="inlineStr"/>
      <c r="Q508" t="inlineStr">
        <is>
          <t>P4</t>
        </is>
      </c>
      <c r="R508" t="n">
        <v>40</v>
      </c>
      <c r="S508" s="5" t="inlineStr">
        <is>
          <t xml:space="preserve">Obtenez d'abord une analyse gratuite complète : Audit SEO Vérification de performance Revue de design Recommandations alimentées par l'IA Analyser Votre Site Web - 100% Gratuit Aucune carte de crédit requise • Résultats </t>
        </is>
      </c>
    </row>
    <row r="509">
      <c r="A509" s="3" t="inlineStr">
        <is>
          <t>https://codesommet.com/web-development-company/abudhabi</t>
        </is>
      </c>
      <c r="B509" t="n">
        <v>9</v>
      </c>
      <c r="C509" t="inlineStr">
        <is>
          <t>Why us / differentiation</t>
        </is>
      </c>
      <c r="D509" s="5" t="inlineStr">
        <is>
          <t>CodeSommet Abu Dhabi vs Autres</t>
        </is>
      </c>
      <c r="E509" t="inlineStr">
        <is>
          <t>H2</t>
        </is>
      </c>
      <c r="F509" s="5" t="inlineStr">
        <is>
          <t>Commercial investigation</t>
        </is>
      </c>
      <c r="G509" t="inlineStr">
        <is>
          <t>développement web abu dhabi</t>
        </is>
      </c>
      <c r="H509" t="inlineStr">
        <is>
          <t>SUPPORTS PRIMARY</t>
        </is>
      </c>
      <c r="I509" t="inlineStr">
        <is>
          <t>ae</t>
        </is>
      </c>
      <c r="J509" t="inlineStr">
        <is>
          <t>NOT AVAILABLE</t>
        </is>
      </c>
      <c r="K509" t="inlineStr">
        <is>
          <t>NOT AVAILABLE</t>
        </is>
      </c>
      <c r="L509" t="inlineStr">
        <is>
          <t>NOT AVAILABLE</t>
        </is>
      </c>
      <c r="M509" t="inlineStr">
        <is>
          <t>UNAVAILABLE</t>
        </is>
      </c>
      <c r="N509" t="inlineStr">
        <is>
          <t>Yes</t>
        </is>
      </c>
      <c r="O509" s="5" t="inlineStr">
        <is>
          <t>Covered - keep wording; no change</t>
        </is>
      </c>
      <c r="P509" s="5" t="inlineStr"/>
      <c r="Q509" t="inlineStr">
        <is>
          <t>P3</t>
        </is>
      </c>
      <c r="R509" t="n">
        <v>99</v>
      </c>
      <c r="S509" s="5" t="inlineStr">
        <is>
          <t>Découvrez pourquoi Abu Dhabi entreprises choisissent CodeSommet plutôt que d'autres agences locales et concurrents internationaux. Fonctionnalité CodeSommet Abu Dhabi Autres Abu Dhabi Agences Agences Internationales Révi</t>
        </is>
      </c>
    </row>
    <row r="510">
      <c r="A510" s="3" t="inlineStr">
        <is>
          <t>https://codesommet.com/web-development-company/abudhabi</t>
        </is>
      </c>
      <c r="B510" t="n">
        <v>10</v>
      </c>
      <c r="C510" t="inlineStr">
        <is>
          <t>Testimonials / social proof</t>
        </is>
      </c>
      <c r="D510" s="5" t="inlineStr">
        <is>
          <t>Quoi Abu Dhabi Nos Clients Disent de Nous</t>
        </is>
      </c>
      <c r="E510" t="inlineStr">
        <is>
          <t>H2</t>
        </is>
      </c>
      <c r="F510" s="5" t="inlineStr">
        <is>
          <t>Commercial investigation</t>
        </is>
      </c>
      <c r="G510" t="inlineStr">
        <is>
          <t>développement web abu dhabi</t>
        </is>
      </c>
      <c r="H510" t="inlineStr">
        <is>
          <t>SUPPORTS PRIMARY</t>
        </is>
      </c>
      <c r="I510" t="inlineStr">
        <is>
          <t>ae</t>
        </is>
      </c>
      <c r="J510" t="inlineStr">
        <is>
          <t>NOT AVAILABLE</t>
        </is>
      </c>
      <c r="K510" t="inlineStr">
        <is>
          <t>NOT AVAILABLE</t>
        </is>
      </c>
      <c r="L510" t="inlineStr">
        <is>
          <t>NOT AVAILABLE</t>
        </is>
      </c>
      <c r="M510" t="inlineStr">
        <is>
          <t>UNAVAILABLE</t>
        </is>
      </c>
      <c r="N510" t="inlineStr">
        <is>
          <t>Yes (supporting block)</t>
        </is>
      </c>
      <c r="O510" s="5" t="inlineStr">
        <is>
          <t>Supports the primary topic - add only if natural</t>
        </is>
      </c>
      <c r="P510" s="5" t="inlineStr"/>
      <c r="Q510" t="inlineStr">
        <is>
          <t>P3</t>
        </is>
      </c>
      <c r="R510" t="n">
        <v>105</v>
      </c>
      <c r="S510" s="5" t="inlineStr">
        <is>
          <t>Ne vous fiez pas seulement à notre parole. Écoutez les entreprises de Abu Dhabi qui ont obtenu des résultats remarquables avec CodeSommet. "Une collaboration professionnelle du début à la fin. Je recommande sans hésiter.</t>
        </is>
      </c>
    </row>
    <row r="511">
      <c r="A511" s="3" t="inlineStr">
        <is>
          <t>https://codesommet.com/web-development-company/abudhabi</t>
        </is>
      </c>
      <c r="B511" t="n">
        <v>11</v>
      </c>
      <c r="C511" t="inlineStr">
        <is>
          <t>Process / how it works</t>
        </is>
      </c>
      <c r="D511" s="5" t="inlineStr">
        <is>
          <t>Comment démarrer en 3 étapes simples</t>
        </is>
      </c>
      <c r="E511" t="inlineStr">
        <is>
          <t>H2</t>
        </is>
      </c>
      <c r="F511" s="5" t="inlineStr">
        <is>
          <t>Informational / commercial</t>
        </is>
      </c>
      <c r="G511" t="inlineStr">
        <is>
          <t>développement web abu dhabi</t>
        </is>
      </c>
      <c r="H511" t="inlineStr">
        <is>
          <t>SUPPORTS PRIMARY</t>
        </is>
      </c>
      <c r="I511" t="inlineStr">
        <is>
          <t>ae</t>
        </is>
      </c>
      <c r="J511" t="inlineStr">
        <is>
          <t>NOT AVAILABLE</t>
        </is>
      </c>
      <c r="K511" t="inlineStr">
        <is>
          <t>NOT AVAILABLE</t>
        </is>
      </c>
      <c r="L511" t="inlineStr">
        <is>
          <t>NOT AVAILABLE</t>
        </is>
      </c>
      <c r="M511" t="inlineStr">
        <is>
          <t>UNAVAILABLE</t>
        </is>
      </c>
      <c r="N511" t="inlineStr">
        <is>
          <t>Yes (supporting block)</t>
        </is>
      </c>
      <c r="O511" s="5" t="inlineStr">
        <is>
          <t>Supports the primary topic - add only if natural</t>
        </is>
      </c>
      <c r="P511" s="5" t="inlineStr"/>
      <c r="Q511" t="inlineStr">
        <is>
          <t>P3</t>
        </is>
      </c>
      <c r="R511" t="n">
        <v>286</v>
      </c>
      <c r="S511" s="5" t="inlineStr">
        <is>
          <t>Du premier appel à la livraison du projet, découvrez exactement comment nous travaillons ensemble Étape 1 Abonnement 1 projet actif Révisions illimitées Design &amp; développement SEO &amp; contenu Recommandé Développement de Si</t>
        </is>
      </c>
    </row>
    <row r="512">
      <c r="A512" s="3" t="inlineStr">
        <is>
          <t>https://codesommet.com/web-development-company/abudhabi</t>
        </is>
      </c>
      <c r="B512" t="n">
        <v>12</v>
      </c>
      <c r="C512" t="inlineStr">
        <is>
          <t>FAQ</t>
        </is>
      </c>
      <c r="D512" s="5" t="inlineStr">
        <is>
          <t>Questions Fréquemment Posées Sur le Développement Web à Abu Dhabi</t>
        </is>
      </c>
      <c r="E512" t="inlineStr">
        <is>
          <t>H2</t>
        </is>
      </c>
      <c r="F512" s="5" t="inlineStr">
        <is>
          <t>Informational (pre-purchase questions)</t>
        </is>
      </c>
      <c r="G512" t="inlineStr">
        <is>
          <t>développement web abu dhabi</t>
        </is>
      </c>
      <c r="H512" t="inlineStr">
        <is>
          <t>SUPPORTS PRIMARY</t>
        </is>
      </c>
      <c r="I512" t="inlineStr">
        <is>
          <t>ae</t>
        </is>
      </c>
      <c r="J512" t="inlineStr">
        <is>
          <t>NOT AVAILABLE</t>
        </is>
      </c>
      <c r="K512" t="inlineStr">
        <is>
          <t>NOT AVAILABLE</t>
        </is>
      </c>
      <c r="L512" t="inlineStr">
        <is>
          <t>NOT AVAILABLE</t>
        </is>
      </c>
      <c r="M512" t="inlineStr">
        <is>
          <t>UNAVAILABLE</t>
        </is>
      </c>
      <c r="N512" t="inlineStr">
        <is>
          <t>Yes</t>
        </is>
      </c>
      <c r="O512" s="5" t="inlineStr">
        <is>
          <t>Covered - keep wording; no change</t>
        </is>
      </c>
      <c r="P512" s="5" t="inlineStr"/>
      <c r="Q512" t="inlineStr">
        <is>
          <t>P3</t>
        </is>
      </c>
      <c r="R512" t="n">
        <v>371</v>
      </c>
      <c r="S512" s="5" t="inlineStr">
        <is>
          <t xml:space="preserve">Vous avez des questions ? Nous avons les réponses. Voici les questions les plus fréquentes de Abu Dhabi entreprises. 1 Pourquoi choisir CodeSommet plutôt que les agences de développement web d'Abu Dhabi ? Parce que nous </t>
        </is>
      </c>
    </row>
    <row r="513">
      <c r="A513" s="3" t="inlineStr">
        <is>
          <t>https://codesommet.com/web-development-company/abudhabi</t>
        </is>
      </c>
      <c r="B513" t="n">
        <v>13</v>
      </c>
      <c r="C513" t="inlineStr">
        <is>
          <t>Content block</t>
        </is>
      </c>
      <c r="D513" s="5" t="inlineStr">
        <is>
          <t>Nous Servons Également</t>
        </is>
      </c>
      <c r="E513" t="inlineStr">
        <is>
          <t>H2</t>
        </is>
      </c>
      <c r="F513" s="5" t="inlineStr">
        <is>
          <t>Commercial (local)</t>
        </is>
      </c>
      <c r="G513" t="inlineStr">
        <is>
          <t>développement web abu dhabi</t>
        </is>
      </c>
      <c r="H513" t="inlineStr">
        <is>
          <t>SUPPORTS PRIMARY</t>
        </is>
      </c>
      <c r="I513" t="inlineStr">
        <is>
          <t>ae</t>
        </is>
      </c>
      <c r="J513" t="inlineStr">
        <is>
          <t>NOT AVAILABLE</t>
        </is>
      </c>
      <c r="K513" t="inlineStr">
        <is>
          <t>NOT AVAILABLE</t>
        </is>
      </c>
      <c r="L513" t="inlineStr">
        <is>
          <t>NOT AVAILABLE</t>
        </is>
      </c>
      <c r="M513" t="inlineStr">
        <is>
          <t>UNAVAILABLE</t>
        </is>
      </c>
      <c r="N513" t="inlineStr">
        <is>
          <t>Yes (supporting block)</t>
        </is>
      </c>
      <c r="O513" s="5" t="inlineStr">
        <is>
          <t>Supports the primary topic - add only if natural</t>
        </is>
      </c>
      <c r="P513" s="5" t="inlineStr"/>
      <c r="Q513" t="inlineStr">
        <is>
          <t>P3</t>
        </is>
      </c>
      <c r="R513" t="n">
        <v>21</v>
      </c>
      <c r="S513" s="5" t="inlineStr">
        <is>
          <t>Explorez nos services de développement web dans d'autres villes à travers le monde Dubai UAE Riyad Arabie Saoudite Voir Tout Locations</t>
        </is>
      </c>
    </row>
    <row r="514">
      <c r="A514" s="3" t="inlineStr">
        <is>
          <t>https://codesommet.com/web-development-company/abudhabi</t>
        </is>
      </c>
      <c r="B514" t="n">
        <v>14</v>
      </c>
      <c r="C514" t="inlineStr">
        <is>
          <t>Content block</t>
        </is>
      </c>
      <c r="D514" s="5" t="inlineStr">
        <is>
          <t>En Savoir Plus</t>
        </is>
      </c>
      <c r="E514" t="inlineStr">
        <is>
          <t>H2</t>
        </is>
      </c>
      <c r="F514" s="5" t="inlineStr">
        <is>
          <t>Commercial (local)</t>
        </is>
      </c>
      <c r="G514" t="inlineStr">
        <is>
          <t>développement web abu dhabi</t>
        </is>
      </c>
      <c r="H514" t="inlineStr">
        <is>
          <t>SUPPORTS PRIMARY</t>
        </is>
      </c>
      <c r="I514" t="inlineStr">
        <is>
          <t>ae</t>
        </is>
      </c>
      <c r="J514" t="inlineStr">
        <is>
          <t>NOT AVAILABLE</t>
        </is>
      </c>
      <c r="K514" t="inlineStr">
        <is>
          <t>NOT AVAILABLE</t>
        </is>
      </c>
      <c r="L514" t="inlineStr">
        <is>
          <t>NOT AVAILABLE</t>
        </is>
      </c>
      <c r="M514" t="inlineStr">
        <is>
          <t>UNAVAILABLE</t>
        </is>
      </c>
      <c r="N514" t="inlineStr">
        <is>
          <t>Yes (supporting block)</t>
        </is>
      </c>
      <c r="O514" s="5" t="inlineStr">
        <is>
          <t>Supports the primary topic - add only if natural</t>
        </is>
      </c>
      <c r="P514" s="5" t="inlineStr"/>
      <c r="Q514" t="inlineStr">
        <is>
          <t>P3</t>
        </is>
      </c>
      <c r="R514" t="n">
        <v>82</v>
      </c>
      <c r="S514" s="5" t="inlineStr">
        <is>
          <t xml:space="preserve">Découvrez ce qui fait de CodeSommet votre partenaire de développement web idéal Audit Gratuit de Site Web Obtenez une analyse alimentée par l'IA avec plus de 40 vérifications En savoir plus Voir Nos Projets Explorez les </t>
        </is>
      </c>
    </row>
    <row r="515">
      <c r="A515" s="3" t="inlineStr">
        <is>
          <t>https://codesommet.com/web-development-company/abudhabi</t>
        </is>
      </c>
      <c r="B515" t="n">
        <v>15</v>
      </c>
      <c r="C515" t="inlineStr">
        <is>
          <t>CTA / conversion</t>
        </is>
      </c>
      <c r="D515" s="5" t="inlineStr">
        <is>
          <t>Prêt à Créer Quelque Chose d'Extraordinaire ?</t>
        </is>
      </c>
      <c r="E515" t="inlineStr">
        <is>
          <t>H2</t>
        </is>
      </c>
      <c r="F515" s="5" t="inlineStr">
        <is>
          <t>Conversion</t>
        </is>
      </c>
      <c r="G515" t="inlineStr">
        <is>
          <t>—</t>
        </is>
      </c>
      <c r="H515" t="inlineStr">
        <is>
          <t>NONE</t>
        </is>
      </c>
      <c r="I515" t="inlineStr">
        <is>
          <t>—</t>
        </is>
      </c>
      <c r="J515" t="inlineStr">
        <is>
          <t>—</t>
        </is>
      </c>
      <c r="K515" t="inlineStr">
        <is>
          <t>—</t>
        </is>
      </c>
      <c r="L515" t="inlineStr">
        <is>
          <t>—</t>
        </is>
      </c>
      <c r="M515" t="inlineStr">
        <is>
          <t>—</t>
        </is>
      </c>
      <c r="N515" t="inlineStr">
        <is>
          <t>n/a</t>
        </is>
      </c>
      <c r="O515" s="5" t="inlineStr">
        <is>
          <t>No keyword target - keep conversion/navigation focus; use descriptive, non-repeated anchor texts</t>
        </is>
      </c>
      <c r="P515" s="5" t="inlineStr"/>
      <c r="Q515" t="inlineStr">
        <is>
          <t>P4</t>
        </is>
      </c>
      <c r="R515" t="n">
        <v>117</v>
      </c>
      <c r="S515" s="5" t="inlineStr">
        <is>
          <t>Rejoignez les entreprises visionnaires qui ont choisi l'excellence Réserver un Appel Découverte Analyser Mon Site Gratuitement Réserver un Appel Découverte Analyser Votre Site Web Discutons de comment l'IA et le design m</t>
        </is>
      </c>
    </row>
    <row r="516">
      <c r="A516" s="3" t="inlineStr">
        <is>
          <t>https://codesommet.com/web-development-company/riyadh</t>
        </is>
      </c>
      <c r="B516" t="n">
        <v>1</v>
      </c>
      <c r="C516" t="inlineStr">
        <is>
          <t>Hero / H1</t>
        </is>
      </c>
      <c r="D516" s="5" t="inlineStr">
        <is>
          <t>Développement Web à Riyad, Arabie Saoudite : des sites web qui génèrent CROISSANCE COMMERCIALE À RIYAD</t>
        </is>
      </c>
      <c r="E516" t="inlineStr">
        <is>
          <t>H1</t>
        </is>
      </c>
      <c r="F516" s="5" t="inlineStr">
        <is>
          <t>Commercial (local)</t>
        </is>
      </c>
      <c r="G516" t="inlineStr">
        <is>
          <t>développement web riyad</t>
        </is>
      </c>
      <c r="H516" t="inlineStr">
        <is>
          <t>PRIMARY</t>
        </is>
      </c>
      <c r="I516" t="inlineStr">
        <is>
          <t>sa</t>
        </is>
      </c>
      <c r="J516" t="inlineStr">
        <is>
          <t>NOT AVAILABLE</t>
        </is>
      </c>
      <c r="K516" t="inlineStr">
        <is>
          <t>NOT AVAILABLE</t>
        </is>
      </c>
      <c r="L516" t="inlineStr">
        <is>
          <t>NOT AVAILABLE</t>
        </is>
      </c>
      <c r="M516" t="inlineStr">
        <is>
          <t>UNAVAILABLE</t>
        </is>
      </c>
      <c r="N516" t="inlineStr">
        <is>
          <t>Yes</t>
        </is>
      </c>
      <c r="O516" s="5" t="inlineStr">
        <is>
          <t>Covered - keep wording; no change</t>
        </is>
      </c>
      <c r="P516" s="5" t="inlineStr"/>
      <c r="Q516" t="inlineStr">
        <is>
          <t>P3</t>
        </is>
      </c>
      <c r="R516" t="n">
        <v>69</v>
      </c>
      <c r="S516" s="5" t="inlineStr">
        <is>
          <t>Studio de développement web basé au Maroc au service des entreprises du monde entier. Nous créons des sites web alimentés par l'IA et des tableaux de bord intelligents à distance. Sites web de qualité premium livrés en 7</t>
        </is>
      </c>
    </row>
    <row r="517">
      <c r="A517" s="3" t="inlineStr">
        <is>
          <t>https://codesommet.com/web-development-company/riyadh</t>
        </is>
      </c>
      <c r="B517" t="n">
        <v>2</v>
      </c>
      <c r="C517" t="inlineStr">
        <is>
          <t>Why us / differentiation</t>
        </is>
      </c>
      <c r="D517" s="5" t="inlineStr">
        <is>
          <t>Pourquoi Choisir CodeSommet in Riyad ?</t>
        </is>
      </c>
      <c r="E517" t="inlineStr">
        <is>
          <t>H2</t>
        </is>
      </c>
      <c r="F517" s="5" t="inlineStr">
        <is>
          <t>Commercial investigation</t>
        </is>
      </c>
      <c r="G517" t="inlineStr">
        <is>
          <t>développement web riyad</t>
        </is>
      </c>
      <c r="H517" t="inlineStr">
        <is>
          <t>SUPPORTS PRIMARY</t>
        </is>
      </c>
      <c r="I517" t="inlineStr">
        <is>
          <t>sa</t>
        </is>
      </c>
      <c r="J517" t="inlineStr">
        <is>
          <t>NOT AVAILABLE</t>
        </is>
      </c>
      <c r="K517" t="inlineStr">
        <is>
          <t>NOT AVAILABLE</t>
        </is>
      </c>
      <c r="L517" t="inlineStr">
        <is>
          <t>NOT AVAILABLE</t>
        </is>
      </c>
      <c r="M517" t="inlineStr">
        <is>
          <t>UNAVAILABLE</t>
        </is>
      </c>
      <c r="N517" t="inlineStr">
        <is>
          <t>Yes</t>
        </is>
      </c>
      <c r="O517" s="5" t="inlineStr">
        <is>
          <t>Covered - keep wording; no change</t>
        </is>
      </c>
      <c r="P517" s="5" t="inlineStr"/>
      <c r="Q517" t="inlineStr">
        <is>
          <t>P3</t>
        </is>
      </c>
      <c r="R517" t="n">
        <v>160</v>
      </c>
      <c r="S517" s="5" t="inlineStr">
        <is>
          <t>L'expertise locale rencontre les standards mondiaux. Voici ce qui fait de nous le partenaire idéal en développement web à Riyad. Experts en IA Créez des chatbots intelligents, des flux d'automatisation, des recherches pr</t>
        </is>
      </c>
    </row>
    <row r="518">
      <c r="A518" s="3" t="inlineStr">
        <is>
          <t>https://codesommet.com/web-development-company/riyadh</t>
        </is>
      </c>
      <c r="B518" t="n">
        <v>3</v>
      </c>
      <c r="C518" t="inlineStr">
        <is>
          <t>Content block</t>
        </is>
      </c>
      <c r="D518" s="5" t="inlineStr">
        <is>
          <t>Approuvé par Riyad Entreprises</t>
        </is>
      </c>
      <c r="E518" t="inlineStr">
        <is>
          <t>H2</t>
        </is>
      </c>
      <c r="F518" s="5" t="inlineStr">
        <is>
          <t>Commercial (local)</t>
        </is>
      </c>
      <c r="G518" t="inlineStr">
        <is>
          <t>développement web riyad</t>
        </is>
      </c>
      <c r="H518" t="inlineStr">
        <is>
          <t>SUPPORTS PRIMARY</t>
        </is>
      </c>
      <c r="I518" t="inlineStr">
        <is>
          <t>sa</t>
        </is>
      </c>
      <c r="J518" t="inlineStr">
        <is>
          <t>NOT AVAILABLE</t>
        </is>
      </c>
      <c r="K518" t="inlineStr">
        <is>
          <t>NOT AVAILABLE</t>
        </is>
      </c>
      <c r="L518" t="inlineStr">
        <is>
          <t>NOT AVAILABLE</t>
        </is>
      </c>
      <c r="M518" t="inlineStr">
        <is>
          <t>UNAVAILABLE</t>
        </is>
      </c>
      <c r="N518" t="inlineStr">
        <is>
          <t>Yes (supporting block)</t>
        </is>
      </c>
      <c r="O518" s="5" t="inlineStr">
        <is>
          <t>Supports the primary topic - add only if natural</t>
        </is>
      </c>
      <c r="P518" s="5" t="inlineStr"/>
      <c r="Q518" t="inlineStr">
        <is>
          <t>P3</t>
        </is>
      </c>
      <c r="R518" t="n">
        <v>6</v>
      </c>
      <c r="S518" s="5" t="inlineStr">
        <is>
          <t>Projets livrés à l'international Expertise Sectorielle</t>
        </is>
      </c>
    </row>
    <row r="519">
      <c r="A519" s="3" t="inlineStr">
        <is>
          <t>https://codesommet.com/web-development-company/riyadh</t>
        </is>
      </c>
      <c r="B519" t="n">
        <v>4</v>
      </c>
      <c r="C519" t="inlineStr">
        <is>
          <t>Content block</t>
        </is>
      </c>
      <c r="D519" s="5" t="inlineStr">
        <is>
          <t>Riyad Nos Secteurs de Spécialisation</t>
        </is>
      </c>
      <c r="E519" t="inlineStr">
        <is>
          <t>H2</t>
        </is>
      </c>
      <c r="F519" s="5" t="inlineStr">
        <is>
          <t>Commercial (local)</t>
        </is>
      </c>
      <c r="G519" t="inlineStr">
        <is>
          <t>développement web riyad</t>
        </is>
      </c>
      <c r="H519" t="inlineStr">
        <is>
          <t>SUPPORTS PRIMARY</t>
        </is>
      </c>
      <c r="I519" t="inlineStr">
        <is>
          <t>sa</t>
        </is>
      </c>
      <c r="J519" t="inlineStr">
        <is>
          <t>NOT AVAILABLE</t>
        </is>
      </c>
      <c r="K519" t="inlineStr">
        <is>
          <t>NOT AVAILABLE</t>
        </is>
      </c>
      <c r="L519" t="inlineStr">
        <is>
          <t>NOT AVAILABLE</t>
        </is>
      </c>
      <c r="M519" t="inlineStr">
        <is>
          <t>UNAVAILABLE</t>
        </is>
      </c>
      <c r="N519" t="inlineStr">
        <is>
          <t>Yes</t>
        </is>
      </c>
      <c r="O519" s="5" t="inlineStr">
        <is>
          <t>Covered - keep wording; no change</t>
        </is>
      </c>
      <c r="P519" s="5" t="inlineStr"/>
      <c r="Q519" t="inlineStr">
        <is>
          <t>P3</t>
        </is>
      </c>
      <c r="R519" t="n">
        <v>192</v>
      </c>
      <c r="S519" s="5" t="inlineStr">
        <is>
          <t>Une expertise approfondie dans les secteurs clés de Riyad . Nous comprenons les défis propres à votre secteur et ses exigences de conformité. FinTech Plateformes financières sécurisées avec traitement des paiements, conf</t>
        </is>
      </c>
    </row>
    <row r="520">
      <c r="A520" s="3" t="inlineStr">
        <is>
          <t>https://codesommet.com/web-development-company/riyadh</t>
        </is>
      </c>
      <c r="B520" t="n">
        <v>5</v>
      </c>
      <c r="C520" t="inlineStr">
        <is>
          <t>Testimonials / social proof</t>
        </is>
      </c>
      <c r="D520" s="5" t="inlineStr">
        <is>
          <t>Histoires de réussite à Riyad</t>
        </is>
      </c>
      <c r="E520" t="inlineStr">
        <is>
          <t>H2</t>
        </is>
      </c>
      <c r="F520" s="5" t="inlineStr">
        <is>
          <t>Commercial investigation</t>
        </is>
      </c>
      <c r="G520" t="inlineStr">
        <is>
          <t>développement web riyad</t>
        </is>
      </c>
      <c r="H520" t="inlineStr">
        <is>
          <t>SUPPORTS PRIMARY</t>
        </is>
      </c>
      <c r="I520" t="inlineStr">
        <is>
          <t>sa</t>
        </is>
      </c>
      <c r="J520" t="inlineStr">
        <is>
          <t>NOT AVAILABLE</t>
        </is>
      </c>
      <c r="K520" t="inlineStr">
        <is>
          <t>NOT AVAILABLE</t>
        </is>
      </c>
      <c r="L520" t="inlineStr">
        <is>
          <t>NOT AVAILABLE</t>
        </is>
      </c>
      <c r="M520" t="inlineStr">
        <is>
          <t>UNAVAILABLE</t>
        </is>
      </c>
      <c r="N520" t="inlineStr">
        <is>
          <t>Yes (supporting block)</t>
        </is>
      </c>
      <c r="O520" s="5" t="inlineStr">
        <is>
          <t>Supports the primary topic - add only if natural</t>
        </is>
      </c>
      <c r="P520" s="5" t="inlineStr"/>
      <c r="Q520" t="inlineStr">
        <is>
          <t>P3</t>
        </is>
      </c>
      <c r="R520" t="n">
        <v>58</v>
      </c>
      <c r="S520" s="5" t="inlineStr">
        <is>
          <t xml:space="preserve">Des projets réels, des résultats concrets. Découvrez comment nous avons aidé des entreprises basées à Riyad à atteindre leurs objectifs numériques. Beauté Boutique en ligne sur mesure GlamWorlds Maroc SaaS Plateforme de </t>
        </is>
      </c>
    </row>
    <row r="521">
      <c r="A521" s="3" t="inlineStr">
        <is>
          <t>https://codesommet.com/web-development-company/riyadh</t>
        </is>
      </c>
      <c r="B521" t="n">
        <v>6</v>
      </c>
      <c r="C521" t="inlineStr">
        <is>
          <t>Process / how it works</t>
        </is>
      </c>
      <c r="D521" s="5" t="inlineStr">
        <is>
          <t>Comment Nous Concevons des Plateformes Immobilières Pensées pour Générer des Prospects Qualifiés à Riyad</t>
        </is>
      </c>
      <c r="E521" t="inlineStr">
        <is>
          <t>H2</t>
        </is>
      </c>
      <c r="F521" s="5" t="inlineStr">
        <is>
          <t>Informational / commercial</t>
        </is>
      </c>
      <c r="G521" t="inlineStr">
        <is>
          <t>développement web riyad</t>
        </is>
      </c>
      <c r="H521" t="inlineStr">
        <is>
          <t>SUPPORTS PRIMARY</t>
        </is>
      </c>
      <c r="I521" t="inlineStr">
        <is>
          <t>sa</t>
        </is>
      </c>
      <c r="J521" t="inlineStr">
        <is>
          <t>NOT AVAILABLE</t>
        </is>
      </c>
      <c r="K521" t="inlineStr">
        <is>
          <t>NOT AVAILABLE</t>
        </is>
      </c>
      <c r="L521" t="inlineStr">
        <is>
          <t>NOT AVAILABLE</t>
        </is>
      </c>
      <c r="M521" t="inlineStr">
        <is>
          <t>UNAVAILABLE</t>
        </is>
      </c>
      <c r="N521" t="inlineStr">
        <is>
          <t>Yes</t>
        </is>
      </c>
      <c r="O521" s="5" t="inlineStr">
        <is>
          <t>Covered - keep wording; no change</t>
        </is>
      </c>
      <c r="P521" s="5" t="inlineStr"/>
      <c r="Q521" t="inlineStr">
        <is>
          <t>P3</t>
        </is>
      </c>
      <c r="R521" t="n">
        <v>218</v>
      </c>
      <c r="S521" s="5" t="inlineStr">
        <is>
          <t>Entreprises de gestion immobilière et agences du secteur • Immobilier &amp; PropTech • Délai adapté à la portée du projet Le Défi De nombreuses entreprises immobilières à Riyad s'appuient encore sur un suivi manuel des prosp</t>
        </is>
      </c>
    </row>
    <row r="522">
      <c r="A522" s="3" t="inlineStr">
        <is>
          <t>https://codesommet.com/web-development-company/riyadh</t>
        </is>
      </c>
      <c r="B522" t="n">
        <v>7</v>
      </c>
      <c r="C522" t="inlineStr">
        <is>
          <t>Pricing / offers</t>
        </is>
      </c>
      <c r="D522" s="5" t="inlineStr">
        <is>
          <t>Solutions sur mesure, tarification transparente</t>
        </is>
      </c>
      <c r="E522" t="inlineStr">
        <is>
          <t>H2</t>
        </is>
      </c>
      <c r="F522" s="5" t="inlineStr">
        <is>
          <t>Commercial / transactional</t>
        </is>
      </c>
      <c r="G522" t="inlineStr">
        <is>
          <t>développement web riyad</t>
        </is>
      </c>
      <c r="H522" t="inlineStr">
        <is>
          <t>SUPPORTS PRIMARY</t>
        </is>
      </c>
      <c r="I522" t="inlineStr">
        <is>
          <t>sa</t>
        </is>
      </c>
      <c r="J522" t="inlineStr">
        <is>
          <t>NOT AVAILABLE</t>
        </is>
      </c>
      <c r="K522" t="inlineStr">
        <is>
          <t>NOT AVAILABLE</t>
        </is>
      </c>
      <c r="L522" t="inlineStr">
        <is>
          <t>NOT AVAILABLE</t>
        </is>
      </c>
      <c r="M522" t="inlineStr">
        <is>
          <t>UNAVAILABLE</t>
        </is>
      </c>
      <c r="N522" t="inlineStr">
        <is>
          <t>Yes (supporting block)</t>
        </is>
      </c>
      <c r="O522" s="5" t="inlineStr">
        <is>
          <t>Supports the primary topic - add only if natural</t>
        </is>
      </c>
      <c r="P522" s="5" t="inlineStr"/>
      <c r="Q522" t="inlineStr">
        <is>
          <t>P3</t>
        </is>
      </c>
      <c r="R522" t="n">
        <v>188</v>
      </c>
      <c r="S522" s="5" t="inlineStr">
        <is>
          <t>Réservez un appel découverte pour discuter de vos besoins spécifiques et obtenir un devis personnalisé Recommandé Développement Web Site web complet avec fonctionnalités IA, tableaux de bord et design premium livré en 2-</t>
        </is>
      </c>
    </row>
    <row r="523">
      <c r="A523" s="3" t="inlineStr">
        <is>
          <t>https://codesommet.com/web-development-company/riyadh</t>
        </is>
      </c>
      <c r="B523" t="n">
        <v>8</v>
      </c>
      <c r="C523" t="inlineStr">
        <is>
          <t>CTA / conversion</t>
        </is>
      </c>
      <c r="D523" s="5" t="inlineStr">
        <is>
          <t>Prêt à Améliorer Votre Site Web à Riyad ?</t>
        </is>
      </c>
      <c r="E523" t="inlineStr">
        <is>
          <t>H2</t>
        </is>
      </c>
      <c r="F523" s="5" t="inlineStr">
        <is>
          <t>Conversion</t>
        </is>
      </c>
      <c r="G523" t="inlineStr">
        <is>
          <t>—</t>
        </is>
      </c>
      <c r="H523" t="inlineStr">
        <is>
          <t>NONE</t>
        </is>
      </c>
      <c r="I523" t="inlineStr">
        <is>
          <t>—</t>
        </is>
      </c>
      <c r="J523" t="inlineStr">
        <is>
          <t>—</t>
        </is>
      </c>
      <c r="K523" t="inlineStr">
        <is>
          <t>—</t>
        </is>
      </c>
      <c r="L523" t="inlineStr">
        <is>
          <t>—</t>
        </is>
      </c>
      <c r="M523" t="inlineStr">
        <is>
          <t>—</t>
        </is>
      </c>
      <c r="N523" t="inlineStr">
        <is>
          <t>n/a</t>
        </is>
      </c>
      <c r="O523" s="5" t="inlineStr">
        <is>
          <t>No keyword target - keep conversion/navigation focus; use descriptive, non-repeated anchor texts</t>
        </is>
      </c>
      <c r="P523" s="5" t="inlineStr"/>
      <c r="Q523" t="inlineStr">
        <is>
          <t>P4</t>
        </is>
      </c>
      <c r="R523" t="n">
        <v>39</v>
      </c>
      <c r="S523" s="5" t="inlineStr">
        <is>
          <t xml:space="preserve">Obtenez d'abord une analyse complète gratuite : Audit SEO Vérification de performance Revue de design Recommandations propulsées par l'IA Analyser Votre Site Web - 100 % Gratuit Aucune carte bancaire requise • Résultats </t>
        </is>
      </c>
    </row>
    <row r="524">
      <c r="A524" s="3" t="inlineStr">
        <is>
          <t>https://codesommet.com/web-development-company/riyadh</t>
        </is>
      </c>
      <c r="B524" t="n">
        <v>9</v>
      </c>
      <c r="C524" t="inlineStr">
        <is>
          <t>Why us / differentiation</t>
        </is>
      </c>
      <c r="D524" s="5" t="inlineStr">
        <is>
          <t>CodeSommet Riyad vs Others</t>
        </is>
      </c>
      <c r="E524" t="inlineStr">
        <is>
          <t>H2</t>
        </is>
      </c>
      <c r="F524" s="5" t="inlineStr">
        <is>
          <t>Commercial investigation</t>
        </is>
      </c>
      <c r="G524" t="inlineStr">
        <is>
          <t>développement web riyad</t>
        </is>
      </c>
      <c r="H524" t="inlineStr">
        <is>
          <t>SUPPORTS PRIMARY</t>
        </is>
      </c>
      <c r="I524" t="inlineStr">
        <is>
          <t>sa</t>
        </is>
      </c>
      <c r="J524" t="inlineStr">
        <is>
          <t>NOT AVAILABLE</t>
        </is>
      </c>
      <c r="K524" t="inlineStr">
        <is>
          <t>NOT AVAILABLE</t>
        </is>
      </c>
      <c r="L524" t="inlineStr">
        <is>
          <t>NOT AVAILABLE</t>
        </is>
      </c>
      <c r="M524" t="inlineStr">
        <is>
          <t>UNAVAILABLE</t>
        </is>
      </c>
      <c r="N524" t="inlineStr">
        <is>
          <t>Yes</t>
        </is>
      </c>
      <c r="O524" s="5" t="inlineStr">
        <is>
          <t>Covered - keep wording; no change</t>
        </is>
      </c>
      <c r="P524" s="5" t="inlineStr"/>
      <c r="Q524" t="inlineStr">
        <is>
          <t>P3</t>
        </is>
      </c>
      <c r="R524" t="n">
        <v>93</v>
      </c>
      <c r="S524" s="5" t="inlineStr">
        <is>
          <t>Découvrez pourquoi Riyad les entreprises choisissent CodeSommet plutôt que d'autres agences locales et internationales. Fonctionnalité CodeSommet Riyad Autres Riyad Agences Agences Internationales Révisions illimitées Dé</t>
        </is>
      </c>
    </row>
    <row r="525">
      <c r="A525" s="3" t="inlineStr">
        <is>
          <t>https://codesommet.com/web-development-company/riyadh</t>
        </is>
      </c>
      <c r="B525" t="n">
        <v>10</v>
      </c>
      <c r="C525" t="inlineStr">
        <is>
          <t>Testimonials / social proof</t>
        </is>
      </c>
      <c r="D525" s="5" t="inlineStr">
        <is>
          <t>Ce que nos clients de Riyad disent de nous</t>
        </is>
      </c>
      <c r="E525" t="inlineStr">
        <is>
          <t>H2</t>
        </is>
      </c>
      <c r="F525" s="5" t="inlineStr">
        <is>
          <t>Commercial investigation</t>
        </is>
      </c>
      <c r="G525" t="inlineStr">
        <is>
          <t>développement web riyad</t>
        </is>
      </c>
      <c r="H525" t="inlineStr">
        <is>
          <t>SUPPORTS PRIMARY</t>
        </is>
      </c>
      <c r="I525" t="inlineStr">
        <is>
          <t>sa</t>
        </is>
      </c>
      <c r="J525" t="inlineStr">
        <is>
          <t>NOT AVAILABLE</t>
        </is>
      </c>
      <c r="K525" t="inlineStr">
        <is>
          <t>NOT AVAILABLE</t>
        </is>
      </c>
      <c r="L525" t="inlineStr">
        <is>
          <t>NOT AVAILABLE</t>
        </is>
      </c>
      <c r="M525" t="inlineStr">
        <is>
          <t>UNAVAILABLE</t>
        </is>
      </c>
      <c r="N525" t="inlineStr">
        <is>
          <t>Yes (supporting block)</t>
        </is>
      </c>
      <c r="O525" s="5" t="inlineStr">
        <is>
          <t>Supports the primary topic - add only if natural</t>
        </is>
      </c>
      <c r="P525" s="5" t="inlineStr"/>
      <c r="Q525" t="inlineStr">
        <is>
          <t>P3</t>
        </is>
      </c>
      <c r="R525" t="n">
        <v>103</v>
      </c>
      <c r="S525" s="5" t="inlineStr">
        <is>
          <t>Ne nous croyez pas sur parole. Écoutez les entreprises de Riyad qui ont obtenu des résultats remarquables avec CodeSommet. "Une collaboration professionnelle du début à la fin. Je recommande sans hésiter." Mohammed Chaji</t>
        </is>
      </c>
    </row>
    <row r="526">
      <c r="A526" s="3" t="inlineStr">
        <is>
          <t>https://codesommet.com/web-development-company/riyadh</t>
        </is>
      </c>
      <c r="B526" t="n">
        <v>11</v>
      </c>
      <c r="C526" t="inlineStr">
        <is>
          <t>Process / how it works</t>
        </is>
      </c>
      <c r="D526" s="5" t="inlineStr">
        <is>
          <t>Comment démarrer en 3 étapes simples</t>
        </is>
      </c>
      <c r="E526" t="inlineStr">
        <is>
          <t>H2</t>
        </is>
      </c>
      <c r="F526" s="5" t="inlineStr">
        <is>
          <t>Informational / commercial</t>
        </is>
      </c>
      <c r="G526" t="inlineStr">
        <is>
          <t>développement web riyad</t>
        </is>
      </c>
      <c r="H526" t="inlineStr">
        <is>
          <t>SUPPORTS PRIMARY</t>
        </is>
      </c>
      <c r="I526" t="inlineStr">
        <is>
          <t>sa</t>
        </is>
      </c>
      <c r="J526" t="inlineStr">
        <is>
          <t>NOT AVAILABLE</t>
        </is>
      </c>
      <c r="K526" t="inlineStr">
        <is>
          <t>NOT AVAILABLE</t>
        </is>
      </c>
      <c r="L526" t="inlineStr">
        <is>
          <t>NOT AVAILABLE</t>
        </is>
      </c>
      <c r="M526" t="inlineStr">
        <is>
          <t>UNAVAILABLE</t>
        </is>
      </c>
      <c r="N526" t="inlineStr">
        <is>
          <t>Yes (supporting block)</t>
        </is>
      </c>
      <c r="O526" s="5" t="inlineStr">
        <is>
          <t>Supports the primary topic - add only if natural</t>
        </is>
      </c>
      <c r="P526" s="5" t="inlineStr"/>
      <c r="Q526" t="inlineStr">
        <is>
          <t>P3</t>
        </is>
      </c>
      <c r="R526" t="n">
        <v>286</v>
      </c>
      <c r="S526" s="5" t="inlineStr">
        <is>
          <t>Du premier appel à la livraison du projet, découvrez exactement comment nous travaillons ensemble Étape 1 Abonnement 1 projet actif Révisions illimitées Design &amp; développement SEO &amp; contenu Recommandé Développement de Si</t>
        </is>
      </c>
    </row>
    <row r="527">
      <c r="A527" s="3" t="inlineStr">
        <is>
          <t>https://codesommet.com/web-development-company/riyadh</t>
        </is>
      </c>
      <c r="B527" t="n">
        <v>12</v>
      </c>
      <c r="C527" t="inlineStr">
        <is>
          <t>FAQ</t>
        </is>
      </c>
      <c r="D527" s="5" t="inlineStr">
        <is>
          <t>Questions Fréquemment Posées sur le Développement Web à Riyad</t>
        </is>
      </c>
      <c r="E527" t="inlineStr">
        <is>
          <t>H2</t>
        </is>
      </c>
      <c r="F527" s="5" t="inlineStr">
        <is>
          <t>Informational (pre-purchase questions)</t>
        </is>
      </c>
      <c r="G527" t="inlineStr">
        <is>
          <t>développement web riyad</t>
        </is>
      </c>
      <c r="H527" t="inlineStr">
        <is>
          <t>SUPPORTS PRIMARY</t>
        </is>
      </c>
      <c r="I527" t="inlineStr">
        <is>
          <t>sa</t>
        </is>
      </c>
      <c r="J527" t="inlineStr">
        <is>
          <t>NOT AVAILABLE</t>
        </is>
      </c>
      <c r="K527" t="inlineStr">
        <is>
          <t>NOT AVAILABLE</t>
        </is>
      </c>
      <c r="L527" t="inlineStr">
        <is>
          <t>NOT AVAILABLE</t>
        </is>
      </c>
      <c r="M527" t="inlineStr">
        <is>
          <t>UNAVAILABLE</t>
        </is>
      </c>
      <c r="N527" t="inlineStr">
        <is>
          <t>Yes</t>
        </is>
      </c>
      <c r="O527" s="5" t="inlineStr">
        <is>
          <t>Covered - keep wording; no change</t>
        </is>
      </c>
      <c r="P527" s="5" t="inlineStr"/>
      <c r="Q527" t="inlineStr">
        <is>
          <t>P3</t>
        </is>
      </c>
      <c r="R527" t="n">
        <v>381</v>
      </c>
      <c r="S527" s="5" t="inlineStr">
        <is>
          <t>Des questions ? Nous avons les réponses. Voici les questions les plus courantes des entreprises de Riyad. 1 Avez-vous un bureau physique à Riyad ? Nous n'avons pas de bureau à Riyad : notre équipe travaille à distance de</t>
        </is>
      </c>
    </row>
    <row r="528">
      <c r="A528" s="3" t="inlineStr">
        <is>
          <t>https://codesommet.com/web-development-company/riyadh</t>
        </is>
      </c>
      <c r="B528" t="n">
        <v>13</v>
      </c>
      <c r="C528" t="inlineStr">
        <is>
          <t>Internal-link block</t>
        </is>
      </c>
      <c r="D528" s="5" t="inlineStr">
        <is>
          <t>Nous Desservons Également</t>
        </is>
      </c>
      <c r="E528" t="inlineStr">
        <is>
          <t>H2</t>
        </is>
      </c>
      <c r="F528" s="5" t="inlineStr">
        <is>
          <t>Navigation</t>
        </is>
      </c>
      <c r="G528" t="inlineStr">
        <is>
          <t>—</t>
        </is>
      </c>
      <c r="H528" t="inlineStr">
        <is>
          <t>NONE</t>
        </is>
      </c>
      <c r="I528" t="inlineStr">
        <is>
          <t>—</t>
        </is>
      </c>
      <c r="J528" t="inlineStr">
        <is>
          <t>—</t>
        </is>
      </c>
      <c r="K528" t="inlineStr">
        <is>
          <t>—</t>
        </is>
      </c>
      <c r="L528" t="inlineStr">
        <is>
          <t>—</t>
        </is>
      </c>
      <c r="M528" t="inlineStr">
        <is>
          <t>—</t>
        </is>
      </c>
      <c r="N528" t="inlineStr">
        <is>
          <t>n/a</t>
        </is>
      </c>
      <c r="O528" s="5" t="inlineStr">
        <is>
          <t>No keyword target - keep conversion/navigation focus; use descriptive, non-repeated anchor texts</t>
        </is>
      </c>
      <c r="P528" s="5" t="inlineStr"/>
      <c r="Q528" t="inlineStr">
        <is>
          <t>P4</t>
        </is>
      </c>
      <c r="R528" t="n">
        <v>23</v>
      </c>
      <c r="S528" s="5" t="inlineStr">
        <is>
          <t>Explorez nos services de développement web dans d'autres villes à travers le monde Abu Dhabi Émirats arabes unis Dubai UAE Voir Tout Locations</t>
        </is>
      </c>
    </row>
    <row r="529">
      <c r="A529" s="3" t="inlineStr">
        <is>
          <t>https://codesommet.com/web-development-company/riyadh</t>
        </is>
      </c>
      <c r="B529" t="n">
        <v>14</v>
      </c>
      <c r="C529" t="inlineStr">
        <is>
          <t>Internal-link block</t>
        </is>
      </c>
      <c r="D529" s="5" t="inlineStr">
        <is>
          <t>Explorer davantage</t>
        </is>
      </c>
      <c r="E529" t="inlineStr">
        <is>
          <t>H2</t>
        </is>
      </c>
      <c r="F529" s="5" t="inlineStr">
        <is>
          <t>Navigation</t>
        </is>
      </c>
      <c r="G529" t="inlineStr">
        <is>
          <t>—</t>
        </is>
      </c>
      <c r="H529" t="inlineStr">
        <is>
          <t>NONE</t>
        </is>
      </c>
      <c r="I529" t="inlineStr">
        <is>
          <t>—</t>
        </is>
      </c>
      <c r="J529" t="inlineStr">
        <is>
          <t>—</t>
        </is>
      </c>
      <c r="K529" t="inlineStr">
        <is>
          <t>—</t>
        </is>
      </c>
      <c r="L529" t="inlineStr">
        <is>
          <t>—</t>
        </is>
      </c>
      <c r="M529" t="inlineStr">
        <is>
          <t>—</t>
        </is>
      </c>
      <c r="N529" t="inlineStr">
        <is>
          <t>n/a</t>
        </is>
      </c>
      <c r="O529" s="5" t="inlineStr">
        <is>
          <t>No keyword target - keep conversion/navigation focus; use descriptive, non-repeated anchor texts</t>
        </is>
      </c>
      <c r="P529" s="5" t="inlineStr"/>
      <c r="Q529" t="inlineStr">
        <is>
          <t>P4</t>
        </is>
      </c>
      <c r="R529" t="n">
        <v>83</v>
      </c>
      <c r="S529" s="5" t="inlineStr">
        <is>
          <t>Découvrez ce qui fait de CodeSommet votre partenaire idéal en développement web Audit Gratuit de Site Web Obtenez une analyse alimentée par l'IA avec plus de 40 vérifications En savoir plus Voir Nos Projets Découvrez les</t>
        </is>
      </c>
    </row>
    <row r="530">
      <c r="A530" s="3" t="inlineStr">
        <is>
          <t>https://codesommet.com/web-development-company/riyadh</t>
        </is>
      </c>
      <c r="B530" t="n">
        <v>15</v>
      </c>
      <c r="C530" t="inlineStr">
        <is>
          <t>CTA / conversion</t>
        </is>
      </c>
      <c r="D530" s="5" t="inlineStr">
        <is>
          <t>Prêt à Créer Quelque Chose d'Extraordinaire ?</t>
        </is>
      </c>
      <c r="E530" t="inlineStr">
        <is>
          <t>H2</t>
        </is>
      </c>
      <c r="F530" s="5" t="inlineStr">
        <is>
          <t>Conversion</t>
        </is>
      </c>
      <c r="G530" t="inlineStr">
        <is>
          <t>—</t>
        </is>
      </c>
      <c r="H530" t="inlineStr">
        <is>
          <t>NONE</t>
        </is>
      </c>
      <c r="I530" t="inlineStr">
        <is>
          <t>—</t>
        </is>
      </c>
      <c r="J530" t="inlineStr">
        <is>
          <t>—</t>
        </is>
      </c>
      <c r="K530" t="inlineStr">
        <is>
          <t>—</t>
        </is>
      </c>
      <c r="L530" t="inlineStr">
        <is>
          <t>—</t>
        </is>
      </c>
      <c r="M530" t="inlineStr">
        <is>
          <t>—</t>
        </is>
      </c>
      <c r="N530" t="inlineStr">
        <is>
          <t>n/a</t>
        </is>
      </c>
      <c r="O530" s="5" t="inlineStr">
        <is>
          <t>No keyword target - keep conversion/navigation focus; use descriptive, non-repeated anchor texts</t>
        </is>
      </c>
      <c r="P530" s="5" t="inlineStr"/>
      <c r="Q530" t="inlineStr">
        <is>
          <t>P4</t>
        </is>
      </c>
      <c r="R530" t="n">
        <v>119</v>
      </c>
      <c r="S530" s="5" t="inlineStr">
        <is>
          <t>Rejoignez les entreprises visionnaires qui ont choisi l'excellence Réserver un Appel Découverte Analyser Mon Site Gratuitement Réserver un Appel Découverte Analyser Votre Site Web Discutons de la façon dont l'IA et le de</t>
        </is>
      </c>
    </row>
    <row r="531">
      <c r="A531" s="3" t="inlineStr">
        <is>
          <t>https://codesommet.com/web-development-company/london</t>
        </is>
      </c>
      <c r="B531" t="n">
        <v>1</v>
      </c>
      <c r="C531" t="inlineStr">
        <is>
          <t>Hero / H1</t>
        </is>
      </c>
      <c r="D531" s="5" t="inlineStr">
        <is>
          <t>Développement Web à Londres, Royaume-Uni : des sites web qui génèrent Plateformes FinTech</t>
        </is>
      </c>
      <c r="E531" t="inlineStr">
        <is>
          <t>H1</t>
        </is>
      </c>
      <c r="F531" s="5" t="inlineStr">
        <is>
          <t>Commercial (local)</t>
        </is>
      </c>
      <c r="G531" t="inlineStr">
        <is>
          <t>développement web londres</t>
        </is>
      </c>
      <c r="H531" t="inlineStr">
        <is>
          <t>PRIMARY</t>
        </is>
      </c>
      <c r="I531" t="inlineStr">
        <is>
          <t>uk</t>
        </is>
      </c>
      <c r="J531" t="inlineStr">
        <is>
          <t>NOT AVAILABLE</t>
        </is>
      </c>
      <c r="K531" t="inlineStr">
        <is>
          <t>NOT AVAILABLE</t>
        </is>
      </c>
      <c r="L531" t="inlineStr">
        <is>
          <t>NOT AVAILABLE</t>
        </is>
      </c>
      <c r="M531" t="inlineStr">
        <is>
          <t>UNAVAILABLE</t>
        </is>
      </c>
      <c r="N531" t="inlineStr">
        <is>
          <t>Yes</t>
        </is>
      </c>
      <c r="O531" s="5" t="inlineStr">
        <is>
          <t>Covered - keep wording; no change</t>
        </is>
      </c>
      <c r="P531" s="5" t="inlineStr"/>
      <c r="Q531" t="inlineStr">
        <is>
          <t>P3</t>
        </is>
      </c>
      <c r="R531" t="n">
        <v>75</v>
      </c>
      <c r="S531" s="5" t="inlineStr">
        <is>
          <t>Depuis le Maroc, notre studio de développement web accompagne à distance les entreprises de Londres dans la création de sites web alimentés par l'IA et de tableaux de bord intelligents. Nous sommes spécialisés dans la cr</t>
        </is>
      </c>
    </row>
    <row r="532">
      <c r="A532" s="3" t="inlineStr">
        <is>
          <t>https://codesommet.com/web-development-company/london</t>
        </is>
      </c>
      <c r="B532" t="n">
        <v>2</v>
      </c>
      <c r="C532" t="inlineStr">
        <is>
          <t>Why us / differentiation</t>
        </is>
      </c>
      <c r="D532" s="5" t="inlineStr">
        <is>
          <t>Pourquoi Choisir CodeSommet à Londres ?</t>
        </is>
      </c>
      <c r="E532" t="inlineStr">
        <is>
          <t>H2</t>
        </is>
      </c>
      <c r="F532" s="5" t="inlineStr">
        <is>
          <t>Commercial investigation</t>
        </is>
      </c>
      <c r="G532" t="inlineStr">
        <is>
          <t>développement web londres</t>
        </is>
      </c>
      <c r="H532" t="inlineStr">
        <is>
          <t>SUPPORTS PRIMARY</t>
        </is>
      </c>
      <c r="I532" t="inlineStr">
        <is>
          <t>uk</t>
        </is>
      </c>
      <c r="J532" t="inlineStr">
        <is>
          <t>NOT AVAILABLE</t>
        </is>
      </c>
      <c r="K532" t="inlineStr">
        <is>
          <t>NOT AVAILABLE</t>
        </is>
      </c>
      <c r="L532" t="inlineStr">
        <is>
          <t>NOT AVAILABLE</t>
        </is>
      </c>
      <c r="M532" t="inlineStr">
        <is>
          <t>UNAVAILABLE</t>
        </is>
      </c>
      <c r="N532" t="inlineStr">
        <is>
          <t>Yes</t>
        </is>
      </c>
      <c r="O532" s="5" t="inlineStr">
        <is>
          <t>Covered - keep wording; no change</t>
        </is>
      </c>
      <c r="P532" s="5" t="inlineStr"/>
      <c r="Q532" t="inlineStr">
        <is>
          <t>P3</t>
        </is>
      </c>
      <c r="R532" t="n">
        <v>162</v>
      </c>
      <c r="S532" s="5" t="inlineStr">
        <is>
          <t xml:space="preserve">L'expertise locale rencontre les standards internationaux. Voici ce qui fait de nous le partenaire idéal en développement web à Londres. Experts en IA Créez des chatbots intelligents, des workflows d'automatisation, une </t>
        </is>
      </c>
    </row>
    <row r="533">
      <c r="A533" s="3" t="inlineStr">
        <is>
          <t>https://codesommet.com/web-development-company/london</t>
        </is>
      </c>
      <c r="B533" t="n">
        <v>3</v>
      </c>
      <c r="C533" t="inlineStr">
        <is>
          <t>Content block</t>
        </is>
      </c>
      <c r="D533" s="5" t="inlineStr">
        <is>
          <t>Approuvé par les Entreprises de Londres</t>
        </is>
      </c>
      <c r="E533" t="inlineStr">
        <is>
          <t>H2</t>
        </is>
      </c>
      <c r="F533" s="5" t="inlineStr">
        <is>
          <t>Commercial (local)</t>
        </is>
      </c>
      <c r="G533" t="inlineStr">
        <is>
          <t>développement web londres</t>
        </is>
      </c>
      <c r="H533" t="inlineStr">
        <is>
          <t>SUPPORTS PRIMARY</t>
        </is>
      </c>
      <c r="I533" t="inlineStr">
        <is>
          <t>uk</t>
        </is>
      </c>
      <c r="J533" t="inlineStr">
        <is>
          <t>NOT AVAILABLE</t>
        </is>
      </c>
      <c r="K533" t="inlineStr">
        <is>
          <t>NOT AVAILABLE</t>
        </is>
      </c>
      <c r="L533" t="inlineStr">
        <is>
          <t>NOT AVAILABLE</t>
        </is>
      </c>
      <c r="M533" t="inlineStr">
        <is>
          <t>UNAVAILABLE</t>
        </is>
      </c>
      <c r="N533" t="inlineStr">
        <is>
          <t>Yes (supporting block)</t>
        </is>
      </c>
      <c r="O533" s="5" t="inlineStr">
        <is>
          <t>Supports the primary topic - add only if natural</t>
        </is>
      </c>
      <c r="P533" s="5" t="inlineStr"/>
      <c r="Q533" t="inlineStr">
        <is>
          <t>P3</t>
        </is>
      </c>
      <c r="R533" t="n">
        <v>27</v>
      </c>
      <c r="S533" s="5" t="inlineStr">
        <is>
          <t>Projets livrés à l'international Sites pensés pour la conversion Clients dans plusieurs pays Résultats réels de Londres - des entreprises avec lesquelles nous avons collaboré Expertise Sectorielle</t>
        </is>
      </c>
    </row>
    <row r="534">
      <c r="A534" s="3" t="inlineStr">
        <is>
          <t>https://codesommet.com/web-development-company/london</t>
        </is>
      </c>
      <c r="B534" t="n">
        <v>4</v>
      </c>
      <c r="C534" t="inlineStr">
        <is>
          <t>Content block</t>
        </is>
      </c>
      <c r="D534" s="5" t="inlineStr">
        <is>
          <t>Londres Nos Secteurs de Spécialisation</t>
        </is>
      </c>
      <c r="E534" t="inlineStr">
        <is>
          <t>H2</t>
        </is>
      </c>
      <c r="F534" s="5" t="inlineStr">
        <is>
          <t>Commercial (local)</t>
        </is>
      </c>
      <c r="G534" t="inlineStr">
        <is>
          <t>développement web londres</t>
        </is>
      </c>
      <c r="H534" t="inlineStr">
        <is>
          <t>SUPPORTS PRIMARY</t>
        </is>
      </c>
      <c r="I534" t="inlineStr">
        <is>
          <t>uk</t>
        </is>
      </c>
      <c r="J534" t="inlineStr">
        <is>
          <t>NOT AVAILABLE</t>
        </is>
      </c>
      <c r="K534" t="inlineStr">
        <is>
          <t>NOT AVAILABLE</t>
        </is>
      </c>
      <c r="L534" t="inlineStr">
        <is>
          <t>NOT AVAILABLE</t>
        </is>
      </c>
      <c r="M534" t="inlineStr">
        <is>
          <t>UNAVAILABLE</t>
        </is>
      </c>
      <c r="N534" t="inlineStr">
        <is>
          <t>Yes</t>
        </is>
      </c>
      <c r="O534" s="5" t="inlineStr">
        <is>
          <t>Covered - keep wording; no change</t>
        </is>
      </c>
      <c r="P534" s="5" t="inlineStr"/>
      <c r="Q534" t="inlineStr">
        <is>
          <t>P3</t>
        </is>
      </c>
      <c r="R534" t="n">
        <v>191</v>
      </c>
      <c r="S534" s="5" t="inlineStr">
        <is>
          <t>Expertise approfondie dans les secteurs clés de Londres . Nous comprenons les défis uniques de votre secteur et les exigences de conformité. FinTech Plateformes financières sécurisées avec traitement des paiements, confo</t>
        </is>
      </c>
    </row>
    <row r="535">
      <c r="A535" s="3" t="inlineStr">
        <is>
          <t>https://codesommet.com/web-development-company/london</t>
        </is>
      </c>
      <c r="B535" t="n">
        <v>5</v>
      </c>
      <c r="C535" t="inlineStr">
        <is>
          <t>Testimonials / social proof</t>
        </is>
      </c>
      <c r="D535" s="5" t="inlineStr">
        <is>
          <t>Histoires de réussite à Londres</t>
        </is>
      </c>
      <c r="E535" t="inlineStr">
        <is>
          <t>H2</t>
        </is>
      </c>
      <c r="F535" s="5" t="inlineStr">
        <is>
          <t>Commercial investigation</t>
        </is>
      </c>
      <c r="G535" t="inlineStr">
        <is>
          <t>développement web londres</t>
        </is>
      </c>
      <c r="H535" t="inlineStr">
        <is>
          <t>SUPPORTS PRIMARY</t>
        </is>
      </c>
      <c r="I535" t="inlineStr">
        <is>
          <t>uk</t>
        </is>
      </c>
      <c r="J535" t="inlineStr">
        <is>
          <t>NOT AVAILABLE</t>
        </is>
      </c>
      <c r="K535" t="inlineStr">
        <is>
          <t>NOT AVAILABLE</t>
        </is>
      </c>
      <c r="L535" t="inlineStr">
        <is>
          <t>NOT AVAILABLE</t>
        </is>
      </c>
      <c r="M535" t="inlineStr">
        <is>
          <t>UNAVAILABLE</t>
        </is>
      </c>
      <c r="N535" t="inlineStr">
        <is>
          <t>Yes (supporting block)</t>
        </is>
      </c>
      <c r="O535" s="5" t="inlineStr">
        <is>
          <t>Supports the primary topic - add only if natural</t>
        </is>
      </c>
      <c r="P535" s="5" t="inlineStr"/>
      <c r="Q535" t="inlineStr">
        <is>
          <t>P3</t>
        </is>
      </c>
      <c r="R535" t="n">
        <v>61</v>
      </c>
      <c r="S535" s="5" t="inlineStr">
        <is>
          <t>Des projets réels, des résultats concrets. Découvrez comment nous avons aidé des entreprises de Londres à atteindre leurs objectifs numériques. Éducation Inscription en ligne pour école de langues GLS Sprachenzentrum All</t>
        </is>
      </c>
    </row>
    <row r="536">
      <c r="A536" s="3" t="inlineStr">
        <is>
          <t>https://codesommet.com/web-development-company/london</t>
        </is>
      </c>
      <c r="B536" t="n">
        <v>6</v>
      </c>
      <c r="C536" t="inlineStr">
        <is>
          <t>Process / how it works</t>
        </is>
      </c>
      <c r="D536" s="5" t="inlineStr">
        <is>
          <t>Comment Nous Concevons des Tableaux de Bord Bancaires en Temps Réel pour les Fintechs de Londres</t>
        </is>
      </c>
      <c r="E536" t="inlineStr">
        <is>
          <t>H2</t>
        </is>
      </c>
      <c r="F536" s="5" t="inlineStr">
        <is>
          <t>Informational / commercial</t>
        </is>
      </c>
      <c r="G536" t="inlineStr">
        <is>
          <t>développement web londres</t>
        </is>
      </c>
      <c r="H536" t="inlineStr">
        <is>
          <t>SUPPORTS PRIMARY</t>
        </is>
      </c>
      <c r="I536" t="inlineStr">
        <is>
          <t>uk</t>
        </is>
      </c>
      <c r="J536" t="inlineStr">
        <is>
          <t>NOT AVAILABLE</t>
        </is>
      </c>
      <c r="K536" t="inlineStr">
        <is>
          <t>NOT AVAILABLE</t>
        </is>
      </c>
      <c r="L536" t="inlineStr">
        <is>
          <t>NOT AVAILABLE</t>
        </is>
      </c>
      <c r="M536" t="inlineStr">
        <is>
          <t>UNAVAILABLE</t>
        </is>
      </c>
      <c r="N536" t="inlineStr">
        <is>
          <t>Yes</t>
        </is>
      </c>
      <c r="O536" s="5" t="inlineStr">
        <is>
          <t>Covered - keep wording; no change</t>
        </is>
      </c>
      <c r="P536" s="5" t="inlineStr"/>
      <c r="Q536" t="inlineStr">
        <is>
          <t>P3</t>
        </is>
      </c>
      <c r="R536" t="n">
        <v>229</v>
      </c>
      <c r="S536" s="5" t="inlineStr">
        <is>
          <t>Plateformes bancaires numériques pour les PME et fintechs • Financial Technologie • Délai adapté à la portée du projet Le Besoin Les startups de banque numérique et fintechs basées à Londres ont besoin de tableaux de bor</t>
        </is>
      </c>
    </row>
    <row r="537">
      <c r="A537" s="3" t="inlineStr">
        <is>
          <t>https://codesommet.com/web-development-company/london</t>
        </is>
      </c>
      <c r="B537" t="n">
        <v>7</v>
      </c>
      <c r="C537" t="inlineStr">
        <is>
          <t>Pricing / offers</t>
        </is>
      </c>
      <c r="D537" s="5" t="inlineStr">
        <is>
          <t>Solutions Sur Mesure, Tarification Transparente</t>
        </is>
      </c>
      <c r="E537" t="inlineStr">
        <is>
          <t>H2</t>
        </is>
      </c>
      <c r="F537" s="5" t="inlineStr">
        <is>
          <t>Commercial / transactional</t>
        </is>
      </c>
      <c r="G537" t="inlineStr">
        <is>
          <t>développement web londres</t>
        </is>
      </c>
      <c r="H537" t="inlineStr">
        <is>
          <t>SUPPORTS PRIMARY</t>
        </is>
      </c>
      <c r="I537" t="inlineStr">
        <is>
          <t>uk</t>
        </is>
      </c>
      <c r="J537" t="inlineStr">
        <is>
          <t>NOT AVAILABLE</t>
        </is>
      </c>
      <c r="K537" t="inlineStr">
        <is>
          <t>NOT AVAILABLE</t>
        </is>
      </c>
      <c r="L537" t="inlineStr">
        <is>
          <t>NOT AVAILABLE</t>
        </is>
      </c>
      <c r="M537" t="inlineStr">
        <is>
          <t>UNAVAILABLE</t>
        </is>
      </c>
      <c r="N537" t="inlineStr">
        <is>
          <t>Yes (supporting block)</t>
        </is>
      </c>
      <c r="O537" s="5" t="inlineStr">
        <is>
          <t>Supports the primary topic - add only if natural</t>
        </is>
      </c>
      <c r="P537" s="5" t="inlineStr"/>
      <c r="Q537" t="inlineStr">
        <is>
          <t>P3</t>
        </is>
      </c>
      <c r="R537" t="n">
        <v>193</v>
      </c>
      <c r="S537" s="5" t="inlineStr">
        <is>
          <t>Réservez un appel découverte pour discuter de vos besoins spécifiques et obtenir un devis sur mesure Recommandé Développement de Sites Web Site web complet avec fonctionnalités IA, tableaux de bord et design premium livr</t>
        </is>
      </c>
    </row>
    <row r="538">
      <c r="A538" s="3" t="inlineStr">
        <is>
          <t>https://codesommet.com/web-development-company/london</t>
        </is>
      </c>
      <c r="B538" t="n">
        <v>8</v>
      </c>
      <c r="C538" t="inlineStr">
        <is>
          <t>CTA / conversion</t>
        </is>
      </c>
      <c r="D538" s="5" t="inlineStr">
        <is>
          <t>Prêt à Améliorer Votre Site Web à Londres ?</t>
        </is>
      </c>
      <c r="E538" t="inlineStr">
        <is>
          <t>H2</t>
        </is>
      </c>
      <c r="F538" s="5" t="inlineStr">
        <is>
          <t>Conversion</t>
        </is>
      </c>
      <c r="G538" t="inlineStr">
        <is>
          <t>—</t>
        </is>
      </c>
      <c r="H538" t="inlineStr">
        <is>
          <t>NONE</t>
        </is>
      </c>
      <c r="I538" t="inlineStr">
        <is>
          <t>—</t>
        </is>
      </c>
      <c r="J538" t="inlineStr">
        <is>
          <t>—</t>
        </is>
      </c>
      <c r="K538" t="inlineStr">
        <is>
          <t>—</t>
        </is>
      </c>
      <c r="L538" t="inlineStr">
        <is>
          <t>—</t>
        </is>
      </c>
      <c r="M538" t="inlineStr">
        <is>
          <t>—</t>
        </is>
      </c>
      <c r="N538" t="inlineStr">
        <is>
          <t>n/a</t>
        </is>
      </c>
      <c r="O538" s="5" t="inlineStr">
        <is>
          <t>No keyword target - keep conversion/navigation focus; use descriptive, non-repeated anchor texts</t>
        </is>
      </c>
      <c r="P538" s="5" t="inlineStr"/>
      <c r="Q538" t="inlineStr">
        <is>
          <t>P4</t>
        </is>
      </c>
      <c r="R538" t="n">
        <v>40</v>
      </c>
      <c r="S538" s="5" t="inlineStr">
        <is>
          <t>Obtenez d'abord une analyse gratuite complète : Audit SEO Vérification des performances Revue du design Recommandations alimentées par l'IA Analyser Votre Site Web - 100% Gratuit Aucune carte de crédit requise • Résultat</t>
        </is>
      </c>
    </row>
    <row r="539">
      <c r="A539" s="3" t="inlineStr">
        <is>
          <t>https://codesommet.com/web-development-company/london</t>
        </is>
      </c>
      <c r="B539" t="n">
        <v>9</v>
      </c>
      <c r="C539" t="inlineStr">
        <is>
          <t>Why us / differentiation</t>
        </is>
      </c>
      <c r="D539" s="5" t="inlineStr">
        <is>
          <t>CodeSommet Londres vs Autres</t>
        </is>
      </c>
      <c r="E539" t="inlineStr">
        <is>
          <t>H2</t>
        </is>
      </c>
      <c r="F539" s="5" t="inlineStr">
        <is>
          <t>Commercial investigation</t>
        </is>
      </c>
      <c r="G539" t="inlineStr">
        <is>
          <t>développement web londres</t>
        </is>
      </c>
      <c r="H539" t="inlineStr">
        <is>
          <t>SUPPORTS PRIMARY</t>
        </is>
      </c>
      <c r="I539" t="inlineStr">
        <is>
          <t>uk</t>
        </is>
      </c>
      <c r="J539" t="inlineStr">
        <is>
          <t>NOT AVAILABLE</t>
        </is>
      </c>
      <c r="K539" t="inlineStr">
        <is>
          <t>NOT AVAILABLE</t>
        </is>
      </c>
      <c r="L539" t="inlineStr">
        <is>
          <t>NOT AVAILABLE</t>
        </is>
      </c>
      <c r="M539" t="inlineStr">
        <is>
          <t>UNAVAILABLE</t>
        </is>
      </c>
      <c r="N539" t="inlineStr">
        <is>
          <t>Yes</t>
        </is>
      </c>
      <c r="O539" s="5" t="inlineStr">
        <is>
          <t>Covered - keep wording; no change</t>
        </is>
      </c>
      <c r="P539" s="5" t="inlineStr"/>
      <c r="Q539" t="inlineStr">
        <is>
          <t>P3</t>
        </is>
      </c>
      <c r="R539" t="n">
        <v>98</v>
      </c>
      <c r="S539" s="5" t="inlineStr">
        <is>
          <t>Découvrez pourquoi Londres les entreprises choisissent CodeSommet plutôt que d'autres agences locales et internationales. Fonctionnalité CodeSommet Londres Autres Agences de Londres Agences Internationales Révisions Illi</t>
        </is>
      </c>
    </row>
    <row r="540">
      <c r="A540" s="3" t="inlineStr">
        <is>
          <t>https://codesommet.com/web-development-company/london</t>
        </is>
      </c>
      <c r="B540" t="n">
        <v>10</v>
      </c>
      <c r="C540" t="inlineStr">
        <is>
          <t>Testimonials / social proof</t>
        </is>
      </c>
      <c r="D540" s="5" t="inlineStr">
        <is>
          <t>Ce Que les Clients de Londres Disent de Nous</t>
        </is>
      </c>
      <c r="E540" t="inlineStr">
        <is>
          <t>H2</t>
        </is>
      </c>
      <c r="F540" s="5" t="inlineStr">
        <is>
          <t>Commercial investigation</t>
        </is>
      </c>
      <c r="G540" t="inlineStr">
        <is>
          <t>développement web londres</t>
        </is>
      </c>
      <c r="H540" t="inlineStr">
        <is>
          <t>SUPPORTS PRIMARY</t>
        </is>
      </c>
      <c r="I540" t="inlineStr">
        <is>
          <t>uk</t>
        </is>
      </c>
      <c r="J540" t="inlineStr">
        <is>
          <t>NOT AVAILABLE</t>
        </is>
      </c>
      <c r="K540" t="inlineStr">
        <is>
          <t>NOT AVAILABLE</t>
        </is>
      </c>
      <c r="L540" t="inlineStr">
        <is>
          <t>NOT AVAILABLE</t>
        </is>
      </c>
      <c r="M540" t="inlineStr">
        <is>
          <t>UNAVAILABLE</t>
        </is>
      </c>
      <c r="N540" t="inlineStr">
        <is>
          <t>Yes (supporting block)</t>
        </is>
      </c>
      <c r="O540" s="5" t="inlineStr">
        <is>
          <t>Supports the primary topic - add only if natural</t>
        </is>
      </c>
      <c r="P540" s="5" t="inlineStr"/>
      <c r="Q540" t="inlineStr">
        <is>
          <t>P3</t>
        </is>
      </c>
      <c r="R540" t="n">
        <v>103</v>
      </c>
      <c r="S540" s="5" t="inlineStr">
        <is>
          <t>Ne nous croyez pas sur parole. Écoutez les entreprises de Londres qui ont obtenu des résultats remarquables avec CodeSommet. "Une collaboration professionnelle du début à la fin. Je recommande sans hésiter." Mohammed Cha</t>
        </is>
      </c>
    </row>
    <row r="541">
      <c r="A541" s="3" t="inlineStr">
        <is>
          <t>https://codesommet.com/web-development-company/london</t>
        </is>
      </c>
      <c r="B541" t="n">
        <v>11</v>
      </c>
      <c r="C541" t="inlineStr">
        <is>
          <t>Process / how it works</t>
        </is>
      </c>
      <c r="D541" s="5" t="inlineStr">
        <is>
          <t>Comment démarrer en 3 étapes simples</t>
        </is>
      </c>
      <c r="E541" t="inlineStr">
        <is>
          <t>H2</t>
        </is>
      </c>
      <c r="F541" s="5" t="inlineStr">
        <is>
          <t>Informational / commercial</t>
        </is>
      </c>
      <c r="G541" t="inlineStr">
        <is>
          <t>développement web londres</t>
        </is>
      </c>
      <c r="H541" t="inlineStr">
        <is>
          <t>SUPPORTS PRIMARY</t>
        </is>
      </c>
      <c r="I541" t="inlineStr">
        <is>
          <t>uk</t>
        </is>
      </c>
      <c r="J541" t="inlineStr">
        <is>
          <t>NOT AVAILABLE</t>
        </is>
      </c>
      <c r="K541" t="inlineStr">
        <is>
          <t>NOT AVAILABLE</t>
        </is>
      </c>
      <c r="L541" t="inlineStr">
        <is>
          <t>NOT AVAILABLE</t>
        </is>
      </c>
      <c r="M541" t="inlineStr">
        <is>
          <t>UNAVAILABLE</t>
        </is>
      </c>
      <c r="N541" t="inlineStr">
        <is>
          <t>Yes (supporting block)</t>
        </is>
      </c>
      <c r="O541" s="5" t="inlineStr">
        <is>
          <t>Supports the primary topic - add only if natural</t>
        </is>
      </c>
      <c r="P541" s="5" t="inlineStr"/>
      <c r="Q541" t="inlineStr">
        <is>
          <t>P3</t>
        </is>
      </c>
      <c r="R541" t="n">
        <v>286</v>
      </c>
      <c r="S541" s="5" t="inlineStr">
        <is>
          <t>Du premier appel à la livraison du projet, découvrez exactement comment nous travaillons ensemble Étape 1 Abonnement 1 projet actif Révisions illimitées Design &amp; développement SEO &amp; contenu Recommandé Développement de Si</t>
        </is>
      </c>
    </row>
    <row r="542">
      <c r="A542" s="3" t="inlineStr">
        <is>
          <t>https://codesommet.com/web-development-company/london</t>
        </is>
      </c>
      <c r="B542" t="n">
        <v>12</v>
      </c>
      <c r="C542" t="inlineStr">
        <is>
          <t>FAQ</t>
        </is>
      </c>
      <c r="D542" s="5" t="inlineStr">
        <is>
          <t>Questions Fréquemment Posées sur le Développement Web à Londres</t>
        </is>
      </c>
      <c r="E542" t="inlineStr">
        <is>
          <t>H2</t>
        </is>
      </c>
      <c r="F542" s="5" t="inlineStr">
        <is>
          <t>Informational (pre-purchase questions)</t>
        </is>
      </c>
      <c r="G542" t="inlineStr">
        <is>
          <t>développement web londres</t>
        </is>
      </c>
      <c r="H542" t="inlineStr">
        <is>
          <t>SUPPORTS PRIMARY</t>
        </is>
      </c>
      <c r="I542" t="inlineStr">
        <is>
          <t>uk</t>
        </is>
      </c>
      <c r="J542" t="inlineStr">
        <is>
          <t>NOT AVAILABLE</t>
        </is>
      </c>
      <c r="K542" t="inlineStr">
        <is>
          <t>NOT AVAILABLE</t>
        </is>
      </c>
      <c r="L542" t="inlineStr">
        <is>
          <t>NOT AVAILABLE</t>
        </is>
      </c>
      <c r="M542" t="inlineStr">
        <is>
          <t>UNAVAILABLE</t>
        </is>
      </c>
      <c r="N542" t="inlineStr">
        <is>
          <t>Yes</t>
        </is>
      </c>
      <c r="O542" s="5" t="inlineStr">
        <is>
          <t>Covered - keep wording; no change</t>
        </is>
      </c>
      <c r="P542" s="5" t="inlineStr"/>
      <c r="Q542" t="inlineStr">
        <is>
          <t>P3</t>
        </is>
      </c>
      <c r="R542" t="n">
        <v>389</v>
      </c>
      <c r="S542" s="5" t="inlineStr">
        <is>
          <t>Vous avez des questions ? Nous avons les réponses. Voici les questions les plus fréquentes des entreprises de Londres. 1 Pourquoi choisir CodeSommet plutôt que les nombreuses agences de développement web de Londres ? Par</t>
        </is>
      </c>
    </row>
    <row r="543">
      <c r="A543" s="3" t="inlineStr">
        <is>
          <t>https://codesommet.com/web-development-company/london</t>
        </is>
      </c>
      <c r="B543" t="n">
        <v>13</v>
      </c>
      <c r="C543" t="inlineStr">
        <is>
          <t>Internal-link block</t>
        </is>
      </c>
      <c r="D543" s="5" t="inlineStr">
        <is>
          <t>Nous Desservons Aussi</t>
        </is>
      </c>
      <c r="E543" t="inlineStr">
        <is>
          <t>H2</t>
        </is>
      </c>
      <c r="F543" s="5" t="inlineStr">
        <is>
          <t>Navigation</t>
        </is>
      </c>
      <c r="G543" t="inlineStr">
        <is>
          <t>—</t>
        </is>
      </c>
      <c r="H543" t="inlineStr">
        <is>
          <t>NONE</t>
        </is>
      </c>
      <c r="I543" t="inlineStr">
        <is>
          <t>—</t>
        </is>
      </c>
      <c r="J543" t="inlineStr">
        <is>
          <t>—</t>
        </is>
      </c>
      <c r="K543" t="inlineStr">
        <is>
          <t>—</t>
        </is>
      </c>
      <c r="L543" t="inlineStr">
        <is>
          <t>—</t>
        </is>
      </c>
      <c r="M543" t="inlineStr">
        <is>
          <t>—</t>
        </is>
      </c>
      <c r="N543" t="inlineStr">
        <is>
          <t>n/a</t>
        </is>
      </c>
      <c r="O543" s="5" t="inlineStr">
        <is>
          <t>No keyword target - keep conversion/navigation focus; use descriptive, non-repeated anchor texts</t>
        </is>
      </c>
      <c r="P543" s="5" t="inlineStr"/>
      <c r="Q543" t="inlineStr">
        <is>
          <t>P4</t>
        </is>
      </c>
      <c r="R543" t="n">
        <v>29</v>
      </c>
      <c r="S543" s="5" t="inlineStr">
        <is>
          <t>Explorez nos services de développement web dans d'autres villes à travers le monde Paris France Dublin Irlande Bruxelles Belgique Zurich Suisse Amsterdam Pays-Bas Stockholm Suède Voir Toutes les Villes</t>
        </is>
      </c>
    </row>
    <row r="544">
      <c r="A544" s="3" t="inlineStr">
        <is>
          <t>https://codesommet.com/web-development-company/london</t>
        </is>
      </c>
      <c r="B544" t="n">
        <v>14</v>
      </c>
      <c r="C544" t="inlineStr">
        <is>
          <t>Internal-link block</t>
        </is>
      </c>
      <c r="D544" s="5" t="inlineStr">
        <is>
          <t>Explorer Plus</t>
        </is>
      </c>
      <c r="E544" t="inlineStr">
        <is>
          <t>H2</t>
        </is>
      </c>
      <c r="F544" s="5" t="inlineStr">
        <is>
          <t>Navigation</t>
        </is>
      </c>
      <c r="G544" t="inlineStr">
        <is>
          <t>—</t>
        </is>
      </c>
      <c r="H544" t="inlineStr">
        <is>
          <t>NONE</t>
        </is>
      </c>
      <c r="I544" t="inlineStr">
        <is>
          <t>—</t>
        </is>
      </c>
      <c r="J544" t="inlineStr">
        <is>
          <t>—</t>
        </is>
      </c>
      <c r="K544" t="inlineStr">
        <is>
          <t>—</t>
        </is>
      </c>
      <c r="L544" t="inlineStr">
        <is>
          <t>—</t>
        </is>
      </c>
      <c r="M544" t="inlineStr">
        <is>
          <t>—</t>
        </is>
      </c>
      <c r="N544" t="inlineStr">
        <is>
          <t>n/a</t>
        </is>
      </c>
      <c r="O544" s="5" t="inlineStr">
        <is>
          <t>No keyword target - keep conversion/navigation focus; use descriptive, non-repeated anchor texts</t>
        </is>
      </c>
      <c r="P544" s="5" t="inlineStr"/>
      <c r="Q544" t="inlineStr">
        <is>
          <t>P4</t>
        </is>
      </c>
      <c r="R544" t="n">
        <v>83</v>
      </c>
      <c r="S544" s="5" t="inlineStr">
        <is>
          <t xml:space="preserve">Découvrez ce qui fait de CodeSommet votre partenaire idéal en développement web Audit Gratuit de Site Web Obtenez une analyse alimentée par l'IA avec plus de 40 vérifications En savoir plus Voir Nos Projets Explorez les </t>
        </is>
      </c>
    </row>
    <row r="545">
      <c r="A545" s="3" t="inlineStr">
        <is>
          <t>https://codesommet.com/web-development-company/london</t>
        </is>
      </c>
      <c r="B545" t="n">
        <v>15</v>
      </c>
      <c r="C545" t="inlineStr">
        <is>
          <t>CTA / conversion</t>
        </is>
      </c>
      <c r="D545" s="5" t="inlineStr">
        <is>
          <t>Prêt à Créer Quelque Chose d'Extraordinaire ?</t>
        </is>
      </c>
      <c r="E545" t="inlineStr">
        <is>
          <t>H2</t>
        </is>
      </c>
      <c r="F545" s="5" t="inlineStr">
        <is>
          <t>Conversion</t>
        </is>
      </c>
      <c r="G545" t="inlineStr">
        <is>
          <t>—</t>
        </is>
      </c>
      <c r="H545" t="inlineStr">
        <is>
          <t>NONE</t>
        </is>
      </c>
      <c r="I545" t="inlineStr">
        <is>
          <t>—</t>
        </is>
      </c>
      <c r="J545" t="inlineStr">
        <is>
          <t>—</t>
        </is>
      </c>
      <c r="K545" t="inlineStr">
        <is>
          <t>—</t>
        </is>
      </c>
      <c r="L545" t="inlineStr">
        <is>
          <t>—</t>
        </is>
      </c>
      <c r="M545" t="inlineStr">
        <is>
          <t>—</t>
        </is>
      </c>
      <c r="N545" t="inlineStr">
        <is>
          <t>n/a</t>
        </is>
      </c>
      <c r="O545" s="5" t="inlineStr">
        <is>
          <t>No keyword target - keep conversion/navigation focus; use descriptive, non-repeated anchor texts</t>
        </is>
      </c>
      <c r="P545" s="5" t="inlineStr"/>
      <c r="Q545" t="inlineStr">
        <is>
          <t>P4</t>
        </is>
      </c>
      <c r="R545" t="n">
        <v>119</v>
      </c>
      <c r="S545" s="5" t="inlineStr">
        <is>
          <t>Rejoignez les entreprises visionnaires qui ont choisi l'excellence Réserver un Appel Découverte Analyser Mon Site Gratuitement Réserver un Appel Découverte Analyser Votre Site Web Discutons de la façon dont l'IA et le de</t>
        </is>
      </c>
    </row>
    <row r="546">
      <c r="A546" s="3" t="inlineStr">
        <is>
          <t>https://codesommet.com/web-development-company/amsterdam</t>
        </is>
      </c>
      <c r="B546" t="n">
        <v>1</v>
      </c>
      <c r="C546" t="inlineStr">
        <is>
          <t>Hero / H1</t>
        </is>
      </c>
      <c r="D546" s="5" t="inlineStr">
        <is>
          <t>Développement Web à Amsterdam, Pays-Bas : des sites web qui génèrent Plateformes FinTech</t>
        </is>
      </c>
      <c r="E546" t="inlineStr">
        <is>
          <t>H1</t>
        </is>
      </c>
      <c r="F546" s="5" t="inlineStr">
        <is>
          <t>Commercial (local)</t>
        </is>
      </c>
      <c r="G546" t="inlineStr">
        <is>
          <t>développement web amsterdam</t>
        </is>
      </c>
      <c r="H546" t="inlineStr">
        <is>
          <t>PRIMARY</t>
        </is>
      </c>
      <c r="I546" t="inlineStr">
        <is>
          <t>nl</t>
        </is>
      </c>
      <c r="J546" t="inlineStr">
        <is>
          <t>NOT AVAILABLE</t>
        </is>
      </c>
      <c r="K546" t="inlineStr">
        <is>
          <t>NOT AVAILABLE</t>
        </is>
      </c>
      <c r="L546" t="inlineStr">
        <is>
          <t>NOT AVAILABLE</t>
        </is>
      </c>
      <c r="M546" t="inlineStr">
        <is>
          <t>UNAVAILABLE</t>
        </is>
      </c>
      <c r="N546" t="inlineStr">
        <is>
          <t>Yes</t>
        </is>
      </c>
      <c r="O546" s="5" t="inlineStr">
        <is>
          <t>Covered - keep wording; no change</t>
        </is>
      </c>
      <c r="P546" s="5" t="inlineStr"/>
      <c r="Q546" t="inlineStr">
        <is>
          <t>P3</t>
        </is>
      </c>
      <c r="R546" t="n">
        <v>78</v>
      </c>
      <c r="S546" s="5" t="inlineStr">
        <is>
          <t>Depuis le Maroc, notre studio de développement web accompagne à distance les entreprises d'Amsterdam dans la création de sites web alimentés par l'IA et de tableaux de bord intelligents. Nous sommes spécialisés dans la c</t>
        </is>
      </c>
    </row>
    <row r="547">
      <c r="A547" s="3" t="inlineStr">
        <is>
          <t>https://codesommet.com/web-development-company/amsterdam</t>
        </is>
      </c>
      <c r="B547" t="n">
        <v>2</v>
      </c>
      <c r="C547" t="inlineStr">
        <is>
          <t>Why us / differentiation</t>
        </is>
      </c>
      <c r="D547" s="5" t="inlineStr">
        <is>
          <t>Pourquoi Choisir CodeSommet à Amsterdam ?</t>
        </is>
      </c>
      <c r="E547" t="inlineStr">
        <is>
          <t>H2</t>
        </is>
      </c>
      <c r="F547" s="5" t="inlineStr">
        <is>
          <t>Commercial investigation</t>
        </is>
      </c>
      <c r="G547" t="inlineStr">
        <is>
          <t>développement web amsterdam</t>
        </is>
      </c>
      <c r="H547" t="inlineStr">
        <is>
          <t>SUPPORTS PRIMARY</t>
        </is>
      </c>
      <c r="I547" t="inlineStr">
        <is>
          <t>nl</t>
        </is>
      </c>
      <c r="J547" t="inlineStr">
        <is>
          <t>NOT AVAILABLE</t>
        </is>
      </c>
      <c r="K547" t="inlineStr">
        <is>
          <t>NOT AVAILABLE</t>
        </is>
      </c>
      <c r="L547" t="inlineStr">
        <is>
          <t>NOT AVAILABLE</t>
        </is>
      </c>
      <c r="M547" t="inlineStr">
        <is>
          <t>UNAVAILABLE</t>
        </is>
      </c>
      <c r="N547" t="inlineStr">
        <is>
          <t>Yes</t>
        </is>
      </c>
      <c r="O547" s="5" t="inlineStr">
        <is>
          <t>Covered - keep wording; no change</t>
        </is>
      </c>
      <c r="P547" s="5" t="inlineStr"/>
      <c r="Q547" t="inlineStr">
        <is>
          <t>P3</t>
        </is>
      </c>
      <c r="R547" t="n">
        <v>160</v>
      </c>
      <c r="S547" s="5" t="inlineStr">
        <is>
          <t>L'expertise locale rencontre les standards mondiaux. Voici ce qui fait de nous le partenaire de développement web idéal à Amsterdam. Experts en IA Créez des chatbots intelligents, des workflows d'automatisation, de la re</t>
        </is>
      </c>
    </row>
    <row r="548">
      <c r="A548" s="3" t="inlineStr">
        <is>
          <t>https://codesommet.com/web-development-company/amsterdam</t>
        </is>
      </c>
      <c r="B548" t="n">
        <v>3</v>
      </c>
      <c r="C548" t="inlineStr">
        <is>
          <t>Content block</t>
        </is>
      </c>
      <c r="D548" s="5" t="inlineStr">
        <is>
          <t>Approuvé par Amsterdam Entreprises</t>
        </is>
      </c>
      <c r="E548" t="inlineStr">
        <is>
          <t>H2</t>
        </is>
      </c>
      <c r="F548" s="5" t="inlineStr">
        <is>
          <t>Commercial (local)</t>
        </is>
      </c>
      <c r="G548" t="inlineStr">
        <is>
          <t>développement web amsterdam</t>
        </is>
      </c>
      <c r="H548" t="inlineStr">
        <is>
          <t>SUPPORTS PRIMARY</t>
        </is>
      </c>
      <c r="I548" t="inlineStr">
        <is>
          <t>nl</t>
        </is>
      </c>
      <c r="J548" t="inlineStr">
        <is>
          <t>NOT AVAILABLE</t>
        </is>
      </c>
      <c r="K548" t="inlineStr">
        <is>
          <t>NOT AVAILABLE</t>
        </is>
      </c>
      <c r="L548" t="inlineStr">
        <is>
          <t>NOT AVAILABLE</t>
        </is>
      </c>
      <c r="M548" t="inlineStr">
        <is>
          <t>UNAVAILABLE</t>
        </is>
      </c>
      <c r="N548" t="inlineStr">
        <is>
          <t>Yes (supporting block)</t>
        </is>
      </c>
      <c r="O548" s="5" t="inlineStr">
        <is>
          <t>Supports the primary topic - add only if natural</t>
        </is>
      </c>
      <c r="P548" s="5" t="inlineStr"/>
      <c r="Q548" t="inlineStr">
        <is>
          <t>P3</t>
        </is>
      </c>
      <c r="R548" t="n">
        <v>27</v>
      </c>
      <c r="S548" s="5" t="inlineStr">
        <is>
          <t>Projets livrés à l'international Sites pensés pour la conversion Clients dans plusieurs pays De vrais résultats de Amsterdam - entreprises avec lesquelles nous avons collaboré Expertise Sectorielle</t>
        </is>
      </c>
    </row>
    <row r="549">
      <c r="A549" s="3" t="inlineStr">
        <is>
          <t>https://codesommet.com/web-development-company/amsterdam</t>
        </is>
      </c>
      <c r="B549" t="n">
        <v>4</v>
      </c>
      <c r="C549" t="inlineStr">
        <is>
          <t>Content block</t>
        </is>
      </c>
      <c r="D549" s="5" t="inlineStr">
        <is>
          <t>Amsterdam Nos Secteurs de Spécialisation</t>
        </is>
      </c>
      <c r="E549" t="inlineStr">
        <is>
          <t>H2</t>
        </is>
      </c>
      <c r="F549" s="5" t="inlineStr">
        <is>
          <t>Commercial (local)</t>
        </is>
      </c>
      <c r="G549" t="inlineStr">
        <is>
          <t>développement web amsterdam</t>
        </is>
      </c>
      <c r="H549" t="inlineStr">
        <is>
          <t>SUPPORTS PRIMARY</t>
        </is>
      </c>
      <c r="I549" t="inlineStr">
        <is>
          <t>nl</t>
        </is>
      </c>
      <c r="J549" t="inlineStr">
        <is>
          <t>NOT AVAILABLE</t>
        </is>
      </c>
      <c r="K549" t="inlineStr">
        <is>
          <t>NOT AVAILABLE</t>
        </is>
      </c>
      <c r="L549" t="inlineStr">
        <is>
          <t>NOT AVAILABLE</t>
        </is>
      </c>
      <c r="M549" t="inlineStr">
        <is>
          <t>UNAVAILABLE</t>
        </is>
      </c>
      <c r="N549" t="inlineStr">
        <is>
          <t>Yes</t>
        </is>
      </c>
      <c r="O549" s="5" t="inlineStr">
        <is>
          <t>Covered - keep wording; no change</t>
        </is>
      </c>
      <c r="P549" s="5" t="inlineStr"/>
      <c r="Q549" t="inlineStr">
        <is>
          <t>P3</t>
        </is>
      </c>
      <c r="R549" t="n">
        <v>187</v>
      </c>
      <c r="S549" s="5" t="inlineStr">
        <is>
          <t>Expertise approfondie dans Amsterdam . Nous comprenons les défis uniques de votre secteur et les exigences de conformité. FinTech Plateformes financières sécurisées avec traitement des paiements, conformité et fonctionna</t>
        </is>
      </c>
    </row>
    <row r="550">
      <c r="A550" s="3" t="inlineStr">
        <is>
          <t>https://codesommet.com/web-development-company/amsterdam</t>
        </is>
      </c>
      <c r="B550" t="n">
        <v>5</v>
      </c>
      <c r="C550" t="inlineStr">
        <is>
          <t>Testimonials / social proof</t>
        </is>
      </c>
      <c r="D550" s="5" t="inlineStr">
        <is>
          <t>Histoires de Succès de Amsterdam</t>
        </is>
      </c>
      <c r="E550" t="inlineStr">
        <is>
          <t>H2</t>
        </is>
      </c>
      <c r="F550" s="5" t="inlineStr">
        <is>
          <t>Commercial investigation</t>
        </is>
      </c>
      <c r="G550" t="inlineStr">
        <is>
          <t>développement web amsterdam</t>
        </is>
      </c>
      <c r="H550" t="inlineStr">
        <is>
          <t>SUPPORTS PRIMARY</t>
        </is>
      </c>
      <c r="I550" t="inlineStr">
        <is>
          <t>nl</t>
        </is>
      </c>
      <c r="J550" t="inlineStr">
        <is>
          <t>NOT AVAILABLE</t>
        </is>
      </c>
      <c r="K550" t="inlineStr">
        <is>
          <t>NOT AVAILABLE</t>
        </is>
      </c>
      <c r="L550" t="inlineStr">
        <is>
          <t>NOT AVAILABLE</t>
        </is>
      </c>
      <c r="M550" t="inlineStr">
        <is>
          <t>UNAVAILABLE</t>
        </is>
      </c>
      <c r="N550" t="inlineStr">
        <is>
          <t>Yes (supporting block)</t>
        </is>
      </c>
      <c r="O550" s="5" t="inlineStr">
        <is>
          <t>Supports the primary topic - add only if natural</t>
        </is>
      </c>
      <c r="P550" s="5" t="inlineStr"/>
      <c r="Q550" t="inlineStr">
        <is>
          <t>P3</t>
        </is>
      </c>
      <c r="R550" t="n">
        <v>58</v>
      </c>
      <c r="S550" s="5" t="inlineStr">
        <is>
          <t>De vrais projets, de vrais résultats. Découvrez comment nous avons aidé les entreprises à Amsterdam atteindre leurs objectifs numériques. Beauté Boutique en ligne sur mesure GlamWorlds Maroc Éducation Inscription en lign</t>
        </is>
      </c>
    </row>
    <row r="551">
      <c r="A551" s="3" t="inlineStr">
        <is>
          <t>https://codesommet.com/web-development-company/amsterdam</t>
        </is>
      </c>
      <c r="B551" t="n">
        <v>6</v>
      </c>
      <c r="C551" t="inlineStr">
        <is>
          <t>Process / how it works</t>
        </is>
      </c>
      <c r="D551" s="5" t="inlineStr">
        <is>
          <t>Comment Nous Concevons des Plateformes de Paiement Fiables pour les Startups Fintech d'Amsterdam</t>
        </is>
      </c>
      <c r="E551" t="inlineStr">
        <is>
          <t>H2</t>
        </is>
      </c>
      <c r="F551" s="5" t="inlineStr">
        <is>
          <t>Informational / commercial</t>
        </is>
      </c>
      <c r="G551" t="inlineStr">
        <is>
          <t>développement web amsterdam</t>
        </is>
      </c>
      <c r="H551" t="inlineStr">
        <is>
          <t>SUPPORTS PRIMARY</t>
        </is>
      </c>
      <c r="I551" t="inlineStr">
        <is>
          <t>nl</t>
        </is>
      </c>
      <c r="J551" t="inlineStr">
        <is>
          <t>NOT AVAILABLE</t>
        </is>
      </c>
      <c r="K551" t="inlineStr">
        <is>
          <t>NOT AVAILABLE</t>
        </is>
      </c>
      <c r="L551" t="inlineStr">
        <is>
          <t>NOT AVAILABLE</t>
        </is>
      </c>
      <c r="M551" t="inlineStr">
        <is>
          <t>UNAVAILABLE</t>
        </is>
      </c>
      <c r="N551" t="inlineStr">
        <is>
          <t>Yes (supporting block)</t>
        </is>
      </c>
      <c r="O551" s="5" t="inlineStr">
        <is>
          <t>Supports the primary topic - add only if natural</t>
        </is>
      </c>
      <c r="P551" s="5" t="inlineStr"/>
      <c r="Q551" t="inlineStr">
        <is>
          <t>P3</t>
        </is>
      </c>
      <c r="R551" t="n">
        <v>283</v>
      </c>
      <c r="S551" s="5" t="inlineStr">
        <is>
          <t>Plateforme de traitement de paiements B2B et de gestion d'abonnements • Fintech / Paiements • Délai adapté à la portée du projet Le Contexte Les startups SaaS européennes basées à Amsterdam ont besoin de plateformes capa</t>
        </is>
      </c>
    </row>
    <row r="552">
      <c r="A552" s="3" t="inlineStr">
        <is>
          <t>https://codesommet.com/web-development-company/amsterdam</t>
        </is>
      </c>
      <c r="B552" t="n">
        <v>7</v>
      </c>
      <c r="C552" t="inlineStr">
        <is>
          <t>Pricing / offers</t>
        </is>
      </c>
      <c r="D552" s="5" t="inlineStr">
        <is>
          <t>Solutions Personnalisées, Tarification Transparente</t>
        </is>
      </c>
      <c r="E552" t="inlineStr">
        <is>
          <t>H2</t>
        </is>
      </c>
      <c r="F552" s="5" t="inlineStr">
        <is>
          <t>Commercial / transactional</t>
        </is>
      </c>
      <c r="G552" t="inlineStr">
        <is>
          <t>développement web amsterdam</t>
        </is>
      </c>
      <c r="H552" t="inlineStr">
        <is>
          <t>SUPPORTS PRIMARY</t>
        </is>
      </c>
      <c r="I552" t="inlineStr">
        <is>
          <t>nl</t>
        </is>
      </c>
      <c r="J552" t="inlineStr">
        <is>
          <t>NOT AVAILABLE</t>
        </is>
      </c>
      <c r="K552" t="inlineStr">
        <is>
          <t>NOT AVAILABLE</t>
        </is>
      </c>
      <c r="L552" t="inlineStr">
        <is>
          <t>NOT AVAILABLE</t>
        </is>
      </c>
      <c r="M552" t="inlineStr">
        <is>
          <t>UNAVAILABLE</t>
        </is>
      </c>
      <c r="N552" t="inlineStr">
        <is>
          <t>Yes (supporting block)</t>
        </is>
      </c>
      <c r="O552" s="5" t="inlineStr">
        <is>
          <t>Supports the primary topic - add only if natural</t>
        </is>
      </c>
      <c r="P552" s="5" t="inlineStr"/>
      <c r="Q552" t="inlineStr">
        <is>
          <t>P3</t>
        </is>
      </c>
      <c r="R552" t="n">
        <v>184</v>
      </c>
      <c r="S552" s="5" t="inlineStr">
        <is>
          <t>Réservez un appel découverte pour discuter de vos besoins spécifiques et obtenir un devis personnalisé Recommandé Développement Web Site web complet avec fonctionnalités IA, tableaux de bord et design premium livré en 2-</t>
        </is>
      </c>
    </row>
    <row r="553">
      <c r="A553" s="3" t="inlineStr">
        <is>
          <t>https://codesommet.com/web-development-company/amsterdam</t>
        </is>
      </c>
      <c r="B553" t="n">
        <v>8</v>
      </c>
      <c r="C553" t="inlineStr">
        <is>
          <t>CTA / conversion</t>
        </is>
      </c>
      <c r="D553" s="5" t="inlineStr">
        <is>
          <t>Prêt à Améliorer Votre Site Web à Amsterdam ?</t>
        </is>
      </c>
      <c r="E553" t="inlineStr">
        <is>
          <t>H2</t>
        </is>
      </c>
      <c r="F553" s="5" t="inlineStr">
        <is>
          <t>Conversion</t>
        </is>
      </c>
      <c r="G553" t="inlineStr">
        <is>
          <t>—</t>
        </is>
      </c>
      <c r="H553" t="inlineStr">
        <is>
          <t>NONE</t>
        </is>
      </c>
      <c r="I553" t="inlineStr">
        <is>
          <t>—</t>
        </is>
      </c>
      <c r="J553" t="inlineStr">
        <is>
          <t>—</t>
        </is>
      </c>
      <c r="K553" t="inlineStr">
        <is>
          <t>—</t>
        </is>
      </c>
      <c r="L553" t="inlineStr">
        <is>
          <t>—</t>
        </is>
      </c>
      <c r="M553" t="inlineStr">
        <is>
          <t>—</t>
        </is>
      </c>
      <c r="N553" t="inlineStr">
        <is>
          <t>n/a</t>
        </is>
      </c>
      <c r="O553" s="5" t="inlineStr">
        <is>
          <t>No keyword target - keep conversion/navigation focus; use descriptive, non-repeated anchor texts</t>
        </is>
      </c>
      <c r="P553" s="5" t="inlineStr"/>
      <c r="Q553" t="inlineStr">
        <is>
          <t>P4</t>
        </is>
      </c>
      <c r="R553" t="n">
        <v>40</v>
      </c>
      <c r="S553" s="5" t="inlineStr">
        <is>
          <t xml:space="preserve">Obtenez d'abord une analyse gratuite complète : Audit SEO Vérification de performance Revue de design Recommandations alimentées par l'IA Analyser Votre Site Web - 100% Gratuit Aucune carte de crédit requise • Résultats </t>
        </is>
      </c>
    </row>
    <row r="554">
      <c r="A554" s="3" t="inlineStr">
        <is>
          <t>https://codesommet.com/web-development-company/amsterdam</t>
        </is>
      </c>
      <c r="B554" t="n">
        <v>9</v>
      </c>
      <c r="C554" t="inlineStr">
        <is>
          <t>Why us / differentiation</t>
        </is>
      </c>
      <c r="D554" s="5" t="inlineStr">
        <is>
          <t>CodeSommet Amsterdam vs Autres</t>
        </is>
      </c>
      <c r="E554" t="inlineStr">
        <is>
          <t>H2</t>
        </is>
      </c>
      <c r="F554" s="5" t="inlineStr">
        <is>
          <t>Commercial investigation</t>
        </is>
      </c>
      <c r="G554" t="inlineStr">
        <is>
          <t>développement web amsterdam</t>
        </is>
      </c>
      <c r="H554" t="inlineStr">
        <is>
          <t>SUPPORTS PRIMARY</t>
        </is>
      </c>
      <c r="I554" t="inlineStr">
        <is>
          <t>nl</t>
        </is>
      </c>
      <c r="J554" t="inlineStr">
        <is>
          <t>NOT AVAILABLE</t>
        </is>
      </c>
      <c r="K554" t="inlineStr">
        <is>
          <t>NOT AVAILABLE</t>
        </is>
      </c>
      <c r="L554" t="inlineStr">
        <is>
          <t>NOT AVAILABLE</t>
        </is>
      </c>
      <c r="M554" t="inlineStr">
        <is>
          <t>UNAVAILABLE</t>
        </is>
      </c>
      <c r="N554" t="inlineStr">
        <is>
          <t>Yes</t>
        </is>
      </c>
      <c r="O554" s="5" t="inlineStr">
        <is>
          <t>Covered - keep wording; no change</t>
        </is>
      </c>
      <c r="P554" s="5" t="inlineStr"/>
      <c r="Q554" t="inlineStr">
        <is>
          <t>P3</t>
        </is>
      </c>
      <c r="R554" t="n">
        <v>80</v>
      </c>
      <c r="S554" s="5" t="inlineStr">
        <is>
          <t>Découvrez pourquoi Amsterdam entreprises choisissent CodeSommet plutôt que d'autres agences locales et concurrents internationaux. Fonctionnalité CodeSommet Amsterdam Autres Amsterdam Agences Agences Internationales Révi</t>
        </is>
      </c>
    </row>
    <row r="555">
      <c r="A555" s="3" t="inlineStr">
        <is>
          <t>https://codesommet.com/web-development-company/amsterdam</t>
        </is>
      </c>
      <c r="B555" t="n">
        <v>10</v>
      </c>
      <c r="C555" t="inlineStr">
        <is>
          <t>Testimonials / social proof</t>
        </is>
      </c>
      <c r="D555" s="5" t="inlineStr">
        <is>
          <t>Quoi Amsterdam Nos Clients Disent de Nous</t>
        </is>
      </c>
      <c r="E555" t="inlineStr">
        <is>
          <t>H2</t>
        </is>
      </c>
      <c r="F555" s="5" t="inlineStr">
        <is>
          <t>Commercial investigation</t>
        </is>
      </c>
      <c r="G555" t="inlineStr">
        <is>
          <t>développement web amsterdam</t>
        </is>
      </c>
      <c r="H555" t="inlineStr">
        <is>
          <t>SUPPORTS PRIMARY</t>
        </is>
      </c>
      <c r="I555" t="inlineStr">
        <is>
          <t>nl</t>
        </is>
      </c>
      <c r="J555" t="inlineStr">
        <is>
          <t>NOT AVAILABLE</t>
        </is>
      </c>
      <c r="K555" t="inlineStr">
        <is>
          <t>NOT AVAILABLE</t>
        </is>
      </c>
      <c r="L555" t="inlineStr">
        <is>
          <t>NOT AVAILABLE</t>
        </is>
      </c>
      <c r="M555" t="inlineStr">
        <is>
          <t>UNAVAILABLE</t>
        </is>
      </c>
      <c r="N555" t="inlineStr">
        <is>
          <t>Yes (supporting block)</t>
        </is>
      </c>
      <c r="O555" s="5" t="inlineStr">
        <is>
          <t>Supports the primary topic - add only if natural</t>
        </is>
      </c>
      <c r="P555" s="5" t="inlineStr"/>
      <c r="Q555" t="inlineStr">
        <is>
          <t>P3</t>
        </is>
      </c>
      <c r="R555" t="n">
        <v>104</v>
      </c>
      <c r="S555" s="5" t="inlineStr">
        <is>
          <t>Ne vous fiez pas seulement à notre parole. Écoutez les entreprises de Amsterdam qui ont obtenu des résultats remarquables avec CodeSommet. "Une collaboration professionnelle du début à la fin. Je recommande sans hésiter.</t>
        </is>
      </c>
    </row>
    <row r="556">
      <c r="A556" s="3" t="inlineStr">
        <is>
          <t>https://codesommet.com/web-development-company/amsterdam</t>
        </is>
      </c>
      <c r="B556" t="n">
        <v>11</v>
      </c>
      <c r="C556" t="inlineStr">
        <is>
          <t>Process / how it works</t>
        </is>
      </c>
      <c r="D556" s="5" t="inlineStr">
        <is>
          <t>Comment démarrer en 3 étapes simples</t>
        </is>
      </c>
      <c r="E556" t="inlineStr">
        <is>
          <t>H2</t>
        </is>
      </c>
      <c r="F556" s="5" t="inlineStr">
        <is>
          <t>Informational / commercial</t>
        </is>
      </c>
      <c r="G556" t="inlineStr">
        <is>
          <t>développement web amsterdam</t>
        </is>
      </c>
      <c r="H556" t="inlineStr">
        <is>
          <t>SUPPORTS PRIMARY</t>
        </is>
      </c>
      <c r="I556" t="inlineStr">
        <is>
          <t>nl</t>
        </is>
      </c>
      <c r="J556" t="inlineStr">
        <is>
          <t>NOT AVAILABLE</t>
        </is>
      </c>
      <c r="K556" t="inlineStr">
        <is>
          <t>NOT AVAILABLE</t>
        </is>
      </c>
      <c r="L556" t="inlineStr">
        <is>
          <t>NOT AVAILABLE</t>
        </is>
      </c>
      <c r="M556" t="inlineStr">
        <is>
          <t>UNAVAILABLE</t>
        </is>
      </c>
      <c r="N556" t="inlineStr">
        <is>
          <t>Yes (supporting block)</t>
        </is>
      </c>
      <c r="O556" s="5" t="inlineStr">
        <is>
          <t>Supports the primary topic - add only if natural</t>
        </is>
      </c>
      <c r="P556" s="5" t="inlineStr"/>
      <c r="Q556" t="inlineStr">
        <is>
          <t>P3</t>
        </is>
      </c>
      <c r="R556" t="n">
        <v>286</v>
      </c>
      <c r="S556" s="5" t="inlineStr">
        <is>
          <t>Du premier appel à la livraison du projet, découvrez exactement comment nous travaillons ensemble Étape 1 Abonnement 1 projet actif Révisions illimitées Design &amp; développement SEO &amp; contenu Recommandé Développement de Si</t>
        </is>
      </c>
    </row>
    <row r="557">
      <c r="A557" s="3" t="inlineStr">
        <is>
          <t>https://codesommet.com/web-development-company/amsterdam</t>
        </is>
      </c>
      <c r="B557" t="n">
        <v>12</v>
      </c>
      <c r="C557" t="inlineStr">
        <is>
          <t>FAQ</t>
        </is>
      </c>
      <c r="D557" s="5" t="inlineStr">
        <is>
          <t>Questions Fréquemment Posées Sur le Développement Web à Amsterdam</t>
        </is>
      </c>
      <c r="E557" t="inlineStr">
        <is>
          <t>H2</t>
        </is>
      </c>
      <c r="F557" s="5" t="inlineStr">
        <is>
          <t>Informational (pre-purchase questions)</t>
        </is>
      </c>
      <c r="G557" t="inlineStr">
        <is>
          <t>développement web amsterdam</t>
        </is>
      </c>
      <c r="H557" t="inlineStr">
        <is>
          <t>SUPPORTS PRIMARY</t>
        </is>
      </c>
      <c r="I557" t="inlineStr">
        <is>
          <t>nl</t>
        </is>
      </c>
      <c r="J557" t="inlineStr">
        <is>
          <t>NOT AVAILABLE</t>
        </is>
      </c>
      <c r="K557" t="inlineStr">
        <is>
          <t>NOT AVAILABLE</t>
        </is>
      </c>
      <c r="L557" t="inlineStr">
        <is>
          <t>NOT AVAILABLE</t>
        </is>
      </c>
      <c r="M557" t="inlineStr">
        <is>
          <t>UNAVAILABLE</t>
        </is>
      </c>
      <c r="N557" t="inlineStr">
        <is>
          <t>Yes</t>
        </is>
      </c>
      <c r="O557" s="5" t="inlineStr">
        <is>
          <t>Covered - keep wording; no change</t>
        </is>
      </c>
      <c r="P557" s="5" t="inlineStr"/>
      <c r="Q557" t="inlineStr">
        <is>
          <t>P3</t>
        </is>
      </c>
      <c r="R557" t="n">
        <v>379</v>
      </c>
      <c r="S557" s="5" t="inlineStr">
        <is>
          <t>Vous avez des questions ? Nous avons les réponses. Voici les questions les plus fréquentes de Amsterdam entreprises. 1 Pourquoi choisir CodeSommet plutôt que les nombreuses agences de développement web d'Amsterdam ? Parc</t>
        </is>
      </c>
    </row>
    <row r="558">
      <c r="A558" s="3" t="inlineStr">
        <is>
          <t>https://codesommet.com/web-development-company/amsterdam</t>
        </is>
      </c>
      <c r="B558" t="n">
        <v>13</v>
      </c>
      <c r="C558" t="inlineStr">
        <is>
          <t>Content block</t>
        </is>
      </c>
      <c r="D558" s="5" t="inlineStr">
        <is>
          <t>Nous Servons Également</t>
        </is>
      </c>
      <c r="E558" t="inlineStr">
        <is>
          <t>H2</t>
        </is>
      </c>
      <c r="F558" s="5" t="inlineStr">
        <is>
          <t>Commercial (local)</t>
        </is>
      </c>
      <c r="G558" t="inlineStr">
        <is>
          <t>développement web amsterdam</t>
        </is>
      </c>
      <c r="H558" t="inlineStr">
        <is>
          <t>SUPPORTS PRIMARY</t>
        </is>
      </c>
      <c r="I558" t="inlineStr">
        <is>
          <t>nl</t>
        </is>
      </c>
      <c r="J558" t="inlineStr">
        <is>
          <t>NOT AVAILABLE</t>
        </is>
      </c>
      <c r="K558" t="inlineStr">
        <is>
          <t>NOT AVAILABLE</t>
        </is>
      </c>
      <c r="L558" t="inlineStr">
        <is>
          <t>NOT AVAILABLE</t>
        </is>
      </c>
      <c r="M558" t="inlineStr">
        <is>
          <t>UNAVAILABLE</t>
        </is>
      </c>
      <c r="N558" t="inlineStr">
        <is>
          <t>Yes (supporting block)</t>
        </is>
      </c>
      <c r="O558" s="5" t="inlineStr">
        <is>
          <t>Supports the primary topic - add only if natural</t>
        </is>
      </c>
      <c r="P558" s="5" t="inlineStr"/>
      <c r="Q558" t="inlineStr">
        <is>
          <t>P3</t>
        </is>
      </c>
      <c r="R558" t="n">
        <v>28</v>
      </c>
      <c r="S558" s="5" t="inlineStr">
        <is>
          <t>Explorez nos services de développement web dans d'autres villes à travers le monde Berlin Allemagne Bruxelles Belgique Copenhague Danemark Paris France Stockholm Suède Londres Royaume-Uni Voir Tout Locations</t>
        </is>
      </c>
    </row>
    <row r="559">
      <c r="A559" s="3" t="inlineStr">
        <is>
          <t>https://codesommet.com/web-development-company/amsterdam</t>
        </is>
      </c>
      <c r="B559" t="n">
        <v>14</v>
      </c>
      <c r="C559" t="inlineStr">
        <is>
          <t>Content block</t>
        </is>
      </c>
      <c r="D559" s="5" t="inlineStr">
        <is>
          <t>En Savoir Plus</t>
        </is>
      </c>
      <c r="E559" t="inlineStr">
        <is>
          <t>H2</t>
        </is>
      </c>
      <c r="F559" s="5" t="inlineStr">
        <is>
          <t>Commercial (local)</t>
        </is>
      </c>
      <c r="G559" t="inlineStr">
        <is>
          <t>développement web amsterdam</t>
        </is>
      </c>
      <c r="H559" t="inlineStr">
        <is>
          <t>SUPPORTS PRIMARY</t>
        </is>
      </c>
      <c r="I559" t="inlineStr">
        <is>
          <t>nl</t>
        </is>
      </c>
      <c r="J559" t="inlineStr">
        <is>
          <t>NOT AVAILABLE</t>
        </is>
      </c>
      <c r="K559" t="inlineStr">
        <is>
          <t>NOT AVAILABLE</t>
        </is>
      </c>
      <c r="L559" t="inlineStr">
        <is>
          <t>NOT AVAILABLE</t>
        </is>
      </c>
      <c r="M559" t="inlineStr">
        <is>
          <t>UNAVAILABLE</t>
        </is>
      </c>
      <c r="N559" t="inlineStr">
        <is>
          <t>Yes (supporting block)</t>
        </is>
      </c>
      <c r="O559" s="5" t="inlineStr">
        <is>
          <t>Supports the primary topic - add only if natural</t>
        </is>
      </c>
      <c r="P559" s="5" t="inlineStr"/>
      <c r="Q559" t="inlineStr">
        <is>
          <t>P3</t>
        </is>
      </c>
      <c r="R559" t="n">
        <v>82</v>
      </c>
      <c r="S559" s="5" t="inlineStr">
        <is>
          <t xml:space="preserve">Découvrez ce qui fait de CodeSommet votre partenaire de développement web idéal Audit Gratuit de Site Web Obtenez une analyse alimentée par l'IA avec plus de 40 vérifications En savoir plus Voir Nos Projets Explorez les </t>
        </is>
      </c>
    </row>
    <row r="560">
      <c r="A560" s="3" t="inlineStr">
        <is>
          <t>https://codesommet.com/web-development-company/amsterdam</t>
        </is>
      </c>
      <c r="B560" t="n">
        <v>15</v>
      </c>
      <c r="C560" t="inlineStr">
        <is>
          <t>CTA / conversion</t>
        </is>
      </c>
      <c r="D560" s="5" t="inlineStr">
        <is>
          <t>Prêt à Créer Quelque Chose d'Extraordinaire ?</t>
        </is>
      </c>
      <c r="E560" t="inlineStr">
        <is>
          <t>H2</t>
        </is>
      </c>
      <c r="F560" s="5" t="inlineStr">
        <is>
          <t>Conversion</t>
        </is>
      </c>
      <c r="G560" t="inlineStr">
        <is>
          <t>—</t>
        </is>
      </c>
      <c r="H560" t="inlineStr">
        <is>
          <t>NONE</t>
        </is>
      </c>
      <c r="I560" t="inlineStr">
        <is>
          <t>—</t>
        </is>
      </c>
      <c r="J560" t="inlineStr">
        <is>
          <t>—</t>
        </is>
      </c>
      <c r="K560" t="inlineStr">
        <is>
          <t>—</t>
        </is>
      </c>
      <c r="L560" t="inlineStr">
        <is>
          <t>—</t>
        </is>
      </c>
      <c r="M560" t="inlineStr">
        <is>
          <t>—</t>
        </is>
      </c>
      <c r="N560" t="inlineStr">
        <is>
          <t>n/a</t>
        </is>
      </c>
      <c r="O560" s="5" t="inlineStr">
        <is>
          <t>No keyword target - keep conversion/navigation focus; use descriptive, non-repeated anchor texts</t>
        </is>
      </c>
      <c r="P560" s="5" t="inlineStr"/>
      <c r="Q560" t="inlineStr">
        <is>
          <t>P4</t>
        </is>
      </c>
      <c r="R560" t="n">
        <v>117</v>
      </c>
      <c r="S560" s="5" t="inlineStr">
        <is>
          <t>Rejoignez les entreprises visionnaires qui ont choisi l'excellence Réserver un Appel Découverte Analyser Mon Site Gratuitement Réserver un Appel Découverte Analyser Votre Site Web Discutons de comment l'IA et le design m</t>
        </is>
      </c>
    </row>
    <row r="561">
      <c r="A561" s="3" t="inlineStr">
        <is>
          <t>https://codesommet.com/web-development-company/berlin</t>
        </is>
      </c>
      <c r="B561" t="n">
        <v>1</v>
      </c>
      <c r="C561" t="inlineStr">
        <is>
          <t>Hero / H1</t>
        </is>
      </c>
      <c r="D561" s="5" t="inlineStr">
        <is>
          <t>Développement Web à Berlin, Allemagne : des sites web qui génèrent Tableaux de Bord SaaS</t>
        </is>
      </c>
      <c r="E561" t="inlineStr">
        <is>
          <t>H1</t>
        </is>
      </c>
      <c r="F561" s="5" t="inlineStr">
        <is>
          <t>Commercial (local)</t>
        </is>
      </c>
      <c r="G561" t="inlineStr">
        <is>
          <t>développement web berlin</t>
        </is>
      </c>
      <c r="H561" t="inlineStr">
        <is>
          <t>PRIMARY</t>
        </is>
      </c>
      <c r="I561" t="inlineStr">
        <is>
          <t>de</t>
        </is>
      </c>
      <c r="J561" t="inlineStr">
        <is>
          <t>NOT AVAILABLE</t>
        </is>
      </c>
      <c r="K561" t="inlineStr">
        <is>
          <t>NOT AVAILABLE</t>
        </is>
      </c>
      <c r="L561" t="inlineStr">
        <is>
          <t>NOT AVAILABLE</t>
        </is>
      </c>
      <c r="M561" t="inlineStr">
        <is>
          <t>UNAVAILABLE</t>
        </is>
      </c>
      <c r="N561" t="inlineStr">
        <is>
          <t>Yes</t>
        </is>
      </c>
      <c r="O561" s="5" t="inlineStr">
        <is>
          <t>Covered - keep wording; no change</t>
        </is>
      </c>
      <c r="P561" s="5" t="inlineStr"/>
      <c r="Q561" t="inlineStr">
        <is>
          <t>P3</t>
        </is>
      </c>
      <c r="R561" t="n">
        <v>83</v>
      </c>
      <c r="S561" s="5" t="inlineStr">
        <is>
          <t>Depuis le Maroc, notre studio de développement web accompagne à distance les entreprises de Berlin dans la création de sites web alimentés par l'IA et de tableaux de bord intelligents. Nous sommes spécialisés dans la cré</t>
        </is>
      </c>
    </row>
    <row r="562">
      <c r="A562" s="3" t="inlineStr">
        <is>
          <t>https://codesommet.com/web-development-company/berlin</t>
        </is>
      </c>
      <c r="B562" t="n">
        <v>2</v>
      </c>
      <c r="C562" t="inlineStr">
        <is>
          <t>Why us / differentiation</t>
        </is>
      </c>
      <c r="D562" s="5" t="inlineStr">
        <is>
          <t>Pourquoi Choisir CodeSommet à Berlin ?</t>
        </is>
      </c>
      <c r="E562" t="inlineStr">
        <is>
          <t>H2</t>
        </is>
      </c>
      <c r="F562" s="5" t="inlineStr">
        <is>
          <t>Commercial investigation</t>
        </is>
      </c>
      <c r="G562" t="inlineStr">
        <is>
          <t>développement web berlin</t>
        </is>
      </c>
      <c r="H562" t="inlineStr">
        <is>
          <t>SUPPORTS PRIMARY</t>
        </is>
      </c>
      <c r="I562" t="inlineStr">
        <is>
          <t>de</t>
        </is>
      </c>
      <c r="J562" t="inlineStr">
        <is>
          <t>NOT AVAILABLE</t>
        </is>
      </c>
      <c r="K562" t="inlineStr">
        <is>
          <t>NOT AVAILABLE</t>
        </is>
      </c>
      <c r="L562" t="inlineStr">
        <is>
          <t>NOT AVAILABLE</t>
        </is>
      </c>
      <c r="M562" t="inlineStr">
        <is>
          <t>UNAVAILABLE</t>
        </is>
      </c>
      <c r="N562" t="inlineStr">
        <is>
          <t>Yes</t>
        </is>
      </c>
      <c r="O562" s="5" t="inlineStr">
        <is>
          <t>Covered - keep wording; no change</t>
        </is>
      </c>
      <c r="P562" s="5" t="inlineStr"/>
      <c r="Q562" t="inlineStr">
        <is>
          <t>P3</t>
        </is>
      </c>
      <c r="R562" t="n">
        <v>160</v>
      </c>
      <c r="S562" s="5" t="inlineStr">
        <is>
          <t>L'expertise locale rencontre les standards mondiaux. Voici ce qui fait de nous le partenaire de développement web idéal à Berlin. Experts en IA Créez des chatbots intelligents, des workflows d'automatisation, de la reche</t>
        </is>
      </c>
    </row>
    <row r="563">
      <c r="A563" s="3" t="inlineStr">
        <is>
          <t>https://codesommet.com/web-development-company/berlin</t>
        </is>
      </c>
      <c r="B563" t="n">
        <v>3</v>
      </c>
      <c r="C563" t="inlineStr">
        <is>
          <t>Content block</t>
        </is>
      </c>
      <c r="D563" s="5" t="inlineStr">
        <is>
          <t>Approuvé par Berlin Entreprises</t>
        </is>
      </c>
      <c r="E563" t="inlineStr">
        <is>
          <t>H2</t>
        </is>
      </c>
      <c r="F563" s="5" t="inlineStr">
        <is>
          <t>Commercial (local)</t>
        </is>
      </c>
      <c r="G563" t="inlineStr">
        <is>
          <t>développement web berlin</t>
        </is>
      </c>
      <c r="H563" t="inlineStr">
        <is>
          <t>SUPPORTS PRIMARY</t>
        </is>
      </c>
      <c r="I563" t="inlineStr">
        <is>
          <t>de</t>
        </is>
      </c>
      <c r="J563" t="inlineStr">
        <is>
          <t>NOT AVAILABLE</t>
        </is>
      </c>
      <c r="K563" t="inlineStr">
        <is>
          <t>NOT AVAILABLE</t>
        </is>
      </c>
      <c r="L563" t="inlineStr">
        <is>
          <t>NOT AVAILABLE</t>
        </is>
      </c>
      <c r="M563" t="inlineStr">
        <is>
          <t>UNAVAILABLE</t>
        </is>
      </c>
      <c r="N563" t="inlineStr">
        <is>
          <t>Yes (supporting block)</t>
        </is>
      </c>
      <c r="O563" s="5" t="inlineStr">
        <is>
          <t>Supports the primary topic - add only if natural</t>
        </is>
      </c>
      <c r="P563" s="5" t="inlineStr"/>
      <c r="Q563" t="inlineStr">
        <is>
          <t>P3</t>
        </is>
      </c>
      <c r="R563" t="n">
        <v>27</v>
      </c>
      <c r="S563" s="5" t="inlineStr">
        <is>
          <t>Projets livrés à l'international Sites pensés pour la conversion Clients dans plusieurs pays De vrais résultats de Berlin - entreprises avec lesquelles nous avons collaboré Expertise Sectorielle</t>
        </is>
      </c>
    </row>
    <row r="564">
      <c r="A564" s="3" t="inlineStr">
        <is>
          <t>https://codesommet.com/web-development-company/berlin</t>
        </is>
      </c>
      <c r="B564" t="n">
        <v>4</v>
      </c>
      <c r="C564" t="inlineStr">
        <is>
          <t>Content block</t>
        </is>
      </c>
      <c r="D564" s="5" t="inlineStr">
        <is>
          <t>Berlin Nos Secteurs de Spécialisation</t>
        </is>
      </c>
      <c r="E564" t="inlineStr">
        <is>
          <t>H2</t>
        </is>
      </c>
      <c r="F564" s="5" t="inlineStr">
        <is>
          <t>Commercial (local)</t>
        </is>
      </c>
      <c r="G564" t="inlineStr">
        <is>
          <t>développement web berlin</t>
        </is>
      </c>
      <c r="H564" t="inlineStr">
        <is>
          <t>SUPPORTS PRIMARY</t>
        </is>
      </c>
      <c r="I564" t="inlineStr">
        <is>
          <t>de</t>
        </is>
      </c>
      <c r="J564" t="inlineStr">
        <is>
          <t>NOT AVAILABLE</t>
        </is>
      </c>
      <c r="K564" t="inlineStr">
        <is>
          <t>NOT AVAILABLE</t>
        </is>
      </c>
      <c r="L564" t="inlineStr">
        <is>
          <t>NOT AVAILABLE</t>
        </is>
      </c>
      <c r="M564" t="inlineStr">
        <is>
          <t>UNAVAILABLE</t>
        </is>
      </c>
      <c r="N564" t="inlineStr">
        <is>
          <t>Yes</t>
        </is>
      </c>
      <c r="O564" s="5" t="inlineStr">
        <is>
          <t>Covered - keep wording; no change</t>
        </is>
      </c>
      <c r="P564" s="5" t="inlineStr"/>
      <c r="Q564" t="inlineStr">
        <is>
          <t>P3</t>
        </is>
      </c>
      <c r="R564" t="n">
        <v>192</v>
      </c>
      <c r="S564" s="5" t="inlineStr">
        <is>
          <t>Expertise approfondie dans Berlin . Nous comprenons les défis uniques de votre secteur et les exigences de conformité. FinTech Plateformes financières sécurisées avec traitement des paiements, conformité et fonctionnalit</t>
        </is>
      </c>
    </row>
    <row r="565">
      <c r="A565" s="3" t="inlineStr">
        <is>
          <t>https://codesommet.com/web-development-company/berlin</t>
        </is>
      </c>
      <c r="B565" t="n">
        <v>5</v>
      </c>
      <c r="C565" t="inlineStr">
        <is>
          <t>Testimonials / social proof</t>
        </is>
      </c>
      <c r="D565" s="5" t="inlineStr">
        <is>
          <t>Histoires de Succès de Berlin</t>
        </is>
      </c>
      <c r="E565" t="inlineStr">
        <is>
          <t>H2</t>
        </is>
      </c>
      <c r="F565" s="5" t="inlineStr">
        <is>
          <t>Commercial investigation</t>
        </is>
      </c>
      <c r="G565" t="inlineStr">
        <is>
          <t>développement web berlin</t>
        </is>
      </c>
      <c r="H565" t="inlineStr">
        <is>
          <t>SUPPORTS PRIMARY</t>
        </is>
      </c>
      <c r="I565" t="inlineStr">
        <is>
          <t>de</t>
        </is>
      </c>
      <c r="J565" t="inlineStr">
        <is>
          <t>NOT AVAILABLE</t>
        </is>
      </c>
      <c r="K565" t="inlineStr">
        <is>
          <t>NOT AVAILABLE</t>
        </is>
      </c>
      <c r="L565" t="inlineStr">
        <is>
          <t>NOT AVAILABLE</t>
        </is>
      </c>
      <c r="M565" t="inlineStr">
        <is>
          <t>UNAVAILABLE</t>
        </is>
      </c>
      <c r="N565" t="inlineStr">
        <is>
          <t>Yes (supporting block)</t>
        </is>
      </c>
      <c r="O565" s="5" t="inlineStr">
        <is>
          <t>Supports the primary topic - add only if natural</t>
        </is>
      </c>
      <c r="P565" s="5" t="inlineStr"/>
      <c r="Q565" t="inlineStr">
        <is>
          <t>P3</t>
        </is>
      </c>
      <c r="R565" t="n">
        <v>59</v>
      </c>
      <c r="S565" s="5" t="inlineStr">
        <is>
          <t xml:space="preserve">De vrais projets, de vrais résultats. Découvrez comment nous avons aidé les entreprises à Berlin atteindre leurs objectifs numériques. SaaS Plateforme de gestion associative Mon Asso Maroc Éducation Inscription en ligne </t>
        </is>
      </c>
    </row>
    <row r="566">
      <c r="A566" s="3" t="inlineStr">
        <is>
          <t>https://codesommet.com/web-development-company/berlin</t>
        </is>
      </c>
      <c r="B566" t="n">
        <v>6</v>
      </c>
      <c r="C566" t="inlineStr">
        <is>
          <t>Process / how it works</t>
        </is>
      </c>
      <c r="D566" s="5" t="inlineStr">
        <is>
          <t>Comment Nous Concevons des Plateformes SaaS et Fintech Sur Mesure pour Berlin</t>
        </is>
      </c>
      <c r="E566" t="inlineStr">
        <is>
          <t>H2</t>
        </is>
      </c>
      <c r="F566" s="5" t="inlineStr">
        <is>
          <t>Informational / commercial</t>
        </is>
      </c>
      <c r="G566" t="inlineStr">
        <is>
          <t>développement web berlin</t>
        </is>
      </c>
      <c r="H566" t="inlineStr">
        <is>
          <t>SUPPORTS PRIMARY</t>
        </is>
      </c>
      <c r="I566" t="inlineStr">
        <is>
          <t>de</t>
        </is>
      </c>
      <c r="J566" t="inlineStr">
        <is>
          <t>NOT AVAILABLE</t>
        </is>
      </c>
      <c r="K566" t="inlineStr">
        <is>
          <t>NOT AVAILABLE</t>
        </is>
      </c>
      <c r="L566" t="inlineStr">
        <is>
          <t>NOT AVAILABLE</t>
        </is>
      </c>
      <c r="M566" t="inlineStr">
        <is>
          <t>UNAVAILABLE</t>
        </is>
      </c>
      <c r="N566" t="inlineStr">
        <is>
          <t>Yes (supporting block)</t>
        </is>
      </c>
      <c r="O566" s="5" t="inlineStr">
        <is>
          <t>Supports the primary topic - add only if natural</t>
        </is>
      </c>
      <c r="P566" s="5" t="inlineStr"/>
      <c r="Q566" t="inlineStr">
        <is>
          <t>P3</t>
        </is>
      </c>
      <c r="R566" t="n">
        <v>200</v>
      </c>
      <c r="S566" s="5" t="inlineStr">
        <is>
          <t xml:space="preserve">Plateformes web pour freelances, PME et startups tech • Fintech / Banque • Délai adapté à la portée du projet Le Défi Les entreprises fintech et SaaS berlinoises ont besoin de plateformes full-stack robustes pour servir </t>
        </is>
      </c>
    </row>
    <row r="567">
      <c r="A567" s="3" t="inlineStr">
        <is>
          <t>https://codesommet.com/web-development-company/berlin</t>
        </is>
      </c>
      <c r="B567" t="n">
        <v>7</v>
      </c>
      <c r="C567" t="inlineStr">
        <is>
          <t>Pricing / offers</t>
        </is>
      </c>
      <c r="D567" s="5" t="inlineStr">
        <is>
          <t>Solutions Personnalisées, Tarification Transparente</t>
        </is>
      </c>
      <c r="E567" t="inlineStr">
        <is>
          <t>H2</t>
        </is>
      </c>
      <c r="F567" s="5" t="inlineStr">
        <is>
          <t>Commercial / transactional</t>
        </is>
      </c>
      <c r="G567" t="inlineStr">
        <is>
          <t>développement web berlin</t>
        </is>
      </c>
      <c r="H567" t="inlineStr">
        <is>
          <t>SUPPORTS PRIMARY</t>
        </is>
      </c>
      <c r="I567" t="inlineStr">
        <is>
          <t>de</t>
        </is>
      </c>
      <c r="J567" t="inlineStr">
        <is>
          <t>NOT AVAILABLE</t>
        </is>
      </c>
      <c r="K567" t="inlineStr">
        <is>
          <t>NOT AVAILABLE</t>
        </is>
      </c>
      <c r="L567" t="inlineStr">
        <is>
          <t>NOT AVAILABLE</t>
        </is>
      </c>
      <c r="M567" t="inlineStr">
        <is>
          <t>UNAVAILABLE</t>
        </is>
      </c>
      <c r="N567" t="inlineStr">
        <is>
          <t>Yes (supporting block)</t>
        </is>
      </c>
      <c r="O567" s="5" t="inlineStr">
        <is>
          <t>Supports the primary topic - add only if natural</t>
        </is>
      </c>
      <c r="P567" s="5" t="inlineStr"/>
      <c r="Q567" t="inlineStr">
        <is>
          <t>P3</t>
        </is>
      </c>
      <c r="R567" t="n">
        <v>184</v>
      </c>
      <c r="S567" s="5" t="inlineStr">
        <is>
          <t>Réservez un appel découverte pour discuter de vos besoins spécifiques et obtenir un devis personnalisé Recommandé Développement Web Site web complet avec fonctionnalités IA, tableaux de bord et design premium livré en 2-</t>
        </is>
      </c>
    </row>
    <row r="568">
      <c r="A568" s="3" t="inlineStr">
        <is>
          <t>https://codesommet.com/web-development-company/berlin</t>
        </is>
      </c>
      <c r="B568" t="n">
        <v>8</v>
      </c>
      <c r="C568" t="inlineStr">
        <is>
          <t>CTA / conversion</t>
        </is>
      </c>
      <c r="D568" s="5" t="inlineStr">
        <is>
          <t>Prêt à Améliorer Votre Site Web à Berlin ?</t>
        </is>
      </c>
      <c r="E568" t="inlineStr">
        <is>
          <t>H2</t>
        </is>
      </c>
      <c r="F568" s="5" t="inlineStr">
        <is>
          <t>Conversion</t>
        </is>
      </c>
      <c r="G568" t="inlineStr">
        <is>
          <t>—</t>
        </is>
      </c>
      <c r="H568" t="inlineStr">
        <is>
          <t>NONE</t>
        </is>
      </c>
      <c r="I568" t="inlineStr">
        <is>
          <t>—</t>
        </is>
      </c>
      <c r="J568" t="inlineStr">
        <is>
          <t>—</t>
        </is>
      </c>
      <c r="K568" t="inlineStr">
        <is>
          <t>—</t>
        </is>
      </c>
      <c r="L568" t="inlineStr">
        <is>
          <t>—</t>
        </is>
      </c>
      <c r="M568" t="inlineStr">
        <is>
          <t>—</t>
        </is>
      </c>
      <c r="N568" t="inlineStr">
        <is>
          <t>n/a</t>
        </is>
      </c>
      <c r="O568" s="5" t="inlineStr">
        <is>
          <t>No keyword target - keep conversion/navigation focus; use descriptive, non-repeated anchor texts</t>
        </is>
      </c>
      <c r="P568" s="5" t="inlineStr"/>
      <c r="Q568" t="inlineStr">
        <is>
          <t>P4</t>
        </is>
      </c>
      <c r="R568" t="n">
        <v>40</v>
      </c>
      <c r="S568" s="5" t="inlineStr">
        <is>
          <t xml:space="preserve">Obtenez d'abord une analyse gratuite complète : Audit SEO Vérification de performance Revue de design Recommandations alimentées par l'IA Analyser Votre Site Web - 100% Gratuit Aucune carte de crédit requise • Résultats </t>
        </is>
      </c>
    </row>
    <row r="569">
      <c r="A569" s="3" t="inlineStr">
        <is>
          <t>https://codesommet.com/web-development-company/berlin</t>
        </is>
      </c>
      <c r="B569" t="n">
        <v>9</v>
      </c>
      <c r="C569" t="inlineStr">
        <is>
          <t>Why us / differentiation</t>
        </is>
      </c>
      <c r="D569" s="5" t="inlineStr">
        <is>
          <t>CodeSommet Berlin vs Autres</t>
        </is>
      </c>
      <c r="E569" t="inlineStr">
        <is>
          <t>H2</t>
        </is>
      </c>
      <c r="F569" s="5" t="inlineStr">
        <is>
          <t>Commercial investigation</t>
        </is>
      </c>
      <c r="G569" t="inlineStr">
        <is>
          <t>développement web berlin</t>
        </is>
      </c>
      <c r="H569" t="inlineStr">
        <is>
          <t>SUPPORTS PRIMARY</t>
        </is>
      </c>
      <c r="I569" t="inlineStr">
        <is>
          <t>de</t>
        </is>
      </c>
      <c r="J569" t="inlineStr">
        <is>
          <t>NOT AVAILABLE</t>
        </is>
      </c>
      <c r="K569" t="inlineStr">
        <is>
          <t>NOT AVAILABLE</t>
        </is>
      </c>
      <c r="L569" t="inlineStr">
        <is>
          <t>NOT AVAILABLE</t>
        </is>
      </c>
      <c r="M569" t="inlineStr">
        <is>
          <t>UNAVAILABLE</t>
        </is>
      </c>
      <c r="N569" t="inlineStr">
        <is>
          <t>Yes</t>
        </is>
      </c>
      <c r="O569" s="5" t="inlineStr">
        <is>
          <t>Covered - keep wording; no change</t>
        </is>
      </c>
      <c r="P569" s="5" t="inlineStr"/>
      <c r="Q569" t="inlineStr">
        <is>
          <t>P3</t>
        </is>
      </c>
      <c r="R569" t="n">
        <v>80</v>
      </c>
      <c r="S569" s="5" t="inlineStr">
        <is>
          <t>Découvrez pourquoi Berlin entreprises choisissent CodeSommet plutôt que d'autres agences locales et concurrents internationaux. Fonctionnalité CodeSommet Berlin Autres Berlin Agences Agences Internationales Révisions Ill</t>
        </is>
      </c>
    </row>
    <row r="570">
      <c r="A570" s="3" t="inlineStr">
        <is>
          <t>https://codesommet.com/web-development-company/berlin</t>
        </is>
      </c>
      <c r="B570" t="n">
        <v>10</v>
      </c>
      <c r="C570" t="inlineStr">
        <is>
          <t>Testimonials / social proof</t>
        </is>
      </c>
      <c r="D570" s="5" t="inlineStr">
        <is>
          <t>Quoi Berlin Nos Clients Disent de Nous</t>
        </is>
      </c>
      <c r="E570" t="inlineStr">
        <is>
          <t>H2</t>
        </is>
      </c>
      <c r="F570" s="5" t="inlineStr">
        <is>
          <t>Commercial investigation</t>
        </is>
      </c>
      <c r="G570" t="inlineStr">
        <is>
          <t>développement web berlin</t>
        </is>
      </c>
      <c r="H570" t="inlineStr">
        <is>
          <t>SUPPORTS PRIMARY</t>
        </is>
      </c>
      <c r="I570" t="inlineStr">
        <is>
          <t>de</t>
        </is>
      </c>
      <c r="J570" t="inlineStr">
        <is>
          <t>NOT AVAILABLE</t>
        </is>
      </c>
      <c r="K570" t="inlineStr">
        <is>
          <t>NOT AVAILABLE</t>
        </is>
      </c>
      <c r="L570" t="inlineStr">
        <is>
          <t>NOT AVAILABLE</t>
        </is>
      </c>
      <c r="M570" t="inlineStr">
        <is>
          <t>UNAVAILABLE</t>
        </is>
      </c>
      <c r="N570" t="inlineStr">
        <is>
          <t>Yes (supporting block)</t>
        </is>
      </c>
      <c r="O570" s="5" t="inlineStr">
        <is>
          <t>Supports the primary topic - add only if natural</t>
        </is>
      </c>
      <c r="P570" s="5" t="inlineStr"/>
      <c r="Q570" t="inlineStr">
        <is>
          <t>P3</t>
        </is>
      </c>
      <c r="R570" t="n">
        <v>104</v>
      </c>
      <c r="S570" s="5" t="inlineStr">
        <is>
          <t>Ne vous fiez pas seulement à notre parole. Écoutez les entreprises de Berlin qui ont obtenu des résultats remarquables avec CodeSommet. "Une collaboration professionnelle du début à la fin. Je recommande sans hésiter." M</t>
        </is>
      </c>
    </row>
    <row r="571">
      <c r="A571" s="3" t="inlineStr">
        <is>
          <t>https://codesommet.com/web-development-company/berlin</t>
        </is>
      </c>
      <c r="B571" t="n">
        <v>11</v>
      </c>
      <c r="C571" t="inlineStr">
        <is>
          <t>Process / how it works</t>
        </is>
      </c>
      <c r="D571" s="5" t="inlineStr">
        <is>
          <t>Comment démarrer en 3 étapes simples</t>
        </is>
      </c>
      <c r="E571" t="inlineStr">
        <is>
          <t>H2</t>
        </is>
      </c>
      <c r="F571" s="5" t="inlineStr">
        <is>
          <t>Informational / commercial</t>
        </is>
      </c>
      <c r="G571" t="inlineStr">
        <is>
          <t>développement web berlin</t>
        </is>
      </c>
      <c r="H571" t="inlineStr">
        <is>
          <t>SUPPORTS PRIMARY</t>
        </is>
      </c>
      <c r="I571" t="inlineStr">
        <is>
          <t>de</t>
        </is>
      </c>
      <c r="J571" t="inlineStr">
        <is>
          <t>NOT AVAILABLE</t>
        </is>
      </c>
      <c r="K571" t="inlineStr">
        <is>
          <t>NOT AVAILABLE</t>
        </is>
      </c>
      <c r="L571" t="inlineStr">
        <is>
          <t>NOT AVAILABLE</t>
        </is>
      </c>
      <c r="M571" t="inlineStr">
        <is>
          <t>UNAVAILABLE</t>
        </is>
      </c>
      <c r="N571" t="inlineStr">
        <is>
          <t>Yes (supporting block)</t>
        </is>
      </c>
      <c r="O571" s="5" t="inlineStr">
        <is>
          <t>Supports the primary topic - add only if natural</t>
        </is>
      </c>
      <c r="P571" s="5" t="inlineStr"/>
      <c r="Q571" t="inlineStr">
        <is>
          <t>P3</t>
        </is>
      </c>
      <c r="R571" t="n">
        <v>286</v>
      </c>
      <c r="S571" s="5" t="inlineStr">
        <is>
          <t>Du premier appel à la livraison du projet, découvrez exactement comment nous travaillons ensemble Étape 1 Abonnement 1 projet actif Révisions illimitées Design &amp; développement SEO &amp; contenu Recommandé Développement de Si</t>
        </is>
      </c>
    </row>
    <row r="572">
      <c r="A572" s="3" t="inlineStr">
        <is>
          <t>https://codesommet.com/web-development-company/berlin</t>
        </is>
      </c>
      <c r="B572" t="n">
        <v>12</v>
      </c>
      <c r="C572" t="inlineStr">
        <is>
          <t>FAQ</t>
        </is>
      </c>
      <c r="D572" s="5" t="inlineStr">
        <is>
          <t>Questions Fréquemment Posées Sur le Développement Web à Berlin</t>
        </is>
      </c>
      <c r="E572" t="inlineStr">
        <is>
          <t>H2</t>
        </is>
      </c>
      <c r="F572" s="5" t="inlineStr">
        <is>
          <t>Informational (pre-purchase questions)</t>
        </is>
      </c>
      <c r="G572" t="inlineStr">
        <is>
          <t>développement web berlin</t>
        </is>
      </c>
      <c r="H572" t="inlineStr">
        <is>
          <t>SUPPORTS PRIMARY</t>
        </is>
      </c>
      <c r="I572" t="inlineStr">
        <is>
          <t>de</t>
        </is>
      </c>
      <c r="J572" t="inlineStr">
        <is>
          <t>NOT AVAILABLE</t>
        </is>
      </c>
      <c r="K572" t="inlineStr">
        <is>
          <t>NOT AVAILABLE</t>
        </is>
      </c>
      <c r="L572" t="inlineStr">
        <is>
          <t>NOT AVAILABLE</t>
        </is>
      </c>
      <c r="M572" t="inlineStr">
        <is>
          <t>UNAVAILABLE</t>
        </is>
      </c>
      <c r="N572" t="inlineStr">
        <is>
          <t>Yes</t>
        </is>
      </c>
      <c r="O572" s="5" t="inlineStr">
        <is>
          <t>Covered - keep wording; no change</t>
        </is>
      </c>
      <c r="P572" s="5" t="inlineStr"/>
      <c r="Q572" t="inlineStr">
        <is>
          <t>P3</t>
        </is>
      </c>
      <c r="R572" t="n">
        <v>386</v>
      </c>
      <c r="S572" s="5" t="inlineStr">
        <is>
          <t>Vous avez des questions ? Nous avons les réponses. Voici les questions les plus fréquentes de Berlin entreprises. 1 Pourquoi choisir CodeSommet plutôt que les nombreuses agences de développement web de Berlin ? Parce que</t>
        </is>
      </c>
    </row>
    <row r="573">
      <c r="A573" s="3" t="inlineStr">
        <is>
          <t>https://codesommet.com/web-development-company/berlin</t>
        </is>
      </c>
      <c r="B573" t="n">
        <v>13</v>
      </c>
      <c r="C573" t="inlineStr">
        <is>
          <t>Content block</t>
        </is>
      </c>
      <c r="D573" s="5" t="inlineStr">
        <is>
          <t>Nous Servons Également</t>
        </is>
      </c>
      <c r="E573" t="inlineStr">
        <is>
          <t>H2</t>
        </is>
      </c>
      <c r="F573" s="5" t="inlineStr">
        <is>
          <t>Commercial (local)</t>
        </is>
      </c>
      <c r="G573" t="inlineStr">
        <is>
          <t>développement web berlin</t>
        </is>
      </c>
      <c r="H573" t="inlineStr">
        <is>
          <t>SUPPORTS PRIMARY</t>
        </is>
      </c>
      <c r="I573" t="inlineStr">
        <is>
          <t>de</t>
        </is>
      </c>
      <c r="J573" t="inlineStr">
        <is>
          <t>NOT AVAILABLE</t>
        </is>
      </c>
      <c r="K573" t="inlineStr">
        <is>
          <t>NOT AVAILABLE</t>
        </is>
      </c>
      <c r="L573" t="inlineStr">
        <is>
          <t>NOT AVAILABLE</t>
        </is>
      </c>
      <c r="M573" t="inlineStr">
        <is>
          <t>UNAVAILABLE</t>
        </is>
      </c>
      <c r="N573" t="inlineStr">
        <is>
          <t>Yes (supporting block)</t>
        </is>
      </c>
      <c r="O573" s="5" t="inlineStr">
        <is>
          <t>Supports the primary topic - add only if natural</t>
        </is>
      </c>
      <c r="P573" s="5" t="inlineStr"/>
      <c r="Q573" t="inlineStr">
        <is>
          <t>P3</t>
        </is>
      </c>
      <c r="R573" t="n">
        <v>28</v>
      </c>
      <c r="S573" s="5" t="inlineStr">
        <is>
          <t>Explorez nos services de développement web dans d'autres villes à travers le monde Copenhague Danemark Amsterdam Pays-Bas Stockholm Suède Bruxelles Belgique Zurich Suisse Paris France Voir Tout Locations</t>
        </is>
      </c>
    </row>
    <row r="574">
      <c r="A574" s="3" t="inlineStr">
        <is>
          <t>https://codesommet.com/web-development-company/berlin</t>
        </is>
      </c>
      <c r="B574" t="n">
        <v>14</v>
      </c>
      <c r="C574" t="inlineStr">
        <is>
          <t>Content block</t>
        </is>
      </c>
      <c r="D574" s="5" t="inlineStr">
        <is>
          <t>En Savoir Plus</t>
        </is>
      </c>
      <c r="E574" t="inlineStr">
        <is>
          <t>H2</t>
        </is>
      </c>
      <c r="F574" s="5" t="inlineStr">
        <is>
          <t>Commercial (local)</t>
        </is>
      </c>
      <c r="G574" t="inlineStr">
        <is>
          <t>développement web berlin</t>
        </is>
      </c>
      <c r="H574" t="inlineStr">
        <is>
          <t>SUPPORTS PRIMARY</t>
        </is>
      </c>
      <c r="I574" t="inlineStr">
        <is>
          <t>de</t>
        </is>
      </c>
      <c r="J574" t="inlineStr">
        <is>
          <t>NOT AVAILABLE</t>
        </is>
      </c>
      <c r="K574" t="inlineStr">
        <is>
          <t>NOT AVAILABLE</t>
        </is>
      </c>
      <c r="L574" t="inlineStr">
        <is>
          <t>NOT AVAILABLE</t>
        </is>
      </c>
      <c r="M574" t="inlineStr">
        <is>
          <t>UNAVAILABLE</t>
        </is>
      </c>
      <c r="N574" t="inlineStr">
        <is>
          <t>Yes (supporting block)</t>
        </is>
      </c>
      <c r="O574" s="5" t="inlineStr">
        <is>
          <t>Supports the primary topic - add only if natural</t>
        </is>
      </c>
      <c r="P574" s="5" t="inlineStr"/>
      <c r="Q574" t="inlineStr">
        <is>
          <t>P3</t>
        </is>
      </c>
      <c r="R574" t="n">
        <v>82</v>
      </c>
      <c r="S574" s="5" t="inlineStr">
        <is>
          <t xml:space="preserve">Découvrez ce qui fait de CodeSommet votre partenaire de développement web idéal Audit Gratuit de Site Web Obtenez une analyse alimentée par l'IA avec plus de 40 vérifications En savoir plus Voir Nos Projets Explorez les </t>
        </is>
      </c>
    </row>
    <row r="575">
      <c r="A575" s="3" t="inlineStr">
        <is>
          <t>https://codesommet.com/web-development-company/berlin</t>
        </is>
      </c>
      <c r="B575" t="n">
        <v>15</v>
      </c>
      <c r="C575" t="inlineStr">
        <is>
          <t>CTA / conversion</t>
        </is>
      </c>
      <c r="D575" s="5" t="inlineStr">
        <is>
          <t>Prêt à Créer Quelque Chose d'Extraordinaire ?</t>
        </is>
      </c>
      <c r="E575" t="inlineStr">
        <is>
          <t>H2</t>
        </is>
      </c>
      <c r="F575" s="5" t="inlineStr">
        <is>
          <t>Conversion</t>
        </is>
      </c>
      <c r="G575" t="inlineStr">
        <is>
          <t>—</t>
        </is>
      </c>
      <c r="H575" t="inlineStr">
        <is>
          <t>NONE</t>
        </is>
      </c>
      <c r="I575" t="inlineStr">
        <is>
          <t>—</t>
        </is>
      </c>
      <c r="J575" t="inlineStr">
        <is>
          <t>—</t>
        </is>
      </c>
      <c r="K575" t="inlineStr">
        <is>
          <t>—</t>
        </is>
      </c>
      <c r="L575" t="inlineStr">
        <is>
          <t>—</t>
        </is>
      </c>
      <c r="M575" t="inlineStr">
        <is>
          <t>—</t>
        </is>
      </c>
      <c r="N575" t="inlineStr">
        <is>
          <t>n/a</t>
        </is>
      </c>
      <c r="O575" s="5" t="inlineStr">
        <is>
          <t>No keyword target - keep conversion/navigation focus; use descriptive, non-repeated anchor texts</t>
        </is>
      </c>
      <c r="P575" s="5" t="inlineStr"/>
      <c r="Q575" t="inlineStr">
        <is>
          <t>P4</t>
        </is>
      </c>
      <c r="R575" t="n">
        <v>117</v>
      </c>
      <c r="S575" s="5" t="inlineStr">
        <is>
          <t>Rejoignez les entreprises visionnaires qui ont choisi l'excellence Réserver un Appel Découverte Analyser Mon Site Gratuitement Réserver un Appel Découverte Analyser Votre Site Web Discutons de comment l'IA et le design m</t>
        </is>
      </c>
    </row>
    <row r="576">
      <c r="A576" s="3" t="inlineStr">
        <is>
          <t>https://codesommet.com/web-development-company/paris</t>
        </is>
      </c>
      <c r="B576" t="n">
        <v>1</v>
      </c>
      <c r="C576" t="inlineStr">
        <is>
          <t>Hero / H1</t>
        </is>
      </c>
      <c r="D576" s="5" t="inlineStr">
        <is>
          <t>Développement Web à Paris, France : des sites web qui génèrent Tableaux de Bord SaaS</t>
        </is>
      </c>
      <c r="E576" t="inlineStr">
        <is>
          <t>H1</t>
        </is>
      </c>
      <c r="F576" s="5" t="inlineStr">
        <is>
          <t>Commercial (local)</t>
        </is>
      </c>
      <c r="G576" t="inlineStr">
        <is>
          <t>développement web paris</t>
        </is>
      </c>
      <c r="H576" t="inlineStr">
        <is>
          <t>PRIMARY</t>
        </is>
      </c>
      <c r="I576" t="inlineStr">
        <is>
          <t>fr</t>
        </is>
      </c>
      <c r="J576" t="n">
        <v>260</v>
      </c>
      <c r="K576" t="n">
        <v>31</v>
      </c>
      <c r="L576" t="n">
        <v>2.07</v>
      </c>
      <c r="M576" t="inlineStr">
        <is>
          <t>MEASURED</t>
        </is>
      </c>
      <c r="N576" t="inlineStr">
        <is>
          <t>Yes</t>
        </is>
      </c>
      <c r="O576" s="5" t="inlineStr">
        <is>
          <t>Covered - keep wording; no change</t>
        </is>
      </c>
      <c r="P576" s="5" t="inlineStr"/>
      <c r="Q576" t="inlineStr">
        <is>
          <t>P3</t>
        </is>
      </c>
      <c r="R576" t="n">
        <v>73</v>
      </c>
      <c r="S576" s="5" t="inlineStr">
        <is>
          <t>Depuis le Maroc, notre studio de développement web accompagne à distance les entreprises de Paris dans la création de sites web alimentés par l'IA et de tableaux de bord intelligents. Nous sommes spécialisés dans la créa</t>
        </is>
      </c>
    </row>
    <row r="577">
      <c r="A577" s="3" t="inlineStr">
        <is>
          <t>https://codesommet.com/web-development-company/paris</t>
        </is>
      </c>
      <c r="B577" t="n">
        <v>2</v>
      </c>
      <c r="C577" t="inlineStr">
        <is>
          <t>Why us / differentiation</t>
        </is>
      </c>
      <c r="D577" s="5" t="inlineStr">
        <is>
          <t>Pourquoi Choisir CodeSommet à Paris ?</t>
        </is>
      </c>
      <c r="E577" t="inlineStr">
        <is>
          <t>H2</t>
        </is>
      </c>
      <c r="F577" s="5" t="inlineStr">
        <is>
          <t>Commercial investigation</t>
        </is>
      </c>
      <c r="G577" t="inlineStr">
        <is>
          <t>développement web paris</t>
        </is>
      </c>
      <c r="H577" t="inlineStr">
        <is>
          <t>SUPPORTS PRIMARY</t>
        </is>
      </c>
      <c r="I577" t="inlineStr">
        <is>
          <t>fr</t>
        </is>
      </c>
      <c r="J577" t="n">
        <v>260</v>
      </c>
      <c r="K577" t="n">
        <v>31</v>
      </c>
      <c r="L577" t="n">
        <v>2.07</v>
      </c>
      <c r="M577" t="inlineStr">
        <is>
          <t>MEASURED</t>
        </is>
      </c>
      <c r="N577" t="inlineStr">
        <is>
          <t>Yes</t>
        </is>
      </c>
      <c r="O577" s="5" t="inlineStr">
        <is>
          <t>Covered - keep wording; no change</t>
        </is>
      </c>
      <c r="P577" s="5" t="inlineStr"/>
      <c r="Q577" t="inlineStr">
        <is>
          <t>P3</t>
        </is>
      </c>
      <c r="R577" t="n">
        <v>160</v>
      </c>
      <c r="S577" s="5" t="inlineStr">
        <is>
          <t>L'expertise locale rencontre les standards internationaux. Voici ce qui fait de nous le partenaire idéal en développement web à Paris. Experts en IA Créez des chatbots intelligents, des workflows d'automatisation, une re</t>
        </is>
      </c>
    </row>
    <row r="578">
      <c r="A578" s="3" t="inlineStr">
        <is>
          <t>https://codesommet.com/web-development-company/paris</t>
        </is>
      </c>
      <c r="B578" t="n">
        <v>3</v>
      </c>
      <c r="C578" t="inlineStr">
        <is>
          <t>Content block</t>
        </is>
      </c>
      <c r="D578" s="5" t="inlineStr">
        <is>
          <t>Approuvé par les Entreprises de Paris</t>
        </is>
      </c>
      <c r="E578" t="inlineStr">
        <is>
          <t>H2</t>
        </is>
      </c>
      <c r="F578" s="5" t="inlineStr">
        <is>
          <t>Commercial (local)</t>
        </is>
      </c>
      <c r="G578" t="inlineStr">
        <is>
          <t>création site web paris</t>
        </is>
      </c>
      <c r="H578" t="inlineStr">
        <is>
          <t>SECONDARY</t>
        </is>
      </c>
      <c r="I578" t="inlineStr">
        <is>
          <t>fr</t>
        </is>
      </c>
      <c r="J578" t="n">
        <v>320</v>
      </c>
      <c r="K578" t="n">
        <v>28</v>
      </c>
      <c r="L578" t="n">
        <v>1.68</v>
      </c>
      <c r="M578" t="inlineStr">
        <is>
          <t>MEASURED</t>
        </is>
      </c>
      <c r="N578" t="inlineStr">
        <is>
          <t>Partly</t>
        </is>
      </c>
      <c r="O578" s="5" t="inlineStr">
        <is>
          <t>Work "création site web paris" (or a close natural variant) into existing copy - no new heading needed</t>
        </is>
      </c>
      <c r="P578" s="5" t="inlineStr">
        <is>
          <t>Keyword/variant absent from this section</t>
        </is>
      </c>
      <c r="Q578" t="inlineStr">
        <is>
          <t>P3</t>
        </is>
      </c>
      <c r="R578" t="n">
        <v>27</v>
      </c>
      <c r="S578" s="5" t="inlineStr">
        <is>
          <t>Projets livrés à l'international Sites pensés pour la conversion Clients dans plusieurs pays Résultats réels de Paris - des entreprises avec lesquelles nous avons collaboré Expertise Sectorielle</t>
        </is>
      </c>
    </row>
    <row r="579">
      <c r="A579" s="3" t="inlineStr">
        <is>
          <t>https://codesommet.com/web-development-company/paris</t>
        </is>
      </c>
      <c r="B579" t="n">
        <v>4</v>
      </c>
      <c r="C579" t="inlineStr">
        <is>
          <t>Content block</t>
        </is>
      </c>
      <c r="D579" s="5" t="inlineStr">
        <is>
          <t>Paris Nos Secteurs de Spécialisation</t>
        </is>
      </c>
      <c r="E579" t="inlineStr">
        <is>
          <t>H2</t>
        </is>
      </c>
      <c r="F579" s="5" t="inlineStr">
        <is>
          <t>Commercial (local)</t>
        </is>
      </c>
      <c r="G579" t="inlineStr">
        <is>
          <t>création site web paris</t>
        </is>
      </c>
      <c r="H579" t="inlineStr">
        <is>
          <t>SECONDARY</t>
        </is>
      </c>
      <c r="I579" t="inlineStr">
        <is>
          <t>fr</t>
        </is>
      </c>
      <c r="J579" t="n">
        <v>320</v>
      </c>
      <c r="K579" t="n">
        <v>28</v>
      </c>
      <c r="L579" t="n">
        <v>1.68</v>
      </c>
      <c r="M579" t="inlineStr">
        <is>
          <t>MEASURED</t>
        </is>
      </c>
      <c r="N579" t="inlineStr">
        <is>
          <t>Partly</t>
        </is>
      </c>
      <c r="O579" s="5" t="inlineStr">
        <is>
          <t>Work "création site web paris" (or a close natural variant) into existing copy - no new heading needed</t>
        </is>
      </c>
      <c r="P579" s="5" t="inlineStr">
        <is>
          <t>Keyword/variant absent from this section</t>
        </is>
      </c>
      <c r="Q579" t="inlineStr">
        <is>
          <t>P3</t>
        </is>
      </c>
      <c r="R579" t="n">
        <v>191</v>
      </c>
      <c r="S579" s="5" t="inlineStr">
        <is>
          <t>Expertise approfondie dans les secteurs clés de Paris . Nous comprenons les défis uniques de votre secteur et les exigences de conformité. FinTech Plateformes financières sécurisées avec traitement des paiements, conform</t>
        </is>
      </c>
    </row>
    <row r="580">
      <c r="A580" s="3" t="inlineStr">
        <is>
          <t>https://codesommet.com/web-development-company/paris</t>
        </is>
      </c>
      <c r="B580" t="n">
        <v>5</v>
      </c>
      <c r="C580" t="inlineStr">
        <is>
          <t>Testimonials / social proof</t>
        </is>
      </c>
      <c r="D580" s="5" t="inlineStr">
        <is>
          <t>Histoires de réussite à Paris</t>
        </is>
      </c>
      <c r="E580" t="inlineStr">
        <is>
          <t>H2</t>
        </is>
      </c>
      <c r="F580" s="5" t="inlineStr">
        <is>
          <t>Commercial investigation</t>
        </is>
      </c>
      <c r="G580" t="inlineStr">
        <is>
          <t>développement web paris</t>
        </is>
      </c>
      <c r="H580" t="inlineStr">
        <is>
          <t>SUPPORTS PRIMARY</t>
        </is>
      </c>
      <c r="I580" t="inlineStr">
        <is>
          <t>fr</t>
        </is>
      </c>
      <c r="J580" t="n">
        <v>260</v>
      </c>
      <c r="K580" t="n">
        <v>31</v>
      </c>
      <c r="L580" t="n">
        <v>2.07</v>
      </c>
      <c r="M580" t="inlineStr">
        <is>
          <t>MEASURED</t>
        </is>
      </c>
      <c r="N580" t="inlineStr">
        <is>
          <t>Yes (supporting block)</t>
        </is>
      </c>
      <c r="O580" s="5" t="inlineStr">
        <is>
          <t>Supports the primary topic - add only if natural</t>
        </is>
      </c>
      <c r="P580" s="5" t="inlineStr"/>
      <c r="Q580" t="inlineStr">
        <is>
          <t>P3</t>
        </is>
      </c>
      <c r="R580" t="n">
        <v>58</v>
      </c>
      <c r="S580" s="5" t="inlineStr">
        <is>
          <t>Des projets réels, des résultats concrets. Découvrez comment nous avons aidé des entreprises de Paris à atteindre leurs objectifs numériques. SaaS Plateforme de gestion associative Mon Asso Maroc Tourisme Site de réserva</t>
        </is>
      </c>
    </row>
    <row r="581">
      <c r="A581" s="3" t="inlineStr">
        <is>
          <t>https://codesommet.com/web-development-company/paris</t>
        </is>
      </c>
      <c r="B581" t="n">
        <v>6</v>
      </c>
      <c r="C581" t="inlineStr">
        <is>
          <t>Process / how it works</t>
        </is>
      </c>
      <c r="D581" s="5" t="inlineStr">
        <is>
          <t>Comment Nous Concevons des Plateformes E-Commerce de Luxe Adaptées aux Marques Parisiennes</t>
        </is>
      </c>
      <c r="E581" t="inlineStr">
        <is>
          <t>H2</t>
        </is>
      </c>
      <c r="F581" s="5" t="inlineStr">
        <is>
          <t>Informational / commercial</t>
        </is>
      </c>
      <c r="G581" t="inlineStr">
        <is>
          <t>développement web paris</t>
        </is>
      </c>
      <c r="H581" t="inlineStr">
        <is>
          <t>SUPPORTS PRIMARY</t>
        </is>
      </c>
      <c r="I581" t="inlineStr">
        <is>
          <t>fr</t>
        </is>
      </c>
      <c r="J581" t="n">
        <v>260</v>
      </c>
      <c r="K581" t="n">
        <v>31</v>
      </c>
      <c r="L581" t="n">
        <v>2.07</v>
      </c>
      <c r="M581" t="inlineStr">
        <is>
          <t>MEASURED</t>
        </is>
      </c>
      <c r="N581" t="inlineStr">
        <is>
          <t>Yes (supporting block)</t>
        </is>
      </c>
      <c r="O581" s="5" t="inlineStr">
        <is>
          <t>Supports the primary topic - add only if natural</t>
        </is>
      </c>
      <c r="P581" s="5" t="inlineStr"/>
      <c r="Q581" t="inlineStr">
        <is>
          <t>P3</t>
        </is>
      </c>
      <c r="R581" t="n">
        <v>260</v>
      </c>
      <c r="S581" s="5" t="inlineStr">
        <is>
          <t>E-commerce et marketplace de mode de luxe • E-Commerce / Fashion Tech • Délai adapté à la portée du projet Le Défi Les maisons de mode et marques de luxe parisiennes ont besoin d'une plateforme e-commerce à la hauteur du</t>
        </is>
      </c>
    </row>
    <row r="582">
      <c r="A582" s="3" t="inlineStr">
        <is>
          <t>https://codesommet.com/web-development-company/paris</t>
        </is>
      </c>
      <c r="B582" t="n">
        <v>7</v>
      </c>
      <c r="C582" t="inlineStr">
        <is>
          <t>Pricing / offers</t>
        </is>
      </c>
      <c r="D582" s="5" t="inlineStr">
        <is>
          <t>Solutions Sur Mesure, Tarification Transparente</t>
        </is>
      </c>
      <c r="E582" t="inlineStr">
        <is>
          <t>H2</t>
        </is>
      </c>
      <c r="F582" s="5" t="inlineStr">
        <is>
          <t>Commercial / transactional</t>
        </is>
      </c>
      <c r="G582" t="inlineStr">
        <is>
          <t>développement web paris</t>
        </is>
      </c>
      <c r="H582" t="inlineStr">
        <is>
          <t>SUPPORTS PRIMARY</t>
        </is>
      </c>
      <c r="I582" t="inlineStr">
        <is>
          <t>fr</t>
        </is>
      </c>
      <c r="J582" t="n">
        <v>260</v>
      </c>
      <c r="K582" t="n">
        <v>31</v>
      </c>
      <c r="L582" t="n">
        <v>2.07</v>
      </c>
      <c r="M582" t="inlineStr">
        <is>
          <t>MEASURED</t>
        </is>
      </c>
      <c r="N582" t="inlineStr">
        <is>
          <t>Yes (supporting block)</t>
        </is>
      </c>
      <c r="O582" s="5" t="inlineStr">
        <is>
          <t>Supports the primary topic - add only if natural</t>
        </is>
      </c>
      <c r="P582" s="5" t="inlineStr"/>
      <c r="Q582" t="inlineStr">
        <is>
          <t>P3</t>
        </is>
      </c>
      <c r="R582" t="n">
        <v>193</v>
      </c>
      <c r="S582" s="5" t="inlineStr">
        <is>
          <t>Réservez un appel découverte pour discuter de vos besoins spécifiques et obtenir un devis sur mesure Recommandé Développement de Sites Web Site web complet avec fonctionnalités IA, tableaux de bord et design premium livr</t>
        </is>
      </c>
    </row>
    <row r="583">
      <c r="A583" s="3" t="inlineStr">
        <is>
          <t>https://codesommet.com/web-development-company/paris</t>
        </is>
      </c>
      <c r="B583" t="n">
        <v>8</v>
      </c>
      <c r="C583" t="inlineStr">
        <is>
          <t>CTA / conversion</t>
        </is>
      </c>
      <c r="D583" s="5" t="inlineStr">
        <is>
          <t>Prêt à Améliorer Votre Site Web à Paris ?</t>
        </is>
      </c>
      <c r="E583" t="inlineStr">
        <is>
          <t>H2</t>
        </is>
      </c>
      <c r="F583" s="5" t="inlineStr">
        <is>
          <t>Conversion</t>
        </is>
      </c>
      <c r="G583" t="inlineStr">
        <is>
          <t>—</t>
        </is>
      </c>
      <c r="H583" t="inlineStr">
        <is>
          <t>NONE</t>
        </is>
      </c>
      <c r="I583" t="inlineStr">
        <is>
          <t>—</t>
        </is>
      </c>
      <c r="J583" t="inlineStr">
        <is>
          <t>—</t>
        </is>
      </c>
      <c r="K583" t="inlineStr">
        <is>
          <t>—</t>
        </is>
      </c>
      <c r="L583" t="inlineStr">
        <is>
          <t>—</t>
        </is>
      </c>
      <c r="M583" t="inlineStr">
        <is>
          <t>—</t>
        </is>
      </c>
      <c r="N583" t="inlineStr">
        <is>
          <t>n/a</t>
        </is>
      </c>
      <c r="O583" s="5" t="inlineStr">
        <is>
          <t>No keyword target - keep conversion/navigation focus; use descriptive, non-repeated anchor texts</t>
        </is>
      </c>
      <c r="P583" s="5" t="inlineStr"/>
      <c r="Q583" t="inlineStr">
        <is>
          <t>P4</t>
        </is>
      </c>
      <c r="R583" t="n">
        <v>40</v>
      </c>
      <c r="S583" s="5" t="inlineStr">
        <is>
          <t>Obtenez d'abord une analyse gratuite complète : Audit SEO Vérification des performances Revue du design Recommandations alimentées par l'IA Analyser Votre Site Web - 100% Gratuit Aucune carte de crédit requise • Résultat</t>
        </is>
      </c>
    </row>
    <row r="584">
      <c r="A584" s="3" t="inlineStr">
        <is>
          <t>https://codesommet.com/web-development-company/paris</t>
        </is>
      </c>
      <c r="B584" t="n">
        <v>9</v>
      </c>
      <c r="C584" t="inlineStr">
        <is>
          <t>Why us / differentiation</t>
        </is>
      </c>
      <c r="D584" s="5" t="inlineStr">
        <is>
          <t>CodeSommet Paris vs Autres</t>
        </is>
      </c>
      <c r="E584" t="inlineStr">
        <is>
          <t>H2</t>
        </is>
      </c>
      <c r="F584" s="5" t="inlineStr">
        <is>
          <t>Commercial investigation</t>
        </is>
      </c>
      <c r="G584" t="inlineStr">
        <is>
          <t>développement web paris</t>
        </is>
      </c>
      <c r="H584" t="inlineStr">
        <is>
          <t>SUPPORTS PRIMARY</t>
        </is>
      </c>
      <c r="I584" t="inlineStr">
        <is>
          <t>fr</t>
        </is>
      </c>
      <c r="J584" t="n">
        <v>260</v>
      </c>
      <c r="K584" t="n">
        <v>31</v>
      </c>
      <c r="L584" t="n">
        <v>2.07</v>
      </c>
      <c r="M584" t="inlineStr">
        <is>
          <t>MEASURED</t>
        </is>
      </c>
      <c r="N584" t="inlineStr">
        <is>
          <t>Yes</t>
        </is>
      </c>
      <c r="O584" s="5" t="inlineStr">
        <is>
          <t>Covered - keep wording; no change</t>
        </is>
      </c>
      <c r="P584" s="5" t="inlineStr"/>
      <c r="Q584" t="inlineStr">
        <is>
          <t>P3</t>
        </is>
      </c>
      <c r="R584" t="n">
        <v>85</v>
      </c>
      <c r="S584" s="5" t="inlineStr">
        <is>
          <t>Découvrez pourquoi Paris les entreprises choisissent CodeSommet plutôt que d'autres agences locales et internationales. Fonctionnalité CodeSommet Paris Autres Agences de Paris Agences Internationales Révisions Illimitées</t>
        </is>
      </c>
    </row>
    <row r="585">
      <c r="A585" s="3" t="inlineStr">
        <is>
          <t>https://codesommet.com/web-development-company/paris</t>
        </is>
      </c>
      <c r="B585" t="n">
        <v>10</v>
      </c>
      <c r="C585" t="inlineStr">
        <is>
          <t>Testimonials / social proof</t>
        </is>
      </c>
      <c r="D585" s="5" t="inlineStr">
        <is>
          <t>Ce Que les Clients de Paris Disent de Nous</t>
        </is>
      </c>
      <c r="E585" t="inlineStr">
        <is>
          <t>H2</t>
        </is>
      </c>
      <c r="F585" s="5" t="inlineStr">
        <is>
          <t>Commercial investigation</t>
        </is>
      </c>
      <c r="G585" t="inlineStr">
        <is>
          <t>développement web paris</t>
        </is>
      </c>
      <c r="H585" t="inlineStr">
        <is>
          <t>SUPPORTS PRIMARY</t>
        </is>
      </c>
      <c r="I585" t="inlineStr">
        <is>
          <t>fr</t>
        </is>
      </c>
      <c r="J585" t="n">
        <v>260</v>
      </c>
      <c r="K585" t="n">
        <v>31</v>
      </c>
      <c r="L585" t="n">
        <v>2.07</v>
      </c>
      <c r="M585" t="inlineStr">
        <is>
          <t>MEASURED</t>
        </is>
      </c>
      <c r="N585" t="inlineStr">
        <is>
          <t>Yes (supporting block)</t>
        </is>
      </c>
      <c r="O585" s="5" t="inlineStr">
        <is>
          <t>Supports the primary topic - add only if natural</t>
        </is>
      </c>
      <c r="P585" s="5" t="inlineStr"/>
      <c r="Q585" t="inlineStr">
        <is>
          <t>P3</t>
        </is>
      </c>
      <c r="R585" t="n">
        <v>103</v>
      </c>
      <c r="S585" s="5" t="inlineStr">
        <is>
          <t>Ne nous croyez pas sur parole. Écoutez les entreprises de Paris qui ont obtenu des résultats remarquables avec CodeSommet. "Une collaboration professionnelle du début à la fin. Je recommande sans hésiter." Mohammed Chaji</t>
        </is>
      </c>
    </row>
    <row r="586">
      <c r="A586" s="3" t="inlineStr">
        <is>
          <t>https://codesommet.com/web-development-company/paris</t>
        </is>
      </c>
      <c r="B586" t="n">
        <v>11</v>
      </c>
      <c r="C586" t="inlineStr">
        <is>
          <t>Process / how it works</t>
        </is>
      </c>
      <c r="D586" s="5" t="inlineStr">
        <is>
          <t>Comment démarrer en 3 étapes simples</t>
        </is>
      </c>
      <c r="E586" t="inlineStr">
        <is>
          <t>H2</t>
        </is>
      </c>
      <c r="F586" s="5" t="inlineStr">
        <is>
          <t>Informational / commercial</t>
        </is>
      </c>
      <c r="G586" t="inlineStr">
        <is>
          <t>développement web paris</t>
        </is>
      </c>
      <c r="H586" t="inlineStr">
        <is>
          <t>SUPPORTS PRIMARY</t>
        </is>
      </c>
      <c r="I586" t="inlineStr">
        <is>
          <t>fr</t>
        </is>
      </c>
      <c r="J586" t="n">
        <v>260</v>
      </c>
      <c r="K586" t="n">
        <v>31</v>
      </c>
      <c r="L586" t="n">
        <v>2.07</v>
      </c>
      <c r="M586" t="inlineStr">
        <is>
          <t>MEASURED</t>
        </is>
      </c>
      <c r="N586" t="inlineStr">
        <is>
          <t>Yes (supporting block)</t>
        </is>
      </c>
      <c r="O586" s="5" t="inlineStr">
        <is>
          <t>Supports the primary topic - add only if natural</t>
        </is>
      </c>
      <c r="P586" s="5" t="inlineStr"/>
      <c r="Q586" t="inlineStr">
        <is>
          <t>P3</t>
        </is>
      </c>
      <c r="R586" t="n">
        <v>286</v>
      </c>
      <c r="S586" s="5" t="inlineStr">
        <is>
          <t>Du premier appel à la livraison du projet, découvrez exactement comment nous travaillons ensemble Étape 1 Abonnement 1 projet actif Révisions illimitées Design &amp; développement SEO &amp; contenu Recommandé Développement de Si</t>
        </is>
      </c>
    </row>
    <row r="587">
      <c r="A587" s="3" t="inlineStr">
        <is>
          <t>https://codesommet.com/web-development-company/paris</t>
        </is>
      </c>
      <c r="B587" t="n">
        <v>12</v>
      </c>
      <c r="C587" t="inlineStr">
        <is>
          <t>FAQ</t>
        </is>
      </c>
      <c r="D587" s="5" t="inlineStr">
        <is>
          <t>Questions Fréquemment Posées sur le Développement Web à Paris</t>
        </is>
      </c>
      <c r="E587" t="inlineStr">
        <is>
          <t>H2</t>
        </is>
      </c>
      <c r="F587" s="5" t="inlineStr">
        <is>
          <t>Informational (pre-purchase questions)</t>
        </is>
      </c>
      <c r="G587" t="inlineStr">
        <is>
          <t>développement web paris</t>
        </is>
      </c>
      <c r="H587" t="inlineStr">
        <is>
          <t>SUPPORTS PRIMARY</t>
        </is>
      </c>
      <c r="I587" t="inlineStr">
        <is>
          <t>fr</t>
        </is>
      </c>
      <c r="J587" t="n">
        <v>260</v>
      </c>
      <c r="K587" t="n">
        <v>31</v>
      </c>
      <c r="L587" t="n">
        <v>2.07</v>
      </c>
      <c r="M587" t="inlineStr">
        <is>
          <t>MEASURED</t>
        </is>
      </c>
      <c r="N587" t="inlineStr">
        <is>
          <t>Yes</t>
        </is>
      </c>
      <c r="O587" s="5" t="inlineStr">
        <is>
          <t>Covered - keep wording; no change</t>
        </is>
      </c>
      <c r="P587" s="5" t="inlineStr"/>
      <c r="Q587" t="inlineStr">
        <is>
          <t>P3</t>
        </is>
      </c>
      <c r="R587" t="n">
        <v>380</v>
      </c>
      <c r="S587" s="5" t="inlineStr">
        <is>
          <t>Vous avez des questions ? Nous avons les réponses. Voici les questions les plus fréquentes des entreprises de Paris. 1 Pourquoi choisir CodeSommet parmi les nombreuses agences web de Paris ? Parce que nous combinons un d</t>
        </is>
      </c>
    </row>
    <row r="588">
      <c r="A588" s="3" t="inlineStr">
        <is>
          <t>https://codesommet.com/web-development-company/paris</t>
        </is>
      </c>
      <c r="B588" t="n">
        <v>13</v>
      </c>
      <c r="C588" t="inlineStr">
        <is>
          <t>Internal-link block</t>
        </is>
      </c>
      <c r="D588" s="5" t="inlineStr">
        <is>
          <t>Nous Desservons Aussi</t>
        </is>
      </c>
      <c r="E588" t="inlineStr">
        <is>
          <t>H2</t>
        </is>
      </c>
      <c r="F588" s="5" t="inlineStr">
        <is>
          <t>Navigation</t>
        </is>
      </c>
      <c r="G588" t="inlineStr">
        <is>
          <t>—</t>
        </is>
      </c>
      <c r="H588" t="inlineStr">
        <is>
          <t>NONE</t>
        </is>
      </c>
      <c r="I588" t="inlineStr">
        <is>
          <t>—</t>
        </is>
      </c>
      <c r="J588" t="inlineStr">
        <is>
          <t>—</t>
        </is>
      </c>
      <c r="K588" t="inlineStr">
        <is>
          <t>—</t>
        </is>
      </c>
      <c r="L588" t="inlineStr">
        <is>
          <t>—</t>
        </is>
      </c>
      <c r="M588" t="inlineStr">
        <is>
          <t>—</t>
        </is>
      </c>
      <c r="N588" t="inlineStr">
        <is>
          <t>n/a</t>
        </is>
      </c>
      <c r="O588" s="5" t="inlineStr">
        <is>
          <t>No keyword target - keep conversion/navigation focus; use descriptive, non-repeated anchor texts</t>
        </is>
      </c>
      <c r="P588" s="5" t="inlineStr"/>
      <c r="Q588" t="inlineStr">
        <is>
          <t>P4</t>
        </is>
      </c>
      <c r="R588" t="n">
        <v>29</v>
      </c>
      <c r="S588" s="5" t="inlineStr">
        <is>
          <t>Explorez nos services de développement web dans d'autres villes à travers le monde Bruxelles Belgique Londres Royaume-Uni Amsterdam Pays-Bas Dublin Irlande Berlin Allemagne Zurich Suisse Voir Toutes les Villes</t>
        </is>
      </c>
    </row>
    <row r="589">
      <c r="A589" s="3" t="inlineStr">
        <is>
          <t>https://codesommet.com/web-development-company/paris</t>
        </is>
      </c>
      <c r="B589" t="n">
        <v>14</v>
      </c>
      <c r="C589" t="inlineStr">
        <is>
          <t>Internal-link block</t>
        </is>
      </c>
      <c r="D589" s="5" t="inlineStr">
        <is>
          <t>Explorer Plus</t>
        </is>
      </c>
      <c r="E589" t="inlineStr">
        <is>
          <t>H2</t>
        </is>
      </c>
      <c r="F589" s="5" t="inlineStr">
        <is>
          <t>Navigation</t>
        </is>
      </c>
      <c r="G589" t="inlineStr">
        <is>
          <t>—</t>
        </is>
      </c>
      <c r="H589" t="inlineStr">
        <is>
          <t>NONE</t>
        </is>
      </c>
      <c r="I589" t="inlineStr">
        <is>
          <t>—</t>
        </is>
      </c>
      <c r="J589" t="inlineStr">
        <is>
          <t>—</t>
        </is>
      </c>
      <c r="K589" t="inlineStr">
        <is>
          <t>—</t>
        </is>
      </c>
      <c r="L589" t="inlineStr">
        <is>
          <t>—</t>
        </is>
      </c>
      <c r="M589" t="inlineStr">
        <is>
          <t>—</t>
        </is>
      </c>
      <c r="N589" t="inlineStr">
        <is>
          <t>n/a</t>
        </is>
      </c>
      <c r="O589" s="5" t="inlineStr">
        <is>
          <t>No keyword target - keep conversion/navigation focus; use descriptive, non-repeated anchor texts</t>
        </is>
      </c>
      <c r="P589" s="5" t="inlineStr"/>
      <c r="Q589" t="inlineStr">
        <is>
          <t>P4</t>
        </is>
      </c>
      <c r="R589" t="n">
        <v>83</v>
      </c>
      <c r="S589" s="5" t="inlineStr">
        <is>
          <t xml:space="preserve">Découvrez ce qui fait de CodeSommet votre partenaire idéal en développement web Audit Gratuit de Site Web Obtenez une analyse alimentée par l'IA avec plus de 40 vérifications En savoir plus Voir Nos Projets Explorez les </t>
        </is>
      </c>
    </row>
    <row r="590">
      <c r="A590" s="3" t="inlineStr">
        <is>
          <t>https://codesommet.com/web-development-company/paris</t>
        </is>
      </c>
      <c r="B590" t="n">
        <v>15</v>
      </c>
      <c r="C590" t="inlineStr">
        <is>
          <t>CTA / conversion</t>
        </is>
      </c>
      <c r="D590" s="5" t="inlineStr">
        <is>
          <t>Prêt à Créer Quelque Chose d'Extraordinaire ?</t>
        </is>
      </c>
      <c r="E590" t="inlineStr">
        <is>
          <t>H2</t>
        </is>
      </c>
      <c r="F590" s="5" t="inlineStr">
        <is>
          <t>Conversion</t>
        </is>
      </c>
      <c r="G590" t="inlineStr">
        <is>
          <t>—</t>
        </is>
      </c>
      <c r="H590" t="inlineStr">
        <is>
          <t>NONE</t>
        </is>
      </c>
      <c r="I590" t="inlineStr">
        <is>
          <t>—</t>
        </is>
      </c>
      <c r="J590" t="inlineStr">
        <is>
          <t>—</t>
        </is>
      </c>
      <c r="K590" t="inlineStr">
        <is>
          <t>—</t>
        </is>
      </c>
      <c r="L590" t="inlineStr">
        <is>
          <t>—</t>
        </is>
      </c>
      <c r="M590" t="inlineStr">
        <is>
          <t>—</t>
        </is>
      </c>
      <c r="N590" t="inlineStr">
        <is>
          <t>n/a</t>
        </is>
      </c>
      <c r="O590" s="5" t="inlineStr">
        <is>
          <t>No keyword target - keep conversion/navigation focus; use descriptive, non-repeated anchor texts</t>
        </is>
      </c>
      <c r="P590" s="5" t="inlineStr"/>
      <c r="Q590" t="inlineStr">
        <is>
          <t>P4</t>
        </is>
      </c>
      <c r="R590" t="n">
        <v>119</v>
      </c>
      <c r="S590" s="5" t="inlineStr">
        <is>
          <t>Rejoignez les entreprises visionnaires qui ont choisi l'excellence Réserver un Appel Découverte Analyser Mon Site Gratuitement Réserver un Appel Découverte Analyser Votre Site Web Discutons de la façon dont l'IA et le de</t>
        </is>
      </c>
    </row>
    <row r="591">
      <c r="A591" s="3" t="inlineStr">
        <is>
          <t>https://codesommet.com/web-development-company/copenhagen</t>
        </is>
      </c>
      <c r="B591" t="n">
        <v>1</v>
      </c>
      <c r="C591" t="inlineStr">
        <is>
          <t>Hero / H1</t>
        </is>
      </c>
      <c r="D591" s="5" t="inlineStr">
        <is>
          <t>Développement Web à Copenhague, Danemark : des sites web qui génèrent Plateformes SaaS</t>
        </is>
      </c>
      <c r="E591" t="inlineStr">
        <is>
          <t>H1</t>
        </is>
      </c>
      <c r="F591" s="5" t="inlineStr">
        <is>
          <t>Commercial (local)</t>
        </is>
      </c>
      <c r="G591" t="inlineStr">
        <is>
          <t>développement web copenhague</t>
        </is>
      </c>
      <c r="H591" t="inlineStr">
        <is>
          <t>PRIMARY</t>
        </is>
      </c>
      <c r="I591" t="inlineStr">
        <is>
          <t>dk</t>
        </is>
      </c>
      <c r="J591" t="inlineStr">
        <is>
          <t>NOT AVAILABLE</t>
        </is>
      </c>
      <c r="K591" t="inlineStr">
        <is>
          <t>NOT AVAILABLE</t>
        </is>
      </c>
      <c r="L591" t="inlineStr">
        <is>
          <t>NOT AVAILABLE</t>
        </is>
      </c>
      <c r="M591" t="inlineStr">
        <is>
          <t>UNAVAILABLE</t>
        </is>
      </c>
      <c r="N591" t="inlineStr">
        <is>
          <t>Yes</t>
        </is>
      </c>
      <c r="O591" s="5" t="inlineStr">
        <is>
          <t>Covered - keep wording; no change</t>
        </is>
      </c>
      <c r="P591" s="5" t="inlineStr"/>
      <c r="Q591" t="inlineStr">
        <is>
          <t>P3</t>
        </is>
      </c>
      <c r="R591" t="n">
        <v>80</v>
      </c>
      <c r="S591" s="5" t="inlineStr">
        <is>
          <t>Depuis le Maroc, notre studio de développement web accompagne à distance les entreprises de Copenhague dans la création de sites web alimentés par l'IA et de tableaux de bord intelligents. Nous sommes spécialisés dans la</t>
        </is>
      </c>
    </row>
    <row r="592">
      <c r="A592" s="3" t="inlineStr">
        <is>
          <t>https://codesommet.com/web-development-company/copenhagen</t>
        </is>
      </c>
      <c r="B592" t="n">
        <v>2</v>
      </c>
      <c r="C592" t="inlineStr">
        <is>
          <t>Why us / differentiation</t>
        </is>
      </c>
      <c r="D592" s="5" t="inlineStr">
        <is>
          <t>Pourquoi Choisir CodeSommet à Copenhague ?</t>
        </is>
      </c>
      <c r="E592" t="inlineStr">
        <is>
          <t>H2</t>
        </is>
      </c>
      <c r="F592" s="5" t="inlineStr">
        <is>
          <t>Commercial investigation</t>
        </is>
      </c>
      <c r="G592" t="inlineStr">
        <is>
          <t>développement web copenhague</t>
        </is>
      </c>
      <c r="H592" t="inlineStr">
        <is>
          <t>SUPPORTS PRIMARY</t>
        </is>
      </c>
      <c r="I592" t="inlineStr">
        <is>
          <t>dk</t>
        </is>
      </c>
      <c r="J592" t="inlineStr">
        <is>
          <t>NOT AVAILABLE</t>
        </is>
      </c>
      <c r="K592" t="inlineStr">
        <is>
          <t>NOT AVAILABLE</t>
        </is>
      </c>
      <c r="L592" t="inlineStr">
        <is>
          <t>NOT AVAILABLE</t>
        </is>
      </c>
      <c r="M592" t="inlineStr">
        <is>
          <t>UNAVAILABLE</t>
        </is>
      </c>
      <c r="N592" t="inlineStr">
        <is>
          <t>Yes</t>
        </is>
      </c>
      <c r="O592" s="5" t="inlineStr">
        <is>
          <t>Covered - keep wording; no change</t>
        </is>
      </c>
      <c r="P592" s="5" t="inlineStr"/>
      <c r="Q592" t="inlineStr">
        <is>
          <t>P3</t>
        </is>
      </c>
      <c r="R592" t="n">
        <v>159</v>
      </c>
      <c r="S592" s="5" t="inlineStr">
        <is>
          <t>L'expertise locale rencontre les standards mondiaux. Voici ce qui fait de nous le partenaire de développement web idéal à Copenhague. Experts en IA Créez des chatbots intelligents, des workflows d'automatisation, de la r</t>
        </is>
      </c>
    </row>
    <row r="593">
      <c r="A593" s="3" t="inlineStr">
        <is>
          <t>https://codesommet.com/web-development-company/copenhagen</t>
        </is>
      </c>
      <c r="B593" t="n">
        <v>3</v>
      </c>
      <c r="C593" t="inlineStr">
        <is>
          <t>Content block</t>
        </is>
      </c>
      <c r="D593" s="5" t="inlineStr">
        <is>
          <t>Approuvé par Copenhague Entreprises</t>
        </is>
      </c>
      <c r="E593" t="inlineStr">
        <is>
          <t>H2</t>
        </is>
      </c>
      <c r="F593" s="5" t="inlineStr">
        <is>
          <t>Commercial (local)</t>
        </is>
      </c>
      <c r="G593" t="inlineStr">
        <is>
          <t>développement web copenhague</t>
        </is>
      </c>
      <c r="H593" t="inlineStr">
        <is>
          <t>SUPPORTS PRIMARY</t>
        </is>
      </c>
      <c r="I593" t="inlineStr">
        <is>
          <t>dk</t>
        </is>
      </c>
      <c r="J593" t="inlineStr">
        <is>
          <t>NOT AVAILABLE</t>
        </is>
      </c>
      <c r="K593" t="inlineStr">
        <is>
          <t>NOT AVAILABLE</t>
        </is>
      </c>
      <c r="L593" t="inlineStr">
        <is>
          <t>NOT AVAILABLE</t>
        </is>
      </c>
      <c r="M593" t="inlineStr">
        <is>
          <t>UNAVAILABLE</t>
        </is>
      </c>
      <c r="N593" t="inlineStr">
        <is>
          <t>Yes (supporting block)</t>
        </is>
      </c>
      <c r="O593" s="5" t="inlineStr">
        <is>
          <t>Supports the primary topic - add only if natural</t>
        </is>
      </c>
      <c r="P593" s="5" t="inlineStr"/>
      <c r="Q593" t="inlineStr">
        <is>
          <t>P3</t>
        </is>
      </c>
      <c r="R593" t="n">
        <v>27</v>
      </c>
      <c r="S593" s="5" t="inlineStr">
        <is>
          <t>Projets livrés à l'international Sites pensés pour la conversion Clients dans plusieurs pays De vrais résultats de Copenhague - entreprises avec lesquelles nous avons collaboré Expertise Sectorielle</t>
        </is>
      </c>
    </row>
    <row r="594">
      <c r="A594" s="3" t="inlineStr">
        <is>
          <t>https://codesommet.com/web-development-company/copenhagen</t>
        </is>
      </c>
      <c r="B594" t="n">
        <v>4</v>
      </c>
      <c r="C594" t="inlineStr">
        <is>
          <t>Content block</t>
        </is>
      </c>
      <c r="D594" s="5" t="inlineStr">
        <is>
          <t>Copenhague Nos Secteurs de Spécialisation</t>
        </is>
      </c>
      <c r="E594" t="inlineStr">
        <is>
          <t>H2</t>
        </is>
      </c>
      <c r="F594" s="5" t="inlineStr">
        <is>
          <t>Commercial (local)</t>
        </is>
      </c>
      <c r="G594" t="inlineStr">
        <is>
          <t>développement web copenhague</t>
        </is>
      </c>
      <c r="H594" t="inlineStr">
        <is>
          <t>SUPPORTS PRIMARY</t>
        </is>
      </c>
      <c r="I594" t="inlineStr">
        <is>
          <t>dk</t>
        </is>
      </c>
      <c r="J594" t="inlineStr">
        <is>
          <t>NOT AVAILABLE</t>
        </is>
      </c>
      <c r="K594" t="inlineStr">
        <is>
          <t>NOT AVAILABLE</t>
        </is>
      </c>
      <c r="L594" t="inlineStr">
        <is>
          <t>NOT AVAILABLE</t>
        </is>
      </c>
      <c r="M594" t="inlineStr">
        <is>
          <t>UNAVAILABLE</t>
        </is>
      </c>
      <c r="N594" t="inlineStr">
        <is>
          <t>Yes</t>
        </is>
      </c>
      <c r="O594" s="5" t="inlineStr">
        <is>
          <t>Covered - keep wording; no change</t>
        </is>
      </c>
      <c r="P594" s="5" t="inlineStr"/>
      <c r="Q594" t="inlineStr">
        <is>
          <t>P3</t>
        </is>
      </c>
      <c r="R594" t="n">
        <v>195</v>
      </c>
      <c r="S594" s="5" t="inlineStr">
        <is>
          <t>Expertise approfondie dans Copenhague . Nous comprenons les défis uniques de votre secteur et les exigences de conformité. FinTech Plateformes financières sécurisées avec traitement des paiements, conformité et fonctionn</t>
        </is>
      </c>
    </row>
    <row r="595">
      <c r="A595" s="3" t="inlineStr">
        <is>
          <t>https://codesommet.com/web-development-company/copenhagen</t>
        </is>
      </c>
      <c r="B595" t="n">
        <v>5</v>
      </c>
      <c r="C595" t="inlineStr">
        <is>
          <t>Testimonials / social proof</t>
        </is>
      </c>
      <c r="D595" s="5" t="inlineStr">
        <is>
          <t>Histoires de Succès de Copenhague</t>
        </is>
      </c>
      <c r="E595" t="inlineStr">
        <is>
          <t>H2</t>
        </is>
      </c>
      <c r="F595" s="5" t="inlineStr">
        <is>
          <t>Commercial investigation</t>
        </is>
      </c>
      <c r="G595" t="inlineStr">
        <is>
          <t>développement web copenhague</t>
        </is>
      </c>
      <c r="H595" t="inlineStr">
        <is>
          <t>SUPPORTS PRIMARY</t>
        </is>
      </c>
      <c r="I595" t="inlineStr">
        <is>
          <t>dk</t>
        </is>
      </c>
      <c r="J595" t="inlineStr">
        <is>
          <t>NOT AVAILABLE</t>
        </is>
      </c>
      <c r="K595" t="inlineStr">
        <is>
          <t>NOT AVAILABLE</t>
        </is>
      </c>
      <c r="L595" t="inlineStr">
        <is>
          <t>NOT AVAILABLE</t>
        </is>
      </c>
      <c r="M595" t="inlineStr">
        <is>
          <t>UNAVAILABLE</t>
        </is>
      </c>
      <c r="N595" t="inlineStr">
        <is>
          <t>Yes (supporting block)</t>
        </is>
      </c>
      <c r="O595" s="5" t="inlineStr">
        <is>
          <t>Supports the primary topic - add only if natural</t>
        </is>
      </c>
      <c r="P595" s="5" t="inlineStr"/>
      <c r="Q595" t="inlineStr">
        <is>
          <t>P3</t>
        </is>
      </c>
      <c r="R595" t="n">
        <v>59</v>
      </c>
      <c r="S595" s="5" t="inlineStr">
        <is>
          <t>De vrais projets, de vrais résultats. Découvrez comment nous avons aidé les entreprises à Copenhague atteindre leurs objectifs numériques. Tourisme Site de réservation de voyages Morocco Quest Maroc Tourisme Circuits pri</t>
        </is>
      </c>
    </row>
    <row r="596">
      <c r="A596" s="3" t="inlineStr">
        <is>
          <t>https://codesommet.com/web-development-company/copenhagen</t>
        </is>
      </c>
      <c r="B596" t="n">
        <v>6</v>
      </c>
      <c r="C596" t="inlineStr">
        <is>
          <t>Process / how it works</t>
        </is>
      </c>
      <c r="D596" s="5" t="inlineStr">
        <is>
          <t>Comment Nous Concevons des Plateformes SaaS et Tableaux de Bord pour les Entreprises de Copenhague</t>
        </is>
      </c>
      <c r="E596" t="inlineStr">
        <is>
          <t>H2</t>
        </is>
      </c>
      <c r="F596" s="5" t="inlineStr">
        <is>
          <t>Informational / commercial</t>
        </is>
      </c>
      <c r="G596" t="inlineStr">
        <is>
          <t>développement web copenhague</t>
        </is>
      </c>
      <c r="H596" t="inlineStr">
        <is>
          <t>SUPPORTS PRIMARY</t>
        </is>
      </c>
      <c r="I596" t="inlineStr">
        <is>
          <t>dk</t>
        </is>
      </c>
      <c r="J596" t="inlineStr">
        <is>
          <t>NOT AVAILABLE</t>
        </is>
      </c>
      <c r="K596" t="inlineStr">
        <is>
          <t>NOT AVAILABLE</t>
        </is>
      </c>
      <c r="L596" t="inlineStr">
        <is>
          <t>NOT AVAILABLE</t>
        </is>
      </c>
      <c r="M596" t="inlineStr">
        <is>
          <t>UNAVAILABLE</t>
        </is>
      </c>
      <c r="N596" t="inlineStr">
        <is>
          <t>Yes</t>
        </is>
      </c>
      <c r="O596" s="5" t="inlineStr">
        <is>
          <t>Covered - keep wording; no change</t>
        </is>
      </c>
      <c r="P596" s="5" t="inlineStr"/>
      <c r="Q596" t="inlineStr">
        <is>
          <t>P3</t>
        </is>
      </c>
      <c r="R596" t="n">
        <v>238</v>
      </c>
      <c r="S596" s="5" t="inlineStr">
        <is>
          <t>Développement de plateformes SaaS et de tableaux de bord d'entreprise sur mesure • Tech Climatique / SaaS • Délai adapté à la portée du projet Le Défi Les entreprises SaaS, fintech et tech de Copenhague ont besoin de pla</t>
        </is>
      </c>
    </row>
    <row r="597">
      <c r="A597" s="3" t="inlineStr">
        <is>
          <t>https://codesommet.com/web-development-company/copenhagen</t>
        </is>
      </c>
      <c r="B597" t="n">
        <v>7</v>
      </c>
      <c r="C597" t="inlineStr">
        <is>
          <t>Pricing / offers</t>
        </is>
      </c>
      <c r="D597" s="5" t="inlineStr">
        <is>
          <t>Solutions Personnalisées, Tarification Transparente</t>
        </is>
      </c>
      <c r="E597" t="inlineStr">
        <is>
          <t>H2</t>
        </is>
      </c>
      <c r="F597" s="5" t="inlineStr">
        <is>
          <t>Commercial / transactional</t>
        </is>
      </c>
      <c r="G597" t="inlineStr">
        <is>
          <t>développement web copenhague</t>
        </is>
      </c>
      <c r="H597" t="inlineStr">
        <is>
          <t>SUPPORTS PRIMARY</t>
        </is>
      </c>
      <c r="I597" t="inlineStr">
        <is>
          <t>dk</t>
        </is>
      </c>
      <c r="J597" t="inlineStr">
        <is>
          <t>NOT AVAILABLE</t>
        </is>
      </c>
      <c r="K597" t="inlineStr">
        <is>
          <t>NOT AVAILABLE</t>
        </is>
      </c>
      <c r="L597" t="inlineStr">
        <is>
          <t>NOT AVAILABLE</t>
        </is>
      </c>
      <c r="M597" t="inlineStr">
        <is>
          <t>UNAVAILABLE</t>
        </is>
      </c>
      <c r="N597" t="inlineStr">
        <is>
          <t>Yes (supporting block)</t>
        </is>
      </c>
      <c r="O597" s="5" t="inlineStr">
        <is>
          <t>Supports the primary topic - add only if natural</t>
        </is>
      </c>
      <c r="P597" s="5" t="inlineStr"/>
      <c r="Q597" t="inlineStr">
        <is>
          <t>P3</t>
        </is>
      </c>
      <c r="R597" t="n">
        <v>184</v>
      </c>
      <c r="S597" s="5" t="inlineStr">
        <is>
          <t>Réservez un appel découverte pour discuter de vos besoins spécifiques et obtenir un devis personnalisé Recommandé Développement Web Site web complet avec fonctionnalités IA, tableaux de bord et design premium livré en 2-</t>
        </is>
      </c>
    </row>
    <row r="598">
      <c r="A598" s="3" t="inlineStr">
        <is>
          <t>https://codesommet.com/web-development-company/copenhagen</t>
        </is>
      </c>
      <c r="B598" t="n">
        <v>8</v>
      </c>
      <c r="C598" t="inlineStr">
        <is>
          <t>CTA / conversion</t>
        </is>
      </c>
      <c r="D598" s="5" t="inlineStr">
        <is>
          <t>Prêt à Améliorer Votre Site Web à Copenhague ?</t>
        </is>
      </c>
      <c r="E598" t="inlineStr">
        <is>
          <t>H2</t>
        </is>
      </c>
      <c r="F598" s="5" t="inlineStr">
        <is>
          <t>Conversion</t>
        </is>
      </c>
      <c r="G598" t="inlineStr">
        <is>
          <t>—</t>
        </is>
      </c>
      <c r="H598" t="inlineStr">
        <is>
          <t>NONE</t>
        </is>
      </c>
      <c r="I598" t="inlineStr">
        <is>
          <t>—</t>
        </is>
      </c>
      <c r="J598" t="inlineStr">
        <is>
          <t>—</t>
        </is>
      </c>
      <c r="K598" t="inlineStr">
        <is>
          <t>—</t>
        </is>
      </c>
      <c r="L598" t="inlineStr">
        <is>
          <t>—</t>
        </is>
      </c>
      <c r="M598" t="inlineStr">
        <is>
          <t>—</t>
        </is>
      </c>
      <c r="N598" t="inlineStr">
        <is>
          <t>n/a</t>
        </is>
      </c>
      <c r="O598" s="5" t="inlineStr">
        <is>
          <t>No keyword target - keep conversion/navigation focus; use descriptive, non-repeated anchor texts</t>
        </is>
      </c>
      <c r="P598" s="5" t="inlineStr"/>
      <c r="Q598" t="inlineStr">
        <is>
          <t>P4</t>
        </is>
      </c>
      <c r="R598" t="n">
        <v>40</v>
      </c>
      <c r="S598" s="5" t="inlineStr">
        <is>
          <t xml:space="preserve">Obtenez d'abord une analyse gratuite complète : Audit SEO Vérification de performance Revue de design Recommandations alimentées par l'IA Analyser Votre Site Web - 100% Gratuit Aucune carte de crédit requise • Résultats </t>
        </is>
      </c>
    </row>
    <row r="599">
      <c r="A599" s="3" t="inlineStr">
        <is>
          <t>https://codesommet.com/web-development-company/copenhagen</t>
        </is>
      </c>
      <c r="B599" t="n">
        <v>9</v>
      </c>
      <c r="C599" t="inlineStr">
        <is>
          <t>Why us / differentiation</t>
        </is>
      </c>
      <c r="D599" s="5" t="inlineStr">
        <is>
          <t>CodeSommet Copenhague vs Autres</t>
        </is>
      </c>
      <c r="E599" t="inlineStr">
        <is>
          <t>H2</t>
        </is>
      </c>
      <c r="F599" s="5" t="inlineStr">
        <is>
          <t>Commercial investigation</t>
        </is>
      </c>
      <c r="G599" t="inlineStr">
        <is>
          <t>développement web copenhague</t>
        </is>
      </c>
      <c r="H599" t="inlineStr">
        <is>
          <t>SUPPORTS PRIMARY</t>
        </is>
      </c>
      <c r="I599" t="inlineStr">
        <is>
          <t>dk</t>
        </is>
      </c>
      <c r="J599" t="inlineStr">
        <is>
          <t>NOT AVAILABLE</t>
        </is>
      </c>
      <c r="K599" t="inlineStr">
        <is>
          <t>NOT AVAILABLE</t>
        </is>
      </c>
      <c r="L599" t="inlineStr">
        <is>
          <t>NOT AVAILABLE</t>
        </is>
      </c>
      <c r="M599" t="inlineStr">
        <is>
          <t>UNAVAILABLE</t>
        </is>
      </c>
      <c r="N599" t="inlineStr">
        <is>
          <t>Yes</t>
        </is>
      </c>
      <c r="O599" s="5" t="inlineStr">
        <is>
          <t>Covered - keep wording; no change</t>
        </is>
      </c>
      <c r="P599" s="5" t="inlineStr"/>
      <c r="Q599" t="inlineStr">
        <is>
          <t>P3</t>
        </is>
      </c>
      <c r="R599" t="n">
        <v>80</v>
      </c>
      <c r="S599" s="5" t="inlineStr">
        <is>
          <t>Découvrez pourquoi Copenhague entreprises choisissent CodeSommet plutôt que d'autres agences locales et concurrents internationaux. Fonctionnalité CodeSommet Copenhague Autres Copenhague Agences Agences Internationales R</t>
        </is>
      </c>
    </row>
    <row r="600">
      <c r="A600" s="3" t="inlineStr">
        <is>
          <t>https://codesommet.com/web-development-company/copenhagen</t>
        </is>
      </c>
      <c r="B600" t="n">
        <v>10</v>
      </c>
      <c r="C600" t="inlineStr">
        <is>
          <t>Testimonials / social proof</t>
        </is>
      </c>
      <c r="D600" s="5" t="inlineStr">
        <is>
          <t>Quoi Copenhague Nos Clients Disent de Nous</t>
        </is>
      </c>
      <c r="E600" t="inlineStr">
        <is>
          <t>H2</t>
        </is>
      </c>
      <c r="F600" s="5" t="inlineStr">
        <is>
          <t>Commercial investigation</t>
        </is>
      </c>
      <c r="G600" t="inlineStr">
        <is>
          <t>développement web copenhague</t>
        </is>
      </c>
      <c r="H600" t="inlineStr">
        <is>
          <t>SUPPORTS PRIMARY</t>
        </is>
      </c>
      <c r="I600" t="inlineStr">
        <is>
          <t>dk</t>
        </is>
      </c>
      <c r="J600" t="inlineStr">
        <is>
          <t>NOT AVAILABLE</t>
        </is>
      </c>
      <c r="K600" t="inlineStr">
        <is>
          <t>NOT AVAILABLE</t>
        </is>
      </c>
      <c r="L600" t="inlineStr">
        <is>
          <t>NOT AVAILABLE</t>
        </is>
      </c>
      <c r="M600" t="inlineStr">
        <is>
          <t>UNAVAILABLE</t>
        </is>
      </c>
      <c r="N600" t="inlineStr">
        <is>
          <t>Yes (supporting block)</t>
        </is>
      </c>
      <c r="O600" s="5" t="inlineStr">
        <is>
          <t>Supports the primary topic - add only if natural</t>
        </is>
      </c>
      <c r="P600" s="5" t="inlineStr"/>
      <c r="Q600" t="inlineStr">
        <is>
          <t>P3</t>
        </is>
      </c>
      <c r="R600" t="n">
        <v>104</v>
      </c>
      <c r="S600" s="5" t="inlineStr">
        <is>
          <t>Ne vous fiez pas seulement à notre parole. Écoutez les entreprises de Copenhague qui ont obtenu des résultats remarquables avec CodeSommet. "Une collaboration professionnelle du début à la fin. Je recommande sans hésiter</t>
        </is>
      </c>
    </row>
    <row r="601">
      <c r="A601" s="3" t="inlineStr">
        <is>
          <t>https://codesommet.com/web-development-company/copenhagen</t>
        </is>
      </c>
      <c r="B601" t="n">
        <v>11</v>
      </c>
      <c r="C601" t="inlineStr">
        <is>
          <t>Process / how it works</t>
        </is>
      </c>
      <c r="D601" s="5" t="inlineStr">
        <is>
          <t>Comment démarrer en 3 étapes simples</t>
        </is>
      </c>
      <c r="E601" t="inlineStr">
        <is>
          <t>H2</t>
        </is>
      </c>
      <c r="F601" s="5" t="inlineStr">
        <is>
          <t>Informational / commercial</t>
        </is>
      </c>
      <c r="G601" t="inlineStr">
        <is>
          <t>développement web copenhague</t>
        </is>
      </c>
      <c r="H601" t="inlineStr">
        <is>
          <t>SUPPORTS PRIMARY</t>
        </is>
      </c>
      <c r="I601" t="inlineStr">
        <is>
          <t>dk</t>
        </is>
      </c>
      <c r="J601" t="inlineStr">
        <is>
          <t>NOT AVAILABLE</t>
        </is>
      </c>
      <c r="K601" t="inlineStr">
        <is>
          <t>NOT AVAILABLE</t>
        </is>
      </c>
      <c r="L601" t="inlineStr">
        <is>
          <t>NOT AVAILABLE</t>
        </is>
      </c>
      <c r="M601" t="inlineStr">
        <is>
          <t>UNAVAILABLE</t>
        </is>
      </c>
      <c r="N601" t="inlineStr">
        <is>
          <t>Yes (supporting block)</t>
        </is>
      </c>
      <c r="O601" s="5" t="inlineStr">
        <is>
          <t>Supports the primary topic - add only if natural</t>
        </is>
      </c>
      <c r="P601" s="5" t="inlineStr"/>
      <c r="Q601" t="inlineStr">
        <is>
          <t>P3</t>
        </is>
      </c>
      <c r="R601" t="n">
        <v>286</v>
      </c>
      <c r="S601" s="5" t="inlineStr">
        <is>
          <t>Du premier appel à la livraison du projet, découvrez exactement comment nous travaillons ensemble Étape 1 Abonnement 1 projet actif Révisions illimitées Design &amp; développement SEO &amp; contenu Recommandé Développement de Si</t>
        </is>
      </c>
    </row>
    <row r="602">
      <c r="A602" s="3" t="inlineStr">
        <is>
          <t>https://codesommet.com/web-development-company/copenhagen</t>
        </is>
      </c>
      <c r="B602" t="n">
        <v>12</v>
      </c>
      <c r="C602" t="inlineStr">
        <is>
          <t>FAQ</t>
        </is>
      </c>
      <c r="D602" s="5" t="inlineStr">
        <is>
          <t>Questions Fréquemment Posées Sur le Développement Web à Copenhague</t>
        </is>
      </c>
      <c r="E602" t="inlineStr">
        <is>
          <t>H2</t>
        </is>
      </c>
      <c r="F602" s="5" t="inlineStr">
        <is>
          <t>Informational (pre-purchase questions)</t>
        </is>
      </c>
      <c r="G602" t="inlineStr">
        <is>
          <t>développement web copenhague</t>
        </is>
      </c>
      <c r="H602" t="inlineStr">
        <is>
          <t>SUPPORTS PRIMARY</t>
        </is>
      </c>
      <c r="I602" t="inlineStr">
        <is>
          <t>dk</t>
        </is>
      </c>
      <c r="J602" t="inlineStr">
        <is>
          <t>NOT AVAILABLE</t>
        </is>
      </c>
      <c r="K602" t="inlineStr">
        <is>
          <t>NOT AVAILABLE</t>
        </is>
      </c>
      <c r="L602" t="inlineStr">
        <is>
          <t>NOT AVAILABLE</t>
        </is>
      </c>
      <c r="M602" t="inlineStr">
        <is>
          <t>UNAVAILABLE</t>
        </is>
      </c>
      <c r="N602" t="inlineStr">
        <is>
          <t>Yes</t>
        </is>
      </c>
      <c r="O602" s="5" t="inlineStr">
        <is>
          <t>Covered - keep wording; no change</t>
        </is>
      </c>
      <c r="P602" s="5" t="inlineStr"/>
      <c r="Q602" t="inlineStr">
        <is>
          <t>P3</t>
        </is>
      </c>
      <c r="R602" t="n">
        <v>380</v>
      </c>
      <c r="S602" s="5" t="inlineStr">
        <is>
          <t>Vous avez des questions ? Nous avons les réponses. Voici les questions les plus fréquentes de Copenhague entreprises. 1 Pourquoi choisir CodeSommet plutôt que les nombreuses agences de développement web de Copenhague ? P</t>
        </is>
      </c>
    </row>
    <row r="603">
      <c r="A603" s="3" t="inlineStr">
        <is>
          <t>https://codesommet.com/web-development-company/copenhagen</t>
        </is>
      </c>
      <c r="B603" t="n">
        <v>13</v>
      </c>
      <c r="C603" t="inlineStr">
        <is>
          <t>Content block</t>
        </is>
      </c>
      <c r="D603" s="5" t="inlineStr">
        <is>
          <t>Nous Servons Également</t>
        </is>
      </c>
      <c r="E603" t="inlineStr">
        <is>
          <t>H2</t>
        </is>
      </c>
      <c r="F603" s="5" t="inlineStr">
        <is>
          <t>Commercial (local)</t>
        </is>
      </c>
      <c r="G603" t="inlineStr">
        <is>
          <t>développement web copenhague</t>
        </is>
      </c>
      <c r="H603" t="inlineStr">
        <is>
          <t>SUPPORTS PRIMARY</t>
        </is>
      </c>
      <c r="I603" t="inlineStr">
        <is>
          <t>dk</t>
        </is>
      </c>
      <c r="J603" t="inlineStr">
        <is>
          <t>NOT AVAILABLE</t>
        </is>
      </c>
      <c r="K603" t="inlineStr">
        <is>
          <t>NOT AVAILABLE</t>
        </is>
      </c>
      <c r="L603" t="inlineStr">
        <is>
          <t>NOT AVAILABLE</t>
        </is>
      </c>
      <c r="M603" t="inlineStr">
        <is>
          <t>UNAVAILABLE</t>
        </is>
      </c>
      <c r="N603" t="inlineStr">
        <is>
          <t>Yes (supporting block)</t>
        </is>
      </c>
      <c r="O603" s="5" t="inlineStr">
        <is>
          <t>Supports the primary topic - add only if natural</t>
        </is>
      </c>
      <c r="P603" s="5" t="inlineStr"/>
      <c r="Q603" t="inlineStr">
        <is>
          <t>P3</t>
        </is>
      </c>
      <c r="R603" t="n">
        <v>28</v>
      </c>
      <c r="S603" s="5" t="inlineStr">
        <is>
          <t>Explorez nos services de développement web dans d'autres villes à travers le monde Stockholm Suède Berlin Allemagne Zurich Suisse Amsterdam Pays-Bas Dublin Irlande Bruxelles Belgique Voir Tout Locations</t>
        </is>
      </c>
    </row>
    <row r="604">
      <c r="A604" s="3" t="inlineStr">
        <is>
          <t>https://codesommet.com/web-development-company/copenhagen</t>
        </is>
      </c>
      <c r="B604" t="n">
        <v>14</v>
      </c>
      <c r="C604" t="inlineStr">
        <is>
          <t>Content block</t>
        </is>
      </c>
      <c r="D604" s="5" t="inlineStr">
        <is>
          <t>En Savoir Plus</t>
        </is>
      </c>
      <c r="E604" t="inlineStr">
        <is>
          <t>H2</t>
        </is>
      </c>
      <c r="F604" s="5" t="inlineStr">
        <is>
          <t>Commercial (local)</t>
        </is>
      </c>
      <c r="G604" t="inlineStr">
        <is>
          <t>développement web copenhague</t>
        </is>
      </c>
      <c r="H604" t="inlineStr">
        <is>
          <t>SUPPORTS PRIMARY</t>
        </is>
      </c>
      <c r="I604" t="inlineStr">
        <is>
          <t>dk</t>
        </is>
      </c>
      <c r="J604" t="inlineStr">
        <is>
          <t>NOT AVAILABLE</t>
        </is>
      </c>
      <c r="K604" t="inlineStr">
        <is>
          <t>NOT AVAILABLE</t>
        </is>
      </c>
      <c r="L604" t="inlineStr">
        <is>
          <t>NOT AVAILABLE</t>
        </is>
      </c>
      <c r="M604" t="inlineStr">
        <is>
          <t>UNAVAILABLE</t>
        </is>
      </c>
      <c r="N604" t="inlineStr">
        <is>
          <t>Yes (supporting block)</t>
        </is>
      </c>
      <c r="O604" s="5" t="inlineStr">
        <is>
          <t>Supports the primary topic - add only if natural</t>
        </is>
      </c>
      <c r="P604" s="5" t="inlineStr"/>
      <c r="Q604" t="inlineStr">
        <is>
          <t>P3</t>
        </is>
      </c>
      <c r="R604" t="n">
        <v>82</v>
      </c>
      <c r="S604" s="5" t="inlineStr">
        <is>
          <t xml:space="preserve">Découvrez ce qui fait de CodeSommet votre partenaire de développement web idéal Audit Gratuit de Site Web Obtenez une analyse alimentée par l'IA avec plus de 40 vérifications En savoir plus Voir Nos Projets Explorez les </t>
        </is>
      </c>
    </row>
    <row r="605">
      <c r="A605" s="3" t="inlineStr">
        <is>
          <t>https://codesommet.com/web-development-company/copenhagen</t>
        </is>
      </c>
      <c r="B605" t="n">
        <v>15</v>
      </c>
      <c r="C605" t="inlineStr">
        <is>
          <t>CTA / conversion</t>
        </is>
      </c>
      <c r="D605" s="5" t="inlineStr">
        <is>
          <t>Prêt à Créer Quelque Chose d'Extraordinaire ?</t>
        </is>
      </c>
      <c r="E605" t="inlineStr">
        <is>
          <t>H2</t>
        </is>
      </c>
      <c r="F605" s="5" t="inlineStr">
        <is>
          <t>Conversion</t>
        </is>
      </c>
      <c r="G605" t="inlineStr">
        <is>
          <t>—</t>
        </is>
      </c>
      <c r="H605" t="inlineStr">
        <is>
          <t>NONE</t>
        </is>
      </c>
      <c r="I605" t="inlineStr">
        <is>
          <t>—</t>
        </is>
      </c>
      <c r="J605" t="inlineStr">
        <is>
          <t>—</t>
        </is>
      </c>
      <c r="K605" t="inlineStr">
        <is>
          <t>—</t>
        </is>
      </c>
      <c r="L605" t="inlineStr">
        <is>
          <t>—</t>
        </is>
      </c>
      <c r="M605" t="inlineStr">
        <is>
          <t>—</t>
        </is>
      </c>
      <c r="N605" t="inlineStr">
        <is>
          <t>n/a</t>
        </is>
      </c>
      <c r="O605" s="5" t="inlineStr">
        <is>
          <t>No keyword target - keep conversion/navigation focus; use descriptive, non-repeated anchor texts</t>
        </is>
      </c>
      <c r="P605" s="5" t="inlineStr"/>
      <c r="Q605" t="inlineStr">
        <is>
          <t>P4</t>
        </is>
      </c>
      <c r="R605" t="n">
        <v>117</v>
      </c>
      <c r="S605" s="5" t="inlineStr">
        <is>
          <t>Rejoignez les entreprises visionnaires qui ont choisi l'excellence Réserver un Appel Découverte Analyser Mon Site Gratuitement Réserver un Appel Découverte Analyser Votre Site Web Discutons de comment l'IA et le design m</t>
        </is>
      </c>
    </row>
    <row r="606">
      <c r="A606" s="3" t="inlineStr">
        <is>
          <t>https://codesommet.com/web-development-company/dublin</t>
        </is>
      </c>
      <c r="B606" t="n">
        <v>1</v>
      </c>
      <c r="C606" t="inlineStr">
        <is>
          <t>Hero / H1</t>
        </is>
      </c>
      <c r="D606" s="5" t="inlineStr">
        <is>
          <t>Développement Web à Dublin, Irlande : des sites web qui génèrent Tableaux de Bord SaaS</t>
        </is>
      </c>
      <c r="E606" t="inlineStr">
        <is>
          <t>H1</t>
        </is>
      </c>
      <c r="F606" s="5" t="inlineStr">
        <is>
          <t>Commercial (local)</t>
        </is>
      </c>
      <c r="G606" t="inlineStr">
        <is>
          <t>développement web dublin</t>
        </is>
      </c>
      <c r="H606" t="inlineStr">
        <is>
          <t>PRIMARY</t>
        </is>
      </c>
      <c r="I606" t="inlineStr">
        <is>
          <t>ie</t>
        </is>
      </c>
      <c r="J606" t="inlineStr">
        <is>
          <t>NOT AVAILABLE</t>
        </is>
      </c>
      <c r="K606" t="inlineStr">
        <is>
          <t>NOT AVAILABLE</t>
        </is>
      </c>
      <c r="L606" t="inlineStr">
        <is>
          <t>NOT AVAILABLE</t>
        </is>
      </c>
      <c r="M606" t="inlineStr">
        <is>
          <t>UNAVAILABLE</t>
        </is>
      </c>
      <c r="N606" t="inlineStr">
        <is>
          <t>Yes</t>
        </is>
      </c>
      <c r="O606" s="5" t="inlineStr">
        <is>
          <t>Covered - keep wording; no change</t>
        </is>
      </c>
      <c r="P606" s="5" t="inlineStr"/>
      <c r="Q606" t="inlineStr">
        <is>
          <t>P3</t>
        </is>
      </c>
      <c r="R606" t="n">
        <v>79</v>
      </c>
      <c r="S606" s="5" t="inlineStr">
        <is>
          <t>Depuis le Maroc, notre studio de développement web accompagne à distance les entreprises de Dublin dans la création de sites web alimentés par l'IA et de tableaux de bord intelligents. Nous sommes spécialisés dans la cré</t>
        </is>
      </c>
    </row>
    <row r="607">
      <c r="A607" s="3" t="inlineStr">
        <is>
          <t>https://codesommet.com/web-development-company/dublin</t>
        </is>
      </c>
      <c r="B607" t="n">
        <v>2</v>
      </c>
      <c r="C607" t="inlineStr">
        <is>
          <t>Why us / differentiation</t>
        </is>
      </c>
      <c r="D607" s="5" t="inlineStr">
        <is>
          <t>Pourquoi Choisir CodeSommet à Dublin ?</t>
        </is>
      </c>
      <c r="E607" t="inlineStr">
        <is>
          <t>H2</t>
        </is>
      </c>
      <c r="F607" s="5" t="inlineStr">
        <is>
          <t>Commercial investigation</t>
        </is>
      </c>
      <c r="G607" t="inlineStr">
        <is>
          <t>développement web dublin</t>
        </is>
      </c>
      <c r="H607" t="inlineStr">
        <is>
          <t>SUPPORTS PRIMARY</t>
        </is>
      </c>
      <c r="I607" t="inlineStr">
        <is>
          <t>ie</t>
        </is>
      </c>
      <c r="J607" t="inlineStr">
        <is>
          <t>NOT AVAILABLE</t>
        </is>
      </c>
      <c r="K607" t="inlineStr">
        <is>
          <t>NOT AVAILABLE</t>
        </is>
      </c>
      <c r="L607" t="inlineStr">
        <is>
          <t>NOT AVAILABLE</t>
        </is>
      </c>
      <c r="M607" t="inlineStr">
        <is>
          <t>UNAVAILABLE</t>
        </is>
      </c>
      <c r="N607" t="inlineStr">
        <is>
          <t>Yes</t>
        </is>
      </c>
      <c r="O607" s="5" t="inlineStr">
        <is>
          <t>Covered - keep wording; no change</t>
        </is>
      </c>
      <c r="P607" s="5" t="inlineStr"/>
      <c r="Q607" t="inlineStr">
        <is>
          <t>P3</t>
        </is>
      </c>
      <c r="R607" t="n">
        <v>160</v>
      </c>
      <c r="S607" s="5" t="inlineStr">
        <is>
          <t>L'expertise locale rencontre les standards internationaux. Voici ce qui fait de nous le partenaire idéal en développement web à Dublin. Experts en IA Créez des chatbots intelligents, des workflows d'automatisation, une r</t>
        </is>
      </c>
    </row>
    <row r="608">
      <c r="A608" s="3" t="inlineStr">
        <is>
          <t>https://codesommet.com/web-development-company/dublin</t>
        </is>
      </c>
      <c r="B608" t="n">
        <v>3</v>
      </c>
      <c r="C608" t="inlineStr">
        <is>
          <t>Services / features</t>
        </is>
      </c>
      <c r="D608" s="5" t="inlineStr">
        <is>
          <t>Ce que nous apportons aux entreprises de Dublin</t>
        </is>
      </c>
      <c r="E608" t="inlineStr">
        <is>
          <t>H2</t>
        </is>
      </c>
      <c r="F608" s="5" t="inlineStr">
        <is>
          <t>Commercial (local)</t>
        </is>
      </c>
      <c r="G608" t="inlineStr">
        <is>
          <t>développement web dublin</t>
        </is>
      </c>
      <c r="H608" t="inlineStr">
        <is>
          <t>SUPPORTS PRIMARY</t>
        </is>
      </c>
      <c r="I608" t="inlineStr">
        <is>
          <t>ie</t>
        </is>
      </c>
      <c r="J608" t="inlineStr">
        <is>
          <t>NOT AVAILABLE</t>
        </is>
      </c>
      <c r="K608" t="inlineStr">
        <is>
          <t>NOT AVAILABLE</t>
        </is>
      </c>
      <c r="L608" t="inlineStr">
        <is>
          <t>NOT AVAILABLE</t>
        </is>
      </c>
      <c r="M608" t="inlineStr">
        <is>
          <t>UNAVAILABLE</t>
        </is>
      </c>
      <c r="N608" t="inlineStr">
        <is>
          <t>Yes (supporting block)</t>
        </is>
      </c>
      <c r="O608" s="5" t="inlineStr">
        <is>
          <t>Supports the primary topic - add only if natural</t>
        </is>
      </c>
      <c r="P608" s="5" t="inlineStr"/>
      <c r="Q608" t="inlineStr">
        <is>
          <t>P3</t>
        </is>
      </c>
      <c r="R608" t="n">
        <v>25</v>
      </c>
      <c r="S608" s="5" t="inlineStr">
        <is>
          <t>Projets livrés à distance Sites orientés conversion Accompagnement continu Une approche pensée pour les entreprises de Dublin - collaboration à distance, sans intermédiaire Expertise Sectorielle</t>
        </is>
      </c>
    </row>
    <row r="609">
      <c r="A609" s="3" t="inlineStr">
        <is>
          <t>https://codesommet.com/web-development-company/dublin</t>
        </is>
      </c>
      <c r="B609" t="n">
        <v>4</v>
      </c>
      <c r="C609" t="inlineStr">
        <is>
          <t>Content block</t>
        </is>
      </c>
      <c r="D609" s="5" t="inlineStr">
        <is>
          <t>Dublin Nos Secteurs de Spécialisation</t>
        </is>
      </c>
      <c r="E609" t="inlineStr">
        <is>
          <t>H2</t>
        </is>
      </c>
      <c r="F609" s="5" t="inlineStr">
        <is>
          <t>Commercial (local)</t>
        </is>
      </c>
      <c r="G609" t="inlineStr">
        <is>
          <t>développement web dublin</t>
        </is>
      </c>
      <c r="H609" t="inlineStr">
        <is>
          <t>SUPPORTS PRIMARY</t>
        </is>
      </c>
      <c r="I609" t="inlineStr">
        <is>
          <t>ie</t>
        </is>
      </c>
      <c r="J609" t="inlineStr">
        <is>
          <t>NOT AVAILABLE</t>
        </is>
      </c>
      <c r="K609" t="inlineStr">
        <is>
          <t>NOT AVAILABLE</t>
        </is>
      </c>
      <c r="L609" t="inlineStr">
        <is>
          <t>NOT AVAILABLE</t>
        </is>
      </c>
      <c r="M609" t="inlineStr">
        <is>
          <t>UNAVAILABLE</t>
        </is>
      </c>
      <c r="N609" t="inlineStr">
        <is>
          <t>Yes</t>
        </is>
      </c>
      <c r="O609" s="5" t="inlineStr">
        <is>
          <t>Covered - keep wording; no change</t>
        </is>
      </c>
      <c r="P609" s="5" t="inlineStr"/>
      <c r="Q609" t="inlineStr">
        <is>
          <t>P3</t>
        </is>
      </c>
      <c r="R609" t="n">
        <v>191</v>
      </c>
      <c r="S609" s="5" t="inlineStr">
        <is>
          <t>Expertise approfondie dans les secteurs clés de Dublin . Nous comprenons les défis uniques de votre secteur et les exigences de conformité. FinTech Plateformes financières sécurisées avec traitement des paiements, confor</t>
        </is>
      </c>
    </row>
    <row r="610">
      <c r="A610" s="3" t="inlineStr">
        <is>
          <t>https://codesommet.com/web-development-company/dublin</t>
        </is>
      </c>
      <c r="B610" t="n">
        <v>5</v>
      </c>
      <c r="C610" t="inlineStr">
        <is>
          <t>Services / features</t>
        </is>
      </c>
      <c r="D610" s="5" t="inlineStr">
        <is>
          <t>Ce que nous construisons pour Dublin</t>
        </is>
      </c>
      <c r="E610" t="inlineStr">
        <is>
          <t>H2</t>
        </is>
      </c>
      <c r="F610" s="5" t="inlineStr">
        <is>
          <t>Commercial (local)</t>
        </is>
      </c>
      <c r="G610" t="inlineStr">
        <is>
          <t>développement web dublin</t>
        </is>
      </c>
      <c r="H610" t="inlineStr">
        <is>
          <t>SUPPORTS PRIMARY</t>
        </is>
      </c>
      <c r="I610" t="inlineStr">
        <is>
          <t>ie</t>
        </is>
      </c>
      <c r="J610" t="inlineStr">
        <is>
          <t>NOT AVAILABLE</t>
        </is>
      </c>
      <c r="K610" t="inlineStr">
        <is>
          <t>NOT AVAILABLE</t>
        </is>
      </c>
      <c r="L610" t="inlineStr">
        <is>
          <t>NOT AVAILABLE</t>
        </is>
      </c>
      <c r="M610" t="inlineStr">
        <is>
          <t>UNAVAILABLE</t>
        </is>
      </c>
      <c r="N610" t="inlineStr">
        <is>
          <t>Yes (supporting block)</t>
        </is>
      </c>
      <c r="O610" s="5" t="inlineStr">
        <is>
          <t>Supports the primary topic - add only if natural</t>
        </is>
      </c>
      <c r="P610" s="5" t="inlineStr"/>
      <c r="Q610" t="inlineStr">
        <is>
          <t>P3</t>
        </is>
      </c>
      <c r="R610" t="n">
        <v>72</v>
      </c>
      <c r="S610" s="5" t="inlineStr">
        <is>
          <t xml:space="preserve">Des projets réels, livrés à distance. Découvrez ce que nous pouvons construire pour votre entreprise à Dublin , en collaboration à distance. SaaS Plateforme de gestion d'associations : membres, cotisations et événements </t>
        </is>
      </c>
    </row>
    <row r="611">
      <c r="A611" s="3" t="inlineStr">
        <is>
          <t>https://codesommet.com/web-development-company/dublin</t>
        </is>
      </c>
      <c r="B611" t="n">
        <v>6</v>
      </c>
      <c r="C611" t="inlineStr">
        <is>
          <t>Process / how it works</t>
        </is>
      </c>
      <c r="D611" s="5" t="inlineStr">
        <is>
          <t>Comment Nous Concevons des Plateformes Healthtech Conformes pour le Secteur Santé Européen</t>
        </is>
      </c>
      <c r="E611" t="inlineStr">
        <is>
          <t>H2</t>
        </is>
      </c>
      <c r="F611" s="5" t="inlineStr">
        <is>
          <t>Informational / commercial</t>
        </is>
      </c>
      <c r="G611" t="inlineStr">
        <is>
          <t>développement web dublin</t>
        </is>
      </c>
      <c r="H611" t="inlineStr">
        <is>
          <t>SUPPORTS PRIMARY</t>
        </is>
      </c>
      <c r="I611" t="inlineStr">
        <is>
          <t>ie</t>
        </is>
      </c>
      <c r="J611" t="inlineStr">
        <is>
          <t>NOT AVAILABLE</t>
        </is>
      </c>
      <c r="K611" t="inlineStr">
        <is>
          <t>NOT AVAILABLE</t>
        </is>
      </c>
      <c r="L611" t="inlineStr">
        <is>
          <t>NOT AVAILABLE</t>
        </is>
      </c>
      <c r="M611" t="inlineStr">
        <is>
          <t>UNAVAILABLE</t>
        </is>
      </c>
      <c r="N611" t="inlineStr">
        <is>
          <t>Yes (supporting block)</t>
        </is>
      </c>
      <c r="O611" s="5" t="inlineStr">
        <is>
          <t>Supports the primary topic - add only if natural</t>
        </is>
      </c>
      <c r="P611" s="5" t="inlineStr"/>
      <c r="Q611" t="inlineStr">
        <is>
          <t>P3</t>
        </is>
      </c>
      <c r="R611" t="n">
        <v>241</v>
      </c>
      <c r="S611" s="5" t="inlineStr">
        <is>
          <t>Plateforme de flux de travail hospitalier et de documentation clinique • IT de Santé • 12 months Le Défi Les entreprises healthtech de Dublin doivent numériser leurs flux de travail cliniques tout en respectant des exige</t>
        </is>
      </c>
    </row>
    <row r="612">
      <c r="A612" s="3" t="inlineStr">
        <is>
          <t>https://codesommet.com/web-development-company/dublin</t>
        </is>
      </c>
      <c r="B612" t="n">
        <v>7</v>
      </c>
      <c r="C612" t="inlineStr">
        <is>
          <t>Pricing / offers</t>
        </is>
      </c>
      <c r="D612" s="5" t="inlineStr">
        <is>
          <t>Solutions Sur Mesure, Tarification Transparente</t>
        </is>
      </c>
      <c r="E612" t="inlineStr">
        <is>
          <t>H2</t>
        </is>
      </c>
      <c r="F612" s="5" t="inlineStr">
        <is>
          <t>Commercial / transactional</t>
        </is>
      </c>
      <c r="G612" t="inlineStr">
        <is>
          <t>développement web dublin</t>
        </is>
      </c>
      <c r="H612" t="inlineStr">
        <is>
          <t>SUPPORTS PRIMARY</t>
        </is>
      </c>
      <c r="I612" t="inlineStr">
        <is>
          <t>ie</t>
        </is>
      </c>
      <c r="J612" t="inlineStr">
        <is>
          <t>NOT AVAILABLE</t>
        </is>
      </c>
      <c r="K612" t="inlineStr">
        <is>
          <t>NOT AVAILABLE</t>
        </is>
      </c>
      <c r="L612" t="inlineStr">
        <is>
          <t>NOT AVAILABLE</t>
        </is>
      </c>
      <c r="M612" t="inlineStr">
        <is>
          <t>UNAVAILABLE</t>
        </is>
      </c>
      <c r="N612" t="inlineStr">
        <is>
          <t>Yes (supporting block)</t>
        </is>
      </c>
      <c r="O612" s="5" t="inlineStr">
        <is>
          <t>Supports the primary topic - add only if natural</t>
        </is>
      </c>
      <c r="P612" s="5" t="inlineStr"/>
      <c r="Q612" t="inlineStr">
        <is>
          <t>P3</t>
        </is>
      </c>
      <c r="R612" t="n">
        <v>193</v>
      </c>
      <c r="S612" s="5" t="inlineStr">
        <is>
          <t>Réservez un appel découverte pour discuter de vos besoins spécifiques et obtenir un devis sur mesure Recommandé Développement de Sites Web Site web complet avec fonctionnalités IA, tableaux de bord et design premium livr</t>
        </is>
      </c>
    </row>
    <row r="613">
      <c r="A613" s="3" t="inlineStr">
        <is>
          <t>https://codesommet.com/web-development-company/dublin</t>
        </is>
      </c>
      <c r="B613" t="n">
        <v>8</v>
      </c>
      <c r="C613" t="inlineStr">
        <is>
          <t>CTA / conversion</t>
        </is>
      </c>
      <c r="D613" s="5" t="inlineStr">
        <is>
          <t>Prêt à Améliorer Votre Site Web à Dublin ?</t>
        </is>
      </c>
      <c r="E613" t="inlineStr">
        <is>
          <t>H2</t>
        </is>
      </c>
      <c r="F613" s="5" t="inlineStr">
        <is>
          <t>Conversion</t>
        </is>
      </c>
      <c r="G613" t="inlineStr">
        <is>
          <t>—</t>
        </is>
      </c>
      <c r="H613" t="inlineStr">
        <is>
          <t>NONE</t>
        </is>
      </c>
      <c r="I613" t="inlineStr">
        <is>
          <t>—</t>
        </is>
      </c>
      <c r="J613" t="inlineStr">
        <is>
          <t>—</t>
        </is>
      </c>
      <c r="K613" t="inlineStr">
        <is>
          <t>—</t>
        </is>
      </c>
      <c r="L613" t="inlineStr">
        <is>
          <t>—</t>
        </is>
      </c>
      <c r="M613" t="inlineStr">
        <is>
          <t>—</t>
        </is>
      </c>
      <c r="N613" t="inlineStr">
        <is>
          <t>n/a</t>
        </is>
      </c>
      <c r="O613" s="5" t="inlineStr">
        <is>
          <t>No keyword target - keep conversion/navigation focus; use descriptive, non-repeated anchor texts</t>
        </is>
      </c>
      <c r="P613" s="5" t="inlineStr"/>
      <c r="Q613" t="inlineStr">
        <is>
          <t>P4</t>
        </is>
      </c>
      <c r="R613" t="n">
        <v>40</v>
      </c>
      <c r="S613" s="5" t="inlineStr">
        <is>
          <t>Obtenez d'abord une analyse gratuite complète : Audit SEO Vérification des performances Revue du design Recommandations alimentées par l'IA Analyser Votre Site Web - 100% Gratuit Aucune carte de crédit requise • Résultat</t>
        </is>
      </c>
    </row>
    <row r="614">
      <c r="A614" s="3" t="inlineStr">
        <is>
          <t>https://codesommet.com/web-development-company/dublin</t>
        </is>
      </c>
      <c r="B614" t="n">
        <v>9</v>
      </c>
      <c r="C614" t="inlineStr">
        <is>
          <t>Why us / differentiation</t>
        </is>
      </c>
      <c r="D614" s="5" t="inlineStr">
        <is>
          <t>CodeSommet Dublin vs Autres</t>
        </is>
      </c>
      <c r="E614" t="inlineStr">
        <is>
          <t>H2</t>
        </is>
      </c>
      <c r="F614" s="5" t="inlineStr">
        <is>
          <t>Commercial investigation</t>
        </is>
      </c>
      <c r="G614" t="inlineStr">
        <is>
          <t>développement web dublin</t>
        </is>
      </c>
      <c r="H614" t="inlineStr">
        <is>
          <t>SUPPORTS PRIMARY</t>
        </is>
      </c>
      <c r="I614" t="inlineStr">
        <is>
          <t>ie</t>
        </is>
      </c>
      <c r="J614" t="inlineStr">
        <is>
          <t>NOT AVAILABLE</t>
        </is>
      </c>
      <c r="K614" t="inlineStr">
        <is>
          <t>NOT AVAILABLE</t>
        </is>
      </c>
      <c r="L614" t="inlineStr">
        <is>
          <t>NOT AVAILABLE</t>
        </is>
      </c>
      <c r="M614" t="inlineStr">
        <is>
          <t>UNAVAILABLE</t>
        </is>
      </c>
      <c r="N614" t="inlineStr">
        <is>
          <t>Yes</t>
        </is>
      </c>
      <c r="O614" s="5" t="inlineStr">
        <is>
          <t>Covered - keep wording; no change</t>
        </is>
      </c>
      <c r="P614" s="5" t="inlineStr"/>
      <c r="Q614" t="inlineStr">
        <is>
          <t>P3</t>
        </is>
      </c>
      <c r="R614" t="n">
        <v>89</v>
      </c>
      <c r="S614" s="5" t="inlineStr">
        <is>
          <t>Découvrez pourquoi Dublin les entreprises choisissent CodeSommet plutôt que d'autres agences locales et internationales. Fonctionnalité CodeSommet Dublin Autres Agences de Dublin Agences Internationales Révisions Illimit</t>
        </is>
      </c>
    </row>
    <row r="615">
      <c r="A615" s="3" t="inlineStr">
        <is>
          <t>https://codesommet.com/web-development-company/dublin</t>
        </is>
      </c>
      <c r="B615" t="n">
        <v>10</v>
      </c>
      <c r="C615" t="inlineStr">
        <is>
          <t>Testimonials / social proof</t>
        </is>
      </c>
      <c r="D615" s="5" t="inlineStr">
        <is>
          <t>Ce Que les Clients de Dublin Disent de Nous</t>
        </is>
      </c>
      <c r="E615" t="inlineStr">
        <is>
          <t>H2</t>
        </is>
      </c>
      <c r="F615" s="5" t="inlineStr">
        <is>
          <t>Commercial investigation</t>
        </is>
      </c>
      <c r="G615" t="inlineStr">
        <is>
          <t>développement web dublin</t>
        </is>
      </c>
      <c r="H615" t="inlineStr">
        <is>
          <t>SUPPORTS PRIMARY</t>
        </is>
      </c>
      <c r="I615" t="inlineStr">
        <is>
          <t>ie</t>
        </is>
      </c>
      <c r="J615" t="inlineStr">
        <is>
          <t>NOT AVAILABLE</t>
        </is>
      </c>
      <c r="K615" t="inlineStr">
        <is>
          <t>NOT AVAILABLE</t>
        </is>
      </c>
      <c r="L615" t="inlineStr">
        <is>
          <t>NOT AVAILABLE</t>
        </is>
      </c>
      <c r="M615" t="inlineStr">
        <is>
          <t>UNAVAILABLE</t>
        </is>
      </c>
      <c r="N615" t="inlineStr">
        <is>
          <t>Yes (supporting block)</t>
        </is>
      </c>
      <c r="O615" s="5" t="inlineStr">
        <is>
          <t>Supports the primary topic - add only if natural</t>
        </is>
      </c>
      <c r="P615" s="5" t="inlineStr"/>
      <c r="Q615" t="inlineStr">
        <is>
          <t>P3</t>
        </is>
      </c>
      <c r="R615" t="n">
        <v>103</v>
      </c>
      <c r="S615" s="5" t="inlineStr">
        <is>
          <t>Ne nous croyez pas sur parole. Écoutez les entreprises de Dublin qui ont obtenu des résultats remarquables avec CodeSommet. "Une collaboration professionnelle du début à la fin. Je recommande sans hésiter." Mohammed Chaj</t>
        </is>
      </c>
    </row>
    <row r="616">
      <c r="A616" s="3" t="inlineStr">
        <is>
          <t>https://codesommet.com/web-development-company/dublin</t>
        </is>
      </c>
      <c r="B616" t="n">
        <v>11</v>
      </c>
      <c r="C616" t="inlineStr">
        <is>
          <t>Process / how it works</t>
        </is>
      </c>
      <c r="D616" s="5" t="inlineStr">
        <is>
          <t>Comment démarrer en 3 étapes simples</t>
        </is>
      </c>
      <c r="E616" t="inlineStr">
        <is>
          <t>H2</t>
        </is>
      </c>
      <c r="F616" s="5" t="inlineStr">
        <is>
          <t>Informational / commercial</t>
        </is>
      </c>
      <c r="G616" t="inlineStr">
        <is>
          <t>développement web dublin</t>
        </is>
      </c>
      <c r="H616" t="inlineStr">
        <is>
          <t>SUPPORTS PRIMARY</t>
        </is>
      </c>
      <c r="I616" t="inlineStr">
        <is>
          <t>ie</t>
        </is>
      </c>
      <c r="J616" t="inlineStr">
        <is>
          <t>NOT AVAILABLE</t>
        </is>
      </c>
      <c r="K616" t="inlineStr">
        <is>
          <t>NOT AVAILABLE</t>
        </is>
      </c>
      <c r="L616" t="inlineStr">
        <is>
          <t>NOT AVAILABLE</t>
        </is>
      </c>
      <c r="M616" t="inlineStr">
        <is>
          <t>UNAVAILABLE</t>
        </is>
      </c>
      <c r="N616" t="inlineStr">
        <is>
          <t>Yes (supporting block)</t>
        </is>
      </c>
      <c r="O616" s="5" t="inlineStr">
        <is>
          <t>Supports the primary topic - add only if natural</t>
        </is>
      </c>
      <c r="P616" s="5" t="inlineStr"/>
      <c r="Q616" t="inlineStr">
        <is>
          <t>P3</t>
        </is>
      </c>
      <c r="R616" t="n">
        <v>286</v>
      </c>
      <c r="S616" s="5" t="inlineStr">
        <is>
          <t>Du premier appel à la livraison du projet, découvrez exactement comment nous travaillons ensemble Étape 1 Abonnement 1 projet actif Révisions illimitées Design &amp; développement SEO &amp; contenu Recommandé Développement de Si</t>
        </is>
      </c>
    </row>
    <row r="617">
      <c r="A617" s="3" t="inlineStr">
        <is>
          <t>https://codesommet.com/web-development-company/dublin</t>
        </is>
      </c>
      <c r="B617" t="n">
        <v>12</v>
      </c>
      <c r="C617" t="inlineStr">
        <is>
          <t>FAQ</t>
        </is>
      </c>
      <c r="D617" s="5" t="inlineStr">
        <is>
          <t>Questions Fréquemment Posées sur le Développement Web à Dublin</t>
        </is>
      </c>
      <c r="E617" t="inlineStr">
        <is>
          <t>H2</t>
        </is>
      </c>
      <c r="F617" s="5" t="inlineStr">
        <is>
          <t>Informational (pre-purchase questions)</t>
        </is>
      </c>
      <c r="G617" t="inlineStr">
        <is>
          <t>développement web dublin</t>
        </is>
      </c>
      <c r="H617" t="inlineStr">
        <is>
          <t>SUPPORTS PRIMARY</t>
        </is>
      </c>
      <c r="I617" t="inlineStr">
        <is>
          <t>ie</t>
        </is>
      </c>
      <c r="J617" t="inlineStr">
        <is>
          <t>NOT AVAILABLE</t>
        </is>
      </c>
      <c r="K617" t="inlineStr">
        <is>
          <t>NOT AVAILABLE</t>
        </is>
      </c>
      <c r="L617" t="inlineStr">
        <is>
          <t>NOT AVAILABLE</t>
        </is>
      </c>
      <c r="M617" t="inlineStr">
        <is>
          <t>UNAVAILABLE</t>
        </is>
      </c>
      <c r="N617" t="inlineStr">
        <is>
          <t>Yes</t>
        </is>
      </c>
      <c r="O617" s="5" t="inlineStr">
        <is>
          <t>Covered - keep wording; no change</t>
        </is>
      </c>
      <c r="P617" s="5" t="inlineStr"/>
      <c r="Q617" t="inlineStr">
        <is>
          <t>P3</t>
        </is>
      </c>
      <c r="R617" t="n">
        <v>389</v>
      </c>
      <c r="S617" s="5" t="inlineStr">
        <is>
          <t>Vous avez des questions ? Nous avons les réponses. Voici les questions les plus fréquentes des entreprises de Dublin. 1 Pourquoi choisir CodeSommet plutôt que les nombreuses agences de développement web de Dublin ? Parce</t>
        </is>
      </c>
    </row>
    <row r="618">
      <c r="A618" s="3" t="inlineStr">
        <is>
          <t>https://codesommet.com/web-development-company/dublin</t>
        </is>
      </c>
      <c r="B618" t="n">
        <v>13</v>
      </c>
      <c r="C618" t="inlineStr">
        <is>
          <t>Internal-link block</t>
        </is>
      </c>
      <c r="D618" s="5" t="inlineStr">
        <is>
          <t>Nous Desservons Aussi</t>
        </is>
      </c>
      <c r="E618" t="inlineStr">
        <is>
          <t>H2</t>
        </is>
      </c>
      <c r="F618" s="5" t="inlineStr">
        <is>
          <t>Navigation</t>
        </is>
      </c>
      <c r="G618" t="inlineStr">
        <is>
          <t>—</t>
        </is>
      </c>
      <c r="H618" t="inlineStr">
        <is>
          <t>NONE</t>
        </is>
      </c>
      <c r="I618" t="inlineStr">
        <is>
          <t>—</t>
        </is>
      </c>
      <c r="J618" t="inlineStr">
        <is>
          <t>—</t>
        </is>
      </c>
      <c r="K618" t="inlineStr">
        <is>
          <t>—</t>
        </is>
      </c>
      <c r="L618" t="inlineStr">
        <is>
          <t>—</t>
        </is>
      </c>
      <c r="M618" t="inlineStr">
        <is>
          <t>—</t>
        </is>
      </c>
      <c r="N618" t="inlineStr">
        <is>
          <t>n/a</t>
        </is>
      </c>
      <c r="O618" s="5" t="inlineStr">
        <is>
          <t>No keyword target - keep conversion/navigation focus; use descriptive, non-repeated anchor texts</t>
        </is>
      </c>
      <c r="P618" s="5" t="inlineStr"/>
      <c r="Q618" t="inlineStr">
        <is>
          <t>P4</t>
        </is>
      </c>
      <c r="R618" t="n">
        <v>29</v>
      </c>
      <c r="S618" s="5" t="inlineStr">
        <is>
          <t>Explorez nos services de développement web dans d'autres villes à travers le monde Londres Royaume-Uni Zurich Suisse Paris France Stockholm Suède Bruxelles Belgique Copenhague Danemark Voir Toutes les Villes</t>
        </is>
      </c>
    </row>
    <row r="619">
      <c r="A619" s="3" t="inlineStr">
        <is>
          <t>https://codesommet.com/web-development-company/dublin</t>
        </is>
      </c>
      <c r="B619" t="n">
        <v>14</v>
      </c>
      <c r="C619" t="inlineStr">
        <is>
          <t>Internal-link block</t>
        </is>
      </c>
      <c r="D619" s="5" t="inlineStr">
        <is>
          <t>Explorer Plus</t>
        </is>
      </c>
      <c r="E619" t="inlineStr">
        <is>
          <t>H2</t>
        </is>
      </c>
      <c r="F619" s="5" t="inlineStr">
        <is>
          <t>Navigation</t>
        </is>
      </c>
      <c r="G619" t="inlineStr">
        <is>
          <t>—</t>
        </is>
      </c>
      <c r="H619" t="inlineStr">
        <is>
          <t>NONE</t>
        </is>
      </c>
      <c r="I619" t="inlineStr">
        <is>
          <t>—</t>
        </is>
      </c>
      <c r="J619" t="inlineStr">
        <is>
          <t>—</t>
        </is>
      </c>
      <c r="K619" t="inlineStr">
        <is>
          <t>—</t>
        </is>
      </c>
      <c r="L619" t="inlineStr">
        <is>
          <t>—</t>
        </is>
      </c>
      <c r="M619" t="inlineStr">
        <is>
          <t>—</t>
        </is>
      </c>
      <c r="N619" t="inlineStr">
        <is>
          <t>n/a</t>
        </is>
      </c>
      <c r="O619" s="5" t="inlineStr">
        <is>
          <t>No keyword target - keep conversion/navigation focus; use descriptive, non-repeated anchor texts</t>
        </is>
      </c>
      <c r="P619" s="5" t="inlineStr"/>
      <c r="Q619" t="inlineStr">
        <is>
          <t>P4</t>
        </is>
      </c>
      <c r="R619" t="n">
        <v>83</v>
      </c>
      <c r="S619" s="5" t="inlineStr">
        <is>
          <t xml:space="preserve">Découvrez ce qui fait de CodeSommet votre partenaire idéal en développement web Audit Gratuit de Site Web Obtenez une analyse alimentée par l'IA avec plus de 40 vérifications En savoir plus Voir Nos Projets Explorez les </t>
        </is>
      </c>
    </row>
    <row r="620">
      <c r="A620" s="3" t="inlineStr">
        <is>
          <t>https://codesommet.com/web-development-company/dublin</t>
        </is>
      </c>
      <c r="B620" t="n">
        <v>15</v>
      </c>
      <c r="C620" t="inlineStr">
        <is>
          <t>CTA / conversion</t>
        </is>
      </c>
      <c r="D620" s="5" t="inlineStr">
        <is>
          <t>Prêt à Créer Quelque Chose d'Extraordinaire ?</t>
        </is>
      </c>
      <c r="E620" t="inlineStr">
        <is>
          <t>H2</t>
        </is>
      </c>
      <c r="F620" s="5" t="inlineStr">
        <is>
          <t>Conversion</t>
        </is>
      </c>
      <c r="G620" t="inlineStr">
        <is>
          <t>—</t>
        </is>
      </c>
      <c r="H620" t="inlineStr">
        <is>
          <t>NONE</t>
        </is>
      </c>
      <c r="I620" t="inlineStr">
        <is>
          <t>—</t>
        </is>
      </c>
      <c r="J620" t="inlineStr">
        <is>
          <t>—</t>
        </is>
      </c>
      <c r="K620" t="inlineStr">
        <is>
          <t>—</t>
        </is>
      </c>
      <c r="L620" t="inlineStr">
        <is>
          <t>—</t>
        </is>
      </c>
      <c r="M620" t="inlineStr">
        <is>
          <t>—</t>
        </is>
      </c>
      <c r="N620" t="inlineStr">
        <is>
          <t>n/a</t>
        </is>
      </c>
      <c r="O620" s="5" t="inlineStr">
        <is>
          <t>No keyword target - keep conversion/navigation focus; use descriptive, non-repeated anchor texts</t>
        </is>
      </c>
      <c r="P620" s="5" t="inlineStr"/>
      <c r="Q620" t="inlineStr">
        <is>
          <t>P4</t>
        </is>
      </c>
      <c r="R620" t="n">
        <v>119</v>
      </c>
      <c r="S620" s="5" t="inlineStr">
        <is>
          <t>Rejoignez les entreprises visionnaires qui ont choisi l'excellence Réserver un Appel Découverte Analyser Mon Site Gratuitement Réserver un Appel Découverte Analyser Votre Site Web Discutons de la façon dont l'IA et le de</t>
        </is>
      </c>
    </row>
    <row r="621">
      <c r="A621" s="3" t="inlineStr">
        <is>
          <t>https://codesommet.com/web-development-company/brussels</t>
        </is>
      </c>
      <c r="B621" t="n">
        <v>1</v>
      </c>
      <c r="C621" t="inlineStr">
        <is>
          <t>Hero / H1</t>
        </is>
      </c>
      <c r="D621" s="5" t="inlineStr">
        <is>
          <t>Développement Web à Bruxelles, Belgique : des sites web qui génèrent Plateformes FinTech</t>
        </is>
      </c>
      <c r="E621" t="inlineStr">
        <is>
          <t>H1</t>
        </is>
      </c>
      <c r="F621" s="5" t="inlineStr">
        <is>
          <t>Commercial (local)</t>
        </is>
      </c>
      <c r="G621" t="inlineStr">
        <is>
          <t>création site web bruxelles</t>
        </is>
      </c>
      <c r="H621" t="inlineStr">
        <is>
          <t>PRIMARY</t>
        </is>
      </c>
      <c r="I621" t="inlineStr">
        <is>
          <t>be</t>
        </is>
      </c>
      <c r="J621" t="n">
        <v>140</v>
      </c>
      <c r="K621" t="n">
        <v>5</v>
      </c>
      <c r="L621" t="n">
        <v>4.94</v>
      </c>
      <c r="M621" t="inlineStr">
        <is>
          <t>MEASURED</t>
        </is>
      </c>
      <c r="N621" t="inlineStr">
        <is>
          <t>Yes</t>
        </is>
      </c>
      <c r="O621" s="5" t="inlineStr">
        <is>
          <t>Covered - keep wording; no change</t>
        </is>
      </c>
      <c r="P621" s="5" t="inlineStr"/>
      <c r="Q621" t="inlineStr">
        <is>
          <t>P3</t>
        </is>
      </c>
      <c r="R621" t="n">
        <v>75</v>
      </c>
      <c r="S621" s="5" t="inlineStr">
        <is>
          <t xml:space="preserve">Depuis le Maroc, notre studio de développement web accompagne à distance les entreprises de Bruxelles dans la création de sites web alimentés par l'IA et de tableaux de bord intelligents. Nous sommes spécialisés dans la </t>
        </is>
      </c>
    </row>
    <row r="622">
      <c r="A622" s="3" t="inlineStr">
        <is>
          <t>https://codesommet.com/web-development-company/brussels</t>
        </is>
      </c>
      <c r="B622" t="n">
        <v>2</v>
      </c>
      <c r="C622" t="inlineStr">
        <is>
          <t>Why us / differentiation</t>
        </is>
      </c>
      <c r="D622" s="5" t="inlineStr">
        <is>
          <t>Pourquoi Choisir CodeSommet à Bruxelles ?</t>
        </is>
      </c>
      <c r="E622" t="inlineStr">
        <is>
          <t>H2</t>
        </is>
      </c>
      <c r="F622" s="5" t="inlineStr">
        <is>
          <t>Commercial investigation</t>
        </is>
      </c>
      <c r="G622" t="inlineStr">
        <is>
          <t>création site web bruxelles</t>
        </is>
      </c>
      <c r="H622" t="inlineStr">
        <is>
          <t>SUPPORTS PRIMARY</t>
        </is>
      </c>
      <c r="I622" t="inlineStr">
        <is>
          <t>be</t>
        </is>
      </c>
      <c r="J622" t="n">
        <v>140</v>
      </c>
      <c r="K622" t="n">
        <v>5</v>
      </c>
      <c r="L622" t="n">
        <v>4.94</v>
      </c>
      <c r="M622" t="inlineStr">
        <is>
          <t>MEASURED</t>
        </is>
      </c>
      <c r="N622" t="inlineStr">
        <is>
          <t>Yes (supporting block)</t>
        </is>
      </c>
      <c r="O622" s="5" t="inlineStr">
        <is>
          <t>Supports the primary topic - add only if natural</t>
        </is>
      </c>
      <c r="P622" s="5" t="inlineStr"/>
      <c r="Q622" t="inlineStr">
        <is>
          <t>P3</t>
        </is>
      </c>
      <c r="R622" t="n">
        <v>160</v>
      </c>
      <c r="S622" s="5" t="inlineStr">
        <is>
          <t>L'expertise locale rencontre les standards mondiaux. Voici ce qui fait de nous le partenaire de développement web idéal à Bruxelles. Experts en IA Créez des chatbots intelligents, des workflows d'automatisation, de la re</t>
        </is>
      </c>
    </row>
    <row r="623">
      <c r="A623" s="3" t="inlineStr">
        <is>
          <t>https://codesommet.com/web-development-company/brussels</t>
        </is>
      </c>
      <c r="B623" t="n">
        <v>3</v>
      </c>
      <c r="C623" t="inlineStr">
        <is>
          <t>Services / features</t>
        </is>
      </c>
      <c r="D623" s="5" t="inlineStr">
        <is>
          <t>Ce que nous apportons aux entreprises de Bruxelles</t>
        </is>
      </c>
      <c r="E623" t="inlineStr">
        <is>
          <t>H2</t>
        </is>
      </c>
      <c r="F623" s="5" t="inlineStr">
        <is>
          <t>Commercial (local)</t>
        </is>
      </c>
      <c r="G623" t="inlineStr">
        <is>
          <t>agence web bruxelles</t>
        </is>
      </c>
      <c r="H623" t="inlineStr">
        <is>
          <t>SECONDARY</t>
        </is>
      </c>
      <c r="I623" t="inlineStr">
        <is>
          <t>be</t>
        </is>
      </c>
      <c r="J623" t="n">
        <v>1300</v>
      </c>
      <c r="K623" t="n">
        <v>53</v>
      </c>
      <c r="L623" t="n">
        <v>2.97</v>
      </c>
      <c r="M623" t="inlineStr">
        <is>
          <t>MEASURED</t>
        </is>
      </c>
      <c r="N623" t="inlineStr">
        <is>
          <t>Partly</t>
        </is>
      </c>
      <c r="O623" s="5" t="inlineStr">
        <is>
          <t>Work "agence web bruxelles" (or a close natural variant) into existing copy - no new heading needed</t>
        </is>
      </c>
      <c r="P623" s="5" t="inlineStr">
        <is>
          <t>Keyword/variant absent from this section</t>
        </is>
      </c>
      <c r="Q623" t="inlineStr">
        <is>
          <t>P3</t>
        </is>
      </c>
      <c r="R623" t="n">
        <v>25</v>
      </c>
      <c r="S623" s="5" t="inlineStr">
        <is>
          <t>Projets livrés à distance Sites orientés conversion Accompagnement continu Une approche pensée pour les entreprises de Bruxelles - collaboration à distance, sans intermédiaire Expertise Sectorielle</t>
        </is>
      </c>
    </row>
    <row r="624">
      <c r="A624" s="3" t="inlineStr">
        <is>
          <t>https://codesommet.com/web-development-company/brussels</t>
        </is>
      </c>
      <c r="B624" t="n">
        <v>4</v>
      </c>
      <c r="C624" t="inlineStr">
        <is>
          <t>Content block</t>
        </is>
      </c>
      <c r="D624" s="5" t="inlineStr">
        <is>
          <t>Bruxelles Nos Secteurs de Spécialisation</t>
        </is>
      </c>
      <c r="E624" t="inlineStr">
        <is>
          <t>H2</t>
        </is>
      </c>
      <c r="F624" s="5" t="inlineStr">
        <is>
          <t>Commercial (local)</t>
        </is>
      </c>
      <c r="G624" t="inlineStr">
        <is>
          <t>développement web bruxelles</t>
        </is>
      </c>
      <c r="H624" t="inlineStr">
        <is>
          <t>SUPPORTING</t>
        </is>
      </c>
      <c r="I624" t="inlineStr">
        <is>
          <t>be</t>
        </is>
      </c>
      <c r="J624" t="n">
        <v>50</v>
      </c>
      <c r="K624" t="inlineStr">
        <is>
          <t>NOT AVAILABLE</t>
        </is>
      </c>
      <c r="L624" t="n">
        <v>3.31</v>
      </c>
      <c r="M624" t="inlineStr">
        <is>
          <t>MEASURED</t>
        </is>
      </c>
      <c r="N624" t="inlineStr">
        <is>
          <t>Yes</t>
        </is>
      </c>
      <c r="O624" s="5" t="inlineStr">
        <is>
          <t>Covered - keep wording; no change</t>
        </is>
      </c>
      <c r="P624" s="5" t="inlineStr"/>
      <c r="Q624" t="inlineStr">
        <is>
          <t>P3</t>
        </is>
      </c>
      <c r="R624" t="n">
        <v>187</v>
      </c>
      <c r="S624" s="5" t="inlineStr">
        <is>
          <t>Expertise approfondie dans Bruxelles . Nous comprenons les défis uniques de votre secteur et les exigences de conformité. FinTech Plateformes financières sécurisées avec traitement des paiements, conformité et fonctionna</t>
        </is>
      </c>
    </row>
    <row r="625">
      <c r="A625" s="3" t="inlineStr">
        <is>
          <t>https://codesommet.com/web-development-company/brussels</t>
        </is>
      </c>
      <c r="B625" t="n">
        <v>5</v>
      </c>
      <c r="C625" t="inlineStr">
        <is>
          <t>Services / features</t>
        </is>
      </c>
      <c r="D625" s="5" t="inlineStr">
        <is>
          <t>Ce que nous construisons pour Bruxelles</t>
        </is>
      </c>
      <c r="E625" t="inlineStr">
        <is>
          <t>H2</t>
        </is>
      </c>
      <c r="F625" s="5" t="inlineStr">
        <is>
          <t>Commercial (local)</t>
        </is>
      </c>
      <c r="G625" t="inlineStr">
        <is>
          <t>agence web bruxelles</t>
        </is>
      </c>
      <c r="H625" t="inlineStr">
        <is>
          <t>SECONDARY</t>
        </is>
      </c>
      <c r="I625" t="inlineStr">
        <is>
          <t>be</t>
        </is>
      </c>
      <c r="J625" t="n">
        <v>1300</v>
      </c>
      <c r="K625" t="n">
        <v>53</v>
      </c>
      <c r="L625" t="n">
        <v>2.97</v>
      </c>
      <c r="M625" t="inlineStr">
        <is>
          <t>MEASURED</t>
        </is>
      </c>
      <c r="N625" t="inlineStr">
        <is>
          <t>Partly</t>
        </is>
      </c>
      <c r="O625" s="5" t="inlineStr">
        <is>
          <t>Work "agence web bruxelles" (or a close natural variant) into existing copy - no new heading needed</t>
        </is>
      </c>
      <c r="P625" s="5" t="inlineStr">
        <is>
          <t>Keyword/variant absent from this section</t>
        </is>
      </c>
      <c r="Q625" t="inlineStr">
        <is>
          <t>P3</t>
        </is>
      </c>
      <c r="R625" t="n">
        <v>74</v>
      </c>
      <c r="S625" s="5" t="inlineStr">
        <is>
          <t>Des projets réels, livrés à distance. Découvrez ce que nous pouvons construire pour votre entreprise à Bruxelles , en collaboration à distance. Éducation Plateforme d'inscription en ligne pour une école de langues GLS Sp</t>
        </is>
      </c>
    </row>
    <row r="626">
      <c r="A626" s="3" t="inlineStr">
        <is>
          <t>https://codesommet.com/web-development-company/brussels</t>
        </is>
      </c>
      <c r="B626" t="n">
        <v>6</v>
      </c>
      <c r="C626" t="inlineStr">
        <is>
          <t>Process / how it works</t>
        </is>
      </c>
      <c r="D626" s="5" t="inlineStr">
        <is>
          <t>Comment Nous Concevons des Plateformes SaaS et Regtech pour les Entreprises Bruxelloises</t>
        </is>
      </c>
      <c r="E626" t="inlineStr">
        <is>
          <t>H2</t>
        </is>
      </c>
      <c r="F626" s="5" t="inlineStr">
        <is>
          <t>Informational / commercial</t>
        </is>
      </c>
      <c r="G626" t="inlineStr">
        <is>
          <t>création site web bruxelles</t>
        </is>
      </c>
      <c r="H626" t="inlineStr">
        <is>
          <t>SUPPORTS PRIMARY</t>
        </is>
      </c>
      <c r="I626" t="inlineStr">
        <is>
          <t>be</t>
        </is>
      </c>
      <c r="J626" t="n">
        <v>140</v>
      </c>
      <c r="K626" t="n">
        <v>5</v>
      </c>
      <c r="L626" t="n">
        <v>4.94</v>
      </c>
      <c r="M626" t="inlineStr">
        <is>
          <t>MEASURED</t>
        </is>
      </c>
      <c r="N626" t="inlineStr">
        <is>
          <t>Yes (supporting block)</t>
        </is>
      </c>
      <c r="O626" s="5" t="inlineStr">
        <is>
          <t>Supports the primary topic - add only if natural</t>
        </is>
      </c>
      <c r="P626" s="5" t="inlineStr"/>
      <c r="Q626" t="inlineStr">
        <is>
          <t>P3</t>
        </is>
      </c>
      <c r="R626" t="n">
        <v>273</v>
      </c>
      <c r="S626" s="5" t="inlineStr">
        <is>
          <t>SaaS de conformité en matière de confidentialité et de protection des données • Regtech / Conformité • 10 months Le Contexte Les entreprises regtech et fintech de Bruxelles évoluent dans un environnement réglementaire eu</t>
        </is>
      </c>
    </row>
    <row r="627">
      <c r="A627" s="3" t="inlineStr">
        <is>
          <t>https://codesommet.com/web-development-company/brussels</t>
        </is>
      </c>
      <c r="B627" t="n">
        <v>7</v>
      </c>
      <c r="C627" t="inlineStr">
        <is>
          <t>Pricing / offers</t>
        </is>
      </c>
      <c r="D627" s="5" t="inlineStr">
        <is>
          <t>Solutions Personnalisées, Tarification Transparente</t>
        </is>
      </c>
      <c r="E627" t="inlineStr">
        <is>
          <t>H2</t>
        </is>
      </c>
      <c r="F627" s="5" t="inlineStr">
        <is>
          <t>Commercial / transactional</t>
        </is>
      </c>
      <c r="G627" t="inlineStr">
        <is>
          <t>création site web bruxelles</t>
        </is>
      </c>
      <c r="H627" t="inlineStr">
        <is>
          <t>SUPPORTS PRIMARY</t>
        </is>
      </c>
      <c r="I627" t="inlineStr">
        <is>
          <t>be</t>
        </is>
      </c>
      <c r="J627" t="n">
        <v>140</v>
      </c>
      <c r="K627" t="n">
        <v>5</v>
      </c>
      <c r="L627" t="n">
        <v>4.94</v>
      </c>
      <c r="M627" t="inlineStr">
        <is>
          <t>MEASURED</t>
        </is>
      </c>
      <c r="N627" t="inlineStr">
        <is>
          <t>Yes (supporting block)</t>
        </is>
      </c>
      <c r="O627" s="5" t="inlineStr">
        <is>
          <t>Supports the primary topic - add only if natural</t>
        </is>
      </c>
      <c r="P627" s="5" t="inlineStr"/>
      <c r="Q627" t="inlineStr">
        <is>
          <t>P3</t>
        </is>
      </c>
      <c r="R627" t="n">
        <v>184</v>
      </c>
      <c r="S627" s="5" t="inlineStr">
        <is>
          <t>Réservez un appel découverte pour discuter de vos besoins spécifiques et obtenir un devis personnalisé Recommandé Développement Web Site web complet avec fonctionnalités IA, tableaux de bord et design premium livré en 2-</t>
        </is>
      </c>
    </row>
    <row r="628">
      <c r="A628" s="3" t="inlineStr">
        <is>
          <t>https://codesommet.com/web-development-company/brussels</t>
        </is>
      </c>
      <c r="B628" t="n">
        <v>8</v>
      </c>
      <c r="C628" t="inlineStr">
        <is>
          <t>CTA / conversion</t>
        </is>
      </c>
      <c r="D628" s="5" t="inlineStr">
        <is>
          <t>Prêt à Améliorer Votre Site Web à Bruxelles ?</t>
        </is>
      </c>
      <c r="E628" t="inlineStr">
        <is>
          <t>H2</t>
        </is>
      </c>
      <c r="F628" s="5" t="inlineStr">
        <is>
          <t>Conversion</t>
        </is>
      </c>
      <c r="G628" t="inlineStr">
        <is>
          <t>—</t>
        </is>
      </c>
      <c r="H628" t="inlineStr">
        <is>
          <t>NONE</t>
        </is>
      </c>
      <c r="I628" t="inlineStr">
        <is>
          <t>—</t>
        </is>
      </c>
      <c r="J628" t="inlineStr">
        <is>
          <t>—</t>
        </is>
      </c>
      <c r="K628" t="inlineStr">
        <is>
          <t>—</t>
        </is>
      </c>
      <c r="L628" t="inlineStr">
        <is>
          <t>—</t>
        </is>
      </c>
      <c r="M628" t="inlineStr">
        <is>
          <t>—</t>
        </is>
      </c>
      <c r="N628" t="inlineStr">
        <is>
          <t>n/a</t>
        </is>
      </c>
      <c r="O628" s="5" t="inlineStr">
        <is>
          <t>No keyword target - keep conversion/navigation focus; use descriptive, non-repeated anchor texts</t>
        </is>
      </c>
      <c r="P628" s="5" t="inlineStr"/>
      <c r="Q628" t="inlineStr">
        <is>
          <t>P4</t>
        </is>
      </c>
      <c r="R628" t="n">
        <v>40</v>
      </c>
      <c r="S628" s="5" t="inlineStr">
        <is>
          <t xml:space="preserve">Obtenez d'abord une analyse gratuite complète : Audit SEO Vérification de performance Revue de design Recommandations alimentées par l'IA Analyser Votre Site Web - 100% Gratuit Aucune carte de crédit requise • Résultats </t>
        </is>
      </c>
    </row>
    <row r="629">
      <c r="A629" s="3" t="inlineStr">
        <is>
          <t>https://codesommet.com/web-development-company/brussels</t>
        </is>
      </c>
      <c r="B629" t="n">
        <v>9</v>
      </c>
      <c r="C629" t="inlineStr">
        <is>
          <t>Why us / differentiation</t>
        </is>
      </c>
      <c r="D629" s="5" t="inlineStr">
        <is>
          <t>CodeSommet Bruxelles vs Autres</t>
        </is>
      </c>
      <c r="E629" t="inlineStr">
        <is>
          <t>H2</t>
        </is>
      </c>
      <c r="F629" s="5" t="inlineStr">
        <is>
          <t>Commercial investigation</t>
        </is>
      </c>
      <c r="G629" t="inlineStr">
        <is>
          <t>création site web bruxelles</t>
        </is>
      </c>
      <c r="H629" t="inlineStr">
        <is>
          <t>SUPPORTS PRIMARY</t>
        </is>
      </c>
      <c r="I629" t="inlineStr">
        <is>
          <t>be</t>
        </is>
      </c>
      <c r="J629" t="n">
        <v>140</v>
      </c>
      <c r="K629" t="n">
        <v>5</v>
      </c>
      <c r="L629" t="n">
        <v>4.94</v>
      </c>
      <c r="M629" t="inlineStr">
        <is>
          <t>MEASURED</t>
        </is>
      </c>
      <c r="N629" t="inlineStr">
        <is>
          <t>Yes (supporting block)</t>
        </is>
      </c>
      <c r="O629" s="5" t="inlineStr">
        <is>
          <t>Supports the primary topic - add only if natural</t>
        </is>
      </c>
      <c r="P629" s="5" t="inlineStr"/>
      <c r="Q629" t="inlineStr">
        <is>
          <t>P3</t>
        </is>
      </c>
      <c r="R629" t="n">
        <v>83</v>
      </c>
      <c r="S629" s="5" t="inlineStr">
        <is>
          <t>Découvrez pourquoi Bruxelles entreprises choisissent CodeSommet plutôt que d'autres agences locales et concurrents internationaux. Fonctionnalité CodeSommet Bruxelles Autres Bruxelles Agences Agences Internationales Révi</t>
        </is>
      </c>
    </row>
    <row r="630">
      <c r="A630" s="3" t="inlineStr">
        <is>
          <t>https://codesommet.com/web-development-company/brussels</t>
        </is>
      </c>
      <c r="B630" t="n">
        <v>10</v>
      </c>
      <c r="C630" t="inlineStr">
        <is>
          <t>Testimonials / social proof</t>
        </is>
      </c>
      <c r="D630" s="5" t="inlineStr">
        <is>
          <t>Quoi Bruxelles Nos Clients Disent de Nous</t>
        </is>
      </c>
      <c r="E630" t="inlineStr">
        <is>
          <t>H2</t>
        </is>
      </c>
      <c r="F630" s="5" t="inlineStr">
        <is>
          <t>Commercial investigation</t>
        </is>
      </c>
      <c r="G630" t="inlineStr">
        <is>
          <t>création site web bruxelles</t>
        </is>
      </c>
      <c r="H630" t="inlineStr">
        <is>
          <t>SUPPORTS PRIMARY</t>
        </is>
      </c>
      <c r="I630" t="inlineStr">
        <is>
          <t>be</t>
        </is>
      </c>
      <c r="J630" t="n">
        <v>140</v>
      </c>
      <c r="K630" t="n">
        <v>5</v>
      </c>
      <c r="L630" t="n">
        <v>4.94</v>
      </c>
      <c r="M630" t="inlineStr">
        <is>
          <t>MEASURED</t>
        </is>
      </c>
      <c r="N630" t="inlineStr">
        <is>
          <t>Yes (supporting block)</t>
        </is>
      </c>
      <c r="O630" s="5" t="inlineStr">
        <is>
          <t>Supports the primary topic - add only if natural</t>
        </is>
      </c>
      <c r="P630" s="5" t="inlineStr"/>
      <c r="Q630" t="inlineStr">
        <is>
          <t>P3</t>
        </is>
      </c>
      <c r="R630" t="n">
        <v>104</v>
      </c>
      <c r="S630" s="5" t="inlineStr">
        <is>
          <t>Ne vous fiez pas seulement à notre parole. Écoutez les entreprises de Bruxelles qui ont obtenu des résultats remarquables avec CodeSommet. "Une collaboration professionnelle du début à la fin. Je recommande sans hésiter.</t>
        </is>
      </c>
    </row>
    <row r="631">
      <c r="A631" s="3" t="inlineStr">
        <is>
          <t>https://codesommet.com/web-development-company/brussels</t>
        </is>
      </c>
      <c r="B631" t="n">
        <v>11</v>
      </c>
      <c r="C631" t="inlineStr">
        <is>
          <t>Process / how it works</t>
        </is>
      </c>
      <c r="D631" s="5" t="inlineStr">
        <is>
          <t>Comment démarrer en 3 étapes simples</t>
        </is>
      </c>
      <c r="E631" t="inlineStr">
        <is>
          <t>H2</t>
        </is>
      </c>
      <c r="F631" s="5" t="inlineStr">
        <is>
          <t>Informational / commercial</t>
        </is>
      </c>
      <c r="G631" t="inlineStr">
        <is>
          <t>création site web bruxelles</t>
        </is>
      </c>
      <c r="H631" t="inlineStr">
        <is>
          <t>SUPPORTS PRIMARY</t>
        </is>
      </c>
      <c r="I631" t="inlineStr">
        <is>
          <t>be</t>
        </is>
      </c>
      <c r="J631" t="n">
        <v>140</v>
      </c>
      <c r="K631" t="n">
        <v>5</v>
      </c>
      <c r="L631" t="n">
        <v>4.94</v>
      </c>
      <c r="M631" t="inlineStr">
        <is>
          <t>MEASURED</t>
        </is>
      </c>
      <c r="N631" t="inlineStr">
        <is>
          <t>Yes (supporting block)</t>
        </is>
      </c>
      <c r="O631" s="5" t="inlineStr">
        <is>
          <t>Supports the primary topic - add only if natural</t>
        </is>
      </c>
      <c r="P631" s="5" t="inlineStr"/>
      <c r="Q631" t="inlineStr">
        <is>
          <t>P3</t>
        </is>
      </c>
      <c r="R631" t="n">
        <v>286</v>
      </c>
      <c r="S631" s="5" t="inlineStr">
        <is>
          <t>Du premier appel à la livraison du projet, découvrez exactement comment nous travaillons ensemble Étape 1 Abonnement 1 projet actif Révisions illimitées Design &amp; développement SEO &amp; contenu Recommandé Développement de Si</t>
        </is>
      </c>
    </row>
    <row r="632">
      <c r="A632" s="3" t="inlineStr">
        <is>
          <t>https://codesommet.com/web-development-company/brussels</t>
        </is>
      </c>
      <c r="B632" t="n">
        <v>12</v>
      </c>
      <c r="C632" t="inlineStr">
        <is>
          <t>FAQ</t>
        </is>
      </c>
      <c r="D632" s="5" t="inlineStr">
        <is>
          <t>Questions Fréquemment Posées Sur le Développement Web à Bruxelles</t>
        </is>
      </c>
      <c r="E632" t="inlineStr">
        <is>
          <t>H2</t>
        </is>
      </c>
      <c r="F632" s="5" t="inlineStr">
        <is>
          <t>Informational (pre-purchase questions)</t>
        </is>
      </c>
      <c r="G632" t="inlineStr">
        <is>
          <t>création site web bruxelles</t>
        </is>
      </c>
      <c r="H632" t="inlineStr">
        <is>
          <t>SUPPORTS PRIMARY</t>
        </is>
      </c>
      <c r="I632" t="inlineStr">
        <is>
          <t>be</t>
        </is>
      </c>
      <c r="J632" t="n">
        <v>140</v>
      </c>
      <c r="K632" t="n">
        <v>5</v>
      </c>
      <c r="L632" t="n">
        <v>4.94</v>
      </c>
      <c r="M632" t="inlineStr">
        <is>
          <t>MEASURED</t>
        </is>
      </c>
      <c r="N632" t="inlineStr">
        <is>
          <t>Yes (supporting block)</t>
        </is>
      </c>
      <c r="O632" s="5" t="inlineStr">
        <is>
          <t>Supports the primary topic - add only if natural</t>
        </is>
      </c>
      <c r="P632" s="5" t="inlineStr"/>
      <c r="Q632" t="inlineStr">
        <is>
          <t>P3</t>
        </is>
      </c>
      <c r="R632" t="n">
        <v>383</v>
      </c>
      <c r="S632" s="5" t="inlineStr">
        <is>
          <t>Vous avez des questions ? Nous avons les réponses. Voici les questions les plus fréquentes de Bruxelles entreprises. 1 Pourquoi choisir CodeSommet plutôt que les nombreuses agences de développement web de Bruxelles ? Par</t>
        </is>
      </c>
    </row>
    <row r="633">
      <c r="A633" s="3" t="inlineStr">
        <is>
          <t>https://codesommet.com/web-development-company/brussels</t>
        </is>
      </c>
      <c r="B633" t="n">
        <v>13</v>
      </c>
      <c r="C633" t="inlineStr">
        <is>
          <t>Content block</t>
        </is>
      </c>
      <c r="D633" s="5" t="inlineStr">
        <is>
          <t>Nous Servons Également</t>
        </is>
      </c>
      <c r="E633" t="inlineStr">
        <is>
          <t>H2</t>
        </is>
      </c>
      <c r="F633" s="5" t="inlineStr">
        <is>
          <t>Commercial (local)</t>
        </is>
      </c>
      <c r="G633" t="inlineStr">
        <is>
          <t>développement web bruxelles</t>
        </is>
      </c>
      <c r="H633" t="inlineStr">
        <is>
          <t>SUPPORTING</t>
        </is>
      </c>
      <c r="I633" t="inlineStr">
        <is>
          <t>be</t>
        </is>
      </c>
      <c r="J633" t="n">
        <v>50</v>
      </c>
      <c r="K633" t="inlineStr">
        <is>
          <t>NOT AVAILABLE</t>
        </is>
      </c>
      <c r="L633" t="n">
        <v>3.31</v>
      </c>
      <c r="M633" t="inlineStr">
        <is>
          <t>MEASURED</t>
        </is>
      </c>
      <c r="N633" t="inlineStr">
        <is>
          <t>Yes (supporting block)</t>
        </is>
      </c>
      <c r="O633" s="5" t="inlineStr">
        <is>
          <t>Supports the primary topic - add only if natural</t>
        </is>
      </c>
      <c r="P633" s="5" t="inlineStr"/>
      <c r="Q633" t="inlineStr">
        <is>
          <t>P3</t>
        </is>
      </c>
      <c r="R633" t="n">
        <v>28</v>
      </c>
      <c r="S633" s="5" t="inlineStr">
        <is>
          <t>Explorez nos services de développement web dans d'autres villes à travers le monde Amsterdam Pays-Bas Paris France Berlin Allemagne Londres Royaume-Uni Copenhague Danemark Dublin Irlande Voir Tout Locations</t>
        </is>
      </c>
    </row>
    <row r="634">
      <c r="A634" s="3" t="inlineStr">
        <is>
          <t>https://codesommet.com/web-development-company/brussels</t>
        </is>
      </c>
      <c r="B634" t="n">
        <v>14</v>
      </c>
      <c r="C634" t="inlineStr">
        <is>
          <t>Content block</t>
        </is>
      </c>
      <c r="D634" s="5" t="inlineStr">
        <is>
          <t>En Savoir Plus</t>
        </is>
      </c>
      <c r="E634" t="inlineStr">
        <is>
          <t>H2</t>
        </is>
      </c>
      <c r="F634" s="5" t="inlineStr">
        <is>
          <t>Commercial (local)</t>
        </is>
      </c>
      <c r="G634" t="inlineStr">
        <is>
          <t>agence web bruxelles</t>
        </is>
      </c>
      <c r="H634" t="inlineStr">
        <is>
          <t>SECONDARY</t>
        </is>
      </c>
      <c r="I634" t="inlineStr">
        <is>
          <t>be</t>
        </is>
      </c>
      <c r="J634" t="n">
        <v>1300</v>
      </c>
      <c r="K634" t="n">
        <v>53</v>
      </c>
      <c r="L634" t="n">
        <v>2.97</v>
      </c>
      <c r="M634" t="inlineStr">
        <is>
          <t>MEASURED</t>
        </is>
      </c>
      <c r="N634" t="inlineStr">
        <is>
          <t>Partly</t>
        </is>
      </c>
      <c r="O634" s="5" t="inlineStr">
        <is>
          <t>Work "agence web bruxelles" (or a close natural variant) into existing copy - no new heading needed</t>
        </is>
      </c>
      <c r="P634" s="5" t="inlineStr">
        <is>
          <t>Keyword/variant absent from this section</t>
        </is>
      </c>
      <c r="Q634" t="inlineStr">
        <is>
          <t>P3</t>
        </is>
      </c>
      <c r="R634" t="n">
        <v>82</v>
      </c>
      <c r="S634" s="5" t="inlineStr">
        <is>
          <t xml:space="preserve">Découvrez ce qui fait de CodeSommet votre partenaire de développement web idéal Audit Gratuit de Site Web Obtenez une analyse alimentée par l'IA avec plus de 40 vérifications En savoir plus Voir Nos Projets Explorez les </t>
        </is>
      </c>
    </row>
    <row r="635">
      <c r="A635" s="3" t="inlineStr">
        <is>
          <t>https://codesommet.com/web-development-company/brussels</t>
        </is>
      </c>
      <c r="B635" t="n">
        <v>15</v>
      </c>
      <c r="C635" t="inlineStr">
        <is>
          <t>CTA / conversion</t>
        </is>
      </c>
      <c r="D635" s="5" t="inlineStr">
        <is>
          <t>Prêt à Créer Quelque Chose d'Extraordinaire ?</t>
        </is>
      </c>
      <c r="E635" t="inlineStr">
        <is>
          <t>H2</t>
        </is>
      </c>
      <c r="F635" s="5" t="inlineStr">
        <is>
          <t>Conversion</t>
        </is>
      </c>
      <c r="G635" t="inlineStr">
        <is>
          <t>—</t>
        </is>
      </c>
      <c r="H635" t="inlineStr">
        <is>
          <t>NONE</t>
        </is>
      </c>
      <c r="I635" t="inlineStr">
        <is>
          <t>—</t>
        </is>
      </c>
      <c r="J635" t="inlineStr">
        <is>
          <t>—</t>
        </is>
      </c>
      <c r="K635" t="inlineStr">
        <is>
          <t>—</t>
        </is>
      </c>
      <c r="L635" t="inlineStr">
        <is>
          <t>—</t>
        </is>
      </c>
      <c r="M635" t="inlineStr">
        <is>
          <t>—</t>
        </is>
      </c>
      <c r="N635" t="inlineStr">
        <is>
          <t>n/a</t>
        </is>
      </c>
      <c r="O635" s="5" t="inlineStr">
        <is>
          <t>No keyword target - keep conversion/navigation focus; use descriptive, non-repeated anchor texts</t>
        </is>
      </c>
      <c r="P635" s="5" t="inlineStr"/>
      <c r="Q635" t="inlineStr">
        <is>
          <t>P4</t>
        </is>
      </c>
      <c r="R635" t="n">
        <v>117</v>
      </c>
      <c r="S635" s="5" t="inlineStr">
        <is>
          <t>Rejoignez les entreprises visionnaires qui ont choisi l'excellence Réserver un Appel Découverte Analyser Mon Site Gratuitement Réserver un Appel Découverte Analyser Votre Site Web Discutons de comment l'IA et le design m</t>
        </is>
      </c>
    </row>
    <row r="636">
      <c r="A636" s="3" t="inlineStr">
        <is>
          <t>https://codesommet.com/web-development-company/zurich</t>
        </is>
      </c>
      <c r="B636" t="n">
        <v>1</v>
      </c>
      <c r="C636" t="inlineStr">
        <is>
          <t>Hero / H1</t>
        </is>
      </c>
      <c r="D636" s="5" t="inlineStr">
        <is>
          <t>Développement Web à Zurich, Suisse : des sites web qui génèrent Plateformes FinTech</t>
        </is>
      </c>
      <c r="E636" t="inlineStr">
        <is>
          <t>H1</t>
        </is>
      </c>
      <c r="F636" s="5" t="inlineStr">
        <is>
          <t>Commercial (local)</t>
        </is>
      </c>
      <c r="G636" t="inlineStr">
        <is>
          <t>développement web zurich</t>
        </is>
      </c>
      <c r="H636" t="inlineStr">
        <is>
          <t>PRIMARY</t>
        </is>
      </c>
      <c r="I636" t="inlineStr">
        <is>
          <t>ch</t>
        </is>
      </c>
      <c r="J636" t="inlineStr">
        <is>
          <t>NOT AVAILABLE</t>
        </is>
      </c>
      <c r="K636" t="inlineStr">
        <is>
          <t>NOT AVAILABLE</t>
        </is>
      </c>
      <c r="L636" t="inlineStr">
        <is>
          <t>NOT AVAILABLE</t>
        </is>
      </c>
      <c r="M636" t="inlineStr">
        <is>
          <t>UNAVAILABLE</t>
        </is>
      </c>
      <c r="N636" t="inlineStr">
        <is>
          <t>Yes</t>
        </is>
      </c>
      <c r="O636" s="5" t="inlineStr">
        <is>
          <t>Covered - keep wording; no change</t>
        </is>
      </c>
      <c r="P636" s="5" t="inlineStr"/>
      <c r="Q636" t="inlineStr">
        <is>
          <t>P3</t>
        </is>
      </c>
      <c r="R636" t="n">
        <v>87</v>
      </c>
      <c r="S636" s="5" t="inlineStr">
        <is>
          <t>Depuis le Maroc, notre studio de développement web accompagne à distance les entreprises de Zurich dans la création de sites web alimentés par l'IA et de tableaux de bord intelligents. Nous sommes spécialisés dans la cré</t>
        </is>
      </c>
    </row>
    <row r="637">
      <c r="A637" s="3" t="inlineStr">
        <is>
          <t>https://codesommet.com/web-development-company/zurich</t>
        </is>
      </c>
      <c r="B637" t="n">
        <v>2</v>
      </c>
      <c r="C637" t="inlineStr">
        <is>
          <t>Why us / differentiation</t>
        </is>
      </c>
      <c r="D637" s="5" t="inlineStr">
        <is>
          <t>Pourquoi Choisir CodeSommet in Zurich ?</t>
        </is>
      </c>
      <c r="E637" t="inlineStr">
        <is>
          <t>H2</t>
        </is>
      </c>
      <c r="F637" s="5" t="inlineStr">
        <is>
          <t>Commercial investigation</t>
        </is>
      </c>
      <c r="G637" t="inlineStr">
        <is>
          <t>développement web zurich</t>
        </is>
      </c>
      <c r="H637" t="inlineStr">
        <is>
          <t>SUPPORTS PRIMARY</t>
        </is>
      </c>
      <c r="I637" t="inlineStr">
        <is>
          <t>ch</t>
        </is>
      </c>
      <c r="J637" t="inlineStr">
        <is>
          <t>NOT AVAILABLE</t>
        </is>
      </c>
      <c r="K637" t="inlineStr">
        <is>
          <t>NOT AVAILABLE</t>
        </is>
      </c>
      <c r="L637" t="inlineStr">
        <is>
          <t>NOT AVAILABLE</t>
        </is>
      </c>
      <c r="M637" t="inlineStr">
        <is>
          <t>UNAVAILABLE</t>
        </is>
      </c>
      <c r="N637" t="inlineStr">
        <is>
          <t>Yes</t>
        </is>
      </c>
      <c r="O637" s="5" t="inlineStr">
        <is>
          <t>Covered - keep wording; no change</t>
        </is>
      </c>
      <c r="P637" s="5" t="inlineStr"/>
      <c r="Q637" t="inlineStr">
        <is>
          <t>P3</t>
        </is>
      </c>
      <c r="R637" t="n">
        <v>186</v>
      </c>
      <c r="S637" s="5" t="inlineStr">
        <is>
          <t>L'expertise locale rencontre les standards mondiaux. Voici ce qui fait de nous le partenaire idéal en développement web à Zurich. Experts en IA Créez des chatbots intelligents, des workflows d'automatisation, une recherc</t>
        </is>
      </c>
    </row>
    <row r="638">
      <c r="A638" s="3" t="inlineStr">
        <is>
          <t>https://codesommet.com/web-development-company/zurich</t>
        </is>
      </c>
      <c r="B638" t="n">
        <v>3</v>
      </c>
      <c r="C638" t="inlineStr">
        <is>
          <t>Services / features</t>
        </is>
      </c>
      <c r="D638" s="5" t="inlineStr">
        <is>
          <t>Ce que nous apportons aux entreprises de Zurich</t>
        </is>
      </c>
      <c r="E638" t="inlineStr">
        <is>
          <t>H2</t>
        </is>
      </c>
      <c r="F638" s="5" t="inlineStr">
        <is>
          <t>Commercial (local)</t>
        </is>
      </c>
      <c r="G638" t="inlineStr">
        <is>
          <t>développement web zurich</t>
        </is>
      </c>
      <c r="H638" t="inlineStr">
        <is>
          <t>SUPPORTS PRIMARY</t>
        </is>
      </c>
      <c r="I638" t="inlineStr">
        <is>
          <t>ch</t>
        </is>
      </c>
      <c r="J638" t="inlineStr">
        <is>
          <t>NOT AVAILABLE</t>
        </is>
      </c>
      <c r="K638" t="inlineStr">
        <is>
          <t>NOT AVAILABLE</t>
        </is>
      </c>
      <c r="L638" t="inlineStr">
        <is>
          <t>NOT AVAILABLE</t>
        </is>
      </c>
      <c r="M638" t="inlineStr">
        <is>
          <t>UNAVAILABLE</t>
        </is>
      </c>
      <c r="N638" t="inlineStr">
        <is>
          <t>Yes (supporting block)</t>
        </is>
      </c>
      <c r="O638" s="5" t="inlineStr">
        <is>
          <t>Supports the primary topic - add only if natural</t>
        </is>
      </c>
      <c r="P638" s="5" t="inlineStr"/>
      <c r="Q638" t="inlineStr">
        <is>
          <t>P3</t>
        </is>
      </c>
      <c r="R638" t="n">
        <v>6</v>
      </c>
      <c r="S638" s="5" t="inlineStr">
        <is>
          <t>Projets livrés à distance Expertise Sectorielle</t>
        </is>
      </c>
    </row>
    <row r="639">
      <c r="A639" s="3" t="inlineStr">
        <is>
          <t>https://codesommet.com/web-development-company/zurich</t>
        </is>
      </c>
      <c r="B639" t="n">
        <v>4</v>
      </c>
      <c r="C639" t="inlineStr">
        <is>
          <t>Content block</t>
        </is>
      </c>
      <c r="D639" s="5" t="inlineStr">
        <is>
          <t>Zurich Nos Secteurs de Spécialisation</t>
        </is>
      </c>
      <c r="E639" t="inlineStr">
        <is>
          <t>H2</t>
        </is>
      </c>
      <c r="F639" s="5" t="inlineStr">
        <is>
          <t>Commercial (local)</t>
        </is>
      </c>
      <c r="G639" t="inlineStr">
        <is>
          <t>développement web zurich</t>
        </is>
      </c>
      <c r="H639" t="inlineStr">
        <is>
          <t>SUPPORTS PRIMARY</t>
        </is>
      </c>
      <c r="I639" t="inlineStr">
        <is>
          <t>ch</t>
        </is>
      </c>
      <c r="J639" t="inlineStr">
        <is>
          <t>NOT AVAILABLE</t>
        </is>
      </c>
      <c r="K639" t="inlineStr">
        <is>
          <t>NOT AVAILABLE</t>
        </is>
      </c>
      <c r="L639" t="inlineStr">
        <is>
          <t>NOT AVAILABLE</t>
        </is>
      </c>
      <c r="M639" t="inlineStr">
        <is>
          <t>UNAVAILABLE</t>
        </is>
      </c>
      <c r="N639" t="inlineStr">
        <is>
          <t>Yes</t>
        </is>
      </c>
      <c r="O639" s="5" t="inlineStr">
        <is>
          <t>Covered - keep wording; no change</t>
        </is>
      </c>
      <c r="P639" s="5" t="inlineStr"/>
      <c r="Q639" t="inlineStr">
        <is>
          <t>P3</t>
        </is>
      </c>
      <c r="R639" t="n">
        <v>192</v>
      </c>
      <c r="S639" s="5" t="inlineStr">
        <is>
          <t>Une expertise approfondie dans les secteurs clés de Zurich . Nous comprenons les défis propres à votre secteur et ses exigences de conformité. FinTech Plateformes financières sécurisées avec traitement des paiements, con</t>
        </is>
      </c>
    </row>
    <row r="640">
      <c r="A640" s="3" t="inlineStr">
        <is>
          <t>https://codesommet.com/web-development-company/zurich</t>
        </is>
      </c>
      <c r="B640" t="n">
        <v>5</v>
      </c>
      <c r="C640" t="inlineStr">
        <is>
          <t>Services / features</t>
        </is>
      </c>
      <c r="D640" s="5" t="inlineStr">
        <is>
          <t>Ce que nous construisons pour Zurich</t>
        </is>
      </c>
      <c r="E640" t="inlineStr">
        <is>
          <t>H2</t>
        </is>
      </c>
      <c r="F640" s="5" t="inlineStr">
        <is>
          <t>Commercial (local)</t>
        </is>
      </c>
      <c r="G640" t="inlineStr">
        <is>
          <t>développement web zurich</t>
        </is>
      </c>
      <c r="H640" t="inlineStr">
        <is>
          <t>SUPPORTS PRIMARY</t>
        </is>
      </c>
      <c r="I640" t="inlineStr">
        <is>
          <t>ch</t>
        </is>
      </c>
      <c r="J640" t="inlineStr">
        <is>
          <t>NOT AVAILABLE</t>
        </is>
      </c>
      <c r="K640" t="inlineStr">
        <is>
          <t>NOT AVAILABLE</t>
        </is>
      </c>
      <c r="L640" t="inlineStr">
        <is>
          <t>NOT AVAILABLE</t>
        </is>
      </c>
      <c r="M640" t="inlineStr">
        <is>
          <t>UNAVAILABLE</t>
        </is>
      </c>
      <c r="N640" t="inlineStr">
        <is>
          <t>Yes (supporting block)</t>
        </is>
      </c>
      <c r="O640" s="5" t="inlineStr">
        <is>
          <t>Supports the primary topic - add only if natural</t>
        </is>
      </c>
      <c r="P640" s="5" t="inlineStr"/>
      <c r="Q640" t="inlineStr">
        <is>
          <t>P3</t>
        </is>
      </c>
      <c r="R640" t="n">
        <v>74</v>
      </c>
      <c r="S640" s="5" t="inlineStr">
        <is>
          <t>Des projets réels, livrés à distance. Découvrez ce que nous pouvons construire pour votre entreprise à Zurich , en collaboration à distance. Tourisme Site de voyages sur mesure avec demandes de devis en ligne Morocco Que</t>
        </is>
      </c>
    </row>
    <row r="641">
      <c r="A641" s="3" t="inlineStr">
        <is>
          <t>https://codesommet.com/web-development-company/zurich</t>
        </is>
      </c>
      <c r="B641" t="n">
        <v>6</v>
      </c>
      <c r="C641" t="inlineStr">
        <is>
          <t>Process / how it works</t>
        </is>
      </c>
      <c r="D641" s="5" t="inlineStr">
        <is>
          <t>Comment Nous Concevons des Plateformes Fintech et de Gestion de Patrimoine Sécurisées pour Zurich</t>
        </is>
      </c>
      <c r="E641" t="inlineStr">
        <is>
          <t>H2</t>
        </is>
      </c>
      <c r="F641" s="5" t="inlineStr">
        <is>
          <t>Informational / commercial</t>
        </is>
      </c>
      <c r="G641" t="inlineStr">
        <is>
          <t>développement web zurich</t>
        </is>
      </c>
      <c r="H641" t="inlineStr">
        <is>
          <t>SUPPORTS PRIMARY</t>
        </is>
      </c>
      <c r="I641" t="inlineStr">
        <is>
          <t>ch</t>
        </is>
      </c>
      <c r="J641" t="inlineStr">
        <is>
          <t>NOT AVAILABLE</t>
        </is>
      </c>
      <c r="K641" t="inlineStr">
        <is>
          <t>NOT AVAILABLE</t>
        </is>
      </c>
      <c r="L641" t="inlineStr">
        <is>
          <t>NOT AVAILABLE</t>
        </is>
      </c>
      <c r="M641" t="inlineStr">
        <is>
          <t>UNAVAILABLE</t>
        </is>
      </c>
      <c r="N641" t="inlineStr">
        <is>
          <t>Yes (supporting block)</t>
        </is>
      </c>
      <c r="O641" s="5" t="inlineStr">
        <is>
          <t>Supports the primary topic - add only if natural</t>
        </is>
      </c>
      <c r="P641" s="5" t="inlineStr"/>
      <c r="Q641" t="inlineStr">
        <is>
          <t>P3</t>
        </is>
      </c>
      <c r="R641" t="n">
        <v>216</v>
      </c>
      <c r="S641" s="5" t="inlineStr">
        <is>
          <t>Garde crypto institutionnelle et gestion de patrimoine • Crypto / Gestion de Patrimoine • 16 mois Le Défi Les sociétés de fintech et de gestion de patrimoine de Zurich ont besoin de plateformes robustes pour servir une c</t>
        </is>
      </c>
    </row>
    <row r="642">
      <c r="A642" s="3" t="inlineStr">
        <is>
          <t>https://codesommet.com/web-development-company/zurich</t>
        </is>
      </c>
      <c r="B642" t="n">
        <v>7</v>
      </c>
      <c r="C642" t="inlineStr">
        <is>
          <t>Pricing / offers</t>
        </is>
      </c>
      <c r="D642" s="5" t="inlineStr">
        <is>
          <t>Solutions sur mesure, tarification transparente</t>
        </is>
      </c>
      <c r="E642" t="inlineStr">
        <is>
          <t>H2</t>
        </is>
      </c>
      <c r="F642" s="5" t="inlineStr">
        <is>
          <t>Commercial / transactional</t>
        </is>
      </c>
      <c r="G642" t="inlineStr">
        <is>
          <t>développement web zurich</t>
        </is>
      </c>
      <c r="H642" t="inlineStr">
        <is>
          <t>SUPPORTS PRIMARY</t>
        </is>
      </c>
      <c r="I642" t="inlineStr">
        <is>
          <t>ch</t>
        </is>
      </c>
      <c r="J642" t="inlineStr">
        <is>
          <t>NOT AVAILABLE</t>
        </is>
      </c>
      <c r="K642" t="inlineStr">
        <is>
          <t>NOT AVAILABLE</t>
        </is>
      </c>
      <c r="L642" t="inlineStr">
        <is>
          <t>NOT AVAILABLE</t>
        </is>
      </c>
      <c r="M642" t="inlineStr">
        <is>
          <t>UNAVAILABLE</t>
        </is>
      </c>
      <c r="N642" t="inlineStr">
        <is>
          <t>Yes (supporting block)</t>
        </is>
      </c>
      <c r="O642" s="5" t="inlineStr">
        <is>
          <t>Supports the primary topic - add only if natural</t>
        </is>
      </c>
      <c r="P642" s="5" t="inlineStr"/>
      <c r="Q642" t="inlineStr">
        <is>
          <t>P3</t>
        </is>
      </c>
      <c r="R642" t="n">
        <v>188</v>
      </c>
      <c r="S642" s="5" t="inlineStr">
        <is>
          <t>Réservez un appel découverte pour discuter de vos besoins spécifiques et obtenir un devis personnalisé Recommandé Développement Web Site web complet avec fonctionnalités IA, tableaux de bord et design premium livré en 2-</t>
        </is>
      </c>
    </row>
    <row r="643">
      <c r="A643" s="3" t="inlineStr">
        <is>
          <t>https://codesommet.com/web-development-company/zurich</t>
        </is>
      </c>
      <c r="B643" t="n">
        <v>8</v>
      </c>
      <c r="C643" t="inlineStr">
        <is>
          <t>CTA / conversion</t>
        </is>
      </c>
      <c r="D643" s="5" t="inlineStr">
        <is>
          <t>Prêt à améliorer votre site web ? Zurich ?</t>
        </is>
      </c>
      <c r="E643" t="inlineStr">
        <is>
          <t>H2</t>
        </is>
      </c>
      <c r="F643" s="5" t="inlineStr">
        <is>
          <t>Conversion</t>
        </is>
      </c>
      <c r="G643" t="inlineStr">
        <is>
          <t>—</t>
        </is>
      </c>
      <c r="H643" t="inlineStr">
        <is>
          <t>NONE</t>
        </is>
      </c>
      <c r="I643" t="inlineStr">
        <is>
          <t>—</t>
        </is>
      </c>
      <c r="J643" t="inlineStr">
        <is>
          <t>—</t>
        </is>
      </c>
      <c r="K643" t="inlineStr">
        <is>
          <t>—</t>
        </is>
      </c>
      <c r="L643" t="inlineStr">
        <is>
          <t>—</t>
        </is>
      </c>
      <c r="M643" t="inlineStr">
        <is>
          <t>—</t>
        </is>
      </c>
      <c r="N643" t="inlineStr">
        <is>
          <t>n/a</t>
        </is>
      </c>
      <c r="O643" s="5" t="inlineStr">
        <is>
          <t>No keyword target - keep conversion/navigation focus; use descriptive, non-repeated anchor texts</t>
        </is>
      </c>
      <c r="P643" s="5" t="inlineStr"/>
      <c r="Q643" t="inlineStr">
        <is>
          <t>P4</t>
        </is>
      </c>
      <c r="R643" t="n">
        <v>39</v>
      </c>
      <c r="S643" s="5" t="inlineStr">
        <is>
          <t xml:space="preserve">Obtenez d'abord une analyse complète gratuite : Audit SEO Vérification de performance Revue de design Recommandations propulsées par l'IA Analyser Votre Site Web - 100 % Gratuit Aucune carte bancaire requise • Résultats </t>
        </is>
      </c>
    </row>
    <row r="644">
      <c r="A644" s="3" t="inlineStr">
        <is>
          <t>https://codesommet.com/web-development-company/zurich</t>
        </is>
      </c>
      <c r="B644" t="n">
        <v>9</v>
      </c>
      <c r="C644" t="inlineStr">
        <is>
          <t>Why us / differentiation</t>
        </is>
      </c>
      <c r="D644" s="5" t="inlineStr">
        <is>
          <t>CodeSommet Zurich vs Others</t>
        </is>
      </c>
      <c r="E644" t="inlineStr">
        <is>
          <t>H2</t>
        </is>
      </c>
      <c r="F644" s="5" t="inlineStr">
        <is>
          <t>Commercial investigation</t>
        </is>
      </c>
      <c r="G644" t="inlineStr">
        <is>
          <t>développement web zurich</t>
        </is>
      </c>
      <c r="H644" t="inlineStr">
        <is>
          <t>SUPPORTS PRIMARY</t>
        </is>
      </c>
      <c r="I644" t="inlineStr">
        <is>
          <t>ch</t>
        </is>
      </c>
      <c r="J644" t="inlineStr">
        <is>
          <t>NOT AVAILABLE</t>
        </is>
      </c>
      <c r="K644" t="inlineStr">
        <is>
          <t>NOT AVAILABLE</t>
        </is>
      </c>
      <c r="L644" t="inlineStr">
        <is>
          <t>NOT AVAILABLE</t>
        </is>
      </c>
      <c r="M644" t="inlineStr">
        <is>
          <t>UNAVAILABLE</t>
        </is>
      </c>
      <c r="N644" t="inlineStr">
        <is>
          <t>Yes</t>
        </is>
      </c>
      <c r="O644" s="5" t="inlineStr">
        <is>
          <t>Covered - keep wording; no change</t>
        </is>
      </c>
      <c r="P644" s="5" t="inlineStr"/>
      <c r="Q644" t="inlineStr">
        <is>
          <t>P3</t>
        </is>
      </c>
      <c r="R644" t="n">
        <v>86</v>
      </c>
      <c r="S644" s="5" t="inlineStr">
        <is>
          <t>Découvrez pourquoi Zurich les entreprises choisissent CodeSommet plutôt que d'autres agences locales et internationales. Fonctionnalité CodeSommet Zurich Autres Zurich Agences Agences Internationales Révisions illimitées</t>
        </is>
      </c>
    </row>
    <row r="645">
      <c r="A645" s="3" t="inlineStr">
        <is>
          <t>https://codesommet.com/web-development-company/zurich</t>
        </is>
      </c>
      <c r="B645" t="n">
        <v>10</v>
      </c>
      <c r="C645" t="inlineStr">
        <is>
          <t>Testimonials / social proof</t>
        </is>
      </c>
      <c r="D645" s="5" t="inlineStr">
        <is>
          <t>Ce que nos clients de Zurich disent de nous</t>
        </is>
      </c>
      <c r="E645" t="inlineStr">
        <is>
          <t>H2</t>
        </is>
      </c>
      <c r="F645" s="5" t="inlineStr">
        <is>
          <t>Commercial investigation</t>
        </is>
      </c>
      <c r="G645" t="inlineStr">
        <is>
          <t>développement web zurich</t>
        </is>
      </c>
      <c r="H645" t="inlineStr">
        <is>
          <t>SUPPORTS PRIMARY</t>
        </is>
      </c>
      <c r="I645" t="inlineStr">
        <is>
          <t>ch</t>
        </is>
      </c>
      <c r="J645" t="inlineStr">
        <is>
          <t>NOT AVAILABLE</t>
        </is>
      </c>
      <c r="K645" t="inlineStr">
        <is>
          <t>NOT AVAILABLE</t>
        </is>
      </c>
      <c r="L645" t="inlineStr">
        <is>
          <t>NOT AVAILABLE</t>
        </is>
      </c>
      <c r="M645" t="inlineStr">
        <is>
          <t>UNAVAILABLE</t>
        </is>
      </c>
      <c r="N645" t="inlineStr">
        <is>
          <t>Yes (supporting block)</t>
        </is>
      </c>
      <c r="O645" s="5" t="inlineStr">
        <is>
          <t>Supports the primary topic - add only if natural</t>
        </is>
      </c>
      <c r="P645" s="5" t="inlineStr"/>
      <c r="Q645" t="inlineStr">
        <is>
          <t>P3</t>
        </is>
      </c>
      <c r="R645" t="n">
        <v>103</v>
      </c>
      <c r="S645" s="5" t="inlineStr">
        <is>
          <t>Ne nous croyez pas sur parole. Écoutez les entreprises de Zurich qui ont obtenu des résultats remarquables avec CodeSommet. "Une collaboration professionnelle du début à la fin. Je recommande sans hésiter." Mohammed Chaj</t>
        </is>
      </c>
    </row>
    <row r="646">
      <c r="A646" s="3" t="inlineStr">
        <is>
          <t>https://codesommet.com/web-development-company/zurich</t>
        </is>
      </c>
      <c r="B646" t="n">
        <v>11</v>
      </c>
      <c r="C646" t="inlineStr">
        <is>
          <t>Process / how it works</t>
        </is>
      </c>
      <c r="D646" s="5" t="inlineStr">
        <is>
          <t>Comment démarrer en 3 étapes simples</t>
        </is>
      </c>
      <c r="E646" t="inlineStr">
        <is>
          <t>H2</t>
        </is>
      </c>
      <c r="F646" s="5" t="inlineStr">
        <is>
          <t>Informational / commercial</t>
        </is>
      </c>
      <c r="G646" t="inlineStr">
        <is>
          <t>développement web zurich</t>
        </is>
      </c>
      <c r="H646" t="inlineStr">
        <is>
          <t>SUPPORTS PRIMARY</t>
        </is>
      </c>
      <c r="I646" t="inlineStr">
        <is>
          <t>ch</t>
        </is>
      </c>
      <c r="J646" t="inlineStr">
        <is>
          <t>NOT AVAILABLE</t>
        </is>
      </c>
      <c r="K646" t="inlineStr">
        <is>
          <t>NOT AVAILABLE</t>
        </is>
      </c>
      <c r="L646" t="inlineStr">
        <is>
          <t>NOT AVAILABLE</t>
        </is>
      </c>
      <c r="M646" t="inlineStr">
        <is>
          <t>UNAVAILABLE</t>
        </is>
      </c>
      <c r="N646" t="inlineStr">
        <is>
          <t>Yes (supporting block)</t>
        </is>
      </c>
      <c r="O646" s="5" t="inlineStr">
        <is>
          <t>Supports the primary topic - add only if natural</t>
        </is>
      </c>
      <c r="P646" s="5" t="inlineStr"/>
      <c r="Q646" t="inlineStr">
        <is>
          <t>P3</t>
        </is>
      </c>
      <c r="R646" t="n">
        <v>286</v>
      </c>
      <c r="S646" s="5" t="inlineStr">
        <is>
          <t>Du premier appel à la livraison du projet, découvrez exactement comment nous travaillons ensemble Étape 1 Abonnement 1 projet actif Révisions illimitées Design &amp; développement SEO &amp; contenu Recommandé Développement de Si</t>
        </is>
      </c>
    </row>
    <row r="647">
      <c r="A647" s="3" t="inlineStr">
        <is>
          <t>https://codesommet.com/web-development-company/zurich</t>
        </is>
      </c>
      <c r="B647" t="n">
        <v>12</v>
      </c>
      <c r="C647" t="inlineStr">
        <is>
          <t>FAQ</t>
        </is>
      </c>
      <c r="D647" s="5" t="inlineStr">
        <is>
          <t>Questions fréquemment posées sur le Développement Web à Zurich</t>
        </is>
      </c>
      <c r="E647" t="inlineStr">
        <is>
          <t>H2</t>
        </is>
      </c>
      <c r="F647" s="5" t="inlineStr">
        <is>
          <t>Informational (pre-purchase questions)</t>
        </is>
      </c>
      <c r="G647" t="inlineStr">
        <is>
          <t>développement web zurich</t>
        </is>
      </c>
      <c r="H647" t="inlineStr">
        <is>
          <t>SUPPORTS PRIMARY</t>
        </is>
      </c>
      <c r="I647" t="inlineStr">
        <is>
          <t>ch</t>
        </is>
      </c>
      <c r="J647" t="inlineStr">
        <is>
          <t>NOT AVAILABLE</t>
        </is>
      </c>
      <c r="K647" t="inlineStr">
        <is>
          <t>NOT AVAILABLE</t>
        </is>
      </c>
      <c r="L647" t="inlineStr">
        <is>
          <t>NOT AVAILABLE</t>
        </is>
      </c>
      <c r="M647" t="inlineStr">
        <is>
          <t>UNAVAILABLE</t>
        </is>
      </c>
      <c r="N647" t="inlineStr">
        <is>
          <t>Yes</t>
        </is>
      </c>
      <c r="O647" s="5" t="inlineStr">
        <is>
          <t>Covered - keep wording; no change</t>
        </is>
      </c>
      <c r="P647" s="5" t="inlineStr"/>
      <c r="Q647" t="inlineStr">
        <is>
          <t>P3</t>
        </is>
      </c>
      <c r="R647" t="n">
        <v>380</v>
      </c>
      <c r="S647" s="5" t="inlineStr">
        <is>
          <t>Des questions ? Nous avons les réponses. Voici les questions les plus fréquentes des entreprises de Zurich. 1 Pourquoi choisir CodeSommet parmi les nombreuses agences de développement web de Zurich ? Parce que nous combi</t>
        </is>
      </c>
    </row>
    <row r="648">
      <c r="A648" s="3" t="inlineStr">
        <is>
          <t>https://codesommet.com/web-development-company/zurich</t>
        </is>
      </c>
      <c r="B648" t="n">
        <v>13</v>
      </c>
      <c r="C648" t="inlineStr">
        <is>
          <t>Internal-link block</t>
        </is>
      </c>
      <c r="D648" s="5" t="inlineStr">
        <is>
          <t>Nous Desservons Également</t>
        </is>
      </c>
      <c r="E648" t="inlineStr">
        <is>
          <t>H2</t>
        </is>
      </c>
      <c r="F648" s="5" t="inlineStr">
        <is>
          <t>Navigation</t>
        </is>
      </c>
      <c r="G648" t="inlineStr">
        <is>
          <t>—</t>
        </is>
      </c>
      <c r="H648" t="inlineStr">
        <is>
          <t>NONE</t>
        </is>
      </c>
      <c r="I648" t="inlineStr">
        <is>
          <t>—</t>
        </is>
      </c>
      <c r="J648" t="inlineStr">
        <is>
          <t>—</t>
        </is>
      </c>
      <c r="K648" t="inlineStr">
        <is>
          <t>—</t>
        </is>
      </c>
      <c r="L648" t="inlineStr">
        <is>
          <t>—</t>
        </is>
      </c>
      <c r="M648" t="inlineStr">
        <is>
          <t>—</t>
        </is>
      </c>
      <c r="N648" t="inlineStr">
        <is>
          <t>n/a</t>
        </is>
      </c>
      <c r="O648" s="5" t="inlineStr">
        <is>
          <t>No keyword target - keep conversion/navigation focus; use descriptive, non-repeated anchor texts</t>
        </is>
      </c>
      <c r="P648" s="5" t="inlineStr"/>
      <c r="Q648" t="inlineStr">
        <is>
          <t>P4</t>
        </is>
      </c>
      <c r="R648" t="n">
        <v>28</v>
      </c>
      <c r="S648" s="5" t="inlineStr">
        <is>
          <t>Explorez nos services de développement web dans d'autres villes à travers le monde Dublin Irlande Stockholm Suède Londres Royaume-Uni Copenhague Danemark Paris France Berlin Allemagne Voir Tout Locations</t>
        </is>
      </c>
    </row>
    <row r="649">
      <c r="A649" s="3" t="inlineStr">
        <is>
          <t>https://codesommet.com/web-development-company/zurich</t>
        </is>
      </c>
      <c r="B649" t="n">
        <v>14</v>
      </c>
      <c r="C649" t="inlineStr">
        <is>
          <t>Internal-link block</t>
        </is>
      </c>
      <c r="D649" s="5" t="inlineStr">
        <is>
          <t>Explorer davantage</t>
        </is>
      </c>
      <c r="E649" t="inlineStr">
        <is>
          <t>H2</t>
        </is>
      </c>
      <c r="F649" s="5" t="inlineStr">
        <is>
          <t>Navigation</t>
        </is>
      </c>
      <c r="G649" t="inlineStr">
        <is>
          <t>—</t>
        </is>
      </c>
      <c r="H649" t="inlineStr">
        <is>
          <t>NONE</t>
        </is>
      </c>
      <c r="I649" t="inlineStr">
        <is>
          <t>—</t>
        </is>
      </c>
      <c r="J649" t="inlineStr">
        <is>
          <t>—</t>
        </is>
      </c>
      <c r="K649" t="inlineStr">
        <is>
          <t>—</t>
        </is>
      </c>
      <c r="L649" t="inlineStr">
        <is>
          <t>—</t>
        </is>
      </c>
      <c r="M649" t="inlineStr">
        <is>
          <t>—</t>
        </is>
      </c>
      <c r="N649" t="inlineStr">
        <is>
          <t>n/a</t>
        </is>
      </c>
      <c r="O649" s="5" t="inlineStr">
        <is>
          <t>No keyword target - keep conversion/navigation focus; use descriptive, non-repeated anchor texts</t>
        </is>
      </c>
      <c r="P649" s="5" t="inlineStr"/>
      <c r="Q649" t="inlineStr">
        <is>
          <t>P4</t>
        </is>
      </c>
      <c r="R649" t="n">
        <v>83</v>
      </c>
      <c r="S649" s="5" t="inlineStr">
        <is>
          <t>Découvrez ce qui fait de CodeSommet votre partenaire idéal en développement web Audit Gratuit de Site Web Obtenez une analyse alimentée par l'IA avec plus de 40 vérifications En savoir plus Voir Nos Projets Découvrez les</t>
        </is>
      </c>
    </row>
    <row r="650">
      <c r="A650" s="3" t="inlineStr">
        <is>
          <t>https://codesommet.com/web-development-company/zurich</t>
        </is>
      </c>
      <c r="B650" t="n">
        <v>15</v>
      </c>
      <c r="C650" t="inlineStr">
        <is>
          <t>CTA / conversion</t>
        </is>
      </c>
      <c r="D650" s="5" t="inlineStr">
        <is>
          <t>Prêt à Créer Quelque Chose d'Extraordinaire ?</t>
        </is>
      </c>
      <c r="E650" t="inlineStr">
        <is>
          <t>H2</t>
        </is>
      </c>
      <c r="F650" s="5" t="inlineStr">
        <is>
          <t>Conversion</t>
        </is>
      </c>
      <c r="G650" t="inlineStr">
        <is>
          <t>—</t>
        </is>
      </c>
      <c r="H650" t="inlineStr">
        <is>
          <t>NONE</t>
        </is>
      </c>
      <c r="I650" t="inlineStr">
        <is>
          <t>—</t>
        </is>
      </c>
      <c r="J650" t="inlineStr">
        <is>
          <t>—</t>
        </is>
      </c>
      <c r="K650" t="inlineStr">
        <is>
          <t>—</t>
        </is>
      </c>
      <c r="L650" t="inlineStr">
        <is>
          <t>—</t>
        </is>
      </c>
      <c r="M650" t="inlineStr">
        <is>
          <t>—</t>
        </is>
      </c>
      <c r="N650" t="inlineStr">
        <is>
          <t>n/a</t>
        </is>
      </c>
      <c r="O650" s="5" t="inlineStr">
        <is>
          <t>No keyword target - keep conversion/navigation focus; use descriptive, non-repeated anchor texts</t>
        </is>
      </c>
      <c r="P650" s="5" t="inlineStr"/>
      <c r="Q650" t="inlineStr">
        <is>
          <t>P4</t>
        </is>
      </c>
      <c r="R650" t="n">
        <v>119</v>
      </c>
      <c r="S650" s="5" t="inlineStr">
        <is>
          <t>Rejoignez les entreprises visionnaires qui ont choisi l'excellence Réserver un Appel Découverte Analyser Mon Site Gratuitement Réserver un Appel Découverte Analyser Votre Site Web Discutons de la façon dont l'IA et le de</t>
        </is>
      </c>
    </row>
    <row r="651">
      <c r="A651" s="3" t="inlineStr">
        <is>
          <t>https://codesommet.com/web-development-company/stockholm</t>
        </is>
      </c>
      <c r="B651" t="n">
        <v>1</v>
      </c>
      <c r="C651" t="inlineStr">
        <is>
          <t>Hero / H1</t>
        </is>
      </c>
      <c r="D651" s="5" t="inlineStr">
        <is>
          <t>Développement Web à Stockholm, Suède : des sites web qui génèrent Tableaux de Bord SaaS</t>
        </is>
      </c>
      <c r="E651" t="inlineStr">
        <is>
          <t>H1</t>
        </is>
      </c>
      <c r="F651" s="5" t="inlineStr">
        <is>
          <t>Commercial (local)</t>
        </is>
      </c>
      <c r="G651" t="inlineStr">
        <is>
          <t>développement web stockholm</t>
        </is>
      </c>
      <c r="H651" t="inlineStr">
        <is>
          <t>PRIMARY</t>
        </is>
      </c>
      <c r="I651" t="inlineStr">
        <is>
          <t>se</t>
        </is>
      </c>
      <c r="J651" t="inlineStr">
        <is>
          <t>NOT AVAILABLE</t>
        </is>
      </c>
      <c r="K651" t="inlineStr">
        <is>
          <t>NOT AVAILABLE</t>
        </is>
      </c>
      <c r="L651" t="inlineStr">
        <is>
          <t>NOT AVAILABLE</t>
        </is>
      </c>
      <c r="M651" t="inlineStr">
        <is>
          <t>UNAVAILABLE</t>
        </is>
      </c>
      <c r="N651" t="inlineStr">
        <is>
          <t>Yes</t>
        </is>
      </c>
      <c r="O651" s="5" t="inlineStr">
        <is>
          <t>Covered - keep wording; no change</t>
        </is>
      </c>
      <c r="P651" s="5" t="inlineStr"/>
      <c r="Q651" t="inlineStr">
        <is>
          <t>P3</t>
        </is>
      </c>
      <c r="R651" t="n">
        <v>75</v>
      </c>
      <c r="S651" s="5" t="inlineStr">
        <is>
          <t xml:space="preserve">Depuis le Maroc, notre studio de développement web accompagne à distance les entreprises de Stockholm dans la création de sites web alimentés par l'IA et de tableaux de bord intelligents. Nous sommes spécialisés dans la </t>
        </is>
      </c>
    </row>
    <row r="652">
      <c r="A652" s="3" t="inlineStr">
        <is>
          <t>https://codesommet.com/web-development-company/stockholm</t>
        </is>
      </c>
      <c r="B652" t="n">
        <v>2</v>
      </c>
      <c r="C652" t="inlineStr">
        <is>
          <t>Why us / differentiation</t>
        </is>
      </c>
      <c r="D652" s="5" t="inlineStr">
        <is>
          <t>Pourquoi Choisir CodeSommet in Stockholm ?</t>
        </is>
      </c>
      <c r="E652" t="inlineStr">
        <is>
          <t>H2</t>
        </is>
      </c>
      <c r="F652" s="5" t="inlineStr">
        <is>
          <t>Commercial investigation</t>
        </is>
      </c>
      <c r="G652" t="inlineStr">
        <is>
          <t>développement web stockholm</t>
        </is>
      </c>
      <c r="H652" t="inlineStr">
        <is>
          <t>SUPPORTS PRIMARY</t>
        </is>
      </c>
      <c r="I652" t="inlineStr">
        <is>
          <t>se</t>
        </is>
      </c>
      <c r="J652" t="inlineStr">
        <is>
          <t>NOT AVAILABLE</t>
        </is>
      </c>
      <c r="K652" t="inlineStr">
        <is>
          <t>NOT AVAILABLE</t>
        </is>
      </c>
      <c r="L652" t="inlineStr">
        <is>
          <t>NOT AVAILABLE</t>
        </is>
      </c>
      <c r="M652" t="inlineStr">
        <is>
          <t>UNAVAILABLE</t>
        </is>
      </c>
      <c r="N652" t="inlineStr">
        <is>
          <t>Yes</t>
        </is>
      </c>
      <c r="O652" s="5" t="inlineStr">
        <is>
          <t>Covered - keep wording; no change</t>
        </is>
      </c>
      <c r="P652" s="5" t="inlineStr"/>
      <c r="Q652" t="inlineStr">
        <is>
          <t>P3</t>
        </is>
      </c>
      <c r="R652" t="n">
        <v>151</v>
      </c>
      <c r="S652" s="5" t="inlineStr">
        <is>
          <t>L'expertise locale rencontre les standards mondiaux. Voici ce qui fait de nous le partenaire idéal en développement web à Stockholm. Experts en IA Créez des chatbots intelligents, des workflows d'automatisation, une rech</t>
        </is>
      </c>
    </row>
    <row r="653">
      <c r="A653" s="3" t="inlineStr">
        <is>
          <t>https://codesommet.com/web-development-company/stockholm</t>
        </is>
      </c>
      <c r="B653" t="n">
        <v>3</v>
      </c>
      <c r="C653" t="inlineStr">
        <is>
          <t>Services / features</t>
        </is>
      </c>
      <c r="D653" s="5" t="inlineStr">
        <is>
          <t>Ce que nous apportons aux entreprises de Stockholm</t>
        </is>
      </c>
      <c r="E653" t="inlineStr">
        <is>
          <t>H2</t>
        </is>
      </c>
      <c r="F653" s="5" t="inlineStr">
        <is>
          <t>Commercial (local)</t>
        </is>
      </c>
      <c r="G653" t="inlineStr">
        <is>
          <t>développement web stockholm</t>
        </is>
      </c>
      <c r="H653" t="inlineStr">
        <is>
          <t>SUPPORTS PRIMARY</t>
        </is>
      </c>
      <c r="I653" t="inlineStr">
        <is>
          <t>se</t>
        </is>
      </c>
      <c r="J653" t="inlineStr">
        <is>
          <t>NOT AVAILABLE</t>
        </is>
      </c>
      <c r="K653" t="inlineStr">
        <is>
          <t>NOT AVAILABLE</t>
        </is>
      </c>
      <c r="L653" t="inlineStr">
        <is>
          <t>NOT AVAILABLE</t>
        </is>
      </c>
      <c r="M653" t="inlineStr">
        <is>
          <t>UNAVAILABLE</t>
        </is>
      </c>
      <c r="N653" t="inlineStr">
        <is>
          <t>Yes (supporting block)</t>
        </is>
      </c>
      <c r="O653" s="5" t="inlineStr">
        <is>
          <t>Supports the primary topic - add only if natural</t>
        </is>
      </c>
      <c r="P653" s="5" t="inlineStr"/>
      <c r="Q653" t="inlineStr">
        <is>
          <t>P3</t>
        </is>
      </c>
      <c r="R653" t="n">
        <v>6</v>
      </c>
      <c r="S653" s="5" t="inlineStr">
        <is>
          <t>Projets livrés à distance Expertise Sectorielle</t>
        </is>
      </c>
    </row>
    <row r="654">
      <c r="A654" s="3" t="inlineStr">
        <is>
          <t>https://codesommet.com/web-development-company/stockholm</t>
        </is>
      </c>
      <c r="B654" t="n">
        <v>4</v>
      </c>
      <c r="C654" t="inlineStr">
        <is>
          <t>Content block</t>
        </is>
      </c>
      <c r="D654" s="5" t="inlineStr">
        <is>
          <t>Stockholm Nos Secteurs de Spécialisation</t>
        </is>
      </c>
      <c r="E654" t="inlineStr">
        <is>
          <t>H2</t>
        </is>
      </c>
      <c r="F654" s="5" t="inlineStr">
        <is>
          <t>Commercial (local)</t>
        </is>
      </c>
      <c r="G654" t="inlineStr">
        <is>
          <t>développement web stockholm</t>
        </is>
      </c>
      <c r="H654" t="inlineStr">
        <is>
          <t>SUPPORTS PRIMARY</t>
        </is>
      </c>
      <c r="I654" t="inlineStr">
        <is>
          <t>se</t>
        </is>
      </c>
      <c r="J654" t="inlineStr">
        <is>
          <t>NOT AVAILABLE</t>
        </is>
      </c>
      <c r="K654" t="inlineStr">
        <is>
          <t>NOT AVAILABLE</t>
        </is>
      </c>
      <c r="L654" t="inlineStr">
        <is>
          <t>NOT AVAILABLE</t>
        </is>
      </c>
      <c r="M654" t="inlineStr">
        <is>
          <t>UNAVAILABLE</t>
        </is>
      </c>
      <c r="N654" t="inlineStr">
        <is>
          <t>Yes</t>
        </is>
      </c>
      <c r="O654" s="5" t="inlineStr">
        <is>
          <t>Covered - keep wording; no change</t>
        </is>
      </c>
      <c r="P654" s="5" t="inlineStr"/>
      <c r="Q654" t="inlineStr">
        <is>
          <t>P3</t>
        </is>
      </c>
      <c r="R654" t="n">
        <v>192</v>
      </c>
      <c r="S654" s="5" t="inlineStr">
        <is>
          <t xml:space="preserve">Une expertise approfondie dans les secteurs clés de Stockholm . Nous comprenons les défis propres à votre secteur et ses exigences de conformité. FinTech Plateformes financières sécurisées avec traitement des paiements, </t>
        </is>
      </c>
    </row>
    <row r="655">
      <c r="A655" s="3" t="inlineStr">
        <is>
          <t>https://codesommet.com/web-development-company/stockholm</t>
        </is>
      </c>
      <c r="B655" t="n">
        <v>5</v>
      </c>
      <c r="C655" t="inlineStr">
        <is>
          <t>Services / features</t>
        </is>
      </c>
      <c r="D655" s="5" t="inlineStr">
        <is>
          <t>Ce que nous construisons pour Stockholm</t>
        </is>
      </c>
      <c r="E655" t="inlineStr">
        <is>
          <t>H2</t>
        </is>
      </c>
      <c r="F655" s="5" t="inlineStr">
        <is>
          <t>Commercial (local)</t>
        </is>
      </c>
      <c r="G655" t="inlineStr">
        <is>
          <t>développement web stockholm</t>
        </is>
      </c>
      <c r="H655" t="inlineStr">
        <is>
          <t>SUPPORTS PRIMARY</t>
        </is>
      </c>
      <c r="I655" t="inlineStr">
        <is>
          <t>se</t>
        </is>
      </c>
      <c r="J655" t="inlineStr">
        <is>
          <t>NOT AVAILABLE</t>
        </is>
      </c>
      <c r="K655" t="inlineStr">
        <is>
          <t>NOT AVAILABLE</t>
        </is>
      </c>
      <c r="L655" t="inlineStr">
        <is>
          <t>NOT AVAILABLE</t>
        </is>
      </c>
      <c r="M655" t="inlineStr">
        <is>
          <t>UNAVAILABLE</t>
        </is>
      </c>
      <c r="N655" t="inlineStr">
        <is>
          <t>Yes (supporting block)</t>
        </is>
      </c>
      <c r="O655" s="5" t="inlineStr">
        <is>
          <t>Supports the primary topic - add only if natural</t>
        </is>
      </c>
      <c r="P655" s="5" t="inlineStr"/>
      <c r="Q655" t="inlineStr">
        <is>
          <t>P3</t>
        </is>
      </c>
      <c r="R655" t="n">
        <v>75</v>
      </c>
      <c r="S655" s="5" t="inlineStr">
        <is>
          <t>Des projets réels, livrés à distance. Découvrez ce que nous pouvons construire pour votre entreprise à Stockholm , en collaboration à distance. Éducation Plateforme d'inscription en ligne pour une école de langues GLS Sp</t>
        </is>
      </c>
    </row>
    <row r="656">
      <c r="A656" s="3" t="inlineStr">
        <is>
          <t>https://codesommet.com/web-development-company/stockholm</t>
        </is>
      </c>
      <c r="B656" t="n">
        <v>6</v>
      </c>
      <c r="C656" t="inlineStr">
        <is>
          <t>Process / how it works</t>
        </is>
      </c>
      <c r="D656" s="5" t="inlineStr">
        <is>
          <t>Comment Nous Avons Construit une Plateforme de Jeux Servant 10M de Joueurs dans 50 Pays</t>
        </is>
      </c>
      <c r="E656" t="inlineStr">
        <is>
          <t>H2</t>
        </is>
      </c>
      <c r="F656" s="5" t="inlineStr">
        <is>
          <t>Informational / commercial</t>
        </is>
      </c>
      <c r="G656" t="inlineStr">
        <is>
          <t>développement web stockholm</t>
        </is>
      </c>
      <c r="H656" t="inlineStr">
        <is>
          <t>SUPPORTS PRIMARY</t>
        </is>
      </c>
      <c r="I656" t="inlineStr">
        <is>
          <t>se</t>
        </is>
      </c>
      <c r="J656" t="inlineStr">
        <is>
          <t>NOT AVAILABLE</t>
        </is>
      </c>
      <c r="K656" t="inlineStr">
        <is>
          <t>NOT AVAILABLE</t>
        </is>
      </c>
      <c r="L656" t="inlineStr">
        <is>
          <t>NOT AVAILABLE</t>
        </is>
      </c>
      <c r="M656" t="inlineStr">
        <is>
          <t>UNAVAILABLE</t>
        </is>
      </c>
      <c r="N656" t="inlineStr">
        <is>
          <t>Yes (supporting block)</t>
        </is>
      </c>
      <c r="O656" s="5" t="inlineStr">
        <is>
          <t>Supports the primary topic - add only if natural</t>
        </is>
      </c>
      <c r="P656" s="5" t="inlineStr"/>
      <c r="Q656" t="inlineStr">
        <is>
          <t>P3</t>
        </is>
      </c>
      <c r="R656" t="n">
        <v>179</v>
      </c>
      <c r="S656" s="5" t="inlineStr">
        <is>
          <t>Plateforme de jeux mobiles casual avec fonctionnalités sociales • Jeux / Divertissement • 13 mois Le Défi Les studios de jeux et entreprises de divertissement de Stockholm recherchent une plateforme web capable de complé</t>
        </is>
      </c>
    </row>
    <row r="657">
      <c r="A657" s="3" t="inlineStr">
        <is>
          <t>https://codesommet.com/web-development-company/stockholm</t>
        </is>
      </c>
      <c r="B657" t="n">
        <v>7</v>
      </c>
      <c r="C657" t="inlineStr">
        <is>
          <t>Pricing / offers</t>
        </is>
      </c>
      <c r="D657" s="5" t="inlineStr">
        <is>
          <t>Solutions sur mesure, tarification transparente</t>
        </is>
      </c>
      <c r="E657" t="inlineStr">
        <is>
          <t>H2</t>
        </is>
      </c>
      <c r="F657" s="5" t="inlineStr">
        <is>
          <t>Commercial / transactional</t>
        </is>
      </c>
      <c r="G657" t="inlineStr">
        <is>
          <t>développement web stockholm</t>
        </is>
      </c>
      <c r="H657" t="inlineStr">
        <is>
          <t>SUPPORTS PRIMARY</t>
        </is>
      </c>
      <c r="I657" t="inlineStr">
        <is>
          <t>se</t>
        </is>
      </c>
      <c r="J657" t="inlineStr">
        <is>
          <t>NOT AVAILABLE</t>
        </is>
      </c>
      <c r="K657" t="inlineStr">
        <is>
          <t>NOT AVAILABLE</t>
        </is>
      </c>
      <c r="L657" t="inlineStr">
        <is>
          <t>NOT AVAILABLE</t>
        </is>
      </c>
      <c r="M657" t="inlineStr">
        <is>
          <t>UNAVAILABLE</t>
        </is>
      </c>
      <c r="N657" t="inlineStr">
        <is>
          <t>Yes (supporting block)</t>
        </is>
      </c>
      <c r="O657" s="5" t="inlineStr">
        <is>
          <t>Supports the primary topic - add only if natural</t>
        </is>
      </c>
      <c r="P657" s="5" t="inlineStr"/>
      <c r="Q657" t="inlineStr">
        <is>
          <t>P3</t>
        </is>
      </c>
      <c r="R657" t="n">
        <v>188</v>
      </c>
      <c r="S657" s="5" t="inlineStr">
        <is>
          <t>Réservez un appel découverte pour discuter de vos besoins spécifiques et obtenir un devis personnalisé Recommandé Développement Web Site web complet avec fonctionnalités IA, tableaux de bord et design premium livré en 2-</t>
        </is>
      </c>
    </row>
    <row r="658">
      <c r="A658" s="3" t="inlineStr">
        <is>
          <t>https://codesommet.com/web-development-company/stockholm</t>
        </is>
      </c>
      <c r="B658" t="n">
        <v>8</v>
      </c>
      <c r="C658" t="inlineStr">
        <is>
          <t>CTA / conversion</t>
        </is>
      </c>
      <c r="D658" s="5" t="inlineStr">
        <is>
          <t>Prêt à améliorer votre site web ? Stockholm ?</t>
        </is>
      </c>
      <c r="E658" t="inlineStr">
        <is>
          <t>H2</t>
        </is>
      </c>
      <c r="F658" s="5" t="inlineStr">
        <is>
          <t>Conversion</t>
        </is>
      </c>
      <c r="G658" t="inlineStr">
        <is>
          <t>—</t>
        </is>
      </c>
      <c r="H658" t="inlineStr">
        <is>
          <t>NONE</t>
        </is>
      </c>
      <c r="I658" t="inlineStr">
        <is>
          <t>—</t>
        </is>
      </c>
      <c r="J658" t="inlineStr">
        <is>
          <t>—</t>
        </is>
      </c>
      <c r="K658" t="inlineStr">
        <is>
          <t>—</t>
        </is>
      </c>
      <c r="L658" t="inlineStr">
        <is>
          <t>—</t>
        </is>
      </c>
      <c r="M658" t="inlineStr">
        <is>
          <t>—</t>
        </is>
      </c>
      <c r="N658" t="inlineStr">
        <is>
          <t>n/a</t>
        </is>
      </c>
      <c r="O658" s="5" t="inlineStr">
        <is>
          <t>No keyword target - keep conversion/navigation focus; use descriptive, non-repeated anchor texts</t>
        </is>
      </c>
      <c r="P658" s="5" t="inlineStr"/>
      <c r="Q658" t="inlineStr">
        <is>
          <t>P4</t>
        </is>
      </c>
      <c r="R658" t="n">
        <v>39</v>
      </c>
      <c r="S658" s="5" t="inlineStr">
        <is>
          <t xml:space="preserve">Obtenez d'abord une analyse complète gratuite : Audit SEO Vérification de performance Revue de design Recommandations propulsées par l'IA Analyser Votre Site Web - 100 % Gratuit Aucune carte bancaire requise • Résultats </t>
        </is>
      </c>
    </row>
    <row r="659">
      <c r="A659" s="3" t="inlineStr">
        <is>
          <t>https://codesommet.com/web-development-company/stockholm</t>
        </is>
      </c>
      <c r="B659" t="n">
        <v>9</v>
      </c>
      <c r="C659" t="inlineStr">
        <is>
          <t>Why us / differentiation</t>
        </is>
      </c>
      <c r="D659" s="5" t="inlineStr">
        <is>
          <t>CodeSommet Stockholm vs Others</t>
        </is>
      </c>
      <c r="E659" t="inlineStr">
        <is>
          <t>H2</t>
        </is>
      </c>
      <c r="F659" s="5" t="inlineStr">
        <is>
          <t>Commercial investigation</t>
        </is>
      </c>
      <c r="G659" t="inlineStr">
        <is>
          <t>développement web stockholm</t>
        </is>
      </c>
      <c r="H659" t="inlineStr">
        <is>
          <t>SUPPORTS PRIMARY</t>
        </is>
      </c>
      <c r="I659" t="inlineStr">
        <is>
          <t>se</t>
        </is>
      </c>
      <c r="J659" t="inlineStr">
        <is>
          <t>NOT AVAILABLE</t>
        </is>
      </c>
      <c r="K659" t="inlineStr">
        <is>
          <t>NOT AVAILABLE</t>
        </is>
      </c>
      <c r="L659" t="inlineStr">
        <is>
          <t>NOT AVAILABLE</t>
        </is>
      </c>
      <c r="M659" t="inlineStr">
        <is>
          <t>UNAVAILABLE</t>
        </is>
      </c>
      <c r="N659" t="inlineStr">
        <is>
          <t>Yes</t>
        </is>
      </c>
      <c r="O659" s="5" t="inlineStr">
        <is>
          <t>Covered - keep wording; no change</t>
        </is>
      </c>
      <c r="P659" s="5" t="inlineStr"/>
      <c r="Q659" t="inlineStr">
        <is>
          <t>P3</t>
        </is>
      </c>
      <c r="R659" t="n">
        <v>86</v>
      </c>
      <c r="S659" s="5" t="inlineStr">
        <is>
          <t>Découvrez pourquoi Stockholm les entreprises choisissent CodeSommet plutôt que d'autres agences locales et internationales. Fonctionnalité CodeSommet Stockholm Autres Stockholm Agences Agences Internationales Révisions i</t>
        </is>
      </c>
    </row>
    <row r="660">
      <c r="A660" s="3" t="inlineStr">
        <is>
          <t>https://codesommet.com/web-development-company/stockholm</t>
        </is>
      </c>
      <c r="B660" t="n">
        <v>10</v>
      </c>
      <c r="C660" t="inlineStr">
        <is>
          <t>Testimonials / social proof</t>
        </is>
      </c>
      <c r="D660" s="5" t="inlineStr">
        <is>
          <t>Ce que nos clients de Stockholm disent de nous</t>
        </is>
      </c>
      <c r="E660" t="inlineStr">
        <is>
          <t>H2</t>
        </is>
      </c>
      <c r="F660" s="5" t="inlineStr">
        <is>
          <t>Commercial investigation</t>
        </is>
      </c>
      <c r="G660" t="inlineStr">
        <is>
          <t>développement web stockholm</t>
        </is>
      </c>
      <c r="H660" t="inlineStr">
        <is>
          <t>SUPPORTS PRIMARY</t>
        </is>
      </c>
      <c r="I660" t="inlineStr">
        <is>
          <t>se</t>
        </is>
      </c>
      <c r="J660" t="inlineStr">
        <is>
          <t>NOT AVAILABLE</t>
        </is>
      </c>
      <c r="K660" t="inlineStr">
        <is>
          <t>NOT AVAILABLE</t>
        </is>
      </c>
      <c r="L660" t="inlineStr">
        <is>
          <t>NOT AVAILABLE</t>
        </is>
      </c>
      <c r="M660" t="inlineStr">
        <is>
          <t>UNAVAILABLE</t>
        </is>
      </c>
      <c r="N660" t="inlineStr">
        <is>
          <t>Yes (supporting block)</t>
        </is>
      </c>
      <c r="O660" s="5" t="inlineStr">
        <is>
          <t>Supports the primary topic - add only if natural</t>
        </is>
      </c>
      <c r="P660" s="5" t="inlineStr"/>
      <c r="Q660" t="inlineStr">
        <is>
          <t>P3</t>
        </is>
      </c>
      <c r="R660" t="n">
        <v>103</v>
      </c>
      <c r="S660" s="5" t="inlineStr">
        <is>
          <t>Ne nous croyez pas sur parole. Écoutez les entreprises de Stockholm qui ont obtenu des résultats remarquables avec CodeSommet. "Une collaboration professionnelle du début à la fin. Je recommande sans hésiter." Mohammed C</t>
        </is>
      </c>
    </row>
    <row r="661">
      <c r="A661" s="3" t="inlineStr">
        <is>
          <t>https://codesommet.com/web-development-company/stockholm</t>
        </is>
      </c>
      <c r="B661" t="n">
        <v>11</v>
      </c>
      <c r="C661" t="inlineStr">
        <is>
          <t>Process / how it works</t>
        </is>
      </c>
      <c r="D661" s="5" t="inlineStr">
        <is>
          <t>Comment démarrer en 3 étapes simples</t>
        </is>
      </c>
      <c r="E661" t="inlineStr">
        <is>
          <t>H2</t>
        </is>
      </c>
      <c r="F661" s="5" t="inlineStr">
        <is>
          <t>Informational / commercial</t>
        </is>
      </c>
      <c r="G661" t="inlineStr">
        <is>
          <t>développement web stockholm</t>
        </is>
      </c>
      <c r="H661" t="inlineStr">
        <is>
          <t>SUPPORTS PRIMARY</t>
        </is>
      </c>
      <c r="I661" t="inlineStr">
        <is>
          <t>se</t>
        </is>
      </c>
      <c r="J661" t="inlineStr">
        <is>
          <t>NOT AVAILABLE</t>
        </is>
      </c>
      <c r="K661" t="inlineStr">
        <is>
          <t>NOT AVAILABLE</t>
        </is>
      </c>
      <c r="L661" t="inlineStr">
        <is>
          <t>NOT AVAILABLE</t>
        </is>
      </c>
      <c r="M661" t="inlineStr">
        <is>
          <t>UNAVAILABLE</t>
        </is>
      </c>
      <c r="N661" t="inlineStr">
        <is>
          <t>Yes (supporting block)</t>
        </is>
      </c>
      <c r="O661" s="5" t="inlineStr">
        <is>
          <t>Supports the primary topic - add only if natural</t>
        </is>
      </c>
      <c r="P661" s="5" t="inlineStr"/>
      <c r="Q661" t="inlineStr">
        <is>
          <t>P3</t>
        </is>
      </c>
      <c r="R661" t="n">
        <v>286</v>
      </c>
      <c r="S661" s="5" t="inlineStr">
        <is>
          <t>Du premier appel à la livraison du projet, découvrez exactement comment nous travaillons ensemble Étape 1 Abonnement 1 projet actif Révisions illimitées Design &amp; développement SEO &amp; contenu Recommandé Développement de Si</t>
        </is>
      </c>
    </row>
    <row r="662">
      <c r="A662" s="3" t="inlineStr">
        <is>
          <t>https://codesommet.com/web-development-company/stockholm</t>
        </is>
      </c>
      <c r="B662" t="n">
        <v>12</v>
      </c>
      <c r="C662" t="inlineStr">
        <is>
          <t>FAQ</t>
        </is>
      </c>
      <c r="D662" s="5" t="inlineStr">
        <is>
          <t>Questions fréquemment posées sur le Développement Web à Stockholm</t>
        </is>
      </c>
      <c r="E662" t="inlineStr">
        <is>
          <t>H2</t>
        </is>
      </c>
      <c r="F662" s="5" t="inlineStr">
        <is>
          <t>Informational (pre-purchase questions)</t>
        </is>
      </c>
      <c r="G662" t="inlineStr">
        <is>
          <t>développement web stockholm</t>
        </is>
      </c>
      <c r="H662" t="inlineStr">
        <is>
          <t>SUPPORTS PRIMARY</t>
        </is>
      </c>
      <c r="I662" t="inlineStr">
        <is>
          <t>se</t>
        </is>
      </c>
      <c r="J662" t="inlineStr">
        <is>
          <t>NOT AVAILABLE</t>
        </is>
      </c>
      <c r="K662" t="inlineStr">
        <is>
          <t>NOT AVAILABLE</t>
        </is>
      </c>
      <c r="L662" t="inlineStr">
        <is>
          <t>NOT AVAILABLE</t>
        </is>
      </c>
      <c r="M662" t="inlineStr">
        <is>
          <t>UNAVAILABLE</t>
        </is>
      </c>
      <c r="N662" t="inlineStr">
        <is>
          <t>Yes</t>
        </is>
      </c>
      <c r="O662" s="5" t="inlineStr">
        <is>
          <t>Covered - keep wording; no change</t>
        </is>
      </c>
      <c r="P662" s="5" t="inlineStr"/>
      <c r="Q662" t="inlineStr">
        <is>
          <t>P3</t>
        </is>
      </c>
      <c r="R662" t="n">
        <v>374</v>
      </c>
      <c r="S662" s="5" t="inlineStr">
        <is>
          <t>Des questions ? Nous avons les réponses. Voici les questions les plus fréquentes des entreprises de Stockholm. 1 Pourquoi choisir CodeSommet parmi les nombreuses agences de développement web de Stockholm ? Parce que nous</t>
        </is>
      </c>
    </row>
    <row r="663">
      <c r="A663" s="3" t="inlineStr">
        <is>
          <t>https://codesommet.com/web-development-company/stockholm</t>
        </is>
      </c>
      <c r="B663" t="n">
        <v>13</v>
      </c>
      <c r="C663" t="inlineStr">
        <is>
          <t>Internal-link block</t>
        </is>
      </c>
      <c r="D663" s="5" t="inlineStr">
        <is>
          <t>Nous Desservons Également</t>
        </is>
      </c>
      <c r="E663" t="inlineStr">
        <is>
          <t>H2</t>
        </is>
      </c>
      <c r="F663" s="5" t="inlineStr">
        <is>
          <t>Navigation</t>
        </is>
      </c>
      <c r="G663" t="inlineStr">
        <is>
          <t>—</t>
        </is>
      </c>
      <c r="H663" t="inlineStr">
        <is>
          <t>NONE</t>
        </is>
      </c>
      <c r="I663" t="inlineStr">
        <is>
          <t>—</t>
        </is>
      </c>
      <c r="J663" t="inlineStr">
        <is>
          <t>—</t>
        </is>
      </c>
      <c r="K663" t="inlineStr">
        <is>
          <t>—</t>
        </is>
      </c>
      <c r="L663" t="inlineStr">
        <is>
          <t>—</t>
        </is>
      </c>
      <c r="M663" t="inlineStr">
        <is>
          <t>—</t>
        </is>
      </c>
      <c r="N663" t="inlineStr">
        <is>
          <t>n/a</t>
        </is>
      </c>
      <c r="O663" s="5" t="inlineStr">
        <is>
          <t>No keyword target - keep conversion/navigation focus; use descriptive, non-repeated anchor texts</t>
        </is>
      </c>
      <c r="P663" s="5" t="inlineStr"/>
      <c r="Q663" t="inlineStr">
        <is>
          <t>P4</t>
        </is>
      </c>
      <c r="R663" t="n">
        <v>28</v>
      </c>
      <c r="S663" s="5" t="inlineStr">
        <is>
          <t>Explorez nos services de développement web dans d'autres villes à travers le monde Zurich Suisse Copenhague Danemark Dublin Irlande Berlin Allemagne Londres Royaume-Uni Amsterdam Pays-Bas Voir Tout Locations</t>
        </is>
      </c>
    </row>
    <row r="664">
      <c r="A664" s="3" t="inlineStr">
        <is>
          <t>https://codesommet.com/web-development-company/stockholm</t>
        </is>
      </c>
      <c r="B664" t="n">
        <v>14</v>
      </c>
      <c r="C664" t="inlineStr">
        <is>
          <t>Internal-link block</t>
        </is>
      </c>
      <c r="D664" s="5" t="inlineStr">
        <is>
          <t>Explorer davantage</t>
        </is>
      </c>
      <c r="E664" t="inlineStr">
        <is>
          <t>H2</t>
        </is>
      </c>
      <c r="F664" s="5" t="inlineStr">
        <is>
          <t>Navigation</t>
        </is>
      </c>
      <c r="G664" t="inlineStr">
        <is>
          <t>—</t>
        </is>
      </c>
      <c r="H664" t="inlineStr">
        <is>
          <t>NONE</t>
        </is>
      </c>
      <c r="I664" t="inlineStr">
        <is>
          <t>—</t>
        </is>
      </c>
      <c r="J664" t="inlineStr">
        <is>
          <t>—</t>
        </is>
      </c>
      <c r="K664" t="inlineStr">
        <is>
          <t>—</t>
        </is>
      </c>
      <c r="L664" t="inlineStr">
        <is>
          <t>—</t>
        </is>
      </c>
      <c r="M664" t="inlineStr">
        <is>
          <t>—</t>
        </is>
      </c>
      <c r="N664" t="inlineStr">
        <is>
          <t>n/a</t>
        </is>
      </c>
      <c r="O664" s="5" t="inlineStr">
        <is>
          <t>No keyword target - keep conversion/navigation focus; use descriptive, non-repeated anchor texts</t>
        </is>
      </c>
      <c r="P664" s="5" t="inlineStr"/>
      <c r="Q664" t="inlineStr">
        <is>
          <t>P4</t>
        </is>
      </c>
      <c r="R664" t="n">
        <v>83</v>
      </c>
      <c r="S664" s="5" t="inlineStr">
        <is>
          <t>Découvrez ce qui fait de CodeSommet votre partenaire idéal en développement web Audit Gratuit de Site Web Obtenez une analyse alimentée par l'IA avec plus de 40 vérifications En savoir plus Voir Nos Projets Découvrez les</t>
        </is>
      </c>
    </row>
    <row r="665">
      <c r="A665" s="3" t="inlineStr">
        <is>
          <t>https://codesommet.com/web-development-company/stockholm</t>
        </is>
      </c>
      <c r="B665" t="n">
        <v>15</v>
      </c>
      <c r="C665" t="inlineStr">
        <is>
          <t>CTA / conversion</t>
        </is>
      </c>
      <c r="D665" s="5" t="inlineStr">
        <is>
          <t>Prêt à Créer Quelque Chose d'Extraordinaire ?</t>
        </is>
      </c>
      <c r="E665" t="inlineStr">
        <is>
          <t>H2</t>
        </is>
      </c>
      <c r="F665" s="5" t="inlineStr">
        <is>
          <t>Conversion</t>
        </is>
      </c>
      <c r="G665" t="inlineStr">
        <is>
          <t>—</t>
        </is>
      </c>
      <c r="H665" t="inlineStr">
        <is>
          <t>NONE</t>
        </is>
      </c>
      <c r="I665" t="inlineStr">
        <is>
          <t>—</t>
        </is>
      </c>
      <c r="J665" t="inlineStr">
        <is>
          <t>—</t>
        </is>
      </c>
      <c r="K665" t="inlineStr">
        <is>
          <t>—</t>
        </is>
      </c>
      <c r="L665" t="inlineStr">
        <is>
          <t>—</t>
        </is>
      </c>
      <c r="M665" t="inlineStr">
        <is>
          <t>—</t>
        </is>
      </c>
      <c r="N665" t="inlineStr">
        <is>
          <t>n/a</t>
        </is>
      </c>
      <c r="O665" s="5" t="inlineStr">
        <is>
          <t>No keyword target - keep conversion/navigation focus; use descriptive, non-repeated anchor texts</t>
        </is>
      </c>
      <c r="P665" s="5" t="inlineStr"/>
      <c r="Q665" t="inlineStr">
        <is>
          <t>P4</t>
        </is>
      </c>
      <c r="R665" t="n">
        <v>119</v>
      </c>
      <c r="S665" s="5" t="inlineStr">
        <is>
          <t>Rejoignez les entreprises visionnaires qui ont choisi l'excellence Réserver un Appel Découverte Analyser Mon Site Gratuitement Réserver un Appel Découverte Analyser Votre Site Web Discutons de la façon dont l'IA et le de</t>
        </is>
      </c>
    </row>
    <row r="666">
      <c r="A666" s="3" t="inlineStr">
        <is>
          <t>https://codesommet.com/web-development-company/madrid</t>
        </is>
      </c>
      <c r="B666" t="n">
        <v>1</v>
      </c>
      <c r="C666" t="inlineStr">
        <is>
          <t>Hero / H1</t>
        </is>
      </c>
      <c r="D666" s="5" t="inlineStr">
        <is>
          <t>Développement Web à Madrid, Espagne : des sites web qui génèrent CROISSANCE COMMERCIALE À MADRID</t>
        </is>
      </c>
      <c r="E666" t="inlineStr">
        <is>
          <t>H1</t>
        </is>
      </c>
      <c r="F666" s="5" t="inlineStr">
        <is>
          <t>Commercial (local)</t>
        </is>
      </c>
      <c r="G666" t="inlineStr">
        <is>
          <t>développement web madrid</t>
        </is>
      </c>
      <c r="H666" t="inlineStr">
        <is>
          <t>PRIMARY</t>
        </is>
      </c>
      <c r="I666" t="inlineStr">
        <is>
          <t>es</t>
        </is>
      </c>
      <c r="J666" t="inlineStr">
        <is>
          <t>NOT AVAILABLE</t>
        </is>
      </c>
      <c r="K666" t="inlineStr">
        <is>
          <t>NOT AVAILABLE</t>
        </is>
      </c>
      <c r="L666" t="inlineStr">
        <is>
          <t>NOT AVAILABLE</t>
        </is>
      </c>
      <c r="M666" t="inlineStr">
        <is>
          <t>UNAVAILABLE</t>
        </is>
      </c>
      <c r="N666" t="inlineStr">
        <is>
          <t>Yes</t>
        </is>
      </c>
      <c r="O666" s="5" t="inlineStr">
        <is>
          <t>Covered - keep wording; no change</t>
        </is>
      </c>
      <c r="P666" s="5" t="inlineStr"/>
      <c r="Q666" t="inlineStr">
        <is>
          <t>P3</t>
        </is>
      </c>
      <c r="R666" t="n">
        <v>65</v>
      </c>
      <c r="S666" s="5" t="inlineStr">
        <is>
          <t>Studio de développement web basé au Maroc au service des entreprises du monde entier. Nous créons des sites web alimentés par l'IA et des tableaux de bord intelligents à distance. Sites web de qualité premium livrés en 7</t>
        </is>
      </c>
    </row>
    <row r="667">
      <c r="A667" s="3" t="inlineStr">
        <is>
          <t>https://codesommet.com/web-development-company/madrid</t>
        </is>
      </c>
      <c r="B667" t="n">
        <v>2</v>
      </c>
      <c r="C667" t="inlineStr">
        <is>
          <t>Why us / differentiation</t>
        </is>
      </c>
      <c r="D667" s="5" t="inlineStr">
        <is>
          <t>Pourquoi Choisir CodeSommet à Madrid ?</t>
        </is>
      </c>
      <c r="E667" t="inlineStr">
        <is>
          <t>H2</t>
        </is>
      </c>
      <c r="F667" s="5" t="inlineStr">
        <is>
          <t>Commercial investigation</t>
        </is>
      </c>
      <c r="G667" t="inlineStr">
        <is>
          <t>développement web madrid</t>
        </is>
      </c>
      <c r="H667" t="inlineStr">
        <is>
          <t>SUPPORTS PRIMARY</t>
        </is>
      </c>
      <c r="I667" t="inlineStr">
        <is>
          <t>es</t>
        </is>
      </c>
      <c r="J667" t="inlineStr">
        <is>
          <t>NOT AVAILABLE</t>
        </is>
      </c>
      <c r="K667" t="inlineStr">
        <is>
          <t>NOT AVAILABLE</t>
        </is>
      </c>
      <c r="L667" t="inlineStr">
        <is>
          <t>NOT AVAILABLE</t>
        </is>
      </c>
      <c r="M667" t="inlineStr">
        <is>
          <t>UNAVAILABLE</t>
        </is>
      </c>
      <c r="N667" t="inlineStr">
        <is>
          <t>Yes</t>
        </is>
      </c>
      <c r="O667" s="5" t="inlineStr">
        <is>
          <t>Covered - keep wording; no change</t>
        </is>
      </c>
      <c r="P667" s="5" t="inlineStr"/>
      <c r="Q667" t="inlineStr">
        <is>
          <t>P3</t>
        </is>
      </c>
      <c r="R667" t="n">
        <v>165</v>
      </c>
      <c r="S667" s="5" t="inlineStr">
        <is>
          <t>L'expertise locale rencontre les standards internationaux. Voici ce qui fait de nous le partenaire idéal en développement web à Madrid. Experts en IA Créez des chatbots intelligents, des workflows d'automatisation, une r</t>
        </is>
      </c>
    </row>
    <row r="668">
      <c r="A668" s="3" t="inlineStr">
        <is>
          <t>https://codesommet.com/web-development-company/madrid</t>
        </is>
      </c>
      <c r="B668" t="n">
        <v>3</v>
      </c>
      <c r="C668" t="inlineStr">
        <is>
          <t>Services / features</t>
        </is>
      </c>
      <c r="D668" s="5" t="inlineStr">
        <is>
          <t>Ce que nous apportons aux entreprises de Madrid</t>
        </is>
      </c>
      <c r="E668" t="inlineStr">
        <is>
          <t>H2</t>
        </is>
      </c>
      <c r="F668" s="5" t="inlineStr">
        <is>
          <t>Commercial (local)</t>
        </is>
      </c>
      <c r="G668" t="inlineStr">
        <is>
          <t>développement web madrid</t>
        </is>
      </c>
      <c r="H668" t="inlineStr">
        <is>
          <t>SUPPORTS PRIMARY</t>
        </is>
      </c>
      <c r="I668" t="inlineStr">
        <is>
          <t>es</t>
        </is>
      </c>
      <c r="J668" t="inlineStr">
        <is>
          <t>NOT AVAILABLE</t>
        </is>
      </c>
      <c r="K668" t="inlineStr">
        <is>
          <t>NOT AVAILABLE</t>
        </is>
      </c>
      <c r="L668" t="inlineStr">
        <is>
          <t>NOT AVAILABLE</t>
        </is>
      </c>
      <c r="M668" t="inlineStr">
        <is>
          <t>UNAVAILABLE</t>
        </is>
      </c>
      <c r="N668" t="inlineStr">
        <is>
          <t>Yes (supporting block)</t>
        </is>
      </c>
      <c r="O668" s="5" t="inlineStr">
        <is>
          <t>Supports the primary topic - add only if natural</t>
        </is>
      </c>
      <c r="P668" s="5" t="inlineStr"/>
      <c r="Q668" t="inlineStr">
        <is>
          <t>P3</t>
        </is>
      </c>
      <c r="R668" t="n">
        <v>25</v>
      </c>
      <c r="S668" s="5" t="inlineStr">
        <is>
          <t>Projets livrés à distance Sites orientés conversion Accompagnement continu Une approche pensée pour les entreprises de Madrid - collaboration à distance, sans intermédiaire Expertise Sectorielle</t>
        </is>
      </c>
    </row>
    <row r="669">
      <c r="A669" s="3" t="inlineStr">
        <is>
          <t>https://codesommet.com/web-development-company/madrid</t>
        </is>
      </c>
      <c r="B669" t="n">
        <v>4</v>
      </c>
      <c r="C669" t="inlineStr">
        <is>
          <t>Content block</t>
        </is>
      </c>
      <c r="D669" s="5" t="inlineStr">
        <is>
          <t>Madrid Nos Secteurs de Spécialisation</t>
        </is>
      </c>
      <c r="E669" t="inlineStr">
        <is>
          <t>H2</t>
        </is>
      </c>
      <c r="F669" s="5" t="inlineStr">
        <is>
          <t>Commercial (local)</t>
        </is>
      </c>
      <c r="G669" t="inlineStr">
        <is>
          <t>développement web madrid</t>
        </is>
      </c>
      <c r="H669" t="inlineStr">
        <is>
          <t>SUPPORTS PRIMARY</t>
        </is>
      </c>
      <c r="I669" t="inlineStr">
        <is>
          <t>es</t>
        </is>
      </c>
      <c r="J669" t="inlineStr">
        <is>
          <t>NOT AVAILABLE</t>
        </is>
      </c>
      <c r="K669" t="inlineStr">
        <is>
          <t>NOT AVAILABLE</t>
        </is>
      </c>
      <c r="L669" t="inlineStr">
        <is>
          <t>NOT AVAILABLE</t>
        </is>
      </c>
      <c r="M669" t="inlineStr">
        <is>
          <t>UNAVAILABLE</t>
        </is>
      </c>
      <c r="N669" t="inlineStr">
        <is>
          <t>Yes</t>
        </is>
      </c>
      <c r="O669" s="5" t="inlineStr">
        <is>
          <t>Covered - keep wording; no change</t>
        </is>
      </c>
      <c r="P669" s="5" t="inlineStr"/>
      <c r="Q669" t="inlineStr">
        <is>
          <t>P3</t>
        </is>
      </c>
      <c r="R669" t="n">
        <v>191</v>
      </c>
      <c r="S669" s="5" t="inlineStr">
        <is>
          <t>Expertise approfondie dans les secteurs clés de Madrid . Nous comprenons les défis uniques de votre secteur et les exigences de conformité. FinTech Plateformes financières sécurisées avec traitement des paiements, confor</t>
        </is>
      </c>
    </row>
    <row r="670">
      <c r="A670" s="3" t="inlineStr">
        <is>
          <t>https://codesommet.com/web-development-company/madrid</t>
        </is>
      </c>
      <c r="B670" t="n">
        <v>5</v>
      </c>
      <c r="C670" t="inlineStr">
        <is>
          <t>Services / features</t>
        </is>
      </c>
      <c r="D670" s="5" t="inlineStr">
        <is>
          <t>Ce que nous construisons pour Madrid</t>
        </is>
      </c>
      <c r="E670" t="inlineStr">
        <is>
          <t>H2</t>
        </is>
      </c>
      <c r="F670" s="5" t="inlineStr">
        <is>
          <t>Commercial (local)</t>
        </is>
      </c>
      <c r="G670" t="inlineStr">
        <is>
          <t>développement web madrid</t>
        </is>
      </c>
      <c r="H670" t="inlineStr">
        <is>
          <t>SUPPORTS PRIMARY</t>
        </is>
      </c>
      <c r="I670" t="inlineStr">
        <is>
          <t>es</t>
        </is>
      </c>
      <c r="J670" t="inlineStr">
        <is>
          <t>NOT AVAILABLE</t>
        </is>
      </c>
      <c r="K670" t="inlineStr">
        <is>
          <t>NOT AVAILABLE</t>
        </is>
      </c>
      <c r="L670" t="inlineStr">
        <is>
          <t>NOT AVAILABLE</t>
        </is>
      </c>
      <c r="M670" t="inlineStr">
        <is>
          <t>UNAVAILABLE</t>
        </is>
      </c>
      <c r="N670" t="inlineStr">
        <is>
          <t>Yes (supporting block)</t>
        </is>
      </c>
      <c r="O670" s="5" t="inlineStr">
        <is>
          <t>Supports the primary topic - add only if natural</t>
        </is>
      </c>
      <c r="P670" s="5" t="inlineStr"/>
      <c r="Q670" t="inlineStr">
        <is>
          <t>P3</t>
        </is>
      </c>
      <c r="R670" t="n">
        <v>74</v>
      </c>
      <c r="S670" s="5" t="inlineStr">
        <is>
          <t>Des projets réels, livrés à distance. Découvrez ce que nous pouvons construire pour votre entreprise à Madrid , en collaboration à distance. Beauté Boutique en ligne avec catalogue, paiement et suivi des commandes GlamWo</t>
        </is>
      </c>
    </row>
    <row r="671">
      <c r="A671" s="3" t="inlineStr">
        <is>
          <t>https://codesommet.com/web-development-company/madrid</t>
        </is>
      </c>
      <c r="B671" t="n">
        <v>6</v>
      </c>
      <c r="C671" t="inlineStr">
        <is>
          <t>Content block</t>
        </is>
      </c>
      <c r="D671" s="5" t="inlineStr">
        <is>
          <t>Des Plateformes Immobilières Pensées pour le Marché de Madrid</t>
        </is>
      </c>
      <c r="E671" t="inlineStr">
        <is>
          <t>H2</t>
        </is>
      </c>
      <c r="F671" s="5" t="inlineStr">
        <is>
          <t>Commercial (local)</t>
        </is>
      </c>
      <c r="G671" t="inlineStr">
        <is>
          <t>développement web madrid</t>
        </is>
      </c>
      <c r="H671" t="inlineStr">
        <is>
          <t>SUPPORTS PRIMARY</t>
        </is>
      </c>
      <c r="I671" t="inlineStr">
        <is>
          <t>es</t>
        </is>
      </c>
      <c r="J671" t="inlineStr">
        <is>
          <t>NOT AVAILABLE</t>
        </is>
      </c>
      <c r="K671" t="inlineStr">
        <is>
          <t>NOT AVAILABLE</t>
        </is>
      </c>
      <c r="L671" t="inlineStr">
        <is>
          <t>NOT AVAILABLE</t>
        </is>
      </c>
      <c r="M671" t="inlineStr">
        <is>
          <t>UNAVAILABLE</t>
        </is>
      </c>
      <c r="N671" t="inlineStr">
        <is>
          <t>Yes (supporting block)</t>
        </is>
      </c>
      <c r="O671" s="5" t="inlineStr">
        <is>
          <t>Supports the primary topic - add only if natural</t>
        </is>
      </c>
      <c r="P671" s="5" t="inlineStr"/>
      <c r="Q671" t="inlineStr">
        <is>
          <t>P3</t>
        </is>
      </c>
      <c r="R671" t="n">
        <v>186</v>
      </c>
      <c r="S671" s="5" t="inlineStr">
        <is>
          <t>Entreprises de gestion et de promotion immobilière • Immobilier &amp; PropTech • 4 mois Le Constat De nombreuses entreprises de gestion immobilière à Madrid s'appuient encore sur un suivi manuel des prospects et des sites vi</t>
        </is>
      </c>
    </row>
    <row r="672">
      <c r="A672" s="3" t="inlineStr">
        <is>
          <t>https://codesommet.com/web-development-company/madrid</t>
        </is>
      </c>
      <c r="B672" t="n">
        <v>7</v>
      </c>
      <c r="C672" t="inlineStr">
        <is>
          <t>Pricing / offers</t>
        </is>
      </c>
      <c r="D672" s="5" t="inlineStr">
        <is>
          <t>Solutions Sur Mesure, Tarification Transparente</t>
        </is>
      </c>
      <c r="E672" t="inlineStr">
        <is>
          <t>H2</t>
        </is>
      </c>
      <c r="F672" s="5" t="inlineStr">
        <is>
          <t>Commercial / transactional</t>
        </is>
      </c>
      <c r="G672" t="inlineStr">
        <is>
          <t>développement web madrid</t>
        </is>
      </c>
      <c r="H672" t="inlineStr">
        <is>
          <t>SUPPORTS PRIMARY</t>
        </is>
      </c>
      <c r="I672" t="inlineStr">
        <is>
          <t>es</t>
        </is>
      </c>
      <c r="J672" t="inlineStr">
        <is>
          <t>NOT AVAILABLE</t>
        </is>
      </c>
      <c r="K672" t="inlineStr">
        <is>
          <t>NOT AVAILABLE</t>
        </is>
      </c>
      <c r="L672" t="inlineStr">
        <is>
          <t>NOT AVAILABLE</t>
        </is>
      </c>
      <c r="M672" t="inlineStr">
        <is>
          <t>UNAVAILABLE</t>
        </is>
      </c>
      <c r="N672" t="inlineStr">
        <is>
          <t>Yes (supporting block)</t>
        </is>
      </c>
      <c r="O672" s="5" t="inlineStr">
        <is>
          <t>Supports the primary topic - add only if natural</t>
        </is>
      </c>
      <c r="P672" s="5" t="inlineStr"/>
      <c r="Q672" t="inlineStr">
        <is>
          <t>P3</t>
        </is>
      </c>
      <c r="R672" t="n">
        <v>193</v>
      </c>
      <c r="S672" s="5" t="inlineStr">
        <is>
          <t>Réservez un appel découverte pour discuter de vos besoins spécifiques et obtenir un devis sur mesure Recommandé Développement de Sites Web Site web complet avec fonctionnalités IA, tableaux de bord et design premium livr</t>
        </is>
      </c>
    </row>
    <row r="673">
      <c r="A673" s="3" t="inlineStr">
        <is>
          <t>https://codesommet.com/web-development-company/madrid</t>
        </is>
      </c>
      <c r="B673" t="n">
        <v>8</v>
      </c>
      <c r="C673" t="inlineStr">
        <is>
          <t>CTA / conversion</t>
        </is>
      </c>
      <c r="D673" s="5" t="inlineStr">
        <is>
          <t>Prêt à Améliorer Votre Site Web à Madrid ?</t>
        </is>
      </c>
      <c r="E673" t="inlineStr">
        <is>
          <t>H2</t>
        </is>
      </c>
      <c r="F673" s="5" t="inlineStr">
        <is>
          <t>Conversion</t>
        </is>
      </c>
      <c r="G673" t="inlineStr">
        <is>
          <t>—</t>
        </is>
      </c>
      <c r="H673" t="inlineStr">
        <is>
          <t>NONE</t>
        </is>
      </c>
      <c r="I673" t="inlineStr">
        <is>
          <t>—</t>
        </is>
      </c>
      <c r="J673" t="inlineStr">
        <is>
          <t>—</t>
        </is>
      </c>
      <c r="K673" t="inlineStr">
        <is>
          <t>—</t>
        </is>
      </c>
      <c r="L673" t="inlineStr">
        <is>
          <t>—</t>
        </is>
      </c>
      <c r="M673" t="inlineStr">
        <is>
          <t>—</t>
        </is>
      </c>
      <c r="N673" t="inlineStr">
        <is>
          <t>n/a</t>
        </is>
      </c>
      <c r="O673" s="5" t="inlineStr">
        <is>
          <t>No keyword target - keep conversion/navigation focus; use descriptive, non-repeated anchor texts</t>
        </is>
      </c>
      <c r="P673" s="5" t="inlineStr"/>
      <c r="Q673" t="inlineStr">
        <is>
          <t>P4</t>
        </is>
      </c>
      <c r="R673" t="n">
        <v>40</v>
      </c>
      <c r="S673" s="5" t="inlineStr">
        <is>
          <t>Obtenez d'abord une analyse gratuite complète : Audit SEO Vérification des performances Revue du design Recommandations alimentées par l'IA Analyser Votre Site Web - 100% Gratuit Aucune carte de crédit requise • Résultat</t>
        </is>
      </c>
    </row>
    <row r="674">
      <c r="A674" s="3" t="inlineStr">
        <is>
          <t>https://codesommet.com/web-development-company/madrid</t>
        </is>
      </c>
      <c r="B674" t="n">
        <v>9</v>
      </c>
      <c r="C674" t="inlineStr">
        <is>
          <t>Why us / differentiation</t>
        </is>
      </c>
      <c r="D674" s="5" t="inlineStr">
        <is>
          <t>CodeSommet Madrid vs Autres</t>
        </is>
      </c>
      <c r="E674" t="inlineStr">
        <is>
          <t>H2</t>
        </is>
      </c>
      <c r="F674" s="5" t="inlineStr">
        <is>
          <t>Commercial investigation</t>
        </is>
      </c>
      <c r="G674" t="inlineStr">
        <is>
          <t>développement web madrid</t>
        </is>
      </c>
      <c r="H674" t="inlineStr">
        <is>
          <t>SUPPORTS PRIMARY</t>
        </is>
      </c>
      <c r="I674" t="inlineStr">
        <is>
          <t>es</t>
        </is>
      </c>
      <c r="J674" t="inlineStr">
        <is>
          <t>NOT AVAILABLE</t>
        </is>
      </c>
      <c r="K674" t="inlineStr">
        <is>
          <t>NOT AVAILABLE</t>
        </is>
      </c>
      <c r="L674" t="inlineStr">
        <is>
          <t>NOT AVAILABLE</t>
        </is>
      </c>
      <c r="M674" t="inlineStr">
        <is>
          <t>UNAVAILABLE</t>
        </is>
      </c>
      <c r="N674" t="inlineStr">
        <is>
          <t>Yes</t>
        </is>
      </c>
      <c r="O674" s="5" t="inlineStr">
        <is>
          <t>Covered - keep wording; no change</t>
        </is>
      </c>
      <c r="P674" s="5" t="inlineStr"/>
      <c r="Q674" t="inlineStr">
        <is>
          <t>P3</t>
        </is>
      </c>
      <c r="R674" t="n">
        <v>99</v>
      </c>
      <c r="S674" s="5" t="inlineStr">
        <is>
          <t>Découvrez pourquoi Madrid les entreprises choisissent CodeSommet plutôt que d'autres agences locales et internationales. Fonctionnalité CodeSommet Madrid Autres Agences de Madrid Agences Internationales Révisions Illimit</t>
        </is>
      </c>
    </row>
    <row r="675">
      <c r="A675" s="3" t="inlineStr">
        <is>
          <t>https://codesommet.com/web-development-company/madrid</t>
        </is>
      </c>
      <c r="B675" t="n">
        <v>10</v>
      </c>
      <c r="C675" t="inlineStr">
        <is>
          <t>Testimonials / social proof</t>
        </is>
      </c>
      <c r="D675" s="5" t="inlineStr">
        <is>
          <t>Ce Que les Clients de Madrid Disent de Nous</t>
        </is>
      </c>
      <c r="E675" t="inlineStr">
        <is>
          <t>H2</t>
        </is>
      </c>
      <c r="F675" s="5" t="inlineStr">
        <is>
          <t>Commercial investigation</t>
        </is>
      </c>
      <c r="G675" t="inlineStr">
        <is>
          <t>développement web madrid</t>
        </is>
      </c>
      <c r="H675" t="inlineStr">
        <is>
          <t>SUPPORTS PRIMARY</t>
        </is>
      </c>
      <c r="I675" t="inlineStr">
        <is>
          <t>es</t>
        </is>
      </c>
      <c r="J675" t="inlineStr">
        <is>
          <t>NOT AVAILABLE</t>
        </is>
      </c>
      <c r="K675" t="inlineStr">
        <is>
          <t>NOT AVAILABLE</t>
        </is>
      </c>
      <c r="L675" t="inlineStr">
        <is>
          <t>NOT AVAILABLE</t>
        </is>
      </c>
      <c r="M675" t="inlineStr">
        <is>
          <t>UNAVAILABLE</t>
        </is>
      </c>
      <c r="N675" t="inlineStr">
        <is>
          <t>Yes (supporting block)</t>
        </is>
      </c>
      <c r="O675" s="5" t="inlineStr">
        <is>
          <t>Supports the primary topic - add only if natural</t>
        </is>
      </c>
      <c r="P675" s="5" t="inlineStr"/>
      <c r="Q675" t="inlineStr">
        <is>
          <t>P3</t>
        </is>
      </c>
      <c r="R675" t="n">
        <v>103</v>
      </c>
      <c r="S675" s="5" t="inlineStr">
        <is>
          <t>Ne nous croyez pas sur parole. Écoutez les entreprises de Madrid qui ont obtenu des résultats remarquables avec CodeSommet. "Une collaboration professionnelle du début à la fin. Je recommande sans hésiter." Mohammed Chaj</t>
        </is>
      </c>
    </row>
    <row r="676">
      <c r="A676" s="3" t="inlineStr">
        <is>
          <t>https://codesommet.com/web-development-company/madrid</t>
        </is>
      </c>
      <c r="B676" t="n">
        <v>11</v>
      </c>
      <c r="C676" t="inlineStr">
        <is>
          <t>Process / how it works</t>
        </is>
      </c>
      <c r="D676" s="5" t="inlineStr">
        <is>
          <t>Comment démarrer en 3 étapes simples</t>
        </is>
      </c>
      <c r="E676" t="inlineStr">
        <is>
          <t>H2</t>
        </is>
      </c>
      <c r="F676" s="5" t="inlineStr">
        <is>
          <t>Informational / commercial</t>
        </is>
      </c>
      <c r="G676" t="inlineStr">
        <is>
          <t>développement web madrid</t>
        </is>
      </c>
      <c r="H676" t="inlineStr">
        <is>
          <t>SUPPORTS PRIMARY</t>
        </is>
      </c>
      <c r="I676" t="inlineStr">
        <is>
          <t>es</t>
        </is>
      </c>
      <c r="J676" t="inlineStr">
        <is>
          <t>NOT AVAILABLE</t>
        </is>
      </c>
      <c r="K676" t="inlineStr">
        <is>
          <t>NOT AVAILABLE</t>
        </is>
      </c>
      <c r="L676" t="inlineStr">
        <is>
          <t>NOT AVAILABLE</t>
        </is>
      </c>
      <c r="M676" t="inlineStr">
        <is>
          <t>UNAVAILABLE</t>
        </is>
      </c>
      <c r="N676" t="inlineStr">
        <is>
          <t>Yes (supporting block)</t>
        </is>
      </c>
      <c r="O676" s="5" t="inlineStr">
        <is>
          <t>Supports the primary topic - add only if natural</t>
        </is>
      </c>
      <c r="P676" s="5" t="inlineStr"/>
      <c r="Q676" t="inlineStr">
        <is>
          <t>P3</t>
        </is>
      </c>
      <c r="R676" t="n">
        <v>286</v>
      </c>
      <c r="S676" s="5" t="inlineStr">
        <is>
          <t>Du premier appel à la livraison du projet, découvrez exactement comment nous travaillons ensemble Étape 1 Abonnement 1 projet actif Révisions illimitées Design &amp; développement SEO &amp; contenu Recommandé Développement de Si</t>
        </is>
      </c>
    </row>
    <row r="677">
      <c r="A677" s="3" t="inlineStr">
        <is>
          <t>https://codesommet.com/web-development-company/madrid</t>
        </is>
      </c>
      <c r="B677" t="n">
        <v>12</v>
      </c>
      <c r="C677" t="inlineStr">
        <is>
          <t>FAQ</t>
        </is>
      </c>
      <c r="D677" s="5" t="inlineStr">
        <is>
          <t>Questions Fréquemment Posées sur le Développement Web à Madrid</t>
        </is>
      </c>
      <c r="E677" t="inlineStr">
        <is>
          <t>H2</t>
        </is>
      </c>
      <c r="F677" s="5" t="inlineStr">
        <is>
          <t>Informational (pre-purchase questions)</t>
        </is>
      </c>
      <c r="G677" t="inlineStr">
        <is>
          <t>développement web madrid</t>
        </is>
      </c>
      <c r="H677" t="inlineStr">
        <is>
          <t>SUPPORTS PRIMARY</t>
        </is>
      </c>
      <c r="I677" t="inlineStr">
        <is>
          <t>es</t>
        </is>
      </c>
      <c r="J677" t="inlineStr">
        <is>
          <t>NOT AVAILABLE</t>
        </is>
      </c>
      <c r="K677" t="inlineStr">
        <is>
          <t>NOT AVAILABLE</t>
        </is>
      </c>
      <c r="L677" t="inlineStr">
        <is>
          <t>NOT AVAILABLE</t>
        </is>
      </c>
      <c r="M677" t="inlineStr">
        <is>
          <t>UNAVAILABLE</t>
        </is>
      </c>
      <c r="N677" t="inlineStr">
        <is>
          <t>Yes</t>
        </is>
      </c>
      <c r="O677" s="5" t="inlineStr">
        <is>
          <t>Covered - keep wording; no change</t>
        </is>
      </c>
      <c r="P677" s="5" t="inlineStr"/>
      <c r="Q677" t="inlineStr">
        <is>
          <t>P3</t>
        </is>
      </c>
      <c r="R677" t="n">
        <v>380</v>
      </c>
      <c r="S677" s="5" t="inlineStr">
        <is>
          <t>Vous avez des questions ? Nous avons les réponses. Voici les questions les plus fréquentes des entreprises de Madrid. 1 Avez-vous un bureau physique à Madrid ? Nous n'avons pas de bureau à Madrid : notre équipe travaille</t>
        </is>
      </c>
    </row>
    <row r="678">
      <c r="A678" s="3" t="inlineStr">
        <is>
          <t>https://codesommet.com/web-development-company/madrid</t>
        </is>
      </c>
      <c r="B678" t="n">
        <v>13</v>
      </c>
      <c r="C678" t="inlineStr">
        <is>
          <t>Internal-link block</t>
        </is>
      </c>
      <c r="D678" s="5" t="inlineStr">
        <is>
          <t>Nous Desservons Aussi</t>
        </is>
      </c>
      <c r="E678" t="inlineStr">
        <is>
          <t>H2</t>
        </is>
      </c>
      <c r="F678" s="5" t="inlineStr">
        <is>
          <t>Navigation</t>
        </is>
      </c>
      <c r="G678" t="inlineStr">
        <is>
          <t>—</t>
        </is>
      </c>
      <c r="H678" t="inlineStr">
        <is>
          <t>NONE</t>
        </is>
      </c>
      <c r="I678" t="inlineStr">
        <is>
          <t>—</t>
        </is>
      </c>
      <c r="J678" t="inlineStr">
        <is>
          <t>—</t>
        </is>
      </c>
      <c r="K678" t="inlineStr">
        <is>
          <t>—</t>
        </is>
      </c>
      <c r="L678" t="inlineStr">
        <is>
          <t>—</t>
        </is>
      </c>
      <c r="M678" t="inlineStr">
        <is>
          <t>—</t>
        </is>
      </c>
      <c r="N678" t="inlineStr">
        <is>
          <t>n/a</t>
        </is>
      </c>
      <c r="O678" s="5" t="inlineStr">
        <is>
          <t>No keyword target - keep conversion/navigation focus; use descriptive, non-repeated anchor texts</t>
        </is>
      </c>
      <c r="P678" s="5" t="inlineStr"/>
      <c r="Q678" t="inlineStr">
        <is>
          <t>P4</t>
        </is>
      </c>
      <c r="R678" t="n">
        <v>25</v>
      </c>
      <c r="S678" s="5" t="inlineStr">
        <is>
          <t>Explorez nos services de développement web dans d'autres villes à travers le monde Barcelone Espagne Lisbonne Portugal Rome Italie Milan Italie Voir Toutes les Villes</t>
        </is>
      </c>
    </row>
    <row r="679">
      <c r="A679" s="3" t="inlineStr">
        <is>
          <t>https://codesommet.com/web-development-company/madrid</t>
        </is>
      </c>
      <c r="B679" t="n">
        <v>14</v>
      </c>
      <c r="C679" t="inlineStr">
        <is>
          <t>Internal-link block</t>
        </is>
      </c>
      <c r="D679" s="5" t="inlineStr">
        <is>
          <t>Explorer Plus</t>
        </is>
      </c>
      <c r="E679" t="inlineStr">
        <is>
          <t>H2</t>
        </is>
      </c>
      <c r="F679" s="5" t="inlineStr">
        <is>
          <t>Navigation</t>
        </is>
      </c>
      <c r="G679" t="inlineStr">
        <is>
          <t>—</t>
        </is>
      </c>
      <c r="H679" t="inlineStr">
        <is>
          <t>NONE</t>
        </is>
      </c>
      <c r="I679" t="inlineStr">
        <is>
          <t>—</t>
        </is>
      </c>
      <c r="J679" t="inlineStr">
        <is>
          <t>—</t>
        </is>
      </c>
      <c r="K679" t="inlineStr">
        <is>
          <t>—</t>
        </is>
      </c>
      <c r="L679" t="inlineStr">
        <is>
          <t>—</t>
        </is>
      </c>
      <c r="M679" t="inlineStr">
        <is>
          <t>—</t>
        </is>
      </c>
      <c r="N679" t="inlineStr">
        <is>
          <t>n/a</t>
        </is>
      </c>
      <c r="O679" s="5" t="inlineStr">
        <is>
          <t>No keyword target - keep conversion/navigation focus; use descriptive, non-repeated anchor texts</t>
        </is>
      </c>
      <c r="P679" s="5" t="inlineStr"/>
      <c r="Q679" t="inlineStr">
        <is>
          <t>P4</t>
        </is>
      </c>
      <c r="R679" t="n">
        <v>83</v>
      </c>
      <c r="S679" s="5" t="inlineStr">
        <is>
          <t xml:space="preserve">Découvrez ce qui fait de CodeSommet votre partenaire idéal en développement web Audit Gratuit de Site Web Obtenez une analyse alimentée par l'IA avec plus de 40 vérifications En savoir plus Voir Nos Projets Explorez les </t>
        </is>
      </c>
    </row>
    <row r="680">
      <c r="A680" s="3" t="inlineStr">
        <is>
          <t>https://codesommet.com/web-development-company/madrid</t>
        </is>
      </c>
      <c r="B680" t="n">
        <v>15</v>
      </c>
      <c r="C680" t="inlineStr">
        <is>
          <t>CTA / conversion</t>
        </is>
      </c>
      <c r="D680" s="5" t="inlineStr">
        <is>
          <t>Prêt à Créer Quelque Chose d'Extraordinaire ?</t>
        </is>
      </c>
      <c r="E680" t="inlineStr">
        <is>
          <t>H2</t>
        </is>
      </c>
      <c r="F680" s="5" t="inlineStr">
        <is>
          <t>Conversion</t>
        </is>
      </c>
      <c r="G680" t="inlineStr">
        <is>
          <t>—</t>
        </is>
      </c>
      <c r="H680" t="inlineStr">
        <is>
          <t>NONE</t>
        </is>
      </c>
      <c r="I680" t="inlineStr">
        <is>
          <t>—</t>
        </is>
      </c>
      <c r="J680" t="inlineStr">
        <is>
          <t>—</t>
        </is>
      </c>
      <c r="K680" t="inlineStr">
        <is>
          <t>—</t>
        </is>
      </c>
      <c r="L680" t="inlineStr">
        <is>
          <t>—</t>
        </is>
      </c>
      <c r="M680" t="inlineStr">
        <is>
          <t>—</t>
        </is>
      </c>
      <c r="N680" t="inlineStr">
        <is>
          <t>n/a</t>
        </is>
      </c>
      <c r="O680" s="5" t="inlineStr">
        <is>
          <t>No keyword target - keep conversion/navigation focus; use descriptive, non-repeated anchor texts</t>
        </is>
      </c>
      <c r="P680" s="5" t="inlineStr"/>
      <c r="Q680" t="inlineStr">
        <is>
          <t>P4</t>
        </is>
      </c>
      <c r="R680" t="n">
        <v>119</v>
      </c>
      <c r="S680" s="5" t="inlineStr">
        <is>
          <t>Rejoignez les entreprises visionnaires qui ont choisi l'excellence Réserver un Appel Découverte Analyser Mon Site Gratuitement Réserver un Appel Découverte Analyser Votre Site Web Discutons de la façon dont l'IA et le de</t>
        </is>
      </c>
    </row>
    <row r="681">
      <c r="A681" s="3" t="inlineStr">
        <is>
          <t>https://codesommet.com/web-development-company/barcelona</t>
        </is>
      </c>
      <c r="B681" t="n">
        <v>1</v>
      </c>
      <c r="C681" t="inlineStr">
        <is>
          <t>Hero / H1</t>
        </is>
      </c>
      <c r="D681" s="5" t="inlineStr">
        <is>
          <t>Développement Web à Barcelone, Espagne : des sites web qui génèrent CROISSANCE DES ENTREPRISES À BARCELONE</t>
        </is>
      </c>
      <c r="E681" t="inlineStr">
        <is>
          <t>H1</t>
        </is>
      </c>
      <c r="F681" s="5" t="inlineStr">
        <is>
          <t>Commercial (local)</t>
        </is>
      </c>
      <c r="G681" t="inlineStr">
        <is>
          <t>développement web barcelone</t>
        </is>
      </c>
      <c r="H681" t="inlineStr">
        <is>
          <t>PRIMARY</t>
        </is>
      </c>
      <c r="I681" t="inlineStr">
        <is>
          <t>es</t>
        </is>
      </c>
      <c r="J681" t="inlineStr">
        <is>
          <t>NOT AVAILABLE</t>
        </is>
      </c>
      <c r="K681" t="inlineStr">
        <is>
          <t>NOT AVAILABLE</t>
        </is>
      </c>
      <c r="L681" t="inlineStr">
        <is>
          <t>NOT AVAILABLE</t>
        </is>
      </c>
      <c r="M681" t="inlineStr">
        <is>
          <t>UNAVAILABLE</t>
        </is>
      </c>
      <c r="N681" t="inlineStr">
        <is>
          <t>Yes</t>
        </is>
      </c>
      <c r="O681" s="5" t="inlineStr">
        <is>
          <t>Covered - keep wording; no change</t>
        </is>
      </c>
      <c r="P681" s="5" t="inlineStr"/>
      <c r="Q681" t="inlineStr">
        <is>
          <t>P3</t>
        </is>
      </c>
      <c r="R681" t="n">
        <v>64</v>
      </c>
      <c r="S681" s="5" t="inlineStr">
        <is>
          <t>Studio de développement web basé au Maroc servant les entreprises du monde entier. Nous construisons des sites web alimentés par l'IA et des tableaux de bord intelligents à distance. Sites web de qualité premium livrés e</t>
        </is>
      </c>
    </row>
    <row r="682">
      <c r="A682" s="3" t="inlineStr">
        <is>
          <t>https://codesommet.com/web-development-company/barcelona</t>
        </is>
      </c>
      <c r="B682" t="n">
        <v>2</v>
      </c>
      <c r="C682" t="inlineStr">
        <is>
          <t>Why us / differentiation</t>
        </is>
      </c>
      <c r="D682" s="5" t="inlineStr">
        <is>
          <t>Pourquoi Choisir CodeSommet à Barcelone ?</t>
        </is>
      </c>
      <c r="E682" t="inlineStr">
        <is>
          <t>H2</t>
        </is>
      </c>
      <c r="F682" s="5" t="inlineStr">
        <is>
          <t>Commercial investigation</t>
        </is>
      </c>
      <c r="G682" t="inlineStr">
        <is>
          <t>développement web barcelone</t>
        </is>
      </c>
      <c r="H682" t="inlineStr">
        <is>
          <t>SUPPORTS PRIMARY</t>
        </is>
      </c>
      <c r="I682" t="inlineStr">
        <is>
          <t>es</t>
        </is>
      </c>
      <c r="J682" t="inlineStr">
        <is>
          <t>NOT AVAILABLE</t>
        </is>
      </c>
      <c r="K682" t="inlineStr">
        <is>
          <t>NOT AVAILABLE</t>
        </is>
      </c>
      <c r="L682" t="inlineStr">
        <is>
          <t>NOT AVAILABLE</t>
        </is>
      </c>
      <c r="M682" t="inlineStr">
        <is>
          <t>UNAVAILABLE</t>
        </is>
      </c>
      <c r="N682" t="inlineStr">
        <is>
          <t>Yes</t>
        </is>
      </c>
      <c r="O682" s="5" t="inlineStr">
        <is>
          <t>Covered - keep wording; no change</t>
        </is>
      </c>
      <c r="P682" s="5" t="inlineStr"/>
      <c r="Q682" t="inlineStr">
        <is>
          <t>P3</t>
        </is>
      </c>
      <c r="R682" t="n">
        <v>166</v>
      </c>
      <c r="S682" s="5" t="inlineStr">
        <is>
          <t>L'expertise locale rencontre les standards mondiaux. Voici ce qui fait de nous le partenaire de développement web idéal à Barcelone. Experts en IA Créez des chatbots intelligents, des workflows d'automatisation, de la re</t>
        </is>
      </c>
    </row>
    <row r="683">
      <c r="A683" s="3" t="inlineStr">
        <is>
          <t>https://codesommet.com/web-development-company/barcelona</t>
        </is>
      </c>
      <c r="B683" t="n">
        <v>3</v>
      </c>
      <c r="C683" t="inlineStr">
        <is>
          <t>Services / features</t>
        </is>
      </c>
      <c r="D683" s="5" t="inlineStr">
        <is>
          <t>Ce que nous apportons aux entreprises de Barcelone</t>
        </is>
      </c>
      <c r="E683" t="inlineStr">
        <is>
          <t>H2</t>
        </is>
      </c>
      <c r="F683" s="5" t="inlineStr">
        <is>
          <t>Commercial (local)</t>
        </is>
      </c>
      <c r="G683" t="inlineStr">
        <is>
          <t>développement web barcelone</t>
        </is>
      </c>
      <c r="H683" t="inlineStr">
        <is>
          <t>SUPPORTS PRIMARY</t>
        </is>
      </c>
      <c r="I683" t="inlineStr">
        <is>
          <t>es</t>
        </is>
      </c>
      <c r="J683" t="inlineStr">
        <is>
          <t>NOT AVAILABLE</t>
        </is>
      </c>
      <c r="K683" t="inlineStr">
        <is>
          <t>NOT AVAILABLE</t>
        </is>
      </c>
      <c r="L683" t="inlineStr">
        <is>
          <t>NOT AVAILABLE</t>
        </is>
      </c>
      <c r="M683" t="inlineStr">
        <is>
          <t>UNAVAILABLE</t>
        </is>
      </c>
      <c r="N683" t="inlineStr">
        <is>
          <t>Yes (supporting block)</t>
        </is>
      </c>
      <c r="O683" s="5" t="inlineStr">
        <is>
          <t>Supports the primary topic - add only if natural</t>
        </is>
      </c>
      <c r="P683" s="5" t="inlineStr"/>
      <c r="Q683" t="inlineStr">
        <is>
          <t>P3</t>
        </is>
      </c>
      <c r="R683" t="n">
        <v>25</v>
      </c>
      <c r="S683" s="5" t="inlineStr">
        <is>
          <t>Projets livrés à distance Sites orientés conversion Accompagnement continu Une approche pensée pour les entreprises de Barcelone - collaboration à distance, sans intermédiaire Expertise Sectorielle</t>
        </is>
      </c>
    </row>
    <row r="684">
      <c r="A684" s="3" t="inlineStr">
        <is>
          <t>https://codesommet.com/web-development-company/barcelona</t>
        </is>
      </c>
      <c r="B684" t="n">
        <v>4</v>
      </c>
      <c r="C684" t="inlineStr">
        <is>
          <t>Content block</t>
        </is>
      </c>
      <c r="D684" s="5" t="inlineStr">
        <is>
          <t>Barcelone Nos Secteurs de Spécialisation</t>
        </is>
      </c>
      <c r="E684" t="inlineStr">
        <is>
          <t>H2</t>
        </is>
      </c>
      <c r="F684" s="5" t="inlineStr">
        <is>
          <t>Commercial (local)</t>
        </is>
      </c>
      <c r="G684" t="inlineStr">
        <is>
          <t>développement web barcelone</t>
        </is>
      </c>
      <c r="H684" t="inlineStr">
        <is>
          <t>SUPPORTS PRIMARY</t>
        </is>
      </c>
      <c r="I684" t="inlineStr">
        <is>
          <t>es</t>
        </is>
      </c>
      <c r="J684" t="inlineStr">
        <is>
          <t>NOT AVAILABLE</t>
        </is>
      </c>
      <c r="K684" t="inlineStr">
        <is>
          <t>NOT AVAILABLE</t>
        </is>
      </c>
      <c r="L684" t="inlineStr">
        <is>
          <t>NOT AVAILABLE</t>
        </is>
      </c>
      <c r="M684" t="inlineStr">
        <is>
          <t>UNAVAILABLE</t>
        </is>
      </c>
      <c r="N684" t="inlineStr">
        <is>
          <t>Yes</t>
        </is>
      </c>
      <c r="O684" s="5" t="inlineStr">
        <is>
          <t>Covered - keep wording; no change</t>
        </is>
      </c>
      <c r="P684" s="5" t="inlineStr"/>
      <c r="Q684" t="inlineStr">
        <is>
          <t>P3</t>
        </is>
      </c>
      <c r="R684" t="n">
        <v>187</v>
      </c>
      <c r="S684" s="5" t="inlineStr">
        <is>
          <t>Expertise approfondie dans Barcelone . Nous comprenons les défis uniques de votre secteur et les exigences de conformité. FinTech Plateformes financières sécurisées avec traitement des paiements, conformité et fonctionna</t>
        </is>
      </c>
    </row>
    <row r="685">
      <c r="A685" s="3" t="inlineStr">
        <is>
          <t>https://codesommet.com/web-development-company/barcelona</t>
        </is>
      </c>
      <c r="B685" t="n">
        <v>5</v>
      </c>
      <c r="C685" t="inlineStr">
        <is>
          <t>Services / features</t>
        </is>
      </c>
      <c r="D685" s="5" t="inlineStr">
        <is>
          <t>Ce que nous construisons pour Barcelone</t>
        </is>
      </c>
      <c r="E685" t="inlineStr">
        <is>
          <t>H2</t>
        </is>
      </c>
      <c r="F685" s="5" t="inlineStr">
        <is>
          <t>Commercial (local)</t>
        </is>
      </c>
      <c r="G685" t="inlineStr">
        <is>
          <t>développement web barcelone</t>
        </is>
      </c>
      <c r="H685" t="inlineStr">
        <is>
          <t>SUPPORTS PRIMARY</t>
        </is>
      </c>
      <c r="I685" t="inlineStr">
        <is>
          <t>es</t>
        </is>
      </c>
      <c r="J685" t="inlineStr">
        <is>
          <t>NOT AVAILABLE</t>
        </is>
      </c>
      <c r="K685" t="inlineStr">
        <is>
          <t>NOT AVAILABLE</t>
        </is>
      </c>
      <c r="L685" t="inlineStr">
        <is>
          <t>NOT AVAILABLE</t>
        </is>
      </c>
      <c r="M685" t="inlineStr">
        <is>
          <t>UNAVAILABLE</t>
        </is>
      </c>
      <c r="N685" t="inlineStr">
        <is>
          <t>Yes (supporting block)</t>
        </is>
      </c>
      <c r="O685" s="5" t="inlineStr">
        <is>
          <t>Supports the primary topic - add only if natural</t>
        </is>
      </c>
      <c r="P685" s="5" t="inlineStr"/>
      <c r="Q685" t="inlineStr">
        <is>
          <t>P3</t>
        </is>
      </c>
      <c r="R685" t="n">
        <v>72</v>
      </c>
      <c r="S685" s="5" t="inlineStr">
        <is>
          <t>Des projets réels, livrés à distance. Découvrez ce que nous pouvons construire pour votre entreprise à Barcelone , en collaboration à distance. Beauté Boutique en ligne avec catalogue, paiement et suivi des commandes Gla</t>
        </is>
      </c>
    </row>
    <row r="686">
      <c r="A686" s="3" t="inlineStr">
        <is>
          <t>https://codesommet.com/web-development-company/barcelona</t>
        </is>
      </c>
      <c r="B686" t="n">
        <v>6</v>
      </c>
      <c r="C686" t="inlineStr">
        <is>
          <t>Content block</t>
        </is>
      </c>
      <c r="D686" s="5" t="inlineStr">
        <is>
          <t>Des Plateformes Web Immobilières Pensées pour le Marché de Barcelone</t>
        </is>
      </c>
      <c r="E686" t="inlineStr">
        <is>
          <t>H2</t>
        </is>
      </c>
      <c r="F686" s="5" t="inlineStr">
        <is>
          <t>Commercial (local)</t>
        </is>
      </c>
      <c r="G686" t="inlineStr">
        <is>
          <t>développement web barcelone</t>
        </is>
      </c>
      <c r="H686" t="inlineStr">
        <is>
          <t>SUPPORTS PRIMARY</t>
        </is>
      </c>
      <c r="I686" t="inlineStr">
        <is>
          <t>es</t>
        </is>
      </c>
      <c r="J686" t="inlineStr">
        <is>
          <t>NOT AVAILABLE</t>
        </is>
      </c>
      <c r="K686" t="inlineStr">
        <is>
          <t>NOT AVAILABLE</t>
        </is>
      </c>
      <c r="L686" t="inlineStr">
        <is>
          <t>NOT AVAILABLE</t>
        </is>
      </c>
      <c r="M686" t="inlineStr">
        <is>
          <t>UNAVAILABLE</t>
        </is>
      </c>
      <c r="N686" t="inlineStr">
        <is>
          <t>Yes</t>
        </is>
      </c>
      <c r="O686" s="5" t="inlineStr">
        <is>
          <t>Covered - keep wording; no change</t>
        </is>
      </c>
      <c r="P686" s="5" t="inlineStr"/>
      <c r="Q686" t="inlineStr">
        <is>
          <t>P3</t>
        </is>
      </c>
      <c r="R686" t="n">
        <v>189</v>
      </c>
      <c r="S686" s="5" t="inlineStr">
        <is>
          <t>Solutions pour les entreprises de gestion immobilière • Immobilier &amp; PropTech • 4 months Le Constat Beaucoup d'entreprises de gestion immobilière à Barcelone gèrent encore leurs prospects manuellement, avec des sites web</t>
        </is>
      </c>
    </row>
    <row r="687">
      <c r="A687" s="3" t="inlineStr">
        <is>
          <t>https://codesommet.com/web-development-company/barcelona</t>
        </is>
      </c>
      <c r="B687" t="n">
        <v>7</v>
      </c>
      <c r="C687" t="inlineStr">
        <is>
          <t>Pricing / offers</t>
        </is>
      </c>
      <c r="D687" s="5" t="inlineStr">
        <is>
          <t>Solutions Personnalisées, Tarification Transparente</t>
        </is>
      </c>
      <c r="E687" t="inlineStr">
        <is>
          <t>H2</t>
        </is>
      </c>
      <c r="F687" s="5" t="inlineStr">
        <is>
          <t>Commercial / transactional</t>
        </is>
      </c>
      <c r="G687" t="inlineStr">
        <is>
          <t>développement web barcelone</t>
        </is>
      </c>
      <c r="H687" t="inlineStr">
        <is>
          <t>SUPPORTS PRIMARY</t>
        </is>
      </c>
      <c r="I687" t="inlineStr">
        <is>
          <t>es</t>
        </is>
      </c>
      <c r="J687" t="inlineStr">
        <is>
          <t>NOT AVAILABLE</t>
        </is>
      </c>
      <c r="K687" t="inlineStr">
        <is>
          <t>NOT AVAILABLE</t>
        </is>
      </c>
      <c r="L687" t="inlineStr">
        <is>
          <t>NOT AVAILABLE</t>
        </is>
      </c>
      <c r="M687" t="inlineStr">
        <is>
          <t>UNAVAILABLE</t>
        </is>
      </c>
      <c r="N687" t="inlineStr">
        <is>
          <t>Yes (supporting block)</t>
        </is>
      </c>
      <c r="O687" s="5" t="inlineStr">
        <is>
          <t>Supports the primary topic - add only if natural</t>
        </is>
      </c>
      <c r="P687" s="5" t="inlineStr"/>
      <c r="Q687" t="inlineStr">
        <is>
          <t>P3</t>
        </is>
      </c>
      <c r="R687" t="n">
        <v>184</v>
      </c>
      <c r="S687" s="5" t="inlineStr">
        <is>
          <t>Réservez un appel découverte pour discuter de vos besoins spécifiques et obtenir un devis personnalisé Recommandé Développement Web Site web complet avec fonctionnalités IA, tableaux de bord et design premium livré en 2-</t>
        </is>
      </c>
    </row>
    <row r="688">
      <c r="A688" s="3" t="inlineStr">
        <is>
          <t>https://codesommet.com/web-development-company/barcelona</t>
        </is>
      </c>
      <c r="B688" t="n">
        <v>8</v>
      </c>
      <c r="C688" t="inlineStr">
        <is>
          <t>CTA / conversion</t>
        </is>
      </c>
      <c r="D688" s="5" t="inlineStr">
        <is>
          <t>Prêt à Améliorer Votre Site Web à Barcelone ?</t>
        </is>
      </c>
      <c r="E688" t="inlineStr">
        <is>
          <t>H2</t>
        </is>
      </c>
      <c r="F688" s="5" t="inlineStr">
        <is>
          <t>Conversion</t>
        </is>
      </c>
      <c r="G688" t="inlineStr">
        <is>
          <t>—</t>
        </is>
      </c>
      <c r="H688" t="inlineStr">
        <is>
          <t>NONE</t>
        </is>
      </c>
      <c r="I688" t="inlineStr">
        <is>
          <t>—</t>
        </is>
      </c>
      <c r="J688" t="inlineStr">
        <is>
          <t>—</t>
        </is>
      </c>
      <c r="K688" t="inlineStr">
        <is>
          <t>—</t>
        </is>
      </c>
      <c r="L688" t="inlineStr">
        <is>
          <t>—</t>
        </is>
      </c>
      <c r="M688" t="inlineStr">
        <is>
          <t>—</t>
        </is>
      </c>
      <c r="N688" t="inlineStr">
        <is>
          <t>n/a</t>
        </is>
      </c>
      <c r="O688" s="5" t="inlineStr">
        <is>
          <t>No keyword target - keep conversion/navigation focus; use descriptive, non-repeated anchor texts</t>
        </is>
      </c>
      <c r="P688" s="5" t="inlineStr"/>
      <c r="Q688" t="inlineStr">
        <is>
          <t>P4</t>
        </is>
      </c>
      <c r="R688" t="n">
        <v>40</v>
      </c>
      <c r="S688" s="5" t="inlineStr">
        <is>
          <t xml:space="preserve">Obtenez d'abord une analyse gratuite complète : Audit SEO Vérification de performance Revue de design Recommandations alimentées par l'IA Analyser Votre Site Web - 100% Gratuit Aucune carte de crédit requise • Résultats </t>
        </is>
      </c>
    </row>
    <row r="689">
      <c r="A689" s="3" t="inlineStr">
        <is>
          <t>https://codesommet.com/web-development-company/barcelona</t>
        </is>
      </c>
      <c r="B689" t="n">
        <v>9</v>
      </c>
      <c r="C689" t="inlineStr">
        <is>
          <t>Why us / differentiation</t>
        </is>
      </c>
      <c r="D689" s="5" t="inlineStr">
        <is>
          <t>CodeSommet Barcelone vs Autres</t>
        </is>
      </c>
      <c r="E689" t="inlineStr">
        <is>
          <t>H2</t>
        </is>
      </c>
      <c r="F689" s="5" t="inlineStr">
        <is>
          <t>Commercial investigation</t>
        </is>
      </c>
      <c r="G689" t="inlineStr">
        <is>
          <t>développement web barcelone</t>
        </is>
      </c>
      <c r="H689" t="inlineStr">
        <is>
          <t>SUPPORTS PRIMARY</t>
        </is>
      </c>
      <c r="I689" t="inlineStr">
        <is>
          <t>es</t>
        </is>
      </c>
      <c r="J689" t="inlineStr">
        <is>
          <t>NOT AVAILABLE</t>
        </is>
      </c>
      <c r="K689" t="inlineStr">
        <is>
          <t>NOT AVAILABLE</t>
        </is>
      </c>
      <c r="L689" t="inlineStr">
        <is>
          <t>NOT AVAILABLE</t>
        </is>
      </c>
      <c r="M689" t="inlineStr">
        <is>
          <t>UNAVAILABLE</t>
        </is>
      </c>
      <c r="N689" t="inlineStr">
        <is>
          <t>Yes</t>
        </is>
      </c>
      <c r="O689" s="5" t="inlineStr">
        <is>
          <t>Covered - keep wording; no change</t>
        </is>
      </c>
      <c r="P689" s="5" t="inlineStr"/>
      <c r="Q689" t="inlineStr">
        <is>
          <t>P3</t>
        </is>
      </c>
      <c r="R689" t="n">
        <v>91</v>
      </c>
      <c r="S689" s="5" t="inlineStr">
        <is>
          <t>Découvrez pourquoi Barcelone entreprises choisissent CodeSommet plutôt que d'autres agences locales et concurrents internationaux. Fonctionnalité CodeSommet Barcelone Autres Barcelone Agences Agences Internationales Révi</t>
        </is>
      </c>
    </row>
    <row r="690">
      <c r="A690" s="3" t="inlineStr">
        <is>
          <t>https://codesommet.com/web-development-company/barcelona</t>
        </is>
      </c>
      <c r="B690" t="n">
        <v>10</v>
      </c>
      <c r="C690" t="inlineStr">
        <is>
          <t>Testimonials / social proof</t>
        </is>
      </c>
      <c r="D690" s="5" t="inlineStr">
        <is>
          <t>Quoi Barcelone Nos Clients Disent de Nous</t>
        </is>
      </c>
      <c r="E690" t="inlineStr">
        <is>
          <t>H2</t>
        </is>
      </c>
      <c r="F690" s="5" t="inlineStr">
        <is>
          <t>Commercial investigation</t>
        </is>
      </c>
      <c r="G690" t="inlineStr">
        <is>
          <t>développement web barcelone</t>
        </is>
      </c>
      <c r="H690" t="inlineStr">
        <is>
          <t>SUPPORTS PRIMARY</t>
        </is>
      </c>
      <c r="I690" t="inlineStr">
        <is>
          <t>es</t>
        </is>
      </c>
      <c r="J690" t="inlineStr">
        <is>
          <t>NOT AVAILABLE</t>
        </is>
      </c>
      <c r="K690" t="inlineStr">
        <is>
          <t>NOT AVAILABLE</t>
        </is>
      </c>
      <c r="L690" t="inlineStr">
        <is>
          <t>NOT AVAILABLE</t>
        </is>
      </c>
      <c r="M690" t="inlineStr">
        <is>
          <t>UNAVAILABLE</t>
        </is>
      </c>
      <c r="N690" t="inlineStr">
        <is>
          <t>Yes (supporting block)</t>
        </is>
      </c>
      <c r="O690" s="5" t="inlineStr">
        <is>
          <t>Supports the primary topic - add only if natural</t>
        </is>
      </c>
      <c r="P690" s="5" t="inlineStr"/>
      <c r="Q690" t="inlineStr">
        <is>
          <t>P3</t>
        </is>
      </c>
      <c r="R690" t="n">
        <v>104</v>
      </c>
      <c r="S690" s="5" t="inlineStr">
        <is>
          <t>Ne vous fiez pas seulement à notre parole. Écoutez les entreprises de Barcelone qui ont obtenu des résultats remarquables avec CodeSommet. "Une collaboration professionnelle du début à la fin. Je recommande sans hésiter.</t>
        </is>
      </c>
    </row>
    <row r="691">
      <c r="A691" s="3" t="inlineStr">
        <is>
          <t>https://codesommet.com/web-development-company/barcelona</t>
        </is>
      </c>
      <c r="B691" t="n">
        <v>11</v>
      </c>
      <c r="C691" t="inlineStr">
        <is>
          <t>Process / how it works</t>
        </is>
      </c>
      <c r="D691" s="5" t="inlineStr">
        <is>
          <t>Comment démarrer en 3 étapes simples</t>
        </is>
      </c>
      <c r="E691" t="inlineStr">
        <is>
          <t>H2</t>
        </is>
      </c>
      <c r="F691" s="5" t="inlineStr">
        <is>
          <t>Informational / commercial</t>
        </is>
      </c>
      <c r="G691" t="inlineStr">
        <is>
          <t>développement web barcelone</t>
        </is>
      </c>
      <c r="H691" t="inlineStr">
        <is>
          <t>SUPPORTS PRIMARY</t>
        </is>
      </c>
      <c r="I691" t="inlineStr">
        <is>
          <t>es</t>
        </is>
      </c>
      <c r="J691" t="inlineStr">
        <is>
          <t>NOT AVAILABLE</t>
        </is>
      </c>
      <c r="K691" t="inlineStr">
        <is>
          <t>NOT AVAILABLE</t>
        </is>
      </c>
      <c r="L691" t="inlineStr">
        <is>
          <t>NOT AVAILABLE</t>
        </is>
      </c>
      <c r="M691" t="inlineStr">
        <is>
          <t>UNAVAILABLE</t>
        </is>
      </c>
      <c r="N691" t="inlineStr">
        <is>
          <t>Yes (supporting block)</t>
        </is>
      </c>
      <c r="O691" s="5" t="inlineStr">
        <is>
          <t>Supports the primary topic - add only if natural</t>
        </is>
      </c>
      <c r="P691" s="5" t="inlineStr"/>
      <c r="Q691" t="inlineStr">
        <is>
          <t>P3</t>
        </is>
      </c>
      <c r="R691" t="n">
        <v>286</v>
      </c>
      <c r="S691" s="5" t="inlineStr">
        <is>
          <t>Du premier appel à la livraison du projet, découvrez exactement comment nous travaillons ensemble Étape 1 Abonnement 1 projet actif Révisions illimitées Design &amp; développement SEO &amp; contenu Recommandé Développement de Si</t>
        </is>
      </c>
    </row>
    <row r="692">
      <c r="A692" s="3" t="inlineStr">
        <is>
          <t>https://codesommet.com/web-development-company/barcelona</t>
        </is>
      </c>
      <c r="B692" t="n">
        <v>12</v>
      </c>
      <c r="C692" t="inlineStr">
        <is>
          <t>FAQ</t>
        </is>
      </c>
      <c r="D692" s="5" t="inlineStr">
        <is>
          <t>Questions Fréquemment Posées Sur le Développement Web à Barcelone</t>
        </is>
      </c>
      <c r="E692" t="inlineStr">
        <is>
          <t>H2</t>
        </is>
      </c>
      <c r="F692" s="5" t="inlineStr">
        <is>
          <t>Informational (pre-purchase questions)</t>
        </is>
      </c>
      <c r="G692" t="inlineStr">
        <is>
          <t>développement web barcelone</t>
        </is>
      </c>
      <c r="H692" t="inlineStr">
        <is>
          <t>SUPPORTS PRIMARY</t>
        </is>
      </c>
      <c r="I692" t="inlineStr">
        <is>
          <t>es</t>
        </is>
      </c>
      <c r="J692" t="inlineStr">
        <is>
          <t>NOT AVAILABLE</t>
        </is>
      </c>
      <c r="K692" t="inlineStr">
        <is>
          <t>NOT AVAILABLE</t>
        </is>
      </c>
      <c r="L692" t="inlineStr">
        <is>
          <t>NOT AVAILABLE</t>
        </is>
      </c>
      <c r="M692" t="inlineStr">
        <is>
          <t>UNAVAILABLE</t>
        </is>
      </c>
      <c r="N692" t="inlineStr">
        <is>
          <t>Yes</t>
        </is>
      </c>
      <c r="O692" s="5" t="inlineStr">
        <is>
          <t>Covered - keep wording; no change</t>
        </is>
      </c>
      <c r="P692" s="5" t="inlineStr"/>
      <c r="Q692" t="inlineStr">
        <is>
          <t>P3</t>
        </is>
      </c>
      <c r="R692" t="n">
        <v>379</v>
      </c>
      <c r="S692" s="5" t="inlineStr">
        <is>
          <t>Vous avez des questions ? Nous avons les réponses. Voici les questions les plus fréquentes de Barcelone entreprises. 1 Avez-vous un bureau physique à Barcelone ? Nous n'avons pas de bureau à Barcelone : notre équipe trav</t>
        </is>
      </c>
    </row>
    <row r="693">
      <c r="A693" s="3" t="inlineStr">
        <is>
          <t>https://codesommet.com/web-development-company/barcelona</t>
        </is>
      </c>
      <c r="B693" t="n">
        <v>13</v>
      </c>
      <c r="C693" t="inlineStr">
        <is>
          <t>Content block</t>
        </is>
      </c>
      <c r="D693" s="5" t="inlineStr">
        <is>
          <t>Nous Servons Également</t>
        </is>
      </c>
      <c r="E693" t="inlineStr">
        <is>
          <t>H2</t>
        </is>
      </c>
      <c r="F693" s="5" t="inlineStr">
        <is>
          <t>Commercial (local)</t>
        </is>
      </c>
      <c r="G693" t="inlineStr">
        <is>
          <t>développement web barcelone</t>
        </is>
      </c>
      <c r="H693" t="inlineStr">
        <is>
          <t>SUPPORTS PRIMARY</t>
        </is>
      </c>
      <c r="I693" t="inlineStr">
        <is>
          <t>es</t>
        </is>
      </c>
      <c r="J693" t="inlineStr">
        <is>
          <t>NOT AVAILABLE</t>
        </is>
      </c>
      <c r="K693" t="inlineStr">
        <is>
          <t>NOT AVAILABLE</t>
        </is>
      </c>
      <c r="L693" t="inlineStr">
        <is>
          <t>NOT AVAILABLE</t>
        </is>
      </c>
      <c r="M693" t="inlineStr">
        <is>
          <t>UNAVAILABLE</t>
        </is>
      </c>
      <c r="N693" t="inlineStr">
        <is>
          <t>Yes (supporting block)</t>
        </is>
      </c>
      <c r="O693" s="5" t="inlineStr">
        <is>
          <t>Supports the primary topic - add only if natural</t>
        </is>
      </c>
      <c r="P693" s="5" t="inlineStr"/>
      <c r="Q693" t="inlineStr">
        <is>
          <t>P3</t>
        </is>
      </c>
      <c r="R693" t="n">
        <v>24</v>
      </c>
      <c r="S693" s="5" t="inlineStr">
        <is>
          <t>Explorez nos services de développement web dans d'autres villes à travers le monde Madrid Espagne Lisbonne Portugal Rome Italie Milan Italie Voir Tout Locations</t>
        </is>
      </c>
    </row>
    <row r="694">
      <c r="A694" s="3" t="inlineStr">
        <is>
          <t>https://codesommet.com/web-development-company/barcelona</t>
        </is>
      </c>
      <c r="B694" t="n">
        <v>14</v>
      </c>
      <c r="C694" t="inlineStr">
        <is>
          <t>Content block</t>
        </is>
      </c>
      <c r="D694" s="5" t="inlineStr">
        <is>
          <t>En Savoir Plus</t>
        </is>
      </c>
      <c r="E694" t="inlineStr">
        <is>
          <t>H2</t>
        </is>
      </c>
      <c r="F694" s="5" t="inlineStr">
        <is>
          <t>Commercial (local)</t>
        </is>
      </c>
      <c r="G694" t="inlineStr">
        <is>
          <t>développement web barcelone</t>
        </is>
      </c>
      <c r="H694" t="inlineStr">
        <is>
          <t>SUPPORTS PRIMARY</t>
        </is>
      </c>
      <c r="I694" t="inlineStr">
        <is>
          <t>es</t>
        </is>
      </c>
      <c r="J694" t="inlineStr">
        <is>
          <t>NOT AVAILABLE</t>
        </is>
      </c>
      <c r="K694" t="inlineStr">
        <is>
          <t>NOT AVAILABLE</t>
        </is>
      </c>
      <c r="L694" t="inlineStr">
        <is>
          <t>NOT AVAILABLE</t>
        </is>
      </c>
      <c r="M694" t="inlineStr">
        <is>
          <t>UNAVAILABLE</t>
        </is>
      </c>
      <c r="N694" t="inlineStr">
        <is>
          <t>Yes (supporting block)</t>
        </is>
      </c>
      <c r="O694" s="5" t="inlineStr">
        <is>
          <t>Supports the primary topic - add only if natural</t>
        </is>
      </c>
      <c r="P694" s="5" t="inlineStr"/>
      <c r="Q694" t="inlineStr">
        <is>
          <t>P3</t>
        </is>
      </c>
      <c r="R694" t="n">
        <v>82</v>
      </c>
      <c r="S694" s="5" t="inlineStr">
        <is>
          <t xml:space="preserve">Découvrez ce qui fait de CodeSommet votre partenaire de développement web idéal Audit Gratuit de Site Web Obtenez une analyse alimentée par l'IA avec plus de 40 vérifications En savoir plus Voir Nos Projets Explorez les </t>
        </is>
      </c>
    </row>
    <row r="695">
      <c r="A695" s="3" t="inlineStr">
        <is>
          <t>https://codesommet.com/web-development-company/barcelona</t>
        </is>
      </c>
      <c r="B695" t="n">
        <v>15</v>
      </c>
      <c r="C695" t="inlineStr">
        <is>
          <t>CTA / conversion</t>
        </is>
      </c>
      <c r="D695" s="5" t="inlineStr">
        <is>
          <t>Prêt à Créer Quelque Chose d'Extraordinaire ?</t>
        </is>
      </c>
      <c r="E695" t="inlineStr">
        <is>
          <t>H2</t>
        </is>
      </c>
      <c r="F695" s="5" t="inlineStr">
        <is>
          <t>Conversion</t>
        </is>
      </c>
      <c r="G695" t="inlineStr">
        <is>
          <t>—</t>
        </is>
      </c>
      <c r="H695" t="inlineStr">
        <is>
          <t>NONE</t>
        </is>
      </c>
      <c r="I695" t="inlineStr">
        <is>
          <t>—</t>
        </is>
      </c>
      <c r="J695" t="inlineStr">
        <is>
          <t>—</t>
        </is>
      </c>
      <c r="K695" t="inlineStr">
        <is>
          <t>—</t>
        </is>
      </c>
      <c r="L695" t="inlineStr">
        <is>
          <t>—</t>
        </is>
      </c>
      <c r="M695" t="inlineStr">
        <is>
          <t>—</t>
        </is>
      </c>
      <c r="N695" t="inlineStr">
        <is>
          <t>n/a</t>
        </is>
      </c>
      <c r="O695" s="5" t="inlineStr">
        <is>
          <t>No keyword target - keep conversion/navigation focus; use descriptive, non-repeated anchor texts</t>
        </is>
      </c>
      <c r="P695" s="5" t="inlineStr"/>
      <c r="Q695" t="inlineStr">
        <is>
          <t>P4</t>
        </is>
      </c>
      <c r="R695" t="n">
        <v>117</v>
      </c>
      <c r="S695" s="5" t="inlineStr">
        <is>
          <t>Rejoignez les entreprises visionnaires qui ont choisi l'excellence Réserver un Appel Découverte Analyser Mon Site Gratuitement Réserver un Appel Découverte Analyser Votre Site Web Discutons de comment l'IA et le design m</t>
        </is>
      </c>
    </row>
    <row r="696">
      <c r="A696" s="3" t="inlineStr">
        <is>
          <t>https://codesommet.com/web-development-company/lisbon</t>
        </is>
      </c>
      <c r="B696" t="n">
        <v>1</v>
      </c>
      <c r="C696" t="inlineStr">
        <is>
          <t>Hero / H1</t>
        </is>
      </c>
      <c r="D696" s="5" t="inlineStr">
        <is>
          <t>Développement Web à Lisbonne, Portugal : des sites web qui génèrent CROISSANCE COMMERCIALE À LISBONNE</t>
        </is>
      </c>
      <c r="E696" t="inlineStr">
        <is>
          <t>H1</t>
        </is>
      </c>
      <c r="F696" s="5" t="inlineStr">
        <is>
          <t>Commercial (local)</t>
        </is>
      </c>
      <c r="G696" t="inlineStr">
        <is>
          <t>développement web lisbonne</t>
        </is>
      </c>
      <c r="H696" t="inlineStr">
        <is>
          <t>PRIMARY</t>
        </is>
      </c>
      <c r="I696" t="inlineStr">
        <is>
          <t>pt</t>
        </is>
      </c>
      <c r="J696" t="inlineStr">
        <is>
          <t>NOT AVAILABLE</t>
        </is>
      </c>
      <c r="K696" t="inlineStr">
        <is>
          <t>NOT AVAILABLE</t>
        </is>
      </c>
      <c r="L696" t="inlineStr">
        <is>
          <t>NOT AVAILABLE</t>
        </is>
      </c>
      <c r="M696" t="inlineStr">
        <is>
          <t>UNAVAILABLE</t>
        </is>
      </c>
      <c r="N696" t="inlineStr">
        <is>
          <t>Yes</t>
        </is>
      </c>
      <c r="O696" s="5" t="inlineStr">
        <is>
          <t>Covered - keep wording; no change</t>
        </is>
      </c>
      <c r="P696" s="5" t="inlineStr"/>
      <c r="Q696" t="inlineStr">
        <is>
          <t>P3</t>
        </is>
      </c>
      <c r="R696" t="n">
        <v>65</v>
      </c>
      <c r="S696" s="5" t="inlineStr">
        <is>
          <t>Studio de développement web basé au Maroc au service des entreprises du monde entier. Nous créons des sites web alimentés par l'IA et des tableaux de bord intelligents à distance. Sites web de qualité premium livrés en 7</t>
        </is>
      </c>
    </row>
    <row r="697">
      <c r="A697" s="3" t="inlineStr">
        <is>
          <t>https://codesommet.com/web-development-company/lisbon</t>
        </is>
      </c>
      <c r="B697" t="n">
        <v>2</v>
      </c>
      <c r="C697" t="inlineStr">
        <is>
          <t>Why us / differentiation</t>
        </is>
      </c>
      <c r="D697" s="5" t="inlineStr">
        <is>
          <t>Pourquoi Choisir CodeSommet à Lisbonne ?</t>
        </is>
      </c>
      <c r="E697" t="inlineStr">
        <is>
          <t>H2</t>
        </is>
      </c>
      <c r="F697" s="5" t="inlineStr">
        <is>
          <t>Commercial investigation</t>
        </is>
      </c>
      <c r="G697" t="inlineStr">
        <is>
          <t>développement web lisbonne</t>
        </is>
      </c>
      <c r="H697" t="inlineStr">
        <is>
          <t>SUPPORTS PRIMARY</t>
        </is>
      </c>
      <c r="I697" t="inlineStr">
        <is>
          <t>pt</t>
        </is>
      </c>
      <c r="J697" t="inlineStr">
        <is>
          <t>NOT AVAILABLE</t>
        </is>
      </c>
      <c r="K697" t="inlineStr">
        <is>
          <t>NOT AVAILABLE</t>
        </is>
      </c>
      <c r="L697" t="inlineStr">
        <is>
          <t>NOT AVAILABLE</t>
        </is>
      </c>
      <c r="M697" t="inlineStr">
        <is>
          <t>UNAVAILABLE</t>
        </is>
      </c>
      <c r="N697" t="inlineStr">
        <is>
          <t>Yes</t>
        </is>
      </c>
      <c r="O697" s="5" t="inlineStr">
        <is>
          <t>Covered - keep wording; no change</t>
        </is>
      </c>
      <c r="P697" s="5" t="inlineStr"/>
      <c r="Q697" t="inlineStr">
        <is>
          <t>P3</t>
        </is>
      </c>
      <c r="R697" t="n">
        <v>165</v>
      </c>
      <c r="S697" s="5" t="inlineStr">
        <is>
          <t>L'expertise locale rencontre les standards internationaux. Voici ce qui fait de nous le partenaire idéal en développement web à Lisbonne. Experts en IA Créez des chatbots intelligents, des workflows d'automatisation, une</t>
        </is>
      </c>
    </row>
    <row r="698">
      <c r="A698" s="3" t="inlineStr">
        <is>
          <t>https://codesommet.com/web-development-company/lisbon</t>
        </is>
      </c>
      <c r="B698" t="n">
        <v>3</v>
      </c>
      <c r="C698" t="inlineStr">
        <is>
          <t>Services / features</t>
        </is>
      </c>
      <c r="D698" s="5" t="inlineStr">
        <is>
          <t>Ce que nous apportons aux entreprises de Lisbonne</t>
        </is>
      </c>
      <c r="E698" t="inlineStr">
        <is>
          <t>H2</t>
        </is>
      </c>
      <c r="F698" s="5" t="inlineStr">
        <is>
          <t>Commercial (local)</t>
        </is>
      </c>
      <c r="G698" t="inlineStr">
        <is>
          <t>développement web lisbonne</t>
        </is>
      </c>
      <c r="H698" t="inlineStr">
        <is>
          <t>SUPPORTS PRIMARY</t>
        </is>
      </c>
      <c r="I698" t="inlineStr">
        <is>
          <t>pt</t>
        </is>
      </c>
      <c r="J698" t="inlineStr">
        <is>
          <t>NOT AVAILABLE</t>
        </is>
      </c>
      <c r="K698" t="inlineStr">
        <is>
          <t>NOT AVAILABLE</t>
        </is>
      </c>
      <c r="L698" t="inlineStr">
        <is>
          <t>NOT AVAILABLE</t>
        </is>
      </c>
      <c r="M698" t="inlineStr">
        <is>
          <t>UNAVAILABLE</t>
        </is>
      </c>
      <c r="N698" t="inlineStr">
        <is>
          <t>Yes (supporting block)</t>
        </is>
      </c>
      <c r="O698" s="5" t="inlineStr">
        <is>
          <t>Supports the primary topic - add only if natural</t>
        </is>
      </c>
      <c r="P698" s="5" t="inlineStr"/>
      <c r="Q698" t="inlineStr">
        <is>
          <t>P3</t>
        </is>
      </c>
      <c r="R698" t="n">
        <v>25</v>
      </c>
      <c r="S698" s="5" t="inlineStr">
        <is>
          <t>Projets livrés à distance Sites orientés conversion Accompagnement continu Une approche pensée pour les entreprises de Lisbonne - collaboration à distance, sans intermédiaire Expertise Sectorielle</t>
        </is>
      </c>
    </row>
    <row r="699">
      <c r="A699" s="3" t="inlineStr">
        <is>
          <t>https://codesommet.com/web-development-company/lisbon</t>
        </is>
      </c>
      <c r="B699" t="n">
        <v>4</v>
      </c>
      <c r="C699" t="inlineStr">
        <is>
          <t>Content block</t>
        </is>
      </c>
      <c r="D699" s="5" t="inlineStr">
        <is>
          <t>Lisbonne Nos Secteurs de Spécialisation</t>
        </is>
      </c>
      <c r="E699" t="inlineStr">
        <is>
          <t>H2</t>
        </is>
      </c>
      <c r="F699" s="5" t="inlineStr">
        <is>
          <t>Commercial (local)</t>
        </is>
      </c>
      <c r="G699" t="inlineStr">
        <is>
          <t>développement web lisbonne</t>
        </is>
      </c>
      <c r="H699" t="inlineStr">
        <is>
          <t>SUPPORTS PRIMARY</t>
        </is>
      </c>
      <c r="I699" t="inlineStr">
        <is>
          <t>pt</t>
        </is>
      </c>
      <c r="J699" t="inlineStr">
        <is>
          <t>NOT AVAILABLE</t>
        </is>
      </c>
      <c r="K699" t="inlineStr">
        <is>
          <t>NOT AVAILABLE</t>
        </is>
      </c>
      <c r="L699" t="inlineStr">
        <is>
          <t>NOT AVAILABLE</t>
        </is>
      </c>
      <c r="M699" t="inlineStr">
        <is>
          <t>UNAVAILABLE</t>
        </is>
      </c>
      <c r="N699" t="inlineStr">
        <is>
          <t>Yes</t>
        </is>
      </c>
      <c r="O699" s="5" t="inlineStr">
        <is>
          <t>Covered - keep wording; no change</t>
        </is>
      </c>
      <c r="P699" s="5" t="inlineStr"/>
      <c r="Q699" t="inlineStr">
        <is>
          <t>P3</t>
        </is>
      </c>
      <c r="R699" t="n">
        <v>191</v>
      </c>
      <c r="S699" s="5" t="inlineStr">
        <is>
          <t>Expertise approfondie dans les secteurs clés de Lisbonne . Nous comprenons les défis uniques de votre secteur et les exigences de conformité. FinTech Plateformes financières sécurisées avec traitement des paiements, conf</t>
        </is>
      </c>
    </row>
    <row r="700">
      <c r="A700" s="3" t="inlineStr">
        <is>
          <t>https://codesommet.com/web-development-company/lisbon</t>
        </is>
      </c>
      <c r="B700" t="n">
        <v>5</v>
      </c>
      <c r="C700" t="inlineStr">
        <is>
          <t>Services / features</t>
        </is>
      </c>
      <c r="D700" s="5" t="inlineStr">
        <is>
          <t>Ce que nous construisons pour Lisbonne</t>
        </is>
      </c>
      <c r="E700" t="inlineStr">
        <is>
          <t>H2</t>
        </is>
      </c>
      <c r="F700" s="5" t="inlineStr">
        <is>
          <t>Commercial (local)</t>
        </is>
      </c>
      <c r="G700" t="inlineStr">
        <is>
          <t>développement web lisbonne</t>
        </is>
      </c>
      <c r="H700" t="inlineStr">
        <is>
          <t>SUPPORTS PRIMARY</t>
        </is>
      </c>
      <c r="I700" t="inlineStr">
        <is>
          <t>pt</t>
        </is>
      </c>
      <c r="J700" t="inlineStr">
        <is>
          <t>NOT AVAILABLE</t>
        </is>
      </c>
      <c r="K700" t="inlineStr">
        <is>
          <t>NOT AVAILABLE</t>
        </is>
      </c>
      <c r="L700" t="inlineStr">
        <is>
          <t>NOT AVAILABLE</t>
        </is>
      </c>
      <c r="M700" t="inlineStr">
        <is>
          <t>UNAVAILABLE</t>
        </is>
      </c>
      <c r="N700" t="inlineStr">
        <is>
          <t>Yes (supporting block)</t>
        </is>
      </c>
      <c r="O700" s="5" t="inlineStr">
        <is>
          <t>Supports the primary topic - add only if natural</t>
        </is>
      </c>
      <c r="P700" s="5" t="inlineStr"/>
      <c r="Q700" t="inlineStr">
        <is>
          <t>P3</t>
        </is>
      </c>
      <c r="R700" t="n">
        <v>72</v>
      </c>
      <c r="S700" s="5" t="inlineStr">
        <is>
          <t>Des projets réels, livrés à distance. Découvrez ce que nous pouvons construire pour votre entreprise à Lisbonne , en collaboration à distance. Beauté Boutique en ligne avec catalogue, paiement et suivi des commandes Glam</t>
        </is>
      </c>
    </row>
    <row r="701">
      <c r="A701" s="3" t="inlineStr">
        <is>
          <t>https://codesommet.com/web-development-company/lisbon</t>
        </is>
      </c>
      <c r="B701" t="n">
        <v>6</v>
      </c>
      <c r="C701" t="inlineStr">
        <is>
          <t>Process / how it works</t>
        </is>
      </c>
      <c r="D701" s="5" t="inlineStr">
        <is>
          <t>Comment Nous Concevons des Plateformes Immobilières Sur Mesure pour les Entreprises de Lisbonne</t>
        </is>
      </c>
      <c r="E701" t="inlineStr">
        <is>
          <t>H2</t>
        </is>
      </c>
      <c r="F701" s="5" t="inlineStr">
        <is>
          <t>Informational / commercial</t>
        </is>
      </c>
      <c r="G701" t="inlineStr">
        <is>
          <t>développement web lisbonne</t>
        </is>
      </c>
      <c r="H701" t="inlineStr">
        <is>
          <t>SUPPORTS PRIMARY</t>
        </is>
      </c>
      <c r="I701" t="inlineStr">
        <is>
          <t>pt</t>
        </is>
      </c>
      <c r="J701" t="inlineStr">
        <is>
          <t>NOT AVAILABLE</t>
        </is>
      </c>
      <c r="K701" t="inlineStr">
        <is>
          <t>NOT AVAILABLE</t>
        </is>
      </c>
      <c r="L701" t="inlineStr">
        <is>
          <t>NOT AVAILABLE</t>
        </is>
      </c>
      <c r="M701" t="inlineStr">
        <is>
          <t>UNAVAILABLE</t>
        </is>
      </c>
      <c r="N701" t="inlineStr">
        <is>
          <t>Yes (supporting block)</t>
        </is>
      </c>
      <c r="O701" s="5" t="inlineStr">
        <is>
          <t>Supports the primary topic - add only if natural</t>
        </is>
      </c>
      <c r="P701" s="5" t="inlineStr"/>
      <c r="Q701" t="inlineStr">
        <is>
          <t>P3</t>
        </is>
      </c>
      <c r="R701" t="n">
        <v>206</v>
      </c>
      <c r="S701" s="5" t="inlineStr">
        <is>
          <t>Pour les entreprises de gestion et de promotion immobilière • Immobilier &amp; PropTech • 4 mois Le Constat Les entreprises de gestion immobilière en croissance à Lisbonne peinent souvent avec le suivi manuel des prospects s</t>
        </is>
      </c>
    </row>
    <row r="702">
      <c r="A702" s="3" t="inlineStr">
        <is>
          <t>https://codesommet.com/web-development-company/lisbon</t>
        </is>
      </c>
      <c r="B702" t="n">
        <v>7</v>
      </c>
      <c r="C702" t="inlineStr">
        <is>
          <t>Pricing / offers</t>
        </is>
      </c>
      <c r="D702" s="5" t="inlineStr">
        <is>
          <t>Solutions Sur Mesure, Tarification Transparente</t>
        </is>
      </c>
      <c r="E702" t="inlineStr">
        <is>
          <t>H2</t>
        </is>
      </c>
      <c r="F702" s="5" t="inlineStr">
        <is>
          <t>Commercial / transactional</t>
        </is>
      </c>
      <c r="G702" t="inlineStr">
        <is>
          <t>développement web lisbonne</t>
        </is>
      </c>
      <c r="H702" t="inlineStr">
        <is>
          <t>SUPPORTS PRIMARY</t>
        </is>
      </c>
      <c r="I702" t="inlineStr">
        <is>
          <t>pt</t>
        </is>
      </c>
      <c r="J702" t="inlineStr">
        <is>
          <t>NOT AVAILABLE</t>
        </is>
      </c>
      <c r="K702" t="inlineStr">
        <is>
          <t>NOT AVAILABLE</t>
        </is>
      </c>
      <c r="L702" t="inlineStr">
        <is>
          <t>NOT AVAILABLE</t>
        </is>
      </c>
      <c r="M702" t="inlineStr">
        <is>
          <t>UNAVAILABLE</t>
        </is>
      </c>
      <c r="N702" t="inlineStr">
        <is>
          <t>Yes (supporting block)</t>
        </is>
      </c>
      <c r="O702" s="5" t="inlineStr">
        <is>
          <t>Supports the primary topic - add only if natural</t>
        </is>
      </c>
      <c r="P702" s="5" t="inlineStr"/>
      <c r="Q702" t="inlineStr">
        <is>
          <t>P3</t>
        </is>
      </c>
      <c r="R702" t="n">
        <v>193</v>
      </c>
      <c r="S702" s="5" t="inlineStr">
        <is>
          <t>Réservez un appel découverte pour discuter de vos besoins spécifiques et obtenir un devis sur mesure Recommandé Développement de Sites Web Site web complet avec fonctionnalités IA, tableaux de bord et design premium livr</t>
        </is>
      </c>
    </row>
    <row r="703">
      <c r="A703" s="3" t="inlineStr">
        <is>
          <t>https://codesommet.com/web-development-company/lisbon</t>
        </is>
      </c>
      <c r="B703" t="n">
        <v>8</v>
      </c>
      <c r="C703" t="inlineStr">
        <is>
          <t>CTA / conversion</t>
        </is>
      </c>
      <c r="D703" s="5" t="inlineStr">
        <is>
          <t>Prêt à Améliorer Votre Site Web à Lisbonne ?</t>
        </is>
      </c>
      <c r="E703" t="inlineStr">
        <is>
          <t>H2</t>
        </is>
      </c>
      <c r="F703" s="5" t="inlineStr">
        <is>
          <t>Conversion</t>
        </is>
      </c>
      <c r="G703" t="inlineStr">
        <is>
          <t>—</t>
        </is>
      </c>
      <c r="H703" t="inlineStr">
        <is>
          <t>NONE</t>
        </is>
      </c>
      <c r="I703" t="inlineStr">
        <is>
          <t>—</t>
        </is>
      </c>
      <c r="J703" t="inlineStr">
        <is>
          <t>—</t>
        </is>
      </c>
      <c r="K703" t="inlineStr">
        <is>
          <t>—</t>
        </is>
      </c>
      <c r="L703" t="inlineStr">
        <is>
          <t>—</t>
        </is>
      </c>
      <c r="M703" t="inlineStr">
        <is>
          <t>—</t>
        </is>
      </c>
      <c r="N703" t="inlineStr">
        <is>
          <t>n/a</t>
        </is>
      </c>
      <c r="O703" s="5" t="inlineStr">
        <is>
          <t>No keyword target - keep conversion/navigation focus; use descriptive, non-repeated anchor texts</t>
        </is>
      </c>
      <c r="P703" s="5" t="inlineStr"/>
      <c r="Q703" t="inlineStr">
        <is>
          <t>P4</t>
        </is>
      </c>
      <c r="R703" t="n">
        <v>40</v>
      </c>
      <c r="S703" s="5" t="inlineStr">
        <is>
          <t>Obtenez d'abord une analyse gratuite complète : Audit SEO Vérification des performances Revue du design Recommandations alimentées par l'IA Analyser Votre Site Web - 100% Gratuit Aucune carte de crédit requise • Résultat</t>
        </is>
      </c>
    </row>
    <row r="704">
      <c r="A704" s="3" t="inlineStr">
        <is>
          <t>https://codesommet.com/web-development-company/lisbon</t>
        </is>
      </c>
      <c r="B704" t="n">
        <v>9</v>
      </c>
      <c r="C704" t="inlineStr">
        <is>
          <t>Why us / differentiation</t>
        </is>
      </c>
      <c r="D704" s="5" t="inlineStr">
        <is>
          <t>CodeSommet Lisbonne vs Autres</t>
        </is>
      </c>
      <c r="E704" t="inlineStr">
        <is>
          <t>H2</t>
        </is>
      </c>
      <c r="F704" s="5" t="inlineStr">
        <is>
          <t>Commercial investigation</t>
        </is>
      </c>
      <c r="G704" t="inlineStr">
        <is>
          <t>développement web lisbonne</t>
        </is>
      </c>
      <c r="H704" t="inlineStr">
        <is>
          <t>SUPPORTS PRIMARY</t>
        </is>
      </c>
      <c r="I704" t="inlineStr">
        <is>
          <t>pt</t>
        </is>
      </c>
      <c r="J704" t="inlineStr">
        <is>
          <t>NOT AVAILABLE</t>
        </is>
      </c>
      <c r="K704" t="inlineStr">
        <is>
          <t>NOT AVAILABLE</t>
        </is>
      </c>
      <c r="L704" t="inlineStr">
        <is>
          <t>NOT AVAILABLE</t>
        </is>
      </c>
      <c r="M704" t="inlineStr">
        <is>
          <t>UNAVAILABLE</t>
        </is>
      </c>
      <c r="N704" t="inlineStr">
        <is>
          <t>Yes</t>
        </is>
      </c>
      <c r="O704" s="5" t="inlineStr">
        <is>
          <t>Covered - keep wording; no change</t>
        </is>
      </c>
      <c r="P704" s="5" t="inlineStr"/>
      <c r="Q704" t="inlineStr">
        <is>
          <t>P3</t>
        </is>
      </c>
      <c r="R704" t="n">
        <v>99</v>
      </c>
      <c r="S704" s="5" t="inlineStr">
        <is>
          <t>Découvrez pourquoi Lisbonne les entreprises choisissent CodeSommet plutôt que d'autres agences locales et internationales. Fonctionnalité CodeSommet Lisbonne Autres Agences de Lisbonne Agences Internationales Révisions I</t>
        </is>
      </c>
    </row>
    <row r="705">
      <c r="A705" s="3" t="inlineStr">
        <is>
          <t>https://codesommet.com/web-development-company/lisbon</t>
        </is>
      </c>
      <c r="B705" t="n">
        <v>10</v>
      </c>
      <c r="C705" t="inlineStr">
        <is>
          <t>Testimonials / social proof</t>
        </is>
      </c>
      <c r="D705" s="5" t="inlineStr">
        <is>
          <t>Ce Que les Clients de Lisbonne Disent de Nous</t>
        </is>
      </c>
      <c r="E705" t="inlineStr">
        <is>
          <t>H2</t>
        </is>
      </c>
      <c r="F705" s="5" t="inlineStr">
        <is>
          <t>Commercial investigation</t>
        </is>
      </c>
      <c r="G705" t="inlineStr">
        <is>
          <t>développement web lisbonne</t>
        </is>
      </c>
      <c r="H705" t="inlineStr">
        <is>
          <t>SUPPORTS PRIMARY</t>
        </is>
      </c>
      <c r="I705" t="inlineStr">
        <is>
          <t>pt</t>
        </is>
      </c>
      <c r="J705" t="inlineStr">
        <is>
          <t>NOT AVAILABLE</t>
        </is>
      </c>
      <c r="K705" t="inlineStr">
        <is>
          <t>NOT AVAILABLE</t>
        </is>
      </c>
      <c r="L705" t="inlineStr">
        <is>
          <t>NOT AVAILABLE</t>
        </is>
      </c>
      <c r="M705" t="inlineStr">
        <is>
          <t>UNAVAILABLE</t>
        </is>
      </c>
      <c r="N705" t="inlineStr">
        <is>
          <t>Yes (supporting block)</t>
        </is>
      </c>
      <c r="O705" s="5" t="inlineStr">
        <is>
          <t>Supports the primary topic - add only if natural</t>
        </is>
      </c>
      <c r="P705" s="5" t="inlineStr"/>
      <c r="Q705" t="inlineStr">
        <is>
          <t>P3</t>
        </is>
      </c>
      <c r="R705" t="n">
        <v>103</v>
      </c>
      <c r="S705" s="5" t="inlineStr">
        <is>
          <t>Ne nous croyez pas sur parole. Écoutez les entreprises de Lisbonne qui ont obtenu des résultats remarquables avec CodeSommet. "Une collaboration professionnelle du début à la fin. Je recommande sans hésiter." Mohammed Ch</t>
        </is>
      </c>
    </row>
    <row r="706">
      <c r="A706" s="3" t="inlineStr">
        <is>
          <t>https://codesommet.com/web-development-company/lisbon</t>
        </is>
      </c>
      <c r="B706" t="n">
        <v>11</v>
      </c>
      <c r="C706" t="inlineStr">
        <is>
          <t>Process / how it works</t>
        </is>
      </c>
      <c r="D706" s="5" t="inlineStr">
        <is>
          <t>Comment démarrer en 3 étapes simples</t>
        </is>
      </c>
      <c r="E706" t="inlineStr">
        <is>
          <t>H2</t>
        </is>
      </c>
      <c r="F706" s="5" t="inlineStr">
        <is>
          <t>Informational / commercial</t>
        </is>
      </c>
      <c r="G706" t="inlineStr">
        <is>
          <t>développement web lisbonne</t>
        </is>
      </c>
      <c r="H706" t="inlineStr">
        <is>
          <t>SUPPORTS PRIMARY</t>
        </is>
      </c>
      <c r="I706" t="inlineStr">
        <is>
          <t>pt</t>
        </is>
      </c>
      <c r="J706" t="inlineStr">
        <is>
          <t>NOT AVAILABLE</t>
        </is>
      </c>
      <c r="K706" t="inlineStr">
        <is>
          <t>NOT AVAILABLE</t>
        </is>
      </c>
      <c r="L706" t="inlineStr">
        <is>
          <t>NOT AVAILABLE</t>
        </is>
      </c>
      <c r="M706" t="inlineStr">
        <is>
          <t>UNAVAILABLE</t>
        </is>
      </c>
      <c r="N706" t="inlineStr">
        <is>
          <t>Yes (supporting block)</t>
        </is>
      </c>
      <c r="O706" s="5" t="inlineStr">
        <is>
          <t>Supports the primary topic - add only if natural</t>
        </is>
      </c>
      <c r="P706" s="5" t="inlineStr"/>
      <c r="Q706" t="inlineStr">
        <is>
          <t>P3</t>
        </is>
      </c>
      <c r="R706" t="n">
        <v>286</v>
      </c>
      <c r="S706" s="5" t="inlineStr">
        <is>
          <t>Du premier appel à la livraison du projet, découvrez exactement comment nous travaillons ensemble Étape 1 Abonnement 1 projet actif Révisions illimitées Design &amp; développement SEO &amp; contenu Recommandé Développement de Si</t>
        </is>
      </c>
    </row>
    <row r="707">
      <c r="A707" s="3" t="inlineStr">
        <is>
          <t>https://codesommet.com/web-development-company/lisbon</t>
        </is>
      </c>
      <c r="B707" t="n">
        <v>12</v>
      </c>
      <c r="C707" t="inlineStr">
        <is>
          <t>FAQ</t>
        </is>
      </c>
      <c r="D707" s="5" t="inlineStr">
        <is>
          <t>Questions Fréquemment Posées sur le Développement Web à Lisbonne</t>
        </is>
      </c>
      <c r="E707" t="inlineStr">
        <is>
          <t>H2</t>
        </is>
      </c>
      <c r="F707" s="5" t="inlineStr">
        <is>
          <t>Informational (pre-purchase questions)</t>
        </is>
      </c>
      <c r="G707" t="inlineStr">
        <is>
          <t>développement web lisbonne</t>
        </is>
      </c>
      <c r="H707" t="inlineStr">
        <is>
          <t>SUPPORTS PRIMARY</t>
        </is>
      </c>
      <c r="I707" t="inlineStr">
        <is>
          <t>pt</t>
        </is>
      </c>
      <c r="J707" t="inlineStr">
        <is>
          <t>NOT AVAILABLE</t>
        </is>
      </c>
      <c r="K707" t="inlineStr">
        <is>
          <t>NOT AVAILABLE</t>
        </is>
      </c>
      <c r="L707" t="inlineStr">
        <is>
          <t>NOT AVAILABLE</t>
        </is>
      </c>
      <c r="M707" t="inlineStr">
        <is>
          <t>UNAVAILABLE</t>
        </is>
      </c>
      <c r="N707" t="inlineStr">
        <is>
          <t>Yes</t>
        </is>
      </c>
      <c r="O707" s="5" t="inlineStr">
        <is>
          <t>Covered - keep wording; no change</t>
        </is>
      </c>
      <c r="P707" s="5" t="inlineStr"/>
      <c r="Q707" t="inlineStr">
        <is>
          <t>P3</t>
        </is>
      </c>
      <c r="R707" t="n">
        <v>381</v>
      </c>
      <c r="S707" s="5" t="inlineStr">
        <is>
          <t>Vous avez des questions ? Nous avons les réponses. Voici les questions les plus fréquentes des entreprises de Lisbonne. 1 Avez-vous un bureau physique à Lisbonne ? Nous n'avons pas de bureau à Lisbonne : notre équipe tra</t>
        </is>
      </c>
    </row>
    <row r="708">
      <c r="A708" s="3" t="inlineStr">
        <is>
          <t>https://codesommet.com/web-development-company/lisbon</t>
        </is>
      </c>
      <c r="B708" t="n">
        <v>13</v>
      </c>
      <c r="C708" t="inlineStr">
        <is>
          <t>Internal-link block</t>
        </is>
      </c>
      <c r="D708" s="5" t="inlineStr">
        <is>
          <t>Nous Desservons Aussi</t>
        </is>
      </c>
      <c r="E708" t="inlineStr">
        <is>
          <t>H2</t>
        </is>
      </c>
      <c r="F708" s="5" t="inlineStr">
        <is>
          <t>Navigation</t>
        </is>
      </c>
      <c r="G708" t="inlineStr">
        <is>
          <t>—</t>
        </is>
      </c>
      <c r="H708" t="inlineStr">
        <is>
          <t>NONE</t>
        </is>
      </c>
      <c r="I708" t="inlineStr">
        <is>
          <t>—</t>
        </is>
      </c>
      <c r="J708" t="inlineStr">
        <is>
          <t>—</t>
        </is>
      </c>
      <c r="K708" t="inlineStr">
        <is>
          <t>—</t>
        </is>
      </c>
      <c r="L708" t="inlineStr">
        <is>
          <t>—</t>
        </is>
      </c>
      <c r="M708" t="inlineStr">
        <is>
          <t>—</t>
        </is>
      </c>
      <c r="N708" t="inlineStr">
        <is>
          <t>n/a</t>
        </is>
      </c>
      <c r="O708" s="5" t="inlineStr">
        <is>
          <t>No keyword target - keep conversion/navigation focus; use descriptive, non-repeated anchor texts</t>
        </is>
      </c>
      <c r="P708" s="5" t="inlineStr"/>
      <c r="Q708" t="inlineStr">
        <is>
          <t>P4</t>
        </is>
      </c>
      <c r="R708" t="n">
        <v>28</v>
      </c>
      <c r="S708" s="5" t="inlineStr">
        <is>
          <t>Explorez nos services de développement web dans d'autres villes à travers le monde Barcelone Espagne Madrid Espagne Rome Italie Milan Italie Agence Barcelone Espagne Voir Toutes les Villes</t>
        </is>
      </c>
    </row>
    <row r="709">
      <c r="A709" s="3" t="inlineStr">
        <is>
          <t>https://codesommet.com/web-development-company/lisbon</t>
        </is>
      </c>
      <c r="B709" t="n">
        <v>14</v>
      </c>
      <c r="C709" t="inlineStr">
        <is>
          <t>Internal-link block</t>
        </is>
      </c>
      <c r="D709" s="5" t="inlineStr">
        <is>
          <t>Explorer Plus</t>
        </is>
      </c>
      <c r="E709" t="inlineStr">
        <is>
          <t>H2</t>
        </is>
      </c>
      <c r="F709" s="5" t="inlineStr">
        <is>
          <t>Navigation</t>
        </is>
      </c>
      <c r="G709" t="inlineStr">
        <is>
          <t>—</t>
        </is>
      </c>
      <c r="H709" t="inlineStr">
        <is>
          <t>NONE</t>
        </is>
      </c>
      <c r="I709" t="inlineStr">
        <is>
          <t>—</t>
        </is>
      </c>
      <c r="J709" t="inlineStr">
        <is>
          <t>—</t>
        </is>
      </c>
      <c r="K709" t="inlineStr">
        <is>
          <t>—</t>
        </is>
      </c>
      <c r="L709" t="inlineStr">
        <is>
          <t>—</t>
        </is>
      </c>
      <c r="M709" t="inlineStr">
        <is>
          <t>—</t>
        </is>
      </c>
      <c r="N709" t="inlineStr">
        <is>
          <t>n/a</t>
        </is>
      </c>
      <c r="O709" s="5" t="inlineStr">
        <is>
          <t>No keyword target - keep conversion/navigation focus; use descriptive, non-repeated anchor texts</t>
        </is>
      </c>
      <c r="P709" s="5" t="inlineStr"/>
      <c r="Q709" t="inlineStr">
        <is>
          <t>P4</t>
        </is>
      </c>
      <c r="R709" t="n">
        <v>83</v>
      </c>
      <c r="S709" s="5" t="inlineStr">
        <is>
          <t xml:space="preserve">Découvrez ce qui fait de CodeSommet votre partenaire idéal en développement web Audit Gratuit de Site Web Obtenez une analyse alimentée par l'IA avec plus de 40 vérifications En savoir plus Voir Nos Projets Explorez les </t>
        </is>
      </c>
    </row>
    <row r="710">
      <c r="A710" s="3" t="inlineStr">
        <is>
          <t>https://codesommet.com/web-development-company/lisbon</t>
        </is>
      </c>
      <c r="B710" t="n">
        <v>15</v>
      </c>
      <c r="C710" t="inlineStr">
        <is>
          <t>CTA / conversion</t>
        </is>
      </c>
      <c r="D710" s="5" t="inlineStr">
        <is>
          <t>Prêt à Créer Quelque Chose d'Extraordinaire ?</t>
        </is>
      </c>
      <c r="E710" t="inlineStr">
        <is>
          <t>H2</t>
        </is>
      </c>
      <c r="F710" s="5" t="inlineStr">
        <is>
          <t>Conversion</t>
        </is>
      </c>
      <c r="G710" t="inlineStr">
        <is>
          <t>—</t>
        </is>
      </c>
      <c r="H710" t="inlineStr">
        <is>
          <t>NONE</t>
        </is>
      </c>
      <c r="I710" t="inlineStr">
        <is>
          <t>—</t>
        </is>
      </c>
      <c r="J710" t="inlineStr">
        <is>
          <t>—</t>
        </is>
      </c>
      <c r="K710" t="inlineStr">
        <is>
          <t>—</t>
        </is>
      </c>
      <c r="L710" t="inlineStr">
        <is>
          <t>—</t>
        </is>
      </c>
      <c r="M710" t="inlineStr">
        <is>
          <t>—</t>
        </is>
      </c>
      <c r="N710" t="inlineStr">
        <is>
          <t>n/a</t>
        </is>
      </c>
      <c r="O710" s="5" t="inlineStr">
        <is>
          <t>No keyword target - keep conversion/navigation focus; use descriptive, non-repeated anchor texts</t>
        </is>
      </c>
      <c r="P710" s="5" t="inlineStr"/>
      <c r="Q710" t="inlineStr">
        <is>
          <t>P4</t>
        </is>
      </c>
      <c r="R710" t="n">
        <v>119</v>
      </c>
      <c r="S710" s="5" t="inlineStr">
        <is>
          <t>Rejoignez les entreprises visionnaires qui ont choisi l'excellence Réserver un Appel Découverte Analyser Mon Site Gratuitement Réserver un Appel Découverte Analyser Votre Site Web Discutons de la façon dont l'IA et le de</t>
        </is>
      </c>
    </row>
    <row r="711">
      <c r="A711" s="3" t="inlineStr">
        <is>
          <t>https://codesommet.com/web-development-company/rome</t>
        </is>
      </c>
      <c r="B711" t="n">
        <v>1</v>
      </c>
      <c r="C711" t="inlineStr">
        <is>
          <t>Hero / H1</t>
        </is>
      </c>
      <c r="D711" s="5" t="inlineStr">
        <is>
          <t>Développement Web à Rome, Italie : des sites web qui génèrent CROISSANCE COMMERCIALE À ROME</t>
        </is>
      </c>
      <c r="E711" t="inlineStr">
        <is>
          <t>H1</t>
        </is>
      </c>
      <c r="F711" s="5" t="inlineStr">
        <is>
          <t>Commercial (local)</t>
        </is>
      </c>
      <c r="G711" t="inlineStr">
        <is>
          <t>développement web rome</t>
        </is>
      </c>
      <c r="H711" t="inlineStr">
        <is>
          <t>PRIMARY</t>
        </is>
      </c>
      <c r="I711" t="inlineStr">
        <is>
          <t>it</t>
        </is>
      </c>
      <c r="J711" t="inlineStr">
        <is>
          <t>NOT AVAILABLE</t>
        </is>
      </c>
      <c r="K711" t="inlineStr">
        <is>
          <t>NOT AVAILABLE</t>
        </is>
      </c>
      <c r="L711" t="inlineStr">
        <is>
          <t>NOT AVAILABLE</t>
        </is>
      </c>
      <c r="M711" t="inlineStr">
        <is>
          <t>UNAVAILABLE</t>
        </is>
      </c>
      <c r="N711" t="inlineStr">
        <is>
          <t>Yes</t>
        </is>
      </c>
      <c r="O711" s="5" t="inlineStr">
        <is>
          <t>Covered - keep wording; no change</t>
        </is>
      </c>
      <c r="P711" s="5" t="inlineStr"/>
      <c r="Q711" t="inlineStr">
        <is>
          <t>P3</t>
        </is>
      </c>
      <c r="R711" t="n">
        <v>69</v>
      </c>
      <c r="S711" s="5" t="inlineStr">
        <is>
          <t>Studio de développement web basé au Maroc au service des entreprises du monde entier. Nous créons des sites web alimentés par l'IA et des tableaux de bord intelligents à distance. Sites web de qualité premium livrés en 7</t>
        </is>
      </c>
    </row>
    <row r="712">
      <c r="A712" s="3" t="inlineStr">
        <is>
          <t>https://codesommet.com/web-development-company/rome</t>
        </is>
      </c>
      <c r="B712" t="n">
        <v>2</v>
      </c>
      <c r="C712" t="inlineStr">
        <is>
          <t>Why us / differentiation</t>
        </is>
      </c>
      <c r="D712" s="5" t="inlineStr">
        <is>
          <t>Pourquoi Choisir CodeSommet in Rome ?</t>
        </is>
      </c>
      <c r="E712" t="inlineStr">
        <is>
          <t>H2</t>
        </is>
      </c>
      <c r="F712" s="5" t="inlineStr">
        <is>
          <t>Commercial investigation</t>
        </is>
      </c>
      <c r="G712" t="inlineStr">
        <is>
          <t>développement web rome</t>
        </is>
      </c>
      <c r="H712" t="inlineStr">
        <is>
          <t>SUPPORTS PRIMARY</t>
        </is>
      </c>
      <c r="I712" t="inlineStr">
        <is>
          <t>it</t>
        </is>
      </c>
      <c r="J712" t="inlineStr">
        <is>
          <t>NOT AVAILABLE</t>
        </is>
      </c>
      <c r="K712" t="inlineStr">
        <is>
          <t>NOT AVAILABLE</t>
        </is>
      </c>
      <c r="L712" t="inlineStr">
        <is>
          <t>NOT AVAILABLE</t>
        </is>
      </c>
      <c r="M712" t="inlineStr">
        <is>
          <t>UNAVAILABLE</t>
        </is>
      </c>
      <c r="N712" t="inlineStr">
        <is>
          <t>Yes</t>
        </is>
      </c>
      <c r="O712" s="5" t="inlineStr">
        <is>
          <t>Covered - keep wording; no change</t>
        </is>
      </c>
      <c r="P712" s="5" t="inlineStr"/>
      <c r="Q712" t="inlineStr">
        <is>
          <t>P3</t>
        </is>
      </c>
      <c r="R712" t="n">
        <v>160</v>
      </c>
      <c r="S712" s="5" t="inlineStr">
        <is>
          <t>L'expertise locale rencontre les standards mondiaux. Voici ce qui fait de nous le partenaire idéal en développement web à Rome. Experts en IA Créez des chatbots intelligents, des flux d'automatisation, des recherches pro</t>
        </is>
      </c>
    </row>
    <row r="713">
      <c r="A713" s="3" t="inlineStr">
        <is>
          <t>https://codesommet.com/web-development-company/rome</t>
        </is>
      </c>
      <c r="B713" t="n">
        <v>3</v>
      </c>
      <c r="C713" t="inlineStr">
        <is>
          <t>Services / features</t>
        </is>
      </c>
      <c r="D713" s="5" t="inlineStr">
        <is>
          <t>Ce que nous apportons aux entreprises de Rome</t>
        </is>
      </c>
      <c r="E713" t="inlineStr">
        <is>
          <t>H2</t>
        </is>
      </c>
      <c r="F713" s="5" t="inlineStr">
        <is>
          <t>Commercial (local)</t>
        </is>
      </c>
      <c r="G713" t="inlineStr">
        <is>
          <t>développement web rome</t>
        </is>
      </c>
      <c r="H713" t="inlineStr">
        <is>
          <t>SUPPORTS PRIMARY</t>
        </is>
      </c>
      <c r="I713" t="inlineStr">
        <is>
          <t>it</t>
        </is>
      </c>
      <c r="J713" t="inlineStr">
        <is>
          <t>NOT AVAILABLE</t>
        </is>
      </c>
      <c r="K713" t="inlineStr">
        <is>
          <t>NOT AVAILABLE</t>
        </is>
      </c>
      <c r="L713" t="inlineStr">
        <is>
          <t>NOT AVAILABLE</t>
        </is>
      </c>
      <c r="M713" t="inlineStr">
        <is>
          <t>UNAVAILABLE</t>
        </is>
      </c>
      <c r="N713" t="inlineStr">
        <is>
          <t>Yes (supporting block)</t>
        </is>
      </c>
      <c r="O713" s="5" t="inlineStr">
        <is>
          <t>Supports the primary topic - add only if natural</t>
        </is>
      </c>
      <c r="P713" s="5" t="inlineStr"/>
      <c r="Q713" t="inlineStr">
        <is>
          <t>P3</t>
        </is>
      </c>
      <c r="R713" t="n">
        <v>6</v>
      </c>
      <c r="S713" s="5" t="inlineStr">
        <is>
          <t>Projets livrés à distance Expertise Sectorielle</t>
        </is>
      </c>
    </row>
    <row r="714">
      <c r="A714" s="3" t="inlineStr">
        <is>
          <t>https://codesommet.com/web-development-company/rome</t>
        </is>
      </c>
      <c r="B714" t="n">
        <v>4</v>
      </c>
      <c r="C714" t="inlineStr">
        <is>
          <t>Content block</t>
        </is>
      </c>
      <c r="D714" s="5" t="inlineStr">
        <is>
          <t>Rome Nos Secteurs de Spécialisation</t>
        </is>
      </c>
      <c r="E714" t="inlineStr">
        <is>
          <t>H2</t>
        </is>
      </c>
      <c r="F714" s="5" t="inlineStr">
        <is>
          <t>Commercial (local)</t>
        </is>
      </c>
      <c r="G714" t="inlineStr">
        <is>
          <t>développement web rome</t>
        </is>
      </c>
      <c r="H714" t="inlineStr">
        <is>
          <t>SUPPORTS PRIMARY</t>
        </is>
      </c>
      <c r="I714" t="inlineStr">
        <is>
          <t>it</t>
        </is>
      </c>
      <c r="J714" t="inlineStr">
        <is>
          <t>NOT AVAILABLE</t>
        </is>
      </c>
      <c r="K714" t="inlineStr">
        <is>
          <t>NOT AVAILABLE</t>
        </is>
      </c>
      <c r="L714" t="inlineStr">
        <is>
          <t>NOT AVAILABLE</t>
        </is>
      </c>
      <c r="M714" t="inlineStr">
        <is>
          <t>UNAVAILABLE</t>
        </is>
      </c>
      <c r="N714" t="inlineStr">
        <is>
          <t>Yes</t>
        </is>
      </c>
      <c r="O714" s="5" t="inlineStr">
        <is>
          <t>Covered - keep wording; no change</t>
        </is>
      </c>
      <c r="P714" s="5" t="inlineStr"/>
      <c r="Q714" t="inlineStr">
        <is>
          <t>P3</t>
        </is>
      </c>
      <c r="R714" t="n">
        <v>192</v>
      </c>
      <c r="S714" s="5" t="inlineStr">
        <is>
          <t>Une expertise approfondie dans les secteurs clés de Rome . Nous comprenons les défis propres à votre secteur et ses exigences de conformité. FinTech Plateformes financières sécurisées avec traitement des paiements, confo</t>
        </is>
      </c>
    </row>
    <row r="715">
      <c r="A715" s="3" t="inlineStr">
        <is>
          <t>https://codesommet.com/web-development-company/rome</t>
        </is>
      </c>
      <c r="B715" t="n">
        <v>5</v>
      </c>
      <c r="C715" t="inlineStr">
        <is>
          <t>Services / features</t>
        </is>
      </c>
      <c r="D715" s="5" t="inlineStr">
        <is>
          <t>Ce que nous construisons pour Rome</t>
        </is>
      </c>
      <c r="E715" t="inlineStr">
        <is>
          <t>H2</t>
        </is>
      </c>
      <c r="F715" s="5" t="inlineStr">
        <is>
          <t>Commercial (local)</t>
        </is>
      </c>
      <c r="G715" t="inlineStr">
        <is>
          <t>développement web rome</t>
        </is>
      </c>
      <c r="H715" t="inlineStr">
        <is>
          <t>SUPPORTS PRIMARY</t>
        </is>
      </c>
      <c r="I715" t="inlineStr">
        <is>
          <t>it</t>
        </is>
      </c>
      <c r="J715" t="inlineStr">
        <is>
          <t>NOT AVAILABLE</t>
        </is>
      </c>
      <c r="K715" t="inlineStr">
        <is>
          <t>NOT AVAILABLE</t>
        </is>
      </c>
      <c r="L715" t="inlineStr">
        <is>
          <t>NOT AVAILABLE</t>
        </is>
      </c>
      <c r="M715" t="inlineStr">
        <is>
          <t>UNAVAILABLE</t>
        </is>
      </c>
      <c r="N715" t="inlineStr">
        <is>
          <t>Yes (supporting block)</t>
        </is>
      </c>
      <c r="O715" s="5" t="inlineStr">
        <is>
          <t>Supports the primary topic - add only if natural</t>
        </is>
      </c>
      <c r="P715" s="5" t="inlineStr"/>
      <c r="Q715" t="inlineStr">
        <is>
          <t>P3</t>
        </is>
      </c>
      <c r="R715" t="n">
        <v>73</v>
      </c>
      <c r="S715" s="5" t="inlineStr">
        <is>
          <t>Des projets réels, livrés à distance. Découvrez ce que nous pouvons construire pour votre entreprise à Rome , en collaboration à distance. Beauté Boutique en ligne avec catalogue, paiement et suivi des commandes GlamWorl</t>
        </is>
      </c>
    </row>
    <row r="716">
      <c r="A716" s="3" t="inlineStr">
        <is>
          <t>https://codesommet.com/web-development-company/rome</t>
        </is>
      </c>
      <c r="B716" t="n">
        <v>6</v>
      </c>
      <c r="C716" t="inlineStr">
        <is>
          <t>Process / how it works</t>
        </is>
      </c>
      <c r="D716" s="5" t="inlineStr">
        <is>
          <t>Comment Nous Concevons des Plateformes Immobilières Sur Mesure pour les Entreprises de Rome</t>
        </is>
      </c>
      <c r="E716" t="inlineStr">
        <is>
          <t>H2</t>
        </is>
      </c>
      <c r="F716" s="5" t="inlineStr">
        <is>
          <t>Informational / commercial</t>
        </is>
      </c>
      <c r="G716" t="inlineStr">
        <is>
          <t>développement web rome</t>
        </is>
      </c>
      <c r="H716" t="inlineStr">
        <is>
          <t>SUPPORTS PRIMARY</t>
        </is>
      </c>
      <c r="I716" t="inlineStr">
        <is>
          <t>it</t>
        </is>
      </c>
      <c r="J716" t="inlineStr">
        <is>
          <t>NOT AVAILABLE</t>
        </is>
      </c>
      <c r="K716" t="inlineStr">
        <is>
          <t>NOT AVAILABLE</t>
        </is>
      </c>
      <c r="L716" t="inlineStr">
        <is>
          <t>NOT AVAILABLE</t>
        </is>
      </c>
      <c r="M716" t="inlineStr">
        <is>
          <t>UNAVAILABLE</t>
        </is>
      </c>
      <c r="N716" t="inlineStr">
        <is>
          <t>Yes (supporting block)</t>
        </is>
      </c>
      <c r="O716" s="5" t="inlineStr">
        <is>
          <t>Supports the primary topic - add only if natural</t>
        </is>
      </c>
      <c r="P716" s="5" t="inlineStr"/>
      <c r="Q716" t="inlineStr">
        <is>
          <t>P3</t>
        </is>
      </c>
      <c r="R716" t="n">
        <v>194</v>
      </c>
      <c r="S716" s="5" t="inlineStr">
        <is>
          <t xml:space="preserve">Entreprises de gestion et de promotion immobilière • Immobilier &amp; PropTech • 4 mois Le Défi Les sociétés immobilières et de gestion de biens à Rome perdent souvent des prospects faute d'outils adaptés : suivi manuel des </t>
        </is>
      </c>
    </row>
    <row r="717">
      <c r="A717" s="3" t="inlineStr">
        <is>
          <t>https://codesommet.com/web-development-company/rome</t>
        </is>
      </c>
      <c r="B717" t="n">
        <v>7</v>
      </c>
      <c r="C717" t="inlineStr">
        <is>
          <t>Pricing / offers</t>
        </is>
      </c>
      <c r="D717" s="5" t="inlineStr">
        <is>
          <t>Solutions sur mesure, tarification transparente</t>
        </is>
      </c>
      <c r="E717" t="inlineStr">
        <is>
          <t>H2</t>
        </is>
      </c>
      <c r="F717" s="5" t="inlineStr">
        <is>
          <t>Commercial / transactional</t>
        </is>
      </c>
      <c r="G717" t="inlineStr">
        <is>
          <t>développement web rome</t>
        </is>
      </c>
      <c r="H717" t="inlineStr">
        <is>
          <t>SUPPORTS PRIMARY</t>
        </is>
      </c>
      <c r="I717" t="inlineStr">
        <is>
          <t>it</t>
        </is>
      </c>
      <c r="J717" t="inlineStr">
        <is>
          <t>NOT AVAILABLE</t>
        </is>
      </c>
      <c r="K717" t="inlineStr">
        <is>
          <t>NOT AVAILABLE</t>
        </is>
      </c>
      <c r="L717" t="inlineStr">
        <is>
          <t>NOT AVAILABLE</t>
        </is>
      </c>
      <c r="M717" t="inlineStr">
        <is>
          <t>UNAVAILABLE</t>
        </is>
      </c>
      <c r="N717" t="inlineStr">
        <is>
          <t>Yes (supporting block)</t>
        </is>
      </c>
      <c r="O717" s="5" t="inlineStr">
        <is>
          <t>Supports the primary topic - add only if natural</t>
        </is>
      </c>
      <c r="P717" s="5" t="inlineStr"/>
      <c r="Q717" t="inlineStr">
        <is>
          <t>P3</t>
        </is>
      </c>
      <c r="R717" t="n">
        <v>188</v>
      </c>
      <c r="S717" s="5" t="inlineStr">
        <is>
          <t>Réservez un appel découverte pour discuter de vos besoins spécifiques et obtenir un devis personnalisé Recommandé Développement Web Site web complet avec fonctionnalités IA, tableaux de bord et design premium livré en 2-</t>
        </is>
      </c>
    </row>
    <row r="718">
      <c r="A718" s="3" t="inlineStr">
        <is>
          <t>https://codesommet.com/web-development-company/rome</t>
        </is>
      </c>
      <c r="B718" t="n">
        <v>8</v>
      </c>
      <c r="C718" t="inlineStr">
        <is>
          <t>CTA / conversion</t>
        </is>
      </c>
      <c r="D718" s="5" t="inlineStr">
        <is>
          <t>Prêt à Améliorer Votre Site Web à Rome ?</t>
        </is>
      </c>
      <c r="E718" t="inlineStr">
        <is>
          <t>H2</t>
        </is>
      </c>
      <c r="F718" s="5" t="inlineStr">
        <is>
          <t>Conversion</t>
        </is>
      </c>
      <c r="G718" t="inlineStr">
        <is>
          <t>—</t>
        </is>
      </c>
      <c r="H718" t="inlineStr">
        <is>
          <t>NONE</t>
        </is>
      </c>
      <c r="I718" t="inlineStr">
        <is>
          <t>—</t>
        </is>
      </c>
      <c r="J718" t="inlineStr">
        <is>
          <t>—</t>
        </is>
      </c>
      <c r="K718" t="inlineStr">
        <is>
          <t>—</t>
        </is>
      </c>
      <c r="L718" t="inlineStr">
        <is>
          <t>—</t>
        </is>
      </c>
      <c r="M718" t="inlineStr">
        <is>
          <t>—</t>
        </is>
      </c>
      <c r="N718" t="inlineStr">
        <is>
          <t>n/a</t>
        </is>
      </c>
      <c r="O718" s="5" t="inlineStr">
        <is>
          <t>No keyword target - keep conversion/navigation focus; use descriptive, non-repeated anchor texts</t>
        </is>
      </c>
      <c r="P718" s="5" t="inlineStr"/>
      <c r="Q718" t="inlineStr">
        <is>
          <t>P4</t>
        </is>
      </c>
      <c r="R718" t="n">
        <v>39</v>
      </c>
      <c r="S718" s="5" t="inlineStr">
        <is>
          <t xml:space="preserve">Obtenez d'abord une analyse complète gratuite : Audit SEO Vérification de performance Revue de design Recommandations propulsées par l'IA Analyser Votre Site Web - 100 % Gratuit Aucune carte bancaire requise • Résultats </t>
        </is>
      </c>
    </row>
    <row r="719">
      <c r="A719" s="3" t="inlineStr">
        <is>
          <t>https://codesommet.com/web-development-company/rome</t>
        </is>
      </c>
      <c r="B719" t="n">
        <v>9</v>
      </c>
      <c r="C719" t="inlineStr">
        <is>
          <t>Why us / differentiation</t>
        </is>
      </c>
      <c r="D719" s="5" t="inlineStr">
        <is>
          <t>CodeSommet Rome vs Others</t>
        </is>
      </c>
      <c r="E719" t="inlineStr">
        <is>
          <t>H2</t>
        </is>
      </c>
      <c r="F719" s="5" t="inlineStr">
        <is>
          <t>Commercial investigation</t>
        </is>
      </c>
      <c r="G719" t="inlineStr">
        <is>
          <t>développement web rome</t>
        </is>
      </c>
      <c r="H719" t="inlineStr">
        <is>
          <t>SUPPORTS PRIMARY</t>
        </is>
      </c>
      <c r="I719" t="inlineStr">
        <is>
          <t>it</t>
        </is>
      </c>
      <c r="J719" t="inlineStr">
        <is>
          <t>NOT AVAILABLE</t>
        </is>
      </c>
      <c r="K719" t="inlineStr">
        <is>
          <t>NOT AVAILABLE</t>
        </is>
      </c>
      <c r="L719" t="inlineStr">
        <is>
          <t>NOT AVAILABLE</t>
        </is>
      </c>
      <c r="M719" t="inlineStr">
        <is>
          <t>UNAVAILABLE</t>
        </is>
      </c>
      <c r="N719" t="inlineStr">
        <is>
          <t>Yes</t>
        </is>
      </c>
      <c r="O719" s="5" t="inlineStr">
        <is>
          <t>Covered - keep wording; no change</t>
        </is>
      </c>
      <c r="P719" s="5" t="inlineStr"/>
      <c r="Q719" t="inlineStr">
        <is>
          <t>P3</t>
        </is>
      </c>
      <c r="R719" t="n">
        <v>93</v>
      </c>
      <c r="S719" s="5" t="inlineStr">
        <is>
          <t>Découvrez pourquoi Rome les entreprises choisissent CodeSommet plutôt que d'autres agences locales et internationales. Fonctionnalité CodeSommet Rome Autres Rome Agences Agences Internationales Révisions illimitées Dével</t>
        </is>
      </c>
    </row>
    <row r="720">
      <c r="A720" s="3" t="inlineStr">
        <is>
          <t>https://codesommet.com/web-development-company/rome</t>
        </is>
      </c>
      <c r="B720" t="n">
        <v>10</v>
      </c>
      <c r="C720" t="inlineStr">
        <is>
          <t>Testimonials / social proof</t>
        </is>
      </c>
      <c r="D720" s="5" t="inlineStr">
        <is>
          <t>Ce que nos clients de Rome disent de nous</t>
        </is>
      </c>
      <c r="E720" t="inlineStr">
        <is>
          <t>H2</t>
        </is>
      </c>
      <c r="F720" s="5" t="inlineStr">
        <is>
          <t>Commercial investigation</t>
        </is>
      </c>
      <c r="G720" t="inlineStr">
        <is>
          <t>développement web rome</t>
        </is>
      </c>
      <c r="H720" t="inlineStr">
        <is>
          <t>SUPPORTS PRIMARY</t>
        </is>
      </c>
      <c r="I720" t="inlineStr">
        <is>
          <t>it</t>
        </is>
      </c>
      <c r="J720" t="inlineStr">
        <is>
          <t>NOT AVAILABLE</t>
        </is>
      </c>
      <c r="K720" t="inlineStr">
        <is>
          <t>NOT AVAILABLE</t>
        </is>
      </c>
      <c r="L720" t="inlineStr">
        <is>
          <t>NOT AVAILABLE</t>
        </is>
      </c>
      <c r="M720" t="inlineStr">
        <is>
          <t>UNAVAILABLE</t>
        </is>
      </c>
      <c r="N720" t="inlineStr">
        <is>
          <t>Yes (supporting block)</t>
        </is>
      </c>
      <c r="O720" s="5" t="inlineStr">
        <is>
          <t>Supports the primary topic - add only if natural</t>
        </is>
      </c>
      <c r="P720" s="5" t="inlineStr"/>
      <c r="Q720" t="inlineStr">
        <is>
          <t>P3</t>
        </is>
      </c>
      <c r="R720" t="n">
        <v>103</v>
      </c>
      <c r="S720" s="5" t="inlineStr">
        <is>
          <t>Ne nous croyez pas sur parole. Écoutez les entreprises de Rome qui ont obtenu des résultats remarquables avec CodeSommet. "Une collaboration professionnelle du début à la fin. Je recommande sans hésiter." Mohammed Chajia</t>
        </is>
      </c>
    </row>
    <row r="721">
      <c r="A721" s="3" t="inlineStr">
        <is>
          <t>https://codesommet.com/web-development-company/rome</t>
        </is>
      </c>
      <c r="B721" t="n">
        <v>11</v>
      </c>
      <c r="C721" t="inlineStr">
        <is>
          <t>Process / how it works</t>
        </is>
      </c>
      <c r="D721" s="5" t="inlineStr">
        <is>
          <t>Comment démarrer en 3 étapes simples</t>
        </is>
      </c>
      <c r="E721" t="inlineStr">
        <is>
          <t>H2</t>
        </is>
      </c>
      <c r="F721" s="5" t="inlineStr">
        <is>
          <t>Informational / commercial</t>
        </is>
      </c>
      <c r="G721" t="inlineStr">
        <is>
          <t>développement web rome</t>
        </is>
      </c>
      <c r="H721" t="inlineStr">
        <is>
          <t>SUPPORTS PRIMARY</t>
        </is>
      </c>
      <c r="I721" t="inlineStr">
        <is>
          <t>it</t>
        </is>
      </c>
      <c r="J721" t="inlineStr">
        <is>
          <t>NOT AVAILABLE</t>
        </is>
      </c>
      <c r="K721" t="inlineStr">
        <is>
          <t>NOT AVAILABLE</t>
        </is>
      </c>
      <c r="L721" t="inlineStr">
        <is>
          <t>NOT AVAILABLE</t>
        </is>
      </c>
      <c r="M721" t="inlineStr">
        <is>
          <t>UNAVAILABLE</t>
        </is>
      </c>
      <c r="N721" t="inlineStr">
        <is>
          <t>Yes (supporting block)</t>
        </is>
      </c>
      <c r="O721" s="5" t="inlineStr">
        <is>
          <t>Supports the primary topic - add only if natural</t>
        </is>
      </c>
      <c r="P721" s="5" t="inlineStr"/>
      <c r="Q721" t="inlineStr">
        <is>
          <t>P3</t>
        </is>
      </c>
      <c r="R721" t="n">
        <v>286</v>
      </c>
      <c r="S721" s="5" t="inlineStr">
        <is>
          <t>Du premier appel à la livraison du projet, découvrez exactement comment nous travaillons ensemble Étape 1 Abonnement 1 projet actif Révisions illimitées Design &amp; développement SEO &amp; contenu Recommandé Développement de Si</t>
        </is>
      </c>
    </row>
    <row r="722">
      <c r="A722" s="3" t="inlineStr">
        <is>
          <t>https://codesommet.com/web-development-company/rome</t>
        </is>
      </c>
      <c r="B722" t="n">
        <v>12</v>
      </c>
      <c r="C722" t="inlineStr">
        <is>
          <t>FAQ</t>
        </is>
      </c>
      <c r="D722" s="5" t="inlineStr">
        <is>
          <t>Questions Fréquemment Posées sur le Développement Web à Rome</t>
        </is>
      </c>
      <c r="E722" t="inlineStr">
        <is>
          <t>H2</t>
        </is>
      </c>
      <c r="F722" s="5" t="inlineStr">
        <is>
          <t>Informational (pre-purchase questions)</t>
        </is>
      </c>
      <c r="G722" t="inlineStr">
        <is>
          <t>développement web rome</t>
        </is>
      </c>
      <c r="H722" t="inlineStr">
        <is>
          <t>SUPPORTS PRIMARY</t>
        </is>
      </c>
      <c r="I722" t="inlineStr">
        <is>
          <t>it</t>
        </is>
      </c>
      <c r="J722" t="inlineStr">
        <is>
          <t>NOT AVAILABLE</t>
        </is>
      </c>
      <c r="K722" t="inlineStr">
        <is>
          <t>NOT AVAILABLE</t>
        </is>
      </c>
      <c r="L722" t="inlineStr">
        <is>
          <t>NOT AVAILABLE</t>
        </is>
      </c>
      <c r="M722" t="inlineStr">
        <is>
          <t>UNAVAILABLE</t>
        </is>
      </c>
      <c r="N722" t="inlineStr">
        <is>
          <t>Yes</t>
        </is>
      </c>
      <c r="O722" s="5" t="inlineStr">
        <is>
          <t>Covered - keep wording; no change</t>
        </is>
      </c>
      <c r="P722" s="5" t="inlineStr"/>
      <c r="Q722" t="inlineStr">
        <is>
          <t>P3</t>
        </is>
      </c>
      <c r="R722" t="n">
        <v>378</v>
      </c>
      <c r="S722" s="5" t="inlineStr">
        <is>
          <t>Des questions ? Nous avons les réponses. Voici les questions les plus fréquentes des entreprises de Rome. 1 Avez-vous un bureau physique à Rome ? Nous n'avons pas de bureau à Rome : notre équipe travaille à distance depu</t>
        </is>
      </c>
    </row>
    <row r="723">
      <c r="A723" s="3" t="inlineStr">
        <is>
          <t>https://codesommet.com/web-development-company/rome</t>
        </is>
      </c>
      <c r="B723" t="n">
        <v>13</v>
      </c>
      <c r="C723" t="inlineStr">
        <is>
          <t>Internal-link block</t>
        </is>
      </c>
      <c r="D723" s="5" t="inlineStr">
        <is>
          <t>Nous Desservons Également</t>
        </is>
      </c>
      <c r="E723" t="inlineStr">
        <is>
          <t>H2</t>
        </is>
      </c>
      <c r="F723" s="5" t="inlineStr">
        <is>
          <t>Navigation</t>
        </is>
      </c>
      <c r="G723" t="inlineStr">
        <is>
          <t>—</t>
        </is>
      </c>
      <c r="H723" t="inlineStr">
        <is>
          <t>NONE</t>
        </is>
      </c>
      <c r="I723" t="inlineStr">
        <is>
          <t>—</t>
        </is>
      </c>
      <c r="J723" t="inlineStr">
        <is>
          <t>—</t>
        </is>
      </c>
      <c r="K723" t="inlineStr">
        <is>
          <t>—</t>
        </is>
      </c>
      <c r="L723" t="inlineStr">
        <is>
          <t>—</t>
        </is>
      </c>
      <c r="M723" t="inlineStr">
        <is>
          <t>—</t>
        </is>
      </c>
      <c r="N723" t="inlineStr">
        <is>
          <t>n/a</t>
        </is>
      </c>
      <c r="O723" s="5" t="inlineStr">
        <is>
          <t>No keyword target - keep conversion/navigation focus; use descriptive, non-repeated anchor texts</t>
        </is>
      </c>
      <c r="P723" s="5" t="inlineStr"/>
      <c r="Q723" t="inlineStr">
        <is>
          <t>P4</t>
        </is>
      </c>
      <c r="R723" t="n">
        <v>24</v>
      </c>
      <c r="S723" s="5" t="inlineStr">
        <is>
          <t>Explorez nos services de développement web dans d'autres villes à travers le monde Barcelone Espagne Madrid Espagne Lisbonne Portugal Milan Italie Voir Tout Locations</t>
        </is>
      </c>
    </row>
    <row r="724">
      <c r="A724" s="3" t="inlineStr">
        <is>
          <t>https://codesommet.com/web-development-company/rome</t>
        </is>
      </c>
      <c r="B724" t="n">
        <v>14</v>
      </c>
      <c r="C724" t="inlineStr">
        <is>
          <t>Internal-link block</t>
        </is>
      </c>
      <c r="D724" s="5" t="inlineStr">
        <is>
          <t>Explorer davantage</t>
        </is>
      </c>
      <c r="E724" t="inlineStr">
        <is>
          <t>H2</t>
        </is>
      </c>
      <c r="F724" s="5" t="inlineStr">
        <is>
          <t>Navigation</t>
        </is>
      </c>
      <c r="G724" t="inlineStr">
        <is>
          <t>—</t>
        </is>
      </c>
      <c r="H724" t="inlineStr">
        <is>
          <t>NONE</t>
        </is>
      </c>
      <c r="I724" t="inlineStr">
        <is>
          <t>—</t>
        </is>
      </c>
      <c r="J724" t="inlineStr">
        <is>
          <t>—</t>
        </is>
      </c>
      <c r="K724" t="inlineStr">
        <is>
          <t>—</t>
        </is>
      </c>
      <c r="L724" t="inlineStr">
        <is>
          <t>—</t>
        </is>
      </c>
      <c r="M724" t="inlineStr">
        <is>
          <t>—</t>
        </is>
      </c>
      <c r="N724" t="inlineStr">
        <is>
          <t>n/a</t>
        </is>
      </c>
      <c r="O724" s="5" t="inlineStr">
        <is>
          <t>No keyword target - keep conversion/navigation focus; use descriptive, non-repeated anchor texts</t>
        </is>
      </c>
      <c r="P724" s="5" t="inlineStr"/>
      <c r="Q724" t="inlineStr">
        <is>
          <t>P4</t>
        </is>
      </c>
      <c r="R724" t="n">
        <v>83</v>
      </c>
      <c r="S724" s="5" t="inlineStr">
        <is>
          <t>Découvrez ce qui fait de CodeSommet votre partenaire idéal en développement web Audit Gratuit de Site Web Obtenez une analyse alimentée par l'IA avec plus de 40 vérifications En savoir plus Voir Nos Projets Découvrez les</t>
        </is>
      </c>
    </row>
    <row r="725">
      <c r="A725" s="3" t="inlineStr">
        <is>
          <t>https://codesommet.com/web-development-company/rome</t>
        </is>
      </c>
      <c r="B725" t="n">
        <v>15</v>
      </c>
      <c r="C725" t="inlineStr">
        <is>
          <t>CTA / conversion</t>
        </is>
      </c>
      <c r="D725" s="5" t="inlineStr">
        <is>
          <t>Prêt à Créer Quelque Chose d'Extraordinaire ?</t>
        </is>
      </c>
      <c r="E725" t="inlineStr">
        <is>
          <t>H2</t>
        </is>
      </c>
      <c r="F725" s="5" t="inlineStr">
        <is>
          <t>Conversion</t>
        </is>
      </c>
      <c r="G725" t="inlineStr">
        <is>
          <t>—</t>
        </is>
      </c>
      <c r="H725" t="inlineStr">
        <is>
          <t>NONE</t>
        </is>
      </c>
      <c r="I725" t="inlineStr">
        <is>
          <t>—</t>
        </is>
      </c>
      <c r="J725" t="inlineStr">
        <is>
          <t>—</t>
        </is>
      </c>
      <c r="K725" t="inlineStr">
        <is>
          <t>—</t>
        </is>
      </c>
      <c r="L725" t="inlineStr">
        <is>
          <t>—</t>
        </is>
      </c>
      <c r="M725" t="inlineStr">
        <is>
          <t>—</t>
        </is>
      </c>
      <c r="N725" t="inlineStr">
        <is>
          <t>n/a</t>
        </is>
      </c>
      <c r="O725" s="5" t="inlineStr">
        <is>
          <t>No keyword target - keep conversion/navigation focus; use descriptive, non-repeated anchor texts</t>
        </is>
      </c>
      <c r="P725" s="5" t="inlineStr"/>
      <c r="Q725" t="inlineStr">
        <is>
          <t>P4</t>
        </is>
      </c>
      <c r="R725" t="n">
        <v>119</v>
      </c>
      <c r="S725" s="5" t="inlineStr">
        <is>
          <t>Rejoignez les entreprises visionnaires qui ont choisi l'excellence Réserver un Appel Découverte Analyser Mon Site Gratuitement Réserver un Appel Découverte Analyser Votre Site Web Discutons de la façon dont l'IA et le de</t>
        </is>
      </c>
    </row>
    <row r="726">
      <c r="A726" s="3" t="inlineStr">
        <is>
          <t>https://codesommet.com/web-development-company/milan</t>
        </is>
      </c>
      <c r="B726" t="n">
        <v>1</v>
      </c>
      <c r="C726" t="inlineStr">
        <is>
          <t>Hero / H1</t>
        </is>
      </c>
      <c r="D726" s="5" t="inlineStr">
        <is>
          <t>Développement Web à Milan, Italie : des sites web qui génèrent CROISSANCE COMMERCIALE À MILAN</t>
        </is>
      </c>
      <c r="E726" t="inlineStr">
        <is>
          <t>H1</t>
        </is>
      </c>
      <c r="F726" s="5" t="inlineStr">
        <is>
          <t>Commercial (local)</t>
        </is>
      </c>
      <c r="G726" t="inlineStr">
        <is>
          <t>développement web milan</t>
        </is>
      </c>
      <c r="H726" t="inlineStr">
        <is>
          <t>PRIMARY</t>
        </is>
      </c>
      <c r="I726" t="inlineStr">
        <is>
          <t>it</t>
        </is>
      </c>
      <c r="J726" t="inlineStr">
        <is>
          <t>NOT AVAILABLE</t>
        </is>
      </c>
      <c r="K726" t="inlineStr">
        <is>
          <t>NOT AVAILABLE</t>
        </is>
      </c>
      <c r="L726" t="inlineStr">
        <is>
          <t>NOT AVAILABLE</t>
        </is>
      </c>
      <c r="M726" t="inlineStr">
        <is>
          <t>UNAVAILABLE</t>
        </is>
      </c>
      <c r="N726" t="inlineStr">
        <is>
          <t>Yes</t>
        </is>
      </c>
      <c r="O726" s="5" t="inlineStr">
        <is>
          <t>Covered - keep wording; no change</t>
        </is>
      </c>
      <c r="P726" s="5" t="inlineStr"/>
      <c r="Q726" t="inlineStr">
        <is>
          <t>P3</t>
        </is>
      </c>
      <c r="R726" t="n">
        <v>65</v>
      </c>
      <c r="S726" s="5" t="inlineStr">
        <is>
          <t>Studio de développement web basé au Maroc au service des entreprises du monde entier. Nous créons des sites web alimentés par l'IA et des tableaux de bord intelligents à distance. Sites web de qualité premium livrés en 7</t>
        </is>
      </c>
    </row>
    <row r="727">
      <c r="A727" s="3" t="inlineStr">
        <is>
          <t>https://codesommet.com/web-development-company/milan</t>
        </is>
      </c>
      <c r="B727" t="n">
        <v>2</v>
      </c>
      <c r="C727" t="inlineStr">
        <is>
          <t>Why us / differentiation</t>
        </is>
      </c>
      <c r="D727" s="5" t="inlineStr">
        <is>
          <t>Pourquoi Choisir CodeSommet à Milan ?</t>
        </is>
      </c>
      <c r="E727" t="inlineStr">
        <is>
          <t>H2</t>
        </is>
      </c>
      <c r="F727" s="5" t="inlineStr">
        <is>
          <t>Commercial investigation</t>
        </is>
      </c>
      <c r="G727" t="inlineStr">
        <is>
          <t>développement web milan</t>
        </is>
      </c>
      <c r="H727" t="inlineStr">
        <is>
          <t>SUPPORTS PRIMARY</t>
        </is>
      </c>
      <c r="I727" t="inlineStr">
        <is>
          <t>it</t>
        </is>
      </c>
      <c r="J727" t="inlineStr">
        <is>
          <t>NOT AVAILABLE</t>
        </is>
      </c>
      <c r="K727" t="inlineStr">
        <is>
          <t>NOT AVAILABLE</t>
        </is>
      </c>
      <c r="L727" t="inlineStr">
        <is>
          <t>NOT AVAILABLE</t>
        </is>
      </c>
      <c r="M727" t="inlineStr">
        <is>
          <t>UNAVAILABLE</t>
        </is>
      </c>
      <c r="N727" t="inlineStr">
        <is>
          <t>Yes</t>
        </is>
      </c>
      <c r="O727" s="5" t="inlineStr">
        <is>
          <t>Covered - keep wording; no change</t>
        </is>
      </c>
      <c r="P727" s="5" t="inlineStr"/>
      <c r="Q727" t="inlineStr">
        <is>
          <t>P3</t>
        </is>
      </c>
      <c r="R727" t="n">
        <v>165</v>
      </c>
      <c r="S727" s="5" t="inlineStr">
        <is>
          <t>L'expertise locale rencontre les standards internationaux. Voici ce qui fait de nous le partenaire idéal en développement web à Milan. Experts en IA Créez des chatbots intelligents, des workflows d'automatisation, une re</t>
        </is>
      </c>
    </row>
    <row r="728">
      <c r="A728" s="3" t="inlineStr">
        <is>
          <t>https://codesommet.com/web-development-company/milan</t>
        </is>
      </c>
      <c r="B728" t="n">
        <v>3</v>
      </c>
      <c r="C728" t="inlineStr">
        <is>
          <t>Services / features</t>
        </is>
      </c>
      <c r="D728" s="5" t="inlineStr">
        <is>
          <t>Ce que nous apportons aux entreprises de Milan</t>
        </is>
      </c>
      <c r="E728" t="inlineStr">
        <is>
          <t>H2</t>
        </is>
      </c>
      <c r="F728" s="5" t="inlineStr">
        <is>
          <t>Commercial (local)</t>
        </is>
      </c>
      <c r="G728" t="inlineStr">
        <is>
          <t>développement web milan</t>
        </is>
      </c>
      <c r="H728" t="inlineStr">
        <is>
          <t>SUPPORTS PRIMARY</t>
        </is>
      </c>
      <c r="I728" t="inlineStr">
        <is>
          <t>it</t>
        </is>
      </c>
      <c r="J728" t="inlineStr">
        <is>
          <t>NOT AVAILABLE</t>
        </is>
      </c>
      <c r="K728" t="inlineStr">
        <is>
          <t>NOT AVAILABLE</t>
        </is>
      </c>
      <c r="L728" t="inlineStr">
        <is>
          <t>NOT AVAILABLE</t>
        </is>
      </c>
      <c r="M728" t="inlineStr">
        <is>
          <t>UNAVAILABLE</t>
        </is>
      </c>
      <c r="N728" t="inlineStr">
        <is>
          <t>Yes (supporting block)</t>
        </is>
      </c>
      <c r="O728" s="5" t="inlineStr">
        <is>
          <t>Supports the primary topic - add only if natural</t>
        </is>
      </c>
      <c r="P728" s="5" t="inlineStr"/>
      <c r="Q728" t="inlineStr">
        <is>
          <t>P3</t>
        </is>
      </c>
      <c r="R728" t="n">
        <v>25</v>
      </c>
      <c r="S728" s="5" t="inlineStr">
        <is>
          <t>Projets livrés à distance Sites orientés conversion Accompagnement continu Une approche pensée pour les entreprises de Milan - collaboration à distance, sans intermédiaire Expertise Sectorielle</t>
        </is>
      </c>
    </row>
    <row r="729">
      <c r="A729" s="3" t="inlineStr">
        <is>
          <t>https://codesommet.com/web-development-company/milan</t>
        </is>
      </c>
      <c r="B729" t="n">
        <v>4</v>
      </c>
      <c r="C729" t="inlineStr">
        <is>
          <t>Content block</t>
        </is>
      </c>
      <c r="D729" s="5" t="inlineStr">
        <is>
          <t>Milan Nos Secteurs de Spécialisation</t>
        </is>
      </c>
      <c r="E729" t="inlineStr">
        <is>
          <t>H2</t>
        </is>
      </c>
      <c r="F729" s="5" t="inlineStr">
        <is>
          <t>Commercial (local)</t>
        </is>
      </c>
      <c r="G729" t="inlineStr">
        <is>
          <t>développement web milan</t>
        </is>
      </c>
      <c r="H729" t="inlineStr">
        <is>
          <t>SUPPORTS PRIMARY</t>
        </is>
      </c>
      <c r="I729" t="inlineStr">
        <is>
          <t>it</t>
        </is>
      </c>
      <c r="J729" t="inlineStr">
        <is>
          <t>NOT AVAILABLE</t>
        </is>
      </c>
      <c r="K729" t="inlineStr">
        <is>
          <t>NOT AVAILABLE</t>
        </is>
      </c>
      <c r="L729" t="inlineStr">
        <is>
          <t>NOT AVAILABLE</t>
        </is>
      </c>
      <c r="M729" t="inlineStr">
        <is>
          <t>UNAVAILABLE</t>
        </is>
      </c>
      <c r="N729" t="inlineStr">
        <is>
          <t>Yes</t>
        </is>
      </c>
      <c r="O729" s="5" t="inlineStr">
        <is>
          <t>Covered - keep wording; no change</t>
        </is>
      </c>
      <c r="P729" s="5" t="inlineStr"/>
      <c r="Q729" t="inlineStr">
        <is>
          <t>P3</t>
        </is>
      </c>
      <c r="R729" t="n">
        <v>191</v>
      </c>
      <c r="S729" s="5" t="inlineStr">
        <is>
          <t>Expertise approfondie dans les secteurs clés de Milan . Nous comprenons les défis uniques de votre secteur et les exigences de conformité. FinTech Plateformes financières sécurisées avec traitement des paiements, conform</t>
        </is>
      </c>
    </row>
    <row r="730">
      <c r="A730" s="3" t="inlineStr">
        <is>
          <t>https://codesommet.com/web-development-company/milan</t>
        </is>
      </c>
      <c r="B730" t="n">
        <v>5</v>
      </c>
      <c r="C730" t="inlineStr">
        <is>
          <t>Services / features</t>
        </is>
      </c>
      <c r="D730" s="5" t="inlineStr">
        <is>
          <t>Ce que nous construisons pour Milan</t>
        </is>
      </c>
      <c r="E730" t="inlineStr">
        <is>
          <t>H2</t>
        </is>
      </c>
      <c r="F730" s="5" t="inlineStr">
        <is>
          <t>Commercial (local)</t>
        </is>
      </c>
      <c r="G730" t="inlineStr">
        <is>
          <t>développement web milan</t>
        </is>
      </c>
      <c r="H730" t="inlineStr">
        <is>
          <t>SUPPORTS PRIMARY</t>
        </is>
      </c>
      <c r="I730" t="inlineStr">
        <is>
          <t>it</t>
        </is>
      </c>
      <c r="J730" t="inlineStr">
        <is>
          <t>NOT AVAILABLE</t>
        </is>
      </c>
      <c r="K730" t="inlineStr">
        <is>
          <t>NOT AVAILABLE</t>
        </is>
      </c>
      <c r="L730" t="inlineStr">
        <is>
          <t>NOT AVAILABLE</t>
        </is>
      </c>
      <c r="M730" t="inlineStr">
        <is>
          <t>UNAVAILABLE</t>
        </is>
      </c>
      <c r="N730" t="inlineStr">
        <is>
          <t>Yes (supporting block)</t>
        </is>
      </c>
      <c r="O730" s="5" t="inlineStr">
        <is>
          <t>Supports the primary topic - add only if natural</t>
        </is>
      </c>
      <c r="P730" s="5" t="inlineStr"/>
      <c r="Q730" t="inlineStr">
        <is>
          <t>P3</t>
        </is>
      </c>
      <c r="R730" t="n">
        <v>73</v>
      </c>
      <c r="S730" s="5" t="inlineStr">
        <is>
          <t>Des projets réels, livrés à distance. Découvrez ce que nous pouvons construire pour votre entreprise à Milan , en collaboration à distance. Beauté Boutique en ligne avec catalogue, paiement et suivi des commandes GlamWor</t>
        </is>
      </c>
    </row>
    <row r="731">
      <c r="A731" s="3" t="inlineStr">
        <is>
          <t>https://codesommet.com/web-development-company/milan</t>
        </is>
      </c>
      <c r="B731" t="n">
        <v>6</v>
      </c>
      <c r="C731" t="inlineStr">
        <is>
          <t>Process / how it works</t>
        </is>
      </c>
      <c r="D731" s="5" t="inlineStr">
        <is>
          <t>Comment Nous Concevons des Plateformes Immobilières Sur Mesure pour les Entreprises de Milan</t>
        </is>
      </c>
      <c r="E731" t="inlineStr">
        <is>
          <t>H2</t>
        </is>
      </c>
      <c r="F731" s="5" t="inlineStr">
        <is>
          <t>Informational / commercial</t>
        </is>
      </c>
      <c r="G731" t="inlineStr">
        <is>
          <t>développement web milan</t>
        </is>
      </c>
      <c r="H731" t="inlineStr">
        <is>
          <t>SUPPORTS PRIMARY</t>
        </is>
      </c>
      <c r="I731" t="inlineStr">
        <is>
          <t>it</t>
        </is>
      </c>
      <c r="J731" t="inlineStr">
        <is>
          <t>NOT AVAILABLE</t>
        </is>
      </c>
      <c r="K731" t="inlineStr">
        <is>
          <t>NOT AVAILABLE</t>
        </is>
      </c>
      <c r="L731" t="inlineStr">
        <is>
          <t>NOT AVAILABLE</t>
        </is>
      </c>
      <c r="M731" t="inlineStr">
        <is>
          <t>UNAVAILABLE</t>
        </is>
      </c>
      <c r="N731" t="inlineStr">
        <is>
          <t>Yes (supporting block)</t>
        </is>
      </c>
      <c r="O731" s="5" t="inlineStr">
        <is>
          <t>Supports the primary topic - add only if natural</t>
        </is>
      </c>
      <c r="P731" s="5" t="inlineStr"/>
      <c r="Q731" t="inlineStr">
        <is>
          <t>P3</t>
        </is>
      </c>
      <c r="R731" t="n">
        <v>191</v>
      </c>
      <c r="S731" s="5" t="inlineStr">
        <is>
          <t>Entreprises de gestion et de promotion immobilière • Immobilier &amp; PropTech • 4 mois Le Défi Les entreprises de gestion immobilière à Milan doivent souvent jongler avec un suivi manuel des prospects, des sites web sans vi</t>
        </is>
      </c>
    </row>
    <row r="732">
      <c r="A732" s="3" t="inlineStr">
        <is>
          <t>https://codesommet.com/web-development-company/milan</t>
        </is>
      </c>
      <c r="B732" t="n">
        <v>7</v>
      </c>
      <c r="C732" t="inlineStr">
        <is>
          <t>Pricing / offers</t>
        </is>
      </c>
      <c r="D732" s="5" t="inlineStr">
        <is>
          <t>Solutions Sur Mesure, Tarification Transparente</t>
        </is>
      </c>
      <c r="E732" t="inlineStr">
        <is>
          <t>H2</t>
        </is>
      </c>
      <c r="F732" s="5" t="inlineStr">
        <is>
          <t>Commercial / transactional</t>
        </is>
      </c>
      <c r="G732" t="inlineStr">
        <is>
          <t>développement web milan</t>
        </is>
      </c>
      <c r="H732" t="inlineStr">
        <is>
          <t>SUPPORTS PRIMARY</t>
        </is>
      </c>
      <c r="I732" t="inlineStr">
        <is>
          <t>it</t>
        </is>
      </c>
      <c r="J732" t="inlineStr">
        <is>
          <t>NOT AVAILABLE</t>
        </is>
      </c>
      <c r="K732" t="inlineStr">
        <is>
          <t>NOT AVAILABLE</t>
        </is>
      </c>
      <c r="L732" t="inlineStr">
        <is>
          <t>NOT AVAILABLE</t>
        </is>
      </c>
      <c r="M732" t="inlineStr">
        <is>
          <t>UNAVAILABLE</t>
        </is>
      </c>
      <c r="N732" t="inlineStr">
        <is>
          <t>Yes (supporting block)</t>
        </is>
      </c>
      <c r="O732" s="5" t="inlineStr">
        <is>
          <t>Supports the primary topic - add only if natural</t>
        </is>
      </c>
      <c r="P732" s="5" t="inlineStr"/>
      <c r="Q732" t="inlineStr">
        <is>
          <t>P3</t>
        </is>
      </c>
      <c r="R732" t="n">
        <v>193</v>
      </c>
      <c r="S732" s="5" t="inlineStr">
        <is>
          <t>Réservez un appel découverte pour discuter de vos besoins spécifiques et obtenir un devis sur mesure Recommandé Développement de Sites Web Site web complet avec fonctionnalités IA, tableaux de bord et design premium livr</t>
        </is>
      </c>
    </row>
    <row r="733">
      <c r="A733" s="3" t="inlineStr">
        <is>
          <t>https://codesommet.com/web-development-company/milan</t>
        </is>
      </c>
      <c r="B733" t="n">
        <v>8</v>
      </c>
      <c r="C733" t="inlineStr">
        <is>
          <t>CTA / conversion</t>
        </is>
      </c>
      <c r="D733" s="5" t="inlineStr">
        <is>
          <t>Prêt à Améliorer Votre Site Web à Milan ?</t>
        </is>
      </c>
      <c r="E733" t="inlineStr">
        <is>
          <t>H2</t>
        </is>
      </c>
      <c r="F733" s="5" t="inlineStr">
        <is>
          <t>Conversion</t>
        </is>
      </c>
      <c r="G733" t="inlineStr">
        <is>
          <t>—</t>
        </is>
      </c>
      <c r="H733" t="inlineStr">
        <is>
          <t>NONE</t>
        </is>
      </c>
      <c r="I733" t="inlineStr">
        <is>
          <t>—</t>
        </is>
      </c>
      <c r="J733" t="inlineStr">
        <is>
          <t>—</t>
        </is>
      </c>
      <c r="K733" t="inlineStr">
        <is>
          <t>—</t>
        </is>
      </c>
      <c r="L733" t="inlineStr">
        <is>
          <t>—</t>
        </is>
      </c>
      <c r="M733" t="inlineStr">
        <is>
          <t>—</t>
        </is>
      </c>
      <c r="N733" t="inlineStr">
        <is>
          <t>n/a</t>
        </is>
      </c>
      <c r="O733" s="5" t="inlineStr">
        <is>
          <t>No keyword target - keep conversion/navigation focus; use descriptive, non-repeated anchor texts</t>
        </is>
      </c>
      <c r="P733" s="5" t="inlineStr"/>
      <c r="Q733" t="inlineStr">
        <is>
          <t>P4</t>
        </is>
      </c>
      <c r="R733" t="n">
        <v>40</v>
      </c>
      <c r="S733" s="5" t="inlineStr">
        <is>
          <t>Obtenez d'abord une analyse gratuite complète : Audit SEO Vérification des performances Revue du design Recommandations alimentées par l'IA Analyser Votre Site Web - 100% Gratuit Aucune carte de crédit requise • Résultat</t>
        </is>
      </c>
    </row>
    <row r="734">
      <c r="A734" s="3" t="inlineStr">
        <is>
          <t>https://codesommet.com/web-development-company/milan</t>
        </is>
      </c>
      <c r="B734" t="n">
        <v>9</v>
      </c>
      <c r="C734" t="inlineStr">
        <is>
          <t>Why us / differentiation</t>
        </is>
      </c>
      <c r="D734" s="5" t="inlineStr">
        <is>
          <t>CodeSommet Milan vs Autres</t>
        </is>
      </c>
      <c r="E734" t="inlineStr">
        <is>
          <t>H2</t>
        </is>
      </c>
      <c r="F734" s="5" t="inlineStr">
        <is>
          <t>Commercial investigation</t>
        </is>
      </c>
      <c r="G734" t="inlineStr">
        <is>
          <t>développement web milan</t>
        </is>
      </c>
      <c r="H734" t="inlineStr">
        <is>
          <t>SUPPORTS PRIMARY</t>
        </is>
      </c>
      <c r="I734" t="inlineStr">
        <is>
          <t>it</t>
        </is>
      </c>
      <c r="J734" t="inlineStr">
        <is>
          <t>NOT AVAILABLE</t>
        </is>
      </c>
      <c r="K734" t="inlineStr">
        <is>
          <t>NOT AVAILABLE</t>
        </is>
      </c>
      <c r="L734" t="inlineStr">
        <is>
          <t>NOT AVAILABLE</t>
        </is>
      </c>
      <c r="M734" t="inlineStr">
        <is>
          <t>UNAVAILABLE</t>
        </is>
      </c>
      <c r="N734" t="inlineStr">
        <is>
          <t>Yes</t>
        </is>
      </c>
      <c r="O734" s="5" t="inlineStr">
        <is>
          <t>Covered - keep wording; no change</t>
        </is>
      </c>
      <c r="P734" s="5" t="inlineStr"/>
      <c r="Q734" t="inlineStr">
        <is>
          <t>P3</t>
        </is>
      </c>
      <c r="R734" t="n">
        <v>99</v>
      </c>
      <c r="S734" s="5" t="inlineStr">
        <is>
          <t>Découvrez pourquoi Milan les entreprises choisissent CodeSommet plutôt que d'autres agences locales et internationales. Fonctionnalité CodeSommet Milan Autres Agences de Milan Agences Internationales Révisions Illimitées</t>
        </is>
      </c>
    </row>
    <row r="735">
      <c r="A735" s="3" t="inlineStr">
        <is>
          <t>https://codesommet.com/web-development-company/milan</t>
        </is>
      </c>
      <c r="B735" t="n">
        <v>10</v>
      </c>
      <c r="C735" t="inlineStr">
        <is>
          <t>Testimonials / social proof</t>
        </is>
      </c>
      <c r="D735" s="5" t="inlineStr">
        <is>
          <t>Ce Que les Clients de Milan Disent de Nous</t>
        </is>
      </c>
      <c r="E735" t="inlineStr">
        <is>
          <t>H2</t>
        </is>
      </c>
      <c r="F735" s="5" t="inlineStr">
        <is>
          <t>Commercial investigation</t>
        </is>
      </c>
      <c r="G735" t="inlineStr">
        <is>
          <t>développement web milan</t>
        </is>
      </c>
      <c r="H735" t="inlineStr">
        <is>
          <t>SUPPORTS PRIMARY</t>
        </is>
      </c>
      <c r="I735" t="inlineStr">
        <is>
          <t>it</t>
        </is>
      </c>
      <c r="J735" t="inlineStr">
        <is>
          <t>NOT AVAILABLE</t>
        </is>
      </c>
      <c r="K735" t="inlineStr">
        <is>
          <t>NOT AVAILABLE</t>
        </is>
      </c>
      <c r="L735" t="inlineStr">
        <is>
          <t>NOT AVAILABLE</t>
        </is>
      </c>
      <c r="M735" t="inlineStr">
        <is>
          <t>UNAVAILABLE</t>
        </is>
      </c>
      <c r="N735" t="inlineStr">
        <is>
          <t>Yes (supporting block)</t>
        </is>
      </c>
      <c r="O735" s="5" t="inlineStr">
        <is>
          <t>Supports the primary topic - add only if natural</t>
        </is>
      </c>
      <c r="P735" s="5" t="inlineStr"/>
      <c r="Q735" t="inlineStr">
        <is>
          <t>P3</t>
        </is>
      </c>
      <c r="R735" t="n">
        <v>103</v>
      </c>
      <c r="S735" s="5" t="inlineStr">
        <is>
          <t>Ne nous croyez pas sur parole. Écoutez les entreprises de Milan qui ont obtenu des résultats remarquables avec CodeSommet. "Une collaboration professionnelle du début à la fin. Je recommande sans hésiter." Mohammed Chaji</t>
        </is>
      </c>
    </row>
    <row r="736">
      <c r="A736" s="3" t="inlineStr">
        <is>
          <t>https://codesommet.com/web-development-company/milan</t>
        </is>
      </c>
      <c r="B736" t="n">
        <v>11</v>
      </c>
      <c r="C736" t="inlineStr">
        <is>
          <t>Process / how it works</t>
        </is>
      </c>
      <c r="D736" s="5" t="inlineStr">
        <is>
          <t>Comment démarrer en 3 étapes simples</t>
        </is>
      </c>
      <c r="E736" t="inlineStr">
        <is>
          <t>H2</t>
        </is>
      </c>
      <c r="F736" s="5" t="inlineStr">
        <is>
          <t>Informational / commercial</t>
        </is>
      </c>
      <c r="G736" t="inlineStr">
        <is>
          <t>développement web milan</t>
        </is>
      </c>
      <c r="H736" t="inlineStr">
        <is>
          <t>SUPPORTS PRIMARY</t>
        </is>
      </c>
      <c r="I736" t="inlineStr">
        <is>
          <t>it</t>
        </is>
      </c>
      <c r="J736" t="inlineStr">
        <is>
          <t>NOT AVAILABLE</t>
        </is>
      </c>
      <c r="K736" t="inlineStr">
        <is>
          <t>NOT AVAILABLE</t>
        </is>
      </c>
      <c r="L736" t="inlineStr">
        <is>
          <t>NOT AVAILABLE</t>
        </is>
      </c>
      <c r="M736" t="inlineStr">
        <is>
          <t>UNAVAILABLE</t>
        </is>
      </c>
      <c r="N736" t="inlineStr">
        <is>
          <t>Yes (supporting block)</t>
        </is>
      </c>
      <c r="O736" s="5" t="inlineStr">
        <is>
          <t>Supports the primary topic - add only if natural</t>
        </is>
      </c>
      <c r="P736" s="5" t="inlineStr"/>
      <c r="Q736" t="inlineStr">
        <is>
          <t>P3</t>
        </is>
      </c>
      <c r="R736" t="n">
        <v>286</v>
      </c>
      <c r="S736" s="5" t="inlineStr">
        <is>
          <t>Du premier appel à la livraison du projet, découvrez exactement comment nous travaillons ensemble Étape 1 Abonnement 1 projet actif Révisions illimitées Design &amp; développement SEO &amp; contenu Recommandé Développement de Si</t>
        </is>
      </c>
    </row>
    <row r="737">
      <c r="A737" s="3" t="inlineStr">
        <is>
          <t>https://codesommet.com/web-development-company/milan</t>
        </is>
      </c>
      <c r="B737" t="n">
        <v>12</v>
      </c>
      <c r="C737" t="inlineStr">
        <is>
          <t>FAQ</t>
        </is>
      </c>
      <c r="D737" s="5" t="inlineStr">
        <is>
          <t>Questions Fréquemment Posées sur le Développement Web à Milan</t>
        </is>
      </c>
      <c r="E737" t="inlineStr">
        <is>
          <t>H2</t>
        </is>
      </c>
      <c r="F737" s="5" t="inlineStr">
        <is>
          <t>Informational (pre-purchase questions)</t>
        </is>
      </c>
      <c r="G737" t="inlineStr">
        <is>
          <t>développement web milan</t>
        </is>
      </c>
      <c r="H737" t="inlineStr">
        <is>
          <t>SUPPORTS PRIMARY</t>
        </is>
      </c>
      <c r="I737" t="inlineStr">
        <is>
          <t>it</t>
        </is>
      </c>
      <c r="J737" t="inlineStr">
        <is>
          <t>NOT AVAILABLE</t>
        </is>
      </c>
      <c r="K737" t="inlineStr">
        <is>
          <t>NOT AVAILABLE</t>
        </is>
      </c>
      <c r="L737" t="inlineStr">
        <is>
          <t>NOT AVAILABLE</t>
        </is>
      </c>
      <c r="M737" t="inlineStr">
        <is>
          <t>UNAVAILABLE</t>
        </is>
      </c>
      <c r="N737" t="inlineStr">
        <is>
          <t>Yes</t>
        </is>
      </c>
      <c r="O737" s="5" t="inlineStr">
        <is>
          <t>Covered - keep wording; no change</t>
        </is>
      </c>
      <c r="P737" s="5" t="inlineStr"/>
      <c r="Q737" t="inlineStr">
        <is>
          <t>P3</t>
        </is>
      </c>
      <c r="R737" t="n">
        <v>380</v>
      </c>
      <c r="S737" s="5" t="inlineStr">
        <is>
          <t xml:space="preserve">Vous avez des questions ? Nous avons les réponses. Voici les questions les plus fréquentes des entreprises de Milan. 1 Avez-vous un bureau physique à Milan ? Nous n'avons pas de bureau à Milan : notre équipe travaille à </t>
        </is>
      </c>
    </row>
    <row r="738">
      <c r="A738" s="3" t="inlineStr">
        <is>
          <t>https://codesommet.com/web-development-company/milan</t>
        </is>
      </c>
      <c r="B738" t="n">
        <v>13</v>
      </c>
      <c r="C738" t="inlineStr">
        <is>
          <t>Internal-link block</t>
        </is>
      </c>
      <c r="D738" s="5" t="inlineStr">
        <is>
          <t>Nous Desservons Aussi</t>
        </is>
      </c>
      <c r="E738" t="inlineStr">
        <is>
          <t>H2</t>
        </is>
      </c>
      <c r="F738" s="5" t="inlineStr">
        <is>
          <t>Navigation</t>
        </is>
      </c>
      <c r="G738" t="inlineStr">
        <is>
          <t>—</t>
        </is>
      </c>
      <c r="H738" t="inlineStr">
        <is>
          <t>NONE</t>
        </is>
      </c>
      <c r="I738" t="inlineStr">
        <is>
          <t>—</t>
        </is>
      </c>
      <c r="J738" t="inlineStr">
        <is>
          <t>—</t>
        </is>
      </c>
      <c r="K738" t="inlineStr">
        <is>
          <t>—</t>
        </is>
      </c>
      <c r="L738" t="inlineStr">
        <is>
          <t>—</t>
        </is>
      </c>
      <c r="M738" t="inlineStr">
        <is>
          <t>—</t>
        </is>
      </c>
      <c r="N738" t="inlineStr">
        <is>
          <t>n/a</t>
        </is>
      </c>
      <c r="O738" s="5" t="inlineStr">
        <is>
          <t>No keyword target - keep conversion/navigation focus; use descriptive, non-repeated anchor texts</t>
        </is>
      </c>
      <c r="P738" s="5" t="inlineStr"/>
      <c r="Q738" t="inlineStr">
        <is>
          <t>P4</t>
        </is>
      </c>
      <c r="R738" t="n">
        <v>25</v>
      </c>
      <c r="S738" s="5" t="inlineStr">
        <is>
          <t>Explorez nos services de développement web dans d'autres villes à travers le monde Barcelone Espagne Madrid Espagne Lisbonne Portugal Rome Italie Voir Toutes les Villes</t>
        </is>
      </c>
    </row>
    <row r="739">
      <c r="A739" s="3" t="inlineStr">
        <is>
          <t>https://codesommet.com/web-development-company/milan</t>
        </is>
      </c>
      <c r="B739" t="n">
        <v>14</v>
      </c>
      <c r="C739" t="inlineStr">
        <is>
          <t>Internal-link block</t>
        </is>
      </c>
      <c r="D739" s="5" t="inlineStr">
        <is>
          <t>Explorer Plus</t>
        </is>
      </c>
      <c r="E739" t="inlineStr">
        <is>
          <t>H2</t>
        </is>
      </c>
      <c r="F739" s="5" t="inlineStr">
        <is>
          <t>Navigation</t>
        </is>
      </c>
      <c r="G739" t="inlineStr">
        <is>
          <t>—</t>
        </is>
      </c>
      <c r="H739" t="inlineStr">
        <is>
          <t>NONE</t>
        </is>
      </c>
      <c r="I739" t="inlineStr">
        <is>
          <t>—</t>
        </is>
      </c>
      <c r="J739" t="inlineStr">
        <is>
          <t>—</t>
        </is>
      </c>
      <c r="K739" t="inlineStr">
        <is>
          <t>—</t>
        </is>
      </c>
      <c r="L739" t="inlineStr">
        <is>
          <t>—</t>
        </is>
      </c>
      <c r="M739" t="inlineStr">
        <is>
          <t>—</t>
        </is>
      </c>
      <c r="N739" t="inlineStr">
        <is>
          <t>n/a</t>
        </is>
      </c>
      <c r="O739" s="5" t="inlineStr">
        <is>
          <t>No keyword target - keep conversion/navigation focus; use descriptive, non-repeated anchor texts</t>
        </is>
      </c>
      <c r="P739" s="5" t="inlineStr"/>
      <c r="Q739" t="inlineStr">
        <is>
          <t>P4</t>
        </is>
      </c>
      <c r="R739" t="n">
        <v>83</v>
      </c>
      <c r="S739" s="5" t="inlineStr">
        <is>
          <t xml:space="preserve">Découvrez ce qui fait de CodeSommet votre partenaire idéal en développement web Audit Gratuit de Site Web Obtenez une analyse alimentée par l'IA avec plus de 40 vérifications En savoir plus Voir Nos Projets Explorez les </t>
        </is>
      </c>
    </row>
    <row r="740">
      <c r="A740" s="3" t="inlineStr">
        <is>
          <t>https://codesommet.com/web-development-company/milan</t>
        </is>
      </c>
      <c r="B740" t="n">
        <v>15</v>
      </c>
      <c r="C740" t="inlineStr">
        <is>
          <t>CTA / conversion</t>
        </is>
      </c>
      <c r="D740" s="5" t="inlineStr">
        <is>
          <t>Prêt à Créer Quelque Chose d'Extraordinaire ?</t>
        </is>
      </c>
      <c r="E740" t="inlineStr">
        <is>
          <t>H2</t>
        </is>
      </c>
      <c r="F740" s="5" t="inlineStr">
        <is>
          <t>Conversion</t>
        </is>
      </c>
      <c r="G740" t="inlineStr">
        <is>
          <t>—</t>
        </is>
      </c>
      <c r="H740" t="inlineStr">
        <is>
          <t>NONE</t>
        </is>
      </c>
      <c r="I740" t="inlineStr">
        <is>
          <t>—</t>
        </is>
      </c>
      <c r="J740" t="inlineStr">
        <is>
          <t>—</t>
        </is>
      </c>
      <c r="K740" t="inlineStr">
        <is>
          <t>—</t>
        </is>
      </c>
      <c r="L740" t="inlineStr">
        <is>
          <t>—</t>
        </is>
      </c>
      <c r="M740" t="inlineStr">
        <is>
          <t>—</t>
        </is>
      </c>
      <c r="N740" t="inlineStr">
        <is>
          <t>n/a</t>
        </is>
      </c>
      <c r="O740" s="5" t="inlineStr">
        <is>
          <t>No keyword target - keep conversion/navigation focus; use descriptive, non-repeated anchor texts</t>
        </is>
      </c>
      <c r="P740" s="5" t="inlineStr"/>
      <c r="Q740" t="inlineStr">
        <is>
          <t>P4</t>
        </is>
      </c>
      <c r="R740" t="n">
        <v>119</v>
      </c>
      <c r="S740" s="5" t="inlineStr">
        <is>
          <t>Rejoignez les entreprises visionnaires qui ont choisi l'excellence Réserver un Appel Découverte Analyser Mon Site Gratuitement Réserver un Appel Découverte Analyser Votre Site Web Discutons de la façon dont l'IA et le de</t>
        </is>
      </c>
    </row>
    <row r="741">
      <c r="A741" s="3" t="inlineStr">
        <is>
          <t>https://codesommet.com/web-development-company/new-york</t>
        </is>
      </c>
      <c r="B741" t="n">
        <v>1</v>
      </c>
      <c r="C741" t="inlineStr">
        <is>
          <t>Hero / H1</t>
        </is>
      </c>
      <c r="D741" s="5" t="inlineStr">
        <is>
          <t>Développement Web à New York, États-Unis : des sites web qui génèrent Plateformes FinTech</t>
        </is>
      </c>
      <c r="E741" t="inlineStr">
        <is>
          <t>H1</t>
        </is>
      </c>
      <c r="F741" s="5" t="inlineStr">
        <is>
          <t>Commercial (local)</t>
        </is>
      </c>
      <c r="G741" t="inlineStr">
        <is>
          <t>développement web new york</t>
        </is>
      </c>
      <c r="H741" t="inlineStr">
        <is>
          <t>PRIMARY</t>
        </is>
      </c>
      <c r="I741" t="inlineStr">
        <is>
          <t>us</t>
        </is>
      </c>
      <c r="J741" t="inlineStr">
        <is>
          <t>NOT AVAILABLE</t>
        </is>
      </c>
      <c r="K741" t="inlineStr">
        <is>
          <t>NOT AVAILABLE</t>
        </is>
      </c>
      <c r="L741" t="inlineStr">
        <is>
          <t>NOT AVAILABLE</t>
        </is>
      </c>
      <c r="M741" t="inlineStr">
        <is>
          <t>UNAVAILABLE</t>
        </is>
      </c>
      <c r="N741" t="inlineStr">
        <is>
          <t>Yes</t>
        </is>
      </c>
      <c r="O741" s="5" t="inlineStr">
        <is>
          <t>Covered - keep wording; no change</t>
        </is>
      </c>
      <c r="P741" s="5" t="inlineStr"/>
      <c r="Q741" t="inlineStr">
        <is>
          <t>P3</t>
        </is>
      </c>
      <c r="R741" t="n">
        <v>75</v>
      </c>
      <c r="S741" s="5" t="inlineStr">
        <is>
          <t>Depuis le Maroc, notre studio de développement web accompagne à distance les entreprises de New York dans la création de sites web alimentés par l'IA et de tableaux de bord intelligents. Nous sommes spécialisés dans la c</t>
        </is>
      </c>
    </row>
    <row r="742">
      <c r="A742" s="3" t="inlineStr">
        <is>
          <t>https://codesommet.com/web-development-company/new-york</t>
        </is>
      </c>
      <c r="B742" t="n">
        <v>2</v>
      </c>
      <c r="C742" t="inlineStr">
        <is>
          <t>Why us / differentiation</t>
        </is>
      </c>
      <c r="D742" s="5" t="inlineStr">
        <is>
          <t>Pourquoi Choisir CodeSommet à New York ?</t>
        </is>
      </c>
      <c r="E742" t="inlineStr">
        <is>
          <t>H2</t>
        </is>
      </c>
      <c r="F742" s="5" t="inlineStr">
        <is>
          <t>Commercial investigation</t>
        </is>
      </c>
      <c r="G742" t="inlineStr">
        <is>
          <t>développement web new york</t>
        </is>
      </c>
      <c r="H742" t="inlineStr">
        <is>
          <t>SUPPORTS PRIMARY</t>
        </is>
      </c>
      <c r="I742" t="inlineStr">
        <is>
          <t>us</t>
        </is>
      </c>
      <c r="J742" t="inlineStr">
        <is>
          <t>NOT AVAILABLE</t>
        </is>
      </c>
      <c r="K742" t="inlineStr">
        <is>
          <t>NOT AVAILABLE</t>
        </is>
      </c>
      <c r="L742" t="inlineStr">
        <is>
          <t>NOT AVAILABLE</t>
        </is>
      </c>
      <c r="M742" t="inlineStr">
        <is>
          <t>UNAVAILABLE</t>
        </is>
      </c>
      <c r="N742" t="inlineStr">
        <is>
          <t>Yes</t>
        </is>
      </c>
      <c r="O742" s="5" t="inlineStr">
        <is>
          <t>Covered - keep wording; no change</t>
        </is>
      </c>
      <c r="P742" s="5" t="inlineStr"/>
      <c r="Q742" t="inlineStr">
        <is>
          <t>P3</t>
        </is>
      </c>
      <c r="R742" t="n">
        <v>169</v>
      </c>
      <c r="S742" s="5" t="inlineStr">
        <is>
          <t>L'expertise locale rencontre les standards internationaux. Voici ce qui fait de nous le partenaire idéal en développement web à New York. Experts en IA Créez des chatbots intelligents, des workflows d'automatisation, une</t>
        </is>
      </c>
    </row>
    <row r="743">
      <c r="A743" s="3" t="inlineStr">
        <is>
          <t>https://codesommet.com/web-development-company/new-york</t>
        </is>
      </c>
      <c r="B743" t="n">
        <v>3</v>
      </c>
      <c r="C743" t="inlineStr">
        <is>
          <t>Services / features</t>
        </is>
      </c>
      <c r="D743" s="5" t="inlineStr">
        <is>
          <t>Ce que nous apportons aux entreprises de New York</t>
        </is>
      </c>
      <c r="E743" t="inlineStr">
        <is>
          <t>H2</t>
        </is>
      </c>
      <c r="F743" s="5" t="inlineStr">
        <is>
          <t>Commercial (local)</t>
        </is>
      </c>
      <c r="G743" t="inlineStr">
        <is>
          <t>développement web new york</t>
        </is>
      </c>
      <c r="H743" t="inlineStr">
        <is>
          <t>SUPPORTS PRIMARY</t>
        </is>
      </c>
      <c r="I743" t="inlineStr">
        <is>
          <t>us</t>
        </is>
      </c>
      <c r="J743" t="inlineStr">
        <is>
          <t>NOT AVAILABLE</t>
        </is>
      </c>
      <c r="K743" t="inlineStr">
        <is>
          <t>NOT AVAILABLE</t>
        </is>
      </c>
      <c r="L743" t="inlineStr">
        <is>
          <t>NOT AVAILABLE</t>
        </is>
      </c>
      <c r="M743" t="inlineStr">
        <is>
          <t>UNAVAILABLE</t>
        </is>
      </c>
      <c r="N743" t="inlineStr">
        <is>
          <t>Yes (supporting block)</t>
        </is>
      </c>
      <c r="O743" s="5" t="inlineStr">
        <is>
          <t>Supports the primary topic - add only if natural</t>
        </is>
      </c>
      <c r="P743" s="5" t="inlineStr"/>
      <c r="Q743" t="inlineStr">
        <is>
          <t>P3</t>
        </is>
      </c>
      <c r="R743" t="n">
        <v>26</v>
      </c>
      <c r="S743" s="5" t="inlineStr">
        <is>
          <t>Projets livrés à distance Sites orientés conversion Accompagnement continu Une approche pensée pour les entreprises de New York - collaboration à distance, sans intermédiaire Expertise Sectorielle</t>
        </is>
      </c>
    </row>
    <row r="744">
      <c r="A744" s="3" t="inlineStr">
        <is>
          <t>https://codesommet.com/web-development-company/new-york</t>
        </is>
      </c>
      <c r="B744" t="n">
        <v>4</v>
      </c>
      <c r="C744" t="inlineStr">
        <is>
          <t>Content block</t>
        </is>
      </c>
      <c r="D744" s="5" t="inlineStr">
        <is>
          <t>New York Nos Secteurs de Spécialisation</t>
        </is>
      </c>
      <c r="E744" t="inlineStr">
        <is>
          <t>H2</t>
        </is>
      </c>
      <c r="F744" s="5" t="inlineStr">
        <is>
          <t>Commercial (local)</t>
        </is>
      </c>
      <c r="G744" t="inlineStr">
        <is>
          <t>développement web new york</t>
        </is>
      </c>
      <c r="H744" t="inlineStr">
        <is>
          <t>SUPPORTS PRIMARY</t>
        </is>
      </c>
      <c r="I744" t="inlineStr">
        <is>
          <t>us</t>
        </is>
      </c>
      <c r="J744" t="inlineStr">
        <is>
          <t>NOT AVAILABLE</t>
        </is>
      </c>
      <c r="K744" t="inlineStr">
        <is>
          <t>NOT AVAILABLE</t>
        </is>
      </c>
      <c r="L744" t="inlineStr">
        <is>
          <t>NOT AVAILABLE</t>
        </is>
      </c>
      <c r="M744" t="inlineStr">
        <is>
          <t>UNAVAILABLE</t>
        </is>
      </c>
      <c r="N744" t="inlineStr">
        <is>
          <t>Yes</t>
        </is>
      </c>
      <c r="O744" s="5" t="inlineStr">
        <is>
          <t>Covered - keep wording; no change</t>
        </is>
      </c>
      <c r="P744" s="5" t="inlineStr"/>
      <c r="Q744" t="inlineStr">
        <is>
          <t>P3</t>
        </is>
      </c>
      <c r="R744" t="n">
        <v>194</v>
      </c>
      <c r="S744" s="5" t="inlineStr">
        <is>
          <t>Expertise approfondie dans les secteurs clés de New York . Nous comprenons les défis uniques de votre secteur et les exigences de conformité. FinTech Plateformes financières sécurisées avec traitement des paiements, conf</t>
        </is>
      </c>
    </row>
    <row r="745">
      <c r="A745" s="3" t="inlineStr">
        <is>
          <t>https://codesommet.com/web-development-company/new-york</t>
        </is>
      </c>
      <c r="B745" t="n">
        <v>5</v>
      </c>
      <c r="C745" t="inlineStr">
        <is>
          <t>Services / features</t>
        </is>
      </c>
      <c r="D745" s="5" t="inlineStr">
        <is>
          <t>Ce que nous construisons pour New York</t>
        </is>
      </c>
      <c r="E745" t="inlineStr">
        <is>
          <t>H2</t>
        </is>
      </c>
      <c r="F745" s="5" t="inlineStr">
        <is>
          <t>Commercial (local)</t>
        </is>
      </c>
      <c r="G745" t="inlineStr">
        <is>
          <t>développement web new york</t>
        </is>
      </c>
      <c r="H745" t="inlineStr">
        <is>
          <t>SUPPORTS PRIMARY</t>
        </is>
      </c>
      <c r="I745" t="inlineStr">
        <is>
          <t>us</t>
        </is>
      </c>
      <c r="J745" t="inlineStr">
        <is>
          <t>NOT AVAILABLE</t>
        </is>
      </c>
      <c r="K745" t="inlineStr">
        <is>
          <t>NOT AVAILABLE</t>
        </is>
      </c>
      <c r="L745" t="inlineStr">
        <is>
          <t>NOT AVAILABLE</t>
        </is>
      </c>
      <c r="M745" t="inlineStr">
        <is>
          <t>UNAVAILABLE</t>
        </is>
      </c>
      <c r="N745" t="inlineStr">
        <is>
          <t>Yes (supporting block)</t>
        </is>
      </c>
      <c r="O745" s="5" t="inlineStr">
        <is>
          <t>Supports the primary topic - add only if natural</t>
        </is>
      </c>
      <c r="P745" s="5" t="inlineStr"/>
      <c r="Q745" t="inlineStr">
        <is>
          <t>P3</t>
        </is>
      </c>
      <c r="R745" t="n">
        <v>73</v>
      </c>
      <c r="S745" s="5" t="inlineStr">
        <is>
          <t>Des projets réels, livrés à distance. Découvrez ce que nous pouvons construire pour votre entreprise à New York , en collaboration à distance. SaaS Plateforme de gestion d'associations : membres, cotisations et événement</t>
        </is>
      </c>
    </row>
    <row r="746">
      <c r="A746" s="3" t="inlineStr">
        <is>
          <t>https://codesommet.com/web-development-company/new-york</t>
        </is>
      </c>
      <c r="B746" t="n">
        <v>6</v>
      </c>
      <c r="C746" t="inlineStr">
        <is>
          <t>Process / how it works</t>
        </is>
      </c>
      <c r="D746" s="5" t="inlineStr">
        <is>
          <t>Comment Nous Concevons des Plateformes Fintech Prêtes pour la Production à New York</t>
        </is>
      </c>
      <c r="E746" t="inlineStr">
        <is>
          <t>H2</t>
        </is>
      </c>
      <c r="F746" s="5" t="inlineStr">
        <is>
          <t>Informational / commercial</t>
        </is>
      </c>
      <c r="G746" t="inlineStr">
        <is>
          <t>développement web new york</t>
        </is>
      </c>
      <c r="H746" t="inlineStr">
        <is>
          <t>SUPPORTS PRIMARY</t>
        </is>
      </c>
      <c r="I746" t="inlineStr">
        <is>
          <t>us</t>
        </is>
      </c>
      <c r="J746" t="inlineStr">
        <is>
          <t>NOT AVAILABLE</t>
        </is>
      </c>
      <c r="K746" t="inlineStr">
        <is>
          <t>NOT AVAILABLE</t>
        </is>
      </c>
      <c r="L746" t="inlineStr">
        <is>
          <t>NOT AVAILABLE</t>
        </is>
      </c>
      <c r="M746" t="inlineStr">
        <is>
          <t>UNAVAILABLE</t>
        </is>
      </c>
      <c r="N746" t="inlineStr">
        <is>
          <t>Yes (supporting block)</t>
        </is>
      </c>
      <c r="O746" s="5" t="inlineStr">
        <is>
          <t>Supports the primary topic - add only if natural</t>
        </is>
      </c>
      <c r="P746" s="5" t="inlineStr"/>
      <c r="Q746" t="inlineStr">
        <is>
          <t>P3</t>
        </is>
      </c>
      <c r="R746" t="n">
        <v>214</v>
      </c>
      <c r="S746" s="5" t="inlineStr">
        <is>
          <t>Plateforme de traitement de paiements B2B • Financial Technologie • 6 months Le Défi Les startups fintech de New York doivent souvent faire évoluer un MVP fonctionnel vers une plateforme robuste : un parcours d'intégrati</t>
        </is>
      </c>
    </row>
    <row r="747">
      <c r="A747" s="3" t="inlineStr">
        <is>
          <t>https://codesommet.com/web-development-company/new-york</t>
        </is>
      </c>
      <c r="B747" t="n">
        <v>7</v>
      </c>
      <c r="C747" t="inlineStr">
        <is>
          <t>Pricing / offers</t>
        </is>
      </c>
      <c r="D747" s="5" t="inlineStr">
        <is>
          <t>Solutions Sur Mesure, Tarification Transparente</t>
        </is>
      </c>
      <c r="E747" t="inlineStr">
        <is>
          <t>H2</t>
        </is>
      </c>
      <c r="F747" s="5" t="inlineStr">
        <is>
          <t>Commercial / transactional</t>
        </is>
      </c>
      <c r="G747" t="inlineStr">
        <is>
          <t>développement web new york</t>
        </is>
      </c>
      <c r="H747" t="inlineStr">
        <is>
          <t>SUPPORTS PRIMARY</t>
        </is>
      </c>
      <c r="I747" t="inlineStr">
        <is>
          <t>us</t>
        </is>
      </c>
      <c r="J747" t="inlineStr">
        <is>
          <t>NOT AVAILABLE</t>
        </is>
      </c>
      <c r="K747" t="inlineStr">
        <is>
          <t>NOT AVAILABLE</t>
        </is>
      </c>
      <c r="L747" t="inlineStr">
        <is>
          <t>NOT AVAILABLE</t>
        </is>
      </c>
      <c r="M747" t="inlineStr">
        <is>
          <t>UNAVAILABLE</t>
        </is>
      </c>
      <c r="N747" t="inlineStr">
        <is>
          <t>Yes (supporting block)</t>
        </is>
      </c>
      <c r="O747" s="5" t="inlineStr">
        <is>
          <t>Supports the primary topic - add only if natural</t>
        </is>
      </c>
      <c r="P747" s="5" t="inlineStr"/>
      <c r="Q747" t="inlineStr">
        <is>
          <t>P3</t>
        </is>
      </c>
      <c r="R747" t="n">
        <v>193</v>
      </c>
      <c r="S747" s="5" t="inlineStr">
        <is>
          <t>Réservez un appel découverte pour discuter de vos besoins spécifiques et obtenir un devis sur mesure Recommandé Développement de Sites Web Site web complet avec fonctionnalités IA, tableaux de bord et design premium livr</t>
        </is>
      </c>
    </row>
    <row r="748">
      <c r="A748" s="3" t="inlineStr">
        <is>
          <t>https://codesommet.com/web-development-company/new-york</t>
        </is>
      </c>
      <c r="B748" t="n">
        <v>8</v>
      </c>
      <c r="C748" t="inlineStr">
        <is>
          <t>CTA / conversion</t>
        </is>
      </c>
      <c r="D748" s="5" t="inlineStr">
        <is>
          <t>Prêt à Améliorer Votre Site Web à New York ?</t>
        </is>
      </c>
      <c r="E748" t="inlineStr">
        <is>
          <t>H2</t>
        </is>
      </c>
      <c r="F748" s="5" t="inlineStr">
        <is>
          <t>Conversion</t>
        </is>
      </c>
      <c r="G748" t="inlineStr">
        <is>
          <t>—</t>
        </is>
      </c>
      <c r="H748" t="inlineStr">
        <is>
          <t>NONE</t>
        </is>
      </c>
      <c r="I748" t="inlineStr">
        <is>
          <t>—</t>
        </is>
      </c>
      <c r="J748" t="inlineStr">
        <is>
          <t>—</t>
        </is>
      </c>
      <c r="K748" t="inlineStr">
        <is>
          <t>—</t>
        </is>
      </c>
      <c r="L748" t="inlineStr">
        <is>
          <t>—</t>
        </is>
      </c>
      <c r="M748" t="inlineStr">
        <is>
          <t>—</t>
        </is>
      </c>
      <c r="N748" t="inlineStr">
        <is>
          <t>n/a</t>
        </is>
      </c>
      <c r="O748" s="5" t="inlineStr">
        <is>
          <t>No keyword target - keep conversion/navigation focus; use descriptive, non-repeated anchor texts</t>
        </is>
      </c>
      <c r="P748" s="5" t="inlineStr"/>
      <c r="Q748" t="inlineStr">
        <is>
          <t>P4</t>
        </is>
      </c>
      <c r="R748" t="n">
        <v>40</v>
      </c>
      <c r="S748" s="5" t="inlineStr">
        <is>
          <t>Obtenez d'abord une analyse gratuite complète : Audit SEO Vérification des performances Revue du design Recommandations alimentées par l'IA Analyser Votre Site Web - 100% Gratuit Aucune carte de crédit requise • Résultat</t>
        </is>
      </c>
    </row>
    <row r="749">
      <c r="A749" s="3" t="inlineStr">
        <is>
          <t>https://codesommet.com/web-development-company/new-york</t>
        </is>
      </c>
      <c r="B749" t="n">
        <v>9</v>
      </c>
      <c r="C749" t="inlineStr">
        <is>
          <t>Why us / differentiation</t>
        </is>
      </c>
      <c r="D749" s="5" t="inlineStr">
        <is>
          <t>CodeSommet New York vs Autres</t>
        </is>
      </c>
      <c r="E749" t="inlineStr">
        <is>
          <t>H2</t>
        </is>
      </c>
      <c r="F749" s="5" t="inlineStr">
        <is>
          <t>Commercial investigation</t>
        </is>
      </c>
      <c r="G749" t="inlineStr">
        <is>
          <t>développement web new york</t>
        </is>
      </c>
      <c r="H749" t="inlineStr">
        <is>
          <t>SUPPORTS PRIMARY</t>
        </is>
      </c>
      <c r="I749" t="inlineStr">
        <is>
          <t>us</t>
        </is>
      </c>
      <c r="J749" t="inlineStr">
        <is>
          <t>NOT AVAILABLE</t>
        </is>
      </c>
      <c r="K749" t="inlineStr">
        <is>
          <t>NOT AVAILABLE</t>
        </is>
      </c>
      <c r="L749" t="inlineStr">
        <is>
          <t>NOT AVAILABLE</t>
        </is>
      </c>
      <c r="M749" t="inlineStr">
        <is>
          <t>UNAVAILABLE</t>
        </is>
      </c>
      <c r="N749" t="inlineStr">
        <is>
          <t>Yes</t>
        </is>
      </c>
      <c r="O749" s="5" t="inlineStr">
        <is>
          <t>Covered - keep wording; no change</t>
        </is>
      </c>
      <c r="P749" s="5" t="inlineStr"/>
      <c r="Q749" t="inlineStr">
        <is>
          <t>P3</t>
        </is>
      </c>
      <c r="R749" t="n">
        <v>98</v>
      </c>
      <c r="S749" s="5" t="inlineStr">
        <is>
          <t>Découvrez pourquoi New York les entreprises choisissent CodeSommet plutôt que d'autres agences locales et internationales. Fonctionnalité CodeSommet New York Autres Agences de New York Agences Internationales Révisions I</t>
        </is>
      </c>
    </row>
    <row r="750">
      <c r="A750" s="3" t="inlineStr">
        <is>
          <t>https://codesommet.com/web-development-company/new-york</t>
        </is>
      </c>
      <c r="B750" t="n">
        <v>10</v>
      </c>
      <c r="C750" t="inlineStr">
        <is>
          <t>Testimonials / social proof</t>
        </is>
      </c>
      <c r="D750" s="5" t="inlineStr">
        <is>
          <t>Ce Que les Clients de New York Disent de Nous</t>
        </is>
      </c>
      <c r="E750" t="inlineStr">
        <is>
          <t>H2</t>
        </is>
      </c>
      <c r="F750" s="5" t="inlineStr">
        <is>
          <t>Commercial investigation</t>
        </is>
      </c>
      <c r="G750" t="inlineStr">
        <is>
          <t>développement web new york</t>
        </is>
      </c>
      <c r="H750" t="inlineStr">
        <is>
          <t>SUPPORTS PRIMARY</t>
        </is>
      </c>
      <c r="I750" t="inlineStr">
        <is>
          <t>us</t>
        </is>
      </c>
      <c r="J750" t="inlineStr">
        <is>
          <t>NOT AVAILABLE</t>
        </is>
      </c>
      <c r="K750" t="inlineStr">
        <is>
          <t>NOT AVAILABLE</t>
        </is>
      </c>
      <c r="L750" t="inlineStr">
        <is>
          <t>NOT AVAILABLE</t>
        </is>
      </c>
      <c r="M750" t="inlineStr">
        <is>
          <t>UNAVAILABLE</t>
        </is>
      </c>
      <c r="N750" t="inlineStr">
        <is>
          <t>Yes (supporting block)</t>
        </is>
      </c>
      <c r="O750" s="5" t="inlineStr">
        <is>
          <t>Supports the primary topic - add only if natural</t>
        </is>
      </c>
      <c r="P750" s="5" t="inlineStr"/>
      <c r="Q750" t="inlineStr">
        <is>
          <t>P3</t>
        </is>
      </c>
      <c r="R750" t="n">
        <v>104</v>
      </c>
      <c r="S750" s="5" t="inlineStr">
        <is>
          <t>Ne nous croyez pas sur parole. Écoutez les entreprises de New York qui ont obtenu des résultats remarquables avec CodeSommet. "Une collaboration professionnelle du début à la fin. Je recommande sans hésiter." Mohammed Ch</t>
        </is>
      </c>
    </row>
    <row r="751">
      <c r="A751" s="3" t="inlineStr">
        <is>
          <t>https://codesommet.com/web-development-company/new-york</t>
        </is>
      </c>
      <c r="B751" t="n">
        <v>11</v>
      </c>
      <c r="C751" t="inlineStr">
        <is>
          <t>Process / how it works</t>
        </is>
      </c>
      <c r="D751" s="5" t="inlineStr">
        <is>
          <t>Comment démarrer en 3 étapes simples</t>
        </is>
      </c>
      <c r="E751" t="inlineStr">
        <is>
          <t>H2</t>
        </is>
      </c>
      <c r="F751" s="5" t="inlineStr">
        <is>
          <t>Informational / commercial</t>
        </is>
      </c>
      <c r="G751" t="inlineStr">
        <is>
          <t>développement web new york</t>
        </is>
      </c>
      <c r="H751" t="inlineStr">
        <is>
          <t>SUPPORTS PRIMARY</t>
        </is>
      </c>
      <c r="I751" t="inlineStr">
        <is>
          <t>us</t>
        </is>
      </c>
      <c r="J751" t="inlineStr">
        <is>
          <t>NOT AVAILABLE</t>
        </is>
      </c>
      <c r="K751" t="inlineStr">
        <is>
          <t>NOT AVAILABLE</t>
        </is>
      </c>
      <c r="L751" t="inlineStr">
        <is>
          <t>NOT AVAILABLE</t>
        </is>
      </c>
      <c r="M751" t="inlineStr">
        <is>
          <t>UNAVAILABLE</t>
        </is>
      </c>
      <c r="N751" t="inlineStr">
        <is>
          <t>Yes (supporting block)</t>
        </is>
      </c>
      <c r="O751" s="5" t="inlineStr">
        <is>
          <t>Supports the primary topic - add only if natural</t>
        </is>
      </c>
      <c r="P751" s="5" t="inlineStr"/>
      <c r="Q751" t="inlineStr">
        <is>
          <t>P3</t>
        </is>
      </c>
      <c r="R751" t="n">
        <v>286</v>
      </c>
      <c r="S751" s="5" t="inlineStr">
        <is>
          <t>Du premier appel à la livraison du projet, découvrez exactement comment nous travaillons ensemble Étape 1 Abonnement 1 projet actif Révisions illimitées Design &amp; développement SEO &amp; contenu Recommandé Développement de Si</t>
        </is>
      </c>
    </row>
    <row r="752">
      <c r="A752" s="3" t="inlineStr">
        <is>
          <t>https://codesommet.com/web-development-company/new-york</t>
        </is>
      </c>
      <c r="B752" t="n">
        <v>12</v>
      </c>
      <c r="C752" t="inlineStr">
        <is>
          <t>FAQ</t>
        </is>
      </c>
      <c r="D752" s="5" t="inlineStr">
        <is>
          <t>Questions Fréquemment Posées sur le Développement Web à New York</t>
        </is>
      </c>
      <c r="E752" t="inlineStr">
        <is>
          <t>H2</t>
        </is>
      </c>
      <c r="F752" s="5" t="inlineStr">
        <is>
          <t>Informational (pre-purchase questions)</t>
        </is>
      </c>
      <c r="G752" t="inlineStr">
        <is>
          <t>développement web new york</t>
        </is>
      </c>
      <c r="H752" t="inlineStr">
        <is>
          <t>SUPPORTS PRIMARY</t>
        </is>
      </c>
      <c r="I752" t="inlineStr">
        <is>
          <t>us</t>
        </is>
      </c>
      <c r="J752" t="inlineStr">
        <is>
          <t>NOT AVAILABLE</t>
        </is>
      </c>
      <c r="K752" t="inlineStr">
        <is>
          <t>NOT AVAILABLE</t>
        </is>
      </c>
      <c r="L752" t="inlineStr">
        <is>
          <t>NOT AVAILABLE</t>
        </is>
      </c>
      <c r="M752" t="inlineStr">
        <is>
          <t>UNAVAILABLE</t>
        </is>
      </c>
      <c r="N752" t="inlineStr">
        <is>
          <t>Yes</t>
        </is>
      </c>
      <c r="O752" s="5" t="inlineStr">
        <is>
          <t>Covered - keep wording; no change</t>
        </is>
      </c>
      <c r="P752" s="5" t="inlineStr"/>
      <c r="Q752" t="inlineStr">
        <is>
          <t>P3</t>
        </is>
      </c>
      <c r="R752" t="n">
        <v>395</v>
      </c>
      <c r="S752" s="5" t="inlineStr">
        <is>
          <t>Vous avez des questions ? Nous avons les réponses. Voici les questions les plus fréquentes des entreprises de New York. 1 Pourquoi choisir CodeSommet plutôt que les nombreuses agences de développement web de New York ? P</t>
        </is>
      </c>
    </row>
    <row r="753">
      <c r="A753" s="3" t="inlineStr">
        <is>
          <t>https://codesommet.com/web-development-company/new-york</t>
        </is>
      </c>
      <c r="B753" t="n">
        <v>13</v>
      </c>
      <c r="C753" t="inlineStr">
        <is>
          <t>Internal-link block</t>
        </is>
      </c>
      <c r="D753" s="5" t="inlineStr">
        <is>
          <t>Nous Desservons Aussi</t>
        </is>
      </c>
      <c r="E753" t="inlineStr">
        <is>
          <t>H2</t>
        </is>
      </c>
      <c r="F753" s="5" t="inlineStr">
        <is>
          <t>Navigation</t>
        </is>
      </c>
      <c r="G753" t="inlineStr">
        <is>
          <t>—</t>
        </is>
      </c>
      <c r="H753" t="inlineStr">
        <is>
          <t>NONE</t>
        </is>
      </c>
      <c r="I753" t="inlineStr">
        <is>
          <t>—</t>
        </is>
      </c>
      <c r="J753" t="inlineStr">
        <is>
          <t>—</t>
        </is>
      </c>
      <c r="K753" t="inlineStr">
        <is>
          <t>—</t>
        </is>
      </c>
      <c r="L753" t="inlineStr">
        <is>
          <t>—</t>
        </is>
      </c>
      <c r="M753" t="inlineStr">
        <is>
          <t>—</t>
        </is>
      </c>
      <c r="N753" t="inlineStr">
        <is>
          <t>n/a</t>
        </is>
      </c>
      <c r="O753" s="5" t="inlineStr">
        <is>
          <t>No keyword target - keep conversion/navigation focus; use descriptive, non-repeated anchor texts</t>
        </is>
      </c>
      <c r="P753" s="5" t="inlineStr"/>
      <c r="Q753" t="inlineStr">
        <is>
          <t>P4</t>
        </is>
      </c>
      <c r="R753" t="n">
        <v>31</v>
      </c>
      <c r="S753" s="5" t="inlineStr">
        <is>
          <t>Explorez nos services de développement web dans d'autres villes à travers le monde Boston États-Unis Austin États-Unis Toronto Canada Los Angeles États-Unis Chicago États-Unis San Francisco États-Unis Voir Toutes les Vil</t>
        </is>
      </c>
    </row>
    <row r="754">
      <c r="A754" s="3" t="inlineStr">
        <is>
          <t>https://codesommet.com/web-development-company/new-york</t>
        </is>
      </c>
      <c r="B754" t="n">
        <v>14</v>
      </c>
      <c r="C754" t="inlineStr">
        <is>
          <t>Internal-link block</t>
        </is>
      </c>
      <c r="D754" s="5" t="inlineStr">
        <is>
          <t>Explorer Plus</t>
        </is>
      </c>
      <c r="E754" t="inlineStr">
        <is>
          <t>H2</t>
        </is>
      </c>
      <c r="F754" s="5" t="inlineStr">
        <is>
          <t>Navigation</t>
        </is>
      </c>
      <c r="G754" t="inlineStr">
        <is>
          <t>—</t>
        </is>
      </c>
      <c r="H754" t="inlineStr">
        <is>
          <t>NONE</t>
        </is>
      </c>
      <c r="I754" t="inlineStr">
        <is>
          <t>—</t>
        </is>
      </c>
      <c r="J754" t="inlineStr">
        <is>
          <t>—</t>
        </is>
      </c>
      <c r="K754" t="inlineStr">
        <is>
          <t>—</t>
        </is>
      </c>
      <c r="L754" t="inlineStr">
        <is>
          <t>—</t>
        </is>
      </c>
      <c r="M754" t="inlineStr">
        <is>
          <t>—</t>
        </is>
      </c>
      <c r="N754" t="inlineStr">
        <is>
          <t>n/a</t>
        </is>
      </c>
      <c r="O754" s="5" t="inlineStr">
        <is>
          <t>No keyword target - keep conversion/navigation focus; use descriptive, non-repeated anchor texts</t>
        </is>
      </c>
      <c r="P754" s="5" t="inlineStr"/>
      <c r="Q754" t="inlineStr">
        <is>
          <t>P4</t>
        </is>
      </c>
      <c r="R754" t="n">
        <v>83</v>
      </c>
      <c r="S754" s="5" t="inlineStr">
        <is>
          <t xml:space="preserve">Découvrez ce qui fait de CodeSommet votre partenaire idéal en développement web Audit Gratuit de Site Web Obtenez une analyse alimentée par l'IA avec plus de 40 vérifications En savoir plus Voir Nos Projets Explorez les </t>
        </is>
      </c>
    </row>
    <row r="755">
      <c r="A755" s="3" t="inlineStr">
        <is>
          <t>https://codesommet.com/web-development-company/new-york</t>
        </is>
      </c>
      <c r="B755" t="n">
        <v>15</v>
      </c>
      <c r="C755" t="inlineStr">
        <is>
          <t>CTA / conversion</t>
        </is>
      </c>
      <c r="D755" s="5" t="inlineStr">
        <is>
          <t>Prêt à Créer Quelque Chose d'Extraordinaire ?</t>
        </is>
      </c>
      <c r="E755" t="inlineStr">
        <is>
          <t>H2</t>
        </is>
      </c>
      <c r="F755" s="5" t="inlineStr">
        <is>
          <t>Conversion</t>
        </is>
      </c>
      <c r="G755" t="inlineStr">
        <is>
          <t>—</t>
        </is>
      </c>
      <c r="H755" t="inlineStr">
        <is>
          <t>NONE</t>
        </is>
      </c>
      <c r="I755" t="inlineStr">
        <is>
          <t>—</t>
        </is>
      </c>
      <c r="J755" t="inlineStr">
        <is>
          <t>—</t>
        </is>
      </c>
      <c r="K755" t="inlineStr">
        <is>
          <t>—</t>
        </is>
      </c>
      <c r="L755" t="inlineStr">
        <is>
          <t>—</t>
        </is>
      </c>
      <c r="M755" t="inlineStr">
        <is>
          <t>—</t>
        </is>
      </c>
      <c r="N755" t="inlineStr">
        <is>
          <t>n/a</t>
        </is>
      </c>
      <c r="O755" s="5" t="inlineStr">
        <is>
          <t>No keyword target - keep conversion/navigation focus; use descriptive, non-repeated anchor texts</t>
        </is>
      </c>
      <c r="P755" s="5" t="inlineStr"/>
      <c r="Q755" t="inlineStr">
        <is>
          <t>P4</t>
        </is>
      </c>
      <c r="R755" t="n">
        <v>119</v>
      </c>
      <c r="S755" s="5" t="inlineStr">
        <is>
          <t>Rejoignez les entreprises visionnaires qui ont choisi l'excellence Réserver un Appel Découverte Analyser Mon Site Gratuitement Réserver un Appel Découverte Analyser Votre Site Web Discutons de la façon dont l'IA et le de</t>
        </is>
      </c>
    </row>
    <row r="756">
      <c r="A756" s="3" t="inlineStr">
        <is>
          <t>https://codesommet.com/web-development-company/san-francisco</t>
        </is>
      </c>
      <c r="B756" t="n">
        <v>1</v>
      </c>
      <c r="C756" t="inlineStr">
        <is>
          <t>Hero / H1</t>
        </is>
      </c>
      <c r="D756" s="5" t="inlineStr">
        <is>
          <t>Développement Web à San Francisco, États-Unis : des sites web qui génèrent Tableaux de Bord SaaS</t>
        </is>
      </c>
      <c r="E756" t="inlineStr">
        <is>
          <t>H1</t>
        </is>
      </c>
      <c r="F756" s="5" t="inlineStr">
        <is>
          <t>Commercial (local)</t>
        </is>
      </c>
      <c r="G756" t="inlineStr">
        <is>
          <t>développement web san francisco</t>
        </is>
      </c>
      <c r="H756" t="inlineStr">
        <is>
          <t>PRIMARY</t>
        </is>
      </c>
      <c r="I756" t="inlineStr">
        <is>
          <t>us</t>
        </is>
      </c>
      <c r="J756" t="inlineStr">
        <is>
          <t>NOT AVAILABLE</t>
        </is>
      </c>
      <c r="K756" t="inlineStr">
        <is>
          <t>NOT AVAILABLE</t>
        </is>
      </c>
      <c r="L756" t="inlineStr">
        <is>
          <t>NOT AVAILABLE</t>
        </is>
      </c>
      <c r="M756" t="inlineStr">
        <is>
          <t>UNAVAILABLE</t>
        </is>
      </c>
      <c r="N756" t="inlineStr">
        <is>
          <t>Yes</t>
        </is>
      </c>
      <c r="O756" s="5" t="inlineStr">
        <is>
          <t>Covered - keep wording; no change</t>
        </is>
      </c>
      <c r="P756" s="5" t="inlineStr"/>
      <c r="Q756" t="inlineStr">
        <is>
          <t>P3</t>
        </is>
      </c>
      <c r="R756" t="n">
        <v>87</v>
      </c>
      <c r="S756" s="5" t="inlineStr">
        <is>
          <t>Depuis le Maroc, notre studio de développement web accompagne à distance les entreprises de San Francisco dans la création de sites web alimentés par l'IA et de tableaux de bord intelligents. Nous sommes spécialisés dans</t>
        </is>
      </c>
    </row>
    <row r="757">
      <c r="A757" s="3" t="inlineStr">
        <is>
          <t>https://codesommet.com/web-development-company/san-francisco</t>
        </is>
      </c>
      <c r="B757" t="n">
        <v>2</v>
      </c>
      <c r="C757" t="inlineStr">
        <is>
          <t>Why us / differentiation</t>
        </is>
      </c>
      <c r="D757" s="5" t="inlineStr">
        <is>
          <t>Pourquoi Choisir CodeSommet in San Francisco ?</t>
        </is>
      </c>
      <c r="E757" t="inlineStr">
        <is>
          <t>H2</t>
        </is>
      </c>
      <c r="F757" s="5" t="inlineStr">
        <is>
          <t>Commercial investigation</t>
        </is>
      </c>
      <c r="G757" t="inlineStr">
        <is>
          <t>développement web san francisco</t>
        </is>
      </c>
      <c r="H757" t="inlineStr">
        <is>
          <t>SUPPORTS PRIMARY</t>
        </is>
      </c>
      <c r="I757" t="inlineStr">
        <is>
          <t>us</t>
        </is>
      </c>
      <c r="J757" t="inlineStr">
        <is>
          <t>NOT AVAILABLE</t>
        </is>
      </c>
      <c r="K757" t="inlineStr">
        <is>
          <t>NOT AVAILABLE</t>
        </is>
      </c>
      <c r="L757" t="inlineStr">
        <is>
          <t>NOT AVAILABLE</t>
        </is>
      </c>
      <c r="M757" t="inlineStr">
        <is>
          <t>UNAVAILABLE</t>
        </is>
      </c>
      <c r="N757" t="inlineStr">
        <is>
          <t>Yes</t>
        </is>
      </c>
      <c r="O757" s="5" t="inlineStr">
        <is>
          <t>Covered - keep wording; no change</t>
        </is>
      </c>
      <c r="P757" s="5" t="inlineStr"/>
      <c r="Q757" t="inlineStr">
        <is>
          <t>P3</t>
        </is>
      </c>
      <c r="R757" t="n">
        <v>158</v>
      </c>
      <c r="S757" s="5" t="inlineStr">
        <is>
          <t xml:space="preserve">L'expertise locale rencontre les standards mondiaux. Voici ce qui fait de nous le partenaire idéal en développement web à San Francisco. Experts en IA Créez des chatbots intelligents, des workflows d'automatisation, une </t>
        </is>
      </c>
    </row>
    <row r="758">
      <c r="A758" s="3" t="inlineStr">
        <is>
          <t>https://codesommet.com/web-development-company/san-francisco</t>
        </is>
      </c>
      <c r="B758" t="n">
        <v>3</v>
      </c>
      <c r="C758" t="inlineStr">
        <is>
          <t>Services / features</t>
        </is>
      </c>
      <c r="D758" s="5" t="inlineStr">
        <is>
          <t>Ce que nous apportons aux entreprises de San Francisco</t>
        </is>
      </c>
      <c r="E758" t="inlineStr">
        <is>
          <t>H2</t>
        </is>
      </c>
      <c r="F758" s="5" t="inlineStr">
        <is>
          <t>Commercial (local)</t>
        </is>
      </c>
      <c r="G758" t="inlineStr">
        <is>
          <t>développement web san francisco</t>
        </is>
      </c>
      <c r="H758" t="inlineStr">
        <is>
          <t>SUPPORTS PRIMARY</t>
        </is>
      </c>
      <c r="I758" t="inlineStr">
        <is>
          <t>us</t>
        </is>
      </c>
      <c r="J758" t="inlineStr">
        <is>
          <t>NOT AVAILABLE</t>
        </is>
      </c>
      <c r="K758" t="inlineStr">
        <is>
          <t>NOT AVAILABLE</t>
        </is>
      </c>
      <c r="L758" t="inlineStr">
        <is>
          <t>NOT AVAILABLE</t>
        </is>
      </c>
      <c r="M758" t="inlineStr">
        <is>
          <t>UNAVAILABLE</t>
        </is>
      </c>
      <c r="N758" t="inlineStr">
        <is>
          <t>Yes (supporting block)</t>
        </is>
      </c>
      <c r="O758" s="5" t="inlineStr">
        <is>
          <t>Supports the primary topic - add only if natural</t>
        </is>
      </c>
      <c r="P758" s="5" t="inlineStr"/>
      <c r="Q758" t="inlineStr">
        <is>
          <t>P3</t>
        </is>
      </c>
      <c r="R758" t="n">
        <v>6</v>
      </c>
      <c r="S758" s="5" t="inlineStr">
        <is>
          <t>Projets livrés à distance Expertise Sectorielle</t>
        </is>
      </c>
    </row>
    <row r="759">
      <c r="A759" s="3" t="inlineStr">
        <is>
          <t>https://codesommet.com/web-development-company/san-francisco</t>
        </is>
      </c>
      <c r="B759" t="n">
        <v>4</v>
      </c>
      <c r="C759" t="inlineStr">
        <is>
          <t>Content block</t>
        </is>
      </c>
      <c r="D759" s="5" t="inlineStr">
        <is>
          <t>San Francisco Nos Secteurs de Spécialisation</t>
        </is>
      </c>
      <c r="E759" t="inlineStr">
        <is>
          <t>H2</t>
        </is>
      </c>
      <c r="F759" s="5" t="inlineStr">
        <is>
          <t>Commercial (local)</t>
        </is>
      </c>
      <c r="G759" t="inlineStr">
        <is>
          <t>développement web san francisco</t>
        </is>
      </c>
      <c r="H759" t="inlineStr">
        <is>
          <t>SUPPORTS PRIMARY</t>
        </is>
      </c>
      <c r="I759" t="inlineStr">
        <is>
          <t>us</t>
        </is>
      </c>
      <c r="J759" t="inlineStr">
        <is>
          <t>NOT AVAILABLE</t>
        </is>
      </c>
      <c r="K759" t="inlineStr">
        <is>
          <t>NOT AVAILABLE</t>
        </is>
      </c>
      <c r="L759" t="inlineStr">
        <is>
          <t>NOT AVAILABLE</t>
        </is>
      </c>
      <c r="M759" t="inlineStr">
        <is>
          <t>UNAVAILABLE</t>
        </is>
      </c>
      <c r="N759" t="inlineStr">
        <is>
          <t>Yes</t>
        </is>
      </c>
      <c r="O759" s="5" t="inlineStr">
        <is>
          <t>Covered - keep wording; no change</t>
        </is>
      </c>
      <c r="P759" s="5" t="inlineStr"/>
      <c r="Q759" t="inlineStr">
        <is>
          <t>P3</t>
        </is>
      </c>
      <c r="R759" t="n">
        <v>195</v>
      </c>
      <c r="S759" s="5" t="inlineStr">
        <is>
          <t>Une expertise approfondie dans les secteurs clés de San Francisco . Nous comprenons les défis propres à votre secteur et ses exigences de conformité. FinTech Plateformes financières sécurisées avec traitement des paiemen</t>
        </is>
      </c>
    </row>
    <row r="760">
      <c r="A760" s="3" t="inlineStr">
        <is>
          <t>https://codesommet.com/web-development-company/san-francisco</t>
        </is>
      </c>
      <c r="B760" t="n">
        <v>5</v>
      </c>
      <c r="C760" t="inlineStr">
        <is>
          <t>Services / features</t>
        </is>
      </c>
      <c r="D760" s="5" t="inlineStr">
        <is>
          <t>Ce que nous construisons pour San Francisco</t>
        </is>
      </c>
      <c r="E760" t="inlineStr">
        <is>
          <t>H2</t>
        </is>
      </c>
      <c r="F760" s="5" t="inlineStr">
        <is>
          <t>Commercial (local)</t>
        </is>
      </c>
      <c r="G760" t="inlineStr">
        <is>
          <t>développement web san francisco</t>
        </is>
      </c>
      <c r="H760" t="inlineStr">
        <is>
          <t>SUPPORTS PRIMARY</t>
        </is>
      </c>
      <c r="I760" t="inlineStr">
        <is>
          <t>us</t>
        </is>
      </c>
      <c r="J760" t="inlineStr">
        <is>
          <t>NOT AVAILABLE</t>
        </is>
      </c>
      <c r="K760" t="inlineStr">
        <is>
          <t>NOT AVAILABLE</t>
        </is>
      </c>
      <c r="L760" t="inlineStr">
        <is>
          <t>NOT AVAILABLE</t>
        </is>
      </c>
      <c r="M760" t="inlineStr">
        <is>
          <t>UNAVAILABLE</t>
        </is>
      </c>
      <c r="N760" t="inlineStr">
        <is>
          <t>Yes (supporting block)</t>
        </is>
      </c>
      <c r="O760" s="5" t="inlineStr">
        <is>
          <t>Supports the primary topic - add only if natural</t>
        </is>
      </c>
      <c r="P760" s="5" t="inlineStr"/>
      <c r="Q760" t="inlineStr">
        <is>
          <t>P3</t>
        </is>
      </c>
      <c r="R760" t="n">
        <v>76</v>
      </c>
      <c r="S760" s="5" t="inlineStr">
        <is>
          <t>Des projets réels, livrés à distance. Découvrez ce que nous pouvons construire pour votre entreprise à San Francisco , en collaboration à distance. Éducation Plateforme d'inscription en ligne pour une école de langues GL</t>
        </is>
      </c>
    </row>
    <row r="761">
      <c r="A761" s="3" t="inlineStr">
        <is>
          <t>https://codesommet.com/web-development-company/san-francisco</t>
        </is>
      </c>
      <c r="B761" t="n">
        <v>6</v>
      </c>
      <c r="C761" t="inlineStr">
        <is>
          <t>Process / how it works</t>
        </is>
      </c>
      <c r="D761" s="5" t="inlineStr">
        <is>
          <t>Comment Nous Accompagnons les Startups SaaS de San Francisco dans leur Croissance</t>
        </is>
      </c>
      <c r="E761" t="inlineStr">
        <is>
          <t>H2</t>
        </is>
      </c>
      <c r="F761" s="5" t="inlineStr">
        <is>
          <t>Informational / commercial</t>
        </is>
      </c>
      <c r="G761" t="inlineStr">
        <is>
          <t>développement web san francisco</t>
        </is>
      </c>
      <c r="H761" t="inlineStr">
        <is>
          <t>SUPPORTS PRIMARY</t>
        </is>
      </c>
      <c r="I761" t="inlineStr">
        <is>
          <t>us</t>
        </is>
      </c>
      <c r="J761" t="inlineStr">
        <is>
          <t>NOT AVAILABLE</t>
        </is>
      </c>
      <c r="K761" t="inlineStr">
        <is>
          <t>NOT AVAILABLE</t>
        </is>
      </c>
      <c r="L761" t="inlineStr">
        <is>
          <t>NOT AVAILABLE</t>
        </is>
      </c>
      <c r="M761" t="inlineStr">
        <is>
          <t>UNAVAILABLE</t>
        </is>
      </c>
      <c r="N761" t="inlineStr">
        <is>
          <t>Yes</t>
        </is>
      </c>
      <c r="O761" s="5" t="inlineStr">
        <is>
          <t>Covered - keep wording; no change</t>
        </is>
      </c>
      <c r="P761" s="5" t="inlineStr"/>
      <c r="Q761" t="inlineStr">
        <is>
          <t>P3</t>
        </is>
      </c>
      <c r="R761" t="n">
        <v>197</v>
      </c>
      <c r="S761" s="5" t="inlineStr">
        <is>
          <t>Plateformes SaaS B2B et tableaux de bord produits • Logiciel Entreprise • 6 mois Notre Approche Les startups SaaS de San Francisco nous sollicitent souvent lorsque leur MVP initial peine à évoluer : requêtes de base de d</t>
        </is>
      </c>
    </row>
    <row r="762">
      <c r="A762" s="3" t="inlineStr">
        <is>
          <t>https://codesommet.com/web-development-company/san-francisco</t>
        </is>
      </c>
      <c r="B762" t="n">
        <v>7</v>
      </c>
      <c r="C762" t="inlineStr">
        <is>
          <t>Pricing / offers</t>
        </is>
      </c>
      <c r="D762" s="5" t="inlineStr">
        <is>
          <t>Solutions sur mesure, tarification transparente</t>
        </is>
      </c>
      <c r="E762" t="inlineStr">
        <is>
          <t>H2</t>
        </is>
      </c>
      <c r="F762" s="5" t="inlineStr">
        <is>
          <t>Commercial / transactional</t>
        </is>
      </c>
      <c r="G762" t="inlineStr">
        <is>
          <t>développement web san francisco</t>
        </is>
      </c>
      <c r="H762" t="inlineStr">
        <is>
          <t>SUPPORTS PRIMARY</t>
        </is>
      </c>
      <c r="I762" t="inlineStr">
        <is>
          <t>us</t>
        </is>
      </c>
      <c r="J762" t="inlineStr">
        <is>
          <t>NOT AVAILABLE</t>
        </is>
      </c>
      <c r="K762" t="inlineStr">
        <is>
          <t>NOT AVAILABLE</t>
        </is>
      </c>
      <c r="L762" t="inlineStr">
        <is>
          <t>NOT AVAILABLE</t>
        </is>
      </c>
      <c r="M762" t="inlineStr">
        <is>
          <t>UNAVAILABLE</t>
        </is>
      </c>
      <c r="N762" t="inlineStr">
        <is>
          <t>Yes (supporting block)</t>
        </is>
      </c>
      <c r="O762" s="5" t="inlineStr">
        <is>
          <t>Supports the primary topic - add only if natural</t>
        </is>
      </c>
      <c r="P762" s="5" t="inlineStr"/>
      <c r="Q762" t="inlineStr">
        <is>
          <t>P3</t>
        </is>
      </c>
      <c r="R762" t="n">
        <v>188</v>
      </c>
      <c r="S762" s="5" t="inlineStr">
        <is>
          <t>Réservez un appel découverte pour discuter de vos besoins spécifiques et obtenir un devis personnalisé Recommandé Développement Web Site web complet avec fonctionnalités IA, tableaux de bord et design premium livré en 2-</t>
        </is>
      </c>
    </row>
    <row r="763">
      <c r="A763" s="3" t="inlineStr">
        <is>
          <t>https://codesommet.com/web-development-company/san-francisco</t>
        </is>
      </c>
      <c r="B763" t="n">
        <v>8</v>
      </c>
      <c r="C763" t="inlineStr">
        <is>
          <t>CTA / conversion</t>
        </is>
      </c>
      <c r="D763" s="5" t="inlineStr">
        <is>
          <t>Prêt à améliorer votre site web ? San Francisco ?</t>
        </is>
      </c>
      <c r="E763" t="inlineStr">
        <is>
          <t>H2</t>
        </is>
      </c>
      <c r="F763" s="5" t="inlineStr">
        <is>
          <t>Conversion</t>
        </is>
      </c>
      <c r="G763" t="inlineStr">
        <is>
          <t>—</t>
        </is>
      </c>
      <c r="H763" t="inlineStr">
        <is>
          <t>NONE</t>
        </is>
      </c>
      <c r="I763" t="inlineStr">
        <is>
          <t>—</t>
        </is>
      </c>
      <c r="J763" t="inlineStr">
        <is>
          <t>—</t>
        </is>
      </c>
      <c r="K763" t="inlineStr">
        <is>
          <t>—</t>
        </is>
      </c>
      <c r="L763" t="inlineStr">
        <is>
          <t>—</t>
        </is>
      </c>
      <c r="M763" t="inlineStr">
        <is>
          <t>—</t>
        </is>
      </c>
      <c r="N763" t="inlineStr">
        <is>
          <t>n/a</t>
        </is>
      </c>
      <c r="O763" s="5" t="inlineStr">
        <is>
          <t>No keyword target - keep conversion/navigation focus; use descriptive, non-repeated anchor texts</t>
        </is>
      </c>
      <c r="P763" s="5" t="inlineStr"/>
      <c r="Q763" t="inlineStr">
        <is>
          <t>P4</t>
        </is>
      </c>
      <c r="R763" t="n">
        <v>39</v>
      </c>
      <c r="S763" s="5" t="inlineStr">
        <is>
          <t xml:space="preserve">Obtenez d'abord une analyse complète gratuite : Audit SEO Vérification de performance Revue de design Recommandations propulsées par l'IA Analyser Votre Site Web - 100 % Gratuit Aucune carte bancaire requise • Résultats </t>
        </is>
      </c>
    </row>
    <row r="764">
      <c r="A764" s="3" t="inlineStr">
        <is>
          <t>https://codesommet.com/web-development-company/san-francisco</t>
        </is>
      </c>
      <c r="B764" t="n">
        <v>9</v>
      </c>
      <c r="C764" t="inlineStr">
        <is>
          <t>Why us / differentiation</t>
        </is>
      </c>
      <c r="D764" s="5" t="inlineStr">
        <is>
          <t>CodeSommet San Francisco vs Others</t>
        </is>
      </c>
      <c r="E764" t="inlineStr">
        <is>
          <t>H2</t>
        </is>
      </c>
      <c r="F764" s="5" t="inlineStr">
        <is>
          <t>Commercial investigation</t>
        </is>
      </c>
      <c r="G764" t="inlineStr">
        <is>
          <t>développement web san francisco</t>
        </is>
      </c>
      <c r="H764" t="inlineStr">
        <is>
          <t>SUPPORTS PRIMARY</t>
        </is>
      </c>
      <c r="I764" t="inlineStr">
        <is>
          <t>us</t>
        </is>
      </c>
      <c r="J764" t="inlineStr">
        <is>
          <t>NOT AVAILABLE</t>
        </is>
      </c>
      <c r="K764" t="inlineStr">
        <is>
          <t>NOT AVAILABLE</t>
        </is>
      </c>
      <c r="L764" t="inlineStr">
        <is>
          <t>NOT AVAILABLE</t>
        </is>
      </c>
      <c r="M764" t="inlineStr">
        <is>
          <t>UNAVAILABLE</t>
        </is>
      </c>
      <c r="N764" t="inlineStr">
        <is>
          <t>Yes</t>
        </is>
      </c>
      <c r="O764" s="5" t="inlineStr">
        <is>
          <t>Covered - keep wording; no change</t>
        </is>
      </c>
      <c r="P764" s="5" t="inlineStr"/>
      <c r="Q764" t="inlineStr">
        <is>
          <t>P3</t>
        </is>
      </c>
      <c r="R764" t="n">
        <v>96</v>
      </c>
      <c r="S764" s="5" t="inlineStr">
        <is>
          <t>Découvrez pourquoi San Francisco les entreprises choisissent CodeSommet plutôt que d'autres agences locales et internationales. Fonctionnalité CodeSommet San Francisco Autres San Francisco Agences Agences Internationales</t>
        </is>
      </c>
    </row>
    <row r="765">
      <c r="A765" s="3" t="inlineStr">
        <is>
          <t>https://codesommet.com/web-development-company/san-francisco</t>
        </is>
      </c>
      <c r="B765" t="n">
        <v>10</v>
      </c>
      <c r="C765" t="inlineStr">
        <is>
          <t>Testimonials / social proof</t>
        </is>
      </c>
      <c r="D765" s="5" t="inlineStr">
        <is>
          <t>Ce que nos clients de San Francisco disent de nous</t>
        </is>
      </c>
      <c r="E765" t="inlineStr">
        <is>
          <t>H2</t>
        </is>
      </c>
      <c r="F765" s="5" t="inlineStr">
        <is>
          <t>Commercial investigation</t>
        </is>
      </c>
      <c r="G765" t="inlineStr">
        <is>
          <t>développement web san francisco</t>
        </is>
      </c>
      <c r="H765" t="inlineStr">
        <is>
          <t>SUPPORTS PRIMARY</t>
        </is>
      </c>
      <c r="I765" t="inlineStr">
        <is>
          <t>us</t>
        </is>
      </c>
      <c r="J765" t="inlineStr">
        <is>
          <t>NOT AVAILABLE</t>
        </is>
      </c>
      <c r="K765" t="inlineStr">
        <is>
          <t>NOT AVAILABLE</t>
        </is>
      </c>
      <c r="L765" t="inlineStr">
        <is>
          <t>NOT AVAILABLE</t>
        </is>
      </c>
      <c r="M765" t="inlineStr">
        <is>
          <t>UNAVAILABLE</t>
        </is>
      </c>
      <c r="N765" t="inlineStr">
        <is>
          <t>Yes (supporting block)</t>
        </is>
      </c>
      <c r="O765" s="5" t="inlineStr">
        <is>
          <t>Supports the primary topic - add only if natural</t>
        </is>
      </c>
      <c r="P765" s="5" t="inlineStr"/>
      <c r="Q765" t="inlineStr">
        <is>
          <t>P3</t>
        </is>
      </c>
      <c r="R765" t="n">
        <v>104</v>
      </c>
      <c r="S765" s="5" t="inlineStr">
        <is>
          <t>Ne nous croyez pas sur parole. Écoutez les entreprises de San Francisco qui ont obtenu des résultats remarquables avec CodeSommet. "Une collaboration professionnelle du début à la fin. Je recommande sans hésiter." Mohamm</t>
        </is>
      </c>
    </row>
    <row r="766">
      <c r="A766" s="3" t="inlineStr">
        <is>
          <t>https://codesommet.com/web-development-company/san-francisco</t>
        </is>
      </c>
      <c r="B766" t="n">
        <v>11</v>
      </c>
      <c r="C766" t="inlineStr">
        <is>
          <t>Process / how it works</t>
        </is>
      </c>
      <c r="D766" s="5" t="inlineStr">
        <is>
          <t>Comment démarrer en 3 étapes simples</t>
        </is>
      </c>
      <c r="E766" t="inlineStr">
        <is>
          <t>H2</t>
        </is>
      </c>
      <c r="F766" s="5" t="inlineStr">
        <is>
          <t>Informational / commercial</t>
        </is>
      </c>
      <c r="G766" t="inlineStr">
        <is>
          <t>développement web san francisco</t>
        </is>
      </c>
      <c r="H766" t="inlineStr">
        <is>
          <t>SUPPORTS PRIMARY</t>
        </is>
      </c>
      <c r="I766" t="inlineStr">
        <is>
          <t>us</t>
        </is>
      </c>
      <c r="J766" t="inlineStr">
        <is>
          <t>NOT AVAILABLE</t>
        </is>
      </c>
      <c r="K766" t="inlineStr">
        <is>
          <t>NOT AVAILABLE</t>
        </is>
      </c>
      <c r="L766" t="inlineStr">
        <is>
          <t>NOT AVAILABLE</t>
        </is>
      </c>
      <c r="M766" t="inlineStr">
        <is>
          <t>UNAVAILABLE</t>
        </is>
      </c>
      <c r="N766" t="inlineStr">
        <is>
          <t>Yes (supporting block)</t>
        </is>
      </c>
      <c r="O766" s="5" t="inlineStr">
        <is>
          <t>Supports the primary topic - add only if natural</t>
        </is>
      </c>
      <c r="P766" s="5" t="inlineStr"/>
      <c r="Q766" t="inlineStr">
        <is>
          <t>P3</t>
        </is>
      </c>
      <c r="R766" t="n">
        <v>286</v>
      </c>
      <c r="S766" s="5" t="inlineStr">
        <is>
          <t>Du premier appel à la livraison du projet, découvrez exactement comment nous travaillons ensemble Étape 1 Abonnement 1 projet actif Révisions illimitées Design &amp; développement SEO &amp; contenu Recommandé Développement de Si</t>
        </is>
      </c>
    </row>
    <row r="767">
      <c r="A767" s="3" t="inlineStr">
        <is>
          <t>https://codesommet.com/web-development-company/san-francisco</t>
        </is>
      </c>
      <c r="B767" t="n">
        <v>12</v>
      </c>
      <c r="C767" t="inlineStr">
        <is>
          <t>FAQ</t>
        </is>
      </c>
      <c r="D767" s="5" t="inlineStr">
        <is>
          <t>Questions Fréquemment Posées sur le Développement Web à San Francisco</t>
        </is>
      </c>
      <c r="E767" t="inlineStr">
        <is>
          <t>H2</t>
        </is>
      </c>
      <c r="F767" s="5" t="inlineStr">
        <is>
          <t>Informational (pre-purchase questions)</t>
        </is>
      </c>
      <c r="G767" t="inlineStr">
        <is>
          <t>développement web san francisco</t>
        </is>
      </c>
      <c r="H767" t="inlineStr">
        <is>
          <t>SUPPORTS PRIMARY</t>
        </is>
      </c>
      <c r="I767" t="inlineStr">
        <is>
          <t>us</t>
        </is>
      </c>
      <c r="J767" t="inlineStr">
        <is>
          <t>NOT AVAILABLE</t>
        </is>
      </c>
      <c r="K767" t="inlineStr">
        <is>
          <t>NOT AVAILABLE</t>
        </is>
      </c>
      <c r="L767" t="inlineStr">
        <is>
          <t>NOT AVAILABLE</t>
        </is>
      </c>
      <c r="M767" t="inlineStr">
        <is>
          <t>UNAVAILABLE</t>
        </is>
      </c>
      <c r="N767" t="inlineStr">
        <is>
          <t>Yes</t>
        </is>
      </c>
      <c r="O767" s="5" t="inlineStr">
        <is>
          <t>Covered - keep wording; no change</t>
        </is>
      </c>
      <c r="P767" s="5" t="inlineStr"/>
      <c r="Q767" t="inlineStr">
        <is>
          <t>P3</t>
        </is>
      </c>
      <c r="R767" t="n">
        <v>385</v>
      </c>
      <c r="S767" s="5" t="inlineStr">
        <is>
          <t xml:space="preserve">Des questions ? Nous avons les réponses. Voici les questions les plus fréquentes des entreprises de San Francisco. 1 Pourquoi choisir CodeSommet parmi les nombreuses agences de développement web de San Francisco ? Parce </t>
        </is>
      </c>
    </row>
    <row r="768">
      <c r="A768" s="3" t="inlineStr">
        <is>
          <t>https://codesommet.com/web-development-company/san-francisco</t>
        </is>
      </c>
      <c r="B768" t="n">
        <v>13</v>
      </c>
      <c r="C768" t="inlineStr">
        <is>
          <t>Internal-link block</t>
        </is>
      </c>
      <c r="D768" s="5" t="inlineStr">
        <is>
          <t>Nous Desservons Également</t>
        </is>
      </c>
      <c r="E768" t="inlineStr">
        <is>
          <t>H2</t>
        </is>
      </c>
      <c r="F768" s="5" t="inlineStr">
        <is>
          <t>Navigation</t>
        </is>
      </c>
      <c r="G768" t="inlineStr">
        <is>
          <t>—</t>
        </is>
      </c>
      <c r="H768" t="inlineStr">
        <is>
          <t>NONE</t>
        </is>
      </c>
      <c r="I768" t="inlineStr">
        <is>
          <t>—</t>
        </is>
      </c>
      <c r="J768" t="inlineStr">
        <is>
          <t>—</t>
        </is>
      </c>
      <c r="K768" t="inlineStr">
        <is>
          <t>—</t>
        </is>
      </c>
      <c r="L768" t="inlineStr">
        <is>
          <t>—</t>
        </is>
      </c>
      <c r="M768" t="inlineStr">
        <is>
          <t>—</t>
        </is>
      </c>
      <c r="N768" t="inlineStr">
        <is>
          <t>n/a</t>
        </is>
      </c>
      <c r="O768" s="5" t="inlineStr">
        <is>
          <t>No keyword target - keep conversion/navigation focus; use descriptive, non-repeated anchor texts</t>
        </is>
      </c>
      <c r="P768" s="5" t="inlineStr"/>
      <c r="Q768" t="inlineStr">
        <is>
          <t>P4</t>
        </is>
      </c>
      <c r="R768" t="n">
        <v>30</v>
      </c>
      <c r="S768" s="5" t="inlineStr">
        <is>
          <t>Explorez nos services de développement web dans d'autres villes à travers le monde Los Angeles États-Unis Vancouver Canada Austin États-Unis Seattle États-Unis New York États-Unis Denver États-Unis Voir Tout Locations</t>
        </is>
      </c>
    </row>
    <row r="769">
      <c r="A769" s="3" t="inlineStr">
        <is>
          <t>https://codesommet.com/web-development-company/san-francisco</t>
        </is>
      </c>
      <c r="B769" t="n">
        <v>14</v>
      </c>
      <c r="C769" t="inlineStr">
        <is>
          <t>Internal-link block</t>
        </is>
      </c>
      <c r="D769" s="5" t="inlineStr">
        <is>
          <t>Explorer davantage</t>
        </is>
      </c>
      <c r="E769" t="inlineStr">
        <is>
          <t>H2</t>
        </is>
      </c>
      <c r="F769" s="5" t="inlineStr">
        <is>
          <t>Navigation</t>
        </is>
      </c>
      <c r="G769" t="inlineStr">
        <is>
          <t>—</t>
        </is>
      </c>
      <c r="H769" t="inlineStr">
        <is>
          <t>NONE</t>
        </is>
      </c>
      <c r="I769" t="inlineStr">
        <is>
          <t>—</t>
        </is>
      </c>
      <c r="J769" t="inlineStr">
        <is>
          <t>—</t>
        </is>
      </c>
      <c r="K769" t="inlineStr">
        <is>
          <t>—</t>
        </is>
      </c>
      <c r="L769" t="inlineStr">
        <is>
          <t>—</t>
        </is>
      </c>
      <c r="M769" t="inlineStr">
        <is>
          <t>—</t>
        </is>
      </c>
      <c r="N769" t="inlineStr">
        <is>
          <t>n/a</t>
        </is>
      </c>
      <c r="O769" s="5" t="inlineStr">
        <is>
          <t>No keyword target - keep conversion/navigation focus; use descriptive, non-repeated anchor texts</t>
        </is>
      </c>
      <c r="P769" s="5" t="inlineStr"/>
      <c r="Q769" t="inlineStr">
        <is>
          <t>P4</t>
        </is>
      </c>
      <c r="R769" t="n">
        <v>83</v>
      </c>
      <c r="S769" s="5" t="inlineStr">
        <is>
          <t>Découvrez ce qui fait de CodeSommet votre partenaire idéal en développement web Audit Gratuit de Site Web Obtenez une analyse alimentée par l'IA avec plus de 40 vérifications En savoir plus Voir Nos Projets Découvrez les</t>
        </is>
      </c>
    </row>
    <row r="770">
      <c r="A770" s="3" t="inlineStr">
        <is>
          <t>https://codesommet.com/web-development-company/san-francisco</t>
        </is>
      </c>
      <c r="B770" t="n">
        <v>15</v>
      </c>
      <c r="C770" t="inlineStr">
        <is>
          <t>CTA / conversion</t>
        </is>
      </c>
      <c r="D770" s="5" t="inlineStr">
        <is>
          <t>Prêt à Créer Quelque Chose d'Extraordinaire ?</t>
        </is>
      </c>
      <c r="E770" t="inlineStr">
        <is>
          <t>H2</t>
        </is>
      </c>
      <c r="F770" s="5" t="inlineStr">
        <is>
          <t>Conversion</t>
        </is>
      </c>
      <c r="G770" t="inlineStr">
        <is>
          <t>—</t>
        </is>
      </c>
      <c r="H770" t="inlineStr">
        <is>
          <t>NONE</t>
        </is>
      </c>
      <c r="I770" t="inlineStr">
        <is>
          <t>—</t>
        </is>
      </c>
      <c r="J770" t="inlineStr">
        <is>
          <t>—</t>
        </is>
      </c>
      <c r="K770" t="inlineStr">
        <is>
          <t>—</t>
        </is>
      </c>
      <c r="L770" t="inlineStr">
        <is>
          <t>—</t>
        </is>
      </c>
      <c r="M770" t="inlineStr">
        <is>
          <t>—</t>
        </is>
      </c>
      <c r="N770" t="inlineStr">
        <is>
          <t>n/a</t>
        </is>
      </c>
      <c r="O770" s="5" t="inlineStr">
        <is>
          <t>No keyword target - keep conversion/navigation focus; use descriptive, non-repeated anchor texts</t>
        </is>
      </c>
      <c r="P770" s="5" t="inlineStr"/>
      <c r="Q770" t="inlineStr">
        <is>
          <t>P4</t>
        </is>
      </c>
      <c r="R770" t="n">
        <v>119</v>
      </c>
      <c r="S770" s="5" t="inlineStr">
        <is>
          <t>Rejoignez les entreprises visionnaires qui ont choisi l'excellence Réserver un Appel Découverte Analyser Mon Site Gratuitement Réserver un Appel Découverte Analyser Votre Site Web Discutons de la façon dont l'IA et le de</t>
        </is>
      </c>
    </row>
    <row r="771">
      <c r="A771" s="3" t="inlineStr">
        <is>
          <t>https://codesommet.com/web-development-company/los-angeles</t>
        </is>
      </c>
      <c r="B771" t="n">
        <v>1</v>
      </c>
      <c r="C771" t="inlineStr">
        <is>
          <t>Hero / H1</t>
        </is>
      </c>
      <c r="D771" s="5" t="inlineStr">
        <is>
          <t>Développement Web à Los Angeles, États-Unis : des sites web qui génèrent Tableaux de Bord SaaS</t>
        </is>
      </c>
      <c r="E771" t="inlineStr">
        <is>
          <t>H1</t>
        </is>
      </c>
      <c r="F771" s="5" t="inlineStr">
        <is>
          <t>Commercial (local)</t>
        </is>
      </c>
      <c r="G771" t="inlineStr">
        <is>
          <t>développement web los angeles</t>
        </is>
      </c>
      <c r="H771" t="inlineStr">
        <is>
          <t>PRIMARY</t>
        </is>
      </c>
      <c r="I771" t="inlineStr">
        <is>
          <t>us</t>
        </is>
      </c>
      <c r="J771" t="inlineStr">
        <is>
          <t>NOT AVAILABLE</t>
        </is>
      </c>
      <c r="K771" t="inlineStr">
        <is>
          <t>NOT AVAILABLE</t>
        </is>
      </c>
      <c r="L771" t="inlineStr">
        <is>
          <t>NOT AVAILABLE</t>
        </is>
      </c>
      <c r="M771" t="inlineStr">
        <is>
          <t>UNAVAILABLE</t>
        </is>
      </c>
      <c r="N771" t="inlineStr">
        <is>
          <t>Yes</t>
        </is>
      </c>
      <c r="O771" s="5" t="inlineStr">
        <is>
          <t>Covered - keep wording; no change</t>
        </is>
      </c>
      <c r="P771" s="5" t="inlineStr"/>
      <c r="Q771" t="inlineStr">
        <is>
          <t>P3</t>
        </is>
      </c>
      <c r="R771" t="n">
        <v>76</v>
      </c>
      <c r="S771" s="5" t="inlineStr">
        <is>
          <t>Depuis le Maroc, notre studio de développement web accompagne à distance les entreprises de Los Angeles dans la création de sites web alimentés par l'IA et de tableaux de bord intelligents. Nous sommes spécialisés dans l</t>
        </is>
      </c>
    </row>
    <row r="772">
      <c r="A772" s="3" t="inlineStr">
        <is>
          <t>https://codesommet.com/web-development-company/los-angeles</t>
        </is>
      </c>
      <c r="B772" t="n">
        <v>2</v>
      </c>
      <c r="C772" t="inlineStr">
        <is>
          <t>Why us / differentiation</t>
        </is>
      </c>
      <c r="D772" s="5" t="inlineStr">
        <is>
          <t>Pourquoi Choisir CodeSommet à Los Angeles ?</t>
        </is>
      </c>
      <c r="E772" t="inlineStr">
        <is>
          <t>H2</t>
        </is>
      </c>
      <c r="F772" s="5" t="inlineStr">
        <is>
          <t>Commercial investigation</t>
        </is>
      </c>
      <c r="G772" t="inlineStr">
        <is>
          <t>développement web los angeles</t>
        </is>
      </c>
      <c r="H772" t="inlineStr">
        <is>
          <t>SUPPORTS PRIMARY</t>
        </is>
      </c>
      <c r="I772" t="inlineStr">
        <is>
          <t>us</t>
        </is>
      </c>
      <c r="J772" t="inlineStr">
        <is>
          <t>NOT AVAILABLE</t>
        </is>
      </c>
      <c r="K772" t="inlineStr">
        <is>
          <t>NOT AVAILABLE</t>
        </is>
      </c>
      <c r="L772" t="inlineStr">
        <is>
          <t>NOT AVAILABLE</t>
        </is>
      </c>
      <c r="M772" t="inlineStr">
        <is>
          <t>UNAVAILABLE</t>
        </is>
      </c>
      <c r="N772" t="inlineStr">
        <is>
          <t>Yes</t>
        </is>
      </c>
      <c r="O772" s="5" t="inlineStr">
        <is>
          <t>Covered - keep wording; no change</t>
        </is>
      </c>
      <c r="P772" s="5" t="inlineStr"/>
      <c r="Q772" t="inlineStr">
        <is>
          <t>P3</t>
        </is>
      </c>
      <c r="R772" t="n">
        <v>170</v>
      </c>
      <c r="S772" s="5" t="inlineStr">
        <is>
          <t xml:space="preserve">L'expertise locale rencontre les standards internationaux. Voici ce qui fait de nous le partenaire idéal en développement web à Los Angeles. Experts en IA Créez des chatbots intelligents, des workflows d'automatisation, </t>
        </is>
      </c>
    </row>
    <row r="773">
      <c r="A773" s="3" t="inlineStr">
        <is>
          <t>https://codesommet.com/web-development-company/los-angeles</t>
        </is>
      </c>
      <c r="B773" t="n">
        <v>3</v>
      </c>
      <c r="C773" t="inlineStr">
        <is>
          <t>Services / features</t>
        </is>
      </c>
      <c r="D773" s="5" t="inlineStr">
        <is>
          <t>Ce que nous apportons aux entreprises de Los Angeles</t>
        </is>
      </c>
      <c r="E773" t="inlineStr">
        <is>
          <t>H2</t>
        </is>
      </c>
      <c r="F773" s="5" t="inlineStr">
        <is>
          <t>Commercial (local)</t>
        </is>
      </c>
      <c r="G773" t="inlineStr">
        <is>
          <t>développement web los angeles</t>
        </is>
      </c>
      <c r="H773" t="inlineStr">
        <is>
          <t>SUPPORTS PRIMARY</t>
        </is>
      </c>
      <c r="I773" t="inlineStr">
        <is>
          <t>us</t>
        </is>
      </c>
      <c r="J773" t="inlineStr">
        <is>
          <t>NOT AVAILABLE</t>
        </is>
      </c>
      <c r="K773" t="inlineStr">
        <is>
          <t>NOT AVAILABLE</t>
        </is>
      </c>
      <c r="L773" t="inlineStr">
        <is>
          <t>NOT AVAILABLE</t>
        </is>
      </c>
      <c r="M773" t="inlineStr">
        <is>
          <t>UNAVAILABLE</t>
        </is>
      </c>
      <c r="N773" t="inlineStr">
        <is>
          <t>Yes (supporting block)</t>
        </is>
      </c>
      <c r="O773" s="5" t="inlineStr">
        <is>
          <t>Supports the primary topic - add only if natural</t>
        </is>
      </c>
      <c r="P773" s="5" t="inlineStr"/>
      <c r="Q773" t="inlineStr">
        <is>
          <t>P3</t>
        </is>
      </c>
      <c r="R773" t="n">
        <v>26</v>
      </c>
      <c r="S773" s="5" t="inlineStr">
        <is>
          <t>Projets livrés à distance Sites orientés conversion Accompagnement continu Une approche pensée pour les entreprises de Los Angeles - collaboration à distance, sans intermédiaire Expertise Sectorielle</t>
        </is>
      </c>
    </row>
    <row r="774">
      <c r="A774" s="3" t="inlineStr">
        <is>
          <t>https://codesommet.com/web-development-company/los-angeles</t>
        </is>
      </c>
      <c r="B774" t="n">
        <v>4</v>
      </c>
      <c r="C774" t="inlineStr">
        <is>
          <t>Content block</t>
        </is>
      </c>
      <c r="D774" s="5" t="inlineStr">
        <is>
          <t>Los Angeles Nos Secteurs de Spécialisation</t>
        </is>
      </c>
      <c r="E774" t="inlineStr">
        <is>
          <t>H2</t>
        </is>
      </c>
      <c r="F774" s="5" t="inlineStr">
        <is>
          <t>Commercial (local)</t>
        </is>
      </c>
      <c r="G774" t="inlineStr">
        <is>
          <t>développement web los angeles</t>
        </is>
      </c>
      <c r="H774" t="inlineStr">
        <is>
          <t>SUPPORTS PRIMARY</t>
        </is>
      </c>
      <c r="I774" t="inlineStr">
        <is>
          <t>us</t>
        </is>
      </c>
      <c r="J774" t="inlineStr">
        <is>
          <t>NOT AVAILABLE</t>
        </is>
      </c>
      <c r="K774" t="inlineStr">
        <is>
          <t>NOT AVAILABLE</t>
        </is>
      </c>
      <c r="L774" t="inlineStr">
        <is>
          <t>NOT AVAILABLE</t>
        </is>
      </c>
      <c r="M774" t="inlineStr">
        <is>
          <t>UNAVAILABLE</t>
        </is>
      </c>
      <c r="N774" t="inlineStr">
        <is>
          <t>Yes</t>
        </is>
      </c>
      <c r="O774" s="5" t="inlineStr">
        <is>
          <t>Covered - keep wording; no change</t>
        </is>
      </c>
      <c r="P774" s="5" t="inlineStr"/>
      <c r="Q774" t="inlineStr">
        <is>
          <t>P3</t>
        </is>
      </c>
      <c r="R774" t="n">
        <v>194</v>
      </c>
      <c r="S774" s="5" t="inlineStr">
        <is>
          <t>Expertise approfondie dans les secteurs clés de Los Angeles . Nous comprenons les défis uniques de votre secteur et les exigences de conformité. FinTech Plateformes financières sécurisées avec traitement des paiements, c</t>
        </is>
      </c>
    </row>
    <row r="775">
      <c r="A775" s="3" t="inlineStr">
        <is>
          <t>https://codesommet.com/web-development-company/los-angeles</t>
        </is>
      </c>
      <c r="B775" t="n">
        <v>5</v>
      </c>
      <c r="C775" t="inlineStr">
        <is>
          <t>Services / features</t>
        </is>
      </c>
      <c r="D775" s="5" t="inlineStr">
        <is>
          <t>Ce que nous construisons pour Los Angeles</t>
        </is>
      </c>
      <c r="E775" t="inlineStr">
        <is>
          <t>H2</t>
        </is>
      </c>
      <c r="F775" s="5" t="inlineStr">
        <is>
          <t>Commercial (local)</t>
        </is>
      </c>
      <c r="G775" t="inlineStr">
        <is>
          <t>développement web los angeles</t>
        </is>
      </c>
      <c r="H775" t="inlineStr">
        <is>
          <t>SUPPORTS PRIMARY</t>
        </is>
      </c>
      <c r="I775" t="inlineStr">
        <is>
          <t>us</t>
        </is>
      </c>
      <c r="J775" t="inlineStr">
        <is>
          <t>NOT AVAILABLE</t>
        </is>
      </c>
      <c r="K775" t="inlineStr">
        <is>
          <t>NOT AVAILABLE</t>
        </is>
      </c>
      <c r="L775" t="inlineStr">
        <is>
          <t>NOT AVAILABLE</t>
        </is>
      </c>
      <c r="M775" t="inlineStr">
        <is>
          <t>UNAVAILABLE</t>
        </is>
      </c>
      <c r="N775" t="inlineStr">
        <is>
          <t>Yes (supporting block)</t>
        </is>
      </c>
      <c r="O775" s="5" t="inlineStr">
        <is>
          <t>Supports the primary topic - add only if natural</t>
        </is>
      </c>
      <c r="P775" s="5" t="inlineStr"/>
      <c r="Q775" t="inlineStr">
        <is>
          <t>P3</t>
        </is>
      </c>
      <c r="R775" t="n">
        <v>75</v>
      </c>
      <c r="S775" s="5" t="inlineStr">
        <is>
          <t xml:space="preserve">Des projets réels, livrés à distance. Découvrez ce que nous pouvons construire pour votre entreprise à Los Angeles , en collaboration à distance. Éducation Plateforme d'inscription en ligne pour une école de langues GLS </t>
        </is>
      </c>
    </row>
    <row r="776">
      <c r="A776" s="3" t="inlineStr">
        <is>
          <t>https://codesommet.com/web-development-company/los-angeles</t>
        </is>
      </c>
      <c r="B776" t="n">
        <v>6</v>
      </c>
      <c r="C776" t="inlineStr">
        <is>
          <t>Process / how it works</t>
        </is>
      </c>
      <c r="D776" s="5" t="inlineStr">
        <is>
          <t>Comment Nous Concevons des Plateformes de Créateurs et de Médias Numériques</t>
        </is>
      </c>
      <c r="E776" t="inlineStr">
        <is>
          <t>H2</t>
        </is>
      </c>
      <c r="F776" s="5" t="inlineStr">
        <is>
          <t>Informational / commercial</t>
        </is>
      </c>
      <c r="G776" t="inlineStr">
        <is>
          <t>développement web los angeles</t>
        </is>
      </c>
      <c r="H776" t="inlineStr">
        <is>
          <t>SUPPORTS PRIMARY</t>
        </is>
      </c>
      <c r="I776" t="inlineStr">
        <is>
          <t>us</t>
        </is>
      </c>
      <c r="J776" t="inlineStr">
        <is>
          <t>NOT AVAILABLE</t>
        </is>
      </c>
      <c r="K776" t="inlineStr">
        <is>
          <t>NOT AVAILABLE</t>
        </is>
      </c>
      <c r="L776" t="inlineStr">
        <is>
          <t>NOT AVAILABLE</t>
        </is>
      </c>
      <c r="M776" t="inlineStr">
        <is>
          <t>UNAVAILABLE</t>
        </is>
      </c>
      <c r="N776" t="inlineStr">
        <is>
          <t>Yes (supporting block)</t>
        </is>
      </c>
      <c r="O776" s="5" t="inlineStr">
        <is>
          <t>Supports the primary topic - add only if natural</t>
        </is>
      </c>
      <c r="P776" s="5" t="inlineStr"/>
      <c r="Q776" t="inlineStr">
        <is>
          <t>P3</t>
        </is>
      </c>
      <c r="R776" t="n">
        <v>230</v>
      </c>
      <c r="S776" s="5" t="inlineStr">
        <is>
          <t>Plateforme de marketing d'influence &amp; de monétisation • Économie des Créateurs / Tech Média • 6 months Le Contexte Les startups de l'économie des créateurs basées à Los Angeles cherchent souvent à lancer rapidement une p</t>
        </is>
      </c>
    </row>
    <row r="777">
      <c r="A777" s="3" t="inlineStr">
        <is>
          <t>https://codesommet.com/web-development-company/los-angeles</t>
        </is>
      </c>
      <c r="B777" t="n">
        <v>7</v>
      </c>
      <c r="C777" t="inlineStr">
        <is>
          <t>Pricing / offers</t>
        </is>
      </c>
      <c r="D777" s="5" t="inlineStr">
        <is>
          <t>Solutions Sur Mesure, Tarification Transparente</t>
        </is>
      </c>
      <c r="E777" t="inlineStr">
        <is>
          <t>H2</t>
        </is>
      </c>
      <c r="F777" s="5" t="inlineStr">
        <is>
          <t>Commercial / transactional</t>
        </is>
      </c>
      <c r="G777" t="inlineStr">
        <is>
          <t>développement web los angeles</t>
        </is>
      </c>
      <c r="H777" t="inlineStr">
        <is>
          <t>SUPPORTS PRIMARY</t>
        </is>
      </c>
      <c r="I777" t="inlineStr">
        <is>
          <t>us</t>
        </is>
      </c>
      <c r="J777" t="inlineStr">
        <is>
          <t>NOT AVAILABLE</t>
        </is>
      </c>
      <c r="K777" t="inlineStr">
        <is>
          <t>NOT AVAILABLE</t>
        </is>
      </c>
      <c r="L777" t="inlineStr">
        <is>
          <t>NOT AVAILABLE</t>
        </is>
      </c>
      <c r="M777" t="inlineStr">
        <is>
          <t>UNAVAILABLE</t>
        </is>
      </c>
      <c r="N777" t="inlineStr">
        <is>
          <t>Yes (supporting block)</t>
        </is>
      </c>
      <c r="O777" s="5" t="inlineStr">
        <is>
          <t>Supports the primary topic - add only if natural</t>
        </is>
      </c>
      <c r="P777" s="5" t="inlineStr"/>
      <c r="Q777" t="inlineStr">
        <is>
          <t>P3</t>
        </is>
      </c>
      <c r="R777" t="n">
        <v>193</v>
      </c>
      <c r="S777" s="5" t="inlineStr">
        <is>
          <t>Réservez un appel découverte pour discuter de vos besoins spécifiques et obtenir un devis sur mesure Recommandé Développement de Sites Web Site web complet avec fonctionnalités IA, tableaux de bord et design premium livr</t>
        </is>
      </c>
    </row>
    <row r="778">
      <c r="A778" s="3" t="inlineStr">
        <is>
          <t>https://codesommet.com/web-development-company/los-angeles</t>
        </is>
      </c>
      <c r="B778" t="n">
        <v>8</v>
      </c>
      <c r="C778" t="inlineStr">
        <is>
          <t>CTA / conversion</t>
        </is>
      </c>
      <c r="D778" s="5" t="inlineStr">
        <is>
          <t>Prêt à Améliorer Votre Site Web à Los Angeles ?</t>
        </is>
      </c>
      <c r="E778" t="inlineStr">
        <is>
          <t>H2</t>
        </is>
      </c>
      <c r="F778" s="5" t="inlineStr">
        <is>
          <t>Conversion</t>
        </is>
      </c>
      <c r="G778" t="inlineStr">
        <is>
          <t>—</t>
        </is>
      </c>
      <c r="H778" t="inlineStr">
        <is>
          <t>NONE</t>
        </is>
      </c>
      <c r="I778" t="inlineStr">
        <is>
          <t>—</t>
        </is>
      </c>
      <c r="J778" t="inlineStr">
        <is>
          <t>—</t>
        </is>
      </c>
      <c r="K778" t="inlineStr">
        <is>
          <t>—</t>
        </is>
      </c>
      <c r="L778" t="inlineStr">
        <is>
          <t>—</t>
        </is>
      </c>
      <c r="M778" t="inlineStr">
        <is>
          <t>—</t>
        </is>
      </c>
      <c r="N778" t="inlineStr">
        <is>
          <t>n/a</t>
        </is>
      </c>
      <c r="O778" s="5" t="inlineStr">
        <is>
          <t>No keyword target - keep conversion/navigation focus; use descriptive, non-repeated anchor texts</t>
        </is>
      </c>
      <c r="P778" s="5" t="inlineStr"/>
      <c r="Q778" t="inlineStr">
        <is>
          <t>P4</t>
        </is>
      </c>
      <c r="R778" t="n">
        <v>40</v>
      </c>
      <c r="S778" s="5" t="inlineStr">
        <is>
          <t>Obtenez d'abord une analyse gratuite complète : Audit SEO Vérification des performances Revue du design Recommandations alimentées par l'IA Analyser Votre Site Web - 100% Gratuit Aucune carte de crédit requise • Résultat</t>
        </is>
      </c>
    </row>
    <row r="779">
      <c r="A779" s="3" t="inlineStr">
        <is>
          <t>https://codesommet.com/web-development-company/los-angeles</t>
        </is>
      </c>
      <c r="B779" t="n">
        <v>9</v>
      </c>
      <c r="C779" t="inlineStr">
        <is>
          <t>Why us / differentiation</t>
        </is>
      </c>
      <c r="D779" s="5" t="inlineStr">
        <is>
          <t>CodeSommet Los Angeles vs Autres</t>
        </is>
      </c>
      <c r="E779" t="inlineStr">
        <is>
          <t>H2</t>
        </is>
      </c>
      <c r="F779" s="5" t="inlineStr">
        <is>
          <t>Commercial investigation</t>
        </is>
      </c>
      <c r="G779" t="inlineStr">
        <is>
          <t>développement web los angeles</t>
        </is>
      </c>
      <c r="H779" t="inlineStr">
        <is>
          <t>SUPPORTS PRIMARY</t>
        </is>
      </c>
      <c r="I779" t="inlineStr">
        <is>
          <t>us</t>
        </is>
      </c>
      <c r="J779" t="inlineStr">
        <is>
          <t>NOT AVAILABLE</t>
        </is>
      </c>
      <c r="K779" t="inlineStr">
        <is>
          <t>NOT AVAILABLE</t>
        </is>
      </c>
      <c r="L779" t="inlineStr">
        <is>
          <t>NOT AVAILABLE</t>
        </is>
      </c>
      <c r="M779" t="inlineStr">
        <is>
          <t>UNAVAILABLE</t>
        </is>
      </c>
      <c r="N779" t="inlineStr">
        <is>
          <t>Yes</t>
        </is>
      </c>
      <c r="O779" s="5" t="inlineStr">
        <is>
          <t>Covered - keep wording; no change</t>
        </is>
      </c>
      <c r="P779" s="5" t="inlineStr"/>
      <c r="Q779" t="inlineStr">
        <is>
          <t>P3</t>
        </is>
      </c>
      <c r="R779" t="n">
        <v>98</v>
      </c>
      <c r="S779" s="5" t="inlineStr">
        <is>
          <t>Découvrez pourquoi Los Angeles les entreprises choisissent CodeSommet plutôt que d'autres agences locales et internationales. Fonctionnalité CodeSommet Los Angeles Autres Agences de Los Angeles Agences Internationales Ré</t>
        </is>
      </c>
    </row>
    <row r="780">
      <c r="A780" s="3" t="inlineStr">
        <is>
          <t>https://codesommet.com/web-development-company/los-angeles</t>
        </is>
      </c>
      <c r="B780" t="n">
        <v>10</v>
      </c>
      <c r="C780" t="inlineStr">
        <is>
          <t>Testimonials / social proof</t>
        </is>
      </c>
      <c r="D780" s="5" t="inlineStr">
        <is>
          <t>Ce Que les Clients de Los Angeles Disent de Nous</t>
        </is>
      </c>
      <c r="E780" t="inlineStr">
        <is>
          <t>H2</t>
        </is>
      </c>
      <c r="F780" s="5" t="inlineStr">
        <is>
          <t>Commercial investigation</t>
        </is>
      </c>
      <c r="G780" t="inlineStr">
        <is>
          <t>développement web los angeles</t>
        </is>
      </c>
      <c r="H780" t="inlineStr">
        <is>
          <t>SUPPORTS PRIMARY</t>
        </is>
      </c>
      <c r="I780" t="inlineStr">
        <is>
          <t>us</t>
        </is>
      </c>
      <c r="J780" t="inlineStr">
        <is>
          <t>NOT AVAILABLE</t>
        </is>
      </c>
      <c r="K780" t="inlineStr">
        <is>
          <t>NOT AVAILABLE</t>
        </is>
      </c>
      <c r="L780" t="inlineStr">
        <is>
          <t>NOT AVAILABLE</t>
        </is>
      </c>
      <c r="M780" t="inlineStr">
        <is>
          <t>UNAVAILABLE</t>
        </is>
      </c>
      <c r="N780" t="inlineStr">
        <is>
          <t>Yes (supporting block)</t>
        </is>
      </c>
      <c r="O780" s="5" t="inlineStr">
        <is>
          <t>Supports the primary topic - add only if natural</t>
        </is>
      </c>
      <c r="P780" s="5" t="inlineStr"/>
      <c r="Q780" t="inlineStr">
        <is>
          <t>P3</t>
        </is>
      </c>
      <c r="R780" t="n">
        <v>104</v>
      </c>
      <c r="S780" s="5" t="inlineStr">
        <is>
          <t>Ne nous croyez pas sur parole. Écoutez les entreprises de Los Angeles qui ont obtenu des résultats remarquables avec CodeSommet. "Une collaboration professionnelle du début à la fin. Je recommande sans hésiter." Mohammed</t>
        </is>
      </c>
    </row>
    <row r="781">
      <c r="A781" s="3" t="inlineStr">
        <is>
          <t>https://codesommet.com/web-development-company/los-angeles</t>
        </is>
      </c>
      <c r="B781" t="n">
        <v>11</v>
      </c>
      <c r="C781" t="inlineStr">
        <is>
          <t>Process / how it works</t>
        </is>
      </c>
      <c r="D781" s="5" t="inlineStr">
        <is>
          <t>Comment démarrer en 3 étapes simples</t>
        </is>
      </c>
      <c r="E781" t="inlineStr">
        <is>
          <t>H2</t>
        </is>
      </c>
      <c r="F781" s="5" t="inlineStr">
        <is>
          <t>Informational / commercial</t>
        </is>
      </c>
      <c r="G781" t="inlineStr">
        <is>
          <t>développement web los angeles</t>
        </is>
      </c>
      <c r="H781" t="inlineStr">
        <is>
          <t>SUPPORTS PRIMARY</t>
        </is>
      </c>
      <c r="I781" t="inlineStr">
        <is>
          <t>us</t>
        </is>
      </c>
      <c r="J781" t="inlineStr">
        <is>
          <t>NOT AVAILABLE</t>
        </is>
      </c>
      <c r="K781" t="inlineStr">
        <is>
          <t>NOT AVAILABLE</t>
        </is>
      </c>
      <c r="L781" t="inlineStr">
        <is>
          <t>NOT AVAILABLE</t>
        </is>
      </c>
      <c r="M781" t="inlineStr">
        <is>
          <t>UNAVAILABLE</t>
        </is>
      </c>
      <c r="N781" t="inlineStr">
        <is>
          <t>Yes (supporting block)</t>
        </is>
      </c>
      <c r="O781" s="5" t="inlineStr">
        <is>
          <t>Supports the primary topic - add only if natural</t>
        </is>
      </c>
      <c r="P781" s="5" t="inlineStr"/>
      <c r="Q781" t="inlineStr">
        <is>
          <t>P3</t>
        </is>
      </c>
      <c r="R781" t="n">
        <v>286</v>
      </c>
      <c r="S781" s="5" t="inlineStr">
        <is>
          <t>Du premier appel à la livraison du projet, découvrez exactement comment nous travaillons ensemble Étape 1 Abonnement 1 projet actif Révisions illimitées Design &amp; développement SEO &amp; contenu Recommandé Développement de Si</t>
        </is>
      </c>
    </row>
    <row r="782">
      <c r="A782" s="3" t="inlineStr">
        <is>
          <t>https://codesommet.com/web-development-company/los-angeles</t>
        </is>
      </c>
      <c r="B782" t="n">
        <v>12</v>
      </c>
      <c r="C782" t="inlineStr">
        <is>
          <t>FAQ</t>
        </is>
      </c>
      <c r="D782" s="5" t="inlineStr">
        <is>
          <t>Questions Fréquemment Posées sur le Développement Web à Los Angeles</t>
        </is>
      </c>
      <c r="E782" t="inlineStr">
        <is>
          <t>H2</t>
        </is>
      </c>
      <c r="F782" s="5" t="inlineStr">
        <is>
          <t>Informational (pre-purchase questions)</t>
        </is>
      </c>
      <c r="G782" t="inlineStr">
        <is>
          <t>développement web los angeles</t>
        </is>
      </c>
      <c r="H782" t="inlineStr">
        <is>
          <t>SUPPORTS PRIMARY</t>
        </is>
      </c>
      <c r="I782" t="inlineStr">
        <is>
          <t>us</t>
        </is>
      </c>
      <c r="J782" t="inlineStr">
        <is>
          <t>NOT AVAILABLE</t>
        </is>
      </c>
      <c r="K782" t="inlineStr">
        <is>
          <t>NOT AVAILABLE</t>
        </is>
      </c>
      <c r="L782" t="inlineStr">
        <is>
          <t>NOT AVAILABLE</t>
        </is>
      </c>
      <c r="M782" t="inlineStr">
        <is>
          <t>UNAVAILABLE</t>
        </is>
      </c>
      <c r="N782" t="inlineStr">
        <is>
          <t>Yes</t>
        </is>
      </c>
      <c r="O782" s="5" t="inlineStr">
        <is>
          <t>Covered - keep wording; no change</t>
        </is>
      </c>
      <c r="P782" s="5" t="inlineStr"/>
      <c r="Q782" t="inlineStr">
        <is>
          <t>P3</t>
        </is>
      </c>
      <c r="R782" t="n">
        <v>398</v>
      </c>
      <c r="S782" s="5" t="inlineStr">
        <is>
          <t>Vous avez des questions ? Nous avons les réponses. Voici les questions les plus fréquentes des entreprises de Los Angeles. 1 Pourquoi choisir CodeSommet plutôt que les nombreuses agences de développement web de Los Angel</t>
        </is>
      </c>
    </row>
    <row r="783">
      <c r="A783" s="3" t="inlineStr">
        <is>
          <t>https://codesommet.com/web-development-company/los-angeles</t>
        </is>
      </c>
      <c r="B783" t="n">
        <v>13</v>
      </c>
      <c r="C783" t="inlineStr">
        <is>
          <t>Internal-link block</t>
        </is>
      </c>
      <c r="D783" s="5" t="inlineStr">
        <is>
          <t>Nous Desservons Aussi</t>
        </is>
      </c>
      <c r="E783" t="inlineStr">
        <is>
          <t>H2</t>
        </is>
      </c>
      <c r="F783" s="5" t="inlineStr">
        <is>
          <t>Navigation</t>
        </is>
      </c>
      <c r="G783" t="inlineStr">
        <is>
          <t>—</t>
        </is>
      </c>
      <c r="H783" t="inlineStr">
        <is>
          <t>NONE</t>
        </is>
      </c>
      <c r="I783" t="inlineStr">
        <is>
          <t>—</t>
        </is>
      </c>
      <c r="J783" t="inlineStr">
        <is>
          <t>—</t>
        </is>
      </c>
      <c r="K783" t="inlineStr">
        <is>
          <t>—</t>
        </is>
      </c>
      <c r="L783" t="inlineStr">
        <is>
          <t>—</t>
        </is>
      </c>
      <c r="M783" t="inlineStr">
        <is>
          <t>—</t>
        </is>
      </c>
      <c r="N783" t="inlineStr">
        <is>
          <t>n/a</t>
        </is>
      </c>
      <c r="O783" s="5" t="inlineStr">
        <is>
          <t>No keyword target - keep conversion/navigation focus; use descriptive, non-repeated anchor texts</t>
        </is>
      </c>
      <c r="P783" s="5" t="inlineStr"/>
      <c r="Q783" t="inlineStr">
        <is>
          <t>P4</t>
        </is>
      </c>
      <c r="R783" t="n">
        <v>31</v>
      </c>
      <c r="S783" s="5" t="inlineStr">
        <is>
          <t>Explorez nos services de développement web dans d'autres villes à travers le monde Austin États-Unis San Francisco États-Unis New York États-Unis Vancouver Canada Boston États-Unis Seattle États-Unis Voir Toutes les Vill</t>
        </is>
      </c>
    </row>
    <row r="784">
      <c r="A784" s="3" t="inlineStr">
        <is>
          <t>https://codesommet.com/web-development-company/los-angeles</t>
        </is>
      </c>
      <c r="B784" t="n">
        <v>14</v>
      </c>
      <c r="C784" t="inlineStr">
        <is>
          <t>Internal-link block</t>
        </is>
      </c>
      <c r="D784" s="5" t="inlineStr">
        <is>
          <t>Explorer Plus</t>
        </is>
      </c>
      <c r="E784" t="inlineStr">
        <is>
          <t>H2</t>
        </is>
      </c>
      <c r="F784" s="5" t="inlineStr">
        <is>
          <t>Navigation</t>
        </is>
      </c>
      <c r="G784" t="inlineStr">
        <is>
          <t>—</t>
        </is>
      </c>
      <c r="H784" t="inlineStr">
        <is>
          <t>NONE</t>
        </is>
      </c>
      <c r="I784" t="inlineStr">
        <is>
          <t>—</t>
        </is>
      </c>
      <c r="J784" t="inlineStr">
        <is>
          <t>—</t>
        </is>
      </c>
      <c r="K784" t="inlineStr">
        <is>
          <t>—</t>
        </is>
      </c>
      <c r="L784" t="inlineStr">
        <is>
          <t>—</t>
        </is>
      </c>
      <c r="M784" t="inlineStr">
        <is>
          <t>—</t>
        </is>
      </c>
      <c r="N784" t="inlineStr">
        <is>
          <t>n/a</t>
        </is>
      </c>
      <c r="O784" s="5" t="inlineStr">
        <is>
          <t>No keyword target - keep conversion/navigation focus; use descriptive, non-repeated anchor texts</t>
        </is>
      </c>
      <c r="P784" s="5" t="inlineStr"/>
      <c r="Q784" t="inlineStr">
        <is>
          <t>P4</t>
        </is>
      </c>
      <c r="R784" t="n">
        <v>83</v>
      </c>
      <c r="S784" s="5" t="inlineStr">
        <is>
          <t xml:space="preserve">Découvrez ce qui fait de CodeSommet votre partenaire idéal en développement web Audit Gratuit de Site Web Obtenez une analyse alimentée par l'IA avec plus de 40 vérifications En savoir plus Voir Nos Projets Explorez les </t>
        </is>
      </c>
    </row>
    <row r="785">
      <c r="A785" s="3" t="inlineStr">
        <is>
          <t>https://codesommet.com/web-development-company/los-angeles</t>
        </is>
      </c>
      <c r="B785" t="n">
        <v>15</v>
      </c>
      <c r="C785" t="inlineStr">
        <is>
          <t>CTA / conversion</t>
        </is>
      </c>
      <c r="D785" s="5" t="inlineStr">
        <is>
          <t>Prêt à Créer Quelque Chose d'Extraordinaire ?</t>
        </is>
      </c>
      <c r="E785" t="inlineStr">
        <is>
          <t>H2</t>
        </is>
      </c>
      <c r="F785" s="5" t="inlineStr">
        <is>
          <t>Conversion</t>
        </is>
      </c>
      <c r="G785" t="inlineStr">
        <is>
          <t>—</t>
        </is>
      </c>
      <c r="H785" t="inlineStr">
        <is>
          <t>NONE</t>
        </is>
      </c>
      <c r="I785" t="inlineStr">
        <is>
          <t>—</t>
        </is>
      </c>
      <c r="J785" t="inlineStr">
        <is>
          <t>—</t>
        </is>
      </c>
      <c r="K785" t="inlineStr">
        <is>
          <t>—</t>
        </is>
      </c>
      <c r="L785" t="inlineStr">
        <is>
          <t>—</t>
        </is>
      </c>
      <c r="M785" t="inlineStr">
        <is>
          <t>—</t>
        </is>
      </c>
      <c r="N785" t="inlineStr">
        <is>
          <t>n/a</t>
        </is>
      </c>
      <c r="O785" s="5" t="inlineStr">
        <is>
          <t>No keyword target - keep conversion/navigation focus; use descriptive, non-repeated anchor texts</t>
        </is>
      </c>
      <c r="P785" s="5" t="inlineStr"/>
      <c r="Q785" t="inlineStr">
        <is>
          <t>P4</t>
        </is>
      </c>
      <c r="R785" t="n">
        <v>119</v>
      </c>
      <c r="S785" s="5" t="inlineStr">
        <is>
          <t>Rejoignez les entreprises visionnaires qui ont choisi l'excellence Réserver un Appel Découverte Analyser Mon Site Gratuitement Réserver un Appel Découverte Analyser Votre Site Web Discutons de la façon dont l'IA et le de</t>
        </is>
      </c>
    </row>
    <row r="786">
      <c r="A786" s="3" t="inlineStr">
        <is>
          <t>https://codesommet.com/web-development-company/austin</t>
        </is>
      </c>
      <c r="B786" t="n">
        <v>1</v>
      </c>
      <c r="C786" t="inlineStr">
        <is>
          <t>Hero / H1</t>
        </is>
      </c>
      <c r="D786" s="5" t="inlineStr">
        <is>
          <t>Développement Web à Austin, États-Unis : des sites web qui génèrent Tableaux de Bord SaaS</t>
        </is>
      </c>
      <c r="E786" t="inlineStr">
        <is>
          <t>H1</t>
        </is>
      </c>
      <c r="F786" s="5" t="inlineStr">
        <is>
          <t>Commercial (local)</t>
        </is>
      </c>
      <c r="G786" t="inlineStr">
        <is>
          <t>développement web austin</t>
        </is>
      </c>
      <c r="H786" t="inlineStr">
        <is>
          <t>PRIMARY</t>
        </is>
      </c>
      <c r="I786" t="inlineStr">
        <is>
          <t>us</t>
        </is>
      </c>
      <c r="J786" t="inlineStr">
        <is>
          <t>NOT AVAILABLE</t>
        </is>
      </c>
      <c r="K786" t="inlineStr">
        <is>
          <t>NOT AVAILABLE</t>
        </is>
      </c>
      <c r="L786" t="inlineStr">
        <is>
          <t>NOT AVAILABLE</t>
        </is>
      </c>
      <c r="M786" t="inlineStr">
        <is>
          <t>UNAVAILABLE</t>
        </is>
      </c>
      <c r="N786" t="inlineStr">
        <is>
          <t>Yes</t>
        </is>
      </c>
      <c r="O786" s="5" t="inlineStr">
        <is>
          <t>Covered - keep wording; no change</t>
        </is>
      </c>
      <c r="P786" s="5" t="inlineStr"/>
      <c r="Q786" t="inlineStr">
        <is>
          <t>P3</t>
        </is>
      </c>
      <c r="R786" t="n">
        <v>82</v>
      </c>
      <c r="S786" s="5" t="inlineStr">
        <is>
          <t>Depuis le Maroc, notre studio de développement web accompagne à distance les entreprises d'Austin dans la création de sites web alimentés par l'IA et de tableaux de bord intelligents. Nous sommes spécialisés dans la créa</t>
        </is>
      </c>
    </row>
    <row r="787">
      <c r="A787" s="3" t="inlineStr">
        <is>
          <t>https://codesommet.com/web-development-company/austin</t>
        </is>
      </c>
      <c r="B787" t="n">
        <v>2</v>
      </c>
      <c r="C787" t="inlineStr">
        <is>
          <t>Why us / differentiation</t>
        </is>
      </c>
      <c r="D787" s="5" t="inlineStr">
        <is>
          <t>Pourquoi Choisir CodeSommet à Austin ?</t>
        </is>
      </c>
      <c r="E787" t="inlineStr">
        <is>
          <t>H2</t>
        </is>
      </c>
      <c r="F787" s="5" t="inlineStr">
        <is>
          <t>Commercial investigation</t>
        </is>
      </c>
      <c r="G787" t="inlineStr">
        <is>
          <t>développement web austin</t>
        </is>
      </c>
      <c r="H787" t="inlineStr">
        <is>
          <t>SUPPORTS PRIMARY</t>
        </is>
      </c>
      <c r="I787" t="inlineStr">
        <is>
          <t>us</t>
        </is>
      </c>
      <c r="J787" t="inlineStr">
        <is>
          <t>NOT AVAILABLE</t>
        </is>
      </c>
      <c r="K787" t="inlineStr">
        <is>
          <t>NOT AVAILABLE</t>
        </is>
      </c>
      <c r="L787" t="inlineStr">
        <is>
          <t>NOT AVAILABLE</t>
        </is>
      </c>
      <c r="M787" t="inlineStr">
        <is>
          <t>UNAVAILABLE</t>
        </is>
      </c>
      <c r="N787" t="inlineStr">
        <is>
          <t>Yes</t>
        </is>
      </c>
      <c r="O787" s="5" t="inlineStr">
        <is>
          <t>Covered - keep wording; no change</t>
        </is>
      </c>
      <c r="P787" s="5" t="inlineStr"/>
      <c r="Q787" t="inlineStr">
        <is>
          <t>P3</t>
        </is>
      </c>
      <c r="R787" t="n">
        <v>174</v>
      </c>
      <c r="S787" s="5" t="inlineStr">
        <is>
          <t>L'expertise locale rencontre les standards mondiaux. Voici ce qui fait de nous le partenaire de développement web idéal à Austin. Experts en IA Créez des chatbots intelligents, des workflows d'automatisation, de la reche</t>
        </is>
      </c>
    </row>
    <row r="788">
      <c r="A788" s="3" t="inlineStr">
        <is>
          <t>https://codesommet.com/web-development-company/austin</t>
        </is>
      </c>
      <c r="B788" t="n">
        <v>3</v>
      </c>
      <c r="C788" t="inlineStr">
        <is>
          <t>Services / features</t>
        </is>
      </c>
      <c r="D788" s="5" t="inlineStr">
        <is>
          <t>Au service des entreprises à Austin</t>
        </is>
      </c>
      <c r="E788" t="inlineStr">
        <is>
          <t>H2</t>
        </is>
      </c>
      <c r="F788" s="5" t="inlineStr">
        <is>
          <t>Commercial (local)</t>
        </is>
      </c>
      <c r="G788" t="inlineStr">
        <is>
          <t>développement web austin</t>
        </is>
      </c>
      <c r="H788" t="inlineStr">
        <is>
          <t>SUPPORTS PRIMARY</t>
        </is>
      </c>
      <c r="I788" t="inlineStr">
        <is>
          <t>us</t>
        </is>
      </c>
      <c r="J788" t="inlineStr">
        <is>
          <t>NOT AVAILABLE</t>
        </is>
      </c>
      <c r="K788" t="inlineStr">
        <is>
          <t>NOT AVAILABLE</t>
        </is>
      </c>
      <c r="L788" t="inlineStr">
        <is>
          <t>NOT AVAILABLE</t>
        </is>
      </c>
      <c r="M788" t="inlineStr">
        <is>
          <t>UNAVAILABLE</t>
        </is>
      </c>
      <c r="N788" t="inlineStr">
        <is>
          <t>Yes (supporting block)</t>
        </is>
      </c>
      <c r="O788" s="5" t="inlineStr">
        <is>
          <t>Supports the primary topic - add only if natural</t>
        </is>
      </c>
      <c r="P788" s="5" t="inlineStr"/>
      <c r="Q788" t="inlineStr">
        <is>
          <t>P3</t>
        </is>
      </c>
      <c r="R788" t="n">
        <v>28</v>
      </c>
      <c r="S788" s="5" t="inlineStr">
        <is>
          <t>Projets livrés à distance Prospects générés Clients accompagnés De vrais résultats de Austin et d\x27ailleurs — projets réalisés à distance pour des entreprises de tous horizons Expertise Sectorielle</t>
        </is>
      </c>
    </row>
    <row r="789">
      <c r="A789" s="3" t="inlineStr">
        <is>
          <t>https://codesommet.com/web-development-company/austin</t>
        </is>
      </c>
      <c r="B789" t="n">
        <v>4</v>
      </c>
      <c r="C789" t="inlineStr">
        <is>
          <t>Content block</t>
        </is>
      </c>
      <c r="D789" s="5" t="inlineStr">
        <is>
          <t>Austin Nos Secteurs de Spécialisation</t>
        </is>
      </c>
      <c r="E789" t="inlineStr">
        <is>
          <t>H2</t>
        </is>
      </c>
      <c r="F789" s="5" t="inlineStr">
        <is>
          <t>Commercial (local)</t>
        </is>
      </c>
      <c r="G789" t="inlineStr">
        <is>
          <t>développement web austin</t>
        </is>
      </c>
      <c r="H789" t="inlineStr">
        <is>
          <t>SUPPORTS PRIMARY</t>
        </is>
      </c>
      <c r="I789" t="inlineStr">
        <is>
          <t>us</t>
        </is>
      </c>
      <c r="J789" t="inlineStr">
        <is>
          <t>NOT AVAILABLE</t>
        </is>
      </c>
      <c r="K789" t="inlineStr">
        <is>
          <t>NOT AVAILABLE</t>
        </is>
      </c>
      <c r="L789" t="inlineStr">
        <is>
          <t>NOT AVAILABLE</t>
        </is>
      </c>
      <c r="M789" t="inlineStr">
        <is>
          <t>UNAVAILABLE</t>
        </is>
      </c>
      <c r="N789" t="inlineStr">
        <is>
          <t>Yes</t>
        </is>
      </c>
      <c r="O789" s="5" t="inlineStr">
        <is>
          <t>Covered - keep wording; no change</t>
        </is>
      </c>
      <c r="P789" s="5" t="inlineStr"/>
      <c r="Q789" t="inlineStr">
        <is>
          <t>P3</t>
        </is>
      </c>
      <c r="R789" t="n">
        <v>187</v>
      </c>
      <c r="S789" s="5" t="inlineStr">
        <is>
          <t>Expertise approfondie dans Austin . Nous comprenons les défis uniques de votre secteur et les exigences de conformité. FinTech Plateformes financières sécurisées avec traitement des paiements, conformité et fonctionnalit</t>
        </is>
      </c>
    </row>
    <row r="790">
      <c r="A790" s="3" t="inlineStr">
        <is>
          <t>https://codesommet.com/web-development-company/austin</t>
        </is>
      </c>
      <c r="B790" t="n">
        <v>5</v>
      </c>
      <c r="C790" t="inlineStr">
        <is>
          <t>Testimonials / social proof</t>
        </is>
      </c>
      <c r="D790" s="5" t="inlineStr">
        <is>
          <t>Histoires de Succès de Austin</t>
        </is>
      </c>
      <c r="E790" t="inlineStr">
        <is>
          <t>H2</t>
        </is>
      </c>
      <c r="F790" s="5" t="inlineStr">
        <is>
          <t>Commercial investigation</t>
        </is>
      </c>
      <c r="G790" t="inlineStr">
        <is>
          <t>développement web austin</t>
        </is>
      </c>
      <c r="H790" t="inlineStr">
        <is>
          <t>SUPPORTS PRIMARY</t>
        </is>
      </c>
      <c r="I790" t="inlineStr">
        <is>
          <t>us</t>
        </is>
      </c>
      <c r="J790" t="inlineStr">
        <is>
          <t>NOT AVAILABLE</t>
        </is>
      </c>
      <c r="K790" t="inlineStr">
        <is>
          <t>NOT AVAILABLE</t>
        </is>
      </c>
      <c r="L790" t="inlineStr">
        <is>
          <t>NOT AVAILABLE</t>
        </is>
      </c>
      <c r="M790" t="inlineStr">
        <is>
          <t>UNAVAILABLE</t>
        </is>
      </c>
      <c r="N790" t="inlineStr">
        <is>
          <t>Yes (supporting block)</t>
        </is>
      </c>
      <c r="O790" s="5" t="inlineStr">
        <is>
          <t>Supports the primary topic - add only if natural</t>
        </is>
      </c>
      <c r="P790" s="5" t="inlineStr"/>
      <c r="Q790" t="inlineStr">
        <is>
          <t>P3</t>
        </is>
      </c>
      <c r="R790" t="n">
        <v>58</v>
      </c>
      <c r="S790" s="5" t="inlineStr">
        <is>
          <t>De vrais projets, de vrais résultats. Découvrez comment nous avons aidé les entreprises à Austin atteindre leurs objectifs numériques. Éducation Plateforme d\x27inscription en ligne GLS Sprachenzentrum Allemagne Santé Pr</t>
        </is>
      </c>
    </row>
    <row r="791">
      <c r="A791" s="3" t="inlineStr">
        <is>
          <t>https://codesommet.com/web-development-company/austin</t>
        </is>
      </c>
      <c r="B791" t="n">
        <v>6</v>
      </c>
      <c r="C791" t="inlineStr">
        <is>
          <t>Process / how it works</t>
        </is>
      </c>
      <c r="D791" s="5" t="inlineStr">
        <is>
          <t>Comment Nous Accompagnons les Startups d'Austin dans le Lancement Rapide de leur MVP</t>
        </is>
      </c>
      <c r="E791" t="inlineStr">
        <is>
          <t>H2</t>
        </is>
      </c>
      <c r="F791" s="5" t="inlineStr">
        <is>
          <t>Informational / commercial</t>
        </is>
      </c>
      <c r="G791" t="inlineStr">
        <is>
          <t>développement web austin</t>
        </is>
      </c>
      <c r="H791" t="inlineStr">
        <is>
          <t>SUPPORTS PRIMARY</t>
        </is>
      </c>
      <c r="I791" t="inlineStr">
        <is>
          <t>us</t>
        </is>
      </c>
      <c r="J791" t="inlineStr">
        <is>
          <t>NOT AVAILABLE</t>
        </is>
      </c>
      <c r="K791" t="inlineStr">
        <is>
          <t>NOT AVAILABLE</t>
        </is>
      </c>
      <c r="L791" t="inlineStr">
        <is>
          <t>NOT AVAILABLE</t>
        </is>
      </c>
      <c r="M791" t="inlineStr">
        <is>
          <t>UNAVAILABLE</t>
        </is>
      </c>
      <c r="N791" t="inlineStr">
        <is>
          <t>Yes</t>
        </is>
      </c>
      <c r="O791" s="5" t="inlineStr">
        <is>
          <t>Covered - keep wording; no change</t>
        </is>
      </c>
      <c r="P791" s="5" t="inlineStr"/>
      <c r="Q791" t="inlineStr">
        <is>
          <t>P3</t>
        </is>
      </c>
      <c r="R791" t="n">
        <v>223</v>
      </c>
      <c r="S791" s="5" t="inlineStr">
        <is>
          <t>Plateforme d'automatisation de workflows B2B • Startup / SaaS • 5 jours Le Défi Les équipes fondatrices basées à Austin doivent souvent livrer un produit fonctionnel avant une date limite serrée - présentation aux invest</t>
        </is>
      </c>
    </row>
    <row r="792">
      <c r="A792" s="3" t="inlineStr">
        <is>
          <t>https://codesommet.com/web-development-company/austin</t>
        </is>
      </c>
      <c r="B792" t="n">
        <v>7</v>
      </c>
      <c r="C792" t="inlineStr">
        <is>
          <t>Pricing / offers</t>
        </is>
      </c>
      <c r="D792" s="5" t="inlineStr">
        <is>
          <t>Solutions Personnalisées, Tarification Transparente</t>
        </is>
      </c>
      <c r="E792" t="inlineStr">
        <is>
          <t>H2</t>
        </is>
      </c>
      <c r="F792" s="5" t="inlineStr">
        <is>
          <t>Commercial / transactional</t>
        </is>
      </c>
      <c r="G792" t="inlineStr">
        <is>
          <t>développement web austin</t>
        </is>
      </c>
      <c r="H792" t="inlineStr">
        <is>
          <t>SUPPORTS PRIMARY</t>
        </is>
      </c>
      <c r="I792" t="inlineStr">
        <is>
          <t>us</t>
        </is>
      </c>
      <c r="J792" t="inlineStr">
        <is>
          <t>NOT AVAILABLE</t>
        </is>
      </c>
      <c r="K792" t="inlineStr">
        <is>
          <t>NOT AVAILABLE</t>
        </is>
      </c>
      <c r="L792" t="inlineStr">
        <is>
          <t>NOT AVAILABLE</t>
        </is>
      </c>
      <c r="M792" t="inlineStr">
        <is>
          <t>UNAVAILABLE</t>
        </is>
      </c>
      <c r="N792" t="inlineStr">
        <is>
          <t>Yes (supporting block)</t>
        </is>
      </c>
      <c r="O792" s="5" t="inlineStr">
        <is>
          <t>Supports the primary topic - add only if natural</t>
        </is>
      </c>
      <c r="P792" s="5" t="inlineStr"/>
      <c r="Q792" t="inlineStr">
        <is>
          <t>P3</t>
        </is>
      </c>
      <c r="R792" t="n">
        <v>184</v>
      </c>
      <c r="S792" s="5" t="inlineStr">
        <is>
          <t>Réservez un appel découverte pour discuter de vos besoins spécifiques et obtenir un devis personnalisé Recommandé Développement Web Site web complet avec fonctionnalités IA, tableaux de bord et design premium livré en 2-</t>
        </is>
      </c>
    </row>
    <row r="793">
      <c r="A793" s="3" t="inlineStr">
        <is>
          <t>https://codesommet.com/web-development-company/austin</t>
        </is>
      </c>
      <c r="B793" t="n">
        <v>8</v>
      </c>
      <c r="C793" t="inlineStr">
        <is>
          <t>CTA / conversion</t>
        </is>
      </c>
      <c r="D793" s="5" t="inlineStr">
        <is>
          <t>Prêt à Améliorer Votre Site Web à Austin ?</t>
        </is>
      </c>
      <c r="E793" t="inlineStr">
        <is>
          <t>H2</t>
        </is>
      </c>
      <c r="F793" s="5" t="inlineStr">
        <is>
          <t>Conversion</t>
        </is>
      </c>
      <c r="G793" t="inlineStr">
        <is>
          <t>—</t>
        </is>
      </c>
      <c r="H793" t="inlineStr">
        <is>
          <t>NONE</t>
        </is>
      </c>
      <c r="I793" t="inlineStr">
        <is>
          <t>—</t>
        </is>
      </c>
      <c r="J793" t="inlineStr">
        <is>
          <t>—</t>
        </is>
      </c>
      <c r="K793" t="inlineStr">
        <is>
          <t>—</t>
        </is>
      </c>
      <c r="L793" t="inlineStr">
        <is>
          <t>—</t>
        </is>
      </c>
      <c r="M793" t="inlineStr">
        <is>
          <t>—</t>
        </is>
      </c>
      <c r="N793" t="inlineStr">
        <is>
          <t>n/a</t>
        </is>
      </c>
      <c r="O793" s="5" t="inlineStr">
        <is>
          <t>No keyword target - keep conversion/navigation focus; use descriptive, non-repeated anchor texts</t>
        </is>
      </c>
      <c r="P793" s="5" t="inlineStr"/>
      <c r="Q793" t="inlineStr">
        <is>
          <t>P4</t>
        </is>
      </c>
      <c r="R793" t="n">
        <v>40</v>
      </c>
      <c r="S793" s="5" t="inlineStr">
        <is>
          <t xml:space="preserve">Obtenez d'abord une analyse gratuite complète : Audit SEO Vérification de performance Revue de design Recommandations alimentées par l'IA Analyser Votre Site Web - 100% Gratuit Aucune carte de crédit requise • Résultats </t>
        </is>
      </c>
    </row>
    <row r="794">
      <c r="A794" s="3" t="inlineStr">
        <is>
          <t>https://codesommet.com/web-development-company/austin</t>
        </is>
      </c>
      <c r="B794" t="n">
        <v>9</v>
      </c>
      <c r="C794" t="inlineStr">
        <is>
          <t>Why us / differentiation</t>
        </is>
      </c>
      <c r="D794" s="5" t="inlineStr">
        <is>
          <t>CodeSommet Austin vs Autres</t>
        </is>
      </c>
      <c r="E794" t="inlineStr">
        <is>
          <t>H2</t>
        </is>
      </c>
      <c r="F794" s="5" t="inlineStr">
        <is>
          <t>Commercial investigation</t>
        </is>
      </c>
      <c r="G794" t="inlineStr">
        <is>
          <t>développement web austin</t>
        </is>
      </c>
      <c r="H794" t="inlineStr">
        <is>
          <t>SUPPORTS PRIMARY</t>
        </is>
      </c>
      <c r="I794" t="inlineStr">
        <is>
          <t>us</t>
        </is>
      </c>
      <c r="J794" t="inlineStr">
        <is>
          <t>NOT AVAILABLE</t>
        </is>
      </c>
      <c r="K794" t="inlineStr">
        <is>
          <t>NOT AVAILABLE</t>
        </is>
      </c>
      <c r="L794" t="inlineStr">
        <is>
          <t>NOT AVAILABLE</t>
        </is>
      </c>
      <c r="M794" t="inlineStr">
        <is>
          <t>UNAVAILABLE</t>
        </is>
      </c>
      <c r="N794" t="inlineStr">
        <is>
          <t>Yes</t>
        </is>
      </c>
      <c r="O794" s="5" t="inlineStr">
        <is>
          <t>Covered - keep wording; no change</t>
        </is>
      </c>
      <c r="P794" s="5" t="inlineStr"/>
      <c r="Q794" t="inlineStr">
        <is>
          <t>P3</t>
        </is>
      </c>
      <c r="R794" t="n">
        <v>88</v>
      </c>
      <c r="S794" s="5" t="inlineStr">
        <is>
          <t>Découvrez pourquoi Austin entreprises choisissent CodeSommet plutôt que d'autres agences locales et concurrents internationaux. Fonctionnalité CodeSommet Austin Autres Austin Agences Agences Internationales Révisions Ill</t>
        </is>
      </c>
    </row>
    <row r="795">
      <c r="A795" s="3" t="inlineStr">
        <is>
          <t>https://codesommet.com/web-development-company/austin</t>
        </is>
      </c>
      <c r="B795" t="n">
        <v>10</v>
      </c>
      <c r="C795" t="inlineStr">
        <is>
          <t>Testimonials / social proof</t>
        </is>
      </c>
      <c r="D795" s="5" t="inlineStr">
        <is>
          <t>Quoi Austin Nos Clients Disent de Nous</t>
        </is>
      </c>
      <c r="E795" t="inlineStr">
        <is>
          <t>H2</t>
        </is>
      </c>
      <c r="F795" s="5" t="inlineStr">
        <is>
          <t>Commercial investigation</t>
        </is>
      </c>
      <c r="G795" t="inlineStr">
        <is>
          <t>développement web austin</t>
        </is>
      </c>
      <c r="H795" t="inlineStr">
        <is>
          <t>SUPPORTS PRIMARY</t>
        </is>
      </c>
      <c r="I795" t="inlineStr">
        <is>
          <t>us</t>
        </is>
      </c>
      <c r="J795" t="inlineStr">
        <is>
          <t>NOT AVAILABLE</t>
        </is>
      </c>
      <c r="K795" t="inlineStr">
        <is>
          <t>NOT AVAILABLE</t>
        </is>
      </c>
      <c r="L795" t="inlineStr">
        <is>
          <t>NOT AVAILABLE</t>
        </is>
      </c>
      <c r="M795" t="inlineStr">
        <is>
          <t>UNAVAILABLE</t>
        </is>
      </c>
      <c r="N795" t="inlineStr">
        <is>
          <t>Yes (supporting block)</t>
        </is>
      </c>
      <c r="O795" s="5" t="inlineStr">
        <is>
          <t>Supports the primary topic - add only if natural</t>
        </is>
      </c>
      <c r="P795" s="5" t="inlineStr"/>
      <c r="Q795" t="inlineStr">
        <is>
          <t>P3</t>
        </is>
      </c>
      <c r="R795" t="n">
        <v>104</v>
      </c>
      <c r="S795" s="5" t="inlineStr">
        <is>
          <t>Ne vous fiez pas seulement à notre parole. Écoutez les entreprises de Austin qui ont obtenu des résultats remarquables avec CodeSommet. "Une collaboration professionnelle du début à la fin. Je recommande sans hésiter." M</t>
        </is>
      </c>
    </row>
    <row r="796">
      <c r="A796" s="3" t="inlineStr">
        <is>
          <t>https://codesommet.com/web-development-company/austin</t>
        </is>
      </c>
      <c r="B796" t="n">
        <v>11</v>
      </c>
      <c r="C796" t="inlineStr">
        <is>
          <t>Process / how it works</t>
        </is>
      </c>
      <c r="D796" s="5" t="inlineStr">
        <is>
          <t>Comment démarrer en 3 étapes simples</t>
        </is>
      </c>
      <c r="E796" t="inlineStr">
        <is>
          <t>H2</t>
        </is>
      </c>
      <c r="F796" s="5" t="inlineStr">
        <is>
          <t>Informational / commercial</t>
        </is>
      </c>
      <c r="G796" t="inlineStr">
        <is>
          <t>développement web austin</t>
        </is>
      </c>
      <c r="H796" t="inlineStr">
        <is>
          <t>SUPPORTS PRIMARY</t>
        </is>
      </c>
      <c r="I796" t="inlineStr">
        <is>
          <t>us</t>
        </is>
      </c>
      <c r="J796" t="inlineStr">
        <is>
          <t>NOT AVAILABLE</t>
        </is>
      </c>
      <c r="K796" t="inlineStr">
        <is>
          <t>NOT AVAILABLE</t>
        </is>
      </c>
      <c r="L796" t="inlineStr">
        <is>
          <t>NOT AVAILABLE</t>
        </is>
      </c>
      <c r="M796" t="inlineStr">
        <is>
          <t>UNAVAILABLE</t>
        </is>
      </c>
      <c r="N796" t="inlineStr">
        <is>
          <t>Yes (supporting block)</t>
        </is>
      </c>
      <c r="O796" s="5" t="inlineStr">
        <is>
          <t>Supports the primary topic - add only if natural</t>
        </is>
      </c>
      <c r="P796" s="5" t="inlineStr"/>
      <c r="Q796" t="inlineStr">
        <is>
          <t>P3</t>
        </is>
      </c>
      <c r="R796" t="n">
        <v>286</v>
      </c>
      <c r="S796" s="5" t="inlineStr">
        <is>
          <t>Du premier appel à la livraison du projet, découvrez exactement comment nous travaillons ensemble Étape 1 Abonnement 1 projet actif Révisions illimitées Design &amp; développement SEO &amp; contenu Recommandé Développement de Si</t>
        </is>
      </c>
    </row>
    <row r="797">
      <c r="A797" s="3" t="inlineStr">
        <is>
          <t>https://codesommet.com/web-development-company/austin</t>
        </is>
      </c>
      <c r="B797" t="n">
        <v>12</v>
      </c>
      <c r="C797" t="inlineStr">
        <is>
          <t>FAQ</t>
        </is>
      </c>
      <c r="D797" s="5" t="inlineStr">
        <is>
          <t>Questions Fréquemment Posées Sur le Développement Web à Austin</t>
        </is>
      </c>
      <c r="E797" t="inlineStr">
        <is>
          <t>H2</t>
        </is>
      </c>
      <c r="F797" s="5" t="inlineStr">
        <is>
          <t>Informational (pre-purchase questions)</t>
        </is>
      </c>
      <c r="G797" t="inlineStr">
        <is>
          <t>développement web austin</t>
        </is>
      </c>
      <c r="H797" t="inlineStr">
        <is>
          <t>SUPPORTS PRIMARY</t>
        </is>
      </c>
      <c r="I797" t="inlineStr">
        <is>
          <t>us</t>
        </is>
      </c>
      <c r="J797" t="inlineStr">
        <is>
          <t>NOT AVAILABLE</t>
        </is>
      </c>
      <c r="K797" t="inlineStr">
        <is>
          <t>NOT AVAILABLE</t>
        </is>
      </c>
      <c r="L797" t="inlineStr">
        <is>
          <t>NOT AVAILABLE</t>
        </is>
      </c>
      <c r="M797" t="inlineStr">
        <is>
          <t>UNAVAILABLE</t>
        </is>
      </c>
      <c r="N797" t="inlineStr">
        <is>
          <t>Yes</t>
        </is>
      </c>
      <c r="O797" s="5" t="inlineStr">
        <is>
          <t>Covered - keep wording; no change</t>
        </is>
      </c>
      <c r="P797" s="5" t="inlineStr"/>
      <c r="Q797" t="inlineStr">
        <is>
          <t>P3</t>
        </is>
      </c>
      <c r="R797" t="n">
        <v>382</v>
      </c>
      <c r="S797" s="5" t="inlineStr">
        <is>
          <t xml:space="preserve">Vous avez des questions ? Nous avons les réponses. Voici les questions les plus fréquentes de Austin entreprises. 1 Pourquoi choisir CodeSommet plutôt que les nombreuses agences de développement web d'Austin ? Parce que </t>
        </is>
      </c>
    </row>
    <row r="798">
      <c r="A798" s="3" t="inlineStr">
        <is>
          <t>https://codesommet.com/web-development-company/austin</t>
        </is>
      </c>
      <c r="B798" t="n">
        <v>13</v>
      </c>
      <c r="C798" t="inlineStr">
        <is>
          <t>Content block</t>
        </is>
      </c>
      <c r="D798" s="5" t="inlineStr">
        <is>
          <t>Nous Servons Également</t>
        </is>
      </c>
      <c r="E798" t="inlineStr">
        <is>
          <t>H2</t>
        </is>
      </c>
      <c r="F798" s="5" t="inlineStr">
        <is>
          <t>Commercial (local)</t>
        </is>
      </c>
      <c r="G798" t="inlineStr">
        <is>
          <t>développement web austin</t>
        </is>
      </c>
      <c r="H798" t="inlineStr">
        <is>
          <t>SUPPORTS PRIMARY</t>
        </is>
      </c>
      <c r="I798" t="inlineStr">
        <is>
          <t>us</t>
        </is>
      </c>
      <c r="J798" t="inlineStr">
        <is>
          <t>NOT AVAILABLE</t>
        </is>
      </c>
      <c r="K798" t="inlineStr">
        <is>
          <t>NOT AVAILABLE</t>
        </is>
      </c>
      <c r="L798" t="inlineStr">
        <is>
          <t>NOT AVAILABLE</t>
        </is>
      </c>
      <c r="M798" t="inlineStr">
        <is>
          <t>UNAVAILABLE</t>
        </is>
      </c>
      <c r="N798" t="inlineStr">
        <is>
          <t>Yes (supporting block)</t>
        </is>
      </c>
      <c r="O798" s="5" t="inlineStr">
        <is>
          <t>Supports the primary topic - add only if natural</t>
        </is>
      </c>
      <c r="P798" s="5" t="inlineStr"/>
      <c r="Q798" t="inlineStr">
        <is>
          <t>P3</t>
        </is>
      </c>
      <c r="R798" t="n">
        <v>31</v>
      </c>
      <c r="S798" s="5" t="inlineStr">
        <is>
          <t>Explorez nos services de développement web dans d'autres villes à travers le monde New York États-Unis Los Angeles États-Unis Boston États-Unis San Francisco États-Unis Toronto Canada Vancouver Canada Voir Tout Locations</t>
        </is>
      </c>
    </row>
    <row r="799">
      <c r="A799" s="3" t="inlineStr">
        <is>
          <t>https://codesommet.com/web-development-company/austin</t>
        </is>
      </c>
      <c r="B799" t="n">
        <v>14</v>
      </c>
      <c r="C799" t="inlineStr">
        <is>
          <t>Content block</t>
        </is>
      </c>
      <c r="D799" s="5" t="inlineStr">
        <is>
          <t>En Savoir Plus</t>
        </is>
      </c>
      <c r="E799" t="inlineStr">
        <is>
          <t>H2</t>
        </is>
      </c>
      <c r="F799" s="5" t="inlineStr">
        <is>
          <t>Commercial (local)</t>
        </is>
      </c>
      <c r="G799" t="inlineStr">
        <is>
          <t>développement web austin</t>
        </is>
      </c>
      <c r="H799" t="inlineStr">
        <is>
          <t>SUPPORTS PRIMARY</t>
        </is>
      </c>
      <c r="I799" t="inlineStr">
        <is>
          <t>us</t>
        </is>
      </c>
      <c r="J799" t="inlineStr">
        <is>
          <t>NOT AVAILABLE</t>
        </is>
      </c>
      <c r="K799" t="inlineStr">
        <is>
          <t>NOT AVAILABLE</t>
        </is>
      </c>
      <c r="L799" t="inlineStr">
        <is>
          <t>NOT AVAILABLE</t>
        </is>
      </c>
      <c r="M799" t="inlineStr">
        <is>
          <t>UNAVAILABLE</t>
        </is>
      </c>
      <c r="N799" t="inlineStr">
        <is>
          <t>Yes (supporting block)</t>
        </is>
      </c>
      <c r="O799" s="5" t="inlineStr">
        <is>
          <t>Supports the primary topic - add only if natural</t>
        </is>
      </c>
      <c r="P799" s="5" t="inlineStr"/>
      <c r="Q799" t="inlineStr">
        <is>
          <t>P3</t>
        </is>
      </c>
      <c r="R799" t="n">
        <v>82</v>
      </c>
      <c r="S799" s="5" t="inlineStr">
        <is>
          <t xml:space="preserve">Découvrez ce qui fait de CodeSommet votre partenaire de développement web idéal Audit Gratuit de Site Web Obtenez une analyse alimentée par l'IA avec plus de 40 vérifications En savoir plus Voir Nos Projets Explorez les </t>
        </is>
      </c>
    </row>
    <row r="800">
      <c r="A800" s="3" t="inlineStr">
        <is>
          <t>https://codesommet.com/web-development-company/austin</t>
        </is>
      </c>
      <c r="B800" t="n">
        <v>15</v>
      </c>
      <c r="C800" t="inlineStr">
        <is>
          <t>CTA / conversion</t>
        </is>
      </c>
      <c r="D800" s="5" t="inlineStr">
        <is>
          <t>Prêt à Créer Quelque Chose d'Extraordinaire ?</t>
        </is>
      </c>
      <c r="E800" t="inlineStr">
        <is>
          <t>H2</t>
        </is>
      </c>
      <c r="F800" s="5" t="inlineStr">
        <is>
          <t>Conversion</t>
        </is>
      </c>
      <c r="G800" t="inlineStr">
        <is>
          <t>—</t>
        </is>
      </c>
      <c r="H800" t="inlineStr">
        <is>
          <t>NONE</t>
        </is>
      </c>
      <c r="I800" t="inlineStr">
        <is>
          <t>—</t>
        </is>
      </c>
      <c r="J800" t="inlineStr">
        <is>
          <t>—</t>
        </is>
      </c>
      <c r="K800" t="inlineStr">
        <is>
          <t>—</t>
        </is>
      </c>
      <c r="L800" t="inlineStr">
        <is>
          <t>—</t>
        </is>
      </c>
      <c r="M800" t="inlineStr">
        <is>
          <t>—</t>
        </is>
      </c>
      <c r="N800" t="inlineStr">
        <is>
          <t>n/a</t>
        </is>
      </c>
      <c r="O800" s="5" t="inlineStr">
        <is>
          <t>No keyword target - keep conversion/navigation focus; use descriptive, non-repeated anchor texts</t>
        </is>
      </c>
      <c r="P800" s="5" t="inlineStr"/>
      <c r="Q800" t="inlineStr">
        <is>
          <t>P4</t>
        </is>
      </c>
      <c r="R800" t="n">
        <v>117</v>
      </c>
      <c r="S800" s="5" t="inlineStr">
        <is>
          <t>Rejoignez les entreprises visionnaires qui ont choisi l'excellence Réserver un Appel Découverte Analyser Mon Site Gratuitement Réserver un Appel Découverte Analyser Votre Site Web Discutons de comment l'IA et le design m</t>
        </is>
      </c>
    </row>
    <row r="801">
      <c r="A801" s="3" t="inlineStr">
        <is>
          <t>https://codesommet.com/web-development-company/seattle</t>
        </is>
      </c>
      <c r="B801" t="n">
        <v>1</v>
      </c>
      <c r="C801" t="inlineStr">
        <is>
          <t>Hero / H1</t>
        </is>
      </c>
      <c r="D801" s="5" t="inlineStr">
        <is>
          <t>Développement Web à Seattle, États-Unis : des sites web qui génèrent Tableaux de Bord SaaS</t>
        </is>
      </c>
      <c r="E801" t="inlineStr">
        <is>
          <t>H1</t>
        </is>
      </c>
      <c r="F801" s="5" t="inlineStr">
        <is>
          <t>Commercial (local)</t>
        </is>
      </c>
      <c r="G801" t="inlineStr">
        <is>
          <t>développement web seattle</t>
        </is>
      </c>
      <c r="H801" t="inlineStr">
        <is>
          <t>PRIMARY</t>
        </is>
      </c>
      <c r="I801" t="inlineStr">
        <is>
          <t>us</t>
        </is>
      </c>
      <c r="J801" t="inlineStr">
        <is>
          <t>NOT AVAILABLE</t>
        </is>
      </c>
      <c r="K801" t="inlineStr">
        <is>
          <t>NOT AVAILABLE</t>
        </is>
      </c>
      <c r="L801" t="inlineStr">
        <is>
          <t>NOT AVAILABLE</t>
        </is>
      </c>
      <c r="M801" t="inlineStr">
        <is>
          <t>UNAVAILABLE</t>
        </is>
      </c>
      <c r="N801" t="inlineStr">
        <is>
          <t>Yes</t>
        </is>
      </c>
      <c r="O801" s="5" t="inlineStr">
        <is>
          <t>Covered - keep wording; no change</t>
        </is>
      </c>
      <c r="P801" s="5" t="inlineStr"/>
      <c r="Q801" t="inlineStr">
        <is>
          <t>P3</t>
        </is>
      </c>
      <c r="R801" t="n">
        <v>80</v>
      </c>
      <c r="S801" s="5" t="inlineStr">
        <is>
          <t>Depuis le Maroc, notre studio de développement web accompagne à distance les entreprises de Seattle dans la création de sites web alimentés par l'IA et de tableaux de bord intelligents. Nous sommes spécialisés dans la cr</t>
        </is>
      </c>
    </row>
    <row r="802">
      <c r="A802" s="3" t="inlineStr">
        <is>
          <t>https://codesommet.com/web-development-company/seattle</t>
        </is>
      </c>
      <c r="B802" t="n">
        <v>2</v>
      </c>
      <c r="C802" t="inlineStr">
        <is>
          <t>Why us / differentiation</t>
        </is>
      </c>
      <c r="D802" s="5" t="inlineStr">
        <is>
          <t>Pourquoi Choisir CodeSommet in Seattle ?</t>
        </is>
      </c>
      <c r="E802" t="inlineStr">
        <is>
          <t>H2</t>
        </is>
      </c>
      <c r="F802" s="5" t="inlineStr">
        <is>
          <t>Commercial investigation</t>
        </is>
      </c>
      <c r="G802" t="inlineStr">
        <is>
          <t>développement web seattle</t>
        </is>
      </c>
      <c r="H802" t="inlineStr">
        <is>
          <t>SUPPORTS PRIMARY</t>
        </is>
      </c>
      <c r="I802" t="inlineStr">
        <is>
          <t>us</t>
        </is>
      </c>
      <c r="J802" t="inlineStr">
        <is>
          <t>NOT AVAILABLE</t>
        </is>
      </c>
      <c r="K802" t="inlineStr">
        <is>
          <t>NOT AVAILABLE</t>
        </is>
      </c>
      <c r="L802" t="inlineStr">
        <is>
          <t>NOT AVAILABLE</t>
        </is>
      </c>
      <c r="M802" t="inlineStr">
        <is>
          <t>UNAVAILABLE</t>
        </is>
      </c>
      <c r="N802" t="inlineStr">
        <is>
          <t>Yes</t>
        </is>
      </c>
      <c r="O802" s="5" t="inlineStr">
        <is>
          <t>Covered - keep wording; no change</t>
        </is>
      </c>
      <c r="P802" s="5" t="inlineStr"/>
      <c r="Q802" t="inlineStr">
        <is>
          <t>P3</t>
        </is>
      </c>
      <c r="R802" t="n">
        <v>151</v>
      </c>
      <c r="S802" s="5" t="inlineStr">
        <is>
          <t>L'expertise locale rencontre les standards mondiaux. Voici ce qui fait de nous le partenaire idéal en développement web à Seattle. Experts en IA Créez des chatbots intelligents, des workflows d'automatisation, une recher</t>
        </is>
      </c>
    </row>
    <row r="803">
      <c r="A803" s="3" t="inlineStr">
        <is>
          <t>https://codesommet.com/web-development-company/seattle</t>
        </is>
      </c>
      <c r="B803" t="n">
        <v>3</v>
      </c>
      <c r="C803" t="inlineStr">
        <is>
          <t>Services / features</t>
        </is>
      </c>
      <c r="D803" s="5" t="inlineStr">
        <is>
          <t>Au service des entreprises à Seattle</t>
        </is>
      </c>
      <c r="E803" t="inlineStr">
        <is>
          <t>H2</t>
        </is>
      </c>
      <c r="F803" s="5" t="inlineStr">
        <is>
          <t>Commercial (local)</t>
        </is>
      </c>
      <c r="G803" t="inlineStr">
        <is>
          <t>développement web seattle</t>
        </is>
      </c>
      <c r="H803" t="inlineStr">
        <is>
          <t>SUPPORTS PRIMARY</t>
        </is>
      </c>
      <c r="I803" t="inlineStr">
        <is>
          <t>us</t>
        </is>
      </c>
      <c r="J803" t="inlineStr">
        <is>
          <t>NOT AVAILABLE</t>
        </is>
      </c>
      <c r="K803" t="inlineStr">
        <is>
          <t>NOT AVAILABLE</t>
        </is>
      </c>
      <c r="L803" t="inlineStr">
        <is>
          <t>NOT AVAILABLE</t>
        </is>
      </c>
      <c r="M803" t="inlineStr">
        <is>
          <t>UNAVAILABLE</t>
        </is>
      </c>
      <c r="N803" t="inlineStr">
        <is>
          <t>Yes (supporting block)</t>
        </is>
      </c>
      <c r="O803" s="5" t="inlineStr">
        <is>
          <t>Supports the primary topic - add only if natural</t>
        </is>
      </c>
      <c r="P803" s="5" t="inlineStr"/>
      <c r="Q803" t="inlineStr">
        <is>
          <t>P3</t>
        </is>
      </c>
      <c r="R803" t="n">
        <v>6</v>
      </c>
      <c r="S803" s="5" t="inlineStr">
        <is>
          <t>Projets livrés à distance Expertise Sectorielle</t>
        </is>
      </c>
    </row>
    <row r="804">
      <c r="A804" s="3" t="inlineStr">
        <is>
          <t>https://codesommet.com/web-development-company/seattle</t>
        </is>
      </c>
      <c r="B804" t="n">
        <v>4</v>
      </c>
      <c r="C804" t="inlineStr">
        <is>
          <t>Content block</t>
        </is>
      </c>
      <c r="D804" s="5" t="inlineStr">
        <is>
          <t>Seattle Nos Secteurs de Spécialisation</t>
        </is>
      </c>
      <c r="E804" t="inlineStr">
        <is>
          <t>H2</t>
        </is>
      </c>
      <c r="F804" s="5" t="inlineStr">
        <is>
          <t>Commercial (local)</t>
        </is>
      </c>
      <c r="G804" t="inlineStr">
        <is>
          <t>développement web seattle</t>
        </is>
      </c>
      <c r="H804" t="inlineStr">
        <is>
          <t>SUPPORTS PRIMARY</t>
        </is>
      </c>
      <c r="I804" t="inlineStr">
        <is>
          <t>us</t>
        </is>
      </c>
      <c r="J804" t="inlineStr">
        <is>
          <t>NOT AVAILABLE</t>
        </is>
      </c>
      <c r="K804" t="inlineStr">
        <is>
          <t>NOT AVAILABLE</t>
        </is>
      </c>
      <c r="L804" t="inlineStr">
        <is>
          <t>NOT AVAILABLE</t>
        </is>
      </c>
      <c r="M804" t="inlineStr">
        <is>
          <t>UNAVAILABLE</t>
        </is>
      </c>
      <c r="N804" t="inlineStr">
        <is>
          <t>Yes</t>
        </is>
      </c>
      <c r="O804" s="5" t="inlineStr">
        <is>
          <t>Covered - keep wording; no change</t>
        </is>
      </c>
      <c r="P804" s="5" t="inlineStr"/>
      <c r="Q804" t="inlineStr">
        <is>
          <t>P3</t>
        </is>
      </c>
      <c r="R804" t="n">
        <v>192</v>
      </c>
      <c r="S804" s="5" t="inlineStr">
        <is>
          <t>Une expertise approfondie dans les secteurs clés de Seattle . Nous comprenons les défis propres à votre secteur et ses exigences de conformité. FinTech Plateformes financières sécurisées avec traitement des paiements, co</t>
        </is>
      </c>
    </row>
    <row r="805">
      <c r="A805" s="3" t="inlineStr">
        <is>
          <t>https://codesommet.com/web-development-company/seattle</t>
        </is>
      </c>
      <c r="B805" t="n">
        <v>5</v>
      </c>
      <c r="C805" t="inlineStr">
        <is>
          <t>Testimonials / social proof</t>
        </is>
      </c>
      <c r="D805" s="5" t="inlineStr">
        <is>
          <t>Histoires de réussite à Seattle</t>
        </is>
      </c>
      <c r="E805" t="inlineStr">
        <is>
          <t>H2</t>
        </is>
      </c>
      <c r="F805" s="5" t="inlineStr">
        <is>
          <t>Commercial investigation</t>
        </is>
      </c>
      <c r="G805" t="inlineStr">
        <is>
          <t>développement web seattle</t>
        </is>
      </c>
      <c r="H805" t="inlineStr">
        <is>
          <t>SUPPORTS PRIMARY</t>
        </is>
      </c>
      <c r="I805" t="inlineStr">
        <is>
          <t>us</t>
        </is>
      </c>
      <c r="J805" t="inlineStr">
        <is>
          <t>NOT AVAILABLE</t>
        </is>
      </c>
      <c r="K805" t="inlineStr">
        <is>
          <t>NOT AVAILABLE</t>
        </is>
      </c>
      <c r="L805" t="inlineStr">
        <is>
          <t>NOT AVAILABLE</t>
        </is>
      </c>
      <c r="M805" t="inlineStr">
        <is>
          <t>UNAVAILABLE</t>
        </is>
      </c>
      <c r="N805" t="inlineStr">
        <is>
          <t>Yes (supporting block)</t>
        </is>
      </c>
      <c r="O805" s="5" t="inlineStr">
        <is>
          <t>Supports the primary topic - add only if natural</t>
        </is>
      </c>
      <c r="P805" s="5" t="inlineStr"/>
      <c r="Q805" t="inlineStr">
        <is>
          <t>P3</t>
        </is>
      </c>
      <c r="R805" t="n">
        <v>60</v>
      </c>
      <c r="S805" s="5" t="inlineStr">
        <is>
          <t>Des projets réels, des résultats concrets. Découvrez comment nous avons aidé des entreprises basées à Seattle à atteindre leurs objectifs numériques. Éducation Plateforme d\x27inscription en ligne GLS Sprachenzentrum All</t>
        </is>
      </c>
    </row>
    <row r="806">
      <c r="A806" s="3" t="inlineStr">
        <is>
          <t>https://codesommet.com/web-development-company/seattle</t>
        </is>
      </c>
      <c r="B806" t="n">
        <v>6</v>
      </c>
      <c r="C806" t="inlineStr">
        <is>
          <t>Process / how it works</t>
        </is>
      </c>
      <c r="D806" s="5" t="inlineStr">
        <is>
          <t>Comment Nous Avons Construit un Tableau de Bord Entreprise Conçu pour un Usage Quotidien à Grande Échelle</t>
        </is>
      </c>
      <c r="E806" t="inlineStr">
        <is>
          <t>H2</t>
        </is>
      </c>
      <c r="F806" s="5" t="inlineStr">
        <is>
          <t>Informational / commercial</t>
        </is>
      </c>
      <c r="G806" t="inlineStr">
        <is>
          <t>développement web seattle</t>
        </is>
      </c>
      <c r="H806" t="inlineStr">
        <is>
          <t>SUPPORTS PRIMARY</t>
        </is>
      </c>
      <c r="I806" t="inlineStr">
        <is>
          <t>us</t>
        </is>
      </c>
      <c r="J806" t="inlineStr">
        <is>
          <t>NOT AVAILABLE</t>
        </is>
      </c>
      <c r="K806" t="inlineStr">
        <is>
          <t>NOT AVAILABLE</t>
        </is>
      </c>
      <c r="L806" t="inlineStr">
        <is>
          <t>NOT AVAILABLE</t>
        </is>
      </c>
      <c r="M806" t="inlineStr">
        <is>
          <t>UNAVAILABLE</t>
        </is>
      </c>
      <c r="N806" t="inlineStr">
        <is>
          <t>Yes (supporting block)</t>
        </is>
      </c>
      <c r="O806" s="5" t="inlineStr">
        <is>
          <t>Supports the primary topic - add only if natural</t>
        </is>
      </c>
      <c r="P806" s="5" t="inlineStr"/>
      <c r="Q806" t="inlineStr">
        <is>
          <t>P3</t>
        </is>
      </c>
      <c r="R806" t="n">
        <v>193</v>
      </c>
      <c r="S806" s="5" t="inlineStr">
        <is>
          <t>Notre approche pour les plateformes SaaS et tableaux de bord • SaaS Entreprise • 2-5 jours Le Défi Les startups SaaS et entreprises tech de Seattle ont souvent besoin de remplacer des tableaux de bord vieillissants qui p</t>
        </is>
      </c>
    </row>
    <row r="807">
      <c r="A807" s="3" t="inlineStr">
        <is>
          <t>https://codesommet.com/web-development-company/seattle</t>
        </is>
      </c>
      <c r="B807" t="n">
        <v>7</v>
      </c>
      <c r="C807" t="inlineStr">
        <is>
          <t>Pricing / offers</t>
        </is>
      </c>
      <c r="D807" s="5" t="inlineStr">
        <is>
          <t>Solutions sur mesure, tarification transparente</t>
        </is>
      </c>
      <c r="E807" t="inlineStr">
        <is>
          <t>H2</t>
        </is>
      </c>
      <c r="F807" s="5" t="inlineStr">
        <is>
          <t>Commercial / transactional</t>
        </is>
      </c>
      <c r="G807" t="inlineStr">
        <is>
          <t>développement web seattle</t>
        </is>
      </c>
      <c r="H807" t="inlineStr">
        <is>
          <t>SUPPORTS PRIMARY</t>
        </is>
      </c>
      <c r="I807" t="inlineStr">
        <is>
          <t>us</t>
        </is>
      </c>
      <c r="J807" t="inlineStr">
        <is>
          <t>NOT AVAILABLE</t>
        </is>
      </c>
      <c r="K807" t="inlineStr">
        <is>
          <t>NOT AVAILABLE</t>
        </is>
      </c>
      <c r="L807" t="inlineStr">
        <is>
          <t>NOT AVAILABLE</t>
        </is>
      </c>
      <c r="M807" t="inlineStr">
        <is>
          <t>UNAVAILABLE</t>
        </is>
      </c>
      <c r="N807" t="inlineStr">
        <is>
          <t>Yes (supporting block)</t>
        </is>
      </c>
      <c r="O807" s="5" t="inlineStr">
        <is>
          <t>Supports the primary topic - add only if natural</t>
        </is>
      </c>
      <c r="P807" s="5" t="inlineStr"/>
      <c r="Q807" t="inlineStr">
        <is>
          <t>P3</t>
        </is>
      </c>
      <c r="R807" t="n">
        <v>188</v>
      </c>
      <c r="S807" s="5" t="inlineStr">
        <is>
          <t>Réservez un appel découverte pour discuter de vos besoins spécifiques et obtenir un devis personnalisé Recommandé Développement Web Site web complet avec fonctionnalités IA, tableaux de bord et design premium livré en 2-</t>
        </is>
      </c>
    </row>
    <row r="808">
      <c r="A808" s="3" t="inlineStr">
        <is>
          <t>https://codesommet.com/web-development-company/seattle</t>
        </is>
      </c>
      <c r="B808" t="n">
        <v>8</v>
      </c>
      <c r="C808" t="inlineStr">
        <is>
          <t>CTA / conversion</t>
        </is>
      </c>
      <c r="D808" s="5" t="inlineStr">
        <is>
          <t>Prêt à améliorer votre site web ? Seattle ?</t>
        </is>
      </c>
      <c r="E808" t="inlineStr">
        <is>
          <t>H2</t>
        </is>
      </c>
      <c r="F808" s="5" t="inlineStr">
        <is>
          <t>Conversion</t>
        </is>
      </c>
      <c r="G808" t="inlineStr">
        <is>
          <t>—</t>
        </is>
      </c>
      <c r="H808" t="inlineStr">
        <is>
          <t>NONE</t>
        </is>
      </c>
      <c r="I808" t="inlineStr">
        <is>
          <t>—</t>
        </is>
      </c>
      <c r="J808" t="inlineStr">
        <is>
          <t>—</t>
        </is>
      </c>
      <c r="K808" t="inlineStr">
        <is>
          <t>—</t>
        </is>
      </c>
      <c r="L808" t="inlineStr">
        <is>
          <t>—</t>
        </is>
      </c>
      <c r="M808" t="inlineStr">
        <is>
          <t>—</t>
        </is>
      </c>
      <c r="N808" t="inlineStr">
        <is>
          <t>n/a</t>
        </is>
      </c>
      <c r="O808" s="5" t="inlineStr">
        <is>
          <t>No keyword target - keep conversion/navigation focus; use descriptive, non-repeated anchor texts</t>
        </is>
      </c>
      <c r="P808" s="5" t="inlineStr"/>
      <c r="Q808" t="inlineStr">
        <is>
          <t>P4</t>
        </is>
      </c>
      <c r="R808" t="n">
        <v>39</v>
      </c>
      <c r="S808" s="5" t="inlineStr">
        <is>
          <t xml:space="preserve">Obtenez d'abord une analyse complète gratuite : Audit SEO Vérification de performance Revue de design Recommandations propulsées par l'IA Analyser Votre Site Web - 100 % Gratuit Aucune carte bancaire requise • Résultats </t>
        </is>
      </c>
    </row>
    <row r="809">
      <c r="A809" s="3" t="inlineStr">
        <is>
          <t>https://codesommet.com/web-development-company/seattle</t>
        </is>
      </c>
      <c r="B809" t="n">
        <v>9</v>
      </c>
      <c r="C809" t="inlineStr">
        <is>
          <t>Why us / differentiation</t>
        </is>
      </c>
      <c r="D809" s="5" t="inlineStr">
        <is>
          <t>CodeSommet Seattle vs Others</t>
        </is>
      </c>
      <c r="E809" t="inlineStr">
        <is>
          <t>H2</t>
        </is>
      </c>
      <c r="F809" s="5" t="inlineStr">
        <is>
          <t>Commercial investigation</t>
        </is>
      </c>
      <c r="G809" t="inlineStr">
        <is>
          <t>développement web seattle</t>
        </is>
      </c>
      <c r="H809" t="inlineStr">
        <is>
          <t>SUPPORTS PRIMARY</t>
        </is>
      </c>
      <c r="I809" t="inlineStr">
        <is>
          <t>us</t>
        </is>
      </c>
      <c r="J809" t="inlineStr">
        <is>
          <t>NOT AVAILABLE</t>
        </is>
      </c>
      <c r="K809" t="inlineStr">
        <is>
          <t>NOT AVAILABLE</t>
        </is>
      </c>
      <c r="L809" t="inlineStr">
        <is>
          <t>NOT AVAILABLE</t>
        </is>
      </c>
      <c r="M809" t="inlineStr">
        <is>
          <t>UNAVAILABLE</t>
        </is>
      </c>
      <c r="N809" t="inlineStr">
        <is>
          <t>Yes</t>
        </is>
      </c>
      <c r="O809" s="5" t="inlineStr">
        <is>
          <t>Covered - keep wording; no change</t>
        </is>
      </c>
      <c r="P809" s="5" t="inlineStr"/>
      <c r="Q809" t="inlineStr">
        <is>
          <t>P3</t>
        </is>
      </c>
      <c r="R809" t="n">
        <v>91</v>
      </c>
      <c r="S809" s="5" t="inlineStr">
        <is>
          <t>Découvrez pourquoi Seattle les entreprises choisissent CodeSommet plutôt que d'autres agences locales et internationales. Fonctionnalité CodeSommet Seattle Autres Seattle Agences Agences Internationales Révisions illimit</t>
        </is>
      </c>
    </row>
    <row r="810">
      <c r="A810" s="3" t="inlineStr">
        <is>
          <t>https://codesommet.com/web-development-company/seattle</t>
        </is>
      </c>
      <c r="B810" t="n">
        <v>10</v>
      </c>
      <c r="C810" t="inlineStr">
        <is>
          <t>Testimonials / social proof</t>
        </is>
      </c>
      <c r="D810" s="5" t="inlineStr">
        <is>
          <t>Ce que nos clients de Seattle disent de nous</t>
        </is>
      </c>
      <c r="E810" t="inlineStr">
        <is>
          <t>H2</t>
        </is>
      </c>
      <c r="F810" s="5" t="inlineStr">
        <is>
          <t>Commercial investigation</t>
        </is>
      </c>
      <c r="G810" t="inlineStr">
        <is>
          <t>développement web seattle</t>
        </is>
      </c>
      <c r="H810" t="inlineStr">
        <is>
          <t>SUPPORTS PRIMARY</t>
        </is>
      </c>
      <c r="I810" t="inlineStr">
        <is>
          <t>us</t>
        </is>
      </c>
      <c r="J810" t="inlineStr">
        <is>
          <t>NOT AVAILABLE</t>
        </is>
      </c>
      <c r="K810" t="inlineStr">
        <is>
          <t>NOT AVAILABLE</t>
        </is>
      </c>
      <c r="L810" t="inlineStr">
        <is>
          <t>NOT AVAILABLE</t>
        </is>
      </c>
      <c r="M810" t="inlineStr">
        <is>
          <t>UNAVAILABLE</t>
        </is>
      </c>
      <c r="N810" t="inlineStr">
        <is>
          <t>Yes (supporting block)</t>
        </is>
      </c>
      <c r="O810" s="5" t="inlineStr">
        <is>
          <t>Supports the primary topic - add only if natural</t>
        </is>
      </c>
      <c r="P810" s="5" t="inlineStr"/>
      <c r="Q810" t="inlineStr">
        <is>
          <t>P3</t>
        </is>
      </c>
      <c r="R810" t="n">
        <v>103</v>
      </c>
      <c r="S810" s="5" t="inlineStr">
        <is>
          <t>Ne nous croyez pas sur parole. Écoutez les entreprises de Seattle qui ont obtenu des résultats remarquables avec CodeSommet. "Une collaboration professionnelle du début à la fin. Je recommande sans hésiter." Mohammed Cha</t>
        </is>
      </c>
    </row>
    <row r="811">
      <c r="A811" s="3" t="inlineStr">
        <is>
          <t>https://codesommet.com/web-development-company/seattle</t>
        </is>
      </c>
      <c r="B811" t="n">
        <v>11</v>
      </c>
      <c r="C811" t="inlineStr">
        <is>
          <t>Process / how it works</t>
        </is>
      </c>
      <c r="D811" s="5" t="inlineStr">
        <is>
          <t>Comment démarrer en 3 étapes simples</t>
        </is>
      </c>
      <c r="E811" t="inlineStr">
        <is>
          <t>H2</t>
        </is>
      </c>
      <c r="F811" s="5" t="inlineStr">
        <is>
          <t>Informational / commercial</t>
        </is>
      </c>
      <c r="G811" t="inlineStr">
        <is>
          <t>développement web seattle</t>
        </is>
      </c>
      <c r="H811" t="inlineStr">
        <is>
          <t>SUPPORTS PRIMARY</t>
        </is>
      </c>
      <c r="I811" t="inlineStr">
        <is>
          <t>us</t>
        </is>
      </c>
      <c r="J811" t="inlineStr">
        <is>
          <t>NOT AVAILABLE</t>
        </is>
      </c>
      <c r="K811" t="inlineStr">
        <is>
          <t>NOT AVAILABLE</t>
        </is>
      </c>
      <c r="L811" t="inlineStr">
        <is>
          <t>NOT AVAILABLE</t>
        </is>
      </c>
      <c r="M811" t="inlineStr">
        <is>
          <t>UNAVAILABLE</t>
        </is>
      </c>
      <c r="N811" t="inlineStr">
        <is>
          <t>Yes (supporting block)</t>
        </is>
      </c>
      <c r="O811" s="5" t="inlineStr">
        <is>
          <t>Supports the primary topic - add only if natural</t>
        </is>
      </c>
      <c r="P811" s="5" t="inlineStr"/>
      <c r="Q811" t="inlineStr">
        <is>
          <t>P3</t>
        </is>
      </c>
      <c r="R811" t="n">
        <v>286</v>
      </c>
      <c r="S811" s="5" t="inlineStr">
        <is>
          <t>Du premier appel à la livraison du projet, découvrez exactement comment nous travaillons ensemble Étape 1 Abonnement 1 projet actif Révisions illimitées Design &amp; développement SEO &amp; contenu Recommandé Développement de Si</t>
        </is>
      </c>
    </row>
    <row r="812">
      <c r="A812" s="3" t="inlineStr">
        <is>
          <t>https://codesommet.com/web-development-company/seattle</t>
        </is>
      </c>
      <c r="B812" t="n">
        <v>12</v>
      </c>
      <c r="C812" t="inlineStr">
        <is>
          <t>FAQ</t>
        </is>
      </c>
      <c r="D812" s="5" t="inlineStr">
        <is>
          <t>Questions fréquemment posées sur le Développement Web à Seattle</t>
        </is>
      </c>
      <c r="E812" t="inlineStr">
        <is>
          <t>H2</t>
        </is>
      </c>
      <c r="F812" s="5" t="inlineStr">
        <is>
          <t>Informational (pre-purchase questions)</t>
        </is>
      </c>
      <c r="G812" t="inlineStr">
        <is>
          <t>développement web seattle</t>
        </is>
      </c>
      <c r="H812" t="inlineStr">
        <is>
          <t>SUPPORTS PRIMARY</t>
        </is>
      </c>
      <c r="I812" t="inlineStr">
        <is>
          <t>us</t>
        </is>
      </c>
      <c r="J812" t="inlineStr">
        <is>
          <t>NOT AVAILABLE</t>
        </is>
      </c>
      <c r="K812" t="inlineStr">
        <is>
          <t>NOT AVAILABLE</t>
        </is>
      </c>
      <c r="L812" t="inlineStr">
        <is>
          <t>NOT AVAILABLE</t>
        </is>
      </c>
      <c r="M812" t="inlineStr">
        <is>
          <t>UNAVAILABLE</t>
        </is>
      </c>
      <c r="N812" t="inlineStr">
        <is>
          <t>Yes</t>
        </is>
      </c>
      <c r="O812" s="5" t="inlineStr">
        <is>
          <t>Covered - keep wording; no change</t>
        </is>
      </c>
      <c r="P812" s="5" t="inlineStr"/>
      <c r="Q812" t="inlineStr">
        <is>
          <t>P3</t>
        </is>
      </c>
      <c r="R812" t="n">
        <v>380</v>
      </c>
      <c r="S812" s="5" t="inlineStr">
        <is>
          <t>Des questions ? Nous avons les réponses. Voici les questions les plus fréquentes des entreprises de Seattle. 1 Pourquoi choisir CodeSommet parmi les nombreuses agences de développement web de Seattle ? Parce que nous com</t>
        </is>
      </c>
    </row>
    <row r="813">
      <c r="A813" s="3" t="inlineStr">
        <is>
          <t>https://codesommet.com/web-development-company/seattle</t>
        </is>
      </c>
      <c r="B813" t="n">
        <v>13</v>
      </c>
      <c r="C813" t="inlineStr">
        <is>
          <t>Internal-link block</t>
        </is>
      </c>
      <c r="D813" s="5" t="inlineStr">
        <is>
          <t>Nous Desservons Également</t>
        </is>
      </c>
      <c r="E813" t="inlineStr">
        <is>
          <t>H2</t>
        </is>
      </c>
      <c r="F813" s="5" t="inlineStr">
        <is>
          <t>Navigation</t>
        </is>
      </c>
      <c r="G813" t="inlineStr">
        <is>
          <t>—</t>
        </is>
      </c>
      <c r="H813" t="inlineStr">
        <is>
          <t>NONE</t>
        </is>
      </c>
      <c r="I813" t="inlineStr">
        <is>
          <t>—</t>
        </is>
      </c>
      <c r="J813" t="inlineStr">
        <is>
          <t>—</t>
        </is>
      </c>
      <c r="K813" t="inlineStr">
        <is>
          <t>—</t>
        </is>
      </c>
      <c r="L813" t="inlineStr">
        <is>
          <t>—</t>
        </is>
      </c>
      <c r="M813" t="inlineStr">
        <is>
          <t>—</t>
        </is>
      </c>
      <c r="N813" t="inlineStr">
        <is>
          <t>n/a</t>
        </is>
      </c>
      <c r="O813" s="5" t="inlineStr">
        <is>
          <t>No keyword target - keep conversion/navigation focus; use descriptive, non-repeated anchor texts</t>
        </is>
      </c>
      <c r="P813" s="5" t="inlineStr"/>
      <c r="Q813" t="inlineStr">
        <is>
          <t>P4</t>
        </is>
      </c>
      <c r="R813" t="n">
        <v>30</v>
      </c>
      <c r="S813" s="5" t="inlineStr">
        <is>
          <t>Explorez nos services de développement web dans d'autres villes à travers le monde Vancouver Canada Denver États-Unis San Francisco États-Unis Chicago États-Unis Los Angeles États-Unis Toronto Canada Voir Tout Locations</t>
        </is>
      </c>
    </row>
    <row r="814">
      <c r="A814" s="3" t="inlineStr">
        <is>
          <t>https://codesommet.com/web-development-company/seattle</t>
        </is>
      </c>
      <c r="B814" t="n">
        <v>14</v>
      </c>
      <c r="C814" t="inlineStr">
        <is>
          <t>Internal-link block</t>
        </is>
      </c>
      <c r="D814" s="5" t="inlineStr">
        <is>
          <t>Explorer davantage</t>
        </is>
      </c>
      <c r="E814" t="inlineStr">
        <is>
          <t>H2</t>
        </is>
      </c>
      <c r="F814" s="5" t="inlineStr">
        <is>
          <t>Navigation</t>
        </is>
      </c>
      <c r="G814" t="inlineStr">
        <is>
          <t>—</t>
        </is>
      </c>
      <c r="H814" t="inlineStr">
        <is>
          <t>NONE</t>
        </is>
      </c>
      <c r="I814" t="inlineStr">
        <is>
          <t>—</t>
        </is>
      </c>
      <c r="J814" t="inlineStr">
        <is>
          <t>—</t>
        </is>
      </c>
      <c r="K814" t="inlineStr">
        <is>
          <t>—</t>
        </is>
      </c>
      <c r="L814" t="inlineStr">
        <is>
          <t>—</t>
        </is>
      </c>
      <c r="M814" t="inlineStr">
        <is>
          <t>—</t>
        </is>
      </c>
      <c r="N814" t="inlineStr">
        <is>
          <t>n/a</t>
        </is>
      </c>
      <c r="O814" s="5" t="inlineStr">
        <is>
          <t>No keyword target - keep conversion/navigation focus; use descriptive, non-repeated anchor texts</t>
        </is>
      </c>
      <c r="P814" s="5" t="inlineStr"/>
      <c r="Q814" t="inlineStr">
        <is>
          <t>P4</t>
        </is>
      </c>
      <c r="R814" t="n">
        <v>83</v>
      </c>
      <c r="S814" s="5" t="inlineStr">
        <is>
          <t>Découvrez ce qui fait de CodeSommet votre partenaire idéal en développement web Audit Gratuit de Site Web Obtenez une analyse alimentée par l'IA avec plus de 40 vérifications En savoir plus Voir Nos Projets Découvrez les</t>
        </is>
      </c>
    </row>
    <row r="815">
      <c r="A815" s="3" t="inlineStr">
        <is>
          <t>https://codesommet.com/web-development-company/seattle</t>
        </is>
      </c>
      <c r="B815" t="n">
        <v>15</v>
      </c>
      <c r="C815" t="inlineStr">
        <is>
          <t>CTA / conversion</t>
        </is>
      </c>
      <c r="D815" s="5" t="inlineStr">
        <is>
          <t>Prêt à Créer Quelque Chose d'Extraordinaire ?</t>
        </is>
      </c>
      <c r="E815" t="inlineStr">
        <is>
          <t>H2</t>
        </is>
      </c>
      <c r="F815" s="5" t="inlineStr">
        <is>
          <t>Conversion</t>
        </is>
      </c>
      <c r="G815" t="inlineStr">
        <is>
          <t>—</t>
        </is>
      </c>
      <c r="H815" t="inlineStr">
        <is>
          <t>NONE</t>
        </is>
      </c>
      <c r="I815" t="inlineStr">
        <is>
          <t>—</t>
        </is>
      </c>
      <c r="J815" t="inlineStr">
        <is>
          <t>—</t>
        </is>
      </c>
      <c r="K815" t="inlineStr">
        <is>
          <t>—</t>
        </is>
      </c>
      <c r="L815" t="inlineStr">
        <is>
          <t>—</t>
        </is>
      </c>
      <c r="M815" t="inlineStr">
        <is>
          <t>—</t>
        </is>
      </c>
      <c r="N815" t="inlineStr">
        <is>
          <t>n/a</t>
        </is>
      </c>
      <c r="O815" s="5" t="inlineStr">
        <is>
          <t>No keyword target - keep conversion/navigation focus; use descriptive, non-repeated anchor texts</t>
        </is>
      </c>
      <c r="P815" s="5" t="inlineStr"/>
      <c r="Q815" t="inlineStr">
        <is>
          <t>P4</t>
        </is>
      </c>
      <c r="R815" t="n">
        <v>119</v>
      </c>
      <c r="S815" s="5" t="inlineStr">
        <is>
          <t>Rejoignez les entreprises visionnaires qui ont choisi l'excellence Réserver un Appel Découverte Analyser Mon Site Gratuitement Réserver un Appel Découverte Analyser Votre Site Web Discutons de la façon dont l'IA et le de</t>
        </is>
      </c>
    </row>
    <row r="816">
      <c r="A816" s="3" t="inlineStr">
        <is>
          <t>https://codesommet.com/web-development-company/boston</t>
        </is>
      </c>
      <c r="B816" t="n">
        <v>1</v>
      </c>
      <c r="C816" t="inlineStr">
        <is>
          <t>Hero / H1</t>
        </is>
      </c>
      <c r="D816" s="5" t="inlineStr">
        <is>
          <t>Développement Web à Boston, États-Unis : des sites web qui génèrent Plateformes EdTech</t>
        </is>
      </c>
      <c r="E816" t="inlineStr">
        <is>
          <t>H1</t>
        </is>
      </c>
      <c r="F816" s="5" t="inlineStr">
        <is>
          <t>Commercial (local)</t>
        </is>
      </c>
      <c r="G816" t="inlineStr">
        <is>
          <t>développement web boston</t>
        </is>
      </c>
      <c r="H816" t="inlineStr">
        <is>
          <t>PRIMARY</t>
        </is>
      </c>
      <c r="I816" t="inlineStr">
        <is>
          <t>us</t>
        </is>
      </c>
      <c r="J816" t="inlineStr">
        <is>
          <t>NOT AVAILABLE</t>
        </is>
      </c>
      <c r="K816" t="inlineStr">
        <is>
          <t>NOT AVAILABLE</t>
        </is>
      </c>
      <c r="L816" t="inlineStr">
        <is>
          <t>NOT AVAILABLE</t>
        </is>
      </c>
      <c r="M816" t="inlineStr">
        <is>
          <t>UNAVAILABLE</t>
        </is>
      </c>
      <c r="N816" t="inlineStr">
        <is>
          <t>Yes</t>
        </is>
      </c>
      <c r="O816" s="5" t="inlineStr">
        <is>
          <t>Covered - keep wording; no change</t>
        </is>
      </c>
      <c r="P816" s="5" t="inlineStr"/>
      <c r="Q816" t="inlineStr">
        <is>
          <t>P3</t>
        </is>
      </c>
      <c r="R816" t="n">
        <v>79</v>
      </c>
      <c r="S816" s="5" t="inlineStr">
        <is>
          <t>Depuis le Maroc, notre studio de développement web accompagne à distance les entreprises de Boston dans la création de sites web alimentés par l'IA et de tableaux de bord intelligents. Nous sommes spécialisés dans la cré</t>
        </is>
      </c>
    </row>
    <row r="817">
      <c r="A817" s="3" t="inlineStr">
        <is>
          <t>https://codesommet.com/web-development-company/boston</t>
        </is>
      </c>
      <c r="B817" t="n">
        <v>2</v>
      </c>
      <c r="C817" t="inlineStr">
        <is>
          <t>Why us / differentiation</t>
        </is>
      </c>
      <c r="D817" s="5" t="inlineStr">
        <is>
          <t>Pourquoi Choisir CodeSommet à Boston ?</t>
        </is>
      </c>
      <c r="E817" t="inlineStr">
        <is>
          <t>H2</t>
        </is>
      </c>
      <c r="F817" s="5" t="inlineStr">
        <is>
          <t>Commercial investigation</t>
        </is>
      </c>
      <c r="G817" t="inlineStr">
        <is>
          <t>développement web boston</t>
        </is>
      </c>
      <c r="H817" t="inlineStr">
        <is>
          <t>SUPPORTS PRIMARY</t>
        </is>
      </c>
      <c r="I817" t="inlineStr">
        <is>
          <t>us</t>
        </is>
      </c>
      <c r="J817" t="inlineStr">
        <is>
          <t>NOT AVAILABLE</t>
        </is>
      </c>
      <c r="K817" t="inlineStr">
        <is>
          <t>NOT AVAILABLE</t>
        </is>
      </c>
      <c r="L817" t="inlineStr">
        <is>
          <t>NOT AVAILABLE</t>
        </is>
      </c>
      <c r="M817" t="inlineStr">
        <is>
          <t>UNAVAILABLE</t>
        </is>
      </c>
      <c r="N817" t="inlineStr">
        <is>
          <t>Yes</t>
        </is>
      </c>
      <c r="O817" s="5" t="inlineStr">
        <is>
          <t>Covered - keep wording; no change</t>
        </is>
      </c>
      <c r="P817" s="5" t="inlineStr"/>
      <c r="Q817" t="inlineStr">
        <is>
          <t>P3</t>
        </is>
      </c>
      <c r="R817" t="n">
        <v>160</v>
      </c>
      <c r="S817" s="5" t="inlineStr">
        <is>
          <t>L'expertise locale rencontre les standards mondiaux. Voici ce qui fait de nous le partenaire de développement web idéal à Boston. Experts en IA Créez des chatbots intelligents, des workflows d'automatisation, de la reche</t>
        </is>
      </c>
    </row>
    <row r="818">
      <c r="A818" s="3" t="inlineStr">
        <is>
          <t>https://codesommet.com/web-development-company/boston</t>
        </is>
      </c>
      <c r="B818" t="n">
        <v>3</v>
      </c>
      <c r="C818" t="inlineStr">
        <is>
          <t>Services / features</t>
        </is>
      </c>
      <c r="D818" s="5" t="inlineStr">
        <is>
          <t>Au service des entreprises à Boston</t>
        </is>
      </c>
      <c r="E818" t="inlineStr">
        <is>
          <t>H2</t>
        </is>
      </c>
      <c r="F818" s="5" t="inlineStr">
        <is>
          <t>Commercial (local)</t>
        </is>
      </c>
      <c r="G818" t="inlineStr">
        <is>
          <t>développement web boston</t>
        </is>
      </c>
      <c r="H818" t="inlineStr">
        <is>
          <t>SUPPORTS PRIMARY</t>
        </is>
      </c>
      <c r="I818" t="inlineStr">
        <is>
          <t>us</t>
        </is>
      </c>
      <c r="J818" t="inlineStr">
        <is>
          <t>NOT AVAILABLE</t>
        </is>
      </c>
      <c r="K818" t="inlineStr">
        <is>
          <t>NOT AVAILABLE</t>
        </is>
      </c>
      <c r="L818" t="inlineStr">
        <is>
          <t>NOT AVAILABLE</t>
        </is>
      </c>
      <c r="M818" t="inlineStr">
        <is>
          <t>UNAVAILABLE</t>
        </is>
      </c>
      <c r="N818" t="inlineStr">
        <is>
          <t>Yes (supporting block)</t>
        </is>
      </c>
      <c r="O818" s="5" t="inlineStr">
        <is>
          <t>Supports the primary topic - add only if natural</t>
        </is>
      </c>
      <c r="P818" s="5" t="inlineStr"/>
      <c r="Q818" t="inlineStr">
        <is>
          <t>P3</t>
        </is>
      </c>
      <c r="R818" t="n">
        <v>28</v>
      </c>
      <c r="S818" s="5" t="inlineStr">
        <is>
          <t>Projets livrés à distance Prospects générés Clients accompagnés De vrais résultats de Boston et d\x27ailleurs — projets réalisés à distance pour des entreprises de tous horizons Expertise Sectorielle</t>
        </is>
      </c>
    </row>
    <row r="819">
      <c r="A819" s="3" t="inlineStr">
        <is>
          <t>https://codesommet.com/web-development-company/boston</t>
        </is>
      </c>
      <c r="B819" t="n">
        <v>4</v>
      </c>
      <c r="C819" t="inlineStr">
        <is>
          <t>Content block</t>
        </is>
      </c>
      <c r="D819" s="5" t="inlineStr">
        <is>
          <t>Boston Nos Secteurs de Spécialisation</t>
        </is>
      </c>
      <c r="E819" t="inlineStr">
        <is>
          <t>H2</t>
        </is>
      </c>
      <c r="F819" s="5" t="inlineStr">
        <is>
          <t>Commercial (local)</t>
        </is>
      </c>
      <c r="G819" t="inlineStr">
        <is>
          <t>développement web boston</t>
        </is>
      </c>
      <c r="H819" t="inlineStr">
        <is>
          <t>SUPPORTS PRIMARY</t>
        </is>
      </c>
      <c r="I819" t="inlineStr">
        <is>
          <t>us</t>
        </is>
      </c>
      <c r="J819" t="inlineStr">
        <is>
          <t>NOT AVAILABLE</t>
        </is>
      </c>
      <c r="K819" t="inlineStr">
        <is>
          <t>NOT AVAILABLE</t>
        </is>
      </c>
      <c r="L819" t="inlineStr">
        <is>
          <t>NOT AVAILABLE</t>
        </is>
      </c>
      <c r="M819" t="inlineStr">
        <is>
          <t>UNAVAILABLE</t>
        </is>
      </c>
      <c r="N819" t="inlineStr">
        <is>
          <t>Yes</t>
        </is>
      </c>
      <c r="O819" s="5" t="inlineStr">
        <is>
          <t>Covered - keep wording; no change</t>
        </is>
      </c>
      <c r="P819" s="5" t="inlineStr"/>
      <c r="Q819" t="inlineStr">
        <is>
          <t>P3</t>
        </is>
      </c>
      <c r="R819" t="n">
        <v>219</v>
      </c>
      <c r="S819" s="5" t="inlineStr">
        <is>
          <t>Expertise approfondie dans Boston . Nous comprenons les défis uniques de votre secteur et les exigences de conformité. L'un des secteurs les plus dynamiques de Boston reste l'EdTech : nous proposons également du développ</t>
        </is>
      </c>
    </row>
    <row r="820">
      <c r="A820" s="3" t="inlineStr">
        <is>
          <t>https://codesommet.com/web-development-company/boston</t>
        </is>
      </c>
      <c r="B820" t="n">
        <v>5</v>
      </c>
      <c r="C820" t="inlineStr">
        <is>
          <t>Testimonials / social proof</t>
        </is>
      </c>
      <c r="D820" s="5" t="inlineStr">
        <is>
          <t>Histoires de Succès de Boston</t>
        </is>
      </c>
      <c r="E820" t="inlineStr">
        <is>
          <t>H2</t>
        </is>
      </c>
      <c r="F820" s="5" t="inlineStr">
        <is>
          <t>Commercial investigation</t>
        </is>
      </c>
      <c r="G820" t="inlineStr">
        <is>
          <t>développement web boston</t>
        </is>
      </c>
      <c r="H820" t="inlineStr">
        <is>
          <t>SUPPORTS PRIMARY</t>
        </is>
      </c>
      <c r="I820" t="inlineStr">
        <is>
          <t>us</t>
        </is>
      </c>
      <c r="J820" t="inlineStr">
        <is>
          <t>NOT AVAILABLE</t>
        </is>
      </c>
      <c r="K820" t="inlineStr">
        <is>
          <t>NOT AVAILABLE</t>
        </is>
      </c>
      <c r="L820" t="inlineStr">
        <is>
          <t>NOT AVAILABLE</t>
        </is>
      </c>
      <c r="M820" t="inlineStr">
        <is>
          <t>UNAVAILABLE</t>
        </is>
      </c>
      <c r="N820" t="inlineStr">
        <is>
          <t>Yes (supporting block)</t>
        </is>
      </c>
      <c r="O820" s="5" t="inlineStr">
        <is>
          <t>Supports the primary topic - add only if natural</t>
        </is>
      </c>
      <c r="P820" s="5" t="inlineStr"/>
      <c r="Q820" t="inlineStr">
        <is>
          <t>P3</t>
        </is>
      </c>
      <c r="R820" t="n">
        <v>60</v>
      </c>
      <c r="S820" s="5" t="inlineStr">
        <is>
          <t>De vrais projets, de vrais résultats. Découvrez comment nous avons aidé les entreprises à Boston atteindre leurs objectifs numériques. SaaS Gestion des adhérents et associations en ligne Mon Asso Maroc Éducation Platefor</t>
        </is>
      </c>
    </row>
    <row r="821">
      <c r="A821" s="3" t="inlineStr">
        <is>
          <t>https://codesommet.com/web-development-company/boston</t>
        </is>
      </c>
      <c r="B821" t="n">
        <v>6</v>
      </c>
      <c r="C821" t="inlineStr">
        <is>
          <t>Process / how it works</t>
        </is>
      </c>
      <c r="D821" s="5" t="inlineStr">
        <is>
          <t>Comment Nous Avons Construit un Portail Patient Conforme HIPAA avec Prise de Rendez-vous en Ligne</t>
        </is>
      </c>
      <c r="E821" t="inlineStr">
        <is>
          <t>H2</t>
        </is>
      </c>
      <c r="F821" s="5" t="inlineStr">
        <is>
          <t>Informational / commercial</t>
        </is>
      </c>
      <c r="G821" t="inlineStr">
        <is>
          <t>développement web boston</t>
        </is>
      </c>
      <c r="H821" t="inlineStr">
        <is>
          <t>SUPPORTS PRIMARY</t>
        </is>
      </c>
      <c r="I821" t="inlineStr">
        <is>
          <t>us</t>
        </is>
      </c>
      <c r="J821" t="inlineStr">
        <is>
          <t>NOT AVAILABLE</t>
        </is>
      </c>
      <c r="K821" t="inlineStr">
        <is>
          <t>NOT AVAILABLE</t>
        </is>
      </c>
      <c r="L821" t="inlineStr">
        <is>
          <t>NOT AVAILABLE</t>
        </is>
      </c>
      <c r="M821" t="inlineStr">
        <is>
          <t>UNAVAILABLE</t>
        </is>
      </c>
      <c r="N821" t="inlineStr">
        <is>
          <t>Yes (supporting block)</t>
        </is>
      </c>
      <c r="O821" s="5" t="inlineStr">
        <is>
          <t>Supports the primary topic - add only if natural</t>
        </is>
      </c>
      <c r="P821" s="5" t="inlineStr"/>
      <c r="Q821" t="inlineStr">
        <is>
          <t>P3</t>
        </is>
      </c>
      <c r="R821" t="n">
        <v>196</v>
      </c>
      <c r="S821" s="5" t="inlineStr">
        <is>
          <t xml:space="preserve">Portails patients et systèmes de santé • Technologie de la Santé • 5 months Le Défi Les réseaux de santé de Boston composent souvent avec des portails patients vieillissants qui peinent à répondre aux exigences modernes </t>
        </is>
      </c>
    </row>
    <row r="822">
      <c r="A822" s="3" t="inlineStr">
        <is>
          <t>https://codesommet.com/web-development-company/boston</t>
        </is>
      </c>
      <c r="B822" t="n">
        <v>7</v>
      </c>
      <c r="C822" t="inlineStr">
        <is>
          <t>Pricing / offers</t>
        </is>
      </c>
      <c r="D822" s="5" t="inlineStr">
        <is>
          <t>Solutions Personnalisées, Tarification Transparente</t>
        </is>
      </c>
      <c r="E822" t="inlineStr">
        <is>
          <t>H2</t>
        </is>
      </c>
      <c r="F822" s="5" t="inlineStr">
        <is>
          <t>Commercial / transactional</t>
        </is>
      </c>
      <c r="G822" t="inlineStr">
        <is>
          <t>développement web boston</t>
        </is>
      </c>
      <c r="H822" t="inlineStr">
        <is>
          <t>SUPPORTS PRIMARY</t>
        </is>
      </c>
      <c r="I822" t="inlineStr">
        <is>
          <t>us</t>
        </is>
      </c>
      <c r="J822" t="inlineStr">
        <is>
          <t>NOT AVAILABLE</t>
        </is>
      </c>
      <c r="K822" t="inlineStr">
        <is>
          <t>NOT AVAILABLE</t>
        </is>
      </c>
      <c r="L822" t="inlineStr">
        <is>
          <t>NOT AVAILABLE</t>
        </is>
      </c>
      <c r="M822" t="inlineStr">
        <is>
          <t>UNAVAILABLE</t>
        </is>
      </c>
      <c r="N822" t="inlineStr">
        <is>
          <t>Yes (supporting block)</t>
        </is>
      </c>
      <c r="O822" s="5" t="inlineStr">
        <is>
          <t>Supports the primary topic - add only if natural</t>
        </is>
      </c>
      <c r="P822" s="5" t="inlineStr"/>
      <c r="Q822" t="inlineStr">
        <is>
          <t>P3</t>
        </is>
      </c>
      <c r="R822" t="n">
        <v>184</v>
      </c>
      <c r="S822" s="5" t="inlineStr">
        <is>
          <t>Réservez un appel découverte pour discuter de vos besoins spécifiques et obtenir un devis personnalisé Recommandé Développement Web Site web complet avec fonctionnalités IA, tableaux de bord et design premium livré en 2-</t>
        </is>
      </c>
    </row>
    <row r="823">
      <c r="A823" s="3" t="inlineStr">
        <is>
          <t>https://codesommet.com/web-development-company/boston</t>
        </is>
      </c>
      <c r="B823" t="n">
        <v>8</v>
      </c>
      <c r="C823" t="inlineStr">
        <is>
          <t>CTA / conversion</t>
        </is>
      </c>
      <c r="D823" s="5" t="inlineStr">
        <is>
          <t>Prêt à Améliorer Votre Site Web à Boston ?</t>
        </is>
      </c>
      <c r="E823" t="inlineStr">
        <is>
          <t>H2</t>
        </is>
      </c>
      <c r="F823" s="5" t="inlineStr">
        <is>
          <t>Conversion</t>
        </is>
      </c>
      <c r="G823" t="inlineStr">
        <is>
          <t>—</t>
        </is>
      </c>
      <c r="H823" t="inlineStr">
        <is>
          <t>NONE</t>
        </is>
      </c>
      <c r="I823" t="inlineStr">
        <is>
          <t>—</t>
        </is>
      </c>
      <c r="J823" t="inlineStr">
        <is>
          <t>—</t>
        </is>
      </c>
      <c r="K823" t="inlineStr">
        <is>
          <t>—</t>
        </is>
      </c>
      <c r="L823" t="inlineStr">
        <is>
          <t>—</t>
        </is>
      </c>
      <c r="M823" t="inlineStr">
        <is>
          <t>—</t>
        </is>
      </c>
      <c r="N823" t="inlineStr">
        <is>
          <t>n/a</t>
        </is>
      </c>
      <c r="O823" s="5" t="inlineStr">
        <is>
          <t>No keyword target - keep conversion/navigation focus; use descriptive, non-repeated anchor texts</t>
        </is>
      </c>
      <c r="P823" s="5" t="inlineStr"/>
      <c r="Q823" t="inlineStr">
        <is>
          <t>P4</t>
        </is>
      </c>
      <c r="R823" t="n">
        <v>40</v>
      </c>
      <c r="S823" s="5" t="inlineStr">
        <is>
          <t xml:space="preserve">Obtenez d'abord une analyse gratuite complète : Audit SEO Vérification de performance Revue de design Recommandations alimentées par l'IA Analyser Votre Site Web - 100% Gratuit Aucune carte de crédit requise • Résultats </t>
        </is>
      </c>
    </row>
    <row r="824">
      <c r="A824" s="3" t="inlineStr">
        <is>
          <t>https://codesommet.com/web-development-company/boston</t>
        </is>
      </c>
      <c r="B824" t="n">
        <v>9</v>
      </c>
      <c r="C824" t="inlineStr">
        <is>
          <t>Why us / differentiation</t>
        </is>
      </c>
      <c r="D824" s="5" t="inlineStr">
        <is>
          <t>CodeSommet Boston vs Autres</t>
        </is>
      </c>
      <c r="E824" t="inlineStr">
        <is>
          <t>H2</t>
        </is>
      </c>
      <c r="F824" s="5" t="inlineStr">
        <is>
          <t>Commercial investigation</t>
        </is>
      </c>
      <c r="G824" t="inlineStr">
        <is>
          <t>développement web boston</t>
        </is>
      </c>
      <c r="H824" t="inlineStr">
        <is>
          <t>SUPPORTS PRIMARY</t>
        </is>
      </c>
      <c r="I824" t="inlineStr">
        <is>
          <t>us</t>
        </is>
      </c>
      <c r="J824" t="inlineStr">
        <is>
          <t>NOT AVAILABLE</t>
        </is>
      </c>
      <c r="K824" t="inlineStr">
        <is>
          <t>NOT AVAILABLE</t>
        </is>
      </c>
      <c r="L824" t="inlineStr">
        <is>
          <t>NOT AVAILABLE</t>
        </is>
      </c>
      <c r="M824" t="inlineStr">
        <is>
          <t>UNAVAILABLE</t>
        </is>
      </c>
      <c r="N824" t="inlineStr">
        <is>
          <t>Yes</t>
        </is>
      </c>
      <c r="O824" s="5" t="inlineStr">
        <is>
          <t>Covered - keep wording; no change</t>
        </is>
      </c>
      <c r="P824" s="5" t="inlineStr"/>
      <c r="Q824" t="inlineStr">
        <is>
          <t>P3</t>
        </is>
      </c>
      <c r="R824" t="n">
        <v>88</v>
      </c>
      <c r="S824" s="5" t="inlineStr">
        <is>
          <t>Découvrez pourquoi Boston entreprises choisissent CodeSommet plutôt que d'autres agences locales et concurrents internationaux. Fonctionnalité CodeSommet Boston Autres Boston Agences Agences Internationales Révisions Ill</t>
        </is>
      </c>
    </row>
    <row r="825">
      <c r="A825" s="3" t="inlineStr">
        <is>
          <t>https://codesommet.com/web-development-company/boston</t>
        </is>
      </c>
      <c r="B825" t="n">
        <v>10</v>
      </c>
      <c r="C825" t="inlineStr">
        <is>
          <t>Testimonials / social proof</t>
        </is>
      </c>
      <c r="D825" s="5" t="inlineStr">
        <is>
          <t>Quoi Boston Nos Clients Disent de Nous</t>
        </is>
      </c>
      <c r="E825" t="inlineStr">
        <is>
          <t>H2</t>
        </is>
      </c>
      <c r="F825" s="5" t="inlineStr">
        <is>
          <t>Commercial investigation</t>
        </is>
      </c>
      <c r="G825" t="inlineStr">
        <is>
          <t>développement web boston</t>
        </is>
      </c>
      <c r="H825" t="inlineStr">
        <is>
          <t>SUPPORTS PRIMARY</t>
        </is>
      </c>
      <c r="I825" t="inlineStr">
        <is>
          <t>us</t>
        </is>
      </c>
      <c r="J825" t="inlineStr">
        <is>
          <t>NOT AVAILABLE</t>
        </is>
      </c>
      <c r="K825" t="inlineStr">
        <is>
          <t>NOT AVAILABLE</t>
        </is>
      </c>
      <c r="L825" t="inlineStr">
        <is>
          <t>NOT AVAILABLE</t>
        </is>
      </c>
      <c r="M825" t="inlineStr">
        <is>
          <t>UNAVAILABLE</t>
        </is>
      </c>
      <c r="N825" t="inlineStr">
        <is>
          <t>Yes (supporting block)</t>
        </is>
      </c>
      <c r="O825" s="5" t="inlineStr">
        <is>
          <t>Supports the primary topic - add only if natural</t>
        </is>
      </c>
      <c r="P825" s="5" t="inlineStr"/>
      <c r="Q825" t="inlineStr">
        <is>
          <t>P3</t>
        </is>
      </c>
      <c r="R825" t="n">
        <v>104</v>
      </c>
      <c r="S825" s="5" t="inlineStr">
        <is>
          <t>Ne vous fiez pas seulement à notre parole. Écoutez les entreprises de Boston qui ont obtenu des résultats remarquables avec CodeSommet. "Une collaboration professionnelle du début à la fin. Je recommande sans hésiter." M</t>
        </is>
      </c>
    </row>
    <row r="826">
      <c r="A826" s="3" t="inlineStr">
        <is>
          <t>https://codesommet.com/web-development-company/boston</t>
        </is>
      </c>
      <c r="B826" t="n">
        <v>11</v>
      </c>
      <c r="C826" t="inlineStr">
        <is>
          <t>Process / how it works</t>
        </is>
      </c>
      <c r="D826" s="5" t="inlineStr">
        <is>
          <t>Comment démarrer en 3 étapes simples</t>
        </is>
      </c>
      <c r="E826" t="inlineStr">
        <is>
          <t>H2</t>
        </is>
      </c>
      <c r="F826" s="5" t="inlineStr">
        <is>
          <t>Informational / commercial</t>
        </is>
      </c>
      <c r="G826" t="inlineStr">
        <is>
          <t>développement web boston</t>
        </is>
      </c>
      <c r="H826" t="inlineStr">
        <is>
          <t>SUPPORTS PRIMARY</t>
        </is>
      </c>
      <c r="I826" t="inlineStr">
        <is>
          <t>us</t>
        </is>
      </c>
      <c r="J826" t="inlineStr">
        <is>
          <t>NOT AVAILABLE</t>
        </is>
      </c>
      <c r="K826" t="inlineStr">
        <is>
          <t>NOT AVAILABLE</t>
        </is>
      </c>
      <c r="L826" t="inlineStr">
        <is>
          <t>NOT AVAILABLE</t>
        </is>
      </c>
      <c r="M826" t="inlineStr">
        <is>
          <t>UNAVAILABLE</t>
        </is>
      </c>
      <c r="N826" t="inlineStr">
        <is>
          <t>Yes (supporting block)</t>
        </is>
      </c>
      <c r="O826" s="5" t="inlineStr">
        <is>
          <t>Supports the primary topic - add only if natural</t>
        </is>
      </c>
      <c r="P826" s="5" t="inlineStr"/>
      <c r="Q826" t="inlineStr">
        <is>
          <t>P3</t>
        </is>
      </c>
      <c r="R826" t="n">
        <v>286</v>
      </c>
      <c r="S826" s="5" t="inlineStr">
        <is>
          <t>Du premier appel à la livraison du projet, découvrez exactement comment nous travaillons ensemble Étape 1 Abonnement 1 projet actif Révisions illimitées Design &amp; développement SEO &amp; contenu Recommandé Développement de Si</t>
        </is>
      </c>
    </row>
    <row r="827">
      <c r="A827" s="3" t="inlineStr">
        <is>
          <t>https://codesommet.com/web-development-company/boston</t>
        </is>
      </c>
      <c r="B827" t="n">
        <v>12</v>
      </c>
      <c r="C827" t="inlineStr">
        <is>
          <t>FAQ</t>
        </is>
      </c>
      <c r="D827" s="5" t="inlineStr">
        <is>
          <t>Questions Fréquemment Posées Sur le Développement Web à Boston</t>
        </is>
      </c>
      <c r="E827" t="inlineStr">
        <is>
          <t>H2</t>
        </is>
      </c>
      <c r="F827" s="5" t="inlineStr">
        <is>
          <t>Informational (pre-purchase questions)</t>
        </is>
      </c>
      <c r="G827" t="inlineStr">
        <is>
          <t>développement web boston</t>
        </is>
      </c>
      <c r="H827" t="inlineStr">
        <is>
          <t>SUPPORTS PRIMARY</t>
        </is>
      </c>
      <c r="I827" t="inlineStr">
        <is>
          <t>us</t>
        </is>
      </c>
      <c r="J827" t="inlineStr">
        <is>
          <t>NOT AVAILABLE</t>
        </is>
      </c>
      <c r="K827" t="inlineStr">
        <is>
          <t>NOT AVAILABLE</t>
        </is>
      </c>
      <c r="L827" t="inlineStr">
        <is>
          <t>NOT AVAILABLE</t>
        </is>
      </c>
      <c r="M827" t="inlineStr">
        <is>
          <t>UNAVAILABLE</t>
        </is>
      </c>
      <c r="N827" t="inlineStr">
        <is>
          <t>Yes</t>
        </is>
      </c>
      <c r="O827" s="5" t="inlineStr">
        <is>
          <t>Covered - keep wording; no change</t>
        </is>
      </c>
      <c r="P827" s="5" t="inlineStr"/>
      <c r="Q827" t="inlineStr">
        <is>
          <t>P3</t>
        </is>
      </c>
      <c r="R827" t="n">
        <v>386</v>
      </c>
      <c r="S827" s="5" t="inlineStr">
        <is>
          <t>Vous avez des questions ? Nous avons les réponses. Voici les questions les plus fréquentes de Boston entreprises. 1 Pourquoi choisir CodeSommet plutôt que les nombreuses agences de développement web de Boston ? Parce que</t>
        </is>
      </c>
    </row>
    <row r="828">
      <c r="A828" s="3" t="inlineStr">
        <is>
          <t>https://codesommet.com/web-development-company/boston</t>
        </is>
      </c>
      <c r="B828" t="n">
        <v>13</v>
      </c>
      <c r="C828" t="inlineStr">
        <is>
          <t>Content block</t>
        </is>
      </c>
      <c r="D828" s="5" t="inlineStr">
        <is>
          <t>Nous Servons Également</t>
        </is>
      </c>
      <c r="E828" t="inlineStr">
        <is>
          <t>H2</t>
        </is>
      </c>
      <c r="F828" s="5" t="inlineStr">
        <is>
          <t>Commercial (local)</t>
        </is>
      </c>
      <c r="G828" t="inlineStr">
        <is>
          <t>développement web boston</t>
        </is>
      </c>
      <c r="H828" t="inlineStr">
        <is>
          <t>SUPPORTS PRIMARY</t>
        </is>
      </c>
      <c r="I828" t="inlineStr">
        <is>
          <t>us</t>
        </is>
      </c>
      <c r="J828" t="inlineStr">
        <is>
          <t>NOT AVAILABLE</t>
        </is>
      </c>
      <c r="K828" t="inlineStr">
        <is>
          <t>NOT AVAILABLE</t>
        </is>
      </c>
      <c r="L828" t="inlineStr">
        <is>
          <t>NOT AVAILABLE</t>
        </is>
      </c>
      <c r="M828" t="inlineStr">
        <is>
          <t>UNAVAILABLE</t>
        </is>
      </c>
      <c r="N828" t="inlineStr">
        <is>
          <t>Yes (supporting block)</t>
        </is>
      </c>
      <c r="O828" s="5" t="inlineStr">
        <is>
          <t>Supports the primary topic - add only if natural</t>
        </is>
      </c>
      <c r="P828" s="5" t="inlineStr"/>
      <c r="Q828" t="inlineStr">
        <is>
          <t>P3</t>
        </is>
      </c>
      <c r="R828" t="n">
        <v>30</v>
      </c>
      <c r="S828" s="5" t="inlineStr">
        <is>
          <t>Explorez nos services de développement web dans d'autres villes à travers le monde Toronto Canada New York États-Unis Chicago États-Unis Austin États-Unis Denver États-Unis Los Angeles États-Unis Voir Tout Locations</t>
        </is>
      </c>
    </row>
    <row r="829">
      <c r="A829" s="3" t="inlineStr">
        <is>
          <t>https://codesommet.com/web-development-company/boston</t>
        </is>
      </c>
      <c r="B829" t="n">
        <v>14</v>
      </c>
      <c r="C829" t="inlineStr">
        <is>
          <t>Content block</t>
        </is>
      </c>
      <c r="D829" s="5" t="inlineStr">
        <is>
          <t>En Savoir Plus</t>
        </is>
      </c>
      <c r="E829" t="inlineStr">
        <is>
          <t>H2</t>
        </is>
      </c>
      <c r="F829" s="5" t="inlineStr">
        <is>
          <t>Commercial (local)</t>
        </is>
      </c>
      <c r="G829" t="inlineStr">
        <is>
          <t>développement web boston</t>
        </is>
      </c>
      <c r="H829" t="inlineStr">
        <is>
          <t>SUPPORTS PRIMARY</t>
        </is>
      </c>
      <c r="I829" t="inlineStr">
        <is>
          <t>us</t>
        </is>
      </c>
      <c r="J829" t="inlineStr">
        <is>
          <t>NOT AVAILABLE</t>
        </is>
      </c>
      <c r="K829" t="inlineStr">
        <is>
          <t>NOT AVAILABLE</t>
        </is>
      </c>
      <c r="L829" t="inlineStr">
        <is>
          <t>NOT AVAILABLE</t>
        </is>
      </c>
      <c r="M829" t="inlineStr">
        <is>
          <t>UNAVAILABLE</t>
        </is>
      </c>
      <c r="N829" t="inlineStr">
        <is>
          <t>Yes (supporting block)</t>
        </is>
      </c>
      <c r="O829" s="5" t="inlineStr">
        <is>
          <t>Supports the primary topic - add only if natural</t>
        </is>
      </c>
      <c r="P829" s="5" t="inlineStr"/>
      <c r="Q829" t="inlineStr">
        <is>
          <t>P3</t>
        </is>
      </c>
      <c r="R829" t="n">
        <v>82</v>
      </c>
      <c r="S829" s="5" t="inlineStr">
        <is>
          <t xml:space="preserve">Découvrez ce qui fait de CodeSommet votre partenaire de développement web idéal Audit Gratuit de Site Web Obtenez une analyse alimentée par l'IA avec plus de 40 vérifications En savoir plus Voir Nos Projets Explorez les </t>
        </is>
      </c>
    </row>
    <row r="830">
      <c r="A830" s="3" t="inlineStr">
        <is>
          <t>https://codesommet.com/web-development-company/boston</t>
        </is>
      </c>
      <c r="B830" t="n">
        <v>15</v>
      </c>
      <c r="C830" t="inlineStr">
        <is>
          <t>CTA / conversion</t>
        </is>
      </c>
      <c r="D830" s="5" t="inlineStr">
        <is>
          <t>Prêt à Créer Quelque Chose d'Extraordinaire ?</t>
        </is>
      </c>
      <c r="E830" t="inlineStr">
        <is>
          <t>H2</t>
        </is>
      </c>
      <c r="F830" s="5" t="inlineStr">
        <is>
          <t>Conversion</t>
        </is>
      </c>
      <c r="G830" t="inlineStr">
        <is>
          <t>—</t>
        </is>
      </c>
      <c r="H830" t="inlineStr">
        <is>
          <t>NONE</t>
        </is>
      </c>
      <c r="I830" t="inlineStr">
        <is>
          <t>—</t>
        </is>
      </c>
      <c r="J830" t="inlineStr">
        <is>
          <t>—</t>
        </is>
      </c>
      <c r="K830" t="inlineStr">
        <is>
          <t>—</t>
        </is>
      </c>
      <c r="L830" t="inlineStr">
        <is>
          <t>—</t>
        </is>
      </c>
      <c r="M830" t="inlineStr">
        <is>
          <t>—</t>
        </is>
      </c>
      <c r="N830" t="inlineStr">
        <is>
          <t>n/a</t>
        </is>
      </c>
      <c r="O830" s="5" t="inlineStr">
        <is>
          <t>No keyword target - keep conversion/navigation focus; use descriptive, non-repeated anchor texts</t>
        </is>
      </c>
      <c r="P830" s="5" t="inlineStr"/>
      <c r="Q830" t="inlineStr">
        <is>
          <t>P4</t>
        </is>
      </c>
      <c r="R830" t="n">
        <v>117</v>
      </c>
      <c r="S830" s="5" t="inlineStr">
        <is>
          <t>Rejoignez les entreprises visionnaires qui ont choisi l'excellence Réserver un Appel Découverte Analyser Mon Site Gratuitement Réserver un Appel Découverte Analyser Votre Site Web Discutons de comment l'IA et le design m</t>
        </is>
      </c>
    </row>
    <row r="831">
      <c r="A831" s="3" t="inlineStr">
        <is>
          <t>https://codesommet.com/web-development-company/chicago</t>
        </is>
      </c>
      <c r="B831" t="n">
        <v>1</v>
      </c>
      <c r="C831" t="inlineStr">
        <is>
          <t>Hero / H1</t>
        </is>
      </c>
      <c r="D831" s="5" t="inlineStr">
        <is>
          <t>Développement Web à Chicago, États-Unis : des sites web qui génèrent Tableaux de Bord SaaS</t>
        </is>
      </c>
      <c r="E831" t="inlineStr">
        <is>
          <t>H1</t>
        </is>
      </c>
      <c r="F831" s="5" t="inlineStr">
        <is>
          <t>Commercial (local)</t>
        </is>
      </c>
      <c r="G831" t="inlineStr">
        <is>
          <t>développement web chicago</t>
        </is>
      </c>
      <c r="H831" t="inlineStr">
        <is>
          <t>PRIMARY</t>
        </is>
      </c>
      <c r="I831" t="inlineStr">
        <is>
          <t>us</t>
        </is>
      </c>
      <c r="J831" t="inlineStr">
        <is>
          <t>NOT AVAILABLE</t>
        </is>
      </c>
      <c r="K831" t="inlineStr">
        <is>
          <t>NOT AVAILABLE</t>
        </is>
      </c>
      <c r="L831" t="inlineStr">
        <is>
          <t>NOT AVAILABLE</t>
        </is>
      </c>
      <c r="M831" t="inlineStr">
        <is>
          <t>UNAVAILABLE</t>
        </is>
      </c>
      <c r="N831" t="inlineStr">
        <is>
          <t>Yes</t>
        </is>
      </c>
      <c r="O831" s="5" t="inlineStr">
        <is>
          <t>Covered - keep wording; no change</t>
        </is>
      </c>
      <c r="P831" s="5" t="inlineStr"/>
      <c r="Q831" t="inlineStr">
        <is>
          <t>P3</t>
        </is>
      </c>
      <c r="R831" t="n">
        <v>79</v>
      </c>
      <c r="S831" s="5" t="inlineStr">
        <is>
          <t>Depuis le Maroc, notre studio de développement web accompagne à distance les entreprises de Chicago dans la création de sites web alimentés par l'IA et de tableaux de bord intelligents. Nous sommes spécialisés dans la cr</t>
        </is>
      </c>
    </row>
    <row r="832">
      <c r="A832" s="3" t="inlineStr">
        <is>
          <t>https://codesommet.com/web-development-company/chicago</t>
        </is>
      </c>
      <c r="B832" t="n">
        <v>2</v>
      </c>
      <c r="C832" t="inlineStr">
        <is>
          <t>Why us / differentiation</t>
        </is>
      </c>
      <c r="D832" s="5" t="inlineStr">
        <is>
          <t>Pourquoi Choisir CodeSommet à Chicago ?</t>
        </is>
      </c>
      <c r="E832" t="inlineStr">
        <is>
          <t>H2</t>
        </is>
      </c>
      <c r="F832" s="5" t="inlineStr">
        <is>
          <t>Commercial investigation</t>
        </is>
      </c>
      <c r="G832" t="inlineStr">
        <is>
          <t>développement web chicago</t>
        </is>
      </c>
      <c r="H832" t="inlineStr">
        <is>
          <t>SUPPORTS PRIMARY</t>
        </is>
      </c>
      <c r="I832" t="inlineStr">
        <is>
          <t>us</t>
        </is>
      </c>
      <c r="J832" t="inlineStr">
        <is>
          <t>NOT AVAILABLE</t>
        </is>
      </c>
      <c r="K832" t="inlineStr">
        <is>
          <t>NOT AVAILABLE</t>
        </is>
      </c>
      <c r="L832" t="inlineStr">
        <is>
          <t>NOT AVAILABLE</t>
        </is>
      </c>
      <c r="M832" t="inlineStr">
        <is>
          <t>UNAVAILABLE</t>
        </is>
      </c>
      <c r="N832" t="inlineStr">
        <is>
          <t>Yes</t>
        </is>
      </c>
      <c r="O832" s="5" t="inlineStr">
        <is>
          <t>Covered - keep wording; no change</t>
        </is>
      </c>
      <c r="P832" s="5" t="inlineStr"/>
      <c r="Q832" t="inlineStr">
        <is>
          <t>P3</t>
        </is>
      </c>
      <c r="R832" t="n">
        <v>160</v>
      </c>
      <c r="S832" s="5" t="inlineStr">
        <is>
          <t>L'expertise locale rencontre les standards mondiaux. Voici ce qui fait de nous le partenaire de développement web idéal à Chicago. Experts en IA Créez des chatbots intelligents, des workflows d'automatisation, de la rech</t>
        </is>
      </c>
    </row>
    <row r="833">
      <c r="A833" s="3" t="inlineStr">
        <is>
          <t>https://codesommet.com/web-development-company/chicago</t>
        </is>
      </c>
      <c r="B833" t="n">
        <v>3</v>
      </c>
      <c r="C833" t="inlineStr">
        <is>
          <t>Services / features</t>
        </is>
      </c>
      <c r="D833" s="5" t="inlineStr">
        <is>
          <t>Au service des entreprises à Chicago</t>
        </is>
      </c>
      <c r="E833" t="inlineStr">
        <is>
          <t>H2</t>
        </is>
      </c>
      <c r="F833" s="5" t="inlineStr">
        <is>
          <t>Commercial (local)</t>
        </is>
      </c>
      <c r="G833" t="inlineStr">
        <is>
          <t>développement web chicago</t>
        </is>
      </c>
      <c r="H833" t="inlineStr">
        <is>
          <t>SUPPORTS PRIMARY</t>
        </is>
      </c>
      <c r="I833" t="inlineStr">
        <is>
          <t>us</t>
        </is>
      </c>
      <c r="J833" t="inlineStr">
        <is>
          <t>NOT AVAILABLE</t>
        </is>
      </c>
      <c r="K833" t="inlineStr">
        <is>
          <t>NOT AVAILABLE</t>
        </is>
      </c>
      <c r="L833" t="inlineStr">
        <is>
          <t>NOT AVAILABLE</t>
        </is>
      </c>
      <c r="M833" t="inlineStr">
        <is>
          <t>UNAVAILABLE</t>
        </is>
      </c>
      <c r="N833" t="inlineStr">
        <is>
          <t>Yes (supporting block)</t>
        </is>
      </c>
      <c r="O833" s="5" t="inlineStr">
        <is>
          <t>Supports the primary topic - add only if natural</t>
        </is>
      </c>
      <c r="P833" s="5" t="inlineStr"/>
      <c r="Q833" t="inlineStr">
        <is>
          <t>P3</t>
        </is>
      </c>
      <c r="R833" t="n">
        <v>28</v>
      </c>
      <c r="S833" s="5" t="inlineStr">
        <is>
          <t>Projets livrés à distance Prospects générés Clients accompagnés De vrais résultats de Chicago et d\x27ailleurs — projets réalisés à distance pour des entreprises de tous horizons Expertise Sectorielle</t>
        </is>
      </c>
    </row>
    <row r="834">
      <c r="A834" s="3" t="inlineStr">
        <is>
          <t>https://codesommet.com/web-development-company/chicago</t>
        </is>
      </c>
      <c r="B834" t="n">
        <v>4</v>
      </c>
      <c r="C834" t="inlineStr">
        <is>
          <t>Content block</t>
        </is>
      </c>
      <c r="D834" s="5" t="inlineStr">
        <is>
          <t>Chicago Nos Secteurs de Spécialisation</t>
        </is>
      </c>
      <c r="E834" t="inlineStr">
        <is>
          <t>H2</t>
        </is>
      </c>
      <c r="F834" s="5" t="inlineStr">
        <is>
          <t>Commercial (local)</t>
        </is>
      </c>
      <c r="G834" t="inlineStr">
        <is>
          <t>développement web chicago</t>
        </is>
      </c>
      <c r="H834" t="inlineStr">
        <is>
          <t>SUPPORTS PRIMARY</t>
        </is>
      </c>
      <c r="I834" t="inlineStr">
        <is>
          <t>us</t>
        </is>
      </c>
      <c r="J834" t="inlineStr">
        <is>
          <t>NOT AVAILABLE</t>
        </is>
      </c>
      <c r="K834" t="inlineStr">
        <is>
          <t>NOT AVAILABLE</t>
        </is>
      </c>
      <c r="L834" t="inlineStr">
        <is>
          <t>NOT AVAILABLE</t>
        </is>
      </c>
      <c r="M834" t="inlineStr">
        <is>
          <t>UNAVAILABLE</t>
        </is>
      </c>
      <c r="N834" t="inlineStr">
        <is>
          <t>Yes</t>
        </is>
      </c>
      <c r="O834" s="5" t="inlineStr">
        <is>
          <t>Covered - keep wording; no change</t>
        </is>
      </c>
      <c r="P834" s="5" t="inlineStr"/>
      <c r="Q834" t="inlineStr">
        <is>
          <t>P3</t>
        </is>
      </c>
      <c r="R834" t="n">
        <v>194</v>
      </c>
      <c r="S834" s="5" t="inlineStr">
        <is>
          <t>Expertise approfondie dans Chicago . Nous comprenons les défis uniques de votre secteur et les exigences de conformité. FinTech Plateformes financières sécurisées avec traitement des paiements, conformité et fonctionnali</t>
        </is>
      </c>
    </row>
    <row r="835">
      <c r="A835" s="3" t="inlineStr">
        <is>
          <t>https://codesommet.com/web-development-company/chicago</t>
        </is>
      </c>
      <c r="B835" t="n">
        <v>5</v>
      </c>
      <c r="C835" t="inlineStr">
        <is>
          <t>Testimonials / social proof</t>
        </is>
      </c>
      <c r="D835" s="5" t="inlineStr">
        <is>
          <t>Histoires de Succès de Chicago</t>
        </is>
      </c>
      <c r="E835" t="inlineStr">
        <is>
          <t>H2</t>
        </is>
      </c>
      <c r="F835" s="5" t="inlineStr">
        <is>
          <t>Commercial investigation</t>
        </is>
      </c>
      <c r="G835" t="inlineStr">
        <is>
          <t>développement web chicago</t>
        </is>
      </c>
      <c r="H835" t="inlineStr">
        <is>
          <t>SUPPORTS PRIMARY</t>
        </is>
      </c>
      <c r="I835" t="inlineStr">
        <is>
          <t>us</t>
        </is>
      </c>
      <c r="J835" t="inlineStr">
        <is>
          <t>NOT AVAILABLE</t>
        </is>
      </c>
      <c r="K835" t="inlineStr">
        <is>
          <t>NOT AVAILABLE</t>
        </is>
      </c>
      <c r="L835" t="inlineStr">
        <is>
          <t>NOT AVAILABLE</t>
        </is>
      </c>
      <c r="M835" t="inlineStr">
        <is>
          <t>UNAVAILABLE</t>
        </is>
      </c>
      <c r="N835" t="inlineStr">
        <is>
          <t>Yes (supporting block)</t>
        </is>
      </c>
      <c r="O835" s="5" t="inlineStr">
        <is>
          <t>Supports the primary topic - add only if natural</t>
        </is>
      </c>
      <c r="P835" s="5" t="inlineStr"/>
      <c r="Q835" t="inlineStr">
        <is>
          <t>P3</t>
        </is>
      </c>
      <c r="R835" t="n">
        <v>57</v>
      </c>
      <c r="S835" s="5" t="inlineStr">
        <is>
          <t>De vrais projets, de vrais résultats. Découvrez comment nous avons aidé les entreprises à Chicago atteindre leurs objectifs numériques. Éducation Plateforme d\x27inscription en ligne GLS Sprachenzentrum Allemagne Santé P</t>
        </is>
      </c>
    </row>
    <row r="836">
      <c r="A836" s="3" t="inlineStr">
        <is>
          <t>https://codesommet.com/web-development-company/chicago</t>
        </is>
      </c>
      <c r="B836" t="n">
        <v>6</v>
      </c>
      <c r="C836" t="inlineStr">
        <is>
          <t>Process / how it works</t>
        </is>
      </c>
      <c r="D836" s="5" t="inlineStr">
        <is>
          <t>Comment Nous Avons Construit un Tableau de Bord de Trading Traitant 2 Milliards $ de Volume Quotidien</t>
        </is>
      </c>
      <c r="E836" t="inlineStr">
        <is>
          <t>H2</t>
        </is>
      </c>
      <c r="F836" s="5" t="inlineStr">
        <is>
          <t>Informational / commercial</t>
        </is>
      </c>
      <c r="G836" t="inlineStr">
        <is>
          <t>développement web chicago</t>
        </is>
      </c>
      <c r="H836" t="inlineStr">
        <is>
          <t>SUPPORTS PRIMARY</t>
        </is>
      </c>
      <c r="I836" t="inlineStr">
        <is>
          <t>us</t>
        </is>
      </c>
      <c r="J836" t="inlineStr">
        <is>
          <t>NOT AVAILABLE</t>
        </is>
      </c>
      <c r="K836" t="inlineStr">
        <is>
          <t>NOT AVAILABLE</t>
        </is>
      </c>
      <c r="L836" t="inlineStr">
        <is>
          <t>NOT AVAILABLE</t>
        </is>
      </c>
      <c r="M836" t="inlineStr">
        <is>
          <t>UNAVAILABLE</t>
        </is>
      </c>
      <c r="N836" t="inlineStr">
        <is>
          <t>Yes (supporting block)</t>
        </is>
      </c>
      <c r="O836" s="5" t="inlineStr">
        <is>
          <t>Supports the primary topic - add only if natural</t>
        </is>
      </c>
      <c r="P836" s="5" t="inlineStr"/>
      <c r="Q836" t="inlineStr">
        <is>
          <t>P3</t>
        </is>
      </c>
      <c r="R836" t="n">
        <v>225</v>
      </c>
      <c r="S836" s="5" t="inlineStr">
        <is>
          <t>Tableaux de bord &amp; plateformes financières • Technologie Financière • 8 months Le Contexte Les entreprises de Chicago dans la finance et le trading font souvent face au même défi : des outils internes vieillissants, cons</t>
        </is>
      </c>
    </row>
    <row r="837">
      <c r="A837" s="3" t="inlineStr">
        <is>
          <t>https://codesommet.com/web-development-company/chicago</t>
        </is>
      </c>
      <c r="B837" t="n">
        <v>7</v>
      </c>
      <c r="C837" t="inlineStr">
        <is>
          <t>Pricing / offers</t>
        </is>
      </c>
      <c r="D837" s="5" t="inlineStr">
        <is>
          <t>Solutions Personnalisées, Tarification Transparente</t>
        </is>
      </c>
      <c r="E837" t="inlineStr">
        <is>
          <t>H2</t>
        </is>
      </c>
      <c r="F837" s="5" t="inlineStr">
        <is>
          <t>Commercial / transactional</t>
        </is>
      </c>
      <c r="G837" t="inlineStr">
        <is>
          <t>développement web chicago</t>
        </is>
      </c>
      <c r="H837" t="inlineStr">
        <is>
          <t>SUPPORTS PRIMARY</t>
        </is>
      </c>
      <c r="I837" t="inlineStr">
        <is>
          <t>us</t>
        </is>
      </c>
      <c r="J837" t="inlineStr">
        <is>
          <t>NOT AVAILABLE</t>
        </is>
      </c>
      <c r="K837" t="inlineStr">
        <is>
          <t>NOT AVAILABLE</t>
        </is>
      </c>
      <c r="L837" t="inlineStr">
        <is>
          <t>NOT AVAILABLE</t>
        </is>
      </c>
      <c r="M837" t="inlineStr">
        <is>
          <t>UNAVAILABLE</t>
        </is>
      </c>
      <c r="N837" t="inlineStr">
        <is>
          <t>Yes (supporting block)</t>
        </is>
      </c>
      <c r="O837" s="5" t="inlineStr">
        <is>
          <t>Supports the primary topic - add only if natural</t>
        </is>
      </c>
      <c r="P837" s="5" t="inlineStr"/>
      <c r="Q837" t="inlineStr">
        <is>
          <t>P3</t>
        </is>
      </c>
      <c r="R837" t="n">
        <v>184</v>
      </c>
      <c r="S837" s="5" t="inlineStr">
        <is>
          <t>Réservez un appel découverte pour discuter de vos besoins spécifiques et obtenir un devis personnalisé Recommandé Développement Web Site web complet avec fonctionnalités IA, tableaux de bord et design premium livré en 2-</t>
        </is>
      </c>
    </row>
    <row r="838">
      <c r="A838" s="3" t="inlineStr">
        <is>
          <t>https://codesommet.com/web-development-company/chicago</t>
        </is>
      </c>
      <c r="B838" t="n">
        <v>8</v>
      </c>
      <c r="C838" t="inlineStr">
        <is>
          <t>CTA / conversion</t>
        </is>
      </c>
      <c r="D838" s="5" t="inlineStr">
        <is>
          <t>Prêt à Améliorer Votre Site Web à Chicago ?</t>
        </is>
      </c>
      <c r="E838" t="inlineStr">
        <is>
          <t>H2</t>
        </is>
      </c>
      <c r="F838" s="5" t="inlineStr">
        <is>
          <t>Conversion</t>
        </is>
      </c>
      <c r="G838" t="inlineStr">
        <is>
          <t>—</t>
        </is>
      </c>
      <c r="H838" t="inlineStr">
        <is>
          <t>NONE</t>
        </is>
      </c>
      <c r="I838" t="inlineStr">
        <is>
          <t>—</t>
        </is>
      </c>
      <c r="J838" t="inlineStr">
        <is>
          <t>—</t>
        </is>
      </c>
      <c r="K838" t="inlineStr">
        <is>
          <t>—</t>
        </is>
      </c>
      <c r="L838" t="inlineStr">
        <is>
          <t>—</t>
        </is>
      </c>
      <c r="M838" t="inlineStr">
        <is>
          <t>—</t>
        </is>
      </c>
      <c r="N838" t="inlineStr">
        <is>
          <t>n/a</t>
        </is>
      </c>
      <c r="O838" s="5" t="inlineStr">
        <is>
          <t>No keyword target - keep conversion/navigation focus; use descriptive, non-repeated anchor texts</t>
        </is>
      </c>
      <c r="P838" s="5" t="inlineStr"/>
      <c r="Q838" t="inlineStr">
        <is>
          <t>P4</t>
        </is>
      </c>
      <c r="R838" t="n">
        <v>40</v>
      </c>
      <c r="S838" s="5" t="inlineStr">
        <is>
          <t xml:space="preserve">Obtenez d'abord une analyse gratuite complète : Audit SEO Vérification de performance Revue de design Recommandations alimentées par l'IA Analyser Votre Site Web - 100% Gratuit Aucune carte de crédit requise • Résultats </t>
        </is>
      </c>
    </row>
    <row r="839">
      <c r="A839" s="3" t="inlineStr">
        <is>
          <t>https://codesommet.com/web-development-company/chicago</t>
        </is>
      </c>
      <c r="B839" t="n">
        <v>9</v>
      </c>
      <c r="C839" t="inlineStr">
        <is>
          <t>Why us / differentiation</t>
        </is>
      </c>
      <c r="D839" s="5" t="inlineStr">
        <is>
          <t>CodeSommet Chicago vs Autres</t>
        </is>
      </c>
      <c r="E839" t="inlineStr">
        <is>
          <t>H2</t>
        </is>
      </c>
      <c r="F839" s="5" t="inlineStr">
        <is>
          <t>Commercial investigation</t>
        </is>
      </c>
      <c r="G839" t="inlineStr">
        <is>
          <t>développement web chicago</t>
        </is>
      </c>
      <c r="H839" t="inlineStr">
        <is>
          <t>SUPPORTS PRIMARY</t>
        </is>
      </c>
      <c r="I839" t="inlineStr">
        <is>
          <t>us</t>
        </is>
      </c>
      <c r="J839" t="inlineStr">
        <is>
          <t>NOT AVAILABLE</t>
        </is>
      </c>
      <c r="K839" t="inlineStr">
        <is>
          <t>NOT AVAILABLE</t>
        </is>
      </c>
      <c r="L839" t="inlineStr">
        <is>
          <t>NOT AVAILABLE</t>
        </is>
      </c>
      <c r="M839" t="inlineStr">
        <is>
          <t>UNAVAILABLE</t>
        </is>
      </c>
      <c r="N839" t="inlineStr">
        <is>
          <t>Yes</t>
        </is>
      </c>
      <c r="O839" s="5" t="inlineStr">
        <is>
          <t>Covered - keep wording; no change</t>
        </is>
      </c>
      <c r="P839" s="5" t="inlineStr"/>
      <c r="Q839" t="inlineStr">
        <is>
          <t>P3</t>
        </is>
      </c>
      <c r="R839" t="n">
        <v>88</v>
      </c>
      <c r="S839" s="5" t="inlineStr">
        <is>
          <t xml:space="preserve">Découvrez pourquoi Chicago entreprises choisissent CodeSommet plutôt que d'autres agences locales et concurrents internationaux. Fonctionnalité CodeSommet Chicago Autres Chicago Agences Agences Internationales Révisions </t>
        </is>
      </c>
    </row>
    <row r="840">
      <c r="A840" s="3" t="inlineStr">
        <is>
          <t>https://codesommet.com/web-development-company/chicago</t>
        </is>
      </c>
      <c r="B840" t="n">
        <v>10</v>
      </c>
      <c r="C840" t="inlineStr">
        <is>
          <t>Testimonials / social proof</t>
        </is>
      </c>
      <c r="D840" s="5" t="inlineStr">
        <is>
          <t>Quoi Chicago Nos Clients Disent de Nous</t>
        </is>
      </c>
      <c r="E840" t="inlineStr">
        <is>
          <t>H2</t>
        </is>
      </c>
      <c r="F840" s="5" t="inlineStr">
        <is>
          <t>Commercial investigation</t>
        </is>
      </c>
      <c r="G840" t="inlineStr">
        <is>
          <t>développement web chicago</t>
        </is>
      </c>
      <c r="H840" t="inlineStr">
        <is>
          <t>SUPPORTS PRIMARY</t>
        </is>
      </c>
      <c r="I840" t="inlineStr">
        <is>
          <t>us</t>
        </is>
      </c>
      <c r="J840" t="inlineStr">
        <is>
          <t>NOT AVAILABLE</t>
        </is>
      </c>
      <c r="K840" t="inlineStr">
        <is>
          <t>NOT AVAILABLE</t>
        </is>
      </c>
      <c r="L840" t="inlineStr">
        <is>
          <t>NOT AVAILABLE</t>
        </is>
      </c>
      <c r="M840" t="inlineStr">
        <is>
          <t>UNAVAILABLE</t>
        </is>
      </c>
      <c r="N840" t="inlineStr">
        <is>
          <t>Yes (supporting block)</t>
        </is>
      </c>
      <c r="O840" s="5" t="inlineStr">
        <is>
          <t>Supports the primary topic - add only if natural</t>
        </is>
      </c>
      <c r="P840" s="5" t="inlineStr"/>
      <c r="Q840" t="inlineStr">
        <is>
          <t>P3</t>
        </is>
      </c>
      <c r="R840" t="n">
        <v>104</v>
      </c>
      <c r="S840" s="5" t="inlineStr">
        <is>
          <t xml:space="preserve">Ne vous fiez pas seulement à notre parole. Écoutez les entreprises de Chicago qui ont obtenu des résultats remarquables avec CodeSommet. "Une collaboration professionnelle du début à la fin. Je recommande sans hésiter." </t>
        </is>
      </c>
    </row>
    <row r="841">
      <c r="A841" s="3" t="inlineStr">
        <is>
          <t>https://codesommet.com/web-development-company/chicago</t>
        </is>
      </c>
      <c r="B841" t="n">
        <v>11</v>
      </c>
      <c r="C841" t="inlineStr">
        <is>
          <t>Process / how it works</t>
        </is>
      </c>
      <c r="D841" s="5" t="inlineStr">
        <is>
          <t>Comment démarrer en 3 étapes simples</t>
        </is>
      </c>
      <c r="E841" t="inlineStr">
        <is>
          <t>H2</t>
        </is>
      </c>
      <c r="F841" s="5" t="inlineStr">
        <is>
          <t>Informational / commercial</t>
        </is>
      </c>
      <c r="G841" t="inlineStr">
        <is>
          <t>développement web chicago</t>
        </is>
      </c>
      <c r="H841" t="inlineStr">
        <is>
          <t>SUPPORTS PRIMARY</t>
        </is>
      </c>
      <c r="I841" t="inlineStr">
        <is>
          <t>us</t>
        </is>
      </c>
      <c r="J841" t="inlineStr">
        <is>
          <t>NOT AVAILABLE</t>
        </is>
      </c>
      <c r="K841" t="inlineStr">
        <is>
          <t>NOT AVAILABLE</t>
        </is>
      </c>
      <c r="L841" t="inlineStr">
        <is>
          <t>NOT AVAILABLE</t>
        </is>
      </c>
      <c r="M841" t="inlineStr">
        <is>
          <t>UNAVAILABLE</t>
        </is>
      </c>
      <c r="N841" t="inlineStr">
        <is>
          <t>Yes (supporting block)</t>
        </is>
      </c>
      <c r="O841" s="5" t="inlineStr">
        <is>
          <t>Supports the primary topic - add only if natural</t>
        </is>
      </c>
      <c r="P841" s="5" t="inlineStr"/>
      <c r="Q841" t="inlineStr">
        <is>
          <t>P3</t>
        </is>
      </c>
      <c r="R841" t="n">
        <v>286</v>
      </c>
      <c r="S841" s="5" t="inlineStr">
        <is>
          <t>Du premier appel à la livraison du projet, découvrez exactement comment nous travaillons ensemble Étape 1 Abonnement 1 projet actif Révisions illimitées Design &amp; développement SEO &amp; contenu Recommandé Développement de Si</t>
        </is>
      </c>
    </row>
    <row r="842">
      <c r="A842" s="3" t="inlineStr">
        <is>
          <t>https://codesommet.com/web-development-company/chicago</t>
        </is>
      </c>
      <c r="B842" t="n">
        <v>12</v>
      </c>
      <c r="C842" t="inlineStr">
        <is>
          <t>FAQ</t>
        </is>
      </c>
      <c r="D842" s="5" t="inlineStr">
        <is>
          <t>Questions Fréquemment Posées Sur le Développement Web à Chicago</t>
        </is>
      </c>
      <c r="E842" t="inlineStr">
        <is>
          <t>H2</t>
        </is>
      </c>
      <c r="F842" s="5" t="inlineStr">
        <is>
          <t>Informational (pre-purchase questions)</t>
        </is>
      </c>
      <c r="G842" t="inlineStr">
        <is>
          <t>développement web chicago</t>
        </is>
      </c>
      <c r="H842" t="inlineStr">
        <is>
          <t>SUPPORTS PRIMARY</t>
        </is>
      </c>
      <c r="I842" t="inlineStr">
        <is>
          <t>us</t>
        </is>
      </c>
      <c r="J842" t="inlineStr">
        <is>
          <t>NOT AVAILABLE</t>
        </is>
      </c>
      <c r="K842" t="inlineStr">
        <is>
          <t>NOT AVAILABLE</t>
        </is>
      </c>
      <c r="L842" t="inlineStr">
        <is>
          <t>NOT AVAILABLE</t>
        </is>
      </c>
      <c r="M842" t="inlineStr">
        <is>
          <t>UNAVAILABLE</t>
        </is>
      </c>
      <c r="N842" t="inlineStr">
        <is>
          <t>Yes</t>
        </is>
      </c>
      <c r="O842" s="5" t="inlineStr">
        <is>
          <t>Covered - keep wording; no change</t>
        </is>
      </c>
      <c r="P842" s="5" t="inlineStr"/>
      <c r="Q842" t="inlineStr">
        <is>
          <t>P3</t>
        </is>
      </c>
      <c r="R842" t="n">
        <v>383</v>
      </c>
      <c r="S842" s="5" t="inlineStr">
        <is>
          <t>Vous avez des questions ? Nous avons les réponses. Voici les questions les plus fréquentes de Chicago entreprises. 1 Pourquoi choisir CodeSommet plutôt que les nombreuses agences de développement web de Chicago ? Parce q</t>
        </is>
      </c>
    </row>
    <row r="843">
      <c r="A843" s="3" t="inlineStr">
        <is>
          <t>https://codesommet.com/web-development-company/chicago</t>
        </is>
      </c>
      <c r="B843" t="n">
        <v>13</v>
      </c>
      <c r="C843" t="inlineStr">
        <is>
          <t>Content block</t>
        </is>
      </c>
      <c r="D843" s="5" t="inlineStr">
        <is>
          <t>Nous Servons Également</t>
        </is>
      </c>
      <c r="E843" t="inlineStr">
        <is>
          <t>H2</t>
        </is>
      </c>
      <c r="F843" s="5" t="inlineStr">
        <is>
          <t>Commercial (local)</t>
        </is>
      </c>
      <c r="G843" t="inlineStr">
        <is>
          <t>développement web chicago</t>
        </is>
      </c>
      <c r="H843" t="inlineStr">
        <is>
          <t>SUPPORTS PRIMARY</t>
        </is>
      </c>
      <c r="I843" t="inlineStr">
        <is>
          <t>us</t>
        </is>
      </c>
      <c r="J843" t="inlineStr">
        <is>
          <t>NOT AVAILABLE</t>
        </is>
      </c>
      <c r="K843" t="inlineStr">
        <is>
          <t>NOT AVAILABLE</t>
        </is>
      </c>
      <c r="L843" t="inlineStr">
        <is>
          <t>NOT AVAILABLE</t>
        </is>
      </c>
      <c r="M843" t="inlineStr">
        <is>
          <t>UNAVAILABLE</t>
        </is>
      </c>
      <c r="N843" t="inlineStr">
        <is>
          <t>Yes (supporting block)</t>
        </is>
      </c>
      <c r="O843" s="5" t="inlineStr">
        <is>
          <t>Supports the primary topic - add only if natural</t>
        </is>
      </c>
      <c r="P843" s="5" t="inlineStr"/>
      <c r="Q843" t="inlineStr">
        <is>
          <t>P3</t>
        </is>
      </c>
      <c r="R843" t="n">
        <v>29</v>
      </c>
      <c r="S843" s="5" t="inlineStr">
        <is>
          <t>Explorez nos services de développement web dans d'autres villes à travers le monde Denver États-Unis Toronto Canada Seattle États-Unis Boston États-Unis Vancouver Canada New York États-Unis Voir Tout Locations</t>
        </is>
      </c>
    </row>
    <row r="844">
      <c r="A844" s="3" t="inlineStr">
        <is>
          <t>https://codesommet.com/web-development-company/chicago</t>
        </is>
      </c>
      <c r="B844" t="n">
        <v>14</v>
      </c>
      <c r="C844" t="inlineStr">
        <is>
          <t>Content block</t>
        </is>
      </c>
      <c r="D844" s="5" t="inlineStr">
        <is>
          <t>En Savoir Plus</t>
        </is>
      </c>
      <c r="E844" t="inlineStr">
        <is>
          <t>H2</t>
        </is>
      </c>
      <c r="F844" s="5" t="inlineStr">
        <is>
          <t>Commercial (local)</t>
        </is>
      </c>
      <c r="G844" t="inlineStr">
        <is>
          <t>développement web chicago</t>
        </is>
      </c>
      <c r="H844" t="inlineStr">
        <is>
          <t>SUPPORTS PRIMARY</t>
        </is>
      </c>
      <c r="I844" t="inlineStr">
        <is>
          <t>us</t>
        </is>
      </c>
      <c r="J844" t="inlineStr">
        <is>
          <t>NOT AVAILABLE</t>
        </is>
      </c>
      <c r="K844" t="inlineStr">
        <is>
          <t>NOT AVAILABLE</t>
        </is>
      </c>
      <c r="L844" t="inlineStr">
        <is>
          <t>NOT AVAILABLE</t>
        </is>
      </c>
      <c r="M844" t="inlineStr">
        <is>
          <t>UNAVAILABLE</t>
        </is>
      </c>
      <c r="N844" t="inlineStr">
        <is>
          <t>Yes (supporting block)</t>
        </is>
      </c>
      <c r="O844" s="5" t="inlineStr">
        <is>
          <t>Supports the primary topic - add only if natural</t>
        </is>
      </c>
      <c r="P844" s="5" t="inlineStr"/>
      <c r="Q844" t="inlineStr">
        <is>
          <t>P3</t>
        </is>
      </c>
      <c r="R844" t="n">
        <v>82</v>
      </c>
      <c r="S844" s="5" t="inlineStr">
        <is>
          <t xml:space="preserve">Découvrez ce qui fait de CodeSommet votre partenaire de développement web idéal Audit Gratuit de Site Web Obtenez une analyse alimentée par l'IA avec plus de 40 vérifications En savoir plus Voir Nos Projets Explorez les </t>
        </is>
      </c>
    </row>
    <row r="845">
      <c r="A845" s="3" t="inlineStr">
        <is>
          <t>https://codesommet.com/web-development-company/chicago</t>
        </is>
      </c>
      <c r="B845" t="n">
        <v>15</v>
      </c>
      <c r="C845" t="inlineStr">
        <is>
          <t>CTA / conversion</t>
        </is>
      </c>
      <c r="D845" s="5" t="inlineStr">
        <is>
          <t>Prêt à Créer Quelque Chose d'Extraordinaire ?</t>
        </is>
      </c>
      <c r="E845" t="inlineStr">
        <is>
          <t>H2</t>
        </is>
      </c>
      <c r="F845" s="5" t="inlineStr">
        <is>
          <t>Conversion</t>
        </is>
      </c>
      <c r="G845" t="inlineStr">
        <is>
          <t>—</t>
        </is>
      </c>
      <c r="H845" t="inlineStr">
        <is>
          <t>NONE</t>
        </is>
      </c>
      <c r="I845" t="inlineStr">
        <is>
          <t>—</t>
        </is>
      </c>
      <c r="J845" t="inlineStr">
        <is>
          <t>—</t>
        </is>
      </c>
      <c r="K845" t="inlineStr">
        <is>
          <t>—</t>
        </is>
      </c>
      <c r="L845" t="inlineStr">
        <is>
          <t>—</t>
        </is>
      </c>
      <c r="M845" t="inlineStr">
        <is>
          <t>—</t>
        </is>
      </c>
      <c r="N845" t="inlineStr">
        <is>
          <t>n/a</t>
        </is>
      </c>
      <c r="O845" s="5" t="inlineStr">
        <is>
          <t>No keyword target - keep conversion/navigation focus; use descriptive, non-repeated anchor texts</t>
        </is>
      </c>
      <c r="P845" s="5" t="inlineStr"/>
      <c r="Q845" t="inlineStr">
        <is>
          <t>P4</t>
        </is>
      </c>
      <c r="R845" t="n">
        <v>117</v>
      </c>
      <c r="S845" s="5" t="inlineStr">
        <is>
          <t>Rejoignez les entreprises visionnaires qui ont choisi l'excellence Réserver un Appel Découverte Analyser Mon Site Gratuitement Réserver un Appel Découverte Analyser Votre Site Web Discutons de comment l'IA et le design m</t>
        </is>
      </c>
    </row>
    <row r="846">
      <c r="A846" s="3" t="inlineStr">
        <is>
          <t>https://codesommet.com/web-development-company/denver</t>
        </is>
      </c>
      <c r="B846" t="n">
        <v>1</v>
      </c>
      <c r="C846" t="inlineStr">
        <is>
          <t>Hero / H1</t>
        </is>
      </c>
      <c r="D846" s="5" t="inlineStr">
        <is>
          <t>Développement Web à Denver, États-Unis : des sites web qui génèrent Tableaux de Bord SaaS</t>
        </is>
      </c>
      <c r="E846" t="inlineStr">
        <is>
          <t>H1</t>
        </is>
      </c>
      <c r="F846" s="5" t="inlineStr">
        <is>
          <t>Commercial (local)</t>
        </is>
      </c>
      <c r="G846" t="inlineStr">
        <is>
          <t>développement web denver</t>
        </is>
      </c>
      <c r="H846" t="inlineStr">
        <is>
          <t>PRIMARY</t>
        </is>
      </c>
      <c r="I846" t="inlineStr">
        <is>
          <t>us</t>
        </is>
      </c>
      <c r="J846" t="inlineStr">
        <is>
          <t>NOT AVAILABLE</t>
        </is>
      </c>
      <c r="K846" t="inlineStr">
        <is>
          <t>NOT AVAILABLE</t>
        </is>
      </c>
      <c r="L846" t="inlineStr">
        <is>
          <t>NOT AVAILABLE</t>
        </is>
      </c>
      <c r="M846" t="inlineStr">
        <is>
          <t>UNAVAILABLE</t>
        </is>
      </c>
      <c r="N846" t="inlineStr">
        <is>
          <t>Yes</t>
        </is>
      </c>
      <c r="O846" s="5" t="inlineStr">
        <is>
          <t>Covered - keep wording; no change</t>
        </is>
      </c>
      <c r="P846" s="5" t="inlineStr"/>
      <c r="Q846" t="inlineStr">
        <is>
          <t>P3</t>
        </is>
      </c>
      <c r="R846" t="n">
        <v>81</v>
      </c>
      <c r="S846" s="5" t="inlineStr">
        <is>
          <t>Depuis le Maroc, notre studio de développement web accompagne à distance les entreprises de Denver dans la création de sites web alimentés par l'IA et de tableaux de bord intelligents. Nous sommes spécialisés dans la cré</t>
        </is>
      </c>
    </row>
    <row r="847">
      <c r="A847" s="3" t="inlineStr">
        <is>
          <t>https://codesommet.com/web-development-company/denver</t>
        </is>
      </c>
      <c r="B847" t="n">
        <v>2</v>
      </c>
      <c r="C847" t="inlineStr">
        <is>
          <t>Why us / differentiation</t>
        </is>
      </c>
      <c r="D847" s="5" t="inlineStr">
        <is>
          <t>Pourquoi Choisir CodeSommet à Denver ?</t>
        </is>
      </c>
      <c r="E847" t="inlineStr">
        <is>
          <t>H2</t>
        </is>
      </c>
      <c r="F847" s="5" t="inlineStr">
        <is>
          <t>Commercial investigation</t>
        </is>
      </c>
      <c r="G847" t="inlineStr">
        <is>
          <t>développement web denver</t>
        </is>
      </c>
      <c r="H847" t="inlineStr">
        <is>
          <t>SUPPORTS PRIMARY</t>
        </is>
      </c>
      <c r="I847" t="inlineStr">
        <is>
          <t>us</t>
        </is>
      </c>
      <c r="J847" t="inlineStr">
        <is>
          <t>NOT AVAILABLE</t>
        </is>
      </c>
      <c r="K847" t="inlineStr">
        <is>
          <t>NOT AVAILABLE</t>
        </is>
      </c>
      <c r="L847" t="inlineStr">
        <is>
          <t>NOT AVAILABLE</t>
        </is>
      </c>
      <c r="M847" t="inlineStr">
        <is>
          <t>UNAVAILABLE</t>
        </is>
      </c>
      <c r="N847" t="inlineStr">
        <is>
          <t>Yes</t>
        </is>
      </c>
      <c r="O847" s="5" t="inlineStr">
        <is>
          <t>Covered - keep wording; no change</t>
        </is>
      </c>
      <c r="P847" s="5" t="inlineStr"/>
      <c r="Q847" t="inlineStr">
        <is>
          <t>P3</t>
        </is>
      </c>
      <c r="R847" t="n">
        <v>160</v>
      </c>
      <c r="S847" s="5" t="inlineStr">
        <is>
          <t>L'expertise locale rencontre les standards mondiaux. Voici ce qui fait de nous le partenaire de développement web idéal à Denver. Experts en IA Créez des chatbots intelligents, des workflows d'automatisation, de la reche</t>
        </is>
      </c>
    </row>
    <row r="848">
      <c r="A848" s="3" t="inlineStr">
        <is>
          <t>https://codesommet.com/web-development-company/denver</t>
        </is>
      </c>
      <c r="B848" t="n">
        <v>3</v>
      </c>
      <c r="C848" t="inlineStr">
        <is>
          <t>Services / features</t>
        </is>
      </c>
      <c r="D848" s="5" t="inlineStr">
        <is>
          <t>Au service des entreprises à Denver</t>
        </is>
      </c>
      <c r="E848" t="inlineStr">
        <is>
          <t>H2</t>
        </is>
      </c>
      <c r="F848" s="5" t="inlineStr">
        <is>
          <t>Commercial (local)</t>
        </is>
      </c>
      <c r="G848" t="inlineStr">
        <is>
          <t>développement web denver</t>
        </is>
      </c>
      <c r="H848" t="inlineStr">
        <is>
          <t>SUPPORTS PRIMARY</t>
        </is>
      </c>
      <c r="I848" t="inlineStr">
        <is>
          <t>us</t>
        </is>
      </c>
      <c r="J848" t="inlineStr">
        <is>
          <t>NOT AVAILABLE</t>
        </is>
      </c>
      <c r="K848" t="inlineStr">
        <is>
          <t>NOT AVAILABLE</t>
        </is>
      </c>
      <c r="L848" t="inlineStr">
        <is>
          <t>NOT AVAILABLE</t>
        </is>
      </c>
      <c r="M848" t="inlineStr">
        <is>
          <t>UNAVAILABLE</t>
        </is>
      </c>
      <c r="N848" t="inlineStr">
        <is>
          <t>Yes (supporting block)</t>
        </is>
      </c>
      <c r="O848" s="5" t="inlineStr">
        <is>
          <t>Supports the primary topic - add only if natural</t>
        </is>
      </c>
      <c r="P848" s="5" t="inlineStr"/>
      <c r="Q848" t="inlineStr">
        <is>
          <t>P3</t>
        </is>
      </c>
      <c r="R848" t="n">
        <v>28</v>
      </c>
      <c r="S848" s="5" t="inlineStr">
        <is>
          <t>Projets livrés à distance Prospects générés Clients accompagnés De vrais résultats de Denver et d\x27ailleurs — projets réalisés à distance pour des entreprises de tous horizons Expertise Sectorielle</t>
        </is>
      </c>
    </row>
    <row r="849">
      <c r="A849" s="3" t="inlineStr">
        <is>
          <t>https://codesommet.com/web-development-company/denver</t>
        </is>
      </c>
      <c r="B849" t="n">
        <v>4</v>
      </c>
      <c r="C849" t="inlineStr">
        <is>
          <t>Content block</t>
        </is>
      </c>
      <c r="D849" s="5" t="inlineStr">
        <is>
          <t>Denver Nos Secteurs de Spécialisation</t>
        </is>
      </c>
      <c r="E849" t="inlineStr">
        <is>
          <t>H2</t>
        </is>
      </c>
      <c r="F849" s="5" t="inlineStr">
        <is>
          <t>Commercial (local)</t>
        </is>
      </c>
      <c r="G849" t="inlineStr">
        <is>
          <t>développement web denver</t>
        </is>
      </c>
      <c r="H849" t="inlineStr">
        <is>
          <t>SUPPORTS PRIMARY</t>
        </is>
      </c>
      <c r="I849" t="inlineStr">
        <is>
          <t>us</t>
        </is>
      </c>
      <c r="J849" t="inlineStr">
        <is>
          <t>NOT AVAILABLE</t>
        </is>
      </c>
      <c r="K849" t="inlineStr">
        <is>
          <t>NOT AVAILABLE</t>
        </is>
      </c>
      <c r="L849" t="inlineStr">
        <is>
          <t>NOT AVAILABLE</t>
        </is>
      </c>
      <c r="M849" t="inlineStr">
        <is>
          <t>UNAVAILABLE</t>
        </is>
      </c>
      <c r="N849" t="inlineStr">
        <is>
          <t>Yes</t>
        </is>
      </c>
      <c r="O849" s="5" t="inlineStr">
        <is>
          <t>Covered - keep wording; no change</t>
        </is>
      </c>
      <c r="P849" s="5" t="inlineStr"/>
      <c r="Q849" t="inlineStr">
        <is>
          <t>P3</t>
        </is>
      </c>
      <c r="R849" t="n">
        <v>194</v>
      </c>
      <c r="S849" s="5" t="inlineStr">
        <is>
          <t>Expertise approfondie dans Denver . Nous comprenons les défis uniques de votre secteur et les exigences de conformité. FinTech Plateformes financières sécurisées avec traitement des paiements, conformité et fonctionnalit</t>
        </is>
      </c>
    </row>
    <row r="850">
      <c r="A850" s="3" t="inlineStr">
        <is>
          <t>https://codesommet.com/web-development-company/denver</t>
        </is>
      </c>
      <c r="B850" t="n">
        <v>5</v>
      </c>
      <c r="C850" t="inlineStr">
        <is>
          <t>Testimonials / social proof</t>
        </is>
      </c>
      <c r="D850" s="5" t="inlineStr">
        <is>
          <t>Histoires de Succès de Denver</t>
        </is>
      </c>
      <c r="E850" t="inlineStr">
        <is>
          <t>H2</t>
        </is>
      </c>
      <c r="F850" s="5" t="inlineStr">
        <is>
          <t>Commercial investigation</t>
        </is>
      </c>
      <c r="G850" t="inlineStr">
        <is>
          <t>développement web denver</t>
        </is>
      </c>
      <c r="H850" t="inlineStr">
        <is>
          <t>SUPPORTS PRIMARY</t>
        </is>
      </c>
      <c r="I850" t="inlineStr">
        <is>
          <t>us</t>
        </is>
      </c>
      <c r="J850" t="inlineStr">
        <is>
          <t>NOT AVAILABLE</t>
        </is>
      </c>
      <c r="K850" t="inlineStr">
        <is>
          <t>NOT AVAILABLE</t>
        </is>
      </c>
      <c r="L850" t="inlineStr">
        <is>
          <t>NOT AVAILABLE</t>
        </is>
      </c>
      <c r="M850" t="inlineStr">
        <is>
          <t>UNAVAILABLE</t>
        </is>
      </c>
      <c r="N850" t="inlineStr">
        <is>
          <t>Yes (supporting block)</t>
        </is>
      </c>
      <c r="O850" s="5" t="inlineStr">
        <is>
          <t>Supports the primary topic - add only if natural</t>
        </is>
      </c>
      <c r="P850" s="5" t="inlineStr"/>
      <c r="Q850" t="inlineStr">
        <is>
          <t>P3</t>
        </is>
      </c>
      <c r="R850" t="n">
        <v>58</v>
      </c>
      <c r="S850" s="5" t="inlineStr">
        <is>
          <t>De vrais projets, de vrais résultats. Découvrez comment nous avons aidé les entreprises à Denver atteindre leurs objectifs numériques. Éducation Plateforme d\x27inscription en ligne GLS Sprachenzentrum Allemagne Santé Pr</t>
        </is>
      </c>
    </row>
    <row r="851">
      <c r="A851" s="3" t="inlineStr">
        <is>
          <t>https://codesommet.com/web-development-company/denver</t>
        </is>
      </c>
      <c r="B851" t="n">
        <v>6</v>
      </c>
      <c r="C851" t="inlineStr">
        <is>
          <t>Process / how it works</t>
        </is>
      </c>
      <c r="D851" s="5" t="inlineStr">
        <is>
          <t>Comment Nous Concevons des Plateformes SaaS et des Tableaux de Bord pour les Équipes à Distance</t>
        </is>
      </c>
      <c r="E851" t="inlineStr">
        <is>
          <t>H2</t>
        </is>
      </c>
      <c r="F851" s="5" t="inlineStr">
        <is>
          <t>Informational / commercial</t>
        </is>
      </c>
      <c r="G851" t="inlineStr">
        <is>
          <t>développement web denver</t>
        </is>
      </c>
      <c r="H851" t="inlineStr">
        <is>
          <t>SUPPORTS PRIMARY</t>
        </is>
      </c>
      <c r="I851" t="inlineStr">
        <is>
          <t>us</t>
        </is>
      </c>
      <c r="J851" t="inlineStr">
        <is>
          <t>NOT AVAILABLE</t>
        </is>
      </c>
      <c r="K851" t="inlineStr">
        <is>
          <t>NOT AVAILABLE</t>
        </is>
      </c>
      <c r="L851" t="inlineStr">
        <is>
          <t>NOT AVAILABLE</t>
        </is>
      </c>
      <c r="M851" t="inlineStr">
        <is>
          <t>UNAVAILABLE</t>
        </is>
      </c>
      <c r="N851" t="inlineStr">
        <is>
          <t>Yes (supporting block)</t>
        </is>
      </c>
      <c r="O851" s="5" t="inlineStr">
        <is>
          <t>Supports the primary topic - add only if natural</t>
        </is>
      </c>
      <c r="P851" s="5" t="inlineStr"/>
      <c r="Q851" t="inlineStr">
        <is>
          <t>P3</t>
        </is>
      </c>
      <c r="R851" t="n">
        <v>220</v>
      </c>
      <c r="S851" s="5" t="inlineStr">
        <is>
          <t>SaaS de collaboration asynchrone et de gestion de projet • Travail à Distance / Productivité • 7 months Le Besoin Les startups et équipes remote-first de Denver ont souvent besoin d'une plateforme fiable pour collaborer,</t>
        </is>
      </c>
    </row>
    <row r="852">
      <c r="A852" s="3" t="inlineStr">
        <is>
          <t>https://codesommet.com/web-development-company/denver</t>
        </is>
      </c>
      <c r="B852" t="n">
        <v>7</v>
      </c>
      <c r="C852" t="inlineStr">
        <is>
          <t>Pricing / offers</t>
        </is>
      </c>
      <c r="D852" s="5" t="inlineStr">
        <is>
          <t>Solutions Personnalisées, Tarification Transparente</t>
        </is>
      </c>
      <c r="E852" t="inlineStr">
        <is>
          <t>H2</t>
        </is>
      </c>
      <c r="F852" s="5" t="inlineStr">
        <is>
          <t>Commercial / transactional</t>
        </is>
      </c>
      <c r="G852" t="inlineStr">
        <is>
          <t>développement web denver</t>
        </is>
      </c>
      <c r="H852" t="inlineStr">
        <is>
          <t>SUPPORTS PRIMARY</t>
        </is>
      </c>
      <c r="I852" t="inlineStr">
        <is>
          <t>us</t>
        </is>
      </c>
      <c r="J852" t="inlineStr">
        <is>
          <t>NOT AVAILABLE</t>
        </is>
      </c>
      <c r="K852" t="inlineStr">
        <is>
          <t>NOT AVAILABLE</t>
        </is>
      </c>
      <c r="L852" t="inlineStr">
        <is>
          <t>NOT AVAILABLE</t>
        </is>
      </c>
      <c r="M852" t="inlineStr">
        <is>
          <t>UNAVAILABLE</t>
        </is>
      </c>
      <c r="N852" t="inlineStr">
        <is>
          <t>Yes (supporting block)</t>
        </is>
      </c>
      <c r="O852" s="5" t="inlineStr">
        <is>
          <t>Supports the primary topic - add only if natural</t>
        </is>
      </c>
      <c r="P852" s="5" t="inlineStr"/>
      <c r="Q852" t="inlineStr">
        <is>
          <t>P3</t>
        </is>
      </c>
      <c r="R852" t="n">
        <v>184</v>
      </c>
      <c r="S852" s="5" t="inlineStr">
        <is>
          <t>Réservez un appel découverte pour discuter de vos besoins spécifiques et obtenir un devis personnalisé Recommandé Développement Web Site web complet avec fonctionnalités IA, tableaux de bord et design premium livré en 2-</t>
        </is>
      </c>
    </row>
    <row r="853">
      <c r="A853" s="3" t="inlineStr">
        <is>
          <t>https://codesommet.com/web-development-company/denver</t>
        </is>
      </c>
      <c r="B853" t="n">
        <v>8</v>
      </c>
      <c r="C853" t="inlineStr">
        <is>
          <t>CTA / conversion</t>
        </is>
      </c>
      <c r="D853" s="5" t="inlineStr">
        <is>
          <t>Prêt à Améliorer Votre Site Web à Denver ?</t>
        </is>
      </c>
      <c r="E853" t="inlineStr">
        <is>
          <t>H2</t>
        </is>
      </c>
      <c r="F853" s="5" t="inlineStr">
        <is>
          <t>Conversion</t>
        </is>
      </c>
      <c r="G853" t="inlineStr">
        <is>
          <t>—</t>
        </is>
      </c>
      <c r="H853" t="inlineStr">
        <is>
          <t>NONE</t>
        </is>
      </c>
      <c r="I853" t="inlineStr">
        <is>
          <t>—</t>
        </is>
      </c>
      <c r="J853" t="inlineStr">
        <is>
          <t>—</t>
        </is>
      </c>
      <c r="K853" t="inlineStr">
        <is>
          <t>—</t>
        </is>
      </c>
      <c r="L853" t="inlineStr">
        <is>
          <t>—</t>
        </is>
      </c>
      <c r="M853" t="inlineStr">
        <is>
          <t>—</t>
        </is>
      </c>
      <c r="N853" t="inlineStr">
        <is>
          <t>n/a</t>
        </is>
      </c>
      <c r="O853" s="5" t="inlineStr">
        <is>
          <t>No keyword target - keep conversion/navigation focus; use descriptive, non-repeated anchor texts</t>
        </is>
      </c>
      <c r="P853" s="5" t="inlineStr"/>
      <c r="Q853" t="inlineStr">
        <is>
          <t>P4</t>
        </is>
      </c>
      <c r="R853" t="n">
        <v>40</v>
      </c>
      <c r="S853" s="5" t="inlineStr">
        <is>
          <t xml:space="preserve">Obtenez d'abord une analyse gratuite complète : Audit SEO Vérification de performance Revue de design Recommandations alimentées par l'IA Analyser Votre Site Web - 100% Gratuit Aucune carte de crédit requise • Résultats </t>
        </is>
      </c>
    </row>
    <row r="854">
      <c r="A854" s="3" t="inlineStr">
        <is>
          <t>https://codesommet.com/web-development-company/denver</t>
        </is>
      </c>
      <c r="B854" t="n">
        <v>9</v>
      </c>
      <c r="C854" t="inlineStr">
        <is>
          <t>Why us / differentiation</t>
        </is>
      </c>
      <c r="D854" s="5" t="inlineStr">
        <is>
          <t>CodeSommet Denver vs Autres</t>
        </is>
      </c>
      <c r="E854" t="inlineStr">
        <is>
          <t>H2</t>
        </is>
      </c>
      <c r="F854" s="5" t="inlineStr">
        <is>
          <t>Commercial investigation</t>
        </is>
      </c>
      <c r="G854" t="inlineStr">
        <is>
          <t>développement web denver</t>
        </is>
      </c>
      <c r="H854" t="inlineStr">
        <is>
          <t>SUPPORTS PRIMARY</t>
        </is>
      </c>
      <c r="I854" t="inlineStr">
        <is>
          <t>us</t>
        </is>
      </c>
      <c r="J854" t="inlineStr">
        <is>
          <t>NOT AVAILABLE</t>
        </is>
      </c>
      <c r="K854" t="inlineStr">
        <is>
          <t>NOT AVAILABLE</t>
        </is>
      </c>
      <c r="L854" t="inlineStr">
        <is>
          <t>NOT AVAILABLE</t>
        </is>
      </c>
      <c r="M854" t="inlineStr">
        <is>
          <t>UNAVAILABLE</t>
        </is>
      </c>
      <c r="N854" t="inlineStr">
        <is>
          <t>Yes</t>
        </is>
      </c>
      <c r="O854" s="5" t="inlineStr">
        <is>
          <t>Covered - keep wording; no change</t>
        </is>
      </c>
      <c r="P854" s="5" t="inlineStr"/>
      <c r="Q854" t="inlineStr">
        <is>
          <t>P3</t>
        </is>
      </c>
      <c r="R854" t="n">
        <v>88</v>
      </c>
      <c r="S854" s="5" t="inlineStr">
        <is>
          <t>Découvrez pourquoi Denver entreprises choisissent CodeSommet plutôt que d'autres agences locales et concurrents internationaux. Fonctionnalité CodeSommet Denver Autres Denver Agences Agences Internationales Révisions Ill</t>
        </is>
      </c>
    </row>
    <row r="855">
      <c r="A855" s="3" t="inlineStr">
        <is>
          <t>https://codesommet.com/web-development-company/denver</t>
        </is>
      </c>
      <c r="B855" t="n">
        <v>10</v>
      </c>
      <c r="C855" t="inlineStr">
        <is>
          <t>Testimonials / social proof</t>
        </is>
      </c>
      <c r="D855" s="5" t="inlineStr">
        <is>
          <t>Quoi Denver Nos Clients Disent de Nous</t>
        </is>
      </c>
      <c r="E855" t="inlineStr">
        <is>
          <t>H2</t>
        </is>
      </c>
      <c r="F855" s="5" t="inlineStr">
        <is>
          <t>Commercial investigation</t>
        </is>
      </c>
      <c r="G855" t="inlineStr">
        <is>
          <t>développement web denver</t>
        </is>
      </c>
      <c r="H855" t="inlineStr">
        <is>
          <t>SUPPORTS PRIMARY</t>
        </is>
      </c>
      <c r="I855" t="inlineStr">
        <is>
          <t>us</t>
        </is>
      </c>
      <c r="J855" t="inlineStr">
        <is>
          <t>NOT AVAILABLE</t>
        </is>
      </c>
      <c r="K855" t="inlineStr">
        <is>
          <t>NOT AVAILABLE</t>
        </is>
      </c>
      <c r="L855" t="inlineStr">
        <is>
          <t>NOT AVAILABLE</t>
        </is>
      </c>
      <c r="M855" t="inlineStr">
        <is>
          <t>UNAVAILABLE</t>
        </is>
      </c>
      <c r="N855" t="inlineStr">
        <is>
          <t>Yes (supporting block)</t>
        </is>
      </c>
      <c r="O855" s="5" t="inlineStr">
        <is>
          <t>Supports the primary topic - add only if natural</t>
        </is>
      </c>
      <c r="P855" s="5" t="inlineStr"/>
      <c r="Q855" t="inlineStr">
        <is>
          <t>P3</t>
        </is>
      </c>
      <c r="R855" t="n">
        <v>104</v>
      </c>
      <c r="S855" s="5" t="inlineStr">
        <is>
          <t>Ne vous fiez pas seulement à notre parole. Écoutez les entreprises de Denver qui ont obtenu des résultats remarquables avec CodeSommet. "Une collaboration professionnelle du début à la fin. Je recommande sans hésiter." M</t>
        </is>
      </c>
    </row>
    <row r="856">
      <c r="A856" s="3" t="inlineStr">
        <is>
          <t>https://codesommet.com/web-development-company/denver</t>
        </is>
      </c>
      <c r="B856" t="n">
        <v>11</v>
      </c>
      <c r="C856" t="inlineStr">
        <is>
          <t>Process / how it works</t>
        </is>
      </c>
      <c r="D856" s="5" t="inlineStr">
        <is>
          <t>Comment démarrer en 3 étapes simples</t>
        </is>
      </c>
      <c r="E856" t="inlineStr">
        <is>
          <t>H2</t>
        </is>
      </c>
      <c r="F856" s="5" t="inlineStr">
        <is>
          <t>Informational / commercial</t>
        </is>
      </c>
      <c r="G856" t="inlineStr">
        <is>
          <t>développement web denver</t>
        </is>
      </c>
      <c r="H856" t="inlineStr">
        <is>
          <t>SUPPORTS PRIMARY</t>
        </is>
      </c>
      <c r="I856" t="inlineStr">
        <is>
          <t>us</t>
        </is>
      </c>
      <c r="J856" t="inlineStr">
        <is>
          <t>NOT AVAILABLE</t>
        </is>
      </c>
      <c r="K856" t="inlineStr">
        <is>
          <t>NOT AVAILABLE</t>
        </is>
      </c>
      <c r="L856" t="inlineStr">
        <is>
          <t>NOT AVAILABLE</t>
        </is>
      </c>
      <c r="M856" t="inlineStr">
        <is>
          <t>UNAVAILABLE</t>
        </is>
      </c>
      <c r="N856" t="inlineStr">
        <is>
          <t>Yes (supporting block)</t>
        </is>
      </c>
      <c r="O856" s="5" t="inlineStr">
        <is>
          <t>Supports the primary topic - add only if natural</t>
        </is>
      </c>
      <c r="P856" s="5" t="inlineStr"/>
      <c r="Q856" t="inlineStr">
        <is>
          <t>P3</t>
        </is>
      </c>
      <c r="R856" t="n">
        <v>286</v>
      </c>
      <c r="S856" s="5" t="inlineStr">
        <is>
          <t>Du premier appel à la livraison du projet, découvrez exactement comment nous travaillons ensemble Étape 1 Abonnement 1 projet actif Révisions illimitées Design &amp; développement SEO &amp; contenu Recommandé Développement de Si</t>
        </is>
      </c>
    </row>
    <row r="857">
      <c r="A857" s="3" t="inlineStr">
        <is>
          <t>https://codesommet.com/web-development-company/denver</t>
        </is>
      </c>
      <c r="B857" t="n">
        <v>12</v>
      </c>
      <c r="C857" t="inlineStr">
        <is>
          <t>FAQ</t>
        </is>
      </c>
      <c r="D857" s="5" t="inlineStr">
        <is>
          <t>Questions Fréquemment Posées Sur le Développement Web à Denver</t>
        </is>
      </c>
      <c r="E857" t="inlineStr">
        <is>
          <t>H2</t>
        </is>
      </c>
      <c r="F857" s="5" t="inlineStr">
        <is>
          <t>Informational (pre-purchase questions)</t>
        </is>
      </c>
      <c r="G857" t="inlineStr">
        <is>
          <t>développement web denver</t>
        </is>
      </c>
      <c r="H857" t="inlineStr">
        <is>
          <t>SUPPORTS PRIMARY</t>
        </is>
      </c>
      <c r="I857" t="inlineStr">
        <is>
          <t>us</t>
        </is>
      </c>
      <c r="J857" t="inlineStr">
        <is>
          <t>NOT AVAILABLE</t>
        </is>
      </c>
      <c r="K857" t="inlineStr">
        <is>
          <t>NOT AVAILABLE</t>
        </is>
      </c>
      <c r="L857" t="inlineStr">
        <is>
          <t>NOT AVAILABLE</t>
        </is>
      </c>
      <c r="M857" t="inlineStr">
        <is>
          <t>UNAVAILABLE</t>
        </is>
      </c>
      <c r="N857" t="inlineStr">
        <is>
          <t>Yes</t>
        </is>
      </c>
      <c r="O857" s="5" t="inlineStr">
        <is>
          <t>Covered - keep wording; no change</t>
        </is>
      </c>
      <c r="P857" s="5" t="inlineStr"/>
      <c r="Q857" t="inlineStr">
        <is>
          <t>P3</t>
        </is>
      </c>
      <c r="R857" t="n">
        <v>380</v>
      </c>
      <c r="S857" s="5" t="inlineStr">
        <is>
          <t>Vous avez des questions ? Nous avons les réponses. Voici les questions les plus fréquentes de Denver entreprises. 1 Pourquoi choisir CodeSommet plutôt que les nombreuses agences de développement web de Denver ? Parce que</t>
        </is>
      </c>
    </row>
    <row r="858">
      <c r="A858" s="3" t="inlineStr">
        <is>
          <t>https://codesommet.com/web-development-company/denver</t>
        </is>
      </c>
      <c r="B858" t="n">
        <v>13</v>
      </c>
      <c r="C858" t="inlineStr">
        <is>
          <t>Content block</t>
        </is>
      </c>
      <c r="D858" s="5" t="inlineStr">
        <is>
          <t>Nous Servons Également</t>
        </is>
      </c>
      <c r="E858" t="inlineStr">
        <is>
          <t>H2</t>
        </is>
      </c>
      <c r="F858" s="5" t="inlineStr">
        <is>
          <t>Commercial (local)</t>
        </is>
      </c>
      <c r="G858" t="inlineStr">
        <is>
          <t>développement web denver</t>
        </is>
      </c>
      <c r="H858" t="inlineStr">
        <is>
          <t>SUPPORTS PRIMARY</t>
        </is>
      </c>
      <c r="I858" t="inlineStr">
        <is>
          <t>us</t>
        </is>
      </c>
      <c r="J858" t="inlineStr">
        <is>
          <t>NOT AVAILABLE</t>
        </is>
      </c>
      <c r="K858" t="inlineStr">
        <is>
          <t>NOT AVAILABLE</t>
        </is>
      </c>
      <c r="L858" t="inlineStr">
        <is>
          <t>NOT AVAILABLE</t>
        </is>
      </c>
      <c r="M858" t="inlineStr">
        <is>
          <t>UNAVAILABLE</t>
        </is>
      </c>
      <c r="N858" t="inlineStr">
        <is>
          <t>Yes (supporting block)</t>
        </is>
      </c>
      <c r="O858" s="5" t="inlineStr">
        <is>
          <t>Supports the primary topic - add only if natural</t>
        </is>
      </c>
      <c r="P858" s="5" t="inlineStr"/>
      <c r="Q858" t="inlineStr">
        <is>
          <t>P3</t>
        </is>
      </c>
      <c r="R858" t="n">
        <v>29</v>
      </c>
      <c r="S858" s="5" t="inlineStr">
        <is>
          <t>Explorez nos services de développement web dans d'autres villes à travers le monde Seattle États-Unis Chicago États-Unis Vancouver Canada Toronto Canada San Francisco États-Unis Boston États-Unis Voir Tout Locations</t>
        </is>
      </c>
    </row>
    <row r="859">
      <c r="A859" s="3" t="inlineStr">
        <is>
          <t>https://codesommet.com/web-development-company/denver</t>
        </is>
      </c>
      <c r="B859" t="n">
        <v>14</v>
      </c>
      <c r="C859" t="inlineStr">
        <is>
          <t>Content block</t>
        </is>
      </c>
      <c r="D859" s="5" t="inlineStr">
        <is>
          <t>En Savoir Plus</t>
        </is>
      </c>
      <c r="E859" t="inlineStr">
        <is>
          <t>H2</t>
        </is>
      </c>
      <c r="F859" s="5" t="inlineStr">
        <is>
          <t>Commercial (local)</t>
        </is>
      </c>
      <c r="G859" t="inlineStr">
        <is>
          <t>développement web denver</t>
        </is>
      </c>
      <c r="H859" t="inlineStr">
        <is>
          <t>SUPPORTS PRIMARY</t>
        </is>
      </c>
      <c r="I859" t="inlineStr">
        <is>
          <t>us</t>
        </is>
      </c>
      <c r="J859" t="inlineStr">
        <is>
          <t>NOT AVAILABLE</t>
        </is>
      </c>
      <c r="K859" t="inlineStr">
        <is>
          <t>NOT AVAILABLE</t>
        </is>
      </c>
      <c r="L859" t="inlineStr">
        <is>
          <t>NOT AVAILABLE</t>
        </is>
      </c>
      <c r="M859" t="inlineStr">
        <is>
          <t>UNAVAILABLE</t>
        </is>
      </c>
      <c r="N859" t="inlineStr">
        <is>
          <t>Yes (supporting block)</t>
        </is>
      </c>
      <c r="O859" s="5" t="inlineStr">
        <is>
          <t>Supports the primary topic - add only if natural</t>
        </is>
      </c>
      <c r="P859" s="5" t="inlineStr"/>
      <c r="Q859" t="inlineStr">
        <is>
          <t>P3</t>
        </is>
      </c>
      <c r="R859" t="n">
        <v>82</v>
      </c>
      <c r="S859" s="5" t="inlineStr">
        <is>
          <t xml:space="preserve">Découvrez ce qui fait de CodeSommet votre partenaire de développement web idéal Audit Gratuit de Site Web Obtenez une analyse alimentée par l'IA avec plus de 40 vérifications En savoir plus Voir Nos Projets Explorez les </t>
        </is>
      </c>
    </row>
    <row r="860">
      <c r="A860" s="3" t="inlineStr">
        <is>
          <t>https://codesommet.com/web-development-company/denver</t>
        </is>
      </c>
      <c r="B860" t="n">
        <v>15</v>
      </c>
      <c r="C860" t="inlineStr">
        <is>
          <t>CTA / conversion</t>
        </is>
      </c>
      <c r="D860" s="5" t="inlineStr">
        <is>
          <t>Prêt à Créer Quelque Chose d'Extraordinaire ?</t>
        </is>
      </c>
      <c r="E860" t="inlineStr">
        <is>
          <t>H2</t>
        </is>
      </c>
      <c r="F860" s="5" t="inlineStr">
        <is>
          <t>Conversion</t>
        </is>
      </c>
      <c r="G860" t="inlineStr">
        <is>
          <t>—</t>
        </is>
      </c>
      <c r="H860" t="inlineStr">
        <is>
          <t>NONE</t>
        </is>
      </c>
      <c r="I860" t="inlineStr">
        <is>
          <t>—</t>
        </is>
      </c>
      <c r="J860" t="inlineStr">
        <is>
          <t>—</t>
        </is>
      </c>
      <c r="K860" t="inlineStr">
        <is>
          <t>—</t>
        </is>
      </c>
      <c r="L860" t="inlineStr">
        <is>
          <t>—</t>
        </is>
      </c>
      <c r="M860" t="inlineStr">
        <is>
          <t>—</t>
        </is>
      </c>
      <c r="N860" t="inlineStr">
        <is>
          <t>n/a</t>
        </is>
      </c>
      <c r="O860" s="5" t="inlineStr">
        <is>
          <t>No keyword target - keep conversion/navigation focus; use descriptive, non-repeated anchor texts</t>
        </is>
      </c>
      <c r="P860" s="5" t="inlineStr"/>
      <c r="Q860" t="inlineStr">
        <is>
          <t>P4</t>
        </is>
      </c>
      <c r="R860" t="n">
        <v>117</v>
      </c>
      <c r="S860" s="5" t="inlineStr">
        <is>
          <t>Rejoignez les entreprises visionnaires qui ont choisi l'excellence Réserver un Appel Découverte Analyser Mon Site Gratuitement Réserver un Appel Découverte Analyser Votre Site Web Discutons de comment l'IA et le design m</t>
        </is>
      </c>
    </row>
    <row r="861">
      <c r="A861" s="3" t="inlineStr">
        <is>
          <t>https://codesommet.com/web-development-company/toronto</t>
        </is>
      </c>
      <c r="B861" t="n">
        <v>1</v>
      </c>
      <c r="C861" t="inlineStr">
        <is>
          <t>Hero / H1</t>
        </is>
      </c>
      <c r="D861" s="5" t="inlineStr">
        <is>
          <t>Développement Web à Toronto, Canada : des sites web qui génèrent Tableaux de Bord SaaS</t>
        </is>
      </c>
      <c r="E861" t="inlineStr">
        <is>
          <t>H1</t>
        </is>
      </c>
      <c r="F861" s="5" t="inlineStr">
        <is>
          <t>Commercial (local)</t>
        </is>
      </c>
      <c r="G861" t="inlineStr">
        <is>
          <t>développement web toronto</t>
        </is>
      </c>
      <c r="H861" t="inlineStr">
        <is>
          <t>PRIMARY</t>
        </is>
      </c>
      <c r="I861" t="inlineStr">
        <is>
          <t>ca</t>
        </is>
      </c>
      <c r="J861" t="inlineStr">
        <is>
          <t>NOT AVAILABLE</t>
        </is>
      </c>
      <c r="K861" t="inlineStr">
        <is>
          <t>NOT AVAILABLE</t>
        </is>
      </c>
      <c r="L861" t="inlineStr">
        <is>
          <t>NOT AVAILABLE</t>
        </is>
      </c>
      <c r="M861" t="inlineStr">
        <is>
          <t>UNAVAILABLE</t>
        </is>
      </c>
      <c r="N861" t="inlineStr">
        <is>
          <t>Yes</t>
        </is>
      </c>
      <c r="O861" s="5" t="inlineStr">
        <is>
          <t>Covered - keep wording; no change</t>
        </is>
      </c>
      <c r="P861" s="5" t="inlineStr"/>
      <c r="Q861" t="inlineStr">
        <is>
          <t>P3</t>
        </is>
      </c>
      <c r="R861" t="n">
        <v>75</v>
      </c>
      <c r="S861" s="5" t="inlineStr">
        <is>
          <t>Depuis le Maroc, notre studio de développement web accompagne à distance les entreprises de Toronto dans la création de sites web alimentés par l'IA et de tableaux de bord intelligents. Nous sommes spécialisés dans la cr</t>
        </is>
      </c>
    </row>
    <row r="862">
      <c r="A862" s="3" t="inlineStr">
        <is>
          <t>https://codesommet.com/web-development-company/toronto</t>
        </is>
      </c>
      <c r="B862" t="n">
        <v>2</v>
      </c>
      <c r="C862" t="inlineStr">
        <is>
          <t>Why us / differentiation</t>
        </is>
      </c>
      <c r="D862" s="5" t="inlineStr">
        <is>
          <t>Pourquoi Choisir CodeSommet in Toronto ?</t>
        </is>
      </c>
      <c r="E862" t="inlineStr">
        <is>
          <t>H2</t>
        </is>
      </c>
      <c r="F862" s="5" t="inlineStr">
        <is>
          <t>Commercial investigation</t>
        </is>
      </c>
      <c r="G862" t="inlineStr">
        <is>
          <t>développement web toronto</t>
        </is>
      </c>
      <c r="H862" t="inlineStr">
        <is>
          <t>SUPPORTS PRIMARY</t>
        </is>
      </c>
      <c r="I862" t="inlineStr">
        <is>
          <t>ca</t>
        </is>
      </c>
      <c r="J862" t="inlineStr">
        <is>
          <t>NOT AVAILABLE</t>
        </is>
      </c>
      <c r="K862" t="inlineStr">
        <is>
          <t>NOT AVAILABLE</t>
        </is>
      </c>
      <c r="L862" t="inlineStr">
        <is>
          <t>NOT AVAILABLE</t>
        </is>
      </c>
      <c r="M862" t="inlineStr">
        <is>
          <t>UNAVAILABLE</t>
        </is>
      </c>
      <c r="N862" t="inlineStr">
        <is>
          <t>Yes</t>
        </is>
      </c>
      <c r="O862" s="5" t="inlineStr">
        <is>
          <t>Covered - keep wording; no change</t>
        </is>
      </c>
      <c r="P862" s="5" t="inlineStr"/>
      <c r="Q862" t="inlineStr">
        <is>
          <t>P3</t>
        </is>
      </c>
      <c r="R862" t="n">
        <v>150</v>
      </c>
      <c r="S862" s="5" t="inlineStr">
        <is>
          <t>L'expertise locale rencontre les standards mondiaux. Voici ce qui fait de nous le partenaire idéal en développement web à Toronto. Experts en IA Créez des chatbots intelligents, des workflows d'automatisation, une recher</t>
        </is>
      </c>
    </row>
    <row r="863">
      <c r="A863" s="3" t="inlineStr">
        <is>
          <t>https://codesommet.com/web-development-company/toronto</t>
        </is>
      </c>
      <c r="B863" t="n">
        <v>3</v>
      </c>
      <c r="C863" t="inlineStr">
        <is>
          <t>Services / features</t>
        </is>
      </c>
      <c r="D863" s="5" t="inlineStr">
        <is>
          <t>Au service des entreprises à Toronto</t>
        </is>
      </c>
      <c r="E863" t="inlineStr">
        <is>
          <t>H2</t>
        </is>
      </c>
      <c r="F863" s="5" t="inlineStr">
        <is>
          <t>Commercial (local)</t>
        </is>
      </c>
      <c r="G863" t="inlineStr">
        <is>
          <t>développement web toronto</t>
        </is>
      </c>
      <c r="H863" t="inlineStr">
        <is>
          <t>SUPPORTS PRIMARY</t>
        </is>
      </c>
      <c r="I863" t="inlineStr">
        <is>
          <t>ca</t>
        </is>
      </c>
      <c r="J863" t="inlineStr">
        <is>
          <t>NOT AVAILABLE</t>
        </is>
      </c>
      <c r="K863" t="inlineStr">
        <is>
          <t>NOT AVAILABLE</t>
        </is>
      </c>
      <c r="L863" t="inlineStr">
        <is>
          <t>NOT AVAILABLE</t>
        </is>
      </c>
      <c r="M863" t="inlineStr">
        <is>
          <t>UNAVAILABLE</t>
        </is>
      </c>
      <c r="N863" t="inlineStr">
        <is>
          <t>Yes (supporting block)</t>
        </is>
      </c>
      <c r="O863" s="5" t="inlineStr">
        <is>
          <t>Supports the primary topic - add only if natural</t>
        </is>
      </c>
      <c r="P863" s="5" t="inlineStr"/>
      <c r="Q863" t="inlineStr">
        <is>
          <t>P3</t>
        </is>
      </c>
      <c r="R863" t="n">
        <v>6</v>
      </c>
      <c r="S863" s="5" t="inlineStr">
        <is>
          <t>Projets livrés à distance Expertise Sectorielle</t>
        </is>
      </c>
    </row>
    <row r="864">
      <c r="A864" s="3" t="inlineStr">
        <is>
          <t>https://codesommet.com/web-development-company/toronto</t>
        </is>
      </c>
      <c r="B864" t="n">
        <v>4</v>
      </c>
      <c r="C864" t="inlineStr">
        <is>
          <t>Content block</t>
        </is>
      </c>
      <c r="D864" s="5" t="inlineStr">
        <is>
          <t>Toronto Nos Secteurs de Spécialisation</t>
        </is>
      </c>
      <c r="E864" t="inlineStr">
        <is>
          <t>H2</t>
        </is>
      </c>
      <c r="F864" s="5" t="inlineStr">
        <is>
          <t>Commercial (local)</t>
        </is>
      </c>
      <c r="G864" t="inlineStr">
        <is>
          <t>développement web toronto</t>
        </is>
      </c>
      <c r="H864" t="inlineStr">
        <is>
          <t>SUPPORTS PRIMARY</t>
        </is>
      </c>
      <c r="I864" t="inlineStr">
        <is>
          <t>ca</t>
        </is>
      </c>
      <c r="J864" t="inlineStr">
        <is>
          <t>NOT AVAILABLE</t>
        </is>
      </c>
      <c r="K864" t="inlineStr">
        <is>
          <t>NOT AVAILABLE</t>
        </is>
      </c>
      <c r="L864" t="inlineStr">
        <is>
          <t>NOT AVAILABLE</t>
        </is>
      </c>
      <c r="M864" t="inlineStr">
        <is>
          <t>UNAVAILABLE</t>
        </is>
      </c>
      <c r="N864" t="inlineStr">
        <is>
          <t>Yes</t>
        </is>
      </c>
      <c r="O864" s="5" t="inlineStr">
        <is>
          <t>Covered - keep wording; no change</t>
        </is>
      </c>
      <c r="P864" s="5" t="inlineStr"/>
      <c r="Q864" t="inlineStr">
        <is>
          <t>P3</t>
        </is>
      </c>
      <c r="R864" t="n">
        <v>192</v>
      </c>
      <c r="S864" s="5" t="inlineStr">
        <is>
          <t>Une expertise approfondie dans les secteurs clés de Toronto . Nous comprenons les défis propres à votre secteur et ses exigences de conformité. FinTech Plateformes financières sécurisées avec traitement des paiements, co</t>
        </is>
      </c>
    </row>
    <row r="865">
      <c r="A865" s="3" t="inlineStr">
        <is>
          <t>https://codesommet.com/web-development-company/toronto</t>
        </is>
      </c>
      <c r="B865" t="n">
        <v>5</v>
      </c>
      <c r="C865" t="inlineStr">
        <is>
          <t>Testimonials / social proof</t>
        </is>
      </c>
      <c r="D865" s="5" t="inlineStr">
        <is>
          <t>Histoires de réussite à Toronto</t>
        </is>
      </c>
      <c r="E865" t="inlineStr">
        <is>
          <t>H2</t>
        </is>
      </c>
      <c r="F865" s="5" t="inlineStr">
        <is>
          <t>Commercial investigation</t>
        </is>
      </c>
      <c r="G865" t="inlineStr">
        <is>
          <t>développement web toronto</t>
        </is>
      </c>
      <c r="H865" t="inlineStr">
        <is>
          <t>SUPPORTS PRIMARY</t>
        </is>
      </c>
      <c r="I865" t="inlineStr">
        <is>
          <t>ca</t>
        </is>
      </c>
      <c r="J865" t="inlineStr">
        <is>
          <t>NOT AVAILABLE</t>
        </is>
      </c>
      <c r="K865" t="inlineStr">
        <is>
          <t>NOT AVAILABLE</t>
        </is>
      </c>
      <c r="L865" t="inlineStr">
        <is>
          <t>NOT AVAILABLE</t>
        </is>
      </c>
      <c r="M865" t="inlineStr">
        <is>
          <t>UNAVAILABLE</t>
        </is>
      </c>
      <c r="N865" t="inlineStr">
        <is>
          <t>Yes (supporting block)</t>
        </is>
      </c>
      <c r="O865" s="5" t="inlineStr">
        <is>
          <t>Supports the primary topic - add only if natural</t>
        </is>
      </c>
      <c r="P865" s="5" t="inlineStr"/>
      <c r="Q865" t="inlineStr">
        <is>
          <t>P3</t>
        </is>
      </c>
      <c r="R865" t="n">
        <v>60</v>
      </c>
      <c r="S865" s="5" t="inlineStr">
        <is>
          <t>Des projets réels, des résultats concrets. Découvrez comment nous avons aidé des entreprises basées à Toronto à atteindre leurs objectifs numériques. Éducation Plateforme d\x27inscription en ligne GLS Sprachenzentrum All</t>
        </is>
      </c>
    </row>
    <row r="866">
      <c r="A866" s="3" t="inlineStr">
        <is>
          <t>https://codesommet.com/web-development-company/toronto</t>
        </is>
      </c>
      <c r="B866" t="n">
        <v>6</v>
      </c>
      <c r="C866" t="inlineStr">
        <is>
          <t>Process / how it works</t>
        </is>
      </c>
      <c r="D866" s="5" t="inlineStr">
        <is>
          <t>Comment Nous Avons Construit une Plateforme de Shopping IA Traitant 500M CAD de Volume Brut Annuel</t>
        </is>
      </c>
      <c r="E866" t="inlineStr">
        <is>
          <t>H2</t>
        </is>
      </c>
      <c r="F866" s="5" t="inlineStr">
        <is>
          <t>Informational / commercial</t>
        </is>
      </c>
      <c r="G866" t="inlineStr">
        <is>
          <t>développement web toronto</t>
        </is>
      </c>
      <c r="H866" t="inlineStr">
        <is>
          <t>SUPPORTS PRIMARY</t>
        </is>
      </c>
      <c r="I866" t="inlineStr">
        <is>
          <t>ca</t>
        </is>
      </c>
      <c r="J866" t="inlineStr">
        <is>
          <t>NOT AVAILABLE</t>
        </is>
      </c>
      <c r="K866" t="inlineStr">
        <is>
          <t>NOT AVAILABLE</t>
        </is>
      </c>
      <c r="L866" t="inlineStr">
        <is>
          <t>NOT AVAILABLE</t>
        </is>
      </c>
      <c r="M866" t="inlineStr">
        <is>
          <t>UNAVAILABLE</t>
        </is>
      </c>
      <c r="N866" t="inlineStr">
        <is>
          <t>Yes (supporting block)</t>
        </is>
      </c>
      <c r="O866" s="5" t="inlineStr">
        <is>
          <t>Supports the primary topic - add only if natural</t>
        </is>
      </c>
      <c r="P866" s="5" t="inlineStr"/>
      <c r="Q866" t="inlineStr">
        <is>
          <t>P3</t>
        </is>
      </c>
      <c r="R866" t="n">
        <v>129</v>
      </c>
      <c r="S866" s="5" t="inlineStr">
        <is>
          <t>Plateforme de personnalisation e-commerce propulsée par l'IA • E-Commerce / IA • 12 mois Le Défi Les détaillants et commerçants en ligne de Toronto cherchent à augmenter leurs conversions grâce aux recommandations en tem</t>
        </is>
      </c>
    </row>
    <row r="867">
      <c r="A867" s="3" t="inlineStr">
        <is>
          <t>https://codesommet.com/web-development-company/toronto</t>
        </is>
      </c>
      <c r="B867" t="n">
        <v>7</v>
      </c>
      <c r="C867" t="inlineStr">
        <is>
          <t>Pricing / offers</t>
        </is>
      </c>
      <c r="D867" s="5" t="inlineStr">
        <is>
          <t>Solutions sur mesure, tarification transparente</t>
        </is>
      </c>
      <c r="E867" t="inlineStr">
        <is>
          <t>H2</t>
        </is>
      </c>
      <c r="F867" s="5" t="inlineStr">
        <is>
          <t>Commercial / transactional</t>
        </is>
      </c>
      <c r="G867" t="inlineStr">
        <is>
          <t>développement web toronto</t>
        </is>
      </c>
      <c r="H867" t="inlineStr">
        <is>
          <t>SUPPORTS PRIMARY</t>
        </is>
      </c>
      <c r="I867" t="inlineStr">
        <is>
          <t>ca</t>
        </is>
      </c>
      <c r="J867" t="inlineStr">
        <is>
          <t>NOT AVAILABLE</t>
        </is>
      </c>
      <c r="K867" t="inlineStr">
        <is>
          <t>NOT AVAILABLE</t>
        </is>
      </c>
      <c r="L867" t="inlineStr">
        <is>
          <t>NOT AVAILABLE</t>
        </is>
      </c>
      <c r="M867" t="inlineStr">
        <is>
          <t>UNAVAILABLE</t>
        </is>
      </c>
      <c r="N867" t="inlineStr">
        <is>
          <t>Yes (supporting block)</t>
        </is>
      </c>
      <c r="O867" s="5" t="inlineStr">
        <is>
          <t>Supports the primary topic - add only if natural</t>
        </is>
      </c>
      <c r="P867" s="5" t="inlineStr"/>
      <c r="Q867" t="inlineStr">
        <is>
          <t>P3</t>
        </is>
      </c>
      <c r="R867" t="n">
        <v>190</v>
      </c>
      <c r="S867" s="5" t="inlineStr">
        <is>
          <t>Réservez un appel découverte pour discuter de vos besoins spécifiques et obtenir un devis personnalisé Recommandé Développement Web Site web complet avec fonctionnalités IA, tableaux de bord et design premium livré en 2-</t>
        </is>
      </c>
    </row>
    <row r="868">
      <c r="A868" s="3" t="inlineStr">
        <is>
          <t>https://codesommet.com/web-development-company/toronto</t>
        </is>
      </c>
      <c r="B868" t="n">
        <v>8</v>
      </c>
      <c r="C868" t="inlineStr">
        <is>
          <t>CTA / conversion</t>
        </is>
      </c>
      <c r="D868" s="5" t="inlineStr">
        <is>
          <t>Prêt à améliorer votre site web ? Toronto ?</t>
        </is>
      </c>
      <c r="E868" t="inlineStr">
        <is>
          <t>H2</t>
        </is>
      </c>
      <c r="F868" s="5" t="inlineStr">
        <is>
          <t>Conversion</t>
        </is>
      </c>
      <c r="G868" t="inlineStr">
        <is>
          <t>—</t>
        </is>
      </c>
      <c r="H868" t="inlineStr">
        <is>
          <t>NONE</t>
        </is>
      </c>
      <c r="I868" t="inlineStr">
        <is>
          <t>—</t>
        </is>
      </c>
      <c r="J868" t="inlineStr">
        <is>
          <t>—</t>
        </is>
      </c>
      <c r="K868" t="inlineStr">
        <is>
          <t>—</t>
        </is>
      </c>
      <c r="L868" t="inlineStr">
        <is>
          <t>—</t>
        </is>
      </c>
      <c r="M868" t="inlineStr">
        <is>
          <t>—</t>
        </is>
      </c>
      <c r="N868" t="inlineStr">
        <is>
          <t>n/a</t>
        </is>
      </c>
      <c r="O868" s="5" t="inlineStr">
        <is>
          <t>No keyword target - keep conversion/navigation focus; use descriptive, non-repeated anchor texts</t>
        </is>
      </c>
      <c r="P868" s="5" t="inlineStr"/>
      <c r="Q868" t="inlineStr">
        <is>
          <t>P4</t>
        </is>
      </c>
      <c r="R868" t="n">
        <v>40</v>
      </c>
      <c r="S868" s="5" t="inlineStr">
        <is>
          <t>Obtenez d'abord une analyse complète gratuite : Audit SEO Vérification de performance Revue de design Recommandations produits propulsées par l'IA Analyser Votre Site Web - 100 % Gratuit Aucune carte bancaire requise • R</t>
        </is>
      </c>
    </row>
    <row r="869">
      <c r="A869" s="3" t="inlineStr">
        <is>
          <t>https://codesommet.com/web-development-company/toronto</t>
        </is>
      </c>
      <c r="B869" t="n">
        <v>9</v>
      </c>
      <c r="C869" t="inlineStr">
        <is>
          <t>Why us / differentiation</t>
        </is>
      </c>
      <c r="D869" s="5" t="inlineStr">
        <is>
          <t>CodeSommet Toronto vs Others</t>
        </is>
      </c>
      <c r="E869" t="inlineStr">
        <is>
          <t>H2</t>
        </is>
      </c>
      <c r="F869" s="5" t="inlineStr">
        <is>
          <t>Commercial investigation</t>
        </is>
      </c>
      <c r="G869" t="inlineStr">
        <is>
          <t>développement web toronto</t>
        </is>
      </c>
      <c r="H869" t="inlineStr">
        <is>
          <t>SUPPORTS PRIMARY</t>
        </is>
      </c>
      <c r="I869" t="inlineStr">
        <is>
          <t>ca</t>
        </is>
      </c>
      <c r="J869" t="inlineStr">
        <is>
          <t>NOT AVAILABLE</t>
        </is>
      </c>
      <c r="K869" t="inlineStr">
        <is>
          <t>NOT AVAILABLE</t>
        </is>
      </c>
      <c r="L869" t="inlineStr">
        <is>
          <t>NOT AVAILABLE</t>
        </is>
      </c>
      <c r="M869" t="inlineStr">
        <is>
          <t>UNAVAILABLE</t>
        </is>
      </c>
      <c r="N869" t="inlineStr">
        <is>
          <t>Yes</t>
        </is>
      </c>
      <c r="O869" s="5" t="inlineStr">
        <is>
          <t>Covered - keep wording; no change</t>
        </is>
      </c>
      <c r="P869" s="5" t="inlineStr"/>
      <c r="Q869" t="inlineStr">
        <is>
          <t>P3</t>
        </is>
      </c>
      <c r="R869" t="n">
        <v>91</v>
      </c>
      <c r="S869" s="5" t="inlineStr">
        <is>
          <t>Découvrez pourquoi Toronto les entreprises choisissent CodeSommet plutôt que d'autres agences locales et internationales. Fonctionnalité CodeSommet Toronto Autres Toronto Agences Agences Internationales Révisions illimit</t>
        </is>
      </c>
    </row>
    <row r="870">
      <c r="A870" s="3" t="inlineStr">
        <is>
          <t>https://codesommet.com/web-development-company/toronto</t>
        </is>
      </c>
      <c r="B870" t="n">
        <v>10</v>
      </c>
      <c r="C870" t="inlineStr">
        <is>
          <t>Testimonials / social proof</t>
        </is>
      </c>
      <c r="D870" s="5" t="inlineStr">
        <is>
          <t>Ce que nos clients de Toronto disent de nous</t>
        </is>
      </c>
      <c r="E870" t="inlineStr">
        <is>
          <t>H2</t>
        </is>
      </c>
      <c r="F870" s="5" t="inlineStr">
        <is>
          <t>Commercial investigation</t>
        </is>
      </c>
      <c r="G870" t="inlineStr">
        <is>
          <t>développement web toronto</t>
        </is>
      </c>
      <c r="H870" t="inlineStr">
        <is>
          <t>SUPPORTS PRIMARY</t>
        </is>
      </c>
      <c r="I870" t="inlineStr">
        <is>
          <t>ca</t>
        </is>
      </c>
      <c r="J870" t="inlineStr">
        <is>
          <t>NOT AVAILABLE</t>
        </is>
      </c>
      <c r="K870" t="inlineStr">
        <is>
          <t>NOT AVAILABLE</t>
        </is>
      </c>
      <c r="L870" t="inlineStr">
        <is>
          <t>NOT AVAILABLE</t>
        </is>
      </c>
      <c r="M870" t="inlineStr">
        <is>
          <t>UNAVAILABLE</t>
        </is>
      </c>
      <c r="N870" t="inlineStr">
        <is>
          <t>Yes (supporting block)</t>
        </is>
      </c>
      <c r="O870" s="5" t="inlineStr">
        <is>
          <t>Supports the primary topic - add only if natural</t>
        </is>
      </c>
      <c r="P870" s="5" t="inlineStr"/>
      <c r="Q870" t="inlineStr">
        <is>
          <t>P3</t>
        </is>
      </c>
      <c r="R870" t="n">
        <v>103</v>
      </c>
      <c r="S870" s="5" t="inlineStr">
        <is>
          <t>Ne nous croyez pas sur parole. Écoutez les entreprises de Toronto qui ont obtenu des résultats remarquables avec CodeSommet. "Une collaboration professionnelle du début à la fin. Je recommande sans hésiter." Mohammed Cha</t>
        </is>
      </c>
    </row>
    <row r="871">
      <c r="A871" s="3" t="inlineStr">
        <is>
          <t>https://codesommet.com/web-development-company/toronto</t>
        </is>
      </c>
      <c r="B871" t="n">
        <v>11</v>
      </c>
      <c r="C871" t="inlineStr">
        <is>
          <t>Process / how it works</t>
        </is>
      </c>
      <c r="D871" s="5" t="inlineStr">
        <is>
          <t>Comment démarrer en 3 étapes simples</t>
        </is>
      </c>
      <c r="E871" t="inlineStr">
        <is>
          <t>H2</t>
        </is>
      </c>
      <c r="F871" s="5" t="inlineStr">
        <is>
          <t>Informational / commercial</t>
        </is>
      </c>
      <c r="G871" t="inlineStr">
        <is>
          <t>développement web toronto</t>
        </is>
      </c>
      <c r="H871" t="inlineStr">
        <is>
          <t>SUPPORTS PRIMARY</t>
        </is>
      </c>
      <c r="I871" t="inlineStr">
        <is>
          <t>ca</t>
        </is>
      </c>
      <c r="J871" t="inlineStr">
        <is>
          <t>NOT AVAILABLE</t>
        </is>
      </c>
      <c r="K871" t="inlineStr">
        <is>
          <t>NOT AVAILABLE</t>
        </is>
      </c>
      <c r="L871" t="inlineStr">
        <is>
          <t>NOT AVAILABLE</t>
        </is>
      </c>
      <c r="M871" t="inlineStr">
        <is>
          <t>UNAVAILABLE</t>
        </is>
      </c>
      <c r="N871" t="inlineStr">
        <is>
          <t>Yes (supporting block)</t>
        </is>
      </c>
      <c r="O871" s="5" t="inlineStr">
        <is>
          <t>Supports the primary topic - add only if natural</t>
        </is>
      </c>
      <c r="P871" s="5" t="inlineStr"/>
      <c r="Q871" t="inlineStr">
        <is>
          <t>P3</t>
        </is>
      </c>
      <c r="R871" t="n">
        <v>286</v>
      </c>
      <c r="S871" s="5" t="inlineStr">
        <is>
          <t>Du premier appel à la livraison du projet, découvrez exactement comment nous travaillons ensemble Étape 1 Abonnement 1 projet actif Révisions illimitées Design &amp; développement SEO &amp; contenu Recommandé Développement de Si</t>
        </is>
      </c>
    </row>
    <row r="872">
      <c r="A872" s="3" t="inlineStr">
        <is>
          <t>https://codesommet.com/web-development-company/toronto</t>
        </is>
      </c>
      <c r="B872" t="n">
        <v>12</v>
      </c>
      <c r="C872" t="inlineStr">
        <is>
          <t>FAQ</t>
        </is>
      </c>
      <c r="D872" s="5" t="inlineStr">
        <is>
          <t>Questions fréquemment posées sur le Développement Web à Toronto</t>
        </is>
      </c>
      <c r="E872" t="inlineStr">
        <is>
          <t>H2</t>
        </is>
      </c>
      <c r="F872" s="5" t="inlineStr">
        <is>
          <t>Informational (pre-purchase questions)</t>
        </is>
      </c>
      <c r="G872" t="inlineStr">
        <is>
          <t>développement web toronto</t>
        </is>
      </c>
      <c r="H872" t="inlineStr">
        <is>
          <t>SUPPORTS PRIMARY</t>
        </is>
      </c>
      <c r="I872" t="inlineStr">
        <is>
          <t>ca</t>
        </is>
      </c>
      <c r="J872" t="inlineStr">
        <is>
          <t>NOT AVAILABLE</t>
        </is>
      </c>
      <c r="K872" t="inlineStr">
        <is>
          <t>NOT AVAILABLE</t>
        </is>
      </c>
      <c r="L872" t="inlineStr">
        <is>
          <t>NOT AVAILABLE</t>
        </is>
      </c>
      <c r="M872" t="inlineStr">
        <is>
          <t>UNAVAILABLE</t>
        </is>
      </c>
      <c r="N872" t="inlineStr">
        <is>
          <t>Yes</t>
        </is>
      </c>
      <c r="O872" s="5" t="inlineStr">
        <is>
          <t>Covered - keep wording; no change</t>
        </is>
      </c>
      <c r="P872" s="5" t="inlineStr"/>
      <c r="Q872" t="inlineStr">
        <is>
          <t>P3</t>
        </is>
      </c>
      <c r="R872" t="n">
        <v>377</v>
      </c>
      <c r="S872" s="5" t="inlineStr">
        <is>
          <t>Des questions ? Nous avons les réponses. Voici les questions les plus fréquentes des entreprises de Toronto. 1 Pourquoi choisir CodeSommet parmi les nombreuses agences de développement web de Toronto ? Parce que nous com</t>
        </is>
      </c>
    </row>
    <row r="873">
      <c r="A873" s="3" t="inlineStr">
        <is>
          <t>https://codesommet.com/web-development-company/toronto</t>
        </is>
      </c>
      <c r="B873" t="n">
        <v>13</v>
      </c>
      <c r="C873" t="inlineStr">
        <is>
          <t>Internal-link block</t>
        </is>
      </c>
      <c r="D873" s="5" t="inlineStr">
        <is>
          <t>Nous Desservons Également</t>
        </is>
      </c>
      <c r="E873" t="inlineStr">
        <is>
          <t>H2</t>
        </is>
      </c>
      <c r="F873" s="5" t="inlineStr">
        <is>
          <t>Navigation</t>
        </is>
      </c>
      <c r="G873" t="inlineStr">
        <is>
          <t>—</t>
        </is>
      </c>
      <c r="H873" t="inlineStr">
        <is>
          <t>NONE</t>
        </is>
      </c>
      <c r="I873" t="inlineStr">
        <is>
          <t>—</t>
        </is>
      </c>
      <c r="J873" t="inlineStr">
        <is>
          <t>—</t>
        </is>
      </c>
      <c r="K873" t="inlineStr">
        <is>
          <t>—</t>
        </is>
      </c>
      <c r="L873" t="inlineStr">
        <is>
          <t>—</t>
        </is>
      </c>
      <c r="M873" t="inlineStr">
        <is>
          <t>—</t>
        </is>
      </c>
      <c r="N873" t="inlineStr">
        <is>
          <t>n/a</t>
        </is>
      </c>
      <c r="O873" s="5" t="inlineStr">
        <is>
          <t>No keyword target - keep conversion/navigation focus; use descriptive, non-repeated anchor texts</t>
        </is>
      </c>
      <c r="P873" s="5" t="inlineStr"/>
      <c r="Q873" t="inlineStr">
        <is>
          <t>P4</t>
        </is>
      </c>
      <c r="R873" t="n">
        <v>29</v>
      </c>
      <c r="S873" s="5" t="inlineStr">
        <is>
          <t>Explorez nos services de développement web dans d'autres villes à travers le monde Chicago États-Unis Boston États-Unis Denver États-Unis New York États-Unis Seattle États-Unis Austin États-Unis Voir Tout Locations</t>
        </is>
      </c>
    </row>
    <row r="874">
      <c r="A874" s="3" t="inlineStr">
        <is>
          <t>https://codesommet.com/web-development-company/toronto</t>
        </is>
      </c>
      <c r="B874" t="n">
        <v>14</v>
      </c>
      <c r="C874" t="inlineStr">
        <is>
          <t>Internal-link block</t>
        </is>
      </c>
      <c r="D874" s="5" t="inlineStr">
        <is>
          <t>Explorer davantage</t>
        </is>
      </c>
      <c r="E874" t="inlineStr">
        <is>
          <t>H2</t>
        </is>
      </c>
      <c r="F874" s="5" t="inlineStr">
        <is>
          <t>Navigation</t>
        </is>
      </c>
      <c r="G874" t="inlineStr">
        <is>
          <t>—</t>
        </is>
      </c>
      <c r="H874" t="inlineStr">
        <is>
          <t>NONE</t>
        </is>
      </c>
      <c r="I874" t="inlineStr">
        <is>
          <t>—</t>
        </is>
      </c>
      <c r="J874" t="inlineStr">
        <is>
          <t>—</t>
        </is>
      </c>
      <c r="K874" t="inlineStr">
        <is>
          <t>—</t>
        </is>
      </c>
      <c r="L874" t="inlineStr">
        <is>
          <t>—</t>
        </is>
      </c>
      <c r="M874" t="inlineStr">
        <is>
          <t>—</t>
        </is>
      </c>
      <c r="N874" t="inlineStr">
        <is>
          <t>n/a</t>
        </is>
      </c>
      <c r="O874" s="5" t="inlineStr">
        <is>
          <t>No keyword target - keep conversion/navigation focus; use descriptive, non-repeated anchor texts</t>
        </is>
      </c>
      <c r="P874" s="5" t="inlineStr"/>
      <c r="Q874" t="inlineStr">
        <is>
          <t>P4</t>
        </is>
      </c>
      <c r="R874" t="n">
        <v>83</v>
      </c>
      <c r="S874" s="5" t="inlineStr">
        <is>
          <t>Découvrez ce qui fait de CodeSommet votre partenaire idéal en développement web Audit Gratuit de Site Web Obtenez une analyse alimentée par l'IA avec plus de 40 vérifications En savoir plus Voir Nos Projets Découvrez les</t>
        </is>
      </c>
    </row>
    <row r="875">
      <c r="A875" s="3" t="inlineStr">
        <is>
          <t>https://codesommet.com/web-development-company/toronto</t>
        </is>
      </c>
      <c r="B875" t="n">
        <v>15</v>
      </c>
      <c r="C875" t="inlineStr">
        <is>
          <t>CTA / conversion</t>
        </is>
      </c>
      <c r="D875" s="5" t="inlineStr">
        <is>
          <t>Prêt à Créer Quelque Chose d'Extraordinaire ?</t>
        </is>
      </c>
      <c r="E875" t="inlineStr">
        <is>
          <t>H2</t>
        </is>
      </c>
      <c r="F875" s="5" t="inlineStr">
        <is>
          <t>Conversion</t>
        </is>
      </c>
      <c r="G875" t="inlineStr">
        <is>
          <t>—</t>
        </is>
      </c>
      <c r="H875" t="inlineStr">
        <is>
          <t>NONE</t>
        </is>
      </c>
      <c r="I875" t="inlineStr">
        <is>
          <t>—</t>
        </is>
      </c>
      <c r="J875" t="inlineStr">
        <is>
          <t>—</t>
        </is>
      </c>
      <c r="K875" t="inlineStr">
        <is>
          <t>—</t>
        </is>
      </c>
      <c r="L875" t="inlineStr">
        <is>
          <t>—</t>
        </is>
      </c>
      <c r="M875" t="inlineStr">
        <is>
          <t>—</t>
        </is>
      </c>
      <c r="N875" t="inlineStr">
        <is>
          <t>n/a</t>
        </is>
      </c>
      <c r="O875" s="5" t="inlineStr">
        <is>
          <t>No keyword target - keep conversion/navigation focus; use descriptive, non-repeated anchor texts</t>
        </is>
      </c>
      <c r="P875" s="5" t="inlineStr"/>
      <c r="Q875" t="inlineStr">
        <is>
          <t>P4</t>
        </is>
      </c>
      <c r="R875" t="n">
        <v>119</v>
      </c>
      <c r="S875" s="5" t="inlineStr">
        <is>
          <t>Rejoignez les entreprises visionnaires qui ont choisi l'excellence Réserver un Appel Découverte Analyser Mon Site Gratuitement Réserver un Appel Découverte Analyser Votre Site Web Discutons de la façon dont l'IA et le de</t>
        </is>
      </c>
    </row>
    <row r="876">
      <c r="A876" s="3" t="inlineStr">
        <is>
          <t>https://codesommet.com/web-development-company/vancouver</t>
        </is>
      </c>
      <c r="B876" t="n">
        <v>1</v>
      </c>
      <c r="C876" t="inlineStr">
        <is>
          <t>Hero / H1</t>
        </is>
      </c>
      <c r="D876" s="5" t="inlineStr">
        <is>
          <t>Développement Web à Vancouver, Canada : des sites web qui génèrent Tableaux de Bord SaaS</t>
        </is>
      </c>
      <c r="E876" t="inlineStr">
        <is>
          <t>H1</t>
        </is>
      </c>
      <c r="F876" s="5" t="inlineStr">
        <is>
          <t>Commercial (local)</t>
        </is>
      </c>
      <c r="G876" t="inlineStr">
        <is>
          <t>développement web vancouver</t>
        </is>
      </c>
      <c r="H876" t="inlineStr">
        <is>
          <t>PRIMARY</t>
        </is>
      </c>
      <c r="I876" t="inlineStr">
        <is>
          <t>ca</t>
        </is>
      </c>
      <c r="J876" t="inlineStr">
        <is>
          <t>NOT AVAILABLE</t>
        </is>
      </c>
      <c r="K876" t="inlineStr">
        <is>
          <t>NOT AVAILABLE</t>
        </is>
      </c>
      <c r="L876" t="inlineStr">
        <is>
          <t>NOT AVAILABLE</t>
        </is>
      </c>
      <c r="M876" t="inlineStr">
        <is>
          <t>UNAVAILABLE</t>
        </is>
      </c>
      <c r="N876" t="inlineStr">
        <is>
          <t>Yes</t>
        </is>
      </c>
      <c r="O876" s="5" t="inlineStr">
        <is>
          <t>Covered - keep wording; no change</t>
        </is>
      </c>
      <c r="P876" s="5" t="inlineStr"/>
      <c r="Q876" t="inlineStr">
        <is>
          <t>P3</t>
        </is>
      </c>
      <c r="R876" t="n">
        <v>80</v>
      </c>
      <c r="S876" s="5" t="inlineStr">
        <is>
          <t xml:space="preserve">Depuis le Maroc, notre studio de développement web accompagne à distance les entreprises de Vancouver dans la création de sites web alimentés par l'IA et de tableaux de bord intelligents. Nous sommes spécialisés dans la </t>
        </is>
      </c>
    </row>
    <row r="877">
      <c r="A877" s="3" t="inlineStr">
        <is>
          <t>https://codesommet.com/web-development-company/vancouver</t>
        </is>
      </c>
      <c r="B877" t="n">
        <v>2</v>
      </c>
      <c r="C877" t="inlineStr">
        <is>
          <t>Why us / differentiation</t>
        </is>
      </c>
      <c r="D877" s="5" t="inlineStr">
        <is>
          <t>Pourquoi Choisir CodeSommet in Vancouver ?</t>
        </is>
      </c>
      <c r="E877" t="inlineStr">
        <is>
          <t>H2</t>
        </is>
      </c>
      <c r="F877" s="5" t="inlineStr">
        <is>
          <t>Commercial investigation</t>
        </is>
      </c>
      <c r="G877" t="inlineStr">
        <is>
          <t>développement web vancouver</t>
        </is>
      </c>
      <c r="H877" t="inlineStr">
        <is>
          <t>SUPPORTS PRIMARY</t>
        </is>
      </c>
      <c r="I877" t="inlineStr">
        <is>
          <t>ca</t>
        </is>
      </c>
      <c r="J877" t="inlineStr">
        <is>
          <t>NOT AVAILABLE</t>
        </is>
      </c>
      <c r="K877" t="inlineStr">
        <is>
          <t>NOT AVAILABLE</t>
        </is>
      </c>
      <c r="L877" t="inlineStr">
        <is>
          <t>NOT AVAILABLE</t>
        </is>
      </c>
      <c r="M877" t="inlineStr">
        <is>
          <t>UNAVAILABLE</t>
        </is>
      </c>
      <c r="N877" t="inlineStr">
        <is>
          <t>Yes</t>
        </is>
      </c>
      <c r="O877" s="5" t="inlineStr">
        <is>
          <t>Covered - keep wording; no change</t>
        </is>
      </c>
      <c r="P877" s="5" t="inlineStr"/>
      <c r="Q877" t="inlineStr">
        <is>
          <t>P3</t>
        </is>
      </c>
      <c r="R877" t="n">
        <v>150</v>
      </c>
      <c r="S877" s="5" t="inlineStr">
        <is>
          <t>L'expertise locale rencontre les standards mondiaux. Voici ce qui fait de nous le partenaire idéal en développement web à Vancouver. Experts en IA Créez des chatbots intelligents, des workflows d'automatisation, une rech</t>
        </is>
      </c>
    </row>
    <row r="878">
      <c r="A878" s="3" t="inlineStr">
        <is>
          <t>https://codesommet.com/web-development-company/vancouver</t>
        </is>
      </c>
      <c r="B878" t="n">
        <v>3</v>
      </c>
      <c r="C878" t="inlineStr">
        <is>
          <t>Services / features</t>
        </is>
      </c>
      <c r="D878" s="5" t="inlineStr">
        <is>
          <t>Au service des entreprises à Vancouver</t>
        </is>
      </c>
      <c r="E878" t="inlineStr">
        <is>
          <t>H2</t>
        </is>
      </c>
      <c r="F878" s="5" t="inlineStr">
        <is>
          <t>Commercial (local)</t>
        </is>
      </c>
      <c r="G878" t="inlineStr">
        <is>
          <t>développement web vancouver</t>
        </is>
      </c>
      <c r="H878" t="inlineStr">
        <is>
          <t>SUPPORTS PRIMARY</t>
        </is>
      </c>
      <c r="I878" t="inlineStr">
        <is>
          <t>ca</t>
        </is>
      </c>
      <c r="J878" t="inlineStr">
        <is>
          <t>NOT AVAILABLE</t>
        </is>
      </c>
      <c r="K878" t="inlineStr">
        <is>
          <t>NOT AVAILABLE</t>
        </is>
      </c>
      <c r="L878" t="inlineStr">
        <is>
          <t>NOT AVAILABLE</t>
        </is>
      </c>
      <c r="M878" t="inlineStr">
        <is>
          <t>UNAVAILABLE</t>
        </is>
      </c>
      <c r="N878" t="inlineStr">
        <is>
          <t>Yes (supporting block)</t>
        </is>
      </c>
      <c r="O878" s="5" t="inlineStr">
        <is>
          <t>Supports the primary topic - add only if natural</t>
        </is>
      </c>
      <c r="P878" s="5" t="inlineStr"/>
      <c r="Q878" t="inlineStr">
        <is>
          <t>P3</t>
        </is>
      </c>
      <c r="R878" t="n">
        <v>6</v>
      </c>
      <c r="S878" s="5" t="inlineStr">
        <is>
          <t>Projets livrés à distance Expertise Sectorielle</t>
        </is>
      </c>
    </row>
    <row r="879">
      <c r="A879" s="3" t="inlineStr">
        <is>
          <t>https://codesommet.com/web-development-company/vancouver</t>
        </is>
      </c>
      <c r="B879" t="n">
        <v>4</v>
      </c>
      <c r="C879" t="inlineStr">
        <is>
          <t>Content block</t>
        </is>
      </c>
      <c r="D879" s="5" t="inlineStr">
        <is>
          <t>Vancouver Nos Secteurs de Spécialisation</t>
        </is>
      </c>
      <c r="E879" t="inlineStr">
        <is>
          <t>H2</t>
        </is>
      </c>
      <c r="F879" s="5" t="inlineStr">
        <is>
          <t>Commercial (local)</t>
        </is>
      </c>
      <c r="G879" t="inlineStr">
        <is>
          <t>développement web vancouver</t>
        </is>
      </c>
      <c r="H879" t="inlineStr">
        <is>
          <t>SUPPORTS PRIMARY</t>
        </is>
      </c>
      <c r="I879" t="inlineStr">
        <is>
          <t>ca</t>
        </is>
      </c>
      <c r="J879" t="inlineStr">
        <is>
          <t>NOT AVAILABLE</t>
        </is>
      </c>
      <c r="K879" t="inlineStr">
        <is>
          <t>NOT AVAILABLE</t>
        </is>
      </c>
      <c r="L879" t="inlineStr">
        <is>
          <t>NOT AVAILABLE</t>
        </is>
      </c>
      <c r="M879" t="inlineStr">
        <is>
          <t>UNAVAILABLE</t>
        </is>
      </c>
      <c r="N879" t="inlineStr">
        <is>
          <t>Yes</t>
        </is>
      </c>
      <c r="O879" s="5" t="inlineStr">
        <is>
          <t>Covered - keep wording; no change</t>
        </is>
      </c>
      <c r="P879" s="5" t="inlineStr"/>
      <c r="Q879" t="inlineStr">
        <is>
          <t>P3</t>
        </is>
      </c>
      <c r="R879" t="n">
        <v>192</v>
      </c>
      <c r="S879" s="5" t="inlineStr">
        <is>
          <t xml:space="preserve">Une expertise approfondie dans les secteurs clés de Vancouver . Nous comprenons les défis propres à votre secteur et ses exigences de conformité. FinTech Plateformes financières sécurisées avec traitement des paiements, </t>
        </is>
      </c>
    </row>
    <row r="880">
      <c r="A880" s="3" t="inlineStr">
        <is>
          <t>https://codesommet.com/web-development-company/vancouver</t>
        </is>
      </c>
      <c r="B880" t="n">
        <v>5</v>
      </c>
      <c r="C880" t="inlineStr">
        <is>
          <t>Testimonials / social proof</t>
        </is>
      </c>
      <c r="D880" s="5" t="inlineStr">
        <is>
          <t>Histoires de réussite à Vancouver</t>
        </is>
      </c>
      <c r="E880" t="inlineStr">
        <is>
          <t>H2</t>
        </is>
      </c>
      <c r="F880" s="5" t="inlineStr">
        <is>
          <t>Commercial investigation</t>
        </is>
      </c>
      <c r="G880" t="inlineStr">
        <is>
          <t>développement web vancouver</t>
        </is>
      </c>
      <c r="H880" t="inlineStr">
        <is>
          <t>SUPPORTS PRIMARY</t>
        </is>
      </c>
      <c r="I880" t="inlineStr">
        <is>
          <t>ca</t>
        </is>
      </c>
      <c r="J880" t="inlineStr">
        <is>
          <t>NOT AVAILABLE</t>
        </is>
      </c>
      <c r="K880" t="inlineStr">
        <is>
          <t>NOT AVAILABLE</t>
        </is>
      </c>
      <c r="L880" t="inlineStr">
        <is>
          <t>NOT AVAILABLE</t>
        </is>
      </c>
      <c r="M880" t="inlineStr">
        <is>
          <t>UNAVAILABLE</t>
        </is>
      </c>
      <c r="N880" t="inlineStr">
        <is>
          <t>Yes (supporting block)</t>
        </is>
      </c>
      <c r="O880" s="5" t="inlineStr">
        <is>
          <t>Supports the primary topic - add only if natural</t>
        </is>
      </c>
      <c r="P880" s="5" t="inlineStr"/>
      <c r="Q880" t="inlineStr">
        <is>
          <t>P3</t>
        </is>
      </c>
      <c r="R880" t="n">
        <v>60</v>
      </c>
      <c r="S880" s="5" t="inlineStr">
        <is>
          <t>Des projets réels, des résultats concrets. Découvrez comment nous avons aidé des entreprises basées à Vancouver à atteindre leurs objectifs numériques. Éducation Plateforme d\x27inscription en ligne GLS Sprachenzentrum A</t>
        </is>
      </c>
    </row>
    <row r="881">
      <c r="A881" s="3" t="inlineStr">
        <is>
          <t>https://codesommet.com/web-development-company/vancouver</t>
        </is>
      </c>
      <c r="B881" t="n">
        <v>6</v>
      </c>
      <c r="C881" t="inlineStr">
        <is>
          <t>Process / how it works</t>
        </is>
      </c>
      <c r="D881" s="5" t="inlineStr">
        <is>
          <t>Comment Nous Concevons des Plateformes Web Sur Mesure pour les Entreprises de Vancouver</t>
        </is>
      </c>
      <c r="E881" t="inlineStr">
        <is>
          <t>H2</t>
        </is>
      </c>
      <c r="F881" s="5" t="inlineStr">
        <is>
          <t>Informational / commercial</t>
        </is>
      </c>
      <c r="G881" t="inlineStr">
        <is>
          <t>développement web vancouver</t>
        </is>
      </c>
      <c r="H881" t="inlineStr">
        <is>
          <t>SUPPORTS PRIMARY</t>
        </is>
      </c>
      <c r="I881" t="inlineStr">
        <is>
          <t>ca</t>
        </is>
      </c>
      <c r="J881" t="inlineStr">
        <is>
          <t>NOT AVAILABLE</t>
        </is>
      </c>
      <c r="K881" t="inlineStr">
        <is>
          <t>NOT AVAILABLE</t>
        </is>
      </c>
      <c r="L881" t="inlineStr">
        <is>
          <t>NOT AVAILABLE</t>
        </is>
      </c>
      <c r="M881" t="inlineStr">
        <is>
          <t>UNAVAILABLE</t>
        </is>
      </c>
      <c r="N881" t="inlineStr">
        <is>
          <t>Yes</t>
        </is>
      </c>
      <c r="O881" s="5" t="inlineStr">
        <is>
          <t>Covered - keep wording; no change</t>
        </is>
      </c>
      <c r="P881" s="5" t="inlineStr"/>
      <c r="Q881" t="inlineStr">
        <is>
          <t>P3</t>
        </is>
      </c>
      <c r="R881" t="n">
        <v>138</v>
      </c>
      <c r="S881" s="5" t="inlineStr">
        <is>
          <t xml:space="preserve">Plateformes web et tableaux de bord sur mesure pour les entreprises de Vancouver • Tech Climatique • 13 mois Notre Approche Les entreprises de Vancouver ont besoin de sites web rapides et de tableaux de bord capables de </t>
        </is>
      </c>
    </row>
    <row r="882">
      <c r="A882" s="3" t="inlineStr">
        <is>
          <t>https://codesommet.com/web-development-company/vancouver</t>
        </is>
      </c>
      <c r="B882" t="n">
        <v>7</v>
      </c>
      <c r="C882" t="inlineStr">
        <is>
          <t>Pricing / offers</t>
        </is>
      </c>
      <c r="D882" s="5" t="inlineStr">
        <is>
          <t>Solutions sur mesure, tarification transparente</t>
        </is>
      </c>
      <c r="E882" t="inlineStr">
        <is>
          <t>H2</t>
        </is>
      </c>
      <c r="F882" s="5" t="inlineStr">
        <is>
          <t>Commercial / transactional</t>
        </is>
      </c>
      <c r="G882" t="inlineStr">
        <is>
          <t>développement web vancouver</t>
        </is>
      </c>
      <c r="H882" t="inlineStr">
        <is>
          <t>SUPPORTS PRIMARY</t>
        </is>
      </c>
      <c r="I882" t="inlineStr">
        <is>
          <t>ca</t>
        </is>
      </c>
      <c r="J882" t="inlineStr">
        <is>
          <t>NOT AVAILABLE</t>
        </is>
      </c>
      <c r="K882" t="inlineStr">
        <is>
          <t>NOT AVAILABLE</t>
        </is>
      </c>
      <c r="L882" t="inlineStr">
        <is>
          <t>NOT AVAILABLE</t>
        </is>
      </c>
      <c r="M882" t="inlineStr">
        <is>
          <t>UNAVAILABLE</t>
        </is>
      </c>
      <c r="N882" t="inlineStr">
        <is>
          <t>Yes (supporting block)</t>
        </is>
      </c>
      <c r="O882" s="5" t="inlineStr">
        <is>
          <t>Supports the primary topic - add only if natural</t>
        </is>
      </c>
      <c r="P882" s="5" t="inlineStr"/>
      <c r="Q882" t="inlineStr">
        <is>
          <t>P3</t>
        </is>
      </c>
      <c r="R882" t="n">
        <v>188</v>
      </c>
      <c r="S882" s="5" t="inlineStr">
        <is>
          <t>Réservez un appel découverte pour discuter de vos besoins spécifiques et obtenir un devis personnalisé Recommandé Développement Web Site web complet avec fonctionnalités IA, tableaux de bord et design premium livré en 2-</t>
        </is>
      </c>
    </row>
    <row r="883">
      <c r="A883" s="3" t="inlineStr">
        <is>
          <t>https://codesommet.com/web-development-company/vancouver</t>
        </is>
      </c>
      <c r="B883" t="n">
        <v>8</v>
      </c>
      <c r="C883" t="inlineStr">
        <is>
          <t>CTA / conversion</t>
        </is>
      </c>
      <c r="D883" s="5" t="inlineStr">
        <is>
          <t>Prêt à améliorer votre site web ? Vancouver ?</t>
        </is>
      </c>
      <c r="E883" t="inlineStr">
        <is>
          <t>H2</t>
        </is>
      </c>
      <c r="F883" s="5" t="inlineStr">
        <is>
          <t>Conversion</t>
        </is>
      </c>
      <c r="G883" t="inlineStr">
        <is>
          <t>—</t>
        </is>
      </c>
      <c r="H883" t="inlineStr">
        <is>
          <t>NONE</t>
        </is>
      </c>
      <c r="I883" t="inlineStr">
        <is>
          <t>—</t>
        </is>
      </c>
      <c r="J883" t="inlineStr">
        <is>
          <t>—</t>
        </is>
      </c>
      <c r="K883" t="inlineStr">
        <is>
          <t>—</t>
        </is>
      </c>
      <c r="L883" t="inlineStr">
        <is>
          <t>—</t>
        </is>
      </c>
      <c r="M883" t="inlineStr">
        <is>
          <t>—</t>
        </is>
      </c>
      <c r="N883" t="inlineStr">
        <is>
          <t>n/a</t>
        </is>
      </c>
      <c r="O883" s="5" t="inlineStr">
        <is>
          <t>No keyword target - keep conversion/navigation focus; use descriptive, non-repeated anchor texts</t>
        </is>
      </c>
      <c r="P883" s="5" t="inlineStr"/>
      <c r="Q883" t="inlineStr">
        <is>
          <t>P4</t>
        </is>
      </c>
      <c r="R883" t="n">
        <v>39</v>
      </c>
      <c r="S883" s="5" t="inlineStr">
        <is>
          <t xml:space="preserve">Obtenez d'abord une analyse complète gratuite : Audit SEO Vérification de performance Revue de design Recommandations propulsées par l'IA Analyser Votre Site Web - 100 % Gratuit Aucune carte bancaire requise • Résultats </t>
        </is>
      </c>
    </row>
    <row r="884">
      <c r="A884" s="3" t="inlineStr">
        <is>
          <t>https://codesommet.com/web-development-company/vancouver</t>
        </is>
      </c>
      <c r="B884" t="n">
        <v>9</v>
      </c>
      <c r="C884" t="inlineStr">
        <is>
          <t>Why us / differentiation</t>
        </is>
      </c>
      <c r="D884" s="5" t="inlineStr">
        <is>
          <t>CodeSommet Vancouver vs Others</t>
        </is>
      </c>
      <c r="E884" t="inlineStr">
        <is>
          <t>H2</t>
        </is>
      </c>
      <c r="F884" s="5" t="inlineStr">
        <is>
          <t>Commercial investigation</t>
        </is>
      </c>
      <c r="G884" t="inlineStr">
        <is>
          <t>développement web vancouver</t>
        </is>
      </c>
      <c r="H884" t="inlineStr">
        <is>
          <t>SUPPORTS PRIMARY</t>
        </is>
      </c>
      <c r="I884" t="inlineStr">
        <is>
          <t>ca</t>
        </is>
      </c>
      <c r="J884" t="inlineStr">
        <is>
          <t>NOT AVAILABLE</t>
        </is>
      </c>
      <c r="K884" t="inlineStr">
        <is>
          <t>NOT AVAILABLE</t>
        </is>
      </c>
      <c r="L884" t="inlineStr">
        <is>
          <t>NOT AVAILABLE</t>
        </is>
      </c>
      <c r="M884" t="inlineStr">
        <is>
          <t>UNAVAILABLE</t>
        </is>
      </c>
      <c r="N884" t="inlineStr">
        <is>
          <t>Yes</t>
        </is>
      </c>
      <c r="O884" s="5" t="inlineStr">
        <is>
          <t>Covered - keep wording; no change</t>
        </is>
      </c>
      <c r="P884" s="5" t="inlineStr"/>
      <c r="Q884" t="inlineStr">
        <is>
          <t>P3</t>
        </is>
      </c>
      <c r="R884" t="n">
        <v>95</v>
      </c>
      <c r="S884" s="5" t="inlineStr">
        <is>
          <t>Découvrez pourquoi Vancouver les entreprises choisissent CodeSommet plutôt que d'autres agences locales et internationales. Fonctionnalité CodeSommet Vancouver Autres Vancouver Agences Agences Internationales Révisions i</t>
        </is>
      </c>
    </row>
    <row r="885">
      <c r="A885" s="3" t="inlineStr">
        <is>
          <t>https://codesommet.com/web-development-company/vancouver</t>
        </is>
      </c>
      <c r="B885" t="n">
        <v>10</v>
      </c>
      <c r="C885" t="inlineStr">
        <is>
          <t>Testimonials / social proof</t>
        </is>
      </c>
      <c r="D885" s="5" t="inlineStr">
        <is>
          <t>Ce que nos clients de Vancouver disent de nous</t>
        </is>
      </c>
      <c r="E885" t="inlineStr">
        <is>
          <t>H2</t>
        </is>
      </c>
      <c r="F885" s="5" t="inlineStr">
        <is>
          <t>Commercial investigation</t>
        </is>
      </c>
      <c r="G885" t="inlineStr">
        <is>
          <t>développement web vancouver</t>
        </is>
      </c>
      <c r="H885" t="inlineStr">
        <is>
          <t>SUPPORTS PRIMARY</t>
        </is>
      </c>
      <c r="I885" t="inlineStr">
        <is>
          <t>ca</t>
        </is>
      </c>
      <c r="J885" t="inlineStr">
        <is>
          <t>NOT AVAILABLE</t>
        </is>
      </c>
      <c r="K885" t="inlineStr">
        <is>
          <t>NOT AVAILABLE</t>
        </is>
      </c>
      <c r="L885" t="inlineStr">
        <is>
          <t>NOT AVAILABLE</t>
        </is>
      </c>
      <c r="M885" t="inlineStr">
        <is>
          <t>UNAVAILABLE</t>
        </is>
      </c>
      <c r="N885" t="inlineStr">
        <is>
          <t>Yes (supporting block)</t>
        </is>
      </c>
      <c r="O885" s="5" t="inlineStr">
        <is>
          <t>Supports the primary topic - add only if natural</t>
        </is>
      </c>
      <c r="P885" s="5" t="inlineStr"/>
      <c r="Q885" t="inlineStr">
        <is>
          <t>P3</t>
        </is>
      </c>
      <c r="R885" t="n">
        <v>103</v>
      </c>
      <c r="S885" s="5" t="inlineStr">
        <is>
          <t>Ne nous croyez pas sur parole. Écoutez les entreprises de Vancouver qui ont obtenu des résultats remarquables avec CodeSommet. "Une collaboration professionnelle du début à la fin. Je recommande sans hésiter." Mohammed C</t>
        </is>
      </c>
    </row>
    <row r="886">
      <c r="A886" s="3" t="inlineStr">
        <is>
          <t>https://codesommet.com/web-development-company/vancouver</t>
        </is>
      </c>
      <c r="B886" t="n">
        <v>11</v>
      </c>
      <c r="C886" t="inlineStr">
        <is>
          <t>Process / how it works</t>
        </is>
      </c>
      <c r="D886" s="5" t="inlineStr">
        <is>
          <t>Comment démarrer en 3 étapes simples</t>
        </is>
      </c>
      <c r="E886" t="inlineStr">
        <is>
          <t>H2</t>
        </is>
      </c>
      <c r="F886" s="5" t="inlineStr">
        <is>
          <t>Informational / commercial</t>
        </is>
      </c>
      <c r="G886" t="inlineStr">
        <is>
          <t>développement web vancouver</t>
        </is>
      </c>
      <c r="H886" t="inlineStr">
        <is>
          <t>SUPPORTS PRIMARY</t>
        </is>
      </c>
      <c r="I886" t="inlineStr">
        <is>
          <t>ca</t>
        </is>
      </c>
      <c r="J886" t="inlineStr">
        <is>
          <t>NOT AVAILABLE</t>
        </is>
      </c>
      <c r="K886" t="inlineStr">
        <is>
          <t>NOT AVAILABLE</t>
        </is>
      </c>
      <c r="L886" t="inlineStr">
        <is>
          <t>NOT AVAILABLE</t>
        </is>
      </c>
      <c r="M886" t="inlineStr">
        <is>
          <t>UNAVAILABLE</t>
        </is>
      </c>
      <c r="N886" t="inlineStr">
        <is>
          <t>Yes (supporting block)</t>
        </is>
      </c>
      <c r="O886" s="5" t="inlineStr">
        <is>
          <t>Supports the primary topic - add only if natural</t>
        </is>
      </c>
      <c r="P886" s="5" t="inlineStr"/>
      <c r="Q886" t="inlineStr">
        <is>
          <t>P3</t>
        </is>
      </c>
      <c r="R886" t="n">
        <v>286</v>
      </c>
      <c r="S886" s="5" t="inlineStr">
        <is>
          <t>Du premier appel à la livraison du projet, découvrez exactement comment nous travaillons ensemble Étape 1 Abonnement 1 projet actif Révisions illimitées Design &amp; développement SEO &amp; contenu Recommandé Développement de Si</t>
        </is>
      </c>
    </row>
    <row r="887">
      <c r="A887" s="3" t="inlineStr">
        <is>
          <t>https://codesommet.com/web-development-company/vancouver</t>
        </is>
      </c>
      <c r="B887" t="n">
        <v>12</v>
      </c>
      <c r="C887" t="inlineStr">
        <is>
          <t>FAQ</t>
        </is>
      </c>
      <c r="D887" s="5" t="inlineStr">
        <is>
          <t>Questions fréquemment posées sur le Développement Web à Vancouver</t>
        </is>
      </c>
      <c r="E887" t="inlineStr">
        <is>
          <t>H2</t>
        </is>
      </c>
      <c r="F887" s="5" t="inlineStr">
        <is>
          <t>Informational (pre-purchase questions)</t>
        </is>
      </c>
      <c r="G887" t="inlineStr">
        <is>
          <t>développement web vancouver</t>
        </is>
      </c>
      <c r="H887" t="inlineStr">
        <is>
          <t>SUPPORTS PRIMARY</t>
        </is>
      </c>
      <c r="I887" t="inlineStr">
        <is>
          <t>ca</t>
        </is>
      </c>
      <c r="J887" t="inlineStr">
        <is>
          <t>NOT AVAILABLE</t>
        </is>
      </c>
      <c r="K887" t="inlineStr">
        <is>
          <t>NOT AVAILABLE</t>
        </is>
      </c>
      <c r="L887" t="inlineStr">
        <is>
          <t>NOT AVAILABLE</t>
        </is>
      </c>
      <c r="M887" t="inlineStr">
        <is>
          <t>UNAVAILABLE</t>
        </is>
      </c>
      <c r="N887" t="inlineStr">
        <is>
          <t>Yes</t>
        </is>
      </c>
      <c r="O887" s="5" t="inlineStr">
        <is>
          <t>Covered - keep wording; no change</t>
        </is>
      </c>
      <c r="P887" s="5" t="inlineStr"/>
      <c r="Q887" t="inlineStr">
        <is>
          <t>P3</t>
        </is>
      </c>
      <c r="R887" t="n">
        <v>380</v>
      </c>
      <c r="S887" s="5" t="inlineStr">
        <is>
          <t>Des questions ? Nous avons les réponses. Voici les questions les plus fréquentes des entreprises de Vancouver. 1 Pourquoi choisir CodeSommet parmi les nombreuses agences de développement web de Vancouver ? Parce que nous</t>
        </is>
      </c>
    </row>
    <row r="888">
      <c r="A888" s="3" t="inlineStr">
        <is>
          <t>https://codesommet.com/web-development-company/vancouver</t>
        </is>
      </c>
      <c r="B888" t="n">
        <v>13</v>
      </c>
      <c r="C888" t="inlineStr">
        <is>
          <t>Internal-link block</t>
        </is>
      </c>
      <c r="D888" s="5" t="inlineStr">
        <is>
          <t>Nous Desservons Également</t>
        </is>
      </c>
      <c r="E888" t="inlineStr">
        <is>
          <t>H2</t>
        </is>
      </c>
      <c r="F888" s="5" t="inlineStr">
        <is>
          <t>Navigation</t>
        </is>
      </c>
      <c r="G888" t="inlineStr">
        <is>
          <t>—</t>
        </is>
      </c>
      <c r="H888" t="inlineStr">
        <is>
          <t>NONE</t>
        </is>
      </c>
      <c r="I888" t="inlineStr">
        <is>
          <t>—</t>
        </is>
      </c>
      <c r="J888" t="inlineStr">
        <is>
          <t>—</t>
        </is>
      </c>
      <c r="K888" t="inlineStr">
        <is>
          <t>—</t>
        </is>
      </c>
      <c r="L888" t="inlineStr">
        <is>
          <t>—</t>
        </is>
      </c>
      <c r="M888" t="inlineStr">
        <is>
          <t>—</t>
        </is>
      </c>
      <c r="N888" t="inlineStr">
        <is>
          <t>n/a</t>
        </is>
      </c>
      <c r="O888" s="5" t="inlineStr">
        <is>
          <t>No keyword target - keep conversion/navigation focus; use descriptive, non-repeated anchor texts</t>
        </is>
      </c>
      <c r="P888" s="5" t="inlineStr"/>
      <c r="Q888" t="inlineStr">
        <is>
          <t>P4</t>
        </is>
      </c>
      <c r="R888" t="n">
        <v>30</v>
      </c>
      <c r="S888" s="5" t="inlineStr">
        <is>
          <t>Explorez nos services de développement web dans d'autres villes à travers le monde San Francisco États-Unis Seattle États-Unis Los Angeles États-Unis Denver États-Unis Austin États-Unis Chicago États-Unis Voir Tout Locat</t>
        </is>
      </c>
    </row>
    <row r="889">
      <c r="A889" s="3" t="inlineStr">
        <is>
          <t>https://codesommet.com/web-development-company/vancouver</t>
        </is>
      </c>
      <c r="B889" t="n">
        <v>14</v>
      </c>
      <c r="C889" t="inlineStr">
        <is>
          <t>Internal-link block</t>
        </is>
      </c>
      <c r="D889" s="5" t="inlineStr">
        <is>
          <t>Explorer davantage</t>
        </is>
      </c>
      <c r="E889" t="inlineStr">
        <is>
          <t>H2</t>
        </is>
      </c>
      <c r="F889" s="5" t="inlineStr">
        <is>
          <t>Navigation</t>
        </is>
      </c>
      <c r="G889" t="inlineStr">
        <is>
          <t>—</t>
        </is>
      </c>
      <c r="H889" t="inlineStr">
        <is>
          <t>NONE</t>
        </is>
      </c>
      <c r="I889" t="inlineStr">
        <is>
          <t>—</t>
        </is>
      </c>
      <c r="J889" t="inlineStr">
        <is>
          <t>—</t>
        </is>
      </c>
      <c r="K889" t="inlineStr">
        <is>
          <t>—</t>
        </is>
      </c>
      <c r="L889" t="inlineStr">
        <is>
          <t>—</t>
        </is>
      </c>
      <c r="M889" t="inlineStr">
        <is>
          <t>—</t>
        </is>
      </c>
      <c r="N889" t="inlineStr">
        <is>
          <t>n/a</t>
        </is>
      </c>
      <c r="O889" s="5" t="inlineStr">
        <is>
          <t>No keyword target - keep conversion/navigation focus; use descriptive, non-repeated anchor texts</t>
        </is>
      </c>
      <c r="P889" s="5" t="inlineStr"/>
      <c r="Q889" t="inlineStr">
        <is>
          <t>P4</t>
        </is>
      </c>
      <c r="R889" t="n">
        <v>83</v>
      </c>
      <c r="S889" s="5" t="inlineStr">
        <is>
          <t>Découvrez ce qui fait de CodeSommet votre partenaire idéal en développement web Audit Gratuit de Site Web Obtenez une analyse alimentée par l'IA avec plus de 40 vérifications En savoir plus Voir Nos Projets Découvrez les</t>
        </is>
      </c>
    </row>
    <row r="890">
      <c r="A890" s="3" t="inlineStr">
        <is>
          <t>https://codesommet.com/web-development-company/vancouver</t>
        </is>
      </c>
      <c r="B890" t="n">
        <v>15</v>
      </c>
      <c r="C890" t="inlineStr">
        <is>
          <t>CTA / conversion</t>
        </is>
      </c>
      <c r="D890" s="5" t="inlineStr">
        <is>
          <t>Prêt à Créer Quelque Chose d'Extraordinaire ?</t>
        </is>
      </c>
      <c r="E890" t="inlineStr">
        <is>
          <t>H2</t>
        </is>
      </c>
      <c r="F890" s="5" t="inlineStr">
        <is>
          <t>Conversion</t>
        </is>
      </c>
      <c r="G890" t="inlineStr">
        <is>
          <t>—</t>
        </is>
      </c>
      <c r="H890" t="inlineStr">
        <is>
          <t>NONE</t>
        </is>
      </c>
      <c r="I890" t="inlineStr">
        <is>
          <t>—</t>
        </is>
      </c>
      <c r="J890" t="inlineStr">
        <is>
          <t>—</t>
        </is>
      </c>
      <c r="K890" t="inlineStr">
        <is>
          <t>—</t>
        </is>
      </c>
      <c r="L890" t="inlineStr">
        <is>
          <t>—</t>
        </is>
      </c>
      <c r="M890" t="inlineStr">
        <is>
          <t>—</t>
        </is>
      </c>
      <c r="N890" t="inlineStr">
        <is>
          <t>n/a</t>
        </is>
      </c>
      <c r="O890" s="5" t="inlineStr">
        <is>
          <t>No keyword target - keep conversion/navigation focus; use descriptive, non-repeated anchor texts</t>
        </is>
      </c>
      <c r="P890" s="5" t="inlineStr"/>
      <c r="Q890" t="inlineStr">
        <is>
          <t>P4</t>
        </is>
      </c>
      <c r="R890" t="n">
        <v>119</v>
      </c>
      <c r="S890" s="5" t="inlineStr">
        <is>
          <t>Rejoignez les entreprises visionnaires qui ont choisi l'excellence Réserver un Appel Découverte Analyser Mon Site Gratuitement Réserver un Appel Découverte Analyser Votre Site Web Discutons de la façon dont l'IA et le de</t>
        </is>
      </c>
    </row>
    <row r="891">
      <c r="A891" s="3" t="inlineStr">
        <is>
          <t>https://codesommet.com/web-development-company/tunis</t>
        </is>
      </c>
      <c r="B891" t="n">
        <v>1</v>
      </c>
      <c r="C891" t="inlineStr">
        <is>
          <t>Hero / H1</t>
        </is>
      </c>
      <c r="D891" s="5" t="inlineStr">
        <is>
          <t>Développement Web à Tunis, Tunisie : des sites web qui génèrent CROISSANCE COMMERCIALE À TUNIS</t>
        </is>
      </c>
      <c r="E891" t="inlineStr">
        <is>
          <t>H1</t>
        </is>
      </c>
      <c r="F891" s="5" t="inlineStr">
        <is>
          <t>Commercial (local)</t>
        </is>
      </c>
      <c r="G891" t="inlineStr">
        <is>
          <t>développement web tunis</t>
        </is>
      </c>
      <c r="H891" t="inlineStr">
        <is>
          <t>PRIMARY</t>
        </is>
      </c>
      <c r="I891" t="inlineStr">
        <is>
          <t>tn</t>
        </is>
      </c>
      <c r="J891" t="n">
        <v>20</v>
      </c>
      <c r="K891" t="inlineStr">
        <is>
          <t>NOT AVAILABLE</t>
        </is>
      </c>
      <c r="L891" t="n">
        <v>0</v>
      </c>
      <c r="M891" t="inlineStr">
        <is>
          <t>MEASURED</t>
        </is>
      </c>
      <c r="N891" t="inlineStr">
        <is>
          <t>Yes</t>
        </is>
      </c>
      <c r="O891" s="5" t="inlineStr">
        <is>
          <t>Covered - keep wording; no change</t>
        </is>
      </c>
      <c r="P891" s="5" t="inlineStr"/>
      <c r="Q891" t="inlineStr">
        <is>
          <t>P3</t>
        </is>
      </c>
      <c r="R891" t="n">
        <v>69</v>
      </c>
      <c r="S891" s="5" t="inlineStr">
        <is>
          <t>Studio de développement web basé au Maroc au service des entreprises du monde entier. Nous créons des sites web alimentés par l'IA et des tableaux de bord intelligents à distance. Sites web de qualité premium livrés en 7</t>
        </is>
      </c>
    </row>
    <row r="892">
      <c r="A892" s="3" t="inlineStr">
        <is>
          <t>https://codesommet.com/web-development-company/tunis</t>
        </is>
      </c>
      <c r="B892" t="n">
        <v>2</v>
      </c>
      <c r="C892" t="inlineStr">
        <is>
          <t>Why us / differentiation</t>
        </is>
      </c>
      <c r="D892" s="5" t="inlineStr">
        <is>
          <t>Pourquoi Choisir CodeSommet in Tunis ?</t>
        </is>
      </c>
      <c r="E892" t="inlineStr">
        <is>
          <t>H2</t>
        </is>
      </c>
      <c r="F892" s="5" t="inlineStr">
        <is>
          <t>Commercial investigation</t>
        </is>
      </c>
      <c r="G892" t="inlineStr">
        <is>
          <t>développement web tunis</t>
        </is>
      </c>
      <c r="H892" t="inlineStr">
        <is>
          <t>SUPPORTS PRIMARY</t>
        </is>
      </c>
      <c r="I892" t="inlineStr">
        <is>
          <t>tn</t>
        </is>
      </c>
      <c r="J892" t="n">
        <v>20</v>
      </c>
      <c r="K892" t="inlineStr">
        <is>
          <t>NOT AVAILABLE</t>
        </is>
      </c>
      <c r="L892" t="n">
        <v>0</v>
      </c>
      <c r="M892" t="inlineStr">
        <is>
          <t>MEASURED</t>
        </is>
      </c>
      <c r="N892" t="inlineStr">
        <is>
          <t>Yes</t>
        </is>
      </c>
      <c r="O892" s="5" t="inlineStr">
        <is>
          <t>Covered - keep wording; no change</t>
        </is>
      </c>
      <c r="P892" s="5" t="inlineStr"/>
      <c r="Q892" t="inlineStr">
        <is>
          <t>P3</t>
        </is>
      </c>
      <c r="R892" t="n">
        <v>160</v>
      </c>
      <c r="S892" s="5" t="inlineStr">
        <is>
          <t>L'expertise locale rencontre les standards mondiaux. Voici ce qui fait de nous le partenaire idéal en développement web à Tunis. Experts en IA Créez des chatbots intelligents, des flux d'automatisation, des recherches pr</t>
        </is>
      </c>
    </row>
    <row r="893">
      <c r="A893" s="3" t="inlineStr">
        <is>
          <t>https://codesommet.com/web-development-company/tunis</t>
        </is>
      </c>
      <c r="B893" t="n">
        <v>3</v>
      </c>
      <c r="C893" t="inlineStr">
        <is>
          <t>Services / features</t>
        </is>
      </c>
      <c r="D893" s="5" t="inlineStr">
        <is>
          <t>Au service des entreprises à Tunis</t>
        </is>
      </c>
      <c r="E893" t="inlineStr">
        <is>
          <t>H2</t>
        </is>
      </c>
      <c r="F893" s="5" t="inlineStr">
        <is>
          <t>Commercial (local)</t>
        </is>
      </c>
      <c r="G893" t="inlineStr">
        <is>
          <t>développement web tunis</t>
        </is>
      </c>
      <c r="H893" t="inlineStr">
        <is>
          <t>SUPPORTS PRIMARY</t>
        </is>
      </c>
      <c r="I893" t="inlineStr">
        <is>
          <t>tn</t>
        </is>
      </c>
      <c r="J893" t="n">
        <v>20</v>
      </c>
      <c r="K893" t="inlineStr">
        <is>
          <t>NOT AVAILABLE</t>
        </is>
      </c>
      <c r="L893" t="n">
        <v>0</v>
      </c>
      <c r="M893" t="inlineStr">
        <is>
          <t>MEASURED</t>
        </is>
      </c>
      <c r="N893" t="inlineStr">
        <is>
          <t>Yes (supporting block)</t>
        </is>
      </c>
      <c r="O893" s="5" t="inlineStr">
        <is>
          <t>Supports the primary topic - add only if natural</t>
        </is>
      </c>
      <c r="P893" s="5" t="inlineStr"/>
      <c r="Q893" t="inlineStr">
        <is>
          <t>P3</t>
        </is>
      </c>
      <c r="R893" t="n">
        <v>6</v>
      </c>
      <c r="S893" s="5" t="inlineStr">
        <is>
          <t>Projets livrés à distance Expertise Sectorielle</t>
        </is>
      </c>
    </row>
    <row r="894">
      <c r="A894" s="3" t="inlineStr">
        <is>
          <t>https://codesommet.com/web-development-company/tunis</t>
        </is>
      </c>
      <c r="B894" t="n">
        <v>4</v>
      </c>
      <c r="C894" t="inlineStr">
        <is>
          <t>Content block</t>
        </is>
      </c>
      <c r="D894" s="5" t="inlineStr">
        <is>
          <t>Tunis Nos Secteurs de Spécialisation</t>
        </is>
      </c>
      <c r="E894" t="inlineStr">
        <is>
          <t>H2</t>
        </is>
      </c>
      <c r="F894" s="5" t="inlineStr">
        <is>
          <t>Commercial (local)</t>
        </is>
      </c>
      <c r="G894" t="inlineStr">
        <is>
          <t>développement web tunis</t>
        </is>
      </c>
      <c r="H894" t="inlineStr">
        <is>
          <t>SUPPORTS PRIMARY</t>
        </is>
      </c>
      <c r="I894" t="inlineStr">
        <is>
          <t>tn</t>
        </is>
      </c>
      <c r="J894" t="n">
        <v>20</v>
      </c>
      <c r="K894" t="inlineStr">
        <is>
          <t>NOT AVAILABLE</t>
        </is>
      </c>
      <c r="L894" t="n">
        <v>0</v>
      </c>
      <c r="M894" t="inlineStr">
        <is>
          <t>MEASURED</t>
        </is>
      </c>
      <c r="N894" t="inlineStr">
        <is>
          <t>Yes</t>
        </is>
      </c>
      <c r="O894" s="5" t="inlineStr">
        <is>
          <t>Covered - keep wording; no change</t>
        </is>
      </c>
      <c r="P894" s="5" t="inlineStr"/>
      <c r="Q894" t="inlineStr">
        <is>
          <t>P3</t>
        </is>
      </c>
      <c r="R894" t="n">
        <v>192</v>
      </c>
      <c r="S894" s="5" t="inlineStr">
        <is>
          <t>Une expertise approfondie dans les secteurs clés de Tunis . Nous comprenons les défis propres à votre secteur et ses exigences de conformité. FinTech Plateformes financières sécurisées avec traitement des paiements, conf</t>
        </is>
      </c>
    </row>
    <row r="895">
      <c r="A895" s="3" t="inlineStr">
        <is>
          <t>https://codesommet.com/web-development-company/tunis</t>
        </is>
      </c>
      <c r="B895" t="n">
        <v>5</v>
      </c>
      <c r="C895" t="inlineStr">
        <is>
          <t>Testimonials / social proof</t>
        </is>
      </c>
      <c r="D895" s="5" t="inlineStr">
        <is>
          <t>Histoires de réussite à Tunis</t>
        </is>
      </c>
      <c r="E895" t="inlineStr">
        <is>
          <t>H2</t>
        </is>
      </c>
      <c r="F895" s="5" t="inlineStr">
        <is>
          <t>Commercial investigation</t>
        </is>
      </c>
      <c r="G895" t="inlineStr">
        <is>
          <t>développement web tunis</t>
        </is>
      </c>
      <c r="H895" t="inlineStr">
        <is>
          <t>SUPPORTS PRIMARY</t>
        </is>
      </c>
      <c r="I895" t="inlineStr">
        <is>
          <t>tn</t>
        </is>
      </c>
      <c r="J895" t="n">
        <v>20</v>
      </c>
      <c r="K895" t="inlineStr">
        <is>
          <t>NOT AVAILABLE</t>
        </is>
      </c>
      <c r="L895" t="n">
        <v>0</v>
      </c>
      <c r="M895" t="inlineStr">
        <is>
          <t>MEASURED</t>
        </is>
      </c>
      <c r="N895" t="inlineStr">
        <is>
          <t>Yes (supporting block)</t>
        </is>
      </c>
      <c r="O895" s="5" t="inlineStr">
        <is>
          <t>Supports the primary topic - add only if natural</t>
        </is>
      </c>
      <c r="P895" s="5" t="inlineStr"/>
      <c r="Q895" t="inlineStr">
        <is>
          <t>P3</t>
        </is>
      </c>
      <c r="R895" t="n">
        <v>63</v>
      </c>
      <c r="S895" s="5" t="inlineStr">
        <is>
          <t>Des projets réels, des résultats concrets. Découvrez comment nous avons aidé des entreprises basées à Tunis à atteindre leurs objectifs numériques. Beauté Boutique en ligne avec gestion des commandes GlamWorlds Maroc Saa</t>
        </is>
      </c>
    </row>
    <row r="896">
      <c r="A896" s="3" t="inlineStr">
        <is>
          <t>https://codesommet.com/web-development-company/tunis</t>
        </is>
      </c>
      <c r="B896" t="n">
        <v>6</v>
      </c>
      <c r="C896" t="inlineStr">
        <is>
          <t>Process / how it works</t>
        </is>
      </c>
      <c r="D896" s="5" t="inlineStr">
        <is>
          <t>Comment Nous Concevons des Plateformes Immobilières Sur Mesure pour les Entreprises de Tunis</t>
        </is>
      </c>
      <c r="E896" t="inlineStr">
        <is>
          <t>H2</t>
        </is>
      </c>
      <c r="F896" s="5" t="inlineStr">
        <is>
          <t>Informational / commercial</t>
        </is>
      </c>
      <c r="G896" t="inlineStr">
        <is>
          <t>développement web tunis</t>
        </is>
      </c>
      <c r="H896" t="inlineStr">
        <is>
          <t>SUPPORTS PRIMARY</t>
        </is>
      </c>
      <c r="I896" t="inlineStr">
        <is>
          <t>tn</t>
        </is>
      </c>
      <c r="J896" t="n">
        <v>20</v>
      </c>
      <c r="K896" t="inlineStr">
        <is>
          <t>NOT AVAILABLE</t>
        </is>
      </c>
      <c r="L896" t="n">
        <v>0</v>
      </c>
      <c r="M896" t="inlineStr">
        <is>
          <t>MEASURED</t>
        </is>
      </c>
      <c r="N896" t="inlineStr">
        <is>
          <t>Yes (supporting block)</t>
        </is>
      </c>
      <c r="O896" s="5" t="inlineStr">
        <is>
          <t>Supports the primary topic - add only if natural</t>
        </is>
      </c>
      <c r="P896" s="5" t="inlineStr"/>
      <c r="Q896" t="inlineStr">
        <is>
          <t>P3</t>
        </is>
      </c>
      <c r="R896" t="n">
        <v>179</v>
      </c>
      <c r="S896" s="5" t="inlineStr">
        <is>
          <t>Entreprises de gestion immobilière et agences du secteur • Immobilier &amp; PropTech • 4 mois Le Défi Les sociétés immobilières à Tunis font souvent face au même obstacle : un site vitrine sans capacités de visite virtuelle,</t>
        </is>
      </c>
    </row>
    <row r="897">
      <c r="A897" s="3" t="inlineStr">
        <is>
          <t>https://codesommet.com/web-development-company/tunis</t>
        </is>
      </c>
      <c r="B897" t="n">
        <v>7</v>
      </c>
      <c r="C897" t="inlineStr">
        <is>
          <t>Pricing / offers</t>
        </is>
      </c>
      <c r="D897" s="5" t="inlineStr">
        <is>
          <t>Solutions sur mesure, tarification transparente</t>
        </is>
      </c>
      <c r="E897" t="inlineStr">
        <is>
          <t>H2</t>
        </is>
      </c>
      <c r="F897" s="5" t="inlineStr">
        <is>
          <t>Commercial / transactional</t>
        </is>
      </c>
      <c r="G897" t="inlineStr">
        <is>
          <t>développement web tunis</t>
        </is>
      </c>
      <c r="H897" t="inlineStr">
        <is>
          <t>SUPPORTS PRIMARY</t>
        </is>
      </c>
      <c r="I897" t="inlineStr">
        <is>
          <t>tn</t>
        </is>
      </c>
      <c r="J897" t="n">
        <v>20</v>
      </c>
      <c r="K897" t="inlineStr">
        <is>
          <t>NOT AVAILABLE</t>
        </is>
      </c>
      <c r="L897" t="n">
        <v>0</v>
      </c>
      <c r="M897" t="inlineStr">
        <is>
          <t>MEASURED</t>
        </is>
      </c>
      <c r="N897" t="inlineStr">
        <is>
          <t>Yes (supporting block)</t>
        </is>
      </c>
      <c r="O897" s="5" t="inlineStr">
        <is>
          <t>Supports the primary topic - add only if natural</t>
        </is>
      </c>
      <c r="P897" s="5" t="inlineStr"/>
      <c r="Q897" t="inlineStr">
        <is>
          <t>P3</t>
        </is>
      </c>
      <c r="R897" t="n">
        <v>188</v>
      </c>
      <c r="S897" s="5" t="inlineStr">
        <is>
          <t>Réservez un appel découverte pour discuter de vos besoins spécifiques et obtenir un devis personnalisé Recommandé Développement Web Site web complet avec fonctionnalités IA, tableaux de bord et design premium livré en 2-</t>
        </is>
      </c>
    </row>
    <row r="898">
      <c r="A898" s="3" t="inlineStr">
        <is>
          <t>https://codesommet.com/web-development-company/tunis</t>
        </is>
      </c>
      <c r="B898" t="n">
        <v>8</v>
      </c>
      <c r="C898" t="inlineStr">
        <is>
          <t>CTA / conversion</t>
        </is>
      </c>
      <c r="D898" s="5" t="inlineStr">
        <is>
          <t>Prêt à Améliorer Votre Site Web à Tunis ?</t>
        </is>
      </c>
      <c r="E898" t="inlineStr">
        <is>
          <t>H2</t>
        </is>
      </c>
      <c r="F898" s="5" t="inlineStr">
        <is>
          <t>Conversion</t>
        </is>
      </c>
      <c r="G898" t="inlineStr">
        <is>
          <t>—</t>
        </is>
      </c>
      <c r="H898" t="inlineStr">
        <is>
          <t>NONE</t>
        </is>
      </c>
      <c r="I898" t="inlineStr">
        <is>
          <t>—</t>
        </is>
      </c>
      <c r="J898" t="inlineStr">
        <is>
          <t>—</t>
        </is>
      </c>
      <c r="K898" t="inlineStr">
        <is>
          <t>—</t>
        </is>
      </c>
      <c r="L898" t="inlineStr">
        <is>
          <t>—</t>
        </is>
      </c>
      <c r="M898" t="inlineStr">
        <is>
          <t>—</t>
        </is>
      </c>
      <c r="N898" t="inlineStr">
        <is>
          <t>n/a</t>
        </is>
      </c>
      <c r="O898" s="5" t="inlineStr">
        <is>
          <t>No keyword target - keep conversion/navigation focus; use descriptive, non-repeated anchor texts</t>
        </is>
      </c>
      <c r="P898" s="5" t="inlineStr"/>
      <c r="Q898" t="inlineStr">
        <is>
          <t>P4</t>
        </is>
      </c>
      <c r="R898" t="n">
        <v>39</v>
      </c>
      <c r="S898" s="5" t="inlineStr">
        <is>
          <t xml:space="preserve">Obtenez d'abord une analyse complète gratuite : Audit SEO Vérification de performance Revue de design Recommandations propulsées par l'IA Analyser Votre Site Web - 100 % Gratuit Aucune carte bancaire requise • Résultats </t>
        </is>
      </c>
    </row>
    <row r="899">
      <c r="A899" s="3" t="inlineStr">
        <is>
          <t>https://codesommet.com/web-development-company/tunis</t>
        </is>
      </c>
      <c r="B899" t="n">
        <v>9</v>
      </c>
      <c r="C899" t="inlineStr">
        <is>
          <t>Why us / differentiation</t>
        </is>
      </c>
      <c r="D899" s="5" t="inlineStr">
        <is>
          <t>CodeSommet Tunis vs Others</t>
        </is>
      </c>
      <c r="E899" t="inlineStr">
        <is>
          <t>H2</t>
        </is>
      </c>
      <c r="F899" s="5" t="inlineStr">
        <is>
          <t>Commercial investigation</t>
        </is>
      </c>
      <c r="G899" t="inlineStr">
        <is>
          <t>développement web tunis</t>
        </is>
      </c>
      <c r="H899" t="inlineStr">
        <is>
          <t>SUPPORTS PRIMARY</t>
        </is>
      </c>
      <c r="I899" t="inlineStr">
        <is>
          <t>tn</t>
        </is>
      </c>
      <c r="J899" t="n">
        <v>20</v>
      </c>
      <c r="K899" t="inlineStr">
        <is>
          <t>NOT AVAILABLE</t>
        </is>
      </c>
      <c r="L899" t="n">
        <v>0</v>
      </c>
      <c r="M899" t="inlineStr">
        <is>
          <t>MEASURED</t>
        </is>
      </c>
      <c r="N899" t="inlineStr">
        <is>
          <t>Yes</t>
        </is>
      </c>
      <c r="O899" s="5" t="inlineStr">
        <is>
          <t>Covered - keep wording; no change</t>
        </is>
      </c>
      <c r="P899" s="5" t="inlineStr"/>
      <c r="Q899" t="inlineStr">
        <is>
          <t>P3</t>
        </is>
      </c>
      <c r="R899" t="n">
        <v>93</v>
      </c>
      <c r="S899" s="5" t="inlineStr">
        <is>
          <t>Découvrez pourquoi Tunis les entreprises choisissent CodeSommet plutôt que d'autres agences locales et internationales. Fonctionnalité CodeSommet Tunis Autres Tunis Agences Agences Internationales Révisions illimitées Dé</t>
        </is>
      </c>
    </row>
    <row r="900">
      <c r="A900" s="3" t="inlineStr">
        <is>
          <t>https://codesommet.com/web-development-company/tunis</t>
        </is>
      </c>
      <c r="B900" t="n">
        <v>10</v>
      </c>
      <c r="C900" t="inlineStr">
        <is>
          <t>Testimonials / social proof</t>
        </is>
      </c>
      <c r="D900" s="5" t="inlineStr">
        <is>
          <t>Ce que nos clients de Tunis disent de nous</t>
        </is>
      </c>
      <c r="E900" t="inlineStr">
        <is>
          <t>H2</t>
        </is>
      </c>
      <c r="F900" s="5" t="inlineStr">
        <is>
          <t>Commercial investigation</t>
        </is>
      </c>
      <c r="G900" t="inlineStr">
        <is>
          <t>développement web tunis</t>
        </is>
      </c>
      <c r="H900" t="inlineStr">
        <is>
          <t>SUPPORTS PRIMARY</t>
        </is>
      </c>
      <c r="I900" t="inlineStr">
        <is>
          <t>tn</t>
        </is>
      </c>
      <c r="J900" t="n">
        <v>20</v>
      </c>
      <c r="K900" t="inlineStr">
        <is>
          <t>NOT AVAILABLE</t>
        </is>
      </c>
      <c r="L900" t="n">
        <v>0</v>
      </c>
      <c r="M900" t="inlineStr">
        <is>
          <t>MEASURED</t>
        </is>
      </c>
      <c r="N900" t="inlineStr">
        <is>
          <t>Yes (supporting block)</t>
        </is>
      </c>
      <c r="O900" s="5" t="inlineStr">
        <is>
          <t>Supports the primary topic - add only if natural</t>
        </is>
      </c>
      <c r="P900" s="5" t="inlineStr"/>
      <c r="Q900" t="inlineStr">
        <is>
          <t>P3</t>
        </is>
      </c>
      <c r="R900" t="n">
        <v>103</v>
      </c>
      <c r="S900" s="5" t="inlineStr">
        <is>
          <t>Ne nous croyez pas sur parole. Écoutez les entreprises de Tunis qui ont obtenu des résultats remarquables avec CodeSommet. "Une collaboration professionnelle du début à la fin. Je recommande sans hésiter." Mohammed Chaji</t>
        </is>
      </c>
    </row>
    <row r="901">
      <c r="A901" s="3" t="inlineStr">
        <is>
          <t>https://codesommet.com/web-development-company/tunis</t>
        </is>
      </c>
      <c r="B901" t="n">
        <v>11</v>
      </c>
      <c r="C901" t="inlineStr">
        <is>
          <t>Process / how it works</t>
        </is>
      </c>
      <c r="D901" s="5" t="inlineStr">
        <is>
          <t>Comment démarrer en 3 étapes simples</t>
        </is>
      </c>
      <c r="E901" t="inlineStr">
        <is>
          <t>H2</t>
        </is>
      </c>
      <c r="F901" s="5" t="inlineStr">
        <is>
          <t>Informational / commercial</t>
        </is>
      </c>
      <c r="G901" t="inlineStr">
        <is>
          <t>développement web tunis</t>
        </is>
      </c>
      <c r="H901" t="inlineStr">
        <is>
          <t>SUPPORTS PRIMARY</t>
        </is>
      </c>
      <c r="I901" t="inlineStr">
        <is>
          <t>tn</t>
        </is>
      </c>
      <c r="J901" t="n">
        <v>20</v>
      </c>
      <c r="K901" t="inlineStr">
        <is>
          <t>NOT AVAILABLE</t>
        </is>
      </c>
      <c r="L901" t="n">
        <v>0</v>
      </c>
      <c r="M901" t="inlineStr">
        <is>
          <t>MEASURED</t>
        </is>
      </c>
      <c r="N901" t="inlineStr">
        <is>
          <t>Yes (supporting block)</t>
        </is>
      </c>
      <c r="O901" s="5" t="inlineStr">
        <is>
          <t>Supports the primary topic - add only if natural</t>
        </is>
      </c>
      <c r="P901" s="5" t="inlineStr"/>
      <c r="Q901" t="inlineStr">
        <is>
          <t>P3</t>
        </is>
      </c>
      <c r="R901" t="n">
        <v>286</v>
      </c>
      <c r="S901" s="5" t="inlineStr">
        <is>
          <t>Du premier appel à la livraison du projet, découvrez exactement comment nous travaillons ensemble Étape 1 Abonnement 1 projet actif Révisions illimitées Design &amp; développement SEO &amp; contenu Recommandé Développement de Si</t>
        </is>
      </c>
    </row>
    <row r="902">
      <c r="A902" s="3" t="inlineStr">
        <is>
          <t>https://codesommet.com/web-development-company/tunis</t>
        </is>
      </c>
      <c r="B902" t="n">
        <v>12</v>
      </c>
      <c r="C902" t="inlineStr">
        <is>
          <t>FAQ</t>
        </is>
      </c>
      <c r="D902" s="5" t="inlineStr">
        <is>
          <t>Questions fréquemment posées sur le Développement Web à Tunis</t>
        </is>
      </c>
      <c r="E902" t="inlineStr">
        <is>
          <t>H2</t>
        </is>
      </c>
      <c r="F902" s="5" t="inlineStr">
        <is>
          <t>Informational (pre-purchase questions)</t>
        </is>
      </c>
      <c r="G902" t="inlineStr">
        <is>
          <t>développement web tunis</t>
        </is>
      </c>
      <c r="H902" t="inlineStr">
        <is>
          <t>SUPPORTS PRIMARY</t>
        </is>
      </c>
      <c r="I902" t="inlineStr">
        <is>
          <t>tn</t>
        </is>
      </c>
      <c r="J902" t="n">
        <v>20</v>
      </c>
      <c r="K902" t="inlineStr">
        <is>
          <t>NOT AVAILABLE</t>
        </is>
      </c>
      <c r="L902" t="n">
        <v>0</v>
      </c>
      <c r="M902" t="inlineStr">
        <is>
          <t>MEASURED</t>
        </is>
      </c>
      <c r="N902" t="inlineStr">
        <is>
          <t>Yes</t>
        </is>
      </c>
      <c r="O902" s="5" t="inlineStr">
        <is>
          <t>Covered - keep wording; no change</t>
        </is>
      </c>
      <c r="P902" s="5" t="inlineStr"/>
      <c r="Q902" t="inlineStr">
        <is>
          <t>P3</t>
        </is>
      </c>
      <c r="R902" t="n">
        <v>378</v>
      </c>
      <c r="S902" s="5" t="inlineStr">
        <is>
          <t>Des questions ? Nous avons les réponses. Voici les questions les plus fréquentes des entreprises de Tunis. 1 Avez-vous un bureau physique à Tunis ? Nous n'avons pas de bureau à Tunis : notre équipe travaille à distance d</t>
        </is>
      </c>
    </row>
    <row r="903">
      <c r="A903" s="3" t="inlineStr">
        <is>
          <t>https://codesommet.com/web-development-company/tunis</t>
        </is>
      </c>
      <c r="B903" t="n">
        <v>13</v>
      </c>
      <c r="C903" t="inlineStr">
        <is>
          <t>Internal-link block</t>
        </is>
      </c>
      <c r="D903" s="5" t="inlineStr">
        <is>
          <t>Nous Desservons Également</t>
        </is>
      </c>
      <c r="E903" t="inlineStr">
        <is>
          <t>H2</t>
        </is>
      </c>
      <c r="F903" s="5" t="inlineStr">
        <is>
          <t>Navigation</t>
        </is>
      </c>
      <c r="G903" t="inlineStr">
        <is>
          <t>—</t>
        </is>
      </c>
      <c r="H903" t="inlineStr">
        <is>
          <t>NONE</t>
        </is>
      </c>
      <c r="I903" t="inlineStr">
        <is>
          <t>—</t>
        </is>
      </c>
      <c r="J903" t="inlineStr">
        <is>
          <t>—</t>
        </is>
      </c>
      <c r="K903" t="inlineStr">
        <is>
          <t>—</t>
        </is>
      </c>
      <c r="L903" t="inlineStr">
        <is>
          <t>—</t>
        </is>
      </c>
      <c r="M903" t="inlineStr">
        <is>
          <t>—</t>
        </is>
      </c>
      <c r="N903" t="inlineStr">
        <is>
          <t>n/a</t>
        </is>
      </c>
      <c r="O903" s="5" t="inlineStr">
        <is>
          <t>No keyword target - keep conversion/navigation focus; use descriptive, non-repeated anchor texts</t>
        </is>
      </c>
      <c r="P903" s="5" t="inlineStr"/>
      <c r="Q903" t="inlineStr">
        <is>
          <t>P4</t>
        </is>
      </c>
      <c r="R903" t="n">
        <v>21</v>
      </c>
      <c r="S903" s="5" t="inlineStr">
        <is>
          <t>Explorez nos services de développement web dans d'autres villes à travers le monde Le Caire Égypte Lagos Nigeria Voir Tout Locations</t>
        </is>
      </c>
    </row>
    <row r="904">
      <c r="A904" s="3" t="inlineStr">
        <is>
          <t>https://codesommet.com/web-development-company/tunis</t>
        </is>
      </c>
      <c r="B904" t="n">
        <v>14</v>
      </c>
      <c r="C904" t="inlineStr">
        <is>
          <t>Internal-link block</t>
        </is>
      </c>
      <c r="D904" s="5" t="inlineStr">
        <is>
          <t>Explorer davantage</t>
        </is>
      </c>
      <c r="E904" t="inlineStr">
        <is>
          <t>H2</t>
        </is>
      </c>
      <c r="F904" s="5" t="inlineStr">
        <is>
          <t>Navigation</t>
        </is>
      </c>
      <c r="G904" t="inlineStr">
        <is>
          <t>—</t>
        </is>
      </c>
      <c r="H904" t="inlineStr">
        <is>
          <t>NONE</t>
        </is>
      </c>
      <c r="I904" t="inlineStr">
        <is>
          <t>—</t>
        </is>
      </c>
      <c r="J904" t="inlineStr">
        <is>
          <t>—</t>
        </is>
      </c>
      <c r="K904" t="inlineStr">
        <is>
          <t>—</t>
        </is>
      </c>
      <c r="L904" t="inlineStr">
        <is>
          <t>—</t>
        </is>
      </c>
      <c r="M904" t="inlineStr">
        <is>
          <t>—</t>
        </is>
      </c>
      <c r="N904" t="inlineStr">
        <is>
          <t>n/a</t>
        </is>
      </c>
      <c r="O904" s="5" t="inlineStr">
        <is>
          <t>No keyword target - keep conversion/navigation focus; use descriptive, non-repeated anchor texts</t>
        </is>
      </c>
      <c r="P904" s="5" t="inlineStr"/>
      <c r="Q904" t="inlineStr">
        <is>
          <t>P4</t>
        </is>
      </c>
      <c r="R904" t="n">
        <v>83</v>
      </c>
      <c r="S904" s="5" t="inlineStr">
        <is>
          <t>Découvrez ce qui fait de CodeSommet votre partenaire idéal en développement web Audit Gratuit de Site Web Obtenez une analyse alimentée par l'IA avec plus de 40 vérifications En savoir plus Voir Nos Projets Découvrez les</t>
        </is>
      </c>
    </row>
    <row r="905">
      <c r="A905" s="3" t="inlineStr">
        <is>
          <t>https://codesommet.com/web-development-company/tunis</t>
        </is>
      </c>
      <c r="B905" t="n">
        <v>15</v>
      </c>
      <c r="C905" t="inlineStr">
        <is>
          <t>CTA / conversion</t>
        </is>
      </c>
      <c r="D905" s="5" t="inlineStr">
        <is>
          <t>Prêt à Créer Quelque Chose d'Extraordinaire ?</t>
        </is>
      </c>
      <c r="E905" t="inlineStr">
        <is>
          <t>H2</t>
        </is>
      </c>
      <c r="F905" s="5" t="inlineStr">
        <is>
          <t>Conversion</t>
        </is>
      </c>
      <c r="G905" t="inlineStr">
        <is>
          <t>—</t>
        </is>
      </c>
      <c r="H905" t="inlineStr">
        <is>
          <t>NONE</t>
        </is>
      </c>
      <c r="I905" t="inlineStr">
        <is>
          <t>—</t>
        </is>
      </c>
      <c r="J905" t="inlineStr">
        <is>
          <t>—</t>
        </is>
      </c>
      <c r="K905" t="inlineStr">
        <is>
          <t>—</t>
        </is>
      </c>
      <c r="L905" t="inlineStr">
        <is>
          <t>—</t>
        </is>
      </c>
      <c r="M905" t="inlineStr">
        <is>
          <t>—</t>
        </is>
      </c>
      <c r="N905" t="inlineStr">
        <is>
          <t>n/a</t>
        </is>
      </c>
      <c r="O905" s="5" t="inlineStr">
        <is>
          <t>No keyword target - keep conversion/navigation focus; use descriptive, non-repeated anchor texts</t>
        </is>
      </c>
      <c r="P905" s="5" t="inlineStr"/>
      <c r="Q905" t="inlineStr">
        <is>
          <t>P4</t>
        </is>
      </c>
      <c r="R905" t="n">
        <v>119</v>
      </c>
      <c r="S905" s="5" t="inlineStr">
        <is>
          <t>Rejoignez les entreprises visionnaires qui ont choisi l'excellence Réserver un Appel Découverte Analyser Mon Site Gratuitement Réserver un Appel Découverte Analyser Votre Site Web Discutons de la façon dont l'IA et le de</t>
        </is>
      </c>
    </row>
    <row r="906">
      <c r="A906" s="3" t="inlineStr">
        <is>
          <t>https://codesommet.com/web-development-company/cairo</t>
        </is>
      </c>
      <c r="B906" t="n">
        <v>1</v>
      </c>
      <c r="C906" t="inlineStr">
        <is>
          <t>Hero / H1</t>
        </is>
      </c>
      <c r="D906" s="5" t="inlineStr">
        <is>
          <t>Développement Web au Caire, Égypte : des sites web qui génèrent CROISSANCE DES ENTREPRISES AU CAIRE</t>
        </is>
      </c>
      <c r="E906" t="inlineStr">
        <is>
          <t>H1</t>
        </is>
      </c>
      <c r="F906" s="5" t="inlineStr">
        <is>
          <t>Commercial (local)</t>
        </is>
      </c>
      <c r="G906" t="inlineStr">
        <is>
          <t>développement web le caire</t>
        </is>
      </c>
      <c r="H906" t="inlineStr">
        <is>
          <t>PRIMARY</t>
        </is>
      </c>
      <c r="I906" t="inlineStr">
        <is>
          <t>eg</t>
        </is>
      </c>
      <c r="J906" t="inlineStr">
        <is>
          <t>NOT AVAILABLE</t>
        </is>
      </c>
      <c r="K906" t="inlineStr">
        <is>
          <t>NOT AVAILABLE</t>
        </is>
      </c>
      <c r="L906" t="inlineStr">
        <is>
          <t>NOT AVAILABLE</t>
        </is>
      </c>
      <c r="M906" t="inlineStr">
        <is>
          <t>UNAVAILABLE</t>
        </is>
      </c>
      <c r="N906" t="inlineStr">
        <is>
          <t>Yes</t>
        </is>
      </c>
      <c r="O906" s="5" t="inlineStr">
        <is>
          <t>Covered - keep wording; no change</t>
        </is>
      </c>
      <c r="P906" s="5" t="inlineStr"/>
      <c r="Q906" t="inlineStr">
        <is>
          <t>P3</t>
        </is>
      </c>
      <c r="R906" t="n">
        <v>66</v>
      </c>
      <c r="S906" s="5" t="inlineStr">
        <is>
          <t>Studio de développement web basé au Maroc servant les entreprises du monde entier. Nous construisons des sites web alimentés par l'IA et des tableaux de bord intelligents à distance. Sites web de qualité premium livrés e</t>
        </is>
      </c>
    </row>
    <row r="907">
      <c r="A907" s="3" t="inlineStr">
        <is>
          <t>https://codesommet.com/web-development-company/cairo</t>
        </is>
      </c>
      <c r="B907" t="n">
        <v>2</v>
      </c>
      <c r="C907" t="inlineStr">
        <is>
          <t>Why us / differentiation</t>
        </is>
      </c>
      <c r="D907" s="5" t="inlineStr">
        <is>
          <t>Pourquoi Choisir CodeSommet à Le Caire ?</t>
        </is>
      </c>
      <c r="E907" t="inlineStr">
        <is>
          <t>H2</t>
        </is>
      </c>
      <c r="F907" s="5" t="inlineStr">
        <is>
          <t>Commercial investigation</t>
        </is>
      </c>
      <c r="G907" t="inlineStr">
        <is>
          <t>développement web le caire</t>
        </is>
      </c>
      <c r="H907" t="inlineStr">
        <is>
          <t>SUPPORTS PRIMARY</t>
        </is>
      </c>
      <c r="I907" t="inlineStr">
        <is>
          <t>eg</t>
        </is>
      </c>
      <c r="J907" t="inlineStr">
        <is>
          <t>NOT AVAILABLE</t>
        </is>
      </c>
      <c r="K907" t="inlineStr">
        <is>
          <t>NOT AVAILABLE</t>
        </is>
      </c>
      <c r="L907" t="inlineStr">
        <is>
          <t>NOT AVAILABLE</t>
        </is>
      </c>
      <c r="M907" t="inlineStr">
        <is>
          <t>UNAVAILABLE</t>
        </is>
      </c>
      <c r="N907" t="inlineStr">
        <is>
          <t>Yes</t>
        </is>
      </c>
      <c r="O907" s="5" t="inlineStr">
        <is>
          <t>Covered - keep wording; no change</t>
        </is>
      </c>
      <c r="P907" s="5" t="inlineStr"/>
      <c r="Q907" t="inlineStr">
        <is>
          <t>P3</t>
        </is>
      </c>
      <c r="R907" t="n">
        <v>167</v>
      </c>
      <c r="S907" s="5" t="inlineStr">
        <is>
          <t>L'expertise locale rencontre les standards mondiaux. Voici ce qui fait de nous le partenaire de développement web idéal à Le Caire. Experts en IA Créez des chatbots intelligents, des workflows d'automatisation, de la rec</t>
        </is>
      </c>
    </row>
    <row r="908">
      <c r="A908" s="3" t="inlineStr">
        <is>
          <t>https://codesommet.com/web-development-company/cairo</t>
        </is>
      </c>
      <c r="B908" t="n">
        <v>3</v>
      </c>
      <c r="C908" t="inlineStr">
        <is>
          <t>Services / features</t>
        </is>
      </c>
      <c r="D908" s="5" t="inlineStr">
        <is>
          <t>Au service des entreprises du Caire</t>
        </is>
      </c>
      <c r="E908" t="inlineStr">
        <is>
          <t>H2</t>
        </is>
      </c>
      <c r="F908" s="5" t="inlineStr">
        <is>
          <t>Commercial (local)</t>
        </is>
      </c>
      <c r="G908" t="inlineStr">
        <is>
          <t>développement web le caire</t>
        </is>
      </c>
      <c r="H908" t="inlineStr">
        <is>
          <t>SUPPORTS PRIMARY</t>
        </is>
      </c>
      <c r="I908" t="inlineStr">
        <is>
          <t>eg</t>
        </is>
      </c>
      <c r="J908" t="inlineStr">
        <is>
          <t>NOT AVAILABLE</t>
        </is>
      </c>
      <c r="K908" t="inlineStr">
        <is>
          <t>NOT AVAILABLE</t>
        </is>
      </c>
      <c r="L908" t="inlineStr">
        <is>
          <t>NOT AVAILABLE</t>
        </is>
      </c>
      <c r="M908" t="inlineStr">
        <is>
          <t>UNAVAILABLE</t>
        </is>
      </c>
      <c r="N908" t="inlineStr">
        <is>
          <t>Yes (supporting block)</t>
        </is>
      </c>
      <c r="O908" s="5" t="inlineStr">
        <is>
          <t>Supports the primary topic - add only if natural</t>
        </is>
      </c>
      <c r="P908" s="5" t="inlineStr"/>
      <c r="Q908" t="inlineStr">
        <is>
          <t>P3</t>
        </is>
      </c>
      <c r="R908" t="n">
        <v>29</v>
      </c>
      <c r="S908" s="5" t="inlineStr">
        <is>
          <t>Projets livrés à distance Prospects générés Clients accompagnés De vrais résultats de Le Caire et d\x27ailleurs — projets réalisés à distance pour des entreprises de tous horizons Expertise Sectorielle</t>
        </is>
      </c>
    </row>
    <row r="909">
      <c r="A909" s="3" t="inlineStr">
        <is>
          <t>https://codesommet.com/web-development-company/cairo</t>
        </is>
      </c>
      <c r="B909" t="n">
        <v>4</v>
      </c>
      <c r="C909" t="inlineStr">
        <is>
          <t>Content block</t>
        </is>
      </c>
      <c r="D909" s="5" t="inlineStr">
        <is>
          <t>Le Caire Nos Secteurs de Spécialisation</t>
        </is>
      </c>
      <c r="E909" t="inlineStr">
        <is>
          <t>H2</t>
        </is>
      </c>
      <c r="F909" s="5" t="inlineStr">
        <is>
          <t>Commercial (local)</t>
        </is>
      </c>
      <c r="G909" t="inlineStr">
        <is>
          <t>développement web le caire</t>
        </is>
      </c>
      <c r="H909" t="inlineStr">
        <is>
          <t>SUPPORTS PRIMARY</t>
        </is>
      </c>
      <c r="I909" t="inlineStr">
        <is>
          <t>eg</t>
        </is>
      </c>
      <c r="J909" t="inlineStr">
        <is>
          <t>NOT AVAILABLE</t>
        </is>
      </c>
      <c r="K909" t="inlineStr">
        <is>
          <t>NOT AVAILABLE</t>
        </is>
      </c>
      <c r="L909" t="inlineStr">
        <is>
          <t>NOT AVAILABLE</t>
        </is>
      </c>
      <c r="M909" t="inlineStr">
        <is>
          <t>UNAVAILABLE</t>
        </is>
      </c>
      <c r="N909" t="inlineStr">
        <is>
          <t>Yes</t>
        </is>
      </c>
      <c r="O909" s="5" t="inlineStr">
        <is>
          <t>Covered - keep wording; no change</t>
        </is>
      </c>
      <c r="P909" s="5" t="inlineStr"/>
      <c r="Q909" t="inlineStr">
        <is>
          <t>P3</t>
        </is>
      </c>
      <c r="R909" t="n">
        <v>190</v>
      </c>
      <c r="S909" s="5" t="inlineStr">
        <is>
          <t>Expertise approfondie dans Le Caire . Nous comprenons les défis uniques de votre secteur et les exigences de conformité. FinTech Plateformes financières sécurisées avec traitement des paiements, conformité et fonctionnal</t>
        </is>
      </c>
    </row>
    <row r="910">
      <c r="A910" s="3" t="inlineStr">
        <is>
          <t>https://codesommet.com/web-development-company/cairo</t>
        </is>
      </c>
      <c r="B910" t="n">
        <v>5</v>
      </c>
      <c r="C910" t="inlineStr">
        <is>
          <t>Testimonials / social proof</t>
        </is>
      </c>
      <c r="D910" s="5" t="inlineStr">
        <is>
          <t>Histoires de Succès de Le Caire</t>
        </is>
      </c>
      <c r="E910" t="inlineStr">
        <is>
          <t>H2</t>
        </is>
      </c>
      <c r="F910" s="5" t="inlineStr">
        <is>
          <t>Commercial investigation</t>
        </is>
      </c>
      <c r="G910" t="inlineStr">
        <is>
          <t>développement web le caire</t>
        </is>
      </c>
      <c r="H910" t="inlineStr">
        <is>
          <t>SUPPORTS PRIMARY</t>
        </is>
      </c>
      <c r="I910" t="inlineStr">
        <is>
          <t>eg</t>
        </is>
      </c>
      <c r="J910" t="inlineStr">
        <is>
          <t>NOT AVAILABLE</t>
        </is>
      </c>
      <c r="K910" t="inlineStr">
        <is>
          <t>NOT AVAILABLE</t>
        </is>
      </c>
      <c r="L910" t="inlineStr">
        <is>
          <t>NOT AVAILABLE</t>
        </is>
      </c>
      <c r="M910" t="inlineStr">
        <is>
          <t>UNAVAILABLE</t>
        </is>
      </c>
      <c r="N910" t="inlineStr">
        <is>
          <t>Yes (supporting block)</t>
        </is>
      </c>
      <c r="O910" s="5" t="inlineStr">
        <is>
          <t>Supports the primary topic - add only if natural</t>
        </is>
      </c>
      <c r="P910" s="5" t="inlineStr"/>
      <c r="Q910" t="inlineStr">
        <is>
          <t>P3</t>
        </is>
      </c>
      <c r="R910" t="n">
        <v>62</v>
      </c>
      <c r="S910" s="5" t="inlineStr">
        <is>
          <t>De vrais projets, de vrais résultats. Découvrez comment nous avons aidé les entreprises à Le Caire atteindre leurs objectifs numériques. Beauté Boutique en ligne avec gestion des commandes GlamWorlds Maroc SaaS Gestion d</t>
        </is>
      </c>
    </row>
    <row r="911">
      <c r="A911" s="3" t="inlineStr">
        <is>
          <t>https://codesommet.com/web-development-company/cairo</t>
        </is>
      </c>
      <c r="B911" t="n">
        <v>6</v>
      </c>
      <c r="C911" t="inlineStr">
        <is>
          <t>Services / features</t>
        </is>
      </c>
      <c r="D911" s="5" t="inlineStr">
        <is>
          <t>Ce Que Nous Construisons pour les Plateformes Immobilières et de Gestion de Prospects au Caire</t>
        </is>
      </c>
      <c r="E911" t="inlineStr">
        <is>
          <t>H2</t>
        </is>
      </c>
      <c r="F911" s="5" t="inlineStr">
        <is>
          <t>Commercial (local)</t>
        </is>
      </c>
      <c r="G911" t="inlineStr">
        <is>
          <t>développement web le caire</t>
        </is>
      </c>
      <c r="H911" t="inlineStr">
        <is>
          <t>SUPPORTS PRIMARY</t>
        </is>
      </c>
      <c r="I911" t="inlineStr">
        <is>
          <t>eg</t>
        </is>
      </c>
      <c r="J911" t="inlineStr">
        <is>
          <t>NOT AVAILABLE</t>
        </is>
      </c>
      <c r="K911" t="inlineStr">
        <is>
          <t>NOT AVAILABLE</t>
        </is>
      </c>
      <c r="L911" t="inlineStr">
        <is>
          <t>NOT AVAILABLE</t>
        </is>
      </c>
      <c r="M911" t="inlineStr">
        <is>
          <t>UNAVAILABLE</t>
        </is>
      </c>
      <c r="N911" t="inlineStr">
        <is>
          <t>Yes (supporting block)</t>
        </is>
      </c>
      <c r="O911" s="5" t="inlineStr">
        <is>
          <t>Supports the primary topic - add only if natural</t>
        </is>
      </c>
      <c r="P911" s="5" t="inlineStr"/>
      <c r="Q911" t="inlineStr">
        <is>
          <t>P3</t>
        </is>
      </c>
      <c r="R911" t="n">
        <v>208</v>
      </c>
      <c r="S911" s="5" t="inlineStr">
        <is>
          <t>Entreprises immobilières et de services en croissance • Immobilier &amp; PropTech • 4 months Le Défi Les entreprises de gestion immobilière en croissance au Caire font souvent face au suivi manuel des prospects sur un portef</t>
        </is>
      </c>
    </row>
    <row r="912">
      <c r="A912" s="3" t="inlineStr">
        <is>
          <t>https://codesommet.com/web-development-company/cairo</t>
        </is>
      </c>
      <c r="B912" t="n">
        <v>7</v>
      </c>
      <c r="C912" t="inlineStr">
        <is>
          <t>Pricing / offers</t>
        </is>
      </c>
      <c r="D912" s="5" t="inlineStr">
        <is>
          <t>Solutions Personnalisées, Tarification Transparente</t>
        </is>
      </c>
      <c r="E912" t="inlineStr">
        <is>
          <t>H2</t>
        </is>
      </c>
      <c r="F912" s="5" t="inlineStr">
        <is>
          <t>Commercial / transactional</t>
        </is>
      </c>
      <c r="G912" t="inlineStr">
        <is>
          <t>développement web le caire</t>
        </is>
      </c>
      <c r="H912" t="inlineStr">
        <is>
          <t>SUPPORTS PRIMARY</t>
        </is>
      </c>
      <c r="I912" t="inlineStr">
        <is>
          <t>eg</t>
        </is>
      </c>
      <c r="J912" t="inlineStr">
        <is>
          <t>NOT AVAILABLE</t>
        </is>
      </c>
      <c r="K912" t="inlineStr">
        <is>
          <t>NOT AVAILABLE</t>
        </is>
      </c>
      <c r="L912" t="inlineStr">
        <is>
          <t>NOT AVAILABLE</t>
        </is>
      </c>
      <c r="M912" t="inlineStr">
        <is>
          <t>UNAVAILABLE</t>
        </is>
      </c>
      <c r="N912" t="inlineStr">
        <is>
          <t>Yes (supporting block)</t>
        </is>
      </c>
      <c r="O912" s="5" t="inlineStr">
        <is>
          <t>Supports the primary topic - add only if natural</t>
        </is>
      </c>
      <c r="P912" s="5" t="inlineStr"/>
      <c r="Q912" t="inlineStr">
        <is>
          <t>P3</t>
        </is>
      </c>
      <c r="R912" t="n">
        <v>184</v>
      </c>
      <c r="S912" s="5" t="inlineStr">
        <is>
          <t>Réservez un appel découverte pour discuter de vos besoins spécifiques et obtenir un devis personnalisé Recommandé Développement Web Site web complet avec fonctionnalités IA, tableaux de bord et design premium livré en 2-</t>
        </is>
      </c>
    </row>
    <row r="913">
      <c r="A913" s="3" t="inlineStr">
        <is>
          <t>https://codesommet.com/web-development-company/cairo</t>
        </is>
      </c>
      <c r="B913" t="n">
        <v>8</v>
      </c>
      <c r="C913" t="inlineStr">
        <is>
          <t>CTA / conversion</t>
        </is>
      </c>
      <c r="D913" s="5" t="inlineStr">
        <is>
          <t>Prêt à Améliorer Votre Site Web au Caire ?</t>
        </is>
      </c>
      <c r="E913" t="inlineStr">
        <is>
          <t>H2</t>
        </is>
      </c>
      <c r="F913" s="5" t="inlineStr">
        <is>
          <t>Conversion</t>
        </is>
      </c>
      <c r="G913" t="inlineStr">
        <is>
          <t>—</t>
        </is>
      </c>
      <c r="H913" t="inlineStr">
        <is>
          <t>NONE</t>
        </is>
      </c>
      <c r="I913" t="inlineStr">
        <is>
          <t>—</t>
        </is>
      </c>
      <c r="J913" t="inlineStr">
        <is>
          <t>—</t>
        </is>
      </c>
      <c r="K913" t="inlineStr">
        <is>
          <t>—</t>
        </is>
      </c>
      <c r="L913" t="inlineStr">
        <is>
          <t>—</t>
        </is>
      </c>
      <c r="M913" t="inlineStr">
        <is>
          <t>—</t>
        </is>
      </c>
      <c r="N913" t="inlineStr">
        <is>
          <t>n/a</t>
        </is>
      </c>
      <c r="O913" s="5" t="inlineStr">
        <is>
          <t>No keyword target - keep conversion/navigation focus; use descriptive, non-repeated anchor texts</t>
        </is>
      </c>
      <c r="P913" s="5" t="inlineStr"/>
      <c r="Q913" t="inlineStr">
        <is>
          <t>P4</t>
        </is>
      </c>
      <c r="R913" t="n">
        <v>40</v>
      </c>
      <c r="S913" s="5" t="inlineStr">
        <is>
          <t xml:space="preserve">Obtenez d'abord une analyse gratuite complète : Audit SEO Vérification de performance Revue de design Recommandations alimentées par l'IA Analyser Votre Site Web - 100% Gratuit Aucune carte de crédit requise • Résultats </t>
        </is>
      </c>
    </row>
    <row r="914">
      <c r="A914" s="3" t="inlineStr">
        <is>
          <t>https://codesommet.com/web-development-company/cairo</t>
        </is>
      </c>
      <c r="B914" t="n">
        <v>9</v>
      </c>
      <c r="C914" t="inlineStr">
        <is>
          <t>Why us / differentiation</t>
        </is>
      </c>
      <c r="D914" s="5" t="inlineStr">
        <is>
          <t>CodeSommet Le Caire vs Autres</t>
        </is>
      </c>
      <c r="E914" t="inlineStr">
        <is>
          <t>H2</t>
        </is>
      </c>
      <c r="F914" s="5" t="inlineStr">
        <is>
          <t>Commercial investigation</t>
        </is>
      </c>
      <c r="G914" t="inlineStr">
        <is>
          <t>développement web le caire</t>
        </is>
      </c>
      <c r="H914" t="inlineStr">
        <is>
          <t>SUPPORTS PRIMARY</t>
        </is>
      </c>
      <c r="I914" t="inlineStr">
        <is>
          <t>eg</t>
        </is>
      </c>
      <c r="J914" t="inlineStr">
        <is>
          <t>NOT AVAILABLE</t>
        </is>
      </c>
      <c r="K914" t="inlineStr">
        <is>
          <t>NOT AVAILABLE</t>
        </is>
      </c>
      <c r="L914" t="inlineStr">
        <is>
          <t>NOT AVAILABLE</t>
        </is>
      </c>
      <c r="M914" t="inlineStr">
        <is>
          <t>UNAVAILABLE</t>
        </is>
      </c>
      <c r="N914" t="inlineStr">
        <is>
          <t>Yes</t>
        </is>
      </c>
      <c r="O914" s="5" t="inlineStr">
        <is>
          <t>Covered - keep wording; no change</t>
        </is>
      </c>
      <c r="P914" s="5" t="inlineStr"/>
      <c r="Q914" t="inlineStr">
        <is>
          <t>P3</t>
        </is>
      </c>
      <c r="R914" t="n">
        <v>95</v>
      </c>
      <c r="S914" s="5" t="inlineStr">
        <is>
          <t>Découvrez pourquoi Le Caire entreprises choisissent CodeSommet plutôt que d'autres agences locales et concurrents internationaux. Fonctionnalité CodeSommet Le Caire Autres Le Caire Agences Agences Internationales Révisio</t>
        </is>
      </c>
    </row>
    <row r="915">
      <c r="A915" s="3" t="inlineStr">
        <is>
          <t>https://codesommet.com/web-development-company/cairo</t>
        </is>
      </c>
      <c r="B915" t="n">
        <v>10</v>
      </c>
      <c r="C915" t="inlineStr">
        <is>
          <t>Testimonials / social proof</t>
        </is>
      </c>
      <c r="D915" s="5" t="inlineStr">
        <is>
          <t>Quoi Le Caire Nos Clients Disent de Nous</t>
        </is>
      </c>
      <c r="E915" t="inlineStr">
        <is>
          <t>H2</t>
        </is>
      </c>
      <c r="F915" s="5" t="inlineStr">
        <is>
          <t>Commercial investigation</t>
        </is>
      </c>
      <c r="G915" t="inlineStr">
        <is>
          <t>développement web le caire</t>
        </is>
      </c>
      <c r="H915" t="inlineStr">
        <is>
          <t>SUPPORTS PRIMARY</t>
        </is>
      </c>
      <c r="I915" t="inlineStr">
        <is>
          <t>eg</t>
        </is>
      </c>
      <c r="J915" t="inlineStr">
        <is>
          <t>NOT AVAILABLE</t>
        </is>
      </c>
      <c r="K915" t="inlineStr">
        <is>
          <t>NOT AVAILABLE</t>
        </is>
      </c>
      <c r="L915" t="inlineStr">
        <is>
          <t>NOT AVAILABLE</t>
        </is>
      </c>
      <c r="M915" t="inlineStr">
        <is>
          <t>UNAVAILABLE</t>
        </is>
      </c>
      <c r="N915" t="inlineStr">
        <is>
          <t>Yes (supporting block)</t>
        </is>
      </c>
      <c r="O915" s="5" t="inlineStr">
        <is>
          <t>Supports the primary topic - add only if natural</t>
        </is>
      </c>
      <c r="P915" s="5" t="inlineStr"/>
      <c r="Q915" t="inlineStr">
        <is>
          <t>P3</t>
        </is>
      </c>
      <c r="R915" t="n">
        <v>105</v>
      </c>
      <c r="S915" s="5" t="inlineStr">
        <is>
          <t>Ne vous fiez pas seulement à notre parole. Écoutez les entreprises de Le Caire qui ont obtenu des résultats remarquables avec CodeSommet. "Une collaboration professionnelle du début à la fin. Je recommande sans hésiter."</t>
        </is>
      </c>
    </row>
    <row r="916">
      <c r="A916" s="3" t="inlineStr">
        <is>
          <t>https://codesommet.com/web-development-company/cairo</t>
        </is>
      </c>
      <c r="B916" t="n">
        <v>11</v>
      </c>
      <c r="C916" t="inlineStr">
        <is>
          <t>Process / how it works</t>
        </is>
      </c>
      <c r="D916" s="5" t="inlineStr">
        <is>
          <t>Comment démarrer en 3 étapes simples</t>
        </is>
      </c>
      <c r="E916" t="inlineStr">
        <is>
          <t>H2</t>
        </is>
      </c>
      <c r="F916" s="5" t="inlineStr">
        <is>
          <t>Informational / commercial</t>
        </is>
      </c>
      <c r="G916" t="inlineStr">
        <is>
          <t>développement web le caire</t>
        </is>
      </c>
      <c r="H916" t="inlineStr">
        <is>
          <t>SUPPORTS PRIMARY</t>
        </is>
      </c>
      <c r="I916" t="inlineStr">
        <is>
          <t>eg</t>
        </is>
      </c>
      <c r="J916" t="inlineStr">
        <is>
          <t>NOT AVAILABLE</t>
        </is>
      </c>
      <c r="K916" t="inlineStr">
        <is>
          <t>NOT AVAILABLE</t>
        </is>
      </c>
      <c r="L916" t="inlineStr">
        <is>
          <t>NOT AVAILABLE</t>
        </is>
      </c>
      <c r="M916" t="inlineStr">
        <is>
          <t>UNAVAILABLE</t>
        </is>
      </c>
      <c r="N916" t="inlineStr">
        <is>
          <t>Yes (supporting block)</t>
        </is>
      </c>
      <c r="O916" s="5" t="inlineStr">
        <is>
          <t>Supports the primary topic - add only if natural</t>
        </is>
      </c>
      <c r="P916" s="5" t="inlineStr"/>
      <c r="Q916" t="inlineStr">
        <is>
          <t>P3</t>
        </is>
      </c>
      <c r="R916" t="n">
        <v>286</v>
      </c>
      <c r="S916" s="5" t="inlineStr">
        <is>
          <t>Du premier appel à la livraison du projet, découvrez exactement comment nous travaillons ensemble Étape 1 Abonnement 1 projet actif Révisions illimitées Design &amp; développement SEO &amp; contenu Recommandé Développement de Si</t>
        </is>
      </c>
    </row>
    <row r="917">
      <c r="A917" s="3" t="inlineStr">
        <is>
          <t>https://codesommet.com/web-development-company/cairo</t>
        </is>
      </c>
      <c r="B917" t="n">
        <v>12</v>
      </c>
      <c r="C917" t="inlineStr">
        <is>
          <t>FAQ</t>
        </is>
      </c>
      <c r="D917" s="5" t="inlineStr">
        <is>
          <t>Questions Fréquemment Posées Sur le Développement Web à Le Caire</t>
        </is>
      </c>
      <c r="E917" t="inlineStr">
        <is>
          <t>H2</t>
        </is>
      </c>
      <c r="F917" s="5" t="inlineStr">
        <is>
          <t>Informational (pre-purchase questions)</t>
        </is>
      </c>
      <c r="G917" t="inlineStr">
        <is>
          <t>développement web le caire</t>
        </is>
      </c>
      <c r="H917" t="inlineStr">
        <is>
          <t>SUPPORTS PRIMARY</t>
        </is>
      </c>
      <c r="I917" t="inlineStr">
        <is>
          <t>eg</t>
        </is>
      </c>
      <c r="J917" t="inlineStr">
        <is>
          <t>NOT AVAILABLE</t>
        </is>
      </c>
      <c r="K917" t="inlineStr">
        <is>
          <t>NOT AVAILABLE</t>
        </is>
      </c>
      <c r="L917" t="inlineStr">
        <is>
          <t>NOT AVAILABLE</t>
        </is>
      </c>
      <c r="M917" t="inlineStr">
        <is>
          <t>UNAVAILABLE</t>
        </is>
      </c>
      <c r="N917" t="inlineStr">
        <is>
          <t>Yes</t>
        </is>
      </c>
      <c r="O917" s="5" t="inlineStr">
        <is>
          <t>Covered - keep wording; no change</t>
        </is>
      </c>
      <c r="P917" s="5" t="inlineStr"/>
      <c r="Q917" t="inlineStr">
        <is>
          <t>P3</t>
        </is>
      </c>
      <c r="R917" t="n">
        <v>384</v>
      </c>
      <c r="S917" s="5" t="inlineStr">
        <is>
          <t>Vous avez des questions ? Nous avons les réponses. Voici les questions les plus fréquentes de Le Caire entreprises. 1 Avez-vous un bureau physique au Le Caire ? Nous n'avons pas de bureau à Le Caire : notre équipe travai</t>
        </is>
      </c>
    </row>
    <row r="918">
      <c r="A918" s="3" t="inlineStr">
        <is>
          <t>https://codesommet.com/web-development-company/cairo</t>
        </is>
      </c>
      <c r="B918" t="n">
        <v>13</v>
      </c>
      <c r="C918" t="inlineStr">
        <is>
          <t>Content block</t>
        </is>
      </c>
      <c r="D918" s="5" t="inlineStr">
        <is>
          <t>Nous Servons Également</t>
        </is>
      </c>
      <c r="E918" t="inlineStr">
        <is>
          <t>H2</t>
        </is>
      </c>
      <c r="F918" s="5" t="inlineStr">
        <is>
          <t>Commercial (local)</t>
        </is>
      </c>
      <c r="G918" t="inlineStr">
        <is>
          <t>développement web le caire</t>
        </is>
      </c>
      <c r="H918" t="inlineStr">
        <is>
          <t>SUPPORTS PRIMARY</t>
        </is>
      </c>
      <c r="I918" t="inlineStr">
        <is>
          <t>eg</t>
        </is>
      </c>
      <c r="J918" t="inlineStr">
        <is>
          <t>NOT AVAILABLE</t>
        </is>
      </c>
      <c r="K918" t="inlineStr">
        <is>
          <t>NOT AVAILABLE</t>
        </is>
      </c>
      <c r="L918" t="inlineStr">
        <is>
          <t>NOT AVAILABLE</t>
        </is>
      </c>
      <c r="M918" t="inlineStr">
        <is>
          <t>UNAVAILABLE</t>
        </is>
      </c>
      <c r="N918" t="inlineStr">
        <is>
          <t>Yes (supporting block)</t>
        </is>
      </c>
      <c r="O918" s="5" t="inlineStr">
        <is>
          <t>Supports the primary topic - add only if natural</t>
        </is>
      </c>
      <c r="P918" s="5" t="inlineStr"/>
      <c r="Q918" t="inlineStr">
        <is>
          <t>P3</t>
        </is>
      </c>
      <c r="R918" t="n">
        <v>38</v>
      </c>
      <c r="S918" s="5" t="inlineStr">
        <is>
          <t xml:space="preserve">Explorez nos services de développement web dans d'autres villes à travers le monde Vous êtes basé plus à l'ouest ? Notre agence web à Tunis accompagne aussi les entreprises d'Afrique du Nord. Tunis Tunisie Lagos Nigeria </t>
        </is>
      </c>
    </row>
    <row r="919">
      <c r="A919" s="3" t="inlineStr">
        <is>
          <t>https://codesommet.com/web-development-company/cairo</t>
        </is>
      </c>
      <c r="B919" t="n">
        <v>14</v>
      </c>
      <c r="C919" t="inlineStr">
        <is>
          <t>Content block</t>
        </is>
      </c>
      <c r="D919" s="5" t="inlineStr">
        <is>
          <t>En Savoir Plus</t>
        </is>
      </c>
      <c r="E919" t="inlineStr">
        <is>
          <t>H2</t>
        </is>
      </c>
      <c r="F919" s="5" t="inlineStr">
        <is>
          <t>Commercial (local)</t>
        </is>
      </c>
      <c r="G919" t="inlineStr">
        <is>
          <t>développement web le caire</t>
        </is>
      </c>
      <c r="H919" t="inlineStr">
        <is>
          <t>SUPPORTS PRIMARY</t>
        </is>
      </c>
      <c r="I919" t="inlineStr">
        <is>
          <t>eg</t>
        </is>
      </c>
      <c r="J919" t="inlineStr">
        <is>
          <t>NOT AVAILABLE</t>
        </is>
      </c>
      <c r="K919" t="inlineStr">
        <is>
          <t>NOT AVAILABLE</t>
        </is>
      </c>
      <c r="L919" t="inlineStr">
        <is>
          <t>NOT AVAILABLE</t>
        </is>
      </c>
      <c r="M919" t="inlineStr">
        <is>
          <t>UNAVAILABLE</t>
        </is>
      </c>
      <c r="N919" t="inlineStr">
        <is>
          <t>Yes (supporting block)</t>
        </is>
      </c>
      <c r="O919" s="5" t="inlineStr">
        <is>
          <t>Supports the primary topic - add only if natural</t>
        </is>
      </c>
      <c r="P919" s="5" t="inlineStr"/>
      <c r="Q919" t="inlineStr">
        <is>
          <t>P3</t>
        </is>
      </c>
      <c r="R919" t="n">
        <v>82</v>
      </c>
      <c r="S919" s="5" t="inlineStr">
        <is>
          <t xml:space="preserve">Découvrez ce qui fait de CodeSommet votre partenaire de développement web idéal Audit Gratuit de Site Web Obtenez une analyse alimentée par l'IA avec plus de 40 vérifications En savoir plus Voir Nos Projets Explorez les </t>
        </is>
      </c>
    </row>
    <row r="920">
      <c r="A920" s="3" t="inlineStr">
        <is>
          <t>https://codesommet.com/web-development-company/cairo</t>
        </is>
      </c>
      <c r="B920" t="n">
        <v>15</v>
      </c>
      <c r="C920" t="inlineStr">
        <is>
          <t>CTA / conversion</t>
        </is>
      </c>
      <c r="D920" s="5" t="inlineStr">
        <is>
          <t>Prêt à Créer Quelque Chose d'Extraordinaire ?</t>
        </is>
      </c>
      <c r="E920" t="inlineStr">
        <is>
          <t>H2</t>
        </is>
      </c>
      <c r="F920" s="5" t="inlineStr">
        <is>
          <t>Conversion</t>
        </is>
      </c>
      <c r="G920" t="inlineStr">
        <is>
          <t>—</t>
        </is>
      </c>
      <c r="H920" t="inlineStr">
        <is>
          <t>NONE</t>
        </is>
      </c>
      <c r="I920" t="inlineStr">
        <is>
          <t>—</t>
        </is>
      </c>
      <c r="J920" t="inlineStr">
        <is>
          <t>—</t>
        </is>
      </c>
      <c r="K920" t="inlineStr">
        <is>
          <t>—</t>
        </is>
      </c>
      <c r="L920" t="inlineStr">
        <is>
          <t>—</t>
        </is>
      </c>
      <c r="M920" t="inlineStr">
        <is>
          <t>—</t>
        </is>
      </c>
      <c r="N920" t="inlineStr">
        <is>
          <t>n/a</t>
        </is>
      </c>
      <c r="O920" s="5" t="inlineStr">
        <is>
          <t>No keyword target - keep conversion/navigation focus; use descriptive, non-repeated anchor texts</t>
        </is>
      </c>
      <c r="P920" s="5" t="inlineStr"/>
      <c r="Q920" t="inlineStr">
        <is>
          <t>P4</t>
        </is>
      </c>
      <c r="R920" t="n">
        <v>117</v>
      </c>
      <c r="S920" s="5" t="inlineStr">
        <is>
          <t>Rejoignez les entreprises visionnaires qui ont choisi l'excellence Réserver un Appel Découverte Analyser Mon Site Gratuitement Réserver un Appel Découverte Analyser Votre Site Web Discutons de comment l'IA et le design m</t>
        </is>
      </c>
    </row>
    <row r="921">
      <c r="A921" s="3" t="inlineStr">
        <is>
          <t>https://codesommet.com/web-development-company/lagos</t>
        </is>
      </c>
      <c r="B921" t="n">
        <v>1</v>
      </c>
      <c r="C921" t="inlineStr">
        <is>
          <t>Hero / H1</t>
        </is>
      </c>
      <c r="D921" s="5" t="inlineStr">
        <is>
          <t>Développement Web à Lagos, Nigeria : des sites web qui génèrent CROISSANCE COMMERCIALE À LAGOS</t>
        </is>
      </c>
      <c r="E921" t="inlineStr">
        <is>
          <t>H1</t>
        </is>
      </c>
      <c r="F921" s="5" t="inlineStr">
        <is>
          <t>Commercial (local)</t>
        </is>
      </c>
      <c r="G921" t="inlineStr">
        <is>
          <t>développement web lagos</t>
        </is>
      </c>
      <c r="H921" t="inlineStr">
        <is>
          <t>PRIMARY</t>
        </is>
      </c>
      <c r="I921" t="inlineStr">
        <is>
          <t>ng</t>
        </is>
      </c>
      <c r="J921" t="inlineStr">
        <is>
          <t>NOT AVAILABLE</t>
        </is>
      </c>
      <c r="K921" t="inlineStr">
        <is>
          <t>NOT AVAILABLE</t>
        </is>
      </c>
      <c r="L921" t="inlineStr">
        <is>
          <t>NOT AVAILABLE</t>
        </is>
      </c>
      <c r="M921" t="inlineStr">
        <is>
          <t>UNAVAILABLE</t>
        </is>
      </c>
      <c r="N921" t="inlineStr">
        <is>
          <t>Yes</t>
        </is>
      </c>
      <c r="O921" s="5" t="inlineStr">
        <is>
          <t>Covered - keep wording; no change</t>
        </is>
      </c>
      <c r="P921" s="5" t="inlineStr"/>
      <c r="Q921" t="inlineStr">
        <is>
          <t>P3</t>
        </is>
      </c>
      <c r="R921" t="n">
        <v>65</v>
      </c>
      <c r="S921" s="5" t="inlineStr">
        <is>
          <t>Studio de développement web basé au Maroc au service des entreprises du monde entier. Nous créons des sites web alimentés par l'IA et des tableaux de bord intelligents à distance. Sites web de qualité premium livrés en 7</t>
        </is>
      </c>
    </row>
    <row r="922">
      <c r="A922" s="3" t="inlineStr">
        <is>
          <t>https://codesommet.com/web-development-company/lagos</t>
        </is>
      </c>
      <c r="B922" t="n">
        <v>2</v>
      </c>
      <c r="C922" t="inlineStr">
        <is>
          <t>Why us / differentiation</t>
        </is>
      </c>
      <c r="D922" s="5" t="inlineStr">
        <is>
          <t>Pourquoi Choisir CodeSommet à Lagos ?</t>
        </is>
      </c>
      <c r="E922" t="inlineStr">
        <is>
          <t>H2</t>
        </is>
      </c>
      <c r="F922" s="5" t="inlineStr">
        <is>
          <t>Commercial investigation</t>
        </is>
      </c>
      <c r="G922" t="inlineStr">
        <is>
          <t>développement web lagos</t>
        </is>
      </c>
      <c r="H922" t="inlineStr">
        <is>
          <t>SUPPORTS PRIMARY</t>
        </is>
      </c>
      <c r="I922" t="inlineStr">
        <is>
          <t>ng</t>
        </is>
      </c>
      <c r="J922" t="inlineStr">
        <is>
          <t>NOT AVAILABLE</t>
        </is>
      </c>
      <c r="K922" t="inlineStr">
        <is>
          <t>NOT AVAILABLE</t>
        </is>
      </c>
      <c r="L922" t="inlineStr">
        <is>
          <t>NOT AVAILABLE</t>
        </is>
      </c>
      <c r="M922" t="inlineStr">
        <is>
          <t>UNAVAILABLE</t>
        </is>
      </c>
      <c r="N922" t="inlineStr">
        <is>
          <t>Yes</t>
        </is>
      </c>
      <c r="O922" s="5" t="inlineStr">
        <is>
          <t>Covered - keep wording; no change</t>
        </is>
      </c>
      <c r="P922" s="5" t="inlineStr"/>
      <c r="Q922" t="inlineStr">
        <is>
          <t>P3</t>
        </is>
      </c>
      <c r="R922" t="n">
        <v>165</v>
      </c>
      <c r="S922" s="5" t="inlineStr">
        <is>
          <t>L'expertise locale rencontre les standards internationaux. Voici ce qui fait de nous le partenaire idéal en développement web à Lagos. Experts en IA Créez des chatbots intelligents, des workflows d'automatisation, une re</t>
        </is>
      </c>
    </row>
    <row r="923">
      <c r="A923" s="3" t="inlineStr">
        <is>
          <t>https://codesommet.com/web-development-company/lagos</t>
        </is>
      </c>
      <c r="B923" t="n">
        <v>3</v>
      </c>
      <c r="C923" t="inlineStr">
        <is>
          <t>Services / features</t>
        </is>
      </c>
      <c r="D923" s="5" t="inlineStr">
        <is>
          <t>Au service des entreprises de Lagos</t>
        </is>
      </c>
      <c r="E923" t="inlineStr">
        <is>
          <t>H2</t>
        </is>
      </c>
      <c r="F923" s="5" t="inlineStr">
        <is>
          <t>Commercial (local)</t>
        </is>
      </c>
      <c r="G923" t="inlineStr">
        <is>
          <t>développement web lagos</t>
        </is>
      </c>
      <c r="H923" t="inlineStr">
        <is>
          <t>SUPPORTS PRIMARY</t>
        </is>
      </c>
      <c r="I923" t="inlineStr">
        <is>
          <t>ng</t>
        </is>
      </c>
      <c r="J923" t="inlineStr">
        <is>
          <t>NOT AVAILABLE</t>
        </is>
      </c>
      <c r="K923" t="inlineStr">
        <is>
          <t>NOT AVAILABLE</t>
        </is>
      </c>
      <c r="L923" t="inlineStr">
        <is>
          <t>NOT AVAILABLE</t>
        </is>
      </c>
      <c r="M923" t="inlineStr">
        <is>
          <t>UNAVAILABLE</t>
        </is>
      </c>
      <c r="N923" t="inlineStr">
        <is>
          <t>Yes (supporting block)</t>
        </is>
      </c>
      <c r="O923" s="5" t="inlineStr">
        <is>
          <t>Supports the primary topic - add only if natural</t>
        </is>
      </c>
      <c r="P923" s="5" t="inlineStr"/>
      <c r="Q923" t="inlineStr">
        <is>
          <t>P3</t>
        </is>
      </c>
      <c r="R923" t="n">
        <v>22</v>
      </c>
      <c r="S923" s="5" t="inlineStr">
        <is>
          <t>Projets livrés à distance Prospects générés Clients accompagnés Résultats réels de Lagos - des entreprises avec lesquelles nous avons collaboré Expertise Sectorielle</t>
        </is>
      </c>
    </row>
    <row r="924">
      <c r="A924" s="3" t="inlineStr">
        <is>
          <t>https://codesommet.com/web-development-company/lagos</t>
        </is>
      </c>
      <c r="B924" t="n">
        <v>4</v>
      </c>
      <c r="C924" t="inlineStr">
        <is>
          <t>Content block</t>
        </is>
      </c>
      <c r="D924" s="5" t="inlineStr">
        <is>
          <t>Lagos Nos Secteurs de Spécialisation</t>
        </is>
      </c>
      <c r="E924" t="inlineStr">
        <is>
          <t>H2</t>
        </is>
      </c>
      <c r="F924" s="5" t="inlineStr">
        <is>
          <t>Commercial (local)</t>
        </is>
      </c>
      <c r="G924" t="inlineStr">
        <is>
          <t>développement web lagos</t>
        </is>
      </c>
      <c r="H924" t="inlineStr">
        <is>
          <t>SUPPORTS PRIMARY</t>
        </is>
      </c>
      <c r="I924" t="inlineStr">
        <is>
          <t>ng</t>
        </is>
      </c>
      <c r="J924" t="inlineStr">
        <is>
          <t>NOT AVAILABLE</t>
        </is>
      </c>
      <c r="K924" t="inlineStr">
        <is>
          <t>NOT AVAILABLE</t>
        </is>
      </c>
      <c r="L924" t="inlineStr">
        <is>
          <t>NOT AVAILABLE</t>
        </is>
      </c>
      <c r="M924" t="inlineStr">
        <is>
          <t>UNAVAILABLE</t>
        </is>
      </c>
      <c r="N924" t="inlineStr">
        <is>
          <t>Yes</t>
        </is>
      </c>
      <c r="O924" s="5" t="inlineStr">
        <is>
          <t>Covered - keep wording; no change</t>
        </is>
      </c>
      <c r="P924" s="5" t="inlineStr"/>
      <c r="Q924" t="inlineStr">
        <is>
          <t>P3</t>
        </is>
      </c>
      <c r="R924" t="n">
        <v>191</v>
      </c>
      <c r="S924" s="5" t="inlineStr">
        <is>
          <t>Expertise approfondie dans les secteurs clés de Lagos . Nous comprenons les défis uniques de votre secteur et les exigences de conformité. FinTech Plateformes financières sécurisées avec traitement des paiements, conform</t>
        </is>
      </c>
    </row>
    <row r="925">
      <c r="A925" s="3" t="inlineStr">
        <is>
          <t>https://codesommet.com/web-development-company/lagos</t>
        </is>
      </c>
      <c r="B925" t="n">
        <v>5</v>
      </c>
      <c r="C925" t="inlineStr">
        <is>
          <t>Testimonials / social proof</t>
        </is>
      </c>
      <c r="D925" s="5" t="inlineStr">
        <is>
          <t>Histoires de réussite à Lagos</t>
        </is>
      </c>
      <c r="E925" t="inlineStr">
        <is>
          <t>H2</t>
        </is>
      </c>
      <c r="F925" s="5" t="inlineStr">
        <is>
          <t>Commercial investigation</t>
        </is>
      </c>
      <c r="G925" t="inlineStr">
        <is>
          <t>développement web lagos</t>
        </is>
      </c>
      <c r="H925" t="inlineStr">
        <is>
          <t>SUPPORTS PRIMARY</t>
        </is>
      </c>
      <c r="I925" t="inlineStr">
        <is>
          <t>ng</t>
        </is>
      </c>
      <c r="J925" t="inlineStr">
        <is>
          <t>NOT AVAILABLE</t>
        </is>
      </c>
      <c r="K925" t="inlineStr">
        <is>
          <t>NOT AVAILABLE</t>
        </is>
      </c>
      <c r="L925" t="inlineStr">
        <is>
          <t>NOT AVAILABLE</t>
        </is>
      </c>
      <c r="M925" t="inlineStr">
        <is>
          <t>UNAVAILABLE</t>
        </is>
      </c>
      <c r="N925" t="inlineStr">
        <is>
          <t>Yes (supporting block)</t>
        </is>
      </c>
      <c r="O925" s="5" t="inlineStr">
        <is>
          <t>Supports the primary topic - add only if natural</t>
        </is>
      </c>
      <c r="P925" s="5" t="inlineStr"/>
      <c r="Q925" t="inlineStr">
        <is>
          <t>P3</t>
        </is>
      </c>
      <c r="R925" t="n">
        <v>62</v>
      </c>
      <c r="S925" s="5" t="inlineStr">
        <is>
          <t>Des projets réels, des résultats concrets. Découvrez comment nous avons aidé des entreprises de Lagos à atteindre leurs objectifs numériques. Beauté Boutique en ligne avec gestion des commandes GlamWorlds Maroc SaaS Gest</t>
        </is>
      </c>
    </row>
    <row r="926">
      <c r="A926" s="3" t="inlineStr">
        <is>
          <t>https://codesommet.com/web-development-company/lagos</t>
        </is>
      </c>
      <c r="B926" t="n">
        <v>6</v>
      </c>
      <c r="C926" t="inlineStr">
        <is>
          <t>Process / how it works</t>
        </is>
      </c>
      <c r="D926" s="5" t="inlineStr">
        <is>
          <t>Comment Nous Concevons des Portails Immobiliers Next.js Pensés pour le Marché de Lagos</t>
        </is>
      </c>
      <c r="E926" t="inlineStr">
        <is>
          <t>H2</t>
        </is>
      </c>
      <c r="F926" s="5" t="inlineStr">
        <is>
          <t>Informational / commercial</t>
        </is>
      </c>
      <c r="G926" t="inlineStr">
        <is>
          <t>développement web lagos</t>
        </is>
      </c>
      <c r="H926" t="inlineStr">
        <is>
          <t>SUPPORTS PRIMARY</t>
        </is>
      </c>
      <c r="I926" t="inlineStr">
        <is>
          <t>ng</t>
        </is>
      </c>
      <c r="J926" t="inlineStr">
        <is>
          <t>NOT AVAILABLE</t>
        </is>
      </c>
      <c r="K926" t="inlineStr">
        <is>
          <t>NOT AVAILABLE</t>
        </is>
      </c>
      <c r="L926" t="inlineStr">
        <is>
          <t>NOT AVAILABLE</t>
        </is>
      </c>
      <c r="M926" t="inlineStr">
        <is>
          <t>UNAVAILABLE</t>
        </is>
      </c>
      <c r="N926" t="inlineStr">
        <is>
          <t>Yes</t>
        </is>
      </c>
      <c r="O926" s="5" t="inlineStr">
        <is>
          <t>Covered - keep wording; no change</t>
        </is>
      </c>
      <c r="P926" s="5" t="inlineStr"/>
      <c r="Q926" t="inlineStr">
        <is>
          <t>P3</t>
        </is>
      </c>
      <c r="R926" t="n">
        <v>212</v>
      </c>
      <c r="S926" s="5" t="inlineStr">
        <is>
          <t>Entreprises de gestion et de promotion immobilière • Immobilier &amp; PropTech • 4 mois Le Défi Les entreprises de gestion immobilière à Lagos font souvent face au même constat : suivi manuel des prospects sur un grand nombr</t>
        </is>
      </c>
    </row>
    <row r="927">
      <c r="A927" s="3" t="inlineStr">
        <is>
          <t>https://codesommet.com/web-development-company/lagos</t>
        </is>
      </c>
      <c r="B927" t="n">
        <v>7</v>
      </c>
      <c r="C927" t="inlineStr">
        <is>
          <t>Pricing / offers</t>
        </is>
      </c>
      <c r="D927" s="5" t="inlineStr">
        <is>
          <t>Solutions Sur Mesure, Tarification Transparente</t>
        </is>
      </c>
      <c r="E927" t="inlineStr">
        <is>
          <t>H2</t>
        </is>
      </c>
      <c r="F927" s="5" t="inlineStr">
        <is>
          <t>Commercial / transactional</t>
        </is>
      </c>
      <c r="G927" t="inlineStr">
        <is>
          <t>développement web lagos</t>
        </is>
      </c>
      <c r="H927" t="inlineStr">
        <is>
          <t>SUPPORTS PRIMARY</t>
        </is>
      </c>
      <c r="I927" t="inlineStr">
        <is>
          <t>ng</t>
        </is>
      </c>
      <c r="J927" t="inlineStr">
        <is>
          <t>NOT AVAILABLE</t>
        </is>
      </c>
      <c r="K927" t="inlineStr">
        <is>
          <t>NOT AVAILABLE</t>
        </is>
      </c>
      <c r="L927" t="inlineStr">
        <is>
          <t>NOT AVAILABLE</t>
        </is>
      </c>
      <c r="M927" t="inlineStr">
        <is>
          <t>UNAVAILABLE</t>
        </is>
      </c>
      <c r="N927" t="inlineStr">
        <is>
          <t>Yes (supporting block)</t>
        </is>
      </c>
      <c r="O927" s="5" t="inlineStr">
        <is>
          <t>Supports the primary topic - add only if natural</t>
        </is>
      </c>
      <c r="P927" s="5" t="inlineStr"/>
      <c r="Q927" t="inlineStr">
        <is>
          <t>P3</t>
        </is>
      </c>
      <c r="R927" t="n">
        <v>193</v>
      </c>
      <c r="S927" s="5" t="inlineStr">
        <is>
          <t>Réservez un appel découverte pour discuter de vos besoins spécifiques et obtenir un devis sur mesure Recommandé Développement de Sites Web Site web complet avec fonctionnalités IA, tableaux de bord et design premium livr</t>
        </is>
      </c>
    </row>
    <row r="928">
      <c r="A928" s="3" t="inlineStr">
        <is>
          <t>https://codesommet.com/web-development-company/lagos</t>
        </is>
      </c>
      <c r="B928" t="n">
        <v>8</v>
      </c>
      <c r="C928" t="inlineStr">
        <is>
          <t>CTA / conversion</t>
        </is>
      </c>
      <c r="D928" s="5" t="inlineStr">
        <is>
          <t>Prêt à Améliorer Votre Site Web à Lagos ?</t>
        </is>
      </c>
      <c r="E928" t="inlineStr">
        <is>
          <t>H2</t>
        </is>
      </c>
      <c r="F928" s="5" t="inlineStr">
        <is>
          <t>Conversion</t>
        </is>
      </c>
      <c r="G928" t="inlineStr">
        <is>
          <t>—</t>
        </is>
      </c>
      <c r="H928" t="inlineStr">
        <is>
          <t>NONE</t>
        </is>
      </c>
      <c r="I928" t="inlineStr">
        <is>
          <t>—</t>
        </is>
      </c>
      <c r="J928" t="inlineStr">
        <is>
          <t>—</t>
        </is>
      </c>
      <c r="K928" t="inlineStr">
        <is>
          <t>—</t>
        </is>
      </c>
      <c r="L928" t="inlineStr">
        <is>
          <t>—</t>
        </is>
      </c>
      <c r="M928" t="inlineStr">
        <is>
          <t>—</t>
        </is>
      </c>
      <c r="N928" t="inlineStr">
        <is>
          <t>n/a</t>
        </is>
      </c>
      <c r="O928" s="5" t="inlineStr">
        <is>
          <t>No keyword target - keep conversion/navigation focus; use descriptive, non-repeated anchor texts</t>
        </is>
      </c>
      <c r="P928" s="5" t="inlineStr"/>
      <c r="Q928" t="inlineStr">
        <is>
          <t>P4</t>
        </is>
      </c>
      <c r="R928" t="n">
        <v>40</v>
      </c>
      <c r="S928" s="5" t="inlineStr">
        <is>
          <t>Obtenez d'abord une analyse gratuite complète : Audit SEO Vérification des performances Revue du design Recommandations alimentées par l'IA Analyser Votre Site Web - 100% Gratuit Aucune carte de crédit requise • Résultat</t>
        </is>
      </c>
    </row>
    <row r="929">
      <c r="A929" s="3" t="inlineStr">
        <is>
          <t>https://codesommet.com/web-development-company/lagos</t>
        </is>
      </c>
      <c r="B929" t="n">
        <v>9</v>
      </c>
      <c r="C929" t="inlineStr">
        <is>
          <t>Why us / differentiation</t>
        </is>
      </c>
      <c r="D929" s="5" t="inlineStr">
        <is>
          <t>CodeSommet Lagos vs Autres</t>
        </is>
      </c>
      <c r="E929" t="inlineStr">
        <is>
          <t>H2</t>
        </is>
      </c>
      <c r="F929" s="5" t="inlineStr">
        <is>
          <t>Commercial investigation</t>
        </is>
      </c>
      <c r="G929" t="inlineStr">
        <is>
          <t>développement web lagos</t>
        </is>
      </c>
      <c r="H929" t="inlineStr">
        <is>
          <t>SUPPORTS PRIMARY</t>
        </is>
      </c>
      <c r="I929" t="inlineStr">
        <is>
          <t>ng</t>
        </is>
      </c>
      <c r="J929" t="inlineStr">
        <is>
          <t>NOT AVAILABLE</t>
        </is>
      </c>
      <c r="K929" t="inlineStr">
        <is>
          <t>NOT AVAILABLE</t>
        </is>
      </c>
      <c r="L929" t="inlineStr">
        <is>
          <t>NOT AVAILABLE</t>
        </is>
      </c>
      <c r="M929" t="inlineStr">
        <is>
          <t>UNAVAILABLE</t>
        </is>
      </c>
      <c r="N929" t="inlineStr">
        <is>
          <t>Yes</t>
        </is>
      </c>
      <c r="O929" s="5" t="inlineStr">
        <is>
          <t>Covered - keep wording; no change</t>
        </is>
      </c>
      <c r="P929" s="5" t="inlineStr"/>
      <c r="Q929" t="inlineStr">
        <is>
          <t>P3</t>
        </is>
      </c>
      <c r="R929" t="n">
        <v>98</v>
      </c>
      <c r="S929" s="5" t="inlineStr">
        <is>
          <t>Découvrez pourquoi Lagos les entreprises choisissent CodeSommet plutôt que d'autres agences locales et internationales. Fonctionnalité CodeSommet Lagos Autres Agences de Lagos Agences Internationales Révisions Illimitées</t>
        </is>
      </c>
    </row>
    <row r="930">
      <c r="A930" s="3" t="inlineStr">
        <is>
          <t>https://codesommet.com/web-development-company/lagos</t>
        </is>
      </c>
      <c r="B930" t="n">
        <v>10</v>
      </c>
      <c r="C930" t="inlineStr">
        <is>
          <t>Testimonials / social proof</t>
        </is>
      </c>
      <c r="D930" s="5" t="inlineStr">
        <is>
          <t>Ce Que les Clients de Lagos Disent de Nous</t>
        </is>
      </c>
      <c r="E930" t="inlineStr">
        <is>
          <t>H2</t>
        </is>
      </c>
      <c r="F930" s="5" t="inlineStr">
        <is>
          <t>Commercial investigation</t>
        </is>
      </c>
      <c r="G930" t="inlineStr">
        <is>
          <t>développement web lagos</t>
        </is>
      </c>
      <c r="H930" t="inlineStr">
        <is>
          <t>SUPPORTS PRIMARY</t>
        </is>
      </c>
      <c r="I930" t="inlineStr">
        <is>
          <t>ng</t>
        </is>
      </c>
      <c r="J930" t="inlineStr">
        <is>
          <t>NOT AVAILABLE</t>
        </is>
      </c>
      <c r="K930" t="inlineStr">
        <is>
          <t>NOT AVAILABLE</t>
        </is>
      </c>
      <c r="L930" t="inlineStr">
        <is>
          <t>NOT AVAILABLE</t>
        </is>
      </c>
      <c r="M930" t="inlineStr">
        <is>
          <t>UNAVAILABLE</t>
        </is>
      </c>
      <c r="N930" t="inlineStr">
        <is>
          <t>Yes (supporting block)</t>
        </is>
      </c>
      <c r="O930" s="5" t="inlineStr">
        <is>
          <t>Supports the primary topic - add only if natural</t>
        </is>
      </c>
      <c r="P930" s="5" t="inlineStr"/>
      <c r="Q930" t="inlineStr">
        <is>
          <t>P3</t>
        </is>
      </c>
      <c r="R930" t="n">
        <v>103</v>
      </c>
      <c r="S930" s="5" t="inlineStr">
        <is>
          <t>Ne nous croyez pas sur parole. Écoutez les entreprises de Lagos qui ont obtenu des résultats remarquables avec CodeSommet. "Une collaboration professionnelle du début à la fin. Je recommande sans hésiter." Mohammed Chaji</t>
        </is>
      </c>
    </row>
    <row r="931">
      <c r="A931" s="3" t="inlineStr">
        <is>
          <t>https://codesommet.com/web-development-company/lagos</t>
        </is>
      </c>
      <c r="B931" t="n">
        <v>11</v>
      </c>
      <c r="C931" t="inlineStr">
        <is>
          <t>Process / how it works</t>
        </is>
      </c>
      <c r="D931" s="5" t="inlineStr">
        <is>
          <t>Comment démarrer en 3 étapes simples</t>
        </is>
      </c>
      <c r="E931" t="inlineStr">
        <is>
          <t>H2</t>
        </is>
      </c>
      <c r="F931" s="5" t="inlineStr">
        <is>
          <t>Informational / commercial</t>
        </is>
      </c>
      <c r="G931" t="inlineStr">
        <is>
          <t>développement web lagos</t>
        </is>
      </c>
      <c r="H931" t="inlineStr">
        <is>
          <t>SUPPORTS PRIMARY</t>
        </is>
      </c>
      <c r="I931" t="inlineStr">
        <is>
          <t>ng</t>
        </is>
      </c>
      <c r="J931" t="inlineStr">
        <is>
          <t>NOT AVAILABLE</t>
        </is>
      </c>
      <c r="K931" t="inlineStr">
        <is>
          <t>NOT AVAILABLE</t>
        </is>
      </c>
      <c r="L931" t="inlineStr">
        <is>
          <t>NOT AVAILABLE</t>
        </is>
      </c>
      <c r="M931" t="inlineStr">
        <is>
          <t>UNAVAILABLE</t>
        </is>
      </c>
      <c r="N931" t="inlineStr">
        <is>
          <t>Yes (supporting block)</t>
        </is>
      </c>
      <c r="O931" s="5" t="inlineStr">
        <is>
          <t>Supports the primary topic - add only if natural</t>
        </is>
      </c>
      <c r="P931" s="5" t="inlineStr"/>
      <c r="Q931" t="inlineStr">
        <is>
          <t>P3</t>
        </is>
      </c>
      <c r="R931" t="n">
        <v>286</v>
      </c>
      <c r="S931" s="5" t="inlineStr">
        <is>
          <t>Du premier appel à la livraison du projet, découvrez exactement comment nous travaillons ensemble Étape 1 Abonnement 1 projet actif Révisions illimitées Design &amp; développement SEO &amp; contenu Recommandé Développement de Si</t>
        </is>
      </c>
    </row>
    <row r="932">
      <c r="A932" s="3" t="inlineStr">
        <is>
          <t>https://codesommet.com/web-development-company/lagos</t>
        </is>
      </c>
      <c r="B932" t="n">
        <v>12</v>
      </c>
      <c r="C932" t="inlineStr">
        <is>
          <t>FAQ</t>
        </is>
      </c>
      <c r="D932" s="5" t="inlineStr">
        <is>
          <t>Questions Fréquemment Posées sur le Développement Web à Lagos</t>
        </is>
      </c>
      <c r="E932" t="inlineStr">
        <is>
          <t>H2</t>
        </is>
      </c>
      <c r="F932" s="5" t="inlineStr">
        <is>
          <t>Informational (pre-purchase questions)</t>
        </is>
      </c>
      <c r="G932" t="inlineStr">
        <is>
          <t>développement web lagos</t>
        </is>
      </c>
      <c r="H932" t="inlineStr">
        <is>
          <t>SUPPORTS PRIMARY</t>
        </is>
      </c>
      <c r="I932" t="inlineStr">
        <is>
          <t>ng</t>
        </is>
      </c>
      <c r="J932" t="inlineStr">
        <is>
          <t>NOT AVAILABLE</t>
        </is>
      </c>
      <c r="K932" t="inlineStr">
        <is>
          <t>NOT AVAILABLE</t>
        </is>
      </c>
      <c r="L932" t="inlineStr">
        <is>
          <t>NOT AVAILABLE</t>
        </is>
      </c>
      <c r="M932" t="inlineStr">
        <is>
          <t>UNAVAILABLE</t>
        </is>
      </c>
      <c r="N932" t="inlineStr">
        <is>
          <t>Yes</t>
        </is>
      </c>
      <c r="O932" s="5" t="inlineStr">
        <is>
          <t>Covered - keep wording; no change</t>
        </is>
      </c>
      <c r="P932" s="5" t="inlineStr"/>
      <c r="Q932" t="inlineStr">
        <is>
          <t>P3</t>
        </is>
      </c>
      <c r="R932" t="n">
        <v>381</v>
      </c>
      <c r="S932" s="5" t="inlineStr">
        <is>
          <t xml:space="preserve">Vous avez des questions ? Nous avons les réponses. Voici les questions les plus fréquentes des entreprises de Lagos. 1 Avez-vous un bureau physique à Lagos ? Nous n'avons pas de bureau à Lagos : notre équipe travaille à </t>
        </is>
      </c>
    </row>
    <row r="933">
      <c r="A933" s="3" t="inlineStr">
        <is>
          <t>https://codesommet.com/web-development-company/lagos</t>
        </is>
      </c>
      <c r="B933" t="n">
        <v>13</v>
      </c>
      <c r="C933" t="inlineStr">
        <is>
          <t>Internal-link block</t>
        </is>
      </c>
      <c r="D933" s="5" t="inlineStr">
        <is>
          <t>Nous Desservons Aussi</t>
        </is>
      </c>
      <c r="E933" t="inlineStr">
        <is>
          <t>H2</t>
        </is>
      </c>
      <c r="F933" s="5" t="inlineStr">
        <is>
          <t>Navigation</t>
        </is>
      </c>
      <c r="G933" t="inlineStr">
        <is>
          <t>—</t>
        </is>
      </c>
      <c r="H933" t="inlineStr">
        <is>
          <t>NONE</t>
        </is>
      </c>
      <c r="I933" t="inlineStr">
        <is>
          <t>—</t>
        </is>
      </c>
      <c r="J933" t="inlineStr">
        <is>
          <t>—</t>
        </is>
      </c>
      <c r="K933" t="inlineStr">
        <is>
          <t>—</t>
        </is>
      </c>
      <c r="L933" t="inlineStr">
        <is>
          <t>—</t>
        </is>
      </c>
      <c r="M933" t="inlineStr">
        <is>
          <t>—</t>
        </is>
      </c>
      <c r="N933" t="inlineStr">
        <is>
          <t>n/a</t>
        </is>
      </c>
      <c r="O933" s="5" t="inlineStr">
        <is>
          <t>No keyword target - keep conversion/navigation focus; use descriptive, non-repeated anchor texts</t>
        </is>
      </c>
      <c r="P933" s="5" t="inlineStr"/>
      <c r="Q933" t="inlineStr">
        <is>
          <t>P4</t>
        </is>
      </c>
      <c r="R933" t="n">
        <v>22</v>
      </c>
      <c r="S933" s="5" t="inlineStr">
        <is>
          <t>Explorez nos services de développement web dans d'autres villes à travers le monde Le Caire Égypte Tunis Tunisie Voir Toutes les Villes</t>
        </is>
      </c>
    </row>
    <row r="934">
      <c r="A934" s="3" t="inlineStr">
        <is>
          <t>https://codesommet.com/web-development-company/lagos</t>
        </is>
      </c>
      <c r="B934" t="n">
        <v>14</v>
      </c>
      <c r="C934" t="inlineStr">
        <is>
          <t>Internal-link block</t>
        </is>
      </c>
      <c r="D934" s="5" t="inlineStr">
        <is>
          <t>Explorer Plus</t>
        </is>
      </c>
      <c r="E934" t="inlineStr">
        <is>
          <t>H2</t>
        </is>
      </c>
      <c r="F934" s="5" t="inlineStr">
        <is>
          <t>Navigation</t>
        </is>
      </c>
      <c r="G934" t="inlineStr">
        <is>
          <t>—</t>
        </is>
      </c>
      <c r="H934" t="inlineStr">
        <is>
          <t>NONE</t>
        </is>
      </c>
      <c r="I934" t="inlineStr">
        <is>
          <t>—</t>
        </is>
      </c>
      <c r="J934" t="inlineStr">
        <is>
          <t>—</t>
        </is>
      </c>
      <c r="K934" t="inlineStr">
        <is>
          <t>—</t>
        </is>
      </c>
      <c r="L934" t="inlineStr">
        <is>
          <t>—</t>
        </is>
      </c>
      <c r="M934" t="inlineStr">
        <is>
          <t>—</t>
        </is>
      </c>
      <c r="N934" t="inlineStr">
        <is>
          <t>n/a</t>
        </is>
      </c>
      <c r="O934" s="5" t="inlineStr">
        <is>
          <t>No keyword target - keep conversion/navigation focus; use descriptive, non-repeated anchor texts</t>
        </is>
      </c>
      <c r="P934" s="5" t="inlineStr"/>
      <c r="Q934" t="inlineStr">
        <is>
          <t>P4</t>
        </is>
      </c>
      <c r="R934" t="n">
        <v>83</v>
      </c>
      <c r="S934" s="5" t="inlineStr">
        <is>
          <t xml:space="preserve">Découvrez ce qui fait de CodeSommet votre partenaire idéal en développement web Audit Gratuit de Site Web Obtenez une analyse alimentée par l'IA avec plus de 40 vérifications En savoir plus Voir Nos Projets Explorez les </t>
        </is>
      </c>
    </row>
    <row r="935">
      <c r="A935" s="3" t="inlineStr">
        <is>
          <t>https://codesommet.com/web-development-company/lagos</t>
        </is>
      </c>
      <c r="B935" t="n">
        <v>15</v>
      </c>
      <c r="C935" t="inlineStr">
        <is>
          <t>CTA / conversion</t>
        </is>
      </c>
      <c r="D935" s="5" t="inlineStr">
        <is>
          <t>Prêt à Créer Quelque Chose d'Extraordinaire ?</t>
        </is>
      </c>
      <c r="E935" t="inlineStr">
        <is>
          <t>H2</t>
        </is>
      </c>
      <c r="F935" s="5" t="inlineStr">
        <is>
          <t>Conversion</t>
        </is>
      </c>
      <c r="G935" t="inlineStr">
        <is>
          <t>—</t>
        </is>
      </c>
      <c r="H935" t="inlineStr">
        <is>
          <t>NONE</t>
        </is>
      </c>
      <c r="I935" t="inlineStr">
        <is>
          <t>—</t>
        </is>
      </c>
      <c r="J935" t="inlineStr">
        <is>
          <t>—</t>
        </is>
      </c>
      <c r="K935" t="inlineStr">
        <is>
          <t>—</t>
        </is>
      </c>
      <c r="L935" t="inlineStr">
        <is>
          <t>—</t>
        </is>
      </c>
      <c r="M935" t="inlineStr">
        <is>
          <t>—</t>
        </is>
      </c>
      <c r="N935" t="inlineStr">
        <is>
          <t>n/a</t>
        </is>
      </c>
      <c r="O935" s="5" t="inlineStr">
        <is>
          <t>No keyword target - keep conversion/navigation focus; use descriptive, non-repeated anchor texts</t>
        </is>
      </c>
      <c r="P935" s="5" t="inlineStr"/>
      <c r="Q935" t="inlineStr">
        <is>
          <t>P4</t>
        </is>
      </c>
      <c r="R935" t="n">
        <v>119</v>
      </c>
      <c r="S935" s="5" t="inlineStr">
        <is>
          <t>Rejoignez les entreprises visionnaires qui ont choisi l'excellence Réserver un Appel Découverte Analyser Mon Site Gratuitement Réserver un Appel Découverte Analyser Votre Site Web Discutons de la façon dont l'IA et le de</t>
        </is>
      </c>
    </row>
    <row r="936">
      <c r="A936" s="3" t="inlineStr">
        <is>
          <t>https://codesommet.com/tools/ai-crawler-access-checker</t>
        </is>
      </c>
      <c r="B936" t="n">
        <v>1</v>
      </c>
      <c r="C936" t="inlineStr">
        <is>
          <t>Hero / H1</t>
        </is>
      </c>
      <c r="D936" s="5" t="inlineStr">
        <is>
          <t>Accès des Robots d'IA : GPTBot, ClaudeBot</t>
        </is>
      </c>
      <c r="E936" t="inlineStr">
        <is>
          <t>H1</t>
        </is>
      </c>
      <c r="F936" s="5" t="inlineStr">
        <is>
          <t>Informational / tool use</t>
        </is>
      </c>
      <c r="G936" t="inlineStr">
        <is>
          <t>robots ia</t>
        </is>
      </c>
      <c r="H936" t="inlineStr">
        <is>
          <t>PRIMARY</t>
        </is>
      </c>
      <c r="I936" t="inlineStr">
        <is>
          <t>fr</t>
        </is>
      </c>
      <c r="J936" t="n">
        <v>320</v>
      </c>
      <c r="K936" t="n">
        <v>33</v>
      </c>
      <c r="L936" t="n">
        <v>0.79</v>
      </c>
      <c r="M936" t="inlineStr">
        <is>
          <t>MEASURED</t>
        </is>
      </c>
      <c r="N936" t="inlineStr">
        <is>
          <t>Yes</t>
        </is>
      </c>
      <c r="O936" s="5" t="inlineStr">
        <is>
          <t>Covered - keep wording; no change</t>
        </is>
      </c>
      <c r="P936" s="5" t="inlineStr"/>
      <c r="Q936" t="inlineStr">
        <is>
          <t>P3</t>
        </is>
      </c>
      <c r="R936" t="n">
        <v>56</v>
      </c>
      <c r="S936" s="5" t="inlineStr">
        <is>
          <t>Entraînement, recherche ou navigation : pour vingt robots d'IA, voyez ce que votre robots.txt, vos balises meta et votre llms.txt autorisent — et décidez en connaissance de cause. Gratuit • Aucune inscription requise URL</t>
        </is>
      </c>
    </row>
    <row r="937">
      <c r="A937" s="3" t="inlineStr">
        <is>
          <t>https://codesommet.com/tools/ai-crawler-access-checker</t>
        </is>
      </c>
      <c r="B937" t="n">
        <v>2</v>
      </c>
      <c r="C937" t="inlineStr">
        <is>
          <t>Content block</t>
        </is>
      </c>
      <c r="D937" s="5" t="inlineStr">
        <is>
          <t>Robots d'IA</t>
        </is>
      </c>
      <c r="E937" t="inlineStr">
        <is>
          <t>H2</t>
        </is>
      </c>
      <c r="F937" s="5" t="inlineStr">
        <is>
          <t>Informational / tool use</t>
        </is>
      </c>
      <c r="G937" t="inlineStr">
        <is>
          <t>crawler ia</t>
        </is>
      </c>
      <c r="H937" t="inlineStr">
        <is>
          <t>SUPPORTING</t>
        </is>
      </c>
      <c r="I937" t="inlineStr">
        <is>
          <t>fr</t>
        </is>
      </c>
      <c r="J937" t="n">
        <v>20</v>
      </c>
      <c r="K937" t="inlineStr">
        <is>
          <t>NOT AVAILABLE</t>
        </is>
      </c>
      <c r="L937" t="n">
        <v>0</v>
      </c>
      <c r="M937" t="inlineStr">
        <is>
          <t>MEASURED</t>
        </is>
      </c>
      <c r="N937" t="inlineStr">
        <is>
          <t>Yes (supporting block)</t>
        </is>
      </c>
      <c r="O937" s="5" t="inlineStr">
        <is>
          <t>Supports the primary topic - add only if natural</t>
        </is>
      </c>
      <c r="P937" s="5" t="inlineStr"/>
      <c r="Q937" t="inlineStr">
        <is>
          <t>P3</t>
        </is>
      </c>
      <c r="R937" t="n">
        <v>4</v>
      </c>
      <c r="S937" s="5" t="inlineStr">
        <is>
          <t>Tous Entraînement Recherche Navigation</t>
        </is>
      </c>
    </row>
    <row r="938">
      <c r="A938" s="3" t="inlineStr">
        <is>
          <t>https://codesommet.com/tools/ai-crawler-access-checker</t>
        </is>
      </c>
      <c r="B938" t="n">
        <v>3</v>
      </c>
      <c r="C938" t="inlineStr">
        <is>
          <t>Content block</t>
        </is>
      </c>
      <c r="D938" s="5" t="inlineStr">
        <is>
          <t>Signaux de la page</t>
        </is>
      </c>
      <c r="E938" t="inlineStr">
        <is>
          <t>H2</t>
        </is>
      </c>
      <c r="F938" s="5" t="inlineStr">
        <is>
          <t>Informational / tool use</t>
        </is>
      </c>
      <c r="G938" t="inlineStr">
        <is>
          <t>gptbot</t>
        </is>
      </c>
      <c r="H938" t="inlineStr">
        <is>
          <t>SUPPORTING</t>
        </is>
      </c>
      <c r="I938" t="inlineStr">
        <is>
          <t>fr</t>
        </is>
      </c>
      <c r="J938" t="n">
        <v>10</v>
      </c>
      <c r="K938" t="inlineStr">
        <is>
          <t>NOT AVAILABLE</t>
        </is>
      </c>
      <c r="L938" t="n">
        <v>0</v>
      </c>
      <c r="M938" t="inlineStr">
        <is>
          <t>MEASURED</t>
        </is>
      </c>
      <c r="N938" t="inlineStr">
        <is>
          <t>Yes (supporting block)</t>
        </is>
      </c>
      <c r="O938" s="5" t="inlineStr">
        <is>
          <t>Supports the primary topic - add only if natural</t>
        </is>
      </c>
      <c r="P938" s="5" t="inlineStr"/>
      <c r="Q938" t="inlineStr">
        <is>
          <t>P3</t>
        </is>
      </c>
      <c r="R938" t="n">
        <v>0</v>
      </c>
      <c r="S938" s="5" t="inlineStr"/>
    </row>
    <row r="939">
      <c r="A939" s="3" t="inlineStr">
        <is>
          <t>https://codesommet.com/tools/ai-crawler-access-checker</t>
        </is>
      </c>
      <c r="B939" t="n">
        <v>4</v>
      </c>
      <c r="C939" t="inlineStr">
        <is>
          <t>CTA / conversion</t>
        </is>
      </c>
      <c r="D939" s="5" t="inlineStr">
        <is>
          <t>robots.txt prêt à copier</t>
        </is>
      </c>
      <c r="E939" t="inlineStr">
        <is>
          <t>H2</t>
        </is>
      </c>
      <c r="F939" s="5" t="inlineStr">
        <is>
          <t>Conversion</t>
        </is>
      </c>
      <c r="G939" t="inlineStr">
        <is>
          <t>—</t>
        </is>
      </c>
      <c r="H939" t="inlineStr">
        <is>
          <t>NONE</t>
        </is>
      </c>
      <c r="I939" t="inlineStr">
        <is>
          <t>—</t>
        </is>
      </c>
      <c r="J939" t="inlineStr">
        <is>
          <t>—</t>
        </is>
      </c>
      <c r="K939" t="inlineStr">
        <is>
          <t>—</t>
        </is>
      </c>
      <c r="L939" t="inlineStr">
        <is>
          <t>—</t>
        </is>
      </c>
      <c r="M939" t="inlineStr">
        <is>
          <t>—</t>
        </is>
      </c>
      <c r="N939" t="inlineStr">
        <is>
          <t>n/a</t>
        </is>
      </c>
      <c r="O939" s="5" t="inlineStr">
        <is>
          <t>No keyword target - keep conversion/navigation focus; use descriptive, non-repeated anchor texts</t>
        </is>
      </c>
      <c r="P939" s="5" t="inlineStr"/>
      <c r="Q939" t="inlineStr">
        <is>
          <t>P4</t>
        </is>
      </c>
      <c r="R939" t="n">
        <v>35</v>
      </c>
      <c r="S939" s="5" t="inlineStr">
        <is>
          <t xml:space="preserve">Bloquer l'entraînement Tout autoriser Copier Copier Un groupe dédié remplace le groupe « * » pour ce robot : si vous bloquiez déjà des dossiers pour tous, répétez-les dans le nouveau groupe. Copier le résumé Télécharger </t>
        </is>
      </c>
    </row>
    <row r="940">
      <c r="A940" s="3" t="inlineStr">
        <is>
          <t>https://codesommet.com/tools/ai-crawler-access-checker</t>
        </is>
      </c>
      <c r="B940" t="n">
        <v>5</v>
      </c>
      <c r="C940" t="inlineStr">
        <is>
          <t>Content block</t>
        </is>
      </c>
      <c r="D940" s="5" t="inlineStr">
        <is>
          <t>Comment Utiliser Cet Outil</t>
        </is>
      </c>
      <c r="E940" t="inlineStr">
        <is>
          <t>H2</t>
        </is>
      </c>
      <c r="F940" s="5" t="inlineStr">
        <is>
          <t>Informational / tool use</t>
        </is>
      </c>
      <c r="G940" t="inlineStr">
        <is>
          <t>crawler ia</t>
        </is>
      </c>
      <c r="H940" t="inlineStr">
        <is>
          <t>SUPPORTING</t>
        </is>
      </c>
      <c r="I940" t="inlineStr">
        <is>
          <t>fr</t>
        </is>
      </c>
      <c r="J940" t="n">
        <v>20</v>
      </c>
      <c r="K940" t="inlineStr">
        <is>
          <t>NOT AVAILABLE</t>
        </is>
      </c>
      <c r="L940" t="n">
        <v>0</v>
      </c>
      <c r="M940" t="inlineStr">
        <is>
          <t>MEASURED</t>
        </is>
      </c>
      <c r="N940" t="inlineStr">
        <is>
          <t>Yes (supporting block)</t>
        </is>
      </c>
      <c r="O940" s="5" t="inlineStr">
        <is>
          <t>Supports the primary topic - add only if natural</t>
        </is>
      </c>
      <c r="P940" s="5" t="inlineStr"/>
      <c r="Q940" t="inlineStr">
        <is>
          <t>P3</t>
        </is>
      </c>
      <c r="R940" t="n">
        <v>59</v>
      </c>
      <c r="S940" s="5" t="inlineStr">
        <is>
          <t>1 Entrez l'adresse de votre site. Nous lisons robots.txt, la page indiquée (meta robots, X-Robots-Tag) et llms.txt. 2 Chaque robot est classé par usage : entraînement des modèles, index de recherche IA, ou navigation à l</t>
        </is>
      </c>
    </row>
    <row r="941">
      <c r="A941" s="3" t="inlineStr">
        <is>
          <t>https://codesommet.com/tools/ai-crawler-access-checker</t>
        </is>
      </c>
      <c r="B941" t="n">
        <v>6</v>
      </c>
      <c r="C941" t="inlineStr">
        <is>
          <t>FAQ</t>
        </is>
      </c>
      <c r="D941" s="5" t="inlineStr">
        <is>
          <t>Questions Fréquemment Posées</t>
        </is>
      </c>
      <c r="E941" t="inlineStr">
        <is>
          <t>H2</t>
        </is>
      </c>
      <c r="F941" s="5" t="inlineStr">
        <is>
          <t>Informational (pre-purchase questions)</t>
        </is>
      </c>
      <c r="G941" t="inlineStr">
        <is>
          <t>robots ia</t>
        </is>
      </c>
      <c r="H941" t="inlineStr">
        <is>
          <t>SUPPORTS PRIMARY</t>
        </is>
      </c>
      <c r="I941" t="inlineStr">
        <is>
          <t>fr</t>
        </is>
      </c>
      <c r="J941" t="n">
        <v>320</v>
      </c>
      <c r="K941" t="n">
        <v>33</v>
      </c>
      <c r="L941" t="n">
        <v>0.79</v>
      </c>
      <c r="M941" t="inlineStr">
        <is>
          <t>MEASURED</t>
        </is>
      </c>
      <c r="N941" t="inlineStr">
        <is>
          <t>Yes</t>
        </is>
      </c>
      <c r="O941" s="5" t="inlineStr">
        <is>
          <t>Covered - keep wording; no change</t>
        </is>
      </c>
      <c r="P941" s="5" t="inlineStr"/>
      <c r="Q941" t="inlineStr">
        <is>
          <t>P3</t>
        </is>
      </c>
      <c r="R941" t="n">
        <v>309</v>
      </c>
      <c r="S941" s="5" t="inlineStr">
        <is>
          <t>Entraînement, recherche, navigation : trois usages, trois décisions 1 Faut-il bloquer les robots d'IA ? Cela dépend de votre objectif. Bloquer les robots d'entraînement (GPTBot, ClaudeBot, Google-Extended…) protège vos c</t>
        </is>
      </c>
    </row>
    <row r="942">
      <c r="A942" s="3" t="inlineStr">
        <is>
          <t>https://codesommet.com/tools/ai-crawler-access-checker</t>
        </is>
      </c>
      <c r="B942" t="n">
        <v>7</v>
      </c>
      <c r="C942" t="inlineStr">
        <is>
          <t>Internal-link block</t>
        </is>
      </c>
      <c r="D942" s="5" t="inlineStr">
        <is>
          <t>Outils Connexes Qui Pourraient Vous Intéresser</t>
        </is>
      </c>
      <c r="E942" t="inlineStr">
        <is>
          <t>H2</t>
        </is>
      </c>
      <c r="F942" s="5" t="inlineStr">
        <is>
          <t>Navigation</t>
        </is>
      </c>
      <c r="G942" t="inlineStr">
        <is>
          <t>—</t>
        </is>
      </c>
      <c r="H942" t="inlineStr">
        <is>
          <t>NONE</t>
        </is>
      </c>
      <c r="I942" t="inlineStr">
        <is>
          <t>—</t>
        </is>
      </c>
      <c r="J942" t="inlineStr">
        <is>
          <t>—</t>
        </is>
      </c>
      <c r="K942" t="inlineStr">
        <is>
          <t>—</t>
        </is>
      </c>
      <c r="L942" t="inlineStr">
        <is>
          <t>—</t>
        </is>
      </c>
      <c r="M942" t="inlineStr">
        <is>
          <t>—</t>
        </is>
      </c>
      <c r="N942" t="inlineStr">
        <is>
          <t>n/a</t>
        </is>
      </c>
      <c r="O942" s="5" t="inlineStr">
        <is>
          <t>No keyword target - keep conversion/navigation focus; use descriptive, non-repeated anchor texts</t>
        </is>
      </c>
      <c r="P942" s="5" t="inlineStr"/>
      <c r="Q942" t="inlineStr">
        <is>
          <t>P4</t>
        </is>
      </c>
      <c r="R942" t="n">
        <v>56</v>
      </c>
      <c r="S942" s="5" t="inlineStr">
        <is>
          <t xml:space="preserve">Continuez à optimiser votre site web avec ces outils complémentaires Testeur Robots.txt Testez vos URL contre vos règles, robot par robot Essayer gratuitement seo Générateur Robots.txt Créez un fichier robots.txt propre </t>
        </is>
      </c>
    </row>
    <row r="943">
      <c r="A943" s="3" t="inlineStr">
        <is>
          <t>https://codesommet.com/tools/ai-crawler-access-checker</t>
        </is>
      </c>
      <c r="B943" t="n">
        <v>8</v>
      </c>
      <c r="C943" t="inlineStr">
        <is>
          <t>Content block</t>
        </is>
      </c>
      <c r="D943" s="5" t="inlineStr">
        <is>
          <t>Une Stratégie de Visibilité dans les Réponses IA ?</t>
        </is>
      </c>
      <c r="E943" t="inlineStr">
        <is>
          <t>H2</t>
        </is>
      </c>
      <c r="F943" s="5" t="inlineStr">
        <is>
          <t>Informational / tool use</t>
        </is>
      </c>
      <c r="G943" t="inlineStr">
        <is>
          <t>gptbot</t>
        </is>
      </c>
      <c r="H943" t="inlineStr">
        <is>
          <t>SUPPORTING</t>
        </is>
      </c>
      <c r="I943" t="inlineStr">
        <is>
          <t>fr</t>
        </is>
      </c>
      <c r="J943" t="n">
        <v>10</v>
      </c>
      <c r="K943" t="inlineStr">
        <is>
          <t>NOT AVAILABLE</t>
        </is>
      </c>
      <c r="L943" t="n">
        <v>0</v>
      </c>
      <c r="M943" t="inlineStr">
        <is>
          <t>MEASURED</t>
        </is>
      </c>
      <c r="N943" t="inlineStr">
        <is>
          <t>Yes (supporting block)</t>
        </is>
      </c>
      <c r="O943" s="5" t="inlineStr">
        <is>
          <t>Supports the primary topic - add only if natural</t>
        </is>
      </c>
      <c r="P943" s="5" t="inlineStr"/>
      <c r="Q943" t="inlineStr">
        <is>
          <t>P3</t>
        </is>
      </c>
      <c r="R943" t="n">
        <v>112</v>
      </c>
      <c r="S943" s="5" t="inlineStr">
        <is>
          <t>Nous optimisons vos contenus pour être compris et cités par ChatGPT, Perplexity et les AI Overviews de Google Réserver un Appel Découverte 50+ projets réussis • Livraison en 48h • Pas de contrats à long terme Sites web C</t>
        </is>
      </c>
    </row>
    <row r="944">
      <c r="A944" s="3" t="inlineStr">
        <is>
          <t>https://codesommet.com/tools/ai-readiness-checker</t>
        </is>
      </c>
      <c r="B944" t="n">
        <v>1</v>
      </c>
      <c r="C944" t="inlineStr">
        <is>
          <t>Hero / H1</t>
        </is>
      </c>
      <c r="D944" s="5" t="inlineStr">
        <is>
          <t>Test de Préparation aux Moteurs IA (GEO)</t>
        </is>
      </c>
      <c r="E944" t="inlineStr">
        <is>
          <t>H1</t>
        </is>
      </c>
      <c r="F944" s="5" t="inlineStr">
        <is>
          <t>Informational / tool use</t>
        </is>
      </c>
      <c r="G944" t="inlineStr">
        <is>
          <t>geo seo</t>
        </is>
      </c>
      <c r="H944" t="inlineStr">
        <is>
          <t>PRIMARY</t>
        </is>
      </c>
      <c r="I944" t="inlineStr">
        <is>
          <t>fr</t>
        </is>
      </c>
      <c r="J944" t="n">
        <v>1900</v>
      </c>
      <c r="K944" t="n">
        <v>34</v>
      </c>
      <c r="L944" t="n">
        <v>1.53</v>
      </c>
      <c r="M944" t="inlineStr">
        <is>
          <t>MEASURED</t>
        </is>
      </c>
      <c r="N944" t="inlineStr">
        <is>
          <t>Partly</t>
        </is>
      </c>
      <c r="O944" s="5" t="inlineStr">
        <is>
          <t>Work "geo seo" (or a close natural variant) into existing copy - no new heading needed</t>
        </is>
      </c>
      <c r="P944" s="5" t="inlineStr">
        <is>
          <t>Keyword/variant absent from this section</t>
        </is>
      </c>
      <c r="Q944" t="inlineStr">
        <is>
          <t>P3</t>
        </is>
      </c>
      <c r="R944" t="n">
        <v>101</v>
      </c>
      <c r="S944" s="5" t="inlineStr">
        <is>
          <t>ChatGPT Search, Perplexity, Claude, Copilot et les AI Overviews de Google ne citent que ce qu'ils peuvent atteindre et lire. Vérifiez l'accès des robots, les directives d'extrait et la structure qui rend un passage citab</t>
        </is>
      </c>
    </row>
    <row r="945">
      <c r="A945" s="3" t="inlineStr">
        <is>
          <t>https://codesommet.com/tools/ai-readiness-checker</t>
        </is>
      </c>
      <c r="B945" t="n">
        <v>2</v>
      </c>
      <c r="C945" t="inlineStr">
        <is>
          <t>Content block</t>
        </is>
      </c>
      <c r="D945" s="5" t="inlineStr">
        <is>
          <t>Robots de recherche et d'assistants IA</t>
        </is>
      </c>
      <c r="E945" t="inlineStr">
        <is>
          <t>H2</t>
        </is>
      </c>
      <c r="F945" s="5" t="inlineStr">
        <is>
          <t>Informational / tool use</t>
        </is>
      </c>
      <c r="G945" t="inlineStr">
        <is>
          <t>generative engine optimization</t>
        </is>
      </c>
      <c r="H945" t="inlineStr">
        <is>
          <t>SECONDARY</t>
        </is>
      </c>
      <c r="I945" t="inlineStr">
        <is>
          <t>fr</t>
        </is>
      </c>
      <c r="J945" t="n">
        <v>1300</v>
      </c>
      <c r="K945" t="n">
        <v>64</v>
      </c>
      <c r="L945" t="n">
        <v>2.9</v>
      </c>
      <c r="M945" t="inlineStr">
        <is>
          <t>MEASURED</t>
        </is>
      </c>
      <c r="N945" t="inlineStr">
        <is>
          <t>Partly</t>
        </is>
      </c>
      <c r="O945" s="5" t="inlineStr">
        <is>
          <t>Work "generative engine optimization" (or a close natural variant) into existing copy - no new heading needed</t>
        </is>
      </c>
      <c r="P945" s="5" t="inlineStr">
        <is>
          <t>Keyword/variant absent from this section</t>
        </is>
      </c>
      <c r="Q945" t="inlineStr">
        <is>
          <t>P3</t>
        </is>
      </c>
      <c r="R945" t="n">
        <v>33</v>
      </c>
      <c r="S945" s="5" t="inlineStr">
        <is>
          <t xml:space="preserve">Règles robots.txt appliquées à cette page pour les robots qui alimentent les réponses (les robots d'entraînement seul sont exclus). Détail par robot, y compris l'entraînement Copier le résumé Télécharger CSV Télécharger </t>
        </is>
      </c>
    </row>
    <row r="946">
      <c r="A946" s="3" t="inlineStr">
        <is>
          <t>https://codesommet.com/tools/ai-readiness-checker</t>
        </is>
      </c>
      <c r="B946" t="n">
        <v>3</v>
      </c>
      <c r="C946" t="inlineStr">
        <is>
          <t>Content block</t>
        </is>
      </c>
      <c r="D946" s="5" t="inlineStr">
        <is>
          <t>Comment Utiliser Cet Outil</t>
        </is>
      </c>
      <c r="E946" t="inlineStr">
        <is>
          <t>H2</t>
        </is>
      </c>
      <c r="F946" s="5" t="inlineStr">
        <is>
          <t>Informational / tool use</t>
        </is>
      </c>
      <c r="G946" t="inlineStr">
        <is>
          <t>référencement ia</t>
        </is>
      </c>
      <c r="H946" t="inlineStr">
        <is>
          <t>SECONDARY</t>
        </is>
      </c>
      <c r="I946" t="inlineStr">
        <is>
          <t>fr</t>
        </is>
      </c>
      <c r="J946" t="n">
        <v>480</v>
      </c>
      <c r="K946" t="n">
        <v>24</v>
      </c>
      <c r="L946" t="n">
        <v>2.84</v>
      </c>
      <c r="M946" t="inlineStr">
        <is>
          <t>MEASURED</t>
        </is>
      </c>
      <c r="N946" t="inlineStr">
        <is>
          <t>Partly</t>
        </is>
      </c>
      <c r="O946" s="5" t="inlineStr">
        <is>
          <t>Work "référencement ia" (or a close natural variant) into existing copy - no new heading needed</t>
        </is>
      </c>
      <c r="P946" s="5" t="inlineStr">
        <is>
          <t>Keyword/variant absent from this section</t>
        </is>
      </c>
      <c r="Q946" t="inlineStr">
        <is>
          <t>P3</t>
        </is>
      </c>
      <c r="R946" t="n">
        <v>50</v>
      </c>
      <c r="S946" s="5" t="inlineStr">
        <is>
          <t>1 Saisissez l'adresse d'une page publique. 2 L'outil lit le HTML brut, sans exécuter le JavaScript, comme la plupart des robots d'IA, puis robots.txt et /llms.txt. 3 Levez d'abord les blocages d'accès (robots, noindex, n</t>
        </is>
      </c>
    </row>
    <row r="947">
      <c r="A947" s="3" t="inlineStr">
        <is>
          <t>https://codesommet.com/tools/ai-readiness-checker</t>
        </is>
      </c>
      <c r="B947" t="n">
        <v>4</v>
      </c>
      <c r="C947" t="inlineStr">
        <is>
          <t>FAQ</t>
        </is>
      </c>
      <c r="D947" s="5" t="inlineStr">
        <is>
          <t>Questions Fréquemment Posées</t>
        </is>
      </c>
      <c r="E947" t="inlineStr">
        <is>
          <t>H2</t>
        </is>
      </c>
      <c r="F947" s="5" t="inlineStr">
        <is>
          <t>Informational (pre-purchase questions)</t>
        </is>
      </c>
      <c r="G947" t="inlineStr">
        <is>
          <t>geo seo</t>
        </is>
      </c>
      <c r="H947" t="inlineStr">
        <is>
          <t>SUPPORTS PRIMARY</t>
        </is>
      </c>
      <c r="I947" t="inlineStr">
        <is>
          <t>fr</t>
        </is>
      </c>
      <c r="J947" t="n">
        <v>1900</v>
      </c>
      <c r="K947" t="n">
        <v>34</v>
      </c>
      <c r="L947" t="n">
        <v>1.53</v>
      </c>
      <c r="M947" t="inlineStr">
        <is>
          <t>MEASURED</t>
        </is>
      </c>
      <c r="N947" t="inlineStr">
        <is>
          <t>Yes (supporting block)</t>
        </is>
      </c>
      <c r="O947" s="5" t="inlineStr">
        <is>
          <t>Supports the primary topic - add only if natural</t>
        </is>
      </c>
      <c r="P947" s="5" t="inlineStr"/>
      <c r="Q947" t="inlineStr">
        <is>
          <t>P3</t>
        </is>
      </c>
      <c r="R947" t="n">
        <v>175</v>
      </c>
      <c r="S947" s="5" t="inlineStr">
        <is>
          <t>Préparer une page pour les réponses IA 1 Pourquoi le texte sans JavaScript est-il si important ? La plupart des robots d'IA téléchargent le HTML sans exécuter les scripts. Un site dont le contenu n'apparaît qu'après rend</t>
        </is>
      </c>
    </row>
    <row r="948">
      <c r="A948" s="3" t="inlineStr">
        <is>
          <t>https://codesommet.com/tools/ai-readiness-checker</t>
        </is>
      </c>
      <c r="B948" t="n">
        <v>5</v>
      </c>
      <c r="C948" t="inlineStr">
        <is>
          <t>Internal-link block</t>
        </is>
      </c>
      <c r="D948" s="5" t="inlineStr">
        <is>
          <t>Outils Connexes Qui Pourraient Vous Intéresser</t>
        </is>
      </c>
      <c r="E948" t="inlineStr">
        <is>
          <t>H2</t>
        </is>
      </c>
      <c r="F948" s="5" t="inlineStr">
        <is>
          <t>Navigation</t>
        </is>
      </c>
      <c r="G948" t="inlineStr">
        <is>
          <t>—</t>
        </is>
      </c>
      <c r="H948" t="inlineStr">
        <is>
          <t>NONE</t>
        </is>
      </c>
      <c r="I948" t="inlineStr">
        <is>
          <t>—</t>
        </is>
      </c>
      <c r="J948" t="inlineStr">
        <is>
          <t>—</t>
        </is>
      </c>
      <c r="K948" t="inlineStr">
        <is>
          <t>—</t>
        </is>
      </c>
      <c r="L948" t="inlineStr">
        <is>
          <t>—</t>
        </is>
      </c>
      <c r="M948" t="inlineStr">
        <is>
          <t>—</t>
        </is>
      </c>
      <c r="N948" t="inlineStr">
        <is>
          <t>n/a</t>
        </is>
      </c>
      <c r="O948" s="5" t="inlineStr">
        <is>
          <t>No keyword target - keep conversion/navigation focus; use descriptive, non-repeated anchor texts</t>
        </is>
      </c>
      <c r="P948" s="5" t="inlineStr"/>
      <c r="Q948" t="inlineStr">
        <is>
          <t>P4</t>
        </is>
      </c>
      <c r="R948" t="n">
        <v>66</v>
      </c>
      <c r="S948" s="5" t="inlineStr">
        <is>
          <t>Continuez à optimiser votre site web avec ces outils complémentaires Accès des Robots IA Le détail de robots.txt pour 20 robots d'IA, entraînement compris. Essayer gratuitement seo Générateur de llms.txt Créez un llms.tx</t>
        </is>
      </c>
    </row>
    <row r="949">
      <c r="A949" s="3" t="inlineStr">
        <is>
          <t>https://codesommet.com/tools/ai-readiness-checker</t>
        </is>
      </c>
      <c r="B949" t="n">
        <v>6</v>
      </c>
      <c r="C949" t="inlineStr">
        <is>
          <t>Content block</t>
        </is>
      </c>
      <c r="D949" s="5" t="inlineStr">
        <is>
          <t>Être Cité par les Moteurs IA ?</t>
        </is>
      </c>
      <c r="E949" t="inlineStr">
        <is>
          <t>H2</t>
        </is>
      </c>
      <c r="F949" s="5" t="inlineStr">
        <is>
          <t>Informational / tool use</t>
        </is>
      </c>
      <c r="G949" t="inlineStr">
        <is>
          <t>optimisation moteurs ia</t>
        </is>
      </c>
      <c r="H949" t="inlineStr">
        <is>
          <t>SUPPORTING</t>
        </is>
      </c>
      <c r="I949" t="inlineStr">
        <is>
          <t>fr</t>
        </is>
      </c>
      <c r="J949" t="n">
        <v>30</v>
      </c>
      <c r="K949" t="inlineStr">
        <is>
          <t>NOT AVAILABLE</t>
        </is>
      </c>
      <c r="L949" t="n">
        <v>0</v>
      </c>
      <c r="M949" t="inlineStr">
        <is>
          <t>MEASURED</t>
        </is>
      </c>
      <c r="N949" t="inlineStr">
        <is>
          <t>Yes (supporting block)</t>
        </is>
      </c>
      <c r="O949" s="5" t="inlineStr">
        <is>
          <t>Supports the primary topic - add only if natural</t>
        </is>
      </c>
      <c r="P949" s="5" t="inlineStr"/>
      <c r="Q949" t="inlineStr">
        <is>
          <t>P3</t>
        </is>
      </c>
      <c r="R949" t="n">
        <v>111</v>
      </c>
      <c r="S949" s="5" t="inlineStr">
        <is>
          <t>Nous rendons vos pages lisibles sans JavaScript et structurons vos contenus en réponses claires, sourcées et balisées Réserver un Appel Découverte 50+ projets réussis • Livraison en 48h • Pas de contrats à long terme Sit</t>
        </is>
      </c>
    </row>
    <row r="950">
      <c r="A950" s="3" t="inlineStr">
        <is>
          <t>https://codesommet.com/tools/base64-encoder</t>
        </is>
      </c>
      <c r="B950" t="n">
        <v>1</v>
      </c>
      <c r="C950" t="inlineStr">
        <is>
          <t>Hero / H1</t>
        </is>
      </c>
      <c r="D950" s="5" t="inlineStr">
        <is>
          <t>Encodeur/Décodeur Base64 en Ligne Gratuit</t>
        </is>
      </c>
      <c r="E950" t="inlineStr">
        <is>
          <t>H1</t>
        </is>
      </c>
      <c r="F950" s="5" t="inlineStr">
        <is>
          <t>Informational / tool use</t>
        </is>
      </c>
      <c r="G950" t="inlineStr">
        <is>
          <t>base64 decode</t>
        </is>
      </c>
      <c r="H950" t="inlineStr">
        <is>
          <t>PRIMARY</t>
        </is>
      </c>
      <c r="I950" t="inlineStr">
        <is>
          <t>fr</t>
        </is>
      </c>
      <c r="J950" t="n">
        <v>9900</v>
      </c>
      <c r="K950" t="n">
        <v>60</v>
      </c>
      <c r="L950" t="n">
        <v>1.92</v>
      </c>
      <c r="M950" t="inlineStr">
        <is>
          <t>MEASURED</t>
        </is>
      </c>
      <c r="N950" t="inlineStr">
        <is>
          <t>Yes</t>
        </is>
      </c>
      <c r="O950" s="5" t="inlineStr">
        <is>
          <t>Covered - keep wording; no change</t>
        </is>
      </c>
      <c r="P950" s="5" t="inlineStr"/>
      <c r="Q950" t="inlineStr">
        <is>
          <t>P3</t>
        </is>
      </c>
      <c r="R950" t="n">
        <v>29</v>
      </c>
      <c r="S950" s="5" t="inlineStr">
        <is>
          <t>Encodez du texte en Base64 ou décodez des chaînes Base64 instantanément sans stockage de données Gratuit • Aucune inscription requise Encoder Décoder Texte à Encoder 0 caractères Encoder en Base64</t>
        </is>
      </c>
    </row>
    <row r="951">
      <c r="A951" s="3" t="inlineStr">
        <is>
          <t>https://codesommet.com/tools/base64-encoder</t>
        </is>
      </c>
      <c r="B951" t="n">
        <v>2</v>
      </c>
      <c r="C951" t="inlineStr">
        <is>
          <t>Content block</t>
        </is>
      </c>
      <c r="D951" s="5" t="inlineStr">
        <is>
          <t>Qu'est-ce que l'Encodage Base64 ?</t>
        </is>
      </c>
      <c r="E951" t="inlineStr">
        <is>
          <t>H2</t>
        </is>
      </c>
      <c r="F951" s="5" t="inlineStr">
        <is>
          <t>Informational / tool use</t>
        </is>
      </c>
      <c r="G951" t="inlineStr">
        <is>
          <t>base64 encode</t>
        </is>
      </c>
      <c r="H951" t="inlineStr">
        <is>
          <t>SECONDARY</t>
        </is>
      </c>
      <c r="I951" t="inlineStr">
        <is>
          <t>fr</t>
        </is>
      </c>
      <c r="J951" t="n">
        <v>1900</v>
      </c>
      <c r="K951" t="n">
        <v>69</v>
      </c>
      <c r="L951" t="n">
        <v>0</v>
      </c>
      <c r="M951" t="inlineStr">
        <is>
          <t>MEASURED</t>
        </is>
      </c>
      <c r="N951" t="inlineStr">
        <is>
          <t>Yes</t>
        </is>
      </c>
      <c r="O951" s="5" t="inlineStr">
        <is>
          <t>Covered - keep wording; no change</t>
        </is>
      </c>
      <c r="P951" s="5" t="inlineStr"/>
      <c r="Q951" t="inlineStr">
        <is>
          <t>P3</t>
        </is>
      </c>
      <c r="R951" t="n">
        <v>126</v>
      </c>
      <c r="S951" s="5" t="inlineStr">
        <is>
          <t>Base64 est un schéma d'encodage binaire vers texte qui convertit les données binaires en format texte ASCII. Il est couramment utilisé pour : Intégration d'images en HTML/CSS : URI de données en ligne pour des chargement</t>
        </is>
      </c>
    </row>
    <row r="952">
      <c r="A952" s="3" t="inlineStr">
        <is>
          <t>https://codesommet.com/tools/base64-encoder</t>
        </is>
      </c>
      <c r="B952" t="n">
        <v>3</v>
      </c>
      <c r="C952" t="inlineStr">
        <is>
          <t>FAQ</t>
        </is>
      </c>
      <c r="D952" s="5" t="inlineStr">
        <is>
          <t>Questions Fréquemment Posées</t>
        </is>
      </c>
      <c r="E952" t="inlineStr">
        <is>
          <t>H2</t>
        </is>
      </c>
      <c r="F952" s="5" t="inlineStr">
        <is>
          <t>Informational (pre-purchase questions)</t>
        </is>
      </c>
      <c r="G952" t="inlineStr">
        <is>
          <t>base64 decode</t>
        </is>
      </c>
      <c r="H952" t="inlineStr">
        <is>
          <t>SUPPORTS PRIMARY</t>
        </is>
      </c>
      <c r="I952" t="inlineStr">
        <is>
          <t>fr</t>
        </is>
      </c>
      <c r="J952" t="n">
        <v>9900</v>
      </c>
      <c r="K952" t="n">
        <v>60</v>
      </c>
      <c r="L952" t="n">
        <v>1.92</v>
      </c>
      <c r="M952" t="inlineStr">
        <is>
          <t>MEASURED</t>
        </is>
      </c>
      <c r="N952" t="inlineStr">
        <is>
          <t>Yes</t>
        </is>
      </c>
      <c r="O952" s="5" t="inlineStr">
        <is>
          <t>Covered - keep wording; no change</t>
        </is>
      </c>
      <c r="P952" s="5" t="inlineStr"/>
      <c r="Q952" t="inlineStr">
        <is>
          <t>P3</t>
        </is>
      </c>
      <c r="R952" t="n">
        <v>571</v>
      </c>
      <c r="S952" s="5" t="inlineStr">
        <is>
          <t>Questions courantes sur cet outil et comment l'utiliser efficacement 1 Qu'est-ce que l'encodage Base64 et pourquoi est-il utilisé ? Base64 est un schéma d'encodage binaire vers texte qui convertit les données binaires en</t>
        </is>
      </c>
    </row>
    <row r="953">
      <c r="A953" s="3" t="inlineStr">
        <is>
          <t>https://codesommet.com/tools/base64-encoder</t>
        </is>
      </c>
      <c r="B953" t="n">
        <v>4</v>
      </c>
      <c r="C953" t="inlineStr">
        <is>
          <t>Internal-link block</t>
        </is>
      </c>
      <c r="D953" s="5" t="inlineStr">
        <is>
          <t>Outils Connexes Qui Pourraient Vous Intéresser</t>
        </is>
      </c>
      <c r="E953" t="inlineStr">
        <is>
          <t>H2</t>
        </is>
      </c>
      <c r="F953" s="5" t="inlineStr">
        <is>
          <t>Navigation</t>
        </is>
      </c>
      <c r="G953" t="inlineStr">
        <is>
          <t>—</t>
        </is>
      </c>
      <c r="H953" t="inlineStr">
        <is>
          <t>NONE</t>
        </is>
      </c>
      <c r="I953" t="inlineStr">
        <is>
          <t>—</t>
        </is>
      </c>
      <c r="J953" t="inlineStr">
        <is>
          <t>—</t>
        </is>
      </c>
      <c r="K953" t="inlineStr">
        <is>
          <t>—</t>
        </is>
      </c>
      <c r="L953" t="inlineStr">
        <is>
          <t>—</t>
        </is>
      </c>
      <c r="M953" t="inlineStr">
        <is>
          <t>—</t>
        </is>
      </c>
      <c r="N953" t="inlineStr">
        <is>
          <t>n/a</t>
        </is>
      </c>
      <c r="O953" s="5" t="inlineStr">
        <is>
          <t>No keyword target - keep conversion/navigation focus; use descriptive, non-repeated anchor texts</t>
        </is>
      </c>
      <c r="P953" s="5" t="inlineStr"/>
      <c r="Q953" t="inlineStr">
        <is>
          <t>P4</t>
        </is>
      </c>
      <c r="R953" t="n">
        <v>66</v>
      </c>
      <c r="S953" s="5" t="inlineStr">
        <is>
          <t>Continuez à optimiser votre site web avec ces outils complémentaires Générateur de Schema FAQ Convertissez les FAQ en schéma JSON-LD compatible Google Essayer gratuitement content Analyseur de Score de Lisibilité Analyse</t>
        </is>
      </c>
    </row>
    <row r="954">
      <c r="A954" s="3" t="inlineStr">
        <is>
          <t>https://codesommet.com/tools/base64-encoder</t>
        </is>
      </c>
      <c r="B954" t="n">
        <v>5</v>
      </c>
      <c r="C954" t="inlineStr">
        <is>
          <t>CTA / conversion</t>
        </is>
      </c>
      <c r="D954" s="5" t="inlineStr">
        <is>
          <t>Besoin d'un Outil Personnalisé pour Votre Entreprise ?</t>
        </is>
      </c>
      <c r="E954" t="inlineStr">
        <is>
          <t>H2</t>
        </is>
      </c>
      <c r="F954" s="5" t="inlineStr">
        <is>
          <t>Conversion</t>
        </is>
      </c>
      <c r="G954" t="inlineStr">
        <is>
          <t>—</t>
        </is>
      </c>
      <c r="H954" t="inlineStr">
        <is>
          <t>NONE</t>
        </is>
      </c>
      <c r="I954" t="inlineStr">
        <is>
          <t>—</t>
        </is>
      </c>
      <c r="J954" t="inlineStr">
        <is>
          <t>—</t>
        </is>
      </c>
      <c r="K954" t="inlineStr">
        <is>
          <t>—</t>
        </is>
      </c>
      <c r="L954" t="inlineStr">
        <is>
          <t>—</t>
        </is>
      </c>
      <c r="M954" t="inlineStr">
        <is>
          <t>—</t>
        </is>
      </c>
      <c r="N954" t="inlineStr">
        <is>
          <t>n/a</t>
        </is>
      </c>
      <c r="O954" s="5" t="inlineStr">
        <is>
          <t>No keyword target - keep conversion/navigation focus; use descriptive, non-repeated anchor texts</t>
        </is>
      </c>
      <c r="P954" s="5" t="inlineStr"/>
      <c r="Q954" t="inlineStr">
        <is>
          <t>P4</t>
        </is>
      </c>
      <c r="R954" t="n">
        <v>109</v>
      </c>
      <c r="S954" s="5" t="inlineStr">
        <is>
          <t>Nous créons des outils alimentés par l'IA, des tableaux de bord et des automatisations qui génèrent de vrais résultats Réserver un Appel Découverte 50+ projets réussis • Livraison en 48h • Sans engagement Sites web Chatb</t>
        </is>
      </c>
    </row>
    <row r="955">
      <c r="A955" s="3" t="inlineStr">
        <is>
          <t>https://codesommet.com/tools/blog-title-generator</t>
        </is>
      </c>
      <c r="B955" t="n">
        <v>1</v>
      </c>
      <c r="C955" t="inlineStr">
        <is>
          <t>Hero / H1</t>
        </is>
      </c>
      <c r="D955" s="5" t="inlineStr">
        <is>
          <t>Générateur de Titres de Blog IA Gratuit</t>
        </is>
      </c>
      <c r="E955" t="inlineStr">
        <is>
          <t>H1</t>
        </is>
      </c>
      <c r="F955" s="5" t="inlineStr">
        <is>
          <t>Informational / tool use</t>
        </is>
      </c>
      <c r="G955" t="inlineStr">
        <is>
          <t>générateur de titre</t>
        </is>
      </c>
      <c r="H955" t="inlineStr">
        <is>
          <t>PRIMARY</t>
        </is>
      </c>
      <c r="I955" t="inlineStr">
        <is>
          <t>fr</t>
        </is>
      </c>
      <c r="J955" t="n">
        <v>140</v>
      </c>
      <c r="K955" t="n">
        <v>21</v>
      </c>
      <c r="L955" t="n">
        <v>1.39</v>
      </c>
      <c r="M955" t="inlineStr">
        <is>
          <t>MEASURED</t>
        </is>
      </c>
      <c r="N955" t="inlineStr">
        <is>
          <t>Yes</t>
        </is>
      </c>
      <c r="O955" s="5" t="inlineStr">
        <is>
          <t>Covered - keep wording; no change</t>
        </is>
      </c>
      <c r="P955" s="5" t="inlineStr"/>
      <c r="Q955" t="inlineStr">
        <is>
          <t>P3</t>
        </is>
      </c>
      <c r="R955" t="n">
        <v>35</v>
      </c>
      <c r="S955" s="5" t="inlineStr">
        <is>
          <t>Générez instantanément 10 titres de blog performants et optimisés pour le SEO. Obtenez des titres accrocheurs avec des mots puissants, des déclencheurs émotionnels et des formules éprouvées qui génèrent des clics. Gratui</t>
        </is>
      </c>
    </row>
    <row r="956">
      <c r="A956" s="3" t="inlineStr">
        <is>
          <t>https://codesommet.com/tools/blog-title-generator</t>
        </is>
      </c>
      <c r="B956" t="n">
        <v>2</v>
      </c>
      <c r="C956" t="inlineStr">
        <is>
          <t>Tool interface</t>
        </is>
      </c>
      <c r="D956" s="5" t="inlineStr">
        <is>
          <t>Entrez Votre Sujet</t>
        </is>
      </c>
      <c r="E956" t="inlineStr">
        <is>
          <t>H2</t>
        </is>
      </c>
      <c r="F956" s="5" t="inlineStr">
        <is>
          <t>Tool use</t>
        </is>
      </c>
      <c r="G956" t="inlineStr">
        <is>
          <t>générateur de titre</t>
        </is>
      </c>
      <c r="H956" t="inlineStr">
        <is>
          <t>SUPPORTS PRIMARY</t>
        </is>
      </c>
      <c r="I956" t="inlineStr">
        <is>
          <t>fr</t>
        </is>
      </c>
      <c r="J956" t="n">
        <v>140</v>
      </c>
      <c r="K956" t="n">
        <v>21</v>
      </c>
      <c r="L956" t="n">
        <v>1.39</v>
      </c>
      <c r="M956" t="inlineStr">
        <is>
          <t>MEASURED</t>
        </is>
      </c>
      <c r="N956" t="inlineStr">
        <is>
          <t>Yes (supporting block)</t>
        </is>
      </c>
      <c r="O956" s="5" t="inlineStr">
        <is>
          <t>Supports the primary topic - add only if natural</t>
        </is>
      </c>
      <c r="P956" s="5" t="inlineStr"/>
      <c r="Q956" t="inlineStr">
        <is>
          <t>P3</t>
        </is>
      </c>
      <c r="R956" t="n">
        <v>145</v>
      </c>
      <c r="S956" s="5" t="inlineStr">
        <is>
          <t>Sujet ou Mot-clé du Blog * Entrez n'importe quel sujet - nous générerons 10 titres dignes de devenir viraux Générer 10 Titres Comment ça Fonctionne 1 Entrez le Sujet Tapez simplement votre sujet de blog ou mot-clé princi</t>
        </is>
      </c>
    </row>
    <row r="957">
      <c r="A957" s="3" t="inlineStr">
        <is>
          <t>https://codesommet.com/tools/blog-title-generator</t>
        </is>
      </c>
      <c r="B957" t="n">
        <v>3</v>
      </c>
      <c r="C957" t="inlineStr">
        <is>
          <t>FAQ</t>
        </is>
      </c>
      <c r="D957" s="5" t="inlineStr">
        <is>
          <t>Questions Fréquemment Posées</t>
        </is>
      </c>
      <c r="E957" t="inlineStr">
        <is>
          <t>H2</t>
        </is>
      </c>
      <c r="F957" s="5" t="inlineStr">
        <is>
          <t>Informational (pre-purchase questions)</t>
        </is>
      </c>
      <c r="G957" t="inlineStr">
        <is>
          <t>générateur de titre</t>
        </is>
      </c>
      <c r="H957" t="inlineStr">
        <is>
          <t>SUPPORTS PRIMARY</t>
        </is>
      </c>
      <c r="I957" t="inlineStr">
        <is>
          <t>fr</t>
        </is>
      </c>
      <c r="J957" t="n">
        <v>140</v>
      </c>
      <c r="K957" t="n">
        <v>21</v>
      </c>
      <c r="L957" t="n">
        <v>1.39</v>
      </c>
      <c r="M957" t="inlineStr">
        <is>
          <t>MEASURED</t>
        </is>
      </c>
      <c r="N957" t="inlineStr">
        <is>
          <t>Yes (supporting block)</t>
        </is>
      </c>
      <c r="O957" s="5" t="inlineStr">
        <is>
          <t>Supports the primary topic - add only if natural</t>
        </is>
      </c>
      <c r="P957" s="5" t="inlineStr"/>
      <c r="Q957" t="inlineStr">
        <is>
          <t>P3</t>
        </is>
      </c>
      <c r="R957" t="n">
        <v>553</v>
      </c>
      <c r="S957" s="5" t="inlineStr">
        <is>
          <t>Questions courantes sur cet outil et comment l'utiliser efficacement 1 Qu'est-ce qui fait un bon titre de blog ? Un bon titre de blog doit contenir 50 à 70 caractères, inclure votre mot-clé principal au début, utiliser d</t>
        </is>
      </c>
    </row>
    <row r="958">
      <c r="A958" s="3" t="inlineStr">
        <is>
          <t>https://codesommet.com/tools/blog-title-generator</t>
        </is>
      </c>
      <c r="B958" t="n">
        <v>4</v>
      </c>
      <c r="C958" t="inlineStr">
        <is>
          <t>Internal-link block</t>
        </is>
      </c>
      <c r="D958" s="5" t="inlineStr">
        <is>
          <t>Outils Connexes Qui Pourraient Vous Intéresser</t>
        </is>
      </c>
      <c r="E958" t="inlineStr">
        <is>
          <t>H2</t>
        </is>
      </c>
      <c r="F958" s="5" t="inlineStr">
        <is>
          <t>Navigation</t>
        </is>
      </c>
      <c r="G958" t="inlineStr">
        <is>
          <t>—</t>
        </is>
      </c>
      <c r="H958" t="inlineStr">
        <is>
          <t>NONE</t>
        </is>
      </c>
      <c r="I958" t="inlineStr">
        <is>
          <t>—</t>
        </is>
      </c>
      <c r="J958" t="inlineStr">
        <is>
          <t>—</t>
        </is>
      </c>
      <c r="K958" t="inlineStr">
        <is>
          <t>—</t>
        </is>
      </c>
      <c r="L958" t="inlineStr">
        <is>
          <t>—</t>
        </is>
      </c>
      <c r="M958" t="inlineStr">
        <is>
          <t>—</t>
        </is>
      </c>
      <c r="N958" t="inlineStr">
        <is>
          <t>n/a</t>
        </is>
      </c>
      <c r="O958" s="5" t="inlineStr">
        <is>
          <t>No keyword target - keep conversion/navigation focus; use descriptive, non-repeated anchor texts</t>
        </is>
      </c>
      <c r="P958" s="5" t="inlineStr"/>
      <c r="Q958" t="inlineStr">
        <is>
          <t>P4</t>
        </is>
      </c>
      <c r="R958" t="n">
        <v>68</v>
      </c>
      <c r="S958" s="5" t="inlineStr">
        <is>
          <t>Continuez à optimiser votre site web avec ces outils complémentaires Générateur de Balises Meta IA Générez des balises méta optimisées pour le SEO avec l'IA Essayer gratuitement ai AI Landing Page Generator Texte complet</t>
        </is>
      </c>
    </row>
    <row r="959">
      <c r="A959" s="3" t="inlineStr">
        <is>
          <t>https://codesommet.com/tools/blog-title-generator</t>
        </is>
      </c>
      <c r="B959" t="n">
        <v>5</v>
      </c>
      <c r="C959" t="inlineStr">
        <is>
          <t>CTA / conversion</t>
        </is>
      </c>
      <c r="D959" s="5" t="inlineStr">
        <is>
          <t>Besoin d'un Outil Personnalisé pour Votre Entreprise ?</t>
        </is>
      </c>
      <c r="E959" t="inlineStr">
        <is>
          <t>H2</t>
        </is>
      </c>
      <c r="F959" s="5" t="inlineStr">
        <is>
          <t>Conversion</t>
        </is>
      </c>
      <c r="G959" t="inlineStr">
        <is>
          <t>—</t>
        </is>
      </c>
      <c r="H959" t="inlineStr">
        <is>
          <t>NONE</t>
        </is>
      </c>
      <c r="I959" t="inlineStr">
        <is>
          <t>—</t>
        </is>
      </c>
      <c r="J959" t="inlineStr">
        <is>
          <t>—</t>
        </is>
      </c>
      <c r="K959" t="inlineStr">
        <is>
          <t>—</t>
        </is>
      </c>
      <c r="L959" t="inlineStr">
        <is>
          <t>—</t>
        </is>
      </c>
      <c r="M959" t="inlineStr">
        <is>
          <t>—</t>
        </is>
      </c>
      <c r="N959" t="inlineStr">
        <is>
          <t>n/a</t>
        </is>
      </c>
      <c r="O959" s="5" t="inlineStr">
        <is>
          <t>No keyword target - keep conversion/navigation focus; use descriptive, non-repeated anchor texts</t>
        </is>
      </c>
      <c r="P959" s="5" t="inlineStr"/>
      <c r="Q959" t="inlineStr">
        <is>
          <t>P4</t>
        </is>
      </c>
      <c r="R959" t="n">
        <v>109</v>
      </c>
      <c r="S959" s="5" t="inlineStr">
        <is>
          <t>Nous créons des outils alimentés par l'IA, des tableaux de bord et des automatisations qui génèrent de vrais résultats Réserver un Appel Découverte 50+ projets réussis • Livraison en 48h • Sans engagement Sites web Chatb</t>
        </is>
      </c>
    </row>
    <row r="960">
      <c r="A960" s="3" t="inlineStr">
        <is>
          <t>https://codesommet.com/tools/bot-viewer</t>
        </is>
      </c>
      <c r="B960" t="n">
        <v>1</v>
      </c>
      <c r="C960" t="inlineStr">
        <is>
          <t>Hero / H1</t>
        </is>
      </c>
      <c r="D960" s="5" t="inlineStr">
        <is>
          <t>Bot Viewer : Votre Page Vue par Googlebot</t>
        </is>
      </c>
      <c r="E960" t="inlineStr">
        <is>
          <t>H1</t>
        </is>
      </c>
      <c r="F960" s="5" t="inlineStr">
        <is>
          <t>Informational / tool use</t>
        </is>
      </c>
      <c r="G960" t="inlineStr">
        <is>
          <t>googlebot</t>
        </is>
      </c>
      <c r="H960" t="inlineStr">
        <is>
          <t>PRIMARY</t>
        </is>
      </c>
      <c r="I960" t="inlineStr">
        <is>
          <t>fr</t>
        </is>
      </c>
      <c r="J960" t="n">
        <v>390</v>
      </c>
      <c r="K960" t="n">
        <v>22</v>
      </c>
      <c r="L960" t="n">
        <v>0</v>
      </c>
      <c r="M960" t="inlineStr">
        <is>
          <t>MEASURED</t>
        </is>
      </c>
      <c r="N960" t="inlineStr">
        <is>
          <t>Yes</t>
        </is>
      </c>
      <c r="O960" s="5" t="inlineStr">
        <is>
          <t>Covered - keep wording; no change</t>
        </is>
      </c>
      <c r="P960" s="5" t="inlineStr"/>
      <c r="Q960" t="inlineStr">
        <is>
          <t>P3</t>
        </is>
      </c>
      <c r="R960" t="n">
        <v>59</v>
      </c>
      <c r="S960" s="5" t="inlineStr">
        <is>
          <t xml:space="preserve">Votre serveur répond-il la même chose à Googlebot qu'à un visiteur ? Chargez la page avec le User-Agent de chaque robot et comparez statut, redirections, titre, contenu et liens. Gratuit • Aucune inscription requise URL </t>
        </is>
      </c>
    </row>
    <row r="961">
      <c r="A961" s="3" t="inlineStr">
        <is>
          <t>https://codesommet.com/tools/bot-viewer</t>
        </is>
      </c>
      <c r="B961" t="n">
        <v>2</v>
      </c>
      <c r="C961" t="inlineStr">
        <is>
          <t>Content block</t>
        </is>
      </c>
      <c r="D961" s="5" t="inlineStr">
        <is>
          <t>Comparaison</t>
        </is>
      </c>
      <c r="E961" t="inlineStr">
        <is>
          <t>H2</t>
        </is>
      </c>
      <c r="F961" s="5" t="inlineStr">
        <is>
          <t>Informational / tool use</t>
        </is>
      </c>
      <c r="G961" t="inlineStr">
        <is>
          <t>googlebot</t>
        </is>
      </c>
      <c r="H961" t="inlineStr">
        <is>
          <t>SUPPORTS PRIMARY</t>
        </is>
      </c>
      <c r="I961" t="inlineStr">
        <is>
          <t>fr</t>
        </is>
      </c>
      <c r="J961" t="n">
        <v>390</v>
      </c>
      <c r="K961" t="n">
        <v>22</v>
      </c>
      <c r="L961" t="n">
        <v>0</v>
      </c>
      <c r="M961" t="inlineStr">
        <is>
          <t>MEASURED</t>
        </is>
      </c>
      <c r="N961" t="inlineStr">
        <is>
          <t>Yes (supporting block)</t>
        </is>
      </c>
      <c r="O961" s="5" t="inlineStr">
        <is>
          <t>Supports the primary topic - add only if natural</t>
        </is>
      </c>
      <c r="P961" s="5" t="inlineStr"/>
      <c r="Q961" t="inlineStr">
        <is>
          <t>P3</t>
        </is>
      </c>
      <c r="R961" t="n">
        <v>0</v>
      </c>
      <c r="S961" s="5" t="inlineStr"/>
    </row>
    <row r="962">
      <c r="A962" s="3" t="inlineStr">
        <is>
          <t>https://codesommet.com/tools/bot-viewer</t>
        </is>
      </c>
      <c r="B962" t="n">
        <v>3</v>
      </c>
      <c r="C962" t="inlineStr">
        <is>
          <t>Content block</t>
        </is>
      </c>
      <c r="D962" s="5" t="inlineStr">
        <is>
          <t>Texte reçu par chaque robot</t>
        </is>
      </c>
      <c r="E962" t="inlineStr">
        <is>
          <t>H2</t>
        </is>
      </c>
      <c r="F962" s="5" t="inlineStr">
        <is>
          <t>Informational / tool use</t>
        </is>
      </c>
      <c r="G962" t="inlineStr">
        <is>
          <t>googlebot</t>
        </is>
      </c>
      <c r="H962" t="inlineStr">
        <is>
          <t>SUPPORTS PRIMARY</t>
        </is>
      </c>
      <c r="I962" t="inlineStr">
        <is>
          <t>fr</t>
        </is>
      </c>
      <c r="J962" t="n">
        <v>390</v>
      </c>
      <c r="K962" t="n">
        <v>22</v>
      </c>
      <c r="L962" t="n">
        <v>0</v>
      </c>
      <c r="M962" t="inlineStr">
        <is>
          <t>MEASURED</t>
        </is>
      </c>
      <c r="N962" t="inlineStr">
        <is>
          <t>Yes (supporting block)</t>
        </is>
      </c>
      <c r="O962" s="5" t="inlineStr">
        <is>
          <t>Supports the primary topic - add only if natural</t>
        </is>
      </c>
      <c r="P962" s="5" t="inlineStr"/>
      <c r="Q962" t="inlineStr">
        <is>
          <t>P3</t>
        </is>
      </c>
      <c r="R962" t="n">
        <v>7</v>
      </c>
      <c r="S962" s="5" t="inlineStr">
        <is>
          <t>Copier le résumé Télécharger CSV Télécharger JSON</t>
        </is>
      </c>
    </row>
    <row r="963">
      <c r="A963" s="3" t="inlineStr">
        <is>
          <t>https://codesommet.com/tools/bot-viewer</t>
        </is>
      </c>
      <c r="B963" t="n">
        <v>4</v>
      </c>
      <c r="C963" t="inlineStr">
        <is>
          <t>Content block</t>
        </is>
      </c>
      <c r="D963" s="5" t="inlineStr">
        <is>
          <t>Comment Utiliser Cet Outil</t>
        </is>
      </c>
      <c r="E963" t="inlineStr">
        <is>
          <t>H2</t>
        </is>
      </c>
      <c r="F963" s="5" t="inlineStr">
        <is>
          <t>Informational / tool use</t>
        </is>
      </c>
      <c r="G963" t="inlineStr">
        <is>
          <t>googlebot</t>
        </is>
      </c>
      <c r="H963" t="inlineStr">
        <is>
          <t>SUPPORTS PRIMARY</t>
        </is>
      </c>
      <c r="I963" t="inlineStr">
        <is>
          <t>fr</t>
        </is>
      </c>
      <c r="J963" t="n">
        <v>390</v>
      </c>
      <c r="K963" t="n">
        <v>22</v>
      </c>
      <c r="L963" t="n">
        <v>0</v>
      </c>
      <c r="M963" t="inlineStr">
        <is>
          <t>MEASURED</t>
        </is>
      </c>
      <c r="N963" t="inlineStr">
        <is>
          <t>Yes</t>
        </is>
      </c>
      <c r="O963" s="5" t="inlineStr">
        <is>
          <t>Covered - keep wording; no change</t>
        </is>
      </c>
      <c r="P963" s="5" t="inlineStr"/>
      <c r="Q963" t="inlineStr">
        <is>
          <t>P3</t>
        </is>
      </c>
      <c r="R963" t="n">
        <v>65</v>
      </c>
      <c r="S963" s="5" t="inlineStr">
        <is>
          <t xml:space="preserve">1 Entrez l'URL à tester et cochez jusqu'à quatre robots : Googlebot smartphone et ordinateur, Bingbot, GPTBot, ClaudeBot, PerplexityBot, Facebook ou curl. 2 Nous chargeons la page une fois par User-Agent (en suivant les </t>
        </is>
      </c>
    </row>
    <row r="964">
      <c r="A964" s="3" t="inlineStr">
        <is>
          <t>https://codesommet.com/tools/bot-viewer</t>
        </is>
      </c>
      <c r="B964" t="n">
        <v>5</v>
      </c>
      <c r="C964" t="inlineStr">
        <is>
          <t>FAQ</t>
        </is>
      </c>
      <c r="D964" s="5" t="inlineStr">
        <is>
          <t>Questions Fréquemment Posées</t>
        </is>
      </c>
      <c r="E964" t="inlineStr">
        <is>
          <t>H2</t>
        </is>
      </c>
      <c r="F964" s="5" t="inlineStr">
        <is>
          <t>Informational (pre-purchase questions)</t>
        </is>
      </c>
      <c r="G964" t="inlineStr">
        <is>
          <t>googlebot</t>
        </is>
      </c>
      <c r="H964" t="inlineStr">
        <is>
          <t>SUPPORTS PRIMARY</t>
        </is>
      </c>
      <c r="I964" t="inlineStr">
        <is>
          <t>fr</t>
        </is>
      </c>
      <c r="J964" t="n">
        <v>390</v>
      </c>
      <c r="K964" t="n">
        <v>22</v>
      </c>
      <c r="L964" t="n">
        <v>0</v>
      </c>
      <c r="M964" t="inlineStr">
        <is>
          <t>MEASURED</t>
        </is>
      </c>
      <c r="N964" t="inlineStr">
        <is>
          <t>Yes</t>
        </is>
      </c>
      <c r="O964" s="5" t="inlineStr">
        <is>
          <t>Covered - keep wording; no change</t>
        </is>
      </c>
      <c r="P964" s="5" t="inlineStr"/>
      <c r="Q964" t="inlineStr">
        <is>
          <t>P3</t>
        </is>
      </c>
      <c r="R964" t="n">
        <v>310</v>
      </c>
      <c r="S964" s="5" t="inlineStr">
        <is>
          <t xml:space="preserve">Cloaking, pare-feux et rendu différencié 1 Qu'est-ce que le cloaking ? Servir aux moteurs un contenu différent de celui servi aux visiteurs. C'est une violation des règles de Google, sanctionnée par une action manuelle. </t>
        </is>
      </c>
    </row>
    <row r="965">
      <c r="A965" s="3" t="inlineStr">
        <is>
          <t>https://codesommet.com/tools/bot-viewer</t>
        </is>
      </c>
      <c r="B965" t="n">
        <v>6</v>
      </c>
      <c r="C965" t="inlineStr">
        <is>
          <t>Internal-link block</t>
        </is>
      </c>
      <c r="D965" s="5" t="inlineStr">
        <is>
          <t>Outils Connexes Qui Pourraient Vous Intéresser</t>
        </is>
      </c>
      <c r="E965" t="inlineStr">
        <is>
          <t>H2</t>
        </is>
      </c>
      <c r="F965" s="5" t="inlineStr">
        <is>
          <t>Navigation</t>
        </is>
      </c>
      <c r="G965" t="inlineStr">
        <is>
          <t>—</t>
        </is>
      </c>
      <c r="H965" t="inlineStr">
        <is>
          <t>NONE</t>
        </is>
      </c>
      <c r="I965" t="inlineStr">
        <is>
          <t>—</t>
        </is>
      </c>
      <c r="J965" t="inlineStr">
        <is>
          <t>—</t>
        </is>
      </c>
      <c r="K965" t="inlineStr">
        <is>
          <t>—</t>
        </is>
      </c>
      <c r="L965" t="inlineStr">
        <is>
          <t>—</t>
        </is>
      </c>
      <c r="M965" t="inlineStr">
        <is>
          <t>—</t>
        </is>
      </c>
      <c r="N965" t="inlineStr">
        <is>
          <t>n/a</t>
        </is>
      </c>
      <c r="O965" s="5" t="inlineStr">
        <is>
          <t>No keyword target - keep conversion/navigation focus; use descriptive, non-repeated anchor texts</t>
        </is>
      </c>
      <c r="P965" s="5" t="inlineStr"/>
      <c r="Q965" t="inlineStr">
        <is>
          <t>P4</t>
        </is>
      </c>
      <c r="R965" t="n">
        <v>58</v>
      </c>
      <c r="S965" s="5" t="inlineStr">
        <is>
          <t xml:space="preserve">Continuez à optimiser votre site web avec ces outils complémentaires Vérificateur de Redirections Suivez la chaîne complète de redirections Essayer gratuitement seo En-têtes de Sécurité HTTP Note de A à F et corrections </t>
        </is>
      </c>
    </row>
    <row r="966">
      <c r="A966" s="3" t="inlineStr">
        <is>
          <t>https://codesommet.com/tools/bot-viewer</t>
        </is>
      </c>
      <c r="B966" t="n">
        <v>7</v>
      </c>
      <c r="C966" t="inlineStr">
        <is>
          <t>Content block</t>
        </is>
      </c>
      <c r="D966" s="5" t="inlineStr">
        <is>
          <t>Un Pare-feu Qui Bloque les Moteurs ?</t>
        </is>
      </c>
      <c r="E966" t="inlineStr">
        <is>
          <t>H2</t>
        </is>
      </c>
      <c r="F966" s="5" t="inlineStr">
        <is>
          <t>Informational / tool use</t>
        </is>
      </c>
      <c r="G966" t="inlineStr">
        <is>
          <t>googlebot</t>
        </is>
      </c>
      <c r="H966" t="inlineStr">
        <is>
          <t>SUPPORTS PRIMARY</t>
        </is>
      </c>
      <c r="I966" t="inlineStr">
        <is>
          <t>fr</t>
        </is>
      </c>
      <c r="J966" t="n">
        <v>390</v>
      </c>
      <c r="K966" t="n">
        <v>22</v>
      </c>
      <c r="L966" t="n">
        <v>0</v>
      </c>
      <c r="M966" t="inlineStr">
        <is>
          <t>MEASURED</t>
        </is>
      </c>
      <c r="N966" t="inlineStr">
        <is>
          <t>Yes (supporting block)</t>
        </is>
      </c>
      <c r="O966" s="5" t="inlineStr">
        <is>
          <t>Supports the primary topic - add only if natural</t>
        </is>
      </c>
      <c r="P966" s="5" t="inlineStr"/>
      <c r="Q966" t="inlineStr">
        <is>
          <t>P3</t>
        </is>
      </c>
      <c r="R966" t="n">
        <v>110</v>
      </c>
      <c r="S966" s="5" t="inlineStr">
        <is>
          <t>Nous configurons CDN, WAF et rendu serveur pour que chaque robot utile voie exactement votre contenu Réserver un Appel Découverte 50+ projets réussis • Livraison en 48h • Pas de contrats à long terme Sites web Chatbots I</t>
        </is>
      </c>
    </row>
    <row r="967">
      <c r="A967" s="3" t="inlineStr">
        <is>
          <t>https://codesommet.com/tools/broken-link-checker</t>
        </is>
      </c>
      <c r="B967" t="n">
        <v>1</v>
      </c>
      <c r="C967" t="inlineStr">
        <is>
          <t>Hero / H1</t>
        </is>
      </c>
      <c r="D967" s="5" t="inlineStr">
        <is>
          <t>Vérificateur de Liens Brisés Gratuit</t>
        </is>
      </c>
      <c r="E967" t="inlineStr">
        <is>
          <t>H1</t>
        </is>
      </c>
      <c r="F967" s="5" t="inlineStr">
        <is>
          <t>Informational / tool use</t>
        </is>
      </c>
      <c r="G967" t="inlineStr">
        <is>
          <t>broken link checker</t>
        </is>
      </c>
      <c r="H967" t="inlineStr">
        <is>
          <t>PRIMARY</t>
        </is>
      </c>
      <c r="I967" t="inlineStr">
        <is>
          <t>fr</t>
        </is>
      </c>
      <c r="J967" t="n">
        <v>720</v>
      </c>
      <c r="K967" t="n">
        <v>78</v>
      </c>
      <c r="L967" t="n">
        <v>1.23</v>
      </c>
      <c r="M967" t="inlineStr">
        <is>
          <t>MEASURED</t>
        </is>
      </c>
      <c r="N967" t="inlineStr">
        <is>
          <t>Partly</t>
        </is>
      </c>
      <c r="O967" s="5" t="inlineStr">
        <is>
          <t>Work "broken link checker" (or a close natural variant) into existing copy - no new heading needed</t>
        </is>
      </c>
      <c r="P967" s="5" t="inlineStr">
        <is>
          <t>Keyword/variant absent from this section</t>
        </is>
      </c>
      <c r="Q967" t="inlineStr">
        <is>
          <t>P3</t>
        </is>
      </c>
      <c r="R967" t="n">
        <v>55</v>
      </c>
      <c r="S967" s="5" t="inlineStr">
        <is>
          <t>Scannez votre page web pour les liens brisés et les redirections. Trouvez et corrigez les erreurs 404, les délais d'attente et les URL obsolètes pour améliorer le SEO et l'expérience utilisateur. Gratuit • Aucune inscrip</t>
        </is>
      </c>
    </row>
    <row r="968">
      <c r="A968" s="3" t="inlineStr">
        <is>
          <t>https://codesommet.com/tools/broken-link-checker</t>
        </is>
      </c>
      <c r="B968" t="n">
        <v>2</v>
      </c>
      <c r="C968" t="inlineStr">
        <is>
          <t>Content block</t>
        </is>
      </c>
      <c r="D968" s="5" t="inlineStr">
        <is>
          <t>Vérifier les liens de tout le site</t>
        </is>
      </c>
      <c r="E968" t="inlineStr">
        <is>
          <t>H2</t>
        </is>
      </c>
      <c r="F968" s="5" t="inlineStr">
        <is>
          <t>Informational / tool use</t>
        </is>
      </c>
      <c r="G968" t="inlineStr">
        <is>
          <t>liens cassés</t>
        </is>
      </c>
      <c r="H968" t="inlineStr">
        <is>
          <t>SUPPORTING</t>
        </is>
      </c>
      <c r="I968" t="inlineStr">
        <is>
          <t>fr</t>
        </is>
      </c>
      <c r="J968" t="n">
        <v>20</v>
      </c>
      <c r="K968" t="inlineStr">
        <is>
          <t>NOT AVAILABLE</t>
        </is>
      </c>
      <c r="L968" t="n">
        <v>0</v>
      </c>
      <c r="M968" t="inlineStr">
        <is>
          <t>MEASURED</t>
        </is>
      </c>
      <c r="N968" t="inlineStr">
        <is>
          <t>Yes</t>
        </is>
      </c>
      <c r="O968" s="5" t="inlineStr">
        <is>
          <t>Covered - keep wording; no change</t>
        </is>
      </c>
      <c r="P968" s="5" t="inlineStr"/>
      <c r="Q968" t="inlineStr">
        <is>
          <t>P3</t>
        </is>
      </c>
      <c r="R968" t="n">
        <v>53</v>
      </c>
      <c r="S968" s="5" t="inlineStr">
        <is>
          <t>Explorez jusqu'à 20 pages de votre site et testez chaque lien trouvé, interne et externe : liens cassés, erreurs serveur et redirections, avec les pages qui les contiennent. Page de départ Explorer le site robots.txt est</t>
        </is>
      </c>
    </row>
    <row r="969">
      <c r="A969" s="3" t="inlineStr">
        <is>
          <t>https://codesommet.com/tools/broken-link-checker</t>
        </is>
      </c>
      <c r="B969" t="n">
        <v>3</v>
      </c>
      <c r="C969" t="inlineStr">
        <is>
          <t>FAQ</t>
        </is>
      </c>
      <c r="D969" s="5" t="inlineStr">
        <is>
          <t>Questions Fréquemment Posées</t>
        </is>
      </c>
      <c r="E969" t="inlineStr">
        <is>
          <t>H2</t>
        </is>
      </c>
      <c r="F969" s="5" t="inlineStr">
        <is>
          <t>Informational (pre-purchase questions)</t>
        </is>
      </c>
      <c r="G969" t="inlineStr">
        <is>
          <t>broken link checker</t>
        </is>
      </c>
      <c r="H969" t="inlineStr">
        <is>
          <t>SUPPORTS PRIMARY</t>
        </is>
      </c>
      <c r="I969" t="inlineStr">
        <is>
          <t>fr</t>
        </is>
      </c>
      <c r="J969" t="n">
        <v>720</v>
      </c>
      <c r="K969" t="n">
        <v>78</v>
      </c>
      <c r="L969" t="n">
        <v>1.23</v>
      </c>
      <c r="M969" t="inlineStr">
        <is>
          <t>MEASURED</t>
        </is>
      </c>
      <c r="N969" t="inlineStr">
        <is>
          <t>Yes (supporting block)</t>
        </is>
      </c>
      <c r="O969" s="5" t="inlineStr">
        <is>
          <t>Supports the primary topic - add only if natural</t>
        </is>
      </c>
      <c r="P969" s="5" t="inlineStr"/>
      <c r="Q969" t="inlineStr">
        <is>
          <t>P3</t>
        </is>
      </c>
      <c r="R969" t="n">
        <v>545</v>
      </c>
      <c r="S969" s="5" t="inlineStr">
        <is>
          <t>Questions courantes sur cet outil et comment l'utiliser efficacement 1 Que sont les liens brisés et pourquoi nuisent-ils au SEO ? Les liens brisés sont des hyperliens menant vers des pages inexistantes (erreurs 404), ent</t>
        </is>
      </c>
    </row>
    <row r="970">
      <c r="A970" s="3" t="inlineStr">
        <is>
          <t>https://codesommet.com/tools/broken-link-checker</t>
        </is>
      </c>
      <c r="B970" t="n">
        <v>4</v>
      </c>
      <c r="C970" t="inlineStr">
        <is>
          <t>Internal-link block</t>
        </is>
      </c>
      <c r="D970" s="5" t="inlineStr">
        <is>
          <t>Outils Connexes Qui Pourraient Vous Intéresser</t>
        </is>
      </c>
      <c r="E970" t="inlineStr">
        <is>
          <t>H2</t>
        </is>
      </c>
      <c r="F970" s="5" t="inlineStr">
        <is>
          <t>Navigation</t>
        </is>
      </c>
      <c r="G970" t="inlineStr">
        <is>
          <t>—</t>
        </is>
      </c>
      <c r="H970" t="inlineStr">
        <is>
          <t>NONE</t>
        </is>
      </c>
      <c r="I970" t="inlineStr">
        <is>
          <t>—</t>
        </is>
      </c>
      <c r="J970" t="inlineStr">
        <is>
          <t>—</t>
        </is>
      </c>
      <c r="K970" t="inlineStr">
        <is>
          <t>—</t>
        </is>
      </c>
      <c r="L970" t="inlineStr">
        <is>
          <t>—</t>
        </is>
      </c>
      <c r="M970" t="inlineStr">
        <is>
          <t>—</t>
        </is>
      </c>
      <c r="N970" t="inlineStr">
        <is>
          <t>n/a</t>
        </is>
      </c>
      <c r="O970" s="5" t="inlineStr">
        <is>
          <t>No keyword target - keep conversion/navigation focus; use descriptive, non-repeated anchor texts</t>
        </is>
      </c>
      <c r="P970" s="5" t="inlineStr"/>
      <c r="Q970" t="inlineStr">
        <is>
          <t>P4</t>
        </is>
      </c>
      <c r="R970" t="n">
        <v>115</v>
      </c>
      <c r="S970" s="5" t="inlineStr">
        <is>
          <t>Continuez à optimiser votre site web avec ces outils complémentaires Vérificateur de Liens Nofollow Analysez le HTML pour trouver les liens nofollow et les métriques de liens Essayer gratuitement seo Analyseur de Structu</t>
        </is>
      </c>
    </row>
    <row r="971">
      <c r="A971" s="3" t="inlineStr">
        <is>
          <t>https://codesommet.com/tools/broken-link-checker</t>
        </is>
      </c>
      <c r="B971" t="n">
        <v>5</v>
      </c>
      <c r="C971" t="inlineStr">
        <is>
          <t>CTA / conversion</t>
        </is>
      </c>
      <c r="D971" s="5" t="inlineStr">
        <is>
          <t>Besoin d'un Outil Personnalisé pour Votre Entreprise ?</t>
        </is>
      </c>
      <c r="E971" t="inlineStr">
        <is>
          <t>H2</t>
        </is>
      </c>
      <c r="F971" s="5" t="inlineStr">
        <is>
          <t>Conversion</t>
        </is>
      </c>
      <c r="G971" t="inlineStr">
        <is>
          <t>—</t>
        </is>
      </c>
      <c r="H971" t="inlineStr">
        <is>
          <t>NONE</t>
        </is>
      </c>
      <c r="I971" t="inlineStr">
        <is>
          <t>—</t>
        </is>
      </c>
      <c r="J971" t="inlineStr">
        <is>
          <t>—</t>
        </is>
      </c>
      <c r="K971" t="inlineStr">
        <is>
          <t>—</t>
        </is>
      </c>
      <c r="L971" t="inlineStr">
        <is>
          <t>—</t>
        </is>
      </c>
      <c r="M971" t="inlineStr">
        <is>
          <t>—</t>
        </is>
      </c>
      <c r="N971" t="inlineStr">
        <is>
          <t>n/a</t>
        </is>
      </c>
      <c r="O971" s="5" t="inlineStr">
        <is>
          <t>No keyword target - keep conversion/navigation focus; use descriptive, non-repeated anchor texts</t>
        </is>
      </c>
      <c r="P971" s="5" t="inlineStr"/>
      <c r="Q971" t="inlineStr">
        <is>
          <t>P4</t>
        </is>
      </c>
      <c r="R971" t="n">
        <v>109</v>
      </c>
      <c r="S971" s="5" t="inlineStr">
        <is>
          <t>Nous créons des outils alimentés par l'IA, des tableaux de bord et des automatisations qui génèrent de vrais résultats Réserver un Appel Découverte 50+ projets réussis • Livraison en 48h • Sans engagement Sites web Chatb</t>
        </is>
      </c>
    </row>
    <row r="972">
      <c r="A972" s="3" t="inlineStr">
        <is>
          <t>https://codesommet.com/tools/canonical-checker</t>
        </is>
      </c>
      <c r="B972" t="n">
        <v>1</v>
      </c>
      <c r="C972" t="inlineStr">
        <is>
          <t>Hero / H1</t>
        </is>
      </c>
      <c r="D972" s="5" t="inlineStr">
        <is>
          <t>Vérificateur de Balise Canonical Gratuit</t>
        </is>
      </c>
      <c r="E972" t="inlineStr">
        <is>
          <t>H1</t>
        </is>
      </c>
      <c r="F972" s="5" t="inlineStr">
        <is>
          <t>Informational / tool use</t>
        </is>
      </c>
      <c r="G972" t="inlineStr">
        <is>
          <t>url canonique</t>
        </is>
      </c>
      <c r="H972" t="inlineStr">
        <is>
          <t>PRIMARY</t>
        </is>
      </c>
      <c r="I972" t="inlineStr">
        <is>
          <t>fr</t>
        </is>
      </c>
      <c r="J972" t="n">
        <v>390</v>
      </c>
      <c r="K972" t="n">
        <v>30</v>
      </c>
      <c r="L972" t="n">
        <v>0.1</v>
      </c>
      <c r="M972" t="inlineStr">
        <is>
          <t>MEASURED</t>
        </is>
      </c>
      <c r="N972" t="inlineStr">
        <is>
          <t>Partly</t>
        </is>
      </c>
      <c r="O972" s="5" t="inlineStr">
        <is>
          <t>Work "url canonique" (or a close natural variant) into existing copy - no new heading needed</t>
        </is>
      </c>
      <c r="P972" s="5" t="inlineStr">
        <is>
          <t>Keyword/variant absent from this section</t>
        </is>
      </c>
      <c r="Q972" t="inlineStr">
        <is>
          <t>P3</t>
        </is>
      </c>
      <c r="R972" t="n">
        <v>24</v>
      </c>
      <c r="S972" s="5" t="inlineStr">
        <is>
          <t>Détectez les problèmes de balises canonical qui peuvent nuire à vos classements SEO Gratuit • Aucune inscription requise URL de la page * Vérifier l'URL Canonical</t>
        </is>
      </c>
    </row>
    <row r="973">
      <c r="A973" s="3" t="inlineStr">
        <is>
          <t>https://codesommet.com/tools/canonical-checker</t>
        </is>
      </c>
      <c r="B973" t="n">
        <v>2</v>
      </c>
      <c r="C973" t="inlineStr">
        <is>
          <t>Content block</t>
        </is>
      </c>
      <c r="D973" s="5" t="inlineStr">
        <is>
          <t>Comment utiliser cet outil</t>
        </is>
      </c>
      <c r="E973" t="inlineStr">
        <is>
          <t>H2</t>
        </is>
      </c>
      <c r="F973" s="5" t="inlineStr">
        <is>
          <t>Informational / tool use</t>
        </is>
      </c>
      <c r="G973" t="inlineStr">
        <is>
          <t>canonical seo</t>
        </is>
      </c>
      <c r="H973" t="inlineStr">
        <is>
          <t>SECONDARY</t>
        </is>
      </c>
      <c r="I973" t="inlineStr">
        <is>
          <t>fr</t>
        </is>
      </c>
      <c r="J973" t="n">
        <v>170</v>
      </c>
      <c r="K973" t="n">
        <v>20</v>
      </c>
      <c r="L973" t="n">
        <v>0.82</v>
      </c>
      <c r="M973" t="inlineStr">
        <is>
          <t>MEASURED</t>
        </is>
      </c>
      <c r="N973" t="inlineStr">
        <is>
          <t>Partly</t>
        </is>
      </c>
      <c r="O973" s="5" t="inlineStr">
        <is>
          <t>Work "canonical seo" (or a close natural variant) into existing copy - no new heading needed</t>
        </is>
      </c>
      <c r="P973" s="5" t="inlineStr">
        <is>
          <t>Keyword/variant absent from this section</t>
        </is>
      </c>
      <c r="Q973" t="inlineStr">
        <is>
          <t>P3</t>
        </is>
      </c>
      <c r="R973" t="n">
        <v>32</v>
      </c>
      <c r="S973" s="5" t="inlineStr">
        <is>
          <t>1 Entrez l'URL de n'importe quelle page web que vous souhaitez vérifier 2 L'outil extraira la balise URL canonical et l'analysera 3 Examinez les problèmes, les recommandations et corrigez les erreurs trouvées</t>
        </is>
      </c>
    </row>
    <row r="974">
      <c r="A974" s="3" t="inlineStr">
        <is>
          <t>https://codesommet.com/tools/canonical-checker</t>
        </is>
      </c>
      <c r="B974" t="n">
        <v>3</v>
      </c>
      <c r="C974" t="inlineStr">
        <is>
          <t>FAQ</t>
        </is>
      </c>
      <c r="D974" s="5" t="inlineStr">
        <is>
          <t>Questions Fréquemment Posées</t>
        </is>
      </c>
      <c r="E974" t="inlineStr">
        <is>
          <t>H2</t>
        </is>
      </c>
      <c r="F974" s="5" t="inlineStr">
        <is>
          <t>Informational (pre-purchase questions)</t>
        </is>
      </c>
      <c r="G974" t="inlineStr">
        <is>
          <t>url canonique</t>
        </is>
      </c>
      <c r="H974" t="inlineStr">
        <is>
          <t>SUPPORTS PRIMARY</t>
        </is>
      </c>
      <c r="I974" t="inlineStr">
        <is>
          <t>fr</t>
        </is>
      </c>
      <c r="J974" t="n">
        <v>390</v>
      </c>
      <c r="K974" t="n">
        <v>30</v>
      </c>
      <c r="L974" t="n">
        <v>0.1</v>
      </c>
      <c r="M974" t="inlineStr">
        <is>
          <t>MEASURED</t>
        </is>
      </c>
      <c r="N974" t="inlineStr">
        <is>
          <t>Yes (supporting block)</t>
        </is>
      </c>
      <c r="O974" s="5" t="inlineStr">
        <is>
          <t>Supports the primary topic - add only if natural</t>
        </is>
      </c>
      <c r="P974" s="5" t="inlineStr"/>
      <c r="Q974" t="inlineStr">
        <is>
          <t>P3</t>
        </is>
      </c>
      <c r="R974" t="n">
        <v>552</v>
      </c>
      <c r="S974" s="5" t="inlineStr">
        <is>
          <t>Questions courantes sur cet outil et comment l'utiliser efficacement 1 Qu'est-ce qu'une URL canonical et pourquoi est-ce important ? Une URL canonical est un élément HTML qui indique aux moteurs de recherche quelle versi</t>
        </is>
      </c>
    </row>
    <row r="975">
      <c r="A975" s="3" t="inlineStr">
        <is>
          <t>https://codesommet.com/tools/canonical-checker</t>
        </is>
      </c>
      <c r="B975" t="n">
        <v>4</v>
      </c>
      <c r="C975" t="inlineStr">
        <is>
          <t>Internal-link block</t>
        </is>
      </c>
      <c r="D975" s="5" t="inlineStr">
        <is>
          <t>Outils Connexes Qui Pourraient Vous Intéresser</t>
        </is>
      </c>
      <c r="E975" t="inlineStr">
        <is>
          <t>H2</t>
        </is>
      </c>
      <c r="F975" s="5" t="inlineStr">
        <is>
          <t>Navigation</t>
        </is>
      </c>
      <c r="G975" t="inlineStr">
        <is>
          <t>—</t>
        </is>
      </c>
      <c r="H975" t="inlineStr">
        <is>
          <t>NONE</t>
        </is>
      </c>
      <c r="I975" t="inlineStr">
        <is>
          <t>—</t>
        </is>
      </c>
      <c r="J975" t="inlineStr">
        <is>
          <t>—</t>
        </is>
      </c>
      <c r="K975" t="inlineStr">
        <is>
          <t>—</t>
        </is>
      </c>
      <c r="L975" t="inlineStr">
        <is>
          <t>—</t>
        </is>
      </c>
      <c r="M975" t="inlineStr">
        <is>
          <t>—</t>
        </is>
      </c>
      <c r="N975" t="inlineStr">
        <is>
          <t>n/a</t>
        </is>
      </c>
      <c r="O975" s="5" t="inlineStr">
        <is>
          <t>No keyword target - keep conversion/navigation focus; use descriptive, non-repeated anchor texts</t>
        </is>
      </c>
      <c r="P975" s="5" t="inlineStr"/>
      <c r="Q975" t="inlineStr">
        <is>
          <t>P4</t>
        </is>
      </c>
      <c r="R975" t="n">
        <v>82</v>
      </c>
      <c r="S975" s="5" t="inlineStr">
        <is>
          <t>Continuez à optimiser votre site web avec ces outils complémentaires Vérificateur de Contenu Dupliqué Comparez des blocs de texte pour détecter le contenu dupliqué ou similaire Essayer gratuitement seo Générateur de Bali</t>
        </is>
      </c>
    </row>
    <row r="976">
      <c r="A976" s="3" t="inlineStr">
        <is>
          <t>https://codesommet.com/tools/canonical-checker</t>
        </is>
      </c>
      <c r="B976" t="n">
        <v>5</v>
      </c>
      <c r="C976" t="inlineStr">
        <is>
          <t>CTA / conversion</t>
        </is>
      </c>
      <c r="D976" s="5" t="inlineStr">
        <is>
          <t>Besoin d'un Outil Personnalisé pour Votre Entreprise ?</t>
        </is>
      </c>
      <c r="E976" t="inlineStr">
        <is>
          <t>H2</t>
        </is>
      </c>
      <c r="F976" s="5" t="inlineStr">
        <is>
          <t>Conversion</t>
        </is>
      </c>
      <c r="G976" t="inlineStr">
        <is>
          <t>—</t>
        </is>
      </c>
      <c r="H976" t="inlineStr">
        <is>
          <t>NONE</t>
        </is>
      </c>
      <c r="I976" t="inlineStr">
        <is>
          <t>—</t>
        </is>
      </c>
      <c r="J976" t="inlineStr">
        <is>
          <t>—</t>
        </is>
      </c>
      <c r="K976" t="inlineStr">
        <is>
          <t>—</t>
        </is>
      </c>
      <c r="L976" t="inlineStr">
        <is>
          <t>—</t>
        </is>
      </c>
      <c r="M976" t="inlineStr">
        <is>
          <t>—</t>
        </is>
      </c>
      <c r="N976" t="inlineStr">
        <is>
          <t>n/a</t>
        </is>
      </c>
      <c r="O976" s="5" t="inlineStr">
        <is>
          <t>No keyword target - keep conversion/navigation focus; use descriptive, non-repeated anchor texts</t>
        </is>
      </c>
      <c r="P976" s="5" t="inlineStr"/>
      <c r="Q976" t="inlineStr">
        <is>
          <t>P4</t>
        </is>
      </c>
      <c r="R976" t="n">
        <v>109</v>
      </c>
      <c r="S976" s="5" t="inlineStr">
        <is>
          <t>Nous créons des outils alimentés par l'IA, des tableaux de bord et des automatisations qui génèrent de vrais résultats Réserver un Appel Découverte 50+ projets réussis • Livraison en 48h • Sans engagement Sites web Chatb</t>
        </is>
      </c>
    </row>
    <row r="977">
      <c r="A977" s="3" t="inlineStr">
        <is>
          <t>https://codesommet.com/tools/chatbot-script-generator</t>
        </is>
      </c>
      <c r="B977" t="n">
        <v>1</v>
      </c>
      <c r="C977" t="inlineStr">
        <is>
          <t>Hero / H1</t>
        </is>
      </c>
      <c r="D977" s="5" t="inlineStr">
        <is>
          <t>Générateur de Script Chatbot IA Gratuit</t>
        </is>
      </c>
      <c r="E977" t="inlineStr">
        <is>
          <t>H1</t>
        </is>
      </c>
      <c r="F977" s="5" t="inlineStr">
        <is>
          <t>Informational / tool use</t>
        </is>
      </c>
      <c r="G977" t="inlineStr">
        <is>
          <t>créer un chatbot</t>
        </is>
      </c>
      <c r="H977" t="inlineStr">
        <is>
          <t>PRIMARY</t>
        </is>
      </c>
      <c r="I977" t="inlineStr">
        <is>
          <t>fr</t>
        </is>
      </c>
      <c r="J977" t="n">
        <v>480</v>
      </c>
      <c r="K977" t="n">
        <v>39</v>
      </c>
      <c r="L977" t="n">
        <v>2.62</v>
      </c>
      <c r="M977" t="inlineStr">
        <is>
          <t>MEASURED</t>
        </is>
      </c>
      <c r="N977" t="inlineStr">
        <is>
          <t>Partly</t>
        </is>
      </c>
      <c r="O977" s="5" t="inlineStr">
        <is>
          <t>Work "créer un chatbot" (or a close natural variant) into existing copy - no new heading needed</t>
        </is>
      </c>
      <c r="P977" s="5" t="inlineStr">
        <is>
          <t>Keyword/variant absent from this section</t>
        </is>
      </c>
      <c r="Q977" t="inlineStr">
        <is>
          <t>P3</t>
        </is>
      </c>
      <c r="R977" t="n">
        <v>70</v>
      </c>
      <c r="S977" s="5" t="inlineStr">
        <is>
          <t>Créez des flux de conversation chatbot prêts à l'emploi adaptés à votre industrie. Générez des dialogues multi-tours avec logique de branchement, qualification de prospects et réponses naturelles. Gratuit • Aucune inscri</t>
        </is>
      </c>
    </row>
    <row r="978">
      <c r="A978" s="3" t="inlineStr">
        <is>
          <t>https://codesommet.com/tools/chatbot-script-generator</t>
        </is>
      </c>
      <c r="B978" t="n">
        <v>2</v>
      </c>
      <c r="C978" t="inlineStr">
        <is>
          <t>FAQ</t>
        </is>
      </c>
      <c r="D978" s="5" t="inlineStr">
        <is>
          <t>Questions Fréquemment Posées</t>
        </is>
      </c>
      <c r="E978" t="inlineStr">
        <is>
          <t>H2</t>
        </is>
      </c>
      <c r="F978" s="5" t="inlineStr">
        <is>
          <t>Informational (pre-purchase questions)</t>
        </is>
      </c>
      <c r="G978" t="inlineStr">
        <is>
          <t>créer un chatbot</t>
        </is>
      </c>
      <c r="H978" t="inlineStr">
        <is>
          <t>SUPPORTS PRIMARY</t>
        </is>
      </c>
      <c r="I978" t="inlineStr">
        <is>
          <t>fr</t>
        </is>
      </c>
      <c r="J978" t="n">
        <v>480</v>
      </c>
      <c r="K978" t="n">
        <v>39</v>
      </c>
      <c r="L978" t="n">
        <v>2.62</v>
      </c>
      <c r="M978" t="inlineStr">
        <is>
          <t>MEASURED</t>
        </is>
      </c>
      <c r="N978" t="inlineStr">
        <is>
          <t>Yes (supporting block)</t>
        </is>
      </c>
      <c r="O978" s="5" t="inlineStr">
        <is>
          <t>Supports the primary topic - add only if natural</t>
        </is>
      </c>
      <c r="P978" s="5" t="inlineStr"/>
      <c r="Q978" t="inlineStr">
        <is>
          <t>P3</t>
        </is>
      </c>
      <c r="R978" t="n">
        <v>639</v>
      </c>
      <c r="S978" s="5" t="inlineStr">
        <is>
          <t>Questions courantes sur cet outil et comment l'utiliser efficacement 1 Qu'est-ce qu'un script de conversation chatbot et pourquoi en ai-je besoin ? Un script de conversation chatbot est un cadre structuré qui définit com</t>
        </is>
      </c>
    </row>
    <row r="979">
      <c r="A979" s="3" t="inlineStr">
        <is>
          <t>https://codesommet.com/tools/chatbot-script-generator</t>
        </is>
      </c>
      <c r="B979" t="n">
        <v>3</v>
      </c>
      <c r="C979" t="inlineStr">
        <is>
          <t>Internal-link block</t>
        </is>
      </c>
      <c r="D979" s="5" t="inlineStr">
        <is>
          <t>Outils Connexes Qui Pourraient Vous Intéresser</t>
        </is>
      </c>
      <c r="E979" t="inlineStr">
        <is>
          <t>H2</t>
        </is>
      </c>
      <c r="F979" s="5" t="inlineStr">
        <is>
          <t>Navigation</t>
        </is>
      </c>
      <c r="G979" t="inlineStr">
        <is>
          <t>—</t>
        </is>
      </c>
      <c r="H979" t="inlineStr">
        <is>
          <t>NONE</t>
        </is>
      </c>
      <c r="I979" t="inlineStr">
        <is>
          <t>—</t>
        </is>
      </c>
      <c r="J979" t="inlineStr">
        <is>
          <t>—</t>
        </is>
      </c>
      <c r="K979" t="inlineStr">
        <is>
          <t>—</t>
        </is>
      </c>
      <c r="L979" t="inlineStr">
        <is>
          <t>—</t>
        </is>
      </c>
      <c r="M979" t="inlineStr">
        <is>
          <t>—</t>
        </is>
      </c>
      <c r="N979" t="inlineStr">
        <is>
          <t>n/a</t>
        </is>
      </c>
      <c r="O979" s="5" t="inlineStr">
        <is>
          <t>No keyword target - keep conversion/navigation focus; use descriptive, non-repeated anchor texts</t>
        </is>
      </c>
      <c r="P979" s="5" t="inlineStr"/>
      <c r="Q979" t="inlineStr">
        <is>
          <t>P4</t>
        </is>
      </c>
      <c r="R979" t="n">
        <v>69</v>
      </c>
      <c r="S979" s="5" t="inlineStr">
        <is>
          <t>Continuez à optimiser votre site web avec ces outils complémentaires Générateur de Balises Meta IA Générez des balises méta optimisées pour le SEO avec l'IA Essayer gratuitement ai Générateur de Titres de Blog IA 10 titr</t>
        </is>
      </c>
    </row>
    <row r="980">
      <c r="A980" s="3" t="inlineStr">
        <is>
          <t>https://codesommet.com/tools/chatbot-script-generator</t>
        </is>
      </c>
      <c r="B980" t="n">
        <v>4</v>
      </c>
      <c r="C980" t="inlineStr">
        <is>
          <t>CTA / conversion</t>
        </is>
      </c>
      <c r="D980" s="5" t="inlineStr">
        <is>
          <t>Besoin d'un Outil Personnalisé pour Votre Entreprise ?</t>
        </is>
      </c>
      <c r="E980" t="inlineStr">
        <is>
          <t>H2</t>
        </is>
      </c>
      <c r="F980" s="5" t="inlineStr">
        <is>
          <t>Conversion</t>
        </is>
      </c>
      <c r="G980" t="inlineStr">
        <is>
          <t>—</t>
        </is>
      </c>
      <c r="H980" t="inlineStr">
        <is>
          <t>NONE</t>
        </is>
      </c>
      <c r="I980" t="inlineStr">
        <is>
          <t>—</t>
        </is>
      </c>
      <c r="J980" t="inlineStr">
        <is>
          <t>—</t>
        </is>
      </c>
      <c r="K980" t="inlineStr">
        <is>
          <t>—</t>
        </is>
      </c>
      <c r="L980" t="inlineStr">
        <is>
          <t>—</t>
        </is>
      </c>
      <c r="M980" t="inlineStr">
        <is>
          <t>—</t>
        </is>
      </c>
      <c r="N980" t="inlineStr">
        <is>
          <t>n/a</t>
        </is>
      </c>
      <c r="O980" s="5" t="inlineStr">
        <is>
          <t>No keyword target - keep conversion/navigation focus; use descriptive, non-repeated anchor texts</t>
        </is>
      </c>
      <c r="P980" s="5" t="inlineStr"/>
      <c r="Q980" t="inlineStr">
        <is>
          <t>P4</t>
        </is>
      </c>
      <c r="R980" t="n">
        <v>109</v>
      </c>
      <c r="S980" s="5" t="inlineStr">
        <is>
          <t>Nous créons des outils alimentés par l'IA, des tableaux de bord et des automatisations qui génèrent de vrais résultats Réserver un Appel Découverte 50+ projets réussis • Livraison en 48h • Sans engagement Sites web Chatb</t>
        </is>
      </c>
    </row>
    <row r="981">
      <c r="A981" s="3" t="inlineStr">
        <is>
          <t>https://codesommet.com/tools/color-palette-generator</t>
        </is>
      </c>
      <c r="B981" t="n">
        <v>1</v>
      </c>
      <c r="C981" t="inlineStr">
        <is>
          <t>Hero / H1</t>
        </is>
      </c>
      <c r="D981" s="5" t="inlineStr">
        <is>
          <t>Générateur de Palette de Couleurs Gratuit</t>
        </is>
      </c>
      <c r="E981" t="inlineStr">
        <is>
          <t>H1</t>
        </is>
      </c>
      <c r="F981" s="5" t="inlineStr">
        <is>
          <t>Informational / tool use</t>
        </is>
      </c>
      <c r="G981" t="inlineStr">
        <is>
          <t>palette de couleurs</t>
        </is>
      </c>
      <c r="H981" t="inlineStr">
        <is>
          <t>PRIMARY</t>
        </is>
      </c>
      <c r="I981" t="inlineStr">
        <is>
          <t>fr</t>
        </is>
      </c>
      <c r="J981" t="n">
        <v>1600</v>
      </c>
      <c r="K981" t="n">
        <v>48</v>
      </c>
      <c r="L981" t="n">
        <v>1.26</v>
      </c>
      <c r="M981" t="inlineStr">
        <is>
          <t>MEASURED</t>
        </is>
      </c>
      <c r="N981" t="inlineStr">
        <is>
          <t>Yes</t>
        </is>
      </c>
      <c r="O981" s="5" t="inlineStr">
        <is>
          <t>Covered - keep wording; no change</t>
        </is>
      </c>
      <c r="P981" s="5" t="inlineStr"/>
      <c r="Q981" t="inlineStr">
        <is>
          <t>P3</t>
        </is>
      </c>
      <c r="R981" t="n">
        <v>55</v>
      </c>
      <c r="S981" s="5" t="inlineStr">
        <is>
          <t>Téléchargez votre logo ou image de marque et générez instantanément une palette de couleurs professionnelle avec codes hex, vérifications d'accessibilité et code CSS/Tailwind prêt à l'emploi. Gratuit • Aucune inscription</t>
        </is>
      </c>
    </row>
    <row r="982">
      <c r="A982" s="3" t="inlineStr">
        <is>
          <t>https://codesommet.com/tools/color-palette-generator</t>
        </is>
      </c>
      <c r="B982" t="n">
        <v>2</v>
      </c>
      <c r="C982" t="inlineStr">
        <is>
          <t>FAQ</t>
        </is>
      </c>
      <c r="D982" s="5" t="inlineStr">
        <is>
          <t>Questions Fréquemment Posées</t>
        </is>
      </c>
      <c r="E982" t="inlineStr">
        <is>
          <t>H2</t>
        </is>
      </c>
      <c r="F982" s="5" t="inlineStr">
        <is>
          <t>Informational (pre-purchase questions)</t>
        </is>
      </c>
      <c r="G982" t="inlineStr">
        <is>
          <t>palette de couleurs</t>
        </is>
      </c>
      <c r="H982" t="inlineStr">
        <is>
          <t>SUPPORTS PRIMARY</t>
        </is>
      </c>
      <c r="I982" t="inlineStr">
        <is>
          <t>fr</t>
        </is>
      </c>
      <c r="J982" t="n">
        <v>1600</v>
      </c>
      <c r="K982" t="n">
        <v>48</v>
      </c>
      <c r="L982" t="n">
        <v>1.26</v>
      </c>
      <c r="M982" t="inlineStr">
        <is>
          <t>MEASURED</t>
        </is>
      </c>
      <c r="N982" t="inlineStr">
        <is>
          <t>Yes</t>
        </is>
      </c>
      <c r="O982" s="5" t="inlineStr">
        <is>
          <t>Covered - keep wording; no change</t>
        </is>
      </c>
      <c r="P982" s="5" t="inlineStr"/>
      <c r="Q982" t="inlineStr">
        <is>
          <t>P3</t>
        </is>
      </c>
      <c r="R982" t="n">
        <v>554</v>
      </c>
      <c r="S982" s="5" t="inlineStr">
        <is>
          <t>Questions courantes sur cet outil et comment l'utiliser efficacement 1 Comment l'IA extrait-elle les couleurs de mon image de marque ? Notre IA utilise la vision par ordinateur avancée pour analyser votre image télécharg</t>
        </is>
      </c>
    </row>
    <row r="983">
      <c r="A983" s="3" t="inlineStr">
        <is>
          <t>https://codesommet.com/tools/color-palette-generator</t>
        </is>
      </c>
      <c r="B983" t="n">
        <v>3</v>
      </c>
      <c r="C983" t="inlineStr">
        <is>
          <t>Internal-link block</t>
        </is>
      </c>
      <c r="D983" s="5" t="inlineStr">
        <is>
          <t>Outils Connexes Qui Pourraient Vous Intéresser</t>
        </is>
      </c>
      <c r="E983" t="inlineStr">
        <is>
          <t>H2</t>
        </is>
      </c>
      <c r="F983" s="5" t="inlineStr">
        <is>
          <t>Navigation</t>
        </is>
      </c>
      <c r="G983" t="inlineStr">
        <is>
          <t>—</t>
        </is>
      </c>
      <c r="H983" t="inlineStr">
        <is>
          <t>NONE</t>
        </is>
      </c>
      <c r="I983" t="inlineStr">
        <is>
          <t>—</t>
        </is>
      </c>
      <c r="J983" t="inlineStr">
        <is>
          <t>—</t>
        </is>
      </c>
      <c r="K983" t="inlineStr">
        <is>
          <t>—</t>
        </is>
      </c>
      <c r="L983" t="inlineStr">
        <is>
          <t>—</t>
        </is>
      </c>
      <c r="M983" t="inlineStr">
        <is>
          <t>—</t>
        </is>
      </c>
      <c r="N983" t="inlineStr">
        <is>
          <t>n/a</t>
        </is>
      </c>
      <c r="O983" s="5" t="inlineStr">
        <is>
          <t>No keyword target - keep conversion/navigation focus; use descriptive, non-repeated anchor texts</t>
        </is>
      </c>
      <c r="P983" s="5" t="inlineStr"/>
      <c r="Q983" t="inlineStr">
        <is>
          <t>P4</t>
        </is>
      </c>
      <c r="R983" t="n">
        <v>72</v>
      </c>
      <c r="S983" s="5" t="inlineStr">
        <is>
          <t xml:space="preserve">Continuez à optimiser votre site web avec ces outils complémentaires Générateur de Code QR Générez des codes QR scannables pour URL, texte et informations de contact Essayer gratuitement design Minificateur CSS Minifiez </t>
        </is>
      </c>
    </row>
    <row r="984">
      <c r="A984" s="3" t="inlineStr">
        <is>
          <t>https://codesommet.com/tools/color-palette-generator</t>
        </is>
      </c>
      <c r="B984" t="n">
        <v>4</v>
      </c>
      <c r="C984" t="inlineStr">
        <is>
          <t>CTA / conversion</t>
        </is>
      </c>
      <c r="D984" s="5" t="inlineStr">
        <is>
          <t>Besoin d'un Outil Personnalisé pour Votre Entreprise ?</t>
        </is>
      </c>
      <c r="E984" t="inlineStr">
        <is>
          <t>H2</t>
        </is>
      </c>
      <c r="F984" s="5" t="inlineStr">
        <is>
          <t>Conversion</t>
        </is>
      </c>
      <c r="G984" t="inlineStr">
        <is>
          <t>—</t>
        </is>
      </c>
      <c r="H984" t="inlineStr">
        <is>
          <t>NONE</t>
        </is>
      </c>
      <c r="I984" t="inlineStr">
        <is>
          <t>—</t>
        </is>
      </c>
      <c r="J984" t="inlineStr">
        <is>
          <t>—</t>
        </is>
      </c>
      <c r="K984" t="inlineStr">
        <is>
          <t>—</t>
        </is>
      </c>
      <c r="L984" t="inlineStr">
        <is>
          <t>—</t>
        </is>
      </c>
      <c r="M984" t="inlineStr">
        <is>
          <t>—</t>
        </is>
      </c>
      <c r="N984" t="inlineStr">
        <is>
          <t>n/a</t>
        </is>
      </c>
      <c r="O984" s="5" t="inlineStr">
        <is>
          <t>No keyword target - keep conversion/navigation focus; use descriptive, non-repeated anchor texts</t>
        </is>
      </c>
      <c r="P984" s="5" t="inlineStr"/>
      <c r="Q984" t="inlineStr">
        <is>
          <t>P4</t>
        </is>
      </c>
      <c r="R984" t="n">
        <v>109</v>
      </c>
      <c r="S984" s="5" t="inlineStr">
        <is>
          <t>Nous créons des outils alimentés par l'IA, des tableaux de bord et des automatisations qui génèrent de vrais résultats Réserver un Appel Découverte 50+ projets réussis • Livraison en 48h • Sans engagement Sites web Chatb</t>
        </is>
      </c>
    </row>
    <row r="985">
      <c r="A985" s="3" t="inlineStr">
        <is>
          <t>https://codesommet.com/tools/core-web-vitals-checker</t>
        </is>
      </c>
      <c r="B985" t="n">
        <v>1</v>
      </c>
      <c r="C985" t="inlineStr">
        <is>
          <t>Hero / H1</t>
        </is>
      </c>
      <c r="D985" s="5" t="inlineStr">
        <is>
          <t>Test Core Web Vitals Gratuit : LCP, INP, CLS</t>
        </is>
      </c>
      <c r="E985" t="inlineStr">
        <is>
          <t>H1</t>
        </is>
      </c>
      <c r="F985" s="5" t="inlineStr">
        <is>
          <t>Informational / tool use</t>
        </is>
      </c>
      <c r="G985" t="inlineStr">
        <is>
          <t>test core web vitals</t>
        </is>
      </c>
      <c r="H985" t="inlineStr">
        <is>
          <t>PRIMARY</t>
        </is>
      </c>
      <c r="I985" t="inlineStr">
        <is>
          <t>fr</t>
        </is>
      </c>
      <c r="J985" t="n">
        <v>110</v>
      </c>
      <c r="K985" t="n">
        <v>27</v>
      </c>
      <c r="L985" t="n">
        <v>1.83</v>
      </c>
      <c r="M985" t="inlineStr">
        <is>
          <t>MEASURED</t>
        </is>
      </c>
      <c r="N985" t="inlineStr">
        <is>
          <t>Yes</t>
        </is>
      </c>
      <c r="O985" s="5" t="inlineStr">
        <is>
          <t>Covered - keep wording; no change</t>
        </is>
      </c>
      <c r="P985" s="5" t="inlineStr"/>
      <c r="Q985" t="inlineStr">
        <is>
          <t>P3</t>
        </is>
      </c>
      <c r="R985" t="n">
        <v>50</v>
      </c>
      <c r="S985" s="5" t="inlineStr">
        <is>
          <t>Mesurez les Core Web Vitals de votre site (LCP, FID, CLS, INP) pour améliorer les classements Google, l'expérience utilisateur et les performances. Obtenez des métriques mobile et desktop avec des recommandations concrèt</t>
        </is>
      </c>
    </row>
    <row r="986">
      <c r="A986" s="3" t="inlineStr">
        <is>
          <t>https://codesommet.com/tools/core-web-vitals-checker</t>
        </is>
      </c>
      <c r="B986" t="n">
        <v>2</v>
      </c>
      <c r="C986" t="inlineStr">
        <is>
          <t>FAQ</t>
        </is>
      </c>
      <c r="D986" s="5" t="inlineStr">
        <is>
          <t>Questions Fréquemment Posées</t>
        </is>
      </c>
      <c r="E986" t="inlineStr">
        <is>
          <t>H2</t>
        </is>
      </c>
      <c r="F986" s="5" t="inlineStr">
        <is>
          <t>Informational (pre-purchase questions)</t>
        </is>
      </c>
      <c r="G986" t="inlineStr">
        <is>
          <t>test core web vitals</t>
        </is>
      </c>
      <c r="H986" t="inlineStr">
        <is>
          <t>SUPPORTS PRIMARY</t>
        </is>
      </c>
      <c r="I986" t="inlineStr">
        <is>
          <t>fr</t>
        </is>
      </c>
      <c r="J986" t="n">
        <v>110</v>
      </c>
      <c r="K986" t="n">
        <v>27</v>
      </c>
      <c r="L986" t="n">
        <v>1.83</v>
      </c>
      <c r="M986" t="inlineStr">
        <is>
          <t>MEASURED</t>
        </is>
      </c>
      <c r="N986" t="inlineStr">
        <is>
          <t>Yes</t>
        </is>
      </c>
      <c r="O986" s="5" t="inlineStr">
        <is>
          <t>Covered - keep wording; no change</t>
        </is>
      </c>
      <c r="P986" s="5" t="inlineStr"/>
      <c r="Q986" t="inlineStr">
        <is>
          <t>P3</t>
        </is>
      </c>
      <c r="R986" t="n">
        <v>717</v>
      </c>
      <c r="S986" s="5" t="inlineStr">
        <is>
          <t xml:space="preserve">Questions courantes sur cet outil et comment l'utiliser efficacement 1 Que sont les Core Web Vitals et pourquoi sont-ils importants pour le SEO ? Les Core Web Vitals sont les métriques officielles de Google pour mesurer </t>
        </is>
      </c>
    </row>
    <row r="987">
      <c r="A987" s="3" t="inlineStr">
        <is>
          <t>https://codesommet.com/tools/core-web-vitals-checker</t>
        </is>
      </c>
      <c r="B987" t="n">
        <v>3</v>
      </c>
      <c r="C987" t="inlineStr">
        <is>
          <t>CTA / conversion</t>
        </is>
      </c>
      <c r="D987" s="5" t="inlineStr">
        <is>
          <t>Besoin d'un Outil Personnalisé pour Votre Entreprise ?</t>
        </is>
      </c>
      <c r="E987" t="inlineStr">
        <is>
          <t>H2</t>
        </is>
      </c>
      <c r="F987" s="5" t="inlineStr">
        <is>
          <t>Conversion</t>
        </is>
      </c>
      <c r="G987" t="inlineStr">
        <is>
          <t>—</t>
        </is>
      </c>
      <c r="H987" t="inlineStr">
        <is>
          <t>NONE</t>
        </is>
      </c>
      <c r="I987" t="inlineStr">
        <is>
          <t>—</t>
        </is>
      </c>
      <c r="J987" t="inlineStr">
        <is>
          <t>—</t>
        </is>
      </c>
      <c r="K987" t="inlineStr">
        <is>
          <t>—</t>
        </is>
      </c>
      <c r="L987" t="inlineStr">
        <is>
          <t>—</t>
        </is>
      </c>
      <c r="M987" t="inlineStr">
        <is>
          <t>—</t>
        </is>
      </c>
      <c r="N987" t="inlineStr">
        <is>
          <t>n/a</t>
        </is>
      </c>
      <c r="O987" s="5" t="inlineStr">
        <is>
          <t>No keyword target - keep conversion/navigation focus; use descriptive, non-repeated anchor texts</t>
        </is>
      </c>
      <c r="P987" s="5" t="inlineStr"/>
      <c r="Q987" t="inlineStr">
        <is>
          <t>P4</t>
        </is>
      </c>
      <c r="R987" t="n">
        <v>109</v>
      </c>
      <c r="S987" s="5" t="inlineStr">
        <is>
          <t>Nous créons des outils alimentés par l'IA, des tableaux de bord et des automatisations qui génèrent de vrais résultats Réserver un Appel Découverte 50+ projets réussis • Livraison en 48h • Sans engagement Sites web Chatb</t>
        </is>
      </c>
    </row>
    <row r="988">
      <c r="A988" s="3" t="inlineStr">
        <is>
          <t>https://codesommet.com/tools/crawl-optimization-checker</t>
        </is>
      </c>
      <c r="B988" t="n">
        <v>1</v>
      </c>
      <c r="C988" t="inlineStr">
        <is>
          <t>Hero / H1</t>
        </is>
      </c>
      <c r="D988" s="5" t="inlineStr">
        <is>
          <t>Test d'Optimisation du Budget de Crawl</t>
        </is>
      </c>
      <c r="E988" t="inlineStr">
        <is>
          <t>H1</t>
        </is>
      </c>
      <c r="F988" s="5" t="inlineStr">
        <is>
          <t>Informational / tool use</t>
        </is>
      </c>
      <c r="G988" t="inlineStr">
        <is>
          <t>crawl budget</t>
        </is>
      </c>
      <c r="H988" t="inlineStr">
        <is>
          <t>PRIMARY</t>
        </is>
      </c>
      <c r="I988" t="inlineStr">
        <is>
          <t>fr</t>
        </is>
      </c>
      <c r="J988" t="n">
        <v>210</v>
      </c>
      <c r="K988" t="n">
        <v>25</v>
      </c>
      <c r="L988" t="n">
        <v>0</v>
      </c>
      <c r="M988" t="inlineStr">
        <is>
          <t>MEASURED</t>
        </is>
      </c>
      <c r="N988" t="inlineStr">
        <is>
          <t>Yes</t>
        </is>
      </c>
      <c r="O988" s="5" t="inlineStr">
        <is>
          <t>Covered - keep wording; no change</t>
        </is>
      </c>
      <c r="P988" s="5" t="inlineStr"/>
      <c r="Q988" t="inlineStr">
        <is>
          <t>P3</t>
        </is>
      </c>
      <c r="R988" t="n">
        <v>122</v>
      </c>
      <c r="S988" s="5" t="inlineStr">
        <is>
          <t>Chaque lien interne vers une erreur, une redirection ou une page exclue de l'index fait perdre du temps aux robots. Explorez votre site comme eux et obtenez la liste des liens à corriger, avec les pages qui les contienne</t>
        </is>
      </c>
    </row>
    <row r="989">
      <c r="A989" s="3" t="inlineStr">
        <is>
          <t>https://codesommet.com/tools/crawl-optimization-checker</t>
        </is>
      </c>
      <c r="B989" t="n">
        <v>2</v>
      </c>
      <c r="C989" t="inlineStr">
        <is>
          <t>Content block</t>
        </is>
      </c>
      <c r="D989" s="5" t="inlineStr">
        <is>
          <t>Comment Utiliser Cet Outil</t>
        </is>
      </c>
      <c r="E989" t="inlineStr">
        <is>
          <t>H2</t>
        </is>
      </c>
      <c r="F989" s="5" t="inlineStr">
        <is>
          <t>Informational / tool use</t>
        </is>
      </c>
      <c r="G989" t="inlineStr">
        <is>
          <t>budget de crawl</t>
        </is>
      </c>
      <c r="H989" t="inlineStr">
        <is>
          <t>SUPPORTING</t>
        </is>
      </c>
      <c r="I989" t="inlineStr">
        <is>
          <t>fr</t>
        </is>
      </c>
      <c r="J989" t="n">
        <v>30</v>
      </c>
      <c r="K989" t="inlineStr">
        <is>
          <t>NOT AVAILABLE</t>
        </is>
      </c>
      <c r="L989" t="n">
        <v>0</v>
      </c>
      <c r="M989" t="inlineStr">
        <is>
          <t>MEASURED</t>
        </is>
      </c>
      <c r="N989" t="inlineStr">
        <is>
          <t>Yes (supporting block)</t>
        </is>
      </c>
      <c r="O989" s="5" t="inlineStr">
        <is>
          <t>Supports the primary topic - add only if natural</t>
        </is>
      </c>
      <c r="P989" s="5" t="inlineStr"/>
      <c r="Q989" t="inlineStr">
        <is>
          <t>P3</t>
        </is>
      </c>
      <c r="R989" t="n">
        <v>54</v>
      </c>
      <c r="S989" s="5" t="inlineStr">
        <is>
          <t xml:space="preserve">1 Saisissez la page de départ, en général l'accueil. 2 L'outil suit les liens internes comme un robot, en respectant robots.txt, jusqu'à 50 pages. 3 Remplacez les liens vers des redirections par l'URL finale, réparez ou </t>
        </is>
      </c>
    </row>
    <row r="990">
      <c r="A990" s="3" t="inlineStr">
        <is>
          <t>https://codesommet.com/tools/crawl-optimization-checker</t>
        </is>
      </c>
      <c r="B990" t="n">
        <v>3</v>
      </c>
      <c r="C990" t="inlineStr">
        <is>
          <t>FAQ</t>
        </is>
      </c>
      <c r="D990" s="5" t="inlineStr">
        <is>
          <t>Questions Fréquemment Posées</t>
        </is>
      </c>
      <c r="E990" t="inlineStr">
        <is>
          <t>H2</t>
        </is>
      </c>
      <c r="F990" s="5" t="inlineStr">
        <is>
          <t>Informational (pre-purchase questions)</t>
        </is>
      </c>
      <c r="G990" t="inlineStr">
        <is>
          <t>crawl budget</t>
        </is>
      </c>
      <c r="H990" t="inlineStr">
        <is>
          <t>SUPPORTS PRIMARY</t>
        </is>
      </c>
      <c r="I990" t="inlineStr">
        <is>
          <t>fr</t>
        </is>
      </c>
      <c r="J990" t="n">
        <v>210</v>
      </c>
      <c r="K990" t="n">
        <v>25</v>
      </c>
      <c r="L990" t="n">
        <v>0</v>
      </c>
      <c r="M990" t="inlineStr">
        <is>
          <t>MEASURED</t>
        </is>
      </c>
      <c r="N990" t="inlineStr">
        <is>
          <t>Yes</t>
        </is>
      </c>
      <c r="O990" s="5" t="inlineStr">
        <is>
          <t>Covered - keep wording; no change</t>
        </is>
      </c>
      <c r="P990" s="5" t="inlineStr"/>
      <c r="Q990" t="inlineStr">
        <is>
          <t>P3</t>
        </is>
      </c>
      <c r="R990" t="n">
        <v>184</v>
      </c>
      <c r="S990" s="5" t="inlineStr">
        <is>
          <t>Optimiser l'exploration de votre site 1 Le budget de crawl concerne-t-il les petits sites ? Google précise que le budget de crawl est surtout un sujet pour les grands sites. Mais les liens vers des erreurs ou des redirec</t>
        </is>
      </c>
    </row>
    <row r="991">
      <c r="A991" s="3" t="inlineStr">
        <is>
          <t>https://codesommet.com/tools/crawl-optimization-checker</t>
        </is>
      </c>
      <c r="B991" t="n">
        <v>4</v>
      </c>
      <c r="C991" t="inlineStr">
        <is>
          <t>Internal-link block</t>
        </is>
      </c>
      <c r="D991" s="5" t="inlineStr">
        <is>
          <t>Outils Connexes Qui Pourraient Vous Intéresser</t>
        </is>
      </c>
      <c r="E991" t="inlineStr">
        <is>
          <t>H2</t>
        </is>
      </c>
      <c r="F991" s="5" t="inlineStr">
        <is>
          <t>Navigation</t>
        </is>
      </c>
      <c r="G991" t="inlineStr">
        <is>
          <t>—</t>
        </is>
      </c>
      <c r="H991" t="inlineStr">
        <is>
          <t>NONE</t>
        </is>
      </c>
      <c r="I991" t="inlineStr">
        <is>
          <t>—</t>
        </is>
      </c>
      <c r="J991" t="inlineStr">
        <is>
          <t>—</t>
        </is>
      </c>
      <c r="K991" t="inlineStr">
        <is>
          <t>—</t>
        </is>
      </c>
      <c r="L991" t="inlineStr">
        <is>
          <t>—</t>
        </is>
      </c>
      <c r="M991" t="inlineStr">
        <is>
          <t>—</t>
        </is>
      </c>
      <c r="N991" t="inlineStr">
        <is>
          <t>n/a</t>
        </is>
      </c>
      <c r="O991" s="5" t="inlineStr">
        <is>
          <t>No keyword target - keep conversion/navigation focus; use descriptive, non-repeated anchor texts</t>
        </is>
      </c>
      <c r="P991" s="5" t="inlineStr"/>
      <c r="Q991" t="inlineStr">
        <is>
          <t>P4</t>
        </is>
      </c>
      <c r="R991" t="n">
        <v>65</v>
      </c>
      <c r="S991" s="5" t="inlineStr">
        <is>
          <t xml:space="preserve">Continuez à optimiser votre site web avec ces outils complémentaires Visualiseur de Crawl Voyez la structure de liens de votre site sous forme de graphe. Essayer gratuitement seo Vérificateur de Liens Cassés Testez tous </t>
        </is>
      </c>
    </row>
    <row r="992">
      <c r="A992" s="3" t="inlineStr">
        <is>
          <t>https://codesommet.com/tools/crawl-optimization-checker</t>
        </is>
      </c>
      <c r="B992" t="n">
        <v>5</v>
      </c>
      <c r="C992" t="inlineStr">
        <is>
          <t>Content block</t>
        </is>
      </c>
      <c r="D992" s="5" t="inlineStr">
        <is>
          <t>Une Structure de Site à Remettre à Plat ?</t>
        </is>
      </c>
      <c r="E992" t="inlineStr">
        <is>
          <t>H2</t>
        </is>
      </c>
      <c r="F992" s="5" t="inlineStr">
        <is>
          <t>Informational / tool use</t>
        </is>
      </c>
      <c r="G992" t="inlineStr">
        <is>
          <t>budget de crawl</t>
        </is>
      </c>
      <c r="H992" t="inlineStr">
        <is>
          <t>SUPPORTING</t>
        </is>
      </c>
      <c r="I992" t="inlineStr">
        <is>
          <t>fr</t>
        </is>
      </c>
      <c r="J992" t="n">
        <v>30</v>
      </c>
      <c r="K992" t="inlineStr">
        <is>
          <t>NOT AVAILABLE</t>
        </is>
      </c>
      <c r="L992" t="n">
        <v>0</v>
      </c>
      <c r="M992" t="inlineStr">
        <is>
          <t>MEASURED</t>
        </is>
      </c>
      <c r="N992" t="inlineStr">
        <is>
          <t>Yes (supporting block)</t>
        </is>
      </c>
      <c r="O992" s="5" t="inlineStr">
        <is>
          <t>Supports the primary topic - add only if natural</t>
        </is>
      </c>
      <c r="P992" s="5" t="inlineStr"/>
      <c r="Q992" t="inlineStr">
        <is>
          <t>P3</t>
        </is>
      </c>
      <c r="R992" t="n">
        <v>111</v>
      </c>
      <c r="S992" s="5" t="inlineStr">
        <is>
          <t>Nous corrigeons maillage interne, redirections et règles d'indexation pour que les robots trouvent vite vos pages importantes Réserver un Appel Découverte 50+ projets réussis • Livraison en 48h • Pas de contrats à long t</t>
        </is>
      </c>
    </row>
    <row r="993">
      <c r="A993" s="3" t="inlineStr">
        <is>
          <t>https://codesommet.com/tools/crawl-visualizer</t>
        </is>
      </c>
      <c r="B993" t="n">
        <v>1</v>
      </c>
      <c r="C993" t="inlineStr">
        <is>
          <t>Hero / H1</t>
        </is>
      </c>
      <c r="D993" s="5" t="inlineStr">
        <is>
          <t>Visualiseur de Crawl : Carte des Liens Internes</t>
        </is>
      </c>
      <c r="E993" t="inlineStr">
        <is>
          <t>H1</t>
        </is>
      </c>
      <c r="F993" s="5" t="inlineStr">
        <is>
          <t>Informational / tool use</t>
        </is>
      </c>
      <c r="G993" t="inlineStr">
        <is>
          <t>visualisation crawl</t>
        </is>
      </c>
      <c r="H993" t="inlineStr">
        <is>
          <t>PRIMARY</t>
        </is>
      </c>
      <c r="I993" t="inlineStr">
        <is>
          <t>fr</t>
        </is>
      </c>
      <c r="J993" t="inlineStr">
        <is>
          <t>NOT AVAILABLE</t>
        </is>
      </c>
      <c r="K993" t="inlineStr">
        <is>
          <t>NOT AVAILABLE</t>
        </is>
      </c>
      <c r="L993" t="inlineStr">
        <is>
          <t>NOT AVAILABLE</t>
        </is>
      </c>
      <c r="M993" t="inlineStr">
        <is>
          <t>UNAVAILABLE</t>
        </is>
      </c>
      <c r="N993" t="inlineStr">
        <is>
          <t>Partly</t>
        </is>
      </c>
      <c r="O993" s="5" t="inlineStr">
        <is>
          <t>Work "visualisation crawl" (or a close natural variant) into existing copy - no new heading needed</t>
        </is>
      </c>
      <c r="P993" s="5" t="inlineStr">
        <is>
          <t>Keyword/variant absent from this section</t>
        </is>
      </c>
      <c r="Q993" t="inlineStr">
        <is>
          <t>P3</t>
        </is>
      </c>
      <c r="R993" t="n">
        <v>304</v>
      </c>
      <c r="S993" s="5" t="inlineStr">
        <is>
          <t>Explorez votre site comme un moteur de recherche et voyez son architecture d'un coup d'œil : chaque page devient un nœud, chaque lien interne une connexion. Gratuit • Aucune inscription requise URL de départ * Pages maxi</t>
        </is>
      </c>
    </row>
    <row r="994">
      <c r="A994" s="3" t="inlineStr">
        <is>
          <t>https://codesommet.com/tools/crawl-visualizer</t>
        </is>
      </c>
      <c r="B994" t="n">
        <v>2</v>
      </c>
      <c r="C994" t="inlineStr">
        <is>
          <t>Content block</t>
        </is>
      </c>
      <c r="D994" s="5" t="inlineStr">
        <is>
          <t>Pages explorées</t>
        </is>
      </c>
      <c r="E994" t="inlineStr">
        <is>
          <t>H2</t>
        </is>
      </c>
      <c r="F994" s="5" t="inlineStr">
        <is>
          <t>Informational / tool use</t>
        </is>
      </c>
      <c r="G994" t="inlineStr">
        <is>
          <t>visualisation crawl</t>
        </is>
      </c>
      <c r="H994" t="inlineStr">
        <is>
          <t>SUPPORTS PRIMARY</t>
        </is>
      </c>
      <c r="I994" t="inlineStr">
        <is>
          <t>fr</t>
        </is>
      </c>
      <c r="J994" t="inlineStr">
        <is>
          <t>NOT AVAILABLE</t>
        </is>
      </c>
      <c r="K994" t="inlineStr">
        <is>
          <t>NOT AVAILABLE</t>
        </is>
      </c>
      <c r="L994" t="inlineStr">
        <is>
          <t>NOT AVAILABLE</t>
        </is>
      </c>
      <c r="M994" t="inlineStr">
        <is>
          <t>UNAVAILABLE</t>
        </is>
      </c>
      <c r="N994" t="inlineStr">
        <is>
          <t>Yes (supporting block)</t>
        </is>
      </c>
      <c r="O994" s="5" t="inlineStr">
        <is>
          <t>Supports the primary topic - add only if natural</t>
        </is>
      </c>
      <c r="P994" s="5" t="inlineStr"/>
      <c r="Q994" t="inlineStr">
        <is>
          <t>P3</t>
        </is>
      </c>
      <c r="R994" t="n">
        <v>8</v>
      </c>
      <c r="S994" s="5" t="inlineStr">
        <is>
          <t>URL Statut Profondeur Liens entrants Liens sortants Indexabilité</t>
        </is>
      </c>
    </row>
    <row r="995">
      <c r="A995" s="3" t="inlineStr">
        <is>
          <t>https://codesommet.com/tools/crawl-visualizer</t>
        </is>
      </c>
      <c r="B995" t="n">
        <v>3</v>
      </c>
      <c r="C995" t="inlineStr">
        <is>
          <t>Content block</t>
        </is>
      </c>
      <c r="D995" s="5" t="inlineStr">
        <is>
          <t>Comment Utiliser Cet Outil</t>
        </is>
      </c>
      <c r="E995" t="inlineStr">
        <is>
          <t>H2</t>
        </is>
      </c>
      <c r="F995" s="5" t="inlineStr">
        <is>
          <t>Informational / tool use</t>
        </is>
      </c>
      <c r="G995" t="inlineStr">
        <is>
          <t>visualisation crawl</t>
        </is>
      </c>
      <c r="H995" t="inlineStr">
        <is>
          <t>SUPPORTS PRIMARY</t>
        </is>
      </c>
      <c r="I995" t="inlineStr">
        <is>
          <t>fr</t>
        </is>
      </c>
      <c r="J995" t="inlineStr">
        <is>
          <t>NOT AVAILABLE</t>
        </is>
      </c>
      <c r="K995" t="inlineStr">
        <is>
          <t>NOT AVAILABLE</t>
        </is>
      </c>
      <c r="L995" t="inlineStr">
        <is>
          <t>NOT AVAILABLE</t>
        </is>
      </c>
      <c r="M995" t="inlineStr">
        <is>
          <t>UNAVAILABLE</t>
        </is>
      </c>
      <c r="N995" t="inlineStr">
        <is>
          <t>Yes (supporting block)</t>
        </is>
      </c>
      <c r="O995" s="5" t="inlineStr">
        <is>
          <t>Supports the primary topic - add only if natural</t>
        </is>
      </c>
      <c r="P995" s="5" t="inlineStr"/>
      <c r="Q995" t="inlineStr">
        <is>
          <t>P3</t>
        </is>
      </c>
      <c r="R995" t="n">
        <v>57</v>
      </c>
      <c r="S995" s="5" t="inlineStr">
        <is>
          <t>1 Entrez l'adresse de votre page d'accueil, puis choisissez le nombre de pages et la profondeur à explorer. 2 Le robot suit les liens internes page par page et construit le graphe en temps réel. 3 Cliquez sur un nœud pou</t>
        </is>
      </c>
    </row>
    <row r="996">
      <c r="A996" s="3" t="inlineStr">
        <is>
          <t>https://codesommet.com/tools/crawl-visualizer</t>
        </is>
      </c>
      <c r="B996" t="n">
        <v>4</v>
      </c>
      <c r="C996" t="inlineStr">
        <is>
          <t>FAQ</t>
        </is>
      </c>
      <c r="D996" s="5" t="inlineStr">
        <is>
          <t>Questions Fréquemment Posées</t>
        </is>
      </c>
      <c r="E996" t="inlineStr">
        <is>
          <t>H2</t>
        </is>
      </c>
      <c r="F996" s="5" t="inlineStr">
        <is>
          <t>Informational (pre-purchase questions)</t>
        </is>
      </c>
      <c r="G996" t="inlineStr">
        <is>
          <t>visualisation crawl</t>
        </is>
      </c>
      <c r="H996" t="inlineStr">
        <is>
          <t>SUPPORTS PRIMARY</t>
        </is>
      </c>
      <c r="I996" t="inlineStr">
        <is>
          <t>fr</t>
        </is>
      </c>
      <c r="J996" t="inlineStr">
        <is>
          <t>NOT AVAILABLE</t>
        </is>
      </c>
      <c r="K996" t="inlineStr">
        <is>
          <t>NOT AVAILABLE</t>
        </is>
      </c>
      <c r="L996" t="inlineStr">
        <is>
          <t>NOT AVAILABLE</t>
        </is>
      </c>
      <c r="M996" t="inlineStr">
        <is>
          <t>UNAVAILABLE</t>
        </is>
      </c>
      <c r="N996" t="inlineStr">
        <is>
          <t>Yes (supporting block)</t>
        </is>
      </c>
      <c r="O996" s="5" t="inlineStr">
        <is>
          <t>Supports the primary topic - add only if natural</t>
        </is>
      </c>
      <c r="P996" s="5" t="inlineStr"/>
      <c r="Q996" t="inlineStr">
        <is>
          <t>P3</t>
        </is>
      </c>
      <c r="R996" t="n">
        <v>322</v>
      </c>
      <c r="S996" s="5" t="inlineStr">
        <is>
          <t xml:space="preserve">Comprendre la carte d'exploration et l'utiliser pour améliorer votre maillage interne 1 Que montre le graphe d'exploration ? Chaque cercle est une page découverte en suivant les liens internes depuis l'URL de départ. Le </t>
        </is>
      </c>
    </row>
    <row r="997">
      <c r="A997" s="3" t="inlineStr">
        <is>
          <t>https://codesommet.com/tools/crawl-visualizer</t>
        </is>
      </c>
      <c r="B997" t="n">
        <v>5</v>
      </c>
      <c r="C997" t="inlineStr">
        <is>
          <t>Internal-link block</t>
        </is>
      </c>
      <c r="D997" s="5" t="inlineStr">
        <is>
          <t>Outils Connexes Qui Pourraient Vous Intéresser</t>
        </is>
      </c>
      <c r="E997" t="inlineStr">
        <is>
          <t>H2</t>
        </is>
      </c>
      <c r="F997" s="5" t="inlineStr">
        <is>
          <t>Navigation</t>
        </is>
      </c>
      <c r="G997" t="inlineStr">
        <is>
          <t>—</t>
        </is>
      </c>
      <c r="H997" t="inlineStr">
        <is>
          <t>NONE</t>
        </is>
      </c>
      <c r="I997" t="inlineStr">
        <is>
          <t>—</t>
        </is>
      </c>
      <c r="J997" t="inlineStr">
        <is>
          <t>—</t>
        </is>
      </c>
      <c r="K997" t="inlineStr">
        <is>
          <t>—</t>
        </is>
      </c>
      <c r="L997" t="inlineStr">
        <is>
          <t>—</t>
        </is>
      </c>
      <c r="M997" t="inlineStr">
        <is>
          <t>—</t>
        </is>
      </c>
      <c r="N997" t="inlineStr">
        <is>
          <t>n/a</t>
        </is>
      </c>
      <c r="O997" s="5" t="inlineStr">
        <is>
          <t>No keyword target - keep conversion/navigation focus; use descriptive, non-repeated anchor texts</t>
        </is>
      </c>
      <c r="P997" s="5" t="inlineStr"/>
      <c r="Q997" t="inlineStr">
        <is>
          <t>P4</t>
        </is>
      </c>
      <c r="R997" t="n">
        <v>65</v>
      </c>
      <c r="S997" s="5" t="inlineStr">
        <is>
          <t>Continuez à optimiser votre site web avec ces outils complémentaires Analyseur de Liens Internes Listez les liens internes d'une page et repérez les ancres vagues Essayer gratuitement seo Vérificateur de Liens Morts Test</t>
        </is>
      </c>
    </row>
    <row r="998">
      <c r="A998" s="3" t="inlineStr">
        <is>
          <t>https://codesommet.com/tools/crawl-visualizer</t>
        </is>
      </c>
      <c r="B998" t="n">
        <v>6</v>
      </c>
      <c r="C998" t="inlineStr">
        <is>
          <t>CTA / conversion</t>
        </is>
      </c>
      <c r="D998" s="5" t="inlineStr">
        <is>
          <t>Besoin d'une Refonte de Votre Architecture de Site ?</t>
        </is>
      </c>
      <c r="E998" t="inlineStr">
        <is>
          <t>H2</t>
        </is>
      </c>
      <c r="F998" s="5" t="inlineStr">
        <is>
          <t>Conversion</t>
        </is>
      </c>
      <c r="G998" t="inlineStr">
        <is>
          <t>—</t>
        </is>
      </c>
      <c r="H998" t="inlineStr">
        <is>
          <t>NONE</t>
        </is>
      </c>
      <c r="I998" t="inlineStr">
        <is>
          <t>—</t>
        </is>
      </c>
      <c r="J998" t="inlineStr">
        <is>
          <t>—</t>
        </is>
      </c>
      <c r="K998" t="inlineStr">
        <is>
          <t>—</t>
        </is>
      </c>
      <c r="L998" t="inlineStr">
        <is>
          <t>—</t>
        </is>
      </c>
      <c r="M998" t="inlineStr">
        <is>
          <t>—</t>
        </is>
      </c>
      <c r="N998" t="inlineStr">
        <is>
          <t>n/a</t>
        </is>
      </c>
      <c r="O998" s="5" t="inlineStr">
        <is>
          <t>No keyword target - keep conversion/navigation focus; use descriptive, non-repeated anchor texts</t>
        </is>
      </c>
      <c r="P998" s="5" t="inlineStr"/>
      <c r="Q998" t="inlineStr">
        <is>
          <t>P4</t>
        </is>
      </c>
      <c r="R998" t="n">
        <v>112</v>
      </c>
      <c r="S998" s="5" t="inlineStr">
        <is>
          <t>Nous restructurons le maillage interne et la navigation pour que chaque page importante soit à portée de clic Réserver un Appel Découverte 50+ projets réussis • Livraison en 48h • Pas de contrats à long terme Sites web C</t>
        </is>
      </c>
    </row>
    <row r="999">
      <c r="A999" s="3" t="inlineStr">
        <is>
          <t>https://codesommet.com/tools/css-minifier</t>
        </is>
      </c>
      <c r="B999" t="n">
        <v>1</v>
      </c>
      <c r="C999" t="inlineStr">
        <is>
          <t>Hero / H1</t>
        </is>
      </c>
      <c r="D999" s="5" t="inlineStr">
        <is>
          <t>Minificateur CSS : Compression de Code Gratuite</t>
        </is>
      </c>
      <c r="E999" t="inlineStr">
        <is>
          <t>H1</t>
        </is>
      </c>
      <c r="F999" s="5" t="inlineStr">
        <is>
          <t>Informational / tool use</t>
        </is>
      </c>
      <c r="G999" t="inlineStr">
        <is>
          <t>minify css</t>
        </is>
      </c>
      <c r="H999" t="inlineStr">
        <is>
          <t>PRIMARY</t>
        </is>
      </c>
      <c r="I999" t="inlineStr">
        <is>
          <t>fr</t>
        </is>
      </c>
      <c r="J999" t="n">
        <v>320</v>
      </c>
      <c r="K999" t="n">
        <v>29</v>
      </c>
      <c r="L999" t="n">
        <v>0</v>
      </c>
      <c r="M999" t="inlineStr">
        <is>
          <t>MEASURED</t>
        </is>
      </c>
      <c r="N999" t="inlineStr">
        <is>
          <t>Partly</t>
        </is>
      </c>
      <c r="O999" s="5" t="inlineStr">
        <is>
          <t>Work "minify css" (or a close natural variant) into existing copy - no new heading needed</t>
        </is>
      </c>
      <c r="P999" s="5" t="inlineStr">
        <is>
          <t>Keyword/variant absent from this section</t>
        </is>
      </c>
      <c r="Q999" t="inlineStr">
        <is>
          <t>P3</t>
        </is>
      </c>
      <c r="R999" t="n">
        <v>32</v>
      </c>
      <c r="S999" s="5" t="inlineStr">
        <is>
          <t>Minifiez le code CSS pour réduire la taille des fichiers et améliorer les performances de chargement Gratuit • Aucune inscription requise Code CSS Appuyez sur Ctrl+Entrée pour minifier rapidement Minifier le CSS</t>
        </is>
      </c>
    </row>
    <row r="1000">
      <c r="A1000" s="3" t="inlineStr">
        <is>
          <t>https://codesommet.com/tools/css-minifier</t>
        </is>
      </c>
      <c r="B1000" t="n">
        <v>2</v>
      </c>
      <c r="C1000" t="inlineStr">
        <is>
          <t>Process / how it works</t>
        </is>
      </c>
      <c r="D1000" s="5" t="inlineStr">
        <is>
          <t>Comment Fonctionne la Minification CSS</t>
        </is>
      </c>
      <c r="E1000" t="inlineStr">
        <is>
          <t>H2</t>
        </is>
      </c>
      <c r="F1000" s="5" t="inlineStr">
        <is>
          <t>Informational / commercial</t>
        </is>
      </c>
      <c r="G1000" t="inlineStr">
        <is>
          <t>minify css</t>
        </is>
      </c>
      <c r="H1000" t="inlineStr">
        <is>
          <t>SUPPORTS PRIMARY</t>
        </is>
      </c>
      <c r="I1000" t="inlineStr">
        <is>
          <t>fr</t>
        </is>
      </c>
      <c r="J1000" t="n">
        <v>320</v>
      </c>
      <c r="K1000" t="n">
        <v>29</v>
      </c>
      <c r="L1000" t="n">
        <v>0</v>
      </c>
      <c r="M1000" t="inlineStr">
        <is>
          <t>MEASURED</t>
        </is>
      </c>
      <c r="N1000" t="inlineStr">
        <is>
          <t>Yes (supporting block)</t>
        </is>
      </c>
      <c r="O1000" s="5" t="inlineStr">
        <is>
          <t>Supports the primary topic - add only if natural</t>
        </is>
      </c>
      <c r="P1000" s="5" t="inlineStr"/>
      <c r="Q1000" t="inlineStr">
        <is>
          <t>P3</t>
        </is>
      </c>
      <c r="R1000" t="n">
        <v>57</v>
      </c>
      <c r="S1000" s="5" t="inlineStr">
        <is>
          <t xml:space="preserve">1 Supprimer les Commentaires Les commentaires sont supprimés - ils ne sont pas nécessaires en production 2 Réduire les Espaces Les espaces multiples, tabulations et sauts de ligne sont réduits 3 Supprimer les Caractères </t>
        </is>
      </c>
    </row>
    <row r="1001">
      <c r="A1001" s="3" t="inlineStr">
        <is>
          <t>https://codesommet.com/tools/css-minifier</t>
        </is>
      </c>
      <c r="B1001" t="n">
        <v>3</v>
      </c>
      <c r="C1001" t="inlineStr">
        <is>
          <t>Content block</t>
        </is>
      </c>
      <c r="D1001" s="5" t="inlineStr">
        <is>
          <t>Bonnes Pratiques</t>
        </is>
      </c>
      <c r="E1001" t="inlineStr">
        <is>
          <t>H2</t>
        </is>
      </c>
      <c r="F1001" s="5" t="inlineStr">
        <is>
          <t>Informational / tool use</t>
        </is>
      </c>
      <c r="G1001" t="inlineStr">
        <is>
          <t>minifier css</t>
        </is>
      </c>
      <c r="H1001" t="inlineStr">
        <is>
          <t>SECONDARY</t>
        </is>
      </c>
      <c r="I1001" t="inlineStr">
        <is>
          <t>fr</t>
        </is>
      </c>
      <c r="J1001" t="n">
        <v>260</v>
      </c>
      <c r="K1001" t="n">
        <v>46</v>
      </c>
      <c r="L1001" t="n">
        <v>0</v>
      </c>
      <c r="M1001" t="inlineStr">
        <is>
          <t>MEASURED</t>
        </is>
      </c>
      <c r="N1001" t="inlineStr">
        <is>
          <t>Yes</t>
        </is>
      </c>
      <c r="O1001" s="5" t="inlineStr">
        <is>
          <t>Covered - keep wording; no change</t>
        </is>
      </c>
      <c r="P1001" s="5" t="inlineStr"/>
      <c r="Q1001" t="inlineStr">
        <is>
          <t>P3</t>
        </is>
      </c>
      <c r="R1001" t="n">
        <v>83</v>
      </c>
      <c r="S1001" s="5" t="inlineStr">
        <is>
          <t>Conservez les Originaux : Gardez toujours vos fichiers CSS originaux lisibles pour le développement. Utilisez les versions minifiées uniquement en production. Combinez les Fichiers : Fusionnez plusieurs fichiers CSS en u</t>
        </is>
      </c>
    </row>
    <row r="1002">
      <c r="A1002" s="3" t="inlineStr">
        <is>
          <t>https://codesommet.com/tools/css-minifier</t>
        </is>
      </c>
      <c r="B1002" t="n">
        <v>4</v>
      </c>
      <c r="C1002" t="inlineStr">
        <is>
          <t>FAQ</t>
        </is>
      </c>
      <c r="D1002" s="5" t="inlineStr">
        <is>
          <t>Questions Fréquemment Posées</t>
        </is>
      </c>
      <c r="E1002" t="inlineStr">
        <is>
          <t>H2</t>
        </is>
      </c>
      <c r="F1002" s="5" t="inlineStr">
        <is>
          <t>Informational (pre-purchase questions)</t>
        </is>
      </c>
      <c r="G1002" t="inlineStr">
        <is>
          <t>minify css</t>
        </is>
      </c>
      <c r="H1002" t="inlineStr">
        <is>
          <t>SUPPORTS PRIMARY</t>
        </is>
      </c>
      <c r="I1002" t="inlineStr">
        <is>
          <t>fr</t>
        </is>
      </c>
      <c r="J1002" t="n">
        <v>320</v>
      </c>
      <c r="K1002" t="n">
        <v>29</v>
      </c>
      <c r="L1002" t="n">
        <v>0</v>
      </c>
      <c r="M1002" t="inlineStr">
        <is>
          <t>MEASURED</t>
        </is>
      </c>
      <c r="N1002" t="inlineStr">
        <is>
          <t>Yes (supporting block)</t>
        </is>
      </c>
      <c r="O1002" s="5" t="inlineStr">
        <is>
          <t>Supports the primary topic - add only if natural</t>
        </is>
      </c>
      <c r="P1002" s="5" t="inlineStr"/>
      <c r="Q1002" t="inlineStr">
        <is>
          <t>P3</t>
        </is>
      </c>
      <c r="R1002" t="n">
        <v>531</v>
      </c>
      <c r="S1002" s="5" t="inlineStr">
        <is>
          <t>Questions courantes sur cet outil et comment l'utiliser efficacement 1 Que fait réellement la minification CSS ? La minification CSS supprime tous les caractères inutiles de votre feuille de style sans changer sa fonctio</t>
        </is>
      </c>
    </row>
    <row r="1003">
      <c r="A1003" s="3" t="inlineStr">
        <is>
          <t>https://codesommet.com/tools/css-minifier</t>
        </is>
      </c>
      <c r="B1003" t="n">
        <v>5</v>
      </c>
      <c r="C1003" t="inlineStr">
        <is>
          <t>Internal-link block</t>
        </is>
      </c>
      <c r="D1003" s="5" t="inlineStr">
        <is>
          <t>Outils Connexes Qui Pourraient Vous Intéresser</t>
        </is>
      </c>
      <c r="E1003" t="inlineStr">
        <is>
          <t>H2</t>
        </is>
      </c>
      <c r="F1003" s="5" t="inlineStr">
        <is>
          <t>Navigation</t>
        </is>
      </c>
      <c r="G1003" t="inlineStr">
        <is>
          <t>—</t>
        </is>
      </c>
      <c r="H1003" t="inlineStr">
        <is>
          <t>NONE</t>
        </is>
      </c>
      <c r="I1003" t="inlineStr">
        <is>
          <t>—</t>
        </is>
      </c>
      <c r="J1003" t="inlineStr">
        <is>
          <t>—</t>
        </is>
      </c>
      <c r="K1003" t="inlineStr">
        <is>
          <t>—</t>
        </is>
      </c>
      <c r="L1003" t="inlineStr">
        <is>
          <t>—</t>
        </is>
      </c>
      <c r="M1003" t="inlineStr">
        <is>
          <t>—</t>
        </is>
      </c>
      <c r="N1003" t="inlineStr">
        <is>
          <t>n/a</t>
        </is>
      </c>
      <c r="O1003" s="5" t="inlineStr">
        <is>
          <t>No keyword target - keep conversion/navigation focus; use descriptive, non-repeated anchor texts</t>
        </is>
      </c>
      <c r="P1003" s="5" t="inlineStr"/>
      <c r="Q1003" t="inlineStr">
        <is>
          <t>P4</t>
        </is>
      </c>
      <c r="R1003" t="n">
        <v>73</v>
      </c>
      <c r="S1003" s="5" t="inlineStr">
        <is>
          <t>Continuez à optimiser votre site web avec ces outils complémentaires Générateur de Palette de Couleurs Extrayez les couleurs de marque des logos avec la vision IA Essayer gratuitement design Générateur de Code QR Générez</t>
        </is>
      </c>
    </row>
    <row r="1004">
      <c r="A1004" s="3" t="inlineStr">
        <is>
          <t>https://codesommet.com/tools/css-minifier</t>
        </is>
      </c>
      <c r="B1004" t="n">
        <v>6</v>
      </c>
      <c r="C1004" t="inlineStr">
        <is>
          <t>CTA / conversion</t>
        </is>
      </c>
      <c r="D1004" s="5" t="inlineStr">
        <is>
          <t>Besoin d'un Outil Personnalisé pour Votre Entreprise ?</t>
        </is>
      </c>
      <c r="E1004" t="inlineStr">
        <is>
          <t>H2</t>
        </is>
      </c>
      <c r="F1004" s="5" t="inlineStr">
        <is>
          <t>Conversion</t>
        </is>
      </c>
      <c r="G1004" t="inlineStr">
        <is>
          <t>—</t>
        </is>
      </c>
      <c r="H1004" t="inlineStr">
        <is>
          <t>NONE</t>
        </is>
      </c>
      <c r="I1004" t="inlineStr">
        <is>
          <t>—</t>
        </is>
      </c>
      <c r="J1004" t="inlineStr">
        <is>
          <t>—</t>
        </is>
      </c>
      <c r="K1004" t="inlineStr">
        <is>
          <t>—</t>
        </is>
      </c>
      <c r="L1004" t="inlineStr">
        <is>
          <t>—</t>
        </is>
      </c>
      <c r="M1004" t="inlineStr">
        <is>
          <t>—</t>
        </is>
      </c>
      <c r="N1004" t="inlineStr">
        <is>
          <t>n/a</t>
        </is>
      </c>
      <c r="O1004" s="5" t="inlineStr">
        <is>
          <t>No keyword target - keep conversion/navigation focus; use descriptive, non-repeated anchor texts</t>
        </is>
      </c>
      <c r="P1004" s="5" t="inlineStr"/>
      <c r="Q1004" t="inlineStr">
        <is>
          <t>P4</t>
        </is>
      </c>
      <c r="R1004" t="n">
        <v>109</v>
      </c>
      <c r="S1004" s="5" t="inlineStr">
        <is>
          <t>Nous créons des outils alimentés par l'IA, des tableaux de bord et des automatisations qui génèrent de vrais résultats Réserver un Appel Découverte 50+ projets réussis • Livraison en 48h • Sans engagement Sites web Chatb</t>
        </is>
      </c>
    </row>
    <row r="1005">
      <c r="A1005" s="3" t="inlineStr">
        <is>
          <t>https://codesommet.com/tools/domain-authority-checker</t>
        </is>
      </c>
      <c r="B1005" t="n">
        <v>1</v>
      </c>
      <c r="C1005" t="inlineStr">
        <is>
          <t>Hero / H1</t>
        </is>
      </c>
      <c r="D1005" s="5" t="inlineStr">
        <is>
          <t>Score de Fondations SEO Techniques Gratuit</t>
        </is>
      </c>
      <c r="E1005" t="inlineStr">
        <is>
          <t>H1</t>
        </is>
      </c>
      <c r="F1005" s="5" t="inlineStr">
        <is>
          <t>Informational / tool use</t>
        </is>
      </c>
      <c r="G1005" t="inlineStr">
        <is>
          <t>audit seo technique</t>
        </is>
      </c>
      <c r="H1005" t="inlineStr">
        <is>
          <t>PRIMARY</t>
        </is>
      </c>
      <c r="I1005" t="inlineStr">
        <is>
          <t>fr</t>
        </is>
      </c>
      <c r="J1005" t="inlineStr">
        <is>
          <t>NOT AVAILABLE</t>
        </is>
      </c>
      <c r="K1005" t="inlineStr">
        <is>
          <t>NOT AVAILABLE</t>
        </is>
      </c>
      <c r="L1005" t="inlineStr">
        <is>
          <t>NOT AVAILABLE</t>
        </is>
      </c>
      <c r="M1005" t="inlineStr">
        <is>
          <t>SUGGESTED</t>
        </is>
      </c>
      <c r="N1005" t="inlineStr">
        <is>
          <t>Partly</t>
        </is>
      </c>
      <c r="O1005" s="5" t="inlineStr">
        <is>
          <t>Work "audit seo technique" (or a close natural variant) into existing copy - no new heading needed</t>
        </is>
      </c>
      <c r="P1005" s="5" t="inlineStr">
        <is>
          <t>Keyword/variant absent from this section</t>
        </is>
      </c>
      <c r="Q1005" t="inlineStr">
        <is>
          <t>P3</t>
        </is>
      </c>
      <c r="R1005" t="n">
        <v>42</v>
      </c>
      <c r="S1005" s="5" t="inlineStr">
        <is>
          <t>Analysez les fondations SEO techniques de votre domaine (accessibilité, HTTPS, SSL, sitemap, robots.txt, redirection WWW) et obtenez des recommandations concrètes pour les renforcer Gratuit • Aucune inscription requise N</t>
        </is>
      </c>
    </row>
    <row r="1006">
      <c r="A1006" s="3" t="inlineStr">
        <is>
          <t>https://codesommet.com/tools/domain-authority-checker</t>
        </is>
      </c>
      <c r="B1006" t="n">
        <v>2</v>
      </c>
      <c r="C1006" t="inlineStr">
        <is>
          <t>FAQ</t>
        </is>
      </c>
      <c r="D1006" s="5" t="inlineStr">
        <is>
          <t>Questions Fréquemment Posées</t>
        </is>
      </c>
      <c r="E1006" t="inlineStr">
        <is>
          <t>H2</t>
        </is>
      </c>
      <c r="F1006" s="5" t="inlineStr">
        <is>
          <t>Informational (pre-purchase questions)</t>
        </is>
      </c>
      <c r="G1006" t="inlineStr">
        <is>
          <t>audit seo technique</t>
        </is>
      </c>
      <c r="H1006" t="inlineStr">
        <is>
          <t>SUPPORTS PRIMARY</t>
        </is>
      </c>
      <c r="I1006" t="inlineStr">
        <is>
          <t>fr</t>
        </is>
      </c>
      <c r="J1006" t="inlineStr">
        <is>
          <t>NOT AVAILABLE</t>
        </is>
      </c>
      <c r="K1006" t="inlineStr">
        <is>
          <t>NOT AVAILABLE</t>
        </is>
      </c>
      <c r="L1006" t="inlineStr">
        <is>
          <t>NOT AVAILABLE</t>
        </is>
      </c>
      <c r="M1006" t="inlineStr">
        <is>
          <t>SUGGESTED</t>
        </is>
      </c>
      <c r="N1006" t="inlineStr">
        <is>
          <t>Yes (supporting block)</t>
        </is>
      </c>
      <c r="O1006" s="5" t="inlineStr">
        <is>
          <t>Supports the primary topic - add only if natural</t>
        </is>
      </c>
      <c r="P1006" s="5" t="inlineStr"/>
      <c r="Q1006" t="inlineStr">
        <is>
          <t>P3</t>
        </is>
      </c>
      <c r="R1006" t="n">
        <v>582</v>
      </c>
      <c r="S1006" s="5" t="inlineStr">
        <is>
          <t xml:space="preserve">Questions courantes sur cet outil et comment l'utiliser efficacement 1 Qu'est-ce que le Score de Fondations SEO Techniques et pourquoi est-ce important ? Le Score de Fondations SEO Techniques évalue les bases techniques </t>
        </is>
      </c>
    </row>
    <row r="1007">
      <c r="A1007" s="3" t="inlineStr">
        <is>
          <t>https://codesommet.com/tools/domain-authority-checker</t>
        </is>
      </c>
      <c r="B1007" t="n">
        <v>3</v>
      </c>
      <c r="C1007" t="inlineStr">
        <is>
          <t>Internal-link block</t>
        </is>
      </c>
      <c r="D1007" s="5" t="inlineStr">
        <is>
          <t>Outils Connexes Qui Pourraient Vous Intéresser</t>
        </is>
      </c>
      <c r="E1007" t="inlineStr">
        <is>
          <t>H2</t>
        </is>
      </c>
      <c r="F1007" s="5" t="inlineStr">
        <is>
          <t>Navigation</t>
        </is>
      </c>
      <c r="G1007" t="inlineStr">
        <is>
          <t>—</t>
        </is>
      </c>
      <c r="H1007" t="inlineStr">
        <is>
          <t>NONE</t>
        </is>
      </c>
      <c r="I1007" t="inlineStr">
        <is>
          <t>—</t>
        </is>
      </c>
      <c r="J1007" t="inlineStr">
        <is>
          <t>—</t>
        </is>
      </c>
      <c r="K1007" t="inlineStr">
        <is>
          <t>—</t>
        </is>
      </c>
      <c r="L1007" t="inlineStr">
        <is>
          <t>—</t>
        </is>
      </c>
      <c r="M1007" t="inlineStr">
        <is>
          <t>—</t>
        </is>
      </c>
      <c r="N1007" t="inlineStr">
        <is>
          <t>n/a</t>
        </is>
      </c>
      <c r="O1007" s="5" t="inlineStr">
        <is>
          <t>No keyword target - keep conversion/navigation focus; use descriptive, non-repeated anchor texts</t>
        </is>
      </c>
      <c r="P1007" s="5" t="inlineStr"/>
      <c r="Q1007" t="inlineStr">
        <is>
          <t>P4</t>
        </is>
      </c>
      <c r="R1007" t="n">
        <v>67</v>
      </c>
      <c r="S1007" s="5" t="inlineStr">
        <is>
          <t xml:space="preserve">Continuez à optimiser votre site web avec ces outils complémentaires Analyseur de Densité de Mots-clés Détectez le bourrage de mots-clés et le contenu pauvre Essayer gratuitement seo Analyseur de Liens Internes Analysez </t>
        </is>
      </c>
    </row>
    <row r="1008">
      <c r="A1008" s="3" t="inlineStr">
        <is>
          <t>https://codesommet.com/tools/domain-authority-checker</t>
        </is>
      </c>
      <c r="B1008" t="n">
        <v>4</v>
      </c>
      <c r="C1008" t="inlineStr">
        <is>
          <t>CTA / conversion</t>
        </is>
      </c>
      <c r="D1008" s="5" t="inlineStr">
        <is>
          <t>Besoin d'un Outil Personnalisé pour Votre Entreprise ?</t>
        </is>
      </c>
      <c r="E1008" t="inlineStr">
        <is>
          <t>H2</t>
        </is>
      </c>
      <c r="F1008" s="5" t="inlineStr">
        <is>
          <t>Conversion</t>
        </is>
      </c>
      <c r="G1008" t="inlineStr">
        <is>
          <t>—</t>
        </is>
      </c>
      <c r="H1008" t="inlineStr">
        <is>
          <t>NONE</t>
        </is>
      </c>
      <c r="I1008" t="inlineStr">
        <is>
          <t>—</t>
        </is>
      </c>
      <c r="J1008" t="inlineStr">
        <is>
          <t>—</t>
        </is>
      </c>
      <c r="K1008" t="inlineStr">
        <is>
          <t>—</t>
        </is>
      </c>
      <c r="L1008" t="inlineStr">
        <is>
          <t>—</t>
        </is>
      </c>
      <c r="M1008" t="inlineStr">
        <is>
          <t>—</t>
        </is>
      </c>
      <c r="N1008" t="inlineStr">
        <is>
          <t>n/a</t>
        </is>
      </c>
      <c r="O1008" s="5" t="inlineStr">
        <is>
          <t>No keyword target - keep conversion/navigation focus; use descriptive, non-repeated anchor texts</t>
        </is>
      </c>
      <c r="P1008" s="5" t="inlineStr"/>
      <c r="Q1008" t="inlineStr">
        <is>
          <t>P4</t>
        </is>
      </c>
      <c r="R1008" t="n">
        <v>109</v>
      </c>
      <c r="S1008" s="5" t="inlineStr">
        <is>
          <t>Nous créons des outils alimentés par l'IA, des tableaux de bord et des automatisations qui génèrent de vrais résultats Réserver un Appel Découverte 50+ projets réussis • Livraison en 48h • Sans engagement Sites web Chatb</t>
        </is>
      </c>
    </row>
    <row r="1009">
      <c r="A1009" s="3" t="inlineStr">
        <is>
          <t>https://codesommet.com/tools/domain-extractor</t>
        </is>
      </c>
      <c r="B1009" t="n">
        <v>1</v>
      </c>
      <c r="C1009" t="inlineStr">
        <is>
          <t>Hero / H1</t>
        </is>
      </c>
      <c r="D1009" s="5" t="inlineStr">
        <is>
          <t>Extracteur de Domaines d'une Liste d'URL</t>
        </is>
      </c>
      <c r="E1009" t="inlineStr">
        <is>
          <t>H1</t>
        </is>
      </c>
      <c r="F1009" s="5" t="inlineStr">
        <is>
          <t>Informational / tool use</t>
        </is>
      </c>
      <c r="G1009" t="inlineStr">
        <is>
          <t>extraire domaine url</t>
        </is>
      </c>
      <c r="H1009" t="inlineStr">
        <is>
          <t>PRIMARY</t>
        </is>
      </c>
      <c r="I1009" t="inlineStr">
        <is>
          <t>fr</t>
        </is>
      </c>
      <c r="J1009" t="inlineStr">
        <is>
          <t>NOT AVAILABLE</t>
        </is>
      </c>
      <c r="K1009" t="inlineStr">
        <is>
          <t>NOT AVAILABLE</t>
        </is>
      </c>
      <c r="L1009" t="inlineStr">
        <is>
          <t>NOT AVAILABLE</t>
        </is>
      </c>
      <c r="M1009" t="inlineStr">
        <is>
          <t>UNAVAILABLE</t>
        </is>
      </c>
      <c r="N1009" t="inlineStr">
        <is>
          <t>Yes</t>
        </is>
      </c>
      <c r="O1009" s="5" t="inlineStr">
        <is>
          <t>Covered - keep wording; no change</t>
        </is>
      </c>
      <c r="P1009" s="5" t="inlineStr"/>
      <c r="Q1009" t="inlineStr">
        <is>
          <t>P3</t>
        </is>
      </c>
      <c r="R1009" t="n">
        <v>69</v>
      </c>
      <c r="S1009" s="5" t="inlineStr">
        <is>
          <t>Transformez une liste d'URL — export de backlinks, crawl, liste de prospects — en domaines uniques, avec le nombre d'URL pour chacun. Gratuit • Aucune inscription requise URL ou noms d'hôte (un par ligne) * 0 ligne Nivea</t>
        </is>
      </c>
    </row>
    <row r="1010">
      <c r="A1010" s="3" t="inlineStr">
        <is>
          <t>https://codesommet.com/tools/domain-extractor</t>
        </is>
      </c>
      <c r="B1010" t="n">
        <v>2</v>
      </c>
      <c r="C1010" t="inlineStr">
        <is>
          <t>Content block</t>
        </is>
      </c>
      <c r="D1010" s="5" t="inlineStr">
        <is>
          <t>URL par domaine</t>
        </is>
      </c>
      <c r="E1010" t="inlineStr">
        <is>
          <t>H2</t>
        </is>
      </c>
      <c r="F1010" s="5" t="inlineStr">
        <is>
          <t>Informational / tool use</t>
        </is>
      </c>
      <c r="G1010" t="inlineStr">
        <is>
          <t>extraire domaine url</t>
        </is>
      </c>
      <c r="H1010" t="inlineStr">
        <is>
          <t>SUPPORTS PRIMARY</t>
        </is>
      </c>
      <c r="I1010" t="inlineStr">
        <is>
          <t>fr</t>
        </is>
      </c>
      <c r="J1010" t="inlineStr">
        <is>
          <t>NOT AVAILABLE</t>
        </is>
      </c>
      <c r="K1010" t="inlineStr">
        <is>
          <t>NOT AVAILABLE</t>
        </is>
      </c>
      <c r="L1010" t="inlineStr">
        <is>
          <t>NOT AVAILABLE</t>
        </is>
      </c>
      <c r="M1010" t="inlineStr">
        <is>
          <t>UNAVAILABLE</t>
        </is>
      </c>
      <c r="N1010" t="inlineStr">
        <is>
          <t>Yes (supporting block)</t>
        </is>
      </c>
      <c r="O1010" s="5" t="inlineStr">
        <is>
          <t>Supports the primary topic - add only if natural</t>
        </is>
      </c>
      <c r="P1010" s="5" t="inlineStr"/>
      <c r="Q1010" t="inlineStr">
        <is>
          <t>P3</t>
        </is>
      </c>
      <c r="R1010" t="n">
        <v>7</v>
      </c>
      <c r="S1010" s="5" t="inlineStr">
        <is>
          <t>Copier le résumé Télécharger CSV Télécharger JSON</t>
        </is>
      </c>
    </row>
    <row r="1011">
      <c r="A1011" s="3" t="inlineStr">
        <is>
          <t>https://codesommet.com/tools/domain-extractor</t>
        </is>
      </c>
      <c r="B1011" t="n">
        <v>3</v>
      </c>
      <c r="C1011" t="inlineStr">
        <is>
          <t>Content block</t>
        </is>
      </c>
      <c r="D1011" s="5" t="inlineStr">
        <is>
          <t>Comment Utiliser Cet Outil</t>
        </is>
      </c>
      <c r="E1011" t="inlineStr">
        <is>
          <t>H2</t>
        </is>
      </c>
      <c r="F1011" s="5" t="inlineStr">
        <is>
          <t>Informational / tool use</t>
        </is>
      </c>
      <c r="G1011" t="inlineStr">
        <is>
          <t>extraire domaine url</t>
        </is>
      </c>
      <c r="H1011" t="inlineStr">
        <is>
          <t>SUPPORTS PRIMARY</t>
        </is>
      </c>
      <c r="I1011" t="inlineStr">
        <is>
          <t>fr</t>
        </is>
      </c>
      <c r="J1011" t="inlineStr">
        <is>
          <t>NOT AVAILABLE</t>
        </is>
      </c>
      <c r="K1011" t="inlineStr">
        <is>
          <t>NOT AVAILABLE</t>
        </is>
      </c>
      <c r="L1011" t="inlineStr">
        <is>
          <t>NOT AVAILABLE</t>
        </is>
      </c>
      <c r="M1011" t="inlineStr">
        <is>
          <t>UNAVAILABLE</t>
        </is>
      </c>
      <c r="N1011" t="inlineStr">
        <is>
          <t>Yes (supporting block)</t>
        </is>
      </c>
      <c r="O1011" s="5" t="inlineStr">
        <is>
          <t>Supports the primary topic - add only if natural</t>
        </is>
      </c>
      <c r="P1011" s="5" t="inlineStr"/>
      <c r="Q1011" t="inlineStr">
        <is>
          <t>P3</t>
        </is>
      </c>
      <c r="R1011" t="n">
        <v>33</v>
      </c>
      <c r="S1011" s="5" t="inlineStr">
        <is>
          <t>1 Collez vos URL ou noms d'hôte, un par ligne. 2 Choisissez le domaine racine ou le nom d'hôte complet. 3 Copiez la liste des domaines uniques ou exportez le tableau en CSV.</t>
        </is>
      </c>
    </row>
    <row r="1012">
      <c r="A1012" s="3" t="inlineStr">
        <is>
          <t>https://codesommet.com/tools/domain-extractor</t>
        </is>
      </c>
      <c r="B1012" t="n">
        <v>4</v>
      </c>
      <c r="C1012" t="inlineStr">
        <is>
          <t>FAQ</t>
        </is>
      </c>
      <c r="D1012" s="5" t="inlineStr">
        <is>
          <t>Questions Fréquemment Posées</t>
        </is>
      </c>
      <c r="E1012" t="inlineStr">
        <is>
          <t>H2</t>
        </is>
      </c>
      <c r="F1012" s="5" t="inlineStr">
        <is>
          <t>Informational (pre-purchase questions)</t>
        </is>
      </c>
      <c r="G1012" t="inlineStr">
        <is>
          <t>extraire domaine url</t>
        </is>
      </c>
      <c r="H1012" t="inlineStr">
        <is>
          <t>SUPPORTS PRIMARY</t>
        </is>
      </c>
      <c r="I1012" t="inlineStr">
        <is>
          <t>fr</t>
        </is>
      </c>
      <c r="J1012" t="inlineStr">
        <is>
          <t>NOT AVAILABLE</t>
        </is>
      </c>
      <c r="K1012" t="inlineStr">
        <is>
          <t>NOT AVAILABLE</t>
        </is>
      </c>
      <c r="L1012" t="inlineStr">
        <is>
          <t>NOT AVAILABLE</t>
        </is>
      </c>
      <c r="M1012" t="inlineStr">
        <is>
          <t>UNAVAILABLE</t>
        </is>
      </c>
      <c r="N1012" t="inlineStr">
        <is>
          <t>Yes (supporting block)</t>
        </is>
      </c>
      <c r="O1012" s="5" t="inlineStr">
        <is>
          <t>Supports the primary topic - add only if natural</t>
        </is>
      </c>
      <c r="P1012" s="5" t="inlineStr"/>
      <c r="Q1012" t="inlineStr">
        <is>
          <t>P3</t>
        </is>
      </c>
      <c r="R1012" t="n">
        <v>146</v>
      </c>
      <c r="S1012" s="5" t="inlineStr">
        <is>
          <t>Domaines, sous-domaines et suffixes publics 1 Qu'est-ce que le domaine racine ? C'est le nom enregistré auprès d'un registraire, sans les sous-domaines : blog.exemple.com devient exemple.com. Pour les extensions à deux n</t>
        </is>
      </c>
    </row>
    <row r="1013">
      <c r="A1013" s="3" t="inlineStr">
        <is>
          <t>https://codesommet.com/tools/domain-extractor</t>
        </is>
      </c>
      <c r="B1013" t="n">
        <v>5</v>
      </c>
      <c r="C1013" t="inlineStr">
        <is>
          <t>Internal-link block</t>
        </is>
      </c>
      <c r="D1013" s="5" t="inlineStr">
        <is>
          <t>Outils Connexes Qui Pourraient Vous Intéresser</t>
        </is>
      </c>
      <c r="E1013" t="inlineStr">
        <is>
          <t>H2</t>
        </is>
      </c>
      <c r="F1013" s="5" t="inlineStr">
        <is>
          <t>Navigation</t>
        </is>
      </c>
      <c r="G1013" t="inlineStr">
        <is>
          <t>—</t>
        </is>
      </c>
      <c r="H1013" t="inlineStr">
        <is>
          <t>NONE</t>
        </is>
      </c>
      <c r="I1013" t="inlineStr">
        <is>
          <t>—</t>
        </is>
      </c>
      <c r="J1013" t="inlineStr">
        <is>
          <t>—</t>
        </is>
      </c>
      <c r="K1013" t="inlineStr">
        <is>
          <t>—</t>
        </is>
      </c>
      <c r="L1013" t="inlineStr">
        <is>
          <t>—</t>
        </is>
      </c>
      <c r="M1013" t="inlineStr">
        <is>
          <t>—</t>
        </is>
      </c>
      <c r="N1013" t="inlineStr">
        <is>
          <t>n/a</t>
        </is>
      </c>
      <c r="O1013" s="5" t="inlineStr">
        <is>
          <t>No keyword target - keep conversion/navigation focus; use descriptive, non-repeated anchor texts</t>
        </is>
      </c>
      <c r="P1013" s="5" t="inlineStr"/>
      <c r="Q1013" t="inlineStr">
        <is>
          <t>P4</t>
        </is>
      </c>
      <c r="R1013" t="n">
        <v>54</v>
      </c>
      <c r="S1013" s="5" t="inlineStr">
        <is>
          <t xml:space="preserve">Continuez à optimiser votre site web avec ces outils complémentaires Éditeur d'URL en Masse Nettoyez et dédoublonnez vos listes d'URL Essayer gratuitement seo Vérificateur de Domaines Expirés Disponibilité et expiration </t>
        </is>
      </c>
    </row>
    <row r="1014">
      <c r="A1014" s="3" t="inlineStr">
        <is>
          <t>https://codesommet.com/tools/domain-extractor</t>
        </is>
      </c>
      <c r="B1014" t="n">
        <v>6</v>
      </c>
      <c r="C1014" t="inlineStr">
        <is>
          <t>CTA / conversion</t>
        </is>
      </c>
      <c r="D1014" s="5" t="inlineStr">
        <is>
          <t>Besoin d'un Audit de Votre Profil de Liens ?</t>
        </is>
      </c>
      <c r="E1014" t="inlineStr">
        <is>
          <t>H2</t>
        </is>
      </c>
      <c r="F1014" s="5" t="inlineStr">
        <is>
          <t>Conversion</t>
        </is>
      </c>
      <c r="G1014" t="inlineStr">
        <is>
          <t>—</t>
        </is>
      </c>
      <c r="H1014" t="inlineStr">
        <is>
          <t>NONE</t>
        </is>
      </c>
      <c r="I1014" t="inlineStr">
        <is>
          <t>—</t>
        </is>
      </c>
      <c r="J1014" t="inlineStr">
        <is>
          <t>—</t>
        </is>
      </c>
      <c r="K1014" t="inlineStr">
        <is>
          <t>—</t>
        </is>
      </c>
      <c r="L1014" t="inlineStr">
        <is>
          <t>—</t>
        </is>
      </c>
      <c r="M1014" t="inlineStr">
        <is>
          <t>—</t>
        </is>
      </c>
      <c r="N1014" t="inlineStr">
        <is>
          <t>n/a</t>
        </is>
      </c>
      <c r="O1014" s="5" t="inlineStr">
        <is>
          <t>No keyword target - keep conversion/navigation focus; use descriptive, non-repeated anchor texts</t>
        </is>
      </c>
      <c r="P1014" s="5" t="inlineStr"/>
      <c r="Q1014" t="inlineStr">
        <is>
          <t>P4</t>
        </is>
      </c>
      <c r="R1014" t="n">
        <v>106</v>
      </c>
      <c r="S1014" s="5" t="inlineStr">
        <is>
          <t>Nous analysons vos domaines référents et construisons une stratégie de liens durable Réserver un Appel Découverte 50+ projets réussis • Livraison en 48h • Pas de contrats à long terme Sites web Chatbots IA CRM Réservatio</t>
        </is>
      </c>
    </row>
    <row r="1015">
      <c r="A1015" s="3" t="inlineStr">
        <is>
          <t>https://codesommet.com/tools/domain-health-checker</t>
        </is>
      </c>
      <c r="B1015" t="n">
        <v>1</v>
      </c>
      <c r="C1015" t="inlineStr">
        <is>
          <t>Hero / H1</t>
        </is>
      </c>
      <c r="D1015" s="5" t="inlineStr">
        <is>
          <t>Santé de Domaine : Testeur DNS &amp; SSL Gratuit</t>
        </is>
      </c>
      <c r="E1015" t="inlineStr">
        <is>
          <t>H1</t>
        </is>
      </c>
      <c r="F1015" s="5" t="inlineStr">
        <is>
          <t>Informational / tool use</t>
        </is>
      </c>
      <c r="G1015" t="inlineStr">
        <is>
          <t>test dns</t>
        </is>
      </c>
      <c r="H1015" t="inlineStr">
        <is>
          <t>PRIMARY</t>
        </is>
      </c>
      <c r="I1015" t="inlineStr">
        <is>
          <t>fr</t>
        </is>
      </c>
      <c r="J1015" t="n">
        <v>1000</v>
      </c>
      <c r="K1015" t="n">
        <v>56</v>
      </c>
      <c r="L1015" t="n">
        <v>0</v>
      </c>
      <c r="M1015" t="inlineStr">
        <is>
          <t>MEASURED</t>
        </is>
      </c>
      <c r="N1015" t="inlineStr">
        <is>
          <t>Yes</t>
        </is>
      </c>
      <c r="O1015" s="5" t="inlineStr">
        <is>
          <t>Covered - keep wording; no change</t>
        </is>
      </c>
      <c r="P1015" s="5" t="inlineStr"/>
      <c r="Q1015" t="inlineStr">
        <is>
          <t>P3</t>
        </is>
      </c>
      <c r="R1015" t="n">
        <v>32</v>
      </c>
      <c r="S1015" s="5" t="inlineStr">
        <is>
          <t>Analyse complète du SEO technique et de la santé on-page de votre domaine Gratuit • Aucune inscription requise Nom de Domaine * Entrez le domaine sans http:// ou www Vérifier la Santé du Domaine</t>
        </is>
      </c>
    </row>
    <row r="1016">
      <c r="A1016" s="3" t="inlineStr">
        <is>
          <t>https://codesommet.com/tools/domain-health-checker</t>
        </is>
      </c>
      <c r="B1016" t="n">
        <v>2</v>
      </c>
      <c r="C1016" t="inlineStr">
        <is>
          <t>Content block</t>
        </is>
      </c>
      <c r="D1016" s="5" t="inlineStr">
        <is>
          <t>Ce que Cet Outil Vérifie</t>
        </is>
      </c>
      <c r="E1016" t="inlineStr">
        <is>
          <t>H2</t>
        </is>
      </c>
      <c r="F1016" s="5" t="inlineStr">
        <is>
          <t>Informational / tool use</t>
        </is>
      </c>
      <c r="G1016" t="inlineStr">
        <is>
          <t>vérifier domaine</t>
        </is>
      </c>
      <c r="H1016" t="inlineStr">
        <is>
          <t>SUPPORTING</t>
        </is>
      </c>
      <c r="I1016" t="inlineStr">
        <is>
          <t>fr</t>
        </is>
      </c>
      <c r="J1016" t="n">
        <v>40</v>
      </c>
      <c r="K1016" t="inlineStr">
        <is>
          <t>NOT AVAILABLE</t>
        </is>
      </c>
      <c r="L1016" t="n">
        <v>0.92</v>
      </c>
      <c r="M1016" t="inlineStr">
        <is>
          <t>MEASURED</t>
        </is>
      </c>
      <c r="N1016" t="inlineStr">
        <is>
          <t>Yes (supporting block)</t>
        </is>
      </c>
      <c r="O1016" s="5" t="inlineStr">
        <is>
          <t>Supports the primary topic - add only if natural</t>
        </is>
      </c>
      <c r="P1016" s="5" t="inlineStr"/>
      <c r="Q1016" t="inlineStr">
        <is>
          <t>P3</t>
        </is>
      </c>
      <c r="R1016" t="n">
        <v>42</v>
      </c>
      <c r="S1016" s="5" t="inlineStr">
        <is>
          <t xml:space="preserve">SEO Technique (6 vérifications) • Accessibilité du domaine • Certificat HTTPS &amp; SSL • Configuration de la redirection WWW • Sitemap.xml &amp; robots.txt • En-têtes de sécurité SEO On-Page (6 vérifications) • Balise viewport </t>
        </is>
      </c>
    </row>
    <row r="1017">
      <c r="A1017" s="3" t="inlineStr">
        <is>
          <t>https://codesommet.com/tools/domain-health-checker</t>
        </is>
      </c>
      <c r="B1017" t="n">
        <v>3</v>
      </c>
      <c r="C1017" t="inlineStr">
        <is>
          <t>FAQ</t>
        </is>
      </c>
      <c r="D1017" s="5" t="inlineStr">
        <is>
          <t>Questions Fréquemment Posées</t>
        </is>
      </c>
      <c r="E1017" t="inlineStr">
        <is>
          <t>H2</t>
        </is>
      </c>
      <c r="F1017" s="5" t="inlineStr">
        <is>
          <t>Informational (pre-purchase questions)</t>
        </is>
      </c>
      <c r="G1017" t="inlineStr">
        <is>
          <t>test dns</t>
        </is>
      </c>
      <c r="H1017" t="inlineStr">
        <is>
          <t>SUPPORTS PRIMARY</t>
        </is>
      </c>
      <c r="I1017" t="inlineStr">
        <is>
          <t>fr</t>
        </is>
      </c>
      <c r="J1017" t="n">
        <v>1000</v>
      </c>
      <c r="K1017" t="n">
        <v>56</v>
      </c>
      <c r="L1017" t="n">
        <v>0</v>
      </c>
      <c r="M1017" t="inlineStr">
        <is>
          <t>MEASURED</t>
        </is>
      </c>
      <c r="N1017" t="inlineStr">
        <is>
          <t>Yes (supporting block)</t>
        </is>
      </c>
      <c r="O1017" s="5" t="inlineStr">
        <is>
          <t>Supports the primary topic - add only if natural</t>
        </is>
      </c>
      <c r="P1017" s="5" t="inlineStr"/>
      <c r="Q1017" t="inlineStr">
        <is>
          <t>P3</t>
        </is>
      </c>
      <c r="R1017" t="n">
        <v>578</v>
      </c>
      <c r="S1017" s="5" t="inlineStr">
        <is>
          <t>Questions courantes sur cet outil et comment l'utiliser efficacement 1 Qu'est-ce que la santé du domaine et pourquoi est-ce important pour le SEO ? La santé du domaine mesure les fondations techniques SEO de votre site w</t>
        </is>
      </c>
    </row>
    <row r="1018">
      <c r="A1018" s="3" t="inlineStr">
        <is>
          <t>https://codesommet.com/tools/domain-health-checker</t>
        </is>
      </c>
      <c r="B1018" t="n">
        <v>4</v>
      </c>
      <c r="C1018" t="inlineStr">
        <is>
          <t>Internal-link block</t>
        </is>
      </c>
      <c r="D1018" s="5" t="inlineStr">
        <is>
          <t>Outils Connexes Qui Pourraient Vous Intéresser</t>
        </is>
      </c>
      <c r="E1018" t="inlineStr">
        <is>
          <t>H2</t>
        </is>
      </c>
      <c r="F1018" s="5" t="inlineStr">
        <is>
          <t>Navigation</t>
        </is>
      </c>
      <c r="G1018" t="inlineStr">
        <is>
          <t>—</t>
        </is>
      </c>
      <c r="H1018" t="inlineStr">
        <is>
          <t>NONE</t>
        </is>
      </c>
      <c r="I1018" t="inlineStr">
        <is>
          <t>—</t>
        </is>
      </c>
      <c r="J1018" t="inlineStr">
        <is>
          <t>—</t>
        </is>
      </c>
      <c r="K1018" t="inlineStr">
        <is>
          <t>—</t>
        </is>
      </c>
      <c r="L1018" t="inlineStr">
        <is>
          <t>—</t>
        </is>
      </c>
      <c r="M1018" t="inlineStr">
        <is>
          <t>—</t>
        </is>
      </c>
      <c r="N1018" t="inlineStr">
        <is>
          <t>n/a</t>
        </is>
      </c>
      <c r="O1018" s="5" t="inlineStr">
        <is>
          <t>No keyword target - keep conversion/navigation focus; use descriptive, non-repeated anchor texts</t>
        </is>
      </c>
      <c r="P1018" s="5" t="inlineStr"/>
      <c r="Q1018" t="inlineStr">
        <is>
          <t>P4</t>
        </is>
      </c>
      <c r="R1018" t="n">
        <v>66</v>
      </c>
      <c r="S1018" s="5" t="inlineStr">
        <is>
          <t>Continuez à optimiser votre site web avec ces outils complémentaires Vérificateur de Préparation du Site Analyse en 14 points couvrant SEO, Croissance, Performance &amp; Sécurité Essayer gratuitement seo Vérificateur d'Autor</t>
        </is>
      </c>
    </row>
    <row r="1019">
      <c r="A1019" s="3" t="inlineStr">
        <is>
          <t>https://codesommet.com/tools/domain-health-checker</t>
        </is>
      </c>
      <c r="B1019" t="n">
        <v>5</v>
      </c>
      <c r="C1019" t="inlineStr">
        <is>
          <t>CTA / conversion</t>
        </is>
      </c>
      <c r="D1019" s="5" t="inlineStr">
        <is>
          <t>Besoin d'un Outil Personnalisé pour Votre Entreprise ?</t>
        </is>
      </c>
      <c r="E1019" t="inlineStr">
        <is>
          <t>H2</t>
        </is>
      </c>
      <c r="F1019" s="5" t="inlineStr">
        <is>
          <t>Conversion</t>
        </is>
      </c>
      <c r="G1019" t="inlineStr">
        <is>
          <t>—</t>
        </is>
      </c>
      <c r="H1019" t="inlineStr">
        <is>
          <t>NONE</t>
        </is>
      </c>
      <c r="I1019" t="inlineStr">
        <is>
          <t>—</t>
        </is>
      </c>
      <c r="J1019" t="inlineStr">
        <is>
          <t>—</t>
        </is>
      </c>
      <c r="K1019" t="inlineStr">
        <is>
          <t>—</t>
        </is>
      </c>
      <c r="L1019" t="inlineStr">
        <is>
          <t>—</t>
        </is>
      </c>
      <c r="M1019" t="inlineStr">
        <is>
          <t>—</t>
        </is>
      </c>
      <c r="N1019" t="inlineStr">
        <is>
          <t>n/a</t>
        </is>
      </c>
      <c r="O1019" s="5" t="inlineStr">
        <is>
          <t>No keyword target - keep conversion/navigation focus; use descriptive, non-repeated anchor texts</t>
        </is>
      </c>
      <c r="P1019" s="5" t="inlineStr"/>
      <c r="Q1019" t="inlineStr">
        <is>
          <t>P4</t>
        </is>
      </c>
      <c r="R1019" t="n">
        <v>109</v>
      </c>
      <c r="S1019" s="5" t="inlineStr">
        <is>
          <t>Nous créons des outils alimentés par l'IA, des tableaux de bord et des automatisations qui génèrent de vrais résultats Réserver un Appel Découverte 50+ projets réussis • Livraison en 48h • Sans engagement Sites web Chatb</t>
        </is>
      </c>
    </row>
    <row r="1020">
      <c r="A1020" s="3" t="inlineStr">
        <is>
          <t>https://codesommet.com/tools/duplicate-content-checker</t>
        </is>
      </c>
      <c r="B1020" t="n">
        <v>1</v>
      </c>
      <c r="C1020" t="inlineStr">
        <is>
          <t>Hero / H1</t>
        </is>
      </c>
      <c r="D1020" s="5" t="inlineStr">
        <is>
          <t>Vérificateur de Contenu Dupliqué Gratuit</t>
        </is>
      </c>
      <c r="E1020" t="inlineStr">
        <is>
          <t>H1</t>
        </is>
      </c>
      <c r="F1020" s="5" t="inlineStr">
        <is>
          <t>Informational / tool use</t>
        </is>
      </c>
      <c r="G1020" t="inlineStr">
        <is>
          <t>duplicate content</t>
        </is>
      </c>
      <c r="H1020" t="inlineStr">
        <is>
          <t>PRIMARY</t>
        </is>
      </c>
      <c r="I1020" t="inlineStr">
        <is>
          <t>fr</t>
        </is>
      </c>
      <c r="J1020" t="n">
        <v>720</v>
      </c>
      <c r="K1020" t="n">
        <v>32</v>
      </c>
      <c r="L1020" t="n">
        <v>0</v>
      </c>
      <c r="M1020" t="inlineStr">
        <is>
          <t>MEASURED</t>
        </is>
      </c>
      <c r="N1020" t="inlineStr">
        <is>
          <t>Partly</t>
        </is>
      </c>
      <c r="O1020" s="5" t="inlineStr">
        <is>
          <t>Work "duplicate content" (or a close natural variant) into existing copy - no new heading needed</t>
        </is>
      </c>
      <c r="P1020" s="5" t="inlineStr">
        <is>
          <t>Keyword/variant absent from this section</t>
        </is>
      </c>
      <c r="Q1020" t="inlineStr">
        <is>
          <t>P3</t>
        </is>
      </c>
      <c r="R1020" t="n">
        <v>34</v>
      </c>
      <c r="S1020" s="5" t="inlineStr">
        <is>
          <t>Comparez deux blocs de texte pour détecter le contenu dupliqué ou similaire Gratuit • Aucune inscription requise Contenu A * 0 mots Contenu B * 0 mots Comparer le Contenu Astuce : Appuyez sur Ctrl+Entrée pour comparer</t>
        </is>
      </c>
    </row>
    <row r="1021">
      <c r="A1021" s="3" t="inlineStr">
        <is>
          <t>https://codesommet.com/tools/duplicate-content-checker</t>
        </is>
      </c>
      <c r="B1021" t="n">
        <v>2</v>
      </c>
      <c r="C1021" t="inlineStr">
        <is>
          <t>Content block</t>
        </is>
      </c>
      <c r="D1021" s="5" t="inlineStr">
        <is>
          <t>Comparer toutes les pages de votre site</t>
        </is>
      </c>
      <c r="E1021" t="inlineStr">
        <is>
          <t>H2</t>
        </is>
      </c>
      <c r="F1021" s="5" t="inlineStr">
        <is>
          <t>Informational / tool use</t>
        </is>
      </c>
      <c r="G1021" t="inlineStr">
        <is>
          <t>contenu dupliqué</t>
        </is>
      </c>
      <c r="H1021" t="inlineStr">
        <is>
          <t>SECONDARY</t>
        </is>
      </c>
      <c r="I1021" t="inlineStr">
        <is>
          <t>fr</t>
        </is>
      </c>
      <c r="J1021" t="n">
        <v>480</v>
      </c>
      <c r="K1021" t="n">
        <v>22</v>
      </c>
      <c r="L1021" t="n">
        <v>0</v>
      </c>
      <c r="M1021" t="inlineStr">
        <is>
          <t>MEASURED</t>
        </is>
      </c>
      <c r="N1021" t="inlineStr">
        <is>
          <t>Partly</t>
        </is>
      </c>
      <c r="O1021" s="5" t="inlineStr">
        <is>
          <t>Work "contenu dupliqué" (or a close natural variant) into existing copy - no new heading needed</t>
        </is>
      </c>
      <c r="P1021" s="5" t="inlineStr">
        <is>
          <t>Keyword/variant absent from this section</t>
        </is>
      </c>
      <c r="Q1021" t="inlineStr">
        <is>
          <t>P3</t>
        </is>
      </c>
      <c r="R1021" t="n">
        <v>54</v>
      </c>
      <c r="S1021" s="5" t="inlineStr">
        <is>
          <t xml:space="preserve">Explorez jusqu'à 20 pages et repérez les copies exactes, les quasi-doublons et les titres, descriptions ou H1 identiques. Seul le contenu principal est comparé, sans les menus ni le pied de page. Page de départ Analyser </t>
        </is>
      </c>
    </row>
    <row r="1022">
      <c r="A1022" s="3" t="inlineStr">
        <is>
          <t>https://codesommet.com/tools/duplicate-content-checker</t>
        </is>
      </c>
      <c r="B1022" t="n">
        <v>3</v>
      </c>
      <c r="C1022" t="inlineStr">
        <is>
          <t>Content block</t>
        </is>
      </c>
      <c r="D1022" s="5" t="inlineStr">
        <is>
          <t>Comment utiliser cet outil</t>
        </is>
      </c>
      <c r="E1022" t="inlineStr">
        <is>
          <t>H2</t>
        </is>
      </c>
      <c r="F1022" s="5" t="inlineStr">
        <is>
          <t>Informational / tool use</t>
        </is>
      </c>
      <c r="G1022" t="inlineStr">
        <is>
          <t>vérifier contenu dupliqué</t>
        </is>
      </c>
      <c r="H1022" t="inlineStr">
        <is>
          <t>SUPPORTING</t>
        </is>
      </c>
      <c r="I1022" t="inlineStr">
        <is>
          <t>fr</t>
        </is>
      </c>
      <c r="J1022" t="n">
        <v>20</v>
      </c>
      <c r="K1022" t="inlineStr">
        <is>
          <t>NOT AVAILABLE</t>
        </is>
      </c>
      <c r="L1022" t="n">
        <v>0</v>
      </c>
      <c r="M1022" t="inlineStr">
        <is>
          <t>MEASURED</t>
        </is>
      </c>
      <c r="N1022" t="inlineStr">
        <is>
          <t>Yes (supporting block)</t>
        </is>
      </c>
      <c r="O1022" s="5" t="inlineStr">
        <is>
          <t>Supports the primary topic - add only if natural</t>
        </is>
      </c>
      <c r="P1022" s="5" t="inlineStr"/>
      <c r="Q1022" t="inlineStr">
        <is>
          <t>P3</t>
        </is>
      </c>
      <c r="R1022" t="n">
        <v>49</v>
      </c>
      <c r="S1022" s="5" t="inlineStr">
        <is>
          <t>1 Collez votre contenu : Copiez le texte de deux sources dans Contenu A et Contenu B 2 Comparez : Cliquez sur "Comparer le Contenu" pour analyser la similarité 3 Examinez : Vérifiez le pourcentage de similarité, les phra</t>
        </is>
      </c>
    </row>
    <row r="1023">
      <c r="A1023" s="3" t="inlineStr">
        <is>
          <t>https://codesommet.com/tools/duplicate-content-checker</t>
        </is>
      </c>
      <c r="B1023" t="n">
        <v>4</v>
      </c>
      <c r="C1023" t="inlineStr">
        <is>
          <t>FAQ</t>
        </is>
      </c>
      <c r="D1023" s="5" t="inlineStr">
        <is>
          <t>Questions Fréquemment Posées</t>
        </is>
      </c>
      <c r="E1023" t="inlineStr">
        <is>
          <t>H2</t>
        </is>
      </c>
      <c r="F1023" s="5" t="inlineStr">
        <is>
          <t>Informational (pre-purchase questions)</t>
        </is>
      </c>
      <c r="G1023" t="inlineStr">
        <is>
          <t>duplicate content</t>
        </is>
      </c>
      <c r="H1023" t="inlineStr">
        <is>
          <t>SUPPORTS PRIMARY</t>
        </is>
      </c>
      <c r="I1023" t="inlineStr">
        <is>
          <t>fr</t>
        </is>
      </c>
      <c r="J1023" t="n">
        <v>720</v>
      </c>
      <c r="K1023" t="n">
        <v>32</v>
      </c>
      <c r="L1023" t="n">
        <v>0</v>
      </c>
      <c r="M1023" t="inlineStr">
        <is>
          <t>MEASURED</t>
        </is>
      </c>
      <c r="N1023" t="inlineStr">
        <is>
          <t>Yes (supporting block)</t>
        </is>
      </c>
      <c r="O1023" s="5" t="inlineStr">
        <is>
          <t>Supports the primary topic - add only if natural</t>
        </is>
      </c>
      <c r="P1023" s="5" t="inlineStr"/>
      <c r="Q1023" t="inlineStr">
        <is>
          <t>P3</t>
        </is>
      </c>
      <c r="R1023" t="n">
        <v>478</v>
      </c>
      <c r="S1023" s="5" t="inlineStr">
        <is>
          <t>Questions courantes sur cet outil et comment l'utiliser efficacement 1 Qu'est-ce que le contenu dupliqué et pourquoi est-ce important pour le SEO ? Le contenu dupliqué fait référence à des blocs de texte qui apparaissent</t>
        </is>
      </c>
    </row>
    <row r="1024">
      <c r="A1024" s="3" t="inlineStr">
        <is>
          <t>https://codesommet.com/tools/duplicate-content-checker</t>
        </is>
      </c>
      <c r="B1024" t="n">
        <v>5</v>
      </c>
      <c r="C1024" t="inlineStr">
        <is>
          <t>Internal-link block</t>
        </is>
      </c>
      <c r="D1024" s="5" t="inlineStr">
        <is>
          <t>Outils Connexes Qui Pourraient Vous Intéresser</t>
        </is>
      </c>
      <c r="E1024" t="inlineStr">
        <is>
          <t>H2</t>
        </is>
      </c>
      <c r="F1024" s="5" t="inlineStr">
        <is>
          <t>Navigation</t>
        </is>
      </c>
      <c r="G1024" t="inlineStr">
        <is>
          <t>—</t>
        </is>
      </c>
      <c r="H1024" t="inlineStr">
        <is>
          <t>NONE</t>
        </is>
      </c>
      <c r="I1024" t="inlineStr">
        <is>
          <t>—</t>
        </is>
      </c>
      <c r="J1024" t="inlineStr">
        <is>
          <t>—</t>
        </is>
      </c>
      <c r="K1024" t="inlineStr">
        <is>
          <t>—</t>
        </is>
      </c>
      <c r="L1024" t="inlineStr">
        <is>
          <t>—</t>
        </is>
      </c>
      <c r="M1024" t="inlineStr">
        <is>
          <t>—</t>
        </is>
      </c>
      <c r="N1024" t="inlineStr">
        <is>
          <t>n/a</t>
        </is>
      </c>
      <c r="O1024" s="5" t="inlineStr">
        <is>
          <t>No keyword target - keep conversion/navigation focus; use descriptive, non-repeated anchor texts</t>
        </is>
      </c>
      <c r="P1024" s="5" t="inlineStr"/>
      <c r="Q1024" t="inlineStr">
        <is>
          <t>P4</t>
        </is>
      </c>
      <c r="R1024" t="n">
        <v>78</v>
      </c>
      <c r="S1024" s="5" t="inlineStr">
        <is>
          <t xml:space="preserve">Continuez à optimiser votre site web avec ces outils complémentaires Vérificateur d'URL Canonique Détectez les problèmes de balises canonical qui nuisent au classement SEO Essayer gratuitement seo Analyseur de Structure </t>
        </is>
      </c>
    </row>
    <row r="1025">
      <c r="A1025" s="3" t="inlineStr">
        <is>
          <t>https://codesommet.com/tools/duplicate-content-checker</t>
        </is>
      </c>
      <c r="B1025" t="n">
        <v>6</v>
      </c>
      <c r="C1025" t="inlineStr">
        <is>
          <t>CTA / conversion</t>
        </is>
      </c>
      <c r="D1025" s="5" t="inlineStr">
        <is>
          <t>Besoin d'un Outil Personnalisé pour Votre Entreprise ?</t>
        </is>
      </c>
      <c r="E1025" t="inlineStr">
        <is>
          <t>H2</t>
        </is>
      </c>
      <c r="F1025" s="5" t="inlineStr">
        <is>
          <t>Conversion</t>
        </is>
      </c>
      <c r="G1025" t="inlineStr">
        <is>
          <t>—</t>
        </is>
      </c>
      <c r="H1025" t="inlineStr">
        <is>
          <t>NONE</t>
        </is>
      </c>
      <c r="I1025" t="inlineStr">
        <is>
          <t>—</t>
        </is>
      </c>
      <c r="J1025" t="inlineStr">
        <is>
          <t>—</t>
        </is>
      </c>
      <c r="K1025" t="inlineStr">
        <is>
          <t>—</t>
        </is>
      </c>
      <c r="L1025" t="inlineStr">
        <is>
          <t>—</t>
        </is>
      </c>
      <c r="M1025" t="inlineStr">
        <is>
          <t>—</t>
        </is>
      </c>
      <c r="N1025" t="inlineStr">
        <is>
          <t>n/a</t>
        </is>
      </c>
      <c r="O1025" s="5" t="inlineStr">
        <is>
          <t>No keyword target - keep conversion/navigation focus; use descriptive, non-repeated anchor texts</t>
        </is>
      </c>
      <c r="P1025" s="5" t="inlineStr"/>
      <c r="Q1025" t="inlineStr">
        <is>
          <t>P4</t>
        </is>
      </c>
      <c r="R1025" t="n">
        <v>109</v>
      </c>
      <c r="S1025" s="5" t="inlineStr">
        <is>
          <t>Nous créons des outils alimentés par l'IA, des tableaux de bord et des automatisations qui génèrent de vrais résultats Réserver un Appel Découverte 50+ projets réussis • Livraison en 48h • Sans engagement Sites web Chatb</t>
        </is>
      </c>
    </row>
    <row r="1026">
      <c r="A1026" s="3" t="inlineStr">
        <is>
          <t>https://codesommet.com/tools/eeat-signals-checker</t>
        </is>
      </c>
      <c r="B1026" t="n">
        <v>1</v>
      </c>
      <c r="C1026" t="inlineStr">
        <is>
          <t>Hero / H1</t>
        </is>
      </c>
      <c r="D1026" s="5" t="inlineStr">
        <is>
          <t>Vérificateur de Signaux E-E-A-T Gratuit</t>
        </is>
      </c>
      <c r="E1026" t="inlineStr">
        <is>
          <t>H1</t>
        </is>
      </c>
      <c r="F1026" s="5" t="inlineStr">
        <is>
          <t>Informational / tool use</t>
        </is>
      </c>
      <c r="G1026" t="inlineStr">
        <is>
          <t>e-e-a-t</t>
        </is>
      </c>
      <c r="H1026" t="inlineStr">
        <is>
          <t>PRIMARY</t>
        </is>
      </c>
      <c r="I1026" t="inlineStr">
        <is>
          <t>fr</t>
        </is>
      </c>
      <c r="J1026" t="n">
        <v>2400</v>
      </c>
      <c r="K1026" t="n">
        <v>36</v>
      </c>
      <c r="L1026" t="n">
        <v>1.34</v>
      </c>
      <c r="M1026" t="inlineStr">
        <is>
          <t>MEASURED</t>
        </is>
      </c>
      <c r="N1026" t="inlineStr">
        <is>
          <t>Yes</t>
        </is>
      </c>
      <c r="O1026" s="5" t="inlineStr">
        <is>
          <t>Covered - keep wording; no change</t>
        </is>
      </c>
      <c r="P1026" s="5" t="inlineStr"/>
      <c r="Q1026" t="inlineStr">
        <is>
          <t>P3</t>
        </is>
      </c>
      <c r="R1026" t="n">
        <v>103</v>
      </c>
      <c r="S1026" s="5" t="inlineStr">
        <is>
          <t>Qui est derrière cette page, comment le joindre, sur quoi s'appuie le contenu ? Vérifiez en une analyse les signaux de confiance, d'autorité, d'expertise et d'expérience visibles dans le HTML. Gratuit • Aucune inscriptio</t>
        </is>
      </c>
    </row>
    <row r="1027">
      <c r="A1027" s="3" t="inlineStr">
        <is>
          <t>https://codesommet.com/tools/eeat-signals-checker</t>
        </is>
      </c>
      <c r="B1027" t="n">
        <v>2</v>
      </c>
      <c r="C1027" t="inlineStr">
        <is>
          <t>Content block</t>
        </is>
      </c>
      <c r="D1027" s="5" t="inlineStr">
        <is>
          <t>Signaux trouvés sur la page</t>
        </is>
      </c>
      <c r="E1027" t="inlineStr">
        <is>
          <t>H2</t>
        </is>
      </c>
      <c r="F1027" s="5" t="inlineStr">
        <is>
          <t>Informational / tool use</t>
        </is>
      </c>
      <c r="G1027" t="inlineStr">
        <is>
          <t>eeat</t>
        </is>
      </c>
      <c r="H1027" t="inlineStr">
        <is>
          <t>SECONDARY</t>
        </is>
      </c>
      <c r="I1027" t="inlineStr">
        <is>
          <t>fr</t>
        </is>
      </c>
      <c r="J1027" t="n">
        <v>1600</v>
      </c>
      <c r="K1027" t="n">
        <v>40</v>
      </c>
      <c r="L1027" t="n">
        <v>0</v>
      </c>
      <c r="M1027" t="inlineStr">
        <is>
          <t>MEASURED</t>
        </is>
      </c>
      <c r="N1027" t="inlineStr">
        <is>
          <t>Partly</t>
        </is>
      </c>
      <c r="O1027" s="5" t="inlineStr">
        <is>
          <t>Work "eeat" (or a close natural variant) into existing copy - no new heading needed</t>
        </is>
      </c>
      <c r="P1027" s="5" t="inlineStr">
        <is>
          <t>Keyword/variant absent from this section</t>
        </is>
      </c>
      <c r="Q1027" t="inlineStr">
        <is>
          <t>P3</t>
        </is>
      </c>
      <c r="R1027" t="n">
        <v>7</v>
      </c>
      <c r="S1027" s="5" t="inlineStr">
        <is>
          <t>Copier le résumé Télécharger CSV Télécharger JSON</t>
        </is>
      </c>
    </row>
    <row r="1028">
      <c r="A1028" s="3" t="inlineStr">
        <is>
          <t>https://codesommet.com/tools/eeat-signals-checker</t>
        </is>
      </c>
      <c r="B1028" t="n">
        <v>3</v>
      </c>
      <c r="C1028" t="inlineStr">
        <is>
          <t>Content block</t>
        </is>
      </c>
      <c r="D1028" s="5" t="inlineStr">
        <is>
          <t>Comment Utiliser Cet Outil</t>
        </is>
      </c>
      <c r="E1028" t="inlineStr">
        <is>
          <t>H2</t>
        </is>
      </c>
      <c r="F1028" s="5" t="inlineStr">
        <is>
          <t>Informational / tool use</t>
        </is>
      </c>
      <c r="G1028" t="inlineStr">
        <is>
          <t>eeat seo</t>
        </is>
      </c>
      <c r="H1028" t="inlineStr">
        <is>
          <t>SECONDARY</t>
        </is>
      </c>
      <c r="I1028" t="inlineStr">
        <is>
          <t>fr</t>
        </is>
      </c>
      <c r="J1028" t="n">
        <v>260</v>
      </c>
      <c r="K1028" t="n">
        <v>30</v>
      </c>
      <c r="L1028" t="n">
        <v>0</v>
      </c>
      <c r="M1028" t="inlineStr">
        <is>
          <t>MEASURED</t>
        </is>
      </c>
      <c r="N1028" t="inlineStr">
        <is>
          <t>Partly</t>
        </is>
      </c>
      <c r="O1028" s="5" t="inlineStr">
        <is>
          <t>Work "eeat seo" (or a close natural variant) into existing copy - no new heading needed</t>
        </is>
      </c>
      <c r="P1028" s="5" t="inlineStr">
        <is>
          <t>Keyword/variant absent from this section</t>
        </is>
      </c>
      <c r="Q1028" t="inlineStr">
        <is>
          <t>P3</t>
        </is>
      </c>
      <c r="R1028" t="n">
        <v>51</v>
      </c>
      <c r="S1028" s="5" t="inlineStr">
        <is>
          <t>1 Saisissez l'adresse d'une page publique. 2 L'outil télécharge la page et applique 13 règles documentées : HTTPS, pages légales, contact, organisation, adresse, « À propos », profils, sources, auteur, réalisations, avis</t>
        </is>
      </c>
    </row>
    <row r="1029">
      <c r="A1029" s="3" t="inlineStr">
        <is>
          <t>https://codesommet.com/tools/eeat-signals-checker</t>
        </is>
      </c>
      <c r="B1029" t="n">
        <v>4</v>
      </c>
      <c r="C1029" t="inlineStr">
        <is>
          <t>FAQ</t>
        </is>
      </c>
      <c r="D1029" s="5" t="inlineStr">
        <is>
          <t>Questions Fréquemment Posées</t>
        </is>
      </c>
      <c r="E1029" t="inlineStr">
        <is>
          <t>H2</t>
        </is>
      </c>
      <c r="F1029" s="5" t="inlineStr">
        <is>
          <t>Informational (pre-purchase questions)</t>
        </is>
      </c>
      <c r="G1029" t="inlineStr">
        <is>
          <t>e-e-a-t</t>
        </is>
      </c>
      <c r="H1029" t="inlineStr">
        <is>
          <t>SUPPORTS PRIMARY</t>
        </is>
      </c>
      <c r="I1029" t="inlineStr">
        <is>
          <t>fr</t>
        </is>
      </c>
      <c r="J1029" t="n">
        <v>2400</v>
      </c>
      <c r="K1029" t="n">
        <v>36</v>
      </c>
      <c r="L1029" t="n">
        <v>1.34</v>
      </c>
      <c r="M1029" t="inlineStr">
        <is>
          <t>MEASURED</t>
        </is>
      </c>
      <c r="N1029" t="inlineStr">
        <is>
          <t>Yes</t>
        </is>
      </c>
      <c r="O1029" s="5" t="inlineStr">
        <is>
          <t>Covered - keep wording; no change</t>
        </is>
      </c>
      <c r="P1029" s="5" t="inlineStr"/>
      <c r="Q1029" t="inlineStr">
        <is>
          <t>P3</t>
        </is>
      </c>
      <c r="R1029" t="n">
        <v>194</v>
      </c>
      <c r="S1029" s="5" t="inlineStr">
        <is>
          <t xml:space="preserve">Comprendre les signaux E-E-A-T 1 Que signifie E-E-A-T ? Experience, Expertise, Authoritativeness, Trustworthiness : les critères que les évaluateurs de Google utilisent pour juger la qualité d'une page. La confiance est </t>
        </is>
      </c>
    </row>
    <row r="1030">
      <c r="A1030" s="3" t="inlineStr">
        <is>
          <t>https://codesommet.com/tools/eeat-signals-checker</t>
        </is>
      </c>
      <c r="B1030" t="n">
        <v>5</v>
      </c>
      <c r="C1030" t="inlineStr">
        <is>
          <t>Internal-link block</t>
        </is>
      </c>
      <c r="D1030" s="5" t="inlineStr">
        <is>
          <t>Outils Connexes Qui Pourraient Vous Intéresser</t>
        </is>
      </c>
      <c r="E1030" t="inlineStr">
        <is>
          <t>H2</t>
        </is>
      </c>
      <c r="F1030" s="5" t="inlineStr">
        <is>
          <t>Navigation</t>
        </is>
      </c>
      <c r="G1030" t="inlineStr">
        <is>
          <t>—</t>
        </is>
      </c>
      <c r="H1030" t="inlineStr">
        <is>
          <t>NONE</t>
        </is>
      </c>
      <c r="I1030" t="inlineStr">
        <is>
          <t>—</t>
        </is>
      </c>
      <c r="J1030" t="inlineStr">
        <is>
          <t>—</t>
        </is>
      </c>
      <c r="K1030" t="inlineStr">
        <is>
          <t>—</t>
        </is>
      </c>
      <c r="L1030" t="inlineStr">
        <is>
          <t>—</t>
        </is>
      </c>
      <c r="M1030" t="inlineStr">
        <is>
          <t>—</t>
        </is>
      </c>
      <c r="N1030" t="inlineStr">
        <is>
          <t>n/a</t>
        </is>
      </c>
      <c r="O1030" s="5" t="inlineStr">
        <is>
          <t>No keyword target - keep conversion/navigation focus; use descriptive, non-repeated anchor texts</t>
        </is>
      </c>
      <c r="P1030" s="5" t="inlineStr"/>
      <c r="Q1030" t="inlineStr">
        <is>
          <t>P4</t>
        </is>
      </c>
      <c r="R1030" t="n">
        <v>68</v>
      </c>
      <c r="S1030" s="5" t="inlineStr">
        <is>
          <t>Continuez à optimiser votre site web avec ces outils complémentaires Préparation aux Moteurs IA Vérifiez si votre page peut être lue et citée par les moteurs IA. Essayer gratuitement seo Extracteur de Données Structurées</t>
        </is>
      </c>
    </row>
    <row r="1031">
      <c r="A1031" s="3" t="inlineStr">
        <is>
          <t>https://codesommet.com/tools/eeat-signals-checker</t>
        </is>
      </c>
      <c r="B1031" t="n">
        <v>6</v>
      </c>
      <c r="C1031" t="inlineStr">
        <is>
          <t>Content block</t>
        </is>
      </c>
      <c r="D1031" s="5" t="inlineStr">
        <is>
          <t>Renforcer la Crédibilité de Votre Site ?</t>
        </is>
      </c>
      <c r="E1031" t="inlineStr">
        <is>
          <t>H2</t>
        </is>
      </c>
      <c r="F1031" s="5" t="inlineStr">
        <is>
          <t>Informational / tool use</t>
        </is>
      </c>
      <c r="G1031" t="inlineStr">
        <is>
          <t>eeat</t>
        </is>
      </c>
      <c r="H1031" t="inlineStr">
        <is>
          <t>SECONDARY</t>
        </is>
      </c>
      <c r="I1031" t="inlineStr">
        <is>
          <t>fr</t>
        </is>
      </c>
      <c r="J1031" t="n">
        <v>1600</v>
      </c>
      <c r="K1031" t="n">
        <v>40</v>
      </c>
      <c r="L1031" t="n">
        <v>0</v>
      </c>
      <c r="M1031" t="inlineStr">
        <is>
          <t>MEASURED</t>
        </is>
      </c>
      <c r="N1031" t="inlineStr">
        <is>
          <t>Partly</t>
        </is>
      </c>
      <c r="O1031" s="5" t="inlineStr">
        <is>
          <t>Work "eeat" (or a close natural variant) into existing copy - no new heading needed</t>
        </is>
      </c>
      <c r="P1031" s="5" t="inlineStr">
        <is>
          <t>Keyword/variant absent from this section</t>
        </is>
      </c>
      <c r="Q1031" t="inlineStr">
        <is>
          <t>P3</t>
        </is>
      </c>
      <c r="R1031" t="n">
        <v>114</v>
      </c>
      <c r="S1031" s="5" t="inlineStr">
        <is>
          <t>Nous structurons pages équipe, études de cas, mentions légales et données d'organisation pour inspirer confiance aux visiteurs comme aux moteurs Réserver un Appel Découverte 50+ projets réussis • Livraison en 48h • Pas d</t>
        </is>
      </c>
    </row>
    <row r="1032">
      <c r="A1032" s="3" t="inlineStr">
        <is>
          <t>https://codesommet.com/tools/expired-domain-checker</t>
        </is>
      </c>
      <c r="B1032" t="n">
        <v>1</v>
      </c>
      <c r="C1032" t="inlineStr">
        <is>
          <t>Hero / H1</t>
        </is>
      </c>
      <c r="D1032" s="5" t="inlineStr">
        <is>
          <t>Vérificateur de Domaines Expirés (RDAP)</t>
        </is>
      </c>
      <c r="E1032" t="inlineStr">
        <is>
          <t>H1</t>
        </is>
      </c>
      <c r="F1032" s="5" t="inlineStr">
        <is>
          <t>Informational / tool use</t>
        </is>
      </c>
      <c r="G1032" t="inlineStr">
        <is>
          <t>nom de domaine expiré</t>
        </is>
      </c>
      <c r="H1032" t="inlineStr">
        <is>
          <t>PRIMARY</t>
        </is>
      </c>
      <c r="I1032" t="inlineStr">
        <is>
          <t>fr</t>
        </is>
      </c>
      <c r="J1032" t="n">
        <v>170</v>
      </c>
      <c r="K1032" t="n">
        <v>19</v>
      </c>
      <c r="L1032" t="n">
        <v>1.56</v>
      </c>
      <c r="M1032" t="inlineStr">
        <is>
          <t>MEASURED</t>
        </is>
      </c>
      <c r="N1032" t="inlineStr">
        <is>
          <t>Yes</t>
        </is>
      </c>
      <c r="O1032" s="5" t="inlineStr">
        <is>
          <t>Covered - keep wording; no change</t>
        </is>
      </c>
      <c r="P1032" s="5" t="inlineStr"/>
      <c r="Q1032" t="inlineStr">
        <is>
          <t>P3</t>
        </is>
      </c>
      <c r="R1032" t="n">
        <v>66</v>
      </c>
      <c r="S1032" s="5" t="inlineStr">
        <is>
          <t>Vérifiez en lot si des noms de domaine sont libres, quand ils expirent et chez qui ils sont enregistrés, à partir des registres officiels. Gratuit • Aucune inscription requise Noms de domaine * Un domaine par ligne (ou s</t>
        </is>
      </c>
    </row>
    <row r="1033">
      <c r="A1033" s="3" t="inlineStr">
        <is>
          <t>https://codesommet.com/tools/expired-domain-checker</t>
        </is>
      </c>
      <c r="B1033" t="n">
        <v>2</v>
      </c>
      <c r="C1033" t="inlineStr">
        <is>
          <t>Proof / portfolio / results</t>
        </is>
      </c>
      <c r="D1033" s="5" t="inlineStr">
        <is>
          <t>Résultats</t>
        </is>
      </c>
      <c r="E1033" t="inlineStr">
        <is>
          <t>H2</t>
        </is>
      </c>
      <c r="F1033" s="5" t="inlineStr">
        <is>
          <t>Commercial investigation</t>
        </is>
      </c>
      <c r="G1033" t="inlineStr">
        <is>
          <t>nom de domaine expiré</t>
        </is>
      </c>
      <c r="H1033" t="inlineStr">
        <is>
          <t>SUPPORTS PRIMARY</t>
        </is>
      </c>
      <c r="I1033" t="inlineStr">
        <is>
          <t>fr</t>
        </is>
      </c>
      <c r="J1033" t="n">
        <v>170</v>
      </c>
      <c r="K1033" t="n">
        <v>19</v>
      </c>
      <c r="L1033" t="n">
        <v>1.56</v>
      </c>
      <c r="M1033" t="inlineStr">
        <is>
          <t>MEASURED</t>
        </is>
      </c>
      <c r="N1033" t="inlineStr">
        <is>
          <t>Yes (supporting block)</t>
        </is>
      </c>
      <c r="O1033" s="5" t="inlineStr">
        <is>
          <t>Supports the primary topic - add only if natural</t>
        </is>
      </c>
      <c r="P1033" s="5" t="inlineStr"/>
      <c r="Q1033" t="inlineStr">
        <is>
          <t>P3</t>
        </is>
      </c>
      <c r="R1033" t="n">
        <v>28</v>
      </c>
      <c r="S1033" s="5" t="inlineStr">
        <is>
          <t>Source : registres officiels (RDAP via l'annuaire IANA) et DNS. La disponibilité se confirme toujours chez un registraire au moment de l'achat. Copier le résumé Télécharger CSV Télécharger JSON</t>
        </is>
      </c>
    </row>
    <row r="1034">
      <c r="A1034" s="3" t="inlineStr">
        <is>
          <t>https://codesommet.com/tools/expired-domain-checker</t>
        </is>
      </c>
      <c r="B1034" t="n">
        <v>3</v>
      </c>
      <c r="C1034" t="inlineStr">
        <is>
          <t>Content block</t>
        </is>
      </c>
      <c r="D1034" s="5" t="inlineStr">
        <is>
          <t>Comment Utiliser Cet Outil</t>
        </is>
      </c>
      <c r="E1034" t="inlineStr">
        <is>
          <t>H2</t>
        </is>
      </c>
      <c r="F1034" s="5" t="inlineStr">
        <is>
          <t>Informational / tool use</t>
        </is>
      </c>
      <c r="G1034" t="inlineStr">
        <is>
          <t>domaine expiré</t>
        </is>
      </c>
      <c r="H1034" t="inlineStr">
        <is>
          <t>SUPPORTING</t>
        </is>
      </c>
      <c r="I1034" t="inlineStr">
        <is>
          <t>fr</t>
        </is>
      </c>
      <c r="J1034" t="n">
        <v>90</v>
      </c>
      <c r="K1034" t="n">
        <v>19</v>
      </c>
      <c r="L1034" t="n">
        <v>1.22</v>
      </c>
      <c r="M1034" t="inlineStr">
        <is>
          <t>MEASURED</t>
        </is>
      </c>
      <c r="N1034" t="inlineStr">
        <is>
          <t>Yes</t>
        </is>
      </c>
      <c r="O1034" s="5" t="inlineStr">
        <is>
          <t>Covered - keep wording; no change</t>
        </is>
      </c>
      <c r="P1034" s="5" t="inlineStr"/>
      <c r="Q1034" t="inlineStr">
        <is>
          <t>P3</t>
        </is>
      </c>
      <c r="R1034" t="n">
        <v>39</v>
      </c>
      <c r="S1034" s="5" t="inlineStr">
        <is>
          <t>1 Collez vos noms de domaine, un par ligne. 2 L'outil interroge le registre officiel de chaque extension (protocole RDAP) et vérifie la résolution DNS. 3 Filtrez les domaines disponibles, repérez ceux qui expirent bientô</t>
        </is>
      </c>
    </row>
    <row r="1035">
      <c r="A1035" s="3" t="inlineStr">
        <is>
          <t>https://codesommet.com/tools/expired-domain-checker</t>
        </is>
      </c>
      <c r="B1035" t="n">
        <v>4</v>
      </c>
      <c r="C1035" t="inlineStr">
        <is>
          <t>FAQ</t>
        </is>
      </c>
      <c r="D1035" s="5" t="inlineStr">
        <is>
          <t>Questions Fréquemment Posées</t>
        </is>
      </c>
      <c r="E1035" t="inlineStr">
        <is>
          <t>H2</t>
        </is>
      </c>
      <c r="F1035" s="5" t="inlineStr">
        <is>
          <t>Informational (pre-purchase questions)</t>
        </is>
      </c>
      <c r="G1035" t="inlineStr">
        <is>
          <t>nom de domaine expiré</t>
        </is>
      </c>
      <c r="H1035" t="inlineStr">
        <is>
          <t>SUPPORTS PRIMARY</t>
        </is>
      </c>
      <c r="I1035" t="inlineStr">
        <is>
          <t>fr</t>
        </is>
      </c>
      <c r="J1035" t="n">
        <v>170</v>
      </c>
      <c r="K1035" t="n">
        <v>19</v>
      </c>
      <c r="L1035" t="n">
        <v>1.56</v>
      </c>
      <c r="M1035" t="inlineStr">
        <is>
          <t>MEASURED</t>
        </is>
      </c>
      <c r="N1035" t="inlineStr">
        <is>
          <t>Yes</t>
        </is>
      </c>
      <c r="O1035" s="5" t="inlineStr">
        <is>
          <t>Covered - keep wording; no change</t>
        </is>
      </c>
      <c r="P1035" s="5" t="inlineStr"/>
      <c r="Q1035" t="inlineStr">
        <is>
          <t>P3</t>
        </is>
      </c>
      <c r="R1035" t="n">
        <v>169</v>
      </c>
      <c r="S1035" s="5" t="inlineStr">
        <is>
          <t xml:space="preserve">Comprendre la disponibilité et l'expiration des noms de domaine 1 D'où viennent les informations ? Du protocole RDAP, le successeur officiel du WHOIS, interrogé directement auprès du registre de chaque extension grâce à </t>
        </is>
      </c>
    </row>
    <row r="1036">
      <c r="A1036" s="3" t="inlineStr">
        <is>
          <t>https://codesommet.com/tools/expired-domain-checker</t>
        </is>
      </c>
      <c r="B1036" t="n">
        <v>5</v>
      </c>
      <c r="C1036" t="inlineStr">
        <is>
          <t>Internal-link block</t>
        </is>
      </c>
      <c r="D1036" s="5" t="inlineStr">
        <is>
          <t>Outils Connexes Qui Pourraient Vous Intéresser</t>
        </is>
      </c>
      <c r="E1036" t="inlineStr">
        <is>
          <t>H2</t>
        </is>
      </c>
      <c r="F1036" s="5" t="inlineStr">
        <is>
          <t>Navigation</t>
        </is>
      </c>
      <c r="G1036" t="inlineStr">
        <is>
          <t>—</t>
        </is>
      </c>
      <c r="H1036" t="inlineStr">
        <is>
          <t>NONE</t>
        </is>
      </c>
      <c r="I1036" t="inlineStr">
        <is>
          <t>—</t>
        </is>
      </c>
      <c r="J1036" t="inlineStr">
        <is>
          <t>—</t>
        </is>
      </c>
      <c r="K1036" t="inlineStr">
        <is>
          <t>—</t>
        </is>
      </c>
      <c r="L1036" t="inlineStr">
        <is>
          <t>—</t>
        </is>
      </c>
      <c r="M1036" t="inlineStr">
        <is>
          <t>—</t>
        </is>
      </c>
      <c r="N1036" t="inlineStr">
        <is>
          <t>n/a</t>
        </is>
      </c>
      <c r="O1036" s="5" t="inlineStr">
        <is>
          <t>No keyword target - keep conversion/navigation focus; use descriptive, non-repeated anchor texts</t>
        </is>
      </c>
      <c r="P1036" s="5" t="inlineStr"/>
      <c r="Q1036" t="inlineStr">
        <is>
          <t>P4</t>
        </is>
      </c>
      <c r="R1036" t="n">
        <v>56</v>
      </c>
      <c r="S1036" s="5" t="inlineStr">
        <is>
          <t>Continuez à optimiser votre site web avec ces outils complémentaires Santé du Domaine Contrôlez HTTPS, robots.txt, sitemap et balises d'un domaine. Essayer gratuitement seo Vérificateur SSL Vérifiez le certificat et sa d</t>
        </is>
      </c>
    </row>
    <row r="1037">
      <c r="A1037" s="3" t="inlineStr">
        <is>
          <t>https://codesommet.com/tools/expired-domain-checker</t>
        </is>
      </c>
      <c r="B1037" t="n">
        <v>6</v>
      </c>
      <c r="C1037" t="inlineStr">
        <is>
          <t>Proof / portfolio / results</t>
        </is>
      </c>
      <c r="D1037" s="5" t="inlineStr">
        <is>
          <t>Un Nouveau Nom de Domaine pour Votre Projet ?</t>
        </is>
      </c>
      <c r="E1037" t="inlineStr">
        <is>
          <t>H2</t>
        </is>
      </c>
      <c r="F1037" s="5" t="inlineStr">
        <is>
          <t>Commercial investigation</t>
        </is>
      </c>
      <c r="G1037" t="inlineStr">
        <is>
          <t>nom de domaine expiré</t>
        </is>
      </c>
      <c r="H1037" t="inlineStr">
        <is>
          <t>SUPPORTS PRIMARY</t>
        </is>
      </c>
      <c r="I1037" t="inlineStr">
        <is>
          <t>fr</t>
        </is>
      </c>
      <c r="J1037" t="n">
        <v>170</v>
      </c>
      <c r="K1037" t="n">
        <v>19</v>
      </c>
      <c r="L1037" t="n">
        <v>1.56</v>
      </c>
      <c r="M1037" t="inlineStr">
        <is>
          <t>MEASURED</t>
        </is>
      </c>
      <c r="N1037" t="inlineStr">
        <is>
          <t>Yes (supporting block)</t>
        </is>
      </c>
      <c r="O1037" s="5" t="inlineStr">
        <is>
          <t>Supports the primary topic - add only if natural</t>
        </is>
      </c>
      <c r="P1037" s="5" t="inlineStr"/>
      <c r="Q1037" t="inlineStr">
        <is>
          <t>P3</t>
        </is>
      </c>
      <c r="R1037" t="n">
        <v>108</v>
      </c>
      <c r="S1037" s="5" t="inlineStr">
        <is>
          <t>Nous vous aidons à choisir, migrer et lancer votre site sans perdre votre référencement Réserver un Appel Découverte 50+ projets réussis • Livraison en 48h • Pas de contrats à long terme Sites web Chatbots IA CRM Réserva</t>
        </is>
      </c>
    </row>
    <row r="1038">
      <c r="A1038" s="3" t="inlineStr">
        <is>
          <t>https://codesommet.com/tools/faq-schema-generator</t>
        </is>
      </c>
      <c r="B1038" t="n">
        <v>1</v>
      </c>
      <c r="C1038" t="inlineStr">
        <is>
          <t>Hero / H1</t>
        </is>
      </c>
      <c r="D1038" s="5" t="inlineStr">
        <is>
          <t>Générateur de Schéma FAQ JSON-LD Gratuit</t>
        </is>
      </c>
      <c r="E1038" t="inlineStr">
        <is>
          <t>H1</t>
        </is>
      </c>
      <c r="F1038" s="5" t="inlineStr">
        <is>
          <t>Informational / tool use</t>
        </is>
      </c>
      <c r="G1038" t="inlineStr">
        <is>
          <t>faq schema</t>
        </is>
      </c>
      <c r="H1038" t="inlineStr">
        <is>
          <t>PRIMARY</t>
        </is>
      </c>
      <c r="I1038" t="inlineStr">
        <is>
          <t>fr</t>
        </is>
      </c>
      <c r="J1038" t="n">
        <v>50</v>
      </c>
      <c r="K1038" t="inlineStr">
        <is>
          <t>NOT AVAILABLE</t>
        </is>
      </c>
      <c r="L1038" t="n">
        <v>0</v>
      </c>
      <c r="M1038" t="inlineStr">
        <is>
          <t>MEASURED</t>
        </is>
      </c>
      <c r="N1038" t="inlineStr">
        <is>
          <t>Yes</t>
        </is>
      </c>
      <c r="O1038" s="5" t="inlineStr">
        <is>
          <t>Covered - keep wording; no change</t>
        </is>
      </c>
      <c r="P1038" s="5" t="inlineStr"/>
      <c r="Q1038" t="inlineStr">
        <is>
          <t>P3</t>
        </is>
      </c>
      <c r="R1038" t="n">
        <v>121</v>
      </c>
      <c r="S1038" s="5" t="inlineStr">
        <is>
          <t>Convertissez votre contenu FAQ en balisage JSON-LD compatible Google. Augmentez la visibilité dans les résultats et apparaissez dans les encadrés 'Autres questions posées'. Gratuit • Aucune inscription requise Comment ut</t>
        </is>
      </c>
    </row>
    <row r="1039">
      <c r="A1039" s="3" t="inlineStr">
        <is>
          <t>https://codesommet.com/tools/faq-schema-generator</t>
        </is>
      </c>
      <c r="B1039" t="n">
        <v>2</v>
      </c>
      <c r="C1039" t="inlineStr">
        <is>
          <t>FAQ</t>
        </is>
      </c>
      <c r="D1039" s="5" t="inlineStr">
        <is>
          <t>Questions Fréquemment Posées</t>
        </is>
      </c>
      <c r="E1039" t="inlineStr">
        <is>
          <t>H2</t>
        </is>
      </c>
      <c r="F1039" s="5" t="inlineStr">
        <is>
          <t>Informational (pre-purchase questions)</t>
        </is>
      </c>
      <c r="G1039" t="inlineStr">
        <is>
          <t>faq schema</t>
        </is>
      </c>
      <c r="H1039" t="inlineStr">
        <is>
          <t>SUPPORTS PRIMARY</t>
        </is>
      </c>
      <c r="I1039" t="inlineStr">
        <is>
          <t>fr</t>
        </is>
      </c>
      <c r="J1039" t="n">
        <v>50</v>
      </c>
      <c r="K1039" t="inlineStr">
        <is>
          <t>NOT AVAILABLE</t>
        </is>
      </c>
      <c r="L1039" t="n">
        <v>0</v>
      </c>
      <c r="M1039" t="inlineStr">
        <is>
          <t>MEASURED</t>
        </is>
      </c>
      <c r="N1039" t="inlineStr">
        <is>
          <t>Yes</t>
        </is>
      </c>
      <c r="O1039" s="5" t="inlineStr">
        <is>
          <t>Covered - keep wording; no change</t>
        </is>
      </c>
      <c r="P1039" s="5" t="inlineStr"/>
      <c r="Q1039" t="inlineStr">
        <is>
          <t>P3</t>
        </is>
      </c>
      <c r="R1039" t="n">
        <v>469</v>
      </c>
      <c r="S1039" s="5" t="inlineStr">
        <is>
          <t>Questions courantes sur cet outil et comment l'utiliser efficacement 1 Qu'est-ce que le balisage FAQ et pourquoi est-ce important ? Le balisage FAQ est une donnée structurée qui aide les moteurs de recherche comme Google</t>
        </is>
      </c>
    </row>
    <row r="1040">
      <c r="A1040" s="3" t="inlineStr">
        <is>
          <t>https://codesommet.com/tools/faq-schema-generator</t>
        </is>
      </c>
      <c r="B1040" t="n">
        <v>3</v>
      </c>
      <c r="C1040" t="inlineStr">
        <is>
          <t>Internal-link block</t>
        </is>
      </c>
      <c r="D1040" s="5" t="inlineStr">
        <is>
          <t>Outils Connexes Qui Pourraient Vous Intéresser</t>
        </is>
      </c>
      <c r="E1040" t="inlineStr">
        <is>
          <t>H2</t>
        </is>
      </c>
      <c r="F1040" s="5" t="inlineStr">
        <is>
          <t>Navigation</t>
        </is>
      </c>
      <c r="G1040" t="inlineStr">
        <is>
          <t>—</t>
        </is>
      </c>
      <c r="H1040" t="inlineStr">
        <is>
          <t>NONE</t>
        </is>
      </c>
      <c r="I1040" t="inlineStr">
        <is>
          <t>—</t>
        </is>
      </c>
      <c r="J1040" t="inlineStr">
        <is>
          <t>—</t>
        </is>
      </c>
      <c r="K1040" t="inlineStr">
        <is>
          <t>—</t>
        </is>
      </c>
      <c r="L1040" t="inlineStr">
        <is>
          <t>—</t>
        </is>
      </c>
      <c r="M1040" t="inlineStr">
        <is>
          <t>—</t>
        </is>
      </c>
      <c r="N1040" t="inlineStr">
        <is>
          <t>n/a</t>
        </is>
      </c>
      <c r="O1040" s="5" t="inlineStr">
        <is>
          <t>No keyword target - keep conversion/navigation focus; use descriptive, non-repeated anchor texts</t>
        </is>
      </c>
      <c r="P1040" s="5" t="inlineStr"/>
      <c r="Q1040" t="inlineStr">
        <is>
          <t>P4</t>
        </is>
      </c>
      <c r="R1040" t="n">
        <v>86</v>
      </c>
      <c r="S1040" s="5" t="inlineStr">
        <is>
          <t xml:space="preserve">Continuez à optimiser votre site web avec ces outils complémentaires Analyseur de Score de Lisibilité Analysez la lisibilité du texte avec 5 algorithmes et niveaux scolaires Essayer gratuitement content Compteur de Mots </t>
        </is>
      </c>
    </row>
    <row r="1041">
      <c r="A1041" s="3" t="inlineStr">
        <is>
          <t>https://codesommet.com/tools/faq-schema-generator</t>
        </is>
      </c>
      <c r="B1041" t="n">
        <v>4</v>
      </c>
      <c r="C1041" t="inlineStr">
        <is>
          <t>CTA / conversion</t>
        </is>
      </c>
      <c r="D1041" s="5" t="inlineStr">
        <is>
          <t>Besoin d'un Outil Personnalisé pour Votre Entreprise ?</t>
        </is>
      </c>
      <c r="E1041" t="inlineStr">
        <is>
          <t>H2</t>
        </is>
      </c>
      <c r="F1041" s="5" t="inlineStr">
        <is>
          <t>Conversion</t>
        </is>
      </c>
      <c r="G1041" t="inlineStr">
        <is>
          <t>—</t>
        </is>
      </c>
      <c r="H1041" t="inlineStr">
        <is>
          <t>NONE</t>
        </is>
      </c>
      <c r="I1041" t="inlineStr">
        <is>
          <t>—</t>
        </is>
      </c>
      <c r="J1041" t="inlineStr">
        <is>
          <t>—</t>
        </is>
      </c>
      <c r="K1041" t="inlineStr">
        <is>
          <t>—</t>
        </is>
      </c>
      <c r="L1041" t="inlineStr">
        <is>
          <t>—</t>
        </is>
      </c>
      <c r="M1041" t="inlineStr">
        <is>
          <t>—</t>
        </is>
      </c>
      <c r="N1041" t="inlineStr">
        <is>
          <t>n/a</t>
        </is>
      </c>
      <c r="O1041" s="5" t="inlineStr">
        <is>
          <t>No keyword target - keep conversion/navigation focus; use descriptive, non-repeated anchor texts</t>
        </is>
      </c>
      <c r="P1041" s="5" t="inlineStr"/>
      <c r="Q1041" t="inlineStr">
        <is>
          <t>P4</t>
        </is>
      </c>
      <c r="R1041" t="n">
        <v>109</v>
      </c>
      <c r="S1041" s="5" t="inlineStr">
        <is>
          <t>Nous créons des outils alimentés par l'IA, des tableaux de bord et des automatisations qui génèrent de vrais résultats Réserver un Appel Découverte 50+ projets réussis • Livraison en 48h • Sans engagement Sites web Chatb</t>
        </is>
      </c>
    </row>
    <row r="1042">
      <c r="A1042" s="3" t="inlineStr">
        <is>
          <t>https://codesommet.com/tools/heading-analyzer</t>
        </is>
      </c>
      <c r="B1042" t="n">
        <v>1</v>
      </c>
      <c r="C1042" t="inlineStr">
        <is>
          <t>Hero / H1</t>
        </is>
      </c>
      <c r="D1042" s="5" t="inlineStr">
        <is>
          <t>Analyseur de Titres H1-H6 : Outil SEO</t>
        </is>
      </c>
      <c r="E1042" t="inlineStr">
        <is>
          <t>H1</t>
        </is>
      </c>
      <c r="F1042" s="5" t="inlineStr">
        <is>
          <t>Informational / tool use</t>
        </is>
      </c>
      <c r="G1042" t="inlineStr">
        <is>
          <t>balise h1</t>
        </is>
      </c>
      <c r="H1042" t="inlineStr">
        <is>
          <t>PRIMARY</t>
        </is>
      </c>
      <c r="I1042" t="inlineStr">
        <is>
          <t>fr</t>
        </is>
      </c>
      <c r="J1042" t="n">
        <v>390</v>
      </c>
      <c r="K1042" t="n">
        <v>18</v>
      </c>
      <c r="L1042" t="n">
        <v>0</v>
      </c>
      <c r="M1042" t="inlineStr">
        <is>
          <t>MEASURED</t>
        </is>
      </c>
      <c r="N1042" t="inlineStr">
        <is>
          <t>Partly</t>
        </is>
      </c>
      <c r="O1042" s="5" t="inlineStr">
        <is>
          <t>Work "balise h1" (or a close natural variant) into existing copy - no new heading needed</t>
        </is>
      </c>
      <c r="P1042" s="5" t="inlineStr">
        <is>
          <t>Keyword/variant absent from this section</t>
        </is>
      </c>
      <c r="Q1042" t="inlineStr">
        <is>
          <t>P3</t>
        </is>
      </c>
      <c r="R1042" t="n">
        <v>46</v>
      </c>
      <c r="S1042" s="5" t="inlineStr">
        <is>
          <t>Analysez la hiérarchie des titres (H1-H6) de votre page pour vérifier les problèmes SEO et d'accessibilité. Obtenez une structure arborescente visuelle et un plan du contenu. Gratuit • Aucune inscription requise URL du s</t>
        </is>
      </c>
    </row>
    <row r="1043">
      <c r="A1043" s="3" t="inlineStr">
        <is>
          <t>https://codesommet.com/tools/heading-analyzer</t>
        </is>
      </c>
      <c r="B1043" t="n">
        <v>2</v>
      </c>
      <c r="C1043" t="inlineStr">
        <is>
          <t>FAQ</t>
        </is>
      </c>
      <c r="D1043" s="5" t="inlineStr">
        <is>
          <t>Questions Fréquemment Posées</t>
        </is>
      </c>
      <c r="E1043" t="inlineStr">
        <is>
          <t>H2</t>
        </is>
      </c>
      <c r="F1043" s="5" t="inlineStr">
        <is>
          <t>Informational (pre-purchase questions)</t>
        </is>
      </c>
      <c r="G1043" t="inlineStr">
        <is>
          <t>balise h1</t>
        </is>
      </c>
      <c r="H1043" t="inlineStr">
        <is>
          <t>SUPPORTS PRIMARY</t>
        </is>
      </c>
      <c r="I1043" t="inlineStr">
        <is>
          <t>fr</t>
        </is>
      </c>
      <c r="J1043" t="n">
        <v>390</v>
      </c>
      <c r="K1043" t="n">
        <v>18</v>
      </c>
      <c r="L1043" t="n">
        <v>0</v>
      </c>
      <c r="M1043" t="inlineStr">
        <is>
          <t>MEASURED</t>
        </is>
      </c>
      <c r="N1043" t="inlineStr">
        <is>
          <t>Yes</t>
        </is>
      </c>
      <c r="O1043" s="5" t="inlineStr">
        <is>
          <t>Covered - keep wording; no change</t>
        </is>
      </c>
      <c r="P1043" s="5" t="inlineStr"/>
      <c r="Q1043" t="inlineStr">
        <is>
          <t>P3</t>
        </is>
      </c>
      <c r="R1043" t="n">
        <v>449</v>
      </c>
      <c r="S1043" s="5" t="inlineStr">
        <is>
          <t xml:space="preserve">Questions courantes sur cet outil et comment l'utiliser efficacement 1 Pourquoi la hiérarchie des titres est-elle importante pour le SEO ? Une hiérarchie de titres appropriée (H1 → H2 → H3) aide les moteurs de recherche </t>
        </is>
      </c>
    </row>
    <row r="1044">
      <c r="A1044" s="3" t="inlineStr">
        <is>
          <t>https://codesommet.com/tools/heading-analyzer</t>
        </is>
      </c>
      <c r="B1044" t="n">
        <v>3</v>
      </c>
      <c r="C1044" t="inlineStr">
        <is>
          <t>Internal-link block</t>
        </is>
      </c>
      <c r="D1044" s="5" t="inlineStr">
        <is>
          <t>Outils Connexes Qui Pourraient Vous Intéresser</t>
        </is>
      </c>
      <c r="E1044" t="inlineStr">
        <is>
          <t>H2</t>
        </is>
      </c>
      <c r="F1044" s="5" t="inlineStr">
        <is>
          <t>Navigation</t>
        </is>
      </c>
      <c r="G1044" t="inlineStr">
        <is>
          <t>—</t>
        </is>
      </c>
      <c r="H1044" t="inlineStr">
        <is>
          <t>NONE</t>
        </is>
      </c>
      <c r="I1044" t="inlineStr">
        <is>
          <t>—</t>
        </is>
      </c>
      <c r="J1044" t="inlineStr">
        <is>
          <t>—</t>
        </is>
      </c>
      <c r="K1044" t="inlineStr">
        <is>
          <t>—</t>
        </is>
      </c>
      <c r="L1044" t="inlineStr">
        <is>
          <t>—</t>
        </is>
      </c>
      <c r="M1044" t="inlineStr">
        <is>
          <t>—</t>
        </is>
      </c>
      <c r="N1044" t="inlineStr">
        <is>
          <t>n/a</t>
        </is>
      </c>
      <c r="O1044" s="5" t="inlineStr">
        <is>
          <t>No keyword target - keep conversion/navigation focus; use descriptive, non-repeated anchor texts</t>
        </is>
      </c>
      <c r="P1044" s="5" t="inlineStr"/>
      <c r="Q1044" t="inlineStr">
        <is>
          <t>P4</t>
        </is>
      </c>
      <c r="R1044" t="n">
        <v>64</v>
      </c>
      <c r="S1044" s="5" t="inlineStr">
        <is>
          <t>Continuez à optimiser votre site web avec ces outils complémentaires Vérificateur de Liens Cassés Trouvez les liens brisés, redirections et délais d'attente Essayer gratuitement seo Analyseur de Texte Alt d'Images Analys</t>
        </is>
      </c>
    </row>
    <row r="1045">
      <c r="A1045" s="3" t="inlineStr">
        <is>
          <t>https://codesommet.com/tools/heading-analyzer</t>
        </is>
      </c>
      <c r="B1045" t="n">
        <v>4</v>
      </c>
      <c r="C1045" t="inlineStr">
        <is>
          <t>CTA / conversion</t>
        </is>
      </c>
      <c r="D1045" s="5" t="inlineStr">
        <is>
          <t>Besoin d'un Outil Personnalisé pour Votre Entreprise ?</t>
        </is>
      </c>
      <c r="E1045" t="inlineStr">
        <is>
          <t>H2</t>
        </is>
      </c>
      <c r="F1045" s="5" t="inlineStr">
        <is>
          <t>Conversion</t>
        </is>
      </c>
      <c r="G1045" t="inlineStr">
        <is>
          <t>—</t>
        </is>
      </c>
      <c r="H1045" t="inlineStr">
        <is>
          <t>NONE</t>
        </is>
      </c>
      <c r="I1045" t="inlineStr">
        <is>
          <t>—</t>
        </is>
      </c>
      <c r="J1045" t="inlineStr">
        <is>
          <t>—</t>
        </is>
      </c>
      <c r="K1045" t="inlineStr">
        <is>
          <t>—</t>
        </is>
      </c>
      <c r="L1045" t="inlineStr">
        <is>
          <t>—</t>
        </is>
      </c>
      <c r="M1045" t="inlineStr">
        <is>
          <t>—</t>
        </is>
      </c>
      <c r="N1045" t="inlineStr">
        <is>
          <t>n/a</t>
        </is>
      </c>
      <c r="O1045" s="5" t="inlineStr">
        <is>
          <t>No keyword target - keep conversion/navigation focus; use descriptive, non-repeated anchor texts</t>
        </is>
      </c>
      <c r="P1045" s="5" t="inlineStr"/>
      <c r="Q1045" t="inlineStr">
        <is>
          <t>P4</t>
        </is>
      </c>
      <c r="R1045" t="n">
        <v>109</v>
      </c>
      <c r="S1045" s="5" t="inlineStr">
        <is>
          <t>Nous créons des outils alimentés par l'IA, des tableaux de bord et des automatisations qui génèrent de vrais résultats Réserver un Appel Découverte 50+ projets réussis • Livraison en 48h • Sans engagement Sites web Chatb</t>
        </is>
      </c>
    </row>
    <row r="1046">
      <c r="A1046" s="3" t="inlineStr">
        <is>
          <t>https://codesommet.com/tools/hreflang-generator</t>
        </is>
      </c>
      <c r="B1046" t="n">
        <v>1</v>
      </c>
      <c r="C1046" t="inlineStr">
        <is>
          <t>Hero / H1</t>
        </is>
      </c>
      <c r="D1046" s="5" t="inlineStr">
        <is>
          <t>Générateur de Balises Hreflang Gratuit</t>
        </is>
      </c>
      <c r="E1046" t="inlineStr">
        <is>
          <t>H1</t>
        </is>
      </c>
      <c r="F1046" s="5" t="inlineStr">
        <is>
          <t>Informational / tool use</t>
        </is>
      </c>
      <c r="G1046" t="inlineStr">
        <is>
          <t>hreflang</t>
        </is>
      </c>
      <c r="H1046" t="inlineStr">
        <is>
          <t>PRIMARY</t>
        </is>
      </c>
      <c r="I1046" t="inlineStr">
        <is>
          <t>fr</t>
        </is>
      </c>
      <c r="J1046" t="n">
        <v>880</v>
      </c>
      <c r="K1046" t="n">
        <v>29</v>
      </c>
      <c r="L1046" t="n">
        <v>1</v>
      </c>
      <c r="M1046" t="inlineStr">
        <is>
          <t>MEASURED</t>
        </is>
      </c>
      <c r="N1046" t="inlineStr">
        <is>
          <t>Yes</t>
        </is>
      </c>
      <c r="O1046" s="5" t="inlineStr">
        <is>
          <t>Covered - keep wording; no change</t>
        </is>
      </c>
      <c r="P1046" s="5" t="inlineStr"/>
      <c r="Q1046" t="inlineStr">
        <is>
          <t>P3</t>
        </is>
      </c>
      <c r="R1046" t="n">
        <v>14</v>
      </c>
      <c r="S1046" s="5" t="inlineStr">
        <is>
          <t>Générez des balises hreflang pour les sites multilingues et multi-régionaux Gratuit • Aucune inscription requise</t>
        </is>
      </c>
    </row>
    <row r="1047">
      <c r="A1047" s="3" t="inlineStr">
        <is>
          <t>https://codesommet.com/tools/hreflang-generator</t>
        </is>
      </c>
      <c r="B1047" t="n">
        <v>2</v>
      </c>
      <c r="C1047" t="inlineStr">
        <is>
          <t>Content block</t>
        </is>
      </c>
      <c r="D1047" s="5" t="inlineStr">
        <is>
          <t>Versions Linguistiques</t>
        </is>
      </c>
      <c r="E1047" t="inlineStr">
        <is>
          <t>H2</t>
        </is>
      </c>
      <c r="F1047" s="5" t="inlineStr">
        <is>
          <t>Informational / tool use</t>
        </is>
      </c>
      <c r="G1047" t="inlineStr">
        <is>
          <t>balise hreflang</t>
        </is>
      </c>
      <c r="H1047" t="inlineStr">
        <is>
          <t>SECONDARY</t>
        </is>
      </c>
      <c r="I1047" t="inlineStr">
        <is>
          <t>fr</t>
        </is>
      </c>
      <c r="J1047" t="n">
        <v>140</v>
      </c>
      <c r="K1047" t="n">
        <v>22</v>
      </c>
      <c r="L1047" t="n">
        <v>0</v>
      </c>
      <c r="M1047" t="inlineStr">
        <is>
          <t>MEASURED</t>
        </is>
      </c>
      <c r="N1047" t="inlineStr">
        <is>
          <t>Yes</t>
        </is>
      </c>
      <c r="O1047" s="5" t="inlineStr">
        <is>
          <t>Covered - keep wording; no change</t>
        </is>
      </c>
      <c r="P1047" s="5" t="inlineStr"/>
      <c r="Q1047" t="inlineStr">
        <is>
          <t>P3</t>
        </is>
      </c>
      <c r="R1047" t="n">
        <v>24</v>
      </c>
      <c r="S1047" s="5" t="inlineStr">
        <is>
          <t>Ajoutez toutes les versions linguistiques/régionales de la même page. Incluez x-default par défaut. Ajouter une Version Linguistique (max 50) Générer les Balises Hreflang</t>
        </is>
      </c>
    </row>
    <row r="1048">
      <c r="A1048" s="3" t="inlineStr">
        <is>
          <t>https://codesommet.com/tools/hreflang-generator</t>
        </is>
      </c>
      <c r="B1048" t="n">
        <v>3</v>
      </c>
      <c r="C1048" t="inlineStr">
        <is>
          <t>Content block</t>
        </is>
      </c>
      <c r="D1048" s="5" t="inlineStr">
        <is>
          <t>Comment utiliser cet outil</t>
        </is>
      </c>
      <c r="E1048" t="inlineStr">
        <is>
          <t>H2</t>
        </is>
      </c>
      <c r="F1048" s="5" t="inlineStr">
        <is>
          <t>Informational / tool use</t>
        </is>
      </c>
      <c r="G1048" t="inlineStr">
        <is>
          <t>balise hreflang</t>
        </is>
      </c>
      <c r="H1048" t="inlineStr">
        <is>
          <t>SECONDARY</t>
        </is>
      </c>
      <c r="I1048" t="inlineStr">
        <is>
          <t>fr</t>
        </is>
      </c>
      <c r="J1048" t="n">
        <v>140</v>
      </c>
      <c r="K1048" t="n">
        <v>22</v>
      </c>
      <c r="L1048" t="n">
        <v>0</v>
      </c>
      <c r="M1048" t="inlineStr">
        <is>
          <t>MEASURED</t>
        </is>
      </c>
      <c r="N1048" t="inlineStr">
        <is>
          <t>Partly</t>
        </is>
      </c>
      <c r="O1048" s="5" t="inlineStr">
        <is>
          <t>Work "balise hreflang" (or a close natural variant) into existing copy - no new heading needed</t>
        </is>
      </c>
      <c r="P1048" s="5" t="inlineStr">
        <is>
          <t>Keyword/variant absent from this section</t>
        </is>
      </c>
      <c r="Q1048" t="inlineStr">
        <is>
          <t>P3</t>
        </is>
      </c>
      <c r="R1048" t="n">
        <v>49</v>
      </c>
      <c r="S1048" s="5" t="inlineStr">
        <is>
          <t xml:space="preserve">1 Ajoutez les URL de toutes les versions linguistiques/régionales 2 Spécifiez les codes de langue (en, es, fr) ou variantes régionales (en-US, es-MX) 3 Incluez une entrée x-default pointant vers votre version par défaut </t>
        </is>
      </c>
    </row>
    <row r="1049">
      <c r="A1049" s="3" t="inlineStr">
        <is>
          <t>https://codesommet.com/tools/hreflang-generator</t>
        </is>
      </c>
      <c r="B1049" t="n">
        <v>4</v>
      </c>
      <c r="C1049" t="inlineStr">
        <is>
          <t>FAQ</t>
        </is>
      </c>
      <c r="D1049" s="5" t="inlineStr">
        <is>
          <t>Questions Fréquemment Posées</t>
        </is>
      </c>
      <c r="E1049" t="inlineStr">
        <is>
          <t>H2</t>
        </is>
      </c>
      <c r="F1049" s="5" t="inlineStr">
        <is>
          <t>Informational (pre-purchase questions)</t>
        </is>
      </c>
      <c r="G1049" t="inlineStr">
        <is>
          <t>hreflang</t>
        </is>
      </c>
      <c r="H1049" t="inlineStr">
        <is>
          <t>SUPPORTS PRIMARY</t>
        </is>
      </c>
      <c r="I1049" t="inlineStr">
        <is>
          <t>fr</t>
        </is>
      </c>
      <c r="J1049" t="n">
        <v>880</v>
      </c>
      <c r="K1049" t="n">
        <v>29</v>
      </c>
      <c r="L1049" t="n">
        <v>1</v>
      </c>
      <c r="M1049" t="inlineStr">
        <is>
          <t>MEASURED</t>
        </is>
      </c>
      <c r="N1049" t="inlineStr">
        <is>
          <t>Yes</t>
        </is>
      </c>
      <c r="O1049" s="5" t="inlineStr">
        <is>
          <t>Covered - keep wording; no change</t>
        </is>
      </c>
      <c r="P1049" s="5" t="inlineStr"/>
      <c r="Q1049" t="inlineStr">
        <is>
          <t>P3</t>
        </is>
      </c>
      <c r="R1049" t="n">
        <v>445</v>
      </c>
      <c r="S1049" s="5" t="inlineStr">
        <is>
          <t>Questions courantes sur cet outil et comment l'utiliser efficacement 1 Que sont les balises hreflang et pourquoi en ai-je besoin ? Les balises hreflang indiquent aux moteurs de recherche quelle version linguistique et ré</t>
        </is>
      </c>
    </row>
    <row r="1050">
      <c r="A1050" s="3" t="inlineStr">
        <is>
          <t>https://codesommet.com/tools/hreflang-generator</t>
        </is>
      </c>
      <c r="B1050" t="n">
        <v>5</v>
      </c>
      <c r="C1050" t="inlineStr">
        <is>
          <t>Internal-link block</t>
        </is>
      </c>
      <c r="D1050" s="5" t="inlineStr">
        <is>
          <t>Outils Connexes Qui Pourraient Vous Intéresser</t>
        </is>
      </c>
      <c r="E1050" t="inlineStr">
        <is>
          <t>H2</t>
        </is>
      </c>
      <c r="F1050" s="5" t="inlineStr">
        <is>
          <t>Navigation</t>
        </is>
      </c>
      <c r="G1050" t="inlineStr">
        <is>
          <t>—</t>
        </is>
      </c>
      <c r="H1050" t="inlineStr">
        <is>
          <t>NONE</t>
        </is>
      </c>
      <c r="I1050" t="inlineStr">
        <is>
          <t>—</t>
        </is>
      </c>
      <c r="J1050" t="inlineStr">
        <is>
          <t>—</t>
        </is>
      </c>
      <c r="K1050" t="inlineStr">
        <is>
          <t>—</t>
        </is>
      </c>
      <c r="L1050" t="inlineStr">
        <is>
          <t>—</t>
        </is>
      </c>
      <c r="M1050" t="inlineStr">
        <is>
          <t>—</t>
        </is>
      </c>
      <c r="N1050" t="inlineStr">
        <is>
          <t>n/a</t>
        </is>
      </c>
      <c r="O1050" s="5" t="inlineStr">
        <is>
          <t>No keyword target - keep conversion/navigation focus; use descriptive, non-repeated anchor texts</t>
        </is>
      </c>
      <c r="P1050" s="5" t="inlineStr"/>
      <c r="Q1050" t="inlineStr">
        <is>
          <t>P4</t>
        </is>
      </c>
      <c r="R1050" t="n">
        <v>62</v>
      </c>
      <c r="S1050" s="5" t="inlineStr">
        <is>
          <t>Continuez à optimiser votre site web avec ces outils complémentaires Aperçu Open Graph Prévisualisez les cartes de réseaux sociaux pour 4 plateformes majeures Essayer gratuitement seo Analyseur de Structure des Titres Ar</t>
        </is>
      </c>
    </row>
    <row r="1051">
      <c r="A1051" s="3" t="inlineStr">
        <is>
          <t>https://codesommet.com/tools/hreflang-generator</t>
        </is>
      </c>
      <c r="B1051" t="n">
        <v>6</v>
      </c>
      <c r="C1051" t="inlineStr">
        <is>
          <t>CTA / conversion</t>
        </is>
      </c>
      <c r="D1051" s="5" t="inlineStr">
        <is>
          <t>Besoin d'un Outil Personnalisé pour Votre Entreprise ?</t>
        </is>
      </c>
      <c r="E1051" t="inlineStr">
        <is>
          <t>H2</t>
        </is>
      </c>
      <c r="F1051" s="5" t="inlineStr">
        <is>
          <t>Conversion</t>
        </is>
      </c>
      <c r="G1051" t="inlineStr">
        <is>
          <t>—</t>
        </is>
      </c>
      <c r="H1051" t="inlineStr">
        <is>
          <t>NONE</t>
        </is>
      </c>
      <c r="I1051" t="inlineStr">
        <is>
          <t>—</t>
        </is>
      </c>
      <c r="J1051" t="inlineStr">
        <is>
          <t>—</t>
        </is>
      </c>
      <c r="K1051" t="inlineStr">
        <is>
          <t>—</t>
        </is>
      </c>
      <c r="L1051" t="inlineStr">
        <is>
          <t>—</t>
        </is>
      </c>
      <c r="M1051" t="inlineStr">
        <is>
          <t>—</t>
        </is>
      </c>
      <c r="N1051" t="inlineStr">
        <is>
          <t>n/a</t>
        </is>
      </c>
      <c r="O1051" s="5" t="inlineStr">
        <is>
          <t>No keyword target - keep conversion/navigation focus; use descriptive, non-repeated anchor texts</t>
        </is>
      </c>
      <c r="P1051" s="5" t="inlineStr"/>
      <c r="Q1051" t="inlineStr">
        <is>
          <t>P4</t>
        </is>
      </c>
      <c r="R1051" t="n">
        <v>109</v>
      </c>
      <c r="S1051" s="5" t="inlineStr">
        <is>
          <t>Nous créons des outils alimentés par l'IA, des tableaux de bord et des automatisations qui génèrent de vrais résultats Réserver un Appel Découverte 50+ projets réussis • Livraison en 48h • Sans engagement Sites web Chatb</t>
        </is>
      </c>
    </row>
    <row r="1052">
      <c r="A1052" s="3" t="inlineStr">
        <is>
          <t>https://codesommet.com/tools/html-minifier</t>
        </is>
      </c>
      <c r="B1052" t="n">
        <v>1</v>
      </c>
      <c r="C1052" t="inlineStr">
        <is>
          <t>Hero / H1</t>
        </is>
      </c>
      <c r="D1052" s="5" t="inlineStr">
        <is>
          <t>Minificateur HTML/CSS/JS Gratuit</t>
        </is>
      </c>
      <c r="E1052" t="inlineStr">
        <is>
          <t>H1</t>
        </is>
      </c>
      <c r="F1052" s="5" t="inlineStr">
        <is>
          <t>Informational / tool use</t>
        </is>
      </c>
      <c r="G1052" t="inlineStr">
        <is>
          <t>html minifier</t>
        </is>
      </c>
      <c r="H1052" t="inlineStr">
        <is>
          <t>PRIMARY</t>
        </is>
      </c>
      <c r="I1052" t="inlineStr">
        <is>
          <t>fr</t>
        </is>
      </c>
      <c r="J1052" t="n">
        <v>260</v>
      </c>
      <c r="K1052" t="n">
        <v>29</v>
      </c>
      <c r="L1052" t="n">
        <v>0</v>
      </c>
      <c r="M1052" t="inlineStr">
        <is>
          <t>MEASURED</t>
        </is>
      </c>
      <c r="N1052" t="inlineStr">
        <is>
          <t>Yes</t>
        </is>
      </c>
      <c r="O1052" s="5" t="inlineStr">
        <is>
          <t>Covered - keep wording; no change</t>
        </is>
      </c>
      <c r="P1052" s="5" t="inlineStr"/>
      <c r="Q1052" t="inlineStr">
        <is>
          <t>P3</t>
        </is>
      </c>
      <c r="R1052" t="n">
        <v>60</v>
      </c>
      <c r="S1052" s="5" t="inlineStr">
        <is>
          <t xml:space="preserve">Minifiez le code HTML, CSS et JavaScript pour réduire la taille des fichiers et améliorer la vitesse de chargement. Supprimez les commentaires, les espaces blancs et optimisez votre code instantanément. Gratuit • Aucune </t>
        </is>
      </c>
    </row>
    <row r="1053">
      <c r="A1053" s="3" t="inlineStr">
        <is>
          <t>https://codesommet.com/tools/html-minifier</t>
        </is>
      </c>
      <c r="B1053" t="n">
        <v>2</v>
      </c>
      <c r="C1053" t="inlineStr">
        <is>
          <t>FAQ</t>
        </is>
      </c>
      <c r="D1053" s="5" t="inlineStr">
        <is>
          <t>Questions Fréquemment Posées</t>
        </is>
      </c>
      <c r="E1053" t="inlineStr">
        <is>
          <t>H2</t>
        </is>
      </c>
      <c r="F1053" s="5" t="inlineStr">
        <is>
          <t>Informational (pre-purchase questions)</t>
        </is>
      </c>
      <c r="G1053" t="inlineStr">
        <is>
          <t>html minifier</t>
        </is>
      </c>
      <c r="H1053" t="inlineStr">
        <is>
          <t>SUPPORTS PRIMARY</t>
        </is>
      </c>
      <c r="I1053" t="inlineStr">
        <is>
          <t>fr</t>
        </is>
      </c>
      <c r="J1053" t="n">
        <v>260</v>
      </c>
      <c r="K1053" t="n">
        <v>29</v>
      </c>
      <c r="L1053" t="n">
        <v>0</v>
      </c>
      <c r="M1053" t="inlineStr">
        <is>
          <t>MEASURED</t>
        </is>
      </c>
      <c r="N1053" t="inlineStr">
        <is>
          <t>Yes</t>
        </is>
      </c>
      <c r="O1053" s="5" t="inlineStr">
        <is>
          <t>Covered - keep wording; no change</t>
        </is>
      </c>
      <c r="P1053" s="5" t="inlineStr"/>
      <c r="Q1053" t="inlineStr">
        <is>
          <t>P3</t>
        </is>
      </c>
      <c r="R1053" t="n">
        <v>540</v>
      </c>
      <c r="S1053" s="5" t="inlineStr">
        <is>
          <t xml:space="preserve">Questions courantes sur cet outil et comment l'utiliser efficacement 1 Qu'est-ce que la minification de code et pourquoi est-ce important ? La minification de code est le processus de suppression des caractères inutiles </t>
        </is>
      </c>
    </row>
    <row r="1054">
      <c r="A1054" s="3" t="inlineStr">
        <is>
          <t>https://codesommet.com/tools/html-minifier</t>
        </is>
      </c>
      <c r="B1054" t="n">
        <v>3</v>
      </c>
      <c r="C1054" t="inlineStr">
        <is>
          <t>Internal-link block</t>
        </is>
      </c>
      <c r="D1054" s="5" t="inlineStr">
        <is>
          <t>Outils Connexes Qui Pourraient Vous Intéresser</t>
        </is>
      </c>
      <c r="E1054" t="inlineStr">
        <is>
          <t>H2</t>
        </is>
      </c>
      <c r="F1054" s="5" t="inlineStr">
        <is>
          <t>Navigation</t>
        </is>
      </c>
      <c r="G1054" t="inlineStr">
        <is>
          <t>—</t>
        </is>
      </c>
      <c r="H1054" t="inlineStr">
        <is>
          <t>NONE</t>
        </is>
      </c>
      <c r="I1054" t="inlineStr">
        <is>
          <t>—</t>
        </is>
      </c>
      <c r="J1054" t="inlineStr">
        <is>
          <t>—</t>
        </is>
      </c>
      <c r="K1054" t="inlineStr">
        <is>
          <t>—</t>
        </is>
      </c>
      <c r="L1054" t="inlineStr">
        <is>
          <t>—</t>
        </is>
      </c>
      <c r="M1054" t="inlineStr">
        <is>
          <t>—</t>
        </is>
      </c>
      <c r="N1054" t="inlineStr">
        <is>
          <t>n/a</t>
        </is>
      </c>
      <c r="O1054" s="5" t="inlineStr">
        <is>
          <t>No keyword target - keep conversion/navigation focus; use descriptive, non-repeated anchor texts</t>
        </is>
      </c>
      <c r="P1054" s="5" t="inlineStr"/>
      <c r="Q1054" t="inlineStr">
        <is>
          <t>P4</t>
        </is>
      </c>
      <c r="R1054" t="n">
        <v>99</v>
      </c>
      <c r="S1054" s="5" t="inlineStr">
        <is>
          <t xml:space="preserve">Continuez à optimiser votre site web avec ces outils complémentaires Page Speed Analyzer Analysez les performances de chargement et obtenez des recommandations concrètes Essayer gratuitement seo Analyseur de Compression </t>
        </is>
      </c>
    </row>
    <row r="1055">
      <c r="A1055" s="3" t="inlineStr">
        <is>
          <t>https://codesommet.com/tools/html-minifier</t>
        </is>
      </c>
      <c r="B1055" t="n">
        <v>4</v>
      </c>
      <c r="C1055" t="inlineStr">
        <is>
          <t>CTA / conversion</t>
        </is>
      </c>
      <c r="D1055" s="5" t="inlineStr">
        <is>
          <t>Besoin d'un Outil Personnalisé pour Votre Entreprise ?</t>
        </is>
      </c>
      <c r="E1055" t="inlineStr">
        <is>
          <t>H2</t>
        </is>
      </c>
      <c r="F1055" s="5" t="inlineStr">
        <is>
          <t>Conversion</t>
        </is>
      </c>
      <c r="G1055" t="inlineStr">
        <is>
          <t>—</t>
        </is>
      </c>
      <c r="H1055" t="inlineStr">
        <is>
          <t>NONE</t>
        </is>
      </c>
      <c r="I1055" t="inlineStr">
        <is>
          <t>—</t>
        </is>
      </c>
      <c r="J1055" t="inlineStr">
        <is>
          <t>—</t>
        </is>
      </c>
      <c r="K1055" t="inlineStr">
        <is>
          <t>—</t>
        </is>
      </c>
      <c r="L1055" t="inlineStr">
        <is>
          <t>—</t>
        </is>
      </c>
      <c r="M1055" t="inlineStr">
        <is>
          <t>—</t>
        </is>
      </c>
      <c r="N1055" t="inlineStr">
        <is>
          <t>n/a</t>
        </is>
      </c>
      <c r="O1055" s="5" t="inlineStr">
        <is>
          <t>No keyword target - keep conversion/navigation focus; use descriptive, non-repeated anchor texts</t>
        </is>
      </c>
      <c r="P1055" s="5" t="inlineStr"/>
      <c r="Q1055" t="inlineStr">
        <is>
          <t>P4</t>
        </is>
      </c>
      <c r="R1055" t="n">
        <v>113</v>
      </c>
      <c r="S1055" s="5" t="inlineStr">
        <is>
          <t>Nous créons des outils alimentés par l'IA, des tableaux de bord et des automatisations qui génèrent de vrais résultats Réserver un Appel Découverte 50+ projets réussis • Livraison en 48h • Pas de contrats à long terme Si</t>
        </is>
      </c>
    </row>
    <row r="1056">
      <c r="A1056" s="3" t="inlineStr">
        <is>
          <t>https://codesommet.com/tools/html-to-text</t>
        </is>
      </c>
      <c r="B1056" t="n">
        <v>1</v>
      </c>
      <c r="C1056" t="inlineStr">
        <is>
          <t>Hero / H1</t>
        </is>
      </c>
      <c r="D1056" s="5" t="inlineStr">
        <is>
          <t>Convertisseur HTML en Texte Brut Gratuit</t>
        </is>
      </c>
      <c r="E1056" t="inlineStr">
        <is>
          <t>H1</t>
        </is>
      </c>
      <c r="F1056" s="5" t="inlineStr">
        <is>
          <t>Informational / tool use</t>
        </is>
      </c>
      <c r="G1056" t="inlineStr">
        <is>
          <t>html to text</t>
        </is>
      </c>
      <c r="H1056" t="inlineStr">
        <is>
          <t>PRIMARY</t>
        </is>
      </c>
      <c r="I1056" t="inlineStr">
        <is>
          <t>fr</t>
        </is>
      </c>
      <c r="J1056" t="n">
        <v>320</v>
      </c>
      <c r="K1056" t="n">
        <v>68</v>
      </c>
      <c r="L1056" t="n">
        <v>0</v>
      </c>
      <c r="M1056" t="inlineStr">
        <is>
          <t>MEASURED</t>
        </is>
      </c>
      <c r="N1056" t="inlineStr">
        <is>
          <t>Yes</t>
        </is>
      </c>
      <c r="O1056" s="5" t="inlineStr">
        <is>
          <t>Covered - keep wording; no change</t>
        </is>
      </c>
      <c r="P1056" s="5" t="inlineStr"/>
      <c r="Q1056" t="inlineStr">
        <is>
          <t>P3</t>
        </is>
      </c>
      <c r="R1056" t="n">
        <v>27</v>
      </c>
      <c r="S1056" s="5" t="inlineStr">
        <is>
          <t>Convertissez le HTML en texte brut lisible et propre instantanément Gratuit • Aucune inscription requise Contenu HTML Conserver les espaces supplémentaires (ne pas nettoyer) Convertir en Texte Brut</t>
        </is>
      </c>
    </row>
    <row r="1057">
      <c r="A1057" s="3" t="inlineStr">
        <is>
          <t>https://codesommet.com/tools/html-to-text</t>
        </is>
      </c>
      <c r="B1057" t="n">
        <v>2</v>
      </c>
      <c r="C1057" t="inlineStr">
        <is>
          <t>Content block</t>
        </is>
      </c>
      <c r="D1057" s="5" t="inlineStr">
        <is>
          <t>Cas d'Utilisation</t>
        </is>
      </c>
      <c r="E1057" t="inlineStr">
        <is>
          <t>H2</t>
        </is>
      </c>
      <c r="F1057" s="5" t="inlineStr">
        <is>
          <t>Informational / tool use</t>
        </is>
      </c>
      <c r="G1057" t="inlineStr">
        <is>
          <t>html en texte</t>
        </is>
      </c>
      <c r="H1057" t="inlineStr">
        <is>
          <t>SUPPORTING</t>
        </is>
      </c>
      <c r="I1057" t="inlineStr">
        <is>
          <t>fr</t>
        </is>
      </c>
      <c r="J1057" t="n">
        <v>30</v>
      </c>
      <c r="K1057" t="inlineStr">
        <is>
          <t>NOT AVAILABLE</t>
        </is>
      </c>
      <c r="L1057" t="n">
        <v>0</v>
      </c>
      <c r="M1057" t="inlineStr">
        <is>
          <t>MEASURED</t>
        </is>
      </c>
      <c r="N1057" t="inlineStr">
        <is>
          <t>Yes</t>
        </is>
      </c>
      <c r="O1057" s="5" t="inlineStr">
        <is>
          <t>Covered - keep wording; no change</t>
        </is>
      </c>
      <c r="P1057" s="5" t="inlineStr"/>
      <c r="Q1057" t="inlineStr">
        <is>
          <t>P3</t>
        </is>
      </c>
      <c r="R1057" t="n">
        <v>78</v>
      </c>
      <c r="S1057" s="5" t="inlineStr">
        <is>
          <t>1 E-mails en Texte Brut Convertissez les e-mails HTML en format texte brut 2 Analyse de Contenu Extrayez du texte propre pour l'analyse de lisibilité ou SEO Une fois votre contenu extrait, pensez aussi à structurer vos q</t>
        </is>
      </c>
    </row>
    <row r="1058">
      <c r="A1058" s="3" t="inlineStr">
        <is>
          <t>https://codesommet.com/tools/html-to-text</t>
        </is>
      </c>
      <c r="B1058" t="n">
        <v>3</v>
      </c>
      <c r="C1058" t="inlineStr">
        <is>
          <t>FAQ</t>
        </is>
      </c>
      <c r="D1058" s="5" t="inlineStr">
        <is>
          <t>Questions Fréquemment Posées</t>
        </is>
      </c>
      <c r="E1058" t="inlineStr">
        <is>
          <t>H2</t>
        </is>
      </c>
      <c r="F1058" s="5" t="inlineStr">
        <is>
          <t>Informational (pre-purchase questions)</t>
        </is>
      </c>
      <c r="G1058" t="inlineStr">
        <is>
          <t>html to text</t>
        </is>
      </c>
      <c r="H1058" t="inlineStr">
        <is>
          <t>SUPPORTS PRIMARY</t>
        </is>
      </c>
      <c r="I1058" t="inlineStr">
        <is>
          <t>fr</t>
        </is>
      </c>
      <c r="J1058" t="n">
        <v>320</v>
      </c>
      <c r="K1058" t="n">
        <v>68</v>
      </c>
      <c r="L1058" t="n">
        <v>0</v>
      </c>
      <c r="M1058" t="inlineStr">
        <is>
          <t>MEASURED</t>
        </is>
      </c>
      <c r="N1058" t="inlineStr">
        <is>
          <t>Yes</t>
        </is>
      </c>
      <c r="O1058" s="5" t="inlineStr">
        <is>
          <t>Covered - keep wording; no change</t>
        </is>
      </c>
      <c r="P1058" s="5" t="inlineStr"/>
      <c r="Q1058" t="inlineStr">
        <is>
          <t>P3</t>
        </is>
      </c>
      <c r="R1058" t="n">
        <v>489</v>
      </c>
      <c r="S1058" s="5" t="inlineStr">
        <is>
          <t>Questions courantes sur cet outil et comment l'utiliser efficacement 1 Pourquoi aurais-je besoin de convertir du HTML en texte brut ? La conversion du HTML en texte brut est essentielle pour le marketing par e-mail (de n</t>
        </is>
      </c>
    </row>
    <row r="1059">
      <c r="A1059" s="3" t="inlineStr">
        <is>
          <t>https://codesommet.com/tools/html-to-text</t>
        </is>
      </c>
      <c r="B1059" t="n">
        <v>4</v>
      </c>
      <c r="C1059" t="inlineStr">
        <is>
          <t>Internal-link block</t>
        </is>
      </c>
      <c r="D1059" s="5" t="inlineStr">
        <is>
          <t>Outils Connexes Qui Pourraient Vous Intéresser</t>
        </is>
      </c>
      <c r="E1059" t="inlineStr">
        <is>
          <t>H2</t>
        </is>
      </c>
      <c r="F1059" s="5" t="inlineStr">
        <is>
          <t>Navigation</t>
        </is>
      </c>
      <c r="G1059" t="inlineStr">
        <is>
          <t>—</t>
        </is>
      </c>
      <c r="H1059" t="inlineStr">
        <is>
          <t>NONE</t>
        </is>
      </c>
      <c r="I1059" t="inlineStr">
        <is>
          <t>—</t>
        </is>
      </c>
      <c r="J1059" t="inlineStr">
        <is>
          <t>—</t>
        </is>
      </c>
      <c r="K1059" t="inlineStr">
        <is>
          <t>—</t>
        </is>
      </c>
      <c r="L1059" t="inlineStr">
        <is>
          <t>—</t>
        </is>
      </c>
      <c r="M1059" t="inlineStr">
        <is>
          <t>—</t>
        </is>
      </c>
      <c r="N1059" t="inlineStr">
        <is>
          <t>n/a</t>
        </is>
      </c>
      <c r="O1059" s="5" t="inlineStr">
        <is>
          <t>No keyword target - keep conversion/navigation focus; use descriptive, non-repeated anchor texts</t>
        </is>
      </c>
      <c r="P1059" s="5" t="inlineStr"/>
      <c r="Q1059" t="inlineStr">
        <is>
          <t>P4</t>
        </is>
      </c>
      <c r="R1059" t="n">
        <v>86</v>
      </c>
      <c r="S1059" s="5" t="inlineStr">
        <is>
          <t>Continuez à optimiser votre site web avec ces outils complémentaires Convertisseur de Casse de Texte Convertissez le texte entre majuscules, minuscules, casse de titre et plus Essayer gratuitement content Analyseur de Sc</t>
        </is>
      </c>
    </row>
    <row r="1060">
      <c r="A1060" s="3" t="inlineStr">
        <is>
          <t>https://codesommet.com/tools/html-to-text</t>
        </is>
      </c>
      <c r="B1060" t="n">
        <v>5</v>
      </c>
      <c r="C1060" t="inlineStr">
        <is>
          <t>CTA / conversion</t>
        </is>
      </c>
      <c r="D1060" s="5" t="inlineStr">
        <is>
          <t>Besoin d'un Outil Personnalisé pour Votre Entreprise ?</t>
        </is>
      </c>
      <c r="E1060" t="inlineStr">
        <is>
          <t>H2</t>
        </is>
      </c>
      <c r="F1060" s="5" t="inlineStr">
        <is>
          <t>Conversion</t>
        </is>
      </c>
      <c r="G1060" t="inlineStr">
        <is>
          <t>—</t>
        </is>
      </c>
      <c r="H1060" t="inlineStr">
        <is>
          <t>NONE</t>
        </is>
      </c>
      <c r="I1060" t="inlineStr">
        <is>
          <t>—</t>
        </is>
      </c>
      <c r="J1060" t="inlineStr">
        <is>
          <t>—</t>
        </is>
      </c>
      <c r="K1060" t="inlineStr">
        <is>
          <t>—</t>
        </is>
      </c>
      <c r="L1060" t="inlineStr">
        <is>
          <t>—</t>
        </is>
      </c>
      <c r="M1060" t="inlineStr">
        <is>
          <t>—</t>
        </is>
      </c>
      <c r="N1060" t="inlineStr">
        <is>
          <t>n/a</t>
        </is>
      </c>
      <c r="O1060" s="5" t="inlineStr">
        <is>
          <t>No keyword target - keep conversion/navigation focus; use descriptive, non-repeated anchor texts</t>
        </is>
      </c>
      <c r="P1060" s="5" t="inlineStr"/>
      <c r="Q1060" t="inlineStr">
        <is>
          <t>P4</t>
        </is>
      </c>
      <c r="R1060" t="n">
        <v>113</v>
      </c>
      <c r="S1060" s="5" t="inlineStr">
        <is>
          <t>Nous créons des outils alimentés par l'IA, des tableaux de bord et des automatisations qui génèrent de vrais résultats Réserver un Appel Découverte 50+ projets réussis • Livraison en 48h • Pas de contrats à long terme Si</t>
        </is>
      </c>
    </row>
    <row r="1061">
      <c r="A1061" s="3" t="inlineStr">
        <is>
          <t>https://codesommet.com/tools/image-alt-analyzer</t>
        </is>
      </c>
      <c r="B1061" t="n">
        <v>1</v>
      </c>
      <c r="C1061" t="inlineStr">
        <is>
          <t>Hero / H1</t>
        </is>
      </c>
      <c r="D1061" s="5" t="inlineStr">
        <is>
          <t>Analyseur de Texte Alt d'Image : SEO</t>
        </is>
      </c>
      <c r="E1061" t="inlineStr">
        <is>
          <t>H1</t>
        </is>
      </c>
      <c r="F1061" s="5" t="inlineStr">
        <is>
          <t>Informational / tool use</t>
        </is>
      </c>
      <c r="G1061" t="inlineStr">
        <is>
          <t>balise alt</t>
        </is>
      </c>
      <c r="H1061" t="inlineStr">
        <is>
          <t>PRIMARY</t>
        </is>
      </c>
      <c r="I1061" t="inlineStr">
        <is>
          <t>fr</t>
        </is>
      </c>
      <c r="J1061" t="n">
        <v>260</v>
      </c>
      <c r="K1061" t="n">
        <v>21</v>
      </c>
      <c r="L1061" t="n">
        <v>0</v>
      </c>
      <c r="M1061" t="inlineStr">
        <is>
          <t>MEASURED</t>
        </is>
      </c>
      <c r="N1061" t="inlineStr">
        <is>
          <t>Partly</t>
        </is>
      </c>
      <c r="O1061" s="5" t="inlineStr">
        <is>
          <t>Work "balise alt" (or a close natural variant) into existing copy - no new heading needed</t>
        </is>
      </c>
      <c r="P1061" s="5" t="inlineStr">
        <is>
          <t>Keyword/variant absent from this section</t>
        </is>
      </c>
      <c r="Q1061" t="inlineStr">
        <is>
          <t>P3</t>
        </is>
      </c>
      <c r="R1061" t="n">
        <v>57</v>
      </c>
      <c r="S1061" s="5" t="inlineStr">
        <is>
          <t xml:space="preserve">Analysez votre page web pour détecter les textes alt d'image manquants ou de mauvaise qualité. Améliorez l'accessibilité, le SEO et assurez-vous que toutes les images ont un texte alternatif descriptif. Gratuit • Aucune </t>
        </is>
      </c>
    </row>
    <row r="1062">
      <c r="A1062" s="3" t="inlineStr">
        <is>
          <t>https://codesommet.com/tools/image-alt-analyzer</t>
        </is>
      </c>
      <c r="B1062" t="n">
        <v>2</v>
      </c>
      <c r="C1062" t="inlineStr">
        <is>
          <t>FAQ</t>
        </is>
      </c>
      <c r="D1062" s="5" t="inlineStr">
        <is>
          <t>Questions Fréquemment Posées</t>
        </is>
      </c>
      <c r="E1062" t="inlineStr">
        <is>
          <t>H2</t>
        </is>
      </c>
      <c r="F1062" s="5" t="inlineStr">
        <is>
          <t>Informational (pre-purchase questions)</t>
        </is>
      </c>
      <c r="G1062" t="inlineStr">
        <is>
          <t>balise alt</t>
        </is>
      </c>
      <c r="H1062" t="inlineStr">
        <is>
          <t>SUPPORTS PRIMARY</t>
        </is>
      </c>
      <c r="I1062" t="inlineStr">
        <is>
          <t>fr</t>
        </is>
      </c>
      <c r="J1062" t="n">
        <v>260</v>
      </c>
      <c r="K1062" t="n">
        <v>21</v>
      </c>
      <c r="L1062" t="n">
        <v>0</v>
      </c>
      <c r="M1062" t="inlineStr">
        <is>
          <t>MEASURED</t>
        </is>
      </c>
      <c r="N1062" t="inlineStr">
        <is>
          <t>Yes (supporting block)</t>
        </is>
      </c>
      <c r="O1062" s="5" t="inlineStr">
        <is>
          <t>Supports the primary topic - add only if natural</t>
        </is>
      </c>
      <c r="P1062" s="5" t="inlineStr"/>
      <c r="Q1062" t="inlineStr">
        <is>
          <t>P3</t>
        </is>
      </c>
      <c r="R1062" t="n">
        <v>436</v>
      </c>
      <c r="S1062" s="5" t="inlineStr">
        <is>
          <t>Questions courantes sur cet outil et comment l'utiliser efficacement 1 Qu'est-ce que le texte alt d'image et pourquoi est-ce important ? Le texte alt (texte alternatif) est une description écrite d'une image qui apparaît</t>
        </is>
      </c>
    </row>
    <row r="1063">
      <c r="A1063" s="3" t="inlineStr">
        <is>
          <t>https://codesommet.com/tools/image-alt-analyzer</t>
        </is>
      </c>
      <c r="B1063" t="n">
        <v>3</v>
      </c>
      <c r="C1063" t="inlineStr">
        <is>
          <t>Internal-link block</t>
        </is>
      </c>
      <c r="D1063" s="5" t="inlineStr">
        <is>
          <t>Outils Connexes Qui Pourraient Vous Intéresser</t>
        </is>
      </c>
      <c r="E1063" t="inlineStr">
        <is>
          <t>H2</t>
        </is>
      </c>
      <c r="F1063" s="5" t="inlineStr">
        <is>
          <t>Navigation</t>
        </is>
      </c>
      <c r="G1063" t="inlineStr">
        <is>
          <t>—</t>
        </is>
      </c>
      <c r="H1063" t="inlineStr">
        <is>
          <t>NONE</t>
        </is>
      </c>
      <c r="I1063" t="inlineStr">
        <is>
          <t>—</t>
        </is>
      </c>
      <c r="J1063" t="inlineStr">
        <is>
          <t>—</t>
        </is>
      </c>
      <c r="K1063" t="inlineStr">
        <is>
          <t>—</t>
        </is>
      </c>
      <c r="L1063" t="inlineStr">
        <is>
          <t>—</t>
        </is>
      </c>
      <c r="M1063" t="inlineStr">
        <is>
          <t>—</t>
        </is>
      </c>
      <c r="N1063" t="inlineStr">
        <is>
          <t>n/a</t>
        </is>
      </c>
      <c r="O1063" s="5" t="inlineStr">
        <is>
          <t>No keyword target - keep conversion/navigation focus; use descriptive, non-repeated anchor texts</t>
        </is>
      </c>
      <c r="P1063" s="5" t="inlineStr"/>
      <c r="Q1063" t="inlineStr">
        <is>
          <t>P4</t>
        </is>
      </c>
      <c r="R1063" t="n">
        <v>86</v>
      </c>
      <c r="S1063" s="5" t="inlineStr">
        <is>
          <t>Continuez à optimiser votre site web avec ces outils complémentaires Analyseur de Structure des Titres Arbre visuel H1-H6 avec validation SEO Essayer gratuitement seo Vérificateur de Liens Cassés Trouvez les liens cassés</t>
        </is>
      </c>
    </row>
    <row r="1064">
      <c r="A1064" s="3" t="inlineStr">
        <is>
          <t>https://codesommet.com/tools/image-alt-analyzer</t>
        </is>
      </c>
      <c r="B1064" t="n">
        <v>4</v>
      </c>
      <c r="C1064" t="inlineStr">
        <is>
          <t>CTA / conversion</t>
        </is>
      </c>
      <c r="D1064" s="5" t="inlineStr">
        <is>
          <t>Besoin d'un Outil Personnalisé pour Votre Entreprise ?</t>
        </is>
      </c>
      <c r="E1064" t="inlineStr">
        <is>
          <t>H2</t>
        </is>
      </c>
      <c r="F1064" s="5" t="inlineStr">
        <is>
          <t>Conversion</t>
        </is>
      </c>
      <c r="G1064" t="inlineStr">
        <is>
          <t>—</t>
        </is>
      </c>
      <c r="H1064" t="inlineStr">
        <is>
          <t>NONE</t>
        </is>
      </c>
      <c r="I1064" t="inlineStr">
        <is>
          <t>—</t>
        </is>
      </c>
      <c r="J1064" t="inlineStr">
        <is>
          <t>—</t>
        </is>
      </c>
      <c r="K1064" t="inlineStr">
        <is>
          <t>—</t>
        </is>
      </c>
      <c r="L1064" t="inlineStr">
        <is>
          <t>—</t>
        </is>
      </c>
      <c r="M1064" t="inlineStr">
        <is>
          <t>—</t>
        </is>
      </c>
      <c r="N1064" t="inlineStr">
        <is>
          <t>n/a</t>
        </is>
      </c>
      <c r="O1064" s="5" t="inlineStr">
        <is>
          <t>No keyword target - keep conversion/navigation focus; use descriptive, non-repeated anchor texts</t>
        </is>
      </c>
      <c r="P1064" s="5" t="inlineStr"/>
      <c r="Q1064" t="inlineStr">
        <is>
          <t>P4</t>
        </is>
      </c>
      <c r="R1064" t="n">
        <v>113</v>
      </c>
      <c r="S1064" s="5" t="inlineStr">
        <is>
          <t>Nous créons des outils alimentés par l'IA, des tableaux de bord et des automatisations qui génèrent de vrais résultats Réserver un Appel Découverte 50+ projets réussis • Livraison en 48h • Pas de contrats à long terme Si</t>
        </is>
      </c>
    </row>
    <row r="1065">
      <c r="A1065" s="3" t="inlineStr">
        <is>
          <t>https://codesommet.com/tools/image-compression-analyzer</t>
        </is>
      </c>
      <c r="B1065" t="n">
        <v>1</v>
      </c>
      <c r="C1065" t="inlineStr">
        <is>
          <t>Hero / H1</t>
        </is>
      </c>
      <c r="D1065" s="5" t="inlineStr">
        <is>
          <t>Analyseur de Compression d'Images Gratuit</t>
        </is>
      </c>
      <c r="E1065" t="inlineStr">
        <is>
          <t>H1</t>
        </is>
      </c>
      <c r="F1065" s="5" t="inlineStr">
        <is>
          <t>Informational / tool use</t>
        </is>
      </c>
      <c r="G1065" t="inlineStr">
        <is>
          <t>optimisation image seo</t>
        </is>
      </c>
      <c r="H1065" t="inlineStr">
        <is>
          <t>PRIMARY</t>
        </is>
      </c>
      <c r="I1065" t="inlineStr">
        <is>
          <t>fr</t>
        </is>
      </c>
      <c r="J1065" t="n">
        <v>20</v>
      </c>
      <c r="K1065" t="inlineStr">
        <is>
          <t>NOT AVAILABLE</t>
        </is>
      </c>
      <c r="L1065" t="n">
        <v>0</v>
      </c>
      <c r="M1065" t="inlineStr">
        <is>
          <t>MEASURED</t>
        </is>
      </c>
      <c r="N1065" t="inlineStr">
        <is>
          <t>Partly</t>
        </is>
      </c>
      <c r="O1065" s="5" t="inlineStr">
        <is>
          <t>Work "optimisation image seo" (or a close natural variant) into existing copy - no new heading needed</t>
        </is>
      </c>
      <c r="P1065" s="5" t="inlineStr">
        <is>
          <t>Keyword/variant absent from this section</t>
        </is>
      </c>
      <c r="Q1065" t="inlineStr">
        <is>
          <t>P3</t>
        </is>
      </c>
      <c r="R1065" t="n">
        <v>27</v>
      </c>
      <c r="S1065" s="5" t="inlineStr">
        <is>
          <t>Identifiez les images surdimensionnées et améliorez la vitesse de page avec des recommandations de compression Gratuit • Aucune inscription requise URL de la page * Analyser la Compression d'Images</t>
        </is>
      </c>
    </row>
    <row r="1066">
      <c r="A1066" s="3" t="inlineStr">
        <is>
          <t>https://codesommet.com/tools/image-compression-analyzer</t>
        </is>
      </c>
      <c r="B1066" t="n">
        <v>2</v>
      </c>
      <c r="C1066" t="inlineStr">
        <is>
          <t>Content block</t>
        </is>
      </c>
      <c r="D1066" s="5" t="inlineStr">
        <is>
          <t>Comment Utiliser Cet Outil</t>
        </is>
      </c>
      <c r="E1066" t="inlineStr">
        <is>
          <t>H2</t>
        </is>
      </c>
      <c r="F1066" s="5" t="inlineStr">
        <is>
          <t>Informational / tool use</t>
        </is>
      </c>
      <c r="G1066" t="inlineStr">
        <is>
          <t>optimisation image seo</t>
        </is>
      </c>
      <c r="H1066" t="inlineStr">
        <is>
          <t>SUPPORTS PRIMARY</t>
        </is>
      </c>
      <c r="I1066" t="inlineStr">
        <is>
          <t>fr</t>
        </is>
      </c>
      <c r="J1066" t="n">
        <v>20</v>
      </c>
      <c r="K1066" t="inlineStr">
        <is>
          <t>NOT AVAILABLE</t>
        </is>
      </c>
      <c r="L1066" t="n">
        <v>0</v>
      </c>
      <c r="M1066" t="inlineStr">
        <is>
          <t>MEASURED</t>
        </is>
      </c>
      <c r="N1066" t="inlineStr">
        <is>
          <t>Yes (supporting block)</t>
        </is>
      </c>
      <c r="O1066" s="5" t="inlineStr">
        <is>
          <t>Supports the primary topic - add only if natural</t>
        </is>
      </c>
      <c r="P1066" s="5" t="inlineStr"/>
      <c r="Q1066" t="inlineStr">
        <is>
          <t>P3</t>
        </is>
      </c>
      <c r="R1066" t="n">
        <v>36</v>
      </c>
      <c r="S1066" s="5" t="inlineStr">
        <is>
          <t>1 Entrez l'URL de la page que vous souhaitez analyser 2 L'outil extraira toutes les images et vérifiera la taille de leurs fichiers 3 Examinez les images surdimensionnées et mettez en oeuvre les recommandations de compre</t>
        </is>
      </c>
    </row>
    <row r="1067">
      <c r="A1067" s="3" t="inlineStr">
        <is>
          <t>https://codesommet.com/tools/image-compression-analyzer</t>
        </is>
      </c>
      <c r="B1067" t="n">
        <v>3</v>
      </c>
      <c r="C1067" t="inlineStr">
        <is>
          <t>FAQ</t>
        </is>
      </c>
      <c r="D1067" s="5" t="inlineStr">
        <is>
          <t>Questions Fréquemment Posées</t>
        </is>
      </c>
      <c r="E1067" t="inlineStr">
        <is>
          <t>H2</t>
        </is>
      </c>
      <c r="F1067" s="5" t="inlineStr">
        <is>
          <t>Informational (pre-purchase questions)</t>
        </is>
      </c>
      <c r="G1067" t="inlineStr">
        <is>
          <t>optimisation image seo</t>
        </is>
      </c>
      <c r="H1067" t="inlineStr">
        <is>
          <t>SUPPORTS PRIMARY</t>
        </is>
      </c>
      <c r="I1067" t="inlineStr">
        <is>
          <t>fr</t>
        </is>
      </c>
      <c r="J1067" t="n">
        <v>20</v>
      </c>
      <c r="K1067" t="inlineStr">
        <is>
          <t>NOT AVAILABLE</t>
        </is>
      </c>
      <c r="L1067" t="n">
        <v>0</v>
      </c>
      <c r="M1067" t="inlineStr">
        <is>
          <t>MEASURED</t>
        </is>
      </c>
      <c r="N1067" t="inlineStr">
        <is>
          <t>Yes</t>
        </is>
      </c>
      <c r="O1067" s="5" t="inlineStr">
        <is>
          <t>Covered - keep wording; no change</t>
        </is>
      </c>
      <c r="P1067" s="5" t="inlineStr"/>
      <c r="Q1067" t="inlineStr">
        <is>
          <t>P3</t>
        </is>
      </c>
      <c r="R1067" t="n">
        <v>485</v>
      </c>
      <c r="S1067" s="5" t="inlineStr">
        <is>
          <t>Questions courantes sur cet outil et comment l'utiliser efficacement 1 Pourquoi la compression d'images est-elle importante pour le SEO ? La compression d'images a un impact direct sur la vitesse de chargement des pages,</t>
        </is>
      </c>
    </row>
    <row r="1068">
      <c r="A1068" s="3" t="inlineStr">
        <is>
          <t>https://codesommet.com/tools/image-compression-analyzer</t>
        </is>
      </c>
      <c r="B1068" t="n">
        <v>4</v>
      </c>
      <c r="C1068" t="inlineStr">
        <is>
          <t>Internal-link block</t>
        </is>
      </c>
      <c r="D1068" s="5" t="inlineStr">
        <is>
          <t>Outils Connexes Qui Pourraient Vous Intéresser</t>
        </is>
      </c>
      <c r="E1068" t="inlineStr">
        <is>
          <t>H2</t>
        </is>
      </c>
      <c r="F1068" s="5" t="inlineStr">
        <is>
          <t>Navigation</t>
        </is>
      </c>
      <c r="G1068" t="inlineStr">
        <is>
          <t>—</t>
        </is>
      </c>
      <c r="H1068" t="inlineStr">
        <is>
          <t>NONE</t>
        </is>
      </c>
      <c r="I1068" t="inlineStr">
        <is>
          <t>—</t>
        </is>
      </c>
      <c r="J1068" t="inlineStr">
        <is>
          <t>—</t>
        </is>
      </c>
      <c r="K1068" t="inlineStr">
        <is>
          <t>—</t>
        </is>
      </c>
      <c r="L1068" t="inlineStr">
        <is>
          <t>—</t>
        </is>
      </c>
      <c r="M1068" t="inlineStr">
        <is>
          <t>—</t>
        </is>
      </c>
      <c r="N1068" t="inlineStr">
        <is>
          <t>n/a</t>
        </is>
      </c>
      <c r="O1068" s="5" t="inlineStr">
        <is>
          <t>No keyword target - keep conversion/navigation focus; use descriptive, non-repeated anchor texts</t>
        </is>
      </c>
      <c r="P1068" s="5" t="inlineStr"/>
      <c r="Q1068" t="inlineStr">
        <is>
          <t>P4</t>
        </is>
      </c>
      <c r="R1068" t="n">
        <v>85</v>
      </c>
      <c r="S1068" s="5" t="inlineStr">
        <is>
          <t xml:space="preserve">Continuez à optimiser votre site web avec ces outils complémentaires Page Speed Analyzer Analysez les performances de chargement et obtenez des recommandations concrètes Essayer gratuitement seo Minificateur HTML/CSS/JS </t>
        </is>
      </c>
    </row>
    <row r="1069">
      <c r="A1069" s="3" t="inlineStr">
        <is>
          <t>https://codesommet.com/tools/image-compression-analyzer</t>
        </is>
      </c>
      <c r="B1069" t="n">
        <v>5</v>
      </c>
      <c r="C1069" t="inlineStr">
        <is>
          <t>CTA / conversion</t>
        </is>
      </c>
      <c r="D1069" s="5" t="inlineStr">
        <is>
          <t>Besoin d'un Outil Personnalisé pour Votre Entreprise ?</t>
        </is>
      </c>
      <c r="E1069" t="inlineStr">
        <is>
          <t>H2</t>
        </is>
      </c>
      <c r="F1069" s="5" t="inlineStr">
        <is>
          <t>Conversion</t>
        </is>
      </c>
      <c r="G1069" t="inlineStr">
        <is>
          <t>—</t>
        </is>
      </c>
      <c r="H1069" t="inlineStr">
        <is>
          <t>NONE</t>
        </is>
      </c>
      <c r="I1069" t="inlineStr">
        <is>
          <t>—</t>
        </is>
      </c>
      <c r="J1069" t="inlineStr">
        <is>
          <t>—</t>
        </is>
      </c>
      <c r="K1069" t="inlineStr">
        <is>
          <t>—</t>
        </is>
      </c>
      <c r="L1069" t="inlineStr">
        <is>
          <t>—</t>
        </is>
      </c>
      <c r="M1069" t="inlineStr">
        <is>
          <t>—</t>
        </is>
      </c>
      <c r="N1069" t="inlineStr">
        <is>
          <t>n/a</t>
        </is>
      </c>
      <c r="O1069" s="5" t="inlineStr">
        <is>
          <t>No keyword target - keep conversion/navigation focus; use descriptive, non-repeated anchor texts</t>
        </is>
      </c>
      <c r="P1069" s="5" t="inlineStr"/>
      <c r="Q1069" t="inlineStr">
        <is>
          <t>P4</t>
        </is>
      </c>
      <c r="R1069" t="n">
        <v>113</v>
      </c>
      <c r="S1069" s="5" t="inlineStr">
        <is>
          <t>Nous créons des outils alimentés par l'IA, des tableaux de bord et des automatisations qui génèrent de vrais résultats Réserver un Appel Découverte 50+ projets réussis • Livraison en 48h • Pas de contrats à long terme Si</t>
        </is>
      </c>
    </row>
    <row r="1070">
      <c r="A1070" s="3" t="inlineStr">
        <is>
          <t>https://codesommet.com/tools/image-compressor</t>
        </is>
      </c>
      <c r="B1070" t="n">
        <v>1</v>
      </c>
      <c r="C1070" t="inlineStr">
        <is>
          <t>Hero / H1</t>
        </is>
      </c>
      <c r="D1070" s="5" t="inlineStr">
        <is>
          <t>Compresseur d'Images Gratuit : WebP, JPEG</t>
        </is>
      </c>
      <c r="E1070" t="inlineStr">
        <is>
          <t>H1</t>
        </is>
      </c>
      <c r="F1070" s="5" t="inlineStr">
        <is>
          <t>Informational / tool use</t>
        </is>
      </c>
      <c r="G1070" t="inlineStr">
        <is>
          <t>compresser image</t>
        </is>
      </c>
      <c r="H1070" t="inlineStr">
        <is>
          <t>PRIMARY</t>
        </is>
      </c>
      <c r="I1070" t="inlineStr">
        <is>
          <t>fr</t>
        </is>
      </c>
      <c r="J1070" t="n">
        <v>22200</v>
      </c>
      <c r="K1070" t="n">
        <v>28</v>
      </c>
      <c r="L1070" t="n">
        <v>0</v>
      </c>
      <c r="M1070" t="inlineStr">
        <is>
          <t>MEASURED</t>
        </is>
      </c>
      <c r="N1070" t="inlineStr">
        <is>
          <t>Yes</t>
        </is>
      </c>
      <c r="O1070" s="5" t="inlineStr">
        <is>
          <t>Covered - keep wording; no change</t>
        </is>
      </c>
      <c r="P1070" s="5" t="inlineStr"/>
      <c r="Q1070" t="inlineStr">
        <is>
          <t>P3</t>
        </is>
      </c>
      <c r="R1070" t="n">
        <v>92</v>
      </c>
      <c r="S1070" s="5" t="inlineStr">
        <is>
          <t>Des images trop lourdes ralentissent vos pages et pèsent sur les Core Web Vitals. Compressez-les, convertissez-les en WebP et redimensionnez-les en quelques secondes — sans les envoyer nulle part. Gratuit • Aucune inscri</t>
        </is>
      </c>
    </row>
    <row r="1071">
      <c r="A1071" s="3" t="inlineStr">
        <is>
          <t>https://codesommet.com/tools/image-compressor</t>
        </is>
      </c>
      <c r="B1071" t="n">
        <v>2</v>
      </c>
      <c r="C1071" t="inlineStr">
        <is>
          <t>Content block</t>
        </is>
      </c>
      <c r="D1071" s="5" t="inlineStr">
        <is>
          <t>Images optimisées</t>
        </is>
      </c>
      <c r="E1071" t="inlineStr">
        <is>
          <t>H2</t>
        </is>
      </c>
      <c r="F1071" s="5" t="inlineStr">
        <is>
          <t>Informational / tool use</t>
        </is>
      </c>
      <c r="G1071" t="inlineStr">
        <is>
          <t>compresser photo</t>
        </is>
      </c>
      <c r="H1071" t="inlineStr">
        <is>
          <t>SECONDARY</t>
        </is>
      </c>
      <c r="I1071" t="inlineStr">
        <is>
          <t>fr</t>
        </is>
      </c>
      <c r="J1071" t="n">
        <v>9900</v>
      </c>
      <c r="K1071" t="n">
        <v>31</v>
      </c>
      <c r="L1071" t="n">
        <v>0.26</v>
      </c>
      <c r="M1071" t="inlineStr">
        <is>
          <t>MEASURED</t>
        </is>
      </c>
      <c r="N1071" t="inlineStr">
        <is>
          <t>Partly</t>
        </is>
      </c>
      <c r="O1071" s="5" t="inlineStr">
        <is>
          <t>Work "compresser photo" (or a close natural variant) into existing copy - no new heading needed</t>
        </is>
      </c>
      <c r="P1071" s="5" t="inlineStr">
        <is>
          <t>Keyword/variant absent from this section</t>
        </is>
      </c>
      <c r="Q1071" t="inlineStr">
        <is>
          <t>P3</t>
        </is>
      </c>
      <c r="R1071" t="n">
        <v>19</v>
      </c>
      <c r="S1071" s="5" t="inlineStr">
        <is>
          <t>Les métadonnées EXIF (dont la localisation GPS) sont supprimées par la réencodage. Copier le résumé Télécharger CSV Télécharger JSON</t>
        </is>
      </c>
    </row>
    <row r="1072">
      <c r="A1072" s="3" t="inlineStr">
        <is>
          <t>https://codesommet.com/tools/image-compressor</t>
        </is>
      </c>
      <c r="B1072" t="n">
        <v>3</v>
      </c>
      <c r="C1072" t="inlineStr">
        <is>
          <t>Content block</t>
        </is>
      </c>
      <c r="D1072" s="5" t="inlineStr">
        <is>
          <t>Comment Utiliser Cet Outil</t>
        </is>
      </c>
      <c r="E1072" t="inlineStr">
        <is>
          <t>H2</t>
        </is>
      </c>
      <c r="F1072" s="5" t="inlineStr">
        <is>
          <t>Informational / tool use</t>
        </is>
      </c>
      <c r="G1072" t="inlineStr">
        <is>
          <t>réduire taille image</t>
        </is>
      </c>
      <c r="H1072" t="inlineStr">
        <is>
          <t>SECONDARY</t>
        </is>
      </c>
      <c r="I1072" t="inlineStr">
        <is>
          <t>fr</t>
        </is>
      </c>
      <c r="J1072" t="n">
        <v>8100</v>
      </c>
      <c r="K1072" t="n">
        <v>33</v>
      </c>
      <c r="L1072" t="n">
        <v>0.18</v>
      </c>
      <c r="M1072" t="inlineStr">
        <is>
          <t>MEASURED</t>
        </is>
      </c>
      <c r="N1072" t="inlineStr">
        <is>
          <t>Partly</t>
        </is>
      </c>
      <c r="O1072" s="5" t="inlineStr">
        <is>
          <t>Work "réduire taille image" (or a close natural variant) into existing copy - no new heading needed</t>
        </is>
      </c>
      <c r="P1072" s="5" t="inlineStr">
        <is>
          <t>Keyword/variant absent from this section</t>
        </is>
      </c>
      <c r="Q1072" t="inlineStr">
        <is>
          <t>P3</t>
        </is>
      </c>
      <c r="R1072" t="n">
        <v>31</v>
      </c>
      <c r="S1072" s="5" t="inlineStr">
        <is>
          <t>1 Sélectionnez jusqu'à 30 images. 2 Choisissez le format (WebP recommandé), la qualité et, si besoin, une largeur maximale. 3 Comparez les poids avant et après, puis téléchargez chaque image optimisée.</t>
        </is>
      </c>
    </row>
    <row r="1073">
      <c r="A1073" s="3" t="inlineStr">
        <is>
          <t>https://codesommet.com/tools/image-compressor</t>
        </is>
      </c>
      <c r="B1073" t="n">
        <v>4</v>
      </c>
      <c r="C1073" t="inlineStr">
        <is>
          <t>FAQ</t>
        </is>
      </c>
      <c r="D1073" s="5" t="inlineStr">
        <is>
          <t>Questions Fréquemment Posées</t>
        </is>
      </c>
      <c r="E1073" t="inlineStr">
        <is>
          <t>H2</t>
        </is>
      </c>
      <c r="F1073" s="5" t="inlineStr">
        <is>
          <t>Informational (pre-purchase questions)</t>
        </is>
      </c>
      <c r="G1073" t="inlineStr">
        <is>
          <t>compresser image</t>
        </is>
      </c>
      <c r="H1073" t="inlineStr">
        <is>
          <t>SUPPORTS PRIMARY</t>
        </is>
      </c>
      <c r="I1073" t="inlineStr">
        <is>
          <t>fr</t>
        </is>
      </c>
      <c r="J1073" t="n">
        <v>22200</v>
      </c>
      <c r="K1073" t="n">
        <v>28</v>
      </c>
      <c r="L1073" t="n">
        <v>0</v>
      </c>
      <c r="M1073" t="inlineStr">
        <is>
          <t>MEASURED</t>
        </is>
      </c>
      <c r="N1073" t="inlineStr">
        <is>
          <t>Yes (supporting block)</t>
        </is>
      </c>
      <c r="O1073" s="5" t="inlineStr">
        <is>
          <t>Supports the primary topic - add only if natural</t>
        </is>
      </c>
      <c r="P1073" s="5" t="inlineStr"/>
      <c r="Q1073" t="inlineStr">
        <is>
          <t>P3</t>
        </is>
      </c>
      <c r="R1073" t="n">
        <v>171</v>
      </c>
      <c r="S1073" s="5" t="inlineStr">
        <is>
          <t>Optimiser ses images pour la vitesse et le SEO 1 Mes images sont-elles envoyées sur un serveur ? Non. La compression utilise le moteur graphique de votre navigateur : les fichiers ne quittent jamais votre appareil. 2 Que</t>
        </is>
      </c>
    </row>
    <row r="1074">
      <c r="A1074" s="3" t="inlineStr">
        <is>
          <t>https://codesommet.com/tools/image-compressor</t>
        </is>
      </c>
      <c r="B1074" t="n">
        <v>5</v>
      </c>
      <c r="C1074" t="inlineStr">
        <is>
          <t>Internal-link block</t>
        </is>
      </c>
      <c r="D1074" s="5" t="inlineStr">
        <is>
          <t>Outils Connexes Qui Pourraient Vous Intéresser</t>
        </is>
      </c>
      <c r="E1074" t="inlineStr">
        <is>
          <t>H2</t>
        </is>
      </c>
      <c r="F1074" s="5" t="inlineStr">
        <is>
          <t>Navigation</t>
        </is>
      </c>
      <c r="G1074" t="inlineStr">
        <is>
          <t>—</t>
        </is>
      </c>
      <c r="H1074" t="inlineStr">
        <is>
          <t>NONE</t>
        </is>
      </c>
      <c r="I1074" t="inlineStr">
        <is>
          <t>—</t>
        </is>
      </c>
      <c r="J1074" t="inlineStr">
        <is>
          <t>—</t>
        </is>
      </c>
      <c r="K1074" t="inlineStr">
        <is>
          <t>—</t>
        </is>
      </c>
      <c r="L1074" t="inlineStr">
        <is>
          <t>—</t>
        </is>
      </c>
      <c r="M1074" t="inlineStr">
        <is>
          <t>—</t>
        </is>
      </c>
      <c r="N1074" t="inlineStr">
        <is>
          <t>n/a</t>
        </is>
      </c>
      <c r="O1074" s="5" t="inlineStr">
        <is>
          <t>No keyword target - keep conversion/navigation focus; use descriptive, non-repeated anchor texts</t>
        </is>
      </c>
      <c r="P1074" s="5" t="inlineStr"/>
      <c r="Q1074" t="inlineStr">
        <is>
          <t>P4</t>
        </is>
      </c>
      <c r="R1074" t="n">
        <v>56</v>
      </c>
      <c r="S1074" s="5" t="inlineStr">
        <is>
          <t>Continuez à optimiser votre site web avec ces outils complémentaires Analyseur de Compression d'Images Repérez les images trop lourdes d'une page Essayer gratuitement seo Analyseur de Texte Alt Vérifiez les textes altern</t>
        </is>
      </c>
    </row>
    <row r="1075">
      <c r="A1075" s="3" t="inlineStr">
        <is>
          <t>https://codesommet.com/tools/image-compressor</t>
        </is>
      </c>
      <c r="B1075" t="n">
        <v>6</v>
      </c>
      <c r="C1075" t="inlineStr">
        <is>
          <t>Content block</t>
        </is>
      </c>
      <c r="D1075" s="5" t="inlineStr">
        <is>
          <t>Un Site Trop Lent ?</t>
        </is>
      </c>
      <c r="E1075" t="inlineStr">
        <is>
          <t>H2</t>
        </is>
      </c>
      <c r="F1075" s="5" t="inlineStr">
        <is>
          <t>Informational / tool use</t>
        </is>
      </c>
      <c r="G1075" t="inlineStr">
        <is>
          <t>compression image</t>
        </is>
      </c>
      <c r="H1075" t="inlineStr">
        <is>
          <t>SECONDARY</t>
        </is>
      </c>
      <c r="I1075" t="inlineStr">
        <is>
          <t>fr</t>
        </is>
      </c>
      <c r="J1075" t="n">
        <v>5400</v>
      </c>
      <c r="K1075" t="n">
        <v>49</v>
      </c>
      <c r="L1075" t="n">
        <v>0.32</v>
      </c>
      <c r="M1075" t="inlineStr">
        <is>
          <t>MEASURED</t>
        </is>
      </c>
      <c r="N1075" t="inlineStr">
        <is>
          <t>Partly</t>
        </is>
      </c>
      <c r="O1075" s="5" t="inlineStr">
        <is>
          <t>Work "compression image" (or a close natural variant) into existing copy - no new heading needed</t>
        </is>
      </c>
      <c r="P1075" s="5" t="inlineStr">
        <is>
          <t>Keyword/variant absent from this section</t>
        </is>
      </c>
      <c r="Q1075" t="inlineStr">
        <is>
          <t>P3</t>
        </is>
      </c>
      <c r="R1075" t="n">
        <v>110</v>
      </c>
      <c r="S1075" s="5" t="inlineStr">
        <is>
          <t>Nous optimisons images, code et hébergement pour des pages qui s'affichent en moins de deux secondes Réserver un Appel Découverte 50+ projets réussis • Livraison en 48h • Pas de contrats à long terme Sites web Chatbots I</t>
        </is>
      </c>
    </row>
    <row r="1076">
      <c r="A1076" s="3" t="inlineStr">
        <is>
          <t>https://codesommet.com/tools/internal-link-analyzer</t>
        </is>
      </c>
      <c r="B1076" t="n">
        <v>1</v>
      </c>
      <c r="C1076" t="inlineStr">
        <is>
          <t>Hero / H1</t>
        </is>
      </c>
      <c r="D1076" s="5" t="inlineStr">
        <is>
          <t>Analyseur de Liens Internes Gratuit</t>
        </is>
      </c>
      <c r="E1076" t="inlineStr">
        <is>
          <t>H1</t>
        </is>
      </c>
      <c r="F1076" s="5" t="inlineStr">
        <is>
          <t>Informational / tool use</t>
        </is>
      </c>
      <c r="G1076" t="inlineStr">
        <is>
          <t>maillage interne</t>
        </is>
      </c>
      <c r="H1076" t="inlineStr">
        <is>
          <t>PRIMARY</t>
        </is>
      </c>
      <c r="I1076" t="inlineStr">
        <is>
          <t>fr</t>
        </is>
      </c>
      <c r="J1076" t="n">
        <v>1900</v>
      </c>
      <c r="K1076" t="n">
        <v>25</v>
      </c>
      <c r="L1076" t="n">
        <v>1.76</v>
      </c>
      <c r="M1076" t="inlineStr">
        <is>
          <t>MEASURED</t>
        </is>
      </c>
      <c r="N1076" t="inlineStr">
        <is>
          <t>Partly</t>
        </is>
      </c>
      <c r="O1076" s="5" t="inlineStr">
        <is>
          <t>Work "maillage interne" (or a close natural variant) into existing copy - no new heading needed</t>
        </is>
      </c>
      <c r="P1076" s="5" t="inlineStr">
        <is>
          <t>Keyword/variant absent from this section</t>
        </is>
      </c>
      <c r="Q1076" t="inlineStr">
        <is>
          <t>P3</t>
        </is>
      </c>
      <c r="R1076" t="n">
        <v>25</v>
      </c>
      <c r="S1076" s="5" t="inlineStr">
        <is>
          <t>Analysez votre structure de liens internes pour améliorer le SEO et la navigation du site Gratuit • Aucune inscription requise Page URL * Analyser les Liens Internes</t>
        </is>
      </c>
    </row>
    <row r="1077">
      <c r="A1077" s="3" t="inlineStr">
        <is>
          <t>https://codesommet.com/tools/internal-link-analyzer</t>
        </is>
      </c>
      <c r="B1077" t="n">
        <v>2</v>
      </c>
      <c r="C1077" t="inlineStr">
        <is>
          <t>Content block</t>
        </is>
      </c>
      <c r="D1077" s="5" t="inlineStr">
        <is>
          <t>Comment Utiliser Cet Outil</t>
        </is>
      </c>
      <c r="E1077" t="inlineStr">
        <is>
          <t>H2</t>
        </is>
      </c>
      <c r="F1077" s="5" t="inlineStr">
        <is>
          <t>Informational / tool use</t>
        </is>
      </c>
      <c r="G1077" t="inlineStr">
        <is>
          <t>analyse maillage interne</t>
        </is>
      </c>
      <c r="H1077" t="inlineStr">
        <is>
          <t>SECONDARY</t>
        </is>
      </c>
      <c r="I1077" t="inlineStr">
        <is>
          <t>fr</t>
        </is>
      </c>
      <c r="J1077" t="n">
        <v>140</v>
      </c>
      <c r="K1077" t="n">
        <v>18</v>
      </c>
      <c r="L1077" t="n">
        <v>0</v>
      </c>
      <c r="M1077" t="inlineStr">
        <is>
          <t>MEASURED</t>
        </is>
      </c>
      <c r="N1077" t="inlineStr">
        <is>
          <t>Partly</t>
        </is>
      </c>
      <c r="O1077" s="5" t="inlineStr">
        <is>
          <t>Work "analyse maillage interne" (or a close natural variant) into existing copy - no new heading needed</t>
        </is>
      </c>
      <c r="P1077" s="5" t="inlineStr">
        <is>
          <t>Keyword/variant absent from this section</t>
        </is>
      </c>
      <c r="Q1077" t="inlineStr">
        <is>
          <t>P3</t>
        </is>
      </c>
      <c r="R1077" t="n">
        <v>35</v>
      </c>
      <c r="S1077" s="5" t="inlineStr">
        <is>
          <t>1 Entrez l'URL de n'importe quelle page de votre site web 2 L'outil extraira tous les liens internes et les analysera 3 Examinez les liens cassés, les problèmes nofollow et mettez en oeuvre les recommandations</t>
        </is>
      </c>
    </row>
    <row r="1078">
      <c r="A1078" s="3" t="inlineStr">
        <is>
          <t>https://codesommet.com/tools/internal-link-analyzer</t>
        </is>
      </c>
      <c r="B1078" t="n">
        <v>3</v>
      </c>
      <c r="C1078" t="inlineStr">
        <is>
          <t>FAQ</t>
        </is>
      </c>
      <c r="D1078" s="5" t="inlineStr">
        <is>
          <t>Questions Fréquemment Posées</t>
        </is>
      </c>
      <c r="E1078" t="inlineStr">
        <is>
          <t>H2</t>
        </is>
      </c>
      <c r="F1078" s="5" t="inlineStr">
        <is>
          <t>Informational (pre-purchase questions)</t>
        </is>
      </c>
      <c r="G1078" t="inlineStr">
        <is>
          <t>maillage interne</t>
        </is>
      </c>
      <c r="H1078" t="inlineStr">
        <is>
          <t>SUPPORTS PRIMARY</t>
        </is>
      </c>
      <c r="I1078" t="inlineStr">
        <is>
          <t>fr</t>
        </is>
      </c>
      <c r="J1078" t="n">
        <v>1900</v>
      </c>
      <c r="K1078" t="n">
        <v>25</v>
      </c>
      <c r="L1078" t="n">
        <v>1.76</v>
      </c>
      <c r="M1078" t="inlineStr">
        <is>
          <t>MEASURED</t>
        </is>
      </c>
      <c r="N1078" t="inlineStr">
        <is>
          <t>Yes</t>
        </is>
      </c>
      <c r="O1078" s="5" t="inlineStr">
        <is>
          <t>Covered - keep wording; no change</t>
        </is>
      </c>
      <c r="P1078" s="5" t="inlineStr"/>
      <c r="Q1078" t="inlineStr">
        <is>
          <t>P3</t>
        </is>
      </c>
      <c r="R1078" t="n">
        <v>429</v>
      </c>
      <c r="S1078" s="5" t="inlineStr">
        <is>
          <t>Questions courantes sur cet outil et comment l'utiliser efficacement 1 Pourquoi le maillage interne est-il important pour le SEO ? Le maillage interne aide les moteurs de recherche à découvrir et indexer votre contenu, t</t>
        </is>
      </c>
    </row>
    <row r="1079">
      <c r="A1079" s="3" t="inlineStr">
        <is>
          <t>https://codesommet.com/tools/internal-link-analyzer</t>
        </is>
      </c>
      <c r="B1079" t="n">
        <v>4</v>
      </c>
      <c r="C1079" t="inlineStr">
        <is>
          <t>Internal-link block</t>
        </is>
      </c>
      <c r="D1079" s="5" t="inlineStr">
        <is>
          <t>Outils Connexes Qui Pourraient Vous Intéresser</t>
        </is>
      </c>
      <c r="E1079" t="inlineStr">
        <is>
          <t>H2</t>
        </is>
      </c>
      <c r="F1079" s="5" t="inlineStr">
        <is>
          <t>Navigation</t>
        </is>
      </c>
      <c r="G1079" t="inlineStr">
        <is>
          <t>—</t>
        </is>
      </c>
      <c r="H1079" t="inlineStr">
        <is>
          <t>NONE</t>
        </is>
      </c>
      <c r="I1079" t="inlineStr">
        <is>
          <t>—</t>
        </is>
      </c>
      <c r="J1079" t="inlineStr">
        <is>
          <t>—</t>
        </is>
      </c>
      <c r="K1079" t="inlineStr">
        <is>
          <t>—</t>
        </is>
      </c>
      <c r="L1079" t="inlineStr">
        <is>
          <t>—</t>
        </is>
      </c>
      <c r="M1079" t="inlineStr">
        <is>
          <t>—</t>
        </is>
      </c>
      <c r="N1079" t="inlineStr">
        <is>
          <t>n/a</t>
        </is>
      </c>
      <c r="O1079" s="5" t="inlineStr">
        <is>
          <t>No keyword target - keep conversion/navigation focus; use descriptive, non-repeated anchor texts</t>
        </is>
      </c>
      <c r="P1079" s="5" t="inlineStr"/>
      <c r="Q1079" t="inlineStr">
        <is>
          <t>P4</t>
        </is>
      </c>
      <c r="R1079" t="n">
        <v>87</v>
      </c>
      <c r="S1079" s="5" t="inlineStr">
        <is>
          <t>Continuez à optimiser votre site web avec ces outils complémentaires Vérificateur de Liens Nofollow Analysez le HTML pour trouver les liens nofollow et les métriques de liens Essayer gratuitement seo Analyseur de Structu</t>
        </is>
      </c>
    </row>
    <row r="1080">
      <c r="A1080" s="3" t="inlineStr">
        <is>
          <t>https://codesommet.com/tools/internal-link-analyzer</t>
        </is>
      </c>
      <c r="B1080" t="n">
        <v>5</v>
      </c>
      <c r="C1080" t="inlineStr">
        <is>
          <t>CTA / conversion</t>
        </is>
      </c>
      <c r="D1080" s="5" t="inlineStr">
        <is>
          <t>Besoin d'un Outil Personnalisé pour Votre Entreprise ?</t>
        </is>
      </c>
      <c r="E1080" t="inlineStr">
        <is>
          <t>H2</t>
        </is>
      </c>
      <c r="F1080" s="5" t="inlineStr">
        <is>
          <t>Conversion</t>
        </is>
      </c>
      <c r="G1080" t="inlineStr">
        <is>
          <t>—</t>
        </is>
      </c>
      <c r="H1080" t="inlineStr">
        <is>
          <t>NONE</t>
        </is>
      </c>
      <c r="I1080" t="inlineStr">
        <is>
          <t>—</t>
        </is>
      </c>
      <c r="J1080" t="inlineStr">
        <is>
          <t>—</t>
        </is>
      </c>
      <c r="K1080" t="inlineStr">
        <is>
          <t>—</t>
        </is>
      </c>
      <c r="L1080" t="inlineStr">
        <is>
          <t>—</t>
        </is>
      </c>
      <c r="M1080" t="inlineStr">
        <is>
          <t>—</t>
        </is>
      </c>
      <c r="N1080" t="inlineStr">
        <is>
          <t>n/a</t>
        </is>
      </c>
      <c r="O1080" s="5" t="inlineStr">
        <is>
          <t>No keyword target - keep conversion/navigation focus; use descriptive, non-repeated anchor texts</t>
        </is>
      </c>
      <c r="P1080" s="5" t="inlineStr"/>
      <c r="Q1080" t="inlineStr">
        <is>
          <t>P4</t>
        </is>
      </c>
      <c r="R1080" t="n">
        <v>113</v>
      </c>
      <c r="S1080" s="5" t="inlineStr">
        <is>
          <t>Nous créons des outils alimentés par l'IA, des tableaux de bord et des automatisations qui génèrent de vrais résultats Réserver un Appel Découverte 50+ projets réussis • Livraison en 48h • Pas de contrats à long terme Si</t>
        </is>
      </c>
    </row>
    <row r="1081">
      <c r="A1081" s="3" t="inlineStr">
        <is>
          <t>https://codesommet.com/tools/invisible-character-cleaner</t>
        </is>
      </c>
      <c r="B1081" t="n">
        <v>1</v>
      </c>
      <c r="C1081" t="inlineStr">
        <is>
          <t>Hero / H1</t>
        </is>
      </c>
      <c r="D1081" s="5" t="inlineStr">
        <is>
          <t>Nettoyeur de Caractères Invisibles Gratuit</t>
        </is>
      </c>
      <c r="E1081" t="inlineStr">
        <is>
          <t>H1</t>
        </is>
      </c>
      <c r="F1081" s="5" t="inlineStr">
        <is>
          <t>Informational / tool use</t>
        </is>
      </c>
      <c r="G1081" t="inlineStr">
        <is>
          <t>caractère invisible</t>
        </is>
      </c>
      <c r="H1081" t="inlineStr">
        <is>
          <t>PRIMARY</t>
        </is>
      </c>
      <c r="I1081" t="inlineStr">
        <is>
          <t>fr</t>
        </is>
      </c>
      <c r="J1081" t="n">
        <v>6600</v>
      </c>
      <c r="K1081" t="n">
        <v>16</v>
      </c>
      <c r="L1081" t="n">
        <v>0</v>
      </c>
      <c r="M1081" t="inlineStr">
        <is>
          <t>MEASURED</t>
        </is>
      </c>
      <c r="N1081" t="inlineStr">
        <is>
          <t>Yes</t>
        </is>
      </c>
      <c r="O1081" s="5" t="inlineStr">
        <is>
          <t>Covered - keep wording; no change</t>
        </is>
      </c>
      <c r="P1081" s="5" t="inlineStr"/>
      <c r="Q1081" t="inlineStr">
        <is>
          <t>P3</t>
        </is>
      </c>
      <c r="R1081" t="n">
        <v>86</v>
      </c>
      <c r="S1081" s="5" t="inlineStr">
        <is>
          <t>Un texte copié depuis un traitement de texte, une messagerie ou un outil en ligne peut contenir des caractères invisibles qui cassent les recherches, les balises title ou la mise en page. Repérez-les et nettoyez-les. Gra</t>
        </is>
      </c>
    </row>
    <row r="1082">
      <c r="A1082" s="3" t="inlineStr">
        <is>
          <t>https://codesommet.com/tools/invisible-character-cleaner</t>
        </is>
      </c>
      <c r="B1082" t="n">
        <v>2</v>
      </c>
      <c r="C1082" t="inlineStr">
        <is>
          <t>Content block</t>
        </is>
      </c>
      <c r="D1082" s="5" t="inlineStr">
        <is>
          <t>Texte d'origine (caractères surlignés)</t>
        </is>
      </c>
      <c r="E1082" t="inlineStr">
        <is>
          <t>H2</t>
        </is>
      </c>
      <c r="F1082" s="5" t="inlineStr">
        <is>
          <t>Informational / tool use</t>
        </is>
      </c>
      <c r="G1082" t="inlineStr">
        <is>
          <t>caractère invisible</t>
        </is>
      </c>
      <c r="H1082" t="inlineStr">
        <is>
          <t>SUPPORTS PRIMARY</t>
        </is>
      </c>
      <c r="I1082" t="inlineStr">
        <is>
          <t>fr</t>
        </is>
      </c>
      <c r="J1082" t="n">
        <v>6600</v>
      </c>
      <c r="K1082" t="n">
        <v>16</v>
      </c>
      <c r="L1082" t="n">
        <v>0</v>
      </c>
      <c r="M1082" t="inlineStr">
        <is>
          <t>MEASURED</t>
        </is>
      </c>
      <c r="N1082" t="inlineStr">
        <is>
          <t>Yes (supporting block)</t>
        </is>
      </c>
      <c r="O1082" s="5" t="inlineStr">
        <is>
          <t>Supports the primary topic - add only if natural</t>
        </is>
      </c>
      <c r="P1082" s="5" t="inlineStr"/>
      <c r="Q1082" t="inlineStr">
        <is>
          <t>P3</t>
        </is>
      </c>
      <c r="R1082" t="n">
        <v>2</v>
      </c>
      <c r="S1082" s="5" t="inlineStr">
        <is>
          <t>Texte nettoyé</t>
        </is>
      </c>
    </row>
    <row r="1083">
      <c r="A1083" s="3" t="inlineStr">
        <is>
          <t>https://codesommet.com/tools/invisible-character-cleaner</t>
        </is>
      </c>
      <c r="B1083" t="n">
        <v>3</v>
      </c>
      <c r="C1083" t="inlineStr">
        <is>
          <t>Content block</t>
        </is>
      </c>
      <c r="D1083" s="5" t="inlineStr">
        <is>
          <t>Caractères trouvés</t>
        </is>
      </c>
      <c r="E1083" t="inlineStr">
        <is>
          <t>H2</t>
        </is>
      </c>
      <c r="F1083" s="5" t="inlineStr">
        <is>
          <t>Informational / tool use</t>
        </is>
      </c>
      <c r="G1083" t="inlineStr">
        <is>
          <t>caractère invisible</t>
        </is>
      </c>
      <c r="H1083" t="inlineStr">
        <is>
          <t>SUPPORTS PRIMARY</t>
        </is>
      </c>
      <c r="I1083" t="inlineStr">
        <is>
          <t>fr</t>
        </is>
      </c>
      <c r="J1083" t="n">
        <v>6600</v>
      </c>
      <c r="K1083" t="n">
        <v>16</v>
      </c>
      <c r="L1083" t="n">
        <v>0</v>
      </c>
      <c r="M1083" t="inlineStr">
        <is>
          <t>MEASURED</t>
        </is>
      </c>
      <c r="N1083" t="inlineStr">
        <is>
          <t>Yes (supporting block)</t>
        </is>
      </c>
      <c r="O1083" s="5" t="inlineStr">
        <is>
          <t>Supports the primary topic - add only if natural</t>
        </is>
      </c>
      <c r="P1083" s="5" t="inlineStr"/>
      <c r="Q1083" t="inlineStr">
        <is>
          <t>P3</t>
        </is>
      </c>
      <c r="R1083" t="n">
        <v>7</v>
      </c>
      <c r="S1083" s="5" t="inlineStr">
        <is>
          <t>Copier le résumé Télécharger CSV Télécharger JSON</t>
        </is>
      </c>
    </row>
    <row r="1084">
      <c r="A1084" s="3" t="inlineStr">
        <is>
          <t>https://codesommet.com/tools/invisible-character-cleaner</t>
        </is>
      </c>
      <c r="B1084" t="n">
        <v>4</v>
      </c>
      <c r="C1084" t="inlineStr">
        <is>
          <t>Content block</t>
        </is>
      </c>
      <c r="D1084" s="5" t="inlineStr">
        <is>
          <t>Comment Utiliser Cet Outil</t>
        </is>
      </c>
      <c r="E1084" t="inlineStr">
        <is>
          <t>H2</t>
        </is>
      </c>
      <c r="F1084" s="5" t="inlineStr">
        <is>
          <t>Informational / tool use</t>
        </is>
      </c>
      <c r="G1084" t="inlineStr">
        <is>
          <t>caractère invisible</t>
        </is>
      </c>
      <c r="H1084" t="inlineStr">
        <is>
          <t>SUPPORTS PRIMARY</t>
        </is>
      </c>
      <c r="I1084" t="inlineStr">
        <is>
          <t>fr</t>
        </is>
      </c>
      <c r="J1084" t="n">
        <v>6600</v>
      </c>
      <c r="K1084" t="n">
        <v>16</v>
      </c>
      <c r="L1084" t="n">
        <v>0</v>
      </c>
      <c r="M1084" t="inlineStr">
        <is>
          <t>MEASURED</t>
        </is>
      </c>
      <c r="N1084" t="inlineStr">
        <is>
          <t>Yes (supporting block)</t>
        </is>
      </c>
      <c r="O1084" s="5" t="inlineStr">
        <is>
          <t>Supports the primary topic - add only if natural</t>
        </is>
      </c>
      <c r="P1084" s="5" t="inlineStr"/>
      <c r="Q1084" t="inlineStr">
        <is>
          <t>P3</t>
        </is>
      </c>
      <c r="R1084" t="n">
        <v>32</v>
      </c>
      <c r="S1084" s="5" t="inlineStr">
        <is>
          <t>1 Collez votre texte : titres, méta descriptions, articles, listes. 2 Choisissez les normalisations facultatives (espaces, guillemets, points de suspension). 3 Consultez le rapport par type de caractère, puis copiez le t</t>
        </is>
      </c>
    </row>
    <row r="1085">
      <c r="A1085" s="3" t="inlineStr">
        <is>
          <t>https://codesommet.com/tools/invisible-character-cleaner</t>
        </is>
      </c>
      <c r="B1085" t="n">
        <v>5</v>
      </c>
      <c r="C1085" t="inlineStr">
        <is>
          <t>FAQ</t>
        </is>
      </c>
      <c r="D1085" s="5" t="inlineStr">
        <is>
          <t>Questions Fréquemment Posées</t>
        </is>
      </c>
      <c r="E1085" t="inlineStr">
        <is>
          <t>H2</t>
        </is>
      </c>
      <c r="F1085" s="5" t="inlineStr">
        <is>
          <t>Informational (pre-purchase questions)</t>
        </is>
      </c>
      <c r="G1085" t="inlineStr">
        <is>
          <t>caractère invisible</t>
        </is>
      </c>
      <c r="H1085" t="inlineStr">
        <is>
          <t>SUPPORTS PRIMARY</t>
        </is>
      </c>
      <c r="I1085" t="inlineStr">
        <is>
          <t>fr</t>
        </is>
      </c>
      <c r="J1085" t="n">
        <v>6600</v>
      </c>
      <c r="K1085" t="n">
        <v>16</v>
      </c>
      <c r="L1085" t="n">
        <v>0</v>
      </c>
      <c r="M1085" t="inlineStr">
        <is>
          <t>MEASURED</t>
        </is>
      </c>
      <c r="N1085" t="inlineStr">
        <is>
          <t>Yes</t>
        </is>
      </c>
      <c r="O1085" s="5" t="inlineStr">
        <is>
          <t>Covered - keep wording; no change</t>
        </is>
      </c>
      <c r="P1085" s="5" t="inlineStr"/>
      <c r="Q1085" t="inlineStr">
        <is>
          <t>P3</t>
        </is>
      </c>
      <c r="R1085" t="n">
        <v>184</v>
      </c>
      <c r="S1085" s="5" t="inlineStr">
        <is>
          <t>Comprendre les caractères invisibles 1 Quels caractères sont toujours supprimés ? Les espaces de largeur nulle (U+200B à U+200D, U+2060, U+FEFF), les marques et contrôles de direction (U+200E, U+200F, U+202A à U+202E, U+</t>
        </is>
      </c>
    </row>
    <row r="1086">
      <c r="A1086" s="3" t="inlineStr">
        <is>
          <t>https://codesommet.com/tools/invisible-character-cleaner</t>
        </is>
      </c>
      <c r="B1086" t="n">
        <v>6</v>
      </c>
      <c r="C1086" t="inlineStr">
        <is>
          <t>Internal-link block</t>
        </is>
      </c>
      <c r="D1086" s="5" t="inlineStr">
        <is>
          <t>Outils Connexes Qui Pourraient Vous Intéresser</t>
        </is>
      </c>
      <c r="E1086" t="inlineStr">
        <is>
          <t>H2</t>
        </is>
      </c>
      <c r="F1086" s="5" t="inlineStr">
        <is>
          <t>Navigation</t>
        </is>
      </c>
      <c r="G1086" t="inlineStr">
        <is>
          <t>—</t>
        </is>
      </c>
      <c r="H1086" t="inlineStr">
        <is>
          <t>NONE</t>
        </is>
      </c>
      <c r="I1086" t="inlineStr">
        <is>
          <t>—</t>
        </is>
      </c>
      <c r="J1086" t="inlineStr">
        <is>
          <t>—</t>
        </is>
      </c>
      <c r="K1086" t="inlineStr">
        <is>
          <t>—</t>
        </is>
      </c>
      <c r="L1086" t="inlineStr">
        <is>
          <t>—</t>
        </is>
      </c>
      <c r="M1086" t="inlineStr">
        <is>
          <t>—</t>
        </is>
      </c>
      <c r="N1086" t="inlineStr">
        <is>
          <t>n/a</t>
        </is>
      </c>
      <c r="O1086" s="5" t="inlineStr">
        <is>
          <t>No keyword target - keep conversion/navigation focus; use descriptive, non-repeated anchor texts</t>
        </is>
      </c>
      <c r="P1086" s="5" t="inlineStr"/>
      <c r="Q1086" t="inlineStr">
        <is>
          <t>P4</t>
        </is>
      </c>
      <c r="R1086" t="n">
        <v>53</v>
      </c>
      <c r="S1086" s="5" t="inlineStr">
        <is>
          <t>Continuez à optimiser votre site web avec ces outils complémentaires Compteur de Mots Mots, caractères et temps de lecture Essayer gratuitement seo Éditeur de Texte Ligne par Ligne Dédoublonnez, triez et filtrez vos list</t>
        </is>
      </c>
    </row>
    <row r="1087">
      <c r="A1087" s="3" t="inlineStr">
        <is>
          <t>https://codesommet.com/tools/invisible-character-cleaner</t>
        </is>
      </c>
      <c r="B1087" t="n">
        <v>7</v>
      </c>
      <c r="C1087" t="inlineStr">
        <is>
          <t>Content block</t>
        </is>
      </c>
      <c r="D1087" s="5" t="inlineStr">
        <is>
          <t>Des Contenus à Fiabiliser à Grande Échelle ?</t>
        </is>
      </c>
      <c r="E1087" t="inlineStr">
        <is>
          <t>H2</t>
        </is>
      </c>
      <c r="F1087" s="5" t="inlineStr">
        <is>
          <t>Informational / tool use</t>
        </is>
      </c>
      <c r="G1087" t="inlineStr">
        <is>
          <t>caractère invisible</t>
        </is>
      </c>
      <c r="H1087" t="inlineStr">
        <is>
          <t>SUPPORTS PRIMARY</t>
        </is>
      </c>
      <c r="I1087" t="inlineStr">
        <is>
          <t>fr</t>
        </is>
      </c>
      <c r="J1087" t="n">
        <v>6600</v>
      </c>
      <c r="K1087" t="n">
        <v>16</v>
      </c>
      <c r="L1087" t="n">
        <v>0</v>
      </c>
      <c r="M1087" t="inlineStr">
        <is>
          <t>MEASURED</t>
        </is>
      </c>
      <c r="N1087" t="inlineStr">
        <is>
          <t>Yes (supporting block)</t>
        </is>
      </c>
      <c r="O1087" s="5" t="inlineStr">
        <is>
          <t>Supports the primary topic - add only if natural</t>
        </is>
      </c>
      <c r="P1087" s="5" t="inlineStr"/>
      <c r="Q1087" t="inlineStr">
        <is>
          <t>P3</t>
        </is>
      </c>
      <c r="R1087" t="n">
        <v>108</v>
      </c>
      <c r="S1087" s="5" t="inlineStr">
        <is>
          <t>Nous mettons en place des chaînes de publication propres, du rédactionnel jusqu'aux balises SEO Réserver un Appel Découverte 50+ projets réussis • Livraison en 48h • Pas de contrats à long terme Sites web Chatbots IA CRM</t>
        </is>
      </c>
    </row>
    <row r="1088">
      <c r="A1088" s="3" t="inlineStr">
        <is>
          <t>https://codesommet.com/tools/json-formatter</t>
        </is>
      </c>
      <c r="B1088" t="n">
        <v>1</v>
      </c>
      <c r="C1088" t="inlineStr">
        <is>
          <t>Hero / H1</t>
        </is>
      </c>
      <c r="D1088" s="5" t="inlineStr">
        <is>
          <t>Formateur et Validateur JSON Gratuit</t>
        </is>
      </c>
      <c r="E1088" t="inlineStr">
        <is>
          <t>H1</t>
        </is>
      </c>
      <c r="F1088" s="5" t="inlineStr">
        <is>
          <t>Informational / tool use</t>
        </is>
      </c>
      <c r="G1088" t="inlineStr">
        <is>
          <t>json formatter</t>
        </is>
      </c>
      <c r="H1088" t="inlineStr">
        <is>
          <t>PRIMARY</t>
        </is>
      </c>
      <c r="I1088" t="inlineStr">
        <is>
          <t>fr</t>
        </is>
      </c>
      <c r="J1088" t="n">
        <v>12100</v>
      </c>
      <c r="K1088" t="n">
        <v>74</v>
      </c>
      <c r="L1088" t="n">
        <v>3.91</v>
      </c>
      <c r="M1088" t="inlineStr">
        <is>
          <t>MEASURED</t>
        </is>
      </c>
      <c r="N1088" t="inlineStr">
        <is>
          <t>Partly</t>
        </is>
      </c>
      <c r="O1088" s="5" t="inlineStr">
        <is>
          <t>Work "json formatter" (or a close natural variant) into existing copy - no new heading needed</t>
        </is>
      </c>
      <c r="P1088" s="5" t="inlineStr">
        <is>
          <t>Keyword/variant absent from this section</t>
        </is>
      </c>
      <c r="Q1088" t="inlineStr">
        <is>
          <t>P3</t>
        </is>
      </c>
      <c r="R1088" t="n">
        <v>35</v>
      </c>
      <c r="S1088" s="5" t="inlineStr">
        <is>
          <t>Formatez, validez et minifiez le JSON avec coloration syntaxique et statistiques détaillées Gratuit • Aucune inscription requise Formater Minifier Valider Taille d'Indentation : 2 espaces 4 espaces Entrez le JSON à Forma</t>
        </is>
      </c>
    </row>
    <row r="1089">
      <c r="A1089" s="3" t="inlineStr">
        <is>
          <t>https://codesommet.com/tools/json-formatter</t>
        </is>
      </c>
      <c r="B1089" t="n">
        <v>2</v>
      </c>
      <c r="C1089" t="inlineStr">
        <is>
          <t>Content block</t>
        </is>
      </c>
      <c r="D1089" s="5" t="inlineStr">
        <is>
          <t>Comment Utiliser le Formateur JSON</t>
        </is>
      </c>
      <c r="E1089" t="inlineStr">
        <is>
          <t>H2</t>
        </is>
      </c>
      <c r="F1089" s="5" t="inlineStr">
        <is>
          <t>Informational / tool use</t>
        </is>
      </c>
      <c r="G1089" t="inlineStr">
        <is>
          <t>json viewer</t>
        </is>
      </c>
      <c r="H1089" t="inlineStr">
        <is>
          <t>SECONDARY</t>
        </is>
      </c>
      <c r="I1089" t="inlineStr">
        <is>
          <t>fr</t>
        </is>
      </c>
      <c r="J1089" t="n">
        <v>3600</v>
      </c>
      <c r="K1089" t="n">
        <v>83</v>
      </c>
      <c r="L1089" t="n">
        <v>4.01</v>
      </c>
      <c r="M1089" t="inlineStr">
        <is>
          <t>MEASURED</t>
        </is>
      </c>
      <c r="N1089" t="inlineStr">
        <is>
          <t>Partly</t>
        </is>
      </c>
      <c r="O1089" s="5" t="inlineStr">
        <is>
          <t>Work "json viewer" (or a close natural variant) into existing copy - no new heading needed</t>
        </is>
      </c>
      <c r="P1089" s="5" t="inlineStr">
        <is>
          <t>Keyword/variant absent from this section</t>
        </is>
      </c>
      <c r="Q1089" t="inlineStr">
        <is>
          <t>P3</t>
        </is>
      </c>
      <c r="R1089" t="n">
        <v>124</v>
      </c>
      <c r="S1089" s="5" t="inlineStr">
        <is>
          <t xml:space="preserve">Un outil JSON puissant avec trois modes pour vous aider à travailler efficacement avec les données JSON : Formater : Convertissez le JSON désordonné en format propre et lisible avec une indentation appropriée Minifier : </t>
        </is>
      </c>
    </row>
    <row r="1090">
      <c r="A1090" s="3" t="inlineStr">
        <is>
          <t>https://codesommet.com/tools/json-formatter</t>
        </is>
      </c>
      <c r="B1090" t="n">
        <v>3</v>
      </c>
      <c r="C1090" t="inlineStr">
        <is>
          <t>FAQ</t>
        </is>
      </c>
      <c r="D1090" s="5" t="inlineStr">
        <is>
          <t>Questions Fréquemment Posées</t>
        </is>
      </c>
      <c r="E1090" t="inlineStr">
        <is>
          <t>H2</t>
        </is>
      </c>
      <c r="F1090" s="5" t="inlineStr">
        <is>
          <t>Informational (pre-purchase questions)</t>
        </is>
      </c>
      <c r="G1090" t="inlineStr">
        <is>
          <t>json formatter</t>
        </is>
      </c>
      <c r="H1090" t="inlineStr">
        <is>
          <t>SUPPORTS PRIMARY</t>
        </is>
      </c>
      <c r="I1090" t="inlineStr">
        <is>
          <t>fr</t>
        </is>
      </c>
      <c r="J1090" t="n">
        <v>12100</v>
      </c>
      <c r="K1090" t="n">
        <v>74</v>
      </c>
      <c r="L1090" t="n">
        <v>3.91</v>
      </c>
      <c r="M1090" t="inlineStr">
        <is>
          <t>MEASURED</t>
        </is>
      </c>
      <c r="N1090" t="inlineStr">
        <is>
          <t>Yes (supporting block)</t>
        </is>
      </c>
      <c r="O1090" s="5" t="inlineStr">
        <is>
          <t>Supports the primary topic - add only if natural</t>
        </is>
      </c>
      <c r="P1090" s="5" t="inlineStr"/>
      <c r="Q1090" t="inlineStr">
        <is>
          <t>P3</t>
        </is>
      </c>
      <c r="R1090" t="n">
        <v>483</v>
      </c>
      <c r="S1090" s="5" t="inlineStr">
        <is>
          <t>Questions courantes sur cet outil et comment l'utiliser efficacement 1 Qu'est-ce que le JSON et pourquoi est-ce important ? JSON (JavaScript Object Notation) est un format de données léger utilisé pour échanger des donné</t>
        </is>
      </c>
    </row>
    <row r="1091">
      <c r="A1091" s="3" t="inlineStr">
        <is>
          <t>https://codesommet.com/tools/json-formatter</t>
        </is>
      </c>
      <c r="B1091" t="n">
        <v>4</v>
      </c>
      <c r="C1091" t="inlineStr">
        <is>
          <t>Internal-link block</t>
        </is>
      </c>
      <c r="D1091" s="5" t="inlineStr">
        <is>
          <t>Outils Connexes Qui Pourraient Vous Intéresser</t>
        </is>
      </c>
      <c r="E1091" t="inlineStr">
        <is>
          <t>H2</t>
        </is>
      </c>
      <c r="F1091" s="5" t="inlineStr">
        <is>
          <t>Navigation</t>
        </is>
      </c>
      <c r="G1091" t="inlineStr">
        <is>
          <t>—</t>
        </is>
      </c>
      <c r="H1091" t="inlineStr">
        <is>
          <t>NONE</t>
        </is>
      </c>
      <c r="I1091" t="inlineStr">
        <is>
          <t>—</t>
        </is>
      </c>
      <c r="J1091" t="inlineStr">
        <is>
          <t>—</t>
        </is>
      </c>
      <c r="K1091" t="inlineStr">
        <is>
          <t>—</t>
        </is>
      </c>
      <c r="L1091" t="inlineStr">
        <is>
          <t>—</t>
        </is>
      </c>
      <c r="M1091" t="inlineStr">
        <is>
          <t>—</t>
        </is>
      </c>
      <c r="N1091" t="inlineStr">
        <is>
          <t>n/a</t>
        </is>
      </c>
      <c r="O1091" s="5" t="inlineStr">
        <is>
          <t>No keyword target - keep conversion/navigation focus; use descriptive, non-repeated anchor texts</t>
        </is>
      </c>
      <c r="P1091" s="5" t="inlineStr"/>
      <c r="Q1091" t="inlineStr">
        <is>
          <t>P4</t>
        </is>
      </c>
      <c r="R1091" t="n">
        <v>63</v>
      </c>
      <c r="S1091" s="5" t="inlineStr">
        <is>
          <t>Continuez à optimiser votre site web avec ces outils complémentaires Générateur de Schema FAQ Convertissez les FAQ en schéma JSON-LD compatible Google Essayer gratuitement content Encodeur/Décodeur Base64 Encodez du text</t>
        </is>
      </c>
    </row>
    <row r="1092">
      <c r="A1092" s="3" t="inlineStr">
        <is>
          <t>https://codesommet.com/tools/json-formatter</t>
        </is>
      </c>
      <c r="B1092" t="n">
        <v>5</v>
      </c>
      <c r="C1092" t="inlineStr">
        <is>
          <t>CTA / conversion</t>
        </is>
      </c>
      <c r="D1092" s="5" t="inlineStr">
        <is>
          <t>Besoin d'un Outil Personnalisé pour Votre Entreprise ?</t>
        </is>
      </c>
      <c r="E1092" t="inlineStr">
        <is>
          <t>H2</t>
        </is>
      </c>
      <c r="F1092" s="5" t="inlineStr">
        <is>
          <t>Conversion</t>
        </is>
      </c>
      <c r="G1092" t="inlineStr">
        <is>
          <t>—</t>
        </is>
      </c>
      <c r="H1092" t="inlineStr">
        <is>
          <t>NONE</t>
        </is>
      </c>
      <c r="I1092" t="inlineStr">
        <is>
          <t>—</t>
        </is>
      </c>
      <c r="J1092" t="inlineStr">
        <is>
          <t>—</t>
        </is>
      </c>
      <c r="K1092" t="inlineStr">
        <is>
          <t>—</t>
        </is>
      </c>
      <c r="L1092" t="inlineStr">
        <is>
          <t>—</t>
        </is>
      </c>
      <c r="M1092" t="inlineStr">
        <is>
          <t>—</t>
        </is>
      </c>
      <c r="N1092" t="inlineStr">
        <is>
          <t>n/a</t>
        </is>
      </c>
      <c r="O1092" s="5" t="inlineStr">
        <is>
          <t>No keyword target - keep conversion/navigation focus; use descriptive, non-repeated anchor texts</t>
        </is>
      </c>
      <c r="P1092" s="5" t="inlineStr"/>
      <c r="Q1092" t="inlineStr">
        <is>
          <t>P4</t>
        </is>
      </c>
      <c r="R1092" t="n">
        <v>113</v>
      </c>
      <c r="S1092" s="5" t="inlineStr">
        <is>
          <t>Nous créons des outils alimentés par l'IA, des tableaux de bord et des automatisations qui génèrent de vrais résultats Réserver un Appel Découverte 50+ projets réussis • Livraison en 48h • Pas de contrats à long terme Si</t>
        </is>
      </c>
    </row>
    <row r="1093">
      <c r="A1093" s="3" t="inlineStr">
        <is>
          <t>https://codesommet.com/tools/keyword-density-analyzer</t>
        </is>
      </c>
      <c r="B1093" t="n">
        <v>1</v>
      </c>
      <c r="C1093" t="inlineStr">
        <is>
          <t>Hero / H1</t>
        </is>
      </c>
      <c r="D1093" s="5" t="inlineStr">
        <is>
          <t>Analyseur de Densité de Mots-Clés Gratuit</t>
        </is>
      </c>
      <c r="E1093" t="inlineStr">
        <is>
          <t>H1</t>
        </is>
      </c>
      <c r="F1093" s="5" t="inlineStr">
        <is>
          <t>Informational / tool use</t>
        </is>
      </c>
      <c r="G1093" t="inlineStr">
        <is>
          <t>densité mot clé</t>
        </is>
      </c>
      <c r="H1093" t="inlineStr">
        <is>
          <t>PRIMARY</t>
        </is>
      </c>
      <c r="I1093" t="inlineStr">
        <is>
          <t>fr</t>
        </is>
      </c>
      <c r="J1093" t="n">
        <v>170</v>
      </c>
      <c r="K1093" t="n">
        <v>21</v>
      </c>
      <c r="L1093" t="n">
        <v>0</v>
      </c>
      <c r="M1093" t="inlineStr">
        <is>
          <t>MEASURED</t>
        </is>
      </c>
      <c r="N1093" t="inlineStr">
        <is>
          <t>Yes</t>
        </is>
      </c>
      <c r="O1093" s="5" t="inlineStr">
        <is>
          <t>Covered - keep wording; no change</t>
        </is>
      </c>
      <c r="P1093" s="5" t="inlineStr"/>
      <c r="Q1093" t="inlineStr">
        <is>
          <t>P3</t>
        </is>
      </c>
      <c r="R1093" t="n">
        <v>49</v>
      </c>
      <c r="S1093" s="5" t="inlineStr">
        <is>
          <t>Analysez l'utilisation et la densité des mots-clés sur n'importe quelle page web. Trouvez les mots-clés principaux, vérifiez le bourrage de mots-clés et optimisez votre contenu pour le SEO. Gratuit • Aucune inscription r</t>
        </is>
      </c>
    </row>
    <row r="1094">
      <c r="A1094" s="3" t="inlineStr">
        <is>
          <t>https://codesommet.com/tools/keyword-density-analyzer</t>
        </is>
      </c>
      <c r="B1094" t="n">
        <v>2</v>
      </c>
      <c r="C1094" t="inlineStr">
        <is>
          <t>FAQ</t>
        </is>
      </c>
      <c r="D1094" s="5" t="inlineStr">
        <is>
          <t>Questions Fréquemment Posées</t>
        </is>
      </c>
      <c r="E1094" t="inlineStr">
        <is>
          <t>H2</t>
        </is>
      </c>
      <c r="F1094" s="5" t="inlineStr">
        <is>
          <t>Informational (pre-purchase questions)</t>
        </is>
      </c>
      <c r="G1094" t="inlineStr">
        <is>
          <t>densité mot clé</t>
        </is>
      </c>
      <c r="H1094" t="inlineStr">
        <is>
          <t>SUPPORTS PRIMARY</t>
        </is>
      </c>
      <c r="I1094" t="inlineStr">
        <is>
          <t>fr</t>
        </is>
      </c>
      <c r="J1094" t="n">
        <v>170</v>
      </c>
      <c r="K1094" t="n">
        <v>21</v>
      </c>
      <c r="L1094" t="n">
        <v>0</v>
      </c>
      <c r="M1094" t="inlineStr">
        <is>
          <t>MEASURED</t>
        </is>
      </c>
      <c r="N1094" t="inlineStr">
        <is>
          <t>Yes</t>
        </is>
      </c>
      <c r="O1094" s="5" t="inlineStr">
        <is>
          <t>Covered - keep wording; no change</t>
        </is>
      </c>
      <c r="P1094" s="5" t="inlineStr"/>
      <c r="Q1094" t="inlineStr">
        <is>
          <t>P3</t>
        </is>
      </c>
      <c r="R1094" t="n">
        <v>453</v>
      </c>
      <c r="S1094" s="5" t="inlineStr">
        <is>
          <t>Questions courantes sur cet outil et comment l'utiliser efficacement 1 Quelle est la densité de mots-clés idéale pour le SEO ? La densité de mots-clés idéale est généralement de 1 à 2 % pour votre mot-clé principal et de</t>
        </is>
      </c>
    </row>
    <row r="1095">
      <c r="A1095" s="3" t="inlineStr">
        <is>
          <t>https://codesommet.com/tools/keyword-density-analyzer</t>
        </is>
      </c>
      <c r="B1095" t="n">
        <v>3</v>
      </c>
      <c r="C1095" t="inlineStr">
        <is>
          <t>Internal-link block</t>
        </is>
      </c>
      <c r="D1095" s="5" t="inlineStr">
        <is>
          <t>Outils Connexes Qui Pourraient Vous Intéresser</t>
        </is>
      </c>
      <c r="E1095" t="inlineStr">
        <is>
          <t>H2</t>
        </is>
      </c>
      <c r="F1095" s="5" t="inlineStr">
        <is>
          <t>Navigation</t>
        </is>
      </c>
      <c r="G1095" t="inlineStr">
        <is>
          <t>—</t>
        </is>
      </c>
      <c r="H1095" t="inlineStr">
        <is>
          <t>NONE</t>
        </is>
      </c>
      <c r="I1095" t="inlineStr">
        <is>
          <t>—</t>
        </is>
      </c>
      <c r="J1095" t="inlineStr">
        <is>
          <t>—</t>
        </is>
      </c>
      <c r="K1095" t="inlineStr">
        <is>
          <t>—</t>
        </is>
      </c>
      <c r="L1095" t="inlineStr">
        <is>
          <t>—</t>
        </is>
      </c>
      <c r="M1095" t="inlineStr">
        <is>
          <t>—</t>
        </is>
      </c>
      <c r="N1095" t="inlineStr">
        <is>
          <t>n/a</t>
        </is>
      </c>
      <c r="O1095" s="5" t="inlineStr">
        <is>
          <t>No keyword target - keep conversion/navigation focus; use descriptive, non-repeated anchor texts</t>
        </is>
      </c>
      <c r="P1095" s="5" t="inlineStr"/>
      <c r="Q1095" t="inlineStr">
        <is>
          <t>P4</t>
        </is>
      </c>
      <c r="R1095" t="n">
        <v>72</v>
      </c>
      <c r="S1095" s="5" t="inlineStr">
        <is>
          <t>Continuez à optimiser votre site web avec ces outils complémentaires Générateur de Slug URL Générez des slugs URL optimisés pour le SEO avec les meilleures pratiques Essayer gratuitement seo Analyseur de Liens Internes A</t>
        </is>
      </c>
    </row>
    <row r="1096">
      <c r="A1096" s="3" t="inlineStr">
        <is>
          <t>https://codesommet.com/tools/keyword-density-analyzer</t>
        </is>
      </c>
      <c r="B1096" t="n">
        <v>4</v>
      </c>
      <c r="C1096" t="inlineStr">
        <is>
          <t>CTA / conversion</t>
        </is>
      </c>
      <c r="D1096" s="5" t="inlineStr">
        <is>
          <t>Besoin d'un Outil Personnalisé pour Votre Entreprise ?</t>
        </is>
      </c>
      <c r="E1096" t="inlineStr">
        <is>
          <t>H2</t>
        </is>
      </c>
      <c r="F1096" s="5" t="inlineStr">
        <is>
          <t>Conversion</t>
        </is>
      </c>
      <c r="G1096" t="inlineStr">
        <is>
          <t>—</t>
        </is>
      </c>
      <c r="H1096" t="inlineStr">
        <is>
          <t>NONE</t>
        </is>
      </c>
      <c r="I1096" t="inlineStr">
        <is>
          <t>—</t>
        </is>
      </c>
      <c r="J1096" t="inlineStr">
        <is>
          <t>—</t>
        </is>
      </c>
      <c r="K1096" t="inlineStr">
        <is>
          <t>—</t>
        </is>
      </c>
      <c r="L1096" t="inlineStr">
        <is>
          <t>—</t>
        </is>
      </c>
      <c r="M1096" t="inlineStr">
        <is>
          <t>—</t>
        </is>
      </c>
      <c r="N1096" t="inlineStr">
        <is>
          <t>n/a</t>
        </is>
      </c>
      <c r="O1096" s="5" t="inlineStr">
        <is>
          <t>No keyword target - keep conversion/navigation focus; use descriptive, non-repeated anchor texts</t>
        </is>
      </c>
      <c r="P1096" s="5" t="inlineStr"/>
      <c r="Q1096" t="inlineStr">
        <is>
          <t>P4</t>
        </is>
      </c>
      <c r="R1096" t="n">
        <v>113</v>
      </c>
      <c r="S1096" s="5" t="inlineStr">
        <is>
          <t>Nous créons des outils alimentés par l'IA, des tableaux de bord et des automatisations qui génèrent de vrais résultats Réserver un Appel Découverte 50+ projets réussis • Livraison en 48h • Pas de contrats à long terme Si</t>
        </is>
      </c>
    </row>
    <row r="1097">
      <c r="A1097" s="3" t="inlineStr">
        <is>
          <t>https://codesommet.com/tools/keyword-modifier-generator</t>
        </is>
      </c>
      <c r="B1097" t="n">
        <v>1</v>
      </c>
      <c r="C1097" t="inlineStr">
        <is>
          <t>Hero / H1</t>
        </is>
      </c>
      <c r="D1097" s="5" t="inlineStr">
        <is>
          <t>Générateur de Variantes de Mots-Clés</t>
        </is>
      </c>
      <c r="E1097" t="inlineStr">
        <is>
          <t>H1</t>
        </is>
      </c>
      <c r="F1097" s="5" t="inlineStr">
        <is>
          <t>Informational / tool use</t>
        </is>
      </c>
      <c r="G1097" t="inlineStr">
        <is>
          <t>générateur de mots clés</t>
        </is>
      </c>
      <c r="H1097" t="inlineStr">
        <is>
          <t>PRIMARY</t>
        </is>
      </c>
      <c r="I1097" t="inlineStr">
        <is>
          <t>fr</t>
        </is>
      </c>
      <c r="J1097" t="n">
        <v>590</v>
      </c>
      <c r="K1097" t="n">
        <v>38</v>
      </c>
      <c r="L1097" t="n">
        <v>1.84</v>
      </c>
      <c r="M1097" t="inlineStr">
        <is>
          <t>MEASURED</t>
        </is>
      </c>
      <c r="N1097" t="inlineStr">
        <is>
          <t>Yes</t>
        </is>
      </c>
      <c r="O1097" s="5" t="inlineStr">
        <is>
          <t>Covered - keep wording; no change</t>
        </is>
      </c>
      <c r="P1097" s="5" t="inlineStr"/>
      <c r="Q1097" t="inlineStr">
        <is>
          <t>P3</t>
        </is>
      </c>
      <c r="R1097" t="n">
        <v>113</v>
      </c>
      <c r="S1097" s="5" t="inlineStr">
        <is>
          <t>Partez d'un mot-clé et obtenez ses déclinaisons par intention : questions, comparaisons, achat, prix, local. Ce sont des idées à valider, pas des données de volume. Gratuit • Aucune inscription requise Mot(s)-clé(s) de d</t>
        </is>
      </c>
    </row>
    <row r="1098">
      <c r="A1098" s="3" t="inlineStr">
        <is>
          <t>https://codesommet.com/tools/keyword-modifier-generator</t>
        </is>
      </c>
      <c r="B1098" t="n">
        <v>2</v>
      </c>
      <c r="C1098" t="inlineStr">
        <is>
          <t>Content block</t>
        </is>
      </c>
      <c r="D1098" s="5" t="inlineStr">
        <is>
          <t>Comment Utiliser Cet Outil</t>
        </is>
      </c>
      <c r="E1098" t="inlineStr">
        <is>
          <t>H2</t>
        </is>
      </c>
      <c r="F1098" s="5" t="inlineStr">
        <is>
          <t>Informational / tool use</t>
        </is>
      </c>
      <c r="G1098" t="inlineStr">
        <is>
          <t>trouver mots clés</t>
        </is>
      </c>
      <c r="H1098" t="inlineStr">
        <is>
          <t>SECONDARY</t>
        </is>
      </c>
      <c r="I1098" t="inlineStr">
        <is>
          <t>fr</t>
        </is>
      </c>
      <c r="J1098" t="n">
        <v>260</v>
      </c>
      <c r="K1098" t="n">
        <v>49</v>
      </c>
      <c r="L1098" t="n">
        <v>2.19</v>
      </c>
      <c r="M1098" t="inlineStr">
        <is>
          <t>MEASURED</t>
        </is>
      </c>
      <c r="N1098" t="inlineStr">
        <is>
          <t>Partly</t>
        </is>
      </c>
      <c r="O1098" s="5" t="inlineStr">
        <is>
          <t>Work "trouver mots clés" (or a close natural variant) into existing copy - no new heading needed</t>
        </is>
      </c>
      <c r="P1098" s="5" t="inlineStr">
        <is>
          <t>Keyword/variant absent from this section</t>
        </is>
      </c>
      <c r="Q1098" t="inlineStr">
        <is>
          <t>P3</t>
        </is>
      </c>
      <c r="R1098" t="n">
        <v>41</v>
      </c>
      <c r="S1098" s="5" t="inlineStr">
        <is>
          <t>1 Saisissez un ou plusieurs mots-clés de départ et la langue. 2 Ajoutez éventuellement des villes ou régions pour les variantes locales. 3 Parcourez les variantes par intention, puis vérifiez les plus prometteuses dans u</t>
        </is>
      </c>
    </row>
    <row r="1099">
      <c r="A1099" s="3" t="inlineStr">
        <is>
          <t>https://codesommet.com/tools/keyword-modifier-generator</t>
        </is>
      </c>
      <c r="B1099" t="n">
        <v>3</v>
      </c>
      <c r="C1099" t="inlineStr">
        <is>
          <t>FAQ</t>
        </is>
      </c>
      <c r="D1099" s="5" t="inlineStr">
        <is>
          <t>Questions Fréquemment Posées</t>
        </is>
      </c>
      <c r="E1099" t="inlineStr">
        <is>
          <t>H2</t>
        </is>
      </c>
      <c r="F1099" s="5" t="inlineStr">
        <is>
          <t>Informational (pre-purchase questions)</t>
        </is>
      </c>
      <c r="G1099" t="inlineStr">
        <is>
          <t>générateur de mots clés</t>
        </is>
      </c>
      <c r="H1099" t="inlineStr">
        <is>
          <t>SUPPORTS PRIMARY</t>
        </is>
      </c>
      <c r="I1099" t="inlineStr">
        <is>
          <t>fr</t>
        </is>
      </c>
      <c r="J1099" t="n">
        <v>590</v>
      </c>
      <c r="K1099" t="n">
        <v>38</v>
      </c>
      <c r="L1099" t="n">
        <v>1.84</v>
      </c>
      <c r="M1099" t="inlineStr">
        <is>
          <t>MEASURED</t>
        </is>
      </c>
      <c r="N1099" t="inlineStr">
        <is>
          <t>Yes (supporting block)</t>
        </is>
      </c>
      <c r="O1099" s="5" t="inlineStr">
        <is>
          <t>Supports the primary topic - add only if natural</t>
        </is>
      </c>
      <c r="P1099" s="5" t="inlineStr"/>
      <c r="Q1099" t="inlineStr">
        <is>
          <t>P3</t>
        </is>
      </c>
      <c r="R1099" t="n">
        <v>159</v>
      </c>
      <c r="S1099" s="5" t="inlineStr">
        <is>
          <t>Utiliser les variantes de mots-clés avec méthode 1 D'où viennent ces variantes ? Elles sont générées en combinant votre mot-clé avec des modificateurs de recherche courants (questions, comparaisons, termes d'achat, local</t>
        </is>
      </c>
    </row>
    <row r="1100">
      <c r="A1100" s="3" t="inlineStr">
        <is>
          <t>https://codesommet.com/tools/keyword-modifier-generator</t>
        </is>
      </c>
      <c r="B1100" t="n">
        <v>4</v>
      </c>
      <c r="C1100" t="inlineStr">
        <is>
          <t>Internal-link block</t>
        </is>
      </c>
      <c r="D1100" s="5" t="inlineStr">
        <is>
          <t>Outils Connexes Qui Pourraient Vous Intéresser</t>
        </is>
      </c>
      <c r="E1100" t="inlineStr">
        <is>
          <t>H2</t>
        </is>
      </c>
      <c r="F1100" s="5" t="inlineStr">
        <is>
          <t>Navigation</t>
        </is>
      </c>
      <c r="G1100" t="inlineStr">
        <is>
          <t>—</t>
        </is>
      </c>
      <c r="H1100" t="inlineStr">
        <is>
          <t>NONE</t>
        </is>
      </c>
      <c r="I1100" t="inlineStr">
        <is>
          <t>—</t>
        </is>
      </c>
      <c r="J1100" t="inlineStr">
        <is>
          <t>—</t>
        </is>
      </c>
      <c r="K1100" t="inlineStr">
        <is>
          <t>—</t>
        </is>
      </c>
      <c r="L1100" t="inlineStr">
        <is>
          <t>—</t>
        </is>
      </c>
      <c r="M1100" t="inlineStr">
        <is>
          <t>—</t>
        </is>
      </c>
      <c r="N1100" t="inlineStr">
        <is>
          <t>n/a</t>
        </is>
      </c>
      <c r="O1100" s="5" t="inlineStr">
        <is>
          <t>No keyword target - keep conversion/navigation focus; use descriptive, non-repeated anchor texts</t>
        </is>
      </c>
      <c r="P1100" s="5" t="inlineStr"/>
      <c r="Q1100" t="inlineStr">
        <is>
          <t>P4</t>
        </is>
      </c>
      <c r="R1100" t="n">
        <v>56</v>
      </c>
      <c r="S1100" s="5" t="inlineStr">
        <is>
          <t>Continuez à optimiser votre site web avec ces outils complémentaires Éditeur de Texte Ligne par Ligne Dédoublonnez et triez vos listes de mots-clés Essayer gratuitement seo Densité de Mots-Clés Mesurez la présence d'un t</t>
        </is>
      </c>
    </row>
    <row r="1101">
      <c r="A1101" s="3" t="inlineStr">
        <is>
          <t>https://codesommet.com/tools/keyword-modifier-generator</t>
        </is>
      </c>
      <c r="B1101" t="n">
        <v>5</v>
      </c>
      <c r="C1101" t="inlineStr">
        <is>
          <t>Content block</t>
        </is>
      </c>
      <c r="D1101" s="5" t="inlineStr">
        <is>
          <t>Un Plan de Contenus à Bâtir ?</t>
        </is>
      </c>
      <c r="E1101" t="inlineStr">
        <is>
          <t>H2</t>
        </is>
      </c>
      <c r="F1101" s="5" t="inlineStr">
        <is>
          <t>Informational / tool use</t>
        </is>
      </c>
      <c r="G1101" t="inlineStr">
        <is>
          <t>générateur mots clés</t>
        </is>
      </c>
      <c r="H1101" t="inlineStr">
        <is>
          <t>SECONDARY</t>
        </is>
      </c>
      <c r="I1101" t="inlineStr">
        <is>
          <t>fr</t>
        </is>
      </c>
      <c r="J1101" t="n">
        <v>170</v>
      </c>
      <c r="K1101" t="n">
        <v>44</v>
      </c>
      <c r="L1101" t="n">
        <v>1.73</v>
      </c>
      <c r="M1101" t="inlineStr">
        <is>
          <t>MEASURED</t>
        </is>
      </c>
      <c r="N1101" t="inlineStr">
        <is>
          <t>Partly</t>
        </is>
      </c>
      <c r="O1101" s="5" t="inlineStr">
        <is>
          <t>Work "générateur mots clés" (or a close natural variant) into existing copy - no new heading needed</t>
        </is>
      </c>
      <c r="P1101" s="5" t="inlineStr">
        <is>
          <t>Keyword/variant absent from this section</t>
        </is>
      </c>
      <c r="Q1101" t="inlineStr">
        <is>
          <t>P3</t>
        </is>
      </c>
      <c r="R1101" t="n">
        <v>107</v>
      </c>
      <c r="S1101" s="5" t="inlineStr">
        <is>
          <t>Nous transformons la recherche de mots-clés en arborescence de pages qui se classent Réserver un Appel Découverte 50+ projets réussis • Livraison en 48h • Pas de contrats à long terme Sites web Chatbots IA CRM Réservatio</t>
        </is>
      </c>
    </row>
    <row r="1102">
      <c r="A1102" s="3" t="inlineStr">
        <is>
          <t>https://codesommet.com/tools/landing-page-generator</t>
        </is>
      </c>
      <c r="B1102" t="n">
        <v>1</v>
      </c>
      <c r="C1102" t="inlineStr">
        <is>
          <t>Hero / H1</t>
        </is>
      </c>
      <c r="D1102" s="5" t="inlineStr">
        <is>
          <t>Générateur de Landing Page IA Gratuit</t>
        </is>
      </c>
      <c r="E1102" t="inlineStr">
        <is>
          <t>H1</t>
        </is>
      </c>
      <c r="F1102" s="5" t="inlineStr">
        <is>
          <t>Informational / tool use</t>
        </is>
      </c>
      <c r="G1102" t="inlineStr">
        <is>
          <t>créer une landing page</t>
        </is>
      </c>
      <c r="H1102" t="inlineStr">
        <is>
          <t>PRIMARY</t>
        </is>
      </c>
      <c r="I1102" t="inlineStr">
        <is>
          <t>fr</t>
        </is>
      </c>
      <c r="J1102" t="n">
        <v>590</v>
      </c>
      <c r="K1102" t="n">
        <v>31</v>
      </c>
      <c r="L1102" t="n">
        <v>4.58</v>
      </c>
      <c r="M1102" t="inlineStr">
        <is>
          <t>MEASURED</t>
        </is>
      </c>
      <c r="N1102" t="inlineStr">
        <is>
          <t>Yes</t>
        </is>
      </c>
      <c r="O1102" s="5" t="inlineStr">
        <is>
          <t>Covered - keep wording; no change</t>
        </is>
      </c>
      <c r="P1102" s="5" t="inlineStr"/>
      <c r="Q1102" t="inlineStr">
        <is>
          <t>P3</t>
        </is>
      </c>
      <c r="R1102" t="n">
        <v>71</v>
      </c>
      <c r="S1102" s="5" t="inlineStr">
        <is>
          <t>Générez un texte complet et à fort taux de conversion pour vos pages d'atterrissage avec optimisation SEO, recommandations de design et conseils UX. Parfait pour créer ou améliorer des pages d'atterrissage. Gratuit • Auc</t>
        </is>
      </c>
    </row>
    <row r="1103">
      <c r="A1103" s="3" t="inlineStr">
        <is>
          <t>https://codesommet.com/tools/landing-page-generator</t>
        </is>
      </c>
      <c r="B1103" t="n">
        <v>2</v>
      </c>
      <c r="C1103" t="inlineStr">
        <is>
          <t>FAQ</t>
        </is>
      </c>
      <c r="D1103" s="5" t="inlineStr">
        <is>
          <t>Questions Fréquemment Posées</t>
        </is>
      </c>
      <c r="E1103" t="inlineStr">
        <is>
          <t>H2</t>
        </is>
      </c>
      <c r="F1103" s="5" t="inlineStr">
        <is>
          <t>Informational (pre-purchase questions)</t>
        </is>
      </c>
      <c r="G1103" t="inlineStr">
        <is>
          <t>créer une landing page</t>
        </is>
      </c>
      <c r="H1103" t="inlineStr">
        <is>
          <t>SUPPORTS PRIMARY</t>
        </is>
      </c>
      <c r="I1103" t="inlineStr">
        <is>
          <t>fr</t>
        </is>
      </c>
      <c r="J1103" t="n">
        <v>590</v>
      </c>
      <c r="K1103" t="n">
        <v>31</v>
      </c>
      <c r="L1103" t="n">
        <v>4.58</v>
      </c>
      <c r="M1103" t="inlineStr">
        <is>
          <t>MEASURED</t>
        </is>
      </c>
      <c r="N1103" t="inlineStr">
        <is>
          <t>Yes (supporting block)</t>
        </is>
      </c>
      <c r="O1103" s="5" t="inlineStr">
        <is>
          <t>Supports the primary topic - add only if natural</t>
        </is>
      </c>
      <c r="P1103" s="5" t="inlineStr"/>
      <c r="Q1103" t="inlineStr">
        <is>
          <t>P3</t>
        </is>
      </c>
      <c r="R1103" t="n">
        <v>374</v>
      </c>
      <c r="S1103" s="5" t="inlineStr">
        <is>
          <t xml:space="preserve">Questions courantes sur cet outil et comment l'utiliser efficacement 1 Qu'est-ce qui fait une page d'atterrissage à fort taux de conversion ? Une page d'atterrissage à fort taux de conversion a une proposition de valeur </t>
        </is>
      </c>
    </row>
    <row r="1104">
      <c r="A1104" s="3" t="inlineStr">
        <is>
          <t>https://codesommet.com/tools/landing-page-generator</t>
        </is>
      </c>
      <c r="B1104" t="n">
        <v>3</v>
      </c>
      <c r="C1104" t="inlineStr">
        <is>
          <t>Internal-link block</t>
        </is>
      </c>
      <c r="D1104" s="5" t="inlineStr">
        <is>
          <t>Outils Connexes Qui Pourraient Vous Intéresser</t>
        </is>
      </c>
      <c r="E1104" t="inlineStr">
        <is>
          <t>H2</t>
        </is>
      </c>
      <c r="F1104" s="5" t="inlineStr">
        <is>
          <t>Navigation</t>
        </is>
      </c>
      <c r="G1104" t="inlineStr">
        <is>
          <t>—</t>
        </is>
      </c>
      <c r="H1104" t="inlineStr">
        <is>
          <t>NONE</t>
        </is>
      </c>
      <c r="I1104" t="inlineStr">
        <is>
          <t>—</t>
        </is>
      </c>
      <c r="J1104" t="inlineStr">
        <is>
          <t>—</t>
        </is>
      </c>
      <c r="K1104" t="inlineStr">
        <is>
          <t>—</t>
        </is>
      </c>
      <c r="L1104" t="inlineStr">
        <is>
          <t>—</t>
        </is>
      </c>
      <c r="M1104" t="inlineStr">
        <is>
          <t>—</t>
        </is>
      </c>
      <c r="N1104" t="inlineStr">
        <is>
          <t>n/a</t>
        </is>
      </c>
      <c r="O1104" s="5" t="inlineStr">
        <is>
          <t>No keyword target - keep conversion/navigation focus; use descriptive, non-repeated anchor texts</t>
        </is>
      </c>
      <c r="P1104" s="5" t="inlineStr"/>
      <c r="Q1104" t="inlineStr">
        <is>
          <t>P4</t>
        </is>
      </c>
      <c r="R1104" t="n">
        <v>69</v>
      </c>
      <c r="S1104" s="5" t="inlineStr">
        <is>
          <t>Continuez à optimiser votre site web avec ces outils complémentaires Générateur de Titres de Blog IA 10 titres viraux avec scores SEO et estimations de CTR Essayer gratuitement ai Générateur de Balises Meta IA Générez de</t>
        </is>
      </c>
    </row>
    <row r="1105">
      <c r="A1105" s="3" t="inlineStr">
        <is>
          <t>https://codesommet.com/tools/landing-page-generator</t>
        </is>
      </c>
      <c r="B1105" t="n">
        <v>4</v>
      </c>
      <c r="C1105" t="inlineStr">
        <is>
          <t>CTA / conversion</t>
        </is>
      </c>
      <c r="D1105" s="5" t="inlineStr">
        <is>
          <t>Besoin d'un Outil Personnalisé pour Votre Entreprise ?</t>
        </is>
      </c>
      <c r="E1105" t="inlineStr">
        <is>
          <t>H2</t>
        </is>
      </c>
      <c r="F1105" s="5" t="inlineStr">
        <is>
          <t>Conversion</t>
        </is>
      </c>
      <c r="G1105" t="inlineStr">
        <is>
          <t>—</t>
        </is>
      </c>
      <c r="H1105" t="inlineStr">
        <is>
          <t>NONE</t>
        </is>
      </c>
      <c r="I1105" t="inlineStr">
        <is>
          <t>—</t>
        </is>
      </c>
      <c r="J1105" t="inlineStr">
        <is>
          <t>—</t>
        </is>
      </c>
      <c r="K1105" t="inlineStr">
        <is>
          <t>—</t>
        </is>
      </c>
      <c r="L1105" t="inlineStr">
        <is>
          <t>—</t>
        </is>
      </c>
      <c r="M1105" t="inlineStr">
        <is>
          <t>—</t>
        </is>
      </c>
      <c r="N1105" t="inlineStr">
        <is>
          <t>n/a</t>
        </is>
      </c>
      <c r="O1105" s="5" t="inlineStr">
        <is>
          <t>No keyword target - keep conversion/navigation focus; use descriptive, non-repeated anchor texts</t>
        </is>
      </c>
      <c r="P1105" s="5" t="inlineStr"/>
      <c r="Q1105" t="inlineStr">
        <is>
          <t>P4</t>
        </is>
      </c>
      <c r="R1105" t="n">
        <v>113</v>
      </c>
      <c r="S1105" s="5" t="inlineStr">
        <is>
          <t>Nous créons des outils alimentés par l'IA, des tableaux de bord et des automatisations qui génèrent de vrais résultats Réserver un Appel Découverte 50+ projets réussis • Livraison en 48h • Pas de contrats à long terme Si</t>
        </is>
      </c>
    </row>
    <row r="1106">
      <c r="A1106" s="3" t="inlineStr">
        <is>
          <t>https://codesommet.com/tools/llms-txt-generator</t>
        </is>
      </c>
      <c r="B1106" t="n">
        <v>1</v>
      </c>
      <c r="C1106" t="inlineStr">
        <is>
          <t>Hero / H1</t>
        </is>
      </c>
      <c r="D1106" s="5" t="inlineStr">
        <is>
          <t>Générateur de Fichier llms.txt Gratuit</t>
        </is>
      </c>
      <c r="E1106" t="inlineStr">
        <is>
          <t>H1</t>
        </is>
      </c>
      <c r="F1106" s="5" t="inlineStr">
        <is>
          <t>Informational / tool use</t>
        </is>
      </c>
      <c r="G1106" t="inlineStr">
        <is>
          <t>llms.txt</t>
        </is>
      </c>
      <c r="H1106" t="inlineStr">
        <is>
          <t>PRIMARY</t>
        </is>
      </c>
      <c r="I1106" t="inlineStr">
        <is>
          <t>fr</t>
        </is>
      </c>
      <c r="J1106" t="n">
        <v>1900</v>
      </c>
      <c r="K1106" t="n">
        <v>31</v>
      </c>
      <c r="L1106" t="n">
        <v>0.23</v>
      </c>
      <c r="M1106" t="inlineStr">
        <is>
          <t>MEASURED</t>
        </is>
      </c>
      <c r="N1106" t="inlineStr">
        <is>
          <t>Yes</t>
        </is>
      </c>
      <c r="O1106" s="5" t="inlineStr">
        <is>
          <t>Covered - keep wording; no change</t>
        </is>
      </c>
      <c r="P1106" s="5" t="inlineStr"/>
      <c r="Q1106" t="inlineStr">
        <is>
          <t>P3</t>
        </is>
      </c>
      <c r="R1106" t="n">
        <v>55</v>
      </c>
      <c r="S1106" s="5" t="inlineStr">
        <is>
          <t>Créez le fichier llms.txt de votre site : un résumé structuré de vos pages clés, au format llmstxt.org, lisible par les assistants IA. Gratuit • Aucune inscription requise URL du site * Nom du site (facultatif) Résumé (f</t>
        </is>
      </c>
    </row>
    <row r="1107">
      <c r="A1107" s="3" t="inlineStr">
        <is>
          <t>https://codesommet.com/tools/llms-txt-generator</t>
        </is>
      </c>
      <c r="B1107" t="n">
        <v>2</v>
      </c>
      <c r="C1107" t="inlineStr">
        <is>
          <t>Content block</t>
        </is>
      </c>
      <c r="D1107" s="5" t="inlineStr">
        <is>
          <t>Votre fichier llms.txt</t>
        </is>
      </c>
      <c r="E1107" t="inlineStr">
        <is>
          <t>H2</t>
        </is>
      </c>
      <c r="F1107" s="5" t="inlineStr">
        <is>
          <t>Informational / tool use</t>
        </is>
      </c>
      <c r="G1107" t="inlineStr">
        <is>
          <t>llms txt</t>
        </is>
      </c>
      <c r="H1107" t="inlineStr">
        <is>
          <t>SECONDARY</t>
        </is>
      </c>
      <c r="I1107" t="inlineStr">
        <is>
          <t>fr</t>
        </is>
      </c>
      <c r="J1107" t="n">
        <v>720</v>
      </c>
      <c r="K1107" t="n">
        <v>29</v>
      </c>
      <c r="L1107" t="n">
        <v>0.23</v>
      </c>
      <c r="M1107" t="inlineStr">
        <is>
          <t>MEASURED</t>
        </is>
      </c>
      <c r="N1107" t="inlineStr">
        <is>
          <t>Yes</t>
        </is>
      </c>
      <c r="O1107" s="5" t="inlineStr">
        <is>
          <t>Covered - keep wording; no change</t>
        </is>
      </c>
      <c r="P1107" s="5" t="inlineStr"/>
      <c r="Q1107" t="inlineStr">
        <is>
          <t>P3</t>
        </is>
      </c>
      <c r="R1107" t="n">
        <v>28</v>
      </c>
      <c r="S1107" s="5" t="inlineStr">
        <is>
          <t>Télécharger llms.txt Contenu du fichier llms.txt Relisez le fichier, puis publiez-le à la racine de votre site : /llms.txt Copier le résumé Télécharger CSV Télécharger JSON</t>
        </is>
      </c>
    </row>
    <row r="1108">
      <c r="A1108" s="3" t="inlineStr">
        <is>
          <t>https://codesommet.com/tools/llms-txt-generator</t>
        </is>
      </c>
      <c r="B1108" t="n">
        <v>3</v>
      </c>
      <c r="C1108" t="inlineStr">
        <is>
          <t>Content block</t>
        </is>
      </c>
      <c r="D1108" s="5" t="inlineStr">
        <is>
          <t>Comment Utiliser Cet Outil</t>
        </is>
      </c>
      <c r="E1108" t="inlineStr">
        <is>
          <t>H2</t>
        </is>
      </c>
      <c r="F1108" s="5" t="inlineStr">
        <is>
          <t>Informational / tool use</t>
        </is>
      </c>
      <c r="G1108" t="inlineStr">
        <is>
          <t>fichier llms.txt</t>
        </is>
      </c>
      <c r="H1108" t="inlineStr">
        <is>
          <t>SECONDARY</t>
        </is>
      </c>
      <c r="I1108" t="inlineStr">
        <is>
          <t>fr</t>
        </is>
      </c>
      <c r="J1108" t="n">
        <v>320</v>
      </c>
      <c r="K1108" t="n">
        <v>25</v>
      </c>
      <c r="L1108" t="n">
        <v>0.13</v>
      </c>
      <c r="M1108" t="inlineStr">
        <is>
          <t>MEASURED</t>
        </is>
      </c>
      <c r="N1108" t="inlineStr">
        <is>
          <t>Yes</t>
        </is>
      </c>
      <c r="O1108" s="5" t="inlineStr">
        <is>
          <t>Covered - keep wording; no change</t>
        </is>
      </c>
      <c r="P1108" s="5" t="inlineStr"/>
      <c r="Q1108" t="inlineStr">
        <is>
          <t>P3</t>
        </is>
      </c>
      <c r="R1108" t="n">
        <v>47</v>
      </c>
      <c r="S1108" s="5" t="inlineStr">
        <is>
          <t>1 Entrez l'adresse de votre site ; ajoutez si vous le souhaitez un nom et un résumé. 2 L'outil explore jusqu'à 40 pages et retient celles qui sont indexables et accessibles. 3 Copiez ou téléchargez le fichier, relisez-le</t>
        </is>
      </c>
    </row>
    <row r="1109">
      <c r="A1109" s="3" t="inlineStr">
        <is>
          <t>https://codesommet.com/tools/llms-txt-generator</t>
        </is>
      </c>
      <c r="B1109" t="n">
        <v>4</v>
      </c>
      <c r="C1109" t="inlineStr">
        <is>
          <t>FAQ</t>
        </is>
      </c>
      <c r="D1109" s="5" t="inlineStr">
        <is>
          <t>Questions Fréquemment Posées</t>
        </is>
      </c>
      <c r="E1109" t="inlineStr">
        <is>
          <t>H2</t>
        </is>
      </c>
      <c r="F1109" s="5" t="inlineStr">
        <is>
          <t>Informational (pre-purchase questions)</t>
        </is>
      </c>
      <c r="G1109" t="inlineStr">
        <is>
          <t>llms.txt</t>
        </is>
      </c>
      <c r="H1109" t="inlineStr">
        <is>
          <t>SUPPORTS PRIMARY</t>
        </is>
      </c>
      <c r="I1109" t="inlineStr">
        <is>
          <t>fr</t>
        </is>
      </c>
      <c r="J1109" t="n">
        <v>1900</v>
      </c>
      <c r="K1109" t="n">
        <v>31</v>
      </c>
      <c r="L1109" t="n">
        <v>0.23</v>
      </c>
      <c r="M1109" t="inlineStr">
        <is>
          <t>MEASURED</t>
        </is>
      </c>
      <c r="N1109" t="inlineStr">
        <is>
          <t>Yes</t>
        </is>
      </c>
      <c r="O1109" s="5" t="inlineStr">
        <is>
          <t>Covered - keep wording; no change</t>
        </is>
      </c>
      <c r="P1109" s="5" t="inlineStr"/>
      <c r="Q1109" t="inlineStr">
        <is>
          <t>P3</t>
        </is>
      </c>
      <c r="R1109" t="n">
        <v>174</v>
      </c>
      <c r="S1109" s="5" t="inlineStr">
        <is>
          <t>Comprendre le fichier llms.txt et son utilité 1 Qu'est-ce qu'un fichier llms.txt ? C'est une proposition de standard (llmstxt.org) : un fichier Markdown placé à la racine du site qui présente le site et liste ses pages i</t>
        </is>
      </c>
    </row>
    <row r="1110">
      <c r="A1110" s="3" t="inlineStr">
        <is>
          <t>https://codesommet.com/tools/llms-txt-generator</t>
        </is>
      </c>
      <c r="B1110" t="n">
        <v>5</v>
      </c>
      <c r="C1110" t="inlineStr">
        <is>
          <t>Internal-link block</t>
        </is>
      </c>
      <c r="D1110" s="5" t="inlineStr">
        <is>
          <t>Outils Connexes Qui Pourraient Vous Intéresser</t>
        </is>
      </c>
      <c r="E1110" t="inlineStr">
        <is>
          <t>H2</t>
        </is>
      </c>
      <c r="F1110" s="5" t="inlineStr">
        <is>
          <t>Navigation</t>
        </is>
      </c>
      <c r="G1110" t="inlineStr">
        <is>
          <t>—</t>
        </is>
      </c>
      <c r="H1110" t="inlineStr">
        <is>
          <t>NONE</t>
        </is>
      </c>
      <c r="I1110" t="inlineStr">
        <is>
          <t>—</t>
        </is>
      </c>
      <c r="J1110" t="inlineStr">
        <is>
          <t>—</t>
        </is>
      </c>
      <c r="K1110" t="inlineStr">
        <is>
          <t>—</t>
        </is>
      </c>
      <c r="L1110" t="inlineStr">
        <is>
          <t>—</t>
        </is>
      </c>
      <c r="M1110" t="inlineStr">
        <is>
          <t>—</t>
        </is>
      </c>
      <c r="N1110" t="inlineStr">
        <is>
          <t>n/a</t>
        </is>
      </c>
      <c r="O1110" s="5" t="inlineStr">
        <is>
          <t>No keyword target - keep conversion/navigation focus; use descriptive, non-repeated anchor texts</t>
        </is>
      </c>
      <c r="P1110" s="5" t="inlineStr"/>
      <c r="Q1110" t="inlineStr">
        <is>
          <t>P4</t>
        </is>
      </c>
      <c r="R1110" t="n">
        <v>60</v>
      </c>
      <c r="S1110" s="5" t="inlineStr">
        <is>
          <t>Continuez à optimiser votre site web avec ces outils complémentaires Accès des Robots IA Vérifiez que GPTBot, ClaudeBot et PerplexityBot peuvent lire vos pages. Essayer gratuitement seo Extracteur d'URL de Sitemap Listez</t>
        </is>
      </c>
    </row>
    <row r="1111">
      <c r="A1111" s="3" t="inlineStr">
        <is>
          <t>https://codesommet.com/tools/llms-txt-generator</t>
        </is>
      </c>
      <c r="B1111" t="n">
        <v>6</v>
      </c>
      <c r="C1111" t="inlineStr">
        <is>
          <t>Content block</t>
        </is>
      </c>
      <c r="D1111" s="5" t="inlineStr">
        <is>
          <t>Votre Site Est-il Prêt pour la Recherche IA ?</t>
        </is>
      </c>
      <c r="E1111" t="inlineStr">
        <is>
          <t>H2</t>
        </is>
      </c>
      <c r="F1111" s="5" t="inlineStr">
        <is>
          <t>Informational / tool use</t>
        </is>
      </c>
      <c r="G1111" t="inlineStr">
        <is>
          <t>llms txt</t>
        </is>
      </c>
      <c r="H1111" t="inlineStr">
        <is>
          <t>SECONDARY</t>
        </is>
      </c>
      <c r="I1111" t="inlineStr">
        <is>
          <t>fr</t>
        </is>
      </c>
      <c r="J1111" t="n">
        <v>720</v>
      </c>
      <c r="K1111" t="n">
        <v>29</v>
      </c>
      <c r="L1111" t="n">
        <v>0.23</v>
      </c>
      <c r="M1111" t="inlineStr">
        <is>
          <t>MEASURED</t>
        </is>
      </c>
      <c r="N1111" t="inlineStr">
        <is>
          <t>Partly</t>
        </is>
      </c>
      <c r="O1111" s="5" t="inlineStr">
        <is>
          <t>Work "llms txt" (or a close natural variant) into existing copy - no new heading needed</t>
        </is>
      </c>
      <c r="P1111" s="5" t="inlineStr">
        <is>
          <t>Keyword/variant absent from this section</t>
        </is>
      </c>
      <c r="Q1111" t="inlineStr">
        <is>
          <t>P3</t>
        </is>
      </c>
      <c r="R1111" t="n">
        <v>111</v>
      </c>
      <c r="S1111" s="5" t="inlineStr">
        <is>
          <t>Nous structurons contenus, données et fichiers techniques pour que les assistants IA comprennent et citent votre site Réserver un Appel Découverte 50+ projets réussis • Livraison en 48h • Pas de contrats à long terme Sit</t>
        </is>
      </c>
    </row>
    <row r="1112">
      <c r="A1112" s="3" t="inlineStr">
        <is>
          <t>https://codesommet.com/tools/local-business-schema</t>
        </is>
      </c>
      <c r="B1112" t="n">
        <v>1</v>
      </c>
      <c r="C1112" t="inlineStr">
        <is>
          <t>Hero / H1</t>
        </is>
      </c>
      <c r="D1112" s="5" t="inlineStr">
        <is>
          <t>Générateur de Schéma LocalBusiness Gratuit</t>
        </is>
      </c>
      <c r="E1112" t="inlineStr">
        <is>
          <t>H1</t>
        </is>
      </c>
      <c r="F1112" s="5" t="inlineStr">
        <is>
          <t>Informational / tool use</t>
        </is>
      </c>
      <c r="G1112" t="inlineStr">
        <is>
          <t>local business schema</t>
        </is>
      </c>
      <c r="H1112" t="inlineStr">
        <is>
          <t>PRIMARY</t>
        </is>
      </c>
      <c r="I1112" t="inlineStr">
        <is>
          <t>fr</t>
        </is>
      </c>
      <c r="J1112" t="n">
        <v>20</v>
      </c>
      <c r="K1112" t="inlineStr">
        <is>
          <t>NOT AVAILABLE</t>
        </is>
      </c>
      <c r="L1112" t="n">
        <v>0</v>
      </c>
      <c r="M1112" t="inlineStr">
        <is>
          <t>MEASURED</t>
        </is>
      </c>
      <c r="N1112" t="inlineStr">
        <is>
          <t>Yes</t>
        </is>
      </c>
      <c r="O1112" s="5" t="inlineStr">
        <is>
          <t>Covered - keep wording; no change</t>
        </is>
      </c>
      <c r="P1112" s="5" t="inlineStr"/>
      <c r="Q1112" t="inlineStr">
        <is>
          <t>P3</t>
        </is>
      </c>
      <c r="R1112" t="n">
        <v>67</v>
      </c>
      <c r="S1112" s="5" t="inlineStr">
        <is>
          <t>Générez le balisage de schéma JSON-LD pour le SEO local et le classement Google Maps Gratuit • Aucune inscription requise Type d'Entreprise * Entreprise Locale (Générique) Restaurant Café / Salon de Thé Magasin de Détail</t>
        </is>
      </c>
    </row>
    <row r="1113">
      <c r="A1113" s="3" t="inlineStr">
        <is>
          <t>https://codesommet.com/tools/local-business-schema</t>
        </is>
      </c>
      <c r="B1113" t="n">
        <v>2</v>
      </c>
      <c r="C1113" t="inlineStr">
        <is>
          <t>Content block</t>
        </is>
      </c>
      <c r="D1113" s="5" t="inlineStr">
        <is>
          <t>Optionnel (Recommandé pour un Meilleur SEO)</t>
        </is>
      </c>
      <c r="E1113" t="inlineStr">
        <is>
          <t>H2</t>
        </is>
      </c>
      <c r="F1113" s="5" t="inlineStr">
        <is>
          <t>Informational / tool use</t>
        </is>
      </c>
      <c r="G1113" t="inlineStr">
        <is>
          <t>schema localbusiness</t>
        </is>
      </c>
      <c r="H1113" t="inlineStr">
        <is>
          <t>SUPPORTING</t>
        </is>
      </c>
      <c r="I1113" t="inlineStr">
        <is>
          <t>fr</t>
        </is>
      </c>
      <c r="J1113" t="n">
        <v>20</v>
      </c>
      <c r="K1113" t="inlineStr">
        <is>
          <t>NOT AVAILABLE</t>
        </is>
      </c>
      <c r="L1113" t="n">
        <v>0</v>
      </c>
      <c r="M1113" t="inlineStr">
        <is>
          <t>MEASURED</t>
        </is>
      </c>
      <c r="N1113" t="inlineStr">
        <is>
          <t>Yes (supporting block)</t>
        </is>
      </c>
      <c r="O1113" s="5" t="inlineStr">
        <is>
          <t>Supports the primary topic - add only if natural</t>
        </is>
      </c>
      <c r="P1113" s="5" t="inlineStr"/>
      <c r="Q1113" t="inlineStr">
        <is>
          <t>P3</t>
        </is>
      </c>
      <c r="R1113" t="n">
        <v>3</v>
      </c>
      <c r="S1113" s="5" t="inlineStr">
        <is>
          <t>Générer le Schéma</t>
        </is>
      </c>
    </row>
    <row r="1114">
      <c r="A1114" s="3" t="inlineStr">
        <is>
          <t>https://codesommet.com/tools/local-business-schema</t>
        </is>
      </c>
      <c r="B1114" t="n">
        <v>3</v>
      </c>
      <c r="C1114" t="inlineStr">
        <is>
          <t>FAQ</t>
        </is>
      </c>
      <c r="D1114" s="5" t="inlineStr">
        <is>
          <t>Questions Fréquemment Posées</t>
        </is>
      </c>
      <c r="E1114" t="inlineStr">
        <is>
          <t>H2</t>
        </is>
      </c>
      <c r="F1114" s="5" t="inlineStr">
        <is>
          <t>Informational (pre-purchase questions)</t>
        </is>
      </c>
      <c r="G1114" t="inlineStr">
        <is>
          <t>local business schema</t>
        </is>
      </c>
      <c r="H1114" t="inlineStr">
        <is>
          <t>SUPPORTS PRIMARY</t>
        </is>
      </c>
      <c r="I1114" t="inlineStr">
        <is>
          <t>fr</t>
        </is>
      </c>
      <c r="J1114" t="n">
        <v>20</v>
      </c>
      <c r="K1114" t="inlineStr">
        <is>
          <t>NOT AVAILABLE</t>
        </is>
      </c>
      <c r="L1114" t="n">
        <v>0</v>
      </c>
      <c r="M1114" t="inlineStr">
        <is>
          <t>MEASURED</t>
        </is>
      </c>
      <c r="N1114" t="inlineStr">
        <is>
          <t>Yes</t>
        </is>
      </c>
      <c r="O1114" s="5" t="inlineStr">
        <is>
          <t>Covered - keep wording; no change</t>
        </is>
      </c>
      <c r="P1114" s="5" t="inlineStr"/>
      <c r="Q1114" t="inlineStr">
        <is>
          <t>P3</t>
        </is>
      </c>
      <c r="R1114" t="n">
        <v>555</v>
      </c>
      <c r="S1114" s="5" t="inlineStr">
        <is>
          <t>Questions courantes sur cet outil et comment l'utiliser efficacement 1 Qu'est-ce que le Schéma d'Entreprise Locale et pourquoi en ai-je besoin ? Le Schéma d'Entreprise Locale est un balisage de données structurées (JSON-</t>
        </is>
      </c>
    </row>
    <row r="1115">
      <c r="A1115" s="3" t="inlineStr">
        <is>
          <t>https://codesommet.com/tools/local-business-schema</t>
        </is>
      </c>
      <c r="B1115" t="n">
        <v>4</v>
      </c>
      <c r="C1115" t="inlineStr">
        <is>
          <t>Internal-link block</t>
        </is>
      </c>
      <c r="D1115" s="5" t="inlineStr">
        <is>
          <t>Outils Connexes Qui Pourraient Vous Intéresser</t>
        </is>
      </c>
      <c r="E1115" t="inlineStr">
        <is>
          <t>H2</t>
        </is>
      </c>
      <c r="F1115" s="5" t="inlineStr">
        <is>
          <t>Navigation</t>
        </is>
      </c>
      <c r="G1115" t="inlineStr">
        <is>
          <t>—</t>
        </is>
      </c>
      <c r="H1115" t="inlineStr">
        <is>
          <t>NONE</t>
        </is>
      </c>
      <c r="I1115" t="inlineStr">
        <is>
          <t>—</t>
        </is>
      </c>
      <c r="J1115" t="inlineStr">
        <is>
          <t>—</t>
        </is>
      </c>
      <c r="K1115" t="inlineStr">
        <is>
          <t>—</t>
        </is>
      </c>
      <c r="L1115" t="inlineStr">
        <is>
          <t>—</t>
        </is>
      </c>
      <c r="M1115" t="inlineStr">
        <is>
          <t>—</t>
        </is>
      </c>
      <c r="N1115" t="inlineStr">
        <is>
          <t>n/a</t>
        </is>
      </c>
      <c r="O1115" s="5" t="inlineStr">
        <is>
          <t>No keyword target - keep conversion/navigation focus; use descriptive, non-repeated anchor texts</t>
        </is>
      </c>
      <c r="P1115" s="5" t="inlineStr"/>
      <c r="Q1115" t="inlineStr">
        <is>
          <t>P4</t>
        </is>
      </c>
      <c r="R1115" t="n">
        <v>63</v>
      </c>
      <c r="S1115" s="5" t="inlineStr">
        <is>
          <t>Continuez à optimiser votre site web avec ces outils complémentaires Générateur de Balisage Schema Générez du JSON-LD pour les articles, produits, avis et autres types Essayer gratuitement seo Aperçu Open Graph Prévisual</t>
        </is>
      </c>
    </row>
    <row r="1116">
      <c r="A1116" s="3" t="inlineStr">
        <is>
          <t>https://codesommet.com/tools/local-business-schema</t>
        </is>
      </c>
      <c r="B1116" t="n">
        <v>5</v>
      </c>
      <c r="C1116" t="inlineStr">
        <is>
          <t>CTA / conversion</t>
        </is>
      </c>
      <c r="D1116" s="5" t="inlineStr">
        <is>
          <t>Besoin d'un Outil Personnalisé pour Votre Entreprise ?</t>
        </is>
      </c>
      <c r="E1116" t="inlineStr">
        <is>
          <t>H2</t>
        </is>
      </c>
      <c r="F1116" s="5" t="inlineStr">
        <is>
          <t>Conversion</t>
        </is>
      </c>
      <c r="G1116" t="inlineStr">
        <is>
          <t>—</t>
        </is>
      </c>
      <c r="H1116" t="inlineStr">
        <is>
          <t>NONE</t>
        </is>
      </c>
      <c r="I1116" t="inlineStr">
        <is>
          <t>—</t>
        </is>
      </c>
      <c r="J1116" t="inlineStr">
        <is>
          <t>—</t>
        </is>
      </c>
      <c r="K1116" t="inlineStr">
        <is>
          <t>—</t>
        </is>
      </c>
      <c r="L1116" t="inlineStr">
        <is>
          <t>—</t>
        </is>
      </c>
      <c r="M1116" t="inlineStr">
        <is>
          <t>—</t>
        </is>
      </c>
      <c r="N1116" t="inlineStr">
        <is>
          <t>n/a</t>
        </is>
      </c>
      <c r="O1116" s="5" t="inlineStr">
        <is>
          <t>No keyword target - keep conversion/navigation focus; use descriptive, non-repeated anchor texts</t>
        </is>
      </c>
      <c r="P1116" s="5" t="inlineStr"/>
      <c r="Q1116" t="inlineStr">
        <is>
          <t>P4</t>
        </is>
      </c>
      <c r="R1116" t="n">
        <v>113</v>
      </c>
      <c r="S1116" s="5" t="inlineStr">
        <is>
          <t>Nous créons des outils alimentés par l'IA, des tableaux de bord et des automatisations qui génèrent de vrais résultats Réserver un Appel Découverte 50+ projets réussis • Livraison en 48h • Pas de contrats à long terme Si</t>
        </is>
      </c>
    </row>
    <row r="1117">
      <c r="A1117" s="3" t="inlineStr">
        <is>
          <t>https://codesommet.com/tools/lorem-ipsum-generator</t>
        </is>
      </c>
      <c r="B1117" t="n">
        <v>1</v>
      </c>
      <c r="C1117" t="inlineStr">
        <is>
          <t>Hero / H1</t>
        </is>
      </c>
      <c r="D1117" s="5" t="inlineStr">
        <is>
          <t>Générateur Lorem Ipsum Gratuit</t>
        </is>
      </c>
      <c r="E1117" t="inlineStr">
        <is>
          <t>H1</t>
        </is>
      </c>
      <c r="F1117" s="5" t="inlineStr">
        <is>
          <t>Informational / tool use</t>
        </is>
      </c>
      <c r="G1117" t="inlineStr">
        <is>
          <t>lorem ipsum</t>
        </is>
      </c>
      <c r="H1117" t="inlineStr">
        <is>
          <t>PRIMARY</t>
        </is>
      </c>
      <c r="I1117" t="inlineStr">
        <is>
          <t>fr</t>
        </is>
      </c>
      <c r="J1117" t="n">
        <v>40500</v>
      </c>
      <c r="K1117" t="n">
        <v>45</v>
      </c>
      <c r="L1117" t="n">
        <v>1.78</v>
      </c>
      <c r="M1117" t="inlineStr">
        <is>
          <t>MEASURED</t>
        </is>
      </c>
      <c r="N1117" t="inlineStr">
        <is>
          <t>Yes</t>
        </is>
      </c>
      <c r="O1117" s="5" t="inlineStr">
        <is>
          <t>Covered - keep wording; no change</t>
        </is>
      </c>
      <c r="P1117" s="5" t="inlineStr"/>
      <c r="Q1117" t="inlineStr">
        <is>
          <t>P3</t>
        </is>
      </c>
      <c r="R1117" t="n">
        <v>39</v>
      </c>
      <c r="S1117" s="5" t="inlineStr">
        <is>
          <t>Générez du texte de remplissage pour les maquettes et prototypes de design Gratuit • Aucune inscription requise Nombre de Paragraphes 3 1 20 Mots par Paragraphe 100 50 500 Start with classic "Lorem ipsum dolor sit amet..</t>
        </is>
      </c>
    </row>
    <row r="1118">
      <c r="A1118" s="3" t="inlineStr">
        <is>
          <t>https://codesommet.com/tools/lorem-ipsum-generator</t>
        </is>
      </c>
      <c r="B1118" t="n">
        <v>2</v>
      </c>
      <c r="C1118" t="inlineStr">
        <is>
          <t>Content block</t>
        </is>
      </c>
      <c r="D1118" s="5" t="inlineStr">
        <is>
          <t>Qu'est-ce que Lorem Ipsum ?</t>
        </is>
      </c>
      <c r="E1118" t="inlineStr">
        <is>
          <t>H2</t>
        </is>
      </c>
      <c r="F1118" s="5" t="inlineStr">
        <is>
          <t>Informational / tool use</t>
        </is>
      </c>
      <c r="G1118" t="inlineStr">
        <is>
          <t>faux texte</t>
        </is>
      </c>
      <c r="H1118" t="inlineStr">
        <is>
          <t>SECONDARY</t>
        </is>
      </c>
      <c r="I1118" t="inlineStr">
        <is>
          <t>fr</t>
        </is>
      </c>
      <c r="J1118" t="n">
        <v>1600</v>
      </c>
      <c r="K1118" t="n">
        <v>32</v>
      </c>
      <c r="L1118" t="n">
        <v>0</v>
      </c>
      <c r="M1118" t="inlineStr">
        <is>
          <t>MEASURED</t>
        </is>
      </c>
      <c r="N1118" t="inlineStr">
        <is>
          <t>Partly</t>
        </is>
      </c>
      <c r="O1118" s="5" t="inlineStr">
        <is>
          <t>Work "faux texte" (or a close natural variant) into existing copy - no new heading needed</t>
        </is>
      </c>
      <c r="P1118" s="5" t="inlineStr">
        <is>
          <t>Keyword/variant absent from this section</t>
        </is>
      </c>
      <c r="Q1118" t="inlineStr">
        <is>
          <t>P3</t>
        </is>
      </c>
      <c r="R1118" t="n">
        <v>120</v>
      </c>
      <c r="S1118" s="5" t="inlineStr">
        <is>
          <t>Lorem Ipsum est un texte de remplissage couramment utilisé en design et en édition pour démontrer la forme visuelle d'un document sans s'appuyer sur un contenu significatif. Cas d'Utilisation Courants : Maquettes et wire</t>
        </is>
      </c>
    </row>
    <row r="1119">
      <c r="A1119" s="3" t="inlineStr">
        <is>
          <t>https://codesommet.com/tools/lorem-ipsum-generator</t>
        </is>
      </c>
      <c r="B1119" t="n">
        <v>3</v>
      </c>
      <c r="C1119" t="inlineStr">
        <is>
          <t>FAQ</t>
        </is>
      </c>
      <c r="D1119" s="5" t="inlineStr">
        <is>
          <t>Questions Fréquemment Posées</t>
        </is>
      </c>
      <c r="E1119" t="inlineStr">
        <is>
          <t>H2</t>
        </is>
      </c>
      <c r="F1119" s="5" t="inlineStr">
        <is>
          <t>Informational (pre-purchase questions)</t>
        </is>
      </c>
      <c r="G1119" t="inlineStr">
        <is>
          <t>lorem ipsum</t>
        </is>
      </c>
      <c r="H1119" t="inlineStr">
        <is>
          <t>SUPPORTS PRIMARY</t>
        </is>
      </c>
      <c r="I1119" t="inlineStr">
        <is>
          <t>fr</t>
        </is>
      </c>
      <c r="J1119" t="n">
        <v>40500</v>
      </c>
      <c r="K1119" t="n">
        <v>45</v>
      </c>
      <c r="L1119" t="n">
        <v>1.78</v>
      </c>
      <c r="M1119" t="inlineStr">
        <is>
          <t>MEASURED</t>
        </is>
      </c>
      <c r="N1119" t="inlineStr">
        <is>
          <t>Yes</t>
        </is>
      </c>
      <c r="O1119" s="5" t="inlineStr">
        <is>
          <t>Covered - keep wording; no change</t>
        </is>
      </c>
      <c r="P1119" s="5" t="inlineStr"/>
      <c r="Q1119" t="inlineStr">
        <is>
          <t>P3</t>
        </is>
      </c>
      <c r="R1119" t="n">
        <v>580</v>
      </c>
      <c r="S1119" s="5" t="inlineStr">
        <is>
          <t>Questions courantes sur cet outil et comment l'utiliser efficacement 1 Qu'est-ce que Lorem Ipsum et d'où vient-il ? Le Lorem Ipsum est un texte latin brouillé dérivé des sections 1.10.32 et 1.10.33 du « De Finibus Bonoru</t>
        </is>
      </c>
    </row>
    <row r="1120">
      <c r="A1120" s="3" t="inlineStr">
        <is>
          <t>https://codesommet.com/tools/lorem-ipsum-generator</t>
        </is>
      </c>
      <c r="B1120" t="n">
        <v>4</v>
      </c>
      <c r="C1120" t="inlineStr">
        <is>
          <t>Internal-link block</t>
        </is>
      </c>
      <c r="D1120" s="5" t="inlineStr">
        <is>
          <t>Outils Connexes Qui Pourraient Vous Intéresser</t>
        </is>
      </c>
      <c r="E1120" t="inlineStr">
        <is>
          <t>H2</t>
        </is>
      </c>
      <c r="F1120" s="5" t="inlineStr">
        <is>
          <t>Navigation</t>
        </is>
      </c>
      <c r="G1120" t="inlineStr">
        <is>
          <t>—</t>
        </is>
      </c>
      <c r="H1120" t="inlineStr">
        <is>
          <t>NONE</t>
        </is>
      </c>
      <c r="I1120" t="inlineStr">
        <is>
          <t>—</t>
        </is>
      </c>
      <c r="J1120" t="inlineStr">
        <is>
          <t>—</t>
        </is>
      </c>
      <c r="K1120" t="inlineStr">
        <is>
          <t>—</t>
        </is>
      </c>
      <c r="L1120" t="inlineStr">
        <is>
          <t>—</t>
        </is>
      </c>
      <c r="M1120" t="inlineStr">
        <is>
          <t>—</t>
        </is>
      </c>
      <c r="N1120" t="inlineStr">
        <is>
          <t>n/a</t>
        </is>
      </c>
      <c r="O1120" s="5" t="inlineStr">
        <is>
          <t>No keyword target - keep conversion/navigation focus; use descriptive, non-repeated anchor texts</t>
        </is>
      </c>
      <c r="P1120" s="5" t="inlineStr"/>
      <c r="Q1120" t="inlineStr">
        <is>
          <t>P4</t>
        </is>
      </c>
      <c r="R1120" t="n">
        <v>69</v>
      </c>
      <c r="S1120" s="5" t="inlineStr">
        <is>
          <t xml:space="preserve">Continuez à optimiser votre site web avec ces outils complémentaires Analyseur de Score de Lisibilité Analysez la lisibilité du texte avec 5 algorithmes et niveaux scolaires Essayer gratuitement content Compteur de Mots </t>
        </is>
      </c>
    </row>
    <row r="1121">
      <c r="A1121" s="3" t="inlineStr">
        <is>
          <t>https://codesommet.com/tools/lorem-ipsum-generator</t>
        </is>
      </c>
      <c r="B1121" t="n">
        <v>5</v>
      </c>
      <c r="C1121" t="inlineStr">
        <is>
          <t>CTA / conversion</t>
        </is>
      </c>
      <c r="D1121" s="5" t="inlineStr">
        <is>
          <t>Besoin d'un Outil Personnalisé pour Votre Entreprise ?</t>
        </is>
      </c>
      <c r="E1121" t="inlineStr">
        <is>
          <t>H2</t>
        </is>
      </c>
      <c r="F1121" s="5" t="inlineStr">
        <is>
          <t>Conversion</t>
        </is>
      </c>
      <c r="G1121" t="inlineStr">
        <is>
          <t>—</t>
        </is>
      </c>
      <c r="H1121" t="inlineStr">
        <is>
          <t>NONE</t>
        </is>
      </c>
      <c r="I1121" t="inlineStr">
        <is>
          <t>—</t>
        </is>
      </c>
      <c r="J1121" t="inlineStr">
        <is>
          <t>—</t>
        </is>
      </c>
      <c r="K1121" t="inlineStr">
        <is>
          <t>—</t>
        </is>
      </c>
      <c r="L1121" t="inlineStr">
        <is>
          <t>—</t>
        </is>
      </c>
      <c r="M1121" t="inlineStr">
        <is>
          <t>—</t>
        </is>
      </c>
      <c r="N1121" t="inlineStr">
        <is>
          <t>n/a</t>
        </is>
      </c>
      <c r="O1121" s="5" t="inlineStr">
        <is>
          <t>No keyword target - keep conversion/navigation focus; use descriptive, non-repeated anchor texts</t>
        </is>
      </c>
      <c r="P1121" s="5" t="inlineStr"/>
      <c r="Q1121" t="inlineStr">
        <is>
          <t>P4</t>
        </is>
      </c>
      <c r="R1121" t="n">
        <v>113</v>
      </c>
      <c r="S1121" s="5" t="inlineStr">
        <is>
          <t>Nous créons des outils alimentés par l'IA, des tableaux de bord et des automatisations qui génèrent de vrais résultats Réserver un Appel Découverte 50+ projets réussis • Livraison en 48h • Pas de contrats à long terme Si</t>
        </is>
      </c>
    </row>
    <row r="1122">
      <c r="A1122" s="3" t="inlineStr">
        <is>
          <t>https://codesommet.com/tools/meta-extractor</t>
        </is>
      </c>
      <c r="B1122" t="n">
        <v>1</v>
      </c>
      <c r="C1122" t="inlineStr">
        <is>
          <t>Hero / H1</t>
        </is>
      </c>
      <c r="D1122" s="5" t="inlineStr">
        <is>
          <t>Extracteur de Métadonnées en Masse</t>
        </is>
      </c>
      <c r="E1122" t="inlineStr">
        <is>
          <t>H1</t>
        </is>
      </c>
      <c r="F1122" s="5" t="inlineStr">
        <is>
          <t>Informational / tool use</t>
        </is>
      </c>
      <c r="G1122" t="inlineStr">
        <is>
          <t>extraire meta title</t>
        </is>
      </c>
      <c r="H1122" t="inlineStr">
        <is>
          <t>PRIMARY</t>
        </is>
      </c>
      <c r="I1122" t="inlineStr">
        <is>
          <t>fr</t>
        </is>
      </c>
      <c r="J1122" t="inlineStr">
        <is>
          <t>NOT AVAILABLE</t>
        </is>
      </c>
      <c r="K1122" t="inlineStr">
        <is>
          <t>NOT AVAILABLE</t>
        </is>
      </c>
      <c r="L1122" t="inlineStr">
        <is>
          <t>NOT AVAILABLE</t>
        </is>
      </c>
      <c r="M1122" t="inlineStr">
        <is>
          <t>UNAVAILABLE</t>
        </is>
      </c>
      <c r="N1122" t="inlineStr">
        <is>
          <t>Partly</t>
        </is>
      </c>
      <c r="O1122" s="5" t="inlineStr">
        <is>
          <t>Work "extraire meta title" (or a close natural variant) into existing copy - no new heading needed</t>
        </is>
      </c>
      <c r="P1122" s="5" t="inlineStr">
        <is>
          <t>Keyword/variant absent from this section</t>
        </is>
      </c>
      <c r="Q1122" t="inlineStr">
        <is>
          <t>P3</t>
        </is>
      </c>
      <c r="R1122" t="n">
        <v>50</v>
      </c>
      <c r="S1122" s="5" t="inlineStr">
        <is>
          <t xml:space="preserve">Comparez d'un coup d'œil les balises SEO de plusieurs pages : titres, descriptions, canonical, robots, H1 et volume de texte. Gratuit • Aucune inscription requise URL à analyser * Une URL par ligne, 20 maximum. Extraire </t>
        </is>
      </c>
    </row>
    <row r="1123">
      <c r="A1123" s="3" t="inlineStr">
        <is>
          <t>https://codesommet.com/tools/meta-extractor</t>
        </is>
      </c>
      <c r="B1123" t="n">
        <v>2</v>
      </c>
      <c r="C1123" t="inlineStr">
        <is>
          <t>Content block</t>
        </is>
      </c>
      <c r="D1123" s="5" t="inlineStr">
        <is>
          <t>Métadonnées par page</t>
        </is>
      </c>
      <c r="E1123" t="inlineStr">
        <is>
          <t>H2</t>
        </is>
      </c>
      <c r="F1123" s="5" t="inlineStr">
        <is>
          <t>Informational / tool use</t>
        </is>
      </c>
      <c r="G1123" t="inlineStr">
        <is>
          <t>extraire meta title</t>
        </is>
      </c>
      <c r="H1123" t="inlineStr">
        <is>
          <t>SUPPORTS PRIMARY</t>
        </is>
      </c>
      <c r="I1123" t="inlineStr">
        <is>
          <t>fr</t>
        </is>
      </c>
      <c r="J1123" t="inlineStr">
        <is>
          <t>NOT AVAILABLE</t>
        </is>
      </c>
      <c r="K1123" t="inlineStr">
        <is>
          <t>NOT AVAILABLE</t>
        </is>
      </c>
      <c r="L1123" t="inlineStr">
        <is>
          <t>NOT AVAILABLE</t>
        </is>
      </c>
      <c r="M1123" t="inlineStr">
        <is>
          <t>UNAVAILABLE</t>
        </is>
      </c>
      <c r="N1123" t="inlineStr">
        <is>
          <t>Yes (supporting block)</t>
        </is>
      </c>
      <c r="O1123" s="5" t="inlineStr">
        <is>
          <t>Supports the primary topic - add only if natural</t>
        </is>
      </c>
      <c r="P1123" s="5" t="inlineStr"/>
      <c r="Q1123" t="inlineStr">
        <is>
          <t>P3</t>
        </is>
      </c>
      <c r="R1123" t="n">
        <v>7</v>
      </c>
      <c r="S1123" s="5" t="inlineStr">
        <is>
          <t>Copier le résumé Télécharger CSV Télécharger JSON</t>
        </is>
      </c>
    </row>
    <row r="1124">
      <c r="A1124" s="3" t="inlineStr">
        <is>
          <t>https://codesommet.com/tools/meta-extractor</t>
        </is>
      </c>
      <c r="B1124" t="n">
        <v>3</v>
      </c>
      <c r="C1124" t="inlineStr">
        <is>
          <t>Content block</t>
        </is>
      </c>
      <c r="D1124" s="5" t="inlineStr">
        <is>
          <t>Comment Utiliser Cet Outil</t>
        </is>
      </c>
      <c r="E1124" t="inlineStr">
        <is>
          <t>H2</t>
        </is>
      </c>
      <c r="F1124" s="5" t="inlineStr">
        <is>
          <t>Informational / tool use</t>
        </is>
      </c>
      <c r="G1124" t="inlineStr">
        <is>
          <t>extraire meta title</t>
        </is>
      </c>
      <c r="H1124" t="inlineStr">
        <is>
          <t>SUPPORTS PRIMARY</t>
        </is>
      </c>
      <c r="I1124" t="inlineStr">
        <is>
          <t>fr</t>
        </is>
      </c>
      <c r="J1124" t="inlineStr">
        <is>
          <t>NOT AVAILABLE</t>
        </is>
      </c>
      <c r="K1124" t="inlineStr">
        <is>
          <t>NOT AVAILABLE</t>
        </is>
      </c>
      <c r="L1124" t="inlineStr">
        <is>
          <t>NOT AVAILABLE</t>
        </is>
      </c>
      <c r="M1124" t="inlineStr">
        <is>
          <t>UNAVAILABLE</t>
        </is>
      </c>
      <c r="N1124" t="inlineStr">
        <is>
          <t>Yes (supporting block)</t>
        </is>
      </c>
      <c r="O1124" s="5" t="inlineStr">
        <is>
          <t>Supports the primary topic - add only if natural</t>
        </is>
      </c>
      <c r="P1124" s="5" t="inlineStr"/>
      <c r="Q1124" t="inlineStr">
        <is>
          <t>P3</t>
        </is>
      </c>
      <c r="R1124" t="n">
        <v>37</v>
      </c>
      <c r="S1124" s="5" t="inlineStr">
        <is>
          <t>1 Collez jusqu'à 20 adresses, une par ligne. 2 L'outil télécharge chaque page et lit ses balises dans le HTML. 3 Repérez les titres trop longs, les descriptions manquantes ou dupliquées, puis exportez le tableau en CSV.</t>
        </is>
      </c>
    </row>
    <row r="1125">
      <c r="A1125" s="3" t="inlineStr">
        <is>
          <t>https://codesommet.com/tools/meta-extractor</t>
        </is>
      </c>
      <c r="B1125" t="n">
        <v>4</v>
      </c>
      <c r="C1125" t="inlineStr">
        <is>
          <t>FAQ</t>
        </is>
      </c>
      <c r="D1125" s="5" t="inlineStr">
        <is>
          <t>Questions Fréquemment Posées</t>
        </is>
      </c>
      <c r="E1125" t="inlineStr">
        <is>
          <t>H2</t>
        </is>
      </c>
      <c r="F1125" s="5" t="inlineStr">
        <is>
          <t>Informational (pre-purchase questions)</t>
        </is>
      </c>
      <c r="G1125" t="inlineStr">
        <is>
          <t>extraire meta title</t>
        </is>
      </c>
      <c r="H1125" t="inlineStr">
        <is>
          <t>SUPPORTS PRIMARY</t>
        </is>
      </c>
      <c r="I1125" t="inlineStr">
        <is>
          <t>fr</t>
        </is>
      </c>
      <c r="J1125" t="inlineStr">
        <is>
          <t>NOT AVAILABLE</t>
        </is>
      </c>
      <c r="K1125" t="inlineStr">
        <is>
          <t>NOT AVAILABLE</t>
        </is>
      </c>
      <c r="L1125" t="inlineStr">
        <is>
          <t>NOT AVAILABLE</t>
        </is>
      </c>
      <c r="M1125" t="inlineStr">
        <is>
          <t>UNAVAILABLE</t>
        </is>
      </c>
      <c r="N1125" t="inlineStr">
        <is>
          <t>Yes (supporting block)</t>
        </is>
      </c>
      <c r="O1125" s="5" t="inlineStr">
        <is>
          <t>Supports the primary topic - add only if natural</t>
        </is>
      </c>
      <c r="P1125" s="5" t="inlineStr"/>
      <c r="Q1125" t="inlineStr">
        <is>
          <t>P3</t>
        </is>
      </c>
      <c r="R1125" t="n">
        <v>158</v>
      </c>
      <c r="S1125" s="5" t="inlineStr">
        <is>
          <t>Bien lire les résultats de l'extraction 1 Quelle longueur pour le titre et la description ? Visez environ 30 à 60 caractères pour la balise title et 120 à 160 pour la meta description : au-delà, Google risque de les tron</t>
        </is>
      </c>
    </row>
    <row r="1126">
      <c r="A1126" s="3" t="inlineStr">
        <is>
          <t>https://codesommet.com/tools/meta-extractor</t>
        </is>
      </c>
      <c r="B1126" t="n">
        <v>5</v>
      </c>
      <c r="C1126" t="inlineStr">
        <is>
          <t>Internal-link block</t>
        </is>
      </c>
      <c r="D1126" s="5" t="inlineStr">
        <is>
          <t>Outils Connexes Qui Pourraient Vous Intéresser</t>
        </is>
      </c>
      <c r="E1126" t="inlineStr">
        <is>
          <t>H2</t>
        </is>
      </c>
      <c r="F1126" s="5" t="inlineStr">
        <is>
          <t>Navigation</t>
        </is>
      </c>
      <c r="G1126" t="inlineStr">
        <is>
          <t>—</t>
        </is>
      </c>
      <c r="H1126" t="inlineStr">
        <is>
          <t>NONE</t>
        </is>
      </c>
      <c r="I1126" t="inlineStr">
        <is>
          <t>—</t>
        </is>
      </c>
      <c r="J1126" t="inlineStr">
        <is>
          <t>—</t>
        </is>
      </c>
      <c r="K1126" t="inlineStr">
        <is>
          <t>—</t>
        </is>
      </c>
      <c r="L1126" t="inlineStr">
        <is>
          <t>—</t>
        </is>
      </c>
      <c r="M1126" t="inlineStr">
        <is>
          <t>—</t>
        </is>
      </c>
      <c r="N1126" t="inlineStr">
        <is>
          <t>n/a</t>
        </is>
      </c>
      <c r="O1126" s="5" t="inlineStr">
        <is>
          <t>No keyword target - keep conversion/navigation focus; use descriptive, non-repeated anchor texts</t>
        </is>
      </c>
      <c r="P1126" s="5" t="inlineStr"/>
      <c r="Q1126" t="inlineStr">
        <is>
          <t>P4</t>
        </is>
      </c>
      <c r="R1126" t="n">
        <v>61</v>
      </c>
      <c r="S1126" s="5" t="inlineStr">
        <is>
          <t xml:space="preserve">Continuez à optimiser votre site web avec ces outils complémentaires Générateur de Balises Meta Rédigez des balises title et description optimisées. Essayer gratuitement seo Vérificateur de Canonical Contrôlez la balise </t>
        </is>
      </c>
    </row>
    <row r="1127">
      <c r="A1127" s="3" t="inlineStr">
        <is>
          <t>https://codesommet.com/tools/meta-extractor</t>
        </is>
      </c>
      <c r="B1127" t="n">
        <v>6</v>
      </c>
      <c r="C1127" t="inlineStr">
        <is>
          <t>Content block</t>
        </is>
      </c>
      <c r="D1127" s="5" t="inlineStr">
        <is>
          <t>Des Balises SEO à Reprendre sur Tout le Site ?</t>
        </is>
      </c>
      <c r="E1127" t="inlineStr">
        <is>
          <t>H2</t>
        </is>
      </c>
      <c r="F1127" s="5" t="inlineStr">
        <is>
          <t>Informational / tool use</t>
        </is>
      </c>
      <c r="G1127" t="inlineStr">
        <is>
          <t>extraire meta title</t>
        </is>
      </c>
      <c r="H1127" t="inlineStr">
        <is>
          <t>SUPPORTS PRIMARY</t>
        </is>
      </c>
      <c r="I1127" t="inlineStr">
        <is>
          <t>fr</t>
        </is>
      </c>
      <c r="J1127" t="inlineStr">
        <is>
          <t>NOT AVAILABLE</t>
        </is>
      </c>
      <c r="K1127" t="inlineStr">
        <is>
          <t>NOT AVAILABLE</t>
        </is>
      </c>
      <c r="L1127" t="inlineStr">
        <is>
          <t>NOT AVAILABLE</t>
        </is>
      </c>
      <c r="M1127" t="inlineStr">
        <is>
          <t>UNAVAILABLE</t>
        </is>
      </c>
      <c r="N1127" t="inlineStr">
        <is>
          <t>Yes (supporting block)</t>
        </is>
      </c>
      <c r="O1127" s="5" t="inlineStr">
        <is>
          <t>Supports the primary topic - add only if natural</t>
        </is>
      </c>
      <c r="P1127" s="5" t="inlineStr"/>
      <c r="Q1127" t="inlineStr">
        <is>
          <t>P3</t>
        </is>
      </c>
      <c r="R1127" t="n">
        <v>106</v>
      </c>
      <c r="S1127" s="5" t="inlineStr">
        <is>
          <t>Nous auditons et réécrivons titres, descriptions et balises techniques page par page Réserver un Appel Découverte 50+ projets réussis • Livraison en 48h • Pas de contrats à long terme Sites web Chatbots IA CRM Réservatio</t>
        </is>
      </c>
    </row>
    <row r="1128">
      <c r="A1128" s="3" t="inlineStr">
        <is>
          <t>https://codesommet.com/tools/meta-refresh-generator</t>
        </is>
      </c>
      <c r="B1128" t="n">
        <v>1</v>
      </c>
      <c r="C1128" t="inlineStr">
        <is>
          <t>Hero / H1</t>
        </is>
      </c>
      <c r="D1128" s="5" t="inlineStr">
        <is>
          <t>Générateur de Balise Meta Refresh Gratuit</t>
        </is>
      </c>
      <c r="E1128" t="inlineStr">
        <is>
          <t>H1</t>
        </is>
      </c>
      <c r="F1128" s="5" t="inlineStr">
        <is>
          <t>Informational / tool use</t>
        </is>
      </c>
      <c r="G1128" t="inlineStr">
        <is>
          <t>meta refresh</t>
        </is>
      </c>
      <c r="H1128" t="inlineStr">
        <is>
          <t>PRIMARY</t>
        </is>
      </c>
      <c r="I1128" t="inlineStr">
        <is>
          <t>fr</t>
        </is>
      </c>
      <c r="J1128" t="n">
        <v>30</v>
      </c>
      <c r="K1128" t="inlineStr">
        <is>
          <t>NOT AVAILABLE</t>
        </is>
      </c>
      <c r="L1128" t="n">
        <v>0</v>
      </c>
      <c r="M1128" t="inlineStr">
        <is>
          <t>MEASURED</t>
        </is>
      </c>
      <c r="N1128" t="inlineStr">
        <is>
          <t>Yes</t>
        </is>
      </c>
      <c r="O1128" s="5" t="inlineStr">
        <is>
          <t>Covered - keep wording; no change</t>
        </is>
      </c>
      <c r="P1128" s="5" t="inlineStr"/>
      <c r="Q1128" t="inlineStr">
        <is>
          <t>P3</t>
        </is>
      </c>
      <c r="R1128" t="n">
        <v>14</v>
      </c>
      <c r="S1128" s="5" t="inlineStr">
        <is>
          <t>Générez des redirections meta refresh HTML avec des délais personnalisés Gratuit • Aucune inscription requise</t>
        </is>
      </c>
    </row>
    <row r="1129">
      <c r="A1129" s="3" t="inlineStr">
        <is>
          <t>https://codesommet.com/tools/meta-refresh-generator</t>
        </is>
      </c>
      <c r="B1129" t="n">
        <v>2</v>
      </c>
      <c r="C1129" t="inlineStr">
        <is>
          <t>Content block</t>
        </is>
      </c>
      <c r="D1129" s="5" t="inlineStr">
        <is>
          <t>Configuration de Redirection</t>
        </is>
      </c>
      <c r="E1129" t="inlineStr">
        <is>
          <t>H2</t>
        </is>
      </c>
      <c r="F1129" s="5" t="inlineStr">
        <is>
          <t>Informational / tool use</t>
        </is>
      </c>
      <c r="G1129" t="inlineStr">
        <is>
          <t>meta refresh</t>
        </is>
      </c>
      <c r="H1129" t="inlineStr">
        <is>
          <t>SUPPORTS PRIMARY</t>
        </is>
      </c>
      <c r="I1129" t="inlineStr">
        <is>
          <t>fr</t>
        </is>
      </c>
      <c r="J1129" t="n">
        <v>30</v>
      </c>
      <c r="K1129" t="inlineStr">
        <is>
          <t>NOT AVAILABLE</t>
        </is>
      </c>
      <c r="L1129" t="n">
        <v>0</v>
      </c>
      <c r="M1129" t="inlineStr">
        <is>
          <t>MEASURED</t>
        </is>
      </c>
      <c r="N1129" t="inlineStr">
        <is>
          <t>Yes</t>
        </is>
      </c>
      <c r="O1129" s="5" t="inlineStr">
        <is>
          <t>Covered - keep wording; no change</t>
        </is>
      </c>
      <c r="P1129" s="5" t="inlineStr"/>
      <c r="Q1129" t="inlineStr">
        <is>
          <t>P3</t>
        </is>
      </c>
      <c r="R1129" t="n">
        <v>34</v>
      </c>
      <c r="S1129" s="5" t="inlineStr">
        <is>
          <t>Configurez vos paramètres de redirection meta refresh ci-dessous. URL de Destination * Entrez l'URL complète incluant http:// ou https:// Délai de Redirection : 5 second s 0s (Instantané) 5s (Recommandé) 10s (Max) Génére</t>
        </is>
      </c>
    </row>
    <row r="1130">
      <c r="A1130" s="3" t="inlineStr">
        <is>
          <t>https://codesommet.com/tools/meta-refresh-generator</t>
        </is>
      </c>
      <c r="B1130" t="n">
        <v>3</v>
      </c>
      <c r="C1130" t="inlineStr">
        <is>
          <t>Proof / portfolio / results</t>
        </is>
      </c>
      <c r="D1130" s="5" t="inlineStr">
        <is>
          <t>Avertissement Impact SEO</t>
        </is>
      </c>
      <c r="E1130" t="inlineStr">
        <is>
          <t>H2</t>
        </is>
      </c>
      <c r="F1130" s="5" t="inlineStr">
        <is>
          <t>Commercial investigation</t>
        </is>
      </c>
      <c r="G1130" t="inlineStr">
        <is>
          <t>meta refresh</t>
        </is>
      </c>
      <c r="H1130" t="inlineStr">
        <is>
          <t>SUPPORTS PRIMARY</t>
        </is>
      </c>
      <c r="I1130" t="inlineStr">
        <is>
          <t>fr</t>
        </is>
      </c>
      <c r="J1130" t="n">
        <v>30</v>
      </c>
      <c r="K1130" t="inlineStr">
        <is>
          <t>NOT AVAILABLE</t>
        </is>
      </c>
      <c r="L1130" t="n">
        <v>0</v>
      </c>
      <c r="M1130" t="inlineStr">
        <is>
          <t>MEASURED</t>
        </is>
      </c>
      <c r="N1130" t="inlineStr">
        <is>
          <t>Yes</t>
        </is>
      </c>
      <c r="O1130" s="5" t="inlineStr">
        <is>
          <t>Covered - keep wording; no change</t>
        </is>
      </c>
      <c r="P1130" s="5" t="inlineStr"/>
      <c r="Q1130" t="inlineStr">
        <is>
          <t>P3</t>
        </is>
      </c>
      <c r="R1130" t="n">
        <v>84</v>
      </c>
      <c r="S1130" s="5" t="inlineStr">
        <is>
          <t xml:space="preserve">Les redirections meta refresh ne sont PAS recommandées pour le SEO . Les moteurs de recherche peuvent ne pas transmettre l'équité de lien (PageRank) via les redirections meta refresh. Utilisez les redirections 301 (côté </t>
        </is>
      </c>
    </row>
    <row r="1131">
      <c r="A1131" s="3" t="inlineStr">
        <is>
          <t>https://codesommet.com/tools/meta-refresh-generator</t>
        </is>
      </c>
      <c r="B1131" t="n">
        <v>4</v>
      </c>
      <c r="C1131" t="inlineStr">
        <is>
          <t>Content block</t>
        </is>
      </c>
      <c r="D1131" s="5" t="inlineStr">
        <is>
          <t>Quand Utiliser Meta Refresh</t>
        </is>
      </c>
      <c r="E1131" t="inlineStr">
        <is>
          <t>H2</t>
        </is>
      </c>
      <c r="F1131" s="5" t="inlineStr">
        <is>
          <t>Informational / tool use</t>
        </is>
      </c>
      <c r="G1131" t="inlineStr">
        <is>
          <t>meta refresh</t>
        </is>
      </c>
      <c r="H1131" t="inlineStr">
        <is>
          <t>SUPPORTS PRIMARY</t>
        </is>
      </c>
      <c r="I1131" t="inlineStr">
        <is>
          <t>fr</t>
        </is>
      </c>
      <c r="J1131" t="n">
        <v>30</v>
      </c>
      <c r="K1131" t="inlineStr">
        <is>
          <t>NOT AVAILABLE</t>
        </is>
      </c>
      <c r="L1131" t="n">
        <v>0</v>
      </c>
      <c r="M1131" t="inlineStr">
        <is>
          <t>MEASURED</t>
        </is>
      </c>
      <c r="N1131" t="inlineStr">
        <is>
          <t>Yes</t>
        </is>
      </c>
      <c r="O1131" s="5" t="inlineStr">
        <is>
          <t>Covered - keep wording; no change</t>
        </is>
      </c>
      <c r="P1131" s="5" t="inlineStr"/>
      <c r="Q1131" t="inlineStr">
        <is>
          <t>P3</t>
        </is>
      </c>
      <c r="R1131" t="n">
        <v>59</v>
      </c>
      <c r="S1131" s="5" t="inlineStr">
        <is>
          <t>Pas d'Accès Serveur Vous ne pouvez pas configurer les redirections côté serveur (ex., hébergement statique) Redirections Visibles par l'Utilisateur You want users to see a "redirecting..." message Pages d'Atterrissage Te</t>
        </is>
      </c>
    </row>
    <row r="1132">
      <c r="A1132" s="3" t="inlineStr">
        <is>
          <t>https://codesommet.com/tools/meta-refresh-generator</t>
        </is>
      </c>
      <c r="B1132" t="n">
        <v>5</v>
      </c>
      <c r="C1132" t="inlineStr">
        <is>
          <t>FAQ</t>
        </is>
      </c>
      <c r="D1132" s="5" t="inlineStr">
        <is>
          <t>Questions Fréquemment Posées</t>
        </is>
      </c>
      <c r="E1132" t="inlineStr">
        <is>
          <t>H2</t>
        </is>
      </c>
      <c r="F1132" s="5" t="inlineStr">
        <is>
          <t>Informational (pre-purchase questions)</t>
        </is>
      </c>
      <c r="G1132" t="inlineStr">
        <is>
          <t>meta refresh</t>
        </is>
      </c>
      <c r="H1132" t="inlineStr">
        <is>
          <t>SUPPORTS PRIMARY</t>
        </is>
      </c>
      <c r="I1132" t="inlineStr">
        <is>
          <t>fr</t>
        </is>
      </c>
      <c r="J1132" t="n">
        <v>30</v>
      </c>
      <c r="K1132" t="inlineStr">
        <is>
          <t>NOT AVAILABLE</t>
        </is>
      </c>
      <c r="L1132" t="n">
        <v>0</v>
      </c>
      <c r="M1132" t="inlineStr">
        <is>
          <t>MEASURED</t>
        </is>
      </c>
      <c r="N1132" t="inlineStr">
        <is>
          <t>Yes</t>
        </is>
      </c>
      <c r="O1132" s="5" t="inlineStr">
        <is>
          <t>Covered - keep wording; no change</t>
        </is>
      </c>
      <c r="P1132" s="5" t="inlineStr"/>
      <c r="Q1132" t="inlineStr">
        <is>
          <t>P3</t>
        </is>
      </c>
      <c r="R1132" t="n">
        <v>552</v>
      </c>
      <c r="S1132" s="5" t="inlineStr">
        <is>
          <t>Questions courantes sur cet outil et comment l'utiliser efficacement 1 Qu'est-ce qu'une redirection meta refresh et comment fonctionne-t-elle ? Une redirection meta refresh est une redirection HTML qui utilise une balise</t>
        </is>
      </c>
    </row>
    <row r="1133">
      <c r="A1133" s="3" t="inlineStr">
        <is>
          <t>https://codesommet.com/tools/meta-refresh-generator</t>
        </is>
      </c>
      <c r="B1133" t="n">
        <v>6</v>
      </c>
      <c r="C1133" t="inlineStr">
        <is>
          <t>Internal-link block</t>
        </is>
      </c>
      <c r="D1133" s="5" t="inlineStr">
        <is>
          <t>Outils Connexes Qui Pourraient Vous Intéresser</t>
        </is>
      </c>
      <c r="E1133" t="inlineStr">
        <is>
          <t>H2</t>
        </is>
      </c>
      <c r="F1133" s="5" t="inlineStr">
        <is>
          <t>Navigation</t>
        </is>
      </c>
      <c r="G1133" t="inlineStr">
        <is>
          <t>—</t>
        </is>
      </c>
      <c r="H1133" t="inlineStr">
        <is>
          <t>NONE</t>
        </is>
      </c>
      <c r="I1133" t="inlineStr">
        <is>
          <t>—</t>
        </is>
      </c>
      <c r="J1133" t="inlineStr">
        <is>
          <t>—</t>
        </is>
      </c>
      <c r="K1133" t="inlineStr">
        <is>
          <t>—</t>
        </is>
      </c>
      <c r="L1133" t="inlineStr">
        <is>
          <t>—</t>
        </is>
      </c>
      <c r="M1133" t="inlineStr">
        <is>
          <t>—</t>
        </is>
      </c>
      <c r="N1133" t="inlineStr">
        <is>
          <t>n/a</t>
        </is>
      </c>
      <c r="O1133" s="5" t="inlineStr">
        <is>
          <t>No keyword target - keep conversion/navigation focus; use descriptive, non-repeated anchor texts</t>
        </is>
      </c>
      <c r="P1133" s="5" t="inlineStr"/>
      <c r="Q1133" t="inlineStr">
        <is>
          <t>P4</t>
        </is>
      </c>
      <c r="R1133" t="n">
        <v>67</v>
      </c>
      <c r="S1133" s="5" t="inlineStr">
        <is>
          <t>Continuez à optimiser votre site web avec ces outils complémentaires Aperçu Open Graph Prévisualisez les cartes de réseaux sociaux pour 4 plateformes majeures Essayer gratuitement seo Générateur de Sitemap XML Générez de</t>
        </is>
      </c>
    </row>
    <row r="1134">
      <c r="A1134" s="3" t="inlineStr">
        <is>
          <t>https://codesommet.com/tools/meta-refresh-generator</t>
        </is>
      </c>
      <c r="B1134" t="n">
        <v>7</v>
      </c>
      <c r="C1134" t="inlineStr">
        <is>
          <t>CTA / conversion</t>
        </is>
      </c>
      <c r="D1134" s="5" t="inlineStr">
        <is>
          <t>Besoin d'un Outil Personnalisé pour Votre Entreprise ?</t>
        </is>
      </c>
      <c r="E1134" t="inlineStr">
        <is>
          <t>H2</t>
        </is>
      </c>
      <c r="F1134" s="5" t="inlineStr">
        <is>
          <t>Conversion</t>
        </is>
      </c>
      <c r="G1134" t="inlineStr">
        <is>
          <t>—</t>
        </is>
      </c>
      <c r="H1134" t="inlineStr">
        <is>
          <t>NONE</t>
        </is>
      </c>
      <c r="I1134" t="inlineStr">
        <is>
          <t>—</t>
        </is>
      </c>
      <c r="J1134" t="inlineStr">
        <is>
          <t>—</t>
        </is>
      </c>
      <c r="K1134" t="inlineStr">
        <is>
          <t>—</t>
        </is>
      </c>
      <c r="L1134" t="inlineStr">
        <is>
          <t>—</t>
        </is>
      </c>
      <c r="M1134" t="inlineStr">
        <is>
          <t>—</t>
        </is>
      </c>
      <c r="N1134" t="inlineStr">
        <is>
          <t>n/a</t>
        </is>
      </c>
      <c r="O1134" s="5" t="inlineStr">
        <is>
          <t>No keyword target - keep conversion/navigation focus; use descriptive, non-repeated anchor texts</t>
        </is>
      </c>
      <c r="P1134" s="5" t="inlineStr"/>
      <c r="Q1134" t="inlineStr">
        <is>
          <t>P4</t>
        </is>
      </c>
      <c r="R1134" t="n">
        <v>113</v>
      </c>
      <c r="S1134" s="5" t="inlineStr">
        <is>
          <t>Nous créons des outils alimentés par l'IA, des tableaux de bord et des automatisations qui génèrent de vrais résultats Réserver un Appel Découverte 50+ projets réussis • Livraison en 48h • Pas de contrats à long terme Si</t>
        </is>
      </c>
    </row>
    <row r="1135">
      <c r="A1135" s="3" t="inlineStr">
        <is>
          <t>https://codesommet.com/tools/meta-tag-generator</t>
        </is>
      </c>
      <c r="B1135" t="n">
        <v>1</v>
      </c>
      <c r="C1135" t="inlineStr">
        <is>
          <t>Hero / H1</t>
        </is>
      </c>
      <c r="D1135" s="5" t="inlineStr">
        <is>
          <t>Générateur de Balises Méta IA Gratuit</t>
        </is>
      </c>
      <c r="E1135" t="inlineStr">
        <is>
          <t>H1</t>
        </is>
      </c>
      <c r="F1135" s="5" t="inlineStr">
        <is>
          <t>Informational / tool use</t>
        </is>
      </c>
      <c r="G1135" t="inlineStr">
        <is>
          <t>balise meta</t>
        </is>
      </c>
      <c r="H1135" t="inlineStr">
        <is>
          <t>PRIMARY</t>
        </is>
      </c>
      <c r="I1135" t="inlineStr">
        <is>
          <t>fr</t>
        </is>
      </c>
      <c r="J1135" t="n">
        <v>320</v>
      </c>
      <c r="K1135" t="n">
        <v>37</v>
      </c>
      <c r="L1135" t="n">
        <v>1.22</v>
      </c>
      <c r="M1135" t="inlineStr">
        <is>
          <t>MEASURED</t>
        </is>
      </c>
      <c r="N1135" t="inlineStr">
        <is>
          <t>Yes</t>
        </is>
      </c>
      <c r="O1135" s="5" t="inlineStr">
        <is>
          <t>Covered - keep wording; no change</t>
        </is>
      </c>
      <c r="P1135" s="5" t="inlineStr"/>
      <c r="Q1135" t="inlineStr">
        <is>
          <t>P3</t>
        </is>
      </c>
      <c r="R1135" t="n">
        <v>40</v>
      </c>
      <c r="S1135" s="5" t="inlineStr">
        <is>
          <t>Générez des balises méta optimisées SEO instantanément à partir de n'importe quelle URL. L'IA analyse le contenu de votre page et crée des titres, descriptions et balises Open Graph parfaits pour de meilleurs classements</t>
        </is>
      </c>
    </row>
    <row r="1136">
      <c r="A1136" s="3" t="inlineStr">
        <is>
          <t>https://codesommet.com/tools/meta-tag-generator</t>
        </is>
      </c>
      <c r="B1136" t="n">
        <v>2</v>
      </c>
      <c r="C1136" t="inlineStr">
        <is>
          <t>Tool interface</t>
        </is>
      </c>
      <c r="D1136" s="5" t="inlineStr">
        <is>
          <t>Entrez l'URL de Votre Site Web</t>
        </is>
      </c>
      <c r="E1136" t="inlineStr">
        <is>
          <t>H2</t>
        </is>
      </c>
      <c r="F1136" s="5" t="inlineStr">
        <is>
          <t>Tool use</t>
        </is>
      </c>
      <c r="G1136" t="inlineStr">
        <is>
          <t>meta description</t>
        </is>
      </c>
      <c r="H1136" t="inlineStr">
        <is>
          <t>SECONDARY</t>
        </is>
      </c>
      <c r="I1136" t="inlineStr">
        <is>
          <t>fr</t>
        </is>
      </c>
      <c r="J1136" t="n">
        <v>1000</v>
      </c>
      <c r="K1136" t="n">
        <v>37</v>
      </c>
      <c r="L1136" t="n">
        <v>0.89</v>
      </c>
      <c r="M1136" t="inlineStr">
        <is>
          <t>MEASURED</t>
        </is>
      </c>
      <c r="N1136" t="inlineStr">
        <is>
          <t>Yes</t>
        </is>
      </c>
      <c r="O1136" s="5" t="inlineStr">
        <is>
          <t>Covered - keep wording; no change</t>
        </is>
      </c>
      <c r="P1136" s="5" t="inlineStr"/>
      <c r="Q1136" t="inlineStr">
        <is>
          <t>P3</t>
        </is>
      </c>
      <c r="R1136" t="n">
        <v>165</v>
      </c>
      <c r="S1136" s="5" t="inlineStr">
        <is>
          <t>URL du site web * Nous analyserons votre page et générerons des balises méta optimisées Générer les Balises Méta Comment Ça Fonctionne 1 Entrer l'URL Collez simplement l'URL de votre site web - nous récupérerons et analy</t>
        </is>
      </c>
    </row>
    <row r="1137">
      <c r="A1137" s="3" t="inlineStr">
        <is>
          <t>https://codesommet.com/tools/meta-tag-generator</t>
        </is>
      </c>
      <c r="B1137" t="n">
        <v>3</v>
      </c>
      <c r="C1137" t="inlineStr">
        <is>
          <t>FAQ</t>
        </is>
      </c>
      <c r="D1137" s="5" t="inlineStr">
        <is>
          <t>Questions Fréquemment Posées</t>
        </is>
      </c>
      <c r="E1137" t="inlineStr">
        <is>
          <t>H2</t>
        </is>
      </c>
      <c r="F1137" s="5" t="inlineStr">
        <is>
          <t>Informational (pre-purchase questions)</t>
        </is>
      </c>
      <c r="G1137" t="inlineStr">
        <is>
          <t>balise meta</t>
        </is>
      </c>
      <c r="H1137" t="inlineStr">
        <is>
          <t>SUPPORTS PRIMARY</t>
        </is>
      </c>
      <c r="I1137" t="inlineStr">
        <is>
          <t>fr</t>
        </is>
      </c>
      <c r="J1137" t="n">
        <v>320</v>
      </c>
      <c r="K1137" t="n">
        <v>37</v>
      </c>
      <c r="L1137" t="n">
        <v>1.22</v>
      </c>
      <c r="M1137" t="inlineStr">
        <is>
          <t>MEASURED</t>
        </is>
      </c>
      <c r="N1137" t="inlineStr">
        <is>
          <t>Yes</t>
        </is>
      </c>
      <c r="O1137" s="5" t="inlineStr">
        <is>
          <t>Covered - keep wording; no change</t>
        </is>
      </c>
      <c r="P1137" s="5" t="inlineStr"/>
      <c r="Q1137" t="inlineStr">
        <is>
          <t>P3</t>
        </is>
      </c>
      <c r="R1137" t="n">
        <v>495</v>
      </c>
      <c r="S1137" s="5" t="inlineStr">
        <is>
          <t>Questions courantes sur cet outil et comment l'utiliser efficacement 1 Qu'est-ce qu'un générateur de balises méta et pourquoi en ai-je besoin ? Un générateur de balises méta crée des balises de titre, méta descriptions e</t>
        </is>
      </c>
    </row>
    <row r="1138">
      <c r="A1138" s="3" t="inlineStr">
        <is>
          <t>https://codesommet.com/tools/meta-tag-generator</t>
        </is>
      </c>
      <c r="B1138" t="n">
        <v>4</v>
      </c>
      <c r="C1138" t="inlineStr">
        <is>
          <t>Internal-link block</t>
        </is>
      </c>
      <c r="D1138" s="5" t="inlineStr">
        <is>
          <t>Outils Connexes Qui Pourraient Vous Intéresser</t>
        </is>
      </c>
      <c r="E1138" t="inlineStr">
        <is>
          <t>H2</t>
        </is>
      </c>
      <c r="F1138" s="5" t="inlineStr">
        <is>
          <t>Navigation</t>
        </is>
      </c>
      <c r="G1138" t="inlineStr">
        <is>
          <t>—</t>
        </is>
      </c>
      <c r="H1138" t="inlineStr">
        <is>
          <t>NONE</t>
        </is>
      </c>
      <c r="I1138" t="inlineStr">
        <is>
          <t>—</t>
        </is>
      </c>
      <c r="J1138" t="inlineStr">
        <is>
          <t>—</t>
        </is>
      </c>
      <c r="K1138" t="inlineStr">
        <is>
          <t>—</t>
        </is>
      </c>
      <c r="L1138" t="inlineStr">
        <is>
          <t>—</t>
        </is>
      </c>
      <c r="M1138" t="inlineStr">
        <is>
          <t>—</t>
        </is>
      </c>
      <c r="N1138" t="inlineStr">
        <is>
          <t>n/a</t>
        </is>
      </c>
      <c r="O1138" s="5" t="inlineStr">
        <is>
          <t>No keyword target - keep conversion/navigation focus; use descriptive, non-repeated anchor texts</t>
        </is>
      </c>
      <c r="P1138" s="5" t="inlineStr"/>
      <c r="Q1138" t="inlineStr">
        <is>
          <t>P4</t>
        </is>
      </c>
      <c r="R1138" t="n">
        <v>68</v>
      </c>
      <c r="S1138" s="5" t="inlineStr">
        <is>
          <t>Continuez à optimiser votre site web avec ces outils complémentaires Générateur de Titres de Blog IA 10 titres viraux avec scores SEO et estimations de CTR Essayer gratuitement ai Générateur de Scripts Chatbot IA Flux de</t>
        </is>
      </c>
    </row>
    <row r="1139">
      <c r="A1139" s="3" t="inlineStr">
        <is>
          <t>https://codesommet.com/tools/meta-tag-generator</t>
        </is>
      </c>
      <c r="B1139" t="n">
        <v>5</v>
      </c>
      <c r="C1139" t="inlineStr">
        <is>
          <t>CTA / conversion</t>
        </is>
      </c>
      <c r="D1139" s="5" t="inlineStr">
        <is>
          <t>Besoin d'un Outil Personnalisé pour Votre Entreprise ?</t>
        </is>
      </c>
      <c r="E1139" t="inlineStr">
        <is>
          <t>H2</t>
        </is>
      </c>
      <c r="F1139" s="5" t="inlineStr">
        <is>
          <t>Conversion</t>
        </is>
      </c>
      <c r="G1139" t="inlineStr">
        <is>
          <t>—</t>
        </is>
      </c>
      <c r="H1139" t="inlineStr">
        <is>
          <t>NONE</t>
        </is>
      </c>
      <c r="I1139" t="inlineStr">
        <is>
          <t>—</t>
        </is>
      </c>
      <c r="J1139" t="inlineStr">
        <is>
          <t>—</t>
        </is>
      </c>
      <c r="K1139" t="inlineStr">
        <is>
          <t>—</t>
        </is>
      </c>
      <c r="L1139" t="inlineStr">
        <is>
          <t>—</t>
        </is>
      </c>
      <c r="M1139" t="inlineStr">
        <is>
          <t>—</t>
        </is>
      </c>
      <c r="N1139" t="inlineStr">
        <is>
          <t>n/a</t>
        </is>
      </c>
      <c r="O1139" s="5" t="inlineStr">
        <is>
          <t>No keyword target - keep conversion/navigation focus; use descriptive, non-repeated anchor texts</t>
        </is>
      </c>
      <c r="P1139" s="5" t="inlineStr"/>
      <c r="Q1139" t="inlineStr">
        <is>
          <t>P4</t>
        </is>
      </c>
      <c r="R1139" t="n">
        <v>113</v>
      </c>
      <c r="S1139" s="5" t="inlineStr">
        <is>
          <t>Nous créons des outils alimentés par l'IA, des tableaux de bord et des automatisations qui génèrent de vrais résultats Réserver un Appel Découverte 50+ projets réussis • Livraison en 48h • Pas de contrats à long terme Si</t>
        </is>
      </c>
    </row>
    <row r="1140">
      <c r="A1140" s="3" t="inlineStr">
        <is>
          <t>https://codesommet.com/tools/mobile-friendly-test</t>
        </is>
      </c>
      <c r="B1140" t="n">
        <v>1</v>
      </c>
      <c r="C1140" t="inlineStr">
        <is>
          <t>Hero / H1</t>
        </is>
      </c>
      <c r="D1140" s="5" t="inlineStr">
        <is>
          <t>Test de Compatibilité Mobile Gratuit</t>
        </is>
      </c>
      <c r="E1140" t="inlineStr">
        <is>
          <t>H1</t>
        </is>
      </c>
      <c r="F1140" s="5" t="inlineStr">
        <is>
          <t>Informational / tool use</t>
        </is>
      </c>
      <c r="G1140" t="inlineStr">
        <is>
          <t>mobile friendly test</t>
        </is>
      </c>
      <c r="H1140" t="inlineStr">
        <is>
          <t>PRIMARY</t>
        </is>
      </c>
      <c r="I1140" t="inlineStr">
        <is>
          <t>fr</t>
        </is>
      </c>
      <c r="J1140" t="n">
        <v>210</v>
      </c>
      <c r="K1140" t="n">
        <v>22</v>
      </c>
      <c r="L1140" t="n">
        <v>1.9</v>
      </c>
      <c r="M1140" t="inlineStr">
        <is>
          <t>MEASURED</t>
        </is>
      </c>
      <c r="N1140" t="inlineStr">
        <is>
          <t>Partly</t>
        </is>
      </c>
      <c r="O1140" s="5" t="inlineStr">
        <is>
          <t>Work "mobile friendly test" (or a close natural variant) into existing copy - no new heading needed</t>
        </is>
      </c>
      <c r="P1140" s="5" t="inlineStr">
        <is>
          <t>Keyword/variant absent from this section</t>
        </is>
      </c>
      <c r="Q1140" t="inlineStr">
        <is>
          <t>P3</t>
        </is>
      </c>
      <c r="R1140" t="n">
        <v>48</v>
      </c>
      <c r="S1140" s="5" t="inlineStr">
        <is>
          <t>Analysez la réactivité mobile et l'utilisabilité de votre site web. Vérifiez la configuration du viewport, les tailles de police, les cibles tactiles et obtenez des recommandations concrètes pour améliorer l'expérience m</t>
        </is>
      </c>
    </row>
    <row r="1141">
      <c r="A1141" s="3" t="inlineStr">
        <is>
          <t>https://codesommet.com/tools/mobile-friendly-test</t>
        </is>
      </c>
      <c r="B1141" t="n">
        <v>2</v>
      </c>
      <c r="C1141" t="inlineStr">
        <is>
          <t>FAQ</t>
        </is>
      </c>
      <c r="D1141" s="5" t="inlineStr">
        <is>
          <t>Questions Fréquemment Posées</t>
        </is>
      </c>
      <c r="E1141" t="inlineStr">
        <is>
          <t>H2</t>
        </is>
      </c>
      <c r="F1141" s="5" t="inlineStr">
        <is>
          <t>Informational (pre-purchase questions)</t>
        </is>
      </c>
      <c r="G1141" t="inlineStr">
        <is>
          <t>mobile friendly test</t>
        </is>
      </c>
      <c r="H1141" t="inlineStr">
        <is>
          <t>SUPPORTS PRIMARY</t>
        </is>
      </c>
      <c r="I1141" t="inlineStr">
        <is>
          <t>fr</t>
        </is>
      </c>
      <c r="J1141" t="n">
        <v>210</v>
      </c>
      <c r="K1141" t="n">
        <v>22</v>
      </c>
      <c r="L1141" t="n">
        <v>1.9</v>
      </c>
      <c r="M1141" t="inlineStr">
        <is>
          <t>MEASURED</t>
        </is>
      </c>
      <c r="N1141" t="inlineStr">
        <is>
          <t>Yes</t>
        </is>
      </c>
      <c r="O1141" s="5" t="inlineStr">
        <is>
          <t>Covered - keep wording; no change</t>
        </is>
      </c>
      <c r="P1141" s="5" t="inlineStr"/>
      <c r="Q1141" t="inlineStr">
        <is>
          <t>P3</t>
        </is>
      </c>
      <c r="R1141" t="n">
        <v>519</v>
      </c>
      <c r="S1141" s="5" t="inlineStr">
        <is>
          <t>Questions courantes sur cet outil et comment l'utiliser efficacement 1 Pourquoi la compatibilité mobile est-elle importante pour le SEO ? Google utilise l'indexation mobile-first, ce qui signifie qu'il utilise principale</t>
        </is>
      </c>
    </row>
    <row r="1142">
      <c r="A1142" s="3" t="inlineStr">
        <is>
          <t>https://codesommet.com/tools/mobile-friendly-test</t>
        </is>
      </c>
      <c r="B1142" t="n">
        <v>3</v>
      </c>
      <c r="C1142" t="inlineStr">
        <is>
          <t>CTA / conversion</t>
        </is>
      </c>
      <c r="D1142" s="5" t="inlineStr">
        <is>
          <t>Besoin d'un Outil Personnalisé pour Votre Entreprise ?</t>
        </is>
      </c>
      <c r="E1142" t="inlineStr">
        <is>
          <t>H2</t>
        </is>
      </c>
      <c r="F1142" s="5" t="inlineStr">
        <is>
          <t>Conversion</t>
        </is>
      </c>
      <c r="G1142" t="inlineStr">
        <is>
          <t>—</t>
        </is>
      </c>
      <c r="H1142" t="inlineStr">
        <is>
          <t>NONE</t>
        </is>
      </c>
      <c r="I1142" t="inlineStr">
        <is>
          <t>—</t>
        </is>
      </c>
      <c r="J1142" t="inlineStr">
        <is>
          <t>—</t>
        </is>
      </c>
      <c r="K1142" t="inlineStr">
        <is>
          <t>—</t>
        </is>
      </c>
      <c r="L1142" t="inlineStr">
        <is>
          <t>—</t>
        </is>
      </c>
      <c r="M1142" t="inlineStr">
        <is>
          <t>—</t>
        </is>
      </c>
      <c r="N1142" t="inlineStr">
        <is>
          <t>n/a</t>
        </is>
      </c>
      <c r="O1142" s="5" t="inlineStr">
        <is>
          <t>No keyword target - keep conversion/navigation focus; use descriptive, non-repeated anchor texts</t>
        </is>
      </c>
      <c r="P1142" s="5" t="inlineStr"/>
      <c r="Q1142" t="inlineStr">
        <is>
          <t>P4</t>
        </is>
      </c>
      <c r="R1142" t="n">
        <v>113</v>
      </c>
      <c r="S1142" s="5" t="inlineStr">
        <is>
          <t>Nous créons des outils alimentés par l'IA, des tableaux de bord et des automatisations qui génèrent de vrais résultats Réserver un Appel Découverte 50+ projets réussis • Livraison en 48h • Pas de contrats à long terme Si</t>
        </is>
      </c>
    </row>
    <row r="1143">
      <c r="A1143" s="3" t="inlineStr">
        <is>
          <t>https://codesommet.com/tools/ngram-extractor</t>
        </is>
      </c>
      <c r="B1143" t="n">
        <v>1</v>
      </c>
      <c r="C1143" t="inlineStr">
        <is>
          <t>Hero / H1</t>
        </is>
      </c>
      <c r="D1143" s="5" t="inlineStr">
        <is>
          <t>Extracteur de N-grammes : Mots Fréquents</t>
        </is>
      </c>
      <c r="E1143" t="inlineStr">
        <is>
          <t>H1</t>
        </is>
      </c>
      <c r="F1143" s="5" t="inlineStr">
        <is>
          <t>Informational / tool use</t>
        </is>
      </c>
      <c r="G1143" t="inlineStr">
        <is>
          <t>n-gram</t>
        </is>
      </c>
      <c r="H1143" t="inlineStr">
        <is>
          <t>PRIMARY</t>
        </is>
      </c>
      <c r="I1143" t="inlineStr">
        <is>
          <t>fr</t>
        </is>
      </c>
      <c r="J1143" t="n">
        <v>90</v>
      </c>
      <c r="K1143" t="n">
        <v>19</v>
      </c>
      <c r="L1143" t="n">
        <v>0</v>
      </c>
      <c r="M1143" t="inlineStr">
        <is>
          <t>MEASURED</t>
        </is>
      </c>
      <c r="N1143" t="inlineStr">
        <is>
          <t>Yes</t>
        </is>
      </c>
      <c r="O1143" s="5" t="inlineStr">
        <is>
          <t>Covered - keep wording; no change</t>
        </is>
      </c>
      <c r="P1143" s="5" t="inlineStr"/>
      <c r="Q1143" t="inlineStr">
        <is>
          <t>P3</t>
        </is>
      </c>
      <c r="R1143" t="n">
        <v>98</v>
      </c>
      <c r="S1143" s="5" t="inlineStr">
        <is>
          <t>Quelles expressions reviennent le plus dans une page qui se classe ? Extrayez les mots, bigrammes, trigrammes et quadrigrammes d'un texte ou d'une URL, avec leur fréquence et leur présence dans les titres. Gratuit • Aucu</t>
        </is>
      </c>
    </row>
    <row r="1144">
      <c r="A1144" s="3" t="inlineStr">
        <is>
          <t>https://codesommet.com/tools/ngram-extractor</t>
        </is>
      </c>
      <c r="B1144" t="n">
        <v>2</v>
      </c>
      <c r="C1144" t="inlineStr">
        <is>
          <t>Content block</t>
        </is>
      </c>
      <c r="D1144" s="5" t="inlineStr">
        <is>
          <t>Comment Utiliser Cet Outil</t>
        </is>
      </c>
      <c r="E1144" t="inlineStr">
        <is>
          <t>H2</t>
        </is>
      </c>
      <c r="F1144" s="5" t="inlineStr">
        <is>
          <t>Informational / tool use</t>
        </is>
      </c>
      <c r="G1144" t="inlineStr">
        <is>
          <t>n-gram</t>
        </is>
      </c>
      <c r="H1144" t="inlineStr">
        <is>
          <t>SUPPORTS PRIMARY</t>
        </is>
      </c>
      <c r="I1144" t="inlineStr">
        <is>
          <t>fr</t>
        </is>
      </c>
      <c r="J1144" t="n">
        <v>90</v>
      </c>
      <c r="K1144" t="n">
        <v>19</v>
      </c>
      <c r="L1144" t="n">
        <v>0</v>
      </c>
      <c r="M1144" t="inlineStr">
        <is>
          <t>MEASURED</t>
        </is>
      </c>
      <c r="N1144" t="inlineStr">
        <is>
          <t>Yes (supporting block)</t>
        </is>
      </c>
      <c r="O1144" s="5" t="inlineStr">
        <is>
          <t>Supports the primary topic - add only if natural</t>
        </is>
      </c>
      <c r="P1144" s="5" t="inlineStr"/>
      <c r="Q1144" t="inlineStr">
        <is>
          <t>P3</t>
        </is>
      </c>
      <c r="R1144" t="n">
        <v>60</v>
      </c>
      <c r="S1144" s="5" t="inlineStr">
        <is>
          <t>1 Collez un texte, ou entrez l'URL d'une page (la vôtre ou celle d'un concurrent) pour en charger le texte visible. 2 Choisissez la fréquence minimale et si les mots-outils doivent être ignorés, puis lancez l'extraction.</t>
        </is>
      </c>
    </row>
    <row r="1145">
      <c r="A1145" s="3" t="inlineStr">
        <is>
          <t>https://codesommet.com/tools/ngram-extractor</t>
        </is>
      </c>
      <c r="B1145" t="n">
        <v>3</v>
      </c>
      <c r="C1145" t="inlineStr">
        <is>
          <t>FAQ</t>
        </is>
      </c>
      <c r="D1145" s="5" t="inlineStr">
        <is>
          <t>Questions Fréquemment Posées</t>
        </is>
      </c>
      <c r="E1145" t="inlineStr">
        <is>
          <t>H2</t>
        </is>
      </c>
      <c r="F1145" s="5" t="inlineStr">
        <is>
          <t>Informational (pre-purchase questions)</t>
        </is>
      </c>
      <c r="G1145" t="inlineStr">
        <is>
          <t>n-gram</t>
        </is>
      </c>
      <c r="H1145" t="inlineStr">
        <is>
          <t>SUPPORTS PRIMARY</t>
        </is>
      </c>
      <c r="I1145" t="inlineStr">
        <is>
          <t>fr</t>
        </is>
      </c>
      <c r="J1145" t="n">
        <v>90</v>
      </c>
      <c r="K1145" t="n">
        <v>19</v>
      </c>
      <c r="L1145" t="n">
        <v>0</v>
      </c>
      <c r="M1145" t="inlineStr">
        <is>
          <t>MEASURED</t>
        </is>
      </c>
      <c r="N1145" t="inlineStr">
        <is>
          <t>Yes</t>
        </is>
      </c>
      <c r="O1145" s="5" t="inlineStr">
        <is>
          <t>Covered - keep wording; no change</t>
        </is>
      </c>
      <c r="P1145" s="5" t="inlineStr"/>
      <c r="Q1145" t="inlineStr">
        <is>
          <t>P3</t>
        </is>
      </c>
      <c r="R1145" t="n">
        <v>259</v>
      </c>
      <c r="S1145" s="5" t="inlineStr">
        <is>
          <t xml:space="preserve">Lire et utiliser une analyse de n-grammes 1 Qu'est-ce qu'un n-gramme ? Une suite de n mots consécutifs. « agence web » est un bigramme, « agence web casablanca » un trigramme. Les n-grammes fréquents d'une page révèlent </t>
        </is>
      </c>
    </row>
    <row r="1146">
      <c r="A1146" s="3" t="inlineStr">
        <is>
          <t>https://codesommet.com/tools/ngram-extractor</t>
        </is>
      </c>
      <c r="B1146" t="n">
        <v>4</v>
      </c>
      <c r="C1146" t="inlineStr">
        <is>
          <t>Internal-link block</t>
        </is>
      </c>
      <c r="D1146" s="5" t="inlineStr">
        <is>
          <t>Outils Connexes Qui Pourraient Vous Intéresser</t>
        </is>
      </c>
      <c r="E1146" t="inlineStr">
        <is>
          <t>H2</t>
        </is>
      </c>
      <c r="F1146" s="5" t="inlineStr">
        <is>
          <t>Navigation</t>
        </is>
      </c>
      <c r="G1146" t="inlineStr">
        <is>
          <t>—</t>
        </is>
      </c>
      <c r="H1146" t="inlineStr">
        <is>
          <t>NONE</t>
        </is>
      </c>
      <c r="I1146" t="inlineStr">
        <is>
          <t>—</t>
        </is>
      </c>
      <c r="J1146" t="inlineStr">
        <is>
          <t>—</t>
        </is>
      </c>
      <c r="K1146" t="inlineStr">
        <is>
          <t>—</t>
        </is>
      </c>
      <c r="L1146" t="inlineStr">
        <is>
          <t>—</t>
        </is>
      </c>
      <c r="M1146" t="inlineStr">
        <is>
          <t>—</t>
        </is>
      </c>
      <c r="N1146" t="inlineStr">
        <is>
          <t>n/a</t>
        </is>
      </c>
      <c r="O1146" s="5" t="inlineStr">
        <is>
          <t>No keyword target - keep conversion/navigation focus; use descriptive, non-repeated anchor texts</t>
        </is>
      </c>
      <c r="P1146" s="5" t="inlineStr"/>
      <c r="Q1146" t="inlineStr">
        <is>
          <t>P4</t>
        </is>
      </c>
      <c r="R1146" t="n">
        <v>52</v>
      </c>
      <c r="S1146" s="5" t="inlineStr">
        <is>
          <t>Continuez à optimiser votre site web avec ces outils complémentaires Densité de Mots-clés Densité d'un mot-clé précis dans une page Essayer gratuitement seo Analyseur de Lisibilité Score de lisibilité de vos textes Essay</t>
        </is>
      </c>
    </row>
    <row r="1147">
      <c r="A1147" s="3" t="inlineStr">
        <is>
          <t>https://codesommet.com/tools/ngram-extractor</t>
        </is>
      </c>
      <c r="B1147" t="n">
        <v>5</v>
      </c>
      <c r="C1147" t="inlineStr">
        <is>
          <t>CTA / conversion</t>
        </is>
      </c>
      <c r="D1147" s="5" t="inlineStr">
        <is>
          <t>Besoin de Contenus Qui Se Classent ?</t>
        </is>
      </c>
      <c r="E1147" t="inlineStr">
        <is>
          <t>H2</t>
        </is>
      </c>
      <c r="F1147" s="5" t="inlineStr">
        <is>
          <t>Conversion</t>
        </is>
      </c>
      <c r="G1147" t="inlineStr">
        <is>
          <t>—</t>
        </is>
      </c>
      <c r="H1147" t="inlineStr">
        <is>
          <t>NONE</t>
        </is>
      </c>
      <c r="I1147" t="inlineStr">
        <is>
          <t>—</t>
        </is>
      </c>
      <c r="J1147" t="inlineStr">
        <is>
          <t>—</t>
        </is>
      </c>
      <c r="K1147" t="inlineStr">
        <is>
          <t>—</t>
        </is>
      </c>
      <c r="L1147" t="inlineStr">
        <is>
          <t>—</t>
        </is>
      </c>
      <c r="M1147" t="inlineStr">
        <is>
          <t>—</t>
        </is>
      </c>
      <c r="N1147" t="inlineStr">
        <is>
          <t>n/a</t>
        </is>
      </c>
      <c r="O1147" s="5" t="inlineStr">
        <is>
          <t>No keyword target - keep conversion/navigation focus; use descriptive, non-repeated anchor texts</t>
        </is>
      </c>
      <c r="P1147" s="5" t="inlineStr"/>
      <c r="Q1147" t="inlineStr">
        <is>
          <t>P4</t>
        </is>
      </c>
      <c r="R1147" t="n">
        <v>109</v>
      </c>
      <c r="S1147" s="5" t="inlineStr">
        <is>
          <t>Nous rédigeons et optimisons vos pages à partir de l'analyse sémantique des résultats qui gagnent Réserver un Appel Découverte 50+ projets réussis • Livraison en 48h • Pas de contrats à long terme Sites web Chatbots IA C</t>
        </is>
      </c>
    </row>
    <row r="1148">
      <c r="A1148" s="3" t="inlineStr">
        <is>
          <t>https://codesommet.com/tools/nofollow-link-checker</t>
        </is>
      </c>
      <c r="B1148" t="n">
        <v>1</v>
      </c>
      <c r="C1148" t="inlineStr">
        <is>
          <t>Hero / H1</t>
        </is>
      </c>
      <c r="D1148" s="5" t="inlineStr">
        <is>
          <t>Vérificateur de Liens Nofollow Gratuit</t>
        </is>
      </c>
      <c r="E1148" t="inlineStr">
        <is>
          <t>H1</t>
        </is>
      </c>
      <c r="F1148" s="5" t="inlineStr">
        <is>
          <t>Informational / tool use</t>
        </is>
      </c>
      <c r="G1148" t="inlineStr">
        <is>
          <t>nofollow</t>
        </is>
      </c>
      <c r="H1148" t="inlineStr">
        <is>
          <t>PRIMARY</t>
        </is>
      </c>
      <c r="I1148" t="inlineStr">
        <is>
          <t>fr</t>
        </is>
      </c>
      <c r="J1148" t="n">
        <v>260</v>
      </c>
      <c r="K1148" t="n">
        <v>23</v>
      </c>
      <c r="L1148" t="n">
        <v>0</v>
      </c>
      <c r="M1148" t="inlineStr">
        <is>
          <t>MEASURED</t>
        </is>
      </c>
      <c r="N1148" t="inlineStr">
        <is>
          <t>Yes</t>
        </is>
      </c>
      <c r="O1148" s="5" t="inlineStr">
        <is>
          <t>Covered - keep wording; no change</t>
        </is>
      </c>
      <c r="P1148" s="5" t="inlineStr"/>
      <c r="Q1148" t="inlineStr">
        <is>
          <t>P3</t>
        </is>
      </c>
      <c r="R1148" t="n">
        <v>39</v>
      </c>
      <c r="S1148" s="5" t="inlineStr">
        <is>
          <t>Analysez le HTML pour trouver les liens nofollow et comparez les métriques dofollow vs nofollow pour une meilleure stratégie SEO Gratuit • Aucune inscription requise Collez Votre Code HTML Astuce : Appuyez sur Cmd/Ctrl +</t>
        </is>
      </c>
    </row>
    <row r="1149">
      <c r="A1149" s="3" t="inlineStr">
        <is>
          <t>https://codesommet.com/tools/nofollow-link-checker</t>
        </is>
      </c>
      <c r="B1149" t="n">
        <v>2</v>
      </c>
      <c r="C1149" t="inlineStr">
        <is>
          <t>Services / features</t>
        </is>
      </c>
      <c r="D1149" s="5" t="inlineStr">
        <is>
          <t>Comprendre les Liens Nofollow</t>
        </is>
      </c>
      <c r="E1149" t="inlineStr">
        <is>
          <t>H2</t>
        </is>
      </c>
      <c r="F1149" s="5" t="inlineStr">
        <is>
          <t>Informational / tool use</t>
        </is>
      </c>
      <c r="G1149" t="inlineStr">
        <is>
          <t>lien nofollow</t>
        </is>
      </c>
      <c r="H1149" t="inlineStr">
        <is>
          <t>SUPPORTING</t>
        </is>
      </c>
      <c r="I1149" t="inlineStr">
        <is>
          <t>fr</t>
        </is>
      </c>
      <c r="J1149" t="n">
        <v>70</v>
      </c>
      <c r="K1149" t="n">
        <v>21</v>
      </c>
      <c r="L1149" t="n">
        <v>0</v>
      </c>
      <c r="M1149" t="inlineStr">
        <is>
          <t>MEASURED</t>
        </is>
      </c>
      <c r="N1149" t="inlineStr">
        <is>
          <t>Yes</t>
        </is>
      </c>
      <c r="O1149" s="5" t="inlineStr">
        <is>
          <t>Covered - keep wording; no change</t>
        </is>
      </c>
      <c r="P1149" s="5" t="inlineStr"/>
      <c r="Q1149" t="inlineStr">
        <is>
          <t>P3</t>
        </is>
      </c>
      <c r="R1149" t="n">
        <v>88</v>
      </c>
      <c r="S1149" s="5" t="inlineStr">
        <is>
          <t>Les liens dofollow transmettent l'autorité SEO (jus de lien) à la page cible, l'aidant à mieux se classer dans les moteurs de recherche. Les liens nofollow (rel="nofollow") tell search engines not to follow the link or p</t>
        </is>
      </c>
    </row>
    <row r="1150">
      <c r="A1150" s="3" t="inlineStr">
        <is>
          <t>https://codesommet.com/tools/nofollow-link-checker</t>
        </is>
      </c>
      <c r="B1150" t="n">
        <v>3</v>
      </c>
      <c r="C1150" t="inlineStr">
        <is>
          <t>FAQ</t>
        </is>
      </c>
      <c r="D1150" s="5" t="inlineStr">
        <is>
          <t>Questions Fréquemment Posées</t>
        </is>
      </c>
      <c r="E1150" t="inlineStr">
        <is>
          <t>H2</t>
        </is>
      </c>
      <c r="F1150" s="5" t="inlineStr">
        <is>
          <t>Informational (pre-purchase questions)</t>
        </is>
      </c>
      <c r="G1150" t="inlineStr">
        <is>
          <t>nofollow</t>
        </is>
      </c>
      <c r="H1150" t="inlineStr">
        <is>
          <t>SUPPORTS PRIMARY</t>
        </is>
      </c>
      <c r="I1150" t="inlineStr">
        <is>
          <t>fr</t>
        </is>
      </c>
      <c r="J1150" t="n">
        <v>260</v>
      </c>
      <c r="K1150" t="n">
        <v>23</v>
      </c>
      <c r="L1150" t="n">
        <v>0</v>
      </c>
      <c r="M1150" t="inlineStr">
        <is>
          <t>MEASURED</t>
        </is>
      </c>
      <c r="N1150" t="inlineStr">
        <is>
          <t>Yes</t>
        </is>
      </c>
      <c r="O1150" s="5" t="inlineStr">
        <is>
          <t>Covered - keep wording; no change</t>
        </is>
      </c>
      <c r="P1150" s="5" t="inlineStr"/>
      <c r="Q1150" t="inlineStr">
        <is>
          <t>P3</t>
        </is>
      </c>
      <c r="R1150" t="n">
        <v>579</v>
      </c>
      <c r="S1150" s="5" t="inlineStr">
        <is>
          <t>Questions courantes sur cet outil et comment l'utiliser efficacement 1 Qu'est-ce qu'un lien nofollow et pourquoi est-ce important pour le SEO ? Un lien nofollow (rel='nofollow') est un attribut HTML qui indique aux moteu</t>
        </is>
      </c>
    </row>
    <row r="1151">
      <c r="A1151" s="3" t="inlineStr">
        <is>
          <t>https://codesommet.com/tools/nofollow-link-checker</t>
        </is>
      </c>
      <c r="B1151" t="n">
        <v>4</v>
      </c>
      <c r="C1151" t="inlineStr">
        <is>
          <t>Internal-link block</t>
        </is>
      </c>
      <c r="D1151" s="5" t="inlineStr">
        <is>
          <t>Outils Connexes Qui Pourraient Vous Intéresser</t>
        </is>
      </c>
      <c r="E1151" t="inlineStr">
        <is>
          <t>H2</t>
        </is>
      </c>
      <c r="F1151" s="5" t="inlineStr">
        <is>
          <t>Navigation</t>
        </is>
      </c>
      <c r="G1151" t="inlineStr">
        <is>
          <t>—</t>
        </is>
      </c>
      <c r="H1151" t="inlineStr">
        <is>
          <t>NONE</t>
        </is>
      </c>
      <c r="I1151" t="inlineStr">
        <is>
          <t>—</t>
        </is>
      </c>
      <c r="J1151" t="inlineStr">
        <is>
          <t>—</t>
        </is>
      </c>
      <c r="K1151" t="inlineStr">
        <is>
          <t>—</t>
        </is>
      </c>
      <c r="L1151" t="inlineStr">
        <is>
          <t>—</t>
        </is>
      </c>
      <c r="M1151" t="inlineStr">
        <is>
          <t>—</t>
        </is>
      </c>
      <c r="N1151" t="inlineStr">
        <is>
          <t>n/a</t>
        </is>
      </c>
      <c r="O1151" s="5" t="inlineStr">
        <is>
          <t>No keyword target - keep conversion/navigation focus; use descriptive, non-repeated anchor texts</t>
        </is>
      </c>
      <c r="P1151" s="5" t="inlineStr"/>
      <c r="Q1151" t="inlineStr">
        <is>
          <t>P4</t>
        </is>
      </c>
      <c r="R1151" t="n">
        <v>66</v>
      </c>
      <c r="S1151" s="5" t="inlineStr">
        <is>
          <t>Continuez à optimiser votre site web avec ces outils complémentaires Vérificateur de Liens Cassés Trouvez les liens cassés, redirections et délais d'expiration Essayer gratuitement seo Analyseur de Liens Internes Analyse</t>
        </is>
      </c>
    </row>
    <row r="1152">
      <c r="A1152" s="3" t="inlineStr">
        <is>
          <t>https://codesommet.com/tools/nofollow-link-checker</t>
        </is>
      </c>
      <c r="B1152" t="n">
        <v>5</v>
      </c>
      <c r="C1152" t="inlineStr">
        <is>
          <t>CTA / conversion</t>
        </is>
      </c>
      <c r="D1152" s="5" t="inlineStr">
        <is>
          <t>Besoin d'un Outil Personnalisé pour Votre Entreprise ?</t>
        </is>
      </c>
      <c r="E1152" t="inlineStr">
        <is>
          <t>H2</t>
        </is>
      </c>
      <c r="F1152" s="5" t="inlineStr">
        <is>
          <t>Conversion</t>
        </is>
      </c>
      <c r="G1152" t="inlineStr">
        <is>
          <t>—</t>
        </is>
      </c>
      <c r="H1152" t="inlineStr">
        <is>
          <t>NONE</t>
        </is>
      </c>
      <c r="I1152" t="inlineStr">
        <is>
          <t>—</t>
        </is>
      </c>
      <c r="J1152" t="inlineStr">
        <is>
          <t>—</t>
        </is>
      </c>
      <c r="K1152" t="inlineStr">
        <is>
          <t>—</t>
        </is>
      </c>
      <c r="L1152" t="inlineStr">
        <is>
          <t>—</t>
        </is>
      </c>
      <c r="M1152" t="inlineStr">
        <is>
          <t>—</t>
        </is>
      </c>
      <c r="N1152" t="inlineStr">
        <is>
          <t>n/a</t>
        </is>
      </c>
      <c r="O1152" s="5" t="inlineStr">
        <is>
          <t>No keyword target - keep conversion/navigation focus; use descriptive, non-repeated anchor texts</t>
        </is>
      </c>
      <c r="P1152" s="5" t="inlineStr"/>
      <c r="Q1152" t="inlineStr">
        <is>
          <t>P4</t>
        </is>
      </c>
      <c r="R1152" t="n">
        <v>113</v>
      </c>
      <c r="S1152" s="5" t="inlineStr">
        <is>
          <t>Nous créons des outils alimentés par l'IA, des tableaux de bord et des automatisations qui génèrent de vrais résultats Réserver un Appel Découverte 50+ projets réussis • Livraison en 48h • Pas de contrats à long terme Si</t>
        </is>
      </c>
    </row>
    <row r="1153">
      <c r="A1153" s="3" t="inlineStr">
        <is>
          <t>https://codesommet.com/tools/og-preview-generator</t>
        </is>
      </c>
      <c r="B1153" t="n">
        <v>1</v>
      </c>
      <c r="C1153" t="inlineStr">
        <is>
          <t>Hero / H1</t>
        </is>
      </c>
      <c r="D1153" s="5" t="inlineStr">
        <is>
          <t>Aperçu Open Graph : Testeur Image OG</t>
        </is>
      </c>
      <c r="E1153" t="inlineStr">
        <is>
          <t>H1</t>
        </is>
      </c>
      <c r="F1153" s="5" t="inlineStr">
        <is>
          <t>Informational / tool use</t>
        </is>
      </c>
      <c r="G1153" t="inlineStr">
        <is>
          <t>open graph</t>
        </is>
      </c>
      <c r="H1153" t="inlineStr">
        <is>
          <t>PRIMARY</t>
        </is>
      </c>
      <c r="I1153" t="inlineStr">
        <is>
          <t>fr</t>
        </is>
      </c>
      <c r="J1153" t="n">
        <v>480</v>
      </c>
      <c r="K1153" t="n">
        <v>41</v>
      </c>
      <c r="L1153" t="n">
        <v>0</v>
      </c>
      <c r="M1153" t="inlineStr">
        <is>
          <t>MEASURED</t>
        </is>
      </c>
      <c r="N1153" t="inlineStr">
        <is>
          <t>Yes</t>
        </is>
      </c>
      <c r="O1153" s="5" t="inlineStr">
        <is>
          <t>Covered - keep wording; no change</t>
        </is>
      </c>
      <c r="P1153" s="5" t="inlineStr"/>
      <c r="Q1153" t="inlineStr">
        <is>
          <t>P3</t>
        </is>
      </c>
      <c r="R1153" t="n">
        <v>48</v>
      </c>
      <c r="S1153" s="5" t="inlineStr">
        <is>
          <t>Découvrez comment votre lien de site web apparaîtra lorsqu'il sera partagé sur Facebook, Twitter, LinkedIn et WhatsApp. Validez les balises OG et obtenez des recommandations d'optimisation. Gratuit • Aucune inscription r</t>
        </is>
      </c>
    </row>
    <row r="1154">
      <c r="A1154" s="3" t="inlineStr">
        <is>
          <t>https://codesommet.com/tools/og-preview-generator</t>
        </is>
      </c>
      <c r="B1154" t="n">
        <v>2</v>
      </c>
      <c r="C1154" t="inlineStr">
        <is>
          <t>FAQ</t>
        </is>
      </c>
      <c r="D1154" s="5" t="inlineStr">
        <is>
          <t>Questions Fréquemment Posées</t>
        </is>
      </c>
      <c r="E1154" t="inlineStr">
        <is>
          <t>H2</t>
        </is>
      </c>
      <c r="F1154" s="5" t="inlineStr">
        <is>
          <t>Informational (pre-purchase questions)</t>
        </is>
      </c>
      <c r="G1154" t="inlineStr">
        <is>
          <t>open graph</t>
        </is>
      </c>
      <c r="H1154" t="inlineStr">
        <is>
          <t>SUPPORTS PRIMARY</t>
        </is>
      </c>
      <c r="I1154" t="inlineStr">
        <is>
          <t>fr</t>
        </is>
      </c>
      <c r="J1154" t="n">
        <v>480</v>
      </c>
      <c r="K1154" t="n">
        <v>41</v>
      </c>
      <c r="L1154" t="n">
        <v>0</v>
      </c>
      <c r="M1154" t="inlineStr">
        <is>
          <t>MEASURED</t>
        </is>
      </c>
      <c r="N1154" t="inlineStr">
        <is>
          <t>Yes</t>
        </is>
      </c>
      <c r="O1154" s="5" t="inlineStr">
        <is>
          <t>Covered - keep wording; no change</t>
        </is>
      </c>
      <c r="P1154" s="5" t="inlineStr"/>
      <c r="Q1154" t="inlineStr">
        <is>
          <t>P3</t>
        </is>
      </c>
      <c r="R1154" t="n">
        <v>557</v>
      </c>
      <c r="S1154" s="5" t="inlineStr">
        <is>
          <t>Questions courantes sur cet outil et comment l'utiliser efficacement 1 Que sont les balises Open Graph et pourquoi sont-elles importantes ? Les balises Open Graph (OG) sont des balises méta HTML qui contrôlent l'apparenc</t>
        </is>
      </c>
    </row>
    <row r="1155">
      <c r="A1155" s="3" t="inlineStr">
        <is>
          <t>https://codesommet.com/tools/og-preview-generator</t>
        </is>
      </c>
      <c r="B1155" t="n">
        <v>3</v>
      </c>
      <c r="C1155" t="inlineStr">
        <is>
          <t>Internal-link block</t>
        </is>
      </c>
      <c r="D1155" s="5" t="inlineStr">
        <is>
          <t>Outils Connexes Qui Pourraient Vous Intéresser</t>
        </is>
      </c>
      <c r="E1155" t="inlineStr">
        <is>
          <t>H2</t>
        </is>
      </c>
      <c r="F1155" s="5" t="inlineStr">
        <is>
          <t>Navigation</t>
        </is>
      </c>
      <c r="G1155" t="inlineStr">
        <is>
          <t>—</t>
        </is>
      </c>
      <c r="H1155" t="inlineStr">
        <is>
          <t>NONE</t>
        </is>
      </c>
      <c r="I1155" t="inlineStr">
        <is>
          <t>—</t>
        </is>
      </c>
      <c r="J1155" t="inlineStr">
        <is>
          <t>—</t>
        </is>
      </c>
      <c r="K1155" t="inlineStr">
        <is>
          <t>—</t>
        </is>
      </c>
      <c r="L1155" t="inlineStr">
        <is>
          <t>—</t>
        </is>
      </c>
      <c r="M1155" t="inlineStr">
        <is>
          <t>—</t>
        </is>
      </c>
      <c r="N1155" t="inlineStr">
        <is>
          <t>n/a</t>
        </is>
      </c>
      <c r="O1155" s="5" t="inlineStr">
        <is>
          <t>No keyword target - keep conversion/navigation focus; use descriptive, non-repeated anchor texts</t>
        </is>
      </c>
      <c r="P1155" s="5" t="inlineStr"/>
      <c r="Q1155" t="inlineStr">
        <is>
          <t>P4</t>
        </is>
      </c>
      <c r="R1155" t="n">
        <v>83</v>
      </c>
      <c r="S1155" s="5" t="inlineStr">
        <is>
          <t>Continuez à optimiser votre site web avec ces outils complémentaires Générateur de Redirection Meta Refresh Générez des redirections meta refresh HTML avec des délais personnalisés Essayer gratuitement seo Analyseur de S</t>
        </is>
      </c>
    </row>
    <row r="1156">
      <c r="A1156" s="3" t="inlineStr">
        <is>
          <t>https://codesommet.com/tools/og-preview-generator</t>
        </is>
      </c>
      <c r="B1156" t="n">
        <v>4</v>
      </c>
      <c r="C1156" t="inlineStr">
        <is>
          <t>CTA / conversion</t>
        </is>
      </c>
      <c r="D1156" s="5" t="inlineStr">
        <is>
          <t>Besoin d'un Outil Personnalisé pour Votre Entreprise ?</t>
        </is>
      </c>
      <c r="E1156" t="inlineStr">
        <is>
          <t>H2</t>
        </is>
      </c>
      <c r="F1156" s="5" t="inlineStr">
        <is>
          <t>Conversion</t>
        </is>
      </c>
      <c r="G1156" t="inlineStr">
        <is>
          <t>—</t>
        </is>
      </c>
      <c r="H1156" t="inlineStr">
        <is>
          <t>NONE</t>
        </is>
      </c>
      <c r="I1156" t="inlineStr">
        <is>
          <t>—</t>
        </is>
      </c>
      <c r="J1156" t="inlineStr">
        <is>
          <t>—</t>
        </is>
      </c>
      <c r="K1156" t="inlineStr">
        <is>
          <t>—</t>
        </is>
      </c>
      <c r="L1156" t="inlineStr">
        <is>
          <t>—</t>
        </is>
      </c>
      <c r="M1156" t="inlineStr">
        <is>
          <t>—</t>
        </is>
      </c>
      <c r="N1156" t="inlineStr">
        <is>
          <t>n/a</t>
        </is>
      </c>
      <c r="O1156" s="5" t="inlineStr">
        <is>
          <t>No keyword target - keep conversion/navigation focus; use descriptive, non-repeated anchor texts</t>
        </is>
      </c>
      <c r="P1156" s="5" t="inlineStr"/>
      <c r="Q1156" t="inlineStr">
        <is>
          <t>P4</t>
        </is>
      </c>
      <c r="R1156" t="n">
        <v>113</v>
      </c>
      <c r="S1156" s="5" t="inlineStr">
        <is>
          <t>Nous créons des outils alimentés par l'IA, des tableaux de bord et des automatisations qui génèrent de vrais résultats Réserver un Appel Découverte 50+ projets réussis • Livraison en 48h • Pas de contrats à long terme Si</t>
        </is>
      </c>
    </row>
    <row r="1157">
      <c r="A1157" s="3" t="inlineStr">
        <is>
          <t>https://codesommet.com/tools/page-speed-analyzer</t>
        </is>
      </c>
      <c r="B1157" t="n">
        <v>1</v>
      </c>
      <c r="C1157" t="inlineStr">
        <is>
          <t>Hero / H1</t>
        </is>
      </c>
      <c r="D1157" s="5" t="inlineStr">
        <is>
          <t>Analyseur de Vitesse de Page Gratuit</t>
        </is>
      </c>
      <c r="E1157" t="inlineStr">
        <is>
          <t>H1</t>
        </is>
      </c>
      <c r="F1157" s="5" t="inlineStr">
        <is>
          <t>Informational / tool use</t>
        </is>
      </c>
      <c r="G1157" t="inlineStr">
        <is>
          <t>test vitesse site web</t>
        </is>
      </c>
      <c r="H1157" t="inlineStr">
        <is>
          <t>PRIMARY</t>
        </is>
      </c>
      <c r="I1157" t="inlineStr">
        <is>
          <t>fr</t>
        </is>
      </c>
      <c r="J1157" t="n">
        <v>260</v>
      </c>
      <c r="K1157" t="n">
        <v>36</v>
      </c>
      <c r="L1157" t="n">
        <v>1.31</v>
      </c>
      <c r="M1157" t="inlineStr">
        <is>
          <t>MEASURED</t>
        </is>
      </c>
      <c r="N1157" t="inlineStr">
        <is>
          <t>Partly</t>
        </is>
      </c>
      <c r="O1157" s="5" t="inlineStr">
        <is>
          <t>Work "test vitesse site web" (or a close natural variant) into existing copy - no new heading needed</t>
        </is>
      </c>
      <c r="P1157" s="5" t="inlineStr">
        <is>
          <t>Keyword/variant absent from this section</t>
        </is>
      </c>
      <c r="Q1157" t="inlineStr">
        <is>
          <t>P3</t>
        </is>
      </c>
      <c r="R1157" t="n">
        <v>48</v>
      </c>
      <c r="S1157" s="5" t="inlineStr">
        <is>
          <t>Analysez les performances de chargement de votre site web et obtenez des recommandations concrètes pour améliorer les Core Web Vitals, le classement SEO et l'expérience utilisateur. Gratuit • Aucune inscription requise U</t>
        </is>
      </c>
    </row>
    <row r="1158">
      <c r="A1158" s="3" t="inlineStr">
        <is>
          <t>https://codesommet.com/tools/page-speed-analyzer</t>
        </is>
      </c>
      <c r="B1158" t="n">
        <v>2</v>
      </c>
      <c r="C1158" t="inlineStr">
        <is>
          <t>FAQ</t>
        </is>
      </c>
      <c r="D1158" s="5" t="inlineStr">
        <is>
          <t>Questions Fréquemment Posées</t>
        </is>
      </c>
      <c r="E1158" t="inlineStr">
        <is>
          <t>H2</t>
        </is>
      </c>
      <c r="F1158" s="5" t="inlineStr">
        <is>
          <t>Informational (pre-purchase questions)</t>
        </is>
      </c>
      <c r="G1158" t="inlineStr">
        <is>
          <t>test vitesse site web</t>
        </is>
      </c>
      <c r="H1158" t="inlineStr">
        <is>
          <t>SUPPORTS PRIMARY</t>
        </is>
      </c>
      <c r="I1158" t="inlineStr">
        <is>
          <t>fr</t>
        </is>
      </c>
      <c r="J1158" t="n">
        <v>260</v>
      </c>
      <c r="K1158" t="n">
        <v>36</v>
      </c>
      <c r="L1158" t="n">
        <v>1.31</v>
      </c>
      <c r="M1158" t="inlineStr">
        <is>
          <t>MEASURED</t>
        </is>
      </c>
      <c r="N1158" t="inlineStr">
        <is>
          <t>Yes</t>
        </is>
      </c>
      <c r="O1158" s="5" t="inlineStr">
        <is>
          <t>Covered - keep wording; no change</t>
        </is>
      </c>
      <c r="P1158" s="5" t="inlineStr"/>
      <c r="Q1158" t="inlineStr">
        <is>
          <t>P3</t>
        </is>
      </c>
      <c r="R1158" t="n">
        <v>688</v>
      </c>
      <c r="S1158" s="5" t="inlineStr">
        <is>
          <t>Questions courantes sur cet outil et comment l'utiliser efficacement 1 Pourquoi la vitesse de page est-elle importante pour le SEO et l'expérience utilisateur ? La vitesse de page est un facteur de classement direct de G</t>
        </is>
      </c>
    </row>
    <row r="1159">
      <c r="A1159" s="3" t="inlineStr">
        <is>
          <t>https://codesommet.com/tools/page-speed-analyzer</t>
        </is>
      </c>
      <c r="B1159" t="n">
        <v>3</v>
      </c>
      <c r="C1159" t="inlineStr">
        <is>
          <t>Internal-link block</t>
        </is>
      </c>
      <c r="D1159" s="5" t="inlineStr">
        <is>
          <t>Outils Connexes Qui Pourraient Vous Intéresser</t>
        </is>
      </c>
      <c r="E1159" t="inlineStr">
        <is>
          <t>H2</t>
        </is>
      </c>
      <c r="F1159" s="5" t="inlineStr">
        <is>
          <t>Navigation</t>
        </is>
      </c>
      <c r="G1159" t="inlineStr">
        <is>
          <t>—</t>
        </is>
      </c>
      <c r="H1159" t="inlineStr">
        <is>
          <t>NONE</t>
        </is>
      </c>
      <c r="I1159" t="inlineStr">
        <is>
          <t>—</t>
        </is>
      </c>
      <c r="J1159" t="inlineStr">
        <is>
          <t>—</t>
        </is>
      </c>
      <c r="K1159" t="inlineStr">
        <is>
          <t>—</t>
        </is>
      </c>
      <c r="L1159" t="inlineStr">
        <is>
          <t>—</t>
        </is>
      </c>
      <c r="M1159" t="inlineStr">
        <is>
          <t>—</t>
        </is>
      </c>
      <c r="N1159" t="inlineStr">
        <is>
          <t>n/a</t>
        </is>
      </c>
      <c r="O1159" s="5" t="inlineStr">
        <is>
          <t>No keyword target - keep conversion/navigation focus; use descriptive, non-repeated anchor texts</t>
        </is>
      </c>
      <c r="P1159" s="5" t="inlineStr"/>
      <c r="Q1159" t="inlineStr">
        <is>
          <t>P4</t>
        </is>
      </c>
      <c r="R1159" t="n">
        <v>68</v>
      </c>
      <c r="S1159" s="5" t="inlineStr">
        <is>
          <t>Continuez à optimiser votre site web avec ces outils complémentaires Minificateur HTML/CSS/JS Minifiez le code pour réduire la taille des fichiers et améliorer la vitesse de page Essayez gratuitement seo Analyseur de Com</t>
        </is>
      </c>
    </row>
    <row r="1160">
      <c r="A1160" s="3" t="inlineStr">
        <is>
          <t>https://codesommet.com/tools/page-speed-analyzer</t>
        </is>
      </c>
      <c r="B1160" t="n">
        <v>4</v>
      </c>
      <c r="C1160" t="inlineStr">
        <is>
          <t>CTA / conversion</t>
        </is>
      </c>
      <c r="D1160" s="5" t="inlineStr">
        <is>
          <t>Besoin d'un Outil Personnalisé pour Votre Entreprise ?</t>
        </is>
      </c>
      <c r="E1160" t="inlineStr">
        <is>
          <t>H2</t>
        </is>
      </c>
      <c r="F1160" s="5" t="inlineStr">
        <is>
          <t>Conversion</t>
        </is>
      </c>
      <c r="G1160" t="inlineStr">
        <is>
          <t>—</t>
        </is>
      </c>
      <c r="H1160" t="inlineStr">
        <is>
          <t>NONE</t>
        </is>
      </c>
      <c r="I1160" t="inlineStr">
        <is>
          <t>—</t>
        </is>
      </c>
      <c r="J1160" t="inlineStr">
        <is>
          <t>—</t>
        </is>
      </c>
      <c r="K1160" t="inlineStr">
        <is>
          <t>—</t>
        </is>
      </c>
      <c r="L1160" t="inlineStr">
        <is>
          <t>—</t>
        </is>
      </c>
      <c r="M1160" t="inlineStr">
        <is>
          <t>—</t>
        </is>
      </c>
      <c r="N1160" t="inlineStr">
        <is>
          <t>n/a</t>
        </is>
      </c>
      <c r="O1160" s="5" t="inlineStr">
        <is>
          <t>No keyword target - keep conversion/navigation focus; use descriptive, non-repeated anchor texts</t>
        </is>
      </c>
      <c r="P1160" s="5" t="inlineStr"/>
      <c r="Q1160" t="inlineStr">
        <is>
          <t>P4</t>
        </is>
      </c>
      <c r="R1160" t="n">
        <v>112</v>
      </c>
      <c r="S1160" s="5" t="inlineStr">
        <is>
          <t>Nous créons des outils alimentés par l'IA, des tableaux de bord et des automatisations qui génèrent de vrais résultats Réserver un Appel Découverte 50+ projets réussis • Livraison en 48h • Sans engagement à long terme Si</t>
        </is>
      </c>
    </row>
    <row r="1161">
      <c r="A1161" s="3" t="inlineStr">
        <is>
          <t>https://codesommet.com/tools/qr-code-generator</t>
        </is>
      </c>
      <c r="B1161" t="n">
        <v>1</v>
      </c>
      <c r="C1161" t="inlineStr">
        <is>
          <t>Hero / H1</t>
        </is>
      </c>
      <c r="D1161" s="5" t="inlineStr">
        <is>
          <t>Générateur de QR Code Gratuit</t>
        </is>
      </c>
      <c r="E1161" t="inlineStr">
        <is>
          <t>H1</t>
        </is>
      </c>
      <c r="F1161" s="5" t="inlineStr">
        <is>
          <t>Informational / tool use</t>
        </is>
      </c>
      <c r="G1161" t="inlineStr">
        <is>
          <t>générateur qr code</t>
        </is>
      </c>
      <c r="H1161" t="inlineStr">
        <is>
          <t>PRIMARY</t>
        </is>
      </c>
      <c r="I1161" t="inlineStr">
        <is>
          <t>fr</t>
        </is>
      </c>
      <c r="J1161" t="n">
        <v>4400</v>
      </c>
      <c r="K1161" t="n">
        <v>44</v>
      </c>
      <c r="L1161" t="n">
        <v>0.48</v>
      </c>
      <c r="M1161" t="inlineStr">
        <is>
          <t>MEASURED</t>
        </is>
      </c>
      <c r="N1161" t="inlineStr">
        <is>
          <t>Yes</t>
        </is>
      </c>
      <c r="O1161" s="5" t="inlineStr">
        <is>
          <t>Covered - keep wording; no change</t>
        </is>
      </c>
      <c r="P1161" s="5" t="inlineStr"/>
      <c r="Q1161" t="inlineStr">
        <is>
          <t>P3</t>
        </is>
      </c>
      <c r="R1161" t="n">
        <v>90</v>
      </c>
      <c r="S1161" s="5" t="inlineStr">
        <is>
          <t>Générez des QR codes scannables pour les URL, le texte et les informations de contact Gratuit • Aucune inscription requise Contenu * Entrez une URL, du texte, un numéro de téléphone ou tout contenu que vous souhaitez enc</t>
        </is>
      </c>
    </row>
    <row r="1162">
      <c r="A1162" s="3" t="inlineStr">
        <is>
          <t>https://codesommet.com/tools/qr-code-generator</t>
        </is>
      </c>
      <c r="B1162" t="n">
        <v>2</v>
      </c>
      <c r="C1162" t="inlineStr">
        <is>
          <t>Content block</t>
        </is>
      </c>
      <c r="D1162" s="5" t="inlineStr">
        <is>
          <t>Cas d'Utilisation</t>
        </is>
      </c>
      <c r="E1162" t="inlineStr">
        <is>
          <t>H2</t>
        </is>
      </c>
      <c r="F1162" s="5" t="inlineStr">
        <is>
          <t>Informational / tool use</t>
        </is>
      </c>
      <c r="G1162" t="inlineStr">
        <is>
          <t>qr code gratuit</t>
        </is>
      </c>
      <c r="H1162" t="inlineStr">
        <is>
          <t>SECONDARY</t>
        </is>
      </c>
      <c r="I1162" t="inlineStr">
        <is>
          <t>fr</t>
        </is>
      </c>
      <c r="J1162" t="n">
        <v>40500</v>
      </c>
      <c r="K1162" t="n">
        <v>55</v>
      </c>
      <c r="L1162" t="n">
        <v>0.39</v>
      </c>
      <c r="M1162" t="inlineStr">
        <is>
          <t>MEASURED</t>
        </is>
      </c>
      <c r="N1162" t="inlineStr">
        <is>
          <t>Partly</t>
        </is>
      </c>
      <c r="O1162" s="5" t="inlineStr">
        <is>
          <t>Work "qr code gratuit" (or a close natural variant) into existing copy - no new heading needed</t>
        </is>
      </c>
      <c r="P1162" s="5" t="inlineStr">
        <is>
          <t>Keyword/variant absent from this section</t>
        </is>
      </c>
      <c r="Q1162" t="inlineStr">
        <is>
          <t>P3</t>
        </is>
      </c>
      <c r="R1162" t="n">
        <v>39</v>
      </c>
      <c r="S1162" s="5" t="inlineStr">
        <is>
          <t xml:space="preserve">Sites Web &amp; URL • Portfolio ou site web professionnel • Pages de destination produit • Formulaires d'inscription aux événements • Liens vers menus ou catalogues Contact &amp; Texte • Numéros de téléphone (tel:+1234567890) • </t>
        </is>
      </c>
    </row>
    <row r="1163">
      <c r="A1163" s="3" t="inlineStr">
        <is>
          <t>https://codesommet.com/tools/qr-code-generator</t>
        </is>
      </c>
      <c r="B1163" t="n">
        <v>3</v>
      </c>
      <c r="C1163" t="inlineStr">
        <is>
          <t>FAQ</t>
        </is>
      </c>
      <c r="D1163" s="5" t="inlineStr">
        <is>
          <t>Questions Fréquemment Posées</t>
        </is>
      </c>
      <c r="E1163" t="inlineStr">
        <is>
          <t>H2</t>
        </is>
      </c>
      <c r="F1163" s="5" t="inlineStr">
        <is>
          <t>Informational (pre-purchase questions)</t>
        </is>
      </c>
      <c r="G1163" t="inlineStr">
        <is>
          <t>générateur qr code</t>
        </is>
      </c>
      <c r="H1163" t="inlineStr">
        <is>
          <t>SUPPORTS PRIMARY</t>
        </is>
      </c>
      <c r="I1163" t="inlineStr">
        <is>
          <t>fr</t>
        </is>
      </c>
      <c r="J1163" t="n">
        <v>4400</v>
      </c>
      <c r="K1163" t="n">
        <v>44</v>
      </c>
      <c r="L1163" t="n">
        <v>0.48</v>
      </c>
      <c r="M1163" t="inlineStr">
        <is>
          <t>MEASURED</t>
        </is>
      </c>
      <c r="N1163" t="inlineStr">
        <is>
          <t>Yes (supporting block)</t>
        </is>
      </c>
      <c r="O1163" s="5" t="inlineStr">
        <is>
          <t>Supports the primary topic - add only if natural</t>
        </is>
      </c>
      <c r="P1163" s="5" t="inlineStr"/>
      <c r="Q1163" t="inlineStr">
        <is>
          <t>P3</t>
        </is>
      </c>
      <c r="R1163" t="n">
        <v>455</v>
      </c>
      <c r="S1163" s="5" t="inlineStr">
        <is>
          <t>Questions courantes sur cet outil et comment l'utiliser efficacement 1 Comment fonctionnent les QR codes ? Les QR codes encodent des informations dans un code-barres bidimensionnel que les smartphones peuvent scanner. Il</t>
        </is>
      </c>
    </row>
    <row r="1164">
      <c r="A1164" s="3" t="inlineStr">
        <is>
          <t>https://codesommet.com/tools/qr-code-generator</t>
        </is>
      </c>
      <c r="B1164" t="n">
        <v>4</v>
      </c>
      <c r="C1164" t="inlineStr">
        <is>
          <t>Internal-link block</t>
        </is>
      </c>
      <c r="D1164" s="5" t="inlineStr">
        <is>
          <t>Outils Connexes Qui Pourraient Vous Intéresser</t>
        </is>
      </c>
      <c r="E1164" t="inlineStr">
        <is>
          <t>H2</t>
        </is>
      </c>
      <c r="F1164" s="5" t="inlineStr">
        <is>
          <t>Navigation</t>
        </is>
      </c>
      <c r="G1164" t="inlineStr">
        <is>
          <t>—</t>
        </is>
      </c>
      <c r="H1164" t="inlineStr">
        <is>
          <t>NONE</t>
        </is>
      </c>
      <c r="I1164" t="inlineStr">
        <is>
          <t>—</t>
        </is>
      </c>
      <c r="J1164" t="inlineStr">
        <is>
          <t>—</t>
        </is>
      </c>
      <c r="K1164" t="inlineStr">
        <is>
          <t>—</t>
        </is>
      </c>
      <c r="L1164" t="inlineStr">
        <is>
          <t>—</t>
        </is>
      </c>
      <c r="M1164" t="inlineStr">
        <is>
          <t>—</t>
        </is>
      </c>
      <c r="N1164" t="inlineStr">
        <is>
          <t>n/a</t>
        </is>
      </c>
      <c r="O1164" s="5" t="inlineStr">
        <is>
          <t>No keyword target - keep conversion/navigation focus; use descriptive, non-repeated anchor texts</t>
        </is>
      </c>
      <c r="P1164" s="5" t="inlineStr"/>
      <c r="Q1164" t="inlineStr">
        <is>
          <t>P4</t>
        </is>
      </c>
      <c r="R1164" t="n">
        <v>70</v>
      </c>
      <c r="S1164" s="5" t="inlineStr">
        <is>
          <t xml:space="preserve">Continuez à optimiser votre site web avec ces outils complémentaires Générateur de Palette de Couleurs Extrayez les couleurs de marque des logos avec la vision IA Essayez gratuitement design Minificateur CSS Minifiez le </t>
        </is>
      </c>
    </row>
    <row r="1165">
      <c r="A1165" s="3" t="inlineStr">
        <is>
          <t>https://codesommet.com/tools/qr-code-generator</t>
        </is>
      </c>
      <c r="B1165" t="n">
        <v>5</v>
      </c>
      <c r="C1165" t="inlineStr">
        <is>
          <t>CTA / conversion</t>
        </is>
      </c>
      <c r="D1165" s="5" t="inlineStr">
        <is>
          <t>Besoin d'un Outil Personnalisé pour Votre Entreprise ?</t>
        </is>
      </c>
      <c r="E1165" t="inlineStr">
        <is>
          <t>H2</t>
        </is>
      </c>
      <c r="F1165" s="5" t="inlineStr">
        <is>
          <t>Conversion</t>
        </is>
      </c>
      <c r="G1165" t="inlineStr">
        <is>
          <t>—</t>
        </is>
      </c>
      <c r="H1165" t="inlineStr">
        <is>
          <t>NONE</t>
        </is>
      </c>
      <c r="I1165" t="inlineStr">
        <is>
          <t>—</t>
        </is>
      </c>
      <c r="J1165" t="inlineStr">
        <is>
          <t>—</t>
        </is>
      </c>
      <c r="K1165" t="inlineStr">
        <is>
          <t>—</t>
        </is>
      </c>
      <c r="L1165" t="inlineStr">
        <is>
          <t>—</t>
        </is>
      </c>
      <c r="M1165" t="inlineStr">
        <is>
          <t>—</t>
        </is>
      </c>
      <c r="N1165" t="inlineStr">
        <is>
          <t>n/a</t>
        </is>
      </c>
      <c r="O1165" s="5" t="inlineStr">
        <is>
          <t>No keyword target - keep conversion/navigation focus; use descriptive, non-repeated anchor texts</t>
        </is>
      </c>
      <c r="P1165" s="5" t="inlineStr"/>
      <c r="Q1165" t="inlineStr">
        <is>
          <t>P4</t>
        </is>
      </c>
      <c r="R1165" t="n">
        <v>112</v>
      </c>
      <c r="S1165" s="5" t="inlineStr">
        <is>
          <t>Nous créons des outils alimentés par l'IA, des tableaux de bord et des automatisations qui génèrent de vrais résultats Réserver un Appel Découverte 50+ projets réussis • Livraison en 48h • Sans engagement à long terme Si</t>
        </is>
      </c>
    </row>
    <row r="1166">
      <c r="A1166" s="3" t="inlineStr">
        <is>
          <t>https://codesommet.com/tools/readability-analyzer</t>
        </is>
      </c>
      <c r="B1166" t="n">
        <v>1</v>
      </c>
      <c r="C1166" t="inlineStr">
        <is>
          <t>Hero / H1</t>
        </is>
      </c>
      <c r="D1166" s="5" t="inlineStr">
        <is>
          <t>Analyseur de Lisibilité de Contenu Gratuit</t>
        </is>
      </c>
      <c r="E1166" t="inlineStr">
        <is>
          <t>H1</t>
        </is>
      </c>
      <c r="F1166" s="5" t="inlineStr">
        <is>
          <t>Informational / tool use</t>
        </is>
      </c>
      <c r="G1166" t="inlineStr">
        <is>
          <t>test lisibilité</t>
        </is>
      </c>
      <c r="H1166" t="inlineStr">
        <is>
          <t>PRIMARY</t>
        </is>
      </c>
      <c r="I1166" t="inlineStr">
        <is>
          <t>fr</t>
        </is>
      </c>
      <c r="J1166" t="n">
        <v>20</v>
      </c>
      <c r="K1166" t="inlineStr">
        <is>
          <t>NOT AVAILABLE</t>
        </is>
      </c>
      <c r="L1166" t="n">
        <v>0</v>
      </c>
      <c r="M1166" t="inlineStr">
        <is>
          <t>MEASURED</t>
        </is>
      </c>
      <c r="N1166" t="inlineStr">
        <is>
          <t>Partly</t>
        </is>
      </c>
      <c r="O1166" s="5" t="inlineStr">
        <is>
          <t>Work "test lisibilité" (or a close natural variant) into existing copy - no new heading needed</t>
        </is>
      </c>
      <c r="P1166" s="5" t="inlineStr">
        <is>
          <t>Keyword/variant absent from this section</t>
        </is>
      </c>
      <c r="Q1166" t="inlineStr">
        <is>
          <t>P3</t>
        </is>
      </c>
      <c r="R1166" t="n">
        <v>59</v>
      </c>
      <c r="S1166" s="5" t="inlineStr">
        <is>
          <t>Analysez la lisibilité de votre contenu à l'aide de plusieurs algorithmes. Obtenez des niveaux de lecture, des scores de lisibilité et des conseils pratiques pour rendre votre écriture plus claire et plus accessible, y c</t>
        </is>
      </c>
    </row>
    <row r="1167">
      <c r="A1167" s="3" t="inlineStr">
        <is>
          <t>https://codesommet.com/tools/readability-analyzer</t>
        </is>
      </c>
      <c r="B1167" t="n">
        <v>2</v>
      </c>
      <c r="C1167" t="inlineStr">
        <is>
          <t>FAQ</t>
        </is>
      </c>
      <c r="D1167" s="5" t="inlineStr">
        <is>
          <t>Questions Fréquentes</t>
        </is>
      </c>
      <c r="E1167" t="inlineStr">
        <is>
          <t>H2</t>
        </is>
      </c>
      <c r="F1167" s="5" t="inlineStr">
        <is>
          <t>Informational (pre-purchase questions)</t>
        </is>
      </c>
      <c r="G1167" t="inlineStr">
        <is>
          <t>test lisibilité</t>
        </is>
      </c>
      <c r="H1167" t="inlineStr">
        <is>
          <t>SUPPORTS PRIMARY</t>
        </is>
      </c>
      <c r="I1167" t="inlineStr">
        <is>
          <t>fr</t>
        </is>
      </c>
      <c r="J1167" t="n">
        <v>20</v>
      </c>
      <c r="K1167" t="inlineStr">
        <is>
          <t>NOT AVAILABLE</t>
        </is>
      </c>
      <c r="L1167" t="n">
        <v>0</v>
      </c>
      <c r="M1167" t="inlineStr">
        <is>
          <t>MEASURED</t>
        </is>
      </c>
      <c r="N1167" t="inlineStr">
        <is>
          <t>Yes (supporting block)</t>
        </is>
      </c>
      <c r="O1167" s="5" t="inlineStr">
        <is>
          <t>Supports the primary topic - add only if natural</t>
        </is>
      </c>
      <c r="P1167" s="5" t="inlineStr"/>
      <c r="Q1167" t="inlineStr">
        <is>
          <t>P3</t>
        </is>
      </c>
      <c r="R1167" t="n">
        <v>377</v>
      </c>
      <c r="S1167" s="5" t="inlineStr">
        <is>
          <t>Tout ce que vous devez savoir sur l'analyseur de lisibilité 1 Quelle est la différence entre Flesch Reading Ease et Flesch-Kincaid Grade ? Flesch Reading Ease utilise une échelle de 0 à 100 où des scores plus élevés sign</t>
        </is>
      </c>
    </row>
    <row r="1168">
      <c r="A1168" s="3" t="inlineStr">
        <is>
          <t>https://codesommet.com/tools/readability-analyzer</t>
        </is>
      </c>
      <c r="B1168" t="n">
        <v>3</v>
      </c>
      <c r="C1168" t="inlineStr">
        <is>
          <t>Internal-link block</t>
        </is>
      </c>
      <c r="D1168" s="5" t="inlineStr">
        <is>
          <t>Outils Connexes Qui Pourraient Vous Intéresser</t>
        </is>
      </c>
      <c r="E1168" t="inlineStr">
        <is>
          <t>H2</t>
        </is>
      </c>
      <c r="F1168" s="5" t="inlineStr">
        <is>
          <t>Navigation</t>
        </is>
      </c>
      <c r="G1168" t="inlineStr">
        <is>
          <t>—</t>
        </is>
      </c>
      <c r="H1168" t="inlineStr">
        <is>
          <t>NONE</t>
        </is>
      </c>
      <c r="I1168" t="inlineStr">
        <is>
          <t>—</t>
        </is>
      </c>
      <c r="J1168" t="inlineStr">
        <is>
          <t>—</t>
        </is>
      </c>
      <c r="K1168" t="inlineStr">
        <is>
          <t>—</t>
        </is>
      </c>
      <c r="L1168" t="inlineStr">
        <is>
          <t>—</t>
        </is>
      </c>
      <c r="M1168" t="inlineStr">
        <is>
          <t>—</t>
        </is>
      </c>
      <c r="N1168" t="inlineStr">
        <is>
          <t>n/a</t>
        </is>
      </c>
      <c r="O1168" s="5" t="inlineStr">
        <is>
          <t>No keyword target - keep conversion/navigation focus; use descriptive, non-repeated anchor texts</t>
        </is>
      </c>
      <c r="P1168" s="5" t="inlineStr"/>
      <c r="Q1168" t="inlineStr">
        <is>
          <t>P4</t>
        </is>
      </c>
      <c r="R1168" t="n">
        <v>89</v>
      </c>
      <c r="S1168" s="5" t="inlineStr">
        <is>
          <t xml:space="preserve">Continuez à optimiser votre site web avec ces outils complémentaires Compteur de Mots &amp; Caractères Comptez les mots, les caractères et vérifiez les limites des plateformes Essayez gratuitement content Convertisseur HTML </t>
        </is>
      </c>
    </row>
    <row r="1169">
      <c r="A1169" s="3" t="inlineStr">
        <is>
          <t>https://codesommet.com/tools/readability-analyzer</t>
        </is>
      </c>
      <c r="B1169" t="n">
        <v>4</v>
      </c>
      <c r="C1169" t="inlineStr">
        <is>
          <t>CTA / conversion</t>
        </is>
      </c>
      <c r="D1169" s="5" t="inlineStr">
        <is>
          <t>Besoin d'un Outil Personnalisé pour Votre Entreprise ?</t>
        </is>
      </c>
      <c r="E1169" t="inlineStr">
        <is>
          <t>H2</t>
        </is>
      </c>
      <c r="F1169" s="5" t="inlineStr">
        <is>
          <t>Conversion</t>
        </is>
      </c>
      <c r="G1169" t="inlineStr">
        <is>
          <t>—</t>
        </is>
      </c>
      <c r="H1169" t="inlineStr">
        <is>
          <t>NONE</t>
        </is>
      </c>
      <c r="I1169" t="inlineStr">
        <is>
          <t>—</t>
        </is>
      </c>
      <c r="J1169" t="inlineStr">
        <is>
          <t>—</t>
        </is>
      </c>
      <c r="K1169" t="inlineStr">
        <is>
          <t>—</t>
        </is>
      </c>
      <c r="L1169" t="inlineStr">
        <is>
          <t>—</t>
        </is>
      </c>
      <c r="M1169" t="inlineStr">
        <is>
          <t>—</t>
        </is>
      </c>
      <c r="N1169" t="inlineStr">
        <is>
          <t>n/a</t>
        </is>
      </c>
      <c r="O1169" s="5" t="inlineStr">
        <is>
          <t>No keyword target - keep conversion/navigation focus; use descriptive, non-repeated anchor texts</t>
        </is>
      </c>
      <c r="P1169" s="5" t="inlineStr"/>
      <c r="Q1169" t="inlineStr">
        <is>
          <t>P4</t>
        </is>
      </c>
      <c r="R1169" t="n">
        <v>112</v>
      </c>
      <c r="S1169" s="5" t="inlineStr">
        <is>
          <t>Nous créons des outils alimentés par l'IA, des tableaux de bord et des automatisations qui génèrent de vrais résultats Réserver un Appel Découverte 50+ projets réussis • Livraison en 48h • Sans engagement à long terme Si</t>
        </is>
      </c>
    </row>
    <row r="1170">
      <c r="A1170" s="3" t="inlineStr">
        <is>
          <t>https://codesommet.com/tools/redirect-checker</t>
        </is>
      </c>
      <c r="B1170" t="n">
        <v>1</v>
      </c>
      <c r="C1170" t="inlineStr">
        <is>
          <t>Hero / H1</t>
        </is>
      </c>
      <c r="D1170" s="5" t="inlineStr">
        <is>
          <t>Vérificateur de Redirections 301 et 302</t>
        </is>
      </c>
      <c r="E1170" t="inlineStr">
        <is>
          <t>H1</t>
        </is>
      </c>
      <c r="F1170" s="5" t="inlineStr">
        <is>
          <t>Informational / tool use</t>
        </is>
      </c>
      <c r="G1170" t="inlineStr">
        <is>
          <t>redirect checker</t>
        </is>
      </c>
      <c r="H1170" t="inlineStr">
        <is>
          <t>PRIMARY</t>
        </is>
      </c>
      <c r="I1170" t="inlineStr">
        <is>
          <t>fr</t>
        </is>
      </c>
      <c r="J1170" t="n">
        <v>480</v>
      </c>
      <c r="K1170" t="n">
        <v>55</v>
      </c>
      <c r="L1170" t="n">
        <v>0.61</v>
      </c>
      <c r="M1170" t="inlineStr">
        <is>
          <t>MEASURED</t>
        </is>
      </c>
      <c r="N1170" t="inlineStr">
        <is>
          <t>Partly</t>
        </is>
      </c>
      <c r="O1170" s="5" t="inlineStr">
        <is>
          <t>Work "redirect checker" (or a close natural variant) into existing copy - no new heading needed</t>
        </is>
      </c>
      <c r="P1170" s="5" t="inlineStr">
        <is>
          <t>Keyword/variant absent from this section</t>
        </is>
      </c>
      <c r="Q1170" t="inlineStr">
        <is>
          <t>P3</t>
        </is>
      </c>
      <c r="R1170" t="n">
        <v>38</v>
      </c>
      <c r="S1170" s="5" t="inlineStr">
        <is>
          <t>Vérifiez les redirections HTTP, détectez les chaînes de redirection et identifiez les boucles ou erreurs de redirection. Optimisez vos redirections pour un meilleur SEO et de meilleures performances. Gratuit • Aucune ins</t>
        </is>
      </c>
    </row>
    <row r="1171">
      <c r="A1171" s="3" t="inlineStr">
        <is>
          <t>https://codesommet.com/tools/redirect-checker</t>
        </is>
      </c>
      <c r="B1171" t="n">
        <v>2</v>
      </c>
      <c r="C1171" t="inlineStr">
        <is>
          <t>FAQ</t>
        </is>
      </c>
      <c r="D1171" s="5" t="inlineStr">
        <is>
          <t>Questions Fréquemment Posées</t>
        </is>
      </c>
      <c r="E1171" t="inlineStr">
        <is>
          <t>H2</t>
        </is>
      </c>
      <c r="F1171" s="5" t="inlineStr">
        <is>
          <t>Informational (pre-purchase questions)</t>
        </is>
      </c>
      <c r="G1171" t="inlineStr">
        <is>
          <t>redirect checker</t>
        </is>
      </c>
      <c r="H1171" t="inlineStr">
        <is>
          <t>SUPPORTS PRIMARY</t>
        </is>
      </c>
      <c r="I1171" t="inlineStr">
        <is>
          <t>fr</t>
        </is>
      </c>
      <c r="J1171" t="n">
        <v>480</v>
      </c>
      <c r="K1171" t="n">
        <v>55</v>
      </c>
      <c r="L1171" t="n">
        <v>0.61</v>
      </c>
      <c r="M1171" t="inlineStr">
        <is>
          <t>MEASURED</t>
        </is>
      </c>
      <c r="N1171" t="inlineStr">
        <is>
          <t>Yes (supporting block)</t>
        </is>
      </c>
      <c r="O1171" s="5" t="inlineStr">
        <is>
          <t>Supports the primary topic - add only if natural</t>
        </is>
      </c>
      <c r="P1171" s="5" t="inlineStr"/>
      <c r="Q1171" t="inlineStr">
        <is>
          <t>P3</t>
        </is>
      </c>
      <c r="R1171" t="n">
        <v>530</v>
      </c>
      <c r="S1171" s="5" t="inlineStr">
        <is>
          <t xml:space="preserve">Questions courantes sur cet outil et comment l'utiliser efficacement 1 Quelle est la différence entre les redirections 301 et 302 ? Une redirection 301 est permanente et indique aux moteurs de recherche de transférer la </t>
        </is>
      </c>
    </row>
    <row r="1172">
      <c r="A1172" s="3" t="inlineStr">
        <is>
          <t>https://codesommet.com/tools/redirect-checker</t>
        </is>
      </c>
      <c r="B1172" t="n">
        <v>3</v>
      </c>
      <c r="C1172" t="inlineStr">
        <is>
          <t>Internal-link block</t>
        </is>
      </c>
      <c r="D1172" s="5" t="inlineStr">
        <is>
          <t>Outils Connexes Qui Pourraient Vous Intéresser</t>
        </is>
      </c>
      <c r="E1172" t="inlineStr">
        <is>
          <t>H2</t>
        </is>
      </c>
      <c r="F1172" s="5" t="inlineStr">
        <is>
          <t>Navigation</t>
        </is>
      </c>
      <c r="G1172" t="inlineStr">
        <is>
          <t>—</t>
        </is>
      </c>
      <c r="H1172" t="inlineStr">
        <is>
          <t>NONE</t>
        </is>
      </c>
      <c r="I1172" t="inlineStr">
        <is>
          <t>—</t>
        </is>
      </c>
      <c r="J1172" t="inlineStr">
        <is>
          <t>—</t>
        </is>
      </c>
      <c r="K1172" t="inlineStr">
        <is>
          <t>—</t>
        </is>
      </c>
      <c r="L1172" t="inlineStr">
        <is>
          <t>—</t>
        </is>
      </c>
      <c r="M1172" t="inlineStr">
        <is>
          <t>—</t>
        </is>
      </c>
      <c r="N1172" t="inlineStr">
        <is>
          <t>n/a</t>
        </is>
      </c>
      <c r="O1172" s="5" t="inlineStr">
        <is>
          <t>No keyword target - keep conversion/navigation focus; use descriptive, non-repeated anchor texts</t>
        </is>
      </c>
      <c r="P1172" s="5" t="inlineStr"/>
      <c r="Q1172" t="inlineStr">
        <is>
          <t>P4</t>
        </is>
      </c>
      <c r="R1172" t="n">
        <v>64</v>
      </c>
      <c r="S1172" s="5" t="inlineStr">
        <is>
          <t>Continuez à optimiser votre site web avec ces outils complémentaires Analyseur de Structure des Titres Arborescence visuelle H1-H6 avec validation SEO Essayez gratuitement seo Vérificateur de Liens Cassés Trouvez les lie</t>
        </is>
      </c>
    </row>
    <row r="1173">
      <c r="A1173" s="3" t="inlineStr">
        <is>
          <t>https://codesommet.com/tools/redirect-checker</t>
        </is>
      </c>
      <c r="B1173" t="n">
        <v>4</v>
      </c>
      <c r="C1173" t="inlineStr">
        <is>
          <t>CTA / conversion</t>
        </is>
      </c>
      <c r="D1173" s="5" t="inlineStr">
        <is>
          <t>Besoin d'un Outil Personnalisé pour Votre Entreprise ?</t>
        </is>
      </c>
      <c r="E1173" t="inlineStr">
        <is>
          <t>H2</t>
        </is>
      </c>
      <c r="F1173" s="5" t="inlineStr">
        <is>
          <t>Conversion</t>
        </is>
      </c>
      <c r="G1173" t="inlineStr">
        <is>
          <t>—</t>
        </is>
      </c>
      <c r="H1173" t="inlineStr">
        <is>
          <t>NONE</t>
        </is>
      </c>
      <c r="I1173" t="inlineStr">
        <is>
          <t>—</t>
        </is>
      </c>
      <c r="J1173" t="inlineStr">
        <is>
          <t>—</t>
        </is>
      </c>
      <c r="K1173" t="inlineStr">
        <is>
          <t>—</t>
        </is>
      </c>
      <c r="L1173" t="inlineStr">
        <is>
          <t>—</t>
        </is>
      </c>
      <c r="M1173" t="inlineStr">
        <is>
          <t>—</t>
        </is>
      </c>
      <c r="N1173" t="inlineStr">
        <is>
          <t>n/a</t>
        </is>
      </c>
      <c r="O1173" s="5" t="inlineStr">
        <is>
          <t>No keyword target - keep conversion/navigation focus; use descriptive, non-repeated anchor texts</t>
        </is>
      </c>
      <c r="P1173" s="5" t="inlineStr"/>
      <c r="Q1173" t="inlineStr">
        <is>
          <t>P4</t>
        </is>
      </c>
      <c r="R1173" t="n">
        <v>112</v>
      </c>
      <c r="S1173" s="5" t="inlineStr">
        <is>
          <t>Nous créons des outils alimentés par l'IA, des tableaux de bord et des automatisations qui génèrent de vrais résultats Réserver un Appel Découverte 50+ projets réussis • Livraison en 48h • Sans engagement à long terme Si</t>
        </is>
      </c>
    </row>
    <row r="1174">
      <c r="A1174" s="3" t="inlineStr">
        <is>
          <t>https://codesommet.com/tools/robots-txt-generator</t>
        </is>
      </c>
      <c r="B1174" t="n">
        <v>1</v>
      </c>
      <c r="C1174" t="inlineStr">
        <is>
          <t>Hero / H1</t>
        </is>
      </c>
      <c r="D1174" s="5" t="inlineStr">
        <is>
          <t>Générateur de Fichier Robots.txt Gratuit</t>
        </is>
      </c>
      <c r="E1174" t="inlineStr">
        <is>
          <t>H1</t>
        </is>
      </c>
      <c r="F1174" s="5" t="inlineStr">
        <is>
          <t>Informational / tool use</t>
        </is>
      </c>
      <c r="G1174" t="inlineStr">
        <is>
          <t>robots.txt</t>
        </is>
      </c>
      <c r="H1174" t="inlineStr">
        <is>
          <t>PRIMARY</t>
        </is>
      </c>
      <c r="I1174" t="inlineStr">
        <is>
          <t>fr</t>
        </is>
      </c>
      <c r="J1174" t="n">
        <v>1900</v>
      </c>
      <c r="K1174" t="n">
        <v>36</v>
      </c>
      <c r="L1174" t="n">
        <v>0.88</v>
      </c>
      <c r="M1174" t="inlineStr">
        <is>
          <t>MEASURED</t>
        </is>
      </c>
      <c r="N1174" t="inlineStr">
        <is>
          <t>Yes</t>
        </is>
      </c>
      <c r="O1174" s="5" t="inlineStr">
        <is>
          <t>Covered - keep wording; no change</t>
        </is>
      </c>
      <c r="P1174" s="5" t="inlineStr"/>
      <c r="Q1174" t="inlineStr">
        <is>
          <t>P3</t>
        </is>
      </c>
      <c r="R1174" t="n">
        <v>16</v>
      </c>
      <c r="S1174" s="5" t="inlineStr">
        <is>
          <t>Générez des fichiers robots.txt pour contrôler l'exploration des moteurs de recherche Gratuit • Aucune inscription requise</t>
        </is>
      </c>
    </row>
    <row r="1175">
      <c r="A1175" s="3" t="inlineStr">
        <is>
          <t>https://codesommet.com/tools/robots-txt-generator</t>
        </is>
      </c>
      <c r="B1175" t="n">
        <v>2</v>
      </c>
      <c r="C1175" t="inlineStr">
        <is>
          <t>Content block</t>
        </is>
      </c>
      <c r="D1175" s="5" t="inlineStr">
        <is>
          <t>Configurer le Robots.txt</t>
        </is>
      </c>
      <c r="E1175" t="inlineStr">
        <is>
          <t>H2</t>
        </is>
      </c>
      <c r="F1175" s="5" t="inlineStr">
        <is>
          <t>Informational / tool use</t>
        </is>
      </c>
      <c r="G1175" t="inlineStr">
        <is>
          <t>fichier robots.txt</t>
        </is>
      </c>
      <c r="H1175" t="inlineStr">
        <is>
          <t>SUPPORTING</t>
        </is>
      </c>
      <c r="I1175" t="inlineStr">
        <is>
          <t>fr</t>
        </is>
      </c>
      <c r="J1175" t="n">
        <v>90</v>
      </c>
      <c r="K1175" t="n">
        <v>37</v>
      </c>
      <c r="L1175" t="n">
        <v>0.17</v>
      </c>
      <c r="M1175" t="inlineStr">
        <is>
          <t>MEASURED</t>
        </is>
      </c>
      <c r="N1175" t="inlineStr">
        <is>
          <t>Yes (supporting block)</t>
        </is>
      </c>
      <c r="O1175" s="5" t="inlineStr">
        <is>
          <t>Supports the primary topic - add only if natural</t>
        </is>
      </c>
      <c r="P1175" s="5" t="inlineStr"/>
      <c r="Q1175" t="inlineStr">
        <is>
          <t>P3</t>
        </is>
      </c>
      <c r="R1175" t="n">
        <v>67</v>
      </c>
      <c r="S1175" s="5" t="inlineStr">
        <is>
          <t>Contrôlez quels robots de moteurs de recherche peuvent explorer votre site web et quel contenu ils peuvent accéder. User-agent (Robot de Moteur de Recherche) * (All Bots) Googlebot (Google) Googlebot-Image (Google Images</t>
        </is>
      </c>
    </row>
    <row r="1176">
      <c r="A1176" s="3" t="inlineStr">
        <is>
          <t>https://codesommet.com/tools/robots-txt-generator</t>
        </is>
      </c>
      <c r="B1176" t="n">
        <v>3</v>
      </c>
      <c r="C1176" t="inlineStr">
        <is>
          <t>Content block</t>
        </is>
      </c>
      <c r="D1176" s="5" t="inlineStr">
        <is>
          <t>Comment Utiliser Cet Outil</t>
        </is>
      </c>
      <c r="E1176" t="inlineStr">
        <is>
          <t>H2</t>
        </is>
      </c>
      <c r="F1176" s="5" t="inlineStr">
        <is>
          <t>Informational / tool use</t>
        </is>
      </c>
      <c r="G1176" t="inlineStr">
        <is>
          <t>fichier robots.txt</t>
        </is>
      </c>
      <c r="H1176" t="inlineStr">
        <is>
          <t>SUPPORTING</t>
        </is>
      </c>
      <c r="I1176" t="inlineStr">
        <is>
          <t>fr</t>
        </is>
      </c>
      <c r="J1176" t="n">
        <v>90</v>
      </c>
      <c r="K1176" t="n">
        <v>37</v>
      </c>
      <c r="L1176" t="n">
        <v>0.17</v>
      </c>
      <c r="M1176" t="inlineStr">
        <is>
          <t>MEASURED</t>
        </is>
      </c>
      <c r="N1176" t="inlineStr">
        <is>
          <t>Yes (supporting block)</t>
        </is>
      </c>
      <c r="O1176" s="5" t="inlineStr">
        <is>
          <t>Supports the primary topic - add only if natural</t>
        </is>
      </c>
      <c r="P1176" s="5" t="inlineStr"/>
      <c r="Q1176" t="inlineStr">
        <is>
          <t>P3</t>
        </is>
      </c>
      <c r="R1176" t="n">
        <v>61</v>
      </c>
      <c r="S1176" s="5" t="inlineStr">
        <is>
          <t xml:space="preserve">1 Sélectionnez un user-agent (utilisez * pour tous les robots ou ciblez des moteurs de recherche spécifiques) 2 Ajoutez des règles pour autoriser ou interdire des chemins spécifiques (ex. : /admin/, /private/) 3 Ajoutez </t>
        </is>
      </c>
    </row>
    <row r="1177">
      <c r="A1177" s="3" t="inlineStr">
        <is>
          <t>https://codesommet.com/tools/robots-txt-generator</t>
        </is>
      </c>
      <c r="B1177" t="n">
        <v>4</v>
      </c>
      <c r="C1177" t="inlineStr">
        <is>
          <t>FAQ</t>
        </is>
      </c>
      <c r="D1177" s="5" t="inlineStr">
        <is>
          <t>Questions Fréquemment Posées</t>
        </is>
      </c>
      <c r="E1177" t="inlineStr">
        <is>
          <t>H2</t>
        </is>
      </c>
      <c r="F1177" s="5" t="inlineStr">
        <is>
          <t>Informational (pre-purchase questions)</t>
        </is>
      </c>
      <c r="G1177" t="inlineStr">
        <is>
          <t>robots.txt</t>
        </is>
      </c>
      <c r="H1177" t="inlineStr">
        <is>
          <t>SUPPORTS PRIMARY</t>
        </is>
      </c>
      <c r="I1177" t="inlineStr">
        <is>
          <t>fr</t>
        </is>
      </c>
      <c r="J1177" t="n">
        <v>1900</v>
      </c>
      <c r="K1177" t="n">
        <v>36</v>
      </c>
      <c r="L1177" t="n">
        <v>0.88</v>
      </c>
      <c r="M1177" t="inlineStr">
        <is>
          <t>MEASURED</t>
        </is>
      </c>
      <c r="N1177" t="inlineStr">
        <is>
          <t>Yes</t>
        </is>
      </c>
      <c r="O1177" s="5" t="inlineStr">
        <is>
          <t>Covered - keep wording; no change</t>
        </is>
      </c>
      <c r="P1177" s="5" t="inlineStr"/>
      <c r="Q1177" t="inlineStr">
        <is>
          <t>P3</t>
        </is>
      </c>
      <c r="R1177" t="n">
        <v>491</v>
      </c>
      <c r="S1177" s="5" t="inlineStr">
        <is>
          <t xml:space="preserve">Questions courantes sur cet outil et comment l'utiliser efficacement 1 Qu'est-ce qu'un fichier robots.txt et pourquoi en ai-je besoin ? Un fichier robots.txt est un fichier texte placé dans le répertoire racine de votre </t>
        </is>
      </c>
    </row>
    <row r="1178">
      <c r="A1178" s="3" t="inlineStr">
        <is>
          <t>https://codesommet.com/tools/robots-txt-generator</t>
        </is>
      </c>
      <c r="B1178" t="n">
        <v>5</v>
      </c>
      <c r="C1178" t="inlineStr">
        <is>
          <t>Internal-link block</t>
        </is>
      </c>
      <c r="D1178" s="5" t="inlineStr">
        <is>
          <t>Outils Connexes Qui Pourraient Vous Intéresser</t>
        </is>
      </c>
      <c r="E1178" t="inlineStr">
        <is>
          <t>H2</t>
        </is>
      </c>
      <c r="F1178" s="5" t="inlineStr">
        <is>
          <t>Navigation</t>
        </is>
      </c>
      <c r="G1178" t="inlineStr">
        <is>
          <t>—</t>
        </is>
      </c>
      <c r="H1178" t="inlineStr">
        <is>
          <t>NONE</t>
        </is>
      </c>
      <c r="I1178" t="inlineStr">
        <is>
          <t>—</t>
        </is>
      </c>
      <c r="J1178" t="inlineStr">
        <is>
          <t>—</t>
        </is>
      </c>
      <c r="K1178" t="inlineStr">
        <is>
          <t>—</t>
        </is>
      </c>
      <c r="L1178" t="inlineStr">
        <is>
          <t>—</t>
        </is>
      </c>
      <c r="M1178" t="inlineStr">
        <is>
          <t>—</t>
        </is>
      </c>
      <c r="N1178" t="inlineStr">
        <is>
          <t>n/a</t>
        </is>
      </c>
      <c r="O1178" s="5" t="inlineStr">
        <is>
          <t>No keyword target - keep conversion/navigation focus; use descriptive, non-repeated anchor texts</t>
        </is>
      </c>
      <c r="P1178" s="5" t="inlineStr"/>
      <c r="Q1178" t="inlineStr">
        <is>
          <t>P4</t>
        </is>
      </c>
      <c r="R1178" t="n">
        <v>63</v>
      </c>
      <c r="S1178" s="5" t="inlineStr">
        <is>
          <t>Continuez à optimiser votre site web avec ces outils complémentaires Validateur Robots.txt Vérifiez la syntaxe robots.txt et les directives de crawl Essayez gratuitement seo Générateur de Sitemap XML Générez des sitemaps</t>
        </is>
      </c>
    </row>
    <row r="1179">
      <c r="A1179" s="3" t="inlineStr">
        <is>
          <t>https://codesommet.com/tools/robots-txt-generator</t>
        </is>
      </c>
      <c r="B1179" t="n">
        <v>6</v>
      </c>
      <c r="C1179" t="inlineStr">
        <is>
          <t>CTA / conversion</t>
        </is>
      </c>
      <c r="D1179" s="5" t="inlineStr">
        <is>
          <t>Besoin d'un Outil Personnalisé pour Votre Entreprise ?</t>
        </is>
      </c>
      <c r="E1179" t="inlineStr">
        <is>
          <t>H2</t>
        </is>
      </c>
      <c r="F1179" s="5" t="inlineStr">
        <is>
          <t>Conversion</t>
        </is>
      </c>
      <c r="G1179" t="inlineStr">
        <is>
          <t>—</t>
        </is>
      </c>
      <c r="H1179" t="inlineStr">
        <is>
          <t>NONE</t>
        </is>
      </c>
      <c r="I1179" t="inlineStr">
        <is>
          <t>—</t>
        </is>
      </c>
      <c r="J1179" t="inlineStr">
        <is>
          <t>—</t>
        </is>
      </c>
      <c r="K1179" t="inlineStr">
        <is>
          <t>—</t>
        </is>
      </c>
      <c r="L1179" t="inlineStr">
        <is>
          <t>—</t>
        </is>
      </c>
      <c r="M1179" t="inlineStr">
        <is>
          <t>—</t>
        </is>
      </c>
      <c r="N1179" t="inlineStr">
        <is>
          <t>n/a</t>
        </is>
      </c>
      <c r="O1179" s="5" t="inlineStr">
        <is>
          <t>No keyword target - keep conversion/navigation focus; use descriptive, non-repeated anchor texts</t>
        </is>
      </c>
      <c r="P1179" s="5" t="inlineStr"/>
      <c r="Q1179" t="inlineStr">
        <is>
          <t>P4</t>
        </is>
      </c>
      <c r="R1179" t="n">
        <v>112</v>
      </c>
      <c r="S1179" s="5" t="inlineStr">
        <is>
          <t>Nous créons des outils alimentés par l'IA, des tableaux de bord et des automatisations qui génèrent de vrais résultats Réserver un Appel Découverte 50+ projets réussis • Livraison en 48h • Sans engagement à long terme Si</t>
        </is>
      </c>
    </row>
    <row r="1180">
      <c r="A1180" s="3" t="inlineStr">
        <is>
          <t>https://codesommet.com/tools/robots-txt-tester</t>
        </is>
      </c>
      <c r="B1180" t="n">
        <v>1</v>
      </c>
      <c r="C1180" t="inlineStr">
        <is>
          <t>Hero / H1</t>
        </is>
      </c>
      <c r="D1180" s="5" t="inlineStr">
        <is>
          <t>Testeur Robots.txt : URL Bloquée ou Non ?</t>
        </is>
      </c>
      <c r="E1180" t="inlineStr">
        <is>
          <t>H1</t>
        </is>
      </c>
      <c r="F1180" s="5" t="inlineStr">
        <is>
          <t>Informational / tool use</t>
        </is>
      </c>
      <c r="G1180" t="inlineStr">
        <is>
          <t>test robots.txt</t>
        </is>
      </c>
      <c r="H1180" t="inlineStr">
        <is>
          <t>PRIMARY</t>
        </is>
      </c>
      <c r="I1180" t="inlineStr">
        <is>
          <t>fr</t>
        </is>
      </c>
      <c r="J1180" t="n">
        <v>260</v>
      </c>
      <c r="K1180" t="n">
        <v>20</v>
      </c>
      <c r="L1180" t="n">
        <v>1.66</v>
      </c>
      <c r="M1180" t="inlineStr">
        <is>
          <t>MEASURED</t>
        </is>
      </c>
      <c r="N1180" t="inlineStr">
        <is>
          <t>Yes</t>
        </is>
      </c>
      <c r="O1180" s="5" t="inlineStr">
        <is>
          <t>Covered - keep wording; no change</t>
        </is>
      </c>
      <c r="P1180" s="5" t="inlineStr"/>
      <c r="Q1180" t="inlineStr">
        <is>
          <t>P3</t>
        </is>
      </c>
      <c r="R1180" t="n">
        <v>86</v>
      </c>
      <c r="S1180" s="5" t="inlineStr">
        <is>
          <t>Vérifiez, URL par URL et robot par robot, ce que votre fichier robots.txt autorise ou interdit — avec la règle exacte qui l'emporte, comme le fait Google. Gratuit • Aucune inscription requise Site à tester (le robots.txt</t>
        </is>
      </c>
    </row>
    <row r="1181">
      <c r="A1181" s="3" t="inlineStr">
        <is>
          <t>https://codesommet.com/tools/robots-txt-tester</t>
        </is>
      </c>
      <c r="B1181" t="n">
        <v>2</v>
      </c>
      <c r="C1181" t="inlineStr">
        <is>
          <t>Proof / portfolio / results</t>
        </is>
      </c>
      <c r="D1181" s="5" t="inlineStr">
        <is>
          <t>Résultats par URL</t>
        </is>
      </c>
      <c r="E1181" t="inlineStr">
        <is>
          <t>H2</t>
        </is>
      </c>
      <c r="F1181" s="5" t="inlineStr">
        <is>
          <t>Commercial investigation</t>
        </is>
      </c>
      <c r="G1181" t="inlineStr">
        <is>
          <t>test robots.txt</t>
        </is>
      </c>
      <c r="H1181" t="inlineStr">
        <is>
          <t>SUPPORTS PRIMARY</t>
        </is>
      </c>
      <c r="I1181" t="inlineStr">
        <is>
          <t>fr</t>
        </is>
      </c>
      <c r="J1181" t="n">
        <v>260</v>
      </c>
      <c r="K1181" t="n">
        <v>20</v>
      </c>
      <c r="L1181" t="n">
        <v>1.66</v>
      </c>
      <c r="M1181" t="inlineStr">
        <is>
          <t>MEASURED</t>
        </is>
      </c>
      <c r="N1181" t="inlineStr">
        <is>
          <t>Yes (supporting block)</t>
        </is>
      </c>
      <c r="O1181" s="5" t="inlineStr">
        <is>
          <t>Supports the primary topic - add only if natural</t>
        </is>
      </c>
      <c r="P1181" s="5" t="inlineStr"/>
      <c r="Q1181" t="inlineStr">
        <is>
          <t>P3</t>
        </is>
      </c>
      <c r="R1181" t="n">
        <v>0</v>
      </c>
      <c r="S1181" s="5" t="inlineStr"/>
    </row>
    <row r="1182">
      <c r="A1182" s="3" t="inlineStr">
        <is>
          <t>https://codesommet.com/tools/robots-txt-tester</t>
        </is>
      </c>
      <c r="B1182" t="n">
        <v>3</v>
      </c>
      <c r="C1182" t="inlineStr">
        <is>
          <t>Content block</t>
        </is>
      </c>
      <c r="D1182" s="5" t="inlineStr">
        <is>
          <t>Groupes et règles</t>
        </is>
      </c>
      <c r="E1182" t="inlineStr">
        <is>
          <t>H2</t>
        </is>
      </c>
      <c r="F1182" s="5" t="inlineStr">
        <is>
          <t>Informational / tool use</t>
        </is>
      </c>
      <c r="G1182" t="inlineStr">
        <is>
          <t>robots.txt tester</t>
        </is>
      </c>
      <c r="H1182" t="inlineStr">
        <is>
          <t>SECONDARY</t>
        </is>
      </c>
      <c r="I1182" t="inlineStr">
        <is>
          <t>fr</t>
        </is>
      </c>
      <c r="J1182" t="n">
        <v>320</v>
      </c>
      <c r="K1182" t="n">
        <v>51</v>
      </c>
      <c r="L1182" t="n">
        <v>1.66</v>
      </c>
      <c r="M1182" t="inlineStr">
        <is>
          <t>MEASURED</t>
        </is>
      </c>
      <c r="N1182" t="inlineStr">
        <is>
          <t>Partly</t>
        </is>
      </c>
      <c r="O1182" s="5" t="inlineStr">
        <is>
          <t>Work "robots.txt tester" (or a close natural variant) into existing copy - no new heading needed</t>
        </is>
      </c>
      <c r="P1182" s="5" t="inlineStr">
        <is>
          <t>Keyword/variant absent from this section</t>
        </is>
      </c>
      <c r="Q1182" t="inlineStr">
        <is>
          <t>P3</t>
        </is>
      </c>
      <c r="R1182" t="n">
        <v>0</v>
      </c>
      <c r="S1182" s="5" t="inlineStr"/>
    </row>
    <row r="1183">
      <c r="A1183" s="3" t="inlineStr">
        <is>
          <t>https://codesommet.com/tools/robots-txt-tester</t>
        </is>
      </c>
      <c r="B1183" t="n">
        <v>4</v>
      </c>
      <c r="C1183" t="inlineStr">
        <is>
          <t>Content block</t>
        </is>
      </c>
      <c r="D1183" s="5" t="inlineStr">
        <is>
          <t>Avertissements de syntaxe</t>
        </is>
      </c>
      <c r="E1183" t="inlineStr">
        <is>
          <t>H2</t>
        </is>
      </c>
      <c r="F1183" s="5" t="inlineStr">
        <is>
          <t>Informational / tool use</t>
        </is>
      </c>
      <c r="G1183" t="inlineStr">
        <is>
          <t>tester robots.txt</t>
        </is>
      </c>
      <c r="H1183" t="inlineStr">
        <is>
          <t>SUPPORTING</t>
        </is>
      </c>
      <c r="I1183" t="inlineStr">
        <is>
          <t>fr</t>
        </is>
      </c>
      <c r="J1183" t="n">
        <v>30</v>
      </c>
      <c r="K1183" t="n">
        <v>19</v>
      </c>
      <c r="L1183" t="n">
        <v>0.8100000000000001</v>
      </c>
      <c r="M1183" t="inlineStr">
        <is>
          <t>MEASURED</t>
        </is>
      </c>
      <c r="N1183" t="inlineStr">
        <is>
          <t>Yes (supporting block)</t>
        </is>
      </c>
      <c r="O1183" s="5" t="inlineStr">
        <is>
          <t>Supports the primary topic - add only if natural</t>
        </is>
      </c>
      <c r="P1183" s="5" t="inlineStr"/>
      <c r="Q1183" t="inlineStr">
        <is>
          <t>P3</t>
        </is>
      </c>
      <c r="R1183" t="n">
        <v>9</v>
      </c>
      <c r="S1183" s="5" t="inlineStr">
        <is>
          <t>Contenu analysé Copier le résumé Télécharger CSV Télécharger JSON</t>
        </is>
      </c>
    </row>
    <row r="1184">
      <c r="A1184" s="3" t="inlineStr">
        <is>
          <t>https://codesommet.com/tools/robots-txt-tester</t>
        </is>
      </c>
      <c r="B1184" t="n">
        <v>5</v>
      </c>
      <c r="C1184" t="inlineStr">
        <is>
          <t>Content block</t>
        </is>
      </c>
      <c r="D1184" s="5" t="inlineStr">
        <is>
          <t>Comment Utiliser Cet Outil</t>
        </is>
      </c>
      <c r="E1184" t="inlineStr">
        <is>
          <t>H2</t>
        </is>
      </c>
      <c r="F1184" s="5" t="inlineStr">
        <is>
          <t>Informational / tool use</t>
        </is>
      </c>
      <c r="G1184" t="inlineStr">
        <is>
          <t>robots.txt tester</t>
        </is>
      </c>
      <c r="H1184" t="inlineStr">
        <is>
          <t>SECONDARY</t>
        </is>
      </c>
      <c r="I1184" t="inlineStr">
        <is>
          <t>fr</t>
        </is>
      </c>
      <c r="J1184" t="n">
        <v>320</v>
      </c>
      <c r="K1184" t="n">
        <v>51</v>
      </c>
      <c r="L1184" t="n">
        <v>1.66</v>
      </c>
      <c r="M1184" t="inlineStr">
        <is>
          <t>MEASURED</t>
        </is>
      </c>
      <c r="N1184" t="inlineStr">
        <is>
          <t>Partly</t>
        </is>
      </c>
      <c r="O1184" s="5" t="inlineStr">
        <is>
          <t>Work "robots.txt tester" (or a close natural variant) into existing copy - no new heading needed</t>
        </is>
      </c>
      <c r="P1184" s="5" t="inlineStr">
        <is>
          <t>Keyword/variant absent from this section</t>
        </is>
      </c>
      <c r="Q1184" t="inlineStr">
        <is>
          <t>P3</t>
        </is>
      </c>
      <c r="R1184" t="n">
        <v>64</v>
      </c>
      <c r="S1184" s="5" t="inlineStr">
        <is>
          <t>1 Entrez l'adresse de votre site — nous lisons son robots.txt — ou collez le contenu d'un fichier que vous préparez. 2 Listez les URL à vérifier et cochez les robots qui vous intéressent (Googlebot, Bingbot, robots d'IA,</t>
        </is>
      </c>
    </row>
    <row r="1185">
      <c r="A1185" s="3" t="inlineStr">
        <is>
          <t>https://codesommet.com/tools/robots-txt-tester</t>
        </is>
      </c>
      <c r="B1185" t="n">
        <v>6</v>
      </c>
      <c r="C1185" t="inlineStr">
        <is>
          <t>FAQ</t>
        </is>
      </c>
      <c r="D1185" s="5" t="inlineStr">
        <is>
          <t>Questions Fréquemment Posées</t>
        </is>
      </c>
      <c r="E1185" t="inlineStr">
        <is>
          <t>H2</t>
        </is>
      </c>
      <c r="F1185" s="5" t="inlineStr">
        <is>
          <t>Informational (pre-purchase questions)</t>
        </is>
      </c>
      <c r="G1185" t="inlineStr">
        <is>
          <t>test robots.txt</t>
        </is>
      </c>
      <c r="H1185" t="inlineStr">
        <is>
          <t>SUPPORTS PRIMARY</t>
        </is>
      </c>
      <c r="I1185" t="inlineStr">
        <is>
          <t>fr</t>
        </is>
      </c>
      <c r="J1185" t="n">
        <v>260</v>
      </c>
      <c r="K1185" t="n">
        <v>20</v>
      </c>
      <c r="L1185" t="n">
        <v>1.66</v>
      </c>
      <c r="M1185" t="inlineStr">
        <is>
          <t>MEASURED</t>
        </is>
      </c>
      <c r="N1185" t="inlineStr">
        <is>
          <t>Yes (supporting block)</t>
        </is>
      </c>
      <c r="O1185" s="5" t="inlineStr">
        <is>
          <t>Supports the primary topic - add only if natural</t>
        </is>
      </c>
      <c r="P1185" s="5" t="inlineStr"/>
      <c r="Q1185" t="inlineStr">
        <is>
          <t>P3</t>
        </is>
      </c>
      <c r="R1185" t="n">
        <v>264</v>
      </c>
      <c r="S1185" s="5" t="inlineStr">
        <is>
          <t>Comprendre les décisions d'un robots.txt 1 Comment un robot choisit-il son groupe de règles ? Il cherche le groupe dont le User-agent est le préfixe le plus long de son propre nom : Googlebot-Image utilise le groupe « Go</t>
        </is>
      </c>
    </row>
    <row r="1186">
      <c r="A1186" s="3" t="inlineStr">
        <is>
          <t>https://codesommet.com/tools/robots-txt-tester</t>
        </is>
      </c>
      <c r="B1186" t="n">
        <v>7</v>
      </c>
      <c r="C1186" t="inlineStr">
        <is>
          <t>Internal-link block</t>
        </is>
      </c>
      <c r="D1186" s="5" t="inlineStr">
        <is>
          <t>Outils Connexes Qui Pourraient Vous Intéresser</t>
        </is>
      </c>
      <c r="E1186" t="inlineStr">
        <is>
          <t>H2</t>
        </is>
      </c>
      <c r="F1186" s="5" t="inlineStr">
        <is>
          <t>Navigation</t>
        </is>
      </c>
      <c r="G1186" t="inlineStr">
        <is>
          <t>—</t>
        </is>
      </c>
      <c r="H1186" t="inlineStr">
        <is>
          <t>NONE</t>
        </is>
      </c>
      <c r="I1186" t="inlineStr">
        <is>
          <t>—</t>
        </is>
      </c>
      <c r="J1186" t="inlineStr">
        <is>
          <t>—</t>
        </is>
      </c>
      <c r="K1186" t="inlineStr">
        <is>
          <t>—</t>
        </is>
      </c>
      <c r="L1186" t="inlineStr">
        <is>
          <t>—</t>
        </is>
      </c>
      <c r="M1186" t="inlineStr">
        <is>
          <t>—</t>
        </is>
      </c>
      <c r="N1186" t="inlineStr">
        <is>
          <t>n/a</t>
        </is>
      </c>
      <c r="O1186" s="5" t="inlineStr">
        <is>
          <t>No keyword target - keep conversion/navigation focus; use descriptive, non-repeated anchor texts</t>
        </is>
      </c>
      <c r="P1186" s="5" t="inlineStr"/>
      <c r="Q1186" t="inlineStr">
        <is>
          <t>P4</t>
        </is>
      </c>
      <c r="R1186" t="n">
        <v>56</v>
      </c>
      <c r="S1186" s="5" t="inlineStr">
        <is>
          <t>Continuez à optimiser votre site web avec ces outils complémentaires Validateur Robots.txt Vérifiez la syntaxe globale de votre fichier Essayer gratuitement seo Optimisation du Crawl Ce qui gaspille votre budget de crawl</t>
        </is>
      </c>
    </row>
    <row r="1187">
      <c r="A1187" s="3" t="inlineStr">
        <is>
          <t>https://codesommet.com/tools/robots-txt-tester</t>
        </is>
      </c>
      <c r="B1187" t="n">
        <v>8</v>
      </c>
      <c r="C1187" t="inlineStr">
        <is>
          <t>Problems / pain points</t>
        </is>
      </c>
      <c r="D1187" s="5" t="inlineStr">
        <is>
          <t>Un Problème d'Exploration Plus Large ?</t>
        </is>
      </c>
      <c r="E1187" t="inlineStr">
        <is>
          <t>H2</t>
        </is>
      </c>
      <c r="F1187" s="5" t="inlineStr">
        <is>
          <t>Informational / tool use</t>
        </is>
      </c>
      <c r="G1187" t="inlineStr">
        <is>
          <t>tester robots.txt</t>
        </is>
      </c>
      <c r="H1187" t="inlineStr">
        <is>
          <t>SUPPORTING</t>
        </is>
      </c>
      <c r="I1187" t="inlineStr">
        <is>
          <t>fr</t>
        </is>
      </c>
      <c r="J1187" t="n">
        <v>30</v>
      </c>
      <c r="K1187" t="n">
        <v>19</v>
      </c>
      <c r="L1187" t="n">
        <v>0.8100000000000001</v>
      </c>
      <c r="M1187" t="inlineStr">
        <is>
          <t>MEASURED</t>
        </is>
      </c>
      <c r="N1187" t="inlineStr">
        <is>
          <t>Yes (supporting block)</t>
        </is>
      </c>
      <c r="O1187" s="5" t="inlineStr">
        <is>
          <t>Supports the primary topic - add only if natural</t>
        </is>
      </c>
      <c r="P1187" s="5" t="inlineStr"/>
      <c r="Q1187" t="inlineStr">
        <is>
          <t>P3</t>
        </is>
      </c>
      <c r="R1187" t="n">
        <v>108</v>
      </c>
      <c r="S1187" s="5" t="inlineStr">
        <is>
          <t>Nous auditons la crawlabilité complète de votre site : robots.txt, sitemaps, redirections, budget d'exploration Réserver un Appel Découverte 50+ projets réussis • Livraison en 48h • Pas de contrats à long terme Sites web</t>
        </is>
      </c>
    </row>
    <row r="1188">
      <c r="A1188" s="3" t="inlineStr">
        <is>
          <t>https://codesommet.com/tools/robots-validator</t>
        </is>
      </c>
      <c r="B1188" t="n">
        <v>1</v>
      </c>
      <c r="C1188" t="inlineStr">
        <is>
          <t>Hero / H1</t>
        </is>
      </c>
      <c r="D1188" s="5" t="inlineStr">
        <is>
          <t>Validateur Robots.txt Gratuit</t>
        </is>
      </c>
      <c r="E1188" t="inlineStr">
        <is>
          <t>H1</t>
        </is>
      </c>
      <c r="F1188" s="5" t="inlineStr">
        <is>
          <t>Informational / tool use</t>
        </is>
      </c>
      <c r="G1188" t="inlineStr">
        <is>
          <t>valider robots.txt</t>
        </is>
      </c>
      <c r="H1188" t="inlineStr">
        <is>
          <t>PRIMARY</t>
        </is>
      </c>
      <c r="I1188" t="inlineStr">
        <is>
          <t>fr</t>
        </is>
      </c>
      <c r="J1188" t="inlineStr">
        <is>
          <t>NOT AVAILABLE</t>
        </is>
      </c>
      <c r="K1188" t="inlineStr">
        <is>
          <t>NOT AVAILABLE</t>
        </is>
      </c>
      <c r="L1188" t="inlineStr">
        <is>
          <t>NOT AVAILABLE</t>
        </is>
      </c>
      <c r="M1188" t="inlineStr">
        <is>
          <t>UNAVAILABLE</t>
        </is>
      </c>
      <c r="N1188" t="inlineStr">
        <is>
          <t>Yes</t>
        </is>
      </c>
      <c r="O1188" s="5" t="inlineStr">
        <is>
          <t>Covered - keep wording; no change</t>
        </is>
      </c>
      <c r="P1188" s="5" t="inlineStr"/>
      <c r="Q1188" t="inlineStr">
        <is>
          <t>P3</t>
        </is>
      </c>
      <c r="R1188" t="n">
        <v>48</v>
      </c>
      <c r="S1188" s="5" t="inlineStr">
        <is>
          <t>Validez votre fichier robots.txt pour la syntaxe correcte et les meilleures pratiques SEO. Vérifiez les directives, les user-agents et les règles de crawl. Gratuit • Aucune inscription requise URL du Site Web * Entrez l'</t>
        </is>
      </c>
    </row>
    <row r="1189">
      <c r="A1189" s="3" t="inlineStr">
        <is>
          <t>https://codesommet.com/tools/robots-validator</t>
        </is>
      </c>
      <c r="B1189" t="n">
        <v>2</v>
      </c>
      <c r="C1189" t="inlineStr">
        <is>
          <t>FAQ</t>
        </is>
      </c>
      <c r="D1189" s="5" t="inlineStr">
        <is>
          <t>Questions Fréquemment Posées</t>
        </is>
      </c>
      <c r="E1189" t="inlineStr">
        <is>
          <t>H2</t>
        </is>
      </c>
      <c r="F1189" s="5" t="inlineStr">
        <is>
          <t>Informational (pre-purchase questions)</t>
        </is>
      </c>
      <c r="G1189" t="inlineStr">
        <is>
          <t>valider robots.txt</t>
        </is>
      </c>
      <c r="H1189" t="inlineStr">
        <is>
          <t>SUPPORTS PRIMARY</t>
        </is>
      </c>
      <c r="I1189" t="inlineStr">
        <is>
          <t>fr</t>
        </is>
      </c>
      <c r="J1189" t="inlineStr">
        <is>
          <t>NOT AVAILABLE</t>
        </is>
      </c>
      <c r="K1189" t="inlineStr">
        <is>
          <t>NOT AVAILABLE</t>
        </is>
      </c>
      <c r="L1189" t="inlineStr">
        <is>
          <t>NOT AVAILABLE</t>
        </is>
      </c>
      <c r="M1189" t="inlineStr">
        <is>
          <t>UNAVAILABLE</t>
        </is>
      </c>
      <c r="N1189" t="inlineStr">
        <is>
          <t>Yes (supporting block)</t>
        </is>
      </c>
      <c r="O1189" s="5" t="inlineStr">
        <is>
          <t>Supports the primary topic - add only if natural</t>
        </is>
      </c>
      <c r="P1189" s="5" t="inlineStr"/>
      <c r="Q1189" t="inlineStr">
        <is>
          <t>P3</t>
        </is>
      </c>
      <c r="R1189" t="n">
        <v>540</v>
      </c>
      <c r="S1189" s="5" t="inlineStr">
        <is>
          <t>Questions courantes sur cet outil et comment l'utiliser efficacement 1 Qu'est-ce que robots.txt et pourquoi est-il important pour le SEO ? Robots.txt est un fichier texte qui indique aux robots d'indexation des moteurs d</t>
        </is>
      </c>
    </row>
    <row r="1190">
      <c r="A1190" s="3" t="inlineStr">
        <is>
          <t>https://codesommet.com/tools/robots-validator</t>
        </is>
      </c>
      <c r="B1190" t="n">
        <v>3</v>
      </c>
      <c r="C1190" t="inlineStr">
        <is>
          <t>Internal-link block</t>
        </is>
      </c>
      <c r="D1190" s="5" t="inlineStr">
        <is>
          <t>Outils Connexes Qui Pourraient Vous Intéresser</t>
        </is>
      </c>
      <c r="E1190" t="inlineStr">
        <is>
          <t>H2</t>
        </is>
      </c>
      <c r="F1190" s="5" t="inlineStr">
        <is>
          <t>Navigation</t>
        </is>
      </c>
      <c r="G1190" t="inlineStr">
        <is>
          <t>—</t>
        </is>
      </c>
      <c r="H1190" t="inlineStr">
        <is>
          <t>NONE</t>
        </is>
      </c>
      <c r="I1190" t="inlineStr">
        <is>
          <t>—</t>
        </is>
      </c>
      <c r="J1190" t="inlineStr">
        <is>
          <t>—</t>
        </is>
      </c>
      <c r="K1190" t="inlineStr">
        <is>
          <t>—</t>
        </is>
      </c>
      <c r="L1190" t="inlineStr">
        <is>
          <t>—</t>
        </is>
      </c>
      <c r="M1190" t="inlineStr">
        <is>
          <t>—</t>
        </is>
      </c>
      <c r="N1190" t="inlineStr">
        <is>
          <t>n/a</t>
        </is>
      </c>
      <c r="O1190" s="5" t="inlineStr">
        <is>
          <t>No keyword target - keep conversion/navigation focus; use descriptive, non-repeated anchor texts</t>
        </is>
      </c>
      <c r="P1190" s="5" t="inlineStr"/>
      <c r="Q1190" t="inlineStr">
        <is>
          <t>P4</t>
        </is>
      </c>
      <c r="R1190" t="n">
        <v>62</v>
      </c>
      <c r="S1190" s="5" t="inlineStr">
        <is>
          <t>Continuez à optimiser votre site web avec ces outils complémentaires Générateur Robots.txt Contrôlez l'exploration des moteurs de recherche avec des fichiers robots.txt personnalisés Essayez gratuitement seo Validateur d</t>
        </is>
      </c>
    </row>
    <row r="1191">
      <c r="A1191" s="3" t="inlineStr">
        <is>
          <t>https://codesommet.com/tools/robots-validator</t>
        </is>
      </c>
      <c r="B1191" t="n">
        <v>4</v>
      </c>
      <c r="C1191" t="inlineStr">
        <is>
          <t>CTA / conversion</t>
        </is>
      </c>
      <c r="D1191" s="5" t="inlineStr">
        <is>
          <t>Besoin d'un Outil Personnalisé pour Votre Entreprise ?</t>
        </is>
      </c>
      <c r="E1191" t="inlineStr">
        <is>
          <t>H2</t>
        </is>
      </c>
      <c r="F1191" s="5" t="inlineStr">
        <is>
          <t>Conversion</t>
        </is>
      </c>
      <c r="G1191" t="inlineStr">
        <is>
          <t>—</t>
        </is>
      </c>
      <c r="H1191" t="inlineStr">
        <is>
          <t>NONE</t>
        </is>
      </c>
      <c r="I1191" t="inlineStr">
        <is>
          <t>—</t>
        </is>
      </c>
      <c r="J1191" t="inlineStr">
        <is>
          <t>—</t>
        </is>
      </c>
      <c r="K1191" t="inlineStr">
        <is>
          <t>—</t>
        </is>
      </c>
      <c r="L1191" t="inlineStr">
        <is>
          <t>—</t>
        </is>
      </c>
      <c r="M1191" t="inlineStr">
        <is>
          <t>—</t>
        </is>
      </c>
      <c r="N1191" t="inlineStr">
        <is>
          <t>n/a</t>
        </is>
      </c>
      <c r="O1191" s="5" t="inlineStr">
        <is>
          <t>No keyword target - keep conversion/navigation focus; use descriptive, non-repeated anchor texts</t>
        </is>
      </c>
      <c r="P1191" s="5" t="inlineStr"/>
      <c r="Q1191" t="inlineStr">
        <is>
          <t>P4</t>
        </is>
      </c>
      <c r="R1191" t="n">
        <v>112</v>
      </c>
      <c r="S1191" s="5" t="inlineStr">
        <is>
          <t>Nous créons des outils alimentés par l'IA, des tableaux de bord et des automatisations qui génèrent de vrais résultats Réserver un Appel Découverte 50+ projets réussis • Livraison en 48h • Sans engagement à long terme Si</t>
        </is>
      </c>
    </row>
    <row r="1192">
      <c r="A1192" s="3" t="inlineStr">
        <is>
          <t>https://codesommet.com/tools/schema-generator</t>
        </is>
      </c>
      <c r="B1192" t="n">
        <v>1</v>
      </c>
      <c r="C1192" t="inlineStr">
        <is>
          <t>Hero / H1</t>
        </is>
      </c>
      <c r="D1192" s="5" t="inlineStr">
        <is>
          <t>Générateur de Schema Markup JSON-LD</t>
        </is>
      </c>
      <c r="E1192" t="inlineStr">
        <is>
          <t>H1</t>
        </is>
      </c>
      <c r="F1192" s="5" t="inlineStr">
        <is>
          <t>Informational / tool use</t>
        </is>
      </c>
      <c r="G1192" t="inlineStr">
        <is>
          <t>schema markup</t>
        </is>
      </c>
      <c r="H1192" t="inlineStr">
        <is>
          <t>PRIMARY</t>
        </is>
      </c>
      <c r="I1192" t="inlineStr">
        <is>
          <t>fr</t>
        </is>
      </c>
      <c r="J1192" t="n">
        <v>210</v>
      </c>
      <c r="K1192" t="n">
        <v>12</v>
      </c>
      <c r="L1192" t="n">
        <v>1.2</v>
      </c>
      <c r="M1192" t="inlineStr">
        <is>
          <t>MEASURED</t>
        </is>
      </c>
      <c r="N1192" t="inlineStr">
        <is>
          <t>Yes</t>
        </is>
      </c>
      <c r="O1192" s="5" t="inlineStr">
        <is>
          <t>Covered - keep wording; no change</t>
        </is>
      </c>
      <c r="P1192" s="5" t="inlineStr"/>
      <c r="Q1192" t="inlineStr">
        <is>
          <t>P3</t>
        </is>
      </c>
      <c r="R1192" t="n">
        <v>71</v>
      </c>
      <c r="S1192" s="5" t="inlineStr">
        <is>
          <t>Générez des données structurées JSON-LD pour une meilleure visibilité dans les moteurs de recherche. Support pour les Articles, Produits, Organisations, Entreprises Locales et plus encore. Gratuit • Aucune inscription re</t>
        </is>
      </c>
    </row>
    <row r="1193">
      <c r="A1193" s="3" t="inlineStr">
        <is>
          <t>https://codesommet.com/tools/schema-generator</t>
        </is>
      </c>
      <c r="B1193" t="n">
        <v>2</v>
      </c>
      <c r="C1193" t="inlineStr">
        <is>
          <t>FAQ</t>
        </is>
      </c>
      <c r="D1193" s="5" t="inlineStr">
        <is>
          <t>Questions Fréquemment Posées</t>
        </is>
      </c>
      <c r="E1193" t="inlineStr">
        <is>
          <t>H2</t>
        </is>
      </c>
      <c r="F1193" s="5" t="inlineStr">
        <is>
          <t>Informational (pre-purchase questions)</t>
        </is>
      </c>
      <c r="G1193" t="inlineStr">
        <is>
          <t>schema markup</t>
        </is>
      </c>
      <c r="H1193" t="inlineStr">
        <is>
          <t>SUPPORTS PRIMARY</t>
        </is>
      </c>
      <c r="I1193" t="inlineStr">
        <is>
          <t>fr</t>
        </is>
      </c>
      <c r="J1193" t="n">
        <v>210</v>
      </c>
      <c r="K1193" t="n">
        <v>12</v>
      </c>
      <c r="L1193" t="n">
        <v>1.2</v>
      </c>
      <c r="M1193" t="inlineStr">
        <is>
          <t>MEASURED</t>
        </is>
      </c>
      <c r="N1193" t="inlineStr">
        <is>
          <t>Yes</t>
        </is>
      </c>
      <c r="O1193" s="5" t="inlineStr">
        <is>
          <t>Covered - keep wording; no change</t>
        </is>
      </c>
      <c r="P1193" s="5" t="inlineStr"/>
      <c r="Q1193" t="inlineStr">
        <is>
          <t>P3</t>
        </is>
      </c>
      <c r="R1193" t="n">
        <v>508</v>
      </c>
      <c r="S1193" s="5" t="inlineStr">
        <is>
          <t>Questions courantes sur cet outil et comment l'utiliser efficacement 1 Qu'est-ce que le schema markup (JSON-LD) et pourquoi est-il important pour le SEO ? Le schema markup, spécifiquement JSON-LD (JavaScript Object Notat</t>
        </is>
      </c>
    </row>
    <row r="1194">
      <c r="A1194" s="3" t="inlineStr">
        <is>
          <t>https://codesommet.com/tools/schema-generator</t>
        </is>
      </c>
      <c r="B1194" t="n">
        <v>3</v>
      </c>
      <c r="C1194" t="inlineStr">
        <is>
          <t>Internal-link block</t>
        </is>
      </c>
      <c r="D1194" s="5" t="inlineStr">
        <is>
          <t>Outils Connexes Qui Pourraient Vous Intéresser</t>
        </is>
      </c>
      <c r="E1194" t="inlineStr">
        <is>
          <t>H2</t>
        </is>
      </c>
      <c r="F1194" s="5" t="inlineStr">
        <is>
          <t>Navigation</t>
        </is>
      </c>
      <c r="G1194" t="inlineStr">
        <is>
          <t>—</t>
        </is>
      </c>
      <c r="H1194" t="inlineStr">
        <is>
          <t>NONE</t>
        </is>
      </c>
      <c r="I1194" t="inlineStr">
        <is>
          <t>—</t>
        </is>
      </c>
      <c r="J1194" t="inlineStr">
        <is>
          <t>—</t>
        </is>
      </c>
      <c r="K1194" t="inlineStr">
        <is>
          <t>—</t>
        </is>
      </c>
      <c r="L1194" t="inlineStr">
        <is>
          <t>—</t>
        </is>
      </c>
      <c r="M1194" t="inlineStr">
        <is>
          <t>—</t>
        </is>
      </c>
      <c r="N1194" t="inlineStr">
        <is>
          <t>n/a</t>
        </is>
      </c>
      <c r="O1194" s="5" t="inlineStr">
        <is>
          <t>No keyword target - keep conversion/navigation focus; use descriptive, non-repeated anchor texts</t>
        </is>
      </c>
      <c r="P1194" s="5" t="inlineStr"/>
      <c r="Q1194" t="inlineStr">
        <is>
          <t>P4</t>
        </is>
      </c>
      <c r="R1194" t="n">
        <v>78</v>
      </c>
      <c r="S1194" s="5" t="inlineStr">
        <is>
          <t>Continuez à optimiser votre site web avec ces outils complémentaires Générateur de Schema Entreprise Locale Générez du schema JSON-LD pour le SEO local et Google Maps Essayez gratuitement seo Aperçu Open Graph Prévisuali</t>
        </is>
      </c>
    </row>
    <row r="1195">
      <c r="A1195" s="3" t="inlineStr">
        <is>
          <t>https://codesommet.com/tools/schema-generator</t>
        </is>
      </c>
      <c r="B1195" t="n">
        <v>4</v>
      </c>
      <c r="C1195" t="inlineStr">
        <is>
          <t>CTA / conversion</t>
        </is>
      </c>
      <c r="D1195" s="5" t="inlineStr">
        <is>
          <t>Besoin d'un Outil Personnalisé pour Votre Entreprise ?</t>
        </is>
      </c>
      <c r="E1195" t="inlineStr">
        <is>
          <t>H2</t>
        </is>
      </c>
      <c r="F1195" s="5" t="inlineStr">
        <is>
          <t>Conversion</t>
        </is>
      </c>
      <c r="G1195" t="inlineStr">
        <is>
          <t>—</t>
        </is>
      </c>
      <c r="H1195" t="inlineStr">
        <is>
          <t>NONE</t>
        </is>
      </c>
      <c r="I1195" t="inlineStr">
        <is>
          <t>—</t>
        </is>
      </c>
      <c r="J1195" t="inlineStr">
        <is>
          <t>—</t>
        </is>
      </c>
      <c r="K1195" t="inlineStr">
        <is>
          <t>—</t>
        </is>
      </c>
      <c r="L1195" t="inlineStr">
        <is>
          <t>—</t>
        </is>
      </c>
      <c r="M1195" t="inlineStr">
        <is>
          <t>—</t>
        </is>
      </c>
      <c r="N1195" t="inlineStr">
        <is>
          <t>n/a</t>
        </is>
      </c>
      <c r="O1195" s="5" t="inlineStr">
        <is>
          <t>No keyword target - keep conversion/navigation focus; use descriptive, non-repeated anchor texts</t>
        </is>
      </c>
      <c r="P1195" s="5" t="inlineStr"/>
      <c r="Q1195" t="inlineStr">
        <is>
          <t>P4</t>
        </is>
      </c>
      <c r="R1195" t="n">
        <v>112</v>
      </c>
      <c r="S1195" s="5" t="inlineStr">
        <is>
          <t>Nous créons des outils alimentés par l'IA, des tableaux de bord et des automatisations qui génèrent de vrais résultats Réserver un Appel Découverte 50+ projets réussis • Livraison en 48h • Sans engagement à long terme Si</t>
        </is>
      </c>
    </row>
    <row r="1196">
      <c r="A1196" s="3" t="inlineStr">
        <is>
          <t>https://codesommet.com/tools/security-headers-checker</t>
        </is>
      </c>
      <c r="B1196" t="n">
        <v>1</v>
      </c>
      <c r="C1196" t="inlineStr">
        <is>
          <t>Hero / H1</t>
        </is>
      </c>
      <c r="D1196" s="5" t="inlineStr">
        <is>
          <t>Test des En-têtes de Sécurité HTTP (A à F)</t>
        </is>
      </c>
      <c r="E1196" t="inlineStr">
        <is>
          <t>H1</t>
        </is>
      </c>
      <c r="F1196" s="5" t="inlineStr">
        <is>
          <t>Informational / tool use</t>
        </is>
      </c>
      <c r="G1196" t="inlineStr">
        <is>
          <t>security headers</t>
        </is>
      </c>
      <c r="H1196" t="inlineStr">
        <is>
          <t>PRIMARY</t>
        </is>
      </c>
      <c r="I1196" t="inlineStr">
        <is>
          <t>fr</t>
        </is>
      </c>
      <c r="J1196" t="n">
        <v>480</v>
      </c>
      <c r="K1196" t="n">
        <v>52</v>
      </c>
      <c r="L1196" t="n">
        <v>3.22</v>
      </c>
      <c r="M1196" t="inlineStr">
        <is>
          <t>MEASURED</t>
        </is>
      </c>
      <c r="N1196" t="inlineStr">
        <is>
          <t>Partly</t>
        </is>
      </c>
      <c r="O1196" s="5" t="inlineStr">
        <is>
          <t>Work "security headers" (or a close natural variant) into existing copy - no new heading needed</t>
        </is>
      </c>
      <c r="P1196" s="5" t="inlineStr">
        <is>
          <t>Keyword/variant absent from this section</t>
        </is>
      </c>
      <c r="Q1196" t="inlineStr">
        <is>
          <t>P3</t>
        </is>
      </c>
      <c r="R1196" t="n">
        <v>48</v>
      </c>
      <c r="S1196" s="5" t="inlineStr">
        <is>
          <t>Une seule requête, une note A–F et la liste des en-têtes HTTP manquants ou mal configurés — avec, pour chacun, la ligne à ajouter à votre serveur. Gratuit • Aucune inscription requise URL de la page * Analyser les en-têt</t>
        </is>
      </c>
    </row>
    <row r="1197">
      <c r="A1197" s="3" t="inlineStr">
        <is>
          <t>https://codesommet.com/tools/security-headers-checker</t>
        </is>
      </c>
      <c r="B1197" t="n">
        <v>2</v>
      </c>
      <c r="C1197" t="inlineStr">
        <is>
          <t>Content block</t>
        </is>
      </c>
      <c r="D1197" s="5" t="inlineStr">
        <is>
          <t>Vérifications</t>
        </is>
      </c>
      <c r="E1197" t="inlineStr">
        <is>
          <t>H2</t>
        </is>
      </c>
      <c r="F1197" s="5" t="inlineStr">
        <is>
          <t>Informational / tool use</t>
        </is>
      </c>
      <c r="G1197" t="inlineStr">
        <is>
          <t>security headers</t>
        </is>
      </c>
      <c r="H1197" t="inlineStr">
        <is>
          <t>SUPPORTS PRIMARY</t>
        </is>
      </c>
      <c r="I1197" t="inlineStr">
        <is>
          <t>fr</t>
        </is>
      </c>
      <c r="J1197" t="n">
        <v>480</v>
      </c>
      <c r="K1197" t="n">
        <v>52</v>
      </c>
      <c r="L1197" t="n">
        <v>3.22</v>
      </c>
      <c r="M1197" t="inlineStr">
        <is>
          <t>MEASURED</t>
        </is>
      </c>
      <c r="N1197" t="inlineStr">
        <is>
          <t>Yes (supporting block)</t>
        </is>
      </c>
      <c r="O1197" s="5" t="inlineStr">
        <is>
          <t>Supports the primary topic - add only if natural</t>
        </is>
      </c>
      <c r="P1197" s="5" t="inlineStr"/>
      <c r="Q1197" t="inlineStr">
        <is>
          <t>P3</t>
        </is>
      </c>
      <c r="R1197" t="n">
        <v>0</v>
      </c>
      <c r="S1197" s="5" t="inlineStr"/>
    </row>
    <row r="1198">
      <c r="A1198" s="3" t="inlineStr">
        <is>
          <t>https://codesommet.com/tools/security-headers-checker</t>
        </is>
      </c>
      <c r="B1198" t="n">
        <v>3</v>
      </c>
      <c r="C1198" t="inlineStr">
        <is>
          <t>Content block</t>
        </is>
      </c>
      <c r="D1198" s="5" t="inlineStr">
        <is>
          <t>En-têtes de réponse reçus</t>
        </is>
      </c>
      <c r="E1198" t="inlineStr">
        <is>
          <t>H2</t>
        </is>
      </c>
      <c r="F1198" s="5" t="inlineStr">
        <is>
          <t>Informational / tool use</t>
        </is>
      </c>
      <c r="G1198" t="inlineStr">
        <is>
          <t>security headers</t>
        </is>
      </c>
      <c r="H1198" t="inlineStr">
        <is>
          <t>SUPPORTS PRIMARY</t>
        </is>
      </c>
      <c r="I1198" t="inlineStr">
        <is>
          <t>fr</t>
        </is>
      </c>
      <c r="J1198" t="n">
        <v>480</v>
      </c>
      <c r="K1198" t="n">
        <v>52</v>
      </c>
      <c r="L1198" t="n">
        <v>3.22</v>
      </c>
      <c r="M1198" t="inlineStr">
        <is>
          <t>MEASURED</t>
        </is>
      </c>
      <c r="N1198" t="inlineStr">
        <is>
          <t>Yes (supporting block)</t>
        </is>
      </c>
      <c r="O1198" s="5" t="inlineStr">
        <is>
          <t>Supports the primary topic - add only if natural</t>
        </is>
      </c>
      <c r="P1198" s="5" t="inlineStr"/>
      <c r="Q1198" t="inlineStr">
        <is>
          <t>P3</t>
        </is>
      </c>
      <c r="R1198" t="n">
        <v>7</v>
      </c>
      <c r="S1198" s="5" t="inlineStr">
        <is>
          <t>Copier le résumé Télécharger CSV Télécharger JSON</t>
        </is>
      </c>
    </row>
    <row r="1199">
      <c r="A1199" s="3" t="inlineStr">
        <is>
          <t>https://codesommet.com/tools/security-headers-checker</t>
        </is>
      </c>
      <c r="B1199" t="n">
        <v>4</v>
      </c>
      <c r="C1199" t="inlineStr">
        <is>
          <t>Content block</t>
        </is>
      </c>
      <c r="D1199" s="5" t="inlineStr">
        <is>
          <t>Comment Utiliser Cet Outil</t>
        </is>
      </c>
      <c r="E1199" t="inlineStr">
        <is>
          <t>H2</t>
        </is>
      </c>
      <c r="F1199" s="5" t="inlineStr">
        <is>
          <t>Informational / tool use</t>
        </is>
      </c>
      <c r="G1199" t="inlineStr">
        <is>
          <t>security headers</t>
        </is>
      </c>
      <c r="H1199" t="inlineStr">
        <is>
          <t>SUPPORTS PRIMARY</t>
        </is>
      </c>
      <c r="I1199" t="inlineStr">
        <is>
          <t>fr</t>
        </is>
      </c>
      <c r="J1199" t="n">
        <v>480</v>
      </c>
      <c r="K1199" t="n">
        <v>52</v>
      </c>
      <c r="L1199" t="n">
        <v>3.22</v>
      </c>
      <c r="M1199" t="inlineStr">
        <is>
          <t>MEASURED</t>
        </is>
      </c>
      <c r="N1199" t="inlineStr">
        <is>
          <t>Yes (supporting block)</t>
        </is>
      </c>
      <c r="O1199" s="5" t="inlineStr">
        <is>
          <t>Supports the primary topic - add only if natural</t>
        </is>
      </c>
      <c r="P1199" s="5" t="inlineStr"/>
      <c r="Q1199" t="inlineStr">
        <is>
          <t>P3</t>
        </is>
      </c>
      <c r="R1199" t="n">
        <v>52</v>
      </c>
      <c r="S1199" s="5" t="inlineStr">
        <is>
          <t>1 Entrez l'URL de votre page d'accueil (ou de n'importe quelle page : les en-têtes peuvent varier). 2 Nous effectuons une requête et évaluons chaque en-tête de sécurité selon les recommandations OWASP et MDN. 3 Copiez le</t>
        </is>
      </c>
    </row>
    <row r="1200">
      <c r="A1200" s="3" t="inlineStr">
        <is>
          <t>https://codesommet.com/tools/security-headers-checker</t>
        </is>
      </c>
      <c r="B1200" t="n">
        <v>5</v>
      </c>
      <c r="C1200" t="inlineStr">
        <is>
          <t>FAQ</t>
        </is>
      </c>
      <c r="D1200" s="5" t="inlineStr">
        <is>
          <t>Questions Fréquemment Posées</t>
        </is>
      </c>
      <c r="E1200" t="inlineStr">
        <is>
          <t>H2</t>
        </is>
      </c>
      <c r="F1200" s="5" t="inlineStr">
        <is>
          <t>Informational (pre-purchase questions)</t>
        </is>
      </c>
      <c r="G1200" t="inlineStr">
        <is>
          <t>security headers</t>
        </is>
      </c>
      <c r="H1200" t="inlineStr">
        <is>
          <t>SUPPORTS PRIMARY</t>
        </is>
      </c>
      <c r="I1200" t="inlineStr">
        <is>
          <t>fr</t>
        </is>
      </c>
      <c r="J1200" t="n">
        <v>480</v>
      </c>
      <c r="K1200" t="n">
        <v>52</v>
      </c>
      <c r="L1200" t="n">
        <v>3.22</v>
      </c>
      <c r="M1200" t="inlineStr">
        <is>
          <t>MEASURED</t>
        </is>
      </c>
      <c r="N1200" t="inlineStr">
        <is>
          <t>Yes (supporting block)</t>
        </is>
      </c>
      <c r="O1200" s="5" t="inlineStr">
        <is>
          <t>Supports the primary topic - add only if natural</t>
        </is>
      </c>
      <c r="P1200" s="5" t="inlineStr"/>
      <c r="Q1200" t="inlineStr">
        <is>
          <t>P3</t>
        </is>
      </c>
      <c r="R1200" t="n">
        <v>288</v>
      </c>
      <c r="S1200" s="5" t="inlineStr">
        <is>
          <t>Pourquoi ces en-têtes comptent, pour la sécurité comme pour le SEO 1 Les en-têtes de sécurité influencent-ils le référencement ? Indirectement. HTTPS est un signal de classement, et HSTS garantit qu'il est utilisé. Un si</t>
        </is>
      </c>
    </row>
    <row r="1201">
      <c r="A1201" s="3" t="inlineStr">
        <is>
          <t>https://codesommet.com/tools/security-headers-checker</t>
        </is>
      </c>
      <c r="B1201" t="n">
        <v>6</v>
      </c>
      <c r="C1201" t="inlineStr">
        <is>
          <t>Internal-link block</t>
        </is>
      </c>
      <c r="D1201" s="5" t="inlineStr">
        <is>
          <t>Outils Connexes Qui Pourraient Vous Intéresser</t>
        </is>
      </c>
      <c r="E1201" t="inlineStr">
        <is>
          <t>H2</t>
        </is>
      </c>
      <c r="F1201" s="5" t="inlineStr">
        <is>
          <t>Navigation</t>
        </is>
      </c>
      <c r="G1201" t="inlineStr">
        <is>
          <t>—</t>
        </is>
      </c>
      <c r="H1201" t="inlineStr">
        <is>
          <t>NONE</t>
        </is>
      </c>
      <c r="I1201" t="inlineStr">
        <is>
          <t>—</t>
        </is>
      </c>
      <c r="J1201" t="inlineStr">
        <is>
          <t>—</t>
        </is>
      </c>
      <c r="K1201" t="inlineStr">
        <is>
          <t>—</t>
        </is>
      </c>
      <c r="L1201" t="inlineStr">
        <is>
          <t>—</t>
        </is>
      </c>
      <c r="M1201" t="inlineStr">
        <is>
          <t>—</t>
        </is>
      </c>
      <c r="N1201" t="inlineStr">
        <is>
          <t>n/a</t>
        </is>
      </c>
      <c r="O1201" s="5" t="inlineStr">
        <is>
          <t>No keyword target - keep conversion/navigation focus; use descriptive, non-repeated anchor texts</t>
        </is>
      </c>
      <c r="P1201" s="5" t="inlineStr"/>
      <c r="Q1201" t="inlineStr">
        <is>
          <t>P4</t>
        </is>
      </c>
      <c r="R1201" t="n">
        <v>56</v>
      </c>
      <c r="S1201" s="5" t="inlineStr">
        <is>
          <t xml:space="preserve">Continuez à optimiser votre site web avec ces outils complémentaires Vérificateur de Certificat SSL Validité, expiration et chaîne de votre certificat Essayer gratuitement seo Santé du Domaine HTTPS, robots.txt, sitemap </t>
        </is>
      </c>
    </row>
    <row r="1202">
      <c r="A1202" s="3" t="inlineStr">
        <is>
          <t>https://codesommet.com/tools/security-headers-checker</t>
        </is>
      </c>
      <c r="B1202" t="n">
        <v>7</v>
      </c>
      <c r="C1202" t="inlineStr">
        <is>
          <t>CTA / conversion</t>
        </is>
      </c>
      <c r="D1202" s="5" t="inlineStr">
        <is>
          <t>Besoin de Sécuriser Votre Infrastructure ?</t>
        </is>
      </c>
      <c r="E1202" t="inlineStr">
        <is>
          <t>H2</t>
        </is>
      </c>
      <c r="F1202" s="5" t="inlineStr">
        <is>
          <t>Conversion</t>
        </is>
      </c>
      <c r="G1202" t="inlineStr">
        <is>
          <t>—</t>
        </is>
      </c>
      <c r="H1202" t="inlineStr">
        <is>
          <t>NONE</t>
        </is>
      </c>
      <c r="I1202" t="inlineStr">
        <is>
          <t>—</t>
        </is>
      </c>
      <c r="J1202" t="inlineStr">
        <is>
          <t>—</t>
        </is>
      </c>
      <c r="K1202" t="inlineStr">
        <is>
          <t>—</t>
        </is>
      </c>
      <c r="L1202" t="inlineStr">
        <is>
          <t>—</t>
        </is>
      </c>
      <c r="M1202" t="inlineStr">
        <is>
          <t>—</t>
        </is>
      </c>
      <c r="N1202" t="inlineStr">
        <is>
          <t>n/a</t>
        </is>
      </c>
      <c r="O1202" s="5" t="inlineStr">
        <is>
          <t>No keyword target - keep conversion/navigation focus; use descriptive, non-repeated anchor texts</t>
        </is>
      </c>
      <c r="P1202" s="5" t="inlineStr"/>
      <c r="Q1202" t="inlineStr">
        <is>
          <t>P4</t>
        </is>
      </c>
      <c r="R1202" t="n">
        <v>107</v>
      </c>
      <c r="S1202" s="5" t="inlineStr">
        <is>
          <t>Nous configurons HTTPS, CSP, en-têtes et CDN pour des sites rapides et protégés Réserver un Appel Découverte 50+ projets réussis • Livraison en 48h • Pas de contrats à long terme Sites web Chatbots IA CRM Réservation Pai</t>
        </is>
      </c>
    </row>
    <row r="1203">
      <c r="A1203" s="3" t="inlineStr">
        <is>
          <t>https://codesommet.com/tools/serp-snippet-preview</t>
        </is>
      </c>
      <c r="B1203" t="n">
        <v>1</v>
      </c>
      <c r="C1203" t="inlineStr">
        <is>
          <t>Hero / H1</t>
        </is>
      </c>
      <c r="D1203" s="5" t="inlineStr">
        <is>
          <t>Aperçu SERP Google : Titre et Meta</t>
        </is>
      </c>
      <c r="E1203" t="inlineStr">
        <is>
          <t>H1</t>
        </is>
      </c>
      <c r="F1203" s="5" t="inlineStr">
        <is>
          <t>Informational / tool use</t>
        </is>
      </c>
      <c r="G1203" t="inlineStr">
        <is>
          <t>simulateur serp</t>
        </is>
      </c>
      <c r="H1203" t="inlineStr">
        <is>
          <t>PRIMARY</t>
        </is>
      </c>
      <c r="I1203" t="inlineStr">
        <is>
          <t>fr</t>
        </is>
      </c>
      <c r="J1203" t="n">
        <v>260</v>
      </c>
      <c r="K1203" t="n">
        <v>11</v>
      </c>
      <c r="L1203" t="n">
        <v>0</v>
      </c>
      <c r="M1203" t="inlineStr">
        <is>
          <t>MEASURED</t>
        </is>
      </c>
      <c r="N1203" t="inlineStr">
        <is>
          <t>Partly</t>
        </is>
      </c>
      <c r="O1203" s="5" t="inlineStr">
        <is>
          <t>Work "simulateur serp" (or a close natural variant) into existing copy - no new heading needed</t>
        </is>
      </c>
      <c r="P1203" s="5" t="inlineStr">
        <is>
          <t>Keyword/variant absent from this section</t>
        </is>
      </c>
      <c r="Q1203" t="inlineStr">
        <is>
          <t>P3</t>
        </is>
      </c>
      <c r="R1203" t="n">
        <v>73</v>
      </c>
      <c r="S1203" s="5" t="inlineStr">
        <is>
          <t>Voyez votre page telle que Google l'affichera, sur ordinateur comme sur mobile, et vérifiez que le titre et la description tiennent dans l'espace disponible — mesuré en pixels, pas seulement en caractères. Gratuit • Aucu</t>
        </is>
      </c>
    </row>
    <row r="1204">
      <c r="A1204" s="3" t="inlineStr">
        <is>
          <t>https://codesommet.com/tools/serp-snippet-preview</t>
        </is>
      </c>
      <c r="B1204" t="n">
        <v>2</v>
      </c>
      <c r="C1204" t="inlineStr">
        <is>
          <t>Content block</t>
        </is>
      </c>
      <c r="D1204" s="5" t="inlineStr">
        <is>
          <t>Vérifications</t>
        </is>
      </c>
      <c r="E1204" t="inlineStr">
        <is>
          <t>H2</t>
        </is>
      </c>
      <c r="F1204" s="5" t="inlineStr">
        <is>
          <t>Informational / tool use</t>
        </is>
      </c>
      <c r="G1204" t="inlineStr">
        <is>
          <t>serp preview</t>
        </is>
      </c>
      <c r="H1204" t="inlineStr">
        <is>
          <t>SUPPORTING</t>
        </is>
      </c>
      <c r="I1204" t="inlineStr">
        <is>
          <t>fr</t>
        </is>
      </c>
      <c r="J1204" t="n">
        <v>20</v>
      </c>
      <c r="K1204" t="inlineStr">
        <is>
          <t>NOT AVAILABLE</t>
        </is>
      </c>
      <c r="L1204" t="n">
        <v>0</v>
      </c>
      <c r="M1204" t="inlineStr">
        <is>
          <t>MEASURED</t>
        </is>
      </c>
      <c r="N1204" t="inlineStr">
        <is>
          <t>Yes (supporting block)</t>
        </is>
      </c>
      <c r="O1204" s="5" t="inlineStr">
        <is>
          <t>Supports the primary topic - add only if natural</t>
        </is>
      </c>
      <c r="P1204" s="5" t="inlineStr"/>
      <c r="Q1204" t="inlineStr">
        <is>
          <t>P3</t>
        </is>
      </c>
      <c r="R1204" t="n">
        <v>7</v>
      </c>
      <c r="S1204" s="5" t="inlineStr">
        <is>
          <t>Copier le résumé Télécharger CSV Télécharger JSON</t>
        </is>
      </c>
    </row>
    <row r="1205">
      <c r="A1205" s="3" t="inlineStr">
        <is>
          <t>https://codesommet.com/tools/serp-snippet-preview</t>
        </is>
      </c>
      <c r="B1205" t="n">
        <v>3</v>
      </c>
      <c r="C1205" t="inlineStr">
        <is>
          <t>Content block</t>
        </is>
      </c>
      <c r="D1205" s="5" t="inlineStr">
        <is>
          <t>Comment Utiliser Cet Outil</t>
        </is>
      </c>
      <c r="E1205" t="inlineStr">
        <is>
          <t>H2</t>
        </is>
      </c>
      <c r="F1205" s="5" t="inlineStr">
        <is>
          <t>Informational / tool use</t>
        </is>
      </c>
      <c r="G1205" t="inlineStr">
        <is>
          <t>simulateur google</t>
        </is>
      </c>
      <c r="H1205" t="inlineStr">
        <is>
          <t>SUPPORTING</t>
        </is>
      </c>
      <c r="I1205" t="inlineStr">
        <is>
          <t>fr</t>
        </is>
      </c>
      <c r="J1205" t="n">
        <v>20</v>
      </c>
      <c r="K1205" t="inlineStr">
        <is>
          <t>NOT AVAILABLE</t>
        </is>
      </c>
      <c r="L1205" t="n">
        <v>0</v>
      </c>
      <c r="M1205" t="inlineStr">
        <is>
          <t>MEASURED</t>
        </is>
      </c>
      <c r="N1205" t="inlineStr">
        <is>
          <t>Yes (supporting block)</t>
        </is>
      </c>
      <c r="O1205" s="5" t="inlineStr">
        <is>
          <t>Supports the primary topic - add only if natural</t>
        </is>
      </c>
      <c r="P1205" s="5" t="inlineStr"/>
      <c r="Q1205" t="inlineStr">
        <is>
          <t>P3</t>
        </is>
      </c>
      <c r="R1205" t="n">
        <v>56</v>
      </c>
      <c r="S1205" s="5" t="inlineStr">
        <is>
          <t>1 Collez votre titre et votre meta description, ou entrez l'URL d'une page existante pour les récupérer automatiquement. 2 L'aperçu se met à jour en direct : basculez entre ordinateur et mobile, clair et sombre, et obser</t>
        </is>
      </c>
    </row>
    <row r="1206">
      <c r="A1206" s="3" t="inlineStr">
        <is>
          <t>https://codesommet.com/tools/serp-snippet-preview</t>
        </is>
      </c>
      <c r="B1206" t="n">
        <v>4</v>
      </c>
      <c r="C1206" t="inlineStr">
        <is>
          <t>FAQ</t>
        </is>
      </c>
      <c r="D1206" s="5" t="inlineStr">
        <is>
          <t>Questions Fréquemment Posées</t>
        </is>
      </c>
      <c r="E1206" t="inlineStr">
        <is>
          <t>H2</t>
        </is>
      </c>
      <c r="F1206" s="5" t="inlineStr">
        <is>
          <t>Informational (pre-purchase questions)</t>
        </is>
      </c>
      <c r="G1206" t="inlineStr">
        <is>
          <t>simulateur serp</t>
        </is>
      </c>
      <c r="H1206" t="inlineStr">
        <is>
          <t>SUPPORTS PRIMARY</t>
        </is>
      </c>
      <c r="I1206" t="inlineStr">
        <is>
          <t>fr</t>
        </is>
      </c>
      <c r="J1206" t="n">
        <v>260</v>
      </c>
      <c r="K1206" t="n">
        <v>11</v>
      </c>
      <c r="L1206" t="n">
        <v>0</v>
      </c>
      <c r="M1206" t="inlineStr">
        <is>
          <t>MEASURED</t>
        </is>
      </c>
      <c r="N1206" t="inlineStr">
        <is>
          <t>Yes (supporting block)</t>
        </is>
      </c>
      <c r="O1206" s="5" t="inlineStr">
        <is>
          <t>Supports the primary topic - add only if natural</t>
        </is>
      </c>
      <c r="P1206" s="5" t="inlineStr"/>
      <c r="Q1206" t="inlineStr">
        <is>
          <t>P3</t>
        </is>
      </c>
      <c r="R1206" t="n">
        <v>329</v>
      </c>
      <c r="S1206" s="5" t="inlineStr">
        <is>
          <t xml:space="preserve">Comprendre la mesure en pixels et les limites d'affichage de Google 1 Pourquoi mesurer en pixels plutôt qu'en caractères ? Google tronque les titres et descriptions selon leur largeur à l'écran, pas selon leur nombre de </t>
        </is>
      </c>
    </row>
    <row r="1207">
      <c r="A1207" s="3" t="inlineStr">
        <is>
          <t>https://codesommet.com/tools/serp-snippet-preview</t>
        </is>
      </c>
      <c r="B1207" t="n">
        <v>5</v>
      </c>
      <c r="C1207" t="inlineStr">
        <is>
          <t>Internal-link block</t>
        </is>
      </c>
      <c r="D1207" s="5" t="inlineStr">
        <is>
          <t>Outils Connexes Qui Pourraient Vous Intéresser</t>
        </is>
      </c>
      <c r="E1207" t="inlineStr">
        <is>
          <t>H2</t>
        </is>
      </c>
      <c r="F1207" s="5" t="inlineStr">
        <is>
          <t>Navigation</t>
        </is>
      </c>
      <c r="G1207" t="inlineStr">
        <is>
          <t>—</t>
        </is>
      </c>
      <c r="H1207" t="inlineStr">
        <is>
          <t>NONE</t>
        </is>
      </c>
      <c r="I1207" t="inlineStr">
        <is>
          <t>—</t>
        </is>
      </c>
      <c r="J1207" t="inlineStr">
        <is>
          <t>—</t>
        </is>
      </c>
      <c r="K1207" t="inlineStr">
        <is>
          <t>—</t>
        </is>
      </c>
      <c r="L1207" t="inlineStr">
        <is>
          <t>—</t>
        </is>
      </c>
      <c r="M1207" t="inlineStr">
        <is>
          <t>—</t>
        </is>
      </c>
      <c r="N1207" t="inlineStr">
        <is>
          <t>n/a</t>
        </is>
      </c>
      <c r="O1207" s="5" t="inlineStr">
        <is>
          <t>No keyword target - keep conversion/navigation focus; use descriptive, non-repeated anchor texts</t>
        </is>
      </c>
      <c r="P1207" s="5" t="inlineStr"/>
      <c r="Q1207" t="inlineStr">
        <is>
          <t>P4</t>
        </is>
      </c>
      <c r="R1207" t="n">
        <v>54</v>
      </c>
      <c r="S1207" s="5" t="inlineStr">
        <is>
          <t xml:space="preserve">Continuez à optimiser votre site web avec ces outils complémentaires Générateur de Balises Meta Rédigez des balises title et description optimisées Essayer gratuitement seo Aperçu Open Graph Prévisualisez le partage sur </t>
        </is>
      </c>
    </row>
    <row r="1208">
      <c r="A1208" s="3" t="inlineStr">
        <is>
          <t>https://codesommet.com/tools/serp-snippet-preview</t>
        </is>
      </c>
      <c r="B1208" t="n">
        <v>6</v>
      </c>
      <c r="C1208" t="inlineStr">
        <is>
          <t>CTA / conversion</t>
        </is>
      </c>
      <c r="D1208" s="5" t="inlineStr">
        <is>
          <t>Besoin d'Optimiser Toutes Vos Pages ?</t>
        </is>
      </c>
      <c r="E1208" t="inlineStr">
        <is>
          <t>H2</t>
        </is>
      </c>
      <c r="F1208" s="5" t="inlineStr">
        <is>
          <t>Conversion</t>
        </is>
      </c>
      <c r="G1208" t="inlineStr">
        <is>
          <t>—</t>
        </is>
      </c>
      <c r="H1208" t="inlineStr">
        <is>
          <t>NONE</t>
        </is>
      </c>
      <c r="I1208" t="inlineStr">
        <is>
          <t>—</t>
        </is>
      </c>
      <c r="J1208" t="inlineStr">
        <is>
          <t>—</t>
        </is>
      </c>
      <c r="K1208" t="inlineStr">
        <is>
          <t>—</t>
        </is>
      </c>
      <c r="L1208" t="inlineStr">
        <is>
          <t>—</t>
        </is>
      </c>
      <c r="M1208" t="inlineStr">
        <is>
          <t>—</t>
        </is>
      </c>
      <c r="N1208" t="inlineStr">
        <is>
          <t>n/a</t>
        </is>
      </c>
      <c r="O1208" s="5" t="inlineStr">
        <is>
          <t>No keyword target - keep conversion/navigation focus; use descriptive, non-repeated anchor texts</t>
        </is>
      </c>
      <c r="P1208" s="5" t="inlineStr"/>
      <c r="Q1208" t="inlineStr">
        <is>
          <t>P4</t>
        </is>
      </c>
      <c r="R1208" t="n">
        <v>114</v>
      </c>
      <c r="S1208" s="5" t="inlineStr">
        <is>
          <t>Nous auditons et réécrivons vos titres et descriptions à l'échelle du site pour gagner des clics sans changer de position Réserver un Appel Découverte 50+ projets réussis • Livraison en 48h • Pas de contrats à long terme</t>
        </is>
      </c>
    </row>
    <row r="1209">
      <c r="A1209" s="3" t="inlineStr">
        <is>
          <t>https://codesommet.com/tools/sitemap-url-extractor</t>
        </is>
      </c>
      <c r="B1209" t="n">
        <v>1</v>
      </c>
      <c r="C1209" t="inlineStr">
        <is>
          <t>Hero / H1</t>
        </is>
      </c>
      <c r="D1209" s="5" t="inlineStr">
        <is>
          <t>Extracteur d'URL de Sitemap XML Gratuit</t>
        </is>
      </c>
      <c r="E1209" t="inlineStr">
        <is>
          <t>H1</t>
        </is>
      </c>
      <c r="F1209" s="5" t="inlineStr">
        <is>
          <t>Informational / tool use</t>
        </is>
      </c>
      <c r="G1209" t="inlineStr">
        <is>
          <t>sitemap url extractor</t>
        </is>
      </c>
      <c r="H1209" t="inlineStr">
        <is>
          <t>PRIMARY</t>
        </is>
      </c>
      <c r="I1209" t="inlineStr">
        <is>
          <t>fr</t>
        </is>
      </c>
      <c r="J1209" t="n">
        <v>10</v>
      </c>
      <c r="K1209" t="inlineStr">
        <is>
          <t>NOT AVAILABLE</t>
        </is>
      </c>
      <c r="L1209" t="n">
        <v>0</v>
      </c>
      <c r="M1209" t="inlineStr">
        <is>
          <t>MEASURED</t>
        </is>
      </c>
      <c r="N1209" t="inlineStr">
        <is>
          <t>Partly</t>
        </is>
      </c>
      <c r="O1209" s="5" t="inlineStr">
        <is>
          <t>Work "sitemap url extractor" (or a close natural variant) into existing copy - no new heading needed</t>
        </is>
      </c>
      <c r="P1209" s="5" t="inlineStr">
        <is>
          <t>Keyword/variant absent from this section</t>
        </is>
      </c>
      <c r="Q1209" t="inlineStr">
        <is>
          <t>P3</t>
        </is>
      </c>
      <c r="R1209" t="n">
        <v>57</v>
      </c>
      <c r="S1209" s="5" t="inlineStr">
        <is>
          <t>Indiquez un site ou un sitemap : nous suivons les index, lisons les fichiers (même compressés) et vous rendons la liste complète des URL avec leurs dates, prêtes à exporter. Gratuit • Aucune inscription requise Site ou U</t>
        </is>
      </c>
    </row>
    <row r="1210">
      <c r="A1210" s="3" t="inlineStr">
        <is>
          <t>https://codesommet.com/tools/sitemap-url-extractor</t>
        </is>
      </c>
      <c r="B1210" t="n">
        <v>2</v>
      </c>
      <c r="C1210" t="inlineStr">
        <is>
          <t>Content block</t>
        </is>
      </c>
      <c r="D1210" s="5" t="inlineStr">
        <is>
          <t>Anomalies</t>
        </is>
      </c>
      <c r="E1210" t="inlineStr">
        <is>
          <t>H2</t>
        </is>
      </c>
      <c r="F1210" s="5" t="inlineStr">
        <is>
          <t>Informational / tool use</t>
        </is>
      </c>
      <c r="G1210" t="inlineStr">
        <is>
          <t>sitemap url extractor</t>
        </is>
      </c>
      <c r="H1210" t="inlineStr">
        <is>
          <t>SUPPORTS PRIMARY</t>
        </is>
      </c>
      <c r="I1210" t="inlineStr">
        <is>
          <t>fr</t>
        </is>
      </c>
      <c r="J1210" t="n">
        <v>10</v>
      </c>
      <c r="K1210" t="inlineStr">
        <is>
          <t>NOT AVAILABLE</t>
        </is>
      </c>
      <c r="L1210" t="n">
        <v>0</v>
      </c>
      <c r="M1210" t="inlineStr">
        <is>
          <t>MEASURED</t>
        </is>
      </c>
      <c r="N1210" t="inlineStr">
        <is>
          <t>Yes (supporting block)</t>
        </is>
      </c>
      <c r="O1210" s="5" t="inlineStr">
        <is>
          <t>Supports the primary topic - add only if natural</t>
        </is>
      </c>
      <c r="P1210" s="5" t="inlineStr"/>
      <c r="Q1210" t="inlineStr">
        <is>
          <t>P3</t>
        </is>
      </c>
      <c r="R1210" t="n">
        <v>0</v>
      </c>
      <c r="S1210" s="5" t="inlineStr"/>
    </row>
    <row r="1211">
      <c r="A1211" s="3" t="inlineStr">
        <is>
          <t>https://codesommet.com/tools/sitemap-url-extractor</t>
        </is>
      </c>
      <c r="B1211" t="n">
        <v>3</v>
      </c>
      <c r="C1211" t="inlineStr">
        <is>
          <t>Content block</t>
        </is>
      </c>
      <c r="D1211" s="5" t="inlineStr">
        <is>
          <t>Par dossier</t>
        </is>
      </c>
      <c r="E1211" t="inlineStr">
        <is>
          <t>H2</t>
        </is>
      </c>
      <c r="F1211" s="5" t="inlineStr">
        <is>
          <t>Informational / tool use</t>
        </is>
      </c>
      <c r="G1211" t="inlineStr">
        <is>
          <t>sitemap url extractor</t>
        </is>
      </c>
      <c r="H1211" t="inlineStr">
        <is>
          <t>SUPPORTS PRIMARY</t>
        </is>
      </c>
      <c r="I1211" t="inlineStr">
        <is>
          <t>fr</t>
        </is>
      </c>
      <c r="J1211" t="n">
        <v>10</v>
      </c>
      <c r="K1211" t="inlineStr">
        <is>
          <t>NOT AVAILABLE</t>
        </is>
      </c>
      <c r="L1211" t="n">
        <v>0</v>
      </c>
      <c r="M1211" t="inlineStr">
        <is>
          <t>MEASURED</t>
        </is>
      </c>
      <c r="N1211" t="inlineStr">
        <is>
          <t>Yes (supporting block)</t>
        </is>
      </c>
      <c r="O1211" s="5" t="inlineStr">
        <is>
          <t>Supports the primary topic - add only if natural</t>
        </is>
      </c>
      <c r="P1211" s="5" t="inlineStr"/>
      <c r="Q1211" t="inlineStr">
        <is>
          <t>P3</t>
        </is>
      </c>
      <c r="R1211" t="n">
        <v>0</v>
      </c>
      <c r="S1211" s="5" t="inlineStr"/>
    </row>
    <row r="1212">
      <c r="A1212" s="3" t="inlineStr">
        <is>
          <t>https://codesommet.com/tools/sitemap-url-extractor</t>
        </is>
      </c>
      <c r="B1212" t="n">
        <v>4</v>
      </c>
      <c r="C1212" t="inlineStr">
        <is>
          <t>Content block</t>
        </is>
      </c>
      <c r="D1212" s="5" t="inlineStr">
        <is>
          <t>Fichiers lus</t>
        </is>
      </c>
      <c r="E1212" t="inlineStr">
        <is>
          <t>H2</t>
        </is>
      </c>
      <c r="F1212" s="5" t="inlineStr">
        <is>
          <t>Informational / tool use</t>
        </is>
      </c>
      <c r="G1212" t="inlineStr">
        <is>
          <t>sitemap url extractor</t>
        </is>
      </c>
      <c r="H1212" t="inlineStr">
        <is>
          <t>SUPPORTS PRIMARY</t>
        </is>
      </c>
      <c r="I1212" t="inlineStr">
        <is>
          <t>fr</t>
        </is>
      </c>
      <c r="J1212" t="n">
        <v>10</v>
      </c>
      <c r="K1212" t="inlineStr">
        <is>
          <t>NOT AVAILABLE</t>
        </is>
      </c>
      <c r="L1212" t="n">
        <v>0</v>
      </c>
      <c r="M1212" t="inlineStr">
        <is>
          <t>MEASURED</t>
        </is>
      </c>
      <c r="N1212" t="inlineStr">
        <is>
          <t>Yes (supporting block)</t>
        </is>
      </c>
      <c r="O1212" s="5" t="inlineStr">
        <is>
          <t>Supports the primary topic - add only if natural</t>
        </is>
      </c>
      <c r="P1212" s="5" t="inlineStr"/>
      <c r="Q1212" t="inlineStr">
        <is>
          <t>P3</t>
        </is>
      </c>
      <c r="R1212" t="n">
        <v>0</v>
      </c>
      <c r="S1212" s="5" t="inlineStr"/>
    </row>
    <row r="1213">
      <c r="A1213" s="3" t="inlineStr">
        <is>
          <t>https://codesommet.com/tools/sitemap-url-extractor</t>
        </is>
      </c>
      <c r="B1213" t="n">
        <v>5</v>
      </c>
      <c r="C1213" t="inlineStr">
        <is>
          <t>Content block</t>
        </is>
      </c>
      <c r="D1213" s="5" t="inlineStr">
        <is>
          <t>URL extraites</t>
        </is>
      </c>
      <c r="E1213" t="inlineStr">
        <is>
          <t>H2</t>
        </is>
      </c>
      <c r="F1213" s="5" t="inlineStr">
        <is>
          <t>Informational / tool use</t>
        </is>
      </c>
      <c r="G1213" t="inlineStr">
        <is>
          <t>sitemap url extractor</t>
        </is>
      </c>
      <c r="H1213" t="inlineStr">
        <is>
          <t>SUPPORTS PRIMARY</t>
        </is>
      </c>
      <c r="I1213" t="inlineStr">
        <is>
          <t>fr</t>
        </is>
      </c>
      <c r="J1213" t="n">
        <v>10</v>
      </c>
      <c r="K1213" t="inlineStr">
        <is>
          <t>NOT AVAILABLE</t>
        </is>
      </c>
      <c r="L1213" t="n">
        <v>0</v>
      </c>
      <c r="M1213" t="inlineStr">
        <is>
          <t>MEASURED</t>
        </is>
      </c>
      <c r="N1213" t="inlineStr">
        <is>
          <t>Yes (supporting block)</t>
        </is>
      </c>
      <c r="O1213" s="5" t="inlineStr">
        <is>
          <t>Supports the primary topic - add only if natural</t>
        </is>
      </c>
      <c r="P1213" s="5" t="inlineStr"/>
      <c r="Q1213" t="inlineStr">
        <is>
          <t>P3</t>
        </is>
      </c>
      <c r="R1213" t="n">
        <v>7</v>
      </c>
      <c r="S1213" s="5" t="inlineStr">
        <is>
          <t>Copier le résumé Télécharger CSV Télécharger JSON</t>
        </is>
      </c>
    </row>
    <row r="1214">
      <c r="A1214" s="3" t="inlineStr">
        <is>
          <t>https://codesommet.com/tools/sitemap-url-extractor</t>
        </is>
      </c>
      <c r="B1214" t="n">
        <v>6</v>
      </c>
      <c r="C1214" t="inlineStr">
        <is>
          <t>Content block</t>
        </is>
      </c>
      <c r="D1214" s="5" t="inlineStr">
        <is>
          <t>Comment Utiliser Cet Outil</t>
        </is>
      </c>
      <c r="E1214" t="inlineStr">
        <is>
          <t>H2</t>
        </is>
      </c>
      <c r="F1214" s="5" t="inlineStr">
        <is>
          <t>Informational / tool use</t>
        </is>
      </c>
      <c r="G1214" t="inlineStr">
        <is>
          <t>sitemap url extractor</t>
        </is>
      </c>
      <c r="H1214" t="inlineStr">
        <is>
          <t>SUPPORTS PRIMARY</t>
        </is>
      </c>
      <c r="I1214" t="inlineStr">
        <is>
          <t>fr</t>
        </is>
      </c>
      <c r="J1214" t="n">
        <v>10</v>
      </c>
      <c r="K1214" t="inlineStr">
        <is>
          <t>NOT AVAILABLE</t>
        </is>
      </c>
      <c r="L1214" t="n">
        <v>0</v>
      </c>
      <c r="M1214" t="inlineStr">
        <is>
          <t>MEASURED</t>
        </is>
      </c>
      <c r="N1214" t="inlineStr">
        <is>
          <t>Yes (supporting block)</t>
        </is>
      </c>
      <c r="O1214" s="5" t="inlineStr">
        <is>
          <t>Supports the primary topic - add only if natural</t>
        </is>
      </c>
      <c r="P1214" s="5" t="inlineStr"/>
      <c r="Q1214" t="inlineStr">
        <is>
          <t>P3</t>
        </is>
      </c>
      <c r="R1214" t="n">
        <v>71</v>
      </c>
      <c r="S1214" s="5" t="inlineStr">
        <is>
          <t xml:space="preserve">1 Entrez l'adresse du site (nous cherchons les sitemaps déclarés dans robots.txt et aux emplacements habituels) ou directement l'URL d'un sitemap ou d'un index. 2 Les index sont suivis, les fichiers .gz décompressés, et </t>
        </is>
      </c>
    </row>
    <row r="1215">
      <c r="A1215" s="3" t="inlineStr">
        <is>
          <t>https://codesommet.com/tools/sitemap-url-extractor</t>
        </is>
      </c>
      <c r="B1215" t="n">
        <v>7</v>
      </c>
      <c r="C1215" t="inlineStr">
        <is>
          <t>FAQ</t>
        </is>
      </c>
      <c r="D1215" s="5" t="inlineStr">
        <is>
          <t>Questions Fréquemment Posées</t>
        </is>
      </c>
      <c r="E1215" t="inlineStr">
        <is>
          <t>H2</t>
        </is>
      </c>
      <c r="F1215" s="5" t="inlineStr">
        <is>
          <t>Informational (pre-purchase questions)</t>
        </is>
      </c>
      <c r="G1215" t="inlineStr">
        <is>
          <t>sitemap url extractor</t>
        </is>
      </c>
      <c r="H1215" t="inlineStr">
        <is>
          <t>SUPPORTS PRIMARY</t>
        </is>
      </c>
      <c r="I1215" t="inlineStr">
        <is>
          <t>fr</t>
        </is>
      </c>
      <c r="J1215" t="n">
        <v>10</v>
      </c>
      <c r="K1215" t="inlineStr">
        <is>
          <t>NOT AVAILABLE</t>
        </is>
      </c>
      <c r="L1215" t="n">
        <v>0</v>
      </c>
      <c r="M1215" t="inlineStr">
        <is>
          <t>MEASURED</t>
        </is>
      </c>
      <c r="N1215" t="inlineStr">
        <is>
          <t>Yes (supporting block)</t>
        </is>
      </c>
      <c r="O1215" s="5" t="inlineStr">
        <is>
          <t>Supports the primary topic - add only if natural</t>
        </is>
      </c>
      <c r="P1215" s="5" t="inlineStr"/>
      <c r="Q1215" t="inlineStr">
        <is>
          <t>P3</t>
        </is>
      </c>
      <c r="R1215" t="n">
        <v>280</v>
      </c>
      <c r="S1215" s="5" t="inlineStr">
        <is>
          <t>Bien construire et exploiter un sitemap XML 1 À quoi sert d'extraire les URL d'un sitemap ? À confronter ce que vous déclarez à Google avec ce qui existe vraiment : pages orphelines (dans le sitemap mais sans lien intern</t>
        </is>
      </c>
    </row>
    <row r="1216">
      <c r="A1216" s="3" t="inlineStr">
        <is>
          <t>https://codesommet.com/tools/sitemap-url-extractor</t>
        </is>
      </c>
      <c r="B1216" t="n">
        <v>8</v>
      </c>
      <c r="C1216" t="inlineStr">
        <is>
          <t>Internal-link block</t>
        </is>
      </c>
      <c r="D1216" s="5" t="inlineStr">
        <is>
          <t>Outils Connexes Qui Pourraient Vous Intéresser</t>
        </is>
      </c>
      <c r="E1216" t="inlineStr">
        <is>
          <t>H2</t>
        </is>
      </c>
      <c r="F1216" s="5" t="inlineStr">
        <is>
          <t>Navigation</t>
        </is>
      </c>
      <c r="G1216" t="inlineStr">
        <is>
          <t>—</t>
        </is>
      </c>
      <c r="H1216" t="inlineStr">
        <is>
          <t>NONE</t>
        </is>
      </c>
      <c r="I1216" t="inlineStr">
        <is>
          <t>—</t>
        </is>
      </c>
      <c r="J1216" t="inlineStr">
        <is>
          <t>—</t>
        </is>
      </c>
      <c r="K1216" t="inlineStr">
        <is>
          <t>—</t>
        </is>
      </c>
      <c r="L1216" t="inlineStr">
        <is>
          <t>—</t>
        </is>
      </c>
      <c r="M1216" t="inlineStr">
        <is>
          <t>—</t>
        </is>
      </c>
      <c r="N1216" t="inlineStr">
        <is>
          <t>n/a</t>
        </is>
      </c>
      <c r="O1216" s="5" t="inlineStr">
        <is>
          <t>No keyword target - keep conversion/navigation focus; use descriptive, non-repeated anchor texts</t>
        </is>
      </c>
      <c r="P1216" s="5" t="inlineStr"/>
      <c r="Q1216" t="inlineStr">
        <is>
          <t>P4</t>
        </is>
      </c>
      <c r="R1216" t="n">
        <v>55</v>
      </c>
      <c r="S1216" s="5" t="inlineStr">
        <is>
          <t>Continuez à optimiser votre site web avec ces outils complémentaires Validateur de Sitemap Vérifiez la validité XML de votre sitemap Essayer gratuitement seo Optimisation du Crawl Liens, redirections et pages qui gaspill</t>
        </is>
      </c>
    </row>
    <row r="1217">
      <c r="A1217" s="3" t="inlineStr">
        <is>
          <t>https://codesommet.com/tools/sitemap-url-extractor</t>
        </is>
      </c>
      <c r="B1217" t="n">
        <v>9</v>
      </c>
      <c r="C1217" t="inlineStr">
        <is>
          <t>Content block</t>
        </is>
      </c>
      <c r="D1217" s="5" t="inlineStr">
        <is>
          <t>Des Milliers de Pages à Mettre en Ordre ?</t>
        </is>
      </c>
      <c r="E1217" t="inlineStr">
        <is>
          <t>H2</t>
        </is>
      </c>
      <c r="F1217" s="5" t="inlineStr">
        <is>
          <t>Informational / tool use</t>
        </is>
      </c>
      <c r="G1217" t="inlineStr">
        <is>
          <t>sitemap url extractor</t>
        </is>
      </c>
      <c r="H1217" t="inlineStr">
        <is>
          <t>SUPPORTS PRIMARY</t>
        </is>
      </c>
      <c r="I1217" t="inlineStr">
        <is>
          <t>fr</t>
        </is>
      </c>
      <c r="J1217" t="n">
        <v>10</v>
      </c>
      <c r="K1217" t="inlineStr">
        <is>
          <t>NOT AVAILABLE</t>
        </is>
      </c>
      <c r="L1217" t="n">
        <v>0</v>
      </c>
      <c r="M1217" t="inlineStr">
        <is>
          <t>MEASURED</t>
        </is>
      </c>
      <c r="N1217" t="inlineStr">
        <is>
          <t>Yes (supporting block)</t>
        </is>
      </c>
      <c r="O1217" s="5" t="inlineStr">
        <is>
          <t>Supports the primary topic - add only if natural</t>
        </is>
      </c>
      <c r="P1217" s="5" t="inlineStr"/>
      <c r="Q1217" t="inlineStr">
        <is>
          <t>P3</t>
        </is>
      </c>
      <c r="R1217" t="n">
        <v>109</v>
      </c>
      <c r="S1217" s="5" t="inlineStr">
        <is>
          <t>Nous structurons sitemaps, canoniques et maillage pour que Google explore et indexe ce qui compte Réserver un Appel Découverte 50+ projets réussis • Livraison en 48h • Pas de contrats à long terme Sites web Chatbots IA C</t>
        </is>
      </c>
    </row>
    <row r="1218">
      <c r="A1218" s="3" t="inlineStr">
        <is>
          <t>https://codesommet.com/tools/sitemap-validator</t>
        </is>
      </c>
      <c r="B1218" t="n">
        <v>1</v>
      </c>
      <c r="C1218" t="inlineStr">
        <is>
          <t>Hero / H1</t>
        </is>
      </c>
      <c r="D1218" s="5" t="inlineStr">
        <is>
          <t>Validateur de Sitemap XML Gratuit</t>
        </is>
      </c>
      <c r="E1218" t="inlineStr">
        <is>
          <t>H1</t>
        </is>
      </c>
      <c r="F1218" s="5" t="inlineStr">
        <is>
          <t>Informational / tool use</t>
        </is>
      </c>
      <c r="G1218" t="inlineStr">
        <is>
          <t>sitemap validator</t>
        </is>
      </c>
      <c r="H1218" t="inlineStr">
        <is>
          <t>PRIMARY</t>
        </is>
      </c>
      <c r="I1218" t="inlineStr">
        <is>
          <t>fr</t>
        </is>
      </c>
      <c r="J1218" t="n">
        <v>70</v>
      </c>
      <c r="K1218" t="n">
        <v>31</v>
      </c>
      <c r="L1218" t="n">
        <v>2.2</v>
      </c>
      <c r="M1218" t="inlineStr">
        <is>
          <t>MEASURED</t>
        </is>
      </c>
      <c r="N1218" t="inlineStr">
        <is>
          <t>Partly</t>
        </is>
      </c>
      <c r="O1218" s="5" t="inlineStr">
        <is>
          <t>Work "sitemap validator" (or a close natural variant) into existing copy - no new heading needed</t>
        </is>
      </c>
      <c r="P1218" s="5" t="inlineStr">
        <is>
          <t>Keyword/variant absent from this section</t>
        </is>
      </c>
      <c r="Q1218" t="inlineStr">
        <is>
          <t>P3</t>
        </is>
      </c>
      <c r="R1218" t="n">
        <v>49</v>
      </c>
      <c r="S1218" s="5" t="inlineStr">
        <is>
          <t>Validez votre sitemap XML pour les meilleures pratiques SEO. Vérifiez la structure, le nombre d'URL, le formatage et assurez-vous que Google peut explorer votre site efficacement. Gratuit • Aucune inscription requise URL</t>
        </is>
      </c>
    </row>
    <row r="1219">
      <c r="A1219" s="3" t="inlineStr">
        <is>
          <t>https://codesommet.com/tools/sitemap-validator</t>
        </is>
      </c>
      <c r="B1219" t="n">
        <v>2</v>
      </c>
      <c r="C1219" t="inlineStr">
        <is>
          <t>FAQ</t>
        </is>
      </c>
      <c r="D1219" s="5" t="inlineStr">
        <is>
          <t>Questions Fréquemment Posées</t>
        </is>
      </c>
      <c r="E1219" t="inlineStr">
        <is>
          <t>H2</t>
        </is>
      </c>
      <c r="F1219" s="5" t="inlineStr">
        <is>
          <t>Informational (pre-purchase questions)</t>
        </is>
      </c>
      <c r="G1219" t="inlineStr">
        <is>
          <t>sitemap validator</t>
        </is>
      </c>
      <c r="H1219" t="inlineStr">
        <is>
          <t>SUPPORTS PRIMARY</t>
        </is>
      </c>
      <c r="I1219" t="inlineStr">
        <is>
          <t>fr</t>
        </is>
      </c>
      <c r="J1219" t="n">
        <v>70</v>
      </c>
      <c r="K1219" t="n">
        <v>31</v>
      </c>
      <c r="L1219" t="n">
        <v>2.2</v>
      </c>
      <c r="M1219" t="inlineStr">
        <is>
          <t>MEASURED</t>
        </is>
      </c>
      <c r="N1219" t="inlineStr">
        <is>
          <t>Yes (supporting block)</t>
        </is>
      </c>
      <c r="O1219" s="5" t="inlineStr">
        <is>
          <t>Supports the primary topic - add only if natural</t>
        </is>
      </c>
      <c r="P1219" s="5" t="inlineStr"/>
      <c r="Q1219" t="inlineStr">
        <is>
          <t>P3</t>
        </is>
      </c>
      <c r="R1219" t="n">
        <v>479</v>
      </c>
      <c r="S1219" s="5" t="inlineStr">
        <is>
          <t>Questions courantes sur cet outil et comment l'utiliser efficacement 1 Que vérifie la validation de sitemap ? Notre validateur vérifie la structure XML de votre sitemap, le nombre d'URL (max 50 000), la taille du fichier</t>
        </is>
      </c>
    </row>
    <row r="1220">
      <c r="A1220" s="3" t="inlineStr">
        <is>
          <t>https://codesommet.com/tools/sitemap-validator</t>
        </is>
      </c>
      <c r="B1220" t="n">
        <v>3</v>
      </c>
      <c r="C1220" t="inlineStr">
        <is>
          <t>Internal-link block</t>
        </is>
      </c>
      <c r="D1220" s="5" t="inlineStr">
        <is>
          <t>Outils Connexes Qui Pourraient Vous Intéresser</t>
        </is>
      </c>
      <c r="E1220" t="inlineStr">
        <is>
          <t>H2</t>
        </is>
      </c>
      <c r="F1220" s="5" t="inlineStr">
        <is>
          <t>Navigation</t>
        </is>
      </c>
      <c r="G1220" t="inlineStr">
        <is>
          <t>—</t>
        </is>
      </c>
      <c r="H1220" t="inlineStr">
        <is>
          <t>NONE</t>
        </is>
      </c>
      <c r="I1220" t="inlineStr">
        <is>
          <t>—</t>
        </is>
      </c>
      <c r="J1220" t="inlineStr">
        <is>
          <t>—</t>
        </is>
      </c>
      <c r="K1220" t="inlineStr">
        <is>
          <t>—</t>
        </is>
      </c>
      <c r="L1220" t="inlineStr">
        <is>
          <t>—</t>
        </is>
      </c>
      <c r="M1220" t="inlineStr">
        <is>
          <t>—</t>
        </is>
      </c>
      <c r="N1220" t="inlineStr">
        <is>
          <t>n/a</t>
        </is>
      </c>
      <c r="O1220" s="5" t="inlineStr">
        <is>
          <t>No keyword target - keep conversion/navigation focus; use descriptive, non-repeated anchor texts</t>
        </is>
      </c>
      <c r="P1220" s="5" t="inlineStr"/>
      <c r="Q1220" t="inlineStr">
        <is>
          <t>P4</t>
        </is>
      </c>
      <c r="R1220" t="n">
        <v>65</v>
      </c>
      <c r="S1220" s="5" t="inlineStr">
        <is>
          <t>Continuez à optimiser votre site web avec ces outils complémentaires Générateur de Sitemap XML Générez des sitemaps XML optimisés pour le SEO pour les moteurs de recherche Essayez gratuitement seo Validateur Robots.txt V</t>
        </is>
      </c>
    </row>
    <row r="1221">
      <c r="A1221" s="3" t="inlineStr">
        <is>
          <t>https://codesommet.com/tools/sitemap-validator</t>
        </is>
      </c>
      <c r="B1221" t="n">
        <v>4</v>
      </c>
      <c r="C1221" t="inlineStr">
        <is>
          <t>CTA / conversion</t>
        </is>
      </c>
      <c r="D1221" s="5" t="inlineStr">
        <is>
          <t>Besoin d'un Outil Personnalisé pour Votre Entreprise ?</t>
        </is>
      </c>
      <c r="E1221" t="inlineStr">
        <is>
          <t>H2</t>
        </is>
      </c>
      <c r="F1221" s="5" t="inlineStr">
        <is>
          <t>Conversion</t>
        </is>
      </c>
      <c r="G1221" t="inlineStr">
        <is>
          <t>—</t>
        </is>
      </c>
      <c r="H1221" t="inlineStr">
        <is>
          <t>NONE</t>
        </is>
      </c>
      <c r="I1221" t="inlineStr">
        <is>
          <t>—</t>
        </is>
      </c>
      <c r="J1221" t="inlineStr">
        <is>
          <t>—</t>
        </is>
      </c>
      <c r="K1221" t="inlineStr">
        <is>
          <t>—</t>
        </is>
      </c>
      <c r="L1221" t="inlineStr">
        <is>
          <t>—</t>
        </is>
      </c>
      <c r="M1221" t="inlineStr">
        <is>
          <t>—</t>
        </is>
      </c>
      <c r="N1221" t="inlineStr">
        <is>
          <t>n/a</t>
        </is>
      </c>
      <c r="O1221" s="5" t="inlineStr">
        <is>
          <t>No keyword target - keep conversion/navigation focus; use descriptive, non-repeated anchor texts</t>
        </is>
      </c>
      <c r="P1221" s="5" t="inlineStr"/>
      <c r="Q1221" t="inlineStr">
        <is>
          <t>P4</t>
        </is>
      </c>
      <c r="R1221" t="n">
        <v>112</v>
      </c>
      <c r="S1221" s="5" t="inlineStr">
        <is>
          <t>Nous créons des outils alimentés par l'IA, des tableaux de bord et des automatisations qui génèrent de vrais résultats Réserver un Appel Découverte 50+ projets réussis • Livraison en 48h • Sans engagement à long terme Si</t>
        </is>
      </c>
    </row>
    <row r="1222">
      <c r="A1222" s="3" t="inlineStr">
        <is>
          <t>https://codesommet.com/tools/ssl-certificate-checker</t>
        </is>
      </c>
      <c r="B1222" t="n">
        <v>1</v>
      </c>
      <c r="C1222" t="inlineStr">
        <is>
          <t>Hero / H1</t>
        </is>
      </c>
      <c r="D1222" s="5" t="inlineStr">
        <is>
          <t>Vérificateur de Certificat SSL/TLS Gratuit</t>
        </is>
      </c>
      <c r="E1222" t="inlineStr">
        <is>
          <t>H1</t>
        </is>
      </c>
      <c r="F1222" s="5" t="inlineStr">
        <is>
          <t>Informational / tool use</t>
        </is>
      </c>
      <c r="G1222" t="inlineStr">
        <is>
          <t>test ssl</t>
        </is>
      </c>
      <c r="H1222" t="inlineStr">
        <is>
          <t>PRIMARY</t>
        </is>
      </c>
      <c r="I1222" t="inlineStr">
        <is>
          <t>fr</t>
        </is>
      </c>
      <c r="J1222" t="n">
        <v>320</v>
      </c>
      <c r="K1222" t="n">
        <v>37</v>
      </c>
      <c r="L1222" t="n">
        <v>0.89</v>
      </c>
      <c r="M1222" t="inlineStr">
        <is>
          <t>MEASURED</t>
        </is>
      </c>
      <c r="N1222" t="inlineStr">
        <is>
          <t>Partly</t>
        </is>
      </c>
      <c r="O1222" s="5" t="inlineStr">
        <is>
          <t>Work "test ssl" (or a close natural variant) into existing copy - no new heading needed</t>
        </is>
      </c>
      <c r="P1222" s="5" t="inlineStr">
        <is>
          <t>Keyword/variant absent from this section</t>
        </is>
      </c>
      <c r="Q1222" t="inlineStr">
        <is>
          <t>P3</t>
        </is>
      </c>
      <c r="R1222" t="n">
        <v>29</v>
      </c>
      <c r="S1222" s="5" t="inlineStr">
        <is>
          <t>Vérifiez les certificats SSL/TLS et les avertissements de sécurité pour tout domaine Gratuit • Aucune inscription requise Nom de Domaine * Entrez l'URL complète avec https:// Vérifier le Certificat SSL</t>
        </is>
      </c>
    </row>
    <row r="1223">
      <c r="A1223" s="3" t="inlineStr">
        <is>
          <t>https://codesommet.com/tools/ssl-certificate-checker</t>
        </is>
      </c>
      <c r="B1223" t="n">
        <v>2</v>
      </c>
      <c r="C1223" t="inlineStr">
        <is>
          <t>Content block</t>
        </is>
      </c>
      <c r="D1223" s="5" t="inlineStr">
        <is>
          <t>Ce que Cet Outil Vérifie</t>
        </is>
      </c>
      <c r="E1223" t="inlineStr">
        <is>
          <t>H2</t>
        </is>
      </c>
      <c r="F1223" s="5" t="inlineStr">
        <is>
          <t>Informational / tool use</t>
        </is>
      </c>
      <c r="G1223" t="inlineStr">
        <is>
          <t>ssl checker</t>
        </is>
      </c>
      <c r="H1223" t="inlineStr">
        <is>
          <t>SECONDARY</t>
        </is>
      </c>
      <c r="I1223" t="inlineStr">
        <is>
          <t>fr</t>
        </is>
      </c>
      <c r="J1223" t="n">
        <v>1900</v>
      </c>
      <c r="K1223" t="n">
        <v>67</v>
      </c>
      <c r="L1223" t="n">
        <v>0</v>
      </c>
      <c r="M1223" t="inlineStr">
        <is>
          <t>MEASURED</t>
        </is>
      </c>
      <c r="N1223" t="inlineStr">
        <is>
          <t>Partly</t>
        </is>
      </c>
      <c r="O1223" s="5" t="inlineStr">
        <is>
          <t>Work "ssl checker" (or a close natural variant) into existing copy - no new heading needed</t>
        </is>
      </c>
      <c r="P1223" s="5" t="inlineStr">
        <is>
          <t>Keyword/variant absent from this section</t>
        </is>
      </c>
      <c r="Q1223" t="inlineStr">
        <is>
          <t>P3</t>
        </is>
      </c>
      <c r="R1223" t="n">
        <v>65</v>
      </c>
      <c r="S1223" s="5" t="inlineStr">
        <is>
          <t xml:space="preserve">Détails du Certificat • Émetteur et confiance de l'autorité • Date d'expiration et validité • Nom commun et SANs • Détection auto-signé Vérifications de Sécurité • Version du protocole SSL/TLS • Validité de la chaîne de </t>
        </is>
      </c>
    </row>
    <row r="1224">
      <c r="A1224" s="3" t="inlineStr">
        <is>
          <t>https://codesommet.com/tools/ssl-certificate-checker</t>
        </is>
      </c>
      <c r="B1224" t="n">
        <v>3</v>
      </c>
      <c r="C1224" t="inlineStr">
        <is>
          <t>FAQ</t>
        </is>
      </c>
      <c r="D1224" s="5" t="inlineStr">
        <is>
          <t>Questions Fréquemment Posées</t>
        </is>
      </c>
      <c r="E1224" t="inlineStr">
        <is>
          <t>H2</t>
        </is>
      </c>
      <c r="F1224" s="5" t="inlineStr">
        <is>
          <t>Informational (pre-purchase questions)</t>
        </is>
      </c>
      <c r="G1224" t="inlineStr">
        <is>
          <t>test ssl</t>
        </is>
      </c>
      <c r="H1224" t="inlineStr">
        <is>
          <t>SUPPORTS PRIMARY</t>
        </is>
      </c>
      <c r="I1224" t="inlineStr">
        <is>
          <t>fr</t>
        </is>
      </c>
      <c r="J1224" t="n">
        <v>320</v>
      </c>
      <c r="K1224" t="n">
        <v>37</v>
      </c>
      <c r="L1224" t="n">
        <v>0.89</v>
      </c>
      <c r="M1224" t="inlineStr">
        <is>
          <t>MEASURED</t>
        </is>
      </c>
      <c r="N1224" t="inlineStr">
        <is>
          <t>Yes</t>
        </is>
      </c>
      <c r="O1224" s="5" t="inlineStr">
        <is>
          <t>Covered - keep wording; no change</t>
        </is>
      </c>
      <c r="P1224" s="5" t="inlineStr"/>
      <c r="Q1224" t="inlineStr">
        <is>
          <t>P3</t>
        </is>
      </c>
      <c r="R1224" t="n">
        <v>489</v>
      </c>
      <c r="S1224" s="5" t="inlineStr">
        <is>
          <t>Questions courantes sur cet outil et comment l'utiliser efficacement 1 Qu'est-ce qu'un certificat SSL et pourquoi est-il important ? Un certificat SSL/TLS chiffre les données transmises entre votre site web et les visite</t>
        </is>
      </c>
    </row>
    <row r="1225">
      <c r="A1225" s="3" t="inlineStr">
        <is>
          <t>https://codesommet.com/tools/ssl-certificate-checker</t>
        </is>
      </c>
      <c r="B1225" t="n">
        <v>4</v>
      </c>
      <c r="C1225" t="inlineStr">
        <is>
          <t>CTA / conversion</t>
        </is>
      </c>
      <c r="D1225" s="5" t="inlineStr">
        <is>
          <t>Besoin d'un Outil Personnalisé pour Votre Entreprise ?</t>
        </is>
      </c>
      <c r="E1225" t="inlineStr">
        <is>
          <t>H2</t>
        </is>
      </c>
      <c r="F1225" s="5" t="inlineStr">
        <is>
          <t>Conversion</t>
        </is>
      </c>
      <c r="G1225" t="inlineStr">
        <is>
          <t>—</t>
        </is>
      </c>
      <c r="H1225" t="inlineStr">
        <is>
          <t>NONE</t>
        </is>
      </c>
      <c r="I1225" t="inlineStr">
        <is>
          <t>—</t>
        </is>
      </c>
      <c r="J1225" t="inlineStr">
        <is>
          <t>—</t>
        </is>
      </c>
      <c r="K1225" t="inlineStr">
        <is>
          <t>—</t>
        </is>
      </c>
      <c r="L1225" t="inlineStr">
        <is>
          <t>—</t>
        </is>
      </c>
      <c r="M1225" t="inlineStr">
        <is>
          <t>—</t>
        </is>
      </c>
      <c r="N1225" t="inlineStr">
        <is>
          <t>n/a</t>
        </is>
      </c>
      <c r="O1225" s="5" t="inlineStr">
        <is>
          <t>No keyword target - keep conversion/navigation focus; use descriptive, non-repeated anchor texts</t>
        </is>
      </c>
      <c r="P1225" s="5" t="inlineStr"/>
      <c r="Q1225" t="inlineStr">
        <is>
          <t>P4</t>
        </is>
      </c>
      <c r="R1225" t="n">
        <v>112</v>
      </c>
      <c r="S1225" s="5" t="inlineStr">
        <is>
          <t>Nous créons des outils alimentés par l'IA, des tableaux de bord et des automatisations qui génèrent de vrais résultats Réserver un Appel Découverte 50+ projets réussis • Livraison en 48h • Sans engagement à long terme Si</t>
        </is>
      </c>
    </row>
    <row r="1226">
      <c r="A1226" s="3" t="inlineStr">
        <is>
          <t>https://codesommet.com/tools/structured-data-extractor</t>
        </is>
      </c>
      <c r="B1226" t="n">
        <v>1</v>
      </c>
      <c r="C1226" t="inlineStr">
        <is>
          <t>Hero / H1</t>
        </is>
      </c>
      <c r="D1226" s="5" t="inlineStr">
        <is>
          <t>Extracteur de Données Structurées JSON-LD</t>
        </is>
      </c>
      <c r="E1226" t="inlineStr">
        <is>
          <t>H1</t>
        </is>
      </c>
      <c r="F1226" s="5" t="inlineStr">
        <is>
          <t>Informational / tool use</t>
        </is>
      </c>
      <c r="G1226" t="inlineStr">
        <is>
          <t>test données structurées</t>
        </is>
      </c>
      <c r="H1226" t="inlineStr">
        <is>
          <t>PRIMARY</t>
        </is>
      </c>
      <c r="I1226" t="inlineStr">
        <is>
          <t>fr</t>
        </is>
      </c>
      <c r="J1226" t="n">
        <v>720</v>
      </c>
      <c r="K1226" t="n">
        <v>37</v>
      </c>
      <c r="L1226" t="n">
        <v>0</v>
      </c>
      <c r="M1226" t="inlineStr">
        <is>
          <t>MEASURED</t>
        </is>
      </c>
      <c r="N1226" t="inlineStr">
        <is>
          <t>Partly</t>
        </is>
      </c>
      <c r="O1226" s="5" t="inlineStr">
        <is>
          <t>Work "test données structurées" (or a close natural variant) into existing copy - no new heading needed</t>
        </is>
      </c>
      <c r="P1226" s="5" t="inlineStr">
        <is>
          <t>Keyword/variant absent from this section</t>
        </is>
      </c>
      <c r="Q1226" t="inlineStr">
        <is>
          <t>P3</t>
        </is>
      </c>
      <c r="R1226" t="n">
        <v>61</v>
      </c>
      <c r="S1226" s="5" t="inlineStr">
        <is>
          <t xml:space="preserve">Tout le balisage schema.org d'une page, bloc par bloc et entité par entité, avec les propriétés qui manquent pour prétendre aux résultats enrichis de Google. Gratuit • Aucune inscription requise URL de la page Ou collez </t>
        </is>
      </c>
    </row>
    <row r="1227">
      <c r="A1227" s="3" t="inlineStr">
        <is>
          <t>https://codesommet.com/tools/structured-data-extractor</t>
        </is>
      </c>
      <c r="B1227" t="n">
        <v>2</v>
      </c>
      <c r="C1227" t="inlineStr">
        <is>
          <t>Content block</t>
        </is>
      </c>
      <c r="D1227" s="5" t="inlineStr">
        <is>
          <t>Entités détectées</t>
        </is>
      </c>
      <c r="E1227" t="inlineStr">
        <is>
          <t>H2</t>
        </is>
      </c>
      <c r="F1227" s="5" t="inlineStr">
        <is>
          <t>Informational / tool use</t>
        </is>
      </c>
      <c r="G1227" t="inlineStr">
        <is>
          <t>tester données structurées</t>
        </is>
      </c>
      <c r="H1227" t="inlineStr">
        <is>
          <t>SECONDARY</t>
        </is>
      </c>
      <c r="I1227" t="inlineStr">
        <is>
          <t>fr</t>
        </is>
      </c>
      <c r="J1227" t="n">
        <v>480</v>
      </c>
      <c r="K1227" t="n">
        <v>35</v>
      </c>
      <c r="L1227" t="n">
        <v>0</v>
      </c>
      <c r="M1227" t="inlineStr">
        <is>
          <t>MEASURED</t>
        </is>
      </c>
      <c r="N1227" t="inlineStr">
        <is>
          <t>Partly</t>
        </is>
      </c>
      <c r="O1227" s="5" t="inlineStr">
        <is>
          <t>Work "tester données structurées" (or a close natural variant) into existing copy - no new heading needed</t>
        </is>
      </c>
      <c r="P1227" s="5" t="inlineStr">
        <is>
          <t>Keyword/variant absent from this section</t>
        </is>
      </c>
      <c r="Q1227" t="inlineStr">
        <is>
          <t>P3</t>
        </is>
      </c>
      <c r="R1227" t="n">
        <v>0</v>
      </c>
      <c r="S1227" s="5" t="inlineStr"/>
    </row>
    <row r="1228">
      <c r="A1228" s="3" t="inlineStr">
        <is>
          <t>https://codesommet.com/tools/structured-data-extractor</t>
        </is>
      </c>
      <c r="B1228" t="n">
        <v>3</v>
      </c>
      <c r="C1228" t="inlineStr">
        <is>
          <t>Content block</t>
        </is>
      </c>
      <c r="D1228" s="5" t="inlineStr">
        <is>
          <t>Blocs JSON-LD</t>
        </is>
      </c>
      <c r="E1228" t="inlineStr">
        <is>
          <t>H2</t>
        </is>
      </c>
      <c r="F1228" s="5" t="inlineStr">
        <is>
          <t>Informational / tool use</t>
        </is>
      </c>
      <c r="G1228" t="inlineStr">
        <is>
          <t>tester données structurées</t>
        </is>
      </c>
      <c r="H1228" t="inlineStr">
        <is>
          <t>SECONDARY</t>
        </is>
      </c>
      <c r="I1228" t="inlineStr">
        <is>
          <t>fr</t>
        </is>
      </c>
      <c r="J1228" t="n">
        <v>480</v>
      </c>
      <c r="K1228" t="n">
        <v>35</v>
      </c>
      <c r="L1228" t="n">
        <v>0</v>
      </c>
      <c r="M1228" t="inlineStr">
        <is>
          <t>MEASURED</t>
        </is>
      </c>
      <c r="N1228" t="inlineStr">
        <is>
          <t>Partly</t>
        </is>
      </c>
      <c r="O1228" s="5" t="inlineStr">
        <is>
          <t>Work "tester données structurées" (or a close natural variant) into existing copy - no new heading needed</t>
        </is>
      </c>
      <c r="P1228" s="5" t="inlineStr">
        <is>
          <t>Keyword/variant absent from this section</t>
        </is>
      </c>
      <c r="Q1228" t="inlineStr">
        <is>
          <t>P3</t>
        </is>
      </c>
      <c r="R1228" t="n">
        <v>7</v>
      </c>
      <c r="S1228" s="5" t="inlineStr">
        <is>
          <t>Copier le résumé Télécharger CSV Télécharger JSON</t>
        </is>
      </c>
    </row>
    <row r="1229">
      <c r="A1229" s="3" t="inlineStr">
        <is>
          <t>https://codesommet.com/tools/structured-data-extractor</t>
        </is>
      </c>
      <c r="B1229" t="n">
        <v>4</v>
      </c>
      <c r="C1229" t="inlineStr">
        <is>
          <t>Content block</t>
        </is>
      </c>
      <c r="D1229" s="5" t="inlineStr">
        <is>
          <t>Comment Utiliser Cet Outil</t>
        </is>
      </c>
      <c r="E1229" t="inlineStr">
        <is>
          <t>H2</t>
        </is>
      </c>
      <c r="F1229" s="5" t="inlineStr">
        <is>
          <t>Informational / tool use</t>
        </is>
      </c>
      <c r="G1229" t="inlineStr">
        <is>
          <t>tester données structurées</t>
        </is>
      </c>
      <c r="H1229" t="inlineStr">
        <is>
          <t>SECONDARY</t>
        </is>
      </c>
      <c r="I1229" t="inlineStr">
        <is>
          <t>fr</t>
        </is>
      </c>
      <c r="J1229" t="n">
        <v>480</v>
      </c>
      <c r="K1229" t="n">
        <v>35</v>
      </c>
      <c r="L1229" t="n">
        <v>0</v>
      </c>
      <c r="M1229" t="inlineStr">
        <is>
          <t>MEASURED</t>
        </is>
      </c>
      <c r="N1229" t="inlineStr">
        <is>
          <t>Partly</t>
        </is>
      </c>
      <c r="O1229" s="5" t="inlineStr">
        <is>
          <t>Work "tester données structurées" (or a close natural variant) into existing copy - no new heading needed</t>
        </is>
      </c>
      <c r="P1229" s="5" t="inlineStr">
        <is>
          <t>Keyword/variant absent from this section</t>
        </is>
      </c>
      <c r="Q1229" t="inlineStr">
        <is>
          <t>P3</t>
        </is>
      </c>
      <c r="R1229" t="n">
        <v>52</v>
      </c>
      <c r="S1229" s="5" t="inlineStr">
        <is>
          <t>1 Entrez l'URL d'une page, ou collez directement le JSON-LD que vous préparez. 2 Chaque bloc est vérifié (JSON valide, @context), puis chaque entité est comparée aux propriétés requises et recommandées par Google pour so</t>
        </is>
      </c>
    </row>
    <row r="1230">
      <c r="A1230" s="3" t="inlineStr">
        <is>
          <t>https://codesommet.com/tools/structured-data-extractor</t>
        </is>
      </c>
      <c r="B1230" t="n">
        <v>5</v>
      </c>
      <c r="C1230" t="inlineStr">
        <is>
          <t>FAQ</t>
        </is>
      </c>
      <c r="D1230" s="5" t="inlineStr">
        <is>
          <t>Questions Fréquemment Posées</t>
        </is>
      </c>
      <c r="E1230" t="inlineStr">
        <is>
          <t>H2</t>
        </is>
      </c>
      <c r="F1230" s="5" t="inlineStr">
        <is>
          <t>Informational (pre-purchase questions)</t>
        </is>
      </c>
      <c r="G1230" t="inlineStr">
        <is>
          <t>test données structurées</t>
        </is>
      </c>
      <c r="H1230" t="inlineStr">
        <is>
          <t>SUPPORTS PRIMARY</t>
        </is>
      </c>
      <c r="I1230" t="inlineStr">
        <is>
          <t>fr</t>
        </is>
      </c>
      <c r="J1230" t="n">
        <v>720</v>
      </c>
      <c r="K1230" t="n">
        <v>37</v>
      </c>
      <c r="L1230" t="n">
        <v>0</v>
      </c>
      <c r="M1230" t="inlineStr">
        <is>
          <t>MEASURED</t>
        </is>
      </c>
      <c r="N1230" t="inlineStr">
        <is>
          <t>Yes (supporting block)</t>
        </is>
      </c>
      <c r="O1230" s="5" t="inlineStr">
        <is>
          <t>Supports the primary topic - add only if natural</t>
        </is>
      </c>
      <c r="P1230" s="5" t="inlineStr"/>
      <c r="Q1230" t="inlineStr">
        <is>
          <t>P3</t>
        </is>
      </c>
      <c r="R1230" t="n">
        <v>293</v>
      </c>
      <c r="S1230" s="5" t="inlineStr">
        <is>
          <t>Résultats enrichis, types schema.org et erreurs fréquentes 1 Quelle différence entre JSON-LD, microdonnées et RDFa ? Ce sont trois syntaxes pour le même vocabulaire schema.org. JSON-LD est un bloc &lt;script&gt; indépendant du</t>
        </is>
      </c>
    </row>
    <row r="1231">
      <c r="A1231" s="3" t="inlineStr">
        <is>
          <t>https://codesommet.com/tools/structured-data-extractor</t>
        </is>
      </c>
      <c r="B1231" t="n">
        <v>6</v>
      </c>
      <c r="C1231" t="inlineStr">
        <is>
          <t>Internal-link block</t>
        </is>
      </c>
      <c r="D1231" s="5" t="inlineStr">
        <is>
          <t>Outils Connexes Qui Pourraient Vous Intéresser</t>
        </is>
      </c>
      <c r="E1231" t="inlineStr">
        <is>
          <t>H2</t>
        </is>
      </c>
      <c r="F1231" s="5" t="inlineStr">
        <is>
          <t>Navigation</t>
        </is>
      </c>
      <c r="G1231" t="inlineStr">
        <is>
          <t>—</t>
        </is>
      </c>
      <c r="H1231" t="inlineStr">
        <is>
          <t>NONE</t>
        </is>
      </c>
      <c r="I1231" t="inlineStr">
        <is>
          <t>—</t>
        </is>
      </c>
      <c r="J1231" t="inlineStr">
        <is>
          <t>—</t>
        </is>
      </c>
      <c r="K1231" t="inlineStr">
        <is>
          <t>—</t>
        </is>
      </c>
      <c r="L1231" t="inlineStr">
        <is>
          <t>—</t>
        </is>
      </c>
      <c r="M1231" t="inlineStr">
        <is>
          <t>—</t>
        </is>
      </c>
      <c r="N1231" t="inlineStr">
        <is>
          <t>n/a</t>
        </is>
      </c>
      <c r="O1231" s="5" t="inlineStr">
        <is>
          <t>No keyword target - keep conversion/navigation focus; use descriptive, non-repeated anchor texts</t>
        </is>
      </c>
      <c r="P1231" s="5" t="inlineStr"/>
      <c r="Q1231" t="inlineStr">
        <is>
          <t>P4</t>
        </is>
      </c>
      <c r="R1231" t="n">
        <v>52</v>
      </c>
      <c r="S1231" s="5" t="inlineStr">
        <is>
          <t>Continuez à optimiser votre site web avec ces outils complémentaires Générateur de Schema Créez un JSON-LD valide pour vos pages Essayer gratuitement seo Générateur de Schema FAQ Balisage FAQPage prêt à coller Essayer gr</t>
        </is>
      </c>
    </row>
    <row r="1232">
      <c r="A1232" s="3" t="inlineStr">
        <is>
          <t>https://codesommet.com/tools/structured-data-extractor</t>
        </is>
      </c>
      <c r="B1232" t="n">
        <v>7</v>
      </c>
      <c r="C1232" t="inlineStr">
        <is>
          <t>CTA / conversion</t>
        </is>
      </c>
      <c r="D1232" s="5" t="inlineStr">
        <is>
          <t>Besoin d'un Balisage Complet sur Tout le Site ?</t>
        </is>
      </c>
      <c r="E1232" t="inlineStr">
        <is>
          <t>H2</t>
        </is>
      </c>
      <c r="F1232" s="5" t="inlineStr">
        <is>
          <t>Conversion</t>
        </is>
      </c>
      <c r="G1232" t="inlineStr">
        <is>
          <t>—</t>
        </is>
      </c>
      <c r="H1232" t="inlineStr">
        <is>
          <t>NONE</t>
        </is>
      </c>
      <c r="I1232" t="inlineStr">
        <is>
          <t>—</t>
        </is>
      </c>
      <c r="J1232" t="inlineStr">
        <is>
          <t>—</t>
        </is>
      </c>
      <c r="K1232" t="inlineStr">
        <is>
          <t>—</t>
        </is>
      </c>
      <c r="L1232" t="inlineStr">
        <is>
          <t>—</t>
        </is>
      </c>
      <c r="M1232" t="inlineStr">
        <is>
          <t>—</t>
        </is>
      </c>
      <c r="N1232" t="inlineStr">
        <is>
          <t>n/a</t>
        </is>
      </c>
      <c r="O1232" s="5" t="inlineStr">
        <is>
          <t>No keyword target - keep conversion/navigation focus; use descriptive, non-repeated anchor texts</t>
        </is>
      </c>
      <c r="P1232" s="5" t="inlineStr"/>
      <c r="Q1232" t="inlineStr">
        <is>
          <t>P4</t>
        </is>
      </c>
      <c r="R1232" t="n">
        <v>113</v>
      </c>
      <c r="S1232" s="5" t="inlineStr">
        <is>
          <t>Nous concevons un graphe schema.org cohérent (organisation, pages, articles, produits) pour les résultats enrichis et les moteurs IA Réserver un Appel Découverte 50+ projets réussis • Livraison en 48h • Pas de contrats à</t>
        </is>
      </c>
    </row>
    <row r="1233">
      <c r="A1233" s="3" t="inlineStr">
        <is>
          <t>https://codesommet.com/tools/text-case-converter</t>
        </is>
      </c>
      <c r="B1233" t="n">
        <v>1</v>
      </c>
      <c r="C1233" t="inlineStr">
        <is>
          <t>Hero / H1</t>
        </is>
      </c>
      <c r="D1233" s="5" t="inlineStr">
        <is>
          <t>Convertisseur de Casse de Texte Gratuit</t>
        </is>
      </c>
      <c r="E1233" t="inlineStr">
        <is>
          <t>H1</t>
        </is>
      </c>
      <c r="F1233" s="5" t="inlineStr">
        <is>
          <t>Informational / tool use</t>
        </is>
      </c>
      <c r="G1233" t="inlineStr">
        <is>
          <t>majuscule en minuscule</t>
        </is>
      </c>
      <c r="H1233" t="inlineStr">
        <is>
          <t>PRIMARY</t>
        </is>
      </c>
      <c r="I1233" t="inlineStr">
        <is>
          <t>fr</t>
        </is>
      </c>
      <c r="J1233" t="n">
        <v>3600</v>
      </c>
      <c r="K1233" t="n">
        <v>25</v>
      </c>
      <c r="L1233" t="n">
        <v>0</v>
      </c>
      <c r="M1233" t="inlineStr">
        <is>
          <t>MEASURED</t>
        </is>
      </c>
      <c r="N1233" t="inlineStr">
        <is>
          <t>Yes</t>
        </is>
      </c>
      <c r="O1233" s="5" t="inlineStr">
        <is>
          <t>Covered - keep wording; no change</t>
        </is>
      </c>
      <c r="P1233" s="5" t="inlineStr"/>
      <c r="Q1233" t="inlineStr">
        <is>
          <t>P3</t>
        </is>
      </c>
      <c r="R1233" t="n">
        <v>25</v>
      </c>
      <c r="S1233" s="5" t="inlineStr">
        <is>
          <t>Convertissez le texte entre différentes casses (majuscules, minuscules, casse de titre, camelCase, snake_case et plus) Gratuit • Aucune inscription requise Entrez Votre Texte Convertir le Texte</t>
        </is>
      </c>
    </row>
    <row r="1234">
      <c r="A1234" s="3" t="inlineStr">
        <is>
          <t>https://codesommet.com/tools/text-case-converter</t>
        </is>
      </c>
      <c r="B1234" t="n">
        <v>2</v>
      </c>
      <c r="C1234" t="inlineStr">
        <is>
          <t>Content block</t>
        </is>
      </c>
      <c r="D1234" s="5" t="inlineStr">
        <is>
          <t>Ce que Cet Outil Fait</t>
        </is>
      </c>
      <c r="E1234" t="inlineStr">
        <is>
          <t>H2</t>
        </is>
      </c>
      <c r="F1234" s="5" t="inlineStr">
        <is>
          <t>Informational / tool use</t>
        </is>
      </c>
      <c r="G1234" t="inlineStr">
        <is>
          <t>mettre en majuscule</t>
        </is>
      </c>
      <c r="H1234" t="inlineStr">
        <is>
          <t>SECONDARY</t>
        </is>
      </c>
      <c r="I1234" t="inlineStr">
        <is>
          <t>fr</t>
        </is>
      </c>
      <c r="J1234" t="n">
        <v>390</v>
      </c>
      <c r="K1234" t="n">
        <v>28</v>
      </c>
      <c r="L1234" t="n">
        <v>0</v>
      </c>
      <c r="M1234" t="inlineStr">
        <is>
          <t>MEASURED</t>
        </is>
      </c>
      <c r="N1234" t="inlineStr">
        <is>
          <t>Partly</t>
        </is>
      </c>
      <c r="O1234" s="5" t="inlineStr">
        <is>
          <t>Work "mettre en majuscule" (or a close natural variant) into existing copy - no new heading needed</t>
        </is>
      </c>
      <c r="P1234" s="5" t="inlineStr">
        <is>
          <t>Keyword/variant absent from this section</t>
        </is>
      </c>
      <c r="Q1234" t="inlineStr">
        <is>
          <t>P3</t>
        </is>
      </c>
      <c r="R1234" t="n">
        <v>73</v>
      </c>
      <c r="S1234" s="5" t="inlineStr">
        <is>
          <t>UPPERCASE Convertit toutes les lettres en majuscules Example: HELLO WORLD lowercase Convertit toutes les lettres en minuscules Example: hello world Title Case Met en majuscule la première lettre de chaque mot Example: He</t>
        </is>
      </c>
    </row>
    <row r="1235">
      <c r="A1235" s="3" t="inlineStr">
        <is>
          <t>https://codesommet.com/tools/text-case-converter</t>
        </is>
      </c>
      <c r="B1235" t="n">
        <v>3</v>
      </c>
      <c r="C1235" t="inlineStr">
        <is>
          <t>FAQ</t>
        </is>
      </c>
      <c r="D1235" s="5" t="inlineStr">
        <is>
          <t>Questions Fréquemment Posées</t>
        </is>
      </c>
      <c r="E1235" t="inlineStr">
        <is>
          <t>H2</t>
        </is>
      </c>
      <c r="F1235" s="5" t="inlineStr">
        <is>
          <t>Informational (pre-purchase questions)</t>
        </is>
      </c>
      <c r="G1235" t="inlineStr">
        <is>
          <t>majuscule en minuscule</t>
        </is>
      </c>
      <c r="H1235" t="inlineStr">
        <is>
          <t>SUPPORTS PRIMARY</t>
        </is>
      </c>
      <c r="I1235" t="inlineStr">
        <is>
          <t>fr</t>
        </is>
      </c>
      <c r="J1235" t="n">
        <v>3600</v>
      </c>
      <c r="K1235" t="n">
        <v>25</v>
      </c>
      <c r="L1235" t="n">
        <v>0</v>
      </c>
      <c r="M1235" t="inlineStr">
        <is>
          <t>MEASURED</t>
        </is>
      </c>
      <c r="N1235" t="inlineStr">
        <is>
          <t>Yes</t>
        </is>
      </c>
      <c r="O1235" s="5" t="inlineStr">
        <is>
          <t>Covered - keep wording; no change</t>
        </is>
      </c>
      <c r="P1235" s="5" t="inlineStr"/>
      <c r="Q1235" t="inlineStr">
        <is>
          <t>P3</t>
        </is>
      </c>
      <c r="R1235" t="n">
        <v>468</v>
      </c>
      <c r="S1235" s="5" t="inlineStr">
        <is>
          <t>Questions courantes sur cet outil et comment l'utiliser efficacement 1 Quand utiliser la Casse de Titre vs la Casse de Phrase ? Utilisez la Casse de Titre pour les titres, les titres de billets de blog et les titres de d</t>
        </is>
      </c>
    </row>
    <row r="1236">
      <c r="A1236" s="3" t="inlineStr">
        <is>
          <t>https://codesommet.com/tools/text-case-converter</t>
        </is>
      </c>
      <c r="B1236" t="n">
        <v>4</v>
      </c>
      <c r="C1236" t="inlineStr">
        <is>
          <t>Internal-link block</t>
        </is>
      </c>
      <c r="D1236" s="5" t="inlineStr">
        <is>
          <t>Outils Connexes Qui Pourraient Vous Intéresser</t>
        </is>
      </c>
      <c r="E1236" t="inlineStr">
        <is>
          <t>H2</t>
        </is>
      </c>
      <c r="F1236" s="5" t="inlineStr">
        <is>
          <t>Navigation</t>
        </is>
      </c>
      <c r="G1236" t="inlineStr">
        <is>
          <t>—</t>
        </is>
      </c>
      <c r="H1236" t="inlineStr">
        <is>
          <t>NONE</t>
        </is>
      </c>
      <c r="I1236" t="inlineStr">
        <is>
          <t>—</t>
        </is>
      </c>
      <c r="J1236" t="inlineStr">
        <is>
          <t>—</t>
        </is>
      </c>
      <c r="K1236" t="inlineStr">
        <is>
          <t>—</t>
        </is>
      </c>
      <c r="L1236" t="inlineStr">
        <is>
          <t>—</t>
        </is>
      </c>
      <c r="M1236" t="inlineStr">
        <is>
          <t>—</t>
        </is>
      </c>
      <c r="N1236" t="inlineStr">
        <is>
          <t>n/a</t>
        </is>
      </c>
      <c r="O1236" s="5" t="inlineStr">
        <is>
          <t>No keyword target - keep conversion/navigation focus; use descriptive, non-repeated anchor texts</t>
        </is>
      </c>
      <c r="P1236" s="5" t="inlineStr"/>
      <c r="Q1236" t="inlineStr">
        <is>
          <t>P4</t>
        </is>
      </c>
      <c r="R1236" t="n">
        <v>87</v>
      </c>
      <c r="S1236" s="5" t="inlineStr">
        <is>
          <t xml:space="preserve">Continuez à optimiser votre site web avec ces outils complémentaires Convertisseur HTML vers Texte Brut Convertissez du HTML en texte lisible et propre en texte brut instantanément Essayez gratuitement content Analyseur </t>
        </is>
      </c>
    </row>
    <row r="1237">
      <c r="A1237" s="3" t="inlineStr">
        <is>
          <t>https://codesommet.com/tools/text-case-converter</t>
        </is>
      </c>
      <c r="B1237" t="n">
        <v>5</v>
      </c>
      <c r="C1237" t="inlineStr">
        <is>
          <t>CTA / conversion</t>
        </is>
      </c>
      <c r="D1237" s="5" t="inlineStr">
        <is>
          <t>Besoin d'un Outil Personnalisé pour Votre Entreprise ?</t>
        </is>
      </c>
      <c r="E1237" t="inlineStr">
        <is>
          <t>H2</t>
        </is>
      </c>
      <c r="F1237" s="5" t="inlineStr">
        <is>
          <t>Conversion</t>
        </is>
      </c>
      <c r="G1237" t="inlineStr">
        <is>
          <t>—</t>
        </is>
      </c>
      <c r="H1237" t="inlineStr">
        <is>
          <t>NONE</t>
        </is>
      </c>
      <c r="I1237" t="inlineStr">
        <is>
          <t>—</t>
        </is>
      </c>
      <c r="J1237" t="inlineStr">
        <is>
          <t>—</t>
        </is>
      </c>
      <c r="K1237" t="inlineStr">
        <is>
          <t>—</t>
        </is>
      </c>
      <c r="L1237" t="inlineStr">
        <is>
          <t>—</t>
        </is>
      </c>
      <c r="M1237" t="inlineStr">
        <is>
          <t>—</t>
        </is>
      </c>
      <c r="N1237" t="inlineStr">
        <is>
          <t>n/a</t>
        </is>
      </c>
      <c r="O1237" s="5" t="inlineStr">
        <is>
          <t>No keyword target - keep conversion/navigation focus; use descriptive, non-repeated anchor texts</t>
        </is>
      </c>
      <c r="P1237" s="5" t="inlineStr"/>
      <c r="Q1237" t="inlineStr">
        <is>
          <t>P4</t>
        </is>
      </c>
      <c r="R1237" t="n">
        <v>112</v>
      </c>
      <c r="S1237" s="5" t="inlineStr">
        <is>
          <t>Nous créons des outils alimentés par l'IA, des tableaux de bord et des automatisations qui génèrent de vrais résultats Réserver un Appel Découverte 50+ projets réussis • Livraison en 48h • Sans engagement à long terme Si</t>
        </is>
      </c>
    </row>
    <row r="1238">
      <c r="A1238" s="3" t="inlineStr">
        <is>
          <t>https://codesommet.com/tools/text-editor</t>
        </is>
      </c>
      <c r="B1238" t="n">
        <v>1</v>
      </c>
      <c r="C1238" t="inlineStr">
        <is>
          <t>Hero / H1</t>
        </is>
      </c>
      <c r="D1238" s="5" t="inlineStr">
        <is>
          <t>Éditeur de Texte Ligne par Ligne Gratuit</t>
        </is>
      </c>
      <c r="E1238" t="inlineStr">
        <is>
          <t>H1</t>
        </is>
      </c>
      <c r="F1238" s="5" t="inlineStr">
        <is>
          <t>Informational / tool use</t>
        </is>
      </c>
      <c r="G1238" t="inlineStr">
        <is>
          <t>éditeur de texte en ligne</t>
        </is>
      </c>
      <c r="H1238" t="inlineStr">
        <is>
          <t>PRIMARY</t>
        </is>
      </c>
      <c r="I1238" t="inlineStr">
        <is>
          <t>fr</t>
        </is>
      </c>
      <c r="J1238" t="n">
        <v>260</v>
      </c>
      <c r="K1238" t="n">
        <v>57</v>
      </c>
      <c r="L1238" t="n">
        <v>0.54</v>
      </c>
      <c r="M1238" t="inlineStr">
        <is>
          <t>MEASURED</t>
        </is>
      </c>
      <c r="N1238" t="inlineStr">
        <is>
          <t>Yes</t>
        </is>
      </c>
      <c r="O1238" s="5" t="inlineStr">
        <is>
          <t>Covered - keep wording; no change</t>
        </is>
      </c>
      <c r="P1238" s="5" t="inlineStr"/>
      <c r="Q1238" t="inlineStr">
        <is>
          <t>P3</t>
        </is>
      </c>
      <c r="R1238" t="n">
        <v>128</v>
      </c>
      <c r="S1238" s="5" t="inlineStr">
        <is>
          <t xml:space="preserve">L'outil des listes de mots-clés : supprimez les doublons et les lignes vides, triez, filtrez, remplacez et ajoutez des préfixes ou suffixes, en une seule passe. Gratuit • Aucune inscription requise Texte (une entrée par </t>
        </is>
      </c>
    </row>
    <row r="1239">
      <c r="A1239" s="3" t="inlineStr">
        <is>
          <t>https://codesommet.com/tools/text-editor</t>
        </is>
      </c>
      <c r="B1239" t="n">
        <v>2</v>
      </c>
      <c r="C1239" t="inlineStr">
        <is>
          <t>Content block</t>
        </is>
      </c>
      <c r="D1239" s="5" t="inlineStr">
        <is>
          <t>Comment Utiliser Cet Outil</t>
        </is>
      </c>
      <c r="E1239" t="inlineStr">
        <is>
          <t>H2</t>
        </is>
      </c>
      <c r="F1239" s="5" t="inlineStr">
        <is>
          <t>Informational / tool use</t>
        </is>
      </c>
      <c r="G1239" t="inlineStr">
        <is>
          <t>éditeur de texte en ligne</t>
        </is>
      </c>
      <c r="H1239" t="inlineStr">
        <is>
          <t>SUPPORTS PRIMARY</t>
        </is>
      </c>
      <c r="I1239" t="inlineStr">
        <is>
          <t>fr</t>
        </is>
      </c>
      <c r="J1239" t="n">
        <v>260</v>
      </c>
      <c r="K1239" t="n">
        <v>57</v>
      </c>
      <c r="L1239" t="n">
        <v>0.54</v>
      </c>
      <c r="M1239" t="inlineStr">
        <is>
          <t>MEASURED</t>
        </is>
      </c>
      <c r="N1239" t="inlineStr">
        <is>
          <t>Yes (supporting block)</t>
        </is>
      </c>
      <c r="O1239" s="5" t="inlineStr">
        <is>
          <t>Supports the primary topic - add only if natural</t>
        </is>
      </c>
      <c r="P1239" s="5" t="inlineStr"/>
      <c r="Q1239" t="inlineStr">
        <is>
          <t>P3</t>
        </is>
      </c>
      <c r="R1239" t="n">
        <v>31</v>
      </c>
      <c r="S1239" s="5" t="inlineStr">
        <is>
          <t>1 Collez votre liste, une entrée par ligne. 2 Choisissez les opérations : nettoyage, filtres, rechercher-remplacer, tri, préfixe et suffixe. 3 Copiez le résultat ou téléchargez-le. Le texte reste dans votre navigateur.</t>
        </is>
      </c>
    </row>
    <row r="1240">
      <c r="A1240" s="3" t="inlineStr">
        <is>
          <t>https://codesommet.com/tools/text-editor</t>
        </is>
      </c>
      <c r="B1240" t="n">
        <v>3</v>
      </c>
      <c r="C1240" t="inlineStr">
        <is>
          <t>FAQ</t>
        </is>
      </c>
      <c r="D1240" s="5" t="inlineStr">
        <is>
          <t>Questions Fréquemment Posées</t>
        </is>
      </c>
      <c r="E1240" t="inlineStr">
        <is>
          <t>H2</t>
        </is>
      </c>
      <c r="F1240" s="5" t="inlineStr">
        <is>
          <t>Informational (pre-purchase questions)</t>
        </is>
      </c>
      <c r="G1240" t="inlineStr">
        <is>
          <t>éditeur de texte en ligne</t>
        </is>
      </c>
      <c r="H1240" t="inlineStr">
        <is>
          <t>SUPPORTS PRIMARY</t>
        </is>
      </c>
      <c r="I1240" t="inlineStr">
        <is>
          <t>fr</t>
        </is>
      </c>
      <c r="J1240" t="n">
        <v>260</v>
      </c>
      <c r="K1240" t="n">
        <v>57</v>
      </c>
      <c r="L1240" t="n">
        <v>0.54</v>
      </c>
      <c r="M1240" t="inlineStr">
        <is>
          <t>MEASURED</t>
        </is>
      </c>
      <c r="N1240" t="inlineStr">
        <is>
          <t>Yes (supporting block)</t>
        </is>
      </c>
      <c r="O1240" s="5" t="inlineStr">
        <is>
          <t>Supports the primary topic - add only if natural</t>
        </is>
      </c>
      <c r="P1240" s="5" t="inlineStr"/>
      <c r="Q1240" t="inlineStr">
        <is>
          <t>P3</t>
        </is>
      </c>
      <c r="R1240" t="n">
        <v>133</v>
      </c>
      <c r="S1240" s="5" t="inlineStr">
        <is>
          <t>Préparer des listes propres pour vos analyses SEO 1 Dans quel ordre les opérations sont-elles appliquées ? Nettoyage des espaces, suppression des contenus entre crochets ou parenthèses, rechercher-remplacer, filtres, pré</t>
        </is>
      </c>
    </row>
    <row r="1241">
      <c r="A1241" s="3" t="inlineStr">
        <is>
          <t>https://codesommet.com/tools/text-editor</t>
        </is>
      </c>
      <c r="B1241" t="n">
        <v>4</v>
      </c>
      <c r="C1241" t="inlineStr">
        <is>
          <t>Internal-link block</t>
        </is>
      </c>
      <c r="D1241" s="5" t="inlineStr">
        <is>
          <t>Outils Connexes Qui Pourraient Vous Intéresser</t>
        </is>
      </c>
      <c r="E1241" t="inlineStr">
        <is>
          <t>H2</t>
        </is>
      </c>
      <c r="F1241" s="5" t="inlineStr">
        <is>
          <t>Navigation</t>
        </is>
      </c>
      <c r="G1241" t="inlineStr">
        <is>
          <t>—</t>
        </is>
      </c>
      <c r="H1241" t="inlineStr">
        <is>
          <t>NONE</t>
        </is>
      </c>
      <c r="I1241" t="inlineStr">
        <is>
          <t>—</t>
        </is>
      </c>
      <c r="J1241" t="inlineStr">
        <is>
          <t>—</t>
        </is>
      </c>
      <c r="K1241" t="inlineStr">
        <is>
          <t>—</t>
        </is>
      </c>
      <c r="L1241" t="inlineStr">
        <is>
          <t>—</t>
        </is>
      </c>
      <c r="M1241" t="inlineStr">
        <is>
          <t>—</t>
        </is>
      </c>
      <c r="N1241" t="inlineStr">
        <is>
          <t>n/a</t>
        </is>
      </c>
      <c r="O1241" s="5" t="inlineStr">
        <is>
          <t>No keyword target - keep conversion/navigation focus; use descriptive, non-repeated anchor texts</t>
        </is>
      </c>
      <c r="P1241" s="5" t="inlineStr"/>
      <c r="Q1241" t="inlineStr">
        <is>
          <t>P4</t>
        </is>
      </c>
      <c r="R1241" t="n">
        <v>56</v>
      </c>
      <c r="S1241" s="5" t="inlineStr">
        <is>
          <t>Continuez à optimiser votre site web avec ces outils complémentaires Convertisseur de Casse Majuscules, minuscules, titres et formats de code Essayer gratuitement seo Générateur de Variantes de Mots-Clés Déclinez un mot-</t>
        </is>
      </c>
    </row>
    <row r="1242">
      <c r="A1242" s="3" t="inlineStr">
        <is>
          <t>https://codesommet.com/tools/text-editor</t>
        </is>
      </c>
      <c r="B1242" t="n">
        <v>5</v>
      </c>
      <c r="C1242" t="inlineStr">
        <is>
          <t>Content block</t>
        </is>
      </c>
      <c r="D1242" s="5" t="inlineStr">
        <is>
          <t>Une Stratégie de Mots-Clés à Construire ?</t>
        </is>
      </c>
      <c r="E1242" t="inlineStr">
        <is>
          <t>H2</t>
        </is>
      </c>
      <c r="F1242" s="5" t="inlineStr">
        <is>
          <t>Informational / tool use</t>
        </is>
      </c>
      <c r="G1242" t="inlineStr">
        <is>
          <t>éditeur de texte en ligne</t>
        </is>
      </c>
      <c r="H1242" t="inlineStr">
        <is>
          <t>SUPPORTS PRIMARY</t>
        </is>
      </c>
      <c r="I1242" t="inlineStr">
        <is>
          <t>fr</t>
        </is>
      </c>
      <c r="J1242" t="n">
        <v>260</v>
      </c>
      <c r="K1242" t="n">
        <v>57</v>
      </c>
      <c r="L1242" t="n">
        <v>0.54</v>
      </c>
      <c r="M1242" t="inlineStr">
        <is>
          <t>MEASURED</t>
        </is>
      </c>
      <c r="N1242" t="inlineStr">
        <is>
          <t>Yes (supporting block)</t>
        </is>
      </c>
      <c r="O1242" s="5" t="inlineStr">
        <is>
          <t>Supports the primary topic - add only if natural</t>
        </is>
      </c>
      <c r="P1242" s="5" t="inlineStr"/>
      <c r="Q1242" t="inlineStr">
        <is>
          <t>P3</t>
        </is>
      </c>
      <c r="R1242" t="n">
        <v>109</v>
      </c>
      <c r="S1242" s="5" t="inlineStr">
        <is>
          <t>Nous transformons vos listes de mots-clés en arborescence de pages et en plan de contenus Réserver un Appel Découverte 50+ projets réussis • Livraison en 48h • Pas de contrats à long terme Sites web Chatbots IA CRM Réser</t>
        </is>
      </c>
    </row>
    <row r="1243">
      <c r="A1243" s="3" t="inlineStr">
        <is>
          <t>https://codesommet.com/tools/url-editor</t>
        </is>
      </c>
      <c r="B1243" t="n">
        <v>1</v>
      </c>
      <c r="C1243" t="inlineStr">
        <is>
          <t>Hero / H1</t>
        </is>
      </c>
      <c r="D1243" s="5" t="inlineStr">
        <is>
          <t>Éditeur d'URL en Masse : Nettoyer les URL</t>
        </is>
      </c>
      <c r="E1243" t="inlineStr">
        <is>
          <t>H1</t>
        </is>
      </c>
      <c r="F1243" s="5" t="inlineStr">
        <is>
          <t>Informational / tool use</t>
        </is>
      </c>
      <c r="G1243" t="inlineStr">
        <is>
          <t>nettoyer url</t>
        </is>
      </c>
      <c r="H1243" t="inlineStr">
        <is>
          <t>PRIMARY</t>
        </is>
      </c>
      <c r="I1243" t="inlineStr">
        <is>
          <t>fr</t>
        </is>
      </c>
      <c r="J1243" t="inlineStr">
        <is>
          <t>NOT AVAILABLE</t>
        </is>
      </c>
      <c r="K1243" t="inlineStr">
        <is>
          <t>NOT AVAILABLE</t>
        </is>
      </c>
      <c r="L1243" t="inlineStr">
        <is>
          <t>NOT AVAILABLE</t>
        </is>
      </c>
      <c r="M1243" t="inlineStr">
        <is>
          <t>UNAVAILABLE</t>
        </is>
      </c>
      <c r="N1243" t="inlineStr">
        <is>
          <t>Yes</t>
        </is>
      </c>
      <c r="O1243" s="5" t="inlineStr">
        <is>
          <t>Covered - keep wording; no change</t>
        </is>
      </c>
      <c r="P1243" s="5" t="inlineStr"/>
      <c r="Q1243" t="inlineStr">
        <is>
          <t>P3</t>
        </is>
      </c>
      <c r="R1243" t="n">
        <v>120</v>
      </c>
      <c r="S1243" s="5" t="inlineStr">
        <is>
          <t>Collez une liste d'URL exportée d'un crawl, de la Search Console ou d'un tableur, choisissez les nettoyages à appliquer et récupérez une liste propre et dédoublonnée. Gratuit • Aucune inscription requise URL (une par lig</t>
        </is>
      </c>
    </row>
    <row r="1244">
      <c r="A1244" s="3" t="inlineStr">
        <is>
          <t>https://codesommet.com/tools/url-editor</t>
        </is>
      </c>
      <c r="B1244" t="n">
        <v>2</v>
      </c>
      <c r="C1244" t="inlineStr">
        <is>
          <t>Content block</t>
        </is>
      </c>
      <c r="D1244" s="5" t="inlineStr">
        <is>
          <t>Comment Utiliser Cet Outil</t>
        </is>
      </c>
      <c r="E1244" t="inlineStr">
        <is>
          <t>H2</t>
        </is>
      </c>
      <c r="F1244" s="5" t="inlineStr">
        <is>
          <t>Informational / tool use</t>
        </is>
      </c>
      <c r="G1244" t="inlineStr">
        <is>
          <t>nettoyer url</t>
        </is>
      </c>
      <c r="H1244" t="inlineStr">
        <is>
          <t>SUPPORTS PRIMARY</t>
        </is>
      </c>
      <c r="I1244" t="inlineStr">
        <is>
          <t>fr</t>
        </is>
      </c>
      <c r="J1244" t="inlineStr">
        <is>
          <t>NOT AVAILABLE</t>
        </is>
      </c>
      <c r="K1244" t="inlineStr">
        <is>
          <t>NOT AVAILABLE</t>
        </is>
      </c>
      <c r="L1244" t="inlineStr">
        <is>
          <t>NOT AVAILABLE</t>
        </is>
      </c>
      <c r="M1244" t="inlineStr">
        <is>
          <t>UNAVAILABLE</t>
        </is>
      </c>
      <c r="N1244" t="inlineStr">
        <is>
          <t>Yes (supporting block)</t>
        </is>
      </c>
      <c r="O1244" s="5" t="inlineStr">
        <is>
          <t>Supports the primary topic - add only if natural</t>
        </is>
      </c>
      <c r="P1244" s="5" t="inlineStr"/>
      <c r="Q1244" t="inlineStr">
        <is>
          <t>P3</t>
        </is>
      </c>
      <c r="R1244" t="n">
        <v>41</v>
      </c>
      <c r="S1244" s="5" t="inlineStr">
        <is>
          <t>1 Collez vos URL, une par ligne (jusqu'à 50 000). 2 Cochez les nettoyages souhaités : ils sont appliqués dans l'ordre affiché, puis la liste est dédoublonnée. 3 Copiez la liste propre ou téléchargez-la en CSV. Rien n'est</t>
        </is>
      </c>
    </row>
    <row r="1245">
      <c r="A1245" s="3" t="inlineStr">
        <is>
          <t>https://codesommet.com/tools/url-editor</t>
        </is>
      </c>
      <c r="B1245" t="n">
        <v>3</v>
      </c>
      <c r="C1245" t="inlineStr">
        <is>
          <t>FAQ</t>
        </is>
      </c>
      <c r="D1245" s="5" t="inlineStr">
        <is>
          <t>Questions Fréquemment Posées</t>
        </is>
      </c>
      <c r="E1245" t="inlineStr">
        <is>
          <t>H2</t>
        </is>
      </c>
      <c r="F1245" s="5" t="inlineStr">
        <is>
          <t>Informational (pre-purchase questions)</t>
        </is>
      </c>
      <c r="G1245" t="inlineStr">
        <is>
          <t>nettoyer url</t>
        </is>
      </c>
      <c r="H1245" t="inlineStr">
        <is>
          <t>SUPPORTS PRIMARY</t>
        </is>
      </c>
      <c r="I1245" t="inlineStr">
        <is>
          <t>fr</t>
        </is>
      </c>
      <c r="J1245" t="inlineStr">
        <is>
          <t>NOT AVAILABLE</t>
        </is>
      </c>
      <c r="K1245" t="inlineStr">
        <is>
          <t>NOT AVAILABLE</t>
        </is>
      </c>
      <c r="L1245" t="inlineStr">
        <is>
          <t>NOT AVAILABLE</t>
        </is>
      </c>
      <c r="M1245" t="inlineStr">
        <is>
          <t>UNAVAILABLE</t>
        </is>
      </c>
      <c r="N1245" t="inlineStr">
        <is>
          <t>Yes (supporting block)</t>
        </is>
      </c>
      <c r="O1245" s="5" t="inlineStr">
        <is>
          <t>Supports the primary topic - add only if natural</t>
        </is>
      </c>
      <c r="P1245" s="5" t="inlineStr"/>
      <c r="Q1245" t="inlineStr">
        <is>
          <t>P3</t>
        </is>
      </c>
      <c r="R1245" t="n">
        <v>196</v>
      </c>
      <c r="S1245" s="5" t="inlineStr">
        <is>
          <t>Normaliser ses URL pour des audits et des imports fiables 1 Pourquoi retirer les paramètres de suivi ? Les paramètres utm_*, gclid ou fbclid ne changent pas le contenu de la page mais créent des URL différentes. Les reti</t>
        </is>
      </c>
    </row>
    <row r="1246">
      <c r="A1246" s="3" t="inlineStr">
        <is>
          <t>https://codesommet.com/tools/url-editor</t>
        </is>
      </c>
      <c r="B1246" t="n">
        <v>4</v>
      </c>
      <c r="C1246" t="inlineStr">
        <is>
          <t>Internal-link block</t>
        </is>
      </c>
      <c r="D1246" s="5" t="inlineStr">
        <is>
          <t>Outils Connexes Qui Pourraient Vous Intéresser</t>
        </is>
      </c>
      <c r="E1246" t="inlineStr">
        <is>
          <t>H2</t>
        </is>
      </c>
      <c r="F1246" s="5" t="inlineStr">
        <is>
          <t>Navigation</t>
        </is>
      </c>
      <c r="G1246" t="inlineStr">
        <is>
          <t>—</t>
        </is>
      </c>
      <c r="H1246" t="inlineStr">
        <is>
          <t>NONE</t>
        </is>
      </c>
      <c r="I1246" t="inlineStr">
        <is>
          <t>—</t>
        </is>
      </c>
      <c r="J1246" t="inlineStr">
        <is>
          <t>—</t>
        </is>
      </c>
      <c r="K1246" t="inlineStr">
        <is>
          <t>—</t>
        </is>
      </c>
      <c r="L1246" t="inlineStr">
        <is>
          <t>—</t>
        </is>
      </c>
      <c r="M1246" t="inlineStr">
        <is>
          <t>—</t>
        </is>
      </c>
      <c r="N1246" t="inlineStr">
        <is>
          <t>n/a</t>
        </is>
      </c>
      <c r="O1246" s="5" t="inlineStr">
        <is>
          <t>No keyword target - keep conversion/navigation focus; use descriptive, non-repeated anchor texts</t>
        </is>
      </c>
      <c r="P1246" s="5" t="inlineStr"/>
      <c r="Q1246" t="inlineStr">
        <is>
          <t>P4</t>
        </is>
      </c>
      <c r="R1246" t="n">
        <v>55</v>
      </c>
      <c r="S1246" s="5" t="inlineStr">
        <is>
          <t>Continuez à optimiser votre site web avec ces outils complémentaires Extracteur de Domaines Isolez les domaines uniques d'une liste d'URL Essayer gratuitement seo Nettoyeur de Caractères Invisibles Caractères cachés dans</t>
        </is>
      </c>
    </row>
    <row r="1247">
      <c r="A1247" s="3" t="inlineStr">
        <is>
          <t>https://codesommet.com/tools/url-editor</t>
        </is>
      </c>
      <c r="B1247" t="n">
        <v>5</v>
      </c>
      <c r="C1247" t="inlineStr">
        <is>
          <t>Content block</t>
        </is>
      </c>
      <c r="D1247" s="5" t="inlineStr">
        <is>
          <t>Une Migration d'URL à Préparer ?</t>
        </is>
      </c>
      <c r="E1247" t="inlineStr">
        <is>
          <t>H2</t>
        </is>
      </c>
      <c r="F1247" s="5" t="inlineStr">
        <is>
          <t>Informational / tool use</t>
        </is>
      </c>
      <c r="G1247" t="inlineStr">
        <is>
          <t>nettoyer url</t>
        </is>
      </c>
      <c r="H1247" t="inlineStr">
        <is>
          <t>SUPPORTS PRIMARY</t>
        </is>
      </c>
      <c r="I1247" t="inlineStr">
        <is>
          <t>fr</t>
        </is>
      </c>
      <c r="J1247" t="inlineStr">
        <is>
          <t>NOT AVAILABLE</t>
        </is>
      </c>
      <c r="K1247" t="inlineStr">
        <is>
          <t>NOT AVAILABLE</t>
        </is>
      </c>
      <c r="L1247" t="inlineStr">
        <is>
          <t>NOT AVAILABLE</t>
        </is>
      </c>
      <c r="M1247" t="inlineStr">
        <is>
          <t>UNAVAILABLE</t>
        </is>
      </c>
      <c r="N1247" t="inlineStr">
        <is>
          <t>Yes (supporting block)</t>
        </is>
      </c>
      <c r="O1247" s="5" t="inlineStr">
        <is>
          <t>Supports the primary topic - add only if natural</t>
        </is>
      </c>
      <c r="P1247" s="5" t="inlineStr"/>
      <c r="Q1247" t="inlineStr">
        <is>
          <t>P3</t>
        </is>
      </c>
      <c r="R1247" t="n">
        <v>109</v>
      </c>
      <c r="S1247" s="5" t="inlineStr">
        <is>
          <t>Nous cartographions vos URL, préparons les redirections 301 et sécurisons votre référencement pendant la refonte Réserver un Appel Découverte 50+ projets réussis • Livraison en 48h • Pas de contrats à long terme Sites we</t>
        </is>
      </c>
    </row>
    <row r="1248">
      <c r="A1248" s="3" t="inlineStr">
        <is>
          <t>https://codesommet.com/tools/url-slug-generator</t>
        </is>
      </c>
      <c r="B1248" t="n">
        <v>1</v>
      </c>
      <c r="C1248" t="inlineStr">
        <is>
          <t>Hero / H1</t>
        </is>
      </c>
      <c r="D1248" s="5" t="inlineStr">
        <is>
          <t>Générateur de Slug d'URL SEO Gratuit</t>
        </is>
      </c>
      <c r="E1248" t="inlineStr">
        <is>
          <t>H1</t>
        </is>
      </c>
      <c r="F1248" s="5" t="inlineStr">
        <is>
          <t>Informational / tool use</t>
        </is>
      </c>
      <c r="G1248" t="inlineStr">
        <is>
          <t>slug seo</t>
        </is>
      </c>
      <c r="H1248" t="inlineStr">
        <is>
          <t>PRIMARY</t>
        </is>
      </c>
      <c r="I1248" t="inlineStr">
        <is>
          <t>fr</t>
        </is>
      </c>
      <c r="J1248" t="n">
        <v>170</v>
      </c>
      <c r="K1248" t="n">
        <v>13</v>
      </c>
      <c r="L1248" t="n">
        <v>0</v>
      </c>
      <c r="M1248" t="inlineStr">
        <is>
          <t>MEASURED</t>
        </is>
      </c>
      <c r="N1248" t="inlineStr">
        <is>
          <t>Yes</t>
        </is>
      </c>
      <c r="O1248" s="5" t="inlineStr">
        <is>
          <t>Covered - keep wording; no change</t>
        </is>
      </c>
      <c r="P1248" s="5" t="inlineStr"/>
      <c r="Q1248" t="inlineStr">
        <is>
          <t>P3</t>
        </is>
      </c>
      <c r="R1248" t="n">
        <v>45</v>
      </c>
      <c r="S1248" s="5" t="inlineStr">
        <is>
          <t xml:space="preserve">Générez des slugs d'URL optimisés SEO à partir de titres. Supprimez les mots vides, gérez les caractères spéciaux et suivez les meilleures pratiques pour des URL propres. Gratuit • Aucune inscription requise Slug Unique </t>
        </is>
      </c>
    </row>
    <row r="1249">
      <c r="A1249" s="3" t="inlineStr">
        <is>
          <t>https://codesommet.com/tools/url-slug-generator</t>
        </is>
      </c>
      <c r="B1249" t="n">
        <v>2</v>
      </c>
      <c r="C1249" t="inlineStr">
        <is>
          <t>FAQ</t>
        </is>
      </c>
      <c r="D1249" s="5" t="inlineStr">
        <is>
          <t>Questions Fréquemment Posées</t>
        </is>
      </c>
      <c r="E1249" t="inlineStr">
        <is>
          <t>H2</t>
        </is>
      </c>
      <c r="F1249" s="5" t="inlineStr">
        <is>
          <t>Informational (pre-purchase questions)</t>
        </is>
      </c>
      <c r="G1249" t="inlineStr">
        <is>
          <t>slug seo</t>
        </is>
      </c>
      <c r="H1249" t="inlineStr">
        <is>
          <t>SUPPORTS PRIMARY</t>
        </is>
      </c>
      <c r="I1249" t="inlineStr">
        <is>
          <t>fr</t>
        </is>
      </c>
      <c r="J1249" t="n">
        <v>170</v>
      </c>
      <c r="K1249" t="n">
        <v>13</v>
      </c>
      <c r="L1249" t="n">
        <v>0</v>
      </c>
      <c r="M1249" t="inlineStr">
        <is>
          <t>MEASURED</t>
        </is>
      </c>
      <c r="N1249" t="inlineStr">
        <is>
          <t>Yes</t>
        </is>
      </c>
      <c r="O1249" s="5" t="inlineStr">
        <is>
          <t>Covered - keep wording; no change</t>
        </is>
      </c>
      <c r="P1249" s="5" t="inlineStr"/>
      <c r="Q1249" t="inlineStr">
        <is>
          <t>P3</t>
        </is>
      </c>
      <c r="R1249" t="n">
        <v>354</v>
      </c>
      <c r="S1249" s="5" t="inlineStr">
        <is>
          <t>Questions courantes sur cet outil et comment l'utiliser efficacement 1 Qu'est-ce qu'un slug URL et pourquoi est-il important pour le SEO ? La longueur idéale d'un slug URL est de 3 à 5 mots ou 30 à 60 caractères. Les slu</t>
        </is>
      </c>
    </row>
    <row r="1250">
      <c r="A1250" s="3" t="inlineStr">
        <is>
          <t>https://codesommet.com/tools/url-slug-generator</t>
        </is>
      </c>
      <c r="B1250" t="n">
        <v>3</v>
      </c>
      <c r="C1250" t="inlineStr">
        <is>
          <t>Internal-link block</t>
        </is>
      </c>
      <c r="D1250" s="5" t="inlineStr">
        <is>
          <t>Outils Connexes Qui Pourraient Vous Intéresser</t>
        </is>
      </c>
      <c r="E1250" t="inlineStr">
        <is>
          <t>H2</t>
        </is>
      </c>
      <c r="F1250" s="5" t="inlineStr">
        <is>
          <t>Navigation</t>
        </is>
      </c>
      <c r="G1250" t="inlineStr">
        <is>
          <t>—</t>
        </is>
      </c>
      <c r="H1250" t="inlineStr">
        <is>
          <t>NONE</t>
        </is>
      </c>
      <c r="I1250" t="inlineStr">
        <is>
          <t>—</t>
        </is>
      </c>
      <c r="J1250" t="inlineStr">
        <is>
          <t>—</t>
        </is>
      </c>
      <c r="K1250" t="inlineStr">
        <is>
          <t>—</t>
        </is>
      </c>
      <c r="L1250" t="inlineStr">
        <is>
          <t>—</t>
        </is>
      </c>
      <c r="M1250" t="inlineStr">
        <is>
          <t>—</t>
        </is>
      </c>
      <c r="N1250" t="inlineStr">
        <is>
          <t>n/a</t>
        </is>
      </c>
      <c r="O1250" s="5" t="inlineStr">
        <is>
          <t>No keyword target - keep conversion/navigation focus; use descriptive, non-repeated anchor texts</t>
        </is>
      </c>
      <c r="P1250" s="5" t="inlineStr"/>
      <c r="Q1250" t="inlineStr">
        <is>
          <t>P4</t>
        </is>
      </c>
      <c r="R1250" t="n">
        <v>68</v>
      </c>
      <c r="S1250" s="5" t="inlineStr">
        <is>
          <t>Continuez à optimiser votre site web avec ces outils complémentaires Analyseur de Densité de Mots-clés Détectez le bourrage de mots-clés et le contenu insuffisant Essayez gratuitement seo Vérificateur d'URL Canonique Dét</t>
        </is>
      </c>
    </row>
    <row r="1251">
      <c r="A1251" s="3" t="inlineStr">
        <is>
          <t>https://codesommet.com/tools/url-slug-generator</t>
        </is>
      </c>
      <c r="B1251" t="n">
        <v>4</v>
      </c>
      <c r="C1251" t="inlineStr">
        <is>
          <t>CTA / conversion</t>
        </is>
      </c>
      <c r="D1251" s="5" t="inlineStr">
        <is>
          <t>Besoin d'un Outil Personnalisé pour Votre Entreprise ?</t>
        </is>
      </c>
      <c r="E1251" t="inlineStr">
        <is>
          <t>H2</t>
        </is>
      </c>
      <c r="F1251" s="5" t="inlineStr">
        <is>
          <t>Conversion</t>
        </is>
      </c>
      <c r="G1251" t="inlineStr">
        <is>
          <t>—</t>
        </is>
      </c>
      <c r="H1251" t="inlineStr">
        <is>
          <t>NONE</t>
        </is>
      </c>
      <c r="I1251" t="inlineStr">
        <is>
          <t>—</t>
        </is>
      </c>
      <c r="J1251" t="inlineStr">
        <is>
          <t>—</t>
        </is>
      </c>
      <c r="K1251" t="inlineStr">
        <is>
          <t>—</t>
        </is>
      </c>
      <c r="L1251" t="inlineStr">
        <is>
          <t>—</t>
        </is>
      </c>
      <c r="M1251" t="inlineStr">
        <is>
          <t>—</t>
        </is>
      </c>
      <c r="N1251" t="inlineStr">
        <is>
          <t>n/a</t>
        </is>
      </c>
      <c r="O1251" s="5" t="inlineStr">
        <is>
          <t>No keyword target - keep conversion/navigation focus; use descriptive, non-repeated anchor texts</t>
        </is>
      </c>
      <c r="P1251" s="5" t="inlineStr"/>
      <c r="Q1251" t="inlineStr">
        <is>
          <t>P4</t>
        </is>
      </c>
      <c r="R1251" t="n">
        <v>112</v>
      </c>
      <c r="S1251" s="5" t="inlineStr">
        <is>
          <t>Nous créons des outils alimentés par l'IA, des tableaux de bord et des automatisations qui génèrent de vrais résultats Réserver un Appel Découverte 50+ projets réussis • Livraison en 48h • Sans engagement à long terme Si</t>
        </is>
      </c>
    </row>
    <row r="1252">
      <c r="A1252" s="3" t="inlineStr">
        <is>
          <t>https://codesommet.com/tools/utm-builder</t>
        </is>
      </c>
      <c r="B1252" t="n">
        <v>1</v>
      </c>
      <c r="C1252" t="inlineStr">
        <is>
          <t>Hero / H1</t>
        </is>
      </c>
      <c r="D1252" s="5" t="inlineStr">
        <is>
          <t>Générateur d'URL UTM Gratuit</t>
        </is>
      </c>
      <c r="E1252" t="inlineStr">
        <is>
          <t>H1</t>
        </is>
      </c>
      <c r="F1252" s="5" t="inlineStr">
        <is>
          <t>Informational / tool use</t>
        </is>
      </c>
      <c r="G1252" t="inlineStr">
        <is>
          <t>utm builder</t>
        </is>
      </c>
      <c r="H1252" t="inlineStr">
        <is>
          <t>PRIMARY</t>
        </is>
      </c>
      <c r="I1252" t="inlineStr">
        <is>
          <t>fr</t>
        </is>
      </c>
      <c r="J1252" t="n">
        <v>1600</v>
      </c>
      <c r="K1252" t="n">
        <v>51</v>
      </c>
      <c r="L1252" t="n">
        <v>48.33</v>
      </c>
      <c r="M1252" t="inlineStr">
        <is>
          <t>MEASURED</t>
        </is>
      </c>
      <c r="N1252" t="inlineStr">
        <is>
          <t>Partly</t>
        </is>
      </c>
      <c r="O1252" s="5" t="inlineStr">
        <is>
          <t>Work "utm builder" (or a close natural variant) into existing copy - no new heading needed</t>
        </is>
      </c>
      <c r="P1252" s="5" t="inlineStr">
        <is>
          <t>Keyword/variant absent from this section</t>
        </is>
      </c>
      <c r="Q1252" t="inlineStr">
        <is>
          <t>P3</t>
        </is>
      </c>
      <c r="R1252" t="n">
        <v>17</v>
      </c>
      <c r="S1252" s="5" t="inlineStr">
        <is>
          <t>Créez des URL de campagne traçables avec des paramètres UTM pour Google Analytics Gratuit • Aucune inscription requise</t>
        </is>
      </c>
    </row>
    <row r="1253">
      <c r="A1253" s="3" t="inlineStr">
        <is>
          <t>https://codesommet.com/tools/utm-builder</t>
        </is>
      </c>
      <c r="B1253" t="n">
        <v>2</v>
      </c>
      <c r="C1253" t="inlineStr">
        <is>
          <t>Content block</t>
        </is>
      </c>
      <c r="D1253" s="5" t="inlineStr">
        <is>
          <t>Générateur d'URL de Campagne</t>
        </is>
      </c>
      <c r="E1253" t="inlineStr">
        <is>
          <t>H2</t>
        </is>
      </c>
      <c r="F1253" s="5" t="inlineStr">
        <is>
          <t>Informational / tool use</t>
        </is>
      </c>
      <c r="G1253" t="inlineStr">
        <is>
          <t>utm</t>
        </is>
      </c>
      <c r="H1253" t="inlineStr">
        <is>
          <t>SECONDARY</t>
        </is>
      </c>
      <c r="I1253" t="inlineStr">
        <is>
          <t>fr</t>
        </is>
      </c>
      <c r="J1253" t="n">
        <v>5400</v>
      </c>
      <c r="K1253" t="n">
        <v>36</v>
      </c>
      <c r="L1253" t="n">
        <v>3.31</v>
      </c>
      <c r="M1253" t="inlineStr">
        <is>
          <t>MEASURED</t>
        </is>
      </c>
      <c r="N1253" t="inlineStr">
        <is>
          <t>Partly</t>
        </is>
      </c>
      <c r="O1253" s="5" t="inlineStr">
        <is>
          <t>Work "utm" (or a close natural variant) into existing copy - no new heading needed</t>
        </is>
      </c>
      <c r="P1253" s="5" t="inlineStr">
        <is>
          <t>Keyword/variant absent from this section</t>
        </is>
      </c>
      <c r="Q1253" t="inlineStr">
        <is>
          <t>P3</t>
        </is>
      </c>
      <c r="R1253" t="n">
        <v>98</v>
      </c>
      <c r="S1253" s="5" t="inlineStr">
        <is>
          <t>URL du Site Web * L'URL complète du site web (ex. : https://codesommet.com/services) Paramètres Requis Source de Campagne * Indique d'où provient le trafic (ex. : google, newsletter, facebook) Canal de Campagne * Indique</t>
        </is>
      </c>
    </row>
    <row r="1254">
      <c r="A1254" s="3" t="inlineStr">
        <is>
          <t>https://codesommet.com/tools/utm-builder</t>
        </is>
      </c>
      <c r="B1254" t="n">
        <v>3</v>
      </c>
      <c r="C1254" t="inlineStr">
        <is>
          <t>Content block</t>
        </is>
      </c>
      <c r="D1254" s="5" t="inlineStr">
        <is>
          <t>Comment Utiliser les Paramètres UTM</t>
        </is>
      </c>
      <c r="E1254" t="inlineStr">
        <is>
          <t>H2</t>
        </is>
      </c>
      <c r="F1254" s="5" t="inlineStr">
        <is>
          <t>Informational / tool use</t>
        </is>
      </c>
      <c r="G1254" t="inlineStr">
        <is>
          <t>lien utm</t>
        </is>
      </c>
      <c r="H1254" t="inlineStr">
        <is>
          <t>SECONDARY</t>
        </is>
      </c>
      <c r="I1254" t="inlineStr">
        <is>
          <t>fr</t>
        </is>
      </c>
      <c r="J1254" t="n">
        <v>260</v>
      </c>
      <c r="K1254" t="n">
        <v>33</v>
      </c>
      <c r="L1254" t="n">
        <v>7.31</v>
      </c>
      <c r="M1254" t="inlineStr">
        <is>
          <t>MEASURED</t>
        </is>
      </c>
      <c r="N1254" t="inlineStr">
        <is>
          <t>Yes</t>
        </is>
      </c>
      <c r="O1254" s="5" t="inlineStr">
        <is>
          <t>Covered - keep wording; no change</t>
        </is>
      </c>
      <c r="P1254" s="5" t="inlineStr"/>
      <c r="Q1254" t="inlineStr">
        <is>
          <t>P3</t>
        </is>
      </c>
      <c r="R1254" t="n">
        <v>199</v>
      </c>
      <c r="S1254" s="5" t="inlineStr">
        <is>
          <t>Que sont les Paramètres UTM ? UTM parameters are tags you add to URLs to track the effectiveness of marketing campaigns in Google Analytics. They help you identify which campaigns, sources, and content drive the most tra</t>
        </is>
      </c>
    </row>
    <row r="1255">
      <c r="A1255" s="3" t="inlineStr">
        <is>
          <t>https://codesommet.com/tools/utm-builder</t>
        </is>
      </c>
      <c r="B1255" t="n">
        <v>4</v>
      </c>
      <c r="C1255" t="inlineStr">
        <is>
          <t>FAQ</t>
        </is>
      </c>
      <c r="D1255" s="5" t="inlineStr">
        <is>
          <t>Questions Fréquemment Posées</t>
        </is>
      </c>
      <c r="E1255" t="inlineStr">
        <is>
          <t>H2</t>
        </is>
      </c>
      <c r="F1255" s="5" t="inlineStr">
        <is>
          <t>Informational (pre-purchase questions)</t>
        </is>
      </c>
      <c r="G1255" t="inlineStr">
        <is>
          <t>utm builder</t>
        </is>
      </c>
      <c r="H1255" t="inlineStr">
        <is>
          <t>SUPPORTS PRIMARY</t>
        </is>
      </c>
      <c r="I1255" t="inlineStr">
        <is>
          <t>fr</t>
        </is>
      </c>
      <c r="J1255" t="n">
        <v>1600</v>
      </c>
      <c r="K1255" t="n">
        <v>51</v>
      </c>
      <c r="L1255" t="n">
        <v>48.33</v>
      </c>
      <c r="M1255" t="inlineStr">
        <is>
          <t>MEASURED</t>
        </is>
      </c>
      <c r="N1255" t="inlineStr">
        <is>
          <t>Yes (supporting block)</t>
        </is>
      </c>
      <c r="O1255" s="5" t="inlineStr">
        <is>
          <t>Supports the primary topic - add only if natural</t>
        </is>
      </c>
      <c r="P1255" s="5" t="inlineStr"/>
      <c r="Q1255" t="inlineStr">
        <is>
          <t>P3</t>
        </is>
      </c>
      <c r="R1255" t="n">
        <v>432</v>
      </c>
      <c r="S1255" s="5" t="inlineStr">
        <is>
          <t>Questions courantes sur cet outil et comment l'utiliser efficacement 1 Que sont les paramètres UTM et pourquoi les utiliser ? UTM parameters are tags added to URLs that help track the performance of marketing campaigns i</t>
        </is>
      </c>
    </row>
    <row r="1256">
      <c r="A1256" s="3" t="inlineStr">
        <is>
          <t>https://codesommet.com/tools/utm-builder</t>
        </is>
      </c>
      <c r="B1256" t="n">
        <v>5</v>
      </c>
      <c r="C1256" t="inlineStr">
        <is>
          <t>Internal-link block</t>
        </is>
      </c>
      <c r="D1256" s="5" t="inlineStr">
        <is>
          <t>Outils Connexes Qui Pourraient Vous Intéresser</t>
        </is>
      </c>
      <c r="E1256" t="inlineStr">
        <is>
          <t>H2</t>
        </is>
      </c>
      <c r="F1256" s="5" t="inlineStr">
        <is>
          <t>Navigation</t>
        </is>
      </c>
      <c r="G1256" t="inlineStr">
        <is>
          <t>—</t>
        </is>
      </c>
      <c r="H1256" t="inlineStr">
        <is>
          <t>NONE</t>
        </is>
      </c>
      <c r="I1256" t="inlineStr">
        <is>
          <t>—</t>
        </is>
      </c>
      <c r="J1256" t="inlineStr">
        <is>
          <t>—</t>
        </is>
      </c>
      <c r="K1256" t="inlineStr">
        <is>
          <t>—</t>
        </is>
      </c>
      <c r="L1256" t="inlineStr">
        <is>
          <t>—</t>
        </is>
      </c>
      <c r="M1256" t="inlineStr">
        <is>
          <t>—</t>
        </is>
      </c>
      <c r="N1256" t="inlineStr">
        <is>
          <t>n/a</t>
        </is>
      </c>
      <c r="O1256" s="5" t="inlineStr">
        <is>
          <t>No keyword target - keep conversion/navigation focus; use descriptive, non-repeated anchor texts</t>
        </is>
      </c>
      <c r="P1256" s="5" t="inlineStr"/>
      <c r="Q1256" t="inlineStr">
        <is>
          <t>P4</t>
        </is>
      </c>
      <c r="R1256" t="n">
        <v>62</v>
      </c>
      <c r="S1256" s="5" t="inlineStr">
        <is>
          <t>Continuez à optimiser votre site web avec ces outils complémentaires Aperçu Open Graph Prévisualisez les cartes de réseaux sociaux pour 4 plateformes majeures Essayez gratuitement seo Analyseur de Structure des Titres Ar</t>
        </is>
      </c>
    </row>
    <row r="1257">
      <c r="A1257" s="3" t="inlineStr">
        <is>
          <t>https://codesommet.com/tools/utm-builder</t>
        </is>
      </c>
      <c r="B1257" t="n">
        <v>6</v>
      </c>
      <c r="C1257" t="inlineStr">
        <is>
          <t>CTA / conversion</t>
        </is>
      </c>
      <c r="D1257" s="5" t="inlineStr">
        <is>
          <t>Besoin d'un Outil Personnalisé pour Votre Entreprise ?</t>
        </is>
      </c>
      <c r="E1257" t="inlineStr">
        <is>
          <t>H2</t>
        </is>
      </c>
      <c r="F1257" s="5" t="inlineStr">
        <is>
          <t>Conversion</t>
        </is>
      </c>
      <c r="G1257" t="inlineStr">
        <is>
          <t>—</t>
        </is>
      </c>
      <c r="H1257" t="inlineStr">
        <is>
          <t>NONE</t>
        </is>
      </c>
      <c r="I1257" t="inlineStr">
        <is>
          <t>—</t>
        </is>
      </c>
      <c r="J1257" t="inlineStr">
        <is>
          <t>—</t>
        </is>
      </c>
      <c r="K1257" t="inlineStr">
        <is>
          <t>—</t>
        </is>
      </c>
      <c r="L1257" t="inlineStr">
        <is>
          <t>—</t>
        </is>
      </c>
      <c r="M1257" t="inlineStr">
        <is>
          <t>—</t>
        </is>
      </c>
      <c r="N1257" t="inlineStr">
        <is>
          <t>n/a</t>
        </is>
      </c>
      <c r="O1257" s="5" t="inlineStr">
        <is>
          <t>No keyword target - keep conversion/navigation focus; use descriptive, non-repeated anchor texts</t>
        </is>
      </c>
      <c r="P1257" s="5" t="inlineStr"/>
      <c r="Q1257" t="inlineStr">
        <is>
          <t>P4</t>
        </is>
      </c>
      <c r="R1257" t="n">
        <v>112</v>
      </c>
      <c r="S1257" s="5" t="inlineStr">
        <is>
          <t>Nous créons des outils alimentés par l'IA, des tableaux de bord et des automatisations qui génèrent de vrais résultats Réserver un Appel Découverte 50+ projets réussis • Livraison en 48h • Sans engagement à long terme Si</t>
        </is>
      </c>
    </row>
    <row r="1258">
      <c r="A1258" s="3" t="inlineStr">
        <is>
          <t>https://codesommet.com/tools/website-analyzer</t>
        </is>
      </c>
      <c r="B1258" t="n">
        <v>1</v>
      </c>
      <c r="C1258" t="inlineStr">
        <is>
          <t>Hero / H1</t>
        </is>
      </c>
      <c r="D1258" s="5" t="inlineStr">
        <is>
          <t>Analyseur de Site Web : Audit SEO Gratuit</t>
        </is>
      </c>
      <c r="E1258" t="inlineStr">
        <is>
          <t>H1</t>
        </is>
      </c>
      <c r="F1258" s="5" t="inlineStr">
        <is>
          <t>Informational / tool use</t>
        </is>
      </c>
      <c r="G1258" t="inlineStr">
        <is>
          <t>audit seo gratuit</t>
        </is>
      </c>
      <c r="H1258" t="inlineStr">
        <is>
          <t>PRIMARY</t>
        </is>
      </c>
      <c r="I1258" t="inlineStr">
        <is>
          <t>fr</t>
        </is>
      </c>
      <c r="J1258" t="n">
        <v>1900</v>
      </c>
      <c r="K1258" t="n">
        <v>31</v>
      </c>
      <c r="L1258" t="n">
        <v>2.46</v>
      </c>
      <c r="M1258" t="inlineStr">
        <is>
          <t>MEASURED</t>
        </is>
      </c>
      <c r="N1258" t="inlineStr">
        <is>
          <t>Yes</t>
        </is>
      </c>
      <c r="O1258" s="5" t="inlineStr">
        <is>
          <t>Covered - keep wording; no change</t>
        </is>
      </c>
      <c r="P1258" s="5" t="inlineStr"/>
      <c r="Q1258" t="inlineStr">
        <is>
          <t>P2</t>
        </is>
      </c>
      <c r="R1258" t="n">
        <v>23</v>
      </c>
      <c r="S1258" s="5" t="inlineStr">
        <is>
          <t>Analyse complète de site web avec insights alimentés par l'IA, audit SEO, métriques de performance et plan d'amélioration personnalisé Gratuit • Aucune inscription requise</t>
        </is>
      </c>
    </row>
    <row r="1259">
      <c r="A1259" s="3" t="inlineStr">
        <is>
          <t>https://codesommet.com/tools/website-analyzer</t>
        </is>
      </c>
      <c r="B1259" t="n">
        <v>2</v>
      </c>
      <c r="C1259" t="inlineStr">
        <is>
          <t>Tool interface</t>
        </is>
      </c>
      <c r="D1259" s="5" t="inlineStr">
        <is>
          <t>Analyser Votre Site Web</t>
        </is>
      </c>
      <c r="E1259" t="inlineStr">
        <is>
          <t>H2</t>
        </is>
      </c>
      <c r="F1259" s="5" t="inlineStr">
        <is>
          <t>Tool use</t>
        </is>
      </c>
      <c r="G1259" t="inlineStr">
        <is>
          <t>audit seo</t>
        </is>
      </c>
      <c r="H1259" t="inlineStr">
        <is>
          <t>SECONDARY</t>
        </is>
      </c>
      <c r="I1259" t="inlineStr">
        <is>
          <t>fr</t>
        </is>
      </c>
      <c r="J1259" t="n">
        <v>6600</v>
      </c>
      <c r="K1259" t="n">
        <v>44</v>
      </c>
      <c r="L1259" t="n">
        <v>3.08</v>
      </c>
      <c r="M1259" t="inlineStr">
        <is>
          <t>MEASURED</t>
        </is>
      </c>
      <c r="N1259" t="inlineStr">
        <is>
          <t>Yes</t>
        </is>
      </c>
      <c r="O1259" s="5" t="inlineStr">
        <is>
          <t>Covered - keep wording; no change</t>
        </is>
      </c>
      <c r="P1259" s="5" t="inlineStr"/>
      <c r="Q1259" t="inlineStr">
        <is>
          <t>P2</t>
        </is>
      </c>
      <c r="R1259" t="n">
        <v>52</v>
      </c>
      <c r="S1259" s="5" t="inlineStr">
        <is>
          <t>Get instant feedback on SEO, performance, design, security, and more. Enter your URL and we'll analyze 40+ checkpoints across 5 categories using AI-powered insights. Vous avez besoin d'une checklist rapide avant lancemen</t>
        </is>
      </c>
    </row>
    <row r="1260">
      <c r="A1260" s="3" t="inlineStr">
        <is>
          <t>https://codesommet.com/tools/website-analyzer</t>
        </is>
      </c>
      <c r="B1260" t="n">
        <v>3</v>
      </c>
      <c r="C1260" t="inlineStr">
        <is>
          <t>Process / how it works</t>
        </is>
      </c>
      <c r="D1260" s="5" t="inlineStr">
        <is>
          <t>Comment Fonctionne l'Analyseur de Site Web</t>
        </is>
      </c>
      <c r="E1260" t="inlineStr">
        <is>
          <t>H2</t>
        </is>
      </c>
      <c r="F1260" s="5" t="inlineStr">
        <is>
          <t>Informational / commercial</t>
        </is>
      </c>
      <c r="G1260" t="inlineStr">
        <is>
          <t>audit seo gratuit</t>
        </is>
      </c>
      <c r="H1260" t="inlineStr">
        <is>
          <t>SUPPORTS PRIMARY</t>
        </is>
      </c>
      <c r="I1260" t="inlineStr">
        <is>
          <t>fr</t>
        </is>
      </c>
      <c r="J1260" t="n">
        <v>1900</v>
      </c>
      <c r="K1260" t="n">
        <v>31</v>
      </c>
      <c r="L1260" t="n">
        <v>2.46</v>
      </c>
      <c r="M1260" t="inlineStr">
        <is>
          <t>MEASURED</t>
        </is>
      </c>
      <c r="N1260" t="inlineStr">
        <is>
          <t>Yes (supporting block)</t>
        </is>
      </c>
      <c r="O1260" s="5" t="inlineStr">
        <is>
          <t>Supports the primary topic - add only if natural</t>
        </is>
      </c>
      <c r="P1260" s="5" t="inlineStr"/>
      <c r="Q1260" t="inlineStr">
        <is>
          <t>P2</t>
        </is>
      </c>
      <c r="R1260" t="n">
        <v>306</v>
      </c>
      <c r="S1260" s="5" t="inlineStr">
        <is>
          <t>Notre système d'analyse progressive en 5 étapes se termine en environ 30 secondes, vous donnant des informations instantanées tout en effectuant des audits techniques approfondis en arrière-plan. Saisie de l'URL &amp; vérifi</t>
        </is>
      </c>
    </row>
    <row r="1261">
      <c r="A1261" s="3" t="inlineStr">
        <is>
          <t>https://codesommet.com/tools/website-analyzer</t>
        </is>
      </c>
      <c r="B1261" t="n">
        <v>4</v>
      </c>
      <c r="C1261" t="inlineStr">
        <is>
          <t>Services / features</t>
        </is>
      </c>
      <c r="D1261" s="5" t="inlineStr">
        <is>
          <t>Ce que Nous Analysons : 40+ Points de Contrôle</t>
        </is>
      </c>
      <c r="E1261" t="inlineStr">
        <is>
          <t>H2</t>
        </is>
      </c>
      <c r="F1261" s="5" t="inlineStr">
        <is>
          <t>Informational / tool use</t>
        </is>
      </c>
      <c r="G1261" t="inlineStr">
        <is>
          <t>audit site web</t>
        </is>
      </c>
      <c r="H1261" t="inlineStr">
        <is>
          <t>SECONDARY</t>
        </is>
      </c>
      <c r="I1261" t="inlineStr">
        <is>
          <t>fr</t>
        </is>
      </c>
      <c r="J1261" t="n">
        <v>1600</v>
      </c>
      <c r="K1261" t="n">
        <v>34</v>
      </c>
      <c r="L1261" t="n">
        <v>3.31</v>
      </c>
      <c r="M1261" t="inlineStr">
        <is>
          <t>MEASURED</t>
        </is>
      </c>
      <c r="N1261" t="inlineStr">
        <is>
          <t>Yes</t>
        </is>
      </c>
      <c r="O1261" s="5" t="inlineStr">
        <is>
          <t>Covered - keep wording; no change</t>
        </is>
      </c>
      <c r="P1261" s="5" t="inlineStr"/>
      <c r="Q1261" t="inlineStr">
        <is>
          <t>P2</t>
        </is>
      </c>
      <c r="R1261" t="n">
        <v>78</v>
      </c>
      <c r="S1261" s="5" t="inlineStr">
        <is>
          <t>Notre analyse complète couvre chaque aspect critique de votre site web à travers 5 grandes catégories. Cliquez sur chaque catégorie pour voir le détail des vérifications effectuées. Analyse SEO 10 vérifications complètes</t>
        </is>
      </c>
    </row>
    <row r="1262">
      <c r="A1262" s="3" t="inlineStr">
        <is>
          <t>https://codesommet.com/tools/website-analyzer</t>
        </is>
      </c>
      <c r="B1262" t="n">
        <v>5</v>
      </c>
      <c r="C1262" t="inlineStr">
        <is>
          <t>Why us / differentiation</t>
        </is>
      </c>
      <c r="D1262" s="5" t="inlineStr">
        <is>
          <t>Pourquoi utiliser cet outil gratuit ?</t>
        </is>
      </c>
      <c r="E1262" t="inlineStr">
        <is>
          <t>H2</t>
        </is>
      </c>
      <c r="F1262" s="5" t="inlineStr">
        <is>
          <t>Commercial investigation</t>
        </is>
      </c>
      <c r="G1262" t="inlineStr">
        <is>
          <t>audit seo gratuit</t>
        </is>
      </c>
      <c r="H1262" t="inlineStr">
        <is>
          <t>SUPPORTS PRIMARY</t>
        </is>
      </c>
      <c r="I1262" t="inlineStr">
        <is>
          <t>fr</t>
        </is>
      </c>
      <c r="J1262" t="n">
        <v>1900</v>
      </c>
      <c r="K1262" t="n">
        <v>31</v>
      </c>
      <c r="L1262" t="n">
        <v>2.46</v>
      </c>
      <c r="M1262" t="inlineStr">
        <is>
          <t>MEASURED</t>
        </is>
      </c>
      <c r="N1262" t="inlineStr">
        <is>
          <t>Yes (supporting block)</t>
        </is>
      </c>
      <c r="O1262" s="5" t="inlineStr">
        <is>
          <t>Supports the primary topic - add only if natural</t>
        </is>
      </c>
      <c r="P1262" s="5" t="inlineStr"/>
      <c r="Q1262" t="inlineStr">
        <is>
          <t>P2</t>
        </is>
      </c>
      <c r="R1262" t="n">
        <v>316</v>
      </c>
      <c r="S1262" s="5" t="inlineStr">
        <is>
          <t>We're not just another website checker. Our AI-powered analyzer provides insights that typically require hiring SEO consultants, performance engineers, and design experts. Analyse Visuelle Avancée Computer Vision Le seul</t>
        </is>
      </c>
    </row>
    <row r="1263">
      <c r="A1263" s="3" t="inlineStr">
        <is>
          <t>https://codesommet.com/tools/website-analyzer</t>
        </is>
      </c>
      <c r="B1263" t="n">
        <v>6</v>
      </c>
      <c r="C1263" t="inlineStr">
        <is>
          <t>Why us / differentiation</t>
        </is>
      </c>
      <c r="D1263" s="5" t="inlineStr">
        <is>
          <t>Analyseur de site web vs audit SEO manuel</t>
        </is>
      </c>
      <c r="E1263" t="inlineStr">
        <is>
          <t>H2</t>
        </is>
      </c>
      <c r="F1263" s="5" t="inlineStr">
        <is>
          <t>Commercial investigation</t>
        </is>
      </c>
      <c r="G1263" t="inlineStr">
        <is>
          <t>audit seo gratuit</t>
        </is>
      </c>
      <c r="H1263" t="inlineStr">
        <is>
          <t>SUPPORTS PRIMARY</t>
        </is>
      </c>
      <c r="I1263" t="inlineStr">
        <is>
          <t>fr</t>
        </is>
      </c>
      <c r="J1263" t="n">
        <v>1900</v>
      </c>
      <c r="K1263" t="n">
        <v>31</v>
      </c>
      <c r="L1263" t="n">
        <v>2.46</v>
      </c>
      <c r="M1263" t="inlineStr">
        <is>
          <t>MEASURED</t>
        </is>
      </c>
      <c r="N1263" t="inlineStr">
        <is>
          <t>Yes</t>
        </is>
      </c>
      <c r="O1263" s="5" t="inlineStr">
        <is>
          <t>Covered - keep wording; no change</t>
        </is>
      </c>
      <c r="P1263" s="5" t="inlineStr"/>
      <c r="Q1263" t="inlineStr">
        <is>
          <t>P2</t>
        </is>
      </c>
      <c r="R1263" t="n">
        <v>150</v>
      </c>
      <c r="S1263" s="5" t="inlineStr">
        <is>
          <t xml:space="preserve">Découvrez comment notre analyseur automatisé gratuit se compare à l'embauche d'un consultant SEO pour un audit manuel. Économisez des milliers de dollars et des semaines d'attente. Feature Audit manuel Analyseur de site </t>
        </is>
      </c>
    </row>
    <row r="1264">
      <c r="A1264" s="3" t="inlineStr">
        <is>
          <t>https://codesommet.com/tools/website-analyzer</t>
        </is>
      </c>
      <c r="B1264" t="n">
        <v>7</v>
      </c>
      <c r="C1264" t="inlineStr">
        <is>
          <t>FAQ</t>
        </is>
      </c>
      <c r="D1264" s="5" t="inlineStr">
        <is>
          <t>Questions Fréquemment Posées</t>
        </is>
      </c>
      <c r="E1264" t="inlineStr">
        <is>
          <t>H2</t>
        </is>
      </c>
      <c r="F1264" s="5" t="inlineStr">
        <is>
          <t>Informational (pre-purchase questions)</t>
        </is>
      </c>
      <c r="G1264" t="inlineStr">
        <is>
          <t>audit seo gratuit</t>
        </is>
      </c>
      <c r="H1264" t="inlineStr">
        <is>
          <t>SUPPORTS PRIMARY</t>
        </is>
      </c>
      <c r="I1264" t="inlineStr">
        <is>
          <t>fr</t>
        </is>
      </c>
      <c r="J1264" t="n">
        <v>1900</v>
      </c>
      <c r="K1264" t="n">
        <v>31</v>
      </c>
      <c r="L1264" t="n">
        <v>2.46</v>
      </c>
      <c r="M1264" t="inlineStr">
        <is>
          <t>MEASURED</t>
        </is>
      </c>
      <c r="N1264" t="inlineStr">
        <is>
          <t>Yes (supporting block)</t>
        </is>
      </c>
      <c r="O1264" s="5" t="inlineStr">
        <is>
          <t>Supports the primary topic - add only if natural</t>
        </is>
      </c>
      <c r="P1264" s="5" t="inlineStr"/>
      <c r="Q1264" t="inlineStr">
        <is>
          <t>P2</t>
        </is>
      </c>
      <c r="R1264" t="n">
        <v>522</v>
      </c>
      <c r="S1264" s="5" t="inlineStr">
        <is>
          <t>Questions courantes sur cet outil et comment l'utiliser efficacement 1 Que vérifie l'Analyseur de site web ? L'Analyseur de site web effectue plus de 40 vérifications complètes dans 5 catégories : Analyse SEO (balises me</t>
        </is>
      </c>
    </row>
    <row r="1265">
      <c r="A1265" s="3" t="inlineStr">
        <is>
          <t>https://codesommet.com/tools/website-analyzer</t>
        </is>
      </c>
      <c r="B1265" t="n">
        <v>8</v>
      </c>
      <c r="C1265" t="inlineStr">
        <is>
          <t>CTA / conversion</t>
        </is>
      </c>
      <c r="D1265" s="5" t="inlineStr">
        <is>
          <t>Besoin d'un Outil Personnalisé pour Votre Entreprise ?</t>
        </is>
      </c>
      <c r="E1265" t="inlineStr">
        <is>
          <t>H2</t>
        </is>
      </c>
      <c r="F1265" s="5" t="inlineStr">
        <is>
          <t>Conversion</t>
        </is>
      </c>
      <c r="G1265" t="inlineStr">
        <is>
          <t>—</t>
        </is>
      </c>
      <c r="H1265" t="inlineStr">
        <is>
          <t>NONE</t>
        </is>
      </c>
      <c r="I1265" t="inlineStr">
        <is>
          <t>—</t>
        </is>
      </c>
      <c r="J1265" t="inlineStr">
        <is>
          <t>—</t>
        </is>
      </c>
      <c r="K1265" t="inlineStr">
        <is>
          <t>—</t>
        </is>
      </c>
      <c r="L1265" t="inlineStr">
        <is>
          <t>—</t>
        </is>
      </c>
      <c r="M1265" t="inlineStr">
        <is>
          <t>—</t>
        </is>
      </c>
      <c r="N1265" t="inlineStr">
        <is>
          <t>n/a</t>
        </is>
      </c>
      <c r="O1265" s="5" t="inlineStr">
        <is>
          <t>No keyword target - keep conversion/navigation focus; use descriptive, non-repeated anchor texts</t>
        </is>
      </c>
      <c r="P1265" s="5" t="inlineStr"/>
      <c r="Q1265" t="inlineStr">
        <is>
          <t>P2</t>
        </is>
      </c>
      <c r="R1265" t="n">
        <v>112</v>
      </c>
      <c r="S1265" s="5" t="inlineStr">
        <is>
          <t>Nous créons des outils alimentés par l'IA, des tableaux de bord et des automatisations qui génèrent de vrais résultats Réserver un Appel Découverte 50+ projets réussis • Livraison en 48h • Sans engagement à long terme Si</t>
        </is>
      </c>
    </row>
    <row r="1266">
      <c r="A1266" s="3" t="inlineStr">
        <is>
          <t>https://codesommet.com/tools/website-readiness-checker</t>
        </is>
      </c>
      <c r="B1266" t="n">
        <v>1</v>
      </c>
      <c r="C1266" t="inlineStr">
        <is>
          <t>Hero / H1</t>
        </is>
      </c>
      <c r="D1266" s="5" t="inlineStr">
        <is>
          <t>Vérificateur de Préparation de Site Web Gratuit</t>
        </is>
      </c>
      <c r="E1266" t="inlineStr">
        <is>
          <t>H1</t>
        </is>
      </c>
      <c r="F1266" s="5" t="inlineStr">
        <is>
          <t>Informational / tool use</t>
        </is>
      </c>
      <c r="G1266" t="inlineStr">
        <is>
          <t>checklist mise en ligne site</t>
        </is>
      </c>
      <c r="H1266" t="inlineStr">
        <is>
          <t>PRIMARY</t>
        </is>
      </c>
      <c r="I1266" t="inlineStr">
        <is>
          <t>fr</t>
        </is>
      </c>
      <c r="J1266" t="inlineStr">
        <is>
          <t>NOT AVAILABLE</t>
        </is>
      </c>
      <c r="K1266" t="inlineStr">
        <is>
          <t>NOT AVAILABLE</t>
        </is>
      </c>
      <c r="L1266" t="inlineStr">
        <is>
          <t>NOT AVAILABLE</t>
        </is>
      </c>
      <c r="M1266" t="inlineStr">
        <is>
          <t>UNAVAILABLE</t>
        </is>
      </c>
      <c r="N1266" t="inlineStr">
        <is>
          <t>Partly</t>
        </is>
      </c>
      <c r="O1266" s="5" t="inlineStr">
        <is>
          <t>Work "checklist mise en ligne site" (or a close natural variant) into existing copy - no new heading needed</t>
        </is>
      </c>
      <c r="P1266" s="5" t="inlineStr">
        <is>
          <t>Keyword/variant absent from this section</t>
        </is>
      </c>
      <c r="Q1266" t="inlineStr">
        <is>
          <t>P3</t>
        </is>
      </c>
      <c r="R1266" t="n">
        <v>36</v>
      </c>
      <c r="S1266" s="5" t="inlineStr">
        <is>
          <t>Analyse complète en 14 points à travers les catégories SEO, Croissance, Performance et Sécurité - entièrement gratuit Gratuit • Aucune inscription requise URL du Site Web * Entrez l'URL complète incluant https:// Vérifie</t>
        </is>
      </c>
    </row>
    <row r="1267">
      <c r="A1267" s="3" t="inlineStr">
        <is>
          <t>https://codesommet.com/tools/website-readiness-checker</t>
        </is>
      </c>
      <c r="B1267" t="n">
        <v>2</v>
      </c>
      <c r="C1267" t="inlineStr">
        <is>
          <t>FAQ</t>
        </is>
      </c>
      <c r="D1267" s="5" t="inlineStr">
        <is>
          <t>Questions Fréquemment Posées</t>
        </is>
      </c>
      <c r="E1267" t="inlineStr">
        <is>
          <t>H2</t>
        </is>
      </c>
      <c r="F1267" s="5" t="inlineStr">
        <is>
          <t>Informational (pre-purchase questions)</t>
        </is>
      </c>
      <c r="G1267" t="inlineStr">
        <is>
          <t>checklist mise en ligne site</t>
        </is>
      </c>
      <c r="H1267" t="inlineStr">
        <is>
          <t>SUPPORTS PRIMARY</t>
        </is>
      </c>
      <c r="I1267" t="inlineStr">
        <is>
          <t>fr</t>
        </is>
      </c>
      <c r="J1267" t="inlineStr">
        <is>
          <t>NOT AVAILABLE</t>
        </is>
      </c>
      <c r="K1267" t="inlineStr">
        <is>
          <t>NOT AVAILABLE</t>
        </is>
      </c>
      <c r="L1267" t="inlineStr">
        <is>
          <t>NOT AVAILABLE</t>
        </is>
      </c>
      <c r="M1267" t="inlineStr">
        <is>
          <t>UNAVAILABLE</t>
        </is>
      </c>
      <c r="N1267" t="inlineStr">
        <is>
          <t>Yes (supporting block)</t>
        </is>
      </c>
      <c r="O1267" s="5" t="inlineStr">
        <is>
          <t>Supports the primary topic - add only if natural</t>
        </is>
      </c>
      <c r="P1267" s="5" t="inlineStr"/>
      <c r="Q1267" t="inlineStr">
        <is>
          <t>P3</t>
        </is>
      </c>
      <c r="R1267" t="n">
        <v>657</v>
      </c>
      <c r="S1267" s="5" t="inlineStr">
        <is>
          <t>Questions courantes sur cet outil et comment l'utiliser efficacement 1 Qu'analyse le Vérificateur de Préparation du Site Web ? Notre outil effectue une analyse complète en 14 points à travers 4 catégories critiques : SEO</t>
        </is>
      </c>
    </row>
    <row r="1268">
      <c r="A1268" s="3" t="inlineStr">
        <is>
          <t>https://codesommet.com/tools/website-readiness-checker</t>
        </is>
      </c>
      <c r="B1268" t="n">
        <v>3</v>
      </c>
      <c r="C1268" t="inlineStr">
        <is>
          <t>Internal-link block</t>
        </is>
      </c>
      <c r="D1268" s="5" t="inlineStr">
        <is>
          <t>Outils Connexes Qui Pourraient Vous Intéresser</t>
        </is>
      </c>
      <c r="E1268" t="inlineStr">
        <is>
          <t>H2</t>
        </is>
      </c>
      <c r="F1268" s="5" t="inlineStr">
        <is>
          <t>Navigation</t>
        </is>
      </c>
      <c r="G1268" t="inlineStr">
        <is>
          <t>—</t>
        </is>
      </c>
      <c r="H1268" t="inlineStr">
        <is>
          <t>NONE</t>
        </is>
      </c>
      <c r="I1268" t="inlineStr">
        <is>
          <t>—</t>
        </is>
      </c>
      <c r="J1268" t="inlineStr">
        <is>
          <t>—</t>
        </is>
      </c>
      <c r="K1268" t="inlineStr">
        <is>
          <t>—</t>
        </is>
      </c>
      <c r="L1268" t="inlineStr">
        <is>
          <t>—</t>
        </is>
      </c>
      <c r="M1268" t="inlineStr">
        <is>
          <t>—</t>
        </is>
      </c>
      <c r="N1268" t="inlineStr">
        <is>
          <t>n/a</t>
        </is>
      </c>
      <c r="O1268" s="5" t="inlineStr">
        <is>
          <t>No keyword target - keep conversion/navigation focus; use descriptive, non-repeated anchor texts</t>
        </is>
      </c>
      <c r="P1268" s="5" t="inlineStr"/>
      <c r="Q1268" t="inlineStr">
        <is>
          <t>P4</t>
        </is>
      </c>
      <c r="R1268" t="n">
        <v>82</v>
      </c>
      <c r="S1268" s="5" t="inlineStr">
        <is>
          <t>Continuez à optimiser votre site web avec ces outils complémentaires Vérificateur de Santé du Domaine 12 vérifications complètes pour le SEO technique et la santé on-page Essayez gratuitement seo Aperçu Open Graph Prévis</t>
        </is>
      </c>
    </row>
    <row r="1269">
      <c r="A1269" s="3" t="inlineStr">
        <is>
          <t>https://codesommet.com/tools/website-readiness-checker</t>
        </is>
      </c>
      <c r="B1269" t="n">
        <v>4</v>
      </c>
      <c r="C1269" t="inlineStr">
        <is>
          <t>CTA / conversion</t>
        </is>
      </c>
      <c r="D1269" s="5" t="inlineStr">
        <is>
          <t>Besoin d'un Outil Personnalisé pour Votre Entreprise ?</t>
        </is>
      </c>
      <c r="E1269" t="inlineStr">
        <is>
          <t>H2</t>
        </is>
      </c>
      <c r="F1269" s="5" t="inlineStr">
        <is>
          <t>Conversion</t>
        </is>
      </c>
      <c r="G1269" t="inlineStr">
        <is>
          <t>—</t>
        </is>
      </c>
      <c r="H1269" t="inlineStr">
        <is>
          <t>NONE</t>
        </is>
      </c>
      <c r="I1269" t="inlineStr">
        <is>
          <t>—</t>
        </is>
      </c>
      <c r="J1269" t="inlineStr">
        <is>
          <t>—</t>
        </is>
      </c>
      <c r="K1269" t="inlineStr">
        <is>
          <t>—</t>
        </is>
      </c>
      <c r="L1269" t="inlineStr">
        <is>
          <t>—</t>
        </is>
      </c>
      <c r="M1269" t="inlineStr">
        <is>
          <t>—</t>
        </is>
      </c>
      <c r="N1269" t="inlineStr">
        <is>
          <t>n/a</t>
        </is>
      </c>
      <c r="O1269" s="5" t="inlineStr">
        <is>
          <t>No keyword target - keep conversion/navigation focus; use descriptive, non-repeated anchor texts</t>
        </is>
      </c>
      <c r="P1269" s="5" t="inlineStr"/>
      <c r="Q1269" t="inlineStr">
        <is>
          <t>P4</t>
        </is>
      </c>
      <c r="R1269" t="n">
        <v>112</v>
      </c>
      <c r="S1269" s="5" t="inlineStr">
        <is>
          <t>Nous créons des outils alimentés par l'IA, des tableaux de bord et des automatisations qui génèrent de vrais résultats Réserver un Appel Découverte 50+ projets réussis • Livraison en 48h • Sans engagement à long terme Si</t>
        </is>
      </c>
    </row>
    <row r="1270">
      <c r="A1270" s="3" t="inlineStr">
        <is>
          <t>https://codesommet.com/tools/word-counter</t>
        </is>
      </c>
      <c r="B1270" t="n">
        <v>1</v>
      </c>
      <c r="C1270" t="inlineStr">
        <is>
          <t>Hero / H1</t>
        </is>
      </c>
      <c r="D1270" s="5" t="inlineStr">
        <is>
          <t>Compteur de Mots et de Caractères Gratuit</t>
        </is>
      </c>
      <c r="E1270" t="inlineStr">
        <is>
          <t>H1</t>
        </is>
      </c>
      <c r="F1270" s="5" t="inlineStr">
        <is>
          <t>Informational / tool use</t>
        </is>
      </c>
      <c r="G1270" t="inlineStr">
        <is>
          <t>compteur de mots</t>
        </is>
      </c>
      <c r="H1270" t="inlineStr">
        <is>
          <t>PRIMARY</t>
        </is>
      </c>
      <c r="I1270" t="inlineStr">
        <is>
          <t>fr</t>
        </is>
      </c>
      <c r="J1270" t="n">
        <v>18100</v>
      </c>
      <c r="K1270" t="n">
        <v>32</v>
      </c>
      <c r="L1270" t="n">
        <v>0.03</v>
      </c>
      <c r="M1270" t="inlineStr">
        <is>
          <t>MEASURED</t>
        </is>
      </c>
      <c r="N1270" t="inlineStr">
        <is>
          <t>Yes</t>
        </is>
      </c>
      <c r="O1270" s="5" t="inlineStr">
        <is>
          <t>Covered - keep wording; no change</t>
        </is>
      </c>
      <c r="P1270" s="5" t="inlineStr"/>
      <c r="Q1270" t="inlineStr">
        <is>
          <t>P3</t>
        </is>
      </c>
      <c r="R1270" t="n">
        <v>40</v>
      </c>
      <c r="S1270" s="5" t="inlineStr">
        <is>
          <t>Comptez les mots, les caractères, les phrases et les paragraphes. Vérifiez les limites de caractères spécifiques aux plateformes pour Twitter, les meta descriptions et plus encore. Gratuit • Aucune inscription requise Co</t>
        </is>
      </c>
    </row>
    <row r="1271">
      <c r="A1271" s="3" t="inlineStr">
        <is>
          <t>https://codesommet.com/tools/word-counter</t>
        </is>
      </c>
      <c r="B1271" t="n">
        <v>2</v>
      </c>
      <c r="C1271" t="inlineStr">
        <is>
          <t>FAQ</t>
        </is>
      </c>
      <c r="D1271" s="5" t="inlineStr">
        <is>
          <t>Questions Fréquemment Posées</t>
        </is>
      </c>
      <c r="E1271" t="inlineStr">
        <is>
          <t>H2</t>
        </is>
      </c>
      <c r="F1271" s="5" t="inlineStr">
        <is>
          <t>Informational (pre-purchase questions)</t>
        </is>
      </c>
      <c r="G1271" t="inlineStr">
        <is>
          <t>compteur de mots</t>
        </is>
      </c>
      <c r="H1271" t="inlineStr">
        <is>
          <t>SUPPORTS PRIMARY</t>
        </is>
      </c>
      <c r="I1271" t="inlineStr">
        <is>
          <t>fr</t>
        </is>
      </c>
      <c r="J1271" t="n">
        <v>18100</v>
      </c>
      <c r="K1271" t="n">
        <v>32</v>
      </c>
      <c r="L1271" t="n">
        <v>0.03</v>
      </c>
      <c r="M1271" t="inlineStr">
        <is>
          <t>MEASURED</t>
        </is>
      </c>
      <c r="N1271" t="inlineStr">
        <is>
          <t>Yes (supporting block)</t>
        </is>
      </c>
      <c r="O1271" s="5" t="inlineStr">
        <is>
          <t>Supports the primary topic - add only if natural</t>
        </is>
      </c>
      <c r="P1271" s="5" t="inlineStr"/>
      <c r="Q1271" t="inlineStr">
        <is>
          <t>P3</t>
        </is>
      </c>
      <c r="R1271" t="n">
        <v>498</v>
      </c>
      <c r="S1271" s="5" t="inlineStr">
        <is>
          <t>Questions courantes sur cet outil et comment l'utiliser efficacement 1 Quelle est la longueur idéale d'un article de blog pour le SEO ? Pour le SEO, les articles de blog performent généralement mieux entre 1 500 et 2 500</t>
        </is>
      </c>
    </row>
    <row r="1272">
      <c r="A1272" s="3" t="inlineStr">
        <is>
          <t>https://codesommet.com/tools/word-counter</t>
        </is>
      </c>
      <c r="B1272" t="n">
        <v>3</v>
      </c>
      <c r="C1272" t="inlineStr">
        <is>
          <t>Internal-link block</t>
        </is>
      </c>
      <c r="D1272" s="5" t="inlineStr">
        <is>
          <t>Outils Connexes Qui Pourraient Vous Intéresser</t>
        </is>
      </c>
      <c r="E1272" t="inlineStr">
        <is>
          <t>H2</t>
        </is>
      </c>
      <c r="F1272" s="5" t="inlineStr">
        <is>
          <t>Navigation</t>
        </is>
      </c>
      <c r="G1272" t="inlineStr">
        <is>
          <t>—</t>
        </is>
      </c>
      <c r="H1272" t="inlineStr">
        <is>
          <t>NONE</t>
        </is>
      </c>
      <c r="I1272" t="inlineStr">
        <is>
          <t>—</t>
        </is>
      </c>
      <c r="J1272" t="inlineStr">
        <is>
          <t>—</t>
        </is>
      </c>
      <c r="K1272" t="inlineStr">
        <is>
          <t>—</t>
        </is>
      </c>
      <c r="L1272" t="inlineStr">
        <is>
          <t>—</t>
        </is>
      </c>
      <c r="M1272" t="inlineStr">
        <is>
          <t>—</t>
        </is>
      </c>
      <c r="N1272" t="inlineStr">
        <is>
          <t>n/a</t>
        </is>
      </c>
      <c r="O1272" s="5" t="inlineStr">
        <is>
          <t>No keyword target - keep conversion/navigation focus; use descriptive, non-repeated anchor texts</t>
        </is>
      </c>
      <c r="P1272" s="5" t="inlineStr"/>
      <c r="Q1272" t="inlineStr">
        <is>
          <t>P4</t>
        </is>
      </c>
      <c r="R1272" t="n">
        <v>92</v>
      </c>
      <c r="S1272" s="5" t="inlineStr">
        <is>
          <t>Continuez à optimiser votre site web avec ces outils complémentaires Analyseur de Score de Lisibilité Analysez la lisibilité du texte avec 5 algorithmes et niveaux scolaires Essayez gratuitement content Convertisseur HTM</t>
        </is>
      </c>
    </row>
    <row r="1273">
      <c r="A1273" s="3" t="inlineStr">
        <is>
          <t>https://codesommet.com/tools/word-counter</t>
        </is>
      </c>
      <c r="B1273" t="n">
        <v>4</v>
      </c>
      <c r="C1273" t="inlineStr">
        <is>
          <t>CTA / conversion</t>
        </is>
      </c>
      <c r="D1273" s="5" t="inlineStr">
        <is>
          <t>Besoin d'un Outil Personnalisé pour Votre Entreprise ?</t>
        </is>
      </c>
      <c r="E1273" t="inlineStr">
        <is>
          <t>H2</t>
        </is>
      </c>
      <c r="F1273" s="5" t="inlineStr">
        <is>
          <t>Conversion</t>
        </is>
      </c>
      <c r="G1273" t="inlineStr">
        <is>
          <t>—</t>
        </is>
      </c>
      <c r="H1273" t="inlineStr">
        <is>
          <t>NONE</t>
        </is>
      </c>
      <c r="I1273" t="inlineStr">
        <is>
          <t>—</t>
        </is>
      </c>
      <c r="J1273" t="inlineStr">
        <is>
          <t>—</t>
        </is>
      </c>
      <c r="K1273" t="inlineStr">
        <is>
          <t>—</t>
        </is>
      </c>
      <c r="L1273" t="inlineStr">
        <is>
          <t>—</t>
        </is>
      </c>
      <c r="M1273" t="inlineStr">
        <is>
          <t>—</t>
        </is>
      </c>
      <c r="N1273" t="inlineStr">
        <is>
          <t>n/a</t>
        </is>
      </c>
      <c r="O1273" s="5" t="inlineStr">
        <is>
          <t>No keyword target - keep conversion/navigation focus; use descriptive, non-repeated anchor texts</t>
        </is>
      </c>
      <c r="P1273" s="5" t="inlineStr"/>
      <c r="Q1273" t="inlineStr">
        <is>
          <t>P4</t>
        </is>
      </c>
      <c r="R1273" t="n">
        <v>112</v>
      </c>
      <c r="S1273" s="5" t="inlineStr">
        <is>
          <t>Nous créons des outils alimentés par l'IA, des tableaux de bord et des automatisations qui génèrent de vrais résultats Réserver un Appel Découverte 50+ projets réussis • Livraison en 48h • Sans engagement à long terme Si</t>
        </is>
      </c>
    </row>
    <row r="1274">
      <c r="A1274" s="3" t="inlineStr">
        <is>
          <t>https://codesommet.com/tools/xml-sitemap-generator</t>
        </is>
      </c>
      <c r="B1274" t="n">
        <v>1</v>
      </c>
      <c r="C1274" t="inlineStr">
        <is>
          <t>Hero / H1</t>
        </is>
      </c>
      <c r="D1274" s="5" t="inlineStr">
        <is>
          <t>Générateur de Sitemap XML Gratuit</t>
        </is>
      </c>
      <c r="E1274" t="inlineStr">
        <is>
          <t>H1</t>
        </is>
      </c>
      <c r="F1274" s="5" t="inlineStr">
        <is>
          <t>Informational / tool use</t>
        </is>
      </c>
      <c r="G1274" t="inlineStr">
        <is>
          <t>sitemap xml</t>
        </is>
      </c>
      <c r="H1274" t="inlineStr">
        <is>
          <t>PRIMARY</t>
        </is>
      </c>
      <c r="I1274" t="inlineStr">
        <is>
          <t>fr</t>
        </is>
      </c>
      <c r="J1274" t="n">
        <v>720</v>
      </c>
      <c r="K1274" t="n">
        <v>39</v>
      </c>
      <c r="L1274" t="n">
        <v>1.45</v>
      </c>
      <c r="M1274" t="inlineStr">
        <is>
          <t>MEASURED</t>
        </is>
      </c>
      <c r="N1274" t="inlineStr">
        <is>
          <t>Yes</t>
        </is>
      </c>
      <c r="O1274" s="5" t="inlineStr">
        <is>
          <t>Covered - keep wording; no change</t>
        </is>
      </c>
      <c r="P1274" s="5" t="inlineStr"/>
      <c r="Q1274" t="inlineStr">
        <is>
          <t>P3</t>
        </is>
      </c>
      <c r="R1274" t="n">
        <v>75</v>
      </c>
      <c r="S1274" s="5" t="inlineStr">
        <is>
          <t>Générez des sitemaps XML optimisés SEO pour une meilleure exploration par les moteurs de recherche Gratuit • Aucune inscription requise URLs * Entrez une URL par ligne. Appuyez sur Ctrl/Cmd + Entrée pour générer. Fréquen</t>
        </is>
      </c>
    </row>
    <row r="1275">
      <c r="A1275" s="3" t="inlineStr">
        <is>
          <t>https://codesommet.com/tools/xml-sitemap-generator</t>
        </is>
      </c>
      <c r="B1275" t="n">
        <v>2</v>
      </c>
      <c r="C1275" t="inlineStr">
        <is>
          <t>Content block</t>
        </is>
      </c>
      <c r="D1275" s="5" t="inlineStr">
        <is>
          <t>Trouver les URL en explorant votre site</t>
        </is>
      </c>
      <c r="E1275" t="inlineStr">
        <is>
          <t>H2</t>
        </is>
      </c>
      <c r="F1275" s="5" t="inlineStr">
        <is>
          <t>Informational / tool use</t>
        </is>
      </c>
      <c r="G1275" t="inlineStr">
        <is>
          <t>sitemap generator</t>
        </is>
      </c>
      <c r="H1275" t="inlineStr">
        <is>
          <t>SECONDARY</t>
        </is>
      </c>
      <c r="I1275" t="inlineStr">
        <is>
          <t>fr</t>
        </is>
      </c>
      <c r="J1275" t="n">
        <v>480</v>
      </c>
      <c r="K1275" t="n">
        <v>51</v>
      </c>
      <c r="L1275" t="n">
        <v>1.69</v>
      </c>
      <c r="M1275" t="inlineStr">
        <is>
          <t>MEASURED</t>
        </is>
      </c>
      <c r="N1275" t="inlineStr">
        <is>
          <t>Partly</t>
        </is>
      </c>
      <c r="O1275" s="5" t="inlineStr">
        <is>
          <t>Work "sitemap generator" (or a close natural variant) into existing copy - no new heading needed</t>
        </is>
      </c>
      <c r="P1275" s="5" t="inlineStr">
        <is>
          <t>Keyword/variant absent from this section</t>
        </is>
      </c>
      <c r="Q1275" t="inlineStr">
        <is>
          <t>P3</t>
        </is>
      </c>
      <c r="R1275" t="n">
        <v>57</v>
      </c>
      <c r="S1275" s="5" t="inlineStr">
        <is>
          <t>Plutôt que de coller les adresses à la main, laissez l'outil suivre vos liens internes (jusqu'à 50 pages) : seules les pages indexables et canoniques sont ajoutées au générateur ci-dessus. Page de départ Explorer et remp</t>
        </is>
      </c>
    </row>
    <row r="1276">
      <c r="A1276" s="3" t="inlineStr">
        <is>
          <t>https://codesommet.com/tools/xml-sitemap-generator</t>
        </is>
      </c>
      <c r="B1276" t="n">
        <v>3</v>
      </c>
      <c r="C1276" t="inlineStr">
        <is>
          <t>Content block</t>
        </is>
      </c>
      <c r="D1276" s="5" t="inlineStr">
        <is>
          <t>Comment utiliser cet outil</t>
        </is>
      </c>
      <c r="E1276" t="inlineStr">
        <is>
          <t>H2</t>
        </is>
      </c>
      <c r="F1276" s="5" t="inlineStr">
        <is>
          <t>Informational / tool use</t>
        </is>
      </c>
      <c r="G1276" t="inlineStr">
        <is>
          <t>générateur sitemap</t>
        </is>
      </c>
      <c r="H1276" t="inlineStr">
        <is>
          <t>SUPPORTING</t>
        </is>
      </c>
      <c r="I1276" t="inlineStr">
        <is>
          <t>fr</t>
        </is>
      </c>
      <c r="J1276" t="n">
        <v>20</v>
      </c>
      <c r="K1276" t="inlineStr">
        <is>
          <t>NOT AVAILABLE</t>
        </is>
      </c>
      <c r="L1276" t="n">
        <v>0</v>
      </c>
      <c r="M1276" t="inlineStr">
        <is>
          <t>MEASURED</t>
        </is>
      </c>
      <c r="N1276" t="inlineStr">
        <is>
          <t>Yes (supporting block)</t>
        </is>
      </c>
      <c r="O1276" s="5" t="inlineStr">
        <is>
          <t>Supports the primary topic - add only if natural</t>
        </is>
      </c>
      <c r="P1276" s="5" t="inlineStr"/>
      <c r="Q1276" t="inlineStr">
        <is>
          <t>P3</t>
        </is>
      </c>
      <c r="R1276" t="n">
        <v>95</v>
      </c>
      <c r="S1276" s="5" t="inlineStr">
        <is>
          <t>1 Entrez Vos URL Ajoutez une URL par ligne. Incluez votre page d'accueil, les pages importantes, les articles de blog, etc. 2 Configurer les Paramètres Définissez la fréquence de modification (à quelle fréquence les page</t>
        </is>
      </c>
    </row>
    <row r="1277">
      <c r="A1277" s="3" t="inlineStr">
        <is>
          <t>https://codesommet.com/tools/xml-sitemap-generator</t>
        </is>
      </c>
      <c r="B1277" t="n">
        <v>4</v>
      </c>
      <c r="C1277" t="inlineStr">
        <is>
          <t>Content block</t>
        </is>
      </c>
      <c r="D1277" s="5" t="inlineStr">
        <is>
          <t>Meilleures Pratiques pour les Sitemaps XML</t>
        </is>
      </c>
      <c r="E1277" t="inlineStr">
        <is>
          <t>H2</t>
        </is>
      </c>
      <c r="F1277" s="5" t="inlineStr">
        <is>
          <t>Informational / tool use</t>
        </is>
      </c>
      <c r="G1277" t="inlineStr">
        <is>
          <t>créer sitemap xml</t>
        </is>
      </c>
      <c r="H1277" t="inlineStr">
        <is>
          <t>SUPPORTING</t>
        </is>
      </c>
      <c r="I1277" t="inlineStr">
        <is>
          <t>fr</t>
        </is>
      </c>
      <c r="J1277" t="n">
        <v>20</v>
      </c>
      <c r="K1277" t="inlineStr">
        <is>
          <t>NOT AVAILABLE</t>
        </is>
      </c>
      <c r="L1277" t="n">
        <v>0</v>
      </c>
      <c r="M1277" t="inlineStr">
        <is>
          <t>MEASURED</t>
        </is>
      </c>
      <c r="N1277" t="inlineStr">
        <is>
          <t>Yes (supporting block)</t>
        </is>
      </c>
      <c r="O1277" s="5" t="inlineStr">
        <is>
          <t>Supports the primary topic - add only if natural</t>
        </is>
      </c>
      <c r="P1277" s="5" t="inlineStr"/>
      <c r="Q1277" t="inlineStr">
        <is>
          <t>P3</t>
        </is>
      </c>
      <c r="R1277" t="n">
        <v>85</v>
      </c>
      <c r="S1277" s="5" t="inlineStr">
        <is>
          <t>Incluez Uniquement les Pages Importantes N'incluez pas les pages admin, les pages de remerciement ou le contenu dupliqué Gardez Moins de 50 000 URL Divisez en plusieurs sitemaps si vous avez plus de pages Utilisez des UR</t>
        </is>
      </c>
    </row>
    <row r="1278">
      <c r="A1278" s="3" t="inlineStr">
        <is>
          <t>https://codesommet.com/tools/xml-sitemap-generator</t>
        </is>
      </c>
      <c r="B1278" t="n">
        <v>5</v>
      </c>
      <c r="C1278" t="inlineStr">
        <is>
          <t>Services / features</t>
        </is>
      </c>
      <c r="D1278" s="5" t="inlineStr">
        <is>
          <t>Comprendre les Paramètres du Sitemap</t>
        </is>
      </c>
      <c r="E1278" t="inlineStr">
        <is>
          <t>H2</t>
        </is>
      </c>
      <c r="F1278" s="5" t="inlineStr">
        <is>
          <t>Informational / tool use</t>
        </is>
      </c>
      <c r="G1278" t="inlineStr">
        <is>
          <t>sitemap generator</t>
        </is>
      </c>
      <c r="H1278" t="inlineStr">
        <is>
          <t>SECONDARY</t>
        </is>
      </c>
      <c r="I1278" t="inlineStr">
        <is>
          <t>fr</t>
        </is>
      </c>
      <c r="J1278" t="n">
        <v>480</v>
      </c>
      <c r="K1278" t="n">
        <v>51</v>
      </c>
      <c r="L1278" t="n">
        <v>1.69</v>
      </c>
      <c r="M1278" t="inlineStr">
        <is>
          <t>MEASURED</t>
        </is>
      </c>
      <c r="N1278" t="inlineStr">
        <is>
          <t>Partly</t>
        </is>
      </c>
      <c r="O1278" s="5" t="inlineStr">
        <is>
          <t>Work "sitemap generator" (or a close natural variant) into existing copy - no new heading needed</t>
        </is>
      </c>
      <c r="P1278" s="5" t="inlineStr">
        <is>
          <t>Keyword/variant absent from this section</t>
        </is>
      </c>
      <c r="Q1278" t="inlineStr">
        <is>
          <t>P3</t>
        </is>
      </c>
      <c r="R1278" t="n">
        <v>71</v>
      </c>
      <c r="S1278" s="5" t="inlineStr">
        <is>
          <t xml:space="preserve">Change Frequency always: Documents that change each time they're accessed hourly: News sites, live data feeds daily: Blogs, news sections weekly: Regular content updates (most common) monthly: Infrequently updated pages </t>
        </is>
      </c>
    </row>
    <row r="1279">
      <c r="A1279" s="3" t="inlineStr">
        <is>
          <t>https://codesommet.com/tools/xml-sitemap-generator</t>
        </is>
      </c>
      <c r="B1279" t="n">
        <v>6</v>
      </c>
      <c r="C1279" t="inlineStr">
        <is>
          <t>FAQ</t>
        </is>
      </c>
      <c r="D1279" s="5" t="inlineStr">
        <is>
          <t>Questions Fréquemment Posées</t>
        </is>
      </c>
      <c r="E1279" t="inlineStr">
        <is>
          <t>H2</t>
        </is>
      </c>
      <c r="F1279" s="5" t="inlineStr">
        <is>
          <t>Informational (pre-purchase questions)</t>
        </is>
      </c>
      <c r="G1279" t="inlineStr">
        <is>
          <t>sitemap xml</t>
        </is>
      </c>
      <c r="H1279" t="inlineStr">
        <is>
          <t>SUPPORTS PRIMARY</t>
        </is>
      </c>
      <c r="I1279" t="inlineStr">
        <is>
          <t>fr</t>
        </is>
      </c>
      <c r="J1279" t="n">
        <v>720</v>
      </c>
      <c r="K1279" t="n">
        <v>39</v>
      </c>
      <c r="L1279" t="n">
        <v>1.45</v>
      </c>
      <c r="M1279" t="inlineStr">
        <is>
          <t>MEASURED</t>
        </is>
      </c>
      <c r="N1279" t="inlineStr">
        <is>
          <t>Yes</t>
        </is>
      </c>
      <c r="O1279" s="5" t="inlineStr">
        <is>
          <t>Covered - keep wording; no change</t>
        </is>
      </c>
      <c r="P1279" s="5" t="inlineStr"/>
      <c r="Q1279" t="inlineStr">
        <is>
          <t>P3</t>
        </is>
      </c>
      <c r="R1279" t="n">
        <v>514</v>
      </c>
      <c r="S1279" s="5" t="inlineStr">
        <is>
          <t>Questions courantes sur cet outil et comment l'utiliser efficacement 1 Qu'est-ce qu'un sitemap XML et pourquoi en ai-je besoin ? Un sitemap XML est un fichier qui liste toutes les pages importantes de votre site web pour</t>
        </is>
      </c>
    </row>
    <row r="1280">
      <c r="A1280" s="3" t="inlineStr">
        <is>
          <t>https://codesommet.com/tools/xml-sitemap-generator</t>
        </is>
      </c>
      <c r="B1280" t="n">
        <v>7</v>
      </c>
      <c r="C1280" t="inlineStr">
        <is>
          <t>Internal-link block</t>
        </is>
      </c>
      <c r="D1280" s="5" t="inlineStr">
        <is>
          <t>Outils Connexes Qui Pourraient Vous Intéresser</t>
        </is>
      </c>
      <c r="E1280" t="inlineStr">
        <is>
          <t>H2</t>
        </is>
      </c>
      <c r="F1280" s="5" t="inlineStr">
        <is>
          <t>Navigation</t>
        </is>
      </c>
      <c r="G1280" t="inlineStr">
        <is>
          <t>—</t>
        </is>
      </c>
      <c r="H1280" t="inlineStr">
        <is>
          <t>NONE</t>
        </is>
      </c>
      <c r="I1280" t="inlineStr">
        <is>
          <t>—</t>
        </is>
      </c>
      <c r="J1280" t="inlineStr">
        <is>
          <t>—</t>
        </is>
      </c>
      <c r="K1280" t="inlineStr">
        <is>
          <t>—</t>
        </is>
      </c>
      <c r="L1280" t="inlineStr">
        <is>
          <t>—</t>
        </is>
      </c>
      <c r="M1280" t="inlineStr">
        <is>
          <t>—</t>
        </is>
      </c>
      <c r="N1280" t="inlineStr">
        <is>
          <t>n/a</t>
        </is>
      </c>
      <c r="O1280" s="5" t="inlineStr">
        <is>
          <t>No keyword target - keep conversion/navigation focus; use descriptive, non-repeated anchor texts</t>
        </is>
      </c>
      <c r="P1280" s="5" t="inlineStr"/>
      <c r="Q1280" t="inlineStr">
        <is>
          <t>P4</t>
        </is>
      </c>
      <c r="R1280" t="n">
        <v>79</v>
      </c>
      <c r="S1280" s="5" t="inlineStr">
        <is>
          <t>Continuez à optimiser votre site web avec ces outils complémentaires Validateur de Sitemap Validez les sitemaps XML pour les meilleures pratiques SEO Essayez gratuitement seo Générateur Robots.txt Contrôlez l'exploration</t>
        </is>
      </c>
    </row>
    <row r="1281">
      <c r="A1281" s="3" t="inlineStr">
        <is>
          <t>https://codesommet.com/tools/xml-sitemap-generator</t>
        </is>
      </c>
      <c r="B1281" t="n">
        <v>8</v>
      </c>
      <c r="C1281" t="inlineStr">
        <is>
          <t>CTA / conversion</t>
        </is>
      </c>
      <c r="D1281" s="5" t="inlineStr">
        <is>
          <t>Besoin d'un Outil Personnalisé pour Votre Entreprise ?</t>
        </is>
      </c>
      <c r="E1281" t="inlineStr">
        <is>
          <t>H2</t>
        </is>
      </c>
      <c r="F1281" s="5" t="inlineStr">
        <is>
          <t>Conversion</t>
        </is>
      </c>
      <c r="G1281" t="inlineStr">
        <is>
          <t>—</t>
        </is>
      </c>
      <c r="H1281" t="inlineStr">
        <is>
          <t>NONE</t>
        </is>
      </c>
      <c r="I1281" t="inlineStr">
        <is>
          <t>—</t>
        </is>
      </c>
      <c r="J1281" t="inlineStr">
        <is>
          <t>—</t>
        </is>
      </c>
      <c r="K1281" t="inlineStr">
        <is>
          <t>—</t>
        </is>
      </c>
      <c r="L1281" t="inlineStr">
        <is>
          <t>—</t>
        </is>
      </c>
      <c r="M1281" t="inlineStr">
        <is>
          <t>—</t>
        </is>
      </c>
      <c r="N1281" t="inlineStr">
        <is>
          <t>n/a</t>
        </is>
      </c>
      <c r="O1281" s="5" t="inlineStr">
        <is>
          <t>No keyword target - keep conversion/navigation focus; use descriptive, non-repeated anchor texts</t>
        </is>
      </c>
      <c r="P1281" s="5" t="inlineStr"/>
      <c r="Q1281" t="inlineStr">
        <is>
          <t>P4</t>
        </is>
      </c>
      <c r="R1281" t="n">
        <v>112</v>
      </c>
      <c r="S1281" s="5" t="inlineStr">
        <is>
          <t>Nous créons des outils alimentés par l'IA, des tableaux de bord et des automatisations qui génèrent de vrais résultats Réserver un Appel Découverte 50+ projets réussis • Livraison en 48h • Sans engagement à long terme Si</t>
        </is>
      </c>
    </row>
    <row r="1282">
      <c r="A1282" s="3" t="inlineStr">
        <is>
          <t>https://codesommet.com/our-work/akoubri</t>
        </is>
      </c>
      <c r="B1282" t="n">
        <v>1</v>
      </c>
      <c r="C1282" t="inlineStr">
        <is>
          <t>Hero / H1</t>
        </is>
      </c>
      <c r="D1282" s="5" t="inlineStr">
        <is>
          <t>Akoubri Site d'Architecte à Marrakech</t>
        </is>
      </c>
      <c r="E1282" t="inlineStr">
        <is>
          <t>H1</t>
        </is>
      </c>
      <c r="F1282" s="5" t="inlineStr">
        <is>
          <t>Commercial investigation (proof)</t>
        </is>
      </c>
      <c r="G1282" t="inlineStr">
        <is>
          <t>création site web architecte</t>
        </is>
      </c>
      <c r="H1282" t="inlineStr">
        <is>
          <t>PRIMARY</t>
        </is>
      </c>
      <c r="I1282" t="inlineStr">
        <is>
          <t>fr</t>
        </is>
      </c>
      <c r="J1282" t="n">
        <v>70</v>
      </c>
      <c r="K1282" t="n">
        <v>6</v>
      </c>
      <c r="L1282" t="n">
        <v>0</v>
      </c>
      <c r="M1282" t="inlineStr">
        <is>
          <t>MEASURED</t>
        </is>
      </c>
      <c r="N1282" t="inlineStr">
        <is>
          <t>Partly</t>
        </is>
      </c>
      <c r="O1282" s="5" t="inlineStr">
        <is>
          <t>Work "création site web architecte" (or a close natural variant) into existing copy - no new heading needed</t>
        </is>
      </c>
      <c r="P1282" s="5" t="inlineStr">
        <is>
          <t>Keyword/variant absent from this section</t>
        </is>
      </c>
      <c r="Q1282" t="inlineStr">
        <is>
          <t>P3</t>
        </is>
      </c>
      <c r="R1282" t="n">
        <v>67</v>
      </c>
      <c r="S1282" s="5" t="inlineStr">
        <is>
          <t>Cabinet d'Architecture &amp; Design d'Intérieur Site vitrine premium pour un cabinet d'architecture et de design d'intérieur basé à Marrakech : résidences, villas, bureaux et hébergement touristique présentés comme un vérita</t>
        </is>
      </c>
    </row>
    <row r="1283">
      <c r="A1283" s="3" t="inlineStr">
        <is>
          <t>https://codesommet.com/our-work/akoubri</t>
        </is>
      </c>
      <c r="B1283" t="n">
        <v>2</v>
      </c>
      <c r="C1283" t="inlineStr">
        <is>
          <t>Content block</t>
        </is>
      </c>
      <c r="D1283" s="5" t="inlineStr">
        <is>
          <t>Le Parcours</t>
        </is>
      </c>
      <c r="E1283" t="inlineStr">
        <is>
          <t>H2</t>
        </is>
      </c>
      <c r="F1283" s="5" t="inlineStr">
        <is>
          <t>Commercial investigation (proof)</t>
        </is>
      </c>
      <c r="G1283" t="inlineStr">
        <is>
          <t>site web architecte</t>
        </is>
      </c>
      <c r="H1283" t="inlineStr">
        <is>
          <t>SECONDARY</t>
        </is>
      </c>
      <c r="I1283" t="inlineStr">
        <is>
          <t>fr</t>
        </is>
      </c>
      <c r="J1283" t="n">
        <v>70</v>
      </c>
      <c r="K1283" t="n">
        <v>5</v>
      </c>
      <c r="L1283" t="n">
        <v>0.9</v>
      </c>
      <c r="M1283" t="inlineStr">
        <is>
          <t>MEASURED</t>
        </is>
      </c>
      <c r="N1283" t="inlineStr">
        <is>
          <t>Yes</t>
        </is>
      </c>
      <c r="O1283" s="5" t="inlineStr">
        <is>
          <t>Covered - keep wording; no change</t>
        </is>
      </c>
      <c r="P1283" s="5" t="inlineStr"/>
      <c r="Q1283" t="inlineStr">
        <is>
          <t>P3</t>
        </is>
      </c>
      <c r="R1283" t="n">
        <v>372</v>
      </c>
      <c r="S1283" s="5" t="inlineStr">
        <is>
          <t>Du défi à la solution Le Défi Le cabinet n'avait aucune vitrine à la hauteur de ses réalisations : ses rendus 3D et photos de chantier circulaient par WhatsApp, et les prospects ne pouvaient ni parcourir ses projets livr</t>
        </is>
      </c>
    </row>
    <row r="1284">
      <c r="A1284" s="3" t="inlineStr">
        <is>
          <t>https://codesommet.com/our-work/akoubri</t>
        </is>
      </c>
      <c r="B1284" t="n">
        <v>3</v>
      </c>
      <c r="C1284" t="inlineStr">
        <is>
          <t>Content block</t>
        </is>
      </c>
      <c r="D1284" s="5" t="inlineStr">
        <is>
          <t>Aperçu de l'Interface</t>
        </is>
      </c>
      <c r="E1284" t="inlineStr">
        <is>
          <t>H2</t>
        </is>
      </c>
      <c r="F1284" s="5" t="inlineStr">
        <is>
          <t>Commercial investigation (proof)</t>
        </is>
      </c>
      <c r="G1284" t="inlineStr">
        <is>
          <t>site architecte</t>
        </is>
      </c>
      <c r="H1284" t="inlineStr">
        <is>
          <t>SUPPORTING</t>
        </is>
      </c>
      <c r="I1284" t="inlineStr">
        <is>
          <t>fr</t>
        </is>
      </c>
      <c r="J1284" t="n">
        <v>110</v>
      </c>
      <c r="K1284" t="n">
        <v>43</v>
      </c>
      <c r="L1284" t="n">
        <v>0.74</v>
      </c>
      <c r="M1284" t="inlineStr">
        <is>
          <t>MEASURED</t>
        </is>
      </c>
      <c r="N1284" t="inlineStr">
        <is>
          <t>Yes (supporting block)</t>
        </is>
      </c>
      <c r="O1284" s="5" t="inlineStr">
        <is>
          <t>Supports the primary topic - add only if natural</t>
        </is>
      </c>
      <c r="P1284" s="5" t="inlineStr"/>
      <c r="Q1284" t="inlineStr">
        <is>
          <t>P3</t>
        </is>
      </c>
      <c r="R1284" t="n">
        <v>19</v>
      </c>
      <c r="S1284" s="5" t="inlineStr">
        <is>
          <t>Démonstration vidéo de l'interface livrée Optimisé Bureau Expérience époustouflante sur grands écrans Adapté Mobile Parfait sur téléphones et tablettes</t>
        </is>
      </c>
    </row>
    <row r="1285">
      <c r="A1285" s="3" t="inlineStr">
        <is>
          <t>https://codesommet.com/our-work/akoubri</t>
        </is>
      </c>
      <c r="B1285" t="n">
        <v>4</v>
      </c>
      <c r="C1285" t="inlineStr">
        <is>
          <t>Proof / portfolio / results</t>
        </is>
      </c>
      <c r="D1285" s="5" t="inlineStr">
        <is>
          <t>Impact Mesurable</t>
        </is>
      </c>
      <c r="E1285" t="inlineStr">
        <is>
          <t>H2</t>
        </is>
      </c>
      <c r="F1285" s="5" t="inlineStr">
        <is>
          <t>Commercial investigation</t>
        </is>
      </c>
      <c r="G1285" t="inlineStr">
        <is>
          <t>création site web architecte</t>
        </is>
      </c>
      <c r="H1285" t="inlineStr">
        <is>
          <t>SUPPORTS PRIMARY</t>
        </is>
      </c>
      <c r="I1285" t="inlineStr">
        <is>
          <t>fr</t>
        </is>
      </c>
      <c r="J1285" t="n">
        <v>70</v>
      </c>
      <c r="K1285" t="n">
        <v>6</v>
      </c>
      <c r="L1285" t="n">
        <v>0</v>
      </c>
      <c r="M1285" t="inlineStr">
        <is>
          <t>MEASURED</t>
        </is>
      </c>
      <c r="N1285" t="inlineStr">
        <is>
          <t>Yes (supporting block)</t>
        </is>
      </c>
      <c r="O1285" s="5" t="inlineStr">
        <is>
          <t>Supports the primary topic - add only if natural</t>
        </is>
      </c>
      <c r="P1285" s="5" t="inlineStr"/>
      <c r="Q1285" t="inlineStr">
        <is>
          <t>P3</t>
        </is>
      </c>
      <c r="R1285" t="n">
        <v>170</v>
      </c>
      <c r="S1285" s="5" t="inlineStr">
        <is>
          <t>Des chiffres réels. Une croissance réelle. Des résultats réels. 3 semaines Du Brief à la Mise en Ligne WCAG AA Accessibilité 8 Réalisations Présentées 102 Ko JavaScript Compressé (gzip) 6 Articles du Journal 100% statiqu</t>
        </is>
      </c>
    </row>
    <row r="1286">
      <c r="A1286" s="3" t="inlineStr">
        <is>
          <t>https://codesommet.com/our-work/akoubri</t>
        </is>
      </c>
      <c r="B1286" t="n">
        <v>5</v>
      </c>
      <c r="C1286" t="inlineStr">
        <is>
          <t>CTA / conversion</t>
        </is>
      </c>
      <c r="D1286" s="5" t="inlineStr">
        <is>
          <t>Prêt à Créer Quelque Chose d'Extraordinaire ?</t>
        </is>
      </c>
      <c r="E1286" t="inlineStr">
        <is>
          <t>H2</t>
        </is>
      </c>
      <c r="F1286" s="5" t="inlineStr">
        <is>
          <t>Conversion</t>
        </is>
      </c>
      <c r="G1286" t="inlineStr">
        <is>
          <t>—</t>
        </is>
      </c>
      <c r="H1286" t="inlineStr">
        <is>
          <t>NONE</t>
        </is>
      </c>
      <c r="I1286" t="inlineStr">
        <is>
          <t>—</t>
        </is>
      </c>
      <c r="J1286" t="inlineStr">
        <is>
          <t>—</t>
        </is>
      </c>
      <c r="K1286" t="inlineStr">
        <is>
          <t>—</t>
        </is>
      </c>
      <c r="L1286" t="inlineStr">
        <is>
          <t>—</t>
        </is>
      </c>
      <c r="M1286" t="inlineStr">
        <is>
          <t>—</t>
        </is>
      </c>
      <c r="N1286" t="inlineStr">
        <is>
          <t>n/a</t>
        </is>
      </c>
      <c r="O1286" s="5" t="inlineStr">
        <is>
          <t>No keyword target - keep conversion/navigation focus; use descriptive, non-repeated anchor texts</t>
        </is>
      </c>
      <c r="P1286" s="5" t="inlineStr"/>
      <c r="Q1286" t="inlineStr">
        <is>
          <t>P4</t>
        </is>
      </c>
      <c r="R1286" t="n">
        <v>119</v>
      </c>
      <c r="S1286" s="5" t="inlineStr">
        <is>
          <t>Vous voulez des résultats similaires ? Obtenez votre devis gratuit aujourd'hui Réserver un Appel Découverte Analyser Mon Site Gratuitement Réserver un Appel Découverte Analyser Votre Site Web Planifiez une consultation g</t>
        </is>
      </c>
    </row>
    <row r="1287">
      <c r="A1287" s="3" t="inlineStr">
        <is>
          <t>https://codesommet.com/our-work/authentic-morocco-adventures</t>
        </is>
      </c>
      <c r="B1287" t="n">
        <v>1</v>
      </c>
      <c r="C1287" t="inlineStr">
        <is>
          <t>Hero / H1</t>
        </is>
      </c>
      <c r="D1287" s="5" t="inlineStr">
        <is>
          <t>Authentic Morocco Adventures Circuits Privés</t>
        </is>
      </c>
      <c r="E1287" t="inlineStr">
        <is>
          <t>H1</t>
        </is>
      </c>
      <c r="F1287" s="5" t="inlineStr">
        <is>
          <t>Commercial investigation (proof)</t>
        </is>
      </c>
      <c r="G1287" t="inlineStr">
        <is>
          <t>site web agence de voyage</t>
        </is>
      </c>
      <c r="H1287" t="inlineStr">
        <is>
          <t>PRIMARY</t>
        </is>
      </c>
      <c r="I1287" t="inlineStr">
        <is>
          <t>fr</t>
        </is>
      </c>
      <c r="J1287" t="n">
        <v>70</v>
      </c>
      <c r="K1287" t="n">
        <v>10</v>
      </c>
      <c r="L1287" t="n">
        <v>0.79</v>
      </c>
      <c r="M1287" t="inlineStr">
        <is>
          <t>MEASURED</t>
        </is>
      </c>
      <c r="N1287" t="inlineStr">
        <is>
          <t>Partly</t>
        </is>
      </c>
      <c r="O1287" s="5" t="inlineStr">
        <is>
          <t>Work "site web agence de voyage" (or a close natural variant) into existing copy - no new heading needed</t>
        </is>
      </c>
      <c r="P1287" s="5" t="inlineStr">
        <is>
          <t>Keyword/variant absent from this section</t>
        </is>
      </c>
      <c r="Q1287" t="inlineStr">
        <is>
          <t>P3</t>
        </is>
      </c>
      <c r="R1287" t="n">
        <v>63</v>
      </c>
      <c r="S1287" s="5" t="inlineStr">
        <is>
          <t>Circuits Privés &amp; Voyages dans le Désert Refonte complète du site d'Authentic Morocco Adventures, guide privé basé à Marrakech : circuits dans le Sahara, excursions autour de Marrakech et treks dans l'Atlas réunis dans u</t>
        </is>
      </c>
    </row>
    <row r="1288">
      <c r="A1288" s="3" t="inlineStr">
        <is>
          <t>https://codesommet.com/our-work/authentic-morocco-adventures</t>
        </is>
      </c>
      <c r="B1288" t="n">
        <v>2</v>
      </c>
      <c r="C1288" t="inlineStr">
        <is>
          <t>Content block</t>
        </is>
      </c>
      <c r="D1288" s="5" t="inlineStr">
        <is>
          <t>Le Parcours</t>
        </is>
      </c>
      <c r="E1288" t="inlineStr">
        <is>
          <t>H2</t>
        </is>
      </c>
      <c r="F1288" s="5" t="inlineStr">
        <is>
          <t>Commercial investigation (proof)</t>
        </is>
      </c>
      <c r="G1288" t="inlineStr">
        <is>
          <t>site web agence de voyage</t>
        </is>
      </c>
      <c r="H1288" t="inlineStr">
        <is>
          <t>SUPPORTS PRIMARY</t>
        </is>
      </c>
      <c r="I1288" t="inlineStr">
        <is>
          <t>fr</t>
        </is>
      </c>
      <c r="J1288" t="n">
        <v>70</v>
      </c>
      <c r="K1288" t="n">
        <v>10</v>
      </c>
      <c r="L1288" t="n">
        <v>0.79</v>
      </c>
      <c r="M1288" t="inlineStr">
        <is>
          <t>MEASURED</t>
        </is>
      </c>
      <c r="N1288" t="inlineStr">
        <is>
          <t>Yes (supporting block)</t>
        </is>
      </c>
      <c r="O1288" s="5" t="inlineStr">
        <is>
          <t>Supports the primary topic - add only if natural</t>
        </is>
      </c>
      <c r="P1288" s="5" t="inlineStr"/>
      <c r="Q1288" t="inlineStr">
        <is>
          <t>P3</t>
        </is>
      </c>
      <c r="R1288" t="n">
        <v>379</v>
      </c>
      <c r="S1288" s="5" t="inlineStr">
        <is>
          <t>Du défi à la solution Le Défi L'ancien site ne reflétait ni la qualité des circuits ni le sérieux du guide : design daté, structure confuse et pages lentes sur mobile, alors que la plupart des voyageurs préparent leur sé</t>
        </is>
      </c>
    </row>
    <row r="1289">
      <c r="A1289" s="3" t="inlineStr">
        <is>
          <t>https://codesommet.com/our-work/authentic-morocco-adventures</t>
        </is>
      </c>
      <c r="B1289" t="n">
        <v>3</v>
      </c>
      <c r="C1289" t="inlineStr">
        <is>
          <t>Content block</t>
        </is>
      </c>
      <c r="D1289" s="5" t="inlineStr">
        <is>
          <t>Aperçu de l'Interface</t>
        </is>
      </c>
      <c r="E1289" t="inlineStr">
        <is>
          <t>H2</t>
        </is>
      </c>
      <c r="F1289" s="5" t="inlineStr">
        <is>
          <t>Commercial investigation (proof)</t>
        </is>
      </c>
      <c r="G1289" t="inlineStr">
        <is>
          <t>site web agence de voyage</t>
        </is>
      </c>
      <c r="H1289" t="inlineStr">
        <is>
          <t>SUPPORTS PRIMARY</t>
        </is>
      </c>
      <c r="I1289" t="inlineStr">
        <is>
          <t>fr</t>
        </is>
      </c>
      <c r="J1289" t="n">
        <v>70</v>
      </c>
      <c r="K1289" t="n">
        <v>10</v>
      </c>
      <c r="L1289" t="n">
        <v>0.79</v>
      </c>
      <c r="M1289" t="inlineStr">
        <is>
          <t>MEASURED</t>
        </is>
      </c>
      <c r="N1289" t="inlineStr">
        <is>
          <t>Yes (supporting block)</t>
        </is>
      </c>
      <c r="O1289" s="5" t="inlineStr">
        <is>
          <t>Supports the primary topic - add only if natural</t>
        </is>
      </c>
      <c r="P1289" s="5" t="inlineStr"/>
      <c r="Q1289" t="inlineStr">
        <is>
          <t>P3</t>
        </is>
      </c>
      <c r="R1289" t="n">
        <v>19</v>
      </c>
      <c r="S1289" s="5" t="inlineStr">
        <is>
          <t>Démonstration vidéo de l'interface livrée Optimisé Bureau Expérience époustouflante sur grands écrans Adapté Mobile Parfait sur téléphones et tablettes</t>
        </is>
      </c>
    </row>
    <row r="1290">
      <c r="A1290" s="3" t="inlineStr">
        <is>
          <t>https://codesommet.com/our-work/authentic-morocco-adventures</t>
        </is>
      </c>
      <c r="B1290" t="n">
        <v>4</v>
      </c>
      <c r="C1290" t="inlineStr">
        <is>
          <t>Proof / portfolio / results</t>
        </is>
      </c>
      <c r="D1290" s="5" t="inlineStr">
        <is>
          <t>Impact Mesurable</t>
        </is>
      </c>
      <c r="E1290" t="inlineStr">
        <is>
          <t>H2</t>
        </is>
      </c>
      <c r="F1290" s="5" t="inlineStr">
        <is>
          <t>Commercial investigation</t>
        </is>
      </c>
      <c r="G1290" t="inlineStr">
        <is>
          <t>site web agence de voyage</t>
        </is>
      </c>
      <c r="H1290" t="inlineStr">
        <is>
          <t>SUPPORTS PRIMARY</t>
        </is>
      </c>
      <c r="I1290" t="inlineStr">
        <is>
          <t>fr</t>
        </is>
      </c>
      <c r="J1290" t="n">
        <v>70</v>
      </c>
      <c r="K1290" t="n">
        <v>10</v>
      </c>
      <c r="L1290" t="n">
        <v>0.79</v>
      </c>
      <c r="M1290" t="inlineStr">
        <is>
          <t>MEASURED</t>
        </is>
      </c>
      <c r="N1290" t="inlineStr">
        <is>
          <t>Yes</t>
        </is>
      </c>
      <c r="O1290" s="5" t="inlineStr">
        <is>
          <t>Covered - keep wording; no change</t>
        </is>
      </c>
      <c r="P1290" s="5" t="inlineStr"/>
      <c r="Q1290" t="inlineStr">
        <is>
          <t>P3</t>
        </is>
      </c>
      <c r="R1290" t="n">
        <v>151</v>
      </c>
      <c r="S1290" s="5" t="inlineStr">
        <is>
          <t>Des chiffres réels. Une croissance réelle. Des résultats réels. 62 Circuits Privés en Ligne WCAG AA Accessibilité 97 URLs dans le Sitemap 8 Guides de Destinations 15 Activités &amp; Treks dans l'Atlas HSTS HTTPS &amp; En-têtes S</t>
        </is>
      </c>
    </row>
    <row r="1291">
      <c r="A1291" s="3" t="inlineStr">
        <is>
          <t>https://codesommet.com/our-work/authentic-morocco-adventures</t>
        </is>
      </c>
      <c r="B1291" t="n">
        <v>5</v>
      </c>
      <c r="C1291" t="inlineStr">
        <is>
          <t>CTA / conversion</t>
        </is>
      </c>
      <c r="D1291" s="5" t="inlineStr">
        <is>
          <t>Prêt à Créer Quelque Chose d'Extraordinaire ?</t>
        </is>
      </c>
      <c r="E1291" t="inlineStr">
        <is>
          <t>H2</t>
        </is>
      </c>
      <c r="F1291" s="5" t="inlineStr">
        <is>
          <t>Conversion</t>
        </is>
      </c>
      <c r="G1291" t="inlineStr">
        <is>
          <t>—</t>
        </is>
      </c>
      <c r="H1291" t="inlineStr">
        <is>
          <t>NONE</t>
        </is>
      </c>
      <c r="I1291" t="inlineStr">
        <is>
          <t>—</t>
        </is>
      </c>
      <c r="J1291" t="inlineStr">
        <is>
          <t>—</t>
        </is>
      </c>
      <c r="K1291" t="inlineStr">
        <is>
          <t>—</t>
        </is>
      </c>
      <c r="L1291" t="inlineStr">
        <is>
          <t>—</t>
        </is>
      </c>
      <c r="M1291" t="inlineStr">
        <is>
          <t>—</t>
        </is>
      </c>
      <c r="N1291" t="inlineStr">
        <is>
          <t>n/a</t>
        </is>
      </c>
      <c r="O1291" s="5" t="inlineStr">
        <is>
          <t>No keyword target - keep conversion/navigation focus; use descriptive, non-repeated anchor texts</t>
        </is>
      </c>
      <c r="P1291" s="5" t="inlineStr"/>
      <c r="Q1291" t="inlineStr">
        <is>
          <t>P4</t>
        </is>
      </c>
      <c r="R1291" t="n">
        <v>119</v>
      </c>
      <c r="S1291" s="5" t="inlineStr">
        <is>
          <t>Vous voulez des résultats similaires ? Obtenez votre devis gratuit aujourd'hui Réserver un Appel Découverte Analyser Mon Site Gratuitement Réserver un Appel Découverte Analyser Votre Site Web Planifiez une consultation g</t>
        </is>
      </c>
    </row>
    <row r="1292">
      <c r="A1292" s="3" t="inlineStr">
        <is>
          <t>https://codesommet.com/our-work/dental-pro</t>
        </is>
      </c>
      <c r="B1292" t="n">
        <v>1</v>
      </c>
      <c r="C1292" t="inlineStr">
        <is>
          <t>Hero / H1</t>
        </is>
      </c>
      <c r="D1292" s="5" t="inlineStr">
        <is>
          <t>Dental Pro E-commerce &amp; CMS Dentaire</t>
        </is>
      </c>
      <c r="E1292" t="inlineStr">
        <is>
          <t>H1</t>
        </is>
      </c>
      <c r="F1292" s="5" t="inlineStr">
        <is>
          <t>Commercial investigation (proof)</t>
        </is>
      </c>
      <c r="G1292" t="inlineStr">
        <is>
          <t>site e-commerce dentaire</t>
        </is>
      </c>
      <c r="H1292" t="inlineStr">
        <is>
          <t>PRIMARY</t>
        </is>
      </c>
      <c r="I1292" t="inlineStr">
        <is>
          <t>fr</t>
        </is>
      </c>
      <c r="J1292" t="inlineStr">
        <is>
          <t>NOT AVAILABLE</t>
        </is>
      </c>
      <c r="K1292" t="inlineStr">
        <is>
          <t>NOT AVAILABLE</t>
        </is>
      </c>
      <c r="L1292" t="inlineStr">
        <is>
          <t>NOT AVAILABLE</t>
        </is>
      </c>
      <c r="M1292" t="inlineStr">
        <is>
          <t>UNAVAILABLE</t>
        </is>
      </c>
      <c r="N1292" t="inlineStr">
        <is>
          <t>Yes</t>
        </is>
      </c>
      <c r="O1292" s="5" t="inlineStr">
        <is>
          <t>Covered - keep wording; no change</t>
        </is>
      </c>
      <c r="P1292" s="5" t="inlineStr"/>
      <c r="Q1292" t="inlineStr">
        <is>
          <t>P3</t>
        </is>
      </c>
      <c r="R1292" t="n">
        <v>59</v>
      </c>
      <c r="S1292" s="5" t="inlineStr">
        <is>
          <t>Boutique Dentaire en Ligne Plateforme e-commerce et de gestion de contenu complète pour le secteur dentaire : une vitrine client soignée pour présenter les produits et publier des articles, adossée à un backoffice puissa</t>
        </is>
      </c>
    </row>
    <row r="1293">
      <c r="A1293" s="3" t="inlineStr">
        <is>
          <t>https://codesommet.com/our-work/dental-pro</t>
        </is>
      </c>
      <c r="B1293" t="n">
        <v>2</v>
      </c>
      <c r="C1293" t="inlineStr">
        <is>
          <t>Content block</t>
        </is>
      </c>
      <c r="D1293" s="5" t="inlineStr">
        <is>
          <t>Le Parcours</t>
        </is>
      </c>
      <c r="E1293" t="inlineStr">
        <is>
          <t>H2</t>
        </is>
      </c>
      <c r="F1293" s="5" t="inlineStr">
        <is>
          <t>Commercial investigation (proof)</t>
        </is>
      </c>
      <c r="G1293" t="inlineStr">
        <is>
          <t>site e-commerce dentaire</t>
        </is>
      </c>
      <c r="H1293" t="inlineStr">
        <is>
          <t>SUPPORTS PRIMARY</t>
        </is>
      </c>
      <c r="I1293" t="inlineStr">
        <is>
          <t>fr</t>
        </is>
      </c>
      <c r="J1293" t="inlineStr">
        <is>
          <t>NOT AVAILABLE</t>
        </is>
      </c>
      <c r="K1293" t="inlineStr">
        <is>
          <t>NOT AVAILABLE</t>
        </is>
      </c>
      <c r="L1293" t="inlineStr">
        <is>
          <t>NOT AVAILABLE</t>
        </is>
      </c>
      <c r="M1293" t="inlineStr">
        <is>
          <t>UNAVAILABLE</t>
        </is>
      </c>
      <c r="N1293" t="inlineStr">
        <is>
          <t>Yes</t>
        </is>
      </c>
      <c r="O1293" s="5" t="inlineStr">
        <is>
          <t>Covered - keep wording; no change</t>
        </is>
      </c>
      <c r="P1293" s="5" t="inlineStr"/>
      <c r="Q1293" t="inlineStr">
        <is>
          <t>P3</t>
        </is>
      </c>
      <c r="R1293" t="n">
        <v>258</v>
      </c>
      <c r="S1293" s="5" t="inlineStr">
        <is>
          <t>Du défi à la solution Le Défi Dental Pro jonglait entre plusieurs outils déconnectés pour son catalogue, ses contenus et ses réservations, sans vision consolidée des commandes. Il fallait une plateforme unique, à la haut</t>
        </is>
      </c>
    </row>
    <row r="1294">
      <c r="A1294" s="3" t="inlineStr">
        <is>
          <t>https://codesommet.com/our-work/dental-pro</t>
        </is>
      </c>
      <c r="B1294" t="n">
        <v>3</v>
      </c>
      <c r="C1294" t="inlineStr">
        <is>
          <t>Content block</t>
        </is>
      </c>
      <c r="D1294" s="5" t="inlineStr">
        <is>
          <t>Aperçu de l'Interface</t>
        </is>
      </c>
      <c r="E1294" t="inlineStr">
        <is>
          <t>H2</t>
        </is>
      </c>
      <c r="F1294" s="5" t="inlineStr">
        <is>
          <t>Commercial investigation (proof)</t>
        </is>
      </c>
      <c r="G1294" t="inlineStr">
        <is>
          <t>site e-commerce dentaire</t>
        </is>
      </c>
      <c r="H1294" t="inlineStr">
        <is>
          <t>SUPPORTS PRIMARY</t>
        </is>
      </c>
      <c r="I1294" t="inlineStr">
        <is>
          <t>fr</t>
        </is>
      </c>
      <c r="J1294" t="inlineStr">
        <is>
          <t>NOT AVAILABLE</t>
        </is>
      </c>
      <c r="K1294" t="inlineStr">
        <is>
          <t>NOT AVAILABLE</t>
        </is>
      </c>
      <c r="L1294" t="inlineStr">
        <is>
          <t>NOT AVAILABLE</t>
        </is>
      </c>
      <c r="M1294" t="inlineStr">
        <is>
          <t>UNAVAILABLE</t>
        </is>
      </c>
      <c r="N1294" t="inlineStr">
        <is>
          <t>Yes (supporting block)</t>
        </is>
      </c>
      <c r="O1294" s="5" t="inlineStr">
        <is>
          <t>Supports the primary topic - add only if natural</t>
        </is>
      </c>
      <c r="P1294" s="5" t="inlineStr"/>
      <c r="Q1294" t="inlineStr">
        <is>
          <t>P3</t>
        </is>
      </c>
      <c r="R1294" t="n">
        <v>19</v>
      </c>
      <c r="S1294" s="5" t="inlineStr">
        <is>
          <t>Démonstration vidéo de l'interface livrée Optimisé Bureau Expérience époustouflante sur grands écrans Adapté Mobile Parfait sur téléphones et tablettes</t>
        </is>
      </c>
    </row>
    <row r="1295">
      <c r="A1295" s="3" t="inlineStr">
        <is>
          <t>https://codesommet.com/our-work/dental-pro</t>
        </is>
      </c>
      <c r="B1295" t="n">
        <v>4</v>
      </c>
      <c r="C1295" t="inlineStr">
        <is>
          <t>Proof / portfolio / results</t>
        </is>
      </c>
      <c r="D1295" s="5" t="inlineStr">
        <is>
          <t>Impact Mesurable</t>
        </is>
      </c>
      <c r="E1295" t="inlineStr">
        <is>
          <t>H2</t>
        </is>
      </c>
      <c r="F1295" s="5" t="inlineStr">
        <is>
          <t>Commercial investigation</t>
        </is>
      </c>
      <c r="G1295" t="inlineStr">
        <is>
          <t>site e-commerce dentaire</t>
        </is>
      </c>
      <c r="H1295" t="inlineStr">
        <is>
          <t>SUPPORTS PRIMARY</t>
        </is>
      </c>
      <c r="I1295" t="inlineStr">
        <is>
          <t>fr</t>
        </is>
      </c>
      <c r="J1295" t="inlineStr">
        <is>
          <t>NOT AVAILABLE</t>
        </is>
      </c>
      <c r="K1295" t="inlineStr">
        <is>
          <t>NOT AVAILABLE</t>
        </is>
      </c>
      <c r="L1295" t="inlineStr">
        <is>
          <t>NOT AVAILABLE</t>
        </is>
      </c>
      <c r="M1295" t="inlineStr">
        <is>
          <t>UNAVAILABLE</t>
        </is>
      </c>
      <c r="N1295" t="inlineStr">
        <is>
          <t>Yes (supporting block)</t>
        </is>
      </c>
      <c r="O1295" s="5" t="inlineStr">
        <is>
          <t>Supports the primary topic - add only if natural</t>
        </is>
      </c>
      <c r="P1295" s="5" t="inlineStr"/>
      <c r="Q1295" t="inlineStr">
        <is>
          <t>P3</t>
        </is>
      </c>
      <c r="R1295" t="n">
        <v>140</v>
      </c>
      <c r="S1295" s="5" t="inlineStr">
        <is>
          <t>Des chiffres réels. Une croissance réelle. Des résultats réels. 500+ Commandes Traitées 18% Taux de Conversion 12 000+ Visiteurs Mensuels &lt; 1.5s Temps de Chargement 500+ références Références Produits Comparez les Perfor</t>
        </is>
      </c>
    </row>
    <row r="1296">
      <c r="A1296" s="3" t="inlineStr">
        <is>
          <t>https://codesommet.com/our-work/dental-pro</t>
        </is>
      </c>
      <c r="B1296" t="n">
        <v>5</v>
      </c>
      <c r="C1296" t="inlineStr">
        <is>
          <t>CTA / conversion</t>
        </is>
      </c>
      <c r="D1296" s="5" t="inlineStr">
        <is>
          <t>Prêt à Créer Quelque Chose d'Extraordinaire ?</t>
        </is>
      </c>
      <c r="E1296" t="inlineStr">
        <is>
          <t>H2</t>
        </is>
      </c>
      <c r="F1296" s="5" t="inlineStr">
        <is>
          <t>Conversion</t>
        </is>
      </c>
      <c r="G1296" t="inlineStr">
        <is>
          <t>—</t>
        </is>
      </c>
      <c r="H1296" t="inlineStr">
        <is>
          <t>NONE</t>
        </is>
      </c>
      <c r="I1296" t="inlineStr">
        <is>
          <t>—</t>
        </is>
      </c>
      <c r="J1296" t="inlineStr">
        <is>
          <t>—</t>
        </is>
      </c>
      <c r="K1296" t="inlineStr">
        <is>
          <t>—</t>
        </is>
      </c>
      <c r="L1296" t="inlineStr">
        <is>
          <t>—</t>
        </is>
      </c>
      <c r="M1296" t="inlineStr">
        <is>
          <t>—</t>
        </is>
      </c>
      <c r="N1296" t="inlineStr">
        <is>
          <t>n/a</t>
        </is>
      </c>
      <c r="O1296" s="5" t="inlineStr">
        <is>
          <t>No keyword target - keep conversion/navigation focus; use descriptive, non-repeated anchor texts</t>
        </is>
      </c>
      <c r="P1296" s="5" t="inlineStr"/>
      <c r="Q1296" t="inlineStr">
        <is>
          <t>P4</t>
        </is>
      </c>
      <c r="R1296" t="n">
        <v>126</v>
      </c>
      <c r="S1296" s="5" t="inlineStr">
        <is>
          <t>Vous voulez des résultats similaires ? Obtenez votre devis gratuit aujourd'hui Réserver un Appel Découverte Analyser Mon Site Gratuitement Réserver un Appel Découverte Analyser Votre Site Web Planifiez une consultation g</t>
        </is>
      </c>
    </row>
    <row r="1297">
      <c r="A1297" s="3" t="inlineStr">
        <is>
          <t>https://codesommet.com/our-work/glamworlds</t>
        </is>
      </c>
      <c r="B1297" t="n">
        <v>1</v>
      </c>
      <c r="C1297" t="inlineStr">
        <is>
          <t>Hero / H1</t>
        </is>
      </c>
      <c r="D1297" s="5" t="inlineStr">
        <is>
          <t>GlamWorlds Boutique Shopify de Lunettes</t>
        </is>
      </c>
      <c r="E1297" t="inlineStr">
        <is>
          <t>H1</t>
        </is>
      </c>
      <c r="F1297" s="5" t="inlineStr">
        <is>
          <t>Commercial investigation (proof)</t>
        </is>
      </c>
      <c r="G1297" t="inlineStr">
        <is>
          <t>création boutique shopify</t>
        </is>
      </c>
      <c r="H1297" t="inlineStr">
        <is>
          <t>PRIMARY</t>
        </is>
      </c>
      <c r="I1297" t="inlineStr">
        <is>
          <t>fr</t>
        </is>
      </c>
      <c r="J1297" t="n">
        <v>50</v>
      </c>
      <c r="K1297" t="inlineStr">
        <is>
          <t>NOT AVAILABLE</t>
        </is>
      </c>
      <c r="L1297" t="n">
        <v>4.05</v>
      </c>
      <c r="M1297" t="inlineStr">
        <is>
          <t>MEASURED</t>
        </is>
      </c>
      <c r="N1297" t="inlineStr">
        <is>
          <t>Yes</t>
        </is>
      </c>
      <c r="O1297" s="5" t="inlineStr">
        <is>
          <t>Covered - keep wording; no change</t>
        </is>
      </c>
      <c r="P1297" s="5" t="inlineStr"/>
      <c r="Q1297" t="inlineStr">
        <is>
          <t>P3</t>
        </is>
      </c>
      <c r="R1297" t="n">
        <v>43</v>
      </c>
      <c r="S1297" s="5" t="inlineStr">
        <is>
          <t>Boutique Lunettes de Luxe Création complète d'une boutique Shopify pour une maison de lunettes de soleil haut de gamme, pensée pour le référencement naturel et l'expérience d'achat premium Délai 3 jours Croissance du Tra</t>
        </is>
      </c>
    </row>
    <row r="1298">
      <c r="A1298" s="3" t="inlineStr">
        <is>
          <t>https://codesommet.com/our-work/glamworlds</t>
        </is>
      </c>
      <c r="B1298" t="n">
        <v>2</v>
      </c>
      <c r="C1298" t="inlineStr">
        <is>
          <t>Content block</t>
        </is>
      </c>
      <c r="D1298" s="5" t="inlineStr">
        <is>
          <t>Le Parcours</t>
        </is>
      </c>
      <c r="E1298" t="inlineStr">
        <is>
          <t>H2</t>
        </is>
      </c>
      <c r="F1298" s="5" t="inlineStr">
        <is>
          <t>Commercial investigation (proof)</t>
        </is>
      </c>
      <c r="G1298" t="inlineStr">
        <is>
          <t>création boutique shopify</t>
        </is>
      </c>
      <c r="H1298" t="inlineStr">
        <is>
          <t>SUPPORTS PRIMARY</t>
        </is>
      </c>
      <c r="I1298" t="inlineStr">
        <is>
          <t>fr</t>
        </is>
      </c>
      <c r="J1298" t="n">
        <v>50</v>
      </c>
      <c r="K1298" t="inlineStr">
        <is>
          <t>NOT AVAILABLE</t>
        </is>
      </c>
      <c r="L1298" t="n">
        <v>4.05</v>
      </c>
      <c r="M1298" t="inlineStr">
        <is>
          <t>MEASURED</t>
        </is>
      </c>
      <c r="N1298" t="inlineStr">
        <is>
          <t>Yes</t>
        </is>
      </c>
      <c r="O1298" s="5" t="inlineStr">
        <is>
          <t>Covered - keep wording; no change</t>
        </is>
      </c>
      <c r="P1298" s="5" t="inlineStr"/>
      <c r="Q1298" t="inlineStr">
        <is>
          <t>P3</t>
        </is>
      </c>
      <c r="R1298" t="n">
        <v>261</v>
      </c>
      <c r="S1298" s="5" t="inlineStr">
        <is>
          <t>Du défi à la solution Le Défi La vitrine existante de GlamWorlds ne mettait pas en valeur le raffinement de ses collections de lunettes de luxe : fiches produits pauvres, parcours d'achat peu fluide sur mobile et quasi-i</t>
        </is>
      </c>
    </row>
    <row r="1299">
      <c r="A1299" s="3" t="inlineStr">
        <is>
          <t>https://codesommet.com/our-work/glamworlds</t>
        </is>
      </c>
      <c r="B1299" t="n">
        <v>3</v>
      </c>
      <c r="C1299" t="inlineStr">
        <is>
          <t>Content block</t>
        </is>
      </c>
      <c r="D1299" s="5" t="inlineStr">
        <is>
          <t>Aperçu de l'Interface</t>
        </is>
      </c>
      <c r="E1299" t="inlineStr">
        <is>
          <t>H2</t>
        </is>
      </c>
      <c r="F1299" s="5" t="inlineStr">
        <is>
          <t>Commercial investigation (proof)</t>
        </is>
      </c>
      <c r="G1299" t="inlineStr">
        <is>
          <t>création boutique shopify</t>
        </is>
      </c>
      <c r="H1299" t="inlineStr">
        <is>
          <t>SUPPORTS PRIMARY</t>
        </is>
      </c>
      <c r="I1299" t="inlineStr">
        <is>
          <t>fr</t>
        </is>
      </c>
      <c r="J1299" t="n">
        <v>50</v>
      </c>
      <c r="K1299" t="inlineStr">
        <is>
          <t>NOT AVAILABLE</t>
        </is>
      </c>
      <c r="L1299" t="n">
        <v>4.05</v>
      </c>
      <c r="M1299" t="inlineStr">
        <is>
          <t>MEASURED</t>
        </is>
      </c>
      <c r="N1299" t="inlineStr">
        <is>
          <t>Yes (supporting block)</t>
        </is>
      </c>
      <c r="O1299" s="5" t="inlineStr">
        <is>
          <t>Supports the primary topic - add only if natural</t>
        </is>
      </c>
      <c r="P1299" s="5" t="inlineStr"/>
      <c r="Q1299" t="inlineStr">
        <is>
          <t>P3</t>
        </is>
      </c>
      <c r="R1299" t="n">
        <v>19</v>
      </c>
      <c r="S1299" s="5" t="inlineStr">
        <is>
          <t>Démonstration vidéo de l'interface livrée Optimisé Bureau Expérience époustouflante sur grands écrans Adapté Mobile Parfait sur téléphones et tablettes</t>
        </is>
      </c>
    </row>
    <row r="1300">
      <c r="A1300" s="3" t="inlineStr">
        <is>
          <t>https://codesommet.com/our-work/glamworlds</t>
        </is>
      </c>
      <c r="B1300" t="n">
        <v>4</v>
      </c>
      <c r="C1300" t="inlineStr">
        <is>
          <t>Proof / portfolio / results</t>
        </is>
      </c>
      <c r="D1300" s="5" t="inlineStr">
        <is>
          <t>Impact Mesurable</t>
        </is>
      </c>
      <c r="E1300" t="inlineStr">
        <is>
          <t>H2</t>
        </is>
      </c>
      <c r="F1300" s="5" t="inlineStr">
        <is>
          <t>Commercial investigation</t>
        </is>
      </c>
      <c r="G1300" t="inlineStr">
        <is>
          <t>création boutique shopify</t>
        </is>
      </c>
      <c r="H1300" t="inlineStr">
        <is>
          <t>SUPPORTS PRIMARY</t>
        </is>
      </c>
      <c r="I1300" t="inlineStr">
        <is>
          <t>fr</t>
        </is>
      </c>
      <c r="J1300" t="n">
        <v>50</v>
      </c>
      <c r="K1300" t="inlineStr">
        <is>
          <t>NOT AVAILABLE</t>
        </is>
      </c>
      <c r="L1300" t="n">
        <v>4.05</v>
      </c>
      <c r="M1300" t="inlineStr">
        <is>
          <t>MEASURED</t>
        </is>
      </c>
      <c r="N1300" t="inlineStr">
        <is>
          <t>Yes (supporting block)</t>
        </is>
      </c>
      <c r="O1300" s="5" t="inlineStr">
        <is>
          <t>Supports the primary topic - add only if natural</t>
        </is>
      </c>
      <c r="P1300" s="5" t="inlineStr"/>
      <c r="Q1300" t="inlineStr">
        <is>
          <t>P3</t>
        </is>
      </c>
      <c r="R1300" t="n">
        <v>127</v>
      </c>
      <c r="S1300" s="5" t="inlineStr">
        <is>
          <t>Des chiffres réels. Une croissance réelle. Des résultats réels. 180% Augmentation du Trafic Organique 4.5% Taux de Conversion 8,500+ Visiteurs Mensuels &lt; 2s Temps de Chargement 200+ produits Produits Référencés 3x augmen</t>
        </is>
      </c>
    </row>
    <row r="1301">
      <c r="A1301" s="3" t="inlineStr">
        <is>
          <t>https://codesommet.com/our-work/glamworlds</t>
        </is>
      </c>
      <c r="B1301" t="n">
        <v>5</v>
      </c>
      <c r="C1301" t="inlineStr">
        <is>
          <t>CTA / conversion</t>
        </is>
      </c>
      <c r="D1301" s="5" t="inlineStr">
        <is>
          <t>Prêt à Créer Quelque Chose d'Extraordinaire ?</t>
        </is>
      </c>
      <c r="E1301" t="inlineStr">
        <is>
          <t>H2</t>
        </is>
      </c>
      <c r="F1301" s="5" t="inlineStr">
        <is>
          <t>Conversion</t>
        </is>
      </c>
      <c r="G1301" t="inlineStr">
        <is>
          <t>—</t>
        </is>
      </c>
      <c r="H1301" t="inlineStr">
        <is>
          <t>NONE</t>
        </is>
      </c>
      <c r="I1301" t="inlineStr">
        <is>
          <t>—</t>
        </is>
      </c>
      <c r="J1301" t="inlineStr">
        <is>
          <t>—</t>
        </is>
      </c>
      <c r="K1301" t="inlineStr">
        <is>
          <t>—</t>
        </is>
      </c>
      <c r="L1301" t="inlineStr">
        <is>
          <t>—</t>
        </is>
      </c>
      <c r="M1301" t="inlineStr">
        <is>
          <t>—</t>
        </is>
      </c>
      <c r="N1301" t="inlineStr">
        <is>
          <t>n/a</t>
        </is>
      </c>
      <c r="O1301" s="5" t="inlineStr">
        <is>
          <t>No keyword target - keep conversion/navigation focus; use descriptive, non-repeated anchor texts</t>
        </is>
      </c>
      <c r="P1301" s="5" t="inlineStr"/>
      <c r="Q1301" t="inlineStr">
        <is>
          <t>P4</t>
        </is>
      </c>
      <c r="R1301" t="n">
        <v>119</v>
      </c>
      <c r="S1301" s="5" t="inlineStr">
        <is>
          <t>Vous voulez des résultats similaires ? Obtenez votre devis gratuit aujourd'hui Réserver un Appel Découverte Analyser Mon Site Gratuitement Réserver un Appel Découverte Analyser Votre Site Web Planifiez une consultation g</t>
        </is>
      </c>
    </row>
    <row r="1302">
      <c r="A1302" s="3" t="inlineStr">
        <is>
          <t>https://codesommet.com/our-work/gls-sprachenzentrum</t>
        </is>
      </c>
      <c r="B1302" t="n">
        <v>1</v>
      </c>
      <c r="C1302" t="inlineStr">
        <is>
          <t>Hero / H1</t>
        </is>
      </c>
      <c r="D1302" s="5" t="inlineStr">
        <is>
          <t>GLS Sprachenzentrum École de Langue Allemande</t>
        </is>
      </c>
      <c r="E1302" t="inlineStr">
        <is>
          <t>H1</t>
        </is>
      </c>
      <c r="F1302" s="5" t="inlineStr">
        <is>
          <t>Commercial investigation (proof)</t>
        </is>
      </c>
      <c r="G1302" t="inlineStr">
        <is>
          <t>site web école de langues</t>
        </is>
      </c>
      <c r="H1302" t="inlineStr">
        <is>
          <t>PRIMARY</t>
        </is>
      </c>
      <c r="I1302" t="inlineStr">
        <is>
          <t>ma</t>
        </is>
      </c>
      <c r="J1302" t="inlineStr">
        <is>
          <t>NOT AVAILABLE</t>
        </is>
      </c>
      <c r="K1302" t="inlineStr">
        <is>
          <t>NOT AVAILABLE</t>
        </is>
      </c>
      <c r="L1302" t="inlineStr">
        <is>
          <t>NOT AVAILABLE</t>
        </is>
      </c>
      <c r="M1302" t="inlineStr">
        <is>
          <t>UNAVAILABLE</t>
        </is>
      </c>
      <c r="N1302" t="inlineStr">
        <is>
          <t>Partly</t>
        </is>
      </c>
      <c r="O1302" s="5" t="inlineStr">
        <is>
          <t>Work "site web école de langues" (or a close natural variant) into existing copy - no new heading needed</t>
        </is>
      </c>
      <c r="P1302" s="5" t="inlineStr">
        <is>
          <t>Keyword/variant absent from this section</t>
        </is>
      </c>
      <c r="Q1302" t="inlineStr">
        <is>
          <t>P3</t>
        </is>
      </c>
      <c r="R1302" t="n">
        <v>58</v>
      </c>
      <c r="S1302" s="5" t="inlineStr">
        <is>
          <t>Deutsch Sprachenzentrum Application web à double vocation pour une école de langue allemande : un site vitrine bilingue FR/EN orienté conversion et un tableau de bord d'administration à rôles qui pilote tout le quotidien</t>
        </is>
      </c>
    </row>
    <row r="1303">
      <c r="A1303" s="3" t="inlineStr">
        <is>
          <t>https://codesommet.com/our-work/gls-sprachenzentrum</t>
        </is>
      </c>
      <c r="B1303" t="n">
        <v>2</v>
      </c>
      <c r="C1303" t="inlineStr">
        <is>
          <t>Content block</t>
        </is>
      </c>
      <c r="D1303" s="5" t="inlineStr">
        <is>
          <t>Le Parcours</t>
        </is>
      </c>
      <c r="E1303" t="inlineStr">
        <is>
          <t>H2</t>
        </is>
      </c>
      <c r="F1303" s="5" t="inlineStr">
        <is>
          <t>Commercial investigation (proof)</t>
        </is>
      </c>
      <c r="G1303" t="inlineStr">
        <is>
          <t>site web école de langues</t>
        </is>
      </c>
      <c r="H1303" t="inlineStr">
        <is>
          <t>SUPPORTS PRIMARY</t>
        </is>
      </c>
      <c r="I1303" t="inlineStr">
        <is>
          <t>ma</t>
        </is>
      </c>
      <c r="J1303" t="inlineStr">
        <is>
          <t>NOT AVAILABLE</t>
        </is>
      </c>
      <c r="K1303" t="inlineStr">
        <is>
          <t>NOT AVAILABLE</t>
        </is>
      </c>
      <c r="L1303" t="inlineStr">
        <is>
          <t>NOT AVAILABLE</t>
        </is>
      </c>
      <c r="M1303" t="inlineStr">
        <is>
          <t>UNAVAILABLE</t>
        </is>
      </c>
      <c r="N1303" t="inlineStr">
        <is>
          <t>Yes</t>
        </is>
      </c>
      <c r="O1303" s="5" t="inlineStr">
        <is>
          <t>Covered - keep wording; no change</t>
        </is>
      </c>
      <c r="P1303" s="5" t="inlineStr"/>
      <c r="Q1303" t="inlineStr">
        <is>
          <t>P3</t>
        </is>
      </c>
      <c r="R1303" t="n">
        <v>395</v>
      </c>
      <c r="S1303" s="5" t="inlineStr">
        <is>
          <t>Du défi à la solution Le Défi GLS Sprachenzentrum gérait ses centres avec des outils dispersés : présences papier, paie manuelle, impayés suivis sur tableur et un site vitrine incapable de qualifier les demandes d'inscri</t>
        </is>
      </c>
    </row>
    <row r="1304">
      <c r="A1304" s="3" t="inlineStr">
        <is>
          <t>https://codesommet.com/our-work/gls-sprachenzentrum</t>
        </is>
      </c>
      <c r="B1304" t="n">
        <v>3</v>
      </c>
      <c r="C1304" t="inlineStr">
        <is>
          <t>Content block</t>
        </is>
      </c>
      <c r="D1304" s="5" t="inlineStr">
        <is>
          <t>Aperçu de l'Interface</t>
        </is>
      </c>
      <c r="E1304" t="inlineStr">
        <is>
          <t>H2</t>
        </is>
      </c>
      <c r="F1304" s="5" t="inlineStr">
        <is>
          <t>Commercial investigation (proof)</t>
        </is>
      </c>
      <c r="G1304" t="inlineStr">
        <is>
          <t>site web école de langues</t>
        </is>
      </c>
      <c r="H1304" t="inlineStr">
        <is>
          <t>SUPPORTS PRIMARY</t>
        </is>
      </c>
      <c r="I1304" t="inlineStr">
        <is>
          <t>ma</t>
        </is>
      </c>
      <c r="J1304" t="inlineStr">
        <is>
          <t>NOT AVAILABLE</t>
        </is>
      </c>
      <c r="K1304" t="inlineStr">
        <is>
          <t>NOT AVAILABLE</t>
        </is>
      </c>
      <c r="L1304" t="inlineStr">
        <is>
          <t>NOT AVAILABLE</t>
        </is>
      </c>
      <c r="M1304" t="inlineStr">
        <is>
          <t>UNAVAILABLE</t>
        </is>
      </c>
      <c r="N1304" t="inlineStr">
        <is>
          <t>Yes (supporting block)</t>
        </is>
      </c>
      <c r="O1304" s="5" t="inlineStr">
        <is>
          <t>Supports the primary topic - add only if natural</t>
        </is>
      </c>
      <c r="P1304" s="5" t="inlineStr"/>
      <c r="Q1304" t="inlineStr">
        <is>
          <t>P3</t>
        </is>
      </c>
      <c r="R1304" t="n">
        <v>19</v>
      </c>
      <c r="S1304" s="5" t="inlineStr">
        <is>
          <t>Démonstration vidéo de l'interface livrée Optimisé Bureau Expérience époustouflante sur grands écrans Adapté Mobile Parfait sur téléphones et tablettes</t>
        </is>
      </c>
    </row>
    <row r="1305">
      <c r="A1305" s="3" t="inlineStr">
        <is>
          <t>https://codesommet.com/our-work/gls-sprachenzentrum</t>
        </is>
      </c>
      <c r="B1305" t="n">
        <v>4</v>
      </c>
      <c r="C1305" t="inlineStr">
        <is>
          <t>Proof / portfolio / results</t>
        </is>
      </c>
      <c r="D1305" s="5" t="inlineStr">
        <is>
          <t>Impact Mesurable</t>
        </is>
      </c>
      <c r="E1305" t="inlineStr">
        <is>
          <t>H2</t>
        </is>
      </c>
      <c r="F1305" s="5" t="inlineStr">
        <is>
          <t>Commercial investigation</t>
        </is>
      </c>
      <c r="G1305" t="inlineStr">
        <is>
          <t>site web école de langues</t>
        </is>
      </c>
      <c r="H1305" t="inlineStr">
        <is>
          <t>SUPPORTS PRIMARY</t>
        </is>
      </c>
      <c r="I1305" t="inlineStr">
        <is>
          <t>ma</t>
        </is>
      </c>
      <c r="J1305" t="inlineStr">
        <is>
          <t>NOT AVAILABLE</t>
        </is>
      </c>
      <c r="K1305" t="inlineStr">
        <is>
          <t>NOT AVAILABLE</t>
        </is>
      </c>
      <c r="L1305" t="inlineStr">
        <is>
          <t>NOT AVAILABLE</t>
        </is>
      </c>
      <c r="M1305" t="inlineStr">
        <is>
          <t>UNAVAILABLE</t>
        </is>
      </c>
      <c r="N1305" t="inlineStr">
        <is>
          <t>Yes (supporting block)</t>
        </is>
      </c>
      <c r="O1305" s="5" t="inlineStr">
        <is>
          <t>Supports the primary topic - add only if natural</t>
        </is>
      </c>
      <c r="P1305" s="5" t="inlineStr"/>
      <c r="Q1305" t="inlineStr">
        <is>
          <t>P3</t>
        </is>
      </c>
      <c r="R1305" t="n">
        <v>173</v>
      </c>
      <c r="S1305" s="5" t="inlineStr">
        <is>
          <t>Des chiffres réels. Une croissance réelle. Des résultats réels. 2000+ Augmentation des Prospects 15.5% Taux de Conversion 45,000+ Visiteurs Mensuels &lt; 1.8s Temps de Chargement 2000+ Étudiants Suivis 88% Processus Automat</t>
        </is>
      </c>
    </row>
    <row r="1306">
      <c r="A1306" s="3" t="inlineStr">
        <is>
          <t>https://codesommet.com/our-work/gls-sprachenzentrum</t>
        </is>
      </c>
      <c r="B1306" t="n">
        <v>5</v>
      </c>
      <c r="C1306" t="inlineStr">
        <is>
          <t>CTA / conversion</t>
        </is>
      </c>
      <c r="D1306" s="5" t="inlineStr">
        <is>
          <t>Prêt à Créer Quelque Chose d'Extraordinaire ?</t>
        </is>
      </c>
      <c r="E1306" t="inlineStr">
        <is>
          <t>H2</t>
        </is>
      </c>
      <c r="F1306" s="5" t="inlineStr">
        <is>
          <t>Conversion</t>
        </is>
      </c>
      <c r="G1306" t="inlineStr">
        <is>
          <t>—</t>
        </is>
      </c>
      <c r="H1306" t="inlineStr">
        <is>
          <t>NONE</t>
        </is>
      </c>
      <c r="I1306" t="inlineStr">
        <is>
          <t>—</t>
        </is>
      </c>
      <c r="J1306" t="inlineStr">
        <is>
          <t>—</t>
        </is>
      </c>
      <c r="K1306" t="inlineStr">
        <is>
          <t>—</t>
        </is>
      </c>
      <c r="L1306" t="inlineStr">
        <is>
          <t>—</t>
        </is>
      </c>
      <c r="M1306" t="inlineStr">
        <is>
          <t>—</t>
        </is>
      </c>
      <c r="N1306" t="inlineStr">
        <is>
          <t>n/a</t>
        </is>
      </c>
      <c r="O1306" s="5" t="inlineStr">
        <is>
          <t>No keyword target - keep conversion/navigation focus; use descriptive, non-repeated anchor texts</t>
        </is>
      </c>
      <c r="P1306" s="5" t="inlineStr"/>
      <c r="Q1306" t="inlineStr">
        <is>
          <t>P4</t>
        </is>
      </c>
      <c r="R1306" t="n">
        <v>119</v>
      </c>
      <c r="S1306" s="5" t="inlineStr">
        <is>
          <t>Vous voulez des résultats similaires ? Obtenez votre devis gratuit aujourd'hui Réserver un Appel Découverte Analyser Mon Site Gratuitement Réserver un Appel Découverte Analyser Votre Site Web Planifiez une consultation g</t>
        </is>
      </c>
    </row>
    <row r="1307">
      <c r="A1307" s="3" t="inlineStr">
        <is>
          <t>https://codesommet.com/our-work/hssabek</t>
        </is>
      </c>
      <c r="B1307" t="n">
        <v>1</v>
      </c>
      <c r="C1307" t="inlineStr">
        <is>
          <t>Hero / H1</t>
        </is>
      </c>
      <c r="D1307" s="5" t="inlineStr">
        <is>
          <t>Hssabek SaaS de Facturation Multi-Tenant</t>
        </is>
      </c>
      <c r="E1307" t="inlineStr">
        <is>
          <t>H1</t>
        </is>
      </c>
      <c r="F1307" s="5" t="inlineStr">
        <is>
          <t>Commercial investigation (proof)</t>
        </is>
      </c>
      <c r="G1307" t="inlineStr">
        <is>
          <t>saas facturation</t>
        </is>
      </c>
      <c r="H1307" t="inlineStr">
        <is>
          <t>PRIMARY</t>
        </is>
      </c>
      <c r="I1307" t="inlineStr">
        <is>
          <t>fr</t>
        </is>
      </c>
      <c r="J1307" t="n">
        <v>20</v>
      </c>
      <c r="K1307" t="inlineStr">
        <is>
          <t>NOT AVAILABLE</t>
        </is>
      </c>
      <c r="L1307" t="n">
        <v>3.45</v>
      </c>
      <c r="M1307" t="inlineStr">
        <is>
          <t>MEASURED</t>
        </is>
      </c>
      <c r="N1307" t="inlineStr">
        <is>
          <t>Yes</t>
        </is>
      </c>
      <c r="O1307" s="5" t="inlineStr">
        <is>
          <t>Covered - keep wording; no change</t>
        </is>
      </c>
      <c r="P1307" s="5" t="inlineStr"/>
      <c r="Q1307" t="inlineStr">
        <is>
          <t>P3</t>
        </is>
      </c>
      <c r="R1307" t="n">
        <v>58</v>
      </c>
      <c r="S1307" s="5" t="inlineStr">
        <is>
          <t>Facturation, Gestion Commerciale &amp; Multi-Tenant Solution SaaS multi-tenant permettant aux TPE, PME et freelances de gérer factures, devis, clients, produits, stocks et paiements depuis une interface moderne, rapide et 10</t>
        </is>
      </c>
    </row>
    <row r="1308">
      <c r="A1308" s="3" t="inlineStr">
        <is>
          <t>https://codesommet.com/our-work/hssabek</t>
        </is>
      </c>
      <c r="B1308" t="n">
        <v>2</v>
      </c>
      <c r="C1308" t="inlineStr">
        <is>
          <t>Content block</t>
        </is>
      </c>
      <c r="D1308" s="5" t="inlineStr">
        <is>
          <t>Le Parcours</t>
        </is>
      </c>
      <c r="E1308" t="inlineStr">
        <is>
          <t>H2</t>
        </is>
      </c>
      <c r="F1308" s="5" t="inlineStr">
        <is>
          <t>Commercial investigation (proof)</t>
        </is>
      </c>
      <c r="G1308" t="inlineStr">
        <is>
          <t>saas facturation</t>
        </is>
      </c>
      <c r="H1308" t="inlineStr">
        <is>
          <t>SUPPORTS PRIMARY</t>
        </is>
      </c>
      <c r="I1308" t="inlineStr">
        <is>
          <t>fr</t>
        </is>
      </c>
      <c r="J1308" t="n">
        <v>20</v>
      </c>
      <c r="K1308" t="inlineStr">
        <is>
          <t>NOT AVAILABLE</t>
        </is>
      </c>
      <c r="L1308" t="n">
        <v>3.45</v>
      </c>
      <c r="M1308" t="inlineStr">
        <is>
          <t>MEASURED</t>
        </is>
      </c>
      <c r="N1308" t="inlineStr">
        <is>
          <t>Yes (supporting block)</t>
        </is>
      </c>
      <c r="O1308" s="5" t="inlineStr">
        <is>
          <t>Supports the primary topic - add only if natural</t>
        </is>
      </c>
      <c r="P1308" s="5" t="inlineStr"/>
      <c r="Q1308" t="inlineStr">
        <is>
          <t>P3</t>
        </is>
      </c>
      <c r="R1308" t="n">
        <v>340</v>
      </c>
      <c r="S1308" s="5" t="inlineStr">
        <is>
          <t>Du défi à la solution Le Défi Les TPE, PME et freelances francophones géraient encore devis, factures et stock sur des tableurs dispersés, sans numérotation fiable ni vision consolidée de la TVA. Les rares outils disponi</t>
        </is>
      </c>
    </row>
    <row r="1309">
      <c r="A1309" s="3" t="inlineStr">
        <is>
          <t>https://codesommet.com/our-work/hssabek</t>
        </is>
      </c>
      <c r="B1309" t="n">
        <v>3</v>
      </c>
      <c r="C1309" t="inlineStr">
        <is>
          <t>Content block</t>
        </is>
      </c>
      <c r="D1309" s="5" t="inlineStr">
        <is>
          <t>Aperçu de l'Interface</t>
        </is>
      </c>
      <c r="E1309" t="inlineStr">
        <is>
          <t>H2</t>
        </is>
      </c>
      <c r="F1309" s="5" t="inlineStr">
        <is>
          <t>Commercial investigation (proof)</t>
        </is>
      </c>
      <c r="G1309" t="inlineStr">
        <is>
          <t>saas facturation</t>
        </is>
      </c>
      <c r="H1309" t="inlineStr">
        <is>
          <t>SUPPORTS PRIMARY</t>
        </is>
      </c>
      <c r="I1309" t="inlineStr">
        <is>
          <t>fr</t>
        </is>
      </c>
      <c r="J1309" t="n">
        <v>20</v>
      </c>
      <c r="K1309" t="inlineStr">
        <is>
          <t>NOT AVAILABLE</t>
        </is>
      </c>
      <c r="L1309" t="n">
        <v>3.45</v>
      </c>
      <c r="M1309" t="inlineStr">
        <is>
          <t>MEASURED</t>
        </is>
      </c>
      <c r="N1309" t="inlineStr">
        <is>
          <t>Yes (supporting block)</t>
        </is>
      </c>
      <c r="O1309" s="5" t="inlineStr">
        <is>
          <t>Supports the primary topic - add only if natural</t>
        </is>
      </c>
      <c r="P1309" s="5" t="inlineStr"/>
      <c r="Q1309" t="inlineStr">
        <is>
          <t>P3</t>
        </is>
      </c>
      <c r="R1309" t="n">
        <v>19</v>
      </c>
      <c r="S1309" s="5" t="inlineStr">
        <is>
          <t>Démonstration vidéo de l'interface livrée Optimisé Bureau Expérience époustouflante sur grands écrans Adapté Mobile Parfait sur téléphones et tablettes</t>
        </is>
      </c>
    </row>
    <row r="1310">
      <c r="A1310" s="3" t="inlineStr">
        <is>
          <t>https://codesommet.com/our-work/hssabek</t>
        </is>
      </c>
      <c r="B1310" t="n">
        <v>4</v>
      </c>
      <c r="C1310" t="inlineStr">
        <is>
          <t>Proof / portfolio / results</t>
        </is>
      </c>
      <c r="D1310" s="5" t="inlineStr">
        <is>
          <t>Impact Mesurable</t>
        </is>
      </c>
      <c r="E1310" t="inlineStr">
        <is>
          <t>H2</t>
        </is>
      </c>
      <c r="F1310" s="5" t="inlineStr">
        <is>
          <t>Commercial investigation</t>
        </is>
      </c>
      <c r="G1310" t="inlineStr">
        <is>
          <t>saas facturation</t>
        </is>
      </c>
      <c r="H1310" t="inlineStr">
        <is>
          <t>SUPPORTS PRIMARY</t>
        </is>
      </c>
      <c r="I1310" t="inlineStr">
        <is>
          <t>fr</t>
        </is>
      </c>
      <c r="J1310" t="n">
        <v>20</v>
      </c>
      <c r="K1310" t="inlineStr">
        <is>
          <t>NOT AVAILABLE</t>
        </is>
      </c>
      <c r="L1310" t="n">
        <v>3.45</v>
      </c>
      <c r="M1310" t="inlineStr">
        <is>
          <t>MEASURED</t>
        </is>
      </c>
      <c r="N1310" t="inlineStr">
        <is>
          <t>Yes</t>
        </is>
      </c>
      <c r="O1310" s="5" t="inlineStr">
        <is>
          <t>Covered - keep wording; no change</t>
        </is>
      </c>
      <c r="P1310" s="5" t="inlineStr"/>
      <c r="Q1310" t="inlineStr">
        <is>
          <t>P3</t>
        </is>
      </c>
      <c r="R1310" t="n">
        <v>202</v>
      </c>
      <c r="S1310" s="5" t="inlineStr">
        <is>
          <t>Des chiffres réels. Une croissance réelle. Des résultats réels. 70% Temps de Facturation Réduit 2x Relance des Encours 10 000+ Documents Commerciaux Émis &lt; 2s Temps de Chargement 5 000+ Lignes de Stock Suivies 100% centr</t>
        </is>
      </c>
    </row>
    <row r="1311">
      <c r="A1311" s="3" t="inlineStr">
        <is>
          <t>https://codesommet.com/our-work/hssabek</t>
        </is>
      </c>
      <c r="B1311" t="n">
        <v>5</v>
      </c>
      <c r="C1311" t="inlineStr">
        <is>
          <t>CTA / conversion</t>
        </is>
      </c>
      <c r="D1311" s="5" t="inlineStr">
        <is>
          <t>Prêt à Créer Quelque Chose d'Extraordinaire ?</t>
        </is>
      </c>
      <c r="E1311" t="inlineStr">
        <is>
          <t>H2</t>
        </is>
      </c>
      <c r="F1311" s="5" t="inlineStr">
        <is>
          <t>Conversion</t>
        </is>
      </c>
      <c r="G1311" t="inlineStr">
        <is>
          <t>—</t>
        </is>
      </c>
      <c r="H1311" t="inlineStr">
        <is>
          <t>NONE</t>
        </is>
      </c>
      <c r="I1311" t="inlineStr">
        <is>
          <t>—</t>
        </is>
      </c>
      <c r="J1311" t="inlineStr">
        <is>
          <t>—</t>
        </is>
      </c>
      <c r="K1311" t="inlineStr">
        <is>
          <t>—</t>
        </is>
      </c>
      <c r="L1311" t="inlineStr">
        <is>
          <t>—</t>
        </is>
      </c>
      <c r="M1311" t="inlineStr">
        <is>
          <t>—</t>
        </is>
      </c>
      <c r="N1311" t="inlineStr">
        <is>
          <t>n/a</t>
        </is>
      </c>
      <c r="O1311" s="5" t="inlineStr">
        <is>
          <t>No keyword target - keep conversion/navigation focus; use descriptive, non-repeated anchor texts</t>
        </is>
      </c>
      <c r="P1311" s="5" t="inlineStr"/>
      <c r="Q1311" t="inlineStr">
        <is>
          <t>P4</t>
        </is>
      </c>
      <c r="R1311" t="n">
        <v>119</v>
      </c>
      <c r="S1311" s="5" t="inlineStr">
        <is>
          <t>Vous voulez des résultats similaires ? Obtenez votre devis gratuit aujourd'hui Réserver un Appel Découverte Analyser Mon Site Gratuitement Réserver un Appel Découverte Analyser Votre Site Web Planifiez une consultation g</t>
        </is>
      </c>
    </row>
    <row r="1312">
      <c r="A1312" s="3" t="inlineStr">
        <is>
          <t>https://codesommet.com/our-work/mon-asso</t>
        </is>
      </c>
      <c r="B1312" t="n">
        <v>1</v>
      </c>
      <c r="C1312" t="inlineStr">
        <is>
          <t>Hero / H1</t>
        </is>
      </c>
      <c r="D1312" s="5" t="inlineStr">
        <is>
          <t>Mon Asso SaaS de Gestion Associative</t>
        </is>
      </c>
      <c r="E1312" t="inlineStr">
        <is>
          <t>H1</t>
        </is>
      </c>
      <c r="F1312" s="5" t="inlineStr">
        <is>
          <t>Commercial investigation (proof)</t>
        </is>
      </c>
      <c r="G1312" t="inlineStr">
        <is>
          <t>développement saas association</t>
        </is>
      </c>
      <c r="H1312" t="inlineStr">
        <is>
          <t>PRIMARY</t>
        </is>
      </c>
      <c r="I1312" t="inlineStr">
        <is>
          <t>fr</t>
        </is>
      </c>
      <c r="J1312" t="inlineStr">
        <is>
          <t>NOT AVAILABLE</t>
        </is>
      </c>
      <c r="K1312" t="inlineStr">
        <is>
          <t>NOT AVAILABLE</t>
        </is>
      </c>
      <c r="L1312" t="inlineStr">
        <is>
          <t>NOT AVAILABLE</t>
        </is>
      </c>
      <c r="M1312" t="inlineStr">
        <is>
          <t>SUGGESTED</t>
        </is>
      </c>
      <c r="N1312" t="inlineStr">
        <is>
          <t>Partly</t>
        </is>
      </c>
      <c r="O1312" s="5" t="inlineStr">
        <is>
          <t>Work "développement saas association" (or a close natural variant) into existing copy - no new heading needed</t>
        </is>
      </c>
      <c r="P1312" s="5" t="inlineStr">
        <is>
          <t>Keyword/variant absent from this section</t>
        </is>
      </c>
      <c r="Q1312" t="inlineStr">
        <is>
          <t>P3</t>
        </is>
      </c>
      <c r="R1312" t="n">
        <v>47</v>
      </c>
      <c r="S1312" s="5" t="inlineStr">
        <is>
          <t>Solution SaaS Plateforme SaaS moderne et responsive développée sous Laravel pour simplifier la gestion des associations à but non lucratif : membres, réunions, cotisations, événements, documents, dépenses et statistiques</t>
        </is>
      </c>
    </row>
    <row r="1313">
      <c r="A1313" s="3" t="inlineStr">
        <is>
          <t>https://codesommet.com/our-work/mon-asso</t>
        </is>
      </c>
      <c r="B1313" t="n">
        <v>2</v>
      </c>
      <c r="C1313" t="inlineStr">
        <is>
          <t>Content block</t>
        </is>
      </c>
      <c r="D1313" s="5" t="inlineStr">
        <is>
          <t>Le Parcours</t>
        </is>
      </c>
      <c r="E1313" t="inlineStr">
        <is>
          <t>H2</t>
        </is>
      </c>
      <c r="F1313" s="5" t="inlineStr">
        <is>
          <t>Commercial investigation (proof)</t>
        </is>
      </c>
      <c r="G1313" t="inlineStr">
        <is>
          <t>développement saas association</t>
        </is>
      </c>
      <c r="H1313" t="inlineStr">
        <is>
          <t>SUPPORTS PRIMARY</t>
        </is>
      </c>
      <c r="I1313" t="inlineStr">
        <is>
          <t>fr</t>
        </is>
      </c>
      <c r="J1313" t="inlineStr">
        <is>
          <t>NOT AVAILABLE</t>
        </is>
      </c>
      <c r="K1313" t="inlineStr">
        <is>
          <t>NOT AVAILABLE</t>
        </is>
      </c>
      <c r="L1313" t="inlineStr">
        <is>
          <t>NOT AVAILABLE</t>
        </is>
      </c>
      <c r="M1313" t="inlineStr">
        <is>
          <t>SUGGESTED</t>
        </is>
      </c>
      <c r="N1313" t="inlineStr">
        <is>
          <t>Yes (supporting block)</t>
        </is>
      </c>
      <c r="O1313" s="5" t="inlineStr">
        <is>
          <t>Supports the primary topic - add only if natural</t>
        </is>
      </c>
      <c r="P1313" s="5" t="inlineStr"/>
      <c r="Q1313" t="inlineStr">
        <is>
          <t>P3</t>
        </is>
      </c>
      <c r="R1313" t="n">
        <v>294</v>
      </c>
      <c r="S1313" s="5" t="inlineStr">
        <is>
          <t>Du défi à la solution Le Défi Les associations pilotaient leur quotidien sur des tableurs dispersés, des fichiers d'adhérents dupliqués et des cotisations suivies sur papier. Rien ne centralisait membres, réunions, docum</t>
        </is>
      </c>
    </row>
    <row r="1314">
      <c r="A1314" s="3" t="inlineStr">
        <is>
          <t>https://codesommet.com/our-work/mon-asso</t>
        </is>
      </c>
      <c r="B1314" t="n">
        <v>3</v>
      </c>
      <c r="C1314" t="inlineStr">
        <is>
          <t>Content block</t>
        </is>
      </c>
      <c r="D1314" s="5" t="inlineStr">
        <is>
          <t>Aperçu de l'Interface</t>
        </is>
      </c>
      <c r="E1314" t="inlineStr">
        <is>
          <t>H2</t>
        </is>
      </c>
      <c r="F1314" s="5" t="inlineStr">
        <is>
          <t>Commercial investigation (proof)</t>
        </is>
      </c>
      <c r="G1314" t="inlineStr">
        <is>
          <t>développement saas association</t>
        </is>
      </c>
      <c r="H1314" t="inlineStr">
        <is>
          <t>SUPPORTS PRIMARY</t>
        </is>
      </c>
      <c r="I1314" t="inlineStr">
        <is>
          <t>fr</t>
        </is>
      </c>
      <c r="J1314" t="inlineStr">
        <is>
          <t>NOT AVAILABLE</t>
        </is>
      </c>
      <c r="K1314" t="inlineStr">
        <is>
          <t>NOT AVAILABLE</t>
        </is>
      </c>
      <c r="L1314" t="inlineStr">
        <is>
          <t>NOT AVAILABLE</t>
        </is>
      </c>
      <c r="M1314" t="inlineStr">
        <is>
          <t>SUGGESTED</t>
        </is>
      </c>
      <c r="N1314" t="inlineStr">
        <is>
          <t>Yes (supporting block)</t>
        </is>
      </c>
      <c r="O1314" s="5" t="inlineStr">
        <is>
          <t>Supports the primary topic - add only if natural</t>
        </is>
      </c>
      <c r="P1314" s="5" t="inlineStr"/>
      <c r="Q1314" t="inlineStr">
        <is>
          <t>P3</t>
        </is>
      </c>
      <c r="R1314" t="n">
        <v>19</v>
      </c>
      <c r="S1314" s="5" t="inlineStr">
        <is>
          <t>Démonstration vidéo de l'interface livrée Optimisé Bureau Expérience époustouflante sur grands écrans Adapté Mobile Parfait sur téléphones et tablettes</t>
        </is>
      </c>
    </row>
    <row r="1315">
      <c r="A1315" s="3" t="inlineStr">
        <is>
          <t>https://codesommet.com/our-work/mon-asso</t>
        </is>
      </c>
      <c r="B1315" t="n">
        <v>4</v>
      </c>
      <c r="C1315" t="inlineStr">
        <is>
          <t>Proof / portfolio / results</t>
        </is>
      </c>
      <c r="D1315" s="5" t="inlineStr">
        <is>
          <t>Impact Mesurable</t>
        </is>
      </c>
      <c r="E1315" t="inlineStr">
        <is>
          <t>H2</t>
        </is>
      </c>
      <c r="F1315" s="5" t="inlineStr">
        <is>
          <t>Commercial investigation</t>
        </is>
      </c>
      <c r="G1315" t="inlineStr">
        <is>
          <t>développement saas association</t>
        </is>
      </c>
      <c r="H1315" t="inlineStr">
        <is>
          <t>SUPPORTS PRIMARY</t>
        </is>
      </c>
      <c r="I1315" t="inlineStr">
        <is>
          <t>fr</t>
        </is>
      </c>
      <c r="J1315" t="inlineStr">
        <is>
          <t>NOT AVAILABLE</t>
        </is>
      </c>
      <c r="K1315" t="inlineStr">
        <is>
          <t>NOT AVAILABLE</t>
        </is>
      </c>
      <c r="L1315" t="inlineStr">
        <is>
          <t>NOT AVAILABLE</t>
        </is>
      </c>
      <c r="M1315" t="inlineStr">
        <is>
          <t>SUGGESTED</t>
        </is>
      </c>
      <c r="N1315" t="inlineStr">
        <is>
          <t>Yes (supporting block)</t>
        </is>
      </c>
      <c r="O1315" s="5" t="inlineStr">
        <is>
          <t>Supports the primary topic - add only if natural</t>
        </is>
      </c>
      <c r="P1315" s="5" t="inlineStr"/>
      <c r="Q1315" t="inlineStr">
        <is>
          <t>P3</t>
        </is>
      </c>
      <c r="R1315" t="n">
        <v>179</v>
      </c>
      <c r="S1315" s="5" t="inlineStr">
        <is>
          <t xml:space="preserve">Des chiffres réels. Une croissance réelle. Des résultats réels. 1 000+ Membres Gérés 50-70% Temps Administratif Économisé 25,000+ Visiteurs Mensuels &lt; 2s Temps de Chargement 5 000+ opérations Cotisations Traitées 90-95% </t>
        </is>
      </c>
    </row>
    <row r="1316">
      <c r="A1316" s="3" t="inlineStr">
        <is>
          <t>https://codesommet.com/our-work/mon-asso</t>
        </is>
      </c>
      <c r="B1316" t="n">
        <v>5</v>
      </c>
      <c r="C1316" t="inlineStr">
        <is>
          <t>CTA / conversion</t>
        </is>
      </c>
      <c r="D1316" s="5" t="inlineStr">
        <is>
          <t>Prêt à Créer Quelque Chose d'Extraordinaire ?</t>
        </is>
      </c>
      <c r="E1316" t="inlineStr">
        <is>
          <t>H2</t>
        </is>
      </c>
      <c r="F1316" s="5" t="inlineStr">
        <is>
          <t>Conversion</t>
        </is>
      </c>
      <c r="G1316" t="inlineStr">
        <is>
          <t>—</t>
        </is>
      </c>
      <c r="H1316" t="inlineStr">
        <is>
          <t>NONE</t>
        </is>
      </c>
      <c r="I1316" t="inlineStr">
        <is>
          <t>—</t>
        </is>
      </c>
      <c r="J1316" t="inlineStr">
        <is>
          <t>—</t>
        </is>
      </c>
      <c r="K1316" t="inlineStr">
        <is>
          <t>—</t>
        </is>
      </c>
      <c r="L1316" t="inlineStr">
        <is>
          <t>—</t>
        </is>
      </c>
      <c r="M1316" t="inlineStr">
        <is>
          <t>—</t>
        </is>
      </c>
      <c r="N1316" t="inlineStr">
        <is>
          <t>n/a</t>
        </is>
      </c>
      <c r="O1316" s="5" t="inlineStr">
        <is>
          <t>No keyword target - keep conversion/navigation focus; use descriptive, non-repeated anchor texts</t>
        </is>
      </c>
      <c r="P1316" s="5" t="inlineStr"/>
      <c r="Q1316" t="inlineStr">
        <is>
          <t>P4</t>
        </is>
      </c>
      <c r="R1316" t="n">
        <v>119</v>
      </c>
      <c r="S1316" s="5" t="inlineStr">
        <is>
          <t>Vous voulez des résultats similaires ? Obtenez votre devis gratuit aujourd'hui Réserver un Appel Découverte Analyser Mon Site Gratuitement Réserver un Appel Découverte Analyser Votre Site Web Planifiez une consultation g</t>
        </is>
      </c>
    </row>
    <row r="1317">
      <c r="A1317" s="3" t="inlineStr">
        <is>
          <t>https://codesommet.com/our-work/morocco-quest</t>
        </is>
      </c>
      <c r="B1317" t="n">
        <v>1</v>
      </c>
      <c r="C1317" t="inlineStr">
        <is>
          <t>Hero / H1</t>
        </is>
      </c>
      <c r="D1317" s="5" t="inlineStr">
        <is>
          <t>Morocco Quest Agence de Voyage de Luxe</t>
        </is>
      </c>
      <c r="E1317" t="inlineStr">
        <is>
          <t>H1</t>
        </is>
      </c>
      <c r="F1317" s="5" t="inlineStr">
        <is>
          <t>Commercial investigation (proof)</t>
        </is>
      </c>
      <c r="G1317" t="inlineStr">
        <is>
          <t>création site agence de voyage</t>
        </is>
      </c>
      <c r="H1317" t="inlineStr">
        <is>
          <t>PRIMARY</t>
        </is>
      </c>
      <c r="I1317" t="inlineStr">
        <is>
          <t>fr</t>
        </is>
      </c>
      <c r="J1317" t="n">
        <v>70</v>
      </c>
      <c r="K1317" t="inlineStr">
        <is>
          <t>NOT AVAILABLE</t>
        </is>
      </c>
      <c r="L1317" t="n">
        <v>0</v>
      </c>
      <c r="M1317" t="inlineStr">
        <is>
          <t>MEASURED</t>
        </is>
      </c>
      <c r="N1317" t="inlineStr">
        <is>
          <t>Partly</t>
        </is>
      </c>
      <c r="O1317" s="5" t="inlineStr">
        <is>
          <t>Work "création site agence de voyage" (or a close natural variant) into existing copy - no new heading needed</t>
        </is>
      </c>
      <c r="P1317" s="5" t="inlineStr">
        <is>
          <t>Keyword/variant absent from this section</t>
        </is>
      </c>
      <c r="Q1317" t="inlineStr">
        <is>
          <t>P3</t>
        </is>
      </c>
      <c r="R1317" t="n">
        <v>74</v>
      </c>
      <c r="S1317" s="5" t="inlineStr">
        <is>
          <t>Une application Laravel de niveau production pour une agence de voyage de luxe au Maroc : circuits privés, aventures dans le désert du Sahara, voyages culturels et expériences sur mesure, des souks de Marrakech aux dunes</t>
        </is>
      </c>
    </row>
    <row r="1318">
      <c r="A1318" s="3" t="inlineStr">
        <is>
          <t>https://codesommet.com/our-work/morocco-quest</t>
        </is>
      </c>
      <c r="B1318" t="n">
        <v>2</v>
      </c>
      <c r="C1318" t="inlineStr">
        <is>
          <t>Content block</t>
        </is>
      </c>
      <c r="D1318" s="5" t="inlineStr">
        <is>
          <t>Le Parcours</t>
        </is>
      </c>
      <c r="E1318" t="inlineStr">
        <is>
          <t>H2</t>
        </is>
      </c>
      <c r="F1318" s="5" t="inlineStr">
        <is>
          <t>Commercial investigation (proof)</t>
        </is>
      </c>
      <c r="G1318" t="inlineStr">
        <is>
          <t>création site agence de voyage</t>
        </is>
      </c>
      <c r="H1318" t="inlineStr">
        <is>
          <t>SUPPORTS PRIMARY</t>
        </is>
      </c>
      <c r="I1318" t="inlineStr">
        <is>
          <t>fr</t>
        </is>
      </c>
      <c r="J1318" t="n">
        <v>70</v>
      </c>
      <c r="K1318" t="inlineStr">
        <is>
          <t>NOT AVAILABLE</t>
        </is>
      </c>
      <c r="L1318" t="n">
        <v>0</v>
      </c>
      <c r="M1318" t="inlineStr">
        <is>
          <t>MEASURED</t>
        </is>
      </c>
      <c r="N1318" t="inlineStr">
        <is>
          <t>Yes (supporting block)</t>
        </is>
      </c>
      <c r="O1318" s="5" t="inlineStr">
        <is>
          <t>Supports the primary topic - add only if natural</t>
        </is>
      </c>
      <c r="P1318" s="5" t="inlineStr"/>
      <c r="Q1318" t="inlineStr">
        <is>
          <t>P3</t>
        </is>
      </c>
      <c r="R1318" t="n">
        <v>427</v>
      </c>
      <c r="S1318" s="5" t="inlineStr">
        <is>
          <t>Du défi à la solution Le Défi La présence en ligne de l'agence ne reflétait ni le raffinement de ses circuits de luxe ni la diversité de son offre, et toute demande personnalisée exigeait des échanges interminables par e</t>
        </is>
      </c>
    </row>
    <row r="1319">
      <c r="A1319" s="3" t="inlineStr">
        <is>
          <t>https://codesommet.com/our-work/morocco-quest</t>
        </is>
      </c>
      <c r="B1319" t="n">
        <v>3</v>
      </c>
      <c r="C1319" t="inlineStr">
        <is>
          <t>Content block</t>
        </is>
      </c>
      <c r="D1319" s="5" t="inlineStr">
        <is>
          <t>Aperçu de l'Interface</t>
        </is>
      </c>
      <c r="E1319" t="inlineStr">
        <is>
          <t>H2</t>
        </is>
      </c>
      <c r="F1319" s="5" t="inlineStr">
        <is>
          <t>Commercial investigation (proof)</t>
        </is>
      </c>
      <c r="G1319" t="inlineStr">
        <is>
          <t>création site agence de voyage</t>
        </is>
      </c>
      <c r="H1319" t="inlineStr">
        <is>
          <t>SUPPORTS PRIMARY</t>
        </is>
      </c>
      <c r="I1319" t="inlineStr">
        <is>
          <t>fr</t>
        </is>
      </c>
      <c r="J1319" t="n">
        <v>70</v>
      </c>
      <c r="K1319" t="inlineStr">
        <is>
          <t>NOT AVAILABLE</t>
        </is>
      </c>
      <c r="L1319" t="n">
        <v>0</v>
      </c>
      <c r="M1319" t="inlineStr">
        <is>
          <t>MEASURED</t>
        </is>
      </c>
      <c r="N1319" t="inlineStr">
        <is>
          <t>Yes (supporting block)</t>
        </is>
      </c>
      <c r="O1319" s="5" t="inlineStr">
        <is>
          <t>Supports the primary topic - add only if natural</t>
        </is>
      </c>
      <c r="P1319" s="5" t="inlineStr"/>
      <c r="Q1319" t="inlineStr">
        <is>
          <t>P3</t>
        </is>
      </c>
      <c r="R1319" t="n">
        <v>19</v>
      </c>
      <c r="S1319" s="5" t="inlineStr">
        <is>
          <t>Démonstration vidéo de l'interface livrée Optimisé Bureau Expérience époustouflante sur grands écrans Adapté Mobile Parfait sur téléphones et tablettes</t>
        </is>
      </c>
    </row>
    <row r="1320">
      <c r="A1320" s="3" t="inlineStr">
        <is>
          <t>https://codesommet.com/our-work/morocco-quest</t>
        </is>
      </c>
      <c r="B1320" t="n">
        <v>4</v>
      </c>
      <c r="C1320" t="inlineStr">
        <is>
          <t>Proof / portfolio / results</t>
        </is>
      </c>
      <c r="D1320" s="5" t="inlineStr">
        <is>
          <t>Impact Mesurable</t>
        </is>
      </c>
      <c r="E1320" t="inlineStr">
        <is>
          <t>H2</t>
        </is>
      </c>
      <c r="F1320" s="5" t="inlineStr">
        <is>
          <t>Commercial investigation</t>
        </is>
      </c>
      <c r="G1320" t="inlineStr">
        <is>
          <t>création site agence de voyage</t>
        </is>
      </c>
      <c r="H1320" t="inlineStr">
        <is>
          <t>SUPPORTS PRIMARY</t>
        </is>
      </c>
      <c r="I1320" t="inlineStr">
        <is>
          <t>fr</t>
        </is>
      </c>
      <c r="J1320" t="n">
        <v>70</v>
      </c>
      <c r="K1320" t="inlineStr">
        <is>
          <t>NOT AVAILABLE</t>
        </is>
      </c>
      <c r="L1320" t="n">
        <v>0</v>
      </c>
      <c r="M1320" t="inlineStr">
        <is>
          <t>MEASURED</t>
        </is>
      </c>
      <c r="N1320" t="inlineStr">
        <is>
          <t>Yes (supporting block)</t>
        </is>
      </c>
      <c r="O1320" s="5" t="inlineStr">
        <is>
          <t>Supports the primary topic - add only if natural</t>
        </is>
      </c>
      <c r="P1320" s="5" t="inlineStr"/>
      <c r="Q1320" t="inlineStr">
        <is>
          <t>P3</t>
        </is>
      </c>
      <c r="R1320" t="n">
        <v>166</v>
      </c>
      <c r="S1320" s="5" t="inlineStr">
        <is>
          <t>Des chiffres réels. Une croissance réelle. Des résultats réels. 26.4x Augmentation des Demandes 8.3% Taux de Conversion 85,000+ Visiteurs Mensuels &lt; 1.5s Temps de Chargement Comparez les Performances de Votre Site Web No</t>
        </is>
      </c>
    </row>
    <row r="1321">
      <c r="A1321" s="3" t="inlineStr">
        <is>
          <t>https://codesommet.com/our-work/morocco-quest</t>
        </is>
      </c>
      <c r="B1321" t="n">
        <v>5</v>
      </c>
      <c r="C1321" t="inlineStr">
        <is>
          <t>CTA / conversion</t>
        </is>
      </c>
      <c r="D1321" s="5" t="inlineStr">
        <is>
          <t>Prêt à Créer Quelque Chose d'Extraordinaire ?</t>
        </is>
      </c>
      <c r="E1321" t="inlineStr">
        <is>
          <t>H2</t>
        </is>
      </c>
      <c r="F1321" s="5" t="inlineStr">
        <is>
          <t>Conversion</t>
        </is>
      </c>
      <c r="G1321" t="inlineStr">
        <is>
          <t>—</t>
        </is>
      </c>
      <c r="H1321" t="inlineStr">
        <is>
          <t>NONE</t>
        </is>
      </c>
      <c r="I1321" t="inlineStr">
        <is>
          <t>—</t>
        </is>
      </c>
      <c r="J1321" t="inlineStr">
        <is>
          <t>—</t>
        </is>
      </c>
      <c r="K1321" t="inlineStr">
        <is>
          <t>—</t>
        </is>
      </c>
      <c r="L1321" t="inlineStr">
        <is>
          <t>—</t>
        </is>
      </c>
      <c r="M1321" t="inlineStr">
        <is>
          <t>—</t>
        </is>
      </c>
      <c r="N1321" t="inlineStr">
        <is>
          <t>n/a</t>
        </is>
      </c>
      <c r="O1321" s="5" t="inlineStr">
        <is>
          <t>No keyword target - keep conversion/navigation focus; use descriptive, non-repeated anchor texts</t>
        </is>
      </c>
      <c r="P1321" s="5" t="inlineStr"/>
      <c r="Q1321" t="inlineStr">
        <is>
          <t>P4</t>
        </is>
      </c>
      <c r="R1321" t="n">
        <v>119</v>
      </c>
      <c r="S1321" s="5" t="inlineStr">
        <is>
          <t>Vous voulez des résultats similaires ? Obtenez votre devis gratuit aujourd'hui Réserver un Appel Découverte Analyser Mon Site Gratuitement Réserver un Appel Découverte Analyser Votre Site Web Planifiez une consultation g</t>
        </is>
      </c>
    </row>
    <row r="1322">
      <c r="A1322" s="3" t="inlineStr">
        <is>
          <t>https://codesommet.com/blog/creer-une-plateforme-saas-mvp-multi-tenant-facturation-par-ou-commencer</t>
        </is>
      </c>
      <c r="B1322" t="n">
        <v>1</v>
      </c>
      <c r="C1322" t="inlineStr">
        <is>
          <t>Hero / H1</t>
        </is>
      </c>
      <c r="D1322" s="5" t="inlineStr">
        <is>
          <t>Créer une plateforme SaaS : MVP, multi-tenant, facturation — par où commencer ?</t>
        </is>
      </c>
      <c r="E1322" t="inlineStr">
        <is>
          <t>H1</t>
        </is>
      </c>
      <c r="F1322" s="5" t="inlineStr">
        <is>
          <t>Informational</t>
        </is>
      </c>
      <c r="G1322" t="inlineStr">
        <is>
          <t>créer un saas</t>
        </is>
      </c>
      <c r="H1322" t="inlineStr">
        <is>
          <t>PRIMARY</t>
        </is>
      </c>
      <c r="I1322" t="inlineStr">
        <is>
          <t>fr</t>
        </is>
      </c>
      <c r="J1322" t="n">
        <v>170</v>
      </c>
      <c r="K1322" t="n">
        <v>10</v>
      </c>
      <c r="L1322" t="n">
        <v>2.79</v>
      </c>
      <c r="M1322" t="inlineStr">
        <is>
          <t>MEASURED</t>
        </is>
      </c>
      <c r="N1322" t="inlineStr">
        <is>
          <t>Yes</t>
        </is>
      </c>
      <c r="O1322" s="5" t="inlineStr">
        <is>
          <t>Covered - keep wording; no change</t>
        </is>
      </c>
      <c r="P1322" s="5" t="inlineStr"/>
      <c r="Q1322" t="inlineStr">
        <is>
          <t>P3</t>
        </is>
      </c>
      <c r="R1322" t="n">
        <v>105</v>
      </c>
      <c r="S1322" s="5" t="inlineStr">
        <is>
          <t>Lancer un SaaS, c'est enchaîner des décisions qui engagent pour des années : périmètre du MVP, isolation des clients, modèle d'abonnement, facturation. Voici l'ordre dans lequel les prendre, et les pièges à éviter. CodeS</t>
        </is>
      </c>
    </row>
    <row r="1323">
      <c r="A1323" s="3" t="inlineStr">
        <is>
          <t>https://codesommet.com/blog/creer-une-plateforme-saas-mvp-multi-tenant-facturation-par-ou-commencer</t>
        </is>
      </c>
      <c r="B1323" t="n">
        <v>2</v>
      </c>
      <c r="C1323" t="inlineStr">
        <is>
          <t>Process / how it works</t>
        </is>
      </c>
      <c r="D1323" s="5" t="inlineStr">
        <is>
          <t>Étape 1 : réduire le MVP à un seul problème résolu</t>
        </is>
      </c>
      <c r="E1323" t="inlineStr">
        <is>
          <t>H2</t>
        </is>
      </c>
      <c r="F1323" s="5" t="inlineStr">
        <is>
          <t>Informational / commercial</t>
        </is>
      </c>
      <c r="G1323" t="inlineStr">
        <is>
          <t>créer un saas</t>
        </is>
      </c>
      <c r="H1323" t="inlineStr">
        <is>
          <t>SUPPORTS PRIMARY</t>
        </is>
      </c>
      <c r="I1323" t="inlineStr">
        <is>
          <t>fr</t>
        </is>
      </c>
      <c r="J1323" t="n">
        <v>170</v>
      </c>
      <c r="K1323" t="n">
        <v>10</v>
      </c>
      <c r="L1323" t="n">
        <v>2.79</v>
      </c>
      <c r="M1323" t="inlineStr">
        <is>
          <t>MEASURED</t>
        </is>
      </c>
      <c r="N1323" t="inlineStr">
        <is>
          <t>Yes (supporting block)</t>
        </is>
      </c>
      <c r="O1323" s="5" t="inlineStr">
        <is>
          <t>Supports the primary topic - add only if natural</t>
        </is>
      </c>
      <c r="P1323" s="5" t="inlineStr"/>
      <c r="Q1323" t="inlineStr">
        <is>
          <t>P3</t>
        </is>
      </c>
      <c r="R1323" t="n">
        <v>145</v>
      </c>
      <c r="S1323" s="5" t="inlineStr">
        <is>
          <t>La tentation la plus courante est de vouloir lancer un produit « complet ». Or, un MVP (produit minimum viable) n'est pas une version dégradée du produit final : c'est la plus petite chose qu'un client réel accepterait d</t>
        </is>
      </c>
    </row>
    <row r="1324">
      <c r="A1324" s="3" t="inlineStr">
        <is>
          <t>https://codesommet.com/blog/creer-une-plateforme-saas-mvp-multi-tenant-facturation-par-ou-commencer</t>
        </is>
      </c>
      <c r="B1324" t="n">
        <v>3</v>
      </c>
      <c r="C1324" t="inlineStr">
        <is>
          <t>Process / how it works</t>
        </is>
      </c>
      <c r="D1324" s="5" t="inlineStr">
        <is>
          <t>Étape 2 : choisir le modèle multi-tenant dès le premier jour</t>
        </is>
      </c>
      <c r="E1324" t="inlineStr">
        <is>
          <t>H2</t>
        </is>
      </c>
      <c r="F1324" s="5" t="inlineStr">
        <is>
          <t>Informational / commercial</t>
        </is>
      </c>
      <c r="G1324" t="inlineStr">
        <is>
          <t>créer un saas</t>
        </is>
      </c>
      <c r="H1324" t="inlineStr">
        <is>
          <t>SUPPORTS PRIMARY</t>
        </is>
      </c>
      <c r="I1324" t="inlineStr">
        <is>
          <t>fr</t>
        </is>
      </c>
      <c r="J1324" t="n">
        <v>170</v>
      </c>
      <c r="K1324" t="n">
        <v>10</v>
      </c>
      <c r="L1324" t="n">
        <v>2.79</v>
      </c>
      <c r="M1324" t="inlineStr">
        <is>
          <t>MEASURED</t>
        </is>
      </c>
      <c r="N1324" t="inlineStr">
        <is>
          <t>Yes (supporting block)</t>
        </is>
      </c>
      <c r="O1324" s="5" t="inlineStr">
        <is>
          <t>Supports the primary topic - add only if natural</t>
        </is>
      </c>
      <c r="P1324" s="5" t="inlineStr"/>
      <c r="Q1324" t="inlineStr">
        <is>
          <t>P3</t>
        </is>
      </c>
      <c r="R1324" t="n">
        <v>214</v>
      </c>
      <c r="S1324" s="5" t="inlineStr">
        <is>
          <t>Dans un SaaS, chaque client (« tenant ») doit voir uniquement ses données, tout en partageant l'infrastructure. Trois grandes approches existent : Base de données partagée, isolation par colonne Toutes les données de tou</t>
        </is>
      </c>
    </row>
    <row r="1325">
      <c r="A1325" s="3" t="inlineStr">
        <is>
          <t>https://codesommet.com/blog/creer-une-plateforme-saas-mvp-multi-tenant-facturation-par-ou-commencer</t>
        </is>
      </c>
      <c r="B1325" t="n">
        <v>4</v>
      </c>
      <c r="C1325" t="inlineStr">
        <is>
          <t>Process / how it works</t>
        </is>
      </c>
      <c r="D1325" s="5" t="inlineStr">
        <is>
          <t>Étape 3 : décider ce que « compte » et « utilisateur » veulent dire</t>
        </is>
      </c>
      <c r="E1325" t="inlineStr">
        <is>
          <t>H2</t>
        </is>
      </c>
      <c r="F1325" s="5" t="inlineStr">
        <is>
          <t>Informational / commercial</t>
        </is>
      </c>
      <c r="G1325" t="inlineStr">
        <is>
          <t>créer un saas</t>
        </is>
      </c>
      <c r="H1325" t="inlineStr">
        <is>
          <t>SUPPORTS PRIMARY</t>
        </is>
      </c>
      <c r="I1325" t="inlineStr">
        <is>
          <t>fr</t>
        </is>
      </c>
      <c r="J1325" t="n">
        <v>170</v>
      </c>
      <c r="K1325" t="n">
        <v>10</v>
      </c>
      <c r="L1325" t="n">
        <v>2.79</v>
      </c>
      <c r="M1325" t="inlineStr">
        <is>
          <t>MEASURED</t>
        </is>
      </c>
      <c r="N1325" t="inlineStr">
        <is>
          <t>Yes (supporting block)</t>
        </is>
      </c>
      <c r="O1325" s="5" t="inlineStr">
        <is>
          <t>Supports the primary topic - add only if natural</t>
        </is>
      </c>
      <c r="P1325" s="5" t="inlineStr"/>
      <c r="Q1325" t="inlineStr">
        <is>
          <t>P3</t>
        </is>
      </c>
      <c r="R1325" t="n">
        <v>63</v>
      </c>
      <c r="S1325" s="5" t="inlineStr">
        <is>
          <t xml:space="preserve">Cette question paraît anodine et provoque pourtant des refontes coûteuses. Un utilisateur peut-il appartenir à plusieurs organisations ? Qui est administrateur ? Comment invite-t-on un collègue ? Que se passe-t-il quand </t>
        </is>
      </c>
    </row>
    <row r="1326">
      <c r="A1326" s="3" t="inlineStr">
        <is>
          <t>https://codesommet.com/blog/creer-une-plateforme-saas-mvp-multi-tenant-facturation-par-ou-commencer</t>
        </is>
      </c>
      <c r="B1326" t="n">
        <v>5</v>
      </c>
      <c r="C1326" t="inlineStr">
        <is>
          <t>Process / how it works</t>
        </is>
      </c>
      <c r="D1326" s="5" t="inlineStr">
        <is>
          <t>Étape 4 : abonnements et facturation — simple d'abord, mais bien fait</t>
        </is>
      </c>
      <c r="E1326" t="inlineStr">
        <is>
          <t>H2</t>
        </is>
      </c>
      <c r="F1326" s="5" t="inlineStr">
        <is>
          <t>Informational / commercial</t>
        </is>
      </c>
      <c r="G1326" t="inlineStr">
        <is>
          <t>créer un saas</t>
        </is>
      </c>
      <c r="H1326" t="inlineStr">
        <is>
          <t>SUPPORTS PRIMARY</t>
        </is>
      </c>
      <c r="I1326" t="inlineStr">
        <is>
          <t>fr</t>
        </is>
      </c>
      <c r="J1326" t="n">
        <v>170</v>
      </c>
      <c r="K1326" t="n">
        <v>10</v>
      </c>
      <c r="L1326" t="n">
        <v>2.79</v>
      </c>
      <c r="M1326" t="inlineStr">
        <is>
          <t>MEASURED</t>
        </is>
      </c>
      <c r="N1326" t="inlineStr">
        <is>
          <t>Yes (supporting block)</t>
        </is>
      </c>
      <c r="O1326" s="5" t="inlineStr">
        <is>
          <t>Supports the primary topic - add only if natural</t>
        </is>
      </c>
      <c r="P1326" s="5" t="inlineStr"/>
      <c r="Q1326" t="inlineStr">
        <is>
          <t>P3</t>
        </is>
      </c>
      <c r="R1326" t="n">
        <v>167</v>
      </c>
      <c r="S1326" s="5" t="inlineStr">
        <is>
          <t>La facturation est le second sujet où les raccourcis se paient cher. Points à traiter dès la première version : Le modèle de prix : par utilisateur, par organisation, par usage, ou mixte ? Un modèle simple est plus facil</t>
        </is>
      </c>
    </row>
    <row r="1327">
      <c r="A1327" s="3" t="inlineStr">
        <is>
          <t>https://codesommet.com/blog/creer-une-plateforme-saas-mvp-multi-tenant-facturation-par-ou-commencer</t>
        </is>
      </c>
      <c r="B1327" t="n">
        <v>6</v>
      </c>
      <c r="C1327" t="inlineStr">
        <is>
          <t>Process / how it works</t>
        </is>
      </c>
      <c r="D1327" s="5" t="inlineStr">
        <is>
          <t>Étape 5 : sécurité et données, sans attendre le premier incident</t>
        </is>
      </c>
      <c r="E1327" t="inlineStr">
        <is>
          <t>H2</t>
        </is>
      </c>
      <c r="F1327" s="5" t="inlineStr">
        <is>
          <t>Informational / commercial</t>
        </is>
      </c>
      <c r="G1327" t="inlineStr">
        <is>
          <t>créer un saas</t>
        </is>
      </c>
      <c r="H1327" t="inlineStr">
        <is>
          <t>SUPPORTS PRIMARY</t>
        </is>
      </c>
      <c r="I1327" t="inlineStr">
        <is>
          <t>fr</t>
        </is>
      </c>
      <c r="J1327" t="n">
        <v>170</v>
      </c>
      <c r="K1327" t="n">
        <v>10</v>
      </c>
      <c r="L1327" t="n">
        <v>2.79</v>
      </c>
      <c r="M1327" t="inlineStr">
        <is>
          <t>MEASURED</t>
        </is>
      </c>
      <c r="N1327" t="inlineStr">
        <is>
          <t>Yes (supporting block)</t>
        </is>
      </c>
      <c r="O1327" s="5" t="inlineStr">
        <is>
          <t>Supports the primary topic - add only if natural</t>
        </is>
      </c>
      <c r="P1327" s="5" t="inlineStr"/>
      <c r="Q1327" t="inlineStr">
        <is>
          <t>P3</t>
        </is>
      </c>
      <c r="R1327" t="n">
        <v>105</v>
      </c>
      <c r="S1327" s="5" t="inlineStr">
        <is>
          <t>Un SaaS est une cible par nature : une seule faille expose tous les clients. Les fondamentaux à mettre en place avant l'ouverture : authentification robuste, avec option d'authentification à deux facteurs et, pour les cl</t>
        </is>
      </c>
    </row>
    <row r="1328">
      <c r="A1328" s="3" t="inlineStr">
        <is>
          <t>https://codesommet.com/blog/creer-une-plateforme-saas-mvp-multi-tenant-facturation-par-ou-commencer</t>
        </is>
      </c>
      <c r="B1328" t="n">
        <v>7</v>
      </c>
      <c r="C1328" t="inlineStr">
        <is>
          <t>Process / how it works</t>
        </is>
      </c>
      <c r="D1328" s="5" t="inlineStr">
        <is>
          <t>Étape 6 : la performance comme argument commercial</t>
        </is>
      </c>
      <c r="E1328" t="inlineStr">
        <is>
          <t>H2</t>
        </is>
      </c>
      <c r="F1328" s="5" t="inlineStr">
        <is>
          <t>Informational / commercial</t>
        </is>
      </c>
      <c r="G1328" t="inlineStr">
        <is>
          <t>créer un saas</t>
        </is>
      </c>
      <c r="H1328" t="inlineStr">
        <is>
          <t>SUPPORTS PRIMARY</t>
        </is>
      </c>
      <c r="I1328" t="inlineStr">
        <is>
          <t>fr</t>
        </is>
      </c>
      <c r="J1328" t="n">
        <v>170</v>
      </c>
      <c r="K1328" t="n">
        <v>10</v>
      </c>
      <c r="L1328" t="n">
        <v>2.79</v>
      </c>
      <c r="M1328" t="inlineStr">
        <is>
          <t>MEASURED</t>
        </is>
      </c>
      <c r="N1328" t="inlineStr">
        <is>
          <t>Yes (supporting block)</t>
        </is>
      </c>
      <c r="O1328" s="5" t="inlineStr">
        <is>
          <t>Supports the primary topic - add only if natural</t>
        </is>
      </c>
      <c r="P1328" s="5" t="inlineStr"/>
      <c r="Q1328" t="inlineStr">
        <is>
          <t>P3</t>
        </is>
      </c>
      <c r="R1328" t="n">
        <v>111</v>
      </c>
      <c r="S1328" s="5" t="inlineStr">
        <is>
          <t xml:space="preserve">Un SaaS lent se traduit directement par des désabonnements : l'utilisateur le subit tous les jours. Deux aspects sont à distinguer. D'abord la performance de l'application elle-même (requêtes, pagination, traitements en </t>
        </is>
      </c>
    </row>
    <row r="1329">
      <c r="A1329" s="3" t="inlineStr">
        <is>
          <t>https://codesommet.com/blog/creer-une-plateforme-saas-mvp-multi-tenant-facturation-par-ou-commencer</t>
        </is>
      </c>
      <c r="B1329" t="n">
        <v>8</v>
      </c>
      <c r="C1329" t="inlineStr">
        <is>
          <t>Process / how it works</t>
        </is>
      </c>
      <c r="D1329" s="5" t="inlineStr">
        <is>
          <t>Étape 7 : ce qui peut attendre la version 2</t>
        </is>
      </c>
      <c r="E1329" t="inlineStr">
        <is>
          <t>H2</t>
        </is>
      </c>
      <c r="F1329" s="5" t="inlineStr">
        <is>
          <t>Informational / commercial</t>
        </is>
      </c>
      <c r="G1329" t="inlineStr">
        <is>
          <t>créer un saas</t>
        </is>
      </c>
      <c r="H1329" t="inlineStr">
        <is>
          <t>SUPPORTS PRIMARY</t>
        </is>
      </c>
      <c r="I1329" t="inlineStr">
        <is>
          <t>fr</t>
        </is>
      </c>
      <c r="J1329" t="n">
        <v>170</v>
      </c>
      <c r="K1329" t="n">
        <v>10</v>
      </c>
      <c r="L1329" t="n">
        <v>2.79</v>
      </c>
      <c r="M1329" t="inlineStr">
        <is>
          <t>MEASURED</t>
        </is>
      </c>
      <c r="N1329" t="inlineStr">
        <is>
          <t>Yes (supporting block)</t>
        </is>
      </c>
      <c r="O1329" s="5" t="inlineStr">
        <is>
          <t>Supports the primary topic - add only if natural</t>
        </is>
      </c>
      <c r="P1329" s="5" t="inlineStr"/>
      <c r="Q1329" t="inlineStr">
        <is>
          <t>P3</t>
        </is>
      </c>
      <c r="R1329" t="n">
        <v>63</v>
      </c>
      <c r="S1329" s="5" t="inlineStr">
        <is>
          <t>Pour finir, une liste de fonctions que l'on voit trop souvent dans un MVP alors qu'elles peuvent attendre : l'API publique (sauf si c'est votre produit), l'application mobile native, la marque blanche, les rapports perso</t>
        </is>
      </c>
    </row>
    <row r="1330">
      <c r="A1330" s="3" t="inlineStr">
        <is>
          <t>https://codesommet.com/blog/creer-une-plateforme-saas-mvp-multi-tenant-facturation-par-ou-commencer</t>
        </is>
      </c>
      <c r="B1330" t="n">
        <v>9</v>
      </c>
      <c r="C1330" t="inlineStr">
        <is>
          <t>Content block</t>
        </is>
      </c>
      <c r="D1330" s="5" t="inlineStr">
        <is>
          <t>Par où commencer, concrètement</t>
        </is>
      </c>
      <c r="E1330" t="inlineStr">
        <is>
          <t>H2</t>
        </is>
      </c>
      <c r="F1330" s="5" t="inlineStr">
        <is>
          <t>Informational</t>
        </is>
      </c>
      <c r="G1330" t="inlineStr">
        <is>
          <t>mvp saas</t>
        </is>
      </c>
      <c r="H1330" t="inlineStr">
        <is>
          <t>SECONDARY</t>
        </is>
      </c>
      <c r="I1330" t="inlineStr">
        <is>
          <t>fr</t>
        </is>
      </c>
      <c r="J1330" t="n">
        <v>110</v>
      </c>
      <c r="K1330" t="n">
        <v>13</v>
      </c>
      <c r="L1330" t="n">
        <v>1.98</v>
      </c>
      <c r="M1330" t="inlineStr">
        <is>
          <t>MEASURED</t>
        </is>
      </c>
      <c r="N1330" t="inlineStr">
        <is>
          <t>Partly</t>
        </is>
      </c>
      <c r="O1330" s="5" t="inlineStr">
        <is>
          <t>Work "mvp saas" (or a close natural variant) into existing copy - no new heading needed</t>
        </is>
      </c>
      <c r="P1330" s="5" t="inlineStr">
        <is>
          <t>Keyword/variant absent from this section</t>
        </is>
      </c>
      <c r="Q1330" t="inlineStr">
        <is>
          <t>P3</t>
        </is>
      </c>
      <c r="R1330" t="n">
        <v>129</v>
      </c>
      <c r="S1330" s="5" t="inlineStr">
        <is>
          <t>Dans l'ordre : un parcours utilisateur écrit, un choix de modèle multi-tenant motivé par vos clients cibles, un modèle de données qui sépare organisation, utilisateurs et abonnement, un prestataire de paiement, les fonda</t>
        </is>
      </c>
    </row>
    <row r="1331">
      <c r="A1331" s="3" t="inlineStr">
        <is>
          <t>https://codesommet.com/blog/creer-une-plateforme-saas-mvp-multi-tenant-facturation-par-ou-commencer</t>
        </is>
      </c>
      <c r="B1331" t="n">
        <v>10</v>
      </c>
      <c r="C1331" t="inlineStr">
        <is>
          <t>Internal-link block</t>
        </is>
      </c>
      <c r="D1331" s="5" t="inlineStr">
        <is>
          <t>Articles Similaires</t>
        </is>
      </c>
      <c r="E1331" t="inlineStr">
        <is>
          <t>H2</t>
        </is>
      </c>
      <c r="F1331" s="5" t="inlineStr">
        <is>
          <t>Navigation</t>
        </is>
      </c>
      <c r="G1331" t="inlineStr">
        <is>
          <t>—</t>
        </is>
      </c>
      <c r="H1331" t="inlineStr">
        <is>
          <t>NONE</t>
        </is>
      </c>
      <c r="I1331" t="inlineStr">
        <is>
          <t>—</t>
        </is>
      </c>
      <c r="J1331" t="inlineStr">
        <is>
          <t>—</t>
        </is>
      </c>
      <c r="K1331" t="inlineStr">
        <is>
          <t>—</t>
        </is>
      </c>
      <c r="L1331" t="inlineStr">
        <is>
          <t>—</t>
        </is>
      </c>
      <c r="M1331" t="inlineStr">
        <is>
          <t>—</t>
        </is>
      </c>
      <c r="N1331" t="inlineStr">
        <is>
          <t>n/a</t>
        </is>
      </c>
      <c r="O1331" s="5" t="inlineStr">
        <is>
          <t>No keyword target - keep conversion/navigation focus; use descriptive, non-repeated anchor texts</t>
        </is>
      </c>
      <c r="P1331" s="5" t="inlineStr"/>
      <c r="Q1331" t="inlineStr">
        <is>
          <t>P4</t>
        </is>
      </c>
      <c r="R1331" t="n">
        <v>167</v>
      </c>
      <c r="S1331" s="5" t="inlineStr">
        <is>
          <t>Développement Web 20 août 2026 · 7 min de lecture Site immobilier : comment structurer les annonces pour le SEO et la conversion Une annonce immobilière est à la fois une page de recherche et une page de vente. Voici com</t>
        </is>
      </c>
    </row>
    <row r="1332">
      <c r="A1332" s="3" t="inlineStr">
        <is>
          <t>https://codesommet.com/blog/creer-une-plateforme-saas-mvp-multi-tenant-facturation-par-ou-commencer</t>
        </is>
      </c>
      <c r="B1332" t="n">
        <v>11</v>
      </c>
      <c r="C1332" t="inlineStr">
        <is>
          <t>CTA / conversion</t>
        </is>
      </c>
      <c r="D1332" s="5" t="inlineStr">
        <is>
          <t>Prêt à Construire Quelque Chose d'Extraordinaire ?</t>
        </is>
      </c>
      <c r="E1332" t="inlineStr">
        <is>
          <t>H2</t>
        </is>
      </c>
      <c r="F1332" s="5" t="inlineStr">
        <is>
          <t>Conversion</t>
        </is>
      </c>
      <c r="G1332" t="inlineStr">
        <is>
          <t>—</t>
        </is>
      </c>
      <c r="H1332" t="inlineStr">
        <is>
          <t>NONE</t>
        </is>
      </c>
      <c r="I1332" t="inlineStr">
        <is>
          <t>—</t>
        </is>
      </c>
      <c r="J1332" t="inlineStr">
        <is>
          <t>—</t>
        </is>
      </c>
      <c r="K1332" t="inlineStr">
        <is>
          <t>—</t>
        </is>
      </c>
      <c r="L1332" t="inlineStr">
        <is>
          <t>—</t>
        </is>
      </c>
      <c r="M1332" t="inlineStr">
        <is>
          <t>—</t>
        </is>
      </c>
      <c r="N1332" t="inlineStr">
        <is>
          <t>n/a</t>
        </is>
      </c>
      <c r="O1332" s="5" t="inlineStr">
        <is>
          <t>No keyword target - keep conversion/navigation focus; use descriptive, non-repeated anchor texts</t>
        </is>
      </c>
      <c r="P1332" s="5" t="inlineStr"/>
      <c r="Q1332" t="inlineStr">
        <is>
          <t>P4</t>
        </is>
      </c>
      <c r="R1332" t="n">
        <v>89</v>
      </c>
      <c r="S1332" s="5" t="inlineStr">
        <is>
          <t>Rejoignez les entreprises qui nous font confiance pour bâtir leur succès digital Obtenez Votre Devis Gratuit Analysez Votre Site Web Développement Web E-commerce Applications Mobile UI/UX Design SEO Branding SaaS Marketi</t>
        </is>
      </c>
    </row>
    <row r="1333">
      <c r="A1333" s="3" t="inlineStr">
        <is>
          <t>https://codesommet.com/blog/site-immobilier-structurer-les-annonces-pour-le-seo-et-la-conversion</t>
        </is>
      </c>
      <c r="B1333" t="n">
        <v>1</v>
      </c>
      <c r="C1333" t="inlineStr">
        <is>
          <t>Hero / H1</t>
        </is>
      </c>
      <c r="D1333" s="5" t="inlineStr">
        <is>
          <t>Site immobilier : comment structurer les annonces pour le SEO et la conversion</t>
        </is>
      </c>
      <c r="E1333" t="inlineStr">
        <is>
          <t>H1</t>
        </is>
      </c>
      <c r="F1333" s="5" t="inlineStr">
        <is>
          <t>Informational</t>
        </is>
      </c>
      <c r="G1333" t="inlineStr">
        <is>
          <t>seo immobilier</t>
        </is>
      </c>
      <c r="H1333" t="inlineStr">
        <is>
          <t>PRIMARY</t>
        </is>
      </c>
      <c r="I1333" t="inlineStr">
        <is>
          <t>fr</t>
        </is>
      </c>
      <c r="J1333" t="n">
        <v>480</v>
      </c>
      <c r="K1333" t="n">
        <v>24</v>
      </c>
      <c r="L1333" t="n">
        <v>4.38</v>
      </c>
      <c r="M1333" t="inlineStr">
        <is>
          <t>MEASURED</t>
        </is>
      </c>
      <c r="N1333" t="inlineStr">
        <is>
          <t>Yes</t>
        </is>
      </c>
      <c r="O1333" s="5" t="inlineStr">
        <is>
          <t>Covered - keep wording; no change</t>
        </is>
      </c>
      <c r="P1333" s="5" t="inlineStr"/>
      <c r="Q1333" t="inlineStr">
        <is>
          <t>P3</t>
        </is>
      </c>
      <c r="R1333" t="n">
        <v>135</v>
      </c>
      <c r="S1333" s="5" t="inlineStr">
        <is>
          <t>Une annonce immobilière est à la fois une page de recherche et une page de vente. Voici comment structurer URL, titres, contenus, données structurées et appels à l'action pour qu'elle soit trouvée et qu'elle convertisse.</t>
        </is>
      </c>
    </row>
    <row r="1334">
      <c r="A1334" s="3" t="inlineStr">
        <is>
          <t>https://codesommet.com/blog/site-immobilier-structurer-les-annonces-pour-le-seo-et-la-conversion</t>
        </is>
      </c>
      <c r="B1334" t="n">
        <v>2</v>
      </c>
      <c r="C1334" t="inlineStr">
        <is>
          <t>Content block</t>
        </is>
      </c>
      <c r="D1334" s="5" t="inlineStr">
        <is>
          <t>Penser l'annonce comme une page à part entière</t>
        </is>
      </c>
      <c r="E1334" t="inlineStr">
        <is>
          <t>H2</t>
        </is>
      </c>
      <c r="F1334" s="5" t="inlineStr">
        <is>
          <t>Informational</t>
        </is>
      </c>
      <c r="G1334" t="inlineStr">
        <is>
          <t>référencement site immobilier</t>
        </is>
      </c>
      <c r="H1334" t="inlineStr">
        <is>
          <t>SECONDARY</t>
        </is>
      </c>
      <c r="I1334" t="inlineStr">
        <is>
          <t>fr</t>
        </is>
      </c>
      <c r="J1334" t="n">
        <v>320</v>
      </c>
      <c r="K1334" t="n">
        <v>24</v>
      </c>
      <c r="L1334" t="n">
        <v>0</v>
      </c>
      <c r="M1334" t="inlineStr">
        <is>
          <t>MEASURED</t>
        </is>
      </c>
      <c r="N1334" t="inlineStr">
        <is>
          <t>Partly</t>
        </is>
      </c>
      <c r="O1334" s="5" t="inlineStr">
        <is>
          <t>Work "référencement site immobilier" (or a close natural variant) into existing copy - no new heading needed</t>
        </is>
      </c>
      <c r="P1334" s="5" t="inlineStr">
        <is>
          <t>Keyword/variant absent from this section</t>
        </is>
      </c>
      <c r="Q1334" t="inlineStr">
        <is>
          <t>P3</t>
        </is>
      </c>
      <c r="R1334" t="n">
        <v>118</v>
      </c>
      <c r="S1334" s="5" t="inlineStr">
        <is>
          <t>La première décision est structurelle : chaque bien doit avoir sa propre URL stable, indexable, et non un panneau qui s'ouvre dans une liste ou une page dont l'adresse change à chaque visite. Cela paraît évident, mais de</t>
        </is>
      </c>
    </row>
    <row r="1335">
      <c r="A1335" s="3" t="inlineStr">
        <is>
          <t>https://codesommet.com/blog/site-immobilier-structurer-les-annonces-pour-le-seo-et-la-conversion</t>
        </is>
      </c>
      <c r="B1335" t="n">
        <v>3</v>
      </c>
      <c r="C1335" t="inlineStr">
        <is>
          <t>Content block</t>
        </is>
      </c>
      <c r="D1335" s="5" t="inlineStr">
        <is>
          <t>Le titre : précis, complet, sans superlatifs</t>
        </is>
      </c>
      <c r="E1335" t="inlineStr">
        <is>
          <t>H2</t>
        </is>
      </c>
      <c r="F1335" s="5" t="inlineStr">
        <is>
          <t>Informational</t>
        </is>
      </c>
      <c r="G1335" t="inlineStr">
        <is>
          <t>rédiger une annonce immobilière</t>
        </is>
      </c>
      <c r="H1335" t="inlineStr">
        <is>
          <t>SUPPORTING</t>
        </is>
      </c>
      <c r="I1335" t="inlineStr">
        <is>
          <t>fr</t>
        </is>
      </c>
      <c r="J1335" t="n">
        <v>70</v>
      </c>
      <c r="K1335" t="n">
        <v>18</v>
      </c>
      <c r="L1335" t="n">
        <v>0.39</v>
      </c>
      <c r="M1335" t="inlineStr">
        <is>
          <t>MEASURED</t>
        </is>
      </c>
      <c r="N1335" t="inlineStr">
        <is>
          <t>Yes (supporting block)</t>
        </is>
      </c>
      <c r="O1335" s="5" t="inlineStr">
        <is>
          <t>Supports the primary topic - add only if natural</t>
        </is>
      </c>
      <c r="P1335" s="5" t="inlineStr"/>
      <c r="Q1335" t="inlineStr">
        <is>
          <t>P3</t>
        </is>
      </c>
      <c r="R1335" t="n">
        <v>68</v>
      </c>
      <c r="S1335" s="5" t="inlineStr">
        <is>
          <t>Le titre principal de la page (balise H1) et le titre affiché dans les résultats de recherche (balise title) doivent contenir les informations que les gens tapent réellement : type de bien, nombre de pièces, surface, qua</t>
        </is>
      </c>
    </row>
    <row r="1336">
      <c r="A1336" s="3" t="inlineStr">
        <is>
          <t>https://codesommet.com/blog/site-immobilier-structurer-les-annonces-pour-le-seo-et-la-conversion</t>
        </is>
      </c>
      <c r="B1336" t="n">
        <v>4</v>
      </c>
      <c r="C1336" t="inlineStr">
        <is>
          <t>Content block</t>
        </is>
      </c>
      <c r="D1336" s="5" t="inlineStr">
        <is>
          <t>Le contenu descriptif : ce que la fiche technique ne dit pas</t>
        </is>
      </c>
      <c r="E1336" t="inlineStr">
        <is>
          <t>H2</t>
        </is>
      </c>
      <c r="F1336" s="5" t="inlineStr">
        <is>
          <t>Informational</t>
        </is>
      </c>
      <c r="G1336" t="inlineStr">
        <is>
          <t>référencement site immobilier</t>
        </is>
      </c>
      <c r="H1336" t="inlineStr">
        <is>
          <t>SECONDARY</t>
        </is>
      </c>
      <c r="I1336" t="inlineStr">
        <is>
          <t>fr</t>
        </is>
      </c>
      <c r="J1336" t="n">
        <v>320</v>
      </c>
      <c r="K1336" t="n">
        <v>24</v>
      </c>
      <c r="L1336" t="n">
        <v>0</v>
      </c>
      <c r="M1336" t="inlineStr">
        <is>
          <t>MEASURED</t>
        </is>
      </c>
      <c r="N1336" t="inlineStr">
        <is>
          <t>Partly</t>
        </is>
      </c>
      <c r="O1336" s="5" t="inlineStr">
        <is>
          <t>Work "référencement site immobilier" (or a close natural variant) into existing copy - no new heading needed</t>
        </is>
      </c>
      <c r="P1336" s="5" t="inlineStr">
        <is>
          <t>Keyword/variant absent from this section</t>
        </is>
      </c>
      <c r="Q1336" t="inlineStr">
        <is>
          <t>P3</t>
        </is>
      </c>
      <c r="R1336" t="n">
        <v>110</v>
      </c>
      <c r="S1336" s="5" t="inlineStr">
        <is>
          <t>Le tableau des caractéristiques (surface, étage, ascenseur, parking, année de construction, charges) est indispensable, mais il ne suffit pas. Un texte descriptif d'une quinzaine de lignes minimum apporte ce que le table</t>
        </is>
      </c>
    </row>
    <row r="1337">
      <c r="A1337" s="3" t="inlineStr">
        <is>
          <t>https://codesommet.com/blog/site-immobilier-structurer-les-annonces-pour-le-seo-et-la-conversion</t>
        </is>
      </c>
      <c r="B1337" t="n">
        <v>5</v>
      </c>
      <c r="C1337" t="inlineStr">
        <is>
          <t>Content block</t>
        </is>
      </c>
      <c r="D1337" s="5" t="inlineStr">
        <is>
          <t>Les données structurées : rendre l'annonce compréhensible par les moteurs</t>
        </is>
      </c>
      <c r="E1337" t="inlineStr">
        <is>
          <t>H2</t>
        </is>
      </c>
      <c r="F1337" s="5" t="inlineStr">
        <is>
          <t>Informational</t>
        </is>
      </c>
      <c r="G1337" t="inlineStr">
        <is>
          <t>rédiger une annonce immobilière</t>
        </is>
      </c>
      <c r="H1337" t="inlineStr">
        <is>
          <t>SUPPORTING</t>
        </is>
      </c>
      <c r="I1337" t="inlineStr">
        <is>
          <t>fr</t>
        </is>
      </c>
      <c r="J1337" t="n">
        <v>70</v>
      </c>
      <c r="K1337" t="n">
        <v>18</v>
      </c>
      <c r="L1337" t="n">
        <v>0.39</v>
      </c>
      <c r="M1337" t="inlineStr">
        <is>
          <t>MEASURED</t>
        </is>
      </c>
      <c r="N1337" t="inlineStr">
        <is>
          <t>Yes (supporting block)</t>
        </is>
      </c>
      <c r="O1337" s="5" t="inlineStr">
        <is>
          <t>Supports the primary topic - add only if natural</t>
        </is>
      </c>
      <c r="P1337" s="5" t="inlineStr"/>
      <c r="Q1337" t="inlineStr">
        <is>
          <t>P3</t>
        </is>
      </c>
      <c r="R1337" t="n">
        <v>144</v>
      </c>
      <c r="S1337" s="5" t="inlineStr">
        <is>
          <t>Les moteurs de recherche exploitent les données structurées (format JSON-LD, vocabulaire Schema.org) pour comprendre ce qu'une page décrit. Pour une annonce immobilière, on utilise généralement un type d'offre ou d'annon</t>
        </is>
      </c>
    </row>
    <row r="1338">
      <c r="A1338" s="3" t="inlineStr">
        <is>
          <t>https://codesommet.com/blog/site-immobilier-structurer-les-annonces-pour-le-seo-et-la-conversion</t>
        </is>
      </c>
      <c r="B1338" t="n">
        <v>6</v>
      </c>
      <c r="C1338" t="inlineStr">
        <is>
          <t>Content block</t>
        </is>
      </c>
      <c r="D1338" s="5" t="inlineStr">
        <is>
          <t>Les photos : le premier facteur de conversion</t>
        </is>
      </c>
      <c r="E1338" t="inlineStr">
        <is>
          <t>H2</t>
        </is>
      </c>
      <c r="F1338" s="5" t="inlineStr">
        <is>
          <t>Informational</t>
        </is>
      </c>
      <c r="G1338" t="inlineStr">
        <is>
          <t>référencement site immobilier</t>
        </is>
      </c>
      <c r="H1338" t="inlineStr">
        <is>
          <t>SECONDARY</t>
        </is>
      </c>
      <c r="I1338" t="inlineStr">
        <is>
          <t>fr</t>
        </is>
      </c>
      <c r="J1338" t="n">
        <v>320</v>
      </c>
      <c r="K1338" t="n">
        <v>24</v>
      </c>
      <c r="L1338" t="n">
        <v>0</v>
      </c>
      <c r="M1338" t="inlineStr">
        <is>
          <t>MEASURED</t>
        </is>
      </c>
      <c r="N1338" t="inlineStr">
        <is>
          <t>Partly</t>
        </is>
      </c>
      <c r="O1338" s="5" t="inlineStr">
        <is>
          <t>Work "référencement site immobilier" (or a close natural variant) into existing copy - no new heading needed</t>
        </is>
      </c>
      <c r="P1338" s="5" t="inlineStr">
        <is>
          <t>Keyword/variant absent from this section</t>
        </is>
      </c>
      <c r="Q1338" t="inlineStr">
        <is>
          <t>P3</t>
        </is>
      </c>
      <c r="R1338" t="n">
        <v>123</v>
      </c>
      <c r="S1338" s="5" t="inlineStr">
        <is>
          <t>Un visiteur regarde les photos avant de lire quoi que ce soit. Quelques règles : la première photo doit être la meilleure pièce ou la façade, jamais un plan ou une salle de bain ; 10 à 20 photos bien exposées valent mieu</t>
        </is>
      </c>
    </row>
    <row r="1339">
      <c r="A1339" s="3" t="inlineStr">
        <is>
          <t>https://codesommet.com/blog/site-immobilier-structurer-les-annonces-pour-le-seo-et-la-conversion</t>
        </is>
      </c>
      <c r="B1339" t="n">
        <v>7</v>
      </c>
      <c r="C1339" t="inlineStr">
        <is>
          <t>Pricing / offers</t>
        </is>
      </c>
      <c r="D1339" s="5" t="inlineStr">
        <is>
          <t>Le prix et les informations financières</t>
        </is>
      </c>
      <c r="E1339" t="inlineStr">
        <is>
          <t>H2</t>
        </is>
      </c>
      <c r="F1339" s="5" t="inlineStr">
        <is>
          <t>Commercial / transactional</t>
        </is>
      </c>
      <c r="G1339" t="inlineStr">
        <is>
          <t>seo immobilier</t>
        </is>
      </c>
      <c r="H1339" t="inlineStr">
        <is>
          <t>SUPPORTS PRIMARY</t>
        </is>
      </c>
      <c r="I1339" t="inlineStr">
        <is>
          <t>fr</t>
        </is>
      </c>
      <c r="J1339" t="n">
        <v>480</v>
      </c>
      <c r="K1339" t="n">
        <v>24</v>
      </c>
      <c r="L1339" t="n">
        <v>4.38</v>
      </c>
      <c r="M1339" t="inlineStr">
        <is>
          <t>MEASURED</t>
        </is>
      </c>
      <c r="N1339" t="inlineStr">
        <is>
          <t>Yes (supporting block)</t>
        </is>
      </c>
      <c r="O1339" s="5" t="inlineStr">
        <is>
          <t>Supports the primary topic - add only if natural</t>
        </is>
      </c>
      <c r="P1339" s="5" t="inlineStr"/>
      <c r="Q1339" t="inlineStr">
        <is>
          <t>P3</t>
        </is>
      </c>
      <c r="R1339" t="n">
        <v>52</v>
      </c>
      <c r="S1339" s="5" t="inlineStr">
        <is>
          <t xml:space="preserve">Affichez le prix clairement, avec les honoraires ou charges lorsque la réglementation l'exige. Pour la vente, un simulateur de mensualité indicatif aide le visiteur à se projeter ; pour la location, précisez le dépôt de </t>
        </is>
      </c>
    </row>
    <row r="1340">
      <c r="A1340" s="3" t="inlineStr">
        <is>
          <t>https://codesommet.com/blog/site-immobilier-structurer-les-annonces-pour-le-seo-et-la-conversion</t>
        </is>
      </c>
      <c r="B1340" t="n">
        <v>8</v>
      </c>
      <c r="C1340" t="inlineStr">
        <is>
          <t>Content block</t>
        </is>
      </c>
      <c r="D1340" s="5" t="inlineStr">
        <is>
          <t>L'appel à l'action : plusieurs niveaux d'engagement</t>
        </is>
      </c>
      <c r="E1340" t="inlineStr">
        <is>
          <t>H2</t>
        </is>
      </c>
      <c r="F1340" s="5" t="inlineStr">
        <is>
          <t>Informational</t>
        </is>
      </c>
      <c r="G1340" t="inlineStr">
        <is>
          <t>rédiger une annonce immobilière</t>
        </is>
      </c>
      <c r="H1340" t="inlineStr">
        <is>
          <t>SUPPORTING</t>
        </is>
      </c>
      <c r="I1340" t="inlineStr">
        <is>
          <t>fr</t>
        </is>
      </c>
      <c r="J1340" t="n">
        <v>70</v>
      </c>
      <c r="K1340" t="n">
        <v>18</v>
      </c>
      <c r="L1340" t="n">
        <v>0.39</v>
      </c>
      <c r="M1340" t="inlineStr">
        <is>
          <t>MEASURED</t>
        </is>
      </c>
      <c r="N1340" t="inlineStr">
        <is>
          <t>Yes (supporting block)</t>
        </is>
      </c>
      <c r="O1340" s="5" t="inlineStr">
        <is>
          <t>Supports the primary topic - add only if natural</t>
        </is>
      </c>
      <c r="P1340" s="5" t="inlineStr"/>
      <c r="Q1340" t="inlineStr">
        <is>
          <t>P3</t>
        </is>
      </c>
      <c r="R1340" t="n">
        <v>100</v>
      </c>
      <c r="S1340" s="5" t="inlineStr">
        <is>
          <t>Tous les visiteurs ne sont pas prêts à demander une visite. Proposez plusieurs actions, dans cet ordre de priorité : demander une visite (formulaire court : nom, téléphone, créneau souhaité) ; poser une question sur ce b</t>
        </is>
      </c>
    </row>
    <row r="1341">
      <c r="A1341" s="3" t="inlineStr">
        <is>
          <t>https://codesommet.com/blog/site-immobilier-structurer-les-annonces-pour-le-seo-et-la-conversion</t>
        </is>
      </c>
      <c r="B1341" t="n">
        <v>9</v>
      </c>
      <c r="C1341" t="inlineStr">
        <is>
          <t>Content block</t>
        </is>
      </c>
      <c r="D1341" s="5" t="inlineStr">
        <is>
          <t>Le maillage entre les annonces et les pages de secteur</t>
        </is>
      </c>
      <c r="E1341" t="inlineStr">
        <is>
          <t>H2</t>
        </is>
      </c>
      <c r="F1341" s="5" t="inlineStr">
        <is>
          <t>Informational</t>
        </is>
      </c>
      <c r="G1341" t="inlineStr">
        <is>
          <t>référencement site immobilier</t>
        </is>
      </c>
      <c r="H1341" t="inlineStr">
        <is>
          <t>SECONDARY</t>
        </is>
      </c>
      <c r="I1341" t="inlineStr">
        <is>
          <t>fr</t>
        </is>
      </c>
      <c r="J1341" t="n">
        <v>320</v>
      </c>
      <c r="K1341" t="n">
        <v>24</v>
      </c>
      <c r="L1341" t="n">
        <v>0</v>
      </c>
      <c r="M1341" t="inlineStr">
        <is>
          <t>MEASURED</t>
        </is>
      </c>
      <c r="N1341" t="inlineStr">
        <is>
          <t>Partly</t>
        </is>
      </c>
      <c r="O1341" s="5" t="inlineStr">
        <is>
          <t>Work "référencement site immobilier" (or a close natural variant) into existing copy - no new heading needed</t>
        </is>
      </c>
      <c r="P1341" s="5" t="inlineStr">
        <is>
          <t>Keyword/variant absent from this section</t>
        </is>
      </c>
      <c r="Q1341" t="inlineStr">
        <is>
          <t>P3</t>
        </is>
      </c>
      <c r="R1341" t="n">
        <v>89</v>
      </c>
      <c r="S1341" s="5" t="inlineStr">
        <is>
          <t>Une annonce isolée se positionne difficilement. Reliez-la à des pages intermédiaires : la page de la ville, du quartier, du type de bien. Ces pages « secteur » (« Appartements à vendre à Maarif ») sont celles qui se posi</t>
        </is>
      </c>
    </row>
    <row r="1342">
      <c r="A1342" s="3" t="inlineStr">
        <is>
          <t>https://codesommet.com/blog/site-immobilier-structurer-les-annonces-pour-le-seo-et-la-conversion</t>
        </is>
      </c>
      <c r="B1342" t="n">
        <v>10</v>
      </c>
      <c r="C1342" t="inlineStr">
        <is>
          <t>Content block</t>
        </is>
      </c>
      <c r="D1342" s="5" t="inlineStr">
        <is>
          <t>Que faire des annonces vendues ou louées ?</t>
        </is>
      </c>
      <c r="E1342" t="inlineStr">
        <is>
          <t>H2</t>
        </is>
      </c>
      <c r="F1342" s="5" t="inlineStr">
        <is>
          <t>Informational</t>
        </is>
      </c>
      <c r="G1342" t="inlineStr">
        <is>
          <t>rédiger une annonce immobilière</t>
        </is>
      </c>
      <c r="H1342" t="inlineStr">
        <is>
          <t>SUPPORTING</t>
        </is>
      </c>
      <c r="I1342" t="inlineStr">
        <is>
          <t>fr</t>
        </is>
      </c>
      <c r="J1342" t="n">
        <v>70</v>
      </c>
      <c r="K1342" t="n">
        <v>18</v>
      </c>
      <c r="L1342" t="n">
        <v>0.39</v>
      </c>
      <c r="M1342" t="inlineStr">
        <is>
          <t>MEASURED</t>
        </is>
      </c>
      <c r="N1342" t="inlineStr">
        <is>
          <t>Yes (supporting block)</t>
        </is>
      </c>
      <c r="O1342" s="5" t="inlineStr">
        <is>
          <t>Supports the primary topic - add only if natural</t>
        </is>
      </c>
      <c r="P1342" s="5" t="inlineStr"/>
      <c r="Q1342" t="inlineStr">
        <is>
          <t>P3</t>
        </is>
      </c>
      <c r="R1342" t="n">
        <v>89</v>
      </c>
      <c r="S1342" s="5" t="inlineStr">
        <is>
          <t>Supprimer une page d'annonce dès que le bien est parti fait perdre le positionnement acquis et crée des erreurs 404 depuis les moteurs et les portails. Trois options selon le cas : conserver la page avec la mention « Ven</t>
        </is>
      </c>
    </row>
    <row r="1343">
      <c r="A1343" s="3" t="inlineStr">
        <is>
          <t>https://codesommet.com/blog/site-immobilier-structurer-les-annonces-pour-le-seo-et-la-conversion</t>
        </is>
      </c>
      <c r="B1343" t="n">
        <v>11</v>
      </c>
      <c r="C1343" t="inlineStr">
        <is>
          <t>Content block</t>
        </is>
      </c>
      <c r="D1343" s="5" t="inlineStr">
        <is>
          <t>En résumé</t>
        </is>
      </c>
      <c r="E1343" t="inlineStr">
        <is>
          <t>H2</t>
        </is>
      </c>
      <c r="F1343" s="5" t="inlineStr">
        <is>
          <t>Informational</t>
        </is>
      </c>
      <c r="G1343" t="inlineStr">
        <is>
          <t>référencement site immobilier</t>
        </is>
      </c>
      <c r="H1343" t="inlineStr">
        <is>
          <t>SECONDARY</t>
        </is>
      </c>
      <c r="I1343" t="inlineStr">
        <is>
          <t>fr</t>
        </is>
      </c>
      <c r="J1343" t="n">
        <v>320</v>
      </c>
      <c r="K1343" t="n">
        <v>24</v>
      </c>
      <c r="L1343" t="n">
        <v>0</v>
      </c>
      <c r="M1343" t="inlineStr">
        <is>
          <t>MEASURED</t>
        </is>
      </c>
      <c r="N1343" t="inlineStr">
        <is>
          <t>Partly</t>
        </is>
      </c>
      <c r="O1343" s="5" t="inlineStr">
        <is>
          <t>Work "référencement site immobilier" (or a close natural variant) into existing copy - no new heading needed</t>
        </is>
      </c>
      <c r="P1343" s="5" t="inlineStr">
        <is>
          <t>Keyword/variant absent from this section</t>
        </is>
      </c>
      <c r="Q1343" t="inlineStr">
        <is>
          <t>P3</t>
        </is>
      </c>
      <c r="R1343" t="n">
        <v>120</v>
      </c>
      <c r="S1343" s="5" t="inlineStr">
        <is>
          <t xml:space="preserve">Une bonne page d'annonce combine une URL stable et lisible, un titre factuel, une description rédigée, des données structurées complètes, des photos optimisées, une information financière claire et des appels à l'action </t>
        </is>
      </c>
    </row>
    <row r="1344">
      <c r="A1344" s="3" t="inlineStr">
        <is>
          <t>https://codesommet.com/blog/site-immobilier-structurer-les-annonces-pour-le-seo-et-la-conversion</t>
        </is>
      </c>
      <c r="B1344" t="n">
        <v>12</v>
      </c>
      <c r="C1344" t="inlineStr">
        <is>
          <t>Internal-link block</t>
        </is>
      </c>
      <c r="D1344" s="5" t="inlineStr">
        <is>
          <t>Articles Similaires</t>
        </is>
      </c>
      <c r="E1344" t="inlineStr">
        <is>
          <t>H2</t>
        </is>
      </c>
      <c r="F1344" s="5" t="inlineStr">
        <is>
          <t>Navigation</t>
        </is>
      </c>
      <c r="G1344" t="inlineStr">
        <is>
          <t>—</t>
        </is>
      </c>
      <c r="H1344" t="inlineStr">
        <is>
          <t>NONE</t>
        </is>
      </c>
      <c r="I1344" t="inlineStr">
        <is>
          <t>—</t>
        </is>
      </c>
      <c r="J1344" t="inlineStr">
        <is>
          <t>—</t>
        </is>
      </c>
      <c r="K1344" t="inlineStr">
        <is>
          <t>—</t>
        </is>
      </c>
      <c r="L1344" t="inlineStr">
        <is>
          <t>—</t>
        </is>
      </c>
      <c r="M1344" t="inlineStr">
        <is>
          <t>—</t>
        </is>
      </c>
      <c r="N1344" t="inlineStr">
        <is>
          <t>n/a</t>
        </is>
      </c>
      <c r="O1344" s="5" t="inlineStr">
        <is>
          <t>No keyword target - keep conversion/navigation focus; use descriptive, non-repeated anchor texts</t>
        </is>
      </c>
      <c r="P1344" s="5" t="inlineStr"/>
      <c r="Q1344" t="inlineStr">
        <is>
          <t>P4</t>
        </is>
      </c>
      <c r="R1344" t="n">
        <v>162</v>
      </c>
      <c r="S1344" s="5" t="inlineStr">
        <is>
          <t xml:space="preserve">Développement Web 24 août 2026 · 7 min de lecture Créer une plateforme SaaS : MVP, multi-tenant, facturation — par où commencer ? Lancer un SaaS, c'est enchaîner des décisions qui engagent pour des années : périmètre du </t>
        </is>
      </c>
    </row>
    <row r="1345">
      <c r="A1345" s="3" t="inlineStr">
        <is>
          <t>https://codesommet.com/blog/site-immobilier-structurer-les-annonces-pour-le-seo-et-la-conversion</t>
        </is>
      </c>
      <c r="B1345" t="n">
        <v>13</v>
      </c>
      <c r="C1345" t="inlineStr">
        <is>
          <t>CTA / conversion</t>
        </is>
      </c>
      <c r="D1345" s="5" t="inlineStr">
        <is>
          <t>Prêt à Construire Quelque Chose d'Extraordinaire ?</t>
        </is>
      </c>
      <c r="E1345" t="inlineStr">
        <is>
          <t>H2</t>
        </is>
      </c>
      <c r="F1345" s="5" t="inlineStr">
        <is>
          <t>Conversion</t>
        </is>
      </c>
      <c r="G1345" t="inlineStr">
        <is>
          <t>—</t>
        </is>
      </c>
      <c r="H1345" t="inlineStr">
        <is>
          <t>NONE</t>
        </is>
      </c>
      <c r="I1345" t="inlineStr">
        <is>
          <t>—</t>
        </is>
      </c>
      <c r="J1345" t="inlineStr">
        <is>
          <t>—</t>
        </is>
      </c>
      <c r="K1345" t="inlineStr">
        <is>
          <t>—</t>
        </is>
      </c>
      <c r="L1345" t="inlineStr">
        <is>
          <t>—</t>
        </is>
      </c>
      <c r="M1345" t="inlineStr">
        <is>
          <t>—</t>
        </is>
      </c>
      <c r="N1345" t="inlineStr">
        <is>
          <t>n/a</t>
        </is>
      </c>
      <c r="O1345" s="5" t="inlineStr">
        <is>
          <t>No keyword target - keep conversion/navigation focus; use descriptive, non-repeated anchor texts</t>
        </is>
      </c>
      <c r="P1345" s="5" t="inlineStr"/>
      <c r="Q1345" t="inlineStr">
        <is>
          <t>P4</t>
        </is>
      </c>
      <c r="R1345" t="n">
        <v>89</v>
      </c>
      <c r="S1345" s="5" t="inlineStr">
        <is>
          <t>Rejoignez les entreprises qui nous font confiance pour bâtir leur succès digital Obtenez Votre Devis Gratuit Analysez Votre Site Web Développement Web E-commerce Applications Mobile UI/UX Design SEO Branding SaaS Marketi</t>
        </is>
      </c>
    </row>
    <row r="1346">
      <c r="A1346" s="3" t="inlineStr">
        <is>
          <t>https://codesommet.com/blog/lms-sur-mesure-ou-produit-edtech-quelle-plateforme-e-learning</t>
        </is>
      </c>
      <c r="B1346" t="n">
        <v>1</v>
      </c>
      <c r="C1346" t="inlineStr">
        <is>
          <t>Hero / H1</t>
        </is>
      </c>
      <c r="D1346" s="5" t="inlineStr">
        <is>
          <t>LMS sur mesure ou produit EdTech : quelle plateforme e-learning pour votre organisation ?</t>
        </is>
      </c>
      <c r="E1346" t="inlineStr">
        <is>
          <t>H1</t>
        </is>
      </c>
      <c r="F1346" s="5" t="inlineStr">
        <is>
          <t>Informational</t>
        </is>
      </c>
      <c r="G1346" t="inlineStr">
        <is>
          <t>lms sur mesure</t>
        </is>
      </c>
      <c r="H1346" t="inlineStr">
        <is>
          <t>PRIMARY</t>
        </is>
      </c>
      <c r="I1346" t="inlineStr">
        <is>
          <t>fr</t>
        </is>
      </c>
      <c r="J1346" t="inlineStr">
        <is>
          <t>NOT AVAILABLE</t>
        </is>
      </c>
      <c r="K1346" t="inlineStr">
        <is>
          <t>NOT AVAILABLE</t>
        </is>
      </c>
      <c r="L1346" t="inlineStr">
        <is>
          <t>NOT AVAILABLE</t>
        </is>
      </c>
      <c r="M1346" t="inlineStr">
        <is>
          <t>UNAVAILABLE</t>
        </is>
      </c>
      <c r="N1346" t="inlineStr">
        <is>
          <t>Yes</t>
        </is>
      </c>
      <c r="O1346" s="5" t="inlineStr">
        <is>
          <t>Covered - keep wording; no change</t>
        </is>
      </c>
      <c r="P1346" s="5" t="inlineStr"/>
      <c r="Q1346" t="inlineStr">
        <is>
          <t>P3</t>
        </is>
      </c>
      <c r="R1346" t="n">
        <v>122</v>
      </c>
      <c r="S1346" s="5" t="inlineStr">
        <is>
          <t>Un LMS pour former vos équipes n'a pas les mêmes exigences qu'un produit EdTech destiné à des milliers d'apprenants. Voici comment clarifier votre besoin avant de choisir entre solution existante, LMS sur mesure et produ</t>
        </is>
      </c>
    </row>
    <row r="1347">
      <c r="A1347" s="3" t="inlineStr">
        <is>
          <t>https://codesommet.com/blog/lms-sur-mesure-ou-produit-edtech-quelle-plateforme-e-learning</t>
        </is>
      </c>
      <c r="B1347" t="n">
        <v>2</v>
      </c>
      <c r="C1347" t="inlineStr">
        <is>
          <t>Content block</t>
        </is>
      </c>
      <c r="D1347" s="5" t="inlineStr">
        <is>
          <t>Outil interne ou produit : la distinction qui change tout</t>
        </is>
      </c>
      <c r="E1347" t="inlineStr">
        <is>
          <t>H2</t>
        </is>
      </c>
      <c r="F1347" s="5" t="inlineStr">
        <is>
          <t>Informational</t>
        </is>
      </c>
      <c r="G1347" t="inlineStr">
        <is>
          <t>lms sur mesure</t>
        </is>
      </c>
      <c r="H1347" t="inlineStr">
        <is>
          <t>SUPPORTS PRIMARY</t>
        </is>
      </c>
      <c r="I1347" t="inlineStr">
        <is>
          <t>fr</t>
        </is>
      </c>
      <c r="J1347" t="inlineStr">
        <is>
          <t>NOT AVAILABLE</t>
        </is>
      </c>
      <c r="K1347" t="inlineStr">
        <is>
          <t>NOT AVAILABLE</t>
        </is>
      </c>
      <c r="L1347" t="inlineStr">
        <is>
          <t>NOT AVAILABLE</t>
        </is>
      </c>
      <c r="M1347" t="inlineStr">
        <is>
          <t>UNAVAILABLE</t>
        </is>
      </c>
      <c r="N1347" t="inlineStr">
        <is>
          <t>Yes (supporting block)</t>
        </is>
      </c>
      <c r="O1347" s="5" t="inlineStr">
        <is>
          <t>Supports the primary topic - add only if natural</t>
        </is>
      </c>
      <c r="P1347" s="5" t="inlineStr"/>
      <c r="Q1347" t="inlineStr">
        <is>
          <t>P3</t>
        </is>
      </c>
      <c r="R1347" t="n">
        <v>135</v>
      </c>
      <c r="S1347" s="5" t="inlineStr">
        <is>
          <t>Le LMS comme outil Un LMS (Learning Management System) d'entreprise ou d'organisme de formation sert à organiser des parcours, héberger des contenus, suivre la progression et produire des attestations. Les utilisateurs s</t>
        </is>
      </c>
    </row>
    <row r="1348">
      <c r="A1348" s="3" t="inlineStr">
        <is>
          <t>https://codesommet.com/blog/lms-sur-mesure-ou-produit-edtech-quelle-plateforme-e-learning</t>
        </is>
      </c>
      <c r="B1348" t="n">
        <v>3</v>
      </c>
      <c r="C1348" t="inlineStr">
        <is>
          <t>FAQ</t>
        </is>
      </c>
      <c r="D1348" s="5" t="inlineStr">
        <is>
          <t>Les questions à se poser avant toute décision</t>
        </is>
      </c>
      <c r="E1348" t="inlineStr">
        <is>
          <t>H2</t>
        </is>
      </c>
      <c r="F1348" s="5" t="inlineStr">
        <is>
          <t>Informational (pre-purchase questions)</t>
        </is>
      </c>
      <c r="G1348" t="inlineStr">
        <is>
          <t>lms sur mesure</t>
        </is>
      </c>
      <c r="H1348" t="inlineStr">
        <is>
          <t>SUPPORTS PRIMARY</t>
        </is>
      </c>
      <c r="I1348" t="inlineStr">
        <is>
          <t>fr</t>
        </is>
      </c>
      <c r="J1348" t="inlineStr">
        <is>
          <t>NOT AVAILABLE</t>
        </is>
      </c>
      <c r="K1348" t="inlineStr">
        <is>
          <t>NOT AVAILABLE</t>
        </is>
      </c>
      <c r="L1348" t="inlineStr">
        <is>
          <t>NOT AVAILABLE</t>
        </is>
      </c>
      <c r="M1348" t="inlineStr">
        <is>
          <t>UNAVAILABLE</t>
        </is>
      </c>
      <c r="N1348" t="inlineStr">
        <is>
          <t>Yes (supporting block)</t>
        </is>
      </c>
      <c r="O1348" s="5" t="inlineStr">
        <is>
          <t>Supports the primary topic - add only if natural</t>
        </is>
      </c>
      <c r="P1348" s="5" t="inlineStr"/>
      <c r="Q1348" t="inlineStr">
        <is>
          <t>P3</t>
        </is>
      </c>
      <c r="R1348" t="n">
        <v>102</v>
      </c>
      <c r="S1348" s="5" t="inlineStr">
        <is>
          <t xml:space="preserve">Qui sont les apprenants ? Combien sont-ils aujourd'hui, combien dans deux ans ? Sont-ils imposés (formation obligatoire) ou volontaires ? Quels formats de contenu ? Vidéos, quiz, documents, classes virtuelles, exercices </t>
        </is>
      </c>
    </row>
    <row r="1349">
      <c r="A1349" s="3" t="inlineStr">
        <is>
          <t>https://codesommet.com/blog/lms-sur-mesure-ou-produit-edtech-quelle-plateforme-e-learning</t>
        </is>
      </c>
      <c r="B1349" t="n">
        <v>4</v>
      </c>
      <c r="C1349" t="inlineStr">
        <is>
          <t>Services / features</t>
        </is>
      </c>
      <c r="D1349" s="5" t="inlineStr">
        <is>
          <t>Option 1 : une solution existante (SaaS ou open source)</t>
        </is>
      </c>
      <c r="E1349" t="inlineStr">
        <is>
          <t>H2</t>
        </is>
      </c>
      <c r="F1349" s="5" t="inlineStr">
        <is>
          <t>Informational</t>
        </is>
      </c>
      <c r="G1349" t="inlineStr">
        <is>
          <t>lms sur mesure</t>
        </is>
      </c>
      <c r="H1349" t="inlineStr">
        <is>
          <t>SUPPORTS PRIMARY</t>
        </is>
      </c>
      <c r="I1349" t="inlineStr">
        <is>
          <t>fr</t>
        </is>
      </c>
      <c r="J1349" t="inlineStr">
        <is>
          <t>NOT AVAILABLE</t>
        </is>
      </c>
      <c r="K1349" t="inlineStr">
        <is>
          <t>NOT AVAILABLE</t>
        </is>
      </c>
      <c r="L1349" t="inlineStr">
        <is>
          <t>NOT AVAILABLE</t>
        </is>
      </c>
      <c r="M1349" t="inlineStr">
        <is>
          <t>UNAVAILABLE</t>
        </is>
      </c>
      <c r="N1349" t="inlineStr">
        <is>
          <t>Yes (supporting block)</t>
        </is>
      </c>
      <c r="O1349" s="5" t="inlineStr">
        <is>
          <t>Supports the primary topic - add only if natural</t>
        </is>
      </c>
      <c r="P1349" s="5" t="inlineStr"/>
      <c r="Q1349" t="inlineStr">
        <is>
          <t>P3</t>
        </is>
      </c>
      <c r="R1349" t="n">
        <v>108</v>
      </c>
      <c r="S1349" s="5" t="inlineStr">
        <is>
          <t>Pour un usage interne avec des besoins standards, une solution existante est souvent le bon choix. Les LMS open source comme Moodle ou les LMS SaaS du marché couvrent la gestion de cours, les quiz, le suivi et les rappor</t>
        </is>
      </c>
    </row>
    <row r="1350">
      <c r="A1350" s="3" t="inlineStr">
        <is>
          <t>https://codesommet.com/blog/lms-sur-mesure-ou-produit-edtech-quelle-plateforme-e-learning</t>
        </is>
      </c>
      <c r="B1350" t="n">
        <v>5</v>
      </c>
      <c r="C1350" t="inlineStr">
        <is>
          <t>Content block</t>
        </is>
      </c>
      <c r="D1350" s="5" t="inlineStr">
        <is>
          <t>Option 2 : un LMS sur mesure</t>
        </is>
      </c>
      <c r="E1350" t="inlineStr">
        <is>
          <t>H2</t>
        </is>
      </c>
      <c r="F1350" s="5" t="inlineStr">
        <is>
          <t>Informational</t>
        </is>
      </c>
      <c r="G1350" t="inlineStr">
        <is>
          <t>lms sur mesure</t>
        </is>
      </c>
      <c r="H1350" t="inlineStr">
        <is>
          <t>SUPPORTS PRIMARY</t>
        </is>
      </c>
      <c r="I1350" t="inlineStr">
        <is>
          <t>fr</t>
        </is>
      </c>
      <c r="J1350" t="inlineStr">
        <is>
          <t>NOT AVAILABLE</t>
        </is>
      </c>
      <c r="K1350" t="inlineStr">
        <is>
          <t>NOT AVAILABLE</t>
        </is>
      </c>
      <c r="L1350" t="inlineStr">
        <is>
          <t>NOT AVAILABLE</t>
        </is>
      </c>
      <c r="M1350" t="inlineStr">
        <is>
          <t>UNAVAILABLE</t>
        </is>
      </c>
      <c r="N1350" t="inlineStr">
        <is>
          <t>Yes</t>
        </is>
      </c>
      <c r="O1350" s="5" t="inlineStr">
        <is>
          <t>Covered - keep wording; no change</t>
        </is>
      </c>
      <c r="P1350" s="5" t="inlineStr"/>
      <c r="Q1350" t="inlineStr">
        <is>
          <t>P3</t>
        </is>
      </c>
      <c r="R1350" t="n">
        <v>142</v>
      </c>
      <c r="S1350" s="5" t="inlineStr">
        <is>
          <t xml:space="preserve">Un LMS développé sur mesure se justifie lorsque vos processus pédagogiques ne rentrent pas dans les cases d'un produit existant. Quelques situations typiques : parcours conditionnels complexes (le contenu suivant dépend </t>
        </is>
      </c>
    </row>
    <row r="1351">
      <c r="A1351" s="3" t="inlineStr">
        <is>
          <t>https://codesommet.com/blog/lms-sur-mesure-ou-produit-edtech-quelle-plateforme-e-learning</t>
        </is>
      </c>
      <c r="B1351" t="n">
        <v>6</v>
      </c>
      <c r="C1351" t="inlineStr">
        <is>
          <t>Content block</t>
        </is>
      </c>
      <c r="D1351" s="5" t="inlineStr">
        <is>
          <t>Option 3 : un produit EdTech à part entière</t>
        </is>
      </c>
      <c r="E1351" t="inlineStr">
        <is>
          <t>H2</t>
        </is>
      </c>
      <c r="F1351" s="5" t="inlineStr">
        <is>
          <t>Informational</t>
        </is>
      </c>
      <c r="G1351" t="inlineStr">
        <is>
          <t>lms sur mesure</t>
        </is>
      </c>
      <c r="H1351" t="inlineStr">
        <is>
          <t>SUPPORTS PRIMARY</t>
        </is>
      </c>
      <c r="I1351" t="inlineStr">
        <is>
          <t>fr</t>
        </is>
      </c>
      <c r="J1351" t="inlineStr">
        <is>
          <t>NOT AVAILABLE</t>
        </is>
      </c>
      <c r="K1351" t="inlineStr">
        <is>
          <t>NOT AVAILABLE</t>
        </is>
      </c>
      <c r="L1351" t="inlineStr">
        <is>
          <t>NOT AVAILABLE</t>
        </is>
      </c>
      <c r="M1351" t="inlineStr">
        <is>
          <t>UNAVAILABLE</t>
        </is>
      </c>
      <c r="N1351" t="inlineStr">
        <is>
          <t>Yes</t>
        </is>
      </c>
      <c r="O1351" s="5" t="inlineStr">
        <is>
          <t>Covered - keep wording; no change</t>
        </is>
      </c>
      <c r="P1351" s="5" t="inlineStr"/>
      <c r="Q1351" t="inlineStr">
        <is>
          <t>P3</t>
        </is>
      </c>
      <c r="R1351" t="n">
        <v>196</v>
      </c>
      <c r="S1351" s="5" t="inlineStr">
        <is>
          <t>Si votre objectif est de vendre l'apprentissage lui-même, à des particuliers, des écoles ou des entreprises, vous ne construisez pas un LMS : vous construisez un produit. Le développement d'une plateforme EdTech implique</t>
        </is>
      </c>
    </row>
    <row r="1352">
      <c r="A1352" s="3" t="inlineStr">
        <is>
          <t>https://codesommet.com/blog/lms-sur-mesure-ou-produit-edtech-quelle-plateforme-e-learning</t>
        </is>
      </c>
      <c r="B1352" t="n">
        <v>7</v>
      </c>
      <c r="C1352" t="inlineStr">
        <is>
          <t>Content block</t>
        </is>
      </c>
      <c r="D1352" s="5" t="inlineStr">
        <is>
          <t>Les erreurs fréquentes, quel que soit le choix</t>
        </is>
      </c>
      <c r="E1352" t="inlineStr">
        <is>
          <t>H2</t>
        </is>
      </c>
      <c r="F1352" s="5" t="inlineStr">
        <is>
          <t>Informational</t>
        </is>
      </c>
      <c r="G1352" t="inlineStr">
        <is>
          <t>lms sur mesure</t>
        </is>
      </c>
      <c r="H1352" t="inlineStr">
        <is>
          <t>SUPPORTS PRIMARY</t>
        </is>
      </c>
      <c r="I1352" t="inlineStr">
        <is>
          <t>fr</t>
        </is>
      </c>
      <c r="J1352" t="inlineStr">
        <is>
          <t>NOT AVAILABLE</t>
        </is>
      </c>
      <c r="K1352" t="inlineStr">
        <is>
          <t>NOT AVAILABLE</t>
        </is>
      </c>
      <c r="L1352" t="inlineStr">
        <is>
          <t>NOT AVAILABLE</t>
        </is>
      </c>
      <c r="M1352" t="inlineStr">
        <is>
          <t>UNAVAILABLE</t>
        </is>
      </c>
      <c r="N1352" t="inlineStr">
        <is>
          <t>Yes (supporting block)</t>
        </is>
      </c>
      <c r="O1352" s="5" t="inlineStr">
        <is>
          <t>Supports the primary topic - add only if natural</t>
        </is>
      </c>
      <c r="P1352" s="5" t="inlineStr"/>
      <c r="Q1352" t="inlineStr">
        <is>
          <t>P3</t>
        </is>
      </c>
      <c r="R1352" t="n">
        <v>93</v>
      </c>
      <c r="S1352" s="5" t="inlineStr">
        <is>
          <t xml:space="preserve">Commencer par la technologie plutôt que par les parcours. Un catalogue de contenus sans scénario pédagogique produit une bibliothèque, pas une formation. Négliger les formateurs et administrateurs. Si créer un cours est </t>
        </is>
      </c>
    </row>
    <row r="1353">
      <c r="A1353" s="3" t="inlineStr">
        <is>
          <t>https://codesommet.com/blog/lms-sur-mesure-ou-produit-edtech-quelle-plateforme-e-learning</t>
        </is>
      </c>
      <c r="B1353" t="n">
        <v>8</v>
      </c>
      <c r="C1353" t="inlineStr">
        <is>
          <t>Content block</t>
        </is>
      </c>
      <c r="D1353" s="5" t="inlineStr">
        <is>
          <t>Comment trancher</t>
        </is>
      </c>
      <c r="E1353" t="inlineStr">
        <is>
          <t>H2</t>
        </is>
      </c>
      <c r="F1353" s="5" t="inlineStr">
        <is>
          <t>Informational</t>
        </is>
      </c>
      <c r="G1353" t="inlineStr">
        <is>
          <t>lms sur mesure</t>
        </is>
      </c>
      <c r="H1353" t="inlineStr">
        <is>
          <t>SUPPORTS PRIMARY</t>
        </is>
      </c>
      <c r="I1353" t="inlineStr">
        <is>
          <t>fr</t>
        </is>
      </c>
      <c r="J1353" t="inlineStr">
        <is>
          <t>NOT AVAILABLE</t>
        </is>
      </c>
      <c r="K1353" t="inlineStr">
        <is>
          <t>NOT AVAILABLE</t>
        </is>
      </c>
      <c r="L1353" t="inlineStr">
        <is>
          <t>NOT AVAILABLE</t>
        </is>
      </c>
      <c r="M1353" t="inlineStr">
        <is>
          <t>UNAVAILABLE</t>
        </is>
      </c>
      <c r="N1353" t="inlineStr">
        <is>
          <t>Yes</t>
        </is>
      </c>
      <c r="O1353" s="5" t="inlineStr">
        <is>
          <t>Covered - keep wording; no change</t>
        </is>
      </c>
      <c r="P1353" s="5" t="inlineStr"/>
      <c r="Q1353" t="inlineStr">
        <is>
          <t>P3</t>
        </is>
      </c>
      <c r="R1353" t="n">
        <v>149</v>
      </c>
      <c r="S1353" s="5" t="inlineStr">
        <is>
          <t>Une règle simple : si vous ne pouvez pas décrire en une page ce que votre plateforme fera différemment d'un LMS du marché, commencez par une solution existante. Vous apprendrez en l'utilisant ce qui vous manque réellemen</t>
        </is>
      </c>
    </row>
    <row r="1354">
      <c r="A1354" s="3" t="inlineStr">
        <is>
          <t>https://codesommet.com/blog/lms-sur-mesure-ou-produit-edtech-quelle-plateforme-e-learning</t>
        </is>
      </c>
      <c r="B1354" t="n">
        <v>9</v>
      </c>
      <c r="C1354" t="inlineStr">
        <is>
          <t>Internal-link block</t>
        </is>
      </c>
      <c r="D1354" s="5" t="inlineStr">
        <is>
          <t>Articles Similaires</t>
        </is>
      </c>
      <c r="E1354" t="inlineStr">
        <is>
          <t>H2</t>
        </is>
      </c>
      <c r="F1354" s="5" t="inlineStr">
        <is>
          <t>Navigation</t>
        </is>
      </c>
      <c r="G1354" t="inlineStr">
        <is>
          <t>—</t>
        </is>
      </c>
      <c r="H1354" t="inlineStr">
        <is>
          <t>NONE</t>
        </is>
      </c>
      <c r="I1354" t="inlineStr">
        <is>
          <t>—</t>
        </is>
      </c>
      <c r="J1354" t="inlineStr">
        <is>
          <t>—</t>
        </is>
      </c>
      <c r="K1354" t="inlineStr">
        <is>
          <t>—</t>
        </is>
      </c>
      <c r="L1354" t="inlineStr">
        <is>
          <t>—</t>
        </is>
      </c>
      <c r="M1354" t="inlineStr">
        <is>
          <t>—</t>
        </is>
      </c>
      <c r="N1354" t="inlineStr">
        <is>
          <t>n/a</t>
        </is>
      </c>
      <c r="O1354" s="5" t="inlineStr">
        <is>
          <t>No keyword target - keep conversion/navigation focus; use descriptive, non-repeated anchor texts</t>
        </is>
      </c>
      <c r="P1354" s="5" t="inlineStr"/>
      <c r="Q1354" t="inlineStr">
        <is>
          <t>P4</t>
        </is>
      </c>
      <c r="R1354" t="n">
        <v>159</v>
      </c>
      <c r="S1354" s="5" t="inlineStr">
        <is>
          <t xml:space="preserve">Développement Web 24 août 2026 · 7 min de lecture Créer une plateforme SaaS : MVP, multi-tenant, facturation — par où commencer ? Lancer un SaaS, c'est enchaîner des décisions qui engagent pour des années : périmètre du </t>
        </is>
      </c>
    </row>
    <row r="1355">
      <c r="A1355" s="3" t="inlineStr">
        <is>
          <t>https://codesommet.com/blog/lms-sur-mesure-ou-produit-edtech-quelle-plateforme-e-learning</t>
        </is>
      </c>
      <c r="B1355" t="n">
        <v>10</v>
      </c>
      <c r="C1355" t="inlineStr">
        <is>
          <t>CTA / conversion</t>
        </is>
      </c>
      <c r="D1355" s="5" t="inlineStr">
        <is>
          <t>Prêt à Construire Quelque Chose d'Extraordinaire ?</t>
        </is>
      </c>
      <c r="E1355" t="inlineStr">
        <is>
          <t>H2</t>
        </is>
      </c>
      <c r="F1355" s="5" t="inlineStr">
        <is>
          <t>Conversion</t>
        </is>
      </c>
      <c r="G1355" t="inlineStr">
        <is>
          <t>—</t>
        </is>
      </c>
      <c r="H1355" t="inlineStr">
        <is>
          <t>NONE</t>
        </is>
      </c>
      <c r="I1355" t="inlineStr">
        <is>
          <t>—</t>
        </is>
      </c>
      <c r="J1355" t="inlineStr">
        <is>
          <t>—</t>
        </is>
      </c>
      <c r="K1355" t="inlineStr">
        <is>
          <t>—</t>
        </is>
      </c>
      <c r="L1355" t="inlineStr">
        <is>
          <t>—</t>
        </is>
      </c>
      <c r="M1355" t="inlineStr">
        <is>
          <t>—</t>
        </is>
      </c>
      <c r="N1355" t="inlineStr">
        <is>
          <t>n/a</t>
        </is>
      </c>
      <c r="O1355" s="5" t="inlineStr">
        <is>
          <t>No keyword target - keep conversion/navigation focus; use descriptive, non-repeated anchor texts</t>
        </is>
      </c>
      <c r="P1355" s="5" t="inlineStr"/>
      <c r="Q1355" t="inlineStr">
        <is>
          <t>P4</t>
        </is>
      </c>
      <c r="R1355" t="n">
        <v>89</v>
      </c>
      <c r="S1355" s="5" t="inlineStr">
        <is>
          <t>Rejoignez les entreprises qui nous font confiance pour bâtir leur succès digital Obtenez Votre Devis Gratuit Analysez Votre Site Web Développement Web E-commerce Applications Mobile UI/UX Design SEO Branding SaaS Marketi</t>
        </is>
      </c>
    </row>
    <row r="1356">
      <c r="A1356" s="3" t="inlineStr">
        <is>
          <t>https://codesommet.com/blog/site-web-telemedecine-cabinet-clinique-que-doit-il-contenir</t>
        </is>
      </c>
      <c r="B1356" t="n">
        <v>1</v>
      </c>
      <c r="C1356" t="inlineStr">
        <is>
          <t>Hero / H1</t>
        </is>
      </c>
      <c r="D1356" s="5" t="inlineStr">
        <is>
          <t>Site web de télémédecine pour cabinet ou clinique : que doit-il contenir ?</t>
        </is>
      </c>
      <c r="E1356" t="inlineStr">
        <is>
          <t>H1</t>
        </is>
      </c>
      <c r="F1356" s="5" t="inlineStr">
        <is>
          <t>Informational</t>
        </is>
      </c>
      <c r="G1356" t="inlineStr">
        <is>
          <t>site de télémédecine</t>
        </is>
      </c>
      <c r="H1356" t="inlineStr">
        <is>
          <t>PRIMARY</t>
        </is>
      </c>
      <c r="I1356" t="inlineStr">
        <is>
          <t>fr</t>
        </is>
      </c>
      <c r="J1356" t="n">
        <v>20</v>
      </c>
      <c r="K1356" t="inlineStr">
        <is>
          <t>NOT AVAILABLE</t>
        </is>
      </c>
      <c r="L1356" t="n">
        <v>0</v>
      </c>
      <c r="M1356" t="inlineStr">
        <is>
          <t>MEASURED</t>
        </is>
      </c>
      <c r="N1356" t="inlineStr">
        <is>
          <t>Yes</t>
        </is>
      </c>
      <c r="O1356" s="5" t="inlineStr">
        <is>
          <t>Covered - keep wording; no change</t>
        </is>
      </c>
      <c r="P1356" s="5" t="inlineStr"/>
      <c r="Q1356" t="inlineStr">
        <is>
          <t>P3</t>
        </is>
      </c>
      <c r="R1356" t="n">
        <v>127</v>
      </c>
      <c r="S1356" s="5" t="inlineStr">
        <is>
          <t>Proposer des téléconsultations ne suffit pas : il faut que les patients comprennent comment ça marche, à qui ça s'adresse et comment prendre rendez-vous. Tour d'horizon des contenus indispensables d'un site de télémédeci</t>
        </is>
      </c>
    </row>
    <row r="1357">
      <c r="A1357" s="3" t="inlineStr">
        <is>
          <t>https://codesommet.com/blog/site-web-telemedecine-cabinet-clinique-que-doit-il-contenir</t>
        </is>
      </c>
      <c r="B1357" t="n">
        <v>2</v>
      </c>
      <c r="C1357" t="inlineStr">
        <is>
          <t>FAQ</t>
        </is>
      </c>
      <c r="D1357" s="5" t="inlineStr">
        <is>
          <t>Une page d'accueil qui répond aux trois questions du patient</t>
        </is>
      </c>
      <c r="E1357" t="inlineStr">
        <is>
          <t>H2</t>
        </is>
      </c>
      <c r="F1357" s="5" t="inlineStr">
        <is>
          <t>Informational (pre-purchase questions)</t>
        </is>
      </c>
      <c r="G1357" t="inlineStr">
        <is>
          <t>site de télémédecine</t>
        </is>
      </c>
      <c r="H1357" t="inlineStr">
        <is>
          <t>SUPPORTS PRIMARY</t>
        </is>
      </c>
      <c r="I1357" t="inlineStr">
        <is>
          <t>fr</t>
        </is>
      </c>
      <c r="J1357" t="n">
        <v>20</v>
      </c>
      <c r="K1357" t="inlineStr">
        <is>
          <t>NOT AVAILABLE</t>
        </is>
      </c>
      <c r="L1357" t="n">
        <v>0</v>
      </c>
      <c r="M1357" t="inlineStr">
        <is>
          <t>MEASURED</t>
        </is>
      </c>
      <c r="N1357" t="inlineStr">
        <is>
          <t>Yes (supporting block)</t>
        </is>
      </c>
      <c r="O1357" s="5" t="inlineStr">
        <is>
          <t>Supports the primary topic - add only if natural</t>
        </is>
      </c>
      <c r="P1357" s="5" t="inlineStr"/>
      <c r="Q1357" t="inlineStr">
        <is>
          <t>P3</t>
        </is>
      </c>
      <c r="R1357" t="n">
        <v>99</v>
      </c>
      <c r="S1357" s="5" t="inlineStr">
        <is>
          <t>Un patient qui arrive sur votre site se pose presque toujours les mêmes questions : est-ce que je peux consulter à distance pour mon problème ? Comment ça se passe concrètement ? Combien ça coûte et est-ce remboursé ? La</t>
        </is>
      </c>
    </row>
    <row r="1358">
      <c r="A1358" s="3" t="inlineStr">
        <is>
          <t>https://codesommet.com/blog/site-web-telemedecine-cabinet-clinique-que-doit-il-contenir</t>
        </is>
      </c>
      <c r="B1358" t="n">
        <v>3</v>
      </c>
      <c r="C1358" t="inlineStr">
        <is>
          <t>Content block</t>
        </is>
      </c>
      <c r="D1358" s="5" t="inlineStr">
        <is>
          <t>Une page « Comment se déroule une téléconsultation »</t>
        </is>
      </c>
      <c r="E1358" t="inlineStr">
        <is>
          <t>H2</t>
        </is>
      </c>
      <c r="F1358" s="5" t="inlineStr">
        <is>
          <t>Informational</t>
        </is>
      </c>
      <c r="G1358" t="inlineStr">
        <is>
          <t>téléconsultation site</t>
        </is>
      </c>
      <c r="H1358" t="inlineStr">
        <is>
          <t>SUPPORTING</t>
        </is>
      </c>
      <c r="I1358" t="inlineStr">
        <is>
          <t>fr</t>
        </is>
      </c>
      <c r="J1358" t="n">
        <v>20</v>
      </c>
      <c r="K1358" t="inlineStr">
        <is>
          <t>NOT AVAILABLE</t>
        </is>
      </c>
      <c r="L1358" t="n">
        <v>0</v>
      </c>
      <c r="M1358" t="inlineStr">
        <is>
          <t>MEASURED</t>
        </is>
      </c>
      <c r="N1358" t="inlineStr">
        <is>
          <t>Yes</t>
        </is>
      </c>
      <c r="O1358" s="5" t="inlineStr">
        <is>
          <t>Covered - keep wording; no change</t>
        </is>
      </c>
      <c r="P1358" s="5" t="inlineStr"/>
      <c r="Q1358" t="inlineStr">
        <is>
          <t>P3</t>
        </is>
      </c>
      <c r="R1358" t="n">
        <v>131</v>
      </c>
      <c r="S1358" s="5" t="inlineStr">
        <is>
          <t>C'est la page la plus consultée sur ce type de site, et souvent la plus négligée. Elle doit décrire pas à pas ce que le patient va vivre : la prise de rendez-vous (en ligne, par téléphone, délais habituels) ; ce qu'il fa</t>
        </is>
      </c>
    </row>
    <row r="1359">
      <c r="A1359" s="3" t="inlineStr">
        <is>
          <t>https://codesommet.com/blog/site-web-telemedecine-cabinet-clinique-que-doit-il-contenir</t>
        </is>
      </c>
      <c r="B1359" t="n">
        <v>4</v>
      </c>
      <c r="C1359" t="inlineStr">
        <is>
          <t>Content block</t>
        </is>
      </c>
      <c r="D1359" s="5" t="inlineStr">
        <is>
          <t>Les motifs pris en charge — et ceux qui ne le sont pas</t>
        </is>
      </c>
      <c r="E1359" t="inlineStr">
        <is>
          <t>H2</t>
        </is>
      </c>
      <c r="F1359" s="5" t="inlineStr">
        <is>
          <t>Informational</t>
        </is>
      </c>
      <c r="G1359" t="inlineStr">
        <is>
          <t>téléconsultation site</t>
        </is>
      </c>
      <c r="H1359" t="inlineStr">
        <is>
          <t>SUPPORTING</t>
        </is>
      </c>
      <c r="I1359" t="inlineStr">
        <is>
          <t>fr</t>
        </is>
      </c>
      <c r="J1359" t="n">
        <v>20</v>
      </c>
      <c r="K1359" t="inlineStr">
        <is>
          <t>NOT AVAILABLE</t>
        </is>
      </c>
      <c r="L1359" t="n">
        <v>0</v>
      </c>
      <c r="M1359" t="inlineStr">
        <is>
          <t>MEASURED</t>
        </is>
      </c>
      <c r="N1359" t="inlineStr">
        <is>
          <t>Yes</t>
        </is>
      </c>
      <c r="O1359" s="5" t="inlineStr">
        <is>
          <t>Covered - keep wording; no change</t>
        </is>
      </c>
      <c r="P1359" s="5" t="inlineStr"/>
      <c r="Q1359" t="inlineStr">
        <is>
          <t>P3</t>
        </is>
      </c>
      <c r="R1359" t="n">
        <v>124</v>
      </c>
      <c r="S1359" s="5" t="inlineStr">
        <is>
          <t>La télémédecine n'est pas adaptée à toutes les situations. Une liste claire des motifs adaptés (renouvellement d'ordonnance, suivi de pathologie chronique stabilisée, conseil, interprétation de résultats, certains symptô</t>
        </is>
      </c>
    </row>
    <row r="1360">
      <c r="A1360" s="3" t="inlineStr">
        <is>
          <t>https://codesommet.com/blog/site-web-telemedecine-cabinet-clinique-que-doit-il-contenir</t>
        </is>
      </c>
      <c r="B1360" t="n">
        <v>5</v>
      </c>
      <c r="C1360" t="inlineStr">
        <is>
          <t>Content block</t>
        </is>
      </c>
      <c r="D1360" s="5" t="inlineStr">
        <is>
          <t>Les informations sur les praticiens</t>
        </is>
      </c>
      <c r="E1360" t="inlineStr">
        <is>
          <t>H2</t>
        </is>
      </c>
      <c r="F1360" s="5" t="inlineStr">
        <is>
          <t>Informational</t>
        </is>
      </c>
      <c r="G1360" t="inlineStr">
        <is>
          <t>téléconsultation site</t>
        </is>
      </c>
      <c r="H1360" t="inlineStr">
        <is>
          <t>SUPPORTING</t>
        </is>
      </c>
      <c r="I1360" t="inlineStr">
        <is>
          <t>fr</t>
        </is>
      </c>
      <c r="J1360" t="n">
        <v>20</v>
      </c>
      <c r="K1360" t="inlineStr">
        <is>
          <t>NOT AVAILABLE</t>
        </is>
      </c>
      <c r="L1360" t="n">
        <v>0</v>
      </c>
      <c r="M1360" t="inlineStr">
        <is>
          <t>MEASURED</t>
        </is>
      </c>
      <c r="N1360" t="inlineStr">
        <is>
          <t>Yes (supporting block)</t>
        </is>
      </c>
      <c r="O1360" s="5" t="inlineStr">
        <is>
          <t>Supports the primary topic - add only if natural</t>
        </is>
      </c>
      <c r="P1360" s="5" t="inlineStr"/>
      <c r="Q1360" t="inlineStr">
        <is>
          <t>P3</t>
        </is>
      </c>
      <c r="R1360" t="n">
        <v>48</v>
      </c>
      <c r="S1360" s="5" t="inlineStr">
        <is>
          <t>Un patient veut savoir qui il va consulter. Pour chaque praticien : nom, titre, spécialité, langues parlées, numéro d'inscription à l'ordre professionnel lorsque c'est la règle, et photo. Évitez les biographies promotion</t>
        </is>
      </c>
    </row>
    <row r="1361">
      <c r="A1361" s="3" t="inlineStr">
        <is>
          <t>https://codesommet.com/blog/site-web-telemedecine-cabinet-clinique-que-doit-il-contenir</t>
        </is>
      </c>
      <c r="B1361" t="n">
        <v>6</v>
      </c>
      <c r="C1361" t="inlineStr">
        <is>
          <t>Services / features</t>
        </is>
      </c>
      <c r="D1361" s="5" t="inlineStr">
        <is>
          <t>La prise de rendez-vous, intégrée et sans friction</t>
        </is>
      </c>
      <c r="E1361" t="inlineStr">
        <is>
          <t>H2</t>
        </is>
      </c>
      <c r="F1361" s="5" t="inlineStr">
        <is>
          <t>Informational</t>
        </is>
      </c>
      <c r="G1361" t="inlineStr">
        <is>
          <t>téléconsultation site</t>
        </is>
      </c>
      <c r="H1361" t="inlineStr">
        <is>
          <t>SUPPORTING</t>
        </is>
      </c>
      <c r="I1361" t="inlineStr">
        <is>
          <t>fr</t>
        </is>
      </c>
      <c r="J1361" t="n">
        <v>20</v>
      </c>
      <c r="K1361" t="inlineStr">
        <is>
          <t>NOT AVAILABLE</t>
        </is>
      </c>
      <c r="L1361" t="n">
        <v>0</v>
      </c>
      <c r="M1361" t="inlineStr">
        <is>
          <t>MEASURED</t>
        </is>
      </c>
      <c r="N1361" t="inlineStr">
        <is>
          <t>Yes (supporting block)</t>
        </is>
      </c>
      <c r="O1361" s="5" t="inlineStr">
        <is>
          <t>Supports the primary topic - add only if natural</t>
        </is>
      </c>
      <c r="P1361" s="5" t="inlineStr"/>
      <c r="Q1361" t="inlineStr">
        <is>
          <t>P3</t>
        </is>
      </c>
      <c r="R1361" t="n">
        <v>98</v>
      </c>
      <c r="S1361" s="5" t="inlineStr">
        <is>
          <t>Le lien vers la prise de rendez-vous doit être présent sur toutes les pages, dans l'en-tête, et rester accessible en défilant sur mobile. Que vous utilisiez un outil externe ou une solution intégrée à votre plateforme de</t>
        </is>
      </c>
    </row>
    <row r="1362">
      <c r="A1362" s="3" t="inlineStr">
        <is>
          <t>https://codesommet.com/blog/site-web-telemedecine-cabinet-clinique-que-doit-il-contenir</t>
        </is>
      </c>
      <c r="B1362" t="n">
        <v>7</v>
      </c>
      <c r="C1362" t="inlineStr">
        <is>
          <t>Content block</t>
        </is>
      </c>
      <c r="D1362" s="5" t="inlineStr">
        <is>
          <t>Confidentialité et données de santé : une page dédiée, en langage simple</t>
        </is>
      </c>
      <c r="E1362" t="inlineStr">
        <is>
          <t>H2</t>
        </is>
      </c>
      <c r="F1362" s="5" t="inlineStr">
        <is>
          <t>Informational</t>
        </is>
      </c>
      <c r="G1362" t="inlineStr">
        <is>
          <t>téléconsultation site</t>
        </is>
      </c>
      <c r="H1362" t="inlineStr">
        <is>
          <t>SUPPORTING</t>
        </is>
      </c>
      <c r="I1362" t="inlineStr">
        <is>
          <t>fr</t>
        </is>
      </c>
      <c r="J1362" t="n">
        <v>20</v>
      </c>
      <c r="K1362" t="inlineStr">
        <is>
          <t>NOT AVAILABLE</t>
        </is>
      </c>
      <c r="L1362" t="n">
        <v>0</v>
      </c>
      <c r="M1362" t="inlineStr">
        <is>
          <t>MEASURED</t>
        </is>
      </c>
      <c r="N1362" t="inlineStr">
        <is>
          <t>Yes (supporting block)</t>
        </is>
      </c>
      <c r="O1362" s="5" t="inlineStr">
        <is>
          <t>Supports the primary topic - add only if natural</t>
        </is>
      </c>
      <c r="P1362" s="5" t="inlineStr"/>
      <c r="Q1362" t="inlineStr">
        <is>
          <t>P3</t>
        </is>
      </c>
      <c r="R1362" t="n">
        <v>97</v>
      </c>
      <c r="S1362" s="5" t="inlineStr">
        <is>
          <t>Les données de santé sont soumises à des règles strictes de protection. Votre site doit expliquer, en termes accessibles, quelles données sont collectées, où elles sont hébergées, qui y a accès, combien de temps elles so</t>
        </is>
      </c>
    </row>
    <row r="1363">
      <c r="A1363" s="3" t="inlineStr">
        <is>
          <t>https://codesommet.com/blog/site-web-telemedecine-cabinet-clinique-que-doit-il-contenir</t>
        </is>
      </c>
      <c r="B1363" t="n">
        <v>8</v>
      </c>
      <c r="C1363" t="inlineStr">
        <is>
          <t>Pricing / offers</t>
        </is>
      </c>
      <c r="D1363" s="5" t="inlineStr">
        <is>
          <t>Tarifs, remboursement et moyens de paiement</t>
        </is>
      </c>
      <c r="E1363" t="inlineStr">
        <is>
          <t>H2</t>
        </is>
      </c>
      <c r="F1363" s="5" t="inlineStr">
        <is>
          <t>Commercial / transactional</t>
        </is>
      </c>
      <c r="G1363" t="inlineStr">
        <is>
          <t>site de télémédecine</t>
        </is>
      </c>
      <c r="H1363" t="inlineStr">
        <is>
          <t>SUPPORTS PRIMARY</t>
        </is>
      </c>
      <c r="I1363" t="inlineStr">
        <is>
          <t>fr</t>
        </is>
      </c>
      <c r="J1363" t="n">
        <v>20</v>
      </c>
      <c r="K1363" t="inlineStr">
        <is>
          <t>NOT AVAILABLE</t>
        </is>
      </c>
      <c r="L1363" t="n">
        <v>0</v>
      </c>
      <c r="M1363" t="inlineStr">
        <is>
          <t>MEASURED</t>
        </is>
      </c>
      <c r="N1363" t="inlineStr">
        <is>
          <t>Yes (supporting block)</t>
        </is>
      </c>
      <c r="O1363" s="5" t="inlineStr">
        <is>
          <t>Supports the primary topic - add only if natural</t>
        </is>
      </c>
      <c r="P1363" s="5" t="inlineStr"/>
      <c r="Q1363" t="inlineStr">
        <is>
          <t>P3</t>
        </is>
      </c>
      <c r="R1363" t="n">
        <v>61</v>
      </c>
      <c r="S1363" s="5" t="inlineStr">
        <is>
          <t xml:space="preserve">Affichez les tarifs de chaque type de consultation, les conditions de prise en charge par l'assurance maladie ou les assurances privées selon votre pays, et les moyens de paiement acceptés. Si certaines consultations ne </t>
        </is>
      </c>
    </row>
    <row r="1364">
      <c r="A1364" s="3" t="inlineStr">
        <is>
          <t>https://codesommet.com/blog/site-web-telemedecine-cabinet-clinique-que-doit-il-contenir</t>
        </is>
      </c>
      <c r="B1364" t="n">
        <v>9</v>
      </c>
      <c r="C1364" t="inlineStr">
        <is>
          <t>FAQ</t>
        </is>
      </c>
      <c r="D1364" s="5" t="inlineStr">
        <is>
          <t>Une FAQ construite à partir des vraies questions</t>
        </is>
      </c>
      <c r="E1364" t="inlineStr">
        <is>
          <t>H2</t>
        </is>
      </c>
      <c r="F1364" s="5" t="inlineStr">
        <is>
          <t>Informational (pre-purchase questions)</t>
        </is>
      </c>
      <c r="G1364" t="inlineStr">
        <is>
          <t>site de télémédecine</t>
        </is>
      </c>
      <c r="H1364" t="inlineStr">
        <is>
          <t>SUPPORTS PRIMARY</t>
        </is>
      </c>
      <c r="I1364" t="inlineStr">
        <is>
          <t>fr</t>
        </is>
      </c>
      <c r="J1364" t="n">
        <v>20</v>
      </c>
      <c r="K1364" t="inlineStr">
        <is>
          <t>NOT AVAILABLE</t>
        </is>
      </c>
      <c r="L1364" t="n">
        <v>0</v>
      </c>
      <c r="M1364" t="inlineStr">
        <is>
          <t>MEASURED</t>
        </is>
      </c>
      <c r="N1364" t="inlineStr">
        <is>
          <t>Yes (supporting block)</t>
        </is>
      </c>
      <c r="O1364" s="5" t="inlineStr">
        <is>
          <t>Supports the primary topic - add only if natural</t>
        </is>
      </c>
      <c r="P1364" s="5" t="inlineStr"/>
      <c r="Q1364" t="inlineStr">
        <is>
          <t>P3</t>
        </is>
      </c>
      <c r="R1364" t="n">
        <v>55</v>
      </c>
      <c r="S1364" s="5" t="inlineStr">
        <is>
          <t>Demandez au secrétariat quelles questions reviennent le plus au téléphone : c'est votre FAQ. Exemples fréquents : « Puis-je consulter pour mon enfant ? », « Que faire si ma connexion coupe ? », « L'ordonnance est-elle va</t>
        </is>
      </c>
    </row>
    <row r="1365">
      <c r="A1365" s="3" t="inlineStr">
        <is>
          <t>https://codesommet.com/blog/site-web-telemedecine-cabinet-clinique-que-doit-il-contenir</t>
        </is>
      </c>
      <c r="B1365" t="n">
        <v>10</v>
      </c>
      <c r="C1365" t="inlineStr">
        <is>
          <t>Content block</t>
        </is>
      </c>
      <c r="D1365" s="5" t="inlineStr">
        <is>
          <t>Un site réellement utilisable sur mobile</t>
        </is>
      </c>
      <c r="E1365" t="inlineStr">
        <is>
          <t>H2</t>
        </is>
      </c>
      <c r="F1365" s="5" t="inlineStr">
        <is>
          <t>Informational</t>
        </is>
      </c>
      <c r="G1365" t="inlineStr">
        <is>
          <t>téléconsultation site</t>
        </is>
      </c>
      <c r="H1365" t="inlineStr">
        <is>
          <t>SUPPORTING</t>
        </is>
      </c>
      <c r="I1365" t="inlineStr">
        <is>
          <t>fr</t>
        </is>
      </c>
      <c r="J1365" t="n">
        <v>20</v>
      </c>
      <c r="K1365" t="inlineStr">
        <is>
          <t>NOT AVAILABLE</t>
        </is>
      </c>
      <c r="L1365" t="n">
        <v>0</v>
      </c>
      <c r="M1365" t="inlineStr">
        <is>
          <t>MEASURED</t>
        </is>
      </c>
      <c r="N1365" t="inlineStr">
        <is>
          <t>Yes (supporting block)</t>
        </is>
      </c>
      <c r="O1365" s="5" t="inlineStr">
        <is>
          <t>Supports the primary topic - add only if natural</t>
        </is>
      </c>
      <c r="P1365" s="5" t="inlineStr"/>
      <c r="Q1365" t="inlineStr">
        <is>
          <t>P3</t>
        </is>
      </c>
      <c r="R1365" t="n">
        <v>99</v>
      </c>
      <c r="S1365" s="5" t="inlineStr">
        <is>
          <t>La majorité des patients consultent ces sites depuis un téléphone, souvent au moment où ils se sentent mal. Boutons suffisamment grands, texte lisible sans zoom, formulaires simples, temps de chargement court : ce sont d</t>
        </is>
      </c>
    </row>
    <row r="1366">
      <c r="A1366" s="3" t="inlineStr">
        <is>
          <t>https://codesommet.com/blog/site-web-telemedecine-cabinet-clinique-que-doit-il-contenir</t>
        </is>
      </c>
      <c r="B1366" t="n">
        <v>11</v>
      </c>
      <c r="C1366" t="inlineStr">
        <is>
          <t>CTA / conversion</t>
        </is>
      </c>
      <c r="D1366" s="5" t="inlineStr">
        <is>
          <t>Ce que le site n'a pas besoin de contenir</t>
        </is>
      </c>
      <c r="E1366" t="inlineStr">
        <is>
          <t>H2</t>
        </is>
      </c>
      <c r="F1366" s="5" t="inlineStr">
        <is>
          <t>Conversion</t>
        </is>
      </c>
      <c r="G1366" t="inlineStr">
        <is>
          <t>—</t>
        </is>
      </c>
      <c r="H1366" t="inlineStr">
        <is>
          <t>NONE</t>
        </is>
      </c>
      <c r="I1366" t="inlineStr">
        <is>
          <t>—</t>
        </is>
      </c>
      <c r="J1366" t="inlineStr">
        <is>
          <t>—</t>
        </is>
      </c>
      <c r="K1366" t="inlineStr">
        <is>
          <t>—</t>
        </is>
      </c>
      <c r="L1366" t="inlineStr">
        <is>
          <t>—</t>
        </is>
      </c>
      <c r="M1366" t="inlineStr">
        <is>
          <t>—</t>
        </is>
      </c>
      <c r="N1366" t="inlineStr">
        <is>
          <t>n/a</t>
        </is>
      </c>
      <c r="O1366" s="5" t="inlineStr">
        <is>
          <t>No keyword target - keep conversion/navigation focus; use descriptive, non-repeated anchor texts</t>
        </is>
      </c>
      <c r="P1366" s="5" t="inlineStr"/>
      <c r="Q1366" t="inlineStr">
        <is>
          <t>P4</t>
        </is>
      </c>
      <c r="R1366" t="n">
        <v>132</v>
      </c>
      <c r="S1366" s="5" t="inlineStr">
        <is>
          <t xml:space="preserve">Pour finir, quelques éléments que l'on voit souvent et qui n'aident pas : les longs textes sur « notre vision de la médecine du futur », les galeries de photos de stock de médecins souriants, les compteurs de « patients </t>
        </is>
      </c>
    </row>
    <row r="1367">
      <c r="A1367" s="3" t="inlineStr">
        <is>
          <t>https://codesommet.com/blog/site-web-telemedecine-cabinet-clinique-que-doit-il-contenir</t>
        </is>
      </c>
      <c r="B1367" t="n">
        <v>12</v>
      </c>
      <c r="C1367" t="inlineStr">
        <is>
          <t>Internal-link block</t>
        </is>
      </c>
      <c r="D1367" s="5" t="inlineStr">
        <is>
          <t>Articles Similaires</t>
        </is>
      </c>
      <c r="E1367" t="inlineStr">
        <is>
          <t>H2</t>
        </is>
      </c>
      <c r="F1367" s="5" t="inlineStr">
        <is>
          <t>Navigation</t>
        </is>
      </c>
      <c r="G1367" t="inlineStr">
        <is>
          <t>—</t>
        </is>
      </c>
      <c r="H1367" t="inlineStr">
        <is>
          <t>NONE</t>
        </is>
      </c>
      <c r="I1367" t="inlineStr">
        <is>
          <t>—</t>
        </is>
      </c>
      <c r="J1367" t="inlineStr">
        <is>
          <t>—</t>
        </is>
      </c>
      <c r="K1367" t="inlineStr">
        <is>
          <t>—</t>
        </is>
      </c>
      <c r="L1367" t="inlineStr">
        <is>
          <t>—</t>
        </is>
      </c>
      <c r="M1367" t="inlineStr">
        <is>
          <t>—</t>
        </is>
      </c>
      <c r="N1367" t="inlineStr">
        <is>
          <t>n/a</t>
        </is>
      </c>
      <c r="O1367" s="5" t="inlineStr">
        <is>
          <t>No keyword target - keep conversion/navigation focus; use descriptive, non-repeated anchor texts</t>
        </is>
      </c>
      <c r="P1367" s="5" t="inlineStr"/>
      <c r="Q1367" t="inlineStr">
        <is>
          <t>P4</t>
        </is>
      </c>
      <c r="R1367" t="n">
        <v>166</v>
      </c>
      <c r="S1367" s="5" t="inlineStr">
        <is>
          <t xml:space="preserve">Développement Web 24 août 2026 · 7 min de lecture Créer une plateforme SaaS : MVP, multi-tenant, facturation — par où commencer ? Lancer un SaaS, c'est enchaîner des décisions qui engagent pour des années : périmètre du </t>
        </is>
      </c>
    </row>
    <row r="1368">
      <c r="A1368" s="3" t="inlineStr">
        <is>
          <t>https://codesommet.com/blog/site-web-telemedecine-cabinet-clinique-que-doit-il-contenir</t>
        </is>
      </c>
      <c r="B1368" t="n">
        <v>13</v>
      </c>
      <c r="C1368" t="inlineStr">
        <is>
          <t>CTA / conversion</t>
        </is>
      </c>
      <c r="D1368" s="5" t="inlineStr">
        <is>
          <t>Prêt à Construire Quelque Chose d'Extraordinaire ?</t>
        </is>
      </c>
      <c r="E1368" t="inlineStr">
        <is>
          <t>H2</t>
        </is>
      </c>
      <c r="F1368" s="5" t="inlineStr">
        <is>
          <t>Conversion</t>
        </is>
      </c>
      <c r="G1368" t="inlineStr">
        <is>
          <t>—</t>
        </is>
      </c>
      <c r="H1368" t="inlineStr">
        <is>
          <t>NONE</t>
        </is>
      </c>
      <c r="I1368" t="inlineStr">
        <is>
          <t>—</t>
        </is>
      </c>
      <c r="J1368" t="inlineStr">
        <is>
          <t>—</t>
        </is>
      </c>
      <c r="K1368" t="inlineStr">
        <is>
          <t>—</t>
        </is>
      </c>
      <c r="L1368" t="inlineStr">
        <is>
          <t>—</t>
        </is>
      </c>
      <c r="M1368" t="inlineStr">
        <is>
          <t>—</t>
        </is>
      </c>
      <c r="N1368" t="inlineStr">
        <is>
          <t>n/a</t>
        </is>
      </c>
      <c r="O1368" s="5" t="inlineStr">
        <is>
          <t>No keyword target - keep conversion/navigation focus; use descriptive, non-repeated anchor texts</t>
        </is>
      </c>
      <c r="P1368" s="5" t="inlineStr"/>
      <c r="Q1368" t="inlineStr">
        <is>
          <t>P4</t>
        </is>
      </c>
      <c r="R1368" t="n">
        <v>89</v>
      </c>
      <c r="S1368" s="5" t="inlineStr">
        <is>
          <t>Rejoignez les entreprises qui nous font confiance pour bâtir leur succès digital Obtenez Votre Devis Gratuit Analysez Votre Site Web Développement Web E-commerce Applications Mobile UI/UX Design SEO Branding SaaS Marketi</t>
        </is>
      </c>
    </row>
    <row r="1369">
      <c r="A1369" s="3" t="inlineStr">
        <is>
          <t>https://codesommet.com/blog/site-web-fintech-7-elements-qui-rassurent-un-visiteur</t>
        </is>
      </c>
      <c r="B1369" t="n">
        <v>1</v>
      </c>
      <c r="C1369" t="inlineStr">
        <is>
          <t>Hero / H1</t>
        </is>
      </c>
      <c r="D1369" s="5" t="inlineStr">
        <is>
          <t>Site web fintech : les 7 éléments qui rassurent un visiteur avant qu'il ne vous contacte</t>
        </is>
      </c>
      <c r="E1369" t="inlineStr">
        <is>
          <t>H1</t>
        </is>
      </c>
      <c r="F1369" s="5" t="inlineStr">
        <is>
          <t>Informational</t>
        </is>
      </c>
      <c r="G1369" t="inlineStr">
        <is>
          <t>éléments de réassurance site web</t>
        </is>
      </c>
      <c r="H1369" t="inlineStr">
        <is>
          <t>PRIMARY</t>
        </is>
      </c>
      <c r="I1369" t="inlineStr">
        <is>
          <t>fr</t>
        </is>
      </c>
      <c r="J1369" t="n">
        <v>70</v>
      </c>
      <c r="K1369" t="n">
        <v>17</v>
      </c>
      <c r="L1369" t="n">
        <v>0</v>
      </c>
      <c r="M1369" t="inlineStr">
        <is>
          <t>MEASURED</t>
        </is>
      </c>
      <c r="N1369" t="inlineStr">
        <is>
          <t>Partly</t>
        </is>
      </c>
      <c r="O1369" s="5" t="inlineStr">
        <is>
          <t>Work "éléments de réassurance site web" (or a close natural variant) into existing copy - no new heading needed</t>
        </is>
      </c>
      <c r="P1369" s="5" t="inlineStr">
        <is>
          <t>Keyword/variant absent from this section</t>
        </is>
      </c>
      <c r="Q1369" t="inlineStr">
        <is>
          <t>P3</t>
        </is>
      </c>
      <c r="R1369" t="n">
        <v>140</v>
      </c>
      <c r="S1369" s="5" t="inlineStr">
        <is>
          <t>Dans la finance, un visiteur ne remplit pas un formulaire tant qu'il n'est pas rassuré. Voici les sept éléments concrets qui font la différence entre un site fintech qui inspire confiance et un site qui fait fuir. CodeSo</t>
        </is>
      </c>
    </row>
    <row r="1370">
      <c r="A1370" s="3" t="inlineStr">
        <is>
          <t>https://codesommet.com/blog/site-web-fintech-7-elements-qui-rassurent-un-visiteur</t>
        </is>
      </c>
      <c r="B1370" t="n">
        <v>2</v>
      </c>
      <c r="C1370" t="inlineStr">
        <is>
          <t>Content block</t>
        </is>
      </c>
      <c r="D1370" s="5" t="inlineStr">
        <is>
          <t>1. Une proposition de valeur qui dit ce que vous faites, pas ce que vous rêvez d'être</t>
        </is>
      </c>
      <c r="E1370" t="inlineStr">
        <is>
          <t>H2</t>
        </is>
      </c>
      <c r="F1370" s="5" t="inlineStr">
        <is>
          <t>Informational</t>
        </is>
      </c>
      <c r="G1370" t="inlineStr">
        <is>
          <t>réassurance site web</t>
        </is>
      </c>
      <c r="H1370" t="inlineStr">
        <is>
          <t>SUPPORTING</t>
        </is>
      </c>
      <c r="I1370" t="inlineStr">
        <is>
          <t>fr</t>
        </is>
      </c>
      <c r="J1370" t="n">
        <v>20</v>
      </c>
      <c r="K1370" t="inlineStr">
        <is>
          <t>NOT AVAILABLE</t>
        </is>
      </c>
      <c r="L1370" t="n">
        <v>0</v>
      </c>
      <c r="M1370" t="inlineStr">
        <is>
          <t>MEASURED</t>
        </is>
      </c>
      <c r="N1370" t="inlineStr">
        <is>
          <t>Yes (supporting block)</t>
        </is>
      </c>
      <c r="O1370" s="5" t="inlineStr">
        <is>
          <t>Supports the primary topic - add only if natural</t>
        </is>
      </c>
      <c r="P1370" s="5" t="inlineStr"/>
      <c r="Q1370" t="inlineStr">
        <is>
          <t>P3</t>
        </is>
      </c>
      <c r="R1370" t="n">
        <v>106</v>
      </c>
      <c r="S1370" s="5" t="inlineStr">
        <is>
          <t>La première erreur des sites fintech est le vocabulaire flou : « réinventer la finance », « libérer votre potentiel financier ». Un visiteur qui arrive depuis une recherche Google veut savoir en trois secondes s'il est a</t>
        </is>
      </c>
    </row>
    <row r="1371">
      <c r="A1371" s="3" t="inlineStr">
        <is>
          <t>https://codesommet.com/blog/site-web-fintech-7-elements-qui-rassurent-un-visiteur</t>
        </is>
      </c>
      <c r="B1371" t="n">
        <v>3</v>
      </c>
      <c r="C1371" t="inlineStr">
        <is>
          <t>Content block</t>
        </is>
      </c>
      <c r="D1371" s="5" t="inlineStr">
        <is>
          <t>2. Les mentions réglementaires, visibles et lisibles</t>
        </is>
      </c>
      <c r="E1371" t="inlineStr">
        <is>
          <t>H2</t>
        </is>
      </c>
      <c r="F1371" s="5" t="inlineStr">
        <is>
          <t>Informational</t>
        </is>
      </c>
      <c r="G1371" t="inlineStr">
        <is>
          <t>confiance site web</t>
        </is>
      </c>
      <c r="H1371" t="inlineStr">
        <is>
          <t>SUPPORTING</t>
        </is>
      </c>
      <c r="I1371" t="inlineStr">
        <is>
          <t>fr</t>
        </is>
      </c>
      <c r="J1371" t="n">
        <v>20</v>
      </c>
      <c r="K1371" t="inlineStr">
        <is>
          <t>NOT AVAILABLE</t>
        </is>
      </c>
      <c r="L1371" t="n">
        <v>0</v>
      </c>
      <c r="M1371" t="inlineStr">
        <is>
          <t>MEASURED</t>
        </is>
      </c>
      <c r="N1371" t="inlineStr">
        <is>
          <t>Yes</t>
        </is>
      </c>
      <c r="O1371" s="5" t="inlineStr">
        <is>
          <t>Covered - keep wording; no change</t>
        </is>
      </c>
      <c r="P1371" s="5" t="inlineStr"/>
      <c r="Q1371" t="inlineStr">
        <is>
          <t>P3</t>
        </is>
      </c>
      <c r="R1371" t="n">
        <v>145</v>
      </c>
      <c r="S1371" s="5" t="inlineStr">
        <is>
          <t>Selon votre activité, vous êtes soumis à un agrément, un enregistrement ou une supervision (établissement de paiement, prestataire de services sur actifs numériques, intermédiaire en financement participatif, courtier…).</t>
        </is>
      </c>
    </row>
    <row r="1372">
      <c r="A1372" s="3" t="inlineStr">
        <is>
          <t>https://codesommet.com/blog/site-web-fintech-7-elements-qui-rassurent-un-visiteur</t>
        </is>
      </c>
      <c r="B1372" t="n">
        <v>4</v>
      </c>
      <c r="C1372" t="inlineStr">
        <is>
          <t>Content block</t>
        </is>
      </c>
      <c r="D1372" s="5" t="inlineStr">
        <is>
          <t>3. Un chapitre sécurité qui explique, sans jargon marketing</t>
        </is>
      </c>
      <c r="E1372" t="inlineStr">
        <is>
          <t>H2</t>
        </is>
      </c>
      <c r="F1372" s="5" t="inlineStr">
        <is>
          <t>Informational</t>
        </is>
      </c>
      <c r="G1372" t="inlineStr">
        <is>
          <t>réassurance site web</t>
        </is>
      </c>
      <c r="H1372" t="inlineStr">
        <is>
          <t>SUPPORTING</t>
        </is>
      </c>
      <c r="I1372" t="inlineStr">
        <is>
          <t>fr</t>
        </is>
      </c>
      <c r="J1372" t="n">
        <v>20</v>
      </c>
      <c r="K1372" t="inlineStr">
        <is>
          <t>NOT AVAILABLE</t>
        </is>
      </c>
      <c r="L1372" t="n">
        <v>0</v>
      </c>
      <c r="M1372" t="inlineStr">
        <is>
          <t>MEASURED</t>
        </is>
      </c>
      <c r="N1372" t="inlineStr">
        <is>
          <t>Yes (supporting block)</t>
        </is>
      </c>
      <c r="O1372" s="5" t="inlineStr">
        <is>
          <t>Supports the primary topic - add only if natural</t>
        </is>
      </c>
      <c r="P1372" s="5" t="inlineStr"/>
      <c r="Q1372" t="inlineStr">
        <is>
          <t>P3</t>
        </is>
      </c>
      <c r="R1372" t="n">
        <v>113</v>
      </c>
      <c r="S1372" s="5" t="inlineStr">
        <is>
          <t>Un badge « 100 % sécurisé » ne rassure personne. Ce qui rassure, c'est une page dédiée qui décrit vos pratiques réelles : chiffrement des données en transit et au repos, authentification forte, séparation des fonds clien</t>
        </is>
      </c>
    </row>
    <row r="1373">
      <c r="A1373" s="3" t="inlineStr">
        <is>
          <t>https://codesommet.com/blog/site-web-fintech-7-elements-qui-rassurent-un-visiteur</t>
        </is>
      </c>
      <c r="B1373" t="n">
        <v>5</v>
      </c>
      <c r="C1373" t="inlineStr">
        <is>
          <t>Pricing / offers</t>
        </is>
      </c>
      <c r="D1373" s="5" t="inlineStr">
        <is>
          <t>4. Une tarification lisible, sans astérisques cachés</t>
        </is>
      </c>
      <c r="E1373" t="inlineStr">
        <is>
          <t>H2</t>
        </is>
      </c>
      <c r="F1373" s="5" t="inlineStr">
        <is>
          <t>Commercial / transactional</t>
        </is>
      </c>
      <c r="G1373" t="inlineStr">
        <is>
          <t>éléments de réassurance site web</t>
        </is>
      </c>
      <c r="H1373" t="inlineStr">
        <is>
          <t>SUPPORTS PRIMARY</t>
        </is>
      </c>
      <c r="I1373" t="inlineStr">
        <is>
          <t>fr</t>
        </is>
      </c>
      <c r="J1373" t="n">
        <v>70</v>
      </c>
      <c r="K1373" t="n">
        <v>17</v>
      </c>
      <c r="L1373" t="n">
        <v>0</v>
      </c>
      <c r="M1373" t="inlineStr">
        <is>
          <t>MEASURED</t>
        </is>
      </c>
      <c r="N1373" t="inlineStr">
        <is>
          <t>Yes (supporting block)</t>
        </is>
      </c>
      <c r="O1373" s="5" t="inlineStr">
        <is>
          <t>Supports the primary topic - add only if natural</t>
        </is>
      </c>
      <c r="P1373" s="5" t="inlineStr"/>
      <c r="Q1373" t="inlineStr">
        <is>
          <t>P3</t>
        </is>
      </c>
      <c r="R1373" t="n">
        <v>88</v>
      </c>
      <c r="S1373" s="5" t="inlineStr">
        <is>
          <t>Dans la finance, l'opacité tarifaire est perçue comme une intention de cacher quelque chose. Même si votre offre est complexe, publiez au minimum : la structure des frais (abonnement, commission par transaction, frais de</t>
        </is>
      </c>
    </row>
    <row r="1374">
      <c r="A1374" s="3" t="inlineStr">
        <is>
          <t>https://codesommet.com/blog/site-web-fintech-7-elements-qui-rassurent-un-visiteur</t>
        </is>
      </c>
      <c r="B1374" t="n">
        <v>6</v>
      </c>
      <c r="C1374" t="inlineStr">
        <is>
          <t>Content block</t>
        </is>
      </c>
      <c r="D1374" s="5" t="inlineStr">
        <is>
          <t>5. Des preuves d'existence réelle : équipe, adresse, interlocuteurs</t>
        </is>
      </c>
      <c r="E1374" t="inlineStr">
        <is>
          <t>H2</t>
        </is>
      </c>
      <c r="F1374" s="5" t="inlineStr">
        <is>
          <t>Informational</t>
        </is>
      </c>
      <c r="G1374" t="inlineStr">
        <is>
          <t>confiance site web</t>
        </is>
      </c>
      <c r="H1374" t="inlineStr">
        <is>
          <t>SUPPORTING</t>
        </is>
      </c>
      <c r="I1374" t="inlineStr">
        <is>
          <t>fr</t>
        </is>
      </c>
      <c r="J1374" t="n">
        <v>20</v>
      </c>
      <c r="K1374" t="inlineStr">
        <is>
          <t>NOT AVAILABLE</t>
        </is>
      </c>
      <c r="L1374" t="n">
        <v>0</v>
      </c>
      <c r="M1374" t="inlineStr">
        <is>
          <t>MEASURED</t>
        </is>
      </c>
      <c r="N1374" t="inlineStr">
        <is>
          <t>Yes (supporting block)</t>
        </is>
      </c>
      <c r="O1374" s="5" t="inlineStr">
        <is>
          <t>Supports the primary topic - add only if natural</t>
        </is>
      </c>
      <c r="P1374" s="5" t="inlineStr"/>
      <c r="Q1374" t="inlineStr">
        <is>
          <t>P3</t>
        </is>
      </c>
      <c r="R1374" t="n">
        <v>123</v>
      </c>
      <c r="S1374" s="5" t="inlineStr">
        <is>
          <t>Les arnaques financières en ligne ont rendu les internautes méfiants envers les entreprises « sans visage ». Une page « À propos » avec les fondateurs, leur parcours et leurs responsabilités, une adresse physique, un num</t>
        </is>
      </c>
    </row>
    <row r="1375">
      <c r="A1375" s="3" t="inlineStr">
        <is>
          <t>https://codesommet.com/blog/site-web-fintech-7-elements-qui-rassurent-un-visiteur</t>
        </is>
      </c>
      <c r="B1375" t="n">
        <v>7</v>
      </c>
      <c r="C1375" t="inlineStr">
        <is>
          <t>Content block</t>
        </is>
      </c>
      <c r="D1375" s="5" t="inlineStr">
        <is>
          <t>6. Des captures ou une démonstration du produit réel</t>
        </is>
      </c>
      <c r="E1375" t="inlineStr">
        <is>
          <t>H2</t>
        </is>
      </c>
      <c r="F1375" s="5" t="inlineStr">
        <is>
          <t>Informational</t>
        </is>
      </c>
      <c r="G1375" t="inlineStr">
        <is>
          <t>réassurance site web</t>
        </is>
      </c>
      <c r="H1375" t="inlineStr">
        <is>
          <t>SUPPORTING</t>
        </is>
      </c>
      <c r="I1375" t="inlineStr">
        <is>
          <t>fr</t>
        </is>
      </c>
      <c r="J1375" t="n">
        <v>20</v>
      </c>
      <c r="K1375" t="inlineStr">
        <is>
          <t>NOT AVAILABLE</t>
        </is>
      </c>
      <c r="L1375" t="n">
        <v>0</v>
      </c>
      <c r="M1375" t="inlineStr">
        <is>
          <t>MEASURED</t>
        </is>
      </c>
      <c r="N1375" t="inlineStr">
        <is>
          <t>Yes (supporting block)</t>
        </is>
      </c>
      <c r="O1375" s="5" t="inlineStr">
        <is>
          <t>Supports the primary topic - add only if natural</t>
        </is>
      </c>
      <c r="P1375" s="5" t="inlineStr"/>
      <c r="Q1375" t="inlineStr">
        <is>
          <t>P3</t>
        </is>
      </c>
      <c r="R1375" t="n">
        <v>66</v>
      </c>
      <c r="S1375" s="5" t="inlineStr">
        <is>
          <t>Beaucoup de sites fintech se contentent d'illustrations abstraites. Or, le visiteur veut voir l'interface qu'il va utiliser : le tableau de bord, un relevé, l'écran de virement, l'application mobile. Des captures d'écran</t>
        </is>
      </c>
    </row>
    <row r="1376">
      <c r="A1376" s="3" t="inlineStr">
        <is>
          <t>https://codesommet.com/blog/site-web-fintech-7-elements-qui-rassurent-un-visiteur</t>
        </is>
      </c>
      <c r="B1376" t="n">
        <v>8</v>
      </c>
      <c r="C1376" t="inlineStr">
        <is>
          <t>Content block</t>
        </is>
      </c>
      <c r="D1376" s="5" t="inlineStr">
        <is>
          <t>7. Un parcours de contact adapté au niveau d'engagement</t>
        </is>
      </c>
      <c r="E1376" t="inlineStr">
        <is>
          <t>H2</t>
        </is>
      </c>
      <c r="F1376" s="5" t="inlineStr">
        <is>
          <t>Informational</t>
        </is>
      </c>
      <c r="G1376" t="inlineStr">
        <is>
          <t>confiance site web</t>
        </is>
      </c>
      <c r="H1376" t="inlineStr">
        <is>
          <t>SUPPORTING</t>
        </is>
      </c>
      <c r="I1376" t="inlineStr">
        <is>
          <t>fr</t>
        </is>
      </c>
      <c r="J1376" t="n">
        <v>20</v>
      </c>
      <c r="K1376" t="inlineStr">
        <is>
          <t>NOT AVAILABLE</t>
        </is>
      </c>
      <c r="L1376" t="n">
        <v>0</v>
      </c>
      <c r="M1376" t="inlineStr">
        <is>
          <t>MEASURED</t>
        </is>
      </c>
      <c r="N1376" t="inlineStr">
        <is>
          <t>Yes (supporting block)</t>
        </is>
      </c>
      <c r="O1376" s="5" t="inlineStr">
        <is>
          <t>Supports the primary topic - add only if natural</t>
        </is>
      </c>
      <c r="P1376" s="5" t="inlineStr"/>
      <c r="Q1376" t="inlineStr">
        <is>
          <t>P3</t>
        </is>
      </c>
      <c r="R1376" t="n">
        <v>103</v>
      </c>
      <c r="S1376" s="5" t="inlineStr">
        <is>
          <t>Un seul bouton « Ouvrir un compte » sur toutes les pages est trop brutal pour un visiteur qui découvre votre marque. Proposez plusieurs niveaux d'engagement : télécharger une fiche produit ou une documentation d'intégrat</t>
        </is>
      </c>
    </row>
    <row r="1377">
      <c r="A1377" s="3" t="inlineStr">
        <is>
          <t>https://codesommet.com/blog/site-web-fintech-7-elements-qui-rassurent-un-visiteur</t>
        </is>
      </c>
      <c r="B1377" t="n">
        <v>9</v>
      </c>
      <c r="C1377" t="inlineStr">
        <is>
          <t>Content block</t>
        </is>
      </c>
      <c r="D1377" s="5" t="inlineStr">
        <is>
          <t>Bonus : la performance et l'accessibilité font partie de la confiance</t>
        </is>
      </c>
      <c r="E1377" t="inlineStr">
        <is>
          <t>H2</t>
        </is>
      </c>
      <c r="F1377" s="5" t="inlineStr">
        <is>
          <t>Informational</t>
        </is>
      </c>
      <c r="G1377" t="inlineStr">
        <is>
          <t>réassurance site web</t>
        </is>
      </c>
      <c r="H1377" t="inlineStr">
        <is>
          <t>SUPPORTING</t>
        </is>
      </c>
      <c r="I1377" t="inlineStr">
        <is>
          <t>fr</t>
        </is>
      </c>
      <c r="J1377" t="n">
        <v>20</v>
      </c>
      <c r="K1377" t="inlineStr">
        <is>
          <t>NOT AVAILABLE</t>
        </is>
      </c>
      <c r="L1377" t="n">
        <v>0</v>
      </c>
      <c r="M1377" t="inlineStr">
        <is>
          <t>MEASURED</t>
        </is>
      </c>
      <c r="N1377" t="inlineStr">
        <is>
          <t>Yes (supporting block)</t>
        </is>
      </c>
      <c r="O1377" s="5" t="inlineStr">
        <is>
          <t>Supports the primary topic - add only if natural</t>
        </is>
      </c>
      <c r="P1377" s="5" t="inlineStr"/>
      <c r="Q1377" t="inlineStr">
        <is>
          <t>P3</t>
        </is>
      </c>
      <c r="R1377" t="n">
        <v>72</v>
      </c>
      <c r="S1377" s="5" t="inlineStr">
        <is>
          <t xml:space="preserve">Un site lent ou qui casse sur mobile envoie le même signal qu'une agence bancaire mal entretenue. Les pages fintech sont souvent alourdies par des scripts d'analyse, de chat et de suivi publicitaire. Faites l'inventaire </t>
        </is>
      </c>
    </row>
    <row r="1378">
      <c r="A1378" s="3" t="inlineStr">
        <is>
          <t>https://codesommet.com/blog/site-web-fintech-7-elements-qui-rassurent-un-visiteur</t>
        </is>
      </c>
      <c r="B1378" t="n">
        <v>10</v>
      </c>
      <c r="C1378" t="inlineStr">
        <is>
          <t>Content block</t>
        </is>
      </c>
      <c r="D1378" s="5" t="inlineStr">
        <is>
          <t>Par où commencer ?</t>
        </is>
      </c>
      <c r="E1378" t="inlineStr">
        <is>
          <t>H2</t>
        </is>
      </c>
      <c r="F1378" s="5" t="inlineStr">
        <is>
          <t>Informational</t>
        </is>
      </c>
      <c r="G1378" t="inlineStr">
        <is>
          <t>confiance site web</t>
        </is>
      </c>
      <c r="H1378" t="inlineStr">
        <is>
          <t>SUPPORTING</t>
        </is>
      </c>
      <c r="I1378" t="inlineStr">
        <is>
          <t>fr</t>
        </is>
      </c>
      <c r="J1378" t="n">
        <v>20</v>
      </c>
      <c r="K1378" t="inlineStr">
        <is>
          <t>NOT AVAILABLE</t>
        </is>
      </c>
      <c r="L1378" t="n">
        <v>0</v>
      </c>
      <c r="M1378" t="inlineStr">
        <is>
          <t>MEASURED</t>
        </is>
      </c>
      <c r="N1378" t="inlineStr">
        <is>
          <t>Yes (supporting block)</t>
        </is>
      </c>
      <c r="O1378" s="5" t="inlineStr">
        <is>
          <t>Supports the primary topic - add only if natural</t>
        </is>
      </c>
      <c r="P1378" s="5" t="inlineStr"/>
      <c r="Q1378" t="inlineStr">
        <is>
          <t>P3</t>
        </is>
      </c>
      <c r="R1378" t="n">
        <v>158</v>
      </c>
      <c r="S1378" s="5" t="inlineStr">
        <is>
          <t>Si vous devez prioriser, commencez par les points 2, 3 et 4 : cadre réglementaire, sécurité et tarification. Ce sont les trois pages que les visiteurs ouvrent avant de vous contacter, et ce sont celles où les sites finte</t>
        </is>
      </c>
    </row>
    <row r="1379">
      <c r="A1379" s="3" t="inlineStr">
        <is>
          <t>https://codesommet.com/blog/site-web-fintech-7-elements-qui-rassurent-un-visiteur</t>
        </is>
      </c>
      <c r="B1379" t="n">
        <v>11</v>
      </c>
      <c r="C1379" t="inlineStr">
        <is>
          <t>Internal-link block</t>
        </is>
      </c>
      <c r="D1379" s="5" t="inlineStr">
        <is>
          <t>Articles Similaires</t>
        </is>
      </c>
      <c r="E1379" t="inlineStr">
        <is>
          <t>H2</t>
        </is>
      </c>
      <c r="F1379" s="5" t="inlineStr">
        <is>
          <t>Navigation</t>
        </is>
      </c>
      <c r="G1379" t="inlineStr">
        <is>
          <t>—</t>
        </is>
      </c>
      <c r="H1379" t="inlineStr">
        <is>
          <t>NONE</t>
        </is>
      </c>
      <c r="I1379" t="inlineStr">
        <is>
          <t>—</t>
        </is>
      </c>
      <c r="J1379" t="inlineStr">
        <is>
          <t>—</t>
        </is>
      </c>
      <c r="K1379" t="inlineStr">
        <is>
          <t>—</t>
        </is>
      </c>
      <c r="L1379" t="inlineStr">
        <is>
          <t>—</t>
        </is>
      </c>
      <c r="M1379" t="inlineStr">
        <is>
          <t>—</t>
        </is>
      </c>
      <c r="N1379" t="inlineStr">
        <is>
          <t>n/a</t>
        </is>
      </c>
      <c r="O1379" s="5" t="inlineStr">
        <is>
          <t>No keyword target - keep conversion/navigation focus; use descriptive, non-repeated anchor texts</t>
        </is>
      </c>
      <c r="P1379" s="5" t="inlineStr"/>
      <c r="Q1379" t="inlineStr">
        <is>
          <t>P4</t>
        </is>
      </c>
      <c r="R1379" t="n">
        <v>166</v>
      </c>
      <c r="S1379" s="5" t="inlineStr">
        <is>
          <t xml:space="preserve">Développement Web 24 août 2026 · 7 min de lecture Créer une plateforme SaaS : MVP, multi-tenant, facturation — par où commencer ? Lancer un SaaS, c'est enchaîner des décisions qui engagent pour des années : périmètre du </t>
        </is>
      </c>
    </row>
    <row r="1380">
      <c r="A1380" s="3" t="inlineStr">
        <is>
          <t>https://codesommet.com/blog/site-web-fintech-7-elements-qui-rassurent-un-visiteur</t>
        </is>
      </c>
      <c r="B1380" t="n">
        <v>12</v>
      </c>
      <c r="C1380" t="inlineStr">
        <is>
          <t>CTA / conversion</t>
        </is>
      </c>
      <c r="D1380" s="5" t="inlineStr">
        <is>
          <t>Prêt à Construire Quelque Chose d'Extraordinaire ?</t>
        </is>
      </c>
      <c r="E1380" t="inlineStr">
        <is>
          <t>H2</t>
        </is>
      </c>
      <c r="F1380" s="5" t="inlineStr">
        <is>
          <t>Conversion</t>
        </is>
      </c>
      <c r="G1380" t="inlineStr">
        <is>
          <t>—</t>
        </is>
      </c>
      <c r="H1380" t="inlineStr">
        <is>
          <t>NONE</t>
        </is>
      </c>
      <c r="I1380" t="inlineStr">
        <is>
          <t>—</t>
        </is>
      </c>
      <c r="J1380" t="inlineStr">
        <is>
          <t>—</t>
        </is>
      </c>
      <c r="K1380" t="inlineStr">
        <is>
          <t>—</t>
        </is>
      </c>
      <c r="L1380" t="inlineStr">
        <is>
          <t>—</t>
        </is>
      </c>
      <c r="M1380" t="inlineStr">
        <is>
          <t>—</t>
        </is>
      </c>
      <c r="N1380" t="inlineStr">
        <is>
          <t>n/a</t>
        </is>
      </c>
      <c r="O1380" s="5" t="inlineStr">
        <is>
          <t>No keyword target - keep conversion/navigation focus; use descriptive, non-repeated anchor texts</t>
        </is>
      </c>
      <c r="P1380" s="5" t="inlineStr"/>
      <c r="Q1380" t="inlineStr">
        <is>
          <t>P4</t>
        </is>
      </c>
      <c r="R1380" t="n">
        <v>89</v>
      </c>
      <c r="S1380" s="5" t="inlineStr">
        <is>
          <t>Rejoignez les entreprises qui nous font confiance pour bâtir leur succès digital Obtenez Votre Devis Gratuit Analysez Votre Site Web Développement Web E-commerce Applications Mobile UI/UX Design SEO Branding SaaS Marketi</t>
        </is>
      </c>
    </row>
  </sheetData>
  <autoFilter ref="A2:S1380"/>
  <conditionalFormatting sqref="A3:S1380">
    <cfRule type="expression" priority="1" dxfId="2">
      <formula>$M3="MEASURED"</formula>
    </cfRule>
    <cfRule type="expression" priority="2" dxfId="3">
      <formula>$M3="ESTIMATED"</formula>
    </cfRule>
    <cfRule type="expression" priority="3" dxfId="4">
      <formula>$M3="SUGGESTED"</formula>
    </cfRule>
    <cfRule type="expression" priority="4" dxfId="5">
      <formula>$M3="UNAVAILABLE"</formula>
    </cfRule>
  </conditionalFormatting>
  <conditionalFormatting sqref="K3:K1380">
    <cfRule type="colorScale" priority="5">
      <colorScale>
        <cfvo type="num" val="0"/>
        <cfvo type="num" val="50"/>
        <cfvo type="num" val="100"/>
        <color rgb="0063BE7B"/>
        <color rgb="00FFEB84"/>
        <color rgb="00F8696B"/>
      </colorScale>
    </cfRule>
  </conditionalFormatting>
  <conditionalFormatting sqref="N3:N1380">
    <cfRule type="expression" priority="6" dxfId="1">
      <formula>$N3="Partly"</formula>
    </cfRule>
  </conditionalFormatting>
  <dataValidations count="1">
    <dataValidation sqref="Q3:Q1380" showDropDown="0" showInputMessage="0" showErrorMessage="0" allowBlank="1" type="list">
      <formula1>"P1,P2,P3,P4"</formula1>
    </dataValidation>
  </dataValidations>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79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8" customWidth="1" min="1" max="1"/>
    <col width="9" customWidth="1" min="2" max="2"/>
    <col width="56" customWidth="1" min="3" max="3"/>
    <col width="34" customWidth="1" min="4" max="4"/>
    <col width="8" customWidth="1" min="5" max="5"/>
    <col width="50" customWidth="1" min="6" max="6"/>
    <col width="9" customWidth="1" min="7" max="7"/>
    <col width="7" customWidth="1" min="8" max="8"/>
    <col width="18" customWidth="1" min="9" max="9"/>
    <col width="12" customWidth="1" min="10" max="10"/>
    <col width="10" customWidth="1" min="11" max="11"/>
    <col width="12" customWidth="1" min="12" max="12"/>
    <col width="60" customWidth="1" min="13" max="13"/>
    <col width="70" customWidth="1" min="14" max="14"/>
    <col width="8" customWidth="1" min="15" max="15"/>
    <col width="22" customWidth="1" min="16" max="16"/>
  </cols>
  <sheetData>
    <row r="1">
      <c r="A1" s="10" t="inlineStr">
        <is>
          <t>← 01 Executive Summary</t>
        </is>
      </c>
      <c r="B1" s="11" t="inlineStr">
        <is>
          <t>FAQ keyword research - every existing visible FAQ + new FAQ opportunities (no FAQ rich-result promise: Google limits FAQ rich results to authoritative gov/health sites)</t>
        </is>
      </c>
    </row>
    <row r="2" ht="32" customHeight="1">
      <c r="A2" s="12" t="inlineStr">
        <is>
          <t>Page URL</t>
        </is>
      </c>
      <c r="B2" s="12" t="inlineStr">
        <is>
          <t>FAQ Status</t>
        </is>
      </c>
      <c r="C2" s="12" t="inlineStr">
        <is>
          <t>Question</t>
        </is>
      </c>
      <c r="D2" s="12" t="inlineStr">
        <is>
          <t>Target Keyword</t>
        </is>
      </c>
      <c r="E2" s="12" t="inlineStr">
        <is>
          <t>Database</t>
        </is>
      </c>
      <c r="F2" s="12" t="inlineStr">
        <is>
          <t>Related Keywords (vol.)</t>
        </is>
      </c>
      <c r="G2" s="12" t="inlineStr">
        <is>
          <t>Search Volume</t>
        </is>
      </c>
      <c r="H2" s="12" t="inlineStr">
        <is>
          <t>KD%</t>
        </is>
      </c>
      <c r="I2" s="12" t="inlineStr">
        <is>
          <t>Intent / topic</t>
        </is>
      </c>
      <c r="J2" s="12" t="inlineStr">
        <is>
          <t>Data Status</t>
        </is>
      </c>
      <c r="K2" s="12" t="inlineStr">
        <is>
          <t>Opportunity Score (calc.)</t>
        </is>
      </c>
      <c r="L2" s="12" t="inlineStr">
        <is>
          <t>Recommendation</t>
        </is>
      </c>
      <c r="M2" s="12" t="inlineStr">
        <is>
          <t>Reason</t>
        </is>
      </c>
      <c r="N2" s="12" t="inlineStr">
        <is>
          <t>Existing answer summary / Suggested answer outline</t>
        </is>
      </c>
      <c r="O2" s="12" t="inlineStr">
        <is>
          <t>Priority</t>
        </is>
      </c>
      <c r="P2" s="12" t="inlineStr">
        <is>
          <t>Structured data</t>
        </is>
      </c>
    </row>
    <row r="3">
      <c r="A3" s="3" t="inlineStr">
        <is>
          <t>https://codesommet.com/</t>
        </is>
      </c>
      <c r="B3" t="inlineStr">
        <is>
          <t>New</t>
        </is>
      </c>
      <c r="C3" s="5" t="inlineStr">
        <is>
          <t>Combien coûte la création d'un site web au Maroc ?</t>
        </is>
      </c>
      <c r="D3" t="inlineStr">
        <is>
          <t>création site web prix maroc</t>
        </is>
      </c>
      <c r="E3" t="inlineStr">
        <is>
          <t>ma</t>
        </is>
      </c>
      <c r="F3" s="5" t="inlineStr">
        <is>
          <t>prix création site web [ma] 30; combien coute un site internet [ma] 20; combien coute un site internet [fr] 590</t>
        </is>
      </c>
      <c r="G3" t="n">
        <v>30</v>
      </c>
      <c r="H3" t="inlineStr">
        <is>
          <t>NOT AVAILABLE</t>
        </is>
      </c>
      <c r="I3" t="inlineStr">
        <is>
          <t>Question</t>
        </is>
      </c>
      <c r="J3" t="inlineStr">
        <is>
          <t>MEASURED</t>
        </is>
      </c>
      <c r="K3">
        <f>ROUND(IF(ISNUMBER(G3),MIN(50,ROUND(50*LOG10(G3+1)/4,1)),5)+IF(ISNUMBER(H3),ROUND(30*(100-H3)/100,1),15)+IF(B3="New",20,10),0)</f>
        <v/>
      </c>
      <c r="L3" t="inlineStr">
        <is>
          <t>NEW</t>
        </is>
      </c>
      <c r="M3" s="5" t="inlineStr">
        <is>
          <t>Price is the first filter before contacting an agency; 4 of the top-10 results for "creation site web maroc" are price guides (websuccess, rhillane, itlabspro, dotma). | Why here: Homepage targets "création site web maroc" whose SERP is price-led; the pricing section already exists - the FAQ answers it in one paragraph. | Internal link: /get-quote</t>
        </is>
      </c>
      <c r="N3" s="5" t="inlineStr">
        <is>
          <t>Price ranges per project type (vitrine / e-commerce / sur mesure) consistent with the pricing section; what changes the price; link to devis.</t>
        </is>
      </c>
      <c r="O3" t="inlineStr">
        <is>
          <t>P1</t>
        </is>
      </c>
      <c r="P3" t="inlineStr"/>
    </row>
    <row r="4">
      <c r="A4" s="3" t="inlineStr">
        <is>
          <t>https://codesommet.com/</t>
        </is>
      </c>
      <c r="B4" t="inlineStr">
        <is>
          <t>New</t>
        </is>
      </c>
      <c r="C4" s="5" t="inlineStr">
        <is>
          <t>Comment créer un site web professionnel pour mon entreprise ?</t>
        </is>
      </c>
      <c r="D4" t="inlineStr">
        <is>
          <t>comment créer un site web</t>
        </is>
      </c>
      <c r="E4" t="inlineStr">
        <is>
          <t>ma</t>
        </is>
      </c>
      <c r="F4" s="5" t="inlineStr">
        <is>
          <t>comment créer un site internet [ma] 20; comment creer un site web de vente en ligne [ma] 40; comment créer un site web professionnel [ma] 30</t>
        </is>
      </c>
      <c r="G4" t="n">
        <v>170</v>
      </c>
      <c r="H4" t="inlineStr">
        <is>
          <t>NOT AVAILABLE</t>
        </is>
      </c>
      <c r="I4" t="inlineStr">
        <is>
          <t>Question</t>
        </is>
      </c>
      <c r="J4" t="inlineStr">
        <is>
          <t>MEASURED</t>
        </is>
      </c>
      <c r="K4">
        <f>ROUND(IF(ISNUMBER(G4),MIN(50,ROUND(50*LOG10(G4+1)/4,1)),5)+IF(ISNUMBER(H4),ROUND(30*(100-H4)/100,1),15)+IF(B4="New",20,10),0)</f>
        <v/>
      </c>
      <c r="L4" t="inlineStr">
        <is>
          <t>NEW</t>
        </is>
      </c>
      <c r="M4" s="5" t="inlineStr">
        <is>
          <t>Business owners research the process before hiring (MA 170). | Why here: Homepage "Comment Commencer en 3 Étapes" section already describes the process. | Internal link: /get-quote</t>
        </is>
      </c>
      <c r="N4" s="5" t="inlineStr">
        <is>
          <t>3-step summary (brief, design, launch), what the client must prepare (logo, content, domain), timeline; CTA.</t>
        </is>
      </c>
      <c r="O4" t="inlineStr">
        <is>
          <t>P1</t>
        </is>
      </c>
      <c r="P4" t="inlineStr"/>
    </row>
    <row r="5">
      <c r="A5" s="3" t="inlineStr">
        <is>
          <t>https://codesommet.com/</t>
        </is>
      </c>
      <c r="B5" t="inlineStr">
        <is>
          <t>New</t>
        </is>
      </c>
      <c r="C5" s="5" t="inlineStr">
        <is>
          <t>Pourquoi ne pas utiliser un créateur de site web gratuit ?</t>
        </is>
      </c>
      <c r="D5" t="inlineStr">
        <is>
          <t>créer un site web gratuit</t>
        </is>
      </c>
      <c r="E5" t="inlineStr">
        <is>
          <t>ma</t>
        </is>
      </c>
      <c r="F5" s="5" t="inlineStr">
        <is>
          <t>site web gratuit maroc [ma] 30; comment créer site web gratuit [ma] 30</t>
        </is>
      </c>
      <c r="G5" t="n">
        <v>320</v>
      </c>
      <c r="H5" t="n">
        <v>54</v>
      </c>
      <c r="I5" t="inlineStr">
        <is>
          <t>Question</t>
        </is>
      </c>
      <c r="J5" t="inlineStr">
        <is>
          <t>MEASURED</t>
        </is>
      </c>
      <c r="K5">
        <f>ROUND(IF(ISNUMBER(G5),MIN(50,ROUND(50*LOG10(G5+1)/4,1)),5)+IF(ISNUMBER(H5),ROUND(30*(100-H5)/100,1),15)+IF(B5="New",20,10),0)</f>
        <v/>
      </c>
      <c r="L5" t="inlineStr">
        <is>
          <t>NEW</t>
        </is>
      </c>
      <c r="M5" s="5" t="inlineStr">
        <is>
          <t>Large DIY audience (MA 320, KD 54); some convert once limits are explained. | Why here: Positions the sur-mesure offer against free builders without a new page. | Internal link: /services/ecommerce-website-development</t>
        </is>
      </c>
      <c r="N5" s="5" t="inlineStr">
        <is>
          <t>Honest comparison: domain, performance, SEO, ownership, ads; when a free builder is enough; when to invest.</t>
        </is>
      </c>
      <c r="O5" t="inlineStr">
        <is>
          <t>P2</t>
        </is>
      </c>
      <c r="P5" t="inlineStr"/>
    </row>
    <row r="6">
      <c r="A6" s="3" t="inlineStr">
        <is>
          <t>https://codesommet.com/</t>
        </is>
      </c>
      <c r="B6" t="inlineStr">
        <is>
          <t>New</t>
        </is>
      </c>
      <c r="C6" s="5" t="inlineStr">
        <is>
          <t>Quelle est la différence entre un site vitrine et un site e-commerce ?</t>
        </is>
      </c>
      <c r="D6" t="inlineStr">
        <is>
          <t>qu'est ce qu'un site vitrine</t>
        </is>
      </c>
      <c r="E6" t="inlineStr">
        <is>
          <t>ma</t>
        </is>
      </c>
      <c r="F6" s="5" t="inlineStr">
        <is>
          <t>combien coute un site vitrine [fr] 170; création site vitrine [ma] 20</t>
        </is>
      </c>
      <c r="G6" t="n">
        <v>10</v>
      </c>
      <c r="H6" t="inlineStr">
        <is>
          <t>NOT AVAILABLE</t>
        </is>
      </c>
      <c r="I6" t="inlineStr">
        <is>
          <t>Question</t>
        </is>
      </c>
      <c r="J6" t="inlineStr">
        <is>
          <t>MEASURED</t>
        </is>
      </c>
      <c r="K6">
        <f>ROUND(IF(ISNUMBER(G6),MIN(50,ROUND(50*LOG10(G6+1)/4,1)),5)+IF(ISNUMBER(H6),ROUND(30*(100-H6)/100,1),15)+IF(B6="New",20,10),0)</f>
        <v/>
      </c>
      <c r="L6" t="inlineStr">
        <is>
          <t>NEW</t>
        </is>
      </c>
      <c r="M6" s="5" t="inlineStr">
        <is>
          <t>Prospects do not know which type they need. | Why here: Homepage pricing presents both offers. | Internal link: /services/ecommerce-website-development</t>
        </is>
      </c>
      <c r="N6" s="5" t="inlineStr">
        <is>
          <t>Definition of each, typical features, price/timeline difference, link to e-commerce page.</t>
        </is>
      </c>
      <c r="O6" t="inlineStr">
        <is>
          <t>P2</t>
        </is>
      </c>
      <c r="P6" t="inlineStr"/>
    </row>
    <row r="7">
      <c r="A7" s="3" t="inlineStr">
        <is>
          <t>https://codesommet.com/</t>
        </is>
      </c>
      <c r="B7" t="inlineStr">
        <is>
          <t>New</t>
        </is>
      </c>
      <c r="C7" s="5" t="inlineStr">
        <is>
          <t>Combien de temps faut-il pour créer un site internet ?</t>
        </is>
      </c>
      <c r="D7" t="inlineStr">
        <is>
          <t>combien de temps pour créer un site internet</t>
        </is>
      </c>
      <c r="E7" t="inlineStr">
        <is>
          <t>fr</t>
        </is>
      </c>
      <c r="F7" s="5" t="inlineStr">
        <is>
          <t>combien de temps pour créer un site web [ma] UNAVAILABLE</t>
        </is>
      </c>
      <c r="G7" t="n">
        <v>90</v>
      </c>
      <c r="H7" t="n">
        <v>13</v>
      </c>
      <c r="I7" t="inlineStr">
        <is>
          <t>Question</t>
        </is>
      </c>
      <c r="J7" t="inlineStr">
        <is>
          <t>MEASURED</t>
        </is>
      </c>
      <c r="K7">
        <f>ROUND(IF(ISNUMBER(G7),MIN(50,ROUND(50*LOG10(G7+1)/4,1)),5)+IF(ISNUMBER(H7),ROUND(30*(100-H7)/100,1),15)+IF(B7="New",20,10),0)</f>
        <v/>
      </c>
      <c r="L7" t="inlineStr">
        <is>
          <t>NEW</t>
        </is>
      </c>
      <c r="M7" s="5" t="inlineStr">
        <is>
          <t>Timeline is the 2nd decision criterion after price (FR 90, KD 13; MA no data). | Why here: Homepage already promises fast delivery ("Des Mois d'Attente" problem section). | Internal link: /get-quote</t>
        </is>
      </c>
      <c r="N7" s="5" t="inlineStr">
        <is>
          <t>Typical ranges by project type; what speeds up/slows down; milestones.</t>
        </is>
      </c>
      <c r="O7" t="inlineStr">
        <is>
          <t>P2</t>
        </is>
      </c>
      <c r="P7" t="inlineStr"/>
    </row>
    <row r="8">
      <c r="A8" s="3" t="inlineStr">
        <is>
          <t>https://codesommet.com/</t>
        </is>
      </c>
      <c r="B8" t="inlineStr">
        <is>
          <t>New</t>
        </is>
      </c>
      <c r="C8" s="5" t="inlineStr">
        <is>
          <t>Comment choisir une agence web au Maroc ?</t>
        </is>
      </c>
      <c r="D8" t="inlineStr">
        <is>
          <t>comment choisir une agence web</t>
        </is>
      </c>
      <c r="E8" t="inlineStr">
        <is>
          <t>fr</t>
        </is>
      </c>
      <c r="F8" s="5" t="inlineStr">
        <is>
          <t>meilleure agence web maroc [ma] UNAVAILABLE; agence web maroc [ma] 480</t>
        </is>
      </c>
      <c r="G8" t="n">
        <v>140</v>
      </c>
      <c r="H8" t="n">
        <v>16</v>
      </c>
      <c r="I8" t="inlineStr">
        <is>
          <t>Question</t>
        </is>
      </c>
      <c r="J8" t="inlineStr">
        <is>
          <t>MEASURED</t>
        </is>
      </c>
      <c r="K8">
        <f>ROUND(IF(ISNUMBER(G8),MIN(50,ROUND(50*LOG10(G8+1)/4,1)),5)+IF(ISNUMBER(H8),ROUND(30*(100-H8)/100,1),15)+IF(B8="New",20,10),0)</f>
        <v/>
      </c>
      <c r="L8" t="inlineStr">
        <is>
          <t>NEW</t>
        </is>
      </c>
      <c r="M8" s="5" t="inlineStr">
        <is>
          <t>Commercial-investigation query (FR 140, KD 16). | Why here: Homepage "Pourquoi les Leaders Choisissent CodeSommet" section maps to this decision. | Internal link: /our-work</t>
        </is>
      </c>
      <c r="N8" s="5" t="inlineStr">
        <is>
          <t>Checklist: portfolio, references, ownership of code, support, transparent pricing; how CodeSommet meets it (factual).</t>
        </is>
      </c>
      <c r="O8" t="inlineStr">
        <is>
          <t>P2</t>
        </is>
      </c>
      <c r="P8" t="inlineStr"/>
    </row>
    <row r="9">
      <c r="A9" s="3" t="inlineStr">
        <is>
          <t>https://codesommet.com/blog/creer-une-plateforme-saas-mvp-multi-tenant-facturation-par-ou-commencer</t>
        </is>
      </c>
      <c r="B9" t="inlineStr">
        <is>
          <t>New</t>
        </is>
      </c>
      <c r="C9" s="5" t="inlineStr">
        <is>
          <t>Comment créer un SaaS sans équipe technique ?</t>
        </is>
      </c>
      <c r="D9" t="inlineStr">
        <is>
          <t>comment créer un saas</t>
        </is>
      </c>
      <c r="E9" t="inlineStr">
        <is>
          <t>fr</t>
        </is>
      </c>
      <c r="F9" s="5" t="inlineStr">
        <is>
          <t>créer un saas [fr] 170; créer un logiciel saas [fr] 70</t>
        </is>
      </c>
      <c r="G9" t="n">
        <v>30</v>
      </c>
      <c r="H9" t="inlineStr">
        <is>
          <t>NOT AVAILABLE</t>
        </is>
      </c>
      <c r="I9" t="inlineStr">
        <is>
          <t>Question</t>
        </is>
      </c>
      <c r="J9" t="inlineStr">
        <is>
          <t>MEASURED</t>
        </is>
      </c>
      <c r="K9">
        <f>ROUND(IF(ISNUMBER(G9),MIN(50,ROUND(50*LOG10(G9+1)/4,1)),5)+IF(ISNUMBER(H9),ROUND(30*(100-H9)/100,1),15)+IF(B9="New",20,10),0)</f>
        <v/>
      </c>
      <c r="L9" t="inlineStr">
        <is>
          <t>NEW</t>
        </is>
      </c>
      <c r="M9" s="5" t="inlineStr">
        <is>
          <t>FR 30-170 how-to intent. | Why here: Article angle. | Internal link: /services/saas-platform-development</t>
        </is>
      </c>
      <c r="N9" s="5" t="inlineStr">
        <is>
          <t>Options (no-code, freelance, agency), MVP scope, budget.</t>
        </is>
      </c>
      <c r="O9" t="inlineStr">
        <is>
          <t>P3</t>
        </is>
      </c>
      <c r="P9" t="inlineStr"/>
    </row>
    <row r="10">
      <c r="A10" s="3" t="inlineStr">
        <is>
          <t>https://codesommet.com/get-quote</t>
        </is>
      </c>
      <c r="B10" t="inlineStr">
        <is>
          <t>New</t>
        </is>
      </c>
      <c r="C10" s="5" t="inlineStr">
        <is>
          <t>Que contient un devis de création de site internet ?</t>
        </is>
      </c>
      <c r="D10" t="inlineStr">
        <is>
          <t>devis création site internet</t>
        </is>
      </c>
      <c r="E10" t="inlineStr">
        <is>
          <t>fr</t>
        </is>
      </c>
      <c r="F10" s="5" t="inlineStr">
        <is>
          <t>devis site web [ma] 30; devis site web [fr] 590; devis création site web [ma] 20</t>
        </is>
      </c>
      <c r="G10" t="n">
        <v>880</v>
      </c>
      <c r="H10" t="n">
        <v>16</v>
      </c>
      <c r="I10" t="inlineStr">
        <is>
          <t>Question</t>
        </is>
      </c>
      <c r="J10" t="inlineStr">
        <is>
          <t>MEASURED</t>
        </is>
      </c>
      <c r="K10">
        <f>ROUND(IF(ISNUMBER(G10),MIN(50,ROUND(50*LOG10(G10+1)/4,1)),5)+IF(ISNUMBER(H10),ROUND(30*(100-H10)/100,1),15)+IF(B10="New",20,10),0)</f>
        <v/>
      </c>
      <c r="L10" t="inlineStr">
        <is>
          <t>NEW</t>
        </is>
      </c>
      <c r="M10" s="5" t="inlineStr">
        <is>
          <t>FR 880, KD 16 - highest quote-intent query found; MA 20-30. | Why here: The quote form page is the conversion target for this intent. | Internal link: /</t>
        </is>
      </c>
      <c r="N10" s="5" t="inlineStr">
        <is>
          <t>Line items (design, dev, content, SEO, hosting, maintenance), payment schedule, validity, what is free.</t>
        </is>
      </c>
      <c r="O10" t="inlineStr">
        <is>
          <t>P1</t>
        </is>
      </c>
      <c r="P10" t="inlineStr"/>
    </row>
    <row r="11">
      <c r="A11" s="3" t="inlineStr">
        <is>
          <t>https://codesommet.com/get-quote</t>
        </is>
      </c>
      <c r="B11" t="inlineStr">
        <is>
          <t>New</t>
        </is>
      </c>
      <c r="C11" s="5" t="inlineStr">
        <is>
          <t>Quel est le prix d'un site internet ?</t>
        </is>
      </c>
      <c r="D11" t="inlineStr">
        <is>
          <t>prix d'un site internet</t>
        </is>
      </c>
      <c r="E11" t="inlineStr">
        <is>
          <t>fr</t>
        </is>
      </c>
      <c r="F11" s="5" t="inlineStr">
        <is>
          <t>combien coute un site internet [fr] 590; prix création site web [ma] 30</t>
        </is>
      </c>
      <c r="G11" t="n">
        <v>480</v>
      </c>
      <c r="H11" t="n">
        <v>32</v>
      </c>
      <c r="I11" t="inlineStr">
        <is>
          <t>Question</t>
        </is>
      </c>
      <c r="J11" t="inlineStr">
        <is>
          <t>MEASURED</t>
        </is>
      </c>
      <c r="K11">
        <f>ROUND(IF(ISNUMBER(G11),MIN(50,ROUND(50*LOG10(G11+1)/4,1)),5)+IF(ISNUMBER(H11),ROUND(30*(100-H11)/100,1),15)+IF(B11="New",20,10),0)</f>
        <v/>
      </c>
      <c r="L11" t="inlineStr">
        <is>
          <t>NEW</t>
        </is>
      </c>
      <c r="M11" s="5" t="inlineStr">
        <is>
          <t>FR 480 / 590 - price research before quoting. | Why here: Supports the quote form with an expectation-setting answer. | Internal link: /</t>
        </is>
      </c>
      <c r="N11" s="5" t="inlineStr">
        <is>
          <t>Ranges, factors, why a free quote is needed; avoid fixed promises.</t>
        </is>
      </c>
      <c r="O11" t="inlineStr">
        <is>
          <t>P2</t>
        </is>
      </c>
      <c r="P11" t="inlineStr"/>
    </row>
    <row r="12">
      <c r="A12" s="3" t="inlineStr">
        <is>
          <t>https://codesommet.com/services/ecommerce-website-development</t>
        </is>
      </c>
      <c r="B12" t="inlineStr">
        <is>
          <t>Existing</t>
        </is>
      </c>
      <c r="C12" s="5" t="inlineStr">
        <is>
          <t>Combien de temps faut-il pour construire un site web e-commerce ?</t>
        </is>
      </c>
      <c r="D12" t="inlineStr">
        <is>
          <t>site e commerce</t>
        </is>
      </c>
      <c r="E12" t="inlineStr">
        <is>
          <t>ma</t>
        </is>
      </c>
      <c r="F12" s="5" t="inlineStr"/>
      <c r="G12" t="n">
        <v>140</v>
      </c>
      <c r="H12" t="inlineStr">
        <is>
          <t>NOT AVAILABLE</t>
        </is>
      </c>
      <c r="I12" t="inlineStr">
        <is>
          <t>Timeline</t>
        </is>
      </c>
      <c r="J12" t="inlineStr">
        <is>
          <t>MEASURED</t>
        </is>
      </c>
      <c r="K12">
        <f>ROUND(IF(ISNUMBER(G12),MIN(50,ROUND(50*LOG10(G12+1)/4,1)),5)+IF(ISNUMBER(H12),ROUND(30*(100-H12)/100,1),15)+IF(B12="New",20,10),0)</f>
        <v/>
      </c>
      <c r="L12" t="inlineStr">
        <is>
          <t>KEEP</t>
        </is>
      </c>
      <c r="M12" s="5" t="inlineStr">
        <is>
          <t>Matches measured pre-purchase demand</t>
        </is>
      </c>
      <c r="N12" s="5" t="inlineStr">
        <is>
          <t>Le délai dépend surtout de la taille du catalogue, du nombre de variantes et des intégrations souhaitées (paiement, stocks, transporteurs). Une boutique simple se lance beaucoup plus vite qu'une plate</t>
        </is>
      </c>
      <c r="O12" t="inlineStr">
        <is>
          <t>P2</t>
        </is>
      </c>
      <c r="P12" t="inlineStr">
        <is>
          <t>FAQPage JSON-LD</t>
        </is>
      </c>
    </row>
    <row r="13">
      <c r="A13" s="3" t="inlineStr">
        <is>
          <t>https://codesommet.com/services/ecommerce-website-development</t>
        </is>
      </c>
      <c r="B13" t="inlineStr">
        <is>
          <t>Existing</t>
        </is>
      </c>
      <c r="C13" s="5" t="inlineStr">
        <is>
          <t>Quelles passerelles de paiement intégrez-vous ?</t>
        </is>
      </c>
      <c r="D13" t="inlineStr">
        <is>
          <t>création site e-commerce maroc</t>
        </is>
      </c>
      <c r="E13" t="inlineStr">
        <is>
          <t>ma</t>
        </is>
      </c>
      <c r="F13" s="5" t="inlineStr"/>
      <c r="G13" t="n">
        <v>20</v>
      </c>
      <c r="H13" t="inlineStr">
        <is>
          <t>NOT AVAILABLE</t>
        </is>
      </c>
      <c r="I13" t="inlineStr">
        <is>
          <t>Payment</t>
        </is>
      </c>
      <c r="J13" t="inlineStr">
        <is>
          <t>MEASURED</t>
        </is>
      </c>
      <c r="K13">
        <f>ROUND(IF(ISNUMBER(G13),MIN(50,ROUND(50*LOG10(G13+1)/4,1)),5)+IF(ISNUMBER(H13),ROUND(30*(100-H13)/100,1),15)+IF(B13="New",20,10),0)</f>
        <v/>
      </c>
      <c r="L13" t="inlineStr">
        <is>
          <t>KEEP</t>
        </is>
      </c>
      <c r="M13" s="5" t="inlineStr">
        <is>
          <t>Relevant to page intent</t>
        </is>
      </c>
      <c r="N13" s="5" t="inlineStr">
        <is>
          <t xml:space="preserve">Nous intégrons les passerelles adaptées à vos marchés, notamment Stripe, PayPal, Apple Pay et Google Pay, avec un tunnel de paiement conforme PCI. Si vous vendez au Maroc ou dans plusieurs pays, nous </t>
        </is>
      </c>
      <c r="O13" t="inlineStr">
        <is>
          <t>P2</t>
        </is>
      </c>
      <c r="P13" t="inlineStr">
        <is>
          <t>FAQPage JSON-LD</t>
        </is>
      </c>
    </row>
    <row r="14">
      <c r="A14" s="3" t="inlineStr">
        <is>
          <t>https://codesommet.com/services/ecommerce-website-development</t>
        </is>
      </c>
      <c r="B14" t="inlineStr">
        <is>
          <t>Existing</t>
        </is>
      </c>
      <c r="C14" s="5" t="inlineStr">
        <is>
          <t>Pouvez-vous construire des variations et options de produits personnalisées ?</t>
        </is>
      </c>
      <c r="D14" t="inlineStr">
        <is>
          <t>création site e-commerce maroc</t>
        </is>
      </c>
      <c r="E14" t="inlineStr">
        <is>
          <t>ma</t>
        </is>
      </c>
      <c r="F14" s="5" t="inlineStr"/>
      <c r="G14" t="n">
        <v>20</v>
      </c>
      <c r="H14" t="inlineStr">
        <is>
          <t>NOT AVAILABLE</t>
        </is>
      </c>
      <c r="I14" t="inlineStr">
        <is>
          <t>Service scope</t>
        </is>
      </c>
      <c r="J14" t="inlineStr">
        <is>
          <t>MEASURED</t>
        </is>
      </c>
      <c r="K14">
        <f>ROUND(IF(ISNUMBER(G14),MIN(50,ROUND(50*LOG10(G14+1)/4,1)),5)+IF(ISNUMBER(H14),ROUND(30*(100-H14)/100,1),15)+IF(B14="New",20,10),0)</f>
        <v/>
      </c>
      <c r="L14" t="inlineStr">
        <is>
          <t>KEEP</t>
        </is>
      </c>
      <c r="M14" s="5" t="inlineStr">
        <is>
          <t>Relevant to page intent</t>
        </is>
      </c>
      <c r="N14" s="5" t="inlineStr">
        <is>
          <t>Oui, le catalogue est conçu pour gérer des variantes (taille, couleur, matière) avec un stock, un prix et des visuels propres à chaque combinaison. Nous pouvons aussi ajouter des options personnalisab</t>
        </is>
      </c>
      <c r="O14" t="inlineStr">
        <is>
          <t>P2</t>
        </is>
      </c>
      <c r="P14" t="inlineStr">
        <is>
          <t>FAQPage JSON-LD</t>
        </is>
      </c>
    </row>
    <row r="15">
      <c r="A15" s="3" t="inlineStr">
        <is>
          <t>https://codesommet.com/services/ecommerce-website-development</t>
        </is>
      </c>
      <c r="B15" t="inlineStr">
        <is>
          <t>Existing</t>
        </is>
      </c>
      <c r="C15" s="5" t="inlineStr">
        <is>
          <t>Incluez-vous la gestion des stocks et l'exécution des commandes ?</t>
        </is>
      </c>
      <c r="D15" t="inlineStr">
        <is>
          <t>création site e-commerce maroc</t>
        </is>
      </c>
      <c r="E15" t="inlineStr">
        <is>
          <t>ma</t>
        </is>
      </c>
      <c r="F15" s="5" t="inlineStr"/>
      <c r="G15" t="n">
        <v>20</v>
      </c>
      <c r="H15" t="inlineStr">
        <is>
          <t>NOT AVAILABLE</t>
        </is>
      </c>
      <c r="I15" t="inlineStr">
        <is>
          <t>Service scope</t>
        </is>
      </c>
      <c r="J15" t="inlineStr">
        <is>
          <t>MEASURED</t>
        </is>
      </c>
      <c r="K15">
        <f>ROUND(IF(ISNUMBER(G15),MIN(50,ROUND(50*LOG10(G15+1)/4,1)),5)+IF(ISNUMBER(H15),ROUND(30*(100-H15)/100,1),15)+IF(B15="New",20,10),0)</f>
        <v/>
      </c>
      <c r="L15" t="inlineStr">
        <is>
          <t>KEEP</t>
        </is>
      </c>
      <c r="M15" s="5" t="inlineStr">
        <is>
          <t>Relevant to page intent</t>
        </is>
      </c>
      <c r="N15" s="5" t="inlineStr">
        <is>
          <t>Oui, la boutique inclut un suivi des stocks en temps réel avec alertes de stock bas et gestion des commandes en attente. Le tableau de bord de gestion des commandes permet de suivre chaque étape, de l</t>
        </is>
      </c>
      <c r="O15" t="inlineStr">
        <is>
          <t>P2</t>
        </is>
      </c>
      <c r="P15" t="inlineStr">
        <is>
          <t>FAQPage JSON-LD</t>
        </is>
      </c>
    </row>
    <row r="16">
      <c r="A16" s="3" t="inlineStr">
        <is>
          <t>https://codesommet.com/services/ecommerce-website-development</t>
        </is>
      </c>
      <c r="B16" t="inlineStr">
        <is>
          <t>Existing</t>
        </is>
      </c>
      <c r="C16" s="5" t="inlineStr">
        <is>
          <t>Comment fonctionne le moteur de recommandation de produits IA ?</t>
        </is>
      </c>
      <c r="D16" t="inlineStr">
        <is>
          <t>création site e-commerce maroc</t>
        </is>
      </c>
      <c r="E16" t="inlineStr">
        <is>
          <t>ma</t>
        </is>
      </c>
      <c r="F16" s="5" t="inlineStr"/>
      <c r="G16" t="n">
        <v>20</v>
      </c>
      <c r="H16" t="inlineStr">
        <is>
          <t>NOT AVAILABLE</t>
        </is>
      </c>
      <c r="I16" t="inlineStr">
        <is>
          <t>Definition / how it works</t>
        </is>
      </c>
      <c r="J16" t="inlineStr">
        <is>
          <t>MEASURED</t>
        </is>
      </c>
      <c r="K16">
        <f>ROUND(IF(ISNUMBER(G16),MIN(50,ROUND(50*LOG10(G16+1)/4,1)),5)+IF(ISNUMBER(H16),ROUND(30*(100-H16)/100,1),15)+IF(B16="New",20,10),0)</f>
        <v/>
      </c>
      <c r="L16" t="inlineStr">
        <is>
          <t>KEEP</t>
        </is>
      </c>
      <c r="M16" s="5" t="inlineStr">
        <is>
          <t>Relevant to page intent</t>
        </is>
      </c>
      <c r="N16" s="5" t="inlineStr">
        <is>
          <t>Le moteur analyse le comportement de navigation, l'historique d'achats et les profils de clients similaires pour proposer des produits pertinents. Ces suggestions apparaissent sur les fiches produits,</t>
        </is>
      </c>
      <c r="O16" t="inlineStr">
        <is>
          <t>P2</t>
        </is>
      </c>
      <c r="P16" t="inlineStr">
        <is>
          <t>FAQPage JSON-LD</t>
        </is>
      </c>
    </row>
    <row r="17">
      <c r="A17" s="3" t="inlineStr">
        <is>
          <t>https://codesommet.com/services/ecommerce-website-development</t>
        </is>
      </c>
      <c r="B17" t="inlineStr">
        <is>
          <t>Existing</t>
        </is>
      </c>
      <c r="C17" s="5" t="inlineStr">
        <is>
          <t>Les clients peuvent-ils sauvegarder leur panier et leur liste de souhaits ?</t>
        </is>
      </c>
      <c r="D17" t="inlineStr">
        <is>
          <t>création site e-commerce maroc</t>
        </is>
      </c>
      <c r="E17" t="inlineStr">
        <is>
          <t>ma</t>
        </is>
      </c>
      <c r="F17" s="5" t="inlineStr"/>
      <c r="G17" t="n">
        <v>20</v>
      </c>
      <c r="H17" t="inlineStr">
        <is>
          <t>NOT AVAILABLE</t>
        </is>
      </c>
      <c r="I17" t="inlineStr">
        <is>
          <t>Service scope</t>
        </is>
      </c>
      <c r="J17" t="inlineStr">
        <is>
          <t>MEASURED</t>
        </is>
      </c>
      <c r="K17">
        <f>ROUND(IF(ISNUMBER(G17),MIN(50,ROUND(50*LOG10(G17+1)/4,1)),5)+IF(ISNUMBER(H17),ROUND(30*(100-H17)/100,1),15)+IF(B17="New",20,10),0)</f>
        <v/>
      </c>
      <c r="L17" t="inlineStr">
        <is>
          <t>KEEP</t>
        </is>
      </c>
      <c r="M17" s="5" t="inlineStr">
        <is>
          <t>Relevant to page intent</t>
        </is>
      </c>
      <c r="N17" s="5" t="inlineStr">
        <is>
          <t>Oui, les clients disposent d'un compte avec panier persistant, liste de souhaits et méthodes de paiement enregistrées. Le paiement invité reste possible pour ne pas freiner un premier achat. Les panie</t>
        </is>
      </c>
      <c r="O17" t="inlineStr">
        <is>
          <t>P2</t>
        </is>
      </c>
      <c r="P17" t="inlineStr">
        <is>
          <t>FAQPage JSON-LD</t>
        </is>
      </c>
    </row>
    <row r="18">
      <c r="A18" s="3" t="inlineStr">
        <is>
          <t>https://codesommet.com/services/ecommerce-website-development</t>
        </is>
      </c>
      <c r="B18" t="inlineStr">
        <is>
          <t>Existing</t>
        </is>
      </c>
      <c r="C18" s="5" t="inlineStr">
        <is>
          <t>Optimisez-vous pour les achats mobiles et le chargement rapide ?</t>
        </is>
      </c>
      <c r="D18" t="inlineStr">
        <is>
          <t>création site e-commerce maroc</t>
        </is>
      </c>
      <c r="E18" t="inlineStr">
        <is>
          <t>ma</t>
        </is>
      </c>
      <c r="F18" s="5" t="inlineStr"/>
      <c r="G18" t="n">
        <v>20</v>
      </c>
      <c r="H18" t="inlineStr">
        <is>
          <t>NOT AVAILABLE</t>
        </is>
      </c>
      <c r="I18" t="inlineStr">
        <is>
          <t>Service scope</t>
        </is>
      </c>
      <c r="J18" t="inlineStr">
        <is>
          <t>MEASURED</t>
        </is>
      </c>
      <c r="K18">
        <f>ROUND(IF(ISNUMBER(G18),MIN(50,ROUND(50*LOG10(G18+1)/4,1)),5)+IF(ISNUMBER(H18),ROUND(30*(100-H18)/100,1),15)+IF(B18="New",20,10),0)</f>
        <v/>
      </c>
      <c r="L18" t="inlineStr">
        <is>
          <t>KEEP</t>
        </is>
      </c>
      <c r="M18" s="5" t="inlineStr">
        <is>
          <t>Relevant to page intent</t>
        </is>
      </c>
      <c r="N18" s="5" t="inlineStr">
        <is>
          <t xml:space="preserve">Oui, la boutique est pensée mobile-first, avec une navigation tactile fluide et un tunnel de paiement adapté aux petits écrans. Les images sont optimisées, servies via CDN et chargées progressivement </t>
        </is>
      </c>
      <c r="O18" t="inlineStr">
        <is>
          <t>P2</t>
        </is>
      </c>
      <c r="P18" t="inlineStr">
        <is>
          <t>FAQPage JSON-LD</t>
        </is>
      </c>
    </row>
    <row r="19">
      <c r="A19" s="3" t="inlineStr">
        <is>
          <t>https://codesommet.com/services/ecommerce-website-development</t>
        </is>
      </c>
      <c r="B19" t="inlineStr">
        <is>
          <t>Existing</t>
        </is>
      </c>
      <c r="C19" s="5" t="inlineStr">
        <is>
          <t>Aidez-vous avec le SEO e-commerce et Google Shopping ?</t>
        </is>
      </c>
      <c r="D19" t="inlineStr">
        <is>
          <t>site e commerce</t>
        </is>
      </c>
      <c r="E19" t="inlineStr">
        <is>
          <t>ma</t>
        </is>
      </c>
      <c r="F19" s="5" t="inlineStr"/>
      <c r="G19" t="n">
        <v>140</v>
      </c>
      <c r="H19" t="inlineStr">
        <is>
          <t>NOT AVAILABLE</t>
        </is>
      </c>
      <c r="I19" t="inlineStr">
        <is>
          <t>SEO</t>
        </is>
      </c>
      <c r="J19" t="inlineStr">
        <is>
          <t>MEASURED</t>
        </is>
      </c>
      <c r="K19">
        <f>ROUND(IF(ISNUMBER(G19),MIN(50,ROUND(50*LOG10(G19+1)/4,1)),5)+IF(ISNUMBER(H19),ROUND(30*(100-H19)/100,1),15)+IF(B19="New",20,10),0)</f>
        <v/>
      </c>
      <c r="L19" t="inlineStr">
        <is>
          <t>KEEP</t>
        </is>
      </c>
      <c r="M19" s="5" t="inlineStr">
        <is>
          <t>Relevant to page intent</t>
        </is>
      </c>
      <c r="N19" s="5" t="inlineStr">
        <is>
          <t>Oui, nous structurons les fiches produits et les catégories pour le référencement, avec des données structurées produit et des URL propres. Nous configurons le suivi des conversions via Google Analyti</t>
        </is>
      </c>
      <c r="O19" t="inlineStr">
        <is>
          <t>P2</t>
        </is>
      </c>
      <c r="P19" t="inlineStr">
        <is>
          <t>FAQPage JSON-LD</t>
        </is>
      </c>
    </row>
    <row r="20">
      <c r="A20" s="3" t="inlineStr">
        <is>
          <t>https://codesommet.com/services/ecommerce-website-development</t>
        </is>
      </c>
      <c r="B20" t="inlineStr">
        <is>
          <t>New</t>
        </is>
      </c>
      <c r="C20" s="5" t="inlineStr">
        <is>
          <t>Combien coûte un site e-commerce au Maroc ?</t>
        </is>
      </c>
      <c r="D20" t="inlineStr">
        <is>
          <t>prix site e-commerce maroc</t>
        </is>
      </c>
      <c r="E20" t="inlineStr">
        <is>
          <t>ma</t>
        </is>
      </c>
      <c r="F20" s="5" t="inlineStr">
        <is>
          <t>prix site e-commerce [fr] 170; combien coute un site e-commerce au maroc [ma] UNAVAILABLE</t>
        </is>
      </c>
      <c r="G20" t="n">
        <v>10</v>
      </c>
      <c r="H20" t="inlineStr">
        <is>
          <t>NOT AVAILABLE</t>
        </is>
      </c>
      <c r="I20" t="inlineStr">
        <is>
          <t>Question</t>
        </is>
      </c>
      <c r="J20" t="inlineStr">
        <is>
          <t>MEASURED</t>
        </is>
      </c>
      <c r="K20">
        <f>ROUND(IF(ISNUMBER(G20),MIN(50,ROUND(50*LOG10(G20+1)/4,1)),5)+IF(ISNUMBER(H20),ROUND(30*(100-H20)/100,1),15)+IF(B20="New",20,10),0)</f>
        <v/>
      </c>
      <c r="L20" t="inlineStr">
        <is>
          <t>NEW</t>
        </is>
      </c>
      <c r="M20" s="5" t="inlineStr">
        <is>
          <t>Price comparison before choosing between Shopify/WooCommerce/sur-mesure (FR 170, KD 23; MA 10). | Why here: Commercial page for e-commerce. | Internal link: /get-quote</t>
        </is>
      </c>
      <c r="N20" s="5" t="inlineStr">
        <is>
          <t>Range by catalogue size/integrations, recurring costs (hosting, payment fees), sur-mesure vs platform.</t>
        </is>
      </c>
      <c r="O20" t="inlineStr">
        <is>
          <t>P1</t>
        </is>
      </c>
      <c r="P20" t="inlineStr"/>
    </row>
    <row r="21">
      <c r="A21" s="3" t="inlineStr">
        <is>
          <t>https://codesommet.com/services/ecommerce-website-development</t>
        </is>
      </c>
      <c r="B21" t="inlineStr">
        <is>
          <t>New</t>
        </is>
      </c>
      <c r="C21" s="5" t="inlineStr">
        <is>
          <t>Comment intégrer le paiement en ligne CMI sur un site e-commerce ?</t>
        </is>
      </c>
      <c r="D21" t="inlineStr">
        <is>
          <t>cmi paiement en ligne</t>
        </is>
      </c>
      <c r="E21" t="inlineStr">
        <is>
          <t>ma</t>
        </is>
      </c>
      <c r="F21" s="5" t="inlineStr">
        <is>
          <t>paiement en ligne maroc [ma] 20; comment accepter paiement en ligne maroc [ma] UNAVAILABLE</t>
        </is>
      </c>
      <c r="G21" t="n">
        <v>170</v>
      </c>
      <c r="H21" t="inlineStr">
        <is>
          <t>NOT AVAILABLE</t>
        </is>
      </c>
      <c r="I21" t="inlineStr">
        <is>
          <t>Question</t>
        </is>
      </c>
      <c r="J21" t="inlineStr">
        <is>
          <t>MEASURED</t>
        </is>
      </c>
      <c r="K21">
        <f>ROUND(IF(ISNUMBER(G21),MIN(50,ROUND(50*LOG10(G21+1)/4,1)),5)+IF(ISNUMBER(H21),ROUND(30*(100-H21)/100,1),15)+IF(B21="New",20,10),0)</f>
        <v/>
      </c>
      <c r="L21" t="inlineStr">
        <is>
          <t>NEW</t>
        </is>
      </c>
      <c r="M21" s="5" t="inlineStr">
        <is>
          <t>Moroccan merchants need CMI/bank acquiring (MA 170) - strong local trust signal. | Why here: Existing FAQ "Quelles passerelles de paiement intégrez-vous ?" is generic; this is the local version. | Internal link: /get-quote</t>
        </is>
      </c>
      <c r="N21" s="5" t="inlineStr">
        <is>
          <t>CMI merchant account steps, documents, test mode, alternatives (cash on delivery, PayPal for export), timeline.</t>
        </is>
      </c>
      <c r="O21" t="inlineStr">
        <is>
          <t>P1</t>
        </is>
      </c>
      <c r="P21" t="inlineStr"/>
    </row>
    <row r="22">
      <c r="A22" s="3" t="inlineStr">
        <is>
          <t>https://codesommet.com/services/ecommerce-website-development</t>
        </is>
      </c>
      <c r="B22" t="inlineStr">
        <is>
          <t>New</t>
        </is>
      </c>
      <c r="C22" s="5" t="inlineStr">
        <is>
          <t>Comment créer un site de vente en ligne au Maroc ?</t>
        </is>
      </c>
      <c r="D22" t="inlineStr">
        <is>
          <t>comment creer un site web de vente en ligne</t>
        </is>
      </c>
      <c r="E22" t="inlineStr">
        <is>
          <t>ma</t>
        </is>
      </c>
      <c r="F22" s="5" t="inlineStr">
        <is>
          <t>comment créer un site e-commerce [ma] 20; site de vente en ligne maroc [ma] 140; comment vendre en ligne au maroc [ma] 0</t>
        </is>
      </c>
      <c r="G22" t="n">
        <v>40</v>
      </c>
      <c r="H22" t="inlineStr">
        <is>
          <t>NOT AVAILABLE</t>
        </is>
      </c>
      <c r="I22" t="inlineStr">
        <is>
          <t>Question</t>
        </is>
      </c>
      <c r="J22" t="inlineStr">
        <is>
          <t>MEASURED</t>
        </is>
      </c>
      <c r="K22">
        <f>ROUND(IF(ISNUMBER(G22),MIN(50,ROUND(50*LOG10(G22+1)/4,1)),5)+IF(ISNUMBER(H22),ROUND(30*(100-H22)/100,1),15)+IF(B22="New",20,10),0)</f>
        <v/>
      </c>
      <c r="L22" t="inlineStr">
        <is>
          <t>NEW</t>
        </is>
      </c>
      <c r="M22" s="5" t="inlineStr">
        <is>
          <t>MA 40 + 140 for "site de vente en ligne maroc". | Why here: Exact service match. | Internal link: /get-quote</t>
        </is>
      </c>
      <c r="N22" s="5" t="inlineStr">
        <is>
          <t>Legal prerequisites (RC/ICE, auto-entrepreneur), payment, delivery partners, steps with CodeSommet.</t>
        </is>
      </c>
      <c r="O22" t="inlineStr">
        <is>
          <t>P2</t>
        </is>
      </c>
      <c r="P22" t="inlineStr"/>
    </row>
    <row r="23">
      <c r="A23" s="3" t="inlineStr">
        <is>
          <t>https://codesommet.com/services/ecommerce-website-development</t>
        </is>
      </c>
      <c r="B23" t="inlineStr">
        <is>
          <t>New</t>
        </is>
      </c>
      <c r="C23" s="5" t="inlineStr">
        <is>
          <t>Faut-il choisir WooCommerce, Shopify ou un site e-commerce sur mesure ?</t>
        </is>
      </c>
      <c r="D23" t="inlineStr">
        <is>
          <t>woocommerce maroc</t>
        </is>
      </c>
      <c r="E23" t="inlineStr">
        <is>
          <t>ma</t>
        </is>
      </c>
      <c r="F23" s="5" t="inlineStr">
        <is>
          <t>shopify maroc [ma] 320; site e-commerce sur mesure [fr] 90</t>
        </is>
      </c>
      <c r="G23" t="n">
        <v>20</v>
      </c>
      <c r="H23" t="inlineStr">
        <is>
          <t>NOT AVAILABLE</t>
        </is>
      </c>
      <c r="I23" t="inlineStr">
        <is>
          <t>Question</t>
        </is>
      </c>
      <c r="J23" t="inlineStr">
        <is>
          <t>MEASURED</t>
        </is>
      </c>
      <c r="K23">
        <f>ROUND(IF(ISNUMBER(G23),MIN(50,ROUND(50*LOG10(G23+1)/4,1)),5)+IF(ISNUMBER(H23),ROUND(30*(100-H23)/100,1),15)+IF(B23="New",20,10),0)</f>
        <v/>
      </c>
      <c r="L23" t="inlineStr">
        <is>
          <t>NEW</t>
        </is>
      </c>
      <c r="M23" s="5" t="inlineStr">
        <is>
          <t>Platform comparison is a common pre-purchase question (shopify maroc 320). | Why here: Lets the page capture Shopify-curious visitors honestly without targeting "shopify maroc". | Internal link: /our-work/glamworlds</t>
        </is>
      </c>
      <c r="N23" s="5" t="inlineStr">
        <is>
          <t>Neutral comparison table: cost, fees, flexibility, ownership; when each fits.</t>
        </is>
      </c>
      <c r="O23" t="inlineStr">
        <is>
          <t>P2</t>
        </is>
      </c>
      <c r="P23" t="inlineStr"/>
    </row>
    <row r="24">
      <c r="A24" s="3" t="inlineStr">
        <is>
          <t>https://codesommet.com/services/edtech-platform-development</t>
        </is>
      </c>
      <c r="B24" t="inlineStr">
        <is>
          <t>Existing</t>
        </is>
      </c>
      <c r="C24" s="5" t="inlineStr">
        <is>
          <t>Combien de temps faut-il pour construire une plateforme EdTech B2B multi-clients personnalisée ?</t>
        </is>
      </c>
      <c r="D24" t="inlineStr">
        <is>
          <t>plateforme edtech</t>
        </is>
      </c>
      <c r="E24" t="inlineStr">
        <is>
          <t>fr</t>
        </is>
      </c>
      <c r="F24" s="5" t="inlineStr"/>
      <c r="G24" t="n">
        <v>10</v>
      </c>
      <c r="H24" t="inlineStr">
        <is>
          <t>NOT AVAILABLE</t>
        </is>
      </c>
      <c r="I24" t="inlineStr">
        <is>
          <t>Timeline</t>
        </is>
      </c>
      <c r="J24" t="inlineStr">
        <is>
          <t>MEASURED</t>
        </is>
      </c>
      <c r="K24">
        <f>ROUND(IF(ISNUMBER(G24),MIN(50,ROUND(50*LOG10(G24+1)/4,1)),5)+IF(ISNUMBER(H24),ROUND(30*(100-H24)/100,1),15)+IF(B24="New",20,10),0)</f>
        <v/>
      </c>
      <c r="L24" t="inlineStr">
        <is>
          <t>KEEP</t>
        </is>
      </c>
      <c r="M24" s="5" t="inlineStr">
        <is>
          <t>Matches measured pre-purchase demand</t>
        </is>
      </c>
      <c r="N24" s="5" t="inlineStr">
        <is>
          <t>Le délai dépend du nombre de modules, des intégrations institutionnelles (LTI, SSO, SIS) et des règles de facturation ou de partage de revenus à implémenter. Nous démarrons généralement par une premiè</t>
        </is>
      </c>
      <c r="O24" t="inlineStr">
        <is>
          <t>P2</t>
        </is>
      </c>
      <c r="P24" t="inlineStr">
        <is>
          <t>FAQPage JSON-LD</t>
        </is>
      </c>
    </row>
    <row r="25">
      <c r="A25" s="3" t="inlineStr">
        <is>
          <t>https://codesommet.com/services/edtech-platform-development</t>
        </is>
      </c>
      <c r="B25" t="inlineStr">
        <is>
          <t>Existing</t>
        </is>
      </c>
      <c r="C25" s="5" t="inlineStr">
        <is>
          <t>Pouvons-nous migrer nos contenus et nos clients existants vers la nouvelle plateforme ?</t>
        </is>
      </c>
      <c r="D25" t="inlineStr">
        <is>
          <t>plateforme edtech</t>
        </is>
      </c>
      <c r="E25" t="inlineStr">
        <is>
          <t>fr</t>
        </is>
      </c>
      <c r="F25" s="5" t="inlineStr"/>
      <c r="G25" t="n">
        <v>10</v>
      </c>
      <c r="H25" t="inlineStr">
        <is>
          <t>NOT AVAILABLE</t>
        </is>
      </c>
      <c r="I25" t="inlineStr">
        <is>
          <t>Service scope</t>
        </is>
      </c>
      <c r="J25" t="inlineStr">
        <is>
          <t>MEASURED</t>
        </is>
      </c>
      <c r="K25">
        <f>ROUND(IF(ISNUMBER(G25),MIN(50,ROUND(50*LOG10(G25+1)/4,1)),5)+IF(ISNUMBER(H25),ROUND(30*(100-H25)/100,1),15)+IF(B25="New",20,10),0)</f>
        <v/>
      </c>
      <c r="L25" t="inlineStr">
        <is>
          <t>KEEP</t>
        </is>
      </c>
      <c r="M25" s="5" t="inlineStr">
        <is>
          <t>Relevant to page intent</t>
        </is>
      </c>
      <c r="N25" s="5" t="inlineStr">
        <is>
          <t xml:space="preserve">Oui. Nous migrons vos contenus (cours, vidéos, quiz, documents), vos comptes apprenants et, si vous avez déjà des clients, leurs espaces respectifs vers des instances isolées. La bascule est préparée </t>
        </is>
      </c>
      <c r="O25" t="inlineStr">
        <is>
          <t>P2</t>
        </is>
      </c>
      <c r="P25" t="inlineStr">
        <is>
          <t>FAQPage JSON-LD</t>
        </is>
      </c>
    </row>
    <row r="26">
      <c r="A26" s="3" t="inlineStr">
        <is>
          <t>https://codesommet.com/services/edtech-platform-development</t>
        </is>
      </c>
      <c r="B26" t="inlineStr">
        <is>
          <t>Existing</t>
        </is>
      </c>
      <c r="C26" s="5" t="inlineStr">
        <is>
          <t>Proposez-vous un modèle multi-tenant pour revendre votre plateforme à plusieurs clients institutionnels ?</t>
        </is>
      </c>
      <c r="D26" t="inlineStr">
        <is>
          <t>plateforme edtech</t>
        </is>
      </c>
      <c r="E26" t="inlineStr">
        <is>
          <t>fr</t>
        </is>
      </c>
      <c r="F26" s="5" t="inlineStr"/>
      <c r="G26" t="n">
        <v>10</v>
      </c>
      <c r="H26" t="inlineStr">
        <is>
          <t>NOT AVAILABLE</t>
        </is>
      </c>
      <c r="I26" t="inlineStr">
        <is>
          <t>Service scope</t>
        </is>
      </c>
      <c r="J26" t="inlineStr">
        <is>
          <t>MEASURED</t>
        </is>
      </c>
      <c r="K26">
        <f>ROUND(IF(ISNUMBER(G26),MIN(50,ROUND(50*LOG10(G26+1)/4,1)),5)+IF(ISNUMBER(H26),ROUND(30*(100-H26)/100,1),15)+IF(B26="New",20,10),0)</f>
        <v/>
      </c>
      <c r="L26" t="inlineStr">
        <is>
          <t>KEEP</t>
        </is>
      </c>
      <c r="M26" s="5" t="inlineStr">
        <is>
          <t>Relevant to page intent</t>
        </is>
      </c>
      <c r="N26" s="5" t="inlineStr">
        <is>
          <t>Oui, l'architecture multi-tenant est au cœur de notre offre EdTech B2B : chaque client dispose de son propre espace isolé (données, utilisateurs, marque, facturation) sur une infrastructure mutualisée</t>
        </is>
      </c>
      <c r="O26" t="inlineStr">
        <is>
          <t>P2</t>
        </is>
      </c>
      <c r="P26" t="inlineStr">
        <is>
          <t>FAQPage JSON-LD</t>
        </is>
      </c>
    </row>
    <row r="27">
      <c r="A27" s="3" t="inlineStr">
        <is>
          <t>https://codesommet.com/services/edtech-platform-development</t>
        </is>
      </c>
      <c r="B27" t="inlineStr">
        <is>
          <t>Existing</t>
        </is>
      </c>
      <c r="C27" s="5" t="inlineStr">
        <is>
          <t>Supportez-vous le marquage blanc (white-label) pour que chacun de nos propres clients ait sa marque ?</t>
        </is>
      </c>
      <c r="D27" t="inlineStr">
        <is>
          <t>plateforme edtech</t>
        </is>
      </c>
      <c r="E27" t="inlineStr">
        <is>
          <t>fr</t>
        </is>
      </c>
      <c r="F27" s="5" t="inlineStr"/>
      <c r="G27" t="n">
        <v>10</v>
      </c>
      <c r="H27" t="inlineStr">
        <is>
          <t>NOT AVAILABLE</t>
        </is>
      </c>
      <c r="I27" t="inlineStr">
        <is>
          <t>Support</t>
        </is>
      </c>
      <c r="J27" t="inlineStr">
        <is>
          <t>MEASURED</t>
        </is>
      </c>
      <c r="K27">
        <f>ROUND(IF(ISNUMBER(G27),MIN(50,ROUND(50*LOG10(G27+1)/4,1)),5)+IF(ISNUMBER(H27),ROUND(30*(100-H27)/100,1),15)+IF(B27="New",20,10),0)</f>
        <v/>
      </c>
      <c r="L27" t="inlineStr">
        <is>
          <t>KEEP</t>
        </is>
      </c>
      <c r="M27" s="5" t="inlineStr">
        <is>
          <t>Relevant to page intent</t>
        </is>
      </c>
      <c r="N27" s="5" t="inlineStr">
        <is>
          <t>Oui. Chaque client final peut appliquer son logo, ses couleurs, son nom de domaine et ses e-mails transactionnels, configurables indépendamment pour chaque espace, sans intervention technique de votre</t>
        </is>
      </c>
      <c r="O27" t="inlineStr">
        <is>
          <t>P2</t>
        </is>
      </c>
      <c r="P27" t="inlineStr">
        <is>
          <t>FAQPage JSON-LD</t>
        </is>
      </c>
    </row>
    <row r="28">
      <c r="A28" s="3" t="inlineStr">
        <is>
          <t>https://codesommet.com/services/edtech-platform-development</t>
        </is>
      </c>
      <c r="B28" t="inlineStr">
        <is>
          <t>Existing</t>
        </is>
      </c>
      <c r="C28" s="5" t="inlineStr">
        <is>
          <t>Pouvez-vous construire une marketplace multi-instructeurs ou multi-éditeurs ?</t>
        </is>
      </c>
      <c r="D28" t="inlineStr">
        <is>
          <t>plateforme edtech</t>
        </is>
      </c>
      <c r="E28" t="inlineStr">
        <is>
          <t>fr</t>
        </is>
      </c>
      <c r="F28" s="5" t="inlineStr"/>
      <c r="G28" t="n">
        <v>10</v>
      </c>
      <c r="H28" t="inlineStr">
        <is>
          <t>NOT AVAILABLE</t>
        </is>
      </c>
      <c r="I28" t="inlineStr">
        <is>
          <t>Service scope</t>
        </is>
      </c>
      <c r="J28" t="inlineStr">
        <is>
          <t>MEASURED</t>
        </is>
      </c>
      <c r="K28">
        <f>ROUND(IF(ISNUMBER(G28),MIN(50,ROUND(50*LOG10(G28+1)/4,1)),5)+IF(ISNUMBER(H28),ROUND(30*(100-H28)/100,1),15)+IF(B28="New",20,10),0)</f>
        <v/>
      </c>
      <c r="L28" t="inlineStr">
        <is>
          <t>KEEP</t>
        </is>
      </c>
      <c r="M28" s="5" t="inlineStr">
        <is>
          <t>Relevant to page intent</t>
        </is>
      </c>
      <c r="N28" s="5" t="inlineStr">
        <is>
          <t>Oui. Nous pouvons construire une marketplace où plusieurs instructeurs ou éditeurs publient leurs contenus, avec espaces formateurs, validation des contenus, gestion des commissions et tableaux de bor</t>
        </is>
      </c>
      <c r="O28" t="inlineStr">
        <is>
          <t>P2</t>
        </is>
      </c>
      <c r="P28" t="inlineStr">
        <is>
          <t>FAQPage JSON-LD</t>
        </is>
      </c>
    </row>
    <row r="29">
      <c r="A29" s="3" t="inlineStr">
        <is>
          <t>https://codesommet.com/services/edtech-platform-development</t>
        </is>
      </c>
      <c r="B29" t="inlineStr">
        <is>
          <t>Existing</t>
        </is>
      </c>
      <c r="C29" s="5" t="inlineStr">
        <is>
          <t>Quelles intégrations API et LTI proposez-vous pour les institutions clientes (LMS existants, SSO, SIS) ?</t>
        </is>
      </c>
      <c r="D29" t="inlineStr">
        <is>
          <t>plateforme edtech</t>
        </is>
      </c>
      <c r="E29" t="inlineStr">
        <is>
          <t>fr</t>
        </is>
      </c>
      <c r="F29" s="5" t="inlineStr"/>
      <c r="G29" t="n">
        <v>10</v>
      </c>
      <c r="H29" t="inlineStr">
        <is>
          <t>NOT AVAILABLE</t>
        </is>
      </c>
      <c r="I29" t="inlineStr">
        <is>
          <t>Service scope</t>
        </is>
      </c>
      <c r="J29" t="inlineStr">
        <is>
          <t>MEASURED</t>
        </is>
      </c>
      <c r="K29">
        <f>ROUND(IF(ISNUMBER(G29),MIN(50,ROUND(50*LOG10(G29+1)/4,1)),5)+IF(ISNUMBER(H29),ROUND(30*(100-H29)/100,1),15)+IF(B29="New",20,10),0)</f>
        <v/>
      </c>
      <c r="L29" t="inlineStr">
        <is>
          <t>KEEP</t>
        </is>
      </c>
      <c r="M29" s="5" t="inlineStr">
        <is>
          <t>Relevant to page intent</t>
        </is>
      </c>
      <c r="N29" s="5" t="inlineStr">
        <is>
          <t>Nous implémentons la conformité LTI 1.3 pour que votre plateforme s'interface avec les LMS déjà utilisés par vos clients (Moodle, Canvas, Blackboard), l'authentification SSO/SAML pour leurs comptes ex</t>
        </is>
      </c>
      <c r="O29" t="inlineStr">
        <is>
          <t>P2</t>
        </is>
      </c>
      <c r="P29" t="inlineStr">
        <is>
          <t>FAQPage JSON-LD</t>
        </is>
      </c>
    </row>
    <row r="30">
      <c r="A30" s="3" t="inlineStr">
        <is>
          <t>https://codesommet.com/services/edtech-platform-development</t>
        </is>
      </c>
      <c r="B30" t="inlineStr">
        <is>
          <t>Existing</t>
        </is>
      </c>
      <c r="C30" s="5" t="inlineStr">
        <is>
          <t>Comment gérez-vous la facturation par client et le partage des revenus avec nos instructeurs ou clients revendeurs ?</t>
        </is>
      </c>
      <c r="D30" t="inlineStr">
        <is>
          <t>plateforme edtech</t>
        </is>
      </c>
      <c r="E30" t="inlineStr">
        <is>
          <t>fr</t>
        </is>
      </c>
      <c r="F30" s="5" t="inlineStr"/>
      <c r="G30" t="n">
        <v>10</v>
      </c>
      <c r="H30" t="inlineStr">
        <is>
          <t>NOT AVAILABLE</t>
        </is>
      </c>
      <c r="I30" t="inlineStr">
        <is>
          <t>Service scope</t>
        </is>
      </c>
      <c r="J30" t="inlineStr">
        <is>
          <t>MEASURED</t>
        </is>
      </c>
      <c r="K30">
        <f>ROUND(IF(ISNUMBER(G30),MIN(50,ROUND(50*LOG10(G30+1)/4,1)),5)+IF(ISNUMBER(H30),ROUND(30*(100-H30)/100,1),15)+IF(B30="New",20,10),0)</f>
        <v/>
      </c>
      <c r="L30" t="inlineStr">
        <is>
          <t>KEEP</t>
        </is>
      </c>
      <c r="M30" s="5" t="inlineStr">
        <is>
          <t>Relevant to page intent</t>
        </is>
      </c>
      <c r="N30" s="5" t="inlineStr">
        <is>
          <t>Nous construisons un moteur de facturation par client (abonnement, à l'usage ou licence annuelle selon votre modèle) ainsi qu'un système de répartition automatique des revenus configurable par contrat</t>
        </is>
      </c>
      <c r="O30" t="inlineStr">
        <is>
          <t>P2</t>
        </is>
      </c>
      <c r="P30" t="inlineStr">
        <is>
          <t>FAQPage JSON-LD</t>
        </is>
      </c>
    </row>
    <row r="31">
      <c r="A31" s="3" t="inlineStr">
        <is>
          <t>https://codesommet.com/services/edtech-platform-development</t>
        </is>
      </c>
      <c r="B31" t="inlineStr">
        <is>
          <t>Existing</t>
        </is>
      </c>
      <c r="C31" s="5" t="inlineStr">
        <is>
          <t>Les étudiants peuvent-ils accéder aux cours sur appareils mobiles ?</t>
        </is>
      </c>
      <c r="D31" t="inlineStr">
        <is>
          <t>plateforme edtech</t>
        </is>
      </c>
      <c r="E31" t="inlineStr">
        <is>
          <t>fr</t>
        </is>
      </c>
      <c r="F31" s="5" t="inlineStr"/>
      <c r="G31" t="n">
        <v>10</v>
      </c>
      <c r="H31" t="inlineStr">
        <is>
          <t>NOT AVAILABLE</t>
        </is>
      </c>
      <c r="I31" t="inlineStr">
        <is>
          <t>Service scope</t>
        </is>
      </c>
      <c r="J31" t="inlineStr">
        <is>
          <t>MEASURED</t>
        </is>
      </c>
      <c r="K31">
        <f>ROUND(IF(ISNUMBER(G31),MIN(50,ROUND(50*LOG10(G31+1)/4,1)),5)+IF(ISNUMBER(H31),ROUND(30*(100-H31)/100,1),15)+IF(B31="New",20,10),0)</f>
        <v/>
      </c>
      <c r="L31" t="inlineStr">
        <is>
          <t>KEEP</t>
        </is>
      </c>
      <c r="M31" s="5" t="inlineStr">
        <is>
          <t>Relevant to page intent</t>
        </is>
      </c>
      <c r="N31" s="5" t="inlineStr">
        <is>
          <t>Oui. L'interface apprenant est conçue en mobile-first, avec une progression synchronisée entre appareils et, selon le besoin, certaines fonctions accessibles hors ligne.</t>
        </is>
      </c>
      <c r="O31" t="inlineStr">
        <is>
          <t>P2</t>
        </is>
      </c>
      <c r="P31" t="inlineStr">
        <is>
          <t>FAQPage JSON-LD</t>
        </is>
      </c>
    </row>
    <row r="32">
      <c r="A32" s="3" t="inlineStr">
        <is>
          <t>https://codesommet.com/services/education-website-development</t>
        </is>
      </c>
      <c r="B32" t="inlineStr">
        <is>
          <t>Existing</t>
        </is>
      </c>
      <c r="C32" s="5" t="inlineStr">
        <is>
          <t>Combien de temps faut-il pour construire un site web éducatif ?</t>
        </is>
      </c>
      <c r="D32" t="inlineStr">
        <is>
          <t>combien de temps pour créer un site internet</t>
        </is>
      </c>
      <c r="E32" t="inlineStr">
        <is>
          <t>fr</t>
        </is>
      </c>
      <c r="F32" s="5" t="inlineStr"/>
      <c r="G32" t="n">
        <v>90</v>
      </c>
      <c r="H32" t="n">
        <v>13</v>
      </c>
      <c r="I32" t="inlineStr">
        <is>
          <t>Timeline</t>
        </is>
      </c>
      <c r="J32" t="inlineStr">
        <is>
          <t>MEASURED</t>
        </is>
      </c>
      <c r="K32">
        <f>ROUND(IF(ISNUMBER(G32),MIN(50,ROUND(50*LOG10(G32+1)/4,1)),5)+IF(ISNUMBER(H32),ROUND(30*(100-H32)/100,1),15)+IF(B32="New",20,10),0)</f>
        <v/>
      </c>
      <c r="L32" t="inlineStr">
        <is>
          <t>KEEP</t>
        </is>
      </c>
      <c r="M32" s="5" t="inlineStr">
        <is>
          <t>Matches measured pre-purchase demand</t>
        </is>
      </c>
      <c r="N32" s="5" t="inlineStr">
        <is>
          <t>Pour un site vitrine d'école ou d'agence d'études à l'étranger avec pages programmes, formulaire de contact et design premium, nous livrons généralement en 2-5 jours (2 jours seulement avec notre form</t>
        </is>
      </c>
      <c r="O32" t="inlineStr">
        <is>
          <t>P2</t>
        </is>
      </c>
      <c r="P32" t="inlineStr">
        <is>
          <t>FAQPage JSON-LD</t>
        </is>
      </c>
    </row>
    <row r="33">
      <c r="A33" s="3" t="inlineStr">
        <is>
          <t>https://codesommet.com/services/education-website-development</t>
        </is>
      </c>
      <c r="B33" t="inlineStr">
        <is>
          <t>Existing</t>
        </is>
      </c>
      <c r="C33" s="5" t="inlineStr">
        <is>
          <t>Fournissez-vous la rédaction de contenu pour les sites web éducatifs ?</t>
        </is>
      </c>
      <c r="D33" t="inlineStr">
        <is>
          <t>site internet école</t>
        </is>
      </c>
      <c r="E33" t="inlineStr">
        <is>
          <t>fr</t>
        </is>
      </c>
      <c r="F33" s="5" t="inlineStr"/>
      <c r="G33" t="n">
        <v>10</v>
      </c>
      <c r="H33" t="inlineStr">
        <is>
          <t>NOT AVAILABLE</t>
        </is>
      </c>
      <c r="I33" t="inlineStr">
        <is>
          <t>Service scope</t>
        </is>
      </c>
      <c r="J33" t="inlineStr">
        <is>
          <t>MEASURED</t>
        </is>
      </c>
      <c r="K33">
        <f>ROUND(IF(ISNUMBER(G33),MIN(50,ROUND(50*LOG10(G33+1)/4,1)),5)+IF(ISNUMBER(H33),ROUND(30*(100-H33)/100,1),15)+IF(B33="New",20,10),0)</f>
        <v/>
      </c>
      <c r="L33" t="inlineStr">
        <is>
          <t>KEEP</t>
        </is>
      </c>
      <c r="M33" s="5" t="inlineStr">
        <is>
          <t>Relevant to page intent</t>
        </is>
      </c>
      <c r="N33" s="5" t="inlineStr">
        <is>
          <t>Oui, la rédaction professionnelle fait partie de notre offre de développement de sites web. Nous rédigeons les pages programmes, les fiches d'admission, les pages par pays de destination et le contenu</t>
        </is>
      </c>
      <c r="O33" t="inlineStr">
        <is>
          <t>P2</t>
        </is>
      </c>
      <c r="P33" t="inlineStr">
        <is>
          <t>FAQPage JSON-LD</t>
        </is>
      </c>
    </row>
    <row r="34">
      <c r="A34" s="3" t="inlineStr">
        <is>
          <t>https://codesommet.com/services/education-website-development</t>
        </is>
      </c>
      <c r="B34" t="inlineStr">
        <is>
          <t>Existing</t>
        </is>
      </c>
      <c r="C34" s="5" t="inlineStr">
        <is>
          <t>Le chatbot IA peut-il gérer les requêtes étudiantes en plusieurs langues ?</t>
        </is>
      </c>
      <c r="D34" t="inlineStr">
        <is>
          <t>site internet école</t>
        </is>
      </c>
      <c r="E34" t="inlineStr">
        <is>
          <t>fr</t>
        </is>
      </c>
      <c r="F34" s="5" t="inlineStr"/>
      <c r="G34" t="n">
        <v>10</v>
      </c>
      <c r="H34" t="inlineStr">
        <is>
          <t>NOT AVAILABLE</t>
        </is>
      </c>
      <c r="I34" t="inlineStr">
        <is>
          <t>Service scope</t>
        </is>
      </c>
      <c r="J34" t="inlineStr">
        <is>
          <t>MEASURED</t>
        </is>
      </c>
      <c r="K34">
        <f>ROUND(IF(ISNUMBER(G34),MIN(50,ROUND(50*LOG10(G34+1)/4,1)),5)+IF(ISNUMBER(H34),ROUND(30*(100-H34)/100,1),15)+IF(B34="New",20,10),0)</f>
        <v/>
      </c>
      <c r="L34" t="inlineStr">
        <is>
          <t>KEEP</t>
        </is>
      </c>
      <c r="M34" s="5" t="inlineStr">
        <is>
          <t>Relevant to page intent</t>
        </is>
      </c>
      <c r="N34" s="5" t="inlineStr">
        <is>
          <t>Oui. Le chatbot est formé sur vos cours, vos conditions d'admission et vos exigences de visa, et il répond aux étudiants dans plusieurs langues, y compris les langues RTL. Il pré-qualifie les demandes</t>
        </is>
      </c>
      <c r="O34" t="inlineStr">
        <is>
          <t>P2</t>
        </is>
      </c>
      <c r="P34" t="inlineStr">
        <is>
          <t>FAQPage JSON-LD</t>
        </is>
      </c>
    </row>
    <row r="35">
      <c r="A35" s="3" t="inlineStr">
        <is>
          <t>https://codesommet.com/services/education-website-development</t>
        </is>
      </c>
      <c r="B35" t="inlineStr">
        <is>
          <t>Existing</t>
        </is>
      </c>
      <c r="C35" s="5" t="inlineStr">
        <is>
          <t>Pouvez-vous connecter le site à notre CRM existant ?</t>
        </is>
      </c>
      <c r="D35" t="inlineStr">
        <is>
          <t>site internet école</t>
        </is>
      </c>
      <c r="E35" t="inlineStr">
        <is>
          <t>fr</t>
        </is>
      </c>
      <c r="F35" s="5" t="inlineStr"/>
      <c r="G35" t="n">
        <v>10</v>
      </c>
      <c r="H35" t="inlineStr">
        <is>
          <t>NOT AVAILABLE</t>
        </is>
      </c>
      <c r="I35" t="inlineStr">
        <is>
          <t>Service scope</t>
        </is>
      </c>
      <c r="J35" t="inlineStr">
        <is>
          <t>MEASURED</t>
        </is>
      </c>
      <c r="K35">
        <f>ROUND(IF(ISNUMBER(G35),MIN(50,ROUND(50*LOG10(G35+1)/4,1)),5)+IF(ISNUMBER(H35),ROUND(30*(100-H35)/100,1),15)+IF(B35="New",20,10),0)</f>
        <v/>
      </c>
      <c r="L35" t="inlineStr">
        <is>
          <t>KEEP</t>
        </is>
      </c>
      <c r="M35" s="5" t="inlineStr">
        <is>
          <t>Relevant to page intent</t>
        </is>
      </c>
      <c r="N35" s="5" t="inlineStr">
        <is>
          <t>Oui, nous connectons le site à votre CRM afin que chaque demande, formulaire ou conversation chatbot soit enregistrée dans votre pipeline. Si vous n'avez pas encore de CRM, nous pouvons intégrer un sy</t>
        </is>
      </c>
      <c r="O35" t="inlineStr">
        <is>
          <t>P2</t>
        </is>
      </c>
      <c r="P35" t="inlineStr">
        <is>
          <t>FAQPage JSON-LD</t>
        </is>
      </c>
    </row>
    <row r="36">
      <c r="A36" s="3" t="inlineStr">
        <is>
          <t>https://codesommet.com/services/education-website-development</t>
        </is>
      </c>
      <c r="B36" t="inlineStr">
        <is>
          <t>Existing</t>
        </is>
      </c>
      <c r="C36" s="5" t="inlineStr">
        <is>
          <t>Pouvez-vous construire un portail de candidature étudiant avec téléchargement de documents ?</t>
        </is>
      </c>
      <c r="D36" t="inlineStr">
        <is>
          <t>site internet école</t>
        </is>
      </c>
      <c r="E36" t="inlineStr">
        <is>
          <t>fr</t>
        </is>
      </c>
      <c r="F36" s="5" t="inlineStr"/>
      <c r="G36" t="n">
        <v>10</v>
      </c>
      <c r="H36" t="inlineStr">
        <is>
          <t>NOT AVAILABLE</t>
        </is>
      </c>
      <c r="I36" t="inlineStr">
        <is>
          <t>Service scope</t>
        </is>
      </c>
      <c r="J36" t="inlineStr">
        <is>
          <t>MEASURED</t>
        </is>
      </c>
      <c r="K36">
        <f>ROUND(IF(ISNUMBER(G36),MIN(50,ROUND(50*LOG10(G36+1)/4,1)),5)+IF(ISNUMBER(H36),ROUND(30*(100-H36)/100,1),15)+IF(B36="New",20,10),0)</f>
        <v/>
      </c>
      <c r="L36" t="inlineStr">
        <is>
          <t>KEEP</t>
        </is>
      </c>
      <c r="M36" s="5" t="inlineStr">
        <is>
          <t>Relevant to page intent</t>
        </is>
      </c>
      <c r="N36" s="5" t="inlineStr">
        <is>
          <t>Oui, c'est l'une de nos fonctionnalités essentielles pour les écoles et les agences d'études à l'étranger. Le portail comprend des formulaires multi-étapes, le téléchargement sécurisé de documents (PD</t>
        </is>
      </c>
      <c r="O36" t="inlineStr">
        <is>
          <t>P2</t>
        </is>
      </c>
      <c r="P36" t="inlineStr">
        <is>
          <t>FAQPage JSON-LD</t>
        </is>
      </c>
    </row>
    <row r="37">
      <c r="A37" s="3" t="inlineStr">
        <is>
          <t>https://codesommet.com/services/education-website-development</t>
        </is>
      </c>
      <c r="B37" t="inlineStr">
        <is>
          <t>Existing</t>
        </is>
      </c>
      <c r="C37" s="5" t="inlineStr">
        <is>
          <t>Supportez-vous plusieurs devises et passerelles de paiement ?</t>
        </is>
      </c>
      <c r="D37" t="inlineStr">
        <is>
          <t>site internet école</t>
        </is>
      </c>
      <c r="E37" t="inlineStr">
        <is>
          <t>fr</t>
        </is>
      </c>
      <c r="F37" s="5" t="inlineStr"/>
      <c r="G37" t="n">
        <v>10</v>
      </c>
      <c r="H37" t="inlineStr">
        <is>
          <t>NOT AVAILABLE</t>
        </is>
      </c>
      <c r="I37" t="inlineStr">
        <is>
          <t>Payment</t>
        </is>
      </c>
      <c r="J37" t="inlineStr">
        <is>
          <t>MEASURED</t>
        </is>
      </c>
      <c r="K37">
        <f>ROUND(IF(ISNUMBER(G37),MIN(50,ROUND(50*LOG10(G37+1)/4,1)),5)+IF(ISNUMBER(H37),ROUND(30*(100-H37)/100,1),15)+IF(B37="New",20,10),0)</f>
        <v/>
      </c>
      <c r="L37" t="inlineStr">
        <is>
          <t>KEEP</t>
        </is>
      </c>
      <c r="M37" s="5" t="inlineStr">
        <is>
          <t>Relevant to page intent</t>
        </is>
      </c>
      <c r="N37" s="5" t="inlineStr">
        <is>
          <t>Oui. Nous intégrons des passerelles de paiement adaptées aux marchés où se trouvent vos étudiants et affichons les frais dans plusieurs devises. Les reçus de paiement sont générés automatiquement et r</t>
        </is>
      </c>
      <c r="O37" t="inlineStr">
        <is>
          <t>P2</t>
        </is>
      </c>
      <c r="P37" t="inlineStr">
        <is>
          <t>FAQPage JSON-LD</t>
        </is>
      </c>
    </row>
    <row r="38">
      <c r="A38" s="3" t="inlineStr">
        <is>
          <t>https://codesommet.com/services/education-website-development</t>
        </is>
      </c>
      <c r="B38" t="inlineStr">
        <is>
          <t>Existing</t>
        </is>
      </c>
      <c r="C38" s="5" t="inlineStr">
        <is>
          <t>Qu'est-ce qui vous différencie des autres développeurs web ?</t>
        </is>
      </c>
      <c r="D38" t="inlineStr">
        <is>
          <t>site internet école</t>
        </is>
      </c>
      <c r="E38" t="inlineStr">
        <is>
          <t>fr</t>
        </is>
      </c>
      <c r="F38" s="5" t="inlineStr"/>
      <c r="G38" t="n">
        <v>10</v>
      </c>
      <c r="H38" t="inlineStr">
        <is>
          <t>NOT AVAILABLE</t>
        </is>
      </c>
      <c r="I38" t="inlineStr">
        <is>
          <t>Differentiation</t>
        </is>
      </c>
      <c r="J38" t="inlineStr">
        <is>
          <t>MEASURED</t>
        </is>
      </c>
      <c r="K38">
        <f>ROUND(IF(ISNUMBER(G38),MIN(50,ROUND(50*LOG10(G38+1)/4,1)),5)+IF(ISNUMBER(H38),ROUND(30*(100-H38)/100,1),15)+IF(B38="New",20,10),0)</f>
        <v/>
      </c>
      <c r="L38" t="inlineStr">
        <is>
          <t>KEEP</t>
        </is>
      </c>
      <c r="M38" s="5" t="inlineStr">
        <is>
          <t>Relevant to page intent</t>
        </is>
      </c>
      <c r="N38" s="5" t="inlineStr">
        <is>
          <t>Nous nous concentrons sur le secteur éducatif : flux de candidature, saisons d'admission, contenu multilingue et génération de leads sont des problématiques que nous traitons au quotidien. Nous constr</t>
        </is>
      </c>
      <c r="O38" t="inlineStr">
        <is>
          <t>P2</t>
        </is>
      </c>
      <c r="P38" t="inlineStr">
        <is>
          <t>FAQPage JSON-LD</t>
        </is>
      </c>
    </row>
    <row r="39">
      <c r="A39" s="3" t="inlineStr">
        <is>
          <t>https://codesommet.com/services/education-website-development</t>
        </is>
      </c>
      <c r="B39" t="inlineStr">
        <is>
          <t>Existing</t>
        </is>
      </c>
      <c r="C39" s="5" t="inlineStr">
        <is>
          <t>Pouvez-vous aider avec Google Ads et le SEO pour les sites web éducatifs ?</t>
        </is>
      </c>
      <c r="D39" t="inlineStr">
        <is>
          <t>agence seo maroc</t>
        </is>
      </c>
      <c r="E39" t="inlineStr">
        <is>
          <t>ma</t>
        </is>
      </c>
      <c r="F39" s="5" t="inlineStr"/>
      <c r="G39" t="n">
        <v>880</v>
      </c>
      <c r="H39" t="n">
        <v>44</v>
      </c>
      <c r="I39" t="inlineStr">
        <is>
          <t>SEO</t>
        </is>
      </c>
      <c r="J39" t="inlineStr">
        <is>
          <t>MEASURED</t>
        </is>
      </c>
      <c r="K39">
        <f>ROUND(IF(ISNUMBER(G39),MIN(50,ROUND(50*LOG10(G39+1)/4,1)),5)+IF(ISNUMBER(H39),ROUND(30*(100-H39)/100,1),15)+IF(B39="New",20,10),0)</f>
        <v/>
      </c>
      <c r="L39" t="inlineStr">
        <is>
          <t>KEEP</t>
        </is>
      </c>
      <c r="M39" s="5" t="inlineStr">
        <is>
          <t>Relevant to page intent</t>
        </is>
      </c>
      <c r="N39" s="5" t="inlineStr">
        <is>
          <t>Oui. Nous concevons vos pages de destination pour convertir le trafic Google Ads, avec suivi des conversions et tests A/B. Côté SEO, nous mettons en place le SEO technique, le balisage schema, un blog</t>
        </is>
      </c>
      <c r="O39" t="inlineStr">
        <is>
          <t>P2</t>
        </is>
      </c>
      <c r="P39" t="inlineStr">
        <is>
          <t>FAQPage JSON-LD</t>
        </is>
      </c>
    </row>
    <row r="40">
      <c r="A40" s="3" t="inlineStr">
        <is>
          <t>https://codesommet.com/services/elearning-platform-development</t>
        </is>
      </c>
      <c r="B40" t="inlineStr">
        <is>
          <t>Existing</t>
        </is>
      </c>
      <c r="C40" s="5" t="inlineStr">
        <is>
          <t>Combien de temps faut-il pour mettre en place une plateforme de formation interne ?</t>
        </is>
      </c>
      <c r="D40" t="inlineStr">
        <is>
          <t>plateforme de formation en ligne</t>
        </is>
      </c>
      <c r="E40" t="inlineStr">
        <is>
          <t>fr</t>
        </is>
      </c>
      <c r="F40" s="5" t="inlineStr"/>
      <c r="G40" t="n">
        <v>1000</v>
      </c>
      <c r="H40" t="n">
        <v>51</v>
      </c>
      <c r="I40" t="inlineStr">
        <is>
          <t>Timeline</t>
        </is>
      </c>
      <c r="J40" t="inlineStr">
        <is>
          <t>MEASURED</t>
        </is>
      </c>
      <c r="K40">
        <f>ROUND(IF(ISNUMBER(G40),MIN(50,ROUND(50*LOG10(G40+1)/4,1)),5)+IF(ISNUMBER(H40),ROUND(30*(100-H40)/100,1),15)+IF(B40="New",20,10),0)</f>
        <v/>
      </c>
      <c r="L40" t="inlineStr">
        <is>
          <t>KEEP</t>
        </is>
      </c>
      <c r="M40" s="5" t="inlineStr">
        <is>
          <t>Matches measured pre-purchase demand</t>
        </is>
      </c>
      <c r="N40" s="5" t="inlineStr">
        <is>
          <t xml:space="preserve">Cela dépend du nombre de parcours, des évaluations et des intégrations à vos outils internes (SIRH, SIS, SSO). Nous mettons généralement en ligne une première version avec vos premiers parcours, puis </t>
        </is>
      </c>
      <c r="O40" t="inlineStr">
        <is>
          <t>P2</t>
        </is>
      </c>
      <c r="P40" t="inlineStr">
        <is>
          <t>FAQPage JSON-LD</t>
        </is>
      </c>
    </row>
    <row r="41">
      <c r="A41" s="3" t="inlineStr">
        <is>
          <t>https://codesommet.com/services/elearning-platform-development</t>
        </is>
      </c>
      <c r="B41" t="inlineStr">
        <is>
          <t>Existing</t>
        </is>
      </c>
      <c r="C41" s="5" t="inlineStr">
        <is>
          <t>Quelles options d'hébergement vidéo supportez-vous ?</t>
        </is>
      </c>
      <c r="D41" t="inlineStr">
        <is>
          <t>plateforme e-learning</t>
        </is>
      </c>
      <c r="E41" t="inlineStr">
        <is>
          <t>fr</t>
        </is>
      </c>
      <c r="F41" s="5" t="inlineStr"/>
      <c r="G41" t="n">
        <v>2400</v>
      </c>
      <c r="H41" t="n">
        <v>31</v>
      </c>
      <c r="I41" t="inlineStr">
        <is>
          <t>Support</t>
        </is>
      </c>
      <c r="J41" t="inlineStr">
        <is>
          <t>MEASURED</t>
        </is>
      </c>
      <c r="K41">
        <f>ROUND(IF(ISNUMBER(G41),MIN(50,ROUND(50*LOG10(G41+1)/4,1)),5)+IF(ISNUMBER(H41),ROUND(30*(100-H41)/100,1),15)+IF(B41="New",20,10),0)</f>
        <v/>
      </c>
      <c r="L41" t="inlineStr">
        <is>
          <t>KEEP</t>
        </is>
      </c>
      <c r="M41" s="5" t="inlineStr">
        <is>
          <t>Relevant to page intent</t>
        </is>
      </c>
      <c r="N41" s="5" t="inlineStr">
        <is>
          <t>Selon le projet, nous utilisons des solutions comme Vimeo, Bunny Stream, Mux ou un stockage privé avec CDN. Le choix dépend du volume de vidéos, de la confidentialité attendue et du budget.</t>
        </is>
      </c>
      <c r="O41" t="inlineStr">
        <is>
          <t>P2</t>
        </is>
      </c>
      <c r="P41" t="inlineStr">
        <is>
          <t>FAQPage JSON-LD</t>
        </is>
      </c>
    </row>
    <row r="42">
      <c r="A42" s="3" t="inlineStr">
        <is>
          <t>https://codesommet.com/services/elearning-platform-development</t>
        </is>
      </c>
      <c r="B42" t="inlineStr">
        <is>
          <t>Existing</t>
        </is>
      </c>
      <c r="C42" s="5" t="inlineStr">
        <is>
          <t>La plateforme peut-elle s'intégrer à notre SIRH, notre SIS ou notre annuaire (SSO) ?</t>
        </is>
      </c>
      <c r="D42" t="inlineStr">
        <is>
          <t>plateforme lms</t>
        </is>
      </c>
      <c r="E42" t="inlineStr">
        <is>
          <t>fr</t>
        </is>
      </c>
      <c r="F42" s="5" t="inlineStr"/>
      <c r="G42" t="n">
        <v>1000</v>
      </c>
      <c r="H42" t="n">
        <v>37</v>
      </c>
      <c r="I42" t="inlineStr">
        <is>
          <t>Service scope</t>
        </is>
      </c>
      <c r="J42" t="inlineStr">
        <is>
          <t>MEASURED</t>
        </is>
      </c>
      <c r="K42">
        <f>ROUND(IF(ISNUMBER(G42),MIN(50,ROUND(50*LOG10(G42+1)/4,1)),5)+IF(ISNUMBER(H42),ROUND(30*(100-H42)/100,1),15)+IF(B42="New",20,10),0)</f>
        <v/>
      </c>
      <c r="L42" t="inlineStr">
        <is>
          <t>KEEP</t>
        </is>
      </c>
      <c r="M42" s="5" t="inlineStr">
        <is>
          <t>Relevant to page intent</t>
        </is>
      </c>
      <c r="N42" s="5" t="inlineStr">
        <is>
          <t>Oui. Nous relions la plateforme à votre annuaire (SSO/SAML) pour éviter les doubles comptes, et nous synchronisons apprenants, groupes et résultats avec votre SIRH ou votre SIS lorsqu'une API ou un ex</t>
        </is>
      </c>
      <c r="O42" t="inlineStr">
        <is>
          <t>P2</t>
        </is>
      </c>
      <c r="P42" t="inlineStr">
        <is>
          <t>FAQPage JSON-LD</t>
        </is>
      </c>
    </row>
    <row r="43">
      <c r="A43" s="3" t="inlineStr">
        <is>
          <t>https://codesommet.com/services/elearning-platform-development</t>
        </is>
      </c>
      <c r="B43" t="inlineStr">
        <is>
          <t>Existing</t>
        </is>
      </c>
      <c r="C43" s="5" t="inlineStr">
        <is>
          <t>Fournissez-vous des fonctionnalités de gamification et d'engagement ?</t>
        </is>
      </c>
      <c r="D43" t="inlineStr">
        <is>
          <t>plateforme e-learning</t>
        </is>
      </c>
      <c r="E43" t="inlineStr">
        <is>
          <t>fr</t>
        </is>
      </c>
      <c r="F43" s="5" t="inlineStr"/>
      <c r="G43" t="n">
        <v>2400</v>
      </c>
      <c r="H43" t="n">
        <v>31</v>
      </c>
      <c r="I43" t="inlineStr">
        <is>
          <t>Service scope</t>
        </is>
      </c>
      <c r="J43" t="inlineStr">
        <is>
          <t>MEASURED</t>
        </is>
      </c>
      <c r="K43">
        <f>ROUND(IF(ISNUMBER(G43),MIN(50,ROUND(50*LOG10(G43+1)/4,1)),5)+IF(ISNUMBER(H43),ROUND(30*(100-H43)/100,1),15)+IF(B43="New",20,10),0)</f>
        <v/>
      </c>
      <c r="L43" t="inlineStr">
        <is>
          <t>KEEP</t>
        </is>
      </c>
      <c r="M43" s="5" t="inlineStr">
        <is>
          <t>Relevant to page intent</t>
        </is>
      </c>
      <c r="N43" s="5" t="inlineStr">
        <is>
          <t>Oui. Badges, points, certificats, progression visible, rappels et classements internes peuvent être ajoutés pour soutenir l'engagement, en restant adaptés à un contexte scolaire ou professionnel.</t>
        </is>
      </c>
      <c r="O43" t="inlineStr">
        <is>
          <t>P2</t>
        </is>
      </c>
      <c r="P43" t="inlineStr">
        <is>
          <t>FAQPage JSON-LD</t>
        </is>
      </c>
    </row>
    <row r="44">
      <c r="A44" s="3" t="inlineStr">
        <is>
          <t>https://codesommet.com/services/elearning-platform-development</t>
        </is>
      </c>
      <c r="B44" t="inlineStr">
        <is>
          <t>Existing</t>
        </is>
      </c>
      <c r="C44" s="5" t="inlineStr">
        <is>
          <t>Comment gérez-vous les rôles : administrateurs, formateurs, apprenants et managers ?</t>
        </is>
      </c>
      <c r="D44" t="inlineStr">
        <is>
          <t>plateforme e-learning</t>
        </is>
      </c>
      <c r="E44" t="inlineStr">
        <is>
          <t>fr</t>
        </is>
      </c>
      <c r="F44" s="5" t="inlineStr"/>
      <c r="G44" t="n">
        <v>2400</v>
      </c>
      <c r="H44" t="n">
        <v>31</v>
      </c>
      <c r="I44" t="inlineStr">
        <is>
          <t>Service scope</t>
        </is>
      </c>
      <c r="J44" t="inlineStr">
        <is>
          <t>MEASURED</t>
        </is>
      </c>
      <c r="K44">
        <f>ROUND(IF(ISNUMBER(G44),MIN(50,ROUND(50*LOG10(G44+1)/4,1)),5)+IF(ISNUMBER(H44),ROUND(30*(100-H44)/100,1),15)+IF(B44="New",20,10),0)</f>
        <v/>
      </c>
      <c r="L44" t="inlineStr">
        <is>
          <t>KEEP</t>
        </is>
      </c>
      <c r="M44" s="5" t="inlineStr">
        <is>
          <t>Relevant to page intent</t>
        </is>
      </c>
      <c r="N44" s="5" t="inlineStr">
        <is>
          <t>La plateforme distingue les administrateurs (paramétrage, accès), les formateurs (contenus, évaluations, suivi de leurs groupes), les apprenants (parcours, progression, certificats) et les managers ou</t>
        </is>
      </c>
      <c r="O44" t="inlineStr">
        <is>
          <t>P2</t>
        </is>
      </c>
      <c r="P44" t="inlineStr">
        <is>
          <t>FAQPage JSON-LD</t>
        </is>
      </c>
    </row>
    <row r="45">
      <c r="A45" s="3" t="inlineStr">
        <is>
          <t>https://codesommet.com/services/elearning-platform-development</t>
        </is>
      </c>
      <c r="B45" t="inlineStr">
        <is>
          <t>Existing</t>
        </is>
      </c>
      <c r="C45" s="5" t="inlineStr">
        <is>
          <t>Les étudiants peuvent-ils accéder aux cours sur appareils mobiles ?</t>
        </is>
      </c>
      <c r="D45" t="inlineStr">
        <is>
          <t>plateforme e-learning</t>
        </is>
      </c>
      <c r="E45" t="inlineStr">
        <is>
          <t>fr</t>
        </is>
      </c>
      <c r="F45" s="5" t="inlineStr"/>
      <c r="G45" t="n">
        <v>2400</v>
      </c>
      <c r="H45" t="n">
        <v>31</v>
      </c>
      <c r="I45" t="inlineStr">
        <is>
          <t>Service scope</t>
        </is>
      </c>
      <c r="J45" t="inlineStr">
        <is>
          <t>MEASURED</t>
        </is>
      </c>
      <c r="K45">
        <f>ROUND(IF(ISNUMBER(G45),MIN(50,ROUND(50*LOG10(G45+1)/4,1)),5)+IF(ISNUMBER(H45),ROUND(30*(100-H45)/100,1),15)+IF(B45="New",20,10),0)</f>
        <v/>
      </c>
      <c r="L45" t="inlineStr">
        <is>
          <t>KEEP</t>
        </is>
      </c>
      <c r="M45" s="5" t="inlineStr">
        <is>
          <t>Relevant to page intent</t>
        </is>
      </c>
      <c r="N45" s="5" t="inlineStr">
        <is>
          <t>Oui. Les apprenants accèdent à leurs parcours sur mobile avec une interface adaptée et une progression synchronisée ; certaines fonctions peuvent être disponibles hors ligne selon le besoin.</t>
        </is>
      </c>
      <c r="O45" t="inlineStr">
        <is>
          <t>P2</t>
        </is>
      </c>
      <c r="P45" t="inlineStr">
        <is>
          <t>FAQPage JSON-LD</t>
        </is>
      </c>
    </row>
    <row r="46">
      <c r="A46" s="3" t="inlineStr">
        <is>
          <t>https://codesommet.com/services/elearning-platform-development</t>
        </is>
      </c>
      <c r="B46" t="inlineStr">
        <is>
          <t>Existing</t>
        </is>
      </c>
      <c r="C46" s="5" t="inlineStr">
        <is>
          <t>Pouvons-nous migrer nos contenus de formation existants (SCORM, PDF, vidéos) ?</t>
        </is>
      </c>
      <c r="D46" t="inlineStr">
        <is>
          <t>plateforme e-learning</t>
        </is>
      </c>
      <c r="E46" t="inlineStr">
        <is>
          <t>fr</t>
        </is>
      </c>
      <c r="F46" s="5" t="inlineStr"/>
      <c r="G46" t="n">
        <v>2400</v>
      </c>
      <c r="H46" t="n">
        <v>31</v>
      </c>
      <c r="I46" t="inlineStr">
        <is>
          <t>Service scope</t>
        </is>
      </c>
      <c r="J46" t="inlineStr">
        <is>
          <t>MEASURED</t>
        </is>
      </c>
      <c r="K46">
        <f>ROUND(IF(ISNUMBER(G46),MIN(50,ROUND(50*LOG10(G46+1)/4,1)),5)+IF(ISNUMBER(H46),ROUND(30*(100-H46)/100,1),15)+IF(B46="New",20,10),0)</f>
        <v/>
      </c>
      <c r="L46" t="inlineStr">
        <is>
          <t>KEEP</t>
        </is>
      </c>
      <c r="M46" s="5" t="inlineStr">
        <is>
          <t>Relevant to page intent</t>
        </is>
      </c>
      <c r="N46" s="5" t="inlineStr">
        <is>
          <t>Oui. Nous reprenons vos modules SCORM, vos documents, vidéos et questionnaires existants, puis nous les réorganisons dans la nouvelle structure de parcours. Les historiques de formation peuvent être i</t>
        </is>
      </c>
      <c r="O46" t="inlineStr">
        <is>
          <t>P2</t>
        </is>
      </c>
      <c r="P46" t="inlineStr">
        <is>
          <t>FAQPage JSON-LD</t>
        </is>
      </c>
    </row>
    <row r="47">
      <c r="A47" s="3" t="inlineStr">
        <is>
          <t>https://codesommet.com/services/elearning-platform-development</t>
        </is>
      </c>
      <c r="B47" t="inlineStr">
        <is>
          <t>Existing</t>
        </is>
      </c>
      <c r="C47" s="5" t="inlineStr">
        <is>
          <t>Pouvez-vous gérer plusieurs sites, classes ou services avec des parcours différents ?</t>
        </is>
      </c>
      <c r="D47" t="inlineStr">
        <is>
          <t>plateforme e-learning</t>
        </is>
      </c>
      <c r="E47" t="inlineStr">
        <is>
          <t>fr</t>
        </is>
      </c>
      <c r="F47" s="5" t="inlineStr"/>
      <c r="G47" t="n">
        <v>2400</v>
      </c>
      <c r="H47" t="n">
        <v>31</v>
      </c>
      <c r="I47" t="inlineStr">
        <is>
          <t>Differentiation</t>
        </is>
      </c>
      <c r="J47" t="inlineStr">
        <is>
          <t>MEASURED</t>
        </is>
      </c>
      <c r="K47">
        <f>ROUND(IF(ISNUMBER(G47),MIN(50,ROUND(50*LOG10(G47+1)/4,1)),5)+IF(ISNUMBER(H47),ROUND(30*(100-H47)/100,1),15)+IF(B47="New",20,10),0)</f>
        <v/>
      </c>
      <c r="L47" t="inlineStr">
        <is>
          <t>KEEP</t>
        </is>
      </c>
      <c r="M47" s="5" t="inlineStr">
        <is>
          <t>Relevant to page intent</t>
        </is>
      </c>
      <c r="N47" s="5" t="inlineStr">
        <is>
          <t>Oui. Chaque site, classe ou service peut avoir son catalogue, ses parcours et ses responsables, avec des rapports consolidés au niveau de l'établissement ou de l'entreprise.</t>
        </is>
      </c>
      <c r="O47" t="inlineStr">
        <is>
          <t>P2</t>
        </is>
      </c>
      <c r="P47" t="inlineStr">
        <is>
          <t>FAQPage JSON-LD</t>
        </is>
      </c>
    </row>
    <row r="48">
      <c r="A48" s="3" t="inlineStr">
        <is>
          <t>https://codesommet.com/services/elearning-platform-development</t>
        </is>
      </c>
      <c r="B48" t="inlineStr">
        <is>
          <t>New</t>
        </is>
      </c>
      <c r="C48" s="5" t="inlineStr">
        <is>
          <t>Combien coûte une plateforme e-learning sur mesure ?</t>
        </is>
      </c>
      <c r="D48" t="inlineStr">
        <is>
          <t>combien coute une plateforme e-learning</t>
        </is>
      </c>
      <c r="E48" t="inlineStr">
        <is>
          <t>fr</t>
        </is>
      </c>
      <c r="F48" s="5" t="inlineStr">
        <is>
          <t>plateforme e-learning [fr] 2400; plateforme lms [fr] 1000</t>
        </is>
      </c>
      <c r="G48" t="inlineStr">
        <is>
          <t>NOT AVAILABLE</t>
        </is>
      </c>
      <c r="H48" t="inlineStr">
        <is>
          <t>NOT AVAILABLE</t>
        </is>
      </c>
      <c r="I48" t="inlineStr">
        <is>
          <t>Question</t>
        </is>
      </c>
      <c r="J48" t="inlineStr">
        <is>
          <t>UNAVAILABLE</t>
        </is>
      </c>
      <c r="K48">
        <f>ROUND(IF(ISNUMBER(G48),MIN(50,ROUND(50*LOG10(G48+1)/4,1)),5)+IF(ISNUMBER(H48),ROUND(30*(100-H48)/100,1),15)+IF(B48="New",20,10),0)</f>
        <v/>
      </c>
      <c r="L48" t="inlineStr">
        <is>
          <t>NEW</t>
        </is>
      </c>
      <c r="M48" s="5" t="inlineStr">
        <is>
          <t>Budget question for training organisations. | Why here: Commercial e-learning page. | Internal link: /blog/lms-sur-mesure-ou-produit-edtech-quelle-plateforme-e-learning</t>
        </is>
      </c>
      <c r="N48" s="5" t="inlineStr">
        <is>
          <t>Ranges (LMS customisation vs sur-mesure), licensing vs ownership, hosting.</t>
        </is>
      </c>
      <c r="O48" t="inlineStr">
        <is>
          <t>P2</t>
        </is>
      </c>
      <c r="P48" t="inlineStr"/>
    </row>
    <row r="49">
      <c r="A49" s="3" t="inlineStr">
        <is>
          <t>https://codesommet.com/services/elearning-platform-development</t>
        </is>
      </c>
      <c r="B49" t="inlineStr">
        <is>
          <t>New</t>
        </is>
      </c>
      <c r="C49" s="5" t="inlineStr">
        <is>
          <t>Comment créer une plateforme e-learning ?</t>
        </is>
      </c>
      <c r="D49" t="inlineStr">
        <is>
          <t>comment créer une plateforme e-learning</t>
        </is>
      </c>
      <c r="E49" t="inlineStr">
        <is>
          <t>fr</t>
        </is>
      </c>
      <c r="F49" s="5" t="inlineStr">
        <is>
          <t>créer une plateforme e-learning [fr] 20</t>
        </is>
      </c>
      <c r="G49" t="n">
        <v>20</v>
      </c>
      <c r="H49" t="inlineStr">
        <is>
          <t>NOT AVAILABLE</t>
        </is>
      </c>
      <c r="I49" t="inlineStr">
        <is>
          <t>Question</t>
        </is>
      </c>
      <c r="J49" t="inlineStr">
        <is>
          <t>MEASURED</t>
        </is>
      </c>
      <c r="K49">
        <f>ROUND(IF(ISNUMBER(G49),MIN(50,ROUND(50*LOG10(G49+1)/4,1)),5)+IF(ISNUMBER(H49),ROUND(30*(100-H49)/100,1),15)+IF(B49="New",20,10),0)</f>
        <v/>
      </c>
      <c r="L49" t="inlineStr">
        <is>
          <t>NEW</t>
        </is>
      </c>
      <c r="M49" s="5" t="inlineStr">
        <is>
          <t>FR 20. | Why here: Process answer on the service page. | Internal link: /get-quote</t>
        </is>
      </c>
      <c r="N49" s="5" t="inlineStr">
        <is>
          <t>Steps: scope, content, LMS choice, integrations, launch.</t>
        </is>
      </c>
      <c r="O49" t="inlineStr">
        <is>
          <t>P3</t>
        </is>
      </c>
      <c r="P49" t="inlineStr"/>
    </row>
    <row r="50">
      <c r="A50" s="3" t="inlineStr">
        <is>
          <t>https://codesommet.com/services/fintech-platform-development</t>
        </is>
      </c>
      <c r="B50" t="inlineStr">
        <is>
          <t>Existing</t>
        </is>
      </c>
      <c r="C50" s="5" t="inlineStr">
        <is>
          <t>Combien de temps faut-il pour construire une plateforme FinTech ?</t>
        </is>
      </c>
      <c r="D50" t="inlineStr">
        <is>
          <t>développement fintech</t>
        </is>
      </c>
      <c r="E50" t="inlineStr">
        <is>
          <t>fr</t>
        </is>
      </c>
      <c r="F50" s="5" t="inlineStr"/>
      <c r="G50" t="n">
        <v>0</v>
      </c>
      <c r="H50" t="inlineStr">
        <is>
          <t>NOT AVAILABLE</t>
        </is>
      </c>
      <c r="I50" t="inlineStr">
        <is>
          <t>Timeline</t>
        </is>
      </c>
      <c r="J50" t="inlineStr">
        <is>
          <t>MEASURED</t>
        </is>
      </c>
      <c r="K50">
        <f>ROUND(IF(ISNUMBER(G50),MIN(50,ROUND(50*LOG10(G50+1)/4,1)),5)+IF(ISNUMBER(H50),ROUND(30*(100-H50)/100,1),15)+IF(B50="New",20,10),0)</f>
        <v/>
      </c>
      <c r="L50" t="inlineStr">
        <is>
          <t>KEEP</t>
        </is>
      </c>
      <c r="M50" s="5" t="inlineStr">
        <is>
          <t>Matches measured pre-purchase demand</t>
        </is>
      </c>
      <c r="N50" s="5" t="inlineStr">
        <is>
          <t>Le délai dépend fortement du périmètre : une passerelle de paiement avec KYC automatisé n'a pas la même complexité qu'une plateforme de trading avec données de marché en direct. Une première version c</t>
        </is>
      </c>
      <c r="O50" t="inlineStr">
        <is>
          <t>P2</t>
        </is>
      </c>
      <c r="P50" t="inlineStr">
        <is>
          <t>FAQPage JSON-LD</t>
        </is>
      </c>
    </row>
    <row r="51">
      <c r="A51" s="3" t="inlineStr">
        <is>
          <t>https://codesommet.com/services/fintech-platform-development</t>
        </is>
      </c>
      <c r="B51" t="inlineStr">
        <is>
          <t>Existing</t>
        </is>
      </c>
      <c r="C51" s="5" t="inlineStr">
        <is>
          <t>Gérez-vous la certification de conformité PCI-DSS ?</t>
        </is>
      </c>
      <c r="D51" t="inlineStr">
        <is>
          <t>développement fintech</t>
        </is>
      </c>
      <c r="E51" t="inlineStr">
        <is>
          <t>fr</t>
        </is>
      </c>
      <c r="F51" s="5" t="inlineStr"/>
      <c r="G51" t="n">
        <v>0</v>
      </c>
      <c r="H51" t="inlineStr">
        <is>
          <t>NOT AVAILABLE</t>
        </is>
      </c>
      <c r="I51" t="inlineStr">
        <is>
          <t>Compliance / security</t>
        </is>
      </c>
      <c r="J51" t="inlineStr">
        <is>
          <t>MEASURED</t>
        </is>
      </c>
      <c r="K51">
        <f>ROUND(IF(ISNUMBER(G51),MIN(50,ROUND(50*LOG10(G51+1)/4,1)),5)+IF(ISNUMBER(H51),ROUND(30*(100-H51)/100,1),15)+IF(B51="New",20,10),0)</f>
        <v/>
      </c>
      <c r="L51" t="inlineStr">
        <is>
          <t>KEEP</t>
        </is>
      </c>
      <c r="M51" s="5" t="inlineStr">
        <is>
          <t>Relevant to page intent</t>
        </is>
      </c>
      <c r="N51" s="5" t="inlineStr">
        <is>
          <t>Nous ne délivrons pas la certification nous-mêmes : elle est émise par un évaluateur agréé selon votre niveau de traitement. Notre rôle est de concevoir la plateforme selon les bonnes pratiques PCI-DS</t>
        </is>
      </c>
      <c r="O51" t="inlineStr">
        <is>
          <t>P2</t>
        </is>
      </c>
      <c r="P51" t="inlineStr">
        <is>
          <t>FAQPage JSON-LD</t>
        </is>
      </c>
    </row>
    <row r="52">
      <c r="A52" s="3" t="inlineStr">
        <is>
          <t>https://codesommet.com/services/fintech-platform-development</t>
        </is>
      </c>
      <c r="B52" t="inlineStr">
        <is>
          <t>Existing</t>
        </is>
      </c>
      <c r="C52" s="5" t="inlineStr">
        <is>
          <t>Pouvez-vous intégrer des processeurs de paiement comme Stripe, Adyen ou Checkout.com ?</t>
        </is>
      </c>
      <c r="D52" t="inlineStr">
        <is>
          <t>plateforme de paiement</t>
        </is>
      </c>
      <c r="E52" t="inlineStr">
        <is>
          <t>fr</t>
        </is>
      </c>
      <c r="F52" s="5" t="inlineStr"/>
      <c r="G52" t="n">
        <v>260</v>
      </c>
      <c r="H52" t="n">
        <v>35</v>
      </c>
      <c r="I52" t="inlineStr">
        <is>
          <t>Payment</t>
        </is>
      </c>
      <c r="J52" t="inlineStr">
        <is>
          <t>MEASURED</t>
        </is>
      </c>
      <c r="K52">
        <f>ROUND(IF(ISNUMBER(G52),MIN(50,ROUND(50*LOG10(G52+1)/4,1)),5)+IF(ISNUMBER(H52),ROUND(30*(100-H52)/100,1),15)+IF(B52="New",20,10),0)</f>
        <v/>
      </c>
      <c r="L52" t="inlineStr">
        <is>
          <t>KEEP</t>
        </is>
      </c>
      <c r="M52" s="5" t="inlineStr">
        <is>
          <t>Relevant to page intent</t>
        </is>
      </c>
      <c r="N52" s="5" t="inlineStr">
        <is>
          <t>Oui. Nous intégrons les processeurs de paiement via leurs APIs officielles, en gérant les webhooks, le 3D Secure, les remboursements et les litiges. Le choix du processeur dépend de vos marchés, de vo</t>
        </is>
      </c>
      <c r="O52" t="inlineStr">
        <is>
          <t>P2</t>
        </is>
      </c>
      <c r="P52" t="inlineStr">
        <is>
          <t>FAQPage JSON-LD</t>
        </is>
      </c>
    </row>
    <row r="53">
      <c r="A53" s="3" t="inlineStr">
        <is>
          <t>https://codesommet.com/services/fintech-platform-development</t>
        </is>
      </c>
      <c r="B53" t="inlineStr">
        <is>
          <t>Existing</t>
        </is>
      </c>
      <c r="C53" s="5" t="inlineStr">
        <is>
          <t>Quels fournisseurs KYC supportez-vous ?</t>
        </is>
      </c>
      <c r="D53" t="inlineStr">
        <is>
          <t>développement fintech</t>
        </is>
      </c>
      <c r="E53" t="inlineStr">
        <is>
          <t>fr</t>
        </is>
      </c>
      <c r="F53" s="5" t="inlineStr"/>
      <c r="G53" t="n">
        <v>0</v>
      </c>
      <c r="H53" t="inlineStr">
        <is>
          <t>NOT AVAILABLE</t>
        </is>
      </c>
      <c r="I53" t="inlineStr">
        <is>
          <t>Support</t>
        </is>
      </c>
      <c r="J53" t="inlineStr">
        <is>
          <t>MEASURED</t>
        </is>
      </c>
      <c r="K53">
        <f>ROUND(IF(ISNUMBER(G53),MIN(50,ROUND(50*LOG10(G53+1)/4,1)),5)+IF(ISNUMBER(H53),ROUND(30*(100-H53)/100,1),15)+IF(B53="New",20,10),0)</f>
        <v/>
      </c>
      <c r="L53" t="inlineStr">
        <is>
          <t>KEEP</t>
        </is>
      </c>
      <c r="M53" s="5" t="inlineStr">
        <is>
          <t>Relevant to page intent</t>
        </is>
      </c>
      <c r="N53" s="5" t="inlineStr">
        <is>
          <t>Nous intégrons des fournisseurs de vérification d'identité tels qu'Onfido, Jumio ou Trulioo pour l'OCR de documents, la détection de vivacité et le filtrage des sanctions. Le flux KYC est orchestré da</t>
        </is>
      </c>
      <c r="O53" t="inlineStr">
        <is>
          <t>P2</t>
        </is>
      </c>
      <c r="P53" t="inlineStr">
        <is>
          <t>FAQPage JSON-LD</t>
        </is>
      </c>
    </row>
    <row r="54">
      <c r="A54" s="3" t="inlineStr">
        <is>
          <t>https://codesommet.com/services/fintech-platform-development</t>
        </is>
      </c>
      <c r="B54" t="inlineStr">
        <is>
          <t>Existing</t>
        </is>
      </c>
      <c r="C54" s="5" t="inlineStr">
        <is>
          <t>Pouvez-vous construire une plateforme de trading avec des données de marché en temps réel ?</t>
        </is>
      </c>
      <c r="D54" t="inlineStr">
        <is>
          <t>plateforme de paiement</t>
        </is>
      </c>
      <c r="E54" t="inlineStr">
        <is>
          <t>fr</t>
        </is>
      </c>
      <c r="F54" s="5" t="inlineStr"/>
      <c r="G54" t="n">
        <v>260</v>
      </c>
      <c r="H54" t="n">
        <v>35</v>
      </c>
      <c r="I54" t="inlineStr">
        <is>
          <t>Compliance / security</t>
        </is>
      </c>
      <c r="J54" t="inlineStr">
        <is>
          <t>MEASURED</t>
        </is>
      </c>
      <c r="K54">
        <f>ROUND(IF(ISNUMBER(G54),MIN(50,ROUND(50*LOG10(G54+1)/4,1)),5)+IF(ISNUMBER(H54),ROUND(30*(100-H54)/100,1),15)+IF(B54="New",20,10),0)</f>
        <v/>
      </c>
      <c r="L54" t="inlineStr">
        <is>
          <t>KEEP</t>
        </is>
      </c>
      <c r="M54" s="5" t="inlineStr">
        <is>
          <t>Relevant to page intent</t>
        </is>
      </c>
      <c r="N54" s="5" t="inlineStr">
        <is>
          <t>Oui. Nous développons des interfaces de trading avec graphiques, carnets d'ordres, gestion de portefeuille et analyses de marché, alimentées par des flux de données en temps réel via WebSocket. L'arch</t>
        </is>
      </c>
      <c r="O54" t="inlineStr">
        <is>
          <t>P2</t>
        </is>
      </c>
      <c r="P54" t="inlineStr">
        <is>
          <t>FAQPage JSON-LD</t>
        </is>
      </c>
    </row>
    <row r="55">
      <c r="A55" s="3" t="inlineStr">
        <is>
          <t>https://codesommet.com/services/fintech-platform-development</t>
        </is>
      </c>
      <c r="B55" t="inlineStr">
        <is>
          <t>Existing</t>
        </is>
      </c>
      <c r="C55" s="5" t="inlineStr">
        <is>
          <t>Supportez-vous les paiements multi-devises et transfrontaliers ?</t>
        </is>
      </c>
      <c r="D55" t="inlineStr">
        <is>
          <t>développement fintech</t>
        </is>
      </c>
      <c r="E55" t="inlineStr">
        <is>
          <t>fr</t>
        </is>
      </c>
      <c r="F55" s="5" t="inlineStr"/>
      <c r="G55" t="n">
        <v>0</v>
      </c>
      <c r="H55" t="inlineStr">
        <is>
          <t>NOT AVAILABLE</t>
        </is>
      </c>
      <c r="I55" t="inlineStr">
        <is>
          <t>Payment</t>
        </is>
      </c>
      <c r="J55" t="inlineStr">
        <is>
          <t>MEASURED</t>
        </is>
      </c>
      <c r="K55">
        <f>ROUND(IF(ISNUMBER(G55),MIN(50,ROUND(50*LOG10(G55+1)/4,1)),5)+IF(ISNUMBER(H55),ROUND(30*(100-H55)/100,1),15)+IF(B55="New",20,10),0)</f>
        <v/>
      </c>
      <c r="L55" t="inlineStr">
        <is>
          <t>KEEP</t>
        </is>
      </c>
      <c r="M55" s="5" t="inlineStr">
        <is>
          <t>Relevant to page intent</t>
        </is>
      </c>
      <c r="N55" s="5" t="inlineStr">
        <is>
          <t>Oui. La plateforme peut gérer plusieurs devises avec des taux de change en temps réel, une conversion automatisée et des rails de paiement transfrontaliers. Nous traitons les questions de réconciliati</t>
        </is>
      </c>
      <c r="O55" t="inlineStr">
        <is>
          <t>P2</t>
        </is>
      </c>
      <c r="P55" t="inlineStr">
        <is>
          <t>FAQPage JSON-LD</t>
        </is>
      </c>
    </row>
    <row r="56">
      <c r="A56" s="3" t="inlineStr">
        <is>
          <t>https://codesommet.com/services/fintech-platform-development</t>
        </is>
      </c>
      <c r="B56" t="inlineStr">
        <is>
          <t>Existing</t>
        </is>
      </c>
      <c r="C56" s="5" t="inlineStr">
        <is>
          <t>Qu'est-ce qui vous différencie des autres développeurs FinTech ?</t>
        </is>
      </c>
      <c r="D56" t="inlineStr">
        <is>
          <t>développement fintech</t>
        </is>
      </c>
      <c r="E56" t="inlineStr">
        <is>
          <t>fr</t>
        </is>
      </c>
      <c r="F56" s="5" t="inlineStr"/>
      <c r="G56" t="n">
        <v>0</v>
      </c>
      <c r="H56" t="inlineStr">
        <is>
          <t>NOT AVAILABLE</t>
        </is>
      </c>
      <c r="I56" t="inlineStr">
        <is>
          <t>Differentiation</t>
        </is>
      </c>
      <c r="J56" t="inlineStr">
        <is>
          <t>MEASURED</t>
        </is>
      </c>
      <c r="K56">
        <f>ROUND(IF(ISNUMBER(G56),MIN(50,ROUND(50*LOG10(G56+1)/4,1)),5)+IF(ISNUMBER(H56),ROUND(30*(100-H56)/100,1),15)+IF(B56="New",20,10),0)</f>
        <v/>
      </c>
      <c r="L56" t="inlineStr">
        <is>
          <t>KEEP</t>
        </is>
      </c>
      <c r="M56" s="5" t="inlineStr">
        <is>
          <t>Relevant to page intent</t>
        </is>
      </c>
      <c r="N56" s="5" t="inlineStr">
        <is>
          <t>Nous abordons chaque projet FinTech par la sécurité et la conformité, pas seulement par l'interface : architecture de tokenisation, détection de fraude, workflows KYC/AML et pistes d'audit font partie</t>
        </is>
      </c>
      <c r="O56" t="inlineStr">
        <is>
          <t>P2</t>
        </is>
      </c>
      <c r="P56" t="inlineStr">
        <is>
          <t>FAQPage JSON-LD</t>
        </is>
      </c>
    </row>
    <row r="57">
      <c r="A57" s="3" t="inlineStr">
        <is>
          <t>https://codesommet.com/services/fintech-platform-development</t>
        </is>
      </c>
      <c r="B57" t="inlineStr">
        <is>
          <t>Existing</t>
        </is>
      </c>
      <c r="C57" s="5" t="inlineStr">
        <is>
          <t>Comment gérez-vous le reporting réglementaire et les pistes d'audit ?</t>
        </is>
      </c>
      <c r="D57" t="inlineStr">
        <is>
          <t>développement fintech</t>
        </is>
      </c>
      <c r="E57" t="inlineStr">
        <is>
          <t>fr</t>
        </is>
      </c>
      <c r="F57" s="5" t="inlineStr"/>
      <c r="G57" t="n">
        <v>0</v>
      </c>
      <c r="H57" t="inlineStr">
        <is>
          <t>NOT AVAILABLE</t>
        </is>
      </c>
      <c r="I57" t="inlineStr">
        <is>
          <t>Service scope</t>
        </is>
      </c>
      <c r="J57" t="inlineStr">
        <is>
          <t>MEASURED</t>
        </is>
      </c>
      <c r="K57">
        <f>ROUND(IF(ISNUMBER(G57),MIN(50,ROUND(50*LOG10(G57+1)/4,1)),5)+IF(ISNUMBER(H57),ROUND(30*(100-H57)/100,1),15)+IF(B57="New",20,10),0)</f>
        <v/>
      </c>
      <c r="L57" t="inlineStr">
        <is>
          <t>KEEP</t>
        </is>
      </c>
      <c r="M57" s="5" t="inlineStr">
        <is>
          <t>Relevant to page intent</t>
        </is>
      </c>
      <c r="N57" s="5" t="inlineStr">
        <is>
          <t>Nous construisons des pistes d'audit immuables qui tracent chaque transaction, chaque changement de statut et chaque action administrateur. Un tableau de bord de conformité permet de surveiller les tr</t>
        </is>
      </c>
      <c r="O57" t="inlineStr">
        <is>
          <t>P2</t>
        </is>
      </c>
      <c r="P57" t="inlineStr">
        <is>
          <t>FAQPage JSON-LD</t>
        </is>
      </c>
    </row>
    <row r="58">
      <c r="A58" s="3" t="inlineStr">
        <is>
          <t>https://codesommet.com/services/fintech-website-development</t>
        </is>
      </c>
      <c r="B58" t="inlineStr">
        <is>
          <t>Existing</t>
        </is>
      </c>
      <c r="C58" s="5" t="inlineStr">
        <is>
          <t>Le site peut-il présenter plusieurs produits ou offres financières ?</t>
        </is>
      </c>
      <c r="D58" t="inlineStr">
        <is>
          <t>site web fintech</t>
        </is>
      </c>
      <c r="E58" t="inlineStr">
        <is>
          <t>fr</t>
        </is>
      </c>
      <c r="F58" s="5" t="inlineStr"/>
      <c r="G58" t="n">
        <v>30</v>
      </c>
      <c r="H58" t="inlineStr">
        <is>
          <t>NOT AVAILABLE</t>
        </is>
      </c>
      <c r="I58" t="inlineStr">
        <is>
          <t>Service scope</t>
        </is>
      </c>
      <c r="J58" t="inlineStr">
        <is>
          <t>MEASURED</t>
        </is>
      </c>
      <c r="K58">
        <f>ROUND(IF(ISNUMBER(G58),MIN(50,ROUND(50*LOG10(G58+1)/4,1)),5)+IF(ISNUMBER(H58),ROUND(30*(100-H58)/100,1),15)+IF(B58="New",20,10),0)</f>
        <v/>
      </c>
      <c r="L58" t="inlineStr">
        <is>
          <t>KEEP</t>
        </is>
      </c>
      <c r="M58" s="5" t="inlineStr">
        <is>
          <t>Relevant to page intent</t>
        </is>
      </c>
      <c r="N58" s="5" t="inlineStr">
        <is>
          <t>Oui. Nous structurons une page par produit ou service (compte, paiement, crédit, investissement…) avec ses conditions, ses avantages et un appel à l'action dédié, plus une page comparative si vous pro</t>
        </is>
      </c>
      <c r="O58" t="inlineStr">
        <is>
          <t>P2</t>
        </is>
      </c>
      <c r="P58" t="inlineStr">
        <is>
          <t>FAQPage JSON-LD</t>
        </is>
      </c>
    </row>
    <row r="59">
      <c r="A59" s="3" t="inlineStr">
        <is>
          <t>https://codesommet.com/services/fintech-website-development</t>
        </is>
      </c>
      <c r="B59" t="inlineStr">
        <is>
          <t>Existing</t>
        </is>
      </c>
      <c r="C59" s="5" t="inlineStr">
        <is>
          <t>Le site peut-il inclure une calculatrice de tarifs ou un simulateur pour nos visiteurs ?</t>
        </is>
      </c>
      <c r="D59" t="inlineStr">
        <is>
          <t>site web fintech</t>
        </is>
      </c>
      <c r="E59" t="inlineStr">
        <is>
          <t>fr</t>
        </is>
      </c>
      <c r="F59" s="5" t="inlineStr"/>
      <c r="G59" t="n">
        <v>30</v>
      </c>
      <c r="H59" t="inlineStr">
        <is>
          <t>NOT AVAILABLE</t>
        </is>
      </c>
      <c r="I59" t="inlineStr">
        <is>
          <t>Price</t>
        </is>
      </c>
      <c r="J59" t="inlineStr">
        <is>
          <t>MEASURED</t>
        </is>
      </c>
      <c r="K59">
        <f>ROUND(IF(ISNUMBER(G59),MIN(50,ROUND(50*LOG10(G59+1)/4,1)),5)+IF(ISNUMBER(H59),ROUND(30*(100-H59)/100,1),15)+IF(B59="New",20,10),0)</f>
        <v/>
      </c>
      <c r="L59" t="inlineStr">
        <is>
          <t>KEEP</t>
        </is>
      </c>
      <c r="M59" s="5" t="inlineStr">
        <is>
          <t>Matches measured pre-purchase demand</t>
        </is>
      </c>
      <c r="N59" s="5" t="inlineStr">
        <is>
          <t>Oui, nous intégrons des simulateurs de tarifs ou des calculateurs de coûts directement dans vos pages de service, pour que le visiteur obtienne une estimation immédiate sans avoir à remplir un formula</t>
        </is>
      </c>
      <c r="O59" t="inlineStr">
        <is>
          <t>P2</t>
        </is>
      </c>
      <c r="P59" t="inlineStr">
        <is>
          <t>FAQPage JSON-LD</t>
        </is>
      </c>
    </row>
    <row r="60">
      <c r="A60" s="3" t="inlineStr">
        <is>
          <t>https://codesommet.com/services/fintech-website-development</t>
        </is>
      </c>
      <c r="B60" t="inlineStr">
        <is>
          <t>Existing</t>
        </is>
      </c>
      <c r="C60" s="5" t="inlineStr">
        <is>
          <t>Comment présentez-vous nos certifications de conformité sur le site ?</t>
        </is>
      </c>
      <c r="D60" t="inlineStr">
        <is>
          <t>site web fintech</t>
        </is>
      </c>
      <c r="E60" t="inlineStr">
        <is>
          <t>fr</t>
        </is>
      </c>
      <c r="F60" s="5" t="inlineStr"/>
      <c r="G60" t="n">
        <v>30</v>
      </c>
      <c r="H60" t="inlineStr">
        <is>
          <t>NOT AVAILABLE</t>
        </is>
      </c>
      <c r="I60" t="inlineStr">
        <is>
          <t>Compliance / security</t>
        </is>
      </c>
      <c r="J60" t="inlineStr">
        <is>
          <t>MEASURED</t>
        </is>
      </c>
      <c r="K60">
        <f>ROUND(IF(ISNUMBER(G60),MIN(50,ROUND(50*LOG10(G60+1)/4,1)),5)+IF(ISNUMBER(H60),ROUND(30*(100-H60)/100,1),15)+IF(B60="New",20,10),0)</f>
        <v/>
      </c>
      <c r="L60" t="inlineStr">
        <is>
          <t>KEEP</t>
        </is>
      </c>
      <c r="M60" s="5" t="inlineStr">
        <is>
          <t>Relevant to page intent</t>
        </is>
      </c>
      <c r="N60" s="5" t="inlineStr">
        <is>
          <t>Nous créons des blocs de réassurance dédiés — badges PCI-DSS, mentions de licences, liens vers vos certifications — positionnés aux endroits où les visiteurs cherchent activement des preuves de sérieu</t>
        </is>
      </c>
      <c r="O60" t="inlineStr">
        <is>
          <t>P2</t>
        </is>
      </c>
      <c r="P60" t="inlineStr">
        <is>
          <t>FAQPage JSON-LD</t>
        </is>
      </c>
    </row>
    <row r="61">
      <c r="A61" s="3" t="inlineStr">
        <is>
          <t>https://codesommet.com/services/fintech-website-development</t>
        </is>
      </c>
      <c r="B61" t="inlineStr">
        <is>
          <t>Existing</t>
        </is>
      </c>
      <c r="C61" s="5" t="inlineStr">
        <is>
          <t>Comment rassurer un visiteur avant qu'il ne nous contacte ?</t>
        </is>
      </c>
      <c r="D61" t="inlineStr">
        <is>
          <t>site web fintech</t>
        </is>
      </c>
      <c r="E61" t="inlineStr">
        <is>
          <t>fr</t>
        </is>
      </c>
      <c r="F61" s="5" t="inlineStr"/>
      <c r="G61" t="n">
        <v>30</v>
      </c>
      <c r="H61" t="inlineStr">
        <is>
          <t>NOT AVAILABLE</t>
        </is>
      </c>
      <c r="I61" t="inlineStr">
        <is>
          <t>Service scope</t>
        </is>
      </c>
      <c r="J61" t="inlineStr">
        <is>
          <t>MEASURED</t>
        </is>
      </c>
      <c r="K61">
        <f>ROUND(IF(ISNUMBER(G61),MIN(50,ROUND(50*LOG10(G61+1)/4,1)),5)+IF(ISNUMBER(H61),ROUND(30*(100-H61)/100,1),15)+IF(B61="New",20,10),0)</f>
        <v/>
      </c>
      <c r="L61" t="inlineStr">
        <is>
          <t>KEEP</t>
        </is>
      </c>
      <c r="M61" s="5" t="inlineStr">
        <is>
          <t>Relevant to page intent</t>
        </is>
      </c>
      <c r="N61" s="5" t="inlineStr">
        <is>
          <t>Par des signaux visibles dès la première page : mentions de sécurité et de conformité, équipe et partenaires identifiés, références clients réelles, mentions légales complètes et un discours clair sur</t>
        </is>
      </c>
      <c r="O61" t="inlineStr">
        <is>
          <t>P2</t>
        </is>
      </c>
      <c r="P61" t="inlineStr">
        <is>
          <t>FAQPage JSON-LD</t>
        </is>
      </c>
    </row>
    <row r="62">
      <c r="A62" s="3" t="inlineStr">
        <is>
          <t>https://codesommet.com/services/fintech-website-development</t>
        </is>
      </c>
      <c r="B62" t="inlineStr">
        <is>
          <t>Existing</t>
        </is>
      </c>
      <c r="C62" s="5" t="inlineStr">
        <is>
          <t>Combien de temps prend la création d'un site web fintech standard ?</t>
        </is>
      </c>
      <c r="D62" t="inlineStr">
        <is>
          <t>site web fintech</t>
        </is>
      </c>
      <c r="E62" t="inlineStr">
        <is>
          <t>fr</t>
        </is>
      </c>
      <c r="F62" s="5" t="inlineStr"/>
      <c r="G62" t="n">
        <v>30</v>
      </c>
      <c r="H62" t="inlineStr">
        <is>
          <t>NOT AVAILABLE</t>
        </is>
      </c>
      <c r="I62" t="inlineStr">
        <is>
          <t>Timeline</t>
        </is>
      </c>
      <c r="J62" t="inlineStr">
        <is>
          <t>MEASURED</t>
        </is>
      </c>
      <c r="K62">
        <f>ROUND(IF(ISNUMBER(G62),MIN(50,ROUND(50*LOG10(G62+1)/4,1)),5)+IF(ISNUMBER(H62),ROUND(30*(100-H62)/100,1),15)+IF(B62="New",20,10),0)</f>
        <v/>
      </c>
      <c r="L62" t="inlineStr">
        <is>
          <t>KEEP</t>
        </is>
      </c>
      <c r="M62" s="5" t="inlineStr">
        <is>
          <t>Matches measured pre-purchase demand</t>
        </is>
      </c>
      <c r="N62" s="5" t="inlineStr">
        <is>
          <t xml:space="preserve">Le délai dépend du nombre de pages et de fonctionnalités (simulateurs, formulaires, contenus de conformité) ; nous le confirmons précisément lors de l'appel découverte selon la portée exacte de votre </t>
        </is>
      </c>
      <c r="O62" t="inlineStr">
        <is>
          <t>P2</t>
        </is>
      </c>
      <c r="P62" t="inlineStr">
        <is>
          <t>FAQPage JSON-LD</t>
        </is>
      </c>
    </row>
    <row r="63">
      <c r="A63" s="3" t="inlineStr">
        <is>
          <t>https://codesommet.com/services/fintech-website-development</t>
        </is>
      </c>
      <c r="B63" t="inlineStr">
        <is>
          <t>Existing</t>
        </is>
      </c>
      <c r="C63" s="5" t="inlineStr">
        <is>
          <t>Le site peut-il être multilingue et adapté à plusieurs pays ?</t>
        </is>
      </c>
      <c r="D63" t="inlineStr">
        <is>
          <t>site web fintech</t>
        </is>
      </c>
      <c r="E63" t="inlineStr">
        <is>
          <t>fr</t>
        </is>
      </c>
      <c r="F63" s="5" t="inlineStr"/>
      <c r="G63" t="n">
        <v>30</v>
      </c>
      <c r="H63" t="inlineStr">
        <is>
          <t>NOT AVAILABLE</t>
        </is>
      </c>
      <c r="I63" t="inlineStr">
        <is>
          <t>Service scope</t>
        </is>
      </c>
      <c r="J63" t="inlineStr">
        <is>
          <t>MEASURED</t>
        </is>
      </c>
      <c r="K63">
        <f>ROUND(IF(ISNUMBER(G63),MIN(50,ROUND(50*LOG10(G63+1)/4,1)),5)+IF(ISNUMBER(H63),ROUND(30*(100-H63)/100,1),15)+IF(B63="New",20,10),0)</f>
        <v/>
      </c>
      <c r="L63" t="inlineStr">
        <is>
          <t>KEEP</t>
        </is>
      </c>
      <c r="M63" s="5" t="inlineStr">
        <is>
          <t>Relevant to page intent</t>
        </is>
      </c>
      <c r="N63" s="5" t="inlineStr">
        <is>
          <t>Oui. Le site peut être proposé en plusieurs langues avec des contenus, des mentions réglementaires et des devises adaptés à chaque pays cible, et une structure d'URL prévue pour le référencement inter</t>
        </is>
      </c>
      <c r="O63" t="inlineStr">
        <is>
          <t>P2</t>
        </is>
      </c>
      <c r="P63" t="inlineStr">
        <is>
          <t>FAQPage JSON-LD</t>
        </is>
      </c>
    </row>
    <row r="64">
      <c r="A64" s="3" t="inlineStr">
        <is>
          <t>https://codesommet.com/services/fintech-website-development</t>
        </is>
      </c>
      <c r="B64" t="inlineStr">
        <is>
          <t>Existing</t>
        </is>
      </c>
      <c r="C64" s="5" t="inlineStr">
        <is>
          <t>Qu'est-ce qui différencie vos sites web fintech des templates génériques ?</t>
        </is>
      </c>
      <c r="D64" t="inlineStr">
        <is>
          <t>site web fintech</t>
        </is>
      </c>
      <c r="E64" t="inlineStr">
        <is>
          <t>fr</t>
        </is>
      </c>
      <c r="F64" s="5" t="inlineStr"/>
      <c r="G64" t="n">
        <v>30</v>
      </c>
      <c r="H64" t="inlineStr">
        <is>
          <t>NOT AVAILABLE</t>
        </is>
      </c>
      <c r="I64" t="inlineStr">
        <is>
          <t>Differentiation</t>
        </is>
      </c>
      <c r="J64" t="inlineStr">
        <is>
          <t>MEASURED</t>
        </is>
      </c>
      <c r="K64">
        <f>ROUND(IF(ISNUMBER(G64),MIN(50,ROUND(50*LOG10(G64+1)/4,1)),5)+IF(ISNUMBER(H64),ROUND(30*(100-H64)/100,1),15)+IF(B64="New",20,10),0)</f>
        <v/>
      </c>
      <c r="L64" t="inlineStr">
        <is>
          <t>KEEP</t>
        </is>
      </c>
      <c r="M64" s="5" t="inlineStr">
        <is>
          <t>Relevant to page intent</t>
        </is>
      </c>
      <c r="N64" s="5" t="inlineStr">
        <is>
          <t>Nous concevons chaque page pour la confiance et la conversion d'une audience financière prudente : mise en avant des certifications, parcours de lead clair et messages de sécurité pensés spécifiquemen</t>
        </is>
      </c>
      <c r="O64" t="inlineStr">
        <is>
          <t>P2</t>
        </is>
      </c>
      <c r="P64" t="inlineStr">
        <is>
          <t>FAQPage JSON-LD</t>
        </is>
      </c>
    </row>
    <row r="65">
      <c r="A65" s="3" t="inlineStr">
        <is>
          <t>https://codesommet.com/services/fintech-website-development</t>
        </is>
      </c>
      <c r="B65" t="inlineStr">
        <is>
          <t>Existing</t>
        </is>
      </c>
      <c r="C65" s="5" t="inlineStr">
        <is>
          <t>Pouvez-vous nous aider à communiquer notre conformité réglementaire aux visiteurs du site ?</t>
        </is>
      </c>
      <c r="D65" t="inlineStr">
        <is>
          <t>site web fintech</t>
        </is>
      </c>
      <c r="E65" t="inlineStr">
        <is>
          <t>fr</t>
        </is>
      </c>
      <c r="F65" s="5" t="inlineStr"/>
      <c r="G65" t="n">
        <v>30</v>
      </c>
      <c r="H65" t="inlineStr">
        <is>
          <t>NOT AVAILABLE</t>
        </is>
      </c>
      <c r="I65" t="inlineStr">
        <is>
          <t>Compliance / security</t>
        </is>
      </c>
      <c r="J65" t="inlineStr">
        <is>
          <t>MEASURED</t>
        </is>
      </c>
      <c r="K65">
        <f>ROUND(IF(ISNUMBER(G65),MIN(50,ROUND(50*LOG10(G65+1)/4,1)),5)+IF(ISNUMBER(H65),ROUND(30*(100-H65)/100,1),15)+IF(B65="New",20,10),0)</f>
        <v/>
      </c>
      <c r="L65" t="inlineStr">
        <is>
          <t>KEEP</t>
        </is>
      </c>
      <c r="M65" s="5" t="inlineStr">
        <is>
          <t>Relevant to page intent</t>
        </is>
      </c>
      <c r="N65" s="5" t="inlineStr">
        <is>
          <t>Oui — nous traduisons vos certifications et licences existantes en messages clairs et en éléments visuels de réassurance sur le site. Nous ne délivrons pas les certifications elles-mêmes, nous les met</t>
        </is>
      </c>
      <c r="O65" t="inlineStr">
        <is>
          <t>P2</t>
        </is>
      </c>
      <c r="P65" t="inlineStr">
        <is>
          <t>FAQPage JSON-LD</t>
        </is>
      </c>
    </row>
    <row r="66">
      <c r="A66" s="3" t="inlineStr">
        <is>
          <t>https://codesommet.com/services/healthcare-website-development</t>
        </is>
      </c>
      <c r="B66" t="inlineStr">
        <is>
          <t>Existing</t>
        </is>
      </c>
      <c r="C66" s="5" t="inlineStr">
        <is>
          <t>Combien de temps faut-il pour construire un site web de santé ?</t>
        </is>
      </c>
      <c r="D66" t="inlineStr">
        <is>
          <t>site web santé</t>
        </is>
      </c>
      <c r="E66" t="inlineStr">
        <is>
          <t>fr</t>
        </is>
      </c>
      <c r="F66" s="5" t="inlineStr"/>
      <c r="G66" t="n">
        <v>30</v>
      </c>
      <c r="H66" t="inlineStr">
        <is>
          <t>NOT AVAILABLE</t>
        </is>
      </c>
      <c r="I66" t="inlineStr">
        <is>
          <t>Timeline</t>
        </is>
      </c>
      <c r="J66" t="inlineStr">
        <is>
          <t>MEASURED</t>
        </is>
      </c>
      <c r="K66">
        <f>ROUND(IF(ISNUMBER(G66),MIN(50,ROUND(50*LOG10(G66+1)/4,1)),5)+IF(ISNUMBER(H66),ROUND(30*(100-H66)/100,1),15)+IF(B66="New",20,10),0)</f>
        <v/>
      </c>
      <c r="L66" t="inlineStr">
        <is>
          <t>KEEP</t>
        </is>
      </c>
      <c r="M66" s="5" t="inlineStr">
        <is>
          <t>Matches measured pre-purchase demand</t>
        </is>
      </c>
      <c r="N66" s="5" t="inlineStr">
        <is>
          <t>Pour un site vitrine de cabinet ou de clinique avec prise de rendez-vous et pages de services, nous livrons généralement en 2-5 jours (2 jours seulement avec notre formule express) une fois les conten</t>
        </is>
      </c>
      <c r="O66" t="inlineStr">
        <is>
          <t>P2</t>
        </is>
      </c>
      <c r="P66" t="inlineStr">
        <is>
          <t>FAQPage JSON-LD</t>
        </is>
      </c>
    </row>
    <row r="67">
      <c r="A67" s="3" t="inlineStr">
        <is>
          <t>https://codesommet.com/services/healthcare-website-development</t>
        </is>
      </c>
      <c r="B67" t="inlineStr">
        <is>
          <t>Existing</t>
        </is>
      </c>
      <c r="C67" s="5" t="inlineStr">
        <is>
          <t>Le site respecte-t-il les exigences HIPAA et RGPD pour les données patients ?</t>
        </is>
      </c>
      <c r="D67" t="inlineStr">
        <is>
          <t>agence web santé</t>
        </is>
      </c>
      <c r="E67" t="inlineStr">
        <is>
          <t>fr</t>
        </is>
      </c>
      <c r="F67" s="5" t="inlineStr"/>
      <c r="G67" t="n">
        <v>590</v>
      </c>
      <c r="H67" t="n">
        <v>28</v>
      </c>
      <c r="I67" t="inlineStr">
        <is>
          <t>Compliance / security</t>
        </is>
      </c>
      <c r="J67" t="inlineStr">
        <is>
          <t>MEASURED</t>
        </is>
      </c>
      <c r="K67">
        <f>ROUND(IF(ISNUMBER(G67),MIN(50,ROUND(50*LOG10(G67+1)/4,1)),5)+IF(ISNUMBER(H67),ROUND(30*(100-H67)/100,1),15)+IF(B67="New",20,10),0)</f>
        <v/>
      </c>
      <c r="L67" t="inlineStr">
        <is>
          <t>KEEP</t>
        </is>
      </c>
      <c r="M67" s="5" t="inlineStr">
        <is>
          <t>Relevant to page intent</t>
        </is>
      </c>
      <c r="N67" s="5" t="inlineStr">
        <is>
          <t>Nous concevons chaque site de santé selon les bonnes pratiques HIPAA et RGPD : communications chiffrées, contrôles d'accès, journaux d'audit et hébergement sécurisé des données patients. Les formulair</t>
        </is>
      </c>
      <c r="O67" t="inlineStr">
        <is>
          <t>P2</t>
        </is>
      </c>
      <c r="P67" t="inlineStr">
        <is>
          <t>FAQPage JSON-LD</t>
        </is>
      </c>
    </row>
    <row r="68">
      <c r="A68" s="3" t="inlineStr">
        <is>
          <t>https://codesommet.com/services/healthcare-website-development</t>
        </is>
      </c>
      <c r="B68" t="inlineStr">
        <is>
          <t>Existing</t>
        </is>
      </c>
      <c r="C68" s="5" t="inlineStr">
        <is>
          <t>Pouvez-vous vous intégrer avec notre système DSE existant ?</t>
        </is>
      </c>
      <c r="D68" t="inlineStr">
        <is>
          <t>agence web santé</t>
        </is>
      </c>
      <c r="E68" t="inlineStr">
        <is>
          <t>fr</t>
        </is>
      </c>
      <c r="F68" s="5" t="inlineStr"/>
      <c r="G68" t="n">
        <v>590</v>
      </c>
      <c r="H68" t="n">
        <v>28</v>
      </c>
      <c r="I68" t="inlineStr">
        <is>
          <t>Service scope</t>
        </is>
      </c>
      <c r="J68" t="inlineStr">
        <is>
          <t>MEASURED</t>
        </is>
      </c>
      <c r="K68">
        <f>ROUND(IF(ISNUMBER(G68),MIN(50,ROUND(50*LOG10(G68+1)/4,1)),5)+IF(ISNUMBER(H68),ROUND(30*(100-H68)/100,1),15)+IF(B68="New",20,10),0)</f>
        <v/>
      </c>
      <c r="L68" t="inlineStr">
        <is>
          <t>KEEP</t>
        </is>
      </c>
      <c r="M68" s="5" t="inlineStr">
        <is>
          <t>Relevant to page intent</t>
        </is>
      </c>
      <c r="N68" s="5" t="inlineStr">
        <is>
          <t>Oui, lorsque votre DSE expose une interface d'intégration, nous pouvons connecter le site pour synchroniser les rendez-vous, les profils patients ou les résultats d'examens. La faisabilité et le périm</t>
        </is>
      </c>
      <c r="O68" t="inlineStr">
        <is>
          <t>P2</t>
        </is>
      </c>
      <c r="P68" t="inlineStr">
        <is>
          <t>FAQPage JSON-LD</t>
        </is>
      </c>
    </row>
    <row r="69">
      <c r="A69" s="3" t="inlineStr">
        <is>
          <t>https://codesommet.com/services/healthcare-website-development</t>
        </is>
      </c>
      <c r="B69" t="inlineStr">
        <is>
          <t>Existing</t>
        </is>
      </c>
      <c r="C69" s="5" t="inlineStr">
        <is>
          <t>Fournissez-vous une formation pour notre personnel ?</t>
        </is>
      </c>
      <c r="D69" t="inlineStr">
        <is>
          <t>agence web santé</t>
        </is>
      </c>
      <c r="E69" t="inlineStr">
        <is>
          <t>fr</t>
        </is>
      </c>
      <c r="F69" s="5" t="inlineStr"/>
      <c r="G69" t="n">
        <v>590</v>
      </c>
      <c r="H69" t="n">
        <v>28</v>
      </c>
      <c r="I69" t="inlineStr">
        <is>
          <t>Service scope</t>
        </is>
      </c>
      <c r="J69" t="inlineStr">
        <is>
          <t>MEASURED</t>
        </is>
      </c>
      <c r="K69">
        <f>ROUND(IF(ISNUMBER(G69),MIN(50,ROUND(50*LOG10(G69+1)/4,1)),5)+IF(ISNUMBER(H69),ROUND(30*(100-H69)/100,1),15)+IF(B69="New",20,10),0)</f>
        <v/>
      </c>
      <c r="L69" t="inlineStr">
        <is>
          <t>KEEP</t>
        </is>
      </c>
      <c r="M69" s="5" t="inlineStr">
        <is>
          <t>Relevant to page intent</t>
        </is>
      </c>
      <c r="N69" s="5" t="inlineStr">
        <is>
          <t xml:space="preserve">Oui, la formation du personnel fait partie de la phase de lancement. Nous montrons à votre équipe d'accueil comment mettre à jour les horaires, les disponibilités et les pages de services, et comment </t>
        </is>
      </c>
      <c r="O69" t="inlineStr">
        <is>
          <t>P2</t>
        </is>
      </c>
      <c r="P69" t="inlineStr">
        <is>
          <t>FAQPage JSON-LD</t>
        </is>
      </c>
    </row>
    <row r="70">
      <c r="A70" s="3" t="inlineStr">
        <is>
          <t>https://codesommet.com/services/healthcare-website-development</t>
        </is>
      </c>
      <c r="B70" t="inlineStr">
        <is>
          <t>Existing</t>
        </is>
      </c>
      <c r="C70" s="5" t="inlineStr">
        <is>
          <t>Les patients peuvent-ils réserver des rendez-vous en ligne 24h/24 ?</t>
        </is>
      </c>
      <c r="D70" t="inlineStr">
        <is>
          <t>agence web santé</t>
        </is>
      </c>
      <c r="E70" t="inlineStr">
        <is>
          <t>fr</t>
        </is>
      </c>
      <c r="F70" s="5" t="inlineStr"/>
      <c r="G70" t="n">
        <v>590</v>
      </c>
      <c r="H70" t="n">
        <v>28</v>
      </c>
      <c r="I70" t="inlineStr">
        <is>
          <t>Service scope</t>
        </is>
      </c>
      <c r="J70" t="inlineStr">
        <is>
          <t>MEASURED</t>
        </is>
      </c>
      <c r="K70">
        <f>ROUND(IF(ISNUMBER(G70),MIN(50,ROUND(50*LOG10(G70+1)/4,1)),5)+IF(ISNUMBER(H70),ROUND(30*(100-H70)/100,1),15)+IF(B70="New",20,10),0)</f>
        <v/>
      </c>
      <c r="L70" t="inlineStr">
        <is>
          <t>KEEP</t>
        </is>
      </c>
      <c r="M70" s="5" t="inlineStr">
        <is>
          <t>Relevant to page intent</t>
        </is>
      </c>
      <c r="N70" s="5" t="inlineStr">
        <is>
          <t xml:space="preserve">Oui, le système de prise de rendez-vous fonctionne en ligne 24h/24 avec disponibilité en temps réel, rappels automatisés par SMS ou e-mail et gestion des listes d'attente. Vous gardez la main sur les </t>
        </is>
      </c>
      <c r="O70" t="inlineStr">
        <is>
          <t>P2</t>
        </is>
      </c>
      <c r="P70" t="inlineStr">
        <is>
          <t>FAQPage JSON-LD</t>
        </is>
      </c>
    </row>
    <row r="71">
      <c r="A71" s="3" t="inlineStr">
        <is>
          <t>https://codesommet.com/services/healthcare-website-development</t>
        </is>
      </c>
      <c r="B71" t="inlineStr">
        <is>
          <t>Existing</t>
        </is>
      </c>
      <c r="C71" s="5" t="inlineStr">
        <is>
          <t>Comment la téléconsultation est-elle présentée sur le site ?</t>
        </is>
      </c>
      <c r="D71" t="inlineStr">
        <is>
          <t>agence web santé</t>
        </is>
      </c>
      <c r="E71" t="inlineStr">
        <is>
          <t>fr</t>
        </is>
      </c>
      <c r="F71" s="5" t="inlineStr"/>
      <c r="G71" t="n">
        <v>590</v>
      </c>
      <c r="H71" t="n">
        <v>28</v>
      </c>
      <c r="I71" t="inlineStr">
        <is>
          <t>Service scope</t>
        </is>
      </c>
      <c r="J71" t="inlineStr">
        <is>
          <t>MEASURED</t>
        </is>
      </c>
      <c r="K71">
        <f>ROUND(IF(ISNUMBER(G71),MIN(50,ROUND(50*LOG10(G71+1)/4,1)),5)+IF(ISNUMBER(H71),ROUND(30*(100-H71)/100,1),15)+IF(B71="New",20,10),0)</f>
        <v/>
      </c>
      <c r="L71" t="inlineStr">
        <is>
          <t>KEEP</t>
        </is>
      </c>
      <c r="M71" s="5" t="inlineStr">
        <is>
          <t>Relevant to page intent</t>
        </is>
      </c>
      <c r="N71" s="5" t="inlineStr">
        <is>
          <t>Sur un site de clinique ou de cabinet, la téléconsultation est proposée comme un service parmi les autres : un motif de rendez-vous dédié, une page qui explique le déroulement et un accès depuis l'esp</t>
        </is>
      </c>
      <c r="O71" t="inlineStr">
        <is>
          <t>P2</t>
        </is>
      </c>
      <c r="P71" t="inlineStr">
        <is>
          <t>FAQPage JSON-LD</t>
        </is>
      </c>
    </row>
    <row r="72">
      <c r="A72" s="3" t="inlineStr">
        <is>
          <t>https://codesommet.com/services/healthcare-website-development</t>
        </is>
      </c>
      <c r="B72" t="inlineStr">
        <is>
          <t>Existing</t>
        </is>
      </c>
      <c r="C72" s="5" t="inlineStr">
        <is>
          <t>Qu'est-ce qui vous différencie des autres développeurs web de santé ?</t>
        </is>
      </c>
      <c r="D72" t="inlineStr">
        <is>
          <t>site web santé</t>
        </is>
      </c>
      <c r="E72" t="inlineStr">
        <is>
          <t>fr</t>
        </is>
      </c>
      <c r="F72" s="5" t="inlineStr"/>
      <c r="G72" t="n">
        <v>30</v>
      </c>
      <c r="H72" t="inlineStr">
        <is>
          <t>NOT AVAILABLE</t>
        </is>
      </c>
      <c r="I72" t="inlineStr">
        <is>
          <t>Differentiation</t>
        </is>
      </c>
      <c r="J72" t="inlineStr">
        <is>
          <t>MEASURED</t>
        </is>
      </c>
      <c r="K72">
        <f>ROUND(IF(ISNUMBER(G72),MIN(50,ROUND(50*LOG10(G72+1)/4,1)),5)+IF(ISNUMBER(H72),ROUND(30*(100-H72)/100,1),15)+IF(B72="New",20,10),0)</f>
        <v/>
      </c>
      <c r="L72" t="inlineStr">
        <is>
          <t>KEEP</t>
        </is>
      </c>
      <c r="M72" s="5" t="inlineStr">
        <is>
          <t>Relevant to page intent</t>
        </is>
      </c>
      <c r="N72" s="5" t="inlineStr">
        <is>
          <t xml:space="preserve">Nous travaillons quotidiennement avec des cabinets, cliniques et hôpitaux, et nous intégrons dès la conception les contraintes propres à ce secteur : confidentialité des données, parcours de prise de </t>
        </is>
      </c>
      <c r="O72" t="inlineStr">
        <is>
          <t>P2</t>
        </is>
      </c>
      <c r="P72" t="inlineStr">
        <is>
          <t>FAQPage JSON-LD</t>
        </is>
      </c>
    </row>
    <row r="73">
      <c r="A73" s="3" t="inlineStr">
        <is>
          <t>https://codesommet.com/services/healthcare-website-development</t>
        </is>
      </c>
      <c r="B73" t="inlineStr">
        <is>
          <t>Existing</t>
        </is>
      </c>
      <c r="C73" s="5" t="inlineStr">
        <is>
          <t>Pouvez-vous aider à réduire nos taux d'absentéisme ?</t>
        </is>
      </c>
      <c r="D73" t="inlineStr">
        <is>
          <t>agence web santé</t>
        </is>
      </c>
      <c r="E73" t="inlineStr">
        <is>
          <t>fr</t>
        </is>
      </c>
      <c r="F73" s="5" t="inlineStr"/>
      <c r="G73" t="n">
        <v>590</v>
      </c>
      <c r="H73" t="n">
        <v>28</v>
      </c>
      <c r="I73" t="inlineStr">
        <is>
          <t>Service scope</t>
        </is>
      </c>
      <c r="J73" t="inlineStr">
        <is>
          <t>MEASURED</t>
        </is>
      </c>
      <c r="K73">
        <f>ROUND(IF(ISNUMBER(G73),MIN(50,ROUND(50*LOG10(G73+1)/4,1)),5)+IF(ISNUMBER(H73),ROUND(30*(100-H73)/100,1),15)+IF(B73="New",20,10),0)</f>
        <v/>
      </c>
      <c r="L73" t="inlineStr">
        <is>
          <t>KEEP</t>
        </is>
      </c>
      <c r="M73" s="5" t="inlineStr">
        <is>
          <t>Relevant to page intent</t>
        </is>
      </c>
      <c r="N73" s="5" t="inlineStr">
        <is>
          <t>Nous mettons en place des rappels automatisés par SMS et e-mail, une confirmation en un clic, une reprogrammation simple et une liste d'attente pour réattribuer les créneaux libérés. Ces mécanismes ai</t>
        </is>
      </c>
      <c r="O73" t="inlineStr">
        <is>
          <t>P2</t>
        </is>
      </c>
      <c r="P73" t="inlineStr">
        <is>
          <t>FAQPage JSON-LD</t>
        </is>
      </c>
    </row>
    <row r="74">
      <c r="A74" s="3" t="inlineStr">
        <is>
          <t>https://codesommet.com/services/healthcare-website-development</t>
        </is>
      </c>
      <c r="B74" t="inlineStr">
        <is>
          <t>New</t>
        </is>
      </c>
      <c r="C74" s="5" t="inlineStr">
        <is>
          <t>Combien coûte un site internet pour un médecin ou une clinique ?</t>
        </is>
      </c>
      <c r="D74" t="inlineStr">
        <is>
          <t>combien coute un site internet pour un médecin</t>
        </is>
      </c>
      <c r="E74" t="inlineStr">
        <is>
          <t>fr</t>
        </is>
      </c>
      <c r="F74" s="5" t="inlineStr">
        <is>
          <t>création site internet médecin [fr] 90; agence web santé [fr] 590</t>
        </is>
      </c>
      <c r="G74" t="inlineStr">
        <is>
          <t>NOT AVAILABLE</t>
        </is>
      </c>
      <c r="H74" t="inlineStr">
        <is>
          <t>NOT AVAILABLE</t>
        </is>
      </c>
      <c r="I74" t="inlineStr">
        <is>
          <t>Question</t>
        </is>
      </c>
      <c r="J74" t="inlineStr">
        <is>
          <t>UNAVAILABLE</t>
        </is>
      </c>
      <c r="K74">
        <f>ROUND(IF(ISNUMBER(G74),MIN(50,ROUND(50*LOG10(G74+1)/4,1)),5)+IF(ISNUMBER(H74),ROUND(30*(100-H74)/100,1),15)+IF(B74="New",20,10),0)</f>
        <v/>
      </c>
      <c r="L74" t="inlineStr">
        <is>
          <t>NEW</t>
        </is>
      </c>
      <c r="M74" s="5" t="inlineStr">
        <is>
          <t>Budget question from practitioners. | Why here: Commercial health page. | Internal link: /services/telemedicine-website-development</t>
        </is>
      </c>
      <c r="N74" s="5" t="inlineStr">
        <is>
          <t>Ranges, compliance (ethics rules, data protection), booking integration.</t>
        </is>
      </c>
      <c r="O74" t="inlineStr">
        <is>
          <t>P3</t>
        </is>
      </c>
      <c r="P74" t="inlineStr"/>
    </row>
    <row r="75">
      <c r="A75" s="3" t="inlineStr">
        <is>
          <t>https://codesommet.com/services/immigration-consultancy-website-development</t>
        </is>
      </c>
      <c r="B75" t="inlineStr">
        <is>
          <t>Existing</t>
        </is>
      </c>
      <c r="C75" s="5" t="inlineStr">
        <is>
          <t>Combien de temps faut-il pour construire un site web de conseil en immigration ?</t>
        </is>
      </c>
      <c r="D75" t="inlineStr">
        <is>
          <t>site web cabinet immigration</t>
        </is>
      </c>
      <c r="E75" t="inlineStr">
        <is>
          <t>fr</t>
        </is>
      </c>
      <c r="F75" s="5" t="inlineStr"/>
      <c r="G75" t="inlineStr">
        <is>
          <t>NOT AVAILABLE</t>
        </is>
      </c>
      <c r="H75" t="inlineStr">
        <is>
          <t>NOT AVAILABLE</t>
        </is>
      </c>
      <c r="I75" t="inlineStr">
        <is>
          <t>Timeline</t>
        </is>
      </c>
      <c r="J75" t="inlineStr">
        <is>
          <t>UNAVAILABLE</t>
        </is>
      </c>
      <c r="K75">
        <f>ROUND(IF(ISNUMBER(G75),MIN(50,ROUND(50*LOG10(G75+1)/4,1)),5)+IF(ISNUMBER(H75),ROUND(30*(100-H75)/100,1),15)+IF(B75="New",20,10),0)</f>
        <v/>
      </c>
      <c r="L75" t="inlineStr">
        <is>
          <t>KEEP</t>
        </is>
      </c>
      <c r="M75" s="5" t="inlineStr">
        <is>
          <t>Relevant to page intent</t>
        </is>
      </c>
      <c r="N75" s="5" t="inlineStr">
        <is>
          <t>Tout dépend du périmètre. Un site vitrine standard pour un cabinet de conseil en immigration (présentation des services par type de visa, formulaire de contact, prise de rendez-vous) peut être livré e</t>
        </is>
      </c>
      <c r="O75" t="inlineStr">
        <is>
          <t>P2</t>
        </is>
      </c>
      <c r="P75" t="inlineStr">
        <is>
          <t>FAQPage JSON-LD</t>
        </is>
      </c>
    </row>
    <row r="76">
      <c r="A76" s="3" t="inlineStr">
        <is>
          <t>https://codesommet.com/services/immigration-consultancy-website-development</t>
        </is>
      </c>
      <c r="B76" t="inlineStr">
        <is>
          <t>Existing</t>
        </is>
      </c>
      <c r="C76" s="5" t="inlineStr">
        <is>
          <t>Pouvez-vous construire des calculateurs d'éligibilité visa pour plusieurs pays ?</t>
        </is>
      </c>
      <c r="D76" t="inlineStr">
        <is>
          <t>site web cabinet immigration</t>
        </is>
      </c>
      <c r="E76" t="inlineStr">
        <is>
          <t>fr</t>
        </is>
      </c>
      <c r="F76" s="5" t="inlineStr"/>
      <c r="G76" t="inlineStr">
        <is>
          <t>NOT AVAILABLE</t>
        </is>
      </c>
      <c r="H76" t="inlineStr">
        <is>
          <t>NOT AVAILABLE</t>
        </is>
      </c>
      <c r="I76" t="inlineStr">
        <is>
          <t>Service scope</t>
        </is>
      </c>
      <c r="J76" t="inlineStr">
        <is>
          <t>UNAVAILABLE</t>
        </is>
      </c>
      <c r="K76">
        <f>ROUND(IF(ISNUMBER(G76),MIN(50,ROUND(50*LOG10(G76+1)/4,1)),5)+IF(ISNUMBER(H76),ROUND(30*(100-H76)/100,1),15)+IF(B76="New",20,10),0)</f>
        <v/>
      </c>
      <c r="L76" t="inlineStr">
        <is>
          <t>KEEP</t>
        </is>
      </c>
      <c r="M76" s="5" t="inlineStr">
        <is>
          <t>Relevant to page intent</t>
        </is>
      </c>
      <c r="N76" s="5" t="inlineStr">
        <is>
          <t>Oui. Chaque destination est configurée avec ses propres critères (âge, diplômes, expérience professionnelle, niveau de langue, fonds disponibles) et, pour les systèmes à points comme Entrée Express au</t>
        </is>
      </c>
      <c r="O76" t="inlineStr">
        <is>
          <t>P2</t>
        </is>
      </c>
      <c r="P76" t="inlineStr">
        <is>
          <t>FAQPage JSON-LD</t>
        </is>
      </c>
    </row>
    <row r="77">
      <c r="A77" s="3" t="inlineStr">
        <is>
          <t>https://codesommet.com/services/immigration-consultancy-website-development</t>
        </is>
      </c>
      <c r="B77" t="inlineStr">
        <is>
          <t>Existing</t>
        </is>
      </c>
      <c r="C77" s="5" t="inlineStr">
        <is>
          <t>Incluez-vous le suivi de dossiers et la gestion de documents ?</t>
        </is>
      </c>
      <c r="D77" t="inlineStr">
        <is>
          <t>site web cabinet immigration</t>
        </is>
      </c>
      <c r="E77" t="inlineStr">
        <is>
          <t>fr</t>
        </is>
      </c>
      <c r="F77" s="5" t="inlineStr"/>
      <c r="G77" t="inlineStr">
        <is>
          <t>NOT AVAILABLE</t>
        </is>
      </c>
      <c r="H77" t="inlineStr">
        <is>
          <t>NOT AVAILABLE</t>
        </is>
      </c>
      <c r="I77" t="inlineStr">
        <is>
          <t>Service scope</t>
        </is>
      </c>
      <c r="J77" t="inlineStr">
        <is>
          <t>UNAVAILABLE</t>
        </is>
      </c>
      <c r="K77">
        <f>ROUND(IF(ISNUMBER(G77),MIN(50,ROUND(50*LOG10(G77+1)/4,1)),5)+IF(ISNUMBER(H77),ROUND(30*(100-H77)/100,1),15)+IF(B77="New",20,10),0)</f>
        <v/>
      </c>
      <c r="L77" t="inlineStr">
        <is>
          <t>KEEP</t>
        </is>
      </c>
      <c r="M77" s="5" t="inlineStr">
        <is>
          <t>Relevant to page intent</t>
        </is>
      </c>
      <c r="N77" s="5" t="inlineStr">
        <is>
          <t>Oui, ce sont les deux briques centrales de nos plateformes d'immigration. Le suivi de dossiers affiche chaque demande dans un pipeline visuel (demande, documents, soumission, décision) avec des rappel</t>
        </is>
      </c>
      <c r="O77" t="inlineStr">
        <is>
          <t>P2</t>
        </is>
      </c>
      <c r="P77" t="inlineStr">
        <is>
          <t>FAQPage JSON-LD</t>
        </is>
      </c>
    </row>
    <row r="78">
      <c r="A78" s="3" t="inlineStr">
        <is>
          <t>https://codesommet.com/services/immigration-consultancy-website-development</t>
        </is>
      </c>
      <c r="B78" t="inlineStr">
        <is>
          <t>Existing</t>
        </is>
      </c>
      <c r="C78" s="5" t="inlineStr">
        <is>
          <t>Le chatbot IA peut-il gérer les requêtes de visa en plusieurs langues ?</t>
        </is>
      </c>
      <c r="D78" t="inlineStr">
        <is>
          <t>site web cabinet immigration</t>
        </is>
      </c>
      <c r="E78" t="inlineStr">
        <is>
          <t>fr</t>
        </is>
      </c>
      <c r="F78" s="5" t="inlineStr"/>
      <c r="G78" t="inlineStr">
        <is>
          <t>NOT AVAILABLE</t>
        </is>
      </c>
      <c r="H78" t="inlineStr">
        <is>
          <t>NOT AVAILABLE</t>
        </is>
      </c>
      <c r="I78" t="inlineStr">
        <is>
          <t>Service scope</t>
        </is>
      </c>
      <c r="J78" t="inlineStr">
        <is>
          <t>UNAVAILABLE</t>
        </is>
      </c>
      <c r="K78">
        <f>ROUND(IF(ISNUMBER(G78),MIN(50,ROUND(50*LOG10(G78+1)/4,1)),5)+IF(ISNUMBER(H78),ROUND(30*(100-H78)/100,1),15)+IF(B78="New",20,10),0)</f>
        <v/>
      </c>
      <c r="L78" t="inlineStr">
        <is>
          <t>KEEP</t>
        </is>
      </c>
      <c r="M78" s="5" t="inlineStr">
        <is>
          <t>Relevant to page intent</t>
        </is>
      </c>
      <c r="N78" s="5" t="inlineStr">
        <is>
          <t xml:space="preserve">Oui. Le chatbot est entraîné sur vos propres contenus (exigences par visa, calendriers, questions fréquentes) et répond dans les langues de votre clientèle, par exemple français, anglais et arabe. Il </t>
        </is>
      </c>
      <c r="O78" t="inlineStr">
        <is>
          <t>P2</t>
        </is>
      </c>
      <c r="P78" t="inlineStr">
        <is>
          <t>FAQPage JSON-LD</t>
        </is>
      </c>
    </row>
    <row r="79">
      <c r="A79" s="3" t="inlineStr">
        <is>
          <t>https://codesommet.com/services/immigration-consultancy-website-development</t>
        </is>
      </c>
      <c r="B79" t="inlineStr">
        <is>
          <t>Existing</t>
        </is>
      </c>
      <c r="C79" s="5" t="inlineStr">
        <is>
          <t>Comment assurez-vous la sécurité des données et la conformité RGPD ?</t>
        </is>
      </c>
      <c r="D79" t="inlineStr">
        <is>
          <t>site web cabinet immigration</t>
        </is>
      </c>
      <c r="E79" t="inlineStr">
        <is>
          <t>fr</t>
        </is>
      </c>
      <c r="F79" s="5" t="inlineStr"/>
      <c r="G79" t="inlineStr">
        <is>
          <t>NOT AVAILABLE</t>
        </is>
      </c>
      <c r="H79" t="inlineStr">
        <is>
          <t>NOT AVAILABLE</t>
        </is>
      </c>
      <c r="I79" t="inlineStr">
        <is>
          <t>Compliance / security</t>
        </is>
      </c>
      <c r="J79" t="inlineStr">
        <is>
          <t>UNAVAILABLE</t>
        </is>
      </c>
      <c r="K79">
        <f>ROUND(IF(ISNUMBER(G79),MIN(50,ROUND(50*LOG10(G79+1)/4,1)),5)+IF(ISNUMBER(H79),ROUND(30*(100-H79)/100,1),15)+IF(B79="New",20,10),0)</f>
        <v/>
      </c>
      <c r="L79" t="inlineStr">
        <is>
          <t>KEEP</t>
        </is>
      </c>
      <c r="M79" s="5" t="inlineStr">
        <is>
          <t>Relevant to page intent</t>
        </is>
      </c>
      <c r="N79" s="5" t="inlineStr">
        <is>
          <t>Les données d'un dossier d'immigration sont particulièrement sensibles, nous les traitons comme telles. Les documents sont stockés de manière chiffrée, l'accès est limité par rôle (client, conseiller,</t>
        </is>
      </c>
      <c r="O79" t="inlineStr">
        <is>
          <t>P2</t>
        </is>
      </c>
      <c r="P79" t="inlineStr">
        <is>
          <t>FAQPage JSON-LD</t>
        </is>
      </c>
    </row>
    <row r="80">
      <c r="A80" s="3" t="inlineStr">
        <is>
          <t>https://codesommet.com/services/immigration-consultancy-website-development</t>
        </is>
      </c>
      <c r="B80" t="inlineStr">
        <is>
          <t>Existing</t>
        </is>
      </c>
      <c r="C80" s="5" t="inlineStr">
        <is>
          <t>Pouvez-vous vous intégrer avec des systèmes CRM comme HubSpot ou Salesforce ?</t>
        </is>
      </c>
      <c r="D80" t="inlineStr">
        <is>
          <t>site web cabinet immigration</t>
        </is>
      </c>
      <c r="E80" t="inlineStr">
        <is>
          <t>fr</t>
        </is>
      </c>
      <c r="F80" s="5" t="inlineStr"/>
      <c r="G80" t="inlineStr">
        <is>
          <t>NOT AVAILABLE</t>
        </is>
      </c>
      <c r="H80" t="inlineStr">
        <is>
          <t>NOT AVAILABLE</t>
        </is>
      </c>
      <c r="I80" t="inlineStr">
        <is>
          <t>Service scope</t>
        </is>
      </c>
      <c r="J80" t="inlineStr">
        <is>
          <t>UNAVAILABLE</t>
        </is>
      </c>
      <c r="K80">
        <f>ROUND(IF(ISNUMBER(G80),MIN(50,ROUND(50*LOG10(G80+1)/4,1)),5)+IF(ISNUMBER(H80),ROUND(30*(100-H80)/100,1),15)+IF(B80="New",20,10),0)</f>
        <v/>
      </c>
      <c r="L80" t="inlineStr">
        <is>
          <t>KEEP</t>
        </is>
      </c>
      <c r="M80" s="5" t="inlineStr">
        <is>
          <t>Relevant to page intent</t>
        </is>
      </c>
      <c r="N80" s="5" t="inlineStr">
        <is>
          <t>Oui. Les leads qualifiés par le calculateur d'éligibilité ou le formulaire de contact peuvent être envoyés automatiquement vers votre CRM, qu'il s'agisse de HubSpot, Zoho, Salesforce ou d'un outil que</t>
        </is>
      </c>
      <c r="O80" t="inlineStr">
        <is>
          <t>P2</t>
        </is>
      </c>
      <c r="P80" t="inlineStr">
        <is>
          <t>FAQPage JSON-LD</t>
        </is>
      </c>
    </row>
    <row r="81">
      <c r="A81" s="3" t="inlineStr">
        <is>
          <t>https://codesommet.com/services/immigration-consultancy-website-development</t>
        </is>
      </c>
      <c r="B81" t="inlineStr">
        <is>
          <t>Existing</t>
        </is>
      </c>
      <c r="C81" s="5" t="inlineStr">
        <is>
          <t>Supportez-vous plusieurs types de visa par pays ?</t>
        </is>
      </c>
      <c r="D81" t="inlineStr">
        <is>
          <t>site web cabinet immigration</t>
        </is>
      </c>
      <c r="E81" t="inlineStr">
        <is>
          <t>fr</t>
        </is>
      </c>
      <c r="F81" s="5" t="inlineStr"/>
      <c r="G81" t="inlineStr">
        <is>
          <t>NOT AVAILABLE</t>
        </is>
      </c>
      <c r="H81" t="inlineStr">
        <is>
          <t>NOT AVAILABLE</t>
        </is>
      </c>
      <c r="I81" t="inlineStr">
        <is>
          <t>Support</t>
        </is>
      </c>
      <c r="J81" t="inlineStr">
        <is>
          <t>UNAVAILABLE</t>
        </is>
      </c>
      <c r="K81">
        <f>ROUND(IF(ISNUMBER(G81),MIN(50,ROUND(50*LOG10(G81+1)/4,1)),5)+IF(ISNUMBER(H81),ROUND(30*(100-H81)/100,1),15)+IF(B81="New",20,10),0)</f>
        <v/>
      </c>
      <c r="L81" t="inlineStr">
        <is>
          <t>KEEP</t>
        </is>
      </c>
      <c r="M81" s="5" t="inlineStr">
        <is>
          <t>Relevant to page intent</t>
        </is>
      </c>
      <c r="N81" s="5" t="inlineStr">
        <is>
          <t>Oui. Le site est structuré par destination puis par type de visa (études, travail, regroupement familial, résidence permanente, visiteur, etc.), chacun ayant sa page dédiée, sa liste de documents et s</t>
        </is>
      </c>
      <c r="O81" t="inlineStr">
        <is>
          <t>P2</t>
        </is>
      </c>
      <c r="P81" t="inlineStr">
        <is>
          <t>FAQPage JSON-LD</t>
        </is>
      </c>
    </row>
    <row r="82">
      <c r="A82" s="3" t="inlineStr">
        <is>
          <t>https://codesommet.com/services/immigration-consultancy-website-development</t>
        </is>
      </c>
      <c r="B82" t="inlineStr">
        <is>
          <t>Existing</t>
        </is>
      </c>
      <c r="C82" s="5" t="inlineStr">
        <is>
          <t>Aidez-vous avec le SEO et Google Ads pour les sites web d'immigration ?</t>
        </is>
      </c>
      <c r="D82" t="inlineStr">
        <is>
          <t>site web cabinet immigration</t>
        </is>
      </c>
      <c r="E82" t="inlineStr">
        <is>
          <t>fr</t>
        </is>
      </c>
      <c r="F82" s="5" t="inlineStr"/>
      <c r="G82" t="inlineStr">
        <is>
          <t>NOT AVAILABLE</t>
        </is>
      </c>
      <c r="H82" t="inlineStr">
        <is>
          <t>NOT AVAILABLE</t>
        </is>
      </c>
      <c r="I82" t="inlineStr">
        <is>
          <t>SEO</t>
        </is>
      </c>
      <c r="J82" t="inlineStr">
        <is>
          <t>UNAVAILABLE</t>
        </is>
      </c>
      <c r="K82">
        <f>ROUND(IF(ISNUMBER(G82),MIN(50,ROUND(50*LOG10(G82+1)/4,1)),5)+IF(ISNUMBER(H82),ROUND(30*(100-H82)/100,1),15)+IF(B82="New",20,10),0)</f>
        <v/>
      </c>
      <c r="L82" t="inlineStr">
        <is>
          <t>KEEP</t>
        </is>
      </c>
      <c r="M82" s="5" t="inlineStr">
        <is>
          <t>Relevant to page intent</t>
        </is>
      </c>
      <c r="N82" s="5" t="inlineStr">
        <is>
          <t>Oui. Nous construisons le site autour des requêtes que tapent réellement vos prospects (pays, type de visa, ville) avec des pages dédiées, un contenu clair et des performances techniques solides. Pour</t>
        </is>
      </c>
      <c r="O82" t="inlineStr">
        <is>
          <t>P2</t>
        </is>
      </c>
      <c r="P82" t="inlineStr">
        <is>
          <t>FAQPage JSON-LD</t>
        </is>
      </c>
    </row>
    <row r="83">
      <c r="A83" s="3" t="inlineStr">
        <is>
          <t>https://codesommet.com/services/language-school-website-development</t>
        </is>
      </c>
      <c r="B83" t="inlineStr">
        <is>
          <t>Existing</t>
        </is>
      </c>
      <c r="C83" s="5" t="inlineStr">
        <is>
          <t>Combien de temps faut-il pour créer un site web d'école de langues ?</t>
        </is>
      </c>
      <c r="D83" t="inlineStr">
        <is>
          <t>site web école de langues</t>
        </is>
      </c>
      <c r="E83" t="inlineStr">
        <is>
          <t>fr</t>
        </is>
      </c>
      <c r="F83" s="5" t="inlineStr"/>
      <c r="G83" t="inlineStr">
        <is>
          <t>NOT AVAILABLE</t>
        </is>
      </c>
      <c r="H83" t="inlineStr">
        <is>
          <t>NOT AVAILABLE</t>
        </is>
      </c>
      <c r="I83" t="inlineStr">
        <is>
          <t>Timeline</t>
        </is>
      </c>
      <c r="J83" t="inlineStr">
        <is>
          <t>UNAVAILABLE</t>
        </is>
      </c>
      <c r="K83">
        <f>ROUND(IF(ISNUMBER(G83),MIN(50,ROUND(50*LOG10(G83+1)/4,1)),5)+IF(ISNUMBER(H83),ROUND(30*(100-H83)/100,1),15)+IF(B83="New",20,10),0)</f>
        <v/>
      </c>
      <c r="L83" t="inlineStr">
        <is>
          <t>KEEP</t>
        </is>
      </c>
      <c r="M83" s="5" t="inlineStr">
        <is>
          <t>Relevant to page intent</t>
        </is>
      </c>
      <c r="N83" s="5" t="inlineStr">
        <is>
          <t>Pour un site vitrine d'école de langues (présentation des cours, niveaux, horaires, formulaire de contact), nous livrons en 2-5 jours, voire en 2 jours avec notre formule express. Si votre projet incl</t>
        </is>
      </c>
      <c r="O83" t="inlineStr">
        <is>
          <t>P2</t>
        </is>
      </c>
      <c r="P83" t="inlineStr">
        <is>
          <t>FAQPage JSON-LD</t>
        </is>
      </c>
    </row>
    <row r="84">
      <c r="A84" s="3" t="inlineStr">
        <is>
          <t>https://codesommet.com/services/language-school-website-development</t>
        </is>
      </c>
      <c r="B84" t="inlineStr">
        <is>
          <t>Existing</t>
        </is>
      </c>
      <c r="C84" s="5" t="inlineStr">
        <is>
          <t>Fournissez-vous la rédaction de contenu pour les sites web éducatifs ?</t>
        </is>
      </c>
      <c r="D84" t="inlineStr">
        <is>
          <t>site web école de langues</t>
        </is>
      </c>
      <c r="E84" t="inlineStr">
        <is>
          <t>fr</t>
        </is>
      </c>
      <c r="F84" s="5" t="inlineStr"/>
      <c r="G84" t="inlineStr">
        <is>
          <t>NOT AVAILABLE</t>
        </is>
      </c>
      <c r="H84" t="inlineStr">
        <is>
          <t>NOT AVAILABLE</t>
        </is>
      </c>
      <c r="I84" t="inlineStr">
        <is>
          <t>Service scope</t>
        </is>
      </c>
      <c r="J84" t="inlineStr">
        <is>
          <t>UNAVAILABLE</t>
        </is>
      </c>
      <c r="K84">
        <f>ROUND(IF(ISNUMBER(G84),MIN(50,ROUND(50*LOG10(G84+1)/4,1)),5)+IF(ISNUMBER(H84),ROUND(30*(100-H84)/100,1),15)+IF(B84="New",20,10),0)</f>
        <v/>
      </c>
      <c r="L84" t="inlineStr">
        <is>
          <t>KEEP</t>
        </is>
      </c>
      <c r="M84" s="5" t="inlineStr">
        <is>
          <t>Relevant to page intent</t>
        </is>
      </c>
      <c r="N84" s="5" t="inlineStr">
        <is>
          <t>Oui. Nous rédigeons les pages de cours, les descriptions par niveau (A1 à C2), les présentations de formateurs et les textes d'appel à l'action, en gardant le ton de votre institut. Vous validez chaqu</t>
        </is>
      </c>
      <c r="O84" t="inlineStr">
        <is>
          <t>P2</t>
        </is>
      </c>
      <c r="P84" t="inlineStr">
        <is>
          <t>FAQPage JSON-LD</t>
        </is>
      </c>
    </row>
    <row r="85">
      <c r="A85" s="3" t="inlineStr">
        <is>
          <t>https://codesommet.com/services/language-school-website-development</t>
        </is>
      </c>
      <c r="B85" t="inlineStr">
        <is>
          <t>Existing</t>
        </is>
      </c>
      <c r="C85" s="5" t="inlineStr">
        <is>
          <t>Le chatbot IA peut-il gérer les requêtes étudiantes en plusieurs langues ?</t>
        </is>
      </c>
      <c r="D85" t="inlineStr">
        <is>
          <t>site web école de langues</t>
        </is>
      </c>
      <c r="E85" t="inlineStr">
        <is>
          <t>fr</t>
        </is>
      </c>
      <c r="F85" s="5" t="inlineStr"/>
      <c r="G85" t="inlineStr">
        <is>
          <t>NOT AVAILABLE</t>
        </is>
      </c>
      <c r="H85" t="inlineStr">
        <is>
          <t>NOT AVAILABLE</t>
        </is>
      </c>
      <c r="I85" t="inlineStr">
        <is>
          <t>Service scope</t>
        </is>
      </c>
      <c r="J85" t="inlineStr">
        <is>
          <t>UNAVAILABLE</t>
        </is>
      </c>
      <c r="K85">
        <f>ROUND(IF(ISNUMBER(G85),MIN(50,ROUND(50*LOG10(G85+1)/4,1)),5)+IF(ISNUMBER(H85),ROUND(30*(100-H85)/100,1),15)+IF(B85="New",20,10),0)</f>
        <v/>
      </c>
      <c r="L85" t="inlineStr">
        <is>
          <t>KEEP</t>
        </is>
      </c>
      <c r="M85" s="5" t="inlineStr">
        <is>
          <t>Relevant to page intent</t>
        </is>
      </c>
      <c r="N85" s="5" t="inlineStr">
        <is>
          <t>Oui. Le chatbot est entraîné sur vos cours, tarifs, calendrier et modalités d'inscription, et répond aux futurs élèves dans la langue de leur choix. Il peut orienter vers le bon niveau, proposer un cr</t>
        </is>
      </c>
      <c r="O85" t="inlineStr">
        <is>
          <t>P2</t>
        </is>
      </c>
      <c r="P85" t="inlineStr">
        <is>
          <t>FAQPage JSON-LD</t>
        </is>
      </c>
    </row>
    <row r="86">
      <c r="A86" s="3" t="inlineStr">
        <is>
          <t>https://codesommet.com/services/language-school-website-development</t>
        </is>
      </c>
      <c r="B86" t="inlineStr">
        <is>
          <t>Existing</t>
        </is>
      </c>
      <c r="C86" s="5" t="inlineStr">
        <is>
          <t>Quels systèmes CRM intégrez-vous ?</t>
        </is>
      </c>
      <c r="D86" t="inlineStr">
        <is>
          <t>site web école de langues</t>
        </is>
      </c>
      <c r="E86" t="inlineStr">
        <is>
          <t>fr</t>
        </is>
      </c>
      <c r="F86" s="5" t="inlineStr"/>
      <c r="G86" t="inlineStr">
        <is>
          <t>NOT AVAILABLE</t>
        </is>
      </c>
      <c r="H86" t="inlineStr">
        <is>
          <t>NOT AVAILABLE</t>
        </is>
      </c>
      <c r="I86" t="inlineStr">
        <is>
          <t>Service scope</t>
        </is>
      </c>
      <c r="J86" t="inlineStr">
        <is>
          <t>UNAVAILABLE</t>
        </is>
      </c>
      <c r="K86">
        <f>ROUND(IF(ISNUMBER(G86),MIN(50,ROUND(50*LOG10(G86+1)/4,1)),5)+IF(ISNUMBER(H86),ROUND(30*(100-H86)/100,1),15)+IF(B86="New",20,10),0)</f>
        <v/>
      </c>
      <c r="L86" t="inlineStr">
        <is>
          <t>KEEP</t>
        </is>
      </c>
      <c r="M86" s="5" t="inlineStr">
        <is>
          <t>Relevant to page intent</t>
        </is>
      </c>
      <c r="N86" s="5" t="inlineStr">
        <is>
          <t>Nous connectons votre site au CRM que vous utilisez déjà pour suivre les demandes d'inscription et les relances. Si vous n'en avez pas, nous pouvons mettre en place un tableau de bord simple pour gére</t>
        </is>
      </c>
      <c r="O86" t="inlineStr">
        <is>
          <t>P2</t>
        </is>
      </c>
      <c r="P86" t="inlineStr">
        <is>
          <t>FAQPage JSON-LD</t>
        </is>
      </c>
    </row>
    <row r="87">
      <c r="A87" s="3" t="inlineStr">
        <is>
          <t>https://codesommet.com/services/language-school-website-development</t>
        </is>
      </c>
      <c r="B87" t="inlineStr">
        <is>
          <t>Existing</t>
        </is>
      </c>
      <c r="C87" s="5" t="inlineStr">
        <is>
          <t>Pouvez-vous créer un système d'inscription en ligne aux cours avec choix du niveau et de l'horaire ?</t>
        </is>
      </c>
      <c r="D87" t="inlineStr">
        <is>
          <t>site web école de langues</t>
        </is>
      </c>
      <c r="E87" t="inlineStr">
        <is>
          <t>fr</t>
        </is>
      </c>
      <c r="F87" s="5" t="inlineStr"/>
      <c r="G87" t="inlineStr">
        <is>
          <t>NOT AVAILABLE</t>
        </is>
      </c>
      <c r="H87" t="inlineStr">
        <is>
          <t>NOT AVAILABLE</t>
        </is>
      </c>
      <c r="I87" t="inlineStr">
        <is>
          <t>Service scope</t>
        </is>
      </c>
      <c r="J87" t="inlineStr">
        <is>
          <t>UNAVAILABLE</t>
        </is>
      </c>
      <c r="K87">
        <f>ROUND(IF(ISNUMBER(G87),MIN(50,ROUND(50*LOG10(G87+1)/4,1)),5)+IF(ISNUMBER(H87),ROUND(30*(100-H87)/100,1),15)+IF(B87="New",20,10),0)</f>
        <v/>
      </c>
      <c r="L87" t="inlineStr">
        <is>
          <t>KEEP</t>
        </is>
      </c>
      <c r="M87" s="5" t="inlineStr">
        <is>
          <t>Relevant to page intent</t>
        </is>
      </c>
      <c r="N87" s="5" t="inlineStr">
        <is>
          <t>Oui. Nous concevons un parcours d'inscription où l'élève choisit sa langue, son niveau (avec test de placement en option), son format (présentiel, en ligne, intensif) et son créneau, puis règle en lig</t>
        </is>
      </c>
      <c r="O87" t="inlineStr">
        <is>
          <t>P2</t>
        </is>
      </c>
      <c r="P87" t="inlineStr">
        <is>
          <t>FAQPage JSON-LD</t>
        </is>
      </c>
    </row>
    <row r="88">
      <c r="A88" s="3" t="inlineStr">
        <is>
          <t>https://codesommet.com/services/language-school-website-development</t>
        </is>
      </c>
      <c r="B88" t="inlineStr">
        <is>
          <t>Existing</t>
        </is>
      </c>
      <c r="C88" s="5" t="inlineStr">
        <is>
          <t>Supportez-vous plusieurs devises et passerelles de paiement ?</t>
        </is>
      </c>
      <c r="D88" t="inlineStr">
        <is>
          <t>site web école de langues</t>
        </is>
      </c>
      <c r="E88" t="inlineStr">
        <is>
          <t>fr</t>
        </is>
      </c>
      <c r="F88" s="5" t="inlineStr"/>
      <c r="G88" t="inlineStr">
        <is>
          <t>NOT AVAILABLE</t>
        </is>
      </c>
      <c r="H88" t="inlineStr">
        <is>
          <t>NOT AVAILABLE</t>
        </is>
      </c>
      <c r="I88" t="inlineStr">
        <is>
          <t>Payment</t>
        </is>
      </c>
      <c r="J88" t="inlineStr">
        <is>
          <t>UNAVAILABLE</t>
        </is>
      </c>
      <c r="K88">
        <f>ROUND(IF(ISNUMBER(G88),MIN(50,ROUND(50*LOG10(G88+1)/4,1)),5)+IF(ISNUMBER(H88),ROUND(30*(100-H88)/100,1),15)+IF(B88="New",20,10),0)</f>
        <v/>
      </c>
      <c r="L88" t="inlineStr">
        <is>
          <t>KEEP</t>
        </is>
      </c>
      <c r="M88" s="5" t="inlineStr">
        <is>
          <t>Relevant to page intent</t>
        </is>
      </c>
      <c r="N88" s="5" t="inlineStr">
        <is>
          <t>Oui. Une école de langues accueille souvent des élèves de plusieurs pays : le site peut afficher les tarifs dans plusieurs devises et accepter les paiements par carte ou virement via une passerelle ad</t>
        </is>
      </c>
      <c r="O88" t="inlineStr">
        <is>
          <t>P2</t>
        </is>
      </c>
      <c r="P88" t="inlineStr">
        <is>
          <t>FAQPage JSON-LD</t>
        </is>
      </c>
    </row>
    <row r="89">
      <c r="A89" s="3" t="inlineStr">
        <is>
          <t>https://codesommet.com/services/language-school-website-development</t>
        </is>
      </c>
      <c r="B89" t="inlineStr">
        <is>
          <t>Existing</t>
        </is>
      </c>
      <c r="C89" s="5" t="inlineStr">
        <is>
          <t>Qu'est-ce qui vous différencie des autres développeurs web ?</t>
        </is>
      </c>
      <c r="D89" t="inlineStr">
        <is>
          <t>site web école de langues</t>
        </is>
      </c>
      <c r="E89" t="inlineStr">
        <is>
          <t>fr</t>
        </is>
      </c>
      <c r="F89" s="5" t="inlineStr"/>
      <c r="G89" t="inlineStr">
        <is>
          <t>NOT AVAILABLE</t>
        </is>
      </c>
      <c r="H89" t="inlineStr">
        <is>
          <t>NOT AVAILABLE</t>
        </is>
      </c>
      <c r="I89" t="inlineStr">
        <is>
          <t>Differentiation</t>
        </is>
      </c>
      <c r="J89" t="inlineStr">
        <is>
          <t>UNAVAILABLE</t>
        </is>
      </c>
      <c r="K89">
        <f>ROUND(IF(ISNUMBER(G89),MIN(50,ROUND(50*LOG10(G89+1)/4,1)),5)+IF(ISNUMBER(H89),ROUND(30*(100-H89)/100,1),15)+IF(B89="New",20,10),0)</f>
        <v/>
      </c>
      <c r="L89" t="inlineStr">
        <is>
          <t>KEEP</t>
        </is>
      </c>
      <c r="M89" s="5" t="inlineStr">
        <is>
          <t>Relevant to page intent</t>
        </is>
      </c>
      <c r="N89" s="5" t="inlineStr">
        <is>
          <t xml:space="preserve">Nous ne livrons pas un thème générique adapté à la hâte : chaque site est conçu autour du fonctionnement réel d'un institut linguistique, avec des catalogues par langue et par niveau, des horaires de </t>
        </is>
      </c>
      <c r="O89" t="inlineStr">
        <is>
          <t>P2</t>
        </is>
      </c>
      <c r="P89" t="inlineStr">
        <is>
          <t>FAQPage JSON-LD</t>
        </is>
      </c>
    </row>
    <row r="90">
      <c r="A90" s="3" t="inlineStr">
        <is>
          <t>https://codesommet.com/services/language-school-website-development</t>
        </is>
      </c>
      <c r="B90" t="inlineStr">
        <is>
          <t>Existing</t>
        </is>
      </c>
      <c r="C90" s="5" t="inlineStr">
        <is>
          <t>Pouvez-vous aider avec Google Ads et le SEO pour les sites web éducatifs ?</t>
        </is>
      </c>
      <c r="D90" t="inlineStr">
        <is>
          <t>agence seo maroc</t>
        </is>
      </c>
      <c r="E90" t="inlineStr">
        <is>
          <t>ma</t>
        </is>
      </c>
      <c r="F90" s="5" t="inlineStr"/>
      <c r="G90" t="n">
        <v>880</v>
      </c>
      <c r="H90" t="n">
        <v>44</v>
      </c>
      <c r="I90" t="inlineStr">
        <is>
          <t>SEO</t>
        </is>
      </c>
      <c r="J90" t="inlineStr">
        <is>
          <t>MEASURED</t>
        </is>
      </c>
      <c r="K90">
        <f>ROUND(IF(ISNUMBER(G90),MIN(50,ROUND(50*LOG10(G90+1)/4,1)),5)+IF(ISNUMBER(H90),ROUND(30*(100-H90)/100,1),15)+IF(B90="New",20,10),0)</f>
        <v/>
      </c>
      <c r="L90" t="inlineStr">
        <is>
          <t>KEEP</t>
        </is>
      </c>
      <c r="M90" s="5" t="inlineStr">
        <is>
          <t>Relevant to page intent</t>
        </is>
      </c>
      <c r="N90" s="5" t="inlineStr">
        <is>
          <t>Oui. Nous structurons le site pour qu'il se positionne sur les recherches de cours de langues dans votre ville et préparons des pages d'atterrissage dédiées à vos campagnes Google Ads (cours d'anglais</t>
        </is>
      </c>
      <c r="O90" t="inlineStr">
        <is>
          <t>P2</t>
        </is>
      </c>
      <c r="P90" t="inlineStr">
        <is>
          <t>FAQPage JSON-LD</t>
        </is>
      </c>
    </row>
    <row r="91">
      <c r="A91" s="3" t="inlineStr">
        <is>
          <t>https://codesommet.com/services/online-course-platform-development</t>
        </is>
      </c>
      <c r="B91" t="inlineStr">
        <is>
          <t>Existing</t>
        </is>
      </c>
      <c r="C91" s="5" t="inlineStr">
        <is>
          <t>Combien de temps faut-il pour migrer depuis Teachable ou Kajabi ?</t>
        </is>
      </c>
      <c r="D91" t="inlineStr">
        <is>
          <t>combien de temps pour créer un site internet</t>
        </is>
      </c>
      <c r="E91" t="inlineStr">
        <is>
          <t>fr</t>
        </is>
      </c>
      <c r="F91" s="5" t="inlineStr"/>
      <c r="G91" t="n">
        <v>90</v>
      </c>
      <c r="H91" t="n">
        <v>13</v>
      </c>
      <c r="I91" t="inlineStr">
        <is>
          <t>Timeline</t>
        </is>
      </c>
      <c r="J91" t="inlineStr">
        <is>
          <t>MEASURED</t>
        </is>
      </c>
      <c r="K91">
        <f>ROUND(IF(ISNUMBER(G91),MIN(50,ROUND(50*LOG10(G91+1)/4,1)),5)+IF(ISNUMBER(H91),ROUND(30*(100-H91)/100,1),15)+IF(B91="New",20,10),0)</f>
        <v/>
      </c>
      <c r="L91" t="inlineStr">
        <is>
          <t>KEEP</t>
        </is>
      </c>
      <c r="M91" s="5" t="inlineStr">
        <is>
          <t>Matches measured pre-purchase demand</t>
        </is>
      </c>
      <c r="N91" s="5" t="inlineStr">
        <is>
          <t>Cela dépend du volume de contenu à transférer et des fonctionnalités que vous souhaitez retrouver. La migration comprend l'export de vos cours, vidéos et fiches étudiants, leur import sur votre nouvel</t>
        </is>
      </c>
      <c r="O91" t="inlineStr">
        <is>
          <t>P2</t>
        </is>
      </c>
      <c r="P91" t="inlineStr">
        <is>
          <t>FAQPage JSON-LD</t>
        </is>
      </c>
    </row>
    <row r="92">
      <c r="A92" s="3" t="inlineStr">
        <is>
          <t>https://codesommet.com/services/online-course-platform-development</t>
        </is>
      </c>
      <c r="B92" t="inlineStr">
        <is>
          <t>Existing</t>
        </is>
      </c>
      <c r="C92" s="5" t="inlineStr">
        <is>
          <t>Combien puis-je économiser en passant à ma propre plateforme ?</t>
        </is>
      </c>
      <c r="D92" t="inlineStr">
        <is>
          <t>vendre des formations en ligne</t>
        </is>
      </c>
      <c r="E92" t="inlineStr">
        <is>
          <t>fr</t>
        </is>
      </c>
      <c r="F92" s="5" t="inlineStr"/>
      <c r="G92" t="n">
        <v>260</v>
      </c>
      <c r="H92" t="n">
        <v>10</v>
      </c>
      <c r="I92" t="inlineStr">
        <is>
          <t>Service scope</t>
        </is>
      </c>
      <c r="J92" t="inlineStr">
        <is>
          <t>MEASURED</t>
        </is>
      </c>
      <c r="K92">
        <f>ROUND(IF(ISNUMBER(G92),MIN(50,ROUND(50*LOG10(G92+1)/4,1)),5)+IF(ISNUMBER(H92),ROUND(30*(100-H92)/100,1),15)+IF(B92="New",20,10),0)</f>
        <v/>
      </c>
      <c r="L92" t="inlineStr">
        <is>
          <t>KEEP</t>
        </is>
      </c>
      <c r="M92" s="5" t="inlineStr">
        <is>
          <t>Relevant to page intent</t>
        </is>
      </c>
      <c r="N92" s="5" t="inlineStr">
        <is>
          <t>Avec une plateforme que vous possédez, vous ne versez plus de commission sur chaque vente ni d'abonnement mensuel à un éditeur tiers : vos coûts se limitent à l'hébergement, aux frais de votre prestat</t>
        </is>
      </c>
      <c r="O92" t="inlineStr">
        <is>
          <t>P2</t>
        </is>
      </c>
      <c r="P92" t="inlineStr">
        <is>
          <t>FAQPage JSON-LD</t>
        </is>
      </c>
    </row>
    <row r="93">
      <c r="A93" s="3" t="inlineStr">
        <is>
          <t>https://codesommet.com/services/online-course-platform-development</t>
        </is>
      </c>
      <c r="B93" t="inlineStr">
        <is>
          <t>Existing</t>
        </is>
      </c>
      <c r="C93" s="5" t="inlineStr">
        <is>
          <t>Qui possède la plateforme, les cours et les données de mes étudiants ?</t>
        </is>
      </c>
      <c r="D93" t="inlineStr">
        <is>
          <t>plateforme de cours en ligne</t>
        </is>
      </c>
      <c r="E93" t="inlineStr">
        <is>
          <t>fr</t>
        </is>
      </c>
      <c r="F93" s="5" t="inlineStr"/>
      <c r="G93" t="n">
        <v>480</v>
      </c>
      <c r="H93" t="n">
        <v>61</v>
      </c>
      <c r="I93" t="inlineStr">
        <is>
          <t>Compliance / security</t>
        </is>
      </c>
      <c r="J93" t="inlineStr">
        <is>
          <t>MEASURED</t>
        </is>
      </c>
      <c r="K93">
        <f>ROUND(IF(ISNUMBER(G93),MIN(50,ROUND(50*LOG10(G93+1)/4,1)),5)+IF(ISNUMBER(H93),ROUND(30*(100-H93)/100,1),15)+IF(B93="New",20,10),0)</f>
        <v/>
      </c>
      <c r="L93" t="inlineStr">
        <is>
          <t>KEEP</t>
        </is>
      </c>
      <c r="M93" s="5" t="inlineStr">
        <is>
          <t>Relevant to page intent</t>
        </is>
      </c>
      <c r="N93" s="5" t="inlineStr">
        <is>
          <t>Vous. Le code, le design, les contenus de cours et la base d'étudiants vous appartiennent entièrement, hébergés sur un domaine à votre nom. Aucun tiers ne peut modifier ses tarifs, restreindre vos fon</t>
        </is>
      </c>
      <c r="O93" t="inlineStr">
        <is>
          <t>P2</t>
        </is>
      </c>
      <c r="P93" t="inlineStr">
        <is>
          <t>FAQPage JSON-LD</t>
        </is>
      </c>
    </row>
    <row r="94">
      <c r="A94" s="3" t="inlineStr">
        <is>
          <t>https://codesommet.com/services/online-course-platform-development</t>
        </is>
      </c>
      <c r="B94" t="inlineStr">
        <is>
          <t>Existing</t>
        </is>
      </c>
      <c r="C94" s="5" t="inlineStr">
        <is>
          <t>Quel hébergement vidéo utilisez-vous ?</t>
        </is>
      </c>
      <c r="D94" t="inlineStr">
        <is>
          <t>vendre des formations en ligne</t>
        </is>
      </c>
      <c r="E94" t="inlineStr">
        <is>
          <t>fr</t>
        </is>
      </c>
      <c r="F94" s="5" t="inlineStr"/>
      <c r="G94" t="n">
        <v>260</v>
      </c>
      <c r="H94" t="n">
        <v>10</v>
      </c>
      <c r="I94" t="inlineStr">
        <is>
          <t>Service scope</t>
        </is>
      </c>
      <c r="J94" t="inlineStr">
        <is>
          <t>MEASURED</t>
        </is>
      </c>
      <c r="K94">
        <f>ROUND(IF(ISNUMBER(G94),MIN(50,ROUND(50*LOG10(G94+1)/4,1)),5)+IF(ISNUMBER(H94),ROUND(30*(100-H94)/100,1),15)+IF(B94="New",20,10),0)</f>
        <v/>
      </c>
      <c r="L94" t="inlineStr">
        <is>
          <t>KEEP</t>
        </is>
      </c>
      <c r="M94" s="5" t="inlineStr">
        <is>
          <t>Relevant to page intent</t>
        </is>
      </c>
      <c r="N94" s="5" t="inlineStr">
        <is>
          <t>Nous mettons en place un hébergement vidéo dédié aux plateformes de cours, avec streaming adaptatif et diffusion via CDN pour une lecture fluide sur mobile comme sur ordinateur. Le lecteur intégré pro</t>
        </is>
      </c>
      <c r="O94" t="inlineStr">
        <is>
          <t>P2</t>
        </is>
      </c>
      <c r="P94" t="inlineStr">
        <is>
          <t>FAQPage JSON-LD</t>
        </is>
      </c>
    </row>
    <row r="95">
      <c r="A95" s="3" t="inlineStr">
        <is>
          <t>https://codesommet.com/services/online-course-platform-development</t>
        </is>
      </c>
      <c r="B95" t="inlineStr">
        <is>
          <t>Existing</t>
        </is>
      </c>
      <c r="C95" s="5" t="inlineStr">
        <is>
          <t>Puis-je proposer des abonnements et des plans de paiement ?</t>
        </is>
      </c>
      <c r="D95" t="inlineStr">
        <is>
          <t>vendre des formations en ligne</t>
        </is>
      </c>
      <c r="E95" t="inlineStr">
        <is>
          <t>fr</t>
        </is>
      </c>
      <c r="F95" s="5" t="inlineStr"/>
      <c r="G95" t="n">
        <v>260</v>
      </c>
      <c r="H95" t="n">
        <v>10</v>
      </c>
      <c r="I95" t="inlineStr">
        <is>
          <t>Payment</t>
        </is>
      </c>
      <c r="J95" t="inlineStr">
        <is>
          <t>MEASURED</t>
        </is>
      </c>
      <c r="K95">
        <f>ROUND(IF(ISNUMBER(G95),MIN(50,ROUND(50*LOG10(G95+1)/4,1)),5)+IF(ISNUMBER(H95),ROUND(30*(100-H95)/100,1),15)+IF(B95="New",20,10),0)</f>
        <v/>
      </c>
      <c r="L95" t="inlineStr">
        <is>
          <t>KEEP</t>
        </is>
      </c>
      <c r="M95" s="5" t="inlineStr">
        <is>
          <t>Relevant to page intent</t>
        </is>
      </c>
      <c r="N95" s="5" t="inlineStr">
        <is>
          <t>Oui. Votre plateforme peut proposer un achat unique, un abonnement mensuel ou annuel, un paiement en plusieurs fois, des packs de cours et un accès à vie. Les paiements sont traités par votre propre c</t>
        </is>
      </c>
      <c r="O95" t="inlineStr">
        <is>
          <t>P2</t>
        </is>
      </c>
      <c r="P95" t="inlineStr">
        <is>
          <t>FAQPage JSON-LD</t>
        </is>
      </c>
    </row>
    <row r="96">
      <c r="A96" s="3" t="inlineStr">
        <is>
          <t>https://codesommet.com/services/online-course-platform-development</t>
        </is>
      </c>
      <c r="B96" t="inlineStr">
        <is>
          <t>Existing</t>
        </is>
      </c>
      <c r="C96" s="5" t="inlineStr">
        <is>
          <t>Supportez-vous le contenu progressif et la planification de cours ?</t>
        </is>
      </c>
      <c r="D96" t="inlineStr">
        <is>
          <t>vendre des formations en ligne</t>
        </is>
      </c>
      <c r="E96" t="inlineStr">
        <is>
          <t>fr</t>
        </is>
      </c>
      <c r="F96" s="5" t="inlineStr"/>
      <c r="G96" t="n">
        <v>260</v>
      </c>
      <c r="H96" t="n">
        <v>10</v>
      </c>
      <c r="I96" t="inlineStr">
        <is>
          <t>Support</t>
        </is>
      </c>
      <c r="J96" t="inlineStr">
        <is>
          <t>MEASURED</t>
        </is>
      </c>
      <c r="K96">
        <f>ROUND(IF(ISNUMBER(G96),MIN(50,ROUND(50*LOG10(G96+1)/4,1)),5)+IF(ISNUMBER(H96),ROUND(30*(100-H96)/100,1),15)+IF(B96="New",20,10),0)</f>
        <v/>
      </c>
      <c r="L96" t="inlineStr">
        <is>
          <t>KEEP</t>
        </is>
      </c>
      <c r="M96" s="5" t="inlineStr">
        <is>
          <t>Relevant to page intent</t>
        </is>
      </c>
      <c r="N96" s="5" t="inlineStr">
        <is>
          <t xml:space="preserve">Oui. Vous pouvez publier les leçons progressivement (par exemple un module par semaine après l'inscription), programmer une date d'ouverture pour une cohorte, ou conditionner l'accès à une leçon à la </t>
        </is>
      </c>
      <c r="O96" t="inlineStr">
        <is>
          <t>P2</t>
        </is>
      </c>
      <c r="P96" t="inlineStr">
        <is>
          <t>FAQPage JSON-LD</t>
        </is>
      </c>
    </row>
    <row r="97">
      <c r="A97" s="3" t="inlineStr">
        <is>
          <t>https://codesommet.com/services/online-course-platform-development</t>
        </is>
      </c>
      <c r="B97" t="inlineStr">
        <is>
          <t>Existing</t>
        </is>
      </c>
      <c r="C97" s="5" t="inlineStr">
        <is>
          <t>Ma plateforme personnalisée aura-t-elle un meilleur SEO que Teachable ?</t>
        </is>
      </c>
      <c r="D97" t="inlineStr">
        <is>
          <t>agence seo maroc</t>
        </is>
      </c>
      <c r="E97" t="inlineStr">
        <is>
          <t>ma</t>
        </is>
      </c>
      <c r="F97" s="5" t="inlineStr"/>
      <c r="G97" t="n">
        <v>880</v>
      </c>
      <c r="H97" t="n">
        <v>44</v>
      </c>
      <c r="I97" t="inlineStr">
        <is>
          <t>SEO</t>
        </is>
      </c>
      <c r="J97" t="inlineStr">
        <is>
          <t>MEASURED</t>
        </is>
      </c>
      <c r="K97">
        <f>ROUND(IF(ISNUMBER(G97),MIN(50,ROUND(50*LOG10(G97+1)/4,1)),5)+IF(ISNUMBER(H97),ROUND(30*(100-H97)/100,1),15)+IF(B97="New",20,10),0)</f>
        <v/>
      </c>
      <c r="L97" t="inlineStr">
        <is>
          <t>KEEP</t>
        </is>
      </c>
      <c r="M97" s="5" t="inlineStr">
        <is>
          <t>Relevant to page intent</t>
        </is>
      </c>
      <c r="N97" s="5" t="inlineStr">
        <is>
          <t>Sur Teachable, vos pages de vente vivent généralement sur un sous-domaine de la plateforme avec un contrôle limité sur la structure et les balises. Avec votre propre site, chaque cours dispose d'une p</t>
        </is>
      </c>
      <c r="O97" t="inlineStr">
        <is>
          <t>P2</t>
        </is>
      </c>
      <c r="P97" t="inlineStr">
        <is>
          <t>FAQPage JSON-LD</t>
        </is>
      </c>
    </row>
    <row r="98">
      <c r="A98" s="3" t="inlineStr">
        <is>
          <t>https://codesommet.com/services/online-course-platform-development</t>
        </is>
      </c>
      <c r="B98" t="inlineStr">
        <is>
          <t>Existing</t>
        </is>
      </c>
      <c r="C98" s="5" t="inlineStr">
        <is>
          <t>Et si j'ai besoin de fonctionnalités que Teachable n'offre pas ?</t>
        </is>
      </c>
      <c r="D98" t="inlineStr">
        <is>
          <t>vendre des formations en ligne</t>
        </is>
      </c>
      <c r="E98" t="inlineStr">
        <is>
          <t>fr</t>
        </is>
      </c>
      <c r="F98" s="5" t="inlineStr"/>
      <c r="G98" t="n">
        <v>260</v>
      </c>
      <c r="H98" t="n">
        <v>10</v>
      </c>
      <c r="I98" t="inlineStr">
        <is>
          <t>Service scope</t>
        </is>
      </c>
      <c r="J98" t="inlineStr">
        <is>
          <t>MEASURED</t>
        </is>
      </c>
      <c r="K98">
        <f>ROUND(IF(ISNUMBER(G98),MIN(50,ROUND(50*LOG10(G98+1)/4,1)),5)+IF(ISNUMBER(H98),ROUND(30*(100-H98)/100,1),15)+IF(B98="New",20,10),0)</f>
        <v/>
      </c>
      <c r="L98" t="inlineStr">
        <is>
          <t>KEEP</t>
        </is>
      </c>
      <c r="M98" s="5" t="inlineStr">
        <is>
          <t>Relevant to page intent</t>
        </is>
      </c>
      <c r="N98" s="5" t="inlineStr">
        <is>
          <t>C'est justement l'intérêt d'une plateforme sur mesure : nous développons ce dont vous avez besoin, par exemple un espace communautaire, des certificats personnalisés, des quiz avancés, un programme d'</t>
        </is>
      </c>
      <c r="O98" t="inlineStr">
        <is>
          <t>P2</t>
        </is>
      </c>
      <c r="P98" t="inlineStr">
        <is>
          <t>FAQPage JSON-LD</t>
        </is>
      </c>
    </row>
    <row r="99">
      <c r="A99" s="3" t="inlineStr">
        <is>
          <t>https://codesommet.com/services/online-course-platform-development</t>
        </is>
      </c>
      <c r="B99" t="inlineStr">
        <is>
          <t>New</t>
        </is>
      </c>
      <c r="C99" s="5" t="inlineStr">
        <is>
          <t>Comment créer un site de formation en ligne pour vendre mes cours ?</t>
        </is>
      </c>
      <c r="D99" t="inlineStr">
        <is>
          <t>comment créer un site de formation en ligne</t>
        </is>
      </c>
      <c r="E99" t="inlineStr">
        <is>
          <t>fr</t>
        </is>
      </c>
      <c r="F99" s="5" t="inlineStr">
        <is>
          <t>vendre des formations en ligne [fr] 260; créer un site de formation en ligne [fr] 70</t>
        </is>
      </c>
      <c r="G99" t="n">
        <v>20</v>
      </c>
      <c r="H99" t="inlineStr">
        <is>
          <t>NOT AVAILABLE</t>
        </is>
      </c>
      <c r="I99" t="inlineStr">
        <is>
          <t>Question</t>
        </is>
      </c>
      <c r="J99" t="inlineStr">
        <is>
          <t>MEASURED</t>
        </is>
      </c>
      <c r="K99">
        <f>ROUND(IF(ISNUMBER(G99),MIN(50,ROUND(50*LOG10(G99+1)/4,1)),5)+IF(ISNUMBER(H99),ROUND(30*(100-H99)/100,1),15)+IF(B99="New",20,10),0)</f>
        <v/>
      </c>
      <c r="L99" t="inlineStr">
        <is>
          <t>NEW</t>
        </is>
      </c>
      <c r="M99" s="5" t="inlineStr">
        <is>
          <t>Course creators (FR 20-260). | Why here: Exact page intent. | Internal link: /get-quote</t>
        </is>
      </c>
      <c r="N99" s="5" t="inlineStr">
        <is>
          <t>Own site vs marketplace, payments, video hosting, membership; CodeSommet process.</t>
        </is>
      </c>
      <c r="O99" t="inlineStr">
        <is>
          <t>P2</t>
        </is>
      </c>
      <c r="P99" t="inlineStr"/>
    </row>
    <row r="100">
      <c r="A100" s="3" t="inlineStr">
        <is>
          <t>https://codesommet.com/services/real-estate-website-development</t>
        </is>
      </c>
      <c r="B100" t="inlineStr">
        <is>
          <t>Existing</t>
        </is>
      </c>
      <c r="C100" s="5" t="inlineStr">
        <is>
          <t>Combien de temps faut-il pour créer un site web immobilier ?</t>
        </is>
      </c>
      <c r="D100" t="inlineStr">
        <is>
          <t>création site immobilier</t>
        </is>
      </c>
      <c r="E100" t="inlineStr">
        <is>
          <t>fr</t>
        </is>
      </c>
      <c r="F100" s="5" t="inlineStr"/>
      <c r="G100" t="n">
        <v>390</v>
      </c>
      <c r="H100" t="n">
        <v>19</v>
      </c>
      <c r="I100" t="inlineStr">
        <is>
          <t>Timeline</t>
        </is>
      </c>
      <c r="J100" t="inlineStr">
        <is>
          <t>MEASURED</t>
        </is>
      </c>
      <c r="K100">
        <f>ROUND(IF(ISNUMBER(G100),MIN(50,ROUND(50*LOG10(G100+1)/4,1)),5)+IF(ISNUMBER(H100),ROUND(30*(100-H100)/100,1),15)+IF(B100="New",20,10),0)</f>
        <v/>
      </c>
      <c r="L100" t="inlineStr">
        <is>
          <t>KEEP</t>
        </is>
      </c>
      <c r="M100" s="5" t="inlineStr">
        <is>
          <t>Matches measured pre-purchase demand</t>
        </is>
      </c>
      <c r="N100" s="5" t="inlineStr">
        <is>
          <t>Cela dépend du périmètre : un site d'agence avec quelques dizaines d'annonces n'a rien à voir avec un portail multi-agents synchronisé avec un MLS et des visites virtuelles. Le nombre de types d'utili</t>
        </is>
      </c>
      <c r="O100" t="inlineStr">
        <is>
          <t>P2</t>
        </is>
      </c>
      <c r="P100" t="inlineStr">
        <is>
          <t>FAQPage JSON-LD</t>
        </is>
      </c>
    </row>
    <row r="101">
      <c r="A101" s="3" t="inlineStr">
        <is>
          <t>https://codesommet.com/services/real-estate-website-development</t>
        </is>
      </c>
      <c r="B101" t="inlineStr">
        <is>
          <t>Existing</t>
        </is>
      </c>
      <c r="C101" s="5" t="inlineStr">
        <is>
          <t>Pouvez-vous intégrer les données MLS dans notre portail immobilier ?</t>
        </is>
      </c>
      <c r="D101" t="inlineStr">
        <is>
          <t>portail immobilier</t>
        </is>
      </c>
      <c r="E101" t="inlineStr">
        <is>
          <t>fr</t>
        </is>
      </c>
      <c r="F101" s="5" t="inlineStr"/>
      <c r="G101" t="n">
        <v>320</v>
      </c>
      <c r="H101" t="n">
        <v>31</v>
      </c>
      <c r="I101" t="inlineStr">
        <is>
          <t>Compliance / security</t>
        </is>
      </c>
      <c r="J101" t="inlineStr">
        <is>
          <t>MEASURED</t>
        </is>
      </c>
      <c r="K101">
        <f>ROUND(IF(ISNUMBER(G101),MIN(50,ROUND(50*LOG10(G101+1)/4,1)),5)+IF(ISNUMBER(H101),ROUND(30*(100-H101)/100,1),15)+IF(B101="New",20,10),0)</f>
        <v/>
      </c>
      <c r="L101" t="inlineStr">
        <is>
          <t>KEEP</t>
        </is>
      </c>
      <c r="M101" s="5" t="inlineStr">
        <is>
          <t>Relevant to page intent</t>
        </is>
      </c>
      <c r="N101" s="5" t="inlineStr">
        <is>
          <t xml:space="preserve">Oui, nous pouvons connecter votre portail à un flux MLS ou à votre logiciel de gestion d'annonces pour synchroniser les biens automatiquement. Les annonces restent à jour, les doublons sont évités et </t>
        </is>
      </c>
      <c r="O101" t="inlineStr">
        <is>
          <t>P2</t>
        </is>
      </c>
      <c r="P101" t="inlineStr">
        <is>
          <t>FAQPage JSON-LD</t>
        </is>
      </c>
    </row>
    <row r="102">
      <c r="A102" s="3" t="inlineStr">
        <is>
          <t>https://codesommet.com/services/real-estate-website-development</t>
        </is>
      </c>
      <c r="B102" t="inlineStr">
        <is>
          <t>Existing</t>
        </is>
      </c>
      <c r="C102" s="5" t="inlineStr">
        <is>
          <t>Incluez-vous les visites virtuelles et les fonctionnalités de vue à 360° ?</t>
        </is>
      </c>
      <c r="D102" t="inlineStr">
        <is>
          <t>création site immobilier</t>
        </is>
      </c>
      <c r="E102" t="inlineStr">
        <is>
          <t>fr</t>
        </is>
      </c>
      <c r="F102" s="5" t="inlineStr"/>
      <c r="G102" t="n">
        <v>390</v>
      </c>
      <c r="H102" t="n">
        <v>19</v>
      </c>
      <c r="I102" t="inlineStr">
        <is>
          <t>Service scope</t>
        </is>
      </c>
      <c r="J102" t="inlineStr">
        <is>
          <t>MEASURED</t>
        </is>
      </c>
      <c r="K102">
        <f>ROUND(IF(ISNUMBER(G102),MIN(50,ROUND(50*LOG10(G102+1)/4,1)),5)+IF(ISNUMBER(H102),ROUND(30*(100-H102)/100,1),15)+IF(B102="New",20,10),0)</f>
        <v/>
      </c>
      <c r="L102" t="inlineStr">
        <is>
          <t>KEEP</t>
        </is>
      </c>
      <c r="M102" s="5" t="inlineStr">
        <is>
          <t>Relevant to page intent</t>
        </is>
      </c>
      <c r="N102" s="5" t="inlineStr">
        <is>
          <t>Oui, nous intégrons des visites panoramiques 360°, des vidéos guidées et des plans interactifs directement dans les fiches de biens. Vous fournissez les captures réalisées par votre photographe ou vot</t>
        </is>
      </c>
      <c r="O102" t="inlineStr">
        <is>
          <t>P2</t>
        </is>
      </c>
      <c r="P102" t="inlineStr">
        <is>
          <t>FAQPage JSON-LD</t>
        </is>
      </c>
    </row>
    <row r="103">
      <c r="A103" s="3" t="inlineStr">
        <is>
          <t>https://codesommet.com/services/real-estate-website-development</t>
        </is>
      </c>
      <c r="B103" t="inlineStr">
        <is>
          <t>Existing</t>
        </is>
      </c>
      <c r="C103" s="5" t="inlineStr">
        <is>
          <t>Les agents peuvent-ils gérer leurs propres annonces sur la plateforme ?</t>
        </is>
      </c>
      <c r="D103" t="inlineStr">
        <is>
          <t>création site immobilier</t>
        </is>
      </c>
      <c r="E103" t="inlineStr">
        <is>
          <t>fr</t>
        </is>
      </c>
      <c r="F103" s="5" t="inlineStr"/>
      <c r="G103" t="n">
        <v>390</v>
      </c>
      <c r="H103" t="n">
        <v>19</v>
      </c>
      <c r="I103" t="inlineStr">
        <is>
          <t>Service scope</t>
        </is>
      </c>
      <c r="J103" t="inlineStr">
        <is>
          <t>MEASURED</t>
        </is>
      </c>
      <c r="K103">
        <f>ROUND(IF(ISNUMBER(G103),MIN(50,ROUND(50*LOG10(G103+1)/4,1)),5)+IF(ISNUMBER(H103),ROUND(30*(100-H103)/100,1),15)+IF(B103="New",20,10),0)</f>
        <v/>
      </c>
      <c r="L103" t="inlineStr">
        <is>
          <t>KEEP</t>
        </is>
      </c>
      <c r="M103" s="5" t="inlineStr">
        <is>
          <t>Relevant to page intent</t>
        </is>
      </c>
      <c r="N103" s="5" t="inlineStr">
        <is>
          <t>Oui, chaque agent dispose d'un espace personnel pour créer, modifier et archiver ses annonces avec téléchargement de photos et visites virtuelles. Un rôle administrateur permet de valider les publicat</t>
        </is>
      </c>
      <c r="O103" t="inlineStr">
        <is>
          <t>P2</t>
        </is>
      </c>
      <c r="P103" t="inlineStr">
        <is>
          <t>FAQPage JSON-LD</t>
        </is>
      </c>
    </row>
    <row r="104">
      <c r="A104" s="3" t="inlineStr">
        <is>
          <t>https://codesommet.com/services/real-estate-website-development</t>
        </is>
      </c>
      <c r="B104" t="inlineStr">
        <is>
          <t>Existing</t>
        </is>
      </c>
      <c r="C104" s="5" t="inlineStr">
        <is>
          <t>Comment fonctionne le CRM de gestion de prospects ?</t>
        </is>
      </c>
      <c r="D104" t="inlineStr">
        <is>
          <t>création site immobilier</t>
        </is>
      </c>
      <c r="E104" t="inlineStr">
        <is>
          <t>fr</t>
        </is>
      </c>
      <c r="F104" s="5" t="inlineStr"/>
      <c r="G104" t="n">
        <v>390</v>
      </c>
      <c r="H104" t="n">
        <v>19</v>
      </c>
      <c r="I104" t="inlineStr">
        <is>
          <t>Definition / how it works</t>
        </is>
      </c>
      <c r="J104" t="inlineStr">
        <is>
          <t>MEASURED</t>
        </is>
      </c>
      <c r="K104">
        <f>ROUND(IF(ISNUMBER(G104),MIN(50,ROUND(50*LOG10(G104+1)/4,1)),5)+IF(ISNUMBER(H104),ROUND(30*(100-H104)/100,1),15)+IF(B104="New",20,10),0)</f>
        <v/>
      </c>
      <c r="L104" t="inlineStr">
        <is>
          <t>KEEP</t>
        </is>
      </c>
      <c r="M104" s="5" t="inlineStr">
        <is>
          <t>Relevant to page intent</t>
        </is>
      </c>
      <c r="N104" s="5" t="inlineStr">
        <is>
          <t>Chaque demande de contact ou de visite est enregistrée automatiquement dans le CRM avec le bien concerné et attribuée à l'agent responsable. Des rappels et des séquences d'e-mails de suivi se déclench</t>
        </is>
      </c>
      <c r="O104" t="inlineStr">
        <is>
          <t>P2</t>
        </is>
      </c>
      <c r="P104" t="inlineStr">
        <is>
          <t>FAQPage JSON-LD</t>
        </is>
      </c>
    </row>
    <row r="105">
      <c r="A105" s="3" t="inlineStr">
        <is>
          <t>https://codesommet.com/services/real-estate-website-development</t>
        </is>
      </c>
      <c r="B105" t="inlineStr">
        <is>
          <t>Existing</t>
        </is>
      </c>
      <c r="C105" s="5" t="inlineStr">
        <is>
          <t>Incluez-vous des filtres de recherche avancés et l'intégration de carte ?</t>
        </is>
      </c>
      <c r="D105" t="inlineStr">
        <is>
          <t>création site immobilier</t>
        </is>
      </c>
      <c r="E105" t="inlineStr">
        <is>
          <t>fr</t>
        </is>
      </c>
      <c r="F105" s="5" t="inlineStr"/>
      <c r="G105" t="n">
        <v>390</v>
      </c>
      <c r="H105" t="n">
        <v>19</v>
      </c>
      <c r="I105" t="inlineStr">
        <is>
          <t>Service scope</t>
        </is>
      </c>
      <c r="J105" t="inlineStr">
        <is>
          <t>MEASURED</t>
        </is>
      </c>
      <c r="K105">
        <f>ROUND(IF(ISNUMBER(G105),MIN(50,ROUND(50*LOG10(G105+1)/4,1)),5)+IF(ISNUMBER(H105),ROUND(30*(100-H105)/100,1),15)+IF(B105="New",20,10),0)</f>
        <v/>
      </c>
      <c r="L105" t="inlineStr">
        <is>
          <t>KEEP</t>
        </is>
      </c>
      <c r="M105" s="5" t="inlineStr">
        <is>
          <t>Relevant to page intent</t>
        </is>
      </c>
      <c r="N105" s="5" t="inlineStr">
        <is>
          <t>Oui, la recherche combine les filtres essentiels (localisation, prix, surface, chambres, équipements) avec une vue carte interactive et regroupement des biens. Les critères propres à votre marché, com</t>
        </is>
      </c>
      <c r="O105" t="inlineStr">
        <is>
          <t>P2</t>
        </is>
      </c>
      <c r="P105" t="inlineStr">
        <is>
          <t>FAQPage JSON-LD</t>
        </is>
      </c>
    </row>
    <row r="106">
      <c r="A106" s="3" t="inlineStr">
        <is>
          <t>https://codesommet.com/services/real-estate-website-development</t>
        </is>
      </c>
      <c r="B106" t="inlineStr">
        <is>
          <t>Existing</t>
        </is>
      </c>
      <c r="C106" s="5" t="inlineStr">
        <is>
          <t>Les acheteurs peuvent-ils sauvegarder leurs biens favoris et créer des comptes ?</t>
        </is>
      </c>
      <c r="D106" t="inlineStr">
        <is>
          <t>création site immobilier</t>
        </is>
      </c>
      <c r="E106" t="inlineStr">
        <is>
          <t>fr</t>
        </is>
      </c>
      <c r="F106" s="5" t="inlineStr"/>
      <c r="G106" t="n">
        <v>390</v>
      </c>
      <c r="H106" t="n">
        <v>19</v>
      </c>
      <c r="I106" t="inlineStr">
        <is>
          <t>Service scope</t>
        </is>
      </c>
      <c r="J106" t="inlineStr">
        <is>
          <t>MEASURED</t>
        </is>
      </c>
      <c r="K106">
        <f>ROUND(IF(ISNUMBER(G106),MIN(50,ROUND(50*LOG10(G106+1)/4,1)),5)+IF(ISNUMBER(H106),ROUND(30*(100-H106)/100,1),15)+IF(B106="New",20,10),0)</f>
        <v/>
      </c>
      <c r="L106" t="inlineStr">
        <is>
          <t>KEEP</t>
        </is>
      </c>
      <c r="M106" s="5" t="inlineStr">
        <is>
          <t>Relevant to page intent</t>
        </is>
      </c>
      <c r="N106" s="5" t="inlineStr">
        <is>
          <t xml:space="preserve">Oui, les acheteurs peuvent créer un compte, ajouter des biens en favoris, sauvegarder leurs recherches et recevoir des notifications. Ces comptes vous donnent aussi une vision précieuse des biens qui </t>
        </is>
      </c>
      <c r="O106" t="inlineStr">
        <is>
          <t>P2</t>
        </is>
      </c>
      <c r="P106" t="inlineStr">
        <is>
          <t>FAQPage JSON-LD</t>
        </is>
      </c>
    </row>
    <row r="107">
      <c r="A107" s="3" t="inlineStr">
        <is>
          <t>https://codesommet.com/services/real-estate-website-development</t>
        </is>
      </c>
      <c r="B107" t="inlineStr">
        <is>
          <t>Existing</t>
        </is>
      </c>
      <c r="C107" s="5" t="inlineStr">
        <is>
          <t>Aidez-vous avec le SEO immobilier et Google Ads ?</t>
        </is>
      </c>
      <c r="D107" t="inlineStr">
        <is>
          <t>création site immobilier</t>
        </is>
      </c>
      <c r="E107" t="inlineStr">
        <is>
          <t>fr</t>
        </is>
      </c>
      <c r="F107" s="5" t="inlineStr"/>
      <c r="G107" t="n">
        <v>390</v>
      </c>
      <c r="H107" t="n">
        <v>19</v>
      </c>
      <c r="I107" t="inlineStr">
        <is>
          <t>SEO</t>
        </is>
      </c>
      <c r="J107" t="inlineStr">
        <is>
          <t>MEASURED</t>
        </is>
      </c>
      <c r="K107">
        <f>ROUND(IF(ISNUMBER(G107),MIN(50,ROUND(50*LOG10(G107+1)/4,1)),5)+IF(ISNUMBER(H107),ROUND(30*(100-H107)/100,1),15)+IF(B107="New",20,10),0)</f>
        <v/>
      </c>
      <c r="L107" t="inlineStr">
        <is>
          <t>KEEP</t>
        </is>
      </c>
      <c r="M107" s="5" t="inlineStr">
        <is>
          <t>Relevant to page intent</t>
        </is>
      </c>
      <c r="N107" s="5" t="inlineStr">
        <is>
          <t>Oui, chaque page d'annonce et de quartier est structurée pour se positionner sur les recherches locales, avec des données structurées et des URL lisibles. Nous mettons en place le suivi des conversion</t>
        </is>
      </c>
      <c r="O107" t="inlineStr">
        <is>
          <t>P2</t>
        </is>
      </c>
      <c r="P107" t="inlineStr">
        <is>
          <t>FAQPage JSON-LD</t>
        </is>
      </c>
    </row>
    <row r="108">
      <c r="A108" s="3" t="inlineStr">
        <is>
          <t>https://codesommet.com/services/real-estate-website-development</t>
        </is>
      </c>
      <c r="B108" t="inlineStr">
        <is>
          <t>New</t>
        </is>
      </c>
      <c r="C108" s="5" t="inlineStr">
        <is>
          <t>Combien coûte un site internet pour une agence immobilière ?</t>
        </is>
      </c>
      <c r="D108" t="inlineStr">
        <is>
          <t>combien coute un site immobilier</t>
        </is>
      </c>
      <c r="E108" t="inlineStr">
        <is>
          <t>fr</t>
        </is>
      </c>
      <c r="F108" s="5" t="inlineStr">
        <is>
          <t>création site immobilier [fr] 390; site internet agence immobilière [fr] 110</t>
        </is>
      </c>
      <c r="G108" t="inlineStr">
        <is>
          <t>NOT AVAILABLE</t>
        </is>
      </c>
      <c r="H108" t="inlineStr">
        <is>
          <t>NOT AVAILABLE</t>
        </is>
      </c>
      <c r="I108" t="inlineStr">
        <is>
          <t>Question</t>
        </is>
      </c>
      <c r="J108" t="inlineStr">
        <is>
          <t>UNAVAILABLE</t>
        </is>
      </c>
      <c r="K108">
        <f>ROUND(IF(ISNUMBER(G108),MIN(50,ROUND(50*LOG10(G108+1)/4,1)),5)+IF(ISNUMBER(H108),ROUND(30*(100-H108)/100,1),15)+IF(B108="New",20,10),0)</f>
        <v/>
      </c>
      <c r="L108" t="inlineStr">
        <is>
          <t>NEW</t>
        </is>
      </c>
      <c r="M108" s="5" t="inlineStr">
        <is>
          <t>Budget question from agencies. | Why here: Commercial real-estate page. | Internal link: /blog/site-immobilier-structurer-les-annonces-pour-le-seo-et-la-conversion</t>
        </is>
      </c>
      <c r="N108" s="5" t="inlineStr">
        <is>
          <t>Ranges by features (listings, IDX/feeds, CRM), recurring costs.</t>
        </is>
      </c>
      <c r="O108" t="inlineStr">
        <is>
          <t>P2</t>
        </is>
      </c>
      <c r="P108" t="inlineStr"/>
    </row>
    <row r="109">
      <c r="A109" s="3" t="inlineStr">
        <is>
          <t>https://codesommet.com/services/saas-platform-development</t>
        </is>
      </c>
      <c r="B109" t="inlineStr">
        <is>
          <t>Existing</t>
        </is>
      </c>
      <c r="C109" s="5" t="inlineStr">
        <is>
          <t>Combien de temps faut-il pour créer une plateforme SaaS ?</t>
        </is>
      </c>
      <c r="D109" t="inlineStr">
        <is>
          <t>développement saas</t>
        </is>
      </c>
      <c r="E109" t="inlineStr">
        <is>
          <t>fr</t>
        </is>
      </c>
      <c r="F109" s="5" t="inlineStr"/>
      <c r="G109" t="n">
        <v>170</v>
      </c>
      <c r="H109" t="n">
        <v>11</v>
      </c>
      <c r="I109" t="inlineStr">
        <is>
          <t>Timeline</t>
        </is>
      </c>
      <c r="J109" t="inlineStr">
        <is>
          <t>MEASURED</t>
        </is>
      </c>
      <c r="K109">
        <f>ROUND(IF(ISNUMBER(G109),MIN(50,ROUND(50*LOG10(G109+1)/4,1)),5)+IF(ISNUMBER(H109),ROUND(30*(100-H109)/100,1),15)+IF(B109="New",20,10),0)</f>
        <v/>
      </c>
      <c r="L109" t="inlineStr">
        <is>
          <t>KEEP</t>
        </is>
      </c>
      <c r="M109" s="5" t="inlineStr">
        <is>
          <t>Matches measured pre-purchase demand</t>
        </is>
      </c>
      <c r="N109" s="5" t="inlineStr">
        <is>
          <t>Le délai dépend du périmètre fonctionnel : nombre de rôles, complexité de la facturation, intégrations et exigences d'infrastructure. Pour un MVP ciblé, nous pouvons livrer une première version exploi</t>
        </is>
      </c>
      <c r="O109" t="inlineStr">
        <is>
          <t>P2</t>
        </is>
      </c>
      <c r="P109" t="inlineStr">
        <is>
          <t>FAQPage JSON-LD</t>
        </is>
      </c>
    </row>
    <row r="110">
      <c r="A110" s="3" t="inlineStr">
        <is>
          <t>https://codesommet.com/services/saas-platform-development</t>
        </is>
      </c>
      <c r="B110" t="inlineStr">
        <is>
          <t>Existing</t>
        </is>
      </c>
      <c r="C110" s="5" t="inlineStr">
        <is>
          <t>Comment gérez-vous l'architecture multi-tenant et l'isolation des données ?</t>
        </is>
      </c>
      <c r="D110" t="inlineStr">
        <is>
          <t>développement saas</t>
        </is>
      </c>
      <c r="E110" t="inlineStr">
        <is>
          <t>fr</t>
        </is>
      </c>
      <c r="F110" s="5" t="inlineStr"/>
      <c r="G110" t="n">
        <v>170</v>
      </c>
      <c r="H110" t="n">
        <v>11</v>
      </c>
      <c r="I110" t="inlineStr">
        <is>
          <t>Compliance / security</t>
        </is>
      </c>
      <c r="J110" t="inlineStr">
        <is>
          <t>MEASURED</t>
        </is>
      </c>
      <c r="K110">
        <f>ROUND(IF(ISNUMBER(G110),MIN(50,ROUND(50*LOG10(G110+1)/4,1)),5)+IF(ISNUMBER(H110),ROUND(30*(100-H110)/100,1),15)+IF(B110="New",20,10),0)</f>
        <v/>
      </c>
      <c r="L110" t="inlineStr">
        <is>
          <t>KEEP</t>
        </is>
      </c>
      <c r="M110" s="5" t="inlineStr">
        <is>
          <t>Relevant to page intent</t>
        </is>
      </c>
      <c r="N110" s="5" t="inlineStr">
        <is>
          <t>Nous concevons la plateforme en multi-tenant dès l'architecture initiale : chaque client dispose d'un espace logiquement isolé, avec des identifiants de tenant vérifiés à chaque requête côté API et ba</t>
        </is>
      </c>
      <c r="O110" t="inlineStr">
        <is>
          <t>P2</t>
        </is>
      </c>
      <c r="P110" t="inlineStr">
        <is>
          <t>FAQPage JSON-LD</t>
        </is>
      </c>
    </row>
    <row r="111">
      <c r="A111" s="3" t="inlineStr">
        <is>
          <t>https://codesommet.com/services/saas-platform-development</t>
        </is>
      </c>
      <c r="B111" t="inlineStr">
        <is>
          <t>Existing</t>
        </is>
      </c>
      <c r="C111" s="5" t="inlineStr">
        <is>
          <t>La plateforme peut-elle passer à l'échelle avec la croissance de ma base d'utilisateurs ?</t>
        </is>
      </c>
      <c r="D111" t="inlineStr">
        <is>
          <t>plateforme b2b</t>
        </is>
      </c>
      <c r="E111" t="inlineStr">
        <is>
          <t>fr</t>
        </is>
      </c>
      <c r="F111" s="5" t="inlineStr"/>
      <c r="G111" t="n">
        <v>260</v>
      </c>
      <c r="H111" t="n">
        <v>19</v>
      </c>
      <c r="I111" t="inlineStr">
        <is>
          <t>Location / logistics</t>
        </is>
      </c>
      <c r="J111" t="inlineStr">
        <is>
          <t>MEASURED</t>
        </is>
      </c>
      <c r="K111">
        <f>ROUND(IF(ISNUMBER(G111),MIN(50,ROUND(50*LOG10(G111+1)/4,1)),5)+IF(ISNUMBER(H111),ROUND(30*(100-H111)/100,1),15)+IF(B111="New",20,10),0)</f>
        <v/>
      </c>
      <c r="L111" t="inlineStr">
        <is>
          <t>KEEP</t>
        </is>
      </c>
      <c r="M111" s="5" t="inlineStr">
        <is>
          <t>Relevant to page intent</t>
        </is>
      </c>
      <c r="N111" s="5" t="inlineStr">
        <is>
          <t>Oui, c'est précisément le problème que nous traitons en amont : équilibrage de charge, mise en cache, optimisation des requêtes et découplage des tâches lourdes via des files d'attente. L'infrastructu</t>
        </is>
      </c>
      <c r="O111" t="inlineStr">
        <is>
          <t>P2</t>
        </is>
      </c>
      <c r="P111" t="inlineStr">
        <is>
          <t>FAQPage JSON-LD</t>
        </is>
      </c>
    </row>
    <row r="112">
      <c r="A112" s="3" t="inlineStr">
        <is>
          <t>https://codesommet.com/services/saas-platform-development</t>
        </is>
      </c>
      <c r="B112" t="inlineStr">
        <is>
          <t>Existing</t>
        </is>
      </c>
      <c r="C112" s="5" t="inlineStr">
        <is>
          <t>Avec quels systèmes de facturation vous intégrez-vous ?</t>
        </is>
      </c>
      <c r="D112" t="inlineStr">
        <is>
          <t>développement saas</t>
        </is>
      </c>
      <c r="E112" t="inlineStr">
        <is>
          <t>fr</t>
        </is>
      </c>
      <c r="F112" s="5" t="inlineStr"/>
      <c r="G112" t="n">
        <v>170</v>
      </c>
      <c r="H112" t="n">
        <v>11</v>
      </c>
      <c r="I112" t="inlineStr">
        <is>
          <t>Service scope</t>
        </is>
      </c>
      <c r="J112" t="inlineStr">
        <is>
          <t>MEASURED</t>
        </is>
      </c>
      <c r="K112">
        <f>ROUND(IF(ISNUMBER(G112),MIN(50,ROUND(50*LOG10(G112+1)/4,1)),5)+IF(ISNUMBER(H112),ROUND(30*(100-H112)/100,1),15)+IF(B112="New",20,10),0)</f>
        <v/>
      </c>
      <c r="L112" t="inlineStr">
        <is>
          <t>KEEP</t>
        </is>
      </c>
      <c r="M112" s="5" t="inlineStr">
        <is>
          <t>Relevant to page intent</t>
        </is>
      </c>
      <c r="N112" s="5" t="inlineStr">
        <is>
          <t xml:space="preserve">Nous intégrons Stripe pour la facturation récurrente : abonnements mensuels ou annuels, prorata lors des changements d'offre, facturation à l'usage et relances automatiques en cas de paiement échoué. </t>
        </is>
      </c>
      <c r="O112" t="inlineStr">
        <is>
          <t>P2</t>
        </is>
      </c>
      <c r="P112" t="inlineStr">
        <is>
          <t>FAQPage JSON-LD</t>
        </is>
      </c>
    </row>
    <row r="113">
      <c r="A113" s="3" t="inlineStr">
        <is>
          <t>https://codesommet.com/services/saas-platform-development</t>
        </is>
      </c>
      <c r="B113" t="inlineStr">
        <is>
          <t>Existing</t>
        </is>
      </c>
      <c r="C113" s="5" t="inlineStr">
        <is>
          <t>Pouvez-vous créer une plateforme SaaS en marque blanche ?</t>
        </is>
      </c>
      <c r="D113" t="inlineStr">
        <is>
          <t>développement saas</t>
        </is>
      </c>
      <c r="E113" t="inlineStr">
        <is>
          <t>fr</t>
        </is>
      </c>
      <c r="F113" s="5" t="inlineStr"/>
      <c r="G113" t="n">
        <v>170</v>
      </c>
      <c r="H113" t="n">
        <v>11</v>
      </c>
      <c r="I113" t="inlineStr">
        <is>
          <t>Service scope</t>
        </is>
      </c>
      <c r="J113" t="inlineStr">
        <is>
          <t>MEASURED</t>
        </is>
      </c>
      <c r="K113">
        <f>ROUND(IF(ISNUMBER(G113),MIN(50,ROUND(50*LOG10(G113+1)/4,1)),5)+IF(ISNUMBER(H113),ROUND(30*(100-H113)/100,1),15)+IF(B113="New",20,10),0)</f>
        <v/>
      </c>
      <c r="L113" t="inlineStr">
        <is>
          <t>KEEP</t>
        </is>
      </c>
      <c r="M113" s="5" t="inlineStr">
        <is>
          <t>Relevant to page intent</t>
        </is>
      </c>
      <c r="N113" s="5" t="inlineStr">
        <is>
          <t>Oui. Nous préparons la plateforme pour la marque blanche avec domaines personnalisés, logo, couleurs et e-mails transactionnels propres à chaque client, le tout sur une base de code unique. Les donnée</t>
        </is>
      </c>
      <c r="O113" t="inlineStr">
        <is>
          <t>P2</t>
        </is>
      </c>
      <c r="P113" t="inlineStr">
        <is>
          <t>FAQPage JSON-LD</t>
        </is>
      </c>
    </row>
    <row r="114">
      <c r="A114" s="3" t="inlineStr">
        <is>
          <t>https://codesommet.com/services/saas-platform-development</t>
        </is>
      </c>
      <c r="B114" t="inlineStr">
        <is>
          <t>Existing</t>
        </is>
      </c>
      <c r="C114" s="5" t="inlineStr">
        <is>
          <t>Supportez-vous le développement et la documentation d'API ?</t>
        </is>
      </c>
      <c r="D114" t="inlineStr">
        <is>
          <t>développement saas</t>
        </is>
      </c>
      <c r="E114" t="inlineStr">
        <is>
          <t>fr</t>
        </is>
      </c>
      <c r="F114" s="5" t="inlineStr"/>
      <c r="G114" t="n">
        <v>170</v>
      </c>
      <c r="H114" t="n">
        <v>11</v>
      </c>
      <c r="I114" t="inlineStr">
        <is>
          <t>Support</t>
        </is>
      </c>
      <c r="J114" t="inlineStr">
        <is>
          <t>MEASURED</t>
        </is>
      </c>
      <c r="K114">
        <f>ROUND(IF(ISNUMBER(G114),MIN(50,ROUND(50*LOG10(G114+1)/4,1)),5)+IF(ISNUMBER(H114),ROUND(30*(100-H114)/100,1),15)+IF(B114="New",20,10),0)</f>
        <v/>
      </c>
      <c r="L114" t="inlineStr">
        <is>
          <t>KEEP</t>
        </is>
      </c>
      <c r="M114" s="5" t="inlineStr">
        <is>
          <t>Relevant to page intent</t>
        </is>
      </c>
      <c r="N114" s="5" t="inlineStr">
        <is>
          <t>Oui, l'API fait partie intégrante de la plateforme et non d'un ajout ultérieur. Nous développons des APIs REST (et GraphQL si votre cas d'usage le justifie) avec authentification OAuth 2.0 ou par clés</t>
        </is>
      </c>
      <c r="O114" t="inlineStr">
        <is>
          <t>P2</t>
        </is>
      </c>
      <c r="P114" t="inlineStr">
        <is>
          <t>FAQPage JSON-LD</t>
        </is>
      </c>
    </row>
    <row r="115">
      <c r="A115" s="3" t="inlineStr">
        <is>
          <t>https://codesommet.com/services/saas-platform-development</t>
        </is>
      </c>
      <c r="B115" t="inlineStr">
        <is>
          <t>Existing</t>
        </is>
      </c>
      <c r="C115" s="5" t="inlineStr">
        <is>
          <t>Qu'est-ce qui vous différencie des autres développeurs SaaS ?</t>
        </is>
      </c>
      <c r="D115" t="inlineStr">
        <is>
          <t>développement saas</t>
        </is>
      </c>
      <c r="E115" t="inlineStr">
        <is>
          <t>fr</t>
        </is>
      </c>
      <c r="F115" s="5" t="inlineStr"/>
      <c r="G115" t="n">
        <v>170</v>
      </c>
      <c r="H115" t="n">
        <v>11</v>
      </c>
      <c r="I115" t="inlineStr">
        <is>
          <t>Differentiation</t>
        </is>
      </c>
      <c r="J115" t="inlineStr">
        <is>
          <t>MEASURED</t>
        </is>
      </c>
      <c r="K115">
        <f>ROUND(IF(ISNUMBER(G115),MIN(50,ROUND(50*LOG10(G115+1)/4,1)),5)+IF(ISNUMBER(H115),ROUND(30*(100-H115)/100,1),15)+IF(B115="New",20,10),0)</f>
        <v/>
      </c>
      <c r="L115" t="inlineStr">
        <is>
          <t>KEEP</t>
        </is>
      </c>
      <c r="M115" s="5" t="inlineStr">
        <is>
          <t>Relevant to page intent</t>
        </is>
      </c>
      <c r="N115" s="5" t="inlineStr">
        <is>
          <t>Nous ne construisons pas seulement des écrans : nous prenons en charge l'ensemble du cycle de vie SaaS, de l'onboarding à la facturation en passant par les analytiques d'usage et l'API. L'architecture</t>
        </is>
      </c>
      <c r="O115" t="inlineStr">
        <is>
          <t>P2</t>
        </is>
      </c>
      <c r="P115" t="inlineStr">
        <is>
          <t>FAQPage JSON-LD</t>
        </is>
      </c>
    </row>
    <row r="116">
      <c r="A116" s="3" t="inlineStr">
        <is>
          <t>https://codesommet.com/services/saas-platform-development</t>
        </is>
      </c>
      <c r="B116" t="inlineStr">
        <is>
          <t>Existing</t>
        </is>
      </c>
      <c r="C116" s="5" t="inlineStr">
        <is>
          <t>Que se passe-t-il après le lancement du MVP : itérations, maintenance et évolutions ?</t>
        </is>
      </c>
      <c r="D116" t="inlineStr">
        <is>
          <t>développement saas</t>
        </is>
      </c>
      <c r="E116" t="inlineStr">
        <is>
          <t>fr</t>
        </is>
      </c>
      <c r="F116" s="5" t="inlineStr"/>
      <c r="G116" t="n">
        <v>170</v>
      </c>
      <c r="H116" t="n">
        <v>11</v>
      </c>
      <c r="I116" t="inlineStr">
        <is>
          <t>Support</t>
        </is>
      </c>
      <c r="J116" t="inlineStr">
        <is>
          <t>MEASURED</t>
        </is>
      </c>
      <c r="K116">
        <f>ROUND(IF(ISNUMBER(G116),MIN(50,ROUND(50*LOG10(G116+1)/4,1)),5)+IF(ISNUMBER(H116),ROUND(30*(100-H116)/100,1),15)+IF(B116="New",20,10),0)</f>
        <v/>
      </c>
      <c r="L116" t="inlineStr">
        <is>
          <t>KEEP</t>
        </is>
      </c>
      <c r="M116" s="5" t="inlineStr">
        <is>
          <t>Relevant to page intent</t>
        </is>
      </c>
      <c r="N116" s="5" t="inlineStr">
        <is>
          <t>Le lancement du MVP est un point de départ, pas une fin. Nous analysons les données d'usage pour prioriser les fonctionnalités de la version suivante, puis nous livrons les évolutions par lots courts.</t>
        </is>
      </c>
      <c r="O116" t="inlineStr">
        <is>
          <t>P2</t>
        </is>
      </c>
      <c r="P116" t="inlineStr">
        <is>
          <t>FAQPage JSON-LD</t>
        </is>
      </c>
    </row>
    <row r="117">
      <c r="A117" s="3" t="inlineStr">
        <is>
          <t>https://codesommet.com/services/saas-platform-development</t>
        </is>
      </c>
      <c r="B117" t="inlineStr">
        <is>
          <t>New</t>
        </is>
      </c>
      <c r="C117" s="5" t="inlineStr">
        <is>
          <t>Combien coûte le développement d'une plateforme SaaS ?</t>
        </is>
      </c>
      <c r="D117" t="inlineStr">
        <is>
          <t>combien coûte le développement d'un saas</t>
        </is>
      </c>
      <c r="E117" t="inlineStr">
        <is>
          <t>fr</t>
        </is>
      </c>
      <c r="F117" s="5" t="inlineStr">
        <is>
          <t>combien coute un saas [fr] UNAVAILABLE; développement saas [fr] 170; mvp saas [fr] 110</t>
        </is>
      </c>
      <c r="G117" t="inlineStr">
        <is>
          <t>NOT AVAILABLE</t>
        </is>
      </c>
      <c r="H117" t="inlineStr">
        <is>
          <t>NOT AVAILABLE</t>
        </is>
      </c>
      <c r="I117" t="inlineStr">
        <is>
          <t>Question</t>
        </is>
      </c>
      <c r="J117" t="inlineStr">
        <is>
          <t>UNAVAILABLE</t>
        </is>
      </c>
      <c r="K117">
        <f>ROUND(IF(ISNUMBER(G117),MIN(50,ROUND(50*LOG10(G117+1)/4,1)),5)+IF(ISNUMBER(H117),ROUND(30*(100-H117)/100,1),15)+IF(B117="New",20,10),0)</f>
        <v/>
      </c>
      <c r="L117" t="inlineStr">
        <is>
          <t>NEW</t>
        </is>
      </c>
      <c r="M117" s="5" t="inlineStr">
        <is>
          <t>Budget question before contacting a SaaS studio. | Why here: Service page is the commercial answer; blog article covers the "how". | Internal link: /blog/creer-une-plateforme-saas-mvp-multi-tenant-facturation-par-ou-commencer</t>
        </is>
      </c>
      <c r="N117" s="5" t="inlineStr">
        <is>
          <t>MVP vs full product ranges, monthly costs (hosting, maintenance), offshore cost advantage.</t>
        </is>
      </c>
      <c r="O117" t="inlineStr">
        <is>
          <t>P2</t>
        </is>
      </c>
      <c r="P117" t="inlineStr"/>
    </row>
    <row r="118">
      <c r="A118" s="3" t="inlineStr">
        <is>
          <t>https://codesommet.com/services/saas-platform-development</t>
        </is>
      </c>
      <c r="B118" t="inlineStr">
        <is>
          <t>New</t>
        </is>
      </c>
      <c r="C118" s="5" t="inlineStr">
        <is>
          <t>Développez-vous aussi des applications web sur mesure (hors SaaS) ?</t>
        </is>
      </c>
      <c r="D118" t="inlineStr">
        <is>
          <t>application web sur mesure</t>
        </is>
      </c>
      <c r="E118" t="inlineStr">
        <is>
          <t>fr</t>
        </is>
      </c>
      <c r="F118" s="5" t="inlineStr">
        <is>
          <t>développement application web [fr] 1000; création application web [fr] 170</t>
        </is>
      </c>
      <c r="G118" t="n">
        <v>480</v>
      </c>
      <c r="H118" t="n">
        <v>14</v>
      </c>
      <c r="I118" t="inlineStr">
        <is>
          <t>Question</t>
        </is>
      </c>
      <c r="J118" t="inlineStr">
        <is>
          <t>MEASURED</t>
        </is>
      </c>
      <c r="K118">
        <f>ROUND(IF(ISNUMBER(G118),MIN(50,ROUND(50*LOG10(G118+1)/4,1)),5)+IF(ISNUMBER(H118),ROUND(30*(100-H118)/100,1),15)+IF(B118="New",20,10),0)</f>
        <v/>
      </c>
      <c r="L118" t="inlineStr">
        <is>
          <t>NEW</t>
        </is>
      </c>
      <c r="M118" s="5" t="inlineStr">
        <is>
          <t>FR 480 + 1000 with no dedicated CodeSommet page. | Why here: SaaS &amp; B2B page is the closest match; captures the intent without a new page. | Internal link: /get-quote</t>
        </is>
      </c>
      <c r="N118" s="5" t="inlineStr">
        <is>
          <t>Types of business apps (portails, back-office, CRM sur mesure), tech stack, process.</t>
        </is>
      </c>
      <c r="O118" t="inlineStr">
        <is>
          <t>P2</t>
        </is>
      </c>
      <c r="P118" t="inlineStr"/>
    </row>
    <row r="119">
      <c r="A119" s="3" t="inlineStr">
        <is>
          <t>https://codesommet.com/services/seo-maroc</t>
        </is>
      </c>
      <c r="B119" t="inlineStr">
        <is>
          <t>Existing</t>
        </is>
      </c>
      <c r="C119" s="5" t="inlineStr">
        <is>
          <t>Combien de temps faut-il pour voir des résultats en référencement naturel ?</t>
        </is>
      </c>
      <c r="D119" t="inlineStr">
        <is>
          <t>référencement naturel</t>
        </is>
      </c>
      <c r="E119" t="inlineStr">
        <is>
          <t>ma</t>
        </is>
      </c>
      <c r="F119" s="5" t="inlineStr"/>
      <c r="G119" t="n">
        <v>40</v>
      </c>
      <c r="H119" t="inlineStr">
        <is>
          <t>NOT AVAILABLE</t>
        </is>
      </c>
      <c r="I119" t="inlineStr">
        <is>
          <t>Timeline</t>
        </is>
      </c>
      <c r="J119" t="inlineStr">
        <is>
          <t>MEASURED</t>
        </is>
      </c>
      <c r="K119">
        <f>ROUND(IF(ISNUMBER(G119),MIN(50,ROUND(50*LOG10(G119+1)/4,1)),5)+IF(ISNUMBER(H119),ROUND(30*(100-H119)/100,1),15)+IF(B119="New",20,10),0)</f>
        <v/>
      </c>
      <c r="L119" t="inlineStr">
        <is>
          <t>KEEP</t>
        </is>
      </c>
      <c r="M119" s="5" t="inlineStr">
        <is>
          <t>Matches measured pre-purchase demand</t>
        </is>
      </c>
      <c r="N119" s="5" t="inlineStr">
        <is>
          <t>Le référencement naturel est un travail progressif. Les corrections techniques et l'optimisation des pages sont livrées en quelques semaines ; les premiers mouvements de positions apparaissent général</t>
        </is>
      </c>
      <c r="O119" t="inlineStr">
        <is>
          <t>P2</t>
        </is>
      </c>
      <c r="P119" t="inlineStr">
        <is>
          <t>FAQPage JSON-LD</t>
        </is>
      </c>
    </row>
    <row r="120">
      <c r="A120" s="3" t="inlineStr">
        <is>
          <t>https://codesommet.com/services/seo-maroc</t>
        </is>
      </c>
      <c r="B120" t="inlineStr">
        <is>
          <t>Existing</t>
        </is>
      </c>
      <c r="C120" s="5" t="inlineStr">
        <is>
          <t>Garantissez-vous la première position sur Google ?</t>
        </is>
      </c>
      <c r="D120" t="inlineStr">
        <is>
          <t>agence seo maroc</t>
        </is>
      </c>
      <c r="E120" t="inlineStr">
        <is>
          <t>ma</t>
        </is>
      </c>
      <c r="F120" s="5" t="inlineStr"/>
      <c r="G120" t="n">
        <v>880</v>
      </c>
      <c r="H120" t="n">
        <v>44</v>
      </c>
      <c r="I120" t="inlineStr">
        <is>
          <t>SEO</t>
        </is>
      </c>
      <c r="J120" t="inlineStr">
        <is>
          <t>MEASURED</t>
        </is>
      </c>
      <c r="K120">
        <f>ROUND(IF(ISNUMBER(G120),MIN(50,ROUND(50*LOG10(G120+1)/4,1)),5)+IF(ISNUMBER(H120),ROUND(30*(100-H120)/100,1),15)+IF(B120="New",20,10),0)</f>
        <v/>
      </c>
      <c r="L120" t="inlineStr">
        <is>
          <t>KEEP</t>
        </is>
      </c>
      <c r="M120" s="5" t="inlineStr">
        <is>
          <t>Relevant to page intent</t>
        </is>
      </c>
      <c r="N120" s="5" t="inlineStr">
        <is>
          <t>Non, et aucune agence sérieuse ne peut le faire : les classements dépendent de Google, de vos concurrents et de l'évolution de votre marché. Nous nous engageons sur une méthode, des actions documentée</t>
        </is>
      </c>
      <c r="O120" t="inlineStr">
        <is>
          <t>P2</t>
        </is>
      </c>
      <c r="P120" t="inlineStr">
        <is>
          <t>FAQPage JSON-LD</t>
        </is>
      </c>
    </row>
    <row r="121">
      <c r="A121" s="3" t="inlineStr">
        <is>
          <t>https://codesommet.com/services/seo-maroc</t>
        </is>
      </c>
      <c r="B121" t="inlineStr">
        <is>
          <t>Existing</t>
        </is>
      </c>
      <c r="C121" s="5" t="inlineStr">
        <is>
          <t>Travaillez-vous le SEO local pour une ville précise ?</t>
        </is>
      </c>
      <c r="D121" t="inlineStr">
        <is>
          <t>seo maroc</t>
        </is>
      </c>
      <c r="E121" t="inlineStr">
        <is>
          <t>ma</t>
        </is>
      </c>
      <c r="F121" s="5" t="inlineStr"/>
      <c r="G121" t="n">
        <v>320</v>
      </c>
      <c r="H121" t="n">
        <v>41</v>
      </c>
      <c r="I121" t="inlineStr">
        <is>
          <t>SEO</t>
        </is>
      </c>
      <c r="J121" t="inlineStr">
        <is>
          <t>MEASURED</t>
        </is>
      </c>
      <c r="K121">
        <f>ROUND(IF(ISNUMBER(G121),MIN(50,ROUND(50*LOG10(G121+1)/4,1)),5)+IF(ISNUMBER(H121),ROUND(30*(100-H121)/100,1),15)+IF(B121="New",20,10),0)</f>
        <v/>
      </c>
      <c r="L121" t="inlineStr">
        <is>
          <t>KEEP</t>
        </is>
      </c>
      <c r="M121" s="5" t="inlineStr">
        <is>
          <t>Relevant to page intent</t>
        </is>
      </c>
      <c r="N121" s="5" t="inlineStr">
        <is>
          <t xml:space="preserve">Oui. Pour une entreprise qui cible Casablanca, Marrakech, Rabat, Tanger ou Agadir, nous travaillons les requêtes « service + ville », la fiche Google Business Profile, les données structurées locales </t>
        </is>
      </c>
      <c r="O121" t="inlineStr">
        <is>
          <t>P2</t>
        </is>
      </c>
      <c r="P121" t="inlineStr">
        <is>
          <t>FAQPage JSON-LD</t>
        </is>
      </c>
    </row>
    <row r="122">
      <c r="A122" s="3" t="inlineStr">
        <is>
          <t>https://codesommet.com/services/seo-maroc</t>
        </is>
      </c>
      <c r="B122" t="inlineStr">
        <is>
          <t>Existing</t>
        </is>
      </c>
      <c r="C122" s="5" t="inlineStr">
        <is>
          <t>Faut-il refaire le site pour être bien référencé ?</t>
        </is>
      </c>
      <c r="D122" t="inlineStr">
        <is>
          <t>agence seo maroc</t>
        </is>
      </c>
      <c r="E122" t="inlineStr">
        <is>
          <t>ma</t>
        </is>
      </c>
      <c r="F122" s="5" t="inlineStr"/>
      <c r="G122" t="n">
        <v>880</v>
      </c>
      <c r="H122" t="n">
        <v>44</v>
      </c>
      <c r="I122" t="inlineStr">
        <is>
          <t>SEO</t>
        </is>
      </c>
      <c r="J122" t="inlineStr">
        <is>
          <t>MEASURED</t>
        </is>
      </c>
      <c r="K122">
        <f>ROUND(IF(ISNUMBER(G122),MIN(50,ROUND(50*LOG10(G122+1)/4,1)),5)+IF(ISNUMBER(H122),ROUND(30*(100-H122)/100,1),15)+IF(B122="New",20,10),0)</f>
        <v/>
      </c>
      <c r="L122" t="inlineStr">
        <is>
          <t>KEEP</t>
        </is>
      </c>
      <c r="M122" s="5" t="inlineStr">
        <is>
          <t>Relevant to page intent</t>
        </is>
      </c>
      <c r="N122" s="5" t="inlineStr">
        <is>
          <t>Pas nécessairement. L'audit technique indique si le site actuel peut être optimisé ou si certaines limites (structure, vitesse, CMS verrouillé) freinent réellement le référencement. Dans la majorité d</t>
        </is>
      </c>
      <c r="O122" t="inlineStr">
        <is>
          <t>P2</t>
        </is>
      </c>
      <c r="P122" t="inlineStr">
        <is>
          <t>FAQPage JSON-LD</t>
        </is>
      </c>
    </row>
    <row r="123">
      <c r="A123" s="3" t="inlineStr">
        <is>
          <t>https://codesommet.com/services/seo-maroc</t>
        </is>
      </c>
      <c r="B123" t="inlineStr">
        <is>
          <t>Existing</t>
        </is>
      </c>
      <c r="C123" s="5" t="inlineStr">
        <is>
          <t>Quels outils utilisez-vous pour le SEO ?</t>
        </is>
      </c>
      <c r="D123" t="inlineStr">
        <is>
          <t>seo maroc</t>
        </is>
      </c>
      <c r="E123" t="inlineStr">
        <is>
          <t>ma</t>
        </is>
      </c>
      <c r="F123" s="5" t="inlineStr"/>
      <c r="G123" t="n">
        <v>320</v>
      </c>
      <c r="H123" t="n">
        <v>41</v>
      </c>
      <c r="I123" t="inlineStr">
        <is>
          <t>SEO</t>
        </is>
      </c>
      <c r="J123" t="inlineStr">
        <is>
          <t>MEASURED</t>
        </is>
      </c>
      <c r="K123">
        <f>ROUND(IF(ISNUMBER(G123),MIN(50,ROUND(50*LOG10(G123+1)/4,1)),5)+IF(ISNUMBER(H123),ROUND(30*(100-H123)/100,1),15)+IF(B123="New",20,10),0)</f>
        <v/>
      </c>
      <c r="L123" t="inlineStr">
        <is>
          <t>KEEP</t>
        </is>
      </c>
      <c r="M123" s="5" t="inlineStr">
        <is>
          <t>Relevant to page intent</t>
        </is>
      </c>
      <c r="N123" s="5" t="inlineStr">
        <is>
          <t>Nous utilisons Semrush (base de données Maroc) pour les volumes, la difficulté et l'analyse des concurrents, Google Search Console pour les requêtes et l'indexation réelles, Google Analytics pour le t</t>
        </is>
      </c>
      <c r="O123" t="inlineStr">
        <is>
          <t>P2</t>
        </is>
      </c>
      <c r="P123" t="inlineStr">
        <is>
          <t>FAQPage JSON-LD</t>
        </is>
      </c>
    </row>
    <row r="124">
      <c r="A124" s="3" t="inlineStr">
        <is>
          <t>https://codesommet.com/services/seo-maroc</t>
        </is>
      </c>
      <c r="B124" t="inlineStr">
        <is>
          <t>Existing</t>
        </is>
      </c>
      <c r="C124" s="5" t="inlineStr">
        <is>
          <t>Que comprend le netlinking et comment évitez-vous les pénalités ?</t>
        </is>
      </c>
      <c r="D124" t="inlineStr">
        <is>
          <t>agence seo maroc</t>
        </is>
      </c>
      <c r="E124" t="inlineStr">
        <is>
          <t>ma</t>
        </is>
      </c>
      <c r="F124" s="5" t="inlineStr"/>
      <c r="G124" t="n">
        <v>880</v>
      </c>
      <c r="H124" t="n">
        <v>44</v>
      </c>
      <c r="I124" t="inlineStr">
        <is>
          <t>Service scope</t>
        </is>
      </c>
      <c r="J124" t="inlineStr">
        <is>
          <t>MEASURED</t>
        </is>
      </c>
      <c r="K124">
        <f>ROUND(IF(ISNUMBER(G124),MIN(50,ROUND(50*LOG10(G124+1)/4,1)),5)+IF(ISNUMBER(H124),ROUND(30*(100-H124)/100,1),15)+IF(B124="New",20,10),0)</f>
        <v/>
      </c>
      <c r="L124" t="inlineStr">
        <is>
          <t>KEEP</t>
        </is>
      </c>
      <c r="M124" s="5" t="inlineStr">
        <is>
          <t>Relevant to page intent</t>
        </is>
      </c>
      <c r="N124" s="5" t="inlineStr">
        <is>
          <t>Le netlinking consiste à obtenir des liens depuis d'autres sites vers le vôtre. Nous privilégions quelques liens pertinents (partenaires, annuaires professionnels sérieux, presse spécialisée, contenus</t>
        </is>
      </c>
      <c r="O124" t="inlineStr">
        <is>
          <t>P2</t>
        </is>
      </c>
      <c r="P124" t="inlineStr">
        <is>
          <t>FAQPage JSON-LD</t>
        </is>
      </c>
    </row>
    <row r="125">
      <c r="A125" s="3" t="inlineStr">
        <is>
          <t>https://codesommet.com/services/seo-maroc</t>
        </is>
      </c>
      <c r="B125" t="inlineStr">
        <is>
          <t>Existing</t>
        </is>
      </c>
      <c r="C125" s="5" t="inlineStr">
        <is>
          <t>Proposez-vous un audit ponctuel ou un accompagnement mensuel ?</t>
        </is>
      </c>
      <c r="D125" t="inlineStr">
        <is>
          <t>agence seo maroc</t>
        </is>
      </c>
      <c r="E125" t="inlineStr">
        <is>
          <t>ma</t>
        </is>
      </c>
      <c r="F125" s="5" t="inlineStr"/>
      <c r="G125" t="n">
        <v>880</v>
      </c>
      <c r="H125" t="n">
        <v>44</v>
      </c>
      <c r="I125" t="inlineStr">
        <is>
          <t>Service scope</t>
        </is>
      </c>
      <c r="J125" t="inlineStr">
        <is>
          <t>MEASURED</t>
        </is>
      </c>
      <c r="K125">
        <f>ROUND(IF(ISNUMBER(G125),MIN(50,ROUND(50*LOG10(G125+1)/4,1)),5)+IF(ISNUMBER(H125),ROUND(30*(100-H125)/100,1),15)+IF(B125="New",20,10),0)</f>
        <v/>
      </c>
      <c r="L125" t="inlineStr">
        <is>
          <t>KEEP</t>
        </is>
      </c>
      <c r="M125" s="5" t="inlineStr">
        <is>
          <t>Relevant to page intent</t>
        </is>
      </c>
      <c r="N125" s="5" t="inlineStr">
        <is>
          <t xml:space="preserve">Oui. Nous proposons un audit avec optimisation ponctuelle pour corriger l'existant, et un accompagnement mensuel pour progresser dans la durée. Les deux sont chiffrés sur devis après analyse du site, </t>
        </is>
      </c>
      <c r="O125" t="inlineStr">
        <is>
          <t>P2</t>
        </is>
      </c>
      <c r="P125" t="inlineStr">
        <is>
          <t>FAQPage JSON-LD</t>
        </is>
      </c>
    </row>
    <row r="126">
      <c r="A126" s="3" t="inlineStr">
        <is>
          <t>https://codesommet.com/services/seo-maroc</t>
        </is>
      </c>
      <c r="B126" t="inlineStr">
        <is>
          <t>Existing</t>
        </is>
      </c>
      <c r="C126" s="5" t="inlineStr">
        <is>
          <t>Comment suivez-vous les résultats et les leads générés ?</t>
        </is>
      </c>
      <c r="D126" t="inlineStr">
        <is>
          <t>agence seo maroc</t>
        </is>
      </c>
      <c r="E126" t="inlineStr">
        <is>
          <t>ma</t>
        </is>
      </c>
      <c r="F126" s="5" t="inlineStr"/>
      <c r="G126" t="n">
        <v>880</v>
      </c>
      <c r="H126" t="n">
        <v>44</v>
      </c>
      <c r="I126" t="inlineStr">
        <is>
          <t>Service scope</t>
        </is>
      </c>
      <c r="J126" t="inlineStr">
        <is>
          <t>MEASURED</t>
        </is>
      </c>
      <c r="K126">
        <f>ROUND(IF(ISNUMBER(G126),MIN(50,ROUND(50*LOG10(G126+1)/4,1)),5)+IF(ISNUMBER(H126),ROUND(30*(100-H126)/100,1),15)+IF(B126="New",20,10),0)</f>
        <v/>
      </c>
      <c r="L126" t="inlineStr">
        <is>
          <t>KEEP</t>
        </is>
      </c>
      <c r="M126" s="5" t="inlineStr">
        <is>
          <t>Relevant to page intent</t>
        </is>
      </c>
      <c r="N126" s="5" t="inlineStr">
        <is>
          <t>Vous recevez un rapport mensuel qui détaille les actions réalisées, les positions des mots-clés ciblés, les impressions et clics issus de Search Console, le trafic organique et les demandes de contact</t>
        </is>
      </c>
      <c r="O126" t="inlineStr">
        <is>
          <t>P2</t>
        </is>
      </c>
      <c r="P126" t="inlineStr">
        <is>
          <t>FAQPage JSON-LD</t>
        </is>
      </c>
    </row>
    <row r="127">
      <c r="A127" s="3" t="inlineStr">
        <is>
          <t>https://codesommet.com/services/seo-maroc</t>
        </is>
      </c>
      <c r="B127" t="inlineStr">
        <is>
          <t>New</t>
        </is>
      </c>
      <c r="C127" s="5" t="inlineStr">
        <is>
          <t>Combien coûte une prestation SEO au Maroc ?</t>
        </is>
      </c>
      <c r="D127" t="inlineStr">
        <is>
          <t>prix seo maroc</t>
        </is>
      </c>
      <c r="E127" t="inlineStr">
        <is>
          <t>ma</t>
        </is>
      </c>
      <c r="F127" s="5" t="inlineStr">
        <is>
          <t>prix référencement naturel maroc [ma] UNAVAILABLE; agence seo prix [ma] UNAVAILABLE; combien coute le seo [ma] UNAVAILABLE</t>
        </is>
      </c>
      <c r="G127" t="inlineStr">
        <is>
          <t>NOT AVAILABLE</t>
        </is>
      </c>
      <c r="H127" t="inlineStr">
        <is>
          <t>NOT AVAILABLE</t>
        </is>
      </c>
      <c r="I127" t="inlineStr">
        <is>
          <t>Question</t>
        </is>
      </c>
      <c r="J127" t="inlineStr">
        <is>
          <t>UNAVAILABLE</t>
        </is>
      </c>
      <c r="K127">
        <f>ROUND(IF(ISNUMBER(G127),MIN(50,ROUND(50*LOG10(G127+1)/4,1)),5)+IF(ISNUMBER(H127),ROUND(30*(100-H127)/100,1),15)+IF(B127="New",20,10),0)</f>
        <v/>
      </c>
      <c r="L127" t="inlineStr">
        <is>
          <t>NEW</t>
        </is>
      </c>
      <c r="M127" s="5" t="inlineStr">
        <is>
          <t>Price comparison between agencies (competitors publish packages). | Why here: Page already has "Offres SEO Claires, Tarification Transparente". | Internal link: /get-quote</t>
        </is>
      </c>
      <c r="N127" s="5" t="inlineStr">
        <is>
          <t>Monthly retainer ranges, one-off audit, what drives cost, minimum duration.</t>
        </is>
      </c>
      <c r="O127" t="inlineStr">
        <is>
          <t>P1</t>
        </is>
      </c>
      <c r="P127" t="inlineStr"/>
    </row>
    <row r="128">
      <c r="A128" s="3" t="inlineStr">
        <is>
          <t>https://codesommet.com/services/seo-maroc</t>
        </is>
      </c>
      <c r="B128" t="inlineStr">
        <is>
          <t>New</t>
        </is>
      </c>
      <c r="C128" s="5" t="inlineStr">
        <is>
          <t>Proposez-vous un audit SEO gratuit ?</t>
        </is>
      </c>
      <c r="D128" t="inlineStr">
        <is>
          <t>audit seo gratuit</t>
        </is>
      </c>
      <c r="E128" t="inlineStr">
        <is>
          <t>fr</t>
        </is>
      </c>
      <c r="F128" s="5" t="inlineStr">
        <is>
          <t>audit seo gratuit [ma] 20; audit site web gratuit [fr] 480; analyse site web gratuit [fr] 880</t>
        </is>
      </c>
      <c r="G128" t="n">
        <v>1900</v>
      </c>
      <c r="H128" t="n">
        <v>31</v>
      </c>
      <c r="I128" t="inlineStr">
        <is>
          <t>Question</t>
        </is>
      </c>
      <c r="J128" t="inlineStr">
        <is>
          <t>MEASURED</t>
        </is>
      </c>
      <c r="K128">
        <f>ROUND(IF(ISNUMBER(G128),MIN(50,ROUND(50*LOG10(G128+1)/4,1)),5)+IF(ISNUMBER(H128),ROUND(30*(100-H128)/100,1),15)+IF(B128="New",20,10),0)</f>
        <v/>
      </c>
      <c r="L128" t="inlineStr">
        <is>
          <t>NEW</t>
        </is>
      </c>
      <c r="M128" s="5" t="inlineStr">
        <is>
          <t>FR 1900, KD 31; MA 20 - lead magnet query. | Why here: Links the SEO service to the free analyzer tool (lead capture). | Internal link: /tools/website-analyzer</t>
        </is>
      </c>
      <c r="N128" s="5" t="inlineStr">
        <is>
          <t>What the free automated audit covers vs paid audit; link to tool; how results are reviewed.</t>
        </is>
      </c>
      <c r="O128" t="inlineStr">
        <is>
          <t>P1</t>
        </is>
      </c>
      <c r="P128" t="inlineStr"/>
    </row>
    <row r="129">
      <c r="A129" s="3" t="inlineStr">
        <is>
          <t>https://codesommet.com/services/seo-maroc</t>
        </is>
      </c>
      <c r="B129" t="inlineStr">
        <is>
          <t>New</t>
        </is>
      </c>
      <c r="C129" s="5" t="inlineStr">
        <is>
          <t>Qu'est-ce que le SEO et pourquoi est-il important pour une entreprise marocaine ?</t>
        </is>
      </c>
      <c r="D129" t="inlineStr">
        <is>
          <t>qu'est ce que le seo</t>
        </is>
      </c>
      <c r="E129" t="inlineStr">
        <is>
          <t>ma</t>
        </is>
      </c>
      <c r="F129" s="5" t="inlineStr">
        <is>
          <t>c'est quoi le seo [ma] 20; comment faire du seo [ma] 20</t>
        </is>
      </c>
      <c r="G129" t="n">
        <v>20</v>
      </c>
      <c r="H129" t="inlineStr">
        <is>
          <t>NOT AVAILABLE</t>
        </is>
      </c>
      <c r="I129" t="inlineStr">
        <is>
          <t>Question</t>
        </is>
      </c>
      <c r="J129" t="inlineStr">
        <is>
          <t>MEASURED</t>
        </is>
      </c>
      <c r="K129">
        <f>ROUND(IF(ISNUMBER(G129),MIN(50,ROUND(50*LOG10(G129+1)/4,1)),5)+IF(ISNUMBER(H129),ROUND(30*(100-H129)/100,1),15)+IF(B129="New",20,10),0)</f>
        <v/>
      </c>
      <c r="L129" t="inlineStr">
        <is>
          <t>NEW</t>
        </is>
      </c>
      <c r="M129" s="5" t="inlineStr">
        <is>
          <t>MA 20 + 20 informational; entry point for beginners. | Why here: Educates prospects at the top of the funnel on the service page. | Internal link: /services/seo-maroc</t>
        </is>
      </c>
      <c r="N129" s="5" t="inlineStr">
        <is>
          <t>2-3 sentence definition, local examples (Google Maps, mobile), link to services.</t>
        </is>
      </c>
      <c r="O129" t="inlineStr">
        <is>
          <t>P3</t>
        </is>
      </c>
      <c r="P129" t="inlineStr"/>
    </row>
    <row r="130">
      <c r="A130" s="3" t="inlineStr">
        <is>
          <t>https://codesommet.com/services/seo-maroc</t>
        </is>
      </c>
      <c r="B130" t="inlineStr">
        <is>
          <t>New</t>
        </is>
      </c>
      <c r="C130" s="5" t="inlineStr">
        <is>
          <t>Combien de temps faut-il pour être référencé sur Google ?</t>
        </is>
      </c>
      <c r="D130" t="inlineStr">
        <is>
          <t>combien de temps pour être référencé sur google</t>
        </is>
      </c>
      <c r="E130" t="inlineStr">
        <is>
          <t>ma</t>
        </is>
      </c>
      <c r="F130" s="5" t="inlineStr"/>
      <c r="G130" t="inlineStr">
        <is>
          <t>NOT AVAILABLE</t>
        </is>
      </c>
      <c r="H130" t="inlineStr">
        <is>
          <t>NOT AVAILABLE</t>
        </is>
      </c>
      <c r="I130" t="inlineStr">
        <is>
          <t>Question</t>
        </is>
      </c>
      <c r="J130" t="inlineStr">
        <is>
          <t>UNAVAILABLE</t>
        </is>
      </c>
      <c r="K130">
        <f>ROUND(IF(ISNUMBER(G130),MIN(50,ROUND(50*LOG10(G130+1)/4,1)),5)+IF(ISNUMBER(H130),ROUND(30*(100-H130)/100,1),15)+IF(B130="New",20,10),0)</f>
        <v/>
      </c>
      <c r="L130" t="inlineStr">
        <is>
          <t>NEW</t>
        </is>
      </c>
      <c r="M130" s="5" t="inlineStr">
        <is>
          <t>Common expectation question. | Why here: Existing FAQ covers results timeline - merge rather than duplicate if similar. | Internal link: /services/seo-maroc</t>
        </is>
      </c>
      <c r="N130" s="5" t="inlineStr">
        <is>
          <t>Indexing vs ranking, typical 3-6+ months, factors.</t>
        </is>
      </c>
      <c r="O130" t="inlineStr">
        <is>
          <t>P3</t>
        </is>
      </c>
      <c r="P130" t="inlineStr"/>
    </row>
    <row r="131">
      <c r="A131" s="3" t="inlineStr">
        <is>
          <t>https://codesommet.com/services/study-abroad-website-development</t>
        </is>
      </c>
      <c r="B131" t="inlineStr">
        <is>
          <t>Existing</t>
        </is>
      </c>
      <c r="C131" s="5" t="inlineStr">
        <is>
          <t>Combien de temps faut-il pour créer un site web d'études à l'étranger ?</t>
        </is>
      </c>
      <c r="D131" t="inlineStr">
        <is>
          <t>site web agence études à l'étranger</t>
        </is>
      </c>
      <c r="E131" t="inlineStr">
        <is>
          <t>fr</t>
        </is>
      </c>
      <c r="F131" s="5" t="inlineStr"/>
      <c r="G131" t="inlineStr">
        <is>
          <t>NOT AVAILABLE</t>
        </is>
      </c>
      <c r="H131" t="inlineStr">
        <is>
          <t>NOT AVAILABLE</t>
        </is>
      </c>
      <c r="I131" t="inlineStr">
        <is>
          <t>Timeline</t>
        </is>
      </c>
      <c r="J131" t="inlineStr">
        <is>
          <t>UNAVAILABLE</t>
        </is>
      </c>
      <c r="K131">
        <f>ROUND(IF(ISNUMBER(G131),MIN(50,ROUND(50*LOG10(G131+1)/4,1)),5)+IF(ISNUMBER(H131),ROUND(30*(100-H131)/100,1),15)+IF(B131="New",20,10),0)</f>
        <v/>
      </c>
      <c r="L131" t="inlineStr">
        <is>
          <t>KEEP</t>
        </is>
      </c>
      <c r="M131" s="5" t="inlineStr">
        <is>
          <t>Relevant to page intent</t>
        </is>
      </c>
      <c r="N131" s="5" t="inlineStr">
        <is>
          <t xml:space="preserve">Pour un site vitrine de cabinet de conseil en études à l'étranger (destinations, programmes, formulaire de demande), nous livrons en 2-5 jours, voire en 2 jours avec notre formule express. Un portail </t>
        </is>
      </c>
      <c r="O131" t="inlineStr">
        <is>
          <t>P2</t>
        </is>
      </c>
      <c r="P131" t="inlineStr">
        <is>
          <t>FAQPage JSON-LD</t>
        </is>
      </c>
    </row>
    <row r="132">
      <c r="A132" s="3" t="inlineStr">
        <is>
          <t>https://codesommet.com/services/study-abroad-website-development</t>
        </is>
      </c>
      <c r="B132" t="inlineStr">
        <is>
          <t>Existing</t>
        </is>
      </c>
      <c r="C132" s="5" t="inlineStr">
        <is>
          <t>Fournissez-vous la rédaction de contenu pour les sites web d'études à l'étranger ?</t>
        </is>
      </c>
      <c r="D132" t="inlineStr">
        <is>
          <t>site web agence études à l'étranger</t>
        </is>
      </c>
      <c r="E132" t="inlineStr">
        <is>
          <t>fr</t>
        </is>
      </c>
      <c r="F132" s="5" t="inlineStr"/>
      <c r="G132" t="inlineStr">
        <is>
          <t>NOT AVAILABLE</t>
        </is>
      </c>
      <c r="H132" t="inlineStr">
        <is>
          <t>NOT AVAILABLE</t>
        </is>
      </c>
      <c r="I132" t="inlineStr">
        <is>
          <t>Service scope</t>
        </is>
      </c>
      <c r="J132" t="inlineStr">
        <is>
          <t>UNAVAILABLE</t>
        </is>
      </c>
      <c r="K132">
        <f>ROUND(IF(ISNUMBER(G132),MIN(50,ROUND(50*LOG10(G132+1)/4,1)),5)+IF(ISNUMBER(H132),ROUND(30*(100-H132)/100,1),15)+IF(B132="New",20,10),0)</f>
        <v/>
      </c>
      <c r="L132" t="inlineStr">
        <is>
          <t>KEEP</t>
        </is>
      </c>
      <c r="M132" s="5" t="inlineStr">
        <is>
          <t>Relevant to page intent</t>
        </is>
      </c>
      <c r="N132" s="5" t="inlineStr">
        <is>
          <t>Oui. Nous rédigeons les pages par destination (étudier au Canada, en Allemagne, au Royaume-Uni…), les fiches programmes, les guides sur les démarches et les textes de conversion, en respectant votre p</t>
        </is>
      </c>
      <c r="O132" t="inlineStr">
        <is>
          <t>P2</t>
        </is>
      </c>
      <c r="P132" t="inlineStr">
        <is>
          <t>FAQPage JSON-LD</t>
        </is>
      </c>
    </row>
    <row r="133">
      <c r="A133" s="3" t="inlineStr">
        <is>
          <t>https://codesommet.com/services/study-abroad-website-development</t>
        </is>
      </c>
      <c r="B133" t="inlineStr">
        <is>
          <t>Existing</t>
        </is>
      </c>
      <c r="C133" s="5" t="inlineStr">
        <is>
          <t>Le chatbot IA peut-il gérer les requêtes de visa en plusieurs langues ?</t>
        </is>
      </c>
      <c r="D133" t="inlineStr">
        <is>
          <t>site web agence études à l'étranger</t>
        </is>
      </c>
      <c r="E133" t="inlineStr">
        <is>
          <t>fr</t>
        </is>
      </c>
      <c r="F133" s="5" t="inlineStr"/>
      <c r="G133" t="inlineStr">
        <is>
          <t>NOT AVAILABLE</t>
        </is>
      </c>
      <c r="H133" t="inlineStr">
        <is>
          <t>NOT AVAILABLE</t>
        </is>
      </c>
      <c r="I133" t="inlineStr">
        <is>
          <t>Service scope</t>
        </is>
      </c>
      <c r="J133" t="inlineStr">
        <is>
          <t>UNAVAILABLE</t>
        </is>
      </c>
      <c r="K133">
        <f>ROUND(IF(ISNUMBER(G133),MIN(50,ROUND(50*LOG10(G133+1)/4,1)),5)+IF(ISNUMBER(H133),ROUND(30*(100-H133)/100,1),15)+IF(B133="New",20,10),0)</f>
        <v/>
      </c>
      <c r="L133" t="inlineStr">
        <is>
          <t>KEEP</t>
        </is>
      </c>
      <c r="M133" s="5" t="inlineStr">
        <is>
          <t>Relevant to page intent</t>
        </is>
      </c>
      <c r="N133" s="5" t="inlineStr">
        <is>
          <t>Oui. Le chatbot est entraîné sur les conditions d'admission et de visa des pays que vous couvrez, et répond dans la langue du candidat. Il pré-qualifie la demande (niveau d'études, budget, destination</t>
        </is>
      </c>
      <c r="O133" t="inlineStr">
        <is>
          <t>P2</t>
        </is>
      </c>
      <c r="P133" t="inlineStr">
        <is>
          <t>FAQPage JSON-LD</t>
        </is>
      </c>
    </row>
    <row r="134">
      <c r="A134" s="3" t="inlineStr">
        <is>
          <t>https://codesommet.com/services/study-abroad-website-development</t>
        </is>
      </c>
      <c r="B134" t="inlineStr">
        <is>
          <t>Existing</t>
        </is>
      </c>
      <c r="C134" s="5" t="inlineStr">
        <is>
          <t>Quels systèmes CRM intégrez-vous ?</t>
        </is>
      </c>
      <c r="D134" t="inlineStr">
        <is>
          <t>site web agence études à l'étranger</t>
        </is>
      </c>
      <c r="E134" t="inlineStr">
        <is>
          <t>fr</t>
        </is>
      </c>
      <c r="F134" s="5" t="inlineStr"/>
      <c r="G134" t="inlineStr">
        <is>
          <t>NOT AVAILABLE</t>
        </is>
      </c>
      <c r="H134" t="inlineStr">
        <is>
          <t>NOT AVAILABLE</t>
        </is>
      </c>
      <c r="I134" t="inlineStr">
        <is>
          <t>Service scope</t>
        </is>
      </c>
      <c r="J134" t="inlineStr">
        <is>
          <t>UNAVAILABLE</t>
        </is>
      </c>
      <c r="K134">
        <f>ROUND(IF(ISNUMBER(G134),MIN(50,ROUND(50*LOG10(G134+1)/4,1)),5)+IF(ISNUMBER(H134),ROUND(30*(100-H134)/100,1),15)+IF(B134="New",20,10),0)</f>
        <v/>
      </c>
      <c r="L134" t="inlineStr">
        <is>
          <t>KEEP</t>
        </is>
      </c>
      <c r="M134" s="5" t="inlineStr">
        <is>
          <t>Relevant to page intent</t>
        </is>
      </c>
      <c r="N134" s="5" t="inlineStr">
        <is>
          <t xml:space="preserve">Nous intégrons votre site au CRM déjà en place dans votre cabinet afin que chaque demande, relance et changement de statut y soit tracé. Si vous partez de zéro, nous configurons un pipeline adapté au </t>
        </is>
      </c>
      <c r="O134" t="inlineStr">
        <is>
          <t>P2</t>
        </is>
      </c>
      <c r="P134" t="inlineStr">
        <is>
          <t>FAQPage JSON-LD</t>
        </is>
      </c>
    </row>
    <row r="135">
      <c r="A135" s="3" t="inlineStr">
        <is>
          <t>https://codesommet.com/services/study-abroad-website-development</t>
        </is>
      </c>
      <c r="B135" t="inlineStr">
        <is>
          <t>Existing</t>
        </is>
      </c>
      <c r="C135" s="5" t="inlineStr">
        <is>
          <t>Pouvez-vous créer un système de suivi de documents de visa ?</t>
        </is>
      </c>
      <c r="D135" t="inlineStr">
        <is>
          <t>site web agence études à l'étranger</t>
        </is>
      </c>
      <c r="E135" t="inlineStr">
        <is>
          <t>fr</t>
        </is>
      </c>
      <c r="F135" s="5" t="inlineStr"/>
      <c r="G135" t="inlineStr">
        <is>
          <t>NOT AVAILABLE</t>
        </is>
      </c>
      <c r="H135" t="inlineStr">
        <is>
          <t>NOT AVAILABLE</t>
        </is>
      </c>
      <c r="I135" t="inlineStr">
        <is>
          <t>Service scope</t>
        </is>
      </c>
      <c r="J135" t="inlineStr">
        <is>
          <t>UNAVAILABLE</t>
        </is>
      </c>
      <c r="K135">
        <f>ROUND(IF(ISNUMBER(G135),MIN(50,ROUND(50*LOG10(G135+1)/4,1)),5)+IF(ISNUMBER(H135),ROUND(30*(100-H135)/100,1),15)+IF(B135="New",20,10),0)</f>
        <v/>
      </c>
      <c r="L135" t="inlineStr">
        <is>
          <t>KEEP</t>
        </is>
      </c>
      <c r="M135" s="5" t="inlineStr">
        <is>
          <t>Relevant to page intent</t>
        </is>
      </c>
      <c r="N135" s="5" t="inlineStr">
        <is>
          <t>Oui. Nous construisons un portail sécurisé où l'étudiant dépose ses pièces (passeport, relevés, justificatifs financiers, lettres) selon une liste de vérification propre à la destination. Votre équipe</t>
        </is>
      </c>
      <c r="O135" t="inlineStr">
        <is>
          <t>P2</t>
        </is>
      </c>
      <c r="P135" t="inlineStr">
        <is>
          <t>FAQPage JSON-LD</t>
        </is>
      </c>
    </row>
    <row r="136">
      <c r="A136" s="3" t="inlineStr">
        <is>
          <t>https://codesommet.com/services/study-abroad-website-development</t>
        </is>
      </c>
      <c r="B136" t="inlineStr">
        <is>
          <t>Existing</t>
        </is>
      </c>
      <c r="C136" s="5" t="inlineStr">
        <is>
          <t>Supportez-vous plusieurs devises et passerelles de paiement ?</t>
        </is>
      </c>
      <c r="D136" t="inlineStr">
        <is>
          <t>site web agence études à l'étranger</t>
        </is>
      </c>
      <c r="E136" t="inlineStr">
        <is>
          <t>fr</t>
        </is>
      </c>
      <c r="F136" s="5" t="inlineStr"/>
      <c r="G136" t="inlineStr">
        <is>
          <t>NOT AVAILABLE</t>
        </is>
      </c>
      <c r="H136" t="inlineStr">
        <is>
          <t>NOT AVAILABLE</t>
        </is>
      </c>
      <c r="I136" t="inlineStr">
        <is>
          <t>Payment</t>
        </is>
      </c>
      <c r="J136" t="inlineStr">
        <is>
          <t>UNAVAILABLE</t>
        </is>
      </c>
      <c r="K136">
        <f>ROUND(IF(ISNUMBER(G136),MIN(50,ROUND(50*LOG10(G136+1)/4,1)),5)+IF(ISNUMBER(H136),ROUND(30*(100-H136)/100,1),15)+IF(B136="New",20,10),0)</f>
        <v/>
      </c>
      <c r="L136" t="inlineStr">
        <is>
          <t>KEEP</t>
        </is>
      </c>
      <c r="M136" s="5" t="inlineStr">
        <is>
          <t>Relevant to page intent</t>
        </is>
      </c>
      <c r="N136" s="5" t="inlineStr">
        <is>
          <t>Oui. Vos étudiants viennent de pays différents : le site peut afficher vos frais de service dans la devise du candidat et accepter les paiements par carte ou virement selon les passerelles disponibles</t>
        </is>
      </c>
      <c r="O136" t="inlineStr">
        <is>
          <t>P2</t>
        </is>
      </c>
      <c r="P136" t="inlineStr">
        <is>
          <t>FAQPage JSON-LD</t>
        </is>
      </c>
    </row>
    <row r="137">
      <c r="A137" s="3" t="inlineStr">
        <is>
          <t>https://codesommet.com/services/study-abroad-website-development</t>
        </is>
      </c>
      <c r="B137" t="inlineStr">
        <is>
          <t>Existing</t>
        </is>
      </c>
      <c r="C137" s="5" t="inlineStr">
        <is>
          <t>Qu'est-ce qui vous différencie des autres développeurs web ?</t>
        </is>
      </c>
      <c r="D137" t="inlineStr">
        <is>
          <t>site web agence études à l'étranger</t>
        </is>
      </c>
      <c r="E137" t="inlineStr">
        <is>
          <t>fr</t>
        </is>
      </c>
      <c r="F137" s="5" t="inlineStr"/>
      <c r="G137" t="inlineStr">
        <is>
          <t>NOT AVAILABLE</t>
        </is>
      </c>
      <c r="H137" t="inlineStr">
        <is>
          <t>NOT AVAILABLE</t>
        </is>
      </c>
      <c r="I137" t="inlineStr">
        <is>
          <t>Differentiation</t>
        </is>
      </c>
      <c r="J137" t="inlineStr">
        <is>
          <t>UNAVAILABLE</t>
        </is>
      </c>
      <c r="K137">
        <f>ROUND(IF(ISNUMBER(G137),MIN(50,ROUND(50*LOG10(G137+1)/4,1)),5)+IF(ISNUMBER(H137),ROUND(30*(100-H137)/100,1),15)+IF(B137="New",20,10),0)</f>
        <v/>
      </c>
      <c r="L137" t="inlineStr">
        <is>
          <t>KEEP</t>
        </is>
      </c>
      <c r="M137" s="5" t="inlineStr">
        <is>
          <t>Relevant to page intent</t>
        </is>
      </c>
      <c r="N137" s="5" t="inlineStr">
        <is>
          <t>Un développeur généraliste livre un site de présentation ; nous concevons l'outil de travail de votre cabinet, avec parcours de candidature, gestion documentaire par pays et suivi des étapes jusqu'à l</t>
        </is>
      </c>
      <c r="O137" t="inlineStr">
        <is>
          <t>P2</t>
        </is>
      </c>
      <c r="P137" t="inlineStr">
        <is>
          <t>FAQPage JSON-LD</t>
        </is>
      </c>
    </row>
    <row r="138">
      <c r="A138" s="3" t="inlineStr">
        <is>
          <t>https://codesommet.com/services/study-abroad-website-development</t>
        </is>
      </c>
      <c r="B138" t="inlineStr">
        <is>
          <t>Existing</t>
        </is>
      </c>
      <c r="C138" s="5" t="inlineStr">
        <is>
          <t>Pouvez-vous aider avec Google Ads et le SEO pour les mots-clés études à l'étranger ?</t>
        </is>
      </c>
      <c r="D138" t="inlineStr">
        <is>
          <t>site web agence études à l'étranger</t>
        </is>
      </c>
      <c r="E138" t="inlineStr">
        <is>
          <t>fr</t>
        </is>
      </c>
      <c r="F138" s="5" t="inlineStr"/>
      <c r="G138" t="inlineStr">
        <is>
          <t>NOT AVAILABLE</t>
        </is>
      </c>
      <c r="H138" t="inlineStr">
        <is>
          <t>NOT AVAILABLE</t>
        </is>
      </c>
      <c r="I138" t="inlineStr">
        <is>
          <t>SEO</t>
        </is>
      </c>
      <c r="J138" t="inlineStr">
        <is>
          <t>UNAVAILABLE</t>
        </is>
      </c>
      <c r="K138">
        <f>ROUND(IF(ISNUMBER(G138),MIN(50,ROUND(50*LOG10(G138+1)/4,1)),5)+IF(ISNUMBER(H138),ROUND(30*(100-H138)/100,1),15)+IF(B138="New",20,10),0)</f>
        <v/>
      </c>
      <c r="L138" t="inlineStr">
        <is>
          <t>KEEP</t>
        </is>
      </c>
      <c r="M138" s="5" t="inlineStr">
        <is>
          <t>Relevant to page intent</t>
        </is>
      </c>
      <c r="N138" s="5" t="inlineStr">
        <is>
          <t>Oui. Nous créons des pages d'atterrissage par destination et par programme pour vos campagnes Google Ads, et structurons le site pour les recherches du type « étudier à l'étranger » ou « visa étudiant</t>
        </is>
      </c>
      <c r="O138" t="inlineStr">
        <is>
          <t>P2</t>
        </is>
      </c>
      <c r="P138" t="inlineStr">
        <is>
          <t>FAQPage JSON-LD</t>
        </is>
      </c>
    </row>
    <row r="139">
      <c r="A139" s="3" t="inlineStr">
        <is>
          <t>https://codesommet.com/services/telemedicine-platform-development</t>
        </is>
      </c>
      <c r="B139" t="inlineStr">
        <is>
          <t>Existing</t>
        </is>
      </c>
      <c r="C139" s="5" t="inlineStr">
        <is>
          <t>Combien de temps faut-il pour créer une plateforme de télémédecine ?</t>
        </is>
      </c>
      <c r="D139" t="inlineStr">
        <is>
          <t>plateforme de télémédecine</t>
        </is>
      </c>
      <c r="E139" t="inlineStr">
        <is>
          <t>fr</t>
        </is>
      </c>
      <c r="F139" s="5" t="inlineStr"/>
      <c r="G139" t="n">
        <v>20</v>
      </c>
      <c r="H139" t="inlineStr">
        <is>
          <t>NOT AVAILABLE</t>
        </is>
      </c>
      <c r="I139" t="inlineStr">
        <is>
          <t>Timeline</t>
        </is>
      </c>
      <c r="J139" t="inlineStr">
        <is>
          <t>MEASURED</t>
        </is>
      </c>
      <c r="K139">
        <f>ROUND(IF(ISNUMBER(G139),MIN(50,ROUND(50*LOG10(G139+1)/4,1)),5)+IF(ISNUMBER(H139),ROUND(30*(100-H139)/100,1),15)+IF(B139="New",20,10),0)</f>
        <v/>
      </c>
      <c r="L139" t="inlineStr">
        <is>
          <t>KEEP</t>
        </is>
      </c>
      <c r="M139" s="5" t="inlineStr">
        <is>
          <t>Matches measured pre-purchase demand</t>
        </is>
      </c>
      <c r="N139" s="5" t="inlineStr">
        <is>
          <t>Le délai dépend du périmètre fonctionnel : consultation vidéo seule, ou écosystème complet avec portail patient, tableau de bord médecin, e-prescription, paiements et intégrations. Nous découpons le p</t>
        </is>
      </c>
      <c r="O139" t="inlineStr">
        <is>
          <t>P2</t>
        </is>
      </c>
      <c r="P139" t="inlineStr">
        <is>
          <t>FAQPage JSON-LD</t>
        </is>
      </c>
    </row>
    <row r="140">
      <c r="A140" s="3" t="inlineStr">
        <is>
          <t>https://codesommet.com/services/telemedicine-platform-development</t>
        </is>
      </c>
      <c r="B140" t="inlineStr">
        <is>
          <t>Existing</t>
        </is>
      </c>
      <c r="C140" s="5" t="inlineStr">
        <is>
          <t>Comment l'architecture de la plateforme respecte-t-elle les exigences HIPAA ?</t>
        </is>
      </c>
      <c r="D140" t="inlineStr">
        <is>
          <t>plateforme téléconsultation</t>
        </is>
      </c>
      <c r="E140" t="inlineStr">
        <is>
          <t>fr</t>
        </is>
      </c>
      <c r="F140" s="5" t="inlineStr"/>
      <c r="G140" t="n">
        <v>70</v>
      </c>
      <c r="H140" t="n">
        <v>74</v>
      </c>
      <c r="I140" t="inlineStr">
        <is>
          <t>Service scope</t>
        </is>
      </c>
      <c r="J140" t="inlineStr">
        <is>
          <t>MEASURED</t>
        </is>
      </c>
      <c r="K140">
        <f>ROUND(IF(ISNUMBER(G140),MIN(50,ROUND(50*LOG10(G140+1)/4,1)),5)+IF(ISNUMBER(H140),ROUND(30*(100-H140)/100,1),15)+IF(B140="New",20,10),0)</f>
        <v/>
      </c>
      <c r="L140" t="inlineStr">
        <is>
          <t>KEEP</t>
        </is>
      </c>
      <c r="M140" s="5" t="inlineStr">
        <is>
          <t>Relevant to page intent</t>
        </is>
      </c>
      <c r="N140" s="5" t="inlineStr">
        <is>
          <t>Nous concevons la plateforme selon les bonnes pratiques HIPAA : flux vidéo chiffrés de bout en bout (WebRTC), messagerie sécurisée, stockage chiffré des données de santé, journaux d'audit, contrôles d</t>
        </is>
      </c>
      <c r="O140" t="inlineStr">
        <is>
          <t>P2</t>
        </is>
      </c>
      <c r="P140" t="inlineStr">
        <is>
          <t>FAQPage JSON-LD</t>
        </is>
      </c>
    </row>
    <row r="141">
      <c r="A141" s="3" t="inlineStr">
        <is>
          <t>https://codesommet.com/services/telemedicine-platform-development</t>
        </is>
      </c>
      <c r="B141" t="inlineStr">
        <is>
          <t>Existing</t>
        </is>
      </c>
      <c r="C141" s="5" t="inlineStr">
        <is>
          <t>Le vérificateur de symptômes IA peut-il gérer le triage médical ?</t>
        </is>
      </c>
      <c r="D141" t="inlineStr">
        <is>
          <t>logiciel téléconsultation</t>
        </is>
      </c>
      <c r="E141" t="inlineStr">
        <is>
          <t>fr</t>
        </is>
      </c>
      <c r="F141" s="5" t="inlineStr"/>
      <c r="G141" t="n">
        <v>210</v>
      </c>
      <c r="H141" t="n">
        <v>29</v>
      </c>
      <c r="I141" t="inlineStr">
        <is>
          <t>Service scope</t>
        </is>
      </c>
      <c r="J141" t="inlineStr">
        <is>
          <t>MEASURED</t>
        </is>
      </c>
      <c r="K141">
        <f>ROUND(IF(ISNUMBER(G141),MIN(50,ROUND(50*LOG10(G141+1)/4,1)),5)+IF(ISNUMBER(H141),ROUND(30*(100-H141)/100,1),15)+IF(B141="New",20,10),0)</f>
        <v/>
      </c>
      <c r="L141" t="inlineStr">
        <is>
          <t>KEEP</t>
        </is>
      </c>
      <c r="M141" s="5" t="inlineStr">
        <is>
          <t>Relevant to page intent</t>
        </is>
      </c>
      <c r="N141" s="5" t="inlineStr">
        <is>
          <t>Le vérificateur de symptômes IA réalise un pré-triage : il recueille les symptômes de façon conversationnelle, suggère une spécialité et un niveau d'urgence, puis transmet un résumé structuré au médec</t>
        </is>
      </c>
      <c r="O141" t="inlineStr">
        <is>
          <t>P2</t>
        </is>
      </c>
      <c r="P141" t="inlineStr">
        <is>
          <t>FAQPage JSON-LD</t>
        </is>
      </c>
    </row>
    <row r="142">
      <c r="A142" s="3" t="inlineStr">
        <is>
          <t>https://codesommet.com/services/telemedicine-platform-development</t>
        </is>
      </c>
      <c r="B142" t="inlineStr">
        <is>
          <t>Existing</t>
        </is>
      </c>
      <c r="C142" s="5" t="inlineStr">
        <is>
          <t>Quelle plateforme vidéo utilisez-vous pour les consultations ?</t>
        </is>
      </c>
      <c r="D142" t="inlineStr">
        <is>
          <t>plateforme téléconsultation</t>
        </is>
      </c>
      <c r="E142" t="inlineStr">
        <is>
          <t>fr</t>
        </is>
      </c>
      <c r="F142" s="5" t="inlineStr"/>
      <c r="G142" t="n">
        <v>70</v>
      </c>
      <c r="H142" t="n">
        <v>74</v>
      </c>
      <c r="I142" t="inlineStr">
        <is>
          <t>Service scope</t>
        </is>
      </c>
      <c r="J142" t="inlineStr">
        <is>
          <t>MEASURED</t>
        </is>
      </c>
      <c r="K142">
        <f>ROUND(IF(ISNUMBER(G142),MIN(50,ROUND(50*LOG10(G142+1)/4,1)),5)+IF(ISNUMBER(H142),ROUND(30*(100-H142)/100,1),15)+IF(B142="New",20,10),0)</f>
        <v/>
      </c>
      <c r="L142" t="inlineStr">
        <is>
          <t>KEEP</t>
        </is>
      </c>
      <c r="M142" s="5" t="inlineStr">
        <is>
          <t>Relevant to page intent</t>
        </is>
      </c>
      <c r="N142" s="5" t="inlineStr">
        <is>
          <t xml:space="preserve">Nous construisons le module de consultation vidéo sur WebRTC avec chiffrement de bout en bout, plutôt que sur des outils grand public qui ne répondent pas aux exigences liées aux données de santé. Il </t>
        </is>
      </c>
      <c r="O142" t="inlineStr">
        <is>
          <t>P2</t>
        </is>
      </c>
      <c r="P142" t="inlineStr">
        <is>
          <t>FAQPage JSON-LD</t>
        </is>
      </c>
    </row>
    <row r="143">
      <c r="A143" s="3" t="inlineStr">
        <is>
          <t>https://codesommet.com/services/telemedicine-platform-development</t>
        </is>
      </c>
      <c r="B143" t="inlineStr">
        <is>
          <t>Existing</t>
        </is>
      </c>
      <c r="C143" s="5" t="inlineStr">
        <is>
          <t>Pouvez-vous vous intégrer à notre système DME existant ?</t>
        </is>
      </c>
      <c r="D143" t="inlineStr">
        <is>
          <t>logiciel téléconsultation</t>
        </is>
      </c>
      <c r="E143" t="inlineStr">
        <is>
          <t>fr</t>
        </is>
      </c>
      <c r="F143" s="5" t="inlineStr"/>
      <c r="G143" t="n">
        <v>210</v>
      </c>
      <c r="H143" t="n">
        <v>29</v>
      </c>
      <c r="I143" t="inlineStr">
        <is>
          <t>Service scope</t>
        </is>
      </c>
      <c r="J143" t="inlineStr">
        <is>
          <t>MEASURED</t>
        </is>
      </c>
      <c r="K143">
        <f>ROUND(IF(ISNUMBER(G143),MIN(50,ROUND(50*LOG10(G143+1)/4,1)),5)+IF(ISNUMBER(H143),ROUND(30*(100-H143)/100,1),15)+IF(B143="New",20,10),0)</f>
        <v/>
      </c>
      <c r="L143" t="inlineStr">
        <is>
          <t>KEEP</t>
        </is>
      </c>
      <c r="M143" s="5" t="inlineStr">
        <is>
          <t>Relevant to page intent</t>
        </is>
      </c>
      <c r="N143" s="5" t="inlineStr">
        <is>
          <t xml:space="preserve">Oui, lorsque votre DME dispose d'une interface d'intégration documentée, nous synchronisons les dossiers patients, les comptes rendus de consultation et les prescriptions entre la plateforme et votre </t>
        </is>
      </c>
      <c r="O143" t="inlineStr">
        <is>
          <t>P2</t>
        </is>
      </c>
      <c r="P143" t="inlineStr">
        <is>
          <t>FAQPage JSON-LD</t>
        </is>
      </c>
    </row>
    <row r="144">
      <c r="A144" s="3" t="inlineStr">
        <is>
          <t>https://codesommet.com/services/telemedicine-platform-development</t>
        </is>
      </c>
      <c r="B144" t="inlineStr">
        <is>
          <t>Existing</t>
        </is>
      </c>
      <c r="C144" s="5" t="inlineStr">
        <is>
          <t>Supportez-vous les services de télémédecine internationaux ?</t>
        </is>
      </c>
      <c r="D144" t="inlineStr">
        <is>
          <t>logiciel télémédecine</t>
        </is>
      </c>
      <c r="E144" t="inlineStr">
        <is>
          <t>fr</t>
        </is>
      </c>
      <c r="F144" s="5" t="inlineStr"/>
      <c r="G144" t="n">
        <v>140</v>
      </c>
      <c r="H144" t="n">
        <v>21</v>
      </c>
      <c r="I144" t="inlineStr">
        <is>
          <t>Support</t>
        </is>
      </c>
      <c r="J144" t="inlineStr">
        <is>
          <t>MEASURED</t>
        </is>
      </c>
      <c r="K144">
        <f>ROUND(IF(ISNUMBER(G144),MIN(50,ROUND(50*LOG10(G144+1)/4,1)),5)+IF(ISNUMBER(H144),ROUND(30*(100-H144)/100,1),15)+IF(B144="New",20,10),0)</f>
        <v/>
      </c>
      <c r="L144" t="inlineStr">
        <is>
          <t>KEEP</t>
        </is>
      </c>
      <c r="M144" s="5" t="inlineStr">
        <is>
          <t>Relevant to page intent</t>
        </is>
      </c>
      <c r="N144" s="5" t="inlineStr">
        <is>
          <t>Oui, la plateforme est conçue dès le départ avec une architecture multilingue et multi-devises, ce qui convient aux services de télémédecine internationaux et au tourisme médical. Nous adaptons égalem</t>
        </is>
      </c>
      <c r="O144" t="inlineStr">
        <is>
          <t>P2</t>
        </is>
      </c>
      <c r="P144" t="inlineStr">
        <is>
          <t>FAQPage JSON-LD</t>
        </is>
      </c>
    </row>
    <row r="145">
      <c r="A145" s="3" t="inlineStr">
        <is>
          <t>https://codesommet.com/services/telemedicine-platform-development</t>
        </is>
      </c>
      <c r="B145" t="inlineStr">
        <is>
          <t>Existing</t>
        </is>
      </c>
      <c r="C145" s="5" t="inlineStr">
        <is>
          <t>Comment fonctionne l'e-prescription sur la plateforme ?</t>
        </is>
      </c>
      <c r="D145" t="inlineStr">
        <is>
          <t>plateforme téléconsultation</t>
        </is>
      </c>
      <c r="E145" t="inlineStr">
        <is>
          <t>fr</t>
        </is>
      </c>
      <c r="F145" s="5" t="inlineStr"/>
      <c r="G145" t="n">
        <v>70</v>
      </c>
      <c r="H145" t="n">
        <v>74</v>
      </c>
      <c r="I145" t="inlineStr">
        <is>
          <t>Definition / how it works</t>
        </is>
      </c>
      <c r="J145" t="inlineStr">
        <is>
          <t>MEASURED</t>
        </is>
      </c>
      <c r="K145">
        <f>ROUND(IF(ISNUMBER(G145),MIN(50,ROUND(50*LOG10(G145+1)/4,1)),5)+IF(ISNUMBER(H145),ROUND(30*(100-H145)/100,1),15)+IF(B145="New",20,10),0)</f>
        <v/>
      </c>
      <c r="L145" t="inlineStr">
        <is>
          <t>KEEP</t>
        </is>
      </c>
      <c r="M145" s="5" t="inlineStr">
        <is>
          <t>Relevant to page intent</t>
        </is>
      </c>
      <c r="N145" s="5" t="inlineStr">
        <is>
          <t>Le médecin rédige la prescription depuis son tableau de bord, elle est signée numériquement, horodatée et mise à disposition du patient dans son espace sécurisé. Lorsque des réseaux de pharmacies prop</t>
        </is>
      </c>
      <c r="O145" t="inlineStr">
        <is>
          <t>P2</t>
        </is>
      </c>
      <c r="P145" t="inlineStr">
        <is>
          <t>FAQPage JSON-LD</t>
        </is>
      </c>
    </row>
    <row r="146">
      <c r="A146" s="3" t="inlineStr">
        <is>
          <t>https://codesommet.com/services/telemedicine-platform-development</t>
        </is>
      </c>
      <c r="B146" t="inlineStr">
        <is>
          <t>Existing</t>
        </is>
      </c>
      <c r="C146" s="5" t="inlineStr">
        <is>
          <t>La plateforme peut-elle absorber un grand nombre de consultations simultanées ?</t>
        </is>
      </c>
      <c r="D146" t="inlineStr">
        <is>
          <t>plateforme téléconsultation</t>
        </is>
      </c>
      <c r="E146" t="inlineStr">
        <is>
          <t>fr</t>
        </is>
      </c>
      <c r="F146" s="5" t="inlineStr"/>
      <c r="G146" t="n">
        <v>70</v>
      </c>
      <c r="H146" t="n">
        <v>74</v>
      </c>
      <c r="I146" t="inlineStr">
        <is>
          <t>Service scope</t>
        </is>
      </c>
      <c r="J146" t="inlineStr">
        <is>
          <t>MEASURED</t>
        </is>
      </c>
      <c r="K146">
        <f>ROUND(IF(ISNUMBER(G146),MIN(50,ROUND(50*LOG10(G146+1)/4,1)),5)+IF(ISNUMBER(H146),ROUND(30*(100-H146)/100,1),15)+IF(B146="New",20,10),0)</f>
        <v/>
      </c>
      <c r="L146" t="inlineStr">
        <is>
          <t>KEEP</t>
        </is>
      </c>
      <c r="M146" s="5" t="inlineStr">
        <is>
          <t>Relevant to page intent</t>
        </is>
      </c>
      <c r="N146" s="5" t="inlineStr">
        <is>
          <t>Oui, l'architecture est conçue pour monter en charge : services vidéo découplés, infrastructure cloud élastique et tests de charge sur les consultations simultanées avant le lancement. Nous dimensionn</t>
        </is>
      </c>
      <c r="O146" t="inlineStr">
        <is>
          <t>P2</t>
        </is>
      </c>
      <c r="P146" t="inlineStr">
        <is>
          <t>FAQPage JSON-LD</t>
        </is>
      </c>
    </row>
    <row r="147">
      <c r="A147" s="3" t="inlineStr">
        <is>
          <t>https://codesommet.com/services/telemedicine-website-development</t>
        </is>
      </c>
      <c r="B147" t="inlineStr">
        <is>
          <t>Existing</t>
        </is>
      </c>
      <c r="C147" s="5" t="inlineStr">
        <is>
          <t>Que doit contenir le site web d'un cabinet ou d'une clinique proposant la téléconsultation ?</t>
        </is>
      </c>
      <c r="D147" t="inlineStr">
        <is>
          <t>site web cabinet médical</t>
        </is>
      </c>
      <c r="E147" t="inlineStr">
        <is>
          <t>fr</t>
        </is>
      </c>
      <c r="F147" s="5" t="inlineStr"/>
      <c r="G147" t="n">
        <v>20</v>
      </c>
      <c r="H147" t="inlineStr">
        <is>
          <t>NOT AVAILABLE</t>
        </is>
      </c>
      <c r="I147" t="inlineStr">
        <is>
          <t>Service scope</t>
        </is>
      </c>
      <c r="J147" t="inlineStr">
        <is>
          <t>MEASURED</t>
        </is>
      </c>
      <c r="K147">
        <f>ROUND(IF(ISNUMBER(G147),MIN(50,ROUND(50*LOG10(G147+1)/4,1)),5)+IF(ISNUMBER(H147),ROUND(30*(100-H147)/100,1),15)+IF(B147="New",20,10),0)</f>
        <v/>
      </c>
      <c r="L147" t="inlineStr">
        <is>
          <t>KEEP</t>
        </is>
      </c>
      <c r="M147" s="5" t="inlineStr">
        <is>
          <t>Relevant to page intent</t>
        </is>
      </c>
      <c r="N147" s="5" t="inlineStr">
        <is>
          <t xml:space="preserve">Une présentation claire des médecins et des spécialités, les informations pratiques (horaires, adresse, modalités de prise en charge), une page dédiée à la téléconsultation expliquant comment elle se </t>
        </is>
      </c>
      <c r="O147" t="inlineStr">
        <is>
          <t>P2</t>
        </is>
      </c>
      <c r="P147" t="inlineStr">
        <is>
          <t>FAQPage JSON-LD</t>
        </is>
      </c>
    </row>
    <row r="148">
      <c r="A148" s="3" t="inlineStr">
        <is>
          <t>https://codesommet.com/services/telemedicine-website-development</t>
        </is>
      </c>
      <c r="B148" t="inlineStr">
        <is>
          <t>Existing</t>
        </is>
      </c>
      <c r="C148" s="5" t="inlineStr">
        <is>
          <t>Comment le site génère-t-il des demandes de rendez-vous ?</t>
        </is>
      </c>
      <c r="D148" t="inlineStr">
        <is>
          <t>site web cabinet médical</t>
        </is>
      </c>
      <c r="E148" t="inlineStr">
        <is>
          <t>fr</t>
        </is>
      </c>
      <c r="F148" s="5" t="inlineStr"/>
      <c r="G148" t="n">
        <v>20</v>
      </c>
      <c r="H148" t="inlineStr">
        <is>
          <t>NOT AVAILABLE</t>
        </is>
      </c>
      <c r="I148" t="inlineStr">
        <is>
          <t>Service scope</t>
        </is>
      </c>
      <c r="J148" t="inlineStr">
        <is>
          <t>MEASURED</t>
        </is>
      </c>
      <c r="K148">
        <f>ROUND(IF(ISNUMBER(G148),MIN(50,ROUND(50*LOG10(G148+1)/4,1)),5)+IF(ISNUMBER(H148),ROUND(30*(100-H148)/100,1),15)+IF(B148="New",20,10),0)</f>
        <v/>
      </c>
      <c r="L148" t="inlineStr">
        <is>
          <t>KEEP</t>
        </is>
      </c>
      <c r="M148" s="5" t="inlineStr">
        <is>
          <t>Relevant to page intent</t>
        </is>
      </c>
      <c r="N148" s="5" t="inlineStr">
        <is>
          <t>Chaque page spécialité et chaque fiche médecin se termine par un bouton de prise de rendez-vous ou de contact. Le formulaire est court, ne demande que les informations nécessaires et peut être relié à</t>
        </is>
      </c>
      <c r="O148" t="inlineStr">
        <is>
          <t>P2</t>
        </is>
      </c>
      <c r="P148" t="inlineStr">
        <is>
          <t>FAQPage JSON-LD</t>
        </is>
      </c>
    </row>
    <row r="149">
      <c r="A149" s="3" t="inlineStr">
        <is>
          <t>https://codesommet.com/services/telemedicine-website-development</t>
        </is>
      </c>
      <c r="B149" t="inlineStr">
        <is>
          <t>Existing</t>
        </is>
      </c>
      <c r="C149" s="5" t="inlineStr">
        <is>
          <t>Le site peut-il présenter plusieurs médecins ou plusieurs spécialités ?</t>
        </is>
      </c>
      <c r="D149" t="inlineStr">
        <is>
          <t>site web cabinet médical</t>
        </is>
      </c>
      <c r="E149" t="inlineStr">
        <is>
          <t>fr</t>
        </is>
      </c>
      <c r="F149" s="5" t="inlineStr"/>
      <c r="G149" t="n">
        <v>20</v>
      </c>
      <c r="H149" t="inlineStr">
        <is>
          <t>NOT AVAILABLE</t>
        </is>
      </c>
      <c r="I149" t="inlineStr">
        <is>
          <t>Service scope</t>
        </is>
      </c>
      <c r="J149" t="inlineStr">
        <is>
          <t>MEASURED</t>
        </is>
      </c>
      <c r="K149">
        <f>ROUND(IF(ISNUMBER(G149),MIN(50,ROUND(50*LOG10(G149+1)/4,1)),5)+IF(ISNUMBER(H149),ROUND(30*(100-H149)/100,1),15)+IF(B149="New",20,10),0)</f>
        <v/>
      </c>
      <c r="L149" t="inlineStr">
        <is>
          <t>KEEP</t>
        </is>
      </c>
      <c r="M149" s="5" t="inlineStr">
        <is>
          <t>Relevant to page intent</t>
        </is>
      </c>
      <c r="N149" s="5" t="inlineStr">
        <is>
          <t>Oui. Nous structurons le site avec une page par spécialité et une fiche par praticien (parcours, spécialités, langues parlées, disponibilités en téléconsultation ou au cabinet). Cette structure aide l</t>
        </is>
      </c>
      <c r="O149" t="inlineStr">
        <is>
          <t>P2</t>
        </is>
      </c>
      <c r="P149" t="inlineStr">
        <is>
          <t>FAQPage JSON-LD</t>
        </is>
      </c>
    </row>
    <row r="150">
      <c r="A150" s="3" t="inlineStr">
        <is>
          <t>https://codesommet.com/services/telemedicine-website-development</t>
        </is>
      </c>
      <c r="B150" t="inlineStr">
        <is>
          <t>Existing</t>
        </is>
      </c>
      <c r="C150" s="5" t="inlineStr">
        <is>
          <t>Comment structurez-vous les services médicaux pour le référencement local ?</t>
        </is>
      </c>
      <c r="D150" t="inlineStr">
        <is>
          <t>agence seo maroc</t>
        </is>
      </c>
      <c r="E150" t="inlineStr">
        <is>
          <t>ma</t>
        </is>
      </c>
      <c r="F150" s="5" t="inlineStr"/>
      <c r="G150" t="n">
        <v>880</v>
      </c>
      <c r="H150" t="n">
        <v>44</v>
      </c>
      <c r="I150" t="inlineStr">
        <is>
          <t>SEO</t>
        </is>
      </c>
      <c r="J150" t="inlineStr">
        <is>
          <t>MEASURED</t>
        </is>
      </c>
      <c r="K150">
        <f>ROUND(IF(ISNUMBER(G150),MIN(50,ROUND(50*LOG10(G150+1)/4,1)),5)+IF(ISNUMBER(H150),ROUND(30*(100-H150)/100,1),15)+IF(B150="New",20,10),0)</f>
        <v/>
      </c>
      <c r="L150" t="inlineStr">
        <is>
          <t>KEEP</t>
        </is>
      </c>
      <c r="M150" s="5" t="inlineStr">
        <is>
          <t>Relevant to page intent</t>
        </is>
      </c>
      <c r="N150" s="5" t="inlineStr">
        <is>
          <t>Nous créons une page dédiée par service ou spécialité, avec un contenu précis, des titres clairs et les informations locales (ville, quartier, modalités d'accès). Nous soignons également les balises t</t>
        </is>
      </c>
      <c r="O150" t="inlineStr">
        <is>
          <t>P2</t>
        </is>
      </c>
      <c r="P150" t="inlineStr">
        <is>
          <t>FAQPage JSON-LD</t>
        </is>
      </c>
    </row>
    <row r="151">
      <c r="A151" s="3" t="inlineStr">
        <is>
          <t>https://codesommet.com/services/telemedicine-website-development</t>
        </is>
      </c>
      <c r="B151" t="inlineStr">
        <is>
          <t>Existing</t>
        </is>
      </c>
      <c r="C151" s="5" t="inlineStr">
        <is>
          <t>Le site peut-il s'intégrer à notre système de prise de rendez-vous existant ?</t>
        </is>
      </c>
      <c r="D151" t="inlineStr">
        <is>
          <t>site web cabinet médical</t>
        </is>
      </c>
      <c r="E151" t="inlineStr">
        <is>
          <t>fr</t>
        </is>
      </c>
      <c r="F151" s="5" t="inlineStr"/>
      <c r="G151" t="n">
        <v>20</v>
      </c>
      <c r="H151" t="inlineStr">
        <is>
          <t>NOT AVAILABLE</t>
        </is>
      </c>
      <c r="I151" t="inlineStr">
        <is>
          <t>Service scope</t>
        </is>
      </c>
      <c r="J151" t="inlineStr">
        <is>
          <t>MEASURED</t>
        </is>
      </c>
      <c r="K151">
        <f>ROUND(IF(ISNUMBER(G151),MIN(50,ROUND(50*LOG10(G151+1)/4,1)),5)+IF(ISNUMBER(H151),ROUND(30*(100-H151)/100,1),15)+IF(B151="New",20,10),0)</f>
        <v/>
      </c>
      <c r="L151" t="inlineStr">
        <is>
          <t>KEEP</t>
        </is>
      </c>
      <c r="M151" s="5" t="inlineStr">
        <is>
          <t>Relevant to page intent</t>
        </is>
      </c>
      <c r="N151" s="5" t="inlineStr">
        <is>
          <t xml:space="preserve">Dans la plupart des cas, oui : nous relions le bouton de prise de rendez-vous à votre outil actuel (agenda en ligne, logiciel de cabinet ou plateforme de réservation) plutôt que de le remplacer. Nous </t>
        </is>
      </c>
      <c r="O151" t="inlineStr">
        <is>
          <t>P2</t>
        </is>
      </c>
      <c r="P151" t="inlineStr">
        <is>
          <t>FAQPage JSON-LD</t>
        </is>
      </c>
    </row>
    <row r="152">
      <c r="A152" s="3" t="inlineStr">
        <is>
          <t>https://codesommet.com/services/telemedicine-website-development</t>
        </is>
      </c>
      <c r="B152" t="inlineStr">
        <is>
          <t>Existing</t>
        </is>
      </c>
      <c r="C152" s="5" t="inlineStr">
        <is>
          <t>Comment traitez-vous la confidentialité des informations saisies par les patients ?</t>
        </is>
      </c>
      <c r="D152" t="inlineStr">
        <is>
          <t>site web cabinet médical</t>
        </is>
      </c>
      <c r="E152" t="inlineStr">
        <is>
          <t>fr</t>
        </is>
      </c>
      <c r="F152" s="5" t="inlineStr"/>
      <c r="G152" t="n">
        <v>20</v>
      </c>
      <c r="H152" t="inlineStr">
        <is>
          <t>NOT AVAILABLE</t>
        </is>
      </c>
      <c r="I152" t="inlineStr">
        <is>
          <t>Service scope</t>
        </is>
      </c>
      <c r="J152" t="inlineStr">
        <is>
          <t>MEASURED</t>
        </is>
      </c>
      <c r="K152">
        <f>ROUND(IF(ISNUMBER(G152),MIN(50,ROUND(50*LOG10(G152+1)/4,1)),5)+IF(ISNUMBER(H152),ROUND(30*(100-H152)/100,1),15)+IF(B152="New",20,10),0)</f>
        <v/>
      </c>
      <c r="L152" t="inlineStr">
        <is>
          <t>KEEP</t>
        </is>
      </c>
      <c r="M152" s="5" t="inlineStr">
        <is>
          <t>Relevant to page intent</t>
        </is>
      </c>
      <c r="N152" s="5" t="inlineStr">
        <is>
          <t>Les formulaires de contact et de rendez-vous sont conçus pour ne collecter que le strict nécessaire, transmettre les demandes de manière sécurisée et afficher clairement les mentions de confidentialit</t>
        </is>
      </c>
      <c r="O152" t="inlineStr">
        <is>
          <t>P2</t>
        </is>
      </c>
      <c r="P152" t="inlineStr">
        <is>
          <t>FAQPage JSON-LD</t>
        </is>
      </c>
    </row>
    <row r="153">
      <c r="A153" s="3" t="inlineStr">
        <is>
          <t>https://codesommet.com/services/telemedicine-website-development</t>
        </is>
      </c>
      <c r="B153" t="inlineStr">
        <is>
          <t>Existing</t>
        </is>
      </c>
      <c r="C153" s="5" t="inlineStr">
        <is>
          <t>Pourrons-nous mettre à jour le site nous-mêmes (horaires, équipe, actualités) ?</t>
        </is>
      </c>
      <c r="D153" t="inlineStr">
        <is>
          <t>site web cabinet médical</t>
        </is>
      </c>
      <c r="E153" t="inlineStr">
        <is>
          <t>fr</t>
        </is>
      </c>
      <c r="F153" s="5" t="inlineStr"/>
      <c r="G153" t="n">
        <v>20</v>
      </c>
      <c r="H153" t="inlineStr">
        <is>
          <t>NOT AVAILABLE</t>
        </is>
      </c>
      <c r="I153" t="inlineStr">
        <is>
          <t>Service scope</t>
        </is>
      </c>
      <c r="J153" t="inlineStr">
        <is>
          <t>MEASURED</t>
        </is>
      </c>
      <c r="K153">
        <f>ROUND(IF(ISNUMBER(G153),MIN(50,ROUND(50*LOG10(G153+1)/4,1)),5)+IF(ISNUMBER(H153),ROUND(30*(100-H153)/100,1),15)+IF(B153="New",20,10),0)</f>
        <v/>
      </c>
      <c r="L153" t="inlineStr">
        <is>
          <t>KEEP</t>
        </is>
      </c>
      <c r="M153" s="5" t="inlineStr">
        <is>
          <t>Relevant to page intent</t>
        </is>
      </c>
      <c r="N153" s="5" t="inlineStr">
        <is>
          <t xml:space="preserve">Oui. Vous disposez d'un espace d'administration simple pour modifier les horaires, ajouter un praticien, mettre à jour une spécialité ou publier une actualité, sans compétence technique. Nous formons </t>
        </is>
      </c>
      <c r="O153" t="inlineStr">
        <is>
          <t>P2</t>
        </is>
      </c>
      <c r="P153" t="inlineStr">
        <is>
          <t>FAQPage JSON-LD</t>
        </is>
      </c>
    </row>
    <row r="154">
      <c r="A154" s="3" t="inlineStr">
        <is>
          <t>https://codesommet.com/services/telemedicine-website-development</t>
        </is>
      </c>
      <c r="B154" t="inlineStr">
        <is>
          <t>Existing</t>
        </is>
      </c>
      <c r="C154" s="5" t="inlineStr">
        <is>
          <t>Combien de temps prend la création d'un site web pour un cabinet médical ?</t>
        </is>
      </c>
      <c r="D154" t="inlineStr">
        <is>
          <t>site web cabinet médical</t>
        </is>
      </c>
      <c r="E154" t="inlineStr">
        <is>
          <t>fr</t>
        </is>
      </c>
      <c r="F154" s="5" t="inlineStr"/>
      <c r="G154" t="n">
        <v>20</v>
      </c>
      <c r="H154" t="inlineStr">
        <is>
          <t>NOT AVAILABLE</t>
        </is>
      </c>
      <c r="I154" t="inlineStr">
        <is>
          <t>Timeline</t>
        </is>
      </c>
      <c r="J154" t="inlineStr">
        <is>
          <t>MEASURED</t>
        </is>
      </c>
      <c r="K154">
        <f>ROUND(IF(ISNUMBER(G154),MIN(50,ROUND(50*LOG10(G154+1)/4,1)),5)+IF(ISNUMBER(H154),ROUND(30*(100-H154)/100,1),15)+IF(B154="New",20,10),0)</f>
        <v/>
      </c>
      <c r="L154" t="inlineStr">
        <is>
          <t>KEEP</t>
        </is>
      </c>
      <c r="M154" s="5" t="inlineStr">
        <is>
          <t>Matches measured pre-purchase demand</t>
        </is>
      </c>
      <c r="N154" s="5" t="inlineStr">
        <is>
          <t xml:space="preserve">Cela dépend du nombre de spécialités, de praticiens et de pages, ainsi que du contenu déjà disponible (photos, textes, informations pratiques). Un site de présentation standard peut être mis en ligne </t>
        </is>
      </c>
      <c r="O154" t="inlineStr">
        <is>
          <t>P2</t>
        </is>
      </c>
      <c r="P154" t="inlineStr">
        <is>
          <t>FAQPage JSON-LD</t>
        </is>
      </c>
    </row>
    <row r="155">
      <c r="A155" s="3" t="inlineStr">
        <is>
          <t>https://codesommet.com/services/university-website-development</t>
        </is>
      </c>
      <c r="B155" t="inlineStr">
        <is>
          <t>Existing</t>
        </is>
      </c>
      <c r="C155" s="5" t="inlineStr">
        <is>
          <t>Combien de temps faut-il pour créer un site web universitaire avec portail étudiant ?</t>
        </is>
      </c>
      <c r="D155" t="inlineStr">
        <is>
          <t>combien de temps pour créer un site internet</t>
        </is>
      </c>
      <c r="E155" t="inlineStr">
        <is>
          <t>fr</t>
        </is>
      </c>
      <c r="F155" s="5" t="inlineStr"/>
      <c r="G155" t="n">
        <v>90</v>
      </c>
      <c r="H155" t="n">
        <v>13</v>
      </c>
      <c r="I155" t="inlineStr">
        <is>
          <t>Timeline</t>
        </is>
      </c>
      <c r="J155" t="inlineStr">
        <is>
          <t>MEASURED</t>
        </is>
      </c>
      <c r="K155">
        <f>ROUND(IF(ISNUMBER(G155),MIN(50,ROUND(50*LOG10(G155+1)/4,1)),5)+IF(ISNUMBER(H155),ROUND(30*(100-H155)/100,1),15)+IF(B155="New",20,10),0)</f>
        <v/>
      </c>
      <c r="L155" t="inlineStr">
        <is>
          <t>KEEP</t>
        </is>
      </c>
      <c r="M155" s="5" t="inlineStr">
        <is>
          <t>Matches measured pre-purchase demand</t>
        </is>
      </c>
      <c r="N155" s="5" t="inlineStr">
        <is>
          <t xml:space="preserve">Un site institutionnel avec portail étudiant, catalogue de cours et système d'admission est un projet plus vaste qu'un simple site vitrine. Le délai dépend du nombre de modules, des intégrations avec </t>
        </is>
      </c>
      <c r="O155" t="inlineStr">
        <is>
          <t>P2</t>
        </is>
      </c>
      <c r="P155" t="inlineStr">
        <is>
          <t>FAQPage JSON-LD</t>
        </is>
      </c>
    </row>
    <row r="156">
      <c r="A156" s="3" t="inlineStr">
        <is>
          <t>https://codesommet.com/services/university-website-development</t>
        </is>
      </c>
      <c r="B156" t="inlineStr">
        <is>
          <t>Existing</t>
        </is>
      </c>
      <c r="C156" s="5" t="inlineStr">
        <is>
          <t>Pouvez-vous vous intégrer à notre LMS existant (Moodle, Canvas, Blackboard) ?</t>
        </is>
      </c>
      <c r="D156" t="inlineStr">
        <is>
          <t>site web université</t>
        </is>
      </c>
      <c r="E156" t="inlineStr">
        <is>
          <t>fr</t>
        </is>
      </c>
      <c r="F156" s="5" t="inlineStr"/>
      <c r="G156" t="n">
        <v>20</v>
      </c>
      <c r="H156" t="inlineStr">
        <is>
          <t>NOT AVAILABLE</t>
        </is>
      </c>
      <c r="I156" t="inlineStr">
        <is>
          <t>Service scope</t>
        </is>
      </c>
      <c r="J156" t="inlineStr">
        <is>
          <t>MEASURED</t>
        </is>
      </c>
      <c r="K156">
        <f>ROUND(IF(ISNUMBER(G156),MIN(50,ROUND(50*LOG10(G156+1)/4,1)),5)+IF(ISNUMBER(H156),ROUND(30*(100-H156)/100,1),15)+IF(B156="New",20,10),0)</f>
        <v/>
      </c>
      <c r="L156" t="inlineStr">
        <is>
          <t>KEEP</t>
        </is>
      </c>
      <c r="M156" s="5" t="inlineStr">
        <is>
          <t>Relevant to page intent</t>
        </is>
      </c>
      <c r="N156" s="5" t="inlineStr">
        <is>
          <t>Oui. Nous connectons le site et le portail étudiant à votre LMS existant, qu'il s'agisse de Moodle, Canvas ou Blackboard, afin que les étudiants accèdent à leurs cours depuis une expérience unifiée. N</t>
        </is>
      </c>
      <c r="O156" t="inlineStr">
        <is>
          <t>P2</t>
        </is>
      </c>
      <c r="P156" t="inlineStr">
        <is>
          <t>FAQPage JSON-LD</t>
        </is>
      </c>
    </row>
    <row r="157">
      <c r="A157" s="3" t="inlineStr">
        <is>
          <t>https://codesommet.com/services/university-website-development</t>
        </is>
      </c>
      <c r="B157" t="inlineStr">
        <is>
          <t>Existing</t>
        </is>
      </c>
      <c r="C157" s="5" t="inlineStr">
        <is>
          <t>Le système est-il conforme FERPA pour la protection des données étudiantes ?</t>
        </is>
      </c>
      <c r="D157" t="inlineStr">
        <is>
          <t>site web université</t>
        </is>
      </c>
      <c r="E157" t="inlineStr">
        <is>
          <t>fr</t>
        </is>
      </c>
      <c r="F157" s="5" t="inlineStr"/>
      <c r="G157" t="n">
        <v>20</v>
      </c>
      <c r="H157" t="inlineStr">
        <is>
          <t>NOT AVAILABLE</t>
        </is>
      </c>
      <c r="I157" t="inlineStr">
        <is>
          <t>Compliance / security</t>
        </is>
      </c>
      <c r="J157" t="inlineStr">
        <is>
          <t>MEASURED</t>
        </is>
      </c>
      <c r="K157">
        <f>ROUND(IF(ISNUMBER(G157),MIN(50,ROUND(50*LOG10(G157+1)/4,1)),5)+IF(ISNUMBER(H157),ROUND(30*(100-H157)/100,1),15)+IF(B157="New",20,10),0)</f>
        <v/>
      </c>
      <c r="L157" t="inlineStr">
        <is>
          <t>KEEP</t>
        </is>
      </c>
      <c r="M157" s="5" t="inlineStr">
        <is>
          <t>Relevant to page intent</t>
        </is>
      </c>
      <c r="N157" s="5" t="inlineStr">
        <is>
          <t>Nous concevons le portail selon les exigences de protection des données étudiantes applicables à votre établissement, y compris les principes FERPA pour les institutions concernées et les réglementati</t>
        </is>
      </c>
      <c r="O157" t="inlineStr">
        <is>
          <t>P2</t>
        </is>
      </c>
      <c r="P157" t="inlineStr">
        <is>
          <t>FAQPage JSON-LD</t>
        </is>
      </c>
    </row>
    <row r="158">
      <c r="A158" s="3" t="inlineStr">
        <is>
          <t>https://codesommet.com/services/university-website-development</t>
        </is>
      </c>
      <c r="B158" t="inlineStr">
        <is>
          <t>Existing</t>
        </is>
      </c>
      <c r="C158" s="5" t="inlineStr">
        <is>
          <t>Les étudiants internationaux peuvent-ils postuler et payer dans leur devise locale ?</t>
        </is>
      </c>
      <c r="D158" t="inlineStr">
        <is>
          <t>site web université</t>
        </is>
      </c>
      <c r="E158" t="inlineStr">
        <is>
          <t>fr</t>
        </is>
      </c>
      <c r="F158" s="5" t="inlineStr"/>
      <c r="G158" t="n">
        <v>20</v>
      </c>
      <c r="H158" t="inlineStr">
        <is>
          <t>NOT AVAILABLE</t>
        </is>
      </c>
      <c r="I158" t="inlineStr">
        <is>
          <t>Payment</t>
        </is>
      </c>
      <c r="J158" t="inlineStr">
        <is>
          <t>MEASURED</t>
        </is>
      </c>
      <c r="K158">
        <f>ROUND(IF(ISNUMBER(G158),MIN(50,ROUND(50*LOG10(G158+1)/4,1)),5)+IF(ISNUMBER(H158),ROUND(30*(100-H158)/100,1),15)+IF(B158="New",20,10),0)</f>
        <v/>
      </c>
      <c r="L158" t="inlineStr">
        <is>
          <t>KEEP</t>
        </is>
      </c>
      <c r="M158" s="5" t="inlineStr">
        <is>
          <t>Relevant to page intent</t>
        </is>
      </c>
      <c r="N158" s="5" t="inlineStr">
        <is>
          <t xml:space="preserve">Oui. Le portail d'admissions est multilingue et propose du contenu spécifique par pays, et les frais de candidature ou de scolarité peuvent être réglés via des passerelles de paiement internationales </t>
        </is>
      </c>
      <c r="O158" t="inlineStr">
        <is>
          <t>P2</t>
        </is>
      </c>
      <c r="P158" t="inlineStr">
        <is>
          <t>FAQPage JSON-LD</t>
        </is>
      </c>
    </row>
    <row r="159">
      <c r="A159" s="3" t="inlineStr">
        <is>
          <t>https://codesommet.com/services/university-website-development</t>
        </is>
      </c>
      <c r="B159" t="inlineStr">
        <is>
          <t>Existing</t>
        </is>
      </c>
      <c r="C159" s="5" t="inlineStr">
        <is>
          <t>Comment gérez-vous la vérification des documents pour les admissions ?</t>
        </is>
      </c>
      <c r="D159" t="inlineStr">
        <is>
          <t>site web université</t>
        </is>
      </c>
      <c r="E159" t="inlineStr">
        <is>
          <t>fr</t>
        </is>
      </c>
      <c r="F159" s="5" t="inlineStr"/>
      <c r="G159" t="n">
        <v>20</v>
      </c>
      <c r="H159" t="inlineStr">
        <is>
          <t>NOT AVAILABLE</t>
        </is>
      </c>
      <c r="I159" t="inlineStr">
        <is>
          <t>Service scope</t>
        </is>
      </c>
      <c r="J159" t="inlineStr">
        <is>
          <t>MEASURED</t>
        </is>
      </c>
      <c r="K159">
        <f>ROUND(IF(ISNUMBER(G159),MIN(50,ROUND(50*LOG10(G159+1)/4,1)),5)+IF(ISNUMBER(H159),ROUND(30*(100-H159)/100,1),15)+IF(B159="New",20,10),0)</f>
        <v/>
      </c>
      <c r="L159" t="inlineStr">
        <is>
          <t>KEEP</t>
        </is>
      </c>
      <c r="M159" s="5" t="inlineStr">
        <is>
          <t>Relevant to page intent</t>
        </is>
      </c>
      <c r="N159" s="5" t="inlineStr">
        <is>
          <t>Les candidats téléversent leurs relevés de notes, diplômes et pièces d'identité directement dans le portail. Le système vérifie le format, la complétude et les dates d'expiration, puis présente les do</t>
        </is>
      </c>
      <c r="O159" t="inlineStr">
        <is>
          <t>P2</t>
        </is>
      </c>
      <c r="P159" t="inlineStr">
        <is>
          <t>FAQPage JSON-LD</t>
        </is>
      </c>
    </row>
    <row r="160">
      <c r="A160" s="3" t="inlineStr">
        <is>
          <t>https://codesommet.com/services/university-website-development</t>
        </is>
      </c>
      <c r="B160" t="inlineStr">
        <is>
          <t>Existing</t>
        </is>
      </c>
      <c r="C160" s="5" t="inlineStr">
        <is>
          <t>Les étudiants peuvent-ils suivre le statut de leur candidature en ligne ?</t>
        </is>
      </c>
      <c r="D160" t="inlineStr">
        <is>
          <t>site web université</t>
        </is>
      </c>
      <c r="E160" t="inlineStr">
        <is>
          <t>fr</t>
        </is>
      </c>
      <c r="F160" s="5" t="inlineStr"/>
      <c r="G160" t="n">
        <v>20</v>
      </c>
      <c r="H160" t="inlineStr">
        <is>
          <t>NOT AVAILABLE</t>
        </is>
      </c>
      <c r="I160" t="inlineStr">
        <is>
          <t>Service scope</t>
        </is>
      </c>
      <c r="J160" t="inlineStr">
        <is>
          <t>MEASURED</t>
        </is>
      </c>
      <c r="K160">
        <f>ROUND(IF(ISNUMBER(G160),MIN(50,ROUND(50*LOG10(G160+1)/4,1)),5)+IF(ISNUMBER(H160),ROUND(30*(100-H160)/100,1),15)+IF(B160="New",20,10),0)</f>
        <v/>
      </c>
      <c r="L160" t="inlineStr">
        <is>
          <t>KEEP</t>
        </is>
      </c>
      <c r="M160" s="5" t="inlineStr">
        <is>
          <t>Relevant to page intent</t>
        </is>
      </c>
      <c r="N160" s="5" t="inlineStr">
        <is>
          <t>Oui. Chaque candidat dispose d'un espace personnel où il voit l'état de sa candidature en temps réel : dossier reçu, documents en cours de vérification, décision d'admission. Des notifications par e-m</t>
        </is>
      </c>
      <c r="O160" t="inlineStr">
        <is>
          <t>P2</t>
        </is>
      </c>
      <c r="P160" t="inlineStr">
        <is>
          <t>FAQPage JSON-LD</t>
        </is>
      </c>
    </row>
    <row r="161">
      <c r="A161" s="3" t="inlineStr">
        <is>
          <t>https://codesommet.com/services/university-website-development</t>
        </is>
      </c>
      <c r="B161" t="inlineStr">
        <is>
          <t>Existing</t>
        </is>
      </c>
      <c r="C161" s="5" t="inlineStr">
        <is>
          <t>Fournissez-vous une formation pour le personnel d'admission et les enseignants ?</t>
        </is>
      </c>
      <c r="D161" t="inlineStr">
        <is>
          <t>site web université</t>
        </is>
      </c>
      <c r="E161" t="inlineStr">
        <is>
          <t>fr</t>
        </is>
      </c>
      <c r="F161" s="5" t="inlineStr"/>
      <c r="G161" t="n">
        <v>20</v>
      </c>
      <c r="H161" t="inlineStr">
        <is>
          <t>NOT AVAILABLE</t>
        </is>
      </c>
      <c r="I161" t="inlineStr">
        <is>
          <t>Service scope</t>
        </is>
      </c>
      <c r="J161" t="inlineStr">
        <is>
          <t>MEASURED</t>
        </is>
      </c>
      <c r="K161">
        <f>ROUND(IF(ISNUMBER(G161),MIN(50,ROUND(50*LOG10(G161+1)/4,1)),5)+IF(ISNUMBER(H161),ROUND(30*(100-H161)/100,1),15)+IF(B161="New",20,10),0)</f>
        <v/>
      </c>
      <c r="L161" t="inlineStr">
        <is>
          <t>KEEP</t>
        </is>
      </c>
      <c r="M161" s="5" t="inlineStr">
        <is>
          <t>Relevant to page intent</t>
        </is>
      </c>
      <c r="N161" s="5" t="inlineStr">
        <is>
          <t>Oui. À la livraison, nous organisons une session de formation pour le personnel d'admission, les enseignants et les administrateurs afin qu'ils maîtrisent le tableau de bord, la gestion des candidatur</t>
        </is>
      </c>
      <c r="O161" t="inlineStr">
        <is>
          <t>P2</t>
        </is>
      </c>
      <c r="P161" t="inlineStr">
        <is>
          <t>FAQPage JSON-LD</t>
        </is>
      </c>
    </row>
    <row r="162">
      <c r="A162" s="3" t="inlineStr">
        <is>
          <t>https://codesommet.com/services/university-website-development</t>
        </is>
      </c>
      <c r="B162" t="inlineStr">
        <is>
          <t>Existing</t>
        </is>
      </c>
      <c r="C162" s="5" t="inlineStr">
        <is>
          <t>Pouvons-nous gérer plusieurs campus depuis un seul système ?</t>
        </is>
      </c>
      <c r="D162" t="inlineStr">
        <is>
          <t>site web université</t>
        </is>
      </c>
      <c r="E162" t="inlineStr">
        <is>
          <t>fr</t>
        </is>
      </c>
      <c r="F162" s="5" t="inlineStr"/>
      <c r="G162" t="n">
        <v>20</v>
      </c>
      <c r="H162" t="inlineStr">
        <is>
          <t>NOT AVAILABLE</t>
        </is>
      </c>
      <c r="I162" t="inlineStr">
        <is>
          <t>Service scope</t>
        </is>
      </c>
      <c r="J162" t="inlineStr">
        <is>
          <t>MEASURED</t>
        </is>
      </c>
      <c r="K162">
        <f>ROUND(IF(ISNUMBER(G162),MIN(50,ROUND(50*LOG10(G162+1)/4,1)),5)+IF(ISNUMBER(H162),ROUND(30*(100-H162)/100,1),15)+IF(B162="New",20,10),0)</f>
        <v/>
      </c>
      <c r="L162" t="inlineStr">
        <is>
          <t>KEEP</t>
        </is>
      </c>
      <c r="M162" s="5" t="inlineStr">
        <is>
          <t>Relevant to page intent</t>
        </is>
      </c>
      <c r="N162" s="5" t="inlineStr">
        <is>
          <t>Oui. Le système est conçu pour gérer plusieurs campus, facultés ou départements depuis une seule administration, avec des pages, catalogues de cours et équipes d'admission propres à chaque entité. Les</t>
        </is>
      </c>
      <c r="O162" t="inlineStr">
        <is>
          <t>P2</t>
        </is>
      </c>
      <c r="P162" t="inlineStr">
        <is>
          <t>FAQPage JSON-LD</t>
        </is>
      </c>
    </row>
    <row r="163">
      <c r="A163" s="3" t="inlineStr">
        <is>
          <t>https://codesommet.com/tools/ai-crawler-access-checker</t>
        </is>
      </c>
      <c r="B163" t="inlineStr">
        <is>
          <t>Existing</t>
        </is>
      </c>
      <c r="C163" s="5" t="inlineStr">
        <is>
          <t>Faut-il bloquer les robots d'IA ?</t>
        </is>
      </c>
      <c r="D163" t="inlineStr">
        <is>
          <t>robots ia</t>
        </is>
      </c>
      <c r="E163" t="inlineStr">
        <is>
          <t>fr</t>
        </is>
      </c>
      <c r="F163" s="5" t="inlineStr"/>
      <c r="G163" t="n">
        <v>320</v>
      </c>
      <c r="H163" t="n">
        <v>33</v>
      </c>
      <c r="I163" t="inlineStr">
        <is>
          <t>Service scope</t>
        </is>
      </c>
      <c r="J163" t="inlineStr">
        <is>
          <t>MEASURED</t>
        </is>
      </c>
      <c r="K163">
        <f>ROUND(IF(ISNUMBER(G163),MIN(50,ROUND(50*LOG10(G163+1)/4,1)),5)+IF(ISNUMBER(H163),ROUND(30*(100-H163)/100,1),15)+IF(B163="New",20,10),0)</f>
        <v/>
      </c>
      <c r="L163" t="inlineStr">
        <is>
          <t>KEEP</t>
        </is>
      </c>
      <c r="M163" s="5" t="inlineStr">
        <is>
          <t>Relevant to page intent</t>
        </is>
      </c>
      <c r="N163" s="5" t="inlineStr">
        <is>
          <t xml:space="preserve">Cela dépend de votre objectif. Bloquer les robots d'entraînement (GPTBot, ClaudeBot, Google-Extended…) protège vos contenus de l'apprentissage des modèles sans toucher à votre visibilité. Bloquer les </t>
        </is>
      </c>
      <c r="O163" t="inlineStr">
        <is>
          <t>P3</t>
        </is>
      </c>
      <c r="P163" t="inlineStr">
        <is>
          <t>Visible only (no FAQPage schema)</t>
        </is>
      </c>
    </row>
    <row r="164">
      <c r="A164" s="3" t="inlineStr">
        <is>
          <t>https://codesommet.com/tools/ai-crawler-access-checker</t>
        </is>
      </c>
      <c r="B164" t="inlineStr">
        <is>
          <t>Existing</t>
        </is>
      </c>
      <c r="C164" s="5" t="inlineStr">
        <is>
          <t>Google-Extended bloque-t-il Google Search ?</t>
        </is>
      </c>
      <c r="D164" t="inlineStr">
        <is>
          <t>agence seo maroc</t>
        </is>
      </c>
      <c r="E164" t="inlineStr">
        <is>
          <t>ma</t>
        </is>
      </c>
      <c r="F164" s="5" t="inlineStr"/>
      <c r="G164" t="n">
        <v>880</v>
      </c>
      <c r="H164" t="n">
        <v>44</v>
      </c>
      <c r="I164" t="inlineStr">
        <is>
          <t>SEO</t>
        </is>
      </c>
      <c r="J164" t="inlineStr">
        <is>
          <t>MEASURED</t>
        </is>
      </c>
      <c r="K164">
        <f>ROUND(IF(ISNUMBER(G164),MIN(50,ROUND(50*LOG10(G164+1)/4,1)),5)+IF(ISNUMBER(H164),ROUND(30*(100-H164)/100,1),15)+IF(B164="New",20,10),0)</f>
        <v/>
      </c>
      <c r="L164" t="inlineStr">
        <is>
          <t>KEEP</t>
        </is>
      </c>
      <c r="M164" s="5" t="inlineStr">
        <is>
          <t>Relevant to page intent</t>
        </is>
      </c>
      <c r="N164" s="5" t="inlineStr">
        <is>
          <t>Non. Google-Extended ne contrôle que l'utilisation de vos contenus pour entraîner Gemini. Googlebot reste responsable de la recherche et des AI Overviews : le bloquer vous retire des résultats classiq</t>
        </is>
      </c>
      <c r="O164" t="inlineStr">
        <is>
          <t>P3</t>
        </is>
      </c>
      <c r="P164" t="inlineStr">
        <is>
          <t>Visible only (no FAQPage schema)</t>
        </is>
      </c>
    </row>
    <row r="165">
      <c r="A165" s="3" t="inlineStr">
        <is>
          <t>https://codesommet.com/tools/ai-crawler-access-checker</t>
        </is>
      </c>
      <c r="B165" t="inlineStr">
        <is>
          <t>Existing</t>
        </is>
      </c>
      <c r="C165" s="5" t="inlineStr">
        <is>
          <t>Qu'est-ce que llms.txt ?</t>
        </is>
      </c>
      <c r="D165" t="inlineStr">
        <is>
          <t>robots ia</t>
        </is>
      </c>
      <c r="E165" t="inlineStr">
        <is>
          <t>fr</t>
        </is>
      </c>
      <c r="F165" s="5" t="inlineStr"/>
      <c r="G165" t="n">
        <v>320</v>
      </c>
      <c r="H165" t="n">
        <v>33</v>
      </c>
      <c r="I165" t="inlineStr">
        <is>
          <t>Definition / how it works</t>
        </is>
      </c>
      <c r="J165" t="inlineStr">
        <is>
          <t>MEASURED</t>
        </is>
      </c>
      <c r="K165">
        <f>ROUND(IF(ISNUMBER(G165),MIN(50,ROUND(50*LOG10(G165+1)/4,1)),5)+IF(ISNUMBER(H165),ROUND(30*(100-H165)/100,1),15)+IF(B165="New",20,10),0)</f>
        <v/>
      </c>
      <c r="L165" t="inlineStr">
        <is>
          <t>KEEP</t>
        </is>
      </c>
      <c r="M165" s="5" t="inlineStr">
        <is>
          <t>Relevant to page intent</t>
        </is>
      </c>
      <c r="N165" s="5" t="inlineStr">
        <is>
          <t>Un fichier texte proposé à la racine du site (/llms.txt) qui résume en Markdown ce que le site propose et liste ses pages essentielles, pour aider les assistants IA à le comprendre. Son adoption par l</t>
        </is>
      </c>
      <c r="O165" t="inlineStr">
        <is>
          <t>P3</t>
        </is>
      </c>
      <c r="P165" t="inlineStr">
        <is>
          <t>Visible only (no FAQPage schema)</t>
        </is>
      </c>
    </row>
    <row r="166">
      <c r="A166" s="3" t="inlineStr">
        <is>
          <t>https://codesommet.com/tools/ai-crawler-access-checker</t>
        </is>
      </c>
      <c r="B166" t="inlineStr">
        <is>
          <t>Existing</t>
        </is>
      </c>
      <c r="C166" s="5" t="inlineStr">
        <is>
          <t>À quoi servent noai et max-snippet ?</t>
        </is>
      </c>
      <c r="D166" t="inlineStr">
        <is>
          <t>robots ia</t>
        </is>
      </c>
      <c r="E166" t="inlineStr">
        <is>
          <t>fr</t>
        </is>
      </c>
      <c r="F166" s="5" t="inlineStr"/>
      <c r="G166" t="n">
        <v>320</v>
      </c>
      <c r="H166" t="n">
        <v>33</v>
      </c>
      <c r="I166" t="inlineStr">
        <is>
          <t>Definition / how it works</t>
        </is>
      </c>
      <c r="J166" t="inlineStr">
        <is>
          <t>MEASURED</t>
        </is>
      </c>
      <c r="K166">
        <f>ROUND(IF(ISNUMBER(G166),MIN(50,ROUND(50*LOG10(G166+1)/4,1)),5)+IF(ISNUMBER(H166),ROUND(30*(100-H166)/100,1),15)+IF(B166="New",20,10),0)</f>
        <v/>
      </c>
      <c r="L166" t="inlineStr">
        <is>
          <t>KEEP</t>
        </is>
      </c>
      <c r="M166" s="5" t="inlineStr">
        <is>
          <t>Relevant to page intent</t>
        </is>
      </c>
      <c r="N166" s="5" t="inlineStr">
        <is>
          <t>« noai » et « noimageai » sont des valeurs de meta robots proposées par certains acteurs pour refuser l'entraînement ; leur respect n'est pas garanti. « max-snippet » limite la longueur de l'extrait q</t>
        </is>
      </c>
      <c r="O166" t="inlineStr">
        <is>
          <t>P3</t>
        </is>
      </c>
      <c r="P166" t="inlineStr">
        <is>
          <t>Visible only (no FAQPage schema)</t>
        </is>
      </c>
    </row>
    <row r="167">
      <c r="A167" s="3" t="inlineStr">
        <is>
          <t>https://codesommet.com/tools/ai-crawler-access-checker</t>
        </is>
      </c>
      <c r="B167" t="inlineStr">
        <is>
          <t>Existing</t>
        </is>
      </c>
      <c r="C167" s="5" t="inlineStr">
        <is>
          <t>Un robot peut-il ignorer mon robots.txt ?</t>
        </is>
      </c>
      <c r="D167" t="inlineStr">
        <is>
          <t>robots ia</t>
        </is>
      </c>
      <c r="E167" t="inlineStr">
        <is>
          <t>fr</t>
        </is>
      </c>
      <c r="F167" s="5" t="inlineStr"/>
      <c r="G167" t="n">
        <v>320</v>
      </c>
      <c r="H167" t="n">
        <v>33</v>
      </c>
      <c r="I167" t="inlineStr">
        <is>
          <t>Service scope</t>
        </is>
      </c>
      <c r="J167" t="inlineStr">
        <is>
          <t>MEASURED</t>
        </is>
      </c>
      <c r="K167">
        <f>ROUND(IF(ISNUMBER(G167),MIN(50,ROUND(50*LOG10(G167+1)/4,1)),5)+IF(ISNUMBER(H167),ROUND(30*(100-H167)/100,1),15)+IF(B167="New",20,10),0)</f>
        <v/>
      </c>
      <c r="L167" t="inlineStr">
        <is>
          <t>KEEP</t>
        </is>
      </c>
      <c r="M167" s="5" t="inlineStr">
        <is>
          <t>Relevant to page intent</t>
        </is>
      </c>
      <c r="N167" s="5" t="inlineStr">
        <is>
          <t xml:space="preserve">Oui, techniquement. Les grands éditeurs (OpenAI, Anthropic, Google, Microsoft, Apple, Perplexity pour son robot déclaré) annoncent le respecter. Pour les autres, seuls un blocage au niveau du serveur </t>
        </is>
      </c>
      <c r="O167" t="inlineStr">
        <is>
          <t>P3</t>
        </is>
      </c>
      <c r="P167" t="inlineStr">
        <is>
          <t>Visible only (no FAQPage schema)</t>
        </is>
      </c>
    </row>
    <row r="168">
      <c r="A168" s="3" t="inlineStr">
        <is>
          <t>https://codesommet.com/tools/ai-crawler-access-checker</t>
        </is>
      </c>
      <c r="B168" t="inlineStr">
        <is>
          <t>Existing</t>
        </is>
      </c>
      <c r="C168" s="5" t="inlineStr">
        <is>
          <t>Pourquoi le résultat diffère entre la page d'accueil et une autre page ?</t>
        </is>
      </c>
      <c r="D168" t="inlineStr">
        <is>
          <t>robots ia</t>
        </is>
      </c>
      <c r="E168" t="inlineStr">
        <is>
          <t>fr</t>
        </is>
      </c>
      <c r="F168" s="5" t="inlineStr"/>
      <c r="G168" t="n">
        <v>320</v>
      </c>
      <c r="H168" t="n">
        <v>33</v>
      </c>
      <c r="I168" t="inlineStr">
        <is>
          <t>Service scope</t>
        </is>
      </c>
      <c r="J168" t="inlineStr">
        <is>
          <t>MEASURED</t>
        </is>
      </c>
      <c r="K168">
        <f>ROUND(IF(ISNUMBER(G168),MIN(50,ROUND(50*LOG10(G168+1)/4,1)),5)+IF(ISNUMBER(H168),ROUND(30*(100-H168)/100,1),15)+IF(B168="New",20,10),0)</f>
        <v/>
      </c>
      <c r="L168" t="inlineStr">
        <is>
          <t>KEEP</t>
        </is>
      </c>
      <c r="M168" s="5" t="inlineStr">
        <is>
          <t>Relevant to page intent</t>
        </is>
      </c>
      <c r="N168" s="5" t="inlineStr">
        <is>
          <t>Les règles robots.txt s'appliquent par chemin : « Disallow: /blog/ » bloque les articles mais pas l'accueil. L'outil évalue l'URL exacte que vous indiquez ; testez plusieurs sections si vos règles son</t>
        </is>
      </c>
      <c r="O168" t="inlineStr">
        <is>
          <t>P3</t>
        </is>
      </c>
      <c r="P168" t="inlineStr">
        <is>
          <t>Visible only (no FAQPage schema)</t>
        </is>
      </c>
    </row>
    <row r="169">
      <c r="A169" s="3" t="inlineStr">
        <is>
          <t>https://codesommet.com/tools/ai-readiness-checker</t>
        </is>
      </c>
      <c r="B169" t="inlineStr">
        <is>
          <t>Existing</t>
        </is>
      </c>
      <c r="C169" s="5" t="inlineStr">
        <is>
          <t>Pourquoi le texte sans JavaScript est-il si important ?</t>
        </is>
      </c>
      <c r="D169" t="inlineStr">
        <is>
          <t>geo seo</t>
        </is>
      </c>
      <c r="E169" t="inlineStr">
        <is>
          <t>fr</t>
        </is>
      </c>
      <c r="F169" s="5" t="inlineStr"/>
      <c r="G169" t="n">
        <v>1900</v>
      </c>
      <c r="H169" t="n">
        <v>34</v>
      </c>
      <c r="I169" t="inlineStr">
        <is>
          <t>Service scope</t>
        </is>
      </c>
      <c r="J169" t="inlineStr">
        <is>
          <t>MEASURED</t>
        </is>
      </c>
      <c r="K169">
        <f>ROUND(IF(ISNUMBER(G169),MIN(50,ROUND(50*LOG10(G169+1)/4,1)),5)+IF(ISNUMBER(H169),ROUND(30*(100-H169)/100,1),15)+IF(B169="New",20,10),0)</f>
        <v/>
      </c>
      <c r="L169" t="inlineStr">
        <is>
          <t>KEEP</t>
        </is>
      </c>
      <c r="M169" s="5" t="inlineStr">
        <is>
          <t>Relevant to page intent</t>
        </is>
      </c>
      <c r="N169" s="5" t="inlineStr">
        <is>
          <t>La plupart des robots d'IA téléchargent le HTML sans exécuter les scripts. Un site dont le contenu n'apparaît qu'après rendu dans le navigateur leur paraît presque vide.</t>
        </is>
      </c>
      <c r="O169" t="inlineStr">
        <is>
          <t>P3</t>
        </is>
      </c>
      <c r="P169" t="inlineStr">
        <is>
          <t>Visible only (no FAQPage schema)</t>
        </is>
      </c>
    </row>
    <row r="170">
      <c r="A170" s="3" t="inlineStr">
        <is>
          <t>https://codesommet.com/tools/ai-readiness-checker</t>
        </is>
      </c>
      <c r="B170" t="inlineStr">
        <is>
          <t>Existing</t>
        </is>
      </c>
      <c r="C170" s="5" t="inlineStr">
        <is>
          <t>nosnippet bloque-t-il les AI Overviews ?</t>
        </is>
      </c>
      <c r="D170" t="inlineStr">
        <is>
          <t>geo seo</t>
        </is>
      </c>
      <c r="E170" t="inlineStr">
        <is>
          <t>fr</t>
        </is>
      </c>
      <c r="F170" s="5" t="inlineStr"/>
      <c r="G170" t="n">
        <v>1900</v>
      </c>
      <c r="H170" t="n">
        <v>34</v>
      </c>
      <c r="I170" t="inlineStr">
        <is>
          <t>Service scope</t>
        </is>
      </c>
      <c r="J170" t="inlineStr">
        <is>
          <t>MEASURED</t>
        </is>
      </c>
      <c r="K170">
        <f>ROUND(IF(ISNUMBER(G170),MIN(50,ROUND(50*LOG10(G170+1)/4,1)),5)+IF(ISNUMBER(H170),ROUND(30*(100-H170)/100,1),15)+IF(B170="New",20,10),0)</f>
        <v/>
      </c>
      <c r="L170" t="inlineStr">
        <is>
          <t>KEEP</t>
        </is>
      </c>
      <c r="M170" s="5" t="inlineStr">
        <is>
          <t>Relevant to page intent</t>
        </is>
      </c>
      <c r="N170" s="5" t="inlineStr">
        <is>
          <t>Oui. Google indique que nosnippet, max-snippet et data-nosnippet limitent aussi l'usage du contenu dans AI Overviews et AI Mode. Un noindex retire la page de l'index, donc des réponses qui s'en serven</t>
        </is>
      </c>
      <c r="O170" t="inlineStr">
        <is>
          <t>P3</t>
        </is>
      </c>
      <c r="P170" t="inlineStr">
        <is>
          <t>Visible only (no FAQPage schema)</t>
        </is>
      </c>
    </row>
    <row r="171">
      <c r="A171" s="3" t="inlineStr">
        <is>
          <t>https://codesommet.com/tools/ai-readiness-checker</t>
        </is>
      </c>
      <c r="B171" t="inlineStr">
        <is>
          <t>Existing</t>
        </is>
      </c>
      <c r="C171" s="5" t="inlineStr">
        <is>
          <t>Faut-il bloquer GPTBot ou Google-Extended ?</t>
        </is>
      </c>
      <c r="D171" t="inlineStr">
        <is>
          <t>agence seo maroc</t>
        </is>
      </c>
      <c r="E171" t="inlineStr">
        <is>
          <t>ma</t>
        </is>
      </c>
      <c r="F171" s="5" t="inlineStr"/>
      <c r="G171" t="n">
        <v>880</v>
      </c>
      <c r="H171" t="n">
        <v>44</v>
      </c>
      <c r="I171" t="inlineStr">
        <is>
          <t>SEO</t>
        </is>
      </c>
      <c r="J171" t="inlineStr">
        <is>
          <t>MEASURED</t>
        </is>
      </c>
      <c r="K171">
        <f>ROUND(IF(ISNUMBER(G171),MIN(50,ROUND(50*LOG10(G171+1)/4,1)),5)+IF(ISNUMBER(H171),ROUND(30*(100-H171)/100,1),15)+IF(B171="New",20,10),0)</f>
        <v/>
      </c>
      <c r="L171" t="inlineStr">
        <is>
          <t>KEEP</t>
        </is>
      </c>
      <c r="M171" s="5" t="inlineStr">
        <is>
          <t>Relevant to page intent</t>
        </is>
      </c>
      <c r="N171" s="5" t="inlineStr">
        <is>
          <t>Ces robots servent à l'entraînement des modèles ; les bloquer n'empêche pas d'apparaître dans ChatGPT Search (OAI-SearchBot) ou dans la recherche Google (Googlebot). Cet outil ne contrôle que les robo</t>
        </is>
      </c>
      <c r="O171" t="inlineStr">
        <is>
          <t>P3</t>
        </is>
      </c>
      <c r="P171" t="inlineStr">
        <is>
          <t>Visible only (no FAQPage schema)</t>
        </is>
      </c>
    </row>
    <row r="172">
      <c r="A172" s="3" t="inlineStr">
        <is>
          <t>https://codesommet.com/tools/ai-readiness-checker</t>
        </is>
      </c>
      <c r="B172" t="inlineStr">
        <is>
          <t>Existing</t>
        </is>
      </c>
      <c r="C172" s="5" t="inlineStr">
        <is>
          <t>Le fichier llms.txt est-il obligatoire ?</t>
        </is>
      </c>
      <c r="D172" t="inlineStr">
        <is>
          <t>geo seo</t>
        </is>
      </c>
      <c r="E172" t="inlineStr">
        <is>
          <t>fr</t>
        </is>
      </c>
      <c r="F172" s="5" t="inlineStr"/>
      <c r="G172" t="n">
        <v>1900</v>
      </c>
      <c r="H172" t="n">
        <v>34</v>
      </c>
      <c r="I172" t="inlineStr">
        <is>
          <t>Service scope</t>
        </is>
      </c>
      <c r="J172" t="inlineStr">
        <is>
          <t>MEASURED</t>
        </is>
      </c>
      <c r="K172">
        <f>ROUND(IF(ISNUMBER(G172),MIN(50,ROUND(50*LOG10(G172+1)/4,1)),5)+IF(ISNUMBER(H172),ROUND(30*(100-H172)/100,1),15)+IF(B172="New",20,10),0)</f>
        <v/>
      </c>
      <c r="L172" t="inlineStr">
        <is>
          <t>KEEP</t>
        </is>
      </c>
      <c r="M172" s="5" t="inlineStr">
        <is>
          <t>Relevant to page intent</t>
        </is>
      </c>
      <c r="N172" s="5" t="inlineStr">
        <is>
          <t>Non. C'est une proposition de format lue par certains outils, que Google n'utilise pas. Il est signalé à titre d'information et ne change pas le score.</t>
        </is>
      </c>
      <c r="O172" t="inlineStr">
        <is>
          <t>P3</t>
        </is>
      </c>
      <c r="P172" t="inlineStr">
        <is>
          <t>Visible only (no FAQPage schema)</t>
        </is>
      </c>
    </row>
    <row r="173">
      <c r="A173" s="3" t="inlineStr">
        <is>
          <t>https://codesommet.com/tools/base64-encoder</t>
        </is>
      </c>
      <c r="B173" t="inlineStr">
        <is>
          <t>Existing</t>
        </is>
      </c>
      <c r="C173" s="5" t="inlineStr">
        <is>
          <t>Qu'est-ce que l'encodage Base64 et pourquoi est-il utilisé ?</t>
        </is>
      </c>
      <c r="D173" t="inlineStr">
        <is>
          <t>base64 decode</t>
        </is>
      </c>
      <c r="E173" t="inlineStr">
        <is>
          <t>fr</t>
        </is>
      </c>
      <c r="F173" s="5" t="inlineStr"/>
      <c r="G173" t="n">
        <v>9900</v>
      </c>
      <c r="H173" t="n">
        <v>60</v>
      </c>
      <c r="I173" t="inlineStr">
        <is>
          <t>Location / logistics</t>
        </is>
      </c>
      <c r="J173" t="inlineStr">
        <is>
          <t>MEASURED</t>
        </is>
      </c>
      <c r="K173">
        <f>ROUND(IF(ISNUMBER(G173),MIN(50,ROUND(50*LOG10(G173+1)/4,1)),5)+IF(ISNUMBER(H173),ROUND(30*(100-H173)/100,1),15)+IF(B173="New",20,10),0)</f>
        <v/>
      </c>
      <c r="L173" t="inlineStr">
        <is>
          <t>KEEP</t>
        </is>
      </c>
      <c r="M173" s="5" t="inlineStr">
        <is>
          <t>Relevant to page intent</t>
        </is>
      </c>
      <c r="N173" s="5" t="inlineStr">
        <is>
          <t>Base64 est un schéma d'encodage binaire vers texte qui convertit les données binaires en format texte ASCII en utilisant 64 caractères (A-Z, a-z, 0-9, +, /). Il est essentiel pour transmettre des donn</t>
        </is>
      </c>
      <c r="O173" t="inlineStr">
        <is>
          <t>P3</t>
        </is>
      </c>
      <c r="P173" t="inlineStr">
        <is>
          <t>Visible only (no FAQPage schema)</t>
        </is>
      </c>
    </row>
    <row r="174">
      <c r="A174" s="3" t="inlineStr">
        <is>
          <t>https://codesommet.com/tools/base64-encoder</t>
        </is>
      </c>
      <c r="B174" t="inlineStr">
        <is>
          <t>Existing</t>
        </is>
      </c>
      <c r="C174" s="5" t="inlineStr">
        <is>
          <t>L'encodage Base64 est-il une forme de chiffrement ou sécurisé ?</t>
        </is>
      </c>
      <c r="D174" t="inlineStr">
        <is>
          <t>base64 decode</t>
        </is>
      </c>
      <c r="E174" t="inlineStr">
        <is>
          <t>fr</t>
        </is>
      </c>
      <c r="F174" s="5" t="inlineStr"/>
      <c r="G174" t="n">
        <v>9900</v>
      </c>
      <c r="H174" t="n">
        <v>60</v>
      </c>
      <c r="I174" t="inlineStr">
        <is>
          <t>Location / logistics</t>
        </is>
      </c>
      <c r="J174" t="inlineStr">
        <is>
          <t>MEASURED</t>
        </is>
      </c>
      <c r="K174">
        <f>ROUND(IF(ISNUMBER(G174),MIN(50,ROUND(50*LOG10(G174+1)/4,1)),5)+IF(ISNUMBER(H174),ROUND(30*(100-H174)/100,1),15)+IF(B174="New",20,10),0)</f>
        <v/>
      </c>
      <c r="L174" t="inlineStr">
        <is>
          <t>KEEP</t>
        </is>
      </c>
      <c r="M174" s="5" t="inlineStr">
        <is>
          <t>Relevant to page intent</t>
        </is>
      </c>
      <c r="N174" s="5" t="inlineStr">
        <is>
          <t>Non, Base64 n'est PAS du chiffrement ni une mesure de sécurité. C'est simplement un format d'encodage qui rend les données binaires compatibles avec le texte. N'importe qui peut facilement décoder des</t>
        </is>
      </c>
      <c r="O174" t="inlineStr">
        <is>
          <t>P3</t>
        </is>
      </c>
      <c r="P174" t="inlineStr">
        <is>
          <t>Visible only (no FAQPage schema)</t>
        </is>
      </c>
    </row>
    <row r="175">
      <c r="A175" s="3" t="inlineStr">
        <is>
          <t>https://codesommet.com/tools/base64-encoder</t>
        </is>
      </c>
      <c r="B175" t="inlineStr">
        <is>
          <t>Existing</t>
        </is>
      </c>
      <c r="C175" s="5" t="inlineStr">
        <is>
          <t>Pourquoi l'encodage Base64 augmente-t-il la taille des fichiers ?</t>
        </is>
      </c>
      <c r="D175" t="inlineStr">
        <is>
          <t>base64 decode</t>
        </is>
      </c>
      <c r="E175" t="inlineStr">
        <is>
          <t>fr</t>
        </is>
      </c>
      <c r="F175" s="5" t="inlineStr"/>
      <c r="G175" t="n">
        <v>9900</v>
      </c>
      <c r="H175" t="n">
        <v>60</v>
      </c>
      <c r="I175" t="inlineStr">
        <is>
          <t>Location / logistics</t>
        </is>
      </c>
      <c r="J175" t="inlineStr">
        <is>
          <t>MEASURED</t>
        </is>
      </c>
      <c r="K175">
        <f>ROUND(IF(ISNUMBER(G175),MIN(50,ROUND(50*LOG10(G175+1)/4,1)),5)+IF(ISNUMBER(H175),ROUND(30*(100-H175)/100,1),15)+IF(B175="New",20,10),0)</f>
        <v/>
      </c>
      <c r="L175" t="inlineStr">
        <is>
          <t>KEEP</t>
        </is>
      </c>
      <c r="M175" s="5" t="inlineStr">
        <is>
          <t>Relevant to page intent</t>
        </is>
      </c>
      <c r="N175" s="5" t="inlineStr">
        <is>
          <t>L'encodage Base64 augmente la taille des fichiers d'environ 33 % car il représente 3 octets de données binaires en utilisant 4 caractères ASCII. Ce surcoût est le compromis pour rendre les données bin</t>
        </is>
      </c>
      <c r="O175" t="inlineStr">
        <is>
          <t>P3</t>
        </is>
      </c>
      <c r="P175" t="inlineStr">
        <is>
          <t>Visible only (no FAQPage schema)</t>
        </is>
      </c>
    </row>
    <row r="176">
      <c r="A176" s="3" t="inlineStr">
        <is>
          <t>https://codesommet.com/tools/base64-encoder</t>
        </is>
      </c>
      <c r="B176" t="inlineStr">
        <is>
          <t>Existing</t>
        </is>
      </c>
      <c r="C176" s="5" t="inlineStr">
        <is>
          <t>Quand dois-je utiliser l'encodage Base64 pour les images ?</t>
        </is>
      </c>
      <c r="D176" t="inlineStr">
        <is>
          <t>base64 decode</t>
        </is>
      </c>
      <c r="E176" t="inlineStr">
        <is>
          <t>fr</t>
        </is>
      </c>
      <c r="F176" s="5" t="inlineStr"/>
      <c r="G176" t="n">
        <v>9900</v>
      </c>
      <c r="H176" t="n">
        <v>60</v>
      </c>
      <c r="I176" t="inlineStr">
        <is>
          <t>Timeline</t>
        </is>
      </c>
      <c r="J176" t="inlineStr">
        <is>
          <t>MEASURED</t>
        </is>
      </c>
      <c r="K176">
        <f>ROUND(IF(ISNUMBER(G176),MIN(50,ROUND(50*LOG10(G176+1)/4,1)),5)+IF(ISNUMBER(H176),ROUND(30*(100-H176)/100,1),15)+IF(B176="New",20,10),0)</f>
        <v/>
      </c>
      <c r="L176" t="inlineStr">
        <is>
          <t>KEEP</t>
        </is>
      </c>
      <c r="M176" s="5" t="inlineStr">
        <is>
          <t>Matches measured pre-purchase demand</t>
        </is>
      </c>
      <c r="N176" s="5" t="inlineStr">
        <is>
          <t>Utilisez Base64 pour les images lorsque vous avez besoin de data URI en ligne dans HTML/CSS pour de petites icônes ou logos (moins de 10 Ko) afin de réduire les requêtes HTTP et améliorer la vitesse d</t>
        </is>
      </c>
      <c r="O176" t="inlineStr">
        <is>
          <t>P3</t>
        </is>
      </c>
      <c r="P176" t="inlineStr">
        <is>
          <t>Visible only (no FAQPage schema)</t>
        </is>
      </c>
    </row>
    <row r="177">
      <c r="A177" s="3" t="inlineStr">
        <is>
          <t>https://codesommet.com/tools/base64-encoder</t>
        </is>
      </c>
      <c r="B177" t="inlineStr">
        <is>
          <t>Existing</t>
        </is>
      </c>
      <c r="C177" s="5" t="inlineStr">
        <is>
          <t>Qu'est-ce que l'encodage Base64 sécurisé pour les URL ?</t>
        </is>
      </c>
      <c r="D177" t="inlineStr">
        <is>
          <t>base64 decode</t>
        </is>
      </c>
      <c r="E177" t="inlineStr">
        <is>
          <t>fr</t>
        </is>
      </c>
      <c r="F177" s="5" t="inlineStr"/>
      <c r="G177" t="n">
        <v>9900</v>
      </c>
      <c r="H177" t="n">
        <v>60</v>
      </c>
      <c r="I177" t="inlineStr">
        <is>
          <t>Location / logistics</t>
        </is>
      </c>
      <c r="J177" t="inlineStr">
        <is>
          <t>MEASURED</t>
        </is>
      </c>
      <c r="K177">
        <f>ROUND(IF(ISNUMBER(G177),MIN(50,ROUND(50*LOG10(G177+1)/4,1)),5)+IF(ISNUMBER(H177),ROUND(30*(100-H177)/100,1),15)+IF(B177="New",20,10),0)</f>
        <v/>
      </c>
      <c r="L177" t="inlineStr">
        <is>
          <t>KEEP</t>
        </is>
      </c>
      <c r="M177" s="5" t="inlineStr">
        <is>
          <t>Relevant to page intent</t>
        </is>
      </c>
      <c r="N177" s="5" t="inlineStr">
        <is>
          <t>Le Base64 sécurisé pour les URL remplace les caractères standard '+' et '/' par '-' et '_' respectivement, et supprime les caractères de remplissage '='. Cela évite les problèmes lorsque les chaînes B</t>
        </is>
      </c>
      <c r="O177" t="inlineStr">
        <is>
          <t>P3</t>
        </is>
      </c>
      <c r="P177" t="inlineStr">
        <is>
          <t>Visible only (no FAQPage schema)</t>
        </is>
      </c>
    </row>
    <row r="178">
      <c r="A178" s="3" t="inlineStr">
        <is>
          <t>https://codesommet.com/tools/base64-encoder</t>
        </is>
      </c>
      <c r="B178" t="inlineStr">
        <is>
          <t>Existing</t>
        </is>
      </c>
      <c r="C178" s="5" t="inlineStr">
        <is>
          <t>L'encodage Base64 peut-il corrompre mes données ?</t>
        </is>
      </c>
      <c r="D178" t="inlineStr">
        <is>
          <t>base64 decode</t>
        </is>
      </c>
      <c r="E178" t="inlineStr">
        <is>
          <t>fr</t>
        </is>
      </c>
      <c r="F178" s="5" t="inlineStr"/>
      <c r="G178" t="n">
        <v>9900</v>
      </c>
      <c r="H178" t="n">
        <v>60</v>
      </c>
      <c r="I178" t="inlineStr">
        <is>
          <t>Location / logistics</t>
        </is>
      </c>
      <c r="J178" t="inlineStr">
        <is>
          <t>MEASURED</t>
        </is>
      </c>
      <c r="K178">
        <f>ROUND(IF(ISNUMBER(G178),MIN(50,ROUND(50*LOG10(G178+1)/4,1)),5)+IF(ISNUMBER(H178),ROUND(30*(100-H178)/100,1),15)+IF(B178="New",20,10),0)</f>
        <v/>
      </c>
      <c r="L178" t="inlineStr">
        <is>
          <t>KEEP</t>
        </is>
      </c>
      <c r="M178" s="5" t="inlineStr">
        <is>
          <t>Relevant to page intent</t>
        </is>
      </c>
      <c r="N178" s="5" t="inlineStr">
        <is>
          <t>Non, l'encodage/décodage Base64 est un processus sans perte. Vos données originales restent parfaitement intactes lorsqu'elles sont correctement encodées et décodées. Cependant, des erreurs d'encodage</t>
        </is>
      </c>
      <c r="O178" t="inlineStr">
        <is>
          <t>P3</t>
        </is>
      </c>
      <c r="P178" t="inlineStr">
        <is>
          <t>Visible only (no FAQPage schema)</t>
        </is>
      </c>
    </row>
    <row r="179">
      <c r="A179" s="3" t="inlineStr">
        <is>
          <t>https://codesommet.com/tools/base64-encoder</t>
        </is>
      </c>
      <c r="B179" t="inlineStr">
        <is>
          <t>Existing</t>
        </is>
      </c>
      <c r="C179" s="5" t="inlineStr">
        <is>
          <t>Quels sont les cas d'utilisation courants du Base64 en développement web ?</t>
        </is>
      </c>
      <c r="D179" t="inlineStr">
        <is>
          <t>base64 decode</t>
        </is>
      </c>
      <c r="E179" t="inlineStr">
        <is>
          <t>fr</t>
        </is>
      </c>
      <c r="F179" s="5" t="inlineStr"/>
      <c r="G179" t="n">
        <v>9900</v>
      </c>
      <c r="H179" t="n">
        <v>60</v>
      </c>
      <c r="I179" t="inlineStr">
        <is>
          <t>Location / logistics</t>
        </is>
      </c>
      <c r="J179" t="inlineStr">
        <is>
          <t>MEASURED</t>
        </is>
      </c>
      <c r="K179">
        <f>ROUND(IF(ISNUMBER(G179),MIN(50,ROUND(50*LOG10(G179+1)/4,1)),5)+IF(ISNUMBER(H179),ROUND(30*(100-H179)/100,1),15)+IF(B179="New",20,10),0)</f>
        <v/>
      </c>
      <c r="L179" t="inlineStr">
        <is>
          <t>KEEP</t>
        </is>
      </c>
      <c r="M179" s="5" t="inlineStr">
        <is>
          <t>Relevant to page intent</t>
        </is>
      </c>
      <c r="N179" s="5" t="inlineStr">
        <is>
          <t>En développement web, Base64 est utilisé pour : intégrer de petites images/polices sous forme de data URI en CSS, encoder les en-têtes d'authentification HTTP Basic (nom d'utilisateur:mot de passe), s</t>
        </is>
      </c>
      <c r="O179" t="inlineStr">
        <is>
          <t>P3</t>
        </is>
      </c>
      <c r="P179" t="inlineStr">
        <is>
          <t>Visible only (no FAQPage schema)</t>
        </is>
      </c>
    </row>
    <row r="180">
      <c r="A180" s="3" t="inlineStr">
        <is>
          <t>https://codesommet.com/tools/blog-title-generator</t>
        </is>
      </c>
      <c r="B180" t="inlineStr">
        <is>
          <t>Existing</t>
        </is>
      </c>
      <c r="C180" s="5" t="inlineStr">
        <is>
          <t>Qu'est-ce qui fait un bon titre de blog ?</t>
        </is>
      </c>
      <c r="D180" t="inlineStr">
        <is>
          <t>générateur de titre de blog</t>
        </is>
      </c>
      <c r="E180" t="inlineStr">
        <is>
          <t>fr</t>
        </is>
      </c>
      <c r="F180" s="5" t="inlineStr"/>
      <c r="G180" t="n">
        <v>0</v>
      </c>
      <c r="H180" t="inlineStr">
        <is>
          <t>NOT AVAILABLE</t>
        </is>
      </c>
      <c r="I180" t="inlineStr">
        <is>
          <t>Definition / how it works</t>
        </is>
      </c>
      <c r="J180" t="inlineStr">
        <is>
          <t>MEASURED</t>
        </is>
      </c>
      <c r="K180">
        <f>ROUND(IF(ISNUMBER(G180),MIN(50,ROUND(50*LOG10(G180+1)/4,1)),5)+IF(ISNUMBER(H180),ROUND(30*(100-H180)/100,1),15)+IF(B180="New",20,10),0)</f>
        <v/>
      </c>
      <c r="L180" t="inlineStr">
        <is>
          <t>KEEP</t>
        </is>
      </c>
      <c r="M180" s="5" t="inlineStr">
        <is>
          <t>Relevant to page intent</t>
        </is>
      </c>
      <c r="N180" s="5" t="inlineStr">
        <is>
          <t>Un bon titre de blog doit contenir 50 à 70 caractères, inclure votre mot-clé principal au début, utiliser des mots puissants pour créer un impact émotionnel, et promettre clairement de la valeur au le</t>
        </is>
      </c>
      <c r="O180" t="inlineStr">
        <is>
          <t>P3</t>
        </is>
      </c>
      <c r="P180" t="inlineStr">
        <is>
          <t>Visible only (no FAQPage schema)</t>
        </is>
      </c>
    </row>
    <row r="181">
      <c r="A181" s="3" t="inlineStr">
        <is>
          <t>https://codesommet.com/tools/blog-title-generator</t>
        </is>
      </c>
      <c r="B181" t="inlineStr">
        <is>
          <t>Existing</t>
        </is>
      </c>
      <c r="C181" s="5" t="inlineStr">
        <is>
          <t>Comment fonctionne le score SEO ?</t>
        </is>
      </c>
      <c r="D181" t="inlineStr">
        <is>
          <t>agence seo maroc</t>
        </is>
      </c>
      <c r="E181" t="inlineStr">
        <is>
          <t>ma</t>
        </is>
      </c>
      <c r="F181" s="5" t="inlineStr"/>
      <c r="G181" t="n">
        <v>880</v>
      </c>
      <c r="H181" t="n">
        <v>44</v>
      </c>
      <c r="I181" t="inlineStr">
        <is>
          <t>SEO</t>
        </is>
      </c>
      <c r="J181" t="inlineStr">
        <is>
          <t>MEASURED</t>
        </is>
      </c>
      <c r="K181">
        <f>ROUND(IF(ISNUMBER(G181),MIN(50,ROUND(50*LOG10(G181+1)/4,1)),5)+IF(ISNUMBER(H181),ROUND(30*(100-H181)/100,1),15)+IF(B181="New",20,10),0)</f>
        <v/>
      </c>
      <c r="L181" t="inlineStr">
        <is>
          <t>KEEP</t>
        </is>
      </c>
      <c r="M181" s="5" t="inlineStr">
        <is>
          <t>Relevant to page intent</t>
        </is>
      </c>
      <c r="N181" s="5" t="inlineStr">
        <is>
          <t xml:space="preserve">Le score SEO (0-100) évalue votre titre en fonction du placement des mots-clés, de la longueur en caractères, des mots puissants et des déclencheurs émotionnels. Les titres avec des scores supérieurs </t>
        </is>
      </c>
      <c r="O181" t="inlineStr">
        <is>
          <t>P3</t>
        </is>
      </c>
      <c r="P181" t="inlineStr">
        <is>
          <t>Visible only (no FAQPage schema)</t>
        </is>
      </c>
    </row>
    <row r="182">
      <c r="A182" s="3" t="inlineStr">
        <is>
          <t>https://codesommet.com/tools/blog-title-generator</t>
        </is>
      </c>
      <c r="B182" t="inlineStr">
        <is>
          <t>Existing</t>
        </is>
      </c>
      <c r="C182" s="5" t="inlineStr">
        <is>
          <t>Que sont les accroches émotionnelles et pourquoi sont-elles importantes ?</t>
        </is>
      </c>
      <c r="D182" t="inlineStr">
        <is>
          <t>générateur de titre</t>
        </is>
      </c>
      <c r="E182" t="inlineStr">
        <is>
          <t>fr</t>
        </is>
      </c>
      <c r="F182" s="5" t="inlineStr"/>
      <c r="G182" t="n">
        <v>140</v>
      </c>
      <c r="H182" t="n">
        <v>21</v>
      </c>
      <c r="I182" t="inlineStr">
        <is>
          <t>Definition / how it works</t>
        </is>
      </c>
      <c r="J182" t="inlineStr">
        <is>
          <t>MEASURED</t>
        </is>
      </c>
      <c r="K182">
        <f>ROUND(IF(ISNUMBER(G182),MIN(50,ROUND(50*LOG10(G182+1)/4,1)),5)+IF(ISNUMBER(H182),ROUND(30*(100-H182)/100,1),15)+IF(B182="New",20,10),0)</f>
        <v/>
      </c>
      <c r="L182" t="inlineStr">
        <is>
          <t>KEEP</t>
        </is>
      </c>
      <c r="M182" s="5" t="inlineStr">
        <is>
          <t>Relevant to page intent</t>
        </is>
      </c>
      <c r="N182" s="5" t="inlineStr">
        <is>
          <t>Les accroches émotionnelles sont des déclencheurs psychologiques qui donnent envie aux gens de cliquer sur votre titre. Notre outil identifie si votre titre utilise la curiosité (donner envie d'en sav</t>
        </is>
      </c>
      <c r="O182" t="inlineStr">
        <is>
          <t>P3</t>
        </is>
      </c>
      <c r="P182" t="inlineStr">
        <is>
          <t>Visible only (no FAQPage schema)</t>
        </is>
      </c>
    </row>
    <row r="183">
      <c r="A183" s="3" t="inlineStr">
        <is>
          <t>https://codesommet.com/tools/blog-title-generator</t>
        </is>
      </c>
      <c r="B183" t="inlineStr">
        <is>
          <t>Existing</t>
        </is>
      </c>
      <c r="C183" s="5" t="inlineStr">
        <is>
          <t>Quelle est la précision de l'estimation du CTR ?</t>
        </is>
      </c>
      <c r="D183" t="inlineStr">
        <is>
          <t>générateur de titre</t>
        </is>
      </c>
      <c r="E183" t="inlineStr">
        <is>
          <t>fr</t>
        </is>
      </c>
      <c r="F183" s="5" t="inlineStr"/>
      <c r="G183" t="n">
        <v>140</v>
      </c>
      <c r="H183" t="n">
        <v>21</v>
      </c>
      <c r="I183" t="inlineStr">
        <is>
          <t>Service scope</t>
        </is>
      </c>
      <c r="J183" t="inlineStr">
        <is>
          <t>MEASURED</t>
        </is>
      </c>
      <c r="K183">
        <f>ROUND(IF(ISNUMBER(G183),MIN(50,ROUND(50*LOG10(G183+1)/4,1)),5)+IF(ISNUMBER(H183),ROUND(30*(100-H183)/100,1),15)+IF(B183="New",20,10),0)</f>
        <v/>
      </c>
      <c r="L183" t="inlineStr">
        <is>
          <t>KEEP</t>
        </is>
      </c>
      <c r="M183" s="5" t="inlineStr">
        <is>
          <t>Relevant to page intent</t>
        </is>
      </c>
      <c r="N183" s="5" t="inlineStr">
        <is>
          <t>Nos estimations de CTR (taux de clics) sont basées sur des benchmarks de l'industrie et des données historiques provenant de milliers d'articles de blog. Bien que le CTR réel dépende de facteurs comme</t>
        </is>
      </c>
      <c r="O183" t="inlineStr">
        <is>
          <t>P3</t>
        </is>
      </c>
      <c r="P183" t="inlineStr">
        <is>
          <t>Visible only (no FAQPage schema)</t>
        </is>
      </c>
    </row>
    <row r="184">
      <c r="A184" s="3" t="inlineStr">
        <is>
          <t>https://codesommet.com/tools/blog-title-generator</t>
        </is>
      </c>
      <c r="B184" t="inlineStr">
        <is>
          <t>Existing</t>
        </is>
      </c>
      <c r="C184" s="5" t="inlineStr">
        <is>
          <t>Que sont les mots puissants et lesquels fonctionnent le mieux ?</t>
        </is>
      </c>
      <c r="D184" t="inlineStr">
        <is>
          <t>générateur de titre</t>
        </is>
      </c>
      <c r="E184" t="inlineStr">
        <is>
          <t>fr</t>
        </is>
      </c>
      <c r="F184" s="5" t="inlineStr"/>
      <c r="G184" t="n">
        <v>140</v>
      </c>
      <c r="H184" t="n">
        <v>21</v>
      </c>
      <c r="I184" t="inlineStr">
        <is>
          <t>Definition / how it works</t>
        </is>
      </c>
      <c r="J184" t="inlineStr">
        <is>
          <t>MEASURED</t>
        </is>
      </c>
      <c r="K184">
        <f>ROUND(IF(ISNUMBER(G184),MIN(50,ROUND(50*LOG10(G184+1)/4,1)),5)+IF(ISNUMBER(H184),ROUND(30*(100-H184)/100,1),15)+IF(B184="New",20,10),0)</f>
        <v/>
      </c>
      <c r="L184" t="inlineStr">
        <is>
          <t>KEEP</t>
        </is>
      </c>
      <c r="M184" s="5" t="inlineStr">
        <is>
          <t>Relevant to page intent</t>
        </is>
      </c>
      <c r="N184" s="5" t="inlineStr">
        <is>
          <t>Les mots puissants sont des mots chargés émotionnellement qui captent l'attention et incitent à l'action. Par exemple : « ultime », « prouvé », « secret », « révolutionnaire », « essentiel » et « comp</t>
        </is>
      </c>
      <c r="O184" t="inlineStr">
        <is>
          <t>P3</t>
        </is>
      </c>
      <c r="P184" t="inlineStr">
        <is>
          <t>Visible only (no FAQPage schema)</t>
        </is>
      </c>
    </row>
    <row r="185">
      <c r="A185" s="3" t="inlineStr">
        <is>
          <t>https://codesommet.com/tools/blog-title-generator</t>
        </is>
      </c>
      <c r="B185" t="inlineStr">
        <is>
          <t>Existing</t>
        </is>
      </c>
      <c r="C185" s="5" t="inlineStr">
        <is>
          <t>Pourquoi y a-t-il une limite de caractères pour les titres de blog ?</t>
        </is>
      </c>
      <c r="D185" t="inlineStr">
        <is>
          <t>générateur de titre</t>
        </is>
      </c>
      <c r="E185" t="inlineStr">
        <is>
          <t>fr</t>
        </is>
      </c>
      <c r="F185" s="5" t="inlineStr"/>
      <c r="G185" t="n">
        <v>140</v>
      </c>
      <c r="H185" t="n">
        <v>21</v>
      </c>
      <c r="I185" t="inlineStr">
        <is>
          <t>Service scope</t>
        </is>
      </c>
      <c r="J185" t="inlineStr">
        <is>
          <t>MEASURED</t>
        </is>
      </c>
      <c r="K185">
        <f>ROUND(IF(ISNUMBER(G185),MIN(50,ROUND(50*LOG10(G185+1)/4,1)),5)+IF(ISNUMBER(H185),ROUND(30*(100-H185)/100,1),15)+IF(B185="New",20,10),0)</f>
        <v/>
      </c>
      <c r="L185" t="inlineStr">
        <is>
          <t>KEEP</t>
        </is>
      </c>
      <c r="M185" s="5" t="inlineStr">
        <is>
          <t>Relevant to page intent</t>
        </is>
      </c>
      <c r="N185" s="5" t="inlineStr">
        <is>
          <t>Google affiche environ 50 à 60 caractères de votre titre dans les résultats de recherche, et les plateformes de réseaux sociaux ont des limites similaires. Les titres de plus de 70 caractères sont tro</t>
        </is>
      </c>
      <c r="O185" t="inlineStr">
        <is>
          <t>P3</t>
        </is>
      </c>
      <c r="P185" t="inlineStr">
        <is>
          <t>Visible only (no FAQPage schema)</t>
        </is>
      </c>
    </row>
    <row r="186">
      <c r="A186" s="3" t="inlineStr">
        <is>
          <t>https://codesommet.com/tools/blog-title-generator</t>
        </is>
      </c>
      <c r="B186" t="inlineStr">
        <is>
          <t>Existing</t>
        </is>
      </c>
      <c r="C186" s="5" t="inlineStr">
        <is>
          <t>Comment choisir le meilleur titre parmi les 10 options générées ?</t>
        </is>
      </c>
      <c r="D186" t="inlineStr">
        <is>
          <t>générateur de titre</t>
        </is>
      </c>
      <c r="E186" t="inlineStr">
        <is>
          <t>fr</t>
        </is>
      </c>
      <c r="F186" s="5" t="inlineStr"/>
      <c r="G186" t="n">
        <v>140</v>
      </c>
      <c r="H186" t="n">
        <v>21</v>
      </c>
      <c r="I186" t="inlineStr">
        <is>
          <t>Service scope</t>
        </is>
      </c>
      <c r="J186" t="inlineStr">
        <is>
          <t>MEASURED</t>
        </is>
      </c>
      <c r="K186">
        <f>ROUND(IF(ISNUMBER(G186),MIN(50,ROUND(50*LOG10(G186+1)/4,1)),5)+IF(ISNUMBER(H186),ROUND(30*(100-H186)/100,1),15)+IF(B186="New",20,10),0)</f>
        <v/>
      </c>
      <c r="L186" t="inlineStr">
        <is>
          <t>KEEP</t>
        </is>
      </c>
      <c r="M186" s="5" t="inlineStr">
        <is>
          <t>Relevant to page intent</t>
        </is>
      </c>
      <c r="N186" s="5" t="inlineStr">
        <is>
          <t>Commencez par filtrer les titres avec des scores SEO supérieurs à 85, puis déterminez quelle accroche émotionnelle correspond le mieux à votre contenu. Consultez le raisonnement fourni pour chaque tit</t>
        </is>
      </c>
      <c r="O186" t="inlineStr">
        <is>
          <t>P3</t>
        </is>
      </c>
      <c r="P186" t="inlineStr">
        <is>
          <t>Visible only (no FAQPage schema)</t>
        </is>
      </c>
    </row>
    <row r="187">
      <c r="A187" s="3" t="inlineStr">
        <is>
          <t>https://codesommet.com/tools/bot-viewer</t>
        </is>
      </c>
      <c r="B187" t="inlineStr">
        <is>
          <t>Existing</t>
        </is>
      </c>
      <c r="C187" s="5" t="inlineStr">
        <is>
          <t>Qu'est-ce que le cloaking ?</t>
        </is>
      </c>
      <c r="D187" t="inlineStr">
        <is>
          <t>googlebot</t>
        </is>
      </c>
      <c r="E187" t="inlineStr">
        <is>
          <t>fr</t>
        </is>
      </c>
      <c r="F187" s="5" t="inlineStr"/>
      <c r="G187" t="n">
        <v>390</v>
      </c>
      <c r="H187" t="n">
        <v>22</v>
      </c>
      <c r="I187" t="inlineStr">
        <is>
          <t>Definition / how it works</t>
        </is>
      </c>
      <c r="J187" t="inlineStr">
        <is>
          <t>MEASURED</t>
        </is>
      </c>
      <c r="K187">
        <f>ROUND(IF(ISNUMBER(G187),MIN(50,ROUND(50*LOG10(G187+1)/4,1)),5)+IF(ISNUMBER(H187),ROUND(30*(100-H187)/100,1),15)+IF(B187="New",20,10),0)</f>
        <v/>
      </c>
      <c r="L187" t="inlineStr">
        <is>
          <t>KEEP</t>
        </is>
      </c>
      <c r="M187" s="5" t="inlineStr">
        <is>
          <t>Relevant to page intent</t>
        </is>
      </c>
      <c r="N187" s="5" t="inlineStr">
        <is>
          <t>Servir aux moteurs un contenu différent de celui servi aux visiteurs. C'est une violation des règles de Google, sanctionnée par une action manuelle. Il est souvent involontaire : un pare-feu qui bloqu</t>
        </is>
      </c>
      <c r="O187" t="inlineStr">
        <is>
          <t>P3</t>
        </is>
      </c>
      <c r="P187" t="inlineStr">
        <is>
          <t>Visible only (no FAQPage schema)</t>
        </is>
      </c>
    </row>
    <row r="188">
      <c r="A188" s="3" t="inlineStr">
        <is>
          <t>https://codesommet.com/tools/bot-viewer</t>
        </is>
      </c>
      <c r="B188" t="inlineStr">
        <is>
          <t>Existing</t>
        </is>
      </c>
      <c r="C188" s="5" t="inlineStr">
        <is>
          <t>Mon site renvoie 403 ou 503 à Googlebot : est-ce grave ?</t>
        </is>
      </c>
      <c r="D188" t="inlineStr">
        <is>
          <t>googlebot</t>
        </is>
      </c>
      <c r="E188" t="inlineStr">
        <is>
          <t>fr</t>
        </is>
      </c>
      <c r="F188" s="5" t="inlineStr"/>
      <c r="G188" t="n">
        <v>390</v>
      </c>
      <c r="H188" t="n">
        <v>22</v>
      </c>
      <c r="I188" t="inlineStr">
        <is>
          <t>SEO</t>
        </is>
      </c>
      <c r="J188" t="inlineStr">
        <is>
          <t>MEASURED</t>
        </is>
      </c>
      <c r="K188">
        <f>ROUND(IF(ISNUMBER(G188),MIN(50,ROUND(50*LOG10(G188+1)/4,1)),5)+IF(ISNUMBER(H188),ROUND(30*(100-H188)/100,1),15)+IF(B188="New",20,10),0)</f>
        <v/>
      </c>
      <c r="L188" t="inlineStr">
        <is>
          <t>KEEP</t>
        </is>
      </c>
      <c r="M188" s="5" t="inlineStr">
        <is>
          <t>Relevant to page intent</t>
        </is>
      </c>
      <c r="N188" s="5" t="inlineStr">
        <is>
          <t xml:space="preserve">Oui : Google ne peut plus explorer la page et finit par la désindexer. C'est typique d'une protection anti-bot (Cloudflare, Imperva, règles WAF) mal configurée. Autorisez explicitement les robots des </t>
        </is>
      </c>
      <c r="O188" t="inlineStr">
        <is>
          <t>P3</t>
        </is>
      </c>
      <c r="P188" t="inlineStr">
        <is>
          <t>Visible only (no FAQPage schema)</t>
        </is>
      </c>
    </row>
    <row r="189">
      <c r="A189" s="3" t="inlineStr">
        <is>
          <t>https://codesommet.com/tools/bot-viewer</t>
        </is>
      </c>
      <c r="B189" t="inlineStr">
        <is>
          <t>Existing</t>
        </is>
      </c>
      <c r="C189" s="5" t="inlineStr">
        <is>
          <t>Les robots exécutent-ils le JavaScript ?</t>
        </is>
      </c>
      <c r="D189" t="inlineStr">
        <is>
          <t>googlebot</t>
        </is>
      </c>
      <c r="E189" t="inlineStr">
        <is>
          <t>fr</t>
        </is>
      </c>
      <c r="F189" s="5" t="inlineStr"/>
      <c r="G189" t="n">
        <v>390</v>
      </c>
      <c r="H189" t="n">
        <v>22</v>
      </c>
      <c r="I189" t="inlineStr">
        <is>
          <t>Service scope</t>
        </is>
      </c>
      <c r="J189" t="inlineStr">
        <is>
          <t>MEASURED</t>
        </is>
      </c>
      <c r="K189">
        <f>ROUND(IF(ISNUMBER(G189),MIN(50,ROUND(50*LOG10(G189+1)/4,1)),5)+IF(ISNUMBER(H189),ROUND(30*(100-H189)/100,1),15)+IF(B189="New",20,10),0)</f>
        <v/>
      </c>
      <c r="L189" t="inlineStr">
        <is>
          <t>KEEP</t>
        </is>
      </c>
      <c r="M189" s="5" t="inlineStr">
        <is>
          <t>Relevant to page intent</t>
        </is>
      </c>
      <c r="N189" s="5" t="inlineStr">
        <is>
          <t>Googlebot et Bingbot rendent les pages dans un navigateur sans interface, mais après un délai et avec des limites. Les robots d'IA (GPTBot, ClaudeBot, PerplexityBot) lisent en général le HTML brut. Ce</t>
        </is>
      </c>
      <c r="O189" t="inlineStr">
        <is>
          <t>P3</t>
        </is>
      </c>
      <c r="P189" t="inlineStr">
        <is>
          <t>Visible only (no FAQPage schema)</t>
        </is>
      </c>
    </row>
    <row r="190">
      <c r="A190" s="3" t="inlineStr">
        <is>
          <t>https://codesommet.com/tools/bot-viewer</t>
        </is>
      </c>
      <c r="B190" t="inlineStr">
        <is>
          <t>Existing</t>
        </is>
      </c>
      <c r="C190" s="5" t="inlineStr">
        <is>
          <t>Pourquoi le navigateur de référence est-il Chrome sur Windows ?</t>
        </is>
      </c>
      <c r="D190" t="inlineStr">
        <is>
          <t>agence seo maroc</t>
        </is>
      </c>
      <c r="E190" t="inlineStr">
        <is>
          <t>ma</t>
        </is>
      </c>
      <c r="F190" s="5" t="inlineStr"/>
      <c r="G190" t="n">
        <v>880</v>
      </c>
      <c r="H190" t="n">
        <v>44</v>
      </c>
      <c r="I190" t="inlineStr">
        <is>
          <t>SEO</t>
        </is>
      </c>
      <c r="J190" t="inlineStr">
        <is>
          <t>MEASURED</t>
        </is>
      </c>
      <c r="K190">
        <f>ROUND(IF(ISNUMBER(G190),MIN(50,ROUND(50*LOG10(G190+1)/4,1)),5)+IF(ISNUMBER(H190),ROUND(30*(100-H190)/100,1),15)+IF(B190="New",20,10),0)</f>
        <v/>
      </c>
      <c r="L190" t="inlineStr">
        <is>
          <t>KEEP</t>
        </is>
      </c>
      <c r="M190" s="5" t="inlineStr">
        <is>
          <t>Relevant to page intent</t>
        </is>
      </c>
      <c r="N190" s="5" t="inlineStr">
        <is>
          <t>C'est le profil le plus courant. Les différences avec les versions mobiles de Googlebot peuvent être légitimes (site adaptatif), mais le titre, la canonique et les directives robots doivent rester ide</t>
        </is>
      </c>
      <c r="O190" t="inlineStr">
        <is>
          <t>P3</t>
        </is>
      </c>
      <c r="P190" t="inlineStr">
        <is>
          <t>Visible only (no FAQPage schema)</t>
        </is>
      </c>
    </row>
    <row r="191">
      <c r="A191" s="3" t="inlineStr">
        <is>
          <t>https://codesommet.com/tools/bot-viewer</t>
        </is>
      </c>
      <c r="B191" t="inlineStr">
        <is>
          <t>Existing</t>
        </is>
      </c>
      <c r="C191" s="5" t="inlineStr">
        <is>
          <t>Que signifie « texte légèrement différent » ?</t>
        </is>
      </c>
      <c r="D191" t="inlineStr">
        <is>
          <t>googlebot</t>
        </is>
      </c>
      <c r="E191" t="inlineStr">
        <is>
          <t>fr</t>
        </is>
      </c>
      <c r="F191" s="5" t="inlineStr"/>
      <c r="G191" t="n">
        <v>390</v>
      </c>
      <c r="H191" t="n">
        <v>22</v>
      </c>
      <c r="I191" t="inlineStr">
        <is>
          <t>Differentiation</t>
        </is>
      </c>
      <c r="J191" t="inlineStr">
        <is>
          <t>MEASURED</t>
        </is>
      </c>
      <c r="K191">
        <f>ROUND(IF(ISNUMBER(G191),MIN(50,ROUND(50*LOG10(G191+1)/4,1)),5)+IF(ISNUMBER(H191),ROUND(30*(100-H191)/100,1),15)+IF(B191="New",20,10),0)</f>
        <v/>
      </c>
      <c r="L191" t="inlineStr">
        <is>
          <t>KEEP</t>
        </is>
      </c>
      <c r="M191" s="5" t="inlineStr">
        <is>
          <t>Relevant to page intent</t>
        </is>
      </c>
      <c r="N191" s="5" t="inlineStr">
        <is>
          <t>Le texte visible diffère de moins de 10 % : généralement une date, un compteur, un identifiant de session ou un bandeau de cookies. Sans autre écart, ce n'est pas un signe de cloaking.</t>
        </is>
      </c>
      <c r="O191" t="inlineStr">
        <is>
          <t>P3</t>
        </is>
      </c>
      <c r="P191" t="inlineStr">
        <is>
          <t>Visible only (no FAQPage schema)</t>
        </is>
      </c>
    </row>
    <row r="192">
      <c r="A192" s="3" t="inlineStr">
        <is>
          <t>https://codesommet.com/tools/bot-viewer</t>
        </is>
      </c>
      <c r="B192" t="inlineStr">
        <is>
          <t>Existing</t>
        </is>
      </c>
      <c r="C192" s="5" t="inlineStr">
        <is>
          <t>L'outil se fait-il passer pour Google ?</t>
        </is>
      </c>
      <c r="D192" t="inlineStr">
        <is>
          <t>agence seo maroc</t>
        </is>
      </c>
      <c r="E192" t="inlineStr">
        <is>
          <t>ma</t>
        </is>
      </c>
      <c r="F192" s="5" t="inlineStr"/>
      <c r="G192" t="n">
        <v>880</v>
      </c>
      <c r="H192" t="n">
        <v>44</v>
      </c>
      <c r="I192" t="inlineStr">
        <is>
          <t>SEO</t>
        </is>
      </c>
      <c r="J192" t="inlineStr">
        <is>
          <t>MEASURED</t>
        </is>
      </c>
      <c r="K192">
        <f>ROUND(IF(ISNUMBER(G192),MIN(50,ROUND(50*LOG10(G192+1)/4,1)),5)+IF(ISNUMBER(H192),ROUND(30*(100-H192)/100,1),15)+IF(B192="New",20,10),0)</f>
        <v/>
      </c>
      <c r="L192" t="inlineStr">
        <is>
          <t>KEEP</t>
        </is>
      </c>
      <c r="M192" s="5" t="inlineStr">
        <is>
          <t>Relevant to page intent</t>
        </is>
      </c>
      <c r="N192" s="5" t="inlineStr">
        <is>
          <t>Il envoie seulement la chaîne User-Agent ; il n'usurpe ni les adresses IP de Google ni sa vérification DNS. Un site qui vérifie l'IP peut donc répondre différemment au vrai Googlebot. Les résultats re</t>
        </is>
      </c>
      <c r="O192" t="inlineStr">
        <is>
          <t>P3</t>
        </is>
      </c>
      <c r="P192" t="inlineStr">
        <is>
          <t>Visible only (no FAQPage schema)</t>
        </is>
      </c>
    </row>
    <row r="193">
      <c r="A193" s="3" t="inlineStr">
        <is>
          <t>https://codesommet.com/tools/broken-link-checker</t>
        </is>
      </c>
      <c r="B193" t="inlineStr">
        <is>
          <t>Existing</t>
        </is>
      </c>
      <c r="C193" s="5" t="inlineStr">
        <is>
          <t>Que sont les liens brisés et pourquoi nuisent-ils au SEO ?</t>
        </is>
      </c>
      <c r="D193" t="inlineStr">
        <is>
          <t>liens cassés</t>
        </is>
      </c>
      <c r="E193" t="inlineStr">
        <is>
          <t>fr</t>
        </is>
      </c>
      <c r="F193" s="5" t="inlineStr"/>
      <c r="G193" t="n">
        <v>20</v>
      </c>
      <c r="H193" t="inlineStr">
        <is>
          <t>NOT AVAILABLE</t>
        </is>
      </c>
      <c r="I193" t="inlineStr">
        <is>
          <t>SEO</t>
        </is>
      </c>
      <c r="J193" t="inlineStr">
        <is>
          <t>MEASURED</t>
        </is>
      </c>
      <c r="K193">
        <f>ROUND(IF(ISNUMBER(G193),MIN(50,ROUND(50*LOG10(G193+1)/4,1)),5)+IF(ISNUMBER(H193),ROUND(30*(100-H193)/100,1),15)+IF(B193="New",20,10),0)</f>
        <v/>
      </c>
      <c r="L193" t="inlineStr">
        <is>
          <t>KEEP</t>
        </is>
      </c>
      <c r="M193" s="5" t="inlineStr">
        <is>
          <t>Relevant to page intent</t>
        </is>
      </c>
      <c r="N193" s="5" t="inlineStr">
        <is>
          <t>Les liens brisés sont des hyperliens menant vers des pages inexistantes (erreurs 404), entraînant une mauvaise expérience utilisateur. Ils nuisent au SEO car les moteurs de recherche les considèrent c</t>
        </is>
      </c>
      <c r="O193" t="inlineStr">
        <is>
          <t>P3</t>
        </is>
      </c>
      <c r="P193" t="inlineStr">
        <is>
          <t>Visible only (no FAQPage schema)</t>
        </is>
      </c>
    </row>
    <row r="194">
      <c r="A194" s="3" t="inlineStr">
        <is>
          <t>https://codesommet.com/tools/broken-link-checker</t>
        </is>
      </c>
      <c r="B194" t="inlineStr">
        <is>
          <t>Existing</t>
        </is>
      </c>
      <c r="C194" s="5" t="inlineStr">
        <is>
          <t>À quelle fréquence dois-je vérifier les liens brisés sur mon site ?</t>
        </is>
      </c>
      <c r="D194" t="inlineStr">
        <is>
          <t>vérifier liens cassés</t>
        </is>
      </c>
      <c r="E194" t="inlineStr">
        <is>
          <t>fr</t>
        </is>
      </c>
      <c r="F194" s="5" t="inlineStr"/>
      <c r="G194" t="n">
        <v>0</v>
      </c>
      <c r="H194" t="inlineStr">
        <is>
          <t>NOT AVAILABLE</t>
        </is>
      </c>
      <c r="I194" t="inlineStr">
        <is>
          <t>Service scope</t>
        </is>
      </c>
      <c r="J194" t="inlineStr">
        <is>
          <t>MEASURED</t>
        </is>
      </c>
      <c r="K194">
        <f>ROUND(IF(ISNUMBER(G194),MIN(50,ROUND(50*LOG10(G194+1)/4,1)),5)+IF(ISNUMBER(H194),ROUND(30*(100-H194)/100,1),15)+IF(B194="New",20,10),0)</f>
        <v/>
      </c>
      <c r="L194" t="inlineStr">
        <is>
          <t>KEEP</t>
        </is>
      </c>
      <c r="M194" s="5" t="inlineStr">
        <is>
          <t>Relevant to page intent</t>
        </is>
      </c>
      <c r="N194" s="5" t="inlineStr">
        <is>
          <t>Pour la plupart des sites web, des analyses mensuelles sont suffisantes. Cependant, les sites à fort trafic avec des mises à jour fréquentes devraient vérifier chaque semaine. Les sites e-commerce dev</t>
        </is>
      </c>
      <c r="O194" t="inlineStr">
        <is>
          <t>P3</t>
        </is>
      </c>
      <c r="P194" t="inlineStr">
        <is>
          <t>Visible only (no FAQPage schema)</t>
        </is>
      </c>
    </row>
    <row r="195">
      <c r="A195" s="3" t="inlineStr">
        <is>
          <t>https://codesommet.com/tools/broken-link-checker</t>
        </is>
      </c>
      <c r="B195" t="inlineStr">
        <is>
          <t>Existing</t>
        </is>
      </c>
      <c r="C195" s="5" t="inlineStr">
        <is>
          <t>Quelle est la différence entre les liens brisés internes et externes ?</t>
        </is>
      </c>
      <c r="D195" t="inlineStr">
        <is>
          <t>liens cassés</t>
        </is>
      </c>
      <c r="E195" t="inlineStr">
        <is>
          <t>fr</t>
        </is>
      </c>
      <c r="F195" s="5" t="inlineStr"/>
      <c r="G195" t="n">
        <v>20</v>
      </c>
      <c r="H195" t="inlineStr">
        <is>
          <t>NOT AVAILABLE</t>
        </is>
      </c>
      <c r="I195" t="inlineStr">
        <is>
          <t>Differentiation</t>
        </is>
      </c>
      <c r="J195" t="inlineStr">
        <is>
          <t>MEASURED</t>
        </is>
      </c>
      <c r="K195">
        <f>ROUND(IF(ISNUMBER(G195),MIN(50,ROUND(50*LOG10(G195+1)/4,1)),5)+IF(ISNUMBER(H195),ROUND(30*(100-H195)/100,1),15)+IF(B195="New",20,10),0)</f>
        <v/>
      </c>
      <c r="L195" t="inlineStr">
        <is>
          <t>KEEP</t>
        </is>
      </c>
      <c r="M195" s="5" t="inlineStr">
        <is>
          <t>Relevant to page intent</t>
        </is>
      </c>
      <c r="N195" s="5" t="inlineStr">
        <is>
          <t>Les liens brisés internes pointent vers des pages de votre propre domaine qui n'existent plus, souvent causés par des pages supprimées ou des changements d'URL. Les liens brisés externes pointent vers</t>
        </is>
      </c>
      <c r="O195" t="inlineStr">
        <is>
          <t>P3</t>
        </is>
      </c>
      <c r="P195" t="inlineStr">
        <is>
          <t>Visible only (no FAQPage schema)</t>
        </is>
      </c>
    </row>
    <row r="196">
      <c r="A196" s="3" t="inlineStr">
        <is>
          <t>https://codesommet.com/tools/broken-link-checker</t>
        </is>
      </c>
      <c r="B196" t="inlineStr">
        <is>
          <t>Existing</t>
        </is>
      </c>
      <c r="C196" s="5" t="inlineStr">
        <is>
          <t>Comment corriger les erreurs 404 trouvées par cet outil ?</t>
        </is>
      </c>
      <c r="D196" t="inlineStr">
        <is>
          <t>broken link checker</t>
        </is>
      </c>
      <c r="E196" t="inlineStr">
        <is>
          <t>fr</t>
        </is>
      </c>
      <c r="F196" s="5" t="inlineStr"/>
      <c r="G196" t="n">
        <v>720</v>
      </c>
      <c r="H196" t="n">
        <v>78</v>
      </c>
      <c r="I196" t="inlineStr">
        <is>
          <t>Service scope</t>
        </is>
      </c>
      <c r="J196" t="inlineStr">
        <is>
          <t>MEASURED</t>
        </is>
      </c>
      <c r="K196">
        <f>ROUND(IF(ISNUMBER(G196),MIN(50,ROUND(50*LOG10(G196+1)/4,1)),5)+IF(ISNUMBER(H196),ROUND(30*(100-H196)/100,1),15)+IF(B196="New",20,10),0)</f>
        <v/>
      </c>
      <c r="L196" t="inlineStr">
        <is>
          <t>KEEP</t>
        </is>
      </c>
      <c r="M196" s="5" t="inlineStr">
        <is>
          <t>Relevant to page intent</t>
        </is>
      </c>
      <c r="N196" s="5" t="inlineStr">
        <is>
          <t>Pour les erreurs 404 internes, soit restaurez la page manquante, configurez une redirection 301 vers le nouvel emplacement, ou mettez à jour tous les liens pointant vers elle. Pour les 404 externes, r</t>
        </is>
      </c>
      <c r="O196" t="inlineStr">
        <is>
          <t>P3</t>
        </is>
      </c>
      <c r="P196" t="inlineStr">
        <is>
          <t>Visible only (no FAQPage schema)</t>
        </is>
      </c>
    </row>
    <row r="197">
      <c r="A197" s="3" t="inlineStr">
        <is>
          <t>https://codesommet.com/tools/broken-link-checker</t>
        </is>
      </c>
      <c r="B197" t="inlineStr">
        <is>
          <t>Existing</t>
        </is>
      </c>
      <c r="C197" s="5" t="inlineStr">
        <is>
          <t>Que sont les chaînes de redirection et pourquoi les corriger ?</t>
        </is>
      </c>
      <c r="D197" t="inlineStr">
        <is>
          <t>broken link checker</t>
        </is>
      </c>
      <c r="E197" t="inlineStr">
        <is>
          <t>fr</t>
        </is>
      </c>
      <c r="F197" s="5" t="inlineStr"/>
      <c r="G197" t="n">
        <v>720</v>
      </c>
      <c r="H197" t="n">
        <v>78</v>
      </c>
      <c r="I197" t="inlineStr">
        <is>
          <t>Definition / how it works</t>
        </is>
      </c>
      <c r="J197" t="inlineStr">
        <is>
          <t>MEASURED</t>
        </is>
      </c>
      <c r="K197">
        <f>ROUND(IF(ISNUMBER(G197),MIN(50,ROUND(50*LOG10(G197+1)/4,1)),5)+IF(ISNUMBER(H197),ROUND(30*(100-H197)/100,1),15)+IF(B197="New",20,10),0)</f>
        <v/>
      </c>
      <c r="L197" t="inlineStr">
        <is>
          <t>KEEP</t>
        </is>
      </c>
      <c r="M197" s="5" t="inlineStr">
        <is>
          <t>Relevant to page intent</t>
        </is>
      </c>
      <c r="N197" s="5" t="inlineStr">
        <is>
          <t>Les chaînes de redirection se produisent lorsqu'une URL redirige vers une autre URL, qui redirige à son tour (A → B → C). Elles ralentissent le temps de chargement des pages et gaspillent l'équité des</t>
        </is>
      </c>
      <c r="O197" t="inlineStr">
        <is>
          <t>P3</t>
        </is>
      </c>
      <c r="P197" t="inlineStr">
        <is>
          <t>Visible only (no FAQPage schema)</t>
        </is>
      </c>
    </row>
    <row r="198">
      <c r="A198" s="3" t="inlineStr">
        <is>
          <t>https://codesommet.com/tools/broken-link-checker</t>
        </is>
      </c>
      <c r="B198" t="inlineStr">
        <is>
          <t>Existing</t>
        </is>
      </c>
      <c r="C198" s="5" t="inlineStr">
        <is>
          <t>Puis-je automatiser la surveillance des liens brisés ?</t>
        </is>
      </c>
      <c r="D198" t="inlineStr">
        <is>
          <t>liens cassés</t>
        </is>
      </c>
      <c r="E198" t="inlineStr">
        <is>
          <t>fr</t>
        </is>
      </c>
      <c r="F198" s="5" t="inlineStr"/>
      <c r="G198" t="n">
        <v>20</v>
      </c>
      <c r="H198" t="inlineStr">
        <is>
          <t>NOT AVAILABLE</t>
        </is>
      </c>
      <c r="I198" t="inlineStr">
        <is>
          <t>Service scope</t>
        </is>
      </c>
      <c r="J198" t="inlineStr">
        <is>
          <t>MEASURED</t>
        </is>
      </c>
      <c r="K198">
        <f>ROUND(IF(ISNUMBER(G198),MIN(50,ROUND(50*LOG10(G198+1)/4,1)),5)+IF(ISNUMBER(H198),ROUND(30*(100-H198)/100,1),15)+IF(B198="New",20,10),0)</f>
        <v/>
      </c>
      <c r="L198" t="inlineStr">
        <is>
          <t>KEEP</t>
        </is>
      </c>
      <c r="M198" s="5" t="inlineStr">
        <is>
          <t>Relevant to page intent</t>
        </is>
      </c>
      <c r="N198" s="5" t="inlineStr">
        <is>
          <t>Oui, vous pouvez utiliser des outils comme Google Search Console (gratuit), Screaming Frog (crawler de bureau), ou des services comme Ahrefs et SEMrush (payants) pour la surveillance automatisée. Conf</t>
        </is>
      </c>
      <c r="O198" t="inlineStr">
        <is>
          <t>P3</t>
        </is>
      </c>
      <c r="P198" t="inlineStr">
        <is>
          <t>Visible only (no FAQPage schema)</t>
        </is>
      </c>
    </row>
    <row r="199">
      <c r="A199" s="3" t="inlineStr">
        <is>
          <t>https://codesommet.com/tools/broken-link-checker</t>
        </is>
      </c>
      <c r="B199" t="inlineStr">
        <is>
          <t>Existing</t>
        </is>
      </c>
      <c r="C199" s="5" t="inlineStr">
        <is>
          <t>Les liens brisés affectent-ils mon classement Google ?</t>
        </is>
      </c>
      <c r="D199" t="inlineStr">
        <is>
          <t>liens cassés</t>
        </is>
      </c>
      <c r="E199" t="inlineStr">
        <is>
          <t>fr</t>
        </is>
      </c>
      <c r="F199" s="5" t="inlineStr"/>
      <c r="G199" t="n">
        <v>20</v>
      </c>
      <c r="H199" t="inlineStr">
        <is>
          <t>NOT AVAILABLE</t>
        </is>
      </c>
      <c r="I199" t="inlineStr">
        <is>
          <t>SEO</t>
        </is>
      </c>
      <c r="J199" t="inlineStr">
        <is>
          <t>MEASURED</t>
        </is>
      </c>
      <c r="K199">
        <f>ROUND(IF(ISNUMBER(G199),MIN(50,ROUND(50*LOG10(G199+1)/4,1)),5)+IF(ISNUMBER(H199),ROUND(30*(100-H199)/100,1),15)+IF(B199="New",20,10),0)</f>
        <v/>
      </c>
      <c r="L199" t="inlineStr">
        <is>
          <t>KEEP</t>
        </is>
      </c>
      <c r="M199" s="5" t="inlineStr">
        <is>
          <t>Relevant to page intent</t>
        </is>
      </c>
      <c r="N199" s="5" t="inlineStr">
        <is>
          <t>Oui, les liens brisés nuisent indirectement au classement en dégradant les signaux d'expérience utilisateur comme le taux de rebond et le temps passé sur le site. Bien que Google ne pénalise pas direc</t>
        </is>
      </c>
      <c r="O199" t="inlineStr">
        <is>
          <t>P3</t>
        </is>
      </c>
      <c r="P199" t="inlineStr">
        <is>
          <t>Visible only (no FAQPage schema)</t>
        </is>
      </c>
    </row>
    <row r="200">
      <c r="A200" s="3" t="inlineStr">
        <is>
          <t>https://codesommet.com/tools/canonical-checker</t>
        </is>
      </c>
      <c r="B200" t="inlineStr">
        <is>
          <t>Existing</t>
        </is>
      </c>
      <c r="C200" s="5" t="inlineStr">
        <is>
          <t>Qu'est-ce qu'une URL canonical et pourquoi est-ce important ?</t>
        </is>
      </c>
      <c r="D200" t="inlineStr">
        <is>
          <t>url canonique</t>
        </is>
      </c>
      <c r="E200" t="inlineStr">
        <is>
          <t>fr</t>
        </is>
      </c>
      <c r="F200" s="5" t="inlineStr"/>
      <c r="G200" t="n">
        <v>390</v>
      </c>
      <c r="H200" t="n">
        <v>30</v>
      </c>
      <c r="I200" t="inlineStr">
        <is>
          <t>Definition / how it works</t>
        </is>
      </c>
      <c r="J200" t="inlineStr">
        <is>
          <t>MEASURED</t>
        </is>
      </c>
      <c r="K200">
        <f>ROUND(IF(ISNUMBER(G200),MIN(50,ROUND(50*LOG10(G200+1)/4,1)),5)+IF(ISNUMBER(H200),ROUND(30*(100-H200)/100,1),15)+IF(B200="New",20,10),0)</f>
        <v/>
      </c>
      <c r="L200" t="inlineStr">
        <is>
          <t>KEEP</t>
        </is>
      </c>
      <c r="M200" s="5" t="inlineStr">
        <is>
          <t>Relevant to page intent</t>
        </is>
      </c>
      <c r="N200" s="5" t="inlineStr">
        <is>
          <t>Une URL canonical est un élément HTML qui indique aux moteurs de recherche quelle version d'une page est la copie « principale » lorsqu'un contenu dupliqué ou similaire existe. Elle empêche les pénali</t>
        </is>
      </c>
      <c r="O200" t="inlineStr">
        <is>
          <t>P3</t>
        </is>
      </c>
      <c r="P200" t="inlineStr">
        <is>
          <t>Visible only (no FAQPage schema)</t>
        </is>
      </c>
    </row>
    <row r="201">
      <c r="A201" s="3" t="inlineStr">
        <is>
          <t>https://codesommet.com/tools/canonical-checker</t>
        </is>
      </c>
      <c r="B201" t="inlineStr">
        <is>
          <t>Existing</t>
        </is>
      </c>
      <c r="C201" s="5" t="inlineStr">
        <is>
          <t>Qu'est-ce qu'une balise canonical auto-référente ?</t>
        </is>
      </c>
      <c r="D201" t="inlineStr">
        <is>
          <t>balise canonical</t>
        </is>
      </c>
      <c r="E201" t="inlineStr">
        <is>
          <t>fr</t>
        </is>
      </c>
      <c r="F201" s="5" t="inlineStr"/>
      <c r="G201" t="n">
        <v>90</v>
      </c>
      <c r="H201" t="n">
        <v>15</v>
      </c>
      <c r="I201" t="inlineStr">
        <is>
          <t>Definition / how it works</t>
        </is>
      </c>
      <c r="J201" t="inlineStr">
        <is>
          <t>MEASURED</t>
        </is>
      </c>
      <c r="K201">
        <f>ROUND(IF(ISNUMBER(G201),MIN(50,ROUND(50*LOG10(G201+1)/4,1)),5)+IF(ISNUMBER(H201),ROUND(30*(100-H201)/100,1),15)+IF(B201="New",20,10),0)</f>
        <v/>
      </c>
      <c r="L201" t="inlineStr">
        <is>
          <t>KEEP</t>
        </is>
      </c>
      <c r="M201" s="5" t="inlineStr">
        <is>
          <t>Relevant to page intent</t>
        </is>
      </c>
      <c r="N201" s="5" t="inlineStr">
        <is>
          <t xml:space="preserve">Une balise canonical auto-référente pointe vers la même URL que la page sur laquelle elle se trouve (par exemple, une page sur example.com/blog pointe vers elle-même). C'est considéré comme une bonne </t>
        </is>
      </c>
      <c r="O201" t="inlineStr">
        <is>
          <t>P3</t>
        </is>
      </c>
      <c r="P201" t="inlineStr">
        <is>
          <t>Visible only (no FAQPage schema)</t>
        </is>
      </c>
    </row>
    <row r="202">
      <c r="A202" s="3" t="inlineStr">
        <is>
          <t>https://codesommet.com/tools/canonical-checker</t>
        </is>
      </c>
      <c r="B202" t="inlineStr">
        <is>
          <t>Existing</t>
        </is>
      </c>
      <c r="C202" s="5" t="inlineStr">
        <is>
          <t>Quand utiliser des balises canonical inter-domaines ?</t>
        </is>
      </c>
      <c r="D202" t="inlineStr">
        <is>
          <t>balise canonical</t>
        </is>
      </c>
      <c r="E202" t="inlineStr">
        <is>
          <t>fr</t>
        </is>
      </c>
      <c r="F202" s="5" t="inlineStr"/>
      <c r="G202" t="n">
        <v>90</v>
      </c>
      <c r="H202" t="n">
        <v>15</v>
      </c>
      <c r="I202" t="inlineStr">
        <is>
          <t>Timeline</t>
        </is>
      </c>
      <c r="J202" t="inlineStr">
        <is>
          <t>MEASURED</t>
        </is>
      </c>
      <c r="K202">
        <f>ROUND(IF(ISNUMBER(G202),MIN(50,ROUND(50*LOG10(G202+1)/4,1)),5)+IF(ISNUMBER(H202),ROUND(30*(100-H202)/100,1),15)+IF(B202="New",20,10),0)</f>
        <v/>
      </c>
      <c r="L202" t="inlineStr">
        <is>
          <t>KEEP</t>
        </is>
      </c>
      <c r="M202" s="5" t="inlineStr">
        <is>
          <t>Matches measured pre-purchase demand</t>
        </is>
      </c>
      <c r="N202" s="5" t="inlineStr">
        <is>
          <t>Les canonical inter-domaines sont utilisées lorsque vous republiez le même contenu sur plusieurs domaines et souhaitez attribuer le crédit à la source originale. Par exemple, si vous syndiquez un arti</t>
        </is>
      </c>
      <c r="O202" t="inlineStr">
        <is>
          <t>P3</t>
        </is>
      </c>
      <c r="P202" t="inlineStr">
        <is>
          <t>Visible only (no FAQPage schema)</t>
        </is>
      </c>
    </row>
    <row r="203">
      <c r="A203" s="3" t="inlineStr">
        <is>
          <t>https://codesommet.com/tools/canonical-checker</t>
        </is>
      </c>
      <c r="B203" t="inlineStr">
        <is>
          <t>Existing</t>
        </is>
      </c>
      <c r="C203" s="5" t="inlineStr">
        <is>
          <t>Que se passe-t-il avec plusieurs balises canonical sur une page ?</t>
        </is>
      </c>
      <c r="D203" t="inlineStr">
        <is>
          <t>balise canonical</t>
        </is>
      </c>
      <c r="E203" t="inlineStr">
        <is>
          <t>fr</t>
        </is>
      </c>
      <c r="F203" s="5" t="inlineStr"/>
      <c r="G203" t="n">
        <v>90</v>
      </c>
      <c r="H203" t="n">
        <v>15</v>
      </c>
      <c r="I203" t="inlineStr">
        <is>
          <t>Service scope</t>
        </is>
      </c>
      <c r="J203" t="inlineStr">
        <is>
          <t>MEASURED</t>
        </is>
      </c>
      <c r="K203">
        <f>ROUND(IF(ISNUMBER(G203),MIN(50,ROUND(50*LOG10(G203+1)/4,1)),5)+IF(ISNUMBER(H203),ROUND(30*(100-H203)/100,1),15)+IF(B203="New",20,10),0)</f>
        <v/>
      </c>
      <c r="L203" t="inlineStr">
        <is>
          <t>KEEP</t>
        </is>
      </c>
      <c r="M203" s="5" t="inlineStr">
        <is>
          <t>Relevant to page intent</t>
        </is>
      </c>
      <c r="N203" s="5" t="inlineStr">
        <is>
          <t>Plusieurs balises canonical créent des signaux contradictoires et déroutent les moteurs de recherche. Google en choisira généralement une arbitrairement ou les ignorera toutes, ce qui annule l'objecti</t>
        </is>
      </c>
      <c r="O203" t="inlineStr">
        <is>
          <t>P3</t>
        </is>
      </c>
      <c r="P203" t="inlineStr">
        <is>
          <t>Visible only (no FAQPage schema)</t>
        </is>
      </c>
    </row>
    <row r="204">
      <c r="A204" s="3" t="inlineStr">
        <is>
          <t>https://codesommet.com/tools/canonical-checker</t>
        </is>
      </c>
      <c r="B204" t="inlineStr">
        <is>
          <t>Existing</t>
        </is>
      </c>
      <c r="C204" s="5" t="inlineStr">
        <is>
          <t>Les balises canonical peuvent-elles nuire au SEO si mal implémentées ?</t>
        </is>
      </c>
      <c r="D204" t="inlineStr">
        <is>
          <t>canonical seo</t>
        </is>
      </c>
      <c r="E204" t="inlineStr">
        <is>
          <t>fr</t>
        </is>
      </c>
      <c r="F204" s="5" t="inlineStr"/>
      <c r="G204" t="n">
        <v>170</v>
      </c>
      <c r="H204" t="n">
        <v>20</v>
      </c>
      <c r="I204" t="inlineStr">
        <is>
          <t>SEO</t>
        </is>
      </c>
      <c r="J204" t="inlineStr">
        <is>
          <t>MEASURED</t>
        </is>
      </c>
      <c r="K204">
        <f>ROUND(IF(ISNUMBER(G204),MIN(50,ROUND(50*LOG10(G204+1)/4,1)),5)+IF(ISNUMBER(H204),ROUND(30*(100-H204)/100,1),15)+IF(B204="New",20,10),0)</f>
        <v/>
      </c>
      <c r="L204" t="inlineStr">
        <is>
          <t>KEEP</t>
        </is>
      </c>
      <c r="M204" s="5" t="inlineStr">
        <is>
          <t>Relevant to page intent</t>
        </is>
      </c>
      <c r="N204" s="5" t="inlineStr">
        <is>
          <t>Oui, des balises canonical incorrectes peuvent gravement endommager le SEO. Les erreurs courantes incluent pointer vers une page 404, utiliser des URL relatives au lieu d'absolues, mélanger les versio</t>
        </is>
      </c>
      <c r="O204" t="inlineStr">
        <is>
          <t>P3</t>
        </is>
      </c>
      <c r="P204" t="inlineStr">
        <is>
          <t>Visible only (no FAQPage schema)</t>
        </is>
      </c>
    </row>
    <row r="205">
      <c r="A205" s="3" t="inlineStr">
        <is>
          <t>https://codesommet.com/tools/canonical-checker</t>
        </is>
      </c>
      <c r="B205" t="inlineStr">
        <is>
          <t>Existing</t>
        </is>
      </c>
      <c r="C205" s="5" t="inlineStr">
        <is>
          <t>Comment Google gère les balises canonical vs les redirections 301 ?</t>
        </is>
      </c>
      <c r="D205" t="inlineStr">
        <is>
          <t>balise canonical</t>
        </is>
      </c>
      <c r="E205" t="inlineStr">
        <is>
          <t>fr</t>
        </is>
      </c>
      <c r="F205" s="5" t="inlineStr"/>
      <c r="G205" t="n">
        <v>90</v>
      </c>
      <c r="H205" t="n">
        <v>15</v>
      </c>
      <c r="I205" t="inlineStr">
        <is>
          <t>SEO</t>
        </is>
      </c>
      <c r="J205" t="inlineStr">
        <is>
          <t>MEASURED</t>
        </is>
      </c>
      <c r="K205">
        <f>ROUND(IF(ISNUMBER(G205),MIN(50,ROUND(50*LOG10(G205+1)/4,1)),5)+IF(ISNUMBER(H205),ROUND(30*(100-H205)/100,1),15)+IF(B205="New",20,10),0)</f>
        <v/>
      </c>
      <c r="L205" t="inlineStr">
        <is>
          <t>KEEP</t>
        </is>
      </c>
      <c r="M205" s="5" t="inlineStr">
        <is>
          <t>Relevant to page intent</t>
        </is>
      </c>
      <c r="N205" s="5" t="inlineStr">
        <is>
          <t>Les balises canonical sont des indications que Google peut choisir d'ignorer, tandis que les redirections 301 sont des directives qui doivent être suivies. Utilisez les redirections 301 lorsque vous d</t>
        </is>
      </c>
      <c r="O205" t="inlineStr">
        <is>
          <t>P3</t>
        </is>
      </c>
      <c r="P205" t="inlineStr">
        <is>
          <t>Visible only (no FAQPage schema)</t>
        </is>
      </c>
    </row>
    <row r="206">
      <c r="A206" s="3" t="inlineStr">
        <is>
          <t>https://codesommet.com/tools/canonical-checker</t>
        </is>
      </c>
      <c r="B206" t="inlineStr">
        <is>
          <t>Existing</t>
        </is>
      </c>
      <c r="C206" s="5" t="inlineStr">
        <is>
          <t>Quelles sont les erreurs d'URL canonical les plus courantes ?</t>
        </is>
      </c>
      <c r="D206" t="inlineStr">
        <is>
          <t>url canonique</t>
        </is>
      </c>
      <c r="E206" t="inlineStr">
        <is>
          <t>fr</t>
        </is>
      </c>
      <c r="F206" s="5" t="inlineStr"/>
      <c r="G206" t="n">
        <v>390</v>
      </c>
      <c r="H206" t="n">
        <v>30</v>
      </c>
      <c r="I206" t="inlineStr">
        <is>
          <t>Service scope</t>
        </is>
      </c>
      <c r="J206" t="inlineStr">
        <is>
          <t>MEASURED</t>
        </is>
      </c>
      <c r="K206">
        <f>ROUND(IF(ISNUMBER(G206),MIN(50,ROUND(50*LOG10(G206+1)/4,1)),5)+IF(ISNUMBER(H206),ROUND(30*(100-H206)/100,1),15)+IF(B206="New",20,10),0)</f>
        <v/>
      </c>
      <c r="L206" t="inlineStr">
        <is>
          <t>KEEP</t>
        </is>
      </c>
      <c r="M206" s="5" t="inlineStr">
        <is>
          <t>Relevant to page intent</t>
        </is>
      </c>
      <c r="N206" s="5" t="inlineStr">
        <is>
          <t>Les principales erreurs sont : ne pas utiliser d'URL absolues (domaine manquant), avoir plusieurs balises canonical, une canonical pointant vers une page 404 ou une redirection, mélanger les protocole</t>
        </is>
      </c>
      <c r="O206" t="inlineStr">
        <is>
          <t>P3</t>
        </is>
      </c>
      <c r="P206" t="inlineStr">
        <is>
          <t>Visible only (no FAQPage schema)</t>
        </is>
      </c>
    </row>
    <row r="207">
      <c r="A207" s="3" t="inlineStr">
        <is>
          <t>https://codesommet.com/tools/chatbot-script-generator</t>
        </is>
      </c>
      <c r="B207" t="inlineStr">
        <is>
          <t>Existing</t>
        </is>
      </c>
      <c r="C207" s="5" t="inlineStr">
        <is>
          <t>Qu'est-ce qu'un script de conversation chatbot et pourquoi en ai-je besoin ?</t>
        </is>
      </c>
      <c r="D207" t="inlineStr">
        <is>
          <t>script chatbot</t>
        </is>
      </c>
      <c r="E207" t="inlineStr">
        <is>
          <t>fr</t>
        </is>
      </c>
      <c r="F207" s="5" t="inlineStr"/>
      <c r="G207" t="n">
        <v>20</v>
      </c>
      <c r="H207" t="inlineStr">
        <is>
          <t>NOT AVAILABLE</t>
        </is>
      </c>
      <c r="I207" t="inlineStr">
        <is>
          <t>Definition / how it works</t>
        </is>
      </c>
      <c r="J207" t="inlineStr">
        <is>
          <t>MEASURED</t>
        </is>
      </c>
      <c r="K207">
        <f>ROUND(IF(ISNUMBER(G207),MIN(50,ROUND(50*LOG10(G207+1)/4,1)),5)+IF(ISNUMBER(H207),ROUND(30*(100-H207)/100,1),15)+IF(B207="New",20,10),0)</f>
        <v/>
      </c>
      <c r="L207" t="inlineStr">
        <is>
          <t>KEEP</t>
        </is>
      </c>
      <c r="M207" s="5" t="inlineStr">
        <is>
          <t>Relevant to page intent</t>
        </is>
      </c>
      <c r="N207" s="5" t="inlineStr">
        <is>
          <t>Un script de conversation chatbot est un cadre structuré qui définit comment votre chatbot IA doit répondre aux requêtes des utilisateurs, gérer les différents chemins de conversation et guider les ut</t>
        </is>
      </c>
      <c r="O207" t="inlineStr">
        <is>
          <t>P3</t>
        </is>
      </c>
      <c r="P207" t="inlineStr">
        <is>
          <t>Visible only (no FAQPage schema)</t>
        </is>
      </c>
    </row>
    <row r="208">
      <c r="A208" s="3" t="inlineStr">
        <is>
          <t>https://codesommet.com/tools/chatbot-script-generator</t>
        </is>
      </c>
      <c r="B208" t="inlineStr">
        <is>
          <t>Existing</t>
        </is>
      </c>
      <c r="C208" s="5" t="inlineStr">
        <is>
          <t>Comment les flux de conversation et la logique de branchement améliorent-ils mon chatbot ?</t>
        </is>
      </c>
      <c r="D208" t="inlineStr">
        <is>
          <t>créer un chatbot</t>
        </is>
      </c>
      <c r="E208" t="inlineStr">
        <is>
          <t>fr</t>
        </is>
      </c>
      <c r="F208" s="5" t="inlineStr"/>
      <c r="G208" t="n">
        <v>480</v>
      </c>
      <c r="H208" t="n">
        <v>39</v>
      </c>
      <c r="I208" t="inlineStr">
        <is>
          <t>Service scope</t>
        </is>
      </c>
      <c r="J208" t="inlineStr">
        <is>
          <t>MEASURED</t>
        </is>
      </c>
      <c r="K208">
        <f>ROUND(IF(ISNUMBER(G208),MIN(50,ROUND(50*LOG10(G208+1)/4,1)),5)+IF(ISNUMBER(H208),ROUND(30*(100-H208)/100,1),15)+IF(B208="New",20,10),0)</f>
        <v/>
      </c>
      <c r="L208" t="inlineStr">
        <is>
          <t>KEEP</t>
        </is>
      </c>
      <c r="M208" s="5" t="inlineStr">
        <is>
          <t>Relevant to page intent</t>
        </is>
      </c>
      <c r="N208" s="5" t="inlineStr">
        <is>
          <t>Les flux de conversation avec logique de branchement permettent à votre chatbot de gérer plusieurs sujets et intentions utilisateur de manière intelligente. Au lieu de réponses rigides et linéaires, v</t>
        </is>
      </c>
      <c r="O208" t="inlineStr">
        <is>
          <t>P3</t>
        </is>
      </c>
      <c r="P208" t="inlineStr">
        <is>
          <t>Visible only (no FAQPage schema)</t>
        </is>
      </c>
    </row>
    <row r="209">
      <c r="A209" s="3" t="inlineStr">
        <is>
          <t>https://codesommet.com/tools/chatbot-script-generator</t>
        </is>
      </c>
      <c r="B209" t="inlineStr">
        <is>
          <t>Existing</t>
        </is>
      </c>
      <c r="C209" s="5" t="inlineStr">
        <is>
          <t>Qu'est-ce que la qualification de prospects et comment le chatbot la réalise-t-il ?</t>
        </is>
      </c>
      <c r="D209" t="inlineStr">
        <is>
          <t>créer un chatbot</t>
        </is>
      </c>
      <c r="E209" t="inlineStr">
        <is>
          <t>fr</t>
        </is>
      </c>
      <c r="F209" s="5" t="inlineStr"/>
      <c r="G209" t="n">
        <v>480</v>
      </c>
      <c r="H209" t="n">
        <v>39</v>
      </c>
      <c r="I209" t="inlineStr">
        <is>
          <t>Definition / how it works</t>
        </is>
      </c>
      <c r="J209" t="inlineStr">
        <is>
          <t>MEASURED</t>
        </is>
      </c>
      <c r="K209">
        <f>ROUND(IF(ISNUMBER(G209),MIN(50,ROUND(50*LOG10(G209+1)/4,1)),5)+IF(ISNUMBER(H209),ROUND(30*(100-H209)/100,1),15)+IF(B209="New",20,10),0)</f>
        <v/>
      </c>
      <c r="L209" t="inlineStr">
        <is>
          <t>KEEP</t>
        </is>
      </c>
      <c r="M209" s="5" t="inlineStr">
        <is>
          <t>Relevant to page intent</t>
        </is>
      </c>
      <c r="N209" s="5" t="inlineStr">
        <is>
          <t xml:space="preserve">La qualification de prospects est le processus de détermination si un visiteur est un client potentiel intéressant à poursuivre. Le chatbot pose des questions ciblées (comme le budget, le calendrier, </t>
        </is>
      </c>
      <c r="O209" t="inlineStr">
        <is>
          <t>P3</t>
        </is>
      </c>
      <c r="P209" t="inlineStr">
        <is>
          <t>Visible only (no FAQPage schema)</t>
        </is>
      </c>
    </row>
    <row r="210">
      <c r="A210" s="3" t="inlineStr">
        <is>
          <t>https://codesommet.com/tools/chatbot-script-generator</t>
        </is>
      </c>
      <c r="B210" t="inlineStr">
        <is>
          <t>Existing</t>
        </is>
      </c>
      <c r="C210" s="5" t="inlineStr">
        <is>
          <t>Puis-je personnaliser le script pour mon industrie ?</t>
        </is>
      </c>
      <c r="D210" t="inlineStr">
        <is>
          <t>script chatbot</t>
        </is>
      </c>
      <c r="E210" t="inlineStr">
        <is>
          <t>fr</t>
        </is>
      </c>
      <c r="F210" s="5" t="inlineStr"/>
      <c r="G210" t="n">
        <v>20</v>
      </c>
      <c r="H210" t="inlineStr">
        <is>
          <t>NOT AVAILABLE</t>
        </is>
      </c>
      <c r="I210" t="inlineStr">
        <is>
          <t>Service scope</t>
        </is>
      </c>
      <c r="J210" t="inlineStr">
        <is>
          <t>MEASURED</t>
        </is>
      </c>
      <c r="K210">
        <f>ROUND(IF(ISNUMBER(G210),MIN(50,ROUND(50*LOG10(G210+1)/4,1)),5)+IF(ISNUMBER(H210),ROUND(30*(100-H210)/100,1),15)+IF(B210="New",20,10),0)</f>
        <v/>
      </c>
      <c r="L210" t="inlineStr">
        <is>
          <t>KEEP</t>
        </is>
      </c>
      <c r="M210" s="5" t="inlineStr">
        <is>
          <t>Relevant to page intent</t>
        </is>
      </c>
      <c r="N210" s="5" t="inlineStr">
        <is>
          <t xml:space="preserve">Absolument ! Notre générateur crée des scripts spécifiques à l'industrie adaptés à votre secteur d'activité. Par exemple, les chatbots de santé se concentrent sur la prise de rendez-vous et le triage </t>
        </is>
      </c>
      <c r="O210" t="inlineStr">
        <is>
          <t>P3</t>
        </is>
      </c>
      <c r="P210" t="inlineStr">
        <is>
          <t>Visible only (no FAQPage schema)</t>
        </is>
      </c>
    </row>
    <row r="211">
      <c r="A211" s="3" t="inlineStr">
        <is>
          <t>https://codesommet.com/tools/chatbot-script-generator</t>
        </is>
      </c>
      <c r="B211" t="inlineStr">
        <is>
          <t>Existing</t>
        </is>
      </c>
      <c r="C211" s="5" t="inlineStr">
        <is>
          <t>Quelles plateformes chatbot sont compatibles avec ces scripts ?</t>
        </is>
      </c>
      <c r="D211" t="inlineStr">
        <is>
          <t>créer un chatbot</t>
        </is>
      </c>
      <c r="E211" t="inlineStr">
        <is>
          <t>fr</t>
        </is>
      </c>
      <c r="F211" s="5" t="inlineStr"/>
      <c r="G211" t="n">
        <v>480</v>
      </c>
      <c r="H211" t="n">
        <v>39</v>
      </c>
      <c r="I211" t="inlineStr">
        <is>
          <t>Service scope</t>
        </is>
      </c>
      <c r="J211" t="inlineStr">
        <is>
          <t>MEASURED</t>
        </is>
      </c>
      <c r="K211">
        <f>ROUND(IF(ISNUMBER(G211),MIN(50,ROUND(50*LOG10(G211+1)/4,1)),5)+IF(ISNUMBER(H211),ROUND(30*(100-H211)/100,1),15)+IF(B211="New",20,10),0)</f>
        <v/>
      </c>
      <c r="L211" t="inlineStr">
        <is>
          <t>KEEP</t>
        </is>
      </c>
      <c r="M211" s="5" t="inlineStr">
        <is>
          <t>Relevant to page intent</t>
        </is>
      </c>
      <c r="N211" s="5" t="inlineStr">
        <is>
          <t>Les scripts générés fonctionnent avec la plupart des plateformes chatbot modernes, notamment Dialogflow, Botpress, Landbot, ManyChat, Chatfuel, Rasa, Microsoft Bot Framework et les solutions personnal</t>
        </is>
      </c>
      <c r="O211" t="inlineStr">
        <is>
          <t>P3</t>
        </is>
      </c>
      <c r="P211" t="inlineStr">
        <is>
          <t>Visible only (no FAQPage schema)</t>
        </is>
      </c>
    </row>
    <row r="212">
      <c r="A212" s="3" t="inlineStr">
        <is>
          <t>https://codesommet.com/tools/chatbot-script-generator</t>
        </is>
      </c>
      <c r="B212" t="inlineStr">
        <is>
          <t>Existing</t>
        </is>
      </c>
      <c r="C212" s="5" t="inlineStr">
        <is>
          <t>Comment implémenter le script généré dans ma plateforme chatbot ?</t>
        </is>
      </c>
      <c r="D212" t="inlineStr">
        <is>
          <t>script chatbot</t>
        </is>
      </c>
      <c r="E212" t="inlineStr">
        <is>
          <t>fr</t>
        </is>
      </c>
      <c r="F212" s="5" t="inlineStr"/>
      <c r="G212" t="n">
        <v>20</v>
      </c>
      <c r="H212" t="inlineStr">
        <is>
          <t>NOT AVAILABLE</t>
        </is>
      </c>
      <c r="I212" t="inlineStr">
        <is>
          <t>Service scope</t>
        </is>
      </c>
      <c r="J212" t="inlineStr">
        <is>
          <t>MEASURED</t>
        </is>
      </c>
      <c r="K212">
        <f>ROUND(IF(ISNUMBER(G212),MIN(50,ROUND(50*LOG10(G212+1)/4,1)),5)+IF(ISNUMBER(H212),ROUND(30*(100-H212)/100,1),15)+IF(B212="New",20,10),0)</f>
        <v/>
      </c>
      <c r="L212" t="inlineStr">
        <is>
          <t>KEEP</t>
        </is>
      </c>
      <c r="M212" s="5" t="inlineStr">
        <is>
          <t>Relevant to page intent</t>
        </is>
      </c>
      <c r="N212" s="5" t="inlineStr">
        <is>
          <t>L'implémentation dépend de votre plateforme, mais implique généralement de copier les intentions dans votre constructeur de bot, d'ajouter des phrases d'entraînement pour former votre moteur NLP, de c</t>
        </is>
      </c>
      <c r="O212" t="inlineStr">
        <is>
          <t>P3</t>
        </is>
      </c>
      <c r="P212" t="inlineStr">
        <is>
          <t>Visible only (no FAQPage schema)</t>
        </is>
      </c>
    </row>
    <row r="213">
      <c r="A213" s="3" t="inlineStr">
        <is>
          <t>https://codesommet.com/tools/chatbot-script-generator</t>
        </is>
      </c>
      <c r="B213" t="inlineStr">
        <is>
          <t>Existing</t>
        </is>
      </c>
      <c r="C213" s="5" t="inlineStr">
        <is>
          <t>Comment tester et optimiser mon chatbot après l'implémentation ?</t>
        </is>
      </c>
      <c r="D213" t="inlineStr">
        <is>
          <t>créer un chatbot</t>
        </is>
      </c>
      <c r="E213" t="inlineStr">
        <is>
          <t>fr</t>
        </is>
      </c>
      <c r="F213" s="5" t="inlineStr"/>
      <c r="G213" t="n">
        <v>480</v>
      </c>
      <c r="H213" t="n">
        <v>39</v>
      </c>
      <c r="I213" t="inlineStr">
        <is>
          <t>Service scope</t>
        </is>
      </c>
      <c r="J213" t="inlineStr">
        <is>
          <t>MEASURED</t>
        </is>
      </c>
      <c r="K213">
        <f>ROUND(IF(ISNUMBER(G213),MIN(50,ROUND(50*LOG10(G213+1)/4,1)),5)+IF(ISNUMBER(H213),ROUND(30*(100-H213)/100,1),15)+IF(B213="New",20,10),0)</f>
        <v/>
      </c>
      <c r="L213" t="inlineStr">
        <is>
          <t>KEEP</t>
        </is>
      </c>
      <c r="M213" s="5" t="inlineStr">
        <is>
          <t>Relevant to page intent</t>
        </is>
      </c>
      <c r="N213" s="5" t="inlineStr">
        <is>
          <t xml:space="preserve">Commencez par tester manuellement tous les chemins de conversation avec de vrais membres de l'équipe jouant différents rôles d'utilisateurs. Ensuite, déployez auprès d'un petit segment d'utilisateurs </t>
        </is>
      </c>
      <c r="O213" t="inlineStr">
        <is>
          <t>P3</t>
        </is>
      </c>
      <c r="P213" t="inlineStr">
        <is>
          <t>Visible only (no FAQPage schema)</t>
        </is>
      </c>
    </row>
    <row r="214">
      <c r="A214" s="3" t="inlineStr">
        <is>
          <t>https://codesommet.com/tools/color-palette-generator</t>
        </is>
      </c>
      <c r="B214" t="inlineStr">
        <is>
          <t>Existing</t>
        </is>
      </c>
      <c r="C214" s="5" t="inlineStr">
        <is>
          <t>Comment l'IA extrait-elle les couleurs de mon image de marque ?</t>
        </is>
      </c>
      <c r="D214" t="inlineStr">
        <is>
          <t>palette de couleurs</t>
        </is>
      </c>
      <c r="E214" t="inlineStr">
        <is>
          <t>fr</t>
        </is>
      </c>
      <c r="F214" s="5" t="inlineStr"/>
      <c r="G214" t="n">
        <v>1600</v>
      </c>
      <c r="H214" t="n">
        <v>48</v>
      </c>
      <c r="I214" t="inlineStr">
        <is>
          <t>Service scope</t>
        </is>
      </c>
      <c r="J214" t="inlineStr">
        <is>
          <t>MEASURED</t>
        </is>
      </c>
      <c r="K214">
        <f>ROUND(IF(ISNUMBER(G214),MIN(50,ROUND(50*LOG10(G214+1)/4,1)),5)+IF(ISNUMBER(H214),ROUND(30*(100-H214)/100,1),15)+IF(B214="New",20,10),0)</f>
        <v/>
      </c>
      <c r="L214" t="inlineStr">
        <is>
          <t>KEEP</t>
        </is>
      </c>
      <c r="M214" s="5" t="inlineStr">
        <is>
          <t>Relevant to page intent</t>
        </is>
      </c>
      <c r="N214" s="5" t="inlineStr">
        <is>
          <t>Notre IA utilise la vision par ordinateur avancée pour analyser votre image téléchargée, identifiant les couleurs dominantes, leur fréquence et leurs modèles de distribution. Elle génère ensuite une p</t>
        </is>
      </c>
      <c r="O214" t="inlineStr">
        <is>
          <t>P3</t>
        </is>
      </c>
      <c r="P214" t="inlineStr">
        <is>
          <t>Visible only (no FAQPage schema)</t>
        </is>
      </c>
    </row>
    <row r="215">
      <c r="A215" s="3" t="inlineStr">
        <is>
          <t>https://codesommet.com/tools/color-palette-generator</t>
        </is>
      </c>
      <c r="B215" t="inlineStr">
        <is>
          <t>Existing</t>
        </is>
      </c>
      <c r="C215" s="5" t="inlineStr">
        <is>
          <t>Quelle est la différence entre les formats hex, RGB et HSL ?</t>
        </is>
      </c>
      <c r="D215" t="inlineStr">
        <is>
          <t>palette de couleurs</t>
        </is>
      </c>
      <c r="E215" t="inlineStr">
        <is>
          <t>fr</t>
        </is>
      </c>
      <c r="F215" s="5" t="inlineStr"/>
      <c r="G215" t="n">
        <v>1600</v>
      </c>
      <c r="H215" t="n">
        <v>48</v>
      </c>
      <c r="I215" t="inlineStr">
        <is>
          <t>Differentiation</t>
        </is>
      </c>
      <c r="J215" t="inlineStr">
        <is>
          <t>MEASURED</t>
        </is>
      </c>
      <c r="K215">
        <f>ROUND(IF(ISNUMBER(G215),MIN(50,ROUND(50*LOG10(G215+1)/4,1)),5)+IF(ISNUMBER(H215),ROUND(30*(100-H215)/100,1),15)+IF(B215="New",20,10),0)</f>
        <v/>
      </c>
      <c r="L215" t="inlineStr">
        <is>
          <t>KEEP</t>
        </is>
      </c>
      <c r="M215" s="5" t="inlineStr">
        <is>
          <t>Relevant to page intent</t>
        </is>
      </c>
      <c r="N215" s="5" t="inlineStr">
        <is>
          <t>Les codes hex (#FF6500) sont des représentations hexadécimales couramment utilisées en web design et CSS. RGB (Rouge, Vert, Bleu) affiche la couleur sous forme de valeurs lumineuses de 0 à 255 pour ch</t>
        </is>
      </c>
      <c r="O215" t="inlineStr">
        <is>
          <t>P3</t>
        </is>
      </c>
      <c r="P215" t="inlineStr">
        <is>
          <t>Visible only (no FAQPage schema)</t>
        </is>
      </c>
    </row>
    <row r="216">
      <c r="A216" s="3" t="inlineStr">
        <is>
          <t>https://codesommet.com/tools/color-palette-generator</t>
        </is>
      </c>
      <c r="B216" t="inlineStr">
        <is>
          <t>Existing</t>
        </is>
      </c>
      <c r="C216" s="5" t="inlineStr">
        <is>
          <t>Que signifie la conformité WCAG AA pour ma palette ?</t>
        </is>
      </c>
      <c r="D216" t="inlineStr">
        <is>
          <t>palette de couleurs</t>
        </is>
      </c>
      <c r="E216" t="inlineStr">
        <is>
          <t>fr</t>
        </is>
      </c>
      <c r="F216" s="5" t="inlineStr"/>
      <c r="G216" t="n">
        <v>1600</v>
      </c>
      <c r="H216" t="n">
        <v>48</v>
      </c>
      <c r="I216" t="inlineStr">
        <is>
          <t>Compliance / security</t>
        </is>
      </c>
      <c r="J216" t="inlineStr">
        <is>
          <t>MEASURED</t>
        </is>
      </c>
      <c r="K216">
        <f>ROUND(IF(ISNUMBER(G216),MIN(50,ROUND(50*LOG10(G216+1)/4,1)),5)+IF(ISNUMBER(H216),ROUND(30*(100-H216)/100,1),15)+IF(B216="New",20,10),0)</f>
        <v/>
      </c>
      <c r="L216" t="inlineStr">
        <is>
          <t>KEEP</t>
        </is>
      </c>
      <c r="M216" s="5" t="inlineStr">
        <is>
          <t>Relevant to page intent</t>
        </is>
      </c>
      <c r="N216" s="5" t="inlineStr">
        <is>
          <t>WCAG (Web Content Accessibility Guidelines) AA est la norme pour le web design accessible. Elle exige un ratio de contraste d'au moins 4.5:1 pour le texte normal et 3:1 pour le texte large par rapport</t>
        </is>
      </c>
      <c r="O216" t="inlineStr">
        <is>
          <t>P3</t>
        </is>
      </c>
      <c r="P216" t="inlineStr">
        <is>
          <t>Visible only (no FAQPage schema)</t>
        </is>
      </c>
    </row>
    <row r="217">
      <c r="A217" s="3" t="inlineStr">
        <is>
          <t>https://codesommet.com/tools/color-palette-generator</t>
        </is>
      </c>
      <c r="B217" t="inlineStr">
        <is>
          <t>Existing</t>
        </is>
      </c>
      <c r="C217" s="5" t="inlineStr">
        <is>
          <t>Comment choisir les couleurs primaire, secondaire et accent ?</t>
        </is>
      </c>
      <c r="D217" t="inlineStr">
        <is>
          <t>palette de couleurs</t>
        </is>
      </c>
      <c r="E217" t="inlineStr">
        <is>
          <t>fr</t>
        </is>
      </c>
      <c r="F217" s="5" t="inlineStr"/>
      <c r="G217" t="n">
        <v>1600</v>
      </c>
      <c r="H217" t="n">
        <v>48</v>
      </c>
      <c r="I217" t="inlineStr">
        <is>
          <t>Service scope</t>
        </is>
      </c>
      <c r="J217" t="inlineStr">
        <is>
          <t>MEASURED</t>
        </is>
      </c>
      <c r="K217">
        <f>ROUND(IF(ISNUMBER(G217),MIN(50,ROUND(50*LOG10(G217+1)/4,1)),5)+IF(ISNUMBER(H217),ROUND(30*(100-H217)/100,1),15)+IF(B217="New",20,10),0)</f>
        <v/>
      </c>
      <c r="L217" t="inlineStr">
        <is>
          <t>KEEP</t>
        </is>
      </c>
      <c r="M217" s="5" t="inlineStr">
        <is>
          <t>Relevant to page intent</t>
        </is>
      </c>
      <c r="N217" s="5" t="inlineStr">
        <is>
          <t>Suivez la règle 60-30-10 : utilisez votre couleur primaire pour 60 % du design (arrière-plans, sections principales), la couleur secondaire pour 30 % (éléments de soutien, cartes), et la couleur d'acc</t>
        </is>
      </c>
      <c r="O217" t="inlineStr">
        <is>
          <t>P3</t>
        </is>
      </c>
      <c r="P217" t="inlineStr">
        <is>
          <t>Visible only (no FAQPage schema)</t>
        </is>
      </c>
    </row>
    <row r="218">
      <c r="A218" s="3" t="inlineStr">
        <is>
          <t>https://codesommet.com/tools/color-palette-generator</t>
        </is>
      </c>
      <c r="B218" t="inlineStr">
        <is>
          <t>Existing</t>
        </is>
      </c>
      <c r="C218" s="5" t="inlineStr">
        <is>
          <t>Puis-je utiliser ces palettes pour l'impression ou seulement le web ?</t>
        </is>
      </c>
      <c r="D218" t="inlineStr">
        <is>
          <t>palette de couleurs</t>
        </is>
      </c>
      <c r="E218" t="inlineStr">
        <is>
          <t>fr</t>
        </is>
      </c>
      <c r="F218" s="5" t="inlineStr"/>
      <c r="G218" t="n">
        <v>1600</v>
      </c>
      <c r="H218" t="n">
        <v>48</v>
      </c>
      <c r="I218" t="inlineStr">
        <is>
          <t>Service scope</t>
        </is>
      </c>
      <c r="J218" t="inlineStr">
        <is>
          <t>MEASURED</t>
        </is>
      </c>
      <c r="K218">
        <f>ROUND(IF(ISNUMBER(G218),MIN(50,ROUND(50*LOG10(G218+1)/4,1)),5)+IF(ISNUMBER(H218),ROUND(30*(100-H218)/100,1),15)+IF(B218="New",20,10),0)</f>
        <v/>
      </c>
      <c r="L218" t="inlineStr">
        <is>
          <t>KEEP</t>
        </is>
      </c>
      <c r="M218" s="5" t="inlineStr">
        <is>
          <t>Relevant to page intent</t>
        </is>
      </c>
      <c r="N218" s="5" t="inlineStr">
        <is>
          <t>Bien que notre outil fournisse des formats optimisés pour le web (hex, RGB, HSL, CSS, Tailwind), vous pouvez absolument utiliser ces couleurs pour l'impression. Pour l'impression professionnelle, vous</t>
        </is>
      </c>
      <c r="O218" t="inlineStr">
        <is>
          <t>P3</t>
        </is>
      </c>
      <c r="P218" t="inlineStr">
        <is>
          <t>Visible only (no FAQPage schema)</t>
        </is>
      </c>
    </row>
    <row r="219">
      <c r="A219" s="3" t="inlineStr">
        <is>
          <t>https://codesommet.com/tools/color-palette-generator</t>
        </is>
      </c>
      <c r="B219" t="inlineStr">
        <is>
          <t>Existing</t>
        </is>
      </c>
      <c r="C219" s="5" t="inlineStr">
        <is>
          <t>Que sont les règles d'harmonie des couleurs et pourquoi comptent-elles ?</t>
        </is>
      </c>
      <c r="D219" t="inlineStr">
        <is>
          <t>palette de couleurs</t>
        </is>
      </c>
      <c r="E219" t="inlineStr">
        <is>
          <t>fr</t>
        </is>
      </c>
      <c r="F219" s="5" t="inlineStr"/>
      <c r="G219" t="n">
        <v>1600</v>
      </c>
      <c r="H219" t="n">
        <v>48</v>
      </c>
      <c r="I219" t="inlineStr">
        <is>
          <t>Definition / how it works</t>
        </is>
      </c>
      <c r="J219" t="inlineStr">
        <is>
          <t>MEASURED</t>
        </is>
      </c>
      <c r="K219">
        <f>ROUND(IF(ISNUMBER(G219),MIN(50,ROUND(50*LOG10(G219+1)/4,1)),5)+IF(ISNUMBER(H219),ROUND(30*(100-H219)/100,1),15)+IF(B219="New",20,10),0)</f>
        <v/>
      </c>
      <c r="L219" t="inlineStr">
        <is>
          <t>KEEP</t>
        </is>
      </c>
      <c r="M219" s="5" t="inlineStr">
        <is>
          <t>Relevant to page intent</t>
        </is>
      </c>
      <c r="N219" s="5" t="inlineStr">
        <is>
          <t>L'harmonie des couleurs fait référence à des combinaisons de couleurs esthétiquement agréables basées sur leur position sur le cercle chromatique. Les schémas courants incluent complémentaire (couleur</t>
        </is>
      </c>
      <c r="O219" t="inlineStr">
        <is>
          <t>P3</t>
        </is>
      </c>
      <c r="P219" t="inlineStr">
        <is>
          <t>Visible only (no FAQPage schema)</t>
        </is>
      </c>
    </row>
    <row r="220">
      <c r="A220" s="3" t="inlineStr">
        <is>
          <t>https://codesommet.com/tools/color-palette-generator</t>
        </is>
      </c>
      <c r="B220" t="inlineStr">
        <is>
          <t>Existing</t>
        </is>
      </c>
      <c r="C220" s="5" t="inlineStr">
        <is>
          <t>Comment tester ma palette avant de l'implémenter sur mon site ?</t>
        </is>
      </c>
      <c r="D220" t="inlineStr">
        <is>
          <t>palette de couleurs</t>
        </is>
      </c>
      <c r="E220" t="inlineStr">
        <is>
          <t>fr</t>
        </is>
      </c>
      <c r="F220" s="5" t="inlineStr"/>
      <c r="G220" t="n">
        <v>1600</v>
      </c>
      <c r="H220" t="n">
        <v>48</v>
      </c>
      <c r="I220" t="inlineStr">
        <is>
          <t>Service scope</t>
        </is>
      </c>
      <c r="J220" t="inlineStr">
        <is>
          <t>MEASURED</t>
        </is>
      </c>
      <c r="K220">
        <f>ROUND(IF(ISNUMBER(G220),MIN(50,ROUND(50*LOG10(G220+1)/4,1)),5)+IF(ISNUMBER(H220),ROUND(30*(100-H220)/100,1),15)+IF(B220="New",20,10),0)</f>
        <v/>
      </c>
      <c r="L220" t="inlineStr">
        <is>
          <t>KEEP</t>
        </is>
      </c>
      <c r="M220" s="5" t="inlineStr">
        <is>
          <t>Relevant to page intent</t>
        </is>
      </c>
      <c r="N220" s="5" t="inlineStr">
        <is>
          <t xml:space="preserve">Utilisez d'abord les variables CSS ou la configuration Tailwind générées dans un environnement de staging. Testez avec du contenu réel, différentes tailles d'écran et conditions d'éclairage. Vérifiez </t>
        </is>
      </c>
      <c r="O220" t="inlineStr">
        <is>
          <t>P3</t>
        </is>
      </c>
      <c r="P220" t="inlineStr">
        <is>
          <t>Visible only (no FAQPage schema)</t>
        </is>
      </c>
    </row>
    <row r="221">
      <c r="A221" s="3" t="inlineStr">
        <is>
          <t>https://codesommet.com/tools/core-web-vitals-checker</t>
        </is>
      </c>
      <c r="B221" t="inlineStr">
        <is>
          <t>Existing</t>
        </is>
      </c>
      <c r="C221" s="5" t="inlineStr">
        <is>
          <t>Que sont les Core Web Vitals et pourquoi sont-ils importants pour le SEO ?</t>
        </is>
      </c>
      <c r="D221" t="inlineStr">
        <is>
          <t>core web vitals</t>
        </is>
      </c>
      <c r="E221" t="inlineStr">
        <is>
          <t>fr</t>
        </is>
      </c>
      <c r="F221" s="5" t="inlineStr"/>
      <c r="G221" t="n">
        <v>1900</v>
      </c>
      <c r="H221" t="n">
        <v>36</v>
      </c>
      <c r="I221" t="inlineStr">
        <is>
          <t>SEO</t>
        </is>
      </c>
      <c r="J221" t="inlineStr">
        <is>
          <t>MEASURED</t>
        </is>
      </c>
      <c r="K221">
        <f>ROUND(IF(ISNUMBER(G221),MIN(50,ROUND(50*LOG10(G221+1)/4,1)),5)+IF(ISNUMBER(H221),ROUND(30*(100-H221)/100,1),15)+IF(B221="New",20,10),0)</f>
        <v/>
      </c>
      <c r="L221" t="inlineStr">
        <is>
          <t>KEEP</t>
        </is>
      </c>
      <c r="M221" s="5" t="inlineStr">
        <is>
          <t>Relevant to page intent</t>
        </is>
      </c>
      <c r="N221" s="5" t="inlineStr">
        <is>
          <t>Les Core Web Vitals sont les métriques officielles de Google pour mesurer l'expérience de page : LCP (performance de chargement), FID/INP (interactivité) et CLS (stabilité visuelle). Depuis 2021, ce s</t>
        </is>
      </c>
      <c r="O221" t="inlineStr">
        <is>
          <t>P3</t>
        </is>
      </c>
      <c r="P221" t="inlineStr">
        <is>
          <t>Visible only (no FAQPage schema)</t>
        </is>
      </c>
    </row>
    <row r="222">
      <c r="A222" s="3" t="inlineStr">
        <is>
          <t>https://codesommet.com/tools/core-web-vitals-checker</t>
        </is>
      </c>
      <c r="B222" t="inlineStr">
        <is>
          <t>Existing</t>
        </is>
      </c>
      <c r="C222" s="5" t="inlineStr">
        <is>
          <t>Quelle est la différence entre les Core Web Vitals mobile et desktop ?</t>
        </is>
      </c>
      <c r="D222" t="inlineStr">
        <is>
          <t>core web vitals</t>
        </is>
      </c>
      <c r="E222" t="inlineStr">
        <is>
          <t>fr</t>
        </is>
      </c>
      <c r="F222" s="5" t="inlineStr"/>
      <c r="G222" t="n">
        <v>1900</v>
      </c>
      <c r="H222" t="n">
        <v>36</v>
      </c>
      <c r="I222" t="inlineStr">
        <is>
          <t>Differentiation</t>
        </is>
      </c>
      <c r="J222" t="inlineStr">
        <is>
          <t>MEASURED</t>
        </is>
      </c>
      <c r="K222">
        <f>ROUND(IF(ISNUMBER(G222),MIN(50,ROUND(50*LOG10(G222+1)/4,1)),5)+IF(ISNUMBER(H222),ROUND(30*(100-H222)/100,1),15)+IF(B222="New",20,10),0)</f>
        <v/>
      </c>
      <c r="L222" t="inlineStr">
        <is>
          <t>KEEP</t>
        </is>
      </c>
      <c r="M222" s="5" t="inlineStr">
        <is>
          <t>Relevant to page intent</t>
        </is>
      </c>
      <c r="N222" s="5" t="inlineStr">
        <is>
          <t>Les métriques mobile et desktop diffèrent souvent significativement en raison des vitesses réseau, des capacités des appareils et des différences de rendu. Google utilise l'indexation mobile-first, ce</t>
        </is>
      </c>
      <c r="O222" t="inlineStr">
        <is>
          <t>P3</t>
        </is>
      </c>
      <c r="P222" t="inlineStr">
        <is>
          <t>Visible only (no FAQPage schema)</t>
        </is>
      </c>
    </row>
    <row r="223">
      <c r="A223" s="3" t="inlineStr">
        <is>
          <t>https://codesommet.com/tools/core-web-vitals-checker</t>
        </is>
      </c>
      <c r="B223" t="inlineStr">
        <is>
          <t>Existing</t>
        </is>
      </c>
      <c r="C223" s="5" t="inlineStr">
        <is>
          <t>Qu'est-ce que l'INP et pourquoi a-t-il remplacé le FID ?</t>
        </is>
      </c>
      <c r="D223" t="inlineStr">
        <is>
          <t>test core web vitals</t>
        </is>
      </c>
      <c r="E223" t="inlineStr">
        <is>
          <t>fr</t>
        </is>
      </c>
      <c r="F223" s="5" t="inlineStr"/>
      <c r="G223" t="n">
        <v>110</v>
      </c>
      <c r="H223" t="n">
        <v>27</v>
      </c>
      <c r="I223" t="inlineStr">
        <is>
          <t>Definition / how it works</t>
        </is>
      </c>
      <c r="J223" t="inlineStr">
        <is>
          <t>MEASURED</t>
        </is>
      </c>
      <c r="K223">
        <f>ROUND(IF(ISNUMBER(G223),MIN(50,ROUND(50*LOG10(G223+1)/4,1)),5)+IF(ISNUMBER(H223),ROUND(30*(100-H223)/100,1),15)+IF(B223="New",20,10),0)</f>
        <v/>
      </c>
      <c r="L223" t="inlineStr">
        <is>
          <t>KEEP</t>
        </is>
      </c>
      <c r="M223" s="5" t="inlineStr">
        <is>
          <t>Relevant to page intent</t>
        </is>
      </c>
      <c r="N223" s="5" t="inlineStr">
        <is>
          <t>L'INP (Interaction to Next Paint) a remplacé le FID (First Input Delay) en tant que Core Web Vital en mars 2024. Alors que le FID ne mesurait que le délai de la première interaction, l'INP mesure la r</t>
        </is>
      </c>
      <c r="O223" t="inlineStr">
        <is>
          <t>P3</t>
        </is>
      </c>
      <c r="P223" t="inlineStr">
        <is>
          <t>Visible only (no FAQPage schema)</t>
        </is>
      </c>
    </row>
    <row r="224">
      <c r="A224" s="3" t="inlineStr">
        <is>
          <t>https://codesommet.com/tools/core-web-vitals-checker</t>
        </is>
      </c>
      <c r="B224" t="inlineStr">
        <is>
          <t>Existing</t>
        </is>
      </c>
      <c r="C224" s="5" t="inlineStr">
        <is>
          <t>Comment améliorer mon score LCP (Largest Contentful Paint) ?</t>
        </is>
      </c>
      <c r="D224" t="inlineStr">
        <is>
          <t>test core web vitals</t>
        </is>
      </c>
      <c r="E224" t="inlineStr">
        <is>
          <t>fr</t>
        </is>
      </c>
      <c r="F224" s="5" t="inlineStr"/>
      <c r="G224" t="n">
        <v>110</v>
      </c>
      <c r="H224" t="n">
        <v>27</v>
      </c>
      <c r="I224" t="inlineStr">
        <is>
          <t>Service scope</t>
        </is>
      </c>
      <c r="J224" t="inlineStr">
        <is>
          <t>MEASURED</t>
        </is>
      </c>
      <c r="K224">
        <f>ROUND(IF(ISNUMBER(G224),MIN(50,ROUND(50*LOG10(G224+1)/4,1)),5)+IF(ISNUMBER(H224),ROUND(30*(100-H224)/100,1),15)+IF(B224="New",20,10),0)</f>
        <v/>
      </c>
      <c r="L224" t="inlineStr">
        <is>
          <t>KEEP</t>
        </is>
      </c>
      <c r="M224" s="5" t="inlineStr">
        <is>
          <t>Relevant to page intent</t>
        </is>
      </c>
      <c r="N224" s="5" t="inlineStr">
        <is>
          <t>Pour améliorer le LCP : 1) Optimisez et compressez les images en utilisant les formats WebP/AVIF, 2) Utilisez un CDN pour réduire les temps de réponse serveur, 3) Implémentez le chargement différé pou</t>
        </is>
      </c>
      <c r="O224" t="inlineStr">
        <is>
          <t>P3</t>
        </is>
      </c>
      <c r="P224" t="inlineStr">
        <is>
          <t>Visible only (no FAQPage schema)</t>
        </is>
      </c>
    </row>
    <row r="225">
      <c r="A225" s="3" t="inlineStr">
        <is>
          <t>https://codesommet.com/tools/core-web-vitals-checker</t>
        </is>
      </c>
      <c r="B225" t="inlineStr">
        <is>
          <t>Existing</t>
        </is>
      </c>
      <c r="C225" s="5" t="inlineStr">
        <is>
          <t>Qu'est-ce qui cause de mauvais scores CLS ?</t>
        </is>
      </c>
      <c r="D225" t="inlineStr">
        <is>
          <t>test core web vitals</t>
        </is>
      </c>
      <c r="E225" t="inlineStr">
        <is>
          <t>fr</t>
        </is>
      </c>
      <c r="F225" s="5" t="inlineStr"/>
      <c r="G225" t="n">
        <v>110</v>
      </c>
      <c r="H225" t="n">
        <v>27</v>
      </c>
      <c r="I225" t="inlineStr">
        <is>
          <t>Definition / how it works</t>
        </is>
      </c>
      <c r="J225" t="inlineStr">
        <is>
          <t>MEASURED</t>
        </is>
      </c>
      <c r="K225">
        <f>ROUND(IF(ISNUMBER(G225),MIN(50,ROUND(50*LOG10(G225+1)/4,1)),5)+IF(ISNUMBER(H225),ROUND(30*(100-H225)/100,1),15)+IF(B225="New",20,10),0)</f>
        <v/>
      </c>
      <c r="L225" t="inlineStr">
        <is>
          <t>KEEP</t>
        </is>
      </c>
      <c r="M225" s="5" t="inlineStr">
        <is>
          <t>Relevant to page intent</t>
        </is>
      </c>
      <c r="N225" s="5" t="inlineStr">
        <is>
          <t>Le CLS mesure les décalages de mise en page inattendus. Les causes courantes incluent : 1) Les images sans attributs width/height, 2) Les publicités ou intégrations qui se chargent dynamiquement, 3) L</t>
        </is>
      </c>
      <c r="O225" t="inlineStr">
        <is>
          <t>P3</t>
        </is>
      </c>
      <c r="P225" t="inlineStr">
        <is>
          <t>Visible only (no FAQPage schema)</t>
        </is>
      </c>
    </row>
    <row r="226">
      <c r="A226" s="3" t="inlineStr">
        <is>
          <t>https://codesommet.com/tools/core-web-vitals-checker</t>
        </is>
      </c>
      <c r="B226" t="inlineStr">
        <is>
          <t>Existing</t>
        </is>
      </c>
      <c r="C226" s="5" t="inlineStr">
        <is>
          <t>À quelle fréquence vérifier mes Core Web Vitals ?</t>
        </is>
      </c>
      <c r="D226" t="inlineStr">
        <is>
          <t>core web vitals</t>
        </is>
      </c>
      <c r="E226" t="inlineStr">
        <is>
          <t>fr</t>
        </is>
      </c>
      <c r="F226" s="5" t="inlineStr"/>
      <c r="G226" t="n">
        <v>1900</v>
      </c>
      <c r="H226" t="n">
        <v>36</v>
      </c>
      <c r="I226" t="inlineStr">
        <is>
          <t>Service scope</t>
        </is>
      </c>
      <c r="J226" t="inlineStr">
        <is>
          <t>MEASURED</t>
        </is>
      </c>
      <c r="K226">
        <f>ROUND(IF(ISNUMBER(G226),MIN(50,ROUND(50*LOG10(G226+1)/4,1)),5)+IF(ISNUMBER(H226),ROUND(30*(100-H226)/100,1),15)+IF(B226="New",20,10),0)</f>
        <v/>
      </c>
      <c r="L226" t="inlineStr">
        <is>
          <t>KEEP</t>
        </is>
      </c>
      <c r="M226" s="5" t="inlineStr">
        <is>
          <t>Relevant to page intent</t>
        </is>
      </c>
      <c r="N226" s="5" t="inlineStr">
        <is>
          <t>Vérifiez les Core Web Vitals chaque semaine pour les pages critiques (page d'accueil, pages d'atterrissage principales, pages produits) et mensuellement pour les autres pages. Testez toujours après de</t>
        </is>
      </c>
      <c r="O226" t="inlineStr">
        <is>
          <t>P3</t>
        </is>
      </c>
      <c r="P226" t="inlineStr">
        <is>
          <t>Visible only (no FAQPage schema)</t>
        </is>
      </c>
    </row>
    <row r="227">
      <c r="A227" s="3" t="inlineStr">
        <is>
          <t>https://codesommet.com/tools/core-web-vitals-checker</t>
        </is>
      </c>
      <c r="B227" t="inlineStr">
        <is>
          <t>Existing</t>
        </is>
      </c>
      <c r="C227" s="5" t="inlineStr">
        <is>
          <t>Qu'est-ce qu'un bon score global de Core Web Vitals ?</t>
        </is>
      </c>
      <c r="D227" t="inlineStr">
        <is>
          <t>core web vitals</t>
        </is>
      </c>
      <c r="E227" t="inlineStr">
        <is>
          <t>fr</t>
        </is>
      </c>
      <c r="F227" s="5" t="inlineStr"/>
      <c r="G227" t="n">
        <v>1900</v>
      </c>
      <c r="H227" t="n">
        <v>36</v>
      </c>
      <c r="I227" t="inlineStr">
        <is>
          <t>Definition / how it works</t>
        </is>
      </c>
      <c r="J227" t="inlineStr">
        <is>
          <t>MEASURED</t>
        </is>
      </c>
      <c r="K227">
        <f>ROUND(IF(ISNUMBER(G227),MIN(50,ROUND(50*LOG10(G227+1)/4,1)),5)+IF(ISNUMBER(H227),ROUND(30*(100-H227)/100,1),15)+IF(B227="New",20,10),0)</f>
        <v/>
      </c>
      <c r="L227" t="inlineStr">
        <is>
          <t>KEEP</t>
        </is>
      </c>
      <c r="M227" s="5" t="inlineStr">
        <is>
          <t>Relevant to page intent</t>
        </is>
      </c>
      <c r="N227" s="5" t="inlineStr">
        <is>
          <t>Un bon score global signifie réussir les trois métriques principales : LCP inférieur à 2,5 secondes, FID inférieur à 100 ms (ou INP inférieur à 200 ms) et CLS inférieur à 0,1. Google exige que 75 % de</t>
        </is>
      </c>
      <c r="O227" t="inlineStr">
        <is>
          <t>P3</t>
        </is>
      </c>
      <c r="P227" t="inlineStr">
        <is>
          <t>Visible only (no FAQPage schema)</t>
        </is>
      </c>
    </row>
    <row r="228">
      <c r="A228" s="3" t="inlineStr">
        <is>
          <t>https://codesommet.com/tools/crawl-optimization-checker</t>
        </is>
      </c>
      <c r="B228" t="inlineStr">
        <is>
          <t>Existing</t>
        </is>
      </c>
      <c r="C228" s="5" t="inlineStr">
        <is>
          <t>Le budget de crawl concerne-t-il les petits sites ?</t>
        </is>
      </c>
      <c r="D228" t="inlineStr">
        <is>
          <t>crawl budget</t>
        </is>
      </c>
      <c r="E228" t="inlineStr">
        <is>
          <t>fr</t>
        </is>
      </c>
      <c r="F228" s="5" t="inlineStr"/>
      <c r="G228" t="n">
        <v>210</v>
      </c>
      <c r="H228" t="n">
        <v>25</v>
      </c>
      <c r="I228" t="inlineStr">
        <is>
          <t>Price</t>
        </is>
      </c>
      <c r="J228" t="inlineStr">
        <is>
          <t>MEASURED</t>
        </is>
      </c>
      <c r="K228">
        <f>ROUND(IF(ISNUMBER(G228),MIN(50,ROUND(50*LOG10(G228+1)/4,1)),5)+IF(ISNUMBER(H228),ROUND(30*(100-H228)/100,1),15)+IF(B228="New",20,10),0)</f>
        <v/>
      </c>
      <c r="L228" t="inlineStr">
        <is>
          <t>KEEP</t>
        </is>
      </c>
      <c r="M228" s="5" t="inlineStr">
        <is>
          <t>Matches measured pre-purchase demand</t>
        </is>
      </c>
      <c r="N228" s="5" t="inlineStr">
        <is>
          <t>Google précise que le budget de crawl est surtout un sujet pour les grands sites. Mais les liens vers des erreurs ou des redirections ralentissent aussi la découverte des nouvelles pages et diluent le</t>
        </is>
      </c>
      <c r="O228" t="inlineStr">
        <is>
          <t>P3</t>
        </is>
      </c>
      <c r="P228" t="inlineStr">
        <is>
          <t>Visible only (no FAQPage schema)</t>
        </is>
      </c>
    </row>
    <row r="229">
      <c r="A229" s="3" t="inlineStr">
        <is>
          <t>https://codesommet.com/tools/crawl-optimization-checker</t>
        </is>
      </c>
      <c r="B229" t="inlineStr">
        <is>
          <t>Existing</t>
        </is>
      </c>
      <c r="C229" s="5" t="inlineStr">
        <is>
          <t>Pourquoi corriger les liens qui pointent vers une redirection ?</t>
        </is>
      </c>
      <c r="D229" t="inlineStr">
        <is>
          <t>crawl budget</t>
        </is>
      </c>
      <c r="E229" t="inlineStr">
        <is>
          <t>fr</t>
        </is>
      </c>
      <c r="F229" s="5" t="inlineStr"/>
      <c r="G229" t="n">
        <v>210</v>
      </c>
      <c r="H229" t="n">
        <v>25</v>
      </c>
      <c r="I229" t="inlineStr">
        <is>
          <t>Service scope</t>
        </is>
      </c>
      <c r="J229" t="inlineStr">
        <is>
          <t>MEASURED</t>
        </is>
      </c>
      <c r="K229">
        <f>ROUND(IF(ISNUMBER(G229),MIN(50,ROUND(50*LOG10(G229+1)/4,1)),5)+IF(ISNUMBER(H229),ROUND(30*(100-H229)/100,1),15)+IF(B229="New",20,10),0)</f>
        <v/>
      </c>
      <c r="L229" t="inlineStr">
        <is>
          <t>KEEP</t>
        </is>
      </c>
      <c r="M229" s="5" t="inlineStr">
        <is>
          <t>Relevant to page intent</t>
        </is>
      </c>
      <c r="N229" s="5" t="inlineStr">
        <is>
          <t>Chaque redirection ajoute une requête avant d'atteindre la page. Mettre directement l'URL finale dans vos liens accélère l'exploration et le chargement pour les visiteurs.</t>
        </is>
      </c>
      <c r="O229" t="inlineStr">
        <is>
          <t>P3</t>
        </is>
      </c>
      <c r="P229" t="inlineStr">
        <is>
          <t>Visible only (no FAQPage schema)</t>
        </is>
      </c>
    </row>
    <row r="230">
      <c r="A230" s="3" t="inlineStr">
        <is>
          <t>https://codesommet.com/tools/crawl-optimization-checker</t>
        </is>
      </c>
      <c r="B230" t="inlineStr">
        <is>
          <t>Existing</t>
        </is>
      </c>
      <c r="C230" s="5" t="inlineStr">
        <is>
          <t>Quelle différence avec le visualiseur de crawl ?</t>
        </is>
      </c>
      <c r="D230" t="inlineStr">
        <is>
          <t>crawl budget</t>
        </is>
      </c>
      <c r="E230" t="inlineStr">
        <is>
          <t>fr</t>
        </is>
      </c>
      <c r="F230" s="5" t="inlineStr"/>
      <c r="G230" t="n">
        <v>210</v>
      </c>
      <c r="H230" t="n">
        <v>25</v>
      </c>
      <c r="I230" t="inlineStr">
        <is>
          <t>Differentiation</t>
        </is>
      </c>
      <c r="J230" t="inlineStr">
        <is>
          <t>MEASURED</t>
        </is>
      </c>
      <c r="K230">
        <f>ROUND(IF(ISNUMBER(G230),MIN(50,ROUND(50*LOG10(G230+1)/4,1)),5)+IF(ISNUMBER(H230),ROUND(30*(100-H230)/100,1),15)+IF(B230="New",20,10),0)</f>
        <v/>
      </c>
      <c r="L230" t="inlineStr">
        <is>
          <t>KEEP</t>
        </is>
      </c>
      <c r="M230" s="5" t="inlineStr">
        <is>
          <t>Relevant to page intent</t>
        </is>
      </c>
      <c r="N230" s="5" t="inlineStr">
        <is>
          <t>Le visualiseur dessine la structure des liens sous forme de graphe. Cet outil transforme l'exploration en liste de problèmes à corriger, avec les pages qui contiennent chaque lien fautif.</t>
        </is>
      </c>
      <c r="O230" t="inlineStr">
        <is>
          <t>P3</t>
        </is>
      </c>
      <c r="P230" t="inlineStr">
        <is>
          <t>Visible only (no FAQPage schema)</t>
        </is>
      </c>
    </row>
    <row r="231">
      <c r="A231" s="3" t="inlineStr">
        <is>
          <t>https://codesommet.com/tools/crawl-optimization-checker</t>
        </is>
      </c>
      <c r="B231" t="inlineStr">
        <is>
          <t>Existing</t>
        </is>
      </c>
      <c r="C231" s="5" t="inlineStr">
        <is>
          <t>Mon site a plus de 50 pages, l'analyse est-elle complète ?</t>
        </is>
      </c>
      <c r="D231" t="inlineStr">
        <is>
          <t>crawl budget</t>
        </is>
      </c>
      <c r="E231" t="inlineStr">
        <is>
          <t>fr</t>
        </is>
      </c>
      <c r="F231" s="5" t="inlineStr"/>
      <c r="G231" t="n">
        <v>210</v>
      </c>
      <c r="H231" t="n">
        <v>25</v>
      </c>
      <c r="I231" t="inlineStr">
        <is>
          <t>Service scope</t>
        </is>
      </c>
      <c r="J231" t="inlineStr">
        <is>
          <t>MEASURED</t>
        </is>
      </c>
      <c r="K231">
        <f>ROUND(IF(ISNUMBER(G231),MIN(50,ROUND(50*LOG10(G231+1)/4,1)),5)+IF(ISNUMBER(H231),ROUND(30*(100-H231)/100,1),15)+IF(B231="New",20,10),0)</f>
        <v/>
      </c>
      <c r="L231" t="inlineStr">
        <is>
          <t>KEEP</t>
        </is>
      </c>
      <c r="M231" s="5" t="inlineStr">
        <is>
          <t>Relevant to page intent</t>
        </is>
      </c>
      <c r="N231" s="5" t="inlineStr">
        <is>
          <t>Non : l'outil s'arrête à 50 pages ou 20 secondes et l'indique dans « Couverture de l'échantillon ». Partez d'une autre page (rubrique, catégorie) pour explorer une autre partie du site.</t>
        </is>
      </c>
      <c r="O231" t="inlineStr">
        <is>
          <t>P3</t>
        </is>
      </c>
      <c r="P231" t="inlineStr">
        <is>
          <t>Visible only (no FAQPage schema)</t>
        </is>
      </c>
    </row>
    <row r="232">
      <c r="A232" s="3" t="inlineStr">
        <is>
          <t>https://codesommet.com/tools/crawl-visualizer</t>
        </is>
      </c>
      <c r="B232" t="inlineStr">
        <is>
          <t>Existing</t>
        </is>
      </c>
      <c r="C232" s="5" t="inlineStr">
        <is>
          <t>Que montre le graphe d'exploration ?</t>
        </is>
      </c>
      <c r="D232" t="inlineStr">
        <is>
          <t>visualisation crawl</t>
        </is>
      </c>
      <c r="E232" t="inlineStr">
        <is>
          <t>fr</t>
        </is>
      </c>
      <c r="F232" s="5" t="inlineStr"/>
      <c r="G232" t="inlineStr">
        <is>
          <t>NOT AVAILABLE</t>
        </is>
      </c>
      <c r="H232" t="inlineStr">
        <is>
          <t>NOT AVAILABLE</t>
        </is>
      </c>
      <c r="I232" t="inlineStr">
        <is>
          <t>Service scope</t>
        </is>
      </c>
      <c r="J232" t="inlineStr">
        <is>
          <t>UNAVAILABLE</t>
        </is>
      </c>
      <c r="K232">
        <f>ROUND(IF(ISNUMBER(G232),MIN(50,ROUND(50*LOG10(G232+1)/4,1)),5)+IF(ISNUMBER(H232),ROUND(30*(100-H232)/100,1),15)+IF(B232="New",20,10),0)</f>
        <v/>
      </c>
      <c r="L232" t="inlineStr">
        <is>
          <t>KEEP</t>
        </is>
      </c>
      <c r="M232" s="5" t="inlineStr">
        <is>
          <t>Relevant to page intent</t>
        </is>
      </c>
      <c r="N232" s="5" t="inlineStr">
        <is>
          <t>Chaque cercle est une page découverte en suivant les liens internes depuis l'URL de départ. Le trait relie une page à celle qui l'a fait découvrir : vous voyez ainsi le chemin le plus court qu'un robo</t>
        </is>
      </c>
      <c r="O232" t="inlineStr">
        <is>
          <t>P3</t>
        </is>
      </c>
      <c r="P232" t="inlineStr">
        <is>
          <t>Visible only (no FAQPage schema)</t>
        </is>
      </c>
    </row>
    <row r="233">
      <c r="A233" s="3" t="inlineStr">
        <is>
          <t>https://codesommet.com/tools/crawl-visualizer</t>
        </is>
      </c>
      <c r="B233" t="inlineStr">
        <is>
          <t>Existing</t>
        </is>
      </c>
      <c r="C233" s="5" t="inlineStr">
        <is>
          <t>Qu'est-ce que la profondeur de clic ?</t>
        </is>
      </c>
      <c r="D233" t="inlineStr">
        <is>
          <t>visualisation crawl</t>
        </is>
      </c>
      <c r="E233" t="inlineStr">
        <is>
          <t>fr</t>
        </is>
      </c>
      <c r="F233" s="5" t="inlineStr"/>
      <c r="G233" t="inlineStr">
        <is>
          <t>NOT AVAILABLE</t>
        </is>
      </c>
      <c r="H233" t="inlineStr">
        <is>
          <t>NOT AVAILABLE</t>
        </is>
      </c>
      <c r="I233" t="inlineStr">
        <is>
          <t>Definition / how it works</t>
        </is>
      </c>
      <c r="J233" t="inlineStr">
        <is>
          <t>UNAVAILABLE</t>
        </is>
      </c>
      <c r="K233">
        <f>ROUND(IF(ISNUMBER(G233),MIN(50,ROUND(50*LOG10(G233+1)/4,1)),5)+IF(ISNUMBER(H233),ROUND(30*(100-H233)/100,1),15)+IF(B233="New",20,10),0)</f>
        <v/>
      </c>
      <c r="L233" t="inlineStr">
        <is>
          <t>KEEP</t>
        </is>
      </c>
      <c r="M233" s="5" t="inlineStr">
        <is>
          <t>Relevant to page intent</t>
        </is>
      </c>
      <c r="N233" s="5" t="inlineStr">
        <is>
          <t>C'est le nombre minimum de clics nécessaires pour atteindre une page depuis l'URL de départ. Les pages importantes devraient se trouver à trois clics ou moins : au-delà, elles sont explorées moins sou</t>
        </is>
      </c>
      <c r="O233" t="inlineStr">
        <is>
          <t>P3</t>
        </is>
      </c>
      <c r="P233" t="inlineStr">
        <is>
          <t>Visible only (no FAQPage schema)</t>
        </is>
      </c>
    </row>
    <row r="234">
      <c r="A234" s="3" t="inlineStr">
        <is>
          <t>https://codesommet.com/tools/crawl-visualizer</t>
        </is>
      </c>
      <c r="B234" t="inlineStr">
        <is>
          <t>Existing</t>
        </is>
      </c>
      <c r="C234" s="5" t="inlineStr">
        <is>
          <t>Comment l'outil repère-t-il les pages orphelines ?</t>
        </is>
      </c>
      <c r="D234" t="inlineStr">
        <is>
          <t>visualisation crawl</t>
        </is>
      </c>
      <c r="E234" t="inlineStr">
        <is>
          <t>fr</t>
        </is>
      </c>
      <c r="F234" s="5" t="inlineStr"/>
      <c r="G234" t="inlineStr">
        <is>
          <t>NOT AVAILABLE</t>
        </is>
      </c>
      <c r="H234" t="inlineStr">
        <is>
          <t>NOT AVAILABLE</t>
        </is>
      </c>
      <c r="I234" t="inlineStr">
        <is>
          <t>Service scope</t>
        </is>
      </c>
      <c r="J234" t="inlineStr">
        <is>
          <t>UNAVAILABLE</t>
        </is>
      </c>
      <c r="K234">
        <f>ROUND(IF(ISNUMBER(G234),MIN(50,ROUND(50*LOG10(G234+1)/4,1)),5)+IF(ISNUMBER(H234),ROUND(30*(100-H234)/100,1),15)+IF(B234="New",20,10),0)</f>
        <v/>
      </c>
      <c r="L234" t="inlineStr">
        <is>
          <t>KEEP</t>
        </is>
      </c>
      <c r="M234" s="5" t="inlineStr">
        <is>
          <t>Relevant to page intent</t>
        </is>
      </c>
      <c r="N234" s="5" t="inlineStr">
        <is>
          <t>Il lit le sitemap déclaré dans robots.txt (ou /sitemap.xml) et le compare aux pages trouvées en suivant les liens. Une URL présente dans le sitemap mais jamais atteinte par un lien est orpheline. Si l</t>
        </is>
      </c>
      <c r="O234" t="inlineStr">
        <is>
          <t>P3</t>
        </is>
      </c>
      <c r="P234" t="inlineStr">
        <is>
          <t>Visible only (no FAQPage schema)</t>
        </is>
      </c>
    </row>
    <row r="235">
      <c r="A235" s="3" t="inlineStr">
        <is>
          <t>https://codesommet.com/tools/crawl-visualizer</t>
        </is>
      </c>
      <c r="B235" t="inlineStr">
        <is>
          <t>Existing</t>
        </is>
      </c>
      <c r="C235" s="5" t="inlineStr">
        <is>
          <t>Pourquoi une page est-elle marquée « non indexable » ?</t>
        </is>
      </c>
      <c r="D235" t="inlineStr">
        <is>
          <t>visualisation crawl</t>
        </is>
      </c>
      <c r="E235" t="inlineStr">
        <is>
          <t>fr</t>
        </is>
      </c>
      <c r="F235" s="5" t="inlineStr"/>
      <c r="G235" t="inlineStr">
        <is>
          <t>NOT AVAILABLE</t>
        </is>
      </c>
      <c r="H235" t="inlineStr">
        <is>
          <t>NOT AVAILABLE</t>
        </is>
      </c>
      <c r="I235" t="inlineStr">
        <is>
          <t>Service scope</t>
        </is>
      </c>
      <c r="J235" t="inlineStr">
        <is>
          <t>UNAVAILABLE</t>
        </is>
      </c>
      <c r="K235">
        <f>ROUND(IF(ISNUMBER(G235),MIN(50,ROUND(50*LOG10(G235+1)/4,1)),5)+IF(ISNUMBER(H235),ROUND(30*(100-H235)/100,1),15)+IF(B235="New",20,10),0)</f>
        <v/>
      </c>
      <c r="L235" t="inlineStr">
        <is>
          <t>KEEP</t>
        </is>
      </c>
      <c r="M235" s="5" t="inlineStr">
        <is>
          <t>Relevant to page intent</t>
        </is>
      </c>
      <c r="N235" s="5" t="inlineStr">
        <is>
          <t>Elle renvoie un code autre que 200, contient une directive noindex (balise meta robots ou en-tête X-Robots-Tag), déclare une URL canonique différente, ou n'est pas une page HTML. Le panneau de détails</t>
        </is>
      </c>
      <c r="O235" t="inlineStr">
        <is>
          <t>P3</t>
        </is>
      </c>
      <c r="P235" t="inlineStr">
        <is>
          <t>Visible only (no FAQPage schema)</t>
        </is>
      </c>
    </row>
    <row r="236">
      <c r="A236" s="3" t="inlineStr">
        <is>
          <t>https://codesommet.com/tools/crawl-visualizer</t>
        </is>
      </c>
      <c r="B236" t="inlineStr">
        <is>
          <t>Existing</t>
        </is>
      </c>
      <c r="C236" s="5" t="inlineStr">
        <is>
          <t>L'exploration respecte-t-elle mon serveur ?</t>
        </is>
      </c>
      <c r="D236" t="inlineStr">
        <is>
          <t>visualisation crawl</t>
        </is>
      </c>
      <c r="E236" t="inlineStr">
        <is>
          <t>fr</t>
        </is>
      </c>
      <c r="F236" s="5" t="inlineStr"/>
      <c r="G236" t="inlineStr">
        <is>
          <t>NOT AVAILABLE</t>
        </is>
      </c>
      <c r="H236" t="inlineStr">
        <is>
          <t>NOT AVAILABLE</t>
        </is>
      </c>
      <c r="I236" t="inlineStr">
        <is>
          <t>Service scope</t>
        </is>
      </c>
      <c r="J236" t="inlineStr">
        <is>
          <t>UNAVAILABLE</t>
        </is>
      </c>
      <c r="K236">
        <f>ROUND(IF(ISNUMBER(G236),MIN(50,ROUND(50*LOG10(G236+1)/4,1)),5)+IF(ISNUMBER(H236),ROUND(30*(100-H236)/100,1),15)+IF(B236="New",20,10),0)</f>
        <v/>
      </c>
      <c r="L236" t="inlineStr">
        <is>
          <t>KEEP</t>
        </is>
      </c>
      <c r="M236" s="5" t="inlineStr">
        <is>
          <t>Relevant to page intent</t>
        </is>
      </c>
      <c r="N236" s="5" t="inlineStr">
        <is>
          <t>Oui. Le robot s'identifie comme CodeSommetBot, applique les règles de robots.txt, ne quitte jamais le domaine indiqué et ne demande que quatre pages à la fois. L'exploration est limitée à 500 pages.</t>
        </is>
      </c>
      <c r="O236" t="inlineStr">
        <is>
          <t>P3</t>
        </is>
      </c>
      <c r="P236" t="inlineStr">
        <is>
          <t>Visible only (no FAQPage schema)</t>
        </is>
      </c>
    </row>
    <row r="237">
      <c r="A237" s="3" t="inlineStr">
        <is>
          <t>https://codesommet.com/tools/crawl-visualizer</t>
        </is>
      </c>
      <c r="B237" t="inlineStr">
        <is>
          <t>Existing</t>
        </is>
      </c>
      <c r="C237" s="5" t="inlineStr">
        <is>
          <t>Mon site affiche son contenu en JavaScript, est-ce un problème ?</t>
        </is>
      </c>
      <c r="D237" t="inlineStr">
        <is>
          <t>visualisation crawl</t>
        </is>
      </c>
      <c r="E237" t="inlineStr">
        <is>
          <t>fr</t>
        </is>
      </c>
      <c r="F237" s="5" t="inlineStr"/>
      <c r="G237" t="inlineStr">
        <is>
          <t>NOT AVAILABLE</t>
        </is>
      </c>
      <c r="H237" t="inlineStr">
        <is>
          <t>NOT AVAILABLE</t>
        </is>
      </c>
      <c r="I237" t="inlineStr">
        <is>
          <t>Service scope</t>
        </is>
      </c>
      <c r="J237" t="inlineStr">
        <is>
          <t>UNAVAILABLE</t>
        </is>
      </c>
      <c r="K237">
        <f>ROUND(IF(ISNUMBER(G237),MIN(50,ROUND(50*LOG10(G237+1)/4,1)),5)+IF(ISNUMBER(H237),ROUND(30*(100-H237)/100,1),15)+IF(B237="New",20,10),0)</f>
        <v/>
      </c>
      <c r="L237" t="inlineStr">
        <is>
          <t>KEEP</t>
        </is>
      </c>
      <c r="M237" s="5" t="inlineStr">
        <is>
          <t>Relevant to page intent</t>
        </is>
      </c>
      <c r="N237" s="5" t="inlineStr">
        <is>
          <t xml:space="preserve">L'outil lit le HTML renvoyé par le serveur, comme le premier passage de Googlebot. Si vos liens n'apparaissent qu'après exécution du JavaScript, le graphe sera presque vide : c'est un signal fort que </t>
        </is>
      </c>
      <c r="O237" t="inlineStr">
        <is>
          <t>P3</t>
        </is>
      </c>
      <c r="P237" t="inlineStr">
        <is>
          <t>Visible only (no FAQPage schema)</t>
        </is>
      </c>
    </row>
    <row r="238">
      <c r="A238" s="3" t="inlineStr">
        <is>
          <t>https://codesommet.com/tools/css-minifier</t>
        </is>
      </c>
      <c r="B238" t="inlineStr">
        <is>
          <t>Existing</t>
        </is>
      </c>
      <c r="C238" s="5" t="inlineStr">
        <is>
          <t>Que fait réellement la minification CSS ?</t>
        </is>
      </c>
      <c r="D238" t="inlineStr">
        <is>
          <t>minify css</t>
        </is>
      </c>
      <c r="E238" t="inlineStr">
        <is>
          <t>fr</t>
        </is>
      </c>
      <c r="F238" s="5" t="inlineStr"/>
      <c r="G238" t="n">
        <v>320</v>
      </c>
      <c r="H238" t="n">
        <v>29</v>
      </c>
      <c r="I238" t="inlineStr">
        <is>
          <t>Service scope</t>
        </is>
      </c>
      <c r="J238" t="inlineStr">
        <is>
          <t>MEASURED</t>
        </is>
      </c>
      <c r="K238">
        <f>ROUND(IF(ISNUMBER(G238),MIN(50,ROUND(50*LOG10(G238+1)/4,1)),5)+IF(ISNUMBER(H238),ROUND(30*(100-H238)/100,1),15)+IF(B238="New",20,10),0)</f>
        <v/>
      </c>
      <c r="L238" t="inlineStr">
        <is>
          <t>KEEP</t>
        </is>
      </c>
      <c r="M238" s="5" t="inlineStr">
        <is>
          <t>Relevant to page intent</t>
        </is>
      </c>
      <c r="N238" s="5" t="inlineStr">
        <is>
          <t>La minification CSS supprime tous les caractères inutiles de votre feuille de style sans changer sa fonctionnalité. Cela inclut les commentaires, les espaces, les sauts de ligne et la ponctuation redo</t>
        </is>
      </c>
      <c r="O238" t="inlineStr">
        <is>
          <t>P3</t>
        </is>
      </c>
      <c r="P238" t="inlineStr">
        <is>
          <t>Visible only (no FAQPage schema)</t>
        </is>
      </c>
    </row>
    <row r="239">
      <c r="A239" s="3" t="inlineStr">
        <is>
          <t>https://codesommet.com/tools/css-minifier</t>
        </is>
      </c>
      <c r="B239" t="inlineStr">
        <is>
          <t>Existing</t>
        </is>
      </c>
      <c r="C239" s="5" t="inlineStr">
        <is>
          <t>Quelle réduction de taille puis-je attendre ?</t>
        </is>
      </c>
      <c r="D239" t="inlineStr">
        <is>
          <t>minify css</t>
        </is>
      </c>
      <c r="E239" t="inlineStr">
        <is>
          <t>fr</t>
        </is>
      </c>
      <c r="F239" s="5" t="inlineStr"/>
      <c r="G239" t="n">
        <v>320</v>
      </c>
      <c r="H239" t="n">
        <v>29</v>
      </c>
      <c r="I239" t="inlineStr">
        <is>
          <t>Service scope</t>
        </is>
      </c>
      <c r="J239" t="inlineStr">
        <is>
          <t>MEASURED</t>
        </is>
      </c>
      <c r="K239">
        <f>ROUND(IF(ISNUMBER(G239),MIN(50,ROUND(50*LOG10(G239+1)/4,1)),5)+IF(ISNUMBER(H239),ROUND(30*(100-H239)/100,1),15)+IF(B239="New",20,10),0)</f>
        <v/>
      </c>
      <c r="L239" t="inlineStr">
        <is>
          <t>KEEP</t>
        </is>
      </c>
      <c r="M239" s="5" t="inlineStr">
        <is>
          <t>Relevant to page intent</t>
        </is>
      </c>
      <c r="N239" s="5" t="inlineStr">
        <is>
          <t>Les fichiers CSS typiques voient une réduction de taille de 30 à 50 % après minification, bien que les résultats varient selon votre style de codage. Les fichiers avec de nombreux commentaires, des es</t>
        </is>
      </c>
      <c r="O239" t="inlineStr">
        <is>
          <t>P3</t>
        </is>
      </c>
      <c r="P239" t="inlineStr">
        <is>
          <t>Visible only (no FAQPage schema)</t>
        </is>
      </c>
    </row>
    <row r="240">
      <c r="A240" s="3" t="inlineStr">
        <is>
          <t>https://codesommet.com/tools/css-minifier</t>
        </is>
      </c>
      <c r="B240" t="inlineStr">
        <is>
          <t>Existing</t>
        </is>
      </c>
      <c r="C240" s="5" t="inlineStr">
        <is>
          <t>La minification CSS va-t-elle casser le style de mon site ?</t>
        </is>
      </c>
      <c r="D240" t="inlineStr">
        <is>
          <t>minify css</t>
        </is>
      </c>
      <c r="E240" t="inlineStr">
        <is>
          <t>fr</t>
        </is>
      </c>
      <c r="F240" s="5" t="inlineStr"/>
      <c r="G240" t="n">
        <v>320</v>
      </c>
      <c r="H240" t="n">
        <v>29</v>
      </c>
      <c r="I240" t="inlineStr">
        <is>
          <t>Service scope</t>
        </is>
      </c>
      <c r="J240" t="inlineStr">
        <is>
          <t>MEASURED</t>
        </is>
      </c>
      <c r="K240">
        <f>ROUND(IF(ISNUMBER(G240),MIN(50,ROUND(50*LOG10(G240+1)/4,1)),5)+IF(ISNUMBER(H240),ROUND(30*(100-H240)/100,1),15)+IF(B240="New",20,10),0)</f>
        <v/>
      </c>
      <c r="L240" t="inlineStr">
        <is>
          <t>KEEP</t>
        </is>
      </c>
      <c r="M240" s="5" t="inlineStr">
        <is>
          <t>Relevant to page intent</t>
        </is>
      </c>
      <c r="N240" s="5" t="inlineStr">
        <is>
          <t>Non, un CSS correctement minifié ne cassera jamais vos styles. La minification ne supprime que les caractères non fonctionnels comme les espaces et les commentaires. Cependant, testez toujours votre s</t>
        </is>
      </c>
      <c r="O240" t="inlineStr">
        <is>
          <t>P3</t>
        </is>
      </c>
      <c r="P240" t="inlineStr">
        <is>
          <t>Visible only (no FAQPage schema)</t>
        </is>
      </c>
    </row>
    <row r="241">
      <c r="A241" s="3" t="inlineStr">
        <is>
          <t>https://codesommet.com/tools/css-minifier</t>
        </is>
      </c>
      <c r="B241" t="inlineStr">
        <is>
          <t>Existing</t>
        </is>
      </c>
      <c r="C241" s="5" t="inlineStr">
        <is>
          <t>Dois-je utiliser le CSS minifié ou la compression Gzip ?</t>
        </is>
      </c>
      <c r="D241" t="inlineStr">
        <is>
          <t>minify css</t>
        </is>
      </c>
      <c r="E241" t="inlineStr">
        <is>
          <t>fr</t>
        </is>
      </c>
      <c r="F241" s="5" t="inlineStr"/>
      <c r="G241" t="n">
        <v>320</v>
      </c>
      <c r="H241" t="n">
        <v>29</v>
      </c>
      <c r="I241" t="inlineStr">
        <is>
          <t>Service scope</t>
        </is>
      </c>
      <c r="J241" t="inlineStr">
        <is>
          <t>MEASURED</t>
        </is>
      </c>
      <c r="K241">
        <f>ROUND(IF(ISNUMBER(G241),MIN(50,ROUND(50*LOG10(G241+1)/4,1)),5)+IF(ISNUMBER(H241),ROUND(30*(100-H241)/100,1),15)+IF(B241="New",20,10),0)</f>
        <v/>
      </c>
      <c r="L241" t="inlineStr">
        <is>
          <t>KEEP</t>
        </is>
      </c>
      <c r="M241" s="5" t="inlineStr">
        <is>
          <t>Relevant to page intent</t>
        </is>
      </c>
      <c r="N241" s="5" t="inlineStr">
        <is>
          <t>Utilisez les deux ! Ils fonctionnent ensemble et ne sont pas mutuellement exclusifs. La minification réduit la taille du fichier au niveau du code source, tandis que la compression Gzip (ou Brotli) s'</t>
        </is>
      </c>
      <c r="O241" t="inlineStr">
        <is>
          <t>P3</t>
        </is>
      </c>
      <c r="P241" t="inlineStr">
        <is>
          <t>Visible only (no FAQPage schema)</t>
        </is>
      </c>
    </row>
    <row r="242">
      <c r="A242" s="3" t="inlineStr">
        <is>
          <t>https://codesommet.com/tools/css-minifier</t>
        </is>
      </c>
      <c r="B242" t="inlineStr">
        <is>
          <t>Existing</t>
        </is>
      </c>
      <c r="C242" s="5" t="inlineStr">
        <is>
          <t>Ai-je besoin de source maps avec le CSS minifié ?</t>
        </is>
      </c>
      <c r="D242" t="inlineStr">
        <is>
          <t>minify css</t>
        </is>
      </c>
      <c r="E242" t="inlineStr">
        <is>
          <t>fr</t>
        </is>
      </c>
      <c r="F242" s="5" t="inlineStr"/>
      <c r="G242" t="n">
        <v>320</v>
      </c>
      <c r="H242" t="n">
        <v>29</v>
      </c>
      <c r="I242" t="inlineStr">
        <is>
          <t>Service scope</t>
        </is>
      </c>
      <c r="J242" t="inlineStr">
        <is>
          <t>MEASURED</t>
        </is>
      </c>
      <c r="K242">
        <f>ROUND(IF(ISNUMBER(G242),MIN(50,ROUND(50*LOG10(G242+1)/4,1)),5)+IF(ISNUMBER(H242),ROUND(30*(100-H242)/100,1),15)+IF(B242="New",20,10),0)</f>
        <v/>
      </c>
      <c r="L242" t="inlineStr">
        <is>
          <t>KEEP</t>
        </is>
      </c>
      <c r="M242" s="5" t="inlineStr">
        <is>
          <t>Relevant to page intent</t>
        </is>
      </c>
      <c r="N242" s="5" t="inlineStr">
        <is>
          <t xml:space="preserve">Les source maps sont extrêmement utiles pendant le développement et le débogage. Elles relient le CSS minifié à vos fichiers originaux, facilitant la recherche et la correction des problèmes de style </t>
        </is>
      </c>
      <c r="O242" t="inlineStr">
        <is>
          <t>P3</t>
        </is>
      </c>
      <c r="P242" t="inlineStr">
        <is>
          <t>Visible only (no FAQPage schema)</t>
        </is>
      </c>
    </row>
    <row r="243">
      <c r="A243" s="3" t="inlineStr">
        <is>
          <t>https://codesommet.com/tools/css-minifier</t>
        </is>
      </c>
      <c r="B243" t="inlineStr">
        <is>
          <t>Existing</t>
        </is>
      </c>
      <c r="C243" s="5" t="inlineStr">
        <is>
          <t>Comment intégrer la minification CSS dans mon processus de build ?</t>
        </is>
      </c>
      <c r="D243" t="inlineStr">
        <is>
          <t>minify css</t>
        </is>
      </c>
      <c r="E243" t="inlineStr">
        <is>
          <t>fr</t>
        </is>
      </c>
      <c r="F243" s="5" t="inlineStr"/>
      <c r="G243" t="n">
        <v>320</v>
      </c>
      <c r="H243" t="n">
        <v>29</v>
      </c>
      <c r="I243" t="inlineStr">
        <is>
          <t>Service scope</t>
        </is>
      </c>
      <c r="J243" t="inlineStr">
        <is>
          <t>MEASURED</t>
        </is>
      </c>
      <c r="K243">
        <f>ROUND(IF(ISNUMBER(G243),MIN(50,ROUND(50*LOG10(G243+1)/4,1)),5)+IF(ISNUMBER(H243),ROUND(30*(100-H243)/100,1),15)+IF(B243="New",20,10),0)</f>
        <v/>
      </c>
      <c r="L243" t="inlineStr">
        <is>
          <t>KEEP</t>
        </is>
      </c>
      <c r="M243" s="5" t="inlineStr">
        <is>
          <t>Relevant to page intent</t>
        </is>
      </c>
      <c r="N243" s="5" t="inlineStr">
        <is>
          <t>Les frameworks modernes comme Next.js, Vite et Create React App minifient automatiquement le CSS dans les builds de production. Pour les configurations personnalisées, utilisez des outils de build com</t>
        </is>
      </c>
      <c r="O243" t="inlineStr">
        <is>
          <t>P3</t>
        </is>
      </c>
      <c r="P243" t="inlineStr">
        <is>
          <t>Visible only (no FAQPage schema)</t>
        </is>
      </c>
    </row>
    <row r="244">
      <c r="A244" s="3" t="inlineStr">
        <is>
          <t>https://codesommet.com/tools/css-minifier</t>
        </is>
      </c>
      <c r="B244" t="inlineStr">
        <is>
          <t>Existing</t>
        </is>
      </c>
      <c r="C244" s="5" t="inlineStr">
        <is>
          <t>Quand minifier le CSS et quand l'éviter ?</t>
        </is>
      </c>
      <c r="D244" t="inlineStr">
        <is>
          <t>minifier css</t>
        </is>
      </c>
      <c r="E244" t="inlineStr">
        <is>
          <t>fr</t>
        </is>
      </c>
      <c r="F244" s="5" t="inlineStr"/>
      <c r="G244" t="n">
        <v>260</v>
      </c>
      <c r="H244" t="n">
        <v>46</v>
      </c>
      <c r="I244" t="inlineStr">
        <is>
          <t>Timeline</t>
        </is>
      </c>
      <c r="J244" t="inlineStr">
        <is>
          <t>MEASURED</t>
        </is>
      </c>
      <c r="K244">
        <f>ROUND(IF(ISNUMBER(G244),MIN(50,ROUND(50*LOG10(G244+1)/4,1)),5)+IF(ISNUMBER(H244),ROUND(30*(100-H244)/100,1),15)+IF(B244="New",20,10),0)</f>
        <v/>
      </c>
      <c r="L244" t="inlineStr">
        <is>
          <t>KEEP</t>
        </is>
      </c>
      <c r="M244" s="5" t="inlineStr">
        <is>
          <t>Matches measured pre-purchase demand</t>
        </is>
      </c>
      <c r="N244" s="5" t="inlineStr">
        <is>
          <t xml:space="preserve">Minifiez toujours le CSS pour les environnements de production afin de maximiser les performances et réduire les coûts de bande passante. Ne minifiez jamais pendant le développement, car cela rend le </t>
        </is>
      </c>
      <c r="O244" t="inlineStr">
        <is>
          <t>P3</t>
        </is>
      </c>
      <c r="P244" t="inlineStr">
        <is>
          <t>Visible only (no FAQPage schema)</t>
        </is>
      </c>
    </row>
    <row r="245">
      <c r="A245" s="3" t="inlineStr">
        <is>
          <t>https://codesommet.com/tools/domain-authority-checker</t>
        </is>
      </c>
      <c r="B245" t="inlineStr">
        <is>
          <t>Existing</t>
        </is>
      </c>
      <c r="C245" s="5" t="inlineStr">
        <is>
          <t>Qu'est-ce que le Score de Fondations SEO Techniques et pourquoi est-ce important ?</t>
        </is>
      </c>
      <c r="D245" t="inlineStr">
        <is>
          <t>agence seo maroc</t>
        </is>
      </c>
      <c r="E245" t="inlineStr">
        <is>
          <t>ma</t>
        </is>
      </c>
      <c r="F245" s="5" t="inlineStr"/>
      <c r="G245" t="n">
        <v>880</v>
      </c>
      <c r="H245" t="n">
        <v>44</v>
      </c>
      <c r="I245" t="inlineStr">
        <is>
          <t>SEO</t>
        </is>
      </c>
      <c r="J245" t="inlineStr">
        <is>
          <t>MEASURED</t>
        </is>
      </c>
      <c r="K245">
        <f>ROUND(IF(ISNUMBER(G245),MIN(50,ROUND(50*LOG10(G245+1)/4,1)),5)+IF(ISNUMBER(H245),ROUND(30*(100-H245)/100,1),15)+IF(B245="New",20,10),0)</f>
        <v/>
      </c>
      <c r="L245" t="inlineStr">
        <is>
          <t>KEEP</t>
        </is>
      </c>
      <c r="M245" s="5" t="inlineStr">
        <is>
          <t>Relevant to page intent</t>
        </is>
      </c>
      <c r="N245" s="5" t="inlineStr">
        <is>
          <t>Le Score de Fondations SEO Techniques évalue les bases techniques indispensables pour qu'un moteur de recherche puisse explorer, sécuriser et indexer correctement votre site. Ce n'est pas une mesure d</t>
        </is>
      </c>
      <c r="O245" t="inlineStr">
        <is>
          <t>P3</t>
        </is>
      </c>
      <c r="P245" t="inlineStr">
        <is>
          <t>Visible only (no FAQPage schema)</t>
        </is>
      </c>
    </row>
    <row r="246">
      <c r="A246" s="3" t="inlineStr">
        <is>
          <t>https://codesommet.com/tools/domain-authority-checker</t>
        </is>
      </c>
      <c r="B246" t="inlineStr">
        <is>
          <t>Existing</t>
        </is>
      </c>
      <c r="C246" s="5" t="inlineStr">
        <is>
          <t>Comment le Score de Fondations SEO Techniques est-il calculé ?</t>
        </is>
      </c>
      <c r="D246" t="inlineStr">
        <is>
          <t>agence seo maroc</t>
        </is>
      </c>
      <c r="E246" t="inlineStr">
        <is>
          <t>ma</t>
        </is>
      </c>
      <c r="F246" s="5" t="inlineStr"/>
      <c r="G246" t="n">
        <v>880</v>
      </c>
      <c r="H246" t="n">
        <v>44</v>
      </c>
      <c r="I246" t="inlineStr">
        <is>
          <t>SEO</t>
        </is>
      </c>
      <c r="J246" t="inlineStr">
        <is>
          <t>MEASURED</t>
        </is>
      </c>
      <c r="K246">
        <f>ROUND(IF(ISNUMBER(G246),MIN(50,ROUND(50*LOG10(G246+1)/4,1)),5)+IF(ISNUMBER(H246),ROUND(30*(100-H246)/100,1),15)+IF(B246="New",20,10),0)</f>
        <v/>
      </c>
      <c r="L246" t="inlineStr">
        <is>
          <t>KEEP</t>
        </is>
      </c>
      <c r="M246" s="5" t="inlineStr">
        <is>
          <t>Relevant to page intent</t>
        </is>
      </c>
      <c r="N246" s="5" t="inlineStr">
        <is>
          <t>Notre outil vérifie 6 facteurs techniques SEO critiques : accessibilité du domaine (30 points), HTTPS activé (25 points), validité du certificat SSL (20 points), présence du sitemap.xml (10 points), c</t>
        </is>
      </c>
      <c r="O246" t="inlineStr">
        <is>
          <t>P3</t>
        </is>
      </c>
      <c r="P246" t="inlineStr">
        <is>
          <t>Visible only (no FAQPage schema)</t>
        </is>
      </c>
    </row>
    <row r="247">
      <c r="A247" s="3" t="inlineStr">
        <is>
          <t>https://codesommet.com/tools/domain-authority-checker</t>
        </is>
      </c>
      <c r="B247" t="inlineStr">
        <is>
          <t>Existing</t>
        </is>
      </c>
      <c r="C247" s="5" t="inlineStr">
        <is>
          <t>Qu'est-ce qu'un bon Score de Fondations SEO Techniques ?</t>
        </is>
      </c>
      <c r="D247" t="inlineStr">
        <is>
          <t>agence seo maroc</t>
        </is>
      </c>
      <c r="E247" t="inlineStr">
        <is>
          <t>ma</t>
        </is>
      </c>
      <c r="F247" s="5" t="inlineStr"/>
      <c r="G247" t="n">
        <v>880</v>
      </c>
      <c r="H247" t="n">
        <v>44</v>
      </c>
      <c r="I247" t="inlineStr">
        <is>
          <t>SEO</t>
        </is>
      </c>
      <c r="J247" t="inlineStr">
        <is>
          <t>MEASURED</t>
        </is>
      </c>
      <c r="K247">
        <f>ROUND(IF(ISNUMBER(G247),MIN(50,ROUND(50*LOG10(G247+1)/4,1)),5)+IF(ISNUMBER(H247),ROUND(30*(100-H247)/100,1),15)+IF(B247="New",20,10),0)</f>
        <v/>
      </c>
      <c r="L247" t="inlineStr">
        <is>
          <t>KEEP</t>
        </is>
      </c>
      <c r="M247" s="5" t="inlineStr">
        <is>
          <t>Relevant to page intent</t>
        </is>
      </c>
      <c r="N247" s="5" t="inlineStr">
        <is>
          <t xml:space="preserve">Un score de 90+ (Note A) est excellent, indiquant de solides fondamentaux techniques SEO. Les scores entre 75-89 (Note B) sont bons pour la plupart des entreprises. En dessous de 60, cela suggère des </t>
        </is>
      </c>
      <c r="O247" t="inlineStr">
        <is>
          <t>P3</t>
        </is>
      </c>
      <c r="P247" t="inlineStr">
        <is>
          <t>Visible only (no FAQPage schema)</t>
        </is>
      </c>
    </row>
    <row r="248">
      <c r="A248" s="3" t="inlineStr">
        <is>
          <t>https://codesommet.com/tools/domain-authority-checker</t>
        </is>
      </c>
      <c r="B248" t="inlineStr">
        <is>
          <t>Existing</t>
        </is>
      </c>
      <c r="C248" s="5" t="inlineStr">
        <is>
          <t>Comment améliorer mon Score de Fondations SEO Techniques ?</t>
        </is>
      </c>
      <c r="D248" t="inlineStr">
        <is>
          <t>agence seo maroc</t>
        </is>
      </c>
      <c r="E248" t="inlineStr">
        <is>
          <t>ma</t>
        </is>
      </c>
      <c r="F248" s="5" t="inlineStr"/>
      <c r="G248" t="n">
        <v>880</v>
      </c>
      <c r="H248" t="n">
        <v>44</v>
      </c>
      <c r="I248" t="inlineStr">
        <is>
          <t>SEO</t>
        </is>
      </c>
      <c r="J248" t="inlineStr">
        <is>
          <t>MEASURED</t>
        </is>
      </c>
      <c r="K248">
        <f>ROUND(IF(ISNUMBER(G248),MIN(50,ROUND(50*LOG10(G248+1)/4,1)),5)+IF(ISNUMBER(H248),ROUND(30*(100-H248)/100,1),15)+IF(B248="New",20,10),0)</f>
        <v/>
      </c>
      <c r="L248" t="inlineStr">
        <is>
          <t>KEEP</t>
        </is>
      </c>
      <c r="M248" s="5" t="inlineStr">
        <is>
          <t>Relevant to page intent</t>
        </is>
      </c>
      <c r="N248" s="5" t="inlineStr">
        <is>
          <t xml:space="preserve">Concentrez-vous sur les vérifications échouées dans vos résultats. Commencez par les éléments critiques comme l'activation de HTTPS et la correction des certificats SSL (45 points combinés). Ensuite, </t>
        </is>
      </c>
      <c r="O248" t="inlineStr">
        <is>
          <t>P3</t>
        </is>
      </c>
      <c r="P248" t="inlineStr">
        <is>
          <t>Visible only (no FAQPage schema)</t>
        </is>
      </c>
    </row>
    <row r="249">
      <c r="A249" s="3" t="inlineStr">
        <is>
          <t>https://codesommet.com/tools/domain-authority-checker</t>
        </is>
      </c>
      <c r="B249" t="inlineStr">
        <is>
          <t>Existing</t>
        </is>
      </c>
      <c r="C249" s="5" t="inlineStr">
        <is>
          <t>Ce score est-il un facteur de classement Google ?</t>
        </is>
      </c>
      <c r="D249" t="inlineStr">
        <is>
          <t>agence seo maroc</t>
        </is>
      </c>
      <c r="E249" t="inlineStr">
        <is>
          <t>ma</t>
        </is>
      </c>
      <c r="F249" s="5" t="inlineStr"/>
      <c r="G249" t="n">
        <v>880</v>
      </c>
      <c r="H249" t="n">
        <v>44</v>
      </c>
      <c r="I249" t="inlineStr">
        <is>
          <t>SEO</t>
        </is>
      </c>
      <c r="J249" t="inlineStr">
        <is>
          <t>MEASURED</t>
        </is>
      </c>
      <c r="K249">
        <f>ROUND(IF(ISNUMBER(G249),MIN(50,ROUND(50*LOG10(G249+1)/4,1)),5)+IF(ISNUMBER(H249),ROUND(30*(100-H249)/100,1),15)+IF(B249="New",20,10),0)</f>
        <v/>
      </c>
      <c r="L249" t="inlineStr">
        <is>
          <t>KEEP</t>
        </is>
      </c>
      <c r="M249" s="5" t="inlineStr">
        <is>
          <t>Relevant to page intent</t>
        </is>
      </c>
      <c r="N249" s="5" t="inlineStr">
        <is>
          <t xml:space="preserve">Non, ce score n'est pas un facteur de classement Google en tant que tel. En revanche, les éléments techniques que nous vérifions (HTTPS, sitemaps, robots.txt) sont des signaux de classement confirmés </t>
        </is>
      </c>
      <c r="O249" t="inlineStr">
        <is>
          <t>P3</t>
        </is>
      </c>
      <c r="P249" t="inlineStr">
        <is>
          <t>Visible only (no FAQPage schema)</t>
        </is>
      </c>
    </row>
    <row r="250">
      <c r="A250" s="3" t="inlineStr">
        <is>
          <t>https://codesommet.com/tools/domain-authority-checker</t>
        </is>
      </c>
      <c r="B250" t="inlineStr">
        <is>
          <t>Existing</t>
        </is>
      </c>
      <c r="C250" s="5" t="inlineStr">
        <is>
          <t>Quelle différence avec le Domain Authority (DA) et le Page Authority (PA) de Moz ?</t>
        </is>
      </c>
      <c r="D250" t="inlineStr">
        <is>
          <t>audit seo technique</t>
        </is>
      </c>
      <c r="E250" t="inlineStr">
        <is>
          <t>fr</t>
        </is>
      </c>
      <c r="F250" s="5" t="inlineStr"/>
      <c r="G250" t="inlineStr">
        <is>
          <t>NOT AVAILABLE</t>
        </is>
      </c>
      <c r="H250" t="inlineStr">
        <is>
          <t>NOT AVAILABLE</t>
        </is>
      </c>
      <c r="I250" t="inlineStr">
        <is>
          <t>Differentiation</t>
        </is>
      </c>
      <c r="J250" t="inlineStr">
        <is>
          <t>SUGGESTED</t>
        </is>
      </c>
      <c r="K250">
        <f>ROUND(IF(ISNUMBER(G250),MIN(50,ROUND(50*LOG10(G250+1)/4,1)),5)+IF(ISNUMBER(H250),ROUND(30*(100-H250)/100,1),15)+IF(B250="New",20,10),0)</f>
        <v/>
      </c>
      <c r="L250" t="inlineStr">
        <is>
          <t>KEEP</t>
        </is>
      </c>
      <c r="M250" s="5" t="inlineStr">
        <is>
          <t>Relevant to page intent</t>
        </is>
      </c>
      <c r="N250" s="5" t="inlineStr">
        <is>
          <t>Le Domain Authority et le Page Authority de Moz sont des indices prédictifs basés sur les liens entrants d'un domaine ou d'une page. Notre score, lui, ne mesure aucun backlink : il évalue uniquement l</t>
        </is>
      </c>
      <c r="O250" t="inlineStr">
        <is>
          <t>P3</t>
        </is>
      </c>
      <c r="P250" t="inlineStr">
        <is>
          <t>Visible only (no FAQPage schema)</t>
        </is>
      </c>
    </row>
    <row r="251">
      <c r="A251" s="3" t="inlineStr">
        <is>
          <t>https://codesommet.com/tools/domain-authority-checker</t>
        </is>
      </c>
      <c r="B251" t="inlineStr">
        <is>
          <t>Existing</t>
        </is>
      </c>
      <c r="C251" s="5" t="inlineStr">
        <is>
          <t>À quelle fréquence vérifier mes fondations SEO techniques ?</t>
        </is>
      </c>
      <c r="D251" t="inlineStr">
        <is>
          <t>agence seo maroc</t>
        </is>
      </c>
      <c r="E251" t="inlineStr">
        <is>
          <t>ma</t>
        </is>
      </c>
      <c r="F251" s="5" t="inlineStr"/>
      <c r="G251" t="n">
        <v>880</v>
      </c>
      <c r="H251" t="n">
        <v>44</v>
      </c>
      <c r="I251" t="inlineStr">
        <is>
          <t>SEO</t>
        </is>
      </c>
      <c r="J251" t="inlineStr">
        <is>
          <t>MEASURED</t>
        </is>
      </c>
      <c r="K251">
        <f>ROUND(IF(ISNUMBER(G251),MIN(50,ROUND(50*LOG10(G251+1)/4,1)),5)+IF(ISNUMBER(H251),ROUND(30*(100-H251)/100,1),15)+IF(B251="New",20,10),0)</f>
        <v/>
      </c>
      <c r="L251" t="inlineStr">
        <is>
          <t>KEEP</t>
        </is>
      </c>
      <c r="M251" s="5" t="inlineStr">
        <is>
          <t>Relevant to page intent</t>
        </is>
      </c>
      <c r="N251" s="5" t="inlineStr">
        <is>
          <t>Vérifiez votre score après avoir apporté des modifications techniques à votre site (activation de HTTPS, ajout d'un sitemap, changement d'hébergeur) pour confirmer les améliorations. Pour une surveill</t>
        </is>
      </c>
      <c r="O251" t="inlineStr">
        <is>
          <t>P3</t>
        </is>
      </c>
      <c r="P251" t="inlineStr">
        <is>
          <t>Visible only (no FAQPage schema)</t>
        </is>
      </c>
    </row>
    <row r="252">
      <c r="A252" s="3" t="inlineStr">
        <is>
          <t>https://codesommet.com/tools/domain-extractor</t>
        </is>
      </c>
      <c r="B252" t="inlineStr">
        <is>
          <t>Existing</t>
        </is>
      </c>
      <c r="C252" s="5" t="inlineStr">
        <is>
          <t>Qu'est-ce que le domaine racine ?</t>
        </is>
      </c>
      <c r="D252" t="inlineStr">
        <is>
          <t>extracteur de domaine</t>
        </is>
      </c>
      <c r="E252" t="inlineStr">
        <is>
          <t>fr</t>
        </is>
      </c>
      <c r="F252" s="5" t="inlineStr"/>
      <c r="G252" t="inlineStr">
        <is>
          <t>NOT AVAILABLE</t>
        </is>
      </c>
      <c r="H252" t="inlineStr">
        <is>
          <t>NOT AVAILABLE</t>
        </is>
      </c>
      <c r="I252" t="inlineStr">
        <is>
          <t>Definition / how it works</t>
        </is>
      </c>
      <c r="J252" t="inlineStr">
        <is>
          <t>UNAVAILABLE</t>
        </is>
      </c>
      <c r="K252">
        <f>ROUND(IF(ISNUMBER(G252),MIN(50,ROUND(50*LOG10(G252+1)/4,1)),5)+IF(ISNUMBER(H252),ROUND(30*(100-H252)/100,1),15)+IF(B252="New",20,10),0)</f>
        <v/>
      </c>
      <c r="L252" t="inlineStr">
        <is>
          <t>KEEP</t>
        </is>
      </c>
      <c r="M252" s="5" t="inlineStr">
        <is>
          <t>Relevant to page intent</t>
        </is>
      </c>
      <c r="N252" s="5" t="inlineStr">
        <is>
          <t xml:space="preserve">C'est le nom enregistré auprès d'un registraire, sans les sous-domaines : blog.exemple.com devient exemple.com. Pour les extensions à deux niveaux comme .co.ma, .co.uk ou .com.br, l'outil conserve le </t>
        </is>
      </c>
      <c r="O252" t="inlineStr">
        <is>
          <t>P3</t>
        </is>
      </c>
      <c r="P252" t="inlineStr">
        <is>
          <t>Visible only (no FAQPage schema)</t>
        </is>
      </c>
    </row>
    <row r="253">
      <c r="A253" s="3" t="inlineStr">
        <is>
          <t>https://codesommet.com/tools/domain-extractor</t>
        </is>
      </c>
      <c r="B253" t="inlineStr">
        <is>
          <t>Existing</t>
        </is>
      </c>
      <c r="C253" s="5" t="inlineStr">
        <is>
          <t>Quelles extensions à plusieurs niveaux sont reconnues ?</t>
        </is>
      </c>
      <c r="D253" t="inlineStr">
        <is>
          <t>extraire domaine url</t>
        </is>
      </c>
      <c r="E253" t="inlineStr">
        <is>
          <t>fr</t>
        </is>
      </c>
      <c r="F253" s="5" t="inlineStr"/>
      <c r="G253" t="inlineStr">
        <is>
          <t>NOT AVAILABLE</t>
        </is>
      </c>
      <c r="H253" t="inlineStr">
        <is>
          <t>NOT AVAILABLE</t>
        </is>
      </c>
      <c r="I253" t="inlineStr">
        <is>
          <t>Service scope</t>
        </is>
      </c>
      <c r="J253" t="inlineStr">
        <is>
          <t>UNAVAILABLE</t>
        </is>
      </c>
      <c r="K253">
        <f>ROUND(IF(ISNUMBER(G253),MIN(50,ROUND(50*LOG10(G253+1)/4,1)),5)+IF(ISNUMBER(H253),ROUND(30*(100-H253)/100,1),15)+IF(B253="New",20,10),0)</f>
        <v/>
      </c>
      <c r="L253" t="inlineStr">
        <is>
          <t>KEEP</t>
        </is>
      </c>
      <c r="M253" s="5" t="inlineStr">
        <is>
          <t>Relevant to page intent</t>
        </is>
      </c>
      <c r="N253" s="5" t="inlineStr">
        <is>
          <t>Une liste des suffixes publics les plus courants (Maroc, France, Royaume-Uni, Brésil, Australie, Japon, Inde, Afrique…), intégrée à la page. Pour un suffixe rare non listé, utilisez le mode « nom d'hô</t>
        </is>
      </c>
      <c r="O253" t="inlineStr">
        <is>
          <t>P3</t>
        </is>
      </c>
      <c r="P253" t="inlineStr">
        <is>
          <t>Visible only (no FAQPage schema)</t>
        </is>
      </c>
    </row>
    <row r="254">
      <c r="A254" s="3" t="inlineStr">
        <is>
          <t>https://codesommet.com/tools/domain-extractor</t>
        </is>
      </c>
      <c r="B254" t="inlineStr">
        <is>
          <t>Existing</t>
        </is>
      </c>
      <c r="C254" s="5" t="inlineStr">
        <is>
          <t>À quoi cela sert-il en SEO ?</t>
        </is>
      </c>
      <c r="D254" t="inlineStr">
        <is>
          <t>agence seo maroc</t>
        </is>
      </c>
      <c r="E254" t="inlineStr">
        <is>
          <t>ma</t>
        </is>
      </c>
      <c r="F254" s="5" t="inlineStr"/>
      <c r="G254" t="n">
        <v>880</v>
      </c>
      <c r="H254" t="n">
        <v>44</v>
      </c>
      <c r="I254" t="inlineStr">
        <is>
          <t>SEO</t>
        </is>
      </c>
      <c r="J254" t="inlineStr">
        <is>
          <t>MEASURED</t>
        </is>
      </c>
      <c r="K254">
        <f>ROUND(IF(ISNUMBER(G254),MIN(50,ROUND(50*LOG10(G254+1)/4,1)),5)+IF(ISNUMBER(H254),ROUND(30*(100-H254)/100,1),15)+IF(B254="New",20,10),0)</f>
        <v/>
      </c>
      <c r="L254" t="inlineStr">
        <is>
          <t>KEEP</t>
        </is>
      </c>
      <c r="M254" s="5" t="inlineStr">
        <is>
          <t>Relevant to page intent</t>
        </is>
      </c>
      <c r="N254" s="5" t="inlineStr">
        <is>
          <t>À compter les domaines référents d'un export de backlinks, à préparer un fichier de désaveu au niveau domaine, ou à dédoublonner une liste de prospection.</t>
        </is>
      </c>
      <c r="O254" t="inlineStr">
        <is>
          <t>P3</t>
        </is>
      </c>
      <c r="P254" t="inlineStr">
        <is>
          <t>Visible only (no FAQPage schema)</t>
        </is>
      </c>
    </row>
    <row r="255">
      <c r="A255" s="3" t="inlineStr">
        <is>
          <t>https://codesommet.com/tools/domain-extractor</t>
        </is>
      </c>
      <c r="B255" t="inlineStr">
        <is>
          <t>Existing</t>
        </is>
      </c>
      <c r="C255" s="5" t="inlineStr">
        <is>
          <t>Mes données sont-elles envoyées ?</t>
        </is>
      </c>
      <c r="D255" t="inlineStr">
        <is>
          <t>extraire domaine url</t>
        </is>
      </c>
      <c r="E255" t="inlineStr">
        <is>
          <t>fr</t>
        </is>
      </c>
      <c r="F255" s="5" t="inlineStr"/>
      <c r="G255" t="inlineStr">
        <is>
          <t>NOT AVAILABLE</t>
        </is>
      </c>
      <c r="H255" t="inlineStr">
        <is>
          <t>NOT AVAILABLE</t>
        </is>
      </c>
      <c r="I255" t="inlineStr">
        <is>
          <t>Compliance / security</t>
        </is>
      </c>
      <c r="J255" t="inlineStr">
        <is>
          <t>UNAVAILABLE</t>
        </is>
      </c>
      <c r="K255">
        <f>ROUND(IF(ISNUMBER(G255),MIN(50,ROUND(50*LOG10(G255+1)/4,1)),5)+IF(ISNUMBER(H255),ROUND(30*(100-H255)/100,1),15)+IF(B255="New",20,10),0)</f>
        <v/>
      </c>
      <c r="L255" t="inlineStr">
        <is>
          <t>IMPROVE</t>
        </is>
      </c>
      <c r="M255" s="5" t="inlineStr">
        <is>
          <t>Short answer (60 chars) - add specifics</t>
        </is>
      </c>
      <c r="N255" s="5" t="inlineStr">
        <is>
          <t>Non, l'extraction se fait entièrement dans votre navigateur.</t>
        </is>
      </c>
      <c r="O255" t="inlineStr">
        <is>
          <t>P3</t>
        </is>
      </c>
      <c r="P255" t="inlineStr">
        <is>
          <t>Visible only (no FAQPage schema)</t>
        </is>
      </c>
    </row>
    <row r="256">
      <c r="A256" s="3" t="inlineStr">
        <is>
          <t>https://codesommet.com/tools/domain-health-checker</t>
        </is>
      </c>
      <c r="B256" t="inlineStr">
        <is>
          <t>Existing</t>
        </is>
      </c>
      <c r="C256" s="5" t="inlineStr">
        <is>
          <t>Qu'est-ce que la santé du domaine et pourquoi est-ce important pour le SEO ?</t>
        </is>
      </c>
      <c r="D256" t="inlineStr">
        <is>
          <t>vérifier domaine</t>
        </is>
      </c>
      <c r="E256" t="inlineStr">
        <is>
          <t>fr</t>
        </is>
      </c>
      <c r="F256" s="5" t="inlineStr"/>
      <c r="G256" t="n">
        <v>40</v>
      </c>
      <c r="H256" t="inlineStr">
        <is>
          <t>NOT AVAILABLE</t>
        </is>
      </c>
      <c r="I256" t="inlineStr">
        <is>
          <t>SEO</t>
        </is>
      </c>
      <c r="J256" t="inlineStr">
        <is>
          <t>MEASURED</t>
        </is>
      </c>
      <c r="K256">
        <f>ROUND(IF(ISNUMBER(G256),MIN(50,ROUND(50*LOG10(G256+1)/4,1)),5)+IF(ISNUMBER(H256),ROUND(30*(100-H256)/100,1),15)+IF(B256="New",20,10),0)</f>
        <v/>
      </c>
      <c r="L256" t="inlineStr">
        <is>
          <t>KEEP</t>
        </is>
      </c>
      <c r="M256" s="5" t="inlineStr">
        <is>
          <t>Relevant to page intent</t>
        </is>
      </c>
      <c r="N256" s="5" t="inlineStr">
        <is>
          <t>La santé du domaine mesure les fondations techniques SEO de votre site web — incluant la sécurité HTTPS, la compatibilité mobile, la structure HTML appropriée et la découvrabilité par les moteurs de r</t>
        </is>
      </c>
      <c r="O256" t="inlineStr">
        <is>
          <t>P3</t>
        </is>
      </c>
      <c r="P256" t="inlineStr">
        <is>
          <t>Visible only (no FAQPage schema)</t>
        </is>
      </c>
    </row>
    <row r="257">
      <c r="A257" s="3" t="inlineStr">
        <is>
          <t>https://codesommet.com/tools/domain-health-checker</t>
        </is>
      </c>
      <c r="B257" t="inlineStr">
        <is>
          <t>Existing</t>
        </is>
      </c>
      <c r="C257" s="5" t="inlineStr">
        <is>
          <t>À quelle fréquence vérifier la santé de mon domaine ?</t>
        </is>
      </c>
      <c r="D257" t="inlineStr">
        <is>
          <t>vérifier domaine</t>
        </is>
      </c>
      <c r="E257" t="inlineStr">
        <is>
          <t>fr</t>
        </is>
      </c>
      <c r="F257" s="5" t="inlineStr"/>
      <c r="G257" t="n">
        <v>40</v>
      </c>
      <c r="H257" t="inlineStr">
        <is>
          <t>NOT AVAILABLE</t>
        </is>
      </c>
      <c r="I257" t="inlineStr">
        <is>
          <t>Service scope</t>
        </is>
      </c>
      <c r="J257" t="inlineStr">
        <is>
          <t>MEASURED</t>
        </is>
      </c>
      <c r="K257">
        <f>ROUND(IF(ISNUMBER(G257),MIN(50,ROUND(50*LOG10(G257+1)/4,1)),5)+IF(ISNUMBER(H257),ROUND(30*(100-H257)/100,1),15)+IF(B257="New",20,10),0)</f>
        <v/>
      </c>
      <c r="L257" t="inlineStr">
        <is>
          <t>KEEP</t>
        </is>
      </c>
      <c r="M257" s="5" t="inlineStr">
        <is>
          <t>Relevant to page intent</t>
        </is>
      </c>
      <c r="N257" s="5" t="inlineStr">
        <is>
          <t xml:space="preserve">Vérifiez la santé de votre domaine mensuellement dans le cadre de la maintenance SEO de routine, et immédiatement après tout changement majeur du site web (migrations, refontes, mises à jour CMS). La </t>
        </is>
      </c>
      <c r="O257" t="inlineStr">
        <is>
          <t>P3</t>
        </is>
      </c>
      <c r="P257" t="inlineStr">
        <is>
          <t>Visible only (no FAQPage schema)</t>
        </is>
      </c>
    </row>
    <row r="258">
      <c r="A258" s="3" t="inlineStr">
        <is>
          <t>https://codesommet.com/tools/domain-health-checker</t>
        </is>
      </c>
      <c r="B258" t="inlineStr">
        <is>
          <t>Existing</t>
        </is>
      </c>
      <c r="C258" s="5" t="inlineStr">
        <is>
          <t>Pourquoi HTTPS/SSL est-il si important pour mon site ?</t>
        </is>
      </c>
      <c r="D258" t="inlineStr">
        <is>
          <t>test dns</t>
        </is>
      </c>
      <c r="E258" t="inlineStr">
        <is>
          <t>fr</t>
        </is>
      </c>
      <c r="F258" s="5" t="inlineStr"/>
      <c r="G258" t="n">
        <v>1000</v>
      </c>
      <c r="H258" t="n">
        <v>56</v>
      </c>
      <c r="I258" t="inlineStr">
        <is>
          <t>Service scope</t>
        </is>
      </c>
      <c r="J258" t="inlineStr">
        <is>
          <t>MEASURED</t>
        </is>
      </c>
      <c r="K258">
        <f>ROUND(IF(ISNUMBER(G258),MIN(50,ROUND(50*LOG10(G258+1)/4,1)),5)+IF(ISNUMBER(H258),ROUND(30*(100-H258)/100,1),15)+IF(B258="New",20,10),0)</f>
        <v/>
      </c>
      <c r="L258" t="inlineStr">
        <is>
          <t>KEEP</t>
        </is>
      </c>
      <c r="M258" s="5" t="inlineStr">
        <is>
          <t>Relevant to page intent</t>
        </is>
      </c>
      <c r="N258" s="5" t="inlineStr">
        <is>
          <t>HTTPS est un facteur de classement Google confirmé et essentiel pour la confiance des utilisateurs. Sans SSL, les navigateurs affichent un avertissement « Non sécurisé » qui fait fuir les visiteurs. H</t>
        </is>
      </c>
      <c r="O258" t="inlineStr">
        <is>
          <t>P3</t>
        </is>
      </c>
      <c r="P258" t="inlineStr">
        <is>
          <t>Visible only (no FAQPage schema)</t>
        </is>
      </c>
    </row>
    <row r="259">
      <c r="A259" s="3" t="inlineStr">
        <is>
          <t>https://codesommet.com/tools/domain-health-checker</t>
        </is>
      </c>
      <c r="B259" t="inlineStr">
        <is>
          <t>Existing</t>
        </is>
      </c>
      <c r="C259" s="5" t="inlineStr">
        <is>
          <t>Que signifie l'indexation mobile-first et pourquoi une balise viewport ?</t>
        </is>
      </c>
      <c r="D259" t="inlineStr">
        <is>
          <t>test dns</t>
        </is>
      </c>
      <c r="E259" t="inlineStr">
        <is>
          <t>fr</t>
        </is>
      </c>
      <c r="F259" s="5" t="inlineStr"/>
      <c r="G259" t="n">
        <v>1000</v>
      </c>
      <c r="H259" t="n">
        <v>56</v>
      </c>
      <c r="I259" t="inlineStr">
        <is>
          <t>Service scope</t>
        </is>
      </c>
      <c r="J259" t="inlineStr">
        <is>
          <t>MEASURED</t>
        </is>
      </c>
      <c r="K259">
        <f>ROUND(IF(ISNUMBER(G259),MIN(50,ROUND(50*LOG10(G259+1)/4,1)),5)+IF(ISNUMBER(H259),ROUND(30*(100-H259)/100,1),15)+IF(B259="New",20,10),0)</f>
        <v/>
      </c>
      <c r="L259" t="inlineStr">
        <is>
          <t>KEEP</t>
        </is>
      </c>
      <c r="M259" s="5" t="inlineStr">
        <is>
          <t>Relevant to page intent</t>
        </is>
      </c>
      <c r="N259" s="5" t="inlineStr">
        <is>
          <t>Google utilise désormais la version mobile de votre site pour l'indexation et le classement, pas la version desktop. La balise meta viewport indique aux navigateurs comment mettre à l'échelle votre si</t>
        </is>
      </c>
      <c r="O259" t="inlineStr">
        <is>
          <t>P3</t>
        </is>
      </c>
      <c r="P259" t="inlineStr">
        <is>
          <t>Visible only (no FAQPage schema)</t>
        </is>
      </c>
    </row>
    <row r="260">
      <c r="A260" s="3" t="inlineStr">
        <is>
          <t>https://codesommet.com/tools/domain-health-checker</t>
        </is>
      </c>
      <c r="B260" t="inlineStr">
        <is>
          <t>Existing</t>
        </is>
      </c>
      <c r="C260" s="5" t="inlineStr">
        <is>
          <t>Comment les Core Web Vitals sont-ils liés à la santé du domaine ?</t>
        </is>
      </c>
      <c r="D260" t="inlineStr">
        <is>
          <t>vérifier domaine</t>
        </is>
      </c>
      <c r="E260" t="inlineStr">
        <is>
          <t>fr</t>
        </is>
      </c>
      <c r="F260" s="5" t="inlineStr"/>
      <c r="G260" t="n">
        <v>40</v>
      </c>
      <c r="H260" t="inlineStr">
        <is>
          <t>NOT AVAILABLE</t>
        </is>
      </c>
      <c r="I260" t="inlineStr">
        <is>
          <t>Service scope</t>
        </is>
      </c>
      <c r="J260" t="inlineStr">
        <is>
          <t>MEASURED</t>
        </is>
      </c>
      <c r="K260">
        <f>ROUND(IF(ISNUMBER(G260),MIN(50,ROUND(50*LOG10(G260+1)/4,1)),5)+IF(ISNUMBER(H260),ROUND(30*(100-H260)/100,1),15)+IF(B260="New",20,10),0)</f>
        <v/>
      </c>
      <c r="L260" t="inlineStr">
        <is>
          <t>KEEP</t>
        </is>
      </c>
      <c r="M260" s="5" t="inlineStr">
        <is>
          <t>Relevant to page intent</t>
        </is>
      </c>
      <c r="N260" s="5" t="inlineStr">
        <is>
          <t>Bien que cet outil vérifie les bases techniques du SEO, les Core Web Vitals mesurent les métriques d'expérience utilisateur (vitesse de chargement, interactivité, stabilité visuelle). Les deux sont es</t>
        </is>
      </c>
      <c r="O260" t="inlineStr">
        <is>
          <t>P3</t>
        </is>
      </c>
      <c r="P260" t="inlineStr">
        <is>
          <t>Visible only (no FAQPage schema)</t>
        </is>
      </c>
    </row>
    <row r="261">
      <c r="A261" s="3" t="inlineStr">
        <is>
          <t>https://codesommet.com/tools/domain-health-checker</t>
        </is>
      </c>
      <c r="B261" t="inlineStr">
        <is>
          <t>Existing</t>
        </is>
      </c>
      <c r="C261" s="5" t="inlineStr">
        <is>
          <t>J'ai un score faible - que corriger en premier ?</t>
        </is>
      </c>
      <c r="D261" t="inlineStr">
        <is>
          <t>test dns</t>
        </is>
      </c>
      <c r="E261" t="inlineStr">
        <is>
          <t>fr</t>
        </is>
      </c>
      <c r="F261" s="5" t="inlineStr"/>
      <c r="G261" t="n">
        <v>1000</v>
      </c>
      <c r="H261" t="n">
        <v>56</v>
      </c>
      <c r="I261" t="inlineStr">
        <is>
          <t>Service scope</t>
        </is>
      </c>
      <c r="J261" t="inlineStr">
        <is>
          <t>MEASURED</t>
        </is>
      </c>
      <c r="K261">
        <f>ROUND(IF(ISNUMBER(G261),MIN(50,ROUND(50*LOG10(G261+1)/4,1)),5)+IF(ISNUMBER(H261),ROUND(30*(100-H261)/100,1),15)+IF(B261="New",20,10),0)</f>
        <v/>
      </c>
      <c r="L261" t="inlineStr">
        <is>
          <t>KEEP</t>
        </is>
      </c>
      <c r="M261" s="5" t="inlineStr">
        <is>
          <t>Relevant to page intent</t>
        </is>
      </c>
      <c r="N261" s="5" t="inlineStr">
        <is>
          <t xml:space="preserve">Corrigez d'abord les problèmes critiques : accessibilité du domaine, certificat HTTPS/SSL et balise viewport mobile. Ceux-ci ont le plus grand impact SEO (15 points chacun). Ensuite, traitez les meta </t>
        </is>
      </c>
      <c r="O261" t="inlineStr">
        <is>
          <t>P3</t>
        </is>
      </c>
      <c r="P261" t="inlineStr">
        <is>
          <t>Visible only (no FAQPage schema)</t>
        </is>
      </c>
    </row>
    <row r="262">
      <c r="A262" s="3" t="inlineStr">
        <is>
          <t>https://codesommet.com/tools/domain-health-checker</t>
        </is>
      </c>
      <c r="B262" t="inlineStr">
        <is>
          <t>Existing</t>
        </is>
      </c>
      <c r="C262" s="5" t="inlineStr">
        <is>
          <t>Quelle différence entre sitemap.xml et robots.txt ?</t>
        </is>
      </c>
      <c r="D262" t="inlineStr">
        <is>
          <t>test dns</t>
        </is>
      </c>
      <c r="E262" t="inlineStr">
        <is>
          <t>fr</t>
        </is>
      </c>
      <c r="F262" s="5" t="inlineStr"/>
      <c r="G262" t="n">
        <v>1000</v>
      </c>
      <c r="H262" t="n">
        <v>56</v>
      </c>
      <c r="I262" t="inlineStr">
        <is>
          <t>Differentiation</t>
        </is>
      </c>
      <c r="J262" t="inlineStr">
        <is>
          <t>MEASURED</t>
        </is>
      </c>
      <c r="K262">
        <f>ROUND(IF(ISNUMBER(G262),MIN(50,ROUND(50*LOG10(G262+1)/4,1)),5)+IF(ISNUMBER(H262),ROUND(30*(100-H262)/100,1),15)+IF(B262="New",20,10),0)</f>
        <v/>
      </c>
      <c r="L262" t="inlineStr">
        <is>
          <t>KEEP</t>
        </is>
      </c>
      <c r="M262" s="5" t="inlineStr">
        <is>
          <t>Relevant to page intent</t>
        </is>
      </c>
      <c r="N262" s="5" t="inlineStr">
        <is>
          <t>Le sitemap.xml indique aux moteurs de recherche quelles pages explorer — c'est comme un plan de votre site. Le robots.txt indique aux moteurs de recherche quelles pages NE PAS explorer (panneaux d'adm</t>
        </is>
      </c>
      <c r="O262" t="inlineStr">
        <is>
          <t>P3</t>
        </is>
      </c>
      <c r="P262" t="inlineStr">
        <is>
          <t>Visible only (no FAQPage schema)</t>
        </is>
      </c>
    </row>
    <row r="263">
      <c r="A263" s="3" t="inlineStr">
        <is>
          <t>https://codesommet.com/tools/duplicate-content-checker</t>
        </is>
      </c>
      <c r="B263" t="inlineStr">
        <is>
          <t>Existing</t>
        </is>
      </c>
      <c r="C263" s="5" t="inlineStr">
        <is>
          <t>Qu'est-ce que le contenu dupliqué et pourquoi est-ce important pour le SEO ?</t>
        </is>
      </c>
      <c r="D263" t="inlineStr">
        <is>
          <t>contenu dupliqué</t>
        </is>
      </c>
      <c r="E263" t="inlineStr">
        <is>
          <t>fr</t>
        </is>
      </c>
      <c r="F263" s="5" t="inlineStr"/>
      <c r="G263" t="n">
        <v>480</v>
      </c>
      <c r="H263" t="n">
        <v>22</v>
      </c>
      <c r="I263" t="inlineStr">
        <is>
          <t>SEO</t>
        </is>
      </c>
      <c r="J263" t="inlineStr">
        <is>
          <t>MEASURED</t>
        </is>
      </c>
      <c r="K263">
        <f>ROUND(IF(ISNUMBER(G263),MIN(50,ROUND(50*LOG10(G263+1)/4,1)),5)+IF(ISNUMBER(H263),ROUND(30*(100-H263)/100,1),15)+IF(B263="New",20,10),0)</f>
        <v/>
      </c>
      <c r="L263" t="inlineStr">
        <is>
          <t>KEEP</t>
        </is>
      </c>
      <c r="M263" s="5" t="inlineStr">
        <is>
          <t>Relevant to page intent</t>
        </is>
      </c>
      <c r="N263" s="5" t="inlineStr">
        <is>
          <t>Le contenu dupliqué fait référence à des blocs de texte qui apparaissent sur plusieurs pages, soit sur votre propre site web, soit sur différents sites web. Les moteurs de recherche comme Google pénal</t>
        </is>
      </c>
      <c r="O263" t="inlineStr">
        <is>
          <t>P3</t>
        </is>
      </c>
      <c r="P263" t="inlineStr">
        <is>
          <t>Visible only (no FAQPage schema)</t>
        </is>
      </c>
    </row>
    <row r="264">
      <c r="A264" s="3" t="inlineStr">
        <is>
          <t>https://codesommet.com/tools/duplicate-content-checker</t>
        </is>
      </c>
      <c r="B264" t="inlineStr">
        <is>
          <t>Existing</t>
        </is>
      </c>
      <c r="C264" s="5" t="inlineStr">
        <is>
          <t>Quel pourcentage de similarité est problématique ?</t>
        </is>
      </c>
      <c r="D264" t="inlineStr">
        <is>
          <t>duplicate content</t>
        </is>
      </c>
      <c r="E264" t="inlineStr">
        <is>
          <t>fr</t>
        </is>
      </c>
      <c r="F264" s="5" t="inlineStr"/>
      <c r="G264" t="n">
        <v>720</v>
      </c>
      <c r="H264" t="n">
        <v>32</v>
      </c>
      <c r="I264" t="inlineStr">
        <is>
          <t>Service scope</t>
        </is>
      </c>
      <c r="J264" t="inlineStr">
        <is>
          <t>MEASURED</t>
        </is>
      </c>
      <c r="K264">
        <f>ROUND(IF(ISNUMBER(G264),MIN(50,ROUND(50*LOG10(G264+1)/4,1)),5)+IF(ISNUMBER(H264),ROUND(30*(100-H264)/100,1),15)+IF(B264="New",20,10),0)</f>
        <v/>
      </c>
      <c r="L264" t="inlineStr">
        <is>
          <t>KEEP</t>
        </is>
      </c>
      <c r="M264" s="5" t="inlineStr">
        <is>
          <t>Relevant to page intent</t>
        </is>
      </c>
      <c r="N264" s="5" t="inlineStr">
        <is>
          <t>Le contenu avec plus de 80 % de similarité est généralement considéré comme dupliqué et fera probablement face à des pénalités des moteurs de recherche. Le contenu entre 50-79 % de similarité montre u</t>
        </is>
      </c>
      <c r="O264" t="inlineStr">
        <is>
          <t>P3</t>
        </is>
      </c>
      <c r="P264" t="inlineStr">
        <is>
          <t>Visible only (no FAQPage schema)</t>
        </is>
      </c>
    </row>
    <row r="265">
      <c r="A265" s="3" t="inlineStr">
        <is>
          <t>https://codesommet.com/tools/duplicate-content-checker</t>
        </is>
      </c>
      <c r="B265" t="inlineStr">
        <is>
          <t>Existing</t>
        </is>
      </c>
      <c r="C265" s="5" t="inlineStr">
        <is>
          <t>Quelle différence entre contenu dupliqué interne et externe ?</t>
        </is>
      </c>
      <c r="D265" t="inlineStr">
        <is>
          <t>contenu dupliqué</t>
        </is>
      </c>
      <c r="E265" t="inlineStr">
        <is>
          <t>fr</t>
        </is>
      </c>
      <c r="F265" s="5" t="inlineStr"/>
      <c r="G265" t="n">
        <v>480</v>
      </c>
      <c r="H265" t="n">
        <v>22</v>
      </c>
      <c r="I265" t="inlineStr">
        <is>
          <t>Differentiation</t>
        </is>
      </c>
      <c r="J265" t="inlineStr">
        <is>
          <t>MEASURED</t>
        </is>
      </c>
      <c r="K265">
        <f>ROUND(IF(ISNUMBER(G265),MIN(50,ROUND(50*LOG10(G265+1)/4,1)),5)+IF(ISNUMBER(H265),ROUND(30*(100-H265)/100,1),15)+IF(B265="New",20,10),0)</f>
        <v/>
      </c>
      <c r="L265" t="inlineStr">
        <is>
          <t>KEEP</t>
        </is>
      </c>
      <c r="M265" s="5" t="inlineStr">
        <is>
          <t>Relevant to page intent</t>
        </is>
      </c>
      <c r="N265" s="5" t="inlineStr">
        <is>
          <t>Le contenu dupliqué interne se produit lorsqu'un contenu similaire ou identique apparaît sur plusieurs pages de votre propre site web (par exemple, descriptions de produits, texte standard). Le conten</t>
        </is>
      </c>
      <c r="O265" t="inlineStr">
        <is>
          <t>P3</t>
        </is>
      </c>
      <c r="P265" t="inlineStr">
        <is>
          <t>Visible only (no FAQPage schema)</t>
        </is>
      </c>
    </row>
    <row r="266">
      <c r="A266" s="3" t="inlineStr">
        <is>
          <t>https://codesommet.com/tools/duplicate-content-checker</t>
        </is>
      </c>
      <c r="B266" t="inlineStr">
        <is>
          <t>Existing</t>
        </is>
      </c>
      <c r="C266" s="5" t="inlineStr">
        <is>
          <t>Comment les balises canonical aident-elles avec le contenu dupliqué ?</t>
        </is>
      </c>
      <c r="D266" t="inlineStr">
        <is>
          <t>contenu dupliqué</t>
        </is>
      </c>
      <c r="E266" t="inlineStr">
        <is>
          <t>fr</t>
        </is>
      </c>
      <c r="F266" s="5" t="inlineStr"/>
      <c r="G266" t="n">
        <v>480</v>
      </c>
      <c r="H266" t="n">
        <v>22</v>
      </c>
      <c r="I266" t="inlineStr">
        <is>
          <t>Service scope</t>
        </is>
      </c>
      <c r="J266" t="inlineStr">
        <is>
          <t>MEASURED</t>
        </is>
      </c>
      <c r="K266">
        <f>ROUND(IF(ISNUMBER(G266),MIN(50,ROUND(50*LOG10(G266+1)/4,1)),5)+IF(ISNUMBER(H266),ROUND(30*(100-H266)/100,1),15)+IF(B266="New",20,10),0)</f>
        <v/>
      </c>
      <c r="L266" t="inlineStr">
        <is>
          <t>KEEP</t>
        </is>
      </c>
      <c r="M266" s="5" t="inlineStr">
        <is>
          <t>Relevant to page intent</t>
        </is>
      </c>
      <c r="N266" s="5" t="inlineStr">
        <is>
          <t>Oui, mais uniquement avec les précautions appropriées. Si vous republiez du contenu sur des sites tiers (comme Medium ou LinkedIn), incluez toujours une balise canonical pointant vers votre article or</t>
        </is>
      </c>
      <c r="O266" t="inlineStr">
        <is>
          <t>P3</t>
        </is>
      </c>
      <c r="P266" t="inlineStr">
        <is>
          <t>Visible only (no FAQPage schema)</t>
        </is>
      </c>
    </row>
    <row r="267">
      <c r="A267" s="3" t="inlineStr">
        <is>
          <t>https://codesommet.com/tools/duplicate-content-checker</t>
        </is>
      </c>
      <c r="B267" t="inlineStr">
        <is>
          <t>Existing</t>
        </is>
      </c>
      <c r="C267" s="5" t="inlineStr">
        <is>
          <t>Comment éviter le contenu dupliqué avec des pages similaires ?</t>
        </is>
      </c>
      <c r="D267" t="inlineStr">
        <is>
          <t>contenu dupliqué</t>
        </is>
      </c>
      <c r="E267" t="inlineStr">
        <is>
          <t>fr</t>
        </is>
      </c>
      <c r="F267" s="5" t="inlineStr"/>
      <c r="G267" t="n">
        <v>480</v>
      </c>
      <c r="H267" t="n">
        <v>22</v>
      </c>
      <c r="I267" t="inlineStr">
        <is>
          <t>Service scope</t>
        </is>
      </c>
      <c r="J267" t="inlineStr">
        <is>
          <t>MEASURED</t>
        </is>
      </c>
      <c r="K267">
        <f>ROUND(IF(ISNUMBER(G267),MIN(50,ROUND(50*LOG10(G267+1)/4,1)),5)+IF(ISNUMBER(H267),ROUND(30*(100-H267)/100,1),15)+IF(B267="New",20,10),0)</f>
        <v/>
      </c>
      <c r="L267" t="inlineStr">
        <is>
          <t>KEEP</t>
        </is>
      </c>
      <c r="M267" s="5" t="inlineStr">
        <is>
          <t>Relevant to page intent</t>
        </is>
      </c>
      <c r="N267" s="5" t="inlineStr">
        <is>
          <t xml:space="preserve">Pour éviter la duplication sur des pages similaires (comme les catégories de produits ou les pages de localisation), ajoutez des éléments uniques à chacune : rédigez des introductions personnalisées, </t>
        </is>
      </c>
      <c r="O267" t="inlineStr">
        <is>
          <t>P3</t>
        </is>
      </c>
      <c r="P267" t="inlineStr">
        <is>
          <t>Visible only (no FAQPage schema)</t>
        </is>
      </c>
    </row>
    <row r="268">
      <c r="A268" s="3" t="inlineStr">
        <is>
          <t>https://codesommet.com/tools/duplicate-content-checker</t>
        </is>
      </c>
      <c r="B268" t="inlineStr">
        <is>
          <t>Existing</t>
        </is>
      </c>
      <c r="C268" s="5" t="inlineStr">
        <is>
          <t>Les citations comptent-elles comme du contenu dupliqué ?</t>
        </is>
      </c>
      <c r="D268" t="inlineStr">
        <is>
          <t>contenu dupliqué</t>
        </is>
      </c>
      <c r="E268" t="inlineStr">
        <is>
          <t>fr</t>
        </is>
      </c>
      <c r="F268" s="5" t="inlineStr"/>
      <c r="G268" t="n">
        <v>480</v>
      </c>
      <c r="H268" t="n">
        <v>22</v>
      </c>
      <c r="I268" t="inlineStr">
        <is>
          <t>Service scope</t>
        </is>
      </c>
      <c r="J268" t="inlineStr">
        <is>
          <t>MEASURED</t>
        </is>
      </c>
      <c r="K268">
        <f>ROUND(IF(ISNUMBER(G268),MIN(50,ROUND(50*LOG10(G268+1)/4,1)),5)+IF(ISNUMBER(H268),ROUND(30*(100-H268)/100,1),15)+IF(B268="New",20,10),0)</f>
        <v/>
      </c>
      <c r="L268" t="inlineStr">
        <is>
          <t>KEEP</t>
        </is>
      </c>
      <c r="M268" s="5" t="inlineStr">
        <is>
          <t>Relevant to page intent</t>
        </is>
      </c>
      <c r="N268" s="5" t="inlineStr">
        <is>
          <t>Les courtes citations avec une attribution appropriée sont acceptables et ne déclencheront pas de pénalités de contenu dupliqué. Cependant, si vous citez de grands blocs de texte (plusieurs paragraphe</t>
        </is>
      </c>
      <c r="O268" t="inlineStr">
        <is>
          <t>P3</t>
        </is>
      </c>
      <c r="P268" t="inlineStr">
        <is>
          <t>Visible only (no FAQPage schema)</t>
        </is>
      </c>
    </row>
    <row r="269">
      <c r="A269" s="3" t="inlineStr">
        <is>
          <t>https://codesommet.com/tools/eeat-signals-checker</t>
        </is>
      </c>
      <c r="B269" t="inlineStr">
        <is>
          <t>Existing</t>
        </is>
      </c>
      <c r="C269" s="5" t="inlineStr">
        <is>
          <t>Que signifie E-E-A-T ?</t>
        </is>
      </c>
      <c r="D269" t="inlineStr">
        <is>
          <t>e-e-a-t</t>
        </is>
      </c>
      <c r="E269" t="inlineStr">
        <is>
          <t>fr</t>
        </is>
      </c>
      <c r="F269" s="5" t="inlineStr"/>
      <c r="G269" t="n">
        <v>2400</v>
      </c>
      <c r="H269" t="n">
        <v>36</v>
      </c>
      <c r="I269" t="inlineStr">
        <is>
          <t>Service scope</t>
        </is>
      </c>
      <c r="J269" t="inlineStr">
        <is>
          <t>MEASURED</t>
        </is>
      </c>
      <c r="K269">
        <f>ROUND(IF(ISNUMBER(G269),MIN(50,ROUND(50*LOG10(G269+1)/4,1)),5)+IF(ISNUMBER(H269),ROUND(30*(100-H269)/100,1),15)+IF(B269="New",20,10),0)</f>
        <v/>
      </c>
      <c r="L269" t="inlineStr">
        <is>
          <t>KEEP</t>
        </is>
      </c>
      <c r="M269" s="5" t="inlineStr">
        <is>
          <t>Relevant to page intent</t>
        </is>
      </c>
      <c r="N269" s="5" t="inlineStr">
        <is>
          <t xml:space="preserve">Experience, Expertise, Authoritativeness, Trustworthiness : les critères que les évaluateurs de Google utilisent pour juger la qualité d'une page. La confiance est le plus important : un contenu doit </t>
        </is>
      </c>
      <c r="O269" t="inlineStr">
        <is>
          <t>P3</t>
        </is>
      </c>
      <c r="P269" t="inlineStr">
        <is>
          <t>Visible only (no FAQPage schema)</t>
        </is>
      </c>
    </row>
    <row r="270">
      <c r="A270" s="3" t="inlineStr">
        <is>
          <t>https://codesommet.com/tools/eeat-signals-checker</t>
        </is>
      </c>
      <c r="B270" t="inlineStr">
        <is>
          <t>Existing</t>
        </is>
      </c>
      <c r="C270" s="5" t="inlineStr">
        <is>
          <t>Ce score est-il celui de Google ?</t>
        </is>
      </c>
      <c r="D270" t="inlineStr">
        <is>
          <t>agence seo maroc</t>
        </is>
      </c>
      <c r="E270" t="inlineStr">
        <is>
          <t>ma</t>
        </is>
      </c>
      <c r="F270" s="5" t="inlineStr"/>
      <c r="G270" t="n">
        <v>880</v>
      </c>
      <c r="H270" t="n">
        <v>44</v>
      </c>
      <c r="I270" t="inlineStr">
        <is>
          <t>SEO</t>
        </is>
      </c>
      <c r="J270" t="inlineStr">
        <is>
          <t>MEASURED</t>
        </is>
      </c>
      <c r="K270">
        <f>ROUND(IF(ISNUMBER(G270),MIN(50,ROUND(50*LOG10(G270+1)/4,1)),5)+IF(ISNUMBER(H270),ROUND(30*(100-H270)/100,1),15)+IF(B270="New",20,10),0)</f>
        <v/>
      </c>
      <c r="L270" t="inlineStr">
        <is>
          <t>KEEP</t>
        </is>
      </c>
      <c r="M270" s="5" t="inlineStr">
        <is>
          <t>Relevant to page intent</t>
        </is>
      </c>
      <c r="N270" s="5" t="inlineStr">
        <is>
          <t>Non. Google ne publie aucun score E-E-A-T. Cet outil vérifie des signaux observables dans le HTML d'une page ; il ne mesure ni la réputation de la marque sur le web ni la qualité réelle du contenu, qu</t>
        </is>
      </c>
      <c r="O270" t="inlineStr">
        <is>
          <t>P3</t>
        </is>
      </c>
      <c r="P270" t="inlineStr">
        <is>
          <t>Visible only (no FAQPage schema)</t>
        </is>
      </c>
    </row>
    <row r="271">
      <c r="A271" s="3" t="inlineStr">
        <is>
          <t>https://codesommet.com/tools/eeat-signals-checker</t>
        </is>
      </c>
      <c r="B271" t="inlineStr">
        <is>
          <t>Existing</t>
        </is>
      </c>
      <c r="C271" s="5" t="inlineStr">
        <is>
          <t>Pourquoi l'auteur est-il « non noté » sur ma page ?</t>
        </is>
      </c>
      <c r="D271" t="inlineStr">
        <is>
          <t>e-e-a-t</t>
        </is>
      </c>
      <c r="E271" t="inlineStr">
        <is>
          <t>fr</t>
        </is>
      </c>
      <c r="F271" s="5" t="inlineStr"/>
      <c r="G271" t="n">
        <v>2400</v>
      </c>
      <c r="H271" t="n">
        <v>36</v>
      </c>
      <c r="I271" t="inlineStr">
        <is>
          <t>Service scope</t>
        </is>
      </c>
      <c r="J271" t="inlineStr">
        <is>
          <t>MEASURED</t>
        </is>
      </c>
      <c r="K271">
        <f>ROUND(IF(ISNUMBER(G271),MIN(50,ROUND(50*LOG10(G271+1)/4,1)),5)+IF(ISNUMBER(H271),ROUND(30*(100-H271)/100,1),15)+IF(B271="New",20,10),0)</f>
        <v/>
      </c>
      <c r="L271" t="inlineStr">
        <is>
          <t>KEEP</t>
        </is>
      </c>
      <c r="M271" s="5" t="inlineStr">
        <is>
          <t>Relevant to page intent</t>
        </is>
      </c>
      <c r="N271" s="5" t="inlineStr">
        <is>
          <t>Un auteur et une date sont attendus sur un article ou un guide. Sur une page d'accueil ou une page service, l'outil ne les exige pas et les exclut du score.</t>
        </is>
      </c>
      <c r="O271" t="inlineStr">
        <is>
          <t>P3</t>
        </is>
      </c>
      <c r="P271" t="inlineStr">
        <is>
          <t>Visible only (no FAQPage schema)</t>
        </is>
      </c>
    </row>
    <row r="272">
      <c r="A272" s="3" t="inlineStr">
        <is>
          <t>https://codesommet.com/tools/eeat-signals-checker</t>
        </is>
      </c>
      <c r="B272" t="inlineStr">
        <is>
          <t>Existing</t>
        </is>
      </c>
      <c r="C272" s="5" t="inlineStr">
        <is>
          <t>Comment l'outil repère-t-il les pages « À propos » ou les mentions légales ?</t>
        </is>
      </c>
      <c r="D272" t="inlineStr">
        <is>
          <t>e-e-a-t</t>
        </is>
      </c>
      <c r="E272" t="inlineStr">
        <is>
          <t>fr</t>
        </is>
      </c>
      <c r="F272" s="5" t="inlineStr"/>
      <c r="G272" t="n">
        <v>2400</v>
      </c>
      <c r="H272" t="n">
        <v>36</v>
      </c>
      <c r="I272" t="inlineStr">
        <is>
          <t>Service scope</t>
        </is>
      </c>
      <c r="J272" t="inlineStr">
        <is>
          <t>MEASURED</t>
        </is>
      </c>
      <c r="K272">
        <f>ROUND(IF(ISNUMBER(G272),MIN(50,ROUND(50*LOG10(G272+1)/4,1)),5)+IF(ISNUMBER(H272),ROUND(30*(100-H272)/100,1),15)+IF(B272="New",20,10),0)</f>
        <v/>
      </c>
      <c r="L272" t="inlineStr">
        <is>
          <t>KEEP</t>
        </is>
      </c>
      <c r="M272" s="5" t="inlineStr">
        <is>
          <t>Relevant to page intent</t>
        </is>
      </c>
      <c r="N272" s="5" t="inlineStr">
        <is>
          <t>D'après l'adresse et le texte des liens présents sur la page (« à propos », « qui sommes-nous », « mentions légales », « confidentialité »…). Une page qui existe mais n'est liée nulle part n'est pas d</t>
        </is>
      </c>
      <c r="O272" t="inlineStr">
        <is>
          <t>P3</t>
        </is>
      </c>
      <c r="P272" t="inlineStr">
        <is>
          <t>Visible only (no FAQPage schema)</t>
        </is>
      </c>
    </row>
    <row r="273">
      <c r="A273" s="3" t="inlineStr">
        <is>
          <t>https://codesommet.com/tools/expired-domain-checker</t>
        </is>
      </c>
      <c r="B273" t="inlineStr">
        <is>
          <t>Existing</t>
        </is>
      </c>
      <c r="C273" s="5" t="inlineStr">
        <is>
          <t>D'où viennent les informations ?</t>
        </is>
      </c>
      <c r="D273" t="inlineStr">
        <is>
          <t>nom de domaine expiré</t>
        </is>
      </c>
      <c r="E273" t="inlineStr">
        <is>
          <t>fr</t>
        </is>
      </c>
      <c r="F273" s="5" t="inlineStr"/>
      <c r="G273" t="n">
        <v>170</v>
      </c>
      <c r="H273" t="n">
        <v>19</v>
      </c>
      <c r="I273" t="inlineStr">
        <is>
          <t>Service scope</t>
        </is>
      </c>
      <c r="J273" t="inlineStr">
        <is>
          <t>MEASURED</t>
        </is>
      </c>
      <c r="K273">
        <f>ROUND(IF(ISNUMBER(G273),MIN(50,ROUND(50*LOG10(G273+1)/4,1)),5)+IF(ISNUMBER(H273),ROUND(30*(100-H273)/100,1),15)+IF(B273="New",20,10),0)</f>
        <v/>
      </c>
      <c r="L273" t="inlineStr">
        <is>
          <t>KEEP</t>
        </is>
      </c>
      <c r="M273" s="5" t="inlineStr">
        <is>
          <t>Relevant to page intent</t>
        </is>
      </c>
      <c r="N273" s="5" t="inlineStr">
        <is>
          <t>Du protocole RDAP, le successeur officiel du WHOIS, interrogé directement auprès du registre de chaque extension grâce à l'annuaire de l'IANA, complété par une vérification DNS. Aucune donnée n'est es</t>
        </is>
      </c>
      <c r="O273" t="inlineStr">
        <is>
          <t>P3</t>
        </is>
      </c>
      <c r="P273" t="inlineStr">
        <is>
          <t>Visible only (no FAQPage schema)</t>
        </is>
      </c>
    </row>
    <row r="274">
      <c r="A274" s="3" t="inlineStr">
        <is>
          <t>https://codesommet.com/tools/expired-domain-checker</t>
        </is>
      </c>
      <c r="B274" t="inlineStr">
        <is>
          <t>Existing</t>
        </is>
      </c>
      <c r="C274" s="5" t="inlineStr">
        <is>
          <t>Quand un domaine est-il considéré comme disponible ?</t>
        </is>
      </c>
      <c r="D274" t="inlineStr">
        <is>
          <t>domaine expiré</t>
        </is>
      </c>
      <c r="E274" t="inlineStr">
        <is>
          <t>fr</t>
        </is>
      </c>
      <c r="F274" s="5" t="inlineStr"/>
      <c r="G274" t="n">
        <v>90</v>
      </c>
      <c r="H274" t="n">
        <v>19</v>
      </c>
      <c r="I274" t="inlineStr">
        <is>
          <t>Timeline</t>
        </is>
      </c>
      <c r="J274" t="inlineStr">
        <is>
          <t>MEASURED</t>
        </is>
      </c>
      <c r="K274">
        <f>ROUND(IF(ISNUMBER(G274),MIN(50,ROUND(50*LOG10(G274+1)/4,1)),5)+IF(ISNUMBER(H274),ROUND(30*(100-H274)/100,1),15)+IF(B274="New",20,10),0)</f>
        <v/>
      </c>
      <c r="L274" t="inlineStr">
        <is>
          <t>KEEP</t>
        </is>
      </c>
      <c r="M274" s="5" t="inlineStr">
        <is>
          <t>Matches measured pre-purchase demand</t>
        </is>
      </c>
      <c r="N274" s="5" t="inlineStr">
        <is>
          <t>Uniquement lorsque le registre n'en a aucune trace ET qu'il ne résout pas en DNS. Dans tous les cas ambigus, il est classé « à vérifier ». La disponibilité réelle se confirme toujours chez un registra</t>
        </is>
      </c>
      <c r="O274" t="inlineStr">
        <is>
          <t>P3</t>
        </is>
      </c>
      <c r="P274" t="inlineStr">
        <is>
          <t>Visible only (no FAQPage schema)</t>
        </is>
      </c>
    </row>
    <row r="275">
      <c r="A275" s="3" t="inlineStr">
        <is>
          <t>https://codesommet.com/tools/expired-domain-checker</t>
        </is>
      </c>
      <c r="B275" t="inlineStr">
        <is>
          <t>Existing</t>
        </is>
      </c>
      <c r="C275" s="5" t="inlineStr">
        <is>
          <t>Pourquoi certaines extensions sont-elles « à vérifier » ?</t>
        </is>
      </c>
      <c r="D275" t="inlineStr">
        <is>
          <t>nom de domaine expiré</t>
        </is>
      </c>
      <c r="E275" t="inlineStr">
        <is>
          <t>fr</t>
        </is>
      </c>
      <c r="F275" s="5" t="inlineStr"/>
      <c r="G275" t="n">
        <v>170</v>
      </c>
      <c r="H275" t="n">
        <v>19</v>
      </c>
      <c r="I275" t="inlineStr">
        <is>
          <t>Service scope</t>
        </is>
      </c>
      <c r="J275" t="inlineStr">
        <is>
          <t>MEASURED</t>
        </is>
      </c>
      <c r="K275">
        <f>ROUND(IF(ISNUMBER(G275),MIN(50,ROUND(50*LOG10(G275+1)/4,1)),5)+IF(ISNUMBER(H275),ROUND(30*(100-H275)/100,1),15)+IF(B275="New",20,10),0)</f>
        <v/>
      </c>
      <c r="L275" t="inlineStr">
        <is>
          <t>KEEP</t>
        </is>
      </c>
      <c r="M275" s="5" t="inlineStr">
        <is>
          <t>Relevant to page intent</t>
        </is>
      </c>
      <c r="N275" s="5" t="inlineStr">
        <is>
          <t>Certaines extensions nationales ne proposent pas encore de service RDAP public, ou limitent le nombre de requêtes. L'outil l'indique plutôt que de deviner.</t>
        </is>
      </c>
      <c r="O275" t="inlineStr">
        <is>
          <t>P3</t>
        </is>
      </c>
      <c r="P275" t="inlineStr">
        <is>
          <t>Visible only (no FAQPage schema)</t>
        </is>
      </c>
    </row>
    <row r="276">
      <c r="A276" s="3" t="inlineStr">
        <is>
          <t>https://codesommet.com/tools/expired-domain-checker</t>
        </is>
      </c>
      <c r="B276" t="inlineStr">
        <is>
          <t>Existing</t>
        </is>
      </c>
      <c r="C276" s="5" t="inlineStr">
        <is>
          <t>Un domaine expiré est-il immédiatement disponible ?</t>
        </is>
      </c>
      <c r="D276" t="inlineStr">
        <is>
          <t>domaine expiré</t>
        </is>
      </c>
      <c r="E276" t="inlineStr">
        <is>
          <t>fr</t>
        </is>
      </c>
      <c r="F276" s="5" t="inlineStr"/>
      <c r="G276" t="n">
        <v>90</v>
      </c>
      <c r="H276" t="n">
        <v>19</v>
      </c>
      <c r="I276" t="inlineStr">
        <is>
          <t>Service scope</t>
        </is>
      </c>
      <c r="J276" t="inlineStr">
        <is>
          <t>MEASURED</t>
        </is>
      </c>
      <c r="K276">
        <f>ROUND(IF(ISNUMBER(G276),MIN(50,ROUND(50*LOG10(G276+1)/4,1)),5)+IF(ISNUMBER(H276),ROUND(30*(100-H276)/100,1),15)+IF(B276="New",20,10),0)</f>
        <v/>
      </c>
      <c r="L276" t="inlineStr">
        <is>
          <t>KEEP</t>
        </is>
      </c>
      <c r="M276" s="5" t="inlineStr">
        <is>
          <t>Relevant to page intent</t>
        </is>
      </c>
      <c r="N276" s="5" t="inlineStr">
        <is>
          <t>Non. Après l'expiration, la plupart des extensions prévoient une période de grâce puis de rédemption (souvent 30 à 75 jours au total) pendant laquelle l'ancien titulaire peut encore le renouveler.</t>
        </is>
      </c>
      <c r="O276" t="inlineStr">
        <is>
          <t>P3</t>
        </is>
      </c>
      <c r="P276" t="inlineStr">
        <is>
          <t>Visible only (no FAQPage schema)</t>
        </is>
      </c>
    </row>
    <row r="277">
      <c r="A277" s="3" t="inlineStr">
        <is>
          <t>https://codesommet.com/tools/faq-schema-generator</t>
        </is>
      </c>
      <c r="B277" t="inlineStr">
        <is>
          <t>Existing</t>
        </is>
      </c>
      <c r="C277" s="5" t="inlineStr">
        <is>
          <t>Qu'est-ce que le balisage FAQ et pourquoi est-ce important ?</t>
        </is>
      </c>
      <c r="D277" t="inlineStr">
        <is>
          <t>faq schema</t>
        </is>
      </c>
      <c r="E277" t="inlineStr">
        <is>
          <t>fr</t>
        </is>
      </c>
      <c r="F277" s="5" t="inlineStr"/>
      <c r="G277" t="n">
        <v>50</v>
      </c>
      <c r="H277" t="inlineStr">
        <is>
          <t>NOT AVAILABLE</t>
        </is>
      </c>
      <c r="I277" t="inlineStr">
        <is>
          <t>Definition / how it works</t>
        </is>
      </c>
      <c r="J277" t="inlineStr">
        <is>
          <t>MEASURED</t>
        </is>
      </c>
      <c r="K277">
        <f>ROUND(IF(ISNUMBER(G277),MIN(50,ROUND(50*LOG10(G277+1)/4,1)),5)+IF(ISNUMBER(H277),ROUND(30*(100-H277)/100,1),15)+IF(B277="New",20,10),0)</f>
        <v/>
      </c>
      <c r="L277" t="inlineStr">
        <is>
          <t>KEEP</t>
        </is>
      </c>
      <c r="M277" s="5" t="inlineStr">
        <is>
          <t>Relevant to page intent</t>
        </is>
      </c>
      <c r="N277" s="5" t="inlineStr">
        <is>
          <t>Le balisage FAQ est une donnée structurée qui aide les moteurs de recherche comme Google à comprendre votre contenu FAQ. Il peut afficher vos FAQ directement dans les résultats de recherche sous forme</t>
        </is>
      </c>
      <c r="O277" t="inlineStr">
        <is>
          <t>P3</t>
        </is>
      </c>
      <c r="P277" t="inlineStr">
        <is>
          <t>Visible only (no FAQPage schema)</t>
        </is>
      </c>
    </row>
    <row r="278">
      <c r="A278" s="3" t="inlineStr">
        <is>
          <t>https://codesommet.com/tools/faq-schema-generator</t>
        </is>
      </c>
      <c r="B278" t="inlineStr">
        <is>
          <t>Existing</t>
        </is>
      </c>
      <c r="C278" s="5" t="inlineStr">
        <is>
          <t>Comment le schéma FAQ améliore-t-il mon SEO ?</t>
        </is>
      </c>
      <c r="D278" t="inlineStr">
        <is>
          <t>faq schema</t>
        </is>
      </c>
      <c r="E278" t="inlineStr">
        <is>
          <t>fr</t>
        </is>
      </c>
      <c r="F278" s="5" t="inlineStr"/>
      <c r="G278" t="n">
        <v>50</v>
      </c>
      <c r="H278" t="inlineStr">
        <is>
          <t>NOT AVAILABLE</t>
        </is>
      </c>
      <c r="I278" t="inlineStr">
        <is>
          <t>SEO</t>
        </is>
      </c>
      <c r="J278" t="inlineStr">
        <is>
          <t>MEASURED</t>
        </is>
      </c>
      <c r="K278">
        <f>ROUND(IF(ISNUMBER(G278),MIN(50,ROUND(50*LOG10(G278+1)/4,1)),5)+IF(ISNUMBER(H278),ROUND(30*(100-H278)/100,1),15)+IF(B278="New",20,10),0)</f>
        <v/>
      </c>
      <c r="L278" t="inlineStr">
        <is>
          <t>KEEP</t>
        </is>
      </c>
      <c r="M278" s="5" t="inlineStr">
        <is>
          <t>Relevant to page intent</t>
        </is>
      </c>
      <c r="N278" s="5" t="inlineStr">
        <is>
          <t>Le balisage FAQ donne à votre site plus d'espace sur la page de résultats Google en affichant vos questions et réponses directement dans les résultats enrichis. Cela augmente la visibilité, améliore l</t>
        </is>
      </c>
      <c r="O278" t="inlineStr">
        <is>
          <t>P3</t>
        </is>
      </c>
      <c r="P278" t="inlineStr">
        <is>
          <t>Visible only (no FAQPage schema)</t>
        </is>
      </c>
    </row>
    <row r="279">
      <c r="A279" s="3" t="inlineStr">
        <is>
          <t>https://codesommet.com/tools/faq-schema-generator</t>
        </is>
      </c>
      <c r="B279" t="inlineStr">
        <is>
          <t>Existing</t>
        </is>
      </c>
      <c r="C279" s="5" t="inlineStr">
        <is>
          <t>Combien de FAQ inclure sur une page ?</t>
        </is>
      </c>
      <c r="D279" t="inlineStr">
        <is>
          <t>faq schema</t>
        </is>
      </c>
      <c r="E279" t="inlineStr">
        <is>
          <t>fr</t>
        </is>
      </c>
      <c r="F279" s="5" t="inlineStr"/>
      <c r="G279" t="n">
        <v>50</v>
      </c>
      <c r="H279" t="inlineStr">
        <is>
          <t>NOT AVAILABLE</t>
        </is>
      </c>
      <c r="I279" t="inlineStr">
        <is>
          <t>Service scope</t>
        </is>
      </c>
      <c r="J279" t="inlineStr">
        <is>
          <t>MEASURED</t>
        </is>
      </c>
      <c r="K279">
        <f>ROUND(IF(ISNUMBER(G279),MIN(50,ROUND(50*LOG10(G279+1)/4,1)),5)+IF(ISNUMBER(H279),ROUND(30*(100-H279)/100,1),15)+IF(B279="New",20,10),0)</f>
        <v/>
      </c>
      <c r="L279" t="inlineStr">
        <is>
          <t>KEEP</t>
        </is>
      </c>
      <c r="M279" s="5" t="inlineStr">
        <is>
          <t>Relevant to page intent</t>
        </is>
      </c>
      <c r="N279" s="5" t="inlineStr">
        <is>
          <t xml:space="preserve">Google recommande d'inclure au moins 3 FAQ pour le balisage, mais le nombre idéal est de 5 à 10 questions de qualité par page. Concentrez-vous sur les vraies questions des utilisateurs plutôt que sur </t>
        </is>
      </c>
      <c r="O279" t="inlineStr">
        <is>
          <t>P3</t>
        </is>
      </c>
      <c r="P279" t="inlineStr">
        <is>
          <t>Visible only (no FAQPage schema)</t>
        </is>
      </c>
    </row>
    <row r="280">
      <c r="A280" s="3" t="inlineStr">
        <is>
          <t>https://codesommet.com/tools/faq-schema-generator</t>
        </is>
      </c>
      <c r="B280" t="inlineStr">
        <is>
          <t>Existing</t>
        </is>
      </c>
      <c r="C280" s="5" t="inlineStr">
        <is>
          <t>Quelle est la longueur idéale pour les questions et réponses ?</t>
        </is>
      </c>
      <c r="D280" t="inlineStr">
        <is>
          <t>faq schema</t>
        </is>
      </c>
      <c r="E280" t="inlineStr">
        <is>
          <t>fr</t>
        </is>
      </c>
      <c r="F280" s="5" t="inlineStr"/>
      <c r="G280" t="n">
        <v>50</v>
      </c>
      <c r="H280" t="inlineStr">
        <is>
          <t>NOT AVAILABLE</t>
        </is>
      </c>
      <c r="I280" t="inlineStr">
        <is>
          <t>Service scope</t>
        </is>
      </c>
      <c r="J280" t="inlineStr">
        <is>
          <t>MEASURED</t>
        </is>
      </c>
      <c r="K280">
        <f>ROUND(IF(ISNUMBER(G280),MIN(50,ROUND(50*LOG10(G280+1)/4,1)),5)+IF(ISNUMBER(H280),ROUND(30*(100-H280)/100,1),15)+IF(B280="New",20,10),0)</f>
        <v/>
      </c>
      <c r="L280" t="inlineStr">
        <is>
          <t>KEEP</t>
        </is>
      </c>
      <c r="M280" s="5" t="inlineStr">
        <is>
          <t>Relevant to page intent</t>
        </is>
      </c>
      <c r="N280" s="5" t="inlineStr">
        <is>
          <t>Les questions doivent être concises (40-100 caractères) et rédigées comme des questions naturelles. Les réponses doivent être complètes mais pas excessives (150-300 caractères pour les questions simpl</t>
        </is>
      </c>
      <c r="O280" t="inlineStr">
        <is>
          <t>P3</t>
        </is>
      </c>
      <c r="P280" t="inlineStr">
        <is>
          <t>Visible only (no FAQPage schema)</t>
        </is>
      </c>
    </row>
    <row r="281">
      <c r="A281" s="3" t="inlineStr">
        <is>
          <t>https://codesommet.com/tools/faq-schema-generator</t>
        </is>
      </c>
      <c r="B281" t="inlineStr">
        <is>
          <t>Existing</t>
        </is>
      </c>
      <c r="C281" s="5" t="inlineStr">
        <is>
          <t>Comment implémenter le schéma FAQ généré sur mon site ?</t>
        </is>
      </c>
      <c r="D281" t="inlineStr">
        <is>
          <t>faq schema</t>
        </is>
      </c>
      <c r="E281" t="inlineStr">
        <is>
          <t>fr</t>
        </is>
      </c>
      <c r="F281" s="5" t="inlineStr"/>
      <c r="G281" t="n">
        <v>50</v>
      </c>
      <c r="H281" t="inlineStr">
        <is>
          <t>NOT AVAILABLE</t>
        </is>
      </c>
      <c r="I281" t="inlineStr">
        <is>
          <t>Service scope</t>
        </is>
      </c>
      <c r="J281" t="inlineStr">
        <is>
          <t>MEASURED</t>
        </is>
      </c>
      <c r="K281">
        <f>ROUND(IF(ISNUMBER(G281),MIN(50,ROUND(50*LOG10(G281+1)/4,1)),5)+IF(ISNUMBER(H281),ROUND(30*(100-H281)/100,1),15)+IF(B281="New",20,10),0)</f>
        <v/>
      </c>
      <c r="L281" t="inlineStr">
        <is>
          <t>KEEP</t>
        </is>
      </c>
      <c r="M281" s="5" t="inlineStr">
        <is>
          <t>Relevant to page intent</t>
        </is>
      </c>
      <c r="N281" s="5" t="inlineStr">
        <is>
          <t>Copiez le code HTML généré et collez-le dans la section de votre page web avant la balise fermante. Pour WordPress, utilisez des plugins comme 'Insert Headers and Footers' ou 'Schema Pro'. Pour Shopif</t>
        </is>
      </c>
      <c r="O281" t="inlineStr">
        <is>
          <t>P3</t>
        </is>
      </c>
      <c r="P281" t="inlineStr">
        <is>
          <t>Visible only (no FAQPage schema)</t>
        </is>
      </c>
    </row>
    <row r="282">
      <c r="A282" s="3" t="inlineStr">
        <is>
          <t>https://codesommet.com/tools/faq-schema-generator</t>
        </is>
      </c>
      <c r="B282" t="inlineStr">
        <is>
          <t>Existing</t>
        </is>
      </c>
      <c r="C282" s="5" t="inlineStr">
        <is>
          <t>Mes FAQ apparaîtront-elles dans la section 'Autres questions posées' de Google ?</t>
        </is>
      </c>
      <c r="D282" t="inlineStr">
        <is>
          <t>faq schema</t>
        </is>
      </c>
      <c r="E282" t="inlineStr">
        <is>
          <t>fr</t>
        </is>
      </c>
      <c r="F282" s="5" t="inlineStr"/>
      <c r="G282" t="n">
        <v>50</v>
      </c>
      <c r="H282" t="inlineStr">
        <is>
          <t>NOT AVAILABLE</t>
        </is>
      </c>
      <c r="I282" t="inlineStr">
        <is>
          <t>SEO</t>
        </is>
      </c>
      <c r="J282" t="inlineStr">
        <is>
          <t>MEASURED</t>
        </is>
      </c>
      <c r="K282">
        <f>ROUND(IF(ISNUMBER(G282),MIN(50,ROUND(50*LOG10(G282+1)/4,1)),5)+IF(ISNUMBER(H282),ROUND(30*(100-H282)/100,1),15)+IF(B282="New",20,10),0)</f>
        <v/>
      </c>
      <c r="L282" t="inlineStr">
        <is>
          <t>KEEP</t>
        </is>
      </c>
      <c r="M282" s="5" t="inlineStr">
        <is>
          <t>Relevant to page intent</t>
        </is>
      </c>
      <c r="N282" s="5" t="inlineStr">
        <is>
          <t>Pas automatiquement. Google décide quelles FAQ afficher en fonction de la pertinence, de la qualité et de l'intention de recherche. L'implémentation du balisage FAQ augmente vos chances, mais vous ave</t>
        </is>
      </c>
      <c r="O282" t="inlineStr">
        <is>
          <t>P3</t>
        </is>
      </c>
      <c r="P282" t="inlineStr">
        <is>
          <t>Visible only (no FAQPage schema)</t>
        </is>
      </c>
    </row>
    <row r="283">
      <c r="A283" s="3" t="inlineStr">
        <is>
          <t>https://codesommet.com/tools/faq-schema-generator</t>
        </is>
      </c>
      <c r="B283" t="inlineStr">
        <is>
          <t>Existing</t>
        </is>
      </c>
      <c r="C283" s="5" t="inlineStr">
        <is>
          <t>Y a-t-il des directives Google à suivre pour le schéma FAQ ?</t>
        </is>
      </c>
      <c r="D283" t="inlineStr">
        <is>
          <t>faq schema</t>
        </is>
      </c>
      <c r="E283" t="inlineStr">
        <is>
          <t>fr</t>
        </is>
      </c>
      <c r="F283" s="5" t="inlineStr"/>
      <c r="G283" t="n">
        <v>50</v>
      </c>
      <c r="H283" t="inlineStr">
        <is>
          <t>NOT AVAILABLE</t>
        </is>
      </c>
      <c r="I283" t="inlineStr">
        <is>
          <t>SEO</t>
        </is>
      </c>
      <c r="J283" t="inlineStr">
        <is>
          <t>MEASURED</t>
        </is>
      </c>
      <c r="K283">
        <f>ROUND(IF(ISNUMBER(G283),MIN(50,ROUND(50*LOG10(G283+1)/4,1)),5)+IF(ISNUMBER(H283),ROUND(30*(100-H283)/100,1),15)+IF(B283="New",20,10),0)</f>
        <v/>
      </c>
      <c r="L283" t="inlineStr">
        <is>
          <t>KEEP</t>
        </is>
      </c>
      <c r="M283" s="5" t="inlineStr">
        <is>
          <t>Relevant to page intent</t>
        </is>
      </c>
      <c r="N283" s="5" t="inlineStr">
        <is>
          <t>Oui. Utilisez le balisage FAQ uniquement pour du vrai contenu Q&amp;R visible sur la page. Ne l'utilisez pas à des fins publicitaires ou promotionnelles. Chaque question ne doit avoir qu'une seule réponse</t>
        </is>
      </c>
      <c r="O283" t="inlineStr">
        <is>
          <t>P3</t>
        </is>
      </c>
      <c r="P283" t="inlineStr">
        <is>
          <t>Visible only (no FAQPage schema)</t>
        </is>
      </c>
    </row>
    <row r="284">
      <c r="A284" s="3" t="inlineStr">
        <is>
          <t>https://codesommet.com/tools/heading-analyzer</t>
        </is>
      </c>
      <c r="B284" t="inlineStr">
        <is>
          <t>Existing</t>
        </is>
      </c>
      <c r="C284" s="5" t="inlineStr">
        <is>
          <t>Pourquoi la hiérarchie des titres est-elle importante pour le SEO ?</t>
        </is>
      </c>
      <c r="D284" t="inlineStr">
        <is>
          <t>agence seo maroc</t>
        </is>
      </c>
      <c r="E284" t="inlineStr">
        <is>
          <t>ma</t>
        </is>
      </c>
      <c r="F284" s="5" t="inlineStr"/>
      <c r="G284" t="n">
        <v>880</v>
      </c>
      <c r="H284" t="n">
        <v>44</v>
      </c>
      <c r="I284" t="inlineStr">
        <is>
          <t>SEO</t>
        </is>
      </c>
      <c r="J284" t="inlineStr">
        <is>
          <t>MEASURED</t>
        </is>
      </c>
      <c r="K284">
        <f>ROUND(IF(ISNUMBER(G284),MIN(50,ROUND(50*LOG10(G284+1)/4,1)),5)+IF(ISNUMBER(H284),ROUND(30*(100-H284)/100,1),15)+IF(B284="New",20,10),0)</f>
        <v/>
      </c>
      <c r="L284" t="inlineStr">
        <is>
          <t>KEEP</t>
        </is>
      </c>
      <c r="M284" s="5" t="inlineStr">
        <is>
          <t>Relevant to page intent</t>
        </is>
      </c>
      <c r="N284" s="5" t="inlineStr">
        <is>
          <t>Une hiérarchie de titres appropriée (H1 → H2 → H3) aide les moteurs de recherche à comprendre la structure de votre contenu et sa pertinence thématique. Elle améliore également l'expérience utilisateu</t>
        </is>
      </c>
      <c r="O284" t="inlineStr">
        <is>
          <t>P3</t>
        </is>
      </c>
      <c r="P284" t="inlineStr">
        <is>
          <t>Visible only (no FAQPage schema)</t>
        </is>
      </c>
    </row>
    <row r="285">
      <c r="A285" s="3" t="inlineStr">
        <is>
          <t>https://codesommet.com/tools/heading-analyzer</t>
        </is>
      </c>
      <c r="B285" t="inlineStr">
        <is>
          <t>Existing</t>
        </is>
      </c>
      <c r="C285" s="5" t="inlineStr">
        <is>
          <t>Combien de balises H1 par page ?</t>
        </is>
      </c>
      <c r="D285" t="inlineStr">
        <is>
          <t>vérifier balises h1</t>
        </is>
      </c>
      <c r="E285" t="inlineStr">
        <is>
          <t>fr</t>
        </is>
      </c>
      <c r="F285" s="5" t="inlineStr"/>
      <c r="G285" t="inlineStr">
        <is>
          <t>NOT AVAILABLE</t>
        </is>
      </c>
      <c r="H285" t="inlineStr">
        <is>
          <t>NOT AVAILABLE</t>
        </is>
      </c>
      <c r="I285" t="inlineStr">
        <is>
          <t>Service scope</t>
        </is>
      </c>
      <c r="J285" t="inlineStr">
        <is>
          <t>UNAVAILABLE</t>
        </is>
      </c>
      <c r="K285">
        <f>ROUND(IF(ISNUMBER(G285),MIN(50,ROUND(50*LOG10(G285+1)/4,1)),5)+IF(ISNUMBER(H285),ROUND(30*(100-H285)/100,1),15)+IF(B285="New",20,10),0)</f>
        <v/>
      </c>
      <c r="L285" t="inlineStr">
        <is>
          <t>KEEP</t>
        </is>
      </c>
      <c r="M285" s="5" t="inlineStr">
        <is>
          <t>Relevant to page intent</t>
        </is>
      </c>
      <c r="N285" s="5" t="inlineStr">
        <is>
          <t xml:space="preserve">Vous devriez avoir exactement UNE balise H1 par page. Le H1 doit représenter le sujet principal ou le titre de la page. Avoir plusieurs H1 confond les moteurs de recherche sur l'objectif principal de </t>
        </is>
      </c>
      <c r="O285" t="inlineStr">
        <is>
          <t>P3</t>
        </is>
      </c>
      <c r="P285" t="inlineStr">
        <is>
          <t>Visible only (no FAQPage schema)</t>
        </is>
      </c>
    </row>
    <row r="286">
      <c r="A286" s="3" t="inlineStr">
        <is>
          <t>https://codesommet.com/tools/heading-analyzer</t>
        </is>
      </c>
      <c r="B286" t="inlineStr">
        <is>
          <t>Existing</t>
        </is>
      </c>
      <c r="C286" s="5" t="inlineStr">
        <is>
          <t>Que se passe-t-il si je saute des niveaux (ex. : H1 → H3) ?</t>
        </is>
      </c>
      <c r="D286" t="inlineStr">
        <is>
          <t>balise h1</t>
        </is>
      </c>
      <c r="E286" t="inlineStr">
        <is>
          <t>fr</t>
        </is>
      </c>
      <c r="F286" s="5" t="inlineStr"/>
      <c r="G286" t="n">
        <v>390</v>
      </c>
      <c r="H286" t="n">
        <v>18</v>
      </c>
      <c r="I286" t="inlineStr">
        <is>
          <t>Service scope</t>
        </is>
      </c>
      <c r="J286" t="inlineStr">
        <is>
          <t>MEASURED</t>
        </is>
      </c>
      <c r="K286">
        <f>ROUND(IF(ISNUMBER(G286),MIN(50,ROUND(50*LOG10(G286+1)/4,1)),5)+IF(ISNUMBER(H286),ROUND(30*(100-H286)/100,1),15)+IF(B286="New",20,10),0)</f>
        <v/>
      </c>
      <c r="L286" t="inlineStr">
        <is>
          <t>KEEP</t>
        </is>
      </c>
      <c r="M286" s="5" t="inlineStr">
        <is>
          <t>Relevant to page intent</t>
        </is>
      </c>
      <c r="N286" s="5" t="inlineStr">
        <is>
          <t>Sauter des niveaux de titres crée une structure de contenu illogique qui confond à la fois les utilisateurs et les moteurs de recherche. Cela crée également des problèmes d'accessibilité pour les util</t>
        </is>
      </c>
      <c r="O286" t="inlineStr">
        <is>
          <t>P3</t>
        </is>
      </c>
      <c r="P286" t="inlineStr">
        <is>
          <t>Visible only (no FAQPage schema)</t>
        </is>
      </c>
    </row>
    <row r="287">
      <c r="A287" s="3" t="inlineStr">
        <is>
          <t>https://codesommet.com/tools/heading-analyzer</t>
        </is>
      </c>
      <c r="B287" t="inlineStr">
        <is>
          <t>Existing</t>
        </is>
      </c>
      <c r="C287" s="5" t="inlineStr">
        <is>
          <t>Dois-je inclure des mots-clés dans mes titres ?</t>
        </is>
      </c>
      <c r="D287" t="inlineStr">
        <is>
          <t>balise h1</t>
        </is>
      </c>
      <c r="E287" t="inlineStr">
        <is>
          <t>fr</t>
        </is>
      </c>
      <c r="F287" s="5" t="inlineStr"/>
      <c r="G287" t="n">
        <v>390</v>
      </c>
      <c r="H287" t="n">
        <v>18</v>
      </c>
      <c r="I287" t="inlineStr">
        <is>
          <t>Service scope</t>
        </is>
      </c>
      <c r="J287" t="inlineStr">
        <is>
          <t>MEASURED</t>
        </is>
      </c>
      <c r="K287">
        <f>ROUND(IF(ISNUMBER(G287),MIN(50,ROUND(50*LOG10(G287+1)/4,1)),5)+IF(ISNUMBER(H287),ROUND(30*(100-H287)/100,1),15)+IF(B287="New",20,10),0)</f>
        <v/>
      </c>
      <c r="L287" t="inlineStr">
        <is>
          <t>KEEP</t>
        </is>
      </c>
      <c r="M287" s="5" t="inlineStr">
        <is>
          <t>Relevant to page intent</t>
        </is>
      </c>
      <c r="N287" s="5" t="inlineStr">
        <is>
          <t>Oui, mais naturellement. Incluez vos mots-clés cibles dans les titres (surtout H1 et H2) là où ils ont du sens et décrivent précisément le contenu. Évitez le bourrage de mots-clés — les titres doivent</t>
        </is>
      </c>
      <c r="O287" t="inlineStr">
        <is>
          <t>P3</t>
        </is>
      </c>
      <c r="P287" t="inlineStr">
        <is>
          <t>Visible only (no FAQPage schema)</t>
        </is>
      </c>
    </row>
    <row r="288">
      <c r="A288" s="3" t="inlineStr">
        <is>
          <t>https://codesommet.com/tools/heading-analyzer</t>
        </is>
      </c>
      <c r="B288" t="inlineStr">
        <is>
          <t>Existing</t>
        </is>
      </c>
      <c r="C288" s="5" t="inlineStr">
        <is>
          <t>Comment les titres aident-ils l'accessibilité ?</t>
        </is>
      </c>
      <c r="D288" t="inlineStr">
        <is>
          <t>balise h1</t>
        </is>
      </c>
      <c r="E288" t="inlineStr">
        <is>
          <t>fr</t>
        </is>
      </c>
      <c r="F288" s="5" t="inlineStr"/>
      <c r="G288" t="n">
        <v>390</v>
      </c>
      <c r="H288" t="n">
        <v>18</v>
      </c>
      <c r="I288" t="inlineStr">
        <is>
          <t>Service scope</t>
        </is>
      </c>
      <c r="J288" t="inlineStr">
        <is>
          <t>MEASURED</t>
        </is>
      </c>
      <c r="K288">
        <f>ROUND(IF(ISNUMBER(G288),MIN(50,ROUND(50*LOG10(G288+1)/4,1)),5)+IF(ISNUMBER(H288),ROUND(30*(100-H288)/100,1),15)+IF(B288="New",20,10),0)</f>
        <v/>
      </c>
      <c r="L288" t="inlineStr">
        <is>
          <t>KEEP</t>
        </is>
      </c>
      <c r="M288" s="5" t="inlineStr">
        <is>
          <t>Relevant to page intent</t>
        </is>
      </c>
      <c r="N288" s="5" t="inlineStr">
        <is>
          <t>Les utilisateurs de lecteurs d'écran s'appuient sur la structure des titres pour naviguer et comprendre le contenu web. Une hiérarchie de titres appropriée leur permet de passer d'une section à l'autr</t>
        </is>
      </c>
      <c r="O288" t="inlineStr">
        <is>
          <t>P3</t>
        </is>
      </c>
      <c r="P288" t="inlineStr">
        <is>
          <t>Visible only (no FAQPage schema)</t>
        </is>
      </c>
    </row>
    <row r="289">
      <c r="A289" s="3" t="inlineStr">
        <is>
          <t>https://codesommet.com/tools/heading-analyzer</t>
        </is>
      </c>
      <c r="B289" t="inlineStr">
        <is>
          <t>Existing</t>
        </is>
      </c>
      <c r="C289" s="5" t="inlineStr">
        <is>
          <t>Quelles sont les erreurs courantes de structure de titres ?</t>
        </is>
      </c>
      <c r="D289" t="inlineStr">
        <is>
          <t>structure hn</t>
        </is>
      </c>
      <c r="E289" t="inlineStr">
        <is>
          <t>fr</t>
        </is>
      </c>
      <c r="F289" s="5" t="inlineStr"/>
      <c r="G289" t="n">
        <v>70</v>
      </c>
      <c r="H289" t="n">
        <v>8</v>
      </c>
      <c r="I289" t="inlineStr">
        <is>
          <t>Service scope</t>
        </is>
      </c>
      <c r="J289" t="inlineStr">
        <is>
          <t>MEASURED</t>
        </is>
      </c>
      <c r="K289">
        <f>ROUND(IF(ISNUMBER(G289),MIN(50,ROUND(50*LOG10(G289+1)/4,1)),5)+IF(ISNUMBER(H289),ROUND(30*(100-H289)/100,1),15)+IF(B289="New",20,10),0)</f>
        <v/>
      </c>
      <c r="L289" t="inlineStr">
        <is>
          <t>KEEP</t>
        </is>
      </c>
      <c r="M289" s="5" t="inlineStr">
        <is>
          <t>Relevant to page intent</t>
        </is>
      </c>
      <c r="N289" s="5" t="inlineStr">
        <is>
          <t>Les erreurs les plus courantes sont : utiliser plusieurs H1, sauter des niveaux de titres, utiliser des titres pour le style au lieu de la signification sémantique, n'avoir aucun titre, et utiliser tr</t>
        </is>
      </c>
      <c r="O289" t="inlineStr">
        <is>
          <t>P3</t>
        </is>
      </c>
      <c r="P289" t="inlineStr">
        <is>
          <t>Visible only (no FAQPage schema)</t>
        </is>
      </c>
    </row>
    <row r="290">
      <c r="A290" s="3" t="inlineStr">
        <is>
          <t>https://codesommet.com/tools/heading-analyzer</t>
        </is>
      </c>
      <c r="B290" t="inlineStr">
        <is>
          <t>Existing</t>
        </is>
      </c>
      <c r="C290" s="5" t="inlineStr">
        <is>
          <t>Comment corriger les problèmes de structure de titres ?</t>
        </is>
      </c>
      <c r="D290" t="inlineStr">
        <is>
          <t>structure hn</t>
        </is>
      </c>
      <c r="E290" t="inlineStr">
        <is>
          <t>fr</t>
        </is>
      </c>
      <c r="F290" s="5" t="inlineStr"/>
      <c r="G290" t="n">
        <v>70</v>
      </c>
      <c r="H290" t="n">
        <v>8</v>
      </c>
      <c r="I290" t="inlineStr">
        <is>
          <t>Service scope</t>
        </is>
      </c>
      <c r="J290" t="inlineStr">
        <is>
          <t>MEASURED</t>
        </is>
      </c>
      <c r="K290">
        <f>ROUND(IF(ISNUMBER(G290),MIN(50,ROUND(50*LOG10(G290+1)/4,1)),5)+IF(ISNUMBER(H290),ROUND(30*(100-H290)/100,1),15)+IF(B290="New",20,10),0)</f>
        <v/>
      </c>
      <c r="L290" t="inlineStr">
        <is>
          <t>KEEP</t>
        </is>
      </c>
      <c r="M290" s="5" t="inlineStr">
        <is>
          <t>Relevant to page intent</t>
        </is>
      </c>
      <c r="N290" s="5" t="inlineStr">
        <is>
          <t>D'abord, assurez-vous d'avoir exactement un H1. Ensuite, vérifiez que tous les titres suivent un ordre séquentiel sans sauter de niveaux. Passez en revue chaque titre pour vous assurer qu'il décrit pr</t>
        </is>
      </c>
      <c r="O290" t="inlineStr">
        <is>
          <t>P3</t>
        </is>
      </c>
      <c r="P290" t="inlineStr">
        <is>
          <t>Visible only (no FAQPage schema)</t>
        </is>
      </c>
    </row>
    <row r="291">
      <c r="A291" s="3" t="inlineStr">
        <is>
          <t>https://codesommet.com/tools/hreflang-generator</t>
        </is>
      </c>
      <c r="B291" t="inlineStr">
        <is>
          <t>Existing</t>
        </is>
      </c>
      <c r="C291" s="5" t="inlineStr">
        <is>
          <t>Que sont les balises hreflang et pourquoi en ai-je besoin ?</t>
        </is>
      </c>
      <c r="D291" t="inlineStr">
        <is>
          <t>hreflang</t>
        </is>
      </c>
      <c r="E291" t="inlineStr">
        <is>
          <t>fr</t>
        </is>
      </c>
      <c r="F291" s="5" t="inlineStr"/>
      <c r="G291" t="n">
        <v>880</v>
      </c>
      <c r="H291" t="n">
        <v>29</v>
      </c>
      <c r="I291" t="inlineStr">
        <is>
          <t>Definition / how it works</t>
        </is>
      </c>
      <c r="J291" t="inlineStr">
        <is>
          <t>MEASURED</t>
        </is>
      </c>
      <c r="K291">
        <f>ROUND(IF(ISNUMBER(G291),MIN(50,ROUND(50*LOG10(G291+1)/4,1)),5)+IF(ISNUMBER(H291),ROUND(30*(100-H291)/100,1),15)+IF(B291="New",20,10),0)</f>
        <v/>
      </c>
      <c r="L291" t="inlineStr">
        <is>
          <t>KEEP</t>
        </is>
      </c>
      <c r="M291" s="5" t="inlineStr">
        <is>
          <t>Relevant to page intent</t>
        </is>
      </c>
      <c r="N291" s="5" t="inlineStr">
        <is>
          <t>Les balises hreflang indiquent aux moteurs de recherche quelle version linguistique et régionale d'une page afficher aux utilisateurs en fonction de leur localisation et de leurs préférences linguisti</t>
        </is>
      </c>
      <c r="O291" t="inlineStr">
        <is>
          <t>P3</t>
        </is>
      </c>
      <c r="P291" t="inlineStr">
        <is>
          <t>Visible only (no FAQPage schema)</t>
        </is>
      </c>
    </row>
    <row r="292">
      <c r="A292" s="3" t="inlineStr">
        <is>
          <t>https://codesommet.com/tools/hreflang-generator</t>
        </is>
      </c>
      <c r="B292" t="inlineStr">
        <is>
          <t>Existing</t>
        </is>
      </c>
      <c r="C292" s="5" t="inlineStr">
        <is>
          <t>Quelle différence entre codes de langue (en) et codes régionaux (en-US) ?</t>
        </is>
      </c>
      <c r="D292" t="inlineStr">
        <is>
          <t>hreflang</t>
        </is>
      </c>
      <c r="E292" t="inlineStr">
        <is>
          <t>fr</t>
        </is>
      </c>
      <c r="F292" s="5" t="inlineStr"/>
      <c r="G292" t="n">
        <v>880</v>
      </c>
      <c r="H292" t="n">
        <v>29</v>
      </c>
      <c r="I292" t="inlineStr">
        <is>
          <t>Differentiation</t>
        </is>
      </c>
      <c r="J292" t="inlineStr">
        <is>
          <t>MEASURED</t>
        </is>
      </c>
      <c r="K292">
        <f>ROUND(IF(ISNUMBER(G292),MIN(50,ROUND(50*LOG10(G292+1)/4,1)),5)+IF(ISNUMBER(H292),ROUND(30*(100-H292)/100,1),15)+IF(B292="New",20,10),0)</f>
        <v/>
      </c>
      <c r="L292" t="inlineStr">
        <is>
          <t>KEEP</t>
        </is>
      </c>
      <c r="M292" s="5" t="inlineStr">
        <is>
          <t>Relevant to page intent</t>
        </is>
      </c>
      <c r="N292" s="5" t="inlineStr">
        <is>
          <t>Les codes de langue uniquement (en, es, fr) ciblent tous les locuteurs de cette langue quelle que soit leur localisation. Les codes régionaux (en-US, en-GB) ciblent des variations nationales spécifiqu</t>
        </is>
      </c>
      <c r="O292" t="inlineStr">
        <is>
          <t>P3</t>
        </is>
      </c>
      <c r="P292" t="inlineStr">
        <is>
          <t>Visible only (no FAQPage schema)</t>
        </is>
      </c>
    </row>
    <row r="293">
      <c r="A293" s="3" t="inlineStr">
        <is>
          <t>https://codesommet.com/tools/hreflang-generator</t>
        </is>
      </c>
      <c r="B293" t="inlineStr">
        <is>
          <t>Existing</t>
        </is>
      </c>
      <c r="C293" s="5" t="inlineStr">
        <is>
          <t>Qu'est-ce que x-default et quand l'utiliser ?</t>
        </is>
      </c>
      <c r="D293" t="inlineStr">
        <is>
          <t>combien de temps pour créer un site internet</t>
        </is>
      </c>
      <c r="E293" t="inlineStr">
        <is>
          <t>fr</t>
        </is>
      </c>
      <c r="F293" s="5" t="inlineStr"/>
      <c r="G293" t="n">
        <v>90</v>
      </c>
      <c r="H293" t="n">
        <v>13</v>
      </c>
      <c r="I293" t="inlineStr">
        <is>
          <t>Timeline</t>
        </is>
      </c>
      <c r="J293" t="inlineStr">
        <is>
          <t>MEASURED</t>
        </is>
      </c>
      <c r="K293">
        <f>ROUND(IF(ISNUMBER(G293),MIN(50,ROUND(50*LOG10(G293+1)/4,1)),5)+IF(ISNUMBER(H293),ROUND(30*(100-H293)/100,1),15)+IF(B293="New",20,10),0)</f>
        <v/>
      </c>
      <c r="L293" t="inlineStr">
        <is>
          <t>KEEP</t>
        </is>
      </c>
      <c r="M293" s="5" t="inlineStr">
        <is>
          <t>Matches measured pre-purchase demand</t>
        </is>
      </c>
      <c r="N293" s="5" t="inlineStr">
        <is>
          <t>x-default est une URL de repli que Google affiche aux utilisateurs dont les préférences linguistiques ne correspondent à aucune de vos variations hreflang. C'est une bonne pratique de toujours inclure</t>
        </is>
      </c>
      <c r="O293" t="inlineStr">
        <is>
          <t>P3</t>
        </is>
      </c>
      <c r="P293" t="inlineStr">
        <is>
          <t>Visible only (no FAQPage schema)</t>
        </is>
      </c>
    </row>
    <row r="294">
      <c r="A294" s="3" t="inlineStr">
        <is>
          <t>https://codesommet.com/tools/hreflang-generator</t>
        </is>
      </c>
      <c r="B294" t="inlineStr">
        <is>
          <t>Existing</t>
        </is>
      </c>
      <c r="C294" s="5" t="inlineStr">
        <is>
          <t>Dois-je utiliser des balises HTML ou des en-têtes HTTP pour hreflang ?</t>
        </is>
      </c>
      <c r="D294" t="inlineStr">
        <is>
          <t>hreflang</t>
        </is>
      </c>
      <c r="E294" t="inlineStr">
        <is>
          <t>fr</t>
        </is>
      </c>
      <c r="F294" s="5" t="inlineStr"/>
      <c r="G294" t="n">
        <v>880</v>
      </c>
      <c r="H294" t="n">
        <v>29</v>
      </c>
      <c r="I294" t="inlineStr">
        <is>
          <t>Service scope</t>
        </is>
      </c>
      <c r="J294" t="inlineStr">
        <is>
          <t>MEASURED</t>
        </is>
      </c>
      <c r="K294">
        <f>ROUND(IF(ISNUMBER(G294),MIN(50,ROUND(50*LOG10(G294+1)/4,1)),5)+IF(ISNUMBER(H294),ROUND(30*(100-H294)/100,1),15)+IF(B294="New",20,10),0)</f>
        <v/>
      </c>
      <c r="L294" t="inlineStr">
        <is>
          <t>KEEP</t>
        </is>
      </c>
      <c r="M294" s="5" t="inlineStr">
        <is>
          <t>Relevant to page intent</t>
        </is>
      </c>
      <c r="N294" s="5" t="inlineStr">
        <is>
          <t xml:space="preserve">Les balises HTML (dans la section ) sont les plus courantes et les plus faciles à implémenter. Les en-têtes HTTP sont utiles pour les fichiers non-HTML comme les PDF. Les deux méthodes sont également </t>
        </is>
      </c>
      <c r="O294" t="inlineStr">
        <is>
          <t>P3</t>
        </is>
      </c>
      <c r="P294" t="inlineStr">
        <is>
          <t>Visible only (no FAQPage schema)</t>
        </is>
      </c>
    </row>
    <row r="295">
      <c r="A295" s="3" t="inlineStr">
        <is>
          <t>https://codesommet.com/tools/hreflang-generator</t>
        </is>
      </c>
      <c r="B295" t="inlineStr">
        <is>
          <t>Existing</t>
        </is>
      </c>
      <c r="C295" s="5" t="inlineStr">
        <is>
          <t>Dois-je ajouter des balises hreflang à chaque version ?</t>
        </is>
      </c>
      <c r="D295" t="inlineStr">
        <is>
          <t>hreflang</t>
        </is>
      </c>
      <c r="E295" t="inlineStr">
        <is>
          <t>fr</t>
        </is>
      </c>
      <c r="F295" s="5" t="inlineStr"/>
      <c r="G295" t="n">
        <v>880</v>
      </c>
      <c r="H295" t="n">
        <v>29</v>
      </c>
      <c r="I295" t="inlineStr">
        <is>
          <t>Service scope</t>
        </is>
      </c>
      <c r="J295" t="inlineStr">
        <is>
          <t>MEASURED</t>
        </is>
      </c>
      <c r="K295">
        <f>ROUND(IF(ISNUMBER(G295),MIN(50,ROUND(50*LOG10(G295+1)/4,1)),5)+IF(ISNUMBER(H295),ROUND(30*(100-H295)/100,1),15)+IF(B295="New",20,10),0)</f>
        <v/>
      </c>
      <c r="L295" t="inlineStr">
        <is>
          <t>KEEP</t>
        </is>
      </c>
      <c r="M295" s="5" t="inlineStr">
        <is>
          <t>Relevant to page intent</t>
        </is>
      </c>
      <c r="N295" s="5" t="inlineStr">
        <is>
          <t xml:space="preserve">Oui ! Chaque version linguistique doit inclure l'ensemble complet des balises hreflang pointant vers toutes les autres versions ET vers elle-même. C'est ce qu'on appelle le lien bidirectionnel. Si la </t>
        </is>
      </c>
      <c r="O295" t="inlineStr">
        <is>
          <t>P3</t>
        </is>
      </c>
      <c r="P295" t="inlineStr">
        <is>
          <t>Visible only (no FAQPage schema)</t>
        </is>
      </c>
    </row>
    <row r="296">
      <c r="A296" s="3" t="inlineStr">
        <is>
          <t>https://codesommet.com/tools/hreflang-generator</t>
        </is>
      </c>
      <c r="B296" t="inlineStr">
        <is>
          <t>Existing</t>
        </is>
      </c>
      <c r="C296" s="5" t="inlineStr">
        <is>
          <t>Comment vérifier que mon implémentation hreflang est correcte ?</t>
        </is>
      </c>
      <c r="D296" t="inlineStr">
        <is>
          <t>hreflang</t>
        </is>
      </c>
      <c r="E296" t="inlineStr">
        <is>
          <t>fr</t>
        </is>
      </c>
      <c r="F296" s="5" t="inlineStr"/>
      <c r="G296" t="n">
        <v>880</v>
      </c>
      <c r="H296" t="n">
        <v>29</v>
      </c>
      <c r="I296" t="inlineStr">
        <is>
          <t>Service scope</t>
        </is>
      </c>
      <c r="J296" t="inlineStr">
        <is>
          <t>MEASURED</t>
        </is>
      </c>
      <c r="K296">
        <f>ROUND(IF(ISNUMBER(G296),MIN(50,ROUND(50*LOG10(G296+1)/4,1)),5)+IF(ISNUMBER(H296),ROUND(30*(100-H296)/100,1),15)+IF(B296="New",20,10),0)</f>
        <v/>
      </c>
      <c r="L296" t="inlineStr">
        <is>
          <t>KEEP</t>
        </is>
      </c>
      <c r="M296" s="5" t="inlineStr">
        <is>
          <t>Relevant to page intent</t>
        </is>
      </c>
      <c r="N296" s="5" t="inlineStr">
        <is>
          <t xml:space="preserve">Utilisez le rapport de Ciblage international de Google Search Console pour vérifier les erreurs hreflang. Les problèmes courants incluent les liens retour manquants, les codes de langue incorrects ou </t>
        </is>
      </c>
      <c r="O296" t="inlineStr">
        <is>
          <t>P3</t>
        </is>
      </c>
      <c r="P296" t="inlineStr">
        <is>
          <t>Visible only (no FAQPage schema)</t>
        </is>
      </c>
    </row>
    <row r="297">
      <c r="A297" s="3" t="inlineStr">
        <is>
          <t>https://codesommet.com/tools/hreflang-generator</t>
        </is>
      </c>
      <c r="B297" t="inlineStr">
        <is>
          <t>Existing</t>
        </is>
      </c>
      <c r="C297" s="5" t="inlineStr">
        <is>
          <t>Quelles sont les erreurs hreflang les plus courantes ?</t>
        </is>
      </c>
      <c r="D297" t="inlineStr">
        <is>
          <t>hreflang</t>
        </is>
      </c>
      <c r="E297" t="inlineStr">
        <is>
          <t>fr</t>
        </is>
      </c>
      <c r="F297" s="5" t="inlineStr"/>
      <c r="G297" t="n">
        <v>880</v>
      </c>
      <c r="H297" t="n">
        <v>29</v>
      </c>
      <c r="I297" t="inlineStr">
        <is>
          <t>Service scope</t>
        </is>
      </c>
      <c r="J297" t="inlineStr">
        <is>
          <t>MEASURED</t>
        </is>
      </c>
      <c r="K297">
        <f>ROUND(IF(ISNUMBER(G297),MIN(50,ROUND(50*LOG10(G297+1)/4,1)),5)+IF(ISNUMBER(H297),ROUND(30*(100-H297)/100,1),15)+IF(B297="New",20,10),0)</f>
        <v/>
      </c>
      <c r="L297" t="inlineStr">
        <is>
          <t>KEEP</t>
        </is>
      </c>
      <c r="M297" s="5" t="inlineStr">
        <is>
          <t>Relevant to page intent</t>
        </is>
      </c>
      <c r="N297" s="5" t="inlineStr">
        <is>
          <t>Les erreurs courantes incluent : utiliser des URL relatives au lieu d'URL absolues, les liens auto-référentiels manquants (la page ne se référence pas elle-même), les codes de langue incorrects, ne pa</t>
        </is>
      </c>
      <c r="O297" t="inlineStr">
        <is>
          <t>P3</t>
        </is>
      </c>
      <c r="P297" t="inlineStr">
        <is>
          <t>Visible only (no FAQPage schema)</t>
        </is>
      </c>
    </row>
    <row r="298">
      <c r="A298" s="3" t="inlineStr">
        <is>
          <t>https://codesommet.com/tools/html-minifier</t>
        </is>
      </c>
      <c r="B298" t="inlineStr">
        <is>
          <t>Existing</t>
        </is>
      </c>
      <c r="C298" s="5" t="inlineStr">
        <is>
          <t>Qu'est-ce que la minification de code et pourquoi est-ce important ?</t>
        </is>
      </c>
      <c r="D298" t="inlineStr">
        <is>
          <t>html minifier</t>
        </is>
      </c>
      <c r="E298" t="inlineStr">
        <is>
          <t>fr</t>
        </is>
      </c>
      <c r="F298" s="5" t="inlineStr"/>
      <c r="G298" t="n">
        <v>260</v>
      </c>
      <c r="H298" t="n">
        <v>29</v>
      </c>
      <c r="I298" t="inlineStr">
        <is>
          <t>Definition / how it works</t>
        </is>
      </c>
      <c r="J298" t="inlineStr">
        <is>
          <t>MEASURED</t>
        </is>
      </c>
      <c r="K298">
        <f>ROUND(IF(ISNUMBER(G298),MIN(50,ROUND(50*LOG10(G298+1)/4,1)),5)+IF(ISNUMBER(H298),ROUND(30*(100-H298)/100,1),15)+IF(B298="New",20,10),0)</f>
        <v/>
      </c>
      <c r="L298" t="inlineStr">
        <is>
          <t>KEEP</t>
        </is>
      </c>
      <c r="M298" s="5" t="inlineStr">
        <is>
          <t>Relevant to page intent</t>
        </is>
      </c>
      <c r="N298" s="5" t="inlineStr">
        <is>
          <t>La minification de code est le processus de suppression des caractères inutiles du code (espaces blancs, commentaires, retours à la ligne) sans modifier sa fonctionnalité. C'est crucial pour améliorer</t>
        </is>
      </c>
      <c r="O298" t="inlineStr">
        <is>
          <t>P3</t>
        </is>
      </c>
      <c r="P298" t="inlineStr">
        <is>
          <t>Visible only (no FAQPage schema)</t>
        </is>
      </c>
    </row>
    <row r="299">
      <c r="A299" s="3" t="inlineStr">
        <is>
          <t>https://codesommet.com/tools/html-minifier</t>
        </is>
      </c>
      <c r="B299" t="inlineStr">
        <is>
          <t>Existing</t>
        </is>
      </c>
      <c r="C299" s="5" t="inlineStr">
        <is>
          <t>De combien la minification peut-elle réduire la taille de mes fichiers ?</t>
        </is>
      </c>
      <c r="D299" t="inlineStr">
        <is>
          <t>html minifier</t>
        </is>
      </c>
      <c r="E299" t="inlineStr">
        <is>
          <t>fr</t>
        </is>
      </c>
      <c r="F299" s="5" t="inlineStr"/>
      <c r="G299" t="n">
        <v>260</v>
      </c>
      <c r="H299" t="n">
        <v>29</v>
      </c>
      <c r="I299" t="inlineStr">
        <is>
          <t>Service scope</t>
        </is>
      </c>
      <c r="J299" t="inlineStr">
        <is>
          <t>MEASURED</t>
        </is>
      </c>
      <c r="K299">
        <f>ROUND(IF(ISNUMBER(G299),MIN(50,ROUND(50*LOG10(G299+1)/4,1)),5)+IF(ISNUMBER(H299),ROUND(30*(100-H299)/100,1),15)+IF(B299="New",20,10),0)</f>
        <v/>
      </c>
      <c r="L299" t="inlineStr">
        <is>
          <t>KEEP</t>
        </is>
      </c>
      <c r="M299" s="5" t="inlineStr">
        <is>
          <t>Relevant to page intent</t>
        </is>
      </c>
      <c r="N299" s="5" t="inlineStr">
        <is>
          <t>La minification réduit généralement les fichiers HTML de 10 à 20%, le CSS de 15 à 30% et le JavaScript de 30 à 50%. La réduction réelle dépend de votre style de codage et de la quantité d'espaces blan</t>
        </is>
      </c>
      <c r="O299" t="inlineStr">
        <is>
          <t>P3</t>
        </is>
      </c>
      <c r="P299" t="inlineStr">
        <is>
          <t>Visible only (no FAQPage schema)</t>
        </is>
      </c>
    </row>
    <row r="300">
      <c r="A300" s="3" t="inlineStr">
        <is>
          <t>https://codesommet.com/tools/html-minifier</t>
        </is>
      </c>
      <c r="B300" t="inlineStr">
        <is>
          <t>Existing</t>
        </is>
      </c>
      <c r="C300" s="5" t="inlineStr">
        <is>
          <t>La minification va-t-elle casser mon code ou changer sa fonctionnalité ?</t>
        </is>
      </c>
      <c r="D300" t="inlineStr">
        <is>
          <t>html minifier</t>
        </is>
      </c>
      <c r="E300" t="inlineStr">
        <is>
          <t>fr</t>
        </is>
      </c>
      <c r="F300" s="5" t="inlineStr"/>
      <c r="G300" t="n">
        <v>260</v>
      </c>
      <c r="H300" t="n">
        <v>29</v>
      </c>
      <c r="I300" t="inlineStr">
        <is>
          <t>Service scope</t>
        </is>
      </c>
      <c r="J300" t="inlineStr">
        <is>
          <t>MEASURED</t>
        </is>
      </c>
      <c r="K300">
        <f>ROUND(IF(ISNUMBER(G300),MIN(50,ROUND(50*LOG10(G300+1)/4,1)),5)+IF(ISNUMBER(H300),ROUND(30*(100-H300)/100,1),15)+IF(B300="New",20,10),0)</f>
        <v/>
      </c>
      <c r="L300" t="inlineStr">
        <is>
          <t>KEEP</t>
        </is>
      </c>
      <c r="M300" s="5" t="inlineStr">
        <is>
          <t>Relevant to page intent</t>
        </is>
      </c>
      <c r="N300" s="5" t="inlineStr">
        <is>
          <t xml:space="preserve">Non, une minification correcte ne supprime que les caractères et le formatage inutiles tout en préservant la fonctionnalité exacte de votre code. Notre outil est conçu pour minifier en toute sécurité </t>
        </is>
      </c>
      <c r="O300" t="inlineStr">
        <is>
          <t>P3</t>
        </is>
      </c>
      <c r="P300" t="inlineStr">
        <is>
          <t>Visible only (no FAQPage schema)</t>
        </is>
      </c>
    </row>
    <row r="301">
      <c r="A301" s="3" t="inlineStr">
        <is>
          <t>https://codesommet.com/tools/html-minifier</t>
        </is>
      </c>
      <c r="B301" t="inlineStr">
        <is>
          <t>Existing</t>
        </is>
      </c>
      <c r="C301" s="5" t="inlineStr">
        <is>
          <t>Quelle est la différence entre les fichiers minifiés et gzippés ?</t>
        </is>
      </c>
      <c r="D301" t="inlineStr">
        <is>
          <t>html minifier</t>
        </is>
      </c>
      <c r="E301" t="inlineStr">
        <is>
          <t>fr</t>
        </is>
      </c>
      <c r="F301" s="5" t="inlineStr"/>
      <c r="G301" t="n">
        <v>260</v>
      </c>
      <c r="H301" t="n">
        <v>29</v>
      </c>
      <c r="I301" t="inlineStr">
        <is>
          <t>Differentiation</t>
        </is>
      </c>
      <c r="J301" t="inlineStr">
        <is>
          <t>MEASURED</t>
        </is>
      </c>
      <c r="K301">
        <f>ROUND(IF(ISNUMBER(G301),MIN(50,ROUND(50*LOG10(G301+1)/4,1)),5)+IF(ISNUMBER(H301),ROUND(30*(100-H301)/100,1),15)+IF(B301="New",20,10),0)</f>
        <v/>
      </c>
      <c r="L301" t="inlineStr">
        <is>
          <t>KEEP</t>
        </is>
      </c>
      <c r="M301" s="5" t="inlineStr">
        <is>
          <t>Relevant to page intent</t>
        </is>
      </c>
      <c r="N301" s="5" t="inlineStr">
        <is>
          <t>La minification supprime les caractères inutiles de votre code source (un processus unique), tandis que gzip est un algorithme de compression appliqué par les serveurs lors du transfert de fichiers. L</t>
        </is>
      </c>
      <c r="O301" t="inlineStr">
        <is>
          <t>P3</t>
        </is>
      </c>
      <c r="P301" t="inlineStr">
        <is>
          <t>Visible only (no FAQPage schema)</t>
        </is>
      </c>
    </row>
    <row r="302">
      <c r="A302" s="3" t="inlineStr">
        <is>
          <t>https://codesommet.com/tools/html-minifier</t>
        </is>
      </c>
      <c r="B302" t="inlineStr">
        <is>
          <t>Existing</t>
        </is>
      </c>
      <c r="C302" s="5" t="inlineStr">
        <is>
          <t>Dois-je utiliser du code minifié en développement ou seulement en production ?</t>
        </is>
      </c>
      <c r="D302" t="inlineStr">
        <is>
          <t>html minifier</t>
        </is>
      </c>
      <c r="E302" t="inlineStr">
        <is>
          <t>fr</t>
        </is>
      </c>
      <c r="F302" s="5" t="inlineStr"/>
      <c r="G302" t="n">
        <v>260</v>
      </c>
      <c r="H302" t="n">
        <v>29</v>
      </c>
      <c r="I302" t="inlineStr">
        <is>
          <t>Service scope</t>
        </is>
      </c>
      <c r="J302" t="inlineStr">
        <is>
          <t>MEASURED</t>
        </is>
      </c>
      <c r="K302">
        <f>ROUND(IF(ISNUMBER(G302),MIN(50,ROUND(50*LOG10(G302+1)/4,1)),5)+IF(ISNUMBER(H302),ROUND(30*(100-H302)/100,1),15)+IF(B302="New",20,10),0)</f>
        <v/>
      </c>
      <c r="L302" t="inlineStr">
        <is>
          <t>KEEP</t>
        </is>
      </c>
      <c r="M302" s="5" t="inlineStr">
        <is>
          <t>Relevant to page intent</t>
        </is>
      </c>
      <c r="N302" s="5" t="inlineStr">
        <is>
          <t>Utilisez toujours le code original non minifié pendant le développement pour un débogage et une lisibilité plus faciles. Ne déployez le code minifié que dans les environnements de production. Conserve</t>
        </is>
      </c>
      <c r="O302" t="inlineStr">
        <is>
          <t>P3</t>
        </is>
      </c>
      <c r="P302" t="inlineStr">
        <is>
          <t>Visible only (no FAQPage schema)</t>
        </is>
      </c>
    </row>
    <row r="303">
      <c r="A303" s="3" t="inlineStr">
        <is>
          <t>https://codesommet.com/tools/html-minifier</t>
        </is>
      </c>
      <c r="B303" t="inlineStr">
        <is>
          <t>Existing</t>
        </is>
      </c>
      <c r="C303" s="5" t="inlineStr">
        <is>
          <t>La minification améliore-t-elle le SEO et les Core Web Vitals ?</t>
        </is>
      </c>
      <c r="D303" t="inlineStr">
        <is>
          <t>agence seo maroc</t>
        </is>
      </c>
      <c r="E303" t="inlineStr">
        <is>
          <t>ma</t>
        </is>
      </c>
      <c r="F303" s="5" t="inlineStr"/>
      <c r="G303" t="n">
        <v>880</v>
      </c>
      <c r="H303" t="n">
        <v>44</v>
      </c>
      <c r="I303" t="inlineStr">
        <is>
          <t>SEO</t>
        </is>
      </c>
      <c r="J303" t="inlineStr">
        <is>
          <t>MEASURED</t>
        </is>
      </c>
      <c r="K303">
        <f>ROUND(IF(ISNUMBER(G303),MIN(50,ROUND(50*LOG10(G303+1)/4,1)),5)+IF(ISNUMBER(H303),ROUND(30*(100-H303)/100,1),15)+IF(B303="New",20,10),0)</f>
        <v/>
      </c>
      <c r="L303" t="inlineStr">
        <is>
          <t>KEEP</t>
        </is>
      </c>
      <c r="M303" s="5" t="inlineStr">
        <is>
          <t>Relevant to page intent</t>
        </is>
      </c>
      <c r="N303" s="5" t="inlineStr">
        <is>
          <t>Oui ! Les fichiers minifiés se chargent plus rapidement, ce qui améliore directement les métriques Core Web Vitals comme le Largest Contentful Paint (LCP) et le Total Blocking Time (TBT). Google consi</t>
        </is>
      </c>
      <c r="O303" t="inlineStr">
        <is>
          <t>P3</t>
        </is>
      </c>
      <c r="P303" t="inlineStr">
        <is>
          <t>Visible only (no FAQPage schema)</t>
        </is>
      </c>
    </row>
    <row r="304">
      <c r="A304" s="3" t="inlineStr">
        <is>
          <t>https://codesommet.com/tools/html-minifier</t>
        </is>
      </c>
      <c r="B304" t="inlineStr">
        <is>
          <t>Existing</t>
        </is>
      </c>
      <c r="C304" s="5" t="inlineStr">
        <is>
          <t>Quand dois-je minifier mon code ?</t>
        </is>
      </c>
      <c r="D304" t="inlineStr">
        <is>
          <t>html minifier</t>
        </is>
      </c>
      <c r="E304" t="inlineStr">
        <is>
          <t>fr</t>
        </is>
      </c>
      <c r="F304" s="5" t="inlineStr"/>
      <c r="G304" t="n">
        <v>260</v>
      </c>
      <c r="H304" t="n">
        <v>29</v>
      </c>
      <c r="I304" t="inlineStr">
        <is>
          <t>Timeline</t>
        </is>
      </c>
      <c r="J304" t="inlineStr">
        <is>
          <t>MEASURED</t>
        </is>
      </c>
      <c r="K304">
        <f>ROUND(IF(ISNUMBER(G304),MIN(50,ROUND(50*LOG10(G304+1)/4,1)),5)+IF(ISNUMBER(H304),ROUND(30*(100-H304)/100,1),15)+IF(B304="New",20,10),0)</f>
        <v/>
      </c>
      <c r="L304" t="inlineStr">
        <is>
          <t>KEEP</t>
        </is>
      </c>
      <c r="M304" s="5" t="inlineStr">
        <is>
          <t>Matches measured pre-purchase demand</t>
        </is>
      </c>
      <c r="N304" s="5" t="inlineStr">
        <is>
          <t>Minifiez votre HTML, CSS et JavaScript avant de déployer en production, surtout pour les sites web publics. C'est essentiel pour les pages d'atterrissage, les sites e-commerce et les pages à fort traf</t>
        </is>
      </c>
      <c r="O304" t="inlineStr">
        <is>
          <t>P3</t>
        </is>
      </c>
      <c r="P304" t="inlineStr">
        <is>
          <t>Visible only (no FAQPage schema)</t>
        </is>
      </c>
    </row>
    <row r="305">
      <c r="A305" s="3" t="inlineStr">
        <is>
          <t>https://codesommet.com/tools/html-to-text</t>
        </is>
      </c>
      <c r="B305" t="inlineStr">
        <is>
          <t>Existing</t>
        </is>
      </c>
      <c r="C305" s="5" t="inlineStr">
        <is>
          <t>Pourquoi aurais-je besoin de convertir du HTML en texte brut ?</t>
        </is>
      </c>
      <c r="D305" t="inlineStr">
        <is>
          <t>html en texte</t>
        </is>
      </c>
      <c r="E305" t="inlineStr">
        <is>
          <t>fr</t>
        </is>
      </c>
      <c r="F305" s="5" t="inlineStr"/>
      <c r="G305" t="n">
        <v>30</v>
      </c>
      <c r="H305" t="inlineStr">
        <is>
          <t>NOT AVAILABLE</t>
        </is>
      </c>
      <c r="I305" t="inlineStr">
        <is>
          <t>Service scope</t>
        </is>
      </c>
      <c r="J305" t="inlineStr">
        <is>
          <t>MEASURED</t>
        </is>
      </c>
      <c r="K305">
        <f>ROUND(IF(ISNUMBER(G305),MIN(50,ROUND(50*LOG10(G305+1)/4,1)),5)+IF(ISNUMBER(H305),ROUND(30*(100-H305)/100,1),15)+IF(B305="New",20,10),0)</f>
        <v/>
      </c>
      <c r="L305" t="inlineStr">
        <is>
          <t>KEEP</t>
        </is>
      </c>
      <c r="M305" s="5" t="inlineStr">
        <is>
          <t>Relevant to page intent</t>
        </is>
      </c>
      <c r="N305" s="5" t="inlineStr">
        <is>
          <t>La conversion du HTML en texte brut est essentielle pour le marketing par e-mail (de nombreux clients de messagerie préfèrent les versions en texte brut), l'analyse de contenu, l'extraction de données</t>
        </is>
      </c>
      <c r="O305" t="inlineStr">
        <is>
          <t>P3</t>
        </is>
      </c>
      <c r="P305" t="inlineStr">
        <is>
          <t>Visible only (no FAQPage schema)</t>
        </is>
      </c>
    </row>
    <row r="306">
      <c r="A306" s="3" t="inlineStr">
        <is>
          <t>https://codesommet.com/tools/html-to-text</t>
        </is>
      </c>
      <c r="B306" t="inlineStr">
        <is>
          <t>Existing</t>
        </is>
      </c>
      <c r="C306" s="5" t="inlineStr">
        <is>
          <t>En quoi cela diffère-t-il de la simple suppression des balises HTML ?</t>
        </is>
      </c>
      <c r="D306" t="inlineStr">
        <is>
          <t>html en texte</t>
        </is>
      </c>
      <c r="E306" t="inlineStr">
        <is>
          <t>fr</t>
        </is>
      </c>
      <c r="F306" s="5" t="inlineStr"/>
      <c r="G306" t="n">
        <v>30</v>
      </c>
      <c r="H306" t="inlineStr">
        <is>
          <t>NOT AVAILABLE</t>
        </is>
      </c>
      <c r="I306" t="inlineStr">
        <is>
          <t>Service scope</t>
        </is>
      </c>
      <c r="J306" t="inlineStr">
        <is>
          <t>MEASURED</t>
        </is>
      </c>
      <c r="K306">
        <f>ROUND(IF(ISNUMBER(G306),MIN(50,ROUND(50*LOG10(G306+1)/4,1)),5)+IF(ISNUMBER(H306),ROUND(30*(100-H306)/100,1),15)+IF(B306="New",20,10),0)</f>
        <v/>
      </c>
      <c r="L306" t="inlineStr">
        <is>
          <t>KEEP</t>
        </is>
      </c>
      <c r="M306" s="5" t="inlineStr">
        <is>
          <t>Relevant to page intent</t>
        </is>
      </c>
      <c r="N306" s="5" t="inlineStr">
        <is>
          <t>Notre convertisseur préserve intelligemment la structure et le sens, il ne se contente pas de supprimer les balises. Il maintient les sauts de paragraphe, convertit les listes en puces, préserve les U</t>
        </is>
      </c>
      <c r="O306" t="inlineStr">
        <is>
          <t>P3</t>
        </is>
      </c>
      <c r="P306" t="inlineStr">
        <is>
          <t>Visible only (no FAQPage schema)</t>
        </is>
      </c>
    </row>
    <row r="307">
      <c r="A307" s="3" t="inlineStr">
        <is>
          <t>https://codesommet.com/tools/html-to-text</t>
        </is>
      </c>
      <c r="B307" t="inlineStr">
        <is>
          <t>Existing</t>
        </is>
      </c>
      <c r="C307" s="5" t="inlineStr">
        <is>
          <t>Le convertisseur préservera-t-il le formatage et la structure de mon contenu ?</t>
        </is>
      </c>
      <c r="D307" t="inlineStr">
        <is>
          <t>html to text</t>
        </is>
      </c>
      <c r="E307" t="inlineStr">
        <is>
          <t>fr</t>
        </is>
      </c>
      <c r="F307" s="5" t="inlineStr"/>
      <c r="G307" t="n">
        <v>320</v>
      </c>
      <c r="H307" t="n">
        <v>68</v>
      </c>
      <c r="I307" t="inlineStr">
        <is>
          <t>Service scope</t>
        </is>
      </c>
      <c r="J307" t="inlineStr">
        <is>
          <t>MEASURED</t>
        </is>
      </c>
      <c r="K307">
        <f>ROUND(IF(ISNUMBER(G307),MIN(50,ROUND(50*LOG10(G307+1)/4,1)),5)+IF(ISNUMBER(H307),ROUND(30*(100-H307)/100,1),15)+IF(B307="New",20,10),0)</f>
        <v/>
      </c>
      <c r="L307" t="inlineStr">
        <is>
          <t>KEEP</t>
        </is>
      </c>
      <c r="M307" s="5" t="inlineStr">
        <is>
          <t>Relevant to page intent</t>
        </is>
      </c>
      <c r="N307" s="5" t="inlineStr">
        <is>
          <t>Oui, l'outil maintient la structure logique du document. Les paragraphes restent séparés, les listes sont converties en puces (•), les liens sont préservés au format « Texte (URL) », et les titres mai</t>
        </is>
      </c>
      <c r="O307" t="inlineStr">
        <is>
          <t>P3</t>
        </is>
      </c>
      <c r="P307" t="inlineStr">
        <is>
          <t>Visible only (no FAQPage schema)</t>
        </is>
      </c>
    </row>
    <row r="308">
      <c r="A308" s="3" t="inlineStr">
        <is>
          <t>https://codesommet.com/tools/html-to-text</t>
        </is>
      </c>
      <c r="B308" t="inlineStr">
        <is>
          <t>Existing</t>
        </is>
      </c>
      <c r="C308" s="5" t="inlineStr">
        <is>
          <t>Que devient les images et médias dans le HTML ?</t>
        </is>
      </c>
      <c r="D308" t="inlineStr">
        <is>
          <t>html en texte</t>
        </is>
      </c>
      <c r="E308" t="inlineStr">
        <is>
          <t>fr</t>
        </is>
      </c>
      <c r="F308" s="5" t="inlineStr"/>
      <c r="G308" t="n">
        <v>30</v>
      </c>
      <c r="H308" t="inlineStr">
        <is>
          <t>NOT AVAILABLE</t>
        </is>
      </c>
      <c r="I308" t="inlineStr">
        <is>
          <t>Service scope</t>
        </is>
      </c>
      <c r="J308" t="inlineStr">
        <is>
          <t>MEASURED</t>
        </is>
      </c>
      <c r="K308">
        <f>ROUND(IF(ISNUMBER(G308),MIN(50,ROUND(50*LOG10(G308+1)/4,1)),5)+IF(ISNUMBER(H308),ROUND(30*(100-H308)/100,1),15)+IF(B308="New",20,10),0)</f>
        <v/>
      </c>
      <c r="L308" t="inlineStr">
        <is>
          <t>KEEP</t>
        </is>
      </c>
      <c r="M308" s="5" t="inlineStr">
        <is>
          <t>Relevant to page intent</t>
        </is>
      </c>
      <c r="N308" s="5" t="inlineStr">
        <is>
          <t>Les images et éléments multimédias sont supprimés de la sortie car ils ne peuvent pas être représentés en texte brut. Cependant, si les images ont un texte alt, ce texte descriptif est conservé. L'out</t>
        </is>
      </c>
      <c r="O308" t="inlineStr">
        <is>
          <t>P3</t>
        </is>
      </c>
      <c r="P308" t="inlineStr">
        <is>
          <t>Visible only (no FAQPage schema)</t>
        </is>
      </c>
    </row>
    <row r="309">
      <c r="A309" s="3" t="inlineStr">
        <is>
          <t>https://codesommet.com/tools/html-to-text</t>
        </is>
      </c>
      <c r="B309" t="inlineStr">
        <is>
          <t>Existing</t>
        </is>
      </c>
      <c r="C309" s="5" t="inlineStr">
        <is>
          <t>Puis-je utiliser ceci pour des campagnes de marketing par e-mail ?</t>
        </is>
      </c>
      <c r="D309" t="inlineStr">
        <is>
          <t>html to text</t>
        </is>
      </c>
      <c r="E309" t="inlineStr">
        <is>
          <t>fr</t>
        </is>
      </c>
      <c r="F309" s="5" t="inlineStr"/>
      <c r="G309" t="n">
        <v>320</v>
      </c>
      <c r="H309" t="n">
        <v>68</v>
      </c>
      <c r="I309" t="inlineStr">
        <is>
          <t>Service scope</t>
        </is>
      </c>
      <c r="J309" t="inlineStr">
        <is>
          <t>MEASURED</t>
        </is>
      </c>
      <c r="K309">
        <f>ROUND(IF(ISNUMBER(G309),MIN(50,ROUND(50*LOG10(G309+1)/4,1)),5)+IF(ISNUMBER(H309),ROUND(30*(100-H309)/100,1),15)+IF(B309="New",20,10),0)</f>
        <v/>
      </c>
      <c r="L309" t="inlineStr">
        <is>
          <t>KEEP</t>
        </is>
      </c>
      <c r="M309" s="5" t="inlineStr">
        <is>
          <t>Relevant to page intent</t>
        </is>
      </c>
      <c r="N309" s="5" t="inlineStr">
        <is>
          <t>Absolument ! La plupart des fournisseurs de services de messagerie exigent à la fois des versions HTML et texte brut des e-mails. Notre convertisseur crée des versions en texte brut propres et lisible</t>
        </is>
      </c>
      <c r="O309" t="inlineStr">
        <is>
          <t>P3</t>
        </is>
      </c>
      <c r="P309" t="inlineStr">
        <is>
          <t>Visible only (no FAQPage schema)</t>
        </is>
      </c>
    </row>
    <row r="310">
      <c r="A310" s="3" t="inlineStr">
        <is>
          <t>https://codesommet.com/tools/html-to-text</t>
        </is>
      </c>
      <c r="B310" t="inlineStr">
        <is>
          <t>Existing</t>
        </is>
      </c>
      <c r="C310" s="5" t="inlineStr">
        <is>
          <t>Comment puis-je utiliser cet outil pour l'extraction de données ou le web scraping ?</t>
        </is>
      </c>
      <c r="D310" t="inlineStr">
        <is>
          <t>html to text</t>
        </is>
      </c>
      <c r="E310" t="inlineStr">
        <is>
          <t>fr</t>
        </is>
      </c>
      <c r="F310" s="5" t="inlineStr"/>
      <c r="G310" t="n">
        <v>320</v>
      </c>
      <c r="H310" t="n">
        <v>68</v>
      </c>
      <c r="I310" t="inlineStr">
        <is>
          <t>Compliance / security</t>
        </is>
      </c>
      <c r="J310" t="inlineStr">
        <is>
          <t>MEASURED</t>
        </is>
      </c>
      <c r="K310">
        <f>ROUND(IF(ISNUMBER(G310),MIN(50,ROUND(50*LOG10(G310+1)/4,1)),5)+IF(ISNUMBER(H310),ROUND(30*(100-H310)/100,1),15)+IF(B310="New",20,10),0)</f>
        <v/>
      </c>
      <c r="L310" t="inlineStr">
        <is>
          <t>KEEP</t>
        </is>
      </c>
      <c r="M310" s="5" t="inlineStr">
        <is>
          <t>Relevant to page intent</t>
        </is>
      </c>
      <c r="N310" s="5" t="inlineStr">
        <is>
          <t>Cet outil est parfait pour extraire du contenu textuel propre des pages HTML pour l'analyse, le traitement du langage naturel ou l'exploration de données. Il supprime tout le bruit de balisage et vous</t>
        </is>
      </c>
      <c r="O310" t="inlineStr">
        <is>
          <t>P3</t>
        </is>
      </c>
      <c r="P310" t="inlineStr">
        <is>
          <t>Visible only (no FAQPage schema)</t>
        </is>
      </c>
    </row>
    <row r="311">
      <c r="A311" s="3" t="inlineStr">
        <is>
          <t>https://codesommet.com/tools/html-to-text</t>
        </is>
      </c>
      <c r="B311" t="inlineStr">
        <is>
          <t>Existing</t>
        </is>
      </c>
      <c r="C311" s="5" t="inlineStr">
        <is>
          <t>Y a-t-il une limite de caractères pour la conversion HTML ?</t>
        </is>
      </c>
      <c r="D311" t="inlineStr">
        <is>
          <t>html en texte</t>
        </is>
      </c>
      <c r="E311" t="inlineStr">
        <is>
          <t>fr</t>
        </is>
      </c>
      <c r="F311" s="5" t="inlineStr"/>
      <c r="G311" t="n">
        <v>30</v>
      </c>
      <c r="H311" t="inlineStr">
        <is>
          <t>NOT AVAILABLE</t>
        </is>
      </c>
      <c r="I311" t="inlineStr">
        <is>
          <t>Service scope</t>
        </is>
      </c>
      <c r="J311" t="inlineStr">
        <is>
          <t>MEASURED</t>
        </is>
      </c>
      <c r="K311">
        <f>ROUND(IF(ISNUMBER(G311),MIN(50,ROUND(50*LOG10(G311+1)/4,1)),5)+IF(ISNUMBER(H311),ROUND(30*(100-H311)/100,1),15)+IF(B311="New",20,10),0)</f>
        <v/>
      </c>
      <c r="L311" t="inlineStr">
        <is>
          <t>KEEP</t>
        </is>
      </c>
      <c r="M311" s="5" t="inlineStr">
        <is>
          <t>Relevant to page intent</t>
        </is>
      </c>
      <c r="N311" s="5" t="inlineStr">
        <is>
          <t xml:space="preserve">L'outil peut gérer efficacement de grands documents HTML. Cependant, pour des performances optimales et un traitement rapide, nous recommandons de garder les conversions individuelles sous 1 Mo. Pour </t>
        </is>
      </c>
      <c r="O311" t="inlineStr">
        <is>
          <t>P3</t>
        </is>
      </c>
      <c r="P311" t="inlineStr">
        <is>
          <t>Visible only (no FAQPage schema)</t>
        </is>
      </c>
    </row>
    <row r="312">
      <c r="A312" s="3" t="inlineStr">
        <is>
          <t>https://codesommet.com/tools/image-alt-analyzer</t>
        </is>
      </c>
      <c r="B312" t="inlineStr">
        <is>
          <t>Existing</t>
        </is>
      </c>
      <c r="C312" s="5" t="inlineStr">
        <is>
          <t>Qu'est-ce que le texte alt d'image et pourquoi est-ce important ?</t>
        </is>
      </c>
      <c r="D312" t="inlineStr">
        <is>
          <t>texte alternatif image</t>
        </is>
      </c>
      <c r="E312" t="inlineStr">
        <is>
          <t>fr</t>
        </is>
      </c>
      <c r="F312" s="5" t="inlineStr"/>
      <c r="G312" t="n">
        <v>40</v>
      </c>
      <c r="H312" t="inlineStr">
        <is>
          <t>NOT AVAILABLE</t>
        </is>
      </c>
      <c r="I312" t="inlineStr">
        <is>
          <t>Definition / how it works</t>
        </is>
      </c>
      <c r="J312" t="inlineStr">
        <is>
          <t>MEASURED</t>
        </is>
      </c>
      <c r="K312">
        <f>ROUND(IF(ISNUMBER(G312),MIN(50,ROUND(50*LOG10(G312+1)/4,1)),5)+IF(ISNUMBER(H312),ROUND(30*(100-H312)/100,1),15)+IF(B312="New",20,10),0)</f>
        <v/>
      </c>
      <c r="L312" t="inlineStr">
        <is>
          <t>KEEP</t>
        </is>
      </c>
      <c r="M312" s="5" t="inlineStr">
        <is>
          <t>Relevant to page intent</t>
        </is>
      </c>
      <c r="N312" s="5" t="inlineStr">
        <is>
          <t xml:space="preserve">Le texte alt (texte alternatif) est une description écrite d'une image qui apparaît dans le code HTML. Il remplit deux objectifs essentiels : aider les utilisateurs malvoyants à comprendre les images </t>
        </is>
      </c>
      <c r="O312" t="inlineStr">
        <is>
          <t>P3</t>
        </is>
      </c>
      <c r="P312" t="inlineStr">
        <is>
          <t>Visible only (no FAQPage schema)</t>
        </is>
      </c>
    </row>
    <row r="313">
      <c r="A313" s="3" t="inlineStr">
        <is>
          <t>https://codesommet.com/tools/image-alt-analyzer</t>
        </is>
      </c>
      <c r="B313" t="inlineStr">
        <is>
          <t>Existing</t>
        </is>
      </c>
      <c r="C313" s="5" t="inlineStr">
        <is>
          <t>Quelle longueur doit avoir mon texte alt ?</t>
        </is>
      </c>
      <c r="D313" t="inlineStr">
        <is>
          <t>balise alt</t>
        </is>
      </c>
      <c r="E313" t="inlineStr">
        <is>
          <t>fr</t>
        </is>
      </c>
      <c r="F313" s="5" t="inlineStr"/>
      <c r="G313" t="n">
        <v>260</v>
      </c>
      <c r="H313" t="n">
        <v>21</v>
      </c>
      <c r="I313" t="inlineStr">
        <is>
          <t>Service scope</t>
        </is>
      </c>
      <c r="J313" t="inlineStr">
        <is>
          <t>MEASURED</t>
        </is>
      </c>
      <c r="K313">
        <f>ROUND(IF(ISNUMBER(G313),MIN(50,ROUND(50*LOG10(G313+1)/4,1)),5)+IF(ISNUMBER(H313),ROUND(30*(100-H313)/100,1),15)+IF(B313="New",20,10),0)</f>
        <v/>
      </c>
      <c r="L313" t="inlineStr">
        <is>
          <t>KEEP</t>
        </is>
      </c>
      <c r="M313" s="5" t="inlineStr">
        <is>
          <t>Relevant to page intent</t>
        </is>
      </c>
      <c r="N313" s="5" t="inlineStr">
        <is>
          <t>Gardez le texte alt concis mais descriptif, idéalement sous 125 caractères. Les lecteurs d'écran peuvent couper les descriptions plus longues. Concentrez-vous sur les aspects les plus importants de l'</t>
        </is>
      </c>
      <c r="O313" t="inlineStr">
        <is>
          <t>P3</t>
        </is>
      </c>
      <c r="P313" t="inlineStr">
        <is>
          <t>Visible only (no FAQPage schema)</t>
        </is>
      </c>
    </row>
    <row r="314">
      <c r="A314" s="3" t="inlineStr">
        <is>
          <t>https://codesommet.com/tools/image-alt-analyzer</t>
        </is>
      </c>
      <c r="B314" t="inlineStr">
        <is>
          <t>Existing</t>
        </is>
      </c>
      <c r="C314" s="5" t="inlineStr">
        <is>
          <t>Dois-je inclure des mots-clés dans mon texte alt pour le SEO ?</t>
        </is>
      </c>
      <c r="D314" t="inlineStr">
        <is>
          <t>alt image seo</t>
        </is>
      </c>
      <c r="E314" t="inlineStr">
        <is>
          <t>fr</t>
        </is>
      </c>
      <c r="F314" s="5" t="inlineStr"/>
      <c r="G314" t="n">
        <v>20</v>
      </c>
      <c r="H314" t="inlineStr">
        <is>
          <t>NOT AVAILABLE</t>
        </is>
      </c>
      <c r="I314" t="inlineStr">
        <is>
          <t>SEO</t>
        </is>
      </c>
      <c r="J314" t="inlineStr">
        <is>
          <t>MEASURED</t>
        </is>
      </c>
      <c r="K314">
        <f>ROUND(IF(ISNUMBER(G314),MIN(50,ROUND(50*LOG10(G314+1)/4,1)),5)+IF(ISNUMBER(H314),ROUND(30*(100-H314)/100,1),15)+IF(B314="New",20,10),0)</f>
        <v/>
      </c>
      <c r="L314" t="inlineStr">
        <is>
          <t>KEEP</t>
        </is>
      </c>
      <c r="M314" s="5" t="inlineStr">
        <is>
          <t>Relevant to page intent</t>
        </is>
      </c>
      <c r="N314" s="5" t="inlineStr">
        <is>
          <t>Oui, mais uniquement de manière naturelle. Incluez des mots-clés pertinents qui décrivent précisément l'image, mais ne bourrez jamais de mots-clés de manière artificielle. Le texte alt doit principale</t>
        </is>
      </c>
      <c r="O314" t="inlineStr">
        <is>
          <t>P3</t>
        </is>
      </c>
      <c r="P314" t="inlineStr">
        <is>
          <t>Visible only (no FAQPage schema)</t>
        </is>
      </c>
    </row>
    <row r="315">
      <c r="A315" s="3" t="inlineStr">
        <is>
          <t>https://codesommet.com/tools/image-alt-analyzer</t>
        </is>
      </c>
      <c r="B315" t="inlineStr">
        <is>
          <t>Existing</t>
        </is>
      </c>
      <c r="C315" s="5" t="inlineStr">
        <is>
          <t>Quand dois-je utiliser un texte alt vide (alt=') ?</t>
        </is>
      </c>
      <c r="D315" t="inlineStr">
        <is>
          <t>balise alt</t>
        </is>
      </c>
      <c r="E315" t="inlineStr">
        <is>
          <t>fr</t>
        </is>
      </c>
      <c r="F315" s="5" t="inlineStr"/>
      <c r="G315" t="n">
        <v>260</v>
      </c>
      <c r="H315" t="n">
        <v>21</v>
      </c>
      <c r="I315" t="inlineStr">
        <is>
          <t>Timeline</t>
        </is>
      </c>
      <c r="J315" t="inlineStr">
        <is>
          <t>MEASURED</t>
        </is>
      </c>
      <c r="K315">
        <f>ROUND(IF(ISNUMBER(G315),MIN(50,ROUND(50*LOG10(G315+1)/4,1)),5)+IF(ISNUMBER(H315),ROUND(30*(100-H315)/100,1),15)+IF(B315="New",20,10),0)</f>
        <v/>
      </c>
      <c r="L315" t="inlineStr">
        <is>
          <t>KEEP</t>
        </is>
      </c>
      <c r="M315" s="5" t="inlineStr">
        <is>
          <t>Matches measured pre-purchase demand</t>
        </is>
      </c>
      <c r="N315" s="5" t="inlineStr">
        <is>
          <t>Utilisez un texte alt vide pour les images purement décoratives comme les éléments de design, les icônes, les espaceurs ou les images qui n'ajoutent pas de valeur informative. Cela indique aux lecteur</t>
        </is>
      </c>
      <c r="O315" t="inlineStr">
        <is>
          <t>P3</t>
        </is>
      </c>
      <c r="P315" t="inlineStr">
        <is>
          <t>Visible only (no FAQPage schema)</t>
        </is>
      </c>
    </row>
    <row r="316">
      <c r="A316" s="3" t="inlineStr">
        <is>
          <t>https://codesommet.com/tools/image-alt-analyzer</t>
        </is>
      </c>
      <c r="B316" t="inlineStr">
        <is>
          <t>Existing</t>
        </is>
      </c>
      <c r="C316" s="5" t="inlineStr">
        <is>
          <t>Quelles sont les erreurs courantes de texte alt à éviter ?</t>
        </is>
      </c>
      <c r="D316" t="inlineStr">
        <is>
          <t>balise alt</t>
        </is>
      </c>
      <c r="E316" t="inlineStr">
        <is>
          <t>fr</t>
        </is>
      </c>
      <c r="F316" s="5" t="inlineStr"/>
      <c r="G316" t="n">
        <v>260</v>
      </c>
      <c r="H316" t="n">
        <v>21</v>
      </c>
      <c r="I316" t="inlineStr">
        <is>
          <t>Service scope</t>
        </is>
      </c>
      <c r="J316" t="inlineStr">
        <is>
          <t>MEASURED</t>
        </is>
      </c>
      <c r="K316">
        <f>ROUND(IF(ISNUMBER(G316),MIN(50,ROUND(50*LOG10(G316+1)/4,1)),5)+IF(ISNUMBER(H316),ROUND(30*(100-H316)/100,1),15)+IF(B316="New",20,10),0)</f>
        <v/>
      </c>
      <c r="L316" t="inlineStr">
        <is>
          <t>KEEP</t>
        </is>
      </c>
      <c r="M316" s="5" t="inlineStr">
        <is>
          <t>Relevant to page intent</t>
        </is>
      </c>
      <c r="N316" s="5" t="inlineStr">
        <is>
          <t>Évitez ces erreurs : laisser les attributs alt complètement manquants, utiliser des descriptions génériques comme 'image' ou 'photo', inclure des extensions de fichiers (.jpg, .png), le bourrage de mo</t>
        </is>
      </c>
      <c r="O316" t="inlineStr">
        <is>
          <t>P3</t>
        </is>
      </c>
      <c r="P316" t="inlineStr">
        <is>
          <t>Visible only (no FAQPage schema)</t>
        </is>
      </c>
    </row>
    <row r="317">
      <c r="A317" s="3" t="inlineStr">
        <is>
          <t>https://codesommet.com/tools/image-alt-analyzer</t>
        </is>
      </c>
      <c r="B317" t="inlineStr">
        <is>
          <t>Existing</t>
        </is>
      </c>
      <c r="C317" s="5" t="inlineStr">
        <is>
          <t>Le texte alt manquant affecte-t-il mon classement Google ?</t>
        </is>
      </c>
      <c r="D317" t="inlineStr">
        <is>
          <t>balise alt</t>
        </is>
      </c>
      <c r="E317" t="inlineStr">
        <is>
          <t>fr</t>
        </is>
      </c>
      <c r="F317" s="5" t="inlineStr"/>
      <c r="G317" t="n">
        <v>260</v>
      </c>
      <c r="H317" t="n">
        <v>21</v>
      </c>
      <c r="I317" t="inlineStr">
        <is>
          <t>SEO</t>
        </is>
      </c>
      <c r="J317" t="inlineStr">
        <is>
          <t>MEASURED</t>
        </is>
      </c>
      <c r="K317">
        <f>ROUND(IF(ISNUMBER(G317),MIN(50,ROUND(50*LOG10(G317+1)/4,1)),5)+IF(ISNUMBER(H317),ROUND(30*(100-H317)/100,1),15)+IF(B317="New",20,10),0)</f>
        <v/>
      </c>
      <c r="L317" t="inlineStr">
        <is>
          <t>KEEP</t>
        </is>
      </c>
      <c r="M317" s="5" t="inlineStr">
        <is>
          <t>Relevant to page intent</t>
        </is>
      </c>
      <c r="N317" s="5" t="inlineStr">
        <is>
          <t>Oui, indirectement. Bien que le texte alt manquant ne soit pas une pénalité de classement directe, il a un impact négatif sur l'expérience utilisateur et l'accessibilité, qui sont des facteurs de clas</t>
        </is>
      </c>
      <c r="O317" t="inlineStr">
        <is>
          <t>P3</t>
        </is>
      </c>
      <c r="P317" t="inlineStr">
        <is>
          <t>Visible only (no FAQPage schema)</t>
        </is>
      </c>
    </row>
    <row r="318">
      <c r="A318" s="3" t="inlineStr">
        <is>
          <t>https://codesommet.com/tools/image-alt-analyzer</t>
        </is>
      </c>
      <c r="B318" t="inlineStr">
        <is>
          <t>Existing</t>
        </is>
      </c>
      <c r="C318" s="5" t="inlineStr">
        <is>
          <t>À quelle fréquence dois-je auditer le texte alt des images de mon site web ?</t>
        </is>
      </c>
      <c r="D318" t="inlineStr">
        <is>
          <t>balise alt</t>
        </is>
      </c>
      <c r="E318" t="inlineStr">
        <is>
          <t>fr</t>
        </is>
      </c>
      <c r="F318" s="5" t="inlineStr"/>
      <c r="G318" t="n">
        <v>260</v>
      </c>
      <c r="H318" t="n">
        <v>21</v>
      </c>
      <c r="I318" t="inlineStr">
        <is>
          <t>Service scope</t>
        </is>
      </c>
      <c r="J318" t="inlineStr">
        <is>
          <t>MEASURED</t>
        </is>
      </c>
      <c r="K318">
        <f>ROUND(IF(ISNUMBER(G318),MIN(50,ROUND(50*LOG10(G318+1)/4,1)),5)+IF(ISNUMBER(H318),ROUND(30*(100-H318)/100,1),15)+IF(B318="New",20,10),0)</f>
        <v/>
      </c>
      <c r="L318" t="inlineStr">
        <is>
          <t>KEEP</t>
        </is>
      </c>
      <c r="M318" s="5" t="inlineStr">
        <is>
          <t>Relevant to page intent</t>
        </is>
      </c>
      <c r="N318" s="5" t="inlineStr">
        <is>
          <t>Effectuez un audit du texte alt des images chaque fois que vous ajoutez du nouveau contenu avec des images, au moins trimestriellement pour les pages existantes, et surtout avant les grandes campagnes</t>
        </is>
      </c>
      <c r="O318" t="inlineStr">
        <is>
          <t>P3</t>
        </is>
      </c>
      <c r="P318" t="inlineStr">
        <is>
          <t>Visible only (no FAQPage schema)</t>
        </is>
      </c>
    </row>
    <row r="319">
      <c r="A319" s="3" t="inlineStr">
        <is>
          <t>https://codesommet.com/tools/image-compression-analyzer</t>
        </is>
      </c>
      <c r="B319" t="inlineStr">
        <is>
          <t>Existing</t>
        </is>
      </c>
      <c r="C319" s="5" t="inlineStr">
        <is>
          <t>Pourquoi la compression d'images est-elle importante pour le SEO ?</t>
        </is>
      </c>
      <c r="D319" t="inlineStr">
        <is>
          <t>optimiser images site web</t>
        </is>
      </c>
      <c r="E319" t="inlineStr">
        <is>
          <t>fr</t>
        </is>
      </c>
      <c r="F319" s="5" t="inlineStr"/>
      <c r="G319" t="n">
        <v>0</v>
      </c>
      <c r="H319" t="inlineStr">
        <is>
          <t>NOT AVAILABLE</t>
        </is>
      </c>
      <c r="I319" t="inlineStr">
        <is>
          <t>SEO</t>
        </is>
      </c>
      <c r="J319" t="inlineStr">
        <is>
          <t>MEASURED</t>
        </is>
      </c>
      <c r="K319">
        <f>ROUND(IF(ISNUMBER(G319),MIN(50,ROUND(50*LOG10(G319+1)/4,1)),5)+IF(ISNUMBER(H319),ROUND(30*(100-H319)/100,1),15)+IF(B319="New",20,10),0)</f>
        <v/>
      </c>
      <c r="L319" t="inlineStr">
        <is>
          <t>KEEP</t>
        </is>
      </c>
      <c r="M319" s="5" t="inlineStr">
        <is>
          <t>Relevant to page intent</t>
        </is>
      </c>
      <c r="N319" s="5" t="inlineStr">
        <is>
          <t>La compression d'images a un impact direct sur la vitesse de chargement des pages, qui est un facteur de classement essentiel pour Google. Les pages qui se chargent plus rapidement améliorent l'expéri</t>
        </is>
      </c>
      <c r="O319" t="inlineStr">
        <is>
          <t>P3</t>
        </is>
      </c>
      <c r="P319" t="inlineStr">
        <is>
          <t>Visible only (no FAQPage schema)</t>
        </is>
      </c>
    </row>
    <row r="320">
      <c r="A320" s="3" t="inlineStr">
        <is>
          <t>https://codesommet.com/tools/image-compression-analyzer</t>
        </is>
      </c>
      <c r="B320" t="inlineStr">
        <is>
          <t>Existing</t>
        </is>
      </c>
      <c r="C320" s="5" t="inlineStr">
        <is>
          <t>Quelle est la différence entre les formats WebP, JPEG et PNG ?</t>
        </is>
      </c>
      <c r="D320" t="inlineStr">
        <is>
          <t>optimisation image seo</t>
        </is>
      </c>
      <c r="E320" t="inlineStr">
        <is>
          <t>fr</t>
        </is>
      </c>
      <c r="F320" s="5" t="inlineStr"/>
      <c r="G320" t="n">
        <v>20</v>
      </c>
      <c r="H320" t="inlineStr">
        <is>
          <t>NOT AVAILABLE</t>
        </is>
      </c>
      <c r="I320" t="inlineStr">
        <is>
          <t>Differentiation</t>
        </is>
      </c>
      <c r="J320" t="inlineStr">
        <is>
          <t>MEASURED</t>
        </is>
      </c>
      <c r="K320">
        <f>ROUND(IF(ISNUMBER(G320),MIN(50,ROUND(50*LOG10(G320+1)/4,1)),5)+IF(ISNUMBER(H320),ROUND(30*(100-H320)/100,1),15)+IF(B320="New",20,10),0)</f>
        <v/>
      </c>
      <c r="L320" t="inlineStr">
        <is>
          <t>KEEP</t>
        </is>
      </c>
      <c r="M320" s="5" t="inlineStr">
        <is>
          <t>Relevant to page intent</t>
        </is>
      </c>
      <c r="N320" s="5" t="inlineStr">
        <is>
          <t>Le JPEG est idéal pour les photos avec compression avec perte. Le PNG utilise une compression sans perte idéale pour les graphiques avec transparence. WebP est un format moderne offrant des tailles de</t>
        </is>
      </c>
      <c r="O320" t="inlineStr">
        <is>
          <t>P3</t>
        </is>
      </c>
      <c r="P320" t="inlineStr">
        <is>
          <t>Visible only (no FAQPage schema)</t>
        </is>
      </c>
    </row>
    <row r="321">
      <c r="A321" s="3" t="inlineStr">
        <is>
          <t>https://codesommet.com/tools/image-compression-analyzer</t>
        </is>
      </c>
      <c r="B321" t="inlineStr">
        <is>
          <t>Existing</t>
        </is>
      </c>
      <c r="C321" s="5" t="inlineStr">
        <is>
          <t>Comment équilibrer la qualité d'image avec la taille du fichier ?</t>
        </is>
      </c>
      <c r="D321" t="inlineStr">
        <is>
          <t>optimisation image seo</t>
        </is>
      </c>
      <c r="E321" t="inlineStr">
        <is>
          <t>fr</t>
        </is>
      </c>
      <c r="F321" s="5" t="inlineStr"/>
      <c r="G321" t="n">
        <v>20</v>
      </c>
      <c r="H321" t="inlineStr">
        <is>
          <t>NOT AVAILABLE</t>
        </is>
      </c>
      <c r="I321" t="inlineStr">
        <is>
          <t>Service scope</t>
        </is>
      </c>
      <c r="J321" t="inlineStr">
        <is>
          <t>MEASURED</t>
        </is>
      </c>
      <c r="K321">
        <f>ROUND(IF(ISNUMBER(G321),MIN(50,ROUND(50*LOG10(G321+1)/4,1)),5)+IF(ISNUMBER(H321),ROUND(30*(100-H321)/100,1),15)+IF(B321="New",20,10),0)</f>
        <v/>
      </c>
      <c r="L321" t="inlineStr">
        <is>
          <t>KEEP</t>
        </is>
      </c>
      <c r="M321" s="5" t="inlineStr">
        <is>
          <t>Relevant to page intent</t>
        </is>
      </c>
      <c r="N321" s="5" t="inlineStr">
        <is>
          <t xml:space="preserve">Utilisez une qualité de 80-85 % pour JPEG et WebP — l'oeil humain peut à peine détecter la différence avec 100 %, mais les tailles de fichiers sont 3 à 5 fois plus petites. Pour les images hero, vous </t>
        </is>
      </c>
      <c r="O321" t="inlineStr">
        <is>
          <t>P3</t>
        </is>
      </c>
      <c r="P321" t="inlineStr">
        <is>
          <t>Visible only (no FAQPage schema)</t>
        </is>
      </c>
    </row>
    <row r="322">
      <c r="A322" s="3" t="inlineStr">
        <is>
          <t>https://codesommet.com/tools/image-compression-analyzer</t>
        </is>
      </c>
      <c r="B322" t="inlineStr">
        <is>
          <t>Existing</t>
        </is>
      </c>
      <c r="C322" s="5" t="inlineStr">
        <is>
          <t>Qu'est-ce que le lazy loading et dois-je l'utiliser ?</t>
        </is>
      </c>
      <c r="D322" t="inlineStr">
        <is>
          <t>optimisation image seo</t>
        </is>
      </c>
      <c r="E322" t="inlineStr">
        <is>
          <t>fr</t>
        </is>
      </c>
      <c r="F322" s="5" t="inlineStr"/>
      <c r="G322" t="n">
        <v>20</v>
      </c>
      <c r="H322" t="inlineStr">
        <is>
          <t>NOT AVAILABLE</t>
        </is>
      </c>
      <c r="I322" t="inlineStr">
        <is>
          <t>Definition / how it works</t>
        </is>
      </c>
      <c r="J322" t="inlineStr">
        <is>
          <t>MEASURED</t>
        </is>
      </c>
      <c r="K322">
        <f>ROUND(IF(ISNUMBER(G322),MIN(50,ROUND(50*LOG10(G322+1)/4,1)),5)+IF(ISNUMBER(H322),ROUND(30*(100-H322)/100,1),15)+IF(B322="New",20,10),0)</f>
        <v/>
      </c>
      <c r="L322" t="inlineStr">
        <is>
          <t>KEEP</t>
        </is>
      </c>
      <c r="M322" s="5" t="inlineStr">
        <is>
          <t>Relevant to page intent</t>
        </is>
      </c>
      <c r="N322" s="5" t="inlineStr">
        <is>
          <t>Oui, absolument. Les CDN comme Cloudflare, Cloudinary ou imgix servent les images depuis des serveurs géographiquement distribués plus proches de vos utilisateurs, réduisant la latence. De nombreux CD</t>
        </is>
      </c>
      <c r="O322" t="inlineStr">
        <is>
          <t>P3</t>
        </is>
      </c>
      <c r="P322" t="inlineStr">
        <is>
          <t>Visible only (no FAQPage schema)</t>
        </is>
      </c>
    </row>
    <row r="323">
      <c r="A323" s="3" t="inlineStr">
        <is>
          <t>https://codesommet.com/tools/image-compression-analyzer</t>
        </is>
      </c>
      <c r="B323" t="inlineStr">
        <is>
          <t>Existing</t>
        </is>
      </c>
      <c r="C323" s="5" t="inlineStr">
        <is>
          <t>Quelle taille dois-je donner aux images responsives ?</t>
        </is>
      </c>
      <c r="D323" t="inlineStr">
        <is>
          <t>optimiser images site web</t>
        </is>
      </c>
      <c r="E323" t="inlineStr">
        <is>
          <t>fr</t>
        </is>
      </c>
      <c r="F323" s="5" t="inlineStr"/>
      <c r="G323" t="n">
        <v>0</v>
      </c>
      <c r="H323" t="inlineStr">
        <is>
          <t>NOT AVAILABLE</t>
        </is>
      </c>
      <c r="I323" t="inlineStr">
        <is>
          <t>Service scope</t>
        </is>
      </c>
      <c r="J323" t="inlineStr">
        <is>
          <t>MEASURED</t>
        </is>
      </c>
      <c r="K323">
        <f>ROUND(IF(ISNUMBER(G323),MIN(50,ROUND(50*LOG10(G323+1)/4,1)),5)+IF(ISNUMBER(H323),ROUND(30*(100-H323)/100,1),15)+IF(B323="New",20,10),0)</f>
        <v/>
      </c>
      <c r="L323" t="inlineStr">
        <is>
          <t>KEEP</t>
        </is>
      </c>
      <c r="M323" s="5" t="inlineStr">
        <is>
          <t>Relevant to page intent</t>
        </is>
      </c>
      <c r="N323" s="5" t="inlineStr">
        <is>
          <t>Ne servez jamais une image de 4000px pour un conteneur de 400px. Utilisez l'attribut srcset pour fournir plusieurs tailles (par exemple, 400w, 800w, 1200w, 1600w) et laissez les navigateurs choisir la</t>
        </is>
      </c>
      <c r="O323" t="inlineStr">
        <is>
          <t>P3</t>
        </is>
      </c>
      <c r="P323" t="inlineStr">
        <is>
          <t>Visible only (no FAQPage schema)</t>
        </is>
      </c>
    </row>
    <row r="324">
      <c r="A324" s="3" t="inlineStr">
        <is>
          <t>https://codesommet.com/tools/image-compression-analyzer</t>
        </is>
      </c>
      <c r="B324" t="inlineStr">
        <is>
          <t>Existing</t>
        </is>
      </c>
      <c r="C324" s="5" t="inlineStr">
        <is>
          <t>Quels sont les meilleurs outils gratuits de compression d'images ?</t>
        </is>
      </c>
      <c r="D324" t="inlineStr">
        <is>
          <t>optimiser images site web</t>
        </is>
      </c>
      <c r="E324" t="inlineStr">
        <is>
          <t>fr</t>
        </is>
      </c>
      <c r="F324" s="5" t="inlineStr"/>
      <c r="G324" t="n">
        <v>0</v>
      </c>
      <c r="H324" t="inlineStr">
        <is>
          <t>NOT AVAILABLE</t>
        </is>
      </c>
      <c r="I324" t="inlineStr">
        <is>
          <t>Service scope</t>
        </is>
      </c>
      <c r="J324" t="inlineStr">
        <is>
          <t>MEASURED</t>
        </is>
      </c>
      <c r="K324">
        <f>ROUND(IF(ISNUMBER(G324),MIN(50,ROUND(50*LOG10(G324+1)/4,1)),5)+IF(ISNUMBER(H324),ROUND(30*(100-H324)/100,1),15)+IF(B324="New",20,10),0)</f>
        <v/>
      </c>
      <c r="L324" t="inlineStr">
        <is>
          <t>KEEP</t>
        </is>
      </c>
      <c r="M324" s="5" t="inlineStr">
        <is>
          <t>Relevant to page intent</t>
        </is>
      </c>
      <c r="N324" s="5" t="inlineStr">
        <is>
          <t>Les meilleurs outils incluent TinyPNG (compression par lots PNG/JPEG), Squoosh (conversion WebP avec aperçu de qualité), ImageOptim (application Mac pour compression sans perte), et Sharp (bibliothèqu</t>
        </is>
      </c>
      <c r="O324" t="inlineStr">
        <is>
          <t>P3</t>
        </is>
      </c>
      <c r="P324" t="inlineStr">
        <is>
          <t>Visible only (no FAQPage schema)</t>
        </is>
      </c>
    </row>
    <row r="325">
      <c r="A325" s="3" t="inlineStr">
        <is>
          <t>https://codesommet.com/tools/image-compressor</t>
        </is>
      </c>
      <c r="B325" t="inlineStr">
        <is>
          <t>Existing</t>
        </is>
      </c>
      <c r="C325" s="5" t="inlineStr">
        <is>
          <t>Mes images sont-elles envoyées sur un serveur ?</t>
        </is>
      </c>
      <c r="D325" t="inlineStr">
        <is>
          <t>compresser image</t>
        </is>
      </c>
      <c r="E325" t="inlineStr">
        <is>
          <t>fr</t>
        </is>
      </c>
      <c r="F325" s="5" t="inlineStr"/>
      <c r="G325" t="n">
        <v>22200</v>
      </c>
      <c r="H325" t="n">
        <v>28</v>
      </c>
      <c r="I325" t="inlineStr">
        <is>
          <t>Service scope</t>
        </is>
      </c>
      <c r="J325" t="inlineStr">
        <is>
          <t>MEASURED</t>
        </is>
      </c>
      <c r="K325">
        <f>ROUND(IF(ISNUMBER(G325),MIN(50,ROUND(50*LOG10(G325+1)/4,1)),5)+IF(ISNUMBER(H325),ROUND(30*(100-H325)/100,1),15)+IF(B325="New",20,10),0)</f>
        <v/>
      </c>
      <c r="L325" t="inlineStr">
        <is>
          <t>IMPROVE</t>
        </is>
      </c>
      <c r="M325" s="5" t="inlineStr">
        <is>
          <t>Short answer (117 chars) - add specifics</t>
        </is>
      </c>
      <c r="N325" s="5" t="inlineStr">
        <is>
          <t>Non. La compression utilise le moteur graphique de votre navigateur : les fichiers ne quittent jamais votre appareil.</t>
        </is>
      </c>
      <c r="O325" t="inlineStr">
        <is>
          <t>P3</t>
        </is>
      </c>
      <c r="P325" t="inlineStr">
        <is>
          <t>Visible only (no FAQPage schema)</t>
        </is>
      </c>
    </row>
    <row r="326">
      <c r="A326" s="3" t="inlineStr">
        <is>
          <t>https://codesommet.com/tools/image-compressor</t>
        </is>
      </c>
      <c r="B326" t="inlineStr">
        <is>
          <t>Existing</t>
        </is>
      </c>
      <c r="C326" s="5" t="inlineStr">
        <is>
          <t>Quel format choisir ?</t>
        </is>
      </c>
      <c r="D326" t="inlineStr">
        <is>
          <t>compresser image</t>
        </is>
      </c>
      <c r="E326" t="inlineStr">
        <is>
          <t>fr</t>
        </is>
      </c>
      <c r="F326" s="5" t="inlineStr"/>
      <c r="G326" t="n">
        <v>22200</v>
      </c>
      <c r="H326" t="n">
        <v>28</v>
      </c>
      <c r="I326" t="inlineStr">
        <is>
          <t>Service scope</t>
        </is>
      </c>
      <c r="J326" t="inlineStr">
        <is>
          <t>MEASURED</t>
        </is>
      </c>
      <c r="K326">
        <f>ROUND(IF(ISNUMBER(G326),MIN(50,ROUND(50*LOG10(G326+1)/4,1)),5)+IF(ISNUMBER(H326),ROUND(30*(100-H326)/100,1),15)+IF(B326="New",20,10),0)</f>
        <v/>
      </c>
      <c r="L326" t="inlineStr">
        <is>
          <t>KEEP</t>
        </is>
      </c>
      <c r="M326" s="5" t="inlineStr">
        <is>
          <t>Relevant to page intent</t>
        </is>
      </c>
      <c r="N326" s="5" t="inlineStr">
        <is>
          <t>WebP offre généralement le meilleur rapport poids/qualité et est lu par tous les navigateurs récents. JPEG reste universel pour les photos ; PNG est sans perte et conserve la transparence, mais il est</t>
        </is>
      </c>
      <c r="O326" t="inlineStr">
        <is>
          <t>P3</t>
        </is>
      </c>
      <c r="P326" t="inlineStr">
        <is>
          <t>Visible only (no FAQPage schema)</t>
        </is>
      </c>
    </row>
    <row r="327">
      <c r="A327" s="3" t="inlineStr">
        <is>
          <t>https://codesommet.com/tools/image-compressor</t>
        </is>
      </c>
      <c r="B327" t="inlineStr">
        <is>
          <t>Existing</t>
        </is>
      </c>
      <c r="C327" s="5" t="inlineStr">
        <is>
          <t>Quelle qualité utiliser ?</t>
        </is>
      </c>
      <c r="D327" t="inlineStr">
        <is>
          <t>compresser image</t>
        </is>
      </c>
      <c r="E327" t="inlineStr">
        <is>
          <t>fr</t>
        </is>
      </c>
      <c r="F327" s="5" t="inlineStr"/>
      <c r="G327" t="n">
        <v>22200</v>
      </c>
      <c r="H327" t="n">
        <v>28</v>
      </c>
      <c r="I327" t="inlineStr">
        <is>
          <t>Service scope</t>
        </is>
      </c>
      <c r="J327" t="inlineStr">
        <is>
          <t>MEASURED</t>
        </is>
      </c>
      <c r="K327">
        <f>ROUND(IF(ISNUMBER(G327),MIN(50,ROUND(50*LOG10(G327+1)/4,1)),5)+IF(ISNUMBER(H327),ROUND(30*(100-H327)/100,1),15)+IF(B327="New",20,10),0)</f>
        <v/>
      </c>
      <c r="L327" t="inlineStr">
        <is>
          <t>KEEP</t>
        </is>
      </c>
      <c r="M327" s="5" t="inlineStr">
        <is>
          <t>Relevant to page intent</t>
        </is>
      </c>
      <c r="N327" s="5" t="inlineStr">
        <is>
          <t>80 % est un bon équilibre pour les photos ; descendez à 60 % pour des vignettes. La qualité ne s'applique pas au PNG, qui est sans perte.</t>
        </is>
      </c>
      <c r="O327" t="inlineStr">
        <is>
          <t>P3</t>
        </is>
      </c>
      <c r="P327" t="inlineStr">
        <is>
          <t>Visible only (no FAQPage schema)</t>
        </is>
      </c>
    </row>
    <row r="328">
      <c r="A328" s="3" t="inlineStr">
        <is>
          <t>https://codesommet.com/tools/image-compressor</t>
        </is>
      </c>
      <c r="B328" t="inlineStr">
        <is>
          <t>Existing</t>
        </is>
      </c>
      <c r="C328" s="5" t="inlineStr">
        <is>
          <t>Les métadonnées sont-elles conservées ?</t>
        </is>
      </c>
      <c r="D328" t="inlineStr">
        <is>
          <t>compresser image</t>
        </is>
      </c>
      <c r="E328" t="inlineStr">
        <is>
          <t>fr</t>
        </is>
      </c>
      <c r="F328" s="5" t="inlineStr"/>
      <c r="G328" t="n">
        <v>22200</v>
      </c>
      <c r="H328" t="n">
        <v>28</v>
      </c>
      <c r="I328" t="inlineStr">
        <is>
          <t>Compliance / security</t>
        </is>
      </c>
      <c r="J328" t="inlineStr">
        <is>
          <t>MEASURED</t>
        </is>
      </c>
      <c r="K328">
        <f>ROUND(IF(ISNUMBER(G328),MIN(50,ROUND(50*LOG10(G328+1)/4,1)),5)+IF(ISNUMBER(H328),ROUND(30*(100-H328)/100,1),15)+IF(B328="New",20,10),0)</f>
        <v/>
      </c>
      <c r="L328" t="inlineStr">
        <is>
          <t>KEEP</t>
        </is>
      </c>
      <c r="M328" s="5" t="inlineStr">
        <is>
          <t>Relevant to page intent</t>
        </is>
      </c>
      <c r="N328" s="5" t="inlineStr">
        <is>
          <t>Non : la réencodage supprime les métadonnées EXIF (appareil, coordonnées GPS), ce qui allège aussi le fichier. Conservez vos originaux si vous en avez besoin.</t>
        </is>
      </c>
      <c r="O328" t="inlineStr">
        <is>
          <t>P3</t>
        </is>
      </c>
      <c r="P328" t="inlineStr">
        <is>
          <t>Visible only (no FAQPage schema)</t>
        </is>
      </c>
    </row>
    <row r="329">
      <c r="A329" s="3" t="inlineStr">
        <is>
          <t>https://codesommet.com/tools/image-compressor</t>
        </is>
      </c>
      <c r="B329" t="inlineStr">
        <is>
          <t>Existing</t>
        </is>
      </c>
      <c r="C329" s="5" t="inlineStr">
        <is>
          <t>Et si l'image compressée est plus lourde ?</t>
        </is>
      </c>
      <c r="D329" t="inlineStr">
        <is>
          <t>compresser image</t>
        </is>
      </c>
      <c r="E329" t="inlineStr">
        <is>
          <t>fr</t>
        </is>
      </c>
      <c r="F329" s="5" t="inlineStr"/>
      <c r="G329" t="n">
        <v>22200</v>
      </c>
      <c r="H329" t="n">
        <v>28</v>
      </c>
      <c r="I329" t="inlineStr">
        <is>
          <t>Service scope</t>
        </is>
      </c>
      <c r="J329" t="inlineStr">
        <is>
          <t>MEASURED</t>
        </is>
      </c>
      <c r="K329">
        <f>ROUND(IF(ISNUMBER(G329),MIN(50,ROUND(50*LOG10(G329+1)/4,1)),5)+IF(ISNUMBER(H329),ROUND(30*(100-H329)/100,1),15)+IF(B329="New",20,10),0)</f>
        <v/>
      </c>
      <c r="L329" t="inlineStr">
        <is>
          <t>KEEP</t>
        </is>
      </c>
      <c r="M329" s="5" t="inlineStr">
        <is>
          <t>Relevant to page intent</t>
        </is>
      </c>
      <c r="N329" s="5" t="inlineStr">
        <is>
          <t>Cela arrive avec des fichiers déjà très optimisés ou une conversion en PNG. L'outil l'indique clairement : gardez alors l'original.</t>
        </is>
      </c>
      <c r="O329" t="inlineStr">
        <is>
          <t>P3</t>
        </is>
      </c>
      <c r="P329" t="inlineStr">
        <is>
          <t>Visible only (no FAQPage schema)</t>
        </is>
      </c>
    </row>
    <row r="330">
      <c r="A330" s="3" t="inlineStr">
        <is>
          <t>https://codesommet.com/tools/image-compressor</t>
        </is>
      </c>
      <c r="B330" t="inlineStr">
        <is>
          <t>New</t>
        </is>
      </c>
      <c r="C330" s="5" t="inlineStr">
        <is>
          <t>Comment compresser une image sans perte de qualité ?</t>
        </is>
      </c>
      <c r="D330" t="inlineStr">
        <is>
          <t>compresser image</t>
        </is>
      </c>
      <c r="E330" t="inlineStr">
        <is>
          <t>fr</t>
        </is>
      </c>
      <c r="F330" s="5" t="inlineStr">
        <is>
          <t>compresser photo [fr] 9900; réduire taille image [fr] 8100; compresser image [ma] 5400</t>
        </is>
      </c>
      <c r="G330" t="n">
        <v>22200</v>
      </c>
      <c r="H330" t="n">
        <v>28</v>
      </c>
      <c r="I330" t="inlineStr">
        <is>
          <t>Question</t>
        </is>
      </c>
      <c r="J330" t="inlineStr">
        <is>
          <t>MEASURED</t>
        </is>
      </c>
      <c r="K330">
        <f>ROUND(IF(ISNUMBER(G330),MIN(50,ROUND(50*LOG10(G330+1)/4,1)),5)+IF(ISNUMBER(H330),ROUND(30*(100-H330)/100,1),15)+IF(B330="New",20,10),0)</f>
        <v/>
      </c>
      <c r="L330" t="inlineStr">
        <is>
          <t>NEW</t>
        </is>
      </c>
      <c r="M330" s="5" t="inlineStr">
        <is>
          <t>FR 22200 / MA 5400 - largest tool demand. | Why here: Tool page; how-to answer matches searcher task. | Internal link: /tools/image-compression-analyzer</t>
        </is>
      </c>
      <c r="N330" s="5" t="inlineStr">
        <is>
          <t>Lossy vs lossless, WebP, recommended quality, step list.</t>
        </is>
      </c>
      <c r="O330" t="inlineStr">
        <is>
          <t>P2</t>
        </is>
      </c>
      <c r="P330" t="inlineStr"/>
    </row>
    <row r="331">
      <c r="A331" s="3" t="inlineStr">
        <is>
          <t>https://codesommet.com/tools/internal-link-analyzer</t>
        </is>
      </c>
      <c r="B331" t="inlineStr">
        <is>
          <t>Existing</t>
        </is>
      </c>
      <c r="C331" s="5" t="inlineStr">
        <is>
          <t>Pourquoi le maillage interne est-il important pour le SEO ?</t>
        </is>
      </c>
      <c r="D331" t="inlineStr">
        <is>
          <t>maillage interne</t>
        </is>
      </c>
      <c r="E331" t="inlineStr">
        <is>
          <t>fr</t>
        </is>
      </c>
      <c r="F331" s="5" t="inlineStr"/>
      <c r="G331" t="n">
        <v>1900</v>
      </c>
      <c r="H331" t="n">
        <v>25</v>
      </c>
      <c r="I331" t="inlineStr">
        <is>
          <t>SEO</t>
        </is>
      </c>
      <c r="J331" t="inlineStr">
        <is>
          <t>MEASURED</t>
        </is>
      </c>
      <c r="K331">
        <f>ROUND(IF(ISNUMBER(G331),MIN(50,ROUND(50*LOG10(G331+1)/4,1)),5)+IF(ISNUMBER(H331),ROUND(30*(100-H331)/100,1),15)+IF(B331="New",20,10),0)</f>
        <v/>
      </c>
      <c r="L331" t="inlineStr">
        <is>
          <t>KEEP</t>
        </is>
      </c>
      <c r="M331" s="5" t="inlineStr">
        <is>
          <t>Relevant to page intent</t>
        </is>
      </c>
      <c r="N331" s="5" t="inlineStr">
        <is>
          <t>Le maillage interne aide les moteurs de recherche à découvrir et indexer votre contenu, transmet le PageRank (équité de lien) entre les pages, établit la hiérarchie du site et améliore la navigation u</t>
        </is>
      </c>
      <c r="O331" t="inlineStr">
        <is>
          <t>P3</t>
        </is>
      </c>
      <c r="P331" t="inlineStr">
        <is>
          <t>Visible only (no FAQPage schema)</t>
        </is>
      </c>
    </row>
    <row r="332">
      <c r="A332" s="3" t="inlineStr">
        <is>
          <t>https://codesommet.com/tools/internal-link-analyzer</t>
        </is>
      </c>
      <c r="B332" t="inlineStr">
        <is>
          <t>Existing</t>
        </is>
      </c>
      <c r="C332" s="5" t="inlineStr">
        <is>
          <t>Combien de liens internes dois-je avoir par page ?</t>
        </is>
      </c>
      <c r="D332" t="inlineStr">
        <is>
          <t>liens internes</t>
        </is>
      </c>
      <c r="E332" t="inlineStr">
        <is>
          <t>fr</t>
        </is>
      </c>
      <c r="F332" s="5" t="inlineStr"/>
      <c r="G332" t="n">
        <v>70</v>
      </c>
      <c r="H332" t="n">
        <v>18</v>
      </c>
      <c r="I332" t="inlineStr">
        <is>
          <t>Service scope</t>
        </is>
      </c>
      <c r="J332" t="inlineStr">
        <is>
          <t>MEASURED</t>
        </is>
      </c>
      <c r="K332">
        <f>ROUND(IF(ISNUMBER(G332),MIN(50,ROUND(50*LOG10(G332+1)/4,1)),5)+IF(ISNUMBER(H332),ROUND(30*(100-H332)/100,1),15)+IF(B332="New",20,10),0)</f>
        <v/>
      </c>
      <c r="L332" t="inlineStr">
        <is>
          <t>KEEP</t>
        </is>
      </c>
      <c r="M332" s="5" t="inlineStr">
        <is>
          <t>Relevant to page intent</t>
        </is>
      </c>
      <c r="N332" s="5" t="inlineStr">
        <is>
          <t>Il n'y a pas de limite stricte, mais visez 2 à 5 liens internes contextuels dans les articles de blog et jusqu'à 10-15 dans les guides complets. Privilégiez la qualité à la quantité — ne créez des lie</t>
        </is>
      </c>
      <c r="O332" t="inlineStr">
        <is>
          <t>P3</t>
        </is>
      </c>
      <c r="P332" t="inlineStr">
        <is>
          <t>Visible only (no FAQPage schema)</t>
        </is>
      </c>
    </row>
    <row r="333">
      <c r="A333" s="3" t="inlineStr">
        <is>
          <t>https://codesommet.com/tools/internal-link-analyzer</t>
        </is>
      </c>
      <c r="B333" t="inlineStr">
        <is>
          <t>Existing</t>
        </is>
      </c>
      <c r="C333" s="5" t="inlineStr">
        <is>
          <t>Quel est le meilleur texte d'ancrage pour les liens internes ?</t>
        </is>
      </c>
      <c r="D333" t="inlineStr">
        <is>
          <t>liens internes</t>
        </is>
      </c>
      <c r="E333" t="inlineStr">
        <is>
          <t>fr</t>
        </is>
      </c>
      <c r="F333" s="5" t="inlineStr"/>
      <c r="G333" t="n">
        <v>70</v>
      </c>
      <c r="H333" t="n">
        <v>18</v>
      </c>
      <c r="I333" t="inlineStr">
        <is>
          <t>Service scope</t>
        </is>
      </c>
      <c r="J333" t="inlineStr">
        <is>
          <t>MEASURED</t>
        </is>
      </c>
      <c r="K333">
        <f>ROUND(IF(ISNUMBER(G333),MIN(50,ROUND(50*LOG10(G333+1)/4,1)),5)+IF(ISNUMBER(H333),ROUND(30*(100-H333)/100,1),15)+IF(B333="New",20,10),0)</f>
        <v/>
      </c>
      <c r="L333" t="inlineStr">
        <is>
          <t>KEEP</t>
        </is>
      </c>
      <c r="M333" s="5" t="inlineStr">
        <is>
          <t>Relevant to page intent</t>
        </is>
      </c>
      <c r="N333" s="5" t="inlineStr">
        <is>
          <t>La profondeur de lien fait référence au nombre de clics nécessaires pour atteindre une page depuis la page d'accueil. Les pages avec moins de clics (profondeur faible) reçoivent plus de PageRank et so</t>
        </is>
      </c>
      <c r="O333" t="inlineStr">
        <is>
          <t>P3</t>
        </is>
      </c>
      <c r="P333" t="inlineStr">
        <is>
          <t>Visible only (no FAQPage schema)</t>
        </is>
      </c>
    </row>
    <row r="334">
      <c r="A334" s="3" t="inlineStr">
        <is>
          <t>https://codesommet.com/tools/internal-link-analyzer</t>
        </is>
      </c>
      <c r="B334" t="inlineStr">
        <is>
          <t>Existing</t>
        </is>
      </c>
      <c r="C334" s="5" t="inlineStr">
        <is>
          <t>Que sont les pages orphelines et comment les corriger ?</t>
        </is>
      </c>
      <c r="D334" t="inlineStr">
        <is>
          <t>maillage interne</t>
        </is>
      </c>
      <c r="E334" t="inlineStr">
        <is>
          <t>fr</t>
        </is>
      </c>
      <c r="F334" s="5" t="inlineStr"/>
      <c r="G334" t="n">
        <v>1900</v>
      </c>
      <c r="H334" t="n">
        <v>25</v>
      </c>
      <c r="I334" t="inlineStr">
        <is>
          <t>Definition / how it works</t>
        </is>
      </c>
      <c r="J334" t="inlineStr">
        <is>
          <t>MEASURED</t>
        </is>
      </c>
      <c r="K334">
        <f>ROUND(IF(ISNUMBER(G334),MIN(50,ROUND(50*LOG10(G334+1)/4,1)),5)+IF(ISNUMBER(H334),ROUND(30*(100-H334)/100,1),15)+IF(B334="New",20,10),0)</f>
        <v/>
      </c>
      <c r="L334" t="inlineStr">
        <is>
          <t>KEEP</t>
        </is>
      </c>
      <c r="M334" s="5" t="inlineStr">
        <is>
          <t>Relevant to page intent</t>
        </is>
      </c>
      <c r="N334" s="5" t="inlineStr">
        <is>
          <t xml:space="preserve">Les pages orphelines n'ont aucun lien interne pointant vers elles, ce qui les rend difficiles à découvrir et indexer par les moteurs de recherche. Trouvez les pages orphelines en utilisant des outils </t>
        </is>
      </c>
      <c r="O334" t="inlineStr">
        <is>
          <t>P3</t>
        </is>
      </c>
      <c r="P334" t="inlineStr">
        <is>
          <t>Visible only (no FAQPage schema)</t>
        </is>
      </c>
    </row>
    <row r="335">
      <c r="A335" s="3" t="inlineStr">
        <is>
          <t>https://codesommet.com/tools/internal-link-analyzer</t>
        </is>
      </c>
      <c r="B335" t="inlineStr">
        <is>
          <t>Existing</t>
        </is>
      </c>
      <c r="C335" s="5" t="inlineStr">
        <is>
          <t>Dois-je utiliser nofollow sur les liens internes ?</t>
        </is>
      </c>
      <c r="D335" t="inlineStr">
        <is>
          <t>liens internes</t>
        </is>
      </c>
      <c r="E335" t="inlineStr">
        <is>
          <t>fr</t>
        </is>
      </c>
      <c r="F335" s="5" t="inlineStr"/>
      <c r="G335" t="n">
        <v>70</v>
      </c>
      <c r="H335" t="n">
        <v>18</v>
      </c>
      <c r="I335" t="inlineStr">
        <is>
          <t>Service scope</t>
        </is>
      </c>
      <c r="J335" t="inlineStr">
        <is>
          <t>MEASURED</t>
        </is>
      </c>
      <c r="K335">
        <f>ROUND(IF(ISNUMBER(G335),MIN(50,ROUND(50*LOG10(G335+1)/4,1)),5)+IF(ISNUMBER(H335),ROUND(30*(100-H335)/100,1),15)+IF(B335="New",20,10),0)</f>
        <v/>
      </c>
      <c r="L335" t="inlineStr">
        <is>
          <t>KEEP</t>
        </is>
      </c>
      <c r="M335" s="5" t="inlineStr">
        <is>
          <t>Relevant to page intent</t>
        </is>
      </c>
      <c r="N335" s="5" t="inlineStr">
        <is>
          <t>Non, n'utilisez jamais nofollow sur les liens internes. L'attribut nofollow empêche les moteurs de recherche de transmettre le PageRank à la page liée. Les liens internes devraient toujours être en do</t>
        </is>
      </c>
      <c r="O335" t="inlineStr">
        <is>
          <t>P3</t>
        </is>
      </c>
      <c r="P335" t="inlineStr">
        <is>
          <t>Visible only (no FAQPage schema)</t>
        </is>
      </c>
    </row>
    <row r="336">
      <c r="A336" s="3" t="inlineStr">
        <is>
          <t>https://codesommet.com/tools/internal-link-analyzer</t>
        </is>
      </c>
      <c r="B336" t="inlineStr">
        <is>
          <t>Existing</t>
        </is>
      </c>
      <c r="C336" s="5" t="inlineStr">
        <is>
          <t>Comment corriger les liens internes cassés ?</t>
        </is>
      </c>
      <c r="D336" t="inlineStr">
        <is>
          <t>liens internes</t>
        </is>
      </c>
      <c r="E336" t="inlineStr">
        <is>
          <t>fr</t>
        </is>
      </c>
      <c r="F336" s="5" t="inlineStr"/>
      <c r="G336" t="n">
        <v>70</v>
      </c>
      <c r="H336" t="n">
        <v>18</v>
      </c>
      <c r="I336" t="inlineStr">
        <is>
          <t>Service scope</t>
        </is>
      </c>
      <c r="J336" t="inlineStr">
        <is>
          <t>MEASURED</t>
        </is>
      </c>
      <c r="K336">
        <f>ROUND(IF(ISNUMBER(G336),MIN(50,ROUND(50*LOG10(G336+1)/4,1)),5)+IF(ISNUMBER(H336),ROUND(30*(100-H336)/100,1),15)+IF(B336="New",20,10),0)</f>
        <v/>
      </c>
      <c r="L336" t="inlineStr">
        <is>
          <t>KEEP</t>
        </is>
      </c>
      <c r="M336" s="5" t="inlineStr">
        <is>
          <t>Relevant to page intent</t>
        </is>
      </c>
      <c r="N336" s="5" t="inlineStr">
        <is>
          <t>Utilisez cet outil pour identifier les vérificateur de liens brisés (erreurs 404) , puis soit mettez à jour l'URL vers la bonne destination, créez une redirection 301 de l'ancienne URL vers une page p</t>
        </is>
      </c>
      <c r="O336" t="inlineStr">
        <is>
          <t>P3</t>
        </is>
      </c>
      <c r="P336" t="inlineStr">
        <is>
          <t>Visible only (no FAQPage schema)</t>
        </is>
      </c>
    </row>
    <row r="337">
      <c r="A337" s="3" t="inlineStr">
        <is>
          <t>https://codesommet.com/tools/invisible-character-cleaner</t>
        </is>
      </c>
      <c r="B337" t="inlineStr">
        <is>
          <t>Existing</t>
        </is>
      </c>
      <c r="C337" s="5" t="inlineStr">
        <is>
          <t>Quels caractères sont toujours supprimés ?</t>
        </is>
      </c>
      <c r="D337" t="inlineStr">
        <is>
          <t>caractère invisible</t>
        </is>
      </c>
      <c r="E337" t="inlineStr">
        <is>
          <t>fr</t>
        </is>
      </c>
      <c r="F337" s="5" t="inlineStr"/>
      <c r="G337" t="n">
        <v>6600</v>
      </c>
      <c r="H337" t="n">
        <v>16</v>
      </c>
      <c r="I337" t="inlineStr">
        <is>
          <t>Service scope</t>
        </is>
      </c>
      <c r="J337" t="inlineStr">
        <is>
          <t>MEASURED</t>
        </is>
      </c>
      <c r="K337">
        <f>ROUND(IF(ISNUMBER(G337),MIN(50,ROUND(50*LOG10(G337+1)/4,1)),5)+IF(ISNUMBER(H337),ROUND(30*(100-H337)/100,1),15)+IF(B337="New",20,10),0)</f>
        <v/>
      </c>
      <c r="L337" t="inlineStr">
        <is>
          <t>KEEP</t>
        </is>
      </c>
      <c r="M337" s="5" t="inlineStr">
        <is>
          <t>Relevant to page intent</t>
        </is>
      </c>
      <c r="N337" s="5" t="inlineStr">
        <is>
          <t xml:space="preserve">Les espaces de largeur nulle (U+200B à U+200D, U+2060, U+FEFF), les marques et contrôles de direction (U+200E, U+200F, U+202A à U+202E, U+2066 à U+2069), le trait d'union conditionnel (U+00AD) et les </t>
        </is>
      </c>
      <c r="O337" t="inlineStr">
        <is>
          <t>P3</t>
        </is>
      </c>
      <c r="P337" t="inlineStr">
        <is>
          <t>Visible only (no FAQPage schema)</t>
        </is>
      </c>
    </row>
    <row r="338">
      <c r="A338" s="3" t="inlineStr">
        <is>
          <t>https://codesommet.com/tools/invisible-character-cleaner</t>
        </is>
      </c>
      <c r="B338" t="inlineStr">
        <is>
          <t>Existing</t>
        </is>
      </c>
      <c r="C338" s="5" t="inlineStr">
        <is>
          <t>Pourquoi c'est un problème pour le SEO ?</t>
        </is>
      </c>
      <c r="D338" t="inlineStr">
        <is>
          <t>agence seo maroc</t>
        </is>
      </c>
      <c r="E338" t="inlineStr">
        <is>
          <t>ma</t>
        </is>
      </c>
      <c r="F338" s="5" t="inlineStr"/>
      <c r="G338" t="n">
        <v>880</v>
      </c>
      <c r="H338" t="n">
        <v>44</v>
      </c>
      <c r="I338" t="inlineStr">
        <is>
          <t>SEO</t>
        </is>
      </c>
      <c r="J338" t="inlineStr">
        <is>
          <t>MEASURED</t>
        </is>
      </c>
      <c r="K338">
        <f>ROUND(IF(ISNUMBER(G338),MIN(50,ROUND(50*LOG10(G338+1)/4,1)),5)+IF(ISNUMBER(H338),ROUND(30*(100-H338)/100,1),15)+IF(B338="New",20,10),0)</f>
        <v/>
      </c>
      <c r="L338" t="inlineStr">
        <is>
          <t>KEEP</t>
        </is>
      </c>
      <c r="M338" s="5" t="inlineStr">
        <is>
          <t>Relevant to page intent</t>
        </is>
      </c>
      <c r="N338" s="5" t="inlineStr">
        <is>
          <t>Un caractère invisible dans une balise title, une URL ou un mot-clé crée une chaîne différente de celle attendue : recherches internes qui échouent, doublons apparents, affichage inattendu dans les ré</t>
        </is>
      </c>
      <c r="O338" t="inlineStr">
        <is>
          <t>P3</t>
        </is>
      </c>
      <c r="P338" t="inlineStr">
        <is>
          <t>Visible only (no FAQPage schema)</t>
        </is>
      </c>
    </row>
    <row r="339">
      <c r="A339" s="3" t="inlineStr">
        <is>
          <t>https://codesommet.com/tools/invisible-character-cleaner</t>
        </is>
      </c>
      <c r="B339" t="inlineStr">
        <is>
          <t>Existing</t>
        </is>
      </c>
      <c r="C339" s="5" t="inlineStr">
        <is>
          <t>Les emojis sont-ils conservés ?</t>
        </is>
      </c>
      <c r="D339" t="inlineStr">
        <is>
          <t>caractère invisible</t>
        </is>
      </c>
      <c r="E339" t="inlineStr">
        <is>
          <t>fr</t>
        </is>
      </c>
      <c r="F339" s="5" t="inlineStr"/>
      <c r="G339" t="n">
        <v>6600</v>
      </c>
      <c r="H339" t="n">
        <v>16</v>
      </c>
      <c r="I339" t="inlineStr">
        <is>
          <t>Service scope</t>
        </is>
      </c>
      <c r="J339" t="inlineStr">
        <is>
          <t>MEASURED</t>
        </is>
      </c>
      <c r="K339">
        <f>ROUND(IF(ISNUMBER(G339),MIN(50,ROUND(50*LOG10(G339+1)/4,1)),5)+IF(ISNUMBER(H339),ROUND(30*(100-H339)/100,1),15)+IF(B339="New",20,10),0)</f>
        <v/>
      </c>
      <c r="L339" t="inlineStr">
        <is>
          <t>KEEP</t>
        </is>
      </c>
      <c r="M339" s="5" t="inlineStr">
        <is>
          <t>Relevant to page intent</t>
        </is>
      </c>
      <c r="N339" s="5" t="inlineStr">
        <is>
          <t>Oui. Le joint de largeur nulle (U+200D) qui compose certains emojis est conservé lorsqu'il se trouve entre deux emojis, et les sélecteurs de variante ne sont pas touchés.</t>
        </is>
      </c>
      <c r="O339" t="inlineStr">
        <is>
          <t>P3</t>
        </is>
      </c>
      <c r="P339" t="inlineStr">
        <is>
          <t>Visible only (no FAQPage schema)</t>
        </is>
      </c>
    </row>
    <row r="340">
      <c r="A340" s="3" t="inlineStr">
        <is>
          <t>https://codesommet.com/tools/invisible-character-cleaner</t>
        </is>
      </c>
      <c r="B340" t="inlineStr">
        <is>
          <t>Existing</t>
        </is>
      </c>
      <c r="C340" s="5" t="inlineStr">
        <is>
          <t>Cet outil rend-il un texte « indétectable » ?</t>
        </is>
      </c>
      <c r="D340" t="inlineStr">
        <is>
          <t>caractère invisible</t>
        </is>
      </c>
      <c r="E340" t="inlineStr">
        <is>
          <t>fr</t>
        </is>
      </c>
      <c r="F340" s="5" t="inlineStr"/>
      <c r="G340" t="n">
        <v>6600</v>
      </c>
      <c r="H340" t="n">
        <v>16</v>
      </c>
      <c r="I340" t="inlineStr">
        <is>
          <t>Service scope</t>
        </is>
      </c>
      <c r="J340" t="inlineStr">
        <is>
          <t>MEASURED</t>
        </is>
      </c>
      <c r="K340">
        <f>ROUND(IF(ISNUMBER(G340),MIN(50,ROUND(50*LOG10(G340+1)/4,1)),5)+IF(ISNUMBER(H340),ROUND(30*(100-H340)/100,1),15)+IF(B340="New",20,10),0)</f>
        <v/>
      </c>
      <c r="L340" t="inlineStr">
        <is>
          <t>KEEP</t>
        </is>
      </c>
      <c r="M340" s="5" t="inlineStr">
        <is>
          <t>Relevant to page intent</t>
        </is>
      </c>
      <c r="N340" s="5" t="inlineStr">
        <is>
          <t>Non. Il nettoie des caractères techniques ; il ne modifie ni le style ni le vocabulaire d'un texte et ne prétend pas masquer son origine.</t>
        </is>
      </c>
      <c r="O340" t="inlineStr">
        <is>
          <t>P3</t>
        </is>
      </c>
      <c r="P340" t="inlineStr">
        <is>
          <t>Visible only (no FAQPage schema)</t>
        </is>
      </c>
    </row>
    <row r="341">
      <c r="A341" s="3" t="inlineStr">
        <is>
          <t>https://codesommet.com/tools/invisible-character-cleaner</t>
        </is>
      </c>
      <c r="B341" t="inlineStr">
        <is>
          <t>New</t>
        </is>
      </c>
      <c r="C341" s="5" t="inlineStr">
        <is>
          <t>Qu'est-ce qu'un caractère invisible et pourquoi le supprimer ?</t>
        </is>
      </c>
      <c r="D341" t="inlineStr">
        <is>
          <t>caractère invisible</t>
        </is>
      </c>
      <c r="E341" t="inlineStr">
        <is>
          <t>fr</t>
        </is>
      </c>
      <c r="F341" s="5" t="inlineStr">
        <is>
          <t>caractère invisible [ma] 260</t>
        </is>
      </c>
      <c r="G341" t="n">
        <v>6600</v>
      </c>
      <c r="H341" t="n">
        <v>16</v>
      </c>
      <c r="I341" t="inlineStr">
        <is>
          <t>Question</t>
        </is>
      </c>
      <c r="J341" t="inlineStr">
        <is>
          <t>MEASURED</t>
        </is>
      </c>
      <c r="K341">
        <f>ROUND(IF(ISNUMBER(G341),MIN(50,ROUND(50*LOG10(G341+1)/4,1)),5)+IF(ISNUMBER(H341),ROUND(30*(100-H341)/100,1),15)+IF(B341="New",20,10),0)</f>
        <v/>
      </c>
      <c r="L341" t="inlineStr">
        <is>
          <t>NEW</t>
        </is>
      </c>
      <c r="M341" s="5" t="inlineStr">
        <is>
          <t>FR 6600, KD 16 - very high demand at low difficulty. | Why here: Exact tool topic. | Internal link: /tools/text-editor</t>
        </is>
      </c>
      <c r="N341" s="5" t="inlineStr">
        <is>
          <t>Zero-width chars, where they come from (copy-paste, AI tools), risks.</t>
        </is>
      </c>
      <c r="O341" t="inlineStr">
        <is>
          <t>P2</t>
        </is>
      </c>
      <c r="P341" t="inlineStr"/>
    </row>
    <row r="342">
      <c r="A342" s="3" t="inlineStr">
        <is>
          <t>https://codesommet.com/tools/json-formatter</t>
        </is>
      </c>
      <c r="B342" t="inlineStr">
        <is>
          <t>Existing</t>
        </is>
      </c>
      <c r="C342" s="5" t="inlineStr">
        <is>
          <t>Qu'est-ce que le JSON et pourquoi est-ce important ?</t>
        </is>
      </c>
      <c r="D342" t="inlineStr">
        <is>
          <t>json formatter</t>
        </is>
      </c>
      <c r="E342" t="inlineStr">
        <is>
          <t>fr</t>
        </is>
      </c>
      <c r="F342" s="5" t="inlineStr"/>
      <c r="G342" t="n">
        <v>12100</v>
      </c>
      <c r="H342" t="n">
        <v>74</v>
      </c>
      <c r="I342" t="inlineStr">
        <is>
          <t>Definition / how it works</t>
        </is>
      </c>
      <c r="J342" t="inlineStr">
        <is>
          <t>MEASURED</t>
        </is>
      </c>
      <c r="K342">
        <f>ROUND(IF(ISNUMBER(G342),MIN(50,ROUND(50*LOG10(G342+1)/4,1)),5)+IF(ISNUMBER(H342),ROUND(30*(100-H342)/100,1),15)+IF(B342="New",20,10),0)</f>
        <v/>
      </c>
      <c r="L342" t="inlineStr">
        <is>
          <t>KEEP</t>
        </is>
      </c>
      <c r="M342" s="5" t="inlineStr">
        <is>
          <t>Relevant to page intent</t>
        </is>
      </c>
      <c r="N342" s="5" t="inlineStr">
        <is>
          <t xml:space="preserve">JSON (JavaScript Object Notation) est un format de données léger utilisé pour échanger des données entre serveurs et applications web. Il est lisible par l'humain, indépendant du langage et le format </t>
        </is>
      </c>
      <c r="O342" t="inlineStr">
        <is>
          <t>P3</t>
        </is>
      </c>
      <c r="P342" t="inlineStr">
        <is>
          <t>Visible only (no FAQPage schema)</t>
        </is>
      </c>
    </row>
    <row r="343">
      <c r="A343" s="3" t="inlineStr">
        <is>
          <t>https://codesommet.com/tools/json-formatter</t>
        </is>
      </c>
      <c r="B343" t="inlineStr">
        <is>
          <t>Existing</t>
        </is>
      </c>
      <c r="C343" s="5" t="inlineStr">
        <is>
          <t>Quelles sont les erreurs de syntaxe JSON les plus courantes ?</t>
        </is>
      </c>
      <c r="D343" t="inlineStr">
        <is>
          <t>json formatter</t>
        </is>
      </c>
      <c r="E343" t="inlineStr">
        <is>
          <t>fr</t>
        </is>
      </c>
      <c r="F343" s="5" t="inlineStr"/>
      <c r="G343" t="n">
        <v>12100</v>
      </c>
      <c r="H343" t="n">
        <v>74</v>
      </c>
      <c r="I343" t="inlineStr">
        <is>
          <t>Service scope</t>
        </is>
      </c>
      <c r="J343" t="inlineStr">
        <is>
          <t>MEASURED</t>
        </is>
      </c>
      <c r="K343">
        <f>ROUND(IF(ISNUMBER(G343),MIN(50,ROUND(50*LOG10(G343+1)/4,1)),5)+IF(ISNUMBER(H343),ROUND(30*(100-H343)/100,1),15)+IF(B343="New",20,10),0)</f>
        <v/>
      </c>
      <c r="L343" t="inlineStr">
        <is>
          <t>KEEP</t>
        </is>
      </c>
      <c r="M343" s="5" t="inlineStr">
        <is>
          <t>Relevant to page intent</t>
        </is>
      </c>
      <c r="N343" s="5" t="inlineStr">
        <is>
          <t>Les erreurs JSON courantes incluent : virgules manquantes ou en trop, clés non entre guillemets, guillemets simples au lieu de doubles, virgules finales dans les tableaux/objets et caractères spéciaux</t>
        </is>
      </c>
      <c r="O343" t="inlineStr">
        <is>
          <t>P3</t>
        </is>
      </c>
      <c r="P343" t="inlineStr">
        <is>
          <t>Visible only (no FAQPage schema)</t>
        </is>
      </c>
    </row>
    <row r="344">
      <c r="A344" s="3" t="inlineStr">
        <is>
          <t>https://codesommet.com/tools/json-formatter</t>
        </is>
      </c>
      <c r="B344" t="inlineStr">
        <is>
          <t>Existing</t>
        </is>
      </c>
      <c r="C344" s="5" t="inlineStr">
        <is>
          <t>Quand dois-je formater ou minifier le JSON ?</t>
        </is>
      </c>
      <c r="D344" t="inlineStr">
        <is>
          <t>formater json</t>
        </is>
      </c>
      <c r="E344" t="inlineStr">
        <is>
          <t>fr</t>
        </is>
      </c>
      <c r="F344" s="5" t="inlineStr"/>
      <c r="G344" t="n">
        <v>110</v>
      </c>
      <c r="H344" t="n">
        <v>63</v>
      </c>
      <c r="I344" t="inlineStr">
        <is>
          <t>Timeline</t>
        </is>
      </c>
      <c r="J344" t="inlineStr">
        <is>
          <t>MEASURED</t>
        </is>
      </c>
      <c r="K344">
        <f>ROUND(IF(ISNUMBER(G344),MIN(50,ROUND(50*LOG10(G344+1)/4,1)),5)+IF(ISNUMBER(H344),ROUND(30*(100-H344)/100,1),15)+IF(B344="New",20,10),0)</f>
        <v/>
      </c>
      <c r="L344" t="inlineStr">
        <is>
          <t>KEEP</t>
        </is>
      </c>
      <c r="M344" s="5" t="inlineStr">
        <is>
          <t>Matches measured pre-purchase demand</t>
        </is>
      </c>
      <c r="N344" s="5" t="inlineStr">
        <is>
          <t>Formatez le JSON quand vous devez lire, déboguer ou maintenir du code — cela rend la structure claire avec une indentation appropriée. Minifiez le JSON pour les environnements de production afin de ré</t>
        </is>
      </c>
      <c r="O344" t="inlineStr">
        <is>
          <t>P3</t>
        </is>
      </c>
      <c r="P344" t="inlineStr">
        <is>
          <t>Visible only (no FAQPage schema)</t>
        </is>
      </c>
    </row>
    <row r="345">
      <c r="A345" s="3" t="inlineStr">
        <is>
          <t>https://codesommet.com/tools/json-formatter</t>
        </is>
      </c>
      <c r="B345" t="inlineStr">
        <is>
          <t>Existing</t>
        </is>
      </c>
      <c r="C345" s="5" t="inlineStr">
        <is>
          <t>Pourquoi dois-je valider le JSON avant de l'utiliser en production ?</t>
        </is>
      </c>
      <c r="D345" t="inlineStr">
        <is>
          <t>json formatter</t>
        </is>
      </c>
      <c r="E345" t="inlineStr">
        <is>
          <t>fr</t>
        </is>
      </c>
      <c r="F345" s="5" t="inlineStr"/>
      <c r="G345" t="n">
        <v>12100</v>
      </c>
      <c r="H345" t="n">
        <v>74</v>
      </c>
      <c r="I345" t="inlineStr">
        <is>
          <t>Service scope</t>
        </is>
      </c>
      <c r="J345" t="inlineStr">
        <is>
          <t>MEASURED</t>
        </is>
      </c>
      <c r="K345">
        <f>ROUND(IF(ISNUMBER(G345),MIN(50,ROUND(50*LOG10(G345+1)/4,1)),5)+IF(ISNUMBER(H345),ROUND(30*(100-H345)/100,1),15)+IF(B345="New",20,10),0)</f>
        <v/>
      </c>
      <c r="L345" t="inlineStr">
        <is>
          <t>KEEP</t>
        </is>
      </c>
      <c r="M345" s="5" t="inlineStr">
        <is>
          <t>Relevant to page intent</t>
        </is>
      </c>
      <c r="N345" s="5" t="inlineStr">
        <is>
          <t>Un JSON invalide peut provoquer des plantages d'application, des échecs d'API et une corruption de données. La validation garantit que votre structure JSON est syntaxiquement correcte avant le déploie</t>
        </is>
      </c>
      <c r="O345" t="inlineStr">
        <is>
          <t>P3</t>
        </is>
      </c>
      <c r="P345" t="inlineStr">
        <is>
          <t>Visible only (no FAQPage schema)</t>
        </is>
      </c>
    </row>
    <row r="346">
      <c r="A346" s="3" t="inlineStr">
        <is>
          <t>https://codesommet.com/tools/json-formatter</t>
        </is>
      </c>
      <c r="B346" t="inlineStr">
        <is>
          <t>Existing</t>
        </is>
      </c>
      <c r="C346" s="5" t="inlineStr">
        <is>
          <t>Comment le JSON aide-t-il au développement d'API ?</t>
        </is>
      </c>
      <c r="D346" t="inlineStr">
        <is>
          <t>json formatter</t>
        </is>
      </c>
      <c r="E346" t="inlineStr">
        <is>
          <t>fr</t>
        </is>
      </c>
      <c r="F346" s="5" t="inlineStr"/>
      <c r="G346" t="n">
        <v>12100</v>
      </c>
      <c r="H346" t="n">
        <v>74</v>
      </c>
      <c r="I346" t="inlineStr">
        <is>
          <t>Service scope</t>
        </is>
      </c>
      <c r="J346" t="inlineStr">
        <is>
          <t>MEASURED</t>
        </is>
      </c>
      <c r="K346">
        <f>ROUND(IF(ISNUMBER(G346),MIN(50,ROUND(50*LOG10(G346+1)/4,1)),5)+IF(ISNUMBER(H346),ROUND(30*(100-H346)/100,1),15)+IF(B346="New",20,10),0)</f>
        <v/>
      </c>
      <c r="L346" t="inlineStr">
        <is>
          <t>KEEP</t>
        </is>
      </c>
      <c r="M346" s="5" t="inlineStr">
        <is>
          <t>Relevant to page intent</t>
        </is>
      </c>
      <c r="N346" s="5" t="inlineStr">
        <is>
          <t>JSON est le format standard pour les API REST et les services web modernes. Il permet l'échange de données structurées entre différents systèmes indépendamment du langage de programmation. Utilisez no</t>
        </is>
      </c>
      <c r="O346" t="inlineStr">
        <is>
          <t>P3</t>
        </is>
      </c>
      <c r="P346" t="inlineStr">
        <is>
          <t>Visible only (no FAQPage schema)</t>
        </is>
      </c>
    </row>
    <row r="347">
      <c r="A347" s="3" t="inlineStr">
        <is>
          <t>https://codesommet.com/tools/json-formatter</t>
        </is>
      </c>
      <c r="B347" t="inlineStr">
        <is>
          <t>Existing</t>
        </is>
      </c>
      <c r="C347" s="5" t="inlineStr">
        <is>
          <t>Quelle est la différence entre JSON et XML ?</t>
        </is>
      </c>
      <c r="D347" t="inlineStr">
        <is>
          <t>json formatter</t>
        </is>
      </c>
      <c r="E347" t="inlineStr">
        <is>
          <t>fr</t>
        </is>
      </c>
      <c r="F347" s="5" t="inlineStr"/>
      <c r="G347" t="n">
        <v>12100</v>
      </c>
      <c r="H347" t="n">
        <v>74</v>
      </c>
      <c r="I347" t="inlineStr">
        <is>
          <t>Differentiation</t>
        </is>
      </c>
      <c r="J347" t="inlineStr">
        <is>
          <t>MEASURED</t>
        </is>
      </c>
      <c r="K347">
        <f>ROUND(IF(ISNUMBER(G347),MIN(50,ROUND(50*LOG10(G347+1)/4,1)),5)+IF(ISNUMBER(H347),ROUND(30*(100-H347)/100,1),15)+IF(B347="New",20,10),0)</f>
        <v/>
      </c>
      <c r="L347" t="inlineStr">
        <is>
          <t>KEEP</t>
        </is>
      </c>
      <c r="M347" s="5" t="inlineStr">
        <is>
          <t>Relevant to page intent</t>
        </is>
      </c>
      <c r="N347" s="5" t="inlineStr">
        <is>
          <t>JSON est plus léger, plus facile à lire et plus rapide à analyser que XML. Il a un support natif en JavaScript et nécessite moins de code pour représenter les mêmes données. JSON utilise des paires cl</t>
        </is>
      </c>
      <c r="O347" t="inlineStr">
        <is>
          <t>P3</t>
        </is>
      </c>
      <c r="P347" t="inlineStr">
        <is>
          <t>Visible only (no FAQPage schema)</t>
        </is>
      </c>
    </row>
    <row r="348">
      <c r="A348" s="3" t="inlineStr">
        <is>
          <t>https://codesommet.com/tools/json-formatter</t>
        </is>
      </c>
      <c r="B348" t="inlineStr">
        <is>
          <t>Existing</t>
        </is>
      </c>
      <c r="C348" s="5" t="inlineStr">
        <is>
          <t>Quelles sont les bonnes pratiques pour travailler avec le JSON ?</t>
        </is>
      </c>
      <c r="D348" t="inlineStr">
        <is>
          <t>json formatter</t>
        </is>
      </c>
      <c r="E348" t="inlineStr">
        <is>
          <t>fr</t>
        </is>
      </c>
      <c r="F348" s="5" t="inlineStr"/>
      <c r="G348" t="n">
        <v>12100</v>
      </c>
      <c r="H348" t="n">
        <v>74</v>
      </c>
      <c r="I348" t="inlineStr">
        <is>
          <t>Service scope</t>
        </is>
      </c>
      <c r="J348" t="inlineStr">
        <is>
          <t>MEASURED</t>
        </is>
      </c>
      <c r="K348">
        <f>ROUND(IF(ISNUMBER(G348),MIN(50,ROUND(50*LOG10(G348+1)/4,1)),5)+IF(ISNUMBER(H348),ROUND(30*(100-H348)/100,1),15)+IF(B348="New",20,10),0)</f>
        <v/>
      </c>
      <c r="L348" t="inlineStr">
        <is>
          <t>KEEP</t>
        </is>
      </c>
      <c r="M348" s="5" t="inlineStr">
        <is>
          <t>Relevant to page intent</t>
        </is>
      </c>
      <c r="N348" s="5" t="inlineStr">
        <is>
          <t>Validez toujours le JSON avant le déploiement, utilisez une indentation cohérente (2 ou 4 espaces), gardez les clés descriptives en camelCase, évitez l'imbrication profonde (maximum 3-4 niveaux) et mi</t>
        </is>
      </c>
      <c r="O348" t="inlineStr">
        <is>
          <t>P3</t>
        </is>
      </c>
      <c r="P348" t="inlineStr">
        <is>
          <t>Visible only (no FAQPage schema)</t>
        </is>
      </c>
    </row>
    <row r="349">
      <c r="A349" s="3" t="inlineStr">
        <is>
          <t>https://codesommet.com/tools/keyword-density-analyzer</t>
        </is>
      </c>
      <c r="B349" t="inlineStr">
        <is>
          <t>Existing</t>
        </is>
      </c>
      <c r="C349" s="5" t="inlineStr">
        <is>
          <t>Quelle est la densité de mots-clés idéale pour le SEO ?</t>
        </is>
      </c>
      <c r="D349" t="inlineStr">
        <is>
          <t>densité de mots clés</t>
        </is>
      </c>
      <c r="E349" t="inlineStr">
        <is>
          <t>fr</t>
        </is>
      </c>
      <c r="F349" s="5" t="inlineStr"/>
      <c r="G349" t="n">
        <v>70</v>
      </c>
      <c r="H349" t="n">
        <v>20</v>
      </c>
      <c r="I349" t="inlineStr">
        <is>
          <t>SEO</t>
        </is>
      </c>
      <c r="J349" t="inlineStr">
        <is>
          <t>MEASURED</t>
        </is>
      </c>
      <c r="K349">
        <f>ROUND(IF(ISNUMBER(G349),MIN(50,ROUND(50*LOG10(G349+1)/4,1)),5)+IF(ISNUMBER(H349),ROUND(30*(100-H349)/100,1),15)+IF(B349="New",20,10),0)</f>
        <v/>
      </c>
      <c r="L349" t="inlineStr">
        <is>
          <t>KEEP</t>
        </is>
      </c>
      <c r="M349" s="5" t="inlineStr">
        <is>
          <t>Relevant to page intent</t>
        </is>
      </c>
      <c r="N349" s="5" t="inlineStr">
        <is>
          <t>La densité de mots-clés idéale est généralement de 1 à 2 % pour votre mot-clé principal et de 0,5 à 1 % pour les mots-clés associés. Des densités plus élevées (au-dessus de 3 %) peuvent déclencher des</t>
        </is>
      </c>
      <c r="O349" t="inlineStr">
        <is>
          <t>P3</t>
        </is>
      </c>
      <c r="P349" t="inlineStr">
        <is>
          <t>Visible only (no FAQPage schema)</t>
        </is>
      </c>
    </row>
    <row r="350">
      <c r="A350" s="3" t="inlineStr">
        <is>
          <t>https://codesommet.com/tools/keyword-density-analyzer</t>
        </is>
      </c>
      <c r="B350" t="inlineStr">
        <is>
          <t>Existing</t>
        </is>
      </c>
      <c r="C350" s="5" t="inlineStr">
        <is>
          <t>Comment la densité de mots-clés affecte-t-elle les classements SEO ?</t>
        </is>
      </c>
      <c r="D350" t="inlineStr">
        <is>
          <t>densité de mots clés</t>
        </is>
      </c>
      <c r="E350" t="inlineStr">
        <is>
          <t>fr</t>
        </is>
      </c>
      <c r="F350" s="5" t="inlineStr"/>
      <c r="G350" t="n">
        <v>70</v>
      </c>
      <c r="H350" t="n">
        <v>20</v>
      </c>
      <c r="I350" t="inlineStr">
        <is>
          <t>SEO</t>
        </is>
      </c>
      <c r="J350" t="inlineStr">
        <is>
          <t>MEASURED</t>
        </is>
      </c>
      <c r="K350">
        <f>ROUND(IF(ISNUMBER(G350),MIN(50,ROUND(50*LOG10(G350+1)/4,1)),5)+IF(ISNUMBER(H350),ROUND(30*(100-H350)/100,1),15)+IF(B350="New",20,10),0)</f>
        <v/>
      </c>
      <c r="L350" t="inlineStr">
        <is>
          <t>KEEP</t>
        </is>
      </c>
      <c r="M350" s="5" t="inlineStr">
        <is>
          <t>Relevant to page intent</t>
        </is>
      </c>
      <c r="N350" s="5" t="inlineStr">
        <is>
          <t>La densité de mots-clés aide les moteurs de recherche à comprendre le sujet de votre contenu, mais ce n'est pas un facteur de classement direct. Le SEO moderne privilégie un contenu naturel et axé sur</t>
        </is>
      </c>
      <c r="O350" t="inlineStr">
        <is>
          <t>P3</t>
        </is>
      </c>
      <c r="P350" t="inlineStr">
        <is>
          <t>Visible only (no FAQPage schema)</t>
        </is>
      </c>
    </row>
    <row r="351">
      <c r="A351" s="3" t="inlineStr">
        <is>
          <t>https://codesommet.com/tools/keyword-density-analyzer</t>
        </is>
      </c>
      <c r="B351" t="inlineStr">
        <is>
          <t>Existing</t>
        </is>
      </c>
      <c r="C351" s="5" t="inlineStr">
        <is>
          <t>Qu'est-ce que le bourrage de mots-clés et pourquoi est-il pénalisé ?</t>
        </is>
      </c>
      <c r="D351" t="inlineStr">
        <is>
          <t>densité de mots clés</t>
        </is>
      </c>
      <c r="E351" t="inlineStr">
        <is>
          <t>fr</t>
        </is>
      </c>
      <c r="F351" s="5" t="inlineStr"/>
      <c r="G351" t="n">
        <v>70</v>
      </c>
      <c r="H351" t="n">
        <v>20</v>
      </c>
      <c r="I351" t="inlineStr">
        <is>
          <t>Definition / how it works</t>
        </is>
      </c>
      <c r="J351" t="inlineStr">
        <is>
          <t>MEASURED</t>
        </is>
      </c>
      <c r="K351">
        <f>ROUND(IF(ISNUMBER(G351),MIN(50,ROUND(50*LOG10(G351+1)/4,1)),5)+IF(ISNUMBER(H351),ROUND(30*(100-H351)/100,1),15)+IF(B351="New",20,10),0)</f>
        <v/>
      </c>
      <c r="L351" t="inlineStr">
        <is>
          <t>KEEP</t>
        </is>
      </c>
      <c r="M351" s="5" t="inlineStr">
        <is>
          <t>Relevant to page intent</t>
        </is>
      </c>
      <c r="N351" s="5" t="inlineStr">
        <is>
          <t>Le bourrage de mots-clés est la pratique de surutilisation des mots-clés (généralement au-dessus de 3% de densité) to manipulate search rankings. Google penalizes this practice because it creates poor</t>
        </is>
      </c>
      <c r="O351" t="inlineStr">
        <is>
          <t>P3</t>
        </is>
      </c>
      <c r="P351" t="inlineStr">
        <is>
          <t>Visible only (no FAQPage schema)</t>
        </is>
      </c>
    </row>
    <row r="352">
      <c r="A352" s="3" t="inlineStr">
        <is>
          <t>https://codesommet.com/tools/keyword-density-analyzer</t>
        </is>
      </c>
      <c r="B352" t="inlineStr">
        <is>
          <t>Existing</t>
        </is>
      </c>
      <c r="C352" s="5" t="inlineStr">
        <is>
          <t>Dois-je analyser des mots simples ou des expressions de mots-clés ?</t>
        </is>
      </c>
      <c r="D352" t="inlineStr">
        <is>
          <t>densité de mots clés</t>
        </is>
      </c>
      <c r="E352" t="inlineStr">
        <is>
          <t>fr</t>
        </is>
      </c>
      <c r="F352" s="5" t="inlineStr"/>
      <c r="G352" t="n">
        <v>70</v>
      </c>
      <c r="H352" t="n">
        <v>20</v>
      </c>
      <c r="I352" t="inlineStr">
        <is>
          <t>Service scope</t>
        </is>
      </c>
      <c r="J352" t="inlineStr">
        <is>
          <t>MEASURED</t>
        </is>
      </c>
      <c r="K352">
        <f>ROUND(IF(ISNUMBER(G352),MIN(50,ROUND(50*LOG10(G352+1)/4,1)),5)+IF(ISNUMBER(H352),ROUND(30*(100-H352)/100,1),15)+IF(B352="New",20,10),0)</f>
        <v/>
      </c>
      <c r="L352" t="inlineStr">
        <is>
          <t>KEEP</t>
        </is>
      </c>
      <c r="M352" s="5" t="inlineStr">
        <is>
          <t>Relevant to page intent</t>
        </is>
      </c>
      <c r="N352" s="5" t="inlineStr">
        <is>
          <t xml:space="preserve">Les deux sont importants. Les mots simples montrent vos sujets principaux, while 2-3 word phrases (long-tail keywords) reveal user intent and specific topics you're covering. Long-tail keywords often </t>
        </is>
      </c>
      <c r="O352" t="inlineStr">
        <is>
          <t>P3</t>
        </is>
      </c>
      <c r="P352" t="inlineStr">
        <is>
          <t>Visible only (no FAQPage schema)</t>
        </is>
      </c>
    </row>
    <row r="353">
      <c r="A353" s="3" t="inlineStr">
        <is>
          <t>https://codesommet.com/tools/keyword-density-analyzer</t>
        </is>
      </c>
      <c r="B353" t="inlineStr">
        <is>
          <t>Existing</t>
        </is>
      </c>
      <c r="C353" s="5" t="inlineStr">
        <is>
          <t>Que sont les mots-clés LSI et quel est leur rapport avec la densité de mots-clés ?</t>
        </is>
      </c>
      <c r="D353" t="inlineStr">
        <is>
          <t>densité de mots clés</t>
        </is>
      </c>
      <c r="E353" t="inlineStr">
        <is>
          <t>fr</t>
        </is>
      </c>
      <c r="F353" s="5" t="inlineStr"/>
      <c r="G353" t="n">
        <v>70</v>
      </c>
      <c r="H353" t="n">
        <v>20</v>
      </c>
      <c r="I353" t="inlineStr">
        <is>
          <t>Definition / how it works</t>
        </is>
      </c>
      <c r="J353" t="inlineStr">
        <is>
          <t>MEASURED</t>
        </is>
      </c>
      <c r="K353">
        <f>ROUND(IF(ISNUMBER(G353),MIN(50,ROUND(50*LOG10(G353+1)/4,1)),5)+IF(ISNUMBER(H353),ROUND(30*(100-H353)/100,1),15)+IF(B353="New",20,10),0)</f>
        <v/>
      </c>
      <c r="L353" t="inlineStr">
        <is>
          <t>KEEP</t>
        </is>
      </c>
      <c r="M353" s="5" t="inlineStr">
        <is>
          <t>Relevant to page intent</t>
        </is>
      </c>
      <c r="N353" s="5" t="inlineStr">
        <is>
          <t xml:space="preserve">Les mots-clés LSI (Latent Semantic Indexing) sont des termes sémantiquement liés à votre mot-clé principal. Using LSI keywords naturally improves your content's topical authority without artificially </t>
        </is>
      </c>
      <c r="O353" t="inlineStr">
        <is>
          <t>P3</t>
        </is>
      </c>
      <c r="P353" t="inlineStr">
        <is>
          <t>Visible only (no FAQPage schema)</t>
        </is>
      </c>
    </row>
    <row r="354">
      <c r="A354" s="3" t="inlineStr">
        <is>
          <t>https://codesommet.com/tools/keyword-density-analyzer</t>
        </is>
      </c>
      <c r="B354" t="inlineStr">
        <is>
          <t>Existing</t>
        </is>
      </c>
      <c r="C354" s="5" t="inlineStr">
        <is>
          <t>À quelle fréquence dois-je analyser ma densité de mots-clés ?</t>
        </is>
      </c>
      <c r="D354" t="inlineStr">
        <is>
          <t>densité de mots clés</t>
        </is>
      </c>
      <c r="E354" t="inlineStr">
        <is>
          <t>fr</t>
        </is>
      </c>
      <c r="F354" s="5" t="inlineStr"/>
      <c r="G354" t="n">
        <v>70</v>
      </c>
      <c r="H354" t="n">
        <v>20</v>
      </c>
      <c r="I354" t="inlineStr">
        <is>
          <t>Service scope</t>
        </is>
      </c>
      <c r="J354" t="inlineStr">
        <is>
          <t>MEASURED</t>
        </is>
      </c>
      <c r="K354">
        <f>ROUND(IF(ISNUMBER(G354),MIN(50,ROUND(50*LOG10(G354+1)/4,1)),5)+IF(ISNUMBER(H354),ROUND(30*(100-H354)/100,1),15)+IF(B354="New",20,10),0)</f>
        <v/>
      </c>
      <c r="L354" t="inlineStr">
        <is>
          <t>KEEP</t>
        </is>
      </c>
      <c r="M354" s="5" t="inlineStr">
        <is>
          <t>Relevant to page intent</t>
        </is>
      </c>
      <c r="N354" s="5" t="inlineStr">
        <is>
          <t>Analysez la densité de mots-clés chaque fois que vous publiez du nouveau contenu ou que vous modifiez significativement des pages existantes. Une analyse régulière permet de repérer les problèmes de s</t>
        </is>
      </c>
      <c r="O354" t="inlineStr">
        <is>
          <t>P3</t>
        </is>
      </c>
      <c r="P354" t="inlineStr">
        <is>
          <t>Visible only (no FAQPage schema)</t>
        </is>
      </c>
    </row>
    <row r="355">
      <c r="A355" s="3" t="inlineStr">
        <is>
          <t>https://codesommet.com/tools/keyword-density-analyzer</t>
        </is>
      </c>
      <c r="B355" t="inlineStr">
        <is>
          <t>Existing</t>
        </is>
      </c>
      <c r="C355" s="5" t="inlineStr">
        <is>
          <t>Ma densité de mots-clés est supérieure à 3% - comment la corriger ?</t>
        </is>
      </c>
      <c r="D355" t="inlineStr">
        <is>
          <t>densité de mots clés</t>
        </is>
      </c>
      <c r="E355" t="inlineStr">
        <is>
          <t>fr</t>
        </is>
      </c>
      <c r="F355" s="5" t="inlineStr"/>
      <c r="G355" t="n">
        <v>70</v>
      </c>
      <c r="H355" t="n">
        <v>20</v>
      </c>
      <c r="I355" t="inlineStr">
        <is>
          <t>Service scope</t>
        </is>
      </c>
      <c r="J355" t="inlineStr">
        <is>
          <t>MEASURED</t>
        </is>
      </c>
      <c r="K355">
        <f>ROUND(IF(ISNUMBER(G355),MIN(50,ROUND(50*LOG10(G355+1)/4,1)),5)+IF(ISNUMBER(H355),ROUND(30*(100-H355)/100,1),15)+IF(B355="New",20,10),0)</f>
        <v/>
      </c>
      <c r="L355" t="inlineStr">
        <is>
          <t>KEEP</t>
        </is>
      </c>
      <c r="M355" s="5" t="inlineStr">
        <is>
          <t>Relevant to page intent</t>
        </is>
      </c>
      <c r="N355" s="5" t="inlineStr">
        <is>
          <t>Remplacez certaines occurrences de mots-clés par des synonymes, des pronoms ou des termes connexes. Expand your content to dilute keyword concentration naturally. Focus on answering user questions com</t>
        </is>
      </c>
      <c r="O355" t="inlineStr">
        <is>
          <t>P3</t>
        </is>
      </c>
      <c r="P355" t="inlineStr">
        <is>
          <t>Visible only (no FAQPage schema)</t>
        </is>
      </c>
    </row>
    <row r="356">
      <c r="A356" s="3" t="inlineStr">
        <is>
          <t>https://codesommet.com/tools/keyword-modifier-generator</t>
        </is>
      </c>
      <c r="B356" t="inlineStr">
        <is>
          <t>Existing</t>
        </is>
      </c>
      <c r="C356" s="5" t="inlineStr">
        <is>
          <t>D'où viennent ces variantes ?</t>
        </is>
      </c>
      <c r="D356" t="inlineStr">
        <is>
          <t>générateur de mots clés</t>
        </is>
      </c>
      <c r="E356" t="inlineStr">
        <is>
          <t>fr</t>
        </is>
      </c>
      <c r="F356" s="5" t="inlineStr"/>
      <c r="G356" t="n">
        <v>590</v>
      </c>
      <c r="H356" t="n">
        <v>38</v>
      </c>
      <c r="I356" t="inlineStr">
        <is>
          <t>Service scope</t>
        </is>
      </c>
      <c r="J356" t="inlineStr">
        <is>
          <t>MEASURED</t>
        </is>
      </c>
      <c r="K356">
        <f>ROUND(IF(ISNUMBER(G356),MIN(50,ROUND(50*LOG10(G356+1)/4,1)),5)+IF(ISNUMBER(H356),ROUND(30*(100-H356)/100,1),15)+IF(B356="New",20,10),0)</f>
        <v/>
      </c>
      <c r="L356" t="inlineStr">
        <is>
          <t>KEEP</t>
        </is>
      </c>
      <c r="M356" s="5" t="inlineStr">
        <is>
          <t>Relevant to page intent</t>
        </is>
      </c>
      <c r="N356" s="5" t="inlineStr">
        <is>
          <t xml:space="preserve">Elles sont générées en combinant votre mot-clé avec des modificateurs de recherche courants (questions, comparaisons, termes d'achat, localisation). Aucune donnée de recherche n'est consultée : c'est </t>
        </is>
      </c>
      <c r="O356" t="inlineStr">
        <is>
          <t>P3</t>
        </is>
      </c>
      <c r="P356" t="inlineStr">
        <is>
          <t>Visible only (no FAQPage schema)</t>
        </is>
      </c>
    </row>
    <row r="357">
      <c r="A357" s="3" t="inlineStr">
        <is>
          <t>https://codesommet.com/tools/keyword-modifier-generator</t>
        </is>
      </c>
      <c r="B357" t="inlineStr">
        <is>
          <t>Existing</t>
        </is>
      </c>
      <c r="C357" s="5" t="inlineStr">
        <is>
          <t>Pourquoi n'y a-t-il pas de volume de recherche ?</t>
        </is>
      </c>
      <c r="D357" t="inlineStr">
        <is>
          <t>générateur de mots clés</t>
        </is>
      </c>
      <c r="E357" t="inlineStr">
        <is>
          <t>fr</t>
        </is>
      </c>
      <c r="F357" s="5" t="inlineStr"/>
      <c r="G357" t="n">
        <v>590</v>
      </c>
      <c r="H357" t="n">
        <v>38</v>
      </c>
      <c r="I357" t="inlineStr">
        <is>
          <t>Service scope</t>
        </is>
      </c>
      <c r="J357" t="inlineStr">
        <is>
          <t>MEASURED</t>
        </is>
      </c>
      <c r="K357">
        <f>ROUND(IF(ISNUMBER(G357),MIN(50,ROUND(50*LOG10(G357+1)/4,1)),5)+IF(ISNUMBER(H357),ROUND(30*(100-H357)/100,1),15)+IF(B357="New",20,10),0)</f>
        <v/>
      </c>
      <c r="L357" t="inlineStr">
        <is>
          <t>KEEP</t>
        </is>
      </c>
      <c r="M357" s="5" t="inlineStr">
        <is>
          <t>Relevant to page intent</t>
        </is>
      </c>
      <c r="N357" s="5" t="inlineStr">
        <is>
          <t>Les volumes proviennent de bases de données payantes ou de Google Ads. Plutôt que d'afficher des chiffres inventés, l'outil vous laisse vérifier les variantes retenues dans la Search Console ou le pla</t>
        </is>
      </c>
      <c r="O357" t="inlineStr">
        <is>
          <t>P3</t>
        </is>
      </c>
      <c r="P357" t="inlineStr">
        <is>
          <t>Visible only (no FAQPage schema)</t>
        </is>
      </c>
    </row>
    <row r="358">
      <c r="A358" s="3" t="inlineStr">
        <is>
          <t>https://codesommet.com/tools/keyword-modifier-generator</t>
        </is>
      </c>
      <c r="B358" t="inlineStr">
        <is>
          <t>Existing</t>
        </is>
      </c>
      <c r="C358" s="5" t="inlineStr">
        <is>
          <t>Toutes les variantes sont-elles pertinentes ?</t>
        </is>
      </c>
      <c r="D358" t="inlineStr">
        <is>
          <t>générateur de mots clés</t>
        </is>
      </c>
      <c r="E358" t="inlineStr">
        <is>
          <t>fr</t>
        </is>
      </c>
      <c r="F358" s="5" t="inlineStr"/>
      <c r="G358" t="n">
        <v>590</v>
      </c>
      <c r="H358" t="n">
        <v>38</v>
      </c>
      <c r="I358" t="inlineStr">
        <is>
          <t>Service scope</t>
        </is>
      </c>
      <c r="J358" t="inlineStr">
        <is>
          <t>MEASURED</t>
        </is>
      </c>
      <c r="K358">
        <f>ROUND(IF(ISNUMBER(G358),MIN(50,ROUND(50*LOG10(G358+1)/4,1)),5)+IF(ISNUMBER(H358),ROUND(30*(100-H358)/100,1),15)+IF(B358="New",20,10),0)</f>
        <v/>
      </c>
      <c r="L358" t="inlineStr">
        <is>
          <t>KEEP</t>
        </is>
      </c>
      <c r="M358" s="5" t="inlineStr">
        <is>
          <t>Relevant to page intent</t>
        </is>
      </c>
      <c r="N358" s="5" t="inlineStr">
        <is>
          <t>Non, certaines combinaisons seront peu naturelles. Elles servent à explorer les intentions possibles ; gardez celles qui correspondent à une vraie question de vos clients.</t>
        </is>
      </c>
      <c r="O358" t="inlineStr">
        <is>
          <t>P3</t>
        </is>
      </c>
      <c r="P358" t="inlineStr">
        <is>
          <t>Visible only (no FAQPage schema)</t>
        </is>
      </c>
    </row>
    <row r="359">
      <c r="A359" s="3" t="inlineStr">
        <is>
          <t>https://codesommet.com/tools/keyword-modifier-generator</t>
        </is>
      </c>
      <c r="B359" t="inlineStr">
        <is>
          <t>Existing</t>
        </is>
      </c>
      <c r="C359" s="5" t="inlineStr">
        <is>
          <t>Comment s'en servir pour mon site ?</t>
        </is>
      </c>
      <c r="D359" t="inlineStr">
        <is>
          <t>générateur de mots clés</t>
        </is>
      </c>
      <c r="E359" t="inlineStr">
        <is>
          <t>fr</t>
        </is>
      </c>
      <c r="F359" s="5" t="inlineStr"/>
      <c r="G359" t="n">
        <v>590</v>
      </c>
      <c r="H359" t="n">
        <v>38</v>
      </c>
      <c r="I359" t="inlineStr">
        <is>
          <t>Service scope</t>
        </is>
      </c>
      <c r="J359" t="inlineStr">
        <is>
          <t>MEASURED</t>
        </is>
      </c>
      <c r="K359">
        <f>ROUND(IF(ISNUMBER(G359),MIN(50,ROUND(50*LOG10(G359+1)/4,1)),5)+IF(ISNUMBER(H359),ROUND(30*(100-H359)/100,1),15)+IF(B359="New",20,10),0)</f>
        <v/>
      </c>
      <c r="L359" t="inlineStr">
        <is>
          <t>KEEP</t>
        </is>
      </c>
      <c r="M359" s="5" t="inlineStr">
        <is>
          <t>Relevant to page intent</t>
        </is>
      </c>
      <c r="N359" s="5" t="inlineStr">
        <is>
          <t>Regroupez les variantes par intention : les questions alimentent une FAQ ou des articles, les termes commerciaux une page de service, les variantes locales des pages par ville.</t>
        </is>
      </c>
      <c r="O359" t="inlineStr">
        <is>
          <t>P3</t>
        </is>
      </c>
      <c r="P359" t="inlineStr">
        <is>
          <t>Visible only (no FAQPage schema)</t>
        </is>
      </c>
    </row>
    <row r="360">
      <c r="A360" s="3" t="inlineStr">
        <is>
          <t>https://codesommet.com/tools/landing-page-generator</t>
        </is>
      </c>
      <c r="B360" t="inlineStr">
        <is>
          <t>Existing</t>
        </is>
      </c>
      <c r="C360" s="5" t="inlineStr">
        <is>
          <t>Qu'est-ce qui fait une page d'atterrissage à fort taux de conversion ?</t>
        </is>
      </c>
      <c r="D360" t="inlineStr">
        <is>
          <t>landing page</t>
        </is>
      </c>
      <c r="E360" t="inlineStr">
        <is>
          <t>fr</t>
        </is>
      </c>
      <c r="F360" s="5" t="inlineStr"/>
      <c r="G360" t="n">
        <v>8100</v>
      </c>
      <c r="H360" t="n">
        <v>35</v>
      </c>
      <c r="I360" t="inlineStr">
        <is>
          <t>Definition / how it works</t>
        </is>
      </c>
      <c r="J360" t="inlineStr">
        <is>
          <t>MEASURED</t>
        </is>
      </c>
      <c r="K360">
        <f>ROUND(IF(ISNUMBER(G360),MIN(50,ROUND(50*LOG10(G360+1)/4,1)),5)+IF(ISNUMBER(H360),ROUND(30*(100-H360)/100,1),15)+IF(B360="New",20,10),0)</f>
        <v/>
      </c>
      <c r="L360" t="inlineStr">
        <is>
          <t>KEEP</t>
        </is>
      </c>
      <c r="M360" s="5" t="inlineStr">
        <is>
          <t>Relevant to page intent</t>
        </is>
      </c>
      <c r="N360" s="5" t="inlineStr">
        <is>
          <t>Une page d'atterrissage à fort taux de conversion a une proposition de valeur claire dans le titre, addresses customer pain points, includes compelling social proof, has a single focused call-to-actio</t>
        </is>
      </c>
      <c r="O360" t="inlineStr">
        <is>
          <t>P3</t>
        </is>
      </c>
      <c r="P360" t="inlineStr">
        <is>
          <t>Visible only (no FAQPage schema)</t>
        </is>
      </c>
    </row>
    <row r="361">
      <c r="A361" s="3" t="inlineStr">
        <is>
          <t>https://codesommet.com/tools/landing-page-generator</t>
        </is>
      </c>
      <c r="B361" t="inlineStr">
        <is>
          <t>Existing</t>
        </is>
      </c>
      <c r="C361" s="5" t="inlineStr">
        <is>
          <t>Comment écrire un titre efficace ?</t>
        </is>
      </c>
      <c r="D361" t="inlineStr">
        <is>
          <t>créer une landing page</t>
        </is>
      </c>
      <c r="E361" t="inlineStr">
        <is>
          <t>fr</t>
        </is>
      </c>
      <c r="F361" s="5" t="inlineStr"/>
      <c r="G361" t="n">
        <v>590</v>
      </c>
      <c r="H361" t="n">
        <v>31</v>
      </c>
      <c r="I361" t="inlineStr">
        <is>
          <t>Service scope</t>
        </is>
      </c>
      <c r="J361" t="inlineStr">
        <is>
          <t>MEASURED</t>
        </is>
      </c>
      <c r="K361">
        <f>ROUND(IF(ISNUMBER(G361),MIN(50,ROUND(50*LOG10(G361+1)/4,1)),5)+IF(ISNUMBER(H361),ROUND(30*(100-H361)/100,1),15)+IF(B361="New",20,10),0)</f>
        <v/>
      </c>
      <c r="L361" t="inlineStr">
        <is>
          <t>KEEP</t>
        </is>
      </c>
      <c r="M361" s="5" t="inlineStr">
        <is>
          <t>Relevant to page intent</t>
        </is>
      </c>
      <c r="N361" s="5" t="inlineStr">
        <is>
          <t xml:space="preserve">La longueur dépend de la complexité de votre produit et de son prix. For simple, low-cost products (under $50), shorter pages (1-2 screens) work well. For complex or high-ticket items ($500+), longer </t>
        </is>
      </c>
      <c r="O361" t="inlineStr">
        <is>
          <t>P3</t>
        </is>
      </c>
      <c r="P361" t="inlineStr">
        <is>
          <t>Visible only (no FAQPage schema)</t>
        </is>
      </c>
    </row>
    <row r="362">
      <c r="A362" s="3" t="inlineStr">
        <is>
          <t>https://codesommet.com/tools/landing-page-generator</t>
        </is>
      </c>
      <c r="B362" t="inlineStr">
        <is>
          <t>Existing</t>
        </is>
      </c>
      <c r="C362" s="5" t="inlineStr">
        <is>
          <t>Comment optimiser mes boutons CTA ?</t>
        </is>
      </c>
      <c r="D362" t="inlineStr">
        <is>
          <t>créer une landing page</t>
        </is>
      </c>
      <c r="E362" t="inlineStr">
        <is>
          <t>fr</t>
        </is>
      </c>
      <c r="F362" s="5" t="inlineStr"/>
      <c r="G362" t="n">
        <v>590</v>
      </c>
      <c r="H362" t="n">
        <v>31</v>
      </c>
      <c r="I362" t="inlineStr">
        <is>
          <t>Service scope</t>
        </is>
      </c>
      <c r="J362" t="inlineStr">
        <is>
          <t>MEASURED</t>
        </is>
      </c>
      <c r="K362">
        <f>ROUND(IF(ISNUMBER(G362),MIN(50,ROUND(50*LOG10(G362+1)/4,1)),5)+IF(ISNUMBER(H362),ROUND(30*(100-H362)/100,1),15)+IF(B362="New",20,10),0)</f>
        <v/>
      </c>
      <c r="L362" t="inlineStr">
        <is>
          <t>KEEP</t>
        </is>
      </c>
      <c r="M362" s="5" t="inlineStr">
        <is>
          <t>Relevant to page intent</t>
        </is>
      </c>
      <c r="N362" s="5" t="inlineStr">
        <is>
          <t>Oui ! Utilisez notre texte généré comme base de référence, then test one element at a time: headline variations, CTA button text, hero images, or social proof placement. Wait for statistical significa</t>
        </is>
      </c>
      <c r="O362" t="inlineStr">
        <is>
          <t>P3</t>
        </is>
      </c>
      <c r="P362" t="inlineStr">
        <is>
          <t>Visible only (no FAQPage schema)</t>
        </is>
      </c>
    </row>
    <row r="363">
      <c r="A363" s="3" t="inlineStr">
        <is>
          <t>https://codesommet.com/tools/landing-page-generator</t>
        </is>
      </c>
      <c r="B363" t="inlineStr">
        <is>
          <t>Existing</t>
        </is>
      </c>
      <c r="C363" s="5" t="inlineStr">
        <is>
          <t>Comment personnaliser le texte généré pour ma voix de marque ?</t>
        </is>
      </c>
      <c r="D363" t="inlineStr">
        <is>
          <t>créer une landing page</t>
        </is>
      </c>
      <c r="E363" t="inlineStr">
        <is>
          <t>fr</t>
        </is>
      </c>
      <c r="F363" s="5" t="inlineStr"/>
      <c r="G363" t="n">
        <v>590</v>
      </c>
      <c r="H363" t="n">
        <v>31</v>
      </c>
      <c r="I363" t="inlineStr">
        <is>
          <t>Service scope</t>
        </is>
      </c>
      <c r="J363" t="inlineStr">
        <is>
          <t>MEASURED</t>
        </is>
      </c>
      <c r="K363">
        <f>ROUND(IF(ISNUMBER(G363),MIN(50,ROUND(50*LOG10(G363+1)/4,1)),5)+IF(ISNUMBER(H363),ROUND(30*(100-H363)/100,1),15)+IF(B363="New",20,10),0)</f>
        <v/>
      </c>
      <c r="L363" t="inlineStr">
        <is>
          <t>KEEP</t>
        </is>
      </c>
      <c r="M363" s="5" t="inlineStr">
        <is>
          <t>Relevant to page intent</t>
        </is>
      </c>
      <c r="N363" s="5" t="inlineStr">
        <is>
          <t>Le texte généré fournit une structure et un message optimisé pour la conversion. To customize: adjust tone (formal to casual), swap generic examples with your specific features, add your brand's uniqu</t>
        </is>
      </c>
      <c r="O363" t="inlineStr">
        <is>
          <t>P3</t>
        </is>
      </c>
      <c r="P363" t="inlineStr">
        <is>
          <t>Visible only (no FAQPage schema)</t>
        </is>
      </c>
    </row>
    <row r="364">
      <c r="A364" s="3" t="inlineStr">
        <is>
          <t>https://codesommet.com/tools/landing-page-generator</t>
        </is>
      </c>
      <c r="B364" t="inlineStr">
        <is>
          <t>Existing</t>
        </is>
      </c>
      <c r="C364" s="5" t="inlineStr">
        <is>
          <t>Quelles sections dois-je prioriser si j'ai besoin d'une page plus courte ?</t>
        </is>
      </c>
      <c r="D364" t="inlineStr">
        <is>
          <t>landing page</t>
        </is>
      </c>
      <c r="E364" t="inlineStr">
        <is>
          <t>fr</t>
        </is>
      </c>
      <c r="F364" s="5" t="inlineStr"/>
      <c r="G364" t="n">
        <v>8100</v>
      </c>
      <c r="H364" t="n">
        <v>35</v>
      </c>
      <c r="I364" t="inlineStr">
        <is>
          <t>Service scope</t>
        </is>
      </c>
      <c r="J364" t="inlineStr">
        <is>
          <t>MEASURED</t>
        </is>
      </c>
      <c r="K364">
        <f>ROUND(IF(ISNUMBER(G364),MIN(50,ROUND(50*LOG10(G364+1)/4,1)),5)+IF(ISNUMBER(H364),ROUND(30*(100-H364)/100,1),15)+IF(B364="New",20,10),0)</f>
        <v/>
      </c>
      <c r="L364" t="inlineStr">
        <is>
          <t>KEEP</t>
        </is>
      </c>
      <c r="M364" s="5" t="inlineStr">
        <is>
          <t>Relevant to page intent</t>
        </is>
      </c>
      <c r="N364" s="5" t="inlineStr">
        <is>
          <t>Pour les pages plus courtes, incluez toujours : Hero (titre + CTA), Problème (points de douleur), Solution (votre offre), Social Proof (testimonials/stats), and Final CTA. You can combine or skip: det</t>
        </is>
      </c>
      <c r="O364" t="inlineStr">
        <is>
          <t>P3</t>
        </is>
      </c>
      <c r="P364" t="inlineStr">
        <is>
          <t>Visible only (no FAQPage schema)</t>
        </is>
      </c>
    </row>
    <row r="365">
      <c r="A365" s="3" t="inlineStr">
        <is>
          <t>https://codesommet.com/tools/llms-txt-generator</t>
        </is>
      </c>
      <c r="B365" t="inlineStr">
        <is>
          <t>Existing</t>
        </is>
      </c>
      <c r="C365" s="5" t="inlineStr">
        <is>
          <t>Qu'est-ce qu'un fichier llms.txt ?</t>
        </is>
      </c>
      <c r="D365" t="inlineStr">
        <is>
          <t>llms.txt</t>
        </is>
      </c>
      <c r="E365" t="inlineStr">
        <is>
          <t>fr</t>
        </is>
      </c>
      <c r="F365" s="5" t="inlineStr"/>
      <c r="G365" t="n">
        <v>1900</v>
      </c>
      <c r="H365" t="n">
        <v>31</v>
      </c>
      <c r="I365" t="inlineStr">
        <is>
          <t>Definition / how it works</t>
        </is>
      </c>
      <c r="J365" t="inlineStr">
        <is>
          <t>MEASURED</t>
        </is>
      </c>
      <c r="K365">
        <f>ROUND(IF(ISNUMBER(G365),MIN(50,ROUND(50*LOG10(G365+1)/4,1)),5)+IF(ISNUMBER(H365),ROUND(30*(100-H365)/100,1),15)+IF(B365="New",20,10),0)</f>
        <v/>
      </c>
      <c r="L365" t="inlineStr">
        <is>
          <t>KEEP</t>
        </is>
      </c>
      <c r="M365" s="5" t="inlineStr">
        <is>
          <t>Relevant to page intent</t>
        </is>
      </c>
      <c r="N365" s="5" t="inlineStr">
        <is>
          <t xml:space="preserve">C'est une proposition de standard (llmstxt.org) : un fichier Markdown placé à la racine du site qui présente le site et liste ses pages importantes avec une courte description, pour aider les modèles </t>
        </is>
      </c>
      <c r="O365" t="inlineStr">
        <is>
          <t>P3</t>
        </is>
      </c>
      <c r="P365" t="inlineStr">
        <is>
          <t>Visible only (no FAQPage schema)</t>
        </is>
      </c>
    </row>
    <row r="366">
      <c r="A366" s="3" t="inlineStr">
        <is>
          <t>https://codesommet.com/tools/llms-txt-generator</t>
        </is>
      </c>
      <c r="B366" t="inlineStr">
        <is>
          <t>Existing</t>
        </is>
      </c>
      <c r="C366" s="5" t="inlineStr">
        <is>
          <t>Le llms.txt améliore-t-il mon référencement ?</t>
        </is>
      </c>
      <c r="D366" t="inlineStr">
        <is>
          <t>llms.txt</t>
        </is>
      </c>
      <c r="E366" t="inlineStr">
        <is>
          <t>fr</t>
        </is>
      </c>
      <c r="F366" s="5" t="inlineStr"/>
      <c r="G366" t="n">
        <v>1900</v>
      </c>
      <c r="H366" t="n">
        <v>31</v>
      </c>
      <c r="I366" t="inlineStr">
        <is>
          <t>SEO</t>
        </is>
      </c>
      <c r="J366" t="inlineStr">
        <is>
          <t>MEASURED</t>
        </is>
      </c>
      <c r="K366">
        <f>ROUND(IF(ISNUMBER(G366),MIN(50,ROUND(50*LOG10(G366+1)/4,1)),5)+IF(ISNUMBER(H366),ROUND(30*(100-H366)/100,1),15)+IF(B366="New",20,10),0)</f>
        <v/>
      </c>
      <c r="L366" t="inlineStr">
        <is>
          <t>KEEP</t>
        </is>
      </c>
      <c r="M366" s="5" t="inlineStr">
        <is>
          <t>Relevant to page intent</t>
        </is>
      </c>
      <c r="N366" s="5" t="inlineStr">
        <is>
          <t>Ce n'est pas un facteur de classement Google. Son intérêt est de donner aux assistants IA une vue claire de vos contenus. Il ne remplace ni le sitemap XML, ni de bonnes pages.</t>
        </is>
      </c>
      <c r="O366" t="inlineStr">
        <is>
          <t>P3</t>
        </is>
      </c>
      <c r="P366" t="inlineStr">
        <is>
          <t>Visible only (no FAQPage schema)</t>
        </is>
      </c>
    </row>
    <row r="367">
      <c r="A367" s="3" t="inlineStr">
        <is>
          <t>https://codesommet.com/tools/llms-txt-generator</t>
        </is>
      </c>
      <c r="B367" t="inlineStr">
        <is>
          <t>Existing</t>
        </is>
      </c>
      <c r="C367" s="5" t="inlineStr">
        <is>
          <t>Quelles pages sont incluses ?</t>
        </is>
      </c>
      <c r="D367" t="inlineStr">
        <is>
          <t>llms.txt</t>
        </is>
      </c>
      <c r="E367" t="inlineStr">
        <is>
          <t>fr</t>
        </is>
      </c>
      <c r="F367" s="5" t="inlineStr"/>
      <c r="G367" t="n">
        <v>1900</v>
      </c>
      <c r="H367" t="n">
        <v>31</v>
      </c>
      <c r="I367" t="inlineStr">
        <is>
          <t>Service scope</t>
        </is>
      </c>
      <c r="J367" t="inlineStr">
        <is>
          <t>MEASURED</t>
        </is>
      </c>
      <c r="K367">
        <f>ROUND(IF(ISNUMBER(G367),MIN(50,ROUND(50*LOG10(G367+1)/4,1)),5)+IF(ISNUMBER(H367),ROUND(30*(100-H367)/100,1),15)+IF(B367="New",20,10),0)</f>
        <v/>
      </c>
      <c r="L367" t="inlineStr">
        <is>
          <t>KEEP</t>
        </is>
      </c>
      <c r="M367" s="5" t="inlineStr">
        <is>
          <t>Relevant to page intent</t>
        </is>
      </c>
      <c r="N367" s="5" t="inlineStr">
        <is>
          <t>Les pages explorées qui répondent correctement (code 2xx), ne sont pas en noindex et ne sont pas bloquées par robots.txt. Les titres et descriptions viennent des pages elles-mêmes : soignez vos balise</t>
        </is>
      </c>
      <c r="O367" t="inlineStr">
        <is>
          <t>P3</t>
        </is>
      </c>
      <c r="P367" t="inlineStr">
        <is>
          <t>Visible only (no FAQPage schema)</t>
        </is>
      </c>
    </row>
    <row r="368">
      <c r="A368" s="3" t="inlineStr">
        <is>
          <t>https://codesommet.com/tools/llms-txt-generator</t>
        </is>
      </c>
      <c r="B368" t="inlineStr">
        <is>
          <t>Existing</t>
        </is>
      </c>
      <c r="C368" s="5" t="inlineStr">
        <is>
          <t>Puis-je modifier le fichier généré ?</t>
        </is>
      </c>
      <c r="D368" t="inlineStr">
        <is>
          <t>llms.txt</t>
        </is>
      </c>
      <c r="E368" t="inlineStr">
        <is>
          <t>fr</t>
        </is>
      </c>
      <c r="F368" s="5" t="inlineStr"/>
      <c r="G368" t="n">
        <v>1900</v>
      </c>
      <c r="H368" t="n">
        <v>31</v>
      </c>
      <c r="I368" t="inlineStr">
        <is>
          <t>Service scope</t>
        </is>
      </c>
      <c r="J368" t="inlineStr">
        <is>
          <t>MEASURED</t>
        </is>
      </c>
      <c r="K368">
        <f>ROUND(IF(ISNUMBER(G368),MIN(50,ROUND(50*LOG10(G368+1)/4,1)),5)+IF(ISNUMBER(H368),ROUND(30*(100-H368)/100,1),15)+IF(B368="New",20,10),0)</f>
        <v/>
      </c>
      <c r="L368" t="inlineStr">
        <is>
          <t>KEEP</t>
        </is>
      </c>
      <c r="M368" s="5" t="inlineStr">
        <is>
          <t>Relevant to page intent</t>
        </is>
      </c>
      <c r="N368" s="5" t="inlineStr">
        <is>
          <t>Oui, et c'est recommandé : regroupez les sections, retirez les pages secondaires et ajoutez une section « Optional » pour les contenus annexes avant de publier.</t>
        </is>
      </c>
      <c r="O368" t="inlineStr">
        <is>
          <t>P3</t>
        </is>
      </c>
      <c r="P368" t="inlineStr">
        <is>
          <t>Visible only (no FAQPage schema)</t>
        </is>
      </c>
    </row>
    <row r="369">
      <c r="A369" s="3" t="inlineStr">
        <is>
          <t>https://codesommet.com/tools/llms-txt-generator</t>
        </is>
      </c>
      <c r="B369" t="inlineStr">
        <is>
          <t>New</t>
        </is>
      </c>
      <c r="C369" s="5" t="inlineStr">
        <is>
          <t>Qu'est-ce qu'un fichier llms.txt et faut-il en avoir un ?</t>
        </is>
      </c>
      <c r="D369" t="inlineStr">
        <is>
          <t>llms.txt</t>
        </is>
      </c>
      <c r="E369" t="inlineStr">
        <is>
          <t>fr</t>
        </is>
      </c>
      <c r="F369" s="5" t="inlineStr">
        <is>
          <t>fichier llms.txt [fr] 320; llms txt [fr] 720</t>
        </is>
      </c>
      <c r="G369" t="n">
        <v>1900</v>
      </c>
      <c r="H369" t="n">
        <v>31</v>
      </c>
      <c r="I369" t="inlineStr">
        <is>
          <t>Question</t>
        </is>
      </c>
      <c r="J369" t="inlineStr">
        <is>
          <t>MEASURED</t>
        </is>
      </c>
      <c r="K369">
        <f>ROUND(IF(ISNUMBER(G369),MIN(50,ROUND(50*LOG10(G369+1)/4,1)),5)+IF(ISNUMBER(H369),ROUND(30*(100-H369)/100,1),15)+IF(B369="New",20,10),0)</f>
        <v/>
      </c>
      <c r="L369" t="inlineStr">
        <is>
          <t>NEW</t>
        </is>
      </c>
      <c r="M369" s="5" t="inlineStr">
        <is>
          <t>FR 1900, emerging GEO topic. | Why here: Exact tool topic. | Internal link: /tools/ai-readiness-checker</t>
        </is>
      </c>
      <c r="N369" s="5" t="inlineStr">
        <is>
          <t>Definition, status (proposal, not a Google standard), when useful.</t>
        </is>
      </c>
      <c r="O369" t="inlineStr">
        <is>
          <t>P2</t>
        </is>
      </c>
      <c r="P369" t="inlineStr"/>
    </row>
    <row r="370">
      <c r="A370" s="3" t="inlineStr">
        <is>
          <t>https://codesommet.com/tools/local-business-schema</t>
        </is>
      </c>
      <c r="B370" t="inlineStr">
        <is>
          <t>Existing</t>
        </is>
      </c>
      <c r="C370" s="5" t="inlineStr">
        <is>
          <t>Qu'est-ce que le Schéma d'Entreprise Locale et pourquoi en ai-je besoin ?</t>
        </is>
      </c>
      <c r="D370" t="inlineStr">
        <is>
          <t>schema localbusiness</t>
        </is>
      </c>
      <c r="E370" t="inlineStr">
        <is>
          <t>fr</t>
        </is>
      </c>
      <c r="F370" s="5" t="inlineStr"/>
      <c r="G370" t="n">
        <v>20</v>
      </c>
      <c r="H370" t="inlineStr">
        <is>
          <t>NOT AVAILABLE</t>
        </is>
      </c>
      <c r="I370" t="inlineStr">
        <is>
          <t>Definition / how it works</t>
        </is>
      </c>
      <c r="J370" t="inlineStr">
        <is>
          <t>MEASURED</t>
        </is>
      </c>
      <c r="K370">
        <f>ROUND(IF(ISNUMBER(G370),MIN(50,ROUND(50*LOG10(G370+1)/4,1)),5)+IF(ISNUMBER(H370),ROUND(30*(100-H370)/100,1),15)+IF(B370="New",20,10),0)</f>
        <v/>
      </c>
      <c r="L370" t="inlineStr">
        <is>
          <t>KEEP</t>
        </is>
      </c>
      <c r="M370" s="5" t="inlineStr">
        <is>
          <t>Relevant to page intent</t>
        </is>
      </c>
      <c r="N370" s="5" t="inlineStr">
        <is>
          <t xml:space="preserve">Le Schéma d'Entreprise Locale est un balisage de données structurées (JSON-LD) qui indique aux moteurs de recherche des informations clés sur votre entreprise : adresse, numéro de téléphone, horaires </t>
        </is>
      </c>
      <c r="O370" t="inlineStr">
        <is>
          <t>P3</t>
        </is>
      </c>
      <c r="P370" t="inlineStr">
        <is>
          <t>Visible only (no FAQPage schema)</t>
        </is>
      </c>
    </row>
    <row r="371">
      <c r="A371" s="3" t="inlineStr">
        <is>
          <t>https://codesommet.com/tools/local-business-schema</t>
        </is>
      </c>
      <c r="B371" t="inlineStr">
        <is>
          <t>Existing</t>
        </is>
      </c>
      <c r="C371" s="5" t="inlineStr">
        <is>
          <t>Comment cela aide-t-il mon classement Google Maps ?</t>
        </is>
      </c>
      <c r="D371" t="inlineStr">
        <is>
          <t>agence seo maroc</t>
        </is>
      </c>
      <c r="E371" t="inlineStr">
        <is>
          <t>ma</t>
        </is>
      </c>
      <c r="F371" s="5" t="inlineStr"/>
      <c r="G371" t="n">
        <v>880</v>
      </c>
      <c r="H371" t="n">
        <v>44</v>
      </c>
      <c r="I371" t="inlineStr">
        <is>
          <t>SEO</t>
        </is>
      </c>
      <c r="J371" t="inlineStr">
        <is>
          <t>MEASURED</t>
        </is>
      </c>
      <c r="K371">
        <f>ROUND(IF(ISNUMBER(G371),MIN(50,ROUND(50*LOG10(G371+1)/4,1)),5)+IF(ISNUMBER(H371),ROUND(30*(100-H371)/100,1),15)+IF(B371="New",20,10),0)</f>
        <v/>
      </c>
      <c r="L371" t="inlineStr">
        <is>
          <t>KEEP</t>
        </is>
      </c>
      <c r="M371" s="5" t="inlineStr">
        <is>
          <t>Relevant to page intent</t>
        </is>
      </c>
      <c r="N371" s="5" t="inlineStr">
        <is>
          <t>Google Maps utilise le balisage de schéma pour vérifier et afficher les informations de votre entreprise avec précision. Lorsque vous ajoutez un schéma d'entreprise locale à votre site, vous fournisse</t>
        </is>
      </c>
      <c r="O371" t="inlineStr">
        <is>
          <t>P3</t>
        </is>
      </c>
      <c r="P371" t="inlineStr">
        <is>
          <t>Visible only (no FAQPage schema)</t>
        </is>
      </c>
    </row>
    <row r="372">
      <c r="A372" s="3" t="inlineStr">
        <is>
          <t>https://codesommet.com/tools/local-business-schema</t>
        </is>
      </c>
      <c r="B372" t="inlineStr">
        <is>
          <t>Existing</t>
        </is>
      </c>
      <c r="C372" s="5" t="inlineStr">
        <is>
          <t>Quels champs sont obligatoires ou optionnels ?</t>
        </is>
      </c>
      <c r="D372" t="inlineStr">
        <is>
          <t>local business schema</t>
        </is>
      </c>
      <c r="E372" t="inlineStr">
        <is>
          <t>fr</t>
        </is>
      </c>
      <c r="F372" s="5" t="inlineStr"/>
      <c r="G372" t="n">
        <v>20</v>
      </c>
      <c r="H372" t="inlineStr">
        <is>
          <t>NOT AVAILABLE</t>
        </is>
      </c>
      <c r="I372" t="inlineStr">
        <is>
          <t>Service scope</t>
        </is>
      </c>
      <c r="J372" t="inlineStr">
        <is>
          <t>MEASURED</t>
        </is>
      </c>
      <c r="K372">
        <f>ROUND(IF(ISNUMBER(G372),MIN(50,ROUND(50*LOG10(G372+1)/4,1)),5)+IF(ISNUMBER(H372),ROUND(30*(100-H372)/100,1),15)+IF(B372="New",20,10),0)</f>
        <v/>
      </c>
      <c r="L372" t="inlineStr">
        <is>
          <t>KEEP</t>
        </is>
      </c>
      <c r="M372" s="5" t="inlineStr">
        <is>
          <t>Relevant to page intent</t>
        </is>
      </c>
      <c r="N372" s="5" t="inlineStr">
        <is>
          <t>Les champs obligatoires sont : Nom de l'Entreprise, Type d'Entreprise, Adresse Complète (rue, ville, région, code postal, pays) et Numéro de Téléphone. Les champs facultatifs mais vivement recommandés</t>
        </is>
      </c>
      <c r="O372" t="inlineStr">
        <is>
          <t>P3</t>
        </is>
      </c>
      <c r="P372" t="inlineStr">
        <is>
          <t>Visible only (no FAQPage schema)</t>
        </is>
      </c>
    </row>
    <row r="373">
      <c r="A373" s="3" t="inlineStr">
        <is>
          <t>https://codesommet.com/tools/local-business-schema</t>
        </is>
      </c>
      <c r="B373" t="inlineStr">
        <is>
          <t>Existing</t>
        </is>
      </c>
      <c r="C373" s="5" t="inlineStr">
        <is>
          <t>Puis-je ajouter les horaires d'ouverture et comment les mettre à jour ?</t>
        </is>
      </c>
      <c r="D373" t="inlineStr">
        <is>
          <t>local business schema</t>
        </is>
      </c>
      <c r="E373" t="inlineStr">
        <is>
          <t>fr</t>
        </is>
      </c>
      <c r="F373" s="5" t="inlineStr"/>
      <c r="G373" t="n">
        <v>20</v>
      </c>
      <c r="H373" t="inlineStr">
        <is>
          <t>NOT AVAILABLE</t>
        </is>
      </c>
      <c r="I373" t="inlineStr">
        <is>
          <t>Service scope</t>
        </is>
      </c>
      <c r="J373" t="inlineStr">
        <is>
          <t>MEASURED</t>
        </is>
      </c>
      <c r="K373">
        <f>ROUND(IF(ISNUMBER(G373),MIN(50,ROUND(50*LOG10(G373+1)/4,1)),5)+IF(ISNUMBER(H373),ROUND(30*(100-H373)/100,1),15)+IF(B373="New",20,10),0)</f>
        <v/>
      </c>
      <c r="L373" t="inlineStr">
        <is>
          <t>KEEP</t>
        </is>
      </c>
      <c r="M373" s="5" t="inlineStr">
        <is>
          <t>Relevant to page intent</t>
        </is>
      </c>
      <c r="N373" s="5" t="inlineStr">
        <is>
          <t>Oui ! Bien que cette version se concentre sur les champs principaux, vous pouvez ajouter manuellement vos horaires d'ouverture au schéma généré en insérant un tableau « openingHoursSpecification » dan</t>
        </is>
      </c>
      <c r="O373" t="inlineStr">
        <is>
          <t>P3</t>
        </is>
      </c>
      <c r="P373" t="inlineStr">
        <is>
          <t>Visible only (no FAQPage schema)</t>
        </is>
      </c>
    </row>
    <row r="374">
      <c r="A374" s="3" t="inlineStr">
        <is>
          <t>https://codesommet.com/tools/local-business-schema</t>
        </is>
      </c>
      <c r="B374" t="inlineStr">
        <is>
          <t>Existing</t>
        </is>
      </c>
      <c r="C374" s="5" t="inlineStr">
        <is>
          <t>Puis-je utiliser ce schéma pour plusieurs emplacements d'entreprise ?</t>
        </is>
      </c>
      <c r="D374" t="inlineStr">
        <is>
          <t>schema localbusiness</t>
        </is>
      </c>
      <c r="E374" t="inlineStr">
        <is>
          <t>fr</t>
        </is>
      </c>
      <c r="F374" s="5" t="inlineStr"/>
      <c r="G374" t="n">
        <v>20</v>
      </c>
      <c r="H374" t="inlineStr">
        <is>
          <t>NOT AVAILABLE</t>
        </is>
      </c>
      <c r="I374" t="inlineStr">
        <is>
          <t>Service scope</t>
        </is>
      </c>
      <c r="J374" t="inlineStr">
        <is>
          <t>MEASURED</t>
        </is>
      </c>
      <c r="K374">
        <f>ROUND(IF(ISNUMBER(G374),MIN(50,ROUND(50*LOG10(G374+1)/4,1)),5)+IF(ISNUMBER(H374),ROUND(30*(100-H374)/100,1),15)+IF(B374="New",20,10),0)</f>
        <v/>
      </c>
      <c r="L374" t="inlineStr">
        <is>
          <t>KEEP</t>
        </is>
      </c>
      <c r="M374" s="5" t="inlineStr">
        <is>
          <t>Relevant to page intent</t>
        </is>
      </c>
      <c r="N374" s="5" t="inlineStr">
        <is>
          <t>Oui, mais vous devrez générer un balisage de schéma séparé pour chaque emplacement. Chaque établissement physique doit disposer de son propre schéma LocalBusiness, avec son adresse, son numéro de télé</t>
        </is>
      </c>
      <c r="O374" t="inlineStr">
        <is>
          <t>P3</t>
        </is>
      </c>
      <c r="P374" t="inlineStr">
        <is>
          <t>Visible only (no FAQPage schema)</t>
        </is>
      </c>
    </row>
    <row r="375">
      <c r="A375" s="3" t="inlineStr">
        <is>
          <t>https://codesommet.com/tools/local-business-schema</t>
        </is>
      </c>
      <c r="B375" t="inlineStr">
        <is>
          <t>Existing</t>
        </is>
      </c>
      <c r="C375" s="5" t="inlineStr">
        <is>
          <t>Quel est le rapport avec mon profil Google Business ?</t>
        </is>
      </c>
      <c r="D375" t="inlineStr">
        <is>
          <t>agence seo maroc</t>
        </is>
      </c>
      <c r="E375" t="inlineStr">
        <is>
          <t>ma</t>
        </is>
      </c>
      <c r="F375" s="5" t="inlineStr"/>
      <c r="G375" t="n">
        <v>880</v>
      </c>
      <c r="H375" t="n">
        <v>44</v>
      </c>
      <c r="I375" t="inlineStr">
        <is>
          <t>SEO</t>
        </is>
      </c>
      <c r="J375" t="inlineStr">
        <is>
          <t>MEASURED</t>
        </is>
      </c>
      <c r="K375">
        <f>ROUND(IF(ISNUMBER(G375),MIN(50,ROUND(50*LOG10(G375+1)/4,1)),5)+IF(ISNUMBER(H375),ROUND(30*(100-H375)/100,1),15)+IF(B375="New",20,10),0)</f>
        <v/>
      </c>
      <c r="L375" t="inlineStr">
        <is>
          <t>KEEP</t>
        </is>
      </c>
      <c r="M375" s="5" t="inlineStr">
        <is>
          <t>Relevant to page intent</t>
        </is>
      </c>
      <c r="N375" s="5" t="inlineStr">
        <is>
          <t>Le Schéma d'Entreprise Locale sur votre site web doit correspondre aux informations de votre profil Google Business. Lorsque Google constate des données cohérentes entre les deux sources, la confiance</t>
        </is>
      </c>
      <c r="O375" t="inlineStr">
        <is>
          <t>P3</t>
        </is>
      </c>
      <c r="P375" t="inlineStr">
        <is>
          <t>Visible only (no FAQPage schema)</t>
        </is>
      </c>
    </row>
    <row r="376">
      <c r="A376" s="3" t="inlineStr">
        <is>
          <t>https://codesommet.com/tools/local-business-schema</t>
        </is>
      </c>
      <c r="B376" t="inlineStr">
        <is>
          <t>Existing</t>
        </is>
      </c>
      <c r="C376" s="5" t="inlineStr">
        <is>
          <t>Ce schéma m'aidera-t-il à obtenir des résultats enrichis avec des étoiles ?</t>
        </is>
      </c>
      <c r="D376" t="inlineStr">
        <is>
          <t>schema localbusiness</t>
        </is>
      </c>
      <c r="E376" t="inlineStr">
        <is>
          <t>fr</t>
        </is>
      </c>
      <c r="F376" s="5" t="inlineStr"/>
      <c r="G376" t="n">
        <v>20</v>
      </c>
      <c r="H376" t="inlineStr">
        <is>
          <t>NOT AVAILABLE</t>
        </is>
      </c>
      <c r="I376" t="inlineStr">
        <is>
          <t>Service scope</t>
        </is>
      </c>
      <c r="J376" t="inlineStr">
        <is>
          <t>MEASURED</t>
        </is>
      </c>
      <c r="K376">
        <f>ROUND(IF(ISNUMBER(G376),MIN(50,ROUND(50*LOG10(G376+1)/4,1)),5)+IF(ISNUMBER(H376),ROUND(30*(100-H376)/100,1),15)+IF(B376="New",20,10),0)</f>
        <v/>
      </c>
      <c r="L376" t="inlineStr">
        <is>
          <t>KEEP</t>
        </is>
      </c>
      <c r="M376" s="5" t="inlineStr">
        <is>
          <t>Relevant to page intent</t>
        </is>
      </c>
      <c r="N376" s="5" t="inlineStr">
        <is>
          <t>Oui ! Lorsque vous incluez des données de notation agrégées (valeur de la note et nombre d'avis) dans votre schéma, Google peut afficher des étoiles directement dans les résultats de recherche, ce qui</t>
        </is>
      </c>
      <c r="O376" t="inlineStr">
        <is>
          <t>P3</t>
        </is>
      </c>
      <c r="P376" t="inlineStr">
        <is>
          <t>Visible only (no FAQPage schema)</t>
        </is>
      </c>
    </row>
    <row r="377">
      <c r="A377" s="3" t="inlineStr">
        <is>
          <t>https://codesommet.com/tools/lorem-ipsum-generator</t>
        </is>
      </c>
      <c r="B377" t="inlineStr">
        <is>
          <t>Existing</t>
        </is>
      </c>
      <c r="C377" s="5" t="inlineStr">
        <is>
          <t>Qu'est-ce que Lorem Ipsum et d'où vient-il ?</t>
        </is>
      </c>
      <c r="D377" t="inlineStr">
        <is>
          <t>lorem ipsum</t>
        </is>
      </c>
      <c r="E377" t="inlineStr">
        <is>
          <t>fr</t>
        </is>
      </c>
      <c r="F377" s="5" t="inlineStr"/>
      <c r="G377" t="n">
        <v>40500</v>
      </c>
      <c r="H377" t="n">
        <v>45</v>
      </c>
      <c r="I377" t="inlineStr">
        <is>
          <t>Definition / how it works</t>
        </is>
      </c>
      <c r="J377" t="inlineStr">
        <is>
          <t>MEASURED</t>
        </is>
      </c>
      <c r="K377">
        <f>ROUND(IF(ISNUMBER(G377),MIN(50,ROUND(50*LOG10(G377+1)/4,1)),5)+IF(ISNUMBER(H377),ROUND(30*(100-H377)/100,1),15)+IF(B377="New",20,10),0)</f>
        <v/>
      </c>
      <c r="L377" t="inlineStr">
        <is>
          <t>KEEP</t>
        </is>
      </c>
      <c r="M377" s="5" t="inlineStr">
        <is>
          <t>Relevant to page intent</t>
        </is>
      </c>
      <c r="N377" s="5" t="inlineStr">
        <is>
          <t xml:space="preserve">Le Lorem Ipsum est un texte latin brouillé dérivé des sections 1.10.32 et 1.10.33 du « De Finibus Bonorum et Malorum » de Cicéron, écrit en 45 av. J.-C. Il sert de texte de remplissage depuis le XVIe </t>
        </is>
      </c>
      <c r="O377" t="inlineStr">
        <is>
          <t>P3</t>
        </is>
      </c>
      <c r="P377" t="inlineStr">
        <is>
          <t>Visible only (no FAQPage schema)</t>
        </is>
      </c>
    </row>
    <row r="378">
      <c r="A378" s="3" t="inlineStr">
        <is>
          <t>https://codesommet.com/tools/lorem-ipsum-generator</t>
        </is>
      </c>
      <c r="B378" t="inlineStr">
        <is>
          <t>Existing</t>
        </is>
      </c>
      <c r="C378" s="5" t="inlineStr">
        <is>
          <t>Pourquoi les designers et développeurs utilisent-ils Lorem Ipsum au lieu de vrai contenu ?</t>
        </is>
      </c>
      <c r="D378" t="inlineStr">
        <is>
          <t>lorem ipsum</t>
        </is>
      </c>
      <c r="E378" t="inlineStr">
        <is>
          <t>fr</t>
        </is>
      </c>
      <c r="F378" s="5" t="inlineStr"/>
      <c r="G378" t="n">
        <v>40500</v>
      </c>
      <c r="H378" t="n">
        <v>45</v>
      </c>
      <c r="I378" t="inlineStr">
        <is>
          <t>Service scope</t>
        </is>
      </c>
      <c r="J378" t="inlineStr">
        <is>
          <t>MEASURED</t>
        </is>
      </c>
      <c r="K378">
        <f>ROUND(IF(ISNUMBER(G378),MIN(50,ROUND(50*LOG10(G378+1)/4,1)),5)+IF(ISNUMBER(H378),ROUND(30*(100-H378)/100,1),15)+IF(B378="New",20,10),0)</f>
        <v/>
      </c>
      <c r="L378" t="inlineStr">
        <is>
          <t>KEEP</t>
        </is>
      </c>
      <c r="M378" s="5" t="inlineStr">
        <is>
          <t>Relevant to page intent</t>
        </is>
      </c>
      <c r="N378" s="5" t="inlineStr">
        <is>
          <t>Le Lorem Ipsum aide les spectateurs à se concentrer sur le design visuel, la typographie et la mise en page sans être distraits par un contenu lisible. It provides realistic text distribution and word</t>
        </is>
      </c>
      <c r="O378" t="inlineStr">
        <is>
          <t>P3</t>
        </is>
      </c>
      <c r="P378" t="inlineStr">
        <is>
          <t>Visible only (no FAQPage schema)</t>
        </is>
      </c>
    </row>
    <row r="379">
      <c r="A379" s="3" t="inlineStr">
        <is>
          <t>https://codesommet.com/tools/lorem-ipsum-generator</t>
        </is>
      </c>
      <c r="B379" t="inlineStr">
        <is>
          <t>Existing</t>
        </is>
      </c>
      <c r="C379" s="5" t="inlineStr">
        <is>
          <t>Quand dois-je utiliser Lorem Ipsum plutôt que du vrai contenu ?</t>
        </is>
      </c>
      <c r="D379" t="inlineStr">
        <is>
          <t>lorem ipsum</t>
        </is>
      </c>
      <c r="E379" t="inlineStr">
        <is>
          <t>fr</t>
        </is>
      </c>
      <c r="F379" s="5" t="inlineStr"/>
      <c r="G379" t="n">
        <v>40500</v>
      </c>
      <c r="H379" t="n">
        <v>45</v>
      </c>
      <c r="I379" t="inlineStr">
        <is>
          <t>Timeline</t>
        </is>
      </c>
      <c r="J379" t="inlineStr">
        <is>
          <t>MEASURED</t>
        </is>
      </c>
      <c r="K379">
        <f>ROUND(IF(ISNUMBER(G379),MIN(50,ROUND(50*LOG10(G379+1)/4,1)),5)+IF(ISNUMBER(H379),ROUND(30*(100-H379)/100,1),15)+IF(B379="New",20,10),0)</f>
        <v/>
      </c>
      <c r="L379" t="inlineStr">
        <is>
          <t>KEEP</t>
        </is>
      </c>
      <c r="M379" s="5" t="inlineStr">
        <is>
          <t>Matches measured pre-purchase demand</t>
        </is>
      </c>
      <c r="N379" s="5" t="inlineStr">
        <is>
          <t>Utilisez Lorem Ipsum pendant les premières phases de design et de prototypage, lorsque le contenu n'est pas prêt ou que vous devez tester rapidement une mise en page. Remplacez-le toutefois systématiq</t>
        </is>
      </c>
      <c r="O379" t="inlineStr">
        <is>
          <t>P3</t>
        </is>
      </c>
      <c r="P379" t="inlineStr">
        <is>
          <t>Visible only (no FAQPage schema)</t>
        </is>
      </c>
    </row>
    <row r="380">
      <c r="A380" s="3" t="inlineStr">
        <is>
          <t>https://codesommet.com/tools/lorem-ipsum-generator</t>
        </is>
      </c>
      <c r="B380" t="inlineStr">
        <is>
          <t>Existing</t>
        </is>
      </c>
      <c r="C380" s="5" t="inlineStr">
        <is>
          <t>Quelle est la différence entre la génération Lorem Ipsum basée sur les paragraphes et celle basée sur les mots ?</t>
        </is>
      </c>
      <c r="D380" t="inlineStr">
        <is>
          <t>lorem ipsum</t>
        </is>
      </c>
      <c r="E380" t="inlineStr">
        <is>
          <t>fr</t>
        </is>
      </c>
      <c r="F380" s="5" t="inlineStr"/>
      <c r="G380" t="n">
        <v>40500</v>
      </c>
      <c r="H380" t="n">
        <v>45</v>
      </c>
      <c r="I380" t="inlineStr">
        <is>
          <t>Location / logistics</t>
        </is>
      </c>
      <c r="J380" t="inlineStr">
        <is>
          <t>MEASURED</t>
        </is>
      </c>
      <c r="K380">
        <f>ROUND(IF(ISNUMBER(G380),MIN(50,ROUND(50*LOG10(G380+1)/4,1)),5)+IF(ISNUMBER(H380),ROUND(30*(100-H380)/100,1),15)+IF(B380="New",20,10),0)</f>
        <v/>
      </c>
      <c r="L380" t="inlineStr">
        <is>
          <t>KEEP</t>
        </is>
      </c>
      <c r="M380" s="5" t="inlineStr">
        <is>
          <t>Relevant to page intent</t>
        </is>
      </c>
      <c r="N380" s="5" t="inlineStr">
        <is>
          <t>La génération basée sur les paragraphes crée des blocs de texte complets avec une structure de phrase appropriée and punctuation, ideal for testing article layouts, blog posts, and multi-section conte</t>
        </is>
      </c>
      <c r="O380" t="inlineStr">
        <is>
          <t>P3</t>
        </is>
      </c>
      <c r="P380" t="inlineStr">
        <is>
          <t>Visible only (no FAQPage schema)</t>
        </is>
      </c>
    </row>
    <row r="381">
      <c r="A381" s="3" t="inlineStr">
        <is>
          <t>https://codesommet.com/tools/lorem-ipsum-generator</t>
        </is>
      </c>
      <c r="B381" t="inlineStr">
        <is>
          <t>Existing</t>
        </is>
      </c>
      <c r="C381" s="5" t="inlineStr">
        <is>
          <t>Existe-t-il des alternatives à Lorem Ipsum ?</t>
        </is>
      </c>
      <c r="D381" t="inlineStr">
        <is>
          <t>lorem ipsum</t>
        </is>
      </c>
      <c r="E381" t="inlineStr">
        <is>
          <t>fr</t>
        </is>
      </c>
      <c r="F381" s="5" t="inlineStr"/>
      <c r="G381" t="n">
        <v>40500</v>
      </c>
      <c r="H381" t="n">
        <v>45</v>
      </c>
      <c r="I381" t="inlineStr">
        <is>
          <t>Service scope</t>
        </is>
      </c>
      <c r="J381" t="inlineStr">
        <is>
          <t>MEASURED</t>
        </is>
      </c>
      <c r="K381">
        <f>ROUND(IF(ISNUMBER(G381),MIN(50,ROUND(50*LOG10(G381+1)/4,1)),5)+IF(ISNUMBER(H381),ROUND(30*(100-H381)/100,1),15)+IF(B381="New",20,10),0)</f>
        <v/>
      </c>
      <c r="L381" t="inlineStr">
        <is>
          <t>KEEP</t>
        </is>
      </c>
      <c r="M381" s="5" t="inlineStr">
        <is>
          <t>Relevant to page intent</t>
        </is>
      </c>
      <c r="N381" s="5" t="inlineStr">
        <is>
          <t xml:space="preserve">Oui ! Parmi les alternatives populaires figurent Bacon Ipsum (sur le thème de la viande), Hipster Ipsum (culture hipster), Cupcake Ipsum (sur le thème des desserts) et divers générateurs propres à un </t>
        </is>
      </c>
      <c r="O381" t="inlineStr">
        <is>
          <t>P3</t>
        </is>
      </c>
      <c r="P381" t="inlineStr">
        <is>
          <t>Visible only (no FAQPage schema)</t>
        </is>
      </c>
    </row>
    <row r="382">
      <c r="A382" s="3" t="inlineStr">
        <is>
          <t>https://codesommet.com/tools/lorem-ipsum-generator</t>
        </is>
      </c>
      <c r="B382" t="inlineStr">
        <is>
          <t>Existing</t>
        </is>
      </c>
      <c r="C382" s="5" t="inlineStr">
        <is>
          <t>Comment savoir quand passer de Lorem Ipsum à du vrai contenu ?</t>
        </is>
      </c>
      <c r="D382" t="inlineStr">
        <is>
          <t>lorem ipsum</t>
        </is>
      </c>
      <c r="E382" t="inlineStr">
        <is>
          <t>fr</t>
        </is>
      </c>
      <c r="F382" s="5" t="inlineStr"/>
      <c r="G382" t="n">
        <v>40500</v>
      </c>
      <c r="H382" t="n">
        <v>45</v>
      </c>
      <c r="I382" t="inlineStr">
        <is>
          <t>Timeline</t>
        </is>
      </c>
      <c r="J382" t="inlineStr">
        <is>
          <t>MEASURED</t>
        </is>
      </c>
      <c r="K382">
        <f>ROUND(IF(ISNUMBER(G382),MIN(50,ROUND(50*LOG10(G382+1)/4,1)),5)+IF(ISNUMBER(H382),ROUND(30*(100-H382)/100,1),15)+IF(B382="New",20,10),0)</f>
        <v/>
      </c>
      <c r="L382" t="inlineStr">
        <is>
          <t>KEEP</t>
        </is>
      </c>
      <c r="M382" s="5" t="inlineStr">
        <is>
          <t>Matches measured pre-purchase demand</t>
        </is>
      </c>
      <c r="N382" s="5" t="inlineStr">
        <is>
          <t>Passez au vrai contenu pendant les phases de stratégie de contenu et d'architecture de l'information, typically after initial design approval but before usability testing. Real content is essential fo</t>
        </is>
      </c>
      <c r="O382" t="inlineStr">
        <is>
          <t>P3</t>
        </is>
      </c>
      <c r="P382" t="inlineStr">
        <is>
          <t>Visible only (no FAQPage schema)</t>
        </is>
      </c>
    </row>
    <row r="383">
      <c r="A383" s="3" t="inlineStr">
        <is>
          <t>https://codesommet.com/tools/lorem-ipsum-generator</t>
        </is>
      </c>
      <c r="B383" t="inlineStr">
        <is>
          <t>Existing</t>
        </is>
      </c>
      <c r="C383" s="5" t="inlineStr">
        <is>
          <t>L'utilisation de Lorem Ipsum peut-elle affecter le SEO de mon site web ?</t>
        </is>
      </c>
      <c r="D383" t="inlineStr">
        <is>
          <t>lorem ipsum</t>
        </is>
      </c>
      <c r="E383" t="inlineStr">
        <is>
          <t>fr</t>
        </is>
      </c>
      <c r="F383" s="5" t="inlineStr"/>
      <c r="G383" t="n">
        <v>40500</v>
      </c>
      <c r="H383" t="n">
        <v>45</v>
      </c>
      <c r="I383" t="inlineStr">
        <is>
          <t>SEO</t>
        </is>
      </c>
      <c r="J383" t="inlineStr">
        <is>
          <t>MEASURED</t>
        </is>
      </c>
      <c r="K383">
        <f>ROUND(IF(ISNUMBER(G383),MIN(50,ROUND(50*LOG10(G383+1)/4,1)),5)+IF(ISNUMBER(H383),ROUND(30*(100-H383)/100,1),15)+IF(B383="New",20,10),0)</f>
        <v/>
      </c>
      <c r="L383" t="inlineStr">
        <is>
          <t>KEEP</t>
        </is>
      </c>
      <c r="M383" s="5" t="inlineStr">
        <is>
          <t>Relevant to page intent</t>
        </is>
      </c>
      <c r="N383" s="5" t="inlineStr">
        <is>
          <t xml:space="preserve">Oui, Lorem Ipsum a un impact négatif sur le SEO s'il est laissé sur les pages en ligne. Les moteurs de recherche le signalent comme du contenu dupliqué ou de faible qualité, ce qui peut nuire à votre </t>
        </is>
      </c>
      <c r="O383" t="inlineStr">
        <is>
          <t>P3</t>
        </is>
      </c>
      <c r="P383" t="inlineStr">
        <is>
          <t>Visible only (no FAQPage schema)</t>
        </is>
      </c>
    </row>
    <row r="384">
      <c r="A384" s="3" t="inlineStr">
        <is>
          <t>https://codesommet.com/tools/meta-extractor</t>
        </is>
      </c>
      <c r="B384" t="inlineStr">
        <is>
          <t>Existing</t>
        </is>
      </c>
      <c r="C384" s="5" t="inlineStr">
        <is>
          <t>Quelle longueur pour le titre et la description ?</t>
        </is>
      </c>
      <c r="D384" t="inlineStr">
        <is>
          <t>extraire meta title</t>
        </is>
      </c>
      <c r="E384" t="inlineStr">
        <is>
          <t>fr</t>
        </is>
      </c>
      <c r="F384" s="5" t="inlineStr"/>
      <c r="G384" t="inlineStr">
        <is>
          <t>NOT AVAILABLE</t>
        </is>
      </c>
      <c r="H384" t="inlineStr">
        <is>
          <t>NOT AVAILABLE</t>
        </is>
      </c>
      <c r="I384" t="inlineStr">
        <is>
          <t>Service scope</t>
        </is>
      </c>
      <c r="J384" t="inlineStr">
        <is>
          <t>UNAVAILABLE</t>
        </is>
      </c>
      <c r="K384">
        <f>ROUND(IF(ISNUMBER(G384),MIN(50,ROUND(50*LOG10(G384+1)/4,1)),5)+IF(ISNUMBER(H384),ROUND(30*(100-H384)/100,1),15)+IF(B384="New",20,10),0)</f>
        <v/>
      </c>
      <c r="L384" t="inlineStr">
        <is>
          <t>KEEP</t>
        </is>
      </c>
      <c r="M384" s="5" t="inlineStr">
        <is>
          <t>Relevant to page intent</t>
        </is>
      </c>
      <c r="N384" s="5" t="inlineStr">
        <is>
          <t>Visez environ 30 à 60 caractères pour la balise title et 120 à 160 pour la meta description : au-delà, Google risque de les tronquer dans les résultats.</t>
        </is>
      </c>
      <c r="O384" t="inlineStr">
        <is>
          <t>P3</t>
        </is>
      </c>
      <c r="P384" t="inlineStr">
        <is>
          <t>Visible only (no FAQPage schema)</t>
        </is>
      </c>
    </row>
    <row r="385">
      <c r="A385" s="3" t="inlineStr">
        <is>
          <t>https://codesommet.com/tools/meta-extractor</t>
        </is>
      </c>
      <c r="B385" t="inlineStr">
        <is>
          <t>Existing</t>
        </is>
      </c>
      <c r="C385" s="5" t="inlineStr">
        <is>
          <t>Pourquoi signaler les doublons ?</t>
        </is>
      </c>
      <c r="D385" t="inlineStr">
        <is>
          <t>extraire meta title</t>
        </is>
      </c>
      <c r="E385" t="inlineStr">
        <is>
          <t>fr</t>
        </is>
      </c>
      <c r="F385" s="5" t="inlineStr"/>
      <c r="G385" t="inlineStr">
        <is>
          <t>NOT AVAILABLE</t>
        </is>
      </c>
      <c r="H385" t="inlineStr">
        <is>
          <t>NOT AVAILABLE</t>
        </is>
      </c>
      <c r="I385" t="inlineStr">
        <is>
          <t>Service scope</t>
        </is>
      </c>
      <c r="J385" t="inlineStr">
        <is>
          <t>UNAVAILABLE</t>
        </is>
      </c>
      <c r="K385">
        <f>ROUND(IF(ISNUMBER(G385),MIN(50,ROUND(50*LOG10(G385+1)/4,1)),5)+IF(ISNUMBER(H385),ROUND(30*(100-H385)/100,1),15)+IF(B385="New",20,10),0)</f>
        <v/>
      </c>
      <c r="L385" t="inlineStr">
        <is>
          <t>KEEP</t>
        </is>
      </c>
      <c r="M385" s="5" t="inlineStr">
        <is>
          <t>Relevant to page intent</t>
        </is>
      </c>
      <c r="N385" s="5" t="inlineStr">
        <is>
          <t>Deux pages avec le même titre ou la même description se distinguent mal dans les résultats de recherche et peuvent se concurrencer. Chaque page devrait avoir des balises uniques.</t>
        </is>
      </c>
      <c r="O385" t="inlineStr">
        <is>
          <t>P3</t>
        </is>
      </c>
      <c r="P385" t="inlineStr">
        <is>
          <t>Visible only (no FAQPage schema)</t>
        </is>
      </c>
    </row>
    <row r="386">
      <c r="A386" s="3" t="inlineStr">
        <is>
          <t>https://codesommet.com/tools/meta-extractor</t>
        </is>
      </c>
      <c r="B386" t="inlineStr">
        <is>
          <t>Existing</t>
        </is>
      </c>
      <c r="C386" s="5" t="inlineStr">
        <is>
          <t>Une page est affichée en erreur, pourquoi ?</t>
        </is>
      </c>
      <c r="D386" t="inlineStr">
        <is>
          <t>extraire meta title</t>
        </is>
      </c>
      <c r="E386" t="inlineStr">
        <is>
          <t>fr</t>
        </is>
      </c>
      <c r="F386" s="5" t="inlineStr"/>
      <c r="G386" t="inlineStr">
        <is>
          <t>NOT AVAILABLE</t>
        </is>
      </c>
      <c r="H386" t="inlineStr">
        <is>
          <t>NOT AVAILABLE</t>
        </is>
      </c>
      <c r="I386" t="inlineStr">
        <is>
          <t>Service scope</t>
        </is>
      </c>
      <c r="J386" t="inlineStr">
        <is>
          <t>UNAVAILABLE</t>
        </is>
      </c>
      <c r="K386">
        <f>ROUND(IF(ISNUMBER(G386),MIN(50,ROUND(50*LOG10(G386+1)/4,1)),5)+IF(ISNUMBER(H386),ROUND(30*(100-H386)/100,1),15)+IF(B386="New",20,10),0)</f>
        <v/>
      </c>
      <c r="L386" t="inlineStr">
        <is>
          <t>KEEP</t>
        </is>
      </c>
      <c r="M386" s="5" t="inlineStr">
        <is>
          <t>Relevant to page intent</t>
        </is>
      </c>
      <c r="N386" s="5" t="inlineStr">
        <is>
          <t>La page a répondu par un code d'erreur (404, 500…), n'a pas répondu à temps, ou pointe vers une adresse non publique. Les autres pages de la liste sont analysées normalement.</t>
        </is>
      </c>
      <c r="O386" t="inlineStr">
        <is>
          <t>P3</t>
        </is>
      </c>
      <c r="P386" t="inlineStr">
        <is>
          <t>Visible only (no FAQPage schema)</t>
        </is>
      </c>
    </row>
    <row r="387">
      <c r="A387" s="3" t="inlineStr">
        <is>
          <t>https://codesommet.com/tools/meta-extractor</t>
        </is>
      </c>
      <c r="B387" t="inlineStr">
        <is>
          <t>Existing</t>
        </is>
      </c>
      <c r="C387" s="5" t="inlineStr">
        <is>
          <t>Les pages construites en JavaScript sont-elles analysées ?</t>
        </is>
      </c>
      <c r="D387" t="inlineStr">
        <is>
          <t>extraire meta title</t>
        </is>
      </c>
      <c r="E387" t="inlineStr">
        <is>
          <t>fr</t>
        </is>
      </c>
      <c r="F387" s="5" t="inlineStr"/>
      <c r="G387" t="inlineStr">
        <is>
          <t>NOT AVAILABLE</t>
        </is>
      </c>
      <c r="H387" t="inlineStr">
        <is>
          <t>NOT AVAILABLE</t>
        </is>
      </c>
      <c r="I387" t="inlineStr">
        <is>
          <t>Service scope</t>
        </is>
      </c>
      <c r="J387" t="inlineStr">
        <is>
          <t>UNAVAILABLE</t>
        </is>
      </c>
      <c r="K387">
        <f>ROUND(IF(ISNUMBER(G387),MIN(50,ROUND(50*LOG10(G387+1)/4,1)),5)+IF(ISNUMBER(H387),ROUND(30*(100-H387)/100,1),15)+IF(B387="New",20,10),0)</f>
        <v/>
      </c>
      <c r="L387" t="inlineStr">
        <is>
          <t>KEEP</t>
        </is>
      </c>
      <c r="M387" s="5" t="inlineStr">
        <is>
          <t>Relevant to page intent</t>
        </is>
      </c>
      <c r="N387" s="5" t="inlineStr">
        <is>
          <t>L'outil lit le HTML renvoyé par le serveur. Sur un site entièrement rendu en JavaScript, certaines balises peuvent n'apparaître qu'après exécution du script.</t>
        </is>
      </c>
      <c r="O387" t="inlineStr">
        <is>
          <t>P3</t>
        </is>
      </c>
      <c r="P387" t="inlineStr">
        <is>
          <t>Visible only (no FAQPage schema)</t>
        </is>
      </c>
    </row>
    <row r="388">
      <c r="A388" s="3" t="inlineStr">
        <is>
          <t>https://codesommet.com/tools/meta-refresh-generator</t>
        </is>
      </c>
      <c r="B388" t="inlineStr">
        <is>
          <t>Existing</t>
        </is>
      </c>
      <c r="C388" s="5" t="inlineStr">
        <is>
          <t>Qu'est-ce qu'une redirection meta refresh et comment fonctionne-t-elle ?</t>
        </is>
      </c>
      <c r="D388" t="inlineStr">
        <is>
          <t>meta refresh</t>
        </is>
      </c>
      <c r="E388" t="inlineStr">
        <is>
          <t>fr</t>
        </is>
      </c>
      <c r="F388" s="5" t="inlineStr"/>
      <c r="G388" t="n">
        <v>30</v>
      </c>
      <c r="H388" t="inlineStr">
        <is>
          <t>NOT AVAILABLE</t>
        </is>
      </c>
      <c r="I388" t="inlineStr">
        <is>
          <t>Definition / how it works</t>
        </is>
      </c>
      <c r="J388" t="inlineStr">
        <is>
          <t>MEASURED</t>
        </is>
      </c>
      <c r="K388">
        <f>ROUND(IF(ISNUMBER(G388),MIN(50,ROUND(50*LOG10(G388+1)/4,1)),5)+IF(ISNUMBER(H388),ROUND(30*(100-H388)/100,1),15)+IF(B388="New",20,10),0)</f>
        <v/>
      </c>
      <c r="L388" t="inlineStr">
        <is>
          <t>KEEP</t>
        </is>
      </c>
      <c r="M388" s="5" t="inlineStr">
        <is>
          <t>Relevant to page intent</t>
        </is>
      </c>
      <c r="N388" s="5" t="inlineStr">
        <is>
          <t xml:space="preserve">Une redirection meta refresh est une redirection HTML qui utilise une balise dans la section head de la page to automatically redirect users to another URL after a specified delay. Unlike server-side </t>
        </is>
      </c>
      <c r="O388" t="inlineStr">
        <is>
          <t>P3</t>
        </is>
      </c>
      <c r="P388" t="inlineStr">
        <is>
          <t>Visible only (no FAQPage schema)</t>
        </is>
      </c>
    </row>
    <row r="389">
      <c r="A389" s="3" t="inlineStr">
        <is>
          <t>https://codesommet.com/tools/meta-refresh-generator</t>
        </is>
      </c>
      <c r="B389" t="inlineStr">
        <is>
          <t>Existing</t>
        </is>
      </c>
      <c r="C389" s="5" t="inlineStr">
        <is>
          <t>Quand dois-je utiliser les redirections meta refresh au lieu des redirections 301 ?</t>
        </is>
      </c>
      <c r="D389" t="inlineStr">
        <is>
          <t>meta refresh</t>
        </is>
      </c>
      <c r="E389" t="inlineStr">
        <is>
          <t>fr</t>
        </is>
      </c>
      <c r="F389" s="5" t="inlineStr"/>
      <c r="G389" t="n">
        <v>30</v>
      </c>
      <c r="H389" t="inlineStr">
        <is>
          <t>NOT AVAILABLE</t>
        </is>
      </c>
      <c r="I389" t="inlineStr">
        <is>
          <t>Timeline</t>
        </is>
      </c>
      <c r="J389" t="inlineStr">
        <is>
          <t>MEASURED</t>
        </is>
      </c>
      <c r="K389">
        <f>ROUND(IF(ISNUMBER(G389),MIN(50,ROUND(50*LOG10(G389+1)/4,1)),5)+IF(ISNUMBER(H389),ROUND(30*(100-H389)/100,1),15)+IF(B389="New",20,10),0)</f>
        <v/>
      </c>
      <c r="L389" t="inlineStr">
        <is>
          <t>KEEP</t>
        </is>
      </c>
      <c r="M389" s="5" t="inlineStr">
        <is>
          <t>Matches measured pre-purchase demand</t>
        </is>
      </c>
      <c r="N389" s="5" t="inlineStr">
        <is>
          <t>Utilisez les redirections meta refresh uniquement lorsque vous n'avez pas accès au serveur (like static hosting platforms) or want users to see a 'redirecting...' message. For SEO purposes, always pre</t>
        </is>
      </c>
      <c r="O389" t="inlineStr">
        <is>
          <t>P3</t>
        </is>
      </c>
      <c r="P389" t="inlineStr">
        <is>
          <t>Visible only (no FAQPage schema)</t>
        </is>
      </c>
    </row>
    <row r="390">
      <c r="A390" s="3" t="inlineStr">
        <is>
          <t>https://codesommet.com/tools/meta-refresh-generator</t>
        </is>
      </c>
      <c r="B390" t="inlineStr">
        <is>
          <t>Existing</t>
        </is>
      </c>
      <c r="C390" s="5" t="inlineStr">
        <is>
          <t>Quel est le meilleur réglage de délai pour une redirection meta refresh ?</t>
        </is>
      </c>
      <c r="D390" t="inlineStr">
        <is>
          <t>meta refresh</t>
        </is>
      </c>
      <c r="E390" t="inlineStr">
        <is>
          <t>fr</t>
        </is>
      </c>
      <c r="F390" s="5" t="inlineStr"/>
      <c r="G390" t="n">
        <v>30</v>
      </c>
      <c r="H390" t="inlineStr">
        <is>
          <t>NOT AVAILABLE</t>
        </is>
      </c>
      <c r="I390" t="inlineStr">
        <is>
          <t>Timeline</t>
        </is>
      </c>
      <c r="J390" t="inlineStr">
        <is>
          <t>MEASURED</t>
        </is>
      </c>
      <c r="K390">
        <f>ROUND(IF(ISNUMBER(G390),MIN(50,ROUND(50*LOG10(G390+1)/4,1)),5)+IF(ISNUMBER(H390),ROUND(30*(100-H390)/100,1),15)+IF(B390="New",20,10),0)</f>
        <v/>
      </c>
      <c r="L390" t="inlineStr">
        <is>
          <t>KEEP</t>
        </is>
      </c>
      <c r="M390" s="5" t="inlineStr">
        <is>
          <t>Matches measured pre-purchase demand</t>
        </is>
      </c>
      <c r="N390" s="5" t="inlineStr">
        <is>
          <t>Le délai recommandé est de 5 secondes, ce qui laisse aux utilisateurs le temps de lire le message de redirection et de comprendre ce qui se passe. N'utilisez 0 seconde (redirection instantanée) que lo</t>
        </is>
      </c>
      <c r="O390" t="inlineStr">
        <is>
          <t>P3</t>
        </is>
      </c>
      <c r="P390" t="inlineStr">
        <is>
          <t>Visible only (no FAQPage schema)</t>
        </is>
      </c>
    </row>
    <row r="391">
      <c r="A391" s="3" t="inlineStr">
        <is>
          <t>https://codesommet.com/tools/meta-refresh-generator</t>
        </is>
      </c>
      <c r="B391" t="inlineStr">
        <is>
          <t>Existing</t>
        </is>
      </c>
      <c r="C391" s="5" t="inlineStr">
        <is>
          <t>Les redirections meta refresh nuisent-elles au SEO ?</t>
        </is>
      </c>
      <c r="D391" t="inlineStr">
        <is>
          <t>meta refresh</t>
        </is>
      </c>
      <c r="E391" t="inlineStr">
        <is>
          <t>fr</t>
        </is>
      </c>
      <c r="F391" s="5" t="inlineStr"/>
      <c r="G391" t="n">
        <v>30</v>
      </c>
      <c r="H391" t="inlineStr">
        <is>
          <t>NOT AVAILABLE</t>
        </is>
      </c>
      <c r="I391" t="inlineStr">
        <is>
          <t>SEO</t>
        </is>
      </c>
      <c r="J391" t="inlineStr">
        <is>
          <t>MEASURED</t>
        </is>
      </c>
      <c r="K391">
        <f>ROUND(IF(ISNUMBER(G391),MIN(50,ROUND(50*LOG10(G391+1)/4,1)),5)+IF(ISNUMBER(H391),ROUND(30*(100-H391)/100,1),15)+IF(B391="New",20,10),0)</f>
        <v/>
      </c>
      <c r="L391" t="inlineStr">
        <is>
          <t>KEEP</t>
        </is>
      </c>
      <c r="M391" s="5" t="inlineStr">
        <is>
          <t>Relevant to page intent</t>
        </is>
      </c>
      <c r="N391" s="5" t="inlineStr">
        <is>
          <t>Oui, les redirections meta refresh peuvent avoir un impact négatif sur le SEO. Search engines like Google may not pass full link equity through meta refresh redirects, and they're considered a less re</t>
        </is>
      </c>
      <c r="O391" t="inlineStr">
        <is>
          <t>P3</t>
        </is>
      </c>
      <c r="P391" t="inlineStr">
        <is>
          <t>Visible only (no FAQPage schema)</t>
        </is>
      </c>
    </row>
    <row r="392">
      <c r="A392" s="3" t="inlineStr">
        <is>
          <t>https://codesommet.com/tools/meta-refresh-generator</t>
        </is>
      </c>
      <c r="B392" t="inlineStr">
        <is>
          <t>Existing</t>
        </is>
      </c>
      <c r="C392" s="5" t="inlineStr">
        <is>
          <t>Quelle est la différence entre les redirections meta refresh et JavaScript ?</t>
        </is>
      </c>
      <c r="D392" t="inlineStr">
        <is>
          <t>meta refresh</t>
        </is>
      </c>
      <c r="E392" t="inlineStr">
        <is>
          <t>fr</t>
        </is>
      </c>
      <c r="F392" s="5" t="inlineStr"/>
      <c r="G392" t="n">
        <v>30</v>
      </c>
      <c r="H392" t="inlineStr">
        <is>
          <t>NOT AVAILABLE</t>
        </is>
      </c>
      <c r="I392" t="inlineStr">
        <is>
          <t>Differentiation</t>
        </is>
      </c>
      <c r="J392" t="inlineStr">
        <is>
          <t>MEASURED</t>
        </is>
      </c>
      <c r="K392">
        <f>ROUND(IF(ISNUMBER(G392),MIN(50,ROUND(50*LOG10(G392+1)/4,1)),5)+IF(ISNUMBER(H392),ROUND(30*(100-H392)/100,1),15)+IF(B392="New",20,10),0)</f>
        <v/>
      </c>
      <c r="L392" t="inlineStr">
        <is>
          <t>KEEP</t>
        </is>
      </c>
      <c r="M392" s="5" t="inlineStr">
        <is>
          <t>Relevant to page intent</t>
        </is>
      </c>
      <c r="N392" s="5" t="inlineStr">
        <is>
          <t>Les redirections meta refresh fonctionnent même avec JavaScript désactivé et sont définies directement en HTML, ce qui les rend plus fiables sur les navigateurs anciens. Les redirections JavaScript (w</t>
        </is>
      </c>
      <c r="O392" t="inlineStr">
        <is>
          <t>P3</t>
        </is>
      </c>
      <c r="P392" t="inlineStr">
        <is>
          <t>Visible only (no FAQPage schema)</t>
        </is>
      </c>
    </row>
    <row r="393">
      <c r="A393" s="3" t="inlineStr">
        <is>
          <t>https://codesommet.com/tools/meta-refresh-generator</t>
        </is>
      </c>
      <c r="B393" t="inlineStr">
        <is>
          <t>Existing</t>
        </is>
      </c>
      <c r="C393" s="5" t="inlineStr">
        <is>
          <t>Puis-je utiliser les redirections meta refresh pour les utilisateurs mobiles ?</t>
        </is>
      </c>
      <c r="D393" t="inlineStr">
        <is>
          <t>meta refresh</t>
        </is>
      </c>
      <c r="E393" t="inlineStr">
        <is>
          <t>fr</t>
        </is>
      </c>
      <c r="F393" s="5" t="inlineStr"/>
      <c r="G393" t="n">
        <v>30</v>
      </c>
      <c r="H393" t="inlineStr">
        <is>
          <t>NOT AVAILABLE</t>
        </is>
      </c>
      <c r="I393" t="inlineStr">
        <is>
          <t>Service scope</t>
        </is>
      </c>
      <c r="J393" t="inlineStr">
        <is>
          <t>MEASURED</t>
        </is>
      </c>
      <c r="K393">
        <f>ROUND(IF(ISNUMBER(G393),MIN(50,ROUND(50*LOG10(G393+1)/4,1)),5)+IF(ISNUMBER(H393),ROUND(30*(100-H393)/100,1),15)+IF(B393="New",20,10),0)</f>
        <v/>
      </c>
      <c r="L393" t="inlineStr">
        <is>
          <t>KEEP</t>
        </is>
      </c>
      <c r="M393" s="5" t="inlineStr">
        <is>
          <t>Relevant to page intent</t>
        </is>
      </c>
      <c r="N393" s="5" t="inlineStr">
        <is>
          <t>Oui, les redirections meta refresh fonctionnent sur tous les navigateurs et appareils mobiles. C'est une bonne option pour rediriger les utilisateurs mobiles vers une page de téléchargement d'applicat</t>
        </is>
      </c>
      <c r="O393" t="inlineStr">
        <is>
          <t>P3</t>
        </is>
      </c>
      <c r="P393" t="inlineStr">
        <is>
          <t>Visible only (no FAQPage schema)</t>
        </is>
      </c>
    </row>
    <row r="394">
      <c r="A394" s="3" t="inlineStr">
        <is>
          <t>https://codesommet.com/tools/meta-refresh-generator</t>
        </is>
      </c>
      <c r="B394" t="inlineStr">
        <is>
          <t>Existing</t>
        </is>
      </c>
      <c r="C394" s="5" t="inlineStr">
        <is>
          <t>Quels sont les meilleurs cas d'utilisation pour les redirections meta refresh ?</t>
        </is>
      </c>
      <c r="D394" t="inlineStr">
        <is>
          <t>meta refresh</t>
        </is>
      </c>
      <c r="E394" t="inlineStr">
        <is>
          <t>fr</t>
        </is>
      </c>
      <c r="F394" s="5" t="inlineStr"/>
      <c r="G394" t="n">
        <v>30</v>
      </c>
      <c r="H394" t="inlineStr">
        <is>
          <t>NOT AVAILABLE</t>
        </is>
      </c>
      <c r="I394" t="inlineStr">
        <is>
          <t>Service scope</t>
        </is>
      </c>
      <c r="J394" t="inlineStr">
        <is>
          <t>MEASURED</t>
        </is>
      </c>
      <c r="K394">
        <f>ROUND(IF(ISNUMBER(G394),MIN(50,ROUND(50*LOG10(G394+1)/4,1)),5)+IF(ISNUMBER(H394),ROUND(30*(100-H394)/100,1),15)+IF(B394="New",20,10),0)</f>
        <v/>
      </c>
      <c r="L394" t="inlineStr">
        <is>
          <t>KEEP</t>
        </is>
      </c>
      <c r="M394" s="5" t="inlineStr">
        <is>
          <t>Relevant to page intent</t>
        </is>
      </c>
      <c r="N394" s="5" t="inlineStr">
        <is>
          <t>Les cas d'utilisation valides incluent : les pages d'atterrissage de campagne temporaires with countdown timers, client-side redirects on static hosting platforms (GitHub Pages, Netlify without server</t>
        </is>
      </c>
      <c r="O394" t="inlineStr">
        <is>
          <t>P3</t>
        </is>
      </c>
      <c r="P394" t="inlineStr">
        <is>
          <t>Visible only (no FAQPage schema)</t>
        </is>
      </c>
    </row>
    <row r="395">
      <c r="A395" s="3" t="inlineStr">
        <is>
          <t>https://codesommet.com/tools/meta-tag-generator</t>
        </is>
      </c>
      <c r="B395" t="inlineStr">
        <is>
          <t>Existing</t>
        </is>
      </c>
      <c r="C395" s="5" t="inlineStr">
        <is>
          <t>Qu'est-ce qu'un générateur de balises méta et pourquoi en ai-je besoin ?</t>
        </is>
      </c>
      <c r="D395" t="inlineStr">
        <is>
          <t>générateur de balises meta</t>
        </is>
      </c>
      <c r="E395" t="inlineStr">
        <is>
          <t>fr</t>
        </is>
      </c>
      <c r="F395" s="5" t="inlineStr"/>
      <c r="G395" t="n">
        <v>0</v>
      </c>
      <c r="H395" t="inlineStr">
        <is>
          <t>NOT AVAILABLE</t>
        </is>
      </c>
      <c r="I395" t="inlineStr">
        <is>
          <t>Definition / how it works</t>
        </is>
      </c>
      <c r="J395" t="inlineStr">
        <is>
          <t>MEASURED</t>
        </is>
      </c>
      <c r="K395">
        <f>ROUND(IF(ISNUMBER(G395),MIN(50,ROUND(50*LOG10(G395+1)/4,1)),5)+IF(ISNUMBER(H395),ROUND(30*(100-H395)/100,1),15)+IF(B395="New",20,10),0)</f>
        <v/>
      </c>
      <c r="L395" t="inlineStr">
        <is>
          <t>KEEP</t>
        </is>
      </c>
      <c r="M395" s="5" t="inlineStr">
        <is>
          <t>Relevant to page intent</t>
        </is>
      </c>
      <c r="N395" s="5" t="inlineStr">
        <is>
          <t>Un générateur de balises méta crée des balises de titre, méta descriptions et balises Open Graph optimisées SEO pour votre site web. Ces balises aident les moteurs de recherche à comprendre votre cont</t>
        </is>
      </c>
      <c r="O395" t="inlineStr">
        <is>
          <t>P3</t>
        </is>
      </c>
      <c r="P395" t="inlineStr">
        <is>
          <t>Visible only (no FAQPage schema)</t>
        </is>
      </c>
    </row>
    <row r="396">
      <c r="A396" s="3" t="inlineStr">
        <is>
          <t>https://codesommet.com/tools/meta-tag-generator</t>
        </is>
      </c>
      <c r="B396" t="inlineStr">
        <is>
          <t>Existing</t>
        </is>
      </c>
      <c r="C396" s="5" t="inlineStr">
        <is>
          <t>Comment utiliser le Générateur de Balises Méta ?</t>
        </is>
      </c>
      <c r="D396" t="inlineStr">
        <is>
          <t>générateur de balises meta</t>
        </is>
      </c>
      <c r="E396" t="inlineStr">
        <is>
          <t>fr</t>
        </is>
      </c>
      <c r="F396" s="5" t="inlineStr"/>
      <c r="G396" t="n">
        <v>0</v>
      </c>
      <c r="H396" t="inlineStr">
        <is>
          <t>NOT AVAILABLE</t>
        </is>
      </c>
      <c r="I396" t="inlineStr">
        <is>
          <t>Service scope</t>
        </is>
      </c>
      <c r="J396" t="inlineStr">
        <is>
          <t>MEASURED</t>
        </is>
      </c>
      <c r="K396">
        <f>ROUND(IF(ISNUMBER(G396),MIN(50,ROUND(50*LOG10(G396+1)/4,1)),5)+IF(ISNUMBER(H396),ROUND(30*(100-H396)/100,1),15)+IF(B396="New",20,10),0)</f>
        <v/>
      </c>
      <c r="L396" t="inlineStr">
        <is>
          <t>KEEP</t>
        </is>
      </c>
      <c r="M396" s="5" t="inlineStr">
        <is>
          <t>Relevant to page intent</t>
        </is>
      </c>
      <c r="N396" s="5" t="inlineStr">
        <is>
          <t xml:space="preserve">Entrez simplement l'URL de votre site web dans le champ de saisie et cliquez sur « Générer les Balises Méta ». Notre IA analysera le contenu de votre page, en extraira les informations pertinentes et </t>
        </is>
      </c>
      <c r="O396" t="inlineStr">
        <is>
          <t>P3</t>
        </is>
      </c>
      <c r="P396" t="inlineStr">
        <is>
          <t>Visible only (no FAQPage schema)</t>
        </is>
      </c>
    </row>
    <row r="397">
      <c r="A397" s="3" t="inlineStr">
        <is>
          <t>https://codesommet.com/tools/meta-tag-generator</t>
        </is>
      </c>
      <c r="B397" t="inlineStr">
        <is>
          <t>Existing</t>
        </is>
      </c>
      <c r="C397" s="5" t="inlineStr">
        <is>
          <t>Quelles sont les limites de caractères idéales pour les balises méta ?</t>
        </is>
      </c>
      <c r="D397" t="inlineStr">
        <is>
          <t>générateur de balises meta</t>
        </is>
      </c>
      <c r="E397" t="inlineStr">
        <is>
          <t>fr</t>
        </is>
      </c>
      <c r="F397" s="5" t="inlineStr"/>
      <c r="G397" t="n">
        <v>0</v>
      </c>
      <c r="H397" t="inlineStr">
        <is>
          <t>NOT AVAILABLE</t>
        </is>
      </c>
      <c r="I397" t="inlineStr">
        <is>
          <t>Service scope</t>
        </is>
      </c>
      <c r="J397" t="inlineStr">
        <is>
          <t>MEASURED</t>
        </is>
      </c>
      <c r="K397">
        <f>ROUND(IF(ISNUMBER(G397),MIN(50,ROUND(50*LOG10(G397+1)/4,1)),5)+IF(ISNUMBER(H397),ROUND(30*(100-H397)/100,1),15)+IF(B397="New",20,10),0)</f>
        <v/>
      </c>
      <c r="L397" t="inlineStr">
        <is>
          <t>KEEP</t>
        </is>
      </c>
      <c r="M397" s="5" t="inlineStr">
        <is>
          <t>Relevant to page intent</t>
        </is>
      </c>
      <c r="N397" s="5" t="inlineStr">
        <is>
          <t>Les balises de titre doivent faire 50-60 caractères pour éviter la troncature dans les résultats de recherche. Les méta descriptions doivent faire 150-160 caractères pour un affichage optimal. Notre g</t>
        </is>
      </c>
      <c r="O397" t="inlineStr">
        <is>
          <t>P3</t>
        </is>
      </c>
      <c r="P397" t="inlineStr">
        <is>
          <t>Visible only (no FAQPage schema)</t>
        </is>
      </c>
    </row>
    <row r="398">
      <c r="A398" s="3" t="inlineStr">
        <is>
          <t>https://codesommet.com/tools/meta-tag-generator</t>
        </is>
      </c>
      <c r="B398" t="inlineStr">
        <is>
          <t>Existing</t>
        </is>
      </c>
      <c r="C398" s="5" t="inlineStr">
        <is>
          <t>Que sont les balises Open Graph et pourquoi sont-elles importantes ?</t>
        </is>
      </c>
      <c r="D398" t="inlineStr">
        <is>
          <t>balise meta</t>
        </is>
      </c>
      <c r="E398" t="inlineStr">
        <is>
          <t>fr</t>
        </is>
      </c>
      <c r="F398" s="5" t="inlineStr"/>
      <c r="G398" t="n">
        <v>320</v>
      </c>
      <c r="H398" t="n">
        <v>37</v>
      </c>
      <c r="I398" t="inlineStr">
        <is>
          <t>Definition / how it works</t>
        </is>
      </c>
      <c r="J398" t="inlineStr">
        <is>
          <t>MEASURED</t>
        </is>
      </c>
      <c r="K398">
        <f>ROUND(IF(ISNUMBER(G398),MIN(50,ROUND(50*LOG10(G398+1)/4,1)),5)+IF(ISNUMBER(H398),ROUND(30*(100-H398)/100,1),15)+IF(B398="New",20,10),0)</f>
        <v/>
      </c>
      <c r="L398" t="inlineStr">
        <is>
          <t>KEEP</t>
        </is>
      </c>
      <c r="M398" s="5" t="inlineStr">
        <is>
          <t>Relevant to page intent</t>
        </is>
      </c>
      <c r="N398" s="5" t="inlineStr">
        <is>
          <t>Les balises Open Graph contrôlent l'apparence de votre page lorsqu'elle est partagée sur les plateformes de réseaux sociaux comme Facebook, LinkedIn et Twitter. Elles comprennent un titre, une descrip</t>
        </is>
      </c>
      <c r="O398" t="inlineStr">
        <is>
          <t>P3</t>
        </is>
      </c>
      <c r="P398" t="inlineStr">
        <is>
          <t>Visible only (no FAQPage schema)</t>
        </is>
      </c>
    </row>
    <row r="399">
      <c r="A399" s="3" t="inlineStr">
        <is>
          <t>https://codesommet.com/tools/meta-tag-generator</t>
        </is>
      </c>
      <c r="B399" t="inlineStr">
        <is>
          <t>Existing</t>
        </is>
      </c>
      <c r="C399" s="5" t="inlineStr">
        <is>
          <t>Quelles sont les erreurs courantes de balises méta à éviter ?</t>
        </is>
      </c>
      <c r="D399" t="inlineStr">
        <is>
          <t>générateur de balises meta</t>
        </is>
      </c>
      <c r="E399" t="inlineStr">
        <is>
          <t>fr</t>
        </is>
      </c>
      <c r="F399" s="5" t="inlineStr"/>
      <c r="G399" t="n">
        <v>0</v>
      </c>
      <c r="H399" t="inlineStr">
        <is>
          <t>NOT AVAILABLE</t>
        </is>
      </c>
      <c r="I399" t="inlineStr">
        <is>
          <t>Service scope</t>
        </is>
      </c>
      <c r="J399" t="inlineStr">
        <is>
          <t>MEASURED</t>
        </is>
      </c>
      <c r="K399">
        <f>ROUND(IF(ISNUMBER(G399),MIN(50,ROUND(50*LOG10(G399+1)/4,1)),5)+IF(ISNUMBER(H399),ROUND(30*(100-H399)/100,1),15)+IF(B399="New",20,10),0)</f>
        <v/>
      </c>
      <c r="L399" t="inlineStr">
        <is>
          <t>KEEP</t>
        </is>
      </c>
      <c r="M399" s="5" t="inlineStr">
        <is>
          <t>Relevant to page intent</t>
        </is>
      </c>
      <c r="N399" s="5" t="inlineStr">
        <is>
          <t>Les erreurs courantes incluent : utiliser des balises dupliquées sur plusieurs pages, le bourrage de mots-clés, le dépassement des limites de caractères, l'absence de balises Open Graph et l'oubli des</t>
        </is>
      </c>
      <c r="O399" t="inlineStr">
        <is>
          <t>P3</t>
        </is>
      </c>
      <c r="P399" t="inlineStr">
        <is>
          <t>Visible only (no FAQPage schema)</t>
        </is>
      </c>
    </row>
    <row r="400">
      <c r="A400" s="3" t="inlineStr">
        <is>
          <t>https://codesommet.com/tools/meta-tag-generator</t>
        </is>
      </c>
      <c r="B400" t="inlineStr">
        <is>
          <t>Existing</t>
        </is>
      </c>
      <c r="C400" s="5" t="inlineStr">
        <is>
          <t>À quelle fréquence dois-je mettre à jour mes balises méta ?</t>
        </is>
      </c>
      <c r="D400" t="inlineStr">
        <is>
          <t>générateur de balises meta</t>
        </is>
      </c>
      <c r="E400" t="inlineStr">
        <is>
          <t>fr</t>
        </is>
      </c>
      <c r="F400" s="5" t="inlineStr"/>
      <c r="G400" t="n">
        <v>0</v>
      </c>
      <c r="H400" t="inlineStr">
        <is>
          <t>NOT AVAILABLE</t>
        </is>
      </c>
      <c r="I400" t="inlineStr">
        <is>
          <t>Service scope</t>
        </is>
      </c>
      <c r="J400" t="inlineStr">
        <is>
          <t>MEASURED</t>
        </is>
      </c>
      <c r="K400">
        <f>ROUND(IF(ISNUMBER(G400),MIN(50,ROUND(50*LOG10(G400+1)/4,1)),5)+IF(ISNUMBER(H400),ROUND(30*(100-H400)/100,1),15)+IF(B400="New",20,10),0)</f>
        <v/>
      </c>
      <c r="L400" t="inlineStr">
        <is>
          <t>KEEP</t>
        </is>
      </c>
      <c r="M400" s="5" t="inlineStr">
        <is>
          <t>Relevant to page intent</t>
        </is>
      </c>
      <c r="N400" s="5" t="inlineStr">
        <is>
          <t>Mettez à jour les balises méta chaque fois que vous modifiez significativement le contenu de votre page, changez d'identité de marque, ciblez de nouveaux mots-clés ou constatez une baisse de performan</t>
        </is>
      </c>
      <c r="O400" t="inlineStr">
        <is>
          <t>P3</t>
        </is>
      </c>
      <c r="P400" t="inlineStr">
        <is>
          <t>Visible only (no FAQPage schema)</t>
        </is>
      </c>
    </row>
    <row r="401">
      <c r="A401" s="3" t="inlineStr">
        <is>
          <t>https://codesommet.com/tools/meta-tag-generator</t>
        </is>
      </c>
      <c r="B401" t="inlineStr">
        <is>
          <t>Existing</t>
        </is>
      </c>
      <c r="C401" s="5" t="inlineStr">
        <is>
          <t>Puis-je personnaliser les balises méta générées ?</t>
        </is>
      </c>
      <c r="D401" t="inlineStr">
        <is>
          <t>générateur de balises meta</t>
        </is>
      </c>
      <c r="E401" t="inlineStr">
        <is>
          <t>fr</t>
        </is>
      </c>
      <c r="F401" s="5" t="inlineStr"/>
      <c r="G401" t="n">
        <v>0</v>
      </c>
      <c r="H401" t="inlineStr">
        <is>
          <t>NOT AVAILABLE</t>
        </is>
      </c>
      <c r="I401" t="inlineStr">
        <is>
          <t>Service scope</t>
        </is>
      </c>
      <c r="J401" t="inlineStr">
        <is>
          <t>MEASURED</t>
        </is>
      </c>
      <c r="K401">
        <f>ROUND(IF(ISNUMBER(G401),MIN(50,ROUND(50*LOG10(G401+1)/4,1)),5)+IF(ISNUMBER(H401),ROUND(30*(100-H401)/100,1),15)+IF(B401="New",20,10),0)</f>
        <v/>
      </c>
      <c r="L401" t="inlineStr">
        <is>
          <t>KEEP</t>
        </is>
      </c>
      <c r="M401" s="5" t="inlineStr">
        <is>
          <t>Relevant to page intent</t>
        </is>
      </c>
      <c r="N401" s="5" t="inlineStr">
        <is>
          <t xml:space="preserve">Absolument ! Les balises générées sont un point de départ optimisé pour les bonnes pratiques SEO. Vous pouvez les copier et effectuer tous les ajustements nécessaires pour correspondre à votre ton de </t>
        </is>
      </c>
      <c r="O401" t="inlineStr">
        <is>
          <t>P3</t>
        </is>
      </c>
      <c r="P401" t="inlineStr">
        <is>
          <t>Visible only (no FAQPage schema)</t>
        </is>
      </c>
    </row>
    <row r="402">
      <c r="A402" s="3" t="inlineStr">
        <is>
          <t>https://codesommet.com/tools/mobile-friendly-test</t>
        </is>
      </c>
      <c r="B402" t="inlineStr">
        <is>
          <t>Existing</t>
        </is>
      </c>
      <c r="C402" s="5" t="inlineStr">
        <is>
          <t>Pourquoi la compatibilité mobile est-elle importante pour le SEO ?</t>
        </is>
      </c>
      <c r="D402" t="inlineStr">
        <is>
          <t>test compatibilité mobile</t>
        </is>
      </c>
      <c r="E402" t="inlineStr">
        <is>
          <t>fr</t>
        </is>
      </c>
      <c r="F402" s="5" t="inlineStr"/>
      <c r="G402" t="n">
        <v>20</v>
      </c>
      <c r="H402" t="inlineStr">
        <is>
          <t>NOT AVAILABLE</t>
        </is>
      </c>
      <c r="I402" t="inlineStr">
        <is>
          <t>SEO</t>
        </is>
      </c>
      <c r="J402" t="inlineStr">
        <is>
          <t>MEASURED</t>
        </is>
      </c>
      <c r="K402">
        <f>ROUND(IF(ISNUMBER(G402),MIN(50,ROUND(50*LOG10(G402+1)/4,1)),5)+IF(ISNUMBER(H402),ROUND(30*(100-H402)/100,1),15)+IF(B402="New",20,10),0)</f>
        <v/>
      </c>
      <c r="L402" t="inlineStr">
        <is>
          <t>KEEP</t>
        </is>
      </c>
      <c r="M402" s="5" t="inlineStr">
        <is>
          <t>Relevant to page intent</t>
        </is>
      </c>
      <c r="N402" s="5" t="inlineStr">
        <is>
          <t>Google utilise l'indexation mobile-first, ce qui signifie qu'il utilise principalement la version mobile de votre site pour le classement et l'indexation. Les sites qui ne sont pas adaptés au mobile o</t>
        </is>
      </c>
      <c r="O402" t="inlineStr">
        <is>
          <t>P3</t>
        </is>
      </c>
      <c r="P402" t="inlineStr">
        <is>
          <t>Visible only (no FAQPage schema)</t>
        </is>
      </c>
    </row>
    <row r="403">
      <c r="A403" s="3" t="inlineStr">
        <is>
          <t>https://codesommet.com/tools/mobile-friendly-test</t>
        </is>
      </c>
      <c r="B403" t="inlineStr">
        <is>
          <t>Existing</t>
        </is>
      </c>
      <c r="C403" s="5" t="inlineStr">
        <is>
          <t>Qu'est-ce que la balise méta viewport et pourquoi est-elle essentielle ?</t>
        </is>
      </c>
      <c r="D403" t="inlineStr">
        <is>
          <t>mobile friendly test</t>
        </is>
      </c>
      <c r="E403" t="inlineStr">
        <is>
          <t>fr</t>
        </is>
      </c>
      <c r="F403" s="5" t="inlineStr"/>
      <c r="G403" t="n">
        <v>210</v>
      </c>
      <c r="H403" t="n">
        <v>22</v>
      </c>
      <c r="I403" t="inlineStr">
        <is>
          <t>Definition / how it works</t>
        </is>
      </c>
      <c r="J403" t="inlineStr">
        <is>
          <t>MEASURED</t>
        </is>
      </c>
      <c r="K403">
        <f>ROUND(IF(ISNUMBER(G403),MIN(50,ROUND(50*LOG10(G403+1)/4,1)),5)+IF(ISNUMBER(H403),ROUND(30*(100-H403)/100,1),15)+IF(B403="New",20,10),0)</f>
        <v/>
      </c>
      <c r="L403" t="inlineStr">
        <is>
          <t>KEEP</t>
        </is>
      </c>
      <c r="M403" s="5" t="inlineStr">
        <is>
          <t>Relevant to page intent</t>
        </is>
      </c>
      <c r="N403" s="5" t="inlineStr">
        <is>
          <t>Google recommande une taille de police minimale de 12px pour les appareils mobiles, même si 16px reste idéal pour le corps de texte. En dessous de 12px, l'utilisateur doit zoomer pour lire, ce qui dég</t>
        </is>
      </c>
      <c r="O403" t="inlineStr">
        <is>
          <t>P3</t>
        </is>
      </c>
      <c r="P403" t="inlineStr">
        <is>
          <t>Visible only (no FAQPage schema)</t>
        </is>
      </c>
    </row>
    <row r="404">
      <c r="A404" s="3" t="inlineStr">
        <is>
          <t>https://codesommet.com/tools/mobile-friendly-test</t>
        </is>
      </c>
      <c r="B404" t="inlineStr">
        <is>
          <t>Existing</t>
        </is>
      </c>
      <c r="C404" s="5" t="inlineStr">
        <is>
          <t>Que sont les cibles tactiles et pourquoi sont-elles importantes ?</t>
        </is>
      </c>
      <c r="D404" t="inlineStr">
        <is>
          <t>mobile friendly test</t>
        </is>
      </c>
      <c r="E404" t="inlineStr">
        <is>
          <t>fr</t>
        </is>
      </c>
      <c r="F404" s="5" t="inlineStr"/>
      <c r="G404" t="n">
        <v>210</v>
      </c>
      <c r="H404" t="n">
        <v>22</v>
      </c>
      <c r="I404" t="inlineStr">
        <is>
          <t>Definition / how it works</t>
        </is>
      </c>
      <c r="J404" t="inlineStr">
        <is>
          <t>MEASURED</t>
        </is>
      </c>
      <c r="K404">
        <f>ROUND(IF(ISNUMBER(G404),MIN(50,ROUND(50*LOG10(G404+1)/4,1)),5)+IF(ISNUMBER(H404),ROUND(30*(100-H404)/100,1),15)+IF(B404="New",20,10),0)</f>
        <v/>
      </c>
      <c r="L404" t="inlineStr">
        <is>
          <t>KEEP</t>
        </is>
      </c>
      <c r="M404" s="5" t="inlineStr">
        <is>
          <t>Relevant to page intent</t>
        </is>
      </c>
      <c r="N404" s="5" t="inlineStr">
        <is>
          <t xml:space="preserve">Les cibles tactiles sont des éléments interactifs comme les boutons, liens et champs de formulaire que les utilisateurs tapent sur les appareils mobiles. Google recommends minimum dimensions of 48x48 </t>
        </is>
      </c>
      <c r="O404" t="inlineStr">
        <is>
          <t>P3</t>
        </is>
      </c>
      <c r="P404" t="inlineStr">
        <is>
          <t>Visible only (no FAQPage schema)</t>
        </is>
      </c>
    </row>
    <row r="405">
      <c r="A405" s="3" t="inlineStr">
        <is>
          <t>https://codesommet.com/tools/mobile-friendly-test</t>
        </is>
      </c>
      <c r="B405" t="inlineStr">
        <is>
          <t>Existing</t>
        </is>
      </c>
      <c r="C405" s="5" t="inlineStr">
        <is>
          <t>Comment empêcher le défilement horizontal sur mobile ?</t>
        </is>
      </c>
      <c r="D405" t="inlineStr">
        <is>
          <t>mobile friendly test</t>
        </is>
      </c>
      <c r="E405" t="inlineStr">
        <is>
          <t>fr</t>
        </is>
      </c>
      <c r="F405" s="5" t="inlineStr"/>
      <c r="G405" t="n">
        <v>210</v>
      </c>
      <c r="H405" t="n">
        <v>22</v>
      </c>
      <c r="I405" t="inlineStr">
        <is>
          <t>Service scope</t>
        </is>
      </c>
      <c r="J405" t="inlineStr">
        <is>
          <t>MEASURED</t>
        </is>
      </c>
      <c r="K405">
        <f>ROUND(IF(ISNUMBER(G405),MIN(50,ROUND(50*LOG10(G405+1)/4,1)),5)+IF(ISNUMBER(H405),ROUND(30*(100-H405)/100,1),15)+IF(B405="New",20,10),0)</f>
        <v/>
      </c>
      <c r="L405" t="inlineStr">
        <is>
          <t>KEEP</t>
        </is>
      </c>
      <c r="M405" s="5" t="inlineStr">
        <is>
          <t>Relevant to page intent</t>
        </is>
      </c>
      <c r="N405" s="5" t="inlineStr">
        <is>
          <t>Le défilement horizontal se produit lorsque le contenu est plus large que le viewport. Prevent this by: 1) Using the viewport meta tag, 2) Setting max-width: 100% on images and media, 3) Using respons</t>
        </is>
      </c>
      <c r="O405" t="inlineStr">
        <is>
          <t>P3</t>
        </is>
      </c>
      <c r="P405" t="inlineStr">
        <is>
          <t>Visible only (no FAQPage schema)</t>
        </is>
      </c>
    </row>
    <row r="406">
      <c r="A406" s="3" t="inlineStr">
        <is>
          <t>https://codesommet.com/tools/mobile-friendly-test</t>
        </is>
      </c>
      <c r="B406" t="inlineStr">
        <is>
          <t>Existing</t>
        </is>
      </c>
      <c r="C406" s="5" t="inlineStr">
        <is>
          <t>Que sont les media queries et en ai-je besoin ?</t>
        </is>
      </c>
      <c r="D406" t="inlineStr">
        <is>
          <t>mobile friendly test</t>
        </is>
      </c>
      <c r="E406" t="inlineStr">
        <is>
          <t>fr</t>
        </is>
      </c>
      <c r="F406" s="5" t="inlineStr"/>
      <c r="G406" t="n">
        <v>210</v>
      </c>
      <c r="H406" t="n">
        <v>22</v>
      </c>
      <c r="I406" t="inlineStr">
        <is>
          <t>Definition / how it works</t>
        </is>
      </c>
      <c r="J406" t="inlineStr">
        <is>
          <t>MEASURED</t>
        </is>
      </c>
      <c r="K406">
        <f>ROUND(IF(ISNUMBER(G406),MIN(50,ROUND(50*LOG10(G406+1)/4,1)),5)+IF(ISNUMBER(H406),ROUND(30*(100-H406)/100,1),15)+IF(B406="New",20,10),0)</f>
        <v/>
      </c>
      <c r="L406" t="inlineStr">
        <is>
          <t>KEEP</t>
        </is>
      </c>
      <c r="M406" s="5" t="inlineStr">
        <is>
          <t>Relevant to page intent</t>
        </is>
      </c>
      <c r="N406" s="5" t="inlineStr">
        <is>
          <t xml:space="preserve">Les media queries sont des règles CSS qui appliquent différents styles en fonction des caractéristiques de l'appareil comme la largeur de l'écran. Elles sont essentielles au design responsive : elles </t>
        </is>
      </c>
      <c r="O406" t="inlineStr">
        <is>
          <t>P3</t>
        </is>
      </c>
      <c r="P406" t="inlineStr">
        <is>
          <t>Visible only (no FAQPage schema)</t>
        </is>
      </c>
    </row>
    <row r="407">
      <c r="A407" s="3" t="inlineStr">
        <is>
          <t>https://codesommet.com/tools/mobile-friendly-test</t>
        </is>
      </c>
      <c r="B407" t="inlineStr">
        <is>
          <t>Existing</t>
        </is>
      </c>
      <c r="C407" s="5" t="inlineStr">
        <is>
          <t>À quelle fréquence dois-je tester la compatibilité mobile de mon site ?</t>
        </is>
      </c>
      <c r="D407" t="inlineStr">
        <is>
          <t>test compatibilité mobile</t>
        </is>
      </c>
      <c r="E407" t="inlineStr">
        <is>
          <t>fr</t>
        </is>
      </c>
      <c r="F407" s="5" t="inlineStr"/>
      <c r="G407" t="n">
        <v>20</v>
      </c>
      <c r="H407" t="inlineStr">
        <is>
          <t>NOT AVAILABLE</t>
        </is>
      </c>
      <c r="I407" t="inlineStr">
        <is>
          <t>Service scope</t>
        </is>
      </c>
      <c r="J407" t="inlineStr">
        <is>
          <t>MEASURED</t>
        </is>
      </c>
      <c r="K407">
        <f>ROUND(IF(ISNUMBER(G407),MIN(50,ROUND(50*LOG10(G407+1)/4,1)),5)+IF(ISNUMBER(H407),ROUND(30*(100-H407)/100,1),15)+IF(B407="New",20,10),0)</f>
        <v/>
      </c>
      <c r="L407" t="inlineStr">
        <is>
          <t>KEEP</t>
        </is>
      </c>
      <c r="M407" s="5" t="inlineStr">
        <is>
          <t>Relevant to page intent</t>
        </is>
      </c>
      <c r="N407" s="5" t="inlineStr">
        <is>
          <t>Testez la compatibilité mobile après chaque changement de design majeur, new feature deployment, or content update. Also run monthly checks to catch issues from third-party scripts or plugins. Use thi</t>
        </is>
      </c>
      <c r="O407" t="inlineStr">
        <is>
          <t>P3</t>
        </is>
      </c>
      <c r="P407" t="inlineStr">
        <is>
          <t>Visible only (no FAQPage schema)</t>
        </is>
      </c>
    </row>
    <row r="408">
      <c r="A408" s="3" t="inlineStr">
        <is>
          <t>https://codesommet.com/tools/ngram-extractor</t>
        </is>
      </c>
      <c r="B408" t="inlineStr">
        <is>
          <t>Existing</t>
        </is>
      </c>
      <c r="C408" s="5" t="inlineStr">
        <is>
          <t>Qu'est-ce qu'un n-gramme ?</t>
        </is>
      </c>
      <c r="D408" t="inlineStr">
        <is>
          <t>n-gram</t>
        </is>
      </c>
      <c r="E408" t="inlineStr">
        <is>
          <t>fr</t>
        </is>
      </c>
      <c r="F408" s="5" t="inlineStr"/>
      <c r="G408" t="n">
        <v>90</v>
      </c>
      <c r="H408" t="n">
        <v>19</v>
      </c>
      <c r="I408" t="inlineStr">
        <is>
          <t>Definition / how it works</t>
        </is>
      </c>
      <c r="J408" t="inlineStr">
        <is>
          <t>MEASURED</t>
        </is>
      </c>
      <c r="K408">
        <f>ROUND(IF(ISNUMBER(G408),MIN(50,ROUND(50*LOG10(G408+1)/4,1)),5)+IF(ISNUMBER(H408),ROUND(30*(100-H408)/100,1),15)+IF(B408="New",20,10),0)</f>
        <v/>
      </c>
      <c r="L408" t="inlineStr">
        <is>
          <t>KEEP</t>
        </is>
      </c>
      <c r="M408" s="5" t="inlineStr">
        <is>
          <t>Relevant to page intent</t>
        </is>
      </c>
      <c r="N408" s="5" t="inlineStr">
        <is>
          <t>Une suite de n mots consécutifs. « agence web » est un bigramme, « agence web casablanca » un trigramme. Les n-grammes fréquents d'une page révèlent son sujet, ses entités et ses expressions clés bien</t>
        </is>
      </c>
      <c r="O408" t="inlineStr">
        <is>
          <t>P3</t>
        </is>
      </c>
      <c r="P408" t="inlineStr">
        <is>
          <t>Visible only (no FAQPage schema)</t>
        </is>
      </c>
    </row>
    <row r="409">
      <c r="A409" s="3" t="inlineStr">
        <is>
          <t>https://codesommet.com/tools/ngram-extractor</t>
        </is>
      </c>
      <c r="B409" t="inlineStr">
        <is>
          <t>Existing</t>
        </is>
      </c>
      <c r="C409" s="5" t="inlineStr">
        <is>
          <t>À quoi cela sert-il en SEO ?</t>
        </is>
      </c>
      <c r="D409" t="inlineStr">
        <is>
          <t>agence seo maroc</t>
        </is>
      </c>
      <c r="E409" t="inlineStr">
        <is>
          <t>ma</t>
        </is>
      </c>
      <c r="F409" s="5" t="inlineStr"/>
      <c r="G409" t="n">
        <v>880</v>
      </c>
      <c r="H409" t="n">
        <v>44</v>
      </c>
      <c r="I409" t="inlineStr">
        <is>
          <t>SEO</t>
        </is>
      </c>
      <c r="J409" t="inlineStr">
        <is>
          <t>MEASURED</t>
        </is>
      </c>
      <c r="K409">
        <f>ROUND(IF(ISNUMBER(G409),MIN(50,ROUND(50*LOG10(G409+1)/4,1)),5)+IF(ISNUMBER(H409),ROUND(30*(100-H409)/100,1),15)+IF(B409="New",20,10),0)</f>
        <v/>
      </c>
      <c r="L409" t="inlineStr">
        <is>
          <t>KEEP</t>
        </is>
      </c>
      <c r="M409" s="5" t="inlineStr">
        <is>
          <t>Relevant to page intent</t>
        </is>
      </c>
      <c r="N409" s="5" t="inlineStr">
        <is>
          <t>À comprendre le vocabulaire que Google associe à une intention : analysez les pages qui se classent sur votre requête, repérez les expressions qu'elles partagent et que votre page n'emploie pas, et en</t>
        </is>
      </c>
      <c r="O409" t="inlineStr">
        <is>
          <t>P3</t>
        </is>
      </c>
      <c r="P409" t="inlineStr">
        <is>
          <t>Visible only (no FAQPage schema)</t>
        </is>
      </c>
    </row>
    <row r="410">
      <c r="A410" s="3" t="inlineStr">
        <is>
          <t>https://codesommet.com/tools/ngram-extractor</t>
        </is>
      </c>
      <c r="B410" t="inlineStr">
        <is>
          <t>Existing</t>
        </is>
      </c>
      <c r="C410" s="5" t="inlineStr">
        <is>
          <t>Quelle densité viser ?</t>
        </is>
      </c>
      <c r="D410" t="inlineStr">
        <is>
          <t>n-gram</t>
        </is>
      </c>
      <c r="E410" t="inlineStr">
        <is>
          <t>fr</t>
        </is>
      </c>
      <c r="F410" s="5" t="inlineStr"/>
      <c r="G410" t="n">
        <v>90</v>
      </c>
      <c r="H410" t="n">
        <v>19</v>
      </c>
      <c r="I410" t="inlineStr">
        <is>
          <t>Service scope</t>
        </is>
      </c>
      <c r="J410" t="inlineStr">
        <is>
          <t>MEASURED</t>
        </is>
      </c>
      <c r="K410">
        <f>ROUND(IF(ISNUMBER(G410),MIN(50,ROUND(50*LOG10(G410+1)/4,1)),5)+IF(ISNUMBER(H410),ROUND(30*(100-H410)/100,1),15)+IF(B410="New",20,10),0)</f>
        <v/>
      </c>
      <c r="L410" t="inlineStr">
        <is>
          <t>KEEP</t>
        </is>
      </c>
      <c r="M410" s="5" t="inlineStr">
        <is>
          <t>Relevant to page intent</t>
        </is>
      </c>
      <c r="N410" s="5" t="inlineStr">
        <is>
          <t>Aucune valeur magique. Une expression principale entre 0,5 et 2 % est courante dans les pages bien classées ; au-delà de 3 %, le texte devient répétitif. La couverture du champ lexical (variété des n-</t>
        </is>
      </c>
      <c r="O410" t="inlineStr">
        <is>
          <t>P3</t>
        </is>
      </c>
      <c r="P410" t="inlineStr">
        <is>
          <t>Visible only (no FAQPage schema)</t>
        </is>
      </c>
    </row>
    <row r="411">
      <c r="A411" s="3" t="inlineStr">
        <is>
          <t>https://codesommet.com/tools/ngram-extractor</t>
        </is>
      </c>
      <c r="B411" t="inlineStr">
        <is>
          <t>Existing</t>
        </is>
      </c>
      <c r="C411" s="5" t="inlineStr">
        <is>
          <t>Pourquoi ignorer les mots-outils ?</t>
        </is>
      </c>
      <c r="D411" t="inlineStr">
        <is>
          <t>n-gram</t>
        </is>
      </c>
      <c r="E411" t="inlineStr">
        <is>
          <t>fr</t>
        </is>
      </c>
      <c r="F411" s="5" t="inlineStr"/>
      <c r="G411" t="n">
        <v>90</v>
      </c>
      <c r="H411" t="n">
        <v>19</v>
      </c>
      <c r="I411" t="inlineStr">
        <is>
          <t>Service scope</t>
        </is>
      </c>
      <c r="J411" t="inlineStr">
        <is>
          <t>MEASURED</t>
        </is>
      </c>
      <c r="K411">
        <f>ROUND(IF(ISNUMBER(G411),MIN(50,ROUND(50*LOG10(G411+1)/4,1)),5)+IF(ISNUMBER(H411),ROUND(30*(100-H411)/100,1),15)+IF(B411="New",20,10),0)</f>
        <v/>
      </c>
      <c r="L411" t="inlineStr">
        <is>
          <t>KEEP</t>
        </is>
      </c>
      <c r="M411" s="5" t="inlineStr">
        <is>
          <t>Relevant to page intent</t>
        </is>
      </c>
      <c r="N411" s="5" t="inlineStr">
        <is>
          <t>Articles, prépositions et conjonctions dominent toute liste de fréquences sans porter de sens. Les ignorer fait remonter les expressions utiles ; les conserver est utile pour retrouver des formulation</t>
        </is>
      </c>
      <c r="O411" t="inlineStr">
        <is>
          <t>P3</t>
        </is>
      </c>
      <c r="P411" t="inlineStr">
        <is>
          <t>Visible only (no FAQPage schema)</t>
        </is>
      </c>
    </row>
    <row r="412">
      <c r="A412" s="3" t="inlineStr">
        <is>
          <t>https://codesommet.com/tools/ngram-extractor</t>
        </is>
      </c>
      <c r="B412" t="inlineStr">
        <is>
          <t>Existing</t>
        </is>
      </c>
      <c r="C412" s="5" t="inlineStr">
        <is>
          <t>Le texte est-il envoyé à un serveur ?</t>
        </is>
      </c>
      <c r="D412" t="inlineStr">
        <is>
          <t>n-gram</t>
        </is>
      </c>
      <c r="E412" t="inlineStr">
        <is>
          <t>fr</t>
        </is>
      </c>
      <c r="F412" s="5" t="inlineStr"/>
      <c r="G412" t="n">
        <v>90</v>
      </c>
      <c r="H412" t="n">
        <v>19</v>
      </c>
      <c r="I412" t="inlineStr">
        <is>
          <t>Service scope</t>
        </is>
      </c>
      <c r="J412" t="inlineStr">
        <is>
          <t>MEASURED</t>
        </is>
      </c>
      <c r="K412">
        <f>ROUND(IF(ISNUMBER(G412),MIN(50,ROUND(50*LOG10(G412+1)/4,1)),5)+IF(ISNUMBER(H412),ROUND(30*(100-H412)/100,1),15)+IF(B412="New",20,10),0)</f>
        <v/>
      </c>
      <c r="L412" t="inlineStr">
        <is>
          <t>KEEP</t>
        </is>
      </c>
      <c r="M412" s="5" t="inlineStr">
        <is>
          <t>Relevant to page intent</t>
        </is>
      </c>
      <c r="N412" s="5" t="inlineStr">
        <is>
          <t>Le calcul des n-grammes se fait dans votre navigateur. Seul le chargement depuis une URL passe par nos serveurs, qui ne conservent pas le texte.</t>
        </is>
      </c>
      <c r="O412" t="inlineStr">
        <is>
          <t>P3</t>
        </is>
      </c>
      <c r="P412" t="inlineStr">
        <is>
          <t>Visible only (no FAQPage schema)</t>
        </is>
      </c>
    </row>
    <row r="413">
      <c r="A413" s="3" t="inlineStr">
        <is>
          <t>https://codesommet.com/tools/ngram-extractor</t>
        </is>
      </c>
      <c r="B413" t="inlineStr">
        <is>
          <t>Existing</t>
        </is>
      </c>
      <c r="C413" s="5" t="inlineStr">
        <is>
          <t>Pourquoi le texte chargé diffère-t-il de la page ?</t>
        </is>
      </c>
      <c r="D413" t="inlineStr">
        <is>
          <t>n-gram</t>
        </is>
      </c>
      <c r="E413" t="inlineStr">
        <is>
          <t>fr</t>
        </is>
      </c>
      <c r="F413" s="5" t="inlineStr"/>
      <c r="G413" t="n">
        <v>90</v>
      </c>
      <c r="H413" t="n">
        <v>19</v>
      </c>
      <c r="I413" t="inlineStr">
        <is>
          <t>Service scope</t>
        </is>
      </c>
      <c r="J413" t="inlineStr">
        <is>
          <t>MEASURED</t>
        </is>
      </c>
      <c r="K413">
        <f>ROUND(IF(ISNUMBER(G413),MIN(50,ROUND(50*LOG10(G413+1)/4,1)),5)+IF(ISNUMBER(H413),ROUND(30*(100-H413)/100,1),15)+IF(B413="New",20,10),0)</f>
        <v/>
      </c>
      <c r="L413" t="inlineStr">
        <is>
          <t>KEEP</t>
        </is>
      </c>
      <c r="M413" s="5" t="inlineStr">
        <is>
          <t>Relevant to page intent</t>
        </is>
      </c>
      <c r="N413" s="5" t="inlineStr">
        <is>
          <t>Nous lisons le HTML envoyé par le serveur, sans exécuter le JavaScript, et retirons scripts et styles. Les menus et pieds de page restent inclus : collez le corps de l'article pour une analyse plus fi</t>
        </is>
      </c>
      <c r="O413" t="inlineStr">
        <is>
          <t>P3</t>
        </is>
      </c>
      <c r="P413" t="inlineStr">
        <is>
          <t>Visible only (no FAQPage schema)</t>
        </is>
      </c>
    </row>
    <row r="414">
      <c r="A414" s="3" t="inlineStr">
        <is>
          <t>https://codesommet.com/tools/nofollow-link-checker</t>
        </is>
      </c>
      <c r="B414" t="inlineStr">
        <is>
          <t>Existing</t>
        </is>
      </c>
      <c r="C414" s="5" t="inlineStr">
        <is>
          <t>Qu'est-ce qu'un lien nofollow et pourquoi est-ce important pour le SEO ?</t>
        </is>
      </c>
      <c r="D414" t="inlineStr">
        <is>
          <t>nofollow</t>
        </is>
      </c>
      <c r="E414" t="inlineStr">
        <is>
          <t>fr</t>
        </is>
      </c>
      <c r="F414" s="5" t="inlineStr"/>
      <c r="G414" t="n">
        <v>260</v>
      </c>
      <c r="H414" t="n">
        <v>23</v>
      </c>
      <c r="I414" t="inlineStr">
        <is>
          <t>SEO</t>
        </is>
      </c>
      <c r="J414" t="inlineStr">
        <is>
          <t>MEASURED</t>
        </is>
      </c>
      <c r="K414">
        <f>ROUND(IF(ISNUMBER(G414),MIN(50,ROUND(50*LOG10(G414+1)/4,1)),5)+IF(ISNUMBER(H414),ROUND(30*(100-H414)/100,1),15)+IF(B414="New",20,10),0)</f>
        <v/>
      </c>
      <c r="L414" t="inlineStr">
        <is>
          <t>KEEP</t>
        </is>
      </c>
      <c r="M414" s="5" t="inlineStr">
        <is>
          <t>Relevant to page intent</t>
        </is>
      </c>
      <c r="N414" s="5" t="inlineStr">
        <is>
          <t>Un lien nofollow (rel='nofollow') est un attribut HTML qui indique aux moteurs de recherche de ne pas transmettre l'autorité (jus de lien) à la page liée. Il est important pour le SEO car il vous perm</t>
        </is>
      </c>
      <c r="O414" t="inlineStr">
        <is>
          <t>P3</t>
        </is>
      </c>
      <c r="P414" t="inlineStr">
        <is>
          <t>Visible only (no FAQPage schema)</t>
        </is>
      </c>
    </row>
    <row r="415">
      <c r="A415" s="3" t="inlineStr">
        <is>
          <t>https://codesommet.com/tools/nofollow-link-checker</t>
        </is>
      </c>
      <c r="B415" t="inlineStr">
        <is>
          <t>Existing</t>
        </is>
      </c>
      <c r="C415" s="5" t="inlineStr">
        <is>
          <t>Quand dois-je utiliser les liens nofollow vs dofollow ?</t>
        </is>
      </c>
      <c r="D415" t="inlineStr">
        <is>
          <t>nofollow</t>
        </is>
      </c>
      <c r="E415" t="inlineStr">
        <is>
          <t>fr</t>
        </is>
      </c>
      <c r="F415" s="5" t="inlineStr"/>
      <c r="G415" t="n">
        <v>260</v>
      </c>
      <c r="H415" t="n">
        <v>23</v>
      </c>
      <c r="I415" t="inlineStr">
        <is>
          <t>Timeline</t>
        </is>
      </c>
      <c r="J415" t="inlineStr">
        <is>
          <t>MEASURED</t>
        </is>
      </c>
      <c r="K415">
        <f>ROUND(IF(ISNUMBER(G415),MIN(50,ROUND(50*LOG10(G415+1)/4,1)),5)+IF(ISNUMBER(H415),ROUND(30*(100-H415)/100,1),15)+IF(B415="New",20,10),0)</f>
        <v/>
      </c>
      <c r="L415" t="inlineStr">
        <is>
          <t>KEEP</t>
        </is>
      </c>
      <c r="M415" s="5" t="inlineStr">
        <is>
          <t>Matches measured pre-purchase demand</t>
        </is>
      </c>
      <c r="N415" s="5" t="inlineStr">
        <is>
          <t>Utilisez nofollow pour le contenu non fiable, les commentaires générés par les utilisateurs, les publicités payantes, les liens d'affiliation et les liens vers des pages dont vous ne souhaitez pas vou</t>
        </is>
      </c>
      <c r="O415" t="inlineStr">
        <is>
          <t>P3</t>
        </is>
      </c>
      <c r="P415" t="inlineStr">
        <is>
          <t>Visible only (no FAQPage schema)</t>
        </is>
      </c>
    </row>
    <row r="416">
      <c r="A416" s="3" t="inlineStr">
        <is>
          <t>https://codesommet.com/tools/nofollow-link-checker</t>
        </is>
      </c>
      <c r="B416" t="inlineStr">
        <is>
          <t>Existing</t>
        </is>
      </c>
      <c r="C416" s="5" t="inlineStr">
        <is>
          <t>Quelle est la différence entre les attributs nofollow, sponsored et UGC ?</t>
        </is>
      </c>
      <c r="D416" t="inlineStr">
        <is>
          <t>nofollow</t>
        </is>
      </c>
      <c r="E416" t="inlineStr">
        <is>
          <t>fr</t>
        </is>
      </c>
      <c r="F416" s="5" t="inlineStr"/>
      <c r="G416" t="n">
        <v>260</v>
      </c>
      <c r="H416" t="n">
        <v>23</v>
      </c>
      <c r="I416" t="inlineStr">
        <is>
          <t>Differentiation</t>
        </is>
      </c>
      <c r="J416" t="inlineStr">
        <is>
          <t>MEASURED</t>
        </is>
      </c>
      <c r="K416">
        <f>ROUND(IF(ISNUMBER(G416),MIN(50,ROUND(50*LOG10(G416+1)/4,1)),5)+IF(ISNUMBER(H416),ROUND(30*(100-H416)/100,1),15)+IF(B416="New",20,10),0)</f>
        <v/>
      </c>
      <c r="L416" t="inlineStr">
        <is>
          <t>KEEP</t>
        </is>
      </c>
      <c r="M416" s="5" t="inlineStr">
        <is>
          <t>Relevant to page intent</t>
        </is>
      </c>
      <c r="N416" s="5" t="inlineStr">
        <is>
          <t>Google a introduit des attributs rel spécifiques en 2019 : rel='nofollow' est une directive générale, rel='sponsored' identifie les placements payants et les publicités, et rel='ugc' signale le conten</t>
        </is>
      </c>
      <c r="O416" t="inlineStr">
        <is>
          <t>P3</t>
        </is>
      </c>
      <c r="P416" t="inlineStr">
        <is>
          <t>Visible only (no FAQPage schema)</t>
        </is>
      </c>
    </row>
    <row r="417">
      <c r="A417" s="3" t="inlineStr">
        <is>
          <t>https://codesommet.com/tools/nofollow-link-checker</t>
        </is>
      </c>
      <c r="B417" t="inlineStr">
        <is>
          <t>Existing</t>
        </is>
      </c>
      <c r="C417" s="5" t="inlineStr">
        <is>
          <t>Le PageRank sculpting avec nofollow fonctionne-t-il encore ?</t>
        </is>
      </c>
      <c r="D417" t="inlineStr">
        <is>
          <t>nofollow</t>
        </is>
      </c>
      <c r="E417" t="inlineStr">
        <is>
          <t>fr</t>
        </is>
      </c>
      <c r="F417" s="5" t="inlineStr"/>
      <c r="G417" t="n">
        <v>260</v>
      </c>
      <c r="H417" t="n">
        <v>23</v>
      </c>
      <c r="I417" t="inlineStr">
        <is>
          <t>Service scope</t>
        </is>
      </c>
      <c r="J417" t="inlineStr">
        <is>
          <t>MEASURED</t>
        </is>
      </c>
      <c r="K417">
        <f>ROUND(IF(ISNUMBER(G417),MIN(50,ROUND(50*LOG10(G417+1)/4,1)),5)+IF(ISNUMBER(H417),ROUND(30*(100-H417)/100,1),15)+IF(B417="New",20,10),0)</f>
        <v/>
      </c>
      <c r="L417" t="inlineStr">
        <is>
          <t>KEEP</t>
        </is>
      </c>
      <c r="M417" s="5" t="inlineStr">
        <is>
          <t>Relevant to page intent</t>
        </is>
      </c>
      <c r="N417" s="5" t="inlineStr">
        <is>
          <t>Non, le PageRank sculpting ne fonctionne plus comme Google l'avait prévu. Depuis 2009, Google traite les liens nofollow comme une indication plutôt que comme une directive, et ceux-ci consomment toujo</t>
        </is>
      </c>
      <c r="O417" t="inlineStr">
        <is>
          <t>P3</t>
        </is>
      </c>
      <c r="P417" t="inlineStr">
        <is>
          <t>Visible only (no FAQPage schema)</t>
        </is>
      </c>
    </row>
    <row r="418">
      <c r="A418" s="3" t="inlineStr">
        <is>
          <t>https://codesommet.com/tools/nofollow-link-checker</t>
        </is>
      </c>
      <c r="B418" t="inlineStr">
        <is>
          <t>Existing</t>
        </is>
      </c>
      <c r="C418" s="5" t="inlineStr">
        <is>
          <t>Dois-je utiliser nofollow sur les liens internes ?</t>
        </is>
      </c>
      <c r="D418" t="inlineStr">
        <is>
          <t>nofollow</t>
        </is>
      </c>
      <c r="E418" t="inlineStr">
        <is>
          <t>fr</t>
        </is>
      </c>
      <c r="F418" s="5" t="inlineStr"/>
      <c r="G418" t="n">
        <v>260</v>
      </c>
      <c r="H418" t="n">
        <v>23</v>
      </c>
      <c r="I418" t="inlineStr">
        <is>
          <t>Service scope</t>
        </is>
      </c>
      <c r="J418" t="inlineStr">
        <is>
          <t>MEASURED</t>
        </is>
      </c>
      <c r="K418">
        <f>ROUND(IF(ISNUMBER(G418),MIN(50,ROUND(50*LOG10(G418+1)/4,1)),5)+IF(ISNUMBER(H418),ROUND(30*(100-H418)/100,1),15)+IF(B418="New",20,10),0)</f>
        <v/>
      </c>
      <c r="L418" t="inlineStr">
        <is>
          <t>KEEP</t>
        </is>
      </c>
      <c r="M418" s="5" t="inlineStr">
        <is>
          <t>Relevant to page intent</t>
        </is>
      </c>
      <c r="N418" s="5" t="inlineStr">
        <is>
          <t>En général non, les liens internes doivent être dofollow pour transmettre l'autorité à travers votre site. N'utilisez nofollow sur des liens internes que pour les pages de connexion, le contenu dupliq</t>
        </is>
      </c>
      <c r="O418" t="inlineStr">
        <is>
          <t>P3</t>
        </is>
      </c>
      <c r="P418" t="inlineStr">
        <is>
          <t>Visible only (no FAQPage schema)</t>
        </is>
      </c>
    </row>
    <row r="419">
      <c r="A419" s="3" t="inlineStr">
        <is>
          <t>https://codesommet.com/tools/nofollow-link-checker</t>
        </is>
      </c>
      <c r="B419" t="inlineStr">
        <is>
          <t>Existing</t>
        </is>
      </c>
      <c r="C419" s="5" t="inlineStr">
        <is>
          <t>À quelle fréquence dois-je auditer les liens nofollow de mon site ?</t>
        </is>
      </c>
      <c r="D419" t="inlineStr">
        <is>
          <t>nofollow</t>
        </is>
      </c>
      <c r="E419" t="inlineStr">
        <is>
          <t>fr</t>
        </is>
      </c>
      <c r="F419" s="5" t="inlineStr"/>
      <c r="G419" t="n">
        <v>260</v>
      </c>
      <c r="H419" t="n">
        <v>23</v>
      </c>
      <c r="I419" t="inlineStr">
        <is>
          <t>Service scope</t>
        </is>
      </c>
      <c r="J419" t="inlineStr">
        <is>
          <t>MEASURED</t>
        </is>
      </c>
      <c r="K419">
        <f>ROUND(IF(ISNUMBER(G419),MIN(50,ROUND(50*LOG10(G419+1)/4,1)),5)+IF(ISNUMBER(H419),ROUND(30*(100-H419)/100,1),15)+IF(B419="New",20,10),0)</f>
        <v/>
      </c>
      <c r="L419" t="inlineStr">
        <is>
          <t>KEEP</t>
        </is>
      </c>
      <c r="M419" s="5" t="inlineStr">
        <is>
          <t>Relevant to page intent</t>
        </is>
      </c>
      <c r="N419" s="5" t="inlineStr">
        <is>
          <t>Auditez vos liens nofollow trimestriellement ou chaque fois que vous effectuez des mises à jour de contenu significatives. Vérifiez que les liens payants ou sponsorisés portent rel='sponsored', que le</t>
        </is>
      </c>
      <c r="O419" t="inlineStr">
        <is>
          <t>P3</t>
        </is>
      </c>
      <c r="P419" t="inlineStr">
        <is>
          <t>Visible only (no FAQPage schema)</t>
        </is>
      </c>
    </row>
    <row r="420">
      <c r="A420" s="3" t="inlineStr">
        <is>
          <t>https://codesommet.com/tools/nofollow-link-checker</t>
        </is>
      </c>
      <c r="B420" t="inlineStr">
        <is>
          <t>Existing</t>
        </is>
      </c>
      <c r="C420" s="5" t="inlineStr">
        <is>
          <t>Trop de liens nofollow peuvent-ils nuire à mon SEO ?</t>
        </is>
      </c>
      <c r="D420" t="inlineStr">
        <is>
          <t>nofollow</t>
        </is>
      </c>
      <c r="E420" t="inlineStr">
        <is>
          <t>fr</t>
        </is>
      </c>
      <c r="F420" s="5" t="inlineStr"/>
      <c r="G420" t="n">
        <v>260</v>
      </c>
      <c r="H420" t="n">
        <v>23</v>
      </c>
      <c r="I420" t="inlineStr">
        <is>
          <t>SEO</t>
        </is>
      </c>
      <c r="J420" t="inlineStr">
        <is>
          <t>MEASURED</t>
        </is>
      </c>
      <c r="K420">
        <f>ROUND(IF(ISNUMBER(G420),MIN(50,ROUND(50*LOG10(G420+1)/4,1)),5)+IF(ISNUMBER(H420),ROUND(30*(100-H420)/100,1),15)+IF(B420="New",20,10),0)</f>
        <v/>
      </c>
      <c r="L420" t="inlineStr">
        <is>
          <t>KEEP</t>
        </is>
      </c>
      <c r="M420" s="5" t="inlineStr">
        <is>
          <t>Relevant to page intent</t>
        </is>
      </c>
      <c r="N420" s="5" t="inlineStr">
        <is>
          <t>Oui, un excès de liens nofollow peut signaler un contenu de faible qualité ou des pratiques manipulatrices à Google. Si la majorité de vos liens externes sont en nofollow, cela peut paraître peu natur</t>
        </is>
      </c>
      <c r="O420" t="inlineStr">
        <is>
          <t>P3</t>
        </is>
      </c>
      <c r="P420" t="inlineStr">
        <is>
          <t>Visible only (no FAQPage schema)</t>
        </is>
      </c>
    </row>
    <row r="421">
      <c r="A421" s="3" t="inlineStr">
        <is>
          <t>https://codesommet.com/tools/og-preview-generator</t>
        </is>
      </c>
      <c r="B421" t="inlineStr">
        <is>
          <t>Existing</t>
        </is>
      </c>
      <c r="C421" s="5" t="inlineStr">
        <is>
          <t>Que sont les balises Open Graph et pourquoi sont-elles importantes ?</t>
        </is>
      </c>
      <c r="D421" t="inlineStr">
        <is>
          <t>open graph</t>
        </is>
      </c>
      <c r="E421" t="inlineStr">
        <is>
          <t>fr</t>
        </is>
      </c>
      <c r="F421" s="5" t="inlineStr"/>
      <c r="G421" t="n">
        <v>480</v>
      </c>
      <c r="H421" t="n">
        <v>41</v>
      </c>
      <c r="I421" t="inlineStr">
        <is>
          <t>Definition / how it works</t>
        </is>
      </c>
      <c r="J421" t="inlineStr">
        <is>
          <t>MEASURED</t>
        </is>
      </c>
      <c r="K421">
        <f>ROUND(IF(ISNUMBER(G421),MIN(50,ROUND(50*LOG10(G421+1)/4,1)),5)+IF(ISNUMBER(H421),ROUND(30*(100-H421)/100,1),15)+IF(B421="New",20,10),0)</f>
        <v/>
      </c>
      <c r="L421" t="inlineStr">
        <is>
          <t>KEEP</t>
        </is>
      </c>
      <c r="M421" s="5" t="inlineStr">
        <is>
          <t>Relevant to page intent</t>
        </is>
      </c>
      <c r="N421" s="5" t="inlineStr">
        <is>
          <t>Les balises Open Graph (OG) sont des balises méta HTML qui contrôlent l'apparence de votre page web lorsqu'elle est partagée sur les plateformes de réseaux sociaux like Facebook, LinkedIn, Twitter, an</t>
        </is>
      </c>
      <c r="O421" t="inlineStr">
        <is>
          <t>P3</t>
        </is>
      </c>
      <c r="P421" t="inlineStr">
        <is>
          <t>Visible only (no FAQPage schema)</t>
        </is>
      </c>
    </row>
    <row r="422">
      <c r="A422" s="3" t="inlineStr">
        <is>
          <t>https://codesommet.com/tools/og-preview-generator</t>
        </is>
      </c>
      <c r="B422" t="inlineStr">
        <is>
          <t>Existing</t>
        </is>
      </c>
      <c r="C422" s="5" t="inlineStr">
        <is>
          <t>En quoi les balises OG diffèrent-elles entre Facebook, Twitter et LinkedIn ?</t>
        </is>
      </c>
      <c r="D422" t="inlineStr">
        <is>
          <t>og image</t>
        </is>
      </c>
      <c r="E422" t="inlineStr">
        <is>
          <t>fr</t>
        </is>
      </c>
      <c r="F422" s="5" t="inlineStr"/>
      <c r="G422" t="n">
        <v>320</v>
      </c>
      <c r="H422" t="n">
        <v>36</v>
      </c>
      <c r="I422" t="inlineStr">
        <is>
          <t>Differentiation</t>
        </is>
      </c>
      <c r="J422" t="inlineStr">
        <is>
          <t>MEASURED</t>
        </is>
      </c>
      <c r="K422">
        <f>ROUND(IF(ISNUMBER(G422),MIN(50,ROUND(50*LOG10(G422+1)/4,1)),5)+IF(ISNUMBER(H422),ROUND(30*(100-H422)/100,1),15)+IF(B422="New",20,10),0)</f>
        <v/>
      </c>
      <c r="L422" t="inlineStr">
        <is>
          <t>KEEP</t>
        </is>
      </c>
      <c r="M422" s="5" t="inlineStr">
        <is>
          <t>Relevant to page intent</t>
        </is>
      </c>
      <c r="N422" s="5" t="inlineStr">
        <is>
          <t>Facebook et LinkedIn utilisent les balises Open Graph standard (og:title, og:description, og:image), while Twitter has its own Twitter Card tags (twitter:title, twitter:description, twitter:image). Tw</t>
        </is>
      </c>
      <c r="O422" t="inlineStr">
        <is>
          <t>P3</t>
        </is>
      </c>
      <c r="P422" t="inlineStr">
        <is>
          <t>Visible only (no FAQPage schema)</t>
        </is>
      </c>
    </row>
    <row r="423">
      <c r="A423" s="3" t="inlineStr">
        <is>
          <t>https://codesommet.com/tools/og-preview-generator</t>
        </is>
      </c>
      <c r="B423" t="inlineStr">
        <is>
          <t>Existing</t>
        </is>
      </c>
      <c r="C423" s="5" t="inlineStr">
        <is>
          <t>Quelles sont les dimensions d'image idéales pour les aperçus sur les réseaux sociaux ?</t>
        </is>
      </c>
      <c r="D423" t="inlineStr">
        <is>
          <t>og image</t>
        </is>
      </c>
      <c r="E423" t="inlineStr">
        <is>
          <t>fr</t>
        </is>
      </c>
      <c r="F423" s="5" t="inlineStr"/>
      <c r="G423" t="n">
        <v>320</v>
      </c>
      <c r="H423" t="n">
        <v>36</v>
      </c>
      <c r="I423" t="inlineStr">
        <is>
          <t>Service scope</t>
        </is>
      </c>
      <c r="J423" t="inlineStr">
        <is>
          <t>MEASURED</t>
        </is>
      </c>
      <c r="K423">
        <f>ROUND(IF(ISNUMBER(G423),MIN(50,ROUND(50*LOG10(G423+1)/4,1)),5)+IF(ISNUMBER(H423),ROUND(30*(100-H423)/100,1),15)+IF(B423="New",20,10),0)</f>
        <v/>
      </c>
      <c r="L423" t="inlineStr">
        <is>
          <t>KEEP</t>
        </is>
      </c>
      <c r="M423" s="5" t="inlineStr">
        <is>
          <t>Relevant to page intent</t>
        </is>
      </c>
      <c r="N423" s="5" t="inlineStr">
        <is>
          <t>Pour Facebook et LinkedIn, utilisez 1200x630px (1.91:1 aspect ratio). For Twitter, use 1200x600px (2:1 aspect ratio) for large summary cards. WhatsApp uses the same as Facebook. Images should be JPG o</t>
        </is>
      </c>
      <c r="O423" t="inlineStr">
        <is>
          <t>P3</t>
        </is>
      </c>
      <c r="P423" t="inlineStr">
        <is>
          <t>Visible only (no FAQPage schema)</t>
        </is>
      </c>
    </row>
    <row r="424">
      <c r="A424" s="3" t="inlineStr">
        <is>
          <t>https://codesommet.com/tools/og-preview-generator</t>
        </is>
      </c>
      <c r="B424" t="inlineStr">
        <is>
          <t>Existing</t>
        </is>
      </c>
      <c r="C424" s="5" t="inlineStr">
        <is>
          <t>Quelle longueur doivent avoir mon titre et ma description pour de meilleurs résultats ?</t>
        </is>
      </c>
      <c r="D424" t="inlineStr">
        <is>
          <t>open graph</t>
        </is>
      </c>
      <c r="E424" t="inlineStr">
        <is>
          <t>fr</t>
        </is>
      </c>
      <c r="F424" s="5" t="inlineStr"/>
      <c r="G424" t="n">
        <v>480</v>
      </c>
      <c r="H424" t="n">
        <v>41</v>
      </c>
      <c r="I424" t="inlineStr">
        <is>
          <t>Service scope</t>
        </is>
      </c>
      <c r="J424" t="inlineStr">
        <is>
          <t>MEASURED</t>
        </is>
      </c>
      <c r="K424">
        <f>ROUND(IF(ISNUMBER(G424),MIN(50,ROUND(50*LOG10(G424+1)/4,1)),5)+IF(ISNUMBER(H424),ROUND(30*(100-H424)/100,1),15)+IF(B424="New",20,10),0)</f>
        <v/>
      </c>
      <c r="L424" t="inlineStr">
        <is>
          <t>KEEP</t>
        </is>
      </c>
      <c r="M424" s="5" t="inlineStr">
        <is>
          <t>Relevant to page intent</t>
        </is>
      </c>
      <c r="N424" s="5" t="inlineStr">
        <is>
          <t>Les titres doivent faire 40-60 caractères pour Facebook/LinkedIn (max 70 for Twitter) to avoid truncation. Descriptions work best at 150-200 characters across all platforms-long enough to be compellin</t>
        </is>
      </c>
      <c r="O424" t="inlineStr">
        <is>
          <t>P3</t>
        </is>
      </c>
      <c r="P424" t="inlineStr">
        <is>
          <t>Visible only (no FAQPage schema)</t>
        </is>
      </c>
    </row>
    <row r="425">
      <c r="A425" s="3" t="inlineStr">
        <is>
          <t>https://codesommet.com/tools/og-preview-generator</t>
        </is>
      </c>
      <c r="B425" t="inlineStr">
        <is>
          <t>Existing</t>
        </is>
      </c>
      <c r="C425" s="5" t="inlineStr">
        <is>
          <t>Comment tester si mes balises OG fonctionnent correctement ?</t>
        </is>
      </c>
      <c r="D425" t="inlineStr">
        <is>
          <t>og image</t>
        </is>
      </c>
      <c r="E425" t="inlineStr">
        <is>
          <t>fr</t>
        </is>
      </c>
      <c r="F425" s="5" t="inlineStr"/>
      <c r="G425" t="n">
        <v>320</v>
      </c>
      <c r="H425" t="n">
        <v>36</v>
      </c>
      <c r="I425" t="inlineStr">
        <is>
          <t>Service scope</t>
        </is>
      </c>
      <c r="J425" t="inlineStr">
        <is>
          <t>MEASURED</t>
        </is>
      </c>
      <c r="K425">
        <f>ROUND(IF(ISNUMBER(G425),MIN(50,ROUND(50*LOG10(G425+1)/4,1)),5)+IF(ISNUMBER(H425),ROUND(30*(100-H425)/100,1),15)+IF(B425="New",20,10),0)</f>
        <v/>
      </c>
      <c r="L425" t="inlineStr">
        <is>
          <t>KEEP</t>
        </is>
      </c>
      <c r="M425" s="5" t="inlineStr">
        <is>
          <t>Relevant to page intent</t>
        </is>
      </c>
      <c r="N425" s="5" t="inlineStr">
        <is>
          <t>Utilisez cet outil pour prévisualiser l'apparence de votre lien sur les différentes plateformes, or use platform-specific debuggers like Facebook's Sharing Debugger or Twitter's Card Validator. Always</t>
        </is>
      </c>
      <c r="O425" t="inlineStr">
        <is>
          <t>P3</t>
        </is>
      </c>
      <c r="P425" t="inlineStr">
        <is>
          <t>Visible only (no FAQPage schema)</t>
        </is>
      </c>
    </row>
    <row r="426">
      <c r="A426" s="3" t="inlineStr">
        <is>
          <t>https://codesommet.com/tools/og-preview-generator</t>
        </is>
      </c>
      <c r="B426" t="inlineStr">
        <is>
          <t>Existing</t>
        </is>
      </c>
      <c r="C426" s="5" t="inlineStr">
        <is>
          <t>Quelle est la différence entre og:image et twitter:image ?</t>
        </is>
      </c>
      <c r="D426" t="inlineStr">
        <is>
          <t>og image</t>
        </is>
      </c>
      <c r="E426" t="inlineStr">
        <is>
          <t>fr</t>
        </is>
      </c>
      <c r="F426" s="5" t="inlineStr"/>
      <c r="G426" t="n">
        <v>320</v>
      </c>
      <c r="H426" t="n">
        <v>36</v>
      </c>
      <c r="I426" t="inlineStr">
        <is>
          <t>Differentiation</t>
        </is>
      </c>
      <c r="J426" t="inlineStr">
        <is>
          <t>MEASURED</t>
        </is>
      </c>
      <c r="K426">
        <f>ROUND(IF(ISNUMBER(G426),MIN(50,ROUND(50*LOG10(G426+1)/4,1)),5)+IF(ISNUMBER(H426),ROUND(30*(100-H426)/100,1),15)+IF(B426="New",20,10),0)</f>
        <v/>
      </c>
      <c r="L426" t="inlineStr">
        <is>
          <t>KEEP</t>
        </is>
      </c>
      <c r="M426" s="5" t="inlineStr">
        <is>
          <t>Relevant to page intent</t>
        </is>
      </c>
      <c r="N426" s="5" t="inlineStr">
        <is>
          <t>og:image est l'image Open Graph standard utilisée par Facebook, LinkedIn, WhatsApp et la plupart des plateformes. twitter:image is Twitter's specific tag for Twitter Cards. If twitter:image is not set</t>
        </is>
      </c>
      <c r="O426" t="inlineStr">
        <is>
          <t>P3</t>
        </is>
      </c>
      <c r="P426" t="inlineStr">
        <is>
          <t>Visible only (no FAQPage schema)</t>
        </is>
      </c>
    </row>
    <row r="427">
      <c r="A427" s="3" t="inlineStr">
        <is>
          <t>https://codesommet.com/tools/og-preview-generator</t>
        </is>
      </c>
      <c r="B427" t="inlineStr">
        <is>
          <t>Existing</t>
        </is>
      </c>
      <c r="C427" s="5" t="inlineStr">
        <is>
          <t>À quelle fréquence dois-je mettre à jour mes balises Open Graph ?</t>
        </is>
      </c>
      <c r="D427" t="inlineStr">
        <is>
          <t>open graph</t>
        </is>
      </c>
      <c r="E427" t="inlineStr">
        <is>
          <t>fr</t>
        </is>
      </c>
      <c r="F427" s="5" t="inlineStr"/>
      <c r="G427" t="n">
        <v>480</v>
      </c>
      <c r="H427" t="n">
        <v>41</v>
      </c>
      <c r="I427" t="inlineStr">
        <is>
          <t>Service scope</t>
        </is>
      </c>
      <c r="J427" t="inlineStr">
        <is>
          <t>MEASURED</t>
        </is>
      </c>
      <c r="K427">
        <f>ROUND(IF(ISNUMBER(G427),MIN(50,ROUND(50*LOG10(G427+1)/4,1)),5)+IF(ISNUMBER(H427),ROUND(30*(100-H427)/100,1),15)+IF(B427="New",20,10),0)</f>
        <v/>
      </c>
      <c r="L427" t="inlineStr">
        <is>
          <t>KEEP</t>
        </is>
      </c>
      <c r="M427" s="5" t="inlineStr">
        <is>
          <t>Relevant to page intent</t>
        </is>
      </c>
      <c r="N427" s="5" t="inlineStr">
        <is>
          <t xml:space="preserve">Mettez à jour les balises OG chaque fois que le contenu de votre page change significativement, que vous renouvelez vos visuels pour une campagne saisonnière ou que l'engagement obtenu n'est pas à la </t>
        </is>
      </c>
      <c r="O427" t="inlineStr">
        <is>
          <t>P3</t>
        </is>
      </c>
      <c r="P427" t="inlineStr">
        <is>
          <t>Visible only (no FAQPage schema)</t>
        </is>
      </c>
    </row>
    <row r="428">
      <c r="A428" s="3" t="inlineStr">
        <is>
          <t>https://codesommet.com/tools/page-speed-analyzer</t>
        </is>
      </c>
      <c r="B428" t="inlineStr">
        <is>
          <t>Existing</t>
        </is>
      </c>
      <c r="C428" s="5" t="inlineStr">
        <is>
          <t>Pourquoi la vitesse de page est-elle importante pour le SEO et l'expérience utilisateur ?</t>
        </is>
      </c>
      <c r="D428" t="inlineStr">
        <is>
          <t>vitesse site web</t>
        </is>
      </c>
      <c r="E428" t="inlineStr">
        <is>
          <t>fr</t>
        </is>
      </c>
      <c r="F428" s="5" t="inlineStr"/>
      <c r="G428" t="n">
        <v>210</v>
      </c>
      <c r="H428" t="n">
        <v>31</v>
      </c>
      <c r="I428" t="inlineStr">
        <is>
          <t>Timeline</t>
        </is>
      </c>
      <c r="J428" t="inlineStr">
        <is>
          <t>MEASURED</t>
        </is>
      </c>
      <c r="K428">
        <f>ROUND(IF(ISNUMBER(G428),MIN(50,ROUND(50*LOG10(G428+1)/4,1)),5)+IF(ISNUMBER(H428),ROUND(30*(100-H428)/100,1),15)+IF(B428="New",20,10),0)</f>
        <v/>
      </c>
      <c r="L428" t="inlineStr">
        <is>
          <t>KEEP</t>
        </is>
      </c>
      <c r="M428" s="5" t="inlineStr">
        <is>
          <t>Matches measured pre-purchase demand</t>
        </is>
      </c>
      <c r="N428" s="5" t="inlineStr">
        <is>
          <t>La vitesse de page est un facteur de classement direct de Google et impacte de manière critique l'expérience utilisateur. Les recherches montrent que 53% des utilisateurs mobiles abandonnent les sites</t>
        </is>
      </c>
      <c r="O428" t="inlineStr">
        <is>
          <t>P3</t>
        </is>
      </c>
      <c r="P428" t="inlineStr">
        <is>
          <t>Visible only (no FAQPage schema)</t>
        </is>
      </c>
    </row>
    <row r="429">
      <c r="A429" s="3" t="inlineStr">
        <is>
          <t>https://codesommet.com/tools/page-speed-analyzer</t>
        </is>
      </c>
      <c r="B429" t="inlineStr">
        <is>
          <t>Existing</t>
        </is>
      </c>
      <c r="C429" s="5" t="inlineStr">
        <is>
          <t>Que sont les Core Web Vitals et comment affectent-ils mon classement ?</t>
        </is>
      </c>
      <c r="D429" t="inlineStr">
        <is>
          <t>test vitesse site web</t>
        </is>
      </c>
      <c r="E429" t="inlineStr">
        <is>
          <t>fr</t>
        </is>
      </c>
      <c r="F429" s="5" t="inlineStr"/>
      <c r="G429" t="n">
        <v>260</v>
      </c>
      <c r="H429" t="n">
        <v>36</v>
      </c>
      <c r="I429" t="inlineStr">
        <is>
          <t>Definition / how it works</t>
        </is>
      </c>
      <c r="J429" t="inlineStr">
        <is>
          <t>MEASURED</t>
        </is>
      </c>
      <c r="K429">
        <f>ROUND(IF(ISNUMBER(G429),MIN(50,ROUND(50*LOG10(G429+1)/4,1)),5)+IF(ISNUMBER(H429),ROUND(30*(100-H429)/100,1),15)+IF(B429="New",20,10),0)</f>
        <v/>
      </c>
      <c r="L429" t="inlineStr">
        <is>
          <t>KEEP</t>
        </is>
      </c>
      <c r="M429" s="5" t="inlineStr">
        <is>
          <t>Relevant to page intent</t>
        </is>
      </c>
      <c r="N429" s="5" t="inlineStr">
        <is>
          <t>Les Core Web Vitals sont les métriques officielles de Google pour mesurer l'expérience de page : LCP (Largest Contentful Paint) mesure la vitesse de chargement, FID (First Input Delay) mesure l'intera</t>
        </is>
      </c>
      <c r="O429" t="inlineStr">
        <is>
          <t>P3</t>
        </is>
      </c>
      <c r="P429" t="inlineStr">
        <is>
          <t>Visible only (no FAQPage schema)</t>
        </is>
      </c>
    </row>
    <row r="430">
      <c r="A430" s="3" t="inlineStr">
        <is>
          <t>https://codesommet.com/tools/page-speed-analyzer</t>
        </is>
      </c>
      <c r="B430" t="inlineStr">
        <is>
          <t>Existing</t>
        </is>
      </c>
      <c r="C430" s="5" t="inlineStr">
        <is>
          <t>Quel est un bon temps de chargement de page en 2026 ?</t>
        </is>
      </c>
      <c r="D430" t="inlineStr">
        <is>
          <t>test vitesse site web</t>
        </is>
      </c>
      <c r="E430" t="inlineStr">
        <is>
          <t>fr</t>
        </is>
      </c>
      <c r="F430" s="5" t="inlineStr"/>
      <c r="G430" t="n">
        <v>260</v>
      </c>
      <c r="H430" t="n">
        <v>36</v>
      </c>
      <c r="I430" t="inlineStr">
        <is>
          <t>Service scope</t>
        </is>
      </c>
      <c r="J430" t="inlineStr">
        <is>
          <t>MEASURED</t>
        </is>
      </c>
      <c r="K430">
        <f>ROUND(IF(ISNUMBER(G430),MIN(50,ROUND(50*LOG10(G430+1)/4,1)),5)+IF(ISNUMBER(H430),ROUND(30*(100-H430)/100,1),15)+IF(B430="New",20,10),0)</f>
        <v/>
      </c>
      <c r="L430" t="inlineStr">
        <is>
          <t>KEEP</t>
        </is>
      </c>
      <c r="M430" s="5" t="inlineStr">
        <is>
          <t>Relevant to page intent</t>
        </is>
      </c>
      <c r="N430" s="5" t="inlineStr">
        <is>
          <t>Pour des performances optimales, visez moins de 2 secondes sur ordinateur et moins de 3 secondes sur mobile. Cependant, plus c'est rapide, mieux c'est - les leaders du secteur chargent souvent en moin</t>
        </is>
      </c>
      <c r="O430" t="inlineStr">
        <is>
          <t>P3</t>
        </is>
      </c>
      <c r="P430" t="inlineStr">
        <is>
          <t>Visible only (no FAQPage schema)</t>
        </is>
      </c>
    </row>
    <row r="431">
      <c r="A431" s="3" t="inlineStr">
        <is>
          <t>https://codesommet.com/tools/page-speed-analyzer</t>
        </is>
      </c>
      <c r="B431" t="inlineStr">
        <is>
          <t>Existing</t>
        </is>
      </c>
      <c r="C431" s="5" t="inlineStr">
        <is>
          <t>Pourquoi ma vitesse mobile est-elle plus lente que sur ordinateur, et est-ce important ?</t>
        </is>
      </c>
      <c r="D431" t="inlineStr">
        <is>
          <t>vitesse site web</t>
        </is>
      </c>
      <c r="E431" t="inlineStr">
        <is>
          <t>fr</t>
        </is>
      </c>
      <c r="F431" s="5" t="inlineStr"/>
      <c r="G431" t="n">
        <v>210</v>
      </c>
      <c r="H431" t="n">
        <v>31</v>
      </c>
      <c r="I431" t="inlineStr">
        <is>
          <t>Timeline</t>
        </is>
      </c>
      <c r="J431" t="inlineStr">
        <is>
          <t>MEASURED</t>
        </is>
      </c>
      <c r="K431">
        <f>ROUND(IF(ISNUMBER(G431),MIN(50,ROUND(50*LOG10(G431+1)/4,1)),5)+IF(ISNUMBER(H431),ROUND(30*(100-H431)/100,1),15)+IF(B431="New",20,10),0)</f>
        <v/>
      </c>
      <c r="L431" t="inlineStr">
        <is>
          <t>KEEP</t>
        </is>
      </c>
      <c r="M431" s="5" t="inlineStr">
        <is>
          <t>Matches measured pre-purchase demand</t>
        </is>
      </c>
      <c r="N431" s="5" t="inlineStr">
        <is>
          <t>Les vitesses mobiles sont généralement plus lentes en raison des connexions réseau plus faibles, de la puissance de traitement réduite et des écrans plus petits nécessitant un chargement de ressources</t>
        </is>
      </c>
      <c r="O431" t="inlineStr">
        <is>
          <t>P3</t>
        </is>
      </c>
      <c r="P431" t="inlineStr">
        <is>
          <t>Visible only (no FAQPage schema)</t>
        </is>
      </c>
    </row>
    <row r="432">
      <c r="A432" s="3" t="inlineStr">
        <is>
          <t>https://codesommet.com/tools/page-speed-analyzer</t>
        </is>
      </c>
      <c r="B432" t="inlineStr">
        <is>
          <t>Existing</t>
        </is>
      </c>
      <c r="C432" s="5" t="inlineStr">
        <is>
          <t>Quelles sont les actions rapides pour améliorer la vitesse de ma page aujourd'hui ?</t>
        </is>
      </c>
      <c r="D432" t="inlineStr">
        <is>
          <t>vitesse site web</t>
        </is>
      </c>
      <c r="E432" t="inlineStr">
        <is>
          <t>fr</t>
        </is>
      </c>
      <c r="F432" s="5" t="inlineStr"/>
      <c r="G432" t="n">
        <v>210</v>
      </c>
      <c r="H432" t="n">
        <v>31</v>
      </c>
      <c r="I432" t="inlineStr">
        <is>
          <t>Timeline</t>
        </is>
      </c>
      <c r="J432" t="inlineStr">
        <is>
          <t>MEASURED</t>
        </is>
      </c>
      <c r="K432">
        <f>ROUND(IF(ISNUMBER(G432),MIN(50,ROUND(50*LOG10(G432+1)/4,1)),5)+IF(ISNUMBER(H432),ROUND(30*(100-H432)/100,1),15)+IF(B432="New",20,10),0)</f>
        <v/>
      </c>
      <c r="L432" t="inlineStr">
        <is>
          <t>KEEP</t>
        </is>
      </c>
      <c r="M432" s="5" t="inlineStr">
        <is>
          <t>Matches measured pre-purchase demand</t>
        </is>
      </c>
      <c r="N432" s="5" t="inlineStr">
        <is>
          <t xml:space="preserve">Commencez par l'optimisation des images (compressez et convertissez au format WebP), activez la mise en cache du navigateur avec des en-têtes de cache appropriés, minifiez les fichiers CSS/JavaScript </t>
        </is>
      </c>
      <c r="O432" t="inlineStr">
        <is>
          <t>P3</t>
        </is>
      </c>
      <c r="P432" t="inlineStr">
        <is>
          <t>Visible only (no FAQPage schema)</t>
        </is>
      </c>
    </row>
    <row r="433">
      <c r="A433" s="3" t="inlineStr">
        <is>
          <t>https://codesommet.com/tools/page-speed-analyzer</t>
        </is>
      </c>
      <c r="B433" t="inlineStr">
        <is>
          <t>Existing</t>
        </is>
      </c>
      <c r="C433" s="5" t="inlineStr">
        <is>
          <t>Comment l'utilisation d'un CDN améliore-t-elle la vitesse de page ?</t>
        </is>
      </c>
      <c r="D433" t="inlineStr">
        <is>
          <t>vitesse site web</t>
        </is>
      </c>
      <c r="E433" t="inlineStr">
        <is>
          <t>fr</t>
        </is>
      </c>
      <c r="F433" s="5" t="inlineStr"/>
      <c r="G433" t="n">
        <v>210</v>
      </c>
      <c r="H433" t="n">
        <v>31</v>
      </c>
      <c r="I433" t="inlineStr">
        <is>
          <t>Timeline</t>
        </is>
      </c>
      <c r="J433" t="inlineStr">
        <is>
          <t>MEASURED</t>
        </is>
      </c>
      <c r="K433">
        <f>ROUND(IF(ISNUMBER(G433),MIN(50,ROUND(50*LOG10(G433+1)/4,1)),5)+IF(ISNUMBER(H433),ROUND(30*(100-H433)/100,1),15)+IF(B433="New",20,10),0)</f>
        <v/>
      </c>
      <c r="L433" t="inlineStr">
        <is>
          <t>KEEP</t>
        </is>
      </c>
      <c r="M433" s="5" t="inlineStr">
        <is>
          <t>Matches measured pre-purchase demand</t>
        </is>
      </c>
      <c r="N433" s="5" t="inlineStr">
        <is>
          <t>Un CDN (Content Delivery Network) stocke des copies de vos fichiers statiques sur des serveurs dans le monde entier, livrant le contenu depuis l'emplacement le plus proche de chaque visiteur. Cela réd</t>
        </is>
      </c>
      <c r="O433" t="inlineStr">
        <is>
          <t>P3</t>
        </is>
      </c>
      <c r="P433" t="inlineStr">
        <is>
          <t>Visible only (no FAQPage schema)</t>
        </is>
      </c>
    </row>
    <row r="434">
      <c r="A434" s="3" t="inlineStr">
        <is>
          <t>https://codesommet.com/tools/page-speed-analyzer</t>
        </is>
      </c>
      <c r="B434" t="inlineStr">
        <is>
          <t>Existing</t>
        </is>
      </c>
      <c r="C434" s="5" t="inlineStr">
        <is>
          <t>À quelle fréquence dois-je surveiller la vitesse de ma page ?</t>
        </is>
      </c>
      <c r="D434" t="inlineStr">
        <is>
          <t>vitesse site web</t>
        </is>
      </c>
      <c r="E434" t="inlineStr">
        <is>
          <t>fr</t>
        </is>
      </c>
      <c r="F434" s="5" t="inlineStr"/>
      <c r="G434" t="n">
        <v>210</v>
      </c>
      <c r="H434" t="n">
        <v>31</v>
      </c>
      <c r="I434" t="inlineStr">
        <is>
          <t>Timeline</t>
        </is>
      </c>
      <c r="J434" t="inlineStr">
        <is>
          <t>MEASURED</t>
        </is>
      </c>
      <c r="K434">
        <f>ROUND(IF(ISNUMBER(G434),MIN(50,ROUND(50*LOG10(G434+1)/4,1)),5)+IF(ISNUMBER(H434),ROUND(30*(100-H434)/100,1),15)+IF(B434="New",20,10),0)</f>
        <v/>
      </c>
      <c r="L434" t="inlineStr">
        <is>
          <t>KEEP</t>
        </is>
      </c>
      <c r="M434" s="5" t="inlineStr">
        <is>
          <t>Matches measured pre-purchase demand</t>
        </is>
      </c>
      <c r="N434" s="5" t="inlineStr">
        <is>
          <t>Vérifiez la vitesse de vos pages critiques (page d'accueil, pages de destination clés, page de paiement) chaque semaine et mensuellement pour les autres pages. Testez toujours après des mises à jour m</t>
        </is>
      </c>
      <c r="O434" t="inlineStr">
        <is>
          <t>P3</t>
        </is>
      </c>
      <c r="P434" t="inlineStr">
        <is>
          <t>Visible only (no FAQPage schema)</t>
        </is>
      </c>
    </row>
    <row r="435">
      <c r="A435" s="3" t="inlineStr">
        <is>
          <t>https://codesommet.com/tools/qr-code-generator</t>
        </is>
      </c>
      <c r="B435" t="inlineStr">
        <is>
          <t>Existing</t>
        </is>
      </c>
      <c r="C435" s="5" t="inlineStr">
        <is>
          <t>Comment fonctionnent les QR codes ?</t>
        </is>
      </c>
      <c r="D435" t="inlineStr">
        <is>
          <t>qr code</t>
        </is>
      </c>
      <c r="E435" t="inlineStr">
        <is>
          <t>fr</t>
        </is>
      </c>
      <c r="F435" s="5" t="inlineStr"/>
      <c r="G435" t="n">
        <v>90500</v>
      </c>
      <c r="H435" t="n">
        <v>60</v>
      </c>
      <c r="I435" t="inlineStr">
        <is>
          <t>Definition / how it works</t>
        </is>
      </c>
      <c r="J435" t="inlineStr">
        <is>
          <t>MEASURED</t>
        </is>
      </c>
      <c r="K435">
        <f>ROUND(IF(ISNUMBER(G435),MIN(50,ROUND(50*LOG10(G435+1)/4,1)),5)+IF(ISNUMBER(H435),ROUND(30*(100-H435)/100,1),15)+IF(B435="New",20,10),0)</f>
        <v/>
      </c>
      <c r="L435" t="inlineStr">
        <is>
          <t>KEEP</t>
        </is>
      </c>
      <c r="M435" s="5" t="inlineStr">
        <is>
          <t>Relevant to page intent</t>
        </is>
      </c>
      <c r="N435" s="5" t="inlineStr">
        <is>
          <t>Les QR codes encodent des informations dans un code-barres bidimensionnel que les smartphones peuvent scanner. Ils utilisent des algorithmes de correction d'erreurs pour rester lisibles même s'ils son</t>
        </is>
      </c>
      <c r="O435" t="inlineStr">
        <is>
          <t>P3</t>
        </is>
      </c>
      <c r="P435" t="inlineStr">
        <is>
          <t>Visible only (no FAQPage schema)</t>
        </is>
      </c>
    </row>
    <row r="436">
      <c r="A436" s="3" t="inlineStr">
        <is>
          <t>https://codesommet.com/tools/qr-code-generator</t>
        </is>
      </c>
      <c r="B436" t="inlineStr">
        <is>
          <t>Existing</t>
        </is>
      </c>
      <c r="C436" s="5" t="inlineStr">
        <is>
          <t>Quelle taille d'impression pour mon QR code ?</t>
        </is>
      </c>
      <c r="D436" t="inlineStr">
        <is>
          <t>qr code</t>
        </is>
      </c>
      <c r="E436" t="inlineStr">
        <is>
          <t>fr</t>
        </is>
      </c>
      <c r="F436" s="5" t="inlineStr"/>
      <c r="G436" t="n">
        <v>90500</v>
      </c>
      <c r="H436" t="n">
        <v>60</v>
      </c>
      <c r="I436" t="inlineStr">
        <is>
          <t>Service scope</t>
        </is>
      </c>
      <c r="J436" t="inlineStr">
        <is>
          <t>MEASURED</t>
        </is>
      </c>
      <c r="K436">
        <f>ROUND(IF(ISNUMBER(G436),MIN(50,ROUND(50*LOG10(G436+1)/4,1)),5)+IF(ISNUMBER(H436),ROUND(30*(100-H436)/100,1),15)+IF(B436="New",20,10),0)</f>
        <v/>
      </c>
      <c r="L436" t="inlineStr">
        <is>
          <t>KEEP</t>
        </is>
      </c>
      <c r="M436" s="5" t="inlineStr">
        <is>
          <t>Relevant to page intent</t>
        </is>
      </c>
      <c r="N436" s="5" t="inlineStr">
        <is>
          <t>La taille minimale recommandée est de 2×2 cm pour un scan fiable avec les smartphones. Pour un scan extérieur ou à distance, utilisez au moins 5×5 cm. Les QR codes plus grands sont plus faciles à scan</t>
        </is>
      </c>
      <c r="O436" t="inlineStr">
        <is>
          <t>P3</t>
        </is>
      </c>
      <c r="P436" t="inlineStr">
        <is>
          <t>Visible only (no FAQPage schema)</t>
        </is>
      </c>
    </row>
    <row r="437">
      <c r="A437" s="3" t="inlineStr">
        <is>
          <t>https://codesommet.com/tools/qr-code-generator</t>
        </is>
      </c>
      <c r="B437" t="inlineStr">
        <is>
          <t>Existing</t>
        </is>
      </c>
      <c r="C437" s="5" t="inlineStr">
        <is>
          <t>Que sont les niveaux de correction d'erreur et lequel choisir ?</t>
        </is>
      </c>
      <c r="D437" t="inlineStr">
        <is>
          <t>générateur qr code</t>
        </is>
      </c>
      <c r="E437" t="inlineStr">
        <is>
          <t>fr</t>
        </is>
      </c>
      <c r="F437" s="5" t="inlineStr"/>
      <c r="G437" t="n">
        <v>4400</v>
      </c>
      <c r="H437" t="n">
        <v>44</v>
      </c>
      <c r="I437" t="inlineStr">
        <is>
          <t>Definition / how it works</t>
        </is>
      </c>
      <c r="J437" t="inlineStr">
        <is>
          <t>MEASURED</t>
        </is>
      </c>
      <c r="K437">
        <f>ROUND(IF(ISNUMBER(G437),MIN(50,ROUND(50*LOG10(G437+1)/4,1)),5)+IF(ISNUMBER(H437),ROUND(30*(100-H437)/100,1),15)+IF(B437="New",20,10),0)</f>
        <v/>
      </c>
      <c r="L437" t="inlineStr">
        <is>
          <t>KEEP</t>
        </is>
      </c>
      <c r="M437" s="5" t="inlineStr">
        <is>
          <t>Relevant to page intent</t>
        </is>
      </c>
      <c r="N437" s="5" t="inlineStr">
        <is>
          <t>La correction d'erreur permet aux QR codes d'être lus même lorsqu'ils sont endommagés. Low (7%) est pour les conditions parfaites, Medium (15%) pour un usage général, Quartile (25%) pour un risque lég</t>
        </is>
      </c>
      <c r="O437" t="inlineStr">
        <is>
          <t>P3</t>
        </is>
      </c>
      <c r="P437" t="inlineStr">
        <is>
          <t>Visible only (no FAQPage schema)</t>
        </is>
      </c>
    </row>
    <row r="438">
      <c r="A438" s="3" t="inlineStr">
        <is>
          <t>https://codesommet.com/tools/qr-code-generator</t>
        </is>
      </c>
      <c r="B438" t="inlineStr">
        <is>
          <t>Existing</t>
        </is>
      </c>
      <c r="C438" s="5" t="inlineStr">
        <is>
          <t>Puis-je personnaliser les couleurs de mon QR code ?</t>
        </is>
      </c>
      <c r="D438" t="inlineStr">
        <is>
          <t>qr code</t>
        </is>
      </c>
      <c r="E438" t="inlineStr">
        <is>
          <t>fr</t>
        </is>
      </c>
      <c r="F438" s="5" t="inlineStr"/>
      <c r="G438" t="n">
        <v>90500</v>
      </c>
      <c r="H438" t="n">
        <v>60</v>
      </c>
      <c r="I438" t="inlineStr">
        <is>
          <t>Service scope</t>
        </is>
      </c>
      <c r="J438" t="inlineStr">
        <is>
          <t>MEASURED</t>
        </is>
      </c>
      <c r="K438">
        <f>ROUND(IF(ISNUMBER(G438),MIN(50,ROUND(50*LOG10(G438+1)/4,1)),5)+IF(ISNUMBER(H438),ROUND(30*(100-H438)/100,1),15)+IF(B438="New",20,10),0)</f>
        <v/>
      </c>
      <c r="L438" t="inlineStr">
        <is>
          <t>KEEP</t>
        </is>
      </c>
      <c r="M438" s="5" t="inlineStr">
        <is>
          <t>Relevant to page intent</t>
        </is>
      </c>
      <c r="N438" s="5" t="inlineStr">
        <is>
          <t xml:space="preserve">Cet outil génère des QR codes standard en noir et blanc pour une compatibilité maximale. Pour des QR codes colorés ou personnalisés, vous aurez besoin d'un logiciel de design spécialisé. Assurez-vous </t>
        </is>
      </c>
      <c r="O438" t="inlineStr">
        <is>
          <t>P3</t>
        </is>
      </c>
      <c r="P438" t="inlineStr">
        <is>
          <t>Visible only (no FAQPage schema)</t>
        </is>
      </c>
    </row>
    <row r="439">
      <c r="A439" s="3" t="inlineStr">
        <is>
          <t>https://codesommet.com/tools/qr-code-generator</t>
        </is>
      </c>
      <c r="B439" t="inlineStr">
        <is>
          <t>Existing</t>
        </is>
      </c>
      <c r="C439" s="5" t="inlineStr">
        <is>
          <t>Comment suivre le nombre de personnes qui scannent mon QR code ?</t>
        </is>
      </c>
      <c r="D439" t="inlineStr">
        <is>
          <t>qr code</t>
        </is>
      </c>
      <c r="E439" t="inlineStr">
        <is>
          <t>fr</t>
        </is>
      </c>
      <c r="F439" s="5" t="inlineStr"/>
      <c r="G439" t="n">
        <v>90500</v>
      </c>
      <c r="H439" t="n">
        <v>60</v>
      </c>
      <c r="I439" t="inlineStr">
        <is>
          <t>Service scope</t>
        </is>
      </c>
      <c r="J439" t="inlineStr">
        <is>
          <t>MEASURED</t>
        </is>
      </c>
      <c r="K439">
        <f>ROUND(IF(ISNUMBER(G439),MIN(50,ROUND(50*LOG10(G439+1)/4,1)),5)+IF(ISNUMBER(H439),ROUND(30*(100-H439)/100,1),15)+IF(B439="New",20,10),0)</f>
        <v/>
      </c>
      <c r="L439" t="inlineStr">
        <is>
          <t>KEEP</t>
        </is>
      </c>
      <c r="M439" s="5" t="inlineStr">
        <is>
          <t>Relevant to page intent</t>
        </is>
      </c>
      <c r="N439" s="5" t="inlineStr">
        <is>
          <t>Pour suivre les scans, créez un raccourcisseur d'URL avec des analyses (comme Bitly ou TinyURL) et encodez cette URL raccourcie dans votre QR code. Le raccourcisseur suivra tous les clics, vous donnan</t>
        </is>
      </c>
      <c r="O439" t="inlineStr">
        <is>
          <t>P3</t>
        </is>
      </c>
      <c r="P439" t="inlineStr">
        <is>
          <t>Visible only (no FAQPage schema)</t>
        </is>
      </c>
    </row>
    <row r="440">
      <c r="A440" s="3" t="inlineStr">
        <is>
          <t>https://codesommet.com/tools/qr-code-generator</t>
        </is>
      </c>
      <c r="B440" t="inlineStr">
        <is>
          <t>Existing</t>
        </is>
      </c>
      <c r="C440" s="5" t="inlineStr">
        <is>
          <t>Quelle est la quantité maximale de données qu'un QR code peut stocker ?</t>
        </is>
      </c>
      <c r="D440" t="inlineStr">
        <is>
          <t>qr code</t>
        </is>
      </c>
      <c r="E440" t="inlineStr">
        <is>
          <t>fr</t>
        </is>
      </c>
      <c r="F440" s="5" t="inlineStr"/>
      <c r="G440" t="n">
        <v>90500</v>
      </c>
      <c r="H440" t="n">
        <v>60</v>
      </c>
      <c r="I440" t="inlineStr">
        <is>
          <t>Compliance / security</t>
        </is>
      </c>
      <c r="J440" t="inlineStr">
        <is>
          <t>MEASURED</t>
        </is>
      </c>
      <c r="K440">
        <f>ROUND(IF(ISNUMBER(G440),MIN(50,ROUND(50*LOG10(G440+1)/4,1)),5)+IF(ISNUMBER(H440),ROUND(30*(100-H440)/100,1),15)+IF(B440="New",20,10),0)</f>
        <v/>
      </c>
      <c r="L440" t="inlineStr">
        <is>
          <t>KEEP</t>
        </is>
      </c>
      <c r="M440" s="5" t="inlineStr">
        <is>
          <t>Relevant to page intent</t>
        </is>
      </c>
      <c r="N440" s="5" t="inlineStr">
        <is>
          <t>Les QR codes peuvent stocker jusqu'à environ 2 950 caractères pour du texte alphanumérique ou 4 296 caractères pour des données numériques. Cependant, plus de données créent des codes plus denses et p</t>
        </is>
      </c>
      <c r="O440" t="inlineStr">
        <is>
          <t>P3</t>
        </is>
      </c>
      <c r="P440" t="inlineStr">
        <is>
          <t>Visible only (no FAQPage schema)</t>
        </is>
      </c>
    </row>
    <row r="441">
      <c r="A441" s="3" t="inlineStr">
        <is>
          <t>https://codesommet.com/tools/qr-code-generator</t>
        </is>
      </c>
      <c r="B441" t="inlineStr">
        <is>
          <t>Existing</t>
        </is>
      </c>
      <c r="C441" s="5" t="inlineStr">
        <is>
          <t>Comment tester si mon QR code fonctionne correctement ?</t>
        </is>
      </c>
      <c r="D441" t="inlineStr">
        <is>
          <t>qr code</t>
        </is>
      </c>
      <c r="E441" t="inlineStr">
        <is>
          <t>fr</t>
        </is>
      </c>
      <c r="F441" s="5" t="inlineStr"/>
      <c r="G441" t="n">
        <v>90500</v>
      </c>
      <c r="H441" t="n">
        <v>60</v>
      </c>
      <c r="I441" t="inlineStr">
        <is>
          <t>Service scope</t>
        </is>
      </c>
      <c r="J441" t="inlineStr">
        <is>
          <t>MEASURED</t>
        </is>
      </c>
      <c r="K441">
        <f>ROUND(IF(ISNUMBER(G441),MIN(50,ROUND(50*LOG10(G441+1)/4,1)),5)+IF(ISNUMBER(H441),ROUND(30*(100-H441)/100,1),15)+IF(B441="New",20,10),0)</f>
        <v/>
      </c>
      <c r="L441" t="inlineStr">
        <is>
          <t>KEEP</t>
        </is>
      </c>
      <c r="M441" s="5" t="inlineStr">
        <is>
          <t>Relevant to page intent</t>
        </is>
      </c>
      <c r="N441" s="5" t="inlineStr">
        <is>
          <t>Testez votre QR code avec plusieurs appareils (iPhone, Android) et différentes applications caméra avant la production en masse. Essayez de scanner à différentes distances et conditions d'éclairage. V</t>
        </is>
      </c>
      <c r="O441" t="inlineStr">
        <is>
          <t>P3</t>
        </is>
      </c>
      <c r="P441" t="inlineStr">
        <is>
          <t>Visible only (no FAQPage schema)</t>
        </is>
      </c>
    </row>
    <row r="442">
      <c r="A442" s="3" t="inlineStr">
        <is>
          <t>https://codesommet.com/tools/qr-code-generator</t>
        </is>
      </c>
      <c r="B442" t="inlineStr">
        <is>
          <t>New</t>
        </is>
      </c>
      <c r="C442" s="5" t="inlineStr">
        <is>
          <t>Un QR code généré ici est-il gratuit et sans date d'expiration ?</t>
        </is>
      </c>
      <c r="D442" t="inlineStr">
        <is>
          <t>qr code gratuit</t>
        </is>
      </c>
      <c r="E442" t="inlineStr">
        <is>
          <t>fr</t>
        </is>
      </c>
      <c r="F442" s="5" t="inlineStr">
        <is>
          <t>générateur qr code [fr] 4400; créer qr code [fr] 3600; qr code gratuit [ma] 590</t>
        </is>
      </c>
      <c r="G442" t="n">
        <v>40500</v>
      </c>
      <c r="H442" t="n">
        <v>55</v>
      </c>
      <c r="I442" t="inlineStr">
        <is>
          <t>Question</t>
        </is>
      </c>
      <c r="J442" t="inlineStr">
        <is>
          <t>MEASURED</t>
        </is>
      </c>
      <c r="K442">
        <f>ROUND(IF(ISNUMBER(G442),MIN(50,ROUND(50*LOG10(G442+1)/4,1)),5)+IF(ISNUMBER(H442),ROUND(30*(100-H442)/100,1),15)+IF(B442="New",20,10),0)</f>
        <v/>
      </c>
      <c r="L442" t="inlineStr">
        <is>
          <t>NEW</t>
        </is>
      </c>
      <c r="M442" s="5" t="inlineStr">
        <is>
          <t>FR 40500 / MA 590 - users fear expiring "dynamic" QR traps. | Why here: Trust-building answer for the tool. | Internal link: /tools/utm-builder</t>
        </is>
      </c>
      <c r="N442" s="5" t="inlineStr">
        <is>
          <t>Static vs dynamic QR codes, no expiry, commercial use allowed.</t>
        </is>
      </c>
      <c r="O442" t="inlineStr">
        <is>
          <t>P2</t>
        </is>
      </c>
      <c r="P442" t="inlineStr"/>
    </row>
    <row r="443">
      <c r="A443" s="3" t="inlineStr">
        <is>
          <t>https://codesommet.com/tools/readability-analyzer</t>
        </is>
      </c>
      <c r="B443" t="inlineStr">
        <is>
          <t>Existing</t>
        </is>
      </c>
      <c r="C443" s="5" t="inlineStr">
        <is>
          <t>Quelle est la différence entre Flesch Reading Ease et Flesch-Kincaid Grade ?</t>
        </is>
      </c>
      <c r="D443" t="inlineStr">
        <is>
          <t>flesch</t>
        </is>
      </c>
      <c r="E443" t="inlineStr">
        <is>
          <t>fr</t>
        </is>
      </c>
      <c r="F443" s="5" t="inlineStr"/>
      <c r="G443" t="n">
        <v>110</v>
      </c>
      <c r="H443" t="n">
        <v>12</v>
      </c>
      <c r="I443" t="inlineStr">
        <is>
          <t>Differentiation</t>
        </is>
      </c>
      <c r="J443" t="inlineStr">
        <is>
          <t>MEASURED</t>
        </is>
      </c>
      <c r="K443">
        <f>ROUND(IF(ISNUMBER(G443),MIN(50,ROUND(50*LOG10(G443+1)/4,1)),5)+IF(ISNUMBER(H443),ROUND(30*(100-H443)/100,1),15)+IF(B443="New",20,10),0)</f>
        <v/>
      </c>
      <c r="L443" t="inlineStr">
        <is>
          <t>KEEP</t>
        </is>
      </c>
      <c r="M443" s="5" t="inlineStr">
        <is>
          <t>Relevant to page intent</t>
        </is>
      </c>
      <c r="N443" s="5" t="inlineStr">
        <is>
          <t xml:space="preserve">Flesch Reading Ease utilise une échelle de 0 à 100 où des scores plus élevés signifient une lecture plus facile. Flesch-Kincaid Grade montre le niveau scolaire américain nécessaire pour comprendre le </t>
        </is>
      </c>
      <c r="O443" t="inlineStr">
        <is>
          <t>P3</t>
        </is>
      </c>
      <c r="P443" t="inlineStr">
        <is>
          <t>Visible only (no FAQPage schema)</t>
        </is>
      </c>
    </row>
    <row r="444">
      <c r="A444" s="3" t="inlineStr">
        <is>
          <t>https://codesommet.com/tools/readability-analyzer</t>
        </is>
      </c>
      <c r="B444" t="inlineStr">
        <is>
          <t>Existing</t>
        </is>
      </c>
      <c r="C444" s="5" t="inlineStr">
        <is>
          <t>Dois-je toujours viser le score de lisibilité le plus élevé ?</t>
        </is>
      </c>
      <c r="D444" t="inlineStr">
        <is>
          <t>score de lisibilité</t>
        </is>
      </c>
      <c r="E444" t="inlineStr">
        <is>
          <t>fr</t>
        </is>
      </c>
      <c r="F444" s="5" t="inlineStr"/>
      <c r="G444" t="n">
        <v>20</v>
      </c>
      <c r="H444" t="inlineStr">
        <is>
          <t>NOT AVAILABLE</t>
        </is>
      </c>
      <c r="I444" t="inlineStr">
        <is>
          <t>Service scope</t>
        </is>
      </c>
      <c r="J444" t="inlineStr">
        <is>
          <t>MEASURED</t>
        </is>
      </c>
      <c r="K444">
        <f>ROUND(IF(ISNUMBER(G444),MIN(50,ROUND(50*LOG10(G444+1)/4,1)),5)+IF(ISNUMBER(H444),ROUND(30*(100-H444)/100,1),15)+IF(B444="New",20,10),0)</f>
        <v/>
      </c>
      <c r="L444" t="inlineStr">
        <is>
          <t>KEEP</t>
        </is>
      </c>
      <c r="M444" s="5" t="inlineStr">
        <is>
          <t>Relevant to page intent</t>
        </is>
      </c>
      <c r="N444" s="5" t="inlineStr">
        <is>
          <t>Pas nécessairement. Équilibrez la lisibilité avec l'expertise de votre audience. Les blogs techniques, le contenu académique et la rédaction juridique peuvent nécessiter un langage complexe. L'essenti</t>
        </is>
      </c>
      <c r="O444" t="inlineStr">
        <is>
          <t>P3</t>
        </is>
      </c>
      <c r="P444" t="inlineStr">
        <is>
          <t>Visible only (no FAQPage schema)</t>
        </is>
      </c>
    </row>
    <row r="445">
      <c r="A445" s="3" t="inlineStr">
        <is>
          <t>https://codesommet.com/tools/readability-analyzer</t>
        </is>
      </c>
      <c r="B445" t="inlineStr">
        <is>
          <t>Existing</t>
        </is>
      </c>
      <c r="C445" s="5" t="inlineStr">
        <is>
          <t>Comment améliorer mon score de lisibilité sans simplifier le contenu ?</t>
        </is>
      </c>
      <c r="D445" t="inlineStr">
        <is>
          <t>score de lisibilité</t>
        </is>
      </c>
      <c r="E445" t="inlineStr">
        <is>
          <t>fr</t>
        </is>
      </c>
      <c r="F445" s="5" t="inlineStr"/>
      <c r="G445" t="n">
        <v>20</v>
      </c>
      <c r="H445" t="inlineStr">
        <is>
          <t>NOT AVAILABLE</t>
        </is>
      </c>
      <c r="I445" t="inlineStr">
        <is>
          <t>Service scope</t>
        </is>
      </c>
      <c r="J445" t="inlineStr">
        <is>
          <t>MEASURED</t>
        </is>
      </c>
      <c r="K445">
        <f>ROUND(IF(ISNUMBER(G445),MIN(50,ROUND(50*LOG10(G445+1)/4,1)),5)+IF(ISNUMBER(H445),ROUND(30*(100-H445)/100,1),15)+IF(B445="New",20,10),0)</f>
        <v/>
      </c>
      <c r="L445" t="inlineStr">
        <is>
          <t>KEEP</t>
        </is>
      </c>
      <c r="M445" s="5" t="inlineStr">
        <is>
          <t>Relevant to page intent</t>
        </is>
      </c>
      <c r="N445" s="5" t="inlineStr">
        <is>
          <t>Divisez les longues phrases en phrases plus courtes, utilisez la voix active au lieu de la voix passive, remplacez le jargon par un langage simple lorsque c'est possible, et ajoutez des phrases de tra</t>
        </is>
      </c>
      <c r="O445" t="inlineStr">
        <is>
          <t>P3</t>
        </is>
      </c>
      <c r="P445" t="inlineStr">
        <is>
          <t>Visible only (no FAQPage schema)</t>
        </is>
      </c>
    </row>
    <row r="446">
      <c r="A446" s="3" t="inlineStr">
        <is>
          <t>https://codesommet.com/tools/readability-analyzer</t>
        </is>
      </c>
      <c r="B446" t="inlineStr">
        <is>
          <t>Existing</t>
        </is>
      </c>
      <c r="C446" s="5" t="inlineStr">
        <is>
          <t>Que signifient les 'mots complexes' dans l'analyse de lisibilité ?</t>
        </is>
      </c>
      <c r="D446" t="inlineStr">
        <is>
          <t>test lisibilité</t>
        </is>
      </c>
      <c r="E446" t="inlineStr">
        <is>
          <t>fr</t>
        </is>
      </c>
      <c r="F446" s="5" t="inlineStr"/>
      <c r="G446" t="n">
        <v>20</v>
      </c>
      <c r="H446" t="inlineStr">
        <is>
          <t>NOT AVAILABLE</t>
        </is>
      </c>
      <c r="I446" t="inlineStr">
        <is>
          <t>Service scope</t>
        </is>
      </c>
      <c r="J446" t="inlineStr">
        <is>
          <t>MEASURED</t>
        </is>
      </c>
      <c r="K446">
        <f>ROUND(IF(ISNUMBER(G446),MIN(50,ROUND(50*LOG10(G446+1)/4,1)),5)+IF(ISNUMBER(H446),ROUND(30*(100-H446)/100,1),15)+IF(B446="New",20,10),0)</f>
        <v/>
      </c>
      <c r="L446" t="inlineStr">
        <is>
          <t>KEEP</t>
        </is>
      </c>
      <c r="M446" s="5" t="inlineStr">
        <is>
          <t>Relevant to page intent</t>
        </is>
      </c>
      <c r="N446" s="5" t="inlineStr">
        <is>
          <t xml:space="preserve">Les mots complexes sont généralement définis comme des mots de 3 syllabes ou plus. Bien que tous les mots longs ne soient pas difficiles, ils nécessitent généralement plus d'effort cognitif pour être </t>
        </is>
      </c>
      <c r="O446" t="inlineStr">
        <is>
          <t>P3</t>
        </is>
      </c>
      <c r="P446" t="inlineStr">
        <is>
          <t>Visible only (no FAQPage schema)</t>
        </is>
      </c>
    </row>
    <row r="447">
      <c r="A447" s="3" t="inlineStr">
        <is>
          <t>https://codesommet.com/tools/readability-analyzer</t>
        </is>
      </c>
      <c r="B447" t="inlineStr">
        <is>
          <t>Existing</t>
        </is>
      </c>
      <c r="C447" s="5" t="inlineStr">
        <is>
          <t>Puis-je utiliser cet outil pour vérifier la lisibilité dans d'autres langues que l'anglais ?</t>
        </is>
      </c>
      <c r="D447" t="inlineStr">
        <is>
          <t>test lisibilité</t>
        </is>
      </c>
      <c r="E447" t="inlineStr">
        <is>
          <t>fr</t>
        </is>
      </c>
      <c r="F447" s="5" t="inlineStr"/>
      <c r="G447" t="n">
        <v>20</v>
      </c>
      <c r="H447" t="inlineStr">
        <is>
          <t>NOT AVAILABLE</t>
        </is>
      </c>
      <c r="I447" t="inlineStr">
        <is>
          <t>Service scope</t>
        </is>
      </c>
      <c r="J447" t="inlineStr">
        <is>
          <t>MEASURED</t>
        </is>
      </c>
      <c r="K447">
        <f>ROUND(IF(ISNUMBER(G447),MIN(50,ROUND(50*LOG10(G447+1)/4,1)),5)+IF(ISNUMBER(H447),ROUND(30*(100-H447)/100,1),15)+IF(B447="New",20,10),0)</f>
        <v/>
      </c>
      <c r="L447" t="inlineStr">
        <is>
          <t>KEEP</t>
        </is>
      </c>
      <c r="M447" s="5" t="inlineStr">
        <is>
          <t>Relevant to page intent</t>
        </is>
      </c>
      <c r="N447" s="5" t="inlineStr">
        <is>
          <t>Actuellement, cet outil est optimisé pour le contenu en anglais uniquement. Les algorithmes (Flesch, SMOG, Coleman-Liau) sont basés sur les modèles de la langue anglaise comme le nombre de syllabes et</t>
        </is>
      </c>
      <c r="O447" t="inlineStr">
        <is>
          <t>P3</t>
        </is>
      </c>
      <c r="P447" t="inlineStr">
        <is>
          <t>Visible only (no FAQPage schema)</t>
        </is>
      </c>
    </row>
    <row r="448">
      <c r="A448" s="3" t="inlineStr">
        <is>
          <t>https://codesommet.com/tools/redirect-checker</t>
        </is>
      </c>
      <c r="B448" t="inlineStr">
        <is>
          <t>Existing</t>
        </is>
      </c>
      <c r="C448" s="5" t="inlineStr">
        <is>
          <t>Quelle est la différence entre les redirections 301 et 302 ?</t>
        </is>
      </c>
      <c r="D448" t="inlineStr">
        <is>
          <t>redirection 301</t>
        </is>
      </c>
      <c r="E448" t="inlineStr">
        <is>
          <t>fr</t>
        </is>
      </c>
      <c r="F448" s="5" t="inlineStr"/>
      <c r="G448" t="n">
        <v>1000</v>
      </c>
      <c r="H448" t="n">
        <v>37</v>
      </c>
      <c r="I448" t="inlineStr">
        <is>
          <t>Differentiation</t>
        </is>
      </c>
      <c r="J448" t="inlineStr">
        <is>
          <t>MEASURED</t>
        </is>
      </c>
      <c r="K448">
        <f>ROUND(IF(ISNUMBER(G448),MIN(50,ROUND(50*LOG10(G448+1)/4,1)),5)+IF(ISNUMBER(H448),ROUND(30*(100-H448)/100,1),15)+IF(B448="New",20,10),0)</f>
        <v/>
      </c>
      <c r="L448" t="inlineStr">
        <is>
          <t>KEEP</t>
        </is>
      </c>
      <c r="M448" s="5" t="inlineStr">
        <is>
          <t>Relevant to page intent</t>
        </is>
      </c>
      <c r="N448" s="5" t="inlineStr">
        <is>
          <t xml:space="preserve">Une redirection 301 est permanente et indique aux moteurs de recherche de transférer la valeur SEO vers la nouvelle URL. Une redirection 302 est temporaire et ne transfère pas la valeur SEO complète. </t>
        </is>
      </c>
      <c r="O448" t="inlineStr">
        <is>
          <t>P3</t>
        </is>
      </c>
      <c r="P448" t="inlineStr">
        <is>
          <t>Visible only (no FAQPage schema)</t>
        </is>
      </c>
    </row>
    <row r="449">
      <c r="A449" s="3" t="inlineStr">
        <is>
          <t>https://codesommet.com/tools/redirect-checker</t>
        </is>
      </c>
      <c r="B449" t="inlineStr">
        <is>
          <t>Existing</t>
        </is>
      </c>
      <c r="C449" s="5" t="inlineStr">
        <is>
          <t>Qu'est-ce qu'une chaîne de redirection et pourquoi est-ce problématique ?</t>
        </is>
      </c>
      <c r="D449" t="inlineStr">
        <is>
          <t>vérifier redirection</t>
        </is>
      </c>
      <c r="E449" t="inlineStr">
        <is>
          <t>fr</t>
        </is>
      </c>
      <c r="F449" s="5" t="inlineStr"/>
      <c r="G449" t="n">
        <v>0</v>
      </c>
      <c r="H449" t="inlineStr">
        <is>
          <t>NOT AVAILABLE</t>
        </is>
      </c>
      <c r="I449" t="inlineStr">
        <is>
          <t>Definition / how it works</t>
        </is>
      </c>
      <c r="J449" t="inlineStr">
        <is>
          <t>MEASURED</t>
        </is>
      </c>
      <c r="K449">
        <f>ROUND(IF(ISNUMBER(G449),MIN(50,ROUND(50*LOG10(G449+1)/4,1)),5)+IF(ISNUMBER(H449),ROUND(30*(100-H449)/100,1),15)+IF(B449="New",20,10),0)</f>
        <v/>
      </c>
      <c r="L449" t="inlineStr">
        <is>
          <t>KEEP</t>
        </is>
      </c>
      <c r="M449" s="5" t="inlineStr">
        <is>
          <t>Relevant to page intent</t>
        </is>
      </c>
      <c r="N449" s="5" t="inlineStr">
        <is>
          <t xml:space="preserve">Une chaîne de redirection se produit lorsqu'une URL redirige vers une autre URL, qui redirige à nouveau (et potentiellement encore). Cela ralentit les temps de chargement, gaspille le budget de crawl </t>
        </is>
      </c>
      <c r="O449" t="inlineStr">
        <is>
          <t>P3</t>
        </is>
      </c>
      <c r="P449" t="inlineStr">
        <is>
          <t>Visible only (no FAQPage schema)</t>
        </is>
      </c>
    </row>
    <row r="450">
      <c r="A450" s="3" t="inlineStr">
        <is>
          <t>https://codesommet.com/tools/redirect-checker</t>
        </is>
      </c>
      <c r="B450" t="inlineStr">
        <is>
          <t>Existing</t>
        </is>
      </c>
      <c r="C450" s="5" t="inlineStr">
        <is>
          <t>Quelles sont les causes des boucles de redirection et comment les corriger ?</t>
        </is>
      </c>
      <c r="D450" t="inlineStr">
        <is>
          <t>vérifier redirection</t>
        </is>
      </c>
      <c r="E450" t="inlineStr">
        <is>
          <t>fr</t>
        </is>
      </c>
      <c r="F450" s="5" t="inlineStr"/>
      <c r="G450" t="n">
        <v>0</v>
      </c>
      <c r="H450" t="inlineStr">
        <is>
          <t>NOT AVAILABLE</t>
        </is>
      </c>
      <c r="I450" t="inlineStr">
        <is>
          <t>Service scope</t>
        </is>
      </c>
      <c r="J450" t="inlineStr">
        <is>
          <t>MEASURED</t>
        </is>
      </c>
      <c r="K450">
        <f>ROUND(IF(ISNUMBER(G450),MIN(50,ROUND(50*LOG10(G450+1)/4,1)),5)+IF(ISNUMBER(H450),ROUND(30*(100-H450)/100,1),15)+IF(B450="New",20,10),0)</f>
        <v/>
      </c>
      <c r="L450" t="inlineStr">
        <is>
          <t>KEEP</t>
        </is>
      </c>
      <c r="M450" s="5" t="inlineStr">
        <is>
          <t>Relevant to page intent</t>
        </is>
      </c>
      <c r="N450" s="5" t="inlineStr">
        <is>
          <t>Les boucles de redirection surviennent lorsque l'URL A redirige vers l'URL B, qui redirige vers l'URL A, créant une boucle infinie. Elles sont généralement causées par des règles de redirection mal co</t>
        </is>
      </c>
      <c r="O450" t="inlineStr">
        <is>
          <t>P3</t>
        </is>
      </c>
      <c r="P450" t="inlineStr">
        <is>
          <t>Visible only (no FAQPage schema)</t>
        </is>
      </c>
    </row>
    <row r="451">
      <c r="A451" s="3" t="inlineStr">
        <is>
          <t>https://codesommet.com/tools/redirect-checker</t>
        </is>
      </c>
      <c r="B451" t="inlineStr">
        <is>
          <t>Existing</t>
        </is>
      </c>
      <c r="C451" s="5" t="inlineStr">
        <is>
          <t>Comment les redirections impactent-elles le SEO ?</t>
        </is>
      </c>
      <c r="D451" t="inlineStr">
        <is>
          <t>agence seo maroc</t>
        </is>
      </c>
      <c r="E451" t="inlineStr">
        <is>
          <t>ma</t>
        </is>
      </c>
      <c r="F451" s="5" t="inlineStr"/>
      <c r="G451" t="n">
        <v>880</v>
      </c>
      <c r="H451" t="n">
        <v>44</v>
      </c>
      <c r="I451" t="inlineStr">
        <is>
          <t>SEO</t>
        </is>
      </c>
      <c r="J451" t="inlineStr">
        <is>
          <t>MEASURED</t>
        </is>
      </c>
      <c r="K451">
        <f>ROUND(IF(ISNUMBER(G451),MIN(50,ROUND(50*LOG10(G451+1)/4,1)),5)+IF(ISNUMBER(H451),ROUND(30*(100-H451)/100,1),15)+IF(B451="New",20,10),0)</f>
        <v/>
      </c>
      <c r="L451" t="inlineStr">
        <is>
          <t>KEEP</t>
        </is>
      </c>
      <c r="M451" s="5" t="inlineStr">
        <is>
          <t>Relevant to page intent</t>
        </is>
      </c>
      <c r="N451" s="5" t="inlineStr">
        <is>
          <t>Les redirections peuvent impacter le SEO de plusieurs manières. Les redirections 301 transmettent 90 à 99% de l'équité des liens vers la nouvelle URL, tandis que les redirections 302 en transmettent m</t>
        </is>
      </c>
      <c r="O451" t="inlineStr">
        <is>
          <t>P3</t>
        </is>
      </c>
      <c r="P451" t="inlineStr">
        <is>
          <t>Visible only (no FAQPage schema)</t>
        </is>
      </c>
    </row>
    <row r="452">
      <c r="A452" s="3" t="inlineStr">
        <is>
          <t>https://codesommet.com/tools/redirect-checker</t>
        </is>
      </c>
      <c r="B452" t="inlineStr">
        <is>
          <t>Existing</t>
        </is>
      </c>
      <c r="C452" s="5" t="inlineStr">
        <is>
          <t>Combien de redirections sont de trop ?</t>
        </is>
      </c>
      <c r="D452" t="inlineStr">
        <is>
          <t>redirect checker</t>
        </is>
      </c>
      <c r="E452" t="inlineStr">
        <is>
          <t>fr</t>
        </is>
      </c>
      <c r="F452" s="5" t="inlineStr"/>
      <c r="G452" t="n">
        <v>480</v>
      </c>
      <c r="H452" t="n">
        <v>55</v>
      </c>
      <c r="I452" t="inlineStr">
        <is>
          <t>Service scope</t>
        </is>
      </c>
      <c r="J452" t="inlineStr">
        <is>
          <t>MEASURED</t>
        </is>
      </c>
      <c r="K452">
        <f>ROUND(IF(ISNUMBER(G452),MIN(50,ROUND(50*LOG10(G452+1)/4,1)),5)+IF(ISNUMBER(H452),ROUND(30*(100-H452)/100,1),15)+IF(B452="New",20,10),0)</f>
        <v/>
      </c>
      <c r="L452" t="inlineStr">
        <is>
          <t>KEEP</t>
        </is>
      </c>
      <c r="M452" s="5" t="inlineStr">
        <is>
          <t>Relevant to page intent</t>
        </is>
      </c>
      <c r="N452" s="5" t="inlineStr">
        <is>
          <t>Idéalement, vous ne devriez avoir aucune redirection pour un chargement direct de page. Si des redirections sont nécessaires, limitez-les à 1-2 sauts maximum. Google peut suivre jusqu'à 5 sauts de red</t>
        </is>
      </c>
      <c r="O452" t="inlineStr">
        <is>
          <t>P3</t>
        </is>
      </c>
      <c r="P452" t="inlineStr">
        <is>
          <t>Visible only (no FAQPage schema)</t>
        </is>
      </c>
    </row>
    <row r="453">
      <c r="A453" s="3" t="inlineStr">
        <is>
          <t>https://codesommet.com/tools/redirect-checker</t>
        </is>
      </c>
      <c r="B453" t="inlineStr">
        <is>
          <t>Existing</t>
        </is>
      </c>
      <c r="C453" s="5" t="inlineStr">
        <is>
          <t>Dois-je rediriger HTTP vers HTTPS ?</t>
        </is>
      </c>
      <c r="D453" t="inlineStr">
        <is>
          <t>redirect checker</t>
        </is>
      </c>
      <c r="E453" t="inlineStr">
        <is>
          <t>fr</t>
        </is>
      </c>
      <c r="F453" s="5" t="inlineStr"/>
      <c r="G453" t="n">
        <v>480</v>
      </c>
      <c r="H453" t="n">
        <v>55</v>
      </c>
      <c r="I453" t="inlineStr">
        <is>
          <t>Service scope</t>
        </is>
      </c>
      <c r="J453" t="inlineStr">
        <is>
          <t>MEASURED</t>
        </is>
      </c>
      <c r="K453">
        <f>ROUND(IF(ISNUMBER(G453),MIN(50,ROUND(50*LOG10(G453+1)/4,1)),5)+IF(ISNUMBER(H453),ROUND(30*(100-H453)/100,1),15)+IF(B453="New",20,10),0)</f>
        <v/>
      </c>
      <c r="L453" t="inlineStr">
        <is>
          <t>KEEP</t>
        </is>
      </c>
      <c r="M453" s="5" t="inlineStr">
        <is>
          <t>Relevant to page intent</t>
        </is>
      </c>
      <c r="N453" s="5" t="inlineStr">
        <is>
          <t>Oui, absolument ! Tous les sites web devraient rediriger HTTP vers HTTPS pour la sécurité. Utilisez une redirection 301 permanente pour que les moteurs de recherche mettent à jour leur index et que le</t>
        </is>
      </c>
      <c r="O453" t="inlineStr">
        <is>
          <t>P3</t>
        </is>
      </c>
      <c r="P453" t="inlineStr">
        <is>
          <t>Visible only (no FAQPage schema)</t>
        </is>
      </c>
    </row>
    <row r="454">
      <c r="A454" s="3" t="inlineStr">
        <is>
          <t>https://codesommet.com/tools/redirect-checker</t>
        </is>
      </c>
      <c r="B454" t="inlineStr">
        <is>
          <t>Existing</t>
        </is>
      </c>
      <c r="C454" s="5" t="inlineStr">
        <is>
          <t>Quand dois-je utiliser une redirection 307 ou 308 ?</t>
        </is>
      </c>
      <c r="D454" t="inlineStr">
        <is>
          <t>vérifier redirection</t>
        </is>
      </c>
      <c r="E454" t="inlineStr">
        <is>
          <t>fr</t>
        </is>
      </c>
      <c r="F454" s="5" t="inlineStr"/>
      <c r="G454" t="n">
        <v>0</v>
      </c>
      <c r="H454" t="inlineStr">
        <is>
          <t>NOT AVAILABLE</t>
        </is>
      </c>
      <c r="I454" t="inlineStr">
        <is>
          <t>Timeline</t>
        </is>
      </c>
      <c r="J454" t="inlineStr">
        <is>
          <t>MEASURED</t>
        </is>
      </c>
      <c r="K454">
        <f>ROUND(IF(ISNUMBER(G454),MIN(50,ROUND(50*LOG10(G454+1)/4,1)),5)+IF(ISNUMBER(H454),ROUND(30*(100-H454)/100,1),15)+IF(B454="New",20,10),0)</f>
        <v/>
      </c>
      <c r="L454" t="inlineStr">
        <is>
          <t>KEEP</t>
        </is>
      </c>
      <c r="M454" s="5" t="inlineStr">
        <is>
          <t>Matches measured pre-purchase demand</t>
        </is>
      </c>
      <c r="N454" s="5" t="inlineStr">
        <is>
          <t>Utilisez les redirections 307 (temporaire) et 308 (permanente) lorsque vous devez préserver la méthode HTTP (POST, PUT, etc.) pendant la redirection. Pour les requêtes GET standard, 301 et 302 suffise</t>
        </is>
      </c>
      <c r="O454" t="inlineStr">
        <is>
          <t>P3</t>
        </is>
      </c>
      <c r="P454" t="inlineStr">
        <is>
          <t>Visible only (no FAQPage schema)</t>
        </is>
      </c>
    </row>
    <row r="455">
      <c r="A455" s="3" t="inlineStr">
        <is>
          <t>https://codesommet.com/tools/robots-txt-generator</t>
        </is>
      </c>
      <c r="B455" t="inlineStr">
        <is>
          <t>Existing</t>
        </is>
      </c>
      <c r="C455" s="5" t="inlineStr">
        <is>
          <t>Qu'est-ce qu'un fichier robots.txt et pourquoi en ai-je besoin ?</t>
        </is>
      </c>
      <c r="D455" t="inlineStr">
        <is>
          <t>robots.txt</t>
        </is>
      </c>
      <c r="E455" t="inlineStr">
        <is>
          <t>fr</t>
        </is>
      </c>
      <c r="F455" s="5" t="inlineStr"/>
      <c r="G455" t="n">
        <v>1900</v>
      </c>
      <c r="H455" t="n">
        <v>36</v>
      </c>
      <c r="I455" t="inlineStr">
        <is>
          <t>Definition / how it works</t>
        </is>
      </c>
      <c r="J455" t="inlineStr">
        <is>
          <t>MEASURED</t>
        </is>
      </c>
      <c r="K455">
        <f>ROUND(IF(ISNUMBER(G455),MIN(50,ROUND(50*LOG10(G455+1)/4,1)),5)+IF(ISNUMBER(H455),ROUND(30*(100-H455)/100,1),15)+IF(B455="New",20,10),0)</f>
        <v/>
      </c>
      <c r="L455" t="inlineStr">
        <is>
          <t>KEEP</t>
        </is>
      </c>
      <c r="M455" s="5" t="inlineStr">
        <is>
          <t>Relevant to page intent</t>
        </is>
      </c>
      <c r="N455" s="5" t="inlineStr">
        <is>
          <t>Un fichier robots.txt est un fichier texte placé dans le répertoire racine de votre site web qui indique aux robots d'exploration des moteurs de recherche quelles pages ou sections de votre site ils p</t>
        </is>
      </c>
      <c r="O455" t="inlineStr">
        <is>
          <t>P3</t>
        </is>
      </c>
      <c r="P455" t="inlineStr">
        <is>
          <t>Visible only (no FAQPage schema)</t>
        </is>
      </c>
    </row>
    <row r="456">
      <c r="A456" s="3" t="inlineStr">
        <is>
          <t>https://codesommet.com/tools/robots-txt-generator</t>
        </is>
      </c>
      <c r="B456" t="inlineStr">
        <is>
          <t>Existing</t>
        </is>
      </c>
      <c r="C456" s="5" t="inlineStr">
        <is>
          <t>Où placer le fichier robots.txt sur mon site web ?</t>
        </is>
      </c>
      <c r="D456" t="inlineStr">
        <is>
          <t>robots.txt</t>
        </is>
      </c>
      <c r="E456" t="inlineStr">
        <is>
          <t>fr</t>
        </is>
      </c>
      <c r="F456" s="5" t="inlineStr"/>
      <c r="G456" t="n">
        <v>1900</v>
      </c>
      <c r="H456" t="n">
        <v>36</v>
      </c>
      <c r="I456" t="inlineStr">
        <is>
          <t>Service scope</t>
        </is>
      </c>
      <c r="J456" t="inlineStr">
        <is>
          <t>MEASURED</t>
        </is>
      </c>
      <c r="K456">
        <f>ROUND(IF(ISNUMBER(G456),MIN(50,ROUND(50*LOG10(G456+1)/4,1)),5)+IF(ISNUMBER(H456),ROUND(30*(100-H456)/100,1),15)+IF(B456="New",20,10),0)</f>
        <v/>
      </c>
      <c r="L456" t="inlineStr">
        <is>
          <t>KEEP</t>
        </is>
      </c>
      <c r="M456" s="5" t="inlineStr">
        <is>
          <t>Relevant to page intent</t>
        </is>
      </c>
      <c r="N456" s="5" t="inlineStr">
        <is>
          <t>Le fichier robots.txt doit être placé dans le répertoire racine de votre site web (ex. : https://example.com/robots.txt). Il ne peut pas être placé dans un sous-répertoire ou sous-dossier. Les moteurs</t>
        </is>
      </c>
      <c r="O456" t="inlineStr">
        <is>
          <t>P3</t>
        </is>
      </c>
      <c r="P456" t="inlineStr">
        <is>
          <t>Visible only (no FAQPage schema)</t>
        </is>
      </c>
    </row>
    <row r="457">
      <c r="A457" s="3" t="inlineStr">
        <is>
          <t>https://codesommet.com/tools/robots-txt-generator</t>
        </is>
      </c>
      <c r="B457" t="inlineStr">
        <is>
          <t>Existing</t>
        </is>
      </c>
      <c r="C457" s="5" t="inlineStr">
        <is>
          <t>Que signifient les directives User-agent et laquelle utiliser ?</t>
        </is>
      </c>
      <c r="D457" t="inlineStr">
        <is>
          <t>robots.txt</t>
        </is>
      </c>
      <c r="E457" t="inlineStr">
        <is>
          <t>fr</t>
        </is>
      </c>
      <c r="F457" s="5" t="inlineStr"/>
      <c r="G457" t="n">
        <v>1900</v>
      </c>
      <c r="H457" t="n">
        <v>36</v>
      </c>
      <c r="I457" t="inlineStr">
        <is>
          <t>Service scope</t>
        </is>
      </c>
      <c r="J457" t="inlineStr">
        <is>
          <t>MEASURED</t>
        </is>
      </c>
      <c r="K457">
        <f>ROUND(IF(ISNUMBER(G457),MIN(50,ROUND(50*LOG10(G457+1)/4,1)),5)+IF(ISNUMBER(H457),ROUND(30*(100-H457)/100,1),15)+IF(B457="New",20,10),0)</f>
        <v/>
      </c>
      <c r="L457" t="inlineStr">
        <is>
          <t>KEEP</t>
        </is>
      </c>
      <c r="M457" s="5" t="inlineStr">
        <is>
          <t>Relevant to page intent</t>
        </is>
      </c>
      <c r="N457" s="5" t="inlineStr">
        <is>
          <t>Les directives User-agent spécifient à quel robot les règles s'appliquent. L'utilisation de '*' applique les règles à tous les robots universellement. Vous pouvez également cibler des robots spécifiqu</t>
        </is>
      </c>
      <c r="O457" t="inlineStr">
        <is>
          <t>P3</t>
        </is>
      </c>
      <c r="P457" t="inlineStr">
        <is>
          <t>Visible only (no FAQPage schema)</t>
        </is>
      </c>
    </row>
    <row r="458">
      <c r="A458" s="3" t="inlineStr">
        <is>
          <t>https://codesommet.com/tools/robots-txt-generator</t>
        </is>
      </c>
      <c r="B458" t="inlineStr">
        <is>
          <t>Existing</t>
        </is>
      </c>
      <c r="C458" s="5" t="inlineStr">
        <is>
          <t>Comment bloquer des robots de moteurs de recherche spécifiques tout en en autorisant d'autres ?</t>
        </is>
      </c>
      <c r="D458" t="inlineStr">
        <is>
          <t>robots.txt</t>
        </is>
      </c>
      <c r="E458" t="inlineStr">
        <is>
          <t>fr</t>
        </is>
      </c>
      <c r="F458" s="5" t="inlineStr"/>
      <c r="G458" t="n">
        <v>1900</v>
      </c>
      <c r="H458" t="n">
        <v>36</v>
      </c>
      <c r="I458" t="inlineStr">
        <is>
          <t>Service scope</t>
        </is>
      </c>
      <c r="J458" t="inlineStr">
        <is>
          <t>MEASURED</t>
        </is>
      </c>
      <c r="K458">
        <f>ROUND(IF(ISNUMBER(G458),MIN(50,ROUND(50*LOG10(G458+1)/4,1)),5)+IF(ISNUMBER(H458),ROUND(30*(100-H458)/100,1),15)+IF(B458="New",20,10),0)</f>
        <v/>
      </c>
      <c r="L458" t="inlineStr">
        <is>
          <t>KEEP</t>
        </is>
      </c>
      <c r="M458" s="5" t="inlineStr">
        <is>
          <t>Relevant to page intent</t>
        </is>
      </c>
      <c r="N458" s="5" t="inlineStr">
        <is>
          <t>Créez des sections user-agent séparées pour chaque robot. Par exemple, pour bloquer uniquement Bingbot tout en autorisant les autres, utilisez 'User-agent: Bingbot' suivi de 'Disallow: /' pour tout bl</t>
        </is>
      </c>
      <c r="O458" t="inlineStr">
        <is>
          <t>P3</t>
        </is>
      </c>
      <c r="P458" t="inlineStr">
        <is>
          <t>Visible only (no FAQPage schema)</t>
        </is>
      </c>
    </row>
    <row r="459">
      <c r="A459" s="3" t="inlineStr">
        <is>
          <t>https://codesommet.com/tools/robots-txt-generator</t>
        </is>
      </c>
      <c r="B459" t="inlineStr">
        <is>
          <t>Existing</t>
        </is>
      </c>
      <c r="C459" s="5" t="inlineStr">
        <is>
          <t>Dois-je inclure l'URL de mon sitemap dans robots.txt ?</t>
        </is>
      </c>
      <c r="D459" t="inlineStr">
        <is>
          <t>robots.txt</t>
        </is>
      </c>
      <c r="E459" t="inlineStr">
        <is>
          <t>fr</t>
        </is>
      </c>
      <c r="F459" s="5" t="inlineStr"/>
      <c r="G459" t="n">
        <v>1900</v>
      </c>
      <c r="H459" t="n">
        <v>36</v>
      </c>
      <c r="I459" t="inlineStr">
        <is>
          <t>Service scope</t>
        </is>
      </c>
      <c r="J459" t="inlineStr">
        <is>
          <t>MEASURED</t>
        </is>
      </c>
      <c r="K459">
        <f>ROUND(IF(ISNUMBER(G459),MIN(50,ROUND(50*LOG10(G459+1)/4,1)),5)+IF(ISNUMBER(H459),ROUND(30*(100-H459)/100,1),15)+IF(B459="New",20,10),0)</f>
        <v/>
      </c>
      <c r="L459" t="inlineStr">
        <is>
          <t>KEEP</t>
        </is>
      </c>
      <c r="M459" s="5" t="inlineStr">
        <is>
          <t>Relevant to page intent</t>
        </is>
      </c>
      <c r="N459" s="5" t="inlineStr">
        <is>
          <t xml:space="preserve">Oui, inclure l'URL de votre sitemap dans robots.txt aide les moteurs de recherche à découvrir toutes vos pages plus efficacement. Ajoutez-la à la fin de votre fichier en utilisant le format 'Sitemap: </t>
        </is>
      </c>
      <c r="O459" t="inlineStr">
        <is>
          <t>P3</t>
        </is>
      </c>
      <c r="P459" t="inlineStr">
        <is>
          <t>Visible only (no FAQPage schema)</t>
        </is>
      </c>
    </row>
    <row r="460">
      <c r="A460" s="3" t="inlineStr">
        <is>
          <t>https://codesommet.com/tools/robots-txt-generator</t>
        </is>
      </c>
      <c r="B460" t="inlineStr">
        <is>
          <t>Existing</t>
        </is>
      </c>
      <c r="C460" s="5" t="inlineStr">
        <is>
          <t>Puis-je utiliser des caractères génériques dans les règles de chemin robots.txt ?</t>
        </is>
      </c>
      <c r="D460" t="inlineStr">
        <is>
          <t>robots.txt</t>
        </is>
      </c>
      <c r="E460" t="inlineStr">
        <is>
          <t>fr</t>
        </is>
      </c>
      <c r="F460" s="5" t="inlineStr"/>
      <c r="G460" t="n">
        <v>1900</v>
      </c>
      <c r="H460" t="n">
        <v>36</v>
      </c>
      <c r="I460" t="inlineStr">
        <is>
          <t>Service scope</t>
        </is>
      </c>
      <c r="J460" t="inlineStr">
        <is>
          <t>MEASURED</t>
        </is>
      </c>
      <c r="K460">
        <f>ROUND(IF(ISNUMBER(G460),MIN(50,ROUND(50*LOG10(G460+1)/4,1)),5)+IF(ISNUMBER(H460),ROUND(30*(100-H460)/100,1),15)+IF(B460="New",20,10),0)</f>
        <v/>
      </c>
      <c r="L460" t="inlineStr">
        <is>
          <t>KEEP</t>
        </is>
      </c>
      <c r="M460" s="5" t="inlineStr">
        <is>
          <t>Relevant to page intent</t>
        </is>
      </c>
      <c r="N460" s="5" t="inlineStr">
        <is>
          <t>Oui, vous pouvez utiliser des caractères génériques comme '*' (correspond à toute séquence de caractères) et '$' (correspond à la fin de l'URL). Par exemple, 'Disallow: /*.pdf$' bloque tous les fichie</t>
        </is>
      </c>
      <c r="O460" t="inlineStr">
        <is>
          <t>P3</t>
        </is>
      </c>
      <c r="P460" t="inlineStr">
        <is>
          <t>Visible only (no FAQPage schema)</t>
        </is>
      </c>
    </row>
    <row r="461">
      <c r="A461" s="3" t="inlineStr">
        <is>
          <t>https://codesommet.com/tools/robots-txt-generator</t>
        </is>
      </c>
      <c r="B461" t="inlineStr">
        <is>
          <t>Existing</t>
        </is>
      </c>
      <c r="C461" s="5" t="inlineStr">
        <is>
          <t>Comment tester mon fichier robots.txt avant de le déployer ?</t>
        </is>
      </c>
      <c r="D461" t="inlineStr">
        <is>
          <t>robots.txt</t>
        </is>
      </c>
      <c r="E461" t="inlineStr">
        <is>
          <t>fr</t>
        </is>
      </c>
      <c r="F461" s="5" t="inlineStr"/>
      <c r="G461" t="n">
        <v>1900</v>
      </c>
      <c r="H461" t="n">
        <v>36</v>
      </c>
      <c r="I461" t="inlineStr">
        <is>
          <t>Service scope</t>
        </is>
      </c>
      <c r="J461" t="inlineStr">
        <is>
          <t>MEASURED</t>
        </is>
      </c>
      <c r="K461">
        <f>ROUND(IF(ISNUMBER(G461),MIN(50,ROUND(50*LOG10(G461+1)/4,1)),5)+IF(ISNUMBER(H461),ROUND(30*(100-H461)/100,1),15)+IF(B461="New",20,10),0)</f>
        <v/>
      </c>
      <c r="L461" t="inlineStr">
        <is>
          <t>KEEP</t>
        </is>
      </c>
      <c r="M461" s="5" t="inlineStr">
        <is>
          <t>Relevant to page intent</t>
        </is>
      </c>
      <c r="N461" s="5" t="inlineStr">
        <is>
          <t>Utilisez l'outil de test robots.txt de Google Search Console pour valider votre fichier et tester des URL spécifiques. Cet outil vous montre exactement comment Googlebot interprétera vos règles et aid</t>
        </is>
      </c>
      <c r="O461" t="inlineStr">
        <is>
          <t>P3</t>
        </is>
      </c>
      <c r="P461" t="inlineStr">
        <is>
          <t>Visible only (no FAQPage schema)</t>
        </is>
      </c>
    </row>
    <row r="462">
      <c r="A462" s="3" t="inlineStr">
        <is>
          <t>https://codesommet.com/tools/robots-txt-tester</t>
        </is>
      </c>
      <c r="B462" t="inlineStr">
        <is>
          <t>Existing</t>
        </is>
      </c>
      <c r="C462" s="5" t="inlineStr">
        <is>
          <t>Comment un robot choisit-il son groupe de règles ?</t>
        </is>
      </c>
      <c r="D462" t="inlineStr">
        <is>
          <t>test robots.txt</t>
        </is>
      </c>
      <c r="E462" t="inlineStr">
        <is>
          <t>fr</t>
        </is>
      </c>
      <c r="F462" s="5" t="inlineStr"/>
      <c r="G462" t="n">
        <v>260</v>
      </c>
      <c r="H462" t="n">
        <v>20</v>
      </c>
      <c r="I462" t="inlineStr">
        <is>
          <t>Service scope</t>
        </is>
      </c>
      <c r="J462" t="inlineStr">
        <is>
          <t>MEASURED</t>
        </is>
      </c>
      <c r="K462">
        <f>ROUND(IF(ISNUMBER(G462),MIN(50,ROUND(50*LOG10(G462+1)/4,1)),5)+IF(ISNUMBER(H462),ROUND(30*(100-H462)/100,1),15)+IF(B462="New",20,10),0)</f>
        <v/>
      </c>
      <c r="L462" t="inlineStr">
        <is>
          <t>KEEP</t>
        </is>
      </c>
      <c r="M462" s="5" t="inlineStr">
        <is>
          <t>Relevant to page intent</t>
        </is>
      </c>
      <c r="N462" s="5" t="inlineStr">
        <is>
          <t>Il cherche le groupe dont le User-agent est le préfixe le plus long de son propre nom : Googlebot-Image utilise le groupe « Googlebot-Image » s'il existe, sinon « Googlebot », sinon « * ». Un groupe d</t>
        </is>
      </c>
      <c r="O462" t="inlineStr">
        <is>
          <t>P3</t>
        </is>
      </c>
      <c r="P462" t="inlineStr">
        <is>
          <t>Visible only (no FAQPage schema)</t>
        </is>
      </c>
    </row>
    <row r="463">
      <c r="A463" s="3" t="inlineStr">
        <is>
          <t>https://codesommet.com/tools/robots-txt-tester</t>
        </is>
      </c>
      <c r="B463" t="inlineStr">
        <is>
          <t>Existing</t>
        </is>
      </c>
      <c r="C463" s="5" t="inlineStr">
        <is>
          <t>Quelle règle gagne quand plusieurs correspondent ?</t>
        </is>
      </c>
      <c r="D463" t="inlineStr">
        <is>
          <t>combien de temps pour créer un site internet</t>
        </is>
      </c>
      <c r="E463" t="inlineStr">
        <is>
          <t>fr</t>
        </is>
      </c>
      <c r="F463" s="5" t="inlineStr"/>
      <c r="G463" t="n">
        <v>90</v>
      </c>
      <c r="H463" t="n">
        <v>13</v>
      </c>
      <c r="I463" t="inlineStr">
        <is>
          <t>Timeline</t>
        </is>
      </c>
      <c r="J463" t="inlineStr">
        <is>
          <t>MEASURED</t>
        </is>
      </c>
      <c r="K463">
        <f>ROUND(IF(ISNUMBER(G463),MIN(50,ROUND(50*LOG10(G463+1)/4,1)),5)+IF(ISNUMBER(H463),ROUND(30*(100-H463)/100,1),15)+IF(B463="New",20,10),0)</f>
        <v/>
      </c>
      <c r="L463" t="inlineStr">
        <is>
          <t>KEEP</t>
        </is>
      </c>
      <c r="M463" s="5" t="inlineStr">
        <is>
          <t>Matches measured pre-purchase demand</t>
        </is>
      </c>
      <c r="N463" s="5" t="inlineStr">
        <is>
          <t>La règle au motif le plus long (le plus spécifique). À longueur égale, Allow l'emporte sur Disallow. « Disallow: /blog » bloque donc « /blog/article », sauf si « Allow: /blog/article » est présent.</t>
        </is>
      </c>
      <c r="O463" t="inlineStr">
        <is>
          <t>P3</t>
        </is>
      </c>
      <c r="P463" t="inlineStr">
        <is>
          <t>Visible only (no FAQPage schema)</t>
        </is>
      </c>
    </row>
    <row r="464">
      <c r="A464" s="3" t="inlineStr">
        <is>
          <t>https://codesommet.com/tools/robots-txt-tester</t>
        </is>
      </c>
      <c r="B464" t="inlineStr">
        <is>
          <t>Existing</t>
        </is>
      </c>
      <c r="C464" s="5" t="inlineStr">
        <is>
          <t>Que signifient « * » et « $ » dans un motif ?</t>
        </is>
      </c>
      <c r="D464" t="inlineStr">
        <is>
          <t>test robots.txt</t>
        </is>
      </c>
      <c r="E464" t="inlineStr">
        <is>
          <t>fr</t>
        </is>
      </c>
      <c r="F464" s="5" t="inlineStr"/>
      <c r="G464" t="n">
        <v>260</v>
      </c>
      <c r="H464" t="n">
        <v>20</v>
      </c>
      <c r="I464" t="inlineStr">
        <is>
          <t>Service scope</t>
        </is>
      </c>
      <c r="J464" t="inlineStr">
        <is>
          <t>MEASURED</t>
        </is>
      </c>
      <c r="K464">
        <f>ROUND(IF(ISNUMBER(G464),MIN(50,ROUND(50*LOG10(G464+1)/4,1)),5)+IF(ISNUMBER(H464),ROUND(30*(100-H464)/100,1),15)+IF(B464="New",20,10),0)</f>
        <v/>
      </c>
      <c r="L464" t="inlineStr">
        <is>
          <t>KEEP</t>
        </is>
      </c>
      <c r="M464" s="5" t="inlineStr">
        <is>
          <t>Relevant to page intent</t>
        </is>
      </c>
      <c r="N464" s="5" t="inlineStr">
        <is>
          <t>« * » remplace n'importe quelle suite de caractères et « $ » marque la fin de l'URL. « Disallow: /*?sort= » bloque toute URL contenant ce paramètre ; « Disallow: /*.pdf$ » bloque les PDF mais pas « fi</t>
        </is>
      </c>
      <c r="O464" t="inlineStr">
        <is>
          <t>P3</t>
        </is>
      </c>
      <c r="P464" t="inlineStr">
        <is>
          <t>Visible only (no FAQPage schema)</t>
        </is>
      </c>
    </row>
    <row r="465">
      <c r="A465" s="3" t="inlineStr">
        <is>
          <t>https://codesommet.com/tools/robots-txt-tester</t>
        </is>
      </c>
      <c r="B465" t="inlineStr">
        <is>
          <t>Existing</t>
        </is>
      </c>
      <c r="C465" s="5" t="inlineStr">
        <is>
          <t>Un robots.txt empêche-t-il l'indexation ?</t>
        </is>
      </c>
      <c r="D465" t="inlineStr">
        <is>
          <t>test robots.txt</t>
        </is>
      </c>
      <c r="E465" t="inlineStr">
        <is>
          <t>fr</t>
        </is>
      </c>
      <c r="F465" s="5" t="inlineStr"/>
      <c r="G465" t="n">
        <v>260</v>
      </c>
      <c r="H465" t="n">
        <v>20</v>
      </c>
      <c r="I465" t="inlineStr">
        <is>
          <t>Service scope</t>
        </is>
      </c>
      <c r="J465" t="inlineStr">
        <is>
          <t>MEASURED</t>
        </is>
      </c>
      <c r="K465">
        <f>ROUND(IF(ISNUMBER(G465),MIN(50,ROUND(50*LOG10(G465+1)/4,1)),5)+IF(ISNUMBER(H465),ROUND(30*(100-H465)/100,1),15)+IF(B465="New",20,10),0)</f>
        <v/>
      </c>
      <c r="L465" t="inlineStr">
        <is>
          <t>KEEP</t>
        </is>
      </c>
      <c r="M465" s="5" t="inlineStr">
        <is>
          <t>Relevant to page intent</t>
        </is>
      </c>
      <c r="N465" s="5" t="inlineStr">
        <is>
          <t xml:space="preserve">Non : il empêche l'exploration. Une URL bloquée peut tout de même apparaître dans Google si d'autres pages la lient, mais sans extrait. Pour désindexer, laissez le robot accéder à la page et utilisez </t>
        </is>
      </c>
      <c r="O465" t="inlineStr">
        <is>
          <t>P3</t>
        </is>
      </c>
      <c r="P465" t="inlineStr">
        <is>
          <t>Visible only (no FAQPage schema)</t>
        </is>
      </c>
    </row>
    <row r="466">
      <c r="A466" s="3" t="inlineStr">
        <is>
          <t>https://codesommet.com/tools/robots-txt-tester</t>
        </is>
      </c>
      <c r="B466" t="inlineStr">
        <is>
          <t>Existing</t>
        </is>
      </c>
      <c r="C466" s="5" t="inlineStr">
        <is>
          <t>Que se passe-t-il si le fichier est absent ou en erreur ?</t>
        </is>
      </c>
      <c r="D466" t="inlineStr">
        <is>
          <t>test robots.txt</t>
        </is>
      </c>
      <c r="E466" t="inlineStr">
        <is>
          <t>fr</t>
        </is>
      </c>
      <c r="F466" s="5" t="inlineStr"/>
      <c r="G466" t="n">
        <v>260</v>
      </c>
      <c r="H466" t="n">
        <v>20</v>
      </c>
      <c r="I466" t="inlineStr">
        <is>
          <t>Service scope</t>
        </is>
      </c>
      <c r="J466" t="inlineStr">
        <is>
          <t>MEASURED</t>
        </is>
      </c>
      <c r="K466">
        <f>ROUND(IF(ISNUMBER(G466),MIN(50,ROUND(50*LOG10(G466+1)/4,1)),5)+IF(ISNUMBER(H466),ROUND(30*(100-H466)/100,1),15)+IF(B466="New",20,10),0)</f>
        <v/>
      </c>
      <c r="L466" t="inlineStr">
        <is>
          <t>KEEP</t>
        </is>
      </c>
      <c r="M466" s="5" t="inlineStr">
        <is>
          <t>Relevant to page intent</t>
        </is>
      </c>
      <c r="N466" s="5" t="inlineStr">
        <is>
          <t>Un code 404 est traité comme « tout est permis ». En revanche, une erreur serveur (5xx) répétée peut amener Google à considérer le site entier comme interdit : surveillez la disponibilité du fichier.</t>
        </is>
      </c>
      <c r="O466" t="inlineStr">
        <is>
          <t>P3</t>
        </is>
      </c>
      <c r="P466" t="inlineStr">
        <is>
          <t>Visible only (no FAQPage schema)</t>
        </is>
      </c>
    </row>
    <row r="467">
      <c r="A467" s="3" t="inlineStr">
        <is>
          <t>https://codesommet.com/tools/robots-txt-tester</t>
        </is>
      </c>
      <c r="B467" t="inlineStr">
        <is>
          <t>Existing</t>
        </is>
      </c>
      <c r="C467" s="5" t="inlineStr">
        <is>
          <t>Crawl-delay et Noindex sont-ils pris en compte ?</t>
        </is>
      </c>
      <c r="D467" t="inlineStr">
        <is>
          <t>test robots.txt</t>
        </is>
      </c>
      <c r="E467" t="inlineStr">
        <is>
          <t>fr</t>
        </is>
      </c>
      <c r="F467" s="5" t="inlineStr"/>
      <c r="G467" t="n">
        <v>260</v>
      </c>
      <c r="H467" t="n">
        <v>20</v>
      </c>
      <c r="I467" t="inlineStr">
        <is>
          <t>Service scope</t>
        </is>
      </c>
      <c r="J467" t="inlineStr">
        <is>
          <t>MEASURED</t>
        </is>
      </c>
      <c r="K467">
        <f>ROUND(IF(ISNUMBER(G467),MIN(50,ROUND(50*LOG10(G467+1)/4,1)),5)+IF(ISNUMBER(H467),ROUND(30*(100-H467)/100,1),15)+IF(B467="New",20,10),0)</f>
        <v/>
      </c>
      <c r="L467" t="inlineStr">
        <is>
          <t>KEEP</t>
        </is>
      </c>
      <c r="M467" s="5" t="inlineStr">
        <is>
          <t>Relevant to page intent</t>
        </is>
      </c>
      <c r="N467" s="5" t="inlineStr">
        <is>
          <t>Google les ignore. Bing et Yandex respectent Crawl-delay. La directive Noindex dans robots.txt n'est plus supportée depuis 2019 : utilisez la balise meta ou l'en-tête X-Robots-Tag.</t>
        </is>
      </c>
      <c r="O467" t="inlineStr">
        <is>
          <t>P3</t>
        </is>
      </c>
      <c r="P467" t="inlineStr">
        <is>
          <t>Visible only (no FAQPage schema)</t>
        </is>
      </c>
    </row>
    <row r="468">
      <c r="A468" s="3" t="inlineStr">
        <is>
          <t>https://codesommet.com/tools/robots-validator</t>
        </is>
      </c>
      <c r="B468" t="inlineStr">
        <is>
          <t>Existing</t>
        </is>
      </c>
      <c r="C468" s="5" t="inlineStr">
        <is>
          <t>Qu'est-ce que robots.txt et pourquoi est-il important pour le SEO ?</t>
        </is>
      </c>
      <c r="D468" t="inlineStr">
        <is>
          <t>valider robots.txt</t>
        </is>
      </c>
      <c r="E468" t="inlineStr">
        <is>
          <t>fr</t>
        </is>
      </c>
      <c r="F468" s="5" t="inlineStr"/>
      <c r="G468" t="inlineStr">
        <is>
          <t>NOT AVAILABLE</t>
        </is>
      </c>
      <c r="H468" t="inlineStr">
        <is>
          <t>NOT AVAILABLE</t>
        </is>
      </c>
      <c r="I468" t="inlineStr">
        <is>
          <t>SEO</t>
        </is>
      </c>
      <c r="J468" t="inlineStr">
        <is>
          <t>UNAVAILABLE</t>
        </is>
      </c>
      <c r="K468">
        <f>ROUND(IF(ISNUMBER(G468),MIN(50,ROUND(50*LOG10(G468+1)/4,1)),5)+IF(ISNUMBER(H468),ROUND(30*(100-H468)/100,1),15)+IF(B468="New",20,10),0)</f>
        <v/>
      </c>
      <c r="L468" t="inlineStr">
        <is>
          <t>KEEP</t>
        </is>
      </c>
      <c r="M468" s="5" t="inlineStr">
        <is>
          <t>Relevant to page intent</t>
        </is>
      </c>
      <c r="N468" s="5" t="inlineStr">
        <is>
          <t>Robots.txt est un fichier texte qui indique aux robots d'indexation des moteurs de recherche quelles pages ou sections de votre site web ils peuvent ou ne peuvent pas accéder. C'est crucial pour le SE</t>
        </is>
      </c>
      <c r="O468" t="inlineStr">
        <is>
          <t>P3</t>
        </is>
      </c>
      <c r="P468" t="inlineStr">
        <is>
          <t>Visible only (no FAQPage schema)</t>
        </is>
      </c>
    </row>
    <row r="469">
      <c r="A469" s="3" t="inlineStr">
        <is>
          <t>https://codesommet.com/tools/robots-validator</t>
        </is>
      </c>
      <c r="B469" t="inlineStr">
        <is>
          <t>Existing</t>
        </is>
      </c>
      <c r="C469" s="5" t="inlineStr">
        <is>
          <t>Quelles sont les erreurs de syntaxe les plus courantes dans les fichiers robots.txt ?</t>
        </is>
      </c>
      <c r="D469" t="inlineStr">
        <is>
          <t>valider robots.txt</t>
        </is>
      </c>
      <c r="E469" t="inlineStr">
        <is>
          <t>fr</t>
        </is>
      </c>
      <c r="F469" s="5" t="inlineStr"/>
      <c r="G469" t="inlineStr">
        <is>
          <t>NOT AVAILABLE</t>
        </is>
      </c>
      <c r="H469" t="inlineStr">
        <is>
          <t>NOT AVAILABLE</t>
        </is>
      </c>
      <c r="I469" t="inlineStr">
        <is>
          <t>Service scope</t>
        </is>
      </c>
      <c r="J469" t="inlineStr">
        <is>
          <t>UNAVAILABLE</t>
        </is>
      </c>
      <c r="K469">
        <f>ROUND(IF(ISNUMBER(G469),MIN(50,ROUND(50*LOG10(G469+1)/4,1)),5)+IF(ISNUMBER(H469),ROUND(30*(100-H469)/100,1),15)+IF(B469="New",20,10),0)</f>
        <v/>
      </c>
      <c r="L469" t="inlineStr">
        <is>
          <t>KEEP</t>
        </is>
      </c>
      <c r="M469" s="5" t="inlineStr">
        <is>
          <t>Relevant to page intent</t>
        </is>
      </c>
      <c r="N469" s="5" t="inlineStr">
        <is>
          <t>Les erreurs de syntaxe courantes incluent l'orthographe incorrecte des directives (comme 'Disalow' au lieu de 'Disallow'), l'utilisation de majuscules incorrectes (les directives sont sensibles à la c</t>
        </is>
      </c>
      <c r="O469" t="inlineStr">
        <is>
          <t>P3</t>
        </is>
      </c>
      <c r="P469" t="inlineStr">
        <is>
          <t>Visible only (no FAQPage schema)</t>
        </is>
      </c>
    </row>
    <row r="470">
      <c r="A470" s="3" t="inlineStr">
        <is>
          <t>https://codesommet.com/tools/robots-validator</t>
        </is>
      </c>
      <c r="B470" t="inlineStr">
        <is>
          <t>Existing</t>
        </is>
      </c>
      <c r="C470" s="5" t="inlineStr">
        <is>
          <t>Le robots.txt peut-il accidentellement bloquer tout mon site web des moteurs de recherche ?</t>
        </is>
      </c>
      <c r="D470" t="inlineStr">
        <is>
          <t>valider robots.txt</t>
        </is>
      </c>
      <c r="E470" t="inlineStr">
        <is>
          <t>fr</t>
        </is>
      </c>
      <c r="F470" s="5" t="inlineStr"/>
      <c r="G470" t="inlineStr">
        <is>
          <t>NOT AVAILABLE</t>
        </is>
      </c>
      <c r="H470" t="inlineStr">
        <is>
          <t>NOT AVAILABLE</t>
        </is>
      </c>
      <c r="I470" t="inlineStr">
        <is>
          <t>Service scope</t>
        </is>
      </c>
      <c r="J470" t="inlineStr">
        <is>
          <t>UNAVAILABLE</t>
        </is>
      </c>
      <c r="K470">
        <f>ROUND(IF(ISNUMBER(G470),MIN(50,ROUND(50*LOG10(G470+1)/4,1)),5)+IF(ISNUMBER(H470),ROUND(30*(100-H470)/100,1),15)+IF(B470="New",20,10),0)</f>
        <v/>
      </c>
      <c r="L470" t="inlineStr">
        <is>
          <t>KEEP</t>
        </is>
      </c>
      <c r="M470" s="5" t="inlineStr">
        <is>
          <t>Relevant to page intent</t>
        </is>
      </c>
      <c r="N470" s="5" t="inlineStr">
        <is>
          <t>Oui, une simple erreur comme 'User-agent: * Disallow: /' bloquera tous les moteurs de recherche de l'exploration de votre site web entier. C'est l'une des erreurs SEO les plus critiques et peut dévast</t>
        </is>
      </c>
      <c r="O470" t="inlineStr">
        <is>
          <t>P3</t>
        </is>
      </c>
      <c r="P470" t="inlineStr">
        <is>
          <t>Visible only (no FAQPage schema)</t>
        </is>
      </c>
    </row>
    <row r="471">
      <c r="A471" s="3" t="inlineStr">
        <is>
          <t>https://codesommet.com/tools/robots-validator</t>
        </is>
      </c>
      <c r="B471" t="inlineStr">
        <is>
          <t>Existing</t>
        </is>
      </c>
      <c r="C471" s="5" t="inlineStr">
        <is>
          <t>Quelle est la différence entre les directives Allow et Disallow ?</t>
        </is>
      </c>
      <c r="D471" t="inlineStr">
        <is>
          <t>valider robots.txt</t>
        </is>
      </c>
      <c r="E471" t="inlineStr">
        <is>
          <t>fr</t>
        </is>
      </c>
      <c r="F471" s="5" t="inlineStr"/>
      <c r="G471" t="inlineStr">
        <is>
          <t>NOT AVAILABLE</t>
        </is>
      </c>
      <c r="H471" t="inlineStr">
        <is>
          <t>NOT AVAILABLE</t>
        </is>
      </c>
      <c r="I471" t="inlineStr">
        <is>
          <t>Differentiation</t>
        </is>
      </c>
      <c r="J471" t="inlineStr">
        <is>
          <t>UNAVAILABLE</t>
        </is>
      </c>
      <c r="K471">
        <f>ROUND(IF(ISNUMBER(G471),MIN(50,ROUND(50*LOG10(G471+1)/4,1)),5)+IF(ISNUMBER(H471),ROUND(30*(100-H471)/100,1),15)+IF(B471="New",20,10),0)</f>
        <v/>
      </c>
      <c r="L471" t="inlineStr">
        <is>
          <t>KEEP</t>
        </is>
      </c>
      <c r="M471" s="5" t="inlineStr">
        <is>
          <t>Relevant to page intent</t>
        </is>
      </c>
      <c r="N471" s="5" t="inlineStr">
        <is>
          <t xml:space="preserve">Disallow indique aux robots quels chemins ils ne doivent PAS accéder, tandis que Allow leur indique quels chemins ils PEUVENT accéder. Allow est généralement utilisé pour remplacer une règle Disallow </t>
        </is>
      </c>
      <c r="O471" t="inlineStr">
        <is>
          <t>P3</t>
        </is>
      </c>
      <c r="P471" t="inlineStr">
        <is>
          <t>Visible only (no FAQPage schema)</t>
        </is>
      </c>
    </row>
    <row r="472">
      <c r="A472" s="3" t="inlineStr">
        <is>
          <t>https://codesommet.com/tools/robots-validator</t>
        </is>
      </c>
      <c r="B472" t="inlineStr">
        <is>
          <t>Existing</t>
        </is>
      </c>
      <c r="C472" s="5" t="inlineStr">
        <is>
          <t>Dois-je inclure l'emplacement de mon sitemap dans robots.txt ?</t>
        </is>
      </c>
      <c r="D472" t="inlineStr">
        <is>
          <t>valider robots.txt</t>
        </is>
      </c>
      <c r="E472" t="inlineStr">
        <is>
          <t>fr</t>
        </is>
      </c>
      <c r="F472" s="5" t="inlineStr"/>
      <c r="G472" t="inlineStr">
        <is>
          <t>NOT AVAILABLE</t>
        </is>
      </c>
      <c r="H472" t="inlineStr">
        <is>
          <t>NOT AVAILABLE</t>
        </is>
      </c>
      <c r="I472" t="inlineStr">
        <is>
          <t>Service scope</t>
        </is>
      </c>
      <c r="J472" t="inlineStr">
        <is>
          <t>UNAVAILABLE</t>
        </is>
      </c>
      <c r="K472">
        <f>ROUND(IF(ISNUMBER(G472),MIN(50,ROUND(50*LOG10(G472+1)/4,1)),5)+IF(ISNUMBER(H472),ROUND(30*(100-H472)/100,1),15)+IF(B472="New",20,10),0)</f>
        <v/>
      </c>
      <c r="L472" t="inlineStr">
        <is>
          <t>KEEP</t>
        </is>
      </c>
      <c r="M472" s="5" t="inlineStr">
        <is>
          <t>Relevant to page intent</t>
        </is>
      </c>
      <c r="N472" s="5" t="inlineStr">
        <is>
          <t>Oui, absolument ! Ajouter l'URL de votre sitemap avec la directive 'Sitemap:' aide les moteurs de recherche à découvrir et explorer votre contenu plus efficacement. Vous pouvez inclure plusieurs entré</t>
        </is>
      </c>
      <c r="O472" t="inlineStr">
        <is>
          <t>P3</t>
        </is>
      </c>
      <c r="P472" t="inlineStr">
        <is>
          <t>Visible only (no FAQPage schema)</t>
        </is>
      </c>
    </row>
    <row r="473">
      <c r="A473" s="3" t="inlineStr">
        <is>
          <t>https://codesommet.com/tools/robots-validator</t>
        </is>
      </c>
      <c r="B473" t="inlineStr">
        <is>
          <t>Existing</t>
        </is>
      </c>
      <c r="C473" s="5" t="inlineStr">
        <is>
          <t>Comment tester si mon robots.txt bloque des URL spécifiques ?</t>
        </is>
      </c>
      <c r="D473" t="inlineStr">
        <is>
          <t>valider robots.txt</t>
        </is>
      </c>
      <c r="E473" t="inlineStr">
        <is>
          <t>fr</t>
        </is>
      </c>
      <c r="F473" s="5" t="inlineStr"/>
      <c r="G473" t="inlineStr">
        <is>
          <t>NOT AVAILABLE</t>
        </is>
      </c>
      <c r="H473" t="inlineStr">
        <is>
          <t>NOT AVAILABLE</t>
        </is>
      </c>
      <c r="I473" t="inlineStr">
        <is>
          <t>Service scope</t>
        </is>
      </c>
      <c r="J473" t="inlineStr">
        <is>
          <t>UNAVAILABLE</t>
        </is>
      </c>
      <c r="K473">
        <f>ROUND(IF(ISNUMBER(G473),MIN(50,ROUND(50*LOG10(G473+1)/4,1)),5)+IF(ISNUMBER(H473),ROUND(30*(100-H473)/100,1),15)+IF(B473="New",20,10),0)</f>
        <v/>
      </c>
      <c r="L473" t="inlineStr">
        <is>
          <t>KEEP</t>
        </is>
      </c>
      <c r="M473" s="5" t="inlineStr">
        <is>
          <t>Relevant to page intent</t>
        </is>
      </c>
      <c r="N473" s="5" t="inlineStr">
        <is>
          <t>Utilisez l'outil d'inspection d'URL de Google Search Console ou l'ancienne fonctionnalité 'Testeur robots.txt'. Vous pouvez également utiliser notre validateur pour vérifier votre configuration actuel</t>
        </is>
      </c>
      <c r="O473" t="inlineStr">
        <is>
          <t>P3</t>
        </is>
      </c>
      <c r="P473" t="inlineStr">
        <is>
          <t>Visible only (no FAQPage schema)</t>
        </is>
      </c>
    </row>
    <row r="474">
      <c r="A474" s="3" t="inlineStr">
        <is>
          <t>https://codesommet.com/tools/robots-validator</t>
        </is>
      </c>
      <c r="B474" t="inlineStr">
        <is>
          <t>Existing</t>
        </is>
      </c>
      <c r="C474" s="5" t="inlineStr">
        <is>
          <t>Puis-je utiliser robots.txt pour cacher des informations sensibles ?</t>
        </is>
      </c>
      <c r="D474" t="inlineStr">
        <is>
          <t>valider robots.txt</t>
        </is>
      </c>
      <c r="E474" t="inlineStr">
        <is>
          <t>fr</t>
        </is>
      </c>
      <c r="F474" s="5" t="inlineStr"/>
      <c r="G474" t="inlineStr">
        <is>
          <t>NOT AVAILABLE</t>
        </is>
      </c>
      <c r="H474" t="inlineStr">
        <is>
          <t>NOT AVAILABLE</t>
        </is>
      </c>
      <c r="I474" t="inlineStr">
        <is>
          <t>Service scope</t>
        </is>
      </c>
      <c r="J474" t="inlineStr">
        <is>
          <t>UNAVAILABLE</t>
        </is>
      </c>
      <c r="K474">
        <f>ROUND(IF(ISNUMBER(G474),MIN(50,ROUND(50*LOG10(G474+1)/4,1)),5)+IF(ISNUMBER(H474),ROUND(30*(100-H474)/100,1),15)+IF(B474="New",20,10),0)</f>
        <v/>
      </c>
      <c r="L474" t="inlineStr">
        <is>
          <t>KEEP</t>
        </is>
      </c>
      <c r="M474" s="5" t="inlineStr">
        <is>
          <t>Relevant to page intent</t>
        </is>
      </c>
      <c r="N474" s="5" t="inlineStr">
        <is>
          <t>Non ! Robots.txt est accessible publiquement et ne fournit aucune sécurité. En fait, lister des chemins dans robots.txt peut attirer l'attention sur des zones sensibles. N'utilisez jamais robots.txt p</t>
        </is>
      </c>
      <c r="O474" t="inlineStr">
        <is>
          <t>P3</t>
        </is>
      </c>
      <c r="P474" t="inlineStr">
        <is>
          <t>Visible only (no FAQPage schema)</t>
        </is>
      </c>
    </row>
    <row r="475">
      <c r="A475" s="3" t="inlineStr">
        <is>
          <t>https://codesommet.com/tools/schema-generator</t>
        </is>
      </c>
      <c r="B475" t="inlineStr">
        <is>
          <t>Existing</t>
        </is>
      </c>
      <c r="C475" s="5" t="inlineStr">
        <is>
          <t>Qu'est-ce que le schema markup (JSON-LD) et pourquoi est-il important pour le SEO ?</t>
        </is>
      </c>
      <c r="D475" t="inlineStr">
        <is>
          <t>schema markup</t>
        </is>
      </c>
      <c r="E475" t="inlineStr">
        <is>
          <t>fr</t>
        </is>
      </c>
      <c r="F475" s="5" t="inlineStr"/>
      <c r="G475" t="n">
        <v>210</v>
      </c>
      <c r="H475" t="n">
        <v>12</v>
      </c>
      <c r="I475" t="inlineStr">
        <is>
          <t>SEO</t>
        </is>
      </c>
      <c r="J475" t="inlineStr">
        <is>
          <t>MEASURED</t>
        </is>
      </c>
      <c r="K475">
        <f>ROUND(IF(ISNUMBER(G475),MIN(50,ROUND(50*LOG10(G475+1)/4,1)),5)+IF(ISNUMBER(H475),ROUND(30*(100-H475)/100,1),15)+IF(B475="New",20,10),0)</f>
        <v/>
      </c>
      <c r="L475" t="inlineStr">
        <is>
          <t>KEEP</t>
        </is>
      </c>
      <c r="M475" s="5" t="inlineStr">
        <is>
          <t>Relevant to page intent</t>
        </is>
      </c>
      <c r="N475" s="5" t="inlineStr">
        <is>
          <t>Le schema markup, spécifiquement JSON-LD (JavaScript Object Notation for Linked Data), est une donnée structurée qui aide les moteurs de recherche à mieux comprendre votre contenu. Il indique à Google</t>
        </is>
      </c>
      <c r="O475" t="inlineStr">
        <is>
          <t>P3</t>
        </is>
      </c>
      <c r="P475" t="inlineStr">
        <is>
          <t>Visible only (no FAQPage schema)</t>
        </is>
      </c>
    </row>
    <row r="476">
      <c r="A476" s="3" t="inlineStr">
        <is>
          <t>https://codesommet.com/tools/schema-generator</t>
        </is>
      </c>
      <c r="B476" t="inlineStr">
        <is>
          <t>Existing</t>
        </is>
      </c>
      <c r="C476" s="5" t="inlineStr">
        <is>
          <t>Comment implémenter le schema markup sur mon site web ?</t>
        </is>
      </c>
      <c r="D476" t="inlineStr">
        <is>
          <t>schema markup</t>
        </is>
      </c>
      <c r="E476" t="inlineStr">
        <is>
          <t>fr</t>
        </is>
      </c>
      <c r="F476" s="5" t="inlineStr"/>
      <c r="G476" t="n">
        <v>210</v>
      </c>
      <c r="H476" t="n">
        <v>12</v>
      </c>
      <c r="I476" t="inlineStr">
        <is>
          <t>Service scope</t>
        </is>
      </c>
      <c r="J476" t="inlineStr">
        <is>
          <t>MEASURED</t>
        </is>
      </c>
      <c r="K476">
        <f>ROUND(IF(ISNUMBER(G476),MIN(50,ROUND(50*LOG10(G476+1)/4,1)),5)+IF(ISNUMBER(H476),ROUND(30*(100-H476)/100,1),15)+IF(B476="New",20,10),0)</f>
        <v/>
      </c>
      <c r="L476" t="inlineStr">
        <is>
          <t>KEEP</t>
        </is>
      </c>
      <c r="M476" s="5" t="inlineStr">
        <is>
          <t>Relevant to page intent</t>
        </is>
      </c>
      <c r="N476" s="5" t="inlineStr">
        <is>
          <t>LInsert Headers and Footers' ou ajoutez au header.php de votre thème. Pour Next.js/React, ajoutez à votre composant Head ou utilisez dangerouslySetInnerHTML. Pour les sites HTML, collez directement da</t>
        </is>
      </c>
      <c r="O476" t="inlineStr">
        <is>
          <t>P3</t>
        </is>
      </c>
      <c r="P476" t="inlineStr">
        <is>
          <t>Visible only (no FAQPage schema)</t>
        </is>
      </c>
    </row>
    <row r="477">
      <c r="A477" s="3" t="inlineStr">
        <is>
          <t>https://codesommet.com/tools/schema-generator</t>
        </is>
      </c>
      <c r="B477" t="inlineStr">
        <is>
          <t>Existing</t>
        </is>
      </c>
      <c r="C477" s="5" t="inlineStr">
        <is>
          <t>Comment valider mon schema markup après l'avoir ajouté à mon site ?</t>
        </is>
      </c>
      <c r="D477" t="inlineStr">
        <is>
          <t>schema markup</t>
        </is>
      </c>
      <c r="E477" t="inlineStr">
        <is>
          <t>fr</t>
        </is>
      </c>
      <c r="F477" s="5" t="inlineStr"/>
      <c r="G477" t="n">
        <v>210</v>
      </c>
      <c r="H477" t="n">
        <v>12</v>
      </c>
      <c r="I477" t="inlineStr">
        <is>
          <t>Service scope</t>
        </is>
      </c>
      <c r="J477" t="inlineStr">
        <is>
          <t>MEASURED</t>
        </is>
      </c>
      <c r="K477">
        <f>ROUND(IF(ISNUMBER(G477),MIN(50,ROUND(50*LOG10(G477+1)/4,1)),5)+IF(ISNUMBER(H477),ROUND(30*(100-H477)/100,1),15)+IF(B477="New",20,10),0)</f>
        <v/>
      </c>
      <c r="L477" t="inlineStr">
        <is>
          <t>KEEP</t>
        </is>
      </c>
      <c r="M477" s="5" t="inlineStr">
        <is>
          <t>Relevant to page intent</t>
        </is>
      </c>
      <c r="N477" s="5" t="inlineStr">
        <is>
          <t>Utilisez le test des résultats enrichis de Google (search.google.com/test/rich-results) et le validateur Schema.org (validator.schema.org) pour valider votre balisage. Collez l'URL de votre page ou le</t>
        </is>
      </c>
      <c r="O477" t="inlineStr">
        <is>
          <t>P3</t>
        </is>
      </c>
      <c r="P477" t="inlineStr">
        <is>
          <t>Visible only (no FAQPage schema)</t>
        </is>
      </c>
    </row>
    <row r="478">
      <c r="A478" s="3" t="inlineStr">
        <is>
          <t>https://codesommet.com/tools/schema-generator</t>
        </is>
      </c>
      <c r="B478" t="inlineStr">
        <is>
          <t>Existing</t>
        </is>
      </c>
      <c r="C478" s="5" t="inlineStr">
        <is>
          <t>Le schema markup améliorera-t-il directement mon classement dans les recherches ?</t>
        </is>
      </c>
      <c r="D478" t="inlineStr">
        <is>
          <t>schema markup</t>
        </is>
      </c>
      <c r="E478" t="inlineStr">
        <is>
          <t>fr</t>
        </is>
      </c>
      <c r="F478" s="5" t="inlineStr"/>
      <c r="G478" t="n">
        <v>210</v>
      </c>
      <c r="H478" t="n">
        <v>12</v>
      </c>
      <c r="I478" t="inlineStr">
        <is>
          <t>Service scope</t>
        </is>
      </c>
      <c r="J478" t="inlineStr">
        <is>
          <t>MEASURED</t>
        </is>
      </c>
      <c r="K478">
        <f>ROUND(IF(ISNUMBER(G478),MIN(50,ROUND(50*LOG10(G478+1)/4,1)),5)+IF(ISNUMBER(H478),ROUND(30*(100-H478)/100,1),15)+IF(B478="New",20,10),0)</f>
        <v/>
      </c>
      <c r="L478" t="inlineStr">
        <is>
          <t>KEEP</t>
        </is>
      </c>
      <c r="M478" s="5" t="inlineStr">
        <is>
          <t>Relevant to page intent</t>
        </is>
      </c>
      <c r="N478" s="5" t="inlineStr">
        <is>
          <t>Le schema markup n'améliore pas directement le classement en tant que facteur de classement, mais il améliore significativement la visibilité et les taux de clics (CTR). En apparaissant comme extraits</t>
        </is>
      </c>
      <c r="O478" t="inlineStr">
        <is>
          <t>P3</t>
        </is>
      </c>
      <c r="P478" t="inlineStr">
        <is>
          <t>Visible only (no FAQPage schema)</t>
        </is>
      </c>
    </row>
    <row r="479">
      <c r="A479" s="3" t="inlineStr">
        <is>
          <t>https://codesommet.com/tools/schema-generator</t>
        </is>
      </c>
      <c r="B479" t="inlineStr">
        <is>
          <t>Existing</t>
        </is>
      </c>
      <c r="C479" s="5" t="inlineStr">
        <is>
          <t>Puis-je utiliser plusieurs types de schema sur la même page ?</t>
        </is>
      </c>
      <c r="D479" t="inlineStr">
        <is>
          <t>schema markup</t>
        </is>
      </c>
      <c r="E479" t="inlineStr">
        <is>
          <t>fr</t>
        </is>
      </c>
      <c r="F479" s="5" t="inlineStr"/>
      <c r="G479" t="n">
        <v>210</v>
      </c>
      <c r="H479" t="n">
        <v>12</v>
      </c>
      <c r="I479" t="inlineStr">
        <is>
          <t>Service scope</t>
        </is>
      </c>
      <c r="J479" t="inlineStr">
        <is>
          <t>MEASURED</t>
        </is>
      </c>
      <c r="K479">
        <f>ROUND(IF(ISNUMBER(G479),MIN(50,ROUND(50*LOG10(G479+1)/4,1)),5)+IF(ISNUMBER(H479),ROUND(30*(100-H479)/100,1),15)+IF(B479="New",20,10),0)</f>
        <v/>
      </c>
      <c r="L479" t="inlineStr">
        <is>
          <t>KEEP</t>
        </is>
      </c>
      <c r="M479" s="5" t="inlineStr">
        <is>
          <t>Relevant to page intent</t>
        </is>
      </c>
      <c r="N479" s="5" t="inlineStr">
        <is>
          <t xml:space="preserve">Oui ! C'est courant et recommandé d'utiliser plusieurs types de schema sur une seule page lorsque c'est approprié. Par exemple, une page de billet de blog pourrait inclure à la fois le schema Article </t>
        </is>
      </c>
      <c r="O479" t="inlineStr">
        <is>
          <t>P3</t>
        </is>
      </c>
      <c r="P479" t="inlineStr">
        <is>
          <t>Visible only (no FAQPage schema)</t>
        </is>
      </c>
    </row>
    <row r="480">
      <c r="A480" s="3" t="inlineStr">
        <is>
          <t>https://codesommet.com/tools/security-headers-checker</t>
        </is>
      </c>
      <c r="B480" t="inlineStr">
        <is>
          <t>Existing</t>
        </is>
      </c>
      <c r="C480" s="5" t="inlineStr">
        <is>
          <t>Les en-têtes de sécurité influencent-ils le référencement ?</t>
        </is>
      </c>
      <c r="D480" t="inlineStr">
        <is>
          <t>en-têtes de sécurité</t>
        </is>
      </c>
      <c r="E480" t="inlineStr">
        <is>
          <t>fr</t>
        </is>
      </c>
      <c r="F480" s="5" t="inlineStr"/>
      <c r="G480" t="inlineStr">
        <is>
          <t>NOT AVAILABLE</t>
        </is>
      </c>
      <c r="H480" t="inlineStr">
        <is>
          <t>NOT AVAILABLE</t>
        </is>
      </c>
      <c r="I480" t="inlineStr">
        <is>
          <t>SEO</t>
        </is>
      </c>
      <c r="J480" t="inlineStr">
        <is>
          <t>UNAVAILABLE</t>
        </is>
      </c>
      <c r="K480">
        <f>ROUND(IF(ISNUMBER(G480),MIN(50,ROUND(50*LOG10(G480+1)/4,1)),5)+IF(ISNUMBER(H480),ROUND(30*(100-H480)/100,1),15)+IF(B480="New",20,10),0)</f>
        <v/>
      </c>
      <c r="L480" t="inlineStr">
        <is>
          <t>KEEP</t>
        </is>
      </c>
      <c r="M480" s="5" t="inlineStr">
        <is>
          <t>Relevant to page intent</t>
        </is>
      </c>
      <c r="N480" s="5" t="inlineStr">
        <is>
          <t xml:space="preserve">Indirectement. HTTPS est un signal de classement, et HSTS garantit qu'il est utilisé. Un site compromis par XSS ou clickjacking peut être signalé comme dangereux par Google Safe Browsing, ce qui fait </t>
        </is>
      </c>
      <c r="O480" t="inlineStr">
        <is>
          <t>P3</t>
        </is>
      </c>
      <c r="P480" t="inlineStr">
        <is>
          <t>Visible only (no FAQPage schema)</t>
        </is>
      </c>
    </row>
    <row r="481">
      <c r="A481" s="3" t="inlineStr">
        <is>
          <t>https://codesommet.com/tools/security-headers-checker</t>
        </is>
      </c>
      <c r="B481" t="inlineStr">
        <is>
          <t>Existing</t>
        </is>
      </c>
      <c r="C481" s="5" t="inlineStr">
        <is>
          <t>Qu'est-ce que Strict-Transport-Security (HSTS) ?</t>
        </is>
      </c>
      <c r="D481" t="inlineStr">
        <is>
          <t>security headers</t>
        </is>
      </c>
      <c r="E481" t="inlineStr">
        <is>
          <t>fr</t>
        </is>
      </c>
      <c r="F481" s="5" t="inlineStr"/>
      <c r="G481" t="n">
        <v>480</v>
      </c>
      <c r="H481" t="n">
        <v>52</v>
      </c>
      <c r="I481" t="inlineStr">
        <is>
          <t>Compliance / security</t>
        </is>
      </c>
      <c r="J481" t="inlineStr">
        <is>
          <t>MEASURED</t>
        </is>
      </c>
      <c r="K481">
        <f>ROUND(IF(ISNUMBER(G481),MIN(50,ROUND(50*LOG10(G481+1)/4,1)),5)+IF(ISNUMBER(H481),ROUND(30*(100-H481)/100,1),15)+IF(B481="New",20,10),0)</f>
        <v/>
      </c>
      <c r="L481" t="inlineStr">
        <is>
          <t>KEEP</t>
        </is>
      </c>
      <c r="M481" s="5" t="inlineStr">
        <is>
          <t>Relevant to page intent</t>
        </is>
      </c>
      <c r="N481" s="5" t="inlineStr">
        <is>
          <t>Il indique au navigateur de n'utiliser que HTTPS pour ce domaine pendant une durée donnée. Sans lui, la première requête d'un visiteur peut partir en HTTP et être interceptée. Une durée d'un an (max-a</t>
        </is>
      </c>
      <c r="O481" t="inlineStr">
        <is>
          <t>P3</t>
        </is>
      </c>
      <c r="P481" t="inlineStr">
        <is>
          <t>Visible only (no FAQPage schema)</t>
        </is>
      </c>
    </row>
    <row r="482">
      <c r="A482" s="3" t="inlineStr">
        <is>
          <t>https://codesommet.com/tools/security-headers-checker</t>
        </is>
      </c>
      <c r="B482" t="inlineStr">
        <is>
          <t>Existing</t>
        </is>
      </c>
      <c r="C482" s="5" t="inlineStr">
        <is>
          <t>Comment déployer une Content-Security-Policy sans tout casser ?</t>
        </is>
      </c>
      <c r="D482" t="inlineStr">
        <is>
          <t>security headers</t>
        </is>
      </c>
      <c r="E482" t="inlineStr">
        <is>
          <t>fr</t>
        </is>
      </c>
      <c r="F482" s="5" t="inlineStr"/>
      <c r="G482" t="n">
        <v>480</v>
      </c>
      <c r="H482" t="n">
        <v>52</v>
      </c>
      <c r="I482" t="inlineStr">
        <is>
          <t>Compliance / security</t>
        </is>
      </c>
      <c r="J482" t="inlineStr">
        <is>
          <t>MEASURED</t>
        </is>
      </c>
      <c r="K482">
        <f>ROUND(IF(ISNUMBER(G482),MIN(50,ROUND(50*LOG10(G482+1)/4,1)),5)+IF(ISNUMBER(H482),ROUND(30*(100-H482)/100,1),15)+IF(B482="New",20,10),0)</f>
        <v/>
      </c>
      <c r="L482" t="inlineStr">
        <is>
          <t>KEEP</t>
        </is>
      </c>
      <c r="M482" s="5" t="inlineStr">
        <is>
          <t>Relevant to page intent</t>
        </is>
      </c>
      <c r="N482" s="5" t="inlineStr">
        <is>
          <t>Commencez en mode Content-Security-Policy-Report-Only avec un report-uri ou report-to : le navigateur signale les violations sans rien bloquer. Ajustez la politique jusqu'à l'absence de rapports, puis</t>
        </is>
      </c>
      <c r="O482" t="inlineStr">
        <is>
          <t>P3</t>
        </is>
      </c>
      <c r="P482" t="inlineStr">
        <is>
          <t>Visible only (no FAQPage schema)</t>
        </is>
      </c>
    </row>
    <row r="483">
      <c r="A483" s="3" t="inlineStr">
        <is>
          <t>https://codesommet.com/tools/security-headers-checker</t>
        </is>
      </c>
      <c r="B483" t="inlineStr">
        <is>
          <t>Existing</t>
        </is>
      </c>
      <c r="C483" s="5" t="inlineStr">
        <is>
          <t>X-Frame-Options ou frame-ancestors ?</t>
        </is>
      </c>
      <c r="D483" t="inlineStr">
        <is>
          <t>security headers</t>
        </is>
      </c>
      <c r="E483" t="inlineStr">
        <is>
          <t>fr</t>
        </is>
      </c>
      <c r="F483" s="5" t="inlineStr"/>
      <c r="G483" t="n">
        <v>480</v>
      </c>
      <c r="H483" t="n">
        <v>52</v>
      </c>
      <c r="I483" t="inlineStr">
        <is>
          <t>Service scope</t>
        </is>
      </c>
      <c r="J483" t="inlineStr">
        <is>
          <t>MEASURED</t>
        </is>
      </c>
      <c r="K483">
        <f>ROUND(IF(ISNUMBER(G483),MIN(50,ROUND(50*LOG10(G483+1)/4,1)),5)+IF(ISNUMBER(H483),ROUND(30*(100-H483)/100,1),15)+IF(B483="New",20,10),0)</f>
        <v/>
      </c>
      <c r="L483" t="inlineStr">
        <is>
          <t>KEEP</t>
        </is>
      </c>
      <c r="M483" s="5" t="inlineStr">
        <is>
          <t>Relevant to page intent</t>
        </is>
      </c>
      <c r="N483" s="5" t="inlineStr">
        <is>
          <t>Les deux protègent du clickjacking. frame-ancestors (dans la CSP) est le standard actuel et permet d'autoriser des domaines précis ; X-Frame-Options reste utile pour les anciens navigateurs. Les décla</t>
        </is>
      </c>
      <c r="O483" t="inlineStr">
        <is>
          <t>P3</t>
        </is>
      </c>
      <c r="P483" t="inlineStr">
        <is>
          <t>Visible only (no FAQPage schema)</t>
        </is>
      </c>
    </row>
    <row r="484">
      <c r="A484" s="3" t="inlineStr">
        <is>
          <t>https://codesommet.com/tools/security-headers-checker</t>
        </is>
      </c>
      <c r="B484" t="inlineStr">
        <is>
          <t>Existing</t>
        </is>
      </c>
      <c r="C484" s="5" t="inlineStr">
        <is>
          <t>Pourquoi signaler l'en-tête Server ou X-Powered-By ?</t>
        </is>
      </c>
      <c r="D484" t="inlineStr">
        <is>
          <t>security headers</t>
        </is>
      </c>
      <c r="E484" t="inlineStr">
        <is>
          <t>fr</t>
        </is>
      </c>
      <c r="F484" s="5" t="inlineStr"/>
      <c r="G484" t="n">
        <v>480</v>
      </c>
      <c r="H484" t="n">
        <v>52</v>
      </c>
      <c r="I484" t="inlineStr">
        <is>
          <t>Service scope</t>
        </is>
      </c>
      <c r="J484" t="inlineStr">
        <is>
          <t>MEASURED</t>
        </is>
      </c>
      <c r="K484">
        <f>ROUND(IF(ISNUMBER(G484),MIN(50,ROUND(50*LOG10(G484+1)/4,1)),5)+IF(ISNUMBER(H484),ROUND(30*(100-H484)/100,1),15)+IF(B484="New",20,10),0)</f>
        <v/>
      </c>
      <c r="L484" t="inlineStr">
        <is>
          <t>KEEP</t>
        </is>
      </c>
      <c r="M484" s="5" t="inlineStr">
        <is>
          <t>Relevant to page intent</t>
        </is>
      </c>
      <c r="N484" s="5" t="inlineStr">
        <is>
          <t>Ils révèlent le logiciel et sa version (nginx/1.18, PHP/8.1…), ce qui facilite la recherche de failles connues. Les masquer ne corrige rien mais réduit l'exposition.</t>
        </is>
      </c>
      <c r="O484" t="inlineStr">
        <is>
          <t>P3</t>
        </is>
      </c>
      <c r="P484" t="inlineStr">
        <is>
          <t>Visible only (no FAQPage schema)</t>
        </is>
      </c>
    </row>
    <row r="485">
      <c r="A485" s="3" t="inlineStr">
        <is>
          <t>https://codesommet.com/tools/security-headers-checker</t>
        </is>
      </c>
      <c r="B485" t="inlineStr">
        <is>
          <t>Existing</t>
        </is>
      </c>
      <c r="C485" s="5" t="inlineStr">
        <is>
          <t>La note s'applique-t-elle à tout le site ?</t>
        </is>
      </c>
      <c r="D485" t="inlineStr">
        <is>
          <t>security headers</t>
        </is>
      </c>
      <c r="E485" t="inlineStr">
        <is>
          <t>fr</t>
        </is>
      </c>
      <c r="F485" s="5" t="inlineStr"/>
      <c r="G485" t="n">
        <v>480</v>
      </c>
      <c r="H485" t="n">
        <v>52</v>
      </c>
      <c r="I485" t="inlineStr">
        <is>
          <t>Service scope</t>
        </is>
      </c>
      <c r="J485" t="inlineStr">
        <is>
          <t>MEASURED</t>
        </is>
      </c>
      <c r="K485">
        <f>ROUND(IF(ISNUMBER(G485),MIN(50,ROUND(50*LOG10(G485+1)/4,1)),5)+IF(ISNUMBER(H485),ROUND(30*(100-H485)/100,1),15)+IF(B485="New",20,10),0)</f>
        <v/>
      </c>
      <c r="L485" t="inlineStr">
        <is>
          <t>KEEP</t>
        </is>
      </c>
      <c r="M485" s="5" t="inlineStr">
        <is>
          <t>Relevant to page intent</t>
        </is>
      </c>
      <c r="N485" s="5" t="inlineStr">
        <is>
          <t>Non, à la page testée. Les en-têtes sont souvent définis globalement, mais un CDN, un sous-dossier ou une application peuvent les modifier. Testez les pages types : accueil, connexion, API, pages serv</t>
        </is>
      </c>
      <c r="O485" t="inlineStr">
        <is>
          <t>P3</t>
        </is>
      </c>
      <c r="P485" t="inlineStr">
        <is>
          <t>Visible only (no FAQPage schema)</t>
        </is>
      </c>
    </row>
    <row r="486">
      <c r="A486" s="3" t="inlineStr">
        <is>
          <t>https://codesommet.com/tools/serp-snippet-preview</t>
        </is>
      </c>
      <c r="B486" t="inlineStr">
        <is>
          <t>Existing</t>
        </is>
      </c>
      <c r="C486" s="5" t="inlineStr">
        <is>
          <t>Pourquoi mesurer en pixels plutôt qu'en caractères ?</t>
        </is>
      </c>
      <c r="D486" t="inlineStr">
        <is>
          <t>simulateur serp</t>
        </is>
      </c>
      <c r="E486" t="inlineStr">
        <is>
          <t>fr</t>
        </is>
      </c>
      <c r="F486" s="5" t="inlineStr"/>
      <c r="G486" t="n">
        <v>260</v>
      </c>
      <c r="H486" t="n">
        <v>11</v>
      </c>
      <c r="I486" t="inlineStr">
        <is>
          <t>Service scope</t>
        </is>
      </c>
      <c r="J486" t="inlineStr">
        <is>
          <t>MEASURED</t>
        </is>
      </c>
      <c r="K486">
        <f>ROUND(IF(ISNUMBER(G486),MIN(50,ROUND(50*LOG10(G486+1)/4,1)),5)+IF(ISNUMBER(H486),ROUND(30*(100-H486)/100,1),15)+IF(B486="New",20,10),0)</f>
        <v/>
      </c>
      <c r="L486" t="inlineStr">
        <is>
          <t>KEEP</t>
        </is>
      </c>
      <c r="M486" s="5" t="inlineStr">
        <is>
          <t>Relevant to page intent</t>
        </is>
      </c>
      <c r="N486" s="5" t="inlineStr">
        <is>
          <t>Google tronque les titres et descriptions selon leur largeur à l'écran, pas selon leur nombre de caractères. Un titre plein de « W » et de majuscules est coupé bien avant 60 caractères, alors qu'un ti</t>
        </is>
      </c>
      <c r="O486" t="inlineStr">
        <is>
          <t>P3</t>
        </is>
      </c>
      <c r="P486" t="inlineStr">
        <is>
          <t>Visible only (no FAQPage schema)</t>
        </is>
      </c>
    </row>
    <row r="487">
      <c r="A487" s="3" t="inlineStr">
        <is>
          <t>https://codesommet.com/tools/serp-snippet-preview</t>
        </is>
      </c>
      <c r="B487" t="inlineStr">
        <is>
          <t>Existing</t>
        </is>
      </c>
      <c r="C487" s="5" t="inlineStr">
        <is>
          <t>Quelles sont les limites utilisées ?</t>
        </is>
      </c>
      <c r="D487" t="inlineStr">
        <is>
          <t>simulateur serp</t>
        </is>
      </c>
      <c r="E487" t="inlineStr">
        <is>
          <t>fr</t>
        </is>
      </c>
      <c r="F487" s="5" t="inlineStr"/>
      <c r="G487" t="n">
        <v>260</v>
      </c>
      <c r="H487" t="n">
        <v>11</v>
      </c>
      <c r="I487" t="inlineStr">
        <is>
          <t>Service scope</t>
        </is>
      </c>
      <c r="J487" t="inlineStr">
        <is>
          <t>MEASURED</t>
        </is>
      </c>
      <c r="K487">
        <f>ROUND(IF(ISNUMBER(G487),MIN(50,ROUND(50*LOG10(G487+1)/4,1)),5)+IF(ISNUMBER(H487),ROUND(30*(100-H487)/100,1),15)+IF(B487="New",20,10),0)</f>
        <v/>
      </c>
      <c r="L487" t="inlineStr">
        <is>
          <t>KEEP</t>
        </is>
      </c>
      <c r="M487" s="5" t="inlineStr">
        <is>
          <t>Relevant to page intent</t>
        </is>
      </c>
      <c r="N487" s="5" t="inlineStr">
        <is>
          <t>Sur ordinateur, le titre dispose d'environ 580 px sur une ligne et la description d'environ 990 px sur deux lignes. Sur mobile, le titre peut occuper deux lignes (environ 920 px) et la description tro</t>
        </is>
      </c>
      <c r="O487" t="inlineStr">
        <is>
          <t>P3</t>
        </is>
      </c>
      <c r="P487" t="inlineStr">
        <is>
          <t>Visible only (no FAQPage schema)</t>
        </is>
      </c>
    </row>
    <row r="488">
      <c r="A488" s="3" t="inlineStr">
        <is>
          <t>https://codesommet.com/tools/serp-snippet-preview</t>
        </is>
      </c>
      <c r="B488" t="inlineStr">
        <is>
          <t>Existing</t>
        </is>
      </c>
      <c r="C488" s="5" t="inlineStr">
        <is>
          <t>Google réécrit-il mes titres ?</t>
        </is>
      </c>
      <c r="D488" t="inlineStr">
        <is>
          <t>simulateur google</t>
        </is>
      </c>
      <c r="E488" t="inlineStr">
        <is>
          <t>fr</t>
        </is>
      </c>
      <c r="F488" s="5" t="inlineStr"/>
      <c r="G488" t="n">
        <v>20</v>
      </c>
      <c r="H488" t="inlineStr">
        <is>
          <t>NOT AVAILABLE</t>
        </is>
      </c>
      <c r="I488" t="inlineStr">
        <is>
          <t>SEO</t>
        </is>
      </c>
      <c r="J488" t="inlineStr">
        <is>
          <t>MEASURED</t>
        </is>
      </c>
      <c r="K488">
        <f>ROUND(IF(ISNUMBER(G488),MIN(50,ROUND(50*LOG10(G488+1)/4,1)),5)+IF(ISNUMBER(H488),ROUND(30*(100-H488)/100,1),15)+IF(B488="New",20,10),0)</f>
        <v/>
      </c>
      <c r="L488" t="inlineStr">
        <is>
          <t>KEEP</t>
        </is>
      </c>
      <c r="M488" s="5" t="inlineStr">
        <is>
          <t>Relevant to page intent</t>
        </is>
      </c>
      <c r="N488" s="5" t="inlineStr">
        <is>
          <t>Oui, dans une part notable des cas : quand le titre est trop long, bourré de mots-clés, identique sur plusieurs pages ou éloigné du H1. Un titre court, descriptif et cohérent avec le H1 a le plus de c</t>
        </is>
      </c>
      <c r="O488" t="inlineStr">
        <is>
          <t>P3</t>
        </is>
      </c>
      <c r="P488" t="inlineStr">
        <is>
          <t>Visible only (no FAQPage schema)</t>
        </is>
      </c>
    </row>
    <row r="489">
      <c r="A489" s="3" t="inlineStr">
        <is>
          <t>https://codesommet.com/tools/serp-snippet-preview</t>
        </is>
      </c>
      <c r="B489" t="inlineStr">
        <is>
          <t>Existing</t>
        </is>
      </c>
      <c r="C489" s="5" t="inlineStr">
        <is>
          <t>La meta description influence-t-elle le classement ?</t>
        </is>
      </c>
      <c r="D489" t="inlineStr">
        <is>
          <t>simulateur serp</t>
        </is>
      </c>
      <c r="E489" t="inlineStr">
        <is>
          <t>fr</t>
        </is>
      </c>
      <c r="F489" s="5" t="inlineStr"/>
      <c r="G489" t="n">
        <v>260</v>
      </c>
      <c r="H489" t="n">
        <v>11</v>
      </c>
      <c r="I489" t="inlineStr">
        <is>
          <t>Service scope</t>
        </is>
      </c>
      <c r="J489" t="inlineStr">
        <is>
          <t>MEASURED</t>
        </is>
      </c>
      <c r="K489">
        <f>ROUND(IF(ISNUMBER(G489),MIN(50,ROUND(50*LOG10(G489+1)/4,1)),5)+IF(ISNUMBER(H489),ROUND(30*(100-H489)/100,1),15)+IF(B489="New",20,10),0)</f>
        <v/>
      </c>
      <c r="L489" t="inlineStr">
        <is>
          <t>KEEP</t>
        </is>
      </c>
      <c r="M489" s="5" t="inlineStr">
        <is>
          <t>Relevant to page intent</t>
        </is>
      </c>
      <c r="N489" s="5" t="inlineStr">
        <is>
          <t>Non directement. Elle influence le taux de clic : une description claire, qui reprend l'intention de recherche et contient le mot-clé (affiché en gras), attire plus de clics à position égale. Google p</t>
        </is>
      </c>
      <c r="O489" t="inlineStr">
        <is>
          <t>P3</t>
        </is>
      </c>
      <c r="P489" t="inlineStr">
        <is>
          <t>Visible only (no FAQPage schema)</t>
        </is>
      </c>
    </row>
    <row r="490">
      <c r="A490" s="3" t="inlineStr">
        <is>
          <t>https://codesommet.com/tools/serp-snippet-preview</t>
        </is>
      </c>
      <c r="B490" t="inlineStr">
        <is>
          <t>Existing</t>
        </is>
      </c>
      <c r="C490" s="5" t="inlineStr">
        <is>
          <t>Que signifie l'aperçu en mode sombre ?</t>
        </is>
      </c>
      <c r="D490" t="inlineStr">
        <is>
          <t>aperçu serp</t>
        </is>
      </c>
      <c r="E490" t="inlineStr">
        <is>
          <t>fr</t>
        </is>
      </c>
      <c r="F490" s="5" t="inlineStr"/>
      <c r="G490" t="inlineStr">
        <is>
          <t>NOT AVAILABLE</t>
        </is>
      </c>
      <c r="H490" t="inlineStr">
        <is>
          <t>NOT AVAILABLE</t>
        </is>
      </c>
      <c r="I490" t="inlineStr">
        <is>
          <t>Service scope</t>
        </is>
      </c>
      <c r="J490" t="inlineStr">
        <is>
          <t>UNAVAILABLE</t>
        </is>
      </c>
      <c r="K490">
        <f>ROUND(IF(ISNUMBER(G490),MIN(50,ROUND(50*LOG10(G490+1)/4,1)),5)+IF(ISNUMBER(H490),ROUND(30*(100-H490)/100,1),15)+IF(B490="New",20,10),0)</f>
        <v/>
      </c>
      <c r="L490" t="inlineStr">
        <is>
          <t>KEEP</t>
        </is>
      </c>
      <c r="M490" s="5" t="inlineStr">
        <is>
          <t>Relevant to page intent</t>
        </is>
      </c>
      <c r="N490" s="5" t="inlineStr">
        <is>
          <t>Google affiche les résultats en thème sombre pour les utilisateurs qui l'ont activé. Les couleurs changent mais pas les largeurs : l'aperçu sombre sert surtout à vérifier le rendu visuel de votre extr</t>
        </is>
      </c>
      <c r="O490" t="inlineStr">
        <is>
          <t>P3</t>
        </is>
      </c>
      <c r="P490" t="inlineStr">
        <is>
          <t>Visible only (no FAQPage schema)</t>
        </is>
      </c>
    </row>
    <row r="491">
      <c r="A491" s="3" t="inlineStr">
        <is>
          <t>https://codesommet.com/tools/serp-snippet-preview</t>
        </is>
      </c>
      <c r="B491" t="inlineStr">
        <is>
          <t>Existing</t>
        </is>
      </c>
      <c r="C491" s="5" t="inlineStr">
        <is>
          <t>L'outil enregistre-t-il mes textes ?</t>
        </is>
      </c>
      <c r="D491" t="inlineStr">
        <is>
          <t>simulateur serp</t>
        </is>
      </c>
      <c r="E491" t="inlineStr">
        <is>
          <t>fr</t>
        </is>
      </c>
      <c r="F491" s="5" t="inlineStr"/>
      <c r="G491" t="n">
        <v>260</v>
      </c>
      <c r="H491" t="n">
        <v>11</v>
      </c>
      <c r="I491" t="inlineStr">
        <is>
          <t>Service scope</t>
        </is>
      </c>
      <c r="J491" t="inlineStr">
        <is>
          <t>MEASURED</t>
        </is>
      </c>
      <c r="K491">
        <f>ROUND(IF(ISNUMBER(G491),MIN(50,ROUND(50*LOG10(G491+1)/4,1)),5)+IF(ISNUMBER(H491),ROUND(30*(100-H491)/100,1),15)+IF(B491="New",20,10),0)</f>
        <v/>
      </c>
      <c r="L491" t="inlineStr">
        <is>
          <t>KEEP</t>
        </is>
      </c>
      <c r="M491" s="5" t="inlineStr">
        <is>
          <t>Relevant to page intent</t>
        </is>
      </c>
      <c r="N491" s="5" t="inlineStr">
        <is>
          <t>Non. L'aperçu et les mesures sont calculés dans votre navigateur. Seule la récupération depuis une URL passe par nos serveurs, qui ne conservent pas la page.</t>
        </is>
      </c>
      <c r="O491" t="inlineStr">
        <is>
          <t>P3</t>
        </is>
      </c>
      <c r="P491" t="inlineStr">
        <is>
          <t>Visible only (no FAQPage schema)</t>
        </is>
      </c>
    </row>
    <row r="492">
      <c r="A492" s="3" t="inlineStr">
        <is>
          <t>https://codesommet.com/tools/sitemap-url-extractor</t>
        </is>
      </c>
      <c r="B492" t="inlineStr">
        <is>
          <t>Existing</t>
        </is>
      </c>
      <c r="C492" s="5" t="inlineStr">
        <is>
          <t>À quoi sert d'extraire les URL d'un sitemap ?</t>
        </is>
      </c>
      <c r="D492" t="inlineStr">
        <is>
          <t>extraire url sitemap</t>
        </is>
      </c>
      <c r="E492" t="inlineStr">
        <is>
          <t>fr</t>
        </is>
      </c>
      <c r="F492" s="5" t="inlineStr"/>
      <c r="G492" t="inlineStr">
        <is>
          <t>NOT AVAILABLE</t>
        </is>
      </c>
      <c r="H492" t="inlineStr">
        <is>
          <t>NOT AVAILABLE</t>
        </is>
      </c>
      <c r="I492" t="inlineStr">
        <is>
          <t>Definition / how it works</t>
        </is>
      </c>
      <c r="J492" t="inlineStr">
        <is>
          <t>UNAVAILABLE</t>
        </is>
      </c>
      <c r="K492">
        <f>ROUND(IF(ISNUMBER(G492),MIN(50,ROUND(50*LOG10(G492+1)/4,1)),5)+IF(ISNUMBER(H492),ROUND(30*(100-H492)/100,1),15)+IF(B492="New",20,10),0)</f>
        <v/>
      </c>
      <c r="L492" t="inlineStr">
        <is>
          <t>KEEP</t>
        </is>
      </c>
      <c r="M492" s="5" t="inlineStr">
        <is>
          <t>Relevant to page intent</t>
        </is>
      </c>
      <c r="N492" s="5" t="inlineStr">
        <is>
          <t>À confronter ce que vous déclarez à Google avec ce qui existe vraiment : pages orphelines (dans le sitemap mais sans lien interne), pages absentes du sitemap, URL non canoniques, sections oubliées. C'</t>
        </is>
      </c>
      <c r="O492" t="inlineStr">
        <is>
          <t>P3</t>
        </is>
      </c>
      <c r="P492" t="inlineStr">
        <is>
          <t>Visible only (no FAQPage schema)</t>
        </is>
      </c>
    </row>
    <row r="493">
      <c r="A493" s="3" t="inlineStr">
        <is>
          <t>https://codesommet.com/tools/sitemap-url-extractor</t>
        </is>
      </c>
      <c r="B493" t="inlineStr">
        <is>
          <t>Existing</t>
        </is>
      </c>
      <c r="C493" s="5" t="inlineStr">
        <is>
          <t>Quelles sont les limites d'un sitemap ?</t>
        </is>
      </c>
      <c r="D493" t="inlineStr">
        <is>
          <t>sitemap url extractor</t>
        </is>
      </c>
      <c r="E493" t="inlineStr">
        <is>
          <t>fr</t>
        </is>
      </c>
      <c r="F493" s="5" t="inlineStr"/>
      <c r="G493" t="n">
        <v>10</v>
      </c>
      <c r="H493" t="inlineStr">
        <is>
          <t>NOT AVAILABLE</t>
        </is>
      </c>
      <c r="I493" t="inlineStr">
        <is>
          <t>Service scope</t>
        </is>
      </c>
      <c r="J493" t="inlineStr">
        <is>
          <t>MEASURED</t>
        </is>
      </c>
      <c r="K493">
        <f>ROUND(IF(ISNUMBER(G493),MIN(50,ROUND(50*LOG10(G493+1)/4,1)),5)+IF(ISNUMBER(H493),ROUND(30*(100-H493)/100,1),15)+IF(B493="New",20,10),0)</f>
        <v/>
      </c>
      <c r="L493" t="inlineStr">
        <is>
          <t>KEEP</t>
        </is>
      </c>
      <c r="M493" s="5" t="inlineStr">
        <is>
          <t>Relevant to page intent</t>
        </is>
      </c>
      <c r="N493" s="5" t="inlineStr">
        <is>
          <t>50 000 URL et 50 Mo (non compressé) par fichier. Au-delà, utilisez un index de sitemaps qui pointe vers plusieurs fichiers. L'outil lit jusqu'à 25 fichiers et 10 000 URL par analyse.</t>
        </is>
      </c>
      <c r="O493" t="inlineStr">
        <is>
          <t>P3</t>
        </is>
      </c>
      <c r="P493" t="inlineStr">
        <is>
          <t>Visible only (no FAQPage schema)</t>
        </is>
      </c>
    </row>
    <row r="494">
      <c r="A494" s="3" t="inlineStr">
        <is>
          <t>https://codesommet.com/tools/sitemap-url-extractor</t>
        </is>
      </c>
      <c r="B494" t="inlineStr">
        <is>
          <t>Existing</t>
        </is>
      </c>
      <c r="C494" s="5" t="inlineStr">
        <is>
          <t>Le lastmod est-il important ?</t>
        </is>
      </c>
      <c r="D494" t="inlineStr">
        <is>
          <t>sitemap url extractor</t>
        </is>
      </c>
      <c r="E494" t="inlineStr">
        <is>
          <t>fr</t>
        </is>
      </c>
      <c r="F494" s="5" t="inlineStr"/>
      <c r="G494" t="n">
        <v>10</v>
      </c>
      <c r="H494" t="inlineStr">
        <is>
          <t>NOT AVAILABLE</t>
        </is>
      </c>
      <c r="I494" t="inlineStr">
        <is>
          <t>Service scope</t>
        </is>
      </c>
      <c r="J494" t="inlineStr">
        <is>
          <t>MEASURED</t>
        </is>
      </c>
      <c r="K494">
        <f>ROUND(IF(ISNUMBER(G494),MIN(50,ROUND(50*LOG10(G494+1)/4,1)),5)+IF(ISNUMBER(H494),ROUND(30*(100-H494)/100,1),15)+IF(B494="New",20,10),0)</f>
        <v/>
      </c>
      <c r="L494" t="inlineStr">
        <is>
          <t>KEEP</t>
        </is>
      </c>
      <c r="M494" s="5" t="inlineStr">
        <is>
          <t>Relevant to page intent</t>
        </is>
      </c>
      <c r="N494" s="5" t="inlineStr">
        <is>
          <t>Google l'utilise pour prioriser l'exploration, à condition qu'il soit fiable : s'il est identique sur toutes les pages ou mis à jour sans changement réel, il est ignoré. Changefreq et priority ne sont</t>
        </is>
      </c>
      <c r="O494" t="inlineStr">
        <is>
          <t>P3</t>
        </is>
      </c>
      <c r="P494" t="inlineStr">
        <is>
          <t>Visible only (no FAQPage schema)</t>
        </is>
      </c>
    </row>
    <row r="495">
      <c r="A495" s="3" t="inlineStr">
        <is>
          <t>https://codesommet.com/tools/sitemap-url-extractor</t>
        </is>
      </c>
      <c r="B495" t="inlineStr">
        <is>
          <t>Existing</t>
        </is>
      </c>
      <c r="C495" s="5" t="inlineStr">
        <is>
          <t>Pourquoi signaler les URL d'un autre hôte ?</t>
        </is>
      </c>
      <c r="D495" t="inlineStr">
        <is>
          <t>sitemap url extractor</t>
        </is>
      </c>
      <c r="E495" t="inlineStr">
        <is>
          <t>fr</t>
        </is>
      </c>
      <c r="F495" s="5" t="inlineStr"/>
      <c r="G495" t="n">
        <v>10</v>
      </c>
      <c r="H495" t="inlineStr">
        <is>
          <t>NOT AVAILABLE</t>
        </is>
      </c>
      <c r="I495" t="inlineStr">
        <is>
          <t>Service scope</t>
        </is>
      </c>
      <c r="J495" t="inlineStr">
        <is>
          <t>MEASURED</t>
        </is>
      </c>
      <c r="K495">
        <f>ROUND(IF(ISNUMBER(G495),MIN(50,ROUND(50*LOG10(G495+1)/4,1)),5)+IF(ISNUMBER(H495),ROUND(30*(100-H495)/100,1),15)+IF(B495="New",20,10),0)</f>
        <v/>
      </c>
      <c r="L495" t="inlineStr">
        <is>
          <t>KEEP</t>
        </is>
      </c>
      <c r="M495" s="5" t="inlineStr">
        <is>
          <t>Relevant to page intent</t>
        </is>
      </c>
      <c r="N495" s="5" t="inlineStr">
        <is>
          <t>Un sitemap ne peut lister que les URL de l'hôte qui le sert (www.example.com et example.com sont deux hôtes). Les autres sont ignorées, sauf validation croisée dans la Search Console.</t>
        </is>
      </c>
      <c r="O495" t="inlineStr">
        <is>
          <t>P3</t>
        </is>
      </c>
      <c r="P495" t="inlineStr">
        <is>
          <t>Visible only (no FAQPage schema)</t>
        </is>
      </c>
    </row>
    <row r="496">
      <c r="A496" s="3" t="inlineStr">
        <is>
          <t>https://codesommet.com/tools/sitemap-url-extractor</t>
        </is>
      </c>
      <c r="B496" t="inlineStr">
        <is>
          <t>Existing</t>
        </is>
      </c>
      <c r="C496" s="5" t="inlineStr">
        <is>
          <t>Un sitemap suffit-il à faire indexer mes pages ?</t>
        </is>
      </c>
      <c r="D496" t="inlineStr">
        <is>
          <t>sitemap url extractor</t>
        </is>
      </c>
      <c r="E496" t="inlineStr">
        <is>
          <t>fr</t>
        </is>
      </c>
      <c r="F496" s="5" t="inlineStr"/>
      <c r="G496" t="n">
        <v>10</v>
      </c>
      <c r="H496" t="inlineStr">
        <is>
          <t>NOT AVAILABLE</t>
        </is>
      </c>
      <c r="I496" t="inlineStr">
        <is>
          <t>Service scope</t>
        </is>
      </c>
      <c r="J496" t="inlineStr">
        <is>
          <t>MEASURED</t>
        </is>
      </c>
      <c r="K496">
        <f>ROUND(IF(ISNUMBER(G496),MIN(50,ROUND(50*LOG10(G496+1)/4,1)),5)+IF(ISNUMBER(H496),ROUND(30*(100-H496)/100,1),15)+IF(B496="New",20,10),0)</f>
        <v/>
      </c>
      <c r="L496" t="inlineStr">
        <is>
          <t>KEEP</t>
        </is>
      </c>
      <c r="M496" s="5" t="inlineStr">
        <is>
          <t>Relevant to page intent</t>
        </is>
      </c>
      <c r="N496" s="5" t="inlineStr">
        <is>
          <t xml:space="preserve">Non. Il aide à la découverte, mais l'indexation dépend de la qualité de la page, de son maillage interne et de ses directives (canonical, noindex). Une page présente seulement dans le sitemap et sans </t>
        </is>
      </c>
      <c r="O496" t="inlineStr">
        <is>
          <t>P3</t>
        </is>
      </c>
      <c r="P496" t="inlineStr">
        <is>
          <t>Visible only (no FAQPage schema)</t>
        </is>
      </c>
    </row>
    <row r="497">
      <c r="A497" s="3" t="inlineStr">
        <is>
          <t>https://codesommet.com/tools/sitemap-url-extractor</t>
        </is>
      </c>
      <c r="B497" t="inlineStr">
        <is>
          <t>Existing</t>
        </is>
      </c>
      <c r="C497" s="5" t="inlineStr">
        <is>
          <t>L'outil lit-il les sitemaps d'images, de vidéos et d'actualités ?</t>
        </is>
      </c>
      <c r="D497" t="inlineStr">
        <is>
          <t>sitemap url extractor</t>
        </is>
      </c>
      <c r="E497" t="inlineStr">
        <is>
          <t>fr</t>
        </is>
      </c>
      <c r="F497" s="5" t="inlineStr"/>
      <c r="G497" t="n">
        <v>10</v>
      </c>
      <c r="H497" t="inlineStr">
        <is>
          <t>NOT AVAILABLE</t>
        </is>
      </c>
      <c r="I497" t="inlineStr">
        <is>
          <t>Service scope</t>
        </is>
      </c>
      <c r="J497" t="inlineStr">
        <is>
          <t>MEASURED</t>
        </is>
      </c>
      <c r="K497">
        <f>ROUND(IF(ISNUMBER(G497),MIN(50,ROUND(50*LOG10(G497+1)/4,1)),5)+IF(ISNUMBER(H497),ROUND(30*(100-H497)/100,1),15)+IF(B497="New",20,10),0)</f>
        <v/>
      </c>
      <c r="L497" t="inlineStr">
        <is>
          <t>KEEP</t>
        </is>
      </c>
      <c r="M497" s="5" t="inlineStr">
        <is>
          <t>Relevant to page intent</t>
        </is>
      </c>
      <c r="N497" s="5" t="inlineStr">
        <is>
          <t>Il compte les images déclarées par URL (balises image:image). Les extensions vidéo et actualités sont tolérées mais leurs champs spécifiques ne sont pas extraits.</t>
        </is>
      </c>
      <c r="O497" t="inlineStr">
        <is>
          <t>P3</t>
        </is>
      </c>
      <c r="P497" t="inlineStr">
        <is>
          <t>Visible only (no FAQPage schema)</t>
        </is>
      </c>
    </row>
    <row r="498">
      <c r="A498" s="3" t="inlineStr">
        <is>
          <t>https://codesommet.com/tools/sitemap-validator</t>
        </is>
      </c>
      <c r="B498" t="inlineStr">
        <is>
          <t>Existing</t>
        </is>
      </c>
      <c r="C498" s="5" t="inlineStr">
        <is>
          <t>Que vérifie la validation de sitemap ?</t>
        </is>
      </c>
      <c r="D498" t="inlineStr">
        <is>
          <t>sitemap validator</t>
        </is>
      </c>
      <c r="E498" t="inlineStr">
        <is>
          <t>fr</t>
        </is>
      </c>
      <c r="F498" s="5" t="inlineStr"/>
      <c r="G498" t="n">
        <v>70</v>
      </c>
      <c r="H498" t="n">
        <v>31</v>
      </c>
      <c r="I498" t="inlineStr">
        <is>
          <t>Service scope</t>
        </is>
      </c>
      <c r="J498" t="inlineStr">
        <is>
          <t>MEASURED</t>
        </is>
      </c>
      <c r="K498">
        <f>ROUND(IF(ISNUMBER(G498),MIN(50,ROUND(50*LOG10(G498+1)/4,1)),5)+IF(ISNUMBER(H498),ROUND(30*(100-H498)/100,1),15)+IF(B498="New",20,10),0)</f>
        <v/>
      </c>
      <c r="L498" t="inlineStr">
        <is>
          <t>KEEP</t>
        </is>
      </c>
      <c r="M498" s="5" t="inlineStr">
        <is>
          <t>Relevant to page intent</t>
        </is>
      </c>
      <c r="N498" s="5" t="inlineStr">
        <is>
          <t>Notre validateur vérifie la structure XML de votre sitemap, le nombre d'URL (max 50 000), la taille du fichier (max 50 Mo non compressé), l'accessibilité et s'il est déclaré dans robots.txt. Nous anal</t>
        </is>
      </c>
      <c r="O498" t="inlineStr">
        <is>
          <t>P3</t>
        </is>
      </c>
      <c r="P498" t="inlineStr">
        <is>
          <t>Visible only (no FAQPage schema)</t>
        </is>
      </c>
    </row>
    <row r="499">
      <c r="A499" s="3" t="inlineStr">
        <is>
          <t>https://codesommet.com/tools/sitemap-validator</t>
        </is>
      </c>
      <c r="B499" t="inlineStr">
        <is>
          <t>Existing</t>
        </is>
      </c>
      <c r="C499" s="5" t="inlineStr">
        <is>
          <t>Quelles sont les erreurs de sitemap les plus courantes ?</t>
        </is>
      </c>
      <c r="D499" t="inlineStr">
        <is>
          <t>sitemap validator</t>
        </is>
      </c>
      <c r="E499" t="inlineStr">
        <is>
          <t>fr</t>
        </is>
      </c>
      <c r="F499" s="5" t="inlineStr"/>
      <c r="G499" t="n">
        <v>70</v>
      </c>
      <c r="H499" t="n">
        <v>31</v>
      </c>
      <c r="I499" t="inlineStr">
        <is>
          <t>Service scope</t>
        </is>
      </c>
      <c r="J499" t="inlineStr">
        <is>
          <t>MEASURED</t>
        </is>
      </c>
      <c r="K499">
        <f>ROUND(IF(ISNUMBER(G499),MIN(50,ROUND(50*LOG10(G499+1)/4,1)),5)+IF(ISNUMBER(H499),ROUND(30*(100-H499)/100,1),15)+IF(B499="New",20,10),0)</f>
        <v/>
      </c>
      <c r="L499" t="inlineStr">
        <is>
          <t>KEEP</t>
        </is>
      </c>
      <c r="M499" s="5" t="inlineStr">
        <is>
          <t>Relevant to page intent</t>
        </is>
      </c>
      <c r="N499" s="5" t="inlineStr">
        <is>
          <t>Les erreurs courantes incluent le dépassement de la limite de 50 000 URL, un formatage XML incorrect, des déclarations d'espace de noms manquantes, l'inclusion d'URL non canoniques (redirections, doub</t>
        </is>
      </c>
      <c r="O499" t="inlineStr">
        <is>
          <t>P3</t>
        </is>
      </c>
      <c r="P499" t="inlineStr">
        <is>
          <t>Visible only (no FAQPage schema)</t>
        </is>
      </c>
    </row>
    <row r="500">
      <c r="A500" s="3" t="inlineStr">
        <is>
          <t>https://codesommet.com/tools/sitemap-validator</t>
        </is>
      </c>
      <c r="B500" t="inlineStr">
        <is>
          <t>Existing</t>
        </is>
      </c>
      <c r="C500" s="5" t="inlineStr">
        <is>
          <t>Comment corriger les erreurs de validation trouvées par cet outil ?</t>
        </is>
      </c>
      <c r="D500" t="inlineStr">
        <is>
          <t>sitemap validator</t>
        </is>
      </c>
      <c r="E500" t="inlineStr">
        <is>
          <t>fr</t>
        </is>
      </c>
      <c r="F500" s="5" t="inlineStr"/>
      <c r="G500" t="n">
        <v>70</v>
      </c>
      <c r="H500" t="n">
        <v>31</v>
      </c>
      <c r="I500" t="inlineStr">
        <is>
          <t>Service scope</t>
        </is>
      </c>
      <c r="J500" t="inlineStr">
        <is>
          <t>MEASURED</t>
        </is>
      </c>
      <c r="K500">
        <f>ROUND(IF(ISNUMBER(G500),MIN(50,ROUND(50*LOG10(G500+1)/4,1)),5)+IF(ISNUMBER(H500),ROUND(30*(100-H500)/100,1),15)+IF(B500="New",20,10),0)</f>
        <v/>
      </c>
      <c r="L500" t="inlineStr">
        <is>
          <t>KEEP</t>
        </is>
      </c>
      <c r="M500" s="5" t="inlineStr">
        <is>
          <t>Relevant to page intent</t>
        </is>
      </c>
      <c r="N500" s="5" t="inlineStr">
        <is>
          <t>Traitez les problèmes par ordre de gravité : les erreurs critiques (formatage XML, structure d'URL) doivent être corrigées immédiatement, tandis que les avertissements (dates lastmod manquantes, pas d</t>
        </is>
      </c>
      <c r="O500" t="inlineStr">
        <is>
          <t>P3</t>
        </is>
      </c>
      <c r="P500" t="inlineStr">
        <is>
          <t>Visible only (no FAQPage schema)</t>
        </is>
      </c>
    </row>
    <row r="501">
      <c r="A501" s="3" t="inlineStr">
        <is>
          <t>https://codesommet.com/tools/sitemap-validator</t>
        </is>
      </c>
      <c r="B501" t="inlineStr">
        <is>
          <t>Existing</t>
        </is>
      </c>
      <c r="C501" s="5" t="inlineStr">
        <is>
          <t>Que sont les fichiers d'index de sitemap et quand les utiliser ?</t>
        </is>
      </c>
      <c r="D501" t="inlineStr">
        <is>
          <t>sitemap validator</t>
        </is>
      </c>
      <c r="E501" t="inlineStr">
        <is>
          <t>fr</t>
        </is>
      </c>
      <c r="F501" s="5" t="inlineStr"/>
      <c r="G501" t="n">
        <v>70</v>
      </c>
      <c r="H501" t="n">
        <v>31</v>
      </c>
      <c r="I501" t="inlineStr">
        <is>
          <t>Timeline</t>
        </is>
      </c>
      <c r="J501" t="inlineStr">
        <is>
          <t>MEASURED</t>
        </is>
      </c>
      <c r="K501">
        <f>ROUND(IF(ISNUMBER(G501),MIN(50,ROUND(50*LOG10(G501+1)/4,1)),5)+IF(ISNUMBER(H501),ROUND(30*(100-H501)/100,1),15)+IF(B501="New",20,10),0)</f>
        <v/>
      </c>
      <c r="L501" t="inlineStr">
        <is>
          <t>KEEP</t>
        </is>
      </c>
      <c r="M501" s="5" t="inlineStr">
        <is>
          <t>Matches measured pre-purchase demand</t>
        </is>
      </c>
      <c r="N501" s="5" t="inlineStr">
        <is>
          <t>Un fichier d'index de sitemap est un sitemap parent qui liste plusieurs sitemaps enfants. Utilisez-en un lorsque vous avez plus de 50 000 URL, souhaitez organiser les URL par catégorie (blog, produits</t>
        </is>
      </c>
      <c r="O501" t="inlineStr">
        <is>
          <t>P3</t>
        </is>
      </c>
      <c r="P501" t="inlineStr">
        <is>
          <t>Visible only (no FAQPage schema)</t>
        </is>
      </c>
    </row>
    <row r="502">
      <c r="A502" s="3" t="inlineStr">
        <is>
          <t>https://codesommet.com/tools/sitemap-validator</t>
        </is>
      </c>
      <c r="B502" t="inlineStr">
        <is>
          <t>Existing</t>
        </is>
      </c>
      <c r="C502" s="5" t="inlineStr">
        <is>
          <t>À quelle fréquence dois-je resoumettre mon sitemap à Google ?</t>
        </is>
      </c>
      <c r="D502" t="inlineStr">
        <is>
          <t>sitemap validator</t>
        </is>
      </c>
      <c r="E502" t="inlineStr">
        <is>
          <t>fr</t>
        </is>
      </c>
      <c r="F502" s="5" t="inlineStr"/>
      <c r="G502" t="n">
        <v>70</v>
      </c>
      <c r="H502" t="n">
        <v>31</v>
      </c>
      <c r="I502" t="inlineStr">
        <is>
          <t>SEO</t>
        </is>
      </c>
      <c r="J502" t="inlineStr">
        <is>
          <t>MEASURED</t>
        </is>
      </c>
      <c r="K502">
        <f>ROUND(IF(ISNUMBER(G502),MIN(50,ROUND(50*LOG10(G502+1)/4,1)),5)+IF(ISNUMBER(H502),ROUND(30*(100-H502)/100,1),15)+IF(B502="New",20,10),0)</f>
        <v/>
      </c>
      <c r="L502" t="inlineStr">
        <is>
          <t>KEEP</t>
        </is>
      </c>
      <c r="M502" s="5" t="inlineStr">
        <is>
          <t>Relevant to page intent</t>
        </is>
      </c>
      <c r="N502" s="5" t="inlineStr">
        <is>
          <t>Vous n'avez généralement besoin de soumettre votre sitemap qu'une seule fois à Google Search Console. Après cela, Google vérifiera automatiquement les mises à jour. Cependant, si vous effectuez des ch</t>
        </is>
      </c>
      <c r="O502" t="inlineStr">
        <is>
          <t>P3</t>
        </is>
      </c>
      <c r="P502" t="inlineStr">
        <is>
          <t>Visible only (no FAQPage schema)</t>
        </is>
      </c>
    </row>
    <row r="503">
      <c r="A503" s="3" t="inlineStr">
        <is>
          <t>https://codesommet.com/tools/sitemap-validator</t>
        </is>
      </c>
      <c r="B503" t="inlineStr">
        <is>
          <t>Existing</t>
        </is>
      </c>
      <c r="C503" s="5" t="inlineStr">
        <is>
          <t>Pourquoi mon sitemap n'est-il pas exploré par les moteurs de recherche ?</t>
        </is>
      </c>
      <c r="D503" t="inlineStr">
        <is>
          <t>sitemap validator</t>
        </is>
      </c>
      <c r="E503" t="inlineStr">
        <is>
          <t>fr</t>
        </is>
      </c>
      <c r="F503" s="5" t="inlineStr"/>
      <c r="G503" t="n">
        <v>70</v>
      </c>
      <c r="H503" t="n">
        <v>31</v>
      </c>
      <c r="I503" t="inlineStr">
        <is>
          <t>Service scope</t>
        </is>
      </c>
      <c r="J503" t="inlineStr">
        <is>
          <t>MEASURED</t>
        </is>
      </c>
      <c r="K503">
        <f>ROUND(IF(ISNUMBER(G503),MIN(50,ROUND(50*LOG10(G503+1)/4,1)),5)+IF(ISNUMBER(H503),ROUND(30*(100-H503)/100,1),15)+IF(B503="New",20,10),0)</f>
        <v/>
      </c>
      <c r="L503" t="inlineStr">
        <is>
          <t>KEEP</t>
        </is>
      </c>
      <c r="M503" s="5" t="inlineStr">
        <is>
          <t>Relevant to page intent</t>
        </is>
      </c>
      <c r="N503" s="5" t="inlineStr">
        <is>
          <t>Les raisons courantes incluent : sitemap non déclaré dans robots.txt, URL de sitemap incorrecte, erreurs de formatage XML, serveur renvoyant un mauvais en-tête content-type (devrait être application/x</t>
        </is>
      </c>
      <c r="O503" t="inlineStr">
        <is>
          <t>P3</t>
        </is>
      </c>
      <c r="P503" t="inlineStr">
        <is>
          <t>Visible only (no FAQPage schema)</t>
        </is>
      </c>
    </row>
    <row r="504">
      <c r="A504" s="3" t="inlineStr">
        <is>
          <t>https://codesommet.com/tools/sitemap-validator</t>
        </is>
      </c>
      <c r="B504" t="inlineStr">
        <is>
          <t>Existing</t>
        </is>
      </c>
      <c r="C504" s="5" t="inlineStr">
        <is>
          <t>Dois-je inclure des images et des vidéos dans mon sitemap ?</t>
        </is>
      </c>
      <c r="D504" t="inlineStr">
        <is>
          <t>sitemap validator</t>
        </is>
      </c>
      <c r="E504" t="inlineStr">
        <is>
          <t>fr</t>
        </is>
      </c>
      <c r="F504" s="5" t="inlineStr"/>
      <c r="G504" t="n">
        <v>70</v>
      </c>
      <c r="H504" t="n">
        <v>31</v>
      </c>
      <c r="I504" t="inlineStr">
        <is>
          <t>Service scope</t>
        </is>
      </c>
      <c r="J504" t="inlineStr">
        <is>
          <t>MEASURED</t>
        </is>
      </c>
      <c r="K504">
        <f>ROUND(IF(ISNUMBER(G504),MIN(50,ROUND(50*LOG10(G504+1)/4,1)),5)+IF(ISNUMBER(H504),ROUND(30*(100-H504)/100,1),15)+IF(B504="New",20,10),0)</f>
        <v/>
      </c>
      <c r="L504" t="inlineStr">
        <is>
          <t>KEEP</t>
        </is>
      </c>
      <c r="M504" s="5" t="inlineStr">
        <is>
          <t>Relevant to page intent</t>
        </is>
      </c>
      <c r="N504" s="5" t="inlineStr">
        <is>
          <t>Oui, vous pouvez étendre votre sitemap avec des balises image et vidéo pour aider les moteurs de recherche à découvrir et indexer votre contenu média. C'est particulièrement important pour les sites r</t>
        </is>
      </c>
      <c r="O504" t="inlineStr">
        <is>
          <t>P3</t>
        </is>
      </c>
      <c r="P504" t="inlineStr">
        <is>
          <t>Visible only (no FAQPage schema)</t>
        </is>
      </c>
    </row>
    <row r="505">
      <c r="A505" s="3" t="inlineStr">
        <is>
          <t>https://codesommet.com/tools/ssl-certificate-checker</t>
        </is>
      </c>
      <c r="B505" t="inlineStr">
        <is>
          <t>Existing</t>
        </is>
      </c>
      <c r="C505" s="5" t="inlineStr">
        <is>
          <t>Qu'est-ce qu'un certificat SSL et pourquoi est-il important ?</t>
        </is>
      </c>
      <c r="D505" t="inlineStr">
        <is>
          <t>vérifier certificat ssl</t>
        </is>
      </c>
      <c r="E505" t="inlineStr">
        <is>
          <t>fr</t>
        </is>
      </c>
      <c r="F505" s="5" t="inlineStr"/>
      <c r="G505" t="n">
        <v>30</v>
      </c>
      <c r="H505" t="inlineStr">
        <is>
          <t>NOT AVAILABLE</t>
        </is>
      </c>
      <c r="I505" t="inlineStr">
        <is>
          <t>Definition / how it works</t>
        </is>
      </c>
      <c r="J505" t="inlineStr">
        <is>
          <t>MEASURED</t>
        </is>
      </c>
      <c r="K505">
        <f>ROUND(IF(ISNUMBER(G505),MIN(50,ROUND(50*LOG10(G505+1)/4,1)),5)+IF(ISNUMBER(H505),ROUND(30*(100-H505)/100,1),15)+IF(B505="New",20,10),0)</f>
        <v/>
      </c>
      <c r="L505" t="inlineStr">
        <is>
          <t>KEEP</t>
        </is>
      </c>
      <c r="M505" s="5" t="inlineStr">
        <is>
          <t>Relevant to page intent</t>
        </is>
      </c>
      <c r="N505" s="5" t="inlineStr">
        <is>
          <t>Un certificat SSL/TLS chiffre les données transmises entre votre site web et les visiteurs, protégeant les informations sensibles comme les mots de passe et les détails de paiement. C'est essentiel po</t>
        </is>
      </c>
      <c r="O505" t="inlineStr">
        <is>
          <t>P3</t>
        </is>
      </c>
      <c r="P505" t="inlineStr">
        <is>
          <t>Visible only (no FAQPage schema)</t>
        </is>
      </c>
    </row>
    <row r="506">
      <c r="A506" s="3" t="inlineStr">
        <is>
          <t>https://codesommet.com/tools/ssl-certificate-checker</t>
        </is>
      </c>
      <c r="B506" t="inlineStr">
        <is>
          <t>Existing</t>
        </is>
      </c>
      <c r="C506" s="5" t="inlineStr">
        <is>
          <t>À quelle fréquence dois-je vérifier mon certificat SSL ?</t>
        </is>
      </c>
      <c r="D506" t="inlineStr">
        <is>
          <t>vérifier certificat ssl</t>
        </is>
      </c>
      <c r="E506" t="inlineStr">
        <is>
          <t>fr</t>
        </is>
      </c>
      <c r="F506" s="5" t="inlineStr"/>
      <c r="G506" t="n">
        <v>30</v>
      </c>
      <c r="H506" t="inlineStr">
        <is>
          <t>NOT AVAILABLE</t>
        </is>
      </c>
      <c r="I506" t="inlineStr">
        <is>
          <t>Service scope</t>
        </is>
      </c>
      <c r="J506" t="inlineStr">
        <is>
          <t>MEASURED</t>
        </is>
      </c>
      <c r="K506">
        <f>ROUND(IF(ISNUMBER(G506),MIN(50,ROUND(50*LOG10(G506+1)/4,1)),5)+IF(ISNUMBER(H506),ROUND(30*(100-H506)/100,1),15)+IF(B506="New",20,10),0)</f>
        <v/>
      </c>
      <c r="L506" t="inlineStr">
        <is>
          <t>KEEP</t>
        </is>
      </c>
      <c r="M506" s="5" t="inlineStr">
        <is>
          <t>Relevant to page intent</t>
        </is>
      </c>
      <c r="N506" s="5" t="inlineStr">
        <is>
          <t xml:space="preserve">Vérifiez votre certificat SSL mensuellement, surtout 60 à 90 jours avant l'expiration. De nombreux certificats sont valides pendant 90 jours (Let's Encrypt) ou 1 an. Configurez un suivi automatisé ou </t>
        </is>
      </c>
      <c r="O506" t="inlineStr">
        <is>
          <t>P3</t>
        </is>
      </c>
      <c r="P506" t="inlineStr">
        <is>
          <t>Visible only (no FAQPage schema)</t>
        </is>
      </c>
    </row>
    <row r="507">
      <c r="A507" s="3" t="inlineStr">
        <is>
          <t>https://codesommet.com/tools/ssl-certificate-checker</t>
        </is>
      </c>
      <c r="B507" t="inlineStr">
        <is>
          <t>Existing</t>
        </is>
      </c>
      <c r="C507" s="5" t="inlineStr">
        <is>
          <t>Que signifie 'chaîne de certificat invalide' ?</t>
        </is>
      </c>
      <c r="D507" t="inlineStr">
        <is>
          <t>test ssl</t>
        </is>
      </c>
      <c r="E507" t="inlineStr">
        <is>
          <t>fr</t>
        </is>
      </c>
      <c r="F507" s="5" t="inlineStr"/>
      <c r="G507" t="n">
        <v>320</v>
      </c>
      <c r="H507" t="n">
        <v>37</v>
      </c>
      <c r="I507" t="inlineStr">
        <is>
          <t>Service scope</t>
        </is>
      </c>
      <c r="J507" t="inlineStr">
        <is>
          <t>MEASURED</t>
        </is>
      </c>
      <c r="K507">
        <f>ROUND(IF(ISNUMBER(G507),MIN(50,ROUND(50*LOG10(G507+1)/4,1)),5)+IF(ISNUMBER(H507),ROUND(30*(100-H507)/100,1),15)+IF(B507="New",20,10),0)</f>
        <v/>
      </c>
      <c r="L507" t="inlineStr">
        <is>
          <t>KEEP</t>
        </is>
      </c>
      <c r="M507" s="5" t="inlineStr">
        <is>
          <t>Relevant to page intent</t>
        </is>
      </c>
      <c r="N507" s="5" t="inlineStr">
        <is>
          <t>La validation de la chaîne de certificat garantit que votre certificat SSL est correctement lié à une Autorité de Certification (CA) de confiance. Une chaîne invalide signifie que des certificats inte</t>
        </is>
      </c>
      <c r="O507" t="inlineStr">
        <is>
          <t>P3</t>
        </is>
      </c>
      <c r="P507" t="inlineStr">
        <is>
          <t>Visible only (no FAQPage schema)</t>
        </is>
      </c>
    </row>
    <row r="508">
      <c r="A508" s="3" t="inlineStr">
        <is>
          <t>https://codesommet.com/tools/ssl-certificate-checker</t>
        </is>
      </c>
      <c r="B508" t="inlineStr">
        <is>
          <t>Existing</t>
        </is>
      </c>
      <c r="C508" s="5" t="inlineStr">
        <is>
          <t>Un certificat SSL auto-signé est-il sûr à utiliser ?</t>
        </is>
      </c>
      <c r="D508" t="inlineStr">
        <is>
          <t>vérifier certificat ssl</t>
        </is>
      </c>
      <c r="E508" t="inlineStr">
        <is>
          <t>fr</t>
        </is>
      </c>
      <c r="F508" s="5" t="inlineStr"/>
      <c r="G508" t="n">
        <v>30</v>
      </c>
      <c r="H508" t="inlineStr">
        <is>
          <t>NOT AVAILABLE</t>
        </is>
      </c>
      <c r="I508" t="inlineStr">
        <is>
          <t>Service scope</t>
        </is>
      </c>
      <c r="J508" t="inlineStr">
        <is>
          <t>MEASURED</t>
        </is>
      </c>
      <c r="K508">
        <f>ROUND(IF(ISNUMBER(G508),MIN(50,ROUND(50*LOG10(G508+1)/4,1)),5)+IF(ISNUMBER(H508),ROUND(30*(100-H508)/100,1),15)+IF(B508="New",20,10),0)</f>
        <v/>
      </c>
      <c r="L508" t="inlineStr">
        <is>
          <t>KEEP</t>
        </is>
      </c>
      <c r="M508" s="5" t="inlineStr">
        <is>
          <t>Relevant to page intent</t>
        </is>
      </c>
      <c r="N508" s="5" t="inlineStr">
        <is>
          <t>Les certificats auto-signés fournissent le chiffrement mais ne sont pas approuvés par les navigateurs - les visiteurs voient des avertissements de sécurité effrayants. Ils conviennent pour les tests i</t>
        </is>
      </c>
      <c r="O508" t="inlineStr">
        <is>
          <t>P3</t>
        </is>
      </c>
      <c r="P508" t="inlineStr">
        <is>
          <t>Visible only (no FAQPage schema)</t>
        </is>
      </c>
    </row>
    <row r="509">
      <c r="A509" s="3" t="inlineStr">
        <is>
          <t>https://codesommet.com/tools/ssl-certificate-checker</t>
        </is>
      </c>
      <c r="B509" t="inlineStr">
        <is>
          <t>Existing</t>
        </is>
      </c>
      <c r="C509" s="5" t="inlineStr">
        <is>
          <t>Quelle version du protocole SSL/TLS dois-je utiliser ?</t>
        </is>
      </c>
      <c r="D509" t="inlineStr">
        <is>
          <t>test ssl</t>
        </is>
      </c>
      <c r="E509" t="inlineStr">
        <is>
          <t>fr</t>
        </is>
      </c>
      <c r="F509" s="5" t="inlineStr"/>
      <c r="G509" t="n">
        <v>320</v>
      </c>
      <c r="H509" t="n">
        <v>37</v>
      </c>
      <c r="I509" t="inlineStr">
        <is>
          <t>Service scope</t>
        </is>
      </c>
      <c r="J509" t="inlineStr">
        <is>
          <t>MEASURED</t>
        </is>
      </c>
      <c r="K509">
        <f>ROUND(IF(ISNUMBER(G509),MIN(50,ROUND(50*LOG10(G509+1)/4,1)),5)+IF(ISNUMBER(H509),ROUND(30*(100-H509)/100,1),15)+IF(B509="New",20,10),0)</f>
        <v/>
      </c>
      <c r="L509" t="inlineStr">
        <is>
          <t>KEEP</t>
        </is>
      </c>
      <c r="M509" s="5" t="inlineStr">
        <is>
          <t>Relevant to page intent</t>
        </is>
      </c>
      <c r="N509" s="5" t="inlineStr">
        <is>
          <t>Utilisez TLS 1.2 ou TLS 1.3 (la dernière et la plus sécurisée). Les anciens protocoles (SSL 2.0, SSL 3.0, TLS 1.0, TLS 1.1) ont des vulnérabilités connues et sont obsolètes. Les navigateurs et serveur</t>
        </is>
      </c>
      <c r="O509" t="inlineStr">
        <is>
          <t>P3</t>
        </is>
      </c>
      <c r="P509" t="inlineStr">
        <is>
          <t>Visible only (no FAQPage schema)</t>
        </is>
      </c>
    </row>
    <row r="510">
      <c r="A510" s="3" t="inlineStr">
        <is>
          <t>https://codesommet.com/tools/ssl-certificate-checker</t>
        </is>
      </c>
      <c r="B510" t="inlineStr">
        <is>
          <t>Existing</t>
        </is>
      </c>
      <c r="C510" s="5" t="inlineStr">
        <is>
          <t>Mon certificat SSL expire bientôt - que dois-je faire ?</t>
        </is>
      </c>
      <c r="D510" t="inlineStr">
        <is>
          <t>vérifier certificat ssl</t>
        </is>
      </c>
      <c r="E510" t="inlineStr">
        <is>
          <t>fr</t>
        </is>
      </c>
      <c r="F510" s="5" t="inlineStr"/>
      <c r="G510" t="n">
        <v>30</v>
      </c>
      <c r="H510" t="inlineStr">
        <is>
          <t>NOT AVAILABLE</t>
        </is>
      </c>
      <c r="I510" t="inlineStr">
        <is>
          <t>Service scope</t>
        </is>
      </c>
      <c r="J510" t="inlineStr">
        <is>
          <t>MEASURED</t>
        </is>
      </c>
      <c r="K510">
        <f>ROUND(IF(ISNUMBER(G510),MIN(50,ROUND(50*LOG10(G510+1)/4,1)),5)+IF(ISNUMBER(H510),ROUND(30*(100-H510)/100,1),15)+IF(B510="New",20,10),0)</f>
        <v/>
      </c>
      <c r="L510" t="inlineStr">
        <is>
          <t>KEEP</t>
        </is>
      </c>
      <c r="M510" s="5" t="inlineStr">
        <is>
          <t>Relevant to page intent</t>
        </is>
      </c>
      <c r="N510" s="5" t="inlineStr">
        <is>
          <t xml:space="preserve">Renouvelez votre certificat immédiatement s'il expire dans moins de 30 jours. La plupart des fournisseurs SSL envoient des rappels de renouvellement 60 à 90 jours avant l'expiration. Si vous utilisez </t>
        </is>
      </c>
      <c r="O510" t="inlineStr">
        <is>
          <t>P3</t>
        </is>
      </c>
      <c r="P510" t="inlineStr">
        <is>
          <t>Visible only (no FAQPage schema)</t>
        </is>
      </c>
    </row>
    <row r="511">
      <c r="A511" s="3" t="inlineStr">
        <is>
          <t>https://codesommet.com/tools/structured-data-extractor</t>
        </is>
      </c>
      <c r="B511" t="inlineStr">
        <is>
          <t>Existing</t>
        </is>
      </c>
      <c r="C511" s="5" t="inlineStr">
        <is>
          <t>Quelle différence entre JSON-LD, microdonnées et RDFa ?</t>
        </is>
      </c>
      <c r="D511" t="inlineStr">
        <is>
          <t>extraire json-ld</t>
        </is>
      </c>
      <c r="E511" t="inlineStr">
        <is>
          <t>fr</t>
        </is>
      </c>
      <c r="F511" s="5" t="inlineStr"/>
      <c r="G511" t="inlineStr">
        <is>
          <t>NOT AVAILABLE</t>
        </is>
      </c>
      <c r="H511" t="inlineStr">
        <is>
          <t>NOT AVAILABLE</t>
        </is>
      </c>
      <c r="I511" t="inlineStr">
        <is>
          <t>Compliance / security</t>
        </is>
      </c>
      <c r="J511" t="inlineStr">
        <is>
          <t>UNAVAILABLE</t>
        </is>
      </c>
      <c r="K511">
        <f>ROUND(IF(ISNUMBER(G511),MIN(50,ROUND(50*LOG10(G511+1)/4,1)),5)+IF(ISNUMBER(H511),ROUND(30*(100-H511)/100,1),15)+IF(B511="New",20,10),0)</f>
        <v/>
      </c>
      <c r="L511" t="inlineStr">
        <is>
          <t>KEEP</t>
        </is>
      </c>
      <c r="M511" s="5" t="inlineStr">
        <is>
          <t>Relevant to page intent</t>
        </is>
      </c>
      <c r="N511" s="5" t="inlineStr">
        <is>
          <t>Ce sont trois syntaxes pour le même vocabulaire schema.org. JSON-LD est un bloc &lt;script&gt; indépendant du HTML, recommandé par Google ; les microdonnées (itemscope, itemprop) et le RDFa (typeof, propert</t>
        </is>
      </c>
      <c r="O511" t="inlineStr">
        <is>
          <t>P3</t>
        </is>
      </c>
      <c r="P511" t="inlineStr">
        <is>
          <t>Visible only (no FAQPage schema)</t>
        </is>
      </c>
    </row>
    <row r="512">
      <c r="A512" s="3" t="inlineStr">
        <is>
          <t>https://codesommet.com/tools/structured-data-extractor</t>
        </is>
      </c>
      <c r="B512" t="inlineStr">
        <is>
          <t>Existing</t>
        </is>
      </c>
      <c r="C512" s="5" t="inlineStr">
        <is>
          <t>Qu'est-ce qu'une propriété « requise » ou « recommandée » ?</t>
        </is>
      </c>
      <c r="D512" t="inlineStr">
        <is>
          <t>test données structurées</t>
        </is>
      </c>
      <c r="E512" t="inlineStr">
        <is>
          <t>fr</t>
        </is>
      </c>
      <c r="F512" s="5" t="inlineStr"/>
      <c r="G512" t="n">
        <v>720</v>
      </c>
      <c r="H512" t="n">
        <v>37</v>
      </c>
      <c r="I512" t="inlineStr">
        <is>
          <t>Definition / how it works</t>
        </is>
      </c>
      <c r="J512" t="inlineStr">
        <is>
          <t>MEASURED</t>
        </is>
      </c>
      <c r="K512">
        <f>ROUND(IF(ISNUMBER(G512),MIN(50,ROUND(50*LOG10(G512+1)/4,1)),5)+IF(ISNUMBER(H512),ROUND(30*(100-H512)/100,1),15)+IF(B512="New",20,10),0)</f>
        <v/>
      </c>
      <c r="L512" t="inlineStr">
        <is>
          <t>KEEP</t>
        </is>
      </c>
      <c r="M512" s="5" t="inlineStr">
        <is>
          <t>Relevant to page intent</t>
        </is>
      </c>
      <c r="N512" s="5" t="inlineStr">
        <is>
          <t>Google publie, pour chaque type de résultat enrichi (Article, Produit, FAQ, Événement…), les propriétés sans lesquelles le résultat n'est pas éligible (requises) et celles qui l'améliorent (recommandé</t>
        </is>
      </c>
      <c r="O512" t="inlineStr">
        <is>
          <t>P3</t>
        </is>
      </c>
      <c r="P512" t="inlineStr">
        <is>
          <t>Visible only (no FAQPage schema)</t>
        </is>
      </c>
    </row>
    <row r="513">
      <c r="A513" s="3" t="inlineStr">
        <is>
          <t>https://codesommet.com/tools/structured-data-extractor</t>
        </is>
      </c>
      <c r="B513" t="inlineStr">
        <is>
          <t>Existing</t>
        </is>
      </c>
      <c r="C513" s="5" t="inlineStr">
        <is>
          <t>Pourquoi mon bloc est-il « JSON invalide » ?</t>
        </is>
      </c>
      <c r="D513" t="inlineStr">
        <is>
          <t>test données structurées</t>
        </is>
      </c>
      <c r="E513" t="inlineStr">
        <is>
          <t>fr</t>
        </is>
      </c>
      <c r="F513" s="5" t="inlineStr"/>
      <c r="G513" t="n">
        <v>720</v>
      </c>
      <c r="H513" t="n">
        <v>37</v>
      </c>
      <c r="I513" t="inlineStr">
        <is>
          <t>Service scope</t>
        </is>
      </c>
      <c r="J513" t="inlineStr">
        <is>
          <t>MEASURED</t>
        </is>
      </c>
      <c r="K513">
        <f>ROUND(IF(ISNUMBER(G513),MIN(50,ROUND(50*LOG10(G513+1)/4,1)),5)+IF(ISNUMBER(H513),ROUND(30*(100-H513)/100,1),15)+IF(B513="New",20,10),0)</f>
        <v/>
      </c>
      <c r="L513" t="inlineStr">
        <is>
          <t>KEEP</t>
        </is>
      </c>
      <c r="M513" s="5" t="inlineStr">
        <is>
          <t>Relevant to page intent</t>
        </is>
      </c>
      <c r="N513" s="5" t="inlineStr">
        <is>
          <t>Les causes classiques : une virgule après le dernier élément, des guillemets simples au lieu de doubles, un commentaire, ou du HTML non échappé dans une valeur. L'outil indique si une virgule finale o</t>
        </is>
      </c>
      <c r="O513" t="inlineStr">
        <is>
          <t>P3</t>
        </is>
      </c>
      <c r="P513" t="inlineStr">
        <is>
          <t>Visible only (no FAQPage schema)</t>
        </is>
      </c>
    </row>
    <row r="514">
      <c r="A514" s="3" t="inlineStr">
        <is>
          <t>https://codesommet.com/tools/structured-data-extractor</t>
        </is>
      </c>
      <c r="B514" t="inlineStr">
        <is>
          <t>Existing</t>
        </is>
      </c>
      <c r="C514" s="5" t="inlineStr">
        <is>
          <t>Un balisage valide garantit-il un résultat enrichi ?</t>
        </is>
      </c>
      <c r="D514" t="inlineStr">
        <is>
          <t>test données structurées</t>
        </is>
      </c>
      <c r="E514" t="inlineStr">
        <is>
          <t>fr</t>
        </is>
      </c>
      <c r="F514" s="5" t="inlineStr"/>
      <c r="G514" t="n">
        <v>720</v>
      </c>
      <c r="H514" t="n">
        <v>37</v>
      </c>
      <c r="I514" t="inlineStr">
        <is>
          <t>Service scope</t>
        </is>
      </c>
      <c r="J514" t="inlineStr">
        <is>
          <t>MEASURED</t>
        </is>
      </c>
      <c r="K514">
        <f>ROUND(IF(ISNUMBER(G514),MIN(50,ROUND(50*LOG10(G514+1)/4,1)),5)+IF(ISNUMBER(H514),ROUND(30*(100-H514)/100,1),15)+IF(B514="New",20,10),0)</f>
        <v/>
      </c>
      <c r="L514" t="inlineStr">
        <is>
          <t>KEEP</t>
        </is>
      </c>
      <c r="M514" s="5" t="inlineStr">
        <is>
          <t>Relevant to page intent</t>
        </is>
      </c>
      <c r="N514" s="5" t="inlineStr">
        <is>
          <t>Non. Il le rend éligible. Google décide ensuite selon la qualité de la page, la cohérence entre le balisage et le contenu visible, et ses règles (les avis auto-attribués, par exemple, ne sont plus aff</t>
        </is>
      </c>
      <c r="O514" t="inlineStr">
        <is>
          <t>P3</t>
        </is>
      </c>
      <c r="P514" t="inlineStr">
        <is>
          <t>Visible only (no FAQPage schema)</t>
        </is>
      </c>
    </row>
    <row r="515">
      <c r="A515" s="3" t="inlineStr">
        <is>
          <t>https://codesommet.com/tools/structured-data-extractor</t>
        </is>
      </c>
      <c r="B515" t="inlineStr">
        <is>
          <t>Existing</t>
        </is>
      </c>
      <c r="C515" s="5" t="inlineStr">
        <is>
          <t>Faut-il un seul bloc ou plusieurs ?</t>
        </is>
      </c>
      <c r="D515" t="inlineStr">
        <is>
          <t>test données structurées</t>
        </is>
      </c>
      <c r="E515" t="inlineStr">
        <is>
          <t>fr</t>
        </is>
      </c>
      <c r="F515" s="5" t="inlineStr"/>
      <c r="G515" t="n">
        <v>720</v>
      </c>
      <c r="H515" t="n">
        <v>37</v>
      </c>
      <c r="I515" t="inlineStr">
        <is>
          <t>Service scope</t>
        </is>
      </c>
      <c r="J515" t="inlineStr">
        <is>
          <t>MEASURED</t>
        </is>
      </c>
      <c r="K515">
        <f>ROUND(IF(ISNUMBER(G515),MIN(50,ROUND(50*LOG10(G515+1)/4,1)),5)+IF(ISNUMBER(H515),ROUND(30*(100-H515)/100,1),15)+IF(B515="New",20,10),0)</f>
        <v/>
      </c>
      <c r="L515" t="inlineStr">
        <is>
          <t>KEEP</t>
        </is>
      </c>
      <c r="M515" s="5" t="inlineStr">
        <is>
          <t>Relevant to page intent</t>
        </is>
      </c>
      <c r="N515" s="5" t="inlineStr">
        <is>
          <t>Les deux fonctionnent. Un seul bloc avec @graph permet de relier les entités entre elles (WebSite → Organization → WebPage → Article) grâce aux @id, ce que Google et les moteurs IA exploitent de mieux</t>
        </is>
      </c>
      <c r="O515" t="inlineStr">
        <is>
          <t>P3</t>
        </is>
      </c>
      <c r="P515" t="inlineStr">
        <is>
          <t>Visible only (no FAQPage schema)</t>
        </is>
      </c>
    </row>
    <row r="516">
      <c r="A516" s="3" t="inlineStr">
        <is>
          <t>https://codesommet.com/tools/structured-data-extractor</t>
        </is>
      </c>
      <c r="B516" t="inlineStr">
        <is>
          <t>Existing</t>
        </is>
      </c>
      <c r="C516" s="5" t="inlineStr">
        <is>
          <t>Quels types sont vérifiés ?</t>
        </is>
      </c>
      <c r="D516" t="inlineStr">
        <is>
          <t>test données structurées</t>
        </is>
      </c>
      <c r="E516" t="inlineStr">
        <is>
          <t>fr</t>
        </is>
      </c>
      <c r="F516" s="5" t="inlineStr"/>
      <c r="G516" t="n">
        <v>720</v>
      </c>
      <c r="H516" t="n">
        <v>37</v>
      </c>
      <c r="I516" t="inlineStr">
        <is>
          <t>Service scope</t>
        </is>
      </c>
      <c r="J516" t="inlineStr">
        <is>
          <t>MEASURED</t>
        </is>
      </c>
      <c r="K516">
        <f>ROUND(IF(ISNUMBER(G516),MIN(50,ROUND(50*LOG10(G516+1)/4,1)),5)+IF(ISNUMBER(H516),ROUND(30*(100-H516)/100,1),15)+IF(B516="New",20,10),0)</f>
        <v/>
      </c>
      <c r="L516" t="inlineStr">
        <is>
          <t>KEEP</t>
        </is>
      </c>
      <c r="M516" s="5" t="inlineStr">
        <is>
          <t>Relevant to page intent</t>
        </is>
      </c>
      <c r="N516" s="5" t="inlineStr">
        <is>
          <t>Article et ses variantes, Product et Offer, Organization, LocalBusiness et ses sous-types, FAQPage, BreadcrumbList, WebSite, WebPage, Person, Event, Recipe, VideoObject, HowTo, JobPosting, Review, Agg</t>
        </is>
      </c>
      <c r="O516" t="inlineStr">
        <is>
          <t>P3</t>
        </is>
      </c>
      <c r="P516" t="inlineStr">
        <is>
          <t>Visible only (no FAQPage schema)</t>
        </is>
      </c>
    </row>
    <row r="517">
      <c r="A517" s="3" t="inlineStr">
        <is>
          <t>https://codesommet.com/tools/text-case-converter</t>
        </is>
      </c>
      <c r="B517" t="inlineStr">
        <is>
          <t>Existing</t>
        </is>
      </c>
      <c r="C517" s="5" t="inlineStr">
        <is>
          <t>Quand utiliser la Casse de Titre vs la Casse de Phrase ?</t>
        </is>
      </c>
      <c r="D517" t="inlineStr">
        <is>
          <t>combien de temps pour créer un site internet</t>
        </is>
      </c>
      <c r="E517" t="inlineStr">
        <is>
          <t>fr</t>
        </is>
      </c>
      <c r="F517" s="5" t="inlineStr"/>
      <c r="G517" t="n">
        <v>90</v>
      </c>
      <c r="H517" t="n">
        <v>13</v>
      </c>
      <c r="I517" t="inlineStr">
        <is>
          <t>Timeline</t>
        </is>
      </c>
      <c r="J517" t="inlineStr">
        <is>
          <t>MEASURED</t>
        </is>
      </c>
      <c r="K517">
        <f>ROUND(IF(ISNUMBER(G517),MIN(50,ROUND(50*LOG10(G517+1)/4,1)),5)+IF(ISNUMBER(H517),ROUND(30*(100-H517)/100,1),15)+IF(B517="New",20,10),0)</f>
        <v/>
      </c>
      <c r="L517" t="inlineStr">
        <is>
          <t>KEEP</t>
        </is>
      </c>
      <c r="M517" s="5" t="inlineStr">
        <is>
          <t>Matches measured pre-purchase demand</t>
        </is>
      </c>
      <c r="N517" s="5" t="inlineStr">
        <is>
          <t>Utilisez la Casse de Titre pour les titres, les titres de billets de blog et les titres de documents formels où chaque mot principal est en majuscule. Utilisez la Casse de Phrase pour le corps de text</t>
        </is>
      </c>
      <c r="O517" t="inlineStr">
        <is>
          <t>P3</t>
        </is>
      </c>
      <c r="P517" t="inlineStr">
        <is>
          <t>Visible only (no FAQPage schema)</t>
        </is>
      </c>
    </row>
    <row r="518">
      <c r="A518" s="3" t="inlineStr">
        <is>
          <t>https://codesommet.com/tools/text-case-converter</t>
        </is>
      </c>
      <c r="B518" t="inlineStr">
        <is>
          <t>Existing</t>
        </is>
      </c>
      <c r="C518" s="5" t="inlineStr">
        <is>
          <t>La casse des URL (majuscules vs minuscules) affecte-t-elle le SEO ?</t>
        </is>
      </c>
      <c r="D518" t="inlineStr">
        <is>
          <t>agence seo maroc</t>
        </is>
      </c>
      <c r="E518" t="inlineStr">
        <is>
          <t>ma</t>
        </is>
      </c>
      <c r="F518" s="5" t="inlineStr"/>
      <c r="G518" t="n">
        <v>880</v>
      </c>
      <c r="H518" t="n">
        <v>44</v>
      </c>
      <c r="I518" t="inlineStr">
        <is>
          <t>SEO</t>
        </is>
      </c>
      <c r="J518" t="inlineStr">
        <is>
          <t>MEASURED</t>
        </is>
      </c>
      <c r="K518">
        <f>ROUND(IF(ISNUMBER(G518),MIN(50,ROUND(50*LOG10(G518+1)/4,1)),5)+IF(ISNUMBER(H518),ROUND(30*(100-H518)/100,1),15)+IF(B518="New",20,10),0)</f>
        <v/>
      </c>
      <c r="L518" t="inlineStr">
        <is>
          <t>KEEP</t>
        </is>
      </c>
      <c r="M518" s="5" t="inlineStr">
        <is>
          <t>Relevant to page intent</t>
        </is>
      </c>
      <c r="N518" s="5" t="inlineStr">
        <is>
          <t xml:space="preserve">camelCase est standard pour les variables et fonctions JavaScript/TypeScript (ex. : getUserData). snake_case est courant en Python, Ruby et les champs de base de données (ex. : user_name). Title Case </t>
        </is>
      </c>
      <c r="O518" t="inlineStr">
        <is>
          <t>P3</t>
        </is>
      </c>
      <c r="P518" t="inlineStr">
        <is>
          <t>Visible only (no FAQPage schema)</t>
        </is>
      </c>
    </row>
    <row r="519">
      <c r="A519" s="3" t="inlineStr">
        <is>
          <t>https://codesommet.com/tools/text-case-converter</t>
        </is>
      </c>
      <c r="B519" t="inlineStr">
        <is>
          <t>Existing</t>
        </is>
      </c>
      <c r="C519" s="5" t="inlineStr">
        <is>
          <t>Quelles sont les règles correctes pour la Casse de Titre ?</t>
        </is>
      </c>
      <c r="D519" t="inlineStr">
        <is>
          <t>majuscule en minuscule</t>
        </is>
      </c>
      <c r="E519" t="inlineStr">
        <is>
          <t>fr</t>
        </is>
      </c>
      <c r="F519" s="5" t="inlineStr"/>
      <c r="G519" t="n">
        <v>3600</v>
      </c>
      <c r="H519" t="n">
        <v>25</v>
      </c>
      <c r="I519" t="inlineStr">
        <is>
          <t>Service scope</t>
        </is>
      </c>
      <c r="J519" t="inlineStr">
        <is>
          <t>MEASURED</t>
        </is>
      </c>
      <c r="K519">
        <f>ROUND(IF(ISNUMBER(G519),MIN(50,ROUND(50*LOG10(G519+1)/4,1)),5)+IF(ISNUMBER(H519),ROUND(30*(100-H519)/100,1),15)+IF(B519="New",20,10),0)</f>
        <v/>
      </c>
      <c r="L519" t="inlineStr">
        <is>
          <t>KEEP</t>
        </is>
      </c>
      <c r="M519" s="5" t="inlineStr">
        <is>
          <t>Relevant to page intent</t>
        </is>
      </c>
      <c r="N519" s="5" t="inlineStr">
        <is>
          <t>En Casse de Titre, mettez en majuscule le premier et le dernier mot, ainsi que tous les mots principaux (noms, verbes, adjectifs, adverbes). Ne mettez pas en majuscule les articles (a, an, the), les c</t>
        </is>
      </c>
      <c r="O519" t="inlineStr">
        <is>
          <t>P3</t>
        </is>
      </c>
      <c r="P519" t="inlineStr">
        <is>
          <t>Visible only (no FAQPage schema)</t>
        </is>
      </c>
    </row>
    <row r="520">
      <c r="A520" s="3" t="inlineStr">
        <is>
          <t>https://codesommet.com/tools/text-case-converter</t>
        </is>
      </c>
      <c r="B520" t="inlineStr">
        <is>
          <t>Existing</t>
        </is>
      </c>
      <c r="C520" s="5" t="inlineStr">
        <is>
          <t>Comment la casse du texte affecte-t-elle l'accessibilité pour les lecteurs d'écran ?</t>
        </is>
      </c>
      <c r="D520" t="inlineStr">
        <is>
          <t>majuscule en minuscule</t>
        </is>
      </c>
      <c r="E520" t="inlineStr">
        <is>
          <t>fr</t>
        </is>
      </c>
      <c r="F520" s="5" t="inlineStr"/>
      <c r="G520" t="n">
        <v>3600</v>
      </c>
      <c r="H520" t="n">
        <v>25</v>
      </c>
      <c r="I520" t="inlineStr">
        <is>
          <t>Service scope</t>
        </is>
      </c>
      <c r="J520" t="inlineStr">
        <is>
          <t>MEASURED</t>
        </is>
      </c>
      <c r="K520">
        <f>ROUND(IF(ISNUMBER(G520),MIN(50,ROUND(50*LOG10(G520+1)/4,1)),5)+IF(ISNUMBER(H520),ROUND(30*(100-H520)/100,1),15)+IF(B520="New",20,10),0)</f>
        <v/>
      </c>
      <c r="L520" t="inlineStr">
        <is>
          <t>KEEP</t>
        </is>
      </c>
      <c r="M520" s="5" t="inlineStr">
        <is>
          <t>Relevant to page intent</t>
        </is>
      </c>
      <c r="N520" s="5" t="inlineStr">
        <is>
          <t>Les lecteurs d'écran gèrent bien les différentes casses, mais évitez les MAJUSCULES pour les longs paragraphes car certains anciens lecteurs d'écran peuvent lire chaque lettre individuellement. La cas</t>
        </is>
      </c>
      <c r="O520" t="inlineStr">
        <is>
          <t>P3</t>
        </is>
      </c>
      <c r="P520" t="inlineStr">
        <is>
          <t>Visible only (no FAQPage schema)</t>
        </is>
      </c>
    </row>
    <row r="521">
      <c r="A521" s="3" t="inlineStr">
        <is>
          <t>https://codesommet.com/tools/text-case-converter</t>
        </is>
      </c>
      <c r="B521" t="inlineStr">
        <is>
          <t>Existing</t>
        </is>
      </c>
      <c r="C521" s="5" t="inlineStr">
        <is>
          <t>Puis-je convertir de grands blocs de texte ou plusieurs paragraphes ?</t>
        </is>
      </c>
      <c r="D521" t="inlineStr">
        <is>
          <t>majuscule en minuscule</t>
        </is>
      </c>
      <c r="E521" t="inlineStr">
        <is>
          <t>fr</t>
        </is>
      </c>
      <c r="F521" s="5" t="inlineStr"/>
      <c r="G521" t="n">
        <v>3600</v>
      </c>
      <c r="H521" t="n">
        <v>25</v>
      </c>
      <c r="I521" t="inlineStr">
        <is>
          <t>Service scope</t>
        </is>
      </c>
      <c r="J521" t="inlineStr">
        <is>
          <t>MEASURED</t>
        </is>
      </c>
      <c r="K521">
        <f>ROUND(IF(ISNUMBER(G521),MIN(50,ROUND(50*LOG10(G521+1)/4,1)),5)+IF(ISNUMBER(H521),ROUND(30*(100-H521)/100,1),15)+IF(B521="New",20,10),0)</f>
        <v/>
      </c>
      <c r="L521" t="inlineStr">
        <is>
          <t>KEEP</t>
        </is>
      </c>
      <c r="M521" s="5" t="inlineStr">
        <is>
          <t>Relevant to page intent</t>
        </is>
      </c>
      <c r="N521" s="5" t="inlineStr">
        <is>
          <t xml:space="preserve">Oui ! Cet outil gère du texte de toute longueur, y compris plusieurs paragraphes et caractères spéciaux. Collez simplement votre contenu et tout le formatage sera préservé. L'outil convertit la casse </t>
        </is>
      </c>
      <c r="O521" t="inlineStr">
        <is>
          <t>P3</t>
        </is>
      </c>
      <c r="P521" t="inlineStr">
        <is>
          <t>Visible only (no FAQPage schema)</t>
        </is>
      </c>
    </row>
    <row r="522">
      <c r="A522" s="3" t="inlineStr">
        <is>
          <t>https://codesommet.com/tools/text-case-converter</t>
        </is>
      </c>
      <c r="B522" t="inlineStr">
        <is>
          <t>Existing</t>
        </is>
      </c>
      <c r="C522" s="5" t="inlineStr">
        <is>
          <t>Pourquoi aurais-je besoin de snake_case ou camelCase pour des tâches non liées au code ?</t>
        </is>
      </c>
      <c r="D522" t="inlineStr">
        <is>
          <t>majuscule en minuscule</t>
        </is>
      </c>
      <c r="E522" t="inlineStr">
        <is>
          <t>fr</t>
        </is>
      </c>
      <c r="F522" s="5" t="inlineStr"/>
      <c r="G522" t="n">
        <v>3600</v>
      </c>
      <c r="H522" t="n">
        <v>25</v>
      </c>
      <c r="I522" t="inlineStr">
        <is>
          <t>Service scope</t>
        </is>
      </c>
      <c r="J522" t="inlineStr">
        <is>
          <t>MEASURED</t>
        </is>
      </c>
      <c r="K522">
        <f>ROUND(IF(ISNUMBER(G522),MIN(50,ROUND(50*LOG10(G522+1)/4,1)),5)+IF(ISNUMBER(H522),ROUND(30*(100-H522)/100,1),15)+IF(B522="New",20,10),0)</f>
        <v/>
      </c>
      <c r="L522" t="inlineStr">
        <is>
          <t>KEEP</t>
        </is>
      </c>
      <c r="M522" s="5" t="inlineStr">
        <is>
          <t>Relevant to page intent</t>
        </is>
      </c>
      <c r="N522" s="5" t="inlineStr">
        <is>
          <t>snake_case est utile pour le nommage de fichiers (report_2026_q1.pdf), les imports de base de données, les en-têtes CSV et les slugs d'URL . camelCase est idéal pour créer des hashtags, des identifian</t>
        </is>
      </c>
      <c r="O522" t="inlineStr">
        <is>
          <t>P3</t>
        </is>
      </c>
      <c r="P522" t="inlineStr">
        <is>
          <t>Visible only (no FAQPage schema)</t>
        </is>
      </c>
    </row>
    <row r="523">
      <c r="A523" s="3" t="inlineStr">
        <is>
          <t>https://codesommet.com/tools/text-case-converter</t>
        </is>
      </c>
      <c r="B523" t="inlineStr">
        <is>
          <t>New</t>
        </is>
      </c>
      <c r="C523" s="5" t="inlineStr">
        <is>
          <t>Comment transformer un texte en majuscules ou minuscules ?</t>
        </is>
      </c>
      <c r="D523" t="inlineStr">
        <is>
          <t>majuscule en minuscule</t>
        </is>
      </c>
      <c r="E523" t="inlineStr">
        <is>
          <t>fr</t>
        </is>
      </c>
      <c r="F523" s="5" t="inlineStr">
        <is>
          <t>mettre en majuscule [fr] 390; convertisseur majuscule [fr] 90</t>
        </is>
      </c>
      <c r="G523" t="n">
        <v>3600</v>
      </c>
      <c r="H523" t="n">
        <v>25</v>
      </c>
      <c r="I523" t="inlineStr">
        <is>
          <t>Question</t>
        </is>
      </c>
      <c r="J523" t="inlineStr">
        <is>
          <t>MEASURED</t>
        </is>
      </c>
      <c r="K523">
        <f>ROUND(IF(ISNUMBER(G523),MIN(50,ROUND(50*LOG10(G523+1)/4,1)),5)+IF(ISNUMBER(H523),ROUND(30*(100-H523)/100,1),15)+IF(B523="New",20,10),0)</f>
        <v/>
      </c>
      <c r="L523" t="inlineStr">
        <is>
          <t>NEW</t>
        </is>
      </c>
      <c r="M523" s="5" t="inlineStr">
        <is>
          <t>FR 3600, KD 25. | Why here: Exact tool task. | Internal link: /tools/word-counter</t>
        </is>
      </c>
      <c r="N523" s="5" t="inlineStr">
        <is>
          <t>Steps, keyboard shortcuts (Word/Excel), tool usage.</t>
        </is>
      </c>
      <c r="O523" t="inlineStr">
        <is>
          <t>P3</t>
        </is>
      </c>
      <c r="P523" t="inlineStr"/>
    </row>
    <row r="524">
      <c r="A524" s="3" t="inlineStr">
        <is>
          <t>https://codesommet.com/tools/text-editor</t>
        </is>
      </c>
      <c r="B524" t="inlineStr">
        <is>
          <t>Existing</t>
        </is>
      </c>
      <c r="C524" s="5" t="inlineStr">
        <is>
          <t>Dans quel ordre les opérations sont-elles appliquées ?</t>
        </is>
      </c>
      <c r="D524" t="inlineStr">
        <is>
          <t>éditeur de texte en ligne</t>
        </is>
      </c>
      <c r="E524" t="inlineStr">
        <is>
          <t>fr</t>
        </is>
      </c>
      <c r="F524" s="5" t="inlineStr"/>
      <c r="G524" t="n">
        <v>260</v>
      </c>
      <c r="H524" t="n">
        <v>57</v>
      </c>
      <c r="I524" t="inlineStr">
        <is>
          <t>Service scope</t>
        </is>
      </c>
      <c r="J524" t="inlineStr">
        <is>
          <t>MEASURED</t>
        </is>
      </c>
      <c r="K524">
        <f>ROUND(IF(ISNUMBER(G524),MIN(50,ROUND(50*LOG10(G524+1)/4,1)),5)+IF(ISNUMBER(H524),ROUND(30*(100-H524)/100,1),15)+IF(B524="New",20,10),0)</f>
        <v/>
      </c>
      <c r="L524" t="inlineStr">
        <is>
          <t>KEEP</t>
        </is>
      </c>
      <c r="M524" s="5" t="inlineStr">
        <is>
          <t>Relevant to page intent</t>
        </is>
      </c>
      <c r="N524" s="5" t="inlineStr">
        <is>
          <t>Nettoyage des espaces, suppression des contenus entre crochets ou parenthèses, rechercher-remplacer, filtres, préfixe et suffixe, suppression des doublons et des lignes vides, puis tri. Le résultat es</t>
        </is>
      </c>
      <c r="O524" t="inlineStr">
        <is>
          <t>P3</t>
        </is>
      </c>
      <c r="P524" t="inlineStr">
        <is>
          <t>Visible only (no FAQPage schema)</t>
        </is>
      </c>
    </row>
    <row r="525">
      <c r="A525" s="3" t="inlineStr">
        <is>
          <t>https://codesommet.com/tools/text-editor</t>
        </is>
      </c>
      <c r="B525" t="inlineStr">
        <is>
          <t>Existing</t>
        </is>
      </c>
      <c r="C525" s="5" t="inlineStr">
        <is>
          <t>La suppression des doublons tient-elle compte des majuscules ?</t>
        </is>
      </c>
      <c r="D525" t="inlineStr">
        <is>
          <t>éditeur de texte en ligne</t>
        </is>
      </c>
      <c r="E525" t="inlineStr">
        <is>
          <t>fr</t>
        </is>
      </c>
      <c r="F525" s="5" t="inlineStr"/>
      <c r="G525" t="n">
        <v>260</v>
      </c>
      <c r="H525" t="n">
        <v>57</v>
      </c>
      <c r="I525" t="inlineStr">
        <is>
          <t>Service scope</t>
        </is>
      </c>
      <c r="J525" t="inlineStr">
        <is>
          <t>MEASURED</t>
        </is>
      </c>
      <c r="K525">
        <f>ROUND(IF(ISNUMBER(G525),MIN(50,ROUND(50*LOG10(G525+1)/4,1)),5)+IF(ISNUMBER(H525),ROUND(30*(100-H525)/100,1),15)+IF(B525="New",20,10),0)</f>
        <v/>
      </c>
      <c r="L525" t="inlineStr">
        <is>
          <t>IMPROVE</t>
        </is>
      </c>
      <c r="M525" s="5" t="inlineStr">
        <is>
          <t>Short answer (111 chars) - add specifics</t>
        </is>
      </c>
      <c r="N525" s="5" t="inlineStr">
        <is>
          <t>Par défaut « Mot-clé » et « mot-clé » sont considérés comme identiques ; décochez l'option pour les distinguer.</t>
        </is>
      </c>
      <c r="O525" t="inlineStr">
        <is>
          <t>P3</t>
        </is>
      </c>
      <c r="P525" t="inlineStr">
        <is>
          <t>Visible only (no FAQPage schema)</t>
        </is>
      </c>
    </row>
    <row r="526">
      <c r="A526" s="3" t="inlineStr">
        <is>
          <t>https://codesommet.com/tools/text-editor</t>
        </is>
      </c>
      <c r="B526" t="inlineStr">
        <is>
          <t>Existing</t>
        </is>
      </c>
      <c r="C526" s="5" t="inlineStr">
        <is>
          <t>Comment utiliser une expression régulière ?</t>
        </is>
      </c>
      <c r="D526" t="inlineStr">
        <is>
          <t>éditeur de texte en ligne</t>
        </is>
      </c>
      <c r="E526" t="inlineStr">
        <is>
          <t>fr</t>
        </is>
      </c>
      <c r="F526" s="5" t="inlineStr"/>
      <c r="G526" t="n">
        <v>260</v>
      </c>
      <c r="H526" t="n">
        <v>57</v>
      </c>
      <c r="I526" t="inlineStr">
        <is>
          <t>Service scope</t>
        </is>
      </c>
      <c r="J526" t="inlineStr">
        <is>
          <t>MEASURED</t>
        </is>
      </c>
      <c r="K526">
        <f>ROUND(IF(ISNUMBER(G526),MIN(50,ROUND(50*LOG10(G526+1)/4,1)),5)+IF(ISNUMBER(H526),ROUND(30*(100-H526)/100,1),15)+IF(B526="New",20,10),0)</f>
        <v/>
      </c>
      <c r="L526" t="inlineStr">
        <is>
          <t>KEEP</t>
        </is>
      </c>
      <c r="M526" s="5" t="inlineStr">
        <is>
          <t>Relevant to page intent</t>
        </is>
      </c>
      <c r="N526" s="5" t="inlineStr">
        <is>
          <t>Cochez « Expression régulière » : le champ « Rechercher » est alors interprété comme une expression JavaScript (drapeaux g et i). Une expression invalide est signalée sans modifier le texte.</t>
        </is>
      </c>
      <c r="O526" t="inlineStr">
        <is>
          <t>P3</t>
        </is>
      </c>
      <c r="P526" t="inlineStr">
        <is>
          <t>Visible only (no FAQPage schema)</t>
        </is>
      </c>
    </row>
    <row r="527">
      <c r="A527" s="3" t="inlineStr">
        <is>
          <t>https://codesommet.com/tools/text-editor</t>
        </is>
      </c>
      <c r="B527" t="inlineStr">
        <is>
          <t>Existing</t>
        </is>
      </c>
      <c r="C527" s="5" t="inlineStr">
        <is>
          <t>Et pour changer la casse ?</t>
        </is>
      </c>
      <c r="D527" t="inlineStr">
        <is>
          <t>éditeur de texte en ligne</t>
        </is>
      </c>
      <c r="E527" t="inlineStr">
        <is>
          <t>fr</t>
        </is>
      </c>
      <c r="F527" s="5" t="inlineStr"/>
      <c r="G527" t="n">
        <v>260</v>
      </c>
      <c r="H527" t="n">
        <v>57</v>
      </c>
      <c r="I527" t="inlineStr">
        <is>
          <t>Service scope</t>
        </is>
      </c>
      <c r="J527" t="inlineStr">
        <is>
          <t>MEASURED</t>
        </is>
      </c>
      <c r="K527">
        <f>ROUND(IF(ISNUMBER(G527),MIN(50,ROUND(50*LOG10(G527+1)/4,1)),5)+IF(ISNUMBER(H527),ROUND(30*(100-H527)/100,1),15)+IF(B527="New",20,10),0)</f>
        <v/>
      </c>
      <c r="L527" t="inlineStr">
        <is>
          <t>IMPROVE</t>
        </is>
      </c>
      <c r="M527" s="5" t="inlineStr">
        <is>
          <t>Short answer (111 chars) - add specifics</t>
        </is>
      </c>
      <c r="N527" s="5" t="inlineStr">
        <is>
          <t>Utilisez notre convertisseur de casse dédié, qui gère majuscules, minuscules, titres et formats de développeur.</t>
        </is>
      </c>
      <c r="O527" t="inlineStr">
        <is>
          <t>P3</t>
        </is>
      </c>
      <c r="P527" t="inlineStr">
        <is>
          <t>Visible only (no FAQPage schema)</t>
        </is>
      </c>
    </row>
    <row r="528">
      <c r="A528" s="3" t="inlineStr">
        <is>
          <t>https://codesommet.com/tools/url-editor</t>
        </is>
      </c>
      <c r="B528" t="inlineStr">
        <is>
          <t>Existing</t>
        </is>
      </c>
      <c r="C528" s="5" t="inlineStr">
        <is>
          <t>Pourquoi retirer les paramètres de suivi ?</t>
        </is>
      </c>
      <c r="D528" t="inlineStr">
        <is>
          <t>nettoyer url</t>
        </is>
      </c>
      <c r="E528" t="inlineStr">
        <is>
          <t>fr</t>
        </is>
      </c>
      <c r="F528" s="5" t="inlineStr"/>
      <c r="G528" t="inlineStr">
        <is>
          <t>NOT AVAILABLE</t>
        </is>
      </c>
      <c r="H528" t="inlineStr">
        <is>
          <t>NOT AVAILABLE</t>
        </is>
      </c>
      <c r="I528" t="inlineStr">
        <is>
          <t>Service scope</t>
        </is>
      </c>
      <c r="J528" t="inlineStr">
        <is>
          <t>UNAVAILABLE</t>
        </is>
      </c>
      <c r="K528">
        <f>ROUND(IF(ISNUMBER(G528),MIN(50,ROUND(50*LOG10(G528+1)/4,1)),5)+IF(ISNUMBER(H528),ROUND(30*(100-H528)/100,1),15)+IF(B528="New",20,10),0)</f>
        <v/>
      </c>
      <c r="L528" t="inlineStr">
        <is>
          <t>KEEP</t>
        </is>
      </c>
      <c r="M528" s="5" t="inlineStr">
        <is>
          <t>Relevant to page intent</t>
        </is>
      </c>
      <c r="N528" s="5" t="inlineStr">
        <is>
          <t>Les paramètres utm_*, gclid ou fbclid ne changent pas le contenu de la page mais créent des URL différentes. Les retirer évite de compter plusieurs fois la même page dans un audit ou un fichier de red</t>
        </is>
      </c>
      <c r="O528" t="inlineStr">
        <is>
          <t>P3</t>
        </is>
      </c>
      <c r="P528" t="inlineStr">
        <is>
          <t>Visible only (no FAQPage schema)</t>
        </is>
      </c>
    </row>
    <row r="529">
      <c r="A529" s="3" t="inlineStr">
        <is>
          <t>https://codesommet.com/tools/url-editor</t>
        </is>
      </c>
      <c r="B529" t="inlineStr">
        <is>
          <t>Existing</t>
        </is>
      </c>
      <c r="C529" s="5" t="inlineStr">
        <is>
          <t>Quelle différence entre « retirer le suivi » et « tout retirer » ?</t>
        </is>
      </c>
      <c r="D529" t="inlineStr">
        <is>
          <t>nettoyer url</t>
        </is>
      </c>
      <c r="E529" t="inlineStr">
        <is>
          <t>fr</t>
        </is>
      </c>
      <c r="F529" s="5" t="inlineStr"/>
      <c r="G529" t="inlineStr">
        <is>
          <t>NOT AVAILABLE</t>
        </is>
      </c>
      <c r="H529" t="inlineStr">
        <is>
          <t>NOT AVAILABLE</t>
        </is>
      </c>
      <c r="I529" t="inlineStr">
        <is>
          <t>Differentiation</t>
        </is>
      </c>
      <c r="J529" t="inlineStr">
        <is>
          <t>UNAVAILABLE</t>
        </is>
      </c>
      <c r="K529">
        <f>ROUND(IF(ISNUMBER(G529),MIN(50,ROUND(50*LOG10(G529+1)/4,1)),5)+IF(ISNUMBER(H529),ROUND(30*(100-H529)/100,1),15)+IF(B529="New",20,10),0)</f>
        <v/>
      </c>
      <c r="L529" t="inlineStr">
        <is>
          <t>KEEP</t>
        </is>
      </c>
      <c r="M529" s="5" t="inlineStr">
        <is>
          <t>Relevant to page intent</t>
        </is>
      </c>
      <c r="N529" s="5" t="inlineStr">
        <is>
          <t>« Retirer le suivi » ne supprime que les paramètres publicitaires et analytiques connus et conserve ceux qui changent le contenu (pagination, filtres). « Tout retirer » supprime toute la chaîne de req</t>
        </is>
      </c>
      <c r="O529" t="inlineStr">
        <is>
          <t>P3</t>
        </is>
      </c>
      <c r="P529" t="inlineStr">
        <is>
          <t>Visible only (no FAQPage schema)</t>
        </is>
      </c>
    </row>
    <row r="530">
      <c r="A530" s="3" t="inlineStr">
        <is>
          <t>https://codesommet.com/tools/url-editor</t>
        </is>
      </c>
      <c r="B530" t="inlineStr">
        <is>
          <t>Existing</t>
        </is>
      </c>
      <c r="C530" s="5" t="inlineStr">
        <is>
          <t>Les URL sont-elles envoyées quelque part ?</t>
        </is>
      </c>
      <c r="D530" t="inlineStr">
        <is>
          <t>nettoyer url</t>
        </is>
      </c>
      <c r="E530" t="inlineStr">
        <is>
          <t>fr</t>
        </is>
      </c>
      <c r="F530" s="5" t="inlineStr"/>
      <c r="G530" t="inlineStr">
        <is>
          <t>NOT AVAILABLE</t>
        </is>
      </c>
      <c r="H530" t="inlineStr">
        <is>
          <t>NOT AVAILABLE</t>
        </is>
      </c>
      <c r="I530" t="inlineStr">
        <is>
          <t>Service scope</t>
        </is>
      </c>
      <c r="J530" t="inlineStr">
        <is>
          <t>UNAVAILABLE</t>
        </is>
      </c>
      <c r="K530">
        <f>ROUND(IF(ISNUMBER(G530),MIN(50,ROUND(50*LOG10(G530+1)/4,1)),5)+IF(ISNUMBER(H530),ROUND(30*(100-H530)/100,1),15)+IF(B530="New",20,10),0)</f>
        <v/>
      </c>
      <c r="L530" t="inlineStr">
        <is>
          <t>IMPROVE</t>
        </is>
      </c>
      <c r="M530" s="5" t="inlineStr">
        <is>
          <t>Short answer (99 chars) - add specifics</t>
        </is>
      </c>
      <c r="N530" s="5" t="inlineStr">
        <is>
          <t>Non. Tout le traitement se fait dans votre navigateur : la liste ne quitte jamais votre ordinateur.</t>
        </is>
      </c>
      <c r="O530" t="inlineStr">
        <is>
          <t>P3</t>
        </is>
      </c>
      <c r="P530" t="inlineStr">
        <is>
          <t>Visible only (no FAQPage schema)</t>
        </is>
      </c>
    </row>
    <row r="531">
      <c r="A531" s="3" t="inlineStr">
        <is>
          <t>https://codesommet.com/tools/url-editor</t>
        </is>
      </c>
      <c r="B531" t="inlineStr">
        <is>
          <t>Existing</t>
        </is>
      </c>
      <c r="C531" s="5" t="inlineStr">
        <is>
          <t>Que deviennent les lignes qui ne sont pas des URL ?</t>
        </is>
      </c>
      <c r="D531" t="inlineStr">
        <is>
          <t>nettoyer url</t>
        </is>
      </c>
      <c r="E531" t="inlineStr">
        <is>
          <t>fr</t>
        </is>
      </c>
      <c r="F531" s="5" t="inlineStr"/>
      <c r="G531" t="inlineStr">
        <is>
          <t>NOT AVAILABLE</t>
        </is>
      </c>
      <c r="H531" t="inlineStr">
        <is>
          <t>NOT AVAILABLE</t>
        </is>
      </c>
      <c r="I531" t="inlineStr">
        <is>
          <t>Service scope</t>
        </is>
      </c>
      <c r="J531" t="inlineStr">
        <is>
          <t>UNAVAILABLE</t>
        </is>
      </c>
      <c r="K531">
        <f>ROUND(IF(ISNUMBER(G531),MIN(50,ROUND(50*LOG10(G531+1)/4,1)),5)+IF(ISNUMBER(H531),ROUND(30*(100-H531)/100,1),15)+IF(B531="New",20,10),0)</f>
        <v/>
      </c>
      <c r="L531" t="inlineStr">
        <is>
          <t>KEEP</t>
        </is>
      </c>
      <c r="M531" s="5" t="inlineStr">
        <is>
          <t>Relevant to page intent</t>
        </is>
      </c>
      <c r="N531" s="5" t="inlineStr">
        <is>
          <t>Elles sont mises de côté et listées séparément pour que vous puissiez les corriger, au lieu d'être silencieusement supprimées.</t>
        </is>
      </c>
      <c r="O531" t="inlineStr">
        <is>
          <t>P3</t>
        </is>
      </c>
      <c r="P531" t="inlineStr">
        <is>
          <t>Visible only (no FAQPage schema)</t>
        </is>
      </c>
    </row>
    <row r="532">
      <c r="A532" s="3" t="inlineStr">
        <is>
          <t>https://codesommet.com/tools/url-editor</t>
        </is>
      </c>
      <c r="B532" t="inlineStr">
        <is>
          <t>Existing</t>
        </is>
      </c>
      <c r="C532" s="5" t="inlineStr">
        <is>
          <t>La barre oblique finale est-elle importante ?</t>
        </is>
      </c>
      <c r="D532" t="inlineStr">
        <is>
          <t>nettoyer url</t>
        </is>
      </c>
      <c r="E532" t="inlineStr">
        <is>
          <t>fr</t>
        </is>
      </c>
      <c r="F532" s="5" t="inlineStr"/>
      <c r="G532" t="inlineStr">
        <is>
          <t>NOT AVAILABLE</t>
        </is>
      </c>
      <c r="H532" t="inlineStr">
        <is>
          <t>NOT AVAILABLE</t>
        </is>
      </c>
      <c r="I532" t="inlineStr">
        <is>
          <t>Service scope</t>
        </is>
      </c>
      <c r="J532" t="inlineStr">
        <is>
          <t>UNAVAILABLE</t>
        </is>
      </c>
      <c r="K532">
        <f>ROUND(IF(ISNUMBER(G532),MIN(50,ROUND(50*LOG10(G532+1)/4,1)),5)+IF(ISNUMBER(H532),ROUND(30*(100-H532)/100,1),15)+IF(B532="New",20,10),0)</f>
        <v/>
      </c>
      <c r="L532" t="inlineStr">
        <is>
          <t>KEEP</t>
        </is>
      </c>
      <c r="M532" s="5" t="inlineStr">
        <is>
          <t>Relevant to page intent</t>
        </is>
      </c>
      <c r="N532" s="5" t="inlineStr">
        <is>
          <t>Pour un serveur, /page et /page/ sont deux adresses différentes. Choisissez une convention et appliquez-la partout (liens internes, sitemap, canonical) ; l'option « retirer la barre finale » vous aide</t>
        </is>
      </c>
      <c r="O532" t="inlineStr">
        <is>
          <t>P3</t>
        </is>
      </c>
      <c r="P532" t="inlineStr">
        <is>
          <t>Visible only (no FAQPage schema)</t>
        </is>
      </c>
    </row>
    <row r="533">
      <c r="A533" s="3" t="inlineStr">
        <is>
          <t>https://codesommet.com/tools/url-slug-generator</t>
        </is>
      </c>
      <c r="B533" t="inlineStr">
        <is>
          <t>Existing</t>
        </is>
      </c>
      <c r="C533" s="5" t="inlineStr">
        <is>
          <t>Qu'est-ce qu'un slug URL et pourquoi est-il important pour le SEO ?</t>
        </is>
      </c>
      <c r="D533" t="inlineStr">
        <is>
          <t>slug seo</t>
        </is>
      </c>
      <c r="E533" t="inlineStr">
        <is>
          <t>fr</t>
        </is>
      </c>
      <c r="F533" s="5" t="inlineStr"/>
      <c r="G533" t="n">
        <v>170</v>
      </c>
      <c r="H533" t="n">
        <v>13</v>
      </c>
      <c r="I533" t="inlineStr">
        <is>
          <t>SEO</t>
        </is>
      </c>
      <c r="J533" t="inlineStr">
        <is>
          <t>MEASURED</t>
        </is>
      </c>
      <c r="K533">
        <f>ROUND(IF(ISNUMBER(G533),MIN(50,ROUND(50*LOG10(G533+1)/4,1)),5)+IF(ISNUMBER(H533),ROUND(30*(100-H533)/100,1),15)+IF(B533="New",20,10),0)</f>
        <v/>
      </c>
      <c r="L533" t="inlineStr">
        <is>
          <t>KEEP</t>
        </is>
      </c>
      <c r="M533" s="5" t="inlineStr">
        <is>
          <t>Relevant to page intent</t>
        </is>
      </c>
      <c r="N533" s="5" t="inlineStr">
        <is>
          <t>La longueur idéale d'un slug URL est de 3 à 5 mots ou 30 à 60 caractères. Les slugs plus courts sont plus faciles à lire, partager et mémoriser, tout en étant suffisamment descriptifs pour le SEO. Évi</t>
        </is>
      </c>
      <c r="O533" t="inlineStr">
        <is>
          <t>P3</t>
        </is>
      </c>
      <c r="P533" t="inlineStr">
        <is>
          <t>Visible only (no FAQPage schema)</t>
        </is>
      </c>
    </row>
    <row r="534">
      <c r="A534" s="3" t="inlineStr">
        <is>
          <t>https://codesommet.com/tools/url-slug-generator</t>
        </is>
      </c>
      <c r="B534" t="inlineStr">
        <is>
          <t>Existing</t>
        </is>
      </c>
      <c r="C534" s="5" t="inlineStr">
        <is>
          <t>Comment gérer les caractères spéciaux et les mots vides ?</t>
        </is>
      </c>
      <c r="D534" t="inlineStr">
        <is>
          <t>slug seo</t>
        </is>
      </c>
      <c r="E534" t="inlineStr">
        <is>
          <t>fr</t>
        </is>
      </c>
      <c r="F534" s="5" t="inlineStr"/>
      <c r="G534" t="n">
        <v>170</v>
      </c>
      <c r="H534" t="n">
        <v>13</v>
      </c>
      <c r="I534" t="inlineStr">
        <is>
          <t>Service scope</t>
        </is>
      </c>
      <c r="J534" t="inlineStr">
        <is>
          <t>MEASURED</t>
        </is>
      </c>
      <c r="K534">
        <f>ROUND(IF(ISNUMBER(G534),MIN(50,ROUND(50*LOG10(G534+1)/4,1)),5)+IF(ISNUMBER(H534),ROUND(30*(100-H534)/100,1),15)+IF(B534="New",20,10),0)</f>
        <v/>
      </c>
      <c r="L534" t="inlineStr">
        <is>
          <t>KEEP</t>
        </is>
      </c>
      <c r="M534" s="5" t="inlineStr">
        <is>
          <t>Relevant to page intent</t>
        </is>
      </c>
      <c r="N534" s="5" t="inlineStr">
        <is>
          <t>Changer un slug URL existant peut impacter le SEO s'il n'est pas fait correctement. Si vous devez changer un slug, implémentez toujours une redirection 301 de l'ancienne URL vers la nouvelle pour prés</t>
        </is>
      </c>
      <c r="O534" t="inlineStr">
        <is>
          <t>P3</t>
        </is>
      </c>
      <c r="P534" t="inlineStr">
        <is>
          <t>Visible only (no FAQPage schema)</t>
        </is>
      </c>
    </row>
    <row r="535">
      <c r="A535" s="3" t="inlineStr">
        <is>
          <t>https://codesommet.com/tools/url-slug-generator</t>
        </is>
      </c>
      <c r="B535" t="inlineStr">
        <is>
          <t>Existing</t>
        </is>
      </c>
      <c r="C535" s="5" t="inlineStr">
        <is>
          <t>Quelles sont les différentes variantes de slug et quand les utiliser ?</t>
        </is>
      </c>
      <c r="D535" t="inlineStr">
        <is>
          <t>slug seo</t>
        </is>
      </c>
      <c r="E535" t="inlineStr">
        <is>
          <t>fr</t>
        </is>
      </c>
      <c r="F535" s="5" t="inlineStr"/>
      <c r="G535" t="n">
        <v>170</v>
      </c>
      <c r="H535" t="n">
        <v>13</v>
      </c>
      <c r="I535" t="inlineStr">
        <is>
          <t>Timeline</t>
        </is>
      </c>
      <c r="J535" t="inlineStr">
        <is>
          <t>MEASURED</t>
        </is>
      </c>
      <c r="K535">
        <f>ROUND(IF(ISNUMBER(G535),MIN(50,ROUND(50*LOG10(G535+1)/4,1)),5)+IF(ISNUMBER(H535),ROUND(30*(100-H535)/100,1),15)+IF(B535="New",20,10),0)</f>
        <v/>
      </c>
      <c r="L535" t="inlineStr">
        <is>
          <t>KEEP</t>
        </is>
      </c>
      <c r="M535" s="5" t="inlineStr">
        <is>
          <t>Matches measured pre-purchase demand</t>
        </is>
      </c>
      <c r="N535" s="5" t="inlineStr">
        <is>
          <t>Notre outil fournit trois variantes : Standard (recommandé pour la plupart des cas) supprime les mots vides tout en gardant les premier et dernier mots pour le contexte ; SEO Strict optimise agressive</t>
        </is>
      </c>
      <c r="O535" t="inlineStr">
        <is>
          <t>P3</t>
        </is>
      </c>
      <c r="P535" t="inlineStr">
        <is>
          <t>Visible only (no FAQPage schema)</t>
        </is>
      </c>
    </row>
    <row r="536">
      <c r="A536" s="3" t="inlineStr">
        <is>
          <t>https://codesommet.com/tools/utm-builder</t>
        </is>
      </c>
      <c r="B536" t="inlineStr">
        <is>
          <t>Existing</t>
        </is>
      </c>
      <c r="C536" s="5" t="inlineStr">
        <is>
          <t>Que sont les paramètres UTM et pourquoi les utiliser ?</t>
        </is>
      </c>
      <c r="D536" t="inlineStr">
        <is>
          <t>utm</t>
        </is>
      </c>
      <c r="E536" t="inlineStr">
        <is>
          <t>fr</t>
        </is>
      </c>
      <c r="F536" s="5" t="inlineStr"/>
      <c r="G536" t="n">
        <v>5400</v>
      </c>
      <c r="H536" t="n">
        <v>36</v>
      </c>
      <c r="I536" t="inlineStr">
        <is>
          <t>Definition / how it works</t>
        </is>
      </c>
      <c r="J536" t="inlineStr">
        <is>
          <t>MEASURED</t>
        </is>
      </c>
      <c r="K536">
        <f>ROUND(IF(ISNUMBER(G536),MIN(50,ROUND(50*LOG10(G536+1)/4,1)),5)+IF(ISNUMBER(H536),ROUND(30*(100-H536)/100,1),15)+IF(B536="New",20,10),0)</f>
        <v/>
      </c>
      <c r="L536" t="inlineStr">
        <is>
          <t>KEEP</t>
        </is>
      </c>
      <c r="M536" s="5" t="inlineStr">
        <is>
          <t>Relevant to page intent</t>
        </is>
      </c>
      <c r="N536" s="5" t="inlineStr">
        <is>
          <t xml:space="preserve">UTM parameters are tags added to URLs that help track the performance of marketing campaigns in Google Analytics. They allow you to see exactly where your traffic comes from, which campaigns are most </t>
        </is>
      </c>
      <c r="O536" t="inlineStr">
        <is>
          <t>P3</t>
        </is>
      </c>
      <c r="P536" t="inlineStr">
        <is>
          <t>Visible only (no FAQPage schema)</t>
        </is>
      </c>
    </row>
    <row r="537">
      <c r="A537" s="3" t="inlineStr">
        <is>
          <t>https://codesommet.com/tools/utm-builder</t>
        </is>
      </c>
      <c r="B537" t="inlineStr">
        <is>
          <t>Existing</t>
        </is>
      </c>
      <c r="C537" s="5" t="inlineStr">
        <is>
          <t>Quels paramètres UTM sont requis vs optionnels ?</t>
        </is>
      </c>
      <c r="D537" t="inlineStr">
        <is>
          <t>utm</t>
        </is>
      </c>
      <c r="E537" t="inlineStr">
        <is>
          <t>fr</t>
        </is>
      </c>
      <c r="F537" s="5" t="inlineStr"/>
      <c r="G537" t="n">
        <v>5400</v>
      </c>
      <c r="H537" t="n">
        <v>36</v>
      </c>
      <c r="I537" t="inlineStr">
        <is>
          <t>Service scope</t>
        </is>
      </c>
      <c r="J537" t="inlineStr">
        <is>
          <t>MEASURED</t>
        </is>
      </c>
      <c r="K537">
        <f>ROUND(IF(ISNUMBER(G537),MIN(50,ROUND(50*LOG10(G537+1)/4,1)),5)+IF(ISNUMBER(H537),ROUND(30*(100-H537)/100,1),15)+IF(B537="New",20,10),0)</f>
        <v/>
      </c>
      <c r="L537" t="inlineStr">
        <is>
          <t>KEEP</t>
        </is>
      </c>
      <c r="M537" s="5" t="inlineStr">
        <is>
          <t>Relevant to page intent</t>
        </is>
      </c>
      <c r="N537" s="5" t="inlineStr">
        <is>
          <t>Three parameters are required: utm_source (identifies traffic source like 'google'), utm_medium (identifies marketing channel like 'cpc' or 'email'), and utm_campaign (identifies the specific campaign</t>
        </is>
      </c>
      <c r="O537" t="inlineStr">
        <is>
          <t>P3</t>
        </is>
      </c>
      <c r="P537" t="inlineStr">
        <is>
          <t>Visible only (no FAQPage schema)</t>
        </is>
      </c>
    </row>
    <row r="538">
      <c r="A538" s="3" t="inlineStr">
        <is>
          <t>https://codesommet.com/tools/utm-builder</t>
        </is>
      </c>
      <c r="B538" t="inlineStr">
        <is>
          <t>Existing</t>
        </is>
      </c>
      <c r="C538" s="5" t="inlineStr">
        <is>
          <t>Quelles conventions de nommage suivre pour les paramètres UTM ?</t>
        </is>
      </c>
      <c r="D538" t="inlineStr">
        <is>
          <t>utm</t>
        </is>
      </c>
      <c r="E538" t="inlineStr">
        <is>
          <t>fr</t>
        </is>
      </c>
      <c r="F538" s="5" t="inlineStr"/>
      <c r="G538" t="n">
        <v>5400</v>
      </c>
      <c r="H538" t="n">
        <v>36</v>
      </c>
      <c r="I538" t="inlineStr">
        <is>
          <t>Service scope</t>
        </is>
      </c>
      <c r="J538" t="inlineStr">
        <is>
          <t>MEASURED</t>
        </is>
      </c>
      <c r="K538">
        <f>ROUND(IF(ISNUMBER(G538),MIN(50,ROUND(50*LOG10(G538+1)/4,1)),5)+IF(ISNUMBER(H538),ROUND(30*(100-H538)/100,1),15)+IF(B538="New",20,10),0)</f>
        <v/>
      </c>
      <c r="L538" t="inlineStr">
        <is>
          <t>KEEP</t>
        </is>
      </c>
      <c r="M538" s="5" t="inlineStr">
        <is>
          <t>Relevant to page intent</t>
        </is>
      </c>
      <c r="N538" s="5" t="inlineStr">
        <is>
          <t>Always use lowercase letters and replace spaces with underscores (e.g., 'summer_sale' not 'Summer Sale'). Be consistent across all campaigns-decide on a naming structure and stick to it. Avoid special</t>
        </is>
      </c>
      <c r="O538" t="inlineStr">
        <is>
          <t>P3</t>
        </is>
      </c>
      <c r="P538" t="inlineStr">
        <is>
          <t>Visible only (no FAQPage schema)</t>
        </is>
      </c>
    </row>
    <row r="539">
      <c r="A539" s="3" t="inlineStr">
        <is>
          <t>https://codesommet.com/tools/utm-builder</t>
        </is>
      </c>
      <c r="B539" t="inlineStr">
        <is>
          <t>Existing</t>
        </is>
      </c>
      <c r="C539" s="5" t="inlineStr">
        <is>
          <t>Comment les paramètres UTM fonctionnent-ils avec Google Analytics ?</t>
        </is>
      </c>
      <c r="D539" t="inlineStr">
        <is>
          <t>utm</t>
        </is>
      </c>
      <c r="E539" t="inlineStr">
        <is>
          <t>fr</t>
        </is>
      </c>
      <c r="F539" s="5" t="inlineStr"/>
      <c r="G539" t="n">
        <v>5400</v>
      </c>
      <c r="H539" t="n">
        <v>36</v>
      </c>
      <c r="I539" t="inlineStr">
        <is>
          <t>SEO</t>
        </is>
      </c>
      <c r="J539" t="inlineStr">
        <is>
          <t>MEASURED</t>
        </is>
      </c>
      <c r="K539">
        <f>ROUND(IF(ISNUMBER(G539),MIN(50,ROUND(50*LOG10(G539+1)/4,1)),5)+IF(ISNUMBER(H539),ROUND(30*(100-H539)/100,1),15)+IF(B539="New",20,10),0)</f>
        <v/>
      </c>
      <c r="L539" t="inlineStr">
        <is>
          <t>KEEP</t>
        </is>
      </c>
      <c r="M539" s="5" t="inlineStr">
        <is>
          <t>Relevant to page intent</t>
        </is>
      </c>
      <c r="N539" s="5" t="inlineStr">
        <is>
          <t>When someone clicks a URL with UTM parameters, Google Analytics automatically captures those parameters and organizes your traffic data by source, medium, and campaign. You can view this data in the A</t>
        </is>
      </c>
      <c r="O539" t="inlineStr">
        <is>
          <t>P3</t>
        </is>
      </c>
      <c r="P539" t="inlineStr">
        <is>
          <t>Visible only (no FAQPage schema)</t>
        </is>
      </c>
    </row>
    <row r="540">
      <c r="A540" s="3" t="inlineStr">
        <is>
          <t>https://codesommet.com/tools/utm-builder</t>
        </is>
      </c>
      <c r="B540" t="inlineStr">
        <is>
          <t>Existing</t>
        </is>
      </c>
      <c r="C540" s="5" t="inlineStr">
        <is>
          <t>Dois-je raccourcir les URL avec UTM avant de les partager ?</t>
        </is>
      </c>
      <c r="D540" t="inlineStr">
        <is>
          <t>utm</t>
        </is>
      </c>
      <c r="E540" t="inlineStr">
        <is>
          <t>fr</t>
        </is>
      </c>
      <c r="F540" s="5" t="inlineStr"/>
      <c r="G540" t="n">
        <v>5400</v>
      </c>
      <c r="H540" t="n">
        <v>36</v>
      </c>
      <c r="I540" t="inlineStr">
        <is>
          <t>Service scope</t>
        </is>
      </c>
      <c r="J540" t="inlineStr">
        <is>
          <t>MEASURED</t>
        </is>
      </c>
      <c r="K540">
        <f>ROUND(IF(ISNUMBER(G540),MIN(50,ROUND(50*LOG10(G540+1)/4,1)),5)+IF(ISNUMBER(H540),ROUND(30*(100-H540)/100,1),15)+IF(B540="New",20,10),0)</f>
        <v/>
      </c>
      <c r="L540" t="inlineStr">
        <is>
          <t>KEEP</t>
        </is>
      </c>
      <c r="M540" s="5" t="inlineStr">
        <is>
          <t>Relevant to page intent</t>
        </is>
      </c>
      <c r="N540" s="5" t="inlineStr">
        <is>
          <t xml:space="preserve">Yes, it's highly recommended to use URL shorteners like Bitly or TinyURL for UTM-tagged URLs, especially for social media and printed materials. Long URLs with multiple parameters look unprofessional </t>
        </is>
      </c>
      <c r="O540" t="inlineStr">
        <is>
          <t>P3</t>
        </is>
      </c>
      <c r="P540" t="inlineStr">
        <is>
          <t>Visible only (no FAQPage schema)</t>
        </is>
      </c>
    </row>
    <row r="541">
      <c r="A541" s="3" t="inlineStr">
        <is>
          <t>https://codesommet.com/tools/utm-builder</t>
        </is>
      </c>
      <c r="B541" t="inlineStr">
        <is>
          <t>Existing</t>
        </is>
      </c>
      <c r="C541" s="5" t="inlineStr">
        <is>
          <t>Quelles sont les erreurs courantes à éviter avec les paramètres UTM ?</t>
        </is>
      </c>
      <c r="D541" t="inlineStr">
        <is>
          <t>utm</t>
        </is>
      </c>
      <c r="E541" t="inlineStr">
        <is>
          <t>fr</t>
        </is>
      </c>
      <c r="F541" s="5" t="inlineStr"/>
      <c r="G541" t="n">
        <v>5400</v>
      </c>
      <c r="H541" t="n">
        <v>36</v>
      </c>
      <c r="I541" t="inlineStr">
        <is>
          <t>Service scope</t>
        </is>
      </c>
      <c r="J541" t="inlineStr">
        <is>
          <t>MEASURED</t>
        </is>
      </c>
      <c r="K541">
        <f>ROUND(IF(ISNUMBER(G541),MIN(50,ROUND(50*LOG10(G541+1)/4,1)),5)+IF(ISNUMBER(H541),ROUND(30*(100-H541)/100,1),15)+IF(B541="New",20,10),0)</f>
        <v/>
      </c>
      <c r="L541" t="inlineStr">
        <is>
          <t>KEEP</t>
        </is>
      </c>
      <c r="M541" s="5" t="inlineStr">
        <is>
          <t>Relevant to page intent</t>
        </is>
      </c>
      <c r="N541" s="5" t="inlineStr">
        <is>
          <t>Avoid inconsistent naming (using both 'Facebook' and 'facebook'), using spaces instead of underscores, adding UTM parameters to internal links (this breaks your analytics), forgetting to encode specia</t>
        </is>
      </c>
      <c r="O541" t="inlineStr">
        <is>
          <t>P3</t>
        </is>
      </c>
      <c r="P541" t="inlineStr">
        <is>
          <t>Visible only (no FAQPage schema)</t>
        </is>
      </c>
    </row>
    <row r="542">
      <c r="A542" s="3" t="inlineStr">
        <is>
          <t>https://codesommet.com/tools/utm-builder</t>
        </is>
      </c>
      <c r="B542" t="inlineStr">
        <is>
          <t>Existing</t>
        </is>
      </c>
      <c r="C542" s="5" t="inlineStr">
        <is>
          <t>Puis-je utiliser des paramètres UTM pour le trafic non payant ?</t>
        </is>
      </c>
      <c r="D542" t="inlineStr">
        <is>
          <t>utm</t>
        </is>
      </c>
      <c r="E542" t="inlineStr">
        <is>
          <t>fr</t>
        </is>
      </c>
      <c r="F542" s="5" t="inlineStr"/>
      <c r="G542" t="n">
        <v>5400</v>
      </c>
      <c r="H542" t="n">
        <v>36</v>
      </c>
      <c r="I542" t="inlineStr">
        <is>
          <t>Service scope</t>
        </is>
      </c>
      <c r="J542" t="inlineStr">
        <is>
          <t>MEASURED</t>
        </is>
      </c>
      <c r="K542">
        <f>ROUND(IF(ISNUMBER(G542),MIN(50,ROUND(50*LOG10(G542+1)/4,1)),5)+IF(ISNUMBER(H542),ROUND(30*(100-H542)/100,1),15)+IF(B542="New",20,10),0)</f>
        <v/>
      </c>
      <c r="L542" t="inlineStr">
        <is>
          <t>KEEP</t>
        </is>
      </c>
      <c r="M542" s="5" t="inlineStr">
        <is>
          <t>Relevant to page intent</t>
        </is>
      </c>
      <c r="N542" s="5" t="inlineStr">
        <is>
          <t>Absolutely! UTM parameters work for any traffic source, not just paid ads. Use them for email newsletters (medium=email), organic social posts (medium=social), blog guest posts (medium=referral), QR c</t>
        </is>
      </c>
      <c r="O542" t="inlineStr">
        <is>
          <t>P3</t>
        </is>
      </c>
      <c r="P542" t="inlineStr">
        <is>
          <t>Visible only (no FAQPage schema)</t>
        </is>
      </c>
    </row>
    <row r="543">
      <c r="A543" s="3" t="inlineStr">
        <is>
          <t>https://codesommet.com/tools/website-analyzer</t>
        </is>
      </c>
      <c r="B543" t="inlineStr">
        <is>
          <t>Existing</t>
        </is>
      </c>
      <c r="C543" s="5" t="inlineStr">
        <is>
          <t>Que vérifie l'Analyseur de site web ?</t>
        </is>
      </c>
      <c r="D543" t="inlineStr">
        <is>
          <t>analyseur site web</t>
        </is>
      </c>
      <c r="E543" t="inlineStr">
        <is>
          <t>fr</t>
        </is>
      </c>
      <c r="F543" s="5" t="inlineStr"/>
      <c r="G543" t="n">
        <v>260</v>
      </c>
      <c r="H543" t="n">
        <v>43</v>
      </c>
      <c r="I543" t="inlineStr">
        <is>
          <t>Service scope</t>
        </is>
      </c>
      <c r="J543" t="inlineStr">
        <is>
          <t>MEASURED</t>
        </is>
      </c>
      <c r="K543">
        <f>ROUND(IF(ISNUMBER(G543),MIN(50,ROUND(50*LOG10(G543+1)/4,1)),5)+IF(ISNUMBER(H543),ROUND(30*(100-H543)/100,1),15)+IF(B543="New",20,10),0)</f>
        <v/>
      </c>
      <c r="L543" t="inlineStr">
        <is>
          <t>KEEP</t>
        </is>
      </c>
      <c r="M543" s="5" t="inlineStr">
        <is>
          <t>Relevant to page intent</t>
        </is>
      </c>
      <c r="N543" s="5" t="inlineStr">
        <is>
          <t xml:space="preserve">L'Analyseur de site web effectue plus de 40 vérifications complètes dans 5 catégories : Analyse SEO (balises meta, titres, balisage schema), Performance (Core Web Vitals, vitesse de page), Qualité du </t>
        </is>
      </c>
      <c r="O543" t="inlineStr">
        <is>
          <t>P2</t>
        </is>
      </c>
      <c r="P543" t="inlineStr">
        <is>
          <t>Visible only (no FAQPage schema)</t>
        </is>
      </c>
    </row>
    <row r="544">
      <c r="A544" s="3" t="inlineStr">
        <is>
          <t>https://codesommet.com/tools/website-analyzer</t>
        </is>
      </c>
      <c r="B544" t="inlineStr">
        <is>
          <t>Existing</t>
        </is>
      </c>
      <c r="C544" s="5" t="inlineStr">
        <is>
          <t>Comment fonctionne l'analyse du design ?</t>
        </is>
      </c>
      <c r="D544" t="inlineStr">
        <is>
          <t>analyse site web gratuit</t>
        </is>
      </c>
      <c r="E544" t="inlineStr">
        <is>
          <t>fr</t>
        </is>
      </c>
      <c r="F544" s="5" t="inlineStr"/>
      <c r="G544" t="n">
        <v>880</v>
      </c>
      <c r="H544" t="n">
        <v>37</v>
      </c>
      <c r="I544" t="inlineStr">
        <is>
          <t>Definition / how it works</t>
        </is>
      </c>
      <c r="J544" t="inlineStr">
        <is>
          <t>MEASURED</t>
        </is>
      </c>
      <c r="K544">
        <f>ROUND(IF(ISNUMBER(G544),MIN(50,ROUND(50*LOG10(G544+1)/4,1)),5)+IF(ISNUMBER(H544),ROUND(30*(100-H544)/100,1),15)+IF(B544="New",20,10),0)</f>
        <v/>
      </c>
      <c r="L544" t="inlineStr">
        <is>
          <t>KEEP</t>
        </is>
      </c>
      <c r="M544" s="5" t="inlineStr">
        <is>
          <t>Relevant to page intent</t>
        </is>
      </c>
      <c r="N544" s="5" t="inlineStr">
        <is>
          <t xml:space="preserve">Notre Analyseur de site web utilise des algorithmes avancés de vision par ordinateur pour analyser les captures de votre site et évaluer la qualité du design, l'harmonie des couleurs, la typographie, </t>
        </is>
      </c>
      <c r="O544" t="inlineStr">
        <is>
          <t>P2</t>
        </is>
      </c>
      <c r="P544" t="inlineStr">
        <is>
          <t>Visible only (no FAQPage schema)</t>
        </is>
      </c>
    </row>
    <row r="545">
      <c r="A545" s="3" t="inlineStr">
        <is>
          <t>https://codesommet.com/tools/website-analyzer</t>
        </is>
      </c>
      <c r="B545" t="inlineStr">
        <is>
          <t>Existing</t>
        </is>
      </c>
      <c r="C545" s="5" t="inlineStr">
        <is>
          <t>Que sont les Core Web Vitals et pourquoi sont-ils importants ?</t>
        </is>
      </c>
      <c r="D545" t="inlineStr">
        <is>
          <t>audit seo gratuit</t>
        </is>
      </c>
      <c r="E545" t="inlineStr">
        <is>
          <t>fr</t>
        </is>
      </c>
      <c r="F545" s="5" t="inlineStr"/>
      <c r="G545" t="n">
        <v>1900</v>
      </c>
      <c r="H545" t="n">
        <v>31</v>
      </c>
      <c r="I545" t="inlineStr">
        <is>
          <t>Definition / how it works</t>
        </is>
      </c>
      <c r="J545" t="inlineStr">
        <is>
          <t>MEASURED</t>
        </is>
      </c>
      <c r="K545">
        <f>ROUND(IF(ISNUMBER(G545),MIN(50,ROUND(50*LOG10(G545+1)/4,1)),5)+IF(ISNUMBER(H545),ROUND(30*(100-H545)/100,1),15)+IF(B545="New",20,10),0)</f>
        <v/>
      </c>
      <c r="L545" t="inlineStr">
        <is>
          <t>KEEP</t>
        </is>
      </c>
      <c r="M545" s="5" t="inlineStr">
        <is>
          <t>Relevant to page intent</t>
        </is>
      </c>
      <c r="N545" s="5" t="inlineStr">
        <is>
          <t>Les Core Web Vitals sont les métriques de Google pour mesurer l'expérience utilisateur : Largest Contentful Paint (LCP), First Input Delay (FID) et Cumulative Layout Shift (CLS). Notre analyseur les m</t>
        </is>
      </c>
      <c r="O545" t="inlineStr">
        <is>
          <t>P2</t>
        </is>
      </c>
      <c r="P545" t="inlineStr">
        <is>
          <t>Visible only (no FAQPage schema)</t>
        </is>
      </c>
    </row>
    <row r="546">
      <c r="A546" s="3" t="inlineStr">
        <is>
          <t>https://codesommet.com/tools/website-analyzer</t>
        </is>
      </c>
      <c r="B546" t="inlineStr">
        <is>
          <t>Existing</t>
        </is>
      </c>
      <c r="C546" s="5" t="inlineStr">
        <is>
          <t>Quel est le niveau de précision de la détection du secteur ?</t>
        </is>
      </c>
      <c r="D546" t="inlineStr">
        <is>
          <t>audit seo gratuit</t>
        </is>
      </c>
      <c r="E546" t="inlineStr">
        <is>
          <t>fr</t>
        </is>
      </c>
      <c r="F546" s="5" t="inlineStr"/>
      <c r="G546" t="n">
        <v>1900</v>
      </c>
      <c r="H546" t="n">
        <v>31</v>
      </c>
      <c r="I546" t="inlineStr">
        <is>
          <t>Service scope</t>
        </is>
      </c>
      <c r="J546" t="inlineStr">
        <is>
          <t>MEASURED</t>
        </is>
      </c>
      <c r="K546">
        <f>ROUND(IF(ISNUMBER(G546),MIN(50,ROUND(50*LOG10(G546+1)/4,1)),5)+IF(ISNUMBER(H546),ROUND(30*(100-H546)/100,1),15)+IF(B546="New",20,10),0)</f>
        <v/>
      </c>
      <c r="L546" t="inlineStr">
        <is>
          <t>KEEP</t>
        </is>
      </c>
      <c r="M546" s="5" t="inlineStr">
        <is>
          <t>Relevant to page intent</t>
        </is>
      </c>
      <c r="N546" s="5" t="inlineStr">
        <is>
          <t>Notre détecteur sectoriel intelligent analyse le contenu de votre site et le classe dans plus de 16 secteurs avec des scores de confiance. Il permet de comparer votre site à des standards sectoriels e</t>
        </is>
      </c>
      <c r="O546" t="inlineStr">
        <is>
          <t>P2</t>
        </is>
      </c>
      <c r="P546" t="inlineStr">
        <is>
          <t>Visible only (no FAQPage schema)</t>
        </is>
      </c>
    </row>
    <row r="547">
      <c r="A547" s="3" t="inlineStr">
        <is>
          <t>https://codesommet.com/tools/website-analyzer</t>
        </is>
      </c>
      <c r="B547" t="inlineStr">
        <is>
          <t>Existing</t>
        </is>
      </c>
      <c r="C547" s="5" t="inlineStr">
        <is>
          <t>Qu'est-ce qui est inclus dans le plan d'amélioration personnalisé ?</t>
        </is>
      </c>
      <c r="D547" t="inlineStr">
        <is>
          <t>audit seo gratuit</t>
        </is>
      </c>
      <c r="E547" t="inlineStr">
        <is>
          <t>fr</t>
        </is>
      </c>
      <c r="F547" s="5" t="inlineStr"/>
      <c r="G547" t="n">
        <v>1900</v>
      </c>
      <c r="H547" t="n">
        <v>31</v>
      </c>
      <c r="I547" t="inlineStr">
        <is>
          <t>Definition / how it works</t>
        </is>
      </c>
      <c r="J547" t="inlineStr">
        <is>
          <t>MEASURED</t>
        </is>
      </c>
      <c r="K547">
        <f>ROUND(IF(ISNUMBER(G547),MIN(50,ROUND(50*LOG10(G547+1)/4,1)),5)+IF(ISNUMBER(H547),ROUND(30*(100-H547)/100,1),15)+IF(B547="New",20,10),0)</f>
        <v/>
      </c>
      <c r="L547" t="inlineStr">
        <is>
          <t>KEEP</t>
        </is>
      </c>
      <c r="M547" s="5" t="inlineStr">
        <is>
          <t>Relevant to page intent</t>
        </is>
      </c>
      <c r="N547" s="5" t="inlineStr">
        <is>
          <t>La proposition automatisée inclut une matrice de priorité à 3 niveaux : Problèmes Critiques (Étape 1) pour la sécurité et les fonctionnalités, Opportunités de Croissance (Étape 2) pour le SEO et la pe</t>
        </is>
      </c>
      <c r="O547" t="inlineStr">
        <is>
          <t>P2</t>
        </is>
      </c>
      <c r="P547" t="inlineStr">
        <is>
          <t>Visible only (no FAQPage schema)</t>
        </is>
      </c>
    </row>
    <row r="548">
      <c r="A548" s="3" t="inlineStr">
        <is>
          <t>https://codesommet.com/tools/website-analyzer</t>
        </is>
      </c>
      <c r="B548" t="inlineStr">
        <is>
          <t>Existing</t>
        </is>
      </c>
      <c r="C548" s="5" t="inlineStr">
        <is>
          <t>? quelle fréquence l'analyse est-elle mise en cache ?</t>
        </is>
      </c>
      <c r="D548" t="inlineStr">
        <is>
          <t>analyse site web gratuit</t>
        </is>
      </c>
      <c r="E548" t="inlineStr">
        <is>
          <t>fr</t>
        </is>
      </c>
      <c r="F548" s="5" t="inlineStr"/>
      <c r="G548" t="n">
        <v>880</v>
      </c>
      <c r="H548" t="n">
        <v>37</v>
      </c>
      <c r="I548" t="inlineStr">
        <is>
          <t>Service scope</t>
        </is>
      </c>
      <c r="J548" t="inlineStr">
        <is>
          <t>MEASURED</t>
        </is>
      </c>
      <c r="K548">
        <f>ROUND(IF(ISNUMBER(G548),MIN(50,ROUND(50*LOG10(G548+1)/4,1)),5)+IF(ISNUMBER(H548),ROUND(30*(100-H548)/100,1),15)+IF(B548="New",20,10),0)</f>
        <v/>
      </c>
      <c r="L548" t="inlineStr">
        <is>
          <t>KEEP</t>
        </is>
      </c>
      <c r="M548" s="5" t="inlineStr">
        <is>
          <t>Relevant to page intent</t>
        </is>
      </c>
      <c r="N548" s="5" t="inlineStr">
        <is>
          <t xml:space="preserve">Les résultats d'analyse sont mis en cache pendant 15 minutes afin d'optimiser la performance et de limiter les requêtes vers le site analysé. Si vous analysez le même site dans ce délai, vous obtenez </t>
        </is>
      </c>
      <c r="O548" t="inlineStr">
        <is>
          <t>P2</t>
        </is>
      </c>
      <c r="P548" t="inlineStr">
        <is>
          <t>Visible only (no FAQPage schema)</t>
        </is>
      </c>
    </row>
    <row r="549">
      <c r="A549" s="3" t="inlineStr">
        <is>
          <t>https://codesommet.com/tools/website-analyzer</t>
        </is>
      </c>
      <c r="B549" t="inlineStr">
        <is>
          <t>Existing</t>
        </is>
      </c>
      <c r="C549" s="5" t="inlineStr">
        <is>
          <t>Puis-je partager les résultats de mon analyse de site web ?</t>
        </is>
      </c>
      <c r="D549" t="inlineStr">
        <is>
          <t>analyse site web gratuit</t>
        </is>
      </c>
      <c r="E549" t="inlineStr">
        <is>
          <t>fr</t>
        </is>
      </c>
      <c r="F549" s="5" t="inlineStr"/>
      <c r="G549" t="n">
        <v>880</v>
      </c>
      <c r="H549" t="n">
        <v>37</v>
      </c>
      <c r="I549" t="inlineStr">
        <is>
          <t>Service scope</t>
        </is>
      </c>
      <c r="J549" t="inlineStr">
        <is>
          <t>MEASURED</t>
        </is>
      </c>
      <c r="K549">
        <f>ROUND(IF(ISNUMBER(G549),MIN(50,ROUND(50*LOG10(G549+1)/4,1)),5)+IF(ISNUMBER(H549),ROUND(30*(100-H549)/100,1),15)+IF(B549="New",20,10),0)</f>
        <v/>
      </c>
      <c r="L549" t="inlineStr">
        <is>
          <t>KEEP</t>
        </is>
      </c>
      <c r="M549" s="5" t="inlineStr">
        <is>
          <t>Relevant to page intent</t>
        </is>
      </c>
      <c r="N549" s="5" t="inlineStr">
        <is>
          <t>Il n’existe pas encore de lien de partage dédié : les résultats s’affichent directement sur cette page. Pour suivre vos progrès, relancez simplement l’analyse après vos corrections (les résultats d’un</t>
        </is>
      </c>
      <c r="O549" t="inlineStr">
        <is>
          <t>P2</t>
        </is>
      </c>
      <c r="P549" t="inlineStr">
        <is>
          <t>Visible only (no FAQPage schema)</t>
        </is>
      </c>
    </row>
    <row r="550">
      <c r="A550" s="3" t="inlineStr">
        <is>
          <t>https://codesommet.com/tools/website-analyzer</t>
        </is>
      </c>
      <c r="B550" t="inlineStr">
        <is>
          <t>Existing</t>
        </is>
      </c>
      <c r="C550" s="5" t="inlineStr">
        <is>
          <t>Qu'est-ce qui différencie cet outil des autres analyseurs de site web ?</t>
        </is>
      </c>
      <c r="D550" t="inlineStr">
        <is>
          <t>audit seo gratuit</t>
        </is>
      </c>
      <c r="E550" t="inlineStr">
        <is>
          <t>fr</t>
        </is>
      </c>
      <c r="F550" s="5" t="inlineStr"/>
      <c r="G550" t="n">
        <v>1900</v>
      </c>
      <c r="H550" t="n">
        <v>31</v>
      </c>
      <c r="I550" t="inlineStr">
        <is>
          <t>Differentiation</t>
        </is>
      </c>
      <c r="J550" t="inlineStr">
        <is>
          <t>MEASURED</t>
        </is>
      </c>
      <c r="K550">
        <f>ROUND(IF(ISNUMBER(G550),MIN(50,ROUND(50*LOG10(G550+1)/4,1)),5)+IF(ISNUMBER(H550),ROUND(30*(100-H550)/100,1),15)+IF(B550="New",20,10),0)</f>
        <v/>
      </c>
      <c r="L550" t="inlineStr">
        <is>
          <t>KEEP</t>
        </is>
      </c>
      <c r="M550" s="5" t="inlineStr">
        <is>
          <t>Relevant to page intent</t>
        </is>
      </c>
      <c r="N550" s="5" t="inlineStr">
        <is>
          <t>Notre Analyseur de site web est le seul outil gratuit qui combine analyse avancée du design, détection sectorielle, propositions d'amélioration personnalisées et plus de 40 vérifications techniques. C</t>
        </is>
      </c>
      <c r="O550" t="inlineStr">
        <is>
          <t>P2</t>
        </is>
      </c>
      <c r="P550" t="inlineStr">
        <is>
          <t>Visible only (no FAQPage schema)</t>
        </is>
      </c>
    </row>
    <row r="551">
      <c r="A551" s="3" t="inlineStr">
        <is>
          <t>https://codesommet.com/tools/website-analyzer</t>
        </is>
      </c>
      <c r="B551" t="inlineStr">
        <is>
          <t>New</t>
        </is>
      </c>
      <c r="C551" s="5" t="inlineStr">
        <is>
          <t>L'audit SEO de ce site est-il vraiment gratuit et sans inscription ?</t>
        </is>
      </c>
      <c r="D551" t="inlineStr">
        <is>
          <t>audit seo gratuit</t>
        </is>
      </c>
      <c r="E551" t="inlineStr">
        <is>
          <t>fr</t>
        </is>
      </c>
      <c r="F551" s="5" t="inlineStr">
        <is>
          <t>audit site web gratuit [fr] 480; analyse site web gratuit [fr] 880; analyse seo gratuit [fr] 590</t>
        </is>
      </c>
      <c r="G551" t="n">
        <v>1900</v>
      </c>
      <c r="H551" t="n">
        <v>31</v>
      </c>
      <c r="I551" t="inlineStr">
        <is>
          <t>Question</t>
        </is>
      </c>
      <c r="J551" t="inlineStr">
        <is>
          <t>MEASURED</t>
        </is>
      </c>
      <c r="K551">
        <f>ROUND(IF(ISNUMBER(G551),MIN(50,ROUND(50*LOG10(G551+1)/4,1)),5)+IF(ISNUMBER(H551),ROUND(30*(100-H551)/100,1),15)+IF(B551="New",20,10),0)</f>
        <v/>
      </c>
      <c r="L551" t="inlineStr">
        <is>
          <t>NEW</t>
        </is>
      </c>
      <c r="M551" s="5" t="inlineStr">
        <is>
          <t>FR 1900 / 880 / 590. | Why here: Highest-volume commercial-adjacent tool query; FAQ makes the free promise explicit. | Internal link: /services/seo-maroc</t>
        </is>
      </c>
      <c r="N551" s="5" t="inlineStr">
        <is>
          <t>Limits, what is analysed, how to get a human audit.</t>
        </is>
      </c>
      <c r="O551" t="inlineStr">
        <is>
          <t>P1</t>
        </is>
      </c>
      <c r="P551" t="inlineStr"/>
    </row>
    <row r="552">
      <c r="A552" s="3" t="inlineStr">
        <is>
          <t>https://codesommet.com/tools/website-readiness-checker</t>
        </is>
      </c>
      <c r="B552" t="inlineStr">
        <is>
          <t>Existing</t>
        </is>
      </c>
      <c r="C552" s="5" t="inlineStr">
        <is>
          <t>Qu'analyse le Vérificateur de Préparation du Site Web ?</t>
        </is>
      </c>
      <c r="D552" t="inlineStr">
        <is>
          <t>checklist mise en ligne site</t>
        </is>
      </c>
      <c r="E552" t="inlineStr">
        <is>
          <t>fr</t>
        </is>
      </c>
      <c r="F552" s="5" t="inlineStr"/>
      <c r="G552" t="inlineStr">
        <is>
          <t>NOT AVAILABLE</t>
        </is>
      </c>
      <c r="H552" t="inlineStr">
        <is>
          <t>NOT AVAILABLE</t>
        </is>
      </c>
      <c r="I552" t="inlineStr">
        <is>
          <t>Service scope</t>
        </is>
      </c>
      <c r="J552" t="inlineStr">
        <is>
          <t>UNAVAILABLE</t>
        </is>
      </c>
      <c r="K552">
        <f>ROUND(IF(ISNUMBER(G552),MIN(50,ROUND(50*LOG10(G552+1)/4,1)),5)+IF(ISNUMBER(H552),ROUND(30*(100-H552)/100,1),15)+IF(B552="New",20,10),0)</f>
        <v/>
      </c>
      <c r="L552" t="inlineStr">
        <is>
          <t>KEEP</t>
        </is>
      </c>
      <c r="M552" s="5" t="inlineStr">
        <is>
          <t>Relevant to page intent</t>
        </is>
      </c>
      <c r="N552" s="5" t="inlineStr">
        <is>
          <t xml:space="preserve">Notre outil effectue une analyse complète en 14 points à travers 4 catégories critiques : SEO (8 vérifications incluant sitemap, robots.txt, balises meta, Open Graph), Croissance (1 vérification pour </t>
        </is>
      </c>
      <c r="O552" t="inlineStr">
        <is>
          <t>P3</t>
        </is>
      </c>
      <c r="P552" t="inlineStr">
        <is>
          <t>Visible only (no FAQPage schema)</t>
        </is>
      </c>
    </row>
    <row r="553">
      <c r="A553" s="3" t="inlineStr">
        <is>
          <t>https://codesommet.com/tools/website-readiness-checker</t>
        </is>
      </c>
      <c r="B553" t="inlineStr">
        <is>
          <t>Existing</t>
        </is>
      </c>
      <c r="C553" s="5" t="inlineStr">
        <is>
          <t>Comment le score de préparation est-il calculé ?</t>
        </is>
      </c>
      <c r="D553" t="inlineStr">
        <is>
          <t>checklist mise en ligne site</t>
        </is>
      </c>
      <c r="E553" t="inlineStr">
        <is>
          <t>fr</t>
        </is>
      </c>
      <c r="F553" s="5" t="inlineStr"/>
      <c r="G553" t="inlineStr">
        <is>
          <t>NOT AVAILABLE</t>
        </is>
      </c>
      <c r="H553" t="inlineStr">
        <is>
          <t>NOT AVAILABLE</t>
        </is>
      </c>
      <c r="I553" t="inlineStr">
        <is>
          <t>Service scope</t>
        </is>
      </c>
      <c r="J553" t="inlineStr">
        <is>
          <t>UNAVAILABLE</t>
        </is>
      </c>
      <c r="K553">
        <f>ROUND(IF(ISNUMBER(G553),MIN(50,ROUND(50*LOG10(G553+1)/4,1)),5)+IF(ISNUMBER(H553),ROUND(30*(100-H553)/100,1),15)+IF(B553="New",20,10),0)</f>
        <v/>
      </c>
      <c r="L553" t="inlineStr">
        <is>
          <t>KEEP</t>
        </is>
      </c>
      <c r="M553" s="5" t="inlineStr">
        <is>
          <t>Relevant to page intent</t>
        </is>
      </c>
      <c r="N553" s="5" t="inlineStr">
        <is>
          <t>Le score global de préparation est calculé en pourcentage basé sur les vérifications réussies dans les 4 catégories. Chaque catégorie affiche son propre ratio de réussite/échec. Un score de 85%+ indiq</t>
        </is>
      </c>
      <c r="O553" t="inlineStr">
        <is>
          <t>P3</t>
        </is>
      </c>
      <c r="P553" t="inlineStr">
        <is>
          <t>Visible only (no FAQPage schema)</t>
        </is>
      </c>
    </row>
    <row r="554">
      <c r="A554" s="3" t="inlineStr">
        <is>
          <t>https://codesommet.com/tools/website-readiness-checker</t>
        </is>
      </c>
      <c r="B554" t="inlineStr">
        <is>
          <t>Existing</t>
        </is>
      </c>
      <c r="C554" s="5" t="inlineStr">
        <is>
          <t>Quelle est la différence entre ceci et le Vérificateur de Santé de Domaine ?</t>
        </is>
      </c>
      <c r="D554" t="inlineStr">
        <is>
          <t>checklist mise en ligne site</t>
        </is>
      </c>
      <c r="E554" t="inlineStr">
        <is>
          <t>fr</t>
        </is>
      </c>
      <c r="F554" s="5" t="inlineStr"/>
      <c r="G554" t="inlineStr">
        <is>
          <t>NOT AVAILABLE</t>
        </is>
      </c>
      <c r="H554" t="inlineStr">
        <is>
          <t>NOT AVAILABLE</t>
        </is>
      </c>
      <c r="I554" t="inlineStr">
        <is>
          <t>Differentiation</t>
        </is>
      </c>
      <c r="J554" t="inlineStr">
        <is>
          <t>UNAVAILABLE</t>
        </is>
      </c>
      <c r="K554">
        <f>ROUND(IF(ISNUMBER(G554),MIN(50,ROUND(50*LOG10(G554+1)/4,1)),5)+IF(ISNUMBER(H554),ROUND(30*(100-H554)/100,1),15)+IF(B554="New",20,10),0)</f>
        <v/>
      </c>
      <c r="L554" t="inlineStr">
        <is>
          <t>KEEP</t>
        </is>
      </c>
      <c r="M554" s="5" t="inlineStr">
        <is>
          <t>Relevant to page intent</t>
        </is>
      </c>
      <c r="N554" s="5" t="inlineStr">
        <is>
          <t>Le Vérificateur de Préparation du Site Web est plus complet et organisé en catégories spécifiques (SEO, Croissance, Performance, Sécurité). Il inclut des vérifications supplémentaires comme la configu</t>
        </is>
      </c>
      <c r="O554" t="inlineStr">
        <is>
          <t>P3</t>
        </is>
      </c>
      <c r="P554" t="inlineStr">
        <is>
          <t>Visible only (no FAQPage schema)</t>
        </is>
      </c>
    </row>
    <row r="555">
      <c r="A555" s="3" t="inlineStr">
        <is>
          <t>https://codesommet.com/tools/website-readiness-checker</t>
        </is>
      </c>
      <c r="B555" t="inlineStr">
        <is>
          <t>Existing</t>
        </is>
      </c>
      <c r="C555" s="5" t="inlineStr">
        <is>
          <t>Pourquoi le SEO est-il important pour mon site web ?</t>
        </is>
      </c>
      <c r="D555" t="inlineStr">
        <is>
          <t>agence seo maroc</t>
        </is>
      </c>
      <c r="E555" t="inlineStr">
        <is>
          <t>ma</t>
        </is>
      </c>
      <c r="F555" s="5" t="inlineStr"/>
      <c r="G555" t="n">
        <v>880</v>
      </c>
      <c r="H555" t="n">
        <v>44</v>
      </c>
      <c r="I555" t="inlineStr">
        <is>
          <t>SEO</t>
        </is>
      </c>
      <c r="J555" t="inlineStr">
        <is>
          <t>MEASURED</t>
        </is>
      </c>
      <c r="K555">
        <f>ROUND(IF(ISNUMBER(G555),MIN(50,ROUND(50*LOG10(G555+1)/4,1)),5)+IF(ISNUMBER(H555),ROUND(30*(100-H555)/100,1),15)+IF(B555="New",20,10),0)</f>
        <v/>
      </c>
      <c r="L555" t="inlineStr">
        <is>
          <t>KEEP</t>
        </is>
      </c>
      <c r="M555" s="5" t="inlineStr">
        <is>
          <t>Relevant to page intent</t>
        </is>
      </c>
      <c r="N555" s="5" t="inlineStr">
        <is>
          <t>Le SEO garantit que votre site web est découvrable par les moteurs de recherche et se classe bien pour les mots-clés pertinents. Nos vérifications SEO vérifient les éléments essentiels comme sitemap.x</t>
        </is>
      </c>
      <c r="O555" t="inlineStr">
        <is>
          <t>P3</t>
        </is>
      </c>
      <c r="P555" t="inlineStr">
        <is>
          <t>Visible only (no FAQPage schema)</t>
        </is>
      </c>
    </row>
    <row r="556">
      <c r="A556" s="3" t="inlineStr">
        <is>
          <t>https://codesommet.com/tools/website-readiness-checker</t>
        </is>
      </c>
      <c r="B556" t="inlineStr">
        <is>
          <t>Existing</t>
        </is>
      </c>
      <c r="C556" s="5" t="inlineStr">
        <is>
          <t>Que vérifie la vérification de Configuration Analytique ?</t>
        </is>
      </c>
      <c r="D556" t="inlineStr">
        <is>
          <t>checklist mise en ligne site</t>
        </is>
      </c>
      <c r="E556" t="inlineStr">
        <is>
          <t>fr</t>
        </is>
      </c>
      <c r="F556" s="5" t="inlineStr"/>
      <c r="G556" t="inlineStr">
        <is>
          <t>NOT AVAILABLE</t>
        </is>
      </c>
      <c r="H556" t="inlineStr">
        <is>
          <t>NOT AVAILABLE</t>
        </is>
      </c>
      <c r="I556" t="inlineStr">
        <is>
          <t>Service scope</t>
        </is>
      </c>
      <c r="J556" t="inlineStr">
        <is>
          <t>UNAVAILABLE</t>
        </is>
      </c>
      <c r="K556">
        <f>ROUND(IF(ISNUMBER(G556),MIN(50,ROUND(50*LOG10(G556+1)/4,1)),5)+IF(ISNUMBER(H556),ROUND(30*(100-H556)/100,1),15)+IF(B556="New",20,10),0)</f>
        <v/>
      </c>
      <c r="L556" t="inlineStr">
        <is>
          <t>KEEP</t>
        </is>
      </c>
      <c r="M556" s="5" t="inlineStr">
        <is>
          <t>Relevant to page intent</t>
        </is>
      </c>
      <c r="N556" s="5" t="inlineStr">
        <is>
          <t>La vérification de Configuration Analytique (catégorie Croissance) vérifie si votre site web a des outils analytiques comme Google Analytics, Plausible ou d'autres scripts de suivi correctement config</t>
        </is>
      </c>
      <c r="O556" t="inlineStr">
        <is>
          <t>P3</t>
        </is>
      </c>
      <c r="P556" t="inlineStr">
        <is>
          <t>Visible only (no FAQPage schema)</t>
        </is>
      </c>
    </row>
    <row r="557">
      <c r="A557" s="3" t="inlineStr">
        <is>
          <t>https://codesommet.com/tools/website-readiness-checker</t>
        </is>
      </c>
      <c r="B557" t="inlineStr">
        <is>
          <t>Existing</t>
        </is>
      </c>
      <c r="C557" s="5" t="inlineStr">
        <is>
          <t>Pourquoi HTTPS et SSL sont-ils importants ?</t>
        </is>
      </c>
      <c r="D557" t="inlineStr">
        <is>
          <t>checklist mise en ligne site</t>
        </is>
      </c>
      <c r="E557" t="inlineStr">
        <is>
          <t>fr</t>
        </is>
      </c>
      <c r="F557" s="5" t="inlineStr"/>
      <c r="G557" t="inlineStr">
        <is>
          <t>NOT AVAILABLE</t>
        </is>
      </c>
      <c r="H557" t="inlineStr">
        <is>
          <t>NOT AVAILABLE</t>
        </is>
      </c>
      <c r="I557" t="inlineStr">
        <is>
          <t>Service scope</t>
        </is>
      </c>
      <c r="J557" t="inlineStr">
        <is>
          <t>UNAVAILABLE</t>
        </is>
      </c>
      <c r="K557">
        <f>ROUND(IF(ISNUMBER(G557),MIN(50,ROUND(50*LOG10(G557+1)/4,1)),5)+IF(ISNUMBER(H557),ROUND(30*(100-H557)/100,1),15)+IF(B557="New",20,10),0)</f>
        <v/>
      </c>
      <c r="L557" t="inlineStr">
        <is>
          <t>KEEP</t>
        </is>
      </c>
      <c r="M557" s="5" t="inlineStr">
        <is>
          <t>Relevant to page intent</t>
        </is>
      </c>
      <c r="N557" s="5" t="inlineStr">
        <is>
          <t>HTTPS (avec un certificat SSL valide) est essentiel pour la sécurité, la confiance des utilisateurs et le SEO. Google privilégie les sites HTTPS dans les classements de recherche et les navigateurs af</t>
        </is>
      </c>
      <c r="O557" t="inlineStr">
        <is>
          <t>P3</t>
        </is>
      </c>
      <c r="P557" t="inlineStr">
        <is>
          <t>Visible only (no FAQPage schema)</t>
        </is>
      </c>
    </row>
    <row r="558">
      <c r="A558" s="3" t="inlineStr">
        <is>
          <t>https://codesommet.com/tools/website-readiness-checker</t>
        </is>
      </c>
      <c r="B558" t="inlineStr">
        <is>
          <t>Existing</t>
        </is>
      </c>
      <c r="C558" s="5" t="inlineStr">
        <is>
          <t>Que sont les Pages de Politique et pourquoi en ai-je besoin ?</t>
        </is>
      </c>
      <c r="D558" t="inlineStr">
        <is>
          <t>checklist mise en ligne site</t>
        </is>
      </c>
      <c r="E558" t="inlineStr">
        <is>
          <t>fr</t>
        </is>
      </c>
      <c r="F558" s="5" t="inlineStr"/>
      <c r="G558" t="inlineStr">
        <is>
          <t>NOT AVAILABLE</t>
        </is>
      </c>
      <c r="H558" t="inlineStr">
        <is>
          <t>NOT AVAILABLE</t>
        </is>
      </c>
      <c r="I558" t="inlineStr">
        <is>
          <t>Definition / how it works</t>
        </is>
      </c>
      <c r="J558" t="inlineStr">
        <is>
          <t>UNAVAILABLE</t>
        </is>
      </c>
      <c r="K558">
        <f>ROUND(IF(ISNUMBER(G558),MIN(50,ROUND(50*LOG10(G558+1)/4,1)),5)+IF(ISNUMBER(H558),ROUND(30*(100-H558)/100,1),15)+IF(B558="New",20,10),0)</f>
        <v/>
      </c>
      <c r="L558" t="inlineStr">
        <is>
          <t>KEEP</t>
        </is>
      </c>
      <c r="M558" s="5" t="inlineStr">
        <is>
          <t>Relevant to page intent</t>
        </is>
      </c>
      <c r="N558" s="5" t="inlineStr">
        <is>
          <t>Les pages de politique (Politique de confidentialité, Conditions d'utilisation) sont légalement requises dans la plupart des juridictions, surtout si vous collectez des données utilisateur ou opérez d</t>
        </is>
      </c>
      <c r="O558" t="inlineStr">
        <is>
          <t>P3</t>
        </is>
      </c>
      <c r="P558" t="inlineStr">
        <is>
          <t>Visible only (no FAQPage schema)</t>
        </is>
      </c>
    </row>
    <row r="559">
      <c r="A559" s="3" t="inlineStr">
        <is>
          <t>https://codesommet.com/tools/website-readiness-checker</t>
        </is>
      </c>
      <c r="B559" t="inlineStr">
        <is>
          <t>Existing</t>
        </is>
      </c>
      <c r="C559" s="5" t="inlineStr">
        <is>
          <t>À quelle fréquence dois-je vérifier la préparation de mon site web ?</t>
        </is>
      </c>
      <c r="D559" t="inlineStr">
        <is>
          <t>checklist mise en ligne site</t>
        </is>
      </c>
      <c r="E559" t="inlineStr">
        <is>
          <t>fr</t>
        </is>
      </c>
      <c r="F559" s="5" t="inlineStr"/>
      <c r="G559" t="inlineStr">
        <is>
          <t>NOT AVAILABLE</t>
        </is>
      </c>
      <c r="H559" t="inlineStr">
        <is>
          <t>NOT AVAILABLE</t>
        </is>
      </c>
      <c r="I559" t="inlineStr">
        <is>
          <t>Service scope</t>
        </is>
      </c>
      <c r="J559" t="inlineStr">
        <is>
          <t>UNAVAILABLE</t>
        </is>
      </c>
      <c r="K559">
        <f>ROUND(IF(ISNUMBER(G559),MIN(50,ROUND(50*LOG10(G559+1)/4,1)),5)+IF(ISNUMBER(H559),ROUND(30*(100-H559)/100,1),15)+IF(B559="New",20,10),0)</f>
        <v/>
      </c>
      <c r="L559" t="inlineStr">
        <is>
          <t>KEEP</t>
        </is>
      </c>
      <c r="M559" s="5" t="inlineStr">
        <is>
          <t>Relevant to page intent</t>
        </is>
      </c>
      <c r="N559" s="5" t="inlineStr">
        <is>
          <t>Nous recommandons de vérifier la préparation de votre site web : 1) Avant de lancer un nouveau site web, 2) Après des mises à jour majeures ou des refontes, 3) Trimestriellement dans le cadre de la ma</t>
        </is>
      </c>
      <c r="O559" t="inlineStr">
        <is>
          <t>P3</t>
        </is>
      </c>
      <c r="P559" t="inlineStr">
        <is>
          <t>Visible only (no FAQPage schema)</t>
        </is>
      </c>
    </row>
    <row r="560">
      <c r="A560" s="3" t="inlineStr">
        <is>
          <t>https://codesommet.com/tools/website-readiness-checker</t>
        </is>
      </c>
      <c r="B560" t="inlineStr">
        <is>
          <t>Existing</t>
        </is>
      </c>
      <c r="C560" s="5" t="inlineStr">
        <is>
          <t>Puis-je utiliser cet outil pour l'analyse de la concurrence ?</t>
        </is>
      </c>
      <c r="D560" t="inlineStr">
        <is>
          <t>checklist mise en ligne site</t>
        </is>
      </c>
      <c r="E560" t="inlineStr">
        <is>
          <t>fr</t>
        </is>
      </c>
      <c r="F560" s="5" t="inlineStr"/>
      <c r="G560" t="inlineStr">
        <is>
          <t>NOT AVAILABLE</t>
        </is>
      </c>
      <c r="H560" t="inlineStr">
        <is>
          <t>NOT AVAILABLE</t>
        </is>
      </c>
      <c r="I560" t="inlineStr">
        <is>
          <t>Service scope</t>
        </is>
      </c>
      <c r="J560" t="inlineStr">
        <is>
          <t>UNAVAILABLE</t>
        </is>
      </c>
      <c r="K560">
        <f>ROUND(IF(ISNUMBER(G560),MIN(50,ROUND(50*LOG10(G560+1)/4,1)),5)+IF(ISNUMBER(H560),ROUND(30*(100-H560)/100,1),15)+IF(B560="New",20,10),0)</f>
        <v/>
      </c>
      <c r="L560" t="inlineStr">
        <is>
          <t>KEEP</t>
        </is>
      </c>
      <c r="M560" s="5" t="inlineStr">
        <is>
          <t>Relevant to page intent</t>
        </is>
      </c>
      <c r="N560" s="5" t="inlineStr">
        <is>
          <t xml:space="preserve">Oui ! Vous pouvez analyser n'importe quel site web public pour comprendre leur configuration SEO, leur configuration de sécurité et leur préparation globale. Cela vous aide à comparer votre site avec </t>
        </is>
      </c>
      <c r="O560" t="inlineStr">
        <is>
          <t>P3</t>
        </is>
      </c>
      <c r="P560" t="inlineStr">
        <is>
          <t>Visible only (no FAQPage schema)</t>
        </is>
      </c>
    </row>
    <row r="561">
      <c r="A561" s="3" t="inlineStr">
        <is>
          <t>https://codesommet.com/tools/website-readiness-checker</t>
        </is>
      </c>
      <c r="B561" t="inlineStr">
        <is>
          <t>Existing</t>
        </is>
      </c>
      <c r="C561" s="5" t="inlineStr">
        <is>
          <t>Cet outil est-il entièrement gratuit ?</t>
        </is>
      </c>
      <c r="D561" t="inlineStr">
        <is>
          <t>checklist mise en ligne site</t>
        </is>
      </c>
      <c r="E561" t="inlineStr">
        <is>
          <t>fr</t>
        </is>
      </c>
      <c r="F561" s="5" t="inlineStr"/>
      <c r="G561" t="inlineStr">
        <is>
          <t>NOT AVAILABLE</t>
        </is>
      </c>
      <c r="H561" t="inlineStr">
        <is>
          <t>NOT AVAILABLE</t>
        </is>
      </c>
      <c r="I561" t="inlineStr">
        <is>
          <t>Service scope</t>
        </is>
      </c>
      <c r="J561" t="inlineStr">
        <is>
          <t>UNAVAILABLE</t>
        </is>
      </c>
      <c r="K561">
        <f>ROUND(IF(ISNUMBER(G561),MIN(50,ROUND(50*LOG10(G561+1)/4,1)),5)+IF(ISNUMBER(H561),ROUND(30*(100-H561)/100,1),15)+IF(B561="New",20,10),0)</f>
        <v/>
      </c>
      <c r="L561" t="inlineStr">
        <is>
          <t>KEEP</t>
        </is>
      </c>
      <c r="M561" s="5" t="inlineStr">
        <is>
          <t>Relevant to page intent</t>
        </is>
      </c>
      <c r="N561" s="5" t="inlineStr">
        <is>
          <t>Oui, 100% gratuit sans paywall caché. Contrairement à d'autres outils qui verrouillent les vérifications critiques derrière des niveaux premium, nous fournissons les 14 vérifications entièrement gratu</t>
        </is>
      </c>
      <c r="O561" t="inlineStr">
        <is>
          <t>P3</t>
        </is>
      </c>
      <c r="P561" t="inlineStr">
        <is>
          <t>Visible only (no FAQPage schema)</t>
        </is>
      </c>
    </row>
    <row r="562">
      <c r="A562" s="3" t="inlineStr">
        <is>
          <t>https://codesommet.com/tools/word-counter</t>
        </is>
      </c>
      <c r="B562" t="inlineStr">
        <is>
          <t>Existing</t>
        </is>
      </c>
      <c r="C562" s="5" t="inlineStr">
        <is>
          <t>Quelle est la longueur idéale d'un article de blog pour le SEO ?</t>
        </is>
      </c>
      <c r="D562" t="inlineStr">
        <is>
          <t>agence seo maroc</t>
        </is>
      </c>
      <c r="E562" t="inlineStr">
        <is>
          <t>ma</t>
        </is>
      </c>
      <c r="F562" s="5" t="inlineStr"/>
      <c r="G562" t="n">
        <v>880</v>
      </c>
      <c r="H562" t="n">
        <v>44</v>
      </c>
      <c r="I562" t="inlineStr">
        <is>
          <t>SEO</t>
        </is>
      </c>
      <c r="J562" t="inlineStr">
        <is>
          <t>MEASURED</t>
        </is>
      </c>
      <c r="K562">
        <f>ROUND(IF(ISNUMBER(G562),MIN(50,ROUND(50*LOG10(G562+1)/4,1)),5)+IF(ISNUMBER(H562),ROUND(30*(100-H562)/100,1),15)+IF(B562="New",20,10),0)</f>
        <v/>
      </c>
      <c r="L562" t="inlineStr">
        <is>
          <t>KEEP</t>
        </is>
      </c>
      <c r="M562" s="5" t="inlineStr">
        <is>
          <t>Relevant to page intent</t>
        </is>
      </c>
      <c r="N562" s="5" t="inlineStr">
        <is>
          <t>Pour le SEO, les articles de blog performent généralement mieux entre 1 500 et 2 500 mots. Le contenu long format (2 000+ mots) tend à mieux se classer dans les résultats de recherche car il fournit u</t>
        </is>
      </c>
      <c r="O562" t="inlineStr">
        <is>
          <t>P3</t>
        </is>
      </c>
      <c r="P562" t="inlineStr">
        <is>
          <t>Visible only (no FAQPage schema)</t>
        </is>
      </c>
    </row>
    <row r="563">
      <c r="A563" s="3" t="inlineStr">
        <is>
          <t>https://codesommet.com/tools/word-counter</t>
        </is>
      </c>
      <c r="B563" t="inlineStr">
        <is>
          <t>Existing</t>
        </is>
      </c>
      <c r="C563" s="5" t="inlineStr">
        <is>
          <t>Combien de caractères puis-je utiliser sur Twitter/X, Instagram et LinkedIn ?</t>
        </is>
      </c>
      <c r="D563" t="inlineStr">
        <is>
          <t>compteur de caractères</t>
        </is>
      </c>
      <c r="E563" t="inlineStr">
        <is>
          <t>fr</t>
        </is>
      </c>
      <c r="F563" s="5" t="inlineStr"/>
      <c r="G563" t="n">
        <v>9900</v>
      </c>
      <c r="H563" t="n">
        <v>29</v>
      </c>
      <c r="I563" t="inlineStr">
        <is>
          <t>Service scope</t>
        </is>
      </c>
      <c r="J563" t="inlineStr">
        <is>
          <t>MEASURED</t>
        </is>
      </c>
      <c r="K563">
        <f>ROUND(IF(ISNUMBER(G563),MIN(50,ROUND(50*LOG10(G563+1)/4,1)),5)+IF(ISNUMBER(H563),ROUND(30*(100-H563)/100,1),15)+IF(B563="New",20,10),0)</f>
        <v/>
      </c>
      <c r="L563" t="inlineStr">
        <is>
          <t>KEEP</t>
        </is>
      </c>
      <c r="M563" s="5" t="inlineStr">
        <is>
          <t>Relevant to page intent</t>
        </is>
      </c>
      <c r="N563" s="5" t="inlineStr">
        <is>
          <t>Twitter/X autorise 280 caractères par publication (4 000 pour les utilisateurs Premium), les légendes Instagram supportent jusqu'à 2 200 caractères mais n'affichent que les 125 premiers, et les public</t>
        </is>
      </c>
      <c r="O563" t="inlineStr">
        <is>
          <t>P3</t>
        </is>
      </c>
      <c r="P563" t="inlineStr">
        <is>
          <t>Visible only (no FAQPage schema)</t>
        </is>
      </c>
    </row>
    <row r="564">
      <c r="A564" s="3" t="inlineStr">
        <is>
          <t>https://codesommet.com/tools/word-counter</t>
        </is>
      </c>
      <c r="B564" t="inlineStr">
        <is>
          <t>Existing</t>
        </is>
      </c>
      <c r="C564" s="5" t="inlineStr">
        <is>
          <t>Quelle est la différence entre les mots, les paragraphes et les phrases ?</t>
        </is>
      </c>
      <c r="D564" t="inlineStr">
        <is>
          <t>compteur de mots</t>
        </is>
      </c>
      <c r="E564" t="inlineStr">
        <is>
          <t>fr</t>
        </is>
      </c>
      <c r="F564" s="5" t="inlineStr"/>
      <c r="G564" t="n">
        <v>18100</v>
      </c>
      <c r="H564" t="n">
        <v>32</v>
      </c>
      <c r="I564" t="inlineStr">
        <is>
          <t>Differentiation</t>
        </is>
      </c>
      <c r="J564" t="inlineStr">
        <is>
          <t>MEASURED</t>
        </is>
      </c>
      <c r="K564">
        <f>ROUND(IF(ISNUMBER(G564),MIN(50,ROUND(50*LOG10(G564+1)/4,1)),5)+IF(ISNUMBER(H564),ROUND(30*(100-H564)/100,1),15)+IF(B564="New",20,10),0)</f>
        <v/>
      </c>
      <c r="L564" t="inlineStr">
        <is>
          <t>KEEP</t>
        </is>
      </c>
      <c r="M564" s="5" t="inlineStr">
        <is>
          <t>Relevant to page intent</t>
        </is>
      </c>
      <c r="N564" s="5" t="inlineStr">
        <is>
          <t>Words are individual text units separated by spaces. Sentences are complete thoughts ending with punctuation (. ! ?). Paragraphs are groups of sentences separated by line breaks. Understanding these m</t>
        </is>
      </c>
      <c r="O564" t="inlineStr">
        <is>
          <t>P3</t>
        </is>
      </c>
      <c r="P564" t="inlineStr">
        <is>
          <t>Visible only (no FAQPage schema)</t>
        </is>
      </c>
    </row>
    <row r="565">
      <c r="A565" s="3" t="inlineStr">
        <is>
          <t>https://codesommet.com/tools/word-counter</t>
        </is>
      </c>
      <c r="B565" t="inlineStr">
        <is>
          <t>Existing</t>
        </is>
      </c>
      <c r="C565" s="5" t="inlineStr">
        <is>
          <t>Comment le temps de lecture est-il calculé ?</t>
        </is>
      </c>
      <c r="D565" t="inlineStr">
        <is>
          <t>compteur de mots</t>
        </is>
      </c>
      <c r="E565" t="inlineStr">
        <is>
          <t>fr</t>
        </is>
      </c>
      <c r="F565" s="5" t="inlineStr"/>
      <c r="G565" t="n">
        <v>18100</v>
      </c>
      <c r="H565" t="n">
        <v>32</v>
      </c>
      <c r="I565" t="inlineStr">
        <is>
          <t>Service scope</t>
        </is>
      </c>
      <c r="J565" t="inlineStr">
        <is>
          <t>MEASURED</t>
        </is>
      </c>
      <c r="K565">
        <f>ROUND(IF(ISNUMBER(G565),MIN(50,ROUND(50*LOG10(G565+1)/4,1)),5)+IF(ISNUMBER(H565),ROUND(30*(100-H565)/100,1),15)+IF(B565="New",20,10),0)</f>
        <v/>
      </c>
      <c r="L565" t="inlineStr">
        <is>
          <t>KEEP</t>
        </is>
      </c>
      <c r="M565" s="5" t="inlineStr">
        <is>
          <t>Relevant to page intent</t>
        </is>
      </c>
      <c r="N565" s="5" t="inlineStr">
        <is>
          <t>Le temps de lecture est calculé sur la base d'une vitesse de lecture moyenne de 200 à 250 mots par minute pour les lecteurs adultes. Notre outil utilise 238 mots par minute comme standard. Le temps de</t>
        </is>
      </c>
      <c r="O565" t="inlineStr">
        <is>
          <t>P3</t>
        </is>
      </c>
      <c r="P565" t="inlineStr">
        <is>
          <t>Visible only (no FAQPage schema)</t>
        </is>
      </c>
    </row>
    <row r="566">
      <c r="A566" s="3" t="inlineStr">
        <is>
          <t>https://codesommet.com/tools/word-counter</t>
        </is>
      </c>
      <c r="B566" t="inlineStr">
        <is>
          <t>Existing</t>
        </is>
      </c>
      <c r="C566" s="5" t="inlineStr">
        <is>
          <t>Quelle est la longueur optimale de la meta description pour le SEO ?</t>
        </is>
      </c>
      <c r="D566" t="inlineStr">
        <is>
          <t>agence seo maroc</t>
        </is>
      </c>
      <c r="E566" t="inlineStr">
        <is>
          <t>ma</t>
        </is>
      </c>
      <c r="F566" s="5" t="inlineStr"/>
      <c r="G566" t="n">
        <v>880</v>
      </c>
      <c r="H566" t="n">
        <v>44</v>
      </c>
      <c r="I566" t="inlineStr">
        <is>
          <t>SEO</t>
        </is>
      </c>
      <c r="J566" t="inlineStr">
        <is>
          <t>MEASURED</t>
        </is>
      </c>
      <c r="K566">
        <f>ROUND(IF(ISNUMBER(G566),MIN(50,ROUND(50*LOG10(G566+1)/4,1)),5)+IF(ISNUMBER(H566),ROUND(30*(100-H566)/100,1),15)+IF(B566="New",20,10),0)</f>
        <v/>
      </c>
      <c r="L566" t="inlineStr">
        <is>
          <t>KEEP</t>
        </is>
      </c>
      <c r="M566" s="5" t="inlineStr">
        <is>
          <t>Relevant to page intent</t>
        </is>
      </c>
      <c r="N566" s="5" t="inlineStr">
        <is>
          <t>Google affiche généralement 150 à 160 caractères pour les meta descriptions sur ordinateur et environ 120 caractères sur mobile. Bien que vous puissiez écrire des descriptions plus longues (jusqu'à 32</t>
        </is>
      </c>
      <c r="O566" t="inlineStr">
        <is>
          <t>P3</t>
        </is>
      </c>
      <c r="P566" t="inlineStr">
        <is>
          <t>Visible only (no FAQPage schema)</t>
        </is>
      </c>
    </row>
    <row r="567">
      <c r="A567" s="3" t="inlineStr">
        <is>
          <t>https://codesommet.com/tools/word-counter</t>
        </is>
      </c>
      <c r="B567" t="inlineStr">
        <is>
          <t>Existing</t>
        </is>
      </c>
      <c r="C567" s="5" t="inlineStr">
        <is>
          <t>Combien de mots ma page d'accueil devrait-elle avoir ?</t>
        </is>
      </c>
      <c r="D567" t="inlineStr">
        <is>
          <t>compteur de mots</t>
        </is>
      </c>
      <c r="E567" t="inlineStr">
        <is>
          <t>fr</t>
        </is>
      </c>
      <c r="F567" s="5" t="inlineStr"/>
      <c r="G567" t="n">
        <v>18100</v>
      </c>
      <c r="H567" t="n">
        <v>32</v>
      </c>
      <c r="I567" t="inlineStr">
        <is>
          <t>Service scope</t>
        </is>
      </c>
      <c r="J567" t="inlineStr">
        <is>
          <t>MEASURED</t>
        </is>
      </c>
      <c r="K567">
        <f>ROUND(IF(ISNUMBER(G567),MIN(50,ROUND(50*LOG10(G567+1)/4,1)),5)+IF(ISNUMBER(H567),ROUND(30*(100-H567)/100,1),15)+IF(B567="New",20,10),0)</f>
        <v/>
      </c>
      <c r="L567" t="inlineStr">
        <is>
          <t>KEEP</t>
        </is>
      </c>
      <c r="M567" s="5" t="inlineStr">
        <is>
          <t>Relevant to page intent</t>
        </is>
      </c>
      <c r="N567" s="5" t="inlineStr">
        <is>
          <t xml:space="preserve">Le nombre de mots de la page d'accueil varie selon le secteur et l'objectif. Les entreprises de services ont généralement 300 à 800 mots, tandis que les sites e-commerce peuvent avoir 200 à 500 mots. </t>
        </is>
      </c>
      <c r="O567" t="inlineStr">
        <is>
          <t>P3</t>
        </is>
      </c>
      <c r="P567" t="inlineStr">
        <is>
          <t>Visible only (no FAQPage schema)</t>
        </is>
      </c>
    </row>
    <row r="568">
      <c r="A568" s="3" t="inlineStr">
        <is>
          <t>https://codesommet.com/tools/word-counter</t>
        </is>
      </c>
      <c r="B568" t="inlineStr">
        <is>
          <t>New</t>
        </is>
      </c>
      <c r="C568" s="5" t="inlineStr">
        <is>
          <t>Combien de mots faut-il pour un article SEO ?</t>
        </is>
      </c>
      <c r="D568" t="inlineStr">
        <is>
          <t>compteur de mots</t>
        </is>
      </c>
      <c r="E568" t="inlineStr">
        <is>
          <t>fr</t>
        </is>
      </c>
      <c r="F568" s="5" t="inlineStr">
        <is>
          <t>nombre de mots [fr] 2900; compter les mots [fr] 2900</t>
        </is>
      </c>
      <c r="G568" t="n">
        <v>18100</v>
      </c>
      <c r="H568" t="n">
        <v>32</v>
      </c>
      <c r="I568" t="inlineStr">
        <is>
          <t>Question</t>
        </is>
      </c>
      <c r="J568" t="inlineStr">
        <is>
          <t>MEASURED</t>
        </is>
      </c>
      <c r="K568">
        <f>ROUND(IF(ISNUMBER(G568),MIN(50,ROUND(50*LOG10(G568+1)/4,1)),5)+IF(ISNUMBER(H568),ROUND(30*(100-H568)/100,1),15)+IF(B568="New",20,10),0)</f>
        <v/>
      </c>
      <c r="L568" t="inlineStr">
        <is>
          <t>NEW</t>
        </is>
      </c>
      <c r="M568" s="5" t="inlineStr">
        <is>
          <t>Writers using the counter for SEO briefs. | Why here: Adds SEO angle that links to services. | Internal link: /tools/keyword-density-analyzer</t>
        </is>
      </c>
      <c r="N568" s="5" t="inlineStr">
        <is>
          <t>No fixed rule; intent-based length; link to readability/keyword-density tools.</t>
        </is>
      </c>
      <c r="O568" t="inlineStr">
        <is>
          <t>P3</t>
        </is>
      </c>
      <c r="P568" t="inlineStr"/>
    </row>
    <row r="569">
      <c r="A569" s="3" t="inlineStr">
        <is>
          <t>https://codesommet.com/tools/xml-sitemap-generator</t>
        </is>
      </c>
      <c r="B569" t="inlineStr">
        <is>
          <t>Existing</t>
        </is>
      </c>
      <c r="C569" s="5" t="inlineStr">
        <is>
          <t>Qu'est-ce qu'un sitemap XML et pourquoi en ai-je besoin ?</t>
        </is>
      </c>
      <c r="D569" t="inlineStr">
        <is>
          <t>sitemap xml</t>
        </is>
      </c>
      <c r="E569" t="inlineStr">
        <is>
          <t>fr</t>
        </is>
      </c>
      <c r="F569" s="5" t="inlineStr"/>
      <c r="G569" t="n">
        <v>720</v>
      </c>
      <c r="H569" t="n">
        <v>39</v>
      </c>
      <c r="I569" t="inlineStr">
        <is>
          <t>Definition / how it works</t>
        </is>
      </c>
      <c r="J569" t="inlineStr">
        <is>
          <t>MEASURED</t>
        </is>
      </c>
      <c r="K569">
        <f>ROUND(IF(ISNUMBER(G569),MIN(50,ROUND(50*LOG10(G569+1)/4,1)),5)+IF(ISNUMBER(H569),ROUND(30*(100-H569)/100,1),15)+IF(B569="New",20,10),0)</f>
        <v/>
      </c>
      <c r="L569" t="inlineStr">
        <is>
          <t>KEEP</t>
        </is>
      </c>
      <c r="M569" s="5" t="inlineStr">
        <is>
          <t>Relevant to page intent</t>
        </is>
      </c>
      <c r="N569" s="5" t="inlineStr">
        <is>
          <t>Un sitemap XML est un fichier qui liste toutes les pages importantes de votre site web pour aider les moteurs de recherche à explorer et indexer votre contenu efficacement. C'est essentiel pour le SEO</t>
        </is>
      </c>
      <c r="O569" t="inlineStr">
        <is>
          <t>P3</t>
        </is>
      </c>
      <c r="P569" t="inlineStr">
        <is>
          <t>Visible only (no FAQPage schema)</t>
        </is>
      </c>
    </row>
    <row r="570">
      <c r="A570" s="3" t="inlineStr">
        <is>
          <t>https://codesommet.com/tools/xml-sitemap-generator</t>
        </is>
      </c>
      <c r="B570" t="inlineStr">
        <is>
          <t>Existing</t>
        </is>
      </c>
      <c r="C570" s="5" t="inlineStr">
        <is>
          <t>À quelle fréquence dois-je mettre à jour mon sitemap XML ?</t>
        </is>
      </c>
      <c r="D570" t="inlineStr">
        <is>
          <t>sitemap xml</t>
        </is>
      </c>
      <c r="E570" t="inlineStr">
        <is>
          <t>fr</t>
        </is>
      </c>
      <c r="F570" s="5" t="inlineStr"/>
      <c r="G570" t="n">
        <v>720</v>
      </c>
      <c r="H570" t="n">
        <v>39</v>
      </c>
      <c r="I570" t="inlineStr">
        <is>
          <t>Service scope</t>
        </is>
      </c>
      <c r="J570" t="inlineStr">
        <is>
          <t>MEASURED</t>
        </is>
      </c>
      <c r="K570">
        <f>ROUND(IF(ISNUMBER(G570),MIN(50,ROUND(50*LOG10(G570+1)/4,1)),5)+IF(ISNUMBER(H570),ROUND(30*(100-H570)/100,1),15)+IF(B570="New",20,10),0)</f>
        <v/>
      </c>
      <c r="L570" t="inlineStr">
        <is>
          <t>KEEP</t>
        </is>
      </c>
      <c r="M570" s="5" t="inlineStr">
        <is>
          <t>Relevant to page intent</t>
        </is>
      </c>
      <c r="N570" s="5" t="inlineStr">
        <is>
          <t>Mettez à jour votre sitemap chaque fois que vous ajoutez de nouvelles pages, supprimez d'anciennes pages ou modifiez significativement la structure de votre site. Pour les blogs et les sites d'actuali</t>
        </is>
      </c>
      <c r="O570" t="inlineStr">
        <is>
          <t>P3</t>
        </is>
      </c>
      <c r="P570" t="inlineStr">
        <is>
          <t>Visible only (no FAQPage schema)</t>
        </is>
      </c>
    </row>
    <row r="571">
      <c r="A571" s="3" t="inlineStr">
        <is>
          <t>https://codesommet.com/tools/xml-sitemap-generator</t>
        </is>
      </c>
      <c r="B571" t="inlineStr">
        <is>
          <t>Existing</t>
        </is>
      </c>
      <c r="C571" s="5" t="inlineStr">
        <is>
          <t>Comment soumettre mon sitemap à Google Search Console ?</t>
        </is>
      </c>
      <c r="D571" t="inlineStr">
        <is>
          <t>sitemap xml</t>
        </is>
      </c>
      <c r="E571" t="inlineStr">
        <is>
          <t>fr</t>
        </is>
      </c>
      <c r="F571" s="5" t="inlineStr"/>
      <c r="G571" t="n">
        <v>720</v>
      </c>
      <c r="H571" t="n">
        <v>39</v>
      </c>
      <c r="I571" t="inlineStr">
        <is>
          <t>SEO</t>
        </is>
      </c>
      <c r="J571" t="inlineStr">
        <is>
          <t>MEASURED</t>
        </is>
      </c>
      <c r="K571">
        <f>ROUND(IF(ISNUMBER(G571),MIN(50,ROUND(50*LOG10(G571+1)/4,1)),5)+IF(ISNUMBER(H571),ROUND(30*(100-H571)/100,1),15)+IF(B571="New",20,10),0)</f>
        <v/>
      </c>
      <c r="L571" t="inlineStr">
        <is>
          <t>KEEP</t>
        </is>
      </c>
      <c r="M571" s="5" t="inlineStr">
        <is>
          <t>Relevant to page intent</t>
        </is>
      </c>
      <c r="N571" s="5" t="inlineStr">
        <is>
          <t>Log in to Google Search Console, select your property, go to 'Sitemaps' in the left sidebar, and enter your sitemap URL (e.g., https://example.com/sitemap.xml). Click 'Envoyer' and Google will start c</t>
        </is>
      </c>
      <c r="O571" t="inlineStr">
        <is>
          <t>P3</t>
        </is>
      </c>
      <c r="P571" t="inlineStr">
        <is>
          <t>Visible only (no FAQPage schema)</t>
        </is>
      </c>
    </row>
    <row r="572">
      <c r="A572" s="3" t="inlineStr">
        <is>
          <t>https://codesommet.com/tools/xml-sitemap-generator</t>
        </is>
      </c>
      <c r="B572" t="inlineStr">
        <is>
          <t>Existing</t>
        </is>
      </c>
      <c r="C572" s="5" t="inlineStr">
        <is>
          <t>Que dois-je définir pour les valeurs de priorité et changefreq ?</t>
        </is>
      </c>
      <c r="D572" t="inlineStr">
        <is>
          <t>sitemap xml</t>
        </is>
      </c>
      <c r="E572" t="inlineStr">
        <is>
          <t>fr</t>
        </is>
      </c>
      <c r="F572" s="5" t="inlineStr"/>
      <c r="G572" t="n">
        <v>720</v>
      </c>
      <c r="H572" t="n">
        <v>39</v>
      </c>
      <c r="I572" t="inlineStr">
        <is>
          <t>Service scope</t>
        </is>
      </c>
      <c r="J572" t="inlineStr">
        <is>
          <t>MEASURED</t>
        </is>
      </c>
      <c r="K572">
        <f>ROUND(IF(ISNUMBER(G572),MIN(50,ROUND(50*LOG10(G572+1)/4,1)),5)+IF(ISNUMBER(H572),ROUND(30*(100-H572)/100,1),15)+IF(B572="New",20,10),0)</f>
        <v/>
      </c>
      <c r="L572" t="inlineStr">
        <is>
          <t>KEEP</t>
        </is>
      </c>
      <c r="M572" s="5" t="inlineStr">
        <is>
          <t>Relevant to page intent</t>
        </is>
      </c>
      <c r="N572" s="5" t="inlineStr">
        <is>
          <t>Définissez la priorité à 1.0 pour votre page d'accueil et les pages les plus importantes, 0.8 pour les pages de catégorie/service et 0.6 pour les articles de blog. Pour changefreq, utilisez 'weekly' p</t>
        </is>
      </c>
      <c r="O572" t="inlineStr">
        <is>
          <t>P3</t>
        </is>
      </c>
      <c r="P572" t="inlineStr">
        <is>
          <t>Visible only (no FAQPage schema)</t>
        </is>
      </c>
    </row>
    <row r="573">
      <c r="A573" s="3" t="inlineStr">
        <is>
          <t>https://codesommet.com/tools/xml-sitemap-generator</t>
        </is>
      </c>
      <c r="B573" t="inlineStr">
        <is>
          <t>Existing</t>
        </is>
      </c>
      <c r="C573" s="5" t="inlineStr">
        <is>
          <t>Dois-je inclure chaque page de mon site web ?</t>
        </is>
      </c>
      <c r="D573" t="inlineStr">
        <is>
          <t>sitemap xml</t>
        </is>
      </c>
      <c r="E573" t="inlineStr">
        <is>
          <t>fr</t>
        </is>
      </c>
      <c r="F573" s="5" t="inlineStr"/>
      <c r="G573" t="n">
        <v>720</v>
      </c>
      <c r="H573" t="n">
        <v>39</v>
      </c>
      <c r="I573" t="inlineStr">
        <is>
          <t>Service scope</t>
        </is>
      </c>
      <c r="J573" t="inlineStr">
        <is>
          <t>MEASURED</t>
        </is>
      </c>
      <c r="K573">
        <f>ROUND(IF(ISNUMBER(G573),MIN(50,ROUND(50*LOG10(G573+1)/4,1)),5)+IF(ISNUMBER(H573),ROUND(30*(100-H573)/100,1),15)+IF(B573="New",20,10),0)</f>
        <v/>
      </c>
      <c r="L573" t="inlineStr">
        <is>
          <t>KEEP</t>
        </is>
      </c>
      <c r="M573" s="5" t="inlineStr">
        <is>
          <t>Relevant to page intent</t>
        </is>
      </c>
      <c r="N573" s="5" t="inlineStr">
        <is>
          <t>Non, incluez uniquement les pages que vous voulez que les moteurs de recherche indexent. Excluez les pages admin, les pages de remerciement, le contenu dupliqué, les pages de connexion et les pages bl</t>
        </is>
      </c>
      <c r="O573" t="inlineStr">
        <is>
          <t>P3</t>
        </is>
      </c>
      <c r="P573" t="inlineStr">
        <is>
          <t>Visible only (no FAQPage schema)</t>
        </is>
      </c>
    </row>
    <row r="574">
      <c r="A574" s="3" t="inlineStr">
        <is>
          <t>https://codesommet.com/tools/xml-sitemap-generator</t>
        </is>
      </c>
      <c r="B574" t="inlineStr">
        <is>
          <t>Existing</t>
        </is>
      </c>
      <c r="C574" s="5" t="inlineStr">
        <is>
          <t>Quelles sont les erreurs courantes de sitemap XML à éviter ?</t>
        </is>
      </c>
      <c r="D574" t="inlineStr">
        <is>
          <t>sitemap xml</t>
        </is>
      </c>
      <c r="E574" t="inlineStr">
        <is>
          <t>fr</t>
        </is>
      </c>
      <c r="F574" s="5" t="inlineStr"/>
      <c r="G574" t="n">
        <v>720</v>
      </c>
      <c r="H574" t="n">
        <v>39</v>
      </c>
      <c r="I574" t="inlineStr">
        <is>
          <t>Service scope</t>
        </is>
      </c>
      <c r="J574" t="inlineStr">
        <is>
          <t>MEASURED</t>
        </is>
      </c>
      <c r="K574">
        <f>ROUND(IF(ISNUMBER(G574),MIN(50,ROUND(50*LOG10(G574+1)/4,1)),5)+IF(ISNUMBER(H574),ROUND(30*(100-H574)/100,1),15)+IF(B574="New",20,10),0)</f>
        <v/>
      </c>
      <c r="L574" t="inlineStr">
        <is>
          <t>KEEP</t>
        </is>
      </c>
      <c r="M574" s="5" t="inlineStr">
        <is>
          <t>Relevant to page intent</t>
        </is>
      </c>
      <c r="N574" s="5" t="inlineStr">
        <is>
          <t>Les erreurs courantes incluent : lister des pages bloquées par robots.txt, inclure des URL non canoniques, oublier d'utiliser des URL absolues (incluez toujours https://), dépasser 50 000 URL par site</t>
        </is>
      </c>
      <c r="O574" t="inlineStr">
        <is>
          <t>P3</t>
        </is>
      </c>
      <c r="P574" t="inlineStr">
        <is>
          <t>Visible only (no FAQPage schema)</t>
        </is>
      </c>
    </row>
    <row r="575">
      <c r="A575" s="3" t="inlineStr">
        <is>
          <t>https://codesommet.com/tools/xml-sitemap-generator</t>
        </is>
      </c>
      <c r="B575" t="inlineStr">
        <is>
          <t>Existing</t>
        </is>
      </c>
      <c r="C575" s="5" t="inlineStr">
        <is>
          <t>Où dois-je uploader mon fichier sitemap.xml ?</t>
        </is>
      </c>
      <c r="D575" t="inlineStr">
        <is>
          <t>sitemap xml</t>
        </is>
      </c>
      <c r="E575" t="inlineStr">
        <is>
          <t>fr</t>
        </is>
      </c>
      <c r="F575" s="5" t="inlineStr"/>
      <c r="G575" t="n">
        <v>720</v>
      </c>
      <c r="H575" t="n">
        <v>39</v>
      </c>
      <c r="I575" t="inlineStr">
        <is>
          <t>Service scope</t>
        </is>
      </c>
      <c r="J575" t="inlineStr">
        <is>
          <t>MEASURED</t>
        </is>
      </c>
      <c r="K575">
        <f>ROUND(IF(ISNUMBER(G575),MIN(50,ROUND(50*LOG10(G575+1)/4,1)),5)+IF(ISNUMBER(H575),ROUND(30*(100-H575)/100,1),15)+IF(B575="New",20,10),0)</f>
        <v/>
      </c>
      <c r="L575" t="inlineStr">
        <is>
          <t>KEEP</t>
        </is>
      </c>
      <c r="M575" s="5" t="inlineStr">
        <is>
          <t>Relevant to page intent</t>
        </is>
      </c>
      <c r="N575" s="5" t="inlineStr">
        <is>
          <t>Uploadez votre sitemap dans le répertoire racine de votre site web pour qu'il soit accessible à https://votredomaine.com/sitemap.xml. Ajoutez également une référence dans votre fichier robots.txt avec</t>
        </is>
      </c>
      <c r="O575" t="inlineStr">
        <is>
          <t>P3</t>
        </is>
      </c>
      <c r="P575" t="inlineStr">
        <is>
          <t>Visible only (no FAQPage schema)</t>
        </is>
      </c>
    </row>
    <row r="576">
      <c r="A576" s="3" t="inlineStr">
        <is>
          <t>https://codesommet.com/web-development-company/abudhabi</t>
        </is>
      </c>
      <c r="B576" t="inlineStr">
        <is>
          <t>Existing</t>
        </is>
      </c>
      <c r="C576" s="5" t="inlineStr">
        <is>
          <t>Pourquoi choisir CodeSommet plutôt que les agences de développement web d'Abu Dhabi ?</t>
        </is>
      </c>
      <c r="D576" t="inlineStr">
        <is>
          <t>développement web abu dhabi</t>
        </is>
      </c>
      <c r="E576" t="inlineStr">
        <is>
          <t>ae</t>
        </is>
      </c>
      <c r="F576" s="5" t="inlineStr"/>
      <c r="G576" t="inlineStr">
        <is>
          <t>NOT AVAILABLE</t>
        </is>
      </c>
      <c r="H576" t="inlineStr">
        <is>
          <t>NOT AVAILABLE</t>
        </is>
      </c>
      <c r="I576" t="inlineStr">
        <is>
          <t>Differentiation</t>
        </is>
      </c>
      <c r="J576" t="inlineStr">
        <is>
          <t>UNAVAILABLE</t>
        </is>
      </c>
      <c r="K576">
        <f>ROUND(IF(ISNUMBER(G576),MIN(50,ROUND(50*LOG10(G576+1)/4,1)),5)+IF(ISNUMBER(H576),ROUND(30*(100-H576)/100,1),15)+IF(B576="New",20,10),0)</f>
        <v/>
      </c>
      <c r="L576" t="inlineStr">
        <is>
          <t>KEEP</t>
        </is>
      </c>
      <c r="M576" s="5" t="inlineStr">
        <is>
          <t>Relevant to page intent</t>
        </is>
      </c>
      <c r="N576" s="5" t="inlineStr">
        <is>
          <t>Parce que nous combinons un design soigné, des technologies modernes et une livraison rapide : la plupart des sites vitrines sont en ligne en 2 à 5 jours après validation du périmètre (et en 2 jours s</t>
        </is>
      </c>
      <c r="O576" t="inlineStr">
        <is>
          <t>P3</t>
        </is>
      </c>
      <c r="P576" t="inlineStr">
        <is>
          <t>FAQPage JSON-LD</t>
        </is>
      </c>
    </row>
    <row r="577">
      <c r="A577" s="3" t="inlineStr">
        <is>
          <t>https://codesommet.com/web-development-company/abudhabi</t>
        </is>
      </c>
      <c r="B577" t="inlineStr">
        <is>
          <t>Existing</t>
        </is>
      </c>
      <c r="C577" s="5" t="inlineStr">
        <is>
          <t>Travaillez-vous avec les entités gouvernementales et semi-gouvernementales d'Abu Dhabi ?</t>
        </is>
      </c>
      <c r="D577" t="inlineStr">
        <is>
          <t>développement web abu dhabi</t>
        </is>
      </c>
      <c r="E577" t="inlineStr">
        <is>
          <t>ae</t>
        </is>
      </c>
      <c r="F577" s="5" t="inlineStr"/>
      <c r="G577" t="inlineStr">
        <is>
          <t>NOT AVAILABLE</t>
        </is>
      </c>
      <c r="H577" t="inlineStr">
        <is>
          <t>NOT AVAILABLE</t>
        </is>
      </c>
      <c r="I577" t="inlineStr">
        <is>
          <t>Service scope</t>
        </is>
      </c>
      <c r="J577" t="inlineStr">
        <is>
          <t>UNAVAILABLE</t>
        </is>
      </c>
      <c r="K577">
        <f>ROUND(IF(ISNUMBER(G577),MIN(50,ROUND(50*LOG10(G577+1)/4,1)),5)+IF(ISNUMBER(H577),ROUND(30*(100-H577)/100,1),15)+IF(B577="New",20,10),0)</f>
        <v/>
      </c>
      <c r="L577" t="inlineStr">
        <is>
          <t>KEEP</t>
        </is>
      </c>
      <c r="M577" s="5" t="inlineStr">
        <is>
          <t>Relevant to page intent</t>
        </is>
      </c>
      <c r="N577" s="5" t="inlineStr">
        <is>
          <t>Oui. Nous pouvons répondre aux exigences habituelles des organisations publiques et parapubliques : contenu bilingue arabe/anglais, accessibilité, circuits de validation internes et hébergement confor</t>
        </is>
      </c>
      <c r="O577" t="inlineStr">
        <is>
          <t>P3</t>
        </is>
      </c>
      <c r="P577" t="inlineStr">
        <is>
          <t>FAQPage JSON-LD</t>
        </is>
      </c>
    </row>
    <row r="578">
      <c r="A578" s="3" t="inlineStr">
        <is>
          <t>https://codesommet.com/web-development-company/abudhabi</t>
        </is>
      </c>
      <c r="B578" t="inlineStr">
        <is>
          <t>Existing</t>
        </is>
      </c>
      <c r="C578" s="5" t="inlineStr">
        <is>
          <t>Quelles technologies utilisez-vous pour les projets à Abu Dhabi ?</t>
        </is>
      </c>
      <c r="D578" t="inlineStr">
        <is>
          <t>développement web abu dhabi</t>
        </is>
      </c>
      <c r="E578" t="inlineStr">
        <is>
          <t>ae</t>
        </is>
      </c>
      <c r="F578" s="5" t="inlineStr"/>
      <c r="G578" t="inlineStr">
        <is>
          <t>NOT AVAILABLE</t>
        </is>
      </c>
      <c r="H578" t="inlineStr">
        <is>
          <t>NOT AVAILABLE</t>
        </is>
      </c>
      <c r="I578" t="inlineStr">
        <is>
          <t>Service scope</t>
        </is>
      </c>
      <c r="J578" t="inlineStr">
        <is>
          <t>UNAVAILABLE</t>
        </is>
      </c>
      <c r="K578">
        <f>ROUND(IF(ISNUMBER(G578),MIN(50,ROUND(50*LOG10(G578+1)/4,1)),5)+IF(ISNUMBER(H578),ROUND(30*(100-H578)/100,1),15)+IF(B578="New",20,10),0)</f>
        <v/>
      </c>
      <c r="L578" t="inlineStr">
        <is>
          <t>KEEP</t>
        </is>
      </c>
      <c r="M578" s="5" t="inlineStr">
        <is>
          <t>Templated across 9 pages - acceptable for now; localise only if the page is kept (see F-02 / sheet 09)</t>
        </is>
      </c>
      <c r="N578" s="5" t="inlineStr">
        <is>
          <t>Nous utilisons des technologies modernes comme Next.js, React, TypeScript, Node.js et Laravel pour le développement web. Côté IA, nous intégrons des chatbots sur mesure et des automatisations intellig</t>
        </is>
      </c>
      <c r="O578" t="inlineStr">
        <is>
          <t>P3</t>
        </is>
      </c>
      <c r="P578" t="inlineStr">
        <is>
          <t>FAQPage JSON-LD</t>
        </is>
      </c>
    </row>
    <row r="579">
      <c r="A579" s="3" t="inlineStr">
        <is>
          <t>https://codesommet.com/web-development-company/abudhabi</t>
        </is>
      </c>
      <c r="B579" t="inlineStr">
        <is>
          <t>Existing</t>
        </is>
      </c>
      <c r="C579" s="5" t="inlineStr">
        <is>
          <t>Pouvez-vous intégrer les passerelles de paiement UAE et les systèmes locaux ?</t>
        </is>
      </c>
      <c r="D579" t="inlineStr">
        <is>
          <t>développement web abu dhabi</t>
        </is>
      </c>
      <c r="E579" t="inlineStr">
        <is>
          <t>ae</t>
        </is>
      </c>
      <c r="F579" s="5" t="inlineStr"/>
      <c r="G579" t="inlineStr">
        <is>
          <t>NOT AVAILABLE</t>
        </is>
      </c>
      <c r="H579" t="inlineStr">
        <is>
          <t>NOT AVAILABLE</t>
        </is>
      </c>
      <c r="I579" t="inlineStr">
        <is>
          <t>Payment</t>
        </is>
      </c>
      <c r="J579" t="inlineStr">
        <is>
          <t>UNAVAILABLE</t>
        </is>
      </c>
      <c r="K579">
        <f>ROUND(IF(ISNUMBER(G579),MIN(50,ROUND(50*LOG10(G579+1)/4,1)),5)+IF(ISNUMBER(H579),ROUND(30*(100-H579)/100,1),15)+IF(B579="New",20,10),0)</f>
        <v/>
      </c>
      <c r="L579" t="inlineStr">
        <is>
          <t>KEEP</t>
        </is>
      </c>
      <c r="M579" s="5" t="inlineStr">
        <is>
          <t>Relevant to page intent</t>
        </is>
      </c>
      <c r="N579" s="5" t="inlineStr">
        <is>
          <t xml:space="preserve">Nous acceptons les principaux moyens de paiement : virement bancaire, carte et PayPal selon votre pays. Le paiement est généralement échelonné par jalons, avec un acompte au démarrage puis le solde à </t>
        </is>
      </c>
      <c r="O579" t="inlineStr">
        <is>
          <t>P3</t>
        </is>
      </c>
      <c r="P579" t="inlineStr">
        <is>
          <t>FAQPage JSON-LD</t>
        </is>
      </c>
    </row>
    <row r="580">
      <c r="A580" s="3" t="inlineStr">
        <is>
          <t>https://codesommet.com/web-development-company/abudhabi</t>
        </is>
      </c>
      <c r="B580" t="inlineStr">
        <is>
          <t>Existing</t>
        </is>
      </c>
      <c r="C580" s="5" t="inlineStr">
        <is>
          <t>Comment fonctionne le modèle de révisions illimitées à Abu Dhabi ?</t>
        </is>
      </c>
      <c r="D580" t="inlineStr">
        <is>
          <t>développement web abu dhabi</t>
        </is>
      </c>
      <c r="E580" t="inlineStr">
        <is>
          <t>ae</t>
        </is>
      </c>
      <c r="F580" s="5" t="inlineStr"/>
      <c r="G580" t="inlineStr">
        <is>
          <t>NOT AVAILABLE</t>
        </is>
      </c>
      <c r="H580" t="inlineStr">
        <is>
          <t>NOT AVAILABLE</t>
        </is>
      </c>
      <c r="I580" t="inlineStr">
        <is>
          <t>Definition / how it works</t>
        </is>
      </c>
      <c r="J580" t="inlineStr">
        <is>
          <t>UNAVAILABLE</t>
        </is>
      </c>
      <c r="K580">
        <f>ROUND(IF(ISNUMBER(G580),MIN(50,ROUND(50*LOG10(G580+1)/4,1)),5)+IF(ISNUMBER(H580),ROUND(30*(100-H580)/100,1),15)+IF(B580="New",20,10),0)</f>
        <v/>
      </c>
      <c r="L580" t="inlineStr">
        <is>
          <t>KEEP</t>
        </is>
      </c>
      <c r="M580" s="5" t="inlineStr">
        <is>
          <t>Relevant to page intent</t>
        </is>
      </c>
      <c r="N580" s="5" t="inlineStr">
        <is>
          <t>Notre modèle de révisions illimitées signifie exactement cela : nous affinons jusqu'à ce que vous soyez satisfait. Il n'y a pas de limite au nombre de modifications demandées, chaque révision étant gé</t>
        </is>
      </c>
      <c r="O580" t="inlineStr">
        <is>
          <t>P3</t>
        </is>
      </c>
      <c r="P580" t="inlineStr">
        <is>
          <t>FAQPage JSON-LD</t>
        </is>
      </c>
    </row>
    <row r="581">
      <c r="A581" s="3" t="inlineStr">
        <is>
          <t>https://codesommet.com/web-development-company/abudhabi</t>
        </is>
      </c>
      <c r="B581" t="inlineStr">
        <is>
          <t>Existing</t>
        </is>
      </c>
      <c r="C581" s="5" t="inlineStr">
        <is>
          <t>Fournissez-vous un support continu pour les clients d'Abu Dhabi après le lancement ?</t>
        </is>
      </c>
      <c r="D581" t="inlineStr">
        <is>
          <t>développement web abu dhabi</t>
        </is>
      </c>
      <c r="E581" t="inlineStr">
        <is>
          <t>ae</t>
        </is>
      </c>
      <c r="F581" s="5" t="inlineStr"/>
      <c r="G581" t="inlineStr">
        <is>
          <t>NOT AVAILABLE</t>
        </is>
      </c>
      <c r="H581" t="inlineStr">
        <is>
          <t>NOT AVAILABLE</t>
        </is>
      </c>
      <c r="I581" t="inlineStr">
        <is>
          <t>Support</t>
        </is>
      </c>
      <c r="J581" t="inlineStr">
        <is>
          <t>UNAVAILABLE</t>
        </is>
      </c>
      <c r="K581">
        <f>ROUND(IF(ISNUMBER(G581),MIN(50,ROUND(50*LOG10(G581+1)/4,1)),5)+IF(ISNUMBER(H581),ROUND(30*(100-H581)/100,1),15)+IF(B581="New",20,10),0)</f>
        <v/>
      </c>
      <c r="L581" t="inlineStr">
        <is>
          <t>KEEP</t>
        </is>
      </c>
      <c r="M581" s="5" t="inlineStr">
        <is>
          <t>Relevant to page intent</t>
        </is>
      </c>
      <c r="N581" s="5" t="inlineStr">
        <is>
          <t>Oui. Nous proposons un support continu complet : hébergement, maintenance, mises à jour de sécurité, surveillance des performances et mises à jour de contenu. Nos forfaits incluent une collaboration e</t>
        </is>
      </c>
      <c r="O581" t="inlineStr">
        <is>
          <t>P3</t>
        </is>
      </c>
      <c r="P581" t="inlineStr">
        <is>
          <t>FAQPage JSON-LD</t>
        </is>
      </c>
    </row>
    <row r="582">
      <c r="A582" s="3" t="inlineStr">
        <is>
          <t>https://codesommet.com/web-development-company/agadir</t>
        </is>
      </c>
      <c r="B582" t="inlineStr">
        <is>
          <t>Existing</t>
        </is>
      </c>
      <c r="C582" s="5" t="inlineStr">
        <is>
          <t>Avez-vous un bureau physique à Agadir ?</t>
        </is>
      </c>
      <c r="D582" t="inlineStr">
        <is>
          <t>site web agadir</t>
        </is>
      </c>
      <c r="E582" t="inlineStr">
        <is>
          <t>ma</t>
        </is>
      </c>
      <c r="F582" s="5" t="inlineStr"/>
      <c r="G582" t="n">
        <v>30</v>
      </c>
      <c r="H582" t="inlineStr">
        <is>
          <t>NOT AVAILABLE</t>
        </is>
      </c>
      <c r="I582" t="inlineStr">
        <is>
          <t>Location / logistics</t>
        </is>
      </c>
      <c r="J582" t="inlineStr">
        <is>
          <t>MEASURED</t>
        </is>
      </c>
      <c r="K582">
        <f>ROUND(IF(ISNUMBER(G582),MIN(50,ROUND(50*LOG10(G582+1)/4,1)),5)+IF(ISNUMBER(H582),ROUND(30*(100-H582)/100,1),15)+IF(B582="New",20,10),0)</f>
        <v/>
      </c>
      <c r="L582" t="inlineStr">
        <is>
          <t>KEEP</t>
        </is>
      </c>
      <c r="M582" s="5" t="inlineStr">
        <is>
          <t>Relevant to page intent</t>
        </is>
      </c>
      <c r="N582" s="5" t="inlineStr">
        <is>
          <t>Nous n'avons pas de bureau à Agadir : notre équipe travaille à distance depuis le Maroc et collabore avec ses clients entièrement en ligne (appels vidéo, WhatsApp, Slack, suivi de projet en temps réel</t>
        </is>
      </c>
      <c r="O582" t="inlineStr">
        <is>
          <t>P2</t>
        </is>
      </c>
      <c r="P582" t="inlineStr">
        <is>
          <t>FAQPage JSON-LD</t>
        </is>
      </c>
    </row>
    <row r="583">
      <c r="A583" s="3" t="inlineStr">
        <is>
          <t>https://codesommet.com/web-development-company/agadir</t>
        </is>
      </c>
      <c r="B583" t="inlineStr">
        <is>
          <t>Existing</t>
        </is>
      </c>
      <c r="C583" s="5" t="inlineStr">
        <is>
          <t>Pouvez-vous créer un site de réservation pour un hôtel ou une agence d'Agadir ?</t>
        </is>
      </c>
      <c r="D583" t="inlineStr">
        <is>
          <t>agence web agadir</t>
        </is>
      </c>
      <c r="E583" t="inlineStr">
        <is>
          <t>ma</t>
        </is>
      </c>
      <c r="F583" s="5" t="inlineStr"/>
      <c r="G583" t="n">
        <v>140</v>
      </c>
      <c r="H583" t="inlineStr">
        <is>
          <t>NOT AVAILABLE</t>
        </is>
      </c>
      <c r="I583" t="inlineStr">
        <is>
          <t>Service scope</t>
        </is>
      </c>
      <c r="J583" t="inlineStr">
        <is>
          <t>MEASURED</t>
        </is>
      </c>
      <c r="K583">
        <f>ROUND(IF(ISNUMBER(G583),MIN(50,ROUND(50*LOG10(G583+1)/4,1)),5)+IF(ISNUMBER(H583),ROUND(30*(100-H583)/100,1),15)+IF(B583="New",20,10),0)</f>
        <v/>
      </c>
      <c r="L583" t="inlineStr">
        <is>
          <t>KEEP</t>
        </is>
      </c>
      <c r="M583" s="5" t="inlineStr">
        <is>
          <t>Relevant to page intent</t>
        </is>
      </c>
      <c r="N583" s="5" t="inlineStr">
        <is>
          <t>Oui. Nous développons des sites de réservation avec calendrier de disponibilités, tarifs saisonniers, paiement en ligne sécurisé et confirmation automatique, pour les hôtels, riads, agences de voyages</t>
        </is>
      </c>
      <c r="O583" t="inlineStr">
        <is>
          <t>P2</t>
        </is>
      </c>
      <c r="P583" t="inlineStr">
        <is>
          <t>FAQPage JSON-LD</t>
        </is>
      </c>
    </row>
    <row r="584">
      <c r="A584" s="3" t="inlineStr">
        <is>
          <t>https://codesommet.com/web-development-company/agadir</t>
        </is>
      </c>
      <c r="B584" t="inlineStr">
        <is>
          <t>Existing</t>
        </is>
      </c>
      <c r="C584" s="5" t="inlineStr">
        <is>
          <t>Quels modes de paiement acceptez-vous à Agadir ?</t>
        </is>
      </c>
      <c r="D584" t="inlineStr">
        <is>
          <t>site web agadir</t>
        </is>
      </c>
      <c r="E584" t="inlineStr">
        <is>
          <t>ma</t>
        </is>
      </c>
      <c r="F584" s="5" t="inlineStr"/>
      <c r="G584" t="n">
        <v>30</v>
      </c>
      <c r="H584" t="inlineStr">
        <is>
          <t>NOT AVAILABLE</t>
        </is>
      </c>
      <c r="I584" t="inlineStr">
        <is>
          <t>Payment</t>
        </is>
      </c>
      <c r="J584" t="inlineStr">
        <is>
          <t>MEASURED</t>
        </is>
      </c>
      <c r="K584">
        <f>ROUND(IF(ISNUMBER(G584),MIN(50,ROUND(50*LOG10(G584+1)/4,1)),5)+IF(ISNUMBER(H584),ROUND(30*(100-H584)/100,1),15)+IF(B584="New",20,10),0)</f>
        <v/>
      </c>
      <c r="L584" t="inlineStr">
        <is>
          <t>KEEP</t>
        </is>
      </c>
      <c r="M584" s="5" t="inlineStr">
        <is>
          <t>Relevant to page intent</t>
        </is>
      </c>
      <c r="N584" s="5" t="inlineStr">
        <is>
          <t xml:space="preserve">Nous acceptons les principaux moyens de paiement : virement bancaire, carte et PayPal selon votre pays. Le paiement est généralement échelonné par jalons, avec un acompte au démarrage puis le solde à </t>
        </is>
      </c>
      <c r="O584" t="inlineStr">
        <is>
          <t>P2</t>
        </is>
      </c>
      <c r="P584" t="inlineStr">
        <is>
          <t>FAQPage JSON-LD</t>
        </is>
      </c>
    </row>
    <row r="585">
      <c r="A585" s="3" t="inlineStr">
        <is>
          <t>https://codesommet.com/web-development-company/agadir</t>
        </is>
      </c>
      <c r="B585" t="inlineStr">
        <is>
          <t>Existing</t>
        </is>
      </c>
      <c r="C585" s="5" t="inlineStr">
        <is>
          <t>Le site peut-il être en français, anglais et arabe ?</t>
        </is>
      </c>
      <c r="D585" t="inlineStr">
        <is>
          <t>agence web agadir</t>
        </is>
      </c>
      <c r="E585" t="inlineStr">
        <is>
          <t>ma</t>
        </is>
      </c>
      <c r="F585" s="5" t="inlineStr"/>
      <c r="G585" t="n">
        <v>140</v>
      </c>
      <c r="H585" t="inlineStr">
        <is>
          <t>NOT AVAILABLE</t>
        </is>
      </c>
      <c r="I585" t="inlineStr">
        <is>
          <t>Service scope</t>
        </is>
      </c>
      <c r="J585" t="inlineStr">
        <is>
          <t>MEASURED</t>
        </is>
      </c>
      <c r="K585">
        <f>ROUND(IF(ISNUMBER(G585),MIN(50,ROUND(50*LOG10(G585+1)/4,1)),5)+IF(ISNUMBER(H585),ROUND(30*(100-H585)/100,1),15)+IF(B585="New",20,10),0)</f>
        <v/>
      </c>
      <c r="L585" t="inlineStr">
        <is>
          <t>KEEP</t>
        </is>
      </c>
      <c r="M585" s="5" t="inlineStr">
        <is>
          <t>Relevant to page intent</t>
        </is>
      </c>
      <c r="N585" s="5" t="inlineStr">
        <is>
          <t>Oui. La clientèle d'Agadir est française, anglaise, arabophone et de plus en plus nordique : nous livrons des sites multilingues avec une structure d'URL propre par langue, des balises hreflang correc</t>
        </is>
      </c>
      <c r="O585" t="inlineStr">
        <is>
          <t>P2</t>
        </is>
      </c>
      <c r="P585" t="inlineStr">
        <is>
          <t>FAQPage JSON-LD</t>
        </is>
      </c>
    </row>
    <row r="586">
      <c r="A586" s="3" t="inlineStr">
        <is>
          <t>https://codesommet.com/web-development-company/agadir</t>
        </is>
      </c>
      <c r="B586" t="inlineStr">
        <is>
          <t>Existing</t>
        </is>
      </c>
      <c r="C586" s="5" t="inlineStr">
        <is>
          <t>À quelle vitesse pouvez-vous lancer un site web pour mon entreprise à Agadir ?</t>
        </is>
      </c>
      <c r="D586" t="inlineStr">
        <is>
          <t>site web agadir</t>
        </is>
      </c>
      <c r="E586" t="inlineStr">
        <is>
          <t>ma</t>
        </is>
      </c>
      <c r="F586" s="5" t="inlineStr"/>
      <c r="G586" t="n">
        <v>30</v>
      </c>
      <c r="H586" t="inlineStr">
        <is>
          <t>NOT AVAILABLE</t>
        </is>
      </c>
      <c r="I586" t="inlineStr">
        <is>
          <t>Timeline</t>
        </is>
      </c>
      <c r="J586" t="inlineStr">
        <is>
          <t>MEASURED</t>
        </is>
      </c>
      <c r="K586">
        <f>ROUND(IF(ISNUMBER(G586),MIN(50,ROUND(50*LOG10(G586+1)/4,1)),5)+IF(ISNUMBER(H586),ROUND(30*(100-H586)/100,1),15)+IF(B586="New",20,10),0)</f>
        <v/>
      </c>
      <c r="L586" t="inlineStr">
        <is>
          <t>KEEP</t>
        </is>
      </c>
      <c r="M586" s="5" t="inlineStr">
        <is>
          <t>Matches measured pre-purchase demand</t>
        </is>
      </c>
      <c r="N586" s="5" t="inlineStr">
        <is>
          <t>La plupart des sites vitrines sont livrés en 2 à 5 jours après validation du périmètre. Pour les projets urgents, notre formule express permet une mise en ligne en 2 jours seulement. Les sites de rése</t>
        </is>
      </c>
      <c r="O586" t="inlineStr">
        <is>
          <t>P2</t>
        </is>
      </c>
      <c r="P586" t="inlineStr">
        <is>
          <t>FAQPage JSON-LD</t>
        </is>
      </c>
    </row>
    <row r="587">
      <c r="A587" s="3" t="inlineStr">
        <is>
          <t>https://codesommet.com/web-development-company/agadir</t>
        </is>
      </c>
      <c r="B587" t="inlineStr">
        <is>
          <t>Existing</t>
        </is>
      </c>
      <c r="C587" s="5" t="inlineStr">
        <is>
          <t>Pouvez-vous aider avec l'enregistrement de domaine .ma ?</t>
        </is>
      </c>
      <c r="D587" t="inlineStr">
        <is>
          <t>agence web agadir</t>
        </is>
      </c>
      <c r="E587" t="inlineStr">
        <is>
          <t>ma</t>
        </is>
      </c>
      <c r="F587" s="5" t="inlineStr"/>
      <c r="G587" t="n">
        <v>140</v>
      </c>
      <c r="H587" t="inlineStr">
        <is>
          <t>NOT AVAILABLE</t>
        </is>
      </c>
      <c r="I587" t="inlineStr">
        <is>
          <t>Service scope</t>
        </is>
      </c>
      <c r="J587" t="inlineStr">
        <is>
          <t>MEASURED</t>
        </is>
      </c>
      <c r="K587">
        <f>ROUND(IF(ISNUMBER(G587),MIN(50,ROUND(50*LOG10(G587+1)/4,1)),5)+IF(ISNUMBER(H587),ROUND(30*(100-H587)/100,1),15)+IF(B587="New",20,10),0)</f>
        <v/>
      </c>
      <c r="L587" t="inlineStr">
        <is>
          <t>IMPROVE</t>
        </is>
      </c>
      <c r="M587" s="5" t="inlineStr">
        <is>
          <t>Templated question shared by 12 pages - localise answer (sectors, office, examples) on this priority city page</t>
        </is>
      </c>
      <c r="N587" s="5" t="inlineStr">
        <is>
          <t>Oui. Nous vous conseillons sur le choix du nom de domaine (.ma ou .com selon votre cible), nous vous guidons pour l'enregistrement auprès d'un registrar et nous configurons le DNS, le certificat SSL e</t>
        </is>
      </c>
      <c r="O587" t="inlineStr">
        <is>
          <t>P1</t>
        </is>
      </c>
      <c r="P587" t="inlineStr">
        <is>
          <t>FAQPage JSON-LD</t>
        </is>
      </c>
    </row>
    <row r="588">
      <c r="A588" s="3" t="inlineStr">
        <is>
          <t>https://codesommet.com/web-development-company/agadir</t>
        </is>
      </c>
      <c r="B588" t="inlineStr">
        <is>
          <t>New</t>
        </is>
      </c>
      <c r="C588" s="5" t="inlineStr">
        <is>
          <t>Accompagnez-vous les entreprises touristiques et agricoles d'Agadir ?</t>
        </is>
      </c>
      <c r="D588" t="inlineStr">
        <is>
          <t>agence web agadir</t>
        </is>
      </c>
      <c r="E588" t="inlineStr">
        <is>
          <t>ma</t>
        </is>
      </c>
      <c r="F588" s="5" t="inlineStr">
        <is>
          <t>création site web agadir [ma] 90</t>
        </is>
      </c>
      <c r="G588" t="n">
        <v>140</v>
      </c>
      <c r="H588" t="inlineStr">
        <is>
          <t>NOT AVAILABLE</t>
        </is>
      </c>
      <c r="I588" t="inlineStr">
        <is>
          <t>Question</t>
        </is>
      </c>
      <c r="J588" t="inlineStr">
        <is>
          <t>MEASURED</t>
        </is>
      </c>
      <c r="K588">
        <f>ROUND(IF(ISNUMBER(G588),MIN(50,ROUND(50*LOG10(G588+1)/4,1)),5)+IF(ISNUMBER(H588),ROUND(30*(100-H588)/100,1),15)+IF(B588="New",20,10),0)</f>
        <v/>
      </c>
      <c r="L588" t="inlineStr">
        <is>
          <t>NEW</t>
        </is>
      </c>
      <c r="M588" s="5" t="inlineStr">
        <is>
          <t>Local sector context. | Why here: Differentiates the Agadir page from the other city templates. | Internal link: /our-work</t>
        </is>
      </c>
      <c r="N588" s="5" t="inlineStr">
        <is>
          <t>Sectors, export catalogues, multilingual sites.</t>
        </is>
      </c>
      <c r="O588" t="inlineStr">
        <is>
          <t>P3</t>
        </is>
      </c>
      <c r="P588" t="inlineStr"/>
    </row>
    <row r="589">
      <c r="A589" s="3" t="inlineStr">
        <is>
          <t>https://codesommet.com/web-development-company/amsterdam</t>
        </is>
      </c>
      <c r="B589" t="inlineStr">
        <is>
          <t>Existing</t>
        </is>
      </c>
      <c r="C589" s="5" t="inlineStr">
        <is>
          <t>Pourquoi choisir CodeSommet plutôt que les nombreuses agences de développement web d'Amsterdam ?</t>
        </is>
      </c>
      <c r="D589" t="inlineStr">
        <is>
          <t>développement web amsterdam</t>
        </is>
      </c>
      <c r="E589" t="inlineStr">
        <is>
          <t>nl</t>
        </is>
      </c>
      <c r="F589" s="5" t="inlineStr"/>
      <c r="G589" t="inlineStr">
        <is>
          <t>NOT AVAILABLE</t>
        </is>
      </c>
      <c r="H589" t="inlineStr">
        <is>
          <t>NOT AVAILABLE</t>
        </is>
      </c>
      <c r="I589" t="inlineStr">
        <is>
          <t>Differentiation</t>
        </is>
      </c>
      <c r="J589" t="inlineStr">
        <is>
          <t>UNAVAILABLE</t>
        </is>
      </c>
      <c r="K589">
        <f>ROUND(IF(ISNUMBER(G589),MIN(50,ROUND(50*LOG10(G589+1)/4,1)),5)+IF(ISNUMBER(H589),ROUND(30*(100-H589)/100,1),15)+IF(B589="New",20,10),0)</f>
        <v/>
      </c>
      <c r="L589" t="inlineStr">
        <is>
          <t>KEEP</t>
        </is>
      </c>
      <c r="M589" s="5" t="inlineStr">
        <is>
          <t>Relevant to page intent</t>
        </is>
      </c>
      <c r="N589" s="5" t="inlineStr">
        <is>
          <t>Parce que nous combinons un design soigné, des technologies modernes et une livraison rapide : la plupart des sites vitrines sont en ligne en 2 à 5 jours après validation du périmètre (et en 2 jours s</t>
        </is>
      </c>
      <c r="O589" t="inlineStr">
        <is>
          <t>P3</t>
        </is>
      </c>
      <c r="P589" t="inlineStr">
        <is>
          <t>FAQPage JSON-LD</t>
        </is>
      </c>
    </row>
    <row r="590">
      <c r="A590" s="3" t="inlineStr">
        <is>
          <t>https://codesommet.com/web-development-company/amsterdam</t>
        </is>
      </c>
      <c r="B590" t="inlineStr">
        <is>
          <t>Existing</t>
        </is>
      </c>
      <c r="C590" s="5" t="inlineStr">
        <is>
          <t>Travaillez-vous avec les startups d'Amsterdam et les entreprises en phase de démarrage ?</t>
        </is>
      </c>
      <c r="D590" t="inlineStr">
        <is>
          <t>développement web amsterdam</t>
        </is>
      </c>
      <c r="E590" t="inlineStr">
        <is>
          <t>nl</t>
        </is>
      </c>
      <c r="F590" s="5" t="inlineStr"/>
      <c r="G590" t="inlineStr">
        <is>
          <t>NOT AVAILABLE</t>
        </is>
      </c>
      <c r="H590" t="inlineStr">
        <is>
          <t>NOT AVAILABLE</t>
        </is>
      </c>
      <c r="I590" t="inlineStr">
        <is>
          <t>Service scope</t>
        </is>
      </c>
      <c r="J590" t="inlineStr">
        <is>
          <t>UNAVAILABLE</t>
        </is>
      </c>
      <c r="K590">
        <f>ROUND(IF(ISNUMBER(G590),MIN(50,ROUND(50*LOG10(G590+1)/4,1)),5)+IF(ISNUMBER(H590),ROUND(30*(100-H590)/100,1),15)+IF(B590="New",20,10),0)</f>
        <v/>
      </c>
      <c r="L590" t="inlineStr">
        <is>
          <t>KEEP</t>
        </is>
      </c>
      <c r="M590" s="5" t="inlineStr">
        <is>
          <t>Relevant to page intent</t>
        </is>
      </c>
      <c r="N590" s="5" t="inlineStr">
        <is>
          <t>Absolument. Nous travaillons avec des entreprises de toutes tailles, des startups en démarrage aux structures établies. Notre tarification flexible et nos forfaits mensuels sont pensés pour évoluer av</t>
        </is>
      </c>
      <c r="O590" t="inlineStr">
        <is>
          <t>P3</t>
        </is>
      </c>
      <c r="P590" t="inlineStr">
        <is>
          <t>FAQPage JSON-LD</t>
        </is>
      </c>
    </row>
    <row r="591">
      <c r="A591" s="3" t="inlineStr">
        <is>
          <t>https://codesommet.com/web-development-company/amsterdam</t>
        </is>
      </c>
      <c r="B591" t="inlineStr">
        <is>
          <t>Existing</t>
        </is>
      </c>
      <c r="C591" s="5" t="inlineStr">
        <is>
          <t>Quelles technologies utilisez-vous pour les projets à Amsterdam ?</t>
        </is>
      </c>
      <c r="D591" t="inlineStr">
        <is>
          <t>développement web amsterdam</t>
        </is>
      </c>
      <c r="E591" t="inlineStr">
        <is>
          <t>nl</t>
        </is>
      </c>
      <c r="F591" s="5" t="inlineStr"/>
      <c r="G591" t="inlineStr">
        <is>
          <t>NOT AVAILABLE</t>
        </is>
      </c>
      <c r="H591" t="inlineStr">
        <is>
          <t>NOT AVAILABLE</t>
        </is>
      </c>
      <c r="I591" t="inlineStr">
        <is>
          <t>Service scope</t>
        </is>
      </c>
      <c r="J591" t="inlineStr">
        <is>
          <t>UNAVAILABLE</t>
        </is>
      </c>
      <c r="K591">
        <f>ROUND(IF(ISNUMBER(G591),MIN(50,ROUND(50*LOG10(G591+1)/4,1)),5)+IF(ISNUMBER(H591),ROUND(30*(100-H591)/100,1),15)+IF(B591="New",20,10),0)</f>
        <v/>
      </c>
      <c r="L591" t="inlineStr">
        <is>
          <t>KEEP</t>
        </is>
      </c>
      <c r="M591" s="5" t="inlineStr">
        <is>
          <t>Templated across 9 pages - acceptable for now; localise only if the page is kept (see F-02 / sheet 09)</t>
        </is>
      </c>
      <c r="N591" s="5" t="inlineStr">
        <is>
          <t>Nous utilisons des technologies modernes comme Next.js, React, TypeScript, Node.js et Laravel pour le développement web. Côté IA, nous intégrons des chatbots sur mesure et des automatisations intellig</t>
        </is>
      </c>
      <c r="O591" t="inlineStr">
        <is>
          <t>P3</t>
        </is>
      </c>
      <c r="P591" t="inlineStr">
        <is>
          <t>FAQPage JSON-LD</t>
        </is>
      </c>
    </row>
    <row r="592">
      <c r="A592" s="3" t="inlineStr">
        <is>
          <t>https://codesommet.com/web-development-company/amsterdam</t>
        </is>
      </c>
      <c r="B592" t="inlineStr">
        <is>
          <t>Existing</t>
        </is>
      </c>
      <c r="C592" s="5" t="inlineStr">
        <is>
          <t>Pouvez-vous intégrer les systèmes existants utilisés par les entreprises d'Amsterdam ?</t>
        </is>
      </c>
      <c r="D592" t="inlineStr">
        <is>
          <t>développement web amsterdam</t>
        </is>
      </c>
      <c r="E592" t="inlineStr">
        <is>
          <t>nl</t>
        </is>
      </c>
      <c r="F592" s="5" t="inlineStr"/>
      <c r="G592" t="inlineStr">
        <is>
          <t>NOT AVAILABLE</t>
        </is>
      </c>
      <c r="H592" t="inlineStr">
        <is>
          <t>NOT AVAILABLE</t>
        </is>
      </c>
      <c r="I592" t="inlineStr">
        <is>
          <t>Service scope</t>
        </is>
      </c>
      <c r="J592" t="inlineStr">
        <is>
          <t>UNAVAILABLE</t>
        </is>
      </c>
      <c r="K592">
        <f>ROUND(IF(ISNUMBER(G592),MIN(50,ROUND(50*LOG10(G592+1)/4,1)),5)+IF(ISNUMBER(H592),ROUND(30*(100-H592)/100,1),15)+IF(B592="New",20,10),0)</f>
        <v/>
      </c>
      <c r="L592" t="inlineStr">
        <is>
          <t>KEEP</t>
        </is>
      </c>
      <c r="M592" s="5" t="inlineStr">
        <is>
          <t>Relevant to page intent</t>
        </is>
      </c>
      <c r="N592" s="5" t="inlineStr">
        <is>
          <t>Oui. Nous intégrons vos systèmes existants : CRM, ERP, passerelles de paiement, systèmes de réservation et API tierces. Que vous utilisiez Salesforce, HubSpot, Stripe ou des outils internes, nous assu</t>
        </is>
      </c>
      <c r="O592" t="inlineStr">
        <is>
          <t>P3</t>
        </is>
      </c>
      <c r="P592" t="inlineStr">
        <is>
          <t>FAQPage JSON-LD</t>
        </is>
      </c>
    </row>
    <row r="593">
      <c r="A593" s="3" t="inlineStr">
        <is>
          <t>https://codesommet.com/web-development-company/amsterdam</t>
        </is>
      </c>
      <c r="B593" t="inlineStr">
        <is>
          <t>Existing</t>
        </is>
      </c>
      <c r="C593" s="5" t="inlineStr">
        <is>
          <t>Comment fonctionne le modèle de révisions illimitées pour les clients d'Amsterdam ?</t>
        </is>
      </c>
      <c r="D593" t="inlineStr">
        <is>
          <t>développement web amsterdam</t>
        </is>
      </c>
      <c r="E593" t="inlineStr">
        <is>
          <t>nl</t>
        </is>
      </c>
      <c r="F593" s="5" t="inlineStr"/>
      <c r="G593" t="inlineStr">
        <is>
          <t>NOT AVAILABLE</t>
        </is>
      </c>
      <c r="H593" t="inlineStr">
        <is>
          <t>NOT AVAILABLE</t>
        </is>
      </c>
      <c r="I593" t="inlineStr">
        <is>
          <t>Definition / how it works</t>
        </is>
      </c>
      <c r="J593" t="inlineStr">
        <is>
          <t>UNAVAILABLE</t>
        </is>
      </c>
      <c r="K593">
        <f>ROUND(IF(ISNUMBER(G593),MIN(50,ROUND(50*LOG10(G593+1)/4,1)),5)+IF(ISNUMBER(H593),ROUND(30*(100-H593)/100,1),15)+IF(B593="New",20,10),0)</f>
        <v/>
      </c>
      <c r="L593" t="inlineStr">
        <is>
          <t>KEEP</t>
        </is>
      </c>
      <c r="M593" s="5" t="inlineStr">
        <is>
          <t>Relevant to page intent</t>
        </is>
      </c>
      <c r="N593" s="5" t="inlineStr">
        <is>
          <t>Notre modèle de révisions illimitées signifie exactement cela : nous affinons jusqu'à ce que vous soyez satisfait. Il n'y a pas de limite au nombre de modifications demandées, chaque révision étant gé</t>
        </is>
      </c>
      <c r="O593" t="inlineStr">
        <is>
          <t>P3</t>
        </is>
      </c>
      <c r="P593" t="inlineStr">
        <is>
          <t>FAQPage JSON-LD</t>
        </is>
      </c>
    </row>
    <row r="594">
      <c r="A594" s="3" t="inlineStr">
        <is>
          <t>https://codesommet.com/web-development-company/amsterdam</t>
        </is>
      </c>
      <c r="B594" t="inlineStr">
        <is>
          <t>Existing</t>
        </is>
      </c>
      <c r="C594" s="5" t="inlineStr">
        <is>
          <t>Fournissez-vous un support continu après le lancement à Amsterdam ?</t>
        </is>
      </c>
      <c r="D594" t="inlineStr">
        <is>
          <t>développement web amsterdam</t>
        </is>
      </c>
      <c r="E594" t="inlineStr">
        <is>
          <t>nl</t>
        </is>
      </c>
      <c r="F594" s="5" t="inlineStr"/>
      <c r="G594" t="inlineStr">
        <is>
          <t>NOT AVAILABLE</t>
        </is>
      </c>
      <c r="H594" t="inlineStr">
        <is>
          <t>NOT AVAILABLE</t>
        </is>
      </c>
      <c r="I594" t="inlineStr">
        <is>
          <t>Support</t>
        </is>
      </c>
      <c r="J594" t="inlineStr">
        <is>
          <t>UNAVAILABLE</t>
        </is>
      </c>
      <c r="K594">
        <f>ROUND(IF(ISNUMBER(G594),MIN(50,ROUND(50*LOG10(G594+1)/4,1)),5)+IF(ISNUMBER(H594),ROUND(30*(100-H594)/100,1),15)+IF(B594="New",20,10),0)</f>
        <v/>
      </c>
      <c r="L594" t="inlineStr">
        <is>
          <t>KEEP</t>
        </is>
      </c>
      <c r="M594" s="5" t="inlineStr">
        <is>
          <t>Templated across 7 pages - acceptable for now; localise only if the page is kept (see F-02 / sheet 09)</t>
        </is>
      </c>
      <c r="N594" s="5" t="inlineStr">
        <is>
          <t>Oui. Nous proposons un support continu complet : hébergement, maintenance, mises à jour de sécurité, surveillance des performances et mises à jour de contenu. Nos forfaits incluent une collaboration e</t>
        </is>
      </c>
      <c r="O594" t="inlineStr">
        <is>
          <t>P3</t>
        </is>
      </c>
      <c r="P594" t="inlineStr">
        <is>
          <t>FAQPage JSON-LD</t>
        </is>
      </c>
    </row>
    <row r="595">
      <c r="A595" s="3" t="inlineStr">
        <is>
          <t>https://codesommet.com/web-development-company/austin</t>
        </is>
      </c>
      <c r="B595" t="inlineStr">
        <is>
          <t>Existing</t>
        </is>
      </c>
      <c r="C595" s="5" t="inlineStr">
        <is>
          <t>Pourquoi choisir CodeSommet plutôt que les nombreuses agences de développement web d'Austin ?</t>
        </is>
      </c>
      <c r="D595" t="inlineStr">
        <is>
          <t>développement web austin</t>
        </is>
      </c>
      <c r="E595" t="inlineStr">
        <is>
          <t>us</t>
        </is>
      </c>
      <c r="F595" s="5" t="inlineStr"/>
      <c r="G595" t="inlineStr">
        <is>
          <t>NOT AVAILABLE</t>
        </is>
      </c>
      <c r="H595" t="inlineStr">
        <is>
          <t>NOT AVAILABLE</t>
        </is>
      </c>
      <c r="I595" t="inlineStr">
        <is>
          <t>Differentiation</t>
        </is>
      </c>
      <c r="J595" t="inlineStr">
        <is>
          <t>UNAVAILABLE</t>
        </is>
      </c>
      <c r="K595">
        <f>ROUND(IF(ISNUMBER(G595),MIN(50,ROUND(50*LOG10(G595+1)/4,1)),5)+IF(ISNUMBER(H595),ROUND(30*(100-H595)/100,1),15)+IF(B595="New",20,10),0)</f>
        <v/>
      </c>
      <c r="L595" t="inlineStr">
        <is>
          <t>KEEP</t>
        </is>
      </c>
      <c r="M595" s="5" t="inlineStr">
        <is>
          <t>Relevant to page intent</t>
        </is>
      </c>
      <c r="N595" s="5" t="inlineStr">
        <is>
          <t>Parce que nous combinons un design soigné, des technologies modernes et une livraison rapide : la plupart des sites vitrines sont en ligne en 2 à 5 jours après validation du périmètre (et en 2 jours s</t>
        </is>
      </c>
      <c r="O595" t="inlineStr">
        <is>
          <t>P3</t>
        </is>
      </c>
      <c r="P595" t="inlineStr">
        <is>
          <t>FAQPage JSON-LD</t>
        </is>
      </c>
    </row>
    <row r="596">
      <c r="A596" s="3" t="inlineStr">
        <is>
          <t>https://codesommet.com/web-development-company/austin</t>
        </is>
      </c>
      <c r="B596" t="inlineStr">
        <is>
          <t>Existing</t>
        </is>
      </c>
      <c r="C596" s="5" t="inlineStr">
        <is>
          <t>Travaillez-vous avec les startups d'Austin et les entreprises en phase de démarrage ?</t>
        </is>
      </c>
      <c r="D596" t="inlineStr">
        <is>
          <t>développement web austin</t>
        </is>
      </c>
      <c r="E596" t="inlineStr">
        <is>
          <t>us</t>
        </is>
      </c>
      <c r="F596" s="5" t="inlineStr"/>
      <c r="G596" t="inlineStr">
        <is>
          <t>NOT AVAILABLE</t>
        </is>
      </c>
      <c r="H596" t="inlineStr">
        <is>
          <t>NOT AVAILABLE</t>
        </is>
      </c>
      <c r="I596" t="inlineStr">
        <is>
          <t>Service scope</t>
        </is>
      </c>
      <c r="J596" t="inlineStr">
        <is>
          <t>UNAVAILABLE</t>
        </is>
      </c>
      <c r="K596">
        <f>ROUND(IF(ISNUMBER(G596),MIN(50,ROUND(50*LOG10(G596+1)/4,1)),5)+IF(ISNUMBER(H596),ROUND(30*(100-H596)/100,1),15)+IF(B596="New",20,10),0)</f>
        <v/>
      </c>
      <c r="L596" t="inlineStr">
        <is>
          <t>KEEP</t>
        </is>
      </c>
      <c r="M596" s="5" t="inlineStr">
        <is>
          <t>Relevant to page intent</t>
        </is>
      </c>
      <c r="N596" s="5" t="inlineStr">
        <is>
          <t>Absolument. Nous travaillons avec des entreprises de toutes tailles, des startups en démarrage aux structures établies. Notre tarification flexible et nos forfaits mensuels sont pensés pour évoluer av</t>
        </is>
      </c>
      <c r="O596" t="inlineStr">
        <is>
          <t>P3</t>
        </is>
      </c>
      <c r="P596" t="inlineStr">
        <is>
          <t>FAQPage JSON-LD</t>
        </is>
      </c>
    </row>
    <row r="597">
      <c r="A597" s="3" t="inlineStr">
        <is>
          <t>https://codesommet.com/web-development-company/austin</t>
        </is>
      </c>
      <c r="B597" t="inlineStr">
        <is>
          <t>Existing</t>
        </is>
      </c>
      <c r="C597" s="5" t="inlineStr">
        <is>
          <t>Quelles technologies utilisez-vous pour les projets à Austin ?</t>
        </is>
      </c>
      <c r="D597" t="inlineStr">
        <is>
          <t>développement web austin</t>
        </is>
      </c>
      <c r="E597" t="inlineStr">
        <is>
          <t>us</t>
        </is>
      </c>
      <c r="F597" s="5" t="inlineStr"/>
      <c r="G597" t="inlineStr">
        <is>
          <t>NOT AVAILABLE</t>
        </is>
      </c>
      <c r="H597" t="inlineStr">
        <is>
          <t>NOT AVAILABLE</t>
        </is>
      </c>
      <c r="I597" t="inlineStr">
        <is>
          <t>Service scope</t>
        </is>
      </c>
      <c r="J597" t="inlineStr">
        <is>
          <t>UNAVAILABLE</t>
        </is>
      </c>
      <c r="K597">
        <f>ROUND(IF(ISNUMBER(G597),MIN(50,ROUND(50*LOG10(G597+1)/4,1)),5)+IF(ISNUMBER(H597),ROUND(30*(100-H597)/100,1),15)+IF(B597="New",20,10),0)</f>
        <v/>
      </c>
      <c r="L597" t="inlineStr">
        <is>
          <t>KEEP</t>
        </is>
      </c>
      <c r="M597" s="5" t="inlineStr">
        <is>
          <t>Templated across 9 pages - acceptable for now; localise only if the page is kept (see F-02 / sheet 09)</t>
        </is>
      </c>
      <c r="N597" s="5" t="inlineStr">
        <is>
          <t>Nous utilisons des technologies modernes comme Next.js, React, TypeScript, Node.js et Laravel pour le développement web. Côté IA, nous intégrons des chatbots sur mesure et des automatisations intellig</t>
        </is>
      </c>
      <c r="O597" t="inlineStr">
        <is>
          <t>P3</t>
        </is>
      </c>
      <c r="P597" t="inlineStr">
        <is>
          <t>FAQPage JSON-LD</t>
        </is>
      </c>
    </row>
    <row r="598">
      <c r="A598" s="3" t="inlineStr">
        <is>
          <t>https://codesommet.com/web-development-company/austin</t>
        </is>
      </c>
      <c r="B598" t="inlineStr">
        <is>
          <t>Existing</t>
        </is>
      </c>
      <c r="C598" s="5" t="inlineStr">
        <is>
          <t>Pouvez-vous intégrer les systèmes existants utilisés par les entreprises d'Austin ?</t>
        </is>
      </c>
      <c r="D598" t="inlineStr">
        <is>
          <t>développement web austin</t>
        </is>
      </c>
      <c r="E598" t="inlineStr">
        <is>
          <t>us</t>
        </is>
      </c>
      <c r="F598" s="5" t="inlineStr"/>
      <c r="G598" t="inlineStr">
        <is>
          <t>NOT AVAILABLE</t>
        </is>
      </c>
      <c r="H598" t="inlineStr">
        <is>
          <t>NOT AVAILABLE</t>
        </is>
      </c>
      <c r="I598" t="inlineStr">
        <is>
          <t>Service scope</t>
        </is>
      </c>
      <c r="J598" t="inlineStr">
        <is>
          <t>UNAVAILABLE</t>
        </is>
      </c>
      <c r="K598">
        <f>ROUND(IF(ISNUMBER(G598),MIN(50,ROUND(50*LOG10(G598+1)/4,1)),5)+IF(ISNUMBER(H598),ROUND(30*(100-H598)/100,1),15)+IF(B598="New",20,10),0)</f>
        <v/>
      </c>
      <c r="L598" t="inlineStr">
        <is>
          <t>KEEP</t>
        </is>
      </c>
      <c r="M598" s="5" t="inlineStr">
        <is>
          <t>Relevant to page intent</t>
        </is>
      </c>
      <c r="N598" s="5" t="inlineStr">
        <is>
          <t>Oui. Nous intégrons vos systèmes existants : CRM, ERP, passerelles de paiement, systèmes de réservation et API tierces. Que vous utilisiez Salesforce, HubSpot, Stripe ou des outils internes, nous assu</t>
        </is>
      </c>
      <c r="O598" t="inlineStr">
        <is>
          <t>P3</t>
        </is>
      </c>
      <c r="P598" t="inlineStr">
        <is>
          <t>FAQPage JSON-LD</t>
        </is>
      </c>
    </row>
    <row r="599">
      <c r="A599" s="3" t="inlineStr">
        <is>
          <t>https://codesommet.com/web-development-company/austin</t>
        </is>
      </c>
      <c r="B599" t="inlineStr">
        <is>
          <t>Existing</t>
        </is>
      </c>
      <c r="C599" s="5" t="inlineStr">
        <is>
          <t>Comment fonctionne votre modèle de révisions illimitées pour les clients d'Austin ?</t>
        </is>
      </c>
      <c r="D599" t="inlineStr">
        <is>
          <t>développement web austin</t>
        </is>
      </c>
      <c r="E599" t="inlineStr">
        <is>
          <t>us</t>
        </is>
      </c>
      <c r="F599" s="5" t="inlineStr"/>
      <c r="G599" t="inlineStr">
        <is>
          <t>NOT AVAILABLE</t>
        </is>
      </c>
      <c r="H599" t="inlineStr">
        <is>
          <t>NOT AVAILABLE</t>
        </is>
      </c>
      <c r="I599" t="inlineStr">
        <is>
          <t>Definition / how it works</t>
        </is>
      </c>
      <c r="J599" t="inlineStr">
        <is>
          <t>UNAVAILABLE</t>
        </is>
      </c>
      <c r="K599">
        <f>ROUND(IF(ISNUMBER(G599),MIN(50,ROUND(50*LOG10(G599+1)/4,1)),5)+IF(ISNUMBER(H599),ROUND(30*(100-H599)/100,1),15)+IF(B599="New",20,10),0)</f>
        <v/>
      </c>
      <c r="L599" t="inlineStr">
        <is>
          <t>KEEP</t>
        </is>
      </c>
      <c r="M599" s="5" t="inlineStr">
        <is>
          <t>Relevant to page intent</t>
        </is>
      </c>
      <c r="N599" s="5" t="inlineStr">
        <is>
          <t>Notre modèle de révisions illimitées signifie exactement cela : nous affinons jusqu'à ce que vous soyez satisfait. Il n'y a pas de limite au nombre de modifications demandées, chaque révision étant gé</t>
        </is>
      </c>
      <c r="O599" t="inlineStr">
        <is>
          <t>P3</t>
        </is>
      </c>
      <c r="P599" t="inlineStr">
        <is>
          <t>FAQPage JSON-LD</t>
        </is>
      </c>
    </row>
    <row r="600">
      <c r="A600" s="3" t="inlineStr">
        <is>
          <t>https://codesommet.com/web-development-company/austin</t>
        </is>
      </c>
      <c r="B600" t="inlineStr">
        <is>
          <t>Existing</t>
        </is>
      </c>
      <c r="C600" s="5" t="inlineStr">
        <is>
          <t>Fournissez-vous un support continu pour les projets à Austin après le lancement ?</t>
        </is>
      </c>
      <c r="D600" t="inlineStr">
        <is>
          <t>développement web austin</t>
        </is>
      </c>
      <c r="E600" t="inlineStr">
        <is>
          <t>us</t>
        </is>
      </c>
      <c r="F600" s="5" t="inlineStr"/>
      <c r="G600" t="inlineStr">
        <is>
          <t>NOT AVAILABLE</t>
        </is>
      </c>
      <c r="H600" t="inlineStr">
        <is>
          <t>NOT AVAILABLE</t>
        </is>
      </c>
      <c r="I600" t="inlineStr">
        <is>
          <t>Support</t>
        </is>
      </c>
      <c r="J600" t="inlineStr">
        <is>
          <t>UNAVAILABLE</t>
        </is>
      </c>
      <c r="K600">
        <f>ROUND(IF(ISNUMBER(G600),MIN(50,ROUND(50*LOG10(G600+1)/4,1)),5)+IF(ISNUMBER(H600),ROUND(30*(100-H600)/100,1),15)+IF(B600="New",20,10),0)</f>
        <v/>
      </c>
      <c r="L600" t="inlineStr">
        <is>
          <t>KEEP</t>
        </is>
      </c>
      <c r="M600" s="5" t="inlineStr">
        <is>
          <t>Relevant to page intent</t>
        </is>
      </c>
      <c r="N600" s="5" t="inlineStr">
        <is>
          <t>Oui. Nous proposons un support continu complet : hébergement, maintenance, mises à jour de sécurité, surveillance des performances et mises à jour de contenu. Nos forfaits incluent une collaboration e</t>
        </is>
      </c>
      <c r="O600" t="inlineStr">
        <is>
          <t>P3</t>
        </is>
      </c>
      <c r="P600" t="inlineStr">
        <is>
          <t>FAQPage JSON-LD</t>
        </is>
      </c>
    </row>
    <row r="601">
      <c r="A601" s="3" t="inlineStr">
        <is>
          <t>https://codesommet.com/web-development-company/barcelona</t>
        </is>
      </c>
      <c r="B601" t="inlineStr">
        <is>
          <t>Existing</t>
        </is>
      </c>
      <c r="C601" s="5" t="inlineStr">
        <is>
          <t>Avez-vous un bureau physique à Barcelone ?</t>
        </is>
      </c>
      <c r="D601" t="inlineStr">
        <is>
          <t>développement web barcelone</t>
        </is>
      </c>
      <c r="E601" t="inlineStr">
        <is>
          <t>es</t>
        </is>
      </c>
      <c r="F601" s="5" t="inlineStr"/>
      <c r="G601" t="inlineStr">
        <is>
          <t>NOT AVAILABLE</t>
        </is>
      </c>
      <c r="H601" t="inlineStr">
        <is>
          <t>NOT AVAILABLE</t>
        </is>
      </c>
      <c r="I601" t="inlineStr">
        <is>
          <t>Location / logistics</t>
        </is>
      </c>
      <c r="J601" t="inlineStr">
        <is>
          <t>UNAVAILABLE</t>
        </is>
      </c>
      <c r="K601">
        <f>ROUND(IF(ISNUMBER(G601),MIN(50,ROUND(50*LOG10(G601+1)/4,1)),5)+IF(ISNUMBER(H601),ROUND(30*(100-H601)/100,1),15)+IF(B601="New",20,10),0)</f>
        <v/>
      </c>
      <c r="L601" t="inlineStr">
        <is>
          <t>KEEP</t>
        </is>
      </c>
      <c r="M601" s="5" t="inlineStr">
        <is>
          <t>Templated across 8 pages - acceptable for now; localise only if the page is kept (see F-02 / sheet 09)</t>
        </is>
      </c>
      <c r="N601" s="5" t="inlineStr">
        <is>
          <t>Nous n'avons pas de bureau à Barcelone : notre équipe travaille à distance depuis le Maroc et collabore avec ses clients entièrement en ligne (appels vidéo, Slack, suivi de projet en temps réel). Cela</t>
        </is>
      </c>
      <c r="O601" t="inlineStr">
        <is>
          <t>P3</t>
        </is>
      </c>
      <c r="P601" t="inlineStr">
        <is>
          <t>FAQPage JSON-LD</t>
        </is>
      </c>
    </row>
    <row r="602">
      <c r="A602" s="3" t="inlineStr">
        <is>
          <t>https://codesommet.com/web-development-company/barcelona</t>
        </is>
      </c>
      <c r="B602" t="inlineStr">
        <is>
          <t>Existing</t>
        </is>
      </c>
      <c r="C602" s="5" t="inlineStr">
        <is>
          <t>Pouvez-vous travailler avec les entreprises de Barcelone à distance ?</t>
        </is>
      </c>
      <c r="D602" t="inlineStr">
        <is>
          <t>développement web barcelone</t>
        </is>
      </c>
      <c r="E602" t="inlineStr">
        <is>
          <t>es</t>
        </is>
      </c>
      <c r="F602" s="5" t="inlineStr"/>
      <c r="G602" t="inlineStr">
        <is>
          <t>NOT AVAILABLE</t>
        </is>
      </c>
      <c r="H602" t="inlineStr">
        <is>
          <t>NOT AVAILABLE</t>
        </is>
      </c>
      <c r="I602" t="inlineStr">
        <is>
          <t>Location / logistics</t>
        </is>
      </c>
      <c r="J602" t="inlineStr">
        <is>
          <t>UNAVAILABLE</t>
        </is>
      </c>
      <c r="K602">
        <f>ROUND(IF(ISNUMBER(G602),MIN(50,ROUND(50*LOG10(G602+1)/4,1)),5)+IF(ISNUMBER(H602),ROUND(30*(100-H602)/100,1),15)+IF(B602="New",20,10),0)</f>
        <v/>
      </c>
      <c r="L602" t="inlineStr">
        <is>
          <t>KEEP</t>
        </is>
      </c>
      <c r="M602" s="5" t="inlineStr">
        <is>
          <t>Templated across 8 pages - acceptable for now; localise only if the page is kept (see F-02 / sheet 09)</t>
        </is>
      </c>
      <c r="N602" s="5" t="inlineStr">
        <is>
          <t>Oui, tout se passe en ligne : appels vidéo pour le cadrage et les validations, collaboration sur Slack au quotidien et suivi de projet en temps réel. Nous adaptons nos créneaux au fuseau horaire de Ba</t>
        </is>
      </c>
      <c r="O602" t="inlineStr">
        <is>
          <t>P3</t>
        </is>
      </c>
      <c r="P602" t="inlineStr">
        <is>
          <t>FAQPage JSON-LD</t>
        </is>
      </c>
    </row>
    <row r="603">
      <c r="A603" s="3" t="inlineStr">
        <is>
          <t>https://codesommet.com/web-development-company/barcelona</t>
        </is>
      </c>
      <c r="B603" t="inlineStr">
        <is>
          <t>Existing</t>
        </is>
      </c>
      <c r="C603" s="5" t="inlineStr">
        <is>
          <t>Quels modes de paiement acceptez-vous à Barcelone ?</t>
        </is>
      </c>
      <c r="D603" t="inlineStr">
        <is>
          <t>développement web barcelone</t>
        </is>
      </c>
      <c r="E603" t="inlineStr">
        <is>
          <t>es</t>
        </is>
      </c>
      <c r="F603" s="5" t="inlineStr"/>
      <c r="G603" t="inlineStr">
        <is>
          <t>NOT AVAILABLE</t>
        </is>
      </c>
      <c r="H603" t="inlineStr">
        <is>
          <t>NOT AVAILABLE</t>
        </is>
      </c>
      <c r="I603" t="inlineStr">
        <is>
          <t>Payment</t>
        </is>
      </c>
      <c r="J603" t="inlineStr">
        <is>
          <t>UNAVAILABLE</t>
        </is>
      </c>
      <c r="K603">
        <f>ROUND(IF(ISNUMBER(G603),MIN(50,ROUND(50*LOG10(G603+1)/4,1)),5)+IF(ISNUMBER(H603),ROUND(30*(100-H603)/100,1),15)+IF(B603="New",20,10),0)</f>
        <v/>
      </c>
      <c r="L603" t="inlineStr">
        <is>
          <t>KEEP</t>
        </is>
      </c>
      <c r="M603" s="5" t="inlineStr">
        <is>
          <t>Templated across 8 pages - acceptable for now; localise only if the page is kept (see F-02 / sheet 09)</t>
        </is>
      </c>
      <c r="N603" s="5" t="inlineStr">
        <is>
          <t xml:space="preserve">Nous acceptons les principaux moyens de paiement : virement bancaire, carte et PayPal selon votre pays. Le paiement est généralement échelonné par jalons, avec un acompte au démarrage puis le solde à </t>
        </is>
      </c>
      <c r="O603" t="inlineStr">
        <is>
          <t>P3</t>
        </is>
      </c>
      <c r="P603" t="inlineStr">
        <is>
          <t>FAQPage JSON-LD</t>
        </is>
      </c>
    </row>
    <row r="604">
      <c r="A604" s="3" t="inlineStr">
        <is>
          <t>https://codesommet.com/web-development-company/barcelona</t>
        </is>
      </c>
      <c r="B604" t="inlineStr">
        <is>
          <t>Existing</t>
        </is>
      </c>
      <c r="C604" s="5" t="inlineStr">
        <is>
          <t>Comprenez-vous les lois de conformité et de protection des données en Espagne ?</t>
        </is>
      </c>
      <c r="D604" t="inlineStr">
        <is>
          <t>développement web barcelone</t>
        </is>
      </c>
      <c r="E604" t="inlineStr">
        <is>
          <t>es</t>
        </is>
      </c>
      <c r="F604" s="5" t="inlineStr"/>
      <c r="G604" t="inlineStr">
        <is>
          <t>NOT AVAILABLE</t>
        </is>
      </c>
      <c r="H604" t="inlineStr">
        <is>
          <t>NOT AVAILABLE</t>
        </is>
      </c>
      <c r="I604" t="inlineStr">
        <is>
          <t>Compliance / security</t>
        </is>
      </c>
      <c r="J604" t="inlineStr">
        <is>
          <t>UNAVAILABLE</t>
        </is>
      </c>
      <c r="K604">
        <f>ROUND(IF(ISNUMBER(G604),MIN(50,ROUND(50*LOG10(G604+1)/4,1)),5)+IF(ISNUMBER(H604),ROUND(30*(100-H604)/100,1),15)+IF(B604="New",20,10),0)</f>
        <v/>
      </c>
      <c r="L604" t="inlineStr">
        <is>
          <t>KEEP</t>
        </is>
      </c>
      <c r="M604" s="5" t="inlineStr">
        <is>
          <t>Relevant to page intent</t>
        </is>
      </c>
      <c r="N604" s="5" t="inlineStr">
        <is>
          <t>Nous concevons des sites conformes aux bonnes pratiques de protection des données : consentement aux cookies, politique de confidentialité, sécurisation des formulaires et des données. Pour les exigen</t>
        </is>
      </c>
      <c r="O604" t="inlineStr">
        <is>
          <t>P3</t>
        </is>
      </c>
      <c r="P604" t="inlineStr">
        <is>
          <t>FAQPage JSON-LD</t>
        </is>
      </c>
    </row>
    <row r="605">
      <c r="A605" s="3" t="inlineStr">
        <is>
          <t>https://codesommet.com/web-development-company/barcelona</t>
        </is>
      </c>
      <c r="B605" t="inlineStr">
        <is>
          <t>Existing</t>
        </is>
      </c>
      <c r="C605" s="5" t="inlineStr">
        <is>
          <t>À quelle vitesse pouvez-vous lancer un site web pour mon entreprise à Barcelone ?</t>
        </is>
      </c>
      <c r="D605" t="inlineStr">
        <is>
          <t>développement web barcelone</t>
        </is>
      </c>
      <c r="E605" t="inlineStr">
        <is>
          <t>es</t>
        </is>
      </c>
      <c r="F605" s="5" t="inlineStr"/>
      <c r="G605" t="inlineStr">
        <is>
          <t>NOT AVAILABLE</t>
        </is>
      </c>
      <c r="H605" t="inlineStr">
        <is>
          <t>NOT AVAILABLE</t>
        </is>
      </c>
      <c r="I605" t="inlineStr">
        <is>
          <t>Timeline</t>
        </is>
      </c>
      <c r="J605" t="inlineStr">
        <is>
          <t>UNAVAILABLE</t>
        </is>
      </c>
      <c r="K605">
        <f>ROUND(IF(ISNUMBER(G605),MIN(50,ROUND(50*LOG10(G605+1)/4,1)),5)+IF(ISNUMBER(H605),ROUND(30*(100-H605)/100,1),15)+IF(B605="New",20,10),0)</f>
        <v/>
      </c>
      <c r="L605" t="inlineStr">
        <is>
          <t>KEEP</t>
        </is>
      </c>
      <c r="M605" s="5" t="inlineStr">
        <is>
          <t>Templated across 5 pages - acceptable for now; localise only if the page is kept (see F-02 / sheet 09)</t>
        </is>
      </c>
      <c r="N605" s="5" t="inlineStr">
        <is>
          <t>La plupart des sites vitrines sont livrés en 2 à 5 jours après validation du périmètre. Pour les projets urgents, notre formule express permet une mise en ligne en 2 jours seulement. Les plateformes p</t>
        </is>
      </c>
      <c r="O605" t="inlineStr">
        <is>
          <t>P3</t>
        </is>
      </c>
      <c r="P605" t="inlineStr">
        <is>
          <t>FAQPage JSON-LD</t>
        </is>
      </c>
    </row>
    <row r="606">
      <c r="A606" s="3" t="inlineStr">
        <is>
          <t>https://codesommet.com/web-development-company/barcelona</t>
        </is>
      </c>
      <c r="B606" t="inlineStr">
        <is>
          <t>Existing</t>
        </is>
      </c>
      <c r="C606" s="5" t="inlineStr">
        <is>
          <t>Pouvez-vous aider avec l'enregistrement de domaine .es ?</t>
        </is>
      </c>
      <c r="D606" t="inlineStr">
        <is>
          <t>développement web barcelone</t>
        </is>
      </c>
      <c r="E606" t="inlineStr">
        <is>
          <t>es</t>
        </is>
      </c>
      <c r="F606" s="5" t="inlineStr"/>
      <c r="G606" t="inlineStr">
        <is>
          <t>NOT AVAILABLE</t>
        </is>
      </c>
      <c r="H606" t="inlineStr">
        <is>
          <t>NOT AVAILABLE</t>
        </is>
      </c>
      <c r="I606" t="inlineStr">
        <is>
          <t>Service scope</t>
        </is>
      </c>
      <c r="J606" t="inlineStr">
        <is>
          <t>UNAVAILABLE</t>
        </is>
      </c>
      <c r="K606">
        <f>ROUND(IF(ISNUMBER(G606),MIN(50,ROUND(50*LOG10(G606+1)/4,1)),5)+IF(ISNUMBER(H606),ROUND(30*(100-H606)/100,1),15)+IF(B606="New",20,10),0)</f>
        <v/>
      </c>
      <c r="L606" t="inlineStr">
        <is>
          <t>KEEP</t>
        </is>
      </c>
      <c r="M606" s="5" t="inlineStr">
        <is>
          <t>Templated across 12 pages - acceptable for now; localise only if the page is kept (see F-02 / sheet 09)</t>
        </is>
      </c>
      <c r="N606" s="5" t="inlineStr">
        <is>
          <t>Oui. Nous vous conseillons sur le choix du nom de domaine (.es ou .com selon votre cible), nous vous guidons pour l'enregistrement auprès d'un registrar et nous configurons le DNS, le certificat SSL e</t>
        </is>
      </c>
      <c r="O606" t="inlineStr">
        <is>
          <t>P3</t>
        </is>
      </c>
      <c r="P606" t="inlineStr">
        <is>
          <t>FAQPage JSON-LD</t>
        </is>
      </c>
    </row>
    <row r="607">
      <c r="A607" s="3" t="inlineStr">
        <is>
          <t>https://codesommet.com/web-development-company/berlin</t>
        </is>
      </c>
      <c r="B607" t="inlineStr">
        <is>
          <t>Existing</t>
        </is>
      </c>
      <c r="C607" s="5" t="inlineStr">
        <is>
          <t>Pourquoi choisir CodeSommet plutôt que les nombreuses agences de développement web de Berlin ?</t>
        </is>
      </c>
      <c r="D607" t="inlineStr">
        <is>
          <t>développement web berlin</t>
        </is>
      </c>
      <c r="E607" t="inlineStr">
        <is>
          <t>de</t>
        </is>
      </c>
      <c r="F607" s="5" t="inlineStr"/>
      <c r="G607" t="inlineStr">
        <is>
          <t>NOT AVAILABLE</t>
        </is>
      </c>
      <c r="H607" t="inlineStr">
        <is>
          <t>NOT AVAILABLE</t>
        </is>
      </c>
      <c r="I607" t="inlineStr">
        <is>
          <t>Differentiation</t>
        </is>
      </c>
      <c r="J607" t="inlineStr">
        <is>
          <t>UNAVAILABLE</t>
        </is>
      </c>
      <c r="K607">
        <f>ROUND(IF(ISNUMBER(G607),MIN(50,ROUND(50*LOG10(G607+1)/4,1)),5)+IF(ISNUMBER(H607),ROUND(30*(100-H607)/100,1),15)+IF(B607="New",20,10),0)</f>
        <v/>
      </c>
      <c r="L607" t="inlineStr">
        <is>
          <t>KEEP</t>
        </is>
      </c>
      <c r="M607" s="5" t="inlineStr">
        <is>
          <t>Templated across 10 pages - acceptable for now; localise only if the page is kept (see F-02 / sheet 09)</t>
        </is>
      </c>
      <c r="N607" s="5" t="inlineStr">
        <is>
          <t>Parce que nous combinons un design soigné, des technologies modernes et une livraison rapide : la plupart des sites vitrines sont en ligne en 2 à 5 jours après validation du périmètre (et en 2 jours s</t>
        </is>
      </c>
      <c r="O607" t="inlineStr">
        <is>
          <t>P3</t>
        </is>
      </c>
      <c r="P607" t="inlineStr">
        <is>
          <t>FAQPage JSON-LD</t>
        </is>
      </c>
    </row>
    <row r="608">
      <c r="A608" s="3" t="inlineStr">
        <is>
          <t>https://codesommet.com/web-development-company/berlin</t>
        </is>
      </c>
      <c r="B608" t="inlineStr">
        <is>
          <t>Existing</t>
        </is>
      </c>
      <c r="C608" s="5" t="inlineStr">
        <is>
          <t>Travaillez-vous avec les startups de Berlin et les entreprises en phase de démarrage ?</t>
        </is>
      </c>
      <c r="D608" t="inlineStr">
        <is>
          <t>développement web berlin</t>
        </is>
      </c>
      <c r="E608" t="inlineStr">
        <is>
          <t>de</t>
        </is>
      </c>
      <c r="F608" s="5" t="inlineStr"/>
      <c r="G608" t="inlineStr">
        <is>
          <t>NOT AVAILABLE</t>
        </is>
      </c>
      <c r="H608" t="inlineStr">
        <is>
          <t>NOT AVAILABLE</t>
        </is>
      </c>
      <c r="I608" t="inlineStr">
        <is>
          <t>Service scope</t>
        </is>
      </c>
      <c r="J608" t="inlineStr">
        <is>
          <t>UNAVAILABLE</t>
        </is>
      </c>
      <c r="K608">
        <f>ROUND(IF(ISNUMBER(G608),MIN(50,ROUND(50*LOG10(G608+1)/4,1)),5)+IF(ISNUMBER(H608),ROUND(30*(100-H608)/100,1),15)+IF(B608="New",20,10),0)</f>
        <v/>
      </c>
      <c r="L608" t="inlineStr">
        <is>
          <t>KEEP</t>
        </is>
      </c>
      <c r="M608" s="5" t="inlineStr">
        <is>
          <t>Templated across 6 pages - acceptable for now; localise only if the page is kept (see F-02 / sheet 09)</t>
        </is>
      </c>
      <c r="N608" s="5" t="inlineStr">
        <is>
          <t>Absolument. Nous travaillons avec des entreprises de toutes tailles, des startups en démarrage aux structures établies. Notre tarification flexible et nos forfaits mensuels sont pensés pour évoluer av</t>
        </is>
      </c>
      <c r="O608" t="inlineStr">
        <is>
          <t>P3</t>
        </is>
      </c>
      <c r="P608" t="inlineStr">
        <is>
          <t>FAQPage JSON-LD</t>
        </is>
      </c>
    </row>
    <row r="609">
      <c r="A609" s="3" t="inlineStr">
        <is>
          <t>https://codesommet.com/web-development-company/berlin</t>
        </is>
      </c>
      <c r="B609" t="inlineStr">
        <is>
          <t>Existing</t>
        </is>
      </c>
      <c r="C609" s="5" t="inlineStr">
        <is>
          <t>Quelles technologies utilisez-vous pour les projets à Berlin ?</t>
        </is>
      </c>
      <c r="D609" t="inlineStr">
        <is>
          <t>développement web berlin</t>
        </is>
      </c>
      <c r="E609" t="inlineStr">
        <is>
          <t>de</t>
        </is>
      </c>
      <c r="F609" s="5" t="inlineStr"/>
      <c r="G609" t="inlineStr">
        <is>
          <t>NOT AVAILABLE</t>
        </is>
      </c>
      <c r="H609" t="inlineStr">
        <is>
          <t>NOT AVAILABLE</t>
        </is>
      </c>
      <c r="I609" t="inlineStr">
        <is>
          <t>Service scope</t>
        </is>
      </c>
      <c r="J609" t="inlineStr">
        <is>
          <t>UNAVAILABLE</t>
        </is>
      </c>
      <c r="K609">
        <f>ROUND(IF(ISNUMBER(G609),MIN(50,ROUND(50*LOG10(G609+1)/4,1)),5)+IF(ISNUMBER(H609),ROUND(30*(100-H609)/100,1),15)+IF(B609="New",20,10),0)</f>
        <v/>
      </c>
      <c r="L609" t="inlineStr">
        <is>
          <t>KEEP</t>
        </is>
      </c>
      <c r="M609" s="5" t="inlineStr">
        <is>
          <t>Templated across 9 pages - acceptable for now; localise only if the page is kept (see F-02 / sheet 09)</t>
        </is>
      </c>
      <c r="N609" s="5" t="inlineStr">
        <is>
          <t>Nous utilisons des technologies modernes comme Next.js, React, TypeScript, Node.js et Laravel pour le développement web. Côté IA, nous intégrons des chatbots sur mesure et des automatisations intellig</t>
        </is>
      </c>
      <c r="O609" t="inlineStr">
        <is>
          <t>P3</t>
        </is>
      </c>
      <c r="P609" t="inlineStr">
        <is>
          <t>FAQPage JSON-LD</t>
        </is>
      </c>
    </row>
    <row r="610">
      <c r="A610" s="3" t="inlineStr">
        <is>
          <t>https://codesommet.com/web-development-company/berlin</t>
        </is>
      </c>
      <c r="B610" t="inlineStr">
        <is>
          <t>Existing</t>
        </is>
      </c>
      <c r="C610" s="5" t="inlineStr">
        <is>
          <t>Pouvez-vous intégrer les systèmes existants utilisés par les entreprises de Berlin ?</t>
        </is>
      </c>
      <c r="D610" t="inlineStr">
        <is>
          <t>développement web berlin</t>
        </is>
      </c>
      <c r="E610" t="inlineStr">
        <is>
          <t>de</t>
        </is>
      </c>
      <c r="F610" s="5" t="inlineStr"/>
      <c r="G610" t="inlineStr">
        <is>
          <t>NOT AVAILABLE</t>
        </is>
      </c>
      <c r="H610" t="inlineStr">
        <is>
          <t>NOT AVAILABLE</t>
        </is>
      </c>
      <c r="I610" t="inlineStr">
        <is>
          <t>Service scope</t>
        </is>
      </c>
      <c r="J610" t="inlineStr">
        <is>
          <t>UNAVAILABLE</t>
        </is>
      </c>
      <c r="K610">
        <f>ROUND(IF(ISNUMBER(G610),MIN(50,ROUND(50*LOG10(G610+1)/4,1)),5)+IF(ISNUMBER(H610),ROUND(30*(100-H610)/100,1),15)+IF(B610="New",20,10),0)</f>
        <v/>
      </c>
      <c r="L610" t="inlineStr">
        <is>
          <t>KEEP</t>
        </is>
      </c>
      <c r="M610" s="5" t="inlineStr">
        <is>
          <t>Templated across 6 pages - acceptable for now; localise only if the page is kept (see F-02 / sheet 09)</t>
        </is>
      </c>
      <c r="N610" s="5" t="inlineStr">
        <is>
          <t>Oui. Nous intégrons vos systèmes existants : CRM, ERP, passerelles de paiement, systèmes de réservation et API tierces. Que vous utilisiez Salesforce, HubSpot, Stripe ou des outils internes, nous assu</t>
        </is>
      </c>
      <c r="O610" t="inlineStr">
        <is>
          <t>P3</t>
        </is>
      </c>
      <c r="P610" t="inlineStr">
        <is>
          <t>FAQPage JSON-LD</t>
        </is>
      </c>
    </row>
    <row r="611">
      <c r="A611" s="3" t="inlineStr">
        <is>
          <t>https://codesommet.com/web-development-company/berlin</t>
        </is>
      </c>
      <c r="B611" t="inlineStr">
        <is>
          <t>Existing</t>
        </is>
      </c>
      <c r="C611" s="5" t="inlineStr">
        <is>
          <t>Comment fonctionne le modèle de révisions illimitées pour les clients de Berlin ?</t>
        </is>
      </c>
      <c r="D611" t="inlineStr">
        <is>
          <t>développement web berlin</t>
        </is>
      </c>
      <c r="E611" t="inlineStr">
        <is>
          <t>de</t>
        </is>
      </c>
      <c r="F611" s="5" t="inlineStr"/>
      <c r="G611" t="inlineStr">
        <is>
          <t>NOT AVAILABLE</t>
        </is>
      </c>
      <c r="H611" t="inlineStr">
        <is>
          <t>NOT AVAILABLE</t>
        </is>
      </c>
      <c r="I611" t="inlineStr">
        <is>
          <t>Definition / how it works</t>
        </is>
      </c>
      <c r="J611" t="inlineStr">
        <is>
          <t>UNAVAILABLE</t>
        </is>
      </c>
      <c r="K611">
        <f>ROUND(IF(ISNUMBER(G611),MIN(50,ROUND(50*LOG10(G611+1)/4,1)),5)+IF(ISNUMBER(H611),ROUND(30*(100-H611)/100,1),15)+IF(B611="New",20,10),0)</f>
        <v/>
      </c>
      <c r="L611" t="inlineStr">
        <is>
          <t>KEEP</t>
        </is>
      </c>
      <c r="M611" s="5" t="inlineStr">
        <is>
          <t>Templated across 10 pages - acceptable for now; localise only if the page is kept (see F-02 / sheet 09)</t>
        </is>
      </c>
      <c r="N611" s="5" t="inlineStr">
        <is>
          <t>Notre modèle de révisions illimitées signifie exactement cela : nous affinons jusqu'à ce que vous soyez satisfait. Il n'y a pas de limite au nombre de modifications demandées, chaque révision étant gé</t>
        </is>
      </c>
      <c r="O611" t="inlineStr">
        <is>
          <t>P3</t>
        </is>
      </c>
      <c r="P611" t="inlineStr">
        <is>
          <t>FAQPage JSON-LD</t>
        </is>
      </c>
    </row>
    <row r="612">
      <c r="A612" s="3" t="inlineStr">
        <is>
          <t>https://codesommet.com/web-development-company/berlin</t>
        </is>
      </c>
      <c r="B612" t="inlineStr">
        <is>
          <t>Existing</t>
        </is>
      </c>
      <c r="C612" s="5" t="inlineStr">
        <is>
          <t>Fournissez-vous un support continu pour les entreprises de Berlin après le lancement ?</t>
        </is>
      </c>
      <c r="D612" t="inlineStr">
        <is>
          <t>développement web berlin</t>
        </is>
      </c>
      <c r="E612" t="inlineStr">
        <is>
          <t>de</t>
        </is>
      </c>
      <c r="F612" s="5" t="inlineStr"/>
      <c r="G612" t="inlineStr">
        <is>
          <t>NOT AVAILABLE</t>
        </is>
      </c>
      <c r="H612" t="inlineStr">
        <is>
          <t>NOT AVAILABLE</t>
        </is>
      </c>
      <c r="I612" t="inlineStr">
        <is>
          <t>Support</t>
        </is>
      </c>
      <c r="J612" t="inlineStr">
        <is>
          <t>UNAVAILABLE</t>
        </is>
      </c>
      <c r="K612">
        <f>ROUND(IF(ISNUMBER(G612),MIN(50,ROUND(50*LOG10(G612+1)/4,1)),5)+IF(ISNUMBER(H612),ROUND(30*(100-H612)/100,1),15)+IF(B612="New",20,10),0)</f>
        <v/>
      </c>
      <c r="L612" t="inlineStr">
        <is>
          <t>KEEP</t>
        </is>
      </c>
      <c r="M612" s="5" t="inlineStr">
        <is>
          <t>Relevant to page intent</t>
        </is>
      </c>
      <c r="N612" s="5" t="inlineStr">
        <is>
          <t>Oui. Nous proposons un support continu complet : hébergement, maintenance, mises à jour de sécurité, surveillance des performances et mises à jour de contenu. Nos forfaits incluent une collaboration e</t>
        </is>
      </c>
      <c r="O612" t="inlineStr">
        <is>
          <t>P3</t>
        </is>
      </c>
      <c r="P612" t="inlineStr">
        <is>
          <t>FAQPage JSON-LD</t>
        </is>
      </c>
    </row>
    <row r="613">
      <c r="A613" s="3" t="inlineStr">
        <is>
          <t>https://codesommet.com/web-development-company/boston</t>
        </is>
      </c>
      <c r="B613" t="inlineStr">
        <is>
          <t>Existing</t>
        </is>
      </c>
      <c r="C613" s="5" t="inlineStr">
        <is>
          <t>Pourquoi choisir CodeSommet plutôt que les nombreuses agences de développement web de Boston ?</t>
        </is>
      </c>
      <c r="D613" t="inlineStr">
        <is>
          <t>développement web boston</t>
        </is>
      </c>
      <c r="E613" t="inlineStr">
        <is>
          <t>us</t>
        </is>
      </c>
      <c r="F613" s="5" t="inlineStr"/>
      <c r="G613" t="inlineStr">
        <is>
          <t>NOT AVAILABLE</t>
        </is>
      </c>
      <c r="H613" t="inlineStr">
        <is>
          <t>NOT AVAILABLE</t>
        </is>
      </c>
      <c r="I613" t="inlineStr">
        <is>
          <t>Differentiation</t>
        </is>
      </c>
      <c r="J613" t="inlineStr">
        <is>
          <t>UNAVAILABLE</t>
        </is>
      </c>
      <c r="K613">
        <f>ROUND(IF(ISNUMBER(G613),MIN(50,ROUND(50*LOG10(G613+1)/4,1)),5)+IF(ISNUMBER(H613),ROUND(30*(100-H613)/100,1),15)+IF(B613="New",20,10),0)</f>
        <v/>
      </c>
      <c r="L613" t="inlineStr">
        <is>
          <t>KEEP</t>
        </is>
      </c>
      <c r="M613" s="5" t="inlineStr">
        <is>
          <t>Templated across 10 pages - acceptable for now; localise only if the page is kept (see F-02 / sheet 09)</t>
        </is>
      </c>
      <c r="N613" s="5" t="inlineStr">
        <is>
          <t>Parce que nous combinons un design soigné, des technologies modernes et une livraison rapide : la plupart des sites vitrines sont en ligne en 2 à 5 jours après validation du périmètre (et en 2 jours s</t>
        </is>
      </c>
      <c r="O613" t="inlineStr">
        <is>
          <t>P3</t>
        </is>
      </c>
      <c r="P613" t="inlineStr">
        <is>
          <t>FAQPage JSON-LD</t>
        </is>
      </c>
    </row>
    <row r="614">
      <c r="A614" s="3" t="inlineStr">
        <is>
          <t>https://codesommet.com/web-development-company/boston</t>
        </is>
      </c>
      <c r="B614" t="inlineStr">
        <is>
          <t>Existing</t>
        </is>
      </c>
      <c r="C614" s="5" t="inlineStr">
        <is>
          <t>Travaillez-vous avec les startups de Boston et les entreprises en phase de démarrage ?</t>
        </is>
      </c>
      <c r="D614" t="inlineStr">
        <is>
          <t>développement web boston</t>
        </is>
      </c>
      <c r="E614" t="inlineStr">
        <is>
          <t>us</t>
        </is>
      </c>
      <c r="F614" s="5" t="inlineStr"/>
      <c r="G614" t="inlineStr">
        <is>
          <t>NOT AVAILABLE</t>
        </is>
      </c>
      <c r="H614" t="inlineStr">
        <is>
          <t>NOT AVAILABLE</t>
        </is>
      </c>
      <c r="I614" t="inlineStr">
        <is>
          <t>Service scope</t>
        </is>
      </c>
      <c r="J614" t="inlineStr">
        <is>
          <t>UNAVAILABLE</t>
        </is>
      </c>
      <c r="K614">
        <f>ROUND(IF(ISNUMBER(G614),MIN(50,ROUND(50*LOG10(G614+1)/4,1)),5)+IF(ISNUMBER(H614),ROUND(30*(100-H614)/100,1),15)+IF(B614="New",20,10),0)</f>
        <v/>
      </c>
      <c r="L614" t="inlineStr">
        <is>
          <t>KEEP</t>
        </is>
      </c>
      <c r="M614" s="5" t="inlineStr">
        <is>
          <t>Templated across 6 pages - acceptable for now; localise only if the page is kept (see F-02 / sheet 09)</t>
        </is>
      </c>
      <c r="N614" s="5" t="inlineStr">
        <is>
          <t>Absolument. Nous travaillons avec des entreprises de toutes tailles, des startups en démarrage aux structures établies. Notre tarification flexible et nos forfaits mensuels sont pensés pour évoluer av</t>
        </is>
      </c>
      <c r="O614" t="inlineStr">
        <is>
          <t>P3</t>
        </is>
      </c>
      <c r="P614" t="inlineStr">
        <is>
          <t>FAQPage JSON-LD</t>
        </is>
      </c>
    </row>
    <row r="615">
      <c r="A615" s="3" t="inlineStr">
        <is>
          <t>https://codesommet.com/web-development-company/boston</t>
        </is>
      </c>
      <c r="B615" t="inlineStr">
        <is>
          <t>Existing</t>
        </is>
      </c>
      <c r="C615" s="5" t="inlineStr">
        <is>
          <t>Quelles technologies utilisez-vous pour les projets à Boston ?</t>
        </is>
      </c>
      <c r="D615" t="inlineStr">
        <is>
          <t>développement web boston</t>
        </is>
      </c>
      <c r="E615" t="inlineStr">
        <is>
          <t>us</t>
        </is>
      </c>
      <c r="F615" s="5" t="inlineStr"/>
      <c r="G615" t="inlineStr">
        <is>
          <t>NOT AVAILABLE</t>
        </is>
      </c>
      <c r="H615" t="inlineStr">
        <is>
          <t>NOT AVAILABLE</t>
        </is>
      </c>
      <c r="I615" t="inlineStr">
        <is>
          <t>Service scope</t>
        </is>
      </c>
      <c r="J615" t="inlineStr">
        <is>
          <t>UNAVAILABLE</t>
        </is>
      </c>
      <c r="K615">
        <f>ROUND(IF(ISNUMBER(G615),MIN(50,ROUND(50*LOG10(G615+1)/4,1)),5)+IF(ISNUMBER(H615),ROUND(30*(100-H615)/100,1),15)+IF(B615="New",20,10),0)</f>
        <v/>
      </c>
      <c r="L615" t="inlineStr">
        <is>
          <t>KEEP</t>
        </is>
      </c>
      <c r="M615" s="5" t="inlineStr">
        <is>
          <t>Templated across 9 pages - acceptable for now; localise only if the page is kept (see F-02 / sheet 09)</t>
        </is>
      </c>
      <c r="N615" s="5" t="inlineStr">
        <is>
          <t>Nous utilisons des technologies modernes comme Next.js, React, TypeScript, Node.js et Laravel pour le développement web. Côté IA, nous intégrons des chatbots sur mesure et des automatisations intellig</t>
        </is>
      </c>
      <c r="O615" t="inlineStr">
        <is>
          <t>P3</t>
        </is>
      </c>
      <c r="P615" t="inlineStr">
        <is>
          <t>FAQPage JSON-LD</t>
        </is>
      </c>
    </row>
    <row r="616">
      <c r="A616" s="3" t="inlineStr">
        <is>
          <t>https://codesommet.com/web-development-company/boston</t>
        </is>
      </c>
      <c r="B616" t="inlineStr">
        <is>
          <t>Existing</t>
        </is>
      </c>
      <c r="C616" s="5" t="inlineStr">
        <is>
          <t>Pouvez-vous intégrer les systèmes existants utilisés par les entreprises de Boston ?</t>
        </is>
      </c>
      <c r="D616" t="inlineStr">
        <is>
          <t>développement web boston</t>
        </is>
      </c>
      <c r="E616" t="inlineStr">
        <is>
          <t>us</t>
        </is>
      </c>
      <c r="F616" s="5" t="inlineStr"/>
      <c r="G616" t="inlineStr">
        <is>
          <t>NOT AVAILABLE</t>
        </is>
      </c>
      <c r="H616" t="inlineStr">
        <is>
          <t>NOT AVAILABLE</t>
        </is>
      </c>
      <c r="I616" t="inlineStr">
        <is>
          <t>Service scope</t>
        </is>
      </c>
      <c r="J616" t="inlineStr">
        <is>
          <t>UNAVAILABLE</t>
        </is>
      </c>
      <c r="K616">
        <f>ROUND(IF(ISNUMBER(G616),MIN(50,ROUND(50*LOG10(G616+1)/4,1)),5)+IF(ISNUMBER(H616),ROUND(30*(100-H616)/100,1),15)+IF(B616="New",20,10),0)</f>
        <v/>
      </c>
      <c r="L616" t="inlineStr">
        <is>
          <t>KEEP</t>
        </is>
      </c>
      <c r="M616" s="5" t="inlineStr">
        <is>
          <t>Templated across 6 pages - acceptable for now; localise only if the page is kept (see F-02 / sheet 09)</t>
        </is>
      </c>
      <c r="N616" s="5" t="inlineStr">
        <is>
          <t>Oui. Nous intégrons vos systèmes existants : CRM, ERP, passerelles de paiement, systèmes de réservation et API tierces. Que vous utilisiez Salesforce, HubSpot, Stripe ou des outils internes, nous assu</t>
        </is>
      </c>
      <c r="O616" t="inlineStr">
        <is>
          <t>P3</t>
        </is>
      </c>
      <c r="P616" t="inlineStr">
        <is>
          <t>FAQPage JSON-LD</t>
        </is>
      </c>
    </row>
    <row r="617">
      <c r="A617" s="3" t="inlineStr">
        <is>
          <t>https://codesommet.com/web-development-company/boston</t>
        </is>
      </c>
      <c r="B617" t="inlineStr">
        <is>
          <t>Existing</t>
        </is>
      </c>
      <c r="C617" s="5" t="inlineStr">
        <is>
          <t>Comment fonctionne le modèle de révisions illimitées pour les clients de Boston ?</t>
        </is>
      </c>
      <c r="D617" t="inlineStr">
        <is>
          <t>développement web boston</t>
        </is>
      </c>
      <c r="E617" t="inlineStr">
        <is>
          <t>us</t>
        </is>
      </c>
      <c r="F617" s="5" t="inlineStr"/>
      <c r="G617" t="inlineStr">
        <is>
          <t>NOT AVAILABLE</t>
        </is>
      </c>
      <c r="H617" t="inlineStr">
        <is>
          <t>NOT AVAILABLE</t>
        </is>
      </c>
      <c r="I617" t="inlineStr">
        <is>
          <t>Definition / how it works</t>
        </is>
      </c>
      <c r="J617" t="inlineStr">
        <is>
          <t>UNAVAILABLE</t>
        </is>
      </c>
      <c r="K617">
        <f>ROUND(IF(ISNUMBER(G617),MIN(50,ROUND(50*LOG10(G617+1)/4,1)),5)+IF(ISNUMBER(H617),ROUND(30*(100-H617)/100,1),15)+IF(B617="New",20,10),0)</f>
        <v/>
      </c>
      <c r="L617" t="inlineStr">
        <is>
          <t>KEEP</t>
        </is>
      </c>
      <c r="M617" s="5" t="inlineStr">
        <is>
          <t>Templated across 10 pages - acceptable for now; localise only if the page is kept (see F-02 / sheet 09)</t>
        </is>
      </c>
      <c r="N617" s="5" t="inlineStr">
        <is>
          <t>Notre modèle de révisions illimitées signifie exactement cela : nous affinons jusqu'à ce que vous soyez satisfait. Il n'y a pas de limite au nombre de modifications demandées, chaque révision étant gé</t>
        </is>
      </c>
      <c r="O617" t="inlineStr">
        <is>
          <t>P3</t>
        </is>
      </c>
      <c r="P617" t="inlineStr">
        <is>
          <t>FAQPage JSON-LD</t>
        </is>
      </c>
    </row>
    <row r="618">
      <c r="A618" s="3" t="inlineStr">
        <is>
          <t>https://codesommet.com/web-development-company/boston</t>
        </is>
      </c>
      <c r="B618" t="inlineStr">
        <is>
          <t>Existing</t>
        </is>
      </c>
      <c r="C618" s="5" t="inlineStr">
        <is>
          <t>Fournissez-vous un support continu après le lancement pour les entreprises de Boston ?</t>
        </is>
      </c>
      <c r="D618" t="inlineStr">
        <is>
          <t>développement web boston</t>
        </is>
      </c>
      <c r="E618" t="inlineStr">
        <is>
          <t>us</t>
        </is>
      </c>
      <c r="F618" s="5" t="inlineStr"/>
      <c r="G618" t="inlineStr">
        <is>
          <t>NOT AVAILABLE</t>
        </is>
      </c>
      <c r="H618" t="inlineStr">
        <is>
          <t>NOT AVAILABLE</t>
        </is>
      </c>
      <c r="I618" t="inlineStr">
        <is>
          <t>Support</t>
        </is>
      </c>
      <c r="J618" t="inlineStr">
        <is>
          <t>UNAVAILABLE</t>
        </is>
      </c>
      <c r="K618">
        <f>ROUND(IF(ISNUMBER(G618),MIN(50,ROUND(50*LOG10(G618+1)/4,1)),5)+IF(ISNUMBER(H618),ROUND(30*(100-H618)/100,1),15)+IF(B618="New",20,10),0)</f>
        <v/>
      </c>
      <c r="L618" t="inlineStr">
        <is>
          <t>KEEP</t>
        </is>
      </c>
      <c r="M618" s="5" t="inlineStr">
        <is>
          <t>Relevant to page intent</t>
        </is>
      </c>
      <c r="N618" s="5" t="inlineStr">
        <is>
          <t>Oui. Nous proposons un support continu complet : hébergement, maintenance, mises à jour de sécurité, surveillance des performances et mises à jour de contenu. Nos forfaits incluent une collaboration e</t>
        </is>
      </c>
      <c r="O618" t="inlineStr">
        <is>
          <t>P3</t>
        </is>
      </c>
      <c r="P618" t="inlineStr">
        <is>
          <t>FAQPage JSON-LD</t>
        </is>
      </c>
    </row>
    <row r="619">
      <c r="A619" s="3" t="inlineStr">
        <is>
          <t>https://codesommet.com/web-development-company/brussels</t>
        </is>
      </c>
      <c r="B619" t="inlineStr">
        <is>
          <t>Existing</t>
        </is>
      </c>
      <c r="C619" s="5" t="inlineStr">
        <is>
          <t>Pourquoi choisir CodeSommet plutôt que les nombreuses agences de développement web de Bruxelles ?</t>
        </is>
      </c>
      <c r="D619" t="inlineStr">
        <is>
          <t>développement web bruxelles</t>
        </is>
      </c>
      <c r="E619" t="inlineStr">
        <is>
          <t>be</t>
        </is>
      </c>
      <c r="F619" s="5" t="inlineStr"/>
      <c r="G619" t="n">
        <v>50</v>
      </c>
      <c r="H619" t="inlineStr">
        <is>
          <t>NOT AVAILABLE</t>
        </is>
      </c>
      <c r="I619" t="inlineStr">
        <is>
          <t>Differentiation</t>
        </is>
      </c>
      <c r="J619" t="inlineStr">
        <is>
          <t>MEASURED</t>
        </is>
      </c>
      <c r="K619">
        <f>ROUND(IF(ISNUMBER(G619),MIN(50,ROUND(50*LOG10(G619+1)/4,1)),5)+IF(ISNUMBER(H619),ROUND(30*(100-H619)/100,1),15)+IF(B619="New",20,10),0)</f>
        <v/>
      </c>
      <c r="L619" t="inlineStr">
        <is>
          <t>KEEP</t>
        </is>
      </c>
      <c r="M619" s="5" t="inlineStr">
        <is>
          <t>Templated across 10 pages - acceptable for now; localise only if the page is kept (see F-02 / sheet 09)</t>
        </is>
      </c>
      <c r="N619" s="5" t="inlineStr">
        <is>
          <t>Parce que nous combinons un design soigné, des technologies modernes et une livraison rapide : la plupart des sites vitrines sont en ligne en 2 à 5 jours après validation du périmètre (et en 2 jours s</t>
        </is>
      </c>
      <c r="O619" t="inlineStr">
        <is>
          <t>P3</t>
        </is>
      </c>
      <c r="P619" t="inlineStr">
        <is>
          <t>FAQPage JSON-LD</t>
        </is>
      </c>
    </row>
    <row r="620">
      <c r="A620" s="3" t="inlineStr">
        <is>
          <t>https://codesommet.com/web-development-company/brussels</t>
        </is>
      </c>
      <c r="B620" t="inlineStr">
        <is>
          <t>Existing</t>
        </is>
      </c>
      <c r="C620" s="5" t="inlineStr">
        <is>
          <t>Travaillez-vous avec les startups de Bruxelles et les entreprises en phase de démarrage ?</t>
        </is>
      </c>
      <c r="D620" t="inlineStr">
        <is>
          <t>création site web bruxelles</t>
        </is>
      </c>
      <c r="E620" t="inlineStr">
        <is>
          <t>be</t>
        </is>
      </c>
      <c r="F620" s="5" t="inlineStr"/>
      <c r="G620" t="n">
        <v>140</v>
      </c>
      <c r="H620" t="n">
        <v>5</v>
      </c>
      <c r="I620" t="inlineStr">
        <is>
          <t>Service scope</t>
        </is>
      </c>
      <c r="J620" t="inlineStr">
        <is>
          <t>MEASURED</t>
        </is>
      </c>
      <c r="K620">
        <f>ROUND(IF(ISNUMBER(G620),MIN(50,ROUND(50*LOG10(G620+1)/4,1)),5)+IF(ISNUMBER(H620),ROUND(30*(100-H620)/100,1),15)+IF(B620="New",20,10),0)</f>
        <v/>
      </c>
      <c r="L620" t="inlineStr">
        <is>
          <t>KEEP</t>
        </is>
      </c>
      <c r="M620" s="5" t="inlineStr">
        <is>
          <t>Templated across 6 pages - acceptable for now; localise only if the page is kept (see F-02 / sheet 09)</t>
        </is>
      </c>
      <c r="N620" s="5" t="inlineStr">
        <is>
          <t>Absolument. Nous travaillons avec des entreprises de toutes tailles, des startups en démarrage aux structures établies. Notre tarification flexible et nos forfaits mensuels sont pensés pour évoluer av</t>
        </is>
      </c>
      <c r="O620" t="inlineStr">
        <is>
          <t>P3</t>
        </is>
      </c>
      <c r="P620" t="inlineStr">
        <is>
          <t>FAQPage JSON-LD</t>
        </is>
      </c>
    </row>
    <row r="621">
      <c r="A621" s="3" t="inlineStr">
        <is>
          <t>https://codesommet.com/web-development-company/brussels</t>
        </is>
      </c>
      <c r="B621" t="inlineStr">
        <is>
          <t>Existing</t>
        </is>
      </c>
      <c r="C621" s="5" t="inlineStr">
        <is>
          <t>Quelles technologies utilisez-vous pour les projets à Bruxelles ?</t>
        </is>
      </c>
      <c r="D621" t="inlineStr">
        <is>
          <t>création site web bruxelles</t>
        </is>
      </c>
      <c r="E621" t="inlineStr">
        <is>
          <t>be</t>
        </is>
      </c>
      <c r="F621" s="5" t="inlineStr"/>
      <c r="G621" t="n">
        <v>140</v>
      </c>
      <c r="H621" t="n">
        <v>5</v>
      </c>
      <c r="I621" t="inlineStr">
        <is>
          <t>Service scope</t>
        </is>
      </c>
      <c r="J621" t="inlineStr">
        <is>
          <t>MEASURED</t>
        </is>
      </c>
      <c r="K621">
        <f>ROUND(IF(ISNUMBER(G621),MIN(50,ROUND(50*LOG10(G621+1)/4,1)),5)+IF(ISNUMBER(H621),ROUND(30*(100-H621)/100,1),15)+IF(B621="New",20,10),0)</f>
        <v/>
      </c>
      <c r="L621" t="inlineStr">
        <is>
          <t>KEEP</t>
        </is>
      </c>
      <c r="M621" s="5" t="inlineStr">
        <is>
          <t>Templated across 9 pages - acceptable for now; localise only if the page is kept (see F-02 / sheet 09)</t>
        </is>
      </c>
      <c r="N621" s="5" t="inlineStr">
        <is>
          <t>Nous utilisons des technologies modernes comme Next.js, React, TypeScript, Node.js et Laravel pour le développement web. Côté IA, nous intégrons des chatbots sur mesure et des automatisations intellig</t>
        </is>
      </c>
      <c r="O621" t="inlineStr">
        <is>
          <t>P3</t>
        </is>
      </c>
      <c r="P621" t="inlineStr">
        <is>
          <t>FAQPage JSON-LD</t>
        </is>
      </c>
    </row>
    <row r="622">
      <c r="A622" s="3" t="inlineStr">
        <is>
          <t>https://codesommet.com/web-development-company/brussels</t>
        </is>
      </c>
      <c r="B622" t="inlineStr">
        <is>
          <t>Existing</t>
        </is>
      </c>
      <c r="C622" s="5" t="inlineStr">
        <is>
          <t>Pouvez-vous intégrer les systèmes existants utilisés par les entreprises de Bruxelles ?</t>
        </is>
      </c>
      <c r="D622" t="inlineStr">
        <is>
          <t>création site web bruxelles</t>
        </is>
      </c>
      <c r="E622" t="inlineStr">
        <is>
          <t>be</t>
        </is>
      </c>
      <c r="F622" s="5" t="inlineStr"/>
      <c r="G622" t="n">
        <v>140</v>
      </c>
      <c r="H622" t="n">
        <v>5</v>
      </c>
      <c r="I622" t="inlineStr">
        <is>
          <t>Service scope</t>
        </is>
      </c>
      <c r="J622" t="inlineStr">
        <is>
          <t>MEASURED</t>
        </is>
      </c>
      <c r="K622">
        <f>ROUND(IF(ISNUMBER(G622),MIN(50,ROUND(50*LOG10(G622+1)/4,1)),5)+IF(ISNUMBER(H622),ROUND(30*(100-H622)/100,1),15)+IF(B622="New",20,10),0)</f>
        <v/>
      </c>
      <c r="L622" t="inlineStr">
        <is>
          <t>KEEP</t>
        </is>
      </c>
      <c r="M622" s="5" t="inlineStr">
        <is>
          <t>Templated across 6 pages - acceptable for now; localise only if the page is kept (see F-02 / sheet 09)</t>
        </is>
      </c>
      <c r="N622" s="5" t="inlineStr">
        <is>
          <t>Oui. Nous intégrons vos systèmes existants : CRM, ERP, passerelles de paiement, systèmes de réservation et API tierces. Que vous utilisiez Salesforce, HubSpot, Stripe ou des outils internes, nous assu</t>
        </is>
      </c>
      <c r="O622" t="inlineStr">
        <is>
          <t>P3</t>
        </is>
      </c>
      <c r="P622" t="inlineStr">
        <is>
          <t>FAQPage JSON-LD</t>
        </is>
      </c>
    </row>
    <row r="623">
      <c r="A623" s="3" t="inlineStr">
        <is>
          <t>https://codesommet.com/web-development-company/brussels</t>
        </is>
      </c>
      <c r="B623" t="inlineStr">
        <is>
          <t>Existing</t>
        </is>
      </c>
      <c r="C623" s="5" t="inlineStr">
        <is>
          <t>Comment fonctionne le modèle de révisions illimitées pour les clients de Bruxelles ?</t>
        </is>
      </c>
      <c r="D623" t="inlineStr">
        <is>
          <t>création site web bruxelles</t>
        </is>
      </c>
      <c r="E623" t="inlineStr">
        <is>
          <t>be</t>
        </is>
      </c>
      <c r="F623" s="5" t="inlineStr"/>
      <c r="G623" t="n">
        <v>140</v>
      </c>
      <c r="H623" t="n">
        <v>5</v>
      </c>
      <c r="I623" t="inlineStr">
        <is>
          <t>Definition / how it works</t>
        </is>
      </c>
      <c r="J623" t="inlineStr">
        <is>
          <t>MEASURED</t>
        </is>
      </c>
      <c r="K623">
        <f>ROUND(IF(ISNUMBER(G623),MIN(50,ROUND(50*LOG10(G623+1)/4,1)),5)+IF(ISNUMBER(H623),ROUND(30*(100-H623)/100,1),15)+IF(B623="New",20,10),0)</f>
        <v/>
      </c>
      <c r="L623" t="inlineStr">
        <is>
          <t>KEEP</t>
        </is>
      </c>
      <c r="M623" s="5" t="inlineStr">
        <is>
          <t>Templated across 10 pages - acceptable for now; localise only if the page is kept (see F-02 / sheet 09)</t>
        </is>
      </c>
      <c r="N623" s="5" t="inlineStr">
        <is>
          <t>Notre modèle de révisions illimitées signifie exactement cela : nous affinons jusqu'à ce que vous soyez satisfait. Il n'y a pas de limite au nombre de modifications demandées, chaque révision étant gé</t>
        </is>
      </c>
      <c r="O623" t="inlineStr">
        <is>
          <t>P3</t>
        </is>
      </c>
      <c r="P623" t="inlineStr">
        <is>
          <t>FAQPage JSON-LD</t>
        </is>
      </c>
    </row>
    <row r="624">
      <c r="A624" s="3" t="inlineStr">
        <is>
          <t>https://codesommet.com/web-development-company/brussels</t>
        </is>
      </c>
      <c r="B624" t="inlineStr">
        <is>
          <t>Existing</t>
        </is>
      </c>
      <c r="C624" s="5" t="inlineStr">
        <is>
          <t>Fournissez-vous un support continu après le lancement à Bruxelles ?</t>
        </is>
      </c>
      <c r="D624" t="inlineStr">
        <is>
          <t>création site web bruxelles</t>
        </is>
      </c>
      <c r="E624" t="inlineStr">
        <is>
          <t>be</t>
        </is>
      </c>
      <c r="F624" s="5" t="inlineStr"/>
      <c r="G624" t="n">
        <v>140</v>
      </c>
      <c r="H624" t="n">
        <v>5</v>
      </c>
      <c r="I624" t="inlineStr">
        <is>
          <t>Support</t>
        </is>
      </c>
      <c r="J624" t="inlineStr">
        <is>
          <t>MEASURED</t>
        </is>
      </c>
      <c r="K624">
        <f>ROUND(IF(ISNUMBER(G624),MIN(50,ROUND(50*LOG10(G624+1)/4,1)),5)+IF(ISNUMBER(H624),ROUND(30*(100-H624)/100,1),15)+IF(B624="New",20,10),0)</f>
        <v/>
      </c>
      <c r="L624" t="inlineStr">
        <is>
          <t>KEEP</t>
        </is>
      </c>
      <c r="M624" s="5" t="inlineStr">
        <is>
          <t>Templated across 7 pages - acceptable for now; localise only if the page is kept (see F-02 / sheet 09)</t>
        </is>
      </c>
      <c r="N624" s="5" t="inlineStr">
        <is>
          <t>Oui. Nous proposons un support continu complet : hébergement, maintenance, mises à jour de sécurité, surveillance des performances et mises à jour de contenu. Nos forfaits incluent une collaboration e</t>
        </is>
      </c>
      <c r="O624" t="inlineStr">
        <is>
          <t>P3</t>
        </is>
      </c>
      <c r="P624" t="inlineStr">
        <is>
          <t>FAQPage JSON-LD</t>
        </is>
      </c>
    </row>
    <row r="625">
      <c r="A625" s="3" t="inlineStr">
        <is>
          <t>https://codesommet.com/web-development-company/cairo</t>
        </is>
      </c>
      <c r="B625" t="inlineStr">
        <is>
          <t>Existing</t>
        </is>
      </c>
      <c r="C625" s="5" t="inlineStr">
        <is>
          <t>Avez-vous un bureau physique au Le Caire ?</t>
        </is>
      </c>
      <c r="D625" t="inlineStr">
        <is>
          <t>développement web le caire</t>
        </is>
      </c>
      <c r="E625" t="inlineStr">
        <is>
          <t>eg</t>
        </is>
      </c>
      <c r="F625" s="5" t="inlineStr"/>
      <c r="G625" t="inlineStr">
        <is>
          <t>NOT AVAILABLE</t>
        </is>
      </c>
      <c r="H625" t="inlineStr">
        <is>
          <t>NOT AVAILABLE</t>
        </is>
      </c>
      <c r="I625" t="inlineStr">
        <is>
          <t>Location / logistics</t>
        </is>
      </c>
      <c r="J625" t="inlineStr">
        <is>
          <t>UNAVAILABLE</t>
        </is>
      </c>
      <c r="K625">
        <f>ROUND(IF(ISNUMBER(G625),MIN(50,ROUND(50*LOG10(G625+1)/4,1)),5)+IF(ISNUMBER(H625),ROUND(30*(100-H625)/100,1),15)+IF(B625="New",20,10),0)</f>
        <v/>
      </c>
      <c r="L625" t="inlineStr">
        <is>
          <t>KEEP</t>
        </is>
      </c>
      <c r="M625" s="5" t="inlineStr">
        <is>
          <t>Relevant to page intent</t>
        </is>
      </c>
      <c r="N625" s="5" t="inlineStr">
        <is>
          <t xml:space="preserve">Nous n'avons pas de bureau à Le Caire : notre équipe travaille à distance depuis le Maroc et collabore avec ses clients entièrement en ligne (appels vidéo, Slack, suivi de projet en temps réel). Cela </t>
        </is>
      </c>
      <c r="O625" t="inlineStr">
        <is>
          <t>P3</t>
        </is>
      </c>
      <c r="P625" t="inlineStr">
        <is>
          <t>FAQPage JSON-LD</t>
        </is>
      </c>
    </row>
    <row r="626">
      <c r="A626" s="3" t="inlineStr">
        <is>
          <t>https://codesommet.com/web-development-company/cairo</t>
        </is>
      </c>
      <c r="B626" t="inlineStr">
        <is>
          <t>Existing</t>
        </is>
      </c>
      <c r="C626" s="5" t="inlineStr">
        <is>
          <t>Pouvez-vous travailler avec les entreprises du Caire à distance ?</t>
        </is>
      </c>
      <c r="D626" t="inlineStr">
        <is>
          <t>développement web le caire</t>
        </is>
      </c>
      <c r="E626" t="inlineStr">
        <is>
          <t>eg</t>
        </is>
      </c>
      <c r="F626" s="5" t="inlineStr"/>
      <c r="G626" t="inlineStr">
        <is>
          <t>NOT AVAILABLE</t>
        </is>
      </c>
      <c r="H626" t="inlineStr">
        <is>
          <t>NOT AVAILABLE</t>
        </is>
      </c>
      <c r="I626" t="inlineStr">
        <is>
          <t>Location / logistics</t>
        </is>
      </c>
      <c r="J626" t="inlineStr">
        <is>
          <t>UNAVAILABLE</t>
        </is>
      </c>
      <c r="K626">
        <f>ROUND(IF(ISNUMBER(G626),MIN(50,ROUND(50*LOG10(G626+1)/4,1)),5)+IF(ISNUMBER(H626),ROUND(30*(100-H626)/100,1),15)+IF(B626="New",20,10),0)</f>
        <v/>
      </c>
      <c r="L626" t="inlineStr">
        <is>
          <t>KEEP</t>
        </is>
      </c>
      <c r="M626" s="5" t="inlineStr">
        <is>
          <t>Relevant to page intent</t>
        </is>
      </c>
      <c r="N626" s="5" t="inlineStr">
        <is>
          <t>Oui, tout se passe en ligne : appels vidéo pour le cadrage et les validations, collaboration sur Slack au quotidien et suivi de projet en temps réel. Nous adaptons nos créneaux au fuseau horaire de Le</t>
        </is>
      </c>
      <c r="O626" t="inlineStr">
        <is>
          <t>P3</t>
        </is>
      </c>
      <c r="P626" t="inlineStr">
        <is>
          <t>FAQPage JSON-LD</t>
        </is>
      </c>
    </row>
    <row r="627">
      <c r="A627" s="3" t="inlineStr">
        <is>
          <t>https://codesommet.com/web-development-company/cairo</t>
        </is>
      </c>
      <c r="B627" t="inlineStr">
        <is>
          <t>Existing</t>
        </is>
      </c>
      <c r="C627" s="5" t="inlineStr">
        <is>
          <t>Quels modes de paiement acceptez-vous au Caire ?</t>
        </is>
      </c>
      <c r="D627" t="inlineStr">
        <is>
          <t>développement web le caire</t>
        </is>
      </c>
      <c r="E627" t="inlineStr">
        <is>
          <t>eg</t>
        </is>
      </c>
      <c r="F627" s="5" t="inlineStr"/>
      <c r="G627" t="inlineStr">
        <is>
          <t>NOT AVAILABLE</t>
        </is>
      </c>
      <c r="H627" t="inlineStr">
        <is>
          <t>NOT AVAILABLE</t>
        </is>
      </c>
      <c r="I627" t="inlineStr">
        <is>
          <t>Payment</t>
        </is>
      </c>
      <c r="J627" t="inlineStr">
        <is>
          <t>UNAVAILABLE</t>
        </is>
      </c>
      <c r="K627">
        <f>ROUND(IF(ISNUMBER(G627),MIN(50,ROUND(50*LOG10(G627+1)/4,1)),5)+IF(ISNUMBER(H627),ROUND(30*(100-H627)/100,1),15)+IF(B627="New",20,10),0)</f>
        <v/>
      </c>
      <c r="L627" t="inlineStr">
        <is>
          <t>KEEP</t>
        </is>
      </c>
      <c r="M627" s="5" t="inlineStr">
        <is>
          <t>Relevant to page intent</t>
        </is>
      </c>
      <c r="N627" s="5" t="inlineStr">
        <is>
          <t xml:space="preserve">Nous acceptons les principaux moyens de paiement : virement bancaire, carte et PayPal selon votre pays. Le paiement est généralement échelonné par jalons, avec un acompte au démarrage puis le solde à </t>
        </is>
      </c>
      <c r="O627" t="inlineStr">
        <is>
          <t>P3</t>
        </is>
      </c>
      <c r="P627" t="inlineStr">
        <is>
          <t>FAQPage JSON-LD</t>
        </is>
      </c>
    </row>
    <row r="628">
      <c r="A628" s="3" t="inlineStr">
        <is>
          <t>https://codesommet.com/web-development-company/cairo</t>
        </is>
      </c>
      <c r="B628" t="inlineStr">
        <is>
          <t>Existing</t>
        </is>
      </c>
      <c r="C628" s="5" t="inlineStr">
        <is>
          <t>Comprenez-vous les lois de conformité et de protection des données en Égypte ?</t>
        </is>
      </c>
      <c r="D628" t="inlineStr">
        <is>
          <t>développement web le caire</t>
        </is>
      </c>
      <c r="E628" t="inlineStr">
        <is>
          <t>eg</t>
        </is>
      </c>
      <c r="F628" s="5" t="inlineStr"/>
      <c r="G628" t="inlineStr">
        <is>
          <t>NOT AVAILABLE</t>
        </is>
      </c>
      <c r="H628" t="inlineStr">
        <is>
          <t>NOT AVAILABLE</t>
        </is>
      </c>
      <c r="I628" t="inlineStr">
        <is>
          <t>Compliance / security</t>
        </is>
      </c>
      <c r="J628" t="inlineStr">
        <is>
          <t>UNAVAILABLE</t>
        </is>
      </c>
      <c r="K628">
        <f>ROUND(IF(ISNUMBER(G628),MIN(50,ROUND(50*LOG10(G628+1)/4,1)),5)+IF(ISNUMBER(H628),ROUND(30*(100-H628)/100,1),15)+IF(B628="New",20,10),0)</f>
        <v/>
      </c>
      <c r="L628" t="inlineStr">
        <is>
          <t>KEEP</t>
        </is>
      </c>
      <c r="M628" s="5" t="inlineStr">
        <is>
          <t>Relevant to page intent</t>
        </is>
      </c>
      <c r="N628" s="5" t="inlineStr">
        <is>
          <t>Nous concevons des sites conformes aux bonnes pratiques de protection des données : consentement aux cookies, politique de confidentialité, sécurisation des formulaires et des données. Pour les exigen</t>
        </is>
      </c>
      <c r="O628" t="inlineStr">
        <is>
          <t>P3</t>
        </is>
      </c>
      <c r="P628" t="inlineStr">
        <is>
          <t>FAQPage JSON-LD</t>
        </is>
      </c>
    </row>
    <row r="629">
      <c r="A629" s="3" t="inlineStr">
        <is>
          <t>https://codesommet.com/web-development-company/cairo</t>
        </is>
      </c>
      <c r="B629" t="inlineStr">
        <is>
          <t>Existing</t>
        </is>
      </c>
      <c r="C629" s="5" t="inlineStr">
        <is>
          <t>À quelle vitesse pouvez-vous lancer un site web pour mon entreprise au Caire ?</t>
        </is>
      </c>
      <c r="D629" t="inlineStr">
        <is>
          <t>développement web le caire</t>
        </is>
      </c>
      <c r="E629" t="inlineStr">
        <is>
          <t>eg</t>
        </is>
      </c>
      <c r="F629" s="5" t="inlineStr"/>
      <c r="G629" t="inlineStr">
        <is>
          <t>NOT AVAILABLE</t>
        </is>
      </c>
      <c r="H629" t="inlineStr">
        <is>
          <t>NOT AVAILABLE</t>
        </is>
      </c>
      <c r="I629" t="inlineStr">
        <is>
          <t>Timeline</t>
        </is>
      </c>
      <c r="J629" t="inlineStr">
        <is>
          <t>UNAVAILABLE</t>
        </is>
      </c>
      <c r="K629">
        <f>ROUND(IF(ISNUMBER(G629),MIN(50,ROUND(50*LOG10(G629+1)/4,1)),5)+IF(ISNUMBER(H629),ROUND(30*(100-H629)/100,1),15)+IF(B629="New",20,10),0)</f>
        <v/>
      </c>
      <c r="L629" t="inlineStr">
        <is>
          <t>KEEP</t>
        </is>
      </c>
      <c r="M629" s="5" t="inlineStr">
        <is>
          <t>Relevant to page intent</t>
        </is>
      </c>
      <c r="N629" s="5" t="inlineStr">
        <is>
          <t>La plupart des sites vitrines sont livrés en 2 à 5 jours après validation du périmètre. Pour les projets urgents, notre formule express permet une mise en ligne en 2 jours seulement. Les plateformes p</t>
        </is>
      </c>
      <c r="O629" t="inlineStr">
        <is>
          <t>P3</t>
        </is>
      </c>
      <c r="P629" t="inlineStr">
        <is>
          <t>FAQPage JSON-LD</t>
        </is>
      </c>
    </row>
    <row r="630">
      <c r="A630" s="3" t="inlineStr">
        <is>
          <t>https://codesommet.com/web-development-company/cairo</t>
        </is>
      </c>
      <c r="B630" t="inlineStr">
        <is>
          <t>Existing</t>
        </is>
      </c>
      <c r="C630" s="5" t="inlineStr">
        <is>
          <t>Pouvez-vous aider avec l'enregistrement de domaine .eg ?</t>
        </is>
      </c>
      <c r="D630" t="inlineStr">
        <is>
          <t>développement web le caire</t>
        </is>
      </c>
      <c r="E630" t="inlineStr">
        <is>
          <t>eg</t>
        </is>
      </c>
      <c r="F630" s="5" t="inlineStr"/>
      <c r="G630" t="inlineStr">
        <is>
          <t>NOT AVAILABLE</t>
        </is>
      </c>
      <c r="H630" t="inlineStr">
        <is>
          <t>NOT AVAILABLE</t>
        </is>
      </c>
      <c r="I630" t="inlineStr">
        <is>
          <t>Service scope</t>
        </is>
      </c>
      <c r="J630" t="inlineStr">
        <is>
          <t>UNAVAILABLE</t>
        </is>
      </c>
      <c r="K630">
        <f>ROUND(IF(ISNUMBER(G630),MIN(50,ROUND(50*LOG10(G630+1)/4,1)),5)+IF(ISNUMBER(H630),ROUND(30*(100-H630)/100,1),15)+IF(B630="New",20,10),0)</f>
        <v/>
      </c>
      <c r="L630" t="inlineStr">
        <is>
          <t>KEEP</t>
        </is>
      </c>
      <c r="M630" s="5" t="inlineStr">
        <is>
          <t>Templated across 12 pages - acceptable for now; localise only if the page is kept (see F-02 / sheet 09)</t>
        </is>
      </c>
      <c r="N630" s="5" t="inlineStr">
        <is>
          <t>Oui. Nous vous conseillons sur le choix du nom de domaine (.eg ou .com selon votre cible), nous vous guidons pour l'enregistrement auprès d'un registrar et nous configurons le DNS, le certificat SSL e</t>
        </is>
      </c>
      <c r="O630" t="inlineStr">
        <is>
          <t>P3</t>
        </is>
      </c>
      <c r="P630" t="inlineStr">
        <is>
          <t>FAQPage JSON-LD</t>
        </is>
      </c>
    </row>
    <row r="631">
      <c r="A631" s="3" t="inlineStr">
        <is>
          <t>https://codesommet.com/web-development-company/casablanca</t>
        </is>
      </c>
      <c r="B631" t="inlineStr">
        <is>
          <t>Existing</t>
        </is>
      </c>
      <c r="C631" s="5" t="inlineStr">
        <is>
          <t>Avez-vous un bureau physique à Casablanca ?</t>
        </is>
      </c>
      <c r="D631" t="inlineStr">
        <is>
          <t>site web casablanca</t>
        </is>
      </c>
      <c r="E631" t="inlineStr">
        <is>
          <t>ma</t>
        </is>
      </c>
      <c r="F631" s="5" t="inlineStr"/>
      <c r="G631" t="n">
        <v>20</v>
      </c>
      <c r="H631" t="inlineStr">
        <is>
          <t>NOT AVAILABLE</t>
        </is>
      </c>
      <c r="I631" t="inlineStr">
        <is>
          <t>Location / logistics</t>
        </is>
      </c>
      <c r="J631" t="inlineStr">
        <is>
          <t>MEASURED</t>
        </is>
      </c>
      <c r="K631">
        <f>ROUND(IF(ISNUMBER(G631),MIN(50,ROUND(50*LOG10(G631+1)/4,1)),5)+IF(ISNUMBER(H631),ROUND(30*(100-H631)/100,1),15)+IF(B631="New",20,10),0)</f>
        <v/>
      </c>
      <c r="L631" t="inlineStr">
        <is>
          <t>KEEP</t>
        </is>
      </c>
      <c r="M631" s="5" t="inlineStr">
        <is>
          <t>Relevant to page intent</t>
        </is>
      </c>
      <c r="N631" s="5" t="inlineStr">
        <is>
          <t>Nous n'avons pas de bureau à Casablanca : notre équipe travaille à distance depuis le Maroc et collabore avec ses clients entièrement en ligne (appels vidéo, Slack, suivi de projet en temps réel). Cel</t>
        </is>
      </c>
      <c r="O631" t="inlineStr">
        <is>
          <t>P2</t>
        </is>
      </c>
      <c r="P631" t="inlineStr">
        <is>
          <t>FAQPage JSON-LD</t>
        </is>
      </c>
    </row>
    <row r="632">
      <c r="A632" s="3" t="inlineStr">
        <is>
          <t>https://codesommet.com/web-development-company/casablanca</t>
        </is>
      </c>
      <c r="B632" t="inlineStr">
        <is>
          <t>Existing</t>
        </is>
      </c>
      <c r="C632" s="5" t="inlineStr">
        <is>
          <t>Pouvez-vous travailler avec les entreprises de Casablanca à distance ?</t>
        </is>
      </c>
      <c r="D632" t="inlineStr">
        <is>
          <t>site web casablanca</t>
        </is>
      </c>
      <c r="E632" t="inlineStr">
        <is>
          <t>ma</t>
        </is>
      </c>
      <c r="F632" s="5" t="inlineStr"/>
      <c r="G632" t="n">
        <v>20</v>
      </c>
      <c r="H632" t="inlineStr">
        <is>
          <t>NOT AVAILABLE</t>
        </is>
      </c>
      <c r="I632" t="inlineStr">
        <is>
          <t>Location / logistics</t>
        </is>
      </c>
      <c r="J632" t="inlineStr">
        <is>
          <t>MEASURED</t>
        </is>
      </c>
      <c r="K632">
        <f>ROUND(IF(ISNUMBER(G632),MIN(50,ROUND(50*LOG10(G632+1)/4,1)),5)+IF(ISNUMBER(H632),ROUND(30*(100-H632)/100,1),15)+IF(B632="New",20,10),0)</f>
        <v/>
      </c>
      <c r="L632" t="inlineStr">
        <is>
          <t>KEEP</t>
        </is>
      </c>
      <c r="M632" s="5" t="inlineStr">
        <is>
          <t>Relevant to page intent</t>
        </is>
      </c>
      <c r="N632" s="5" t="inlineStr">
        <is>
          <t>Oui, tout se passe en ligne : appels vidéo pour le cadrage et les validations, collaboration sur Slack au quotidien et suivi de projet en temps réel. Nous adaptons nos créneaux au fuseau horaire de Ca</t>
        </is>
      </c>
      <c r="O632" t="inlineStr">
        <is>
          <t>P2</t>
        </is>
      </c>
      <c r="P632" t="inlineStr">
        <is>
          <t>FAQPage JSON-LD</t>
        </is>
      </c>
    </row>
    <row r="633">
      <c r="A633" s="3" t="inlineStr">
        <is>
          <t>https://codesommet.com/web-development-company/casablanca</t>
        </is>
      </c>
      <c r="B633" t="inlineStr">
        <is>
          <t>Existing</t>
        </is>
      </c>
      <c r="C633" s="5" t="inlineStr">
        <is>
          <t>Quels modes de paiement acceptez-vous à Casablanca ?</t>
        </is>
      </c>
      <c r="D633" t="inlineStr">
        <is>
          <t>site web casablanca</t>
        </is>
      </c>
      <c r="E633" t="inlineStr">
        <is>
          <t>ma</t>
        </is>
      </c>
      <c r="F633" s="5" t="inlineStr"/>
      <c r="G633" t="n">
        <v>20</v>
      </c>
      <c r="H633" t="inlineStr">
        <is>
          <t>NOT AVAILABLE</t>
        </is>
      </c>
      <c r="I633" t="inlineStr">
        <is>
          <t>Payment</t>
        </is>
      </c>
      <c r="J633" t="inlineStr">
        <is>
          <t>MEASURED</t>
        </is>
      </c>
      <c r="K633">
        <f>ROUND(IF(ISNUMBER(G633),MIN(50,ROUND(50*LOG10(G633+1)/4,1)),5)+IF(ISNUMBER(H633),ROUND(30*(100-H633)/100,1),15)+IF(B633="New",20,10),0)</f>
        <v/>
      </c>
      <c r="L633" t="inlineStr">
        <is>
          <t>KEEP</t>
        </is>
      </c>
      <c r="M633" s="5" t="inlineStr">
        <is>
          <t>Relevant to page intent</t>
        </is>
      </c>
      <c r="N633" s="5" t="inlineStr">
        <is>
          <t xml:space="preserve">Nous acceptons les principaux moyens de paiement : virement bancaire, carte et PayPal selon votre pays. Le paiement est généralement échelonné par jalons, avec un acompte au démarrage puis le solde à </t>
        </is>
      </c>
      <c r="O633" t="inlineStr">
        <is>
          <t>P2</t>
        </is>
      </c>
      <c r="P633" t="inlineStr">
        <is>
          <t>FAQPage JSON-LD</t>
        </is>
      </c>
    </row>
    <row r="634">
      <c r="A634" s="3" t="inlineStr">
        <is>
          <t>https://codesommet.com/web-development-company/casablanca</t>
        </is>
      </c>
      <c r="B634" t="inlineStr">
        <is>
          <t>Existing</t>
        </is>
      </c>
      <c r="C634" s="5" t="inlineStr">
        <is>
          <t>Comprenez-vous les lois de conformité et de protection des données au Maroc ?</t>
        </is>
      </c>
      <c r="D634" t="inlineStr">
        <is>
          <t>agence web casablanca</t>
        </is>
      </c>
      <c r="E634" t="inlineStr">
        <is>
          <t>ma</t>
        </is>
      </c>
      <c r="F634" s="5" t="inlineStr"/>
      <c r="G634" t="n">
        <v>1000</v>
      </c>
      <c r="H634" t="n">
        <v>52</v>
      </c>
      <c r="I634" t="inlineStr">
        <is>
          <t>Compliance / security</t>
        </is>
      </c>
      <c r="J634" t="inlineStr">
        <is>
          <t>MEASURED</t>
        </is>
      </c>
      <c r="K634">
        <f>ROUND(IF(ISNUMBER(G634),MIN(50,ROUND(50*LOG10(G634+1)/4,1)),5)+IF(ISNUMBER(H634),ROUND(30*(100-H634)/100,1),15)+IF(B634="New",20,10),0)</f>
        <v/>
      </c>
      <c r="L634" t="inlineStr">
        <is>
          <t>KEEP</t>
        </is>
      </c>
      <c r="M634" s="5" t="inlineStr">
        <is>
          <t>Relevant to page intent</t>
        </is>
      </c>
      <c r="N634" s="5" t="inlineStr">
        <is>
          <t>Nous concevons des sites conformes aux bonnes pratiques de protection des données : consentement aux cookies, politique de confidentialité, sécurisation des formulaires et des données. Pour les exigen</t>
        </is>
      </c>
      <c r="O634" t="inlineStr">
        <is>
          <t>P2</t>
        </is>
      </c>
      <c r="P634" t="inlineStr">
        <is>
          <t>FAQPage JSON-LD</t>
        </is>
      </c>
    </row>
    <row r="635">
      <c r="A635" s="3" t="inlineStr">
        <is>
          <t>https://codesommet.com/web-development-company/casablanca</t>
        </is>
      </c>
      <c r="B635" t="inlineStr">
        <is>
          <t>Existing</t>
        </is>
      </c>
      <c r="C635" s="5" t="inlineStr">
        <is>
          <t>À quelle vitesse pouvez-vous lancer un site web pour mon entreprise à Casablanca ?</t>
        </is>
      </c>
      <c r="D635" t="inlineStr">
        <is>
          <t>site web casablanca</t>
        </is>
      </c>
      <c r="E635" t="inlineStr">
        <is>
          <t>ma</t>
        </is>
      </c>
      <c r="F635" s="5" t="inlineStr"/>
      <c r="G635" t="n">
        <v>20</v>
      </c>
      <c r="H635" t="inlineStr">
        <is>
          <t>NOT AVAILABLE</t>
        </is>
      </c>
      <c r="I635" t="inlineStr">
        <is>
          <t>Timeline</t>
        </is>
      </c>
      <c r="J635" t="inlineStr">
        <is>
          <t>MEASURED</t>
        </is>
      </c>
      <c r="K635">
        <f>ROUND(IF(ISNUMBER(G635),MIN(50,ROUND(50*LOG10(G635+1)/4,1)),5)+IF(ISNUMBER(H635),ROUND(30*(100-H635)/100,1),15)+IF(B635="New",20,10),0)</f>
        <v/>
      </c>
      <c r="L635" t="inlineStr">
        <is>
          <t>KEEP</t>
        </is>
      </c>
      <c r="M635" s="5" t="inlineStr">
        <is>
          <t>Matches measured pre-purchase demand</t>
        </is>
      </c>
      <c r="N635" s="5" t="inlineStr">
        <is>
          <t>La plupart des sites vitrines sont livrés en 2 à 5 jours après validation du périmètre. Pour les projets urgents, notre formule express permet une mise en ligne en 2 jours seulement. Les plateformes p</t>
        </is>
      </c>
      <c r="O635" t="inlineStr">
        <is>
          <t>P2</t>
        </is>
      </c>
      <c r="P635" t="inlineStr">
        <is>
          <t>FAQPage JSON-LD</t>
        </is>
      </c>
    </row>
    <row r="636">
      <c r="A636" s="3" t="inlineStr">
        <is>
          <t>https://codesommet.com/web-development-company/casablanca</t>
        </is>
      </c>
      <c r="B636" t="inlineStr">
        <is>
          <t>Existing</t>
        </is>
      </c>
      <c r="C636" s="5" t="inlineStr">
        <is>
          <t>Pouvez-vous aider avec l'enregistrement de domaine .ma ?</t>
        </is>
      </c>
      <c r="D636" t="inlineStr">
        <is>
          <t>agence web casablanca</t>
        </is>
      </c>
      <c r="E636" t="inlineStr">
        <is>
          <t>ma</t>
        </is>
      </c>
      <c r="F636" s="5" t="inlineStr"/>
      <c r="G636" t="n">
        <v>1000</v>
      </c>
      <c r="H636" t="n">
        <v>52</v>
      </c>
      <c r="I636" t="inlineStr">
        <is>
          <t>Service scope</t>
        </is>
      </c>
      <c r="J636" t="inlineStr">
        <is>
          <t>MEASURED</t>
        </is>
      </c>
      <c r="K636">
        <f>ROUND(IF(ISNUMBER(G636),MIN(50,ROUND(50*LOG10(G636+1)/4,1)),5)+IF(ISNUMBER(H636),ROUND(30*(100-H636)/100,1),15)+IF(B636="New",20,10),0)</f>
        <v/>
      </c>
      <c r="L636" t="inlineStr">
        <is>
          <t>IMPROVE</t>
        </is>
      </c>
      <c r="M636" s="5" t="inlineStr">
        <is>
          <t>Templated question shared by 12 pages - localise answer (sectors, office, examples) on this priority city page</t>
        </is>
      </c>
      <c r="N636" s="5" t="inlineStr">
        <is>
          <t>Oui. Nous vous conseillons sur le choix du nom de domaine (.ma ou .com selon votre cible), nous vous guidons pour l'enregistrement auprès d'un registrar et nous configurons le DNS, le certificat SSL e</t>
        </is>
      </c>
      <c r="O636" t="inlineStr">
        <is>
          <t>P1</t>
        </is>
      </c>
      <c r="P636" t="inlineStr">
        <is>
          <t>FAQPage JSON-LD</t>
        </is>
      </c>
    </row>
    <row r="637">
      <c r="A637" s="3" t="inlineStr">
        <is>
          <t>https://codesommet.com/web-development-company/casablanca</t>
        </is>
      </c>
      <c r="B637" t="inlineStr">
        <is>
          <t>New</t>
        </is>
      </c>
      <c r="C637" s="5" t="inlineStr">
        <is>
          <t>Combien coûte la création d'un site web à Casablanca ?</t>
        </is>
      </c>
      <c r="D637" t="inlineStr">
        <is>
          <t>prix création site web casablanca</t>
        </is>
      </c>
      <c r="E637" t="inlineStr">
        <is>
          <t>ma</t>
        </is>
      </c>
      <c r="F637" s="5" t="inlineStr">
        <is>
          <t>création site web casablanca [ma] 210; agence web casablanca [ma] 1000</t>
        </is>
      </c>
      <c r="G637" t="inlineStr">
        <is>
          <t>NOT AVAILABLE</t>
        </is>
      </c>
      <c r="H637" t="inlineStr">
        <is>
          <t>NOT AVAILABLE</t>
        </is>
      </c>
      <c r="I637" t="inlineStr">
        <is>
          <t>Question</t>
        </is>
      </c>
      <c r="J637" t="inlineStr">
        <is>
          <t>SUGGESTED</t>
        </is>
      </c>
      <c r="K637">
        <f>ROUND(IF(ISNUMBER(G637),MIN(50,ROUND(50*LOG10(G637+1)/4,1)),5)+IF(ISNUMBER(H637),ROUND(30*(100-H637)/100,1),15)+IF(B637="New",20,10),0)</f>
        <v/>
      </c>
      <c r="L637" t="inlineStr">
        <is>
          <t>NEW</t>
        </is>
      </c>
      <c r="M637" s="5" t="inlineStr">
        <is>
          <t>Local price research. | Why here: City page with highest demand (1000). | Internal link: /get-quote</t>
        </is>
      </c>
      <c r="N637" s="5" t="inlineStr">
        <is>
          <t>Same ranges as homepage with local context (no price inflation); link to devis.</t>
        </is>
      </c>
      <c r="O637" t="inlineStr">
        <is>
          <t>P1</t>
        </is>
      </c>
      <c r="P637" t="inlineStr"/>
    </row>
    <row r="638">
      <c r="A638" s="3" t="inlineStr">
        <is>
          <t>https://codesommet.com/web-development-company/chicago</t>
        </is>
      </c>
      <c r="B638" t="inlineStr">
        <is>
          <t>Existing</t>
        </is>
      </c>
      <c r="C638" s="5" t="inlineStr">
        <is>
          <t>Pourquoi choisir CodeSommet plutôt que les nombreuses agences de développement web de Chicago ?</t>
        </is>
      </c>
      <c r="D638" t="inlineStr">
        <is>
          <t>développement web chicago</t>
        </is>
      </c>
      <c r="E638" t="inlineStr">
        <is>
          <t>us</t>
        </is>
      </c>
      <c r="F638" s="5" t="inlineStr"/>
      <c r="G638" t="inlineStr">
        <is>
          <t>NOT AVAILABLE</t>
        </is>
      </c>
      <c r="H638" t="inlineStr">
        <is>
          <t>NOT AVAILABLE</t>
        </is>
      </c>
      <c r="I638" t="inlineStr">
        <is>
          <t>Differentiation</t>
        </is>
      </c>
      <c r="J638" t="inlineStr">
        <is>
          <t>UNAVAILABLE</t>
        </is>
      </c>
      <c r="K638">
        <f>ROUND(IF(ISNUMBER(G638),MIN(50,ROUND(50*LOG10(G638+1)/4,1)),5)+IF(ISNUMBER(H638),ROUND(30*(100-H638)/100,1),15)+IF(B638="New",20,10),0)</f>
        <v/>
      </c>
      <c r="L638" t="inlineStr">
        <is>
          <t>KEEP</t>
        </is>
      </c>
      <c r="M638" s="5" t="inlineStr">
        <is>
          <t>Templated across 10 pages - acceptable for now; localise only if the page is kept (see F-02 / sheet 09)</t>
        </is>
      </c>
      <c r="N638" s="5" t="inlineStr">
        <is>
          <t>Parce que nous combinons un design soigné, des technologies modernes et une livraison rapide : la plupart des sites vitrines sont en ligne en 2 à 5 jours après validation du périmètre (et en 2 jours s</t>
        </is>
      </c>
      <c r="O638" t="inlineStr">
        <is>
          <t>P3</t>
        </is>
      </c>
      <c r="P638" t="inlineStr">
        <is>
          <t>FAQPage JSON-LD</t>
        </is>
      </c>
    </row>
    <row r="639">
      <c r="A639" s="3" t="inlineStr">
        <is>
          <t>https://codesommet.com/web-development-company/chicago</t>
        </is>
      </c>
      <c r="B639" t="inlineStr">
        <is>
          <t>Existing</t>
        </is>
      </c>
      <c r="C639" s="5" t="inlineStr">
        <is>
          <t>Travaillez-vous avec les startups de Chicago et les entreprises en phase de démarrage ?</t>
        </is>
      </c>
      <c r="D639" t="inlineStr">
        <is>
          <t>développement web chicago</t>
        </is>
      </c>
      <c r="E639" t="inlineStr">
        <is>
          <t>us</t>
        </is>
      </c>
      <c r="F639" s="5" t="inlineStr"/>
      <c r="G639" t="inlineStr">
        <is>
          <t>NOT AVAILABLE</t>
        </is>
      </c>
      <c r="H639" t="inlineStr">
        <is>
          <t>NOT AVAILABLE</t>
        </is>
      </c>
      <c r="I639" t="inlineStr">
        <is>
          <t>Service scope</t>
        </is>
      </c>
      <c r="J639" t="inlineStr">
        <is>
          <t>UNAVAILABLE</t>
        </is>
      </c>
      <c r="K639">
        <f>ROUND(IF(ISNUMBER(G639),MIN(50,ROUND(50*LOG10(G639+1)/4,1)),5)+IF(ISNUMBER(H639),ROUND(30*(100-H639)/100,1),15)+IF(B639="New",20,10),0)</f>
        <v/>
      </c>
      <c r="L639" t="inlineStr">
        <is>
          <t>KEEP</t>
        </is>
      </c>
      <c r="M639" s="5" t="inlineStr">
        <is>
          <t>Templated across 6 pages - acceptable for now; localise only if the page is kept (see F-02 / sheet 09)</t>
        </is>
      </c>
      <c r="N639" s="5" t="inlineStr">
        <is>
          <t>Absolument. Nous travaillons avec des entreprises de toutes tailles, des startups en démarrage aux structures établies. Notre tarification flexible et nos forfaits mensuels sont pensés pour évoluer av</t>
        </is>
      </c>
      <c r="O639" t="inlineStr">
        <is>
          <t>P3</t>
        </is>
      </c>
      <c r="P639" t="inlineStr">
        <is>
          <t>FAQPage JSON-LD</t>
        </is>
      </c>
    </row>
    <row r="640">
      <c r="A640" s="3" t="inlineStr">
        <is>
          <t>https://codesommet.com/web-development-company/chicago</t>
        </is>
      </c>
      <c r="B640" t="inlineStr">
        <is>
          <t>Existing</t>
        </is>
      </c>
      <c r="C640" s="5" t="inlineStr">
        <is>
          <t>Quelles technologies utilisez-vous pour les projets à Chicago ?</t>
        </is>
      </c>
      <c r="D640" t="inlineStr">
        <is>
          <t>développement web chicago</t>
        </is>
      </c>
      <c r="E640" t="inlineStr">
        <is>
          <t>us</t>
        </is>
      </c>
      <c r="F640" s="5" t="inlineStr"/>
      <c r="G640" t="inlineStr">
        <is>
          <t>NOT AVAILABLE</t>
        </is>
      </c>
      <c r="H640" t="inlineStr">
        <is>
          <t>NOT AVAILABLE</t>
        </is>
      </c>
      <c r="I640" t="inlineStr">
        <is>
          <t>Service scope</t>
        </is>
      </c>
      <c r="J640" t="inlineStr">
        <is>
          <t>UNAVAILABLE</t>
        </is>
      </c>
      <c r="K640">
        <f>ROUND(IF(ISNUMBER(G640),MIN(50,ROUND(50*LOG10(G640+1)/4,1)),5)+IF(ISNUMBER(H640),ROUND(30*(100-H640)/100,1),15)+IF(B640="New",20,10),0)</f>
        <v/>
      </c>
      <c r="L640" t="inlineStr">
        <is>
          <t>KEEP</t>
        </is>
      </c>
      <c r="M640" s="5" t="inlineStr">
        <is>
          <t>Templated across 9 pages - acceptable for now; localise only if the page is kept (see F-02 / sheet 09)</t>
        </is>
      </c>
      <c r="N640" s="5" t="inlineStr">
        <is>
          <t>Nous utilisons des technologies modernes comme Next.js, React, TypeScript, Node.js et Laravel pour le développement web. Côté IA, nous intégrons des chatbots sur mesure et des automatisations intellig</t>
        </is>
      </c>
      <c r="O640" t="inlineStr">
        <is>
          <t>P3</t>
        </is>
      </c>
      <c r="P640" t="inlineStr">
        <is>
          <t>FAQPage JSON-LD</t>
        </is>
      </c>
    </row>
    <row r="641">
      <c r="A641" s="3" t="inlineStr">
        <is>
          <t>https://codesommet.com/web-development-company/chicago</t>
        </is>
      </c>
      <c r="B641" t="inlineStr">
        <is>
          <t>Existing</t>
        </is>
      </c>
      <c r="C641" s="5" t="inlineStr">
        <is>
          <t>Pouvez-vous intégrer les systèmes existants utilisés par les entreprises de Chicago ?</t>
        </is>
      </c>
      <c r="D641" t="inlineStr">
        <is>
          <t>développement web chicago</t>
        </is>
      </c>
      <c r="E641" t="inlineStr">
        <is>
          <t>us</t>
        </is>
      </c>
      <c r="F641" s="5" t="inlineStr"/>
      <c r="G641" t="inlineStr">
        <is>
          <t>NOT AVAILABLE</t>
        </is>
      </c>
      <c r="H641" t="inlineStr">
        <is>
          <t>NOT AVAILABLE</t>
        </is>
      </c>
      <c r="I641" t="inlineStr">
        <is>
          <t>Service scope</t>
        </is>
      </c>
      <c r="J641" t="inlineStr">
        <is>
          <t>UNAVAILABLE</t>
        </is>
      </c>
      <c r="K641">
        <f>ROUND(IF(ISNUMBER(G641),MIN(50,ROUND(50*LOG10(G641+1)/4,1)),5)+IF(ISNUMBER(H641),ROUND(30*(100-H641)/100,1),15)+IF(B641="New",20,10),0)</f>
        <v/>
      </c>
      <c r="L641" t="inlineStr">
        <is>
          <t>KEEP</t>
        </is>
      </c>
      <c r="M641" s="5" t="inlineStr">
        <is>
          <t>Templated across 6 pages - acceptable for now; localise only if the page is kept (see F-02 / sheet 09)</t>
        </is>
      </c>
      <c r="N641" s="5" t="inlineStr">
        <is>
          <t>Oui. Nous intégrons vos systèmes existants : CRM, ERP, passerelles de paiement, systèmes de réservation et API tierces. Que vous utilisiez Salesforce, HubSpot, Stripe ou des outils internes, nous assu</t>
        </is>
      </c>
      <c r="O641" t="inlineStr">
        <is>
          <t>P3</t>
        </is>
      </c>
      <c r="P641" t="inlineStr">
        <is>
          <t>FAQPage JSON-LD</t>
        </is>
      </c>
    </row>
    <row r="642">
      <c r="A642" s="3" t="inlineStr">
        <is>
          <t>https://codesommet.com/web-development-company/chicago</t>
        </is>
      </c>
      <c r="B642" t="inlineStr">
        <is>
          <t>Existing</t>
        </is>
      </c>
      <c r="C642" s="5" t="inlineStr">
        <is>
          <t>Comment fonctionne le modèle de révisions illimitées pour les clients de Chicago ?</t>
        </is>
      </c>
      <c r="D642" t="inlineStr">
        <is>
          <t>développement web chicago</t>
        </is>
      </c>
      <c r="E642" t="inlineStr">
        <is>
          <t>us</t>
        </is>
      </c>
      <c r="F642" s="5" t="inlineStr"/>
      <c r="G642" t="inlineStr">
        <is>
          <t>NOT AVAILABLE</t>
        </is>
      </c>
      <c r="H642" t="inlineStr">
        <is>
          <t>NOT AVAILABLE</t>
        </is>
      </c>
      <c r="I642" t="inlineStr">
        <is>
          <t>Definition / how it works</t>
        </is>
      </c>
      <c r="J642" t="inlineStr">
        <is>
          <t>UNAVAILABLE</t>
        </is>
      </c>
      <c r="K642">
        <f>ROUND(IF(ISNUMBER(G642),MIN(50,ROUND(50*LOG10(G642+1)/4,1)),5)+IF(ISNUMBER(H642),ROUND(30*(100-H642)/100,1),15)+IF(B642="New",20,10),0)</f>
        <v/>
      </c>
      <c r="L642" t="inlineStr">
        <is>
          <t>KEEP</t>
        </is>
      </c>
      <c r="M642" s="5" t="inlineStr">
        <is>
          <t>Templated across 10 pages - acceptable for now; localise only if the page is kept (see F-02 / sheet 09)</t>
        </is>
      </c>
      <c r="N642" s="5" t="inlineStr">
        <is>
          <t>Notre modèle de révisions illimitées signifie exactement cela : nous affinons jusqu'à ce que vous soyez satisfait. Il n'y a pas de limite au nombre de modifications demandées, chaque révision étant gé</t>
        </is>
      </c>
      <c r="O642" t="inlineStr">
        <is>
          <t>P3</t>
        </is>
      </c>
      <c r="P642" t="inlineStr">
        <is>
          <t>FAQPage JSON-LD</t>
        </is>
      </c>
    </row>
    <row r="643">
      <c r="A643" s="3" t="inlineStr">
        <is>
          <t>https://codesommet.com/web-development-company/chicago</t>
        </is>
      </c>
      <c r="B643" t="inlineStr">
        <is>
          <t>Existing</t>
        </is>
      </c>
      <c r="C643" s="5" t="inlineStr">
        <is>
          <t>Fournissez-vous un support continu après le lancement à Chicago ?</t>
        </is>
      </c>
      <c r="D643" t="inlineStr">
        <is>
          <t>développement web chicago</t>
        </is>
      </c>
      <c r="E643" t="inlineStr">
        <is>
          <t>us</t>
        </is>
      </c>
      <c r="F643" s="5" t="inlineStr"/>
      <c r="G643" t="inlineStr">
        <is>
          <t>NOT AVAILABLE</t>
        </is>
      </c>
      <c r="H643" t="inlineStr">
        <is>
          <t>NOT AVAILABLE</t>
        </is>
      </c>
      <c r="I643" t="inlineStr">
        <is>
          <t>Support</t>
        </is>
      </c>
      <c r="J643" t="inlineStr">
        <is>
          <t>UNAVAILABLE</t>
        </is>
      </c>
      <c r="K643">
        <f>ROUND(IF(ISNUMBER(G643),MIN(50,ROUND(50*LOG10(G643+1)/4,1)),5)+IF(ISNUMBER(H643),ROUND(30*(100-H643)/100,1),15)+IF(B643="New",20,10),0)</f>
        <v/>
      </c>
      <c r="L643" t="inlineStr">
        <is>
          <t>KEEP</t>
        </is>
      </c>
      <c r="M643" s="5" t="inlineStr">
        <is>
          <t>Templated across 7 pages - acceptable for now; localise only if the page is kept (see F-02 / sheet 09)</t>
        </is>
      </c>
      <c r="N643" s="5" t="inlineStr">
        <is>
          <t>Oui. Nous proposons un support continu complet : hébergement, maintenance, mises à jour de sécurité, surveillance des performances et mises à jour de contenu. Nos forfaits incluent une collaboration e</t>
        </is>
      </c>
      <c r="O643" t="inlineStr">
        <is>
          <t>P3</t>
        </is>
      </c>
      <c r="P643" t="inlineStr">
        <is>
          <t>FAQPage JSON-LD</t>
        </is>
      </c>
    </row>
    <row r="644">
      <c r="A644" s="3" t="inlineStr">
        <is>
          <t>https://codesommet.com/web-development-company/copenhagen</t>
        </is>
      </c>
      <c r="B644" t="inlineStr">
        <is>
          <t>Existing</t>
        </is>
      </c>
      <c r="C644" s="5" t="inlineStr">
        <is>
          <t>Pourquoi choisir CodeSommet plutôt que les nombreuses agences de développement web de Copenhague ?</t>
        </is>
      </c>
      <c r="D644" t="inlineStr">
        <is>
          <t>développement web copenhague</t>
        </is>
      </c>
      <c r="E644" t="inlineStr">
        <is>
          <t>dk</t>
        </is>
      </c>
      <c r="F644" s="5" t="inlineStr"/>
      <c r="G644" t="inlineStr">
        <is>
          <t>NOT AVAILABLE</t>
        </is>
      </c>
      <c r="H644" t="inlineStr">
        <is>
          <t>NOT AVAILABLE</t>
        </is>
      </c>
      <c r="I644" t="inlineStr">
        <is>
          <t>Differentiation</t>
        </is>
      </c>
      <c r="J644" t="inlineStr">
        <is>
          <t>UNAVAILABLE</t>
        </is>
      </c>
      <c r="K644">
        <f>ROUND(IF(ISNUMBER(G644),MIN(50,ROUND(50*LOG10(G644+1)/4,1)),5)+IF(ISNUMBER(H644),ROUND(30*(100-H644)/100,1),15)+IF(B644="New",20,10),0)</f>
        <v/>
      </c>
      <c r="L644" t="inlineStr">
        <is>
          <t>KEEP</t>
        </is>
      </c>
      <c r="M644" s="5" t="inlineStr">
        <is>
          <t>Templated across 10 pages - acceptable for now; localise only if the page is kept (see F-02 / sheet 09)</t>
        </is>
      </c>
      <c r="N644" s="5" t="inlineStr">
        <is>
          <t>Parce que nous combinons un design soigné, des technologies modernes et une livraison rapide : la plupart des sites vitrines sont en ligne en 2 à 5 jours après validation du périmètre (et en 2 jours s</t>
        </is>
      </c>
      <c r="O644" t="inlineStr">
        <is>
          <t>P3</t>
        </is>
      </c>
      <c r="P644" t="inlineStr">
        <is>
          <t>FAQPage JSON-LD</t>
        </is>
      </c>
    </row>
    <row r="645">
      <c r="A645" s="3" t="inlineStr">
        <is>
          <t>https://codesommet.com/web-development-company/copenhagen</t>
        </is>
      </c>
      <c r="B645" t="inlineStr">
        <is>
          <t>Existing</t>
        </is>
      </c>
      <c r="C645" s="5" t="inlineStr">
        <is>
          <t>Travaillez-vous avec les startups de Copenhague et les entreprises en phase de démarrage ?</t>
        </is>
      </c>
      <c r="D645" t="inlineStr">
        <is>
          <t>développement web copenhague</t>
        </is>
      </c>
      <c r="E645" t="inlineStr">
        <is>
          <t>dk</t>
        </is>
      </c>
      <c r="F645" s="5" t="inlineStr"/>
      <c r="G645" t="inlineStr">
        <is>
          <t>NOT AVAILABLE</t>
        </is>
      </c>
      <c r="H645" t="inlineStr">
        <is>
          <t>NOT AVAILABLE</t>
        </is>
      </c>
      <c r="I645" t="inlineStr">
        <is>
          <t>Service scope</t>
        </is>
      </c>
      <c r="J645" t="inlineStr">
        <is>
          <t>UNAVAILABLE</t>
        </is>
      </c>
      <c r="K645">
        <f>ROUND(IF(ISNUMBER(G645),MIN(50,ROUND(50*LOG10(G645+1)/4,1)),5)+IF(ISNUMBER(H645),ROUND(30*(100-H645)/100,1),15)+IF(B645="New",20,10),0)</f>
        <v/>
      </c>
      <c r="L645" t="inlineStr">
        <is>
          <t>KEEP</t>
        </is>
      </c>
      <c r="M645" s="5" t="inlineStr">
        <is>
          <t>Templated across 6 pages - acceptable for now; localise only if the page is kept (see F-02 / sheet 09)</t>
        </is>
      </c>
      <c r="N645" s="5" t="inlineStr">
        <is>
          <t>Absolument. Nous travaillons avec des entreprises de toutes tailles, des startups en démarrage aux structures établies. Notre tarification flexible et nos forfaits mensuels sont pensés pour évoluer av</t>
        </is>
      </c>
      <c r="O645" t="inlineStr">
        <is>
          <t>P3</t>
        </is>
      </c>
      <c r="P645" t="inlineStr">
        <is>
          <t>FAQPage JSON-LD</t>
        </is>
      </c>
    </row>
    <row r="646">
      <c r="A646" s="3" t="inlineStr">
        <is>
          <t>https://codesommet.com/web-development-company/copenhagen</t>
        </is>
      </c>
      <c r="B646" t="inlineStr">
        <is>
          <t>Existing</t>
        </is>
      </c>
      <c r="C646" s="5" t="inlineStr">
        <is>
          <t>Quelles technologies utilisez-vous pour les projets à Copenhague ?</t>
        </is>
      </c>
      <c r="D646" t="inlineStr">
        <is>
          <t>développement web copenhague</t>
        </is>
      </c>
      <c r="E646" t="inlineStr">
        <is>
          <t>dk</t>
        </is>
      </c>
      <c r="F646" s="5" t="inlineStr"/>
      <c r="G646" t="inlineStr">
        <is>
          <t>NOT AVAILABLE</t>
        </is>
      </c>
      <c r="H646" t="inlineStr">
        <is>
          <t>NOT AVAILABLE</t>
        </is>
      </c>
      <c r="I646" t="inlineStr">
        <is>
          <t>Service scope</t>
        </is>
      </c>
      <c r="J646" t="inlineStr">
        <is>
          <t>UNAVAILABLE</t>
        </is>
      </c>
      <c r="K646">
        <f>ROUND(IF(ISNUMBER(G646),MIN(50,ROUND(50*LOG10(G646+1)/4,1)),5)+IF(ISNUMBER(H646),ROUND(30*(100-H646)/100,1),15)+IF(B646="New",20,10),0)</f>
        <v/>
      </c>
      <c r="L646" t="inlineStr">
        <is>
          <t>KEEP</t>
        </is>
      </c>
      <c r="M646" s="5" t="inlineStr">
        <is>
          <t>Templated across 9 pages - acceptable for now; localise only if the page is kept (see F-02 / sheet 09)</t>
        </is>
      </c>
      <c r="N646" s="5" t="inlineStr">
        <is>
          <t>Nous utilisons des technologies modernes comme Next.js, React, TypeScript, Node.js et Laravel pour le développement web. Côté IA, nous intégrons des chatbots sur mesure et des automatisations intellig</t>
        </is>
      </c>
      <c r="O646" t="inlineStr">
        <is>
          <t>P3</t>
        </is>
      </c>
      <c r="P646" t="inlineStr">
        <is>
          <t>FAQPage JSON-LD</t>
        </is>
      </c>
    </row>
    <row r="647">
      <c r="A647" s="3" t="inlineStr">
        <is>
          <t>https://codesommet.com/web-development-company/copenhagen</t>
        </is>
      </c>
      <c r="B647" t="inlineStr">
        <is>
          <t>Existing</t>
        </is>
      </c>
      <c r="C647" s="5" t="inlineStr">
        <is>
          <t>Pouvez-vous intégrer les systèmes existants utilisés par les entreprises de Copenhague ?</t>
        </is>
      </c>
      <c r="D647" t="inlineStr">
        <is>
          <t>développement web copenhague</t>
        </is>
      </c>
      <c r="E647" t="inlineStr">
        <is>
          <t>dk</t>
        </is>
      </c>
      <c r="F647" s="5" t="inlineStr"/>
      <c r="G647" t="inlineStr">
        <is>
          <t>NOT AVAILABLE</t>
        </is>
      </c>
      <c r="H647" t="inlineStr">
        <is>
          <t>NOT AVAILABLE</t>
        </is>
      </c>
      <c r="I647" t="inlineStr">
        <is>
          <t>Service scope</t>
        </is>
      </c>
      <c r="J647" t="inlineStr">
        <is>
          <t>UNAVAILABLE</t>
        </is>
      </c>
      <c r="K647">
        <f>ROUND(IF(ISNUMBER(G647),MIN(50,ROUND(50*LOG10(G647+1)/4,1)),5)+IF(ISNUMBER(H647),ROUND(30*(100-H647)/100,1),15)+IF(B647="New",20,10),0)</f>
        <v/>
      </c>
      <c r="L647" t="inlineStr">
        <is>
          <t>KEEP</t>
        </is>
      </c>
      <c r="M647" s="5" t="inlineStr">
        <is>
          <t>Templated across 6 pages - acceptable for now; localise only if the page is kept (see F-02 / sheet 09)</t>
        </is>
      </c>
      <c r="N647" s="5" t="inlineStr">
        <is>
          <t>Oui. Nous intégrons vos systèmes existants : CRM, ERP, passerelles de paiement, systèmes de réservation et API tierces. Que vous utilisiez Salesforce, HubSpot, Stripe ou des outils internes, nous assu</t>
        </is>
      </c>
      <c r="O647" t="inlineStr">
        <is>
          <t>P3</t>
        </is>
      </c>
      <c r="P647" t="inlineStr">
        <is>
          <t>FAQPage JSON-LD</t>
        </is>
      </c>
    </row>
    <row r="648">
      <c r="A648" s="3" t="inlineStr">
        <is>
          <t>https://codesommet.com/web-development-company/copenhagen</t>
        </is>
      </c>
      <c r="B648" t="inlineStr">
        <is>
          <t>Existing</t>
        </is>
      </c>
      <c r="C648" s="5" t="inlineStr">
        <is>
          <t>Comment fonctionne le modèle de révisions illimitées à Copenhague ?</t>
        </is>
      </c>
      <c r="D648" t="inlineStr">
        <is>
          <t>développement web copenhague</t>
        </is>
      </c>
      <c r="E648" t="inlineStr">
        <is>
          <t>dk</t>
        </is>
      </c>
      <c r="F648" s="5" t="inlineStr"/>
      <c r="G648" t="inlineStr">
        <is>
          <t>NOT AVAILABLE</t>
        </is>
      </c>
      <c r="H648" t="inlineStr">
        <is>
          <t>NOT AVAILABLE</t>
        </is>
      </c>
      <c r="I648" t="inlineStr">
        <is>
          <t>Definition / how it works</t>
        </is>
      </c>
      <c r="J648" t="inlineStr">
        <is>
          <t>UNAVAILABLE</t>
        </is>
      </c>
      <c r="K648">
        <f>ROUND(IF(ISNUMBER(G648),MIN(50,ROUND(50*LOG10(G648+1)/4,1)),5)+IF(ISNUMBER(H648),ROUND(30*(100-H648)/100,1),15)+IF(B648="New",20,10),0)</f>
        <v/>
      </c>
      <c r="L648" t="inlineStr">
        <is>
          <t>KEEP</t>
        </is>
      </c>
      <c r="M648" s="5" t="inlineStr">
        <is>
          <t>Relevant to page intent</t>
        </is>
      </c>
      <c r="N648" s="5" t="inlineStr">
        <is>
          <t>Notre modèle de révisions illimitées signifie exactement cela : nous affinons jusqu'à ce que vous soyez satisfait. Il n'y a pas de limite au nombre de modifications demandées, chaque révision étant gé</t>
        </is>
      </c>
      <c r="O648" t="inlineStr">
        <is>
          <t>P3</t>
        </is>
      </c>
      <c r="P648" t="inlineStr">
        <is>
          <t>FAQPage JSON-LD</t>
        </is>
      </c>
    </row>
    <row r="649">
      <c r="A649" s="3" t="inlineStr">
        <is>
          <t>https://codesommet.com/web-development-company/copenhagen</t>
        </is>
      </c>
      <c r="B649" t="inlineStr">
        <is>
          <t>Existing</t>
        </is>
      </c>
      <c r="C649" s="5" t="inlineStr">
        <is>
          <t>Fournissez-vous un support continu après le lancement à Copenhague ?</t>
        </is>
      </c>
      <c r="D649" t="inlineStr">
        <is>
          <t>développement web copenhague</t>
        </is>
      </c>
      <c r="E649" t="inlineStr">
        <is>
          <t>dk</t>
        </is>
      </c>
      <c r="F649" s="5" t="inlineStr"/>
      <c r="G649" t="inlineStr">
        <is>
          <t>NOT AVAILABLE</t>
        </is>
      </c>
      <c r="H649" t="inlineStr">
        <is>
          <t>NOT AVAILABLE</t>
        </is>
      </c>
      <c r="I649" t="inlineStr">
        <is>
          <t>Support</t>
        </is>
      </c>
      <c r="J649" t="inlineStr">
        <is>
          <t>UNAVAILABLE</t>
        </is>
      </c>
      <c r="K649">
        <f>ROUND(IF(ISNUMBER(G649),MIN(50,ROUND(50*LOG10(G649+1)/4,1)),5)+IF(ISNUMBER(H649),ROUND(30*(100-H649)/100,1),15)+IF(B649="New",20,10),0)</f>
        <v/>
      </c>
      <c r="L649" t="inlineStr">
        <is>
          <t>KEEP</t>
        </is>
      </c>
      <c r="M649" s="5" t="inlineStr">
        <is>
          <t>Templated across 7 pages - acceptable for now; localise only if the page is kept (see F-02 / sheet 09)</t>
        </is>
      </c>
      <c r="N649" s="5" t="inlineStr">
        <is>
          <t>Oui. Nous proposons un support continu complet : hébergement, maintenance, mises à jour de sécurité, surveillance des performances et mises à jour de contenu. Nos forfaits incluent une collaboration e</t>
        </is>
      </c>
      <c r="O649" t="inlineStr">
        <is>
          <t>P3</t>
        </is>
      </c>
      <c r="P649" t="inlineStr">
        <is>
          <t>FAQPage JSON-LD</t>
        </is>
      </c>
    </row>
    <row r="650">
      <c r="A650" s="3" t="inlineStr">
        <is>
          <t>https://codesommet.com/web-development-company/denver</t>
        </is>
      </c>
      <c r="B650" t="inlineStr">
        <is>
          <t>Existing</t>
        </is>
      </c>
      <c r="C650" s="5" t="inlineStr">
        <is>
          <t>Pourquoi choisir CodeSommet plutôt que les nombreuses agences de développement web de Denver ?</t>
        </is>
      </c>
      <c r="D650" t="inlineStr">
        <is>
          <t>développement web denver</t>
        </is>
      </c>
      <c r="E650" t="inlineStr">
        <is>
          <t>us</t>
        </is>
      </c>
      <c r="F650" s="5" t="inlineStr"/>
      <c r="G650" t="inlineStr">
        <is>
          <t>NOT AVAILABLE</t>
        </is>
      </c>
      <c r="H650" t="inlineStr">
        <is>
          <t>NOT AVAILABLE</t>
        </is>
      </c>
      <c r="I650" t="inlineStr">
        <is>
          <t>Differentiation</t>
        </is>
      </c>
      <c r="J650" t="inlineStr">
        <is>
          <t>UNAVAILABLE</t>
        </is>
      </c>
      <c r="K650">
        <f>ROUND(IF(ISNUMBER(G650),MIN(50,ROUND(50*LOG10(G650+1)/4,1)),5)+IF(ISNUMBER(H650),ROUND(30*(100-H650)/100,1),15)+IF(B650="New",20,10),0)</f>
        <v/>
      </c>
      <c r="L650" t="inlineStr">
        <is>
          <t>KEEP</t>
        </is>
      </c>
      <c r="M650" s="5" t="inlineStr">
        <is>
          <t>Templated across 10 pages - acceptable for now; localise only if the page is kept (see F-02 / sheet 09)</t>
        </is>
      </c>
      <c r="N650" s="5" t="inlineStr">
        <is>
          <t>Parce que nous combinons un design soigné, des technologies modernes et une livraison rapide : la plupart des sites vitrines sont en ligne en 2 à 5 jours après validation du périmètre (et en 2 jours s</t>
        </is>
      </c>
      <c r="O650" t="inlineStr">
        <is>
          <t>P3</t>
        </is>
      </c>
      <c r="P650" t="inlineStr">
        <is>
          <t>FAQPage JSON-LD</t>
        </is>
      </c>
    </row>
    <row r="651">
      <c r="A651" s="3" t="inlineStr">
        <is>
          <t>https://codesommet.com/web-development-company/denver</t>
        </is>
      </c>
      <c r="B651" t="inlineStr">
        <is>
          <t>Existing</t>
        </is>
      </c>
      <c r="C651" s="5" t="inlineStr">
        <is>
          <t>Travaillez-vous avec les startups de Denver et les entreprises en phase de démarrage ?</t>
        </is>
      </c>
      <c r="D651" t="inlineStr">
        <is>
          <t>développement web denver</t>
        </is>
      </c>
      <c r="E651" t="inlineStr">
        <is>
          <t>us</t>
        </is>
      </c>
      <c r="F651" s="5" t="inlineStr"/>
      <c r="G651" t="inlineStr">
        <is>
          <t>NOT AVAILABLE</t>
        </is>
      </c>
      <c r="H651" t="inlineStr">
        <is>
          <t>NOT AVAILABLE</t>
        </is>
      </c>
      <c r="I651" t="inlineStr">
        <is>
          <t>Service scope</t>
        </is>
      </c>
      <c r="J651" t="inlineStr">
        <is>
          <t>UNAVAILABLE</t>
        </is>
      </c>
      <c r="K651">
        <f>ROUND(IF(ISNUMBER(G651),MIN(50,ROUND(50*LOG10(G651+1)/4,1)),5)+IF(ISNUMBER(H651),ROUND(30*(100-H651)/100,1),15)+IF(B651="New",20,10),0)</f>
        <v/>
      </c>
      <c r="L651" t="inlineStr">
        <is>
          <t>KEEP</t>
        </is>
      </c>
      <c r="M651" s="5" t="inlineStr">
        <is>
          <t>Templated across 6 pages - acceptable for now; localise only if the page is kept (see F-02 / sheet 09)</t>
        </is>
      </c>
      <c r="N651" s="5" t="inlineStr">
        <is>
          <t>Absolument. Nous travaillons avec des entreprises de toutes tailles, des startups en démarrage aux structures établies. Notre tarification flexible et nos forfaits mensuels sont pensés pour évoluer av</t>
        </is>
      </c>
      <c r="O651" t="inlineStr">
        <is>
          <t>P3</t>
        </is>
      </c>
      <c r="P651" t="inlineStr">
        <is>
          <t>FAQPage JSON-LD</t>
        </is>
      </c>
    </row>
    <row r="652">
      <c r="A652" s="3" t="inlineStr">
        <is>
          <t>https://codesommet.com/web-development-company/denver</t>
        </is>
      </c>
      <c r="B652" t="inlineStr">
        <is>
          <t>Existing</t>
        </is>
      </c>
      <c r="C652" s="5" t="inlineStr">
        <is>
          <t>Quelles technologies utilisez-vous pour les projets à Denver ?</t>
        </is>
      </c>
      <c r="D652" t="inlineStr">
        <is>
          <t>développement web denver</t>
        </is>
      </c>
      <c r="E652" t="inlineStr">
        <is>
          <t>us</t>
        </is>
      </c>
      <c r="F652" s="5" t="inlineStr"/>
      <c r="G652" t="inlineStr">
        <is>
          <t>NOT AVAILABLE</t>
        </is>
      </c>
      <c r="H652" t="inlineStr">
        <is>
          <t>NOT AVAILABLE</t>
        </is>
      </c>
      <c r="I652" t="inlineStr">
        <is>
          <t>Service scope</t>
        </is>
      </c>
      <c r="J652" t="inlineStr">
        <is>
          <t>UNAVAILABLE</t>
        </is>
      </c>
      <c r="K652">
        <f>ROUND(IF(ISNUMBER(G652),MIN(50,ROUND(50*LOG10(G652+1)/4,1)),5)+IF(ISNUMBER(H652),ROUND(30*(100-H652)/100,1),15)+IF(B652="New",20,10),0)</f>
        <v/>
      </c>
      <c r="L652" t="inlineStr">
        <is>
          <t>KEEP</t>
        </is>
      </c>
      <c r="M652" s="5" t="inlineStr">
        <is>
          <t>Templated across 9 pages - acceptable for now; localise only if the page is kept (see F-02 / sheet 09)</t>
        </is>
      </c>
      <c r="N652" s="5" t="inlineStr">
        <is>
          <t>Nous utilisons des technologies modernes comme Next.js, React, TypeScript, Node.js et Laravel pour le développement web. Côté IA, nous intégrons des chatbots sur mesure et des automatisations intellig</t>
        </is>
      </c>
      <c r="O652" t="inlineStr">
        <is>
          <t>P3</t>
        </is>
      </c>
      <c r="P652" t="inlineStr">
        <is>
          <t>FAQPage JSON-LD</t>
        </is>
      </c>
    </row>
    <row r="653">
      <c r="A653" s="3" t="inlineStr">
        <is>
          <t>https://codesommet.com/web-development-company/denver</t>
        </is>
      </c>
      <c r="B653" t="inlineStr">
        <is>
          <t>Existing</t>
        </is>
      </c>
      <c r="C653" s="5" t="inlineStr">
        <is>
          <t>Pouvez-vous intégrer les systèmes existants utilisés par les entreprises de Denver ?</t>
        </is>
      </c>
      <c r="D653" t="inlineStr">
        <is>
          <t>développement web denver</t>
        </is>
      </c>
      <c r="E653" t="inlineStr">
        <is>
          <t>us</t>
        </is>
      </c>
      <c r="F653" s="5" t="inlineStr"/>
      <c r="G653" t="inlineStr">
        <is>
          <t>NOT AVAILABLE</t>
        </is>
      </c>
      <c r="H653" t="inlineStr">
        <is>
          <t>NOT AVAILABLE</t>
        </is>
      </c>
      <c r="I653" t="inlineStr">
        <is>
          <t>Service scope</t>
        </is>
      </c>
      <c r="J653" t="inlineStr">
        <is>
          <t>UNAVAILABLE</t>
        </is>
      </c>
      <c r="K653">
        <f>ROUND(IF(ISNUMBER(G653),MIN(50,ROUND(50*LOG10(G653+1)/4,1)),5)+IF(ISNUMBER(H653),ROUND(30*(100-H653)/100,1),15)+IF(B653="New",20,10),0)</f>
        <v/>
      </c>
      <c r="L653" t="inlineStr">
        <is>
          <t>KEEP</t>
        </is>
      </c>
      <c r="M653" s="5" t="inlineStr">
        <is>
          <t>Templated across 6 pages - acceptable for now; localise only if the page is kept (see F-02 / sheet 09)</t>
        </is>
      </c>
      <c r="N653" s="5" t="inlineStr">
        <is>
          <t>Oui. Nous intégrons vos systèmes existants : CRM, ERP, passerelles de paiement, systèmes de réservation et API tierces. Que vous utilisiez Salesforce, HubSpot, Stripe ou des outils internes, nous assu</t>
        </is>
      </c>
      <c r="O653" t="inlineStr">
        <is>
          <t>P3</t>
        </is>
      </c>
      <c r="P653" t="inlineStr">
        <is>
          <t>FAQPage JSON-LD</t>
        </is>
      </c>
    </row>
    <row r="654">
      <c r="A654" s="3" t="inlineStr">
        <is>
          <t>https://codesommet.com/web-development-company/denver</t>
        </is>
      </c>
      <c r="B654" t="inlineStr">
        <is>
          <t>Existing</t>
        </is>
      </c>
      <c r="C654" s="5" t="inlineStr">
        <is>
          <t>Comment fonctionne votre modèle de révisions illimitées à Denver ?</t>
        </is>
      </c>
      <c r="D654" t="inlineStr">
        <is>
          <t>développement web denver</t>
        </is>
      </c>
      <c r="E654" t="inlineStr">
        <is>
          <t>us</t>
        </is>
      </c>
      <c r="F654" s="5" t="inlineStr"/>
      <c r="G654" t="inlineStr">
        <is>
          <t>NOT AVAILABLE</t>
        </is>
      </c>
      <c r="H654" t="inlineStr">
        <is>
          <t>NOT AVAILABLE</t>
        </is>
      </c>
      <c r="I654" t="inlineStr">
        <is>
          <t>Definition / how it works</t>
        </is>
      </c>
      <c r="J654" t="inlineStr">
        <is>
          <t>UNAVAILABLE</t>
        </is>
      </c>
      <c r="K654">
        <f>ROUND(IF(ISNUMBER(G654),MIN(50,ROUND(50*LOG10(G654+1)/4,1)),5)+IF(ISNUMBER(H654),ROUND(30*(100-H654)/100,1),15)+IF(B654="New",20,10),0)</f>
        <v/>
      </c>
      <c r="L654" t="inlineStr">
        <is>
          <t>KEEP</t>
        </is>
      </c>
      <c r="M654" s="5" t="inlineStr">
        <is>
          <t>Relevant to page intent</t>
        </is>
      </c>
      <c r="N654" s="5" t="inlineStr">
        <is>
          <t>Notre modèle de révisions illimitées signifie exactement cela : nous affinons jusqu'à ce que vous soyez satisfait. Il n'y a pas de limite au nombre de modifications demandées, chaque révision étant gé</t>
        </is>
      </c>
      <c r="O654" t="inlineStr">
        <is>
          <t>P3</t>
        </is>
      </c>
      <c r="P654" t="inlineStr">
        <is>
          <t>FAQPage JSON-LD</t>
        </is>
      </c>
    </row>
    <row r="655">
      <c r="A655" s="3" t="inlineStr">
        <is>
          <t>https://codesommet.com/web-development-company/denver</t>
        </is>
      </c>
      <c r="B655" t="inlineStr">
        <is>
          <t>Existing</t>
        </is>
      </c>
      <c r="C655" s="5" t="inlineStr">
        <is>
          <t>Fournissez-vous un support continu après le lancement à Denver ?</t>
        </is>
      </c>
      <c r="D655" t="inlineStr">
        <is>
          <t>développement web denver</t>
        </is>
      </c>
      <c r="E655" t="inlineStr">
        <is>
          <t>us</t>
        </is>
      </c>
      <c r="F655" s="5" t="inlineStr"/>
      <c r="G655" t="inlineStr">
        <is>
          <t>NOT AVAILABLE</t>
        </is>
      </c>
      <c r="H655" t="inlineStr">
        <is>
          <t>NOT AVAILABLE</t>
        </is>
      </c>
      <c r="I655" t="inlineStr">
        <is>
          <t>Support</t>
        </is>
      </c>
      <c r="J655" t="inlineStr">
        <is>
          <t>UNAVAILABLE</t>
        </is>
      </c>
      <c r="K655">
        <f>ROUND(IF(ISNUMBER(G655),MIN(50,ROUND(50*LOG10(G655+1)/4,1)),5)+IF(ISNUMBER(H655),ROUND(30*(100-H655)/100,1),15)+IF(B655="New",20,10),0)</f>
        <v/>
      </c>
      <c r="L655" t="inlineStr">
        <is>
          <t>KEEP</t>
        </is>
      </c>
      <c r="M655" s="5" t="inlineStr">
        <is>
          <t>Templated across 7 pages - acceptable for now; localise only if the page is kept (see F-02 / sheet 09)</t>
        </is>
      </c>
      <c r="N655" s="5" t="inlineStr">
        <is>
          <t>Oui. Nous proposons un support continu complet : hébergement, maintenance, mises à jour de sécurité, surveillance des performances et mises à jour de contenu. Nos forfaits incluent une collaboration e</t>
        </is>
      </c>
      <c r="O655" t="inlineStr">
        <is>
          <t>P3</t>
        </is>
      </c>
      <c r="P655" t="inlineStr">
        <is>
          <t>FAQPage JSON-LD</t>
        </is>
      </c>
    </row>
    <row r="656">
      <c r="A656" s="3" t="inlineStr">
        <is>
          <t>https://codesommet.com/web-development-company/dubai</t>
        </is>
      </c>
      <c r="B656" t="inlineStr">
        <is>
          <t>Existing</t>
        </is>
      </c>
      <c r="C656" s="5" t="inlineStr">
        <is>
          <t>Avez-vous un bureau physique à Dubai ?</t>
        </is>
      </c>
      <c r="D656" t="inlineStr">
        <is>
          <t>développement web dubai</t>
        </is>
      </c>
      <c r="E656" t="inlineStr">
        <is>
          <t>ae</t>
        </is>
      </c>
      <c r="F656" s="5" t="inlineStr"/>
      <c r="G656" t="inlineStr">
        <is>
          <t>NOT AVAILABLE</t>
        </is>
      </c>
      <c r="H656" t="inlineStr">
        <is>
          <t>NOT AVAILABLE</t>
        </is>
      </c>
      <c r="I656" t="inlineStr">
        <is>
          <t>Location / logistics</t>
        </is>
      </c>
      <c r="J656" t="inlineStr">
        <is>
          <t>UNAVAILABLE</t>
        </is>
      </c>
      <c r="K656">
        <f>ROUND(IF(ISNUMBER(G656),MIN(50,ROUND(50*LOG10(G656+1)/4,1)),5)+IF(ISNUMBER(H656),ROUND(30*(100-H656)/100,1),15)+IF(B656="New",20,10),0)</f>
        <v/>
      </c>
      <c r="L656" t="inlineStr">
        <is>
          <t>KEEP</t>
        </is>
      </c>
      <c r="M656" s="5" t="inlineStr">
        <is>
          <t>Relevant to page intent</t>
        </is>
      </c>
      <c r="N656" s="5" t="inlineStr">
        <is>
          <t>Nous n'avons pas de bureau à Dubaï : notre équipe travaille à distance depuis le Maroc et collabore avec ses clients entièrement en ligne (appels vidéo, Slack, suivi de projet en temps réel). Cela nou</t>
        </is>
      </c>
      <c r="O656" t="inlineStr">
        <is>
          <t>P3</t>
        </is>
      </c>
      <c r="P656" t="inlineStr">
        <is>
          <t>FAQPage JSON-LD</t>
        </is>
      </c>
    </row>
    <row r="657">
      <c r="A657" s="3" t="inlineStr">
        <is>
          <t>https://codesommet.com/web-development-company/dubai</t>
        </is>
      </c>
      <c r="B657" t="inlineStr">
        <is>
          <t>Existing</t>
        </is>
      </c>
      <c r="C657" s="5" t="inlineStr">
        <is>
          <t>Pouvez-vous travailler avec les entreprises de Dubai à distance ?</t>
        </is>
      </c>
      <c r="D657" t="inlineStr">
        <is>
          <t>développement web dubai</t>
        </is>
      </c>
      <c r="E657" t="inlineStr">
        <is>
          <t>ae</t>
        </is>
      </c>
      <c r="F657" s="5" t="inlineStr"/>
      <c r="G657" t="inlineStr">
        <is>
          <t>NOT AVAILABLE</t>
        </is>
      </c>
      <c r="H657" t="inlineStr">
        <is>
          <t>NOT AVAILABLE</t>
        </is>
      </c>
      <c r="I657" t="inlineStr">
        <is>
          <t>Location / logistics</t>
        </is>
      </c>
      <c r="J657" t="inlineStr">
        <is>
          <t>UNAVAILABLE</t>
        </is>
      </c>
      <c r="K657">
        <f>ROUND(IF(ISNUMBER(G657),MIN(50,ROUND(50*LOG10(G657+1)/4,1)),5)+IF(ISNUMBER(H657),ROUND(30*(100-H657)/100,1),15)+IF(B657="New",20,10),0)</f>
        <v/>
      </c>
      <c r="L657" t="inlineStr">
        <is>
          <t>KEEP</t>
        </is>
      </c>
      <c r="M657" s="5" t="inlineStr">
        <is>
          <t>Relevant to page intent</t>
        </is>
      </c>
      <c r="N657" s="5" t="inlineStr">
        <is>
          <t>Oui, tout se passe en ligne : appels vidéo pour le cadrage et les validations, collaboration sur Slack au quotidien et suivi de projet en temps réel. Nous adaptons nos créneaux au fuseau horaire de Du</t>
        </is>
      </c>
      <c r="O657" t="inlineStr">
        <is>
          <t>P3</t>
        </is>
      </c>
      <c r="P657" t="inlineStr">
        <is>
          <t>FAQPage JSON-LD</t>
        </is>
      </c>
    </row>
    <row r="658">
      <c r="A658" s="3" t="inlineStr">
        <is>
          <t>https://codesommet.com/web-development-company/dubai</t>
        </is>
      </c>
      <c r="B658" t="inlineStr">
        <is>
          <t>Existing</t>
        </is>
      </c>
      <c r="C658" s="5" t="inlineStr">
        <is>
          <t>Quels modes de paiement acceptez-vous à Dubai ?</t>
        </is>
      </c>
      <c r="D658" t="inlineStr">
        <is>
          <t>développement web dubai</t>
        </is>
      </c>
      <c r="E658" t="inlineStr">
        <is>
          <t>ae</t>
        </is>
      </c>
      <c r="F658" s="5" t="inlineStr"/>
      <c r="G658" t="inlineStr">
        <is>
          <t>NOT AVAILABLE</t>
        </is>
      </c>
      <c r="H658" t="inlineStr">
        <is>
          <t>NOT AVAILABLE</t>
        </is>
      </c>
      <c r="I658" t="inlineStr">
        <is>
          <t>Payment</t>
        </is>
      </c>
      <c r="J658" t="inlineStr">
        <is>
          <t>UNAVAILABLE</t>
        </is>
      </c>
      <c r="K658">
        <f>ROUND(IF(ISNUMBER(G658),MIN(50,ROUND(50*LOG10(G658+1)/4,1)),5)+IF(ISNUMBER(H658),ROUND(30*(100-H658)/100,1),15)+IF(B658="New",20,10),0)</f>
        <v/>
      </c>
      <c r="L658" t="inlineStr">
        <is>
          <t>KEEP</t>
        </is>
      </c>
      <c r="M658" s="5" t="inlineStr">
        <is>
          <t>Relevant to page intent</t>
        </is>
      </c>
      <c r="N658" s="5" t="inlineStr">
        <is>
          <t xml:space="preserve">Nous acceptons les principaux moyens de paiement : virement bancaire, carte et PayPal selon votre pays. Le paiement est généralement échelonné par jalons, avec un acompte au démarrage puis le solde à </t>
        </is>
      </c>
      <c r="O658" t="inlineStr">
        <is>
          <t>P3</t>
        </is>
      </c>
      <c r="P658" t="inlineStr">
        <is>
          <t>FAQPage JSON-LD</t>
        </is>
      </c>
    </row>
    <row r="659">
      <c r="A659" s="3" t="inlineStr">
        <is>
          <t>https://codesommet.com/web-development-company/dubai</t>
        </is>
      </c>
      <c r="B659" t="inlineStr">
        <is>
          <t>Existing</t>
        </is>
      </c>
      <c r="C659" s="5" t="inlineStr">
        <is>
          <t>Comprenez-vous les lois de conformité et de protection des données des UAE ?</t>
        </is>
      </c>
      <c r="D659" t="inlineStr">
        <is>
          <t>développement web dubai</t>
        </is>
      </c>
      <c r="E659" t="inlineStr">
        <is>
          <t>ae</t>
        </is>
      </c>
      <c r="F659" s="5" t="inlineStr"/>
      <c r="G659" t="inlineStr">
        <is>
          <t>NOT AVAILABLE</t>
        </is>
      </c>
      <c r="H659" t="inlineStr">
        <is>
          <t>NOT AVAILABLE</t>
        </is>
      </c>
      <c r="I659" t="inlineStr">
        <is>
          <t>Compliance / security</t>
        </is>
      </c>
      <c r="J659" t="inlineStr">
        <is>
          <t>UNAVAILABLE</t>
        </is>
      </c>
      <c r="K659">
        <f>ROUND(IF(ISNUMBER(G659),MIN(50,ROUND(50*LOG10(G659+1)/4,1)),5)+IF(ISNUMBER(H659),ROUND(30*(100-H659)/100,1),15)+IF(B659="New",20,10),0)</f>
        <v/>
      </c>
      <c r="L659" t="inlineStr">
        <is>
          <t>KEEP</t>
        </is>
      </c>
      <c r="M659" s="5" t="inlineStr">
        <is>
          <t>Relevant to page intent</t>
        </is>
      </c>
      <c r="N659" s="5" t="inlineStr">
        <is>
          <t>Nous concevons des sites conformes aux bonnes pratiques de protection des données : consentement aux cookies, politique de confidentialité, sécurisation des formulaires et des données. Pour les exigen</t>
        </is>
      </c>
      <c r="O659" t="inlineStr">
        <is>
          <t>P3</t>
        </is>
      </c>
      <c r="P659" t="inlineStr">
        <is>
          <t>FAQPage JSON-LD</t>
        </is>
      </c>
    </row>
    <row r="660">
      <c r="A660" s="3" t="inlineStr">
        <is>
          <t>https://codesommet.com/web-development-company/dubai</t>
        </is>
      </c>
      <c r="B660" t="inlineStr">
        <is>
          <t>Existing</t>
        </is>
      </c>
      <c r="C660" s="5" t="inlineStr">
        <is>
          <t>À quelle vitesse pouvez-vous lancer un site web pour mon entreprise à Dubai ?</t>
        </is>
      </c>
      <c r="D660" t="inlineStr">
        <is>
          <t>développement web dubai</t>
        </is>
      </c>
      <c r="E660" t="inlineStr">
        <is>
          <t>ae</t>
        </is>
      </c>
      <c r="F660" s="5" t="inlineStr"/>
      <c r="G660" t="inlineStr">
        <is>
          <t>NOT AVAILABLE</t>
        </is>
      </c>
      <c r="H660" t="inlineStr">
        <is>
          <t>NOT AVAILABLE</t>
        </is>
      </c>
      <c r="I660" t="inlineStr">
        <is>
          <t>Timeline</t>
        </is>
      </c>
      <c r="J660" t="inlineStr">
        <is>
          <t>UNAVAILABLE</t>
        </is>
      </c>
      <c r="K660">
        <f>ROUND(IF(ISNUMBER(G660),MIN(50,ROUND(50*LOG10(G660+1)/4,1)),5)+IF(ISNUMBER(H660),ROUND(30*(100-H660)/100,1),15)+IF(B660="New",20,10),0)</f>
        <v/>
      </c>
      <c r="L660" t="inlineStr">
        <is>
          <t>KEEP</t>
        </is>
      </c>
      <c r="M660" s="5" t="inlineStr">
        <is>
          <t>Relevant to page intent</t>
        </is>
      </c>
      <c r="N660" s="5" t="inlineStr">
        <is>
          <t>La plupart des sites vitrines sont livrés en 2 à 5 jours après validation du périmètre. Pour les projets urgents, notre formule express permet une mise en ligne en 2 jours seulement. Les plateformes p</t>
        </is>
      </c>
      <c r="O660" t="inlineStr">
        <is>
          <t>P3</t>
        </is>
      </c>
      <c r="P660" t="inlineStr">
        <is>
          <t>FAQPage JSON-LD</t>
        </is>
      </c>
    </row>
    <row r="661">
      <c r="A661" s="3" t="inlineStr">
        <is>
          <t>https://codesommet.com/web-development-company/dubai</t>
        </is>
      </c>
      <c r="B661" t="inlineStr">
        <is>
          <t>Existing</t>
        </is>
      </c>
      <c r="C661" s="5" t="inlineStr">
        <is>
          <t>Pouvez-vous aider avec l'enregistrement de domaine .ae ?</t>
        </is>
      </c>
      <c r="D661" t="inlineStr">
        <is>
          <t>développement web dubai</t>
        </is>
      </c>
      <c r="E661" t="inlineStr">
        <is>
          <t>ae</t>
        </is>
      </c>
      <c r="F661" s="5" t="inlineStr"/>
      <c r="G661" t="inlineStr">
        <is>
          <t>NOT AVAILABLE</t>
        </is>
      </c>
      <c r="H661" t="inlineStr">
        <is>
          <t>NOT AVAILABLE</t>
        </is>
      </c>
      <c r="I661" t="inlineStr">
        <is>
          <t>Service scope</t>
        </is>
      </c>
      <c r="J661" t="inlineStr">
        <is>
          <t>UNAVAILABLE</t>
        </is>
      </c>
      <c r="K661">
        <f>ROUND(IF(ISNUMBER(G661),MIN(50,ROUND(50*LOG10(G661+1)/4,1)),5)+IF(ISNUMBER(H661),ROUND(30*(100-H661)/100,1),15)+IF(B661="New",20,10),0)</f>
        <v/>
      </c>
      <c r="L661" t="inlineStr">
        <is>
          <t>KEEP</t>
        </is>
      </c>
      <c r="M661" s="5" t="inlineStr">
        <is>
          <t>Templated across 12 pages - acceptable for now; localise only if the page is kept (see F-02 / sheet 09)</t>
        </is>
      </c>
      <c r="N661" s="5" t="inlineStr">
        <is>
          <t>Oui. Nous vous conseillons sur le choix du nom de domaine (.ae ou .com selon votre cible), nous vous guidons pour l'enregistrement auprès d'un registrar et nous configurons le DNS, le certificat SSL e</t>
        </is>
      </c>
      <c r="O661" t="inlineStr">
        <is>
          <t>P3</t>
        </is>
      </c>
      <c r="P661" t="inlineStr">
        <is>
          <t>FAQPage JSON-LD</t>
        </is>
      </c>
    </row>
    <row r="662">
      <c r="A662" s="3" t="inlineStr">
        <is>
          <t>https://codesommet.com/web-development-company/dublin</t>
        </is>
      </c>
      <c r="B662" t="inlineStr">
        <is>
          <t>Existing</t>
        </is>
      </c>
      <c r="C662" s="5" t="inlineStr">
        <is>
          <t>Pourquoi choisir CodeSommet plutôt que les nombreuses agences de développement web de Dublin ?</t>
        </is>
      </c>
      <c r="D662" t="inlineStr">
        <is>
          <t>développement web dublin</t>
        </is>
      </c>
      <c r="E662" t="inlineStr">
        <is>
          <t>ie</t>
        </is>
      </c>
      <c r="F662" s="5" t="inlineStr"/>
      <c r="G662" t="inlineStr">
        <is>
          <t>NOT AVAILABLE</t>
        </is>
      </c>
      <c r="H662" t="inlineStr">
        <is>
          <t>NOT AVAILABLE</t>
        </is>
      </c>
      <c r="I662" t="inlineStr">
        <is>
          <t>Differentiation</t>
        </is>
      </c>
      <c r="J662" t="inlineStr">
        <is>
          <t>UNAVAILABLE</t>
        </is>
      </c>
      <c r="K662">
        <f>ROUND(IF(ISNUMBER(G662),MIN(50,ROUND(50*LOG10(G662+1)/4,1)),5)+IF(ISNUMBER(H662),ROUND(30*(100-H662)/100,1),15)+IF(B662="New",20,10),0)</f>
        <v/>
      </c>
      <c r="L662" t="inlineStr">
        <is>
          <t>KEEP</t>
        </is>
      </c>
      <c r="M662" s="5" t="inlineStr">
        <is>
          <t>Templated across 10 pages - acceptable for now; localise only if the page is kept (see F-02 / sheet 09)</t>
        </is>
      </c>
      <c r="N662" s="5" t="inlineStr">
        <is>
          <t>Parce que nous combinons un design soigné, des technologies modernes et une livraison rapide : la plupart des sites vitrines sont en ligne en 2 à 5 jours après validation du périmètre (et en 2 jours s</t>
        </is>
      </c>
      <c r="O662" t="inlineStr">
        <is>
          <t>P3</t>
        </is>
      </c>
      <c r="P662" t="inlineStr">
        <is>
          <t>FAQPage JSON-LD</t>
        </is>
      </c>
    </row>
    <row r="663">
      <c r="A663" s="3" t="inlineStr">
        <is>
          <t>https://codesommet.com/web-development-company/dublin</t>
        </is>
      </c>
      <c r="B663" t="inlineStr">
        <is>
          <t>Existing</t>
        </is>
      </c>
      <c r="C663" s="5" t="inlineStr">
        <is>
          <t>Travaillez-vous avec les startups et les entreprises en phase de démarrage de Dublin ?</t>
        </is>
      </c>
      <c r="D663" t="inlineStr">
        <is>
          <t>développement web dublin</t>
        </is>
      </c>
      <c r="E663" t="inlineStr">
        <is>
          <t>ie</t>
        </is>
      </c>
      <c r="F663" s="5" t="inlineStr"/>
      <c r="G663" t="inlineStr">
        <is>
          <t>NOT AVAILABLE</t>
        </is>
      </c>
      <c r="H663" t="inlineStr">
        <is>
          <t>NOT AVAILABLE</t>
        </is>
      </c>
      <c r="I663" t="inlineStr">
        <is>
          <t>Service scope</t>
        </is>
      </c>
      <c r="J663" t="inlineStr">
        <is>
          <t>UNAVAILABLE</t>
        </is>
      </c>
      <c r="K663">
        <f>ROUND(IF(ISNUMBER(G663),MIN(50,ROUND(50*LOG10(G663+1)/4,1)),5)+IF(ISNUMBER(H663),ROUND(30*(100-H663)/100,1),15)+IF(B663="New",20,10),0)</f>
        <v/>
      </c>
      <c r="L663" t="inlineStr">
        <is>
          <t>KEEP</t>
        </is>
      </c>
      <c r="M663" s="5" t="inlineStr">
        <is>
          <t>Templated across 5 pages - acceptable for now; localise only if the page is kept (see F-02 / sheet 09)</t>
        </is>
      </c>
      <c r="N663" s="5" t="inlineStr">
        <is>
          <t>Absolument. Nous travaillons avec des entreprises de toutes tailles, des startups en démarrage aux structures établies. Notre tarification flexible et nos forfaits mensuels sont pensés pour évoluer av</t>
        </is>
      </c>
      <c r="O663" t="inlineStr">
        <is>
          <t>P3</t>
        </is>
      </c>
      <c r="P663" t="inlineStr">
        <is>
          <t>FAQPage JSON-LD</t>
        </is>
      </c>
    </row>
    <row r="664">
      <c r="A664" s="3" t="inlineStr">
        <is>
          <t>https://codesommet.com/web-development-company/dublin</t>
        </is>
      </c>
      <c r="B664" t="inlineStr">
        <is>
          <t>Existing</t>
        </is>
      </c>
      <c r="C664" s="5" t="inlineStr">
        <is>
          <t>Quelles technologies utilisez-vous pour les projets de Dublin ?</t>
        </is>
      </c>
      <c r="D664" t="inlineStr">
        <is>
          <t>développement web dublin</t>
        </is>
      </c>
      <c r="E664" t="inlineStr">
        <is>
          <t>ie</t>
        </is>
      </c>
      <c r="F664" s="5" t="inlineStr"/>
      <c r="G664" t="inlineStr">
        <is>
          <t>NOT AVAILABLE</t>
        </is>
      </c>
      <c r="H664" t="inlineStr">
        <is>
          <t>NOT AVAILABLE</t>
        </is>
      </c>
      <c r="I664" t="inlineStr">
        <is>
          <t>Service scope</t>
        </is>
      </c>
      <c r="J664" t="inlineStr">
        <is>
          <t>UNAVAILABLE</t>
        </is>
      </c>
      <c r="K664">
        <f>ROUND(IF(ISNUMBER(G664),MIN(50,ROUND(50*LOG10(G664+1)/4,1)),5)+IF(ISNUMBER(H664),ROUND(30*(100-H664)/100,1),15)+IF(B664="New",20,10),0)</f>
        <v/>
      </c>
      <c r="L664" t="inlineStr">
        <is>
          <t>KEEP</t>
        </is>
      </c>
      <c r="M664" s="5" t="inlineStr">
        <is>
          <t>Templated across 5 pages - acceptable for now; localise only if the page is kept (see F-02 / sheet 09)</t>
        </is>
      </c>
      <c r="N664" s="5" t="inlineStr">
        <is>
          <t>Nous utilisons des technologies modernes comme Next.js, React, TypeScript, Node.js et Laravel pour le développement web. Côté IA, nous intégrons des chatbots sur mesure et des automatisations intellig</t>
        </is>
      </c>
      <c r="O664" t="inlineStr">
        <is>
          <t>P3</t>
        </is>
      </c>
      <c r="P664" t="inlineStr">
        <is>
          <t>FAQPage JSON-LD</t>
        </is>
      </c>
    </row>
    <row r="665">
      <c r="A665" s="3" t="inlineStr">
        <is>
          <t>https://codesommet.com/web-development-company/dublin</t>
        </is>
      </c>
      <c r="B665" t="inlineStr">
        <is>
          <t>Existing</t>
        </is>
      </c>
      <c r="C665" s="5" t="inlineStr">
        <is>
          <t>Pouvez-vous vous intégrer aux systèmes existants utilisés par les entreprises de Dublin ?</t>
        </is>
      </c>
      <c r="D665" t="inlineStr">
        <is>
          <t>développement web dublin</t>
        </is>
      </c>
      <c r="E665" t="inlineStr">
        <is>
          <t>ie</t>
        </is>
      </c>
      <c r="F665" s="5" t="inlineStr"/>
      <c r="G665" t="inlineStr">
        <is>
          <t>NOT AVAILABLE</t>
        </is>
      </c>
      <c r="H665" t="inlineStr">
        <is>
          <t>NOT AVAILABLE</t>
        </is>
      </c>
      <c r="I665" t="inlineStr">
        <is>
          <t>Service scope</t>
        </is>
      </c>
      <c r="J665" t="inlineStr">
        <is>
          <t>UNAVAILABLE</t>
        </is>
      </c>
      <c r="K665">
        <f>ROUND(IF(ISNUMBER(G665),MIN(50,ROUND(50*LOG10(G665+1)/4,1)),5)+IF(ISNUMBER(H665),ROUND(30*(100-H665)/100,1),15)+IF(B665="New",20,10),0)</f>
        <v/>
      </c>
      <c r="L665" t="inlineStr">
        <is>
          <t>KEEP</t>
        </is>
      </c>
      <c r="M665" s="5" t="inlineStr">
        <is>
          <t>Templated across 11 pages - acceptable for now; localise only if the page is kept (see F-02 / sheet 09)</t>
        </is>
      </c>
      <c r="N665" s="5" t="inlineStr">
        <is>
          <t>Oui. Nous intégrons vos systèmes existants : CRM, ERP, passerelles de paiement, systèmes de réservation et API tierces. Que vous utilisiez Salesforce, HubSpot, Stripe ou des outils internes, nous assu</t>
        </is>
      </c>
      <c r="O665" t="inlineStr">
        <is>
          <t>P3</t>
        </is>
      </c>
      <c r="P665" t="inlineStr">
        <is>
          <t>FAQPage JSON-LD</t>
        </is>
      </c>
    </row>
    <row r="666">
      <c r="A666" s="3" t="inlineStr">
        <is>
          <t>https://codesommet.com/web-development-company/dublin</t>
        </is>
      </c>
      <c r="B666" t="inlineStr">
        <is>
          <t>Existing</t>
        </is>
      </c>
      <c r="C666" s="5" t="inlineStr">
        <is>
          <t>Comment fonctionne le modèle de révisions illimitées pour les projets de Dublin ?</t>
        </is>
      </c>
      <c r="D666" t="inlineStr">
        <is>
          <t>développement web dublin</t>
        </is>
      </c>
      <c r="E666" t="inlineStr">
        <is>
          <t>ie</t>
        </is>
      </c>
      <c r="F666" s="5" t="inlineStr"/>
      <c r="G666" t="inlineStr">
        <is>
          <t>NOT AVAILABLE</t>
        </is>
      </c>
      <c r="H666" t="inlineStr">
        <is>
          <t>NOT AVAILABLE</t>
        </is>
      </c>
      <c r="I666" t="inlineStr">
        <is>
          <t>Definition / how it works</t>
        </is>
      </c>
      <c r="J666" t="inlineStr">
        <is>
          <t>UNAVAILABLE</t>
        </is>
      </c>
      <c r="K666">
        <f>ROUND(IF(ISNUMBER(G666),MIN(50,ROUND(50*LOG10(G666+1)/4,1)),5)+IF(ISNUMBER(H666),ROUND(30*(100-H666)/100,1),15)+IF(B666="New",20,10),0)</f>
        <v/>
      </c>
      <c r="L666" t="inlineStr">
        <is>
          <t>KEEP</t>
        </is>
      </c>
      <c r="M666" s="5" t="inlineStr">
        <is>
          <t>Relevant to page intent</t>
        </is>
      </c>
      <c r="N666" s="5" t="inlineStr">
        <is>
          <t>Notre modèle de révisions illimitées signifie exactement cela : nous affinons jusqu'à ce que vous soyez satisfait. Il n'y a pas de limite au nombre de modifications demandées, chaque révision étant gé</t>
        </is>
      </c>
      <c r="O666" t="inlineStr">
        <is>
          <t>P3</t>
        </is>
      </c>
      <c r="P666" t="inlineStr">
        <is>
          <t>FAQPage JSON-LD</t>
        </is>
      </c>
    </row>
    <row r="667">
      <c r="A667" s="3" t="inlineStr">
        <is>
          <t>https://codesommet.com/web-development-company/dublin</t>
        </is>
      </c>
      <c r="B667" t="inlineStr">
        <is>
          <t>Existing</t>
        </is>
      </c>
      <c r="C667" s="5" t="inlineStr">
        <is>
          <t>Fournissez-vous un support continu après le lancement pour les entreprises de Dublin ?</t>
        </is>
      </c>
      <c r="D667" t="inlineStr">
        <is>
          <t>développement web dublin</t>
        </is>
      </c>
      <c r="E667" t="inlineStr">
        <is>
          <t>ie</t>
        </is>
      </c>
      <c r="F667" s="5" t="inlineStr"/>
      <c r="G667" t="inlineStr">
        <is>
          <t>NOT AVAILABLE</t>
        </is>
      </c>
      <c r="H667" t="inlineStr">
        <is>
          <t>NOT AVAILABLE</t>
        </is>
      </c>
      <c r="I667" t="inlineStr">
        <is>
          <t>Support</t>
        </is>
      </c>
      <c r="J667" t="inlineStr">
        <is>
          <t>UNAVAILABLE</t>
        </is>
      </c>
      <c r="K667">
        <f>ROUND(IF(ISNUMBER(G667),MIN(50,ROUND(50*LOG10(G667+1)/4,1)),5)+IF(ISNUMBER(H667),ROUND(30*(100-H667)/100,1),15)+IF(B667="New",20,10),0)</f>
        <v/>
      </c>
      <c r="L667" t="inlineStr">
        <is>
          <t>KEEP</t>
        </is>
      </c>
      <c r="M667" s="5" t="inlineStr">
        <is>
          <t>Relevant to page intent</t>
        </is>
      </c>
      <c r="N667" s="5" t="inlineStr">
        <is>
          <t>Oui. Nous proposons un support continu complet : hébergement, maintenance, mises à jour de sécurité, surveillance des performances et mises à jour de contenu. Nos forfaits incluent une collaboration e</t>
        </is>
      </c>
      <c r="O667" t="inlineStr">
        <is>
          <t>P3</t>
        </is>
      </c>
      <c r="P667" t="inlineStr">
        <is>
          <t>FAQPage JSON-LD</t>
        </is>
      </c>
    </row>
    <row r="668">
      <c r="A668" s="3" t="inlineStr">
        <is>
          <t>https://codesommet.com/web-development-company/lagos</t>
        </is>
      </c>
      <c r="B668" t="inlineStr">
        <is>
          <t>Existing</t>
        </is>
      </c>
      <c r="C668" s="5" t="inlineStr">
        <is>
          <t>Avez-vous un bureau physique à Lagos ?</t>
        </is>
      </c>
      <c r="D668" t="inlineStr">
        <is>
          <t>développement web lagos</t>
        </is>
      </c>
      <c r="E668" t="inlineStr">
        <is>
          <t>ng</t>
        </is>
      </c>
      <c r="F668" s="5" t="inlineStr"/>
      <c r="G668" t="inlineStr">
        <is>
          <t>NOT AVAILABLE</t>
        </is>
      </c>
      <c r="H668" t="inlineStr">
        <is>
          <t>NOT AVAILABLE</t>
        </is>
      </c>
      <c r="I668" t="inlineStr">
        <is>
          <t>Location / logistics</t>
        </is>
      </c>
      <c r="J668" t="inlineStr">
        <is>
          <t>UNAVAILABLE</t>
        </is>
      </c>
      <c r="K668">
        <f>ROUND(IF(ISNUMBER(G668),MIN(50,ROUND(50*LOG10(G668+1)/4,1)),5)+IF(ISNUMBER(H668),ROUND(30*(100-H668)/100,1),15)+IF(B668="New",20,10),0)</f>
        <v/>
      </c>
      <c r="L668" t="inlineStr">
        <is>
          <t>KEEP</t>
        </is>
      </c>
      <c r="M668" s="5" t="inlineStr">
        <is>
          <t>Templated across 8 pages - acceptable for now; localise only if the page is kept (see F-02 / sheet 09)</t>
        </is>
      </c>
      <c r="N668" s="5" t="inlineStr">
        <is>
          <t>Nous n'avons pas de bureau à Lagos : notre équipe travaille à distance depuis le Maroc et collabore avec ses clients entièrement en ligne (appels vidéo, Slack, suivi de projet en temps réel). Cela nou</t>
        </is>
      </c>
      <c r="O668" t="inlineStr">
        <is>
          <t>P3</t>
        </is>
      </c>
      <c r="P668" t="inlineStr">
        <is>
          <t>FAQPage JSON-LD</t>
        </is>
      </c>
    </row>
    <row r="669">
      <c r="A669" s="3" t="inlineStr">
        <is>
          <t>https://codesommet.com/web-development-company/lagos</t>
        </is>
      </c>
      <c r="B669" t="inlineStr">
        <is>
          <t>Existing</t>
        </is>
      </c>
      <c r="C669" s="5" t="inlineStr">
        <is>
          <t>Pouvez-vous travailler avec les entreprises de Lagos à distance ?</t>
        </is>
      </c>
      <c r="D669" t="inlineStr">
        <is>
          <t>développement web lagos</t>
        </is>
      </c>
      <c r="E669" t="inlineStr">
        <is>
          <t>ng</t>
        </is>
      </c>
      <c r="F669" s="5" t="inlineStr"/>
      <c r="G669" t="inlineStr">
        <is>
          <t>NOT AVAILABLE</t>
        </is>
      </c>
      <c r="H669" t="inlineStr">
        <is>
          <t>NOT AVAILABLE</t>
        </is>
      </c>
      <c r="I669" t="inlineStr">
        <is>
          <t>Location / logistics</t>
        </is>
      </c>
      <c r="J669" t="inlineStr">
        <is>
          <t>UNAVAILABLE</t>
        </is>
      </c>
      <c r="K669">
        <f>ROUND(IF(ISNUMBER(G669),MIN(50,ROUND(50*LOG10(G669+1)/4,1)),5)+IF(ISNUMBER(H669),ROUND(30*(100-H669)/100,1),15)+IF(B669="New",20,10),0)</f>
        <v/>
      </c>
      <c r="L669" t="inlineStr">
        <is>
          <t>KEEP</t>
        </is>
      </c>
      <c r="M669" s="5" t="inlineStr">
        <is>
          <t>Templated across 8 pages - acceptable for now; localise only if the page is kept (see F-02 / sheet 09)</t>
        </is>
      </c>
      <c r="N669" s="5" t="inlineStr">
        <is>
          <t>Oui, tout se passe en ligne : appels vidéo pour le cadrage et les validations, collaboration sur Slack au quotidien et suivi de projet en temps réel. Nous adaptons nos créneaux au fuseau horaire de La</t>
        </is>
      </c>
      <c r="O669" t="inlineStr">
        <is>
          <t>P3</t>
        </is>
      </c>
      <c r="P669" t="inlineStr">
        <is>
          <t>FAQPage JSON-LD</t>
        </is>
      </c>
    </row>
    <row r="670">
      <c r="A670" s="3" t="inlineStr">
        <is>
          <t>https://codesommet.com/web-development-company/lagos</t>
        </is>
      </c>
      <c r="B670" t="inlineStr">
        <is>
          <t>Existing</t>
        </is>
      </c>
      <c r="C670" s="5" t="inlineStr">
        <is>
          <t>Quels modes de paiement acceptez-vous à Lagos ?</t>
        </is>
      </c>
      <c r="D670" t="inlineStr">
        <is>
          <t>développement web lagos</t>
        </is>
      </c>
      <c r="E670" t="inlineStr">
        <is>
          <t>ng</t>
        </is>
      </c>
      <c r="F670" s="5" t="inlineStr"/>
      <c r="G670" t="inlineStr">
        <is>
          <t>NOT AVAILABLE</t>
        </is>
      </c>
      <c r="H670" t="inlineStr">
        <is>
          <t>NOT AVAILABLE</t>
        </is>
      </c>
      <c r="I670" t="inlineStr">
        <is>
          <t>Payment</t>
        </is>
      </c>
      <c r="J670" t="inlineStr">
        <is>
          <t>UNAVAILABLE</t>
        </is>
      </c>
      <c r="K670">
        <f>ROUND(IF(ISNUMBER(G670),MIN(50,ROUND(50*LOG10(G670+1)/4,1)),5)+IF(ISNUMBER(H670),ROUND(30*(100-H670)/100,1),15)+IF(B670="New",20,10),0)</f>
        <v/>
      </c>
      <c r="L670" t="inlineStr">
        <is>
          <t>KEEP</t>
        </is>
      </c>
      <c r="M670" s="5" t="inlineStr">
        <is>
          <t>Templated across 8 pages - acceptable for now; localise only if the page is kept (see F-02 / sheet 09)</t>
        </is>
      </c>
      <c r="N670" s="5" t="inlineStr">
        <is>
          <t xml:space="preserve">Nous acceptons les principaux moyens de paiement : virement bancaire, carte et PayPal selon votre pays. Le paiement est généralement échelonné par jalons, avec un acompte au démarrage puis le solde à </t>
        </is>
      </c>
      <c r="O670" t="inlineStr">
        <is>
          <t>P3</t>
        </is>
      </c>
      <c r="P670" t="inlineStr">
        <is>
          <t>FAQPage JSON-LD</t>
        </is>
      </c>
    </row>
    <row r="671">
      <c r="A671" s="3" t="inlineStr">
        <is>
          <t>https://codesommet.com/web-development-company/lagos</t>
        </is>
      </c>
      <c r="B671" t="inlineStr">
        <is>
          <t>Existing</t>
        </is>
      </c>
      <c r="C671" s="5" t="inlineStr">
        <is>
          <t>Comprenez-vous les lois de conformité et de protection des données du Nigeria ?</t>
        </is>
      </c>
      <c r="D671" t="inlineStr">
        <is>
          <t>développement web lagos</t>
        </is>
      </c>
      <c r="E671" t="inlineStr">
        <is>
          <t>ng</t>
        </is>
      </c>
      <c r="F671" s="5" t="inlineStr"/>
      <c r="G671" t="inlineStr">
        <is>
          <t>NOT AVAILABLE</t>
        </is>
      </c>
      <c r="H671" t="inlineStr">
        <is>
          <t>NOT AVAILABLE</t>
        </is>
      </c>
      <c r="I671" t="inlineStr">
        <is>
          <t>Compliance / security</t>
        </is>
      </c>
      <c r="J671" t="inlineStr">
        <is>
          <t>UNAVAILABLE</t>
        </is>
      </c>
      <c r="K671">
        <f>ROUND(IF(ISNUMBER(G671),MIN(50,ROUND(50*LOG10(G671+1)/4,1)),5)+IF(ISNUMBER(H671),ROUND(30*(100-H671)/100,1),15)+IF(B671="New",20,10),0)</f>
        <v/>
      </c>
      <c r="L671" t="inlineStr">
        <is>
          <t>KEEP</t>
        </is>
      </c>
      <c r="M671" s="5" t="inlineStr">
        <is>
          <t>Relevant to page intent</t>
        </is>
      </c>
      <c r="N671" s="5" t="inlineStr">
        <is>
          <t>Nous concevons des sites conformes aux bonnes pratiques de protection des données : consentement aux cookies, politique de confidentialité, sécurisation des formulaires et des données. Pour les exigen</t>
        </is>
      </c>
      <c r="O671" t="inlineStr">
        <is>
          <t>P3</t>
        </is>
      </c>
      <c r="P671" t="inlineStr">
        <is>
          <t>FAQPage JSON-LD</t>
        </is>
      </c>
    </row>
    <row r="672">
      <c r="A672" s="3" t="inlineStr">
        <is>
          <t>https://codesommet.com/web-development-company/lagos</t>
        </is>
      </c>
      <c r="B672" t="inlineStr">
        <is>
          <t>Existing</t>
        </is>
      </c>
      <c r="C672" s="5" t="inlineStr">
        <is>
          <t>À quelle vitesse pouvez-vous lancer un site web pour mon entreprise à Lagos ?</t>
        </is>
      </c>
      <c r="D672" t="inlineStr">
        <is>
          <t>développement web lagos</t>
        </is>
      </c>
      <c r="E672" t="inlineStr">
        <is>
          <t>ng</t>
        </is>
      </c>
      <c r="F672" s="5" t="inlineStr"/>
      <c r="G672" t="inlineStr">
        <is>
          <t>NOT AVAILABLE</t>
        </is>
      </c>
      <c r="H672" t="inlineStr">
        <is>
          <t>NOT AVAILABLE</t>
        </is>
      </c>
      <c r="I672" t="inlineStr">
        <is>
          <t>Timeline</t>
        </is>
      </c>
      <c r="J672" t="inlineStr">
        <is>
          <t>UNAVAILABLE</t>
        </is>
      </c>
      <c r="K672">
        <f>ROUND(IF(ISNUMBER(G672),MIN(50,ROUND(50*LOG10(G672+1)/4,1)),5)+IF(ISNUMBER(H672),ROUND(30*(100-H672)/100,1),15)+IF(B672="New",20,10),0)</f>
        <v/>
      </c>
      <c r="L672" t="inlineStr">
        <is>
          <t>KEEP</t>
        </is>
      </c>
      <c r="M672" s="5" t="inlineStr">
        <is>
          <t>Templated across 5 pages - acceptable for now; localise only if the page is kept (see F-02 / sheet 09)</t>
        </is>
      </c>
      <c r="N672" s="5" t="inlineStr">
        <is>
          <t>La plupart des sites vitrines sont livrés en 2 à 5 jours après validation du périmètre. Pour les projets urgents, notre formule express permet une mise en ligne en 2 jours seulement. Les plateformes p</t>
        </is>
      </c>
      <c r="O672" t="inlineStr">
        <is>
          <t>P3</t>
        </is>
      </c>
      <c r="P672" t="inlineStr">
        <is>
          <t>FAQPage JSON-LD</t>
        </is>
      </c>
    </row>
    <row r="673">
      <c r="A673" s="3" t="inlineStr">
        <is>
          <t>https://codesommet.com/web-development-company/lagos</t>
        </is>
      </c>
      <c r="B673" t="inlineStr">
        <is>
          <t>Existing</t>
        </is>
      </c>
      <c r="C673" s="5" t="inlineStr">
        <is>
          <t>Pouvez-vous aider avec l'enregistrement de domaine .ng ?</t>
        </is>
      </c>
      <c r="D673" t="inlineStr">
        <is>
          <t>développement web lagos</t>
        </is>
      </c>
      <c r="E673" t="inlineStr">
        <is>
          <t>ng</t>
        </is>
      </c>
      <c r="F673" s="5" t="inlineStr"/>
      <c r="G673" t="inlineStr">
        <is>
          <t>NOT AVAILABLE</t>
        </is>
      </c>
      <c r="H673" t="inlineStr">
        <is>
          <t>NOT AVAILABLE</t>
        </is>
      </c>
      <c r="I673" t="inlineStr">
        <is>
          <t>Service scope</t>
        </is>
      </c>
      <c r="J673" t="inlineStr">
        <is>
          <t>UNAVAILABLE</t>
        </is>
      </c>
      <c r="K673">
        <f>ROUND(IF(ISNUMBER(G673),MIN(50,ROUND(50*LOG10(G673+1)/4,1)),5)+IF(ISNUMBER(H673),ROUND(30*(100-H673)/100,1),15)+IF(B673="New",20,10),0)</f>
        <v/>
      </c>
      <c r="L673" t="inlineStr">
        <is>
          <t>KEEP</t>
        </is>
      </c>
      <c r="M673" s="5" t="inlineStr">
        <is>
          <t>Templated across 12 pages - acceptable for now; localise only if the page is kept (see F-02 / sheet 09)</t>
        </is>
      </c>
      <c r="N673" s="5" t="inlineStr">
        <is>
          <t>Oui. Nous vous conseillons sur le choix du nom de domaine (.ng ou .com selon votre cible), nous vous guidons pour l'enregistrement auprès d'un registrar et nous configurons le DNS, le certificat SSL e</t>
        </is>
      </c>
      <c r="O673" t="inlineStr">
        <is>
          <t>P3</t>
        </is>
      </c>
      <c r="P673" t="inlineStr">
        <is>
          <t>FAQPage JSON-LD</t>
        </is>
      </c>
    </row>
    <row r="674">
      <c r="A674" s="3" t="inlineStr">
        <is>
          <t>https://codesommet.com/web-development-company/lisbon</t>
        </is>
      </c>
      <c r="B674" t="inlineStr">
        <is>
          <t>Existing</t>
        </is>
      </c>
      <c r="C674" s="5" t="inlineStr">
        <is>
          <t>Avez-vous un bureau physique à Lisbonne ?</t>
        </is>
      </c>
      <c r="D674" t="inlineStr">
        <is>
          <t>développement web lisbonne</t>
        </is>
      </c>
      <c r="E674" t="inlineStr">
        <is>
          <t>pt</t>
        </is>
      </c>
      <c r="F674" s="5" t="inlineStr"/>
      <c r="G674" t="inlineStr">
        <is>
          <t>NOT AVAILABLE</t>
        </is>
      </c>
      <c r="H674" t="inlineStr">
        <is>
          <t>NOT AVAILABLE</t>
        </is>
      </c>
      <c r="I674" t="inlineStr">
        <is>
          <t>Location / logistics</t>
        </is>
      </c>
      <c r="J674" t="inlineStr">
        <is>
          <t>UNAVAILABLE</t>
        </is>
      </c>
      <c r="K674">
        <f>ROUND(IF(ISNUMBER(G674),MIN(50,ROUND(50*LOG10(G674+1)/4,1)),5)+IF(ISNUMBER(H674),ROUND(30*(100-H674)/100,1),15)+IF(B674="New",20,10),0)</f>
        <v/>
      </c>
      <c r="L674" t="inlineStr">
        <is>
          <t>KEEP</t>
        </is>
      </c>
      <c r="M674" s="5" t="inlineStr">
        <is>
          <t>Templated across 8 pages - acceptable for now; localise only if the page is kept (see F-02 / sheet 09)</t>
        </is>
      </c>
      <c r="N674" s="5" t="inlineStr">
        <is>
          <t xml:space="preserve">Nous n'avons pas de bureau à Lisbonne : notre équipe travaille à distance depuis le Maroc et collabore avec ses clients entièrement en ligne (appels vidéo, Slack, suivi de projet en temps réel). Cela </t>
        </is>
      </c>
      <c r="O674" t="inlineStr">
        <is>
          <t>P3</t>
        </is>
      </c>
      <c r="P674" t="inlineStr">
        <is>
          <t>FAQPage JSON-LD</t>
        </is>
      </c>
    </row>
    <row r="675">
      <c r="A675" s="3" t="inlineStr">
        <is>
          <t>https://codesommet.com/web-development-company/lisbon</t>
        </is>
      </c>
      <c r="B675" t="inlineStr">
        <is>
          <t>Existing</t>
        </is>
      </c>
      <c r="C675" s="5" t="inlineStr">
        <is>
          <t>Pouvez-vous travailler avec les entreprises de Lisbonne à distance ?</t>
        </is>
      </c>
      <c r="D675" t="inlineStr">
        <is>
          <t>développement web lisbonne</t>
        </is>
      </c>
      <c r="E675" t="inlineStr">
        <is>
          <t>pt</t>
        </is>
      </c>
      <c r="F675" s="5" t="inlineStr"/>
      <c r="G675" t="inlineStr">
        <is>
          <t>NOT AVAILABLE</t>
        </is>
      </c>
      <c r="H675" t="inlineStr">
        <is>
          <t>NOT AVAILABLE</t>
        </is>
      </c>
      <c r="I675" t="inlineStr">
        <is>
          <t>Location / logistics</t>
        </is>
      </c>
      <c r="J675" t="inlineStr">
        <is>
          <t>UNAVAILABLE</t>
        </is>
      </c>
      <c r="K675">
        <f>ROUND(IF(ISNUMBER(G675),MIN(50,ROUND(50*LOG10(G675+1)/4,1)),5)+IF(ISNUMBER(H675),ROUND(30*(100-H675)/100,1),15)+IF(B675="New",20,10),0)</f>
        <v/>
      </c>
      <c r="L675" t="inlineStr">
        <is>
          <t>KEEP</t>
        </is>
      </c>
      <c r="M675" s="5" t="inlineStr">
        <is>
          <t>Templated across 8 pages - acceptable for now; localise only if the page is kept (see F-02 / sheet 09)</t>
        </is>
      </c>
      <c r="N675" s="5" t="inlineStr">
        <is>
          <t>Oui, tout se passe en ligne : appels vidéo pour le cadrage et les validations, collaboration sur Slack au quotidien et suivi de projet en temps réel. Nous adaptons nos créneaux au fuseau horaire de Li</t>
        </is>
      </c>
      <c r="O675" t="inlineStr">
        <is>
          <t>P3</t>
        </is>
      </c>
      <c r="P675" t="inlineStr">
        <is>
          <t>FAQPage JSON-LD</t>
        </is>
      </c>
    </row>
    <row r="676">
      <c r="A676" s="3" t="inlineStr">
        <is>
          <t>https://codesommet.com/web-development-company/lisbon</t>
        </is>
      </c>
      <c r="B676" t="inlineStr">
        <is>
          <t>Existing</t>
        </is>
      </c>
      <c r="C676" s="5" t="inlineStr">
        <is>
          <t>Quels modes de paiement acceptez-vous à Lisbonne ?</t>
        </is>
      </c>
      <c r="D676" t="inlineStr">
        <is>
          <t>développement web lisbonne</t>
        </is>
      </c>
      <c r="E676" t="inlineStr">
        <is>
          <t>pt</t>
        </is>
      </c>
      <c r="F676" s="5" t="inlineStr"/>
      <c r="G676" t="inlineStr">
        <is>
          <t>NOT AVAILABLE</t>
        </is>
      </c>
      <c r="H676" t="inlineStr">
        <is>
          <t>NOT AVAILABLE</t>
        </is>
      </c>
      <c r="I676" t="inlineStr">
        <is>
          <t>Payment</t>
        </is>
      </c>
      <c r="J676" t="inlineStr">
        <is>
          <t>UNAVAILABLE</t>
        </is>
      </c>
      <c r="K676">
        <f>ROUND(IF(ISNUMBER(G676),MIN(50,ROUND(50*LOG10(G676+1)/4,1)),5)+IF(ISNUMBER(H676),ROUND(30*(100-H676)/100,1),15)+IF(B676="New",20,10),0)</f>
        <v/>
      </c>
      <c r="L676" t="inlineStr">
        <is>
          <t>KEEP</t>
        </is>
      </c>
      <c r="M676" s="5" t="inlineStr">
        <is>
          <t>Templated across 8 pages - acceptable for now; localise only if the page is kept (see F-02 / sheet 09)</t>
        </is>
      </c>
      <c r="N676" s="5" t="inlineStr">
        <is>
          <t xml:space="preserve">Nous acceptons les principaux moyens de paiement : virement bancaire, carte et PayPal selon votre pays. Le paiement est généralement échelonné par jalons, avec un acompte au démarrage puis le solde à </t>
        </is>
      </c>
      <c r="O676" t="inlineStr">
        <is>
          <t>P3</t>
        </is>
      </c>
      <c r="P676" t="inlineStr">
        <is>
          <t>FAQPage JSON-LD</t>
        </is>
      </c>
    </row>
    <row r="677">
      <c r="A677" s="3" t="inlineStr">
        <is>
          <t>https://codesommet.com/web-development-company/lisbon</t>
        </is>
      </c>
      <c r="B677" t="inlineStr">
        <is>
          <t>Existing</t>
        </is>
      </c>
      <c r="C677" s="5" t="inlineStr">
        <is>
          <t>Comprenez-vous les lois de conformité et de protection des données du Portugal ?</t>
        </is>
      </c>
      <c r="D677" t="inlineStr">
        <is>
          <t>développement web lisbonne</t>
        </is>
      </c>
      <c r="E677" t="inlineStr">
        <is>
          <t>pt</t>
        </is>
      </c>
      <c r="F677" s="5" t="inlineStr"/>
      <c r="G677" t="inlineStr">
        <is>
          <t>NOT AVAILABLE</t>
        </is>
      </c>
      <c r="H677" t="inlineStr">
        <is>
          <t>NOT AVAILABLE</t>
        </is>
      </c>
      <c r="I677" t="inlineStr">
        <is>
          <t>Compliance / security</t>
        </is>
      </c>
      <c r="J677" t="inlineStr">
        <is>
          <t>UNAVAILABLE</t>
        </is>
      </c>
      <c r="K677">
        <f>ROUND(IF(ISNUMBER(G677),MIN(50,ROUND(50*LOG10(G677+1)/4,1)),5)+IF(ISNUMBER(H677),ROUND(30*(100-H677)/100,1),15)+IF(B677="New",20,10),0)</f>
        <v/>
      </c>
      <c r="L677" t="inlineStr">
        <is>
          <t>KEEP</t>
        </is>
      </c>
      <c r="M677" s="5" t="inlineStr">
        <is>
          <t>Relevant to page intent</t>
        </is>
      </c>
      <c r="N677" s="5" t="inlineStr">
        <is>
          <t>Nous concevons des sites conformes aux bonnes pratiques de protection des données : consentement aux cookies, politique de confidentialité, sécurisation des formulaires et des données. Pour les exigen</t>
        </is>
      </c>
      <c r="O677" t="inlineStr">
        <is>
          <t>P3</t>
        </is>
      </c>
      <c r="P677" t="inlineStr">
        <is>
          <t>FAQPage JSON-LD</t>
        </is>
      </c>
    </row>
    <row r="678">
      <c r="A678" s="3" t="inlineStr">
        <is>
          <t>https://codesommet.com/web-development-company/lisbon</t>
        </is>
      </c>
      <c r="B678" t="inlineStr">
        <is>
          <t>Existing</t>
        </is>
      </c>
      <c r="C678" s="5" t="inlineStr">
        <is>
          <t>À quelle vitesse pouvez-vous lancer un site web pour mon entreprise à Lisbonne ?</t>
        </is>
      </c>
      <c r="D678" t="inlineStr">
        <is>
          <t>développement web lisbonne</t>
        </is>
      </c>
      <c r="E678" t="inlineStr">
        <is>
          <t>pt</t>
        </is>
      </c>
      <c r="F678" s="5" t="inlineStr"/>
      <c r="G678" t="inlineStr">
        <is>
          <t>NOT AVAILABLE</t>
        </is>
      </c>
      <c r="H678" t="inlineStr">
        <is>
          <t>NOT AVAILABLE</t>
        </is>
      </c>
      <c r="I678" t="inlineStr">
        <is>
          <t>Timeline</t>
        </is>
      </c>
      <c r="J678" t="inlineStr">
        <is>
          <t>UNAVAILABLE</t>
        </is>
      </c>
      <c r="K678">
        <f>ROUND(IF(ISNUMBER(G678),MIN(50,ROUND(50*LOG10(G678+1)/4,1)),5)+IF(ISNUMBER(H678),ROUND(30*(100-H678)/100,1),15)+IF(B678="New",20,10),0)</f>
        <v/>
      </c>
      <c r="L678" t="inlineStr">
        <is>
          <t>KEEP</t>
        </is>
      </c>
      <c r="M678" s="5" t="inlineStr">
        <is>
          <t>Templated across 5 pages - acceptable for now; localise only if the page is kept (see F-02 / sheet 09)</t>
        </is>
      </c>
      <c r="N678" s="5" t="inlineStr">
        <is>
          <t>La plupart des sites vitrines sont livrés en 2 à 5 jours après validation du périmètre. Pour les projets urgents, notre formule express permet une mise en ligne en 2 jours seulement. Les plateformes p</t>
        </is>
      </c>
      <c r="O678" t="inlineStr">
        <is>
          <t>P3</t>
        </is>
      </c>
      <c r="P678" t="inlineStr">
        <is>
          <t>FAQPage JSON-LD</t>
        </is>
      </c>
    </row>
    <row r="679">
      <c r="A679" s="3" t="inlineStr">
        <is>
          <t>https://codesommet.com/web-development-company/lisbon</t>
        </is>
      </c>
      <c r="B679" t="inlineStr">
        <is>
          <t>Existing</t>
        </is>
      </c>
      <c r="C679" s="5" t="inlineStr">
        <is>
          <t>Pouvez-vous aider avec l'enregistrement de domaine .pt ?</t>
        </is>
      </c>
      <c r="D679" t="inlineStr">
        <is>
          <t>développement web lisbonne</t>
        </is>
      </c>
      <c r="E679" t="inlineStr">
        <is>
          <t>pt</t>
        </is>
      </c>
      <c r="F679" s="5" t="inlineStr"/>
      <c r="G679" t="inlineStr">
        <is>
          <t>NOT AVAILABLE</t>
        </is>
      </c>
      <c r="H679" t="inlineStr">
        <is>
          <t>NOT AVAILABLE</t>
        </is>
      </c>
      <c r="I679" t="inlineStr">
        <is>
          <t>Service scope</t>
        </is>
      </c>
      <c r="J679" t="inlineStr">
        <is>
          <t>UNAVAILABLE</t>
        </is>
      </c>
      <c r="K679">
        <f>ROUND(IF(ISNUMBER(G679),MIN(50,ROUND(50*LOG10(G679+1)/4,1)),5)+IF(ISNUMBER(H679),ROUND(30*(100-H679)/100,1),15)+IF(B679="New",20,10),0)</f>
        <v/>
      </c>
      <c r="L679" t="inlineStr">
        <is>
          <t>KEEP</t>
        </is>
      </c>
      <c r="M679" s="5" t="inlineStr">
        <is>
          <t>Templated across 12 pages - acceptable for now; localise only if the page is kept (see F-02 / sheet 09)</t>
        </is>
      </c>
      <c r="N679" s="5" t="inlineStr">
        <is>
          <t>Oui. Nous vous conseillons sur le choix du nom de domaine (.pt ou .com selon votre cible), nous vous guidons pour l'enregistrement auprès d'un registrar et nous configurons le DNS, le certificat SSL e</t>
        </is>
      </c>
      <c r="O679" t="inlineStr">
        <is>
          <t>P3</t>
        </is>
      </c>
      <c r="P679" t="inlineStr">
        <is>
          <t>FAQPage JSON-LD</t>
        </is>
      </c>
    </row>
    <row r="680">
      <c r="A680" s="3" t="inlineStr">
        <is>
          <t>https://codesommet.com/web-development-company/london</t>
        </is>
      </c>
      <c r="B680" t="inlineStr">
        <is>
          <t>Existing</t>
        </is>
      </c>
      <c r="C680" s="5" t="inlineStr">
        <is>
          <t>Pourquoi choisir CodeSommet plutôt que les nombreuses agences de développement web de Londres ?</t>
        </is>
      </c>
      <c r="D680" t="inlineStr">
        <is>
          <t>développement web londres</t>
        </is>
      </c>
      <c r="E680" t="inlineStr">
        <is>
          <t>uk</t>
        </is>
      </c>
      <c r="F680" s="5" t="inlineStr"/>
      <c r="G680" t="inlineStr">
        <is>
          <t>NOT AVAILABLE</t>
        </is>
      </c>
      <c r="H680" t="inlineStr">
        <is>
          <t>NOT AVAILABLE</t>
        </is>
      </c>
      <c r="I680" t="inlineStr">
        <is>
          <t>Differentiation</t>
        </is>
      </c>
      <c r="J680" t="inlineStr">
        <is>
          <t>UNAVAILABLE</t>
        </is>
      </c>
      <c r="K680">
        <f>ROUND(IF(ISNUMBER(G680),MIN(50,ROUND(50*LOG10(G680+1)/4,1)),5)+IF(ISNUMBER(H680),ROUND(30*(100-H680)/100,1),15)+IF(B680="New",20,10),0)</f>
        <v/>
      </c>
      <c r="L680" t="inlineStr">
        <is>
          <t>KEEP</t>
        </is>
      </c>
      <c r="M680" s="5" t="inlineStr">
        <is>
          <t>Templated across 10 pages - acceptable for now; localise only if the page is kept (see F-02 / sheet 09)</t>
        </is>
      </c>
      <c r="N680" s="5" t="inlineStr">
        <is>
          <t>Parce que nous combinons un design soigné, des technologies modernes et une livraison rapide : la plupart des sites vitrines sont en ligne en 2 à 5 jours après validation du périmètre (et en 2 jours s</t>
        </is>
      </c>
      <c r="O680" t="inlineStr">
        <is>
          <t>P3</t>
        </is>
      </c>
      <c r="P680" t="inlineStr">
        <is>
          <t>FAQPage JSON-LD</t>
        </is>
      </c>
    </row>
    <row r="681">
      <c r="A681" s="3" t="inlineStr">
        <is>
          <t>https://codesommet.com/web-development-company/london</t>
        </is>
      </c>
      <c r="B681" t="inlineStr">
        <is>
          <t>Existing</t>
        </is>
      </c>
      <c r="C681" s="5" t="inlineStr">
        <is>
          <t>Travaillez-vous avec les startups et les entreprises en phase de démarrage de Londres ?</t>
        </is>
      </c>
      <c r="D681" t="inlineStr">
        <is>
          <t>développement web londres</t>
        </is>
      </c>
      <c r="E681" t="inlineStr">
        <is>
          <t>uk</t>
        </is>
      </c>
      <c r="F681" s="5" t="inlineStr"/>
      <c r="G681" t="inlineStr">
        <is>
          <t>NOT AVAILABLE</t>
        </is>
      </c>
      <c r="H681" t="inlineStr">
        <is>
          <t>NOT AVAILABLE</t>
        </is>
      </c>
      <c r="I681" t="inlineStr">
        <is>
          <t>Service scope</t>
        </is>
      </c>
      <c r="J681" t="inlineStr">
        <is>
          <t>UNAVAILABLE</t>
        </is>
      </c>
      <c r="K681">
        <f>ROUND(IF(ISNUMBER(G681),MIN(50,ROUND(50*LOG10(G681+1)/4,1)),5)+IF(ISNUMBER(H681),ROUND(30*(100-H681)/100,1),15)+IF(B681="New",20,10),0)</f>
        <v/>
      </c>
      <c r="L681" t="inlineStr">
        <is>
          <t>KEEP</t>
        </is>
      </c>
      <c r="M681" s="5" t="inlineStr">
        <is>
          <t>Templated across 5 pages - acceptable for now; localise only if the page is kept (see F-02 / sheet 09)</t>
        </is>
      </c>
      <c r="N681" s="5" t="inlineStr">
        <is>
          <t>Absolument. Nous travaillons avec des entreprises de toutes tailles, des startups en démarrage aux structures établies. Notre tarification flexible et nos forfaits mensuels sont pensés pour évoluer av</t>
        </is>
      </c>
      <c r="O681" t="inlineStr">
        <is>
          <t>P3</t>
        </is>
      </c>
      <c r="P681" t="inlineStr">
        <is>
          <t>FAQPage JSON-LD</t>
        </is>
      </c>
    </row>
    <row r="682">
      <c r="A682" s="3" t="inlineStr">
        <is>
          <t>https://codesommet.com/web-development-company/london</t>
        </is>
      </c>
      <c r="B682" t="inlineStr">
        <is>
          <t>Existing</t>
        </is>
      </c>
      <c r="C682" s="5" t="inlineStr">
        <is>
          <t>Quelles technologies utilisez-vous pour les projets de Londres ?</t>
        </is>
      </c>
      <c r="D682" t="inlineStr">
        <is>
          <t>développement web londres</t>
        </is>
      </c>
      <c r="E682" t="inlineStr">
        <is>
          <t>uk</t>
        </is>
      </c>
      <c r="F682" s="5" t="inlineStr"/>
      <c r="G682" t="inlineStr">
        <is>
          <t>NOT AVAILABLE</t>
        </is>
      </c>
      <c r="H682" t="inlineStr">
        <is>
          <t>NOT AVAILABLE</t>
        </is>
      </c>
      <c r="I682" t="inlineStr">
        <is>
          <t>Service scope</t>
        </is>
      </c>
      <c r="J682" t="inlineStr">
        <is>
          <t>UNAVAILABLE</t>
        </is>
      </c>
      <c r="K682">
        <f>ROUND(IF(ISNUMBER(G682),MIN(50,ROUND(50*LOG10(G682+1)/4,1)),5)+IF(ISNUMBER(H682),ROUND(30*(100-H682)/100,1),15)+IF(B682="New",20,10),0)</f>
        <v/>
      </c>
      <c r="L682" t="inlineStr">
        <is>
          <t>KEEP</t>
        </is>
      </c>
      <c r="M682" s="5" t="inlineStr">
        <is>
          <t>Templated across 5 pages - acceptable for now; localise only if the page is kept (see F-02 / sheet 09)</t>
        </is>
      </c>
      <c r="N682" s="5" t="inlineStr">
        <is>
          <t>Nous utilisons des technologies modernes comme Next.js, React, TypeScript, Node.js et Laravel pour le développement web. Côté IA, nous intégrons des chatbots sur mesure et des automatisations intellig</t>
        </is>
      </c>
      <c r="O682" t="inlineStr">
        <is>
          <t>P3</t>
        </is>
      </c>
      <c r="P682" t="inlineStr">
        <is>
          <t>FAQPage JSON-LD</t>
        </is>
      </c>
    </row>
    <row r="683">
      <c r="A683" s="3" t="inlineStr">
        <is>
          <t>https://codesommet.com/web-development-company/london</t>
        </is>
      </c>
      <c r="B683" t="inlineStr">
        <is>
          <t>Existing</t>
        </is>
      </c>
      <c r="C683" s="5" t="inlineStr">
        <is>
          <t>Pouvez-vous vous intégrer aux systèmes existants utilisés par les entreprises de Londres ?</t>
        </is>
      </c>
      <c r="D683" t="inlineStr">
        <is>
          <t>développement web londres</t>
        </is>
      </c>
      <c r="E683" t="inlineStr">
        <is>
          <t>uk</t>
        </is>
      </c>
      <c r="F683" s="5" t="inlineStr"/>
      <c r="G683" t="inlineStr">
        <is>
          <t>NOT AVAILABLE</t>
        </is>
      </c>
      <c r="H683" t="inlineStr">
        <is>
          <t>NOT AVAILABLE</t>
        </is>
      </c>
      <c r="I683" t="inlineStr">
        <is>
          <t>Service scope</t>
        </is>
      </c>
      <c r="J683" t="inlineStr">
        <is>
          <t>UNAVAILABLE</t>
        </is>
      </c>
      <c r="K683">
        <f>ROUND(IF(ISNUMBER(G683),MIN(50,ROUND(50*LOG10(G683+1)/4,1)),5)+IF(ISNUMBER(H683),ROUND(30*(100-H683)/100,1),15)+IF(B683="New",20,10),0)</f>
        <v/>
      </c>
      <c r="L683" t="inlineStr">
        <is>
          <t>KEEP</t>
        </is>
      </c>
      <c r="M683" s="5" t="inlineStr">
        <is>
          <t>Templated across 11 pages - acceptable for now; localise only if the page is kept (see F-02 / sheet 09)</t>
        </is>
      </c>
      <c r="N683" s="5" t="inlineStr">
        <is>
          <t>Oui. Nous intégrons vos systèmes existants : CRM, ERP, passerelles de paiement, systèmes de réservation et API tierces. Que vous utilisiez Salesforce, HubSpot, Stripe ou des outils internes, nous assu</t>
        </is>
      </c>
      <c r="O683" t="inlineStr">
        <is>
          <t>P3</t>
        </is>
      </c>
      <c r="P683" t="inlineStr">
        <is>
          <t>FAQPage JSON-LD</t>
        </is>
      </c>
    </row>
    <row r="684">
      <c r="A684" s="3" t="inlineStr">
        <is>
          <t>https://codesommet.com/web-development-company/london</t>
        </is>
      </c>
      <c r="B684" t="inlineStr">
        <is>
          <t>Existing</t>
        </is>
      </c>
      <c r="C684" s="5" t="inlineStr">
        <is>
          <t>Comment fonctionne le modèle de révisions illimitées pour les clients de Londres ?</t>
        </is>
      </c>
      <c r="D684" t="inlineStr">
        <is>
          <t>développement web londres</t>
        </is>
      </c>
      <c r="E684" t="inlineStr">
        <is>
          <t>uk</t>
        </is>
      </c>
      <c r="F684" s="5" t="inlineStr"/>
      <c r="G684" t="inlineStr">
        <is>
          <t>NOT AVAILABLE</t>
        </is>
      </c>
      <c r="H684" t="inlineStr">
        <is>
          <t>NOT AVAILABLE</t>
        </is>
      </c>
      <c r="I684" t="inlineStr">
        <is>
          <t>Definition / how it works</t>
        </is>
      </c>
      <c r="J684" t="inlineStr">
        <is>
          <t>UNAVAILABLE</t>
        </is>
      </c>
      <c r="K684">
        <f>ROUND(IF(ISNUMBER(G684),MIN(50,ROUND(50*LOG10(G684+1)/4,1)),5)+IF(ISNUMBER(H684),ROUND(30*(100-H684)/100,1),15)+IF(B684="New",20,10),0)</f>
        <v/>
      </c>
      <c r="L684" t="inlineStr">
        <is>
          <t>KEEP</t>
        </is>
      </c>
      <c r="M684" s="5" t="inlineStr">
        <is>
          <t>Templated across 10 pages - acceptable for now; localise only if the page is kept (see F-02 / sheet 09)</t>
        </is>
      </c>
      <c r="N684" s="5" t="inlineStr">
        <is>
          <t>Notre modèle de révisions illimitées signifie exactement cela : nous affinons jusqu'à ce que vous soyez satisfait. Il n'y a pas de limite au nombre de modifications demandées, chaque révision étant gé</t>
        </is>
      </c>
      <c r="O684" t="inlineStr">
        <is>
          <t>P3</t>
        </is>
      </c>
      <c r="P684" t="inlineStr">
        <is>
          <t>FAQPage JSON-LD</t>
        </is>
      </c>
    </row>
    <row r="685">
      <c r="A685" s="3" t="inlineStr">
        <is>
          <t>https://codesommet.com/web-development-company/london</t>
        </is>
      </c>
      <c r="B685" t="inlineStr">
        <is>
          <t>Existing</t>
        </is>
      </c>
      <c r="C685" s="5" t="inlineStr">
        <is>
          <t>Fournissez-vous un support continu après le lancement pour les projets de Londres ?</t>
        </is>
      </c>
      <c r="D685" t="inlineStr">
        <is>
          <t>développement web londres</t>
        </is>
      </c>
      <c r="E685" t="inlineStr">
        <is>
          <t>uk</t>
        </is>
      </c>
      <c r="F685" s="5" t="inlineStr"/>
      <c r="G685" t="inlineStr">
        <is>
          <t>NOT AVAILABLE</t>
        </is>
      </c>
      <c r="H685" t="inlineStr">
        <is>
          <t>NOT AVAILABLE</t>
        </is>
      </c>
      <c r="I685" t="inlineStr">
        <is>
          <t>Support</t>
        </is>
      </c>
      <c r="J685" t="inlineStr">
        <is>
          <t>UNAVAILABLE</t>
        </is>
      </c>
      <c r="K685">
        <f>ROUND(IF(ISNUMBER(G685),MIN(50,ROUND(50*LOG10(G685+1)/4,1)),5)+IF(ISNUMBER(H685),ROUND(30*(100-H685)/100,1),15)+IF(B685="New",20,10),0)</f>
        <v/>
      </c>
      <c r="L685" t="inlineStr">
        <is>
          <t>KEEP</t>
        </is>
      </c>
      <c r="M685" s="5" t="inlineStr">
        <is>
          <t>Relevant to page intent</t>
        </is>
      </c>
      <c r="N685" s="5" t="inlineStr">
        <is>
          <t>Oui. Nous proposons un support continu complet : hébergement, maintenance, mises à jour de sécurité, surveillance des performances et mises à jour de contenu. Nos forfaits incluent une collaboration e</t>
        </is>
      </c>
      <c r="O685" t="inlineStr">
        <is>
          <t>P3</t>
        </is>
      </c>
      <c r="P685" t="inlineStr">
        <is>
          <t>FAQPage JSON-LD</t>
        </is>
      </c>
    </row>
    <row r="686">
      <c r="A686" s="3" t="inlineStr">
        <is>
          <t>https://codesommet.com/web-development-company/los-angeles</t>
        </is>
      </c>
      <c r="B686" t="inlineStr">
        <is>
          <t>Existing</t>
        </is>
      </c>
      <c r="C686" s="5" t="inlineStr">
        <is>
          <t>Pourquoi choisir CodeSommet plutôt que les nombreuses agences de développement web de Los Angeles ?</t>
        </is>
      </c>
      <c r="D686" t="inlineStr">
        <is>
          <t>développement web los angeles</t>
        </is>
      </c>
      <c r="E686" t="inlineStr">
        <is>
          <t>us</t>
        </is>
      </c>
      <c r="F686" s="5" t="inlineStr"/>
      <c r="G686" t="inlineStr">
        <is>
          <t>NOT AVAILABLE</t>
        </is>
      </c>
      <c r="H686" t="inlineStr">
        <is>
          <t>NOT AVAILABLE</t>
        </is>
      </c>
      <c r="I686" t="inlineStr">
        <is>
          <t>Differentiation</t>
        </is>
      </c>
      <c r="J686" t="inlineStr">
        <is>
          <t>UNAVAILABLE</t>
        </is>
      </c>
      <c r="K686">
        <f>ROUND(IF(ISNUMBER(G686),MIN(50,ROUND(50*LOG10(G686+1)/4,1)),5)+IF(ISNUMBER(H686),ROUND(30*(100-H686)/100,1),15)+IF(B686="New",20,10),0)</f>
        <v/>
      </c>
      <c r="L686" t="inlineStr">
        <is>
          <t>KEEP</t>
        </is>
      </c>
      <c r="M686" s="5" t="inlineStr">
        <is>
          <t>Templated across 10 pages - acceptable for now; localise only if the page is kept (see F-02 / sheet 09)</t>
        </is>
      </c>
      <c r="N686" s="5" t="inlineStr">
        <is>
          <t>Parce que nous combinons un design soigné, des technologies modernes et une livraison rapide : la plupart des sites vitrines sont en ligne en 2 à 5 jours après validation du périmètre (et en 2 jours s</t>
        </is>
      </c>
      <c r="O686" t="inlineStr">
        <is>
          <t>P3</t>
        </is>
      </c>
      <c r="P686" t="inlineStr">
        <is>
          <t>FAQPage JSON-LD</t>
        </is>
      </c>
    </row>
    <row r="687">
      <c r="A687" s="3" t="inlineStr">
        <is>
          <t>https://codesommet.com/web-development-company/los-angeles</t>
        </is>
      </c>
      <c r="B687" t="inlineStr">
        <is>
          <t>Existing</t>
        </is>
      </c>
      <c r="C687" s="5" t="inlineStr">
        <is>
          <t>Travaillez-vous avec les startups et les entreprises en phase de démarrage de Los Angeles ?</t>
        </is>
      </c>
      <c r="D687" t="inlineStr">
        <is>
          <t>développement web los angeles</t>
        </is>
      </c>
      <c r="E687" t="inlineStr">
        <is>
          <t>us</t>
        </is>
      </c>
      <c r="F687" s="5" t="inlineStr"/>
      <c r="G687" t="inlineStr">
        <is>
          <t>NOT AVAILABLE</t>
        </is>
      </c>
      <c r="H687" t="inlineStr">
        <is>
          <t>NOT AVAILABLE</t>
        </is>
      </c>
      <c r="I687" t="inlineStr">
        <is>
          <t>Service scope</t>
        </is>
      </c>
      <c r="J687" t="inlineStr">
        <is>
          <t>UNAVAILABLE</t>
        </is>
      </c>
      <c r="K687">
        <f>ROUND(IF(ISNUMBER(G687),MIN(50,ROUND(50*LOG10(G687+1)/4,1)),5)+IF(ISNUMBER(H687),ROUND(30*(100-H687)/100,1),15)+IF(B687="New",20,10),0)</f>
        <v/>
      </c>
      <c r="L687" t="inlineStr">
        <is>
          <t>KEEP</t>
        </is>
      </c>
      <c r="M687" s="5" t="inlineStr">
        <is>
          <t>Templated across 5 pages - acceptable for now; localise only if the page is kept (see F-02 / sheet 09)</t>
        </is>
      </c>
      <c r="N687" s="5" t="inlineStr">
        <is>
          <t>Absolument. Nous travaillons avec des entreprises de toutes tailles, des startups en démarrage aux structures établies. Notre tarification flexible et nos forfaits mensuels sont pensés pour évoluer av</t>
        </is>
      </c>
      <c r="O687" t="inlineStr">
        <is>
          <t>P3</t>
        </is>
      </c>
      <c r="P687" t="inlineStr">
        <is>
          <t>FAQPage JSON-LD</t>
        </is>
      </c>
    </row>
    <row r="688">
      <c r="A688" s="3" t="inlineStr">
        <is>
          <t>https://codesommet.com/web-development-company/los-angeles</t>
        </is>
      </c>
      <c r="B688" t="inlineStr">
        <is>
          <t>Existing</t>
        </is>
      </c>
      <c r="C688" s="5" t="inlineStr">
        <is>
          <t>Quelles technologies utilisez-vous pour les projets de Los Angeles ?</t>
        </is>
      </c>
      <c r="D688" t="inlineStr">
        <is>
          <t>développement web los angeles</t>
        </is>
      </c>
      <c r="E688" t="inlineStr">
        <is>
          <t>us</t>
        </is>
      </c>
      <c r="F688" s="5" t="inlineStr"/>
      <c r="G688" t="inlineStr">
        <is>
          <t>NOT AVAILABLE</t>
        </is>
      </c>
      <c r="H688" t="inlineStr">
        <is>
          <t>NOT AVAILABLE</t>
        </is>
      </c>
      <c r="I688" t="inlineStr">
        <is>
          <t>Service scope</t>
        </is>
      </c>
      <c r="J688" t="inlineStr">
        <is>
          <t>UNAVAILABLE</t>
        </is>
      </c>
      <c r="K688">
        <f>ROUND(IF(ISNUMBER(G688),MIN(50,ROUND(50*LOG10(G688+1)/4,1)),5)+IF(ISNUMBER(H688),ROUND(30*(100-H688)/100,1),15)+IF(B688="New",20,10),0)</f>
        <v/>
      </c>
      <c r="L688" t="inlineStr">
        <is>
          <t>KEEP</t>
        </is>
      </c>
      <c r="M688" s="5" t="inlineStr">
        <is>
          <t>Templated across 5 pages - acceptable for now; localise only if the page is kept (see F-02 / sheet 09)</t>
        </is>
      </c>
      <c r="N688" s="5" t="inlineStr">
        <is>
          <t>Nous utilisons des technologies modernes comme Next.js, React, TypeScript, Node.js et Laravel pour le développement web. Côté IA, nous intégrons des chatbots sur mesure et des automatisations intellig</t>
        </is>
      </c>
      <c r="O688" t="inlineStr">
        <is>
          <t>P3</t>
        </is>
      </c>
      <c r="P688" t="inlineStr">
        <is>
          <t>FAQPage JSON-LD</t>
        </is>
      </c>
    </row>
    <row r="689">
      <c r="A689" s="3" t="inlineStr">
        <is>
          <t>https://codesommet.com/web-development-company/los-angeles</t>
        </is>
      </c>
      <c r="B689" t="inlineStr">
        <is>
          <t>Existing</t>
        </is>
      </c>
      <c r="C689" s="5" t="inlineStr">
        <is>
          <t>Pouvez-vous vous intégrer aux systèmes existants utilisés par les entreprises de Los Angeles ?</t>
        </is>
      </c>
      <c r="D689" t="inlineStr">
        <is>
          <t>développement web los angeles</t>
        </is>
      </c>
      <c r="E689" t="inlineStr">
        <is>
          <t>us</t>
        </is>
      </c>
      <c r="F689" s="5" t="inlineStr"/>
      <c r="G689" t="inlineStr">
        <is>
          <t>NOT AVAILABLE</t>
        </is>
      </c>
      <c r="H689" t="inlineStr">
        <is>
          <t>NOT AVAILABLE</t>
        </is>
      </c>
      <c r="I689" t="inlineStr">
        <is>
          <t>Service scope</t>
        </is>
      </c>
      <c r="J689" t="inlineStr">
        <is>
          <t>UNAVAILABLE</t>
        </is>
      </c>
      <c r="K689">
        <f>ROUND(IF(ISNUMBER(G689),MIN(50,ROUND(50*LOG10(G689+1)/4,1)),5)+IF(ISNUMBER(H689),ROUND(30*(100-H689)/100,1),15)+IF(B689="New",20,10),0)</f>
        <v/>
      </c>
      <c r="L689" t="inlineStr">
        <is>
          <t>KEEP</t>
        </is>
      </c>
      <c r="M689" s="5" t="inlineStr">
        <is>
          <t>Templated across 11 pages - acceptable for now; localise only if the page is kept (see F-02 / sheet 09)</t>
        </is>
      </c>
      <c r="N689" s="5" t="inlineStr">
        <is>
          <t>Oui. Nous intégrons vos systèmes existants : CRM, ERP, passerelles de paiement, systèmes de réservation et API tierces. Que vous utilisiez Salesforce, HubSpot, Stripe ou des outils internes, nous assu</t>
        </is>
      </c>
      <c r="O689" t="inlineStr">
        <is>
          <t>P3</t>
        </is>
      </c>
      <c r="P689" t="inlineStr">
        <is>
          <t>FAQPage JSON-LD</t>
        </is>
      </c>
    </row>
    <row r="690">
      <c r="A690" s="3" t="inlineStr">
        <is>
          <t>https://codesommet.com/web-development-company/los-angeles</t>
        </is>
      </c>
      <c r="B690" t="inlineStr">
        <is>
          <t>Existing</t>
        </is>
      </c>
      <c r="C690" s="5" t="inlineStr">
        <is>
          <t>Comment fonctionne le modèle de révisions illimitées pour les clients de Los Angeles ?</t>
        </is>
      </c>
      <c r="D690" t="inlineStr">
        <is>
          <t>développement web los angeles</t>
        </is>
      </c>
      <c r="E690" t="inlineStr">
        <is>
          <t>us</t>
        </is>
      </c>
      <c r="F690" s="5" t="inlineStr"/>
      <c r="G690" t="inlineStr">
        <is>
          <t>NOT AVAILABLE</t>
        </is>
      </c>
      <c r="H690" t="inlineStr">
        <is>
          <t>NOT AVAILABLE</t>
        </is>
      </c>
      <c r="I690" t="inlineStr">
        <is>
          <t>Definition / how it works</t>
        </is>
      </c>
      <c r="J690" t="inlineStr">
        <is>
          <t>UNAVAILABLE</t>
        </is>
      </c>
      <c r="K690">
        <f>ROUND(IF(ISNUMBER(G690),MIN(50,ROUND(50*LOG10(G690+1)/4,1)),5)+IF(ISNUMBER(H690),ROUND(30*(100-H690)/100,1),15)+IF(B690="New",20,10),0)</f>
        <v/>
      </c>
      <c r="L690" t="inlineStr">
        <is>
          <t>KEEP</t>
        </is>
      </c>
      <c r="M690" s="5" t="inlineStr">
        <is>
          <t>Templated across 10 pages - acceptable for now; localise only if the page is kept (see F-02 / sheet 09)</t>
        </is>
      </c>
      <c r="N690" s="5" t="inlineStr">
        <is>
          <t>Notre modèle de révisions illimitées signifie exactement cela : nous affinons jusqu'à ce que vous soyez satisfait. Il n'y a pas de limite au nombre de modifications demandées, chaque révision étant gé</t>
        </is>
      </c>
      <c r="O690" t="inlineStr">
        <is>
          <t>P3</t>
        </is>
      </c>
      <c r="P690" t="inlineStr">
        <is>
          <t>FAQPage JSON-LD</t>
        </is>
      </c>
    </row>
    <row r="691">
      <c r="A691" s="3" t="inlineStr">
        <is>
          <t>https://codesommet.com/web-development-company/los-angeles</t>
        </is>
      </c>
      <c r="B691" t="inlineStr">
        <is>
          <t>Existing</t>
        </is>
      </c>
      <c r="C691" s="5" t="inlineStr">
        <is>
          <t>Fournissez-vous un support continu après le lancement pour les projets de Los Angeles ?</t>
        </is>
      </c>
      <c r="D691" t="inlineStr">
        <is>
          <t>développement web los angeles</t>
        </is>
      </c>
      <c r="E691" t="inlineStr">
        <is>
          <t>us</t>
        </is>
      </c>
      <c r="F691" s="5" t="inlineStr"/>
      <c r="G691" t="inlineStr">
        <is>
          <t>NOT AVAILABLE</t>
        </is>
      </c>
      <c r="H691" t="inlineStr">
        <is>
          <t>NOT AVAILABLE</t>
        </is>
      </c>
      <c r="I691" t="inlineStr">
        <is>
          <t>Support</t>
        </is>
      </c>
      <c r="J691" t="inlineStr">
        <is>
          <t>UNAVAILABLE</t>
        </is>
      </c>
      <c r="K691">
        <f>ROUND(IF(ISNUMBER(G691),MIN(50,ROUND(50*LOG10(G691+1)/4,1)),5)+IF(ISNUMBER(H691),ROUND(30*(100-H691)/100,1),15)+IF(B691="New",20,10),0)</f>
        <v/>
      </c>
      <c r="L691" t="inlineStr">
        <is>
          <t>KEEP</t>
        </is>
      </c>
      <c r="M691" s="5" t="inlineStr">
        <is>
          <t>Relevant to page intent</t>
        </is>
      </c>
      <c r="N691" s="5" t="inlineStr">
        <is>
          <t>Oui. Nous proposons un support continu complet : hébergement, maintenance, mises à jour de sécurité, surveillance des performances et mises à jour de contenu. Nos forfaits incluent une collaboration e</t>
        </is>
      </c>
      <c r="O691" t="inlineStr">
        <is>
          <t>P3</t>
        </is>
      </c>
      <c r="P691" t="inlineStr">
        <is>
          <t>FAQPage JSON-LD</t>
        </is>
      </c>
    </row>
    <row r="692">
      <c r="A692" s="3" t="inlineStr">
        <is>
          <t>https://codesommet.com/web-development-company/madrid</t>
        </is>
      </c>
      <c r="B692" t="inlineStr">
        <is>
          <t>Existing</t>
        </is>
      </c>
      <c r="C692" s="5" t="inlineStr">
        <is>
          <t>Avez-vous un bureau physique à Madrid ?</t>
        </is>
      </c>
      <c r="D692" t="inlineStr">
        <is>
          <t>développement web madrid</t>
        </is>
      </c>
      <c r="E692" t="inlineStr">
        <is>
          <t>es</t>
        </is>
      </c>
      <c r="F692" s="5" t="inlineStr"/>
      <c r="G692" t="inlineStr">
        <is>
          <t>NOT AVAILABLE</t>
        </is>
      </c>
      <c r="H692" t="inlineStr">
        <is>
          <t>NOT AVAILABLE</t>
        </is>
      </c>
      <c r="I692" t="inlineStr">
        <is>
          <t>Location / logistics</t>
        </is>
      </c>
      <c r="J692" t="inlineStr">
        <is>
          <t>UNAVAILABLE</t>
        </is>
      </c>
      <c r="K692">
        <f>ROUND(IF(ISNUMBER(G692),MIN(50,ROUND(50*LOG10(G692+1)/4,1)),5)+IF(ISNUMBER(H692),ROUND(30*(100-H692)/100,1),15)+IF(B692="New",20,10),0)</f>
        <v/>
      </c>
      <c r="L692" t="inlineStr">
        <is>
          <t>KEEP</t>
        </is>
      </c>
      <c r="M692" s="5" t="inlineStr">
        <is>
          <t>Templated across 8 pages - acceptable for now; localise only if the page is kept (see F-02 / sheet 09)</t>
        </is>
      </c>
      <c r="N692" s="5" t="inlineStr">
        <is>
          <t>Nous n'avons pas de bureau à Madrid : notre équipe travaille à distance depuis le Maroc et collabore avec ses clients entièrement en ligne (appels vidéo, Slack, suivi de projet en temps réel). Cela no</t>
        </is>
      </c>
      <c r="O692" t="inlineStr">
        <is>
          <t>P3</t>
        </is>
      </c>
      <c r="P692" t="inlineStr">
        <is>
          <t>FAQPage JSON-LD</t>
        </is>
      </c>
    </row>
    <row r="693">
      <c r="A693" s="3" t="inlineStr">
        <is>
          <t>https://codesommet.com/web-development-company/madrid</t>
        </is>
      </c>
      <c r="B693" t="inlineStr">
        <is>
          <t>Existing</t>
        </is>
      </c>
      <c r="C693" s="5" t="inlineStr">
        <is>
          <t>Pouvez-vous travailler avec les entreprises de Madrid à distance ?</t>
        </is>
      </c>
      <c r="D693" t="inlineStr">
        <is>
          <t>développement web madrid</t>
        </is>
      </c>
      <c r="E693" t="inlineStr">
        <is>
          <t>es</t>
        </is>
      </c>
      <c r="F693" s="5" t="inlineStr"/>
      <c r="G693" t="inlineStr">
        <is>
          <t>NOT AVAILABLE</t>
        </is>
      </c>
      <c r="H693" t="inlineStr">
        <is>
          <t>NOT AVAILABLE</t>
        </is>
      </c>
      <c r="I693" t="inlineStr">
        <is>
          <t>Location / logistics</t>
        </is>
      </c>
      <c r="J693" t="inlineStr">
        <is>
          <t>UNAVAILABLE</t>
        </is>
      </c>
      <c r="K693">
        <f>ROUND(IF(ISNUMBER(G693),MIN(50,ROUND(50*LOG10(G693+1)/4,1)),5)+IF(ISNUMBER(H693),ROUND(30*(100-H693)/100,1),15)+IF(B693="New",20,10),0)</f>
        <v/>
      </c>
      <c r="L693" t="inlineStr">
        <is>
          <t>KEEP</t>
        </is>
      </c>
      <c r="M693" s="5" t="inlineStr">
        <is>
          <t>Templated across 8 pages - acceptable for now; localise only if the page is kept (see F-02 / sheet 09)</t>
        </is>
      </c>
      <c r="N693" s="5" t="inlineStr">
        <is>
          <t>Oui, tout se passe en ligne : appels vidéo pour le cadrage et les validations, collaboration sur Slack au quotidien et suivi de projet en temps réel. Nous adaptons nos créneaux au fuseau horaire de Ma</t>
        </is>
      </c>
      <c r="O693" t="inlineStr">
        <is>
          <t>P3</t>
        </is>
      </c>
      <c r="P693" t="inlineStr">
        <is>
          <t>FAQPage JSON-LD</t>
        </is>
      </c>
    </row>
    <row r="694">
      <c r="A694" s="3" t="inlineStr">
        <is>
          <t>https://codesommet.com/web-development-company/madrid</t>
        </is>
      </c>
      <c r="B694" t="inlineStr">
        <is>
          <t>Existing</t>
        </is>
      </c>
      <c r="C694" s="5" t="inlineStr">
        <is>
          <t>Quels modes de paiement acceptez-vous à Madrid ?</t>
        </is>
      </c>
      <c r="D694" t="inlineStr">
        <is>
          <t>développement web madrid</t>
        </is>
      </c>
      <c r="E694" t="inlineStr">
        <is>
          <t>es</t>
        </is>
      </c>
      <c r="F694" s="5" t="inlineStr"/>
      <c r="G694" t="inlineStr">
        <is>
          <t>NOT AVAILABLE</t>
        </is>
      </c>
      <c r="H694" t="inlineStr">
        <is>
          <t>NOT AVAILABLE</t>
        </is>
      </c>
      <c r="I694" t="inlineStr">
        <is>
          <t>Payment</t>
        </is>
      </c>
      <c r="J694" t="inlineStr">
        <is>
          <t>UNAVAILABLE</t>
        </is>
      </c>
      <c r="K694">
        <f>ROUND(IF(ISNUMBER(G694),MIN(50,ROUND(50*LOG10(G694+1)/4,1)),5)+IF(ISNUMBER(H694),ROUND(30*(100-H694)/100,1),15)+IF(B694="New",20,10),0)</f>
        <v/>
      </c>
      <c r="L694" t="inlineStr">
        <is>
          <t>KEEP</t>
        </is>
      </c>
      <c r="M694" s="5" t="inlineStr">
        <is>
          <t>Templated across 8 pages - acceptable for now; localise only if the page is kept (see F-02 / sheet 09)</t>
        </is>
      </c>
      <c r="N694" s="5" t="inlineStr">
        <is>
          <t xml:space="preserve">Nous acceptons les principaux moyens de paiement : virement bancaire, carte et PayPal selon votre pays. Le paiement est généralement échelonné par jalons, avec un acompte au démarrage puis le solde à </t>
        </is>
      </c>
      <c r="O694" t="inlineStr">
        <is>
          <t>P3</t>
        </is>
      </c>
      <c r="P694" t="inlineStr">
        <is>
          <t>FAQPage JSON-LD</t>
        </is>
      </c>
    </row>
    <row r="695">
      <c r="A695" s="3" t="inlineStr">
        <is>
          <t>https://codesommet.com/web-development-company/madrid</t>
        </is>
      </c>
      <c r="B695" t="inlineStr">
        <is>
          <t>Existing</t>
        </is>
      </c>
      <c r="C695" s="5" t="inlineStr">
        <is>
          <t>Comprenez-vous les lois de conformité et de protection des données d'Espagne ?</t>
        </is>
      </c>
      <c r="D695" t="inlineStr">
        <is>
          <t>développement web madrid</t>
        </is>
      </c>
      <c r="E695" t="inlineStr">
        <is>
          <t>es</t>
        </is>
      </c>
      <c r="F695" s="5" t="inlineStr"/>
      <c r="G695" t="inlineStr">
        <is>
          <t>NOT AVAILABLE</t>
        </is>
      </c>
      <c r="H695" t="inlineStr">
        <is>
          <t>NOT AVAILABLE</t>
        </is>
      </c>
      <c r="I695" t="inlineStr">
        <is>
          <t>Compliance / security</t>
        </is>
      </c>
      <c r="J695" t="inlineStr">
        <is>
          <t>UNAVAILABLE</t>
        </is>
      </c>
      <c r="K695">
        <f>ROUND(IF(ISNUMBER(G695),MIN(50,ROUND(50*LOG10(G695+1)/4,1)),5)+IF(ISNUMBER(H695),ROUND(30*(100-H695)/100,1),15)+IF(B695="New",20,10),0)</f>
        <v/>
      </c>
      <c r="L695" t="inlineStr">
        <is>
          <t>KEEP</t>
        </is>
      </c>
      <c r="M695" s="5" t="inlineStr">
        <is>
          <t>Relevant to page intent</t>
        </is>
      </c>
      <c r="N695" s="5" t="inlineStr">
        <is>
          <t>Nous concevons des sites conformes aux bonnes pratiques de protection des données : consentement aux cookies, politique de confidentialité, sécurisation des formulaires et des données. Pour les exigen</t>
        </is>
      </c>
      <c r="O695" t="inlineStr">
        <is>
          <t>P3</t>
        </is>
      </c>
      <c r="P695" t="inlineStr">
        <is>
          <t>FAQPage JSON-LD</t>
        </is>
      </c>
    </row>
    <row r="696">
      <c r="A696" s="3" t="inlineStr">
        <is>
          <t>https://codesommet.com/web-development-company/madrid</t>
        </is>
      </c>
      <c r="B696" t="inlineStr">
        <is>
          <t>Existing</t>
        </is>
      </c>
      <c r="C696" s="5" t="inlineStr">
        <is>
          <t>À quelle vitesse pouvez-vous lancer un site web pour mon entreprise à Madrid ?</t>
        </is>
      </c>
      <c r="D696" t="inlineStr">
        <is>
          <t>développement web madrid</t>
        </is>
      </c>
      <c r="E696" t="inlineStr">
        <is>
          <t>es</t>
        </is>
      </c>
      <c r="F696" s="5" t="inlineStr"/>
      <c r="G696" t="inlineStr">
        <is>
          <t>NOT AVAILABLE</t>
        </is>
      </c>
      <c r="H696" t="inlineStr">
        <is>
          <t>NOT AVAILABLE</t>
        </is>
      </c>
      <c r="I696" t="inlineStr">
        <is>
          <t>Timeline</t>
        </is>
      </c>
      <c r="J696" t="inlineStr">
        <is>
          <t>UNAVAILABLE</t>
        </is>
      </c>
      <c r="K696">
        <f>ROUND(IF(ISNUMBER(G696),MIN(50,ROUND(50*LOG10(G696+1)/4,1)),5)+IF(ISNUMBER(H696),ROUND(30*(100-H696)/100,1),15)+IF(B696="New",20,10),0)</f>
        <v/>
      </c>
      <c r="L696" t="inlineStr">
        <is>
          <t>KEEP</t>
        </is>
      </c>
      <c r="M696" s="5" t="inlineStr">
        <is>
          <t>Templated across 5 pages - acceptable for now; localise only if the page is kept (see F-02 / sheet 09)</t>
        </is>
      </c>
      <c r="N696" s="5" t="inlineStr">
        <is>
          <t>La plupart des sites vitrines sont livrés en 2 à 5 jours après validation du périmètre. Pour les projets urgents, notre formule express permet une mise en ligne en 2 jours seulement. Les plateformes p</t>
        </is>
      </c>
      <c r="O696" t="inlineStr">
        <is>
          <t>P3</t>
        </is>
      </c>
      <c r="P696" t="inlineStr">
        <is>
          <t>FAQPage JSON-LD</t>
        </is>
      </c>
    </row>
    <row r="697">
      <c r="A697" s="3" t="inlineStr">
        <is>
          <t>https://codesommet.com/web-development-company/madrid</t>
        </is>
      </c>
      <c r="B697" t="inlineStr">
        <is>
          <t>Existing</t>
        </is>
      </c>
      <c r="C697" s="5" t="inlineStr">
        <is>
          <t>Pouvez-vous aider avec l'enregistrement de domaine .es ?</t>
        </is>
      </c>
      <c r="D697" t="inlineStr">
        <is>
          <t>développement web madrid</t>
        </is>
      </c>
      <c r="E697" t="inlineStr">
        <is>
          <t>es</t>
        </is>
      </c>
      <c r="F697" s="5" t="inlineStr"/>
      <c r="G697" t="inlineStr">
        <is>
          <t>NOT AVAILABLE</t>
        </is>
      </c>
      <c r="H697" t="inlineStr">
        <is>
          <t>NOT AVAILABLE</t>
        </is>
      </c>
      <c r="I697" t="inlineStr">
        <is>
          <t>Service scope</t>
        </is>
      </c>
      <c r="J697" t="inlineStr">
        <is>
          <t>UNAVAILABLE</t>
        </is>
      </c>
      <c r="K697">
        <f>ROUND(IF(ISNUMBER(G697),MIN(50,ROUND(50*LOG10(G697+1)/4,1)),5)+IF(ISNUMBER(H697),ROUND(30*(100-H697)/100,1),15)+IF(B697="New",20,10),0)</f>
        <v/>
      </c>
      <c r="L697" t="inlineStr">
        <is>
          <t>KEEP</t>
        </is>
      </c>
      <c r="M697" s="5" t="inlineStr">
        <is>
          <t>Templated across 12 pages - acceptable for now; localise only if the page is kept (see F-02 / sheet 09)</t>
        </is>
      </c>
      <c r="N697" s="5" t="inlineStr">
        <is>
          <t>Oui. Nous vous conseillons sur le choix du nom de domaine (.es ou .com selon votre cible), nous vous guidons pour l'enregistrement auprès d'un registrar et nous configurons le DNS, le certificat SSL e</t>
        </is>
      </c>
      <c r="O697" t="inlineStr">
        <is>
          <t>P3</t>
        </is>
      </c>
      <c r="P697" t="inlineStr">
        <is>
          <t>FAQPage JSON-LD</t>
        </is>
      </c>
    </row>
    <row r="698">
      <c r="A698" s="3" t="inlineStr">
        <is>
          <t>https://codesommet.com/web-development-company/marrakech</t>
        </is>
      </c>
      <c r="B698" t="inlineStr">
        <is>
          <t>Existing</t>
        </is>
      </c>
      <c r="C698" s="5" t="inlineStr">
        <is>
          <t>Avez-vous un bureau physique à Marrakech ?</t>
        </is>
      </c>
      <c r="D698" t="inlineStr">
        <is>
          <t>site web marrakech</t>
        </is>
      </c>
      <c r="E698" t="inlineStr">
        <is>
          <t>ma</t>
        </is>
      </c>
      <c r="F698" s="5" t="inlineStr"/>
      <c r="G698" t="n">
        <v>90</v>
      </c>
      <c r="H698" t="inlineStr">
        <is>
          <t>NOT AVAILABLE</t>
        </is>
      </c>
      <c r="I698" t="inlineStr">
        <is>
          <t>Location / logistics</t>
        </is>
      </c>
      <c r="J698" t="inlineStr">
        <is>
          <t>MEASURED</t>
        </is>
      </c>
      <c r="K698">
        <f>ROUND(IF(ISNUMBER(G698),MIN(50,ROUND(50*LOG10(G698+1)/4,1)),5)+IF(ISNUMBER(H698),ROUND(30*(100-H698)/100,1),15)+IF(B698="New",20,10),0)</f>
        <v/>
      </c>
      <c r="L698" t="inlineStr">
        <is>
          <t>KEEP</t>
        </is>
      </c>
      <c r="M698" s="5" t="inlineStr">
        <is>
          <t>Relevant to page intent</t>
        </is>
      </c>
      <c r="N698" s="5" t="inlineStr">
        <is>
          <t>Nous n'avons pas de bureau à Marrakech : notre équipe travaille à distance depuis le Maroc et collabore avec ses clients entièrement en ligne (appels vidéo, Slack, suivi de projet en temps réel). Cela</t>
        </is>
      </c>
      <c r="O698" t="inlineStr">
        <is>
          <t>P2</t>
        </is>
      </c>
      <c r="P698" t="inlineStr">
        <is>
          <t>FAQPage JSON-LD</t>
        </is>
      </c>
    </row>
    <row r="699">
      <c r="A699" s="3" t="inlineStr">
        <is>
          <t>https://codesommet.com/web-development-company/marrakech</t>
        </is>
      </c>
      <c r="B699" t="inlineStr">
        <is>
          <t>Existing</t>
        </is>
      </c>
      <c r="C699" s="5" t="inlineStr">
        <is>
          <t>Pouvez-vous travailler avec les entreprises de Marrakech à distance ?</t>
        </is>
      </c>
      <c r="D699" t="inlineStr">
        <is>
          <t>site web marrakech</t>
        </is>
      </c>
      <c r="E699" t="inlineStr">
        <is>
          <t>ma</t>
        </is>
      </c>
      <c r="F699" s="5" t="inlineStr"/>
      <c r="G699" t="n">
        <v>90</v>
      </c>
      <c r="H699" t="inlineStr">
        <is>
          <t>NOT AVAILABLE</t>
        </is>
      </c>
      <c r="I699" t="inlineStr">
        <is>
          <t>Location / logistics</t>
        </is>
      </c>
      <c r="J699" t="inlineStr">
        <is>
          <t>MEASURED</t>
        </is>
      </c>
      <c r="K699">
        <f>ROUND(IF(ISNUMBER(G699),MIN(50,ROUND(50*LOG10(G699+1)/4,1)),5)+IF(ISNUMBER(H699),ROUND(30*(100-H699)/100,1),15)+IF(B699="New",20,10),0)</f>
        <v/>
      </c>
      <c r="L699" t="inlineStr">
        <is>
          <t>KEEP</t>
        </is>
      </c>
      <c r="M699" s="5" t="inlineStr">
        <is>
          <t>Relevant to page intent</t>
        </is>
      </c>
      <c r="N699" s="5" t="inlineStr">
        <is>
          <t>Oui, tout se passe en ligne : appels vidéo pour le cadrage et les validations, collaboration sur Slack au quotidien et suivi de projet en temps réel. Nous adaptons nos créneaux au fuseau horaire de Ma</t>
        </is>
      </c>
      <c r="O699" t="inlineStr">
        <is>
          <t>P2</t>
        </is>
      </c>
      <c r="P699" t="inlineStr">
        <is>
          <t>FAQPage JSON-LD</t>
        </is>
      </c>
    </row>
    <row r="700">
      <c r="A700" s="3" t="inlineStr">
        <is>
          <t>https://codesommet.com/web-development-company/marrakech</t>
        </is>
      </c>
      <c r="B700" t="inlineStr">
        <is>
          <t>Existing</t>
        </is>
      </c>
      <c r="C700" s="5" t="inlineStr">
        <is>
          <t>Quels modes de paiement acceptez-vous à Marrakech ?</t>
        </is>
      </c>
      <c r="D700" t="inlineStr">
        <is>
          <t>site web marrakech</t>
        </is>
      </c>
      <c r="E700" t="inlineStr">
        <is>
          <t>ma</t>
        </is>
      </c>
      <c r="F700" s="5" t="inlineStr"/>
      <c r="G700" t="n">
        <v>90</v>
      </c>
      <c r="H700" t="inlineStr">
        <is>
          <t>NOT AVAILABLE</t>
        </is>
      </c>
      <c r="I700" t="inlineStr">
        <is>
          <t>Payment</t>
        </is>
      </c>
      <c r="J700" t="inlineStr">
        <is>
          <t>MEASURED</t>
        </is>
      </c>
      <c r="K700">
        <f>ROUND(IF(ISNUMBER(G700),MIN(50,ROUND(50*LOG10(G700+1)/4,1)),5)+IF(ISNUMBER(H700),ROUND(30*(100-H700)/100,1),15)+IF(B700="New",20,10),0)</f>
        <v/>
      </c>
      <c r="L700" t="inlineStr">
        <is>
          <t>KEEP</t>
        </is>
      </c>
      <c r="M700" s="5" t="inlineStr">
        <is>
          <t>Relevant to page intent</t>
        </is>
      </c>
      <c r="N700" s="5" t="inlineStr">
        <is>
          <t xml:space="preserve">Nous acceptons les principaux moyens de paiement : virement bancaire, carte et PayPal selon votre pays. Le paiement est généralement échelonné par jalons, avec un acompte au démarrage puis le solde à </t>
        </is>
      </c>
      <c r="O700" t="inlineStr">
        <is>
          <t>P2</t>
        </is>
      </c>
      <c r="P700" t="inlineStr">
        <is>
          <t>FAQPage JSON-LD</t>
        </is>
      </c>
    </row>
    <row r="701">
      <c r="A701" s="3" t="inlineStr">
        <is>
          <t>https://codesommet.com/web-development-company/marrakech</t>
        </is>
      </c>
      <c r="B701" t="inlineStr">
        <is>
          <t>Existing</t>
        </is>
      </c>
      <c r="C701" s="5" t="inlineStr">
        <is>
          <t>Comprenez-vous les lois de conformité et de protection des données du Morocco ?</t>
        </is>
      </c>
      <c r="D701" t="inlineStr">
        <is>
          <t>création site web marrakech</t>
        </is>
      </c>
      <c r="E701" t="inlineStr">
        <is>
          <t>ma</t>
        </is>
      </c>
      <c r="F701" s="5" t="inlineStr"/>
      <c r="G701" t="n">
        <v>590</v>
      </c>
      <c r="H701" t="n">
        <v>19</v>
      </c>
      <c r="I701" t="inlineStr">
        <is>
          <t>Compliance / security</t>
        </is>
      </c>
      <c r="J701" t="inlineStr">
        <is>
          <t>MEASURED</t>
        </is>
      </c>
      <c r="K701">
        <f>ROUND(IF(ISNUMBER(G701),MIN(50,ROUND(50*LOG10(G701+1)/4,1)),5)+IF(ISNUMBER(H701),ROUND(30*(100-H701)/100,1),15)+IF(B701="New",20,10),0)</f>
        <v/>
      </c>
      <c r="L701" t="inlineStr">
        <is>
          <t>REWRITE</t>
        </is>
      </c>
      <c r="M701" s="5" t="inlineStr">
        <is>
          <t>Untranslated "Morocco" in French copy (template variable bug)</t>
        </is>
      </c>
      <c r="N701" s="5" t="inlineStr">
        <is>
          <t>Nous concevons des sites conformes aux bonnes pratiques de protection des données : consentement aux cookies, politique de confidentialité, sécurisation des formulaires et des données. Pour les exigen</t>
        </is>
      </c>
      <c r="O701" t="inlineStr">
        <is>
          <t>P1</t>
        </is>
      </c>
      <c r="P701" t="inlineStr">
        <is>
          <t>FAQPage JSON-LD</t>
        </is>
      </c>
    </row>
    <row r="702">
      <c r="A702" s="3" t="inlineStr">
        <is>
          <t>https://codesommet.com/web-development-company/marrakech</t>
        </is>
      </c>
      <c r="B702" t="inlineStr">
        <is>
          <t>Existing</t>
        </is>
      </c>
      <c r="C702" s="5" t="inlineStr">
        <is>
          <t>À quelle vitesse pouvez-vous lancer un site web pour mon entreprise à Marrakech ?</t>
        </is>
      </c>
      <c r="D702" t="inlineStr">
        <is>
          <t>site web marrakech</t>
        </is>
      </c>
      <c r="E702" t="inlineStr">
        <is>
          <t>ma</t>
        </is>
      </c>
      <c r="F702" s="5" t="inlineStr"/>
      <c r="G702" t="n">
        <v>90</v>
      </c>
      <c r="H702" t="inlineStr">
        <is>
          <t>NOT AVAILABLE</t>
        </is>
      </c>
      <c r="I702" t="inlineStr">
        <is>
          <t>Timeline</t>
        </is>
      </c>
      <c r="J702" t="inlineStr">
        <is>
          <t>MEASURED</t>
        </is>
      </c>
      <c r="K702">
        <f>ROUND(IF(ISNUMBER(G702),MIN(50,ROUND(50*LOG10(G702+1)/4,1)),5)+IF(ISNUMBER(H702),ROUND(30*(100-H702)/100,1),15)+IF(B702="New",20,10),0)</f>
        <v/>
      </c>
      <c r="L702" t="inlineStr">
        <is>
          <t>KEEP</t>
        </is>
      </c>
      <c r="M702" s="5" t="inlineStr">
        <is>
          <t>Matches measured pre-purchase demand</t>
        </is>
      </c>
      <c r="N702" s="5" t="inlineStr">
        <is>
          <t>La plupart des sites vitrines sont livrés en 2 à 5 jours après validation du périmètre. Pour les projets urgents, notre formule express permet une mise en ligne en 2 jours seulement. Les plateformes p</t>
        </is>
      </c>
      <c r="O702" t="inlineStr">
        <is>
          <t>P2</t>
        </is>
      </c>
      <c r="P702" t="inlineStr">
        <is>
          <t>FAQPage JSON-LD</t>
        </is>
      </c>
    </row>
    <row r="703">
      <c r="A703" s="3" t="inlineStr">
        <is>
          <t>https://codesommet.com/web-development-company/marrakech</t>
        </is>
      </c>
      <c r="B703" t="inlineStr">
        <is>
          <t>Existing</t>
        </is>
      </c>
      <c r="C703" s="5" t="inlineStr">
        <is>
          <t>Pouvez-vous aider avec l'enregistrement de domaine .ma ?</t>
        </is>
      </c>
      <c r="D703" t="inlineStr">
        <is>
          <t>création site web marrakech</t>
        </is>
      </c>
      <c r="E703" t="inlineStr">
        <is>
          <t>ma</t>
        </is>
      </c>
      <c r="F703" s="5" t="inlineStr"/>
      <c r="G703" t="n">
        <v>590</v>
      </c>
      <c r="H703" t="n">
        <v>19</v>
      </c>
      <c r="I703" t="inlineStr">
        <is>
          <t>Service scope</t>
        </is>
      </c>
      <c r="J703" t="inlineStr">
        <is>
          <t>MEASURED</t>
        </is>
      </c>
      <c r="K703">
        <f>ROUND(IF(ISNUMBER(G703),MIN(50,ROUND(50*LOG10(G703+1)/4,1)),5)+IF(ISNUMBER(H703),ROUND(30*(100-H703)/100,1),15)+IF(B703="New",20,10),0)</f>
        <v/>
      </c>
      <c r="L703" t="inlineStr">
        <is>
          <t>IMPROVE</t>
        </is>
      </c>
      <c r="M703" s="5" t="inlineStr">
        <is>
          <t>Templated question shared by 12 pages - localise answer (sectors, office, examples) on this priority city page</t>
        </is>
      </c>
      <c r="N703" s="5" t="inlineStr">
        <is>
          <t>Oui. Nous vous conseillons sur le choix du nom de domaine (.ma ou .com selon votre cible), nous vous guidons pour l'enregistrement auprès d'un registrar et nous configurons le DNS, le certificat SSL e</t>
        </is>
      </c>
      <c r="O703" t="inlineStr">
        <is>
          <t>P1</t>
        </is>
      </c>
      <c r="P703" t="inlineStr">
        <is>
          <t>FAQPage JSON-LD</t>
        </is>
      </c>
    </row>
    <row r="704">
      <c r="A704" s="3" t="inlineStr">
        <is>
          <t>https://codesommet.com/web-development-company/marrakech</t>
        </is>
      </c>
      <c r="B704" t="inlineStr">
        <is>
          <t>New</t>
        </is>
      </c>
      <c r="C704" s="5" t="inlineStr">
        <is>
          <t>Combien coûte la création d'un site web à Marrakech ?</t>
        </is>
      </c>
      <c r="D704" t="inlineStr">
        <is>
          <t>prix création site web marrakech</t>
        </is>
      </c>
      <c r="E704" t="inlineStr">
        <is>
          <t>ma</t>
        </is>
      </c>
      <c r="F704" s="5" t="inlineStr">
        <is>
          <t>création site web marrakech [ma] 590; création site internet marrakech [ma] 170</t>
        </is>
      </c>
      <c r="G704" t="inlineStr">
        <is>
          <t>NOT AVAILABLE</t>
        </is>
      </c>
      <c r="H704" t="inlineStr">
        <is>
          <t>NOT AVAILABLE</t>
        </is>
      </c>
      <c r="I704" t="inlineStr">
        <is>
          <t>Question</t>
        </is>
      </c>
      <c r="J704" t="inlineStr">
        <is>
          <t>SUGGESTED</t>
        </is>
      </c>
      <c r="K704">
        <f>ROUND(IF(ISNUMBER(G704),MIN(50,ROUND(50*LOG10(G704+1)/4,1)),5)+IF(ISNUMBER(H704),ROUND(30*(100-H704)/100,1),15)+IF(B704="New",20,10),0)</f>
        <v/>
      </c>
      <c r="L704" t="inlineStr">
        <is>
          <t>NEW</t>
        </is>
      </c>
      <c r="M704" s="5" t="inlineStr">
        <is>
          <t>Local price research. | Why here: Best city opportunity (590, KD 19); office in Marrakech. | Internal link: /get-quote</t>
        </is>
      </c>
      <c r="N704" s="5" t="inlineStr">
        <is>
          <t>Ranges; meeting at the Marrakech office; tourism/riad sector examples (Akoubri, Morocco Quest).</t>
        </is>
      </c>
      <c r="O704" t="inlineStr">
        <is>
          <t>P1</t>
        </is>
      </c>
      <c r="P704" t="inlineStr"/>
    </row>
    <row r="705">
      <c r="A705" s="3" t="inlineStr">
        <is>
          <t>https://codesommet.com/web-development-company/marrakech</t>
        </is>
      </c>
      <c r="B705" t="inlineStr">
        <is>
          <t>New</t>
        </is>
      </c>
      <c r="C705" s="5" t="inlineStr">
        <is>
          <t>Pouvez-vous créer un site pour un riad, un hôtel ou une agence de voyage à Marrakech ?</t>
        </is>
      </c>
      <c r="D705" t="inlineStr">
        <is>
          <t>création site web hôtel</t>
        </is>
      </c>
      <c r="E705" t="inlineStr">
        <is>
          <t>ma</t>
        </is>
      </c>
      <c r="F705" s="5" t="inlineStr">
        <is>
          <t>site web agence de voyage [ma] 20; site web agence de voyage [fr] 70</t>
        </is>
      </c>
      <c r="G705" t="inlineStr">
        <is>
          <t>NOT AVAILABLE</t>
        </is>
      </c>
      <c r="H705" t="inlineStr">
        <is>
          <t>NOT AVAILABLE</t>
        </is>
      </c>
      <c r="I705" t="inlineStr">
        <is>
          <t>Question</t>
        </is>
      </c>
      <c r="J705" t="inlineStr">
        <is>
          <t>UNAVAILABLE</t>
        </is>
      </c>
      <c r="K705">
        <f>ROUND(IF(ISNUMBER(G705),MIN(50,ROUND(50*LOG10(G705+1)/4,1)),5)+IF(ISNUMBER(H705),ROUND(30*(100-H705)/100,1),15)+IF(B705="New",20,10),0)</f>
        <v/>
      </c>
      <c r="L705" t="inlineStr">
        <is>
          <t>NEW</t>
        </is>
      </c>
      <c r="M705" s="5" t="inlineStr">
        <is>
          <t>Dominant local sector (tourism). | Why here: Genuine local value; links two travel case studies. | Internal link: /our-work/morocco-quest</t>
        </is>
      </c>
      <c r="N705" s="5" t="inlineStr">
        <is>
          <t>Booking engine, multilingual, OTA vs direct booking, examples.</t>
        </is>
      </c>
      <c r="O705" t="inlineStr">
        <is>
          <t>P2</t>
        </is>
      </c>
      <c r="P705" t="inlineStr"/>
    </row>
    <row r="706">
      <c r="A706" s="3" t="inlineStr">
        <is>
          <t>https://codesommet.com/web-development-company/milan</t>
        </is>
      </c>
      <c r="B706" t="inlineStr">
        <is>
          <t>Existing</t>
        </is>
      </c>
      <c r="C706" s="5" t="inlineStr">
        <is>
          <t>Avez-vous un bureau physique à Milan ?</t>
        </is>
      </c>
      <c r="D706" t="inlineStr">
        <is>
          <t>développement web milan</t>
        </is>
      </c>
      <c r="E706" t="inlineStr">
        <is>
          <t>it</t>
        </is>
      </c>
      <c r="F706" s="5" t="inlineStr"/>
      <c r="G706" t="inlineStr">
        <is>
          <t>NOT AVAILABLE</t>
        </is>
      </c>
      <c r="H706" t="inlineStr">
        <is>
          <t>NOT AVAILABLE</t>
        </is>
      </c>
      <c r="I706" t="inlineStr">
        <is>
          <t>Location / logistics</t>
        </is>
      </c>
      <c r="J706" t="inlineStr">
        <is>
          <t>UNAVAILABLE</t>
        </is>
      </c>
      <c r="K706">
        <f>ROUND(IF(ISNUMBER(G706),MIN(50,ROUND(50*LOG10(G706+1)/4,1)),5)+IF(ISNUMBER(H706),ROUND(30*(100-H706)/100,1),15)+IF(B706="New",20,10),0)</f>
        <v/>
      </c>
      <c r="L706" t="inlineStr">
        <is>
          <t>KEEP</t>
        </is>
      </c>
      <c r="M706" s="5" t="inlineStr">
        <is>
          <t>Templated across 8 pages - acceptable for now; localise only if the page is kept (see F-02 / sheet 09)</t>
        </is>
      </c>
      <c r="N706" s="5" t="inlineStr">
        <is>
          <t>Nous n'avons pas de bureau à Milan : notre équipe travaille à distance depuis le Maroc et collabore avec ses clients entièrement en ligne (appels vidéo, Slack, suivi de projet en temps réel). Cela nou</t>
        </is>
      </c>
      <c r="O706" t="inlineStr">
        <is>
          <t>P3</t>
        </is>
      </c>
      <c r="P706" t="inlineStr">
        <is>
          <t>FAQPage JSON-LD</t>
        </is>
      </c>
    </row>
    <row r="707">
      <c r="A707" s="3" t="inlineStr">
        <is>
          <t>https://codesommet.com/web-development-company/milan</t>
        </is>
      </c>
      <c r="B707" t="inlineStr">
        <is>
          <t>Existing</t>
        </is>
      </c>
      <c r="C707" s="5" t="inlineStr">
        <is>
          <t>Pouvez-vous travailler avec les entreprises de Milan à distance ?</t>
        </is>
      </c>
      <c r="D707" t="inlineStr">
        <is>
          <t>développement web milan</t>
        </is>
      </c>
      <c r="E707" t="inlineStr">
        <is>
          <t>it</t>
        </is>
      </c>
      <c r="F707" s="5" t="inlineStr"/>
      <c r="G707" t="inlineStr">
        <is>
          <t>NOT AVAILABLE</t>
        </is>
      </c>
      <c r="H707" t="inlineStr">
        <is>
          <t>NOT AVAILABLE</t>
        </is>
      </c>
      <c r="I707" t="inlineStr">
        <is>
          <t>Location / logistics</t>
        </is>
      </c>
      <c r="J707" t="inlineStr">
        <is>
          <t>UNAVAILABLE</t>
        </is>
      </c>
      <c r="K707">
        <f>ROUND(IF(ISNUMBER(G707),MIN(50,ROUND(50*LOG10(G707+1)/4,1)),5)+IF(ISNUMBER(H707),ROUND(30*(100-H707)/100,1),15)+IF(B707="New",20,10),0)</f>
        <v/>
      </c>
      <c r="L707" t="inlineStr">
        <is>
          <t>KEEP</t>
        </is>
      </c>
      <c r="M707" s="5" t="inlineStr">
        <is>
          <t>Templated across 8 pages - acceptable for now; localise only if the page is kept (see F-02 / sheet 09)</t>
        </is>
      </c>
      <c r="N707" s="5" t="inlineStr">
        <is>
          <t>Oui, tout se passe en ligne : appels vidéo pour le cadrage et les validations, collaboration sur Slack au quotidien et suivi de projet en temps réel. Nous adaptons nos créneaux au fuseau horaire de Mi</t>
        </is>
      </c>
      <c r="O707" t="inlineStr">
        <is>
          <t>P3</t>
        </is>
      </c>
      <c r="P707" t="inlineStr">
        <is>
          <t>FAQPage JSON-LD</t>
        </is>
      </c>
    </row>
    <row r="708">
      <c r="A708" s="3" t="inlineStr">
        <is>
          <t>https://codesommet.com/web-development-company/milan</t>
        </is>
      </c>
      <c r="B708" t="inlineStr">
        <is>
          <t>Existing</t>
        </is>
      </c>
      <c r="C708" s="5" t="inlineStr">
        <is>
          <t>Quels modes de paiement acceptez-vous à Milan ?</t>
        </is>
      </c>
      <c r="D708" t="inlineStr">
        <is>
          <t>développement web milan</t>
        </is>
      </c>
      <c r="E708" t="inlineStr">
        <is>
          <t>it</t>
        </is>
      </c>
      <c r="F708" s="5" t="inlineStr"/>
      <c r="G708" t="inlineStr">
        <is>
          <t>NOT AVAILABLE</t>
        </is>
      </c>
      <c r="H708" t="inlineStr">
        <is>
          <t>NOT AVAILABLE</t>
        </is>
      </c>
      <c r="I708" t="inlineStr">
        <is>
          <t>Payment</t>
        </is>
      </c>
      <c r="J708" t="inlineStr">
        <is>
          <t>UNAVAILABLE</t>
        </is>
      </c>
      <c r="K708">
        <f>ROUND(IF(ISNUMBER(G708),MIN(50,ROUND(50*LOG10(G708+1)/4,1)),5)+IF(ISNUMBER(H708),ROUND(30*(100-H708)/100,1),15)+IF(B708="New",20,10),0)</f>
        <v/>
      </c>
      <c r="L708" t="inlineStr">
        <is>
          <t>KEEP</t>
        </is>
      </c>
      <c r="M708" s="5" t="inlineStr">
        <is>
          <t>Templated across 8 pages - acceptable for now; localise only if the page is kept (see F-02 / sheet 09)</t>
        </is>
      </c>
      <c r="N708" s="5" t="inlineStr">
        <is>
          <t xml:space="preserve">Nous acceptons les principaux moyens de paiement : virement bancaire, carte et PayPal selon votre pays. Le paiement est généralement échelonné par jalons, avec un acompte au démarrage puis le solde à </t>
        </is>
      </c>
      <c r="O708" t="inlineStr">
        <is>
          <t>P3</t>
        </is>
      </c>
      <c r="P708" t="inlineStr">
        <is>
          <t>FAQPage JSON-LD</t>
        </is>
      </c>
    </row>
    <row r="709">
      <c r="A709" s="3" t="inlineStr">
        <is>
          <t>https://codesommet.com/web-development-company/milan</t>
        </is>
      </c>
      <c r="B709" t="inlineStr">
        <is>
          <t>Existing</t>
        </is>
      </c>
      <c r="C709" s="5" t="inlineStr">
        <is>
          <t>Comprenez-vous les lois de conformité et de protection des données d'Italy ?</t>
        </is>
      </c>
      <c r="D709" t="inlineStr">
        <is>
          <t>développement web milan</t>
        </is>
      </c>
      <c r="E709" t="inlineStr">
        <is>
          <t>it</t>
        </is>
      </c>
      <c r="F709" s="5" t="inlineStr"/>
      <c r="G709" t="inlineStr">
        <is>
          <t>NOT AVAILABLE</t>
        </is>
      </c>
      <c r="H709" t="inlineStr">
        <is>
          <t>NOT AVAILABLE</t>
        </is>
      </c>
      <c r="I709" t="inlineStr">
        <is>
          <t>Compliance / security</t>
        </is>
      </c>
      <c r="J709" t="inlineStr">
        <is>
          <t>UNAVAILABLE</t>
        </is>
      </c>
      <c r="K709">
        <f>ROUND(IF(ISNUMBER(G709),MIN(50,ROUND(50*LOG10(G709+1)/4,1)),5)+IF(ISNUMBER(H709),ROUND(30*(100-H709)/100,1),15)+IF(B709="New",20,10),0)</f>
        <v/>
      </c>
      <c r="L709" t="inlineStr">
        <is>
          <t>KEEP</t>
        </is>
      </c>
      <c r="M709" s="5" t="inlineStr">
        <is>
          <t>Relevant to page intent</t>
        </is>
      </c>
      <c r="N709" s="5" t="inlineStr">
        <is>
          <t>Nous concevons des sites conformes aux bonnes pratiques de protection des données : consentement aux cookies, politique de confidentialité, sécurisation des formulaires et des données. Pour les exigen</t>
        </is>
      </c>
      <c r="O709" t="inlineStr">
        <is>
          <t>P3</t>
        </is>
      </c>
      <c r="P709" t="inlineStr">
        <is>
          <t>FAQPage JSON-LD</t>
        </is>
      </c>
    </row>
    <row r="710">
      <c r="A710" s="3" t="inlineStr">
        <is>
          <t>https://codesommet.com/web-development-company/milan</t>
        </is>
      </c>
      <c r="B710" t="inlineStr">
        <is>
          <t>Existing</t>
        </is>
      </c>
      <c r="C710" s="5" t="inlineStr">
        <is>
          <t>À quelle vitesse pouvez-vous lancer un site web pour mon entreprise à Milan ?</t>
        </is>
      </c>
      <c r="D710" t="inlineStr">
        <is>
          <t>développement web milan</t>
        </is>
      </c>
      <c r="E710" t="inlineStr">
        <is>
          <t>it</t>
        </is>
      </c>
      <c r="F710" s="5" t="inlineStr"/>
      <c r="G710" t="inlineStr">
        <is>
          <t>NOT AVAILABLE</t>
        </is>
      </c>
      <c r="H710" t="inlineStr">
        <is>
          <t>NOT AVAILABLE</t>
        </is>
      </c>
      <c r="I710" t="inlineStr">
        <is>
          <t>Timeline</t>
        </is>
      </c>
      <c r="J710" t="inlineStr">
        <is>
          <t>UNAVAILABLE</t>
        </is>
      </c>
      <c r="K710">
        <f>ROUND(IF(ISNUMBER(G710),MIN(50,ROUND(50*LOG10(G710+1)/4,1)),5)+IF(ISNUMBER(H710),ROUND(30*(100-H710)/100,1),15)+IF(B710="New",20,10),0)</f>
        <v/>
      </c>
      <c r="L710" t="inlineStr">
        <is>
          <t>KEEP</t>
        </is>
      </c>
      <c r="M710" s="5" t="inlineStr">
        <is>
          <t>Templated across 5 pages - acceptable for now; localise only if the page is kept (see F-02 / sheet 09)</t>
        </is>
      </c>
      <c r="N710" s="5" t="inlineStr">
        <is>
          <t>La plupart des sites vitrines sont livrés en 2 à 5 jours après validation du périmètre. Pour les projets urgents, notre formule express permet une mise en ligne en 2 jours seulement. Les plateformes p</t>
        </is>
      </c>
      <c r="O710" t="inlineStr">
        <is>
          <t>P3</t>
        </is>
      </c>
      <c r="P710" t="inlineStr">
        <is>
          <t>FAQPage JSON-LD</t>
        </is>
      </c>
    </row>
    <row r="711">
      <c r="A711" s="3" t="inlineStr">
        <is>
          <t>https://codesommet.com/web-development-company/milan</t>
        </is>
      </c>
      <c r="B711" t="inlineStr">
        <is>
          <t>Existing</t>
        </is>
      </c>
      <c r="C711" s="5" t="inlineStr">
        <is>
          <t>Pouvez-vous aider avec l'enregistrement de domaine .it ?</t>
        </is>
      </c>
      <c r="D711" t="inlineStr">
        <is>
          <t>développement web milan</t>
        </is>
      </c>
      <c r="E711" t="inlineStr">
        <is>
          <t>it</t>
        </is>
      </c>
      <c r="F711" s="5" t="inlineStr"/>
      <c r="G711" t="inlineStr">
        <is>
          <t>NOT AVAILABLE</t>
        </is>
      </c>
      <c r="H711" t="inlineStr">
        <is>
          <t>NOT AVAILABLE</t>
        </is>
      </c>
      <c r="I711" t="inlineStr">
        <is>
          <t>Service scope</t>
        </is>
      </c>
      <c r="J711" t="inlineStr">
        <is>
          <t>UNAVAILABLE</t>
        </is>
      </c>
      <c r="K711">
        <f>ROUND(IF(ISNUMBER(G711),MIN(50,ROUND(50*LOG10(G711+1)/4,1)),5)+IF(ISNUMBER(H711),ROUND(30*(100-H711)/100,1),15)+IF(B711="New",20,10),0)</f>
        <v/>
      </c>
      <c r="L711" t="inlineStr">
        <is>
          <t>KEEP</t>
        </is>
      </c>
      <c r="M711" s="5" t="inlineStr">
        <is>
          <t>Templated across 12 pages - acceptable for now; localise only if the page is kept (see F-02 / sheet 09)</t>
        </is>
      </c>
      <c r="N711" s="5" t="inlineStr">
        <is>
          <t>Oui. Nous vous conseillons sur le choix du nom de domaine (.it ou .com selon votre cible), nous vous guidons pour l'enregistrement auprès d'un registrar et nous configurons le DNS, le certificat SSL e</t>
        </is>
      </c>
      <c r="O711" t="inlineStr">
        <is>
          <t>P3</t>
        </is>
      </c>
      <c r="P711" t="inlineStr">
        <is>
          <t>FAQPage JSON-LD</t>
        </is>
      </c>
    </row>
    <row r="712">
      <c r="A712" s="3" t="inlineStr">
        <is>
          <t>https://codesommet.com/web-development-company/new-york</t>
        </is>
      </c>
      <c r="B712" t="inlineStr">
        <is>
          <t>Existing</t>
        </is>
      </c>
      <c r="C712" s="5" t="inlineStr">
        <is>
          <t>Pourquoi choisir CodeSommet plutôt que les nombreuses agences de développement web de New York ?</t>
        </is>
      </c>
      <c r="D712" t="inlineStr">
        <is>
          <t>développement web new york</t>
        </is>
      </c>
      <c r="E712" t="inlineStr">
        <is>
          <t>us</t>
        </is>
      </c>
      <c r="F712" s="5" t="inlineStr"/>
      <c r="G712" t="inlineStr">
        <is>
          <t>NOT AVAILABLE</t>
        </is>
      </c>
      <c r="H712" t="inlineStr">
        <is>
          <t>NOT AVAILABLE</t>
        </is>
      </c>
      <c r="I712" t="inlineStr">
        <is>
          <t>Differentiation</t>
        </is>
      </c>
      <c r="J712" t="inlineStr">
        <is>
          <t>UNAVAILABLE</t>
        </is>
      </c>
      <c r="K712">
        <f>ROUND(IF(ISNUMBER(G712),MIN(50,ROUND(50*LOG10(G712+1)/4,1)),5)+IF(ISNUMBER(H712),ROUND(30*(100-H712)/100,1),15)+IF(B712="New",20,10),0)</f>
        <v/>
      </c>
      <c r="L712" t="inlineStr">
        <is>
          <t>KEEP</t>
        </is>
      </c>
      <c r="M712" s="5" t="inlineStr">
        <is>
          <t>Templated across 10 pages - acceptable for now; localise only if the page is kept (see F-02 / sheet 09)</t>
        </is>
      </c>
      <c r="N712" s="5" t="inlineStr">
        <is>
          <t>Parce que nous combinons un design soigné, des technologies modernes et une livraison rapide : la plupart des sites vitrines sont en ligne en 2 à 5 jours après validation du périmètre (et en 2 jours s</t>
        </is>
      </c>
      <c r="O712" t="inlineStr">
        <is>
          <t>P3</t>
        </is>
      </c>
      <c r="P712" t="inlineStr">
        <is>
          <t>FAQPage JSON-LD</t>
        </is>
      </c>
    </row>
    <row r="713">
      <c r="A713" s="3" t="inlineStr">
        <is>
          <t>https://codesommet.com/web-development-company/new-york</t>
        </is>
      </c>
      <c r="B713" t="inlineStr">
        <is>
          <t>Existing</t>
        </is>
      </c>
      <c r="C713" s="5" t="inlineStr">
        <is>
          <t>Travaillez-vous avec les startups et les entreprises en phase de démarrage de New York ?</t>
        </is>
      </c>
      <c r="D713" t="inlineStr">
        <is>
          <t>développement web new york</t>
        </is>
      </c>
      <c r="E713" t="inlineStr">
        <is>
          <t>us</t>
        </is>
      </c>
      <c r="F713" s="5" t="inlineStr"/>
      <c r="G713" t="inlineStr">
        <is>
          <t>NOT AVAILABLE</t>
        </is>
      </c>
      <c r="H713" t="inlineStr">
        <is>
          <t>NOT AVAILABLE</t>
        </is>
      </c>
      <c r="I713" t="inlineStr">
        <is>
          <t>Service scope</t>
        </is>
      </c>
      <c r="J713" t="inlineStr">
        <is>
          <t>UNAVAILABLE</t>
        </is>
      </c>
      <c r="K713">
        <f>ROUND(IF(ISNUMBER(G713),MIN(50,ROUND(50*LOG10(G713+1)/4,1)),5)+IF(ISNUMBER(H713),ROUND(30*(100-H713)/100,1),15)+IF(B713="New",20,10),0)</f>
        <v/>
      </c>
      <c r="L713" t="inlineStr">
        <is>
          <t>KEEP</t>
        </is>
      </c>
      <c r="M713" s="5" t="inlineStr">
        <is>
          <t>Templated across 5 pages - acceptable for now; localise only if the page is kept (see F-02 / sheet 09)</t>
        </is>
      </c>
      <c r="N713" s="5" t="inlineStr">
        <is>
          <t>Absolument. Nous travaillons avec des entreprises de toutes tailles, des startups en démarrage aux structures établies. Notre tarification flexible et nos forfaits mensuels sont pensés pour évoluer av</t>
        </is>
      </c>
      <c r="O713" t="inlineStr">
        <is>
          <t>P3</t>
        </is>
      </c>
      <c r="P713" t="inlineStr">
        <is>
          <t>FAQPage JSON-LD</t>
        </is>
      </c>
    </row>
    <row r="714">
      <c r="A714" s="3" t="inlineStr">
        <is>
          <t>https://codesommet.com/web-development-company/new-york</t>
        </is>
      </c>
      <c r="B714" t="inlineStr">
        <is>
          <t>Existing</t>
        </is>
      </c>
      <c r="C714" s="5" t="inlineStr">
        <is>
          <t>Quelles technologies utilisez-vous pour les projets de New York ?</t>
        </is>
      </c>
      <c r="D714" t="inlineStr">
        <is>
          <t>développement web new york</t>
        </is>
      </c>
      <c r="E714" t="inlineStr">
        <is>
          <t>us</t>
        </is>
      </c>
      <c r="F714" s="5" t="inlineStr"/>
      <c r="G714" t="inlineStr">
        <is>
          <t>NOT AVAILABLE</t>
        </is>
      </c>
      <c r="H714" t="inlineStr">
        <is>
          <t>NOT AVAILABLE</t>
        </is>
      </c>
      <c r="I714" t="inlineStr">
        <is>
          <t>Service scope</t>
        </is>
      </c>
      <c r="J714" t="inlineStr">
        <is>
          <t>UNAVAILABLE</t>
        </is>
      </c>
      <c r="K714">
        <f>ROUND(IF(ISNUMBER(G714),MIN(50,ROUND(50*LOG10(G714+1)/4,1)),5)+IF(ISNUMBER(H714),ROUND(30*(100-H714)/100,1),15)+IF(B714="New",20,10),0)</f>
        <v/>
      </c>
      <c r="L714" t="inlineStr">
        <is>
          <t>KEEP</t>
        </is>
      </c>
      <c r="M714" s="5" t="inlineStr">
        <is>
          <t>Templated across 5 pages - acceptable for now; localise only if the page is kept (see F-02 / sheet 09)</t>
        </is>
      </c>
      <c r="N714" s="5" t="inlineStr">
        <is>
          <t>Nous utilisons des technologies modernes comme Next.js, React, TypeScript, Node.js et Laravel pour le développement web. Côté IA, nous intégrons des chatbots sur mesure et des automatisations intellig</t>
        </is>
      </c>
      <c r="O714" t="inlineStr">
        <is>
          <t>P3</t>
        </is>
      </c>
      <c r="P714" t="inlineStr">
        <is>
          <t>FAQPage JSON-LD</t>
        </is>
      </c>
    </row>
    <row r="715">
      <c r="A715" s="3" t="inlineStr">
        <is>
          <t>https://codesommet.com/web-development-company/new-york</t>
        </is>
      </c>
      <c r="B715" t="inlineStr">
        <is>
          <t>Existing</t>
        </is>
      </c>
      <c r="C715" s="5" t="inlineStr">
        <is>
          <t>Pouvez-vous vous intégrer aux systèmes existants utilisés par les entreprises de New York ?</t>
        </is>
      </c>
      <c r="D715" t="inlineStr">
        <is>
          <t>développement web new york</t>
        </is>
      </c>
      <c r="E715" t="inlineStr">
        <is>
          <t>us</t>
        </is>
      </c>
      <c r="F715" s="5" t="inlineStr"/>
      <c r="G715" t="inlineStr">
        <is>
          <t>NOT AVAILABLE</t>
        </is>
      </c>
      <c r="H715" t="inlineStr">
        <is>
          <t>NOT AVAILABLE</t>
        </is>
      </c>
      <c r="I715" t="inlineStr">
        <is>
          <t>Service scope</t>
        </is>
      </c>
      <c r="J715" t="inlineStr">
        <is>
          <t>UNAVAILABLE</t>
        </is>
      </c>
      <c r="K715">
        <f>ROUND(IF(ISNUMBER(G715),MIN(50,ROUND(50*LOG10(G715+1)/4,1)),5)+IF(ISNUMBER(H715),ROUND(30*(100-H715)/100,1),15)+IF(B715="New",20,10),0)</f>
        <v/>
      </c>
      <c r="L715" t="inlineStr">
        <is>
          <t>KEEP</t>
        </is>
      </c>
      <c r="M715" s="5" t="inlineStr">
        <is>
          <t>Templated across 11 pages - acceptable for now; localise only if the page is kept (see F-02 / sheet 09)</t>
        </is>
      </c>
      <c r="N715" s="5" t="inlineStr">
        <is>
          <t>Oui. Nous intégrons vos systèmes existants : CRM, ERP, passerelles de paiement, systèmes de réservation et API tierces. Que vous utilisiez Salesforce, HubSpot, Stripe ou des outils internes, nous assu</t>
        </is>
      </c>
      <c r="O715" t="inlineStr">
        <is>
          <t>P3</t>
        </is>
      </c>
      <c r="P715" t="inlineStr">
        <is>
          <t>FAQPage JSON-LD</t>
        </is>
      </c>
    </row>
    <row r="716">
      <c r="A716" s="3" t="inlineStr">
        <is>
          <t>https://codesommet.com/web-development-company/new-york</t>
        </is>
      </c>
      <c r="B716" t="inlineStr">
        <is>
          <t>Existing</t>
        </is>
      </c>
      <c r="C716" s="5" t="inlineStr">
        <is>
          <t>Comment fonctionne le modèle de révisions illimitées à New York ?</t>
        </is>
      </c>
      <c r="D716" t="inlineStr">
        <is>
          <t>développement web new york</t>
        </is>
      </c>
      <c r="E716" t="inlineStr">
        <is>
          <t>us</t>
        </is>
      </c>
      <c r="F716" s="5" t="inlineStr"/>
      <c r="G716" t="inlineStr">
        <is>
          <t>NOT AVAILABLE</t>
        </is>
      </c>
      <c r="H716" t="inlineStr">
        <is>
          <t>NOT AVAILABLE</t>
        </is>
      </c>
      <c r="I716" t="inlineStr">
        <is>
          <t>Definition / how it works</t>
        </is>
      </c>
      <c r="J716" t="inlineStr">
        <is>
          <t>UNAVAILABLE</t>
        </is>
      </c>
      <c r="K716">
        <f>ROUND(IF(ISNUMBER(G716),MIN(50,ROUND(50*LOG10(G716+1)/4,1)),5)+IF(ISNUMBER(H716),ROUND(30*(100-H716)/100,1),15)+IF(B716="New",20,10),0)</f>
        <v/>
      </c>
      <c r="L716" t="inlineStr">
        <is>
          <t>KEEP</t>
        </is>
      </c>
      <c r="M716" s="5" t="inlineStr">
        <is>
          <t>Relevant to page intent</t>
        </is>
      </c>
      <c r="N716" s="5" t="inlineStr">
        <is>
          <t>Notre modèle de révisions illimitées signifie exactement cela : nous affinons jusqu'à ce que vous soyez satisfait. Il n'y a pas de limite au nombre de modifications demandées, chaque révision étant gé</t>
        </is>
      </c>
      <c r="O716" t="inlineStr">
        <is>
          <t>P3</t>
        </is>
      </c>
      <c r="P716" t="inlineStr">
        <is>
          <t>FAQPage JSON-LD</t>
        </is>
      </c>
    </row>
    <row r="717">
      <c r="A717" s="3" t="inlineStr">
        <is>
          <t>https://codesommet.com/web-development-company/new-york</t>
        </is>
      </c>
      <c r="B717" t="inlineStr">
        <is>
          <t>Existing</t>
        </is>
      </c>
      <c r="C717" s="5" t="inlineStr">
        <is>
          <t>Fournissez-vous un support continu après le lancement pour les clients de New York ?</t>
        </is>
      </c>
      <c r="D717" t="inlineStr">
        <is>
          <t>développement web new york</t>
        </is>
      </c>
      <c r="E717" t="inlineStr">
        <is>
          <t>us</t>
        </is>
      </c>
      <c r="F717" s="5" t="inlineStr"/>
      <c r="G717" t="inlineStr">
        <is>
          <t>NOT AVAILABLE</t>
        </is>
      </c>
      <c r="H717" t="inlineStr">
        <is>
          <t>NOT AVAILABLE</t>
        </is>
      </c>
      <c r="I717" t="inlineStr">
        <is>
          <t>Support</t>
        </is>
      </c>
      <c r="J717" t="inlineStr">
        <is>
          <t>UNAVAILABLE</t>
        </is>
      </c>
      <c r="K717">
        <f>ROUND(IF(ISNUMBER(G717),MIN(50,ROUND(50*LOG10(G717+1)/4,1)),5)+IF(ISNUMBER(H717),ROUND(30*(100-H717)/100,1),15)+IF(B717="New",20,10),0)</f>
        <v/>
      </c>
      <c r="L717" t="inlineStr">
        <is>
          <t>KEEP</t>
        </is>
      </c>
      <c r="M717" s="5" t="inlineStr">
        <is>
          <t>Relevant to page intent</t>
        </is>
      </c>
      <c r="N717" s="5" t="inlineStr">
        <is>
          <t>Oui. Nous proposons un support continu complet : hébergement, maintenance, mises à jour de sécurité, surveillance des performances et mises à jour de contenu. Nos forfaits incluent une collaboration e</t>
        </is>
      </c>
      <c r="O717" t="inlineStr">
        <is>
          <t>P3</t>
        </is>
      </c>
      <c r="P717" t="inlineStr">
        <is>
          <t>FAQPage JSON-LD</t>
        </is>
      </c>
    </row>
    <row r="718">
      <c r="A718" s="3" t="inlineStr">
        <is>
          <t>https://codesommet.com/web-development-company/paris</t>
        </is>
      </c>
      <c r="B718" t="inlineStr">
        <is>
          <t>Existing</t>
        </is>
      </c>
      <c r="C718" s="5" t="inlineStr">
        <is>
          <t>Pourquoi choisir CodeSommet parmi les nombreuses agences web de Paris ?</t>
        </is>
      </c>
      <c r="D718" t="inlineStr">
        <is>
          <t>développement web paris</t>
        </is>
      </c>
      <c r="E718" t="inlineStr">
        <is>
          <t>fr</t>
        </is>
      </c>
      <c r="F718" s="5" t="inlineStr"/>
      <c r="G718" t="n">
        <v>260</v>
      </c>
      <c r="H718" t="n">
        <v>31</v>
      </c>
      <c r="I718" t="inlineStr">
        <is>
          <t>Differentiation</t>
        </is>
      </c>
      <c r="J718" t="inlineStr">
        <is>
          <t>MEASURED</t>
        </is>
      </c>
      <c r="K718">
        <f>ROUND(IF(ISNUMBER(G718),MIN(50,ROUND(50*LOG10(G718+1)/4,1)),5)+IF(ISNUMBER(H718),ROUND(30*(100-H718)/100,1),15)+IF(B718="New",20,10),0)</f>
        <v/>
      </c>
      <c r="L718" t="inlineStr">
        <is>
          <t>KEEP</t>
        </is>
      </c>
      <c r="M718" s="5" t="inlineStr">
        <is>
          <t>Relevant to page intent</t>
        </is>
      </c>
      <c r="N718" s="5" t="inlineStr">
        <is>
          <t>Parce que nous combinons un design soigné, des technologies modernes et une livraison rapide : la plupart des sites vitrines sont en ligne en 2 à 5 jours après validation du périmètre (et en 2 jours s</t>
        </is>
      </c>
      <c r="O718" t="inlineStr">
        <is>
          <t>P3</t>
        </is>
      </c>
      <c r="P718" t="inlineStr">
        <is>
          <t>FAQPage JSON-LD</t>
        </is>
      </c>
    </row>
    <row r="719">
      <c r="A719" s="3" t="inlineStr">
        <is>
          <t>https://codesommet.com/web-development-company/paris</t>
        </is>
      </c>
      <c r="B719" t="inlineStr">
        <is>
          <t>Existing</t>
        </is>
      </c>
      <c r="C719" s="5" t="inlineStr">
        <is>
          <t>Travaillez-vous avec les startups et les entreprises en phase de démarrage de Paris ?</t>
        </is>
      </c>
      <c r="D719" t="inlineStr">
        <is>
          <t>développement web paris</t>
        </is>
      </c>
      <c r="E719" t="inlineStr">
        <is>
          <t>fr</t>
        </is>
      </c>
      <c r="F719" s="5" t="inlineStr"/>
      <c r="G719" t="n">
        <v>260</v>
      </c>
      <c r="H719" t="n">
        <v>31</v>
      </c>
      <c r="I719" t="inlineStr">
        <is>
          <t>Service scope</t>
        </is>
      </c>
      <c r="J719" t="inlineStr">
        <is>
          <t>MEASURED</t>
        </is>
      </c>
      <c r="K719">
        <f>ROUND(IF(ISNUMBER(G719),MIN(50,ROUND(50*LOG10(G719+1)/4,1)),5)+IF(ISNUMBER(H719),ROUND(30*(100-H719)/100,1),15)+IF(B719="New",20,10),0)</f>
        <v/>
      </c>
      <c r="L719" t="inlineStr">
        <is>
          <t>KEEP</t>
        </is>
      </c>
      <c r="M719" s="5" t="inlineStr">
        <is>
          <t>Templated across 5 pages - acceptable for now; localise only if the page is kept (see F-02 / sheet 09)</t>
        </is>
      </c>
      <c r="N719" s="5" t="inlineStr">
        <is>
          <t>Absolument. Nous travaillons avec des entreprises de toutes tailles, des startups en démarrage aux structures établies. Notre tarification flexible et nos forfaits mensuels sont pensés pour évoluer av</t>
        </is>
      </c>
      <c r="O719" t="inlineStr">
        <is>
          <t>P3</t>
        </is>
      </c>
      <c r="P719" t="inlineStr">
        <is>
          <t>FAQPage JSON-LD</t>
        </is>
      </c>
    </row>
    <row r="720">
      <c r="A720" s="3" t="inlineStr">
        <is>
          <t>https://codesommet.com/web-development-company/paris</t>
        </is>
      </c>
      <c r="B720" t="inlineStr">
        <is>
          <t>Existing</t>
        </is>
      </c>
      <c r="C720" s="5" t="inlineStr">
        <is>
          <t>Quelles technologies utilisez-vous pour les projets de Paris ?</t>
        </is>
      </c>
      <c r="D720" t="inlineStr">
        <is>
          <t>développement web paris</t>
        </is>
      </c>
      <c r="E720" t="inlineStr">
        <is>
          <t>fr</t>
        </is>
      </c>
      <c r="F720" s="5" t="inlineStr"/>
      <c r="G720" t="n">
        <v>260</v>
      </c>
      <c r="H720" t="n">
        <v>31</v>
      </c>
      <c r="I720" t="inlineStr">
        <is>
          <t>Service scope</t>
        </is>
      </c>
      <c r="J720" t="inlineStr">
        <is>
          <t>MEASURED</t>
        </is>
      </c>
      <c r="K720">
        <f>ROUND(IF(ISNUMBER(G720),MIN(50,ROUND(50*LOG10(G720+1)/4,1)),5)+IF(ISNUMBER(H720),ROUND(30*(100-H720)/100,1),15)+IF(B720="New",20,10),0)</f>
        <v/>
      </c>
      <c r="L720" t="inlineStr">
        <is>
          <t>KEEP</t>
        </is>
      </c>
      <c r="M720" s="5" t="inlineStr">
        <is>
          <t>Templated across 5 pages - acceptable for now; localise only if the page is kept (see F-02 / sheet 09)</t>
        </is>
      </c>
      <c r="N720" s="5" t="inlineStr">
        <is>
          <t>Nous utilisons des technologies modernes comme Next.js, React, TypeScript, Node.js et Laravel pour le développement web. Côté IA, nous intégrons des chatbots sur mesure et des automatisations intellig</t>
        </is>
      </c>
      <c r="O720" t="inlineStr">
        <is>
          <t>P3</t>
        </is>
      </c>
      <c r="P720" t="inlineStr">
        <is>
          <t>FAQPage JSON-LD</t>
        </is>
      </c>
    </row>
    <row r="721">
      <c r="A721" s="3" t="inlineStr">
        <is>
          <t>https://codesommet.com/web-development-company/paris</t>
        </is>
      </c>
      <c r="B721" t="inlineStr">
        <is>
          <t>Existing</t>
        </is>
      </c>
      <c r="C721" s="5" t="inlineStr">
        <is>
          <t>Pouvez-vous vous intégrer aux systèmes existants utilisés par les entreprises de Paris ?</t>
        </is>
      </c>
      <c r="D721" t="inlineStr">
        <is>
          <t>développement web paris</t>
        </is>
      </c>
      <c r="E721" t="inlineStr">
        <is>
          <t>fr</t>
        </is>
      </c>
      <c r="F721" s="5" t="inlineStr"/>
      <c r="G721" t="n">
        <v>260</v>
      </c>
      <c r="H721" t="n">
        <v>31</v>
      </c>
      <c r="I721" t="inlineStr">
        <is>
          <t>Service scope</t>
        </is>
      </c>
      <c r="J721" t="inlineStr">
        <is>
          <t>MEASURED</t>
        </is>
      </c>
      <c r="K721">
        <f>ROUND(IF(ISNUMBER(G721),MIN(50,ROUND(50*LOG10(G721+1)/4,1)),5)+IF(ISNUMBER(H721),ROUND(30*(100-H721)/100,1),15)+IF(B721="New",20,10),0)</f>
        <v/>
      </c>
      <c r="L721" t="inlineStr">
        <is>
          <t>KEEP</t>
        </is>
      </c>
      <c r="M721" s="5" t="inlineStr">
        <is>
          <t>Templated across 11 pages - acceptable for now; localise only if the page is kept (see F-02 / sheet 09)</t>
        </is>
      </c>
      <c r="N721" s="5" t="inlineStr">
        <is>
          <t>Oui. Nous intégrons vos systèmes existants : CRM, ERP, passerelles de paiement, systèmes de réservation et API tierces. Que vous utilisiez Salesforce, HubSpot, Stripe ou des outils internes, nous assu</t>
        </is>
      </c>
      <c r="O721" t="inlineStr">
        <is>
          <t>P3</t>
        </is>
      </c>
      <c r="P721" t="inlineStr">
        <is>
          <t>FAQPage JSON-LD</t>
        </is>
      </c>
    </row>
    <row r="722">
      <c r="A722" s="3" t="inlineStr">
        <is>
          <t>https://codesommet.com/web-development-company/paris</t>
        </is>
      </c>
      <c r="B722" t="inlineStr">
        <is>
          <t>Existing</t>
        </is>
      </c>
      <c r="C722" s="5" t="inlineStr">
        <is>
          <t>Comment fonctionne le modèle de révisions illimitées de Paris ?</t>
        </is>
      </c>
      <c r="D722" t="inlineStr">
        <is>
          <t>développement web paris</t>
        </is>
      </c>
      <c r="E722" t="inlineStr">
        <is>
          <t>fr</t>
        </is>
      </c>
      <c r="F722" s="5" t="inlineStr"/>
      <c r="G722" t="n">
        <v>260</v>
      </c>
      <c r="H722" t="n">
        <v>31</v>
      </c>
      <c r="I722" t="inlineStr">
        <is>
          <t>Definition / how it works</t>
        </is>
      </c>
      <c r="J722" t="inlineStr">
        <is>
          <t>MEASURED</t>
        </is>
      </c>
      <c r="K722">
        <f>ROUND(IF(ISNUMBER(G722),MIN(50,ROUND(50*LOG10(G722+1)/4,1)),5)+IF(ISNUMBER(H722),ROUND(30*(100-H722)/100,1),15)+IF(B722="New",20,10),0)</f>
        <v/>
      </c>
      <c r="L722" t="inlineStr">
        <is>
          <t>KEEP</t>
        </is>
      </c>
      <c r="M722" s="5" t="inlineStr">
        <is>
          <t>Relevant to page intent</t>
        </is>
      </c>
      <c r="N722" s="5" t="inlineStr">
        <is>
          <t>Notre modèle de révisions illimitées signifie exactement cela : nous affinons jusqu'à ce que vous soyez satisfait. Il n'y a pas de limite au nombre de modifications demandées, chaque révision étant gé</t>
        </is>
      </c>
      <c r="O722" t="inlineStr">
        <is>
          <t>P3</t>
        </is>
      </c>
      <c r="P722" t="inlineStr">
        <is>
          <t>FAQPage JSON-LD</t>
        </is>
      </c>
    </row>
    <row r="723">
      <c r="A723" s="3" t="inlineStr">
        <is>
          <t>https://codesommet.com/web-development-company/paris</t>
        </is>
      </c>
      <c r="B723" t="inlineStr">
        <is>
          <t>Existing</t>
        </is>
      </c>
      <c r="C723" s="5" t="inlineStr">
        <is>
          <t>Fournissez-vous un support continu après le lancement à Paris ?</t>
        </is>
      </c>
      <c r="D723" t="inlineStr">
        <is>
          <t>développement web paris</t>
        </is>
      </c>
      <c r="E723" t="inlineStr">
        <is>
          <t>fr</t>
        </is>
      </c>
      <c r="F723" s="5" t="inlineStr"/>
      <c r="G723" t="n">
        <v>260</v>
      </c>
      <c r="H723" t="n">
        <v>31</v>
      </c>
      <c r="I723" t="inlineStr">
        <is>
          <t>Support</t>
        </is>
      </c>
      <c r="J723" t="inlineStr">
        <is>
          <t>MEASURED</t>
        </is>
      </c>
      <c r="K723">
        <f>ROUND(IF(ISNUMBER(G723),MIN(50,ROUND(50*LOG10(G723+1)/4,1)),5)+IF(ISNUMBER(H723),ROUND(30*(100-H723)/100,1),15)+IF(B723="New",20,10),0)</f>
        <v/>
      </c>
      <c r="L723" t="inlineStr">
        <is>
          <t>KEEP</t>
        </is>
      </c>
      <c r="M723" s="5" t="inlineStr">
        <is>
          <t>Templated across 7 pages - acceptable for now; localise only if the page is kept (see F-02 / sheet 09)</t>
        </is>
      </c>
      <c r="N723" s="5" t="inlineStr">
        <is>
          <t>Oui. Nous proposons un support continu complet : hébergement, maintenance, mises à jour de sécurité, surveillance des performances et mises à jour de contenu. Nos forfaits incluent une collaboration e</t>
        </is>
      </c>
      <c r="O723" t="inlineStr">
        <is>
          <t>P3</t>
        </is>
      </c>
      <c r="P723" t="inlineStr">
        <is>
          <t>FAQPage JSON-LD</t>
        </is>
      </c>
    </row>
    <row r="724">
      <c r="A724" s="3" t="inlineStr">
        <is>
          <t>https://codesommet.com/web-development-company/rabat</t>
        </is>
      </c>
      <c r="B724" t="inlineStr">
        <is>
          <t>Existing</t>
        </is>
      </c>
      <c r="C724" s="5" t="inlineStr">
        <is>
          <t>Avez-vous un bureau physique à Rabat ?</t>
        </is>
      </c>
      <c r="D724" t="inlineStr">
        <is>
          <t>site web rabat</t>
        </is>
      </c>
      <c r="E724" t="inlineStr">
        <is>
          <t>ma</t>
        </is>
      </c>
      <c r="F724" s="5" t="inlineStr"/>
      <c r="G724" t="n">
        <v>20</v>
      </c>
      <c r="H724" t="inlineStr">
        <is>
          <t>NOT AVAILABLE</t>
        </is>
      </c>
      <c r="I724" t="inlineStr">
        <is>
          <t>Location / logistics</t>
        </is>
      </c>
      <c r="J724" t="inlineStr">
        <is>
          <t>MEASURED</t>
        </is>
      </c>
      <c r="K724">
        <f>ROUND(IF(ISNUMBER(G724),MIN(50,ROUND(50*LOG10(G724+1)/4,1)),5)+IF(ISNUMBER(H724),ROUND(30*(100-H724)/100,1),15)+IF(B724="New",20,10),0)</f>
        <v/>
      </c>
      <c r="L724" t="inlineStr">
        <is>
          <t>KEEP</t>
        </is>
      </c>
      <c r="M724" s="5" t="inlineStr">
        <is>
          <t>Relevant to page intent</t>
        </is>
      </c>
      <c r="N724" s="5" t="inlineStr">
        <is>
          <t>Nous n'avons pas de bureau à Rabat : notre équipe travaille à distance depuis le Maroc et collabore avec ses clients entièrement en ligne (appels vidéo, Slack, suivi de projet en temps réel). Cela nou</t>
        </is>
      </c>
      <c r="O724" t="inlineStr">
        <is>
          <t>P2</t>
        </is>
      </c>
      <c r="P724" t="inlineStr">
        <is>
          <t>FAQPage JSON-LD</t>
        </is>
      </c>
    </row>
    <row r="725">
      <c r="A725" s="3" t="inlineStr">
        <is>
          <t>https://codesommet.com/web-development-company/rabat</t>
        </is>
      </c>
      <c r="B725" t="inlineStr">
        <is>
          <t>Existing</t>
        </is>
      </c>
      <c r="C725" s="5" t="inlineStr">
        <is>
          <t>Pouvez-vous travailler avec les entreprises de Rabat à distance ?</t>
        </is>
      </c>
      <c r="D725" t="inlineStr">
        <is>
          <t>site web rabat</t>
        </is>
      </c>
      <c r="E725" t="inlineStr">
        <is>
          <t>ma</t>
        </is>
      </c>
      <c r="F725" s="5" t="inlineStr"/>
      <c r="G725" t="n">
        <v>20</v>
      </c>
      <c r="H725" t="inlineStr">
        <is>
          <t>NOT AVAILABLE</t>
        </is>
      </c>
      <c r="I725" t="inlineStr">
        <is>
          <t>Location / logistics</t>
        </is>
      </c>
      <c r="J725" t="inlineStr">
        <is>
          <t>MEASURED</t>
        </is>
      </c>
      <c r="K725">
        <f>ROUND(IF(ISNUMBER(G725),MIN(50,ROUND(50*LOG10(G725+1)/4,1)),5)+IF(ISNUMBER(H725),ROUND(30*(100-H725)/100,1),15)+IF(B725="New",20,10),0)</f>
        <v/>
      </c>
      <c r="L725" t="inlineStr">
        <is>
          <t>KEEP</t>
        </is>
      </c>
      <c r="M725" s="5" t="inlineStr">
        <is>
          <t>Relevant to page intent</t>
        </is>
      </c>
      <c r="N725" s="5" t="inlineStr">
        <is>
          <t>Oui, tout se passe en ligne : appels vidéo pour le cadrage et les validations, collaboration sur Slack au quotidien et suivi de projet en temps réel. Nous adaptons nos créneaux au fuseau horaire de Ra</t>
        </is>
      </c>
      <c r="O725" t="inlineStr">
        <is>
          <t>P2</t>
        </is>
      </c>
      <c r="P725" t="inlineStr">
        <is>
          <t>FAQPage JSON-LD</t>
        </is>
      </c>
    </row>
    <row r="726">
      <c r="A726" s="3" t="inlineStr">
        <is>
          <t>https://codesommet.com/web-development-company/rabat</t>
        </is>
      </c>
      <c r="B726" t="inlineStr">
        <is>
          <t>Existing</t>
        </is>
      </c>
      <c r="C726" s="5" t="inlineStr">
        <is>
          <t>Quels modes de paiement acceptez-vous à Rabat ?</t>
        </is>
      </c>
      <c r="D726" t="inlineStr">
        <is>
          <t>site web rabat</t>
        </is>
      </c>
      <c r="E726" t="inlineStr">
        <is>
          <t>ma</t>
        </is>
      </c>
      <c r="F726" s="5" t="inlineStr"/>
      <c r="G726" t="n">
        <v>20</v>
      </c>
      <c r="H726" t="inlineStr">
        <is>
          <t>NOT AVAILABLE</t>
        </is>
      </c>
      <c r="I726" t="inlineStr">
        <is>
          <t>Payment</t>
        </is>
      </c>
      <c r="J726" t="inlineStr">
        <is>
          <t>MEASURED</t>
        </is>
      </c>
      <c r="K726">
        <f>ROUND(IF(ISNUMBER(G726),MIN(50,ROUND(50*LOG10(G726+1)/4,1)),5)+IF(ISNUMBER(H726),ROUND(30*(100-H726)/100,1),15)+IF(B726="New",20,10),0)</f>
        <v/>
      </c>
      <c r="L726" t="inlineStr">
        <is>
          <t>KEEP</t>
        </is>
      </c>
      <c r="M726" s="5" t="inlineStr">
        <is>
          <t>Relevant to page intent</t>
        </is>
      </c>
      <c r="N726" s="5" t="inlineStr">
        <is>
          <t xml:space="preserve">Nous acceptons les principaux moyens de paiement : virement bancaire, carte et PayPal selon votre pays. Le paiement est généralement échelonné par jalons, avec un acompte au démarrage puis le solde à </t>
        </is>
      </c>
      <c r="O726" t="inlineStr">
        <is>
          <t>P2</t>
        </is>
      </c>
      <c r="P726" t="inlineStr">
        <is>
          <t>FAQPage JSON-LD</t>
        </is>
      </c>
    </row>
    <row r="727">
      <c r="A727" s="3" t="inlineStr">
        <is>
          <t>https://codesommet.com/web-development-company/rabat</t>
        </is>
      </c>
      <c r="B727" t="inlineStr">
        <is>
          <t>Existing</t>
        </is>
      </c>
      <c r="C727" s="5" t="inlineStr">
        <is>
          <t>Comprenez-vous les lois de conformité et de protection des données du Morocco ?</t>
        </is>
      </c>
      <c r="D727" t="inlineStr">
        <is>
          <t>agence web rabat</t>
        </is>
      </c>
      <c r="E727" t="inlineStr">
        <is>
          <t>ma</t>
        </is>
      </c>
      <c r="F727" s="5" t="inlineStr"/>
      <c r="G727" t="n">
        <v>260</v>
      </c>
      <c r="H727" t="inlineStr">
        <is>
          <t>NOT AVAILABLE</t>
        </is>
      </c>
      <c r="I727" t="inlineStr">
        <is>
          <t>Compliance / security</t>
        </is>
      </c>
      <c r="J727" t="inlineStr">
        <is>
          <t>MEASURED</t>
        </is>
      </c>
      <c r="K727">
        <f>ROUND(IF(ISNUMBER(G727),MIN(50,ROUND(50*LOG10(G727+1)/4,1)),5)+IF(ISNUMBER(H727),ROUND(30*(100-H727)/100,1),15)+IF(B727="New",20,10),0)</f>
        <v/>
      </c>
      <c r="L727" t="inlineStr">
        <is>
          <t>REWRITE</t>
        </is>
      </c>
      <c r="M727" s="5" t="inlineStr">
        <is>
          <t>Untranslated "Morocco" in French copy (template variable bug)</t>
        </is>
      </c>
      <c r="N727" s="5" t="inlineStr">
        <is>
          <t>Nous concevons des sites conformes aux bonnes pratiques de protection des données : consentement aux cookies, politique de confidentialité, sécurisation des formulaires et des données. Pour les exigen</t>
        </is>
      </c>
      <c r="O727" t="inlineStr">
        <is>
          <t>P1</t>
        </is>
      </c>
      <c r="P727" t="inlineStr">
        <is>
          <t>FAQPage JSON-LD</t>
        </is>
      </c>
    </row>
    <row r="728">
      <c r="A728" s="3" t="inlineStr">
        <is>
          <t>https://codesommet.com/web-development-company/rabat</t>
        </is>
      </c>
      <c r="B728" t="inlineStr">
        <is>
          <t>Existing</t>
        </is>
      </c>
      <c r="C728" s="5" t="inlineStr">
        <is>
          <t>À quelle vitesse pouvez-vous lancer un site web pour mon entreprise à Rabat ?</t>
        </is>
      </c>
      <c r="D728" t="inlineStr">
        <is>
          <t>site web rabat</t>
        </is>
      </c>
      <c r="E728" t="inlineStr">
        <is>
          <t>ma</t>
        </is>
      </c>
      <c r="F728" s="5" t="inlineStr"/>
      <c r="G728" t="n">
        <v>20</v>
      </c>
      <c r="H728" t="inlineStr">
        <is>
          <t>NOT AVAILABLE</t>
        </is>
      </c>
      <c r="I728" t="inlineStr">
        <is>
          <t>Timeline</t>
        </is>
      </c>
      <c r="J728" t="inlineStr">
        <is>
          <t>MEASURED</t>
        </is>
      </c>
      <c r="K728">
        <f>ROUND(IF(ISNUMBER(G728),MIN(50,ROUND(50*LOG10(G728+1)/4,1)),5)+IF(ISNUMBER(H728),ROUND(30*(100-H728)/100,1),15)+IF(B728="New",20,10),0)</f>
        <v/>
      </c>
      <c r="L728" t="inlineStr">
        <is>
          <t>KEEP</t>
        </is>
      </c>
      <c r="M728" s="5" t="inlineStr">
        <is>
          <t>Matches measured pre-purchase demand</t>
        </is>
      </c>
      <c r="N728" s="5" t="inlineStr">
        <is>
          <t>La plupart des sites vitrines sont livrés en 2 à 5 jours après validation du périmètre. Pour les projets urgents, notre formule express permet une mise en ligne en 2 jours seulement. Les plateformes p</t>
        </is>
      </c>
      <c r="O728" t="inlineStr">
        <is>
          <t>P2</t>
        </is>
      </c>
      <c r="P728" t="inlineStr">
        <is>
          <t>FAQPage JSON-LD</t>
        </is>
      </c>
    </row>
    <row r="729">
      <c r="A729" s="3" t="inlineStr">
        <is>
          <t>https://codesommet.com/web-development-company/rabat</t>
        </is>
      </c>
      <c r="B729" t="inlineStr">
        <is>
          <t>Existing</t>
        </is>
      </c>
      <c r="C729" s="5" t="inlineStr">
        <is>
          <t>Pouvez-vous aider avec l'enregistrement de domaine .ma ?</t>
        </is>
      </c>
      <c r="D729" t="inlineStr">
        <is>
          <t>agence web rabat</t>
        </is>
      </c>
      <c r="E729" t="inlineStr">
        <is>
          <t>ma</t>
        </is>
      </c>
      <c r="F729" s="5" t="inlineStr"/>
      <c r="G729" t="n">
        <v>260</v>
      </c>
      <c r="H729" t="inlineStr">
        <is>
          <t>NOT AVAILABLE</t>
        </is>
      </c>
      <c r="I729" t="inlineStr">
        <is>
          <t>Service scope</t>
        </is>
      </c>
      <c r="J729" t="inlineStr">
        <is>
          <t>MEASURED</t>
        </is>
      </c>
      <c r="K729">
        <f>ROUND(IF(ISNUMBER(G729),MIN(50,ROUND(50*LOG10(G729+1)/4,1)),5)+IF(ISNUMBER(H729),ROUND(30*(100-H729)/100,1),15)+IF(B729="New",20,10),0)</f>
        <v/>
      </c>
      <c r="L729" t="inlineStr">
        <is>
          <t>IMPROVE</t>
        </is>
      </c>
      <c r="M729" s="5" t="inlineStr">
        <is>
          <t>Templated question shared by 12 pages - localise answer (sectors, office, examples) on this priority city page</t>
        </is>
      </c>
      <c r="N729" s="5" t="inlineStr">
        <is>
          <t>Oui. Nous vous conseillons sur le choix du nom de domaine (.ma ou .com selon votre cible), nous vous guidons pour l'enregistrement auprès d'un registrar et nous configurons le DNS, le certificat SSL e</t>
        </is>
      </c>
      <c r="O729" t="inlineStr">
        <is>
          <t>P1</t>
        </is>
      </c>
      <c r="P729" t="inlineStr">
        <is>
          <t>FAQPage JSON-LD</t>
        </is>
      </c>
    </row>
    <row r="730">
      <c r="A730" s="3" t="inlineStr">
        <is>
          <t>https://codesommet.com/web-development-company/rabat</t>
        </is>
      </c>
      <c r="B730" t="inlineStr">
        <is>
          <t>New</t>
        </is>
      </c>
      <c r="C730" s="5" t="inlineStr">
        <is>
          <t>Travaillez-vous avec les administrations et institutions à Rabat ?</t>
        </is>
      </c>
      <c r="D730" t="inlineStr">
        <is>
          <t>agence web rabat</t>
        </is>
      </c>
      <c r="E730" t="inlineStr">
        <is>
          <t>ma</t>
        </is>
      </c>
      <c r="F730" s="5" t="inlineStr">
        <is>
          <t>agence digitale rabat [ma] 170</t>
        </is>
      </c>
      <c r="G730" t="n">
        <v>260</v>
      </c>
      <c r="H730" t="inlineStr">
        <is>
          <t>NOT AVAILABLE</t>
        </is>
      </c>
      <c r="I730" t="inlineStr">
        <is>
          <t>Question</t>
        </is>
      </c>
      <c r="J730" t="inlineStr">
        <is>
          <t>MEASURED</t>
        </is>
      </c>
      <c r="K730">
        <f>ROUND(IF(ISNUMBER(G730),MIN(50,ROUND(50*LOG10(G730+1)/4,1)),5)+IF(ISNUMBER(H730),ROUND(30*(100-H730)/100,1),15)+IF(B730="New",20,10),0)</f>
        <v/>
      </c>
      <c r="L730" t="inlineStr">
        <is>
          <t>NEW</t>
        </is>
      </c>
      <c r="M730" s="5" t="inlineStr">
        <is>
          <t>Rabat = administrative capital; buyers include institutions/associations. | Why here: Adds genuine local angle to a templated page. | Internal link: /our-work/mon-asso</t>
        </is>
      </c>
      <c r="N730" s="5" t="inlineStr">
        <is>
          <t>Accessibility, bilingual FR/AR, public procurement constraints, hosting in Morocco.</t>
        </is>
      </c>
      <c r="O730" t="inlineStr">
        <is>
          <t>P3</t>
        </is>
      </c>
      <c r="P730" t="inlineStr"/>
    </row>
    <row r="731">
      <c r="A731" s="3" t="inlineStr">
        <is>
          <t>https://codesommet.com/web-development-company/riyadh</t>
        </is>
      </c>
      <c r="B731" t="inlineStr">
        <is>
          <t>Existing</t>
        </is>
      </c>
      <c r="C731" s="5" t="inlineStr">
        <is>
          <t>Avez-vous un bureau physique à Riyad ?</t>
        </is>
      </c>
      <c r="D731" t="inlineStr">
        <is>
          <t>développement web riyad</t>
        </is>
      </c>
      <c r="E731" t="inlineStr">
        <is>
          <t>sa</t>
        </is>
      </c>
      <c r="F731" s="5" t="inlineStr"/>
      <c r="G731" t="inlineStr">
        <is>
          <t>NOT AVAILABLE</t>
        </is>
      </c>
      <c r="H731" t="inlineStr">
        <is>
          <t>NOT AVAILABLE</t>
        </is>
      </c>
      <c r="I731" t="inlineStr">
        <is>
          <t>Location / logistics</t>
        </is>
      </c>
      <c r="J731" t="inlineStr">
        <is>
          <t>UNAVAILABLE</t>
        </is>
      </c>
      <c r="K731">
        <f>ROUND(IF(ISNUMBER(G731),MIN(50,ROUND(50*LOG10(G731+1)/4,1)),5)+IF(ISNUMBER(H731),ROUND(30*(100-H731)/100,1),15)+IF(B731="New",20,10),0)</f>
        <v/>
      </c>
      <c r="L731" t="inlineStr">
        <is>
          <t>KEEP</t>
        </is>
      </c>
      <c r="M731" s="5" t="inlineStr">
        <is>
          <t>Templated across 8 pages - acceptable for now; localise only if the page is kept (see F-02 / sheet 09)</t>
        </is>
      </c>
      <c r="N731" s="5" t="inlineStr">
        <is>
          <t>Nous n'avons pas de bureau à Riyad : notre équipe travaille à distance depuis le Maroc et collabore avec ses clients entièrement en ligne (appels vidéo, Slack, suivi de projet en temps réel). Cela nou</t>
        </is>
      </c>
      <c r="O731" t="inlineStr">
        <is>
          <t>P3</t>
        </is>
      </c>
      <c r="P731" t="inlineStr">
        <is>
          <t>FAQPage JSON-LD</t>
        </is>
      </c>
    </row>
    <row r="732">
      <c r="A732" s="3" t="inlineStr">
        <is>
          <t>https://codesommet.com/web-development-company/riyadh</t>
        </is>
      </c>
      <c r="B732" t="inlineStr">
        <is>
          <t>Existing</t>
        </is>
      </c>
      <c r="C732" s="5" t="inlineStr">
        <is>
          <t>Pouvez-vous travailler avec les entreprises de Riyad à distance ?</t>
        </is>
      </c>
      <c r="D732" t="inlineStr">
        <is>
          <t>développement web riyad</t>
        </is>
      </c>
      <c r="E732" t="inlineStr">
        <is>
          <t>sa</t>
        </is>
      </c>
      <c r="F732" s="5" t="inlineStr"/>
      <c r="G732" t="inlineStr">
        <is>
          <t>NOT AVAILABLE</t>
        </is>
      </c>
      <c r="H732" t="inlineStr">
        <is>
          <t>NOT AVAILABLE</t>
        </is>
      </c>
      <c r="I732" t="inlineStr">
        <is>
          <t>Location / logistics</t>
        </is>
      </c>
      <c r="J732" t="inlineStr">
        <is>
          <t>UNAVAILABLE</t>
        </is>
      </c>
      <c r="K732">
        <f>ROUND(IF(ISNUMBER(G732),MIN(50,ROUND(50*LOG10(G732+1)/4,1)),5)+IF(ISNUMBER(H732),ROUND(30*(100-H732)/100,1),15)+IF(B732="New",20,10),0)</f>
        <v/>
      </c>
      <c r="L732" t="inlineStr">
        <is>
          <t>KEEP</t>
        </is>
      </c>
      <c r="M732" s="5" t="inlineStr">
        <is>
          <t>Templated across 8 pages - acceptable for now; localise only if the page is kept (see F-02 / sheet 09)</t>
        </is>
      </c>
      <c r="N732" s="5" t="inlineStr">
        <is>
          <t>Oui, tout se passe en ligne : appels vidéo pour le cadrage et les validations, collaboration sur Slack au quotidien et suivi de projet en temps réel. Nous adaptons nos créneaux au fuseau horaire de Ri</t>
        </is>
      </c>
      <c r="O732" t="inlineStr">
        <is>
          <t>P3</t>
        </is>
      </c>
      <c r="P732" t="inlineStr">
        <is>
          <t>FAQPage JSON-LD</t>
        </is>
      </c>
    </row>
    <row r="733">
      <c r="A733" s="3" t="inlineStr">
        <is>
          <t>https://codesommet.com/web-development-company/riyadh</t>
        </is>
      </c>
      <c r="B733" t="inlineStr">
        <is>
          <t>Existing</t>
        </is>
      </c>
      <c r="C733" s="5" t="inlineStr">
        <is>
          <t>Quels modes de paiement acceptez-vous à Riyad ?</t>
        </is>
      </c>
      <c r="D733" t="inlineStr">
        <is>
          <t>développement web riyad</t>
        </is>
      </c>
      <c r="E733" t="inlineStr">
        <is>
          <t>sa</t>
        </is>
      </c>
      <c r="F733" s="5" t="inlineStr"/>
      <c r="G733" t="inlineStr">
        <is>
          <t>NOT AVAILABLE</t>
        </is>
      </c>
      <c r="H733" t="inlineStr">
        <is>
          <t>NOT AVAILABLE</t>
        </is>
      </c>
      <c r="I733" t="inlineStr">
        <is>
          <t>Payment</t>
        </is>
      </c>
      <c r="J733" t="inlineStr">
        <is>
          <t>UNAVAILABLE</t>
        </is>
      </c>
      <c r="K733">
        <f>ROUND(IF(ISNUMBER(G733),MIN(50,ROUND(50*LOG10(G733+1)/4,1)),5)+IF(ISNUMBER(H733),ROUND(30*(100-H733)/100,1),15)+IF(B733="New",20,10),0)</f>
        <v/>
      </c>
      <c r="L733" t="inlineStr">
        <is>
          <t>KEEP</t>
        </is>
      </c>
      <c r="M733" s="5" t="inlineStr">
        <is>
          <t>Templated across 8 pages - acceptable for now; localise only if the page is kept (see F-02 / sheet 09)</t>
        </is>
      </c>
      <c r="N733" s="5" t="inlineStr">
        <is>
          <t xml:space="preserve">Nous acceptons les principaux moyens de paiement : virement bancaire, carte et PayPal selon votre pays. Le paiement est généralement échelonné par jalons, avec un acompte au démarrage puis le solde à </t>
        </is>
      </c>
      <c r="O733" t="inlineStr">
        <is>
          <t>P3</t>
        </is>
      </c>
      <c r="P733" t="inlineStr">
        <is>
          <t>FAQPage JSON-LD</t>
        </is>
      </c>
    </row>
    <row r="734">
      <c r="A734" s="3" t="inlineStr">
        <is>
          <t>https://codesommet.com/web-development-company/riyadh</t>
        </is>
      </c>
      <c r="B734" t="inlineStr">
        <is>
          <t>Existing</t>
        </is>
      </c>
      <c r="C734" s="5" t="inlineStr">
        <is>
          <t>Comprenez-vous les lois de conformité et de protection des données en Arabie Saoudite ?</t>
        </is>
      </c>
      <c r="D734" t="inlineStr">
        <is>
          <t>développement web riyad</t>
        </is>
      </c>
      <c r="E734" t="inlineStr">
        <is>
          <t>sa</t>
        </is>
      </c>
      <c r="F734" s="5" t="inlineStr"/>
      <c r="G734" t="inlineStr">
        <is>
          <t>NOT AVAILABLE</t>
        </is>
      </c>
      <c r="H734" t="inlineStr">
        <is>
          <t>NOT AVAILABLE</t>
        </is>
      </c>
      <c r="I734" t="inlineStr">
        <is>
          <t>Compliance / security</t>
        </is>
      </c>
      <c r="J734" t="inlineStr">
        <is>
          <t>UNAVAILABLE</t>
        </is>
      </c>
      <c r="K734">
        <f>ROUND(IF(ISNUMBER(G734),MIN(50,ROUND(50*LOG10(G734+1)/4,1)),5)+IF(ISNUMBER(H734),ROUND(30*(100-H734)/100,1),15)+IF(B734="New",20,10),0)</f>
        <v/>
      </c>
      <c r="L734" t="inlineStr">
        <is>
          <t>KEEP</t>
        </is>
      </c>
      <c r="M734" s="5" t="inlineStr">
        <is>
          <t>Relevant to page intent</t>
        </is>
      </c>
      <c r="N734" s="5" t="inlineStr">
        <is>
          <t>Nous concevons des sites conformes aux bonnes pratiques de protection des données : consentement aux cookies, politique de confidentialité, sécurisation des formulaires et des données. Pour les exigen</t>
        </is>
      </c>
      <c r="O734" t="inlineStr">
        <is>
          <t>P3</t>
        </is>
      </c>
      <c r="P734" t="inlineStr">
        <is>
          <t>FAQPage JSON-LD</t>
        </is>
      </c>
    </row>
    <row r="735">
      <c r="A735" s="3" t="inlineStr">
        <is>
          <t>https://codesommet.com/web-development-company/riyadh</t>
        </is>
      </c>
      <c r="B735" t="inlineStr">
        <is>
          <t>Existing</t>
        </is>
      </c>
      <c r="C735" s="5" t="inlineStr">
        <is>
          <t>En combien de temps pouvez-vous lancer un site web pour mon entreprise à Riyad ?</t>
        </is>
      </c>
      <c r="D735" t="inlineStr">
        <is>
          <t>développement web riyad</t>
        </is>
      </c>
      <c r="E735" t="inlineStr">
        <is>
          <t>sa</t>
        </is>
      </c>
      <c r="F735" s="5" t="inlineStr"/>
      <c r="G735" t="inlineStr">
        <is>
          <t>NOT AVAILABLE</t>
        </is>
      </c>
      <c r="H735" t="inlineStr">
        <is>
          <t>NOT AVAILABLE</t>
        </is>
      </c>
      <c r="I735" t="inlineStr">
        <is>
          <t>Timeline</t>
        </is>
      </c>
      <c r="J735" t="inlineStr">
        <is>
          <t>UNAVAILABLE</t>
        </is>
      </c>
      <c r="K735">
        <f>ROUND(IF(ISNUMBER(G735),MIN(50,ROUND(50*LOG10(G735+1)/4,1)),5)+IF(ISNUMBER(H735),ROUND(30*(100-H735)/100,1),15)+IF(B735="New",20,10),0)</f>
        <v/>
      </c>
      <c r="L735" t="inlineStr">
        <is>
          <t>KEEP</t>
        </is>
      </c>
      <c r="M735" s="5" t="inlineStr">
        <is>
          <t>Relevant to page intent</t>
        </is>
      </c>
      <c r="N735" s="5" t="inlineStr">
        <is>
          <t>La plupart des sites vitrines sont livrés en 2 à 5 jours après validation du périmètre. Pour les projets urgents, notre formule express permet une mise en ligne en 2 jours seulement. Les plateformes p</t>
        </is>
      </c>
      <c r="O735" t="inlineStr">
        <is>
          <t>P3</t>
        </is>
      </c>
      <c r="P735" t="inlineStr">
        <is>
          <t>FAQPage JSON-LD</t>
        </is>
      </c>
    </row>
    <row r="736">
      <c r="A736" s="3" t="inlineStr">
        <is>
          <t>https://codesommet.com/web-development-company/riyadh</t>
        </is>
      </c>
      <c r="B736" t="inlineStr">
        <is>
          <t>Existing</t>
        </is>
      </c>
      <c r="C736" s="5" t="inlineStr">
        <is>
          <t>Pouvez-vous aider avec l'enregistrement de domaine .ae ?</t>
        </is>
      </c>
      <c r="D736" t="inlineStr">
        <is>
          <t>développement web riyad</t>
        </is>
      </c>
      <c r="E736" t="inlineStr">
        <is>
          <t>sa</t>
        </is>
      </c>
      <c r="F736" s="5" t="inlineStr"/>
      <c r="G736" t="inlineStr">
        <is>
          <t>NOT AVAILABLE</t>
        </is>
      </c>
      <c r="H736" t="inlineStr">
        <is>
          <t>NOT AVAILABLE</t>
        </is>
      </c>
      <c r="I736" t="inlineStr">
        <is>
          <t>Service scope</t>
        </is>
      </c>
      <c r="J736" t="inlineStr">
        <is>
          <t>UNAVAILABLE</t>
        </is>
      </c>
      <c r="K736">
        <f>ROUND(IF(ISNUMBER(G736),MIN(50,ROUND(50*LOG10(G736+1)/4,1)),5)+IF(ISNUMBER(H736),ROUND(30*(100-H736)/100,1),15)+IF(B736="New",20,10),0)</f>
        <v/>
      </c>
      <c r="L736" t="inlineStr">
        <is>
          <t>KEEP</t>
        </is>
      </c>
      <c r="M736" s="5" t="inlineStr">
        <is>
          <t>Templated across 12 pages - acceptable for now; localise only if the page is kept (see F-02 / sheet 09)</t>
        </is>
      </c>
      <c r="N736" s="5" t="inlineStr">
        <is>
          <t>Oui. Nous vous conseillons sur le choix du nom de domaine (.sa ou .com selon votre cible), nous vous guidons pour l'enregistrement auprès d'un registrar et nous configurons le DNS, le certificat SSL e</t>
        </is>
      </c>
      <c r="O736" t="inlineStr">
        <is>
          <t>P3</t>
        </is>
      </c>
      <c r="P736" t="inlineStr">
        <is>
          <t>FAQPage JSON-LD</t>
        </is>
      </c>
    </row>
    <row r="737">
      <c r="A737" s="3" t="inlineStr">
        <is>
          <t>https://codesommet.com/web-development-company/rome</t>
        </is>
      </c>
      <c r="B737" t="inlineStr">
        <is>
          <t>Existing</t>
        </is>
      </c>
      <c r="C737" s="5" t="inlineStr">
        <is>
          <t>Avez-vous un bureau physique à Rome ?</t>
        </is>
      </c>
      <c r="D737" t="inlineStr">
        <is>
          <t>développement web rome</t>
        </is>
      </c>
      <c r="E737" t="inlineStr">
        <is>
          <t>it</t>
        </is>
      </c>
      <c r="F737" s="5" t="inlineStr"/>
      <c r="G737" t="inlineStr">
        <is>
          <t>NOT AVAILABLE</t>
        </is>
      </c>
      <c r="H737" t="inlineStr">
        <is>
          <t>NOT AVAILABLE</t>
        </is>
      </c>
      <c r="I737" t="inlineStr">
        <is>
          <t>Location / logistics</t>
        </is>
      </c>
      <c r="J737" t="inlineStr">
        <is>
          <t>UNAVAILABLE</t>
        </is>
      </c>
      <c r="K737">
        <f>ROUND(IF(ISNUMBER(G737),MIN(50,ROUND(50*LOG10(G737+1)/4,1)),5)+IF(ISNUMBER(H737),ROUND(30*(100-H737)/100,1),15)+IF(B737="New",20,10),0)</f>
        <v/>
      </c>
      <c r="L737" t="inlineStr">
        <is>
          <t>KEEP</t>
        </is>
      </c>
      <c r="M737" s="5" t="inlineStr">
        <is>
          <t>Templated across 8 pages - acceptable for now; localise only if the page is kept (see F-02 / sheet 09)</t>
        </is>
      </c>
      <c r="N737" s="5" t="inlineStr">
        <is>
          <t>Nous n'avons pas de bureau à Rome : notre équipe travaille à distance depuis le Maroc et collabore avec ses clients entièrement en ligne (appels vidéo, Slack, suivi de projet en temps réel). Cela nous</t>
        </is>
      </c>
      <c r="O737" t="inlineStr">
        <is>
          <t>P3</t>
        </is>
      </c>
      <c r="P737" t="inlineStr">
        <is>
          <t>FAQPage JSON-LD</t>
        </is>
      </c>
    </row>
    <row r="738">
      <c r="A738" s="3" t="inlineStr">
        <is>
          <t>https://codesommet.com/web-development-company/rome</t>
        </is>
      </c>
      <c r="B738" t="inlineStr">
        <is>
          <t>Existing</t>
        </is>
      </c>
      <c r="C738" s="5" t="inlineStr">
        <is>
          <t>Pouvez-vous travailler avec les entreprises de Rome à distance ?</t>
        </is>
      </c>
      <c r="D738" t="inlineStr">
        <is>
          <t>développement web rome</t>
        </is>
      </c>
      <c r="E738" t="inlineStr">
        <is>
          <t>it</t>
        </is>
      </c>
      <c r="F738" s="5" t="inlineStr"/>
      <c r="G738" t="inlineStr">
        <is>
          <t>NOT AVAILABLE</t>
        </is>
      </c>
      <c r="H738" t="inlineStr">
        <is>
          <t>NOT AVAILABLE</t>
        </is>
      </c>
      <c r="I738" t="inlineStr">
        <is>
          <t>Location / logistics</t>
        </is>
      </c>
      <c r="J738" t="inlineStr">
        <is>
          <t>UNAVAILABLE</t>
        </is>
      </c>
      <c r="K738">
        <f>ROUND(IF(ISNUMBER(G738),MIN(50,ROUND(50*LOG10(G738+1)/4,1)),5)+IF(ISNUMBER(H738),ROUND(30*(100-H738)/100,1),15)+IF(B738="New",20,10),0)</f>
        <v/>
      </c>
      <c r="L738" t="inlineStr">
        <is>
          <t>KEEP</t>
        </is>
      </c>
      <c r="M738" s="5" t="inlineStr">
        <is>
          <t>Templated across 8 pages - acceptable for now; localise only if the page is kept (see F-02 / sheet 09)</t>
        </is>
      </c>
      <c r="N738" s="5" t="inlineStr">
        <is>
          <t>Oui, tout se passe en ligne : appels vidéo pour le cadrage et les validations, collaboration sur Slack au quotidien et suivi de projet en temps réel. Nous adaptons nos créneaux au fuseau horaire de Ro</t>
        </is>
      </c>
      <c r="O738" t="inlineStr">
        <is>
          <t>P3</t>
        </is>
      </c>
      <c r="P738" t="inlineStr">
        <is>
          <t>FAQPage JSON-LD</t>
        </is>
      </c>
    </row>
    <row r="739">
      <c r="A739" s="3" t="inlineStr">
        <is>
          <t>https://codesommet.com/web-development-company/rome</t>
        </is>
      </c>
      <c r="B739" t="inlineStr">
        <is>
          <t>Existing</t>
        </is>
      </c>
      <c r="C739" s="5" t="inlineStr">
        <is>
          <t>Quels modes de paiement acceptez-vous à Rome ?</t>
        </is>
      </c>
      <c r="D739" t="inlineStr">
        <is>
          <t>développement web rome</t>
        </is>
      </c>
      <c r="E739" t="inlineStr">
        <is>
          <t>it</t>
        </is>
      </c>
      <c r="F739" s="5" t="inlineStr"/>
      <c r="G739" t="inlineStr">
        <is>
          <t>NOT AVAILABLE</t>
        </is>
      </c>
      <c r="H739" t="inlineStr">
        <is>
          <t>NOT AVAILABLE</t>
        </is>
      </c>
      <c r="I739" t="inlineStr">
        <is>
          <t>Payment</t>
        </is>
      </c>
      <c r="J739" t="inlineStr">
        <is>
          <t>UNAVAILABLE</t>
        </is>
      </c>
      <c r="K739">
        <f>ROUND(IF(ISNUMBER(G739),MIN(50,ROUND(50*LOG10(G739+1)/4,1)),5)+IF(ISNUMBER(H739),ROUND(30*(100-H739)/100,1),15)+IF(B739="New",20,10),0)</f>
        <v/>
      </c>
      <c r="L739" t="inlineStr">
        <is>
          <t>KEEP</t>
        </is>
      </c>
      <c r="M739" s="5" t="inlineStr">
        <is>
          <t>Templated across 8 pages - acceptable for now; localise only if the page is kept (see F-02 / sheet 09)</t>
        </is>
      </c>
      <c r="N739" s="5" t="inlineStr">
        <is>
          <t xml:space="preserve">Nous acceptons les principaux moyens de paiement : virement bancaire, carte et PayPal selon votre pays. Le paiement est généralement échelonné par jalons, avec un acompte au démarrage puis le solde à </t>
        </is>
      </c>
      <c r="O739" t="inlineStr">
        <is>
          <t>P3</t>
        </is>
      </c>
      <c r="P739" t="inlineStr">
        <is>
          <t>FAQPage JSON-LD</t>
        </is>
      </c>
    </row>
    <row r="740">
      <c r="A740" s="3" t="inlineStr">
        <is>
          <t>https://codesommet.com/web-development-company/rome</t>
        </is>
      </c>
      <c r="B740" t="inlineStr">
        <is>
          <t>Existing</t>
        </is>
      </c>
      <c r="C740" s="5" t="inlineStr">
        <is>
          <t>Comprenez-vous les lois de conformité et de protection des données en Italie ?</t>
        </is>
      </c>
      <c r="D740" t="inlineStr">
        <is>
          <t>développement web rome</t>
        </is>
      </c>
      <c r="E740" t="inlineStr">
        <is>
          <t>it</t>
        </is>
      </c>
      <c r="F740" s="5" t="inlineStr"/>
      <c r="G740" t="inlineStr">
        <is>
          <t>NOT AVAILABLE</t>
        </is>
      </c>
      <c r="H740" t="inlineStr">
        <is>
          <t>NOT AVAILABLE</t>
        </is>
      </c>
      <c r="I740" t="inlineStr">
        <is>
          <t>Compliance / security</t>
        </is>
      </c>
      <c r="J740" t="inlineStr">
        <is>
          <t>UNAVAILABLE</t>
        </is>
      </c>
      <c r="K740">
        <f>ROUND(IF(ISNUMBER(G740),MIN(50,ROUND(50*LOG10(G740+1)/4,1)),5)+IF(ISNUMBER(H740),ROUND(30*(100-H740)/100,1),15)+IF(B740="New",20,10),0)</f>
        <v/>
      </c>
      <c r="L740" t="inlineStr">
        <is>
          <t>KEEP</t>
        </is>
      </c>
      <c r="M740" s="5" t="inlineStr">
        <is>
          <t>Relevant to page intent</t>
        </is>
      </c>
      <c r="N740" s="5" t="inlineStr">
        <is>
          <t>Nous concevons des sites conformes aux bonnes pratiques de protection des données : consentement aux cookies, politique de confidentialité, sécurisation des formulaires et des données. Pour les exigen</t>
        </is>
      </c>
      <c r="O740" t="inlineStr">
        <is>
          <t>P3</t>
        </is>
      </c>
      <c r="P740" t="inlineStr">
        <is>
          <t>FAQPage JSON-LD</t>
        </is>
      </c>
    </row>
    <row r="741">
      <c r="A741" s="3" t="inlineStr">
        <is>
          <t>https://codesommet.com/web-development-company/rome</t>
        </is>
      </c>
      <c r="B741" t="inlineStr">
        <is>
          <t>Existing</t>
        </is>
      </c>
      <c r="C741" s="5" t="inlineStr">
        <is>
          <t>En combien de temps pouvez-vous lancer un site web pour mon entreprise à Rome ?</t>
        </is>
      </c>
      <c r="D741" t="inlineStr">
        <is>
          <t>développement web rome</t>
        </is>
      </c>
      <c r="E741" t="inlineStr">
        <is>
          <t>it</t>
        </is>
      </c>
      <c r="F741" s="5" t="inlineStr"/>
      <c r="G741" t="inlineStr">
        <is>
          <t>NOT AVAILABLE</t>
        </is>
      </c>
      <c r="H741" t="inlineStr">
        <is>
          <t>NOT AVAILABLE</t>
        </is>
      </c>
      <c r="I741" t="inlineStr">
        <is>
          <t>Timeline</t>
        </is>
      </c>
      <c r="J741" t="inlineStr">
        <is>
          <t>UNAVAILABLE</t>
        </is>
      </c>
      <c r="K741">
        <f>ROUND(IF(ISNUMBER(G741),MIN(50,ROUND(50*LOG10(G741+1)/4,1)),5)+IF(ISNUMBER(H741),ROUND(30*(100-H741)/100,1),15)+IF(B741="New",20,10),0)</f>
        <v/>
      </c>
      <c r="L741" t="inlineStr">
        <is>
          <t>KEEP</t>
        </is>
      </c>
      <c r="M741" s="5" t="inlineStr">
        <is>
          <t>Relevant to page intent</t>
        </is>
      </c>
      <c r="N741" s="5" t="inlineStr">
        <is>
          <t>La plupart des sites vitrines sont livrés en 2 à 5 jours après validation du périmètre. Pour les projets urgents, notre formule express permet une mise en ligne en 2 jours seulement. Les plateformes p</t>
        </is>
      </c>
      <c r="O741" t="inlineStr">
        <is>
          <t>P3</t>
        </is>
      </c>
      <c r="P741" t="inlineStr">
        <is>
          <t>FAQPage JSON-LD</t>
        </is>
      </c>
    </row>
    <row r="742">
      <c r="A742" s="3" t="inlineStr">
        <is>
          <t>https://codesommet.com/web-development-company/rome</t>
        </is>
      </c>
      <c r="B742" t="inlineStr">
        <is>
          <t>Existing</t>
        </is>
      </c>
      <c r="C742" s="5" t="inlineStr">
        <is>
          <t>Pouvez-vous aider avec l'enregistrement de domaine ?</t>
        </is>
      </c>
      <c r="D742" t="inlineStr">
        <is>
          <t>développement web rome</t>
        </is>
      </c>
      <c r="E742" t="inlineStr">
        <is>
          <t>it</t>
        </is>
      </c>
      <c r="F742" s="5" t="inlineStr"/>
      <c r="G742" t="inlineStr">
        <is>
          <t>NOT AVAILABLE</t>
        </is>
      </c>
      <c r="H742" t="inlineStr">
        <is>
          <t>NOT AVAILABLE</t>
        </is>
      </c>
      <c r="I742" t="inlineStr">
        <is>
          <t>Service scope</t>
        </is>
      </c>
      <c r="J742" t="inlineStr">
        <is>
          <t>UNAVAILABLE</t>
        </is>
      </c>
      <c r="K742">
        <f>ROUND(IF(ISNUMBER(G742),MIN(50,ROUND(50*LOG10(G742+1)/4,1)),5)+IF(ISNUMBER(H742),ROUND(30*(100-H742)/100,1),15)+IF(B742="New",20,10),0)</f>
        <v/>
      </c>
      <c r="L742" t="inlineStr">
        <is>
          <t>KEEP</t>
        </is>
      </c>
      <c r="M742" s="5" t="inlineStr">
        <is>
          <t>Relevant to page intent</t>
        </is>
      </c>
      <c r="N742" s="5" t="inlineStr">
        <is>
          <t>Oui. Nous vous conseillons sur le choix du nom de domaine (.it ou .com selon votre cible), nous vous guidons pour l'enregistrement auprès d'un registrar et nous configurons le DNS, le certificat SSL e</t>
        </is>
      </c>
      <c r="O742" t="inlineStr">
        <is>
          <t>P3</t>
        </is>
      </c>
      <c r="P742" t="inlineStr">
        <is>
          <t>FAQPage JSON-LD</t>
        </is>
      </c>
    </row>
    <row r="743">
      <c r="A743" s="3" t="inlineStr">
        <is>
          <t>https://codesommet.com/web-development-company/san-francisco</t>
        </is>
      </c>
      <c r="B743" t="inlineStr">
        <is>
          <t>Existing</t>
        </is>
      </c>
      <c r="C743" s="5" t="inlineStr">
        <is>
          <t>Pourquoi choisir CodeSommet parmi les nombreuses agences de développement web de San Francisco ?</t>
        </is>
      </c>
      <c r="D743" t="inlineStr">
        <is>
          <t>développement web san francisco</t>
        </is>
      </c>
      <c r="E743" t="inlineStr">
        <is>
          <t>us</t>
        </is>
      </c>
      <c r="F743" s="5" t="inlineStr"/>
      <c r="G743" t="inlineStr">
        <is>
          <t>NOT AVAILABLE</t>
        </is>
      </c>
      <c r="H743" t="inlineStr">
        <is>
          <t>NOT AVAILABLE</t>
        </is>
      </c>
      <c r="I743" t="inlineStr">
        <is>
          <t>Differentiation</t>
        </is>
      </c>
      <c r="J743" t="inlineStr">
        <is>
          <t>UNAVAILABLE</t>
        </is>
      </c>
      <c r="K743">
        <f>ROUND(IF(ISNUMBER(G743),MIN(50,ROUND(50*LOG10(G743+1)/4,1)),5)+IF(ISNUMBER(H743),ROUND(30*(100-H743)/100,1),15)+IF(B743="New",20,10),0)</f>
        <v/>
      </c>
      <c r="L743" t="inlineStr">
        <is>
          <t>KEEP</t>
        </is>
      </c>
      <c r="M743" s="5" t="inlineStr">
        <is>
          <t>Templated across 6 pages - acceptable for now; localise only if the page is kept (see F-02 / sheet 09)</t>
        </is>
      </c>
      <c r="N743" s="5" t="inlineStr">
        <is>
          <t>Parce que nous combinons un design soigné, des technologies modernes et une livraison rapide : la plupart des sites vitrines sont en ligne en 2 à 5 jours après validation du périmètre (et en 2 jours s</t>
        </is>
      </c>
      <c r="O743" t="inlineStr">
        <is>
          <t>P3</t>
        </is>
      </c>
      <c r="P743" t="inlineStr">
        <is>
          <t>FAQPage JSON-LD</t>
        </is>
      </c>
    </row>
    <row r="744">
      <c r="A744" s="3" t="inlineStr">
        <is>
          <t>https://codesommet.com/web-development-company/san-francisco</t>
        </is>
      </c>
      <c r="B744" t="inlineStr">
        <is>
          <t>Existing</t>
        </is>
      </c>
      <c r="C744" s="5" t="inlineStr">
        <is>
          <t>Travaillez-vous avec les startups et entreprises early-stage de San Francisco ?</t>
        </is>
      </c>
      <c r="D744" t="inlineStr">
        <is>
          <t>développement web san francisco</t>
        </is>
      </c>
      <c r="E744" t="inlineStr">
        <is>
          <t>us</t>
        </is>
      </c>
      <c r="F744" s="5" t="inlineStr"/>
      <c r="G744" t="inlineStr">
        <is>
          <t>NOT AVAILABLE</t>
        </is>
      </c>
      <c r="H744" t="inlineStr">
        <is>
          <t>NOT AVAILABLE</t>
        </is>
      </c>
      <c r="I744" t="inlineStr">
        <is>
          <t>Service scope</t>
        </is>
      </c>
      <c r="J744" t="inlineStr">
        <is>
          <t>UNAVAILABLE</t>
        </is>
      </c>
      <c r="K744">
        <f>ROUND(IF(ISNUMBER(G744),MIN(50,ROUND(50*LOG10(G744+1)/4,1)),5)+IF(ISNUMBER(H744),ROUND(30*(100-H744)/100,1),15)+IF(B744="New",20,10),0)</f>
        <v/>
      </c>
      <c r="L744" t="inlineStr">
        <is>
          <t>KEEP</t>
        </is>
      </c>
      <c r="M744" s="5" t="inlineStr">
        <is>
          <t>Templated across 6 pages - acceptable for now; localise only if the page is kept (see F-02 / sheet 09)</t>
        </is>
      </c>
      <c r="N744" s="5" t="inlineStr">
        <is>
          <t>Absolument. Nous travaillons avec des entreprises de toutes tailles, des startups en démarrage aux structures établies. Notre tarification flexible et nos forfaits mensuels sont pensés pour évoluer av</t>
        </is>
      </c>
      <c r="O744" t="inlineStr">
        <is>
          <t>P3</t>
        </is>
      </c>
      <c r="P744" t="inlineStr">
        <is>
          <t>FAQPage JSON-LD</t>
        </is>
      </c>
    </row>
    <row r="745">
      <c r="A745" s="3" t="inlineStr">
        <is>
          <t>https://codesommet.com/web-development-company/san-francisco</t>
        </is>
      </c>
      <c r="B745" t="inlineStr">
        <is>
          <t>Existing</t>
        </is>
      </c>
      <c r="C745" s="5" t="inlineStr">
        <is>
          <t>Quelles technologies utilisez-vous pour les projets ? San Francisco ?</t>
        </is>
      </c>
      <c r="D745" t="inlineStr">
        <is>
          <t>développement web san francisco</t>
        </is>
      </c>
      <c r="E745" t="inlineStr">
        <is>
          <t>us</t>
        </is>
      </c>
      <c r="F745" s="5" t="inlineStr"/>
      <c r="G745" t="inlineStr">
        <is>
          <t>NOT AVAILABLE</t>
        </is>
      </c>
      <c r="H745" t="inlineStr">
        <is>
          <t>NOT AVAILABLE</t>
        </is>
      </c>
      <c r="I745" t="inlineStr">
        <is>
          <t>Service scope</t>
        </is>
      </c>
      <c r="J745" t="inlineStr">
        <is>
          <t>UNAVAILABLE</t>
        </is>
      </c>
      <c r="K745">
        <f>ROUND(IF(ISNUMBER(G745),MIN(50,ROUND(50*LOG10(G745+1)/4,1)),5)+IF(ISNUMBER(H745),ROUND(30*(100-H745)/100,1),15)+IF(B745="New",20,10),0)</f>
        <v/>
      </c>
      <c r="L745" t="inlineStr">
        <is>
          <t>KEEP</t>
        </is>
      </c>
      <c r="M745" s="5" t="inlineStr">
        <is>
          <t>Templated across 6 pages - acceptable for now; localise only if the page is kept (see F-02 / sheet 09)</t>
        </is>
      </c>
      <c r="N745" s="5" t="inlineStr">
        <is>
          <t>Nous utilisons des technologies modernes comme Next.js, React, TypeScript, Node.js et Laravel pour le développement web. Côté IA, nous intégrons des chatbots sur mesure et des automatisations intellig</t>
        </is>
      </c>
      <c r="O745" t="inlineStr">
        <is>
          <t>P3</t>
        </is>
      </c>
      <c r="P745" t="inlineStr">
        <is>
          <t>FAQPage JSON-LD</t>
        </is>
      </c>
    </row>
    <row r="746">
      <c r="A746" s="3" t="inlineStr">
        <is>
          <t>https://codesommet.com/web-development-company/san-francisco</t>
        </is>
      </c>
      <c r="B746" t="inlineStr">
        <is>
          <t>Existing</t>
        </is>
      </c>
      <c r="C746" s="5" t="inlineStr">
        <is>
          <t>Pouvez-vous vous intégrer aux systèmes existants utilisés par les entreprises de San Francisco ?</t>
        </is>
      </c>
      <c r="D746" t="inlineStr">
        <is>
          <t>développement web san francisco</t>
        </is>
      </c>
      <c r="E746" t="inlineStr">
        <is>
          <t>us</t>
        </is>
      </c>
      <c r="F746" s="5" t="inlineStr"/>
      <c r="G746" t="inlineStr">
        <is>
          <t>NOT AVAILABLE</t>
        </is>
      </c>
      <c r="H746" t="inlineStr">
        <is>
          <t>NOT AVAILABLE</t>
        </is>
      </c>
      <c r="I746" t="inlineStr">
        <is>
          <t>Service scope</t>
        </is>
      </c>
      <c r="J746" t="inlineStr">
        <is>
          <t>UNAVAILABLE</t>
        </is>
      </c>
      <c r="K746">
        <f>ROUND(IF(ISNUMBER(G746),MIN(50,ROUND(50*LOG10(G746+1)/4,1)),5)+IF(ISNUMBER(H746),ROUND(30*(100-H746)/100,1),15)+IF(B746="New",20,10),0)</f>
        <v/>
      </c>
      <c r="L746" t="inlineStr">
        <is>
          <t>KEEP</t>
        </is>
      </c>
      <c r="M746" s="5" t="inlineStr">
        <is>
          <t>Templated across 11 pages - acceptable for now; localise only if the page is kept (see F-02 / sheet 09)</t>
        </is>
      </c>
      <c r="N746" s="5" t="inlineStr">
        <is>
          <t>Oui. Nous intégrons vos systèmes existants : CRM, ERP, passerelles de paiement, systèmes de réservation et API tierces. Que vous utilisiez Salesforce, HubSpot, Stripe ou des outils internes, nous assu</t>
        </is>
      </c>
      <c r="O746" t="inlineStr">
        <is>
          <t>P3</t>
        </is>
      </c>
      <c r="P746" t="inlineStr">
        <is>
          <t>FAQPage JSON-LD</t>
        </is>
      </c>
    </row>
    <row r="747">
      <c r="A747" s="3" t="inlineStr">
        <is>
          <t>https://codesommet.com/web-development-company/san-francisco</t>
        </is>
      </c>
      <c r="B747" t="inlineStr">
        <is>
          <t>Existing</t>
        </is>
      </c>
      <c r="C747" s="5" t="inlineStr">
        <is>
          <t>Comment fonctionne le modèle à révisions illimitées pour San Francisco ?</t>
        </is>
      </c>
      <c r="D747" t="inlineStr">
        <is>
          <t>développement web san francisco</t>
        </is>
      </c>
      <c r="E747" t="inlineStr">
        <is>
          <t>us</t>
        </is>
      </c>
      <c r="F747" s="5" t="inlineStr"/>
      <c r="G747" t="inlineStr">
        <is>
          <t>NOT AVAILABLE</t>
        </is>
      </c>
      <c r="H747" t="inlineStr">
        <is>
          <t>NOT AVAILABLE</t>
        </is>
      </c>
      <c r="I747" t="inlineStr">
        <is>
          <t>Definition / how it works</t>
        </is>
      </c>
      <c r="J747" t="inlineStr">
        <is>
          <t>UNAVAILABLE</t>
        </is>
      </c>
      <c r="K747">
        <f>ROUND(IF(ISNUMBER(G747),MIN(50,ROUND(50*LOG10(G747+1)/4,1)),5)+IF(ISNUMBER(H747),ROUND(30*(100-H747)/100,1),15)+IF(B747="New",20,10),0)</f>
        <v/>
      </c>
      <c r="L747" t="inlineStr">
        <is>
          <t>KEEP</t>
        </is>
      </c>
      <c r="M747" s="5" t="inlineStr">
        <is>
          <t>Relevant to page intent</t>
        </is>
      </c>
      <c r="N747" s="5" t="inlineStr">
        <is>
          <t>Notre modèle de révisions illimitées signifie exactement cela : nous affinons jusqu'à ce que vous soyez satisfait. Il n'y a pas de limite au nombre de modifications demandées, chaque révision étant gé</t>
        </is>
      </c>
      <c r="O747" t="inlineStr">
        <is>
          <t>P3</t>
        </is>
      </c>
      <c r="P747" t="inlineStr">
        <is>
          <t>FAQPage JSON-LD</t>
        </is>
      </c>
    </row>
    <row r="748">
      <c r="A748" s="3" t="inlineStr">
        <is>
          <t>https://codesommet.com/web-development-company/san-francisco</t>
        </is>
      </c>
      <c r="B748" t="inlineStr">
        <is>
          <t>Existing</t>
        </is>
      </c>
      <c r="C748" s="5" t="inlineStr">
        <is>
          <t>Fournissez-vous un support continu aux clients de San Francisco après le lancement ?</t>
        </is>
      </c>
      <c r="D748" t="inlineStr">
        <is>
          <t>développement web san francisco</t>
        </is>
      </c>
      <c r="E748" t="inlineStr">
        <is>
          <t>us</t>
        </is>
      </c>
      <c r="F748" s="5" t="inlineStr"/>
      <c r="G748" t="inlineStr">
        <is>
          <t>NOT AVAILABLE</t>
        </is>
      </c>
      <c r="H748" t="inlineStr">
        <is>
          <t>NOT AVAILABLE</t>
        </is>
      </c>
      <c r="I748" t="inlineStr">
        <is>
          <t>Support</t>
        </is>
      </c>
      <c r="J748" t="inlineStr">
        <is>
          <t>UNAVAILABLE</t>
        </is>
      </c>
      <c r="K748">
        <f>ROUND(IF(ISNUMBER(G748),MIN(50,ROUND(50*LOG10(G748+1)/4,1)),5)+IF(ISNUMBER(H748),ROUND(30*(100-H748)/100,1),15)+IF(B748="New",20,10),0)</f>
        <v/>
      </c>
      <c r="L748" t="inlineStr">
        <is>
          <t>KEEP</t>
        </is>
      </c>
      <c r="M748" s="5" t="inlineStr">
        <is>
          <t>Relevant to page intent</t>
        </is>
      </c>
      <c r="N748" s="5" t="inlineStr">
        <is>
          <t>Oui. Nous proposons un support continu complet : hébergement, maintenance, mises à jour de sécurité, surveillance des performances et mises à jour de contenu. Nos forfaits incluent une collaboration e</t>
        </is>
      </c>
      <c r="O748" t="inlineStr">
        <is>
          <t>P3</t>
        </is>
      </c>
      <c r="P748" t="inlineStr">
        <is>
          <t>FAQPage JSON-LD</t>
        </is>
      </c>
    </row>
    <row r="749">
      <c r="A749" s="3" t="inlineStr">
        <is>
          <t>https://codesommet.com/web-development-company/seattle</t>
        </is>
      </c>
      <c r="B749" t="inlineStr">
        <is>
          <t>Existing</t>
        </is>
      </c>
      <c r="C749" s="5" t="inlineStr">
        <is>
          <t>Pourquoi choisir CodeSommet parmi les nombreuses agences de développement web de Seattle ?</t>
        </is>
      </c>
      <c r="D749" t="inlineStr">
        <is>
          <t>développement web seattle</t>
        </is>
      </c>
      <c r="E749" t="inlineStr">
        <is>
          <t>us</t>
        </is>
      </c>
      <c r="F749" s="5" t="inlineStr"/>
      <c r="G749" t="inlineStr">
        <is>
          <t>NOT AVAILABLE</t>
        </is>
      </c>
      <c r="H749" t="inlineStr">
        <is>
          <t>NOT AVAILABLE</t>
        </is>
      </c>
      <c r="I749" t="inlineStr">
        <is>
          <t>Differentiation</t>
        </is>
      </c>
      <c r="J749" t="inlineStr">
        <is>
          <t>UNAVAILABLE</t>
        </is>
      </c>
      <c r="K749">
        <f>ROUND(IF(ISNUMBER(G749),MIN(50,ROUND(50*LOG10(G749+1)/4,1)),5)+IF(ISNUMBER(H749),ROUND(30*(100-H749)/100,1),15)+IF(B749="New",20,10),0)</f>
        <v/>
      </c>
      <c r="L749" t="inlineStr">
        <is>
          <t>KEEP</t>
        </is>
      </c>
      <c r="M749" s="5" t="inlineStr">
        <is>
          <t>Templated across 6 pages - acceptable for now; localise only if the page is kept (see F-02 / sheet 09)</t>
        </is>
      </c>
      <c r="N749" s="5" t="inlineStr">
        <is>
          <t>Parce que nous combinons un design soigné, des technologies modernes et une livraison rapide : la plupart des sites vitrines sont en ligne en 2 à 5 jours après validation du périmètre (et en 2 jours s</t>
        </is>
      </c>
      <c r="O749" t="inlineStr">
        <is>
          <t>P3</t>
        </is>
      </c>
      <c r="P749" t="inlineStr">
        <is>
          <t>FAQPage JSON-LD</t>
        </is>
      </c>
    </row>
    <row r="750">
      <c r="A750" s="3" t="inlineStr">
        <is>
          <t>https://codesommet.com/web-development-company/seattle</t>
        </is>
      </c>
      <c r="B750" t="inlineStr">
        <is>
          <t>Existing</t>
        </is>
      </c>
      <c r="C750" s="5" t="inlineStr">
        <is>
          <t>Travaillez-vous avec les startups et entreprises early-stage de Seattle ?</t>
        </is>
      </c>
      <c r="D750" t="inlineStr">
        <is>
          <t>développement web seattle</t>
        </is>
      </c>
      <c r="E750" t="inlineStr">
        <is>
          <t>us</t>
        </is>
      </c>
      <c r="F750" s="5" t="inlineStr"/>
      <c r="G750" t="inlineStr">
        <is>
          <t>NOT AVAILABLE</t>
        </is>
      </c>
      <c r="H750" t="inlineStr">
        <is>
          <t>NOT AVAILABLE</t>
        </is>
      </c>
      <c r="I750" t="inlineStr">
        <is>
          <t>Service scope</t>
        </is>
      </c>
      <c r="J750" t="inlineStr">
        <is>
          <t>UNAVAILABLE</t>
        </is>
      </c>
      <c r="K750">
        <f>ROUND(IF(ISNUMBER(G750),MIN(50,ROUND(50*LOG10(G750+1)/4,1)),5)+IF(ISNUMBER(H750),ROUND(30*(100-H750)/100,1),15)+IF(B750="New",20,10),0)</f>
        <v/>
      </c>
      <c r="L750" t="inlineStr">
        <is>
          <t>KEEP</t>
        </is>
      </c>
      <c r="M750" s="5" t="inlineStr">
        <is>
          <t>Templated across 6 pages - acceptable for now; localise only if the page is kept (see F-02 / sheet 09)</t>
        </is>
      </c>
      <c r="N750" s="5" t="inlineStr">
        <is>
          <t>Absolument. Nous travaillons avec des entreprises de toutes tailles, des startups en démarrage aux structures établies. Notre tarification flexible et nos forfaits mensuels sont pensés pour évoluer av</t>
        </is>
      </c>
      <c r="O750" t="inlineStr">
        <is>
          <t>P3</t>
        </is>
      </c>
      <c r="P750" t="inlineStr">
        <is>
          <t>FAQPage JSON-LD</t>
        </is>
      </c>
    </row>
    <row r="751">
      <c r="A751" s="3" t="inlineStr">
        <is>
          <t>https://codesommet.com/web-development-company/seattle</t>
        </is>
      </c>
      <c r="B751" t="inlineStr">
        <is>
          <t>Existing</t>
        </is>
      </c>
      <c r="C751" s="5" t="inlineStr">
        <is>
          <t>Quelles technologies utilisez-vous pour les projets ? Seattle ?</t>
        </is>
      </c>
      <c r="D751" t="inlineStr">
        <is>
          <t>développement web seattle</t>
        </is>
      </c>
      <c r="E751" t="inlineStr">
        <is>
          <t>us</t>
        </is>
      </c>
      <c r="F751" s="5" t="inlineStr"/>
      <c r="G751" t="inlineStr">
        <is>
          <t>NOT AVAILABLE</t>
        </is>
      </c>
      <c r="H751" t="inlineStr">
        <is>
          <t>NOT AVAILABLE</t>
        </is>
      </c>
      <c r="I751" t="inlineStr">
        <is>
          <t>Service scope</t>
        </is>
      </c>
      <c r="J751" t="inlineStr">
        <is>
          <t>UNAVAILABLE</t>
        </is>
      </c>
      <c r="K751">
        <f>ROUND(IF(ISNUMBER(G751),MIN(50,ROUND(50*LOG10(G751+1)/4,1)),5)+IF(ISNUMBER(H751),ROUND(30*(100-H751)/100,1),15)+IF(B751="New",20,10),0)</f>
        <v/>
      </c>
      <c r="L751" t="inlineStr">
        <is>
          <t>KEEP</t>
        </is>
      </c>
      <c r="M751" s="5" t="inlineStr">
        <is>
          <t>Templated across 6 pages - acceptable for now; localise only if the page is kept (see F-02 / sheet 09)</t>
        </is>
      </c>
      <c r="N751" s="5" t="inlineStr">
        <is>
          <t>Nous utilisons des technologies modernes comme Next.js, React, TypeScript, Node.js et Laravel pour le développement web. Côté IA, nous intégrons des chatbots sur mesure et des automatisations intellig</t>
        </is>
      </c>
      <c r="O751" t="inlineStr">
        <is>
          <t>P3</t>
        </is>
      </c>
      <c r="P751" t="inlineStr">
        <is>
          <t>FAQPage JSON-LD</t>
        </is>
      </c>
    </row>
    <row r="752">
      <c r="A752" s="3" t="inlineStr">
        <is>
          <t>https://codesommet.com/web-development-company/seattle</t>
        </is>
      </c>
      <c r="B752" t="inlineStr">
        <is>
          <t>Existing</t>
        </is>
      </c>
      <c r="C752" s="5" t="inlineStr">
        <is>
          <t>Pouvez-vous vous intégrer aux systèmes existants utilisés par les entreprises de Seattle ?</t>
        </is>
      </c>
      <c r="D752" t="inlineStr">
        <is>
          <t>développement web seattle</t>
        </is>
      </c>
      <c r="E752" t="inlineStr">
        <is>
          <t>us</t>
        </is>
      </c>
      <c r="F752" s="5" t="inlineStr"/>
      <c r="G752" t="inlineStr">
        <is>
          <t>NOT AVAILABLE</t>
        </is>
      </c>
      <c r="H752" t="inlineStr">
        <is>
          <t>NOT AVAILABLE</t>
        </is>
      </c>
      <c r="I752" t="inlineStr">
        <is>
          <t>Service scope</t>
        </is>
      </c>
      <c r="J752" t="inlineStr">
        <is>
          <t>UNAVAILABLE</t>
        </is>
      </c>
      <c r="K752">
        <f>ROUND(IF(ISNUMBER(G752),MIN(50,ROUND(50*LOG10(G752+1)/4,1)),5)+IF(ISNUMBER(H752),ROUND(30*(100-H752)/100,1),15)+IF(B752="New",20,10),0)</f>
        <v/>
      </c>
      <c r="L752" t="inlineStr">
        <is>
          <t>KEEP</t>
        </is>
      </c>
      <c r="M752" s="5" t="inlineStr">
        <is>
          <t>Templated across 11 pages - acceptable for now; localise only if the page is kept (see F-02 / sheet 09)</t>
        </is>
      </c>
      <c r="N752" s="5" t="inlineStr">
        <is>
          <t>Oui. Nous intégrons vos systèmes existants : CRM, ERP, passerelles de paiement, systèmes de réservation et API tierces. Que vous utilisiez Salesforce, HubSpot, Stripe ou des outils internes, nous assu</t>
        </is>
      </c>
      <c r="O752" t="inlineStr">
        <is>
          <t>P3</t>
        </is>
      </c>
      <c r="P752" t="inlineStr">
        <is>
          <t>FAQPage JSON-LD</t>
        </is>
      </c>
    </row>
    <row r="753">
      <c r="A753" s="3" t="inlineStr">
        <is>
          <t>https://codesommet.com/web-development-company/seattle</t>
        </is>
      </c>
      <c r="B753" t="inlineStr">
        <is>
          <t>Existing</t>
        </is>
      </c>
      <c r="C753" s="5" t="inlineStr">
        <is>
          <t>Comment fonctionne le modèle de révisions illimitées pour les clients de Seattle ?</t>
        </is>
      </c>
      <c r="D753" t="inlineStr">
        <is>
          <t>développement web seattle</t>
        </is>
      </c>
      <c r="E753" t="inlineStr">
        <is>
          <t>us</t>
        </is>
      </c>
      <c r="F753" s="5" t="inlineStr"/>
      <c r="G753" t="inlineStr">
        <is>
          <t>NOT AVAILABLE</t>
        </is>
      </c>
      <c r="H753" t="inlineStr">
        <is>
          <t>NOT AVAILABLE</t>
        </is>
      </c>
      <c r="I753" t="inlineStr">
        <is>
          <t>Definition / how it works</t>
        </is>
      </c>
      <c r="J753" t="inlineStr">
        <is>
          <t>UNAVAILABLE</t>
        </is>
      </c>
      <c r="K753">
        <f>ROUND(IF(ISNUMBER(G753),MIN(50,ROUND(50*LOG10(G753+1)/4,1)),5)+IF(ISNUMBER(H753),ROUND(30*(100-H753)/100,1),15)+IF(B753="New",20,10),0)</f>
        <v/>
      </c>
      <c r="L753" t="inlineStr">
        <is>
          <t>KEEP</t>
        </is>
      </c>
      <c r="M753" s="5" t="inlineStr">
        <is>
          <t>Templated across 10 pages - acceptable for now; localise only if the page is kept (see F-02 / sheet 09)</t>
        </is>
      </c>
      <c r="N753" s="5" t="inlineStr">
        <is>
          <t>Notre modèle de révisions illimitées signifie exactement cela : nous affinons jusqu'à ce que vous soyez satisfait. Il n'y a pas de limite au nombre de modifications demandées, chaque révision étant gé</t>
        </is>
      </c>
      <c r="O753" t="inlineStr">
        <is>
          <t>P3</t>
        </is>
      </c>
      <c r="P753" t="inlineStr">
        <is>
          <t>FAQPage JSON-LD</t>
        </is>
      </c>
    </row>
    <row r="754">
      <c r="A754" s="3" t="inlineStr">
        <is>
          <t>https://codesommet.com/web-development-company/seattle</t>
        </is>
      </c>
      <c r="B754" t="inlineStr">
        <is>
          <t>Existing</t>
        </is>
      </c>
      <c r="C754" s="5" t="inlineStr">
        <is>
          <t>Fournissez-vous un support continu après le lancement pour les entreprises de Seattle ?</t>
        </is>
      </c>
      <c r="D754" t="inlineStr">
        <is>
          <t>développement web seattle</t>
        </is>
      </c>
      <c r="E754" t="inlineStr">
        <is>
          <t>us</t>
        </is>
      </c>
      <c r="F754" s="5" t="inlineStr"/>
      <c r="G754" t="inlineStr">
        <is>
          <t>NOT AVAILABLE</t>
        </is>
      </c>
      <c r="H754" t="inlineStr">
        <is>
          <t>NOT AVAILABLE</t>
        </is>
      </c>
      <c r="I754" t="inlineStr">
        <is>
          <t>Support</t>
        </is>
      </c>
      <c r="J754" t="inlineStr">
        <is>
          <t>UNAVAILABLE</t>
        </is>
      </c>
      <c r="K754">
        <f>ROUND(IF(ISNUMBER(G754),MIN(50,ROUND(50*LOG10(G754+1)/4,1)),5)+IF(ISNUMBER(H754),ROUND(30*(100-H754)/100,1),15)+IF(B754="New",20,10),0)</f>
        <v/>
      </c>
      <c r="L754" t="inlineStr">
        <is>
          <t>KEEP</t>
        </is>
      </c>
      <c r="M754" s="5" t="inlineStr">
        <is>
          <t>Relevant to page intent</t>
        </is>
      </c>
      <c r="N754" s="5" t="inlineStr">
        <is>
          <t>Oui. Nous proposons un support continu complet : hébergement, maintenance, mises à jour de sécurité, surveillance des performances et mises à jour de contenu. Nos forfaits incluent une collaboration e</t>
        </is>
      </c>
      <c r="O754" t="inlineStr">
        <is>
          <t>P3</t>
        </is>
      </c>
      <c r="P754" t="inlineStr">
        <is>
          <t>FAQPage JSON-LD</t>
        </is>
      </c>
    </row>
    <row r="755">
      <c r="A755" s="3" t="inlineStr">
        <is>
          <t>https://codesommet.com/web-development-company/stockholm</t>
        </is>
      </c>
      <c r="B755" t="inlineStr">
        <is>
          <t>Existing</t>
        </is>
      </c>
      <c r="C755" s="5" t="inlineStr">
        <is>
          <t>Pourquoi choisir CodeSommet parmi les nombreuses agences de développement web de Stockholm ?</t>
        </is>
      </c>
      <c r="D755" t="inlineStr">
        <is>
          <t>développement web stockholm</t>
        </is>
      </c>
      <c r="E755" t="inlineStr">
        <is>
          <t>se</t>
        </is>
      </c>
      <c r="F755" s="5" t="inlineStr"/>
      <c r="G755" t="inlineStr">
        <is>
          <t>NOT AVAILABLE</t>
        </is>
      </c>
      <c r="H755" t="inlineStr">
        <is>
          <t>NOT AVAILABLE</t>
        </is>
      </c>
      <c r="I755" t="inlineStr">
        <is>
          <t>Differentiation</t>
        </is>
      </c>
      <c r="J755" t="inlineStr">
        <is>
          <t>UNAVAILABLE</t>
        </is>
      </c>
      <c r="K755">
        <f>ROUND(IF(ISNUMBER(G755),MIN(50,ROUND(50*LOG10(G755+1)/4,1)),5)+IF(ISNUMBER(H755),ROUND(30*(100-H755)/100,1),15)+IF(B755="New",20,10),0)</f>
        <v/>
      </c>
      <c r="L755" t="inlineStr">
        <is>
          <t>KEEP</t>
        </is>
      </c>
      <c r="M755" s="5" t="inlineStr">
        <is>
          <t>Templated across 6 pages - acceptable for now; localise only if the page is kept (see F-02 / sheet 09)</t>
        </is>
      </c>
      <c r="N755" s="5" t="inlineStr">
        <is>
          <t>Parce que nous combinons un design soigné, des technologies modernes et une livraison rapide : la plupart des sites vitrines sont en ligne en 2 à 5 jours après validation du périmètre (et en 2 jours s</t>
        </is>
      </c>
      <c r="O755" t="inlineStr">
        <is>
          <t>P3</t>
        </is>
      </c>
      <c r="P755" t="inlineStr">
        <is>
          <t>FAQPage JSON-LD</t>
        </is>
      </c>
    </row>
    <row r="756">
      <c r="A756" s="3" t="inlineStr">
        <is>
          <t>https://codesommet.com/web-development-company/stockholm</t>
        </is>
      </c>
      <c r="B756" t="inlineStr">
        <is>
          <t>Existing</t>
        </is>
      </c>
      <c r="C756" s="5" t="inlineStr">
        <is>
          <t>Travaillez-vous avec les startups et entreprises early-stage de Stockholm ?</t>
        </is>
      </c>
      <c r="D756" t="inlineStr">
        <is>
          <t>développement web stockholm</t>
        </is>
      </c>
      <c r="E756" t="inlineStr">
        <is>
          <t>se</t>
        </is>
      </c>
      <c r="F756" s="5" t="inlineStr"/>
      <c r="G756" t="inlineStr">
        <is>
          <t>NOT AVAILABLE</t>
        </is>
      </c>
      <c r="H756" t="inlineStr">
        <is>
          <t>NOT AVAILABLE</t>
        </is>
      </c>
      <c r="I756" t="inlineStr">
        <is>
          <t>Service scope</t>
        </is>
      </c>
      <c r="J756" t="inlineStr">
        <is>
          <t>UNAVAILABLE</t>
        </is>
      </c>
      <c r="K756">
        <f>ROUND(IF(ISNUMBER(G756),MIN(50,ROUND(50*LOG10(G756+1)/4,1)),5)+IF(ISNUMBER(H756),ROUND(30*(100-H756)/100,1),15)+IF(B756="New",20,10),0)</f>
        <v/>
      </c>
      <c r="L756" t="inlineStr">
        <is>
          <t>KEEP</t>
        </is>
      </c>
      <c r="M756" s="5" t="inlineStr">
        <is>
          <t>Templated across 6 pages - acceptable for now; localise only if the page is kept (see F-02 / sheet 09)</t>
        </is>
      </c>
      <c r="N756" s="5" t="inlineStr">
        <is>
          <t>Absolument. Nous travaillons avec des entreprises de toutes tailles, des startups en démarrage aux structures établies. Notre tarification flexible et nos forfaits mensuels sont pensés pour évoluer av</t>
        </is>
      </c>
      <c r="O756" t="inlineStr">
        <is>
          <t>P3</t>
        </is>
      </c>
      <c r="P756" t="inlineStr">
        <is>
          <t>FAQPage JSON-LD</t>
        </is>
      </c>
    </row>
    <row r="757">
      <c r="A757" s="3" t="inlineStr">
        <is>
          <t>https://codesommet.com/web-development-company/stockholm</t>
        </is>
      </c>
      <c r="B757" t="inlineStr">
        <is>
          <t>Existing</t>
        </is>
      </c>
      <c r="C757" s="5" t="inlineStr">
        <is>
          <t>Quelles technologies utilisez-vous pour les projets ? Stockholm ?</t>
        </is>
      </c>
      <c r="D757" t="inlineStr">
        <is>
          <t>développement web stockholm</t>
        </is>
      </c>
      <c r="E757" t="inlineStr">
        <is>
          <t>se</t>
        </is>
      </c>
      <c r="F757" s="5" t="inlineStr"/>
      <c r="G757" t="inlineStr">
        <is>
          <t>NOT AVAILABLE</t>
        </is>
      </c>
      <c r="H757" t="inlineStr">
        <is>
          <t>NOT AVAILABLE</t>
        </is>
      </c>
      <c r="I757" t="inlineStr">
        <is>
          <t>Service scope</t>
        </is>
      </c>
      <c r="J757" t="inlineStr">
        <is>
          <t>UNAVAILABLE</t>
        </is>
      </c>
      <c r="K757">
        <f>ROUND(IF(ISNUMBER(G757),MIN(50,ROUND(50*LOG10(G757+1)/4,1)),5)+IF(ISNUMBER(H757),ROUND(30*(100-H757)/100,1),15)+IF(B757="New",20,10),0)</f>
        <v/>
      </c>
      <c r="L757" t="inlineStr">
        <is>
          <t>KEEP</t>
        </is>
      </c>
      <c r="M757" s="5" t="inlineStr">
        <is>
          <t>Templated across 6 pages - acceptable for now; localise only if the page is kept (see F-02 / sheet 09)</t>
        </is>
      </c>
      <c r="N757" s="5" t="inlineStr">
        <is>
          <t>Nous utilisons des technologies modernes comme Next.js, React, TypeScript, Node.js et Laravel pour le développement web. Côté IA, nous intégrons des chatbots sur mesure et des automatisations intellig</t>
        </is>
      </c>
      <c r="O757" t="inlineStr">
        <is>
          <t>P3</t>
        </is>
      </c>
      <c r="P757" t="inlineStr">
        <is>
          <t>FAQPage JSON-LD</t>
        </is>
      </c>
    </row>
    <row r="758">
      <c r="A758" s="3" t="inlineStr">
        <is>
          <t>https://codesommet.com/web-development-company/stockholm</t>
        </is>
      </c>
      <c r="B758" t="inlineStr">
        <is>
          <t>Existing</t>
        </is>
      </c>
      <c r="C758" s="5" t="inlineStr">
        <is>
          <t>Pouvez-vous vous intégrer aux systèmes existants utilisés par les entreprises de Stockholm ?</t>
        </is>
      </c>
      <c r="D758" t="inlineStr">
        <is>
          <t>développement web stockholm</t>
        </is>
      </c>
      <c r="E758" t="inlineStr">
        <is>
          <t>se</t>
        </is>
      </c>
      <c r="F758" s="5" t="inlineStr"/>
      <c r="G758" t="inlineStr">
        <is>
          <t>NOT AVAILABLE</t>
        </is>
      </c>
      <c r="H758" t="inlineStr">
        <is>
          <t>NOT AVAILABLE</t>
        </is>
      </c>
      <c r="I758" t="inlineStr">
        <is>
          <t>Service scope</t>
        </is>
      </c>
      <c r="J758" t="inlineStr">
        <is>
          <t>UNAVAILABLE</t>
        </is>
      </c>
      <c r="K758">
        <f>ROUND(IF(ISNUMBER(G758),MIN(50,ROUND(50*LOG10(G758+1)/4,1)),5)+IF(ISNUMBER(H758),ROUND(30*(100-H758)/100,1),15)+IF(B758="New",20,10),0)</f>
        <v/>
      </c>
      <c r="L758" t="inlineStr">
        <is>
          <t>KEEP</t>
        </is>
      </c>
      <c r="M758" s="5" t="inlineStr">
        <is>
          <t>Templated across 11 pages - acceptable for now; localise only if the page is kept (see F-02 / sheet 09)</t>
        </is>
      </c>
      <c r="N758" s="5" t="inlineStr">
        <is>
          <t>Oui. Nous intégrons vos systèmes existants : CRM, ERP, passerelles de paiement, systèmes de réservation et API tierces. Que vous utilisiez Salesforce, HubSpot, Stripe ou des outils internes, nous assu</t>
        </is>
      </c>
      <c r="O758" t="inlineStr">
        <is>
          <t>P3</t>
        </is>
      </c>
      <c r="P758" t="inlineStr">
        <is>
          <t>FAQPage JSON-LD</t>
        </is>
      </c>
    </row>
    <row r="759">
      <c r="A759" s="3" t="inlineStr">
        <is>
          <t>https://codesommet.com/web-development-company/stockholm</t>
        </is>
      </c>
      <c r="B759" t="inlineStr">
        <is>
          <t>Existing</t>
        </is>
      </c>
      <c r="C759" s="5" t="inlineStr">
        <is>
          <t>Comment fonctionne le modèle à révisions illimitées pour Stockholm ?</t>
        </is>
      </c>
      <c r="D759" t="inlineStr">
        <is>
          <t>développement web stockholm</t>
        </is>
      </c>
      <c r="E759" t="inlineStr">
        <is>
          <t>se</t>
        </is>
      </c>
      <c r="F759" s="5" t="inlineStr"/>
      <c r="G759" t="inlineStr">
        <is>
          <t>NOT AVAILABLE</t>
        </is>
      </c>
      <c r="H759" t="inlineStr">
        <is>
          <t>NOT AVAILABLE</t>
        </is>
      </c>
      <c r="I759" t="inlineStr">
        <is>
          <t>Definition / how it works</t>
        </is>
      </c>
      <c r="J759" t="inlineStr">
        <is>
          <t>UNAVAILABLE</t>
        </is>
      </c>
      <c r="K759">
        <f>ROUND(IF(ISNUMBER(G759),MIN(50,ROUND(50*LOG10(G759+1)/4,1)),5)+IF(ISNUMBER(H759),ROUND(30*(100-H759)/100,1),15)+IF(B759="New",20,10),0)</f>
        <v/>
      </c>
      <c r="L759" t="inlineStr">
        <is>
          <t>KEEP</t>
        </is>
      </c>
      <c r="M759" s="5" t="inlineStr">
        <is>
          <t>Relevant to page intent</t>
        </is>
      </c>
      <c r="N759" s="5" t="inlineStr">
        <is>
          <t>Notre modèle de révisions illimitées signifie exactement cela : nous affinons jusqu'à ce que vous soyez satisfait. Il n'y a pas de limite au nombre de modifications demandées, chaque révision étant gé</t>
        </is>
      </c>
      <c r="O759" t="inlineStr">
        <is>
          <t>P3</t>
        </is>
      </c>
      <c r="P759" t="inlineStr">
        <is>
          <t>FAQPage JSON-LD</t>
        </is>
      </c>
    </row>
    <row r="760">
      <c r="A760" s="3" t="inlineStr">
        <is>
          <t>https://codesommet.com/web-development-company/stockholm</t>
        </is>
      </c>
      <c r="B760" t="inlineStr">
        <is>
          <t>Existing</t>
        </is>
      </c>
      <c r="C760" s="5" t="inlineStr">
        <is>
          <t>Fournissez-vous un support continu pour Stockholm après le lancement ?</t>
        </is>
      </c>
      <c r="D760" t="inlineStr">
        <is>
          <t>développement web stockholm</t>
        </is>
      </c>
      <c r="E760" t="inlineStr">
        <is>
          <t>se</t>
        </is>
      </c>
      <c r="F760" s="5" t="inlineStr"/>
      <c r="G760" t="inlineStr">
        <is>
          <t>NOT AVAILABLE</t>
        </is>
      </c>
      <c r="H760" t="inlineStr">
        <is>
          <t>NOT AVAILABLE</t>
        </is>
      </c>
      <c r="I760" t="inlineStr">
        <is>
          <t>Support</t>
        </is>
      </c>
      <c r="J760" t="inlineStr">
        <is>
          <t>UNAVAILABLE</t>
        </is>
      </c>
      <c r="K760">
        <f>ROUND(IF(ISNUMBER(G760),MIN(50,ROUND(50*LOG10(G760+1)/4,1)),5)+IF(ISNUMBER(H760),ROUND(30*(100-H760)/100,1),15)+IF(B760="New",20,10),0)</f>
        <v/>
      </c>
      <c r="L760" t="inlineStr">
        <is>
          <t>KEEP</t>
        </is>
      </c>
      <c r="M760" s="5" t="inlineStr">
        <is>
          <t>Relevant to page intent</t>
        </is>
      </c>
      <c r="N760" s="5" t="inlineStr">
        <is>
          <t>Oui. Nous proposons un support continu complet : hébergement, maintenance, mises à jour de sécurité, surveillance des performances et mises à jour de contenu. Nos forfaits incluent une collaboration e</t>
        </is>
      </c>
      <c r="O760" t="inlineStr">
        <is>
          <t>P3</t>
        </is>
      </c>
      <c r="P760" t="inlineStr">
        <is>
          <t>FAQPage JSON-LD</t>
        </is>
      </c>
    </row>
    <row r="761">
      <c r="A761" s="3" t="inlineStr">
        <is>
          <t>https://codesommet.com/web-development-company/tangier</t>
        </is>
      </c>
      <c r="B761" t="inlineStr">
        <is>
          <t>Existing</t>
        </is>
      </c>
      <c r="C761" s="5" t="inlineStr">
        <is>
          <t>Avez-vous un bureau physique à Tanger ?</t>
        </is>
      </c>
      <c r="D761" t="inlineStr">
        <is>
          <t>site web tanger</t>
        </is>
      </c>
      <c r="E761" t="inlineStr">
        <is>
          <t>ma</t>
        </is>
      </c>
      <c r="F761" s="5" t="inlineStr"/>
      <c r="G761" t="n">
        <v>30</v>
      </c>
      <c r="H761" t="inlineStr">
        <is>
          <t>NOT AVAILABLE</t>
        </is>
      </c>
      <c r="I761" t="inlineStr">
        <is>
          <t>Location / logistics</t>
        </is>
      </c>
      <c r="J761" t="inlineStr">
        <is>
          <t>MEASURED</t>
        </is>
      </c>
      <c r="K761">
        <f>ROUND(IF(ISNUMBER(G761),MIN(50,ROUND(50*LOG10(G761+1)/4,1)),5)+IF(ISNUMBER(H761),ROUND(30*(100-H761)/100,1),15)+IF(B761="New",20,10),0)</f>
        <v/>
      </c>
      <c r="L761" t="inlineStr">
        <is>
          <t>KEEP</t>
        </is>
      </c>
      <c r="M761" s="5" t="inlineStr">
        <is>
          <t>Relevant to page intent</t>
        </is>
      </c>
      <c r="N761" s="5" t="inlineStr">
        <is>
          <t>Nous n'avons pas de bureau à Tanger : notre équipe travaille à distance depuis le Maroc et collabore avec ses clients entièrement en ligne (appels vidéo, Slack, suivi de projet en temps réel). Cela no</t>
        </is>
      </c>
      <c r="O761" t="inlineStr">
        <is>
          <t>P2</t>
        </is>
      </c>
      <c r="P761" t="inlineStr">
        <is>
          <t>FAQPage JSON-LD</t>
        </is>
      </c>
    </row>
    <row r="762">
      <c r="A762" s="3" t="inlineStr">
        <is>
          <t>https://codesommet.com/web-development-company/tangier</t>
        </is>
      </c>
      <c r="B762" t="inlineStr">
        <is>
          <t>Existing</t>
        </is>
      </c>
      <c r="C762" s="5" t="inlineStr">
        <is>
          <t>Pouvez-vous travailler avec les entreprises de Tanger à distance ?</t>
        </is>
      </c>
      <c r="D762" t="inlineStr">
        <is>
          <t>site web tanger</t>
        </is>
      </c>
      <c r="E762" t="inlineStr">
        <is>
          <t>ma</t>
        </is>
      </c>
      <c r="F762" s="5" t="inlineStr"/>
      <c r="G762" t="n">
        <v>30</v>
      </c>
      <c r="H762" t="inlineStr">
        <is>
          <t>NOT AVAILABLE</t>
        </is>
      </c>
      <c r="I762" t="inlineStr">
        <is>
          <t>Location / logistics</t>
        </is>
      </c>
      <c r="J762" t="inlineStr">
        <is>
          <t>MEASURED</t>
        </is>
      </c>
      <c r="K762">
        <f>ROUND(IF(ISNUMBER(G762),MIN(50,ROUND(50*LOG10(G762+1)/4,1)),5)+IF(ISNUMBER(H762),ROUND(30*(100-H762)/100,1),15)+IF(B762="New",20,10),0)</f>
        <v/>
      </c>
      <c r="L762" t="inlineStr">
        <is>
          <t>KEEP</t>
        </is>
      </c>
      <c r="M762" s="5" t="inlineStr">
        <is>
          <t>Relevant to page intent</t>
        </is>
      </c>
      <c r="N762" s="5" t="inlineStr">
        <is>
          <t>Oui, tout se passe en ligne : appels vidéo pour le cadrage et les validations, collaboration sur Slack au quotidien et suivi de projet en temps réel. Nous adaptons nos créneaux au fuseau horaire de Ta</t>
        </is>
      </c>
      <c r="O762" t="inlineStr">
        <is>
          <t>P2</t>
        </is>
      </c>
      <c r="P762" t="inlineStr">
        <is>
          <t>FAQPage JSON-LD</t>
        </is>
      </c>
    </row>
    <row r="763">
      <c r="A763" s="3" t="inlineStr">
        <is>
          <t>https://codesommet.com/web-development-company/tangier</t>
        </is>
      </c>
      <c r="B763" t="inlineStr">
        <is>
          <t>Existing</t>
        </is>
      </c>
      <c r="C763" s="5" t="inlineStr">
        <is>
          <t>Quels modes de paiement acceptez-vous à Tanger ?</t>
        </is>
      </c>
      <c r="D763" t="inlineStr">
        <is>
          <t>site web tanger</t>
        </is>
      </c>
      <c r="E763" t="inlineStr">
        <is>
          <t>ma</t>
        </is>
      </c>
      <c r="F763" s="5" t="inlineStr"/>
      <c r="G763" t="n">
        <v>30</v>
      </c>
      <c r="H763" t="inlineStr">
        <is>
          <t>NOT AVAILABLE</t>
        </is>
      </c>
      <c r="I763" t="inlineStr">
        <is>
          <t>Payment</t>
        </is>
      </c>
      <c r="J763" t="inlineStr">
        <is>
          <t>MEASURED</t>
        </is>
      </c>
      <c r="K763">
        <f>ROUND(IF(ISNUMBER(G763),MIN(50,ROUND(50*LOG10(G763+1)/4,1)),5)+IF(ISNUMBER(H763),ROUND(30*(100-H763)/100,1),15)+IF(B763="New",20,10),0)</f>
        <v/>
      </c>
      <c r="L763" t="inlineStr">
        <is>
          <t>KEEP</t>
        </is>
      </c>
      <c r="M763" s="5" t="inlineStr">
        <is>
          <t>Relevant to page intent</t>
        </is>
      </c>
      <c r="N763" s="5" t="inlineStr">
        <is>
          <t xml:space="preserve">Nous acceptons les principaux moyens de paiement : virement bancaire, carte et PayPal selon votre pays. Le paiement est généralement échelonné par jalons, avec un acompte au démarrage puis le solde à </t>
        </is>
      </c>
      <c r="O763" t="inlineStr">
        <is>
          <t>P2</t>
        </is>
      </c>
      <c r="P763" t="inlineStr">
        <is>
          <t>FAQPage JSON-LD</t>
        </is>
      </c>
    </row>
    <row r="764">
      <c r="A764" s="3" t="inlineStr">
        <is>
          <t>https://codesommet.com/web-development-company/tangier</t>
        </is>
      </c>
      <c r="B764" t="inlineStr">
        <is>
          <t>Existing</t>
        </is>
      </c>
      <c r="C764" s="5" t="inlineStr">
        <is>
          <t>Comprenez-vous les lois de conformité et de protection des données au Maroc ?</t>
        </is>
      </c>
      <c r="D764" t="inlineStr">
        <is>
          <t>creation site web tanger</t>
        </is>
      </c>
      <c r="E764" t="inlineStr">
        <is>
          <t>ma</t>
        </is>
      </c>
      <c r="F764" s="5" t="inlineStr"/>
      <c r="G764" t="n">
        <v>320</v>
      </c>
      <c r="H764" t="n">
        <v>11</v>
      </c>
      <c r="I764" t="inlineStr">
        <is>
          <t>Compliance / security</t>
        </is>
      </c>
      <c r="J764" t="inlineStr">
        <is>
          <t>MEASURED</t>
        </is>
      </c>
      <c r="K764">
        <f>ROUND(IF(ISNUMBER(G764),MIN(50,ROUND(50*LOG10(G764+1)/4,1)),5)+IF(ISNUMBER(H764),ROUND(30*(100-H764)/100,1),15)+IF(B764="New",20,10),0)</f>
        <v/>
      </c>
      <c r="L764" t="inlineStr">
        <is>
          <t>KEEP</t>
        </is>
      </c>
      <c r="M764" s="5" t="inlineStr">
        <is>
          <t>Relevant to page intent</t>
        </is>
      </c>
      <c r="N764" s="5" t="inlineStr">
        <is>
          <t>Nous concevons des sites conformes aux bonnes pratiques de protection des données : consentement aux cookies, politique de confidentialité, sécurisation des formulaires et des données. Pour les exigen</t>
        </is>
      </c>
      <c r="O764" t="inlineStr">
        <is>
          <t>P2</t>
        </is>
      </c>
      <c r="P764" t="inlineStr">
        <is>
          <t>FAQPage JSON-LD</t>
        </is>
      </c>
    </row>
    <row r="765">
      <c r="A765" s="3" t="inlineStr">
        <is>
          <t>https://codesommet.com/web-development-company/tangier</t>
        </is>
      </c>
      <c r="B765" t="inlineStr">
        <is>
          <t>Existing</t>
        </is>
      </c>
      <c r="C765" s="5" t="inlineStr">
        <is>
          <t>En combien de temps pouvez-vous lancer un site web pour mon entreprise à Tanger ?</t>
        </is>
      </c>
      <c r="D765" t="inlineStr">
        <is>
          <t>site web tanger</t>
        </is>
      </c>
      <c r="E765" t="inlineStr">
        <is>
          <t>ma</t>
        </is>
      </c>
      <c r="F765" s="5" t="inlineStr"/>
      <c r="G765" t="n">
        <v>30</v>
      </c>
      <c r="H765" t="inlineStr">
        <is>
          <t>NOT AVAILABLE</t>
        </is>
      </c>
      <c r="I765" t="inlineStr">
        <is>
          <t>Timeline</t>
        </is>
      </c>
      <c r="J765" t="inlineStr">
        <is>
          <t>MEASURED</t>
        </is>
      </c>
      <c r="K765">
        <f>ROUND(IF(ISNUMBER(G765),MIN(50,ROUND(50*LOG10(G765+1)/4,1)),5)+IF(ISNUMBER(H765),ROUND(30*(100-H765)/100,1),15)+IF(B765="New",20,10),0)</f>
        <v/>
      </c>
      <c r="L765" t="inlineStr">
        <is>
          <t>KEEP</t>
        </is>
      </c>
      <c r="M765" s="5" t="inlineStr">
        <is>
          <t>Matches measured pre-purchase demand</t>
        </is>
      </c>
      <c r="N765" s="5" t="inlineStr">
        <is>
          <t>La plupart des sites vitrines sont livrés en 2 à 5 jours après validation du périmètre. Pour les projets urgents, notre formule express permet une mise en ligne en 2 jours seulement. Les plateformes p</t>
        </is>
      </c>
      <c r="O765" t="inlineStr">
        <is>
          <t>P2</t>
        </is>
      </c>
      <c r="P765" t="inlineStr">
        <is>
          <t>FAQPage JSON-LD</t>
        </is>
      </c>
    </row>
    <row r="766">
      <c r="A766" s="3" t="inlineStr">
        <is>
          <t>https://codesommet.com/web-development-company/tangier</t>
        </is>
      </c>
      <c r="B766" t="inlineStr">
        <is>
          <t>Existing</t>
        </is>
      </c>
      <c r="C766" s="5" t="inlineStr">
        <is>
          <t>Pouvez-vous aider avec l'enregistrement de domaine ?</t>
        </is>
      </c>
      <c r="D766" t="inlineStr">
        <is>
          <t>creation site web tanger</t>
        </is>
      </c>
      <c r="E766" t="inlineStr">
        <is>
          <t>ma</t>
        </is>
      </c>
      <c r="F766" s="5" t="inlineStr"/>
      <c r="G766" t="n">
        <v>320</v>
      </c>
      <c r="H766" t="n">
        <v>11</v>
      </c>
      <c r="I766" t="inlineStr">
        <is>
          <t>Service scope</t>
        </is>
      </c>
      <c r="J766" t="inlineStr">
        <is>
          <t>MEASURED</t>
        </is>
      </c>
      <c r="K766">
        <f>ROUND(IF(ISNUMBER(G766),MIN(50,ROUND(50*LOG10(G766+1)/4,1)),5)+IF(ISNUMBER(H766),ROUND(30*(100-H766)/100,1),15)+IF(B766="New",20,10),0)</f>
        <v/>
      </c>
      <c r="L766" t="inlineStr">
        <is>
          <t>KEEP</t>
        </is>
      </c>
      <c r="M766" s="5" t="inlineStr">
        <is>
          <t>Relevant to page intent</t>
        </is>
      </c>
      <c r="N766" s="5" t="inlineStr">
        <is>
          <t>Oui. Nous vous conseillons sur le choix du nom de domaine (.ma ou .com selon votre cible), nous vous guidons pour l'enregistrement auprès d'un registrar et nous configurons le DNS, le certificat SSL e</t>
        </is>
      </c>
      <c r="O766" t="inlineStr">
        <is>
          <t>P2</t>
        </is>
      </c>
      <c r="P766" t="inlineStr">
        <is>
          <t>FAQPage JSON-LD</t>
        </is>
      </c>
    </row>
    <row r="767">
      <c r="A767" s="3" t="inlineStr">
        <is>
          <t>https://codesommet.com/web-development-company/tangier</t>
        </is>
      </c>
      <c r="B767" t="inlineStr">
        <is>
          <t>New</t>
        </is>
      </c>
      <c r="C767" s="5" t="inlineStr">
        <is>
          <t>Combien coûte la création d'un site web à Tanger ?</t>
        </is>
      </c>
      <c r="D767" t="inlineStr">
        <is>
          <t>prix création site web tanger</t>
        </is>
      </c>
      <c r="E767" t="inlineStr">
        <is>
          <t>ma</t>
        </is>
      </c>
      <c r="F767" s="5" t="inlineStr">
        <is>
          <t>creation site web tanger [ma] 320</t>
        </is>
      </c>
      <c r="G767" t="inlineStr">
        <is>
          <t>NOT AVAILABLE</t>
        </is>
      </c>
      <c r="H767" t="inlineStr">
        <is>
          <t>NOT AVAILABLE</t>
        </is>
      </c>
      <c r="I767" t="inlineStr">
        <is>
          <t>Question</t>
        </is>
      </c>
      <c r="J767" t="inlineStr">
        <is>
          <t>SUGGESTED</t>
        </is>
      </c>
      <c r="K767">
        <f>ROUND(IF(ISNUMBER(G767),MIN(50,ROUND(50*LOG10(G767+1)/4,1)),5)+IF(ISNUMBER(H767),ROUND(30*(100-H767)/100,1),15)+IF(B767="New",20,10),0)</f>
        <v/>
      </c>
      <c r="L767" t="inlineStr">
        <is>
          <t>NEW</t>
        </is>
      </c>
      <c r="M767" s="5" t="inlineStr">
        <is>
          <t>Local price research. | Why here: Quick-win city (320, KD 11). | Internal link: /get-quote</t>
        </is>
      </c>
      <c r="N767" s="5" t="inlineStr">
        <is>
          <t>Ranges; remote process; local sectors (logistics, industry, free zone).</t>
        </is>
      </c>
      <c r="O767" t="inlineStr">
        <is>
          <t>P2</t>
        </is>
      </c>
      <c r="P767" t="inlineStr"/>
    </row>
    <row r="768">
      <c r="A768" s="3" t="inlineStr">
        <is>
          <t>https://codesommet.com/web-development-company/toronto</t>
        </is>
      </c>
      <c r="B768" t="inlineStr">
        <is>
          <t>Existing</t>
        </is>
      </c>
      <c r="C768" s="5" t="inlineStr">
        <is>
          <t>Pourquoi choisir CodeSommet parmi les nombreuses agences de développement web de Toronto ?</t>
        </is>
      </c>
      <c r="D768" t="inlineStr">
        <is>
          <t>développement web toronto</t>
        </is>
      </c>
      <c r="E768" t="inlineStr">
        <is>
          <t>ca</t>
        </is>
      </c>
      <c r="F768" s="5" t="inlineStr"/>
      <c r="G768" t="inlineStr">
        <is>
          <t>NOT AVAILABLE</t>
        </is>
      </c>
      <c r="H768" t="inlineStr">
        <is>
          <t>NOT AVAILABLE</t>
        </is>
      </c>
      <c r="I768" t="inlineStr">
        <is>
          <t>Differentiation</t>
        </is>
      </c>
      <c r="J768" t="inlineStr">
        <is>
          <t>UNAVAILABLE</t>
        </is>
      </c>
      <c r="K768">
        <f>ROUND(IF(ISNUMBER(G768),MIN(50,ROUND(50*LOG10(G768+1)/4,1)),5)+IF(ISNUMBER(H768),ROUND(30*(100-H768)/100,1),15)+IF(B768="New",20,10),0)</f>
        <v/>
      </c>
      <c r="L768" t="inlineStr">
        <is>
          <t>KEEP</t>
        </is>
      </c>
      <c r="M768" s="5" t="inlineStr">
        <is>
          <t>Templated across 6 pages - acceptable for now; localise only if the page is kept (see F-02 / sheet 09)</t>
        </is>
      </c>
      <c r="N768" s="5" t="inlineStr">
        <is>
          <t>Parce que nous combinons un design soigné, des technologies modernes et une livraison rapide : la plupart des sites vitrines sont en ligne en 2 à 5 jours après validation du périmètre (et en 2 jours s</t>
        </is>
      </c>
      <c r="O768" t="inlineStr">
        <is>
          <t>P3</t>
        </is>
      </c>
      <c r="P768" t="inlineStr">
        <is>
          <t>FAQPage JSON-LD</t>
        </is>
      </c>
    </row>
    <row r="769">
      <c r="A769" s="3" t="inlineStr">
        <is>
          <t>https://codesommet.com/web-development-company/toronto</t>
        </is>
      </c>
      <c r="B769" t="inlineStr">
        <is>
          <t>Existing</t>
        </is>
      </c>
      <c r="C769" s="5" t="inlineStr">
        <is>
          <t>Travaillez-vous avec les startups et entreprises early-stage de Toronto ?</t>
        </is>
      </c>
      <c r="D769" t="inlineStr">
        <is>
          <t>développement web toronto</t>
        </is>
      </c>
      <c r="E769" t="inlineStr">
        <is>
          <t>ca</t>
        </is>
      </c>
      <c r="F769" s="5" t="inlineStr"/>
      <c r="G769" t="inlineStr">
        <is>
          <t>NOT AVAILABLE</t>
        </is>
      </c>
      <c r="H769" t="inlineStr">
        <is>
          <t>NOT AVAILABLE</t>
        </is>
      </c>
      <c r="I769" t="inlineStr">
        <is>
          <t>Service scope</t>
        </is>
      </c>
      <c r="J769" t="inlineStr">
        <is>
          <t>UNAVAILABLE</t>
        </is>
      </c>
      <c r="K769">
        <f>ROUND(IF(ISNUMBER(G769),MIN(50,ROUND(50*LOG10(G769+1)/4,1)),5)+IF(ISNUMBER(H769),ROUND(30*(100-H769)/100,1),15)+IF(B769="New",20,10),0)</f>
        <v/>
      </c>
      <c r="L769" t="inlineStr">
        <is>
          <t>KEEP</t>
        </is>
      </c>
      <c r="M769" s="5" t="inlineStr">
        <is>
          <t>Templated across 6 pages - acceptable for now; localise only if the page is kept (see F-02 / sheet 09)</t>
        </is>
      </c>
      <c r="N769" s="5" t="inlineStr">
        <is>
          <t>Absolument. Nous travaillons avec des entreprises de toutes tailles, des startups en démarrage aux structures établies. Notre tarification flexible et nos forfaits mensuels sont pensés pour évoluer av</t>
        </is>
      </c>
      <c r="O769" t="inlineStr">
        <is>
          <t>P3</t>
        </is>
      </c>
      <c r="P769" t="inlineStr">
        <is>
          <t>FAQPage JSON-LD</t>
        </is>
      </c>
    </row>
    <row r="770">
      <c r="A770" s="3" t="inlineStr">
        <is>
          <t>https://codesommet.com/web-development-company/toronto</t>
        </is>
      </c>
      <c r="B770" t="inlineStr">
        <is>
          <t>Existing</t>
        </is>
      </c>
      <c r="C770" s="5" t="inlineStr">
        <is>
          <t>Quelles technologies utilisez-vous pour les projets ? Toronto ?</t>
        </is>
      </c>
      <c r="D770" t="inlineStr">
        <is>
          <t>développement web toronto</t>
        </is>
      </c>
      <c r="E770" t="inlineStr">
        <is>
          <t>ca</t>
        </is>
      </c>
      <c r="F770" s="5" t="inlineStr"/>
      <c r="G770" t="inlineStr">
        <is>
          <t>NOT AVAILABLE</t>
        </is>
      </c>
      <c r="H770" t="inlineStr">
        <is>
          <t>NOT AVAILABLE</t>
        </is>
      </c>
      <c r="I770" t="inlineStr">
        <is>
          <t>Service scope</t>
        </is>
      </c>
      <c r="J770" t="inlineStr">
        <is>
          <t>UNAVAILABLE</t>
        </is>
      </c>
      <c r="K770">
        <f>ROUND(IF(ISNUMBER(G770),MIN(50,ROUND(50*LOG10(G770+1)/4,1)),5)+IF(ISNUMBER(H770),ROUND(30*(100-H770)/100,1),15)+IF(B770="New",20,10),0)</f>
        <v/>
      </c>
      <c r="L770" t="inlineStr">
        <is>
          <t>KEEP</t>
        </is>
      </c>
      <c r="M770" s="5" t="inlineStr">
        <is>
          <t>Templated across 6 pages - acceptable for now; localise only if the page is kept (see F-02 / sheet 09)</t>
        </is>
      </c>
      <c r="N770" s="5" t="inlineStr">
        <is>
          <t>Nous utilisons des technologies modernes comme Next.js, React, TypeScript, Node.js et Laravel pour le développement web. Côté IA, nous intégrons des chatbots sur mesure et des automatisations intellig</t>
        </is>
      </c>
      <c r="O770" t="inlineStr">
        <is>
          <t>P3</t>
        </is>
      </c>
      <c r="P770" t="inlineStr">
        <is>
          <t>FAQPage JSON-LD</t>
        </is>
      </c>
    </row>
    <row r="771">
      <c r="A771" s="3" t="inlineStr">
        <is>
          <t>https://codesommet.com/web-development-company/toronto</t>
        </is>
      </c>
      <c r="B771" t="inlineStr">
        <is>
          <t>Existing</t>
        </is>
      </c>
      <c r="C771" s="5" t="inlineStr">
        <is>
          <t>Pouvez-vous vous intégrer aux systèmes existants utilisés par les entreprises de Toronto ?</t>
        </is>
      </c>
      <c r="D771" t="inlineStr">
        <is>
          <t>développement web toronto</t>
        </is>
      </c>
      <c r="E771" t="inlineStr">
        <is>
          <t>ca</t>
        </is>
      </c>
      <c r="F771" s="5" t="inlineStr"/>
      <c r="G771" t="inlineStr">
        <is>
          <t>NOT AVAILABLE</t>
        </is>
      </c>
      <c r="H771" t="inlineStr">
        <is>
          <t>NOT AVAILABLE</t>
        </is>
      </c>
      <c r="I771" t="inlineStr">
        <is>
          <t>Service scope</t>
        </is>
      </c>
      <c r="J771" t="inlineStr">
        <is>
          <t>UNAVAILABLE</t>
        </is>
      </c>
      <c r="K771">
        <f>ROUND(IF(ISNUMBER(G771),MIN(50,ROUND(50*LOG10(G771+1)/4,1)),5)+IF(ISNUMBER(H771),ROUND(30*(100-H771)/100,1),15)+IF(B771="New",20,10),0)</f>
        <v/>
      </c>
      <c r="L771" t="inlineStr">
        <is>
          <t>KEEP</t>
        </is>
      </c>
      <c r="M771" s="5" t="inlineStr">
        <is>
          <t>Templated across 11 pages - acceptable for now; localise only if the page is kept (see F-02 / sheet 09)</t>
        </is>
      </c>
      <c r="N771" s="5" t="inlineStr">
        <is>
          <t>Oui. Nous intégrons vos systèmes existants : CRM, ERP, passerelles de paiement, systèmes de réservation et API tierces. Que vous utilisiez Salesforce, HubSpot, Stripe ou des outils internes, nous assu</t>
        </is>
      </c>
      <c r="O771" t="inlineStr">
        <is>
          <t>P3</t>
        </is>
      </c>
      <c r="P771" t="inlineStr">
        <is>
          <t>FAQPage JSON-LD</t>
        </is>
      </c>
    </row>
    <row r="772">
      <c r="A772" s="3" t="inlineStr">
        <is>
          <t>https://codesommet.com/web-development-company/toronto</t>
        </is>
      </c>
      <c r="B772" t="inlineStr">
        <is>
          <t>Existing</t>
        </is>
      </c>
      <c r="C772" s="5" t="inlineStr">
        <is>
          <t>Comment fonctionne le modèle de révisions illimitées pour les clients de Toronto ?</t>
        </is>
      </c>
      <c r="D772" t="inlineStr">
        <is>
          <t>développement web toronto</t>
        </is>
      </c>
      <c r="E772" t="inlineStr">
        <is>
          <t>ca</t>
        </is>
      </c>
      <c r="F772" s="5" t="inlineStr"/>
      <c r="G772" t="inlineStr">
        <is>
          <t>NOT AVAILABLE</t>
        </is>
      </c>
      <c r="H772" t="inlineStr">
        <is>
          <t>NOT AVAILABLE</t>
        </is>
      </c>
      <c r="I772" t="inlineStr">
        <is>
          <t>Definition / how it works</t>
        </is>
      </c>
      <c r="J772" t="inlineStr">
        <is>
          <t>UNAVAILABLE</t>
        </is>
      </c>
      <c r="K772">
        <f>ROUND(IF(ISNUMBER(G772),MIN(50,ROUND(50*LOG10(G772+1)/4,1)),5)+IF(ISNUMBER(H772),ROUND(30*(100-H772)/100,1),15)+IF(B772="New",20,10),0)</f>
        <v/>
      </c>
      <c r="L772" t="inlineStr">
        <is>
          <t>KEEP</t>
        </is>
      </c>
      <c r="M772" s="5" t="inlineStr">
        <is>
          <t>Templated across 10 pages - acceptable for now; localise only if the page is kept (see F-02 / sheet 09)</t>
        </is>
      </c>
      <c r="N772" s="5" t="inlineStr">
        <is>
          <t>Notre modèle de révisions illimitées signifie exactement cela : nous affinons jusqu'à ce que vous soyez satisfait. Il n'y a pas de limite au nombre de modifications demandées, chaque révision étant gé</t>
        </is>
      </c>
      <c r="O772" t="inlineStr">
        <is>
          <t>P3</t>
        </is>
      </c>
      <c r="P772" t="inlineStr">
        <is>
          <t>FAQPage JSON-LD</t>
        </is>
      </c>
    </row>
    <row r="773">
      <c r="A773" s="3" t="inlineStr">
        <is>
          <t>https://codesommet.com/web-development-company/toronto</t>
        </is>
      </c>
      <c r="B773" t="inlineStr">
        <is>
          <t>Existing</t>
        </is>
      </c>
      <c r="C773" s="5" t="inlineStr">
        <is>
          <t>Fournissez-vous un support continu après le lancement à Toronto ?</t>
        </is>
      </c>
      <c r="D773" t="inlineStr">
        <is>
          <t>développement web toronto</t>
        </is>
      </c>
      <c r="E773" t="inlineStr">
        <is>
          <t>ca</t>
        </is>
      </c>
      <c r="F773" s="5" t="inlineStr"/>
      <c r="G773" t="inlineStr">
        <is>
          <t>NOT AVAILABLE</t>
        </is>
      </c>
      <c r="H773" t="inlineStr">
        <is>
          <t>NOT AVAILABLE</t>
        </is>
      </c>
      <c r="I773" t="inlineStr">
        <is>
          <t>Support</t>
        </is>
      </c>
      <c r="J773" t="inlineStr">
        <is>
          <t>UNAVAILABLE</t>
        </is>
      </c>
      <c r="K773">
        <f>ROUND(IF(ISNUMBER(G773),MIN(50,ROUND(50*LOG10(G773+1)/4,1)),5)+IF(ISNUMBER(H773),ROUND(30*(100-H773)/100,1),15)+IF(B773="New",20,10),0)</f>
        <v/>
      </c>
      <c r="L773" t="inlineStr">
        <is>
          <t>KEEP</t>
        </is>
      </c>
      <c r="M773" s="5" t="inlineStr">
        <is>
          <t>Templated across 7 pages - acceptable for now; localise only if the page is kept (see F-02 / sheet 09)</t>
        </is>
      </c>
      <c r="N773" s="5" t="inlineStr">
        <is>
          <t>Oui. Nous proposons un support continu complet : hébergement, maintenance, mises à jour de sécurité, surveillance des performances et mises à jour de contenu. Nos forfaits incluent une collaboration e</t>
        </is>
      </c>
      <c r="O773" t="inlineStr">
        <is>
          <t>P3</t>
        </is>
      </c>
      <c r="P773" t="inlineStr">
        <is>
          <t>FAQPage JSON-LD</t>
        </is>
      </c>
    </row>
    <row r="774">
      <c r="A774" s="3" t="inlineStr">
        <is>
          <t>https://codesommet.com/web-development-company/tunis</t>
        </is>
      </c>
      <c r="B774" t="inlineStr">
        <is>
          <t>Existing</t>
        </is>
      </c>
      <c r="C774" s="5" t="inlineStr">
        <is>
          <t>Avez-vous un bureau physique à Tunis ?</t>
        </is>
      </c>
      <c r="D774" t="inlineStr">
        <is>
          <t>développement web tunis</t>
        </is>
      </c>
      <c r="E774" t="inlineStr">
        <is>
          <t>tn</t>
        </is>
      </c>
      <c r="F774" s="5" t="inlineStr"/>
      <c r="G774" t="n">
        <v>20</v>
      </c>
      <c r="H774" t="inlineStr">
        <is>
          <t>NOT AVAILABLE</t>
        </is>
      </c>
      <c r="I774" t="inlineStr">
        <is>
          <t>Location / logistics</t>
        </is>
      </c>
      <c r="J774" t="inlineStr">
        <is>
          <t>MEASURED</t>
        </is>
      </c>
      <c r="K774">
        <f>ROUND(IF(ISNUMBER(G774),MIN(50,ROUND(50*LOG10(G774+1)/4,1)),5)+IF(ISNUMBER(H774),ROUND(30*(100-H774)/100,1),15)+IF(B774="New",20,10),0)</f>
        <v/>
      </c>
      <c r="L774" t="inlineStr">
        <is>
          <t>KEEP</t>
        </is>
      </c>
      <c r="M774" s="5" t="inlineStr">
        <is>
          <t>Templated across 8 pages - acceptable for now; localise only if the page is kept (see F-02 / sheet 09)</t>
        </is>
      </c>
      <c r="N774" s="5" t="inlineStr">
        <is>
          <t>Nous n'avons pas de bureau à Tunis : notre équipe travaille à distance depuis le Maroc et collabore avec ses clients entièrement en ligne (appels vidéo, Slack, suivi de projet en temps réel). Cela nou</t>
        </is>
      </c>
      <c r="O774" t="inlineStr">
        <is>
          <t>P3</t>
        </is>
      </c>
      <c r="P774" t="inlineStr">
        <is>
          <t>FAQPage JSON-LD</t>
        </is>
      </c>
    </row>
    <row r="775">
      <c r="A775" s="3" t="inlineStr">
        <is>
          <t>https://codesommet.com/web-development-company/tunis</t>
        </is>
      </c>
      <c r="B775" t="inlineStr">
        <is>
          <t>Existing</t>
        </is>
      </c>
      <c r="C775" s="5" t="inlineStr">
        <is>
          <t>Pouvez-vous travailler avec les entreprises de Tunis à distance ?</t>
        </is>
      </c>
      <c r="D775" t="inlineStr">
        <is>
          <t>développement web tunis</t>
        </is>
      </c>
      <c r="E775" t="inlineStr">
        <is>
          <t>tn</t>
        </is>
      </c>
      <c r="F775" s="5" t="inlineStr"/>
      <c r="G775" t="n">
        <v>20</v>
      </c>
      <c r="H775" t="inlineStr">
        <is>
          <t>NOT AVAILABLE</t>
        </is>
      </c>
      <c r="I775" t="inlineStr">
        <is>
          <t>Location / logistics</t>
        </is>
      </c>
      <c r="J775" t="inlineStr">
        <is>
          <t>MEASURED</t>
        </is>
      </c>
      <c r="K775">
        <f>ROUND(IF(ISNUMBER(G775),MIN(50,ROUND(50*LOG10(G775+1)/4,1)),5)+IF(ISNUMBER(H775),ROUND(30*(100-H775)/100,1),15)+IF(B775="New",20,10),0)</f>
        <v/>
      </c>
      <c r="L775" t="inlineStr">
        <is>
          <t>KEEP</t>
        </is>
      </c>
      <c r="M775" s="5" t="inlineStr">
        <is>
          <t>Templated across 8 pages - acceptable for now; localise only if the page is kept (see F-02 / sheet 09)</t>
        </is>
      </c>
      <c r="N775" s="5" t="inlineStr">
        <is>
          <t>Oui, tout se passe en ligne : appels vidéo pour le cadrage et les validations, collaboration sur Slack au quotidien et suivi de projet en temps réel. Nous adaptons nos créneaux au fuseau horaire de Tu</t>
        </is>
      </c>
      <c r="O775" t="inlineStr">
        <is>
          <t>P3</t>
        </is>
      </c>
      <c r="P775" t="inlineStr">
        <is>
          <t>FAQPage JSON-LD</t>
        </is>
      </c>
    </row>
    <row r="776">
      <c r="A776" s="3" t="inlineStr">
        <is>
          <t>https://codesommet.com/web-development-company/tunis</t>
        </is>
      </c>
      <c r="B776" t="inlineStr">
        <is>
          <t>Existing</t>
        </is>
      </c>
      <c r="C776" s="5" t="inlineStr">
        <is>
          <t>Quels modes de paiement acceptez-vous à Tunis ?</t>
        </is>
      </c>
      <c r="D776" t="inlineStr">
        <is>
          <t>développement web tunis</t>
        </is>
      </c>
      <c r="E776" t="inlineStr">
        <is>
          <t>tn</t>
        </is>
      </c>
      <c r="F776" s="5" t="inlineStr"/>
      <c r="G776" t="n">
        <v>20</v>
      </c>
      <c r="H776" t="inlineStr">
        <is>
          <t>NOT AVAILABLE</t>
        </is>
      </c>
      <c r="I776" t="inlineStr">
        <is>
          <t>Payment</t>
        </is>
      </c>
      <c r="J776" t="inlineStr">
        <is>
          <t>MEASURED</t>
        </is>
      </c>
      <c r="K776">
        <f>ROUND(IF(ISNUMBER(G776),MIN(50,ROUND(50*LOG10(G776+1)/4,1)),5)+IF(ISNUMBER(H776),ROUND(30*(100-H776)/100,1),15)+IF(B776="New",20,10),0)</f>
        <v/>
      </c>
      <c r="L776" t="inlineStr">
        <is>
          <t>KEEP</t>
        </is>
      </c>
      <c r="M776" s="5" t="inlineStr">
        <is>
          <t>Templated across 8 pages - acceptable for now; localise only if the page is kept (see F-02 / sheet 09)</t>
        </is>
      </c>
      <c r="N776" s="5" t="inlineStr">
        <is>
          <t xml:space="preserve">Nous acceptons les principaux moyens de paiement : virement bancaire, carte et PayPal selon votre pays. Le paiement est généralement échelonné par jalons, avec un acompte au démarrage puis le solde à </t>
        </is>
      </c>
      <c r="O776" t="inlineStr">
        <is>
          <t>P3</t>
        </is>
      </c>
      <c r="P776" t="inlineStr">
        <is>
          <t>FAQPage JSON-LD</t>
        </is>
      </c>
    </row>
    <row r="777">
      <c r="A777" s="3" t="inlineStr">
        <is>
          <t>https://codesommet.com/web-development-company/tunis</t>
        </is>
      </c>
      <c r="B777" t="inlineStr">
        <is>
          <t>Existing</t>
        </is>
      </c>
      <c r="C777" s="5" t="inlineStr">
        <is>
          <t>Comprenez-vous les lois de conformité et de protection des données en Tunisie ?</t>
        </is>
      </c>
      <c r="D777" t="inlineStr">
        <is>
          <t>agence web tunisie</t>
        </is>
      </c>
      <c r="E777" t="inlineStr">
        <is>
          <t>tn</t>
        </is>
      </c>
      <c r="F777" s="5" t="inlineStr"/>
      <c r="G777" t="n">
        <v>880</v>
      </c>
      <c r="H777" t="n">
        <v>9</v>
      </c>
      <c r="I777" t="inlineStr">
        <is>
          <t>Compliance / security</t>
        </is>
      </c>
      <c r="J777" t="inlineStr">
        <is>
          <t>MEASURED</t>
        </is>
      </c>
      <c r="K777">
        <f>ROUND(IF(ISNUMBER(G777),MIN(50,ROUND(50*LOG10(G777+1)/4,1)),5)+IF(ISNUMBER(H777),ROUND(30*(100-H777)/100,1),15)+IF(B777="New",20,10),0)</f>
        <v/>
      </c>
      <c r="L777" t="inlineStr">
        <is>
          <t>KEEP</t>
        </is>
      </c>
      <c r="M777" s="5" t="inlineStr">
        <is>
          <t>Relevant to page intent</t>
        </is>
      </c>
      <c r="N777" s="5" t="inlineStr">
        <is>
          <t>Nous concevons des sites conformes aux bonnes pratiques de protection des données : consentement aux cookies, politique de confidentialité, sécurisation des formulaires et des données. Pour les exigen</t>
        </is>
      </c>
      <c r="O777" t="inlineStr">
        <is>
          <t>P3</t>
        </is>
      </c>
      <c r="P777" t="inlineStr">
        <is>
          <t>FAQPage JSON-LD</t>
        </is>
      </c>
    </row>
    <row r="778">
      <c r="A778" s="3" t="inlineStr">
        <is>
          <t>https://codesommet.com/web-development-company/tunis</t>
        </is>
      </c>
      <c r="B778" t="inlineStr">
        <is>
          <t>Existing</t>
        </is>
      </c>
      <c r="C778" s="5" t="inlineStr">
        <is>
          <t>En combien de temps pouvez-vous lancer un site web pour mon entreprise à Tunis ?</t>
        </is>
      </c>
      <c r="D778" t="inlineStr">
        <is>
          <t>développement web tunis</t>
        </is>
      </c>
      <c r="E778" t="inlineStr">
        <is>
          <t>tn</t>
        </is>
      </c>
      <c r="F778" s="5" t="inlineStr"/>
      <c r="G778" t="n">
        <v>20</v>
      </c>
      <c r="H778" t="inlineStr">
        <is>
          <t>NOT AVAILABLE</t>
        </is>
      </c>
      <c r="I778" t="inlineStr">
        <is>
          <t>Timeline</t>
        </is>
      </c>
      <c r="J778" t="inlineStr">
        <is>
          <t>MEASURED</t>
        </is>
      </c>
      <c r="K778">
        <f>ROUND(IF(ISNUMBER(G778),MIN(50,ROUND(50*LOG10(G778+1)/4,1)),5)+IF(ISNUMBER(H778),ROUND(30*(100-H778)/100,1),15)+IF(B778="New",20,10),0)</f>
        <v/>
      </c>
      <c r="L778" t="inlineStr">
        <is>
          <t>KEEP</t>
        </is>
      </c>
      <c r="M778" s="5" t="inlineStr">
        <is>
          <t>Matches measured pre-purchase demand</t>
        </is>
      </c>
      <c r="N778" s="5" t="inlineStr">
        <is>
          <t>La plupart des sites vitrines sont livrés en 2 à 5 jours après validation du périmètre. Pour les projets urgents, notre formule express permet une mise en ligne en 2 jours seulement. Les plateformes p</t>
        </is>
      </c>
      <c r="O778" t="inlineStr">
        <is>
          <t>P3</t>
        </is>
      </c>
      <c r="P778" t="inlineStr">
        <is>
          <t>FAQPage JSON-LD</t>
        </is>
      </c>
    </row>
    <row r="779">
      <c r="A779" s="3" t="inlineStr">
        <is>
          <t>https://codesommet.com/web-development-company/tunis</t>
        </is>
      </c>
      <c r="B779" t="inlineStr">
        <is>
          <t>Existing</t>
        </is>
      </c>
      <c r="C779" s="5" t="inlineStr">
        <is>
          <t>Pouvez-vous aider avec l'enregistrement de domaine ?</t>
        </is>
      </c>
      <c r="D779" t="inlineStr">
        <is>
          <t>développement web tunis</t>
        </is>
      </c>
      <c r="E779" t="inlineStr">
        <is>
          <t>tn</t>
        </is>
      </c>
      <c r="F779" s="5" t="inlineStr"/>
      <c r="G779" t="n">
        <v>20</v>
      </c>
      <c r="H779" t="inlineStr">
        <is>
          <t>NOT AVAILABLE</t>
        </is>
      </c>
      <c r="I779" t="inlineStr">
        <is>
          <t>Service scope</t>
        </is>
      </c>
      <c r="J779" t="inlineStr">
        <is>
          <t>MEASURED</t>
        </is>
      </c>
      <c r="K779">
        <f>ROUND(IF(ISNUMBER(G779),MIN(50,ROUND(50*LOG10(G779+1)/4,1)),5)+IF(ISNUMBER(H779),ROUND(30*(100-H779)/100,1),15)+IF(B779="New",20,10),0)</f>
        <v/>
      </c>
      <c r="L779" t="inlineStr">
        <is>
          <t>KEEP</t>
        </is>
      </c>
      <c r="M779" s="5" t="inlineStr">
        <is>
          <t>Relevant to page intent</t>
        </is>
      </c>
      <c r="N779" s="5" t="inlineStr">
        <is>
          <t>Oui. Nous vous conseillons sur le choix du nom de domaine (.tn ou .com selon votre cible), nous vous guidons pour l'enregistrement auprès d'un registrar et nous configurons le DNS, le certificat SSL e</t>
        </is>
      </c>
      <c r="O779" t="inlineStr">
        <is>
          <t>P3</t>
        </is>
      </c>
      <c r="P779" t="inlineStr">
        <is>
          <t>FAQPage JSON-LD</t>
        </is>
      </c>
    </row>
    <row r="780">
      <c r="A780" s="3" t="inlineStr">
        <is>
          <t>https://codesommet.com/web-development-company/vancouver</t>
        </is>
      </c>
      <c r="B780" t="inlineStr">
        <is>
          <t>Existing</t>
        </is>
      </c>
      <c r="C780" s="5" t="inlineStr">
        <is>
          <t>Pourquoi choisir CodeSommet parmi les nombreuses agences de développement web de Vancouver ?</t>
        </is>
      </c>
      <c r="D780" t="inlineStr">
        <is>
          <t>développement web vancouver</t>
        </is>
      </c>
      <c r="E780" t="inlineStr">
        <is>
          <t>ca</t>
        </is>
      </c>
      <c r="F780" s="5" t="inlineStr"/>
      <c r="G780" t="inlineStr">
        <is>
          <t>NOT AVAILABLE</t>
        </is>
      </c>
      <c r="H780" t="inlineStr">
        <is>
          <t>NOT AVAILABLE</t>
        </is>
      </c>
      <c r="I780" t="inlineStr">
        <is>
          <t>Differentiation</t>
        </is>
      </c>
      <c r="J780" t="inlineStr">
        <is>
          <t>UNAVAILABLE</t>
        </is>
      </c>
      <c r="K780">
        <f>ROUND(IF(ISNUMBER(G780),MIN(50,ROUND(50*LOG10(G780+1)/4,1)),5)+IF(ISNUMBER(H780),ROUND(30*(100-H780)/100,1),15)+IF(B780="New",20,10),0)</f>
        <v/>
      </c>
      <c r="L780" t="inlineStr">
        <is>
          <t>KEEP</t>
        </is>
      </c>
      <c r="M780" s="5" t="inlineStr">
        <is>
          <t>Templated across 6 pages - acceptable for now; localise only if the page is kept (see F-02 / sheet 09)</t>
        </is>
      </c>
      <c r="N780" s="5" t="inlineStr">
        <is>
          <t>Parce que nous combinons un design soigné, des technologies modernes et une livraison rapide : la plupart des sites vitrines sont en ligne en 2 à 5 jours après validation du périmètre (et en 2 jours s</t>
        </is>
      </c>
      <c r="O780" t="inlineStr">
        <is>
          <t>P3</t>
        </is>
      </c>
      <c r="P780" t="inlineStr">
        <is>
          <t>FAQPage JSON-LD</t>
        </is>
      </c>
    </row>
    <row r="781">
      <c r="A781" s="3" t="inlineStr">
        <is>
          <t>https://codesommet.com/web-development-company/vancouver</t>
        </is>
      </c>
      <c r="B781" t="inlineStr">
        <is>
          <t>Existing</t>
        </is>
      </c>
      <c r="C781" s="5" t="inlineStr">
        <is>
          <t>Travaillez-vous avec les startups et entreprises early-stage de Vancouver ?</t>
        </is>
      </c>
      <c r="D781" t="inlineStr">
        <is>
          <t>développement web vancouver</t>
        </is>
      </c>
      <c r="E781" t="inlineStr">
        <is>
          <t>ca</t>
        </is>
      </c>
      <c r="F781" s="5" t="inlineStr"/>
      <c r="G781" t="inlineStr">
        <is>
          <t>NOT AVAILABLE</t>
        </is>
      </c>
      <c r="H781" t="inlineStr">
        <is>
          <t>NOT AVAILABLE</t>
        </is>
      </c>
      <c r="I781" t="inlineStr">
        <is>
          <t>Service scope</t>
        </is>
      </c>
      <c r="J781" t="inlineStr">
        <is>
          <t>UNAVAILABLE</t>
        </is>
      </c>
      <c r="K781">
        <f>ROUND(IF(ISNUMBER(G781),MIN(50,ROUND(50*LOG10(G781+1)/4,1)),5)+IF(ISNUMBER(H781),ROUND(30*(100-H781)/100,1),15)+IF(B781="New",20,10),0)</f>
        <v/>
      </c>
      <c r="L781" t="inlineStr">
        <is>
          <t>KEEP</t>
        </is>
      </c>
      <c r="M781" s="5" t="inlineStr">
        <is>
          <t>Templated across 6 pages - acceptable for now; localise only if the page is kept (see F-02 / sheet 09)</t>
        </is>
      </c>
      <c r="N781" s="5" t="inlineStr">
        <is>
          <t>Absolument. Nous travaillons avec des entreprises de toutes tailles, des startups en démarrage aux structures établies. Notre tarification flexible et nos forfaits mensuels sont pensés pour évoluer av</t>
        </is>
      </c>
      <c r="O781" t="inlineStr">
        <is>
          <t>P3</t>
        </is>
      </c>
      <c r="P781" t="inlineStr">
        <is>
          <t>FAQPage JSON-LD</t>
        </is>
      </c>
    </row>
    <row r="782">
      <c r="A782" s="3" t="inlineStr">
        <is>
          <t>https://codesommet.com/web-development-company/vancouver</t>
        </is>
      </c>
      <c r="B782" t="inlineStr">
        <is>
          <t>Existing</t>
        </is>
      </c>
      <c r="C782" s="5" t="inlineStr">
        <is>
          <t>Quelles technologies utilisez-vous pour les projets ? Vancouver ?</t>
        </is>
      </c>
      <c r="D782" t="inlineStr">
        <is>
          <t>développement web vancouver</t>
        </is>
      </c>
      <c r="E782" t="inlineStr">
        <is>
          <t>ca</t>
        </is>
      </c>
      <c r="F782" s="5" t="inlineStr"/>
      <c r="G782" t="inlineStr">
        <is>
          <t>NOT AVAILABLE</t>
        </is>
      </c>
      <c r="H782" t="inlineStr">
        <is>
          <t>NOT AVAILABLE</t>
        </is>
      </c>
      <c r="I782" t="inlineStr">
        <is>
          <t>Service scope</t>
        </is>
      </c>
      <c r="J782" t="inlineStr">
        <is>
          <t>UNAVAILABLE</t>
        </is>
      </c>
      <c r="K782">
        <f>ROUND(IF(ISNUMBER(G782),MIN(50,ROUND(50*LOG10(G782+1)/4,1)),5)+IF(ISNUMBER(H782),ROUND(30*(100-H782)/100,1),15)+IF(B782="New",20,10),0)</f>
        <v/>
      </c>
      <c r="L782" t="inlineStr">
        <is>
          <t>KEEP</t>
        </is>
      </c>
      <c r="M782" s="5" t="inlineStr">
        <is>
          <t>Templated across 6 pages - acceptable for now; localise only if the page is kept (see F-02 / sheet 09)</t>
        </is>
      </c>
      <c r="N782" s="5" t="inlineStr">
        <is>
          <t>Nous utilisons des technologies modernes comme Next.js, React, TypeScript, Node.js et Laravel pour le développement web. Côté IA, nous intégrons des chatbots sur mesure et des automatisations intellig</t>
        </is>
      </c>
      <c r="O782" t="inlineStr">
        <is>
          <t>P3</t>
        </is>
      </c>
      <c r="P782" t="inlineStr">
        <is>
          <t>FAQPage JSON-LD</t>
        </is>
      </c>
    </row>
    <row r="783">
      <c r="A783" s="3" t="inlineStr">
        <is>
          <t>https://codesommet.com/web-development-company/vancouver</t>
        </is>
      </c>
      <c r="B783" t="inlineStr">
        <is>
          <t>Existing</t>
        </is>
      </c>
      <c r="C783" s="5" t="inlineStr">
        <is>
          <t>Pouvez-vous vous intégrer aux systèmes existants utilisés par les entreprises de Vancouver ?</t>
        </is>
      </c>
      <c r="D783" t="inlineStr">
        <is>
          <t>développement web vancouver</t>
        </is>
      </c>
      <c r="E783" t="inlineStr">
        <is>
          <t>ca</t>
        </is>
      </c>
      <c r="F783" s="5" t="inlineStr"/>
      <c r="G783" t="inlineStr">
        <is>
          <t>NOT AVAILABLE</t>
        </is>
      </c>
      <c r="H783" t="inlineStr">
        <is>
          <t>NOT AVAILABLE</t>
        </is>
      </c>
      <c r="I783" t="inlineStr">
        <is>
          <t>Service scope</t>
        </is>
      </c>
      <c r="J783" t="inlineStr">
        <is>
          <t>UNAVAILABLE</t>
        </is>
      </c>
      <c r="K783">
        <f>ROUND(IF(ISNUMBER(G783),MIN(50,ROUND(50*LOG10(G783+1)/4,1)),5)+IF(ISNUMBER(H783),ROUND(30*(100-H783)/100,1),15)+IF(B783="New",20,10),0)</f>
        <v/>
      </c>
      <c r="L783" t="inlineStr">
        <is>
          <t>KEEP</t>
        </is>
      </c>
      <c r="M783" s="5" t="inlineStr">
        <is>
          <t>Templated across 11 pages - acceptable for now; localise only if the page is kept (see F-02 / sheet 09)</t>
        </is>
      </c>
      <c r="N783" s="5" t="inlineStr">
        <is>
          <t>Oui. Nous intégrons vos systèmes existants : CRM, ERP, passerelles de paiement, systèmes de réservation et API tierces. Que vous utilisiez Salesforce, HubSpot, Stripe ou des outils internes, nous assu</t>
        </is>
      </c>
      <c r="O783" t="inlineStr">
        <is>
          <t>P3</t>
        </is>
      </c>
      <c r="P783" t="inlineStr">
        <is>
          <t>FAQPage JSON-LD</t>
        </is>
      </c>
    </row>
    <row r="784">
      <c r="A784" s="3" t="inlineStr">
        <is>
          <t>https://codesommet.com/web-development-company/vancouver</t>
        </is>
      </c>
      <c r="B784" t="inlineStr">
        <is>
          <t>Existing</t>
        </is>
      </c>
      <c r="C784" s="5" t="inlineStr">
        <is>
          <t>Comment fonctionne le modèle de révisions illimitées pour les clients de Vancouver ?</t>
        </is>
      </c>
      <c r="D784" t="inlineStr">
        <is>
          <t>développement web vancouver</t>
        </is>
      </c>
      <c r="E784" t="inlineStr">
        <is>
          <t>ca</t>
        </is>
      </c>
      <c r="F784" s="5" t="inlineStr"/>
      <c r="G784" t="inlineStr">
        <is>
          <t>NOT AVAILABLE</t>
        </is>
      </c>
      <c r="H784" t="inlineStr">
        <is>
          <t>NOT AVAILABLE</t>
        </is>
      </c>
      <c r="I784" t="inlineStr">
        <is>
          <t>Definition / how it works</t>
        </is>
      </c>
      <c r="J784" t="inlineStr">
        <is>
          <t>UNAVAILABLE</t>
        </is>
      </c>
      <c r="K784">
        <f>ROUND(IF(ISNUMBER(G784),MIN(50,ROUND(50*LOG10(G784+1)/4,1)),5)+IF(ISNUMBER(H784),ROUND(30*(100-H784)/100,1),15)+IF(B784="New",20,10),0)</f>
        <v/>
      </c>
      <c r="L784" t="inlineStr">
        <is>
          <t>KEEP</t>
        </is>
      </c>
      <c r="M784" s="5" t="inlineStr">
        <is>
          <t>Templated across 10 pages - acceptable for now; localise only if the page is kept (see F-02 / sheet 09)</t>
        </is>
      </c>
      <c r="N784" s="5" t="inlineStr">
        <is>
          <t>Notre modèle de révisions illimitées signifie exactement cela : nous affinons jusqu'à ce que vous soyez satisfait. Il n'y a pas de limite au nombre de modifications demandées, chaque révision étant gé</t>
        </is>
      </c>
      <c r="O784" t="inlineStr">
        <is>
          <t>P3</t>
        </is>
      </c>
      <c r="P784" t="inlineStr">
        <is>
          <t>FAQPage JSON-LD</t>
        </is>
      </c>
    </row>
    <row r="785">
      <c r="A785" s="3" t="inlineStr">
        <is>
          <t>https://codesommet.com/web-development-company/vancouver</t>
        </is>
      </c>
      <c r="B785" t="inlineStr">
        <is>
          <t>Existing</t>
        </is>
      </c>
      <c r="C785" s="5" t="inlineStr">
        <is>
          <t>Fournissez-vous un support continu pour les entreprises de Vancouver après le lancement ?</t>
        </is>
      </c>
      <c r="D785" t="inlineStr">
        <is>
          <t>développement web vancouver</t>
        </is>
      </c>
      <c r="E785" t="inlineStr">
        <is>
          <t>ca</t>
        </is>
      </c>
      <c r="F785" s="5" t="inlineStr"/>
      <c r="G785" t="inlineStr">
        <is>
          <t>NOT AVAILABLE</t>
        </is>
      </c>
      <c r="H785" t="inlineStr">
        <is>
          <t>NOT AVAILABLE</t>
        </is>
      </c>
      <c r="I785" t="inlineStr">
        <is>
          <t>Support</t>
        </is>
      </c>
      <c r="J785" t="inlineStr">
        <is>
          <t>UNAVAILABLE</t>
        </is>
      </c>
      <c r="K785">
        <f>ROUND(IF(ISNUMBER(G785),MIN(50,ROUND(50*LOG10(G785+1)/4,1)),5)+IF(ISNUMBER(H785),ROUND(30*(100-H785)/100,1),15)+IF(B785="New",20,10),0)</f>
        <v/>
      </c>
      <c r="L785" t="inlineStr">
        <is>
          <t>KEEP</t>
        </is>
      </c>
      <c r="M785" s="5" t="inlineStr">
        <is>
          <t>Relevant to page intent</t>
        </is>
      </c>
      <c r="N785" s="5" t="inlineStr">
        <is>
          <t>Oui. Nous proposons un support continu complet : hébergement, maintenance, mises à jour de sécurité, surveillance des performances et mises à jour de contenu. Nos forfaits incluent une collaboration e</t>
        </is>
      </c>
      <c r="O785" t="inlineStr">
        <is>
          <t>P3</t>
        </is>
      </c>
      <c r="P785" t="inlineStr">
        <is>
          <t>FAQPage JSON-LD</t>
        </is>
      </c>
    </row>
    <row r="786">
      <c r="A786" s="3" t="inlineStr">
        <is>
          <t>https://codesommet.com/web-development-company/worldwide</t>
        </is>
      </c>
      <c r="B786" t="inlineStr">
        <is>
          <t>Existing</t>
        </is>
      </c>
      <c r="C786" s="5" t="inlineStr">
        <is>
          <t>Où êtes-vous basés ?</t>
        </is>
      </c>
      <c r="D786" t="inlineStr">
        <is>
          <t>agence web offshore maroc</t>
        </is>
      </c>
      <c r="E786" t="inlineStr">
        <is>
          <t>ma</t>
        </is>
      </c>
      <c r="F786" s="5" t="inlineStr"/>
      <c r="G786" t="n">
        <v>140</v>
      </c>
      <c r="H786" t="inlineStr">
        <is>
          <t>NOT AVAILABLE</t>
        </is>
      </c>
      <c r="I786" t="inlineStr">
        <is>
          <t>Location / logistics</t>
        </is>
      </c>
      <c r="J786" t="inlineStr">
        <is>
          <t>MEASURED</t>
        </is>
      </c>
      <c r="K786">
        <f>ROUND(IF(ISNUMBER(G786),MIN(50,ROUND(50*LOG10(G786+1)/4,1)),5)+IF(ISNUMBER(H786),ROUND(30*(100-H786)/100,1),15)+IF(B786="New",20,10),0)</f>
        <v/>
      </c>
      <c r="L786" t="inlineStr">
        <is>
          <t>KEEP</t>
        </is>
      </c>
      <c r="M786" s="5" t="inlineStr">
        <is>
          <t>Relevant to page intent</t>
        </is>
      </c>
      <c r="N786" s="5" t="inlineStr">
        <is>
          <t>Nous sommes basés au Maroc, mais nous travaillons 100% à distance avec des clients du monde entier — de l'Europe et du Moyen-Orient à l'Amérique du Nord, l'Asie et au-delà.</t>
        </is>
      </c>
      <c r="O786" t="inlineStr">
        <is>
          <t>P2</t>
        </is>
      </c>
      <c r="P786" t="inlineStr">
        <is>
          <t>FAQPage JSON-LD</t>
        </is>
      </c>
    </row>
    <row r="787">
      <c r="A787" s="3" t="inlineStr">
        <is>
          <t>https://codesommet.com/web-development-company/worldwide</t>
        </is>
      </c>
      <c r="B787" t="inlineStr">
        <is>
          <t>Existing</t>
        </is>
      </c>
      <c r="C787" s="5" t="inlineStr">
        <is>
          <t>Pouvez-vous travailler dans mon fuseau horaire ?</t>
        </is>
      </c>
      <c r="D787" t="inlineStr">
        <is>
          <t>agence web offshore maroc</t>
        </is>
      </c>
      <c r="E787" t="inlineStr">
        <is>
          <t>ma</t>
        </is>
      </c>
      <c r="F787" s="5" t="inlineStr"/>
      <c r="G787" t="n">
        <v>140</v>
      </c>
      <c r="H787" t="inlineStr">
        <is>
          <t>NOT AVAILABLE</t>
        </is>
      </c>
      <c r="I787" t="inlineStr">
        <is>
          <t>Location / logistics</t>
        </is>
      </c>
      <c r="J787" t="inlineStr">
        <is>
          <t>MEASURED</t>
        </is>
      </c>
      <c r="K787">
        <f>ROUND(IF(ISNUMBER(G787),MIN(50,ROUND(50*LOG10(G787+1)/4,1)),5)+IF(ISNUMBER(H787),ROUND(30*(100-H787)/100,1),15)+IF(B787="New",20,10),0)</f>
        <v/>
      </c>
      <c r="L787" t="inlineStr">
        <is>
          <t>KEEP</t>
        </is>
      </c>
      <c r="M787" s="5" t="inlineStr">
        <is>
          <t>Relevant to page intent</t>
        </is>
      </c>
      <c r="N787" s="5" t="inlineStr">
        <is>
          <t>Absolument. Nous ajustons nos heures de travail pour correspondre à votre emploi du temps. Que vous soyez à New York, Londres, Dubai ou Tokyo — nous nous adaptons.</t>
        </is>
      </c>
      <c r="O787" t="inlineStr">
        <is>
          <t>P2</t>
        </is>
      </c>
      <c r="P787" t="inlineStr">
        <is>
          <t>FAQPage JSON-LD</t>
        </is>
      </c>
    </row>
    <row r="788">
      <c r="A788" s="3" t="inlineStr">
        <is>
          <t>https://codesommet.com/web-development-company/worldwide</t>
        </is>
      </c>
      <c r="B788" t="inlineStr">
        <is>
          <t>Existing</t>
        </is>
      </c>
      <c r="C788" s="5" t="inlineStr">
        <is>
          <t>Comment communiquons-nous pendant le projet ?</t>
        </is>
      </c>
      <c r="D788" t="inlineStr">
        <is>
          <t>agence web offshore maroc</t>
        </is>
      </c>
      <c r="E788" t="inlineStr">
        <is>
          <t>ma</t>
        </is>
      </c>
      <c r="F788" s="5" t="inlineStr"/>
      <c r="G788" t="n">
        <v>140</v>
      </c>
      <c r="H788" t="inlineStr">
        <is>
          <t>NOT AVAILABLE</t>
        </is>
      </c>
      <c r="I788" t="inlineStr">
        <is>
          <t>Service scope</t>
        </is>
      </c>
      <c r="J788" t="inlineStr">
        <is>
          <t>MEASURED</t>
        </is>
      </c>
      <c r="K788">
        <f>ROUND(IF(ISNUMBER(G788),MIN(50,ROUND(50*LOG10(G788+1)/4,1)),5)+IF(ISNUMBER(H788),ROUND(30*(100-H788)/100,1),15)+IF(B788="New",20,10),0)</f>
        <v/>
      </c>
      <c r="L788" t="inlineStr">
        <is>
          <t>KEEP</t>
        </is>
      </c>
      <c r="M788" s="5" t="inlineStr">
        <is>
          <t>Relevant to page intent</t>
        </is>
      </c>
      <c r="N788" s="5" t="inlineStr">
        <is>
          <t>Nous utilisons Slack, Zoom, Google Meet, WhatsApp ou toute plateforme que vous préférez. Vous recevrez des mises à jour quotidiennes et un canal projet dédié pour la communication en temps réel.</t>
        </is>
      </c>
      <c r="O788" t="inlineStr">
        <is>
          <t>P2</t>
        </is>
      </c>
      <c r="P788" t="inlineStr">
        <is>
          <t>FAQPage JSON-LD</t>
        </is>
      </c>
    </row>
    <row r="789">
      <c r="A789" s="3" t="inlineStr">
        <is>
          <t>https://codesommet.com/web-development-company/worldwide</t>
        </is>
      </c>
      <c r="B789" t="inlineStr">
        <is>
          <t>Existing</t>
        </is>
      </c>
      <c r="C789" s="5" t="inlineStr">
        <is>
          <t>Quels modes de paiement acceptez-vous ?</t>
        </is>
      </c>
      <c r="D789" t="inlineStr">
        <is>
          <t>agence web offshore maroc</t>
        </is>
      </c>
      <c r="E789" t="inlineStr">
        <is>
          <t>ma</t>
        </is>
      </c>
      <c r="F789" s="5" t="inlineStr"/>
      <c r="G789" t="n">
        <v>140</v>
      </c>
      <c r="H789" t="inlineStr">
        <is>
          <t>NOT AVAILABLE</t>
        </is>
      </c>
      <c r="I789" t="inlineStr">
        <is>
          <t>Payment</t>
        </is>
      </c>
      <c r="J789" t="inlineStr">
        <is>
          <t>MEASURED</t>
        </is>
      </c>
      <c r="K789">
        <f>ROUND(IF(ISNUMBER(G789),MIN(50,ROUND(50*LOG10(G789+1)/4,1)),5)+IF(ISNUMBER(H789),ROUND(30*(100-H789)/100,1),15)+IF(B789="New",20,10),0)</f>
        <v/>
      </c>
      <c r="L789" t="inlineStr">
        <is>
          <t>KEEP</t>
        </is>
      </c>
      <c r="M789" s="5" t="inlineStr">
        <is>
          <t>Relevant to page intent</t>
        </is>
      </c>
      <c r="N789" s="5" t="inlineStr">
        <is>
          <t>Nous acceptons les virements bancaires internationaux (SWIFT), PayPal, Wise et les paiements par carte de crédit via Stripe. Nous nous adaptons à ce qui vous convient.</t>
        </is>
      </c>
      <c r="O789" t="inlineStr">
        <is>
          <t>P2</t>
        </is>
      </c>
      <c r="P789" t="inlineStr">
        <is>
          <t>FAQPage JSON-LD</t>
        </is>
      </c>
    </row>
    <row r="790">
      <c r="A790" s="3" t="inlineStr">
        <is>
          <t>https://codesommet.com/web-development-company/worldwide</t>
        </is>
      </c>
      <c r="B790" t="inlineStr">
        <is>
          <t>Existing</t>
        </is>
      </c>
      <c r="C790" s="5" t="inlineStr">
        <is>
          <t>En combien de temps pouvez-vous livrer un site web ?</t>
        </is>
      </c>
      <c r="D790" t="inlineStr">
        <is>
          <t>combien de temps pour créer un site internet</t>
        </is>
      </c>
      <c r="E790" t="inlineStr">
        <is>
          <t>fr</t>
        </is>
      </c>
      <c r="F790" s="5" t="inlineStr"/>
      <c r="G790" t="n">
        <v>90</v>
      </c>
      <c r="H790" t="n">
        <v>13</v>
      </c>
      <c r="I790" t="inlineStr">
        <is>
          <t>Timeline</t>
        </is>
      </c>
      <c r="J790" t="inlineStr">
        <is>
          <t>MEASURED</t>
        </is>
      </c>
      <c r="K790">
        <f>ROUND(IF(ISNUMBER(G790),MIN(50,ROUND(50*LOG10(G790+1)/4,1)),5)+IF(ISNUMBER(H790),ROUND(30*(100-H790)/100,1),15)+IF(B790="New",20,10),0)</f>
        <v/>
      </c>
      <c r="L790" t="inlineStr">
        <is>
          <t>KEEP</t>
        </is>
      </c>
      <c r="M790" s="5" t="inlineStr">
        <is>
          <t>Matches measured pre-purchase demand</t>
        </is>
      </c>
      <c r="N790" s="5" t="inlineStr">
        <is>
          <t>La plupart des sites web sont livrés en 2 à 5 jours, et en 2 jours seulement avec notre formule express. Les plateformes complexes comme les tableaux de bord SaaS ou les boutiques e-commerce sont plan</t>
        </is>
      </c>
      <c r="O790" t="inlineStr">
        <is>
          <t>P2</t>
        </is>
      </c>
      <c r="P790" t="inlineStr">
        <is>
          <t>FAQPage JSON-LD</t>
        </is>
      </c>
    </row>
    <row r="791">
      <c r="A791" s="3" t="inlineStr">
        <is>
          <t>https://codesommet.com/web-development-company/worldwide</t>
        </is>
      </c>
      <c r="B791" t="inlineStr">
        <is>
          <t>Existing</t>
        </is>
      </c>
      <c r="C791" s="5" t="inlineStr">
        <is>
          <t>Offrez-vous un support continu après le lancement ?</t>
        </is>
      </c>
      <c r="D791" t="inlineStr">
        <is>
          <t>agence web offshore maroc</t>
        </is>
      </c>
      <c r="E791" t="inlineStr">
        <is>
          <t>ma</t>
        </is>
      </c>
      <c r="F791" s="5" t="inlineStr"/>
      <c r="G791" t="n">
        <v>140</v>
      </c>
      <c r="H791" t="inlineStr">
        <is>
          <t>NOT AVAILABLE</t>
        </is>
      </c>
      <c r="I791" t="inlineStr">
        <is>
          <t>Support</t>
        </is>
      </c>
      <c r="J791" t="inlineStr">
        <is>
          <t>MEASURED</t>
        </is>
      </c>
      <c r="K791">
        <f>ROUND(IF(ISNUMBER(G791),MIN(50,ROUND(50*LOG10(G791+1)/4,1)),5)+IF(ISNUMBER(H791),ROUND(30*(100-H791)/100,1),15)+IF(B791="New",20,10),0)</f>
        <v/>
      </c>
      <c r="L791" t="inlineStr">
        <is>
          <t>KEEP</t>
        </is>
      </c>
      <c r="M791" s="5" t="inlineStr">
        <is>
          <t>Relevant to page intent</t>
        </is>
      </c>
      <c r="N791" s="5" t="inlineStr">
        <is>
          <t>Oui ! Nous proposons des forfaits de maintenance, de mises à jour et de support continu. Nous ne disparaissons pas après le lancement — nous sommes votre partenaire digital à long terme.</t>
        </is>
      </c>
      <c r="O791" t="inlineStr">
        <is>
          <t>P2</t>
        </is>
      </c>
      <c r="P791" t="inlineStr">
        <is>
          <t>FAQPage JSON-LD</t>
        </is>
      </c>
    </row>
    <row r="792">
      <c r="A792" s="3" t="inlineStr">
        <is>
          <t>https://codesommet.com/web-development-company/worldwide</t>
        </is>
      </c>
      <c r="B792" t="inlineStr">
        <is>
          <t>New</t>
        </is>
      </c>
      <c r="C792" s="5" t="inlineStr">
        <is>
          <t>Pourquoi externaliser le développement web au Maroc ?</t>
        </is>
      </c>
      <c r="D792" t="inlineStr">
        <is>
          <t>pourquoi externaliser le développement web</t>
        </is>
      </c>
      <c r="E792" t="inlineStr">
        <is>
          <t>fr</t>
        </is>
      </c>
      <c r="F792" s="5" t="inlineStr">
        <is>
          <t>agence web offshore [fr] 480; développement web offshore [fr] 210; développeur offshore [fr] 110</t>
        </is>
      </c>
      <c r="G792" t="inlineStr">
        <is>
          <t>NOT AVAILABLE</t>
        </is>
      </c>
      <c r="H792" t="inlineStr">
        <is>
          <t>NOT AVAILABLE</t>
        </is>
      </c>
      <c r="I792" t="inlineStr">
        <is>
          <t>Question</t>
        </is>
      </c>
      <c r="J792" t="inlineStr">
        <is>
          <t>UNAVAILABLE</t>
        </is>
      </c>
      <c r="K792">
        <f>ROUND(IF(ISNUMBER(G792),MIN(50,ROUND(50*LOG10(G792+1)/4,1)),5)+IF(ISNUMBER(H792),ROUND(30*(100-H792)/100,1),15)+IF(B792="New",20,10),0)</f>
        <v/>
      </c>
      <c r="L792" t="inlineStr">
        <is>
          <t>NEW</t>
        </is>
      </c>
      <c r="M792" s="5" t="inlineStr">
        <is>
          <t>Decision question for French/Belgian SMEs considering offshore. | Why here: Exact page intent (offshore). | Internal link: /get-quote</t>
        </is>
      </c>
      <c r="N792" s="5" t="inlineStr">
        <is>
          <t>Cost, French language, time zone (GMT+1), quality controls, contracts/IP; honest limits.</t>
        </is>
      </c>
      <c r="O792" t="inlineStr">
        <is>
          <t>P1</t>
        </is>
      </c>
      <c r="P792" t="inlineStr"/>
    </row>
    <row r="793">
      <c r="A793" s="3" t="inlineStr">
        <is>
          <t>https://codesommet.com/web-development-company/worldwide</t>
        </is>
      </c>
      <c r="B793" t="inlineStr">
        <is>
          <t>New</t>
        </is>
      </c>
      <c r="C793" s="5" t="inlineStr">
        <is>
          <t>Quels sont les avantages et les risques du développement web offshore ?</t>
        </is>
      </c>
      <c r="D793" t="inlineStr">
        <is>
          <t>développement offshore avantages</t>
        </is>
      </c>
      <c r="E793" t="inlineStr">
        <is>
          <t>fr</t>
        </is>
      </c>
      <c r="F793" s="5" t="inlineStr">
        <is>
          <t>agence web offshore [fr] 480</t>
        </is>
      </c>
      <c r="G793" t="inlineStr">
        <is>
          <t>NOT AVAILABLE</t>
        </is>
      </c>
      <c r="H793" t="inlineStr">
        <is>
          <t>NOT AVAILABLE</t>
        </is>
      </c>
      <c r="I793" t="inlineStr">
        <is>
          <t>Question</t>
        </is>
      </c>
      <c r="J793" t="inlineStr">
        <is>
          <t>UNAVAILABLE</t>
        </is>
      </c>
      <c r="K793">
        <f>ROUND(IF(ISNUMBER(G793),MIN(50,ROUND(50*LOG10(G793+1)/4,1)),5)+IF(ISNUMBER(H793),ROUND(30*(100-H793)/100,1),15)+IF(B793="New",20,10),0)</f>
        <v/>
      </c>
      <c r="L793" t="inlineStr">
        <is>
          <t>NEW</t>
        </is>
      </c>
      <c r="M793" s="5" t="inlineStr">
        <is>
          <t>Risk-aware buyers. | Why here: Builds trust on the offshore page. | Internal link: /our-work</t>
        </is>
      </c>
      <c r="N793" s="5" t="inlineStr">
        <is>
          <t>Pros/cons table, how risks are mitigated (contracts, milestones, code ownership).</t>
        </is>
      </c>
      <c r="O793" t="inlineStr">
        <is>
          <t>P2</t>
        </is>
      </c>
      <c r="P793" t="inlineStr"/>
    </row>
    <row r="794">
      <c r="A794" s="3" t="inlineStr">
        <is>
          <t>https://codesommet.com/web-development-company/zurich</t>
        </is>
      </c>
      <c r="B794" t="inlineStr">
        <is>
          <t>Existing</t>
        </is>
      </c>
      <c r="C794" s="5" t="inlineStr">
        <is>
          <t>Pourquoi choisir CodeSommet parmi les nombreuses agences de développement web de Zurich ?</t>
        </is>
      </c>
      <c r="D794" t="inlineStr">
        <is>
          <t>développement web zurich</t>
        </is>
      </c>
      <c r="E794" t="inlineStr">
        <is>
          <t>ch</t>
        </is>
      </c>
      <c r="F794" s="5" t="inlineStr"/>
      <c r="G794" t="inlineStr">
        <is>
          <t>NOT AVAILABLE</t>
        </is>
      </c>
      <c r="H794" t="inlineStr">
        <is>
          <t>NOT AVAILABLE</t>
        </is>
      </c>
      <c r="I794" t="inlineStr">
        <is>
          <t>Differentiation</t>
        </is>
      </c>
      <c r="J794" t="inlineStr">
        <is>
          <t>UNAVAILABLE</t>
        </is>
      </c>
      <c r="K794">
        <f>ROUND(IF(ISNUMBER(G794),MIN(50,ROUND(50*LOG10(G794+1)/4,1)),5)+IF(ISNUMBER(H794),ROUND(30*(100-H794)/100,1),15)+IF(B794="New",20,10),0)</f>
        <v/>
      </c>
      <c r="L794" t="inlineStr">
        <is>
          <t>KEEP</t>
        </is>
      </c>
      <c r="M794" s="5" t="inlineStr">
        <is>
          <t>Templated across 6 pages - acceptable for now; localise only if the page is kept (see F-02 / sheet 09)</t>
        </is>
      </c>
      <c r="N794" s="5" t="inlineStr">
        <is>
          <t>Parce que nous combinons un design soigné, des technologies modernes et une livraison rapide : la plupart des sites vitrines sont en ligne en 2 à 5 jours après validation du périmètre (et en 2 jours s</t>
        </is>
      </c>
      <c r="O794" t="inlineStr">
        <is>
          <t>P3</t>
        </is>
      </c>
      <c r="P794" t="inlineStr">
        <is>
          <t>FAQPage JSON-LD</t>
        </is>
      </c>
    </row>
    <row r="795">
      <c r="A795" s="3" t="inlineStr">
        <is>
          <t>https://codesommet.com/web-development-company/zurich</t>
        </is>
      </c>
      <c r="B795" t="inlineStr">
        <is>
          <t>Existing</t>
        </is>
      </c>
      <c r="C795" s="5" t="inlineStr">
        <is>
          <t>Travaillez-vous avec les startups et entreprises early-stage de Zurich ?</t>
        </is>
      </c>
      <c r="D795" t="inlineStr">
        <is>
          <t>développement web zurich</t>
        </is>
      </c>
      <c r="E795" t="inlineStr">
        <is>
          <t>ch</t>
        </is>
      </c>
      <c r="F795" s="5" t="inlineStr"/>
      <c r="G795" t="inlineStr">
        <is>
          <t>NOT AVAILABLE</t>
        </is>
      </c>
      <c r="H795" t="inlineStr">
        <is>
          <t>NOT AVAILABLE</t>
        </is>
      </c>
      <c r="I795" t="inlineStr">
        <is>
          <t>Service scope</t>
        </is>
      </c>
      <c r="J795" t="inlineStr">
        <is>
          <t>UNAVAILABLE</t>
        </is>
      </c>
      <c r="K795">
        <f>ROUND(IF(ISNUMBER(G795),MIN(50,ROUND(50*LOG10(G795+1)/4,1)),5)+IF(ISNUMBER(H795),ROUND(30*(100-H795)/100,1),15)+IF(B795="New",20,10),0)</f>
        <v/>
      </c>
      <c r="L795" t="inlineStr">
        <is>
          <t>KEEP</t>
        </is>
      </c>
      <c r="M795" s="5" t="inlineStr">
        <is>
          <t>Templated across 6 pages - acceptable for now; localise only if the page is kept (see F-02 / sheet 09)</t>
        </is>
      </c>
      <c r="N795" s="5" t="inlineStr">
        <is>
          <t>Absolument. Nous travaillons avec des entreprises de toutes tailles, des startups en démarrage aux structures établies. Notre tarification flexible et nos forfaits mensuels sont pensés pour évoluer av</t>
        </is>
      </c>
      <c r="O795" t="inlineStr">
        <is>
          <t>P3</t>
        </is>
      </c>
      <c r="P795" t="inlineStr">
        <is>
          <t>FAQPage JSON-LD</t>
        </is>
      </c>
    </row>
    <row r="796">
      <c r="A796" s="3" t="inlineStr">
        <is>
          <t>https://codesommet.com/web-development-company/zurich</t>
        </is>
      </c>
      <c r="B796" t="inlineStr">
        <is>
          <t>Existing</t>
        </is>
      </c>
      <c r="C796" s="5" t="inlineStr">
        <is>
          <t>Quelles technologies utilisez-vous pour les projets ? Zurich ?</t>
        </is>
      </c>
      <c r="D796" t="inlineStr">
        <is>
          <t>développement web zurich</t>
        </is>
      </c>
      <c r="E796" t="inlineStr">
        <is>
          <t>ch</t>
        </is>
      </c>
      <c r="F796" s="5" t="inlineStr"/>
      <c r="G796" t="inlineStr">
        <is>
          <t>NOT AVAILABLE</t>
        </is>
      </c>
      <c r="H796" t="inlineStr">
        <is>
          <t>NOT AVAILABLE</t>
        </is>
      </c>
      <c r="I796" t="inlineStr">
        <is>
          <t>Service scope</t>
        </is>
      </c>
      <c r="J796" t="inlineStr">
        <is>
          <t>UNAVAILABLE</t>
        </is>
      </c>
      <c r="K796">
        <f>ROUND(IF(ISNUMBER(G796),MIN(50,ROUND(50*LOG10(G796+1)/4,1)),5)+IF(ISNUMBER(H796),ROUND(30*(100-H796)/100,1),15)+IF(B796="New",20,10),0)</f>
        <v/>
      </c>
      <c r="L796" t="inlineStr">
        <is>
          <t>KEEP</t>
        </is>
      </c>
      <c r="M796" s="5" t="inlineStr">
        <is>
          <t>Templated across 6 pages - acceptable for now; localise only if the page is kept (see F-02 / sheet 09)</t>
        </is>
      </c>
      <c r="N796" s="5" t="inlineStr">
        <is>
          <t>Nous utilisons des technologies modernes comme Next.js, React, TypeScript, Node.js et Laravel pour le développement web. Côté IA, nous intégrons des chatbots sur mesure et des automatisations intellig</t>
        </is>
      </c>
      <c r="O796" t="inlineStr">
        <is>
          <t>P3</t>
        </is>
      </c>
      <c r="P796" t="inlineStr">
        <is>
          <t>FAQPage JSON-LD</t>
        </is>
      </c>
    </row>
    <row r="797">
      <c r="A797" s="3" t="inlineStr">
        <is>
          <t>https://codesommet.com/web-development-company/zurich</t>
        </is>
      </c>
      <c r="B797" t="inlineStr">
        <is>
          <t>Existing</t>
        </is>
      </c>
      <c r="C797" s="5" t="inlineStr">
        <is>
          <t>Pouvez-vous vous intégrer aux systèmes existants utilisés par les entreprises de Zurich ?</t>
        </is>
      </c>
      <c r="D797" t="inlineStr">
        <is>
          <t>développement web zurich</t>
        </is>
      </c>
      <c r="E797" t="inlineStr">
        <is>
          <t>ch</t>
        </is>
      </c>
      <c r="F797" s="5" t="inlineStr"/>
      <c r="G797" t="inlineStr">
        <is>
          <t>NOT AVAILABLE</t>
        </is>
      </c>
      <c r="H797" t="inlineStr">
        <is>
          <t>NOT AVAILABLE</t>
        </is>
      </c>
      <c r="I797" t="inlineStr">
        <is>
          <t>Service scope</t>
        </is>
      </c>
      <c r="J797" t="inlineStr">
        <is>
          <t>UNAVAILABLE</t>
        </is>
      </c>
      <c r="K797">
        <f>ROUND(IF(ISNUMBER(G797),MIN(50,ROUND(50*LOG10(G797+1)/4,1)),5)+IF(ISNUMBER(H797),ROUND(30*(100-H797)/100,1),15)+IF(B797="New",20,10),0)</f>
        <v/>
      </c>
      <c r="L797" t="inlineStr">
        <is>
          <t>KEEP</t>
        </is>
      </c>
      <c r="M797" s="5" t="inlineStr">
        <is>
          <t>Templated across 11 pages - acceptable for now; localise only if the page is kept (see F-02 / sheet 09)</t>
        </is>
      </c>
      <c r="N797" s="5" t="inlineStr">
        <is>
          <t>Oui. Nous intégrons vos systèmes existants : CRM, ERP, passerelles de paiement, systèmes de réservation et API tierces. Que vous utilisiez Salesforce, HubSpot, Stripe ou des outils internes, nous assu</t>
        </is>
      </c>
      <c r="O797" t="inlineStr">
        <is>
          <t>P3</t>
        </is>
      </c>
      <c r="P797" t="inlineStr">
        <is>
          <t>FAQPage JSON-LD</t>
        </is>
      </c>
    </row>
    <row r="798">
      <c r="A798" s="3" t="inlineStr">
        <is>
          <t>https://codesommet.com/web-development-company/zurich</t>
        </is>
      </c>
      <c r="B798" t="inlineStr">
        <is>
          <t>Existing</t>
        </is>
      </c>
      <c r="C798" s="5" t="inlineStr">
        <is>
          <t>Comment fonctionne le modèle de révisions illimitées pour les clients de Zurich ?</t>
        </is>
      </c>
      <c r="D798" t="inlineStr">
        <is>
          <t>développement web zurich</t>
        </is>
      </c>
      <c r="E798" t="inlineStr">
        <is>
          <t>ch</t>
        </is>
      </c>
      <c r="F798" s="5" t="inlineStr"/>
      <c r="G798" t="inlineStr">
        <is>
          <t>NOT AVAILABLE</t>
        </is>
      </c>
      <c r="H798" t="inlineStr">
        <is>
          <t>NOT AVAILABLE</t>
        </is>
      </c>
      <c r="I798" t="inlineStr">
        <is>
          <t>Definition / how it works</t>
        </is>
      </c>
      <c r="J798" t="inlineStr">
        <is>
          <t>UNAVAILABLE</t>
        </is>
      </c>
      <c r="K798">
        <f>ROUND(IF(ISNUMBER(G798),MIN(50,ROUND(50*LOG10(G798+1)/4,1)),5)+IF(ISNUMBER(H798),ROUND(30*(100-H798)/100,1),15)+IF(B798="New",20,10),0)</f>
        <v/>
      </c>
      <c r="L798" t="inlineStr">
        <is>
          <t>KEEP</t>
        </is>
      </c>
      <c r="M798" s="5" t="inlineStr">
        <is>
          <t>Templated across 10 pages - acceptable for now; localise only if the page is kept (see F-02 / sheet 09)</t>
        </is>
      </c>
      <c r="N798" s="5" t="inlineStr">
        <is>
          <t>Notre modèle de révisions illimitées signifie exactement cela : nous affinons jusqu'à ce que vous soyez satisfait. Il n'y a pas de limite au nombre de modifications demandées, chaque révision étant gé</t>
        </is>
      </c>
      <c r="O798" t="inlineStr">
        <is>
          <t>P3</t>
        </is>
      </c>
      <c r="P798" t="inlineStr">
        <is>
          <t>FAQPage JSON-LD</t>
        </is>
      </c>
    </row>
    <row r="799">
      <c r="A799" s="3" t="inlineStr">
        <is>
          <t>https://codesommet.com/web-development-company/zurich</t>
        </is>
      </c>
      <c r="B799" t="inlineStr">
        <is>
          <t>Existing</t>
        </is>
      </c>
      <c r="C799" s="5" t="inlineStr">
        <is>
          <t>Fournissez-vous un support continu pour les projets de Zurich après le lancement ?</t>
        </is>
      </c>
      <c r="D799" t="inlineStr">
        <is>
          <t>développement web zurich</t>
        </is>
      </c>
      <c r="E799" t="inlineStr">
        <is>
          <t>ch</t>
        </is>
      </c>
      <c r="F799" s="5" t="inlineStr"/>
      <c r="G799" t="inlineStr">
        <is>
          <t>NOT AVAILABLE</t>
        </is>
      </c>
      <c r="H799" t="inlineStr">
        <is>
          <t>NOT AVAILABLE</t>
        </is>
      </c>
      <c r="I799" t="inlineStr">
        <is>
          <t>Support</t>
        </is>
      </c>
      <c r="J799" t="inlineStr">
        <is>
          <t>UNAVAILABLE</t>
        </is>
      </c>
      <c r="K799">
        <f>ROUND(IF(ISNUMBER(G799),MIN(50,ROUND(50*LOG10(G799+1)/4,1)),5)+IF(ISNUMBER(H799),ROUND(30*(100-H799)/100,1),15)+IF(B799="New",20,10),0)</f>
        <v/>
      </c>
      <c r="L799" t="inlineStr">
        <is>
          <t>KEEP</t>
        </is>
      </c>
      <c r="M799" s="5" t="inlineStr">
        <is>
          <t>Relevant to page intent</t>
        </is>
      </c>
      <c r="N799" s="5" t="inlineStr">
        <is>
          <t>Oui. Nous proposons un support continu complet : hébergement, maintenance, mises à jour de sécurité, surveillance des performances et mises à jour de contenu. Nos forfaits incluent une collaboration e</t>
        </is>
      </c>
      <c r="O799" t="inlineStr">
        <is>
          <t>P3</t>
        </is>
      </c>
      <c r="P799" t="inlineStr">
        <is>
          <t>FAQPage JSON-LD</t>
        </is>
      </c>
    </row>
  </sheetData>
  <autoFilter ref="A2:P799"/>
  <conditionalFormatting sqref="L3:L799">
    <cfRule type="expression" priority="1" dxfId="0">
      <formula>$L3="REWRITE"</formula>
    </cfRule>
    <cfRule type="expression" priority="2" dxfId="1">
      <formula>$L3="IMPROVE"</formula>
    </cfRule>
    <cfRule type="expression" priority="3" dxfId="7">
      <formula>$L3="MERGE"</formula>
    </cfRule>
    <cfRule type="expression" priority="4" dxfId="4">
      <formula>$L3="NEW"</formula>
    </cfRule>
    <cfRule type="expression" priority="5" dxfId="8">
      <formula>$L3="KEEP"</formula>
    </cfRule>
    <cfRule type="expression" priority="6" dxfId="9">
      <formula>$L3="REMOVE"</formula>
    </cfRule>
  </conditionalFormatting>
  <conditionalFormatting sqref="J3:J799">
    <cfRule type="expression" priority="7" dxfId="2">
      <formula>$J3="MEASURED"</formula>
    </cfRule>
    <cfRule type="expression" priority="8" dxfId="5">
      <formula>$J3="UNAVAILABLE"</formula>
    </cfRule>
    <cfRule type="expression" priority="9" dxfId="4">
      <formula>$J3="SUGGESTED"</formula>
    </cfRule>
  </conditionalFormatting>
  <dataValidations count="3">
    <dataValidation sqref="L3:L799" showDropDown="0" showInputMessage="0" showErrorMessage="0" allowBlank="1" type="list">
      <formula1>"KEEP,IMPROVE,REWRITE,MERGE,REMOVE,NEW"</formula1>
    </dataValidation>
    <dataValidation sqref="O3:O799" showDropDown="0" showInputMessage="0" showErrorMessage="0" allowBlank="1" type="list">
      <formula1>"P1,P2,P3,P4"</formula1>
    </dataValidation>
    <dataValidation sqref="B3:B799" showDropDown="0" showInputMessage="0" showErrorMessage="0" allowBlank="1" type="list">
      <formula1>"Existing,New"</formula1>
    </dataValidation>
  </dataValidations>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2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6" customWidth="1" min="1" max="1"/>
    <col width="8" customWidth="1" min="2" max="2"/>
    <col width="8" customWidth="1" min="3" max="3"/>
    <col width="46" customWidth="1" min="4" max="4"/>
    <col width="40" customWidth="1" min="5" max="5"/>
    <col width="10" customWidth="1" min="6" max="6"/>
    <col width="7" customWidth="1" min="7" max="7"/>
    <col width="8" customWidth="1" min="8" max="8"/>
    <col width="20" customWidth="1" min="9" max="9"/>
    <col width="12" customWidth="1" min="10" max="10"/>
    <col width="50" customWidth="1" min="11" max="11"/>
    <col width="9" customWidth="1" min="12" max="12"/>
    <col width="10" customWidth="1" min="13" max="13"/>
    <col width="60" customWidth="1" min="14" max="14"/>
  </cols>
  <sheetData>
    <row r="1">
      <c r="A1" s="10" t="inlineStr">
        <is>
          <t>← 01 Executive Summary</t>
        </is>
      </c>
      <c r="B1" s="11" t="inlineStr">
        <is>
          <t>International keyword research - each market in its own Semrush database; local-language checks size the French-page mismatch</t>
        </is>
      </c>
    </row>
    <row r="2" ht="32" customHeight="1">
      <c r="A2" s="12" t="inlineStr">
        <is>
          <t>Country</t>
        </is>
      </c>
      <c r="B2" s="12" t="inlineStr">
        <is>
          <t>Database</t>
        </is>
      </c>
      <c r="C2" s="12" t="inlineStr">
        <is>
          <t>Language</t>
        </is>
      </c>
      <c r="D2" s="12" t="inlineStr">
        <is>
          <t>Page URL</t>
        </is>
      </c>
      <c r="E2" s="12" t="inlineStr">
        <is>
          <t>Keyword</t>
        </is>
      </c>
      <c r="F2" s="12" t="inlineStr">
        <is>
          <t>Search Volume</t>
        </is>
      </c>
      <c r="G2" s="12" t="inlineStr">
        <is>
          <t>KD%</t>
        </is>
      </c>
      <c r="H2" s="12" t="inlineStr">
        <is>
          <t>CPC (USD)</t>
        </is>
      </c>
      <c r="I2" s="12" t="inlineStr">
        <is>
          <t>Intent</t>
        </is>
      </c>
      <c r="J2" s="12" t="inlineStr">
        <is>
          <t>Data Status</t>
        </is>
      </c>
      <c r="K2" s="12" t="inlineStr">
        <is>
          <t>Local Competitors (SERP)</t>
        </is>
      </c>
      <c r="L2" s="12" t="inlineStr">
        <is>
          <t>Country Relevance pts</t>
        </is>
      </c>
      <c r="M2" s="12" t="inlineStr">
        <is>
          <t>Opportunity Score (calc.)</t>
        </is>
      </c>
      <c r="N2" s="12" t="inlineStr">
        <is>
          <t>Recommendation</t>
        </is>
      </c>
    </row>
    <row r="3">
      <c r="A3" t="inlineStr">
        <is>
          <t>France</t>
        </is>
      </c>
      <c r="B3" t="inlineStr">
        <is>
          <t>fr</t>
        </is>
      </c>
      <c r="C3" t="inlineStr">
        <is>
          <t>fr</t>
        </is>
      </c>
      <c r="D3" s="3" t="inlineStr">
        <is>
          <t>https://codesommet.com/web-development-company/worldwide</t>
        </is>
      </c>
      <c r="E3" t="inlineStr">
        <is>
          <t>agence web</t>
        </is>
      </c>
      <c r="F3" t="n">
        <v>14800</v>
      </c>
      <c r="G3" t="n">
        <v>63</v>
      </c>
      <c r="H3" t="n">
        <v>2.79</v>
      </c>
      <c r="I3" t="inlineStr">
        <is>
          <t>Commercial</t>
        </is>
      </c>
      <c r="J3" t="inlineStr">
        <is>
          <t>MEASURED</t>
        </is>
      </c>
      <c r="K3" s="5" t="inlineStr">
        <is>
          <t>lafabriquedunet.fr, sortlist.fr, yieldstudio.fr, codyweb.fr (SERP "agence de développement web"); viaprestige-agency.com, esokia.com (offshore)</t>
        </is>
      </c>
      <c r="L3" t="n">
        <v>14</v>
      </c>
      <c r="M3">
        <f>ROUND(IF(IF(I3="NOT AVAILABLE","",I3)="",12,IF(OR(ISNUMBER(SEARCH("Transactional",IF(I3="NOT AVAILABLE","",I3))),ISNUMBER(SEARCH("Commercial",IF(I3="NOT AVAILABLE","",I3)))),25,IF(ISNUMBER(SEARCH("Informational",IF(I3="NOT AVAILABLE","",I3))),10,IF(ISNUMBER(SEARCH("Navigational",IF(I3="NOT AVAILABLE","",I3))),0,12))))+IF(ISNUMBER(F3),MIN(30,ROUND(30*LOG10(F3+1)/4,1)),0)+IF(ISNUMBER(G3),ROUND(25*(100-G3)/100,1),12.5)+L3,0)</f>
        <v/>
      </c>
      <c r="N3" s="5" t="inlineStr">
        <is>
          <t>High difficulty - long-term only, needs authority/links</t>
        </is>
      </c>
    </row>
    <row r="4">
      <c r="A4" t="inlineStr">
        <is>
          <t>France</t>
        </is>
      </c>
      <c r="B4" t="inlineStr">
        <is>
          <t>fr</t>
        </is>
      </c>
      <c r="C4" t="inlineStr">
        <is>
          <t>fr</t>
        </is>
      </c>
      <c r="D4" s="3" t="inlineStr">
        <is>
          <t>https://codesommet.com/web-development-company/worldwide</t>
        </is>
      </c>
      <c r="E4" t="inlineStr">
        <is>
          <t>création site web</t>
        </is>
      </c>
      <c r="F4" t="n">
        <v>4400</v>
      </c>
      <c r="G4" t="n">
        <v>20</v>
      </c>
      <c r="H4" t="n">
        <v>3.88</v>
      </c>
      <c r="I4" t="inlineStr">
        <is>
          <t>Informational</t>
        </is>
      </c>
      <c r="J4" t="inlineStr">
        <is>
          <t>MEASURED</t>
        </is>
      </c>
      <c r="K4" s="5" t="inlineStr">
        <is>
          <t>lafabriquedunet.fr, sortlist.fr, yieldstudio.fr, codyweb.fr (SERP "agence de développement web"); viaprestige-agency.com, esokia.com (offshore)</t>
        </is>
      </c>
      <c r="L4" t="n">
        <v>14</v>
      </c>
      <c r="M4">
        <f>ROUND(IF(IF(I4="NOT AVAILABLE","",I4)="",12,IF(OR(ISNUMBER(SEARCH("Transactional",IF(I4="NOT AVAILABLE","",I4))),ISNUMBER(SEARCH("Commercial",IF(I4="NOT AVAILABLE","",I4)))),25,IF(ISNUMBER(SEARCH("Informational",IF(I4="NOT AVAILABLE","",I4))),10,IF(ISNUMBER(SEARCH("Navigational",IF(I4="NOT AVAILABLE","",I4))),0,12))))+IF(ISNUMBER(F4),MIN(30,ROUND(30*LOG10(F4+1)/4,1)),0)+IF(ISNUMBER(G4),ROUND(25*(100-G4)/100,1),12.5)+L4,0)</f>
        <v/>
      </c>
      <c r="N4" s="5" t="inlineStr">
        <is>
          <t>Opportunity: realistic volume at low KD - target via existing page section</t>
        </is>
      </c>
    </row>
    <row r="5">
      <c r="A5" t="inlineStr">
        <is>
          <t>France</t>
        </is>
      </c>
      <c r="B5" t="inlineStr">
        <is>
          <t>fr</t>
        </is>
      </c>
      <c r="C5" t="inlineStr">
        <is>
          <t>fr</t>
        </is>
      </c>
      <c r="D5" s="3" t="inlineStr">
        <is>
          <t>https://codesommet.com/web-development-company/worldwide</t>
        </is>
      </c>
      <c r="E5" t="inlineStr">
        <is>
          <t>création site internet</t>
        </is>
      </c>
      <c r="F5" t="n">
        <v>8100</v>
      </c>
      <c r="G5" t="n">
        <v>98</v>
      </c>
      <c r="H5" t="n">
        <v>4.96</v>
      </c>
      <c r="I5" t="inlineStr">
        <is>
          <t>Informational</t>
        </is>
      </c>
      <c r="J5" t="inlineStr">
        <is>
          <t>MEASURED</t>
        </is>
      </c>
      <c r="K5" s="5" t="inlineStr">
        <is>
          <t>lafabriquedunet.fr, sortlist.fr, yieldstudio.fr, codyweb.fr (SERP "agence de développement web"); viaprestige-agency.com, esokia.com (offshore)</t>
        </is>
      </c>
      <c r="L5" t="n">
        <v>14</v>
      </c>
      <c r="M5">
        <f>ROUND(IF(IF(I5="NOT AVAILABLE","",I5)="",12,IF(OR(ISNUMBER(SEARCH("Transactional",IF(I5="NOT AVAILABLE","",I5))),ISNUMBER(SEARCH("Commercial",IF(I5="NOT AVAILABLE","",I5)))),25,IF(ISNUMBER(SEARCH("Informational",IF(I5="NOT AVAILABLE","",I5))),10,IF(ISNUMBER(SEARCH("Navigational",IF(I5="NOT AVAILABLE","",I5))),0,12))))+IF(ISNUMBER(F5),MIN(30,ROUND(30*LOG10(F5+1)/4,1)),0)+IF(ISNUMBER(G5),ROUND(25*(100-G5)/100,1),12.5)+L5,0)</f>
        <v/>
      </c>
      <c r="N5" s="5" t="inlineStr">
        <is>
          <t>High difficulty - long-term only, needs authority/links</t>
        </is>
      </c>
    </row>
    <row r="6">
      <c r="A6" t="inlineStr">
        <is>
          <t>France</t>
        </is>
      </c>
      <c r="B6" t="inlineStr">
        <is>
          <t>fr</t>
        </is>
      </c>
      <c r="C6" t="inlineStr">
        <is>
          <t>fr</t>
        </is>
      </c>
      <c r="D6" s="3" t="inlineStr">
        <is>
          <t>https://codesommet.com/web-development-company/worldwide</t>
        </is>
      </c>
      <c r="E6" t="inlineStr">
        <is>
          <t>création site e-commerce</t>
        </is>
      </c>
      <c r="F6" t="n">
        <v>1300</v>
      </c>
      <c r="G6" t="n">
        <v>44</v>
      </c>
      <c r="H6" t="n">
        <v>3.88</v>
      </c>
      <c r="I6" t="inlineStr">
        <is>
          <t>Informational</t>
        </is>
      </c>
      <c r="J6" t="inlineStr">
        <is>
          <t>MEASURED</t>
        </is>
      </c>
      <c r="K6" s="5" t="inlineStr">
        <is>
          <t>lafabriquedunet.fr, sortlist.fr, yieldstudio.fr, codyweb.fr (SERP "agence de développement web"); viaprestige-agency.com, esokia.com (offshore)</t>
        </is>
      </c>
      <c r="L6" t="n">
        <v>14</v>
      </c>
      <c r="M6">
        <f>ROUND(IF(IF(I6="NOT AVAILABLE","",I6)="",12,IF(OR(ISNUMBER(SEARCH("Transactional",IF(I6="NOT AVAILABLE","",I6))),ISNUMBER(SEARCH("Commercial",IF(I6="NOT AVAILABLE","",I6)))),25,IF(ISNUMBER(SEARCH("Informational",IF(I6="NOT AVAILABLE","",I6))),10,IF(ISNUMBER(SEARCH("Navigational",IF(I6="NOT AVAILABLE","",I6))),0,12))))+IF(ISNUMBER(F6),MIN(30,ROUND(30*LOG10(F6+1)/4,1)),0)+IF(ISNUMBER(G6),ROUND(25*(100-G6)/100,1),12.5)+L6,0)</f>
        <v/>
      </c>
      <c r="N6" s="5" t="inlineStr">
        <is>
          <t>Moderate opportunity - test with existing page before creating anything</t>
        </is>
      </c>
    </row>
    <row r="7">
      <c r="A7" t="inlineStr">
        <is>
          <t>France</t>
        </is>
      </c>
      <c r="B7" t="inlineStr">
        <is>
          <t>fr</t>
        </is>
      </c>
      <c r="C7" t="inlineStr">
        <is>
          <t>fr</t>
        </is>
      </c>
      <c r="D7" s="3" t="inlineStr">
        <is>
          <t>https://codesommet.com/web-development-company/worldwide</t>
        </is>
      </c>
      <c r="E7" t="inlineStr">
        <is>
          <t>agence de développement web</t>
        </is>
      </c>
      <c r="F7" t="n">
        <v>1300</v>
      </c>
      <c r="G7" t="n">
        <v>32</v>
      </c>
      <c r="H7" t="n">
        <v>4.62</v>
      </c>
      <c r="I7" t="inlineStr">
        <is>
          <t>Commercial</t>
        </is>
      </c>
      <c r="J7" t="inlineStr">
        <is>
          <t>MEASURED</t>
        </is>
      </c>
      <c r="K7" s="5" t="inlineStr">
        <is>
          <t>lafabriquedunet.fr, sortlist.fr, yieldstudio.fr, codyweb.fr (SERP "agence de développement web"); viaprestige-agency.com, esokia.com (offshore)</t>
        </is>
      </c>
      <c r="L7" t="n">
        <v>14</v>
      </c>
      <c r="M7">
        <f>ROUND(IF(IF(I7="NOT AVAILABLE","",I7)="",12,IF(OR(ISNUMBER(SEARCH("Transactional",IF(I7="NOT AVAILABLE","",I7))),ISNUMBER(SEARCH("Commercial",IF(I7="NOT AVAILABLE","",I7)))),25,IF(ISNUMBER(SEARCH("Informational",IF(I7="NOT AVAILABLE","",I7))),10,IF(ISNUMBER(SEARCH("Navigational",IF(I7="NOT AVAILABLE","",I7))),0,12))))+IF(ISNUMBER(F7),MIN(30,ROUND(30*LOG10(F7+1)/4,1)),0)+IF(ISNUMBER(G7),ROUND(25*(100-G7)/100,1),12.5)+L7,0)</f>
        <v/>
      </c>
      <c r="N7" s="5" t="inlineStr">
        <is>
          <t>Moderate opportunity - test with existing page before creating anything</t>
        </is>
      </c>
    </row>
    <row r="8">
      <c r="A8" t="inlineStr">
        <is>
          <t>France</t>
        </is>
      </c>
      <c r="B8" t="inlineStr">
        <is>
          <t>fr</t>
        </is>
      </c>
      <c r="C8" t="inlineStr">
        <is>
          <t>fr</t>
        </is>
      </c>
      <c r="D8" s="3" t="inlineStr">
        <is>
          <t>https://codesommet.com/web-development-company/worldwide</t>
        </is>
      </c>
      <c r="E8" t="inlineStr">
        <is>
          <t>développement web sur mesure</t>
        </is>
      </c>
      <c r="F8" t="n">
        <v>1600</v>
      </c>
      <c r="G8" t="n">
        <v>10</v>
      </c>
      <c r="H8" t="n">
        <v>6.28</v>
      </c>
      <c r="I8" t="inlineStr">
        <is>
          <t>Informational</t>
        </is>
      </c>
      <c r="J8" t="inlineStr">
        <is>
          <t>MEASURED</t>
        </is>
      </c>
      <c r="K8" s="5" t="inlineStr">
        <is>
          <t>lafabriquedunet.fr, sortlist.fr, yieldstudio.fr, codyweb.fr (SERP "agence de développement web"); viaprestige-agency.com, esokia.com (offshore)</t>
        </is>
      </c>
      <c r="L8" t="n">
        <v>14</v>
      </c>
      <c r="M8">
        <f>ROUND(IF(IF(I8="NOT AVAILABLE","",I8)="",12,IF(OR(ISNUMBER(SEARCH("Transactional",IF(I8="NOT AVAILABLE","",I8))),ISNUMBER(SEARCH("Commercial",IF(I8="NOT AVAILABLE","",I8)))),25,IF(ISNUMBER(SEARCH("Informational",IF(I8="NOT AVAILABLE","",I8))),10,IF(ISNUMBER(SEARCH("Navigational",IF(I8="NOT AVAILABLE","",I8))),0,12))))+IF(ISNUMBER(F8),MIN(30,ROUND(30*LOG10(F8+1)/4,1)),0)+IF(ISNUMBER(G8),ROUND(25*(100-G8)/100,1),12.5)+L8,0)</f>
        <v/>
      </c>
      <c r="N8" s="5" t="inlineStr">
        <is>
          <t>Opportunity: realistic volume at low KD - target via existing page section</t>
        </is>
      </c>
    </row>
    <row r="9">
      <c r="A9" t="inlineStr">
        <is>
          <t>France</t>
        </is>
      </c>
      <c r="B9" t="inlineStr">
        <is>
          <t>fr</t>
        </is>
      </c>
      <c r="C9" t="inlineStr">
        <is>
          <t>fr</t>
        </is>
      </c>
      <c r="D9" s="3" t="inlineStr">
        <is>
          <t>https://codesommet.com/web-development-company/worldwide</t>
        </is>
      </c>
      <c r="E9" t="inlineStr">
        <is>
          <t>développement application web</t>
        </is>
      </c>
      <c r="F9" t="n">
        <v>1000</v>
      </c>
      <c r="G9" t="n">
        <v>16</v>
      </c>
      <c r="H9" t="n">
        <v>10.13</v>
      </c>
      <c r="I9" t="inlineStr">
        <is>
          <t>Informational</t>
        </is>
      </c>
      <c r="J9" t="inlineStr">
        <is>
          <t>MEASURED</t>
        </is>
      </c>
      <c r="K9" s="5" t="inlineStr">
        <is>
          <t>lafabriquedunet.fr, sortlist.fr, yieldstudio.fr, codyweb.fr (SERP "agence de développement web"); viaprestige-agency.com, esokia.com (offshore)</t>
        </is>
      </c>
      <c r="L9" t="n">
        <v>14</v>
      </c>
      <c r="M9">
        <f>ROUND(IF(IF(I9="NOT AVAILABLE","",I9)="",12,IF(OR(ISNUMBER(SEARCH("Transactional",IF(I9="NOT AVAILABLE","",I9))),ISNUMBER(SEARCH("Commercial",IF(I9="NOT AVAILABLE","",I9)))),25,IF(ISNUMBER(SEARCH("Informational",IF(I9="NOT AVAILABLE","",I9))),10,IF(ISNUMBER(SEARCH("Navigational",IF(I9="NOT AVAILABLE","",I9))),0,12))))+IF(ISNUMBER(F9),MIN(30,ROUND(30*LOG10(F9+1)/4,1)),0)+IF(ISNUMBER(G9),ROUND(25*(100-G9)/100,1),12.5)+L9,0)</f>
        <v/>
      </c>
      <c r="N9" s="5" t="inlineStr">
        <is>
          <t>Opportunity: realistic volume at low KD - target via existing page section</t>
        </is>
      </c>
    </row>
    <row r="10">
      <c r="A10" t="inlineStr">
        <is>
          <t>France</t>
        </is>
      </c>
      <c r="B10" t="inlineStr">
        <is>
          <t>fr</t>
        </is>
      </c>
      <c r="C10" t="inlineStr">
        <is>
          <t>fr</t>
        </is>
      </c>
      <c r="D10" s="3" t="inlineStr">
        <is>
          <t>https://codesommet.com/web-development-company/worldwide</t>
        </is>
      </c>
      <c r="E10" t="inlineStr">
        <is>
          <t>agence seo</t>
        </is>
      </c>
      <c r="F10" t="n">
        <v>60500</v>
      </c>
      <c r="G10" t="n">
        <v>61</v>
      </c>
      <c r="H10" t="n">
        <v>9.67</v>
      </c>
      <c r="I10" t="inlineStr">
        <is>
          <t>Commercial</t>
        </is>
      </c>
      <c r="J10" t="inlineStr">
        <is>
          <t>MEASURED</t>
        </is>
      </c>
      <c r="K10" s="5" t="inlineStr">
        <is>
          <t>lafabriquedunet.fr, sortlist.fr, yieldstudio.fr, codyweb.fr (SERP "agence de développement web"); viaprestige-agency.com, esokia.com (offshore)</t>
        </is>
      </c>
      <c r="L10" t="n">
        <v>14</v>
      </c>
      <c r="M10">
        <f>ROUND(IF(IF(I10="NOT AVAILABLE","",I10)="",12,IF(OR(ISNUMBER(SEARCH("Transactional",IF(I10="NOT AVAILABLE","",I10))),ISNUMBER(SEARCH("Commercial",IF(I10="NOT AVAILABLE","",I10)))),25,IF(ISNUMBER(SEARCH("Informational",IF(I10="NOT AVAILABLE","",I10))),10,IF(ISNUMBER(SEARCH("Navigational",IF(I10="NOT AVAILABLE","",I10))),0,12))))+IF(ISNUMBER(F10),MIN(30,ROUND(30*LOG10(F10+1)/4,1)),0)+IF(ISNUMBER(G10),ROUND(25*(100-G10)/100,1),12.5)+L10,0)</f>
        <v/>
      </c>
      <c r="N10" s="5" t="inlineStr">
        <is>
          <t>High difficulty - long-term only, needs authority/links</t>
        </is>
      </c>
    </row>
    <row r="11">
      <c r="A11" t="inlineStr">
        <is>
          <t>France</t>
        </is>
      </c>
      <c r="B11" t="inlineStr">
        <is>
          <t>fr</t>
        </is>
      </c>
      <c r="C11" t="inlineStr">
        <is>
          <t>fr</t>
        </is>
      </c>
      <c r="D11" s="3" t="inlineStr">
        <is>
          <t>https://codesommet.com/web-development-company/worldwide</t>
        </is>
      </c>
      <c r="E11" t="inlineStr">
        <is>
          <t>référencement naturel</t>
        </is>
      </c>
      <c r="F11" t="n">
        <v>5400</v>
      </c>
      <c r="G11" t="n">
        <v>51</v>
      </c>
      <c r="H11" t="n">
        <v>2.74</v>
      </c>
      <c r="I11" t="inlineStr">
        <is>
          <t>Informational</t>
        </is>
      </c>
      <c r="J11" t="inlineStr">
        <is>
          <t>MEASURED</t>
        </is>
      </c>
      <c r="K11" s="5" t="inlineStr">
        <is>
          <t>lafabriquedunet.fr, sortlist.fr, yieldstudio.fr, codyweb.fr (SERP "agence de développement web"); viaprestige-agency.com, esokia.com (offshore)</t>
        </is>
      </c>
      <c r="L11" t="n">
        <v>14</v>
      </c>
      <c r="M11">
        <f>ROUND(IF(IF(I11="NOT AVAILABLE","",I11)="",12,IF(OR(ISNUMBER(SEARCH("Transactional",IF(I11="NOT AVAILABLE","",I11))),ISNUMBER(SEARCH("Commercial",IF(I11="NOT AVAILABLE","",I11)))),25,IF(ISNUMBER(SEARCH("Informational",IF(I11="NOT AVAILABLE","",I11))),10,IF(ISNUMBER(SEARCH("Navigational",IF(I11="NOT AVAILABLE","",I11))),0,12))))+IF(ISNUMBER(F11),MIN(30,ROUND(30*LOG10(F11+1)/4,1)),0)+IF(ISNUMBER(G11),ROUND(25*(100-G11)/100,1),12.5)+L11,0)</f>
        <v/>
      </c>
      <c r="N11" s="5" t="inlineStr">
        <is>
          <t>High difficulty - long-term only, needs authority/links</t>
        </is>
      </c>
    </row>
    <row r="12">
      <c r="A12" t="inlineStr">
        <is>
          <t>France</t>
        </is>
      </c>
      <c r="B12" t="inlineStr">
        <is>
          <t>fr</t>
        </is>
      </c>
      <c r="C12" t="inlineStr">
        <is>
          <t>fr</t>
        </is>
      </c>
      <c r="D12" s="3" t="inlineStr">
        <is>
          <t>https://codesommet.com/web-development-company/worldwide</t>
        </is>
      </c>
      <c r="E12" t="inlineStr">
        <is>
          <t>agence web offshore</t>
        </is>
      </c>
      <c r="F12" t="n">
        <v>480</v>
      </c>
      <c r="G12" t="n">
        <v>19</v>
      </c>
      <c r="H12" t="n">
        <v>0</v>
      </c>
      <c r="I12" t="inlineStr">
        <is>
          <t>Informational</t>
        </is>
      </c>
      <c r="J12" t="inlineStr">
        <is>
          <t>MEASURED</t>
        </is>
      </c>
      <c r="K12" s="5" t="inlineStr">
        <is>
          <t>lafabriquedunet.fr, sortlist.fr, yieldstudio.fr, codyweb.fr (SERP "agence de développement web"); viaprestige-agency.com, esokia.com (offshore)</t>
        </is>
      </c>
      <c r="L12" t="n">
        <v>14</v>
      </c>
      <c r="M12">
        <f>ROUND(IF(IF(I12="NOT AVAILABLE","",I12)="",12,IF(OR(ISNUMBER(SEARCH("Transactional",IF(I12="NOT AVAILABLE","",I12))),ISNUMBER(SEARCH("Commercial",IF(I12="NOT AVAILABLE","",I12)))),25,IF(ISNUMBER(SEARCH("Informational",IF(I12="NOT AVAILABLE","",I12))),10,IF(ISNUMBER(SEARCH("Navigational",IF(I12="NOT AVAILABLE","",I12))),0,12))))+IF(ISNUMBER(F12),MIN(30,ROUND(30*LOG10(F12+1)/4,1)),0)+IF(ISNUMBER(G12),ROUND(25*(100-G12)/100,1),12.5)+L12,0)</f>
        <v/>
      </c>
      <c r="N12" s="5" t="inlineStr">
        <is>
          <t>Opportunity: realistic volume at low KD - target via existing page section</t>
        </is>
      </c>
    </row>
    <row r="13">
      <c r="A13" t="inlineStr">
        <is>
          <t>France</t>
        </is>
      </c>
      <c r="B13" t="inlineStr">
        <is>
          <t>fr</t>
        </is>
      </c>
      <c r="C13" t="inlineStr">
        <is>
          <t>fr</t>
        </is>
      </c>
      <c r="D13" s="3" t="inlineStr">
        <is>
          <t>https://codesommet.com/web-development-company/worldwide</t>
        </is>
      </c>
      <c r="E13" t="inlineStr">
        <is>
          <t>développeur web freelance</t>
        </is>
      </c>
      <c r="F13" t="n">
        <v>1000</v>
      </c>
      <c r="G13" t="n">
        <v>22</v>
      </c>
      <c r="H13" t="n">
        <v>1.53</v>
      </c>
      <c r="I13" t="inlineStr">
        <is>
          <t>Transactional</t>
        </is>
      </c>
      <c r="J13" t="inlineStr">
        <is>
          <t>MEASURED</t>
        </is>
      </c>
      <c r="K13" s="5" t="inlineStr">
        <is>
          <t>lafabriquedunet.fr, sortlist.fr, yieldstudio.fr, codyweb.fr (SERP "agence de développement web"); viaprestige-agency.com, esokia.com (offshore)</t>
        </is>
      </c>
      <c r="L13" t="n">
        <v>14</v>
      </c>
      <c r="M13">
        <f>ROUND(IF(IF(I13="NOT AVAILABLE","",I13)="",12,IF(OR(ISNUMBER(SEARCH("Transactional",IF(I13="NOT AVAILABLE","",I13))),ISNUMBER(SEARCH("Commercial",IF(I13="NOT AVAILABLE","",I13)))),25,IF(ISNUMBER(SEARCH("Informational",IF(I13="NOT AVAILABLE","",I13))),10,IF(ISNUMBER(SEARCH("Navigational",IF(I13="NOT AVAILABLE","",I13))),0,12))))+IF(ISNUMBER(F13),MIN(30,ROUND(30*LOG10(F13+1)/4,1)),0)+IF(ISNUMBER(G13),ROUND(25*(100-G13)/100,1),12.5)+L13,0)</f>
        <v/>
      </c>
      <c r="N13" s="5" t="inlineStr">
        <is>
          <t>Opportunity: realistic volume at low KD - target via existing page section</t>
        </is>
      </c>
    </row>
    <row r="14">
      <c r="A14" t="inlineStr">
        <is>
          <t>France</t>
        </is>
      </c>
      <c r="B14" t="inlineStr">
        <is>
          <t>fr</t>
        </is>
      </c>
      <c r="C14" t="inlineStr">
        <is>
          <t>fr</t>
        </is>
      </c>
      <c r="D14" s="3" t="inlineStr">
        <is>
          <t>https://codesommet.com/web-development-company/worldwide</t>
        </is>
      </c>
      <c r="E14" t="inlineStr">
        <is>
          <t>prix site web</t>
        </is>
      </c>
      <c r="F14" t="n">
        <v>320</v>
      </c>
      <c r="G14" t="n">
        <v>26</v>
      </c>
      <c r="H14" t="n">
        <v>1.43</v>
      </c>
      <c r="I14" t="inlineStr">
        <is>
          <t>Informational</t>
        </is>
      </c>
      <c r="J14" t="inlineStr">
        <is>
          <t>MEASURED</t>
        </is>
      </c>
      <c r="K14" s="5" t="inlineStr">
        <is>
          <t>lafabriquedunet.fr, sortlist.fr, yieldstudio.fr, codyweb.fr (SERP "agence de développement web"); viaprestige-agency.com, esokia.com (offshore)</t>
        </is>
      </c>
      <c r="L14" t="n">
        <v>14</v>
      </c>
      <c r="M14">
        <f>ROUND(IF(IF(I14="NOT AVAILABLE","",I14)="",12,IF(OR(ISNUMBER(SEARCH("Transactional",IF(I14="NOT AVAILABLE","",I14))),ISNUMBER(SEARCH("Commercial",IF(I14="NOT AVAILABLE","",I14)))),25,IF(ISNUMBER(SEARCH("Informational",IF(I14="NOT AVAILABLE","",I14))),10,IF(ISNUMBER(SEARCH("Navigational",IF(I14="NOT AVAILABLE","",I14))),0,12))))+IF(ISNUMBER(F14),MIN(30,ROUND(30*LOG10(F14+1)/4,1)),0)+IF(ISNUMBER(G14),ROUND(25*(100-G14)/100,1),12.5)+L14,0)</f>
        <v/>
      </c>
      <c r="N14" s="5" t="inlineStr">
        <is>
          <t>Moderate opportunity - test with existing page before creating anything</t>
        </is>
      </c>
    </row>
    <row r="15">
      <c r="A15" t="inlineStr">
        <is>
          <t>France</t>
        </is>
      </c>
      <c r="B15" t="inlineStr">
        <is>
          <t>fr</t>
        </is>
      </c>
      <c r="C15" t="inlineStr">
        <is>
          <t>fr</t>
        </is>
      </c>
      <c r="D15" s="3" t="inlineStr">
        <is>
          <t>https://codesommet.com/web-development-company/worldwide</t>
        </is>
      </c>
      <c r="E15" t="inlineStr">
        <is>
          <t>prix création site internet</t>
        </is>
      </c>
      <c r="F15" t="n">
        <v>320</v>
      </c>
      <c r="G15" t="n">
        <v>35</v>
      </c>
      <c r="H15" t="n">
        <v>2.03</v>
      </c>
      <c r="I15" t="inlineStr">
        <is>
          <t>Transactional</t>
        </is>
      </c>
      <c r="J15" t="inlineStr">
        <is>
          <t>MEASURED</t>
        </is>
      </c>
      <c r="K15" s="5" t="inlineStr">
        <is>
          <t>lafabriquedunet.fr, sortlist.fr, yieldstudio.fr, codyweb.fr (SERP "agence de développement web"); viaprestige-agency.com, esokia.com (offshore)</t>
        </is>
      </c>
      <c r="L15" t="n">
        <v>14</v>
      </c>
      <c r="M15">
        <f>ROUND(IF(IF(I15="NOT AVAILABLE","",I15)="",12,IF(OR(ISNUMBER(SEARCH("Transactional",IF(I15="NOT AVAILABLE","",I15))),ISNUMBER(SEARCH("Commercial",IF(I15="NOT AVAILABLE","",I15)))),25,IF(ISNUMBER(SEARCH("Informational",IF(I15="NOT AVAILABLE","",I15))),10,IF(ISNUMBER(SEARCH("Navigational",IF(I15="NOT AVAILABLE","",I15))),0,12))))+IF(ISNUMBER(F15),MIN(30,ROUND(30*LOG10(F15+1)/4,1)),0)+IF(ISNUMBER(G15),ROUND(25*(100-G15)/100,1),12.5)+L15,0)</f>
        <v/>
      </c>
      <c r="N15" s="5" t="inlineStr">
        <is>
          <t>Moderate opportunity - test with existing page before creating anything</t>
        </is>
      </c>
    </row>
    <row r="16">
      <c r="A16" t="inlineStr">
        <is>
          <t>France</t>
        </is>
      </c>
      <c r="B16" t="inlineStr">
        <is>
          <t>fr</t>
        </is>
      </c>
      <c r="C16" t="inlineStr">
        <is>
          <t>fr</t>
        </is>
      </c>
      <c r="D16" s="3" t="inlineStr">
        <is>
          <t>https://codesommet.com/web-development-company/worldwide</t>
        </is>
      </c>
      <c r="E16" t="inlineStr">
        <is>
          <t>création site vitrine</t>
        </is>
      </c>
      <c r="F16" t="n">
        <v>1900</v>
      </c>
      <c r="G16" t="n">
        <v>23</v>
      </c>
      <c r="H16" t="n">
        <v>3.89</v>
      </c>
      <c r="I16" t="inlineStr">
        <is>
          <t>Informational</t>
        </is>
      </c>
      <c r="J16" t="inlineStr">
        <is>
          <t>MEASURED</t>
        </is>
      </c>
      <c r="K16" s="5" t="inlineStr">
        <is>
          <t>lafabriquedunet.fr, sortlist.fr, yieldstudio.fr, codyweb.fr (SERP "agence de développement web"); viaprestige-agency.com, esokia.com (offshore)</t>
        </is>
      </c>
      <c r="L16" t="n">
        <v>14</v>
      </c>
      <c r="M16">
        <f>ROUND(IF(IF(I16="NOT AVAILABLE","",I16)="",12,IF(OR(ISNUMBER(SEARCH("Transactional",IF(I16="NOT AVAILABLE","",I16))),ISNUMBER(SEARCH("Commercial",IF(I16="NOT AVAILABLE","",I16)))),25,IF(ISNUMBER(SEARCH("Informational",IF(I16="NOT AVAILABLE","",I16))),10,IF(ISNUMBER(SEARCH("Navigational",IF(I16="NOT AVAILABLE","",I16))),0,12))))+IF(ISNUMBER(F16),MIN(30,ROUND(30*LOG10(F16+1)/4,1)),0)+IF(ISNUMBER(G16),ROUND(25*(100-G16)/100,1),12.5)+L16,0)</f>
        <v/>
      </c>
      <c r="N16" s="5" t="inlineStr">
        <is>
          <t>Opportunity: realistic volume at low KD - target via existing page section</t>
        </is>
      </c>
    </row>
    <row r="17">
      <c r="A17" t="inlineStr">
        <is>
          <t>France</t>
        </is>
      </c>
      <c r="B17" t="inlineStr">
        <is>
          <t>fr</t>
        </is>
      </c>
      <c r="C17" t="inlineStr">
        <is>
          <t>fr</t>
        </is>
      </c>
      <c r="D17" s="3" t="inlineStr">
        <is>
          <t>https://codesommet.com/web-development-company/worldwide</t>
        </is>
      </c>
      <c r="E17" t="inlineStr">
        <is>
          <t>refonte site web</t>
        </is>
      </c>
      <c r="F17" t="n">
        <v>1900</v>
      </c>
      <c r="G17" t="n">
        <v>24</v>
      </c>
      <c r="H17" t="n">
        <v>4.34</v>
      </c>
      <c r="I17" t="inlineStr">
        <is>
          <t>Informational</t>
        </is>
      </c>
      <c r="J17" t="inlineStr">
        <is>
          <t>MEASURED</t>
        </is>
      </c>
      <c r="K17" s="5" t="inlineStr">
        <is>
          <t>lafabriquedunet.fr, sortlist.fr, yieldstudio.fr, codyweb.fr (SERP "agence de développement web"); viaprestige-agency.com, esokia.com (offshore)</t>
        </is>
      </c>
      <c r="L17" t="n">
        <v>14</v>
      </c>
      <c r="M17">
        <f>ROUND(IF(IF(I17="NOT AVAILABLE","",I17)="",12,IF(OR(ISNUMBER(SEARCH("Transactional",IF(I17="NOT AVAILABLE","",I17))),ISNUMBER(SEARCH("Commercial",IF(I17="NOT AVAILABLE","",I17)))),25,IF(ISNUMBER(SEARCH("Informational",IF(I17="NOT AVAILABLE","",I17))),10,IF(ISNUMBER(SEARCH("Navigational",IF(I17="NOT AVAILABLE","",I17))),0,12))))+IF(ISNUMBER(F17),MIN(30,ROUND(30*LOG10(F17+1)/4,1)),0)+IF(ISNUMBER(G17),ROUND(25*(100-G17)/100,1),12.5)+L17,0)</f>
        <v/>
      </c>
      <c r="N17" s="5" t="inlineStr">
        <is>
          <t>Opportunity: realistic volume at low KD - target via existing page section</t>
        </is>
      </c>
    </row>
    <row r="18">
      <c r="A18" t="inlineStr">
        <is>
          <t>France</t>
        </is>
      </c>
      <c r="B18" t="inlineStr">
        <is>
          <t>fr</t>
        </is>
      </c>
      <c r="C18" t="inlineStr">
        <is>
          <t>fr</t>
        </is>
      </c>
      <c r="D18" s="3" t="inlineStr">
        <is>
          <t>https://codesommet.com/web-development-company/worldwide</t>
        </is>
      </c>
      <c r="E18" t="inlineStr">
        <is>
          <t>agence digitale</t>
        </is>
      </c>
      <c r="F18" t="n">
        <v>8100</v>
      </c>
      <c r="G18" t="n">
        <v>29</v>
      </c>
      <c r="H18" t="n">
        <v>3.47</v>
      </c>
      <c r="I18" t="inlineStr">
        <is>
          <t>Commercial</t>
        </is>
      </c>
      <c r="J18" t="inlineStr">
        <is>
          <t>MEASURED</t>
        </is>
      </c>
      <c r="K18" s="5" t="inlineStr">
        <is>
          <t>lafabriquedunet.fr, sortlist.fr, yieldstudio.fr, codyweb.fr (SERP "agence de développement web"); viaprestige-agency.com, esokia.com (offshore)</t>
        </is>
      </c>
      <c r="L18" t="n">
        <v>14</v>
      </c>
      <c r="M18">
        <f>ROUND(IF(IF(I18="NOT AVAILABLE","",I18)="",12,IF(OR(ISNUMBER(SEARCH("Transactional",IF(I18="NOT AVAILABLE","",I18))),ISNUMBER(SEARCH("Commercial",IF(I18="NOT AVAILABLE","",I18)))),25,IF(ISNUMBER(SEARCH("Informational",IF(I18="NOT AVAILABLE","",I18))),10,IF(ISNUMBER(SEARCH("Navigational",IF(I18="NOT AVAILABLE","",I18))),0,12))))+IF(ISNUMBER(F18),MIN(30,ROUND(30*LOG10(F18+1)/4,1)),0)+IF(ISNUMBER(G18),ROUND(25*(100-G18)/100,1),12.5)+L18,0)</f>
        <v/>
      </c>
      <c r="N18" s="5" t="inlineStr">
        <is>
          <t>Moderate opportunity - test with existing page before creating anything</t>
        </is>
      </c>
    </row>
    <row r="19">
      <c r="A19" t="inlineStr">
        <is>
          <t>France</t>
        </is>
      </c>
      <c r="B19" t="inlineStr">
        <is>
          <t>fr</t>
        </is>
      </c>
      <c r="C19" t="inlineStr">
        <is>
          <t>fr</t>
        </is>
      </c>
      <c r="D19" s="3" t="inlineStr">
        <is>
          <t>https://codesommet.com/web-development-company/worldwide</t>
        </is>
      </c>
      <c r="E19" t="inlineStr">
        <is>
          <t>développement saas</t>
        </is>
      </c>
      <c r="F19" t="n">
        <v>170</v>
      </c>
      <c r="G19" t="n">
        <v>11</v>
      </c>
      <c r="H19" t="n">
        <v>6.46</v>
      </c>
      <c r="I19" t="inlineStr">
        <is>
          <t>Informational</t>
        </is>
      </c>
      <c r="J19" t="inlineStr">
        <is>
          <t>MEASURED</t>
        </is>
      </c>
      <c r="K19" s="5" t="inlineStr">
        <is>
          <t>lafabriquedunet.fr, sortlist.fr, yieldstudio.fr, codyweb.fr (SERP "agence de développement web"); viaprestige-agency.com, esokia.com (offshore)</t>
        </is>
      </c>
      <c r="L19" t="n">
        <v>14</v>
      </c>
      <c r="M19">
        <f>ROUND(IF(IF(I19="NOT AVAILABLE","",I19)="",12,IF(OR(ISNUMBER(SEARCH("Transactional",IF(I19="NOT AVAILABLE","",I19))),ISNUMBER(SEARCH("Commercial",IF(I19="NOT AVAILABLE","",I19)))),25,IF(ISNUMBER(SEARCH("Informational",IF(I19="NOT AVAILABLE","",I19))),10,IF(ISNUMBER(SEARCH("Navigational",IF(I19="NOT AVAILABLE","",I19))),0,12))))+IF(ISNUMBER(F19),MIN(30,ROUND(30*LOG10(F19+1)/4,1)),0)+IF(ISNUMBER(G19),ROUND(25*(100-G19)/100,1),12.5)+L19,0)</f>
        <v/>
      </c>
      <c r="N19" s="5" t="inlineStr">
        <is>
          <t>Opportunity: realistic volume at low KD - target via existing page section</t>
        </is>
      </c>
    </row>
    <row r="20">
      <c r="A20" t="inlineStr">
        <is>
          <t>France</t>
        </is>
      </c>
      <c r="B20" t="inlineStr">
        <is>
          <t>fr</t>
        </is>
      </c>
      <c r="C20" t="inlineStr">
        <is>
          <t>fr</t>
        </is>
      </c>
      <c r="D20" s="3" t="inlineStr">
        <is>
          <t>https://codesommet.com/web-development-company/worldwide</t>
        </is>
      </c>
      <c r="E20" t="inlineStr">
        <is>
          <t>création application web</t>
        </is>
      </c>
      <c r="F20" t="n">
        <v>170</v>
      </c>
      <c r="G20" t="n">
        <v>18</v>
      </c>
      <c r="H20" t="n">
        <v>7.39</v>
      </c>
      <c r="I20" t="inlineStr">
        <is>
          <t>Informational</t>
        </is>
      </c>
      <c r="J20" t="inlineStr">
        <is>
          <t>MEASURED</t>
        </is>
      </c>
      <c r="K20" s="5" t="inlineStr">
        <is>
          <t>lafabriquedunet.fr, sortlist.fr, yieldstudio.fr, codyweb.fr (SERP "agence de développement web"); viaprestige-agency.com, esokia.com (offshore)</t>
        </is>
      </c>
      <c r="L20" t="n">
        <v>14</v>
      </c>
      <c r="M20">
        <f>ROUND(IF(IF(I20="NOT AVAILABLE","",I20)="",12,IF(OR(ISNUMBER(SEARCH("Transactional",IF(I20="NOT AVAILABLE","",I20))),ISNUMBER(SEARCH("Commercial",IF(I20="NOT AVAILABLE","",I20)))),25,IF(ISNUMBER(SEARCH("Informational",IF(I20="NOT AVAILABLE","",I20))),10,IF(ISNUMBER(SEARCH("Navigational",IF(I20="NOT AVAILABLE","",I20))),0,12))))+IF(ISNUMBER(F20),MIN(30,ROUND(30*LOG10(F20+1)/4,1)),0)+IF(ISNUMBER(G20),ROUND(25*(100-G20)/100,1),12.5)+L20,0)</f>
        <v/>
      </c>
      <c r="N20" s="5" t="inlineStr">
        <is>
          <t>Opportunity: realistic volume at low KD - target via existing page section</t>
        </is>
      </c>
    </row>
    <row r="21">
      <c r="A21" t="inlineStr">
        <is>
          <t>France</t>
        </is>
      </c>
      <c r="B21" t="inlineStr">
        <is>
          <t>fr</t>
        </is>
      </c>
      <c r="C21" t="inlineStr">
        <is>
          <t>fr</t>
        </is>
      </c>
      <c r="D21" s="3" t="inlineStr">
        <is>
          <t>https://codesommet.com/web-development-company/worldwide</t>
        </is>
      </c>
      <c r="E21" t="inlineStr">
        <is>
          <t>agence web maroc</t>
        </is>
      </c>
      <c r="F21" t="n">
        <v>110</v>
      </c>
      <c r="G21" t="n">
        <v>59</v>
      </c>
      <c r="H21" t="n">
        <v>2.35</v>
      </c>
      <c r="I21" t="inlineStr">
        <is>
          <t>Commercial</t>
        </is>
      </c>
      <c r="J21" t="inlineStr">
        <is>
          <t>MEASURED</t>
        </is>
      </c>
      <c r="K21" s="5" t="inlineStr">
        <is>
          <t>lafabriquedunet.fr, sortlist.fr, yieldstudio.fr, codyweb.fr (SERP "agence de développement web"); viaprestige-agency.com, esokia.com (offshore)</t>
        </is>
      </c>
      <c r="L21" t="n">
        <v>14</v>
      </c>
      <c r="M21">
        <f>ROUND(IF(IF(I21="NOT AVAILABLE","",I21)="",12,IF(OR(ISNUMBER(SEARCH("Transactional",IF(I21="NOT AVAILABLE","",I21))),ISNUMBER(SEARCH("Commercial",IF(I21="NOT AVAILABLE","",I21)))),25,IF(ISNUMBER(SEARCH("Informational",IF(I21="NOT AVAILABLE","",I21))),10,IF(ISNUMBER(SEARCH("Navigational",IF(I21="NOT AVAILABLE","",I21))),0,12))))+IF(ISNUMBER(F21),MIN(30,ROUND(30*LOG10(F21+1)/4,1)),0)+IF(ISNUMBER(G21),ROUND(25*(100-G21)/100,1),12.5)+L21,0)</f>
        <v/>
      </c>
      <c r="N21" s="5" t="inlineStr">
        <is>
          <t>High difficulty - long-term only, needs authority/links</t>
        </is>
      </c>
    </row>
    <row r="22">
      <c r="A22" t="inlineStr">
        <is>
          <t>France</t>
        </is>
      </c>
      <c r="B22" t="inlineStr">
        <is>
          <t>fr</t>
        </is>
      </c>
      <c r="C22" t="inlineStr">
        <is>
          <t>fr</t>
        </is>
      </c>
      <c r="D22" s="3" t="inlineStr">
        <is>
          <t>https://codesommet.com/web-development-company/worldwide</t>
        </is>
      </c>
      <c r="E22" t="inlineStr">
        <is>
          <t>création boutique en ligne</t>
        </is>
      </c>
      <c r="F22" t="n">
        <v>1000</v>
      </c>
      <c r="G22" t="n">
        <v>51</v>
      </c>
      <c r="H22" t="n">
        <v>3.7</v>
      </c>
      <c r="I22" t="inlineStr">
        <is>
          <t>Informational</t>
        </is>
      </c>
      <c r="J22" t="inlineStr">
        <is>
          <t>MEASURED</t>
        </is>
      </c>
      <c r="K22" s="5" t="inlineStr">
        <is>
          <t>lafabriquedunet.fr, sortlist.fr, yieldstudio.fr, codyweb.fr (SERP "agence de développement web"); viaprestige-agency.com, esokia.com (offshore)</t>
        </is>
      </c>
      <c r="L22" t="n">
        <v>14</v>
      </c>
      <c r="M22">
        <f>ROUND(IF(IF(I22="NOT AVAILABLE","",I22)="",12,IF(OR(ISNUMBER(SEARCH("Transactional",IF(I22="NOT AVAILABLE","",I22))),ISNUMBER(SEARCH("Commercial",IF(I22="NOT AVAILABLE","",I22)))),25,IF(ISNUMBER(SEARCH("Informational",IF(I22="NOT AVAILABLE","",I22))),10,IF(ISNUMBER(SEARCH("Navigational",IF(I22="NOT AVAILABLE","",I22))),0,12))))+IF(ISNUMBER(F22),MIN(30,ROUND(30*LOG10(F22+1)/4,1)),0)+IF(ISNUMBER(G22),ROUND(25*(100-G22)/100,1),12.5)+L22,0)</f>
        <v/>
      </c>
      <c r="N22" s="5" t="inlineStr">
        <is>
          <t>High difficulty - long-term only, needs authority/links</t>
        </is>
      </c>
    </row>
    <row r="23">
      <c r="A23" t="inlineStr">
        <is>
          <t>France</t>
        </is>
      </c>
      <c r="B23" t="inlineStr">
        <is>
          <t>fr</t>
        </is>
      </c>
      <c r="C23" t="inlineStr">
        <is>
          <t>fr</t>
        </is>
      </c>
      <c r="D23" s="3" t="inlineStr">
        <is>
          <t>https://codesommet.com/web-development-company/worldwide</t>
        </is>
      </c>
      <c r="E23" t="inlineStr">
        <is>
          <t>sous-traitance développement web</t>
        </is>
      </c>
      <c r="F23" t="n">
        <v>40</v>
      </c>
      <c r="G23" t="inlineStr">
        <is>
          <t>NOT AVAILABLE</t>
        </is>
      </c>
      <c r="H23" t="n">
        <v>0</v>
      </c>
      <c r="I23" t="inlineStr">
        <is>
          <t>NOT AVAILABLE</t>
        </is>
      </c>
      <c r="J23" t="inlineStr">
        <is>
          <t>MEASURED</t>
        </is>
      </c>
      <c r="K23" s="5" t="inlineStr">
        <is>
          <t>lafabriquedunet.fr, sortlist.fr, yieldstudio.fr, codyweb.fr (SERP "agence de développement web"); viaprestige-agency.com, esokia.com (offshore)</t>
        </is>
      </c>
      <c r="L23" t="n">
        <v>14</v>
      </c>
      <c r="M23">
        <f>ROUND(IF(IF(I23="NOT AVAILABLE","",I23)="",12,IF(OR(ISNUMBER(SEARCH("Transactional",IF(I23="NOT AVAILABLE","",I23))),ISNUMBER(SEARCH("Commercial",IF(I23="NOT AVAILABLE","",I23)))),25,IF(ISNUMBER(SEARCH("Informational",IF(I23="NOT AVAILABLE","",I23))),10,IF(ISNUMBER(SEARCH("Navigational",IF(I23="NOT AVAILABLE","",I23))),0,12))))+IF(ISNUMBER(F23),MIN(30,ROUND(30*LOG10(F23+1)/4,1)),0)+IF(ISNUMBER(G23),ROUND(25*(100-G23)/100,1),12.5)+L23,0)</f>
        <v/>
      </c>
      <c r="N23" s="5" t="inlineStr">
        <is>
          <t>Low volume - supporting only</t>
        </is>
      </c>
    </row>
    <row r="24">
      <c r="A24" t="inlineStr">
        <is>
          <t>France</t>
        </is>
      </c>
      <c r="B24" t="inlineStr">
        <is>
          <t>fr</t>
        </is>
      </c>
      <c r="C24" t="inlineStr">
        <is>
          <t>fr</t>
        </is>
      </c>
      <c r="D24" s="3" t="inlineStr">
        <is>
          <t>https://codesommet.com/web-development-company/worldwide</t>
        </is>
      </c>
      <c r="E24" t="inlineStr">
        <is>
          <t>externalisation développement web</t>
        </is>
      </c>
      <c r="F24" t="n">
        <v>20</v>
      </c>
      <c r="G24" t="inlineStr">
        <is>
          <t>NOT AVAILABLE</t>
        </is>
      </c>
      <c r="H24" t="n">
        <v>0</v>
      </c>
      <c r="I24" t="inlineStr">
        <is>
          <t>NOT AVAILABLE</t>
        </is>
      </c>
      <c r="J24" t="inlineStr">
        <is>
          <t>MEASURED</t>
        </is>
      </c>
      <c r="K24" s="5" t="inlineStr">
        <is>
          <t>lafabriquedunet.fr, sortlist.fr, yieldstudio.fr, codyweb.fr (SERP "agence de développement web"); viaprestige-agency.com, esokia.com (offshore)</t>
        </is>
      </c>
      <c r="L24" t="n">
        <v>14</v>
      </c>
      <c r="M24">
        <f>ROUND(IF(IF(I24="NOT AVAILABLE","",I24)="",12,IF(OR(ISNUMBER(SEARCH("Transactional",IF(I24="NOT AVAILABLE","",I24))),ISNUMBER(SEARCH("Commercial",IF(I24="NOT AVAILABLE","",I24)))),25,IF(ISNUMBER(SEARCH("Informational",IF(I24="NOT AVAILABLE","",I24))),10,IF(ISNUMBER(SEARCH("Navigational",IF(I24="NOT AVAILABLE","",I24))),0,12))))+IF(ISNUMBER(F24),MIN(30,ROUND(30*LOG10(F24+1)/4,1)),0)+IF(ISNUMBER(G24),ROUND(25*(100-G24)/100,1),12.5)+L24,0)</f>
        <v/>
      </c>
      <c r="N24" s="5" t="inlineStr">
        <is>
          <t>Low volume - supporting only</t>
        </is>
      </c>
    </row>
    <row r="25">
      <c r="A25" t="inlineStr">
        <is>
          <t>France</t>
        </is>
      </c>
      <c r="B25" t="inlineStr">
        <is>
          <t>fr</t>
        </is>
      </c>
      <c r="C25" t="inlineStr">
        <is>
          <t>fr</t>
        </is>
      </c>
      <c r="D25" s="3" t="inlineStr">
        <is>
          <t>https://codesommet.com/web-development-company/worldwide</t>
        </is>
      </c>
      <c r="E25" t="inlineStr">
        <is>
          <t>développement web offshore</t>
        </is>
      </c>
      <c r="F25" t="n">
        <v>210</v>
      </c>
      <c r="G25" t="n">
        <v>12</v>
      </c>
      <c r="H25" t="n">
        <v>0</v>
      </c>
      <c r="I25" t="inlineStr">
        <is>
          <t>Informational</t>
        </is>
      </c>
      <c r="J25" t="inlineStr">
        <is>
          <t>MEASURED</t>
        </is>
      </c>
      <c r="K25" s="5" t="inlineStr">
        <is>
          <t>lafabriquedunet.fr, sortlist.fr, yieldstudio.fr, codyweb.fr (SERP "agence de développement web"); viaprestige-agency.com, esokia.com (offshore)</t>
        </is>
      </c>
      <c r="L25" t="n">
        <v>14</v>
      </c>
      <c r="M25">
        <f>ROUND(IF(IF(I25="NOT AVAILABLE","",I25)="",12,IF(OR(ISNUMBER(SEARCH("Transactional",IF(I25="NOT AVAILABLE","",I25))),ISNUMBER(SEARCH("Commercial",IF(I25="NOT AVAILABLE","",I25)))),25,IF(ISNUMBER(SEARCH("Informational",IF(I25="NOT AVAILABLE","",I25))),10,IF(ISNUMBER(SEARCH("Navigational",IF(I25="NOT AVAILABLE","",I25))),0,12))))+IF(ISNUMBER(F25),MIN(30,ROUND(30*LOG10(F25+1)/4,1)),0)+IF(ISNUMBER(G25),ROUND(25*(100-G25)/100,1),12.5)+L25,0)</f>
        <v/>
      </c>
      <c r="N25" s="5" t="inlineStr">
        <is>
          <t>Opportunity: realistic volume at low KD - target via existing page section</t>
        </is>
      </c>
    </row>
    <row r="26">
      <c r="A26" t="inlineStr">
        <is>
          <t>France</t>
        </is>
      </c>
      <c r="B26" t="inlineStr">
        <is>
          <t>fr</t>
        </is>
      </c>
      <c r="C26" t="inlineStr">
        <is>
          <t>fr</t>
        </is>
      </c>
      <c r="D26" s="3" t="inlineStr">
        <is>
          <t>https://codesommet.com/web-development-company/worldwide</t>
        </is>
      </c>
      <c r="E26" t="inlineStr">
        <is>
          <t>agence web nearshore</t>
        </is>
      </c>
      <c r="F26" t="inlineStr">
        <is>
          <t>NOT AVAILABLE</t>
        </is>
      </c>
      <c r="G26" t="inlineStr">
        <is>
          <t>NOT AVAILABLE</t>
        </is>
      </c>
      <c r="H26" t="inlineStr">
        <is>
          <t>NOT AVAILABLE</t>
        </is>
      </c>
      <c r="I26" t="inlineStr">
        <is>
          <t>NOT AVAILABLE</t>
        </is>
      </c>
      <c r="J26" t="inlineStr">
        <is>
          <t>UNAVAILABLE</t>
        </is>
      </c>
      <c r="K26" s="5" t="inlineStr">
        <is>
          <t>lafabriquedunet.fr, sortlist.fr, yieldstudio.fr, codyweb.fr (SERP "agence de développement web"); viaprestige-agency.com, esokia.com (offshore)</t>
        </is>
      </c>
      <c r="L26" t="n">
        <v>14</v>
      </c>
      <c r="M26">
        <f>ROUND(IF(IF(I26="NOT AVAILABLE","",I26)="",12,IF(OR(ISNUMBER(SEARCH("Transactional",IF(I26="NOT AVAILABLE","",I26))),ISNUMBER(SEARCH("Commercial",IF(I26="NOT AVAILABLE","",I26)))),25,IF(ISNUMBER(SEARCH("Informational",IF(I26="NOT AVAILABLE","",I26))),10,IF(ISNUMBER(SEARCH("Navigational",IF(I26="NOT AVAILABLE","",I26))),0,12))))+IF(ISNUMBER(F26),MIN(30,ROUND(30*LOG10(F26+1)/4,1)),0)+IF(ISNUMBER(G26),ROUND(25*(100-G26)/100,1),12.5)+L26,0)</f>
        <v/>
      </c>
      <c r="N26" s="5" t="inlineStr">
        <is>
          <t>No data in this database - do not prioritise</t>
        </is>
      </c>
    </row>
    <row r="27">
      <c r="A27" t="inlineStr">
        <is>
          <t>France</t>
        </is>
      </c>
      <c r="B27" t="inlineStr">
        <is>
          <t>fr</t>
        </is>
      </c>
      <c r="C27" t="inlineStr">
        <is>
          <t>fr</t>
        </is>
      </c>
      <c r="D27" s="3" t="inlineStr">
        <is>
          <t>https://codesommet.com/web-development-company/worldwide</t>
        </is>
      </c>
      <c r="E27" t="inlineStr">
        <is>
          <t>développeur maroc</t>
        </is>
      </c>
      <c r="F27" t="n">
        <v>10</v>
      </c>
      <c r="G27" t="inlineStr">
        <is>
          <t>NOT AVAILABLE</t>
        </is>
      </c>
      <c r="H27" t="n">
        <v>2.14</v>
      </c>
      <c r="I27" t="inlineStr">
        <is>
          <t>NOT AVAILABLE</t>
        </is>
      </c>
      <c r="J27" t="inlineStr">
        <is>
          <t>MEASURED</t>
        </is>
      </c>
      <c r="K27" s="5" t="inlineStr">
        <is>
          <t>lafabriquedunet.fr, sortlist.fr, yieldstudio.fr, codyweb.fr (SERP "agence de développement web"); viaprestige-agency.com, esokia.com (offshore)</t>
        </is>
      </c>
      <c r="L27" t="n">
        <v>14</v>
      </c>
      <c r="M27">
        <f>ROUND(IF(IF(I27="NOT AVAILABLE","",I27)="",12,IF(OR(ISNUMBER(SEARCH("Transactional",IF(I27="NOT AVAILABLE","",I27))),ISNUMBER(SEARCH("Commercial",IF(I27="NOT AVAILABLE","",I27)))),25,IF(ISNUMBER(SEARCH("Informational",IF(I27="NOT AVAILABLE","",I27))),10,IF(ISNUMBER(SEARCH("Navigational",IF(I27="NOT AVAILABLE","",I27))),0,12))))+IF(ISNUMBER(F27),MIN(30,ROUND(30*LOG10(F27+1)/4,1)),0)+IF(ISNUMBER(G27),ROUND(25*(100-G27)/100,1),12.5)+L27,0)</f>
        <v/>
      </c>
      <c r="N27" s="5" t="inlineStr">
        <is>
          <t>Low volume - supporting only</t>
        </is>
      </c>
    </row>
    <row r="28">
      <c r="A28" t="inlineStr">
        <is>
          <t>France</t>
        </is>
      </c>
      <c r="B28" t="inlineStr">
        <is>
          <t>fr</t>
        </is>
      </c>
      <c r="C28" t="inlineStr">
        <is>
          <t>fr</t>
        </is>
      </c>
      <c r="D28" s="3" t="inlineStr">
        <is>
          <t>https://codesommet.com/web-development-company/worldwide</t>
        </is>
      </c>
      <c r="E28" t="inlineStr">
        <is>
          <t>développement logiciel sur mesure</t>
        </is>
      </c>
      <c r="F28" t="n">
        <v>1300</v>
      </c>
      <c r="G28" t="n">
        <v>23</v>
      </c>
      <c r="H28" t="n">
        <v>7.38</v>
      </c>
      <c r="I28" t="inlineStr">
        <is>
          <t>Informational</t>
        </is>
      </c>
      <c r="J28" t="inlineStr">
        <is>
          <t>MEASURED</t>
        </is>
      </c>
      <c r="K28" s="5" t="inlineStr">
        <is>
          <t>lafabriquedunet.fr, sortlist.fr, yieldstudio.fr, codyweb.fr (SERP "agence de développement web"); viaprestige-agency.com, esokia.com (offshore)</t>
        </is>
      </c>
      <c r="L28" t="n">
        <v>14</v>
      </c>
      <c r="M28">
        <f>ROUND(IF(IF(I28="NOT AVAILABLE","",I28)="",12,IF(OR(ISNUMBER(SEARCH("Transactional",IF(I28="NOT AVAILABLE","",I28))),ISNUMBER(SEARCH("Commercial",IF(I28="NOT AVAILABLE","",I28)))),25,IF(ISNUMBER(SEARCH("Informational",IF(I28="NOT AVAILABLE","",I28))),10,IF(ISNUMBER(SEARCH("Navigational",IF(I28="NOT AVAILABLE","",I28))),0,12))))+IF(ISNUMBER(F28),MIN(30,ROUND(30*LOG10(F28+1)/4,1)),0)+IF(ISNUMBER(G28),ROUND(25*(100-G28)/100,1),12.5)+L28,0)</f>
        <v/>
      </c>
      <c r="N28" s="5" t="inlineStr">
        <is>
          <t>Opportunity: realistic volume at low KD - target via existing page section</t>
        </is>
      </c>
    </row>
    <row r="29">
      <c r="A29" t="inlineStr">
        <is>
          <t>France</t>
        </is>
      </c>
      <c r="B29" t="inlineStr">
        <is>
          <t>fr</t>
        </is>
      </c>
      <c r="C29" t="inlineStr">
        <is>
          <t>fr</t>
        </is>
      </c>
      <c r="D29" s="3" t="inlineStr">
        <is>
          <t>https://codesommet.com/web-development-company/worldwide</t>
        </is>
      </c>
      <c r="E29" t="inlineStr">
        <is>
          <t>conception site web</t>
        </is>
      </c>
      <c r="F29" t="n">
        <v>720</v>
      </c>
      <c r="G29" t="n">
        <v>58</v>
      </c>
      <c r="H29" t="n">
        <v>3.23</v>
      </c>
      <c r="I29" t="inlineStr">
        <is>
          <t>Commercial</t>
        </is>
      </c>
      <c r="J29" t="inlineStr">
        <is>
          <t>MEASURED</t>
        </is>
      </c>
      <c r="K29" s="5" t="inlineStr">
        <is>
          <t>lafabriquedunet.fr, sortlist.fr, yieldstudio.fr, codyweb.fr (SERP "agence de développement web"); viaprestige-agency.com, esokia.com (offshore)</t>
        </is>
      </c>
      <c r="L29" t="n">
        <v>14</v>
      </c>
      <c r="M29">
        <f>ROUND(IF(IF(I29="NOT AVAILABLE","",I29)="",12,IF(OR(ISNUMBER(SEARCH("Transactional",IF(I29="NOT AVAILABLE","",I29))),ISNUMBER(SEARCH("Commercial",IF(I29="NOT AVAILABLE","",I29)))),25,IF(ISNUMBER(SEARCH("Informational",IF(I29="NOT AVAILABLE","",I29))),10,IF(ISNUMBER(SEARCH("Navigational",IF(I29="NOT AVAILABLE","",I29))),0,12))))+IF(ISNUMBER(F29),MIN(30,ROUND(30*LOG10(F29+1)/4,1)),0)+IF(ISNUMBER(G29),ROUND(25*(100-G29)/100,1),12.5)+L29,0)</f>
        <v/>
      </c>
      <c r="N29" s="5" t="inlineStr">
        <is>
          <t>High difficulty - long-term only, needs authority/links</t>
        </is>
      </c>
    </row>
    <row r="30">
      <c r="A30" t="inlineStr">
        <is>
          <t>France</t>
        </is>
      </c>
      <c r="B30" t="inlineStr">
        <is>
          <t>fr</t>
        </is>
      </c>
      <c r="C30" t="inlineStr">
        <is>
          <t>fr</t>
        </is>
      </c>
      <c r="D30" s="3" t="inlineStr">
        <is>
          <t>https://codesommet.com/web-development-company/worldwide</t>
        </is>
      </c>
      <c r="E30" t="inlineStr">
        <is>
          <t>site internet professionnel</t>
        </is>
      </c>
      <c r="F30" t="n">
        <v>590</v>
      </c>
      <c r="G30" t="n">
        <v>62</v>
      </c>
      <c r="H30" t="n">
        <v>4.21</v>
      </c>
      <c r="I30" t="inlineStr">
        <is>
          <t>Informational</t>
        </is>
      </c>
      <c r="J30" t="inlineStr">
        <is>
          <t>MEASURED</t>
        </is>
      </c>
      <c r="K30" s="5" t="inlineStr">
        <is>
          <t>lafabriquedunet.fr, sortlist.fr, yieldstudio.fr, codyweb.fr (SERP "agence de développement web"); viaprestige-agency.com, esokia.com (offshore)</t>
        </is>
      </c>
      <c r="L30" t="n">
        <v>14</v>
      </c>
      <c r="M30">
        <f>ROUND(IF(IF(I30="NOT AVAILABLE","",I30)="",12,IF(OR(ISNUMBER(SEARCH("Transactional",IF(I30="NOT AVAILABLE","",I30))),ISNUMBER(SEARCH("Commercial",IF(I30="NOT AVAILABLE","",I30)))),25,IF(ISNUMBER(SEARCH("Informational",IF(I30="NOT AVAILABLE","",I30))),10,IF(ISNUMBER(SEARCH("Navigational",IF(I30="NOT AVAILABLE","",I30))),0,12))))+IF(ISNUMBER(F30),MIN(30,ROUND(30*LOG10(F30+1)/4,1)),0)+IF(ISNUMBER(G30),ROUND(25*(100-G30)/100,1),12.5)+L30,0)</f>
        <v/>
      </c>
      <c r="N30" s="5" t="inlineStr">
        <is>
          <t>High difficulty - long-term only, needs authority/links</t>
        </is>
      </c>
    </row>
    <row r="31">
      <c r="A31" t="inlineStr">
        <is>
          <t>France</t>
        </is>
      </c>
      <c r="B31" t="inlineStr">
        <is>
          <t>fr</t>
        </is>
      </c>
      <c r="C31" t="inlineStr">
        <is>
          <t>fr</t>
        </is>
      </c>
      <c r="D31" s="3" t="inlineStr">
        <is>
          <t>https://codesommet.com/web-development-company/worldwide</t>
        </is>
      </c>
      <c r="E31" t="inlineStr">
        <is>
          <t>webdesigner</t>
        </is>
      </c>
      <c r="F31" t="n">
        <v>2400</v>
      </c>
      <c r="G31" t="n">
        <v>25</v>
      </c>
      <c r="H31" t="n">
        <v>1.87</v>
      </c>
      <c r="I31" t="inlineStr">
        <is>
          <t>Commercial</t>
        </is>
      </c>
      <c r="J31" t="inlineStr">
        <is>
          <t>MEASURED</t>
        </is>
      </c>
      <c r="K31" s="5" t="inlineStr">
        <is>
          <t>lafabriquedunet.fr, sortlist.fr, yieldstudio.fr, codyweb.fr (SERP "agence de développement web"); viaprestige-agency.com, esokia.com (offshore)</t>
        </is>
      </c>
      <c r="L31" t="n">
        <v>14</v>
      </c>
      <c r="M31">
        <f>ROUND(IF(IF(I31="NOT AVAILABLE","",I31)="",12,IF(OR(ISNUMBER(SEARCH("Transactional",IF(I31="NOT AVAILABLE","",I31))),ISNUMBER(SEARCH("Commercial",IF(I31="NOT AVAILABLE","",I31)))),25,IF(ISNUMBER(SEARCH("Informational",IF(I31="NOT AVAILABLE","",I31))),10,IF(ISNUMBER(SEARCH("Navigational",IF(I31="NOT AVAILABLE","",I31))),0,12))))+IF(ISNUMBER(F31),MIN(30,ROUND(30*LOG10(F31+1)/4,1)),0)+IF(ISNUMBER(G31),ROUND(25*(100-G31)/100,1),12.5)+L31,0)</f>
        <v/>
      </c>
      <c r="N31" s="5" t="inlineStr">
        <is>
          <t>Opportunity: realistic volume at low KD - target via existing page section</t>
        </is>
      </c>
    </row>
    <row r="32">
      <c r="A32" t="inlineStr">
        <is>
          <t>France</t>
        </is>
      </c>
      <c r="B32" t="inlineStr">
        <is>
          <t>fr</t>
        </is>
      </c>
      <c r="C32" t="inlineStr">
        <is>
          <t>fr</t>
        </is>
      </c>
      <c r="D32" s="3" t="inlineStr">
        <is>
          <t>https://codesommet.com/web-development-company/worldwide</t>
        </is>
      </c>
      <c r="E32" t="inlineStr">
        <is>
          <t>agence web pas cher</t>
        </is>
      </c>
      <c r="F32" t="n">
        <v>110</v>
      </c>
      <c r="G32" t="n">
        <v>16</v>
      </c>
      <c r="H32" t="n">
        <v>0</v>
      </c>
      <c r="I32" t="inlineStr">
        <is>
          <t>Commercial</t>
        </is>
      </c>
      <c r="J32" t="inlineStr">
        <is>
          <t>MEASURED</t>
        </is>
      </c>
      <c r="K32" s="5" t="inlineStr">
        <is>
          <t>lafabriquedunet.fr, sortlist.fr, yieldstudio.fr, codyweb.fr (SERP "agence de développement web"); viaprestige-agency.com, esokia.com (offshore)</t>
        </is>
      </c>
      <c r="L32" t="n">
        <v>14</v>
      </c>
      <c r="M32">
        <f>ROUND(IF(IF(I32="NOT AVAILABLE","",I32)="",12,IF(OR(ISNUMBER(SEARCH("Transactional",IF(I32="NOT AVAILABLE","",I32))),ISNUMBER(SEARCH("Commercial",IF(I32="NOT AVAILABLE","",I32)))),25,IF(ISNUMBER(SEARCH("Informational",IF(I32="NOT AVAILABLE","",I32))),10,IF(ISNUMBER(SEARCH("Navigational",IF(I32="NOT AVAILABLE","",I32))),0,12))))+IF(ISNUMBER(F32),MIN(30,ROUND(30*LOG10(F32+1)/4,1)),0)+IF(ISNUMBER(G32),ROUND(25*(100-G32)/100,1),12.5)+L32,0)</f>
        <v/>
      </c>
      <c r="N32" s="5" t="inlineStr">
        <is>
          <t>Opportunity: realistic volume at low KD - target via existing page section</t>
        </is>
      </c>
    </row>
    <row r="33">
      <c r="A33" t="inlineStr">
        <is>
          <t>France</t>
        </is>
      </c>
      <c r="B33" t="inlineStr">
        <is>
          <t>fr</t>
        </is>
      </c>
      <c r="C33" t="inlineStr">
        <is>
          <t>fr</t>
        </is>
      </c>
      <c r="D33" s="3" t="inlineStr">
        <is>
          <t>https://codesommet.com/web-development-company/paris</t>
        </is>
      </c>
      <c r="E33" t="inlineStr">
        <is>
          <t>agence web paris</t>
        </is>
      </c>
      <c r="F33" t="n">
        <v>3600</v>
      </c>
      <c r="G33" t="n">
        <v>36</v>
      </c>
      <c r="H33" t="n">
        <v>2.99</v>
      </c>
      <c r="I33" t="inlineStr">
        <is>
          <t>NOT AVAILABLE</t>
        </is>
      </c>
      <c r="J33" t="inlineStr">
        <is>
          <t>MEASURED</t>
        </is>
      </c>
      <c r="K33" s="5" t="inlineStr">
        <is>
          <t>lafabriquedunet.fr, sortlist.fr, yieldstudio.fr, codyweb.fr (SERP "agence de développement web"); viaprestige-agency.com, esokia.com (offshore)</t>
        </is>
      </c>
      <c r="L33" t="n">
        <v>14</v>
      </c>
      <c r="M33">
        <f>ROUND(IF(IF(I33="NOT AVAILABLE","",I33)="",12,IF(OR(ISNUMBER(SEARCH("Transactional",IF(I33="NOT AVAILABLE","",I33))),ISNUMBER(SEARCH("Commercial",IF(I33="NOT AVAILABLE","",I33)))),25,IF(ISNUMBER(SEARCH("Informational",IF(I33="NOT AVAILABLE","",I33))),10,IF(ISNUMBER(SEARCH("Navigational",IF(I33="NOT AVAILABLE","",I33))),0,12))))+IF(ISNUMBER(F33),MIN(30,ROUND(30*LOG10(F33+1)/4,1)),0)+IF(ISNUMBER(G33),ROUND(25*(100-G33)/100,1),12.5)+L33,0)</f>
        <v/>
      </c>
      <c r="N33" s="5" t="inlineStr">
        <is>
          <t>Moderate opportunity - test with existing page before creating anything</t>
        </is>
      </c>
    </row>
    <row r="34">
      <c r="A34" t="inlineStr">
        <is>
          <t>France</t>
        </is>
      </c>
      <c r="B34" t="inlineStr">
        <is>
          <t>fr</t>
        </is>
      </c>
      <c r="C34" t="inlineStr">
        <is>
          <t>fr</t>
        </is>
      </c>
      <c r="D34" t="inlineStr">
        <is>
          <t>(no page - see recommendation)</t>
        </is>
      </c>
      <c r="E34" t="inlineStr">
        <is>
          <t>agence web lyon</t>
        </is>
      </c>
      <c r="F34" t="n">
        <v>2900</v>
      </c>
      <c r="G34" t="n">
        <v>27</v>
      </c>
      <c r="H34" t="n">
        <v>2.87</v>
      </c>
      <c r="I34" t="inlineStr">
        <is>
          <t>Commercial</t>
        </is>
      </c>
      <c r="J34" t="inlineStr">
        <is>
          <t>MEASURED</t>
        </is>
      </c>
      <c r="K34" s="5" t="inlineStr">
        <is>
          <t>lafabriquedunet.fr, sortlist.fr, yieldstudio.fr, codyweb.fr (SERP "agence de développement web"); viaprestige-agency.com, esokia.com (offshore)</t>
        </is>
      </c>
      <c r="L34" t="n">
        <v>14</v>
      </c>
      <c r="M34">
        <f>ROUND(IF(IF(I34="NOT AVAILABLE","",I34)="",12,IF(OR(ISNUMBER(SEARCH("Transactional",IF(I34="NOT AVAILABLE","",I34))),ISNUMBER(SEARCH("Commercial",IF(I34="NOT AVAILABLE","",I34)))),25,IF(ISNUMBER(SEARCH("Informational",IF(I34="NOT AVAILABLE","",I34))),10,IF(ISNUMBER(SEARCH("Navigational",IF(I34="NOT AVAILABLE","",I34))),0,12))))+IF(ISNUMBER(F34),MIN(30,ROUND(30*LOG10(F34+1)/4,1)),0)+IF(ISNUMBER(G34),ROUND(25*(100-G34)/100,1),12.5)+L34,0)</f>
        <v/>
      </c>
      <c r="N34" s="5" t="inlineStr">
        <is>
          <t>Moderate opportunity - test with existing page before creating anything</t>
        </is>
      </c>
    </row>
    <row r="35">
      <c r="A35" t="inlineStr">
        <is>
          <t>France</t>
        </is>
      </c>
      <c r="B35" t="inlineStr">
        <is>
          <t>fr</t>
        </is>
      </c>
      <c r="C35" t="inlineStr">
        <is>
          <t>fr</t>
        </is>
      </c>
      <c r="D35" t="inlineStr">
        <is>
          <t>(no page - see recommendation)</t>
        </is>
      </c>
      <c r="E35" t="inlineStr">
        <is>
          <t>agence web marseille</t>
        </is>
      </c>
      <c r="F35" t="n">
        <v>2400</v>
      </c>
      <c r="G35" t="n">
        <v>37</v>
      </c>
      <c r="H35" t="n">
        <v>3.37</v>
      </c>
      <c r="I35" t="inlineStr">
        <is>
          <t>Commercial</t>
        </is>
      </c>
      <c r="J35" t="inlineStr">
        <is>
          <t>MEASURED</t>
        </is>
      </c>
      <c r="K35" s="5" t="inlineStr">
        <is>
          <t>lafabriquedunet.fr, sortlist.fr, yieldstudio.fr, codyweb.fr (SERP "agence de développement web"); viaprestige-agency.com, esokia.com (offshore)</t>
        </is>
      </c>
      <c r="L35" t="n">
        <v>14</v>
      </c>
      <c r="M35">
        <f>ROUND(IF(IF(I35="NOT AVAILABLE","",I35)="",12,IF(OR(ISNUMBER(SEARCH("Transactional",IF(I35="NOT AVAILABLE","",I35))),ISNUMBER(SEARCH("Commercial",IF(I35="NOT AVAILABLE","",I35)))),25,IF(ISNUMBER(SEARCH("Informational",IF(I35="NOT AVAILABLE","",I35))),10,IF(ISNUMBER(SEARCH("Navigational",IF(I35="NOT AVAILABLE","",I35))),0,12))))+IF(ISNUMBER(F35),MIN(30,ROUND(30*LOG10(F35+1)/4,1)),0)+IF(ISNUMBER(G35),ROUND(25*(100-G35)/100,1),12.5)+L35,0)</f>
        <v/>
      </c>
      <c r="N35" s="5" t="inlineStr">
        <is>
          <t>Moderate opportunity - test with existing page before creating anything</t>
        </is>
      </c>
    </row>
    <row r="36">
      <c r="A36" t="inlineStr">
        <is>
          <t>France</t>
        </is>
      </c>
      <c r="B36" t="inlineStr">
        <is>
          <t>fr</t>
        </is>
      </c>
      <c r="C36" t="inlineStr">
        <is>
          <t>fr</t>
        </is>
      </c>
      <c r="D36" s="3" t="inlineStr">
        <is>
          <t>https://codesommet.com/web-development-company/paris</t>
        </is>
      </c>
      <c r="E36" t="inlineStr">
        <is>
          <t>création site internet paris</t>
        </is>
      </c>
      <c r="F36" t="n">
        <v>1300</v>
      </c>
      <c r="G36" t="n">
        <v>19</v>
      </c>
      <c r="H36" t="n">
        <v>2.38</v>
      </c>
      <c r="I36" t="inlineStr">
        <is>
          <t>Commercial</t>
        </is>
      </c>
      <c r="J36" t="inlineStr">
        <is>
          <t>MEASURED</t>
        </is>
      </c>
      <c r="K36" s="5" t="inlineStr">
        <is>
          <t>lafabriquedunet.fr, sortlist.fr, yieldstudio.fr, codyweb.fr (SERP "agence de développement web"); viaprestige-agency.com, esokia.com (offshore)</t>
        </is>
      </c>
      <c r="L36" t="n">
        <v>14</v>
      </c>
      <c r="M36">
        <f>ROUND(IF(IF(I36="NOT AVAILABLE","",I36)="",12,IF(OR(ISNUMBER(SEARCH("Transactional",IF(I36="NOT AVAILABLE","",I36))),ISNUMBER(SEARCH("Commercial",IF(I36="NOT AVAILABLE","",I36)))),25,IF(ISNUMBER(SEARCH("Informational",IF(I36="NOT AVAILABLE","",I36))),10,IF(ISNUMBER(SEARCH("Navigational",IF(I36="NOT AVAILABLE","",I36))),0,12))))+IF(ISNUMBER(F36),MIN(30,ROUND(30*LOG10(F36+1)/4,1)),0)+IF(ISNUMBER(G36),ROUND(25*(100-G36)/100,1),12.5)+L36,0)</f>
        <v/>
      </c>
      <c r="N36" s="5" t="inlineStr">
        <is>
          <t>Opportunity: realistic volume at low KD - target via existing page section</t>
        </is>
      </c>
    </row>
    <row r="37">
      <c r="A37" t="inlineStr">
        <is>
          <t>France</t>
        </is>
      </c>
      <c r="B37" t="inlineStr">
        <is>
          <t>fr</t>
        </is>
      </c>
      <c r="C37" t="inlineStr">
        <is>
          <t>fr</t>
        </is>
      </c>
      <c r="D37" t="inlineStr">
        <is>
          <t>(no page - see recommendation)</t>
        </is>
      </c>
      <c r="E37" t="inlineStr">
        <is>
          <t>agence web toulouse</t>
        </is>
      </c>
      <c r="F37" t="n">
        <v>1900</v>
      </c>
      <c r="G37" t="n">
        <v>32</v>
      </c>
      <c r="H37" t="n">
        <v>2.42</v>
      </c>
      <c r="I37" t="inlineStr">
        <is>
          <t>Commercial</t>
        </is>
      </c>
      <c r="J37" t="inlineStr">
        <is>
          <t>MEASURED</t>
        </is>
      </c>
      <c r="K37" s="5" t="inlineStr">
        <is>
          <t>lafabriquedunet.fr, sortlist.fr, yieldstudio.fr, codyweb.fr (SERP "agence de développement web"); viaprestige-agency.com, esokia.com (offshore)</t>
        </is>
      </c>
      <c r="L37" t="n">
        <v>14</v>
      </c>
      <c r="M37">
        <f>ROUND(IF(IF(I37="NOT AVAILABLE","",I37)="",12,IF(OR(ISNUMBER(SEARCH("Transactional",IF(I37="NOT AVAILABLE","",I37))),ISNUMBER(SEARCH("Commercial",IF(I37="NOT AVAILABLE","",I37)))),25,IF(ISNUMBER(SEARCH("Informational",IF(I37="NOT AVAILABLE","",I37))),10,IF(ISNUMBER(SEARCH("Navigational",IF(I37="NOT AVAILABLE","",I37))),0,12))))+IF(ISNUMBER(F37),MIN(30,ROUND(30*LOG10(F37+1)/4,1)),0)+IF(ISNUMBER(G37),ROUND(25*(100-G37)/100,1),12.5)+L37,0)</f>
        <v/>
      </c>
      <c r="N37" s="5" t="inlineStr">
        <is>
          <t>Moderate opportunity - test with existing page before creating anything</t>
        </is>
      </c>
    </row>
    <row r="38">
      <c r="A38" t="inlineStr">
        <is>
          <t>Belgium</t>
        </is>
      </c>
      <c r="B38" t="inlineStr">
        <is>
          <t>be</t>
        </is>
      </c>
      <c r="C38" t="inlineStr">
        <is>
          <t>fr</t>
        </is>
      </c>
      <c r="D38" s="3" t="inlineStr">
        <is>
          <t>https://codesommet.com/web-development-company/worldwide</t>
        </is>
      </c>
      <c r="E38" t="inlineStr">
        <is>
          <t>agence web</t>
        </is>
      </c>
      <c r="F38" t="n">
        <v>1900</v>
      </c>
      <c r="G38" t="n">
        <v>39</v>
      </c>
      <c r="H38" t="n">
        <v>2.46</v>
      </c>
      <c r="I38" t="inlineStr">
        <is>
          <t>Commercial</t>
        </is>
      </c>
      <c r="J38" t="inlineStr">
        <is>
          <t>MEASURED</t>
        </is>
      </c>
      <c r="K38" s="5" t="inlineStr">
        <is>
          <t>vragency.website, sortlist.be, opengraphy.com, akis.studio (SERP "agence web bruxelles")</t>
        </is>
      </c>
      <c r="L38" t="n">
        <v>10</v>
      </c>
      <c r="M38">
        <f>ROUND(IF(IF(I38="NOT AVAILABLE","",I38)="",12,IF(OR(ISNUMBER(SEARCH("Transactional",IF(I38="NOT AVAILABLE","",I38))),ISNUMBER(SEARCH("Commercial",IF(I38="NOT AVAILABLE","",I38)))),25,IF(ISNUMBER(SEARCH("Informational",IF(I38="NOT AVAILABLE","",I38))),10,IF(ISNUMBER(SEARCH("Navigational",IF(I38="NOT AVAILABLE","",I38))),0,12))))+IF(ISNUMBER(F38),MIN(30,ROUND(30*LOG10(F38+1)/4,1)),0)+IF(ISNUMBER(G38),ROUND(25*(100-G38)/100,1),12.5)+L38,0)</f>
        <v/>
      </c>
      <c r="N38" s="5" t="inlineStr">
        <is>
          <t>Moderate opportunity - test with existing page before creating anything</t>
        </is>
      </c>
    </row>
    <row r="39">
      <c r="A39" t="inlineStr">
        <is>
          <t>Belgium</t>
        </is>
      </c>
      <c r="B39" t="inlineStr">
        <is>
          <t>be</t>
        </is>
      </c>
      <c r="C39" t="inlineStr">
        <is>
          <t>fr</t>
        </is>
      </c>
      <c r="D39" s="3" t="inlineStr">
        <is>
          <t>https://codesommet.com/web-development-company/worldwide</t>
        </is>
      </c>
      <c r="E39" t="inlineStr">
        <is>
          <t>création site web</t>
        </is>
      </c>
      <c r="F39" t="n">
        <v>880</v>
      </c>
      <c r="G39" t="n">
        <v>78</v>
      </c>
      <c r="H39" t="n">
        <v>5.54</v>
      </c>
      <c r="I39" t="inlineStr">
        <is>
          <t>Informational</t>
        </is>
      </c>
      <c r="J39" t="inlineStr">
        <is>
          <t>MEASURED</t>
        </is>
      </c>
      <c r="K39" s="5" t="inlineStr">
        <is>
          <t>vragency.website, sortlist.be, opengraphy.com, akis.studio (SERP "agence web bruxelles")</t>
        </is>
      </c>
      <c r="L39" t="n">
        <v>10</v>
      </c>
      <c r="M39">
        <f>ROUND(IF(IF(I39="NOT AVAILABLE","",I39)="",12,IF(OR(ISNUMBER(SEARCH("Transactional",IF(I39="NOT AVAILABLE","",I39))),ISNUMBER(SEARCH("Commercial",IF(I39="NOT AVAILABLE","",I39)))),25,IF(ISNUMBER(SEARCH("Informational",IF(I39="NOT AVAILABLE","",I39))),10,IF(ISNUMBER(SEARCH("Navigational",IF(I39="NOT AVAILABLE","",I39))),0,12))))+IF(ISNUMBER(F39),MIN(30,ROUND(30*LOG10(F39+1)/4,1)),0)+IF(ISNUMBER(G39),ROUND(25*(100-G39)/100,1),12.5)+L39,0)</f>
        <v/>
      </c>
      <c r="N39" s="5" t="inlineStr">
        <is>
          <t>High difficulty - long-term only, needs authority/links</t>
        </is>
      </c>
    </row>
    <row r="40">
      <c r="A40" t="inlineStr">
        <is>
          <t>Belgium</t>
        </is>
      </c>
      <c r="B40" t="inlineStr">
        <is>
          <t>be</t>
        </is>
      </c>
      <c r="C40" t="inlineStr">
        <is>
          <t>fr</t>
        </is>
      </c>
      <c r="D40" s="3" t="inlineStr">
        <is>
          <t>https://codesommet.com/web-development-company/worldwide</t>
        </is>
      </c>
      <c r="E40" t="inlineStr">
        <is>
          <t>création site internet</t>
        </is>
      </c>
      <c r="F40" t="n">
        <v>1000</v>
      </c>
      <c r="G40" t="n">
        <v>78</v>
      </c>
      <c r="H40" t="n">
        <v>5.91</v>
      </c>
      <c r="I40" t="inlineStr">
        <is>
          <t>Commercial</t>
        </is>
      </c>
      <c r="J40" t="inlineStr">
        <is>
          <t>MEASURED</t>
        </is>
      </c>
      <c r="K40" s="5" t="inlineStr">
        <is>
          <t>vragency.website, sortlist.be, opengraphy.com, akis.studio (SERP "agence web bruxelles")</t>
        </is>
      </c>
      <c r="L40" t="n">
        <v>10</v>
      </c>
      <c r="M40">
        <f>ROUND(IF(IF(I40="NOT AVAILABLE","",I40)="",12,IF(OR(ISNUMBER(SEARCH("Transactional",IF(I40="NOT AVAILABLE","",I40))),ISNUMBER(SEARCH("Commercial",IF(I40="NOT AVAILABLE","",I40)))),25,IF(ISNUMBER(SEARCH("Informational",IF(I40="NOT AVAILABLE","",I40))),10,IF(ISNUMBER(SEARCH("Navigational",IF(I40="NOT AVAILABLE","",I40))),0,12))))+IF(ISNUMBER(F40),MIN(30,ROUND(30*LOG10(F40+1)/4,1)),0)+IF(ISNUMBER(G40),ROUND(25*(100-G40)/100,1),12.5)+L40,0)</f>
        <v/>
      </c>
      <c r="N40" s="5" t="inlineStr">
        <is>
          <t>High difficulty - long-term only, needs authority/links</t>
        </is>
      </c>
    </row>
    <row r="41">
      <c r="A41" t="inlineStr">
        <is>
          <t>Belgium</t>
        </is>
      </c>
      <c r="B41" t="inlineStr">
        <is>
          <t>be</t>
        </is>
      </c>
      <c r="C41" t="inlineStr">
        <is>
          <t>fr</t>
        </is>
      </c>
      <c r="D41" s="3" t="inlineStr">
        <is>
          <t>https://codesommet.com/web-development-company/worldwide</t>
        </is>
      </c>
      <c r="E41" t="inlineStr">
        <is>
          <t>création site e-commerce</t>
        </is>
      </c>
      <c r="F41" t="n">
        <v>320</v>
      </c>
      <c r="G41" t="n">
        <v>33</v>
      </c>
      <c r="H41" t="n">
        <v>0</v>
      </c>
      <c r="I41" t="inlineStr">
        <is>
          <t>Informational</t>
        </is>
      </c>
      <c r="J41" t="inlineStr">
        <is>
          <t>MEASURED</t>
        </is>
      </c>
      <c r="K41" s="5" t="inlineStr">
        <is>
          <t>vragency.website, sortlist.be, opengraphy.com, akis.studio (SERP "agence web bruxelles")</t>
        </is>
      </c>
      <c r="L41" t="n">
        <v>10</v>
      </c>
      <c r="M41">
        <f>ROUND(IF(IF(I41="NOT AVAILABLE","",I41)="",12,IF(OR(ISNUMBER(SEARCH("Transactional",IF(I41="NOT AVAILABLE","",I41))),ISNUMBER(SEARCH("Commercial",IF(I41="NOT AVAILABLE","",I41)))),25,IF(ISNUMBER(SEARCH("Informational",IF(I41="NOT AVAILABLE","",I41))),10,IF(ISNUMBER(SEARCH("Navigational",IF(I41="NOT AVAILABLE","",I41))),0,12))))+IF(ISNUMBER(F41),MIN(30,ROUND(30*LOG10(F41+1)/4,1)),0)+IF(ISNUMBER(G41),ROUND(25*(100-G41)/100,1),12.5)+L41,0)</f>
        <v/>
      </c>
      <c r="N41" s="5" t="inlineStr">
        <is>
          <t>Moderate opportunity - test with existing page before creating anything</t>
        </is>
      </c>
    </row>
    <row r="42">
      <c r="A42" t="inlineStr">
        <is>
          <t>Belgium</t>
        </is>
      </c>
      <c r="B42" t="inlineStr">
        <is>
          <t>be</t>
        </is>
      </c>
      <c r="C42" t="inlineStr">
        <is>
          <t>fr</t>
        </is>
      </c>
      <c r="D42" s="3" t="inlineStr">
        <is>
          <t>https://codesommet.com/web-development-company/worldwide</t>
        </is>
      </c>
      <c r="E42" t="inlineStr">
        <is>
          <t>agence de développement web</t>
        </is>
      </c>
      <c r="F42" t="n">
        <v>210</v>
      </c>
      <c r="G42" t="n">
        <v>21</v>
      </c>
      <c r="H42" t="n">
        <v>3.04</v>
      </c>
      <c r="I42" t="inlineStr">
        <is>
          <t>Commercial</t>
        </is>
      </c>
      <c r="J42" t="inlineStr">
        <is>
          <t>MEASURED</t>
        </is>
      </c>
      <c r="K42" s="5" t="inlineStr">
        <is>
          <t>vragency.website, sortlist.be, opengraphy.com, akis.studio (SERP "agence web bruxelles")</t>
        </is>
      </c>
      <c r="L42" t="n">
        <v>10</v>
      </c>
      <c r="M42">
        <f>ROUND(IF(IF(I42="NOT AVAILABLE","",I42)="",12,IF(OR(ISNUMBER(SEARCH("Transactional",IF(I42="NOT AVAILABLE","",I42))),ISNUMBER(SEARCH("Commercial",IF(I42="NOT AVAILABLE","",I42)))),25,IF(ISNUMBER(SEARCH("Informational",IF(I42="NOT AVAILABLE","",I42))),10,IF(ISNUMBER(SEARCH("Navigational",IF(I42="NOT AVAILABLE","",I42))),0,12))))+IF(ISNUMBER(F42),MIN(30,ROUND(30*LOG10(F42+1)/4,1)),0)+IF(ISNUMBER(G42),ROUND(25*(100-G42)/100,1),12.5)+L42,0)</f>
        <v/>
      </c>
      <c r="N42" s="5" t="inlineStr">
        <is>
          <t>Opportunity: realistic volume at low KD - target via existing page section</t>
        </is>
      </c>
    </row>
    <row r="43">
      <c r="A43" t="inlineStr">
        <is>
          <t>Belgium</t>
        </is>
      </c>
      <c r="B43" t="inlineStr">
        <is>
          <t>be</t>
        </is>
      </c>
      <c r="C43" t="inlineStr">
        <is>
          <t>fr</t>
        </is>
      </c>
      <c r="D43" s="3" t="inlineStr">
        <is>
          <t>https://codesommet.com/web-development-company/worldwide</t>
        </is>
      </c>
      <c r="E43" t="inlineStr">
        <is>
          <t>développement web sur mesure</t>
        </is>
      </c>
      <c r="F43" t="n">
        <v>50</v>
      </c>
      <c r="G43" t="inlineStr">
        <is>
          <t>NOT AVAILABLE</t>
        </is>
      </c>
      <c r="H43" t="n">
        <v>0</v>
      </c>
      <c r="I43" t="inlineStr">
        <is>
          <t>NOT AVAILABLE</t>
        </is>
      </c>
      <c r="J43" t="inlineStr">
        <is>
          <t>MEASURED</t>
        </is>
      </c>
      <c r="K43" s="5" t="inlineStr">
        <is>
          <t>vragency.website, sortlist.be, opengraphy.com, akis.studio (SERP "agence web bruxelles")</t>
        </is>
      </c>
      <c r="L43" t="n">
        <v>10</v>
      </c>
      <c r="M43">
        <f>ROUND(IF(IF(I43="NOT AVAILABLE","",I43)="",12,IF(OR(ISNUMBER(SEARCH("Transactional",IF(I43="NOT AVAILABLE","",I43))),ISNUMBER(SEARCH("Commercial",IF(I43="NOT AVAILABLE","",I43)))),25,IF(ISNUMBER(SEARCH("Informational",IF(I43="NOT AVAILABLE","",I43))),10,IF(ISNUMBER(SEARCH("Navigational",IF(I43="NOT AVAILABLE","",I43))),0,12))))+IF(ISNUMBER(F43),MIN(30,ROUND(30*LOG10(F43+1)/4,1)),0)+IF(ISNUMBER(G43),ROUND(25*(100-G43)/100,1),12.5)+L43,0)</f>
        <v/>
      </c>
      <c r="N43" s="5" t="inlineStr">
        <is>
          <t>Low volume - supporting only</t>
        </is>
      </c>
    </row>
    <row r="44">
      <c r="A44" t="inlineStr">
        <is>
          <t>Belgium</t>
        </is>
      </c>
      <c r="B44" t="inlineStr">
        <is>
          <t>be</t>
        </is>
      </c>
      <c r="C44" t="inlineStr">
        <is>
          <t>fr</t>
        </is>
      </c>
      <c r="D44" s="3" t="inlineStr">
        <is>
          <t>https://codesommet.com/web-development-company/worldwide</t>
        </is>
      </c>
      <c r="E44" t="inlineStr">
        <is>
          <t>développement application web</t>
        </is>
      </c>
      <c r="F44" t="n">
        <v>110</v>
      </c>
      <c r="G44" t="inlineStr">
        <is>
          <t>NOT AVAILABLE</t>
        </is>
      </c>
      <c r="H44" t="n">
        <v>0</v>
      </c>
      <c r="I44" t="inlineStr">
        <is>
          <t>NOT AVAILABLE</t>
        </is>
      </c>
      <c r="J44" t="inlineStr">
        <is>
          <t>MEASURED</t>
        </is>
      </c>
      <c r="K44" s="5" t="inlineStr">
        <is>
          <t>vragency.website, sortlist.be, opengraphy.com, akis.studio (SERP "agence web bruxelles")</t>
        </is>
      </c>
      <c r="L44" t="n">
        <v>10</v>
      </c>
      <c r="M44">
        <f>ROUND(IF(IF(I44="NOT AVAILABLE","",I44)="",12,IF(OR(ISNUMBER(SEARCH("Transactional",IF(I44="NOT AVAILABLE","",I44))),ISNUMBER(SEARCH("Commercial",IF(I44="NOT AVAILABLE","",I44)))),25,IF(ISNUMBER(SEARCH("Informational",IF(I44="NOT AVAILABLE","",I44))),10,IF(ISNUMBER(SEARCH("Navigational",IF(I44="NOT AVAILABLE","",I44))),0,12))))+IF(ISNUMBER(F44),MIN(30,ROUND(30*LOG10(F44+1)/4,1)),0)+IF(ISNUMBER(G44),ROUND(25*(100-G44)/100,1),12.5)+L44,0)</f>
        <v/>
      </c>
      <c r="N44" s="5" t="inlineStr">
        <is>
          <t>Moderate opportunity - test with existing page before creating anything</t>
        </is>
      </c>
    </row>
    <row r="45">
      <c r="A45" t="inlineStr">
        <is>
          <t>Belgium</t>
        </is>
      </c>
      <c r="B45" t="inlineStr">
        <is>
          <t>be</t>
        </is>
      </c>
      <c r="C45" t="inlineStr">
        <is>
          <t>fr</t>
        </is>
      </c>
      <c r="D45" s="3" t="inlineStr">
        <is>
          <t>https://codesommet.com/web-development-company/worldwide</t>
        </is>
      </c>
      <c r="E45" t="inlineStr">
        <is>
          <t>agence seo</t>
        </is>
      </c>
      <c r="F45" t="n">
        <v>1900</v>
      </c>
      <c r="G45" t="n">
        <v>29</v>
      </c>
      <c r="H45" t="n">
        <v>6.28</v>
      </c>
      <c r="I45" t="inlineStr">
        <is>
          <t>Commercial</t>
        </is>
      </c>
      <c r="J45" t="inlineStr">
        <is>
          <t>MEASURED</t>
        </is>
      </c>
      <c r="K45" s="5" t="inlineStr">
        <is>
          <t>vragency.website, sortlist.be, opengraphy.com, akis.studio (SERP "agence web bruxelles")</t>
        </is>
      </c>
      <c r="L45" t="n">
        <v>10</v>
      </c>
      <c r="M45">
        <f>ROUND(IF(IF(I45="NOT AVAILABLE","",I45)="",12,IF(OR(ISNUMBER(SEARCH("Transactional",IF(I45="NOT AVAILABLE","",I45))),ISNUMBER(SEARCH("Commercial",IF(I45="NOT AVAILABLE","",I45)))),25,IF(ISNUMBER(SEARCH("Informational",IF(I45="NOT AVAILABLE","",I45))),10,IF(ISNUMBER(SEARCH("Navigational",IF(I45="NOT AVAILABLE","",I45))),0,12))))+IF(ISNUMBER(F45),MIN(30,ROUND(30*LOG10(F45+1)/4,1)),0)+IF(ISNUMBER(G45),ROUND(25*(100-G45)/100,1),12.5)+L45,0)</f>
        <v/>
      </c>
      <c r="N45" s="5" t="inlineStr">
        <is>
          <t>Moderate opportunity - test with existing page before creating anything</t>
        </is>
      </c>
    </row>
    <row r="46">
      <c r="A46" t="inlineStr">
        <is>
          <t>Belgium</t>
        </is>
      </c>
      <c r="B46" t="inlineStr">
        <is>
          <t>be</t>
        </is>
      </c>
      <c r="C46" t="inlineStr">
        <is>
          <t>fr</t>
        </is>
      </c>
      <c r="D46" s="3" t="inlineStr">
        <is>
          <t>https://codesommet.com/web-development-company/worldwide</t>
        </is>
      </c>
      <c r="E46" t="inlineStr">
        <is>
          <t>référencement naturel</t>
        </is>
      </c>
      <c r="F46" t="n">
        <v>720</v>
      </c>
      <c r="G46" t="n">
        <v>46</v>
      </c>
      <c r="H46" t="n">
        <v>0</v>
      </c>
      <c r="I46" t="inlineStr">
        <is>
          <t>Informational</t>
        </is>
      </c>
      <c r="J46" t="inlineStr">
        <is>
          <t>MEASURED</t>
        </is>
      </c>
      <c r="K46" s="5" t="inlineStr">
        <is>
          <t>vragency.website, sortlist.be, opengraphy.com, akis.studio (SERP "agence web bruxelles")</t>
        </is>
      </c>
      <c r="L46" t="n">
        <v>10</v>
      </c>
      <c r="M46">
        <f>ROUND(IF(IF(I46="NOT AVAILABLE","",I46)="",12,IF(OR(ISNUMBER(SEARCH("Transactional",IF(I46="NOT AVAILABLE","",I46))),ISNUMBER(SEARCH("Commercial",IF(I46="NOT AVAILABLE","",I46)))),25,IF(ISNUMBER(SEARCH("Informational",IF(I46="NOT AVAILABLE","",I46))),10,IF(ISNUMBER(SEARCH("Navigational",IF(I46="NOT AVAILABLE","",I46))),0,12))))+IF(ISNUMBER(F46),MIN(30,ROUND(30*LOG10(F46+1)/4,1)),0)+IF(ISNUMBER(G46),ROUND(25*(100-G46)/100,1),12.5)+L46,0)</f>
        <v/>
      </c>
      <c r="N46" s="5" t="inlineStr">
        <is>
          <t>Moderate opportunity - test with existing page before creating anything</t>
        </is>
      </c>
    </row>
    <row r="47">
      <c r="A47" t="inlineStr">
        <is>
          <t>Belgium</t>
        </is>
      </c>
      <c r="B47" t="inlineStr">
        <is>
          <t>be</t>
        </is>
      </c>
      <c r="C47" t="inlineStr">
        <is>
          <t>fr</t>
        </is>
      </c>
      <c r="D47" s="3" t="inlineStr">
        <is>
          <t>https://codesommet.com/web-development-company/worldwide</t>
        </is>
      </c>
      <c r="E47" t="inlineStr">
        <is>
          <t>agence web offshore</t>
        </is>
      </c>
      <c r="F47" t="n">
        <v>30</v>
      </c>
      <c r="G47" t="inlineStr">
        <is>
          <t>NOT AVAILABLE</t>
        </is>
      </c>
      <c r="H47" t="n">
        <v>0</v>
      </c>
      <c r="I47" t="inlineStr">
        <is>
          <t>NOT AVAILABLE</t>
        </is>
      </c>
      <c r="J47" t="inlineStr">
        <is>
          <t>MEASURED</t>
        </is>
      </c>
      <c r="K47" s="5" t="inlineStr">
        <is>
          <t>vragency.website, sortlist.be, opengraphy.com, akis.studio (SERP "agence web bruxelles")</t>
        </is>
      </c>
      <c r="L47" t="n">
        <v>10</v>
      </c>
      <c r="M47">
        <f>ROUND(IF(IF(I47="NOT AVAILABLE","",I47)="",12,IF(OR(ISNUMBER(SEARCH("Transactional",IF(I47="NOT AVAILABLE","",I47))),ISNUMBER(SEARCH("Commercial",IF(I47="NOT AVAILABLE","",I47)))),25,IF(ISNUMBER(SEARCH("Informational",IF(I47="NOT AVAILABLE","",I47))),10,IF(ISNUMBER(SEARCH("Navigational",IF(I47="NOT AVAILABLE","",I47))),0,12))))+IF(ISNUMBER(F47),MIN(30,ROUND(30*LOG10(F47+1)/4,1)),0)+IF(ISNUMBER(G47),ROUND(25*(100-G47)/100,1),12.5)+L47,0)</f>
        <v/>
      </c>
      <c r="N47" s="5" t="inlineStr">
        <is>
          <t>Low volume - supporting only</t>
        </is>
      </c>
    </row>
    <row r="48">
      <c r="A48" t="inlineStr">
        <is>
          <t>Belgium</t>
        </is>
      </c>
      <c r="B48" t="inlineStr">
        <is>
          <t>be</t>
        </is>
      </c>
      <c r="C48" t="inlineStr">
        <is>
          <t>fr</t>
        </is>
      </c>
      <c r="D48" s="3" t="inlineStr">
        <is>
          <t>https://codesommet.com/web-development-company/worldwide</t>
        </is>
      </c>
      <c r="E48" t="inlineStr">
        <is>
          <t>développeur web freelance</t>
        </is>
      </c>
      <c r="F48" t="n">
        <v>20</v>
      </c>
      <c r="G48" t="inlineStr">
        <is>
          <t>NOT AVAILABLE</t>
        </is>
      </c>
      <c r="H48" t="n">
        <v>3.21</v>
      </c>
      <c r="I48" t="inlineStr">
        <is>
          <t>NOT AVAILABLE</t>
        </is>
      </c>
      <c r="J48" t="inlineStr">
        <is>
          <t>MEASURED</t>
        </is>
      </c>
      <c r="K48" s="5" t="inlineStr">
        <is>
          <t>vragency.website, sortlist.be, opengraphy.com, akis.studio (SERP "agence web bruxelles")</t>
        </is>
      </c>
      <c r="L48" t="n">
        <v>10</v>
      </c>
      <c r="M48">
        <f>ROUND(IF(IF(I48="NOT AVAILABLE","",I48)="",12,IF(OR(ISNUMBER(SEARCH("Transactional",IF(I48="NOT AVAILABLE","",I48))),ISNUMBER(SEARCH("Commercial",IF(I48="NOT AVAILABLE","",I48)))),25,IF(ISNUMBER(SEARCH("Informational",IF(I48="NOT AVAILABLE","",I48))),10,IF(ISNUMBER(SEARCH("Navigational",IF(I48="NOT AVAILABLE","",I48))),0,12))))+IF(ISNUMBER(F48),MIN(30,ROUND(30*LOG10(F48+1)/4,1)),0)+IF(ISNUMBER(G48),ROUND(25*(100-G48)/100,1),12.5)+L48,0)</f>
        <v/>
      </c>
      <c r="N48" s="5" t="inlineStr">
        <is>
          <t>Low volume - supporting only</t>
        </is>
      </c>
    </row>
    <row r="49">
      <c r="A49" t="inlineStr">
        <is>
          <t>Belgium</t>
        </is>
      </c>
      <c r="B49" t="inlineStr">
        <is>
          <t>be</t>
        </is>
      </c>
      <c r="C49" t="inlineStr">
        <is>
          <t>fr</t>
        </is>
      </c>
      <c r="D49" s="3" t="inlineStr">
        <is>
          <t>https://codesommet.com/web-development-company/worldwide</t>
        </is>
      </c>
      <c r="E49" t="inlineStr">
        <is>
          <t>prix site web</t>
        </is>
      </c>
      <c r="F49" t="n">
        <v>170</v>
      </c>
      <c r="G49" t="n">
        <v>27</v>
      </c>
      <c r="H49" t="n">
        <v>1.58</v>
      </c>
      <c r="I49" t="inlineStr">
        <is>
          <t>Informational</t>
        </is>
      </c>
      <c r="J49" t="inlineStr">
        <is>
          <t>MEASURED</t>
        </is>
      </c>
      <c r="K49" s="5" t="inlineStr">
        <is>
          <t>vragency.website, sortlist.be, opengraphy.com, akis.studio (SERP "agence web bruxelles")</t>
        </is>
      </c>
      <c r="L49" t="n">
        <v>10</v>
      </c>
      <c r="M49">
        <f>ROUND(IF(IF(I49="NOT AVAILABLE","",I49)="",12,IF(OR(ISNUMBER(SEARCH("Transactional",IF(I49="NOT AVAILABLE","",I49))),ISNUMBER(SEARCH("Commercial",IF(I49="NOT AVAILABLE","",I49)))),25,IF(ISNUMBER(SEARCH("Informational",IF(I49="NOT AVAILABLE","",I49))),10,IF(ISNUMBER(SEARCH("Navigational",IF(I49="NOT AVAILABLE","",I49))),0,12))))+IF(ISNUMBER(F49),MIN(30,ROUND(30*LOG10(F49+1)/4,1)),0)+IF(ISNUMBER(G49),ROUND(25*(100-G49)/100,1),12.5)+L49,0)</f>
        <v/>
      </c>
      <c r="N49" s="5" t="inlineStr">
        <is>
          <t>Moderate opportunity - test with existing page before creating anything</t>
        </is>
      </c>
    </row>
    <row r="50">
      <c r="A50" t="inlineStr">
        <is>
          <t>Belgium</t>
        </is>
      </c>
      <c r="B50" t="inlineStr">
        <is>
          <t>be</t>
        </is>
      </c>
      <c r="C50" t="inlineStr">
        <is>
          <t>fr</t>
        </is>
      </c>
      <c r="D50" s="3" t="inlineStr">
        <is>
          <t>https://codesommet.com/web-development-company/worldwide</t>
        </is>
      </c>
      <c r="E50" t="inlineStr">
        <is>
          <t>prix création site internet</t>
        </is>
      </c>
      <c r="F50" t="n">
        <v>140</v>
      </c>
      <c r="G50" t="n">
        <v>23</v>
      </c>
      <c r="H50" t="n">
        <v>2.08</v>
      </c>
      <c r="I50" t="inlineStr">
        <is>
          <t>Informational</t>
        </is>
      </c>
      <c r="J50" t="inlineStr">
        <is>
          <t>MEASURED</t>
        </is>
      </c>
      <c r="K50" s="5" t="inlineStr">
        <is>
          <t>vragency.website, sortlist.be, opengraphy.com, akis.studio (SERP "agence web bruxelles")</t>
        </is>
      </c>
      <c r="L50" t="n">
        <v>10</v>
      </c>
      <c r="M50">
        <f>ROUND(IF(IF(I50="NOT AVAILABLE","",I50)="",12,IF(OR(ISNUMBER(SEARCH("Transactional",IF(I50="NOT AVAILABLE","",I50))),ISNUMBER(SEARCH("Commercial",IF(I50="NOT AVAILABLE","",I50)))),25,IF(ISNUMBER(SEARCH("Informational",IF(I50="NOT AVAILABLE","",I50))),10,IF(ISNUMBER(SEARCH("Navigational",IF(I50="NOT AVAILABLE","",I50))),0,12))))+IF(ISNUMBER(F50),MIN(30,ROUND(30*LOG10(F50+1)/4,1)),0)+IF(ISNUMBER(G50),ROUND(25*(100-G50)/100,1),12.5)+L50,0)</f>
        <v/>
      </c>
      <c r="N50" s="5" t="inlineStr">
        <is>
          <t>Opportunity: realistic volume at low KD - target via existing page section</t>
        </is>
      </c>
    </row>
    <row r="51">
      <c r="A51" t="inlineStr">
        <is>
          <t>Belgium</t>
        </is>
      </c>
      <c r="B51" t="inlineStr">
        <is>
          <t>be</t>
        </is>
      </c>
      <c r="C51" t="inlineStr">
        <is>
          <t>fr</t>
        </is>
      </c>
      <c r="D51" s="3" t="inlineStr">
        <is>
          <t>https://codesommet.com/web-development-company/worldwide</t>
        </is>
      </c>
      <c r="E51" t="inlineStr">
        <is>
          <t>création site vitrine</t>
        </is>
      </c>
      <c r="F51" t="n">
        <v>170</v>
      </c>
      <c r="G51" t="n">
        <v>29</v>
      </c>
      <c r="H51" t="n">
        <v>8.16</v>
      </c>
      <c r="I51" t="inlineStr">
        <is>
          <t>Informational</t>
        </is>
      </c>
      <c r="J51" t="inlineStr">
        <is>
          <t>MEASURED</t>
        </is>
      </c>
      <c r="K51" s="5" t="inlineStr">
        <is>
          <t>vragency.website, sortlist.be, opengraphy.com, akis.studio (SERP "agence web bruxelles")</t>
        </is>
      </c>
      <c r="L51" t="n">
        <v>10</v>
      </c>
      <c r="M51">
        <f>ROUND(IF(IF(I51="NOT AVAILABLE","",I51)="",12,IF(OR(ISNUMBER(SEARCH("Transactional",IF(I51="NOT AVAILABLE","",I51))),ISNUMBER(SEARCH("Commercial",IF(I51="NOT AVAILABLE","",I51)))),25,IF(ISNUMBER(SEARCH("Informational",IF(I51="NOT AVAILABLE","",I51))),10,IF(ISNUMBER(SEARCH("Navigational",IF(I51="NOT AVAILABLE","",I51))),0,12))))+IF(ISNUMBER(F51),MIN(30,ROUND(30*LOG10(F51+1)/4,1)),0)+IF(ISNUMBER(G51),ROUND(25*(100-G51)/100,1),12.5)+L51,0)</f>
        <v/>
      </c>
      <c r="N51" s="5" t="inlineStr">
        <is>
          <t>Moderate opportunity - test with existing page before creating anything</t>
        </is>
      </c>
    </row>
    <row r="52">
      <c r="A52" t="inlineStr">
        <is>
          <t>Belgium</t>
        </is>
      </c>
      <c r="B52" t="inlineStr">
        <is>
          <t>be</t>
        </is>
      </c>
      <c r="C52" t="inlineStr">
        <is>
          <t>fr</t>
        </is>
      </c>
      <c r="D52" s="3" t="inlineStr">
        <is>
          <t>https://codesommet.com/web-development-company/worldwide</t>
        </is>
      </c>
      <c r="E52" t="inlineStr">
        <is>
          <t>refonte site web</t>
        </is>
      </c>
      <c r="F52" t="n">
        <v>170</v>
      </c>
      <c r="G52" t="n">
        <v>17</v>
      </c>
      <c r="H52" t="n">
        <v>2.35</v>
      </c>
      <c r="I52" t="inlineStr">
        <is>
          <t>Informational</t>
        </is>
      </c>
      <c r="J52" t="inlineStr">
        <is>
          <t>MEASURED</t>
        </is>
      </c>
      <c r="K52" s="5" t="inlineStr">
        <is>
          <t>vragency.website, sortlist.be, opengraphy.com, akis.studio (SERP "agence web bruxelles")</t>
        </is>
      </c>
      <c r="L52" t="n">
        <v>10</v>
      </c>
      <c r="M52">
        <f>ROUND(IF(IF(I52="NOT AVAILABLE","",I52)="",12,IF(OR(ISNUMBER(SEARCH("Transactional",IF(I52="NOT AVAILABLE","",I52))),ISNUMBER(SEARCH("Commercial",IF(I52="NOT AVAILABLE","",I52)))),25,IF(ISNUMBER(SEARCH("Informational",IF(I52="NOT AVAILABLE","",I52))),10,IF(ISNUMBER(SEARCH("Navigational",IF(I52="NOT AVAILABLE","",I52))),0,12))))+IF(ISNUMBER(F52),MIN(30,ROUND(30*LOG10(F52+1)/4,1)),0)+IF(ISNUMBER(G52),ROUND(25*(100-G52)/100,1),12.5)+L52,0)</f>
        <v/>
      </c>
      <c r="N52" s="5" t="inlineStr">
        <is>
          <t>Opportunity: realistic volume at low KD - target via existing page section</t>
        </is>
      </c>
    </row>
    <row r="53">
      <c r="A53" t="inlineStr">
        <is>
          <t>Belgium</t>
        </is>
      </c>
      <c r="B53" t="inlineStr">
        <is>
          <t>be</t>
        </is>
      </c>
      <c r="C53" t="inlineStr">
        <is>
          <t>fr</t>
        </is>
      </c>
      <c r="D53" s="3" t="inlineStr">
        <is>
          <t>https://codesommet.com/web-development-company/worldwide</t>
        </is>
      </c>
      <c r="E53" t="inlineStr">
        <is>
          <t>agence digitale</t>
        </is>
      </c>
      <c r="F53" t="n">
        <v>1300</v>
      </c>
      <c r="G53" t="n">
        <v>47</v>
      </c>
      <c r="H53" t="n">
        <v>3.52</v>
      </c>
      <c r="I53" t="inlineStr">
        <is>
          <t>Commercial</t>
        </is>
      </c>
      <c r="J53" t="inlineStr">
        <is>
          <t>MEASURED</t>
        </is>
      </c>
      <c r="K53" s="5" t="inlineStr">
        <is>
          <t>vragency.website, sortlist.be, opengraphy.com, akis.studio (SERP "agence web bruxelles")</t>
        </is>
      </c>
      <c r="L53" t="n">
        <v>10</v>
      </c>
      <c r="M53">
        <f>ROUND(IF(IF(I53="NOT AVAILABLE","",I53)="",12,IF(OR(ISNUMBER(SEARCH("Transactional",IF(I53="NOT AVAILABLE","",I53))),ISNUMBER(SEARCH("Commercial",IF(I53="NOT AVAILABLE","",I53)))),25,IF(ISNUMBER(SEARCH("Informational",IF(I53="NOT AVAILABLE","",I53))),10,IF(ISNUMBER(SEARCH("Navigational",IF(I53="NOT AVAILABLE","",I53))),0,12))))+IF(ISNUMBER(F53),MIN(30,ROUND(30*LOG10(F53+1)/4,1)),0)+IF(ISNUMBER(G53),ROUND(25*(100-G53)/100,1),12.5)+L53,0)</f>
        <v/>
      </c>
      <c r="N53" s="5" t="inlineStr">
        <is>
          <t>Moderate opportunity - test with existing page before creating anything</t>
        </is>
      </c>
    </row>
    <row r="54">
      <c r="A54" t="inlineStr">
        <is>
          <t>Belgium</t>
        </is>
      </c>
      <c r="B54" t="inlineStr">
        <is>
          <t>be</t>
        </is>
      </c>
      <c r="C54" t="inlineStr">
        <is>
          <t>fr</t>
        </is>
      </c>
      <c r="D54" s="3" t="inlineStr">
        <is>
          <t>https://codesommet.com/web-development-company/worldwide</t>
        </is>
      </c>
      <c r="E54" t="inlineStr">
        <is>
          <t>développement saas</t>
        </is>
      </c>
      <c r="F54" t="n">
        <v>20</v>
      </c>
      <c r="G54" t="inlineStr">
        <is>
          <t>NOT AVAILABLE</t>
        </is>
      </c>
      <c r="H54" t="n">
        <v>0</v>
      </c>
      <c r="I54" t="inlineStr">
        <is>
          <t>NOT AVAILABLE</t>
        </is>
      </c>
      <c r="J54" t="inlineStr">
        <is>
          <t>MEASURED</t>
        </is>
      </c>
      <c r="K54" s="5" t="inlineStr">
        <is>
          <t>vragency.website, sortlist.be, opengraphy.com, akis.studio (SERP "agence web bruxelles")</t>
        </is>
      </c>
      <c r="L54" t="n">
        <v>10</v>
      </c>
      <c r="M54">
        <f>ROUND(IF(IF(I54="NOT AVAILABLE","",I54)="",12,IF(OR(ISNUMBER(SEARCH("Transactional",IF(I54="NOT AVAILABLE","",I54))),ISNUMBER(SEARCH("Commercial",IF(I54="NOT AVAILABLE","",I54)))),25,IF(ISNUMBER(SEARCH("Informational",IF(I54="NOT AVAILABLE","",I54))),10,IF(ISNUMBER(SEARCH("Navigational",IF(I54="NOT AVAILABLE","",I54))),0,12))))+IF(ISNUMBER(F54),MIN(30,ROUND(30*LOG10(F54+1)/4,1)),0)+IF(ISNUMBER(G54),ROUND(25*(100-G54)/100,1),12.5)+L54,0)</f>
        <v/>
      </c>
      <c r="N54" s="5" t="inlineStr">
        <is>
          <t>Low volume - supporting only</t>
        </is>
      </c>
    </row>
    <row r="55">
      <c r="A55" t="inlineStr">
        <is>
          <t>Belgium</t>
        </is>
      </c>
      <c r="B55" t="inlineStr">
        <is>
          <t>be</t>
        </is>
      </c>
      <c r="C55" t="inlineStr">
        <is>
          <t>fr</t>
        </is>
      </c>
      <c r="D55" s="3" t="inlineStr">
        <is>
          <t>https://codesommet.com/web-development-company/worldwide</t>
        </is>
      </c>
      <c r="E55" t="inlineStr">
        <is>
          <t>création application web</t>
        </is>
      </c>
      <c r="F55" t="n">
        <v>10</v>
      </c>
      <c r="G55" t="inlineStr">
        <is>
          <t>NOT AVAILABLE</t>
        </is>
      </c>
      <c r="H55" t="n">
        <v>0</v>
      </c>
      <c r="I55" t="inlineStr">
        <is>
          <t>NOT AVAILABLE</t>
        </is>
      </c>
      <c r="J55" t="inlineStr">
        <is>
          <t>MEASURED</t>
        </is>
      </c>
      <c r="K55" s="5" t="inlineStr">
        <is>
          <t>vragency.website, sortlist.be, opengraphy.com, akis.studio (SERP "agence web bruxelles")</t>
        </is>
      </c>
      <c r="L55" t="n">
        <v>10</v>
      </c>
      <c r="M55">
        <f>ROUND(IF(IF(I55="NOT AVAILABLE","",I55)="",12,IF(OR(ISNUMBER(SEARCH("Transactional",IF(I55="NOT AVAILABLE","",I55))),ISNUMBER(SEARCH("Commercial",IF(I55="NOT AVAILABLE","",I55)))),25,IF(ISNUMBER(SEARCH("Informational",IF(I55="NOT AVAILABLE","",I55))),10,IF(ISNUMBER(SEARCH("Navigational",IF(I55="NOT AVAILABLE","",I55))),0,12))))+IF(ISNUMBER(F55),MIN(30,ROUND(30*LOG10(F55+1)/4,1)),0)+IF(ISNUMBER(G55),ROUND(25*(100-G55)/100,1),12.5)+L55,0)</f>
        <v/>
      </c>
      <c r="N55" s="5" t="inlineStr">
        <is>
          <t>Low volume - supporting only</t>
        </is>
      </c>
    </row>
    <row r="56">
      <c r="A56" t="inlineStr">
        <is>
          <t>Belgium</t>
        </is>
      </c>
      <c r="B56" t="inlineStr">
        <is>
          <t>be</t>
        </is>
      </c>
      <c r="C56" t="inlineStr">
        <is>
          <t>fr</t>
        </is>
      </c>
      <c r="D56" s="3" t="inlineStr">
        <is>
          <t>https://codesommet.com/web-development-company/worldwide</t>
        </is>
      </c>
      <c r="E56" t="inlineStr">
        <is>
          <t>agence web maroc</t>
        </is>
      </c>
      <c r="F56" t="n">
        <v>20</v>
      </c>
      <c r="G56" t="inlineStr">
        <is>
          <t>NOT AVAILABLE</t>
        </is>
      </c>
      <c r="H56" t="n">
        <v>0</v>
      </c>
      <c r="I56" t="inlineStr">
        <is>
          <t>NOT AVAILABLE</t>
        </is>
      </c>
      <c r="J56" t="inlineStr">
        <is>
          <t>MEASURED</t>
        </is>
      </c>
      <c r="K56" s="5" t="inlineStr">
        <is>
          <t>vragency.website, sortlist.be, opengraphy.com, akis.studio (SERP "agence web bruxelles")</t>
        </is>
      </c>
      <c r="L56" t="n">
        <v>10</v>
      </c>
      <c r="M56">
        <f>ROUND(IF(IF(I56="NOT AVAILABLE","",I56)="",12,IF(OR(ISNUMBER(SEARCH("Transactional",IF(I56="NOT AVAILABLE","",I56))),ISNUMBER(SEARCH("Commercial",IF(I56="NOT AVAILABLE","",I56)))),25,IF(ISNUMBER(SEARCH("Informational",IF(I56="NOT AVAILABLE","",I56))),10,IF(ISNUMBER(SEARCH("Navigational",IF(I56="NOT AVAILABLE","",I56))),0,12))))+IF(ISNUMBER(F56),MIN(30,ROUND(30*LOG10(F56+1)/4,1)),0)+IF(ISNUMBER(G56),ROUND(25*(100-G56)/100,1),12.5)+L56,0)</f>
        <v/>
      </c>
      <c r="N56" s="5" t="inlineStr">
        <is>
          <t>Low volume - supporting only</t>
        </is>
      </c>
    </row>
    <row r="57">
      <c r="A57" t="inlineStr">
        <is>
          <t>Belgium</t>
        </is>
      </c>
      <c r="B57" t="inlineStr">
        <is>
          <t>be</t>
        </is>
      </c>
      <c r="C57" t="inlineStr">
        <is>
          <t>fr</t>
        </is>
      </c>
      <c r="D57" s="3" t="inlineStr">
        <is>
          <t>https://codesommet.com/web-development-company/worldwide</t>
        </is>
      </c>
      <c r="E57" t="inlineStr">
        <is>
          <t>création boutique en ligne</t>
        </is>
      </c>
      <c r="F57" t="n">
        <v>70</v>
      </c>
      <c r="G57" t="inlineStr">
        <is>
          <t>NOT AVAILABLE</t>
        </is>
      </c>
      <c r="H57" t="n">
        <v>5.66</v>
      </c>
      <c r="I57" t="inlineStr">
        <is>
          <t>NOT AVAILABLE</t>
        </is>
      </c>
      <c r="J57" t="inlineStr">
        <is>
          <t>MEASURED</t>
        </is>
      </c>
      <c r="K57" s="5" t="inlineStr">
        <is>
          <t>vragency.website, sortlist.be, opengraphy.com, akis.studio (SERP "agence web bruxelles")</t>
        </is>
      </c>
      <c r="L57" t="n">
        <v>10</v>
      </c>
      <c r="M57">
        <f>ROUND(IF(IF(I57="NOT AVAILABLE","",I57)="",12,IF(OR(ISNUMBER(SEARCH("Transactional",IF(I57="NOT AVAILABLE","",I57))),ISNUMBER(SEARCH("Commercial",IF(I57="NOT AVAILABLE","",I57)))),25,IF(ISNUMBER(SEARCH("Informational",IF(I57="NOT AVAILABLE","",I57))),10,IF(ISNUMBER(SEARCH("Navigational",IF(I57="NOT AVAILABLE","",I57))),0,12))))+IF(ISNUMBER(F57),MIN(30,ROUND(30*LOG10(F57+1)/4,1)),0)+IF(ISNUMBER(G57),ROUND(25*(100-G57)/100,1),12.5)+L57,0)</f>
        <v/>
      </c>
      <c r="N57" s="5" t="inlineStr">
        <is>
          <t>Low volume - supporting only</t>
        </is>
      </c>
    </row>
    <row r="58">
      <c r="A58" t="inlineStr">
        <is>
          <t>Belgium</t>
        </is>
      </c>
      <c r="B58" t="inlineStr">
        <is>
          <t>be</t>
        </is>
      </c>
      <c r="C58" t="inlineStr">
        <is>
          <t>fr</t>
        </is>
      </c>
      <c r="D58" s="3" t="inlineStr">
        <is>
          <t>https://codesommet.com/web-development-company/worldwide</t>
        </is>
      </c>
      <c r="E58" t="inlineStr">
        <is>
          <t>sous-traitance développement web</t>
        </is>
      </c>
      <c r="F58" t="n">
        <v>10</v>
      </c>
      <c r="G58" t="inlineStr">
        <is>
          <t>NOT AVAILABLE</t>
        </is>
      </c>
      <c r="H58" t="n">
        <v>0</v>
      </c>
      <c r="I58" t="inlineStr">
        <is>
          <t>NOT AVAILABLE</t>
        </is>
      </c>
      <c r="J58" t="inlineStr">
        <is>
          <t>MEASURED</t>
        </is>
      </c>
      <c r="K58" s="5" t="inlineStr">
        <is>
          <t>vragency.website, sortlist.be, opengraphy.com, akis.studio (SERP "agence web bruxelles")</t>
        </is>
      </c>
      <c r="L58" t="n">
        <v>10</v>
      </c>
      <c r="M58">
        <f>ROUND(IF(IF(I58="NOT AVAILABLE","",I58)="",12,IF(OR(ISNUMBER(SEARCH("Transactional",IF(I58="NOT AVAILABLE","",I58))),ISNUMBER(SEARCH("Commercial",IF(I58="NOT AVAILABLE","",I58)))),25,IF(ISNUMBER(SEARCH("Informational",IF(I58="NOT AVAILABLE","",I58))),10,IF(ISNUMBER(SEARCH("Navigational",IF(I58="NOT AVAILABLE","",I58))),0,12))))+IF(ISNUMBER(F58),MIN(30,ROUND(30*LOG10(F58+1)/4,1)),0)+IF(ISNUMBER(G58),ROUND(25*(100-G58)/100,1),12.5)+L58,0)</f>
        <v/>
      </c>
      <c r="N58" s="5" t="inlineStr">
        <is>
          <t>Low volume - supporting only</t>
        </is>
      </c>
    </row>
    <row r="59">
      <c r="A59" t="inlineStr">
        <is>
          <t>Belgium</t>
        </is>
      </c>
      <c r="B59" t="inlineStr">
        <is>
          <t>be</t>
        </is>
      </c>
      <c r="C59" t="inlineStr">
        <is>
          <t>fr</t>
        </is>
      </c>
      <c r="D59" s="3" t="inlineStr">
        <is>
          <t>https://codesommet.com/web-development-company/worldwide</t>
        </is>
      </c>
      <c r="E59" t="inlineStr">
        <is>
          <t>externalisation développement web</t>
        </is>
      </c>
      <c r="F59" t="n">
        <v>10</v>
      </c>
      <c r="G59" t="inlineStr">
        <is>
          <t>NOT AVAILABLE</t>
        </is>
      </c>
      <c r="H59" t="n">
        <v>0</v>
      </c>
      <c r="I59" t="inlineStr">
        <is>
          <t>NOT AVAILABLE</t>
        </is>
      </c>
      <c r="J59" t="inlineStr">
        <is>
          <t>MEASURED</t>
        </is>
      </c>
      <c r="K59" s="5" t="inlineStr">
        <is>
          <t>vragency.website, sortlist.be, opengraphy.com, akis.studio (SERP "agence web bruxelles")</t>
        </is>
      </c>
      <c r="L59" t="n">
        <v>10</v>
      </c>
      <c r="M59">
        <f>ROUND(IF(IF(I59="NOT AVAILABLE","",I59)="",12,IF(OR(ISNUMBER(SEARCH("Transactional",IF(I59="NOT AVAILABLE","",I59))),ISNUMBER(SEARCH("Commercial",IF(I59="NOT AVAILABLE","",I59)))),25,IF(ISNUMBER(SEARCH("Informational",IF(I59="NOT AVAILABLE","",I59))),10,IF(ISNUMBER(SEARCH("Navigational",IF(I59="NOT AVAILABLE","",I59))),0,12))))+IF(ISNUMBER(F59),MIN(30,ROUND(30*LOG10(F59+1)/4,1)),0)+IF(ISNUMBER(G59),ROUND(25*(100-G59)/100,1),12.5)+L59,0)</f>
        <v/>
      </c>
      <c r="N59" s="5" t="inlineStr">
        <is>
          <t>Low volume - supporting only</t>
        </is>
      </c>
    </row>
    <row r="60">
      <c r="A60" t="inlineStr">
        <is>
          <t>Belgium</t>
        </is>
      </c>
      <c r="B60" t="inlineStr">
        <is>
          <t>be</t>
        </is>
      </c>
      <c r="C60" t="inlineStr">
        <is>
          <t>fr</t>
        </is>
      </c>
      <c r="D60" s="3" t="inlineStr">
        <is>
          <t>https://codesommet.com/web-development-company/worldwide</t>
        </is>
      </c>
      <c r="E60" t="inlineStr">
        <is>
          <t>développement web offshore</t>
        </is>
      </c>
      <c r="F60" t="n">
        <v>10</v>
      </c>
      <c r="G60" t="inlineStr">
        <is>
          <t>NOT AVAILABLE</t>
        </is>
      </c>
      <c r="H60" t="n">
        <v>0</v>
      </c>
      <c r="I60" t="inlineStr">
        <is>
          <t>NOT AVAILABLE</t>
        </is>
      </c>
      <c r="J60" t="inlineStr">
        <is>
          <t>MEASURED</t>
        </is>
      </c>
      <c r="K60" s="5" t="inlineStr">
        <is>
          <t>vragency.website, sortlist.be, opengraphy.com, akis.studio (SERP "agence web bruxelles")</t>
        </is>
      </c>
      <c r="L60" t="n">
        <v>10</v>
      </c>
      <c r="M60">
        <f>ROUND(IF(IF(I60="NOT AVAILABLE","",I60)="",12,IF(OR(ISNUMBER(SEARCH("Transactional",IF(I60="NOT AVAILABLE","",I60))),ISNUMBER(SEARCH("Commercial",IF(I60="NOT AVAILABLE","",I60)))),25,IF(ISNUMBER(SEARCH("Informational",IF(I60="NOT AVAILABLE","",I60))),10,IF(ISNUMBER(SEARCH("Navigational",IF(I60="NOT AVAILABLE","",I60))),0,12))))+IF(ISNUMBER(F60),MIN(30,ROUND(30*LOG10(F60+1)/4,1)),0)+IF(ISNUMBER(G60),ROUND(25*(100-G60)/100,1),12.5)+L60,0)</f>
        <v/>
      </c>
      <c r="N60" s="5" t="inlineStr">
        <is>
          <t>Low volume - supporting only</t>
        </is>
      </c>
    </row>
    <row r="61">
      <c r="A61" t="inlineStr">
        <is>
          <t>Belgium</t>
        </is>
      </c>
      <c r="B61" t="inlineStr">
        <is>
          <t>be</t>
        </is>
      </c>
      <c r="C61" t="inlineStr">
        <is>
          <t>fr</t>
        </is>
      </c>
      <c r="D61" s="3" t="inlineStr">
        <is>
          <t>https://codesommet.com/web-development-company/worldwide</t>
        </is>
      </c>
      <c r="E61" t="inlineStr">
        <is>
          <t>agence web nearshore</t>
        </is>
      </c>
      <c r="F61" t="inlineStr">
        <is>
          <t>NOT AVAILABLE</t>
        </is>
      </c>
      <c r="G61" t="inlineStr">
        <is>
          <t>NOT AVAILABLE</t>
        </is>
      </c>
      <c r="H61" t="inlineStr">
        <is>
          <t>NOT AVAILABLE</t>
        </is>
      </c>
      <c r="I61" t="inlineStr">
        <is>
          <t>NOT AVAILABLE</t>
        </is>
      </c>
      <c r="J61" t="inlineStr">
        <is>
          <t>UNAVAILABLE</t>
        </is>
      </c>
      <c r="K61" s="5" t="inlineStr">
        <is>
          <t>vragency.website, sortlist.be, opengraphy.com, akis.studio (SERP "agence web bruxelles")</t>
        </is>
      </c>
      <c r="L61" t="n">
        <v>10</v>
      </c>
      <c r="M61">
        <f>ROUND(IF(IF(I61="NOT AVAILABLE","",I61)="",12,IF(OR(ISNUMBER(SEARCH("Transactional",IF(I61="NOT AVAILABLE","",I61))),ISNUMBER(SEARCH("Commercial",IF(I61="NOT AVAILABLE","",I61)))),25,IF(ISNUMBER(SEARCH("Informational",IF(I61="NOT AVAILABLE","",I61))),10,IF(ISNUMBER(SEARCH("Navigational",IF(I61="NOT AVAILABLE","",I61))),0,12))))+IF(ISNUMBER(F61),MIN(30,ROUND(30*LOG10(F61+1)/4,1)),0)+IF(ISNUMBER(G61),ROUND(25*(100-G61)/100,1),12.5)+L61,0)</f>
        <v/>
      </c>
      <c r="N61" s="5" t="inlineStr">
        <is>
          <t>No data in this database - do not prioritise</t>
        </is>
      </c>
    </row>
    <row r="62">
      <c r="A62" t="inlineStr">
        <is>
          <t>Belgium</t>
        </is>
      </c>
      <c r="B62" t="inlineStr">
        <is>
          <t>be</t>
        </is>
      </c>
      <c r="C62" t="inlineStr">
        <is>
          <t>fr</t>
        </is>
      </c>
      <c r="D62" s="3" t="inlineStr">
        <is>
          <t>https://codesommet.com/web-development-company/worldwide</t>
        </is>
      </c>
      <c r="E62" t="inlineStr">
        <is>
          <t>développeur maroc</t>
        </is>
      </c>
      <c r="F62" t="n">
        <v>10</v>
      </c>
      <c r="G62" t="inlineStr">
        <is>
          <t>NOT AVAILABLE</t>
        </is>
      </c>
      <c r="H62" t="n">
        <v>0</v>
      </c>
      <c r="I62" t="inlineStr">
        <is>
          <t>NOT AVAILABLE</t>
        </is>
      </c>
      <c r="J62" t="inlineStr">
        <is>
          <t>MEASURED</t>
        </is>
      </c>
      <c r="K62" s="5" t="inlineStr">
        <is>
          <t>vragency.website, sortlist.be, opengraphy.com, akis.studio (SERP "agence web bruxelles")</t>
        </is>
      </c>
      <c r="L62" t="n">
        <v>10</v>
      </c>
      <c r="M62">
        <f>ROUND(IF(IF(I62="NOT AVAILABLE","",I62)="",12,IF(OR(ISNUMBER(SEARCH("Transactional",IF(I62="NOT AVAILABLE","",I62))),ISNUMBER(SEARCH("Commercial",IF(I62="NOT AVAILABLE","",I62)))),25,IF(ISNUMBER(SEARCH("Informational",IF(I62="NOT AVAILABLE","",I62))),10,IF(ISNUMBER(SEARCH("Navigational",IF(I62="NOT AVAILABLE","",I62))),0,12))))+IF(ISNUMBER(F62),MIN(30,ROUND(30*LOG10(F62+1)/4,1)),0)+IF(ISNUMBER(G62),ROUND(25*(100-G62)/100,1),12.5)+L62,0)</f>
        <v/>
      </c>
      <c r="N62" s="5" t="inlineStr">
        <is>
          <t>Low volume - supporting only</t>
        </is>
      </c>
    </row>
    <row r="63">
      <c r="A63" t="inlineStr">
        <is>
          <t>Belgium</t>
        </is>
      </c>
      <c r="B63" t="inlineStr">
        <is>
          <t>be</t>
        </is>
      </c>
      <c r="C63" t="inlineStr">
        <is>
          <t>fr</t>
        </is>
      </c>
      <c r="D63" s="3" t="inlineStr">
        <is>
          <t>https://codesommet.com/web-development-company/worldwide</t>
        </is>
      </c>
      <c r="E63" t="inlineStr">
        <is>
          <t>développement logiciel sur mesure</t>
        </is>
      </c>
      <c r="F63" t="n">
        <v>90</v>
      </c>
      <c r="G63" t="inlineStr">
        <is>
          <t>NOT AVAILABLE</t>
        </is>
      </c>
      <c r="H63" t="n">
        <v>3.41</v>
      </c>
      <c r="I63" t="inlineStr">
        <is>
          <t>NOT AVAILABLE</t>
        </is>
      </c>
      <c r="J63" t="inlineStr">
        <is>
          <t>MEASURED</t>
        </is>
      </c>
      <c r="K63" s="5" t="inlineStr">
        <is>
          <t>vragency.website, sortlist.be, opengraphy.com, akis.studio (SERP "agence web bruxelles")</t>
        </is>
      </c>
      <c r="L63" t="n">
        <v>10</v>
      </c>
      <c r="M63">
        <f>ROUND(IF(IF(I63="NOT AVAILABLE","",I63)="",12,IF(OR(ISNUMBER(SEARCH("Transactional",IF(I63="NOT AVAILABLE","",I63))),ISNUMBER(SEARCH("Commercial",IF(I63="NOT AVAILABLE","",I63)))),25,IF(ISNUMBER(SEARCH("Informational",IF(I63="NOT AVAILABLE","",I63))),10,IF(ISNUMBER(SEARCH("Navigational",IF(I63="NOT AVAILABLE","",I63))),0,12))))+IF(ISNUMBER(F63),MIN(30,ROUND(30*LOG10(F63+1)/4,1)),0)+IF(ISNUMBER(G63),ROUND(25*(100-G63)/100,1),12.5)+L63,0)</f>
        <v/>
      </c>
      <c r="N63" s="5" t="inlineStr">
        <is>
          <t>Low volume - supporting only</t>
        </is>
      </c>
    </row>
    <row r="64">
      <c r="A64" t="inlineStr">
        <is>
          <t>Belgium</t>
        </is>
      </c>
      <c r="B64" t="inlineStr">
        <is>
          <t>be</t>
        </is>
      </c>
      <c r="C64" t="inlineStr">
        <is>
          <t>fr</t>
        </is>
      </c>
      <c r="D64" s="3" t="inlineStr">
        <is>
          <t>https://codesommet.com/web-development-company/worldwide</t>
        </is>
      </c>
      <c r="E64" t="inlineStr">
        <is>
          <t>conception site web</t>
        </is>
      </c>
      <c r="F64" t="n">
        <v>210</v>
      </c>
      <c r="G64" t="n">
        <v>69</v>
      </c>
      <c r="H64" t="n">
        <v>6.32</v>
      </c>
      <c r="I64" t="inlineStr">
        <is>
          <t>Commercial</t>
        </is>
      </c>
      <c r="J64" t="inlineStr">
        <is>
          <t>MEASURED</t>
        </is>
      </c>
      <c r="K64" s="5" t="inlineStr">
        <is>
          <t>vragency.website, sortlist.be, opengraphy.com, akis.studio (SERP "agence web bruxelles")</t>
        </is>
      </c>
      <c r="L64" t="n">
        <v>10</v>
      </c>
      <c r="M64">
        <f>ROUND(IF(IF(I64="NOT AVAILABLE","",I64)="",12,IF(OR(ISNUMBER(SEARCH("Transactional",IF(I64="NOT AVAILABLE","",I64))),ISNUMBER(SEARCH("Commercial",IF(I64="NOT AVAILABLE","",I64)))),25,IF(ISNUMBER(SEARCH("Informational",IF(I64="NOT AVAILABLE","",I64))),10,IF(ISNUMBER(SEARCH("Navigational",IF(I64="NOT AVAILABLE","",I64))),0,12))))+IF(ISNUMBER(F64),MIN(30,ROUND(30*LOG10(F64+1)/4,1)),0)+IF(ISNUMBER(G64),ROUND(25*(100-G64)/100,1),12.5)+L64,0)</f>
        <v/>
      </c>
      <c r="N64" s="5" t="inlineStr">
        <is>
          <t>High difficulty - long-term only, needs authority/links</t>
        </is>
      </c>
    </row>
    <row r="65">
      <c r="A65" t="inlineStr">
        <is>
          <t>Belgium</t>
        </is>
      </c>
      <c r="B65" t="inlineStr">
        <is>
          <t>be</t>
        </is>
      </c>
      <c r="C65" t="inlineStr">
        <is>
          <t>fr</t>
        </is>
      </c>
      <c r="D65" s="3" t="inlineStr">
        <is>
          <t>https://codesommet.com/web-development-company/worldwide</t>
        </is>
      </c>
      <c r="E65" t="inlineStr">
        <is>
          <t>site internet professionnel</t>
        </is>
      </c>
      <c r="F65" t="n">
        <v>70</v>
      </c>
      <c r="G65" t="inlineStr">
        <is>
          <t>NOT AVAILABLE</t>
        </is>
      </c>
      <c r="H65" t="n">
        <v>3.48</v>
      </c>
      <c r="I65" t="inlineStr">
        <is>
          <t>NOT AVAILABLE</t>
        </is>
      </c>
      <c r="J65" t="inlineStr">
        <is>
          <t>MEASURED</t>
        </is>
      </c>
      <c r="K65" s="5" t="inlineStr">
        <is>
          <t>vragency.website, sortlist.be, opengraphy.com, akis.studio (SERP "agence web bruxelles")</t>
        </is>
      </c>
      <c r="L65" t="n">
        <v>10</v>
      </c>
      <c r="M65">
        <f>ROUND(IF(IF(I65="NOT AVAILABLE","",I65)="",12,IF(OR(ISNUMBER(SEARCH("Transactional",IF(I65="NOT AVAILABLE","",I65))),ISNUMBER(SEARCH("Commercial",IF(I65="NOT AVAILABLE","",I65)))),25,IF(ISNUMBER(SEARCH("Informational",IF(I65="NOT AVAILABLE","",I65))),10,IF(ISNUMBER(SEARCH("Navigational",IF(I65="NOT AVAILABLE","",I65))),0,12))))+IF(ISNUMBER(F65),MIN(30,ROUND(30*LOG10(F65+1)/4,1)),0)+IF(ISNUMBER(G65),ROUND(25*(100-G65)/100,1),12.5)+L65,0)</f>
        <v/>
      </c>
      <c r="N65" s="5" t="inlineStr">
        <is>
          <t>Low volume - supporting only</t>
        </is>
      </c>
    </row>
    <row r="66">
      <c r="A66" t="inlineStr">
        <is>
          <t>Belgium</t>
        </is>
      </c>
      <c r="B66" t="inlineStr">
        <is>
          <t>be</t>
        </is>
      </c>
      <c r="C66" t="inlineStr">
        <is>
          <t>fr</t>
        </is>
      </c>
      <c r="D66" s="3" t="inlineStr">
        <is>
          <t>https://codesommet.com/web-development-company/worldwide</t>
        </is>
      </c>
      <c r="E66" t="inlineStr">
        <is>
          <t>webdesigner</t>
        </is>
      </c>
      <c r="F66" t="n">
        <v>880</v>
      </c>
      <c r="G66" t="n">
        <v>27</v>
      </c>
      <c r="H66" t="n">
        <v>3.63</v>
      </c>
      <c r="I66" t="inlineStr">
        <is>
          <t>Commercial</t>
        </is>
      </c>
      <c r="J66" t="inlineStr">
        <is>
          <t>MEASURED</t>
        </is>
      </c>
      <c r="K66" s="5" t="inlineStr">
        <is>
          <t>vragency.website, sortlist.be, opengraphy.com, akis.studio (SERP "agence web bruxelles")</t>
        </is>
      </c>
      <c r="L66" t="n">
        <v>10</v>
      </c>
      <c r="M66">
        <f>ROUND(IF(IF(I66="NOT AVAILABLE","",I66)="",12,IF(OR(ISNUMBER(SEARCH("Transactional",IF(I66="NOT AVAILABLE","",I66))),ISNUMBER(SEARCH("Commercial",IF(I66="NOT AVAILABLE","",I66)))),25,IF(ISNUMBER(SEARCH("Informational",IF(I66="NOT AVAILABLE","",I66))),10,IF(ISNUMBER(SEARCH("Navigational",IF(I66="NOT AVAILABLE","",I66))),0,12))))+IF(ISNUMBER(F66),MIN(30,ROUND(30*LOG10(F66+1)/4,1)),0)+IF(ISNUMBER(G66),ROUND(25*(100-G66)/100,1),12.5)+L66,0)</f>
        <v/>
      </c>
      <c r="N66" s="5" t="inlineStr">
        <is>
          <t>Moderate opportunity - test with existing page before creating anything</t>
        </is>
      </c>
    </row>
    <row r="67">
      <c r="A67" t="inlineStr">
        <is>
          <t>Belgium</t>
        </is>
      </c>
      <c r="B67" t="inlineStr">
        <is>
          <t>be</t>
        </is>
      </c>
      <c r="C67" t="inlineStr">
        <is>
          <t>fr</t>
        </is>
      </c>
      <c r="D67" s="3" t="inlineStr">
        <is>
          <t>https://codesommet.com/web-development-company/worldwide</t>
        </is>
      </c>
      <c r="E67" t="inlineStr">
        <is>
          <t>agence web pas cher</t>
        </is>
      </c>
      <c r="F67" t="n">
        <v>20</v>
      </c>
      <c r="G67" t="inlineStr">
        <is>
          <t>NOT AVAILABLE</t>
        </is>
      </c>
      <c r="H67" t="n">
        <v>0</v>
      </c>
      <c r="I67" t="inlineStr">
        <is>
          <t>NOT AVAILABLE</t>
        </is>
      </c>
      <c r="J67" t="inlineStr">
        <is>
          <t>MEASURED</t>
        </is>
      </c>
      <c r="K67" s="5" t="inlineStr">
        <is>
          <t>vragency.website, sortlist.be, opengraphy.com, akis.studio (SERP "agence web bruxelles")</t>
        </is>
      </c>
      <c r="L67" t="n">
        <v>10</v>
      </c>
      <c r="M67">
        <f>ROUND(IF(IF(I67="NOT AVAILABLE","",I67)="",12,IF(OR(ISNUMBER(SEARCH("Transactional",IF(I67="NOT AVAILABLE","",I67))),ISNUMBER(SEARCH("Commercial",IF(I67="NOT AVAILABLE","",I67)))),25,IF(ISNUMBER(SEARCH("Informational",IF(I67="NOT AVAILABLE","",I67))),10,IF(ISNUMBER(SEARCH("Navigational",IF(I67="NOT AVAILABLE","",I67))),0,12))))+IF(ISNUMBER(F67),MIN(30,ROUND(30*LOG10(F67+1)/4,1)),0)+IF(ISNUMBER(G67),ROUND(25*(100-G67)/100,1),12.5)+L67,0)</f>
        <v/>
      </c>
      <c r="N67" s="5" t="inlineStr">
        <is>
          <t>Low volume - supporting only</t>
        </is>
      </c>
    </row>
    <row r="68">
      <c r="A68" t="inlineStr">
        <is>
          <t>Belgium</t>
        </is>
      </c>
      <c r="B68" t="inlineStr">
        <is>
          <t>be</t>
        </is>
      </c>
      <c r="C68" t="inlineStr">
        <is>
          <t>fr</t>
        </is>
      </c>
      <c r="D68" s="3" t="inlineStr">
        <is>
          <t>https://codesommet.com/web-development-company/brussels</t>
        </is>
      </c>
      <c r="E68" t="inlineStr">
        <is>
          <t>agence web bruxelles</t>
        </is>
      </c>
      <c r="F68" t="n">
        <v>1300</v>
      </c>
      <c r="G68" t="n">
        <v>53</v>
      </c>
      <c r="H68" t="n">
        <v>2.97</v>
      </c>
      <c r="I68" t="inlineStr">
        <is>
          <t>Commercial</t>
        </is>
      </c>
      <c r="J68" t="inlineStr">
        <is>
          <t>MEASURED</t>
        </is>
      </c>
      <c r="K68" s="5" t="inlineStr">
        <is>
          <t>vragency.website, sortlist.be, opengraphy.com, akis.studio (SERP "agence web bruxelles")</t>
        </is>
      </c>
      <c r="L68" t="n">
        <v>10</v>
      </c>
      <c r="M68">
        <f>ROUND(IF(IF(I68="NOT AVAILABLE","",I68)="",12,IF(OR(ISNUMBER(SEARCH("Transactional",IF(I68="NOT AVAILABLE","",I68))),ISNUMBER(SEARCH("Commercial",IF(I68="NOT AVAILABLE","",I68)))),25,IF(ISNUMBER(SEARCH("Informational",IF(I68="NOT AVAILABLE","",I68))),10,IF(ISNUMBER(SEARCH("Navigational",IF(I68="NOT AVAILABLE","",I68))),0,12))))+IF(ISNUMBER(F68),MIN(30,ROUND(30*LOG10(F68+1)/4,1)),0)+IF(ISNUMBER(G68),ROUND(25*(100-G68)/100,1),12.5)+L68,0)</f>
        <v/>
      </c>
      <c r="N68" s="5" t="inlineStr">
        <is>
          <t>High difficulty - long-term only, needs authority/links</t>
        </is>
      </c>
    </row>
    <row r="69">
      <c r="A69" t="inlineStr">
        <is>
          <t>Belgium</t>
        </is>
      </c>
      <c r="B69" t="inlineStr">
        <is>
          <t>be</t>
        </is>
      </c>
      <c r="C69" t="inlineStr">
        <is>
          <t>fr</t>
        </is>
      </c>
      <c r="D69" t="inlineStr">
        <is>
          <t>(no page - see recommendation)</t>
        </is>
      </c>
      <c r="E69" t="inlineStr">
        <is>
          <t>agence web liège</t>
        </is>
      </c>
      <c r="F69" t="n">
        <v>590</v>
      </c>
      <c r="G69" t="n">
        <v>23</v>
      </c>
      <c r="H69" t="n">
        <v>2.84</v>
      </c>
      <c r="I69" t="inlineStr">
        <is>
          <t>Commercial</t>
        </is>
      </c>
      <c r="J69" t="inlineStr">
        <is>
          <t>MEASURED</t>
        </is>
      </c>
      <c r="K69" s="5" t="inlineStr">
        <is>
          <t>vragency.website, sortlist.be, opengraphy.com, akis.studio (SERP "agence web bruxelles")</t>
        </is>
      </c>
      <c r="L69" t="n">
        <v>10</v>
      </c>
      <c r="M69">
        <f>ROUND(IF(IF(I69="NOT AVAILABLE","",I69)="",12,IF(OR(ISNUMBER(SEARCH("Transactional",IF(I69="NOT AVAILABLE","",I69))),ISNUMBER(SEARCH("Commercial",IF(I69="NOT AVAILABLE","",I69)))),25,IF(ISNUMBER(SEARCH("Informational",IF(I69="NOT AVAILABLE","",I69))),10,IF(ISNUMBER(SEARCH("Navigational",IF(I69="NOT AVAILABLE","",I69))),0,12))))+IF(ISNUMBER(F69),MIN(30,ROUND(30*LOG10(F69+1)/4,1)),0)+IF(ISNUMBER(G69),ROUND(25*(100-G69)/100,1),12.5)+L69,0)</f>
        <v/>
      </c>
      <c r="N69" s="5" t="inlineStr">
        <is>
          <t>Opportunity: realistic volume at low KD - target via existing page section</t>
        </is>
      </c>
    </row>
    <row r="70">
      <c r="A70" t="inlineStr">
        <is>
          <t>Belgium</t>
        </is>
      </c>
      <c r="B70" t="inlineStr">
        <is>
          <t>be</t>
        </is>
      </c>
      <c r="C70" t="inlineStr">
        <is>
          <t>fr</t>
        </is>
      </c>
      <c r="D70" s="3" t="inlineStr">
        <is>
          <t>https://codesommet.com/web-development-company/brussels</t>
        </is>
      </c>
      <c r="E70" t="inlineStr">
        <is>
          <t>création site internet bruxelles</t>
        </is>
      </c>
      <c r="F70" t="n">
        <v>390</v>
      </c>
      <c r="G70" t="n">
        <v>15</v>
      </c>
      <c r="H70" t="n">
        <v>0</v>
      </c>
      <c r="I70" t="inlineStr">
        <is>
          <t>Informational</t>
        </is>
      </c>
      <c r="J70" t="inlineStr">
        <is>
          <t>MEASURED</t>
        </is>
      </c>
      <c r="K70" s="5" t="inlineStr">
        <is>
          <t>vragency.website, sortlist.be, opengraphy.com, akis.studio (SERP "agence web bruxelles")</t>
        </is>
      </c>
      <c r="L70" t="n">
        <v>10</v>
      </c>
      <c r="M70">
        <f>ROUND(IF(IF(I70="NOT AVAILABLE","",I70)="",12,IF(OR(ISNUMBER(SEARCH("Transactional",IF(I70="NOT AVAILABLE","",I70))),ISNUMBER(SEARCH("Commercial",IF(I70="NOT AVAILABLE","",I70)))),25,IF(ISNUMBER(SEARCH("Informational",IF(I70="NOT AVAILABLE","",I70))),10,IF(ISNUMBER(SEARCH("Navigational",IF(I70="NOT AVAILABLE","",I70))),0,12))))+IF(ISNUMBER(F70),MIN(30,ROUND(30*LOG10(F70+1)/4,1)),0)+IF(ISNUMBER(G70),ROUND(25*(100-G70)/100,1),12.5)+L70,0)</f>
        <v/>
      </c>
      <c r="N70" s="5" t="inlineStr">
        <is>
          <t>Opportunity: realistic volume at low KD - target via existing page section</t>
        </is>
      </c>
    </row>
    <row r="71">
      <c r="A71" t="inlineStr">
        <is>
          <t>Belgium</t>
        </is>
      </c>
      <c r="B71" t="inlineStr">
        <is>
          <t>be</t>
        </is>
      </c>
      <c r="C71" t="inlineStr">
        <is>
          <t>fr</t>
        </is>
      </c>
      <c r="D71" t="inlineStr">
        <is>
          <t>(no page - see recommendation)</t>
        </is>
      </c>
      <c r="E71" t="inlineStr">
        <is>
          <t>création site web belgique</t>
        </is>
      </c>
      <c r="F71" t="n">
        <v>260</v>
      </c>
      <c r="G71" t="n">
        <v>9</v>
      </c>
      <c r="H71" t="n">
        <v>3.59</v>
      </c>
      <c r="I71" t="inlineStr">
        <is>
          <t>Commercial</t>
        </is>
      </c>
      <c r="J71" t="inlineStr">
        <is>
          <t>MEASURED</t>
        </is>
      </c>
      <c r="K71" s="5" t="inlineStr">
        <is>
          <t>vragency.website, sortlist.be, opengraphy.com, akis.studio (SERP "agence web bruxelles")</t>
        </is>
      </c>
      <c r="L71" t="n">
        <v>10</v>
      </c>
      <c r="M71">
        <f>ROUND(IF(IF(I71="NOT AVAILABLE","",I71)="",12,IF(OR(ISNUMBER(SEARCH("Transactional",IF(I71="NOT AVAILABLE","",I71))),ISNUMBER(SEARCH("Commercial",IF(I71="NOT AVAILABLE","",I71)))),25,IF(ISNUMBER(SEARCH("Informational",IF(I71="NOT AVAILABLE","",I71))),10,IF(ISNUMBER(SEARCH("Navigational",IF(I71="NOT AVAILABLE","",I71))),0,12))))+IF(ISNUMBER(F71),MIN(30,ROUND(30*LOG10(F71+1)/4,1)),0)+IF(ISNUMBER(G71),ROUND(25*(100-G71)/100,1),12.5)+L71,0)</f>
        <v/>
      </c>
      <c r="N71" s="5" t="inlineStr">
        <is>
          <t>Opportunity: realistic volume at low KD - target via existing page section</t>
        </is>
      </c>
    </row>
    <row r="72">
      <c r="A72" t="inlineStr">
        <is>
          <t>Belgium</t>
        </is>
      </c>
      <c r="B72" t="inlineStr">
        <is>
          <t>be</t>
        </is>
      </c>
      <c r="C72" t="inlineStr">
        <is>
          <t>fr</t>
        </is>
      </c>
      <c r="D72" t="inlineStr">
        <is>
          <t>(no page - see recommendation)</t>
        </is>
      </c>
      <c r="E72" t="inlineStr">
        <is>
          <t>agence web belgique</t>
        </is>
      </c>
      <c r="F72" t="n">
        <v>1300</v>
      </c>
      <c r="G72" t="n">
        <v>49</v>
      </c>
      <c r="H72" t="n">
        <v>2.55</v>
      </c>
      <c r="I72" t="inlineStr">
        <is>
          <t>Commercial</t>
        </is>
      </c>
      <c r="J72" t="inlineStr">
        <is>
          <t>MEASURED</t>
        </is>
      </c>
      <c r="K72" s="5" t="inlineStr">
        <is>
          <t>vragency.website, sortlist.be, opengraphy.com, akis.studio (SERP "agence web bruxelles")</t>
        </is>
      </c>
      <c r="L72" t="n">
        <v>10</v>
      </c>
      <c r="M72">
        <f>ROUND(IF(IF(I72="NOT AVAILABLE","",I72)="",12,IF(OR(ISNUMBER(SEARCH("Transactional",IF(I72="NOT AVAILABLE","",I72))),ISNUMBER(SEARCH("Commercial",IF(I72="NOT AVAILABLE","",I72)))),25,IF(ISNUMBER(SEARCH("Informational",IF(I72="NOT AVAILABLE","",I72))),10,IF(ISNUMBER(SEARCH("Navigational",IF(I72="NOT AVAILABLE","",I72))),0,12))))+IF(ISNUMBER(F72),MIN(30,ROUND(30*LOG10(F72+1)/4,1)),0)+IF(ISNUMBER(G72),ROUND(25*(100-G72)/100,1),12.5)+L72,0)</f>
        <v/>
      </c>
      <c r="N72" s="5" t="inlineStr">
        <is>
          <t>Moderate opportunity - test with existing page before creating anything</t>
        </is>
      </c>
    </row>
    <row r="73">
      <c r="A73" t="inlineStr">
        <is>
          <t>Switzerland</t>
        </is>
      </c>
      <c r="B73" t="inlineStr">
        <is>
          <t>ch</t>
        </is>
      </c>
      <c r="C73" t="inlineStr">
        <is>
          <t>fr</t>
        </is>
      </c>
      <c r="D73" s="3" t="inlineStr">
        <is>
          <t>https://codesommet.com/web-development-company/worldwide</t>
        </is>
      </c>
      <c r="E73" t="inlineStr">
        <is>
          <t>agence web</t>
        </is>
      </c>
      <c r="F73" t="n">
        <v>480</v>
      </c>
      <c r="G73" t="n">
        <v>51</v>
      </c>
      <c r="H73" t="n">
        <v>3.91</v>
      </c>
      <c r="I73" t="inlineStr">
        <is>
          <t>Commercial</t>
        </is>
      </c>
      <c r="J73" t="inlineStr">
        <is>
          <t>MEASURED</t>
        </is>
      </c>
      <c r="K73" s="5" t="inlineStr">
        <is>
          <t>NOT AVAILABLE (SERP not pulled for this market)</t>
        </is>
      </c>
      <c r="L73" t="n">
        <v>10</v>
      </c>
      <c r="M73">
        <f>ROUND(IF(IF(I73="NOT AVAILABLE","",I73)="",12,IF(OR(ISNUMBER(SEARCH("Transactional",IF(I73="NOT AVAILABLE","",I73))),ISNUMBER(SEARCH("Commercial",IF(I73="NOT AVAILABLE","",I73)))),25,IF(ISNUMBER(SEARCH("Informational",IF(I73="NOT AVAILABLE","",I73))),10,IF(ISNUMBER(SEARCH("Navigational",IF(I73="NOT AVAILABLE","",I73))),0,12))))+IF(ISNUMBER(F73),MIN(30,ROUND(30*LOG10(F73+1)/4,1)),0)+IF(ISNUMBER(G73),ROUND(25*(100-G73)/100,1),12.5)+L73,0)</f>
        <v/>
      </c>
      <c r="N73" s="5" t="inlineStr">
        <is>
          <t>High difficulty - long-term only, needs authority/links</t>
        </is>
      </c>
    </row>
    <row r="74">
      <c r="A74" t="inlineStr">
        <is>
          <t>Switzerland</t>
        </is>
      </c>
      <c r="B74" t="inlineStr">
        <is>
          <t>ch</t>
        </is>
      </c>
      <c r="C74" t="inlineStr">
        <is>
          <t>fr</t>
        </is>
      </c>
      <c r="D74" s="3" t="inlineStr">
        <is>
          <t>https://codesommet.com/web-development-company/worldwide</t>
        </is>
      </c>
      <c r="E74" t="inlineStr">
        <is>
          <t>création site web</t>
        </is>
      </c>
      <c r="F74" t="n">
        <v>170</v>
      </c>
      <c r="G74" t="n">
        <v>66</v>
      </c>
      <c r="H74" t="n">
        <v>6.27</v>
      </c>
      <c r="I74" t="inlineStr">
        <is>
          <t>Commercial</t>
        </is>
      </c>
      <c r="J74" t="inlineStr">
        <is>
          <t>MEASURED</t>
        </is>
      </c>
      <c r="K74" s="5" t="inlineStr">
        <is>
          <t>NOT AVAILABLE (SERP not pulled for this market)</t>
        </is>
      </c>
      <c r="L74" t="n">
        <v>10</v>
      </c>
      <c r="M74">
        <f>ROUND(IF(IF(I74="NOT AVAILABLE","",I74)="",12,IF(OR(ISNUMBER(SEARCH("Transactional",IF(I74="NOT AVAILABLE","",I74))),ISNUMBER(SEARCH("Commercial",IF(I74="NOT AVAILABLE","",I74)))),25,IF(ISNUMBER(SEARCH("Informational",IF(I74="NOT AVAILABLE","",I74))),10,IF(ISNUMBER(SEARCH("Navigational",IF(I74="NOT AVAILABLE","",I74))),0,12))))+IF(ISNUMBER(F74),MIN(30,ROUND(30*LOG10(F74+1)/4,1)),0)+IF(ISNUMBER(G74),ROUND(25*(100-G74)/100,1),12.5)+L74,0)</f>
        <v/>
      </c>
      <c r="N74" s="5" t="inlineStr">
        <is>
          <t>High difficulty - long-term only, needs authority/links</t>
        </is>
      </c>
    </row>
    <row r="75">
      <c r="A75" t="inlineStr">
        <is>
          <t>Switzerland</t>
        </is>
      </c>
      <c r="B75" t="inlineStr">
        <is>
          <t>ch</t>
        </is>
      </c>
      <c r="C75" t="inlineStr">
        <is>
          <t>fr</t>
        </is>
      </c>
      <c r="D75" s="3" t="inlineStr">
        <is>
          <t>https://codesommet.com/web-development-company/worldwide</t>
        </is>
      </c>
      <c r="E75" t="inlineStr">
        <is>
          <t>création site internet</t>
        </is>
      </c>
      <c r="F75" t="n">
        <v>480</v>
      </c>
      <c r="G75" t="n">
        <v>67</v>
      </c>
      <c r="H75" t="n">
        <v>8.98</v>
      </c>
      <c r="I75" t="inlineStr">
        <is>
          <t>Commercial</t>
        </is>
      </c>
      <c r="J75" t="inlineStr">
        <is>
          <t>MEASURED</t>
        </is>
      </c>
      <c r="K75" s="5" t="inlineStr">
        <is>
          <t>NOT AVAILABLE (SERP not pulled for this market)</t>
        </is>
      </c>
      <c r="L75" t="n">
        <v>10</v>
      </c>
      <c r="M75">
        <f>ROUND(IF(IF(I75="NOT AVAILABLE","",I75)="",12,IF(OR(ISNUMBER(SEARCH("Transactional",IF(I75="NOT AVAILABLE","",I75))),ISNUMBER(SEARCH("Commercial",IF(I75="NOT AVAILABLE","",I75)))),25,IF(ISNUMBER(SEARCH("Informational",IF(I75="NOT AVAILABLE","",I75))),10,IF(ISNUMBER(SEARCH("Navigational",IF(I75="NOT AVAILABLE","",I75))),0,12))))+IF(ISNUMBER(F75),MIN(30,ROUND(30*LOG10(F75+1)/4,1)),0)+IF(ISNUMBER(G75),ROUND(25*(100-G75)/100,1),12.5)+L75,0)</f>
        <v/>
      </c>
      <c r="N75" s="5" t="inlineStr">
        <is>
          <t>High difficulty - long-term only, needs authority/links</t>
        </is>
      </c>
    </row>
    <row r="76">
      <c r="A76" t="inlineStr">
        <is>
          <t>Switzerland</t>
        </is>
      </c>
      <c r="B76" t="inlineStr">
        <is>
          <t>ch</t>
        </is>
      </c>
      <c r="C76" t="inlineStr">
        <is>
          <t>fr</t>
        </is>
      </c>
      <c r="D76" s="3" t="inlineStr">
        <is>
          <t>https://codesommet.com/web-development-company/worldwide</t>
        </is>
      </c>
      <c r="E76" t="inlineStr">
        <is>
          <t>création site e-commerce</t>
        </is>
      </c>
      <c r="F76" t="n">
        <v>40</v>
      </c>
      <c r="G76" t="inlineStr">
        <is>
          <t>NOT AVAILABLE</t>
        </is>
      </c>
      <c r="H76" t="n">
        <v>0</v>
      </c>
      <c r="I76" t="inlineStr">
        <is>
          <t>NOT AVAILABLE</t>
        </is>
      </c>
      <c r="J76" t="inlineStr">
        <is>
          <t>MEASURED</t>
        </is>
      </c>
      <c r="K76" s="5" t="inlineStr">
        <is>
          <t>NOT AVAILABLE (SERP not pulled for this market)</t>
        </is>
      </c>
      <c r="L76" t="n">
        <v>10</v>
      </c>
      <c r="M76">
        <f>ROUND(IF(IF(I76="NOT AVAILABLE","",I76)="",12,IF(OR(ISNUMBER(SEARCH("Transactional",IF(I76="NOT AVAILABLE","",I76))),ISNUMBER(SEARCH("Commercial",IF(I76="NOT AVAILABLE","",I76)))),25,IF(ISNUMBER(SEARCH("Informational",IF(I76="NOT AVAILABLE","",I76))),10,IF(ISNUMBER(SEARCH("Navigational",IF(I76="NOT AVAILABLE","",I76))),0,12))))+IF(ISNUMBER(F76),MIN(30,ROUND(30*LOG10(F76+1)/4,1)),0)+IF(ISNUMBER(G76),ROUND(25*(100-G76)/100,1),12.5)+L76,0)</f>
        <v/>
      </c>
      <c r="N76" s="5" t="inlineStr">
        <is>
          <t>Low volume - supporting only</t>
        </is>
      </c>
    </row>
    <row r="77">
      <c r="A77" t="inlineStr">
        <is>
          <t>Switzerland</t>
        </is>
      </c>
      <c r="B77" t="inlineStr">
        <is>
          <t>ch</t>
        </is>
      </c>
      <c r="C77" t="inlineStr">
        <is>
          <t>fr</t>
        </is>
      </c>
      <c r="D77" s="3" t="inlineStr">
        <is>
          <t>https://codesommet.com/web-development-company/worldwide</t>
        </is>
      </c>
      <c r="E77" t="inlineStr">
        <is>
          <t>agence de développement web</t>
        </is>
      </c>
      <c r="F77" t="n">
        <v>30</v>
      </c>
      <c r="G77" t="inlineStr">
        <is>
          <t>NOT AVAILABLE</t>
        </is>
      </c>
      <c r="H77" t="n">
        <v>0</v>
      </c>
      <c r="I77" t="inlineStr">
        <is>
          <t>NOT AVAILABLE</t>
        </is>
      </c>
      <c r="J77" t="inlineStr">
        <is>
          <t>MEASURED</t>
        </is>
      </c>
      <c r="K77" s="5" t="inlineStr">
        <is>
          <t>NOT AVAILABLE (SERP not pulled for this market)</t>
        </is>
      </c>
      <c r="L77" t="n">
        <v>10</v>
      </c>
      <c r="M77">
        <f>ROUND(IF(IF(I77="NOT AVAILABLE","",I77)="",12,IF(OR(ISNUMBER(SEARCH("Transactional",IF(I77="NOT AVAILABLE","",I77))),ISNUMBER(SEARCH("Commercial",IF(I77="NOT AVAILABLE","",I77)))),25,IF(ISNUMBER(SEARCH("Informational",IF(I77="NOT AVAILABLE","",I77))),10,IF(ISNUMBER(SEARCH("Navigational",IF(I77="NOT AVAILABLE","",I77))),0,12))))+IF(ISNUMBER(F77),MIN(30,ROUND(30*LOG10(F77+1)/4,1)),0)+IF(ISNUMBER(G77),ROUND(25*(100-G77)/100,1),12.5)+L77,0)</f>
        <v/>
      </c>
      <c r="N77" s="5" t="inlineStr">
        <is>
          <t>Low volume - supporting only</t>
        </is>
      </c>
    </row>
    <row r="78">
      <c r="A78" t="inlineStr">
        <is>
          <t>Switzerland</t>
        </is>
      </c>
      <c r="B78" t="inlineStr">
        <is>
          <t>ch</t>
        </is>
      </c>
      <c r="C78" t="inlineStr">
        <is>
          <t>fr</t>
        </is>
      </c>
      <c r="D78" s="3" t="inlineStr">
        <is>
          <t>https://codesommet.com/web-development-company/worldwide</t>
        </is>
      </c>
      <c r="E78" t="inlineStr">
        <is>
          <t>développement web sur mesure</t>
        </is>
      </c>
      <c r="F78" t="n">
        <v>50</v>
      </c>
      <c r="G78" t="inlineStr">
        <is>
          <t>NOT AVAILABLE</t>
        </is>
      </c>
      <c r="H78" t="n">
        <v>0</v>
      </c>
      <c r="I78" t="inlineStr">
        <is>
          <t>NOT AVAILABLE</t>
        </is>
      </c>
      <c r="J78" t="inlineStr">
        <is>
          <t>MEASURED</t>
        </is>
      </c>
      <c r="K78" s="5" t="inlineStr">
        <is>
          <t>NOT AVAILABLE (SERP not pulled for this market)</t>
        </is>
      </c>
      <c r="L78" t="n">
        <v>10</v>
      </c>
      <c r="M78">
        <f>ROUND(IF(IF(I78="NOT AVAILABLE","",I78)="",12,IF(OR(ISNUMBER(SEARCH("Transactional",IF(I78="NOT AVAILABLE","",I78))),ISNUMBER(SEARCH("Commercial",IF(I78="NOT AVAILABLE","",I78)))),25,IF(ISNUMBER(SEARCH("Informational",IF(I78="NOT AVAILABLE","",I78))),10,IF(ISNUMBER(SEARCH("Navigational",IF(I78="NOT AVAILABLE","",I78))),0,12))))+IF(ISNUMBER(F78),MIN(30,ROUND(30*LOG10(F78+1)/4,1)),0)+IF(ISNUMBER(G78),ROUND(25*(100-G78)/100,1),12.5)+L78,0)</f>
        <v/>
      </c>
      <c r="N78" s="5" t="inlineStr">
        <is>
          <t>Low volume - supporting only</t>
        </is>
      </c>
    </row>
    <row r="79">
      <c r="A79" t="inlineStr">
        <is>
          <t>Switzerland</t>
        </is>
      </c>
      <c r="B79" t="inlineStr">
        <is>
          <t>ch</t>
        </is>
      </c>
      <c r="C79" t="inlineStr">
        <is>
          <t>fr</t>
        </is>
      </c>
      <c r="D79" s="3" t="inlineStr">
        <is>
          <t>https://codesommet.com/web-development-company/worldwide</t>
        </is>
      </c>
      <c r="E79" t="inlineStr">
        <is>
          <t>développement application web</t>
        </is>
      </c>
      <c r="F79" t="n">
        <v>320</v>
      </c>
      <c r="G79" t="n">
        <v>8</v>
      </c>
      <c r="H79" t="n">
        <v>0</v>
      </c>
      <c r="I79" t="inlineStr">
        <is>
          <t>Informational</t>
        </is>
      </c>
      <c r="J79" t="inlineStr">
        <is>
          <t>MEASURED</t>
        </is>
      </c>
      <c r="K79" s="5" t="inlineStr">
        <is>
          <t>NOT AVAILABLE (SERP not pulled for this market)</t>
        </is>
      </c>
      <c r="L79" t="n">
        <v>10</v>
      </c>
      <c r="M79">
        <f>ROUND(IF(IF(I79="NOT AVAILABLE","",I79)="",12,IF(OR(ISNUMBER(SEARCH("Transactional",IF(I79="NOT AVAILABLE","",I79))),ISNUMBER(SEARCH("Commercial",IF(I79="NOT AVAILABLE","",I79)))),25,IF(ISNUMBER(SEARCH("Informational",IF(I79="NOT AVAILABLE","",I79))),10,IF(ISNUMBER(SEARCH("Navigational",IF(I79="NOT AVAILABLE","",I79))),0,12))))+IF(ISNUMBER(F79),MIN(30,ROUND(30*LOG10(F79+1)/4,1)),0)+IF(ISNUMBER(G79),ROUND(25*(100-G79)/100,1),12.5)+L79,0)</f>
        <v/>
      </c>
      <c r="N79" s="5" t="inlineStr">
        <is>
          <t>Opportunity: realistic volume at low KD - target via existing page section</t>
        </is>
      </c>
    </row>
    <row r="80">
      <c r="A80" t="inlineStr">
        <is>
          <t>Switzerland</t>
        </is>
      </c>
      <c r="B80" t="inlineStr">
        <is>
          <t>ch</t>
        </is>
      </c>
      <c r="C80" t="inlineStr">
        <is>
          <t>fr</t>
        </is>
      </c>
      <c r="D80" s="3" t="inlineStr">
        <is>
          <t>https://codesommet.com/web-development-company/worldwide</t>
        </is>
      </c>
      <c r="E80" t="inlineStr">
        <is>
          <t>agence seo</t>
        </is>
      </c>
      <c r="F80" t="n">
        <v>260</v>
      </c>
      <c r="G80" t="n">
        <v>21</v>
      </c>
      <c r="H80" t="n">
        <v>7.5</v>
      </c>
      <c r="I80" t="inlineStr">
        <is>
          <t>Commercial</t>
        </is>
      </c>
      <c r="J80" t="inlineStr">
        <is>
          <t>MEASURED</t>
        </is>
      </c>
      <c r="K80" s="5" t="inlineStr">
        <is>
          <t>NOT AVAILABLE (SERP not pulled for this market)</t>
        </is>
      </c>
      <c r="L80" t="n">
        <v>10</v>
      </c>
      <c r="M80">
        <f>ROUND(IF(IF(I80="NOT AVAILABLE","",I80)="",12,IF(OR(ISNUMBER(SEARCH("Transactional",IF(I80="NOT AVAILABLE","",I80))),ISNUMBER(SEARCH("Commercial",IF(I80="NOT AVAILABLE","",I80)))),25,IF(ISNUMBER(SEARCH("Informational",IF(I80="NOT AVAILABLE","",I80))),10,IF(ISNUMBER(SEARCH("Navigational",IF(I80="NOT AVAILABLE","",I80))),0,12))))+IF(ISNUMBER(F80),MIN(30,ROUND(30*LOG10(F80+1)/4,1)),0)+IF(ISNUMBER(G80),ROUND(25*(100-G80)/100,1),12.5)+L80,0)</f>
        <v/>
      </c>
      <c r="N80" s="5" t="inlineStr">
        <is>
          <t>Opportunity: realistic volume at low KD - target via existing page section</t>
        </is>
      </c>
    </row>
    <row r="81">
      <c r="A81" t="inlineStr">
        <is>
          <t>Switzerland</t>
        </is>
      </c>
      <c r="B81" t="inlineStr">
        <is>
          <t>ch</t>
        </is>
      </c>
      <c r="C81" t="inlineStr">
        <is>
          <t>fr</t>
        </is>
      </c>
      <c r="D81" s="3" t="inlineStr">
        <is>
          <t>https://codesommet.com/web-development-company/worldwide</t>
        </is>
      </c>
      <c r="E81" t="inlineStr">
        <is>
          <t>référencement naturel</t>
        </is>
      </c>
      <c r="F81" t="n">
        <v>70</v>
      </c>
      <c r="G81" t="n">
        <v>41</v>
      </c>
      <c r="H81" t="n">
        <v>3.1</v>
      </c>
      <c r="I81" t="inlineStr">
        <is>
          <t>Informational</t>
        </is>
      </c>
      <c r="J81" t="inlineStr">
        <is>
          <t>MEASURED</t>
        </is>
      </c>
      <c r="K81" s="5" t="inlineStr">
        <is>
          <t>NOT AVAILABLE (SERP not pulled for this market)</t>
        </is>
      </c>
      <c r="L81" t="n">
        <v>10</v>
      </c>
      <c r="M81">
        <f>ROUND(IF(IF(I81="NOT AVAILABLE","",I81)="",12,IF(OR(ISNUMBER(SEARCH("Transactional",IF(I81="NOT AVAILABLE","",I81))),ISNUMBER(SEARCH("Commercial",IF(I81="NOT AVAILABLE","",I81)))),25,IF(ISNUMBER(SEARCH("Informational",IF(I81="NOT AVAILABLE","",I81))),10,IF(ISNUMBER(SEARCH("Navigational",IF(I81="NOT AVAILABLE","",I81))),0,12))))+IF(ISNUMBER(F81),MIN(30,ROUND(30*LOG10(F81+1)/4,1)),0)+IF(ISNUMBER(G81),ROUND(25*(100-G81)/100,1),12.5)+L81,0)</f>
        <v/>
      </c>
      <c r="N81" s="5" t="inlineStr">
        <is>
          <t>Low volume - supporting only</t>
        </is>
      </c>
    </row>
    <row r="82">
      <c r="A82" t="inlineStr">
        <is>
          <t>Switzerland</t>
        </is>
      </c>
      <c r="B82" t="inlineStr">
        <is>
          <t>ch</t>
        </is>
      </c>
      <c r="C82" t="inlineStr">
        <is>
          <t>fr</t>
        </is>
      </c>
      <c r="D82" s="3" t="inlineStr">
        <is>
          <t>https://codesommet.com/web-development-company/worldwide</t>
        </is>
      </c>
      <c r="E82" t="inlineStr">
        <is>
          <t>agence web offshore</t>
        </is>
      </c>
      <c r="F82" t="inlineStr">
        <is>
          <t>NOT AVAILABLE</t>
        </is>
      </c>
      <c r="G82" t="inlineStr">
        <is>
          <t>NOT AVAILABLE</t>
        </is>
      </c>
      <c r="H82" t="inlineStr">
        <is>
          <t>NOT AVAILABLE</t>
        </is>
      </c>
      <c r="I82" t="inlineStr">
        <is>
          <t>NOT AVAILABLE</t>
        </is>
      </c>
      <c r="J82" t="inlineStr">
        <is>
          <t>UNAVAILABLE</t>
        </is>
      </c>
      <c r="K82" s="5" t="inlineStr">
        <is>
          <t>NOT AVAILABLE (SERP not pulled for this market)</t>
        </is>
      </c>
      <c r="L82" t="n">
        <v>10</v>
      </c>
      <c r="M82">
        <f>ROUND(IF(IF(I82="NOT AVAILABLE","",I82)="",12,IF(OR(ISNUMBER(SEARCH("Transactional",IF(I82="NOT AVAILABLE","",I82))),ISNUMBER(SEARCH("Commercial",IF(I82="NOT AVAILABLE","",I82)))),25,IF(ISNUMBER(SEARCH("Informational",IF(I82="NOT AVAILABLE","",I82))),10,IF(ISNUMBER(SEARCH("Navigational",IF(I82="NOT AVAILABLE","",I82))),0,12))))+IF(ISNUMBER(F82),MIN(30,ROUND(30*LOG10(F82+1)/4,1)),0)+IF(ISNUMBER(G82),ROUND(25*(100-G82)/100,1),12.5)+L82,0)</f>
        <v/>
      </c>
      <c r="N82" s="5" t="inlineStr">
        <is>
          <t>No data in this database - do not prioritise</t>
        </is>
      </c>
    </row>
    <row r="83">
      <c r="A83" t="inlineStr">
        <is>
          <t>Switzerland</t>
        </is>
      </c>
      <c r="B83" t="inlineStr">
        <is>
          <t>ch</t>
        </is>
      </c>
      <c r="C83" t="inlineStr">
        <is>
          <t>fr</t>
        </is>
      </c>
      <c r="D83" s="3" t="inlineStr">
        <is>
          <t>https://codesommet.com/web-development-company/worldwide</t>
        </is>
      </c>
      <c r="E83" t="inlineStr">
        <is>
          <t>développeur web freelance</t>
        </is>
      </c>
      <c r="F83" t="n">
        <v>30</v>
      </c>
      <c r="G83" t="inlineStr">
        <is>
          <t>NOT AVAILABLE</t>
        </is>
      </c>
      <c r="H83" t="n">
        <v>3.39</v>
      </c>
      <c r="I83" t="inlineStr">
        <is>
          <t>NOT AVAILABLE</t>
        </is>
      </c>
      <c r="J83" t="inlineStr">
        <is>
          <t>MEASURED</t>
        </is>
      </c>
      <c r="K83" s="5" t="inlineStr">
        <is>
          <t>NOT AVAILABLE (SERP not pulled for this market)</t>
        </is>
      </c>
      <c r="L83" t="n">
        <v>10</v>
      </c>
      <c r="M83">
        <f>ROUND(IF(IF(I83="NOT AVAILABLE","",I83)="",12,IF(OR(ISNUMBER(SEARCH("Transactional",IF(I83="NOT AVAILABLE","",I83))),ISNUMBER(SEARCH("Commercial",IF(I83="NOT AVAILABLE","",I83)))),25,IF(ISNUMBER(SEARCH("Informational",IF(I83="NOT AVAILABLE","",I83))),10,IF(ISNUMBER(SEARCH("Navigational",IF(I83="NOT AVAILABLE","",I83))),0,12))))+IF(ISNUMBER(F83),MIN(30,ROUND(30*LOG10(F83+1)/4,1)),0)+IF(ISNUMBER(G83),ROUND(25*(100-G83)/100,1),12.5)+L83,0)</f>
        <v/>
      </c>
      <c r="N83" s="5" t="inlineStr">
        <is>
          <t>Low volume - supporting only</t>
        </is>
      </c>
    </row>
    <row r="84">
      <c r="A84" t="inlineStr">
        <is>
          <t>Switzerland</t>
        </is>
      </c>
      <c r="B84" t="inlineStr">
        <is>
          <t>ch</t>
        </is>
      </c>
      <c r="C84" t="inlineStr">
        <is>
          <t>fr</t>
        </is>
      </c>
      <c r="D84" s="3" t="inlineStr">
        <is>
          <t>https://codesommet.com/web-development-company/worldwide</t>
        </is>
      </c>
      <c r="E84" t="inlineStr">
        <is>
          <t>prix site web</t>
        </is>
      </c>
      <c r="F84" t="n">
        <v>30</v>
      </c>
      <c r="G84" t="inlineStr">
        <is>
          <t>NOT AVAILABLE</t>
        </is>
      </c>
      <c r="H84" t="n">
        <v>3.93</v>
      </c>
      <c r="I84" t="inlineStr">
        <is>
          <t>NOT AVAILABLE</t>
        </is>
      </c>
      <c r="J84" t="inlineStr">
        <is>
          <t>MEASURED</t>
        </is>
      </c>
      <c r="K84" s="5" t="inlineStr">
        <is>
          <t>NOT AVAILABLE (SERP not pulled for this market)</t>
        </is>
      </c>
      <c r="L84" t="n">
        <v>10</v>
      </c>
      <c r="M84">
        <f>ROUND(IF(IF(I84="NOT AVAILABLE","",I84)="",12,IF(OR(ISNUMBER(SEARCH("Transactional",IF(I84="NOT AVAILABLE","",I84))),ISNUMBER(SEARCH("Commercial",IF(I84="NOT AVAILABLE","",I84)))),25,IF(ISNUMBER(SEARCH("Informational",IF(I84="NOT AVAILABLE","",I84))),10,IF(ISNUMBER(SEARCH("Navigational",IF(I84="NOT AVAILABLE","",I84))),0,12))))+IF(ISNUMBER(F84),MIN(30,ROUND(30*LOG10(F84+1)/4,1)),0)+IF(ISNUMBER(G84),ROUND(25*(100-G84)/100,1),12.5)+L84,0)</f>
        <v/>
      </c>
      <c r="N84" s="5" t="inlineStr">
        <is>
          <t>Low volume - supporting only</t>
        </is>
      </c>
    </row>
    <row r="85">
      <c r="A85" t="inlineStr">
        <is>
          <t>Switzerland</t>
        </is>
      </c>
      <c r="B85" t="inlineStr">
        <is>
          <t>ch</t>
        </is>
      </c>
      <c r="C85" t="inlineStr">
        <is>
          <t>fr</t>
        </is>
      </c>
      <c r="D85" s="3" t="inlineStr">
        <is>
          <t>https://codesommet.com/web-development-company/worldwide</t>
        </is>
      </c>
      <c r="E85" t="inlineStr">
        <is>
          <t>prix création site internet</t>
        </is>
      </c>
      <c r="F85" t="n">
        <v>90</v>
      </c>
      <c r="G85" t="n">
        <v>10</v>
      </c>
      <c r="H85" t="n">
        <v>3.15</v>
      </c>
      <c r="I85" t="inlineStr">
        <is>
          <t>Informational</t>
        </is>
      </c>
      <c r="J85" t="inlineStr">
        <is>
          <t>MEASURED</t>
        </is>
      </c>
      <c r="K85" s="5" t="inlineStr">
        <is>
          <t>NOT AVAILABLE (SERP not pulled for this market)</t>
        </is>
      </c>
      <c r="L85" t="n">
        <v>10</v>
      </c>
      <c r="M85">
        <f>ROUND(IF(IF(I85="NOT AVAILABLE","",I85)="",12,IF(OR(ISNUMBER(SEARCH("Transactional",IF(I85="NOT AVAILABLE","",I85))),ISNUMBER(SEARCH("Commercial",IF(I85="NOT AVAILABLE","",I85)))),25,IF(ISNUMBER(SEARCH("Informational",IF(I85="NOT AVAILABLE","",I85))),10,IF(ISNUMBER(SEARCH("Navigational",IF(I85="NOT AVAILABLE","",I85))),0,12))))+IF(ISNUMBER(F85),MIN(30,ROUND(30*LOG10(F85+1)/4,1)),0)+IF(ISNUMBER(G85),ROUND(25*(100-G85)/100,1),12.5)+L85,0)</f>
        <v/>
      </c>
      <c r="N85" s="5" t="inlineStr">
        <is>
          <t>Low volume - supporting only</t>
        </is>
      </c>
    </row>
    <row r="86">
      <c r="A86" t="inlineStr">
        <is>
          <t>Switzerland</t>
        </is>
      </c>
      <c r="B86" t="inlineStr">
        <is>
          <t>ch</t>
        </is>
      </c>
      <c r="C86" t="inlineStr">
        <is>
          <t>fr</t>
        </is>
      </c>
      <c r="D86" s="3" t="inlineStr">
        <is>
          <t>https://codesommet.com/web-development-company/worldwide</t>
        </is>
      </c>
      <c r="E86" t="inlineStr">
        <is>
          <t>création site vitrine</t>
        </is>
      </c>
      <c r="F86" t="n">
        <v>40</v>
      </c>
      <c r="G86" t="inlineStr">
        <is>
          <t>NOT AVAILABLE</t>
        </is>
      </c>
      <c r="H86" t="n">
        <v>0</v>
      </c>
      <c r="I86" t="inlineStr">
        <is>
          <t>NOT AVAILABLE</t>
        </is>
      </c>
      <c r="J86" t="inlineStr">
        <is>
          <t>MEASURED</t>
        </is>
      </c>
      <c r="K86" s="5" t="inlineStr">
        <is>
          <t>NOT AVAILABLE (SERP not pulled for this market)</t>
        </is>
      </c>
      <c r="L86" t="n">
        <v>10</v>
      </c>
      <c r="M86">
        <f>ROUND(IF(IF(I86="NOT AVAILABLE","",I86)="",12,IF(OR(ISNUMBER(SEARCH("Transactional",IF(I86="NOT AVAILABLE","",I86))),ISNUMBER(SEARCH("Commercial",IF(I86="NOT AVAILABLE","",I86)))),25,IF(ISNUMBER(SEARCH("Informational",IF(I86="NOT AVAILABLE","",I86))),10,IF(ISNUMBER(SEARCH("Navigational",IF(I86="NOT AVAILABLE","",I86))),0,12))))+IF(ISNUMBER(F86),MIN(30,ROUND(30*LOG10(F86+1)/4,1)),0)+IF(ISNUMBER(G86),ROUND(25*(100-G86)/100,1),12.5)+L86,0)</f>
        <v/>
      </c>
      <c r="N86" s="5" t="inlineStr">
        <is>
          <t>Low volume - supporting only</t>
        </is>
      </c>
    </row>
    <row r="87">
      <c r="A87" t="inlineStr">
        <is>
          <t>Switzerland</t>
        </is>
      </c>
      <c r="B87" t="inlineStr">
        <is>
          <t>ch</t>
        </is>
      </c>
      <c r="C87" t="inlineStr">
        <is>
          <t>fr</t>
        </is>
      </c>
      <c r="D87" s="3" t="inlineStr">
        <is>
          <t>https://codesommet.com/web-development-company/worldwide</t>
        </is>
      </c>
      <c r="E87" t="inlineStr">
        <is>
          <t>refonte site web</t>
        </is>
      </c>
      <c r="F87" t="n">
        <v>20</v>
      </c>
      <c r="G87" t="inlineStr">
        <is>
          <t>NOT AVAILABLE</t>
        </is>
      </c>
      <c r="H87" t="n">
        <v>4.33</v>
      </c>
      <c r="I87" t="inlineStr">
        <is>
          <t>NOT AVAILABLE</t>
        </is>
      </c>
      <c r="J87" t="inlineStr">
        <is>
          <t>MEASURED</t>
        </is>
      </c>
      <c r="K87" s="5" t="inlineStr">
        <is>
          <t>NOT AVAILABLE (SERP not pulled for this market)</t>
        </is>
      </c>
      <c r="L87" t="n">
        <v>10</v>
      </c>
      <c r="M87">
        <f>ROUND(IF(IF(I87="NOT AVAILABLE","",I87)="",12,IF(OR(ISNUMBER(SEARCH("Transactional",IF(I87="NOT AVAILABLE","",I87))),ISNUMBER(SEARCH("Commercial",IF(I87="NOT AVAILABLE","",I87)))),25,IF(ISNUMBER(SEARCH("Informational",IF(I87="NOT AVAILABLE","",I87))),10,IF(ISNUMBER(SEARCH("Navigational",IF(I87="NOT AVAILABLE","",I87))),0,12))))+IF(ISNUMBER(F87),MIN(30,ROUND(30*LOG10(F87+1)/4,1)),0)+IF(ISNUMBER(G87),ROUND(25*(100-G87)/100,1),12.5)+L87,0)</f>
        <v/>
      </c>
      <c r="N87" s="5" t="inlineStr">
        <is>
          <t>Low volume - supporting only</t>
        </is>
      </c>
    </row>
    <row r="88">
      <c r="A88" t="inlineStr">
        <is>
          <t>Switzerland</t>
        </is>
      </c>
      <c r="B88" t="inlineStr">
        <is>
          <t>ch</t>
        </is>
      </c>
      <c r="C88" t="inlineStr">
        <is>
          <t>fr</t>
        </is>
      </c>
      <c r="D88" s="3" t="inlineStr">
        <is>
          <t>https://codesommet.com/web-development-company/worldwide</t>
        </is>
      </c>
      <c r="E88" t="inlineStr">
        <is>
          <t>agence digitale</t>
        </is>
      </c>
      <c r="F88" t="n">
        <v>90</v>
      </c>
      <c r="G88" t="n">
        <v>47</v>
      </c>
      <c r="H88" t="n">
        <v>5.83</v>
      </c>
      <c r="I88" t="inlineStr">
        <is>
          <t>Commercial</t>
        </is>
      </c>
      <c r="J88" t="inlineStr">
        <is>
          <t>MEASURED</t>
        </is>
      </c>
      <c r="K88" s="5" t="inlineStr">
        <is>
          <t>NOT AVAILABLE (SERP not pulled for this market)</t>
        </is>
      </c>
      <c r="L88" t="n">
        <v>10</v>
      </c>
      <c r="M88">
        <f>ROUND(IF(IF(I88="NOT AVAILABLE","",I88)="",12,IF(OR(ISNUMBER(SEARCH("Transactional",IF(I88="NOT AVAILABLE","",I88))),ISNUMBER(SEARCH("Commercial",IF(I88="NOT AVAILABLE","",I88)))),25,IF(ISNUMBER(SEARCH("Informational",IF(I88="NOT AVAILABLE","",I88))),10,IF(ISNUMBER(SEARCH("Navigational",IF(I88="NOT AVAILABLE","",I88))),0,12))))+IF(ISNUMBER(F88),MIN(30,ROUND(30*LOG10(F88+1)/4,1)),0)+IF(ISNUMBER(G88),ROUND(25*(100-G88)/100,1),12.5)+L88,0)</f>
        <v/>
      </c>
      <c r="N88" s="5" t="inlineStr">
        <is>
          <t>Low volume - supporting only</t>
        </is>
      </c>
    </row>
    <row r="89">
      <c r="A89" t="inlineStr">
        <is>
          <t>Switzerland</t>
        </is>
      </c>
      <c r="B89" t="inlineStr">
        <is>
          <t>ch</t>
        </is>
      </c>
      <c r="C89" t="inlineStr">
        <is>
          <t>fr</t>
        </is>
      </c>
      <c r="D89" s="3" t="inlineStr">
        <is>
          <t>https://codesommet.com/web-development-company/worldwide</t>
        </is>
      </c>
      <c r="E89" t="inlineStr">
        <is>
          <t>développement saas</t>
        </is>
      </c>
      <c r="F89" t="n">
        <v>0</v>
      </c>
      <c r="G89" t="inlineStr">
        <is>
          <t>NOT AVAILABLE</t>
        </is>
      </c>
      <c r="H89" t="n">
        <v>0</v>
      </c>
      <c r="I89" t="inlineStr">
        <is>
          <t>NOT AVAILABLE</t>
        </is>
      </c>
      <c r="J89" t="inlineStr">
        <is>
          <t>MEASURED</t>
        </is>
      </c>
      <c r="K89" s="5" t="inlineStr">
        <is>
          <t>NOT AVAILABLE (SERP not pulled for this market)</t>
        </is>
      </c>
      <c r="L89" t="n">
        <v>10</v>
      </c>
      <c r="M89">
        <f>ROUND(IF(IF(I89="NOT AVAILABLE","",I89)="",12,IF(OR(ISNUMBER(SEARCH("Transactional",IF(I89="NOT AVAILABLE","",I89))),ISNUMBER(SEARCH("Commercial",IF(I89="NOT AVAILABLE","",I89)))),25,IF(ISNUMBER(SEARCH("Informational",IF(I89="NOT AVAILABLE","",I89))),10,IF(ISNUMBER(SEARCH("Navigational",IF(I89="NOT AVAILABLE","",I89))),0,12))))+IF(ISNUMBER(F89),MIN(30,ROUND(30*LOG10(F89+1)/4,1)),0)+IF(ISNUMBER(G89),ROUND(25*(100-G89)/100,1),12.5)+L89,0)</f>
        <v/>
      </c>
      <c r="N89" s="5" t="inlineStr">
        <is>
          <t>Measured zero - do not target</t>
        </is>
      </c>
    </row>
    <row r="90">
      <c r="A90" t="inlineStr">
        <is>
          <t>Switzerland</t>
        </is>
      </c>
      <c r="B90" t="inlineStr">
        <is>
          <t>ch</t>
        </is>
      </c>
      <c r="C90" t="inlineStr">
        <is>
          <t>fr</t>
        </is>
      </c>
      <c r="D90" s="3" t="inlineStr">
        <is>
          <t>https://codesommet.com/web-development-company/worldwide</t>
        </is>
      </c>
      <c r="E90" t="inlineStr">
        <is>
          <t>création application web</t>
        </is>
      </c>
      <c r="F90" t="n">
        <v>20</v>
      </c>
      <c r="G90" t="inlineStr">
        <is>
          <t>NOT AVAILABLE</t>
        </is>
      </c>
      <c r="H90" t="n">
        <v>0</v>
      </c>
      <c r="I90" t="inlineStr">
        <is>
          <t>NOT AVAILABLE</t>
        </is>
      </c>
      <c r="J90" t="inlineStr">
        <is>
          <t>MEASURED</t>
        </is>
      </c>
      <c r="K90" s="5" t="inlineStr">
        <is>
          <t>NOT AVAILABLE (SERP not pulled for this market)</t>
        </is>
      </c>
      <c r="L90" t="n">
        <v>10</v>
      </c>
      <c r="M90">
        <f>ROUND(IF(IF(I90="NOT AVAILABLE","",I90)="",12,IF(OR(ISNUMBER(SEARCH("Transactional",IF(I90="NOT AVAILABLE","",I90))),ISNUMBER(SEARCH("Commercial",IF(I90="NOT AVAILABLE","",I90)))),25,IF(ISNUMBER(SEARCH("Informational",IF(I90="NOT AVAILABLE","",I90))),10,IF(ISNUMBER(SEARCH("Navigational",IF(I90="NOT AVAILABLE","",I90))),0,12))))+IF(ISNUMBER(F90),MIN(30,ROUND(30*LOG10(F90+1)/4,1)),0)+IF(ISNUMBER(G90),ROUND(25*(100-G90)/100,1),12.5)+L90,0)</f>
        <v/>
      </c>
      <c r="N90" s="5" t="inlineStr">
        <is>
          <t>Low volume - supporting only</t>
        </is>
      </c>
    </row>
    <row r="91">
      <c r="A91" t="inlineStr">
        <is>
          <t>Switzerland</t>
        </is>
      </c>
      <c r="B91" t="inlineStr">
        <is>
          <t>ch</t>
        </is>
      </c>
      <c r="C91" t="inlineStr">
        <is>
          <t>fr</t>
        </is>
      </c>
      <c r="D91" s="3" t="inlineStr">
        <is>
          <t>https://codesommet.com/web-development-company/worldwide</t>
        </is>
      </c>
      <c r="E91" t="inlineStr">
        <is>
          <t>agence web maroc</t>
        </is>
      </c>
      <c r="F91" t="n">
        <v>10</v>
      </c>
      <c r="G91" t="inlineStr">
        <is>
          <t>NOT AVAILABLE</t>
        </is>
      </c>
      <c r="H91" t="n">
        <v>0</v>
      </c>
      <c r="I91" t="inlineStr">
        <is>
          <t>NOT AVAILABLE</t>
        </is>
      </c>
      <c r="J91" t="inlineStr">
        <is>
          <t>MEASURED</t>
        </is>
      </c>
      <c r="K91" s="5" t="inlineStr">
        <is>
          <t>NOT AVAILABLE (SERP not pulled for this market)</t>
        </is>
      </c>
      <c r="L91" t="n">
        <v>10</v>
      </c>
      <c r="M91">
        <f>ROUND(IF(IF(I91="NOT AVAILABLE","",I91)="",12,IF(OR(ISNUMBER(SEARCH("Transactional",IF(I91="NOT AVAILABLE","",I91))),ISNUMBER(SEARCH("Commercial",IF(I91="NOT AVAILABLE","",I91)))),25,IF(ISNUMBER(SEARCH("Informational",IF(I91="NOT AVAILABLE","",I91))),10,IF(ISNUMBER(SEARCH("Navigational",IF(I91="NOT AVAILABLE","",I91))),0,12))))+IF(ISNUMBER(F91),MIN(30,ROUND(30*LOG10(F91+1)/4,1)),0)+IF(ISNUMBER(G91),ROUND(25*(100-G91)/100,1),12.5)+L91,0)</f>
        <v/>
      </c>
      <c r="N91" s="5" t="inlineStr">
        <is>
          <t>Low volume - supporting only</t>
        </is>
      </c>
    </row>
    <row r="92">
      <c r="A92" t="inlineStr">
        <is>
          <t>Switzerland</t>
        </is>
      </c>
      <c r="B92" t="inlineStr">
        <is>
          <t>ch</t>
        </is>
      </c>
      <c r="C92" t="inlineStr">
        <is>
          <t>fr</t>
        </is>
      </c>
      <c r="D92" s="3" t="inlineStr">
        <is>
          <t>https://codesommet.com/web-development-company/worldwide</t>
        </is>
      </c>
      <c r="E92" t="inlineStr">
        <is>
          <t>création boutique en ligne</t>
        </is>
      </c>
      <c r="F92" t="n">
        <v>40</v>
      </c>
      <c r="G92" t="inlineStr">
        <is>
          <t>NOT AVAILABLE</t>
        </is>
      </c>
      <c r="H92" t="n">
        <v>7.81</v>
      </c>
      <c r="I92" t="inlineStr">
        <is>
          <t>NOT AVAILABLE</t>
        </is>
      </c>
      <c r="J92" t="inlineStr">
        <is>
          <t>MEASURED</t>
        </is>
      </c>
      <c r="K92" s="5" t="inlineStr">
        <is>
          <t>NOT AVAILABLE (SERP not pulled for this market)</t>
        </is>
      </c>
      <c r="L92" t="n">
        <v>10</v>
      </c>
      <c r="M92">
        <f>ROUND(IF(IF(I92="NOT AVAILABLE","",I92)="",12,IF(OR(ISNUMBER(SEARCH("Transactional",IF(I92="NOT AVAILABLE","",I92))),ISNUMBER(SEARCH("Commercial",IF(I92="NOT AVAILABLE","",I92)))),25,IF(ISNUMBER(SEARCH("Informational",IF(I92="NOT AVAILABLE","",I92))),10,IF(ISNUMBER(SEARCH("Navigational",IF(I92="NOT AVAILABLE","",I92))),0,12))))+IF(ISNUMBER(F92),MIN(30,ROUND(30*LOG10(F92+1)/4,1)),0)+IF(ISNUMBER(G92),ROUND(25*(100-G92)/100,1),12.5)+L92,0)</f>
        <v/>
      </c>
      <c r="N92" s="5" t="inlineStr">
        <is>
          <t>Low volume - supporting only</t>
        </is>
      </c>
    </row>
    <row r="93">
      <c r="A93" t="inlineStr">
        <is>
          <t>Switzerland</t>
        </is>
      </c>
      <c r="B93" t="inlineStr">
        <is>
          <t>ch</t>
        </is>
      </c>
      <c r="C93" t="inlineStr">
        <is>
          <t>fr</t>
        </is>
      </c>
      <c r="D93" s="3" t="inlineStr">
        <is>
          <t>https://codesommet.com/web-development-company/worldwide</t>
        </is>
      </c>
      <c r="E93" t="inlineStr">
        <is>
          <t>sous-traitance développement web</t>
        </is>
      </c>
      <c r="F93" t="inlineStr">
        <is>
          <t>NOT AVAILABLE</t>
        </is>
      </c>
      <c r="G93" t="inlineStr">
        <is>
          <t>NOT AVAILABLE</t>
        </is>
      </c>
      <c r="H93" t="inlineStr">
        <is>
          <t>NOT AVAILABLE</t>
        </is>
      </c>
      <c r="I93" t="inlineStr">
        <is>
          <t>NOT AVAILABLE</t>
        </is>
      </c>
      <c r="J93" t="inlineStr">
        <is>
          <t>UNAVAILABLE</t>
        </is>
      </c>
      <c r="K93" s="5" t="inlineStr">
        <is>
          <t>NOT AVAILABLE (SERP not pulled for this market)</t>
        </is>
      </c>
      <c r="L93" t="n">
        <v>10</v>
      </c>
      <c r="M93">
        <f>ROUND(IF(IF(I93="NOT AVAILABLE","",I93)="",12,IF(OR(ISNUMBER(SEARCH("Transactional",IF(I93="NOT AVAILABLE","",I93))),ISNUMBER(SEARCH("Commercial",IF(I93="NOT AVAILABLE","",I93)))),25,IF(ISNUMBER(SEARCH("Informational",IF(I93="NOT AVAILABLE","",I93))),10,IF(ISNUMBER(SEARCH("Navigational",IF(I93="NOT AVAILABLE","",I93))),0,12))))+IF(ISNUMBER(F93),MIN(30,ROUND(30*LOG10(F93+1)/4,1)),0)+IF(ISNUMBER(G93),ROUND(25*(100-G93)/100,1),12.5)+L93,0)</f>
        <v/>
      </c>
      <c r="N93" s="5" t="inlineStr">
        <is>
          <t>No data in this database - do not prioritise</t>
        </is>
      </c>
    </row>
    <row r="94">
      <c r="A94" t="inlineStr">
        <is>
          <t>Switzerland</t>
        </is>
      </c>
      <c r="B94" t="inlineStr">
        <is>
          <t>ch</t>
        </is>
      </c>
      <c r="C94" t="inlineStr">
        <is>
          <t>fr</t>
        </is>
      </c>
      <c r="D94" s="3" t="inlineStr">
        <is>
          <t>https://codesommet.com/web-development-company/worldwide</t>
        </is>
      </c>
      <c r="E94" t="inlineStr">
        <is>
          <t>externalisation développement web</t>
        </is>
      </c>
      <c r="F94" t="inlineStr">
        <is>
          <t>NOT AVAILABLE</t>
        </is>
      </c>
      <c r="G94" t="inlineStr">
        <is>
          <t>NOT AVAILABLE</t>
        </is>
      </c>
      <c r="H94" t="inlineStr">
        <is>
          <t>NOT AVAILABLE</t>
        </is>
      </c>
      <c r="I94" t="inlineStr">
        <is>
          <t>NOT AVAILABLE</t>
        </is>
      </c>
      <c r="J94" t="inlineStr">
        <is>
          <t>UNAVAILABLE</t>
        </is>
      </c>
      <c r="K94" s="5" t="inlineStr">
        <is>
          <t>NOT AVAILABLE (SERP not pulled for this market)</t>
        </is>
      </c>
      <c r="L94" t="n">
        <v>10</v>
      </c>
      <c r="M94">
        <f>ROUND(IF(IF(I94="NOT AVAILABLE","",I94)="",12,IF(OR(ISNUMBER(SEARCH("Transactional",IF(I94="NOT AVAILABLE","",I94))),ISNUMBER(SEARCH("Commercial",IF(I94="NOT AVAILABLE","",I94)))),25,IF(ISNUMBER(SEARCH("Informational",IF(I94="NOT AVAILABLE","",I94))),10,IF(ISNUMBER(SEARCH("Navigational",IF(I94="NOT AVAILABLE","",I94))),0,12))))+IF(ISNUMBER(F94),MIN(30,ROUND(30*LOG10(F94+1)/4,1)),0)+IF(ISNUMBER(G94),ROUND(25*(100-G94)/100,1),12.5)+L94,0)</f>
        <v/>
      </c>
      <c r="N94" s="5" t="inlineStr">
        <is>
          <t>No data in this database - do not prioritise</t>
        </is>
      </c>
    </row>
    <row r="95">
      <c r="A95" t="inlineStr">
        <is>
          <t>Switzerland</t>
        </is>
      </c>
      <c r="B95" t="inlineStr">
        <is>
          <t>ch</t>
        </is>
      </c>
      <c r="C95" t="inlineStr">
        <is>
          <t>fr</t>
        </is>
      </c>
      <c r="D95" s="3" t="inlineStr">
        <is>
          <t>https://codesommet.com/web-development-company/worldwide</t>
        </is>
      </c>
      <c r="E95" t="inlineStr">
        <is>
          <t>développement web offshore</t>
        </is>
      </c>
      <c r="F95" t="inlineStr">
        <is>
          <t>NOT AVAILABLE</t>
        </is>
      </c>
      <c r="G95" t="inlineStr">
        <is>
          <t>NOT AVAILABLE</t>
        </is>
      </c>
      <c r="H95" t="inlineStr">
        <is>
          <t>NOT AVAILABLE</t>
        </is>
      </c>
      <c r="I95" t="inlineStr">
        <is>
          <t>NOT AVAILABLE</t>
        </is>
      </c>
      <c r="J95" t="inlineStr">
        <is>
          <t>UNAVAILABLE</t>
        </is>
      </c>
      <c r="K95" s="5" t="inlineStr">
        <is>
          <t>NOT AVAILABLE (SERP not pulled for this market)</t>
        </is>
      </c>
      <c r="L95" t="n">
        <v>10</v>
      </c>
      <c r="M95">
        <f>ROUND(IF(IF(I95="NOT AVAILABLE","",I95)="",12,IF(OR(ISNUMBER(SEARCH("Transactional",IF(I95="NOT AVAILABLE","",I95))),ISNUMBER(SEARCH("Commercial",IF(I95="NOT AVAILABLE","",I95)))),25,IF(ISNUMBER(SEARCH("Informational",IF(I95="NOT AVAILABLE","",I95))),10,IF(ISNUMBER(SEARCH("Navigational",IF(I95="NOT AVAILABLE","",I95))),0,12))))+IF(ISNUMBER(F95),MIN(30,ROUND(30*LOG10(F95+1)/4,1)),0)+IF(ISNUMBER(G95),ROUND(25*(100-G95)/100,1),12.5)+L95,0)</f>
        <v/>
      </c>
      <c r="N95" s="5" t="inlineStr">
        <is>
          <t>No data in this database - do not prioritise</t>
        </is>
      </c>
    </row>
    <row r="96">
      <c r="A96" t="inlineStr">
        <is>
          <t>Switzerland</t>
        </is>
      </c>
      <c r="B96" t="inlineStr">
        <is>
          <t>ch</t>
        </is>
      </c>
      <c r="C96" t="inlineStr">
        <is>
          <t>fr</t>
        </is>
      </c>
      <c r="D96" s="3" t="inlineStr">
        <is>
          <t>https://codesommet.com/web-development-company/worldwide</t>
        </is>
      </c>
      <c r="E96" t="inlineStr">
        <is>
          <t>agence web nearshore</t>
        </is>
      </c>
      <c r="F96" t="inlineStr">
        <is>
          <t>NOT AVAILABLE</t>
        </is>
      </c>
      <c r="G96" t="inlineStr">
        <is>
          <t>NOT AVAILABLE</t>
        </is>
      </c>
      <c r="H96" t="inlineStr">
        <is>
          <t>NOT AVAILABLE</t>
        </is>
      </c>
      <c r="I96" t="inlineStr">
        <is>
          <t>NOT AVAILABLE</t>
        </is>
      </c>
      <c r="J96" t="inlineStr">
        <is>
          <t>UNAVAILABLE</t>
        </is>
      </c>
      <c r="K96" s="5" t="inlineStr">
        <is>
          <t>NOT AVAILABLE (SERP not pulled for this market)</t>
        </is>
      </c>
      <c r="L96" t="n">
        <v>10</v>
      </c>
      <c r="M96">
        <f>ROUND(IF(IF(I96="NOT AVAILABLE","",I96)="",12,IF(OR(ISNUMBER(SEARCH("Transactional",IF(I96="NOT AVAILABLE","",I96))),ISNUMBER(SEARCH("Commercial",IF(I96="NOT AVAILABLE","",I96)))),25,IF(ISNUMBER(SEARCH("Informational",IF(I96="NOT AVAILABLE","",I96))),10,IF(ISNUMBER(SEARCH("Navigational",IF(I96="NOT AVAILABLE","",I96))),0,12))))+IF(ISNUMBER(F96),MIN(30,ROUND(30*LOG10(F96+1)/4,1)),0)+IF(ISNUMBER(G96),ROUND(25*(100-G96)/100,1),12.5)+L96,0)</f>
        <v/>
      </c>
      <c r="N96" s="5" t="inlineStr">
        <is>
          <t>No data in this database - do not prioritise</t>
        </is>
      </c>
    </row>
    <row r="97">
      <c r="A97" t="inlineStr">
        <is>
          <t>Switzerland</t>
        </is>
      </c>
      <c r="B97" t="inlineStr">
        <is>
          <t>ch</t>
        </is>
      </c>
      <c r="C97" t="inlineStr">
        <is>
          <t>fr</t>
        </is>
      </c>
      <c r="D97" s="3" t="inlineStr">
        <is>
          <t>https://codesommet.com/web-development-company/worldwide</t>
        </is>
      </c>
      <c r="E97" t="inlineStr">
        <is>
          <t>développeur maroc</t>
        </is>
      </c>
      <c r="F97" t="inlineStr">
        <is>
          <t>NOT AVAILABLE</t>
        </is>
      </c>
      <c r="G97" t="inlineStr">
        <is>
          <t>NOT AVAILABLE</t>
        </is>
      </c>
      <c r="H97" t="inlineStr">
        <is>
          <t>NOT AVAILABLE</t>
        </is>
      </c>
      <c r="I97" t="inlineStr">
        <is>
          <t>NOT AVAILABLE</t>
        </is>
      </c>
      <c r="J97" t="inlineStr">
        <is>
          <t>UNAVAILABLE</t>
        </is>
      </c>
      <c r="K97" s="5" t="inlineStr">
        <is>
          <t>NOT AVAILABLE (SERP not pulled for this market)</t>
        </is>
      </c>
      <c r="L97" t="n">
        <v>10</v>
      </c>
      <c r="M97">
        <f>ROUND(IF(IF(I97="NOT AVAILABLE","",I97)="",12,IF(OR(ISNUMBER(SEARCH("Transactional",IF(I97="NOT AVAILABLE","",I97))),ISNUMBER(SEARCH("Commercial",IF(I97="NOT AVAILABLE","",I97)))),25,IF(ISNUMBER(SEARCH("Informational",IF(I97="NOT AVAILABLE","",I97))),10,IF(ISNUMBER(SEARCH("Navigational",IF(I97="NOT AVAILABLE","",I97))),0,12))))+IF(ISNUMBER(F97),MIN(30,ROUND(30*LOG10(F97+1)/4,1)),0)+IF(ISNUMBER(G97),ROUND(25*(100-G97)/100,1),12.5)+L97,0)</f>
        <v/>
      </c>
      <c r="N97" s="5" t="inlineStr">
        <is>
          <t>No data in this database - do not prioritise</t>
        </is>
      </c>
    </row>
    <row r="98">
      <c r="A98" t="inlineStr">
        <is>
          <t>Switzerland</t>
        </is>
      </c>
      <c r="B98" t="inlineStr">
        <is>
          <t>ch</t>
        </is>
      </c>
      <c r="C98" t="inlineStr">
        <is>
          <t>fr</t>
        </is>
      </c>
      <c r="D98" s="3" t="inlineStr">
        <is>
          <t>https://codesommet.com/web-development-company/worldwide</t>
        </is>
      </c>
      <c r="E98" t="inlineStr">
        <is>
          <t>développement logiciel sur mesure</t>
        </is>
      </c>
      <c r="F98" t="n">
        <v>30</v>
      </c>
      <c r="G98" t="inlineStr">
        <is>
          <t>NOT AVAILABLE</t>
        </is>
      </c>
      <c r="H98" t="n">
        <v>0</v>
      </c>
      <c r="I98" t="inlineStr">
        <is>
          <t>NOT AVAILABLE</t>
        </is>
      </c>
      <c r="J98" t="inlineStr">
        <is>
          <t>MEASURED</t>
        </is>
      </c>
      <c r="K98" s="5" t="inlineStr">
        <is>
          <t>NOT AVAILABLE (SERP not pulled for this market)</t>
        </is>
      </c>
      <c r="L98" t="n">
        <v>10</v>
      </c>
      <c r="M98">
        <f>ROUND(IF(IF(I98="NOT AVAILABLE","",I98)="",12,IF(OR(ISNUMBER(SEARCH("Transactional",IF(I98="NOT AVAILABLE","",I98))),ISNUMBER(SEARCH("Commercial",IF(I98="NOT AVAILABLE","",I98)))),25,IF(ISNUMBER(SEARCH("Informational",IF(I98="NOT AVAILABLE","",I98))),10,IF(ISNUMBER(SEARCH("Navigational",IF(I98="NOT AVAILABLE","",I98))),0,12))))+IF(ISNUMBER(F98),MIN(30,ROUND(30*LOG10(F98+1)/4,1)),0)+IF(ISNUMBER(G98),ROUND(25*(100-G98)/100,1),12.5)+L98,0)</f>
        <v/>
      </c>
      <c r="N98" s="5" t="inlineStr">
        <is>
          <t>Low volume - supporting only</t>
        </is>
      </c>
    </row>
    <row r="99">
      <c r="A99" t="inlineStr">
        <is>
          <t>Switzerland</t>
        </is>
      </c>
      <c r="B99" t="inlineStr">
        <is>
          <t>ch</t>
        </is>
      </c>
      <c r="C99" t="inlineStr">
        <is>
          <t>fr</t>
        </is>
      </c>
      <c r="D99" s="3" t="inlineStr">
        <is>
          <t>https://codesommet.com/web-development-company/worldwide</t>
        </is>
      </c>
      <c r="E99" t="inlineStr">
        <is>
          <t>conception site web</t>
        </is>
      </c>
      <c r="F99" t="n">
        <v>20</v>
      </c>
      <c r="G99" t="inlineStr">
        <is>
          <t>NOT AVAILABLE</t>
        </is>
      </c>
      <c r="H99" t="n">
        <v>3.19</v>
      </c>
      <c r="I99" t="inlineStr">
        <is>
          <t>NOT AVAILABLE</t>
        </is>
      </c>
      <c r="J99" t="inlineStr">
        <is>
          <t>MEASURED</t>
        </is>
      </c>
      <c r="K99" s="5" t="inlineStr">
        <is>
          <t>NOT AVAILABLE (SERP not pulled for this market)</t>
        </is>
      </c>
      <c r="L99" t="n">
        <v>10</v>
      </c>
      <c r="M99">
        <f>ROUND(IF(IF(I99="NOT AVAILABLE","",I99)="",12,IF(OR(ISNUMBER(SEARCH("Transactional",IF(I99="NOT AVAILABLE","",I99))),ISNUMBER(SEARCH("Commercial",IF(I99="NOT AVAILABLE","",I99)))),25,IF(ISNUMBER(SEARCH("Informational",IF(I99="NOT AVAILABLE","",I99))),10,IF(ISNUMBER(SEARCH("Navigational",IF(I99="NOT AVAILABLE","",I99))),0,12))))+IF(ISNUMBER(F99),MIN(30,ROUND(30*LOG10(F99+1)/4,1)),0)+IF(ISNUMBER(G99),ROUND(25*(100-G99)/100,1),12.5)+L99,0)</f>
        <v/>
      </c>
      <c r="N99" s="5" t="inlineStr">
        <is>
          <t>Low volume - supporting only</t>
        </is>
      </c>
    </row>
    <row r="100">
      <c r="A100" t="inlineStr">
        <is>
          <t>Switzerland</t>
        </is>
      </c>
      <c r="B100" t="inlineStr">
        <is>
          <t>ch</t>
        </is>
      </c>
      <c r="C100" t="inlineStr">
        <is>
          <t>fr</t>
        </is>
      </c>
      <c r="D100" s="3" t="inlineStr">
        <is>
          <t>https://codesommet.com/web-development-company/worldwide</t>
        </is>
      </c>
      <c r="E100" t="inlineStr">
        <is>
          <t>site internet professionnel</t>
        </is>
      </c>
      <c r="F100" t="n">
        <v>20</v>
      </c>
      <c r="G100" t="inlineStr">
        <is>
          <t>NOT AVAILABLE</t>
        </is>
      </c>
      <c r="H100" t="n">
        <v>0</v>
      </c>
      <c r="I100" t="inlineStr">
        <is>
          <t>NOT AVAILABLE</t>
        </is>
      </c>
      <c r="J100" t="inlineStr">
        <is>
          <t>MEASURED</t>
        </is>
      </c>
      <c r="K100" s="5" t="inlineStr">
        <is>
          <t>NOT AVAILABLE (SERP not pulled for this market)</t>
        </is>
      </c>
      <c r="L100" t="n">
        <v>10</v>
      </c>
      <c r="M100">
        <f>ROUND(IF(IF(I100="NOT AVAILABLE","",I100)="",12,IF(OR(ISNUMBER(SEARCH("Transactional",IF(I100="NOT AVAILABLE","",I100))),ISNUMBER(SEARCH("Commercial",IF(I100="NOT AVAILABLE","",I100)))),25,IF(ISNUMBER(SEARCH("Informational",IF(I100="NOT AVAILABLE","",I100))),10,IF(ISNUMBER(SEARCH("Navigational",IF(I100="NOT AVAILABLE","",I100))),0,12))))+IF(ISNUMBER(F100),MIN(30,ROUND(30*LOG10(F100+1)/4,1)),0)+IF(ISNUMBER(G100),ROUND(25*(100-G100)/100,1),12.5)+L100,0)</f>
        <v/>
      </c>
      <c r="N100" s="5" t="inlineStr">
        <is>
          <t>Low volume - supporting only</t>
        </is>
      </c>
    </row>
    <row r="101">
      <c r="A101" t="inlineStr">
        <is>
          <t>Switzerland</t>
        </is>
      </c>
      <c r="B101" t="inlineStr">
        <is>
          <t>ch</t>
        </is>
      </c>
      <c r="C101" t="inlineStr">
        <is>
          <t>fr</t>
        </is>
      </c>
      <c r="D101" s="3" t="inlineStr">
        <is>
          <t>https://codesommet.com/web-development-company/worldwide</t>
        </is>
      </c>
      <c r="E101" t="inlineStr">
        <is>
          <t>webdesigner</t>
        </is>
      </c>
      <c r="F101" t="n">
        <v>390</v>
      </c>
      <c r="G101" t="n">
        <v>14</v>
      </c>
      <c r="H101" t="n">
        <v>5.34</v>
      </c>
      <c r="I101" t="inlineStr">
        <is>
          <t>Commercial</t>
        </is>
      </c>
      <c r="J101" t="inlineStr">
        <is>
          <t>MEASURED</t>
        </is>
      </c>
      <c r="K101" s="5" t="inlineStr">
        <is>
          <t>NOT AVAILABLE (SERP not pulled for this market)</t>
        </is>
      </c>
      <c r="L101" t="n">
        <v>10</v>
      </c>
      <c r="M101">
        <f>ROUND(IF(IF(I101="NOT AVAILABLE","",I101)="",12,IF(OR(ISNUMBER(SEARCH("Transactional",IF(I101="NOT AVAILABLE","",I101))),ISNUMBER(SEARCH("Commercial",IF(I101="NOT AVAILABLE","",I101)))),25,IF(ISNUMBER(SEARCH("Informational",IF(I101="NOT AVAILABLE","",I101))),10,IF(ISNUMBER(SEARCH("Navigational",IF(I101="NOT AVAILABLE","",I101))),0,12))))+IF(ISNUMBER(F101),MIN(30,ROUND(30*LOG10(F101+1)/4,1)),0)+IF(ISNUMBER(G101),ROUND(25*(100-G101)/100,1),12.5)+L101,0)</f>
        <v/>
      </c>
      <c r="N101" s="5" t="inlineStr">
        <is>
          <t>Opportunity: realistic volume at low KD - target via existing page section</t>
        </is>
      </c>
    </row>
    <row r="102">
      <c r="A102" t="inlineStr">
        <is>
          <t>Switzerland</t>
        </is>
      </c>
      <c r="B102" t="inlineStr">
        <is>
          <t>ch</t>
        </is>
      </c>
      <c r="C102" t="inlineStr">
        <is>
          <t>fr</t>
        </is>
      </c>
      <c r="D102" s="3" t="inlineStr">
        <is>
          <t>https://codesommet.com/web-development-company/worldwide</t>
        </is>
      </c>
      <c r="E102" t="inlineStr">
        <is>
          <t>agence web pas cher</t>
        </is>
      </c>
      <c r="F102" t="n">
        <v>0</v>
      </c>
      <c r="G102" t="inlineStr">
        <is>
          <t>NOT AVAILABLE</t>
        </is>
      </c>
      <c r="H102" t="n">
        <v>0</v>
      </c>
      <c r="I102" t="inlineStr">
        <is>
          <t>NOT AVAILABLE</t>
        </is>
      </c>
      <c r="J102" t="inlineStr">
        <is>
          <t>MEASURED</t>
        </is>
      </c>
      <c r="K102" s="5" t="inlineStr">
        <is>
          <t>NOT AVAILABLE (SERP not pulled for this market)</t>
        </is>
      </c>
      <c r="L102" t="n">
        <v>10</v>
      </c>
      <c r="M102">
        <f>ROUND(IF(IF(I102="NOT AVAILABLE","",I102)="",12,IF(OR(ISNUMBER(SEARCH("Transactional",IF(I102="NOT AVAILABLE","",I102))),ISNUMBER(SEARCH("Commercial",IF(I102="NOT AVAILABLE","",I102)))),25,IF(ISNUMBER(SEARCH("Informational",IF(I102="NOT AVAILABLE","",I102))),10,IF(ISNUMBER(SEARCH("Navigational",IF(I102="NOT AVAILABLE","",I102))),0,12))))+IF(ISNUMBER(F102),MIN(30,ROUND(30*LOG10(F102+1)/4,1)),0)+IF(ISNUMBER(G102),ROUND(25*(100-G102)/100,1),12.5)+L102,0)</f>
        <v/>
      </c>
      <c r="N102" s="5" t="inlineStr">
        <is>
          <t>Measured zero - do not target</t>
        </is>
      </c>
    </row>
    <row r="103">
      <c r="A103" t="inlineStr">
        <is>
          <t>Switzerland</t>
        </is>
      </c>
      <c r="B103" t="inlineStr">
        <is>
          <t>ch</t>
        </is>
      </c>
      <c r="C103" t="inlineStr">
        <is>
          <t>fr</t>
        </is>
      </c>
      <c r="D103" t="inlineStr">
        <is>
          <t>(no page - see recommendation)</t>
        </is>
      </c>
      <c r="E103" t="inlineStr">
        <is>
          <t>agence web genève</t>
        </is>
      </c>
      <c r="F103" t="n">
        <v>480</v>
      </c>
      <c r="G103" t="n">
        <v>29</v>
      </c>
      <c r="H103" t="n">
        <v>9.82</v>
      </c>
      <c r="I103" t="inlineStr">
        <is>
          <t>Commercial</t>
        </is>
      </c>
      <c r="J103" t="inlineStr">
        <is>
          <t>MEASURED</t>
        </is>
      </c>
      <c r="K103" s="5" t="inlineStr">
        <is>
          <t>NOT AVAILABLE (SERP not pulled for this market)</t>
        </is>
      </c>
      <c r="L103" t="n">
        <v>10</v>
      </c>
      <c r="M103">
        <f>ROUND(IF(IF(I103="NOT AVAILABLE","",I103)="",12,IF(OR(ISNUMBER(SEARCH("Transactional",IF(I103="NOT AVAILABLE","",I103))),ISNUMBER(SEARCH("Commercial",IF(I103="NOT AVAILABLE","",I103)))),25,IF(ISNUMBER(SEARCH("Informational",IF(I103="NOT AVAILABLE","",I103))),10,IF(ISNUMBER(SEARCH("Navigational",IF(I103="NOT AVAILABLE","",I103))),0,12))))+IF(ISNUMBER(F103),MIN(30,ROUND(30*LOG10(F103+1)/4,1)),0)+IF(ISNUMBER(G103),ROUND(25*(100-G103)/100,1),12.5)+L103,0)</f>
        <v/>
      </c>
      <c r="N103" s="5" t="inlineStr">
        <is>
          <t>Moderate opportunity - test with existing page before creating anything</t>
        </is>
      </c>
    </row>
    <row r="104">
      <c r="A104" t="inlineStr">
        <is>
          <t>Switzerland</t>
        </is>
      </c>
      <c r="B104" t="inlineStr">
        <is>
          <t>ch</t>
        </is>
      </c>
      <c r="C104" t="inlineStr">
        <is>
          <t>fr</t>
        </is>
      </c>
      <c r="D104" t="inlineStr">
        <is>
          <t>(no page - see recommendation)</t>
        </is>
      </c>
      <c r="E104" t="inlineStr">
        <is>
          <t>agence web lausanne</t>
        </is>
      </c>
      <c r="F104" t="n">
        <v>720</v>
      </c>
      <c r="G104" t="n">
        <v>51</v>
      </c>
      <c r="H104" t="n">
        <v>5.56</v>
      </c>
      <c r="I104" t="inlineStr">
        <is>
          <t>Commercial</t>
        </is>
      </c>
      <c r="J104" t="inlineStr">
        <is>
          <t>MEASURED</t>
        </is>
      </c>
      <c r="K104" s="5" t="inlineStr">
        <is>
          <t>NOT AVAILABLE (SERP not pulled for this market)</t>
        </is>
      </c>
      <c r="L104" t="n">
        <v>10</v>
      </c>
      <c r="M104">
        <f>ROUND(IF(IF(I104="NOT AVAILABLE","",I104)="",12,IF(OR(ISNUMBER(SEARCH("Transactional",IF(I104="NOT AVAILABLE","",I104))),ISNUMBER(SEARCH("Commercial",IF(I104="NOT AVAILABLE","",I104)))),25,IF(ISNUMBER(SEARCH("Informational",IF(I104="NOT AVAILABLE","",I104))),10,IF(ISNUMBER(SEARCH("Navigational",IF(I104="NOT AVAILABLE","",I104))),0,12))))+IF(ISNUMBER(F104),MIN(30,ROUND(30*LOG10(F104+1)/4,1)),0)+IF(ISNUMBER(G104),ROUND(25*(100-G104)/100,1),12.5)+L104,0)</f>
        <v/>
      </c>
      <c r="N104" s="5" t="inlineStr">
        <is>
          <t>High difficulty - long-term only, needs authority/links</t>
        </is>
      </c>
    </row>
    <row r="105">
      <c r="A105" t="inlineStr">
        <is>
          <t>Switzerland</t>
        </is>
      </c>
      <c r="B105" t="inlineStr">
        <is>
          <t>ch</t>
        </is>
      </c>
      <c r="C105" t="inlineStr">
        <is>
          <t>fr</t>
        </is>
      </c>
      <c r="D105" t="inlineStr">
        <is>
          <t>(no page - see recommendation)</t>
        </is>
      </c>
      <c r="E105" t="inlineStr">
        <is>
          <t>création site internet genève</t>
        </is>
      </c>
      <c r="F105" t="n">
        <v>210</v>
      </c>
      <c r="G105" t="n">
        <v>21</v>
      </c>
      <c r="H105" t="n">
        <v>9.26</v>
      </c>
      <c r="I105" t="inlineStr">
        <is>
          <t>Commercial</t>
        </is>
      </c>
      <c r="J105" t="inlineStr">
        <is>
          <t>MEASURED</t>
        </is>
      </c>
      <c r="K105" s="5" t="inlineStr">
        <is>
          <t>NOT AVAILABLE (SERP not pulled for this market)</t>
        </is>
      </c>
      <c r="L105" t="n">
        <v>10</v>
      </c>
      <c r="M105">
        <f>ROUND(IF(IF(I105="NOT AVAILABLE","",I105)="",12,IF(OR(ISNUMBER(SEARCH("Transactional",IF(I105="NOT AVAILABLE","",I105))),ISNUMBER(SEARCH("Commercial",IF(I105="NOT AVAILABLE","",I105)))),25,IF(ISNUMBER(SEARCH("Informational",IF(I105="NOT AVAILABLE","",I105))),10,IF(ISNUMBER(SEARCH("Navigational",IF(I105="NOT AVAILABLE","",I105))),0,12))))+IF(ISNUMBER(F105),MIN(30,ROUND(30*LOG10(F105+1)/4,1)),0)+IF(ISNUMBER(G105),ROUND(25*(100-G105)/100,1),12.5)+L105,0)</f>
        <v/>
      </c>
      <c r="N105" s="5" t="inlineStr">
        <is>
          <t>Opportunity: realistic volume at low KD - target via existing page section</t>
        </is>
      </c>
    </row>
    <row r="106">
      <c r="A106" t="inlineStr">
        <is>
          <t>Switzerland</t>
        </is>
      </c>
      <c r="B106" t="inlineStr">
        <is>
          <t>ch</t>
        </is>
      </c>
      <c r="C106" t="inlineStr">
        <is>
          <t>fr</t>
        </is>
      </c>
      <c r="D106" t="inlineStr">
        <is>
          <t>(no page - see recommendation)</t>
        </is>
      </c>
      <c r="E106" t="inlineStr">
        <is>
          <t>création site web suisse</t>
        </is>
      </c>
      <c r="F106" t="n">
        <v>40</v>
      </c>
      <c r="G106" t="inlineStr">
        <is>
          <t>NOT AVAILABLE</t>
        </is>
      </c>
      <c r="H106" t="n">
        <v>4.5</v>
      </c>
      <c r="I106" t="inlineStr">
        <is>
          <t>NOT AVAILABLE</t>
        </is>
      </c>
      <c r="J106" t="inlineStr">
        <is>
          <t>MEASURED</t>
        </is>
      </c>
      <c r="K106" s="5" t="inlineStr">
        <is>
          <t>NOT AVAILABLE (SERP not pulled for this market)</t>
        </is>
      </c>
      <c r="L106" t="n">
        <v>10</v>
      </c>
      <c r="M106">
        <f>ROUND(IF(IF(I106="NOT AVAILABLE","",I106)="",12,IF(OR(ISNUMBER(SEARCH("Transactional",IF(I106="NOT AVAILABLE","",I106))),ISNUMBER(SEARCH("Commercial",IF(I106="NOT AVAILABLE","",I106)))),25,IF(ISNUMBER(SEARCH("Informational",IF(I106="NOT AVAILABLE","",I106))),10,IF(ISNUMBER(SEARCH("Navigational",IF(I106="NOT AVAILABLE","",I106))),0,12))))+IF(ISNUMBER(F106),MIN(30,ROUND(30*LOG10(F106+1)/4,1)),0)+IF(ISNUMBER(G106),ROUND(25*(100-G106)/100,1),12.5)+L106,0)</f>
        <v/>
      </c>
      <c r="N106" s="5" t="inlineStr">
        <is>
          <t>Low volume - supporting only</t>
        </is>
      </c>
    </row>
    <row r="107">
      <c r="A107" t="inlineStr">
        <is>
          <t>Switzerland</t>
        </is>
      </c>
      <c r="B107" t="inlineStr">
        <is>
          <t>ch</t>
        </is>
      </c>
      <c r="C107" t="inlineStr">
        <is>
          <t>fr</t>
        </is>
      </c>
      <c r="D107" t="inlineStr">
        <is>
          <t>(no page - see recommendation)</t>
        </is>
      </c>
      <c r="E107" t="inlineStr">
        <is>
          <t>agence web suisse</t>
        </is>
      </c>
      <c r="F107" t="n">
        <v>590</v>
      </c>
      <c r="G107" t="n">
        <v>35</v>
      </c>
      <c r="H107" t="n">
        <v>3.81</v>
      </c>
      <c r="I107" t="inlineStr">
        <is>
          <t>Commercial</t>
        </is>
      </c>
      <c r="J107" t="inlineStr">
        <is>
          <t>MEASURED</t>
        </is>
      </c>
      <c r="K107" s="5" t="inlineStr">
        <is>
          <t>NOT AVAILABLE (SERP not pulled for this market)</t>
        </is>
      </c>
      <c r="L107" t="n">
        <v>10</v>
      </c>
      <c r="M107">
        <f>ROUND(IF(IF(I107="NOT AVAILABLE","",I107)="",12,IF(OR(ISNUMBER(SEARCH("Transactional",IF(I107="NOT AVAILABLE","",I107))),ISNUMBER(SEARCH("Commercial",IF(I107="NOT AVAILABLE","",I107)))),25,IF(ISNUMBER(SEARCH("Informational",IF(I107="NOT AVAILABLE","",I107))),10,IF(ISNUMBER(SEARCH("Navigational",IF(I107="NOT AVAILABLE","",I107))),0,12))))+IF(ISNUMBER(F107),MIN(30,ROUND(30*LOG10(F107+1)/4,1)),0)+IF(ISNUMBER(G107),ROUND(25*(100-G107)/100,1),12.5)+L107,0)</f>
        <v/>
      </c>
      <c r="N107" s="5" t="inlineStr">
        <is>
          <t>Moderate opportunity - test with existing page before creating anything</t>
        </is>
      </c>
    </row>
    <row r="108">
      <c r="A108" t="inlineStr">
        <is>
          <t>Canada</t>
        </is>
      </c>
      <c r="B108" t="inlineStr">
        <is>
          <t>ca</t>
        </is>
      </c>
      <c r="C108" t="inlineStr">
        <is>
          <t>fr</t>
        </is>
      </c>
      <c r="D108" s="3" t="inlineStr">
        <is>
          <t>https://codesommet.com/web-development-company/worldwide</t>
        </is>
      </c>
      <c r="E108" t="inlineStr">
        <is>
          <t>agence web</t>
        </is>
      </c>
      <c r="F108" t="n">
        <v>2400</v>
      </c>
      <c r="G108" t="n">
        <v>68</v>
      </c>
      <c r="H108" t="n">
        <v>4.05</v>
      </c>
      <c r="I108" t="inlineStr">
        <is>
          <t>Informational</t>
        </is>
      </c>
      <c r="J108" t="inlineStr">
        <is>
          <t>MEASURED</t>
        </is>
      </c>
      <c r="K108" s="5" t="inlineStr">
        <is>
          <t>NOT AVAILABLE (SERP not pulled for this market)</t>
        </is>
      </c>
      <c r="L108" t="n">
        <v>10</v>
      </c>
      <c r="M108">
        <f>ROUND(IF(IF(I108="NOT AVAILABLE","",I108)="",12,IF(OR(ISNUMBER(SEARCH("Transactional",IF(I108="NOT AVAILABLE","",I108))),ISNUMBER(SEARCH("Commercial",IF(I108="NOT AVAILABLE","",I108)))),25,IF(ISNUMBER(SEARCH("Informational",IF(I108="NOT AVAILABLE","",I108))),10,IF(ISNUMBER(SEARCH("Navigational",IF(I108="NOT AVAILABLE","",I108))),0,12))))+IF(ISNUMBER(F108),MIN(30,ROUND(30*LOG10(F108+1)/4,1)),0)+IF(ISNUMBER(G108),ROUND(25*(100-G108)/100,1),12.5)+L108,0)</f>
        <v/>
      </c>
      <c r="N108" s="5" t="inlineStr">
        <is>
          <t>High difficulty - long-term only, needs authority/links</t>
        </is>
      </c>
    </row>
    <row r="109">
      <c r="A109" t="inlineStr">
        <is>
          <t>Canada</t>
        </is>
      </c>
      <c r="B109" t="inlineStr">
        <is>
          <t>ca</t>
        </is>
      </c>
      <c r="C109" t="inlineStr">
        <is>
          <t>fr</t>
        </is>
      </c>
      <c r="D109" s="3" t="inlineStr">
        <is>
          <t>https://codesommet.com/web-development-company/worldwide</t>
        </is>
      </c>
      <c r="E109" t="inlineStr">
        <is>
          <t>création site web</t>
        </is>
      </c>
      <c r="F109" t="n">
        <v>1000</v>
      </c>
      <c r="G109" t="n">
        <v>52</v>
      </c>
      <c r="H109" t="n">
        <v>7.87</v>
      </c>
      <c r="I109" t="inlineStr">
        <is>
          <t>Informational</t>
        </is>
      </c>
      <c r="J109" t="inlineStr">
        <is>
          <t>MEASURED</t>
        </is>
      </c>
      <c r="K109" s="5" t="inlineStr">
        <is>
          <t>NOT AVAILABLE (SERP not pulled for this market)</t>
        </is>
      </c>
      <c r="L109" t="n">
        <v>10</v>
      </c>
      <c r="M109">
        <f>ROUND(IF(IF(I109="NOT AVAILABLE","",I109)="",12,IF(OR(ISNUMBER(SEARCH("Transactional",IF(I109="NOT AVAILABLE","",I109))),ISNUMBER(SEARCH("Commercial",IF(I109="NOT AVAILABLE","",I109)))),25,IF(ISNUMBER(SEARCH("Informational",IF(I109="NOT AVAILABLE","",I109))),10,IF(ISNUMBER(SEARCH("Navigational",IF(I109="NOT AVAILABLE","",I109))),0,12))))+IF(ISNUMBER(F109),MIN(30,ROUND(30*LOG10(F109+1)/4,1)),0)+IF(ISNUMBER(G109),ROUND(25*(100-G109)/100,1),12.5)+L109,0)</f>
        <v/>
      </c>
      <c r="N109" s="5" t="inlineStr">
        <is>
          <t>High difficulty - long-term only, needs authority/links</t>
        </is>
      </c>
    </row>
    <row r="110">
      <c r="A110" t="inlineStr">
        <is>
          <t>Canada</t>
        </is>
      </c>
      <c r="B110" t="inlineStr">
        <is>
          <t>ca</t>
        </is>
      </c>
      <c r="C110" t="inlineStr">
        <is>
          <t>fr</t>
        </is>
      </c>
      <c r="D110" s="3" t="inlineStr">
        <is>
          <t>https://codesommet.com/web-development-company/worldwide</t>
        </is>
      </c>
      <c r="E110" t="inlineStr">
        <is>
          <t>création site internet</t>
        </is>
      </c>
      <c r="F110" t="n">
        <v>390</v>
      </c>
      <c r="G110" t="n">
        <v>75</v>
      </c>
      <c r="H110" t="n">
        <v>10.41</v>
      </c>
      <c r="I110" t="inlineStr">
        <is>
          <t>Informational</t>
        </is>
      </c>
      <c r="J110" t="inlineStr">
        <is>
          <t>MEASURED</t>
        </is>
      </c>
      <c r="K110" s="5" t="inlineStr">
        <is>
          <t>NOT AVAILABLE (SERP not pulled for this market)</t>
        </is>
      </c>
      <c r="L110" t="n">
        <v>10</v>
      </c>
      <c r="M110">
        <f>ROUND(IF(IF(I110="NOT AVAILABLE","",I110)="",12,IF(OR(ISNUMBER(SEARCH("Transactional",IF(I110="NOT AVAILABLE","",I110))),ISNUMBER(SEARCH("Commercial",IF(I110="NOT AVAILABLE","",I110)))),25,IF(ISNUMBER(SEARCH("Informational",IF(I110="NOT AVAILABLE","",I110))),10,IF(ISNUMBER(SEARCH("Navigational",IF(I110="NOT AVAILABLE","",I110))),0,12))))+IF(ISNUMBER(F110),MIN(30,ROUND(30*LOG10(F110+1)/4,1)),0)+IF(ISNUMBER(G110),ROUND(25*(100-G110)/100,1),12.5)+L110,0)</f>
        <v/>
      </c>
      <c r="N110" s="5" t="inlineStr">
        <is>
          <t>High difficulty - long-term only, needs authority/links</t>
        </is>
      </c>
    </row>
    <row r="111">
      <c r="A111" t="inlineStr">
        <is>
          <t>Canada</t>
        </is>
      </c>
      <c r="B111" t="inlineStr">
        <is>
          <t>ca</t>
        </is>
      </c>
      <c r="C111" t="inlineStr">
        <is>
          <t>fr</t>
        </is>
      </c>
      <c r="D111" s="3" t="inlineStr">
        <is>
          <t>https://codesommet.com/web-development-company/worldwide</t>
        </is>
      </c>
      <c r="E111" t="inlineStr">
        <is>
          <t>création site e-commerce</t>
        </is>
      </c>
      <c r="F111" t="n">
        <v>140</v>
      </c>
      <c r="G111" t="n">
        <v>32</v>
      </c>
      <c r="H111" t="n">
        <v>0</v>
      </c>
      <c r="I111" t="inlineStr">
        <is>
          <t>Informational</t>
        </is>
      </c>
      <c r="J111" t="inlineStr">
        <is>
          <t>MEASURED</t>
        </is>
      </c>
      <c r="K111" s="5" t="inlineStr">
        <is>
          <t>NOT AVAILABLE (SERP not pulled for this market)</t>
        </is>
      </c>
      <c r="L111" t="n">
        <v>10</v>
      </c>
      <c r="M111">
        <f>ROUND(IF(IF(I111="NOT AVAILABLE","",I111)="",12,IF(OR(ISNUMBER(SEARCH("Transactional",IF(I111="NOT AVAILABLE","",I111))),ISNUMBER(SEARCH("Commercial",IF(I111="NOT AVAILABLE","",I111)))),25,IF(ISNUMBER(SEARCH("Informational",IF(I111="NOT AVAILABLE","",I111))),10,IF(ISNUMBER(SEARCH("Navigational",IF(I111="NOT AVAILABLE","",I111))),0,12))))+IF(ISNUMBER(F111),MIN(30,ROUND(30*LOG10(F111+1)/4,1)),0)+IF(ISNUMBER(G111),ROUND(25*(100-G111)/100,1),12.5)+L111,0)</f>
        <v/>
      </c>
      <c r="N111" s="5" t="inlineStr">
        <is>
          <t>Moderate opportunity - test with existing page before creating anything</t>
        </is>
      </c>
    </row>
    <row r="112">
      <c r="A112" t="inlineStr">
        <is>
          <t>Canada</t>
        </is>
      </c>
      <c r="B112" t="inlineStr">
        <is>
          <t>ca</t>
        </is>
      </c>
      <c r="C112" t="inlineStr">
        <is>
          <t>fr</t>
        </is>
      </c>
      <c r="D112" s="3" t="inlineStr">
        <is>
          <t>https://codesommet.com/web-development-company/worldwide</t>
        </is>
      </c>
      <c r="E112" t="inlineStr">
        <is>
          <t>agence de développement web</t>
        </is>
      </c>
      <c r="F112" t="n">
        <v>170</v>
      </c>
      <c r="G112" t="n">
        <v>15</v>
      </c>
      <c r="H112" t="n">
        <v>6.51</v>
      </c>
      <c r="I112" t="inlineStr">
        <is>
          <t>Commercial</t>
        </is>
      </c>
      <c r="J112" t="inlineStr">
        <is>
          <t>MEASURED</t>
        </is>
      </c>
      <c r="K112" s="5" t="inlineStr">
        <is>
          <t>NOT AVAILABLE (SERP not pulled for this market)</t>
        </is>
      </c>
      <c r="L112" t="n">
        <v>10</v>
      </c>
      <c r="M112">
        <f>ROUND(IF(IF(I112="NOT AVAILABLE","",I112)="",12,IF(OR(ISNUMBER(SEARCH("Transactional",IF(I112="NOT AVAILABLE","",I112))),ISNUMBER(SEARCH("Commercial",IF(I112="NOT AVAILABLE","",I112)))),25,IF(ISNUMBER(SEARCH("Informational",IF(I112="NOT AVAILABLE","",I112))),10,IF(ISNUMBER(SEARCH("Navigational",IF(I112="NOT AVAILABLE","",I112))),0,12))))+IF(ISNUMBER(F112),MIN(30,ROUND(30*LOG10(F112+1)/4,1)),0)+IF(ISNUMBER(G112),ROUND(25*(100-G112)/100,1),12.5)+L112,0)</f>
        <v/>
      </c>
      <c r="N112" s="5" t="inlineStr">
        <is>
          <t>Opportunity: realistic volume at low KD - target via existing page section</t>
        </is>
      </c>
    </row>
    <row r="113">
      <c r="A113" t="inlineStr">
        <is>
          <t>Canada</t>
        </is>
      </c>
      <c r="B113" t="inlineStr">
        <is>
          <t>ca</t>
        </is>
      </c>
      <c r="C113" t="inlineStr">
        <is>
          <t>fr</t>
        </is>
      </c>
      <c r="D113" s="3" t="inlineStr">
        <is>
          <t>https://codesommet.com/web-development-company/worldwide</t>
        </is>
      </c>
      <c r="E113" t="inlineStr">
        <is>
          <t>développement web sur mesure</t>
        </is>
      </c>
      <c r="F113" t="n">
        <v>170</v>
      </c>
      <c r="G113" t="n">
        <v>16</v>
      </c>
      <c r="H113" t="n">
        <v>0</v>
      </c>
      <c r="I113" t="inlineStr">
        <is>
          <t>Informational</t>
        </is>
      </c>
      <c r="J113" t="inlineStr">
        <is>
          <t>MEASURED</t>
        </is>
      </c>
      <c r="K113" s="5" t="inlineStr">
        <is>
          <t>NOT AVAILABLE (SERP not pulled for this market)</t>
        </is>
      </c>
      <c r="L113" t="n">
        <v>10</v>
      </c>
      <c r="M113">
        <f>ROUND(IF(IF(I113="NOT AVAILABLE","",I113)="",12,IF(OR(ISNUMBER(SEARCH("Transactional",IF(I113="NOT AVAILABLE","",I113))),ISNUMBER(SEARCH("Commercial",IF(I113="NOT AVAILABLE","",I113)))),25,IF(ISNUMBER(SEARCH("Informational",IF(I113="NOT AVAILABLE","",I113))),10,IF(ISNUMBER(SEARCH("Navigational",IF(I113="NOT AVAILABLE","",I113))),0,12))))+IF(ISNUMBER(F113),MIN(30,ROUND(30*LOG10(F113+1)/4,1)),0)+IF(ISNUMBER(G113),ROUND(25*(100-G113)/100,1),12.5)+L113,0)</f>
        <v/>
      </c>
      <c r="N113" s="5" t="inlineStr">
        <is>
          <t>Opportunity: realistic volume at low KD - target via existing page section</t>
        </is>
      </c>
    </row>
    <row r="114">
      <c r="A114" t="inlineStr">
        <is>
          <t>Canada</t>
        </is>
      </c>
      <c r="B114" t="inlineStr">
        <is>
          <t>ca</t>
        </is>
      </c>
      <c r="C114" t="inlineStr">
        <is>
          <t>fr</t>
        </is>
      </c>
      <c r="D114" s="3" t="inlineStr">
        <is>
          <t>https://codesommet.com/web-development-company/worldwide</t>
        </is>
      </c>
      <c r="E114" t="inlineStr">
        <is>
          <t>développement application web</t>
        </is>
      </c>
      <c r="F114" t="n">
        <v>140</v>
      </c>
      <c r="G114" t="n">
        <v>6</v>
      </c>
      <c r="H114" t="n">
        <v>3.39</v>
      </c>
      <c r="I114" t="inlineStr">
        <is>
          <t>Informational</t>
        </is>
      </c>
      <c r="J114" t="inlineStr">
        <is>
          <t>MEASURED</t>
        </is>
      </c>
      <c r="K114" s="5" t="inlineStr">
        <is>
          <t>NOT AVAILABLE (SERP not pulled for this market)</t>
        </is>
      </c>
      <c r="L114" t="n">
        <v>10</v>
      </c>
      <c r="M114">
        <f>ROUND(IF(IF(I114="NOT AVAILABLE","",I114)="",12,IF(OR(ISNUMBER(SEARCH("Transactional",IF(I114="NOT AVAILABLE","",I114))),ISNUMBER(SEARCH("Commercial",IF(I114="NOT AVAILABLE","",I114)))),25,IF(ISNUMBER(SEARCH("Informational",IF(I114="NOT AVAILABLE","",I114))),10,IF(ISNUMBER(SEARCH("Navigational",IF(I114="NOT AVAILABLE","",I114))),0,12))))+IF(ISNUMBER(F114),MIN(30,ROUND(30*LOG10(F114+1)/4,1)),0)+IF(ISNUMBER(G114),ROUND(25*(100-G114)/100,1),12.5)+L114,0)</f>
        <v/>
      </c>
      <c r="N114" s="5" t="inlineStr">
        <is>
          <t>Opportunity: realistic volume at low KD - target via existing page section</t>
        </is>
      </c>
    </row>
    <row r="115">
      <c r="A115" t="inlineStr">
        <is>
          <t>Canada</t>
        </is>
      </c>
      <c r="B115" t="inlineStr">
        <is>
          <t>ca</t>
        </is>
      </c>
      <c r="C115" t="inlineStr">
        <is>
          <t>fr</t>
        </is>
      </c>
      <c r="D115" s="3" t="inlineStr">
        <is>
          <t>https://codesommet.com/web-development-company/worldwide</t>
        </is>
      </c>
      <c r="E115" t="inlineStr">
        <is>
          <t>agence seo</t>
        </is>
      </c>
      <c r="F115" t="n">
        <v>2900</v>
      </c>
      <c r="G115" t="n">
        <v>21</v>
      </c>
      <c r="H115" t="n">
        <v>6.6</v>
      </c>
      <c r="I115" t="inlineStr">
        <is>
          <t>Commercial</t>
        </is>
      </c>
      <c r="J115" t="inlineStr">
        <is>
          <t>MEASURED</t>
        </is>
      </c>
      <c r="K115" s="5" t="inlineStr">
        <is>
          <t>NOT AVAILABLE (SERP not pulled for this market)</t>
        </is>
      </c>
      <c r="L115" t="n">
        <v>10</v>
      </c>
      <c r="M115">
        <f>ROUND(IF(IF(I115="NOT AVAILABLE","",I115)="",12,IF(OR(ISNUMBER(SEARCH("Transactional",IF(I115="NOT AVAILABLE","",I115))),ISNUMBER(SEARCH("Commercial",IF(I115="NOT AVAILABLE","",I115)))),25,IF(ISNUMBER(SEARCH("Informational",IF(I115="NOT AVAILABLE","",I115))),10,IF(ISNUMBER(SEARCH("Navigational",IF(I115="NOT AVAILABLE","",I115))),0,12))))+IF(ISNUMBER(F115),MIN(30,ROUND(30*LOG10(F115+1)/4,1)),0)+IF(ISNUMBER(G115),ROUND(25*(100-G115)/100,1),12.5)+L115,0)</f>
        <v/>
      </c>
      <c r="N115" s="5" t="inlineStr">
        <is>
          <t>Opportunity: realistic volume at low KD - target via existing page section</t>
        </is>
      </c>
    </row>
    <row r="116">
      <c r="A116" t="inlineStr">
        <is>
          <t>Canada</t>
        </is>
      </c>
      <c r="B116" t="inlineStr">
        <is>
          <t>ca</t>
        </is>
      </c>
      <c r="C116" t="inlineStr">
        <is>
          <t>fr</t>
        </is>
      </c>
      <c r="D116" s="3" t="inlineStr">
        <is>
          <t>https://codesommet.com/web-development-company/worldwide</t>
        </is>
      </c>
      <c r="E116" t="inlineStr">
        <is>
          <t>référencement naturel</t>
        </is>
      </c>
      <c r="F116" t="n">
        <v>1000</v>
      </c>
      <c r="G116" t="n">
        <v>44</v>
      </c>
      <c r="H116" t="n">
        <v>0</v>
      </c>
      <c r="I116" t="inlineStr">
        <is>
          <t>Informational</t>
        </is>
      </c>
      <c r="J116" t="inlineStr">
        <is>
          <t>MEASURED</t>
        </is>
      </c>
      <c r="K116" s="5" t="inlineStr">
        <is>
          <t>NOT AVAILABLE (SERP not pulled for this market)</t>
        </is>
      </c>
      <c r="L116" t="n">
        <v>10</v>
      </c>
      <c r="M116">
        <f>ROUND(IF(IF(I116="NOT AVAILABLE","",I116)="",12,IF(OR(ISNUMBER(SEARCH("Transactional",IF(I116="NOT AVAILABLE","",I116))),ISNUMBER(SEARCH("Commercial",IF(I116="NOT AVAILABLE","",I116)))),25,IF(ISNUMBER(SEARCH("Informational",IF(I116="NOT AVAILABLE","",I116))),10,IF(ISNUMBER(SEARCH("Navigational",IF(I116="NOT AVAILABLE","",I116))),0,12))))+IF(ISNUMBER(F116),MIN(30,ROUND(30*LOG10(F116+1)/4,1)),0)+IF(ISNUMBER(G116),ROUND(25*(100-G116)/100,1),12.5)+L116,0)</f>
        <v/>
      </c>
      <c r="N116" s="5" t="inlineStr">
        <is>
          <t>Moderate opportunity - test with existing page before creating anything</t>
        </is>
      </c>
    </row>
    <row r="117">
      <c r="A117" t="inlineStr">
        <is>
          <t>Canada</t>
        </is>
      </c>
      <c r="B117" t="inlineStr">
        <is>
          <t>ca</t>
        </is>
      </c>
      <c r="C117" t="inlineStr">
        <is>
          <t>fr</t>
        </is>
      </c>
      <c r="D117" s="3" t="inlineStr">
        <is>
          <t>https://codesommet.com/web-development-company/worldwide</t>
        </is>
      </c>
      <c r="E117" t="inlineStr">
        <is>
          <t>agence web offshore</t>
        </is>
      </c>
      <c r="F117" t="n">
        <v>10</v>
      </c>
      <c r="G117" t="inlineStr">
        <is>
          <t>NOT AVAILABLE</t>
        </is>
      </c>
      <c r="H117" t="n">
        <v>0</v>
      </c>
      <c r="I117" t="inlineStr">
        <is>
          <t>NOT AVAILABLE</t>
        </is>
      </c>
      <c r="J117" t="inlineStr">
        <is>
          <t>MEASURED</t>
        </is>
      </c>
      <c r="K117" s="5" t="inlineStr">
        <is>
          <t>NOT AVAILABLE (SERP not pulled for this market)</t>
        </is>
      </c>
      <c r="L117" t="n">
        <v>10</v>
      </c>
      <c r="M117">
        <f>ROUND(IF(IF(I117="NOT AVAILABLE","",I117)="",12,IF(OR(ISNUMBER(SEARCH("Transactional",IF(I117="NOT AVAILABLE","",I117))),ISNUMBER(SEARCH("Commercial",IF(I117="NOT AVAILABLE","",I117)))),25,IF(ISNUMBER(SEARCH("Informational",IF(I117="NOT AVAILABLE","",I117))),10,IF(ISNUMBER(SEARCH("Navigational",IF(I117="NOT AVAILABLE","",I117))),0,12))))+IF(ISNUMBER(F117),MIN(30,ROUND(30*LOG10(F117+1)/4,1)),0)+IF(ISNUMBER(G117),ROUND(25*(100-G117)/100,1),12.5)+L117,0)</f>
        <v/>
      </c>
      <c r="N117" s="5" t="inlineStr">
        <is>
          <t>Low volume - supporting only</t>
        </is>
      </c>
    </row>
    <row r="118">
      <c r="A118" t="inlineStr">
        <is>
          <t>Canada</t>
        </is>
      </c>
      <c r="B118" t="inlineStr">
        <is>
          <t>ca</t>
        </is>
      </c>
      <c r="C118" t="inlineStr">
        <is>
          <t>fr</t>
        </is>
      </c>
      <c r="D118" s="3" t="inlineStr">
        <is>
          <t>https://codesommet.com/web-development-company/worldwide</t>
        </is>
      </c>
      <c r="E118" t="inlineStr">
        <is>
          <t>développeur web freelance</t>
        </is>
      </c>
      <c r="F118" t="n">
        <v>20</v>
      </c>
      <c r="G118" t="inlineStr">
        <is>
          <t>NOT AVAILABLE</t>
        </is>
      </c>
      <c r="H118" t="n">
        <v>2.84</v>
      </c>
      <c r="I118" t="inlineStr">
        <is>
          <t>NOT AVAILABLE</t>
        </is>
      </c>
      <c r="J118" t="inlineStr">
        <is>
          <t>MEASURED</t>
        </is>
      </c>
      <c r="K118" s="5" t="inlineStr">
        <is>
          <t>NOT AVAILABLE (SERP not pulled for this market)</t>
        </is>
      </c>
      <c r="L118" t="n">
        <v>10</v>
      </c>
      <c r="M118">
        <f>ROUND(IF(IF(I118="NOT AVAILABLE","",I118)="",12,IF(OR(ISNUMBER(SEARCH("Transactional",IF(I118="NOT AVAILABLE","",I118))),ISNUMBER(SEARCH("Commercial",IF(I118="NOT AVAILABLE","",I118)))),25,IF(ISNUMBER(SEARCH("Informational",IF(I118="NOT AVAILABLE","",I118))),10,IF(ISNUMBER(SEARCH("Navigational",IF(I118="NOT AVAILABLE","",I118))),0,12))))+IF(ISNUMBER(F118),MIN(30,ROUND(30*LOG10(F118+1)/4,1)),0)+IF(ISNUMBER(G118),ROUND(25*(100-G118)/100,1),12.5)+L118,0)</f>
        <v/>
      </c>
      <c r="N118" s="5" t="inlineStr">
        <is>
          <t>Low volume - supporting only</t>
        </is>
      </c>
    </row>
    <row r="119">
      <c r="A119" t="inlineStr">
        <is>
          <t>Canada</t>
        </is>
      </c>
      <c r="B119" t="inlineStr">
        <is>
          <t>ca</t>
        </is>
      </c>
      <c r="C119" t="inlineStr">
        <is>
          <t>fr</t>
        </is>
      </c>
      <c r="D119" s="3" t="inlineStr">
        <is>
          <t>https://codesommet.com/web-development-company/worldwide</t>
        </is>
      </c>
      <c r="E119" t="inlineStr">
        <is>
          <t>prix site web</t>
        </is>
      </c>
      <c r="F119" t="n">
        <v>210</v>
      </c>
      <c r="G119" t="n">
        <v>25</v>
      </c>
      <c r="H119" t="n">
        <v>1.9</v>
      </c>
      <c r="I119" t="inlineStr">
        <is>
          <t>Transactional</t>
        </is>
      </c>
      <c r="J119" t="inlineStr">
        <is>
          <t>MEASURED</t>
        </is>
      </c>
      <c r="K119" s="5" t="inlineStr">
        <is>
          <t>NOT AVAILABLE (SERP not pulled for this market)</t>
        </is>
      </c>
      <c r="L119" t="n">
        <v>10</v>
      </c>
      <c r="M119">
        <f>ROUND(IF(IF(I119="NOT AVAILABLE","",I119)="",12,IF(OR(ISNUMBER(SEARCH("Transactional",IF(I119="NOT AVAILABLE","",I119))),ISNUMBER(SEARCH("Commercial",IF(I119="NOT AVAILABLE","",I119)))),25,IF(ISNUMBER(SEARCH("Informational",IF(I119="NOT AVAILABLE","",I119))),10,IF(ISNUMBER(SEARCH("Navigational",IF(I119="NOT AVAILABLE","",I119))),0,12))))+IF(ISNUMBER(F119),MIN(30,ROUND(30*LOG10(F119+1)/4,1)),0)+IF(ISNUMBER(G119),ROUND(25*(100-G119)/100,1),12.5)+L119,0)</f>
        <v/>
      </c>
      <c r="N119" s="5" t="inlineStr">
        <is>
          <t>Opportunity: realistic volume at low KD - target via existing page section</t>
        </is>
      </c>
    </row>
    <row r="120">
      <c r="A120" t="inlineStr">
        <is>
          <t>Canada</t>
        </is>
      </c>
      <c r="B120" t="inlineStr">
        <is>
          <t>ca</t>
        </is>
      </c>
      <c r="C120" t="inlineStr">
        <is>
          <t>fr</t>
        </is>
      </c>
      <c r="D120" s="3" t="inlineStr">
        <is>
          <t>https://codesommet.com/web-development-company/worldwide</t>
        </is>
      </c>
      <c r="E120" t="inlineStr">
        <is>
          <t>prix création site internet</t>
        </is>
      </c>
      <c r="F120" t="n">
        <v>20</v>
      </c>
      <c r="G120" t="inlineStr">
        <is>
          <t>NOT AVAILABLE</t>
        </is>
      </c>
      <c r="H120" t="n">
        <v>0</v>
      </c>
      <c r="I120" t="inlineStr">
        <is>
          <t>NOT AVAILABLE</t>
        </is>
      </c>
      <c r="J120" t="inlineStr">
        <is>
          <t>MEASURED</t>
        </is>
      </c>
      <c r="K120" s="5" t="inlineStr">
        <is>
          <t>NOT AVAILABLE (SERP not pulled for this market)</t>
        </is>
      </c>
      <c r="L120" t="n">
        <v>10</v>
      </c>
      <c r="M120">
        <f>ROUND(IF(IF(I120="NOT AVAILABLE","",I120)="",12,IF(OR(ISNUMBER(SEARCH("Transactional",IF(I120="NOT AVAILABLE","",I120))),ISNUMBER(SEARCH("Commercial",IF(I120="NOT AVAILABLE","",I120)))),25,IF(ISNUMBER(SEARCH("Informational",IF(I120="NOT AVAILABLE","",I120))),10,IF(ISNUMBER(SEARCH("Navigational",IF(I120="NOT AVAILABLE","",I120))),0,12))))+IF(ISNUMBER(F120),MIN(30,ROUND(30*LOG10(F120+1)/4,1)),0)+IF(ISNUMBER(G120),ROUND(25*(100-G120)/100,1),12.5)+L120,0)</f>
        <v/>
      </c>
      <c r="N120" s="5" t="inlineStr">
        <is>
          <t>Low volume - supporting only</t>
        </is>
      </c>
    </row>
    <row r="121">
      <c r="A121" t="inlineStr">
        <is>
          <t>Canada</t>
        </is>
      </c>
      <c r="B121" t="inlineStr">
        <is>
          <t>ca</t>
        </is>
      </c>
      <c r="C121" t="inlineStr">
        <is>
          <t>fr</t>
        </is>
      </c>
      <c r="D121" s="3" t="inlineStr">
        <is>
          <t>https://codesommet.com/web-development-company/worldwide</t>
        </is>
      </c>
      <c r="E121" t="inlineStr">
        <is>
          <t>création site vitrine</t>
        </is>
      </c>
      <c r="F121" t="n">
        <v>110</v>
      </c>
      <c r="G121" t="n">
        <v>25</v>
      </c>
      <c r="H121" t="n">
        <v>0</v>
      </c>
      <c r="I121" t="inlineStr">
        <is>
          <t>Informational</t>
        </is>
      </c>
      <c r="J121" t="inlineStr">
        <is>
          <t>MEASURED</t>
        </is>
      </c>
      <c r="K121" s="5" t="inlineStr">
        <is>
          <t>NOT AVAILABLE (SERP not pulled for this market)</t>
        </is>
      </c>
      <c r="L121" t="n">
        <v>10</v>
      </c>
      <c r="M121">
        <f>ROUND(IF(IF(I121="NOT AVAILABLE","",I121)="",12,IF(OR(ISNUMBER(SEARCH("Transactional",IF(I121="NOT AVAILABLE","",I121))),ISNUMBER(SEARCH("Commercial",IF(I121="NOT AVAILABLE","",I121)))),25,IF(ISNUMBER(SEARCH("Informational",IF(I121="NOT AVAILABLE","",I121))),10,IF(ISNUMBER(SEARCH("Navigational",IF(I121="NOT AVAILABLE","",I121))),0,12))))+IF(ISNUMBER(F121),MIN(30,ROUND(30*LOG10(F121+1)/4,1)),0)+IF(ISNUMBER(G121),ROUND(25*(100-G121)/100,1),12.5)+L121,0)</f>
        <v/>
      </c>
      <c r="N121" s="5" t="inlineStr">
        <is>
          <t>Opportunity: realistic volume at low KD - target via existing page section</t>
        </is>
      </c>
    </row>
    <row r="122">
      <c r="A122" t="inlineStr">
        <is>
          <t>Canada</t>
        </is>
      </c>
      <c r="B122" t="inlineStr">
        <is>
          <t>ca</t>
        </is>
      </c>
      <c r="C122" t="inlineStr">
        <is>
          <t>fr</t>
        </is>
      </c>
      <c r="D122" s="3" t="inlineStr">
        <is>
          <t>https://codesommet.com/web-development-company/worldwide</t>
        </is>
      </c>
      <c r="E122" t="inlineStr">
        <is>
          <t>refonte site web</t>
        </is>
      </c>
      <c r="F122" t="n">
        <v>390</v>
      </c>
      <c r="G122" t="n">
        <v>6</v>
      </c>
      <c r="H122" t="n">
        <v>7.59</v>
      </c>
      <c r="I122" t="inlineStr">
        <is>
          <t>Informational</t>
        </is>
      </c>
      <c r="J122" t="inlineStr">
        <is>
          <t>MEASURED</t>
        </is>
      </c>
      <c r="K122" s="5" t="inlineStr">
        <is>
          <t>NOT AVAILABLE (SERP not pulled for this market)</t>
        </is>
      </c>
      <c r="L122" t="n">
        <v>10</v>
      </c>
      <c r="M122">
        <f>ROUND(IF(IF(I122="NOT AVAILABLE","",I122)="",12,IF(OR(ISNUMBER(SEARCH("Transactional",IF(I122="NOT AVAILABLE","",I122))),ISNUMBER(SEARCH("Commercial",IF(I122="NOT AVAILABLE","",I122)))),25,IF(ISNUMBER(SEARCH("Informational",IF(I122="NOT AVAILABLE","",I122))),10,IF(ISNUMBER(SEARCH("Navigational",IF(I122="NOT AVAILABLE","",I122))),0,12))))+IF(ISNUMBER(F122),MIN(30,ROUND(30*LOG10(F122+1)/4,1)),0)+IF(ISNUMBER(G122),ROUND(25*(100-G122)/100,1),12.5)+L122,0)</f>
        <v/>
      </c>
      <c r="N122" s="5" t="inlineStr">
        <is>
          <t>Opportunity: realistic volume at low KD - target via existing page section</t>
        </is>
      </c>
    </row>
    <row r="123">
      <c r="A123" t="inlineStr">
        <is>
          <t>Canada</t>
        </is>
      </c>
      <c r="B123" t="inlineStr">
        <is>
          <t>ca</t>
        </is>
      </c>
      <c r="C123" t="inlineStr">
        <is>
          <t>fr</t>
        </is>
      </c>
      <c r="D123" s="3" t="inlineStr">
        <is>
          <t>https://codesommet.com/web-development-company/worldwide</t>
        </is>
      </c>
      <c r="E123" t="inlineStr">
        <is>
          <t>agence digitale</t>
        </is>
      </c>
      <c r="F123" t="n">
        <v>320</v>
      </c>
      <c r="G123" t="n">
        <v>64</v>
      </c>
      <c r="H123" t="n">
        <v>3.7</v>
      </c>
      <c r="I123" t="inlineStr">
        <is>
          <t>Commercial</t>
        </is>
      </c>
      <c r="J123" t="inlineStr">
        <is>
          <t>MEASURED</t>
        </is>
      </c>
      <c r="K123" s="5" t="inlineStr">
        <is>
          <t>NOT AVAILABLE (SERP not pulled for this market)</t>
        </is>
      </c>
      <c r="L123" t="n">
        <v>10</v>
      </c>
      <c r="M123">
        <f>ROUND(IF(IF(I123="NOT AVAILABLE","",I123)="",12,IF(OR(ISNUMBER(SEARCH("Transactional",IF(I123="NOT AVAILABLE","",I123))),ISNUMBER(SEARCH("Commercial",IF(I123="NOT AVAILABLE","",I123)))),25,IF(ISNUMBER(SEARCH("Informational",IF(I123="NOT AVAILABLE","",I123))),10,IF(ISNUMBER(SEARCH("Navigational",IF(I123="NOT AVAILABLE","",I123))),0,12))))+IF(ISNUMBER(F123),MIN(30,ROUND(30*LOG10(F123+1)/4,1)),0)+IF(ISNUMBER(G123),ROUND(25*(100-G123)/100,1),12.5)+L123,0)</f>
        <v/>
      </c>
      <c r="N123" s="5" t="inlineStr">
        <is>
          <t>High difficulty - long-term only, needs authority/links</t>
        </is>
      </c>
    </row>
    <row r="124">
      <c r="A124" t="inlineStr">
        <is>
          <t>Canada</t>
        </is>
      </c>
      <c r="B124" t="inlineStr">
        <is>
          <t>ca</t>
        </is>
      </c>
      <c r="C124" t="inlineStr">
        <is>
          <t>fr</t>
        </is>
      </c>
      <c r="D124" s="3" t="inlineStr">
        <is>
          <t>https://codesommet.com/web-development-company/worldwide</t>
        </is>
      </c>
      <c r="E124" t="inlineStr">
        <is>
          <t>développement saas</t>
        </is>
      </c>
      <c r="F124" t="n">
        <v>0</v>
      </c>
      <c r="G124" t="inlineStr">
        <is>
          <t>NOT AVAILABLE</t>
        </is>
      </c>
      <c r="H124" t="n">
        <v>0</v>
      </c>
      <c r="I124" t="inlineStr">
        <is>
          <t>NOT AVAILABLE</t>
        </is>
      </c>
      <c r="J124" t="inlineStr">
        <is>
          <t>MEASURED</t>
        </is>
      </c>
      <c r="K124" s="5" t="inlineStr">
        <is>
          <t>NOT AVAILABLE (SERP not pulled for this market)</t>
        </is>
      </c>
      <c r="L124" t="n">
        <v>10</v>
      </c>
      <c r="M124">
        <f>ROUND(IF(IF(I124="NOT AVAILABLE","",I124)="",12,IF(OR(ISNUMBER(SEARCH("Transactional",IF(I124="NOT AVAILABLE","",I124))),ISNUMBER(SEARCH("Commercial",IF(I124="NOT AVAILABLE","",I124)))),25,IF(ISNUMBER(SEARCH("Informational",IF(I124="NOT AVAILABLE","",I124))),10,IF(ISNUMBER(SEARCH("Navigational",IF(I124="NOT AVAILABLE","",I124))),0,12))))+IF(ISNUMBER(F124),MIN(30,ROUND(30*LOG10(F124+1)/4,1)),0)+IF(ISNUMBER(G124),ROUND(25*(100-G124)/100,1),12.5)+L124,0)</f>
        <v/>
      </c>
      <c r="N124" s="5" t="inlineStr">
        <is>
          <t>Measured zero - do not target</t>
        </is>
      </c>
    </row>
    <row r="125">
      <c r="A125" t="inlineStr">
        <is>
          <t>Canada</t>
        </is>
      </c>
      <c r="B125" t="inlineStr">
        <is>
          <t>ca</t>
        </is>
      </c>
      <c r="C125" t="inlineStr">
        <is>
          <t>fr</t>
        </is>
      </c>
      <c r="D125" s="3" t="inlineStr">
        <is>
          <t>https://codesommet.com/web-development-company/worldwide</t>
        </is>
      </c>
      <c r="E125" t="inlineStr">
        <is>
          <t>création application web</t>
        </is>
      </c>
      <c r="F125" t="n">
        <v>90</v>
      </c>
      <c r="G125" t="n">
        <v>11</v>
      </c>
      <c r="H125" t="n">
        <v>0</v>
      </c>
      <c r="I125" t="inlineStr">
        <is>
          <t>Informational</t>
        </is>
      </c>
      <c r="J125" t="inlineStr">
        <is>
          <t>MEASURED</t>
        </is>
      </c>
      <c r="K125" s="5" t="inlineStr">
        <is>
          <t>NOT AVAILABLE (SERP not pulled for this market)</t>
        </is>
      </c>
      <c r="L125" t="n">
        <v>10</v>
      </c>
      <c r="M125">
        <f>ROUND(IF(IF(I125="NOT AVAILABLE","",I125)="",12,IF(OR(ISNUMBER(SEARCH("Transactional",IF(I125="NOT AVAILABLE","",I125))),ISNUMBER(SEARCH("Commercial",IF(I125="NOT AVAILABLE","",I125)))),25,IF(ISNUMBER(SEARCH("Informational",IF(I125="NOT AVAILABLE","",I125))),10,IF(ISNUMBER(SEARCH("Navigational",IF(I125="NOT AVAILABLE","",I125))),0,12))))+IF(ISNUMBER(F125),MIN(30,ROUND(30*LOG10(F125+1)/4,1)),0)+IF(ISNUMBER(G125),ROUND(25*(100-G125)/100,1),12.5)+L125,0)</f>
        <v/>
      </c>
      <c r="N125" s="5" t="inlineStr">
        <is>
          <t>Low volume - supporting only</t>
        </is>
      </c>
    </row>
    <row r="126">
      <c r="A126" t="inlineStr">
        <is>
          <t>Canada</t>
        </is>
      </c>
      <c r="B126" t="inlineStr">
        <is>
          <t>ca</t>
        </is>
      </c>
      <c r="C126" t="inlineStr">
        <is>
          <t>fr</t>
        </is>
      </c>
      <c r="D126" s="3" t="inlineStr">
        <is>
          <t>https://codesommet.com/web-development-company/worldwide</t>
        </is>
      </c>
      <c r="E126" t="inlineStr">
        <is>
          <t>agence web maroc</t>
        </is>
      </c>
      <c r="F126" t="n">
        <v>10</v>
      </c>
      <c r="G126" t="inlineStr">
        <is>
          <t>NOT AVAILABLE</t>
        </is>
      </c>
      <c r="H126" t="n">
        <v>0</v>
      </c>
      <c r="I126" t="inlineStr">
        <is>
          <t>NOT AVAILABLE</t>
        </is>
      </c>
      <c r="J126" t="inlineStr">
        <is>
          <t>MEASURED</t>
        </is>
      </c>
      <c r="K126" s="5" t="inlineStr">
        <is>
          <t>NOT AVAILABLE (SERP not pulled for this market)</t>
        </is>
      </c>
      <c r="L126" t="n">
        <v>10</v>
      </c>
      <c r="M126">
        <f>ROUND(IF(IF(I126="NOT AVAILABLE","",I126)="",12,IF(OR(ISNUMBER(SEARCH("Transactional",IF(I126="NOT AVAILABLE","",I126))),ISNUMBER(SEARCH("Commercial",IF(I126="NOT AVAILABLE","",I126)))),25,IF(ISNUMBER(SEARCH("Informational",IF(I126="NOT AVAILABLE","",I126))),10,IF(ISNUMBER(SEARCH("Navigational",IF(I126="NOT AVAILABLE","",I126))),0,12))))+IF(ISNUMBER(F126),MIN(30,ROUND(30*LOG10(F126+1)/4,1)),0)+IF(ISNUMBER(G126),ROUND(25*(100-G126)/100,1),12.5)+L126,0)</f>
        <v/>
      </c>
      <c r="N126" s="5" t="inlineStr">
        <is>
          <t>Low volume - supporting only</t>
        </is>
      </c>
    </row>
    <row r="127">
      <c r="A127" t="inlineStr">
        <is>
          <t>Canada</t>
        </is>
      </c>
      <c r="B127" t="inlineStr">
        <is>
          <t>ca</t>
        </is>
      </c>
      <c r="C127" t="inlineStr">
        <is>
          <t>fr</t>
        </is>
      </c>
      <c r="D127" s="3" t="inlineStr">
        <is>
          <t>https://codesommet.com/web-development-company/worldwide</t>
        </is>
      </c>
      <c r="E127" t="inlineStr">
        <is>
          <t>création boutique en ligne</t>
        </is>
      </c>
      <c r="F127" t="n">
        <v>140</v>
      </c>
      <c r="G127" t="n">
        <v>32</v>
      </c>
      <c r="H127" t="n">
        <v>7.17</v>
      </c>
      <c r="I127" t="inlineStr">
        <is>
          <t>Informational</t>
        </is>
      </c>
      <c r="J127" t="inlineStr">
        <is>
          <t>MEASURED</t>
        </is>
      </c>
      <c r="K127" s="5" t="inlineStr">
        <is>
          <t>NOT AVAILABLE (SERP not pulled for this market)</t>
        </is>
      </c>
      <c r="L127" t="n">
        <v>10</v>
      </c>
      <c r="M127">
        <f>ROUND(IF(IF(I127="NOT AVAILABLE","",I127)="",12,IF(OR(ISNUMBER(SEARCH("Transactional",IF(I127="NOT AVAILABLE","",I127))),ISNUMBER(SEARCH("Commercial",IF(I127="NOT AVAILABLE","",I127)))),25,IF(ISNUMBER(SEARCH("Informational",IF(I127="NOT AVAILABLE","",I127))),10,IF(ISNUMBER(SEARCH("Navigational",IF(I127="NOT AVAILABLE","",I127))),0,12))))+IF(ISNUMBER(F127),MIN(30,ROUND(30*LOG10(F127+1)/4,1)),0)+IF(ISNUMBER(G127),ROUND(25*(100-G127)/100,1),12.5)+L127,0)</f>
        <v/>
      </c>
      <c r="N127" s="5" t="inlineStr">
        <is>
          <t>Moderate opportunity - test with existing page before creating anything</t>
        </is>
      </c>
    </row>
    <row r="128">
      <c r="A128" t="inlineStr">
        <is>
          <t>Canada</t>
        </is>
      </c>
      <c r="B128" t="inlineStr">
        <is>
          <t>ca</t>
        </is>
      </c>
      <c r="C128" t="inlineStr">
        <is>
          <t>fr</t>
        </is>
      </c>
      <c r="D128" s="3" t="inlineStr">
        <is>
          <t>https://codesommet.com/web-development-company/worldwide</t>
        </is>
      </c>
      <c r="E128" t="inlineStr">
        <is>
          <t>sous-traitance développement web</t>
        </is>
      </c>
      <c r="F128" t="n">
        <v>0</v>
      </c>
      <c r="G128" t="inlineStr">
        <is>
          <t>NOT AVAILABLE</t>
        </is>
      </c>
      <c r="H128" t="n">
        <v>0</v>
      </c>
      <c r="I128" t="inlineStr">
        <is>
          <t>NOT AVAILABLE</t>
        </is>
      </c>
      <c r="J128" t="inlineStr">
        <is>
          <t>MEASURED</t>
        </is>
      </c>
      <c r="K128" s="5" t="inlineStr">
        <is>
          <t>NOT AVAILABLE (SERP not pulled for this market)</t>
        </is>
      </c>
      <c r="L128" t="n">
        <v>10</v>
      </c>
      <c r="M128">
        <f>ROUND(IF(IF(I128="NOT AVAILABLE","",I128)="",12,IF(OR(ISNUMBER(SEARCH("Transactional",IF(I128="NOT AVAILABLE","",I128))),ISNUMBER(SEARCH("Commercial",IF(I128="NOT AVAILABLE","",I128)))),25,IF(ISNUMBER(SEARCH("Informational",IF(I128="NOT AVAILABLE","",I128))),10,IF(ISNUMBER(SEARCH("Navigational",IF(I128="NOT AVAILABLE","",I128))),0,12))))+IF(ISNUMBER(F128),MIN(30,ROUND(30*LOG10(F128+1)/4,1)),0)+IF(ISNUMBER(G128),ROUND(25*(100-G128)/100,1),12.5)+L128,0)</f>
        <v/>
      </c>
      <c r="N128" s="5" t="inlineStr">
        <is>
          <t>Measured zero - do not target</t>
        </is>
      </c>
    </row>
    <row r="129">
      <c r="A129" t="inlineStr">
        <is>
          <t>Canada</t>
        </is>
      </c>
      <c r="B129" t="inlineStr">
        <is>
          <t>ca</t>
        </is>
      </c>
      <c r="C129" t="inlineStr">
        <is>
          <t>fr</t>
        </is>
      </c>
      <c r="D129" s="3" t="inlineStr">
        <is>
          <t>https://codesommet.com/web-development-company/worldwide</t>
        </is>
      </c>
      <c r="E129" t="inlineStr">
        <is>
          <t>externalisation développement web</t>
        </is>
      </c>
      <c r="F129" t="n">
        <v>0</v>
      </c>
      <c r="G129" t="inlineStr">
        <is>
          <t>NOT AVAILABLE</t>
        </is>
      </c>
      <c r="H129" t="n">
        <v>0</v>
      </c>
      <c r="I129" t="inlineStr">
        <is>
          <t>NOT AVAILABLE</t>
        </is>
      </c>
      <c r="J129" t="inlineStr">
        <is>
          <t>MEASURED</t>
        </is>
      </c>
      <c r="K129" s="5" t="inlineStr">
        <is>
          <t>NOT AVAILABLE (SERP not pulled for this market)</t>
        </is>
      </c>
      <c r="L129" t="n">
        <v>10</v>
      </c>
      <c r="M129">
        <f>ROUND(IF(IF(I129="NOT AVAILABLE","",I129)="",12,IF(OR(ISNUMBER(SEARCH("Transactional",IF(I129="NOT AVAILABLE","",I129))),ISNUMBER(SEARCH("Commercial",IF(I129="NOT AVAILABLE","",I129)))),25,IF(ISNUMBER(SEARCH("Informational",IF(I129="NOT AVAILABLE","",I129))),10,IF(ISNUMBER(SEARCH("Navigational",IF(I129="NOT AVAILABLE","",I129))),0,12))))+IF(ISNUMBER(F129),MIN(30,ROUND(30*LOG10(F129+1)/4,1)),0)+IF(ISNUMBER(G129),ROUND(25*(100-G129)/100,1),12.5)+L129,0)</f>
        <v/>
      </c>
      <c r="N129" s="5" t="inlineStr">
        <is>
          <t>Measured zero - do not target</t>
        </is>
      </c>
    </row>
    <row r="130">
      <c r="A130" t="inlineStr">
        <is>
          <t>Canada</t>
        </is>
      </c>
      <c r="B130" t="inlineStr">
        <is>
          <t>ca</t>
        </is>
      </c>
      <c r="C130" t="inlineStr">
        <is>
          <t>fr</t>
        </is>
      </c>
      <c r="D130" s="3" t="inlineStr">
        <is>
          <t>https://codesommet.com/web-development-company/worldwide</t>
        </is>
      </c>
      <c r="E130" t="inlineStr">
        <is>
          <t>développement web offshore</t>
        </is>
      </c>
      <c r="F130" t="n">
        <v>10</v>
      </c>
      <c r="G130" t="inlineStr">
        <is>
          <t>NOT AVAILABLE</t>
        </is>
      </c>
      <c r="H130" t="n">
        <v>0</v>
      </c>
      <c r="I130" t="inlineStr">
        <is>
          <t>NOT AVAILABLE</t>
        </is>
      </c>
      <c r="J130" t="inlineStr">
        <is>
          <t>MEASURED</t>
        </is>
      </c>
      <c r="K130" s="5" t="inlineStr">
        <is>
          <t>NOT AVAILABLE (SERP not pulled for this market)</t>
        </is>
      </c>
      <c r="L130" t="n">
        <v>10</v>
      </c>
      <c r="M130">
        <f>ROUND(IF(IF(I130="NOT AVAILABLE","",I130)="",12,IF(OR(ISNUMBER(SEARCH("Transactional",IF(I130="NOT AVAILABLE","",I130))),ISNUMBER(SEARCH("Commercial",IF(I130="NOT AVAILABLE","",I130)))),25,IF(ISNUMBER(SEARCH("Informational",IF(I130="NOT AVAILABLE","",I130))),10,IF(ISNUMBER(SEARCH("Navigational",IF(I130="NOT AVAILABLE","",I130))),0,12))))+IF(ISNUMBER(F130),MIN(30,ROUND(30*LOG10(F130+1)/4,1)),0)+IF(ISNUMBER(G130),ROUND(25*(100-G130)/100,1),12.5)+L130,0)</f>
        <v/>
      </c>
      <c r="N130" s="5" t="inlineStr">
        <is>
          <t>Low volume - supporting only</t>
        </is>
      </c>
    </row>
    <row r="131">
      <c r="A131" t="inlineStr">
        <is>
          <t>Canada</t>
        </is>
      </c>
      <c r="B131" t="inlineStr">
        <is>
          <t>ca</t>
        </is>
      </c>
      <c r="C131" t="inlineStr">
        <is>
          <t>fr</t>
        </is>
      </c>
      <c r="D131" s="3" t="inlineStr">
        <is>
          <t>https://codesommet.com/web-development-company/worldwide</t>
        </is>
      </c>
      <c r="E131" t="inlineStr">
        <is>
          <t>agence web nearshore</t>
        </is>
      </c>
      <c r="F131" t="inlineStr">
        <is>
          <t>NOT AVAILABLE</t>
        </is>
      </c>
      <c r="G131" t="inlineStr">
        <is>
          <t>NOT AVAILABLE</t>
        </is>
      </c>
      <c r="H131" t="inlineStr">
        <is>
          <t>NOT AVAILABLE</t>
        </is>
      </c>
      <c r="I131" t="inlineStr">
        <is>
          <t>NOT AVAILABLE</t>
        </is>
      </c>
      <c r="J131" t="inlineStr">
        <is>
          <t>UNAVAILABLE</t>
        </is>
      </c>
      <c r="K131" s="5" t="inlineStr">
        <is>
          <t>NOT AVAILABLE (SERP not pulled for this market)</t>
        </is>
      </c>
      <c r="L131" t="n">
        <v>10</v>
      </c>
      <c r="M131">
        <f>ROUND(IF(IF(I131="NOT AVAILABLE","",I131)="",12,IF(OR(ISNUMBER(SEARCH("Transactional",IF(I131="NOT AVAILABLE","",I131))),ISNUMBER(SEARCH("Commercial",IF(I131="NOT AVAILABLE","",I131)))),25,IF(ISNUMBER(SEARCH("Informational",IF(I131="NOT AVAILABLE","",I131))),10,IF(ISNUMBER(SEARCH("Navigational",IF(I131="NOT AVAILABLE","",I131))),0,12))))+IF(ISNUMBER(F131),MIN(30,ROUND(30*LOG10(F131+1)/4,1)),0)+IF(ISNUMBER(G131),ROUND(25*(100-G131)/100,1),12.5)+L131,0)</f>
        <v/>
      </c>
      <c r="N131" s="5" t="inlineStr">
        <is>
          <t>No data in this database - do not prioritise</t>
        </is>
      </c>
    </row>
    <row r="132">
      <c r="A132" t="inlineStr">
        <is>
          <t>Canada</t>
        </is>
      </c>
      <c r="B132" t="inlineStr">
        <is>
          <t>ca</t>
        </is>
      </c>
      <c r="C132" t="inlineStr">
        <is>
          <t>fr</t>
        </is>
      </c>
      <c r="D132" s="3" t="inlineStr">
        <is>
          <t>https://codesommet.com/web-development-company/worldwide</t>
        </is>
      </c>
      <c r="E132" t="inlineStr">
        <is>
          <t>développeur maroc</t>
        </is>
      </c>
      <c r="F132" t="n">
        <v>0</v>
      </c>
      <c r="G132" t="inlineStr">
        <is>
          <t>NOT AVAILABLE</t>
        </is>
      </c>
      <c r="H132" t="n">
        <v>0</v>
      </c>
      <c r="I132" t="inlineStr">
        <is>
          <t>NOT AVAILABLE</t>
        </is>
      </c>
      <c r="J132" t="inlineStr">
        <is>
          <t>MEASURED</t>
        </is>
      </c>
      <c r="K132" s="5" t="inlineStr">
        <is>
          <t>NOT AVAILABLE (SERP not pulled for this market)</t>
        </is>
      </c>
      <c r="L132" t="n">
        <v>10</v>
      </c>
      <c r="M132">
        <f>ROUND(IF(IF(I132="NOT AVAILABLE","",I132)="",12,IF(OR(ISNUMBER(SEARCH("Transactional",IF(I132="NOT AVAILABLE","",I132))),ISNUMBER(SEARCH("Commercial",IF(I132="NOT AVAILABLE","",I132)))),25,IF(ISNUMBER(SEARCH("Informational",IF(I132="NOT AVAILABLE","",I132))),10,IF(ISNUMBER(SEARCH("Navigational",IF(I132="NOT AVAILABLE","",I132))),0,12))))+IF(ISNUMBER(F132),MIN(30,ROUND(30*LOG10(F132+1)/4,1)),0)+IF(ISNUMBER(G132),ROUND(25*(100-G132)/100,1),12.5)+L132,0)</f>
        <v/>
      </c>
      <c r="N132" s="5" t="inlineStr">
        <is>
          <t>Measured zero - do not target</t>
        </is>
      </c>
    </row>
    <row r="133">
      <c r="A133" t="inlineStr">
        <is>
          <t>Canada</t>
        </is>
      </c>
      <c r="B133" t="inlineStr">
        <is>
          <t>ca</t>
        </is>
      </c>
      <c r="C133" t="inlineStr">
        <is>
          <t>fr</t>
        </is>
      </c>
      <c r="D133" s="3" t="inlineStr">
        <is>
          <t>https://codesommet.com/web-development-company/worldwide</t>
        </is>
      </c>
      <c r="E133" t="inlineStr">
        <is>
          <t>développement logiciel sur mesure</t>
        </is>
      </c>
      <c r="F133" t="n">
        <v>320</v>
      </c>
      <c r="G133" t="n">
        <v>24</v>
      </c>
      <c r="H133" t="n">
        <v>9.890000000000001</v>
      </c>
      <c r="I133" t="inlineStr">
        <is>
          <t>Informational</t>
        </is>
      </c>
      <c r="J133" t="inlineStr">
        <is>
          <t>MEASURED</t>
        </is>
      </c>
      <c r="K133" s="5" t="inlineStr">
        <is>
          <t>NOT AVAILABLE (SERP not pulled for this market)</t>
        </is>
      </c>
      <c r="L133" t="n">
        <v>10</v>
      </c>
      <c r="M133">
        <f>ROUND(IF(IF(I133="NOT AVAILABLE","",I133)="",12,IF(OR(ISNUMBER(SEARCH("Transactional",IF(I133="NOT AVAILABLE","",I133))),ISNUMBER(SEARCH("Commercial",IF(I133="NOT AVAILABLE","",I133)))),25,IF(ISNUMBER(SEARCH("Informational",IF(I133="NOT AVAILABLE","",I133))),10,IF(ISNUMBER(SEARCH("Navigational",IF(I133="NOT AVAILABLE","",I133))),0,12))))+IF(ISNUMBER(F133),MIN(30,ROUND(30*LOG10(F133+1)/4,1)),0)+IF(ISNUMBER(G133),ROUND(25*(100-G133)/100,1),12.5)+L133,0)</f>
        <v/>
      </c>
      <c r="N133" s="5" t="inlineStr">
        <is>
          <t>Opportunity: realistic volume at low KD - target via existing page section</t>
        </is>
      </c>
    </row>
    <row r="134">
      <c r="A134" t="inlineStr">
        <is>
          <t>Canada</t>
        </is>
      </c>
      <c r="B134" t="inlineStr">
        <is>
          <t>ca</t>
        </is>
      </c>
      <c r="C134" t="inlineStr">
        <is>
          <t>fr</t>
        </is>
      </c>
      <c r="D134" s="3" t="inlineStr">
        <is>
          <t>https://codesommet.com/web-development-company/worldwide</t>
        </is>
      </c>
      <c r="E134" t="inlineStr">
        <is>
          <t>conception site web</t>
        </is>
      </c>
      <c r="F134" t="n">
        <v>1900</v>
      </c>
      <c r="G134" t="n">
        <v>34</v>
      </c>
      <c r="H134" t="n">
        <v>5.4</v>
      </c>
      <c r="I134" t="inlineStr">
        <is>
          <t>Informational</t>
        </is>
      </c>
      <c r="J134" t="inlineStr">
        <is>
          <t>MEASURED</t>
        </is>
      </c>
      <c r="K134" s="5" t="inlineStr">
        <is>
          <t>NOT AVAILABLE (SERP not pulled for this market)</t>
        </is>
      </c>
      <c r="L134" t="n">
        <v>10</v>
      </c>
      <c r="M134">
        <f>ROUND(IF(IF(I134="NOT AVAILABLE","",I134)="",12,IF(OR(ISNUMBER(SEARCH("Transactional",IF(I134="NOT AVAILABLE","",I134))),ISNUMBER(SEARCH("Commercial",IF(I134="NOT AVAILABLE","",I134)))),25,IF(ISNUMBER(SEARCH("Informational",IF(I134="NOT AVAILABLE","",I134))),10,IF(ISNUMBER(SEARCH("Navigational",IF(I134="NOT AVAILABLE","",I134))),0,12))))+IF(ISNUMBER(F134),MIN(30,ROUND(30*LOG10(F134+1)/4,1)),0)+IF(ISNUMBER(G134),ROUND(25*(100-G134)/100,1),12.5)+L134,0)</f>
        <v/>
      </c>
      <c r="N134" s="5" t="inlineStr">
        <is>
          <t>Moderate opportunity - test with existing page before creating anything</t>
        </is>
      </c>
    </row>
    <row r="135">
      <c r="A135" t="inlineStr">
        <is>
          <t>Canada</t>
        </is>
      </c>
      <c r="B135" t="inlineStr">
        <is>
          <t>ca</t>
        </is>
      </c>
      <c r="C135" t="inlineStr">
        <is>
          <t>fr</t>
        </is>
      </c>
      <c r="D135" s="3" t="inlineStr">
        <is>
          <t>https://codesommet.com/web-development-company/worldwide</t>
        </is>
      </c>
      <c r="E135" t="inlineStr">
        <is>
          <t>site internet professionnel</t>
        </is>
      </c>
      <c r="F135" t="n">
        <v>30</v>
      </c>
      <c r="G135" t="inlineStr">
        <is>
          <t>NOT AVAILABLE</t>
        </is>
      </c>
      <c r="H135" t="n">
        <v>0</v>
      </c>
      <c r="I135" t="inlineStr">
        <is>
          <t>NOT AVAILABLE</t>
        </is>
      </c>
      <c r="J135" t="inlineStr">
        <is>
          <t>MEASURED</t>
        </is>
      </c>
      <c r="K135" s="5" t="inlineStr">
        <is>
          <t>NOT AVAILABLE (SERP not pulled for this market)</t>
        </is>
      </c>
      <c r="L135" t="n">
        <v>10</v>
      </c>
      <c r="M135">
        <f>ROUND(IF(IF(I135="NOT AVAILABLE","",I135)="",12,IF(OR(ISNUMBER(SEARCH("Transactional",IF(I135="NOT AVAILABLE","",I135))),ISNUMBER(SEARCH("Commercial",IF(I135="NOT AVAILABLE","",I135)))),25,IF(ISNUMBER(SEARCH("Informational",IF(I135="NOT AVAILABLE","",I135))),10,IF(ISNUMBER(SEARCH("Navigational",IF(I135="NOT AVAILABLE","",I135))),0,12))))+IF(ISNUMBER(F135),MIN(30,ROUND(30*LOG10(F135+1)/4,1)),0)+IF(ISNUMBER(G135),ROUND(25*(100-G135)/100,1),12.5)+L135,0)</f>
        <v/>
      </c>
      <c r="N135" s="5" t="inlineStr">
        <is>
          <t>Low volume - supporting only</t>
        </is>
      </c>
    </row>
    <row r="136">
      <c r="A136" t="inlineStr">
        <is>
          <t>Canada</t>
        </is>
      </c>
      <c r="B136" t="inlineStr">
        <is>
          <t>ca</t>
        </is>
      </c>
      <c r="C136" t="inlineStr">
        <is>
          <t>fr</t>
        </is>
      </c>
      <c r="D136" s="3" t="inlineStr">
        <is>
          <t>https://codesommet.com/web-development-company/worldwide</t>
        </is>
      </c>
      <c r="E136" t="inlineStr">
        <is>
          <t>webdesigner</t>
        </is>
      </c>
      <c r="F136" t="n">
        <v>170</v>
      </c>
      <c r="G136" t="n">
        <v>58</v>
      </c>
      <c r="H136" t="n">
        <v>5.27</v>
      </c>
      <c r="I136" t="inlineStr">
        <is>
          <t>Informational</t>
        </is>
      </c>
      <c r="J136" t="inlineStr">
        <is>
          <t>MEASURED</t>
        </is>
      </c>
      <c r="K136" s="5" t="inlineStr">
        <is>
          <t>NOT AVAILABLE (SERP not pulled for this market)</t>
        </is>
      </c>
      <c r="L136" t="n">
        <v>10</v>
      </c>
      <c r="M136">
        <f>ROUND(IF(IF(I136="NOT AVAILABLE","",I136)="",12,IF(OR(ISNUMBER(SEARCH("Transactional",IF(I136="NOT AVAILABLE","",I136))),ISNUMBER(SEARCH("Commercial",IF(I136="NOT AVAILABLE","",I136)))),25,IF(ISNUMBER(SEARCH("Informational",IF(I136="NOT AVAILABLE","",I136))),10,IF(ISNUMBER(SEARCH("Navigational",IF(I136="NOT AVAILABLE","",I136))),0,12))))+IF(ISNUMBER(F136),MIN(30,ROUND(30*LOG10(F136+1)/4,1)),0)+IF(ISNUMBER(G136),ROUND(25*(100-G136)/100,1),12.5)+L136,0)</f>
        <v/>
      </c>
      <c r="N136" s="5" t="inlineStr">
        <is>
          <t>High difficulty - long-term only, needs authority/links</t>
        </is>
      </c>
    </row>
    <row r="137">
      <c r="A137" t="inlineStr">
        <is>
          <t>Canada</t>
        </is>
      </c>
      <c r="B137" t="inlineStr">
        <is>
          <t>ca</t>
        </is>
      </c>
      <c r="C137" t="inlineStr">
        <is>
          <t>fr</t>
        </is>
      </c>
      <c r="D137" s="3" t="inlineStr">
        <is>
          <t>https://codesommet.com/web-development-company/worldwide</t>
        </is>
      </c>
      <c r="E137" t="inlineStr">
        <is>
          <t>agence web pas cher</t>
        </is>
      </c>
      <c r="F137" t="n">
        <v>10</v>
      </c>
      <c r="G137" t="inlineStr">
        <is>
          <t>NOT AVAILABLE</t>
        </is>
      </c>
      <c r="H137" t="n">
        <v>0</v>
      </c>
      <c r="I137" t="inlineStr">
        <is>
          <t>NOT AVAILABLE</t>
        </is>
      </c>
      <c r="J137" t="inlineStr">
        <is>
          <t>MEASURED</t>
        </is>
      </c>
      <c r="K137" s="5" t="inlineStr">
        <is>
          <t>NOT AVAILABLE (SERP not pulled for this market)</t>
        </is>
      </c>
      <c r="L137" t="n">
        <v>10</v>
      </c>
      <c r="M137">
        <f>ROUND(IF(IF(I137="NOT AVAILABLE","",I137)="",12,IF(OR(ISNUMBER(SEARCH("Transactional",IF(I137="NOT AVAILABLE","",I137))),ISNUMBER(SEARCH("Commercial",IF(I137="NOT AVAILABLE","",I137)))),25,IF(ISNUMBER(SEARCH("Informational",IF(I137="NOT AVAILABLE","",I137))),10,IF(ISNUMBER(SEARCH("Navigational",IF(I137="NOT AVAILABLE","",I137))),0,12))))+IF(ISNUMBER(F137),MIN(30,ROUND(30*LOG10(F137+1)/4,1)),0)+IF(ISNUMBER(G137),ROUND(25*(100-G137)/100,1),12.5)+L137,0)</f>
        <v/>
      </c>
      <c r="N137" s="5" t="inlineStr">
        <is>
          <t>Low volume - supporting only</t>
        </is>
      </c>
    </row>
    <row r="138">
      <c r="A138" t="inlineStr">
        <is>
          <t>Canada</t>
        </is>
      </c>
      <c r="B138" t="inlineStr">
        <is>
          <t>ca</t>
        </is>
      </c>
      <c r="C138" t="inlineStr">
        <is>
          <t>fr</t>
        </is>
      </c>
      <c r="D138" t="inlineStr">
        <is>
          <t>(no page - see recommendation)</t>
        </is>
      </c>
      <c r="E138" t="inlineStr">
        <is>
          <t>agence web montréal</t>
        </is>
      </c>
      <c r="F138" t="n">
        <v>590</v>
      </c>
      <c r="G138" t="n">
        <v>51</v>
      </c>
      <c r="H138" t="n">
        <v>4.4</v>
      </c>
      <c r="I138" t="inlineStr">
        <is>
          <t>Commercial</t>
        </is>
      </c>
      <c r="J138" t="inlineStr">
        <is>
          <t>MEASURED</t>
        </is>
      </c>
      <c r="K138" s="5" t="inlineStr">
        <is>
          <t>NOT AVAILABLE (SERP not pulled for this market)</t>
        </is>
      </c>
      <c r="L138" t="n">
        <v>10</v>
      </c>
      <c r="M138">
        <f>ROUND(IF(IF(I138="NOT AVAILABLE","",I138)="",12,IF(OR(ISNUMBER(SEARCH("Transactional",IF(I138="NOT AVAILABLE","",I138))),ISNUMBER(SEARCH("Commercial",IF(I138="NOT AVAILABLE","",I138)))),25,IF(ISNUMBER(SEARCH("Informational",IF(I138="NOT AVAILABLE","",I138))),10,IF(ISNUMBER(SEARCH("Navigational",IF(I138="NOT AVAILABLE","",I138))),0,12))))+IF(ISNUMBER(F138),MIN(30,ROUND(30*LOG10(F138+1)/4,1)),0)+IF(ISNUMBER(G138),ROUND(25*(100-G138)/100,1),12.5)+L138,0)</f>
        <v/>
      </c>
      <c r="N138" s="5" t="inlineStr">
        <is>
          <t>High difficulty - long-term only, needs authority/links</t>
        </is>
      </c>
    </row>
    <row r="139">
      <c r="A139" t="inlineStr">
        <is>
          <t>Canada</t>
        </is>
      </c>
      <c r="B139" t="inlineStr">
        <is>
          <t>ca</t>
        </is>
      </c>
      <c r="C139" t="inlineStr">
        <is>
          <t>fr</t>
        </is>
      </c>
      <c r="D139" t="inlineStr">
        <is>
          <t>(no page - see recommendation)</t>
        </is>
      </c>
      <c r="E139" t="inlineStr">
        <is>
          <t>agence web québec</t>
        </is>
      </c>
      <c r="F139" t="n">
        <v>260</v>
      </c>
      <c r="G139" t="n">
        <v>16</v>
      </c>
      <c r="H139" t="n">
        <v>3.57</v>
      </c>
      <c r="I139" t="inlineStr">
        <is>
          <t>Commercial</t>
        </is>
      </c>
      <c r="J139" t="inlineStr">
        <is>
          <t>MEASURED</t>
        </is>
      </c>
      <c r="K139" s="5" t="inlineStr">
        <is>
          <t>NOT AVAILABLE (SERP not pulled for this market)</t>
        </is>
      </c>
      <c r="L139" t="n">
        <v>10</v>
      </c>
      <c r="M139">
        <f>ROUND(IF(IF(I139="NOT AVAILABLE","",I139)="",12,IF(OR(ISNUMBER(SEARCH("Transactional",IF(I139="NOT AVAILABLE","",I139))),ISNUMBER(SEARCH("Commercial",IF(I139="NOT AVAILABLE","",I139)))),25,IF(ISNUMBER(SEARCH("Informational",IF(I139="NOT AVAILABLE","",I139))),10,IF(ISNUMBER(SEARCH("Navigational",IF(I139="NOT AVAILABLE","",I139))),0,12))))+IF(ISNUMBER(F139),MIN(30,ROUND(30*LOG10(F139+1)/4,1)),0)+IF(ISNUMBER(G139),ROUND(25*(100-G139)/100,1),12.5)+L139,0)</f>
        <v/>
      </c>
      <c r="N139" s="5" t="inlineStr">
        <is>
          <t>Opportunity: realistic volume at low KD - target via existing page section</t>
        </is>
      </c>
    </row>
    <row r="140">
      <c r="A140" t="inlineStr">
        <is>
          <t>Canada</t>
        </is>
      </c>
      <c r="B140" t="inlineStr">
        <is>
          <t>ca</t>
        </is>
      </c>
      <c r="C140" t="inlineStr">
        <is>
          <t>fr</t>
        </is>
      </c>
      <c r="D140" t="inlineStr">
        <is>
          <t>(no page - see recommendation)</t>
        </is>
      </c>
      <c r="E140" t="inlineStr">
        <is>
          <t>conception site web montréal</t>
        </is>
      </c>
      <c r="F140" t="n">
        <v>480</v>
      </c>
      <c r="G140" t="n">
        <v>42</v>
      </c>
      <c r="H140" t="n">
        <v>0</v>
      </c>
      <c r="I140" t="inlineStr">
        <is>
          <t>Commercial</t>
        </is>
      </c>
      <c r="J140" t="inlineStr">
        <is>
          <t>MEASURED</t>
        </is>
      </c>
      <c r="K140" s="5" t="inlineStr">
        <is>
          <t>NOT AVAILABLE (SERP not pulled for this market)</t>
        </is>
      </c>
      <c r="L140" t="n">
        <v>10</v>
      </c>
      <c r="M140">
        <f>ROUND(IF(IF(I140="NOT AVAILABLE","",I140)="",12,IF(OR(ISNUMBER(SEARCH("Transactional",IF(I140="NOT AVAILABLE","",I140))),ISNUMBER(SEARCH("Commercial",IF(I140="NOT AVAILABLE","",I140)))),25,IF(ISNUMBER(SEARCH("Informational",IF(I140="NOT AVAILABLE","",I140))),10,IF(ISNUMBER(SEARCH("Navigational",IF(I140="NOT AVAILABLE","",I140))),0,12))))+IF(ISNUMBER(F140),MIN(30,ROUND(30*LOG10(F140+1)/4,1)),0)+IF(ISNUMBER(G140),ROUND(25*(100-G140)/100,1),12.5)+L140,0)</f>
        <v/>
      </c>
      <c r="N140" s="5" t="inlineStr">
        <is>
          <t>Moderate opportunity - test with existing page before creating anything</t>
        </is>
      </c>
    </row>
    <row r="141">
      <c r="A141" t="inlineStr">
        <is>
          <t>Canada</t>
        </is>
      </c>
      <c r="B141" t="inlineStr">
        <is>
          <t>ca</t>
        </is>
      </c>
      <c r="C141" t="inlineStr">
        <is>
          <t>fr</t>
        </is>
      </c>
      <c r="D141" t="inlineStr">
        <is>
          <t>(no page - see recommendation)</t>
        </is>
      </c>
      <c r="E141" t="inlineStr">
        <is>
          <t>création site web québec</t>
        </is>
      </c>
      <c r="F141" t="n">
        <v>210</v>
      </c>
      <c r="G141" t="n">
        <v>20</v>
      </c>
      <c r="H141" t="n">
        <v>3.76</v>
      </c>
      <c r="I141" t="inlineStr">
        <is>
          <t>Commercial</t>
        </is>
      </c>
      <c r="J141" t="inlineStr">
        <is>
          <t>MEASURED</t>
        </is>
      </c>
      <c r="K141" s="5" t="inlineStr">
        <is>
          <t>NOT AVAILABLE (SERP not pulled for this market)</t>
        </is>
      </c>
      <c r="L141" t="n">
        <v>10</v>
      </c>
      <c r="M141">
        <f>ROUND(IF(IF(I141="NOT AVAILABLE","",I141)="",12,IF(OR(ISNUMBER(SEARCH("Transactional",IF(I141="NOT AVAILABLE","",I141))),ISNUMBER(SEARCH("Commercial",IF(I141="NOT AVAILABLE","",I141)))),25,IF(ISNUMBER(SEARCH("Informational",IF(I141="NOT AVAILABLE","",I141))),10,IF(ISNUMBER(SEARCH("Navigational",IF(I141="NOT AVAILABLE","",I141))),0,12))))+IF(ISNUMBER(F141),MIN(30,ROUND(30*LOG10(F141+1)/4,1)),0)+IF(ISNUMBER(G141),ROUND(25*(100-G141)/100,1),12.5)+L141,0)</f>
        <v/>
      </c>
      <c r="N141" s="5" t="inlineStr">
        <is>
          <t>Opportunity: realistic volume at low KD - target via existing page section</t>
        </is>
      </c>
    </row>
    <row r="142">
      <c r="A142" t="inlineStr">
        <is>
          <t>Canada</t>
        </is>
      </c>
      <c r="B142" t="inlineStr">
        <is>
          <t>ca</t>
        </is>
      </c>
      <c r="C142" t="inlineStr">
        <is>
          <t>fr</t>
        </is>
      </c>
      <c r="D142" t="inlineStr">
        <is>
          <t>(no page - see recommendation)</t>
        </is>
      </c>
      <c r="E142" t="inlineStr">
        <is>
          <t>agence web montreal</t>
        </is>
      </c>
      <c r="F142" t="n">
        <v>1000</v>
      </c>
      <c r="G142" t="n">
        <v>52</v>
      </c>
      <c r="H142" t="n">
        <v>3.63</v>
      </c>
      <c r="I142" t="inlineStr">
        <is>
          <t>Commercial</t>
        </is>
      </c>
      <c r="J142" t="inlineStr">
        <is>
          <t>MEASURED</t>
        </is>
      </c>
      <c r="K142" s="5" t="inlineStr">
        <is>
          <t>NOT AVAILABLE (SERP not pulled for this market)</t>
        </is>
      </c>
      <c r="L142" t="n">
        <v>10</v>
      </c>
      <c r="M142">
        <f>ROUND(IF(IF(I142="NOT AVAILABLE","",I142)="",12,IF(OR(ISNUMBER(SEARCH("Transactional",IF(I142="NOT AVAILABLE","",I142))),ISNUMBER(SEARCH("Commercial",IF(I142="NOT AVAILABLE","",I142)))),25,IF(ISNUMBER(SEARCH("Informational",IF(I142="NOT AVAILABLE","",I142))),10,IF(ISNUMBER(SEARCH("Navigational",IF(I142="NOT AVAILABLE","",I142))),0,12))))+IF(ISNUMBER(F142),MIN(30,ROUND(30*LOG10(F142+1)/4,1)),0)+IF(ISNUMBER(G142),ROUND(25*(100-G142)/100,1),12.5)+L142,0)</f>
        <v/>
      </c>
      <c r="N142" s="5" t="inlineStr">
        <is>
          <t>High difficulty - long-term only, needs authority/links</t>
        </is>
      </c>
    </row>
    <row r="143">
      <c r="A143" t="inlineStr">
        <is>
          <t>Canada</t>
        </is>
      </c>
      <c r="B143" t="inlineStr">
        <is>
          <t>ca</t>
        </is>
      </c>
      <c r="C143" t="inlineStr">
        <is>
          <t>fr</t>
        </is>
      </c>
      <c r="D143" s="3" t="inlineStr">
        <is>
          <t>https://codesommet.com/web-development-company/worldwide</t>
        </is>
      </c>
      <c r="E143" t="inlineStr">
        <is>
          <t>conception de site web</t>
        </is>
      </c>
      <c r="F143" t="n">
        <v>1300</v>
      </c>
      <c r="G143" t="n">
        <v>59</v>
      </c>
      <c r="H143" t="n">
        <v>0</v>
      </c>
      <c r="I143" t="inlineStr">
        <is>
          <t>Informational</t>
        </is>
      </c>
      <c r="J143" t="inlineStr">
        <is>
          <t>MEASURED</t>
        </is>
      </c>
      <c r="K143" s="5" t="inlineStr">
        <is>
          <t>NOT AVAILABLE (SERP not pulled for this market)</t>
        </is>
      </c>
      <c r="L143" t="n">
        <v>10</v>
      </c>
      <c r="M143">
        <f>ROUND(IF(IF(I143="NOT AVAILABLE","",I143)="",12,IF(OR(ISNUMBER(SEARCH("Transactional",IF(I143="NOT AVAILABLE","",I143))),ISNUMBER(SEARCH("Commercial",IF(I143="NOT AVAILABLE","",I143)))),25,IF(ISNUMBER(SEARCH("Informational",IF(I143="NOT AVAILABLE","",I143))),10,IF(ISNUMBER(SEARCH("Navigational",IF(I143="NOT AVAILABLE","",I143))),0,12))))+IF(ISNUMBER(F143),MIN(30,ROUND(30*LOG10(F143+1)/4,1)),0)+IF(ISNUMBER(G143),ROUND(25*(100-G143)/100,1),12.5)+L143,0)</f>
        <v/>
      </c>
      <c r="N143" s="5" t="inlineStr">
        <is>
          <t>High difficulty - long-term only, needs authority/links</t>
        </is>
      </c>
    </row>
    <row r="144">
      <c r="A144" t="inlineStr">
        <is>
          <t>Luxembourg</t>
        </is>
      </c>
      <c r="B144" t="inlineStr">
        <is>
          <t>lu</t>
        </is>
      </c>
      <c r="C144" t="inlineStr">
        <is>
          <t>fr</t>
        </is>
      </c>
      <c r="D144" s="3" t="inlineStr">
        <is>
          <t>https://codesommet.com/web-development-company/worldwide</t>
        </is>
      </c>
      <c r="E144" t="inlineStr">
        <is>
          <t>agence web</t>
        </is>
      </c>
      <c r="F144" t="n">
        <v>30</v>
      </c>
      <c r="G144" t="n">
        <v>44</v>
      </c>
      <c r="H144" t="n">
        <v>2.83</v>
      </c>
      <c r="I144" t="inlineStr">
        <is>
          <t>Informational</t>
        </is>
      </c>
      <c r="J144" t="inlineStr">
        <is>
          <t>MEASURED</t>
        </is>
      </c>
      <c r="K144" s="5" t="inlineStr">
        <is>
          <t>NOT AVAILABLE (SERP not pulled for this market)</t>
        </is>
      </c>
      <c r="L144" t="n">
        <v>10</v>
      </c>
      <c r="M144">
        <f>ROUND(IF(IF(I144="NOT AVAILABLE","",I144)="",12,IF(OR(ISNUMBER(SEARCH("Transactional",IF(I144="NOT AVAILABLE","",I144))),ISNUMBER(SEARCH("Commercial",IF(I144="NOT AVAILABLE","",I144)))),25,IF(ISNUMBER(SEARCH("Informational",IF(I144="NOT AVAILABLE","",I144))),10,IF(ISNUMBER(SEARCH("Navigational",IF(I144="NOT AVAILABLE","",I144))),0,12))))+IF(ISNUMBER(F144),MIN(30,ROUND(30*LOG10(F144+1)/4,1)),0)+IF(ISNUMBER(G144),ROUND(25*(100-G144)/100,1),12.5)+L144,0)</f>
        <v/>
      </c>
      <c r="N144" s="5" t="inlineStr">
        <is>
          <t>Low volume - supporting only</t>
        </is>
      </c>
    </row>
    <row r="145">
      <c r="A145" t="inlineStr">
        <is>
          <t>Luxembourg</t>
        </is>
      </c>
      <c r="B145" t="inlineStr">
        <is>
          <t>lu</t>
        </is>
      </c>
      <c r="C145" t="inlineStr">
        <is>
          <t>fr</t>
        </is>
      </c>
      <c r="D145" s="3" t="inlineStr">
        <is>
          <t>https://codesommet.com/web-development-company/worldwide</t>
        </is>
      </c>
      <c r="E145" t="inlineStr">
        <is>
          <t>création site web</t>
        </is>
      </c>
      <c r="F145" t="n">
        <v>20</v>
      </c>
      <c r="G145" t="inlineStr">
        <is>
          <t>NOT AVAILABLE</t>
        </is>
      </c>
      <c r="H145" t="n">
        <v>4.15</v>
      </c>
      <c r="I145" t="inlineStr">
        <is>
          <t>NOT AVAILABLE</t>
        </is>
      </c>
      <c r="J145" t="inlineStr">
        <is>
          <t>MEASURED</t>
        </is>
      </c>
      <c r="K145" s="5" t="inlineStr">
        <is>
          <t>NOT AVAILABLE (SERP not pulled for this market)</t>
        </is>
      </c>
      <c r="L145" t="n">
        <v>10</v>
      </c>
      <c r="M145">
        <f>ROUND(IF(IF(I145="NOT AVAILABLE","",I145)="",12,IF(OR(ISNUMBER(SEARCH("Transactional",IF(I145="NOT AVAILABLE","",I145))),ISNUMBER(SEARCH("Commercial",IF(I145="NOT AVAILABLE","",I145)))),25,IF(ISNUMBER(SEARCH("Informational",IF(I145="NOT AVAILABLE","",I145))),10,IF(ISNUMBER(SEARCH("Navigational",IF(I145="NOT AVAILABLE","",I145))),0,12))))+IF(ISNUMBER(F145),MIN(30,ROUND(30*LOG10(F145+1)/4,1)),0)+IF(ISNUMBER(G145),ROUND(25*(100-G145)/100,1),12.5)+L145,0)</f>
        <v/>
      </c>
      <c r="N145" s="5" t="inlineStr">
        <is>
          <t>Low volume - supporting only</t>
        </is>
      </c>
    </row>
    <row r="146">
      <c r="A146" t="inlineStr">
        <is>
          <t>Luxembourg</t>
        </is>
      </c>
      <c r="B146" t="inlineStr">
        <is>
          <t>lu</t>
        </is>
      </c>
      <c r="C146" t="inlineStr">
        <is>
          <t>fr</t>
        </is>
      </c>
      <c r="D146" s="3" t="inlineStr">
        <is>
          <t>https://codesommet.com/web-development-company/worldwide</t>
        </is>
      </c>
      <c r="E146" t="inlineStr">
        <is>
          <t>création site internet</t>
        </is>
      </c>
      <c r="F146" t="n">
        <v>20</v>
      </c>
      <c r="G146" t="inlineStr">
        <is>
          <t>NOT AVAILABLE</t>
        </is>
      </c>
      <c r="H146" t="n">
        <v>4.08</v>
      </c>
      <c r="I146" t="inlineStr">
        <is>
          <t>NOT AVAILABLE</t>
        </is>
      </c>
      <c r="J146" t="inlineStr">
        <is>
          <t>MEASURED</t>
        </is>
      </c>
      <c r="K146" s="5" t="inlineStr">
        <is>
          <t>NOT AVAILABLE (SERP not pulled for this market)</t>
        </is>
      </c>
      <c r="L146" t="n">
        <v>10</v>
      </c>
      <c r="M146">
        <f>ROUND(IF(IF(I146="NOT AVAILABLE","",I146)="",12,IF(OR(ISNUMBER(SEARCH("Transactional",IF(I146="NOT AVAILABLE","",I146))),ISNUMBER(SEARCH("Commercial",IF(I146="NOT AVAILABLE","",I146)))),25,IF(ISNUMBER(SEARCH("Informational",IF(I146="NOT AVAILABLE","",I146))),10,IF(ISNUMBER(SEARCH("Navigational",IF(I146="NOT AVAILABLE","",I146))),0,12))))+IF(ISNUMBER(F146),MIN(30,ROUND(30*LOG10(F146+1)/4,1)),0)+IF(ISNUMBER(G146),ROUND(25*(100-G146)/100,1),12.5)+L146,0)</f>
        <v/>
      </c>
      <c r="N146" s="5" t="inlineStr">
        <is>
          <t>Low volume - supporting only</t>
        </is>
      </c>
    </row>
    <row r="147">
      <c r="A147" t="inlineStr">
        <is>
          <t>Luxembourg</t>
        </is>
      </c>
      <c r="B147" t="inlineStr">
        <is>
          <t>lu</t>
        </is>
      </c>
      <c r="C147" t="inlineStr">
        <is>
          <t>fr</t>
        </is>
      </c>
      <c r="D147" s="3" t="inlineStr">
        <is>
          <t>https://codesommet.com/web-development-company/worldwide</t>
        </is>
      </c>
      <c r="E147" t="inlineStr">
        <is>
          <t>création site e-commerce</t>
        </is>
      </c>
      <c r="F147" t="n">
        <v>0</v>
      </c>
      <c r="G147" t="inlineStr">
        <is>
          <t>NOT AVAILABLE</t>
        </is>
      </c>
      <c r="H147" t="n">
        <v>0</v>
      </c>
      <c r="I147" t="inlineStr">
        <is>
          <t>NOT AVAILABLE</t>
        </is>
      </c>
      <c r="J147" t="inlineStr">
        <is>
          <t>MEASURED</t>
        </is>
      </c>
      <c r="K147" s="5" t="inlineStr">
        <is>
          <t>NOT AVAILABLE (SERP not pulled for this market)</t>
        </is>
      </c>
      <c r="L147" t="n">
        <v>10</v>
      </c>
      <c r="M147">
        <f>ROUND(IF(IF(I147="NOT AVAILABLE","",I147)="",12,IF(OR(ISNUMBER(SEARCH("Transactional",IF(I147="NOT AVAILABLE","",I147))),ISNUMBER(SEARCH("Commercial",IF(I147="NOT AVAILABLE","",I147)))),25,IF(ISNUMBER(SEARCH("Informational",IF(I147="NOT AVAILABLE","",I147))),10,IF(ISNUMBER(SEARCH("Navigational",IF(I147="NOT AVAILABLE","",I147))),0,12))))+IF(ISNUMBER(F147),MIN(30,ROUND(30*LOG10(F147+1)/4,1)),0)+IF(ISNUMBER(G147),ROUND(25*(100-G147)/100,1),12.5)+L147,0)</f>
        <v/>
      </c>
      <c r="N147" s="5" t="inlineStr">
        <is>
          <t>Measured zero - do not target</t>
        </is>
      </c>
    </row>
    <row r="148">
      <c r="A148" t="inlineStr">
        <is>
          <t>Luxembourg</t>
        </is>
      </c>
      <c r="B148" t="inlineStr">
        <is>
          <t>lu</t>
        </is>
      </c>
      <c r="C148" t="inlineStr">
        <is>
          <t>fr</t>
        </is>
      </c>
      <c r="D148" s="3" t="inlineStr">
        <is>
          <t>https://codesommet.com/web-development-company/worldwide</t>
        </is>
      </c>
      <c r="E148" t="inlineStr">
        <is>
          <t>agence de développement web</t>
        </is>
      </c>
      <c r="F148" t="inlineStr">
        <is>
          <t>NOT AVAILABLE</t>
        </is>
      </c>
      <c r="G148" t="inlineStr">
        <is>
          <t>NOT AVAILABLE</t>
        </is>
      </c>
      <c r="H148" t="inlineStr">
        <is>
          <t>NOT AVAILABLE</t>
        </is>
      </c>
      <c r="I148" t="inlineStr">
        <is>
          <t>NOT AVAILABLE</t>
        </is>
      </c>
      <c r="J148" t="inlineStr">
        <is>
          <t>UNAVAILABLE</t>
        </is>
      </c>
      <c r="K148" s="5" t="inlineStr">
        <is>
          <t>NOT AVAILABLE (SERP not pulled for this market)</t>
        </is>
      </c>
      <c r="L148" t="n">
        <v>10</v>
      </c>
      <c r="M148">
        <f>ROUND(IF(IF(I148="NOT AVAILABLE","",I148)="",12,IF(OR(ISNUMBER(SEARCH("Transactional",IF(I148="NOT AVAILABLE","",I148))),ISNUMBER(SEARCH("Commercial",IF(I148="NOT AVAILABLE","",I148)))),25,IF(ISNUMBER(SEARCH("Informational",IF(I148="NOT AVAILABLE","",I148))),10,IF(ISNUMBER(SEARCH("Navigational",IF(I148="NOT AVAILABLE","",I148))),0,12))))+IF(ISNUMBER(F148),MIN(30,ROUND(30*LOG10(F148+1)/4,1)),0)+IF(ISNUMBER(G148),ROUND(25*(100-G148)/100,1),12.5)+L148,0)</f>
        <v/>
      </c>
      <c r="N148" s="5" t="inlineStr">
        <is>
          <t>No data in this database - do not prioritise</t>
        </is>
      </c>
    </row>
    <row r="149">
      <c r="A149" t="inlineStr">
        <is>
          <t>Luxembourg</t>
        </is>
      </c>
      <c r="B149" t="inlineStr">
        <is>
          <t>lu</t>
        </is>
      </c>
      <c r="C149" t="inlineStr">
        <is>
          <t>fr</t>
        </is>
      </c>
      <c r="D149" s="3" t="inlineStr">
        <is>
          <t>https://codesommet.com/web-development-company/worldwide</t>
        </is>
      </c>
      <c r="E149" t="inlineStr">
        <is>
          <t>développement web sur mesure</t>
        </is>
      </c>
      <c r="F149" t="inlineStr">
        <is>
          <t>NOT AVAILABLE</t>
        </is>
      </c>
      <c r="G149" t="inlineStr">
        <is>
          <t>NOT AVAILABLE</t>
        </is>
      </c>
      <c r="H149" t="inlineStr">
        <is>
          <t>NOT AVAILABLE</t>
        </is>
      </c>
      <c r="I149" t="inlineStr">
        <is>
          <t>NOT AVAILABLE</t>
        </is>
      </c>
      <c r="J149" t="inlineStr">
        <is>
          <t>UNAVAILABLE</t>
        </is>
      </c>
      <c r="K149" s="5" t="inlineStr">
        <is>
          <t>NOT AVAILABLE (SERP not pulled for this market)</t>
        </is>
      </c>
      <c r="L149" t="n">
        <v>10</v>
      </c>
      <c r="M149">
        <f>ROUND(IF(IF(I149="NOT AVAILABLE","",I149)="",12,IF(OR(ISNUMBER(SEARCH("Transactional",IF(I149="NOT AVAILABLE","",I149))),ISNUMBER(SEARCH("Commercial",IF(I149="NOT AVAILABLE","",I149)))),25,IF(ISNUMBER(SEARCH("Informational",IF(I149="NOT AVAILABLE","",I149))),10,IF(ISNUMBER(SEARCH("Navigational",IF(I149="NOT AVAILABLE","",I149))),0,12))))+IF(ISNUMBER(F149),MIN(30,ROUND(30*LOG10(F149+1)/4,1)),0)+IF(ISNUMBER(G149),ROUND(25*(100-G149)/100,1),12.5)+L149,0)</f>
        <v/>
      </c>
      <c r="N149" s="5" t="inlineStr">
        <is>
          <t>No data in this database - do not prioritise</t>
        </is>
      </c>
    </row>
    <row r="150">
      <c r="A150" t="inlineStr">
        <is>
          <t>Luxembourg</t>
        </is>
      </c>
      <c r="B150" t="inlineStr">
        <is>
          <t>lu</t>
        </is>
      </c>
      <c r="C150" t="inlineStr">
        <is>
          <t>fr</t>
        </is>
      </c>
      <c r="D150" s="3" t="inlineStr">
        <is>
          <t>https://codesommet.com/web-development-company/worldwide</t>
        </is>
      </c>
      <c r="E150" t="inlineStr">
        <is>
          <t>développement application web</t>
        </is>
      </c>
      <c r="F150" t="n">
        <v>0</v>
      </c>
      <c r="G150" t="inlineStr">
        <is>
          <t>NOT AVAILABLE</t>
        </is>
      </c>
      <c r="H150" t="n">
        <v>0</v>
      </c>
      <c r="I150" t="inlineStr">
        <is>
          <t>NOT AVAILABLE</t>
        </is>
      </c>
      <c r="J150" t="inlineStr">
        <is>
          <t>MEASURED</t>
        </is>
      </c>
      <c r="K150" s="5" t="inlineStr">
        <is>
          <t>NOT AVAILABLE (SERP not pulled for this market)</t>
        </is>
      </c>
      <c r="L150" t="n">
        <v>10</v>
      </c>
      <c r="M150">
        <f>ROUND(IF(IF(I150="NOT AVAILABLE","",I150)="",12,IF(OR(ISNUMBER(SEARCH("Transactional",IF(I150="NOT AVAILABLE","",I150))),ISNUMBER(SEARCH("Commercial",IF(I150="NOT AVAILABLE","",I150)))),25,IF(ISNUMBER(SEARCH("Informational",IF(I150="NOT AVAILABLE","",I150))),10,IF(ISNUMBER(SEARCH("Navigational",IF(I150="NOT AVAILABLE","",I150))),0,12))))+IF(ISNUMBER(F150),MIN(30,ROUND(30*LOG10(F150+1)/4,1)),0)+IF(ISNUMBER(G150),ROUND(25*(100-G150)/100,1),12.5)+L150,0)</f>
        <v/>
      </c>
      <c r="N150" s="5" t="inlineStr">
        <is>
          <t>Measured zero - do not target</t>
        </is>
      </c>
    </row>
    <row r="151">
      <c r="A151" t="inlineStr">
        <is>
          <t>Luxembourg</t>
        </is>
      </c>
      <c r="B151" t="inlineStr">
        <is>
          <t>lu</t>
        </is>
      </c>
      <c r="C151" t="inlineStr">
        <is>
          <t>fr</t>
        </is>
      </c>
      <c r="D151" s="3" t="inlineStr">
        <is>
          <t>https://codesommet.com/web-development-company/worldwide</t>
        </is>
      </c>
      <c r="E151" t="inlineStr">
        <is>
          <t>agence seo</t>
        </is>
      </c>
      <c r="F151" t="n">
        <v>20</v>
      </c>
      <c r="G151" t="inlineStr">
        <is>
          <t>NOT AVAILABLE</t>
        </is>
      </c>
      <c r="H151" t="n">
        <v>6.03</v>
      </c>
      <c r="I151" t="inlineStr">
        <is>
          <t>NOT AVAILABLE</t>
        </is>
      </c>
      <c r="J151" t="inlineStr">
        <is>
          <t>MEASURED</t>
        </is>
      </c>
      <c r="K151" s="5" t="inlineStr">
        <is>
          <t>NOT AVAILABLE (SERP not pulled for this market)</t>
        </is>
      </c>
      <c r="L151" t="n">
        <v>10</v>
      </c>
      <c r="M151">
        <f>ROUND(IF(IF(I151="NOT AVAILABLE","",I151)="",12,IF(OR(ISNUMBER(SEARCH("Transactional",IF(I151="NOT AVAILABLE","",I151))),ISNUMBER(SEARCH("Commercial",IF(I151="NOT AVAILABLE","",I151)))),25,IF(ISNUMBER(SEARCH("Informational",IF(I151="NOT AVAILABLE","",I151))),10,IF(ISNUMBER(SEARCH("Navigational",IF(I151="NOT AVAILABLE","",I151))),0,12))))+IF(ISNUMBER(F151),MIN(30,ROUND(30*LOG10(F151+1)/4,1)),0)+IF(ISNUMBER(G151),ROUND(25*(100-G151)/100,1),12.5)+L151,0)</f>
        <v/>
      </c>
      <c r="N151" s="5" t="inlineStr">
        <is>
          <t>Low volume - supporting only</t>
        </is>
      </c>
    </row>
    <row r="152">
      <c r="A152" t="inlineStr">
        <is>
          <t>Luxembourg</t>
        </is>
      </c>
      <c r="B152" t="inlineStr">
        <is>
          <t>lu</t>
        </is>
      </c>
      <c r="C152" t="inlineStr">
        <is>
          <t>fr</t>
        </is>
      </c>
      <c r="D152" s="3" t="inlineStr">
        <is>
          <t>https://codesommet.com/web-development-company/worldwide</t>
        </is>
      </c>
      <c r="E152" t="inlineStr">
        <is>
          <t>référencement naturel</t>
        </is>
      </c>
      <c r="F152" t="n">
        <v>20</v>
      </c>
      <c r="G152" t="inlineStr">
        <is>
          <t>NOT AVAILABLE</t>
        </is>
      </c>
      <c r="H152" t="n">
        <v>0</v>
      </c>
      <c r="I152" t="inlineStr">
        <is>
          <t>NOT AVAILABLE</t>
        </is>
      </c>
      <c r="J152" t="inlineStr">
        <is>
          <t>MEASURED</t>
        </is>
      </c>
      <c r="K152" s="5" t="inlineStr">
        <is>
          <t>NOT AVAILABLE (SERP not pulled for this market)</t>
        </is>
      </c>
      <c r="L152" t="n">
        <v>10</v>
      </c>
      <c r="M152">
        <f>ROUND(IF(IF(I152="NOT AVAILABLE","",I152)="",12,IF(OR(ISNUMBER(SEARCH("Transactional",IF(I152="NOT AVAILABLE","",I152))),ISNUMBER(SEARCH("Commercial",IF(I152="NOT AVAILABLE","",I152)))),25,IF(ISNUMBER(SEARCH("Informational",IF(I152="NOT AVAILABLE","",I152))),10,IF(ISNUMBER(SEARCH("Navigational",IF(I152="NOT AVAILABLE","",I152))),0,12))))+IF(ISNUMBER(F152),MIN(30,ROUND(30*LOG10(F152+1)/4,1)),0)+IF(ISNUMBER(G152),ROUND(25*(100-G152)/100,1),12.5)+L152,0)</f>
        <v/>
      </c>
      <c r="N152" s="5" t="inlineStr">
        <is>
          <t>Low volume - supporting only</t>
        </is>
      </c>
    </row>
    <row r="153">
      <c r="A153" t="inlineStr">
        <is>
          <t>Luxembourg</t>
        </is>
      </c>
      <c r="B153" t="inlineStr">
        <is>
          <t>lu</t>
        </is>
      </c>
      <c r="C153" t="inlineStr">
        <is>
          <t>fr</t>
        </is>
      </c>
      <c r="D153" s="3" t="inlineStr">
        <is>
          <t>https://codesommet.com/web-development-company/worldwide</t>
        </is>
      </c>
      <c r="E153" t="inlineStr">
        <is>
          <t>agence web offshore</t>
        </is>
      </c>
      <c r="F153" t="inlineStr">
        <is>
          <t>NOT AVAILABLE</t>
        </is>
      </c>
      <c r="G153" t="inlineStr">
        <is>
          <t>NOT AVAILABLE</t>
        </is>
      </c>
      <c r="H153" t="inlineStr">
        <is>
          <t>NOT AVAILABLE</t>
        </is>
      </c>
      <c r="I153" t="inlineStr">
        <is>
          <t>NOT AVAILABLE</t>
        </is>
      </c>
      <c r="J153" t="inlineStr">
        <is>
          <t>UNAVAILABLE</t>
        </is>
      </c>
      <c r="K153" s="5" t="inlineStr">
        <is>
          <t>NOT AVAILABLE (SERP not pulled for this market)</t>
        </is>
      </c>
      <c r="L153" t="n">
        <v>10</v>
      </c>
      <c r="M153">
        <f>ROUND(IF(IF(I153="NOT AVAILABLE","",I153)="",12,IF(OR(ISNUMBER(SEARCH("Transactional",IF(I153="NOT AVAILABLE","",I153))),ISNUMBER(SEARCH("Commercial",IF(I153="NOT AVAILABLE","",I153)))),25,IF(ISNUMBER(SEARCH("Informational",IF(I153="NOT AVAILABLE","",I153))),10,IF(ISNUMBER(SEARCH("Navigational",IF(I153="NOT AVAILABLE","",I153))),0,12))))+IF(ISNUMBER(F153),MIN(30,ROUND(30*LOG10(F153+1)/4,1)),0)+IF(ISNUMBER(G153),ROUND(25*(100-G153)/100,1),12.5)+L153,0)</f>
        <v/>
      </c>
      <c r="N153" s="5" t="inlineStr">
        <is>
          <t>No data in this database - do not prioritise</t>
        </is>
      </c>
    </row>
    <row r="154">
      <c r="A154" t="inlineStr">
        <is>
          <t>Luxembourg</t>
        </is>
      </c>
      <c r="B154" t="inlineStr">
        <is>
          <t>lu</t>
        </is>
      </c>
      <c r="C154" t="inlineStr">
        <is>
          <t>fr</t>
        </is>
      </c>
      <c r="D154" s="3" t="inlineStr">
        <is>
          <t>https://codesommet.com/web-development-company/worldwide</t>
        </is>
      </c>
      <c r="E154" t="inlineStr">
        <is>
          <t>développeur web freelance</t>
        </is>
      </c>
      <c r="F154" t="n">
        <v>10</v>
      </c>
      <c r="G154" t="inlineStr">
        <is>
          <t>NOT AVAILABLE</t>
        </is>
      </c>
      <c r="H154" t="n">
        <v>0</v>
      </c>
      <c r="I154" t="inlineStr">
        <is>
          <t>NOT AVAILABLE</t>
        </is>
      </c>
      <c r="J154" t="inlineStr">
        <is>
          <t>MEASURED</t>
        </is>
      </c>
      <c r="K154" s="5" t="inlineStr">
        <is>
          <t>NOT AVAILABLE (SERP not pulled for this market)</t>
        </is>
      </c>
      <c r="L154" t="n">
        <v>10</v>
      </c>
      <c r="M154">
        <f>ROUND(IF(IF(I154="NOT AVAILABLE","",I154)="",12,IF(OR(ISNUMBER(SEARCH("Transactional",IF(I154="NOT AVAILABLE","",I154))),ISNUMBER(SEARCH("Commercial",IF(I154="NOT AVAILABLE","",I154)))),25,IF(ISNUMBER(SEARCH("Informational",IF(I154="NOT AVAILABLE","",I154))),10,IF(ISNUMBER(SEARCH("Navigational",IF(I154="NOT AVAILABLE","",I154))),0,12))))+IF(ISNUMBER(F154),MIN(30,ROUND(30*LOG10(F154+1)/4,1)),0)+IF(ISNUMBER(G154),ROUND(25*(100-G154)/100,1),12.5)+L154,0)</f>
        <v/>
      </c>
      <c r="N154" s="5" t="inlineStr">
        <is>
          <t>Low volume - supporting only</t>
        </is>
      </c>
    </row>
    <row r="155">
      <c r="A155" t="inlineStr">
        <is>
          <t>Luxembourg</t>
        </is>
      </c>
      <c r="B155" t="inlineStr">
        <is>
          <t>lu</t>
        </is>
      </c>
      <c r="C155" t="inlineStr">
        <is>
          <t>fr</t>
        </is>
      </c>
      <c r="D155" s="3" t="inlineStr">
        <is>
          <t>https://codesommet.com/web-development-company/worldwide</t>
        </is>
      </c>
      <c r="E155" t="inlineStr">
        <is>
          <t>prix site web</t>
        </is>
      </c>
      <c r="F155" t="inlineStr">
        <is>
          <t>NOT AVAILABLE</t>
        </is>
      </c>
      <c r="G155" t="inlineStr">
        <is>
          <t>NOT AVAILABLE</t>
        </is>
      </c>
      <c r="H155" t="inlineStr">
        <is>
          <t>NOT AVAILABLE</t>
        </is>
      </c>
      <c r="I155" t="inlineStr">
        <is>
          <t>NOT AVAILABLE</t>
        </is>
      </c>
      <c r="J155" t="inlineStr">
        <is>
          <t>UNAVAILABLE</t>
        </is>
      </c>
      <c r="K155" s="5" t="inlineStr">
        <is>
          <t>NOT AVAILABLE (SERP not pulled for this market)</t>
        </is>
      </c>
      <c r="L155" t="n">
        <v>10</v>
      </c>
      <c r="M155">
        <f>ROUND(IF(IF(I155="NOT AVAILABLE","",I155)="",12,IF(OR(ISNUMBER(SEARCH("Transactional",IF(I155="NOT AVAILABLE","",I155))),ISNUMBER(SEARCH("Commercial",IF(I155="NOT AVAILABLE","",I155)))),25,IF(ISNUMBER(SEARCH("Informational",IF(I155="NOT AVAILABLE","",I155))),10,IF(ISNUMBER(SEARCH("Navigational",IF(I155="NOT AVAILABLE","",I155))),0,12))))+IF(ISNUMBER(F155),MIN(30,ROUND(30*LOG10(F155+1)/4,1)),0)+IF(ISNUMBER(G155),ROUND(25*(100-G155)/100,1),12.5)+L155,0)</f>
        <v/>
      </c>
      <c r="N155" s="5" t="inlineStr">
        <is>
          <t>No data in this database - do not prioritise</t>
        </is>
      </c>
    </row>
    <row r="156">
      <c r="A156" t="inlineStr">
        <is>
          <t>Luxembourg</t>
        </is>
      </c>
      <c r="B156" t="inlineStr">
        <is>
          <t>lu</t>
        </is>
      </c>
      <c r="C156" t="inlineStr">
        <is>
          <t>fr</t>
        </is>
      </c>
      <c r="D156" s="3" t="inlineStr">
        <is>
          <t>https://codesommet.com/web-development-company/worldwide</t>
        </is>
      </c>
      <c r="E156" t="inlineStr">
        <is>
          <t>prix création site internet</t>
        </is>
      </c>
      <c r="F156" t="n">
        <v>30</v>
      </c>
      <c r="G156" t="inlineStr">
        <is>
          <t>NOT AVAILABLE</t>
        </is>
      </c>
      <c r="H156" t="n">
        <v>0</v>
      </c>
      <c r="I156" t="inlineStr">
        <is>
          <t>NOT AVAILABLE</t>
        </is>
      </c>
      <c r="J156" t="inlineStr">
        <is>
          <t>MEASURED</t>
        </is>
      </c>
      <c r="K156" s="5" t="inlineStr">
        <is>
          <t>NOT AVAILABLE (SERP not pulled for this market)</t>
        </is>
      </c>
      <c r="L156" t="n">
        <v>10</v>
      </c>
      <c r="M156">
        <f>ROUND(IF(IF(I156="NOT AVAILABLE","",I156)="",12,IF(OR(ISNUMBER(SEARCH("Transactional",IF(I156="NOT AVAILABLE","",I156))),ISNUMBER(SEARCH("Commercial",IF(I156="NOT AVAILABLE","",I156)))),25,IF(ISNUMBER(SEARCH("Informational",IF(I156="NOT AVAILABLE","",I156))),10,IF(ISNUMBER(SEARCH("Navigational",IF(I156="NOT AVAILABLE","",I156))),0,12))))+IF(ISNUMBER(F156),MIN(30,ROUND(30*LOG10(F156+1)/4,1)),0)+IF(ISNUMBER(G156),ROUND(25*(100-G156)/100,1),12.5)+L156,0)</f>
        <v/>
      </c>
      <c r="N156" s="5" t="inlineStr">
        <is>
          <t>Low volume - supporting only</t>
        </is>
      </c>
    </row>
    <row r="157">
      <c r="A157" t="inlineStr">
        <is>
          <t>Luxembourg</t>
        </is>
      </c>
      <c r="B157" t="inlineStr">
        <is>
          <t>lu</t>
        </is>
      </c>
      <c r="C157" t="inlineStr">
        <is>
          <t>fr</t>
        </is>
      </c>
      <c r="D157" s="3" t="inlineStr">
        <is>
          <t>https://codesommet.com/web-development-company/worldwide</t>
        </is>
      </c>
      <c r="E157" t="inlineStr">
        <is>
          <t>création site vitrine</t>
        </is>
      </c>
      <c r="F157" t="n">
        <v>10</v>
      </c>
      <c r="G157" t="inlineStr">
        <is>
          <t>NOT AVAILABLE</t>
        </is>
      </c>
      <c r="H157" t="n">
        <v>0</v>
      </c>
      <c r="I157" t="inlineStr">
        <is>
          <t>NOT AVAILABLE</t>
        </is>
      </c>
      <c r="J157" t="inlineStr">
        <is>
          <t>MEASURED</t>
        </is>
      </c>
      <c r="K157" s="5" t="inlineStr">
        <is>
          <t>NOT AVAILABLE (SERP not pulled for this market)</t>
        </is>
      </c>
      <c r="L157" t="n">
        <v>10</v>
      </c>
      <c r="M157">
        <f>ROUND(IF(IF(I157="NOT AVAILABLE","",I157)="",12,IF(OR(ISNUMBER(SEARCH("Transactional",IF(I157="NOT AVAILABLE","",I157))),ISNUMBER(SEARCH("Commercial",IF(I157="NOT AVAILABLE","",I157)))),25,IF(ISNUMBER(SEARCH("Informational",IF(I157="NOT AVAILABLE","",I157))),10,IF(ISNUMBER(SEARCH("Navigational",IF(I157="NOT AVAILABLE","",I157))),0,12))))+IF(ISNUMBER(F157),MIN(30,ROUND(30*LOG10(F157+1)/4,1)),0)+IF(ISNUMBER(G157),ROUND(25*(100-G157)/100,1),12.5)+L157,0)</f>
        <v/>
      </c>
      <c r="N157" s="5" t="inlineStr">
        <is>
          <t>Low volume - supporting only</t>
        </is>
      </c>
    </row>
    <row r="158">
      <c r="A158" t="inlineStr">
        <is>
          <t>Luxembourg</t>
        </is>
      </c>
      <c r="B158" t="inlineStr">
        <is>
          <t>lu</t>
        </is>
      </c>
      <c r="C158" t="inlineStr">
        <is>
          <t>fr</t>
        </is>
      </c>
      <c r="D158" s="3" t="inlineStr">
        <is>
          <t>https://codesommet.com/web-development-company/worldwide</t>
        </is>
      </c>
      <c r="E158" t="inlineStr">
        <is>
          <t>refonte site web</t>
        </is>
      </c>
      <c r="F158" t="n">
        <v>20</v>
      </c>
      <c r="G158" t="inlineStr">
        <is>
          <t>NOT AVAILABLE</t>
        </is>
      </c>
      <c r="H158" t="n">
        <v>0</v>
      </c>
      <c r="I158" t="inlineStr">
        <is>
          <t>NOT AVAILABLE</t>
        </is>
      </c>
      <c r="J158" t="inlineStr">
        <is>
          <t>MEASURED</t>
        </is>
      </c>
      <c r="K158" s="5" t="inlineStr">
        <is>
          <t>NOT AVAILABLE (SERP not pulled for this market)</t>
        </is>
      </c>
      <c r="L158" t="n">
        <v>10</v>
      </c>
      <c r="M158">
        <f>ROUND(IF(IF(I158="NOT AVAILABLE","",I158)="",12,IF(OR(ISNUMBER(SEARCH("Transactional",IF(I158="NOT AVAILABLE","",I158))),ISNUMBER(SEARCH("Commercial",IF(I158="NOT AVAILABLE","",I158)))),25,IF(ISNUMBER(SEARCH("Informational",IF(I158="NOT AVAILABLE","",I158))),10,IF(ISNUMBER(SEARCH("Navigational",IF(I158="NOT AVAILABLE","",I158))),0,12))))+IF(ISNUMBER(F158),MIN(30,ROUND(30*LOG10(F158+1)/4,1)),0)+IF(ISNUMBER(G158),ROUND(25*(100-G158)/100,1),12.5)+L158,0)</f>
        <v/>
      </c>
      <c r="N158" s="5" t="inlineStr">
        <is>
          <t>Low volume - supporting only</t>
        </is>
      </c>
    </row>
    <row r="159">
      <c r="A159" t="inlineStr">
        <is>
          <t>Luxembourg</t>
        </is>
      </c>
      <c r="B159" t="inlineStr">
        <is>
          <t>lu</t>
        </is>
      </c>
      <c r="C159" t="inlineStr">
        <is>
          <t>fr</t>
        </is>
      </c>
      <c r="D159" s="3" t="inlineStr">
        <is>
          <t>https://codesommet.com/web-development-company/worldwide</t>
        </is>
      </c>
      <c r="E159" t="inlineStr">
        <is>
          <t>agence digitale</t>
        </is>
      </c>
      <c r="F159" t="n">
        <v>20</v>
      </c>
      <c r="G159" t="inlineStr">
        <is>
          <t>NOT AVAILABLE</t>
        </is>
      </c>
      <c r="H159" t="n">
        <v>0</v>
      </c>
      <c r="I159" t="inlineStr">
        <is>
          <t>NOT AVAILABLE</t>
        </is>
      </c>
      <c r="J159" t="inlineStr">
        <is>
          <t>MEASURED</t>
        </is>
      </c>
      <c r="K159" s="5" t="inlineStr">
        <is>
          <t>NOT AVAILABLE (SERP not pulled for this market)</t>
        </is>
      </c>
      <c r="L159" t="n">
        <v>10</v>
      </c>
      <c r="M159">
        <f>ROUND(IF(IF(I159="NOT AVAILABLE","",I159)="",12,IF(OR(ISNUMBER(SEARCH("Transactional",IF(I159="NOT AVAILABLE","",I159))),ISNUMBER(SEARCH("Commercial",IF(I159="NOT AVAILABLE","",I159)))),25,IF(ISNUMBER(SEARCH("Informational",IF(I159="NOT AVAILABLE","",I159))),10,IF(ISNUMBER(SEARCH("Navigational",IF(I159="NOT AVAILABLE","",I159))),0,12))))+IF(ISNUMBER(F159),MIN(30,ROUND(30*LOG10(F159+1)/4,1)),0)+IF(ISNUMBER(G159),ROUND(25*(100-G159)/100,1),12.5)+L159,0)</f>
        <v/>
      </c>
      <c r="N159" s="5" t="inlineStr">
        <is>
          <t>Low volume - supporting only</t>
        </is>
      </c>
    </row>
    <row r="160">
      <c r="A160" t="inlineStr">
        <is>
          <t>Luxembourg</t>
        </is>
      </c>
      <c r="B160" t="inlineStr">
        <is>
          <t>lu</t>
        </is>
      </c>
      <c r="C160" t="inlineStr">
        <is>
          <t>fr</t>
        </is>
      </c>
      <c r="D160" s="3" t="inlineStr">
        <is>
          <t>https://codesommet.com/web-development-company/worldwide</t>
        </is>
      </c>
      <c r="E160" t="inlineStr">
        <is>
          <t>développement saas</t>
        </is>
      </c>
      <c r="F160" t="inlineStr">
        <is>
          <t>NOT AVAILABLE</t>
        </is>
      </c>
      <c r="G160" t="inlineStr">
        <is>
          <t>NOT AVAILABLE</t>
        </is>
      </c>
      <c r="H160" t="inlineStr">
        <is>
          <t>NOT AVAILABLE</t>
        </is>
      </c>
      <c r="I160" t="inlineStr">
        <is>
          <t>NOT AVAILABLE</t>
        </is>
      </c>
      <c r="J160" t="inlineStr">
        <is>
          <t>UNAVAILABLE</t>
        </is>
      </c>
      <c r="K160" s="5" t="inlineStr">
        <is>
          <t>NOT AVAILABLE (SERP not pulled for this market)</t>
        </is>
      </c>
      <c r="L160" t="n">
        <v>10</v>
      </c>
      <c r="M160">
        <f>ROUND(IF(IF(I160="NOT AVAILABLE","",I160)="",12,IF(OR(ISNUMBER(SEARCH("Transactional",IF(I160="NOT AVAILABLE","",I160))),ISNUMBER(SEARCH("Commercial",IF(I160="NOT AVAILABLE","",I160)))),25,IF(ISNUMBER(SEARCH("Informational",IF(I160="NOT AVAILABLE","",I160))),10,IF(ISNUMBER(SEARCH("Navigational",IF(I160="NOT AVAILABLE","",I160))),0,12))))+IF(ISNUMBER(F160),MIN(30,ROUND(30*LOG10(F160+1)/4,1)),0)+IF(ISNUMBER(G160),ROUND(25*(100-G160)/100,1),12.5)+L160,0)</f>
        <v/>
      </c>
      <c r="N160" s="5" t="inlineStr">
        <is>
          <t>No data in this database - do not prioritise</t>
        </is>
      </c>
    </row>
    <row r="161">
      <c r="A161" t="inlineStr">
        <is>
          <t>Luxembourg</t>
        </is>
      </c>
      <c r="B161" t="inlineStr">
        <is>
          <t>lu</t>
        </is>
      </c>
      <c r="C161" t="inlineStr">
        <is>
          <t>fr</t>
        </is>
      </c>
      <c r="D161" s="3" t="inlineStr">
        <is>
          <t>https://codesommet.com/web-development-company/worldwide</t>
        </is>
      </c>
      <c r="E161" t="inlineStr">
        <is>
          <t>création application web</t>
        </is>
      </c>
      <c r="F161" t="n">
        <v>0</v>
      </c>
      <c r="G161" t="inlineStr">
        <is>
          <t>NOT AVAILABLE</t>
        </is>
      </c>
      <c r="H161" t="n">
        <v>0</v>
      </c>
      <c r="I161" t="inlineStr">
        <is>
          <t>NOT AVAILABLE</t>
        </is>
      </c>
      <c r="J161" t="inlineStr">
        <is>
          <t>MEASURED</t>
        </is>
      </c>
      <c r="K161" s="5" t="inlineStr">
        <is>
          <t>NOT AVAILABLE (SERP not pulled for this market)</t>
        </is>
      </c>
      <c r="L161" t="n">
        <v>10</v>
      </c>
      <c r="M161">
        <f>ROUND(IF(IF(I161="NOT AVAILABLE","",I161)="",12,IF(OR(ISNUMBER(SEARCH("Transactional",IF(I161="NOT AVAILABLE","",I161))),ISNUMBER(SEARCH("Commercial",IF(I161="NOT AVAILABLE","",I161)))),25,IF(ISNUMBER(SEARCH("Informational",IF(I161="NOT AVAILABLE","",I161))),10,IF(ISNUMBER(SEARCH("Navigational",IF(I161="NOT AVAILABLE","",I161))),0,12))))+IF(ISNUMBER(F161),MIN(30,ROUND(30*LOG10(F161+1)/4,1)),0)+IF(ISNUMBER(G161),ROUND(25*(100-G161)/100,1),12.5)+L161,0)</f>
        <v/>
      </c>
      <c r="N161" s="5" t="inlineStr">
        <is>
          <t>Measured zero - do not target</t>
        </is>
      </c>
    </row>
    <row r="162">
      <c r="A162" t="inlineStr">
        <is>
          <t>Luxembourg</t>
        </is>
      </c>
      <c r="B162" t="inlineStr">
        <is>
          <t>lu</t>
        </is>
      </c>
      <c r="C162" t="inlineStr">
        <is>
          <t>fr</t>
        </is>
      </c>
      <c r="D162" s="3" t="inlineStr">
        <is>
          <t>https://codesommet.com/web-development-company/worldwide</t>
        </is>
      </c>
      <c r="E162" t="inlineStr">
        <is>
          <t>agence web maroc</t>
        </is>
      </c>
      <c r="F162" t="inlineStr">
        <is>
          <t>NOT AVAILABLE</t>
        </is>
      </c>
      <c r="G162" t="inlineStr">
        <is>
          <t>NOT AVAILABLE</t>
        </is>
      </c>
      <c r="H162" t="inlineStr">
        <is>
          <t>NOT AVAILABLE</t>
        </is>
      </c>
      <c r="I162" t="inlineStr">
        <is>
          <t>NOT AVAILABLE</t>
        </is>
      </c>
      <c r="J162" t="inlineStr">
        <is>
          <t>UNAVAILABLE</t>
        </is>
      </c>
      <c r="K162" s="5" t="inlineStr">
        <is>
          <t>NOT AVAILABLE (SERP not pulled for this market)</t>
        </is>
      </c>
      <c r="L162" t="n">
        <v>10</v>
      </c>
      <c r="M162">
        <f>ROUND(IF(IF(I162="NOT AVAILABLE","",I162)="",12,IF(OR(ISNUMBER(SEARCH("Transactional",IF(I162="NOT AVAILABLE","",I162))),ISNUMBER(SEARCH("Commercial",IF(I162="NOT AVAILABLE","",I162)))),25,IF(ISNUMBER(SEARCH("Informational",IF(I162="NOT AVAILABLE","",I162))),10,IF(ISNUMBER(SEARCH("Navigational",IF(I162="NOT AVAILABLE","",I162))),0,12))))+IF(ISNUMBER(F162),MIN(30,ROUND(30*LOG10(F162+1)/4,1)),0)+IF(ISNUMBER(G162),ROUND(25*(100-G162)/100,1),12.5)+L162,0)</f>
        <v/>
      </c>
      <c r="N162" s="5" t="inlineStr">
        <is>
          <t>No data in this database - do not prioritise</t>
        </is>
      </c>
    </row>
    <row r="163">
      <c r="A163" t="inlineStr">
        <is>
          <t>Luxembourg</t>
        </is>
      </c>
      <c r="B163" t="inlineStr">
        <is>
          <t>lu</t>
        </is>
      </c>
      <c r="C163" t="inlineStr">
        <is>
          <t>fr</t>
        </is>
      </c>
      <c r="D163" s="3" t="inlineStr">
        <is>
          <t>https://codesommet.com/web-development-company/worldwide</t>
        </is>
      </c>
      <c r="E163" t="inlineStr">
        <is>
          <t>création boutique en ligne</t>
        </is>
      </c>
      <c r="F163" t="inlineStr">
        <is>
          <t>NOT AVAILABLE</t>
        </is>
      </c>
      <c r="G163" t="inlineStr">
        <is>
          <t>NOT AVAILABLE</t>
        </is>
      </c>
      <c r="H163" t="inlineStr">
        <is>
          <t>NOT AVAILABLE</t>
        </is>
      </c>
      <c r="I163" t="inlineStr">
        <is>
          <t>NOT AVAILABLE</t>
        </is>
      </c>
      <c r="J163" t="inlineStr">
        <is>
          <t>UNAVAILABLE</t>
        </is>
      </c>
      <c r="K163" s="5" t="inlineStr">
        <is>
          <t>NOT AVAILABLE (SERP not pulled for this market)</t>
        </is>
      </c>
      <c r="L163" t="n">
        <v>10</v>
      </c>
      <c r="M163">
        <f>ROUND(IF(IF(I163="NOT AVAILABLE","",I163)="",12,IF(OR(ISNUMBER(SEARCH("Transactional",IF(I163="NOT AVAILABLE","",I163))),ISNUMBER(SEARCH("Commercial",IF(I163="NOT AVAILABLE","",I163)))),25,IF(ISNUMBER(SEARCH("Informational",IF(I163="NOT AVAILABLE","",I163))),10,IF(ISNUMBER(SEARCH("Navigational",IF(I163="NOT AVAILABLE","",I163))),0,12))))+IF(ISNUMBER(F163),MIN(30,ROUND(30*LOG10(F163+1)/4,1)),0)+IF(ISNUMBER(G163),ROUND(25*(100-G163)/100,1),12.5)+L163,0)</f>
        <v/>
      </c>
      <c r="N163" s="5" t="inlineStr">
        <is>
          <t>No data in this database - do not prioritise</t>
        </is>
      </c>
    </row>
    <row r="164">
      <c r="A164" t="inlineStr">
        <is>
          <t>Luxembourg</t>
        </is>
      </c>
      <c r="B164" t="inlineStr">
        <is>
          <t>lu</t>
        </is>
      </c>
      <c r="C164" t="inlineStr">
        <is>
          <t>fr</t>
        </is>
      </c>
      <c r="D164" s="3" t="inlineStr">
        <is>
          <t>https://codesommet.com/web-development-company/worldwide</t>
        </is>
      </c>
      <c r="E164" t="inlineStr">
        <is>
          <t>sous-traitance développement web</t>
        </is>
      </c>
      <c r="F164" t="inlineStr">
        <is>
          <t>NOT AVAILABLE</t>
        </is>
      </c>
      <c r="G164" t="inlineStr">
        <is>
          <t>NOT AVAILABLE</t>
        </is>
      </c>
      <c r="H164" t="inlineStr">
        <is>
          <t>NOT AVAILABLE</t>
        </is>
      </c>
      <c r="I164" t="inlineStr">
        <is>
          <t>NOT AVAILABLE</t>
        </is>
      </c>
      <c r="J164" t="inlineStr">
        <is>
          <t>UNAVAILABLE</t>
        </is>
      </c>
      <c r="K164" s="5" t="inlineStr">
        <is>
          <t>NOT AVAILABLE (SERP not pulled for this market)</t>
        </is>
      </c>
      <c r="L164" t="n">
        <v>10</v>
      </c>
      <c r="M164">
        <f>ROUND(IF(IF(I164="NOT AVAILABLE","",I164)="",12,IF(OR(ISNUMBER(SEARCH("Transactional",IF(I164="NOT AVAILABLE","",I164))),ISNUMBER(SEARCH("Commercial",IF(I164="NOT AVAILABLE","",I164)))),25,IF(ISNUMBER(SEARCH("Informational",IF(I164="NOT AVAILABLE","",I164))),10,IF(ISNUMBER(SEARCH("Navigational",IF(I164="NOT AVAILABLE","",I164))),0,12))))+IF(ISNUMBER(F164),MIN(30,ROUND(30*LOG10(F164+1)/4,1)),0)+IF(ISNUMBER(G164),ROUND(25*(100-G164)/100,1),12.5)+L164,0)</f>
        <v/>
      </c>
      <c r="N164" s="5" t="inlineStr">
        <is>
          <t>No data in this database - do not prioritise</t>
        </is>
      </c>
    </row>
    <row r="165">
      <c r="A165" t="inlineStr">
        <is>
          <t>Luxembourg</t>
        </is>
      </c>
      <c r="B165" t="inlineStr">
        <is>
          <t>lu</t>
        </is>
      </c>
      <c r="C165" t="inlineStr">
        <is>
          <t>fr</t>
        </is>
      </c>
      <c r="D165" s="3" t="inlineStr">
        <is>
          <t>https://codesommet.com/web-development-company/worldwide</t>
        </is>
      </c>
      <c r="E165" t="inlineStr">
        <is>
          <t>externalisation développement web</t>
        </is>
      </c>
      <c r="F165" t="inlineStr">
        <is>
          <t>NOT AVAILABLE</t>
        </is>
      </c>
      <c r="G165" t="inlineStr">
        <is>
          <t>NOT AVAILABLE</t>
        </is>
      </c>
      <c r="H165" t="inlineStr">
        <is>
          <t>NOT AVAILABLE</t>
        </is>
      </c>
      <c r="I165" t="inlineStr">
        <is>
          <t>NOT AVAILABLE</t>
        </is>
      </c>
      <c r="J165" t="inlineStr">
        <is>
          <t>UNAVAILABLE</t>
        </is>
      </c>
      <c r="K165" s="5" t="inlineStr">
        <is>
          <t>NOT AVAILABLE (SERP not pulled for this market)</t>
        </is>
      </c>
      <c r="L165" t="n">
        <v>10</v>
      </c>
      <c r="M165">
        <f>ROUND(IF(IF(I165="NOT AVAILABLE","",I165)="",12,IF(OR(ISNUMBER(SEARCH("Transactional",IF(I165="NOT AVAILABLE","",I165))),ISNUMBER(SEARCH("Commercial",IF(I165="NOT AVAILABLE","",I165)))),25,IF(ISNUMBER(SEARCH("Informational",IF(I165="NOT AVAILABLE","",I165))),10,IF(ISNUMBER(SEARCH("Navigational",IF(I165="NOT AVAILABLE","",I165))),0,12))))+IF(ISNUMBER(F165),MIN(30,ROUND(30*LOG10(F165+1)/4,1)),0)+IF(ISNUMBER(G165),ROUND(25*(100-G165)/100,1),12.5)+L165,0)</f>
        <v/>
      </c>
      <c r="N165" s="5" t="inlineStr">
        <is>
          <t>No data in this database - do not prioritise</t>
        </is>
      </c>
    </row>
    <row r="166">
      <c r="A166" t="inlineStr">
        <is>
          <t>Luxembourg</t>
        </is>
      </c>
      <c r="B166" t="inlineStr">
        <is>
          <t>lu</t>
        </is>
      </c>
      <c r="C166" t="inlineStr">
        <is>
          <t>fr</t>
        </is>
      </c>
      <c r="D166" s="3" t="inlineStr">
        <is>
          <t>https://codesommet.com/web-development-company/worldwide</t>
        </is>
      </c>
      <c r="E166" t="inlineStr">
        <is>
          <t>développement web offshore</t>
        </is>
      </c>
      <c r="F166" t="inlineStr">
        <is>
          <t>NOT AVAILABLE</t>
        </is>
      </c>
      <c r="G166" t="inlineStr">
        <is>
          <t>NOT AVAILABLE</t>
        </is>
      </c>
      <c r="H166" t="inlineStr">
        <is>
          <t>NOT AVAILABLE</t>
        </is>
      </c>
      <c r="I166" t="inlineStr">
        <is>
          <t>NOT AVAILABLE</t>
        </is>
      </c>
      <c r="J166" t="inlineStr">
        <is>
          <t>UNAVAILABLE</t>
        </is>
      </c>
      <c r="K166" s="5" t="inlineStr">
        <is>
          <t>NOT AVAILABLE (SERP not pulled for this market)</t>
        </is>
      </c>
      <c r="L166" t="n">
        <v>10</v>
      </c>
      <c r="M166">
        <f>ROUND(IF(IF(I166="NOT AVAILABLE","",I166)="",12,IF(OR(ISNUMBER(SEARCH("Transactional",IF(I166="NOT AVAILABLE","",I166))),ISNUMBER(SEARCH("Commercial",IF(I166="NOT AVAILABLE","",I166)))),25,IF(ISNUMBER(SEARCH("Informational",IF(I166="NOT AVAILABLE","",I166))),10,IF(ISNUMBER(SEARCH("Navigational",IF(I166="NOT AVAILABLE","",I166))),0,12))))+IF(ISNUMBER(F166),MIN(30,ROUND(30*LOG10(F166+1)/4,1)),0)+IF(ISNUMBER(G166),ROUND(25*(100-G166)/100,1),12.5)+L166,0)</f>
        <v/>
      </c>
      <c r="N166" s="5" t="inlineStr">
        <is>
          <t>No data in this database - do not prioritise</t>
        </is>
      </c>
    </row>
    <row r="167">
      <c r="A167" t="inlineStr">
        <is>
          <t>Luxembourg</t>
        </is>
      </c>
      <c r="B167" t="inlineStr">
        <is>
          <t>lu</t>
        </is>
      </c>
      <c r="C167" t="inlineStr">
        <is>
          <t>fr</t>
        </is>
      </c>
      <c r="D167" s="3" t="inlineStr">
        <is>
          <t>https://codesommet.com/web-development-company/worldwide</t>
        </is>
      </c>
      <c r="E167" t="inlineStr">
        <is>
          <t>agence web nearshore</t>
        </is>
      </c>
      <c r="F167" t="inlineStr">
        <is>
          <t>NOT AVAILABLE</t>
        </is>
      </c>
      <c r="G167" t="inlineStr">
        <is>
          <t>NOT AVAILABLE</t>
        </is>
      </c>
      <c r="H167" t="inlineStr">
        <is>
          <t>NOT AVAILABLE</t>
        </is>
      </c>
      <c r="I167" t="inlineStr">
        <is>
          <t>NOT AVAILABLE</t>
        </is>
      </c>
      <c r="J167" t="inlineStr">
        <is>
          <t>UNAVAILABLE</t>
        </is>
      </c>
      <c r="K167" s="5" t="inlineStr">
        <is>
          <t>NOT AVAILABLE (SERP not pulled for this market)</t>
        </is>
      </c>
      <c r="L167" t="n">
        <v>10</v>
      </c>
      <c r="M167">
        <f>ROUND(IF(IF(I167="NOT AVAILABLE","",I167)="",12,IF(OR(ISNUMBER(SEARCH("Transactional",IF(I167="NOT AVAILABLE","",I167))),ISNUMBER(SEARCH("Commercial",IF(I167="NOT AVAILABLE","",I167)))),25,IF(ISNUMBER(SEARCH("Informational",IF(I167="NOT AVAILABLE","",I167))),10,IF(ISNUMBER(SEARCH("Navigational",IF(I167="NOT AVAILABLE","",I167))),0,12))))+IF(ISNUMBER(F167),MIN(30,ROUND(30*LOG10(F167+1)/4,1)),0)+IF(ISNUMBER(G167),ROUND(25*(100-G167)/100,1),12.5)+L167,0)</f>
        <v/>
      </c>
      <c r="N167" s="5" t="inlineStr">
        <is>
          <t>No data in this database - do not prioritise</t>
        </is>
      </c>
    </row>
    <row r="168">
      <c r="A168" t="inlineStr">
        <is>
          <t>Luxembourg</t>
        </is>
      </c>
      <c r="B168" t="inlineStr">
        <is>
          <t>lu</t>
        </is>
      </c>
      <c r="C168" t="inlineStr">
        <is>
          <t>fr</t>
        </is>
      </c>
      <c r="D168" s="3" t="inlineStr">
        <is>
          <t>https://codesommet.com/web-development-company/worldwide</t>
        </is>
      </c>
      <c r="E168" t="inlineStr">
        <is>
          <t>développeur maroc</t>
        </is>
      </c>
      <c r="F168" t="inlineStr">
        <is>
          <t>NOT AVAILABLE</t>
        </is>
      </c>
      <c r="G168" t="inlineStr">
        <is>
          <t>NOT AVAILABLE</t>
        </is>
      </c>
      <c r="H168" t="inlineStr">
        <is>
          <t>NOT AVAILABLE</t>
        </is>
      </c>
      <c r="I168" t="inlineStr">
        <is>
          <t>NOT AVAILABLE</t>
        </is>
      </c>
      <c r="J168" t="inlineStr">
        <is>
          <t>UNAVAILABLE</t>
        </is>
      </c>
      <c r="K168" s="5" t="inlineStr">
        <is>
          <t>NOT AVAILABLE (SERP not pulled for this market)</t>
        </is>
      </c>
      <c r="L168" t="n">
        <v>10</v>
      </c>
      <c r="M168">
        <f>ROUND(IF(IF(I168="NOT AVAILABLE","",I168)="",12,IF(OR(ISNUMBER(SEARCH("Transactional",IF(I168="NOT AVAILABLE","",I168))),ISNUMBER(SEARCH("Commercial",IF(I168="NOT AVAILABLE","",I168)))),25,IF(ISNUMBER(SEARCH("Informational",IF(I168="NOT AVAILABLE","",I168))),10,IF(ISNUMBER(SEARCH("Navigational",IF(I168="NOT AVAILABLE","",I168))),0,12))))+IF(ISNUMBER(F168),MIN(30,ROUND(30*LOG10(F168+1)/4,1)),0)+IF(ISNUMBER(G168),ROUND(25*(100-G168)/100,1),12.5)+L168,0)</f>
        <v/>
      </c>
      <c r="N168" s="5" t="inlineStr">
        <is>
          <t>No data in this database - do not prioritise</t>
        </is>
      </c>
    </row>
    <row r="169">
      <c r="A169" t="inlineStr">
        <is>
          <t>Luxembourg</t>
        </is>
      </c>
      <c r="B169" t="inlineStr">
        <is>
          <t>lu</t>
        </is>
      </c>
      <c r="C169" t="inlineStr">
        <is>
          <t>fr</t>
        </is>
      </c>
      <c r="D169" s="3" t="inlineStr">
        <is>
          <t>https://codesommet.com/web-development-company/worldwide</t>
        </is>
      </c>
      <c r="E169" t="inlineStr">
        <is>
          <t>développement logiciel sur mesure</t>
        </is>
      </c>
      <c r="F169" t="n">
        <v>10</v>
      </c>
      <c r="G169" t="inlineStr">
        <is>
          <t>NOT AVAILABLE</t>
        </is>
      </c>
      <c r="H169" t="n">
        <v>0</v>
      </c>
      <c r="I169" t="inlineStr">
        <is>
          <t>NOT AVAILABLE</t>
        </is>
      </c>
      <c r="J169" t="inlineStr">
        <is>
          <t>MEASURED</t>
        </is>
      </c>
      <c r="K169" s="5" t="inlineStr">
        <is>
          <t>NOT AVAILABLE (SERP not pulled for this market)</t>
        </is>
      </c>
      <c r="L169" t="n">
        <v>10</v>
      </c>
      <c r="M169">
        <f>ROUND(IF(IF(I169="NOT AVAILABLE","",I169)="",12,IF(OR(ISNUMBER(SEARCH("Transactional",IF(I169="NOT AVAILABLE","",I169))),ISNUMBER(SEARCH("Commercial",IF(I169="NOT AVAILABLE","",I169)))),25,IF(ISNUMBER(SEARCH("Informational",IF(I169="NOT AVAILABLE","",I169))),10,IF(ISNUMBER(SEARCH("Navigational",IF(I169="NOT AVAILABLE","",I169))),0,12))))+IF(ISNUMBER(F169),MIN(30,ROUND(30*LOG10(F169+1)/4,1)),0)+IF(ISNUMBER(G169),ROUND(25*(100-G169)/100,1),12.5)+L169,0)</f>
        <v/>
      </c>
      <c r="N169" s="5" t="inlineStr">
        <is>
          <t>Low volume - supporting only</t>
        </is>
      </c>
    </row>
    <row r="170">
      <c r="A170" t="inlineStr">
        <is>
          <t>Luxembourg</t>
        </is>
      </c>
      <c r="B170" t="inlineStr">
        <is>
          <t>lu</t>
        </is>
      </c>
      <c r="C170" t="inlineStr">
        <is>
          <t>fr</t>
        </is>
      </c>
      <c r="D170" s="3" t="inlineStr">
        <is>
          <t>https://codesommet.com/web-development-company/worldwide</t>
        </is>
      </c>
      <c r="E170" t="inlineStr">
        <is>
          <t>conception site web</t>
        </is>
      </c>
      <c r="F170" t="n">
        <v>0</v>
      </c>
      <c r="G170" t="inlineStr">
        <is>
          <t>NOT AVAILABLE</t>
        </is>
      </c>
      <c r="H170" t="n">
        <v>0</v>
      </c>
      <c r="I170" t="inlineStr">
        <is>
          <t>NOT AVAILABLE</t>
        </is>
      </c>
      <c r="J170" t="inlineStr">
        <is>
          <t>MEASURED</t>
        </is>
      </c>
      <c r="K170" s="5" t="inlineStr">
        <is>
          <t>NOT AVAILABLE (SERP not pulled for this market)</t>
        </is>
      </c>
      <c r="L170" t="n">
        <v>10</v>
      </c>
      <c r="M170">
        <f>ROUND(IF(IF(I170="NOT AVAILABLE","",I170)="",12,IF(OR(ISNUMBER(SEARCH("Transactional",IF(I170="NOT AVAILABLE","",I170))),ISNUMBER(SEARCH("Commercial",IF(I170="NOT AVAILABLE","",I170)))),25,IF(ISNUMBER(SEARCH("Informational",IF(I170="NOT AVAILABLE","",I170))),10,IF(ISNUMBER(SEARCH("Navigational",IF(I170="NOT AVAILABLE","",I170))),0,12))))+IF(ISNUMBER(F170),MIN(30,ROUND(30*LOG10(F170+1)/4,1)),0)+IF(ISNUMBER(G170),ROUND(25*(100-G170)/100,1),12.5)+L170,0)</f>
        <v/>
      </c>
      <c r="N170" s="5" t="inlineStr">
        <is>
          <t>Measured zero - do not target</t>
        </is>
      </c>
    </row>
    <row r="171">
      <c r="A171" t="inlineStr">
        <is>
          <t>Luxembourg</t>
        </is>
      </c>
      <c r="B171" t="inlineStr">
        <is>
          <t>lu</t>
        </is>
      </c>
      <c r="C171" t="inlineStr">
        <is>
          <t>fr</t>
        </is>
      </c>
      <c r="D171" s="3" t="inlineStr">
        <is>
          <t>https://codesommet.com/web-development-company/worldwide</t>
        </is>
      </c>
      <c r="E171" t="inlineStr">
        <is>
          <t>site internet professionnel</t>
        </is>
      </c>
      <c r="F171" t="n">
        <v>20</v>
      </c>
      <c r="G171" t="inlineStr">
        <is>
          <t>NOT AVAILABLE</t>
        </is>
      </c>
      <c r="H171" t="n">
        <v>0</v>
      </c>
      <c r="I171" t="inlineStr">
        <is>
          <t>NOT AVAILABLE</t>
        </is>
      </c>
      <c r="J171" t="inlineStr">
        <is>
          <t>MEASURED</t>
        </is>
      </c>
      <c r="K171" s="5" t="inlineStr">
        <is>
          <t>NOT AVAILABLE (SERP not pulled for this market)</t>
        </is>
      </c>
      <c r="L171" t="n">
        <v>10</v>
      </c>
      <c r="M171">
        <f>ROUND(IF(IF(I171="NOT AVAILABLE","",I171)="",12,IF(OR(ISNUMBER(SEARCH("Transactional",IF(I171="NOT AVAILABLE","",I171))),ISNUMBER(SEARCH("Commercial",IF(I171="NOT AVAILABLE","",I171)))),25,IF(ISNUMBER(SEARCH("Informational",IF(I171="NOT AVAILABLE","",I171))),10,IF(ISNUMBER(SEARCH("Navigational",IF(I171="NOT AVAILABLE","",I171))),0,12))))+IF(ISNUMBER(F171),MIN(30,ROUND(30*LOG10(F171+1)/4,1)),0)+IF(ISNUMBER(G171),ROUND(25*(100-G171)/100,1),12.5)+L171,0)</f>
        <v/>
      </c>
      <c r="N171" s="5" t="inlineStr">
        <is>
          <t>Low volume - supporting only</t>
        </is>
      </c>
    </row>
    <row r="172">
      <c r="A172" t="inlineStr">
        <is>
          <t>Luxembourg</t>
        </is>
      </c>
      <c r="B172" t="inlineStr">
        <is>
          <t>lu</t>
        </is>
      </c>
      <c r="C172" t="inlineStr">
        <is>
          <t>fr</t>
        </is>
      </c>
      <c r="D172" s="3" t="inlineStr">
        <is>
          <t>https://codesommet.com/web-development-company/worldwide</t>
        </is>
      </c>
      <c r="E172" t="inlineStr">
        <is>
          <t>webdesigner</t>
        </is>
      </c>
      <c r="F172" t="n">
        <v>30</v>
      </c>
      <c r="G172" t="n">
        <v>30</v>
      </c>
      <c r="H172" t="n">
        <v>3.21</v>
      </c>
      <c r="I172" t="inlineStr">
        <is>
          <t>Commercial</t>
        </is>
      </c>
      <c r="J172" t="inlineStr">
        <is>
          <t>MEASURED</t>
        </is>
      </c>
      <c r="K172" s="5" t="inlineStr">
        <is>
          <t>NOT AVAILABLE (SERP not pulled for this market)</t>
        </is>
      </c>
      <c r="L172" t="n">
        <v>10</v>
      </c>
      <c r="M172">
        <f>ROUND(IF(IF(I172="NOT AVAILABLE","",I172)="",12,IF(OR(ISNUMBER(SEARCH("Transactional",IF(I172="NOT AVAILABLE","",I172))),ISNUMBER(SEARCH("Commercial",IF(I172="NOT AVAILABLE","",I172)))),25,IF(ISNUMBER(SEARCH("Informational",IF(I172="NOT AVAILABLE","",I172))),10,IF(ISNUMBER(SEARCH("Navigational",IF(I172="NOT AVAILABLE","",I172))),0,12))))+IF(ISNUMBER(F172),MIN(30,ROUND(30*LOG10(F172+1)/4,1)),0)+IF(ISNUMBER(G172),ROUND(25*(100-G172)/100,1),12.5)+L172,0)</f>
        <v/>
      </c>
      <c r="N172" s="5" t="inlineStr">
        <is>
          <t>Low volume - supporting only</t>
        </is>
      </c>
    </row>
    <row r="173">
      <c r="A173" t="inlineStr">
        <is>
          <t>Luxembourg</t>
        </is>
      </c>
      <c r="B173" t="inlineStr">
        <is>
          <t>lu</t>
        </is>
      </c>
      <c r="C173" t="inlineStr">
        <is>
          <t>fr</t>
        </is>
      </c>
      <c r="D173" s="3" t="inlineStr">
        <is>
          <t>https://codesommet.com/web-development-company/worldwide</t>
        </is>
      </c>
      <c r="E173" t="inlineStr">
        <is>
          <t>agence web pas cher</t>
        </is>
      </c>
      <c r="F173" t="inlineStr">
        <is>
          <t>NOT AVAILABLE</t>
        </is>
      </c>
      <c r="G173" t="inlineStr">
        <is>
          <t>NOT AVAILABLE</t>
        </is>
      </c>
      <c r="H173" t="inlineStr">
        <is>
          <t>NOT AVAILABLE</t>
        </is>
      </c>
      <c r="I173" t="inlineStr">
        <is>
          <t>NOT AVAILABLE</t>
        </is>
      </c>
      <c r="J173" t="inlineStr">
        <is>
          <t>UNAVAILABLE</t>
        </is>
      </c>
      <c r="K173" s="5" t="inlineStr">
        <is>
          <t>NOT AVAILABLE (SERP not pulled for this market)</t>
        </is>
      </c>
      <c r="L173" t="n">
        <v>10</v>
      </c>
      <c r="M173">
        <f>ROUND(IF(IF(I173="NOT AVAILABLE","",I173)="",12,IF(OR(ISNUMBER(SEARCH("Transactional",IF(I173="NOT AVAILABLE","",I173))),ISNUMBER(SEARCH("Commercial",IF(I173="NOT AVAILABLE","",I173)))),25,IF(ISNUMBER(SEARCH("Informational",IF(I173="NOT AVAILABLE","",I173))),10,IF(ISNUMBER(SEARCH("Navigational",IF(I173="NOT AVAILABLE","",I173))),0,12))))+IF(ISNUMBER(F173),MIN(30,ROUND(30*LOG10(F173+1)/4,1)),0)+IF(ISNUMBER(G173),ROUND(25*(100-G173)/100,1),12.5)+L173,0)</f>
        <v/>
      </c>
      <c r="N173" s="5" t="inlineStr">
        <is>
          <t>No data in this database - do not prioritise</t>
        </is>
      </c>
    </row>
    <row r="174">
      <c r="A174" t="inlineStr">
        <is>
          <t>Luxembourg</t>
        </is>
      </c>
      <c r="B174" t="inlineStr">
        <is>
          <t>lu</t>
        </is>
      </c>
      <c r="C174" t="inlineStr">
        <is>
          <t>fr</t>
        </is>
      </c>
      <c r="D174" t="inlineStr">
        <is>
          <t>(no page - see recommendation)</t>
        </is>
      </c>
      <c r="E174" t="inlineStr">
        <is>
          <t>agence web luxembourg</t>
        </is>
      </c>
      <c r="F174" t="n">
        <v>20</v>
      </c>
      <c r="G174" t="inlineStr">
        <is>
          <t>NOT AVAILABLE</t>
        </is>
      </c>
      <c r="H174" t="n">
        <v>2.66</v>
      </c>
      <c r="I174" t="inlineStr">
        <is>
          <t>NOT AVAILABLE</t>
        </is>
      </c>
      <c r="J174" t="inlineStr">
        <is>
          <t>MEASURED</t>
        </is>
      </c>
      <c r="K174" s="5" t="inlineStr">
        <is>
          <t>NOT AVAILABLE (SERP not pulled for this market)</t>
        </is>
      </c>
      <c r="L174" t="n">
        <v>10</v>
      </c>
      <c r="M174">
        <f>ROUND(IF(IF(I174="NOT AVAILABLE","",I174)="",12,IF(OR(ISNUMBER(SEARCH("Transactional",IF(I174="NOT AVAILABLE","",I174))),ISNUMBER(SEARCH("Commercial",IF(I174="NOT AVAILABLE","",I174)))),25,IF(ISNUMBER(SEARCH("Informational",IF(I174="NOT AVAILABLE","",I174))),10,IF(ISNUMBER(SEARCH("Navigational",IF(I174="NOT AVAILABLE","",I174))),0,12))))+IF(ISNUMBER(F174),MIN(30,ROUND(30*LOG10(F174+1)/4,1)),0)+IF(ISNUMBER(G174),ROUND(25*(100-G174)/100,1),12.5)+L174,0)</f>
        <v/>
      </c>
      <c r="N174" s="5" t="inlineStr">
        <is>
          <t>Low volume - supporting only</t>
        </is>
      </c>
    </row>
    <row r="175">
      <c r="A175" t="inlineStr">
        <is>
          <t>Luxembourg</t>
        </is>
      </c>
      <c r="B175" t="inlineStr">
        <is>
          <t>lu</t>
        </is>
      </c>
      <c r="C175" t="inlineStr">
        <is>
          <t>fr</t>
        </is>
      </c>
      <c r="D175" t="inlineStr">
        <is>
          <t>(no page - see recommendation)</t>
        </is>
      </c>
      <c r="E175" t="inlineStr">
        <is>
          <t>création site internet luxembourg</t>
        </is>
      </c>
      <c r="F175" t="n">
        <v>40</v>
      </c>
      <c r="G175" t="n">
        <v>7</v>
      </c>
      <c r="H175" t="n">
        <v>2.87</v>
      </c>
      <c r="I175" t="inlineStr">
        <is>
          <t>Commercial</t>
        </is>
      </c>
      <c r="J175" t="inlineStr">
        <is>
          <t>MEASURED</t>
        </is>
      </c>
      <c r="K175" s="5" t="inlineStr">
        <is>
          <t>NOT AVAILABLE (SERP not pulled for this market)</t>
        </is>
      </c>
      <c r="L175" t="n">
        <v>10</v>
      </c>
      <c r="M175">
        <f>ROUND(IF(IF(I175="NOT AVAILABLE","",I175)="",12,IF(OR(ISNUMBER(SEARCH("Transactional",IF(I175="NOT AVAILABLE","",I175))),ISNUMBER(SEARCH("Commercial",IF(I175="NOT AVAILABLE","",I175)))),25,IF(ISNUMBER(SEARCH("Informational",IF(I175="NOT AVAILABLE","",I175))),10,IF(ISNUMBER(SEARCH("Navigational",IF(I175="NOT AVAILABLE","",I175))),0,12))))+IF(ISNUMBER(F175),MIN(30,ROUND(30*LOG10(F175+1)/4,1)),0)+IF(ISNUMBER(G175),ROUND(25*(100-G175)/100,1),12.5)+L175,0)</f>
        <v/>
      </c>
      <c r="N175" s="5" t="inlineStr">
        <is>
          <t>Low volume - supporting only</t>
        </is>
      </c>
    </row>
    <row r="176">
      <c r="A176" t="inlineStr">
        <is>
          <t>Luxembourg</t>
        </is>
      </c>
      <c r="B176" t="inlineStr">
        <is>
          <t>lu</t>
        </is>
      </c>
      <c r="C176" t="inlineStr">
        <is>
          <t>fr</t>
        </is>
      </c>
      <c r="D176" t="inlineStr">
        <is>
          <t>(no page - see recommendation)</t>
        </is>
      </c>
      <c r="E176" t="inlineStr">
        <is>
          <t>création site web luxembourg</t>
        </is>
      </c>
      <c r="F176" t="n">
        <v>20</v>
      </c>
      <c r="G176" t="inlineStr">
        <is>
          <t>NOT AVAILABLE</t>
        </is>
      </c>
      <c r="H176" t="n">
        <v>2.54</v>
      </c>
      <c r="I176" t="inlineStr">
        <is>
          <t>NOT AVAILABLE</t>
        </is>
      </c>
      <c r="J176" t="inlineStr">
        <is>
          <t>MEASURED</t>
        </is>
      </c>
      <c r="K176" s="5" t="inlineStr">
        <is>
          <t>NOT AVAILABLE (SERP not pulled for this market)</t>
        </is>
      </c>
      <c r="L176" t="n">
        <v>10</v>
      </c>
      <c r="M176">
        <f>ROUND(IF(IF(I176="NOT AVAILABLE","",I176)="",12,IF(OR(ISNUMBER(SEARCH("Transactional",IF(I176="NOT AVAILABLE","",I176))),ISNUMBER(SEARCH("Commercial",IF(I176="NOT AVAILABLE","",I176)))),25,IF(ISNUMBER(SEARCH("Informational",IF(I176="NOT AVAILABLE","",I176))),10,IF(ISNUMBER(SEARCH("Navigational",IF(I176="NOT AVAILABLE","",I176))),0,12))))+IF(ISNUMBER(F176),MIN(30,ROUND(30*LOG10(F176+1)/4,1)),0)+IF(ISNUMBER(G176),ROUND(25*(100-G176)/100,1),12.5)+L176,0)</f>
        <v/>
      </c>
      <c r="N176" s="5" t="inlineStr">
        <is>
          <t>Low volume - supporting only</t>
        </is>
      </c>
    </row>
    <row r="177">
      <c r="A177" t="inlineStr">
        <is>
          <t>Tunisia</t>
        </is>
      </c>
      <c r="B177" t="inlineStr">
        <is>
          <t>tn</t>
        </is>
      </c>
      <c r="C177" t="inlineStr">
        <is>
          <t>fr</t>
        </is>
      </c>
      <c r="D177" s="3" t="inlineStr">
        <is>
          <t>https://codesommet.com/web-development-company/worldwide</t>
        </is>
      </c>
      <c r="E177" t="inlineStr">
        <is>
          <t>agence web</t>
        </is>
      </c>
      <c r="F177" t="n">
        <v>140</v>
      </c>
      <c r="G177" t="n">
        <v>42</v>
      </c>
      <c r="H177" t="n">
        <v>1.08</v>
      </c>
      <c r="I177" t="inlineStr">
        <is>
          <t>Commercial</t>
        </is>
      </c>
      <c r="J177" t="inlineStr">
        <is>
          <t>MEASURED</t>
        </is>
      </c>
      <c r="K177" s="5" t="inlineStr">
        <is>
          <t>NOT AVAILABLE (SERP not pulled for this market)</t>
        </is>
      </c>
      <c r="L177" t="n">
        <v>6</v>
      </c>
      <c r="M177">
        <f>ROUND(IF(IF(I177="NOT AVAILABLE","",I177)="",12,IF(OR(ISNUMBER(SEARCH("Transactional",IF(I177="NOT AVAILABLE","",I177))),ISNUMBER(SEARCH("Commercial",IF(I177="NOT AVAILABLE","",I177)))),25,IF(ISNUMBER(SEARCH("Informational",IF(I177="NOT AVAILABLE","",I177))),10,IF(ISNUMBER(SEARCH("Navigational",IF(I177="NOT AVAILABLE","",I177))),0,12))))+IF(ISNUMBER(F177),MIN(30,ROUND(30*LOG10(F177+1)/4,1)),0)+IF(ISNUMBER(G177),ROUND(25*(100-G177)/100,1),12.5)+L177,0)</f>
        <v/>
      </c>
      <c r="N177" s="5" t="inlineStr">
        <is>
          <t>Moderate opportunity - test with existing page before creating anything</t>
        </is>
      </c>
    </row>
    <row r="178">
      <c r="A178" t="inlineStr">
        <is>
          <t>Tunisia</t>
        </is>
      </c>
      <c r="B178" t="inlineStr">
        <is>
          <t>tn</t>
        </is>
      </c>
      <c r="C178" t="inlineStr">
        <is>
          <t>fr</t>
        </is>
      </c>
      <c r="D178" s="3" t="inlineStr">
        <is>
          <t>https://codesommet.com/web-development-company/worldwide</t>
        </is>
      </c>
      <c r="E178" t="inlineStr">
        <is>
          <t>création site web</t>
        </is>
      </c>
      <c r="F178" t="n">
        <v>110</v>
      </c>
      <c r="G178" t="inlineStr">
        <is>
          <t>NOT AVAILABLE</t>
        </is>
      </c>
      <c r="H178" t="n">
        <v>0.33</v>
      </c>
      <c r="I178" t="inlineStr">
        <is>
          <t>NOT AVAILABLE</t>
        </is>
      </c>
      <c r="J178" t="inlineStr">
        <is>
          <t>MEASURED</t>
        </is>
      </c>
      <c r="K178" s="5" t="inlineStr">
        <is>
          <t>NOT AVAILABLE (SERP not pulled for this market)</t>
        </is>
      </c>
      <c r="L178" t="n">
        <v>6</v>
      </c>
      <c r="M178">
        <f>ROUND(IF(IF(I178="NOT AVAILABLE","",I178)="",12,IF(OR(ISNUMBER(SEARCH("Transactional",IF(I178="NOT AVAILABLE","",I178))),ISNUMBER(SEARCH("Commercial",IF(I178="NOT AVAILABLE","",I178)))),25,IF(ISNUMBER(SEARCH("Informational",IF(I178="NOT AVAILABLE","",I178))),10,IF(ISNUMBER(SEARCH("Navigational",IF(I178="NOT AVAILABLE","",I178))),0,12))))+IF(ISNUMBER(F178),MIN(30,ROUND(30*LOG10(F178+1)/4,1)),0)+IF(ISNUMBER(G178),ROUND(25*(100-G178)/100,1),12.5)+L178,0)</f>
        <v/>
      </c>
      <c r="N178" s="5" t="inlineStr">
        <is>
          <t>Moderate opportunity - test with existing page before creating anything</t>
        </is>
      </c>
    </row>
    <row r="179">
      <c r="A179" t="inlineStr">
        <is>
          <t>Tunisia</t>
        </is>
      </c>
      <c r="B179" t="inlineStr">
        <is>
          <t>tn</t>
        </is>
      </c>
      <c r="C179" t="inlineStr">
        <is>
          <t>fr</t>
        </is>
      </c>
      <c r="D179" s="3" t="inlineStr">
        <is>
          <t>https://codesommet.com/web-development-company/worldwide</t>
        </is>
      </c>
      <c r="E179" t="inlineStr">
        <is>
          <t>création site internet</t>
        </is>
      </c>
      <c r="F179" t="n">
        <v>20</v>
      </c>
      <c r="G179" t="inlineStr">
        <is>
          <t>NOT AVAILABLE</t>
        </is>
      </c>
      <c r="H179" t="n">
        <v>0.41</v>
      </c>
      <c r="I179" t="inlineStr">
        <is>
          <t>NOT AVAILABLE</t>
        </is>
      </c>
      <c r="J179" t="inlineStr">
        <is>
          <t>MEASURED</t>
        </is>
      </c>
      <c r="K179" s="5" t="inlineStr">
        <is>
          <t>NOT AVAILABLE (SERP not pulled for this market)</t>
        </is>
      </c>
      <c r="L179" t="n">
        <v>6</v>
      </c>
      <c r="M179">
        <f>ROUND(IF(IF(I179="NOT AVAILABLE","",I179)="",12,IF(OR(ISNUMBER(SEARCH("Transactional",IF(I179="NOT AVAILABLE","",I179))),ISNUMBER(SEARCH("Commercial",IF(I179="NOT AVAILABLE","",I179)))),25,IF(ISNUMBER(SEARCH("Informational",IF(I179="NOT AVAILABLE","",I179))),10,IF(ISNUMBER(SEARCH("Navigational",IF(I179="NOT AVAILABLE","",I179))),0,12))))+IF(ISNUMBER(F179),MIN(30,ROUND(30*LOG10(F179+1)/4,1)),0)+IF(ISNUMBER(G179),ROUND(25*(100-G179)/100,1),12.5)+L179,0)</f>
        <v/>
      </c>
      <c r="N179" s="5" t="inlineStr">
        <is>
          <t>Low volume - supporting only</t>
        </is>
      </c>
    </row>
    <row r="180">
      <c r="A180" t="inlineStr">
        <is>
          <t>Tunisia</t>
        </is>
      </c>
      <c r="B180" t="inlineStr">
        <is>
          <t>tn</t>
        </is>
      </c>
      <c r="C180" t="inlineStr">
        <is>
          <t>fr</t>
        </is>
      </c>
      <c r="D180" s="3" t="inlineStr">
        <is>
          <t>https://codesommet.com/web-development-company/worldwide</t>
        </is>
      </c>
      <c r="E180" t="inlineStr">
        <is>
          <t>création site e-commerce</t>
        </is>
      </c>
      <c r="F180" t="n">
        <v>20</v>
      </c>
      <c r="G180" t="inlineStr">
        <is>
          <t>NOT AVAILABLE</t>
        </is>
      </c>
      <c r="H180" t="n">
        <v>0.3</v>
      </c>
      <c r="I180" t="inlineStr">
        <is>
          <t>NOT AVAILABLE</t>
        </is>
      </c>
      <c r="J180" t="inlineStr">
        <is>
          <t>MEASURED</t>
        </is>
      </c>
      <c r="K180" s="5" t="inlineStr">
        <is>
          <t>NOT AVAILABLE (SERP not pulled for this market)</t>
        </is>
      </c>
      <c r="L180" t="n">
        <v>6</v>
      </c>
      <c r="M180">
        <f>ROUND(IF(IF(I180="NOT AVAILABLE","",I180)="",12,IF(OR(ISNUMBER(SEARCH("Transactional",IF(I180="NOT AVAILABLE","",I180))),ISNUMBER(SEARCH("Commercial",IF(I180="NOT AVAILABLE","",I180)))),25,IF(ISNUMBER(SEARCH("Informational",IF(I180="NOT AVAILABLE","",I180))),10,IF(ISNUMBER(SEARCH("Navigational",IF(I180="NOT AVAILABLE","",I180))),0,12))))+IF(ISNUMBER(F180),MIN(30,ROUND(30*LOG10(F180+1)/4,1)),0)+IF(ISNUMBER(G180),ROUND(25*(100-G180)/100,1),12.5)+L180,0)</f>
        <v/>
      </c>
      <c r="N180" s="5" t="inlineStr">
        <is>
          <t>Low volume - supporting only</t>
        </is>
      </c>
    </row>
    <row r="181">
      <c r="A181" t="inlineStr">
        <is>
          <t>Tunisia</t>
        </is>
      </c>
      <c r="B181" t="inlineStr">
        <is>
          <t>tn</t>
        </is>
      </c>
      <c r="C181" t="inlineStr">
        <is>
          <t>fr</t>
        </is>
      </c>
      <c r="D181" s="3" t="inlineStr">
        <is>
          <t>https://codesommet.com/web-development-company/worldwide</t>
        </is>
      </c>
      <c r="E181" t="inlineStr">
        <is>
          <t>agence de développement web</t>
        </is>
      </c>
      <c r="F181" t="n">
        <v>20</v>
      </c>
      <c r="G181" t="inlineStr">
        <is>
          <t>NOT AVAILABLE</t>
        </is>
      </c>
      <c r="H181" t="n">
        <v>0</v>
      </c>
      <c r="I181" t="inlineStr">
        <is>
          <t>NOT AVAILABLE</t>
        </is>
      </c>
      <c r="J181" t="inlineStr">
        <is>
          <t>MEASURED</t>
        </is>
      </c>
      <c r="K181" s="5" t="inlineStr">
        <is>
          <t>NOT AVAILABLE (SERP not pulled for this market)</t>
        </is>
      </c>
      <c r="L181" t="n">
        <v>6</v>
      </c>
      <c r="M181">
        <f>ROUND(IF(IF(I181="NOT AVAILABLE","",I181)="",12,IF(OR(ISNUMBER(SEARCH("Transactional",IF(I181="NOT AVAILABLE","",I181))),ISNUMBER(SEARCH("Commercial",IF(I181="NOT AVAILABLE","",I181)))),25,IF(ISNUMBER(SEARCH("Informational",IF(I181="NOT AVAILABLE","",I181))),10,IF(ISNUMBER(SEARCH("Navigational",IF(I181="NOT AVAILABLE","",I181))),0,12))))+IF(ISNUMBER(F181),MIN(30,ROUND(30*LOG10(F181+1)/4,1)),0)+IF(ISNUMBER(G181),ROUND(25*(100-G181)/100,1),12.5)+L181,0)</f>
        <v/>
      </c>
      <c r="N181" s="5" t="inlineStr">
        <is>
          <t>Low volume - supporting only</t>
        </is>
      </c>
    </row>
    <row r="182">
      <c r="A182" t="inlineStr">
        <is>
          <t>Tunisia</t>
        </is>
      </c>
      <c r="B182" t="inlineStr">
        <is>
          <t>tn</t>
        </is>
      </c>
      <c r="C182" t="inlineStr">
        <is>
          <t>fr</t>
        </is>
      </c>
      <c r="D182" s="3" t="inlineStr">
        <is>
          <t>https://codesommet.com/web-development-company/worldwide</t>
        </is>
      </c>
      <c r="E182" t="inlineStr">
        <is>
          <t>développement web sur mesure</t>
        </is>
      </c>
      <c r="F182" t="n">
        <v>20</v>
      </c>
      <c r="G182" t="inlineStr">
        <is>
          <t>NOT AVAILABLE</t>
        </is>
      </c>
      <c r="H182" t="n">
        <v>0</v>
      </c>
      <c r="I182" t="inlineStr">
        <is>
          <t>NOT AVAILABLE</t>
        </is>
      </c>
      <c r="J182" t="inlineStr">
        <is>
          <t>MEASURED</t>
        </is>
      </c>
      <c r="K182" s="5" t="inlineStr">
        <is>
          <t>NOT AVAILABLE (SERP not pulled for this market)</t>
        </is>
      </c>
      <c r="L182" t="n">
        <v>6</v>
      </c>
      <c r="M182">
        <f>ROUND(IF(IF(I182="NOT AVAILABLE","",I182)="",12,IF(OR(ISNUMBER(SEARCH("Transactional",IF(I182="NOT AVAILABLE","",I182))),ISNUMBER(SEARCH("Commercial",IF(I182="NOT AVAILABLE","",I182)))),25,IF(ISNUMBER(SEARCH("Informational",IF(I182="NOT AVAILABLE","",I182))),10,IF(ISNUMBER(SEARCH("Navigational",IF(I182="NOT AVAILABLE","",I182))),0,12))))+IF(ISNUMBER(F182),MIN(30,ROUND(30*LOG10(F182+1)/4,1)),0)+IF(ISNUMBER(G182),ROUND(25*(100-G182)/100,1),12.5)+L182,0)</f>
        <v/>
      </c>
      <c r="N182" s="5" t="inlineStr">
        <is>
          <t>Low volume - supporting only</t>
        </is>
      </c>
    </row>
    <row r="183">
      <c r="A183" t="inlineStr">
        <is>
          <t>Tunisia</t>
        </is>
      </c>
      <c r="B183" t="inlineStr">
        <is>
          <t>tn</t>
        </is>
      </c>
      <c r="C183" t="inlineStr">
        <is>
          <t>fr</t>
        </is>
      </c>
      <c r="D183" s="3" t="inlineStr">
        <is>
          <t>https://codesommet.com/web-development-company/worldwide</t>
        </is>
      </c>
      <c r="E183" t="inlineStr">
        <is>
          <t>développement application web</t>
        </is>
      </c>
      <c r="F183" t="n">
        <v>30</v>
      </c>
      <c r="G183" t="inlineStr">
        <is>
          <t>NOT AVAILABLE</t>
        </is>
      </c>
      <c r="H183" t="n">
        <v>0</v>
      </c>
      <c r="I183" t="inlineStr">
        <is>
          <t>NOT AVAILABLE</t>
        </is>
      </c>
      <c r="J183" t="inlineStr">
        <is>
          <t>MEASURED</t>
        </is>
      </c>
      <c r="K183" s="5" t="inlineStr">
        <is>
          <t>NOT AVAILABLE (SERP not pulled for this market)</t>
        </is>
      </c>
      <c r="L183" t="n">
        <v>6</v>
      </c>
      <c r="M183">
        <f>ROUND(IF(IF(I183="NOT AVAILABLE","",I183)="",12,IF(OR(ISNUMBER(SEARCH("Transactional",IF(I183="NOT AVAILABLE","",I183))),ISNUMBER(SEARCH("Commercial",IF(I183="NOT AVAILABLE","",I183)))),25,IF(ISNUMBER(SEARCH("Informational",IF(I183="NOT AVAILABLE","",I183))),10,IF(ISNUMBER(SEARCH("Navigational",IF(I183="NOT AVAILABLE","",I183))),0,12))))+IF(ISNUMBER(F183),MIN(30,ROUND(30*LOG10(F183+1)/4,1)),0)+IF(ISNUMBER(G183),ROUND(25*(100-G183)/100,1),12.5)+L183,0)</f>
        <v/>
      </c>
      <c r="N183" s="5" t="inlineStr">
        <is>
          <t>Low volume - supporting only</t>
        </is>
      </c>
    </row>
    <row r="184">
      <c r="A184" t="inlineStr">
        <is>
          <t>Tunisia</t>
        </is>
      </c>
      <c r="B184" t="inlineStr">
        <is>
          <t>tn</t>
        </is>
      </c>
      <c r="C184" t="inlineStr">
        <is>
          <t>fr</t>
        </is>
      </c>
      <c r="D184" s="3" t="inlineStr">
        <is>
          <t>https://codesommet.com/web-development-company/worldwide</t>
        </is>
      </c>
      <c r="E184" t="inlineStr">
        <is>
          <t>agence seo</t>
        </is>
      </c>
      <c r="F184" t="n">
        <v>40</v>
      </c>
      <c r="G184" t="inlineStr">
        <is>
          <t>NOT AVAILABLE</t>
        </is>
      </c>
      <c r="H184" t="n">
        <v>0</v>
      </c>
      <c r="I184" t="inlineStr">
        <is>
          <t>NOT AVAILABLE</t>
        </is>
      </c>
      <c r="J184" t="inlineStr">
        <is>
          <t>MEASURED</t>
        </is>
      </c>
      <c r="K184" s="5" t="inlineStr">
        <is>
          <t>NOT AVAILABLE (SERP not pulled for this market)</t>
        </is>
      </c>
      <c r="L184" t="n">
        <v>6</v>
      </c>
      <c r="M184">
        <f>ROUND(IF(IF(I184="NOT AVAILABLE","",I184)="",12,IF(OR(ISNUMBER(SEARCH("Transactional",IF(I184="NOT AVAILABLE","",I184))),ISNUMBER(SEARCH("Commercial",IF(I184="NOT AVAILABLE","",I184)))),25,IF(ISNUMBER(SEARCH("Informational",IF(I184="NOT AVAILABLE","",I184))),10,IF(ISNUMBER(SEARCH("Navigational",IF(I184="NOT AVAILABLE","",I184))),0,12))))+IF(ISNUMBER(F184),MIN(30,ROUND(30*LOG10(F184+1)/4,1)),0)+IF(ISNUMBER(G184),ROUND(25*(100-G184)/100,1),12.5)+L184,0)</f>
        <v/>
      </c>
      <c r="N184" s="5" t="inlineStr">
        <is>
          <t>Low volume - supporting only</t>
        </is>
      </c>
    </row>
    <row r="185">
      <c r="A185" t="inlineStr">
        <is>
          <t>Tunisia</t>
        </is>
      </c>
      <c r="B185" t="inlineStr">
        <is>
          <t>tn</t>
        </is>
      </c>
      <c r="C185" t="inlineStr">
        <is>
          <t>fr</t>
        </is>
      </c>
      <c r="D185" s="3" t="inlineStr">
        <is>
          <t>https://codesommet.com/web-development-company/worldwide</t>
        </is>
      </c>
      <c r="E185" t="inlineStr">
        <is>
          <t>référencement naturel</t>
        </is>
      </c>
      <c r="F185" t="n">
        <v>40</v>
      </c>
      <c r="G185" t="inlineStr">
        <is>
          <t>NOT AVAILABLE</t>
        </is>
      </c>
      <c r="H185" t="n">
        <v>0</v>
      </c>
      <c r="I185" t="inlineStr">
        <is>
          <t>NOT AVAILABLE</t>
        </is>
      </c>
      <c r="J185" t="inlineStr">
        <is>
          <t>MEASURED</t>
        </is>
      </c>
      <c r="K185" s="5" t="inlineStr">
        <is>
          <t>NOT AVAILABLE (SERP not pulled for this market)</t>
        </is>
      </c>
      <c r="L185" t="n">
        <v>6</v>
      </c>
      <c r="M185">
        <f>ROUND(IF(IF(I185="NOT AVAILABLE","",I185)="",12,IF(OR(ISNUMBER(SEARCH("Transactional",IF(I185="NOT AVAILABLE","",I185))),ISNUMBER(SEARCH("Commercial",IF(I185="NOT AVAILABLE","",I185)))),25,IF(ISNUMBER(SEARCH("Informational",IF(I185="NOT AVAILABLE","",I185))),10,IF(ISNUMBER(SEARCH("Navigational",IF(I185="NOT AVAILABLE","",I185))),0,12))))+IF(ISNUMBER(F185),MIN(30,ROUND(30*LOG10(F185+1)/4,1)),0)+IF(ISNUMBER(G185),ROUND(25*(100-G185)/100,1),12.5)+L185,0)</f>
        <v/>
      </c>
      <c r="N185" s="5" t="inlineStr">
        <is>
          <t>Low volume - supporting only</t>
        </is>
      </c>
    </row>
    <row r="186">
      <c r="A186" t="inlineStr">
        <is>
          <t>Tunisia</t>
        </is>
      </c>
      <c r="B186" t="inlineStr">
        <is>
          <t>tn</t>
        </is>
      </c>
      <c r="C186" t="inlineStr">
        <is>
          <t>fr</t>
        </is>
      </c>
      <c r="D186" s="3" t="inlineStr">
        <is>
          <t>https://codesommet.com/web-development-company/worldwide</t>
        </is>
      </c>
      <c r="E186" t="inlineStr">
        <is>
          <t>agence web offshore</t>
        </is>
      </c>
      <c r="F186" t="n">
        <v>30</v>
      </c>
      <c r="G186" t="inlineStr">
        <is>
          <t>NOT AVAILABLE</t>
        </is>
      </c>
      <c r="H186" t="n">
        <v>0</v>
      </c>
      <c r="I186" t="inlineStr">
        <is>
          <t>NOT AVAILABLE</t>
        </is>
      </c>
      <c r="J186" t="inlineStr">
        <is>
          <t>MEASURED</t>
        </is>
      </c>
      <c r="K186" s="5" t="inlineStr">
        <is>
          <t>NOT AVAILABLE (SERP not pulled for this market)</t>
        </is>
      </c>
      <c r="L186" t="n">
        <v>6</v>
      </c>
      <c r="M186">
        <f>ROUND(IF(IF(I186="NOT AVAILABLE","",I186)="",12,IF(OR(ISNUMBER(SEARCH("Transactional",IF(I186="NOT AVAILABLE","",I186))),ISNUMBER(SEARCH("Commercial",IF(I186="NOT AVAILABLE","",I186)))),25,IF(ISNUMBER(SEARCH("Informational",IF(I186="NOT AVAILABLE","",I186))),10,IF(ISNUMBER(SEARCH("Navigational",IF(I186="NOT AVAILABLE","",I186))),0,12))))+IF(ISNUMBER(F186),MIN(30,ROUND(30*LOG10(F186+1)/4,1)),0)+IF(ISNUMBER(G186),ROUND(25*(100-G186)/100,1),12.5)+L186,0)</f>
        <v/>
      </c>
      <c r="N186" s="5" t="inlineStr">
        <is>
          <t>Low volume - supporting only</t>
        </is>
      </c>
    </row>
    <row r="187">
      <c r="A187" t="inlineStr">
        <is>
          <t>Tunisia</t>
        </is>
      </c>
      <c r="B187" t="inlineStr">
        <is>
          <t>tn</t>
        </is>
      </c>
      <c r="C187" t="inlineStr">
        <is>
          <t>fr</t>
        </is>
      </c>
      <c r="D187" s="3" t="inlineStr">
        <is>
          <t>https://codesommet.com/web-development-company/worldwide</t>
        </is>
      </c>
      <c r="E187" t="inlineStr">
        <is>
          <t>développeur web freelance</t>
        </is>
      </c>
      <c r="F187" t="n">
        <v>30</v>
      </c>
      <c r="G187" t="inlineStr">
        <is>
          <t>NOT AVAILABLE</t>
        </is>
      </c>
      <c r="H187" t="n">
        <v>0</v>
      </c>
      <c r="I187" t="inlineStr">
        <is>
          <t>NOT AVAILABLE</t>
        </is>
      </c>
      <c r="J187" t="inlineStr">
        <is>
          <t>MEASURED</t>
        </is>
      </c>
      <c r="K187" s="5" t="inlineStr">
        <is>
          <t>NOT AVAILABLE (SERP not pulled for this market)</t>
        </is>
      </c>
      <c r="L187" t="n">
        <v>6</v>
      </c>
      <c r="M187">
        <f>ROUND(IF(IF(I187="NOT AVAILABLE","",I187)="",12,IF(OR(ISNUMBER(SEARCH("Transactional",IF(I187="NOT AVAILABLE","",I187))),ISNUMBER(SEARCH("Commercial",IF(I187="NOT AVAILABLE","",I187)))),25,IF(ISNUMBER(SEARCH("Informational",IF(I187="NOT AVAILABLE","",I187))),10,IF(ISNUMBER(SEARCH("Navigational",IF(I187="NOT AVAILABLE","",I187))),0,12))))+IF(ISNUMBER(F187),MIN(30,ROUND(30*LOG10(F187+1)/4,1)),0)+IF(ISNUMBER(G187),ROUND(25*(100-G187)/100,1),12.5)+L187,0)</f>
        <v/>
      </c>
      <c r="N187" s="5" t="inlineStr">
        <is>
          <t>Low volume - supporting only</t>
        </is>
      </c>
    </row>
    <row r="188">
      <c r="A188" t="inlineStr">
        <is>
          <t>Tunisia</t>
        </is>
      </c>
      <c r="B188" t="inlineStr">
        <is>
          <t>tn</t>
        </is>
      </c>
      <c r="C188" t="inlineStr">
        <is>
          <t>fr</t>
        </is>
      </c>
      <c r="D188" s="3" t="inlineStr">
        <is>
          <t>https://codesommet.com/web-development-company/worldwide</t>
        </is>
      </c>
      <c r="E188" t="inlineStr">
        <is>
          <t>prix site web</t>
        </is>
      </c>
      <c r="F188" t="n">
        <v>20</v>
      </c>
      <c r="G188" t="inlineStr">
        <is>
          <t>NOT AVAILABLE</t>
        </is>
      </c>
      <c r="H188" t="n">
        <v>0</v>
      </c>
      <c r="I188" t="inlineStr">
        <is>
          <t>NOT AVAILABLE</t>
        </is>
      </c>
      <c r="J188" t="inlineStr">
        <is>
          <t>MEASURED</t>
        </is>
      </c>
      <c r="K188" s="5" t="inlineStr">
        <is>
          <t>NOT AVAILABLE (SERP not pulled for this market)</t>
        </is>
      </c>
      <c r="L188" t="n">
        <v>6</v>
      </c>
      <c r="M188">
        <f>ROUND(IF(IF(I188="NOT AVAILABLE","",I188)="",12,IF(OR(ISNUMBER(SEARCH("Transactional",IF(I188="NOT AVAILABLE","",I188))),ISNUMBER(SEARCH("Commercial",IF(I188="NOT AVAILABLE","",I188)))),25,IF(ISNUMBER(SEARCH("Informational",IF(I188="NOT AVAILABLE","",I188))),10,IF(ISNUMBER(SEARCH("Navigational",IF(I188="NOT AVAILABLE","",I188))),0,12))))+IF(ISNUMBER(F188),MIN(30,ROUND(30*LOG10(F188+1)/4,1)),0)+IF(ISNUMBER(G188),ROUND(25*(100-G188)/100,1),12.5)+L188,0)</f>
        <v/>
      </c>
      <c r="N188" s="5" t="inlineStr">
        <is>
          <t>Low volume - supporting only</t>
        </is>
      </c>
    </row>
    <row r="189">
      <c r="A189" t="inlineStr">
        <is>
          <t>Tunisia</t>
        </is>
      </c>
      <c r="B189" t="inlineStr">
        <is>
          <t>tn</t>
        </is>
      </c>
      <c r="C189" t="inlineStr">
        <is>
          <t>fr</t>
        </is>
      </c>
      <c r="D189" s="3" t="inlineStr">
        <is>
          <t>https://codesommet.com/web-development-company/worldwide</t>
        </is>
      </c>
      <c r="E189" t="inlineStr">
        <is>
          <t>prix création site internet</t>
        </is>
      </c>
      <c r="F189" t="inlineStr">
        <is>
          <t>NOT AVAILABLE</t>
        </is>
      </c>
      <c r="G189" t="inlineStr">
        <is>
          <t>NOT AVAILABLE</t>
        </is>
      </c>
      <c r="H189" t="inlineStr">
        <is>
          <t>NOT AVAILABLE</t>
        </is>
      </c>
      <c r="I189" t="inlineStr">
        <is>
          <t>NOT AVAILABLE</t>
        </is>
      </c>
      <c r="J189" t="inlineStr">
        <is>
          <t>UNAVAILABLE</t>
        </is>
      </c>
      <c r="K189" s="5" t="inlineStr">
        <is>
          <t>NOT AVAILABLE (SERP not pulled for this market)</t>
        </is>
      </c>
      <c r="L189" t="n">
        <v>6</v>
      </c>
      <c r="M189">
        <f>ROUND(IF(IF(I189="NOT AVAILABLE","",I189)="",12,IF(OR(ISNUMBER(SEARCH("Transactional",IF(I189="NOT AVAILABLE","",I189))),ISNUMBER(SEARCH("Commercial",IF(I189="NOT AVAILABLE","",I189)))),25,IF(ISNUMBER(SEARCH("Informational",IF(I189="NOT AVAILABLE","",I189))),10,IF(ISNUMBER(SEARCH("Navigational",IF(I189="NOT AVAILABLE","",I189))),0,12))))+IF(ISNUMBER(F189),MIN(30,ROUND(30*LOG10(F189+1)/4,1)),0)+IF(ISNUMBER(G189),ROUND(25*(100-G189)/100,1),12.5)+L189,0)</f>
        <v/>
      </c>
      <c r="N189" s="5" t="inlineStr">
        <is>
          <t>No data in this database - do not prioritise</t>
        </is>
      </c>
    </row>
    <row r="190">
      <c r="A190" t="inlineStr">
        <is>
          <t>Tunisia</t>
        </is>
      </c>
      <c r="B190" t="inlineStr">
        <is>
          <t>tn</t>
        </is>
      </c>
      <c r="C190" t="inlineStr">
        <is>
          <t>fr</t>
        </is>
      </c>
      <c r="D190" s="3" t="inlineStr">
        <is>
          <t>https://codesommet.com/web-development-company/worldwide</t>
        </is>
      </c>
      <c r="E190" t="inlineStr">
        <is>
          <t>création site vitrine</t>
        </is>
      </c>
      <c r="F190" t="n">
        <v>20</v>
      </c>
      <c r="G190" t="inlineStr">
        <is>
          <t>NOT AVAILABLE</t>
        </is>
      </c>
      <c r="H190" t="n">
        <v>0</v>
      </c>
      <c r="I190" t="inlineStr">
        <is>
          <t>NOT AVAILABLE</t>
        </is>
      </c>
      <c r="J190" t="inlineStr">
        <is>
          <t>MEASURED</t>
        </is>
      </c>
      <c r="K190" s="5" t="inlineStr">
        <is>
          <t>NOT AVAILABLE (SERP not pulled for this market)</t>
        </is>
      </c>
      <c r="L190" t="n">
        <v>6</v>
      </c>
      <c r="M190">
        <f>ROUND(IF(IF(I190="NOT AVAILABLE","",I190)="",12,IF(OR(ISNUMBER(SEARCH("Transactional",IF(I190="NOT AVAILABLE","",I190))),ISNUMBER(SEARCH("Commercial",IF(I190="NOT AVAILABLE","",I190)))),25,IF(ISNUMBER(SEARCH("Informational",IF(I190="NOT AVAILABLE","",I190))),10,IF(ISNUMBER(SEARCH("Navigational",IF(I190="NOT AVAILABLE","",I190))),0,12))))+IF(ISNUMBER(F190),MIN(30,ROUND(30*LOG10(F190+1)/4,1)),0)+IF(ISNUMBER(G190),ROUND(25*(100-G190)/100,1),12.5)+L190,0)</f>
        <v/>
      </c>
      <c r="N190" s="5" t="inlineStr">
        <is>
          <t>Low volume - supporting only</t>
        </is>
      </c>
    </row>
    <row r="191">
      <c r="A191" t="inlineStr">
        <is>
          <t>Tunisia</t>
        </is>
      </c>
      <c r="B191" t="inlineStr">
        <is>
          <t>tn</t>
        </is>
      </c>
      <c r="C191" t="inlineStr">
        <is>
          <t>fr</t>
        </is>
      </c>
      <c r="D191" s="3" t="inlineStr">
        <is>
          <t>https://codesommet.com/web-development-company/worldwide</t>
        </is>
      </c>
      <c r="E191" t="inlineStr">
        <is>
          <t>refonte site web</t>
        </is>
      </c>
      <c r="F191" t="n">
        <v>20</v>
      </c>
      <c r="G191" t="inlineStr">
        <is>
          <t>NOT AVAILABLE</t>
        </is>
      </c>
      <c r="H191" t="n">
        <v>0</v>
      </c>
      <c r="I191" t="inlineStr">
        <is>
          <t>NOT AVAILABLE</t>
        </is>
      </c>
      <c r="J191" t="inlineStr">
        <is>
          <t>MEASURED</t>
        </is>
      </c>
      <c r="K191" s="5" t="inlineStr">
        <is>
          <t>NOT AVAILABLE (SERP not pulled for this market)</t>
        </is>
      </c>
      <c r="L191" t="n">
        <v>6</v>
      </c>
      <c r="M191">
        <f>ROUND(IF(IF(I191="NOT AVAILABLE","",I191)="",12,IF(OR(ISNUMBER(SEARCH("Transactional",IF(I191="NOT AVAILABLE","",I191))),ISNUMBER(SEARCH("Commercial",IF(I191="NOT AVAILABLE","",I191)))),25,IF(ISNUMBER(SEARCH("Informational",IF(I191="NOT AVAILABLE","",I191))),10,IF(ISNUMBER(SEARCH("Navigational",IF(I191="NOT AVAILABLE","",I191))),0,12))))+IF(ISNUMBER(F191),MIN(30,ROUND(30*LOG10(F191+1)/4,1)),0)+IF(ISNUMBER(G191),ROUND(25*(100-G191)/100,1),12.5)+L191,0)</f>
        <v/>
      </c>
      <c r="N191" s="5" t="inlineStr">
        <is>
          <t>Low volume - supporting only</t>
        </is>
      </c>
    </row>
    <row r="192">
      <c r="A192" t="inlineStr">
        <is>
          <t>Tunisia</t>
        </is>
      </c>
      <c r="B192" t="inlineStr">
        <is>
          <t>tn</t>
        </is>
      </c>
      <c r="C192" t="inlineStr">
        <is>
          <t>fr</t>
        </is>
      </c>
      <c r="D192" s="3" t="inlineStr">
        <is>
          <t>https://codesommet.com/web-development-company/worldwide</t>
        </is>
      </c>
      <c r="E192" t="inlineStr">
        <is>
          <t>agence digitale</t>
        </is>
      </c>
      <c r="F192" t="n">
        <v>90</v>
      </c>
      <c r="G192" t="inlineStr">
        <is>
          <t>NOT AVAILABLE</t>
        </is>
      </c>
      <c r="H192" t="n">
        <v>0</v>
      </c>
      <c r="I192" t="inlineStr">
        <is>
          <t>NOT AVAILABLE</t>
        </is>
      </c>
      <c r="J192" t="inlineStr">
        <is>
          <t>MEASURED</t>
        </is>
      </c>
      <c r="K192" s="5" t="inlineStr">
        <is>
          <t>NOT AVAILABLE (SERP not pulled for this market)</t>
        </is>
      </c>
      <c r="L192" t="n">
        <v>6</v>
      </c>
      <c r="M192">
        <f>ROUND(IF(IF(I192="NOT AVAILABLE","",I192)="",12,IF(OR(ISNUMBER(SEARCH("Transactional",IF(I192="NOT AVAILABLE","",I192))),ISNUMBER(SEARCH("Commercial",IF(I192="NOT AVAILABLE","",I192)))),25,IF(ISNUMBER(SEARCH("Informational",IF(I192="NOT AVAILABLE","",I192))),10,IF(ISNUMBER(SEARCH("Navigational",IF(I192="NOT AVAILABLE","",I192))),0,12))))+IF(ISNUMBER(F192),MIN(30,ROUND(30*LOG10(F192+1)/4,1)),0)+IF(ISNUMBER(G192),ROUND(25*(100-G192)/100,1),12.5)+L192,0)</f>
        <v/>
      </c>
      <c r="N192" s="5" t="inlineStr">
        <is>
          <t>Low volume - supporting only</t>
        </is>
      </c>
    </row>
    <row r="193">
      <c r="A193" t="inlineStr">
        <is>
          <t>Tunisia</t>
        </is>
      </c>
      <c r="B193" t="inlineStr">
        <is>
          <t>tn</t>
        </is>
      </c>
      <c r="C193" t="inlineStr">
        <is>
          <t>fr</t>
        </is>
      </c>
      <c r="D193" s="3" t="inlineStr">
        <is>
          <t>https://codesommet.com/web-development-company/worldwide</t>
        </is>
      </c>
      <c r="E193" t="inlineStr">
        <is>
          <t>développement saas</t>
        </is>
      </c>
      <c r="F193" t="inlineStr">
        <is>
          <t>NOT AVAILABLE</t>
        </is>
      </c>
      <c r="G193" t="inlineStr">
        <is>
          <t>NOT AVAILABLE</t>
        </is>
      </c>
      <c r="H193" t="inlineStr">
        <is>
          <t>NOT AVAILABLE</t>
        </is>
      </c>
      <c r="I193" t="inlineStr">
        <is>
          <t>NOT AVAILABLE</t>
        </is>
      </c>
      <c r="J193" t="inlineStr">
        <is>
          <t>UNAVAILABLE</t>
        </is>
      </c>
      <c r="K193" s="5" t="inlineStr">
        <is>
          <t>NOT AVAILABLE (SERP not pulled for this market)</t>
        </is>
      </c>
      <c r="L193" t="n">
        <v>6</v>
      </c>
      <c r="M193">
        <f>ROUND(IF(IF(I193="NOT AVAILABLE","",I193)="",12,IF(OR(ISNUMBER(SEARCH("Transactional",IF(I193="NOT AVAILABLE","",I193))),ISNUMBER(SEARCH("Commercial",IF(I193="NOT AVAILABLE","",I193)))),25,IF(ISNUMBER(SEARCH("Informational",IF(I193="NOT AVAILABLE","",I193))),10,IF(ISNUMBER(SEARCH("Navigational",IF(I193="NOT AVAILABLE","",I193))),0,12))))+IF(ISNUMBER(F193),MIN(30,ROUND(30*LOG10(F193+1)/4,1)),0)+IF(ISNUMBER(G193),ROUND(25*(100-G193)/100,1),12.5)+L193,0)</f>
        <v/>
      </c>
      <c r="N193" s="5" t="inlineStr">
        <is>
          <t>No data in this database - do not prioritise</t>
        </is>
      </c>
    </row>
    <row r="194">
      <c r="A194" t="inlineStr">
        <is>
          <t>Tunisia</t>
        </is>
      </c>
      <c r="B194" t="inlineStr">
        <is>
          <t>tn</t>
        </is>
      </c>
      <c r="C194" t="inlineStr">
        <is>
          <t>fr</t>
        </is>
      </c>
      <c r="D194" s="3" t="inlineStr">
        <is>
          <t>https://codesommet.com/web-development-company/worldwide</t>
        </is>
      </c>
      <c r="E194" t="inlineStr">
        <is>
          <t>création application web</t>
        </is>
      </c>
      <c r="F194" t="n">
        <v>0</v>
      </c>
      <c r="G194" t="inlineStr">
        <is>
          <t>NOT AVAILABLE</t>
        </is>
      </c>
      <c r="H194" t="n">
        <v>0</v>
      </c>
      <c r="I194" t="inlineStr">
        <is>
          <t>NOT AVAILABLE</t>
        </is>
      </c>
      <c r="J194" t="inlineStr">
        <is>
          <t>MEASURED</t>
        </is>
      </c>
      <c r="K194" s="5" t="inlineStr">
        <is>
          <t>NOT AVAILABLE (SERP not pulled for this market)</t>
        </is>
      </c>
      <c r="L194" t="n">
        <v>6</v>
      </c>
      <c r="M194">
        <f>ROUND(IF(IF(I194="NOT AVAILABLE","",I194)="",12,IF(OR(ISNUMBER(SEARCH("Transactional",IF(I194="NOT AVAILABLE","",I194))),ISNUMBER(SEARCH("Commercial",IF(I194="NOT AVAILABLE","",I194)))),25,IF(ISNUMBER(SEARCH("Informational",IF(I194="NOT AVAILABLE","",I194))),10,IF(ISNUMBER(SEARCH("Navigational",IF(I194="NOT AVAILABLE","",I194))),0,12))))+IF(ISNUMBER(F194),MIN(30,ROUND(30*LOG10(F194+1)/4,1)),0)+IF(ISNUMBER(G194),ROUND(25*(100-G194)/100,1),12.5)+L194,0)</f>
        <v/>
      </c>
      <c r="N194" s="5" t="inlineStr">
        <is>
          <t>Measured zero - do not target</t>
        </is>
      </c>
    </row>
    <row r="195">
      <c r="A195" t="inlineStr">
        <is>
          <t>Tunisia</t>
        </is>
      </c>
      <c r="B195" t="inlineStr">
        <is>
          <t>tn</t>
        </is>
      </c>
      <c r="C195" t="inlineStr">
        <is>
          <t>fr</t>
        </is>
      </c>
      <c r="D195" s="3" t="inlineStr">
        <is>
          <t>https://codesommet.com/web-development-company/worldwide</t>
        </is>
      </c>
      <c r="E195" t="inlineStr">
        <is>
          <t>agence web maroc</t>
        </is>
      </c>
      <c r="F195" t="n">
        <v>0</v>
      </c>
      <c r="G195" t="inlineStr">
        <is>
          <t>NOT AVAILABLE</t>
        </is>
      </c>
      <c r="H195" t="n">
        <v>0</v>
      </c>
      <c r="I195" t="inlineStr">
        <is>
          <t>NOT AVAILABLE</t>
        </is>
      </c>
      <c r="J195" t="inlineStr">
        <is>
          <t>MEASURED</t>
        </is>
      </c>
      <c r="K195" s="5" t="inlineStr">
        <is>
          <t>NOT AVAILABLE (SERP not pulled for this market)</t>
        </is>
      </c>
      <c r="L195" t="n">
        <v>6</v>
      </c>
      <c r="M195">
        <f>ROUND(IF(IF(I195="NOT AVAILABLE","",I195)="",12,IF(OR(ISNUMBER(SEARCH("Transactional",IF(I195="NOT AVAILABLE","",I195))),ISNUMBER(SEARCH("Commercial",IF(I195="NOT AVAILABLE","",I195)))),25,IF(ISNUMBER(SEARCH("Informational",IF(I195="NOT AVAILABLE","",I195))),10,IF(ISNUMBER(SEARCH("Navigational",IF(I195="NOT AVAILABLE","",I195))),0,12))))+IF(ISNUMBER(F195),MIN(30,ROUND(30*LOG10(F195+1)/4,1)),0)+IF(ISNUMBER(G195),ROUND(25*(100-G195)/100,1),12.5)+L195,0)</f>
        <v/>
      </c>
      <c r="N195" s="5" t="inlineStr">
        <is>
          <t>Measured zero - do not target</t>
        </is>
      </c>
    </row>
    <row r="196">
      <c r="A196" t="inlineStr">
        <is>
          <t>Tunisia</t>
        </is>
      </c>
      <c r="B196" t="inlineStr">
        <is>
          <t>tn</t>
        </is>
      </c>
      <c r="C196" t="inlineStr">
        <is>
          <t>fr</t>
        </is>
      </c>
      <c r="D196" s="3" t="inlineStr">
        <is>
          <t>https://codesommet.com/web-development-company/worldwide</t>
        </is>
      </c>
      <c r="E196" t="inlineStr">
        <is>
          <t>création boutique en ligne</t>
        </is>
      </c>
      <c r="F196" t="inlineStr">
        <is>
          <t>NOT AVAILABLE</t>
        </is>
      </c>
      <c r="G196" t="inlineStr">
        <is>
          <t>NOT AVAILABLE</t>
        </is>
      </c>
      <c r="H196" t="inlineStr">
        <is>
          <t>NOT AVAILABLE</t>
        </is>
      </c>
      <c r="I196" t="inlineStr">
        <is>
          <t>NOT AVAILABLE</t>
        </is>
      </c>
      <c r="J196" t="inlineStr">
        <is>
          <t>UNAVAILABLE</t>
        </is>
      </c>
      <c r="K196" s="5" t="inlineStr">
        <is>
          <t>NOT AVAILABLE (SERP not pulled for this market)</t>
        </is>
      </c>
      <c r="L196" t="n">
        <v>6</v>
      </c>
      <c r="M196">
        <f>ROUND(IF(IF(I196="NOT AVAILABLE","",I196)="",12,IF(OR(ISNUMBER(SEARCH("Transactional",IF(I196="NOT AVAILABLE","",I196))),ISNUMBER(SEARCH("Commercial",IF(I196="NOT AVAILABLE","",I196)))),25,IF(ISNUMBER(SEARCH("Informational",IF(I196="NOT AVAILABLE","",I196))),10,IF(ISNUMBER(SEARCH("Navigational",IF(I196="NOT AVAILABLE","",I196))),0,12))))+IF(ISNUMBER(F196),MIN(30,ROUND(30*LOG10(F196+1)/4,1)),0)+IF(ISNUMBER(G196),ROUND(25*(100-G196)/100,1),12.5)+L196,0)</f>
        <v/>
      </c>
      <c r="N196" s="5" t="inlineStr">
        <is>
          <t>No data in this database - do not prioritise</t>
        </is>
      </c>
    </row>
    <row r="197">
      <c r="A197" t="inlineStr">
        <is>
          <t>Tunisia</t>
        </is>
      </c>
      <c r="B197" t="inlineStr">
        <is>
          <t>tn</t>
        </is>
      </c>
      <c r="C197" t="inlineStr">
        <is>
          <t>fr</t>
        </is>
      </c>
      <c r="D197" s="3" t="inlineStr">
        <is>
          <t>https://codesommet.com/web-development-company/worldwide</t>
        </is>
      </c>
      <c r="E197" t="inlineStr">
        <is>
          <t>sous-traitance développement web</t>
        </is>
      </c>
      <c r="F197" t="inlineStr">
        <is>
          <t>NOT AVAILABLE</t>
        </is>
      </c>
      <c r="G197" t="inlineStr">
        <is>
          <t>NOT AVAILABLE</t>
        </is>
      </c>
      <c r="H197" t="inlineStr">
        <is>
          <t>NOT AVAILABLE</t>
        </is>
      </c>
      <c r="I197" t="inlineStr">
        <is>
          <t>NOT AVAILABLE</t>
        </is>
      </c>
      <c r="J197" t="inlineStr">
        <is>
          <t>UNAVAILABLE</t>
        </is>
      </c>
      <c r="K197" s="5" t="inlineStr">
        <is>
          <t>NOT AVAILABLE (SERP not pulled for this market)</t>
        </is>
      </c>
      <c r="L197" t="n">
        <v>6</v>
      </c>
      <c r="M197">
        <f>ROUND(IF(IF(I197="NOT AVAILABLE","",I197)="",12,IF(OR(ISNUMBER(SEARCH("Transactional",IF(I197="NOT AVAILABLE","",I197))),ISNUMBER(SEARCH("Commercial",IF(I197="NOT AVAILABLE","",I197)))),25,IF(ISNUMBER(SEARCH("Informational",IF(I197="NOT AVAILABLE","",I197))),10,IF(ISNUMBER(SEARCH("Navigational",IF(I197="NOT AVAILABLE","",I197))),0,12))))+IF(ISNUMBER(F197),MIN(30,ROUND(30*LOG10(F197+1)/4,1)),0)+IF(ISNUMBER(G197),ROUND(25*(100-G197)/100,1),12.5)+L197,0)</f>
        <v/>
      </c>
      <c r="N197" s="5" t="inlineStr">
        <is>
          <t>No data in this database - do not prioritise</t>
        </is>
      </c>
    </row>
    <row r="198">
      <c r="A198" t="inlineStr">
        <is>
          <t>Tunisia</t>
        </is>
      </c>
      <c r="B198" t="inlineStr">
        <is>
          <t>tn</t>
        </is>
      </c>
      <c r="C198" t="inlineStr">
        <is>
          <t>fr</t>
        </is>
      </c>
      <c r="D198" s="3" t="inlineStr">
        <is>
          <t>https://codesommet.com/web-development-company/worldwide</t>
        </is>
      </c>
      <c r="E198" t="inlineStr">
        <is>
          <t>externalisation développement web</t>
        </is>
      </c>
      <c r="F198" t="inlineStr">
        <is>
          <t>NOT AVAILABLE</t>
        </is>
      </c>
      <c r="G198" t="inlineStr">
        <is>
          <t>NOT AVAILABLE</t>
        </is>
      </c>
      <c r="H198" t="inlineStr">
        <is>
          <t>NOT AVAILABLE</t>
        </is>
      </c>
      <c r="I198" t="inlineStr">
        <is>
          <t>NOT AVAILABLE</t>
        </is>
      </c>
      <c r="J198" t="inlineStr">
        <is>
          <t>UNAVAILABLE</t>
        </is>
      </c>
      <c r="K198" s="5" t="inlineStr">
        <is>
          <t>NOT AVAILABLE (SERP not pulled for this market)</t>
        </is>
      </c>
      <c r="L198" t="n">
        <v>6</v>
      </c>
      <c r="M198">
        <f>ROUND(IF(IF(I198="NOT AVAILABLE","",I198)="",12,IF(OR(ISNUMBER(SEARCH("Transactional",IF(I198="NOT AVAILABLE","",I198))),ISNUMBER(SEARCH("Commercial",IF(I198="NOT AVAILABLE","",I198)))),25,IF(ISNUMBER(SEARCH("Informational",IF(I198="NOT AVAILABLE","",I198))),10,IF(ISNUMBER(SEARCH("Navigational",IF(I198="NOT AVAILABLE","",I198))),0,12))))+IF(ISNUMBER(F198),MIN(30,ROUND(30*LOG10(F198+1)/4,1)),0)+IF(ISNUMBER(G198),ROUND(25*(100-G198)/100,1),12.5)+L198,0)</f>
        <v/>
      </c>
      <c r="N198" s="5" t="inlineStr">
        <is>
          <t>No data in this database - do not prioritise</t>
        </is>
      </c>
    </row>
    <row r="199">
      <c r="A199" t="inlineStr">
        <is>
          <t>Tunisia</t>
        </is>
      </c>
      <c r="B199" t="inlineStr">
        <is>
          <t>tn</t>
        </is>
      </c>
      <c r="C199" t="inlineStr">
        <is>
          <t>fr</t>
        </is>
      </c>
      <c r="D199" s="3" t="inlineStr">
        <is>
          <t>https://codesommet.com/web-development-company/worldwide</t>
        </is>
      </c>
      <c r="E199" t="inlineStr">
        <is>
          <t>développement web offshore</t>
        </is>
      </c>
      <c r="F199" t="n">
        <v>10</v>
      </c>
      <c r="G199" t="inlineStr">
        <is>
          <t>NOT AVAILABLE</t>
        </is>
      </c>
      <c r="H199" t="n">
        <v>0</v>
      </c>
      <c r="I199" t="inlineStr">
        <is>
          <t>NOT AVAILABLE</t>
        </is>
      </c>
      <c r="J199" t="inlineStr">
        <is>
          <t>MEASURED</t>
        </is>
      </c>
      <c r="K199" s="5" t="inlineStr">
        <is>
          <t>NOT AVAILABLE (SERP not pulled for this market)</t>
        </is>
      </c>
      <c r="L199" t="n">
        <v>6</v>
      </c>
      <c r="M199">
        <f>ROUND(IF(IF(I199="NOT AVAILABLE","",I199)="",12,IF(OR(ISNUMBER(SEARCH("Transactional",IF(I199="NOT AVAILABLE","",I199))),ISNUMBER(SEARCH("Commercial",IF(I199="NOT AVAILABLE","",I199)))),25,IF(ISNUMBER(SEARCH("Informational",IF(I199="NOT AVAILABLE","",I199))),10,IF(ISNUMBER(SEARCH("Navigational",IF(I199="NOT AVAILABLE","",I199))),0,12))))+IF(ISNUMBER(F199),MIN(30,ROUND(30*LOG10(F199+1)/4,1)),0)+IF(ISNUMBER(G199),ROUND(25*(100-G199)/100,1),12.5)+L199,0)</f>
        <v/>
      </c>
      <c r="N199" s="5" t="inlineStr">
        <is>
          <t>Low volume - supporting only</t>
        </is>
      </c>
    </row>
    <row r="200">
      <c r="A200" t="inlineStr">
        <is>
          <t>Tunisia</t>
        </is>
      </c>
      <c r="B200" t="inlineStr">
        <is>
          <t>tn</t>
        </is>
      </c>
      <c r="C200" t="inlineStr">
        <is>
          <t>fr</t>
        </is>
      </c>
      <c r="D200" s="3" t="inlineStr">
        <is>
          <t>https://codesommet.com/web-development-company/worldwide</t>
        </is>
      </c>
      <c r="E200" t="inlineStr">
        <is>
          <t>agence web nearshore</t>
        </is>
      </c>
      <c r="F200" t="inlineStr">
        <is>
          <t>NOT AVAILABLE</t>
        </is>
      </c>
      <c r="G200" t="inlineStr">
        <is>
          <t>NOT AVAILABLE</t>
        </is>
      </c>
      <c r="H200" t="inlineStr">
        <is>
          <t>NOT AVAILABLE</t>
        </is>
      </c>
      <c r="I200" t="inlineStr">
        <is>
          <t>NOT AVAILABLE</t>
        </is>
      </c>
      <c r="J200" t="inlineStr">
        <is>
          <t>UNAVAILABLE</t>
        </is>
      </c>
      <c r="K200" s="5" t="inlineStr">
        <is>
          <t>NOT AVAILABLE (SERP not pulled for this market)</t>
        </is>
      </c>
      <c r="L200" t="n">
        <v>6</v>
      </c>
      <c r="M200">
        <f>ROUND(IF(IF(I200="NOT AVAILABLE","",I200)="",12,IF(OR(ISNUMBER(SEARCH("Transactional",IF(I200="NOT AVAILABLE","",I200))),ISNUMBER(SEARCH("Commercial",IF(I200="NOT AVAILABLE","",I200)))),25,IF(ISNUMBER(SEARCH("Informational",IF(I200="NOT AVAILABLE","",I200))),10,IF(ISNUMBER(SEARCH("Navigational",IF(I200="NOT AVAILABLE","",I200))),0,12))))+IF(ISNUMBER(F200),MIN(30,ROUND(30*LOG10(F200+1)/4,1)),0)+IF(ISNUMBER(G200),ROUND(25*(100-G200)/100,1),12.5)+L200,0)</f>
        <v/>
      </c>
      <c r="N200" s="5" t="inlineStr">
        <is>
          <t>No data in this database - do not prioritise</t>
        </is>
      </c>
    </row>
    <row r="201">
      <c r="A201" t="inlineStr">
        <is>
          <t>Tunisia</t>
        </is>
      </c>
      <c r="B201" t="inlineStr">
        <is>
          <t>tn</t>
        </is>
      </c>
      <c r="C201" t="inlineStr">
        <is>
          <t>fr</t>
        </is>
      </c>
      <c r="D201" s="3" t="inlineStr">
        <is>
          <t>https://codesommet.com/web-development-company/worldwide</t>
        </is>
      </c>
      <c r="E201" t="inlineStr">
        <is>
          <t>développeur maroc</t>
        </is>
      </c>
      <c r="F201" t="inlineStr">
        <is>
          <t>NOT AVAILABLE</t>
        </is>
      </c>
      <c r="G201" t="inlineStr">
        <is>
          <t>NOT AVAILABLE</t>
        </is>
      </c>
      <c r="H201" t="inlineStr">
        <is>
          <t>NOT AVAILABLE</t>
        </is>
      </c>
      <c r="I201" t="inlineStr">
        <is>
          <t>NOT AVAILABLE</t>
        </is>
      </c>
      <c r="J201" t="inlineStr">
        <is>
          <t>UNAVAILABLE</t>
        </is>
      </c>
      <c r="K201" s="5" t="inlineStr">
        <is>
          <t>NOT AVAILABLE (SERP not pulled for this market)</t>
        </is>
      </c>
      <c r="L201" t="n">
        <v>6</v>
      </c>
      <c r="M201">
        <f>ROUND(IF(IF(I201="NOT AVAILABLE","",I201)="",12,IF(OR(ISNUMBER(SEARCH("Transactional",IF(I201="NOT AVAILABLE","",I201))),ISNUMBER(SEARCH("Commercial",IF(I201="NOT AVAILABLE","",I201)))),25,IF(ISNUMBER(SEARCH("Informational",IF(I201="NOT AVAILABLE","",I201))),10,IF(ISNUMBER(SEARCH("Navigational",IF(I201="NOT AVAILABLE","",I201))),0,12))))+IF(ISNUMBER(F201),MIN(30,ROUND(30*LOG10(F201+1)/4,1)),0)+IF(ISNUMBER(G201),ROUND(25*(100-G201)/100,1),12.5)+L201,0)</f>
        <v/>
      </c>
      <c r="N201" s="5" t="inlineStr">
        <is>
          <t>No data in this database - do not prioritise</t>
        </is>
      </c>
    </row>
    <row r="202">
      <c r="A202" t="inlineStr">
        <is>
          <t>Tunisia</t>
        </is>
      </c>
      <c r="B202" t="inlineStr">
        <is>
          <t>tn</t>
        </is>
      </c>
      <c r="C202" t="inlineStr">
        <is>
          <t>fr</t>
        </is>
      </c>
      <c r="D202" s="3" t="inlineStr">
        <is>
          <t>https://codesommet.com/web-development-company/worldwide</t>
        </is>
      </c>
      <c r="E202" t="inlineStr">
        <is>
          <t>développement logiciel sur mesure</t>
        </is>
      </c>
      <c r="F202" t="n">
        <v>30</v>
      </c>
      <c r="G202" t="inlineStr">
        <is>
          <t>NOT AVAILABLE</t>
        </is>
      </c>
      <c r="H202" t="n">
        <v>0</v>
      </c>
      <c r="I202" t="inlineStr">
        <is>
          <t>NOT AVAILABLE</t>
        </is>
      </c>
      <c r="J202" t="inlineStr">
        <is>
          <t>MEASURED</t>
        </is>
      </c>
      <c r="K202" s="5" t="inlineStr">
        <is>
          <t>NOT AVAILABLE (SERP not pulled for this market)</t>
        </is>
      </c>
      <c r="L202" t="n">
        <v>6</v>
      </c>
      <c r="M202">
        <f>ROUND(IF(IF(I202="NOT AVAILABLE","",I202)="",12,IF(OR(ISNUMBER(SEARCH("Transactional",IF(I202="NOT AVAILABLE","",I202))),ISNUMBER(SEARCH("Commercial",IF(I202="NOT AVAILABLE","",I202)))),25,IF(ISNUMBER(SEARCH("Informational",IF(I202="NOT AVAILABLE","",I202))),10,IF(ISNUMBER(SEARCH("Navigational",IF(I202="NOT AVAILABLE","",I202))),0,12))))+IF(ISNUMBER(F202),MIN(30,ROUND(30*LOG10(F202+1)/4,1)),0)+IF(ISNUMBER(G202),ROUND(25*(100-G202)/100,1),12.5)+L202,0)</f>
        <v/>
      </c>
      <c r="N202" s="5" t="inlineStr">
        <is>
          <t>Low volume - supporting only</t>
        </is>
      </c>
    </row>
    <row r="203">
      <c r="A203" t="inlineStr">
        <is>
          <t>Tunisia</t>
        </is>
      </c>
      <c r="B203" t="inlineStr">
        <is>
          <t>tn</t>
        </is>
      </c>
      <c r="C203" t="inlineStr">
        <is>
          <t>fr</t>
        </is>
      </c>
      <c r="D203" s="3" t="inlineStr">
        <is>
          <t>https://codesommet.com/web-development-company/worldwide</t>
        </is>
      </c>
      <c r="E203" t="inlineStr">
        <is>
          <t>conception site web</t>
        </is>
      </c>
      <c r="F203" t="n">
        <v>20</v>
      </c>
      <c r="G203" t="inlineStr">
        <is>
          <t>NOT AVAILABLE</t>
        </is>
      </c>
      <c r="H203" t="n">
        <v>0</v>
      </c>
      <c r="I203" t="inlineStr">
        <is>
          <t>NOT AVAILABLE</t>
        </is>
      </c>
      <c r="J203" t="inlineStr">
        <is>
          <t>MEASURED</t>
        </is>
      </c>
      <c r="K203" s="5" t="inlineStr">
        <is>
          <t>NOT AVAILABLE (SERP not pulled for this market)</t>
        </is>
      </c>
      <c r="L203" t="n">
        <v>6</v>
      </c>
      <c r="M203">
        <f>ROUND(IF(IF(I203="NOT AVAILABLE","",I203)="",12,IF(OR(ISNUMBER(SEARCH("Transactional",IF(I203="NOT AVAILABLE","",I203))),ISNUMBER(SEARCH("Commercial",IF(I203="NOT AVAILABLE","",I203)))),25,IF(ISNUMBER(SEARCH("Informational",IF(I203="NOT AVAILABLE","",I203))),10,IF(ISNUMBER(SEARCH("Navigational",IF(I203="NOT AVAILABLE","",I203))),0,12))))+IF(ISNUMBER(F203),MIN(30,ROUND(30*LOG10(F203+1)/4,1)),0)+IF(ISNUMBER(G203),ROUND(25*(100-G203)/100,1),12.5)+L203,0)</f>
        <v/>
      </c>
      <c r="N203" s="5" t="inlineStr">
        <is>
          <t>Low volume - supporting only</t>
        </is>
      </c>
    </row>
    <row r="204">
      <c r="A204" t="inlineStr">
        <is>
          <t>Tunisia</t>
        </is>
      </c>
      <c r="B204" t="inlineStr">
        <is>
          <t>tn</t>
        </is>
      </c>
      <c r="C204" t="inlineStr">
        <is>
          <t>fr</t>
        </is>
      </c>
      <c r="D204" s="3" t="inlineStr">
        <is>
          <t>https://codesommet.com/web-development-company/worldwide</t>
        </is>
      </c>
      <c r="E204" t="inlineStr">
        <is>
          <t>site internet professionnel</t>
        </is>
      </c>
      <c r="F204" t="inlineStr">
        <is>
          <t>NOT AVAILABLE</t>
        </is>
      </c>
      <c r="G204" t="inlineStr">
        <is>
          <t>NOT AVAILABLE</t>
        </is>
      </c>
      <c r="H204" t="inlineStr">
        <is>
          <t>NOT AVAILABLE</t>
        </is>
      </c>
      <c r="I204" t="inlineStr">
        <is>
          <t>NOT AVAILABLE</t>
        </is>
      </c>
      <c r="J204" t="inlineStr">
        <is>
          <t>UNAVAILABLE</t>
        </is>
      </c>
      <c r="K204" s="5" t="inlineStr">
        <is>
          <t>NOT AVAILABLE (SERP not pulled for this market)</t>
        </is>
      </c>
      <c r="L204" t="n">
        <v>6</v>
      </c>
      <c r="M204">
        <f>ROUND(IF(IF(I204="NOT AVAILABLE","",I204)="",12,IF(OR(ISNUMBER(SEARCH("Transactional",IF(I204="NOT AVAILABLE","",I204))),ISNUMBER(SEARCH("Commercial",IF(I204="NOT AVAILABLE","",I204)))),25,IF(ISNUMBER(SEARCH("Informational",IF(I204="NOT AVAILABLE","",I204))),10,IF(ISNUMBER(SEARCH("Navigational",IF(I204="NOT AVAILABLE","",I204))),0,12))))+IF(ISNUMBER(F204),MIN(30,ROUND(30*LOG10(F204+1)/4,1)),0)+IF(ISNUMBER(G204),ROUND(25*(100-G204)/100,1),12.5)+L204,0)</f>
        <v/>
      </c>
      <c r="N204" s="5" t="inlineStr">
        <is>
          <t>No data in this database - do not prioritise</t>
        </is>
      </c>
    </row>
    <row r="205">
      <c r="A205" t="inlineStr">
        <is>
          <t>Tunisia</t>
        </is>
      </c>
      <c r="B205" t="inlineStr">
        <is>
          <t>tn</t>
        </is>
      </c>
      <c r="C205" t="inlineStr">
        <is>
          <t>fr</t>
        </is>
      </c>
      <c r="D205" s="3" t="inlineStr">
        <is>
          <t>https://codesommet.com/web-development-company/worldwide</t>
        </is>
      </c>
      <c r="E205" t="inlineStr">
        <is>
          <t>webdesigner</t>
        </is>
      </c>
      <c r="F205" t="n">
        <v>30</v>
      </c>
      <c r="G205" t="inlineStr">
        <is>
          <t>NOT AVAILABLE</t>
        </is>
      </c>
      <c r="H205" t="n">
        <v>0</v>
      </c>
      <c r="I205" t="inlineStr">
        <is>
          <t>NOT AVAILABLE</t>
        </is>
      </c>
      <c r="J205" t="inlineStr">
        <is>
          <t>MEASURED</t>
        </is>
      </c>
      <c r="K205" s="5" t="inlineStr">
        <is>
          <t>NOT AVAILABLE (SERP not pulled for this market)</t>
        </is>
      </c>
      <c r="L205" t="n">
        <v>6</v>
      </c>
      <c r="M205">
        <f>ROUND(IF(IF(I205="NOT AVAILABLE","",I205)="",12,IF(OR(ISNUMBER(SEARCH("Transactional",IF(I205="NOT AVAILABLE","",I205))),ISNUMBER(SEARCH("Commercial",IF(I205="NOT AVAILABLE","",I205)))),25,IF(ISNUMBER(SEARCH("Informational",IF(I205="NOT AVAILABLE","",I205))),10,IF(ISNUMBER(SEARCH("Navigational",IF(I205="NOT AVAILABLE","",I205))),0,12))))+IF(ISNUMBER(F205),MIN(30,ROUND(30*LOG10(F205+1)/4,1)),0)+IF(ISNUMBER(G205),ROUND(25*(100-G205)/100,1),12.5)+L205,0)</f>
        <v/>
      </c>
      <c r="N205" s="5" t="inlineStr">
        <is>
          <t>Low volume - supporting only</t>
        </is>
      </c>
    </row>
    <row r="206">
      <c r="A206" t="inlineStr">
        <is>
          <t>Tunisia</t>
        </is>
      </c>
      <c r="B206" t="inlineStr">
        <is>
          <t>tn</t>
        </is>
      </c>
      <c r="C206" t="inlineStr">
        <is>
          <t>fr</t>
        </is>
      </c>
      <c r="D206" s="3" t="inlineStr">
        <is>
          <t>https://codesommet.com/web-development-company/worldwide</t>
        </is>
      </c>
      <c r="E206" t="inlineStr">
        <is>
          <t>agence web pas cher</t>
        </is>
      </c>
      <c r="F206" t="n">
        <v>0</v>
      </c>
      <c r="G206" t="inlineStr">
        <is>
          <t>NOT AVAILABLE</t>
        </is>
      </c>
      <c r="H206" t="n">
        <v>0</v>
      </c>
      <c r="I206" t="inlineStr">
        <is>
          <t>NOT AVAILABLE</t>
        </is>
      </c>
      <c r="J206" t="inlineStr">
        <is>
          <t>MEASURED</t>
        </is>
      </c>
      <c r="K206" s="5" t="inlineStr">
        <is>
          <t>NOT AVAILABLE (SERP not pulled for this market)</t>
        </is>
      </c>
      <c r="L206" t="n">
        <v>6</v>
      </c>
      <c r="M206">
        <f>ROUND(IF(IF(I206="NOT AVAILABLE","",I206)="",12,IF(OR(ISNUMBER(SEARCH("Transactional",IF(I206="NOT AVAILABLE","",I206))),ISNUMBER(SEARCH("Commercial",IF(I206="NOT AVAILABLE","",I206)))),25,IF(ISNUMBER(SEARCH("Informational",IF(I206="NOT AVAILABLE","",I206))),10,IF(ISNUMBER(SEARCH("Navigational",IF(I206="NOT AVAILABLE","",I206))),0,12))))+IF(ISNUMBER(F206),MIN(30,ROUND(30*LOG10(F206+1)/4,1)),0)+IF(ISNUMBER(G206),ROUND(25*(100-G206)/100,1),12.5)+L206,0)</f>
        <v/>
      </c>
      <c r="N206" s="5" t="inlineStr">
        <is>
          <t>Measured zero - do not target</t>
        </is>
      </c>
    </row>
    <row r="207">
      <c r="A207" t="inlineStr">
        <is>
          <t>Tunisia</t>
        </is>
      </c>
      <c r="B207" t="inlineStr">
        <is>
          <t>tn</t>
        </is>
      </c>
      <c r="C207" t="inlineStr">
        <is>
          <t>fr</t>
        </is>
      </c>
      <c r="D207" t="inlineStr">
        <is>
          <t>(no page - see recommendation)</t>
        </is>
      </c>
      <c r="E207" t="inlineStr">
        <is>
          <t>agence web tunisie</t>
        </is>
      </c>
      <c r="F207" t="n">
        <v>880</v>
      </c>
      <c r="G207" t="n">
        <v>9</v>
      </c>
      <c r="H207" t="n">
        <v>0.48</v>
      </c>
      <c r="I207" t="inlineStr">
        <is>
          <t>Commercial</t>
        </is>
      </c>
      <c r="J207" t="inlineStr">
        <is>
          <t>MEASURED</t>
        </is>
      </c>
      <c r="K207" s="5" t="inlineStr">
        <is>
          <t>NOT AVAILABLE (SERP not pulled for this market)</t>
        </is>
      </c>
      <c r="L207" t="n">
        <v>6</v>
      </c>
      <c r="M207">
        <f>ROUND(IF(IF(I207="NOT AVAILABLE","",I207)="",12,IF(OR(ISNUMBER(SEARCH("Transactional",IF(I207="NOT AVAILABLE","",I207))),ISNUMBER(SEARCH("Commercial",IF(I207="NOT AVAILABLE","",I207)))),25,IF(ISNUMBER(SEARCH("Informational",IF(I207="NOT AVAILABLE","",I207))),10,IF(ISNUMBER(SEARCH("Navigational",IF(I207="NOT AVAILABLE","",I207))),0,12))))+IF(ISNUMBER(F207),MIN(30,ROUND(30*LOG10(F207+1)/4,1)),0)+IF(ISNUMBER(G207),ROUND(25*(100-G207)/100,1),12.5)+L207,0)</f>
        <v/>
      </c>
      <c r="N207" s="5" t="inlineStr">
        <is>
          <t>Opportunity: realistic volume at low KD - target via existing page section</t>
        </is>
      </c>
    </row>
    <row r="208">
      <c r="A208" t="inlineStr">
        <is>
          <t>Tunisia</t>
        </is>
      </c>
      <c r="B208" t="inlineStr">
        <is>
          <t>tn</t>
        </is>
      </c>
      <c r="C208" t="inlineStr">
        <is>
          <t>fr</t>
        </is>
      </c>
      <c r="D208" t="inlineStr">
        <is>
          <t>(no page - see recommendation)</t>
        </is>
      </c>
      <c r="E208" t="inlineStr">
        <is>
          <t>création site web tunisie</t>
        </is>
      </c>
      <c r="F208" t="n">
        <v>170</v>
      </c>
      <c r="G208" t="n">
        <v>29</v>
      </c>
      <c r="H208" t="n">
        <v>0.93</v>
      </c>
      <c r="I208" t="inlineStr">
        <is>
          <t>Informational</t>
        </is>
      </c>
      <c r="J208" t="inlineStr">
        <is>
          <t>MEASURED</t>
        </is>
      </c>
      <c r="K208" s="5" t="inlineStr">
        <is>
          <t>NOT AVAILABLE (SERP not pulled for this market)</t>
        </is>
      </c>
      <c r="L208" t="n">
        <v>6</v>
      </c>
      <c r="M208">
        <f>ROUND(IF(IF(I208="NOT AVAILABLE","",I208)="",12,IF(OR(ISNUMBER(SEARCH("Transactional",IF(I208="NOT AVAILABLE","",I208))),ISNUMBER(SEARCH("Commercial",IF(I208="NOT AVAILABLE","",I208)))),25,IF(ISNUMBER(SEARCH("Informational",IF(I208="NOT AVAILABLE","",I208))),10,IF(ISNUMBER(SEARCH("Navigational",IF(I208="NOT AVAILABLE","",I208))),0,12))))+IF(ISNUMBER(F208),MIN(30,ROUND(30*LOG10(F208+1)/4,1)),0)+IF(ISNUMBER(G208),ROUND(25*(100-G208)/100,1),12.5)+L208,0)</f>
        <v/>
      </c>
      <c r="N208" s="5" t="inlineStr">
        <is>
          <t>Moderate opportunity - test with existing page before creating anything</t>
        </is>
      </c>
    </row>
    <row r="209">
      <c r="A209" t="inlineStr">
        <is>
          <t>Tunisia</t>
        </is>
      </c>
      <c r="B209" t="inlineStr">
        <is>
          <t>tn</t>
        </is>
      </c>
      <c r="C209" t="inlineStr">
        <is>
          <t>fr</t>
        </is>
      </c>
      <c r="D209" s="3" t="inlineStr">
        <is>
          <t>https://codesommet.com/web-development-company/tunis</t>
        </is>
      </c>
      <c r="E209" t="inlineStr">
        <is>
          <t>agence web tunis</t>
        </is>
      </c>
      <c r="F209" t="n">
        <v>20</v>
      </c>
      <c r="G209" t="inlineStr">
        <is>
          <t>NOT AVAILABLE</t>
        </is>
      </c>
      <c r="H209" t="n">
        <v>0</v>
      </c>
      <c r="I209" t="inlineStr">
        <is>
          <t>NOT AVAILABLE</t>
        </is>
      </c>
      <c r="J209" t="inlineStr">
        <is>
          <t>MEASURED</t>
        </is>
      </c>
      <c r="K209" s="5" t="inlineStr">
        <is>
          <t>NOT AVAILABLE (SERP not pulled for this market)</t>
        </is>
      </c>
      <c r="L209" t="n">
        <v>6</v>
      </c>
      <c r="M209">
        <f>ROUND(IF(IF(I209="NOT AVAILABLE","",I209)="",12,IF(OR(ISNUMBER(SEARCH("Transactional",IF(I209="NOT AVAILABLE","",I209))),ISNUMBER(SEARCH("Commercial",IF(I209="NOT AVAILABLE","",I209)))),25,IF(ISNUMBER(SEARCH("Informational",IF(I209="NOT AVAILABLE","",I209))),10,IF(ISNUMBER(SEARCH("Navigational",IF(I209="NOT AVAILABLE","",I209))),0,12))))+IF(ISNUMBER(F209),MIN(30,ROUND(30*LOG10(F209+1)/4,1)),0)+IF(ISNUMBER(G209),ROUND(25*(100-G209)/100,1),12.5)+L209,0)</f>
        <v/>
      </c>
      <c r="N209" s="5" t="inlineStr">
        <is>
          <t>Low volume - supporting only</t>
        </is>
      </c>
    </row>
    <row r="210">
      <c r="A210" t="inlineStr">
        <is>
          <t>Tunisia</t>
        </is>
      </c>
      <c r="B210" t="inlineStr">
        <is>
          <t>tn</t>
        </is>
      </c>
      <c r="C210" t="inlineStr">
        <is>
          <t>fr</t>
        </is>
      </c>
      <c r="D210" t="inlineStr">
        <is>
          <t>(no page - see recommendation)</t>
        </is>
      </c>
      <c r="E210" t="inlineStr">
        <is>
          <t>développement web tunisie</t>
        </is>
      </c>
      <c r="F210" t="n">
        <v>260</v>
      </c>
      <c r="G210" t="n">
        <v>18</v>
      </c>
      <c r="H210" t="n">
        <v>0</v>
      </c>
      <c r="I210" t="inlineStr">
        <is>
          <t>Commercial</t>
        </is>
      </c>
      <c r="J210" t="inlineStr">
        <is>
          <t>MEASURED</t>
        </is>
      </c>
      <c r="K210" s="5" t="inlineStr">
        <is>
          <t>NOT AVAILABLE (SERP not pulled for this market)</t>
        </is>
      </c>
      <c r="L210" t="n">
        <v>6</v>
      </c>
      <c r="M210">
        <f>ROUND(IF(IF(I210="NOT AVAILABLE","",I210)="",12,IF(OR(ISNUMBER(SEARCH("Transactional",IF(I210="NOT AVAILABLE","",I210))),ISNUMBER(SEARCH("Commercial",IF(I210="NOT AVAILABLE","",I210)))),25,IF(ISNUMBER(SEARCH("Informational",IF(I210="NOT AVAILABLE","",I210))),10,IF(ISNUMBER(SEARCH("Navigational",IF(I210="NOT AVAILABLE","",I210))),0,12))))+IF(ISNUMBER(F210),MIN(30,ROUND(30*LOG10(F210+1)/4,1)),0)+IF(ISNUMBER(G210),ROUND(25*(100-G210)/100,1),12.5)+L210,0)</f>
        <v/>
      </c>
      <c r="N210" s="5" t="inlineStr">
        <is>
          <t>Opportunity: realistic volume at low KD - target via existing page section</t>
        </is>
      </c>
    </row>
    <row r="211">
      <c r="A211" t="inlineStr">
        <is>
          <t>Senegal</t>
        </is>
      </c>
      <c r="B211" t="inlineStr">
        <is>
          <t>sn</t>
        </is>
      </c>
      <c r="C211" t="inlineStr">
        <is>
          <t>fr</t>
        </is>
      </c>
      <c r="D211" s="3" t="inlineStr">
        <is>
          <t>https://codesommet.com/web-development-company/worldwide</t>
        </is>
      </c>
      <c r="E211" t="inlineStr">
        <is>
          <t>agence web</t>
        </is>
      </c>
      <c r="F211" t="n">
        <v>30</v>
      </c>
      <c r="G211" t="n">
        <v>17</v>
      </c>
      <c r="H211" t="n">
        <v>0</v>
      </c>
      <c r="I211" t="inlineStr">
        <is>
          <t>Commercial</t>
        </is>
      </c>
      <c r="J211" t="inlineStr">
        <is>
          <t>MEASURED</t>
        </is>
      </c>
      <c r="K211" s="5" t="inlineStr">
        <is>
          <t>NOT AVAILABLE (SERP not pulled for this market)</t>
        </is>
      </c>
      <c r="L211" t="n">
        <v>6</v>
      </c>
      <c r="M211">
        <f>ROUND(IF(IF(I211="NOT AVAILABLE","",I211)="",12,IF(OR(ISNUMBER(SEARCH("Transactional",IF(I211="NOT AVAILABLE","",I211))),ISNUMBER(SEARCH("Commercial",IF(I211="NOT AVAILABLE","",I211)))),25,IF(ISNUMBER(SEARCH("Informational",IF(I211="NOT AVAILABLE","",I211))),10,IF(ISNUMBER(SEARCH("Navigational",IF(I211="NOT AVAILABLE","",I211))),0,12))))+IF(ISNUMBER(F211),MIN(30,ROUND(30*LOG10(F211+1)/4,1)),0)+IF(ISNUMBER(G211),ROUND(25*(100-G211)/100,1),12.5)+L211,0)</f>
        <v/>
      </c>
      <c r="N211" s="5" t="inlineStr">
        <is>
          <t>Low volume - supporting only</t>
        </is>
      </c>
    </row>
    <row r="212">
      <c r="A212" t="inlineStr">
        <is>
          <t>Senegal</t>
        </is>
      </c>
      <c r="B212" t="inlineStr">
        <is>
          <t>sn</t>
        </is>
      </c>
      <c r="C212" t="inlineStr">
        <is>
          <t>fr</t>
        </is>
      </c>
      <c r="D212" s="3" t="inlineStr">
        <is>
          <t>https://codesommet.com/web-development-company/worldwide</t>
        </is>
      </c>
      <c r="E212" t="inlineStr">
        <is>
          <t>création site web</t>
        </is>
      </c>
      <c r="F212" t="n">
        <v>20</v>
      </c>
      <c r="G212" t="inlineStr">
        <is>
          <t>NOT AVAILABLE</t>
        </is>
      </c>
      <c r="H212" t="n">
        <v>0.5600000000000001</v>
      </c>
      <c r="I212" t="inlineStr">
        <is>
          <t>NOT AVAILABLE</t>
        </is>
      </c>
      <c r="J212" t="inlineStr">
        <is>
          <t>MEASURED</t>
        </is>
      </c>
      <c r="K212" s="5" t="inlineStr">
        <is>
          <t>NOT AVAILABLE (SERP not pulled for this market)</t>
        </is>
      </c>
      <c r="L212" t="n">
        <v>6</v>
      </c>
      <c r="M212">
        <f>ROUND(IF(IF(I212="NOT AVAILABLE","",I212)="",12,IF(OR(ISNUMBER(SEARCH("Transactional",IF(I212="NOT AVAILABLE","",I212))),ISNUMBER(SEARCH("Commercial",IF(I212="NOT AVAILABLE","",I212)))),25,IF(ISNUMBER(SEARCH("Informational",IF(I212="NOT AVAILABLE","",I212))),10,IF(ISNUMBER(SEARCH("Navigational",IF(I212="NOT AVAILABLE","",I212))),0,12))))+IF(ISNUMBER(F212),MIN(30,ROUND(30*LOG10(F212+1)/4,1)),0)+IF(ISNUMBER(G212),ROUND(25*(100-G212)/100,1),12.5)+L212,0)</f>
        <v/>
      </c>
      <c r="N212" s="5" t="inlineStr">
        <is>
          <t>Low volume - supporting only</t>
        </is>
      </c>
    </row>
    <row r="213">
      <c r="A213" t="inlineStr">
        <is>
          <t>Senegal</t>
        </is>
      </c>
      <c r="B213" t="inlineStr">
        <is>
          <t>sn</t>
        </is>
      </c>
      <c r="C213" t="inlineStr">
        <is>
          <t>fr</t>
        </is>
      </c>
      <c r="D213" s="3" t="inlineStr">
        <is>
          <t>https://codesommet.com/web-development-company/worldwide</t>
        </is>
      </c>
      <c r="E213" t="inlineStr">
        <is>
          <t>création site internet</t>
        </is>
      </c>
      <c r="F213" t="n">
        <v>20</v>
      </c>
      <c r="G213" t="inlineStr">
        <is>
          <t>NOT AVAILABLE</t>
        </is>
      </c>
      <c r="H213" t="n">
        <v>0.44</v>
      </c>
      <c r="I213" t="inlineStr">
        <is>
          <t>NOT AVAILABLE</t>
        </is>
      </c>
      <c r="J213" t="inlineStr">
        <is>
          <t>MEASURED</t>
        </is>
      </c>
      <c r="K213" s="5" t="inlineStr">
        <is>
          <t>NOT AVAILABLE (SERP not pulled for this market)</t>
        </is>
      </c>
      <c r="L213" t="n">
        <v>6</v>
      </c>
      <c r="M213">
        <f>ROUND(IF(IF(I213="NOT AVAILABLE","",I213)="",12,IF(OR(ISNUMBER(SEARCH("Transactional",IF(I213="NOT AVAILABLE","",I213))),ISNUMBER(SEARCH("Commercial",IF(I213="NOT AVAILABLE","",I213)))),25,IF(ISNUMBER(SEARCH("Informational",IF(I213="NOT AVAILABLE","",I213))),10,IF(ISNUMBER(SEARCH("Navigational",IF(I213="NOT AVAILABLE","",I213))),0,12))))+IF(ISNUMBER(F213),MIN(30,ROUND(30*LOG10(F213+1)/4,1)),0)+IF(ISNUMBER(G213),ROUND(25*(100-G213)/100,1),12.5)+L213,0)</f>
        <v/>
      </c>
      <c r="N213" s="5" t="inlineStr">
        <is>
          <t>Low volume - supporting only</t>
        </is>
      </c>
    </row>
    <row r="214">
      <c r="A214" t="inlineStr">
        <is>
          <t>Senegal</t>
        </is>
      </c>
      <c r="B214" t="inlineStr">
        <is>
          <t>sn</t>
        </is>
      </c>
      <c r="C214" t="inlineStr">
        <is>
          <t>fr</t>
        </is>
      </c>
      <c r="D214" s="3" t="inlineStr">
        <is>
          <t>https://codesommet.com/web-development-company/worldwide</t>
        </is>
      </c>
      <c r="E214" t="inlineStr">
        <is>
          <t>création site e-commerce</t>
        </is>
      </c>
      <c r="F214" t="n">
        <v>20</v>
      </c>
      <c r="G214" t="inlineStr">
        <is>
          <t>NOT AVAILABLE</t>
        </is>
      </c>
      <c r="H214" t="n">
        <v>0</v>
      </c>
      <c r="I214" t="inlineStr">
        <is>
          <t>NOT AVAILABLE</t>
        </is>
      </c>
      <c r="J214" t="inlineStr">
        <is>
          <t>MEASURED</t>
        </is>
      </c>
      <c r="K214" s="5" t="inlineStr">
        <is>
          <t>NOT AVAILABLE (SERP not pulled for this market)</t>
        </is>
      </c>
      <c r="L214" t="n">
        <v>6</v>
      </c>
      <c r="M214">
        <f>ROUND(IF(IF(I214="NOT AVAILABLE","",I214)="",12,IF(OR(ISNUMBER(SEARCH("Transactional",IF(I214="NOT AVAILABLE","",I214))),ISNUMBER(SEARCH("Commercial",IF(I214="NOT AVAILABLE","",I214)))),25,IF(ISNUMBER(SEARCH("Informational",IF(I214="NOT AVAILABLE","",I214))),10,IF(ISNUMBER(SEARCH("Navigational",IF(I214="NOT AVAILABLE","",I214))),0,12))))+IF(ISNUMBER(F214),MIN(30,ROUND(30*LOG10(F214+1)/4,1)),0)+IF(ISNUMBER(G214),ROUND(25*(100-G214)/100,1),12.5)+L214,0)</f>
        <v/>
      </c>
      <c r="N214" s="5" t="inlineStr">
        <is>
          <t>Low volume - supporting only</t>
        </is>
      </c>
    </row>
    <row r="215">
      <c r="A215" t="inlineStr">
        <is>
          <t>Senegal</t>
        </is>
      </c>
      <c r="B215" t="inlineStr">
        <is>
          <t>sn</t>
        </is>
      </c>
      <c r="C215" t="inlineStr">
        <is>
          <t>fr</t>
        </is>
      </c>
      <c r="D215" s="3" t="inlineStr">
        <is>
          <t>https://codesommet.com/web-development-company/worldwide</t>
        </is>
      </c>
      <c r="E215" t="inlineStr">
        <is>
          <t>agence de développement web</t>
        </is>
      </c>
      <c r="F215" t="n">
        <v>20</v>
      </c>
      <c r="G215" t="inlineStr">
        <is>
          <t>NOT AVAILABLE</t>
        </is>
      </c>
      <c r="H215" t="n">
        <v>0</v>
      </c>
      <c r="I215" t="inlineStr">
        <is>
          <t>NOT AVAILABLE</t>
        </is>
      </c>
      <c r="J215" t="inlineStr">
        <is>
          <t>MEASURED</t>
        </is>
      </c>
      <c r="K215" s="5" t="inlineStr">
        <is>
          <t>NOT AVAILABLE (SERP not pulled for this market)</t>
        </is>
      </c>
      <c r="L215" t="n">
        <v>6</v>
      </c>
      <c r="M215">
        <f>ROUND(IF(IF(I215="NOT AVAILABLE","",I215)="",12,IF(OR(ISNUMBER(SEARCH("Transactional",IF(I215="NOT AVAILABLE","",I215))),ISNUMBER(SEARCH("Commercial",IF(I215="NOT AVAILABLE","",I215)))),25,IF(ISNUMBER(SEARCH("Informational",IF(I215="NOT AVAILABLE","",I215))),10,IF(ISNUMBER(SEARCH("Navigational",IF(I215="NOT AVAILABLE","",I215))),0,12))))+IF(ISNUMBER(F215),MIN(30,ROUND(30*LOG10(F215+1)/4,1)),0)+IF(ISNUMBER(G215),ROUND(25*(100-G215)/100,1),12.5)+L215,0)</f>
        <v/>
      </c>
      <c r="N215" s="5" t="inlineStr">
        <is>
          <t>Low volume - supporting only</t>
        </is>
      </c>
    </row>
    <row r="216">
      <c r="A216" t="inlineStr">
        <is>
          <t>Senegal</t>
        </is>
      </c>
      <c r="B216" t="inlineStr">
        <is>
          <t>sn</t>
        </is>
      </c>
      <c r="C216" t="inlineStr">
        <is>
          <t>fr</t>
        </is>
      </c>
      <c r="D216" s="3" t="inlineStr">
        <is>
          <t>https://codesommet.com/web-development-company/worldwide</t>
        </is>
      </c>
      <c r="E216" t="inlineStr">
        <is>
          <t>développement web sur mesure</t>
        </is>
      </c>
      <c r="F216" t="inlineStr">
        <is>
          <t>NOT AVAILABLE</t>
        </is>
      </c>
      <c r="G216" t="inlineStr">
        <is>
          <t>NOT AVAILABLE</t>
        </is>
      </c>
      <c r="H216" t="inlineStr">
        <is>
          <t>NOT AVAILABLE</t>
        </is>
      </c>
      <c r="I216" t="inlineStr">
        <is>
          <t>NOT AVAILABLE</t>
        </is>
      </c>
      <c r="J216" t="inlineStr">
        <is>
          <t>UNAVAILABLE</t>
        </is>
      </c>
      <c r="K216" s="5" t="inlineStr">
        <is>
          <t>NOT AVAILABLE (SERP not pulled for this market)</t>
        </is>
      </c>
      <c r="L216" t="n">
        <v>6</v>
      </c>
      <c r="M216">
        <f>ROUND(IF(IF(I216="NOT AVAILABLE","",I216)="",12,IF(OR(ISNUMBER(SEARCH("Transactional",IF(I216="NOT AVAILABLE","",I216))),ISNUMBER(SEARCH("Commercial",IF(I216="NOT AVAILABLE","",I216)))),25,IF(ISNUMBER(SEARCH("Informational",IF(I216="NOT AVAILABLE","",I216))),10,IF(ISNUMBER(SEARCH("Navigational",IF(I216="NOT AVAILABLE","",I216))),0,12))))+IF(ISNUMBER(F216),MIN(30,ROUND(30*LOG10(F216+1)/4,1)),0)+IF(ISNUMBER(G216),ROUND(25*(100-G216)/100,1),12.5)+L216,0)</f>
        <v/>
      </c>
      <c r="N216" s="5" t="inlineStr">
        <is>
          <t>No data in this database - do not prioritise</t>
        </is>
      </c>
    </row>
    <row r="217">
      <c r="A217" t="inlineStr">
        <is>
          <t>Senegal</t>
        </is>
      </c>
      <c r="B217" t="inlineStr">
        <is>
          <t>sn</t>
        </is>
      </c>
      <c r="C217" t="inlineStr">
        <is>
          <t>fr</t>
        </is>
      </c>
      <c r="D217" s="3" t="inlineStr">
        <is>
          <t>https://codesommet.com/web-development-company/worldwide</t>
        </is>
      </c>
      <c r="E217" t="inlineStr">
        <is>
          <t>développement application web</t>
        </is>
      </c>
      <c r="F217" t="n">
        <v>10</v>
      </c>
      <c r="G217" t="inlineStr">
        <is>
          <t>NOT AVAILABLE</t>
        </is>
      </c>
      <c r="H217" t="n">
        <v>0</v>
      </c>
      <c r="I217" t="inlineStr">
        <is>
          <t>NOT AVAILABLE</t>
        </is>
      </c>
      <c r="J217" t="inlineStr">
        <is>
          <t>MEASURED</t>
        </is>
      </c>
      <c r="K217" s="5" t="inlineStr">
        <is>
          <t>NOT AVAILABLE (SERP not pulled for this market)</t>
        </is>
      </c>
      <c r="L217" t="n">
        <v>6</v>
      </c>
      <c r="M217">
        <f>ROUND(IF(IF(I217="NOT AVAILABLE","",I217)="",12,IF(OR(ISNUMBER(SEARCH("Transactional",IF(I217="NOT AVAILABLE","",I217))),ISNUMBER(SEARCH("Commercial",IF(I217="NOT AVAILABLE","",I217)))),25,IF(ISNUMBER(SEARCH("Informational",IF(I217="NOT AVAILABLE","",I217))),10,IF(ISNUMBER(SEARCH("Navigational",IF(I217="NOT AVAILABLE","",I217))),0,12))))+IF(ISNUMBER(F217),MIN(30,ROUND(30*LOG10(F217+1)/4,1)),0)+IF(ISNUMBER(G217),ROUND(25*(100-G217)/100,1),12.5)+L217,0)</f>
        <v/>
      </c>
      <c r="N217" s="5" t="inlineStr">
        <is>
          <t>Low volume - supporting only</t>
        </is>
      </c>
    </row>
    <row r="218">
      <c r="A218" t="inlineStr">
        <is>
          <t>Senegal</t>
        </is>
      </c>
      <c r="B218" t="inlineStr">
        <is>
          <t>sn</t>
        </is>
      </c>
      <c r="C218" t="inlineStr">
        <is>
          <t>fr</t>
        </is>
      </c>
      <c r="D218" s="3" t="inlineStr">
        <is>
          <t>https://codesommet.com/web-development-company/worldwide</t>
        </is>
      </c>
      <c r="E218" t="inlineStr">
        <is>
          <t>agence seo</t>
        </is>
      </c>
      <c r="F218" t="n">
        <v>20</v>
      </c>
      <c r="G218" t="inlineStr">
        <is>
          <t>NOT AVAILABLE</t>
        </is>
      </c>
      <c r="H218" t="n">
        <v>0</v>
      </c>
      <c r="I218" t="inlineStr">
        <is>
          <t>NOT AVAILABLE</t>
        </is>
      </c>
      <c r="J218" t="inlineStr">
        <is>
          <t>MEASURED</t>
        </is>
      </c>
      <c r="K218" s="5" t="inlineStr">
        <is>
          <t>NOT AVAILABLE (SERP not pulled for this market)</t>
        </is>
      </c>
      <c r="L218" t="n">
        <v>6</v>
      </c>
      <c r="M218">
        <f>ROUND(IF(IF(I218="NOT AVAILABLE","",I218)="",12,IF(OR(ISNUMBER(SEARCH("Transactional",IF(I218="NOT AVAILABLE","",I218))),ISNUMBER(SEARCH("Commercial",IF(I218="NOT AVAILABLE","",I218)))),25,IF(ISNUMBER(SEARCH("Informational",IF(I218="NOT AVAILABLE","",I218))),10,IF(ISNUMBER(SEARCH("Navigational",IF(I218="NOT AVAILABLE","",I218))),0,12))))+IF(ISNUMBER(F218),MIN(30,ROUND(30*LOG10(F218+1)/4,1)),0)+IF(ISNUMBER(G218),ROUND(25*(100-G218)/100,1),12.5)+L218,0)</f>
        <v/>
      </c>
      <c r="N218" s="5" t="inlineStr">
        <is>
          <t>Low volume - supporting only</t>
        </is>
      </c>
    </row>
    <row r="219">
      <c r="A219" t="inlineStr">
        <is>
          <t>Senegal</t>
        </is>
      </c>
      <c r="B219" t="inlineStr">
        <is>
          <t>sn</t>
        </is>
      </c>
      <c r="C219" t="inlineStr">
        <is>
          <t>fr</t>
        </is>
      </c>
      <c r="D219" s="3" t="inlineStr">
        <is>
          <t>https://codesommet.com/web-development-company/worldwide</t>
        </is>
      </c>
      <c r="E219" t="inlineStr">
        <is>
          <t>référencement naturel</t>
        </is>
      </c>
      <c r="F219" t="n">
        <v>40</v>
      </c>
      <c r="G219" t="n">
        <v>47</v>
      </c>
      <c r="H219" t="n">
        <v>0</v>
      </c>
      <c r="I219" t="inlineStr">
        <is>
          <t>Informational</t>
        </is>
      </c>
      <c r="J219" t="inlineStr">
        <is>
          <t>MEASURED</t>
        </is>
      </c>
      <c r="K219" s="5" t="inlineStr">
        <is>
          <t>NOT AVAILABLE (SERP not pulled for this market)</t>
        </is>
      </c>
      <c r="L219" t="n">
        <v>6</v>
      </c>
      <c r="M219">
        <f>ROUND(IF(IF(I219="NOT AVAILABLE","",I219)="",12,IF(OR(ISNUMBER(SEARCH("Transactional",IF(I219="NOT AVAILABLE","",I219))),ISNUMBER(SEARCH("Commercial",IF(I219="NOT AVAILABLE","",I219)))),25,IF(ISNUMBER(SEARCH("Informational",IF(I219="NOT AVAILABLE","",I219))),10,IF(ISNUMBER(SEARCH("Navigational",IF(I219="NOT AVAILABLE","",I219))),0,12))))+IF(ISNUMBER(F219),MIN(30,ROUND(30*LOG10(F219+1)/4,1)),0)+IF(ISNUMBER(G219),ROUND(25*(100-G219)/100,1),12.5)+L219,0)</f>
        <v/>
      </c>
      <c r="N219" s="5" t="inlineStr">
        <is>
          <t>Low volume - supporting only</t>
        </is>
      </c>
    </row>
    <row r="220">
      <c r="A220" t="inlineStr">
        <is>
          <t>Senegal</t>
        </is>
      </c>
      <c r="B220" t="inlineStr">
        <is>
          <t>sn</t>
        </is>
      </c>
      <c r="C220" t="inlineStr">
        <is>
          <t>fr</t>
        </is>
      </c>
      <c r="D220" s="3" t="inlineStr">
        <is>
          <t>https://codesommet.com/web-development-company/worldwide</t>
        </is>
      </c>
      <c r="E220" t="inlineStr">
        <is>
          <t>agence web offshore</t>
        </is>
      </c>
      <c r="F220" t="n">
        <v>0</v>
      </c>
      <c r="G220" t="inlineStr">
        <is>
          <t>NOT AVAILABLE</t>
        </is>
      </c>
      <c r="H220" t="n">
        <v>0</v>
      </c>
      <c r="I220" t="inlineStr">
        <is>
          <t>NOT AVAILABLE</t>
        </is>
      </c>
      <c r="J220" t="inlineStr">
        <is>
          <t>MEASURED</t>
        </is>
      </c>
      <c r="K220" s="5" t="inlineStr">
        <is>
          <t>NOT AVAILABLE (SERP not pulled for this market)</t>
        </is>
      </c>
      <c r="L220" t="n">
        <v>6</v>
      </c>
      <c r="M220">
        <f>ROUND(IF(IF(I220="NOT AVAILABLE","",I220)="",12,IF(OR(ISNUMBER(SEARCH("Transactional",IF(I220="NOT AVAILABLE","",I220))),ISNUMBER(SEARCH("Commercial",IF(I220="NOT AVAILABLE","",I220)))),25,IF(ISNUMBER(SEARCH("Informational",IF(I220="NOT AVAILABLE","",I220))),10,IF(ISNUMBER(SEARCH("Navigational",IF(I220="NOT AVAILABLE","",I220))),0,12))))+IF(ISNUMBER(F220),MIN(30,ROUND(30*LOG10(F220+1)/4,1)),0)+IF(ISNUMBER(G220),ROUND(25*(100-G220)/100,1),12.5)+L220,0)</f>
        <v/>
      </c>
      <c r="N220" s="5" t="inlineStr">
        <is>
          <t>Measured zero - do not target</t>
        </is>
      </c>
    </row>
    <row r="221">
      <c r="A221" t="inlineStr">
        <is>
          <t>Senegal</t>
        </is>
      </c>
      <c r="B221" t="inlineStr">
        <is>
          <t>sn</t>
        </is>
      </c>
      <c r="C221" t="inlineStr">
        <is>
          <t>fr</t>
        </is>
      </c>
      <c r="D221" s="3" t="inlineStr">
        <is>
          <t>https://codesommet.com/web-development-company/worldwide</t>
        </is>
      </c>
      <c r="E221" t="inlineStr">
        <is>
          <t>développeur web freelance</t>
        </is>
      </c>
      <c r="F221" t="n">
        <v>30</v>
      </c>
      <c r="G221" t="inlineStr">
        <is>
          <t>NOT AVAILABLE</t>
        </is>
      </c>
      <c r="H221" t="n">
        <v>0</v>
      </c>
      <c r="I221" t="inlineStr">
        <is>
          <t>NOT AVAILABLE</t>
        </is>
      </c>
      <c r="J221" t="inlineStr">
        <is>
          <t>MEASURED</t>
        </is>
      </c>
      <c r="K221" s="5" t="inlineStr">
        <is>
          <t>NOT AVAILABLE (SERP not pulled for this market)</t>
        </is>
      </c>
      <c r="L221" t="n">
        <v>6</v>
      </c>
      <c r="M221">
        <f>ROUND(IF(IF(I221="NOT AVAILABLE","",I221)="",12,IF(OR(ISNUMBER(SEARCH("Transactional",IF(I221="NOT AVAILABLE","",I221))),ISNUMBER(SEARCH("Commercial",IF(I221="NOT AVAILABLE","",I221)))),25,IF(ISNUMBER(SEARCH("Informational",IF(I221="NOT AVAILABLE","",I221))),10,IF(ISNUMBER(SEARCH("Navigational",IF(I221="NOT AVAILABLE","",I221))),0,12))))+IF(ISNUMBER(F221),MIN(30,ROUND(30*LOG10(F221+1)/4,1)),0)+IF(ISNUMBER(G221),ROUND(25*(100-G221)/100,1),12.5)+L221,0)</f>
        <v/>
      </c>
      <c r="N221" s="5" t="inlineStr">
        <is>
          <t>Low volume - supporting only</t>
        </is>
      </c>
    </row>
    <row r="222">
      <c r="A222" t="inlineStr">
        <is>
          <t>Senegal</t>
        </is>
      </c>
      <c r="B222" t="inlineStr">
        <is>
          <t>sn</t>
        </is>
      </c>
      <c r="C222" t="inlineStr">
        <is>
          <t>fr</t>
        </is>
      </c>
      <c r="D222" s="3" t="inlineStr">
        <is>
          <t>https://codesommet.com/web-development-company/worldwide</t>
        </is>
      </c>
      <c r="E222" t="inlineStr">
        <is>
          <t>prix site web</t>
        </is>
      </c>
      <c r="F222" t="n">
        <v>20</v>
      </c>
      <c r="G222" t="inlineStr">
        <is>
          <t>NOT AVAILABLE</t>
        </is>
      </c>
      <c r="H222" t="n">
        <v>0</v>
      </c>
      <c r="I222" t="inlineStr">
        <is>
          <t>NOT AVAILABLE</t>
        </is>
      </c>
      <c r="J222" t="inlineStr">
        <is>
          <t>MEASURED</t>
        </is>
      </c>
      <c r="K222" s="5" t="inlineStr">
        <is>
          <t>NOT AVAILABLE (SERP not pulled for this market)</t>
        </is>
      </c>
      <c r="L222" t="n">
        <v>6</v>
      </c>
      <c r="M222">
        <f>ROUND(IF(IF(I222="NOT AVAILABLE","",I222)="",12,IF(OR(ISNUMBER(SEARCH("Transactional",IF(I222="NOT AVAILABLE","",I222))),ISNUMBER(SEARCH("Commercial",IF(I222="NOT AVAILABLE","",I222)))),25,IF(ISNUMBER(SEARCH("Informational",IF(I222="NOT AVAILABLE","",I222))),10,IF(ISNUMBER(SEARCH("Navigational",IF(I222="NOT AVAILABLE","",I222))),0,12))))+IF(ISNUMBER(F222),MIN(30,ROUND(30*LOG10(F222+1)/4,1)),0)+IF(ISNUMBER(G222),ROUND(25*(100-G222)/100,1),12.5)+L222,0)</f>
        <v/>
      </c>
      <c r="N222" s="5" t="inlineStr">
        <is>
          <t>Low volume - supporting only</t>
        </is>
      </c>
    </row>
    <row r="223">
      <c r="A223" t="inlineStr">
        <is>
          <t>Senegal</t>
        </is>
      </c>
      <c r="B223" t="inlineStr">
        <is>
          <t>sn</t>
        </is>
      </c>
      <c r="C223" t="inlineStr">
        <is>
          <t>fr</t>
        </is>
      </c>
      <c r="D223" s="3" t="inlineStr">
        <is>
          <t>https://codesommet.com/web-development-company/worldwide</t>
        </is>
      </c>
      <c r="E223" t="inlineStr">
        <is>
          <t>prix création site internet</t>
        </is>
      </c>
      <c r="F223" t="inlineStr">
        <is>
          <t>NOT AVAILABLE</t>
        </is>
      </c>
      <c r="G223" t="inlineStr">
        <is>
          <t>NOT AVAILABLE</t>
        </is>
      </c>
      <c r="H223" t="inlineStr">
        <is>
          <t>NOT AVAILABLE</t>
        </is>
      </c>
      <c r="I223" t="inlineStr">
        <is>
          <t>NOT AVAILABLE</t>
        </is>
      </c>
      <c r="J223" t="inlineStr">
        <is>
          <t>UNAVAILABLE</t>
        </is>
      </c>
      <c r="K223" s="5" t="inlineStr">
        <is>
          <t>NOT AVAILABLE (SERP not pulled for this market)</t>
        </is>
      </c>
      <c r="L223" t="n">
        <v>6</v>
      </c>
      <c r="M223">
        <f>ROUND(IF(IF(I223="NOT AVAILABLE","",I223)="",12,IF(OR(ISNUMBER(SEARCH("Transactional",IF(I223="NOT AVAILABLE","",I223))),ISNUMBER(SEARCH("Commercial",IF(I223="NOT AVAILABLE","",I223)))),25,IF(ISNUMBER(SEARCH("Informational",IF(I223="NOT AVAILABLE","",I223))),10,IF(ISNUMBER(SEARCH("Navigational",IF(I223="NOT AVAILABLE","",I223))),0,12))))+IF(ISNUMBER(F223),MIN(30,ROUND(30*LOG10(F223+1)/4,1)),0)+IF(ISNUMBER(G223),ROUND(25*(100-G223)/100,1),12.5)+L223,0)</f>
        <v/>
      </c>
      <c r="N223" s="5" t="inlineStr">
        <is>
          <t>No data in this database - do not prioritise</t>
        </is>
      </c>
    </row>
    <row r="224">
      <c r="A224" t="inlineStr">
        <is>
          <t>Senegal</t>
        </is>
      </c>
      <c r="B224" t="inlineStr">
        <is>
          <t>sn</t>
        </is>
      </c>
      <c r="C224" t="inlineStr">
        <is>
          <t>fr</t>
        </is>
      </c>
      <c r="D224" s="3" t="inlineStr">
        <is>
          <t>https://codesommet.com/web-development-company/worldwide</t>
        </is>
      </c>
      <c r="E224" t="inlineStr">
        <is>
          <t>création site vitrine</t>
        </is>
      </c>
      <c r="F224" t="n">
        <v>10</v>
      </c>
      <c r="G224" t="inlineStr">
        <is>
          <t>NOT AVAILABLE</t>
        </is>
      </c>
      <c r="H224" t="n">
        <v>0</v>
      </c>
      <c r="I224" t="inlineStr">
        <is>
          <t>NOT AVAILABLE</t>
        </is>
      </c>
      <c r="J224" t="inlineStr">
        <is>
          <t>MEASURED</t>
        </is>
      </c>
      <c r="K224" s="5" t="inlineStr">
        <is>
          <t>NOT AVAILABLE (SERP not pulled for this market)</t>
        </is>
      </c>
      <c r="L224" t="n">
        <v>6</v>
      </c>
      <c r="M224">
        <f>ROUND(IF(IF(I224="NOT AVAILABLE","",I224)="",12,IF(OR(ISNUMBER(SEARCH("Transactional",IF(I224="NOT AVAILABLE","",I224))),ISNUMBER(SEARCH("Commercial",IF(I224="NOT AVAILABLE","",I224)))),25,IF(ISNUMBER(SEARCH("Informational",IF(I224="NOT AVAILABLE","",I224))),10,IF(ISNUMBER(SEARCH("Navigational",IF(I224="NOT AVAILABLE","",I224))),0,12))))+IF(ISNUMBER(F224),MIN(30,ROUND(30*LOG10(F224+1)/4,1)),0)+IF(ISNUMBER(G224),ROUND(25*(100-G224)/100,1),12.5)+L224,0)</f>
        <v/>
      </c>
      <c r="N224" s="5" t="inlineStr">
        <is>
          <t>Low volume - supporting only</t>
        </is>
      </c>
    </row>
    <row r="225">
      <c r="A225" t="inlineStr">
        <is>
          <t>Senegal</t>
        </is>
      </c>
      <c r="B225" t="inlineStr">
        <is>
          <t>sn</t>
        </is>
      </c>
      <c r="C225" t="inlineStr">
        <is>
          <t>fr</t>
        </is>
      </c>
      <c r="D225" s="3" t="inlineStr">
        <is>
          <t>https://codesommet.com/web-development-company/worldwide</t>
        </is>
      </c>
      <c r="E225" t="inlineStr">
        <is>
          <t>refonte site web</t>
        </is>
      </c>
      <c r="F225" t="n">
        <v>20</v>
      </c>
      <c r="G225" t="inlineStr">
        <is>
          <t>NOT AVAILABLE</t>
        </is>
      </c>
      <c r="H225" t="n">
        <v>0</v>
      </c>
      <c r="I225" t="inlineStr">
        <is>
          <t>NOT AVAILABLE</t>
        </is>
      </c>
      <c r="J225" t="inlineStr">
        <is>
          <t>MEASURED</t>
        </is>
      </c>
      <c r="K225" s="5" t="inlineStr">
        <is>
          <t>NOT AVAILABLE (SERP not pulled for this market)</t>
        </is>
      </c>
      <c r="L225" t="n">
        <v>6</v>
      </c>
      <c r="M225">
        <f>ROUND(IF(IF(I225="NOT AVAILABLE","",I225)="",12,IF(OR(ISNUMBER(SEARCH("Transactional",IF(I225="NOT AVAILABLE","",I225))),ISNUMBER(SEARCH("Commercial",IF(I225="NOT AVAILABLE","",I225)))),25,IF(ISNUMBER(SEARCH("Informational",IF(I225="NOT AVAILABLE","",I225))),10,IF(ISNUMBER(SEARCH("Navigational",IF(I225="NOT AVAILABLE","",I225))),0,12))))+IF(ISNUMBER(F225),MIN(30,ROUND(30*LOG10(F225+1)/4,1)),0)+IF(ISNUMBER(G225),ROUND(25*(100-G225)/100,1),12.5)+L225,0)</f>
        <v/>
      </c>
      <c r="N225" s="5" t="inlineStr">
        <is>
          <t>Low volume - supporting only</t>
        </is>
      </c>
    </row>
    <row r="226">
      <c r="A226" t="inlineStr">
        <is>
          <t>Senegal</t>
        </is>
      </c>
      <c r="B226" t="inlineStr">
        <is>
          <t>sn</t>
        </is>
      </c>
      <c r="C226" t="inlineStr">
        <is>
          <t>fr</t>
        </is>
      </c>
      <c r="D226" s="3" t="inlineStr">
        <is>
          <t>https://codesommet.com/web-development-company/worldwide</t>
        </is>
      </c>
      <c r="E226" t="inlineStr">
        <is>
          <t>agence digitale</t>
        </is>
      </c>
      <c r="F226" t="n">
        <v>20</v>
      </c>
      <c r="G226" t="inlineStr">
        <is>
          <t>NOT AVAILABLE</t>
        </is>
      </c>
      <c r="H226" t="n">
        <v>0</v>
      </c>
      <c r="I226" t="inlineStr">
        <is>
          <t>NOT AVAILABLE</t>
        </is>
      </c>
      <c r="J226" t="inlineStr">
        <is>
          <t>MEASURED</t>
        </is>
      </c>
      <c r="K226" s="5" t="inlineStr">
        <is>
          <t>NOT AVAILABLE (SERP not pulled for this market)</t>
        </is>
      </c>
      <c r="L226" t="n">
        <v>6</v>
      </c>
      <c r="M226">
        <f>ROUND(IF(IF(I226="NOT AVAILABLE","",I226)="",12,IF(OR(ISNUMBER(SEARCH("Transactional",IF(I226="NOT AVAILABLE","",I226))),ISNUMBER(SEARCH("Commercial",IF(I226="NOT AVAILABLE","",I226)))),25,IF(ISNUMBER(SEARCH("Informational",IF(I226="NOT AVAILABLE","",I226))),10,IF(ISNUMBER(SEARCH("Navigational",IF(I226="NOT AVAILABLE","",I226))),0,12))))+IF(ISNUMBER(F226),MIN(30,ROUND(30*LOG10(F226+1)/4,1)),0)+IF(ISNUMBER(G226),ROUND(25*(100-G226)/100,1),12.5)+L226,0)</f>
        <v/>
      </c>
      <c r="N226" s="5" t="inlineStr">
        <is>
          <t>Low volume - supporting only</t>
        </is>
      </c>
    </row>
    <row r="227">
      <c r="A227" t="inlineStr">
        <is>
          <t>Senegal</t>
        </is>
      </c>
      <c r="B227" t="inlineStr">
        <is>
          <t>sn</t>
        </is>
      </c>
      <c r="C227" t="inlineStr">
        <is>
          <t>fr</t>
        </is>
      </c>
      <c r="D227" s="3" t="inlineStr">
        <is>
          <t>https://codesommet.com/web-development-company/worldwide</t>
        </is>
      </c>
      <c r="E227" t="inlineStr">
        <is>
          <t>développement saas</t>
        </is>
      </c>
      <c r="F227" t="inlineStr">
        <is>
          <t>NOT AVAILABLE</t>
        </is>
      </c>
      <c r="G227" t="inlineStr">
        <is>
          <t>NOT AVAILABLE</t>
        </is>
      </c>
      <c r="H227" t="inlineStr">
        <is>
          <t>NOT AVAILABLE</t>
        </is>
      </c>
      <c r="I227" t="inlineStr">
        <is>
          <t>NOT AVAILABLE</t>
        </is>
      </c>
      <c r="J227" t="inlineStr">
        <is>
          <t>UNAVAILABLE</t>
        </is>
      </c>
      <c r="K227" s="5" t="inlineStr">
        <is>
          <t>NOT AVAILABLE (SERP not pulled for this market)</t>
        </is>
      </c>
      <c r="L227" t="n">
        <v>6</v>
      </c>
      <c r="M227">
        <f>ROUND(IF(IF(I227="NOT AVAILABLE","",I227)="",12,IF(OR(ISNUMBER(SEARCH("Transactional",IF(I227="NOT AVAILABLE","",I227))),ISNUMBER(SEARCH("Commercial",IF(I227="NOT AVAILABLE","",I227)))),25,IF(ISNUMBER(SEARCH("Informational",IF(I227="NOT AVAILABLE","",I227))),10,IF(ISNUMBER(SEARCH("Navigational",IF(I227="NOT AVAILABLE","",I227))),0,12))))+IF(ISNUMBER(F227),MIN(30,ROUND(30*LOG10(F227+1)/4,1)),0)+IF(ISNUMBER(G227),ROUND(25*(100-G227)/100,1),12.5)+L227,0)</f>
        <v/>
      </c>
      <c r="N227" s="5" t="inlineStr">
        <is>
          <t>No data in this database - do not prioritise</t>
        </is>
      </c>
    </row>
    <row r="228">
      <c r="A228" t="inlineStr">
        <is>
          <t>Senegal</t>
        </is>
      </c>
      <c r="B228" t="inlineStr">
        <is>
          <t>sn</t>
        </is>
      </c>
      <c r="C228" t="inlineStr">
        <is>
          <t>fr</t>
        </is>
      </c>
      <c r="D228" s="3" t="inlineStr">
        <is>
          <t>https://codesommet.com/web-development-company/worldwide</t>
        </is>
      </c>
      <c r="E228" t="inlineStr">
        <is>
          <t>création application web</t>
        </is>
      </c>
      <c r="F228" t="n">
        <v>0</v>
      </c>
      <c r="G228" t="inlineStr">
        <is>
          <t>NOT AVAILABLE</t>
        </is>
      </c>
      <c r="H228" t="n">
        <v>0</v>
      </c>
      <c r="I228" t="inlineStr">
        <is>
          <t>NOT AVAILABLE</t>
        </is>
      </c>
      <c r="J228" t="inlineStr">
        <is>
          <t>MEASURED</t>
        </is>
      </c>
      <c r="K228" s="5" t="inlineStr">
        <is>
          <t>NOT AVAILABLE (SERP not pulled for this market)</t>
        </is>
      </c>
      <c r="L228" t="n">
        <v>6</v>
      </c>
      <c r="M228">
        <f>ROUND(IF(IF(I228="NOT AVAILABLE","",I228)="",12,IF(OR(ISNUMBER(SEARCH("Transactional",IF(I228="NOT AVAILABLE","",I228))),ISNUMBER(SEARCH("Commercial",IF(I228="NOT AVAILABLE","",I228)))),25,IF(ISNUMBER(SEARCH("Informational",IF(I228="NOT AVAILABLE","",I228))),10,IF(ISNUMBER(SEARCH("Navigational",IF(I228="NOT AVAILABLE","",I228))),0,12))))+IF(ISNUMBER(F228),MIN(30,ROUND(30*LOG10(F228+1)/4,1)),0)+IF(ISNUMBER(G228),ROUND(25*(100-G228)/100,1),12.5)+L228,0)</f>
        <v/>
      </c>
      <c r="N228" s="5" t="inlineStr">
        <is>
          <t>Measured zero - do not target</t>
        </is>
      </c>
    </row>
    <row r="229">
      <c r="A229" t="inlineStr">
        <is>
          <t>Senegal</t>
        </is>
      </c>
      <c r="B229" t="inlineStr">
        <is>
          <t>sn</t>
        </is>
      </c>
      <c r="C229" t="inlineStr">
        <is>
          <t>fr</t>
        </is>
      </c>
      <c r="D229" s="3" t="inlineStr">
        <is>
          <t>https://codesommet.com/web-development-company/worldwide</t>
        </is>
      </c>
      <c r="E229" t="inlineStr">
        <is>
          <t>agence web maroc</t>
        </is>
      </c>
      <c r="F229" t="n">
        <v>0</v>
      </c>
      <c r="G229" t="inlineStr">
        <is>
          <t>NOT AVAILABLE</t>
        </is>
      </c>
      <c r="H229" t="n">
        <v>0</v>
      </c>
      <c r="I229" t="inlineStr">
        <is>
          <t>NOT AVAILABLE</t>
        </is>
      </c>
      <c r="J229" t="inlineStr">
        <is>
          <t>MEASURED</t>
        </is>
      </c>
      <c r="K229" s="5" t="inlineStr">
        <is>
          <t>NOT AVAILABLE (SERP not pulled for this market)</t>
        </is>
      </c>
      <c r="L229" t="n">
        <v>6</v>
      </c>
      <c r="M229">
        <f>ROUND(IF(IF(I229="NOT AVAILABLE","",I229)="",12,IF(OR(ISNUMBER(SEARCH("Transactional",IF(I229="NOT AVAILABLE","",I229))),ISNUMBER(SEARCH("Commercial",IF(I229="NOT AVAILABLE","",I229)))),25,IF(ISNUMBER(SEARCH("Informational",IF(I229="NOT AVAILABLE","",I229))),10,IF(ISNUMBER(SEARCH("Navigational",IF(I229="NOT AVAILABLE","",I229))),0,12))))+IF(ISNUMBER(F229),MIN(30,ROUND(30*LOG10(F229+1)/4,1)),0)+IF(ISNUMBER(G229),ROUND(25*(100-G229)/100,1),12.5)+L229,0)</f>
        <v/>
      </c>
      <c r="N229" s="5" t="inlineStr">
        <is>
          <t>Measured zero - do not target</t>
        </is>
      </c>
    </row>
    <row r="230">
      <c r="A230" t="inlineStr">
        <is>
          <t>Senegal</t>
        </is>
      </c>
      <c r="B230" t="inlineStr">
        <is>
          <t>sn</t>
        </is>
      </c>
      <c r="C230" t="inlineStr">
        <is>
          <t>fr</t>
        </is>
      </c>
      <c r="D230" s="3" t="inlineStr">
        <is>
          <t>https://codesommet.com/web-development-company/worldwide</t>
        </is>
      </c>
      <c r="E230" t="inlineStr">
        <is>
          <t>création boutique en ligne</t>
        </is>
      </c>
      <c r="F230" t="n">
        <v>20</v>
      </c>
      <c r="G230" t="inlineStr">
        <is>
          <t>NOT AVAILABLE</t>
        </is>
      </c>
      <c r="H230" t="n">
        <v>0.37</v>
      </c>
      <c r="I230" t="inlineStr">
        <is>
          <t>NOT AVAILABLE</t>
        </is>
      </c>
      <c r="J230" t="inlineStr">
        <is>
          <t>MEASURED</t>
        </is>
      </c>
      <c r="K230" s="5" t="inlineStr">
        <is>
          <t>NOT AVAILABLE (SERP not pulled for this market)</t>
        </is>
      </c>
      <c r="L230" t="n">
        <v>6</v>
      </c>
      <c r="M230">
        <f>ROUND(IF(IF(I230="NOT AVAILABLE","",I230)="",12,IF(OR(ISNUMBER(SEARCH("Transactional",IF(I230="NOT AVAILABLE","",I230))),ISNUMBER(SEARCH("Commercial",IF(I230="NOT AVAILABLE","",I230)))),25,IF(ISNUMBER(SEARCH("Informational",IF(I230="NOT AVAILABLE","",I230))),10,IF(ISNUMBER(SEARCH("Navigational",IF(I230="NOT AVAILABLE","",I230))),0,12))))+IF(ISNUMBER(F230),MIN(30,ROUND(30*LOG10(F230+1)/4,1)),0)+IF(ISNUMBER(G230),ROUND(25*(100-G230)/100,1),12.5)+L230,0)</f>
        <v/>
      </c>
      <c r="N230" s="5" t="inlineStr">
        <is>
          <t>Low volume - supporting only</t>
        </is>
      </c>
    </row>
    <row r="231">
      <c r="A231" t="inlineStr">
        <is>
          <t>Senegal</t>
        </is>
      </c>
      <c r="B231" t="inlineStr">
        <is>
          <t>sn</t>
        </is>
      </c>
      <c r="C231" t="inlineStr">
        <is>
          <t>fr</t>
        </is>
      </c>
      <c r="D231" s="3" t="inlineStr">
        <is>
          <t>https://codesommet.com/web-development-company/worldwide</t>
        </is>
      </c>
      <c r="E231" t="inlineStr">
        <is>
          <t>sous-traitance développement web</t>
        </is>
      </c>
      <c r="F231" t="inlineStr">
        <is>
          <t>NOT AVAILABLE</t>
        </is>
      </c>
      <c r="G231" t="inlineStr">
        <is>
          <t>NOT AVAILABLE</t>
        </is>
      </c>
      <c r="H231" t="inlineStr">
        <is>
          <t>NOT AVAILABLE</t>
        </is>
      </c>
      <c r="I231" t="inlineStr">
        <is>
          <t>NOT AVAILABLE</t>
        </is>
      </c>
      <c r="J231" t="inlineStr">
        <is>
          <t>UNAVAILABLE</t>
        </is>
      </c>
      <c r="K231" s="5" t="inlineStr">
        <is>
          <t>NOT AVAILABLE (SERP not pulled for this market)</t>
        </is>
      </c>
      <c r="L231" t="n">
        <v>6</v>
      </c>
      <c r="M231">
        <f>ROUND(IF(IF(I231="NOT AVAILABLE","",I231)="",12,IF(OR(ISNUMBER(SEARCH("Transactional",IF(I231="NOT AVAILABLE","",I231))),ISNUMBER(SEARCH("Commercial",IF(I231="NOT AVAILABLE","",I231)))),25,IF(ISNUMBER(SEARCH("Informational",IF(I231="NOT AVAILABLE","",I231))),10,IF(ISNUMBER(SEARCH("Navigational",IF(I231="NOT AVAILABLE","",I231))),0,12))))+IF(ISNUMBER(F231),MIN(30,ROUND(30*LOG10(F231+1)/4,1)),0)+IF(ISNUMBER(G231),ROUND(25*(100-G231)/100,1),12.5)+L231,0)</f>
        <v/>
      </c>
      <c r="N231" s="5" t="inlineStr">
        <is>
          <t>No data in this database - do not prioritise</t>
        </is>
      </c>
    </row>
    <row r="232">
      <c r="A232" t="inlineStr">
        <is>
          <t>Senegal</t>
        </is>
      </c>
      <c r="B232" t="inlineStr">
        <is>
          <t>sn</t>
        </is>
      </c>
      <c r="C232" t="inlineStr">
        <is>
          <t>fr</t>
        </is>
      </c>
      <c r="D232" s="3" t="inlineStr">
        <is>
          <t>https://codesommet.com/web-development-company/worldwide</t>
        </is>
      </c>
      <c r="E232" t="inlineStr">
        <is>
          <t>externalisation développement web</t>
        </is>
      </c>
      <c r="F232" t="inlineStr">
        <is>
          <t>NOT AVAILABLE</t>
        </is>
      </c>
      <c r="G232" t="inlineStr">
        <is>
          <t>NOT AVAILABLE</t>
        </is>
      </c>
      <c r="H232" t="inlineStr">
        <is>
          <t>NOT AVAILABLE</t>
        </is>
      </c>
      <c r="I232" t="inlineStr">
        <is>
          <t>NOT AVAILABLE</t>
        </is>
      </c>
      <c r="J232" t="inlineStr">
        <is>
          <t>UNAVAILABLE</t>
        </is>
      </c>
      <c r="K232" s="5" t="inlineStr">
        <is>
          <t>NOT AVAILABLE (SERP not pulled for this market)</t>
        </is>
      </c>
      <c r="L232" t="n">
        <v>6</v>
      </c>
      <c r="M232">
        <f>ROUND(IF(IF(I232="NOT AVAILABLE","",I232)="",12,IF(OR(ISNUMBER(SEARCH("Transactional",IF(I232="NOT AVAILABLE","",I232))),ISNUMBER(SEARCH("Commercial",IF(I232="NOT AVAILABLE","",I232)))),25,IF(ISNUMBER(SEARCH("Informational",IF(I232="NOT AVAILABLE","",I232))),10,IF(ISNUMBER(SEARCH("Navigational",IF(I232="NOT AVAILABLE","",I232))),0,12))))+IF(ISNUMBER(F232),MIN(30,ROUND(30*LOG10(F232+1)/4,1)),0)+IF(ISNUMBER(G232),ROUND(25*(100-G232)/100,1),12.5)+L232,0)</f>
        <v/>
      </c>
      <c r="N232" s="5" t="inlineStr">
        <is>
          <t>No data in this database - do not prioritise</t>
        </is>
      </c>
    </row>
    <row r="233">
      <c r="A233" t="inlineStr">
        <is>
          <t>Senegal</t>
        </is>
      </c>
      <c r="B233" t="inlineStr">
        <is>
          <t>sn</t>
        </is>
      </c>
      <c r="C233" t="inlineStr">
        <is>
          <t>fr</t>
        </is>
      </c>
      <c r="D233" s="3" t="inlineStr">
        <is>
          <t>https://codesommet.com/web-development-company/worldwide</t>
        </is>
      </c>
      <c r="E233" t="inlineStr">
        <is>
          <t>développement web offshore</t>
        </is>
      </c>
      <c r="F233" t="inlineStr">
        <is>
          <t>NOT AVAILABLE</t>
        </is>
      </c>
      <c r="G233" t="inlineStr">
        <is>
          <t>NOT AVAILABLE</t>
        </is>
      </c>
      <c r="H233" t="inlineStr">
        <is>
          <t>NOT AVAILABLE</t>
        </is>
      </c>
      <c r="I233" t="inlineStr">
        <is>
          <t>NOT AVAILABLE</t>
        </is>
      </c>
      <c r="J233" t="inlineStr">
        <is>
          <t>UNAVAILABLE</t>
        </is>
      </c>
      <c r="K233" s="5" t="inlineStr">
        <is>
          <t>NOT AVAILABLE (SERP not pulled for this market)</t>
        </is>
      </c>
      <c r="L233" t="n">
        <v>6</v>
      </c>
      <c r="M233">
        <f>ROUND(IF(IF(I233="NOT AVAILABLE","",I233)="",12,IF(OR(ISNUMBER(SEARCH("Transactional",IF(I233="NOT AVAILABLE","",I233))),ISNUMBER(SEARCH("Commercial",IF(I233="NOT AVAILABLE","",I233)))),25,IF(ISNUMBER(SEARCH("Informational",IF(I233="NOT AVAILABLE","",I233))),10,IF(ISNUMBER(SEARCH("Navigational",IF(I233="NOT AVAILABLE","",I233))),0,12))))+IF(ISNUMBER(F233),MIN(30,ROUND(30*LOG10(F233+1)/4,1)),0)+IF(ISNUMBER(G233),ROUND(25*(100-G233)/100,1),12.5)+L233,0)</f>
        <v/>
      </c>
      <c r="N233" s="5" t="inlineStr">
        <is>
          <t>No data in this database - do not prioritise</t>
        </is>
      </c>
    </row>
    <row r="234">
      <c r="A234" t="inlineStr">
        <is>
          <t>Senegal</t>
        </is>
      </c>
      <c r="B234" t="inlineStr">
        <is>
          <t>sn</t>
        </is>
      </c>
      <c r="C234" t="inlineStr">
        <is>
          <t>fr</t>
        </is>
      </c>
      <c r="D234" s="3" t="inlineStr">
        <is>
          <t>https://codesommet.com/web-development-company/worldwide</t>
        </is>
      </c>
      <c r="E234" t="inlineStr">
        <is>
          <t>agence web nearshore</t>
        </is>
      </c>
      <c r="F234" t="inlineStr">
        <is>
          <t>NOT AVAILABLE</t>
        </is>
      </c>
      <c r="G234" t="inlineStr">
        <is>
          <t>NOT AVAILABLE</t>
        </is>
      </c>
      <c r="H234" t="inlineStr">
        <is>
          <t>NOT AVAILABLE</t>
        </is>
      </c>
      <c r="I234" t="inlineStr">
        <is>
          <t>NOT AVAILABLE</t>
        </is>
      </c>
      <c r="J234" t="inlineStr">
        <is>
          <t>UNAVAILABLE</t>
        </is>
      </c>
      <c r="K234" s="5" t="inlineStr">
        <is>
          <t>NOT AVAILABLE (SERP not pulled for this market)</t>
        </is>
      </c>
      <c r="L234" t="n">
        <v>6</v>
      </c>
      <c r="M234">
        <f>ROUND(IF(IF(I234="NOT AVAILABLE","",I234)="",12,IF(OR(ISNUMBER(SEARCH("Transactional",IF(I234="NOT AVAILABLE","",I234))),ISNUMBER(SEARCH("Commercial",IF(I234="NOT AVAILABLE","",I234)))),25,IF(ISNUMBER(SEARCH("Informational",IF(I234="NOT AVAILABLE","",I234))),10,IF(ISNUMBER(SEARCH("Navigational",IF(I234="NOT AVAILABLE","",I234))),0,12))))+IF(ISNUMBER(F234),MIN(30,ROUND(30*LOG10(F234+1)/4,1)),0)+IF(ISNUMBER(G234),ROUND(25*(100-G234)/100,1),12.5)+L234,0)</f>
        <v/>
      </c>
      <c r="N234" s="5" t="inlineStr">
        <is>
          <t>No data in this database - do not prioritise</t>
        </is>
      </c>
    </row>
    <row r="235">
      <c r="A235" t="inlineStr">
        <is>
          <t>Senegal</t>
        </is>
      </c>
      <c r="B235" t="inlineStr">
        <is>
          <t>sn</t>
        </is>
      </c>
      <c r="C235" t="inlineStr">
        <is>
          <t>fr</t>
        </is>
      </c>
      <c r="D235" s="3" t="inlineStr">
        <is>
          <t>https://codesommet.com/web-development-company/worldwide</t>
        </is>
      </c>
      <c r="E235" t="inlineStr">
        <is>
          <t>développeur maroc</t>
        </is>
      </c>
      <c r="F235" t="inlineStr">
        <is>
          <t>NOT AVAILABLE</t>
        </is>
      </c>
      <c r="G235" t="inlineStr">
        <is>
          <t>NOT AVAILABLE</t>
        </is>
      </c>
      <c r="H235" t="inlineStr">
        <is>
          <t>NOT AVAILABLE</t>
        </is>
      </c>
      <c r="I235" t="inlineStr">
        <is>
          <t>NOT AVAILABLE</t>
        </is>
      </c>
      <c r="J235" t="inlineStr">
        <is>
          <t>UNAVAILABLE</t>
        </is>
      </c>
      <c r="K235" s="5" t="inlineStr">
        <is>
          <t>NOT AVAILABLE (SERP not pulled for this market)</t>
        </is>
      </c>
      <c r="L235" t="n">
        <v>6</v>
      </c>
      <c r="M235">
        <f>ROUND(IF(IF(I235="NOT AVAILABLE","",I235)="",12,IF(OR(ISNUMBER(SEARCH("Transactional",IF(I235="NOT AVAILABLE","",I235))),ISNUMBER(SEARCH("Commercial",IF(I235="NOT AVAILABLE","",I235)))),25,IF(ISNUMBER(SEARCH("Informational",IF(I235="NOT AVAILABLE","",I235))),10,IF(ISNUMBER(SEARCH("Navigational",IF(I235="NOT AVAILABLE","",I235))),0,12))))+IF(ISNUMBER(F235),MIN(30,ROUND(30*LOG10(F235+1)/4,1)),0)+IF(ISNUMBER(G235),ROUND(25*(100-G235)/100,1),12.5)+L235,0)</f>
        <v/>
      </c>
      <c r="N235" s="5" t="inlineStr">
        <is>
          <t>No data in this database - do not prioritise</t>
        </is>
      </c>
    </row>
    <row r="236">
      <c r="A236" t="inlineStr">
        <is>
          <t>Senegal</t>
        </is>
      </c>
      <c r="B236" t="inlineStr">
        <is>
          <t>sn</t>
        </is>
      </c>
      <c r="C236" t="inlineStr">
        <is>
          <t>fr</t>
        </is>
      </c>
      <c r="D236" s="3" t="inlineStr">
        <is>
          <t>https://codesommet.com/web-development-company/worldwide</t>
        </is>
      </c>
      <c r="E236" t="inlineStr">
        <is>
          <t>développement logiciel sur mesure</t>
        </is>
      </c>
      <c r="F236" t="n">
        <v>0</v>
      </c>
      <c r="G236" t="inlineStr">
        <is>
          <t>NOT AVAILABLE</t>
        </is>
      </c>
      <c r="H236" t="n">
        <v>0</v>
      </c>
      <c r="I236" t="inlineStr">
        <is>
          <t>NOT AVAILABLE</t>
        </is>
      </c>
      <c r="J236" t="inlineStr">
        <is>
          <t>MEASURED</t>
        </is>
      </c>
      <c r="K236" s="5" t="inlineStr">
        <is>
          <t>NOT AVAILABLE (SERP not pulled for this market)</t>
        </is>
      </c>
      <c r="L236" t="n">
        <v>6</v>
      </c>
      <c r="M236">
        <f>ROUND(IF(IF(I236="NOT AVAILABLE","",I236)="",12,IF(OR(ISNUMBER(SEARCH("Transactional",IF(I236="NOT AVAILABLE","",I236))),ISNUMBER(SEARCH("Commercial",IF(I236="NOT AVAILABLE","",I236)))),25,IF(ISNUMBER(SEARCH("Informational",IF(I236="NOT AVAILABLE","",I236))),10,IF(ISNUMBER(SEARCH("Navigational",IF(I236="NOT AVAILABLE","",I236))),0,12))))+IF(ISNUMBER(F236),MIN(30,ROUND(30*LOG10(F236+1)/4,1)),0)+IF(ISNUMBER(G236),ROUND(25*(100-G236)/100,1),12.5)+L236,0)</f>
        <v/>
      </c>
      <c r="N236" s="5" t="inlineStr">
        <is>
          <t>Measured zero - do not target</t>
        </is>
      </c>
    </row>
    <row r="237">
      <c r="A237" t="inlineStr">
        <is>
          <t>Senegal</t>
        </is>
      </c>
      <c r="B237" t="inlineStr">
        <is>
          <t>sn</t>
        </is>
      </c>
      <c r="C237" t="inlineStr">
        <is>
          <t>fr</t>
        </is>
      </c>
      <c r="D237" s="3" t="inlineStr">
        <is>
          <t>https://codesommet.com/web-development-company/worldwide</t>
        </is>
      </c>
      <c r="E237" t="inlineStr">
        <is>
          <t>conception site web</t>
        </is>
      </c>
      <c r="F237" t="n">
        <v>20</v>
      </c>
      <c r="G237" t="inlineStr">
        <is>
          <t>NOT AVAILABLE</t>
        </is>
      </c>
      <c r="H237" t="n">
        <v>0</v>
      </c>
      <c r="I237" t="inlineStr">
        <is>
          <t>NOT AVAILABLE</t>
        </is>
      </c>
      <c r="J237" t="inlineStr">
        <is>
          <t>MEASURED</t>
        </is>
      </c>
      <c r="K237" s="5" t="inlineStr">
        <is>
          <t>NOT AVAILABLE (SERP not pulled for this market)</t>
        </is>
      </c>
      <c r="L237" t="n">
        <v>6</v>
      </c>
      <c r="M237">
        <f>ROUND(IF(IF(I237="NOT AVAILABLE","",I237)="",12,IF(OR(ISNUMBER(SEARCH("Transactional",IF(I237="NOT AVAILABLE","",I237))),ISNUMBER(SEARCH("Commercial",IF(I237="NOT AVAILABLE","",I237)))),25,IF(ISNUMBER(SEARCH("Informational",IF(I237="NOT AVAILABLE","",I237))),10,IF(ISNUMBER(SEARCH("Navigational",IF(I237="NOT AVAILABLE","",I237))),0,12))))+IF(ISNUMBER(F237),MIN(30,ROUND(30*LOG10(F237+1)/4,1)),0)+IF(ISNUMBER(G237),ROUND(25*(100-G237)/100,1),12.5)+L237,0)</f>
        <v/>
      </c>
      <c r="N237" s="5" t="inlineStr">
        <is>
          <t>Low volume - supporting only</t>
        </is>
      </c>
    </row>
    <row r="238">
      <c r="A238" t="inlineStr">
        <is>
          <t>Senegal</t>
        </is>
      </c>
      <c r="B238" t="inlineStr">
        <is>
          <t>sn</t>
        </is>
      </c>
      <c r="C238" t="inlineStr">
        <is>
          <t>fr</t>
        </is>
      </c>
      <c r="D238" s="3" t="inlineStr">
        <is>
          <t>https://codesommet.com/web-development-company/worldwide</t>
        </is>
      </c>
      <c r="E238" t="inlineStr">
        <is>
          <t>site internet professionnel</t>
        </is>
      </c>
      <c r="F238" t="inlineStr">
        <is>
          <t>NOT AVAILABLE</t>
        </is>
      </c>
      <c r="G238" t="inlineStr">
        <is>
          <t>NOT AVAILABLE</t>
        </is>
      </c>
      <c r="H238" t="inlineStr">
        <is>
          <t>NOT AVAILABLE</t>
        </is>
      </c>
      <c r="I238" t="inlineStr">
        <is>
          <t>NOT AVAILABLE</t>
        </is>
      </c>
      <c r="J238" t="inlineStr">
        <is>
          <t>UNAVAILABLE</t>
        </is>
      </c>
      <c r="K238" s="5" t="inlineStr">
        <is>
          <t>NOT AVAILABLE (SERP not pulled for this market)</t>
        </is>
      </c>
      <c r="L238" t="n">
        <v>6</v>
      </c>
      <c r="M238">
        <f>ROUND(IF(IF(I238="NOT AVAILABLE","",I238)="",12,IF(OR(ISNUMBER(SEARCH("Transactional",IF(I238="NOT AVAILABLE","",I238))),ISNUMBER(SEARCH("Commercial",IF(I238="NOT AVAILABLE","",I238)))),25,IF(ISNUMBER(SEARCH("Informational",IF(I238="NOT AVAILABLE","",I238))),10,IF(ISNUMBER(SEARCH("Navigational",IF(I238="NOT AVAILABLE","",I238))),0,12))))+IF(ISNUMBER(F238),MIN(30,ROUND(30*LOG10(F238+1)/4,1)),0)+IF(ISNUMBER(G238),ROUND(25*(100-G238)/100,1),12.5)+L238,0)</f>
        <v/>
      </c>
      <c r="N238" s="5" t="inlineStr">
        <is>
          <t>No data in this database - do not prioritise</t>
        </is>
      </c>
    </row>
    <row r="239">
      <c r="A239" t="inlineStr">
        <is>
          <t>Senegal</t>
        </is>
      </c>
      <c r="B239" t="inlineStr">
        <is>
          <t>sn</t>
        </is>
      </c>
      <c r="C239" t="inlineStr">
        <is>
          <t>fr</t>
        </is>
      </c>
      <c r="D239" s="3" t="inlineStr">
        <is>
          <t>https://codesommet.com/web-development-company/worldwide</t>
        </is>
      </c>
      <c r="E239" t="inlineStr">
        <is>
          <t>webdesigner</t>
        </is>
      </c>
      <c r="F239" t="n">
        <v>140</v>
      </c>
      <c r="G239" t="n">
        <v>26</v>
      </c>
      <c r="H239" t="n">
        <v>0.62</v>
      </c>
      <c r="I239" t="inlineStr">
        <is>
          <t>Informational</t>
        </is>
      </c>
      <c r="J239" t="inlineStr">
        <is>
          <t>MEASURED</t>
        </is>
      </c>
      <c r="K239" s="5" t="inlineStr">
        <is>
          <t>NOT AVAILABLE (SERP not pulled for this market)</t>
        </is>
      </c>
      <c r="L239" t="n">
        <v>6</v>
      </c>
      <c r="M239">
        <f>ROUND(IF(IF(I239="NOT AVAILABLE","",I239)="",12,IF(OR(ISNUMBER(SEARCH("Transactional",IF(I239="NOT AVAILABLE","",I239))),ISNUMBER(SEARCH("Commercial",IF(I239="NOT AVAILABLE","",I239)))),25,IF(ISNUMBER(SEARCH("Informational",IF(I239="NOT AVAILABLE","",I239))),10,IF(ISNUMBER(SEARCH("Navigational",IF(I239="NOT AVAILABLE","",I239))),0,12))))+IF(ISNUMBER(F239),MIN(30,ROUND(30*LOG10(F239+1)/4,1)),0)+IF(ISNUMBER(G239),ROUND(25*(100-G239)/100,1),12.5)+L239,0)</f>
        <v/>
      </c>
      <c r="N239" s="5" t="inlineStr">
        <is>
          <t>Moderate opportunity - test with existing page before creating anything</t>
        </is>
      </c>
    </row>
    <row r="240">
      <c r="A240" t="inlineStr">
        <is>
          <t>Senegal</t>
        </is>
      </c>
      <c r="B240" t="inlineStr">
        <is>
          <t>sn</t>
        </is>
      </c>
      <c r="C240" t="inlineStr">
        <is>
          <t>fr</t>
        </is>
      </c>
      <c r="D240" s="3" t="inlineStr">
        <is>
          <t>https://codesommet.com/web-development-company/worldwide</t>
        </is>
      </c>
      <c r="E240" t="inlineStr">
        <is>
          <t>agence web pas cher</t>
        </is>
      </c>
      <c r="F240" t="n">
        <v>0</v>
      </c>
      <c r="G240" t="inlineStr">
        <is>
          <t>NOT AVAILABLE</t>
        </is>
      </c>
      <c r="H240" t="n">
        <v>0</v>
      </c>
      <c r="I240" t="inlineStr">
        <is>
          <t>NOT AVAILABLE</t>
        </is>
      </c>
      <c r="J240" t="inlineStr">
        <is>
          <t>MEASURED</t>
        </is>
      </c>
      <c r="K240" s="5" t="inlineStr">
        <is>
          <t>NOT AVAILABLE (SERP not pulled for this market)</t>
        </is>
      </c>
      <c r="L240" t="n">
        <v>6</v>
      </c>
      <c r="M240">
        <f>ROUND(IF(IF(I240="NOT AVAILABLE","",I240)="",12,IF(OR(ISNUMBER(SEARCH("Transactional",IF(I240="NOT AVAILABLE","",I240))),ISNUMBER(SEARCH("Commercial",IF(I240="NOT AVAILABLE","",I240)))),25,IF(ISNUMBER(SEARCH("Informational",IF(I240="NOT AVAILABLE","",I240))),10,IF(ISNUMBER(SEARCH("Navigational",IF(I240="NOT AVAILABLE","",I240))),0,12))))+IF(ISNUMBER(F240),MIN(30,ROUND(30*LOG10(F240+1)/4,1)),0)+IF(ISNUMBER(G240),ROUND(25*(100-G240)/100,1),12.5)+L240,0)</f>
        <v/>
      </c>
      <c r="N240" s="5" t="inlineStr">
        <is>
          <t>Measured zero - do not target</t>
        </is>
      </c>
    </row>
    <row r="241">
      <c r="A241" t="inlineStr">
        <is>
          <t>Senegal</t>
        </is>
      </c>
      <c r="B241" t="inlineStr">
        <is>
          <t>sn</t>
        </is>
      </c>
      <c r="C241" t="inlineStr">
        <is>
          <t>fr</t>
        </is>
      </c>
      <c r="D241" t="inlineStr">
        <is>
          <t>(no page - see recommendation)</t>
        </is>
      </c>
      <c r="E241" t="inlineStr">
        <is>
          <t>agence web dakar</t>
        </is>
      </c>
      <c r="F241" t="n">
        <v>20</v>
      </c>
      <c r="G241" t="inlineStr">
        <is>
          <t>NOT AVAILABLE</t>
        </is>
      </c>
      <c r="H241" t="n">
        <v>0</v>
      </c>
      <c r="I241" t="inlineStr">
        <is>
          <t>NOT AVAILABLE</t>
        </is>
      </c>
      <c r="J241" t="inlineStr">
        <is>
          <t>MEASURED</t>
        </is>
      </c>
      <c r="K241" s="5" t="inlineStr">
        <is>
          <t>NOT AVAILABLE (SERP not pulled for this market)</t>
        </is>
      </c>
      <c r="L241" t="n">
        <v>6</v>
      </c>
      <c r="M241">
        <f>ROUND(IF(IF(I241="NOT AVAILABLE","",I241)="",12,IF(OR(ISNUMBER(SEARCH("Transactional",IF(I241="NOT AVAILABLE","",I241))),ISNUMBER(SEARCH("Commercial",IF(I241="NOT AVAILABLE","",I241)))),25,IF(ISNUMBER(SEARCH("Informational",IF(I241="NOT AVAILABLE","",I241))),10,IF(ISNUMBER(SEARCH("Navigational",IF(I241="NOT AVAILABLE","",I241))),0,12))))+IF(ISNUMBER(F241),MIN(30,ROUND(30*LOG10(F241+1)/4,1)),0)+IF(ISNUMBER(G241),ROUND(25*(100-G241)/100,1),12.5)+L241,0)</f>
        <v/>
      </c>
      <c r="N241" s="5" t="inlineStr">
        <is>
          <t>Low volume - supporting only</t>
        </is>
      </c>
    </row>
    <row r="242">
      <c r="A242" t="inlineStr">
        <is>
          <t>Senegal</t>
        </is>
      </c>
      <c r="B242" t="inlineStr">
        <is>
          <t>sn</t>
        </is>
      </c>
      <c r="C242" t="inlineStr">
        <is>
          <t>fr</t>
        </is>
      </c>
      <c r="D242" t="inlineStr">
        <is>
          <t>(no page - see recommendation)</t>
        </is>
      </c>
      <c r="E242" t="inlineStr">
        <is>
          <t>création site web sénégal</t>
        </is>
      </c>
      <c r="F242" t="n">
        <v>10</v>
      </c>
      <c r="G242" t="inlineStr">
        <is>
          <t>NOT AVAILABLE</t>
        </is>
      </c>
      <c r="H242" t="n">
        <v>0</v>
      </c>
      <c r="I242" t="inlineStr">
        <is>
          <t>NOT AVAILABLE</t>
        </is>
      </c>
      <c r="J242" t="inlineStr">
        <is>
          <t>MEASURED</t>
        </is>
      </c>
      <c r="K242" s="5" t="inlineStr">
        <is>
          <t>NOT AVAILABLE (SERP not pulled for this market)</t>
        </is>
      </c>
      <c r="L242" t="n">
        <v>6</v>
      </c>
      <c r="M242">
        <f>ROUND(IF(IF(I242="NOT AVAILABLE","",I242)="",12,IF(OR(ISNUMBER(SEARCH("Transactional",IF(I242="NOT AVAILABLE","",I242))),ISNUMBER(SEARCH("Commercial",IF(I242="NOT AVAILABLE","",I242)))),25,IF(ISNUMBER(SEARCH("Informational",IF(I242="NOT AVAILABLE","",I242))),10,IF(ISNUMBER(SEARCH("Navigational",IF(I242="NOT AVAILABLE","",I242))),0,12))))+IF(ISNUMBER(F242),MIN(30,ROUND(30*LOG10(F242+1)/4,1)),0)+IF(ISNUMBER(G242),ROUND(25*(100-G242)/100,1),12.5)+L242,0)</f>
        <v/>
      </c>
      <c r="N242" s="5" t="inlineStr">
        <is>
          <t>Low volume - supporting only</t>
        </is>
      </c>
    </row>
    <row r="243">
      <c r="A243" t="inlineStr">
        <is>
          <t>Senegal</t>
        </is>
      </c>
      <c r="B243" t="inlineStr">
        <is>
          <t>sn</t>
        </is>
      </c>
      <c r="C243" t="inlineStr">
        <is>
          <t>fr</t>
        </is>
      </c>
      <c r="D243" t="inlineStr">
        <is>
          <t>(no page - see recommendation)</t>
        </is>
      </c>
      <c r="E243" t="inlineStr">
        <is>
          <t>agence web sénégal</t>
        </is>
      </c>
      <c r="F243" t="inlineStr">
        <is>
          <t>NOT AVAILABLE</t>
        </is>
      </c>
      <c r="G243" t="inlineStr">
        <is>
          <t>NOT AVAILABLE</t>
        </is>
      </c>
      <c r="H243" t="inlineStr">
        <is>
          <t>NOT AVAILABLE</t>
        </is>
      </c>
      <c r="I243" t="inlineStr">
        <is>
          <t>NOT AVAILABLE</t>
        </is>
      </c>
      <c r="J243" t="inlineStr">
        <is>
          <t>UNAVAILABLE</t>
        </is>
      </c>
      <c r="K243" s="5" t="inlineStr">
        <is>
          <t>NOT AVAILABLE (SERP not pulled for this market)</t>
        </is>
      </c>
      <c r="L243" t="n">
        <v>6</v>
      </c>
      <c r="M243">
        <f>ROUND(IF(IF(I243="NOT AVAILABLE","",I243)="",12,IF(OR(ISNUMBER(SEARCH("Transactional",IF(I243="NOT AVAILABLE","",I243))),ISNUMBER(SEARCH("Commercial",IF(I243="NOT AVAILABLE","",I243)))),25,IF(ISNUMBER(SEARCH("Informational",IF(I243="NOT AVAILABLE","",I243))),10,IF(ISNUMBER(SEARCH("Navigational",IF(I243="NOT AVAILABLE","",I243))),0,12))))+IF(ISNUMBER(F243),MIN(30,ROUND(30*LOG10(F243+1)/4,1)),0)+IF(ISNUMBER(G243),ROUND(25*(100-G243)/100,1),12.5)+L243,0)</f>
        <v/>
      </c>
      <c r="N243" s="5" t="inlineStr">
        <is>
          <t>No data in this database - do not prioritise</t>
        </is>
      </c>
    </row>
    <row r="244">
      <c r="A244" t="inlineStr">
        <is>
          <t>Algeria</t>
        </is>
      </c>
      <c r="B244" t="inlineStr">
        <is>
          <t>dz</t>
        </is>
      </c>
      <c r="C244" t="inlineStr">
        <is>
          <t>fr</t>
        </is>
      </c>
      <c r="D244" s="3" t="inlineStr">
        <is>
          <t>https://codesommet.com/web-development-company/worldwide</t>
        </is>
      </c>
      <c r="E244" t="inlineStr">
        <is>
          <t>agence web</t>
        </is>
      </c>
      <c r="F244" t="n">
        <v>20</v>
      </c>
      <c r="G244" t="inlineStr">
        <is>
          <t>NOT AVAILABLE</t>
        </is>
      </c>
      <c r="H244" t="n">
        <v>1.28</v>
      </c>
      <c r="I244" t="inlineStr">
        <is>
          <t>NOT AVAILABLE</t>
        </is>
      </c>
      <c r="J244" t="inlineStr">
        <is>
          <t>MEASURED</t>
        </is>
      </c>
      <c r="K244" s="5" t="inlineStr">
        <is>
          <t>NOT AVAILABLE (SERP not pulled for this market)</t>
        </is>
      </c>
      <c r="L244" t="n">
        <v>6</v>
      </c>
      <c r="M244">
        <f>ROUND(IF(IF(I244="NOT AVAILABLE","",I244)="",12,IF(OR(ISNUMBER(SEARCH("Transactional",IF(I244="NOT AVAILABLE","",I244))),ISNUMBER(SEARCH("Commercial",IF(I244="NOT AVAILABLE","",I244)))),25,IF(ISNUMBER(SEARCH("Informational",IF(I244="NOT AVAILABLE","",I244))),10,IF(ISNUMBER(SEARCH("Navigational",IF(I244="NOT AVAILABLE","",I244))),0,12))))+IF(ISNUMBER(F244),MIN(30,ROUND(30*LOG10(F244+1)/4,1)),0)+IF(ISNUMBER(G244),ROUND(25*(100-G244)/100,1),12.5)+L244,0)</f>
        <v/>
      </c>
      <c r="N244" s="5" t="inlineStr">
        <is>
          <t>Low volume - supporting only</t>
        </is>
      </c>
    </row>
    <row r="245">
      <c r="A245" t="inlineStr">
        <is>
          <t>Algeria</t>
        </is>
      </c>
      <c r="B245" t="inlineStr">
        <is>
          <t>dz</t>
        </is>
      </c>
      <c r="C245" t="inlineStr">
        <is>
          <t>fr</t>
        </is>
      </c>
      <c r="D245" s="3" t="inlineStr">
        <is>
          <t>https://codesommet.com/web-development-company/worldwide</t>
        </is>
      </c>
      <c r="E245" t="inlineStr">
        <is>
          <t>création site web</t>
        </is>
      </c>
      <c r="F245" t="n">
        <v>110</v>
      </c>
      <c r="G245" t="inlineStr">
        <is>
          <t>NOT AVAILABLE</t>
        </is>
      </c>
      <c r="H245" t="n">
        <v>0.37</v>
      </c>
      <c r="I245" t="inlineStr">
        <is>
          <t>NOT AVAILABLE</t>
        </is>
      </c>
      <c r="J245" t="inlineStr">
        <is>
          <t>MEASURED</t>
        </is>
      </c>
      <c r="K245" s="5" t="inlineStr">
        <is>
          <t>NOT AVAILABLE (SERP not pulled for this market)</t>
        </is>
      </c>
      <c r="L245" t="n">
        <v>6</v>
      </c>
      <c r="M245">
        <f>ROUND(IF(IF(I245="NOT AVAILABLE","",I245)="",12,IF(OR(ISNUMBER(SEARCH("Transactional",IF(I245="NOT AVAILABLE","",I245))),ISNUMBER(SEARCH("Commercial",IF(I245="NOT AVAILABLE","",I245)))),25,IF(ISNUMBER(SEARCH("Informational",IF(I245="NOT AVAILABLE","",I245))),10,IF(ISNUMBER(SEARCH("Navigational",IF(I245="NOT AVAILABLE","",I245))),0,12))))+IF(ISNUMBER(F245),MIN(30,ROUND(30*LOG10(F245+1)/4,1)),0)+IF(ISNUMBER(G245),ROUND(25*(100-G245)/100,1),12.5)+L245,0)</f>
        <v/>
      </c>
      <c r="N245" s="5" t="inlineStr">
        <is>
          <t>Moderate opportunity - test with existing page before creating anything</t>
        </is>
      </c>
    </row>
    <row r="246">
      <c r="A246" t="inlineStr">
        <is>
          <t>Algeria</t>
        </is>
      </c>
      <c r="B246" t="inlineStr">
        <is>
          <t>dz</t>
        </is>
      </c>
      <c r="C246" t="inlineStr">
        <is>
          <t>fr</t>
        </is>
      </c>
      <c r="D246" s="3" t="inlineStr">
        <is>
          <t>https://codesommet.com/web-development-company/worldwide</t>
        </is>
      </c>
      <c r="E246" t="inlineStr">
        <is>
          <t>création site internet</t>
        </is>
      </c>
      <c r="F246" t="n">
        <v>20</v>
      </c>
      <c r="G246" t="inlineStr">
        <is>
          <t>NOT AVAILABLE</t>
        </is>
      </c>
      <c r="H246" t="n">
        <v>0.51</v>
      </c>
      <c r="I246" t="inlineStr">
        <is>
          <t>NOT AVAILABLE</t>
        </is>
      </c>
      <c r="J246" t="inlineStr">
        <is>
          <t>MEASURED</t>
        </is>
      </c>
      <c r="K246" s="5" t="inlineStr">
        <is>
          <t>NOT AVAILABLE (SERP not pulled for this market)</t>
        </is>
      </c>
      <c r="L246" t="n">
        <v>6</v>
      </c>
      <c r="M246">
        <f>ROUND(IF(IF(I246="NOT AVAILABLE","",I246)="",12,IF(OR(ISNUMBER(SEARCH("Transactional",IF(I246="NOT AVAILABLE","",I246))),ISNUMBER(SEARCH("Commercial",IF(I246="NOT AVAILABLE","",I246)))),25,IF(ISNUMBER(SEARCH("Informational",IF(I246="NOT AVAILABLE","",I246))),10,IF(ISNUMBER(SEARCH("Navigational",IF(I246="NOT AVAILABLE","",I246))),0,12))))+IF(ISNUMBER(F246),MIN(30,ROUND(30*LOG10(F246+1)/4,1)),0)+IF(ISNUMBER(G246),ROUND(25*(100-G246)/100,1),12.5)+L246,0)</f>
        <v/>
      </c>
      <c r="N246" s="5" t="inlineStr">
        <is>
          <t>Low volume - supporting only</t>
        </is>
      </c>
    </row>
    <row r="247">
      <c r="A247" t="inlineStr">
        <is>
          <t>Algeria</t>
        </is>
      </c>
      <c r="B247" t="inlineStr">
        <is>
          <t>dz</t>
        </is>
      </c>
      <c r="C247" t="inlineStr">
        <is>
          <t>fr</t>
        </is>
      </c>
      <c r="D247" s="3" t="inlineStr">
        <is>
          <t>https://codesommet.com/web-development-company/worldwide</t>
        </is>
      </c>
      <c r="E247" t="inlineStr">
        <is>
          <t>création site e-commerce</t>
        </is>
      </c>
      <c r="F247" t="n">
        <v>20</v>
      </c>
      <c r="G247" t="inlineStr">
        <is>
          <t>NOT AVAILABLE</t>
        </is>
      </c>
      <c r="H247" t="n">
        <v>0.23</v>
      </c>
      <c r="I247" t="inlineStr">
        <is>
          <t>NOT AVAILABLE</t>
        </is>
      </c>
      <c r="J247" t="inlineStr">
        <is>
          <t>MEASURED</t>
        </is>
      </c>
      <c r="K247" s="5" t="inlineStr">
        <is>
          <t>NOT AVAILABLE (SERP not pulled for this market)</t>
        </is>
      </c>
      <c r="L247" t="n">
        <v>6</v>
      </c>
      <c r="M247">
        <f>ROUND(IF(IF(I247="NOT AVAILABLE","",I247)="",12,IF(OR(ISNUMBER(SEARCH("Transactional",IF(I247="NOT AVAILABLE","",I247))),ISNUMBER(SEARCH("Commercial",IF(I247="NOT AVAILABLE","",I247)))),25,IF(ISNUMBER(SEARCH("Informational",IF(I247="NOT AVAILABLE","",I247))),10,IF(ISNUMBER(SEARCH("Navigational",IF(I247="NOT AVAILABLE","",I247))),0,12))))+IF(ISNUMBER(F247),MIN(30,ROUND(30*LOG10(F247+1)/4,1)),0)+IF(ISNUMBER(G247),ROUND(25*(100-G247)/100,1),12.5)+L247,0)</f>
        <v/>
      </c>
      <c r="N247" s="5" t="inlineStr">
        <is>
          <t>Low volume - supporting only</t>
        </is>
      </c>
    </row>
    <row r="248">
      <c r="A248" t="inlineStr">
        <is>
          <t>Algeria</t>
        </is>
      </c>
      <c r="B248" t="inlineStr">
        <is>
          <t>dz</t>
        </is>
      </c>
      <c r="C248" t="inlineStr">
        <is>
          <t>fr</t>
        </is>
      </c>
      <c r="D248" s="3" t="inlineStr">
        <is>
          <t>https://codesommet.com/web-development-company/worldwide</t>
        </is>
      </c>
      <c r="E248" t="inlineStr">
        <is>
          <t>agence de développement web</t>
        </is>
      </c>
      <c r="F248" t="n">
        <v>20</v>
      </c>
      <c r="G248" t="inlineStr">
        <is>
          <t>NOT AVAILABLE</t>
        </is>
      </c>
      <c r="H248" t="n">
        <v>0</v>
      </c>
      <c r="I248" t="inlineStr">
        <is>
          <t>NOT AVAILABLE</t>
        </is>
      </c>
      <c r="J248" t="inlineStr">
        <is>
          <t>MEASURED</t>
        </is>
      </c>
      <c r="K248" s="5" t="inlineStr">
        <is>
          <t>NOT AVAILABLE (SERP not pulled for this market)</t>
        </is>
      </c>
      <c r="L248" t="n">
        <v>6</v>
      </c>
      <c r="M248">
        <f>ROUND(IF(IF(I248="NOT AVAILABLE","",I248)="",12,IF(OR(ISNUMBER(SEARCH("Transactional",IF(I248="NOT AVAILABLE","",I248))),ISNUMBER(SEARCH("Commercial",IF(I248="NOT AVAILABLE","",I248)))),25,IF(ISNUMBER(SEARCH("Informational",IF(I248="NOT AVAILABLE","",I248))),10,IF(ISNUMBER(SEARCH("Navigational",IF(I248="NOT AVAILABLE","",I248))),0,12))))+IF(ISNUMBER(F248),MIN(30,ROUND(30*LOG10(F248+1)/4,1)),0)+IF(ISNUMBER(G248),ROUND(25*(100-G248)/100,1),12.5)+L248,0)</f>
        <v/>
      </c>
      <c r="N248" s="5" t="inlineStr">
        <is>
          <t>Low volume - supporting only</t>
        </is>
      </c>
    </row>
    <row r="249">
      <c r="A249" t="inlineStr">
        <is>
          <t>Algeria</t>
        </is>
      </c>
      <c r="B249" t="inlineStr">
        <is>
          <t>dz</t>
        </is>
      </c>
      <c r="C249" t="inlineStr">
        <is>
          <t>fr</t>
        </is>
      </c>
      <c r="D249" s="3" t="inlineStr">
        <is>
          <t>https://codesommet.com/web-development-company/worldwide</t>
        </is>
      </c>
      <c r="E249" t="inlineStr">
        <is>
          <t>développement web sur mesure</t>
        </is>
      </c>
      <c r="F249" t="n">
        <v>0</v>
      </c>
      <c r="G249" t="inlineStr">
        <is>
          <t>NOT AVAILABLE</t>
        </is>
      </c>
      <c r="H249" t="n">
        <v>0</v>
      </c>
      <c r="I249" t="inlineStr">
        <is>
          <t>NOT AVAILABLE</t>
        </is>
      </c>
      <c r="J249" t="inlineStr">
        <is>
          <t>MEASURED</t>
        </is>
      </c>
      <c r="K249" s="5" t="inlineStr">
        <is>
          <t>NOT AVAILABLE (SERP not pulled for this market)</t>
        </is>
      </c>
      <c r="L249" t="n">
        <v>6</v>
      </c>
      <c r="M249">
        <f>ROUND(IF(IF(I249="NOT AVAILABLE","",I249)="",12,IF(OR(ISNUMBER(SEARCH("Transactional",IF(I249="NOT AVAILABLE","",I249))),ISNUMBER(SEARCH("Commercial",IF(I249="NOT AVAILABLE","",I249)))),25,IF(ISNUMBER(SEARCH("Informational",IF(I249="NOT AVAILABLE","",I249))),10,IF(ISNUMBER(SEARCH("Navigational",IF(I249="NOT AVAILABLE","",I249))),0,12))))+IF(ISNUMBER(F249),MIN(30,ROUND(30*LOG10(F249+1)/4,1)),0)+IF(ISNUMBER(G249),ROUND(25*(100-G249)/100,1),12.5)+L249,0)</f>
        <v/>
      </c>
      <c r="N249" s="5" t="inlineStr">
        <is>
          <t>Measured zero - do not target</t>
        </is>
      </c>
    </row>
    <row r="250">
      <c r="A250" t="inlineStr">
        <is>
          <t>Algeria</t>
        </is>
      </c>
      <c r="B250" t="inlineStr">
        <is>
          <t>dz</t>
        </is>
      </c>
      <c r="C250" t="inlineStr">
        <is>
          <t>fr</t>
        </is>
      </c>
      <c r="D250" s="3" t="inlineStr">
        <is>
          <t>https://codesommet.com/web-development-company/worldwide</t>
        </is>
      </c>
      <c r="E250" t="inlineStr">
        <is>
          <t>développement application web</t>
        </is>
      </c>
      <c r="F250" t="n">
        <v>30</v>
      </c>
      <c r="G250" t="inlineStr">
        <is>
          <t>NOT AVAILABLE</t>
        </is>
      </c>
      <c r="H250" t="n">
        <v>0</v>
      </c>
      <c r="I250" t="inlineStr">
        <is>
          <t>NOT AVAILABLE</t>
        </is>
      </c>
      <c r="J250" t="inlineStr">
        <is>
          <t>MEASURED</t>
        </is>
      </c>
      <c r="K250" s="5" t="inlineStr">
        <is>
          <t>NOT AVAILABLE (SERP not pulled for this market)</t>
        </is>
      </c>
      <c r="L250" t="n">
        <v>6</v>
      </c>
      <c r="M250">
        <f>ROUND(IF(IF(I250="NOT AVAILABLE","",I250)="",12,IF(OR(ISNUMBER(SEARCH("Transactional",IF(I250="NOT AVAILABLE","",I250))),ISNUMBER(SEARCH("Commercial",IF(I250="NOT AVAILABLE","",I250)))),25,IF(ISNUMBER(SEARCH("Informational",IF(I250="NOT AVAILABLE","",I250))),10,IF(ISNUMBER(SEARCH("Navigational",IF(I250="NOT AVAILABLE","",I250))),0,12))))+IF(ISNUMBER(F250),MIN(30,ROUND(30*LOG10(F250+1)/4,1)),0)+IF(ISNUMBER(G250),ROUND(25*(100-G250)/100,1),12.5)+L250,0)</f>
        <v/>
      </c>
      <c r="N250" s="5" t="inlineStr">
        <is>
          <t>Low volume - supporting only</t>
        </is>
      </c>
    </row>
    <row r="251">
      <c r="A251" t="inlineStr">
        <is>
          <t>Algeria</t>
        </is>
      </c>
      <c r="B251" t="inlineStr">
        <is>
          <t>dz</t>
        </is>
      </c>
      <c r="C251" t="inlineStr">
        <is>
          <t>fr</t>
        </is>
      </c>
      <c r="D251" s="3" t="inlineStr">
        <is>
          <t>https://codesommet.com/web-development-company/worldwide</t>
        </is>
      </c>
      <c r="E251" t="inlineStr">
        <is>
          <t>agence seo</t>
        </is>
      </c>
      <c r="F251" t="n">
        <v>20</v>
      </c>
      <c r="G251" t="inlineStr">
        <is>
          <t>NOT AVAILABLE</t>
        </is>
      </c>
      <c r="H251" t="n">
        <v>0</v>
      </c>
      <c r="I251" t="inlineStr">
        <is>
          <t>NOT AVAILABLE</t>
        </is>
      </c>
      <c r="J251" t="inlineStr">
        <is>
          <t>MEASURED</t>
        </is>
      </c>
      <c r="K251" s="5" t="inlineStr">
        <is>
          <t>NOT AVAILABLE (SERP not pulled for this market)</t>
        </is>
      </c>
      <c r="L251" t="n">
        <v>6</v>
      </c>
      <c r="M251">
        <f>ROUND(IF(IF(I251="NOT AVAILABLE","",I251)="",12,IF(OR(ISNUMBER(SEARCH("Transactional",IF(I251="NOT AVAILABLE","",I251))),ISNUMBER(SEARCH("Commercial",IF(I251="NOT AVAILABLE","",I251)))),25,IF(ISNUMBER(SEARCH("Informational",IF(I251="NOT AVAILABLE","",I251))),10,IF(ISNUMBER(SEARCH("Navigational",IF(I251="NOT AVAILABLE","",I251))),0,12))))+IF(ISNUMBER(F251),MIN(30,ROUND(30*LOG10(F251+1)/4,1)),0)+IF(ISNUMBER(G251),ROUND(25*(100-G251)/100,1),12.5)+L251,0)</f>
        <v/>
      </c>
      <c r="N251" s="5" t="inlineStr">
        <is>
          <t>Low volume - supporting only</t>
        </is>
      </c>
    </row>
    <row r="252">
      <c r="A252" t="inlineStr">
        <is>
          <t>Algeria</t>
        </is>
      </c>
      <c r="B252" t="inlineStr">
        <is>
          <t>dz</t>
        </is>
      </c>
      <c r="C252" t="inlineStr">
        <is>
          <t>fr</t>
        </is>
      </c>
      <c r="D252" s="3" t="inlineStr">
        <is>
          <t>https://codesommet.com/web-development-company/worldwide</t>
        </is>
      </c>
      <c r="E252" t="inlineStr">
        <is>
          <t>référencement naturel</t>
        </is>
      </c>
      <c r="F252" t="n">
        <v>40</v>
      </c>
      <c r="G252" t="inlineStr">
        <is>
          <t>NOT AVAILABLE</t>
        </is>
      </c>
      <c r="H252" t="n">
        <v>0</v>
      </c>
      <c r="I252" t="inlineStr">
        <is>
          <t>NOT AVAILABLE</t>
        </is>
      </c>
      <c r="J252" t="inlineStr">
        <is>
          <t>MEASURED</t>
        </is>
      </c>
      <c r="K252" s="5" t="inlineStr">
        <is>
          <t>NOT AVAILABLE (SERP not pulled for this market)</t>
        </is>
      </c>
      <c r="L252" t="n">
        <v>6</v>
      </c>
      <c r="M252">
        <f>ROUND(IF(IF(I252="NOT AVAILABLE","",I252)="",12,IF(OR(ISNUMBER(SEARCH("Transactional",IF(I252="NOT AVAILABLE","",I252))),ISNUMBER(SEARCH("Commercial",IF(I252="NOT AVAILABLE","",I252)))),25,IF(ISNUMBER(SEARCH("Informational",IF(I252="NOT AVAILABLE","",I252))),10,IF(ISNUMBER(SEARCH("Navigational",IF(I252="NOT AVAILABLE","",I252))),0,12))))+IF(ISNUMBER(F252),MIN(30,ROUND(30*LOG10(F252+1)/4,1)),0)+IF(ISNUMBER(G252),ROUND(25*(100-G252)/100,1),12.5)+L252,0)</f>
        <v/>
      </c>
      <c r="N252" s="5" t="inlineStr">
        <is>
          <t>Low volume - supporting only</t>
        </is>
      </c>
    </row>
    <row r="253">
      <c r="A253" t="inlineStr">
        <is>
          <t>Algeria</t>
        </is>
      </c>
      <c r="B253" t="inlineStr">
        <is>
          <t>dz</t>
        </is>
      </c>
      <c r="C253" t="inlineStr">
        <is>
          <t>fr</t>
        </is>
      </c>
      <c r="D253" s="3" t="inlineStr">
        <is>
          <t>https://codesommet.com/web-development-company/worldwide</t>
        </is>
      </c>
      <c r="E253" t="inlineStr">
        <is>
          <t>agence web offshore</t>
        </is>
      </c>
      <c r="F253" t="n">
        <v>0</v>
      </c>
      <c r="G253" t="inlineStr">
        <is>
          <t>NOT AVAILABLE</t>
        </is>
      </c>
      <c r="H253" t="n">
        <v>0</v>
      </c>
      <c r="I253" t="inlineStr">
        <is>
          <t>NOT AVAILABLE</t>
        </is>
      </c>
      <c r="J253" t="inlineStr">
        <is>
          <t>MEASURED</t>
        </is>
      </c>
      <c r="K253" s="5" t="inlineStr">
        <is>
          <t>NOT AVAILABLE (SERP not pulled for this market)</t>
        </is>
      </c>
      <c r="L253" t="n">
        <v>6</v>
      </c>
      <c r="M253">
        <f>ROUND(IF(IF(I253="NOT AVAILABLE","",I253)="",12,IF(OR(ISNUMBER(SEARCH("Transactional",IF(I253="NOT AVAILABLE","",I253))),ISNUMBER(SEARCH("Commercial",IF(I253="NOT AVAILABLE","",I253)))),25,IF(ISNUMBER(SEARCH("Informational",IF(I253="NOT AVAILABLE","",I253))),10,IF(ISNUMBER(SEARCH("Navigational",IF(I253="NOT AVAILABLE","",I253))),0,12))))+IF(ISNUMBER(F253),MIN(30,ROUND(30*LOG10(F253+1)/4,1)),0)+IF(ISNUMBER(G253),ROUND(25*(100-G253)/100,1),12.5)+L253,0)</f>
        <v/>
      </c>
      <c r="N253" s="5" t="inlineStr">
        <is>
          <t>Measured zero - do not target</t>
        </is>
      </c>
    </row>
    <row r="254">
      <c r="A254" t="inlineStr">
        <is>
          <t>Algeria</t>
        </is>
      </c>
      <c r="B254" t="inlineStr">
        <is>
          <t>dz</t>
        </is>
      </c>
      <c r="C254" t="inlineStr">
        <is>
          <t>fr</t>
        </is>
      </c>
      <c r="D254" s="3" t="inlineStr">
        <is>
          <t>https://codesommet.com/web-development-company/worldwide</t>
        </is>
      </c>
      <c r="E254" t="inlineStr">
        <is>
          <t>développeur web freelance</t>
        </is>
      </c>
      <c r="F254" t="n">
        <v>30</v>
      </c>
      <c r="G254" t="inlineStr">
        <is>
          <t>NOT AVAILABLE</t>
        </is>
      </c>
      <c r="H254" t="n">
        <v>0</v>
      </c>
      <c r="I254" t="inlineStr">
        <is>
          <t>NOT AVAILABLE</t>
        </is>
      </c>
      <c r="J254" t="inlineStr">
        <is>
          <t>MEASURED</t>
        </is>
      </c>
      <c r="K254" s="5" t="inlineStr">
        <is>
          <t>NOT AVAILABLE (SERP not pulled for this market)</t>
        </is>
      </c>
      <c r="L254" t="n">
        <v>6</v>
      </c>
      <c r="M254">
        <f>ROUND(IF(IF(I254="NOT AVAILABLE","",I254)="",12,IF(OR(ISNUMBER(SEARCH("Transactional",IF(I254="NOT AVAILABLE","",I254))),ISNUMBER(SEARCH("Commercial",IF(I254="NOT AVAILABLE","",I254)))),25,IF(ISNUMBER(SEARCH("Informational",IF(I254="NOT AVAILABLE","",I254))),10,IF(ISNUMBER(SEARCH("Navigational",IF(I254="NOT AVAILABLE","",I254))),0,12))))+IF(ISNUMBER(F254),MIN(30,ROUND(30*LOG10(F254+1)/4,1)),0)+IF(ISNUMBER(G254),ROUND(25*(100-G254)/100,1),12.5)+L254,0)</f>
        <v/>
      </c>
      <c r="N254" s="5" t="inlineStr">
        <is>
          <t>Low volume - supporting only</t>
        </is>
      </c>
    </row>
    <row r="255">
      <c r="A255" t="inlineStr">
        <is>
          <t>Algeria</t>
        </is>
      </c>
      <c r="B255" t="inlineStr">
        <is>
          <t>dz</t>
        </is>
      </c>
      <c r="C255" t="inlineStr">
        <is>
          <t>fr</t>
        </is>
      </c>
      <c r="D255" s="3" t="inlineStr">
        <is>
          <t>https://codesommet.com/web-development-company/worldwide</t>
        </is>
      </c>
      <c r="E255" t="inlineStr">
        <is>
          <t>prix site web</t>
        </is>
      </c>
      <c r="F255" t="n">
        <v>20</v>
      </c>
      <c r="G255" t="inlineStr">
        <is>
          <t>NOT AVAILABLE</t>
        </is>
      </c>
      <c r="H255" t="n">
        <v>0</v>
      </c>
      <c r="I255" t="inlineStr">
        <is>
          <t>NOT AVAILABLE</t>
        </is>
      </c>
      <c r="J255" t="inlineStr">
        <is>
          <t>MEASURED</t>
        </is>
      </c>
      <c r="K255" s="5" t="inlineStr">
        <is>
          <t>NOT AVAILABLE (SERP not pulled for this market)</t>
        </is>
      </c>
      <c r="L255" t="n">
        <v>6</v>
      </c>
      <c r="M255">
        <f>ROUND(IF(IF(I255="NOT AVAILABLE","",I255)="",12,IF(OR(ISNUMBER(SEARCH("Transactional",IF(I255="NOT AVAILABLE","",I255))),ISNUMBER(SEARCH("Commercial",IF(I255="NOT AVAILABLE","",I255)))),25,IF(ISNUMBER(SEARCH("Informational",IF(I255="NOT AVAILABLE","",I255))),10,IF(ISNUMBER(SEARCH("Navigational",IF(I255="NOT AVAILABLE","",I255))),0,12))))+IF(ISNUMBER(F255),MIN(30,ROUND(30*LOG10(F255+1)/4,1)),0)+IF(ISNUMBER(G255),ROUND(25*(100-G255)/100,1),12.5)+L255,0)</f>
        <v/>
      </c>
      <c r="N255" s="5" t="inlineStr">
        <is>
          <t>Low volume - supporting only</t>
        </is>
      </c>
    </row>
    <row r="256">
      <c r="A256" t="inlineStr">
        <is>
          <t>Algeria</t>
        </is>
      </c>
      <c r="B256" t="inlineStr">
        <is>
          <t>dz</t>
        </is>
      </c>
      <c r="C256" t="inlineStr">
        <is>
          <t>fr</t>
        </is>
      </c>
      <c r="D256" s="3" t="inlineStr">
        <is>
          <t>https://codesommet.com/web-development-company/worldwide</t>
        </is>
      </c>
      <c r="E256" t="inlineStr">
        <is>
          <t>prix création site internet</t>
        </is>
      </c>
      <c r="F256" t="n">
        <v>0</v>
      </c>
      <c r="G256" t="inlineStr">
        <is>
          <t>NOT AVAILABLE</t>
        </is>
      </c>
      <c r="H256" t="n">
        <v>0</v>
      </c>
      <c r="I256" t="inlineStr">
        <is>
          <t>NOT AVAILABLE</t>
        </is>
      </c>
      <c r="J256" t="inlineStr">
        <is>
          <t>MEASURED</t>
        </is>
      </c>
      <c r="K256" s="5" t="inlineStr">
        <is>
          <t>NOT AVAILABLE (SERP not pulled for this market)</t>
        </is>
      </c>
      <c r="L256" t="n">
        <v>6</v>
      </c>
      <c r="M256">
        <f>ROUND(IF(IF(I256="NOT AVAILABLE","",I256)="",12,IF(OR(ISNUMBER(SEARCH("Transactional",IF(I256="NOT AVAILABLE","",I256))),ISNUMBER(SEARCH("Commercial",IF(I256="NOT AVAILABLE","",I256)))),25,IF(ISNUMBER(SEARCH("Informational",IF(I256="NOT AVAILABLE","",I256))),10,IF(ISNUMBER(SEARCH("Navigational",IF(I256="NOT AVAILABLE","",I256))),0,12))))+IF(ISNUMBER(F256),MIN(30,ROUND(30*LOG10(F256+1)/4,1)),0)+IF(ISNUMBER(G256),ROUND(25*(100-G256)/100,1),12.5)+L256,0)</f>
        <v/>
      </c>
      <c r="N256" s="5" t="inlineStr">
        <is>
          <t>Measured zero - do not target</t>
        </is>
      </c>
    </row>
    <row r="257">
      <c r="A257" t="inlineStr">
        <is>
          <t>Algeria</t>
        </is>
      </c>
      <c r="B257" t="inlineStr">
        <is>
          <t>dz</t>
        </is>
      </c>
      <c r="C257" t="inlineStr">
        <is>
          <t>fr</t>
        </is>
      </c>
      <c r="D257" s="3" t="inlineStr">
        <is>
          <t>https://codesommet.com/web-development-company/worldwide</t>
        </is>
      </c>
      <c r="E257" t="inlineStr">
        <is>
          <t>création site vitrine</t>
        </is>
      </c>
      <c r="F257" t="n">
        <v>20</v>
      </c>
      <c r="G257" t="inlineStr">
        <is>
          <t>NOT AVAILABLE</t>
        </is>
      </c>
      <c r="H257" t="n">
        <v>0</v>
      </c>
      <c r="I257" t="inlineStr">
        <is>
          <t>NOT AVAILABLE</t>
        </is>
      </c>
      <c r="J257" t="inlineStr">
        <is>
          <t>MEASURED</t>
        </is>
      </c>
      <c r="K257" s="5" t="inlineStr">
        <is>
          <t>NOT AVAILABLE (SERP not pulled for this market)</t>
        </is>
      </c>
      <c r="L257" t="n">
        <v>6</v>
      </c>
      <c r="M257">
        <f>ROUND(IF(IF(I257="NOT AVAILABLE","",I257)="",12,IF(OR(ISNUMBER(SEARCH("Transactional",IF(I257="NOT AVAILABLE","",I257))),ISNUMBER(SEARCH("Commercial",IF(I257="NOT AVAILABLE","",I257)))),25,IF(ISNUMBER(SEARCH("Informational",IF(I257="NOT AVAILABLE","",I257))),10,IF(ISNUMBER(SEARCH("Navigational",IF(I257="NOT AVAILABLE","",I257))),0,12))))+IF(ISNUMBER(F257),MIN(30,ROUND(30*LOG10(F257+1)/4,1)),0)+IF(ISNUMBER(G257),ROUND(25*(100-G257)/100,1),12.5)+L257,0)</f>
        <v/>
      </c>
      <c r="N257" s="5" t="inlineStr">
        <is>
          <t>Low volume - supporting only</t>
        </is>
      </c>
    </row>
    <row r="258">
      <c r="A258" t="inlineStr">
        <is>
          <t>Algeria</t>
        </is>
      </c>
      <c r="B258" t="inlineStr">
        <is>
          <t>dz</t>
        </is>
      </c>
      <c r="C258" t="inlineStr">
        <is>
          <t>fr</t>
        </is>
      </c>
      <c r="D258" s="3" t="inlineStr">
        <is>
          <t>https://codesommet.com/web-development-company/worldwide</t>
        </is>
      </c>
      <c r="E258" t="inlineStr">
        <is>
          <t>refonte site web</t>
        </is>
      </c>
      <c r="F258" t="n">
        <v>20</v>
      </c>
      <c r="G258" t="inlineStr">
        <is>
          <t>NOT AVAILABLE</t>
        </is>
      </c>
      <c r="H258" t="n">
        <v>0</v>
      </c>
      <c r="I258" t="inlineStr">
        <is>
          <t>NOT AVAILABLE</t>
        </is>
      </c>
      <c r="J258" t="inlineStr">
        <is>
          <t>MEASURED</t>
        </is>
      </c>
      <c r="K258" s="5" t="inlineStr">
        <is>
          <t>NOT AVAILABLE (SERP not pulled for this market)</t>
        </is>
      </c>
      <c r="L258" t="n">
        <v>6</v>
      </c>
      <c r="M258">
        <f>ROUND(IF(IF(I258="NOT AVAILABLE","",I258)="",12,IF(OR(ISNUMBER(SEARCH("Transactional",IF(I258="NOT AVAILABLE","",I258))),ISNUMBER(SEARCH("Commercial",IF(I258="NOT AVAILABLE","",I258)))),25,IF(ISNUMBER(SEARCH("Informational",IF(I258="NOT AVAILABLE","",I258))),10,IF(ISNUMBER(SEARCH("Navigational",IF(I258="NOT AVAILABLE","",I258))),0,12))))+IF(ISNUMBER(F258),MIN(30,ROUND(30*LOG10(F258+1)/4,1)),0)+IF(ISNUMBER(G258),ROUND(25*(100-G258)/100,1),12.5)+L258,0)</f>
        <v/>
      </c>
      <c r="N258" s="5" t="inlineStr">
        <is>
          <t>Low volume - supporting only</t>
        </is>
      </c>
    </row>
    <row r="259">
      <c r="A259" t="inlineStr">
        <is>
          <t>Algeria</t>
        </is>
      </c>
      <c r="B259" t="inlineStr">
        <is>
          <t>dz</t>
        </is>
      </c>
      <c r="C259" t="inlineStr">
        <is>
          <t>fr</t>
        </is>
      </c>
      <c r="D259" s="3" t="inlineStr">
        <is>
          <t>https://codesommet.com/web-development-company/worldwide</t>
        </is>
      </c>
      <c r="E259" t="inlineStr">
        <is>
          <t>agence digitale</t>
        </is>
      </c>
      <c r="F259" t="n">
        <v>20</v>
      </c>
      <c r="G259" t="inlineStr">
        <is>
          <t>NOT AVAILABLE</t>
        </is>
      </c>
      <c r="H259" t="n">
        <v>0</v>
      </c>
      <c r="I259" t="inlineStr">
        <is>
          <t>NOT AVAILABLE</t>
        </is>
      </c>
      <c r="J259" t="inlineStr">
        <is>
          <t>MEASURED</t>
        </is>
      </c>
      <c r="K259" s="5" t="inlineStr">
        <is>
          <t>NOT AVAILABLE (SERP not pulled for this market)</t>
        </is>
      </c>
      <c r="L259" t="n">
        <v>6</v>
      </c>
      <c r="M259">
        <f>ROUND(IF(IF(I259="NOT AVAILABLE","",I259)="",12,IF(OR(ISNUMBER(SEARCH("Transactional",IF(I259="NOT AVAILABLE","",I259))),ISNUMBER(SEARCH("Commercial",IF(I259="NOT AVAILABLE","",I259)))),25,IF(ISNUMBER(SEARCH("Informational",IF(I259="NOT AVAILABLE","",I259))),10,IF(ISNUMBER(SEARCH("Navigational",IF(I259="NOT AVAILABLE","",I259))),0,12))))+IF(ISNUMBER(F259),MIN(30,ROUND(30*LOG10(F259+1)/4,1)),0)+IF(ISNUMBER(G259),ROUND(25*(100-G259)/100,1),12.5)+L259,0)</f>
        <v/>
      </c>
      <c r="N259" s="5" t="inlineStr">
        <is>
          <t>Low volume - supporting only</t>
        </is>
      </c>
    </row>
    <row r="260">
      <c r="A260" t="inlineStr">
        <is>
          <t>Algeria</t>
        </is>
      </c>
      <c r="B260" t="inlineStr">
        <is>
          <t>dz</t>
        </is>
      </c>
      <c r="C260" t="inlineStr">
        <is>
          <t>fr</t>
        </is>
      </c>
      <c r="D260" s="3" t="inlineStr">
        <is>
          <t>https://codesommet.com/web-development-company/worldwide</t>
        </is>
      </c>
      <c r="E260" t="inlineStr">
        <is>
          <t>développement saas</t>
        </is>
      </c>
      <c r="F260" t="inlineStr">
        <is>
          <t>NOT AVAILABLE</t>
        </is>
      </c>
      <c r="G260" t="inlineStr">
        <is>
          <t>NOT AVAILABLE</t>
        </is>
      </c>
      <c r="H260" t="inlineStr">
        <is>
          <t>NOT AVAILABLE</t>
        </is>
      </c>
      <c r="I260" t="inlineStr">
        <is>
          <t>NOT AVAILABLE</t>
        </is>
      </c>
      <c r="J260" t="inlineStr">
        <is>
          <t>UNAVAILABLE</t>
        </is>
      </c>
      <c r="K260" s="5" t="inlineStr">
        <is>
          <t>NOT AVAILABLE (SERP not pulled for this market)</t>
        </is>
      </c>
      <c r="L260" t="n">
        <v>6</v>
      </c>
      <c r="M260">
        <f>ROUND(IF(IF(I260="NOT AVAILABLE","",I260)="",12,IF(OR(ISNUMBER(SEARCH("Transactional",IF(I260="NOT AVAILABLE","",I260))),ISNUMBER(SEARCH("Commercial",IF(I260="NOT AVAILABLE","",I260)))),25,IF(ISNUMBER(SEARCH("Informational",IF(I260="NOT AVAILABLE","",I260))),10,IF(ISNUMBER(SEARCH("Navigational",IF(I260="NOT AVAILABLE","",I260))),0,12))))+IF(ISNUMBER(F260),MIN(30,ROUND(30*LOG10(F260+1)/4,1)),0)+IF(ISNUMBER(G260),ROUND(25*(100-G260)/100,1),12.5)+L260,0)</f>
        <v/>
      </c>
      <c r="N260" s="5" t="inlineStr">
        <is>
          <t>No data in this database - do not prioritise</t>
        </is>
      </c>
    </row>
    <row r="261">
      <c r="A261" t="inlineStr">
        <is>
          <t>Algeria</t>
        </is>
      </c>
      <c r="B261" t="inlineStr">
        <is>
          <t>dz</t>
        </is>
      </c>
      <c r="C261" t="inlineStr">
        <is>
          <t>fr</t>
        </is>
      </c>
      <c r="D261" s="3" t="inlineStr">
        <is>
          <t>https://codesommet.com/web-development-company/worldwide</t>
        </is>
      </c>
      <c r="E261" t="inlineStr">
        <is>
          <t>création application web</t>
        </is>
      </c>
      <c r="F261" t="n">
        <v>10</v>
      </c>
      <c r="G261" t="inlineStr">
        <is>
          <t>NOT AVAILABLE</t>
        </is>
      </c>
      <c r="H261" t="n">
        <v>0</v>
      </c>
      <c r="I261" t="inlineStr">
        <is>
          <t>NOT AVAILABLE</t>
        </is>
      </c>
      <c r="J261" t="inlineStr">
        <is>
          <t>MEASURED</t>
        </is>
      </c>
      <c r="K261" s="5" t="inlineStr">
        <is>
          <t>NOT AVAILABLE (SERP not pulled for this market)</t>
        </is>
      </c>
      <c r="L261" t="n">
        <v>6</v>
      </c>
      <c r="M261">
        <f>ROUND(IF(IF(I261="NOT AVAILABLE","",I261)="",12,IF(OR(ISNUMBER(SEARCH("Transactional",IF(I261="NOT AVAILABLE","",I261))),ISNUMBER(SEARCH("Commercial",IF(I261="NOT AVAILABLE","",I261)))),25,IF(ISNUMBER(SEARCH("Informational",IF(I261="NOT AVAILABLE","",I261))),10,IF(ISNUMBER(SEARCH("Navigational",IF(I261="NOT AVAILABLE","",I261))),0,12))))+IF(ISNUMBER(F261),MIN(30,ROUND(30*LOG10(F261+1)/4,1)),0)+IF(ISNUMBER(G261),ROUND(25*(100-G261)/100,1),12.5)+L261,0)</f>
        <v/>
      </c>
      <c r="N261" s="5" t="inlineStr">
        <is>
          <t>Low volume - supporting only</t>
        </is>
      </c>
    </row>
    <row r="262">
      <c r="A262" t="inlineStr">
        <is>
          <t>Algeria</t>
        </is>
      </c>
      <c r="B262" t="inlineStr">
        <is>
          <t>dz</t>
        </is>
      </c>
      <c r="C262" t="inlineStr">
        <is>
          <t>fr</t>
        </is>
      </c>
      <c r="D262" s="3" t="inlineStr">
        <is>
          <t>https://codesommet.com/web-development-company/worldwide</t>
        </is>
      </c>
      <c r="E262" t="inlineStr">
        <is>
          <t>agence web maroc</t>
        </is>
      </c>
      <c r="F262" t="n">
        <v>0</v>
      </c>
      <c r="G262" t="inlineStr">
        <is>
          <t>NOT AVAILABLE</t>
        </is>
      </c>
      <c r="H262" t="n">
        <v>0</v>
      </c>
      <c r="I262" t="inlineStr">
        <is>
          <t>NOT AVAILABLE</t>
        </is>
      </c>
      <c r="J262" t="inlineStr">
        <is>
          <t>MEASURED</t>
        </is>
      </c>
      <c r="K262" s="5" t="inlineStr">
        <is>
          <t>NOT AVAILABLE (SERP not pulled for this market)</t>
        </is>
      </c>
      <c r="L262" t="n">
        <v>6</v>
      </c>
      <c r="M262">
        <f>ROUND(IF(IF(I262="NOT AVAILABLE","",I262)="",12,IF(OR(ISNUMBER(SEARCH("Transactional",IF(I262="NOT AVAILABLE","",I262))),ISNUMBER(SEARCH("Commercial",IF(I262="NOT AVAILABLE","",I262)))),25,IF(ISNUMBER(SEARCH("Informational",IF(I262="NOT AVAILABLE","",I262))),10,IF(ISNUMBER(SEARCH("Navigational",IF(I262="NOT AVAILABLE","",I262))),0,12))))+IF(ISNUMBER(F262),MIN(30,ROUND(30*LOG10(F262+1)/4,1)),0)+IF(ISNUMBER(G262),ROUND(25*(100-G262)/100,1),12.5)+L262,0)</f>
        <v/>
      </c>
      <c r="N262" s="5" t="inlineStr">
        <is>
          <t>Measured zero - do not target</t>
        </is>
      </c>
    </row>
    <row r="263">
      <c r="A263" t="inlineStr">
        <is>
          <t>Algeria</t>
        </is>
      </c>
      <c r="B263" t="inlineStr">
        <is>
          <t>dz</t>
        </is>
      </c>
      <c r="C263" t="inlineStr">
        <is>
          <t>fr</t>
        </is>
      </c>
      <c r="D263" s="3" t="inlineStr">
        <is>
          <t>https://codesommet.com/web-development-company/worldwide</t>
        </is>
      </c>
      <c r="E263" t="inlineStr">
        <is>
          <t>création boutique en ligne</t>
        </is>
      </c>
      <c r="F263" t="n">
        <v>20</v>
      </c>
      <c r="G263" t="inlineStr">
        <is>
          <t>NOT AVAILABLE</t>
        </is>
      </c>
      <c r="H263" t="n">
        <v>0.36</v>
      </c>
      <c r="I263" t="inlineStr">
        <is>
          <t>NOT AVAILABLE</t>
        </is>
      </c>
      <c r="J263" t="inlineStr">
        <is>
          <t>MEASURED</t>
        </is>
      </c>
      <c r="K263" s="5" t="inlineStr">
        <is>
          <t>NOT AVAILABLE (SERP not pulled for this market)</t>
        </is>
      </c>
      <c r="L263" t="n">
        <v>6</v>
      </c>
      <c r="M263">
        <f>ROUND(IF(IF(I263="NOT AVAILABLE","",I263)="",12,IF(OR(ISNUMBER(SEARCH("Transactional",IF(I263="NOT AVAILABLE","",I263))),ISNUMBER(SEARCH("Commercial",IF(I263="NOT AVAILABLE","",I263)))),25,IF(ISNUMBER(SEARCH("Informational",IF(I263="NOT AVAILABLE","",I263))),10,IF(ISNUMBER(SEARCH("Navigational",IF(I263="NOT AVAILABLE","",I263))),0,12))))+IF(ISNUMBER(F263),MIN(30,ROUND(30*LOG10(F263+1)/4,1)),0)+IF(ISNUMBER(G263),ROUND(25*(100-G263)/100,1),12.5)+L263,0)</f>
        <v/>
      </c>
      <c r="N263" s="5" t="inlineStr">
        <is>
          <t>Low volume - supporting only</t>
        </is>
      </c>
    </row>
    <row r="264">
      <c r="A264" t="inlineStr">
        <is>
          <t>Algeria</t>
        </is>
      </c>
      <c r="B264" t="inlineStr">
        <is>
          <t>dz</t>
        </is>
      </c>
      <c r="C264" t="inlineStr">
        <is>
          <t>fr</t>
        </is>
      </c>
      <c r="D264" s="3" t="inlineStr">
        <is>
          <t>https://codesommet.com/web-development-company/worldwide</t>
        </is>
      </c>
      <c r="E264" t="inlineStr">
        <is>
          <t>sous-traitance développement web</t>
        </is>
      </c>
      <c r="F264" t="inlineStr">
        <is>
          <t>NOT AVAILABLE</t>
        </is>
      </c>
      <c r="G264" t="inlineStr">
        <is>
          <t>NOT AVAILABLE</t>
        </is>
      </c>
      <c r="H264" t="inlineStr">
        <is>
          <t>NOT AVAILABLE</t>
        </is>
      </c>
      <c r="I264" t="inlineStr">
        <is>
          <t>NOT AVAILABLE</t>
        </is>
      </c>
      <c r="J264" t="inlineStr">
        <is>
          <t>UNAVAILABLE</t>
        </is>
      </c>
      <c r="K264" s="5" t="inlineStr">
        <is>
          <t>NOT AVAILABLE (SERP not pulled for this market)</t>
        </is>
      </c>
      <c r="L264" t="n">
        <v>6</v>
      </c>
      <c r="M264">
        <f>ROUND(IF(IF(I264="NOT AVAILABLE","",I264)="",12,IF(OR(ISNUMBER(SEARCH("Transactional",IF(I264="NOT AVAILABLE","",I264))),ISNUMBER(SEARCH("Commercial",IF(I264="NOT AVAILABLE","",I264)))),25,IF(ISNUMBER(SEARCH("Informational",IF(I264="NOT AVAILABLE","",I264))),10,IF(ISNUMBER(SEARCH("Navigational",IF(I264="NOT AVAILABLE","",I264))),0,12))))+IF(ISNUMBER(F264),MIN(30,ROUND(30*LOG10(F264+1)/4,1)),0)+IF(ISNUMBER(G264),ROUND(25*(100-G264)/100,1),12.5)+L264,0)</f>
        <v/>
      </c>
      <c r="N264" s="5" t="inlineStr">
        <is>
          <t>No data in this database - do not prioritise</t>
        </is>
      </c>
    </row>
    <row r="265">
      <c r="A265" t="inlineStr">
        <is>
          <t>Algeria</t>
        </is>
      </c>
      <c r="B265" t="inlineStr">
        <is>
          <t>dz</t>
        </is>
      </c>
      <c r="C265" t="inlineStr">
        <is>
          <t>fr</t>
        </is>
      </c>
      <c r="D265" s="3" t="inlineStr">
        <is>
          <t>https://codesommet.com/web-development-company/worldwide</t>
        </is>
      </c>
      <c r="E265" t="inlineStr">
        <is>
          <t>externalisation développement web</t>
        </is>
      </c>
      <c r="F265" t="inlineStr">
        <is>
          <t>NOT AVAILABLE</t>
        </is>
      </c>
      <c r="G265" t="inlineStr">
        <is>
          <t>NOT AVAILABLE</t>
        </is>
      </c>
      <c r="H265" t="inlineStr">
        <is>
          <t>NOT AVAILABLE</t>
        </is>
      </c>
      <c r="I265" t="inlineStr">
        <is>
          <t>NOT AVAILABLE</t>
        </is>
      </c>
      <c r="J265" t="inlineStr">
        <is>
          <t>UNAVAILABLE</t>
        </is>
      </c>
      <c r="K265" s="5" t="inlineStr">
        <is>
          <t>NOT AVAILABLE (SERP not pulled for this market)</t>
        </is>
      </c>
      <c r="L265" t="n">
        <v>6</v>
      </c>
      <c r="M265">
        <f>ROUND(IF(IF(I265="NOT AVAILABLE","",I265)="",12,IF(OR(ISNUMBER(SEARCH("Transactional",IF(I265="NOT AVAILABLE","",I265))),ISNUMBER(SEARCH("Commercial",IF(I265="NOT AVAILABLE","",I265)))),25,IF(ISNUMBER(SEARCH("Informational",IF(I265="NOT AVAILABLE","",I265))),10,IF(ISNUMBER(SEARCH("Navigational",IF(I265="NOT AVAILABLE","",I265))),0,12))))+IF(ISNUMBER(F265),MIN(30,ROUND(30*LOG10(F265+1)/4,1)),0)+IF(ISNUMBER(G265),ROUND(25*(100-G265)/100,1),12.5)+L265,0)</f>
        <v/>
      </c>
      <c r="N265" s="5" t="inlineStr">
        <is>
          <t>No data in this database - do not prioritise</t>
        </is>
      </c>
    </row>
    <row r="266">
      <c r="A266" t="inlineStr">
        <is>
          <t>Algeria</t>
        </is>
      </c>
      <c r="B266" t="inlineStr">
        <is>
          <t>dz</t>
        </is>
      </c>
      <c r="C266" t="inlineStr">
        <is>
          <t>fr</t>
        </is>
      </c>
      <c r="D266" s="3" t="inlineStr">
        <is>
          <t>https://codesommet.com/web-development-company/worldwide</t>
        </is>
      </c>
      <c r="E266" t="inlineStr">
        <is>
          <t>développement web offshore</t>
        </is>
      </c>
      <c r="F266" t="n">
        <v>0</v>
      </c>
      <c r="G266" t="inlineStr">
        <is>
          <t>NOT AVAILABLE</t>
        </is>
      </c>
      <c r="H266" t="n">
        <v>0</v>
      </c>
      <c r="I266" t="inlineStr">
        <is>
          <t>NOT AVAILABLE</t>
        </is>
      </c>
      <c r="J266" t="inlineStr">
        <is>
          <t>MEASURED</t>
        </is>
      </c>
      <c r="K266" s="5" t="inlineStr">
        <is>
          <t>NOT AVAILABLE (SERP not pulled for this market)</t>
        </is>
      </c>
      <c r="L266" t="n">
        <v>6</v>
      </c>
      <c r="M266">
        <f>ROUND(IF(IF(I266="NOT AVAILABLE","",I266)="",12,IF(OR(ISNUMBER(SEARCH("Transactional",IF(I266="NOT AVAILABLE","",I266))),ISNUMBER(SEARCH("Commercial",IF(I266="NOT AVAILABLE","",I266)))),25,IF(ISNUMBER(SEARCH("Informational",IF(I266="NOT AVAILABLE","",I266))),10,IF(ISNUMBER(SEARCH("Navigational",IF(I266="NOT AVAILABLE","",I266))),0,12))))+IF(ISNUMBER(F266),MIN(30,ROUND(30*LOG10(F266+1)/4,1)),0)+IF(ISNUMBER(G266),ROUND(25*(100-G266)/100,1),12.5)+L266,0)</f>
        <v/>
      </c>
      <c r="N266" s="5" t="inlineStr">
        <is>
          <t>Measured zero - do not target</t>
        </is>
      </c>
    </row>
    <row r="267">
      <c r="A267" t="inlineStr">
        <is>
          <t>Algeria</t>
        </is>
      </c>
      <c r="B267" t="inlineStr">
        <is>
          <t>dz</t>
        </is>
      </c>
      <c r="C267" t="inlineStr">
        <is>
          <t>fr</t>
        </is>
      </c>
      <c r="D267" s="3" t="inlineStr">
        <is>
          <t>https://codesommet.com/web-development-company/worldwide</t>
        </is>
      </c>
      <c r="E267" t="inlineStr">
        <is>
          <t>agence web nearshore</t>
        </is>
      </c>
      <c r="F267" t="inlineStr">
        <is>
          <t>NOT AVAILABLE</t>
        </is>
      </c>
      <c r="G267" t="inlineStr">
        <is>
          <t>NOT AVAILABLE</t>
        </is>
      </c>
      <c r="H267" t="inlineStr">
        <is>
          <t>NOT AVAILABLE</t>
        </is>
      </c>
      <c r="I267" t="inlineStr">
        <is>
          <t>NOT AVAILABLE</t>
        </is>
      </c>
      <c r="J267" t="inlineStr">
        <is>
          <t>UNAVAILABLE</t>
        </is>
      </c>
      <c r="K267" s="5" t="inlineStr">
        <is>
          <t>NOT AVAILABLE (SERP not pulled for this market)</t>
        </is>
      </c>
      <c r="L267" t="n">
        <v>6</v>
      </c>
      <c r="M267">
        <f>ROUND(IF(IF(I267="NOT AVAILABLE","",I267)="",12,IF(OR(ISNUMBER(SEARCH("Transactional",IF(I267="NOT AVAILABLE","",I267))),ISNUMBER(SEARCH("Commercial",IF(I267="NOT AVAILABLE","",I267)))),25,IF(ISNUMBER(SEARCH("Informational",IF(I267="NOT AVAILABLE","",I267))),10,IF(ISNUMBER(SEARCH("Navigational",IF(I267="NOT AVAILABLE","",I267))),0,12))))+IF(ISNUMBER(F267),MIN(30,ROUND(30*LOG10(F267+1)/4,1)),0)+IF(ISNUMBER(G267),ROUND(25*(100-G267)/100,1),12.5)+L267,0)</f>
        <v/>
      </c>
      <c r="N267" s="5" t="inlineStr">
        <is>
          <t>No data in this database - do not prioritise</t>
        </is>
      </c>
    </row>
    <row r="268">
      <c r="A268" t="inlineStr">
        <is>
          <t>Algeria</t>
        </is>
      </c>
      <c r="B268" t="inlineStr">
        <is>
          <t>dz</t>
        </is>
      </c>
      <c r="C268" t="inlineStr">
        <is>
          <t>fr</t>
        </is>
      </c>
      <c r="D268" s="3" t="inlineStr">
        <is>
          <t>https://codesommet.com/web-development-company/worldwide</t>
        </is>
      </c>
      <c r="E268" t="inlineStr">
        <is>
          <t>développeur maroc</t>
        </is>
      </c>
      <c r="F268" t="inlineStr">
        <is>
          <t>NOT AVAILABLE</t>
        </is>
      </c>
      <c r="G268" t="inlineStr">
        <is>
          <t>NOT AVAILABLE</t>
        </is>
      </c>
      <c r="H268" t="inlineStr">
        <is>
          <t>NOT AVAILABLE</t>
        </is>
      </c>
      <c r="I268" t="inlineStr">
        <is>
          <t>NOT AVAILABLE</t>
        </is>
      </c>
      <c r="J268" t="inlineStr">
        <is>
          <t>UNAVAILABLE</t>
        </is>
      </c>
      <c r="K268" s="5" t="inlineStr">
        <is>
          <t>NOT AVAILABLE (SERP not pulled for this market)</t>
        </is>
      </c>
      <c r="L268" t="n">
        <v>6</v>
      </c>
      <c r="M268">
        <f>ROUND(IF(IF(I268="NOT AVAILABLE","",I268)="",12,IF(OR(ISNUMBER(SEARCH("Transactional",IF(I268="NOT AVAILABLE","",I268))),ISNUMBER(SEARCH("Commercial",IF(I268="NOT AVAILABLE","",I268)))),25,IF(ISNUMBER(SEARCH("Informational",IF(I268="NOT AVAILABLE","",I268))),10,IF(ISNUMBER(SEARCH("Navigational",IF(I268="NOT AVAILABLE","",I268))),0,12))))+IF(ISNUMBER(F268),MIN(30,ROUND(30*LOG10(F268+1)/4,1)),0)+IF(ISNUMBER(G268),ROUND(25*(100-G268)/100,1),12.5)+L268,0)</f>
        <v/>
      </c>
      <c r="N268" s="5" t="inlineStr">
        <is>
          <t>No data in this database - do not prioritise</t>
        </is>
      </c>
    </row>
    <row r="269">
      <c r="A269" t="inlineStr">
        <is>
          <t>Algeria</t>
        </is>
      </c>
      <c r="B269" t="inlineStr">
        <is>
          <t>dz</t>
        </is>
      </c>
      <c r="C269" t="inlineStr">
        <is>
          <t>fr</t>
        </is>
      </c>
      <c r="D269" s="3" t="inlineStr">
        <is>
          <t>https://codesommet.com/web-development-company/worldwide</t>
        </is>
      </c>
      <c r="E269" t="inlineStr">
        <is>
          <t>développement logiciel sur mesure</t>
        </is>
      </c>
      <c r="F269" t="n">
        <v>0</v>
      </c>
      <c r="G269" t="inlineStr">
        <is>
          <t>NOT AVAILABLE</t>
        </is>
      </c>
      <c r="H269" t="n">
        <v>0</v>
      </c>
      <c r="I269" t="inlineStr">
        <is>
          <t>NOT AVAILABLE</t>
        </is>
      </c>
      <c r="J269" t="inlineStr">
        <is>
          <t>MEASURED</t>
        </is>
      </c>
      <c r="K269" s="5" t="inlineStr">
        <is>
          <t>NOT AVAILABLE (SERP not pulled for this market)</t>
        </is>
      </c>
      <c r="L269" t="n">
        <v>6</v>
      </c>
      <c r="M269">
        <f>ROUND(IF(IF(I269="NOT AVAILABLE","",I269)="",12,IF(OR(ISNUMBER(SEARCH("Transactional",IF(I269="NOT AVAILABLE","",I269))),ISNUMBER(SEARCH("Commercial",IF(I269="NOT AVAILABLE","",I269)))),25,IF(ISNUMBER(SEARCH("Informational",IF(I269="NOT AVAILABLE","",I269))),10,IF(ISNUMBER(SEARCH("Navigational",IF(I269="NOT AVAILABLE","",I269))),0,12))))+IF(ISNUMBER(F269),MIN(30,ROUND(30*LOG10(F269+1)/4,1)),0)+IF(ISNUMBER(G269),ROUND(25*(100-G269)/100,1),12.5)+L269,0)</f>
        <v/>
      </c>
      <c r="N269" s="5" t="inlineStr">
        <is>
          <t>Measured zero - do not target</t>
        </is>
      </c>
    </row>
    <row r="270">
      <c r="A270" t="inlineStr">
        <is>
          <t>Algeria</t>
        </is>
      </c>
      <c r="B270" t="inlineStr">
        <is>
          <t>dz</t>
        </is>
      </c>
      <c r="C270" t="inlineStr">
        <is>
          <t>fr</t>
        </is>
      </c>
      <c r="D270" s="3" t="inlineStr">
        <is>
          <t>https://codesommet.com/web-development-company/worldwide</t>
        </is>
      </c>
      <c r="E270" t="inlineStr">
        <is>
          <t>conception site web</t>
        </is>
      </c>
      <c r="F270" t="n">
        <v>20</v>
      </c>
      <c r="G270" t="inlineStr">
        <is>
          <t>NOT AVAILABLE</t>
        </is>
      </c>
      <c r="H270" t="n">
        <v>0.23</v>
      </c>
      <c r="I270" t="inlineStr">
        <is>
          <t>NOT AVAILABLE</t>
        </is>
      </c>
      <c r="J270" t="inlineStr">
        <is>
          <t>MEASURED</t>
        </is>
      </c>
      <c r="K270" s="5" t="inlineStr">
        <is>
          <t>NOT AVAILABLE (SERP not pulled for this market)</t>
        </is>
      </c>
      <c r="L270" t="n">
        <v>6</v>
      </c>
      <c r="M270">
        <f>ROUND(IF(IF(I270="NOT AVAILABLE","",I270)="",12,IF(OR(ISNUMBER(SEARCH("Transactional",IF(I270="NOT AVAILABLE","",I270))),ISNUMBER(SEARCH("Commercial",IF(I270="NOT AVAILABLE","",I270)))),25,IF(ISNUMBER(SEARCH("Informational",IF(I270="NOT AVAILABLE","",I270))),10,IF(ISNUMBER(SEARCH("Navigational",IF(I270="NOT AVAILABLE","",I270))),0,12))))+IF(ISNUMBER(F270),MIN(30,ROUND(30*LOG10(F270+1)/4,1)),0)+IF(ISNUMBER(G270),ROUND(25*(100-G270)/100,1),12.5)+L270,0)</f>
        <v/>
      </c>
      <c r="N270" s="5" t="inlineStr">
        <is>
          <t>Low volume - supporting only</t>
        </is>
      </c>
    </row>
    <row r="271">
      <c r="A271" t="inlineStr">
        <is>
          <t>Algeria</t>
        </is>
      </c>
      <c r="B271" t="inlineStr">
        <is>
          <t>dz</t>
        </is>
      </c>
      <c r="C271" t="inlineStr">
        <is>
          <t>fr</t>
        </is>
      </c>
      <c r="D271" s="3" t="inlineStr">
        <is>
          <t>https://codesommet.com/web-development-company/worldwide</t>
        </is>
      </c>
      <c r="E271" t="inlineStr">
        <is>
          <t>site internet professionnel</t>
        </is>
      </c>
      <c r="F271" t="n">
        <v>0</v>
      </c>
      <c r="G271" t="inlineStr">
        <is>
          <t>NOT AVAILABLE</t>
        </is>
      </c>
      <c r="H271" t="n">
        <v>0</v>
      </c>
      <c r="I271" t="inlineStr">
        <is>
          <t>NOT AVAILABLE</t>
        </is>
      </c>
      <c r="J271" t="inlineStr">
        <is>
          <t>MEASURED</t>
        </is>
      </c>
      <c r="K271" s="5" t="inlineStr">
        <is>
          <t>NOT AVAILABLE (SERP not pulled for this market)</t>
        </is>
      </c>
      <c r="L271" t="n">
        <v>6</v>
      </c>
      <c r="M271">
        <f>ROUND(IF(IF(I271="NOT AVAILABLE","",I271)="",12,IF(OR(ISNUMBER(SEARCH("Transactional",IF(I271="NOT AVAILABLE","",I271))),ISNUMBER(SEARCH("Commercial",IF(I271="NOT AVAILABLE","",I271)))),25,IF(ISNUMBER(SEARCH("Informational",IF(I271="NOT AVAILABLE","",I271))),10,IF(ISNUMBER(SEARCH("Navigational",IF(I271="NOT AVAILABLE","",I271))),0,12))))+IF(ISNUMBER(F271),MIN(30,ROUND(30*LOG10(F271+1)/4,1)),0)+IF(ISNUMBER(G271),ROUND(25*(100-G271)/100,1),12.5)+L271,0)</f>
        <v/>
      </c>
      <c r="N271" s="5" t="inlineStr">
        <is>
          <t>Measured zero - do not target</t>
        </is>
      </c>
    </row>
    <row r="272">
      <c r="A272" t="inlineStr">
        <is>
          <t>Algeria</t>
        </is>
      </c>
      <c r="B272" t="inlineStr">
        <is>
          <t>dz</t>
        </is>
      </c>
      <c r="C272" t="inlineStr">
        <is>
          <t>fr</t>
        </is>
      </c>
      <c r="D272" s="3" t="inlineStr">
        <is>
          <t>https://codesommet.com/web-development-company/worldwide</t>
        </is>
      </c>
      <c r="E272" t="inlineStr">
        <is>
          <t>webdesigner</t>
        </is>
      </c>
      <c r="F272" t="n">
        <v>30</v>
      </c>
      <c r="G272" t="inlineStr">
        <is>
          <t>NOT AVAILABLE</t>
        </is>
      </c>
      <c r="H272" t="n">
        <v>0</v>
      </c>
      <c r="I272" t="inlineStr">
        <is>
          <t>NOT AVAILABLE</t>
        </is>
      </c>
      <c r="J272" t="inlineStr">
        <is>
          <t>MEASURED</t>
        </is>
      </c>
      <c r="K272" s="5" t="inlineStr">
        <is>
          <t>NOT AVAILABLE (SERP not pulled for this market)</t>
        </is>
      </c>
      <c r="L272" t="n">
        <v>6</v>
      </c>
      <c r="M272">
        <f>ROUND(IF(IF(I272="NOT AVAILABLE","",I272)="",12,IF(OR(ISNUMBER(SEARCH("Transactional",IF(I272="NOT AVAILABLE","",I272))),ISNUMBER(SEARCH("Commercial",IF(I272="NOT AVAILABLE","",I272)))),25,IF(ISNUMBER(SEARCH("Informational",IF(I272="NOT AVAILABLE","",I272))),10,IF(ISNUMBER(SEARCH("Navigational",IF(I272="NOT AVAILABLE","",I272))),0,12))))+IF(ISNUMBER(F272),MIN(30,ROUND(30*LOG10(F272+1)/4,1)),0)+IF(ISNUMBER(G272),ROUND(25*(100-G272)/100,1),12.5)+L272,0)</f>
        <v/>
      </c>
      <c r="N272" s="5" t="inlineStr">
        <is>
          <t>Low volume - supporting only</t>
        </is>
      </c>
    </row>
    <row r="273">
      <c r="A273" t="inlineStr">
        <is>
          <t>Algeria</t>
        </is>
      </c>
      <c r="B273" t="inlineStr">
        <is>
          <t>dz</t>
        </is>
      </c>
      <c r="C273" t="inlineStr">
        <is>
          <t>fr</t>
        </is>
      </c>
      <c r="D273" s="3" t="inlineStr">
        <is>
          <t>https://codesommet.com/web-development-company/worldwide</t>
        </is>
      </c>
      <c r="E273" t="inlineStr">
        <is>
          <t>agence web pas cher</t>
        </is>
      </c>
      <c r="F273" t="inlineStr">
        <is>
          <t>NOT AVAILABLE</t>
        </is>
      </c>
      <c r="G273" t="inlineStr">
        <is>
          <t>NOT AVAILABLE</t>
        </is>
      </c>
      <c r="H273" t="inlineStr">
        <is>
          <t>NOT AVAILABLE</t>
        </is>
      </c>
      <c r="I273" t="inlineStr">
        <is>
          <t>NOT AVAILABLE</t>
        </is>
      </c>
      <c r="J273" t="inlineStr">
        <is>
          <t>UNAVAILABLE</t>
        </is>
      </c>
      <c r="K273" s="5" t="inlineStr">
        <is>
          <t>NOT AVAILABLE (SERP not pulled for this market)</t>
        </is>
      </c>
      <c r="L273" t="n">
        <v>6</v>
      </c>
      <c r="M273">
        <f>ROUND(IF(IF(I273="NOT AVAILABLE","",I273)="",12,IF(OR(ISNUMBER(SEARCH("Transactional",IF(I273="NOT AVAILABLE","",I273))),ISNUMBER(SEARCH("Commercial",IF(I273="NOT AVAILABLE","",I273)))),25,IF(ISNUMBER(SEARCH("Informational",IF(I273="NOT AVAILABLE","",I273))),10,IF(ISNUMBER(SEARCH("Navigational",IF(I273="NOT AVAILABLE","",I273))),0,12))))+IF(ISNUMBER(F273),MIN(30,ROUND(30*LOG10(F273+1)/4,1)),0)+IF(ISNUMBER(G273),ROUND(25*(100-G273)/100,1),12.5)+L273,0)</f>
        <v/>
      </c>
      <c r="N273" s="5" t="inlineStr">
        <is>
          <t>No data in this database - do not prioritise</t>
        </is>
      </c>
    </row>
    <row r="274">
      <c r="A274" t="inlineStr">
        <is>
          <t>Algeria</t>
        </is>
      </c>
      <c r="B274" t="inlineStr">
        <is>
          <t>dz</t>
        </is>
      </c>
      <c r="C274" t="inlineStr">
        <is>
          <t>fr</t>
        </is>
      </c>
      <c r="D274" t="inlineStr">
        <is>
          <t>(no page - see recommendation)</t>
        </is>
      </c>
      <c r="E274" t="inlineStr">
        <is>
          <t>agence web algérie</t>
        </is>
      </c>
      <c r="F274" t="n">
        <v>20</v>
      </c>
      <c r="G274" t="inlineStr">
        <is>
          <t>NOT AVAILABLE</t>
        </is>
      </c>
      <c r="H274" t="n">
        <v>0</v>
      </c>
      <c r="I274" t="inlineStr">
        <is>
          <t>NOT AVAILABLE</t>
        </is>
      </c>
      <c r="J274" t="inlineStr">
        <is>
          <t>MEASURED</t>
        </is>
      </c>
      <c r="K274" s="5" t="inlineStr">
        <is>
          <t>NOT AVAILABLE (SERP not pulled for this market)</t>
        </is>
      </c>
      <c r="L274" t="n">
        <v>6</v>
      </c>
      <c r="M274">
        <f>ROUND(IF(IF(I274="NOT AVAILABLE","",I274)="",12,IF(OR(ISNUMBER(SEARCH("Transactional",IF(I274="NOT AVAILABLE","",I274))),ISNUMBER(SEARCH("Commercial",IF(I274="NOT AVAILABLE","",I274)))),25,IF(ISNUMBER(SEARCH("Informational",IF(I274="NOT AVAILABLE","",I274))),10,IF(ISNUMBER(SEARCH("Navigational",IF(I274="NOT AVAILABLE","",I274))),0,12))))+IF(ISNUMBER(F274),MIN(30,ROUND(30*LOG10(F274+1)/4,1)),0)+IF(ISNUMBER(G274),ROUND(25*(100-G274)/100,1),12.5)+L274,0)</f>
        <v/>
      </c>
      <c r="N274" s="5" t="inlineStr">
        <is>
          <t>Low volume - supporting only</t>
        </is>
      </c>
    </row>
    <row r="275">
      <c r="A275" t="inlineStr">
        <is>
          <t>Algeria</t>
        </is>
      </c>
      <c r="B275" t="inlineStr">
        <is>
          <t>dz</t>
        </is>
      </c>
      <c r="C275" t="inlineStr">
        <is>
          <t>fr</t>
        </is>
      </c>
      <c r="D275" t="inlineStr">
        <is>
          <t>(no page - see recommendation)</t>
        </is>
      </c>
      <c r="E275" t="inlineStr">
        <is>
          <t>création site web algérie</t>
        </is>
      </c>
      <c r="F275" t="n">
        <v>20</v>
      </c>
      <c r="G275" t="inlineStr">
        <is>
          <t>NOT AVAILABLE</t>
        </is>
      </c>
      <c r="H275" t="n">
        <v>0.23</v>
      </c>
      <c r="I275" t="inlineStr">
        <is>
          <t>NOT AVAILABLE</t>
        </is>
      </c>
      <c r="J275" t="inlineStr">
        <is>
          <t>MEASURED</t>
        </is>
      </c>
      <c r="K275" s="5" t="inlineStr">
        <is>
          <t>NOT AVAILABLE (SERP not pulled for this market)</t>
        </is>
      </c>
      <c r="L275" t="n">
        <v>6</v>
      </c>
      <c r="M275">
        <f>ROUND(IF(IF(I275="NOT AVAILABLE","",I275)="",12,IF(OR(ISNUMBER(SEARCH("Transactional",IF(I275="NOT AVAILABLE","",I275))),ISNUMBER(SEARCH("Commercial",IF(I275="NOT AVAILABLE","",I275)))),25,IF(ISNUMBER(SEARCH("Informational",IF(I275="NOT AVAILABLE","",I275))),10,IF(ISNUMBER(SEARCH("Navigational",IF(I275="NOT AVAILABLE","",I275))),0,12))))+IF(ISNUMBER(F275),MIN(30,ROUND(30*LOG10(F275+1)/4,1)),0)+IF(ISNUMBER(G275),ROUND(25*(100-G275)/100,1),12.5)+L275,0)</f>
        <v/>
      </c>
      <c r="N275" s="5" t="inlineStr">
        <is>
          <t>Low volume - supporting only</t>
        </is>
      </c>
    </row>
    <row r="276">
      <c r="A276" t="inlineStr">
        <is>
          <t>Algeria</t>
        </is>
      </c>
      <c r="B276" t="inlineStr">
        <is>
          <t>dz</t>
        </is>
      </c>
      <c r="C276" t="inlineStr">
        <is>
          <t>fr</t>
        </is>
      </c>
      <c r="D276" t="inlineStr">
        <is>
          <t>(no page - see recommendation)</t>
        </is>
      </c>
      <c r="E276" t="inlineStr">
        <is>
          <t>agence web alger</t>
        </is>
      </c>
      <c r="F276" t="n">
        <v>20</v>
      </c>
      <c r="G276" t="inlineStr">
        <is>
          <t>NOT AVAILABLE</t>
        </is>
      </c>
      <c r="H276" t="n">
        <v>0</v>
      </c>
      <c r="I276" t="inlineStr">
        <is>
          <t>NOT AVAILABLE</t>
        </is>
      </c>
      <c r="J276" t="inlineStr">
        <is>
          <t>MEASURED</t>
        </is>
      </c>
      <c r="K276" s="5" t="inlineStr">
        <is>
          <t>NOT AVAILABLE (SERP not pulled for this market)</t>
        </is>
      </c>
      <c r="L276" t="n">
        <v>6</v>
      </c>
      <c r="M276">
        <f>ROUND(IF(IF(I276="NOT AVAILABLE","",I276)="",12,IF(OR(ISNUMBER(SEARCH("Transactional",IF(I276="NOT AVAILABLE","",I276))),ISNUMBER(SEARCH("Commercial",IF(I276="NOT AVAILABLE","",I276)))),25,IF(ISNUMBER(SEARCH("Informational",IF(I276="NOT AVAILABLE","",I276))),10,IF(ISNUMBER(SEARCH("Navigational",IF(I276="NOT AVAILABLE","",I276))),0,12))))+IF(ISNUMBER(F276),MIN(30,ROUND(30*LOG10(F276+1)/4,1)),0)+IF(ISNUMBER(G276),ROUND(25*(100-G276)/100,1),12.5)+L276,0)</f>
        <v/>
      </c>
      <c r="N276" s="5" t="inlineStr">
        <is>
          <t>Low volume - supporting only</t>
        </is>
      </c>
    </row>
    <row r="277">
      <c r="A277" t="inlineStr">
        <is>
          <t>Morocco</t>
        </is>
      </c>
      <c r="B277" t="inlineStr">
        <is>
          <t>ma</t>
        </is>
      </c>
      <c r="C277" t="inlineStr">
        <is>
          <t>fr</t>
        </is>
      </c>
      <c r="D277" s="3" t="inlineStr">
        <is>
          <t>https://codesommet.com/</t>
        </is>
      </c>
      <c r="E277" t="inlineStr">
        <is>
          <t>agence web</t>
        </is>
      </c>
      <c r="F277" t="n">
        <v>480</v>
      </c>
      <c r="G277" t="n">
        <v>51</v>
      </c>
      <c r="H277" t="n">
        <v>0.63</v>
      </c>
      <c r="I277" t="inlineStr">
        <is>
          <t>Commercial</t>
        </is>
      </c>
      <c r="J277" t="inlineStr">
        <is>
          <t>MEASURED</t>
        </is>
      </c>
      <c r="K277" s="5" t="inlineStr">
        <is>
          <t>NOT AVAILABLE (SERP not pulled for this market)</t>
        </is>
      </c>
      <c r="L277" t="n">
        <v>20</v>
      </c>
      <c r="M277">
        <f>ROUND(IF(IF(I277="NOT AVAILABLE","",I277)="",12,IF(OR(ISNUMBER(SEARCH("Transactional",IF(I277="NOT AVAILABLE","",I277))),ISNUMBER(SEARCH("Commercial",IF(I277="NOT AVAILABLE","",I277)))),25,IF(ISNUMBER(SEARCH("Informational",IF(I277="NOT AVAILABLE","",I277))),10,IF(ISNUMBER(SEARCH("Navigational",IF(I277="NOT AVAILABLE","",I277))),0,12))))+IF(ISNUMBER(F277),MIN(30,ROUND(30*LOG10(F277+1)/4,1)),0)+IF(ISNUMBER(G277),ROUND(25*(100-G277)/100,1),12.5)+L277,0)</f>
        <v/>
      </c>
      <c r="N277" s="5" t="inlineStr">
        <is>
          <t>High difficulty - long-term only, needs authority/links</t>
        </is>
      </c>
    </row>
    <row r="278">
      <c r="A278" t="inlineStr">
        <is>
          <t>Morocco</t>
        </is>
      </c>
      <c r="B278" t="inlineStr">
        <is>
          <t>ma</t>
        </is>
      </c>
      <c r="C278" t="inlineStr">
        <is>
          <t>fr</t>
        </is>
      </c>
      <c r="D278" s="3" t="inlineStr">
        <is>
          <t>https://codesommet.com/</t>
        </is>
      </c>
      <c r="E278" t="inlineStr">
        <is>
          <t>création site web</t>
        </is>
      </c>
      <c r="F278" t="n">
        <v>390</v>
      </c>
      <c r="G278" t="n">
        <v>69</v>
      </c>
      <c r="H278" t="n">
        <v>0.75</v>
      </c>
      <c r="I278" t="inlineStr">
        <is>
          <t>Informational</t>
        </is>
      </c>
      <c r="J278" t="inlineStr">
        <is>
          <t>MEASURED</t>
        </is>
      </c>
      <c r="K278" s="5" t="inlineStr">
        <is>
          <t>NOT AVAILABLE (SERP not pulled for this market)</t>
        </is>
      </c>
      <c r="L278" t="n">
        <v>20</v>
      </c>
      <c r="M278">
        <f>ROUND(IF(IF(I278="NOT AVAILABLE","",I278)="",12,IF(OR(ISNUMBER(SEARCH("Transactional",IF(I278="NOT AVAILABLE","",I278))),ISNUMBER(SEARCH("Commercial",IF(I278="NOT AVAILABLE","",I278)))),25,IF(ISNUMBER(SEARCH("Informational",IF(I278="NOT AVAILABLE","",I278))),10,IF(ISNUMBER(SEARCH("Navigational",IF(I278="NOT AVAILABLE","",I278))),0,12))))+IF(ISNUMBER(F278),MIN(30,ROUND(30*LOG10(F278+1)/4,1)),0)+IF(ISNUMBER(G278),ROUND(25*(100-G278)/100,1),12.5)+L278,0)</f>
        <v/>
      </c>
      <c r="N278" s="5" t="inlineStr">
        <is>
          <t>High difficulty - long-term only, needs authority/links</t>
        </is>
      </c>
    </row>
    <row r="279">
      <c r="A279" t="inlineStr">
        <is>
          <t>Morocco</t>
        </is>
      </c>
      <c r="B279" t="inlineStr">
        <is>
          <t>ma</t>
        </is>
      </c>
      <c r="C279" t="inlineStr">
        <is>
          <t>fr</t>
        </is>
      </c>
      <c r="D279" s="3" t="inlineStr">
        <is>
          <t>https://codesommet.com/</t>
        </is>
      </c>
      <c r="E279" t="inlineStr">
        <is>
          <t>création site internet</t>
        </is>
      </c>
      <c r="F279" t="inlineStr">
        <is>
          <t>NOT AVAILABLE</t>
        </is>
      </c>
      <c r="G279" t="inlineStr">
        <is>
          <t>NOT AVAILABLE</t>
        </is>
      </c>
      <c r="H279" t="inlineStr">
        <is>
          <t>NOT AVAILABLE</t>
        </is>
      </c>
      <c r="I279" t="inlineStr">
        <is>
          <t>NOT AVAILABLE</t>
        </is>
      </c>
      <c r="J279" t="inlineStr">
        <is>
          <t>SUGGESTED</t>
        </is>
      </c>
      <c r="K279" s="5" t="inlineStr">
        <is>
          <t>NOT AVAILABLE (SERP not pulled for this market)</t>
        </is>
      </c>
      <c r="L279" t="n">
        <v>20</v>
      </c>
      <c r="M279">
        <f>ROUND(IF(IF(I279="NOT AVAILABLE","",I279)="",12,IF(OR(ISNUMBER(SEARCH("Transactional",IF(I279="NOT AVAILABLE","",I279))),ISNUMBER(SEARCH("Commercial",IF(I279="NOT AVAILABLE","",I279)))),25,IF(ISNUMBER(SEARCH("Informational",IF(I279="NOT AVAILABLE","",I279))),10,IF(ISNUMBER(SEARCH("Navigational",IF(I279="NOT AVAILABLE","",I279))),0,12))))+IF(ISNUMBER(F279),MIN(30,ROUND(30*LOG10(F279+1)/4,1)),0)+IF(ISNUMBER(G279),ROUND(25*(100-G279)/100,1),12.5)+L279,0)</f>
        <v/>
      </c>
      <c r="N279" s="5" t="inlineStr">
        <is>
          <t>No data in this database - do not prioritise</t>
        </is>
      </c>
    </row>
    <row r="280">
      <c r="A280" t="inlineStr">
        <is>
          <t>Morocco</t>
        </is>
      </c>
      <c r="B280" t="inlineStr">
        <is>
          <t>ma</t>
        </is>
      </c>
      <c r="C280" t="inlineStr">
        <is>
          <t>fr</t>
        </is>
      </c>
      <c r="D280" s="3" t="inlineStr">
        <is>
          <t>https://codesommet.com/</t>
        </is>
      </c>
      <c r="E280" t="inlineStr">
        <is>
          <t>création site e-commerce</t>
        </is>
      </c>
      <c r="F280" t="n">
        <v>20</v>
      </c>
      <c r="G280" t="inlineStr">
        <is>
          <t>NOT AVAILABLE</t>
        </is>
      </c>
      <c r="H280" t="n">
        <v>0.6</v>
      </c>
      <c r="I280" t="inlineStr">
        <is>
          <t>NOT AVAILABLE</t>
        </is>
      </c>
      <c r="J280" t="inlineStr">
        <is>
          <t>MEASURED</t>
        </is>
      </c>
      <c r="K280" s="5" t="inlineStr">
        <is>
          <t>NOT AVAILABLE (SERP not pulled for this market)</t>
        </is>
      </c>
      <c r="L280" t="n">
        <v>20</v>
      </c>
      <c r="M280">
        <f>ROUND(IF(IF(I280="NOT AVAILABLE","",I280)="",12,IF(OR(ISNUMBER(SEARCH("Transactional",IF(I280="NOT AVAILABLE","",I280))),ISNUMBER(SEARCH("Commercial",IF(I280="NOT AVAILABLE","",I280)))),25,IF(ISNUMBER(SEARCH("Informational",IF(I280="NOT AVAILABLE","",I280))),10,IF(ISNUMBER(SEARCH("Navigational",IF(I280="NOT AVAILABLE","",I280))),0,12))))+IF(ISNUMBER(F280),MIN(30,ROUND(30*LOG10(F280+1)/4,1)),0)+IF(ISNUMBER(G280),ROUND(25*(100-G280)/100,1),12.5)+L280,0)</f>
        <v/>
      </c>
      <c r="N280" s="5" t="inlineStr">
        <is>
          <t>Low volume - supporting only</t>
        </is>
      </c>
    </row>
    <row r="281">
      <c r="A281" t="inlineStr">
        <is>
          <t>Morocco</t>
        </is>
      </c>
      <c r="B281" t="inlineStr">
        <is>
          <t>ma</t>
        </is>
      </c>
      <c r="C281" t="inlineStr">
        <is>
          <t>fr</t>
        </is>
      </c>
      <c r="D281" s="3" t="inlineStr">
        <is>
          <t>https://codesommet.com/</t>
        </is>
      </c>
      <c r="E281" t="inlineStr">
        <is>
          <t>agence de développement web</t>
        </is>
      </c>
      <c r="F281" t="n">
        <v>20</v>
      </c>
      <c r="G281" t="inlineStr">
        <is>
          <t>NOT AVAILABLE</t>
        </is>
      </c>
      <c r="H281" t="n">
        <v>0.44</v>
      </c>
      <c r="I281" t="inlineStr">
        <is>
          <t>NOT AVAILABLE</t>
        </is>
      </c>
      <c r="J281" t="inlineStr">
        <is>
          <t>MEASURED</t>
        </is>
      </c>
      <c r="K281" s="5" t="inlineStr">
        <is>
          <t>NOT AVAILABLE (SERP not pulled for this market)</t>
        </is>
      </c>
      <c r="L281" t="n">
        <v>20</v>
      </c>
      <c r="M281">
        <f>ROUND(IF(IF(I281="NOT AVAILABLE","",I281)="",12,IF(OR(ISNUMBER(SEARCH("Transactional",IF(I281="NOT AVAILABLE","",I281))),ISNUMBER(SEARCH("Commercial",IF(I281="NOT AVAILABLE","",I281)))),25,IF(ISNUMBER(SEARCH("Informational",IF(I281="NOT AVAILABLE","",I281))),10,IF(ISNUMBER(SEARCH("Navigational",IF(I281="NOT AVAILABLE","",I281))),0,12))))+IF(ISNUMBER(F281),MIN(30,ROUND(30*LOG10(F281+1)/4,1)),0)+IF(ISNUMBER(G281),ROUND(25*(100-G281)/100,1),12.5)+L281,0)</f>
        <v/>
      </c>
      <c r="N281" s="5" t="inlineStr">
        <is>
          <t>Low volume - supporting only</t>
        </is>
      </c>
    </row>
    <row r="282">
      <c r="A282" t="inlineStr">
        <is>
          <t>Morocco</t>
        </is>
      </c>
      <c r="B282" t="inlineStr">
        <is>
          <t>ma</t>
        </is>
      </c>
      <c r="C282" t="inlineStr">
        <is>
          <t>fr</t>
        </is>
      </c>
      <c r="D282" s="3" t="inlineStr">
        <is>
          <t>https://codesommet.com/</t>
        </is>
      </c>
      <c r="E282" t="inlineStr">
        <is>
          <t>développement web sur mesure</t>
        </is>
      </c>
      <c r="F282" t="n">
        <v>10</v>
      </c>
      <c r="G282" t="inlineStr">
        <is>
          <t>NOT AVAILABLE</t>
        </is>
      </c>
      <c r="H282" t="n">
        <v>0</v>
      </c>
      <c r="I282" t="inlineStr">
        <is>
          <t>NOT AVAILABLE</t>
        </is>
      </c>
      <c r="J282" t="inlineStr">
        <is>
          <t>MEASURED</t>
        </is>
      </c>
      <c r="K282" s="5" t="inlineStr">
        <is>
          <t>NOT AVAILABLE (SERP not pulled for this market)</t>
        </is>
      </c>
      <c r="L282" t="n">
        <v>20</v>
      </c>
      <c r="M282">
        <f>ROUND(IF(IF(I282="NOT AVAILABLE","",I282)="",12,IF(OR(ISNUMBER(SEARCH("Transactional",IF(I282="NOT AVAILABLE","",I282))),ISNUMBER(SEARCH("Commercial",IF(I282="NOT AVAILABLE","",I282)))),25,IF(ISNUMBER(SEARCH("Informational",IF(I282="NOT AVAILABLE","",I282))),10,IF(ISNUMBER(SEARCH("Navigational",IF(I282="NOT AVAILABLE","",I282))),0,12))))+IF(ISNUMBER(F282),MIN(30,ROUND(30*LOG10(F282+1)/4,1)),0)+IF(ISNUMBER(G282),ROUND(25*(100-G282)/100,1),12.5)+L282,0)</f>
        <v/>
      </c>
      <c r="N282" s="5" t="inlineStr">
        <is>
          <t>Low volume - supporting only</t>
        </is>
      </c>
    </row>
    <row r="283">
      <c r="A283" t="inlineStr">
        <is>
          <t>Morocco</t>
        </is>
      </c>
      <c r="B283" t="inlineStr">
        <is>
          <t>ma</t>
        </is>
      </c>
      <c r="C283" t="inlineStr">
        <is>
          <t>fr</t>
        </is>
      </c>
      <c r="D283" s="3" t="inlineStr">
        <is>
          <t>https://codesommet.com/</t>
        </is>
      </c>
      <c r="E283" t="inlineStr">
        <is>
          <t>développement application web</t>
        </is>
      </c>
      <c r="F283" t="n">
        <v>30</v>
      </c>
      <c r="G283" t="inlineStr">
        <is>
          <t>NOT AVAILABLE</t>
        </is>
      </c>
      <c r="H283" t="n">
        <v>0</v>
      </c>
      <c r="I283" t="inlineStr">
        <is>
          <t>NOT AVAILABLE</t>
        </is>
      </c>
      <c r="J283" t="inlineStr">
        <is>
          <t>MEASURED</t>
        </is>
      </c>
      <c r="K283" s="5" t="inlineStr">
        <is>
          <t>NOT AVAILABLE (SERP not pulled for this market)</t>
        </is>
      </c>
      <c r="L283" t="n">
        <v>20</v>
      </c>
      <c r="M283">
        <f>ROUND(IF(IF(I283="NOT AVAILABLE","",I283)="",12,IF(OR(ISNUMBER(SEARCH("Transactional",IF(I283="NOT AVAILABLE","",I283))),ISNUMBER(SEARCH("Commercial",IF(I283="NOT AVAILABLE","",I283)))),25,IF(ISNUMBER(SEARCH("Informational",IF(I283="NOT AVAILABLE","",I283))),10,IF(ISNUMBER(SEARCH("Navigational",IF(I283="NOT AVAILABLE","",I283))),0,12))))+IF(ISNUMBER(F283),MIN(30,ROUND(30*LOG10(F283+1)/4,1)),0)+IF(ISNUMBER(G283),ROUND(25*(100-G283)/100,1),12.5)+L283,0)</f>
        <v/>
      </c>
      <c r="N283" s="5" t="inlineStr">
        <is>
          <t>Low volume - supporting only</t>
        </is>
      </c>
    </row>
    <row r="284">
      <c r="A284" t="inlineStr">
        <is>
          <t>Morocco</t>
        </is>
      </c>
      <c r="B284" t="inlineStr">
        <is>
          <t>ma</t>
        </is>
      </c>
      <c r="C284" t="inlineStr">
        <is>
          <t>fr</t>
        </is>
      </c>
      <c r="D284" s="3" t="inlineStr">
        <is>
          <t>https://codesommet.com/</t>
        </is>
      </c>
      <c r="E284" t="inlineStr">
        <is>
          <t>agence seo</t>
        </is>
      </c>
      <c r="F284" t="n">
        <v>140</v>
      </c>
      <c r="G284" t="inlineStr">
        <is>
          <t>NOT AVAILABLE</t>
        </is>
      </c>
      <c r="H284" t="n">
        <v>0.99</v>
      </c>
      <c r="I284" t="inlineStr">
        <is>
          <t>NOT AVAILABLE</t>
        </is>
      </c>
      <c r="J284" t="inlineStr">
        <is>
          <t>MEASURED</t>
        </is>
      </c>
      <c r="K284" s="5" t="inlineStr">
        <is>
          <t>NOT AVAILABLE (SERP not pulled for this market)</t>
        </is>
      </c>
      <c r="L284" t="n">
        <v>20</v>
      </c>
      <c r="M284">
        <f>ROUND(IF(IF(I284="NOT AVAILABLE","",I284)="",12,IF(OR(ISNUMBER(SEARCH("Transactional",IF(I284="NOT AVAILABLE","",I284))),ISNUMBER(SEARCH("Commercial",IF(I284="NOT AVAILABLE","",I284)))),25,IF(ISNUMBER(SEARCH("Informational",IF(I284="NOT AVAILABLE","",I284))),10,IF(ISNUMBER(SEARCH("Navigational",IF(I284="NOT AVAILABLE","",I284))),0,12))))+IF(ISNUMBER(F284),MIN(30,ROUND(30*LOG10(F284+1)/4,1)),0)+IF(ISNUMBER(G284),ROUND(25*(100-G284)/100,1),12.5)+L284,0)</f>
        <v/>
      </c>
      <c r="N284" s="5" t="inlineStr">
        <is>
          <t>Moderate opportunity - test with existing page before creating anything</t>
        </is>
      </c>
    </row>
    <row r="285">
      <c r="A285" t="inlineStr">
        <is>
          <t>Morocco</t>
        </is>
      </c>
      <c r="B285" t="inlineStr">
        <is>
          <t>ma</t>
        </is>
      </c>
      <c r="C285" t="inlineStr">
        <is>
          <t>fr</t>
        </is>
      </c>
      <c r="D285" s="3" t="inlineStr">
        <is>
          <t>https://codesommet.com/</t>
        </is>
      </c>
      <c r="E285" t="inlineStr">
        <is>
          <t>référencement naturel</t>
        </is>
      </c>
      <c r="F285" t="n">
        <v>40</v>
      </c>
      <c r="G285" t="inlineStr">
        <is>
          <t>NOT AVAILABLE</t>
        </is>
      </c>
      <c r="H285" t="n">
        <v>0.17</v>
      </c>
      <c r="I285" t="inlineStr">
        <is>
          <t>NOT AVAILABLE</t>
        </is>
      </c>
      <c r="J285" t="inlineStr">
        <is>
          <t>MEASURED</t>
        </is>
      </c>
      <c r="K285" s="5" t="inlineStr">
        <is>
          <t>NOT AVAILABLE (SERP not pulled for this market)</t>
        </is>
      </c>
      <c r="L285" t="n">
        <v>20</v>
      </c>
      <c r="M285">
        <f>ROUND(IF(IF(I285="NOT AVAILABLE","",I285)="",12,IF(OR(ISNUMBER(SEARCH("Transactional",IF(I285="NOT AVAILABLE","",I285))),ISNUMBER(SEARCH("Commercial",IF(I285="NOT AVAILABLE","",I285)))),25,IF(ISNUMBER(SEARCH("Informational",IF(I285="NOT AVAILABLE","",I285))),10,IF(ISNUMBER(SEARCH("Navigational",IF(I285="NOT AVAILABLE","",I285))),0,12))))+IF(ISNUMBER(F285),MIN(30,ROUND(30*LOG10(F285+1)/4,1)),0)+IF(ISNUMBER(G285),ROUND(25*(100-G285)/100,1),12.5)+L285,0)</f>
        <v/>
      </c>
      <c r="N285" s="5" t="inlineStr">
        <is>
          <t>Low volume - supporting only</t>
        </is>
      </c>
    </row>
    <row r="286">
      <c r="A286" t="inlineStr">
        <is>
          <t>Morocco</t>
        </is>
      </c>
      <c r="B286" t="inlineStr">
        <is>
          <t>ma</t>
        </is>
      </c>
      <c r="C286" t="inlineStr">
        <is>
          <t>fr</t>
        </is>
      </c>
      <c r="D286" s="3" t="inlineStr">
        <is>
          <t>https://codesommet.com/</t>
        </is>
      </c>
      <c r="E286" t="inlineStr">
        <is>
          <t>agence web offshore</t>
        </is>
      </c>
      <c r="F286" t="n">
        <v>30</v>
      </c>
      <c r="G286" t="inlineStr">
        <is>
          <t>NOT AVAILABLE</t>
        </is>
      </c>
      <c r="H286" t="n">
        <v>0</v>
      </c>
      <c r="I286" t="inlineStr">
        <is>
          <t>NOT AVAILABLE</t>
        </is>
      </c>
      <c r="J286" t="inlineStr">
        <is>
          <t>MEASURED</t>
        </is>
      </c>
      <c r="K286" s="5" t="inlineStr">
        <is>
          <t>NOT AVAILABLE (SERP not pulled for this market)</t>
        </is>
      </c>
      <c r="L286" t="n">
        <v>20</v>
      </c>
      <c r="M286">
        <f>ROUND(IF(IF(I286="NOT AVAILABLE","",I286)="",12,IF(OR(ISNUMBER(SEARCH("Transactional",IF(I286="NOT AVAILABLE","",I286))),ISNUMBER(SEARCH("Commercial",IF(I286="NOT AVAILABLE","",I286)))),25,IF(ISNUMBER(SEARCH("Informational",IF(I286="NOT AVAILABLE","",I286))),10,IF(ISNUMBER(SEARCH("Navigational",IF(I286="NOT AVAILABLE","",I286))),0,12))))+IF(ISNUMBER(F286),MIN(30,ROUND(30*LOG10(F286+1)/4,1)),0)+IF(ISNUMBER(G286),ROUND(25*(100-G286)/100,1),12.5)+L286,0)</f>
        <v/>
      </c>
      <c r="N286" s="5" t="inlineStr">
        <is>
          <t>Low volume - supporting only</t>
        </is>
      </c>
    </row>
    <row r="287">
      <c r="A287" t="inlineStr">
        <is>
          <t>Morocco</t>
        </is>
      </c>
      <c r="B287" t="inlineStr">
        <is>
          <t>ma</t>
        </is>
      </c>
      <c r="C287" t="inlineStr">
        <is>
          <t>fr</t>
        </is>
      </c>
      <c r="D287" s="3" t="inlineStr">
        <is>
          <t>https://codesommet.com/</t>
        </is>
      </c>
      <c r="E287" t="inlineStr">
        <is>
          <t>développeur web freelance</t>
        </is>
      </c>
      <c r="F287" t="inlineStr">
        <is>
          <t>NOT AVAILABLE</t>
        </is>
      </c>
      <c r="G287" t="inlineStr">
        <is>
          <t>NOT AVAILABLE</t>
        </is>
      </c>
      <c r="H287" t="inlineStr">
        <is>
          <t>NOT AVAILABLE</t>
        </is>
      </c>
      <c r="I287" t="inlineStr">
        <is>
          <t>NOT AVAILABLE</t>
        </is>
      </c>
      <c r="J287" t="inlineStr">
        <is>
          <t>SUGGESTED</t>
        </is>
      </c>
      <c r="K287" s="5" t="inlineStr">
        <is>
          <t>NOT AVAILABLE (SERP not pulled for this market)</t>
        </is>
      </c>
      <c r="L287" t="n">
        <v>20</v>
      </c>
      <c r="M287">
        <f>ROUND(IF(IF(I287="NOT AVAILABLE","",I287)="",12,IF(OR(ISNUMBER(SEARCH("Transactional",IF(I287="NOT AVAILABLE","",I287))),ISNUMBER(SEARCH("Commercial",IF(I287="NOT AVAILABLE","",I287)))),25,IF(ISNUMBER(SEARCH("Informational",IF(I287="NOT AVAILABLE","",I287))),10,IF(ISNUMBER(SEARCH("Navigational",IF(I287="NOT AVAILABLE","",I287))),0,12))))+IF(ISNUMBER(F287),MIN(30,ROUND(30*LOG10(F287+1)/4,1)),0)+IF(ISNUMBER(G287),ROUND(25*(100-G287)/100,1),12.5)+L287,0)</f>
        <v/>
      </c>
      <c r="N287" s="5" t="inlineStr">
        <is>
          <t>No data in this database - do not prioritise</t>
        </is>
      </c>
    </row>
    <row r="288">
      <c r="A288" t="inlineStr">
        <is>
          <t>Morocco</t>
        </is>
      </c>
      <c r="B288" t="inlineStr">
        <is>
          <t>ma</t>
        </is>
      </c>
      <c r="C288" t="inlineStr">
        <is>
          <t>fr</t>
        </is>
      </c>
      <c r="D288" s="3" t="inlineStr">
        <is>
          <t>https://codesommet.com/</t>
        </is>
      </c>
      <c r="E288" t="inlineStr">
        <is>
          <t>prix site web</t>
        </is>
      </c>
      <c r="F288" t="inlineStr">
        <is>
          <t>NOT AVAILABLE</t>
        </is>
      </c>
      <c r="G288" t="inlineStr">
        <is>
          <t>NOT AVAILABLE</t>
        </is>
      </c>
      <c r="H288" t="inlineStr">
        <is>
          <t>NOT AVAILABLE</t>
        </is>
      </c>
      <c r="I288" t="inlineStr">
        <is>
          <t>NOT AVAILABLE</t>
        </is>
      </c>
      <c r="J288" t="inlineStr">
        <is>
          <t>SUGGESTED</t>
        </is>
      </c>
      <c r="K288" s="5" t="inlineStr">
        <is>
          <t>NOT AVAILABLE (SERP not pulled for this market)</t>
        </is>
      </c>
      <c r="L288" t="n">
        <v>20</v>
      </c>
      <c r="M288">
        <f>ROUND(IF(IF(I288="NOT AVAILABLE","",I288)="",12,IF(OR(ISNUMBER(SEARCH("Transactional",IF(I288="NOT AVAILABLE","",I288))),ISNUMBER(SEARCH("Commercial",IF(I288="NOT AVAILABLE","",I288)))),25,IF(ISNUMBER(SEARCH("Informational",IF(I288="NOT AVAILABLE","",I288))),10,IF(ISNUMBER(SEARCH("Navigational",IF(I288="NOT AVAILABLE","",I288))),0,12))))+IF(ISNUMBER(F288),MIN(30,ROUND(30*LOG10(F288+1)/4,1)),0)+IF(ISNUMBER(G288),ROUND(25*(100-G288)/100,1),12.5)+L288,0)</f>
        <v/>
      </c>
      <c r="N288" s="5" t="inlineStr">
        <is>
          <t>No data in this database - do not prioritise</t>
        </is>
      </c>
    </row>
    <row r="289">
      <c r="A289" t="inlineStr">
        <is>
          <t>Morocco</t>
        </is>
      </c>
      <c r="B289" t="inlineStr">
        <is>
          <t>ma</t>
        </is>
      </c>
      <c r="C289" t="inlineStr">
        <is>
          <t>fr</t>
        </is>
      </c>
      <c r="D289" s="3" t="inlineStr">
        <is>
          <t>https://codesommet.com/</t>
        </is>
      </c>
      <c r="E289" t="inlineStr">
        <is>
          <t>prix création site internet</t>
        </is>
      </c>
      <c r="F289" t="inlineStr">
        <is>
          <t>NOT AVAILABLE</t>
        </is>
      </c>
      <c r="G289" t="inlineStr">
        <is>
          <t>NOT AVAILABLE</t>
        </is>
      </c>
      <c r="H289" t="inlineStr">
        <is>
          <t>NOT AVAILABLE</t>
        </is>
      </c>
      <c r="I289" t="inlineStr">
        <is>
          <t>NOT AVAILABLE</t>
        </is>
      </c>
      <c r="J289" t="inlineStr">
        <is>
          <t>SUGGESTED</t>
        </is>
      </c>
      <c r="K289" s="5" t="inlineStr">
        <is>
          <t>NOT AVAILABLE (SERP not pulled for this market)</t>
        </is>
      </c>
      <c r="L289" t="n">
        <v>20</v>
      </c>
      <c r="M289">
        <f>ROUND(IF(IF(I289="NOT AVAILABLE","",I289)="",12,IF(OR(ISNUMBER(SEARCH("Transactional",IF(I289="NOT AVAILABLE","",I289))),ISNUMBER(SEARCH("Commercial",IF(I289="NOT AVAILABLE","",I289)))),25,IF(ISNUMBER(SEARCH("Informational",IF(I289="NOT AVAILABLE","",I289))),10,IF(ISNUMBER(SEARCH("Navigational",IF(I289="NOT AVAILABLE","",I289))),0,12))))+IF(ISNUMBER(F289),MIN(30,ROUND(30*LOG10(F289+1)/4,1)),0)+IF(ISNUMBER(G289),ROUND(25*(100-G289)/100,1),12.5)+L289,0)</f>
        <v/>
      </c>
      <c r="N289" s="5" t="inlineStr">
        <is>
          <t>No data in this database - do not prioritise</t>
        </is>
      </c>
    </row>
    <row r="290">
      <c r="A290" t="inlineStr">
        <is>
          <t>Morocco</t>
        </is>
      </c>
      <c r="B290" t="inlineStr">
        <is>
          <t>ma</t>
        </is>
      </c>
      <c r="C290" t="inlineStr">
        <is>
          <t>fr</t>
        </is>
      </c>
      <c r="D290" s="3" t="inlineStr">
        <is>
          <t>https://codesommet.com/</t>
        </is>
      </c>
      <c r="E290" t="inlineStr">
        <is>
          <t>création site vitrine</t>
        </is>
      </c>
      <c r="F290" t="n">
        <v>20</v>
      </c>
      <c r="G290" t="inlineStr">
        <is>
          <t>NOT AVAILABLE</t>
        </is>
      </c>
      <c r="H290" t="n">
        <v>0</v>
      </c>
      <c r="I290" t="inlineStr">
        <is>
          <t>NOT AVAILABLE</t>
        </is>
      </c>
      <c r="J290" t="inlineStr">
        <is>
          <t>MEASURED</t>
        </is>
      </c>
      <c r="K290" s="5" t="inlineStr">
        <is>
          <t>NOT AVAILABLE (SERP not pulled for this market)</t>
        </is>
      </c>
      <c r="L290" t="n">
        <v>20</v>
      </c>
      <c r="M290">
        <f>ROUND(IF(IF(I290="NOT AVAILABLE","",I290)="",12,IF(OR(ISNUMBER(SEARCH("Transactional",IF(I290="NOT AVAILABLE","",I290))),ISNUMBER(SEARCH("Commercial",IF(I290="NOT AVAILABLE","",I290)))),25,IF(ISNUMBER(SEARCH("Informational",IF(I290="NOT AVAILABLE","",I290))),10,IF(ISNUMBER(SEARCH("Navigational",IF(I290="NOT AVAILABLE","",I290))),0,12))))+IF(ISNUMBER(F290),MIN(30,ROUND(30*LOG10(F290+1)/4,1)),0)+IF(ISNUMBER(G290),ROUND(25*(100-G290)/100,1),12.5)+L290,0)</f>
        <v/>
      </c>
      <c r="N290" s="5" t="inlineStr">
        <is>
          <t>Low volume - supporting only</t>
        </is>
      </c>
    </row>
    <row r="291">
      <c r="A291" t="inlineStr">
        <is>
          <t>Morocco</t>
        </is>
      </c>
      <c r="B291" t="inlineStr">
        <is>
          <t>ma</t>
        </is>
      </c>
      <c r="C291" t="inlineStr">
        <is>
          <t>fr</t>
        </is>
      </c>
      <c r="D291" s="3" t="inlineStr">
        <is>
          <t>https://codesommet.com/</t>
        </is>
      </c>
      <c r="E291" t="inlineStr">
        <is>
          <t>refonte site web</t>
        </is>
      </c>
      <c r="F291" t="n">
        <v>20</v>
      </c>
      <c r="G291" t="inlineStr">
        <is>
          <t>NOT AVAILABLE</t>
        </is>
      </c>
      <c r="H291" t="n">
        <v>0</v>
      </c>
      <c r="I291" t="inlineStr">
        <is>
          <t>NOT AVAILABLE</t>
        </is>
      </c>
      <c r="J291" t="inlineStr">
        <is>
          <t>MEASURED</t>
        </is>
      </c>
      <c r="K291" s="5" t="inlineStr">
        <is>
          <t>NOT AVAILABLE (SERP not pulled for this market)</t>
        </is>
      </c>
      <c r="L291" t="n">
        <v>20</v>
      </c>
      <c r="M291">
        <f>ROUND(IF(IF(I291="NOT AVAILABLE","",I291)="",12,IF(OR(ISNUMBER(SEARCH("Transactional",IF(I291="NOT AVAILABLE","",I291))),ISNUMBER(SEARCH("Commercial",IF(I291="NOT AVAILABLE","",I291)))),25,IF(ISNUMBER(SEARCH("Informational",IF(I291="NOT AVAILABLE","",I291))),10,IF(ISNUMBER(SEARCH("Navigational",IF(I291="NOT AVAILABLE","",I291))),0,12))))+IF(ISNUMBER(F291),MIN(30,ROUND(30*LOG10(F291+1)/4,1)),0)+IF(ISNUMBER(G291),ROUND(25*(100-G291)/100,1),12.5)+L291,0)</f>
        <v/>
      </c>
      <c r="N291" s="5" t="inlineStr">
        <is>
          <t>Low volume - supporting only</t>
        </is>
      </c>
    </row>
    <row r="292">
      <c r="A292" t="inlineStr">
        <is>
          <t>Morocco</t>
        </is>
      </c>
      <c r="B292" t="inlineStr">
        <is>
          <t>ma</t>
        </is>
      </c>
      <c r="C292" t="inlineStr">
        <is>
          <t>fr</t>
        </is>
      </c>
      <c r="D292" s="3" t="inlineStr">
        <is>
          <t>https://codesommet.com/</t>
        </is>
      </c>
      <c r="E292" t="inlineStr">
        <is>
          <t>agence digitale</t>
        </is>
      </c>
      <c r="F292" t="n">
        <v>210</v>
      </c>
      <c r="G292" t="inlineStr">
        <is>
          <t>NOT AVAILABLE</t>
        </is>
      </c>
      <c r="H292" t="n">
        <v>0.43</v>
      </c>
      <c r="I292" t="inlineStr">
        <is>
          <t>NOT AVAILABLE</t>
        </is>
      </c>
      <c r="J292" t="inlineStr">
        <is>
          <t>MEASURED</t>
        </is>
      </c>
      <c r="K292" s="5" t="inlineStr">
        <is>
          <t>NOT AVAILABLE (SERP not pulled for this market)</t>
        </is>
      </c>
      <c r="L292" t="n">
        <v>20</v>
      </c>
      <c r="M292">
        <f>ROUND(IF(IF(I292="NOT AVAILABLE","",I292)="",12,IF(OR(ISNUMBER(SEARCH("Transactional",IF(I292="NOT AVAILABLE","",I292))),ISNUMBER(SEARCH("Commercial",IF(I292="NOT AVAILABLE","",I292)))),25,IF(ISNUMBER(SEARCH("Informational",IF(I292="NOT AVAILABLE","",I292))),10,IF(ISNUMBER(SEARCH("Navigational",IF(I292="NOT AVAILABLE","",I292))),0,12))))+IF(ISNUMBER(F292),MIN(30,ROUND(30*LOG10(F292+1)/4,1)),0)+IF(ISNUMBER(G292),ROUND(25*(100-G292)/100,1),12.5)+L292,0)</f>
        <v/>
      </c>
      <c r="N292" s="5" t="inlineStr">
        <is>
          <t>Moderate opportunity - test with existing page before creating anything</t>
        </is>
      </c>
    </row>
    <row r="293">
      <c r="A293" t="inlineStr">
        <is>
          <t>Morocco</t>
        </is>
      </c>
      <c r="B293" t="inlineStr">
        <is>
          <t>ma</t>
        </is>
      </c>
      <c r="C293" t="inlineStr">
        <is>
          <t>fr</t>
        </is>
      </c>
      <c r="D293" s="3" t="inlineStr">
        <is>
          <t>https://codesommet.com/</t>
        </is>
      </c>
      <c r="E293" t="inlineStr">
        <is>
          <t>développement saas</t>
        </is>
      </c>
      <c r="F293" t="inlineStr">
        <is>
          <t>NOT AVAILABLE</t>
        </is>
      </c>
      <c r="G293" t="inlineStr">
        <is>
          <t>NOT AVAILABLE</t>
        </is>
      </c>
      <c r="H293" t="inlineStr">
        <is>
          <t>NOT AVAILABLE</t>
        </is>
      </c>
      <c r="I293" t="inlineStr">
        <is>
          <t>NOT AVAILABLE</t>
        </is>
      </c>
      <c r="J293" t="inlineStr">
        <is>
          <t>UNAVAILABLE</t>
        </is>
      </c>
      <c r="K293" s="5" t="inlineStr">
        <is>
          <t>NOT AVAILABLE (SERP not pulled for this market)</t>
        </is>
      </c>
      <c r="L293" t="n">
        <v>20</v>
      </c>
      <c r="M293">
        <f>ROUND(IF(IF(I293="NOT AVAILABLE","",I293)="",12,IF(OR(ISNUMBER(SEARCH("Transactional",IF(I293="NOT AVAILABLE","",I293))),ISNUMBER(SEARCH("Commercial",IF(I293="NOT AVAILABLE","",I293)))),25,IF(ISNUMBER(SEARCH("Informational",IF(I293="NOT AVAILABLE","",I293))),10,IF(ISNUMBER(SEARCH("Navigational",IF(I293="NOT AVAILABLE","",I293))),0,12))))+IF(ISNUMBER(F293),MIN(30,ROUND(30*LOG10(F293+1)/4,1)),0)+IF(ISNUMBER(G293),ROUND(25*(100-G293)/100,1),12.5)+L293,0)</f>
        <v/>
      </c>
      <c r="N293" s="5" t="inlineStr">
        <is>
          <t>No data in this database - do not prioritise</t>
        </is>
      </c>
    </row>
    <row r="294">
      <c r="A294" t="inlineStr">
        <is>
          <t>Morocco</t>
        </is>
      </c>
      <c r="B294" t="inlineStr">
        <is>
          <t>ma</t>
        </is>
      </c>
      <c r="C294" t="inlineStr">
        <is>
          <t>fr</t>
        </is>
      </c>
      <c r="D294" s="3" t="inlineStr">
        <is>
          <t>https://codesommet.com/</t>
        </is>
      </c>
      <c r="E294" t="inlineStr">
        <is>
          <t>création application web</t>
        </is>
      </c>
      <c r="F294" t="n">
        <v>20</v>
      </c>
      <c r="G294" t="inlineStr">
        <is>
          <t>NOT AVAILABLE</t>
        </is>
      </c>
      <c r="H294" t="n">
        <v>0</v>
      </c>
      <c r="I294" t="inlineStr">
        <is>
          <t>NOT AVAILABLE</t>
        </is>
      </c>
      <c r="J294" t="inlineStr">
        <is>
          <t>MEASURED</t>
        </is>
      </c>
      <c r="K294" s="5" t="inlineStr">
        <is>
          <t>NOT AVAILABLE (SERP not pulled for this market)</t>
        </is>
      </c>
      <c r="L294" t="n">
        <v>20</v>
      </c>
      <c r="M294">
        <f>ROUND(IF(IF(I294="NOT AVAILABLE","",I294)="",12,IF(OR(ISNUMBER(SEARCH("Transactional",IF(I294="NOT AVAILABLE","",I294))),ISNUMBER(SEARCH("Commercial",IF(I294="NOT AVAILABLE","",I294)))),25,IF(ISNUMBER(SEARCH("Informational",IF(I294="NOT AVAILABLE","",I294))),10,IF(ISNUMBER(SEARCH("Navigational",IF(I294="NOT AVAILABLE","",I294))),0,12))))+IF(ISNUMBER(F294),MIN(30,ROUND(30*LOG10(F294+1)/4,1)),0)+IF(ISNUMBER(G294),ROUND(25*(100-G294)/100,1),12.5)+L294,0)</f>
        <v/>
      </c>
      <c r="N294" s="5" t="inlineStr">
        <is>
          <t>Low volume - supporting only</t>
        </is>
      </c>
    </row>
    <row r="295">
      <c r="A295" t="inlineStr">
        <is>
          <t>Morocco</t>
        </is>
      </c>
      <c r="B295" t="inlineStr">
        <is>
          <t>ma</t>
        </is>
      </c>
      <c r="C295" t="inlineStr">
        <is>
          <t>fr</t>
        </is>
      </c>
      <c r="D295" s="3" t="inlineStr">
        <is>
          <t>https://codesommet.com/</t>
        </is>
      </c>
      <c r="E295" t="inlineStr">
        <is>
          <t>agence web maroc</t>
        </is>
      </c>
      <c r="F295" t="n">
        <v>480</v>
      </c>
      <c r="G295" t="n">
        <v>53</v>
      </c>
      <c r="H295" t="n">
        <v>0.62</v>
      </c>
      <c r="I295" t="inlineStr">
        <is>
          <t>Commercial</t>
        </is>
      </c>
      <c r="J295" t="inlineStr">
        <is>
          <t>MEASURED</t>
        </is>
      </c>
      <c r="K295" s="5" t="inlineStr">
        <is>
          <t>NOT AVAILABLE (SERP not pulled for this market)</t>
        </is>
      </c>
      <c r="L295" t="n">
        <v>20</v>
      </c>
      <c r="M295">
        <f>ROUND(IF(IF(I295="NOT AVAILABLE","",I295)="",12,IF(OR(ISNUMBER(SEARCH("Transactional",IF(I295="NOT AVAILABLE","",I295))),ISNUMBER(SEARCH("Commercial",IF(I295="NOT AVAILABLE","",I295)))),25,IF(ISNUMBER(SEARCH("Informational",IF(I295="NOT AVAILABLE","",I295))),10,IF(ISNUMBER(SEARCH("Navigational",IF(I295="NOT AVAILABLE","",I295))),0,12))))+IF(ISNUMBER(F295),MIN(30,ROUND(30*LOG10(F295+1)/4,1)),0)+IF(ISNUMBER(G295),ROUND(25*(100-G295)/100,1),12.5)+L295,0)</f>
        <v/>
      </c>
      <c r="N295" s="5" t="inlineStr">
        <is>
          <t>High difficulty - long-term only, needs authority/links</t>
        </is>
      </c>
    </row>
    <row r="296">
      <c r="A296" t="inlineStr">
        <is>
          <t>Morocco</t>
        </is>
      </c>
      <c r="B296" t="inlineStr">
        <is>
          <t>ma</t>
        </is>
      </c>
      <c r="C296" t="inlineStr">
        <is>
          <t>fr</t>
        </is>
      </c>
      <c r="D296" s="3" t="inlineStr">
        <is>
          <t>https://codesommet.com/</t>
        </is>
      </c>
      <c r="E296" t="inlineStr">
        <is>
          <t>création boutique en ligne</t>
        </is>
      </c>
      <c r="F296" t="n">
        <v>20</v>
      </c>
      <c r="G296" t="inlineStr">
        <is>
          <t>NOT AVAILABLE</t>
        </is>
      </c>
      <c r="H296" t="n">
        <v>0.5600000000000001</v>
      </c>
      <c r="I296" t="inlineStr">
        <is>
          <t>NOT AVAILABLE</t>
        </is>
      </c>
      <c r="J296" t="inlineStr">
        <is>
          <t>MEASURED</t>
        </is>
      </c>
      <c r="K296" s="5" t="inlineStr">
        <is>
          <t>NOT AVAILABLE (SERP not pulled for this market)</t>
        </is>
      </c>
      <c r="L296" t="n">
        <v>20</v>
      </c>
      <c r="M296">
        <f>ROUND(IF(IF(I296="NOT AVAILABLE","",I296)="",12,IF(OR(ISNUMBER(SEARCH("Transactional",IF(I296="NOT AVAILABLE","",I296))),ISNUMBER(SEARCH("Commercial",IF(I296="NOT AVAILABLE","",I296)))),25,IF(ISNUMBER(SEARCH("Informational",IF(I296="NOT AVAILABLE","",I296))),10,IF(ISNUMBER(SEARCH("Navigational",IF(I296="NOT AVAILABLE","",I296))),0,12))))+IF(ISNUMBER(F296),MIN(30,ROUND(30*LOG10(F296+1)/4,1)),0)+IF(ISNUMBER(G296),ROUND(25*(100-G296)/100,1),12.5)+L296,0)</f>
        <v/>
      </c>
      <c r="N296" s="5" t="inlineStr">
        <is>
          <t>Low volume - supporting only</t>
        </is>
      </c>
    </row>
    <row r="297">
      <c r="A297" t="inlineStr">
        <is>
          <t>Morocco</t>
        </is>
      </c>
      <c r="B297" t="inlineStr">
        <is>
          <t>ma</t>
        </is>
      </c>
      <c r="C297" t="inlineStr">
        <is>
          <t>fr</t>
        </is>
      </c>
      <c r="D297" s="3" t="inlineStr">
        <is>
          <t>https://codesommet.com/</t>
        </is>
      </c>
      <c r="E297" t="inlineStr">
        <is>
          <t>sous-traitance développement web</t>
        </is>
      </c>
      <c r="F297" t="inlineStr">
        <is>
          <t>NOT AVAILABLE</t>
        </is>
      </c>
      <c r="G297" t="inlineStr">
        <is>
          <t>NOT AVAILABLE</t>
        </is>
      </c>
      <c r="H297" t="inlineStr">
        <is>
          <t>NOT AVAILABLE</t>
        </is>
      </c>
      <c r="I297" t="inlineStr">
        <is>
          <t>NOT AVAILABLE</t>
        </is>
      </c>
      <c r="J297" t="inlineStr">
        <is>
          <t>SUGGESTED</t>
        </is>
      </c>
      <c r="K297" s="5" t="inlineStr">
        <is>
          <t>NOT AVAILABLE (SERP not pulled for this market)</t>
        </is>
      </c>
      <c r="L297" t="n">
        <v>20</v>
      </c>
      <c r="M297">
        <f>ROUND(IF(IF(I297="NOT AVAILABLE","",I297)="",12,IF(OR(ISNUMBER(SEARCH("Transactional",IF(I297="NOT AVAILABLE","",I297))),ISNUMBER(SEARCH("Commercial",IF(I297="NOT AVAILABLE","",I297)))),25,IF(ISNUMBER(SEARCH("Informational",IF(I297="NOT AVAILABLE","",I297))),10,IF(ISNUMBER(SEARCH("Navigational",IF(I297="NOT AVAILABLE","",I297))),0,12))))+IF(ISNUMBER(F297),MIN(30,ROUND(30*LOG10(F297+1)/4,1)),0)+IF(ISNUMBER(G297),ROUND(25*(100-G297)/100,1),12.5)+L297,0)</f>
        <v/>
      </c>
      <c r="N297" s="5" t="inlineStr">
        <is>
          <t>No data in this database - do not prioritise</t>
        </is>
      </c>
    </row>
    <row r="298">
      <c r="A298" t="inlineStr">
        <is>
          <t>Morocco</t>
        </is>
      </c>
      <c r="B298" t="inlineStr">
        <is>
          <t>ma</t>
        </is>
      </c>
      <c r="C298" t="inlineStr">
        <is>
          <t>fr</t>
        </is>
      </c>
      <c r="D298" s="3" t="inlineStr">
        <is>
          <t>https://codesommet.com/</t>
        </is>
      </c>
      <c r="E298" t="inlineStr">
        <is>
          <t>externalisation développement web</t>
        </is>
      </c>
      <c r="F298" t="inlineStr">
        <is>
          <t>NOT AVAILABLE</t>
        </is>
      </c>
      <c r="G298" t="inlineStr">
        <is>
          <t>NOT AVAILABLE</t>
        </is>
      </c>
      <c r="H298" t="inlineStr">
        <is>
          <t>NOT AVAILABLE</t>
        </is>
      </c>
      <c r="I298" t="inlineStr">
        <is>
          <t>NOT AVAILABLE</t>
        </is>
      </c>
      <c r="J298" t="inlineStr">
        <is>
          <t>SUGGESTED</t>
        </is>
      </c>
      <c r="K298" s="5" t="inlineStr">
        <is>
          <t>NOT AVAILABLE (SERP not pulled for this market)</t>
        </is>
      </c>
      <c r="L298" t="n">
        <v>20</v>
      </c>
      <c r="M298">
        <f>ROUND(IF(IF(I298="NOT AVAILABLE","",I298)="",12,IF(OR(ISNUMBER(SEARCH("Transactional",IF(I298="NOT AVAILABLE","",I298))),ISNUMBER(SEARCH("Commercial",IF(I298="NOT AVAILABLE","",I298)))),25,IF(ISNUMBER(SEARCH("Informational",IF(I298="NOT AVAILABLE","",I298))),10,IF(ISNUMBER(SEARCH("Navigational",IF(I298="NOT AVAILABLE","",I298))),0,12))))+IF(ISNUMBER(F298),MIN(30,ROUND(30*LOG10(F298+1)/4,1)),0)+IF(ISNUMBER(G298),ROUND(25*(100-G298)/100,1),12.5)+L298,0)</f>
        <v/>
      </c>
      <c r="N298" s="5" t="inlineStr">
        <is>
          <t>No data in this database - do not prioritise</t>
        </is>
      </c>
    </row>
    <row r="299">
      <c r="A299" t="inlineStr">
        <is>
          <t>Morocco</t>
        </is>
      </c>
      <c r="B299" t="inlineStr">
        <is>
          <t>ma</t>
        </is>
      </c>
      <c r="C299" t="inlineStr">
        <is>
          <t>fr</t>
        </is>
      </c>
      <c r="D299" s="3" t="inlineStr">
        <is>
          <t>https://codesommet.com/</t>
        </is>
      </c>
      <c r="E299" t="inlineStr">
        <is>
          <t>développement web offshore</t>
        </is>
      </c>
      <c r="F299" t="n">
        <v>0</v>
      </c>
      <c r="G299" t="inlineStr">
        <is>
          <t>NOT AVAILABLE</t>
        </is>
      </c>
      <c r="H299" t="n">
        <v>0</v>
      </c>
      <c r="I299" t="inlineStr">
        <is>
          <t>NOT AVAILABLE</t>
        </is>
      </c>
      <c r="J299" t="inlineStr">
        <is>
          <t>MEASURED</t>
        </is>
      </c>
      <c r="K299" s="5" t="inlineStr">
        <is>
          <t>NOT AVAILABLE (SERP not pulled for this market)</t>
        </is>
      </c>
      <c r="L299" t="n">
        <v>20</v>
      </c>
      <c r="M299">
        <f>ROUND(IF(IF(I299="NOT AVAILABLE","",I299)="",12,IF(OR(ISNUMBER(SEARCH("Transactional",IF(I299="NOT AVAILABLE","",I299))),ISNUMBER(SEARCH("Commercial",IF(I299="NOT AVAILABLE","",I299)))),25,IF(ISNUMBER(SEARCH("Informational",IF(I299="NOT AVAILABLE","",I299))),10,IF(ISNUMBER(SEARCH("Navigational",IF(I299="NOT AVAILABLE","",I299))),0,12))))+IF(ISNUMBER(F299),MIN(30,ROUND(30*LOG10(F299+1)/4,1)),0)+IF(ISNUMBER(G299),ROUND(25*(100-G299)/100,1),12.5)+L299,0)</f>
        <v/>
      </c>
      <c r="N299" s="5" t="inlineStr">
        <is>
          <t>Measured zero - do not target</t>
        </is>
      </c>
    </row>
    <row r="300">
      <c r="A300" t="inlineStr">
        <is>
          <t>Morocco</t>
        </is>
      </c>
      <c r="B300" t="inlineStr">
        <is>
          <t>ma</t>
        </is>
      </c>
      <c r="C300" t="inlineStr">
        <is>
          <t>fr</t>
        </is>
      </c>
      <c r="D300" s="3" t="inlineStr">
        <is>
          <t>https://codesommet.com/</t>
        </is>
      </c>
      <c r="E300" t="inlineStr">
        <is>
          <t>agence web nearshore</t>
        </is>
      </c>
      <c r="F300" t="inlineStr">
        <is>
          <t>NOT AVAILABLE</t>
        </is>
      </c>
      <c r="G300" t="inlineStr">
        <is>
          <t>NOT AVAILABLE</t>
        </is>
      </c>
      <c r="H300" t="inlineStr">
        <is>
          <t>NOT AVAILABLE</t>
        </is>
      </c>
      <c r="I300" t="inlineStr">
        <is>
          <t>NOT AVAILABLE</t>
        </is>
      </c>
      <c r="J300" t="inlineStr">
        <is>
          <t>SUGGESTED</t>
        </is>
      </c>
      <c r="K300" s="5" t="inlineStr">
        <is>
          <t>NOT AVAILABLE (SERP not pulled for this market)</t>
        </is>
      </c>
      <c r="L300" t="n">
        <v>20</v>
      </c>
      <c r="M300">
        <f>ROUND(IF(IF(I300="NOT AVAILABLE","",I300)="",12,IF(OR(ISNUMBER(SEARCH("Transactional",IF(I300="NOT AVAILABLE","",I300))),ISNUMBER(SEARCH("Commercial",IF(I300="NOT AVAILABLE","",I300)))),25,IF(ISNUMBER(SEARCH("Informational",IF(I300="NOT AVAILABLE","",I300))),10,IF(ISNUMBER(SEARCH("Navigational",IF(I300="NOT AVAILABLE","",I300))),0,12))))+IF(ISNUMBER(F300),MIN(30,ROUND(30*LOG10(F300+1)/4,1)),0)+IF(ISNUMBER(G300),ROUND(25*(100-G300)/100,1),12.5)+L300,0)</f>
        <v/>
      </c>
      <c r="N300" s="5" t="inlineStr">
        <is>
          <t>No data in this database - do not prioritise</t>
        </is>
      </c>
    </row>
    <row r="301">
      <c r="A301" t="inlineStr">
        <is>
          <t>Morocco</t>
        </is>
      </c>
      <c r="B301" t="inlineStr">
        <is>
          <t>ma</t>
        </is>
      </c>
      <c r="C301" t="inlineStr">
        <is>
          <t>fr</t>
        </is>
      </c>
      <c r="D301" s="3" t="inlineStr">
        <is>
          <t>https://codesommet.com/</t>
        </is>
      </c>
      <c r="E301" t="inlineStr">
        <is>
          <t>développeur maroc</t>
        </is>
      </c>
      <c r="F301" t="inlineStr">
        <is>
          <t>NOT AVAILABLE</t>
        </is>
      </c>
      <c r="G301" t="inlineStr">
        <is>
          <t>NOT AVAILABLE</t>
        </is>
      </c>
      <c r="H301" t="inlineStr">
        <is>
          <t>NOT AVAILABLE</t>
        </is>
      </c>
      <c r="I301" t="inlineStr">
        <is>
          <t>NOT AVAILABLE</t>
        </is>
      </c>
      <c r="J301" t="inlineStr">
        <is>
          <t>SUGGESTED</t>
        </is>
      </c>
      <c r="K301" s="5" t="inlineStr">
        <is>
          <t>NOT AVAILABLE (SERP not pulled for this market)</t>
        </is>
      </c>
      <c r="L301" t="n">
        <v>20</v>
      </c>
      <c r="M301">
        <f>ROUND(IF(IF(I301="NOT AVAILABLE","",I301)="",12,IF(OR(ISNUMBER(SEARCH("Transactional",IF(I301="NOT AVAILABLE","",I301))),ISNUMBER(SEARCH("Commercial",IF(I301="NOT AVAILABLE","",I301)))),25,IF(ISNUMBER(SEARCH("Informational",IF(I301="NOT AVAILABLE","",I301))),10,IF(ISNUMBER(SEARCH("Navigational",IF(I301="NOT AVAILABLE","",I301))),0,12))))+IF(ISNUMBER(F301),MIN(30,ROUND(30*LOG10(F301+1)/4,1)),0)+IF(ISNUMBER(G301),ROUND(25*(100-G301)/100,1),12.5)+L301,0)</f>
        <v/>
      </c>
      <c r="N301" s="5" t="inlineStr">
        <is>
          <t>No data in this database - do not prioritise</t>
        </is>
      </c>
    </row>
    <row r="302">
      <c r="A302" t="inlineStr">
        <is>
          <t>Morocco</t>
        </is>
      </c>
      <c r="B302" t="inlineStr">
        <is>
          <t>ma</t>
        </is>
      </c>
      <c r="C302" t="inlineStr">
        <is>
          <t>fr</t>
        </is>
      </c>
      <c r="D302" s="3" t="inlineStr">
        <is>
          <t>https://codesommet.com/</t>
        </is>
      </c>
      <c r="E302" t="inlineStr">
        <is>
          <t>développement logiciel sur mesure</t>
        </is>
      </c>
      <c r="F302" t="n">
        <v>0</v>
      </c>
      <c r="G302" t="inlineStr">
        <is>
          <t>NOT AVAILABLE</t>
        </is>
      </c>
      <c r="H302" t="n">
        <v>0</v>
      </c>
      <c r="I302" t="inlineStr">
        <is>
          <t>NOT AVAILABLE</t>
        </is>
      </c>
      <c r="J302" t="inlineStr">
        <is>
          <t>MEASURED</t>
        </is>
      </c>
      <c r="K302" s="5" t="inlineStr">
        <is>
          <t>NOT AVAILABLE (SERP not pulled for this market)</t>
        </is>
      </c>
      <c r="L302" t="n">
        <v>20</v>
      </c>
      <c r="M302">
        <f>ROUND(IF(IF(I302="NOT AVAILABLE","",I302)="",12,IF(OR(ISNUMBER(SEARCH("Transactional",IF(I302="NOT AVAILABLE","",I302))),ISNUMBER(SEARCH("Commercial",IF(I302="NOT AVAILABLE","",I302)))),25,IF(ISNUMBER(SEARCH("Informational",IF(I302="NOT AVAILABLE","",I302))),10,IF(ISNUMBER(SEARCH("Navigational",IF(I302="NOT AVAILABLE","",I302))),0,12))))+IF(ISNUMBER(F302),MIN(30,ROUND(30*LOG10(F302+1)/4,1)),0)+IF(ISNUMBER(G302),ROUND(25*(100-G302)/100,1),12.5)+L302,0)</f>
        <v/>
      </c>
      <c r="N302" s="5" t="inlineStr">
        <is>
          <t>Measured zero - do not target</t>
        </is>
      </c>
    </row>
    <row r="303">
      <c r="A303" t="inlineStr">
        <is>
          <t>Morocco</t>
        </is>
      </c>
      <c r="B303" t="inlineStr">
        <is>
          <t>ma</t>
        </is>
      </c>
      <c r="C303" t="inlineStr">
        <is>
          <t>fr</t>
        </is>
      </c>
      <c r="D303" s="3" t="inlineStr">
        <is>
          <t>https://codesommet.com/</t>
        </is>
      </c>
      <c r="E303" t="inlineStr">
        <is>
          <t>conception site web</t>
        </is>
      </c>
      <c r="F303" t="n">
        <v>20</v>
      </c>
      <c r="G303" t="inlineStr">
        <is>
          <t>NOT AVAILABLE</t>
        </is>
      </c>
      <c r="H303" t="n">
        <v>0.52</v>
      </c>
      <c r="I303" t="inlineStr">
        <is>
          <t>NOT AVAILABLE</t>
        </is>
      </c>
      <c r="J303" t="inlineStr">
        <is>
          <t>MEASURED</t>
        </is>
      </c>
      <c r="K303" s="5" t="inlineStr">
        <is>
          <t>NOT AVAILABLE (SERP not pulled for this market)</t>
        </is>
      </c>
      <c r="L303" t="n">
        <v>20</v>
      </c>
      <c r="M303">
        <f>ROUND(IF(IF(I303="NOT AVAILABLE","",I303)="",12,IF(OR(ISNUMBER(SEARCH("Transactional",IF(I303="NOT AVAILABLE","",I303))),ISNUMBER(SEARCH("Commercial",IF(I303="NOT AVAILABLE","",I303)))),25,IF(ISNUMBER(SEARCH("Informational",IF(I303="NOT AVAILABLE","",I303))),10,IF(ISNUMBER(SEARCH("Navigational",IF(I303="NOT AVAILABLE","",I303))),0,12))))+IF(ISNUMBER(F303),MIN(30,ROUND(30*LOG10(F303+1)/4,1)),0)+IF(ISNUMBER(G303),ROUND(25*(100-G303)/100,1),12.5)+L303,0)</f>
        <v/>
      </c>
      <c r="N303" s="5" t="inlineStr">
        <is>
          <t>Low volume - supporting only</t>
        </is>
      </c>
    </row>
    <row r="304">
      <c r="A304" t="inlineStr">
        <is>
          <t>Morocco</t>
        </is>
      </c>
      <c r="B304" t="inlineStr">
        <is>
          <t>ma</t>
        </is>
      </c>
      <c r="C304" t="inlineStr">
        <is>
          <t>fr</t>
        </is>
      </c>
      <c r="D304" s="3" t="inlineStr">
        <is>
          <t>https://codesommet.com/</t>
        </is>
      </c>
      <c r="E304" t="inlineStr">
        <is>
          <t>site internet professionnel</t>
        </is>
      </c>
      <c r="F304" t="inlineStr">
        <is>
          <t>NOT AVAILABLE</t>
        </is>
      </c>
      <c r="G304" t="inlineStr">
        <is>
          <t>NOT AVAILABLE</t>
        </is>
      </c>
      <c r="H304" t="inlineStr">
        <is>
          <t>NOT AVAILABLE</t>
        </is>
      </c>
      <c r="I304" t="inlineStr">
        <is>
          <t>NOT AVAILABLE</t>
        </is>
      </c>
      <c r="J304" t="inlineStr">
        <is>
          <t>SUGGESTED</t>
        </is>
      </c>
      <c r="K304" s="5" t="inlineStr">
        <is>
          <t>NOT AVAILABLE (SERP not pulled for this market)</t>
        </is>
      </c>
      <c r="L304" t="n">
        <v>20</v>
      </c>
      <c r="M304">
        <f>ROUND(IF(IF(I304="NOT AVAILABLE","",I304)="",12,IF(OR(ISNUMBER(SEARCH("Transactional",IF(I304="NOT AVAILABLE","",I304))),ISNUMBER(SEARCH("Commercial",IF(I304="NOT AVAILABLE","",I304)))),25,IF(ISNUMBER(SEARCH("Informational",IF(I304="NOT AVAILABLE","",I304))),10,IF(ISNUMBER(SEARCH("Navigational",IF(I304="NOT AVAILABLE","",I304))),0,12))))+IF(ISNUMBER(F304),MIN(30,ROUND(30*LOG10(F304+1)/4,1)),0)+IF(ISNUMBER(G304),ROUND(25*(100-G304)/100,1),12.5)+L304,0)</f>
        <v/>
      </c>
      <c r="N304" s="5" t="inlineStr">
        <is>
          <t>No data in this database - do not prioritise</t>
        </is>
      </c>
    </row>
    <row r="305">
      <c r="A305" t="inlineStr">
        <is>
          <t>Morocco</t>
        </is>
      </c>
      <c r="B305" t="inlineStr">
        <is>
          <t>ma</t>
        </is>
      </c>
      <c r="C305" t="inlineStr">
        <is>
          <t>fr</t>
        </is>
      </c>
      <c r="D305" s="3" t="inlineStr">
        <is>
          <t>https://codesommet.com/</t>
        </is>
      </c>
      <c r="E305" t="inlineStr">
        <is>
          <t>webdesigner</t>
        </is>
      </c>
      <c r="F305" t="inlineStr">
        <is>
          <t>NOT AVAILABLE</t>
        </is>
      </c>
      <c r="G305" t="inlineStr">
        <is>
          <t>NOT AVAILABLE</t>
        </is>
      </c>
      <c r="H305" t="inlineStr">
        <is>
          <t>NOT AVAILABLE</t>
        </is>
      </c>
      <c r="I305" t="inlineStr">
        <is>
          <t>NOT AVAILABLE</t>
        </is>
      </c>
      <c r="J305" t="inlineStr">
        <is>
          <t>SUGGESTED</t>
        </is>
      </c>
      <c r="K305" s="5" t="inlineStr">
        <is>
          <t>NOT AVAILABLE (SERP not pulled for this market)</t>
        </is>
      </c>
      <c r="L305" t="n">
        <v>20</v>
      </c>
      <c r="M305">
        <f>ROUND(IF(IF(I305="NOT AVAILABLE","",I305)="",12,IF(OR(ISNUMBER(SEARCH("Transactional",IF(I305="NOT AVAILABLE","",I305))),ISNUMBER(SEARCH("Commercial",IF(I305="NOT AVAILABLE","",I305)))),25,IF(ISNUMBER(SEARCH("Informational",IF(I305="NOT AVAILABLE","",I305))),10,IF(ISNUMBER(SEARCH("Navigational",IF(I305="NOT AVAILABLE","",I305))),0,12))))+IF(ISNUMBER(F305),MIN(30,ROUND(30*LOG10(F305+1)/4,1)),0)+IF(ISNUMBER(G305),ROUND(25*(100-G305)/100,1),12.5)+L305,0)</f>
        <v/>
      </c>
      <c r="N305" s="5" t="inlineStr">
        <is>
          <t>No data in this database - do not prioritise</t>
        </is>
      </c>
    </row>
    <row r="306">
      <c r="A306" t="inlineStr">
        <is>
          <t>Morocco</t>
        </is>
      </c>
      <c r="B306" t="inlineStr">
        <is>
          <t>ma</t>
        </is>
      </c>
      <c r="C306" t="inlineStr">
        <is>
          <t>fr</t>
        </is>
      </c>
      <c r="D306" s="3" t="inlineStr">
        <is>
          <t>https://codesommet.com/</t>
        </is>
      </c>
      <c r="E306" t="inlineStr">
        <is>
          <t>agence web pas cher</t>
        </is>
      </c>
      <c r="F306" t="inlineStr">
        <is>
          <t>NOT AVAILABLE</t>
        </is>
      </c>
      <c r="G306" t="inlineStr">
        <is>
          <t>NOT AVAILABLE</t>
        </is>
      </c>
      <c r="H306" t="inlineStr">
        <is>
          <t>NOT AVAILABLE</t>
        </is>
      </c>
      <c r="I306" t="inlineStr">
        <is>
          <t>NOT AVAILABLE</t>
        </is>
      </c>
      <c r="J306" t="inlineStr">
        <is>
          <t>SUGGESTED</t>
        </is>
      </c>
      <c r="K306" s="5" t="inlineStr">
        <is>
          <t>NOT AVAILABLE (SERP not pulled for this market)</t>
        </is>
      </c>
      <c r="L306" t="n">
        <v>20</v>
      </c>
      <c r="M306">
        <f>ROUND(IF(IF(I306="NOT AVAILABLE","",I306)="",12,IF(OR(ISNUMBER(SEARCH("Transactional",IF(I306="NOT AVAILABLE","",I306))),ISNUMBER(SEARCH("Commercial",IF(I306="NOT AVAILABLE","",I306)))),25,IF(ISNUMBER(SEARCH("Informational",IF(I306="NOT AVAILABLE","",I306))),10,IF(ISNUMBER(SEARCH("Navigational",IF(I306="NOT AVAILABLE","",I306))),0,12))))+IF(ISNUMBER(F306),MIN(30,ROUND(30*LOG10(F306+1)/4,1)),0)+IF(ISNUMBER(G306),ROUND(25*(100-G306)/100,1),12.5)+L306,0)</f>
        <v/>
      </c>
      <c r="N306" s="5" t="inlineStr">
        <is>
          <t>No data in this database - do not prioritise</t>
        </is>
      </c>
    </row>
    <row r="307">
      <c r="A307" t="inlineStr">
        <is>
          <t>United Arab Emirates</t>
        </is>
      </c>
      <c r="B307" t="inlineStr">
        <is>
          <t>ae</t>
        </is>
      </c>
      <c r="C307" t="inlineStr">
        <is>
          <t>fr</t>
        </is>
      </c>
      <c r="D307" s="3" t="inlineStr">
        <is>
          <t>https://codesommet.com/web-development-company/dubai</t>
        </is>
      </c>
      <c r="E307" t="inlineStr">
        <is>
          <t>agence web dubai</t>
        </is>
      </c>
      <c r="F307" t="n">
        <v>10</v>
      </c>
      <c r="G307" t="inlineStr">
        <is>
          <t>NOT AVAILABLE</t>
        </is>
      </c>
      <c r="H307" t="n">
        <v>0</v>
      </c>
      <c r="I307" t="inlineStr">
        <is>
          <t>NOT AVAILABLE</t>
        </is>
      </c>
      <c r="J307" t="inlineStr">
        <is>
          <t>MEASURED</t>
        </is>
      </c>
      <c r="K307" s="5" t="inlineStr">
        <is>
          <t>NOT AVAILABLE (SERP not pulled)</t>
        </is>
      </c>
      <c r="L307" t="n">
        <v>3</v>
      </c>
      <c r="M307">
        <f>ROUND(IF(IF(I307="NOT AVAILABLE","",I307)="",12,IF(OR(ISNUMBER(SEARCH("Transactional",IF(I307="NOT AVAILABLE","",I307))),ISNUMBER(SEARCH("Commercial",IF(I307="NOT AVAILABLE","",I307)))),25,IF(ISNUMBER(SEARCH("Informational",IF(I307="NOT AVAILABLE","",I307))),10,IF(ISNUMBER(SEARCH("Navigational",IF(I307="NOT AVAILABLE","",I307))),0,12))))+IF(ISNUMBER(F307),MIN(30,ROUND(30*LOG10(F307+1)/4,1)),0)+IF(ISNUMBER(G307),ROUND(25*(100-G307)/100,1),12.5)+L307,0)</f>
        <v/>
      </c>
      <c r="N307" s="5" t="inlineStr">
        <is>
          <t>Low volume - supporting only</t>
        </is>
      </c>
    </row>
    <row r="308">
      <c r="A308" t="inlineStr">
        <is>
          <t>United Arab Emirates</t>
        </is>
      </c>
      <c r="B308" t="inlineStr">
        <is>
          <t>ae</t>
        </is>
      </c>
      <c r="C308" t="inlineStr">
        <is>
          <t>fr</t>
        </is>
      </c>
      <c r="D308" s="3" t="inlineStr">
        <is>
          <t>https://codesommet.com/web-development-company/dubai</t>
        </is>
      </c>
      <c r="E308" t="inlineStr">
        <is>
          <t>création site web dubai</t>
        </is>
      </c>
      <c r="F308" t="inlineStr">
        <is>
          <t>NOT AVAILABLE</t>
        </is>
      </c>
      <c r="G308" t="inlineStr">
        <is>
          <t>NOT AVAILABLE</t>
        </is>
      </c>
      <c r="H308" t="inlineStr">
        <is>
          <t>NOT AVAILABLE</t>
        </is>
      </c>
      <c r="I308" t="inlineStr">
        <is>
          <t>NOT AVAILABLE</t>
        </is>
      </c>
      <c r="J308" t="inlineStr">
        <is>
          <t>UNAVAILABLE</t>
        </is>
      </c>
      <c r="K308" s="5" t="inlineStr">
        <is>
          <t>NOT AVAILABLE (SERP not pulled)</t>
        </is>
      </c>
      <c r="L308" t="n">
        <v>3</v>
      </c>
      <c r="M308">
        <f>ROUND(IF(IF(I308="NOT AVAILABLE","",I308)="",12,IF(OR(ISNUMBER(SEARCH("Transactional",IF(I308="NOT AVAILABLE","",I308))),ISNUMBER(SEARCH("Commercial",IF(I308="NOT AVAILABLE","",I308)))),25,IF(ISNUMBER(SEARCH("Informational",IF(I308="NOT AVAILABLE","",I308))),10,IF(ISNUMBER(SEARCH("Navigational",IF(I308="NOT AVAILABLE","",I308))),0,12))))+IF(ISNUMBER(F308),MIN(30,ROUND(30*LOG10(F308+1)/4,1)),0)+IF(ISNUMBER(G308),ROUND(25*(100-G308)/100,1),12.5)+L308,0)</f>
        <v/>
      </c>
      <c r="N308" s="5" t="inlineStr">
        <is>
          <t>No data in this database - do not prioritise</t>
        </is>
      </c>
    </row>
    <row r="309">
      <c r="A309" t="inlineStr">
        <is>
          <t>United Arab Emirates</t>
        </is>
      </c>
      <c r="B309" t="inlineStr">
        <is>
          <t>ae</t>
        </is>
      </c>
      <c r="C309" t="inlineStr">
        <is>
          <t>fr</t>
        </is>
      </c>
      <c r="D309" s="3" t="inlineStr">
        <is>
          <t>https://codesommet.com/web-development-company/dubai</t>
        </is>
      </c>
      <c r="E309" t="inlineStr">
        <is>
          <t>développement web dubai</t>
        </is>
      </c>
      <c r="F309" t="inlineStr">
        <is>
          <t>NOT AVAILABLE</t>
        </is>
      </c>
      <c r="G309" t="inlineStr">
        <is>
          <t>NOT AVAILABLE</t>
        </is>
      </c>
      <c r="H309" t="inlineStr">
        <is>
          <t>NOT AVAILABLE</t>
        </is>
      </c>
      <c r="I309" t="inlineStr">
        <is>
          <t>NOT AVAILABLE</t>
        </is>
      </c>
      <c r="J309" t="inlineStr">
        <is>
          <t>UNAVAILABLE</t>
        </is>
      </c>
      <c r="K309" s="5" t="inlineStr">
        <is>
          <t>NOT AVAILABLE (SERP not pulled)</t>
        </is>
      </c>
      <c r="L309" t="n">
        <v>3</v>
      </c>
      <c r="M309">
        <f>ROUND(IF(IF(I309="NOT AVAILABLE","",I309)="",12,IF(OR(ISNUMBER(SEARCH("Transactional",IF(I309="NOT AVAILABLE","",I309))),ISNUMBER(SEARCH("Commercial",IF(I309="NOT AVAILABLE","",I309)))),25,IF(ISNUMBER(SEARCH("Informational",IF(I309="NOT AVAILABLE","",I309))),10,IF(ISNUMBER(SEARCH("Navigational",IF(I309="NOT AVAILABLE","",I309))),0,12))))+IF(ISNUMBER(F309),MIN(30,ROUND(30*LOG10(F309+1)/4,1)),0)+IF(ISNUMBER(G309),ROUND(25*(100-G309)/100,1),12.5)+L309,0)</f>
        <v/>
      </c>
      <c r="N309" s="5" t="inlineStr">
        <is>
          <t>No data in this database - do not prioritise</t>
        </is>
      </c>
    </row>
    <row r="310">
      <c r="A310" t="inlineStr">
        <is>
          <t>United Arab Emirates</t>
        </is>
      </c>
      <c r="B310" t="inlineStr">
        <is>
          <t>ae</t>
        </is>
      </c>
      <c r="C310" t="inlineStr">
        <is>
          <t>en</t>
        </is>
      </c>
      <c r="D310" s="3" t="inlineStr">
        <is>
          <t>https://codesommet.com/web-development-company/dubai</t>
        </is>
      </c>
      <c r="E310" t="inlineStr">
        <is>
          <t>web development company dubai</t>
        </is>
      </c>
      <c r="F310" t="n">
        <v>1600</v>
      </c>
      <c r="G310" t="n">
        <v>31</v>
      </c>
      <c r="H310" t="n">
        <v>6.25</v>
      </c>
      <c r="I310" t="inlineStr">
        <is>
          <t>Commercial</t>
        </is>
      </c>
      <c r="J310" t="inlineStr">
        <is>
          <t>MEASURED</t>
        </is>
      </c>
      <c r="K310" s="5" t="inlineStr">
        <is>
          <t>NOT AVAILABLE (SERP not pulled)</t>
        </is>
      </c>
      <c r="L310" t="n">
        <v>3</v>
      </c>
      <c r="M310">
        <f>ROUND(IF(IF(I310="NOT AVAILABLE","",I310)="",12,IF(OR(ISNUMBER(SEARCH("Transactional",IF(I310="NOT AVAILABLE","",I310))),ISNUMBER(SEARCH("Commercial",IF(I310="NOT AVAILABLE","",I310)))),25,IF(ISNUMBER(SEARCH("Informational",IF(I310="NOT AVAILABLE","",I310))),10,IF(ISNUMBER(SEARCH("Navigational",IF(I310="NOT AVAILABLE","",I310))),0,12))))+IF(ISNUMBER(F310),MIN(30,ROUND(30*LOG10(F310+1)/4,1)),0)+IF(ISNUMBER(G310),ROUND(25*(100-G310)/100,1),12.5)+L310,0)</f>
        <v/>
      </c>
      <c r="N310" s="5" t="inlineStr">
        <is>
          <t>Local-language demand; French page cannot serve it - do not target (language mismatch)</t>
        </is>
      </c>
    </row>
    <row r="311">
      <c r="A311" t="inlineStr">
        <is>
          <t>United Arab Emirates</t>
        </is>
      </c>
      <c r="B311" t="inlineStr">
        <is>
          <t>ae</t>
        </is>
      </c>
      <c r="C311" t="inlineStr">
        <is>
          <t>fr</t>
        </is>
      </c>
      <c r="D311" s="3" t="inlineStr">
        <is>
          <t>https://codesommet.com/web-development-company/abudhabi</t>
        </is>
      </c>
      <c r="E311" t="inlineStr">
        <is>
          <t>agence web abu dhabi</t>
        </is>
      </c>
      <c r="F311" t="inlineStr">
        <is>
          <t>NOT AVAILABLE</t>
        </is>
      </c>
      <c r="G311" t="inlineStr">
        <is>
          <t>NOT AVAILABLE</t>
        </is>
      </c>
      <c r="H311" t="inlineStr">
        <is>
          <t>NOT AVAILABLE</t>
        </is>
      </c>
      <c r="I311" t="inlineStr">
        <is>
          <t>NOT AVAILABLE</t>
        </is>
      </c>
      <c r="J311" t="inlineStr">
        <is>
          <t>UNAVAILABLE</t>
        </is>
      </c>
      <c r="K311" s="5" t="inlineStr">
        <is>
          <t>NOT AVAILABLE (SERP not pulled)</t>
        </is>
      </c>
      <c r="L311" t="n">
        <v>3</v>
      </c>
      <c r="M311">
        <f>ROUND(IF(IF(I311="NOT AVAILABLE","",I311)="",12,IF(OR(ISNUMBER(SEARCH("Transactional",IF(I311="NOT AVAILABLE","",I311))),ISNUMBER(SEARCH("Commercial",IF(I311="NOT AVAILABLE","",I311)))),25,IF(ISNUMBER(SEARCH("Informational",IF(I311="NOT AVAILABLE","",I311))),10,IF(ISNUMBER(SEARCH("Navigational",IF(I311="NOT AVAILABLE","",I311))),0,12))))+IF(ISNUMBER(F311),MIN(30,ROUND(30*LOG10(F311+1)/4,1)),0)+IF(ISNUMBER(G311),ROUND(25*(100-G311)/100,1),12.5)+L311,0)</f>
        <v/>
      </c>
      <c r="N311" s="5" t="inlineStr">
        <is>
          <t>No data in this database - do not prioritise</t>
        </is>
      </c>
    </row>
    <row r="312">
      <c r="A312" t="inlineStr">
        <is>
          <t>United Arab Emirates</t>
        </is>
      </c>
      <c r="B312" t="inlineStr">
        <is>
          <t>ae</t>
        </is>
      </c>
      <c r="C312" t="inlineStr">
        <is>
          <t>fr</t>
        </is>
      </c>
      <c r="D312" s="3" t="inlineStr">
        <is>
          <t>https://codesommet.com/web-development-company/abudhabi</t>
        </is>
      </c>
      <c r="E312" t="inlineStr">
        <is>
          <t>création site web abu dhabi</t>
        </is>
      </c>
      <c r="F312" t="inlineStr">
        <is>
          <t>NOT AVAILABLE</t>
        </is>
      </c>
      <c r="G312" t="inlineStr">
        <is>
          <t>NOT AVAILABLE</t>
        </is>
      </c>
      <c r="H312" t="inlineStr">
        <is>
          <t>NOT AVAILABLE</t>
        </is>
      </c>
      <c r="I312" t="inlineStr">
        <is>
          <t>NOT AVAILABLE</t>
        </is>
      </c>
      <c r="J312" t="inlineStr">
        <is>
          <t>UNAVAILABLE</t>
        </is>
      </c>
      <c r="K312" s="5" t="inlineStr">
        <is>
          <t>NOT AVAILABLE (SERP not pulled)</t>
        </is>
      </c>
      <c r="L312" t="n">
        <v>3</v>
      </c>
      <c r="M312">
        <f>ROUND(IF(IF(I312="NOT AVAILABLE","",I312)="",12,IF(OR(ISNUMBER(SEARCH("Transactional",IF(I312="NOT AVAILABLE","",I312))),ISNUMBER(SEARCH("Commercial",IF(I312="NOT AVAILABLE","",I312)))),25,IF(ISNUMBER(SEARCH("Informational",IF(I312="NOT AVAILABLE","",I312))),10,IF(ISNUMBER(SEARCH("Navigational",IF(I312="NOT AVAILABLE","",I312))),0,12))))+IF(ISNUMBER(F312),MIN(30,ROUND(30*LOG10(F312+1)/4,1)),0)+IF(ISNUMBER(G312),ROUND(25*(100-G312)/100,1),12.5)+L312,0)</f>
        <v/>
      </c>
      <c r="N312" s="5" t="inlineStr">
        <is>
          <t>No data in this database - do not prioritise</t>
        </is>
      </c>
    </row>
    <row r="313">
      <c r="A313" t="inlineStr">
        <is>
          <t>United Arab Emirates</t>
        </is>
      </c>
      <c r="B313" t="inlineStr">
        <is>
          <t>ae</t>
        </is>
      </c>
      <c r="C313" t="inlineStr">
        <is>
          <t>fr</t>
        </is>
      </c>
      <c r="D313" s="3" t="inlineStr">
        <is>
          <t>https://codesommet.com/web-development-company/abudhabi</t>
        </is>
      </c>
      <c r="E313" t="inlineStr">
        <is>
          <t>développement web abu dhabi</t>
        </is>
      </c>
      <c r="F313" t="inlineStr">
        <is>
          <t>NOT AVAILABLE</t>
        </is>
      </c>
      <c r="G313" t="inlineStr">
        <is>
          <t>NOT AVAILABLE</t>
        </is>
      </c>
      <c r="H313" t="inlineStr">
        <is>
          <t>NOT AVAILABLE</t>
        </is>
      </c>
      <c r="I313" t="inlineStr">
        <is>
          <t>NOT AVAILABLE</t>
        </is>
      </c>
      <c r="J313" t="inlineStr">
        <is>
          <t>UNAVAILABLE</t>
        </is>
      </c>
      <c r="K313" s="5" t="inlineStr">
        <is>
          <t>NOT AVAILABLE (SERP not pulled)</t>
        </is>
      </c>
      <c r="L313" t="n">
        <v>3</v>
      </c>
      <c r="M313">
        <f>ROUND(IF(IF(I313="NOT AVAILABLE","",I313)="",12,IF(OR(ISNUMBER(SEARCH("Transactional",IF(I313="NOT AVAILABLE","",I313))),ISNUMBER(SEARCH("Commercial",IF(I313="NOT AVAILABLE","",I313)))),25,IF(ISNUMBER(SEARCH("Informational",IF(I313="NOT AVAILABLE","",I313))),10,IF(ISNUMBER(SEARCH("Navigational",IF(I313="NOT AVAILABLE","",I313))),0,12))))+IF(ISNUMBER(F313),MIN(30,ROUND(30*LOG10(F313+1)/4,1)),0)+IF(ISNUMBER(G313),ROUND(25*(100-G313)/100,1),12.5)+L313,0)</f>
        <v/>
      </c>
      <c r="N313" s="5" t="inlineStr">
        <is>
          <t>No data in this database - do not prioritise</t>
        </is>
      </c>
    </row>
    <row r="314">
      <c r="A314" t="inlineStr">
        <is>
          <t>United Arab Emirates</t>
        </is>
      </c>
      <c r="B314" t="inlineStr">
        <is>
          <t>ae</t>
        </is>
      </c>
      <c r="C314" t="inlineStr">
        <is>
          <t>en</t>
        </is>
      </c>
      <c r="D314" s="3" t="inlineStr">
        <is>
          <t>https://codesommet.com/web-development-company/abudhabi</t>
        </is>
      </c>
      <c r="E314" t="inlineStr">
        <is>
          <t>web development company abu dhabi</t>
        </is>
      </c>
      <c r="F314" t="n">
        <v>390</v>
      </c>
      <c r="G314" t="n">
        <v>18</v>
      </c>
      <c r="H314" t="n">
        <v>8.81</v>
      </c>
      <c r="I314" t="inlineStr">
        <is>
          <t>Commercial</t>
        </is>
      </c>
      <c r="J314" t="inlineStr">
        <is>
          <t>MEASURED</t>
        </is>
      </c>
      <c r="K314" s="5" t="inlineStr">
        <is>
          <t>NOT AVAILABLE (SERP not pulled)</t>
        </is>
      </c>
      <c r="L314" t="n">
        <v>3</v>
      </c>
      <c r="M314">
        <f>ROUND(IF(IF(I314="NOT AVAILABLE","",I314)="",12,IF(OR(ISNUMBER(SEARCH("Transactional",IF(I314="NOT AVAILABLE","",I314))),ISNUMBER(SEARCH("Commercial",IF(I314="NOT AVAILABLE","",I314)))),25,IF(ISNUMBER(SEARCH("Informational",IF(I314="NOT AVAILABLE","",I314))),10,IF(ISNUMBER(SEARCH("Navigational",IF(I314="NOT AVAILABLE","",I314))),0,12))))+IF(ISNUMBER(F314),MIN(30,ROUND(30*LOG10(F314+1)/4,1)),0)+IF(ISNUMBER(G314),ROUND(25*(100-G314)/100,1),12.5)+L314,0)</f>
        <v/>
      </c>
      <c r="N314" s="5" t="inlineStr">
        <is>
          <t>Local-language demand; French page cannot serve it - do not target (language mismatch)</t>
        </is>
      </c>
    </row>
    <row r="315">
      <c r="A315" t="inlineStr">
        <is>
          <t>Saudi Arabia</t>
        </is>
      </c>
      <c r="B315" t="inlineStr">
        <is>
          <t>sa</t>
        </is>
      </c>
      <c r="C315" t="inlineStr">
        <is>
          <t>fr</t>
        </is>
      </c>
      <c r="D315" s="3" t="inlineStr">
        <is>
          <t>https://codesommet.com/web-development-company/riyadh</t>
        </is>
      </c>
      <c r="E315" t="inlineStr">
        <is>
          <t>agence web riyad</t>
        </is>
      </c>
      <c r="F315" t="inlineStr">
        <is>
          <t>NOT AVAILABLE</t>
        </is>
      </c>
      <c r="G315" t="inlineStr">
        <is>
          <t>NOT AVAILABLE</t>
        </is>
      </c>
      <c r="H315" t="inlineStr">
        <is>
          <t>NOT AVAILABLE</t>
        </is>
      </c>
      <c r="I315" t="inlineStr">
        <is>
          <t>NOT AVAILABLE</t>
        </is>
      </c>
      <c r="J315" t="inlineStr">
        <is>
          <t>UNAVAILABLE</t>
        </is>
      </c>
      <c r="K315" s="5" t="inlineStr">
        <is>
          <t>NOT AVAILABLE (SERP not pulled)</t>
        </is>
      </c>
      <c r="L315" t="n">
        <v>3</v>
      </c>
      <c r="M315">
        <f>ROUND(IF(IF(I315="NOT AVAILABLE","",I315)="",12,IF(OR(ISNUMBER(SEARCH("Transactional",IF(I315="NOT AVAILABLE","",I315))),ISNUMBER(SEARCH("Commercial",IF(I315="NOT AVAILABLE","",I315)))),25,IF(ISNUMBER(SEARCH("Informational",IF(I315="NOT AVAILABLE","",I315))),10,IF(ISNUMBER(SEARCH("Navigational",IF(I315="NOT AVAILABLE","",I315))),0,12))))+IF(ISNUMBER(F315),MIN(30,ROUND(30*LOG10(F315+1)/4,1)),0)+IF(ISNUMBER(G315),ROUND(25*(100-G315)/100,1),12.5)+L315,0)</f>
        <v/>
      </c>
      <c r="N315" s="5" t="inlineStr">
        <is>
          <t>No data in this database - do not prioritise</t>
        </is>
      </c>
    </row>
    <row r="316">
      <c r="A316" t="inlineStr">
        <is>
          <t>Saudi Arabia</t>
        </is>
      </c>
      <c r="B316" t="inlineStr">
        <is>
          <t>sa</t>
        </is>
      </c>
      <c r="C316" t="inlineStr">
        <is>
          <t>fr</t>
        </is>
      </c>
      <c r="D316" s="3" t="inlineStr">
        <is>
          <t>https://codesommet.com/web-development-company/riyadh</t>
        </is>
      </c>
      <c r="E316" t="inlineStr">
        <is>
          <t>création site web riyad</t>
        </is>
      </c>
      <c r="F316" t="inlineStr">
        <is>
          <t>NOT AVAILABLE</t>
        </is>
      </c>
      <c r="G316" t="inlineStr">
        <is>
          <t>NOT AVAILABLE</t>
        </is>
      </c>
      <c r="H316" t="inlineStr">
        <is>
          <t>NOT AVAILABLE</t>
        </is>
      </c>
      <c r="I316" t="inlineStr">
        <is>
          <t>NOT AVAILABLE</t>
        </is>
      </c>
      <c r="J316" t="inlineStr">
        <is>
          <t>UNAVAILABLE</t>
        </is>
      </c>
      <c r="K316" s="5" t="inlineStr">
        <is>
          <t>NOT AVAILABLE (SERP not pulled)</t>
        </is>
      </c>
      <c r="L316" t="n">
        <v>3</v>
      </c>
      <c r="M316">
        <f>ROUND(IF(IF(I316="NOT AVAILABLE","",I316)="",12,IF(OR(ISNUMBER(SEARCH("Transactional",IF(I316="NOT AVAILABLE","",I316))),ISNUMBER(SEARCH("Commercial",IF(I316="NOT AVAILABLE","",I316)))),25,IF(ISNUMBER(SEARCH("Informational",IF(I316="NOT AVAILABLE","",I316))),10,IF(ISNUMBER(SEARCH("Navigational",IF(I316="NOT AVAILABLE","",I316))),0,12))))+IF(ISNUMBER(F316),MIN(30,ROUND(30*LOG10(F316+1)/4,1)),0)+IF(ISNUMBER(G316),ROUND(25*(100-G316)/100,1),12.5)+L316,0)</f>
        <v/>
      </c>
      <c r="N316" s="5" t="inlineStr">
        <is>
          <t>No data in this database - do not prioritise</t>
        </is>
      </c>
    </row>
    <row r="317">
      <c r="A317" t="inlineStr">
        <is>
          <t>Saudi Arabia</t>
        </is>
      </c>
      <c r="B317" t="inlineStr">
        <is>
          <t>sa</t>
        </is>
      </c>
      <c r="C317" t="inlineStr">
        <is>
          <t>fr</t>
        </is>
      </c>
      <c r="D317" s="3" t="inlineStr">
        <is>
          <t>https://codesommet.com/web-development-company/riyadh</t>
        </is>
      </c>
      <c r="E317" t="inlineStr">
        <is>
          <t>développement web riyad</t>
        </is>
      </c>
      <c r="F317" t="inlineStr">
        <is>
          <t>NOT AVAILABLE</t>
        </is>
      </c>
      <c r="G317" t="inlineStr">
        <is>
          <t>NOT AVAILABLE</t>
        </is>
      </c>
      <c r="H317" t="inlineStr">
        <is>
          <t>NOT AVAILABLE</t>
        </is>
      </c>
      <c r="I317" t="inlineStr">
        <is>
          <t>NOT AVAILABLE</t>
        </is>
      </c>
      <c r="J317" t="inlineStr">
        <is>
          <t>UNAVAILABLE</t>
        </is>
      </c>
      <c r="K317" s="5" t="inlineStr">
        <is>
          <t>NOT AVAILABLE (SERP not pulled)</t>
        </is>
      </c>
      <c r="L317" t="n">
        <v>3</v>
      </c>
      <c r="M317">
        <f>ROUND(IF(IF(I317="NOT AVAILABLE","",I317)="",12,IF(OR(ISNUMBER(SEARCH("Transactional",IF(I317="NOT AVAILABLE","",I317))),ISNUMBER(SEARCH("Commercial",IF(I317="NOT AVAILABLE","",I317)))),25,IF(ISNUMBER(SEARCH("Informational",IF(I317="NOT AVAILABLE","",I317))),10,IF(ISNUMBER(SEARCH("Navigational",IF(I317="NOT AVAILABLE","",I317))),0,12))))+IF(ISNUMBER(F317),MIN(30,ROUND(30*LOG10(F317+1)/4,1)),0)+IF(ISNUMBER(G317),ROUND(25*(100-G317)/100,1),12.5)+L317,0)</f>
        <v/>
      </c>
      <c r="N317" s="5" t="inlineStr">
        <is>
          <t>No data in this database - do not prioritise</t>
        </is>
      </c>
    </row>
    <row r="318">
      <c r="A318" t="inlineStr">
        <is>
          <t>Saudi Arabia</t>
        </is>
      </c>
      <c r="B318" t="inlineStr">
        <is>
          <t>sa</t>
        </is>
      </c>
      <c r="C318" t="inlineStr">
        <is>
          <t>en</t>
        </is>
      </c>
      <c r="D318" s="3" t="inlineStr">
        <is>
          <t>https://codesommet.com/web-development-company/riyadh</t>
        </is>
      </c>
      <c r="E318" t="inlineStr">
        <is>
          <t>web development company riyadh</t>
        </is>
      </c>
      <c r="F318" t="n">
        <v>0</v>
      </c>
      <c r="G318" t="inlineStr">
        <is>
          <t>NOT AVAILABLE</t>
        </is>
      </c>
      <c r="H318" t="n">
        <v>0</v>
      </c>
      <c r="I318" t="inlineStr">
        <is>
          <t>NOT AVAILABLE</t>
        </is>
      </c>
      <c r="J318" t="inlineStr">
        <is>
          <t>MEASURED</t>
        </is>
      </c>
      <c r="K318" s="5" t="inlineStr">
        <is>
          <t>NOT AVAILABLE (SERP not pulled)</t>
        </is>
      </c>
      <c r="L318" t="n">
        <v>3</v>
      </c>
      <c r="M318">
        <f>ROUND(IF(IF(I318="NOT AVAILABLE","",I318)="",12,IF(OR(ISNUMBER(SEARCH("Transactional",IF(I318="NOT AVAILABLE","",I318))),ISNUMBER(SEARCH("Commercial",IF(I318="NOT AVAILABLE","",I318)))),25,IF(ISNUMBER(SEARCH("Informational",IF(I318="NOT AVAILABLE","",I318))),10,IF(ISNUMBER(SEARCH("Navigational",IF(I318="NOT AVAILABLE","",I318))),0,12))))+IF(ISNUMBER(F318),MIN(30,ROUND(30*LOG10(F318+1)/4,1)),0)+IF(ISNUMBER(G318),ROUND(25*(100-G318)/100,1),12.5)+L318,0)</f>
        <v/>
      </c>
      <c r="N318" s="5" t="inlineStr">
        <is>
          <t>Local-language demand; French page cannot serve it - do not target (language mismatch)</t>
        </is>
      </c>
    </row>
    <row r="319">
      <c r="A319" t="inlineStr">
        <is>
          <t>United Kingdom</t>
        </is>
      </c>
      <c r="B319" t="inlineStr">
        <is>
          <t>uk</t>
        </is>
      </c>
      <c r="C319" t="inlineStr">
        <is>
          <t>fr</t>
        </is>
      </c>
      <c r="D319" s="3" t="inlineStr">
        <is>
          <t>https://codesommet.com/web-development-company/london</t>
        </is>
      </c>
      <c r="E319" t="inlineStr">
        <is>
          <t>agence web londres</t>
        </is>
      </c>
      <c r="F319" t="n">
        <v>20</v>
      </c>
      <c r="G319" t="inlineStr">
        <is>
          <t>NOT AVAILABLE</t>
        </is>
      </c>
      <c r="H319" t="n">
        <v>0</v>
      </c>
      <c r="I319" t="inlineStr">
        <is>
          <t>NOT AVAILABLE</t>
        </is>
      </c>
      <c r="J319" t="inlineStr">
        <is>
          <t>MEASURED</t>
        </is>
      </c>
      <c r="K319" s="5" t="inlineStr">
        <is>
          <t>NOT AVAILABLE (SERP not pulled)</t>
        </is>
      </c>
      <c r="L319" t="n">
        <v>3</v>
      </c>
      <c r="M319">
        <f>ROUND(IF(IF(I319="NOT AVAILABLE","",I319)="",12,IF(OR(ISNUMBER(SEARCH("Transactional",IF(I319="NOT AVAILABLE","",I319))),ISNUMBER(SEARCH("Commercial",IF(I319="NOT AVAILABLE","",I319)))),25,IF(ISNUMBER(SEARCH("Informational",IF(I319="NOT AVAILABLE","",I319))),10,IF(ISNUMBER(SEARCH("Navigational",IF(I319="NOT AVAILABLE","",I319))),0,12))))+IF(ISNUMBER(F319),MIN(30,ROUND(30*LOG10(F319+1)/4,1)),0)+IF(ISNUMBER(G319),ROUND(25*(100-G319)/100,1),12.5)+L319,0)</f>
        <v/>
      </c>
      <c r="N319" s="5" t="inlineStr">
        <is>
          <t>Low volume - supporting only</t>
        </is>
      </c>
    </row>
    <row r="320">
      <c r="A320" t="inlineStr">
        <is>
          <t>United Kingdom</t>
        </is>
      </c>
      <c r="B320" t="inlineStr">
        <is>
          <t>uk</t>
        </is>
      </c>
      <c r="C320" t="inlineStr">
        <is>
          <t>fr</t>
        </is>
      </c>
      <c r="D320" s="3" t="inlineStr">
        <is>
          <t>https://codesommet.com/web-development-company/london</t>
        </is>
      </c>
      <c r="E320" t="inlineStr">
        <is>
          <t>création site web londres</t>
        </is>
      </c>
      <c r="F320" t="n">
        <v>10</v>
      </c>
      <c r="G320" t="inlineStr">
        <is>
          <t>NOT AVAILABLE</t>
        </is>
      </c>
      <c r="H320" t="n">
        <v>0</v>
      </c>
      <c r="I320" t="inlineStr">
        <is>
          <t>NOT AVAILABLE</t>
        </is>
      </c>
      <c r="J320" t="inlineStr">
        <is>
          <t>MEASURED</t>
        </is>
      </c>
      <c r="K320" s="5" t="inlineStr">
        <is>
          <t>NOT AVAILABLE (SERP not pulled)</t>
        </is>
      </c>
      <c r="L320" t="n">
        <v>3</v>
      </c>
      <c r="M320">
        <f>ROUND(IF(IF(I320="NOT AVAILABLE","",I320)="",12,IF(OR(ISNUMBER(SEARCH("Transactional",IF(I320="NOT AVAILABLE","",I320))),ISNUMBER(SEARCH("Commercial",IF(I320="NOT AVAILABLE","",I320)))),25,IF(ISNUMBER(SEARCH("Informational",IF(I320="NOT AVAILABLE","",I320))),10,IF(ISNUMBER(SEARCH("Navigational",IF(I320="NOT AVAILABLE","",I320))),0,12))))+IF(ISNUMBER(F320),MIN(30,ROUND(30*LOG10(F320+1)/4,1)),0)+IF(ISNUMBER(G320),ROUND(25*(100-G320)/100,1),12.5)+L320,0)</f>
        <v/>
      </c>
      <c r="N320" s="5" t="inlineStr">
        <is>
          <t>Low volume - supporting only</t>
        </is>
      </c>
    </row>
    <row r="321">
      <c r="A321" t="inlineStr">
        <is>
          <t>United Kingdom</t>
        </is>
      </c>
      <c r="B321" t="inlineStr">
        <is>
          <t>uk</t>
        </is>
      </c>
      <c r="C321" t="inlineStr">
        <is>
          <t>fr</t>
        </is>
      </c>
      <c r="D321" s="3" t="inlineStr">
        <is>
          <t>https://codesommet.com/web-development-company/london</t>
        </is>
      </c>
      <c r="E321" t="inlineStr">
        <is>
          <t>développement web londres</t>
        </is>
      </c>
      <c r="F321" t="inlineStr">
        <is>
          <t>NOT AVAILABLE</t>
        </is>
      </c>
      <c r="G321" t="inlineStr">
        <is>
          <t>NOT AVAILABLE</t>
        </is>
      </c>
      <c r="H321" t="inlineStr">
        <is>
          <t>NOT AVAILABLE</t>
        </is>
      </c>
      <c r="I321" t="inlineStr">
        <is>
          <t>NOT AVAILABLE</t>
        </is>
      </c>
      <c r="J321" t="inlineStr">
        <is>
          <t>UNAVAILABLE</t>
        </is>
      </c>
      <c r="K321" s="5" t="inlineStr">
        <is>
          <t>NOT AVAILABLE (SERP not pulled)</t>
        </is>
      </c>
      <c r="L321" t="n">
        <v>3</v>
      </c>
      <c r="M321">
        <f>ROUND(IF(IF(I321="NOT AVAILABLE","",I321)="",12,IF(OR(ISNUMBER(SEARCH("Transactional",IF(I321="NOT AVAILABLE","",I321))),ISNUMBER(SEARCH("Commercial",IF(I321="NOT AVAILABLE","",I321)))),25,IF(ISNUMBER(SEARCH("Informational",IF(I321="NOT AVAILABLE","",I321))),10,IF(ISNUMBER(SEARCH("Navigational",IF(I321="NOT AVAILABLE","",I321))),0,12))))+IF(ISNUMBER(F321),MIN(30,ROUND(30*LOG10(F321+1)/4,1)),0)+IF(ISNUMBER(G321),ROUND(25*(100-G321)/100,1),12.5)+L321,0)</f>
        <v/>
      </c>
      <c r="N321" s="5" t="inlineStr">
        <is>
          <t>No data in this database - do not prioritise</t>
        </is>
      </c>
    </row>
    <row r="322">
      <c r="A322" t="inlineStr">
        <is>
          <t>United Kingdom</t>
        </is>
      </c>
      <c r="B322" t="inlineStr">
        <is>
          <t>uk</t>
        </is>
      </c>
      <c r="C322" t="inlineStr">
        <is>
          <t>en</t>
        </is>
      </c>
      <c r="D322" s="3" t="inlineStr">
        <is>
          <t>https://codesommet.com/web-development-company/london</t>
        </is>
      </c>
      <c r="E322" t="inlineStr">
        <is>
          <t>web development company london</t>
        </is>
      </c>
      <c r="F322" t="n">
        <v>880</v>
      </c>
      <c r="G322" t="n">
        <v>37</v>
      </c>
      <c r="H322" t="n">
        <v>9.6</v>
      </c>
      <c r="I322" t="inlineStr">
        <is>
          <t>Commercial</t>
        </is>
      </c>
      <c r="J322" t="inlineStr">
        <is>
          <t>MEASURED</t>
        </is>
      </c>
      <c r="K322" s="5" t="inlineStr">
        <is>
          <t>NOT AVAILABLE (SERP not pulled)</t>
        </is>
      </c>
      <c r="L322" t="n">
        <v>3</v>
      </c>
      <c r="M322">
        <f>ROUND(IF(IF(I322="NOT AVAILABLE","",I322)="",12,IF(OR(ISNUMBER(SEARCH("Transactional",IF(I322="NOT AVAILABLE","",I322))),ISNUMBER(SEARCH("Commercial",IF(I322="NOT AVAILABLE","",I322)))),25,IF(ISNUMBER(SEARCH("Informational",IF(I322="NOT AVAILABLE","",I322))),10,IF(ISNUMBER(SEARCH("Navigational",IF(I322="NOT AVAILABLE","",I322))),0,12))))+IF(ISNUMBER(F322),MIN(30,ROUND(30*LOG10(F322+1)/4,1)),0)+IF(ISNUMBER(G322),ROUND(25*(100-G322)/100,1),12.5)+L322,0)</f>
        <v/>
      </c>
      <c r="N322" s="5" t="inlineStr">
        <is>
          <t>Local-language demand; French page cannot serve it - do not target (language mismatch)</t>
        </is>
      </c>
    </row>
    <row r="323">
      <c r="A323" t="inlineStr">
        <is>
          <t>Netherlands</t>
        </is>
      </c>
      <c r="B323" t="inlineStr">
        <is>
          <t>nl</t>
        </is>
      </c>
      <c r="C323" t="inlineStr">
        <is>
          <t>fr</t>
        </is>
      </c>
      <c r="D323" s="3" t="inlineStr">
        <is>
          <t>https://codesommet.com/web-development-company/amsterdam</t>
        </is>
      </c>
      <c r="E323" t="inlineStr">
        <is>
          <t>agence web amsterdam</t>
        </is>
      </c>
      <c r="F323" t="inlineStr">
        <is>
          <t>NOT AVAILABLE</t>
        </is>
      </c>
      <c r="G323" t="inlineStr">
        <is>
          <t>NOT AVAILABLE</t>
        </is>
      </c>
      <c r="H323" t="inlineStr">
        <is>
          <t>NOT AVAILABLE</t>
        </is>
      </c>
      <c r="I323" t="inlineStr">
        <is>
          <t>NOT AVAILABLE</t>
        </is>
      </c>
      <c r="J323" t="inlineStr">
        <is>
          <t>UNAVAILABLE</t>
        </is>
      </c>
      <c r="K323" s="5" t="inlineStr">
        <is>
          <t>NOT AVAILABLE (SERP not pulled)</t>
        </is>
      </c>
      <c r="L323" t="n">
        <v>3</v>
      </c>
      <c r="M323">
        <f>ROUND(IF(IF(I323="NOT AVAILABLE","",I323)="",12,IF(OR(ISNUMBER(SEARCH("Transactional",IF(I323="NOT AVAILABLE","",I323))),ISNUMBER(SEARCH("Commercial",IF(I323="NOT AVAILABLE","",I323)))),25,IF(ISNUMBER(SEARCH("Informational",IF(I323="NOT AVAILABLE","",I323))),10,IF(ISNUMBER(SEARCH("Navigational",IF(I323="NOT AVAILABLE","",I323))),0,12))))+IF(ISNUMBER(F323),MIN(30,ROUND(30*LOG10(F323+1)/4,1)),0)+IF(ISNUMBER(G323),ROUND(25*(100-G323)/100,1),12.5)+L323,0)</f>
        <v/>
      </c>
      <c r="N323" s="5" t="inlineStr">
        <is>
          <t>No data in this database - do not prioritise</t>
        </is>
      </c>
    </row>
    <row r="324">
      <c r="A324" t="inlineStr">
        <is>
          <t>Netherlands</t>
        </is>
      </c>
      <c r="B324" t="inlineStr">
        <is>
          <t>nl</t>
        </is>
      </c>
      <c r="C324" t="inlineStr">
        <is>
          <t>fr</t>
        </is>
      </c>
      <c r="D324" s="3" t="inlineStr">
        <is>
          <t>https://codesommet.com/web-development-company/amsterdam</t>
        </is>
      </c>
      <c r="E324" t="inlineStr">
        <is>
          <t>création site web amsterdam</t>
        </is>
      </c>
      <c r="F324" t="inlineStr">
        <is>
          <t>NOT AVAILABLE</t>
        </is>
      </c>
      <c r="G324" t="inlineStr">
        <is>
          <t>NOT AVAILABLE</t>
        </is>
      </c>
      <c r="H324" t="inlineStr">
        <is>
          <t>NOT AVAILABLE</t>
        </is>
      </c>
      <c r="I324" t="inlineStr">
        <is>
          <t>NOT AVAILABLE</t>
        </is>
      </c>
      <c r="J324" t="inlineStr">
        <is>
          <t>UNAVAILABLE</t>
        </is>
      </c>
      <c r="K324" s="5" t="inlineStr">
        <is>
          <t>NOT AVAILABLE (SERP not pulled)</t>
        </is>
      </c>
      <c r="L324" t="n">
        <v>3</v>
      </c>
      <c r="M324">
        <f>ROUND(IF(IF(I324="NOT AVAILABLE","",I324)="",12,IF(OR(ISNUMBER(SEARCH("Transactional",IF(I324="NOT AVAILABLE","",I324))),ISNUMBER(SEARCH("Commercial",IF(I324="NOT AVAILABLE","",I324)))),25,IF(ISNUMBER(SEARCH("Informational",IF(I324="NOT AVAILABLE","",I324))),10,IF(ISNUMBER(SEARCH("Navigational",IF(I324="NOT AVAILABLE","",I324))),0,12))))+IF(ISNUMBER(F324),MIN(30,ROUND(30*LOG10(F324+1)/4,1)),0)+IF(ISNUMBER(G324),ROUND(25*(100-G324)/100,1),12.5)+L324,0)</f>
        <v/>
      </c>
      <c r="N324" s="5" t="inlineStr">
        <is>
          <t>No data in this database - do not prioritise</t>
        </is>
      </c>
    </row>
    <row r="325">
      <c r="A325" t="inlineStr">
        <is>
          <t>Netherlands</t>
        </is>
      </c>
      <c r="B325" t="inlineStr">
        <is>
          <t>nl</t>
        </is>
      </c>
      <c r="C325" t="inlineStr">
        <is>
          <t>fr</t>
        </is>
      </c>
      <c r="D325" s="3" t="inlineStr">
        <is>
          <t>https://codesommet.com/web-development-company/amsterdam</t>
        </is>
      </c>
      <c r="E325" t="inlineStr">
        <is>
          <t>développement web amsterdam</t>
        </is>
      </c>
      <c r="F325" t="inlineStr">
        <is>
          <t>NOT AVAILABLE</t>
        </is>
      </c>
      <c r="G325" t="inlineStr">
        <is>
          <t>NOT AVAILABLE</t>
        </is>
      </c>
      <c r="H325" t="inlineStr">
        <is>
          <t>NOT AVAILABLE</t>
        </is>
      </c>
      <c r="I325" t="inlineStr">
        <is>
          <t>NOT AVAILABLE</t>
        </is>
      </c>
      <c r="J325" t="inlineStr">
        <is>
          <t>UNAVAILABLE</t>
        </is>
      </c>
      <c r="K325" s="5" t="inlineStr">
        <is>
          <t>NOT AVAILABLE (SERP not pulled)</t>
        </is>
      </c>
      <c r="L325" t="n">
        <v>3</v>
      </c>
      <c r="M325">
        <f>ROUND(IF(IF(I325="NOT AVAILABLE","",I325)="",12,IF(OR(ISNUMBER(SEARCH("Transactional",IF(I325="NOT AVAILABLE","",I325))),ISNUMBER(SEARCH("Commercial",IF(I325="NOT AVAILABLE","",I325)))),25,IF(ISNUMBER(SEARCH("Informational",IF(I325="NOT AVAILABLE","",I325))),10,IF(ISNUMBER(SEARCH("Navigational",IF(I325="NOT AVAILABLE","",I325))),0,12))))+IF(ISNUMBER(F325),MIN(30,ROUND(30*LOG10(F325+1)/4,1)),0)+IF(ISNUMBER(G325),ROUND(25*(100-G325)/100,1),12.5)+L325,0)</f>
        <v/>
      </c>
      <c r="N325" s="5" t="inlineStr">
        <is>
          <t>No data in this database - do not prioritise</t>
        </is>
      </c>
    </row>
    <row r="326">
      <c r="A326" t="inlineStr">
        <is>
          <t>Netherlands</t>
        </is>
      </c>
      <c r="B326" t="inlineStr">
        <is>
          <t>nl</t>
        </is>
      </c>
      <c r="C326" t="inlineStr">
        <is>
          <t>en</t>
        </is>
      </c>
      <c r="D326" s="3" t="inlineStr">
        <is>
          <t>https://codesommet.com/web-development-company/amsterdam</t>
        </is>
      </c>
      <c r="E326" t="inlineStr">
        <is>
          <t>web development amsterdam</t>
        </is>
      </c>
      <c r="F326" t="n">
        <v>260</v>
      </c>
      <c r="G326" t="n">
        <v>14</v>
      </c>
      <c r="H326" t="n">
        <v>4.56</v>
      </c>
      <c r="I326" t="inlineStr">
        <is>
          <t>Commercial</t>
        </is>
      </c>
      <c r="J326" t="inlineStr">
        <is>
          <t>MEASURED</t>
        </is>
      </c>
      <c r="K326" s="5" t="inlineStr">
        <is>
          <t>NOT AVAILABLE (SERP not pulled)</t>
        </is>
      </c>
      <c r="L326" t="n">
        <v>3</v>
      </c>
      <c r="M326">
        <f>ROUND(IF(IF(I326="NOT AVAILABLE","",I326)="",12,IF(OR(ISNUMBER(SEARCH("Transactional",IF(I326="NOT AVAILABLE","",I326))),ISNUMBER(SEARCH("Commercial",IF(I326="NOT AVAILABLE","",I326)))),25,IF(ISNUMBER(SEARCH("Informational",IF(I326="NOT AVAILABLE","",I326))),10,IF(ISNUMBER(SEARCH("Navigational",IF(I326="NOT AVAILABLE","",I326))),0,12))))+IF(ISNUMBER(F326),MIN(30,ROUND(30*LOG10(F326+1)/4,1)),0)+IF(ISNUMBER(G326),ROUND(25*(100-G326)/100,1),12.5)+L326,0)</f>
        <v/>
      </c>
      <c r="N326" s="5" t="inlineStr">
        <is>
          <t>Local-language demand; French page cannot serve it - do not target (language mismatch)</t>
        </is>
      </c>
    </row>
    <row r="327">
      <c r="A327" t="inlineStr">
        <is>
          <t>Germany</t>
        </is>
      </c>
      <c r="B327" t="inlineStr">
        <is>
          <t>de</t>
        </is>
      </c>
      <c r="C327" t="inlineStr">
        <is>
          <t>fr</t>
        </is>
      </c>
      <c r="D327" s="3" t="inlineStr">
        <is>
          <t>https://codesommet.com/web-development-company/berlin</t>
        </is>
      </c>
      <c r="E327" t="inlineStr">
        <is>
          <t>agence web berlin</t>
        </is>
      </c>
      <c r="F327" t="inlineStr">
        <is>
          <t>NOT AVAILABLE</t>
        </is>
      </c>
      <c r="G327" t="inlineStr">
        <is>
          <t>NOT AVAILABLE</t>
        </is>
      </c>
      <c r="H327" t="inlineStr">
        <is>
          <t>NOT AVAILABLE</t>
        </is>
      </c>
      <c r="I327" t="inlineStr">
        <is>
          <t>NOT AVAILABLE</t>
        </is>
      </c>
      <c r="J327" t="inlineStr">
        <is>
          <t>UNAVAILABLE</t>
        </is>
      </c>
      <c r="K327" s="5" t="inlineStr">
        <is>
          <t>NOT AVAILABLE (SERP not pulled)</t>
        </is>
      </c>
      <c r="L327" t="n">
        <v>3</v>
      </c>
      <c r="M327">
        <f>ROUND(IF(IF(I327="NOT AVAILABLE","",I327)="",12,IF(OR(ISNUMBER(SEARCH("Transactional",IF(I327="NOT AVAILABLE","",I327))),ISNUMBER(SEARCH("Commercial",IF(I327="NOT AVAILABLE","",I327)))),25,IF(ISNUMBER(SEARCH("Informational",IF(I327="NOT AVAILABLE","",I327))),10,IF(ISNUMBER(SEARCH("Navigational",IF(I327="NOT AVAILABLE","",I327))),0,12))))+IF(ISNUMBER(F327),MIN(30,ROUND(30*LOG10(F327+1)/4,1)),0)+IF(ISNUMBER(G327),ROUND(25*(100-G327)/100,1),12.5)+L327,0)</f>
        <v/>
      </c>
      <c r="N327" s="5" t="inlineStr">
        <is>
          <t>No data in this database - do not prioritise</t>
        </is>
      </c>
    </row>
    <row r="328">
      <c r="A328" t="inlineStr">
        <is>
          <t>Germany</t>
        </is>
      </c>
      <c r="B328" t="inlineStr">
        <is>
          <t>de</t>
        </is>
      </c>
      <c r="C328" t="inlineStr">
        <is>
          <t>fr</t>
        </is>
      </c>
      <c r="D328" s="3" t="inlineStr">
        <is>
          <t>https://codesommet.com/web-development-company/berlin</t>
        </is>
      </c>
      <c r="E328" t="inlineStr">
        <is>
          <t>création site web berlin</t>
        </is>
      </c>
      <c r="F328" t="inlineStr">
        <is>
          <t>NOT AVAILABLE</t>
        </is>
      </c>
      <c r="G328" t="inlineStr">
        <is>
          <t>NOT AVAILABLE</t>
        </is>
      </c>
      <c r="H328" t="inlineStr">
        <is>
          <t>NOT AVAILABLE</t>
        </is>
      </c>
      <c r="I328" t="inlineStr">
        <is>
          <t>NOT AVAILABLE</t>
        </is>
      </c>
      <c r="J328" t="inlineStr">
        <is>
          <t>UNAVAILABLE</t>
        </is>
      </c>
      <c r="K328" s="5" t="inlineStr">
        <is>
          <t>NOT AVAILABLE (SERP not pulled)</t>
        </is>
      </c>
      <c r="L328" t="n">
        <v>3</v>
      </c>
      <c r="M328">
        <f>ROUND(IF(IF(I328="NOT AVAILABLE","",I328)="",12,IF(OR(ISNUMBER(SEARCH("Transactional",IF(I328="NOT AVAILABLE","",I328))),ISNUMBER(SEARCH("Commercial",IF(I328="NOT AVAILABLE","",I328)))),25,IF(ISNUMBER(SEARCH("Informational",IF(I328="NOT AVAILABLE","",I328))),10,IF(ISNUMBER(SEARCH("Navigational",IF(I328="NOT AVAILABLE","",I328))),0,12))))+IF(ISNUMBER(F328),MIN(30,ROUND(30*LOG10(F328+1)/4,1)),0)+IF(ISNUMBER(G328),ROUND(25*(100-G328)/100,1),12.5)+L328,0)</f>
        <v/>
      </c>
      <c r="N328" s="5" t="inlineStr">
        <is>
          <t>No data in this database - do not prioritise</t>
        </is>
      </c>
    </row>
    <row r="329">
      <c r="A329" t="inlineStr">
        <is>
          <t>Germany</t>
        </is>
      </c>
      <c r="B329" t="inlineStr">
        <is>
          <t>de</t>
        </is>
      </c>
      <c r="C329" t="inlineStr">
        <is>
          <t>fr</t>
        </is>
      </c>
      <c r="D329" s="3" t="inlineStr">
        <is>
          <t>https://codesommet.com/web-development-company/berlin</t>
        </is>
      </c>
      <c r="E329" t="inlineStr">
        <is>
          <t>développement web berlin</t>
        </is>
      </c>
      <c r="F329" t="inlineStr">
        <is>
          <t>NOT AVAILABLE</t>
        </is>
      </c>
      <c r="G329" t="inlineStr">
        <is>
          <t>NOT AVAILABLE</t>
        </is>
      </c>
      <c r="H329" t="inlineStr">
        <is>
          <t>NOT AVAILABLE</t>
        </is>
      </c>
      <c r="I329" t="inlineStr">
        <is>
          <t>NOT AVAILABLE</t>
        </is>
      </c>
      <c r="J329" t="inlineStr">
        <is>
          <t>UNAVAILABLE</t>
        </is>
      </c>
      <c r="K329" s="5" t="inlineStr">
        <is>
          <t>NOT AVAILABLE (SERP not pulled)</t>
        </is>
      </c>
      <c r="L329" t="n">
        <v>3</v>
      </c>
      <c r="M329">
        <f>ROUND(IF(IF(I329="NOT AVAILABLE","",I329)="",12,IF(OR(ISNUMBER(SEARCH("Transactional",IF(I329="NOT AVAILABLE","",I329))),ISNUMBER(SEARCH("Commercial",IF(I329="NOT AVAILABLE","",I329)))),25,IF(ISNUMBER(SEARCH("Informational",IF(I329="NOT AVAILABLE","",I329))),10,IF(ISNUMBER(SEARCH("Navigational",IF(I329="NOT AVAILABLE","",I329))),0,12))))+IF(ISNUMBER(F329),MIN(30,ROUND(30*LOG10(F329+1)/4,1)),0)+IF(ISNUMBER(G329),ROUND(25*(100-G329)/100,1),12.5)+L329,0)</f>
        <v/>
      </c>
      <c r="N329" s="5" t="inlineStr">
        <is>
          <t>No data in this database - do not prioritise</t>
        </is>
      </c>
    </row>
    <row r="330">
      <c r="A330" t="inlineStr">
        <is>
          <t>Germany</t>
        </is>
      </c>
      <c r="B330" t="inlineStr">
        <is>
          <t>de</t>
        </is>
      </c>
      <c r="C330" t="inlineStr">
        <is>
          <t>de</t>
        </is>
      </c>
      <c r="D330" s="3" t="inlineStr">
        <is>
          <t>https://codesommet.com/web-development-company/berlin</t>
        </is>
      </c>
      <c r="E330" t="inlineStr">
        <is>
          <t>webentwicklung berlin</t>
        </is>
      </c>
      <c r="F330" t="n">
        <v>480</v>
      </c>
      <c r="G330" t="n">
        <v>29</v>
      </c>
      <c r="H330" t="n">
        <v>2.77</v>
      </c>
      <c r="I330" t="inlineStr">
        <is>
          <t>Commercial</t>
        </is>
      </c>
      <c r="J330" t="inlineStr">
        <is>
          <t>MEASURED</t>
        </is>
      </c>
      <c r="K330" s="5" t="inlineStr">
        <is>
          <t>NOT AVAILABLE (SERP not pulled)</t>
        </is>
      </c>
      <c r="L330" t="n">
        <v>3</v>
      </c>
      <c r="M330">
        <f>ROUND(IF(IF(I330="NOT AVAILABLE","",I330)="",12,IF(OR(ISNUMBER(SEARCH("Transactional",IF(I330="NOT AVAILABLE","",I330))),ISNUMBER(SEARCH("Commercial",IF(I330="NOT AVAILABLE","",I330)))),25,IF(ISNUMBER(SEARCH("Informational",IF(I330="NOT AVAILABLE","",I330))),10,IF(ISNUMBER(SEARCH("Navigational",IF(I330="NOT AVAILABLE","",I330))),0,12))))+IF(ISNUMBER(F330),MIN(30,ROUND(30*LOG10(F330+1)/4,1)),0)+IF(ISNUMBER(G330),ROUND(25*(100-G330)/100,1),12.5)+L330,0)</f>
        <v/>
      </c>
      <c r="N330" s="5" t="inlineStr">
        <is>
          <t>Local-language demand; French page cannot serve it - do not target (language mismatch)</t>
        </is>
      </c>
    </row>
    <row r="331">
      <c r="A331" t="inlineStr">
        <is>
          <t>France</t>
        </is>
      </c>
      <c r="B331" t="inlineStr">
        <is>
          <t>fr</t>
        </is>
      </c>
      <c r="C331" t="inlineStr">
        <is>
          <t>fr</t>
        </is>
      </c>
      <c r="D331" s="3" t="inlineStr">
        <is>
          <t>https://codesommet.com/web-development-company/paris</t>
        </is>
      </c>
      <c r="E331" t="inlineStr">
        <is>
          <t>agence web paris</t>
        </is>
      </c>
      <c r="F331" t="n">
        <v>3600</v>
      </c>
      <c r="G331" t="n">
        <v>36</v>
      </c>
      <c r="H331" t="n">
        <v>2.99</v>
      </c>
      <c r="I331" t="inlineStr">
        <is>
          <t>NOT AVAILABLE</t>
        </is>
      </c>
      <c r="J331" t="inlineStr">
        <is>
          <t>MEASURED</t>
        </is>
      </c>
      <c r="K331" s="5" t="inlineStr">
        <is>
          <t>lafabriquedunet.fr, sortlist.fr, yieldstudio.fr, codyweb.fr (SERP "agence de développement web"); viaprestige-agency.com, esokia.com (offshore)</t>
        </is>
      </c>
      <c r="L331" t="n">
        <v>14</v>
      </c>
      <c r="M331">
        <f>ROUND(IF(IF(I331="NOT AVAILABLE","",I331)="",12,IF(OR(ISNUMBER(SEARCH("Transactional",IF(I331="NOT AVAILABLE","",I331))),ISNUMBER(SEARCH("Commercial",IF(I331="NOT AVAILABLE","",I331)))),25,IF(ISNUMBER(SEARCH("Informational",IF(I331="NOT AVAILABLE","",I331))),10,IF(ISNUMBER(SEARCH("Navigational",IF(I331="NOT AVAILABLE","",I331))),0,12))))+IF(ISNUMBER(F331),MIN(30,ROUND(30*LOG10(F331+1)/4,1)),0)+IF(ISNUMBER(G331),ROUND(25*(100-G331)/100,1),12.5)+L331,0)</f>
        <v/>
      </c>
      <c r="N331" s="5" t="inlineStr">
        <is>
          <t>Moderate opportunity - test with existing page before creating anything</t>
        </is>
      </c>
    </row>
    <row r="332">
      <c r="A332" t="inlineStr">
        <is>
          <t>France</t>
        </is>
      </c>
      <c r="B332" t="inlineStr">
        <is>
          <t>fr</t>
        </is>
      </c>
      <c r="C332" t="inlineStr">
        <is>
          <t>fr</t>
        </is>
      </c>
      <c r="D332" s="3" t="inlineStr">
        <is>
          <t>https://codesommet.com/web-development-company/paris</t>
        </is>
      </c>
      <c r="E332" t="inlineStr">
        <is>
          <t>création site web paris</t>
        </is>
      </c>
      <c r="F332" t="n">
        <v>320</v>
      </c>
      <c r="G332" t="n">
        <v>28</v>
      </c>
      <c r="H332" t="n">
        <v>1.68</v>
      </c>
      <c r="I332" t="inlineStr">
        <is>
          <t>Commercial</t>
        </is>
      </c>
      <c r="J332" t="inlineStr">
        <is>
          <t>MEASURED</t>
        </is>
      </c>
      <c r="K332" s="5" t="inlineStr">
        <is>
          <t>lafabriquedunet.fr, sortlist.fr, yieldstudio.fr, codyweb.fr (SERP "agence de développement web"); viaprestige-agency.com, esokia.com (offshore)</t>
        </is>
      </c>
      <c r="L332" t="n">
        <v>14</v>
      </c>
      <c r="M332">
        <f>ROUND(IF(IF(I332="NOT AVAILABLE","",I332)="",12,IF(OR(ISNUMBER(SEARCH("Transactional",IF(I332="NOT AVAILABLE","",I332))),ISNUMBER(SEARCH("Commercial",IF(I332="NOT AVAILABLE","",I332)))),25,IF(ISNUMBER(SEARCH("Informational",IF(I332="NOT AVAILABLE","",I332))),10,IF(ISNUMBER(SEARCH("Navigational",IF(I332="NOT AVAILABLE","",I332))),0,12))))+IF(ISNUMBER(F332),MIN(30,ROUND(30*LOG10(F332+1)/4,1)),0)+IF(ISNUMBER(G332),ROUND(25*(100-G332)/100,1),12.5)+L332,0)</f>
        <v/>
      </c>
      <c r="N332" s="5" t="inlineStr">
        <is>
          <t>Moderate opportunity - test with existing page before creating anything</t>
        </is>
      </c>
    </row>
    <row r="333">
      <c r="A333" t="inlineStr">
        <is>
          <t>France</t>
        </is>
      </c>
      <c r="B333" t="inlineStr">
        <is>
          <t>fr</t>
        </is>
      </c>
      <c r="C333" t="inlineStr">
        <is>
          <t>fr</t>
        </is>
      </c>
      <c r="D333" s="3" t="inlineStr">
        <is>
          <t>https://codesommet.com/web-development-company/paris</t>
        </is>
      </c>
      <c r="E333" t="inlineStr">
        <is>
          <t>développement web paris</t>
        </is>
      </c>
      <c r="F333" t="n">
        <v>260</v>
      </c>
      <c r="G333" t="n">
        <v>31</v>
      </c>
      <c r="H333" t="n">
        <v>2.07</v>
      </c>
      <c r="I333" t="inlineStr">
        <is>
          <t>Commercial</t>
        </is>
      </c>
      <c r="J333" t="inlineStr">
        <is>
          <t>MEASURED</t>
        </is>
      </c>
      <c r="K333" s="5" t="inlineStr">
        <is>
          <t>lafabriquedunet.fr, sortlist.fr, yieldstudio.fr, codyweb.fr (SERP "agence de développement web"); viaprestige-agency.com, esokia.com (offshore)</t>
        </is>
      </c>
      <c r="L333" t="n">
        <v>14</v>
      </c>
      <c r="M333">
        <f>ROUND(IF(IF(I333="NOT AVAILABLE","",I333)="",12,IF(OR(ISNUMBER(SEARCH("Transactional",IF(I333="NOT AVAILABLE","",I333))),ISNUMBER(SEARCH("Commercial",IF(I333="NOT AVAILABLE","",I333)))),25,IF(ISNUMBER(SEARCH("Informational",IF(I333="NOT AVAILABLE","",I333))),10,IF(ISNUMBER(SEARCH("Navigational",IF(I333="NOT AVAILABLE","",I333))),0,12))))+IF(ISNUMBER(F333),MIN(30,ROUND(30*LOG10(F333+1)/4,1)),0)+IF(ISNUMBER(G333),ROUND(25*(100-G333)/100,1),12.5)+L333,0)</f>
        <v/>
      </c>
      <c r="N333" s="5" t="inlineStr">
        <is>
          <t>Moderate opportunity - test with existing page before creating anything</t>
        </is>
      </c>
    </row>
    <row r="334">
      <c r="A334" t="inlineStr">
        <is>
          <t>Denmark</t>
        </is>
      </c>
      <c r="B334" t="inlineStr">
        <is>
          <t>dk</t>
        </is>
      </c>
      <c r="C334" t="inlineStr">
        <is>
          <t>fr</t>
        </is>
      </c>
      <c r="D334" s="3" t="inlineStr">
        <is>
          <t>https://codesommet.com/web-development-company/copenhagen</t>
        </is>
      </c>
      <c r="E334" t="inlineStr">
        <is>
          <t>agence web copenhague</t>
        </is>
      </c>
      <c r="F334" t="inlineStr">
        <is>
          <t>NOT AVAILABLE</t>
        </is>
      </c>
      <c r="G334" t="inlineStr">
        <is>
          <t>NOT AVAILABLE</t>
        </is>
      </c>
      <c r="H334" t="inlineStr">
        <is>
          <t>NOT AVAILABLE</t>
        </is>
      </c>
      <c r="I334" t="inlineStr">
        <is>
          <t>NOT AVAILABLE</t>
        </is>
      </c>
      <c r="J334" t="inlineStr">
        <is>
          <t>UNAVAILABLE</t>
        </is>
      </c>
      <c r="K334" s="5" t="inlineStr">
        <is>
          <t>NOT AVAILABLE (SERP not pulled)</t>
        </is>
      </c>
      <c r="L334" t="n">
        <v>3</v>
      </c>
      <c r="M334">
        <f>ROUND(IF(IF(I334="NOT AVAILABLE","",I334)="",12,IF(OR(ISNUMBER(SEARCH("Transactional",IF(I334="NOT AVAILABLE","",I334))),ISNUMBER(SEARCH("Commercial",IF(I334="NOT AVAILABLE","",I334)))),25,IF(ISNUMBER(SEARCH("Informational",IF(I334="NOT AVAILABLE","",I334))),10,IF(ISNUMBER(SEARCH("Navigational",IF(I334="NOT AVAILABLE","",I334))),0,12))))+IF(ISNUMBER(F334),MIN(30,ROUND(30*LOG10(F334+1)/4,1)),0)+IF(ISNUMBER(G334),ROUND(25*(100-G334)/100,1),12.5)+L334,0)</f>
        <v/>
      </c>
      <c r="N334" s="5" t="inlineStr">
        <is>
          <t>No data in this database - do not prioritise</t>
        </is>
      </c>
    </row>
    <row r="335">
      <c r="A335" t="inlineStr">
        <is>
          <t>Denmark</t>
        </is>
      </c>
      <c r="B335" t="inlineStr">
        <is>
          <t>dk</t>
        </is>
      </c>
      <c r="C335" t="inlineStr">
        <is>
          <t>fr</t>
        </is>
      </c>
      <c r="D335" s="3" t="inlineStr">
        <is>
          <t>https://codesommet.com/web-development-company/copenhagen</t>
        </is>
      </c>
      <c r="E335" t="inlineStr">
        <is>
          <t>création site web copenhague</t>
        </is>
      </c>
      <c r="F335" t="inlineStr">
        <is>
          <t>NOT AVAILABLE</t>
        </is>
      </c>
      <c r="G335" t="inlineStr">
        <is>
          <t>NOT AVAILABLE</t>
        </is>
      </c>
      <c r="H335" t="inlineStr">
        <is>
          <t>NOT AVAILABLE</t>
        </is>
      </c>
      <c r="I335" t="inlineStr">
        <is>
          <t>NOT AVAILABLE</t>
        </is>
      </c>
      <c r="J335" t="inlineStr">
        <is>
          <t>UNAVAILABLE</t>
        </is>
      </c>
      <c r="K335" s="5" t="inlineStr">
        <is>
          <t>NOT AVAILABLE (SERP not pulled)</t>
        </is>
      </c>
      <c r="L335" t="n">
        <v>3</v>
      </c>
      <c r="M335">
        <f>ROUND(IF(IF(I335="NOT AVAILABLE","",I335)="",12,IF(OR(ISNUMBER(SEARCH("Transactional",IF(I335="NOT AVAILABLE","",I335))),ISNUMBER(SEARCH("Commercial",IF(I335="NOT AVAILABLE","",I335)))),25,IF(ISNUMBER(SEARCH("Informational",IF(I335="NOT AVAILABLE","",I335))),10,IF(ISNUMBER(SEARCH("Navigational",IF(I335="NOT AVAILABLE","",I335))),0,12))))+IF(ISNUMBER(F335),MIN(30,ROUND(30*LOG10(F335+1)/4,1)),0)+IF(ISNUMBER(G335),ROUND(25*(100-G335)/100,1),12.5)+L335,0)</f>
        <v/>
      </c>
      <c r="N335" s="5" t="inlineStr">
        <is>
          <t>No data in this database - do not prioritise</t>
        </is>
      </c>
    </row>
    <row r="336">
      <c r="A336" t="inlineStr">
        <is>
          <t>Denmark</t>
        </is>
      </c>
      <c r="B336" t="inlineStr">
        <is>
          <t>dk</t>
        </is>
      </c>
      <c r="C336" t="inlineStr">
        <is>
          <t>fr</t>
        </is>
      </c>
      <c r="D336" s="3" t="inlineStr">
        <is>
          <t>https://codesommet.com/web-development-company/copenhagen</t>
        </is>
      </c>
      <c r="E336" t="inlineStr">
        <is>
          <t>développement web copenhague</t>
        </is>
      </c>
      <c r="F336" t="inlineStr">
        <is>
          <t>NOT AVAILABLE</t>
        </is>
      </c>
      <c r="G336" t="inlineStr">
        <is>
          <t>NOT AVAILABLE</t>
        </is>
      </c>
      <c r="H336" t="inlineStr">
        <is>
          <t>NOT AVAILABLE</t>
        </is>
      </c>
      <c r="I336" t="inlineStr">
        <is>
          <t>NOT AVAILABLE</t>
        </is>
      </c>
      <c r="J336" t="inlineStr">
        <is>
          <t>UNAVAILABLE</t>
        </is>
      </c>
      <c r="K336" s="5" t="inlineStr">
        <is>
          <t>NOT AVAILABLE (SERP not pulled)</t>
        </is>
      </c>
      <c r="L336" t="n">
        <v>3</v>
      </c>
      <c r="M336">
        <f>ROUND(IF(IF(I336="NOT AVAILABLE","",I336)="",12,IF(OR(ISNUMBER(SEARCH("Transactional",IF(I336="NOT AVAILABLE","",I336))),ISNUMBER(SEARCH("Commercial",IF(I336="NOT AVAILABLE","",I336)))),25,IF(ISNUMBER(SEARCH("Informational",IF(I336="NOT AVAILABLE","",I336))),10,IF(ISNUMBER(SEARCH("Navigational",IF(I336="NOT AVAILABLE","",I336))),0,12))))+IF(ISNUMBER(F336),MIN(30,ROUND(30*LOG10(F336+1)/4,1)),0)+IF(ISNUMBER(G336),ROUND(25*(100-G336)/100,1),12.5)+L336,0)</f>
        <v/>
      </c>
      <c r="N336" s="5" t="inlineStr">
        <is>
          <t>No data in this database - do not prioritise</t>
        </is>
      </c>
    </row>
    <row r="337">
      <c r="A337" t="inlineStr">
        <is>
          <t>Denmark</t>
        </is>
      </c>
      <c r="B337" t="inlineStr">
        <is>
          <t>dk</t>
        </is>
      </c>
      <c r="C337" t="inlineStr">
        <is>
          <t>en</t>
        </is>
      </c>
      <c r="D337" s="3" t="inlineStr">
        <is>
          <t>https://codesommet.com/web-development-company/copenhagen</t>
        </is>
      </c>
      <c r="E337" t="inlineStr">
        <is>
          <t>web development copenhagen</t>
        </is>
      </c>
      <c r="F337" t="n">
        <v>20</v>
      </c>
      <c r="G337" t="inlineStr">
        <is>
          <t>NOT AVAILABLE</t>
        </is>
      </c>
      <c r="H337" t="n">
        <v>0</v>
      </c>
      <c r="I337" t="inlineStr">
        <is>
          <t>NOT AVAILABLE</t>
        </is>
      </c>
      <c r="J337" t="inlineStr">
        <is>
          <t>MEASURED</t>
        </is>
      </c>
      <c r="K337" s="5" t="inlineStr">
        <is>
          <t>NOT AVAILABLE (SERP not pulled)</t>
        </is>
      </c>
      <c r="L337" t="n">
        <v>3</v>
      </c>
      <c r="M337">
        <f>ROUND(IF(IF(I337="NOT AVAILABLE","",I337)="",12,IF(OR(ISNUMBER(SEARCH("Transactional",IF(I337="NOT AVAILABLE","",I337))),ISNUMBER(SEARCH("Commercial",IF(I337="NOT AVAILABLE","",I337)))),25,IF(ISNUMBER(SEARCH("Informational",IF(I337="NOT AVAILABLE","",I337))),10,IF(ISNUMBER(SEARCH("Navigational",IF(I337="NOT AVAILABLE","",I337))),0,12))))+IF(ISNUMBER(F337),MIN(30,ROUND(30*LOG10(F337+1)/4,1)),0)+IF(ISNUMBER(G337),ROUND(25*(100-G337)/100,1),12.5)+L337,0)</f>
        <v/>
      </c>
      <c r="N337" s="5" t="inlineStr">
        <is>
          <t>Local-language demand; French page cannot serve it - do not target (language mismatch)</t>
        </is>
      </c>
    </row>
    <row r="338">
      <c r="A338" t="inlineStr">
        <is>
          <t>Ireland</t>
        </is>
      </c>
      <c r="B338" t="inlineStr">
        <is>
          <t>ie</t>
        </is>
      </c>
      <c r="C338" t="inlineStr">
        <is>
          <t>fr</t>
        </is>
      </c>
      <c r="D338" s="3" t="inlineStr">
        <is>
          <t>https://codesommet.com/web-development-company/dublin</t>
        </is>
      </c>
      <c r="E338" t="inlineStr">
        <is>
          <t>agence web dublin</t>
        </is>
      </c>
      <c r="F338" t="inlineStr">
        <is>
          <t>NOT AVAILABLE</t>
        </is>
      </c>
      <c r="G338" t="inlineStr">
        <is>
          <t>NOT AVAILABLE</t>
        </is>
      </c>
      <c r="H338" t="inlineStr">
        <is>
          <t>NOT AVAILABLE</t>
        </is>
      </c>
      <c r="I338" t="inlineStr">
        <is>
          <t>NOT AVAILABLE</t>
        </is>
      </c>
      <c r="J338" t="inlineStr">
        <is>
          <t>UNAVAILABLE</t>
        </is>
      </c>
      <c r="K338" s="5" t="inlineStr">
        <is>
          <t>NOT AVAILABLE (SERP not pulled)</t>
        </is>
      </c>
      <c r="L338" t="n">
        <v>3</v>
      </c>
      <c r="M338">
        <f>ROUND(IF(IF(I338="NOT AVAILABLE","",I338)="",12,IF(OR(ISNUMBER(SEARCH("Transactional",IF(I338="NOT AVAILABLE","",I338))),ISNUMBER(SEARCH("Commercial",IF(I338="NOT AVAILABLE","",I338)))),25,IF(ISNUMBER(SEARCH("Informational",IF(I338="NOT AVAILABLE","",I338))),10,IF(ISNUMBER(SEARCH("Navigational",IF(I338="NOT AVAILABLE","",I338))),0,12))))+IF(ISNUMBER(F338),MIN(30,ROUND(30*LOG10(F338+1)/4,1)),0)+IF(ISNUMBER(G338),ROUND(25*(100-G338)/100,1),12.5)+L338,0)</f>
        <v/>
      </c>
      <c r="N338" s="5" t="inlineStr">
        <is>
          <t>No data in this database - do not prioritise</t>
        </is>
      </c>
    </row>
    <row r="339">
      <c r="A339" t="inlineStr">
        <is>
          <t>Ireland</t>
        </is>
      </c>
      <c r="B339" t="inlineStr">
        <is>
          <t>ie</t>
        </is>
      </c>
      <c r="C339" t="inlineStr">
        <is>
          <t>fr</t>
        </is>
      </c>
      <c r="D339" s="3" t="inlineStr">
        <is>
          <t>https://codesommet.com/web-development-company/dublin</t>
        </is>
      </c>
      <c r="E339" t="inlineStr">
        <is>
          <t>création site web dublin</t>
        </is>
      </c>
      <c r="F339" t="inlineStr">
        <is>
          <t>NOT AVAILABLE</t>
        </is>
      </c>
      <c r="G339" t="inlineStr">
        <is>
          <t>NOT AVAILABLE</t>
        </is>
      </c>
      <c r="H339" t="inlineStr">
        <is>
          <t>NOT AVAILABLE</t>
        </is>
      </c>
      <c r="I339" t="inlineStr">
        <is>
          <t>NOT AVAILABLE</t>
        </is>
      </c>
      <c r="J339" t="inlineStr">
        <is>
          <t>UNAVAILABLE</t>
        </is>
      </c>
      <c r="K339" s="5" t="inlineStr">
        <is>
          <t>NOT AVAILABLE (SERP not pulled)</t>
        </is>
      </c>
      <c r="L339" t="n">
        <v>3</v>
      </c>
      <c r="M339">
        <f>ROUND(IF(IF(I339="NOT AVAILABLE","",I339)="",12,IF(OR(ISNUMBER(SEARCH("Transactional",IF(I339="NOT AVAILABLE","",I339))),ISNUMBER(SEARCH("Commercial",IF(I339="NOT AVAILABLE","",I339)))),25,IF(ISNUMBER(SEARCH("Informational",IF(I339="NOT AVAILABLE","",I339))),10,IF(ISNUMBER(SEARCH("Navigational",IF(I339="NOT AVAILABLE","",I339))),0,12))))+IF(ISNUMBER(F339),MIN(30,ROUND(30*LOG10(F339+1)/4,1)),0)+IF(ISNUMBER(G339),ROUND(25*(100-G339)/100,1),12.5)+L339,0)</f>
        <v/>
      </c>
      <c r="N339" s="5" t="inlineStr">
        <is>
          <t>No data in this database - do not prioritise</t>
        </is>
      </c>
    </row>
    <row r="340">
      <c r="A340" t="inlineStr">
        <is>
          <t>Ireland</t>
        </is>
      </c>
      <c r="B340" t="inlineStr">
        <is>
          <t>ie</t>
        </is>
      </c>
      <c r="C340" t="inlineStr">
        <is>
          <t>fr</t>
        </is>
      </c>
      <c r="D340" s="3" t="inlineStr">
        <is>
          <t>https://codesommet.com/web-development-company/dublin</t>
        </is>
      </c>
      <c r="E340" t="inlineStr">
        <is>
          <t>développement web dublin</t>
        </is>
      </c>
      <c r="F340" t="inlineStr">
        <is>
          <t>NOT AVAILABLE</t>
        </is>
      </c>
      <c r="G340" t="inlineStr">
        <is>
          <t>NOT AVAILABLE</t>
        </is>
      </c>
      <c r="H340" t="inlineStr">
        <is>
          <t>NOT AVAILABLE</t>
        </is>
      </c>
      <c r="I340" t="inlineStr">
        <is>
          <t>NOT AVAILABLE</t>
        </is>
      </c>
      <c r="J340" t="inlineStr">
        <is>
          <t>UNAVAILABLE</t>
        </is>
      </c>
      <c r="K340" s="5" t="inlineStr">
        <is>
          <t>NOT AVAILABLE (SERP not pulled)</t>
        </is>
      </c>
      <c r="L340" t="n">
        <v>3</v>
      </c>
      <c r="M340">
        <f>ROUND(IF(IF(I340="NOT AVAILABLE","",I340)="",12,IF(OR(ISNUMBER(SEARCH("Transactional",IF(I340="NOT AVAILABLE","",I340))),ISNUMBER(SEARCH("Commercial",IF(I340="NOT AVAILABLE","",I340)))),25,IF(ISNUMBER(SEARCH("Informational",IF(I340="NOT AVAILABLE","",I340))),10,IF(ISNUMBER(SEARCH("Navigational",IF(I340="NOT AVAILABLE","",I340))),0,12))))+IF(ISNUMBER(F340),MIN(30,ROUND(30*LOG10(F340+1)/4,1)),0)+IF(ISNUMBER(G340),ROUND(25*(100-G340)/100,1),12.5)+L340,0)</f>
        <v/>
      </c>
      <c r="N340" s="5" t="inlineStr">
        <is>
          <t>No data in this database - do not prioritise</t>
        </is>
      </c>
    </row>
    <row r="341">
      <c r="A341" t="inlineStr">
        <is>
          <t>Ireland</t>
        </is>
      </c>
      <c r="B341" t="inlineStr">
        <is>
          <t>ie</t>
        </is>
      </c>
      <c r="C341" t="inlineStr">
        <is>
          <t>en</t>
        </is>
      </c>
      <c r="D341" s="3" t="inlineStr">
        <is>
          <t>https://codesommet.com/web-development-company/dublin</t>
        </is>
      </c>
      <c r="E341" t="inlineStr">
        <is>
          <t>web development company dublin</t>
        </is>
      </c>
      <c r="F341" t="n">
        <v>260</v>
      </c>
      <c r="G341" t="n">
        <v>58</v>
      </c>
      <c r="H341" t="n">
        <v>3.61</v>
      </c>
      <c r="I341" t="inlineStr">
        <is>
          <t>Commercial</t>
        </is>
      </c>
      <c r="J341" t="inlineStr">
        <is>
          <t>MEASURED</t>
        </is>
      </c>
      <c r="K341" s="5" t="inlineStr">
        <is>
          <t>NOT AVAILABLE (SERP not pulled)</t>
        </is>
      </c>
      <c r="L341" t="n">
        <v>3</v>
      </c>
      <c r="M341">
        <f>ROUND(IF(IF(I341="NOT AVAILABLE","",I341)="",12,IF(OR(ISNUMBER(SEARCH("Transactional",IF(I341="NOT AVAILABLE","",I341))),ISNUMBER(SEARCH("Commercial",IF(I341="NOT AVAILABLE","",I341)))),25,IF(ISNUMBER(SEARCH("Informational",IF(I341="NOT AVAILABLE","",I341))),10,IF(ISNUMBER(SEARCH("Navigational",IF(I341="NOT AVAILABLE","",I341))),0,12))))+IF(ISNUMBER(F341),MIN(30,ROUND(30*LOG10(F341+1)/4,1)),0)+IF(ISNUMBER(G341),ROUND(25*(100-G341)/100,1),12.5)+L341,0)</f>
        <v/>
      </c>
      <c r="N341" s="5" t="inlineStr">
        <is>
          <t>Local-language demand; French page cannot serve it - do not target (language mismatch)</t>
        </is>
      </c>
    </row>
    <row r="342">
      <c r="A342" t="inlineStr">
        <is>
          <t>Belgium</t>
        </is>
      </c>
      <c r="B342" t="inlineStr">
        <is>
          <t>be</t>
        </is>
      </c>
      <c r="C342" t="inlineStr">
        <is>
          <t>fr</t>
        </is>
      </c>
      <c r="D342" s="3" t="inlineStr">
        <is>
          <t>https://codesommet.com/web-development-company/brussels</t>
        </is>
      </c>
      <c r="E342" t="inlineStr">
        <is>
          <t>agence web bruxelles</t>
        </is>
      </c>
      <c r="F342" t="n">
        <v>1300</v>
      </c>
      <c r="G342" t="n">
        <v>53</v>
      </c>
      <c r="H342" t="n">
        <v>2.97</v>
      </c>
      <c r="I342" t="inlineStr">
        <is>
          <t>Commercial</t>
        </is>
      </c>
      <c r="J342" t="inlineStr">
        <is>
          <t>MEASURED</t>
        </is>
      </c>
      <c r="K342" s="5" t="inlineStr">
        <is>
          <t>vragency.website, sortlist.be, opengraphy.com, akis.studio (SERP "agence web bruxelles")</t>
        </is>
      </c>
      <c r="L342" t="n">
        <v>10</v>
      </c>
      <c r="M342">
        <f>ROUND(IF(IF(I342="NOT AVAILABLE","",I342)="",12,IF(OR(ISNUMBER(SEARCH("Transactional",IF(I342="NOT AVAILABLE","",I342))),ISNUMBER(SEARCH("Commercial",IF(I342="NOT AVAILABLE","",I342)))),25,IF(ISNUMBER(SEARCH("Informational",IF(I342="NOT AVAILABLE","",I342))),10,IF(ISNUMBER(SEARCH("Navigational",IF(I342="NOT AVAILABLE","",I342))),0,12))))+IF(ISNUMBER(F342),MIN(30,ROUND(30*LOG10(F342+1)/4,1)),0)+IF(ISNUMBER(G342),ROUND(25*(100-G342)/100,1),12.5)+L342,0)</f>
        <v/>
      </c>
      <c r="N342" s="5" t="inlineStr">
        <is>
          <t>High difficulty - long-term only, needs authority/links</t>
        </is>
      </c>
    </row>
    <row r="343">
      <c r="A343" t="inlineStr">
        <is>
          <t>Belgium</t>
        </is>
      </c>
      <c r="B343" t="inlineStr">
        <is>
          <t>be</t>
        </is>
      </c>
      <c r="C343" t="inlineStr">
        <is>
          <t>fr</t>
        </is>
      </c>
      <c r="D343" s="3" t="inlineStr">
        <is>
          <t>https://codesommet.com/web-development-company/brussels</t>
        </is>
      </c>
      <c r="E343" t="inlineStr">
        <is>
          <t>création site web bruxelles</t>
        </is>
      </c>
      <c r="F343" t="n">
        <v>140</v>
      </c>
      <c r="G343" t="n">
        <v>5</v>
      </c>
      <c r="H343" t="n">
        <v>4.94</v>
      </c>
      <c r="I343" t="inlineStr">
        <is>
          <t>Commercial</t>
        </is>
      </c>
      <c r="J343" t="inlineStr">
        <is>
          <t>MEASURED</t>
        </is>
      </c>
      <c r="K343" s="5" t="inlineStr">
        <is>
          <t>vragency.website, sortlist.be, opengraphy.com, akis.studio (SERP "agence web bruxelles")</t>
        </is>
      </c>
      <c r="L343" t="n">
        <v>10</v>
      </c>
      <c r="M343">
        <f>ROUND(IF(IF(I343="NOT AVAILABLE","",I343)="",12,IF(OR(ISNUMBER(SEARCH("Transactional",IF(I343="NOT AVAILABLE","",I343))),ISNUMBER(SEARCH("Commercial",IF(I343="NOT AVAILABLE","",I343)))),25,IF(ISNUMBER(SEARCH("Informational",IF(I343="NOT AVAILABLE","",I343))),10,IF(ISNUMBER(SEARCH("Navigational",IF(I343="NOT AVAILABLE","",I343))),0,12))))+IF(ISNUMBER(F343),MIN(30,ROUND(30*LOG10(F343+1)/4,1)),0)+IF(ISNUMBER(G343),ROUND(25*(100-G343)/100,1),12.5)+L343,0)</f>
        <v/>
      </c>
      <c r="N343" s="5" t="inlineStr">
        <is>
          <t>Opportunity: realistic volume at low KD - target via existing page section</t>
        </is>
      </c>
    </row>
    <row r="344">
      <c r="A344" t="inlineStr">
        <is>
          <t>Belgium</t>
        </is>
      </c>
      <c r="B344" t="inlineStr">
        <is>
          <t>be</t>
        </is>
      </c>
      <c r="C344" t="inlineStr">
        <is>
          <t>fr</t>
        </is>
      </c>
      <c r="D344" s="3" t="inlineStr">
        <is>
          <t>https://codesommet.com/web-development-company/brussels</t>
        </is>
      </c>
      <c r="E344" t="inlineStr">
        <is>
          <t>développement web bruxelles</t>
        </is>
      </c>
      <c r="F344" t="n">
        <v>50</v>
      </c>
      <c r="G344" t="inlineStr">
        <is>
          <t>NOT AVAILABLE</t>
        </is>
      </c>
      <c r="H344" t="n">
        <v>3.31</v>
      </c>
      <c r="I344" t="inlineStr">
        <is>
          <t>NOT AVAILABLE</t>
        </is>
      </c>
      <c r="J344" t="inlineStr">
        <is>
          <t>MEASURED</t>
        </is>
      </c>
      <c r="K344" s="5" t="inlineStr">
        <is>
          <t>vragency.website, sortlist.be, opengraphy.com, akis.studio (SERP "agence web bruxelles")</t>
        </is>
      </c>
      <c r="L344" t="n">
        <v>10</v>
      </c>
      <c r="M344">
        <f>ROUND(IF(IF(I344="NOT AVAILABLE","",I344)="",12,IF(OR(ISNUMBER(SEARCH("Transactional",IF(I344="NOT AVAILABLE","",I344))),ISNUMBER(SEARCH("Commercial",IF(I344="NOT AVAILABLE","",I344)))),25,IF(ISNUMBER(SEARCH("Informational",IF(I344="NOT AVAILABLE","",I344))),10,IF(ISNUMBER(SEARCH("Navigational",IF(I344="NOT AVAILABLE","",I344))),0,12))))+IF(ISNUMBER(F344),MIN(30,ROUND(30*LOG10(F344+1)/4,1)),0)+IF(ISNUMBER(G344),ROUND(25*(100-G344)/100,1),12.5)+L344,0)</f>
        <v/>
      </c>
      <c r="N344" s="5" t="inlineStr">
        <is>
          <t>Low volume - supporting only</t>
        </is>
      </c>
    </row>
    <row r="345">
      <c r="A345" t="inlineStr">
        <is>
          <t>Switzerland</t>
        </is>
      </c>
      <c r="B345" t="inlineStr">
        <is>
          <t>ch</t>
        </is>
      </c>
      <c r="C345" t="inlineStr">
        <is>
          <t>fr</t>
        </is>
      </c>
      <c r="D345" s="3" t="inlineStr">
        <is>
          <t>https://codesommet.com/web-development-company/zurich</t>
        </is>
      </c>
      <c r="E345" t="inlineStr">
        <is>
          <t>agence web zurich</t>
        </is>
      </c>
      <c r="F345" t="inlineStr">
        <is>
          <t>NOT AVAILABLE</t>
        </is>
      </c>
      <c r="G345" t="inlineStr">
        <is>
          <t>NOT AVAILABLE</t>
        </is>
      </c>
      <c r="H345" t="inlineStr">
        <is>
          <t>NOT AVAILABLE</t>
        </is>
      </c>
      <c r="I345" t="inlineStr">
        <is>
          <t>NOT AVAILABLE</t>
        </is>
      </c>
      <c r="J345" t="inlineStr">
        <is>
          <t>UNAVAILABLE</t>
        </is>
      </c>
      <c r="K345" s="5" t="inlineStr">
        <is>
          <t>NOT AVAILABLE (SERP not pulled)</t>
        </is>
      </c>
      <c r="L345" t="n">
        <v>10</v>
      </c>
      <c r="M345">
        <f>ROUND(IF(IF(I345="NOT AVAILABLE","",I345)="",12,IF(OR(ISNUMBER(SEARCH("Transactional",IF(I345="NOT AVAILABLE","",I345))),ISNUMBER(SEARCH("Commercial",IF(I345="NOT AVAILABLE","",I345)))),25,IF(ISNUMBER(SEARCH("Informational",IF(I345="NOT AVAILABLE","",I345))),10,IF(ISNUMBER(SEARCH("Navigational",IF(I345="NOT AVAILABLE","",I345))),0,12))))+IF(ISNUMBER(F345),MIN(30,ROUND(30*LOG10(F345+1)/4,1)),0)+IF(ISNUMBER(G345),ROUND(25*(100-G345)/100,1),12.5)+L345,0)</f>
        <v/>
      </c>
      <c r="N345" s="5" t="inlineStr">
        <is>
          <t>No data in this database - do not prioritise</t>
        </is>
      </c>
    </row>
    <row r="346">
      <c r="A346" t="inlineStr">
        <is>
          <t>Switzerland</t>
        </is>
      </c>
      <c r="B346" t="inlineStr">
        <is>
          <t>ch</t>
        </is>
      </c>
      <c r="C346" t="inlineStr">
        <is>
          <t>fr</t>
        </is>
      </c>
      <c r="D346" s="3" t="inlineStr">
        <is>
          <t>https://codesommet.com/web-development-company/zurich</t>
        </is>
      </c>
      <c r="E346" t="inlineStr">
        <is>
          <t>création site web zurich</t>
        </is>
      </c>
      <c r="F346" t="inlineStr">
        <is>
          <t>NOT AVAILABLE</t>
        </is>
      </c>
      <c r="G346" t="inlineStr">
        <is>
          <t>NOT AVAILABLE</t>
        </is>
      </c>
      <c r="H346" t="inlineStr">
        <is>
          <t>NOT AVAILABLE</t>
        </is>
      </c>
      <c r="I346" t="inlineStr">
        <is>
          <t>NOT AVAILABLE</t>
        </is>
      </c>
      <c r="J346" t="inlineStr">
        <is>
          <t>UNAVAILABLE</t>
        </is>
      </c>
      <c r="K346" s="5" t="inlineStr">
        <is>
          <t>NOT AVAILABLE (SERP not pulled)</t>
        </is>
      </c>
      <c r="L346" t="n">
        <v>10</v>
      </c>
      <c r="M346">
        <f>ROUND(IF(IF(I346="NOT AVAILABLE","",I346)="",12,IF(OR(ISNUMBER(SEARCH("Transactional",IF(I346="NOT AVAILABLE","",I346))),ISNUMBER(SEARCH("Commercial",IF(I346="NOT AVAILABLE","",I346)))),25,IF(ISNUMBER(SEARCH("Informational",IF(I346="NOT AVAILABLE","",I346))),10,IF(ISNUMBER(SEARCH("Navigational",IF(I346="NOT AVAILABLE","",I346))),0,12))))+IF(ISNUMBER(F346),MIN(30,ROUND(30*LOG10(F346+1)/4,1)),0)+IF(ISNUMBER(G346),ROUND(25*(100-G346)/100,1),12.5)+L346,0)</f>
        <v/>
      </c>
      <c r="N346" s="5" t="inlineStr">
        <is>
          <t>No data in this database - do not prioritise</t>
        </is>
      </c>
    </row>
    <row r="347">
      <c r="A347" t="inlineStr">
        <is>
          <t>Switzerland</t>
        </is>
      </c>
      <c r="B347" t="inlineStr">
        <is>
          <t>ch</t>
        </is>
      </c>
      <c r="C347" t="inlineStr">
        <is>
          <t>fr</t>
        </is>
      </c>
      <c r="D347" s="3" t="inlineStr">
        <is>
          <t>https://codesommet.com/web-development-company/zurich</t>
        </is>
      </c>
      <c r="E347" t="inlineStr">
        <is>
          <t>développement web zurich</t>
        </is>
      </c>
      <c r="F347" t="inlineStr">
        <is>
          <t>NOT AVAILABLE</t>
        </is>
      </c>
      <c r="G347" t="inlineStr">
        <is>
          <t>NOT AVAILABLE</t>
        </is>
      </c>
      <c r="H347" t="inlineStr">
        <is>
          <t>NOT AVAILABLE</t>
        </is>
      </c>
      <c r="I347" t="inlineStr">
        <is>
          <t>NOT AVAILABLE</t>
        </is>
      </c>
      <c r="J347" t="inlineStr">
        <is>
          <t>UNAVAILABLE</t>
        </is>
      </c>
      <c r="K347" s="5" t="inlineStr">
        <is>
          <t>NOT AVAILABLE (SERP not pulled)</t>
        </is>
      </c>
      <c r="L347" t="n">
        <v>10</v>
      </c>
      <c r="M347">
        <f>ROUND(IF(IF(I347="NOT AVAILABLE","",I347)="",12,IF(OR(ISNUMBER(SEARCH("Transactional",IF(I347="NOT AVAILABLE","",I347))),ISNUMBER(SEARCH("Commercial",IF(I347="NOT AVAILABLE","",I347)))),25,IF(ISNUMBER(SEARCH("Informational",IF(I347="NOT AVAILABLE","",I347))),10,IF(ISNUMBER(SEARCH("Navigational",IF(I347="NOT AVAILABLE","",I347))),0,12))))+IF(ISNUMBER(F347),MIN(30,ROUND(30*LOG10(F347+1)/4,1)),0)+IF(ISNUMBER(G347),ROUND(25*(100-G347)/100,1),12.5)+L347,0)</f>
        <v/>
      </c>
      <c r="N347" s="5" t="inlineStr">
        <is>
          <t>No data in this database - do not prioritise</t>
        </is>
      </c>
    </row>
    <row r="348">
      <c r="A348" t="inlineStr">
        <is>
          <t>Switzerland</t>
        </is>
      </c>
      <c r="B348" t="inlineStr">
        <is>
          <t>ch</t>
        </is>
      </c>
      <c r="C348" t="inlineStr">
        <is>
          <t>de</t>
        </is>
      </c>
      <c r="D348" s="3" t="inlineStr">
        <is>
          <t>https://codesommet.com/web-development-company/zurich</t>
        </is>
      </c>
      <c r="E348" t="inlineStr">
        <is>
          <t>webagentur zürich</t>
        </is>
      </c>
      <c r="F348" t="n">
        <v>1000</v>
      </c>
      <c r="G348" t="n">
        <v>52</v>
      </c>
      <c r="H348" t="n">
        <v>7.4</v>
      </c>
      <c r="I348" t="inlineStr">
        <is>
          <t>Commercial</t>
        </is>
      </c>
      <c r="J348" t="inlineStr">
        <is>
          <t>MEASURED</t>
        </is>
      </c>
      <c r="K348" s="5" t="inlineStr">
        <is>
          <t>NOT AVAILABLE (SERP not pulled)</t>
        </is>
      </c>
      <c r="L348" t="n">
        <v>10</v>
      </c>
      <c r="M348">
        <f>ROUND(IF(IF(I348="NOT AVAILABLE","",I348)="",12,IF(OR(ISNUMBER(SEARCH("Transactional",IF(I348="NOT AVAILABLE","",I348))),ISNUMBER(SEARCH("Commercial",IF(I348="NOT AVAILABLE","",I348)))),25,IF(ISNUMBER(SEARCH("Informational",IF(I348="NOT AVAILABLE","",I348))),10,IF(ISNUMBER(SEARCH("Navigational",IF(I348="NOT AVAILABLE","",I348))),0,12))))+IF(ISNUMBER(F348),MIN(30,ROUND(30*LOG10(F348+1)/4,1)),0)+IF(ISNUMBER(G348),ROUND(25*(100-G348)/100,1),12.5)+L348,0)</f>
        <v/>
      </c>
      <c r="N348" s="5" t="inlineStr">
        <is>
          <t>Local-language demand; French page cannot serve it - do not target (language mismatch)</t>
        </is>
      </c>
    </row>
    <row r="349">
      <c r="A349" t="inlineStr">
        <is>
          <t>Sweden</t>
        </is>
      </c>
      <c r="B349" t="inlineStr">
        <is>
          <t>se</t>
        </is>
      </c>
      <c r="C349" t="inlineStr">
        <is>
          <t>fr</t>
        </is>
      </c>
      <c r="D349" s="3" t="inlineStr">
        <is>
          <t>https://codesommet.com/web-development-company/stockholm</t>
        </is>
      </c>
      <c r="E349" t="inlineStr">
        <is>
          <t>agence web stockholm</t>
        </is>
      </c>
      <c r="F349" t="n">
        <v>0</v>
      </c>
      <c r="G349" t="inlineStr">
        <is>
          <t>NOT AVAILABLE</t>
        </is>
      </c>
      <c r="H349" t="n">
        <v>0</v>
      </c>
      <c r="I349" t="inlineStr">
        <is>
          <t>NOT AVAILABLE</t>
        </is>
      </c>
      <c r="J349" t="inlineStr">
        <is>
          <t>MEASURED</t>
        </is>
      </c>
      <c r="K349" s="5" t="inlineStr">
        <is>
          <t>NOT AVAILABLE (SERP not pulled)</t>
        </is>
      </c>
      <c r="L349" t="n">
        <v>3</v>
      </c>
      <c r="M349">
        <f>ROUND(IF(IF(I349="NOT AVAILABLE","",I349)="",12,IF(OR(ISNUMBER(SEARCH("Transactional",IF(I349="NOT AVAILABLE","",I349))),ISNUMBER(SEARCH("Commercial",IF(I349="NOT AVAILABLE","",I349)))),25,IF(ISNUMBER(SEARCH("Informational",IF(I349="NOT AVAILABLE","",I349))),10,IF(ISNUMBER(SEARCH("Navigational",IF(I349="NOT AVAILABLE","",I349))),0,12))))+IF(ISNUMBER(F349),MIN(30,ROUND(30*LOG10(F349+1)/4,1)),0)+IF(ISNUMBER(G349),ROUND(25*(100-G349)/100,1),12.5)+L349,0)</f>
        <v/>
      </c>
      <c r="N349" s="5" t="inlineStr">
        <is>
          <t>Measured zero - do not target</t>
        </is>
      </c>
    </row>
    <row r="350">
      <c r="A350" t="inlineStr">
        <is>
          <t>Sweden</t>
        </is>
      </c>
      <c r="B350" t="inlineStr">
        <is>
          <t>se</t>
        </is>
      </c>
      <c r="C350" t="inlineStr">
        <is>
          <t>fr</t>
        </is>
      </c>
      <c r="D350" s="3" t="inlineStr">
        <is>
          <t>https://codesommet.com/web-development-company/stockholm</t>
        </is>
      </c>
      <c r="E350" t="inlineStr">
        <is>
          <t>création site web stockholm</t>
        </is>
      </c>
      <c r="F350" t="inlineStr">
        <is>
          <t>NOT AVAILABLE</t>
        </is>
      </c>
      <c r="G350" t="inlineStr">
        <is>
          <t>NOT AVAILABLE</t>
        </is>
      </c>
      <c r="H350" t="inlineStr">
        <is>
          <t>NOT AVAILABLE</t>
        </is>
      </c>
      <c r="I350" t="inlineStr">
        <is>
          <t>NOT AVAILABLE</t>
        </is>
      </c>
      <c r="J350" t="inlineStr">
        <is>
          <t>UNAVAILABLE</t>
        </is>
      </c>
      <c r="K350" s="5" t="inlineStr">
        <is>
          <t>NOT AVAILABLE (SERP not pulled)</t>
        </is>
      </c>
      <c r="L350" t="n">
        <v>3</v>
      </c>
      <c r="M350">
        <f>ROUND(IF(IF(I350="NOT AVAILABLE","",I350)="",12,IF(OR(ISNUMBER(SEARCH("Transactional",IF(I350="NOT AVAILABLE","",I350))),ISNUMBER(SEARCH("Commercial",IF(I350="NOT AVAILABLE","",I350)))),25,IF(ISNUMBER(SEARCH("Informational",IF(I350="NOT AVAILABLE","",I350))),10,IF(ISNUMBER(SEARCH("Navigational",IF(I350="NOT AVAILABLE","",I350))),0,12))))+IF(ISNUMBER(F350),MIN(30,ROUND(30*LOG10(F350+1)/4,1)),0)+IF(ISNUMBER(G350),ROUND(25*(100-G350)/100,1),12.5)+L350,0)</f>
        <v/>
      </c>
      <c r="N350" s="5" t="inlineStr">
        <is>
          <t>No data in this database - do not prioritise</t>
        </is>
      </c>
    </row>
    <row r="351">
      <c r="A351" t="inlineStr">
        <is>
          <t>Sweden</t>
        </is>
      </c>
      <c r="B351" t="inlineStr">
        <is>
          <t>se</t>
        </is>
      </c>
      <c r="C351" t="inlineStr">
        <is>
          <t>fr</t>
        </is>
      </c>
      <c r="D351" s="3" t="inlineStr">
        <is>
          <t>https://codesommet.com/web-development-company/stockholm</t>
        </is>
      </c>
      <c r="E351" t="inlineStr">
        <is>
          <t>développement web stockholm</t>
        </is>
      </c>
      <c r="F351" t="inlineStr">
        <is>
          <t>NOT AVAILABLE</t>
        </is>
      </c>
      <c r="G351" t="inlineStr">
        <is>
          <t>NOT AVAILABLE</t>
        </is>
      </c>
      <c r="H351" t="inlineStr">
        <is>
          <t>NOT AVAILABLE</t>
        </is>
      </c>
      <c r="I351" t="inlineStr">
        <is>
          <t>NOT AVAILABLE</t>
        </is>
      </c>
      <c r="J351" t="inlineStr">
        <is>
          <t>UNAVAILABLE</t>
        </is>
      </c>
      <c r="K351" s="5" t="inlineStr">
        <is>
          <t>NOT AVAILABLE (SERP not pulled)</t>
        </is>
      </c>
      <c r="L351" t="n">
        <v>3</v>
      </c>
      <c r="M351">
        <f>ROUND(IF(IF(I351="NOT AVAILABLE","",I351)="",12,IF(OR(ISNUMBER(SEARCH("Transactional",IF(I351="NOT AVAILABLE","",I351))),ISNUMBER(SEARCH("Commercial",IF(I351="NOT AVAILABLE","",I351)))),25,IF(ISNUMBER(SEARCH("Informational",IF(I351="NOT AVAILABLE","",I351))),10,IF(ISNUMBER(SEARCH("Navigational",IF(I351="NOT AVAILABLE","",I351))),0,12))))+IF(ISNUMBER(F351),MIN(30,ROUND(30*LOG10(F351+1)/4,1)),0)+IF(ISNUMBER(G351),ROUND(25*(100-G351)/100,1),12.5)+L351,0)</f>
        <v/>
      </c>
      <c r="N351" s="5" t="inlineStr">
        <is>
          <t>No data in this database - do not prioritise</t>
        </is>
      </c>
    </row>
    <row r="352">
      <c r="A352" t="inlineStr">
        <is>
          <t>Sweden</t>
        </is>
      </c>
      <c r="B352" t="inlineStr">
        <is>
          <t>se</t>
        </is>
      </c>
      <c r="C352" t="inlineStr">
        <is>
          <t>sv</t>
        </is>
      </c>
      <c r="D352" s="3" t="inlineStr">
        <is>
          <t>https://codesommet.com/web-development-company/stockholm</t>
        </is>
      </c>
      <c r="E352" t="inlineStr">
        <is>
          <t>webbyrå stockholm</t>
        </is>
      </c>
      <c r="F352" t="n">
        <v>1300</v>
      </c>
      <c r="G352" t="n">
        <v>53</v>
      </c>
      <c r="H352" t="n">
        <v>8.58</v>
      </c>
      <c r="I352" t="inlineStr">
        <is>
          <t>Commercial</t>
        </is>
      </c>
      <c r="J352" t="inlineStr">
        <is>
          <t>MEASURED</t>
        </is>
      </c>
      <c r="K352" s="5" t="inlineStr">
        <is>
          <t>NOT AVAILABLE (SERP not pulled)</t>
        </is>
      </c>
      <c r="L352" t="n">
        <v>3</v>
      </c>
      <c r="M352">
        <f>ROUND(IF(IF(I352="NOT AVAILABLE","",I352)="",12,IF(OR(ISNUMBER(SEARCH("Transactional",IF(I352="NOT AVAILABLE","",I352))),ISNUMBER(SEARCH("Commercial",IF(I352="NOT AVAILABLE","",I352)))),25,IF(ISNUMBER(SEARCH("Informational",IF(I352="NOT AVAILABLE","",I352))),10,IF(ISNUMBER(SEARCH("Navigational",IF(I352="NOT AVAILABLE","",I352))),0,12))))+IF(ISNUMBER(F352),MIN(30,ROUND(30*LOG10(F352+1)/4,1)),0)+IF(ISNUMBER(G352),ROUND(25*(100-G352)/100,1),12.5)+L352,0)</f>
        <v/>
      </c>
      <c r="N352" s="5" t="inlineStr">
        <is>
          <t>Local-language demand; French page cannot serve it - do not target (language mismatch)</t>
        </is>
      </c>
    </row>
    <row r="353">
      <c r="A353" t="inlineStr">
        <is>
          <t>Spain</t>
        </is>
      </c>
      <c r="B353" t="inlineStr">
        <is>
          <t>es</t>
        </is>
      </c>
      <c r="C353" t="inlineStr">
        <is>
          <t>fr</t>
        </is>
      </c>
      <c r="D353" s="3" t="inlineStr">
        <is>
          <t>https://codesommet.com/web-development-company/madrid</t>
        </is>
      </c>
      <c r="E353" t="inlineStr">
        <is>
          <t>agence web madrid</t>
        </is>
      </c>
      <c r="F353" t="inlineStr">
        <is>
          <t>NOT AVAILABLE</t>
        </is>
      </c>
      <c r="G353" t="inlineStr">
        <is>
          <t>NOT AVAILABLE</t>
        </is>
      </c>
      <c r="H353" t="inlineStr">
        <is>
          <t>NOT AVAILABLE</t>
        </is>
      </c>
      <c r="I353" t="inlineStr">
        <is>
          <t>NOT AVAILABLE</t>
        </is>
      </c>
      <c r="J353" t="inlineStr">
        <is>
          <t>UNAVAILABLE</t>
        </is>
      </c>
      <c r="K353" s="5" t="inlineStr">
        <is>
          <t>NOT AVAILABLE (SERP not pulled)</t>
        </is>
      </c>
      <c r="L353" t="n">
        <v>3</v>
      </c>
      <c r="M353">
        <f>ROUND(IF(IF(I353="NOT AVAILABLE","",I353)="",12,IF(OR(ISNUMBER(SEARCH("Transactional",IF(I353="NOT AVAILABLE","",I353))),ISNUMBER(SEARCH("Commercial",IF(I353="NOT AVAILABLE","",I353)))),25,IF(ISNUMBER(SEARCH("Informational",IF(I353="NOT AVAILABLE","",I353))),10,IF(ISNUMBER(SEARCH("Navigational",IF(I353="NOT AVAILABLE","",I353))),0,12))))+IF(ISNUMBER(F353),MIN(30,ROUND(30*LOG10(F353+1)/4,1)),0)+IF(ISNUMBER(G353),ROUND(25*(100-G353)/100,1),12.5)+L353,0)</f>
        <v/>
      </c>
      <c r="N353" s="5" t="inlineStr">
        <is>
          <t>No data in this database - do not prioritise</t>
        </is>
      </c>
    </row>
    <row r="354">
      <c r="A354" t="inlineStr">
        <is>
          <t>Spain</t>
        </is>
      </c>
      <c r="B354" t="inlineStr">
        <is>
          <t>es</t>
        </is>
      </c>
      <c r="C354" t="inlineStr">
        <is>
          <t>fr</t>
        </is>
      </c>
      <c r="D354" s="3" t="inlineStr">
        <is>
          <t>https://codesommet.com/web-development-company/madrid</t>
        </is>
      </c>
      <c r="E354" t="inlineStr">
        <is>
          <t>création site web madrid</t>
        </is>
      </c>
      <c r="F354" t="inlineStr">
        <is>
          <t>NOT AVAILABLE</t>
        </is>
      </c>
      <c r="G354" t="inlineStr">
        <is>
          <t>NOT AVAILABLE</t>
        </is>
      </c>
      <c r="H354" t="inlineStr">
        <is>
          <t>NOT AVAILABLE</t>
        </is>
      </c>
      <c r="I354" t="inlineStr">
        <is>
          <t>NOT AVAILABLE</t>
        </is>
      </c>
      <c r="J354" t="inlineStr">
        <is>
          <t>UNAVAILABLE</t>
        </is>
      </c>
      <c r="K354" s="5" t="inlineStr">
        <is>
          <t>NOT AVAILABLE (SERP not pulled)</t>
        </is>
      </c>
      <c r="L354" t="n">
        <v>3</v>
      </c>
      <c r="M354">
        <f>ROUND(IF(IF(I354="NOT AVAILABLE","",I354)="",12,IF(OR(ISNUMBER(SEARCH("Transactional",IF(I354="NOT AVAILABLE","",I354))),ISNUMBER(SEARCH("Commercial",IF(I354="NOT AVAILABLE","",I354)))),25,IF(ISNUMBER(SEARCH("Informational",IF(I354="NOT AVAILABLE","",I354))),10,IF(ISNUMBER(SEARCH("Navigational",IF(I354="NOT AVAILABLE","",I354))),0,12))))+IF(ISNUMBER(F354),MIN(30,ROUND(30*LOG10(F354+1)/4,1)),0)+IF(ISNUMBER(G354),ROUND(25*(100-G354)/100,1),12.5)+L354,0)</f>
        <v/>
      </c>
      <c r="N354" s="5" t="inlineStr">
        <is>
          <t>No data in this database - do not prioritise</t>
        </is>
      </c>
    </row>
    <row r="355">
      <c r="A355" t="inlineStr">
        <is>
          <t>Spain</t>
        </is>
      </c>
      <c r="B355" t="inlineStr">
        <is>
          <t>es</t>
        </is>
      </c>
      <c r="C355" t="inlineStr">
        <is>
          <t>es</t>
        </is>
      </c>
      <c r="D355" s="3" t="inlineStr">
        <is>
          <t>https://codesommet.com/web-development-company/madrid</t>
        </is>
      </c>
      <c r="E355" t="inlineStr">
        <is>
          <t>desarrollo web madrid</t>
        </is>
      </c>
      <c r="F355" t="n">
        <v>1300</v>
      </c>
      <c r="G355" t="n">
        <v>23</v>
      </c>
      <c r="H355" t="n">
        <v>4.41</v>
      </c>
      <c r="I355" t="inlineStr">
        <is>
          <t>Transactional</t>
        </is>
      </c>
      <c r="J355" t="inlineStr">
        <is>
          <t>MEASURED</t>
        </is>
      </c>
      <c r="K355" s="5" t="inlineStr">
        <is>
          <t>NOT AVAILABLE (SERP not pulled)</t>
        </is>
      </c>
      <c r="L355" t="n">
        <v>3</v>
      </c>
      <c r="M355">
        <f>ROUND(IF(IF(I355="NOT AVAILABLE","",I355)="",12,IF(OR(ISNUMBER(SEARCH("Transactional",IF(I355="NOT AVAILABLE","",I355))),ISNUMBER(SEARCH("Commercial",IF(I355="NOT AVAILABLE","",I355)))),25,IF(ISNUMBER(SEARCH("Informational",IF(I355="NOT AVAILABLE","",I355))),10,IF(ISNUMBER(SEARCH("Navigational",IF(I355="NOT AVAILABLE","",I355))),0,12))))+IF(ISNUMBER(F355),MIN(30,ROUND(30*LOG10(F355+1)/4,1)),0)+IF(ISNUMBER(G355),ROUND(25*(100-G355)/100,1),12.5)+L355,0)</f>
        <v/>
      </c>
      <c r="N355" s="5" t="inlineStr">
        <is>
          <t>Local-language demand; French page cannot serve it - do not target (language mismatch)</t>
        </is>
      </c>
    </row>
    <row r="356">
      <c r="A356" t="inlineStr">
        <is>
          <t>Spain</t>
        </is>
      </c>
      <c r="B356" t="inlineStr">
        <is>
          <t>es</t>
        </is>
      </c>
      <c r="C356" t="inlineStr">
        <is>
          <t>fr</t>
        </is>
      </c>
      <c r="D356" s="3" t="inlineStr">
        <is>
          <t>https://codesommet.com/web-development-company/madrid</t>
        </is>
      </c>
      <c r="E356" t="inlineStr">
        <is>
          <t>développement web madrid</t>
        </is>
      </c>
      <c r="F356" t="inlineStr">
        <is>
          <t>NOT AVAILABLE</t>
        </is>
      </c>
      <c r="G356" t="inlineStr">
        <is>
          <t>NOT AVAILABLE</t>
        </is>
      </c>
      <c r="H356" t="inlineStr">
        <is>
          <t>NOT AVAILABLE</t>
        </is>
      </c>
      <c r="I356" t="inlineStr">
        <is>
          <t>NOT AVAILABLE</t>
        </is>
      </c>
      <c r="J356" t="inlineStr">
        <is>
          <t>UNAVAILABLE</t>
        </is>
      </c>
      <c r="K356" s="5" t="inlineStr">
        <is>
          <t>NOT AVAILABLE (SERP not pulled)</t>
        </is>
      </c>
      <c r="L356" t="n">
        <v>3</v>
      </c>
      <c r="M356">
        <f>ROUND(IF(IF(I356="NOT AVAILABLE","",I356)="",12,IF(OR(ISNUMBER(SEARCH("Transactional",IF(I356="NOT AVAILABLE","",I356))),ISNUMBER(SEARCH("Commercial",IF(I356="NOT AVAILABLE","",I356)))),25,IF(ISNUMBER(SEARCH("Informational",IF(I356="NOT AVAILABLE","",I356))),10,IF(ISNUMBER(SEARCH("Navigational",IF(I356="NOT AVAILABLE","",I356))),0,12))))+IF(ISNUMBER(F356),MIN(30,ROUND(30*LOG10(F356+1)/4,1)),0)+IF(ISNUMBER(G356),ROUND(25*(100-G356)/100,1),12.5)+L356,0)</f>
        <v/>
      </c>
      <c r="N356" s="5" t="inlineStr">
        <is>
          <t>No data in this database - do not prioritise</t>
        </is>
      </c>
    </row>
    <row r="357">
      <c r="A357" t="inlineStr">
        <is>
          <t>Spain</t>
        </is>
      </c>
      <c r="B357" t="inlineStr">
        <is>
          <t>es</t>
        </is>
      </c>
      <c r="C357" t="inlineStr">
        <is>
          <t>fr</t>
        </is>
      </c>
      <c r="D357" s="3" t="inlineStr">
        <is>
          <t>https://codesommet.com/web-development-company/barcelona</t>
        </is>
      </c>
      <c r="E357" t="inlineStr">
        <is>
          <t>agence web barcelone</t>
        </is>
      </c>
      <c r="F357" t="n">
        <v>0</v>
      </c>
      <c r="G357" t="inlineStr">
        <is>
          <t>NOT AVAILABLE</t>
        </is>
      </c>
      <c r="H357" t="n">
        <v>0</v>
      </c>
      <c r="I357" t="inlineStr">
        <is>
          <t>NOT AVAILABLE</t>
        </is>
      </c>
      <c r="J357" t="inlineStr">
        <is>
          <t>MEASURED</t>
        </is>
      </c>
      <c r="K357" s="5" t="inlineStr">
        <is>
          <t>NOT AVAILABLE (SERP not pulled)</t>
        </is>
      </c>
      <c r="L357" t="n">
        <v>3</v>
      </c>
      <c r="M357">
        <f>ROUND(IF(IF(I357="NOT AVAILABLE","",I357)="",12,IF(OR(ISNUMBER(SEARCH("Transactional",IF(I357="NOT AVAILABLE","",I357))),ISNUMBER(SEARCH("Commercial",IF(I357="NOT AVAILABLE","",I357)))),25,IF(ISNUMBER(SEARCH("Informational",IF(I357="NOT AVAILABLE","",I357))),10,IF(ISNUMBER(SEARCH("Navigational",IF(I357="NOT AVAILABLE","",I357))),0,12))))+IF(ISNUMBER(F357),MIN(30,ROUND(30*LOG10(F357+1)/4,1)),0)+IF(ISNUMBER(G357),ROUND(25*(100-G357)/100,1),12.5)+L357,0)</f>
        <v/>
      </c>
      <c r="N357" s="5" t="inlineStr">
        <is>
          <t>Measured zero - do not target</t>
        </is>
      </c>
    </row>
    <row r="358">
      <c r="A358" t="inlineStr">
        <is>
          <t>Spain</t>
        </is>
      </c>
      <c r="B358" t="inlineStr">
        <is>
          <t>es</t>
        </is>
      </c>
      <c r="C358" t="inlineStr">
        <is>
          <t>fr</t>
        </is>
      </c>
      <c r="D358" s="3" t="inlineStr">
        <is>
          <t>https://codesommet.com/web-development-company/barcelona</t>
        </is>
      </c>
      <c r="E358" t="inlineStr">
        <is>
          <t>création site web barcelone</t>
        </is>
      </c>
      <c r="F358" t="inlineStr">
        <is>
          <t>NOT AVAILABLE</t>
        </is>
      </c>
      <c r="G358" t="inlineStr">
        <is>
          <t>NOT AVAILABLE</t>
        </is>
      </c>
      <c r="H358" t="inlineStr">
        <is>
          <t>NOT AVAILABLE</t>
        </is>
      </c>
      <c r="I358" t="inlineStr">
        <is>
          <t>NOT AVAILABLE</t>
        </is>
      </c>
      <c r="J358" t="inlineStr">
        <is>
          <t>UNAVAILABLE</t>
        </is>
      </c>
      <c r="K358" s="5" t="inlineStr">
        <is>
          <t>NOT AVAILABLE (SERP not pulled)</t>
        </is>
      </c>
      <c r="L358" t="n">
        <v>3</v>
      </c>
      <c r="M358">
        <f>ROUND(IF(IF(I358="NOT AVAILABLE","",I358)="",12,IF(OR(ISNUMBER(SEARCH("Transactional",IF(I358="NOT AVAILABLE","",I358))),ISNUMBER(SEARCH("Commercial",IF(I358="NOT AVAILABLE","",I358)))),25,IF(ISNUMBER(SEARCH("Informational",IF(I358="NOT AVAILABLE","",I358))),10,IF(ISNUMBER(SEARCH("Navigational",IF(I358="NOT AVAILABLE","",I358))),0,12))))+IF(ISNUMBER(F358),MIN(30,ROUND(30*LOG10(F358+1)/4,1)),0)+IF(ISNUMBER(G358),ROUND(25*(100-G358)/100,1),12.5)+L358,0)</f>
        <v/>
      </c>
      <c r="N358" s="5" t="inlineStr">
        <is>
          <t>No data in this database - do not prioritise</t>
        </is>
      </c>
    </row>
    <row r="359">
      <c r="A359" t="inlineStr">
        <is>
          <t>Spain</t>
        </is>
      </c>
      <c r="B359" t="inlineStr">
        <is>
          <t>es</t>
        </is>
      </c>
      <c r="C359" t="inlineStr">
        <is>
          <t>es</t>
        </is>
      </c>
      <c r="D359" s="3" t="inlineStr">
        <is>
          <t>https://codesommet.com/web-development-company/barcelona</t>
        </is>
      </c>
      <c r="E359" t="inlineStr">
        <is>
          <t>desarrollo web barcelona</t>
        </is>
      </c>
      <c r="F359" t="n">
        <v>1300</v>
      </c>
      <c r="G359" t="n">
        <v>14</v>
      </c>
      <c r="H359" t="n">
        <v>4.19</v>
      </c>
      <c r="I359" t="inlineStr">
        <is>
          <t>Commercial</t>
        </is>
      </c>
      <c r="J359" t="inlineStr">
        <is>
          <t>MEASURED</t>
        </is>
      </c>
      <c r="K359" s="5" t="inlineStr">
        <is>
          <t>NOT AVAILABLE (SERP not pulled)</t>
        </is>
      </c>
      <c r="L359" t="n">
        <v>3</v>
      </c>
      <c r="M359">
        <f>ROUND(IF(IF(I359="NOT AVAILABLE","",I359)="",12,IF(OR(ISNUMBER(SEARCH("Transactional",IF(I359="NOT AVAILABLE","",I359))),ISNUMBER(SEARCH("Commercial",IF(I359="NOT AVAILABLE","",I359)))),25,IF(ISNUMBER(SEARCH("Informational",IF(I359="NOT AVAILABLE","",I359))),10,IF(ISNUMBER(SEARCH("Navigational",IF(I359="NOT AVAILABLE","",I359))),0,12))))+IF(ISNUMBER(F359),MIN(30,ROUND(30*LOG10(F359+1)/4,1)),0)+IF(ISNUMBER(G359),ROUND(25*(100-G359)/100,1),12.5)+L359,0)</f>
        <v/>
      </c>
      <c r="N359" s="5" t="inlineStr">
        <is>
          <t>Local-language demand; French page cannot serve it - do not target (language mismatch)</t>
        </is>
      </c>
    </row>
    <row r="360">
      <c r="A360" t="inlineStr">
        <is>
          <t>Spain</t>
        </is>
      </c>
      <c r="B360" t="inlineStr">
        <is>
          <t>es</t>
        </is>
      </c>
      <c r="C360" t="inlineStr">
        <is>
          <t>fr</t>
        </is>
      </c>
      <c r="D360" s="3" t="inlineStr">
        <is>
          <t>https://codesommet.com/web-development-company/barcelona</t>
        </is>
      </c>
      <c r="E360" t="inlineStr">
        <is>
          <t>développement web barcelone</t>
        </is>
      </c>
      <c r="F360" t="inlineStr">
        <is>
          <t>NOT AVAILABLE</t>
        </is>
      </c>
      <c r="G360" t="inlineStr">
        <is>
          <t>NOT AVAILABLE</t>
        </is>
      </c>
      <c r="H360" t="inlineStr">
        <is>
          <t>NOT AVAILABLE</t>
        </is>
      </c>
      <c r="I360" t="inlineStr">
        <is>
          <t>NOT AVAILABLE</t>
        </is>
      </c>
      <c r="J360" t="inlineStr">
        <is>
          <t>UNAVAILABLE</t>
        </is>
      </c>
      <c r="K360" s="5" t="inlineStr">
        <is>
          <t>NOT AVAILABLE (SERP not pulled)</t>
        </is>
      </c>
      <c r="L360" t="n">
        <v>3</v>
      </c>
      <c r="M360">
        <f>ROUND(IF(IF(I360="NOT AVAILABLE","",I360)="",12,IF(OR(ISNUMBER(SEARCH("Transactional",IF(I360="NOT AVAILABLE","",I360))),ISNUMBER(SEARCH("Commercial",IF(I360="NOT AVAILABLE","",I360)))),25,IF(ISNUMBER(SEARCH("Informational",IF(I360="NOT AVAILABLE","",I360))),10,IF(ISNUMBER(SEARCH("Navigational",IF(I360="NOT AVAILABLE","",I360))),0,12))))+IF(ISNUMBER(F360),MIN(30,ROUND(30*LOG10(F360+1)/4,1)),0)+IF(ISNUMBER(G360),ROUND(25*(100-G360)/100,1),12.5)+L360,0)</f>
        <v/>
      </c>
      <c r="N360" s="5" t="inlineStr">
        <is>
          <t>No data in this database - do not prioritise</t>
        </is>
      </c>
    </row>
    <row r="361">
      <c r="A361" t="inlineStr">
        <is>
          <t>Portugal</t>
        </is>
      </c>
      <c r="B361" t="inlineStr">
        <is>
          <t>pt</t>
        </is>
      </c>
      <c r="C361" t="inlineStr">
        <is>
          <t>fr</t>
        </is>
      </c>
      <c r="D361" s="3" t="inlineStr">
        <is>
          <t>https://codesommet.com/web-development-company/lisbon</t>
        </is>
      </c>
      <c r="E361" t="inlineStr">
        <is>
          <t>agence web lisbonne</t>
        </is>
      </c>
      <c r="F361" t="n">
        <v>0</v>
      </c>
      <c r="G361" t="inlineStr">
        <is>
          <t>NOT AVAILABLE</t>
        </is>
      </c>
      <c r="H361" t="n">
        <v>0</v>
      </c>
      <c r="I361" t="inlineStr">
        <is>
          <t>NOT AVAILABLE</t>
        </is>
      </c>
      <c r="J361" t="inlineStr">
        <is>
          <t>MEASURED</t>
        </is>
      </c>
      <c r="K361" s="5" t="inlineStr">
        <is>
          <t>NOT AVAILABLE (SERP not pulled)</t>
        </is>
      </c>
      <c r="L361" t="n">
        <v>3</v>
      </c>
      <c r="M361">
        <f>ROUND(IF(IF(I361="NOT AVAILABLE","",I361)="",12,IF(OR(ISNUMBER(SEARCH("Transactional",IF(I361="NOT AVAILABLE","",I361))),ISNUMBER(SEARCH("Commercial",IF(I361="NOT AVAILABLE","",I361)))),25,IF(ISNUMBER(SEARCH("Informational",IF(I361="NOT AVAILABLE","",I361))),10,IF(ISNUMBER(SEARCH("Navigational",IF(I361="NOT AVAILABLE","",I361))),0,12))))+IF(ISNUMBER(F361),MIN(30,ROUND(30*LOG10(F361+1)/4,1)),0)+IF(ISNUMBER(G361),ROUND(25*(100-G361)/100,1),12.5)+L361,0)</f>
        <v/>
      </c>
      <c r="N361" s="5" t="inlineStr">
        <is>
          <t>Measured zero - do not target</t>
        </is>
      </c>
    </row>
    <row r="362">
      <c r="A362" t="inlineStr">
        <is>
          <t>Portugal</t>
        </is>
      </c>
      <c r="B362" t="inlineStr">
        <is>
          <t>pt</t>
        </is>
      </c>
      <c r="C362" t="inlineStr">
        <is>
          <t>fr</t>
        </is>
      </c>
      <c r="D362" s="3" t="inlineStr">
        <is>
          <t>https://codesommet.com/web-development-company/lisbon</t>
        </is>
      </c>
      <c r="E362" t="inlineStr">
        <is>
          <t>création site web lisbonne</t>
        </is>
      </c>
      <c r="F362" t="inlineStr">
        <is>
          <t>NOT AVAILABLE</t>
        </is>
      </c>
      <c r="G362" t="inlineStr">
        <is>
          <t>NOT AVAILABLE</t>
        </is>
      </c>
      <c r="H362" t="inlineStr">
        <is>
          <t>NOT AVAILABLE</t>
        </is>
      </c>
      <c r="I362" t="inlineStr">
        <is>
          <t>NOT AVAILABLE</t>
        </is>
      </c>
      <c r="J362" t="inlineStr">
        <is>
          <t>UNAVAILABLE</t>
        </is>
      </c>
      <c r="K362" s="5" t="inlineStr">
        <is>
          <t>NOT AVAILABLE (SERP not pulled)</t>
        </is>
      </c>
      <c r="L362" t="n">
        <v>3</v>
      </c>
      <c r="M362">
        <f>ROUND(IF(IF(I362="NOT AVAILABLE","",I362)="",12,IF(OR(ISNUMBER(SEARCH("Transactional",IF(I362="NOT AVAILABLE","",I362))),ISNUMBER(SEARCH("Commercial",IF(I362="NOT AVAILABLE","",I362)))),25,IF(ISNUMBER(SEARCH("Informational",IF(I362="NOT AVAILABLE","",I362))),10,IF(ISNUMBER(SEARCH("Navigational",IF(I362="NOT AVAILABLE","",I362))),0,12))))+IF(ISNUMBER(F362),MIN(30,ROUND(30*LOG10(F362+1)/4,1)),0)+IF(ISNUMBER(G362),ROUND(25*(100-G362)/100,1),12.5)+L362,0)</f>
        <v/>
      </c>
      <c r="N362" s="5" t="inlineStr">
        <is>
          <t>No data in this database - do not prioritise</t>
        </is>
      </c>
    </row>
    <row r="363">
      <c r="A363" t="inlineStr">
        <is>
          <t>Portugal</t>
        </is>
      </c>
      <c r="B363" t="inlineStr">
        <is>
          <t>pt</t>
        </is>
      </c>
      <c r="C363" t="inlineStr">
        <is>
          <t>pt</t>
        </is>
      </c>
      <c r="D363" s="3" t="inlineStr">
        <is>
          <t>https://codesommet.com/web-development-company/lisbon</t>
        </is>
      </c>
      <c r="E363" t="inlineStr">
        <is>
          <t>desenvolvimento web lisboa</t>
        </is>
      </c>
      <c r="F363" t="inlineStr">
        <is>
          <t>NOT AVAILABLE</t>
        </is>
      </c>
      <c r="G363" t="inlineStr">
        <is>
          <t>NOT AVAILABLE</t>
        </is>
      </c>
      <c r="H363" t="inlineStr">
        <is>
          <t>NOT AVAILABLE</t>
        </is>
      </c>
      <c r="I363" t="inlineStr">
        <is>
          <t>NOT AVAILABLE</t>
        </is>
      </c>
      <c r="J363" t="inlineStr">
        <is>
          <t>UNAVAILABLE</t>
        </is>
      </c>
      <c r="K363" s="5" t="inlineStr">
        <is>
          <t>NOT AVAILABLE (SERP not pulled)</t>
        </is>
      </c>
      <c r="L363" t="n">
        <v>3</v>
      </c>
      <c r="M363">
        <f>ROUND(IF(IF(I363="NOT AVAILABLE","",I363)="",12,IF(OR(ISNUMBER(SEARCH("Transactional",IF(I363="NOT AVAILABLE","",I363))),ISNUMBER(SEARCH("Commercial",IF(I363="NOT AVAILABLE","",I363)))),25,IF(ISNUMBER(SEARCH("Informational",IF(I363="NOT AVAILABLE","",I363))),10,IF(ISNUMBER(SEARCH("Navigational",IF(I363="NOT AVAILABLE","",I363))),0,12))))+IF(ISNUMBER(F363),MIN(30,ROUND(30*LOG10(F363+1)/4,1)),0)+IF(ISNUMBER(G363),ROUND(25*(100-G363)/100,1),12.5)+L363,0)</f>
        <v/>
      </c>
      <c r="N363" s="5" t="inlineStr">
        <is>
          <t>Local-language demand; French page cannot serve it - do not target (language mismatch)</t>
        </is>
      </c>
    </row>
    <row r="364">
      <c r="A364" t="inlineStr">
        <is>
          <t>Portugal</t>
        </is>
      </c>
      <c r="B364" t="inlineStr">
        <is>
          <t>pt</t>
        </is>
      </c>
      <c r="C364" t="inlineStr">
        <is>
          <t>fr</t>
        </is>
      </c>
      <c r="D364" s="3" t="inlineStr">
        <is>
          <t>https://codesommet.com/web-development-company/lisbon</t>
        </is>
      </c>
      <c r="E364" t="inlineStr">
        <is>
          <t>développement web lisbonne</t>
        </is>
      </c>
      <c r="F364" t="inlineStr">
        <is>
          <t>NOT AVAILABLE</t>
        </is>
      </c>
      <c r="G364" t="inlineStr">
        <is>
          <t>NOT AVAILABLE</t>
        </is>
      </c>
      <c r="H364" t="inlineStr">
        <is>
          <t>NOT AVAILABLE</t>
        </is>
      </c>
      <c r="I364" t="inlineStr">
        <is>
          <t>NOT AVAILABLE</t>
        </is>
      </c>
      <c r="J364" t="inlineStr">
        <is>
          <t>UNAVAILABLE</t>
        </is>
      </c>
      <c r="K364" s="5" t="inlineStr">
        <is>
          <t>NOT AVAILABLE (SERP not pulled)</t>
        </is>
      </c>
      <c r="L364" t="n">
        <v>3</v>
      </c>
      <c r="M364">
        <f>ROUND(IF(IF(I364="NOT AVAILABLE","",I364)="",12,IF(OR(ISNUMBER(SEARCH("Transactional",IF(I364="NOT AVAILABLE","",I364))),ISNUMBER(SEARCH("Commercial",IF(I364="NOT AVAILABLE","",I364)))),25,IF(ISNUMBER(SEARCH("Informational",IF(I364="NOT AVAILABLE","",I364))),10,IF(ISNUMBER(SEARCH("Navigational",IF(I364="NOT AVAILABLE","",I364))),0,12))))+IF(ISNUMBER(F364),MIN(30,ROUND(30*LOG10(F364+1)/4,1)),0)+IF(ISNUMBER(G364),ROUND(25*(100-G364)/100,1),12.5)+L364,0)</f>
        <v/>
      </c>
      <c r="N364" s="5" t="inlineStr">
        <is>
          <t>No data in this database - do not prioritise</t>
        </is>
      </c>
    </row>
    <row r="365">
      <c r="A365" t="inlineStr">
        <is>
          <t>Italy</t>
        </is>
      </c>
      <c r="B365" t="inlineStr">
        <is>
          <t>it</t>
        </is>
      </c>
      <c r="C365" t="inlineStr">
        <is>
          <t>fr</t>
        </is>
      </c>
      <c r="D365" s="3" t="inlineStr">
        <is>
          <t>https://codesommet.com/web-development-company/rome</t>
        </is>
      </c>
      <c r="E365" t="inlineStr">
        <is>
          <t>agence web rome</t>
        </is>
      </c>
      <c r="F365" t="inlineStr">
        <is>
          <t>NOT AVAILABLE</t>
        </is>
      </c>
      <c r="G365" t="inlineStr">
        <is>
          <t>NOT AVAILABLE</t>
        </is>
      </c>
      <c r="H365" t="inlineStr">
        <is>
          <t>NOT AVAILABLE</t>
        </is>
      </c>
      <c r="I365" t="inlineStr">
        <is>
          <t>NOT AVAILABLE</t>
        </is>
      </c>
      <c r="J365" t="inlineStr">
        <is>
          <t>UNAVAILABLE</t>
        </is>
      </c>
      <c r="K365" s="5" t="inlineStr">
        <is>
          <t>NOT AVAILABLE (SERP not pulled)</t>
        </is>
      </c>
      <c r="L365" t="n">
        <v>3</v>
      </c>
      <c r="M365">
        <f>ROUND(IF(IF(I365="NOT AVAILABLE","",I365)="",12,IF(OR(ISNUMBER(SEARCH("Transactional",IF(I365="NOT AVAILABLE","",I365))),ISNUMBER(SEARCH("Commercial",IF(I365="NOT AVAILABLE","",I365)))),25,IF(ISNUMBER(SEARCH("Informational",IF(I365="NOT AVAILABLE","",I365))),10,IF(ISNUMBER(SEARCH("Navigational",IF(I365="NOT AVAILABLE","",I365))),0,12))))+IF(ISNUMBER(F365),MIN(30,ROUND(30*LOG10(F365+1)/4,1)),0)+IF(ISNUMBER(G365),ROUND(25*(100-G365)/100,1),12.5)+L365,0)</f>
        <v/>
      </c>
      <c r="N365" s="5" t="inlineStr">
        <is>
          <t>No data in this database - do not prioritise</t>
        </is>
      </c>
    </row>
    <row r="366">
      <c r="A366" t="inlineStr">
        <is>
          <t>Italy</t>
        </is>
      </c>
      <c r="B366" t="inlineStr">
        <is>
          <t>it</t>
        </is>
      </c>
      <c r="C366" t="inlineStr">
        <is>
          <t>fr</t>
        </is>
      </c>
      <c r="D366" s="3" t="inlineStr">
        <is>
          <t>https://codesommet.com/web-development-company/rome</t>
        </is>
      </c>
      <c r="E366" t="inlineStr">
        <is>
          <t>création site web rome</t>
        </is>
      </c>
      <c r="F366" t="inlineStr">
        <is>
          <t>NOT AVAILABLE</t>
        </is>
      </c>
      <c r="G366" t="inlineStr">
        <is>
          <t>NOT AVAILABLE</t>
        </is>
      </c>
      <c r="H366" t="inlineStr">
        <is>
          <t>NOT AVAILABLE</t>
        </is>
      </c>
      <c r="I366" t="inlineStr">
        <is>
          <t>NOT AVAILABLE</t>
        </is>
      </c>
      <c r="J366" t="inlineStr">
        <is>
          <t>UNAVAILABLE</t>
        </is>
      </c>
      <c r="K366" s="5" t="inlineStr">
        <is>
          <t>NOT AVAILABLE (SERP not pulled)</t>
        </is>
      </c>
      <c r="L366" t="n">
        <v>3</v>
      </c>
      <c r="M366">
        <f>ROUND(IF(IF(I366="NOT AVAILABLE","",I366)="",12,IF(OR(ISNUMBER(SEARCH("Transactional",IF(I366="NOT AVAILABLE","",I366))),ISNUMBER(SEARCH("Commercial",IF(I366="NOT AVAILABLE","",I366)))),25,IF(ISNUMBER(SEARCH("Informational",IF(I366="NOT AVAILABLE","",I366))),10,IF(ISNUMBER(SEARCH("Navigational",IF(I366="NOT AVAILABLE","",I366))),0,12))))+IF(ISNUMBER(F366),MIN(30,ROUND(30*LOG10(F366+1)/4,1)),0)+IF(ISNUMBER(G366),ROUND(25*(100-G366)/100,1),12.5)+L366,0)</f>
        <v/>
      </c>
      <c r="N366" s="5" t="inlineStr">
        <is>
          <t>No data in this database - do not prioritise</t>
        </is>
      </c>
    </row>
    <row r="367">
      <c r="A367" t="inlineStr">
        <is>
          <t>Italy</t>
        </is>
      </c>
      <c r="B367" t="inlineStr">
        <is>
          <t>it</t>
        </is>
      </c>
      <c r="C367" t="inlineStr">
        <is>
          <t>fr</t>
        </is>
      </c>
      <c r="D367" s="3" t="inlineStr">
        <is>
          <t>https://codesommet.com/web-development-company/rome</t>
        </is>
      </c>
      <c r="E367" t="inlineStr">
        <is>
          <t>développement web rome</t>
        </is>
      </c>
      <c r="F367" t="inlineStr">
        <is>
          <t>NOT AVAILABLE</t>
        </is>
      </c>
      <c r="G367" t="inlineStr">
        <is>
          <t>NOT AVAILABLE</t>
        </is>
      </c>
      <c r="H367" t="inlineStr">
        <is>
          <t>NOT AVAILABLE</t>
        </is>
      </c>
      <c r="I367" t="inlineStr">
        <is>
          <t>NOT AVAILABLE</t>
        </is>
      </c>
      <c r="J367" t="inlineStr">
        <is>
          <t>UNAVAILABLE</t>
        </is>
      </c>
      <c r="K367" s="5" t="inlineStr">
        <is>
          <t>NOT AVAILABLE (SERP not pulled)</t>
        </is>
      </c>
      <c r="L367" t="n">
        <v>3</v>
      </c>
      <c r="M367">
        <f>ROUND(IF(IF(I367="NOT AVAILABLE","",I367)="",12,IF(OR(ISNUMBER(SEARCH("Transactional",IF(I367="NOT AVAILABLE","",I367))),ISNUMBER(SEARCH("Commercial",IF(I367="NOT AVAILABLE","",I367)))),25,IF(ISNUMBER(SEARCH("Informational",IF(I367="NOT AVAILABLE","",I367))),10,IF(ISNUMBER(SEARCH("Navigational",IF(I367="NOT AVAILABLE","",I367))),0,12))))+IF(ISNUMBER(F367),MIN(30,ROUND(30*LOG10(F367+1)/4,1)),0)+IF(ISNUMBER(G367),ROUND(25*(100-G367)/100,1),12.5)+L367,0)</f>
        <v/>
      </c>
      <c r="N367" s="5" t="inlineStr">
        <is>
          <t>No data in this database - do not prioritise</t>
        </is>
      </c>
    </row>
    <row r="368">
      <c r="A368" t="inlineStr">
        <is>
          <t>Italy</t>
        </is>
      </c>
      <c r="B368" t="inlineStr">
        <is>
          <t>it</t>
        </is>
      </c>
      <c r="C368" t="inlineStr">
        <is>
          <t>it</t>
        </is>
      </c>
      <c r="D368" s="3" t="inlineStr">
        <is>
          <t>https://codesommet.com/web-development-company/rome</t>
        </is>
      </c>
      <c r="E368" t="inlineStr">
        <is>
          <t>sviluppo siti web roma</t>
        </is>
      </c>
      <c r="F368" t="n">
        <v>110</v>
      </c>
      <c r="G368" t="n">
        <v>16</v>
      </c>
      <c r="H368" t="n">
        <v>4.22</v>
      </c>
      <c r="I368" t="inlineStr">
        <is>
          <t>Commercial</t>
        </is>
      </c>
      <c r="J368" t="inlineStr">
        <is>
          <t>MEASURED</t>
        </is>
      </c>
      <c r="K368" s="5" t="inlineStr">
        <is>
          <t>NOT AVAILABLE (SERP not pulled)</t>
        </is>
      </c>
      <c r="L368" t="n">
        <v>3</v>
      </c>
      <c r="M368">
        <f>ROUND(IF(IF(I368="NOT AVAILABLE","",I368)="",12,IF(OR(ISNUMBER(SEARCH("Transactional",IF(I368="NOT AVAILABLE","",I368))),ISNUMBER(SEARCH("Commercial",IF(I368="NOT AVAILABLE","",I368)))),25,IF(ISNUMBER(SEARCH("Informational",IF(I368="NOT AVAILABLE","",I368))),10,IF(ISNUMBER(SEARCH("Navigational",IF(I368="NOT AVAILABLE","",I368))),0,12))))+IF(ISNUMBER(F368),MIN(30,ROUND(30*LOG10(F368+1)/4,1)),0)+IF(ISNUMBER(G368),ROUND(25*(100-G368)/100,1),12.5)+L368,0)</f>
        <v/>
      </c>
      <c r="N368" s="5" t="inlineStr">
        <is>
          <t>Local-language demand; French page cannot serve it - do not target (language mismatch)</t>
        </is>
      </c>
    </row>
    <row r="369">
      <c r="A369" t="inlineStr">
        <is>
          <t>Italy</t>
        </is>
      </c>
      <c r="B369" t="inlineStr">
        <is>
          <t>it</t>
        </is>
      </c>
      <c r="C369" t="inlineStr">
        <is>
          <t>fr</t>
        </is>
      </c>
      <c r="D369" s="3" t="inlineStr">
        <is>
          <t>https://codesommet.com/web-development-company/milan</t>
        </is>
      </c>
      <c r="E369" t="inlineStr">
        <is>
          <t>agence web milan</t>
        </is>
      </c>
      <c r="F369" t="inlineStr">
        <is>
          <t>NOT AVAILABLE</t>
        </is>
      </c>
      <c r="G369" t="inlineStr">
        <is>
          <t>NOT AVAILABLE</t>
        </is>
      </c>
      <c r="H369" t="inlineStr">
        <is>
          <t>NOT AVAILABLE</t>
        </is>
      </c>
      <c r="I369" t="inlineStr">
        <is>
          <t>NOT AVAILABLE</t>
        </is>
      </c>
      <c r="J369" t="inlineStr">
        <is>
          <t>UNAVAILABLE</t>
        </is>
      </c>
      <c r="K369" s="5" t="inlineStr">
        <is>
          <t>NOT AVAILABLE (SERP not pulled)</t>
        </is>
      </c>
      <c r="L369" t="n">
        <v>3</v>
      </c>
      <c r="M369">
        <f>ROUND(IF(IF(I369="NOT AVAILABLE","",I369)="",12,IF(OR(ISNUMBER(SEARCH("Transactional",IF(I369="NOT AVAILABLE","",I369))),ISNUMBER(SEARCH("Commercial",IF(I369="NOT AVAILABLE","",I369)))),25,IF(ISNUMBER(SEARCH("Informational",IF(I369="NOT AVAILABLE","",I369))),10,IF(ISNUMBER(SEARCH("Navigational",IF(I369="NOT AVAILABLE","",I369))),0,12))))+IF(ISNUMBER(F369),MIN(30,ROUND(30*LOG10(F369+1)/4,1)),0)+IF(ISNUMBER(G369),ROUND(25*(100-G369)/100,1),12.5)+L369,0)</f>
        <v/>
      </c>
      <c r="N369" s="5" t="inlineStr">
        <is>
          <t>No data in this database - do not prioritise</t>
        </is>
      </c>
    </row>
    <row r="370">
      <c r="A370" t="inlineStr">
        <is>
          <t>Italy</t>
        </is>
      </c>
      <c r="B370" t="inlineStr">
        <is>
          <t>it</t>
        </is>
      </c>
      <c r="C370" t="inlineStr">
        <is>
          <t>fr</t>
        </is>
      </c>
      <c r="D370" s="3" t="inlineStr">
        <is>
          <t>https://codesommet.com/web-development-company/milan</t>
        </is>
      </c>
      <c r="E370" t="inlineStr">
        <is>
          <t>création site web milan</t>
        </is>
      </c>
      <c r="F370" t="inlineStr">
        <is>
          <t>NOT AVAILABLE</t>
        </is>
      </c>
      <c r="G370" t="inlineStr">
        <is>
          <t>NOT AVAILABLE</t>
        </is>
      </c>
      <c r="H370" t="inlineStr">
        <is>
          <t>NOT AVAILABLE</t>
        </is>
      </c>
      <c r="I370" t="inlineStr">
        <is>
          <t>NOT AVAILABLE</t>
        </is>
      </c>
      <c r="J370" t="inlineStr">
        <is>
          <t>UNAVAILABLE</t>
        </is>
      </c>
      <c r="K370" s="5" t="inlineStr">
        <is>
          <t>NOT AVAILABLE (SERP not pulled)</t>
        </is>
      </c>
      <c r="L370" t="n">
        <v>3</v>
      </c>
      <c r="M370">
        <f>ROUND(IF(IF(I370="NOT AVAILABLE","",I370)="",12,IF(OR(ISNUMBER(SEARCH("Transactional",IF(I370="NOT AVAILABLE","",I370))),ISNUMBER(SEARCH("Commercial",IF(I370="NOT AVAILABLE","",I370)))),25,IF(ISNUMBER(SEARCH("Informational",IF(I370="NOT AVAILABLE","",I370))),10,IF(ISNUMBER(SEARCH("Navigational",IF(I370="NOT AVAILABLE","",I370))),0,12))))+IF(ISNUMBER(F370),MIN(30,ROUND(30*LOG10(F370+1)/4,1)),0)+IF(ISNUMBER(G370),ROUND(25*(100-G370)/100,1),12.5)+L370,0)</f>
        <v/>
      </c>
      <c r="N370" s="5" t="inlineStr">
        <is>
          <t>No data in this database - do not prioritise</t>
        </is>
      </c>
    </row>
    <row r="371">
      <c r="A371" t="inlineStr">
        <is>
          <t>Italy</t>
        </is>
      </c>
      <c r="B371" t="inlineStr">
        <is>
          <t>it</t>
        </is>
      </c>
      <c r="C371" t="inlineStr">
        <is>
          <t>fr</t>
        </is>
      </c>
      <c r="D371" s="3" t="inlineStr">
        <is>
          <t>https://codesommet.com/web-development-company/milan</t>
        </is>
      </c>
      <c r="E371" t="inlineStr">
        <is>
          <t>développement web milan</t>
        </is>
      </c>
      <c r="F371" t="inlineStr">
        <is>
          <t>NOT AVAILABLE</t>
        </is>
      </c>
      <c r="G371" t="inlineStr">
        <is>
          <t>NOT AVAILABLE</t>
        </is>
      </c>
      <c r="H371" t="inlineStr">
        <is>
          <t>NOT AVAILABLE</t>
        </is>
      </c>
      <c r="I371" t="inlineStr">
        <is>
          <t>NOT AVAILABLE</t>
        </is>
      </c>
      <c r="J371" t="inlineStr">
        <is>
          <t>UNAVAILABLE</t>
        </is>
      </c>
      <c r="K371" s="5" t="inlineStr">
        <is>
          <t>NOT AVAILABLE (SERP not pulled)</t>
        </is>
      </c>
      <c r="L371" t="n">
        <v>3</v>
      </c>
      <c r="M371">
        <f>ROUND(IF(IF(I371="NOT AVAILABLE","",I371)="",12,IF(OR(ISNUMBER(SEARCH("Transactional",IF(I371="NOT AVAILABLE","",I371))),ISNUMBER(SEARCH("Commercial",IF(I371="NOT AVAILABLE","",I371)))),25,IF(ISNUMBER(SEARCH("Informational",IF(I371="NOT AVAILABLE","",I371))),10,IF(ISNUMBER(SEARCH("Navigational",IF(I371="NOT AVAILABLE","",I371))),0,12))))+IF(ISNUMBER(F371),MIN(30,ROUND(30*LOG10(F371+1)/4,1)),0)+IF(ISNUMBER(G371),ROUND(25*(100-G371)/100,1),12.5)+L371,0)</f>
        <v/>
      </c>
      <c r="N371" s="5" t="inlineStr">
        <is>
          <t>No data in this database - do not prioritise</t>
        </is>
      </c>
    </row>
    <row r="372">
      <c r="A372" t="inlineStr">
        <is>
          <t>Italy</t>
        </is>
      </c>
      <c r="B372" t="inlineStr">
        <is>
          <t>it</t>
        </is>
      </c>
      <c r="C372" t="inlineStr">
        <is>
          <t>it</t>
        </is>
      </c>
      <c r="D372" s="3" t="inlineStr">
        <is>
          <t>https://codesommet.com/web-development-company/milan</t>
        </is>
      </c>
      <c r="E372" t="inlineStr">
        <is>
          <t>sviluppo siti web milano</t>
        </is>
      </c>
      <c r="F372" t="n">
        <v>210</v>
      </c>
      <c r="G372" t="n">
        <v>23</v>
      </c>
      <c r="H372" t="n">
        <v>2.85</v>
      </c>
      <c r="I372" t="inlineStr">
        <is>
          <t>Commercial</t>
        </is>
      </c>
      <c r="J372" t="inlineStr">
        <is>
          <t>MEASURED</t>
        </is>
      </c>
      <c r="K372" s="5" t="inlineStr">
        <is>
          <t>NOT AVAILABLE (SERP not pulled)</t>
        </is>
      </c>
      <c r="L372" t="n">
        <v>3</v>
      </c>
      <c r="M372">
        <f>ROUND(IF(IF(I372="NOT AVAILABLE","",I372)="",12,IF(OR(ISNUMBER(SEARCH("Transactional",IF(I372="NOT AVAILABLE","",I372))),ISNUMBER(SEARCH("Commercial",IF(I372="NOT AVAILABLE","",I372)))),25,IF(ISNUMBER(SEARCH("Informational",IF(I372="NOT AVAILABLE","",I372))),10,IF(ISNUMBER(SEARCH("Navigational",IF(I372="NOT AVAILABLE","",I372))),0,12))))+IF(ISNUMBER(F372),MIN(30,ROUND(30*LOG10(F372+1)/4,1)),0)+IF(ISNUMBER(G372),ROUND(25*(100-G372)/100,1),12.5)+L372,0)</f>
        <v/>
      </c>
      <c r="N372" s="5" t="inlineStr">
        <is>
          <t>Local-language demand; French page cannot serve it - do not target (language mismatch)</t>
        </is>
      </c>
    </row>
    <row r="373">
      <c r="A373" t="inlineStr">
        <is>
          <t>United States</t>
        </is>
      </c>
      <c r="B373" t="inlineStr">
        <is>
          <t>us</t>
        </is>
      </c>
      <c r="C373" t="inlineStr">
        <is>
          <t>fr</t>
        </is>
      </c>
      <c r="D373" s="3" t="inlineStr">
        <is>
          <t>https://codesommet.com/web-development-company/new-york</t>
        </is>
      </c>
      <c r="E373" t="inlineStr">
        <is>
          <t>agence web new york</t>
        </is>
      </c>
      <c r="F373" t="n">
        <v>0</v>
      </c>
      <c r="G373" t="inlineStr">
        <is>
          <t>NOT AVAILABLE</t>
        </is>
      </c>
      <c r="H373" t="n">
        <v>0</v>
      </c>
      <c r="I373" t="inlineStr">
        <is>
          <t>NOT AVAILABLE</t>
        </is>
      </c>
      <c r="J373" t="inlineStr">
        <is>
          <t>MEASURED</t>
        </is>
      </c>
      <c r="K373" s="5" t="inlineStr">
        <is>
          <t>NOT AVAILABLE (SERP not pulled)</t>
        </is>
      </c>
      <c r="L373" t="n">
        <v>3</v>
      </c>
      <c r="M373">
        <f>ROUND(IF(IF(I373="NOT AVAILABLE","",I373)="",12,IF(OR(ISNUMBER(SEARCH("Transactional",IF(I373="NOT AVAILABLE","",I373))),ISNUMBER(SEARCH("Commercial",IF(I373="NOT AVAILABLE","",I373)))),25,IF(ISNUMBER(SEARCH("Informational",IF(I373="NOT AVAILABLE","",I373))),10,IF(ISNUMBER(SEARCH("Navigational",IF(I373="NOT AVAILABLE","",I373))),0,12))))+IF(ISNUMBER(F373),MIN(30,ROUND(30*LOG10(F373+1)/4,1)),0)+IF(ISNUMBER(G373),ROUND(25*(100-G373)/100,1),12.5)+L373,0)</f>
        <v/>
      </c>
      <c r="N373" s="5" t="inlineStr">
        <is>
          <t>Measured zero - do not target</t>
        </is>
      </c>
    </row>
    <row r="374">
      <c r="A374" t="inlineStr">
        <is>
          <t>United States</t>
        </is>
      </c>
      <c r="B374" t="inlineStr">
        <is>
          <t>us</t>
        </is>
      </c>
      <c r="C374" t="inlineStr">
        <is>
          <t>fr</t>
        </is>
      </c>
      <c r="D374" s="3" t="inlineStr">
        <is>
          <t>https://codesommet.com/web-development-company/new-york</t>
        </is>
      </c>
      <c r="E374" t="inlineStr">
        <is>
          <t>création site web new york</t>
        </is>
      </c>
      <c r="F374" t="n">
        <v>10</v>
      </c>
      <c r="G374" t="inlineStr">
        <is>
          <t>NOT AVAILABLE</t>
        </is>
      </c>
      <c r="H374" t="n">
        <v>0</v>
      </c>
      <c r="I374" t="inlineStr">
        <is>
          <t>NOT AVAILABLE</t>
        </is>
      </c>
      <c r="J374" t="inlineStr">
        <is>
          <t>MEASURED</t>
        </is>
      </c>
      <c r="K374" s="5" t="inlineStr">
        <is>
          <t>NOT AVAILABLE (SERP not pulled)</t>
        </is>
      </c>
      <c r="L374" t="n">
        <v>3</v>
      </c>
      <c r="M374">
        <f>ROUND(IF(IF(I374="NOT AVAILABLE","",I374)="",12,IF(OR(ISNUMBER(SEARCH("Transactional",IF(I374="NOT AVAILABLE","",I374))),ISNUMBER(SEARCH("Commercial",IF(I374="NOT AVAILABLE","",I374)))),25,IF(ISNUMBER(SEARCH("Informational",IF(I374="NOT AVAILABLE","",I374))),10,IF(ISNUMBER(SEARCH("Navigational",IF(I374="NOT AVAILABLE","",I374))),0,12))))+IF(ISNUMBER(F374),MIN(30,ROUND(30*LOG10(F374+1)/4,1)),0)+IF(ISNUMBER(G374),ROUND(25*(100-G374)/100,1),12.5)+L374,0)</f>
        <v/>
      </c>
      <c r="N374" s="5" t="inlineStr">
        <is>
          <t>Low volume - supporting only</t>
        </is>
      </c>
    </row>
    <row r="375">
      <c r="A375" t="inlineStr">
        <is>
          <t>United States</t>
        </is>
      </c>
      <c r="B375" t="inlineStr">
        <is>
          <t>us</t>
        </is>
      </c>
      <c r="C375" t="inlineStr">
        <is>
          <t>fr</t>
        </is>
      </c>
      <c r="D375" s="3" t="inlineStr">
        <is>
          <t>https://codesommet.com/web-development-company/new-york</t>
        </is>
      </c>
      <c r="E375" t="inlineStr">
        <is>
          <t>développement web new york</t>
        </is>
      </c>
      <c r="F375" t="inlineStr">
        <is>
          <t>NOT AVAILABLE</t>
        </is>
      </c>
      <c r="G375" t="inlineStr">
        <is>
          <t>NOT AVAILABLE</t>
        </is>
      </c>
      <c r="H375" t="inlineStr">
        <is>
          <t>NOT AVAILABLE</t>
        </is>
      </c>
      <c r="I375" t="inlineStr">
        <is>
          <t>NOT AVAILABLE</t>
        </is>
      </c>
      <c r="J375" t="inlineStr">
        <is>
          <t>UNAVAILABLE</t>
        </is>
      </c>
      <c r="K375" s="5" t="inlineStr">
        <is>
          <t>NOT AVAILABLE (SERP not pulled)</t>
        </is>
      </c>
      <c r="L375" t="n">
        <v>3</v>
      </c>
      <c r="M375">
        <f>ROUND(IF(IF(I375="NOT AVAILABLE","",I375)="",12,IF(OR(ISNUMBER(SEARCH("Transactional",IF(I375="NOT AVAILABLE","",I375))),ISNUMBER(SEARCH("Commercial",IF(I375="NOT AVAILABLE","",I375)))),25,IF(ISNUMBER(SEARCH("Informational",IF(I375="NOT AVAILABLE","",I375))),10,IF(ISNUMBER(SEARCH("Navigational",IF(I375="NOT AVAILABLE","",I375))),0,12))))+IF(ISNUMBER(F375),MIN(30,ROUND(30*LOG10(F375+1)/4,1)),0)+IF(ISNUMBER(G375),ROUND(25*(100-G375)/100,1),12.5)+L375,0)</f>
        <v/>
      </c>
      <c r="N375" s="5" t="inlineStr">
        <is>
          <t>No data in this database - do not prioritise</t>
        </is>
      </c>
    </row>
    <row r="376">
      <c r="A376" t="inlineStr">
        <is>
          <t>United States</t>
        </is>
      </c>
      <c r="B376" t="inlineStr">
        <is>
          <t>us</t>
        </is>
      </c>
      <c r="C376" t="inlineStr">
        <is>
          <t>en</t>
        </is>
      </c>
      <c r="D376" s="3" t="inlineStr">
        <is>
          <t>https://codesommet.com/web-development-company/new-york</t>
        </is>
      </c>
      <c r="E376" t="inlineStr">
        <is>
          <t>web development company new york</t>
        </is>
      </c>
      <c r="F376" t="n">
        <v>720</v>
      </c>
      <c r="G376" t="n">
        <v>35</v>
      </c>
      <c r="H376" t="n">
        <v>0</v>
      </c>
      <c r="I376" t="inlineStr">
        <is>
          <t>Commercial</t>
        </is>
      </c>
      <c r="J376" t="inlineStr">
        <is>
          <t>MEASURED</t>
        </is>
      </c>
      <c r="K376" s="5" t="inlineStr">
        <is>
          <t>NOT AVAILABLE (SERP not pulled)</t>
        </is>
      </c>
      <c r="L376" t="n">
        <v>3</v>
      </c>
      <c r="M376">
        <f>ROUND(IF(IF(I376="NOT AVAILABLE","",I376)="",12,IF(OR(ISNUMBER(SEARCH("Transactional",IF(I376="NOT AVAILABLE","",I376))),ISNUMBER(SEARCH("Commercial",IF(I376="NOT AVAILABLE","",I376)))),25,IF(ISNUMBER(SEARCH("Informational",IF(I376="NOT AVAILABLE","",I376))),10,IF(ISNUMBER(SEARCH("Navigational",IF(I376="NOT AVAILABLE","",I376))),0,12))))+IF(ISNUMBER(F376),MIN(30,ROUND(30*LOG10(F376+1)/4,1)),0)+IF(ISNUMBER(G376),ROUND(25*(100-G376)/100,1),12.5)+L376,0)</f>
        <v/>
      </c>
      <c r="N376" s="5" t="inlineStr">
        <is>
          <t>Local-language demand; French page cannot serve it - do not target (language mismatch)</t>
        </is>
      </c>
    </row>
    <row r="377">
      <c r="A377" t="inlineStr">
        <is>
          <t>United States</t>
        </is>
      </c>
      <c r="B377" t="inlineStr">
        <is>
          <t>us</t>
        </is>
      </c>
      <c r="C377" t="inlineStr">
        <is>
          <t>fr</t>
        </is>
      </c>
      <c r="D377" s="3" t="inlineStr">
        <is>
          <t>https://codesommet.com/web-development-company/san-francisco</t>
        </is>
      </c>
      <c r="E377" t="inlineStr">
        <is>
          <t>agence web san francisco</t>
        </is>
      </c>
      <c r="F377" t="inlineStr">
        <is>
          <t>NOT AVAILABLE</t>
        </is>
      </c>
      <c r="G377" t="inlineStr">
        <is>
          <t>NOT AVAILABLE</t>
        </is>
      </c>
      <c r="H377" t="inlineStr">
        <is>
          <t>NOT AVAILABLE</t>
        </is>
      </c>
      <c r="I377" t="inlineStr">
        <is>
          <t>NOT AVAILABLE</t>
        </is>
      </c>
      <c r="J377" t="inlineStr">
        <is>
          <t>UNAVAILABLE</t>
        </is>
      </c>
      <c r="K377" s="5" t="inlineStr">
        <is>
          <t>NOT AVAILABLE (SERP not pulled)</t>
        </is>
      </c>
      <c r="L377" t="n">
        <v>3</v>
      </c>
      <c r="M377">
        <f>ROUND(IF(IF(I377="NOT AVAILABLE","",I377)="",12,IF(OR(ISNUMBER(SEARCH("Transactional",IF(I377="NOT AVAILABLE","",I377))),ISNUMBER(SEARCH("Commercial",IF(I377="NOT AVAILABLE","",I377)))),25,IF(ISNUMBER(SEARCH("Informational",IF(I377="NOT AVAILABLE","",I377))),10,IF(ISNUMBER(SEARCH("Navigational",IF(I377="NOT AVAILABLE","",I377))),0,12))))+IF(ISNUMBER(F377),MIN(30,ROUND(30*LOG10(F377+1)/4,1)),0)+IF(ISNUMBER(G377),ROUND(25*(100-G377)/100,1),12.5)+L377,0)</f>
        <v/>
      </c>
      <c r="N377" s="5" t="inlineStr">
        <is>
          <t>No data in this database - do not prioritise</t>
        </is>
      </c>
    </row>
    <row r="378">
      <c r="A378" t="inlineStr">
        <is>
          <t>United States</t>
        </is>
      </c>
      <c r="B378" t="inlineStr">
        <is>
          <t>us</t>
        </is>
      </c>
      <c r="C378" t="inlineStr">
        <is>
          <t>fr</t>
        </is>
      </c>
      <c r="D378" s="3" t="inlineStr">
        <is>
          <t>https://codesommet.com/web-development-company/san-francisco</t>
        </is>
      </c>
      <c r="E378" t="inlineStr">
        <is>
          <t>création site web san francisco</t>
        </is>
      </c>
      <c r="F378" t="n">
        <v>10</v>
      </c>
      <c r="G378" t="inlineStr">
        <is>
          <t>NOT AVAILABLE</t>
        </is>
      </c>
      <c r="H378" t="n">
        <v>0</v>
      </c>
      <c r="I378" t="inlineStr">
        <is>
          <t>NOT AVAILABLE</t>
        </is>
      </c>
      <c r="J378" t="inlineStr">
        <is>
          <t>MEASURED</t>
        </is>
      </c>
      <c r="K378" s="5" t="inlineStr">
        <is>
          <t>NOT AVAILABLE (SERP not pulled)</t>
        </is>
      </c>
      <c r="L378" t="n">
        <v>3</v>
      </c>
      <c r="M378">
        <f>ROUND(IF(IF(I378="NOT AVAILABLE","",I378)="",12,IF(OR(ISNUMBER(SEARCH("Transactional",IF(I378="NOT AVAILABLE","",I378))),ISNUMBER(SEARCH("Commercial",IF(I378="NOT AVAILABLE","",I378)))),25,IF(ISNUMBER(SEARCH("Informational",IF(I378="NOT AVAILABLE","",I378))),10,IF(ISNUMBER(SEARCH("Navigational",IF(I378="NOT AVAILABLE","",I378))),0,12))))+IF(ISNUMBER(F378),MIN(30,ROUND(30*LOG10(F378+1)/4,1)),0)+IF(ISNUMBER(G378),ROUND(25*(100-G378)/100,1),12.5)+L378,0)</f>
        <v/>
      </c>
      <c r="N378" s="5" t="inlineStr">
        <is>
          <t>Low volume - supporting only</t>
        </is>
      </c>
    </row>
    <row r="379">
      <c r="A379" t="inlineStr">
        <is>
          <t>United States</t>
        </is>
      </c>
      <c r="B379" t="inlineStr">
        <is>
          <t>us</t>
        </is>
      </c>
      <c r="C379" t="inlineStr">
        <is>
          <t>fr</t>
        </is>
      </c>
      <c r="D379" s="3" t="inlineStr">
        <is>
          <t>https://codesommet.com/web-development-company/san-francisco</t>
        </is>
      </c>
      <c r="E379" t="inlineStr">
        <is>
          <t>développement web san francisco</t>
        </is>
      </c>
      <c r="F379" t="inlineStr">
        <is>
          <t>NOT AVAILABLE</t>
        </is>
      </c>
      <c r="G379" t="inlineStr">
        <is>
          <t>NOT AVAILABLE</t>
        </is>
      </c>
      <c r="H379" t="inlineStr">
        <is>
          <t>NOT AVAILABLE</t>
        </is>
      </c>
      <c r="I379" t="inlineStr">
        <is>
          <t>NOT AVAILABLE</t>
        </is>
      </c>
      <c r="J379" t="inlineStr">
        <is>
          <t>UNAVAILABLE</t>
        </is>
      </c>
      <c r="K379" s="5" t="inlineStr">
        <is>
          <t>NOT AVAILABLE (SERP not pulled)</t>
        </is>
      </c>
      <c r="L379" t="n">
        <v>3</v>
      </c>
      <c r="M379">
        <f>ROUND(IF(IF(I379="NOT AVAILABLE","",I379)="",12,IF(OR(ISNUMBER(SEARCH("Transactional",IF(I379="NOT AVAILABLE","",I379))),ISNUMBER(SEARCH("Commercial",IF(I379="NOT AVAILABLE","",I379)))),25,IF(ISNUMBER(SEARCH("Informational",IF(I379="NOT AVAILABLE","",I379))),10,IF(ISNUMBER(SEARCH("Navigational",IF(I379="NOT AVAILABLE","",I379))),0,12))))+IF(ISNUMBER(F379),MIN(30,ROUND(30*LOG10(F379+1)/4,1)),0)+IF(ISNUMBER(G379),ROUND(25*(100-G379)/100,1),12.5)+L379,0)</f>
        <v/>
      </c>
      <c r="N379" s="5" t="inlineStr">
        <is>
          <t>No data in this database - do not prioritise</t>
        </is>
      </c>
    </row>
    <row r="380">
      <c r="A380" t="inlineStr">
        <is>
          <t>United States</t>
        </is>
      </c>
      <c r="B380" t="inlineStr">
        <is>
          <t>us</t>
        </is>
      </c>
      <c r="C380" t="inlineStr">
        <is>
          <t>en</t>
        </is>
      </c>
      <c r="D380" s="3" t="inlineStr">
        <is>
          <t>https://codesommet.com/web-development-company/san-francisco</t>
        </is>
      </c>
      <c r="E380" t="inlineStr">
        <is>
          <t>web development company san francisco</t>
        </is>
      </c>
      <c r="F380" t="n">
        <v>90</v>
      </c>
      <c r="G380" t="n">
        <v>27</v>
      </c>
      <c r="H380" t="n">
        <v>0</v>
      </c>
      <c r="I380" t="inlineStr">
        <is>
          <t>Commercial</t>
        </is>
      </c>
      <c r="J380" t="inlineStr">
        <is>
          <t>MEASURED</t>
        </is>
      </c>
      <c r="K380" s="5" t="inlineStr">
        <is>
          <t>NOT AVAILABLE (SERP not pulled)</t>
        </is>
      </c>
      <c r="L380" t="n">
        <v>3</v>
      </c>
      <c r="M380">
        <f>ROUND(IF(IF(I380="NOT AVAILABLE","",I380)="",12,IF(OR(ISNUMBER(SEARCH("Transactional",IF(I380="NOT AVAILABLE","",I380))),ISNUMBER(SEARCH("Commercial",IF(I380="NOT AVAILABLE","",I380)))),25,IF(ISNUMBER(SEARCH("Informational",IF(I380="NOT AVAILABLE","",I380))),10,IF(ISNUMBER(SEARCH("Navigational",IF(I380="NOT AVAILABLE","",I380))),0,12))))+IF(ISNUMBER(F380),MIN(30,ROUND(30*LOG10(F380+1)/4,1)),0)+IF(ISNUMBER(G380),ROUND(25*(100-G380)/100,1),12.5)+L380,0)</f>
        <v/>
      </c>
      <c r="N380" s="5" t="inlineStr">
        <is>
          <t>Local-language demand; French page cannot serve it - do not target (language mismatch)</t>
        </is>
      </c>
    </row>
    <row r="381">
      <c r="A381" t="inlineStr">
        <is>
          <t>United States</t>
        </is>
      </c>
      <c r="B381" t="inlineStr">
        <is>
          <t>us</t>
        </is>
      </c>
      <c r="C381" t="inlineStr">
        <is>
          <t>fr</t>
        </is>
      </c>
      <c r="D381" s="3" t="inlineStr">
        <is>
          <t>https://codesommet.com/web-development-company/los-angeles</t>
        </is>
      </c>
      <c r="E381" t="inlineStr">
        <is>
          <t>agence web los angeles</t>
        </is>
      </c>
      <c r="F381" t="n">
        <v>0</v>
      </c>
      <c r="G381" t="inlineStr">
        <is>
          <t>NOT AVAILABLE</t>
        </is>
      </c>
      <c r="H381" t="n">
        <v>0</v>
      </c>
      <c r="I381" t="inlineStr">
        <is>
          <t>NOT AVAILABLE</t>
        </is>
      </c>
      <c r="J381" t="inlineStr">
        <is>
          <t>MEASURED</t>
        </is>
      </c>
      <c r="K381" s="5" t="inlineStr">
        <is>
          <t>NOT AVAILABLE (SERP not pulled)</t>
        </is>
      </c>
      <c r="L381" t="n">
        <v>3</v>
      </c>
      <c r="M381">
        <f>ROUND(IF(IF(I381="NOT AVAILABLE","",I381)="",12,IF(OR(ISNUMBER(SEARCH("Transactional",IF(I381="NOT AVAILABLE","",I381))),ISNUMBER(SEARCH("Commercial",IF(I381="NOT AVAILABLE","",I381)))),25,IF(ISNUMBER(SEARCH("Informational",IF(I381="NOT AVAILABLE","",I381))),10,IF(ISNUMBER(SEARCH("Navigational",IF(I381="NOT AVAILABLE","",I381))),0,12))))+IF(ISNUMBER(F381),MIN(30,ROUND(30*LOG10(F381+1)/4,1)),0)+IF(ISNUMBER(G381),ROUND(25*(100-G381)/100,1),12.5)+L381,0)</f>
        <v/>
      </c>
      <c r="N381" s="5" t="inlineStr">
        <is>
          <t>Measured zero - do not target</t>
        </is>
      </c>
    </row>
    <row r="382">
      <c r="A382" t="inlineStr">
        <is>
          <t>United States</t>
        </is>
      </c>
      <c r="B382" t="inlineStr">
        <is>
          <t>us</t>
        </is>
      </c>
      <c r="C382" t="inlineStr">
        <is>
          <t>fr</t>
        </is>
      </c>
      <c r="D382" s="3" t="inlineStr">
        <is>
          <t>https://codesommet.com/web-development-company/los-angeles</t>
        </is>
      </c>
      <c r="E382" t="inlineStr">
        <is>
          <t>création site web los angeles</t>
        </is>
      </c>
      <c r="F382" t="inlineStr">
        <is>
          <t>NOT AVAILABLE</t>
        </is>
      </c>
      <c r="G382" t="inlineStr">
        <is>
          <t>NOT AVAILABLE</t>
        </is>
      </c>
      <c r="H382" t="inlineStr">
        <is>
          <t>NOT AVAILABLE</t>
        </is>
      </c>
      <c r="I382" t="inlineStr">
        <is>
          <t>NOT AVAILABLE</t>
        </is>
      </c>
      <c r="J382" t="inlineStr">
        <is>
          <t>UNAVAILABLE</t>
        </is>
      </c>
      <c r="K382" s="5" t="inlineStr">
        <is>
          <t>NOT AVAILABLE (SERP not pulled)</t>
        </is>
      </c>
      <c r="L382" t="n">
        <v>3</v>
      </c>
      <c r="M382">
        <f>ROUND(IF(IF(I382="NOT AVAILABLE","",I382)="",12,IF(OR(ISNUMBER(SEARCH("Transactional",IF(I382="NOT AVAILABLE","",I382))),ISNUMBER(SEARCH("Commercial",IF(I382="NOT AVAILABLE","",I382)))),25,IF(ISNUMBER(SEARCH("Informational",IF(I382="NOT AVAILABLE","",I382))),10,IF(ISNUMBER(SEARCH("Navigational",IF(I382="NOT AVAILABLE","",I382))),0,12))))+IF(ISNUMBER(F382),MIN(30,ROUND(30*LOG10(F382+1)/4,1)),0)+IF(ISNUMBER(G382),ROUND(25*(100-G382)/100,1),12.5)+L382,0)</f>
        <v/>
      </c>
      <c r="N382" s="5" t="inlineStr">
        <is>
          <t>No data in this database - do not prioritise</t>
        </is>
      </c>
    </row>
    <row r="383">
      <c r="A383" t="inlineStr">
        <is>
          <t>United States</t>
        </is>
      </c>
      <c r="B383" t="inlineStr">
        <is>
          <t>us</t>
        </is>
      </c>
      <c r="C383" t="inlineStr">
        <is>
          <t>fr</t>
        </is>
      </c>
      <c r="D383" s="3" t="inlineStr">
        <is>
          <t>https://codesommet.com/web-development-company/los-angeles</t>
        </is>
      </c>
      <c r="E383" t="inlineStr">
        <is>
          <t>développement web los angeles</t>
        </is>
      </c>
      <c r="F383" t="inlineStr">
        <is>
          <t>NOT AVAILABLE</t>
        </is>
      </c>
      <c r="G383" t="inlineStr">
        <is>
          <t>NOT AVAILABLE</t>
        </is>
      </c>
      <c r="H383" t="inlineStr">
        <is>
          <t>NOT AVAILABLE</t>
        </is>
      </c>
      <c r="I383" t="inlineStr">
        <is>
          <t>NOT AVAILABLE</t>
        </is>
      </c>
      <c r="J383" t="inlineStr">
        <is>
          <t>UNAVAILABLE</t>
        </is>
      </c>
      <c r="K383" s="5" t="inlineStr">
        <is>
          <t>NOT AVAILABLE (SERP not pulled)</t>
        </is>
      </c>
      <c r="L383" t="n">
        <v>3</v>
      </c>
      <c r="M383">
        <f>ROUND(IF(IF(I383="NOT AVAILABLE","",I383)="",12,IF(OR(ISNUMBER(SEARCH("Transactional",IF(I383="NOT AVAILABLE","",I383))),ISNUMBER(SEARCH("Commercial",IF(I383="NOT AVAILABLE","",I383)))),25,IF(ISNUMBER(SEARCH("Informational",IF(I383="NOT AVAILABLE","",I383))),10,IF(ISNUMBER(SEARCH("Navigational",IF(I383="NOT AVAILABLE","",I383))),0,12))))+IF(ISNUMBER(F383),MIN(30,ROUND(30*LOG10(F383+1)/4,1)),0)+IF(ISNUMBER(G383),ROUND(25*(100-G383)/100,1),12.5)+L383,0)</f>
        <v/>
      </c>
      <c r="N383" s="5" t="inlineStr">
        <is>
          <t>No data in this database - do not prioritise</t>
        </is>
      </c>
    </row>
    <row r="384">
      <c r="A384" t="inlineStr">
        <is>
          <t>United States</t>
        </is>
      </c>
      <c r="B384" t="inlineStr">
        <is>
          <t>us</t>
        </is>
      </c>
      <c r="C384" t="inlineStr">
        <is>
          <t>en</t>
        </is>
      </c>
      <c r="D384" s="3" t="inlineStr">
        <is>
          <t>https://codesommet.com/web-development-company/los-angeles</t>
        </is>
      </c>
      <c r="E384" t="inlineStr">
        <is>
          <t>web development company los angeles</t>
        </is>
      </c>
      <c r="F384" t="n">
        <v>480</v>
      </c>
      <c r="G384" t="n">
        <v>33</v>
      </c>
      <c r="H384" t="n">
        <v>0</v>
      </c>
      <c r="I384" t="inlineStr">
        <is>
          <t>Commercial</t>
        </is>
      </c>
      <c r="J384" t="inlineStr">
        <is>
          <t>MEASURED</t>
        </is>
      </c>
      <c r="K384" s="5" t="inlineStr">
        <is>
          <t>NOT AVAILABLE (SERP not pulled)</t>
        </is>
      </c>
      <c r="L384" t="n">
        <v>3</v>
      </c>
      <c r="M384">
        <f>ROUND(IF(IF(I384="NOT AVAILABLE","",I384)="",12,IF(OR(ISNUMBER(SEARCH("Transactional",IF(I384="NOT AVAILABLE","",I384))),ISNUMBER(SEARCH("Commercial",IF(I384="NOT AVAILABLE","",I384)))),25,IF(ISNUMBER(SEARCH("Informational",IF(I384="NOT AVAILABLE","",I384))),10,IF(ISNUMBER(SEARCH("Navigational",IF(I384="NOT AVAILABLE","",I384))),0,12))))+IF(ISNUMBER(F384),MIN(30,ROUND(30*LOG10(F384+1)/4,1)),0)+IF(ISNUMBER(G384),ROUND(25*(100-G384)/100,1),12.5)+L384,0)</f>
        <v/>
      </c>
      <c r="N384" s="5" t="inlineStr">
        <is>
          <t>Local-language demand; French page cannot serve it - do not target (language mismatch)</t>
        </is>
      </c>
    </row>
    <row r="385">
      <c r="A385" t="inlineStr">
        <is>
          <t>United States</t>
        </is>
      </c>
      <c r="B385" t="inlineStr">
        <is>
          <t>us</t>
        </is>
      </c>
      <c r="C385" t="inlineStr">
        <is>
          <t>fr</t>
        </is>
      </c>
      <c r="D385" s="3" t="inlineStr">
        <is>
          <t>https://codesommet.com/web-development-company/austin</t>
        </is>
      </c>
      <c r="E385" t="inlineStr">
        <is>
          <t>agence web austin</t>
        </is>
      </c>
      <c r="F385" t="inlineStr">
        <is>
          <t>NOT AVAILABLE</t>
        </is>
      </c>
      <c r="G385" t="inlineStr">
        <is>
          <t>NOT AVAILABLE</t>
        </is>
      </c>
      <c r="H385" t="inlineStr">
        <is>
          <t>NOT AVAILABLE</t>
        </is>
      </c>
      <c r="I385" t="inlineStr">
        <is>
          <t>NOT AVAILABLE</t>
        </is>
      </c>
      <c r="J385" t="inlineStr">
        <is>
          <t>UNAVAILABLE</t>
        </is>
      </c>
      <c r="K385" s="5" t="inlineStr">
        <is>
          <t>NOT AVAILABLE (SERP not pulled)</t>
        </is>
      </c>
      <c r="L385" t="n">
        <v>3</v>
      </c>
      <c r="M385">
        <f>ROUND(IF(IF(I385="NOT AVAILABLE","",I385)="",12,IF(OR(ISNUMBER(SEARCH("Transactional",IF(I385="NOT AVAILABLE","",I385))),ISNUMBER(SEARCH("Commercial",IF(I385="NOT AVAILABLE","",I385)))),25,IF(ISNUMBER(SEARCH("Informational",IF(I385="NOT AVAILABLE","",I385))),10,IF(ISNUMBER(SEARCH("Navigational",IF(I385="NOT AVAILABLE","",I385))),0,12))))+IF(ISNUMBER(F385),MIN(30,ROUND(30*LOG10(F385+1)/4,1)),0)+IF(ISNUMBER(G385),ROUND(25*(100-G385)/100,1),12.5)+L385,0)</f>
        <v/>
      </c>
      <c r="N385" s="5" t="inlineStr">
        <is>
          <t>No data in this database - do not prioritise</t>
        </is>
      </c>
    </row>
    <row r="386">
      <c r="A386" t="inlineStr">
        <is>
          <t>United States</t>
        </is>
      </c>
      <c r="B386" t="inlineStr">
        <is>
          <t>us</t>
        </is>
      </c>
      <c r="C386" t="inlineStr">
        <is>
          <t>fr</t>
        </is>
      </c>
      <c r="D386" s="3" t="inlineStr">
        <is>
          <t>https://codesommet.com/web-development-company/austin</t>
        </is>
      </c>
      <c r="E386" t="inlineStr">
        <is>
          <t>création site web austin</t>
        </is>
      </c>
      <c r="F386" t="inlineStr">
        <is>
          <t>NOT AVAILABLE</t>
        </is>
      </c>
      <c r="G386" t="inlineStr">
        <is>
          <t>NOT AVAILABLE</t>
        </is>
      </c>
      <c r="H386" t="inlineStr">
        <is>
          <t>NOT AVAILABLE</t>
        </is>
      </c>
      <c r="I386" t="inlineStr">
        <is>
          <t>NOT AVAILABLE</t>
        </is>
      </c>
      <c r="J386" t="inlineStr">
        <is>
          <t>UNAVAILABLE</t>
        </is>
      </c>
      <c r="K386" s="5" t="inlineStr">
        <is>
          <t>NOT AVAILABLE (SERP not pulled)</t>
        </is>
      </c>
      <c r="L386" t="n">
        <v>3</v>
      </c>
      <c r="M386">
        <f>ROUND(IF(IF(I386="NOT AVAILABLE","",I386)="",12,IF(OR(ISNUMBER(SEARCH("Transactional",IF(I386="NOT AVAILABLE","",I386))),ISNUMBER(SEARCH("Commercial",IF(I386="NOT AVAILABLE","",I386)))),25,IF(ISNUMBER(SEARCH("Informational",IF(I386="NOT AVAILABLE","",I386))),10,IF(ISNUMBER(SEARCH("Navigational",IF(I386="NOT AVAILABLE","",I386))),0,12))))+IF(ISNUMBER(F386),MIN(30,ROUND(30*LOG10(F386+1)/4,1)),0)+IF(ISNUMBER(G386),ROUND(25*(100-G386)/100,1),12.5)+L386,0)</f>
        <v/>
      </c>
      <c r="N386" s="5" t="inlineStr">
        <is>
          <t>No data in this database - do not prioritise</t>
        </is>
      </c>
    </row>
    <row r="387">
      <c r="A387" t="inlineStr">
        <is>
          <t>United States</t>
        </is>
      </c>
      <c r="B387" t="inlineStr">
        <is>
          <t>us</t>
        </is>
      </c>
      <c r="C387" t="inlineStr">
        <is>
          <t>fr</t>
        </is>
      </c>
      <c r="D387" s="3" t="inlineStr">
        <is>
          <t>https://codesommet.com/web-development-company/austin</t>
        </is>
      </c>
      <c r="E387" t="inlineStr">
        <is>
          <t>développement web austin</t>
        </is>
      </c>
      <c r="F387" t="inlineStr">
        <is>
          <t>NOT AVAILABLE</t>
        </is>
      </c>
      <c r="G387" t="inlineStr">
        <is>
          <t>NOT AVAILABLE</t>
        </is>
      </c>
      <c r="H387" t="inlineStr">
        <is>
          <t>NOT AVAILABLE</t>
        </is>
      </c>
      <c r="I387" t="inlineStr">
        <is>
          <t>NOT AVAILABLE</t>
        </is>
      </c>
      <c r="J387" t="inlineStr">
        <is>
          <t>UNAVAILABLE</t>
        </is>
      </c>
      <c r="K387" s="5" t="inlineStr">
        <is>
          <t>NOT AVAILABLE (SERP not pulled)</t>
        </is>
      </c>
      <c r="L387" t="n">
        <v>3</v>
      </c>
      <c r="M387">
        <f>ROUND(IF(IF(I387="NOT AVAILABLE","",I387)="",12,IF(OR(ISNUMBER(SEARCH("Transactional",IF(I387="NOT AVAILABLE","",I387))),ISNUMBER(SEARCH("Commercial",IF(I387="NOT AVAILABLE","",I387)))),25,IF(ISNUMBER(SEARCH("Informational",IF(I387="NOT AVAILABLE","",I387))),10,IF(ISNUMBER(SEARCH("Navigational",IF(I387="NOT AVAILABLE","",I387))),0,12))))+IF(ISNUMBER(F387),MIN(30,ROUND(30*LOG10(F387+1)/4,1)),0)+IF(ISNUMBER(G387),ROUND(25*(100-G387)/100,1),12.5)+L387,0)</f>
        <v/>
      </c>
      <c r="N387" s="5" t="inlineStr">
        <is>
          <t>No data in this database - do not prioritise</t>
        </is>
      </c>
    </row>
    <row r="388">
      <c r="A388" t="inlineStr">
        <is>
          <t>United States</t>
        </is>
      </c>
      <c r="B388" t="inlineStr">
        <is>
          <t>us</t>
        </is>
      </c>
      <c r="C388" t="inlineStr">
        <is>
          <t>en</t>
        </is>
      </c>
      <c r="D388" s="3" t="inlineStr">
        <is>
          <t>https://codesommet.com/web-development-company/austin</t>
        </is>
      </c>
      <c r="E388" t="inlineStr">
        <is>
          <t>web development company austin</t>
        </is>
      </c>
      <c r="F388" t="n">
        <v>260</v>
      </c>
      <c r="G388" t="n">
        <v>70</v>
      </c>
      <c r="H388" t="n">
        <v>11.05</v>
      </c>
      <c r="I388" t="inlineStr">
        <is>
          <t>Commercial</t>
        </is>
      </c>
      <c r="J388" t="inlineStr">
        <is>
          <t>MEASURED</t>
        </is>
      </c>
      <c r="K388" s="5" t="inlineStr">
        <is>
          <t>NOT AVAILABLE (SERP not pulled)</t>
        </is>
      </c>
      <c r="L388" t="n">
        <v>3</v>
      </c>
      <c r="M388">
        <f>ROUND(IF(IF(I388="NOT AVAILABLE","",I388)="",12,IF(OR(ISNUMBER(SEARCH("Transactional",IF(I388="NOT AVAILABLE","",I388))),ISNUMBER(SEARCH("Commercial",IF(I388="NOT AVAILABLE","",I388)))),25,IF(ISNUMBER(SEARCH("Informational",IF(I388="NOT AVAILABLE","",I388))),10,IF(ISNUMBER(SEARCH("Navigational",IF(I388="NOT AVAILABLE","",I388))),0,12))))+IF(ISNUMBER(F388),MIN(30,ROUND(30*LOG10(F388+1)/4,1)),0)+IF(ISNUMBER(G388),ROUND(25*(100-G388)/100,1),12.5)+L388,0)</f>
        <v/>
      </c>
      <c r="N388" s="5" t="inlineStr">
        <is>
          <t>Local-language demand; French page cannot serve it - do not target (language mismatch)</t>
        </is>
      </c>
    </row>
    <row r="389">
      <c r="A389" t="inlineStr">
        <is>
          <t>United States</t>
        </is>
      </c>
      <c r="B389" t="inlineStr">
        <is>
          <t>us</t>
        </is>
      </c>
      <c r="C389" t="inlineStr">
        <is>
          <t>fr</t>
        </is>
      </c>
      <c r="D389" s="3" t="inlineStr">
        <is>
          <t>https://codesommet.com/web-development-company/seattle</t>
        </is>
      </c>
      <c r="E389" t="inlineStr">
        <is>
          <t>agence web seattle</t>
        </is>
      </c>
      <c r="F389" t="inlineStr">
        <is>
          <t>NOT AVAILABLE</t>
        </is>
      </c>
      <c r="G389" t="inlineStr">
        <is>
          <t>NOT AVAILABLE</t>
        </is>
      </c>
      <c r="H389" t="inlineStr">
        <is>
          <t>NOT AVAILABLE</t>
        </is>
      </c>
      <c r="I389" t="inlineStr">
        <is>
          <t>NOT AVAILABLE</t>
        </is>
      </c>
      <c r="J389" t="inlineStr">
        <is>
          <t>UNAVAILABLE</t>
        </is>
      </c>
      <c r="K389" s="5" t="inlineStr">
        <is>
          <t>NOT AVAILABLE (SERP not pulled)</t>
        </is>
      </c>
      <c r="L389" t="n">
        <v>3</v>
      </c>
      <c r="M389">
        <f>ROUND(IF(IF(I389="NOT AVAILABLE","",I389)="",12,IF(OR(ISNUMBER(SEARCH("Transactional",IF(I389="NOT AVAILABLE","",I389))),ISNUMBER(SEARCH("Commercial",IF(I389="NOT AVAILABLE","",I389)))),25,IF(ISNUMBER(SEARCH("Informational",IF(I389="NOT AVAILABLE","",I389))),10,IF(ISNUMBER(SEARCH("Navigational",IF(I389="NOT AVAILABLE","",I389))),0,12))))+IF(ISNUMBER(F389),MIN(30,ROUND(30*LOG10(F389+1)/4,1)),0)+IF(ISNUMBER(G389),ROUND(25*(100-G389)/100,1),12.5)+L389,0)</f>
        <v/>
      </c>
      <c r="N389" s="5" t="inlineStr">
        <is>
          <t>No data in this database - do not prioritise</t>
        </is>
      </c>
    </row>
    <row r="390">
      <c r="A390" t="inlineStr">
        <is>
          <t>United States</t>
        </is>
      </c>
      <c r="B390" t="inlineStr">
        <is>
          <t>us</t>
        </is>
      </c>
      <c r="C390" t="inlineStr">
        <is>
          <t>fr</t>
        </is>
      </c>
      <c r="D390" s="3" t="inlineStr">
        <is>
          <t>https://codesommet.com/web-development-company/seattle</t>
        </is>
      </c>
      <c r="E390" t="inlineStr">
        <is>
          <t>création site web seattle</t>
        </is>
      </c>
      <c r="F390" t="inlineStr">
        <is>
          <t>NOT AVAILABLE</t>
        </is>
      </c>
      <c r="G390" t="inlineStr">
        <is>
          <t>NOT AVAILABLE</t>
        </is>
      </c>
      <c r="H390" t="inlineStr">
        <is>
          <t>NOT AVAILABLE</t>
        </is>
      </c>
      <c r="I390" t="inlineStr">
        <is>
          <t>NOT AVAILABLE</t>
        </is>
      </c>
      <c r="J390" t="inlineStr">
        <is>
          <t>UNAVAILABLE</t>
        </is>
      </c>
      <c r="K390" s="5" t="inlineStr">
        <is>
          <t>NOT AVAILABLE (SERP not pulled)</t>
        </is>
      </c>
      <c r="L390" t="n">
        <v>3</v>
      </c>
      <c r="M390">
        <f>ROUND(IF(IF(I390="NOT AVAILABLE","",I390)="",12,IF(OR(ISNUMBER(SEARCH("Transactional",IF(I390="NOT AVAILABLE","",I390))),ISNUMBER(SEARCH("Commercial",IF(I390="NOT AVAILABLE","",I390)))),25,IF(ISNUMBER(SEARCH("Informational",IF(I390="NOT AVAILABLE","",I390))),10,IF(ISNUMBER(SEARCH("Navigational",IF(I390="NOT AVAILABLE","",I390))),0,12))))+IF(ISNUMBER(F390),MIN(30,ROUND(30*LOG10(F390+1)/4,1)),0)+IF(ISNUMBER(G390),ROUND(25*(100-G390)/100,1),12.5)+L390,0)</f>
        <v/>
      </c>
      <c r="N390" s="5" t="inlineStr">
        <is>
          <t>No data in this database - do not prioritise</t>
        </is>
      </c>
    </row>
    <row r="391">
      <c r="A391" t="inlineStr">
        <is>
          <t>United States</t>
        </is>
      </c>
      <c r="B391" t="inlineStr">
        <is>
          <t>us</t>
        </is>
      </c>
      <c r="C391" t="inlineStr">
        <is>
          <t>fr</t>
        </is>
      </c>
      <c r="D391" s="3" t="inlineStr">
        <is>
          <t>https://codesommet.com/web-development-company/seattle</t>
        </is>
      </c>
      <c r="E391" t="inlineStr">
        <is>
          <t>développement web seattle</t>
        </is>
      </c>
      <c r="F391" t="inlineStr">
        <is>
          <t>NOT AVAILABLE</t>
        </is>
      </c>
      <c r="G391" t="inlineStr">
        <is>
          <t>NOT AVAILABLE</t>
        </is>
      </c>
      <c r="H391" t="inlineStr">
        <is>
          <t>NOT AVAILABLE</t>
        </is>
      </c>
      <c r="I391" t="inlineStr">
        <is>
          <t>NOT AVAILABLE</t>
        </is>
      </c>
      <c r="J391" t="inlineStr">
        <is>
          <t>UNAVAILABLE</t>
        </is>
      </c>
      <c r="K391" s="5" t="inlineStr">
        <is>
          <t>NOT AVAILABLE (SERP not pulled)</t>
        </is>
      </c>
      <c r="L391" t="n">
        <v>3</v>
      </c>
      <c r="M391">
        <f>ROUND(IF(IF(I391="NOT AVAILABLE","",I391)="",12,IF(OR(ISNUMBER(SEARCH("Transactional",IF(I391="NOT AVAILABLE","",I391))),ISNUMBER(SEARCH("Commercial",IF(I391="NOT AVAILABLE","",I391)))),25,IF(ISNUMBER(SEARCH("Informational",IF(I391="NOT AVAILABLE","",I391))),10,IF(ISNUMBER(SEARCH("Navigational",IF(I391="NOT AVAILABLE","",I391))),0,12))))+IF(ISNUMBER(F391),MIN(30,ROUND(30*LOG10(F391+1)/4,1)),0)+IF(ISNUMBER(G391),ROUND(25*(100-G391)/100,1),12.5)+L391,0)</f>
        <v/>
      </c>
      <c r="N391" s="5" t="inlineStr">
        <is>
          <t>No data in this database - do not prioritise</t>
        </is>
      </c>
    </row>
    <row r="392">
      <c r="A392" t="inlineStr">
        <is>
          <t>United States</t>
        </is>
      </c>
      <c r="B392" t="inlineStr">
        <is>
          <t>us</t>
        </is>
      </c>
      <c r="C392" t="inlineStr">
        <is>
          <t>en</t>
        </is>
      </c>
      <c r="D392" s="3" t="inlineStr">
        <is>
          <t>https://codesommet.com/web-development-company/seattle</t>
        </is>
      </c>
      <c r="E392" t="inlineStr">
        <is>
          <t>web development company seattle</t>
        </is>
      </c>
      <c r="F392" t="n">
        <v>140</v>
      </c>
      <c r="G392" t="n">
        <v>34</v>
      </c>
      <c r="H392" t="n">
        <v>0</v>
      </c>
      <c r="I392" t="inlineStr">
        <is>
          <t>Commercial</t>
        </is>
      </c>
      <c r="J392" t="inlineStr">
        <is>
          <t>MEASURED</t>
        </is>
      </c>
      <c r="K392" s="5" t="inlineStr">
        <is>
          <t>NOT AVAILABLE (SERP not pulled)</t>
        </is>
      </c>
      <c r="L392" t="n">
        <v>3</v>
      </c>
      <c r="M392">
        <f>ROUND(IF(IF(I392="NOT AVAILABLE","",I392)="",12,IF(OR(ISNUMBER(SEARCH("Transactional",IF(I392="NOT AVAILABLE","",I392))),ISNUMBER(SEARCH("Commercial",IF(I392="NOT AVAILABLE","",I392)))),25,IF(ISNUMBER(SEARCH("Informational",IF(I392="NOT AVAILABLE","",I392))),10,IF(ISNUMBER(SEARCH("Navigational",IF(I392="NOT AVAILABLE","",I392))),0,12))))+IF(ISNUMBER(F392),MIN(30,ROUND(30*LOG10(F392+1)/4,1)),0)+IF(ISNUMBER(G392),ROUND(25*(100-G392)/100,1),12.5)+L392,0)</f>
        <v/>
      </c>
      <c r="N392" s="5" t="inlineStr">
        <is>
          <t>Local-language demand; French page cannot serve it - do not target (language mismatch)</t>
        </is>
      </c>
    </row>
    <row r="393">
      <c r="A393" t="inlineStr">
        <is>
          <t>United States</t>
        </is>
      </c>
      <c r="B393" t="inlineStr">
        <is>
          <t>us</t>
        </is>
      </c>
      <c r="C393" t="inlineStr">
        <is>
          <t>fr</t>
        </is>
      </c>
      <c r="D393" s="3" t="inlineStr">
        <is>
          <t>https://codesommet.com/web-development-company/boston</t>
        </is>
      </c>
      <c r="E393" t="inlineStr">
        <is>
          <t>agence web boston</t>
        </is>
      </c>
      <c r="F393" t="inlineStr">
        <is>
          <t>NOT AVAILABLE</t>
        </is>
      </c>
      <c r="G393" t="inlineStr">
        <is>
          <t>NOT AVAILABLE</t>
        </is>
      </c>
      <c r="H393" t="inlineStr">
        <is>
          <t>NOT AVAILABLE</t>
        </is>
      </c>
      <c r="I393" t="inlineStr">
        <is>
          <t>NOT AVAILABLE</t>
        </is>
      </c>
      <c r="J393" t="inlineStr">
        <is>
          <t>UNAVAILABLE</t>
        </is>
      </c>
      <c r="K393" s="5" t="inlineStr">
        <is>
          <t>NOT AVAILABLE (SERP not pulled)</t>
        </is>
      </c>
      <c r="L393" t="n">
        <v>3</v>
      </c>
      <c r="M393">
        <f>ROUND(IF(IF(I393="NOT AVAILABLE","",I393)="",12,IF(OR(ISNUMBER(SEARCH("Transactional",IF(I393="NOT AVAILABLE","",I393))),ISNUMBER(SEARCH("Commercial",IF(I393="NOT AVAILABLE","",I393)))),25,IF(ISNUMBER(SEARCH("Informational",IF(I393="NOT AVAILABLE","",I393))),10,IF(ISNUMBER(SEARCH("Navigational",IF(I393="NOT AVAILABLE","",I393))),0,12))))+IF(ISNUMBER(F393),MIN(30,ROUND(30*LOG10(F393+1)/4,1)),0)+IF(ISNUMBER(G393),ROUND(25*(100-G393)/100,1),12.5)+L393,0)</f>
        <v/>
      </c>
      <c r="N393" s="5" t="inlineStr">
        <is>
          <t>No data in this database - do not prioritise</t>
        </is>
      </c>
    </row>
    <row r="394">
      <c r="A394" t="inlineStr">
        <is>
          <t>United States</t>
        </is>
      </c>
      <c r="B394" t="inlineStr">
        <is>
          <t>us</t>
        </is>
      </c>
      <c r="C394" t="inlineStr">
        <is>
          <t>fr</t>
        </is>
      </c>
      <c r="D394" s="3" t="inlineStr">
        <is>
          <t>https://codesommet.com/web-development-company/boston</t>
        </is>
      </c>
      <c r="E394" t="inlineStr">
        <is>
          <t>création site web boston</t>
        </is>
      </c>
      <c r="F394" t="inlineStr">
        <is>
          <t>NOT AVAILABLE</t>
        </is>
      </c>
      <c r="G394" t="inlineStr">
        <is>
          <t>NOT AVAILABLE</t>
        </is>
      </c>
      <c r="H394" t="inlineStr">
        <is>
          <t>NOT AVAILABLE</t>
        </is>
      </c>
      <c r="I394" t="inlineStr">
        <is>
          <t>NOT AVAILABLE</t>
        </is>
      </c>
      <c r="J394" t="inlineStr">
        <is>
          <t>UNAVAILABLE</t>
        </is>
      </c>
      <c r="K394" s="5" t="inlineStr">
        <is>
          <t>NOT AVAILABLE (SERP not pulled)</t>
        </is>
      </c>
      <c r="L394" t="n">
        <v>3</v>
      </c>
      <c r="M394">
        <f>ROUND(IF(IF(I394="NOT AVAILABLE","",I394)="",12,IF(OR(ISNUMBER(SEARCH("Transactional",IF(I394="NOT AVAILABLE","",I394))),ISNUMBER(SEARCH("Commercial",IF(I394="NOT AVAILABLE","",I394)))),25,IF(ISNUMBER(SEARCH("Informational",IF(I394="NOT AVAILABLE","",I394))),10,IF(ISNUMBER(SEARCH("Navigational",IF(I394="NOT AVAILABLE","",I394))),0,12))))+IF(ISNUMBER(F394),MIN(30,ROUND(30*LOG10(F394+1)/4,1)),0)+IF(ISNUMBER(G394),ROUND(25*(100-G394)/100,1),12.5)+L394,0)</f>
        <v/>
      </c>
      <c r="N394" s="5" t="inlineStr">
        <is>
          <t>No data in this database - do not prioritise</t>
        </is>
      </c>
    </row>
    <row r="395">
      <c r="A395" t="inlineStr">
        <is>
          <t>United States</t>
        </is>
      </c>
      <c r="B395" t="inlineStr">
        <is>
          <t>us</t>
        </is>
      </c>
      <c r="C395" t="inlineStr">
        <is>
          <t>fr</t>
        </is>
      </c>
      <c r="D395" s="3" t="inlineStr">
        <is>
          <t>https://codesommet.com/web-development-company/boston</t>
        </is>
      </c>
      <c r="E395" t="inlineStr">
        <is>
          <t>développement web boston</t>
        </is>
      </c>
      <c r="F395" t="inlineStr">
        <is>
          <t>NOT AVAILABLE</t>
        </is>
      </c>
      <c r="G395" t="inlineStr">
        <is>
          <t>NOT AVAILABLE</t>
        </is>
      </c>
      <c r="H395" t="inlineStr">
        <is>
          <t>NOT AVAILABLE</t>
        </is>
      </c>
      <c r="I395" t="inlineStr">
        <is>
          <t>NOT AVAILABLE</t>
        </is>
      </c>
      <c r="J395" t="inlineStr">
        <is>
          <t>UNAVAILABLE</t>
        </is>
      </c>
      <c r="K395" s="5" t="inlineStr">
        <is>
          <t>NOT AVAILABLE (SERP not pulled)</t>
        </is>
      </c>
      <c r="L395" t="n">
        <v>3</v>
      </c>
      <c r="M395">
        <f>ROUND(IF(IF(I395="NOT AVAILABLE","",I395)="",12,IF(OR(ISNUMBER(SEARCH("Transactional",IF(I395="NOT AVAILABLE","",I395))),ISNUMBER(SEARCH("Commercial",IF(I395="NOT AVAILABLE","",I395)))),25,IF(ISNUMBER(SEARCH("Informational",IF(I395="NOT AVAILABLE","",I395))),10,IF(ISNUMBER(SEARCH("Navigational",IF(I395="NOT AVAILABLE","",I395))),0,12))))+IF(ISNUMBER(F395),MIN(30,ROUND(30*LOG10(F395+1)/4,1)),0)+IF(ISNUMBER(G395),ROUND(25*(100-G395)/100,1),12.5)+L395,0)</f>
        <v/>
      </c>
      <c r="N395" s="5" t="inlineStr">
        <is>
          <t>No data in this database - do not prioritise</t>
        </is>
      </c>
    </row>
    <row r="396">
      <c r="A396" t="inlineStr">
        <is>
          <t>United States</t>
        </is>
      </c>
      <c r="B396" t="inlineStr">
        <is>
          <t>us</t>
        </is>
      </c>
      <c r="C396" t="inlineStr">
        <is>
          <t>en</t>
        </is>
      </c>
      <c r="D396" s="3" t="inlineStr">
        <is>
          <t>https://codesommet.com/web-development-company/boston</t>
        </is>
      </c>
      <c r="E396" t="inlineStr">
        <is>
          <t>web development company boston</t>
        </is>
      </c>
      <c r="F396" t="n">
        <v>140</v>
      </c>
      <c r="G396" t="n">
        <v>55</v>
      </c>
      <c r="H396" t="n">
        <v>0</v>
      </c>
      <c r="I396" t="inlineStr">
        <is>
          <t>Commercial</t>
        </is>
      </c>
      <c r="J396" t="inlineStr">
        <is>
          <t>MEASURED</t>
        </is>
      </c>
      <c r="K396" s="5" t="inlineStr">
        <is>
          <t>NOT AVAILABLE (SERP not pulled)</t>
        </is>
      </c>
      <c r="L396" t="n">
        <v>3</v>
      </c>
      <c r="M396">
        <f>ROUND(IF(IF(I396="NOT AVAILABLE","",I396)="",12,IF(OR(ISNUMBER(SEARCH("Transactional",IF(I396="NOT AVAILABLE","",I396))),ISNUMBER(SEARCH("Commercial",IF(I396="NOT AVAILABLE","",I396)))),25,IF(ISNUMBER(SEARCH("Informational",IF(I396="NOT AVAILABLE","",I396))),10,IF(ISNUMBER(SEARCH("Navigational",IF(I396="NOT AVAILABLE","",I396))),0,12))))+IF(ISNUMBER(F396),MIN(30,ROUND(30*LOG10(F396+1)/4,1)),0)+IF(ISNUMBER(G396),ROUND(25*(100-G396)/100,1),12.5)+L396,0)</f>
        <v/>
      </c>
      <c r="N396" s="5" t="inlineStr">
        <is>
          <t>Local-language demand; French page cannot serve it - do not target (language mismatch)</t>
        </is>
      </c>
    </row>
    <row r="397">
      <c r="A397" t="inlineStr">
        <is>
          <t>United States</t>
        </is>
      </c>
      <c r="B397" t="inlineStr">
        <is>
          <t>us</t>
        </is>
      </c>
      <c r="C397" t="inlineStr">
        <is>
          <t>fr</t>
        </is>
      </c>
      <c r="D397" s="3" t="inlineStr">
        <is>
          <t>https://codesommet.com/web-development-company/chicago</t>
        </is>
      </c>
      <c r="E397" t="inlineStr">
        <is>
          <t>agence web chicago</t>
        </is>
      </c>
      <c r="F397" t="inlineStr">
        <is>
          <t>NOT AVAILABLE</t>
        </is>
      </c>
      <c r="G397" t="inlineStr">
        <is>
          <t>NOT AVAILABLE</t>
        </is>
      </c>
      <c r="H397" t="inlineStr">
        <is>
          <t>NOT AVAILABLE</t>
        </is>
      </c>
      <c r="I397" t="inlineStr">
        <is>
          <t>NOT AVAILABLE</t>
        </is>
      </c>
      <c r="J397" t="inlineStr">
        <is>
          <t>UNAVAILABLE</t>
        </is>
      </c>
      <c r="K397" s="5" t="inlineStr">
        <is>
          <t>NOT AVAILABLE (SERP not pulled)</t>
        </is>
      </c>
      <c r="L397" t="n">
        <v>3</v>
      </c>
      <c r="M397">
        <f>ROUND(IF(IF(I397="NOT AVAILABLE","",I397)="",12,IF(OR(ISNUMBER(SEARCH("Transactional",IF(I397="NOT AVAILABLE","",I397))),ISNUMBER(SEARCH("Commercial",IF(I397="NOT AVAILABLE","",I397)))),25,IF(ISNUMBER(SEARCH("Informational",IF(I397="NOT AVAILABLE","",I397))),10,IF(ISNUMBER(SEARCH("Navigational",IF(I397="NOT AVAILABLE","",I397))),0,12))))+IF(ISNUMBER(F397),MIN(30,ROUND(30*LOG10(F397+1)/4,1)),0)+IF(ISNUMBER(G397),ROUND(25*(100-G397)/100,1),12.5)+L397,0)</f>
        <v/>
      </c>
      <c r="N397" s="5" t="inlineStr">
        <is>
          <t>No data in this database - do not prioritise</t>
        </is>
      </c>
    </row>
    <row r="398">
      <c r="A398" t="inlineStr">
        <is>
          <t>United States</t>
        </is>
      </c>
      <c r="B398" t="inlineStr">
        <is>
          <t>us</t>
        </is>
      </c>
      <c r="C398" t="inlineStr">
        <is>
          <t>fr</t>
        </is>
      </c>
      <c r="D398" s="3" t="inlineStr">
        <is>
          <t>https://codesommet.com/web-development-company/chicago</t>
        </is>
      </c>
      <c r="E398" t="inlineStr">
        <is>
          <t>création site web chicago</t>
        </is>
      </c>
      <c r="F398" t="inlineStr">
        <is>
          <t>NOT AVAILABLE</t>
        </is>
      </c>
      <c r="G398" t="inlineStr">
        <is>
          <t>NOT AVAILABLE</t>
        </is>
      </c>
      <c r="H398" t="inlineStr">
        <is>
          <t>NOT AVAILABLE</t>
        </is>
      </c>
      <c r="I398" t="inlineStr">
        <is>
          <t>NOT AVAILABLE</t>
        </is>
      </c>
      <c r="J398" t="inlineStr">
        <is>
          <t>UNAVAILABLE</t>
        </is>
      </c>
      <c r="K398" s="5" t="inlineStr">
        <is>
          <t>NOT AVAILABLE (SERP not pulled)</t>
        </is>
      </c>
      <c r="L398" t="n">
        <v>3</v>
      </c>
      <c r="M398">
        <f>ROUND(IF(IF(I398="NOT AVAILABLE","",I398)="",12,IF(OR(ISNUMBER(SEARCH("Transactional",IF(I398="NOT AVAILABLE","",I398))),ISNUMBER(SEARCH("Commercial",IF(I398="NOT AVAILABLE","",I398)))),25,IF(ISNUMBER(SEARCH("Informational",IF(I398="NOT AVAILABLE","",I398))),10,IF(ISNUMBER(SEARCH("Navigational",IF(I398="NOT AVAILABLE","",I398))),0,12))))+IF(ISNUMBER(F398),MIN(30,ROUND(30*LOG10(F398+1)/4,1)),0)+IF(ISNUMBER(G398),ROUND(25*(100-G398)/100,1),12.5)+L398,0)</f>
        <v/>
      </c>
      <c r="N398" s="5" t="inlineStr">
        <is>
          <t>No data in this database - do not prioritise</t>
        </is>
      </c>
    </row>
    <row r="399">
      <c r="A399" t="inlineStr">
        <is>
          <t>United States</t>
        </is>
      </c>
      <c r="B399" t="inlineStr">
        <is>
          <t>us</t>
        </is>
      </c>
      <c r="C399" t="inlineStr">
        <is>
          <t>fr</t>
        </is>
      </c>
      <c r="D399" s="3" t="inlineStr">
        <is>
          <t>https://codesommet.com/web-development-company/chicago</t>
        </is>
      </c>
      <c r="E399" t="inlineStr">
        <is>
          <t>développement web chicago</t>
        </is>
      </c>
      <c r="F399" t="inlineStr">
        <is>
          <t>NOT AVAILABLE</t>
        </is>
      </c>
      <c r="G399" t="inlineStr">
        <is>
          <t>NOT AVAILABLE</t>
        </is>
      </c>
      <c r="H399" t="inlineStr">
        <is>
          <t>NOT AVAILABLE</t>
        </is>
      </c>
      <c r="I399" t="inlineStr">
        <is>
          <t>NOT AVAILABLE</t>
        </is>
      </c>
      <c r="J399" t="inlineStr">
        <is>
          <t>UNAVAILABLE</t>
        </is>
      </c>
      <c r="K399" s="5" t="inlineStr">
        <is>
          <t>NOT AVAILABLE (SERP not pulled)</t>
        </is>
      </c>
      <c r="L399" t="n">
        <v>3</v>
      </c>
      <c r="M399">
        <f>ROUND(IF(IF(I399="NOT AVAILABLE","",I399)="",12,IF(OR(ISNUMBER(SEARCH("Transactional",IF(I399="NOT AVAILABLE","",I399))),ISNUMBER(SEARCH("Commercial",IF(I399="NOT AVAILABLE","",I399)))),25,IF(ISNUMBER(SEARCH("Informational",IF(I399="NOT AVAILABLE","",I399))),10,IF(ISNUMBER(SEARCH("Navigational",IF(I399="NOT AVAILABLE","",I399))),0,12))))+IF(ISNUMBER(F399),MIN(30,ROUND(30*LOG10(F399+1)/4,1)),0)+IF(ISNUMBER(G399),ROUND(25*(100-G399)/100,1),12.5)+L399,0)</f>
        <v/>
      </c>
      <c r="N399" s="5" t="inlineStr">
        <is>
          <t>No data in this database - do not prioritise</t>
        </is>
      </c>
    </row>
    <row r="400">
      <c r="A400" t="inlineStr">
        <is>
          <t>United States</t>
        </is>
      </c>
      <c r="B400" t="inlineStr">
        <is>
          <t>us</t>
        </is>
      </c>
      <c r="C400" t="inlineStr">
        <is>
          <t>en</t>
        </is>
      </c>
      <c r="D400" s="3" t="inlineStr">
        <is>
          <t>https://codesommet.com/web-development-company/chicago</t>
        </is>
      </c>
      <c r="E400" t="inlineStr">
        <is>
          <t>web development company chicago</t>
        </is>
      </c>
      <c r="F400" t="n">
        <v>590</v>
      </c>
      <c r="G400" t="n">
        <v>32</v>
      </c>
      <c r="H400" t="n">
        <v>16.28</v>
      </c>
      <c r="I400" t="inlineStr">
        <is>
          <t>Commercial</t>
        </is>
      </c>
      <c r="J400" t="inlineStr">
        <is>
          <t>MEASURED</t>
        </is>
      </c>
      <c r="K400" s="5" t="inlineStr">
        <is>
          <t>NOT AVAILABLE (SERP not pulled)</t>
        </is>
      </c>
      <c r="L400" t="n">
        <v>3</v>
      </c>
      <c r="M400">
        <f>ROUND(IF(IF(I400="NOT AVAILABLE","",I400)="",12,IF(OR(ISNUMBER(SEARCH("Transactional",IF(I400="NOT AVAILABLE","",I400))),ISNUMBER(SEARCH("Commercial",IF(I400="NOT AVAILABLE","",I400)))),25,IF(ISNUMBER(SEARCH("Informational",IF(I400="NOT AVAILABLE","",I400))),10,IF(ISNUMBER(SEARCH("Navigational",IF(I400="NOT AVAILABLE","",I400))),0,12))))+IF(ISNUMBER(F400),MIN(30,ROUND(30*LOG10(F400+1)/4,1)),0)+IF(ISNUMBER(G400),ROUND(25*(100-G400)/100,1),12.5)+L400,0)</f>
        <v/>
      </c>
      <c r="N400" s="5" t="inlineStr">
        <is>
          <t>Local-language demand; French page cannot serve it - do not target (language mismatch)</t>
        </is>
      </c>
    </row>
    <row r="401">
      <c r="A401" t="inlineStr">
        <is>
          <t>United States</t>
        </is>
      </c>
      <c r="B401" t="inlineStr">
        <is>
          <t>us</t>
        </is>
      </c>
      <c r="C401" t="inlineStr">
        <is>
          <t>fr</t>
        </is>
      </c>
      <c r="D401" s="3" t="inlineStr">
        <is>
          <t>https://codesommet.com/web-development-company/denver</t>
        </is>
      </c>
      <c r="E401" t="inlineStr">
        <is>
          <t>agence web denver</t>
        </is>
      </c>
      <c r="F401" t="inlineStr">
        <is>
          <t>NOT AVAILABLE</t>
        </is>
      </c>
      <c r="G401" t="inlineStr">
        <is>
          <t>NOT AVAILABLE</t>
        </is>
      </c>
      <c r="H401" t="inlineStr">
        <is>
          <t>NOT AVAILABLE</t>
        </is>
      </c>
      <c r="I401" t="inlineStr">
        <is>
          <t>NOT AVAILABLE</t>
        </is>
      </c>
      <c r="J401" t="inlineStr">
        <is>
          <t>UNAVAILABLE</t>
        </is>
      </c>
      <c r="K401" s="5" t="inlineStr">
        <is>
          <t>NOT AVAILABLE (SERP not pulled)</t>
        </is>
      </c>
      <c r="L401" t="n">
        <v>3</v>
      </c>
      <c r="M401">
        <f>ROUND(IF(IF(I401="NOT AVAILABLE","",I401)="",12,IF(OR(ISNUMBER(SEARCH("Transactional",IF(I401="NOT AVAILABLE","",I401))),ISNUMBER(SEARCH("Commercial",IF(I401="NOT AVAILABLE","",I401)))),25,IF(ISNUMBER(SEARCH("Informational",IF(I401="NOT AVAILABLE","",I401))),10,IF(ISNUMBER(SEARCH("Navigational",IF(I401="NOT AVAILABLE","",I401))),0,12))))+IF(ISNUMBER(F401),MIN(30,ROUND(30*LOG10(F401+1)/4,1)),0)+IF(ISNUMBER(G401),ROUND(25*(100-G401)/100,1),12.5)+L401,0)</f>
        <v/>
      </c>
      <c r="N401" s="5" t="inlineStr">
        <is>
          <t>No data in this database - do not prioritise</t>
        </is>
      </c>
    </row>
    <row r="402">
      <c r="A402" t="inlineStr">
        <is>
          <t>United States</t>
        </is>
      </c>
      <c r="B402" t="inlineStr">
        <is>
          <t>us</t>
        </is>
      </c>
      <c r="C402" t="inlineStr">
        <is>
          <t>fr</t>
        </is>
      </c>
      <c r="D402" s="3" t="inlineStr">
        <is>
          <t>https://codesommet.com/web-development-company/denver</t>
        </is>
      </c>
      <c r="E402" t="inlineStr">
        <is>
          <t>création site web denver</t>
        </is>
      </c>
      <c r="F402" t="inlineStr">
        <is>
          <t>NOT AVAILABLE</t>
        </is>
      </c>
      <c r="G402" t="inlineStr">
        <is>
          <t>NOT AVAILABLE</t>
        </is>
      </c>
      <c r="H402" t="inlineStr">
        <is>
          <t>NOT AVAILABLE</t>
        </is>
      </c>
      <c r="I402" t="inlineStr">
        <is>
          <t>NOT AVAILABLE</t>
        </is>
      </c>
      <c r="J402" t="inlineStr">
        <is>
          <t>UNAVAILABLE</t>
        </is>
      </c>
      <c r="K402" s="5" t="inlineStr">
        <is>
          <t>NOT AVAILABLE (SERP not pulled)</t>
        </is>
      </c>
      <c r="L402" t="n">
        <v>3</v>
      </c>
      <c r="M402">
        <f>ROUND(IF(IF(I402="NOT AVAILABLE","",I402)="",12,IF(OR(ISNUMBER(SEARCH("Transactional",IF(I402="NOT AVAILABLE","",I402))),ISNUMBER(SEARCH("Commercial",IF(I402="NOT AVAILABLE","",I402)))),25,IF(ISNUMBER(SEARCH("Informational",IF(I402="NOT AVAILABLE","",I402))),10,IF(ISNUMBER(SEARCH("Navigational",IF(I402="NOT AVAILABLE","",I402))),0,12))))+IF(ISNUMBER(F402),MIN(30,ROUND(30*LOG10(F402+1)/4,1)),0)+IF(ISNUMBER(G402),ROUND(25*(100-G402)/100,1),12.5)+L402,0)</f>
        <v/>
      </c>
      <c r="N402" s="5" t="inlineStr">
        <is>
          <t>No data in this database - do not prioritise</t>
        </is>
      </c>
    </row>
    <row r="403">
      <c r="A403" t="inlineStr">
        <is>
          <t>United States</t>
        </is>
      </c>
      <c r="B403" t="inlineStr">
        <is>
          <t>us</t>
        </is>
      </c>
      <c r="C403" t="inlineStr">
        <is>
          <t>fr</t>
        </is>
      </c>
      <c r="D403" s="3" t="inlineStr">
        <is>
          <t>https://codesommet.com/web-development-company/denver</t>
        </is>
      </c>
      <c r="E403" t="inlineStr">
        <is>
          <t>développement web denver</t>
        </is>
      </c>
      <c r="F403" t="inlineStr">
        <is>
          <t>NOT AVAILABLE</t>
        </is>
      </c>
      <c r="G403" t="inlineStr">
        <is>
          <t>NOT AVAILABLE</t>
        </is>
      </c>
      <c r="H403" t="inlineStr">
        <is>
          <t>NOT AVAILABLE</t>
        </is>
      </c>
      <c r="I403" t="inlineStr">
        <is>
          <t>NOT AVAILABLE</t>
        </is>
      </c>
      <c r="J403" t="inlineStr">
        <is>
          <t>UNAVAILABLE</t>
        </is>
      </c>
      <c r="K403" s="5" t="inlineStr">
        <is>
          <t>NOT AVAILABLE (SERP not pulled)</t>
        </is>
      </c>
      <c r="L403" t="n">
        <v>3</v>
      </c>
      <c r="M403">
        <f>ROUND(IF(IF(I403="NOT AVAILABLE","",I403)="",12,IF(OR(ISNUMBER(SEARCH("Transactional",IF(I403="NOT AVAILABLE","",I403))),ISNUMBER(SEARCH("Commercial",IF(I403="NOT AVAILABLE","",I403)))),25,IF(ISNUMBER(SEARCH("Informational",IF(I403="NOT AVAILABLE","",I403))),10,IF(ISNUMBER(SEARCH("Navigational",IF(I403="NOT AVAILABLE","",I403))),0,12))))+IF(ISNUMBER(F403),MIN(30,ROUND(30*LOG10(F403+1)/4,1)),0)+IF(ISNUMBER(G403),ROUND(25*(100-G403)/100,1),12.5)+L403,0)</f>
        <v/>
      </c>
      <c r="N403" s="5" t="inlineStr">
        <is>
          <t>No data in this database - do not prioritise</t>
        </is>
      </c>
    </row>
    <row r="404">
      <c r="A404" t="inlineStr">
        <is>
          <t>United States</t>
        </is>
      </c>
      <c r="B404" t="inlineStr">
        <is>
          <t>us</t>
        </is>
      </c>
      <c r="C404" t="inlineStr">
        <is>
          <t>en</t>
        </is>
      </c>
      <c r="D404" s="3" t="inlineStr">
        <is>
          <t>https://codesommet.com/web-development-company/denver</t>
        </is>
      </c>
      <c r="E404" t="inlineStr">
        <is>
          <t>web development company denver</t>
        </is>
      </c>
      <c r="F404" t="n">
        <v>320</v>
      </c>
      <c r="G404" t="n">
        <v>31</v>
      </c>
      <c r="H404" t="n">
        <v>15.59</v>
      </c>
      <c r="I404" t="inlineStr">
        <is>
          <t>Commercial</t>
        </is>
      </c>
      <c r="J404" t="inlineStr">
        <is>
          <t>MEASURED</t>
        </is>
      </c>
      <c r="K404" s="5" t="inlineStr">
        <is>
          <t>NOT AVAILABLE (SERP not pulled)</t>
        </is>
      </c>
      <c r="L404" t="n">
        <v>3</v>
      </c>
      <c r="M404">
        <f>ROUND(IF(IF(I404="NOT AVAILABLE","",I404)="",12,IF(OR(ISNUMBER(SEARCH("Transactional",IF(I404="NOT AVAILABLE","",I404))),ISNUMBER(SEARCH("Commercial",IF(I404="NOT AVAILABLE","",I404)))),25,IF(ISNUMBER(SEARCH("Informational",IF(I404="NOT AVAILABLE","",I404))),10,IF(ISNUMBER(SEARCH("Navigational",IF(I404="NOT AVAILABLE","",I404))),0,12))))+IF(ISNUMBER(F404),MIN(30,ROUND(30*LOG10(F404+1)/4,1)),0)+IF(ISNUMBER(G404),ROUND(25*(100-G404)/100,1),12.5)+L404,0)</f>
        <v/>
      </c>
      <c r="N404" s="5" t="inlineStr">
        <is>
          <t>Local-language demand; French page cannot serve it - do not target (language mismatch)</t>
        </is>
      </c>
    </row>
    <row r="405">
      <c r="A405" t="inlineStr">
        <is>
          <t>Canada</t>
        </is>
      </c>
      <c r="B405" t="inlineStr">
        <is>
          <t>ca</t>
        </is>
      </c>
      <c r="C405" t="inlineStr">
        <is>
          <t>fr</t>
        </is>
      </c>
      <c r="D405" s="3" t="inlineStr">
        <is>
          <t>https://codesommet.com/web-development-company/toronto</t>
        </is>
      </c>
      <c r="E405" t="inlineStr">
        <is>
          <t>agence web toronto</t>
        </is>
      </c>
      <c r="F405" t="n">
        <v>50</v>
      </c>
      <c r="G405" t="n">
        <v>27</v>
      </c>
      <c r="H405" t="n">
        <v>1.89</v>
      </c>
      <c r="I405" t="inlineStr">
        <is>
          <t>Commercial</t>
        </is>
      </c>
      <c r="J405" t="inlineStr">
        <is>
          <t>MEASURED</t>
        </is>
      </c>
      <c r="K405" s="5" t="inlineStr">
        <is>
          <t>NOT AVAILABLE (SERP not pulled)</t>
        </is>
      </c>
      <c r="L405" t="n">
        <v>10</v>
      </c>
      <c r="M405">
        <f>ROUND(IF(IF(I405="NOT AVAILABLE","",I405)="",12,IF(OR(ISNUMBER(SEARCH("Transactional",IF(I405="NOT AVAILABLE","",I405))),ISNUMBER(SEARCH("Commercial",IF(I405="NOT AVAILABLE","",I405)))),25,IF(ISNUMBER(SEARCH("Informational",IF(I405="NOT AVAILABLE","",I405))),10,IF(ISNUMBER(SEARCH("Navigational",IF(I405="NOT AVAILABLE","",I405))),0,12))))+IF(ISNUMBER(F405),MIN(30,ROUND(30*LOG10(F405+1)/4,1)),0)+IF(ISNUMBER(G405),ROUND(25*(100-G405)/100,1),12.5)+L405,0)</f>
        <v/>
      </c>
      <c r="N405" s="5" t="inlineStr">
        <is>
          <t>Low volume - supporting only</t>
        </is>
      </c>
    </row>
    <row r="406">
      <c r="A406" t="inlineStr">
        <is>
          <t>Canada</t>
        </is>
      </c>
      <c r="B406" t="inlineStr">
        <is>
          <t>ca</t>
        </is>
      </c>
      <c r="C406" t="inlineStr">
        <is>
          <t>fr</t>
        </is>
      </c>
      <c r="D406" s="3" t="inlineStr">
        <is>
          <t>https://codesommet.com/web-development-company/toronto</t>
        </is>
      </c>
      <c r="E406" t="inlineStr">
        <is>
          <t>création site web toronto</t>
        </is>
      </c>
      <c r="F406" t="n">
        <v>30</v>
      </c>
      <c r="G406" t="inlineStr">
        <is>
          <t>NOT AVAILABLE</t>
        </is>
      </c>
      <c r="H406" t="n">
        <v>0</v>
      </c>
      <c r="I406" t="inlineStr">
        <is>
          <t>NOT AVAILABLE</t>
        </is>
      </c>
      <c r="J406" t="inlineStr">
        <is>
          <t>MEASURED</t>
        </is>
      </c>
      <c r="K406" s="5" t="inlineStr">
        <is>
          <t>NOT AVAILABLE (SERP not pulled)</t>
        </is>
      </c>
      <c r="L406" t="n">
        <v>10</v>
      </c>
      <c r="M406">
        <f>ROUND(IF(IF(I406="NOT AVAILABLE","",I406)="",12,IF(OR(ISNUMBER(SEARCH("Transactional",IF(I406="NOT AVAILABLE","",I406))),ISNUMBER(SEARCH("Commercial",IF(I406="NOT AVAILABLE","",I406)))),25,IF(ISNUMBER(SEARCH("Informational",IF(I406="NOT AVAILABLE","",I406))),10,IF(ISNUMBER(SEARCH("Navigational",IF(I406="NOT AVAILABLE","",I406))),0,12))))+IF(ISNUMBER(F406),MIN(30,ROUND(30*LOG10(F406+1)/4,1)),0)+IF(ISNUMBER(G406),ROUND(25*(100-G406)/100,1),12.5)+L406,0)</f>
        <v/>
      </c>
      <c r="N406" s="5" t="inlineStr">
        <is>
          <t>Low volume - supporting only</t>
        </is>
      </c>
    </row>
    <row r="407">
      <c r="A407" t="inlineStr">
        <is>
          <t>Canada</t>
        </is>
      </c>
      <c r="B407" t="inlineStr">
        <is>
          <t>ca</t>
        </is>
      </c>
      <c r="C407" t="inlineStr">
        <is>
          <t>fr</t>
        </is>
      </c>
      <c r="D407" s="3" t="inlineStr">
        <is>
          <t>https://codesommet.com/web-development-company/toronto</t>
        </is>
      </c>
      <c r="E407" t="inlineStr">
        <is>
          <t>développement web toronto</t>
        </is>
      </c>
      <c r="F407" t="inlineStr">
        <is>
          <t>NOT AVAILABLE</t>
        </is>
      </c>
      <c r="G407" t="inlineStr">
        <is>
          <t>NOT AVAILABLE</t>
        </is>
      </c>
      <c r="H407" t="inlineStr">
        <is>
          <t>NOT AVAILABLE</t>
        </is>
      </c>
      <c r="I407" t="inlineStr">
        <is>
          <t>NOT AVAILABLE</t>
        </is>
      </c>
      <c r="J407" t="inlineStr">
        <is>
          <t>UNAVAILABLE</t>
        </is>
      </c>
      <c r="K407" s="5" t="inlineStr">
        <is>
          <t>NOT AVAILABLE (SERP not pulled)</t>
        </is>
      </c>
      <c r="L407" t="n">
        <v>10</v>
      </c>
      <c r="M407">
        <f>ROUND(IF(IF(I407="NOT AVAILABLE","",I407)="",12,IF(OR(ISNUMBER(SEARCH("Transactional",IF(I407="NOT AVAILABLE","",I407))),ISNUMBER(SEARCH("Commercial",IF(I407="NOT AVAILABLE","",I407)))),25,IF(ISNUMBER(SEARCH("Informational",IF(I407="NOT AVAILABLE","",I407))),10,IF(ISNUMBER(SEARCH("Navigational",IF(I407="NOT AVAILABLE","",I407))),0,12))))+IF(ISNUMBER(F407),MIN(30,ROUND(30*LOG10(F407+1)/4,1)),0)+IF(ISNUMBER(G407),ROUND(25*(100-G407)/100,1),12.5)+L407,0)</f>
        <v/>
      </c>
      <c r="N407" s="5" t="inlineStr">
        <is>
          <t>No data in this database - do not prioritise</t>
        </is>
      </c>
    </row>
    <row r="408">
      <c r="A408" t="inlineStr">
        <is>
          <t>Canada</t>
        </is>
      </c>
      <c r="B408" t="inlineStr">
        <is>
          <t>ca</t>
        </is>
      </c>
      <c r="C408" t="inlineStr">
        <is>
          <t>en</t>
        </is>
      </c>
      <c r="D408" s="3" t="inlineStr">
        <is>
          <t>https://codesommet.com/web-development-company/toronto</t>
        </is>
      </c>
      <c r="E408" t="inlineStr">
        <is>
          <t>web development company toronto</t>
        </is>
      </c>
      <c r="F408" t="n">
        <v>1000</v>
      </c>
      <c r="G408" t="n">
        <v>33</v>
      </c>
      <c r="H408" t="n">
        <v>6.18</v>
      </c>
      <c r="I408" t="inlineStr">
        <is>
          <t>Commercial</t>
        </is>
      </c>
      <c r="J408" t="inlineStr">
        <is>
          <t>MEASURED</t>
        </is>
      </c>
      <c r="K408" s="5" t="inlineStr">
        <is>
          <t>NOT AVAILABLE (SERP not pulled)</t>
        </is>
      </c>
      <c r="L408" t="n">
        <v>10</v>
      </c>
      <c r="M408">
        <f>ROUND(IF(IF(I408="NOT AVAILABLE","",I408)="",12,IF(OR(ISNUMBER(SEARCH("Transactional",IF(I408="NOT AVAILABLE","",I408))),ISNUMBER(SEARCH("Commercial",IF(I408="NOT AVAILABLE","",I408)))),25,IF(ISNUMBER(SEARCH("Informational",IF(I408="NOT AVAILABLE","",I408))),10,IF(ISNUMBER(SEARCH("Navigational",IF(I408="NOT AVAILABLE","",I408))),0,12))))+IF(ISNUMBER(F408),MIN(30,ROUND(30*LOG10(F408+1)/4,1)),0)+IF(ISNUMBER(G408),ROUND(25*(100-G408)/100,1),12.5)+L408,0)</f>
        <v/>
      </c>
      <c r="N408" s="5" t="inlineStr">
        <is>
          <t>Local-language demand; French page cannot serve it - do not target (language mismatch)</t>
        </is>
      </c>
    </row>
    <row r="409">
      <c r="A409" t="inlineStr">
        <is>
          <t>Canada</t>
        </is>
      </c>
      <c r="B409" t="inlineStr">
        <is>
          <t>ca</t>
        </is>
      </c>
      <c r="C409" t="inlineStr">
        <is>
          <t>fr</t>
        </is>
      </c>
      <c r="D409" s="3" t="inlineStr">
        <is>
          <t>https://codesommet.com/web-development-company/vancouver</t>
        </is>
      </c>
      <c r="E409" t="inlineStr">
        <is>
          <t>agence web vancouver</t>
        </is>
      </c>
      <c r="F409" t="inlineStr">
        <is>
          <t>NOT AVAILABLE</t>
        </is>
      </c>
      <c r="G409" t="inlineStr">
        <is>
          <t>NOT AVAILABLE</t>
        </is>
      </c>
      <c r="H409" t="inlineStr">
        <is>
          <t>NOT AVAILABLE</t>
        </is>
      </c>
      <c r="I409" t="inlineStr">
        <is>
          <t>NOT AVAILABLE</t>
        </is>
      </c>
      <c r="J409" t="inlineStr">
        <is>
          <t>UNAVAILABLE</t>
        </is>
      </c>
      <c r="K409" s="5" t="inlineStr">
        <is>
          <t>NOT AVAILABLE (SERP not pulled)</t>
        </is>
      </c>
      <c r="L409" t="n">
        <v>10</v>
      </c>
      <c r="M409">
        <f>ROUND(IF(IF(I409="NOT AVAILABLE","",I409)="",12,IF(OR(ISNUMBER(SEARCH("Transactional",IF(I409="NOT AVAILABLE","",I409))),ISNUMBER(SEARCH("Commercial",IF(I409="NOT AVAILABLE","",I409)))),25,IF(ISNUMBER(SEARCH("Informational",IF(I409="NOT AVAILABLE","",I409))),10,IF(ISNUMBER(SEARCH("Navigational",IF(I409="NOT AVAILABLE","",I409))),0,12))))+IF(ISNUMBER(F409),MIN(30,ROUND(30*LOG10(F409+1)/4,1)),0)+IF(ISNUMBER(G409),ROUND(25*(100-G409)/100,1),12.5)+L409,0)</f>
        <v/>
      </c>
      <c r="N409" s="5" t="inlineStr">
        <is>
          <t>No data in this database - do not prioritise</t>
        </is>
      </c>
    </row>
    <row r="410">
      <c r="A410" t="inlineStr">
        <is>
          <t>Canada</t>
        </is>
      </c>
      <c r="B410" t="inlineStr">
        <is>
          <t>ca</t>
        </is>
      </c>
      <c r="C410" t="inlineStr">
        <is>
          <t>fr</t>
        </is>
      </c>
      <c r="D410" s="3" t="inlineStr">
        <is>
          <t>https://codesommet.com/web-development-company/vancouver</t>
        </is>
      </c>
      <c r="E410" t="inlineStr">
        <is>
          <t>création site web vancouver</t>
        </is>
      </c>
      <c r="F410" t="n">
        <v>10</v>
      </c>
      <c r="G410" t="inlineStr">
        <is>
          <t>NOT AVAILABLE</t>
        </is>
      </c>
      <c r="H410" t="n">
        <v>0</v>
      </c>
      <c r="I410" t="inlineStr">
        <is>
          <t>NOT AVAILABLE</t>
        </is>
      </c>
      <c r="J410" t="inlineStr">
        <is>
          <t>MEASURED</t>
        </is>
      </c>
      <c r="K410" s="5" t="inlineStr">
        <is>
          <t>NOT AVAILABLE (SERP not pulled)</t>
        </is>
      </c>
      <c r="L410" t="n">
        <v>10</v>
      </c>
      <c r="M410">
        <f>ROUND(IF(IF(I410="NOT AVAILABLE","",I410)="",12,IF(OR(ISNUMBER(SEARCH("Transactional",IF(I410="NOT AVAILABLE","",I410))),ISNUMBER(SEARCH("Commercial",IF(I410="NOT AVAILABLE","",I410)))),25,IF(ISNUMBER(SEARCH("Informational",IF(I410="NOT AVAILABLE","",I410))),10,IF(ISNUMBER(SEARCH("Navigational",IF(I410="NOT AVAILABLE","",I410))),0,12))))+IF(ISNUMBER(F410),MIN(30,ROUND(30*LOG10(F410+1)/4,1)),0)+IF(ISNUMBER(G410),ROUND(25*(100-G410)/100,1),12.5)+L410,0)</f>
        <v/>
      </c>
      <c r="N410" s="5" t="inlineStr">
        <is>
          <t>Low volume - supporting only</t>
        </is>
      </c>
    </row>
    <row r="411">
      <c r="A411" t="inlineStr">
        <is>
          <t>Canada</t>
        </is>
      </c>
      <c r="B411" t="inlineStr">
        <is>
          <t>ca</t>
        </is>
      </c>
      <c r="C411" t="inlineStr">
        <is>
          <t>fr</t>
        </is>
      </c>
      <c r="D411" s="3" t="inlineStr">
        <is>
          <t>https://codesommet.com/web-development-company/vancouver</t>
        </is>
      </c>
      <c r="E411" t="inlineStr">
        <is>
          <t>développement web vancouver</t>
        </is>
      </c>
      <c r="F411" t="inlineStr">
        <is>
          <t>NOT AVAILABLE</t>
        </is>
      </c>
      <c r="G411" t="inlineStr">
        <is>
          <t>NOT AVAILABLE</t>
        </is>
      </c>
      <c r="H411" t="inlineStr">
        <is>
          <t>NOT AVAILABLE</t>
        </is>
      </c>
      <c r="I411" t="inlineStr">
        <is>
          <t>NOT AVAILABLE</t>
        </is>
      </c>
      <c r="J411" t="inlineStr">
        <is>
          <t>UNAVAILABLE</t>
        </is>
      </c>
      <c r="K411" s="5" t="inlineStr">
        <is>
          <t>NOT AVAILABLE (SERP not pulled)</t>
        </is>
      </c>
      <c r="L411" t="n">
        <v>10</v>
      </c>
      <c r="M411">
        <f>ROUND(IF(IF(I411="NOT AVAILABLE","",I411)="",12,IF(OR(ISNUMBER(SEARCH("Transactional",IF(I411="NOT AVAILABLE","",I411))),ISNUMBER(SEARCH("Commercial",IF(I411="NOT AVAILABLE","",I411)))),25,IF(ISNUMBER(SEARCH("Informational",IF(I411="NOT AVAILABLE","",I411))),10,IF(ISNUMBER(SEARCH("Navigational",IF(I411="NOT AVAILABLE","",I411))),0,12))))+IF(ISNUMBER(F411),MIN(30,ROUND(30*LOG10(F411+1)/4,1)),0)+IF(ISNUMBER(G411),ROUND(25*(100-G411)/100,1),12.5)+L411,0)</f>
        <v/>
      </c>
      <c r="N411" s="5" t="inlineStr">
        <is>
          <t>No data in this database - do not prioritise</t>
        </is>
      </c>
    </row>
    <row r="412">
      <c r="A412" t="inlineStr">
        <is>
          <t>Canada</t>
        </is>
      </c>
      <c r="B412" t="inlineStr">
        <is>
          <t>ca</t>
        </is>
      </c>
      <c r="C412" t="inlineStr">
        <is>
          <t>en</t>
        </is>
      </c>
      <c r="D412" s="3" t="inlineStr">
        <is>
          <t>https://codesommet.com/web-development-company/vancouver</t>
        </is>
      </c>
      <c r="E412" t="inlineStr">
        <is>
          <t>web development company vancouver</t>
        </is>
      </c>
      <c r="F412" t="n">
        <v>260</v>
      </c>
      <c r="G412" t="n">
        <v>46</v>
      </c>
      <c r="H412" t="n">
        <v>6.03</v>
      </c>
      <c r="I412" t="inlineStr">
        <is>
          <t>Commercial</t>
        </is>
      </c>
      <c r="J412" t="inlineStr">
        <is>
          <t>MEASURED</t>
        </is>
      </c>
      <c r="K412" s="5" t="inlineStr">
        <is>
          <t>NOT AVAILABLE (SERP not pulled)</t>
        </is>
      </c>
      <c r="L412" t="n">
        <v>10</v>
      </c>
      <c r="M412">
        <f>ROUND(IF(IF(I412="NOT AVAILABLE","",I412)="",12,IF(OR(ISNUMBER(SEARCH("Transactional",IF(I412="NOT AVAILABLE","",I412))),ISNUMBER(SEARCH("Commercial",IF(I412="NOT AVAILABLE","",I412)))),25,IF(ISNUMBER(SEARCH("Informational",IF(I412="NOT AVAILABLE","",I412))),10,IF(ISNUMBER(SEARCH("Navigational",IF(I412="NOT AVAILABLE","",I412))),0,12))))+IF(ISNUMBER(F412),MIN(30,ROUND(30*LOG10(F412+1)/4,1)),0)+IF(ISNUMBER(G412),ROUND(25*(100-G412)/100,1),12.5)+L412,0)</f>
        <v/>
      </c>
      <c r="N412" s="5" t="inlineStr">
        <is>
          <t>Local-language demand; French page cannot serve it - do not target (language mismatch)</t>
        </is>
      </c>
    </row>
    <row r="413">
      <c r="A413" t="inlineStr">
        <is>
          <t>Tunisia</t>
        </is>
      </c>
      <c r="B413" t="inlineStr">
        <is>
          <t>tn</t>
        </is>
      </c>
      <c r="C413" t="inlineStr">
        <is>
          <t>fr</t>
        </is>
      </c>
      <c r="D413" s="3" t="inlineStr">
        <is>
          <t>https://codesommet.com/web-development-company/tunis</t>
        </is>
      </c>
      <c r="E413" t="inlineStr">
        <is>
          <t>agence web tunis</t>
        </is>
      </c>
      <c r="F413" t="n">
        <v>20</v>
      </c>
      <c r="G413" t="inlineStr">
        <is>
          <t>NOT AVAILABLE</t>
        </is>
      </c>
      <c r="H413" t="n">
        <v>0</v>
      </c>
      <c r="I413" t="inlineStr">
        <is>
          <t>NOT AVAILABLE</t>
        </is>
      </c>
      <c r="J413" t="inlineStr">
        <is>
          <t>MEASURED</t>
        </is>
      </c>
      <c r="K413" s="5" t="inlineStr">
        <is>
          <t>NOT AVAILABLE (SERP not pulled)</t>
        </is>
      </c>
      <c r="L413" t="n">
        <v>6</v>
      </c>
      <c r="M413">
        <f>ROUND(IF(IF(I413="NOT AVAILABLE","",I413)="",12,IF(OR(ISNUMBER(SEARCH("Transactional",IF(I413="NOT AVAILABLE","",I413))),ISNUMBER(SEARCH("Commercial",IF(I413="NOT AVAILABLE","",I413)))),25,IF(ISNUMBER(SEARCH("Informational",IF(I413="NOT AVAILABLE","",I413))),10,IF(ISNUMBER(SEARCH("Navigational",IF(I413="NOT AVAILABLE","",I413))),0,12))))+IF(ISNUMBER(F413),MIN(30,ROUND(30*LOG10(F413+1)/4,1)),0)+IF(ISNUMBER(G413),ROUND(25*(100-G413)/100,1),12.5)+L413,0)</f>
        <v/>
      </c>
      <c r="N413" s="5" t="inlineStr">
        <is>
          <t>Low volume - supporting only</t>
        </is>
      </c>
    </row>
    <row r="414">
      <c r="A414" t="inlineStr">
        <is>
          <t>Tunisia</t>
        </is>
      </c>
      <c r="B414" t="inlineStr">
        <is>
          <t>tn</t>
        </is>
      </c>
      <c r="C414" t="inlineStr">
        <is>
          <t>fr</t>
        </is>
      </c>
      <c r="D414" s="3" t="inlineStr">
        <is>
          <t>https://codesommet.com/web-development-company/tunis</t>
        </is>
      </c>
      <c r="E414" t="inlineStr">
        <is>
          <t>création site web tunis</t>
        </is>
      </c>
      <c r="F414" t="n">
        <v>20</v>
      </c>
      <c r="G414" t="inlineStr">
        <is>
          <t>NOT AVAILABLE</t>
        </is>
      </c>
      <c r="H414" t="n">
        <v>0</v>
      </c>
      <c r="I414" t="inlineStr">
        <is>
          <t>NOT AVAILABLE</t>
        </is>
      </c>
      <c r="J414" t="inlineStr">
        <is>
          <t>MEASURED</t>
        </is>
      </c>
      <c r="K414" s="5" t="inlineStr">
        <is>
          <t>NOT AVAILABLE (SERP not pulled)</t>
        </is>
      </c>
      <c r="L414" t="n">
        <v>6</v>
      </c>
      <c r="M414">
        <f>ROUND(IF(IF(I414="NOT AVAILABLE","",I414)="",12,IF(OR(ISNUMBER(SEARCH("Transactional",IF(I414="NOT AVAILABLE","",I414))),ISNUMBER(SEARCH("Commercial",IF(I414="NOT AVAILABLE","",I414)))),25,IF(ISNUMBER(SEARCH("Informational",IF(I414="NOT AVAILABLE","",I414))),10,IF(ISNUMBER(SEARCH("Navigational",IF(I414="NOT AVAILABLE","",I414))),0,12))))+IF(ISNUMBER(F414),MIN(30,ROUND(30*LOG10(F414+1)/4,1)),0)+IF(ISNUMBER(G414),ROUND(25*(100-G414)/100,1),12.5)+L414,0)</f>
        <v/>
      </c>
      <c r="N414" s="5" t="inlineStr">
        <is>
          <t>Low volume - supporting only</t>
        </is>
      </c>
    </row>
    <row r="415">
      <c r="A415" t="inlineStr">
        <is>
          <t>Tunisia</t>
        </is>
      </c>
      <c r="B415" t="inlineStr">
        <is>
          <t>tn</t>
        </is>
      </c>
      <c r="C415" t="inlineStr">
        <is>
          <t>fr</t>
        </is>
      </c>
      <c r="D415" s="3" t="inlineStr">
        <is>
          <t>https://codesommet.com/web-development-company/tunis</t>
        </is>
      </c>
      <c r="E415" t="inlineStr">
        <is>
          <t>développement web tunis</t>
        </is>
      </c>
      <c r="F415" t="n">
        <v>20</v>
      </c>
      <c r="G415" t="inlineStr">
        <is>
          <t>NOT AVAILABLE</t>
        </is>
      </c>
      <c r="H415" t="n">
        <v>0</v>
      </c>
      <c r="I415" t="inlineStr">
        <is>
          <t>NOT AVAILABLE</t>
        </is>
      </c>
      <c r="J415" t="inlineStr">
        <is>
          <t>MEASURED</t>
        </is>
      </c>
      <c r="K415" s="5" t="inlineStr">
        <is>
          <t>NOT AVAILABLE (SERP not pulled)</t>
        </is>
      </c>
      <c r="L415" t="n">
        <v>6</v>
      </c>
      <c r="M415">
        <f>ROUND(IF(IF(I415="NOT AVAILABLE","",I415)="",12,IF(OR(ISNUMBER(SEARCH("Transactional",IF(I415="NOT AVAILABLE","",I415))),ISNUMBER(SEARCH("Commercial",IF(I415="NOT AVAILABLE","",I415)))),25,IF(ISNUMBER(SEARCH("Informational",IF(I415="NOT AVAILABLE","",I415))),10,IF(ISNUMBER(SEARCH("Navigational",IF(I415="NOT AVAILABLE","",I415))),0,12))))+IF(ISNUMBER(F415),MIN(30,ROUND(30*LOG10(F415+1)/4,1)),0)+IF(ISNUMBER(G415),ROUND(25*(100-G415)/100,1),12.5)+L415,0)</f>
        <v/>
      </c>
      <c r="N415" s="5" t="inlineStr">
        <is>
          <t>Low volume - supporting only</t>
        </is>
      </c>
    </row>
    <row r="416">
      <c r="A416" t="inlineStr">
        <is>
          <t>Egypt</t>
        </is>
      </c>
      <c r="B416" t="inlineStr">
        <is>
          <t>eg</t>
        </is>
      </c>
      <c r="C416" t="inlineStr">
        <is>
          <t>fr</t>
        </is>
      </c>
      <c r="D416" s="3" t="inlineStr">
        <is>
          <t>https://codesommet.com/web-development-company/cairo</t>
        </is>
      </c>
      <c r="E416" t="inlineStr">
        <is>
          <t>agence web le caire</t>
        </is>
      </c>
      <c r="F416" t="inlineStr">
        <is>
          <t>NOT AVAILABLE</t>
        </is>
      </c>
      <c r="G416" t="inlineStr">
        <is>
          <t>NOT AVAILABLE</t>
        </is>
      </c>
      <c r="H416" t="inlineStr">
        <is>
          <t>NOT AVAILABLE</t>
        </is>
      </c>
      <c r="I416" t="inlineStr">
        <is>
          <t>NOT AVAILABLE</t>
        </is>
      </c>
      <c r="J416" t="inlineStr">
        <is>
          <t>UNAVAILABLE</t>
        </is>
      </c>
      <c r="K416" s="5" t="inlineStr">
        <is>
          <t>NOT AVAILABLE (SERP not pulled)</t>
        </is>
      </c>
      <c r="L416" t="n">
        <v>3</v>
      </c>
      <c r="M416">
        <f>ROUND(IF(IF(I416="NOT AVAILABLE","",I416)="",12,IF(OR(ISNUMBER(SEARCH("Transactional",IF(I416="NOT AVAILABLE","",I416))),ISNUMBER(SEARCH("Commercial",IF(I416="NOT AVAILABLE","",I416)))),25,IF(ISNUMBER(SEARCH("Informational",IF(I416="NOT AVAILABLE","",I416))),10,IF(ISNUMBER(SEARCH("Navigational",IF(I416="NOT AVAILABLE","",I416))),0,12))))+IF(ISNUMBER(F416),MIN(30,ROUND(30*LOG10(F416+1)/4,1)),0)+IF(ISNUMBER(G416),ROUND(25*(100-G416)/100,1),12.5)+L416,0)</f>
        <v/>
      </c>
      <c r="N416" s="5" t="inlineStr">
        <is>
          <t>No data in this database - do not prioritise</t>
        </is>
      </c>
    </row>
    <row r="417">
      <c r="A417" t="inlineStr">
        <is>
          <t>Egypt</t>
        </is>
      </c>
      <c r="B417" t="inlineStr">
        <is>
          <t>eg</t>
        </is>
      </c>
      <c r="C417" t="inlineStr">
        <is>
          <t>fr</t>
        </is>
      </c>
      <c r="D417" s="3" t="inlineStr">
        <is>
          <t>https://codesommet.com/web-development-company/cairo</t>
        </is>
      </c>
      <c r="E417" t="inlineStr">
        <is>
          <t>création site web le caire</t>
        </is>
      </c>
      <c r="F417" t="inlineStr">
        <is>
          <t>NOT AVAILABLE</t>
        </is>
      </c>
      <c r="G417" t="inlineStr">
        <is>
          <t>NOT AVAILABLE</t>
        </is>
      </c>
      <c r="H417" t="inlineStr">
        <is>
          <t>NOT AVAILABLE</t>
        </is>
      </c>
      <c r="I417" t="inlineStr">
        <is>
          <t>NOT AVAILABLE</t>
        </is>
      </c>
      <c r="J417" t="inlineStr">
        <is>
          <t>UNAVAILABLE</t>
        </is>
      </c>
      <c r="K417" s="5" t="inlineStr">
        <is>
          <t>NOT AVAILABLE (SERP not pulled)</t>
        </is>
      </c>
      <c r="L417" t="n">
        <v>3</v>
      </c>
      <c r="M417">
        <f>ROUND(IF(IF(I417="NOT AVAILABLE","",I417)="",12,IF(OR(ISNUMBER(SEARCH("Transactional",IF(I417="NOT AVAILABLE","",I417))),ISNUMBER(SEARCH("Commercial",IF(I417="NOT AVAILABLE","",I417)))),25,IF(ISNUMBER(SEARCH("Informational",IF(I417="NOT AVAILABLE","",I417))),10,IF(ISNUMBER(SEARCH("Navigational",IF(I417="NOT AVAILABLE","",I417))),0,12))))+IF(ISNUMBER(F417),MIN(30,ROUND(30*LOG10(F417+1)/4,1)),0)+IF(ISNUMBER(G417),ROUND(25*(100-G417)/100,1),12.5)+L417,0)</f>
        <v/>
      </c>
      <c r="N417" s="5" t="inlineStr">
        <is>
          <t>No data in this database - do not prioritise</t>
        </is>
      </c>
    </row>
    <row r="418">
      <c r="A418" t="inlineStr">
        <is>
          <t>Egypt</t>
        </is>
      </c>
      <c r="B418" t="inlineStr">
        <is>
          <t>eg</t>
        </is>
      </c>
      <c r="C418" t="inlineStr">
        <is>
          <t>fr</t>
        </is>
      </c>
      <c r="D418" s="3" t="inlineStr">
        <is>
          <t>https://codesommet.com/web-development-company/cairo</t>
        </is>
      </c>
      <c r="E418" t="inlineStr">
        <is>
          <t>développement web le caire</t>
        </is>
      </c>
      <c r="F418" t="inlineStr">
        <is>
          <t>NOT AVAILABLE</t>
        </is>
      </c>
      <c r="G418" t="inlineStr">
        <is>
          <t>NOT AVAILABLE</t>
        </is>
      </c>
      <c r="H418" t="inlineStr">
        <is>
          <t>NOT AVAILABLE</t>
        </is>
      </c>
      <c r="I418" t="inlineStr">
        <is>
          <t>NOT AVAILABLE</t>
        </is>
      </c>
      <c r="J418" t="inlineStr">
        <is>
          <t>UNAVAILABLE</t>
        </is>
      </c>
      <c r="K418" s="5" t="inlineStr">
        <is>
          <t>NOT AVAILABLE (SERP not pulled)</t>
        </is>
      </c>
      <c r="L418" t="n">
        <v>3</v>
      </c>
      <c r="M418">
        <f>ROUND(IF(IF(I418="NOT AVAILABLE","",I418)="",12,IF(OR(ISNUMBER(SEARCH("Transactional",IF(I418="NOT AVAILABLE","",I418))),ISNUMBER(SEARCH("Commercial",IF(I418="NOT AVAILABLE","",I418)))),25,IF(ISNUMBER(SEARCH("Informational",IF(I418="NOT AVAILABLE","",I418))),10,IF(ISNUMBER(SEARCH("Navigational",IF(I418="NOT AVAILABLE","",I418))),0,12))))+IF(ISNUMBER(F418),MIN(30,ROUND(30*LOG10(F418+1)/4,1)),0)+IF(ISNUMBER(G418),ROUND(25*(100-G418)/100,1),12.5)+L418,0)</f>
        <v/>
      </c>
      <c r="N418" s="5" t="inlineStr">
        <is>
          <t>No data in this database - do not prioritise</t>
        </is>
      </c>
    </row>
    <row r="419">
      <c r="A419" t="inlineStr">
        <is>
          <t>Egypt</t>
        </is>
      </c>
      <c r="B419" t="inlineStr">
        <is>
          <t>eg</t>
        </is>
      </c>
      <c r="C419" t="inlineStr">
        <is>
          <t>en</t>
        </is>
      </c>
      <c r="D419" s="3" t="inlineStr">
        <is>
          <t>https://codesommet.com/web-development-company/cairo</t>
        </is>
      </c>
      <c r="E419" t="inlineStr">
        <is>
          <t>web development company cairo</t>
        </is>
      </c>
      <c r="F419" t="n">
        <v>0</v>
      </c>
      <c r="G419" t="inlineStr">
        <is>
          <t>NOT AVAILABLE</t>
        </is>
      </c>
      <c r="H419" t="n">
        <v>0</v>
      </c>
      <c r="I419" t="inlineStr">
        <is>
          <t>NOT AVAILABLE</t>
        </is>
      </c>
      <c r="J419" t="inlineStr">
        <is>
          <t>MEASURED</t>
        </is>
      </c>
      <c r="K419" s="5" t="inlineStr">
        <is>
          <t>NOT AVAILABLE (SERP not pulled)</t>
        </is>
      </c>
      <c r="L419" t="n">
        <v>3</v>
      </c>
      <c r="M419">
        <f>ROUND(IF(IF(I419="NOT AVAILABLE","",I419)="",12,IF(OR(ISNUMBER(SEARCH("Transactional",IF(I419="NOT AVAILABLE","",I419))),ISNUMBER(SEARCH("Commercial",IF(I419="NOT AVAILABLE","",I419)))),25,IF(ISNUMBER(SEARCH("Informational",IF(I419="NOT AVAILABLE","",I419))),10,IF(ISNUMBER(SEARCH("Navigational",IF(I419="NOT AVAILABLE","",I419))),0,12))))+IF(ISNUMBER(F419),MIN(30,ROUND(30*LOG10(F419+1)/4,1)),0)+IF(ISNUMBER(G419),ROUND(25*(100-G419)/100,1),12.5)+L419,0)</f>
        <v/>
      </c>
      <c r="N419" s="5" t="inlineStr">
        <is>
          <t>Local-language demand; French page cannot serve it - do not target (language mismatch)</t>
        </is>
      </c>
    </row>
    <row r="420">
      <c r="A420" t="inlineStr">
        <is>
          <t>Nigeria</t>
        </is>
      </c>
      <c r="B420" t="inlineStr">
        <is>
          <t>ng</t>
        </is>
      </c>
      <c r="C420" t="inlineStr">
        <is>
          <t>fr</t>
        </is>
      </c>
      <c r="D420" s="3" t="inlineStr">
        <is>
          <t>https://codesommet.com/web-development-company/lagos</t>
        </is>
      </c>
      <c r="E420" t="inlineStr">
        <is>
          <t>agence web lagos</t>
        </is>
      </c>
      <c r="F420" t="inlineStr">
        <is>
          <t>NOT AVAILABLE</t>
        </is>
      </c>
      <c r="G420" t="inlineStr">
        <is>
          <t>NOT AVAILABLE</t>
        </is>
      </c>
      <c r="H420" t="inlineStr">
        <is>
          <t>NOT AVAILABLE</t>
        </is>
      </c>
      <c r="I420" t="inlineStr">
        <is>
          <t>NOT AVAILABLE</t>
        </is>
      </c>
      <c r="J420" t="inlineStr">
        <is>
          <t>UNAVAILABLE</t>
        </is>
      </c>
      <c r="K420" s="5" t="inlineStr">
        <is>
          <t>NOT AVAILABLE (SERP not pulled)</t>
        </is>
      </c>
      <c r="L420" t="n">
        <v>3</v>
      </c>
      <c r="M420">
        <f>ROUND(IF(IF(I420="NOT AVAILABLE","",I420)="",12,IF(OR(ISNUMBER(SEARCH("Transactional",IF(I420="NOT AVAILABLE","",I420))),ISNUMBER(SEARCH("Commercial",IF(I420="NOT AVAILABLE","",I420)))),25,IF(ISNUMBER(SEARCH("Informational",IF(I420="NOT AVAILABLE","",I420))),10,IF(ISNUMBER(SEARCH("Navigational",IF(I420="NOT AVAILABLE","",I420))),0,12))))+IF(ISNUMBER(F420),MIN(30,ROUND(30*LOG10(F420+1)/4,1)),0)+IF(ISNUMBER(G420),ROUND(25*(100-G420)/100,1),12.5)+L420,0)</f>
        <v/>
      </c>
      <c r="N420" s="5" t="inlineStr">
        <is>
          <t>No data in this database - do not prioritise</t>
        </is>
      </c>
    </row>
    <row r="421">
      <c r="A421" t="inlineStr">
        <is>
          <t>Nigeria</t>
        </is>
      </c>
      <c r="B421" t="inlineStr">
        <is>
          <t>ng</t>
        </is>
      </c>
      <c r="C421" t="inlineStr">
        <is>
          <t>fr</t>
        </is>
      </c>
      <c r="D421" s="3" t="inlineStr">
        <is>
          <t>https://codesommet.com/web-development-company/lagos</t>
        </is>
      </c>
      <c r="E421" t="inlineStr">
        <is>
          <t>création site web lagos</t>
        </is>
      </c>
      <c r="F421" t="inlineStr">
        <is>
          <t>NOT AVAILABLE</t>
        </is>
      </c>
      <c r="G421" t="inlineStr">
        <is>
          <t>NOT AVAILABLE</t>
        </is>
      </c>
      <c r="H421" t="inlineStr">
        <is>
          <t>NOT AVAILABLE</t>
        </is>
      </c>
      <c r="I421" t="inlineStr">
        <is>
          <t>NOT AVAILABLE</t>
        </is>
      </c>
      <c r="J421" t="inlineStr">
        <is>
          <t>UNAVAILABLE</t>
        </is>
      </c>
      <c r="K421" s="5" t="inlineStr">
        <is>
          <t>NOT AVAILABLE (SERP not pulled)</t>
        </is>
      </c>
      <c r="L421" t="n">
        <v>3</v>
      </c>
      <c r="M421">
        <f>ROUND(IF(IF(I421="NOT AVAILABLE","",I421)="",12,IF(OR(ISNUMBER(SEARCH("Transactional",IF(I421="NOT AVAILABLE","",I421))),ISNUMBER(SEARCH("Commercial",IF(I421="NOT AVAILABLE","",I421)))),25,IF(ISNUMBER(SEARCH("Informational",IF(I421="NOT AVAILABLE","",I421))),10,IF(ISNUMBER(SEARCH("Navigational",IF(I421="NOT AVAILABLE","",I421))),0,12))))+IF(ISNUMBER(F421),MIN(30,ROUND(30*LOG10(F421+1)/4,1)),0)+IF(ISNUMBER(G421),ROUND(25*(100-G421)/100,1),12.5)+L421,0)</f>
        <v/>
      </c>
      <c r="N421" s="5" t="inlineStr">
        <is>
          <t>No data in this database - do not prioritise</t>
        </is>
      </c>
    </row>
    <row r="422">
      <c r="A422" t="inlineStr">
        <is>
          <t>Nigeria</t>
        </is>
      </c>
      <c r="B422" t="inlineStr">
        <is>
          <t>ng</t>
        </is>
      </c>
      <c r="C422" t="inlineStr">
        <is>
          <t>fr</t>
        </is>
      </c>
      <c r="D422" s="3" t="inlineStr">
        <is>
          <t>https://codesommet.com/web-development-company/lagos</t>
        </is>
      </c>
      <c r="E422" t="inlineStr">
        <is>
          <t>développement web lagos</t>
        </is>
      </c>
      <c r="F422" t="inlineStr">
        <is>
          <t>NOT AVAILABLE</t>
        </is>
      </c>
      <c r="G422" t="inlineStr">
        <is>
          <t>NOT AVAILABLE</t>
        </is>
      </c>
      <c r="H422" t="inlineStr">
        <is>
          <t>NOT AVAILABLE</t>
        </is>
      </c>
      <c r="I422" t="inlineStr">
        <is>
          <t>NOT AVAILABLE</t>
        </is>
      </c>
      <c r="J422" t="inlineStr">
        <is>
          <t>UNAVAILABLE</t>
        </is>
      </c>
      <c r="K422" s="5" t="inlineStr">
        <is>
          <t>NOT AVAILABLE (SERP not pulled)</t>
        </is>
      </c>
      <c r="L422" t="n">
        <v>3</v>
      </c>
      <c r="M422">
        <f>ROUND(IF(IF(I422="NOT AVAILABLE","",I422)="",12,IF(OR(ISNUMBER(SEARCH("Transactional",IF(I422="NOT AVAILABLE","",I422))),ISNUMBER(SEARCH("Commercial",IF(I422="NOT AVAILABLE","",I422)))),25,IF(ISNUMBER(SEARCH("Informational",IF(I422="NOT AVAILABLE","",I422))),10,IF(ISNUMBER(SEARCH("Navigational",IF(I422="NOT AVAILABLE","",I422))),0,12))))+IF(ISNUMBER(F422),MIN(30,ROUND(30*LOG10(F422+1)/4,1)),0)+IF(ISNUMBER(G422),ROUND(25*(100-G422)/100,1),12.5)+L422,0)</f>
        <v/>
      </c>
      <c r="N422" s="5" t="inlineStr">
        <is>
          <t>No data in this database - do not prioritise</t>
        </is>
      </c>
    </row>
    <row r="423">
      <c r="A423" t="inlineStr">
        <is>
          <t>Nigeria</t>
        </is>
      </c>
      <c r="B423" t="inlineStr">
        <is>
          <t>ng</t>
        </is>
      </c>
      <c r="C423" t="inlineStr">
        <is>
          <t>en</t>
        </is>
      </c>
      <c r="D423" s="3" t="inlineStr">
        <is>
          <t>https://codesommet.com/web-development-company/lagos</t>
        </is>
      </c>
      <c r="E423" t="inlineStr">
        <is>
          <t>web development company lagos</t>
        </is>
      </c>
      <c r="F423" t="inlineStr">
        <is>
          <t>NOT AVAILABLE</t>
        </is>
      </c>
      <c r="G423" t="inlineStr">
        <is>
          <t>NOT AVAILABLE</t>
        </is>
      </c>
      <c r="H423" t="inlineStr">
        <is>
          <t>NOT AVAILABLE</t>
        </is>
      </c>
      <c r="I423" t="inlineStr">
        <is>
          <t>NOT AVAILABLE</t>
        </is>
      </c>
      <c r="J423" t="inlineStr">
        <is>
          <t>UNAVAILABLE</t>
        </is>
      </c>
      <c r="K423" s="5" t="inlineStr">
        <is>
          <t>NOT AVAILABLE (SERP not pulled)</t>
        </is>
      </c>
      <c r="L423" t="n">
        <v>3</v>
      </c>
      <c r="M423">
        <f>ROUND(IF(IF(I423="NOT AVAILABLE","",I423)="",12,IF(OR(ISNUMBER(SEARCH("Transactional",IF(I423="NOT AVAILABLE","",I423))),ISNUMBER(SEARCH("Commercial",IF(I423="NOT AVAILABLE","",I423)))),25,IF(ISNUMBER(SEARCH("Informational",IF(I423="NOT AVAILABLE","",I423))),10,IF(ISNUMBER(SEARCH("Navigational",IF(I423="NOT AVAILABLE","",I423))),0,12))))+IF(ISNUMBER(F423),MIN(30,ROUND(30*LOG10(F423+1)/4,1)),0)+IF(ISNUMBER(G423),ROUND(25*(100-G423)/100,1),12.5)+L423,0)</f>
        <v/>
      </c>
      <c r="N423" s="5" t="inlineStr">
        <is>
          <t>Local-language demand; French page cannot serve it - do not target (language mismatch)</t>
        </is>
      </c>
    </row>
  </sheetData>
  <autoFilter ref="A2:N423"/>
  <conditionalFormatting sqref="A3:N423">
    <cfRule type="expression" priority="1" dxfId="2">
      <formula>$J3="MEASURED"</formula>
    </cfRule>
    <cfRule type="expression" priority="2" dxfId="3">
      <formula>$J3="ESTIMATED"</formula>
    </cfRule>
    <cfRule type="expression" priority="3" dxfId="4">
      <formula>$J3="SUGGESTED"</formula>
    </cfRule>
    <cfRule type="expression" priority="4" dxfId="5">
      <formula>$J3="UNAVAILABLE"</formula>
    </cfRule>
  </conditionalFormatting>
  <conditionalFormatting sqref="G3:G423">
    <cfRule type="colorScale" priority="5">
      <colorScale>
        <cfvo type="num" val="0"/>
        <cfvo type="num" val="50"/>
        <cfvo type="num" val="100"/>
        <color rgb="0063BE7B"/>
        <color rgb="00FFEB84"/>
        <color rgb="00F8696B"/>
      </colorScale>
    </cfRule>
  </conditionalFormatting>
  <conditionalFormatting sqref="M3:M423">
    <cfRule type="dataBar" priority="6">
      <dataBar>
        <cfvo type="num" val="0"/>
        <cfvo type="num" val="100"/>
        <color rgb="005B9BD5"/>
      </dataBar>
    </cfRule>
  </conditionalFormatting>
  <hyperlinks>
    <hyperlink xmlns:r="http://schemas.openxmlformats.org/officeDocument/2006/relationships" ref="A1"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6"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70" r:id="rId65"/>
    <hyperlink xmlns:r="http://schemas.openxmlformats.org/officeDocument/2006/relationships" ref="D73" r:id="rId66"/>
    <hyperlink xmlns:r="http://schemas.openxmlformats.org/officeDocument/2006/relationships" ref="D74" r:id="rId67"/>
    <hyperlink xmlns:r="http://schemas.openxmlformats.org/officeDocument/2006/relationships" ref="D75" r:id="rId68"/>
    <hyperlink xmlns:r="http://schemas.openxmlformats.org/officeDocument/2006/relationships" ref="D76" r:id="rId69"/>
    <hyperlink xmlns:r="http://schemas.openxmlformats.org/officeDocument/2006/relationships" ref="D77" r:id="rId70"/>
    <hyperlink xmlns:r="http://schemas.openxmlformats.org/officeDocument/2006/relationships" ref="D78" r:id="rId71"/>
    <hyperlink xmlns:r="http://schemas.openxmlformats.org/officeDocument/2006/relationships" ref="D79" r:id="rId72"/>
    <hyperlink xmlns:r="http://schemas.openxmlformats.org/officeDocument/2006/relationships" ref="D80" r:id="rId73"/>
    <hyperlink xmlns:r="http://schemas.openxmlformats.org/officeDocument/2006/relationships" ref="D81" r:id="rId74"/>
    <hyperlink xmlns:r="http://schemas.openxmlformats.org/officeDocument/2006/relationships" ref="D82" r:id="rId75"/>
    <hyperlink xmlns:r="http://schemas.openxmlformats.org/officeDocument/2006/relationships" ref="D83" r:id="rId76"/>
    <hyperlink xmlns:r="http://schemas.openxmlformats.org/officeDocument/2006/relationships" ref="D84" r:id="rId77"/>
    <hyperlink xmlns:r="http://schemas.openxmlformats.org/officeDocument/2006/relationships" ref="D85" r:id="rId78"/>
    <hyperlink xmlns:r="http://schemas.openxmlformats.org/officeDocument/2006/relationships" ref="D86" r:id="rId79"/>
    <hyperlink xmlns:r="http://schemas.openxmlformats.org/officeDocument/2006/relationships" ref="D87" r:id="rId80"/>
    <hyperlink xmlns:r="http://schemas.openxmlformats.org/officeDocument/2006/relationships" ref="D88" r:id="rId81"/>
    <hyperlink xmlns:r="http://schemas.openxmlformats.org/officeDocument/2006/relationships" ref="D89" r:id="rId82"/>
    <hyperlink xmlns:r="http://schemas.openxmlformats.org/officeDocument/2006/relationships" ref="D90" r:id="rId83"/>
    <hyperlink xmlns:r="http://schemas.openxmlformats.org/officeDocument/2006/relationships" ref="D91" r:id="rId84"/>
    <hyperlink xmlns:r="http://schemas.openxmlformats.org/officeDocument/2006/relationships" ref="D92" r:id="rId85"/>
    <hyperlink xmlns:r="http://schemas.openxmlformats.org/officeDocument/2006/relationships" ref="D93" r:id="rId86"/>
    <hyperlink xmlns:r="http://schemas.openxmlformats.org/officeDocument/2006/relationships" ref="D94" r:id="rId87"/>
    <hyperlink xmlns:r="http://schemas.openxmlformats.org/officeDocument/2006/relationships" ref="D95" r:id="rId88"/>
    <hyperlink xmlns:r="http://schemas.openxmlformats.org/officeDocument/2006/relationships" ref="D96" r:id="rId89"/>
    <hyperlink xmlns:r="http://schemas.openxmlformats.org/officeDocument/2006/relationships" ref="D97" r:id="rId90"/>
    <hyperlink xmlns:r="http://schemas.openxmlformats.org/officeDocument/2006/relationships" ref="D98" r:id="rId91"/>
    <hyperlink xmlns:r="http://schemas.openxmlformats.org/officeDocument/2006/relationships" ref="D99" r:id="rId92"/>
    <hyperlink xmlns:r="http://schemas.openxmlformats.org/officeDocument/2006/relationships" ref="D100" r:id="rId93"/>
    <hyperlink xmlns:r="http://schemas.openxmlformats.org/officeDocument/2006/relationships" ref="D101" r:id="rId94"/>
    <hyperlink xmlns:r="http://schemas.openxmlformats.org/officeDocument/2006/relationships" ref="D102" r:id="rId95"/>
    <hyperlink xmlns:r="http://schemas.openxmlformats.org/officeDocument/2006/relationships" ref="D108" r:id="rId96"/>
    <hyperlink xmlns:r="http://schemas.openxmlformats.org/officeDocument/2006/relationships" ref="D109" r:id="rId97"/>
    <hyperlink xmlns:r="http://schemas.openxmlformats.org/officeDocument/2006/relationships" ref="D110" r:id="rId98"/>
    <hyperlink xmlns:r="http://schemas.openxmlformats.org/officeDocument/2006/relationships" ref="D111" r:id="rId99"/>
    <hyperlink xmlns:r="http://schemas.openxmlformats.org/officeDocument/2006/relationships" ref="D112" r:id="rId100"/>
    <hyperlink xmlns:r="http://schemas.openxmlformats.org/officeDocument/2006/relationships" ref="D113" r:id="rId101"/>
    <hyperlink xmlns:r="http://schemas.openxmlformats.org/officeDocument/2006/relationships" ref="D114" r:id="rId102"/>
    <hyperlink xmlns:r="http://schemas.openxmlformats.org/officeDocument/2006/relationships" ref="D115" r:id="rId103"/>
    <hyperlink xmlns:r="http://schemas.openxmlformats.org/officeDocument/2006/relationships" ref="D116" r:id="rId104"/>
    <hyperlink xmlns:r="http://schemas.openxmlformats.org/officeDocument/2006/relationships" ref="D117" r:id="rId105"/>
    <hyperlink xmlns:r="http://schemas.openxmlformats.org/officeDocument/2006/relationships" ref="D118" r:id="rId106"/>
    <hyperlink xmlns:r="http://schemas.openxmlformats.org/officeDocument/2006/relationships" ref="D119" r:id="rId107"/>
    <hyperlink xmlns:r="http://schemas.openxmlformats.org/officeDocument/2006/relationships" ref="D120" r:id="rId108"/>
    <hyperlink xmlns:r="http://schemas.openxmlformats.org/officeDocument/2006/relationships" ref="D121" r:id="rId109"/>
    <hyperlink xmlns:r="http://schemas.openxmlformats.org/officeDocument/2006/relationships" ref="D122" r:id="rId110"/>
    <hyperlink xmlns:r="http://schemas.openxmlformats.org/officeDocument/2006/relationships" ref="D123" r:id="rId111"/>
    <hyperlink xmlns:r="http://schemas.openxmlformats.org/officeDocument/2006/relationships" ref="D124" r:id="rId112"/>
    <hyperlink xmlns:r="http://schemas.openxmlformats.org/officeDocument/2006/relationships" ref="D125" r:id="rId113"/>
    <hyperlink xmlns:r="http://schemas.openxmlformats.org/officeDocument/2006/relationships" ref="D126" r:id="rId114"/>
    <hyperlink xmlns:r="http://schemas.openxmlformats.org/officeDocument/2006/relationships" ref="D127" r:id="rId115"/>
    <hyperlink xmlns:r="http://schemas.openxmlformats.org/officeDocument/2006/relationships" ref="D128" r:id="rId116"/>
    <hyperlink xmlns:r="http://schemas.openxmlformats.org/officeDocument/2006/relationships" ref="D129" r:id="rId117"/>
    <hyperlink xmlns:r="http://schemas.openxmlformats.org/officeDocument/2006/relationships" ref="D130" r:id="rId118"/>
    <hyperlink xmlns:r="http://schemas.openxmlformats.org/officeDocument/2006/relationships" ref="D131" r:id="rId119"/>
    <hyperlink xmlns:r="http://schemas.openxmlformats.org/officeDocument/2006/relationships" ref="D132" r:id="rId120"/>
    <hyperlink xmlns:r="http://schemas.openxmlformats.org/officeDocument/2006/relationships" ref="D133" r:id="rId121"/>
    <hyperlink xmlns:r="http://schemas.openxmlformats.org/officeDocument/2006/relationships" ref="D134" r:id="rId122"/>
    <hyperlink xmlns:r="http://schemas.openxmlformats.org/officeDocument/2006/relationships" ref="D135" r:id="rId123"/>
    <hyperlink xmlns:r="http://schemas.openxmlformats.org/officeDocument/2006/relationships" ref="D136" r:id="rId124"/>
    <hyperlink xmlns:r="http://schemas.openxmlformats.org/officeDocument/2006/relationships" ref="D137" r:id="rId125"/>
    <hyperlink xmlns:r="http://schemas.openxmlformats.org/officeDocument/2006/relationships" ref="D143" r:id="rId126"/>
    <hyperlink xmlns:r="http://schemas.openxmlformats.org/officeDocument/2006/relationships" ref="D144" r:id="rId127"/>
    <hyperlink xmlns:r="http://schemas.openxmlformats.org/officeDocument/2006/relationships" ref="D145" r:id="rId128"/>
    <hyperlink xmlns:r="http://schemas.openxmlformats.org/officeDocument/2006/relationships" ref="D146" r:id="rId129"/>
    <hyperlink xmlns:r="http://schemas.openxmlformats.org/officeDocument/2006/relationships" ref="D147" r:id="rId130"/>
    <hyperlink xmlns:r="http://schemas.openxmlformats.org/officeDocument/2006/relationships" ref="D148" r:id="rId131"/>
    <hyperlink xmlns:r="http://schemas.openxmlformats.org/officeDocument/2006/relationships" ref="D149" r:id="rId132"/>
    <hyperlink xmlns:r="http://schemas.openxmlformats.org/officeDocument/2006/relationships" ref="D150" r:id="rId133"/>
    <hyperlink xmlns:r="http://schemas.openxmlformats.org/officeDocument/2006/relationships" ref="D151" r:id="rId134"/>
    <hyperlink xmlns:r="http://schemas.openxmlformats.org/officeDocument/2006/relationships" ref="D152" r:id="rId135"/>
    <hyperlink xmlns:r="http://schemas.openxmlformats.org/officeDocument/2006/relationships" ref="D153" r:id="rId136"/>
    <hyperlink xmlns:r="http://schemas.openxmlformats.org/officeDocument/2006/relationships" ref="D154" r:id="rId137"/>
    <hyperlink xmlns:r="http://schemas.openxmlformats.org/officeDocument/2006/relationships" ref="D155" r:id="rId138"/>
    <hyperlink xmlns:r="http://schemas.openxmlformats.org/officeDocument/2006/relationships" ref="D156" r:id="rId139"/>
    <hyperlink xmlns:r="http://schemas.openxmlformats.org/officeDocument/2006/relationships" ref="D157" r:id="rId140"/>
    <hyperlink xmlns:r="http://schemas.openxmlformats.org/officeDocument/2006/relationships" ref="D158" r:id="rId141"/>
    <hyperlink xmlns:r="http://schemas.openxmlformats.org/officeDocument/2006/relationships" ref="D159" r:id="rId142"/>
    <hyperlink xmlns:r="http://schemas.openxmlformats.org/officeDocument/2006/relationships" ref="D160" r:id="rId143"/>
    <hyperlink xmlns:r="http://schemas.openxmlformats.org/officeDocument/2006/relationships" ref="D161" r:id="rId144"/>
    <hyperlink xmlns:r="http://schemas.openxmlformats.org/officeDocument/2006/relationships" ref="D162" r:id="rId145"/>
    <hyperlink xmlns:r="http://schemas.openxmlformats.org/officeDocument/2006/relationships" ref="D163" r:id="rId146"/>
    <hyperlink xmlns:r="http://schemas.openxmlformats.org/officeDocument/2006/relationships" ref="D164" r:id="rId147"/>
    <hyperlink xmlns:r="http://schemas.openxmlformats.org/officeDocument/2006/relationships" ref="D165" r:id="rId148"/>
    <hyperlink xmlns:r="http://schemas.openxmlformats.org/officeDocument/2006/relationships" ref="D166" r:id="rId149"/>
    <hyperlink xmlns:r="http://schemas.openxmlformats.org/officeDocument/2006/relationships" ref="D167" r:id="rId150"/>
    <hyperlink xmlns:r="http://schemas.openxmlformats.org/officeDocument/2006/relationships" ref="D168" r:id="rId151"/>
    <hyperlink xmlns:r="http://schemas.openxmlformats.org/officeDocument/2006/relationships" ref="D169" r:id="rId152"/>
    <hyperlink xmlns:r="http://schemas.openxmlformats.org/officeDocument/2006/relationships" ref="D170" r:id="rId153"/>
    <hyperlink xmlns:r="http://schemas.openxmlformats.org/officeDocument/2006/relationships" ref="D171" r:id="rId154"/>
    <hyperlink xmlns:r="http://schemas.openxmlformats.org/officeDocument/2006/relationships" ref="D172" r:id="rId155"/>
    <hyperlink xmlns:r="http://schemas.openxmlformats.org/officeDocument/2006/relationships" ref="D173" r:id="rId156"/>
    <hyperlink xmlns:r="http://schemas.openxmlformats.org/officeDocument/2006/relationships" ref="D177" r:id="rId157"/>
    <hyperlink xmlns:r="http://schemas.openxmlformats.org/officeDocument/2006/relationships" ref="D178" r:id="rId158"/>
    <hyperlink xmlns:r="http://schemas.openxmlformats.org/officeDocument/2006/relationships" ref="D179" r:id="rId159"/>
    <hyperlink xmlns:r="http://schemas.openxmlformats.org/officeDocument/2006/relationships" ref="D180" r:id="rId160"/>
    <hyperlink xmlns:r="http://schemas.openxmlformats.org/officeDocument/2006/relationships" ref="D181" r:id="rId161"/>
    <hyperlink xmlns:r="http://schemas.openxmlformats.org/officeDocument/2006/relationships" ref="D182" r:id="rId162"/>
    <hyperlink xmlns:r="http://schemas.openxmlformats.org/officeDocument/2006/relationships" ref="D183" r:id="rId163"/>
    <hyperlink xmlns:r="http://schemas.openxmlformats.org/officeDocument/2006/relationships" ref="D184" r:id="rId164"/>
    <hyperlink xmlns:r="http://schemas.openxmlformats.org/officeDocument/2006/relationships" ref="D185" r:id="rId165"/>
    <hyperlink xmlns:r="http://schemas.openxmlformats.org/officeDocument/2006/relationships" ref="D186" r:id="rId166"/>
    <hyperlink xmlns:r="http://schemas.openxmlformats.org/officeDocument/2006/relationships" ref="D187" r:id="rId167"/>
    <hyperlink xmlns:r="http://schemas.openxmlformats.org/officeDocument/2006/relationships" ref="D188" r:id="rId168"/>
    <hyperlink xmlns:r="http://schemas.openxmlformats.org/officeDocument/2006/relationships" ref="D189" r:id="rId169"/>
    <hyperlink xmlns:r="http://schemas.openxmlformats.org/officeDocument/2006/relationships" ref="D190" r:id="rId170"/>
    <hyperlink xmlns:r="http://schemas.openxmlformats.org/officeDocument/2006/relationships" ref="D191" r:id="rId171"/>
    <hyperlink xmlns:r="http://schemas.openxmlformats.org/officeDocument/2006/relationships" ref="D192" r:id="rId172"/>
    <hyperlink xmlns:r="http://schemas.openxmlformats.org/officeDocument/2006/relationships" ref="D193" r:id="rId173"/>
    <hyperlink xmlns:r="http://schemas.openxmlformats.org/officeDocument/2006/relationships" ref="D194" r:id="rId174"/>
    <hyperlink xmlns:r="http://schemas.openxmlformats.org/officeDocument/2006/relationships" ref="D195" r:id="rId175"/>
    <hyperlink xmlns:r="http://schemas.openxmlformats.org/officeDocument/2006/relationships" ref="D196" r:id="rId176"/>
    <hyperlink xmlns:r="http://schemas.openxmlformats.org/officeDocument/2006/relationships" ref="D197" r:id="rId177"/>
    <hyperlink xmlns:r="http://schemas.openxmlformats.org/officeDocument/2006/relationships" ref="D198" r:id="rId178"/>
    <hyperlink xmlns:r="http://schemas.openxmlformats.org/officeDocument/2006/relationships" ref="D199" r:id="rId179"/>
    <hyperlink xmlns:r="http://schemas.openxmlformats.org/officeDocument/2006/relationships" ref="D200" r:id="rId180"/>
    <hyperlink xmlns:r="http://schemas.openxmlformats.org/officeDocument/2006/relationships" ref="D201" r:id="rId181"/>
    <hyperlink xmlns:r="http://schemas.openxmlformats.org/officeDocument/2006/relationships" ref="D202" r:id="rId182"/>
    <hyperlink xmlns:r="http://schemas.openxmlformats.org/officeDocument/2006/relationships" ref="D203" r:id="rId183"/>
    <hyperlink xmlns:r="http://schemas.openxmlformats.org/officeDocument/2006/relationships" ref="D204" r:id="rId184"/>
    <hyperlink xmlns:r="http://schemas.openxmlformats.org/officeDocument/2006/relationships" ref="D205" r:id="rId185"/>
    <hyperlink xmlns:r="http://schemas.openxmlformats.org/officeDocument/2006/relationships" ref="D206" r:id="rId186"/>
    <hyperlink xmlns:r="http://schemas.openxmlformats.org/officeDocument/2006/relationships" ref="D209" r:id="rId187"/>
    <hyperlink xmlns:r="http://schemas.openxmlformats.org/officeDocument/2006/relationships" ref="D211" r:id="rId188"/>
    <hyperlink xmlns:r="http://schemas.openxmlformats.org/officeDocument/2006/relationships" ref="D212" r:id="rId189"/>
    <hyperlink xmlns:r="http://schemas.openxmlformats.org/officeDocument/2006/relationships" ref="D213" r:id="rId190"/>
    <hyperlink xmlns:r="http://schemas.openxmlformats.org/officeDocument/2006/relationships" ref="D214" r:id="rId191"/>
    <hyperlink xmlns:r="http://schemas.openxmlformats.org/officeDocument/2006/relationships" ref="D215" r:id="rId192"/>
    <hyperlink xmlns:r="http://schemas.openxmlformats.org/officeDocument/2006/relationships" ref="D216" r:id="rId193"/>
    <hyperlink xmlns:r="http://schemas.openxmlformats.org/officeDocument/2006/relationships" ref="D217" r:id="rId194"/>
    <hyperlink xmlns:r="http://schemas.openxmlformats.org/officeDocument/2006/relationships" ref="D218" r:id="rId195"/>
    <hyperlink xmlns:r="http://schemas.openxmlformats.org/officeDocument/2006/relationships" ref="D219" r:id="rId196"/>
    <hyperlink xmlns:r="http://schemas.openxmlformats.org/officeDocument/2006/relationships" ref="D220" r:id="rId197"/>
    <hyperlink xmlns:r="http://schemas.openxmlformats.org/officeDocument/2006/relationships" ref="D221" r:id="rId198"/>
    <hyperlink xmlns:r="http://schemas.openxmlformats.org/officeDocument/2006/relationships" ref="D222" r:id="rId199"/>
    <hyperlink xmlns:r="http://schemas.openxmlformats.org/officeDocument/2006/relationships" ref="D223" r:id="rId200"/>
    <hyperlink xmlns:r="http://schemas.openxmlformats.org/officeDocument/2006/relationships" ref="D224" r:id="rId201"/>
    <hyperlink xmlns:r="http://schemas.openxmlformats.org/officeDocument/2006/relationships" ref="D225" r:id="rId202"/>
    <hyperlink xmlns:r="http://schemas.openxmlformats.org/officeDocument/2006/relationships" ref="D226" r:id="rId203"/>
    <hyperlink xmlns:r="http://schemas.openxmlformats.org/officeDocument/2006/relationships" ref="D227" r:id="rId204"/>
    <hyperlink xmlns:r="http://schemas.openxmlformats.org/officeDocument/2006/relationships" ref="D228" r:id="rId205"/>
    <hyperlink xmlns:r="http://schemas.openxmlformats.org/officeDocument/2006/relationships" ref="D229" r:id="rId206"/>
    <hyperlink xmlns:r="http://schemas.openxmlformats.org/officeDocument/2006/relationships" ref="D230" r:id="rId207"/>
    <hyperlink xmlns:r="http://schemas.openxmlformats.org/officeDocument/2006/relationships" ref="D231" r:id="rId208"/>
    <hyperlink xmlns:r="http://schemas.openxmlformats.org/officeDocument/2006/relationships" ref="D232" r:id="rId209"/>
    <hyperlink xmlns:r="http://schemas.openxmlformats.org/officeDocument/2006/relationships" ref="D233" r:id="rId210"/>
    <hyperlink xmlns:r="http://schemas.openxmlformats.org/officeDocument/2006/relationships" ref="D234" r:id="rId211"/>
    <hyperlink xmlns:r="http://schemas.openxmlformats.org/officeDocument/2006/relationships" ref="D235" r:id="rId212"/>
    <hyperlink xmlns:r="http://schemas.openxmlformats.org/officeDocument/2006/relationships" ref="D236" r:id="rId213"/>
    <hyperlink xmlns:r="http://schemas.openxmlformats.org/officeDocument/2006/relationships" ref="D237" r:id="rId214"/>
    <hyperlink xmlns:r="http://schemas.openxmlformats.org/officeDocument/2006/relationships" ref="D238" r:id="rId215"/>
    <hyperlink xmlns:r="http://schemas.openxmlformats.org/officeDocument/2006/relationships" ref="D239" r:id="rId216"/>
    <hyperlink xmlns:r="http://schemas.openxmlformats.org/officeDocument/2006/relationships" ref="D240" r:id="rId217"/>
    <hyperlink xmlns:r="http://schemas.openxmlformats.org/officeDocument/2006/relationships" ref="D244" r:id="rId218"/>
    <hyperlink xmlns:r="http://schemas.openxmlformats.org/officeDocument/2006/relationships" ref="D245" r:id="rId219"/>
    <hyperlink xmlns:r="http://schemas.openxmlformats.org/officeDocument/2006/relationships" ref="D246" r:id="rId220"/>
    <hyperlink xmlns:r="http://schemas.openxmlformats.org/officeDocument/2006/relationships" ref="D247" r:id="rId221"/>
    <hyperlink xmlns:r="http://schemas.openxmlformats.org/officeDocument/2006/relationships" ref="D248" r:id="rId222"/>
    <hyperlink xmlns:r="http://schemas.openxmlformats.org/officeDocument/2006/relationships" ref="D249" r:id="rId223"/>
    <hyperlink xmlns:r="http://schemas.openxmlformats.org/officeDocument/2006/relationships" ref="D250" r:id="rId224"/>
    <hyperlink xmlns:r="http://schemas.openxmlformats.org/officeDocument/2006/relationships" ref="D251" r:id="rId225"/>
    <hyperlink xmlns:r="http://schemas.openxmlformats.org/officeDocument/2006/relationships" ref="D252" r:id="rId226"/>
    <hyperlink xmlns:r="http://schemas.openxmlformats.org/officeDocument/2006/relationships" ref="D253" r:id="rId227"/>
    <hyperlink xmlns:r="http://schemas.openxmlformats.org/officeDocument/2006/relationships" ref="D254" r:id="rId228"/>
    <hyperlink xmlns:r="http://schemas.openxmlformats.org/officeDocument/2006/relationships" ref="D255" r:id="rId229"/>
    <hyperlink xmlns:r="http://schemas.openxmlformats.org/officeDocument/2006/relationships" ref="D256" r:id="rId230"/>
    <hyperlink xmlns:r="http://schemas.openxmlformats.org/officeDocument/2006/relationships" ref="D257" r:id="rId231"/>
    <hyperlink xmlns:r="http://schemas.openxmlformats.org/officeDocument/2006/relationships" ref="D258" r:id="rId232"/>
    <hyperlink xmlns:r="http://schemas.openxmlformats.org/officeDocument/2006/relationships" ref="D259" r:id="rId233"/>
    <hyperlink xmlns:r="http://schemas.openxmlformats.org/officeDocument/2006/relationships" ref="D260" r:id="rId234"/>
    <hyperlink xmlns:r="http://schemas.openxmlformats.org/officeDocument/2006/relationships" ref="D261" r:id="rId235"/>
    <hyperlink xmlns:r="http://schemas.openxmlformats.org/officeDocument/2006/relationships" ref="D262" r:id="rId236"/>
    <hyperlink xmlns:r="http://schemas.openxmlformats.org/officeDocument/2006/relationships" ref="D263" r:id="rId237"/>
    <hyperlink xmlns:r="http://schemas.openxmlformats.org/officeDocument/2006/relationships" ref="D264" r:id="rId238"/>
    <hyperlink xmlns:r="http://schemas.openxmlformats.org/officeDocument/2006/relationships" ref="D265" r:id="rId239"/>
    <hyperlink xmlns:r="http://schemas.openxmlformats.org/officeDocument/2006/relationships" ref="D266" r:id="rId240"/>
    <hyperlink xmlns:r="http://schemas.openxmlformats.org/officeDocument/2006/relationships" ref="D267" r:id="rId241"/>
    <hyperlink xmlns:r="http://schemas.openxmlformats.org/officeDocument/2006/relationships" ref="D268" r:id="rId242"/>
    <hyperlink xmlns:r="http://schemas.openxmlformats.org/officeDocument/2006/relationships" ref="D269" r:id="rId243"/>
    <hyperlink xmlns:r="http://schemas.openxmlformats.org/officeDocument/2006/relationships" ref="D270" r:id="rId244"/>
    <hyperlink xmlns:r="http://schemas.openxmlformats.org/officeDocument/2006/relationships" ref="D271" r:id="rId245"/>
    <hyperlink xmlns:r="http://schemas.openxmlformats.org/officeDocument/2006/relationships" ref="D272" r:id="rId246"/>
    <hyperlink xmlns:r="http://schemas.openxmlformats.org/officeDocument/2006/relationships" ref="D273" r:id="rId247"/>
    <hyperlink xmlns:r="http://schemas.openxmlformats.org/officeDocument/2006/relationships" ref="D277" r:id="rId248"/>
    <hyperlink xmlns:r="http://schemas.openxmlformats.org/officeDocument/2006/relationships" ref="D278" r:id="rId249"/>
    <hyperlink xmlns:r="http://schemas.openxmlformats.org/officeDocument/2006/relationships" ref="D279" r:id="rId250"/>
    <hyperlink xmlns:r="http://schemas.openxmlformats.org/officeDocument/2006/relationships" ref="D280" r:id="rId251"/>
    <hyperlink xmlns:r="http://schemas.openxmlformats.org/officeDocument/2006/relationships" ref="D281" r:id="rId252"/>
    <hyperlink xmlns:r="http://schemas.openxmlformats.org/officeDocument/2006/relationships" ref="D282" r:id="rId253"/>
    <hyperlink xmlns:r="http://schemas.openxmlformats.org/officeDocument/2006/relationships" ref="D283" r:id="rId254"/>
    <hyperlink xmlns:r="http://schemas.openxmlformats.org/officeDocument/2006/relationships" ref="D284" r:id="rId255"/>
    <hyperlink xmlns:r="http://schemas.openxmlformats.org/officeDocument/2006/relationships" ref="D285" r:id="rId256"/>
    <hyperlink xmlns:r="http://schemas.openxmlformats.org/officeDocument/2006/relationships" ref="D286" r:id="rId257"/>
    <hyperlink xmlns:r="http://schemas.openxmlformats.org/officeDocument/2006/relationships" ref="D287" r:id="rId258"/>
    <hyperlink xmlns:r="http://schemas.openxmlformats.org/officeDocument/2006/relationships" ref="D288" r:id="rId259"/>
    <hyperlink xmlns:r="http://schemas.openxmlformats.org/officeDocument/2006/relationships" ref="D289" r:id="rId260"/>
    <hyperlink xmlns:r="http://schemas.openxmlformats.org/officeDocument/2006/relationships" ref="D290" r:id="rId261"/>
    <hyperlink xmlns:r="http://schemas.openxmlformats.org/officeDocument/2006/relationships" ref="D291" r:id="rId262"/>
    <hyperlink xmlns:r="http://schemas.openxmlformats.org/officeDocument/2006/relationships" ref="D292" r:id="rId263"/>
    <hyperlink xmlns:r="http://schemas.openxmlformats.org/officeDocument/2006/relationships" ref="D293" r:id="rId264"/>
    <hyperlink xmlns:r="http://schemas.openxmlformats.org/officeDocument/2006/relationships" ref="D294" r:id="rId265"/>
    <hyperlink xmlns:r="http://schemas.openxmlformats.org/officeDocument/2006/relationships" ref="D295" r:id="rId266"/>
    <hyperlink xmlns:r="http://schemas.openxmlformats.org/officeDocument/2006/relationships" ref="D296" r:id="rId267"/>
    <hyperlink xmlns:r="http://schemas.openxmlformats.org/officeDocument/2006/relationships" ref="D297" r:id="rId268"/>
    <hyperlink xmlns:r="http://schemas.openxmlformats.org/officeDocument/2006/relationships" ref="D298" r:id="rId269"/>
    <hyperlink xmlns:r="http://schemas.openxmlformats.org/officeDocument/2006/relationships" ref="D299" r:id="rId270"/>
    <hyperlink xmlns:r="http://schemas.openxmlformats.org/officeDocument/2006/relationships" ref="D300" r:id="rId271"/>
    <hyperlink xmlns:r="http://schemas.openxmlformats.org/officeDocument/2006/relationships" ref="D301" r:id="rId272"/>
    <hyperlink xmlns:r="http://schemas.openxmlformats.org/officeDocument/2006/relationships" ref="D302" r:id="rId273"/>
    <hyperlink xmlns:r="http://schemas.openxmlformats.org/officeDocument/2006/relationships" ref="D303" r:id="rId274"/>
    <hyperlink xmlns:r="http://schemas.openxmlformats.org/officeDocument/2006/relationships" ref="D304" r:id="rId275"/>
    <hyperlink xmlns:r="http://schemas.openxmlformats.org/officeDocument/2006/relationships" ref="D305" r:id="rId276"/>
    <hyperlink xmlns:r="http://schemas.openxmlformats.org/officeDocument/2006/relationships" ref="D306" r:id="rId277"/>
    <hyperlink xmlns:r="http://schemas.openxmlformats.org/officeDocument/2006/relationships" ref="D307" r:id="rId278"/>
    <hyperlink xmlns:r="http://schemas.openxmlformats.org/officeDocument/2006/relationships" ref="D308" r:id="rId279"/>
    <hyperlink xmlns:r="http://schemas.openxmlformats.org/officeDocument/2006/relationships" ref="D309" r:id="rId280"/>
    <hyperlink xmlns:r="http://schemas.openxmlformats.org/officeDocument/2006/relationships" ref="D310" r:id="rId281"/>
    <hyperlink xmlns:r="http://schemas.openxmlformats.org/officeDocument/2006/relationships" ref="D311" r:id="rId282"/>
    <hyperlink xmlns:r="http://schemas.openxmlformats.org/officeDocument/2006/relationships" ref="D312" r:id="rId283"/>
    <hyperlink xmlns:r="http://schemas.openxmlformats.org/officeDocument/2006/relationships" ref="D313" r:id="rId284"/>
    <hyperlink xmlns:r="http://schemas.openxmlformats.org/officeDocument/2006/relationships" ref="D314" r:id="rId285"/>
    <hyperlink xmlns:r="http://schemas.openxmlformats.org/officeDocument/2006/relationships" ref="D315" r:id="rId286"/>
    <hyperlink xmlns:r="http://schemas.openxmlformats.org/officeDocument/2006/relationships" ref="D316" r:id="rId287"/>
    <hyperlink xmlns:r="http://schemas.openxmlformats.org/officeDocument/2006/relationships" ref="D317" r:id="rId288"/>
    <hyperlink xmlns:r="http://schemas.openxmlformats.org/officeDocument/2006/relationships" ref="D318" r:id="rId289"/>
    <hyperlink xmlns:r="http://schemas.openxmlformats.org/officeDocument/2006/relationships" ref="D319" r:id="rId290"/>
    <hyperlink xmlns:r="http://schemas.openxmlformats.org/officeDocument/2006/relationships" ref="D320" r:id="rId291"/>
    <hyperlink xmlns:r="http://schemas.openxmlformats.org/officeDocument/2006/relationships" ref="D321" r:id="rId292"/>
    <hyperlink xmlns:r="http://schemas.openxmlformats.org/officeDocument/2006/relationships" ref="D322" r:id="rId293"/>
    <hyperlink xmlns:r="http://schemas.openxmlformats.org/officeDocument/2006/relationships" ref="D323" r:id="rId294"/>
    <hyperlink xmlns:r="http://schemas.openxmlformats.org/officeDocument/2006/relationships" ref="D324" r:id="rId295"/>
    <hyperlink xmlns:r="http://schemas.openxmlformats.org/officeDocument/2006/relationships" ref="D325" r:id="rId296"/>
    <hyperlink xmlns:r="http://schemas.openxmlformats.org/officeDocument/2006/relationships" ref="D326" r:id="rId297"/>
    <hyperlink xmlns:r="http://schemas.openxmlformats.org/officeDocument/2006/relationships" ref="D327" r:id="rId298"/>
    <hyperlink xmlns:r="http://schemas.openxmlformats.org/officeDocument/2006/relationships" ref="D328" r:id="rId299"/>
    <hyperlink xmlns:r="http://schemas.openxmlformats.org/officeDocument/2006/relationships" ref="D329" r:id="rId300"/>
    <hyperlink xmlns:r="http://schemas.openxmlformats.org/officeDocument/2006/relationships" ref="D330" r:id="rId301"/>
    <hyperlink xmlns:r="http://schemas.openxmlformats.org/officeDocument/2006/relationships" ref="D331" r:id="rId302"/>
    <hyperlink xmlns:r="http://schemas.openxmlformats.org/officeDocument/2006/relationships" ref="D332" r:id="rId303"/>
    <hyperlink xmlns:r="http://schemas.openxmlformats.org/officeDocument/2006/relationships" ref="D333" r:id="rId304"/>
    <hyperlink xmlns:r="http://schemas.openxmlformats.org/officeDocument/2006/relationships" ref="D334" r:id="rId305"/>
    <hyperlink xmlns:r="http://schemas.openxmlformats.org/officeDocument/2006/relationships" ref="D335" r:id="rId306"/>
    <hyperlink xmlns:r="http://schemas.openxmlformats.org/officeDocument/2006/relationships" ref="D336" r:id="rId307"/>
    <hyperlink xmlns:r="http://schemas.openxmlformats.org/officeDocument/2006/relationships" ref="D337" r:id="rId308"/>
    <hyperlink xmlns:r="http://schemas.openxmlformats.org/officeDocument/2006/relationships" ref="D338" r:id="rId309"/>
    <hyperlink xmlns:r="http://schemas.openxmlformats.org/officeDocument/2006/relationships" ref="D339" r:id="rId310"/>
    <hyperlink xmlns:r="http://schemas.openxmlformats.org/officeDocument/2006/relationships" ref="D340" r:id="rId311"/>
    <hyperlink xmlns:r="http://schemas.openxmlformats.org/officeDocument/2006/relationships" ref="D341" r:id="rId312"/>
    <hyperlink xmlns:r="http://schemas.openxmlformats.org/officeDocument/2006/relationships" ref="D342" r:id="rId313"/>
    <hyperlink xmlns:r="http://schemas.openxmlformats.org/officeDocument/2006/relationships" ref="D343" r:id="rId314"/>
    <hyperlink xmlns:r="http://schemas.openxmlformats.org/officeDocument/2006/relationships" ref="D344" r:id="rId315"/>
    <hyperlink xmlns:r="http://schemas.openxmlformats.org/officeDocument/2006/relationships" ref="D345" r:id="rId316"/>
    <hyperlink xmlns:r="http://schemas.openxmlformats.org/officeDocument/2006/relationships" ref="D346" r:id="rId317"/>
    <hyperlink xmlns:r="http://schemas.openxmlformats.org/officeDocument/2006/relationships" ref="D347" r:id="rId318"/>
    <hyperlink xmlns:r="http://schemas.openxmlformats.org/officeDocument/2006/relationships" ref="D348" r:id="rId319"/>
    <hyperlink xmlns:r="http://schemas.openxmlformats.org/officeDocument/2006/relationships" ref="D349" r:id="rId320"/>
    <hyperlink xmlns:r="http://schemas.openxmlformats.org/officeDocument/2006/relationships" ref="D350" r:id="rId321"/>
    <hyperlink xmlns:r="http://schemas.openxmlformats.org/officeDocument/2006/relationships" ref="D351" r:id="rId322"/>
    <hyperlink xmlns:r="http://schemas.openxmlformats.org/officeDocument/2006/relationships" ref="D352" r:id="rId323"/>
    <hyperlink xmlns:r="http://schemas.openxmlformats.org/officeDocument/2006/relationships" ref="D353" r:id="rId324"/>
    <hyperlink xmlns:r="http://schemas.openxmlformats.org/officeDocument/2006/relationships" ref="D354" r:id="rId325"/>
    <hyperlink xmlns:r="http://schemas.openxmlformats.org/officeDocument/2006/relationships" ref="D355" r:id="rId326"/>
    <hyperlink xmlns:r="http://schemas.openxmlformats.org/officeDocument/2006/relationships" ref="D356" r:id="rId327"/>
    <hyperlink xmlns:r="http://schemas.openxmlformats.org/officeDocument/2006/relationships" ref="D357" r:id="rId328"/>
    <hyperlink xmlns:r="http://schemas.openxmlformats.org/officeDocument/2006/relationships" ref="D358" r:id="rId329"/>
    <hyperlink xmlns:r="http://schemas.openxmlformats.org/officeDocument/2006/relationships" ref="D359" r:id="rId330"/>
    <hyperlink xmlns:r="http://schemas.openxmlformats.org/officeDocument/2006/relationships" ref="D360" r:id="rId331"/>
    <hyperlink xmlns:r="http://schemas.openxmlformats.org/officeDocument/2006/relationships" ref="D361" r:id="rId332"/>
    <hyperlink xmlns:r="http://schemas.openxmlformats.org/officeDocument/2006/relationships" ref="D362" r:id="rId333"/>
    <hyperlink xmlns:r="http://schemas.openxmlformats.org/officeDocument/2006/relationships" ref="D363" r:id="rId334"/>
    <hyperlink xmlns:r="http://schemas.openxmlformats.org/officeDocument/2006/relationships" ref="D364" r:id="rId335"/>
    <hyperlink xmlns:r="http://schemas.openxmlformats.org/officeDocument/2006/relationships" ref="D365" r:id="rId336"/>
    <hyperlink xmlns:r="http://schemas.openxmlformats.org/officeDocument/2006/relationships" ref="D366" r:id="rId337"/>
    <hyperlink xmlns:r="http://schemas.openxmlformats.org/officeDocument/2006/relationships" ref="D367" r:id="rId338"/>
    <hyperlink xmlns:r="http://schemas.openxmlformats.org/officeDocument/2006/relationships" ref="D368" r:id="rId339"/>
    <hyperlink xmlns:r="http://schemas.openxmlformats.org/officeDocument/2006/relationships" ref="D369" r:id="rId340"/>
    <hyperlink xmlns:r="http://schemas.openxmlformats.org/officeDocument/2006/relationships" ref="D370" r:id="rId341"/>
    <hyperlink xmlns:r="http://schemas.openxmlformats.org/officeDocument/2006/relationships" ref="D371" r:id="rId342"/>
    <hyperlink xmlns:r="http://schemas.openxmlformats.org/officeDocument/2006/relationships" ref="D372" r:id="rId343"/>
    <hyperlink xmlns:r="http://schemas.openxmlformats.org/officeDocument/2006/relationships" ref="D373" r:id="rId344"/>
    <hyperlink xmlns:r="http://schemas.openxmlformats.org/officeDocument/2006/relationships" ref="D374" r:id="rId345"/>
    <hyperlink xmlns:r="http://schemas.openxmlformats.org/officeDocument/2006/relationships" ref="D375" r:id="rId346"/>
    <hyperlink xmlns:r="http://schemas.openxmlformats.org/officeDocument/2006/relationships" ref="D376" r:id="rId347"/>
    <hyperlink xmlns:r="http://schemas.openxmlformats.org/officeDocument/2006/relationships" ref="D377" r:id="rId348"/>
    <hyperlink xmlns:r="http://schemas.openxmlformats.org/officeDocument/2006/relationships" ref="D378" r:id="rId349"/>
    <hyperlink xmlns:r="http://schemas.openxmlformats.org/officeDocument/2006/relationships" ref="D379" r:id="rId350"/>
    <hyperlink xmlns:r="http://schemas.openxmlformats.org/officeDocument/2006/relationships" ref="D380" r:id="rId351"/>
    <hyperlink xmlns:r="http://schemas.openxmlformats.org/officeDocument/2006/relationships" ref="D381" r:id="rId352"/>
    <hyperlink xmlns:r="http://schemas.openxmlformats.org/officeDocument/2006/relationships" ref="D382" r:id="rId353"/>
    <hyperlink xmlns:r="http://schemas.openxmlformats.org/officeDocument/2006/relationships" ref="D383" r:id="rId354"/>
    <hyperlink xmlns:r="http://schemas.openxmlformats.org/officeDocument/2006/relationships" ref="D384" r:id="rId355"/>
    <hyperlink xmlns:r="http://schemas.openxmlformats.org/officeDocument/2006/relationships" ref="D385" r:id="rId356"/>
    <hyperlink xmlns:r="http://schemas.openxmlformats.org/officeDocument/2006/relationships" ref="D386" r:id="rId357"/>
    <hyperlink xmlns:r="http://schemas.openxmlformats.org/officeDocument/2006/relationships" ref="D387" r:id="rId358"/>
    <hyperlink xmlns:r="http://schemas.openxmlformats.org/officeDocument/2006/relationships" ref="D388" r:id="rId359"/>
    <hyperlink xmlns:r="http://schemas.openxmlformats.org/officeDocument/2006/relationships" ref="D389" r:id="rId360"/>
    <hyperlink xmlns:r="http://schemas.openxmlformats.org/officeDocument/2006/relationships" ref="D390" r:id="rId361"/>
    <hyperlink xmlns:r="http://schemas.openxmlformats.org/officeDocument/2006/relationships" ref="D391" r:id="rId362"/>
    <hyperlink xmlns:r="http://schemas.openxmlformats.org/officeDocument/2006/relationships" ref="D392" r:id="rId363"/>
    <hyperlink xmlns:r="http://schemas.openxmlformats.org/officeDocument/2006/relationships" ref="D393" r:id="rId364"/>
    <hyperlink xmlns:r="http://schemas.openxmlformats.org/officeDocument/2006/relationships" ref="D394" r:id="rId365"/>
    <hyperlink xmlns:r="http://schemas.openxmlformats.org/officeDocument/2006/relationships" ref="D395" r:id="rId366"/>
    <hyperlink xmlns:r="http://schemas.openxmlformats.org/officeDocument/2006/relationships" ref="D396" r:id="rId367"/>
    <hyperlink xmlns:r="http://schemas.openxmlformats.org/officeDocument/2006/relationships" ref="D397" r:id="rId368"/>
    <hyperlink xmlns:r="http://schemas.openxmlformats.org/officeDocument/2006/relationships" ref="D398" r:id="rId369"/>
    <hyperlink xmlns:r="http://schemas.openxmlformats.org/officeDocument/2006/relationships" ref="D399" r:id="rId370"/>
    <hyperlink xmlns:r="http://schemas.openxmlformats.org/officeDocument/2006/relationships" ref="D400" r:id="rId371"/>
    <hyperlink xmlns:r="http://schemas.openxmlformats.org/officeDocument/2006/relationships" ref="D401" r:id="rId372"/>
    <hyperlink xmlns:r="http://schemas.openxmlformats.org/officeDocument/2006/relationships" ref="D402" r:id="rId373"/>
    <hyperlink xmlns:r="http://schemas.openxmlformats.org/officeDocument/2006/relationships" ref="D403" r:id="rId374"/>
    <hyperlink xmlns:r="http://schemas.openxmlformats.org/officeDocument/2006/relationships" ref="D404" r:id="rId375"/>
    <hyperlink xmlns:r="http://schemas.openxmlformats.org/officeDocument/2006/relationships" ref="D405" r:id="rId376"/>
    <hyperlink xmlns:r="http://schemas.openxmlformats.org/officeDocument/2006/relationships" ref="D406" r:id="rId377"/>
    <hyperlink xmlns:r="http://schemas.openxmlformats.org/officeDocument/2006/relationships" ref="D407" r:id="rId378"/>
    <hyperlink xmlns:r="http://schemas.openxmlformats.org/officeDocument/2006/relationships" ref="D408" r:id="rId379"/>
    <hyperlink xmlns:r="http://schemas.openxmlformats.org/officeDocument/2006/relationships" ref="D409" r:id="rId380"/>
    <hyperlink xmlns:r="http://schemas.openxmlformats.org/officeDocument/2006/relationships" ref="D410" r:id="rId381"/>
    <hyperlink xmlns:r="http://schemas.openxmlformats.org/officeDocument/2006/relationships" ref="D411" r:id="rId382"/>
    <hyperlink xmlns:r="http://schemas.openxmlformats.org/officeDocument/2006/relationships" ref="D412" r:id="rId383"/>
    <hyperlink xmlns:r="http://schemas.openxmlformats.org/officeDocument/2006/relationships" ref="D413" r:id="rId384"/>
    <hyperlink xmlns:r="http://schemas.openxmlformats.org/officeDocument/2006/relationships" ref="D414" r:id="rId385"/>
    <hyperlink xmlns:r="http://schemas.openxmlformats.org/officeDocument/2006/relationships" ref="D415" r:id="rId386"/>
    <hyperlink xmlns:r="http://schemas.openxmlformats.org/officeDocument/2006/relationships" ref="D416" r:id="rId387"/>
    <hyperlink xmlns:r="http://schemas.openxmlformats.org/officeDocument/2006/relationships" ref="D417" r:id="rId388"/>
    <hyperlink xmlns:r="http://schemas.openxmlformats.org/officeDocument/2006/relationships" ref="D418" r:id="rId389"/>
    <hyperlink xmlns:r="http://schemas.openxmlformats.org/officeDocument/2006/relationships" ref="D419" r:id="rId390"/>
    <hyperlink xmlns:r="http://schemas.openxmlformats.org/officeDocument/2006/relationships" ref="D420" r:id="rId391"/>
    <hyperlink xmlns:r="http://schemas.openxmlformats.org/officeDocument/2006/relationships" ref="D421" r:id="rId392"/>
    <hyperlink xmlns:r="http://schemas.openxmlformats.org/officeDocument/2006/relationships" ref="D422" r:id="rId393"/>
    <hyperlink xmlns:r="http://schemas.openxmlformats.org/officeDocument/2006/relationships" ref="D423" r:id="rId39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6" customWidth="1" min="1" max="1"/>
    <col width="46" customWidth="1" min="2" max="2"/>
    <col width="30" customWidth="1" min="3" max="3"/>
    <col width="26" customWidth="1" min="4" max="4"/>
    <col width="56" customWidth="1" min="5" max="5"/>
    <col width="12" customWidth="1" min="6" max="6"/>
    <col width="70" customWidth="1" min="7" max="7"/>
    <col width="14" customWidth="1" min="8" max="8"/>
  </cols>
  <sheetData>
    <row r="1">
      <c r="A1" s="10" t="inlineStr">
        <is>
          <t>← 01 Executive Summary</t>
        </is>
      </c>
      <c r="B1" s="11" t="inlineStr">
        <is>
          <t>Keyword cannibalization register (curated from titles/H1/mapping overlaps; automatic check found no keyword assigned as PRIMARY to two pages)</t>
        </is>
      </c>
    </row>
    <row r="2" ht="32" customHeight="1">
      <c r="A2" s="12" t="inlineStr">
        <is>
          <t>Page A</t>
        </is>
      </c>
      <c r="B2" s="12" t="inlineStr">
        <is>
          <t>Page B</t>
        </is>
      </c>
      <c r="C2" s="12" t="inlineStr">
        <is>
          <t>Shared Keyword</t>
        </is>
      </c>
      <c r="D2" s="12" t="inlineStr">
        <is>
          <t>Shared Intent</t>
        </is>
      </c>
      <c r="E2" s="12" t="inlineStr">
        <is>
          <t>Current Situation</t>
        </is>
      </c>
      <c r="F2" s="12" t="inlineStr">
        <is>
          <t>Risk Level</t>
        </is>
      </c>
      <c r="G2" s="12" t="inlineStr">
        <is>
          <t>Recommended Solution</t>
        </is>
      </c>
      <c r="H2" s="12" t="inlineStr">
        <is>
          <t>Status</t>
        </is>
      </c>
    </row>
    <row r="3">
      <c r="A3" s="3" t="inlineStr">
        <is>
          <t>https://codesommet.com/</t>
        </is>
      </c>
      <c r="B3" s="3" t="inlineStr">
        <is>
          <t>https://codesommet.com/locations</t>
        </is>
      </c>
      <c r="C3" s="5" t="inlineStr">
        <is>
          <t>agence web maroc</t>
        </is>
      </c>
      <c r="D3" s="5" t="inlineStr">
        <is>
          <t>Find a web agency in Morocco</t>
        </is>
      </c>
      <c r="E3" s="5" t="inlineStr">
        <is>
          <t>Locations title "Agence Web au Maroc et à l'International" overlaps the homepage secondary</t>
        </is>
      </c>
      <c r="F3" t="inlineStr">
        <is>
          <t>MEDIUM</t>
        </is>
      </c>
      <c r="G3" s="5" t="inlineStr">
        <is>
          <t>Keep /locations as a hub ("nos villes / zones d'intervention"); internal links with "agence web maroc" anchor point only to /</t>
        </is>
      </c>
      <c r="H3" t="inlineStr">
        <is>
          <t>Open - not implemented</t>
        </is>
      </c>
    </row>
    <row r="4">
      <c r="A4" s="3" t="inlineStr">
        <is>
          <t>https://codesommet.com/</t>
        </is>
      </c>
      <c r="B4" s="3" t="inlineStr">
        <is>
          <t>https://codesommet.com/our-work</t>
        </is>
      </c>
      <c r="C4" s="5" t="inlineStr">
        <is>
          <t>agence web maroc</t>
        </is>
      </c>
      <c r="D4" s="5" t="inlineStr">
        <is>
          <t>Find a web agency in Morocco</t>
        </is>
      </c>
      <c r="E4" s="5" t="inlineStr">
        <is>
          <t>Portfolio title/H1 contain "Agence Web Maroc"</t>
        </is>
      </c>
      <c r="F4" t="inlineStr">
        <is>
          <t>LOW</t>
        </is>
      </c>
      <c r="G4" s="5" t="inlineStr">
        <is>
          <t>Optional: portfolio title around "Réalisations &amp; études de cas" - not urgent</t>
        </is>
      </c>
      <c r="H4" t="inlineStr">
        <is>
          <t>Open - not implemented</t>
        </is>
      </c>
    </row>
    <row r="5">
      <c r="A5" s="3" t="inlineStr">
        <is>
          <t>https://codesommet.com/</t>
        </is>
      </c>
      <c r="B5" s="3" t="inlineStr">
        <is>
          <t>https://codesommet.com/contact</t>
        </is>
      </c>
      <c r="C5" s="5" t="inlineStr">
        <is>
          <t>agence web maroc</t>
        </is>
      </c>
      <c r="D5" s="5" t="inlineStr">
        <is>
          <t>Find a web agency in Morocco</t>
        </is>
      </c>
      <c r="E5" s="5" t="inlineStr">
        <is>
          <t>Contact title "Contact – Agence Web au Maroc"</t>
        </is>
      </c>
      <c r="F5" t="inlineStr">
        <is>
          <t>LOW</t>
        </is>
      </c>
      <c r="G5" s="5" t="inlineStr">
        <is>
          <t>No change needed; contact pages rarely compete</t>
        </is>
      </c>
      <c r="H5" t="inlineStr">
        <is>
          <t>Open - not implemented</t>
        </is>
      </c>
    </row>
    <row r="6">
      <c r="A6" s="3" t="inlineStr">
        <is>
          <t>https://codesommet.com/</t>
        </is>
      </c>
      <c r="B6" s="3" t="inlineStr">
        <is>
          <t>https://codesommet.com/about</t>
        </is>
      </c>
      <c r="C6" s="5" t="inlineStr">
        <is>
          <t>agence digitale maroc</t>
        </is>
      </c>
      <c r="D6" s="5" t="inlineStr">
        <is>
          <t>Agency in Morocco</t>
        </is>
      </c>
      <c r="E6" s="5" t="inlineStr">
        <is>
          <t>About title "Agence Digitale au Maroc depuis 2018"; homepage uses it as secondary</t>
        </is>
      </c>
      <c r="F6" t="inlineStr">
        <is>
          <t>LOW</t>
        </is>
      </c>
      <c r="G6" s="5" t="inlineStr">
        <is>
          <t>Keep About brand-focused; do not add more "agence digitale maroc" copy there</t>
        </is>
      </c>
      <c r="H6" t="inlineStr">
        <is>
          <t>Open - not implemented</t>
        </is>
      </c>
    </row>
    <row r="7">
      <c r="A7" s="3" t="inlineStr">
        <is>
          <t>https://codesommet.com/</t>
        </is>
      </c>
      <c r="B7" s="3" t="inlineStr">
        <is>
          <t>https://codesommet.com/web-development-company/worldwide</t>
        </is>
      </c>
      <c r="C7" s="5" t="inlineStr">
        <is>
          <t>agence web offshore maroc / agence de développement web</t>
        </is>
      </c>
      <c r="D7" s="5" t="inlineStr">
        <is>
          <t>Hire a Moroccan dev agency from abroad</t>
        </is>
      </c>
      <c r="E7" s="5" t="inlineStr">
        <is>
          <t>Homepage targets MA buyers; /worldwide targets foreign buyers - distinct audiences</t>
        </is>
      </c>
      <c r="F7" t="inlineStr">
        <is>
          <t>LOW</t>
        </is>
      </c>
      <c r="G7" s="5" t="inlineStr">
        <is>
          <t>Keep separation: FR-market terms on /worldwide only</t>
        </is>
      </c>
      <c r="H7" t="inlineStr">
        <is>
          <t>Open - not implemented</t>
        </is>
      </c>
    </row>
    <row r="8">
      <c r="A8" s="3" t="inlineStr">
        <is>
          <t>https://codesommet.com/services/seo-maroc</t>
        </is>
      </c>
      <c r="B8" s="3" t="inlineStr">
        <is>
          <t>https://codesommet.com/web-development-company/marrakech</t>
        </is>
      </c>
      <c r="C8" s="5" t="inlineStr">
        <is>
          <t>agence seo marrakech</t>
        </is>
      </c>
      <c r="D8" s="5" t="inlineStr">
        <is>
          <t>Local SEO provider in Marrakech</t>
        </is>
      </c>
      <c r="E8" s="5" t="inlineStr">
        <is>
          <t>Marrakech page is about web creation; SEO page has a local section</t>
        </is>
      </c>
      <c r="F8" t="inlineStr">
        <is>
          <t>MEDIUM</t>
        </is>
      </c>
      <c r="G8" s="5" t="inlineStr">
        <is>
          <t>Assign to /services/seo-maroc; Marrakech page links to it with this anchor</t>
        </is>
      </c>
      <c r="H8" t="inlineStr">
        <is>
          <t>Open - not implemented</t>
        </is>
      </c>
    </row>
    <row r="9">
      <c r="A9" s="3" t="inlineStr">
        <is>
          <t>https://codesommet.com/services/seo-maroc</t>
        </is>
      </c>
      <c r="B9" s="3" t="inlineStr">
        <is>
          <t>https://codesommet.com/web-development-company/casablanca</t>
        </is>
      </c>
      <c r="C9" s="5" t="inlineStr">
        <is>
          <t>agence seo casablanca</t>
        </is>
      </c>
      <c r="D9" s="5" t="inlineStr">
        <is>
          <t>Local SEO provider</t>
        </is>
      </c>
      <c r="E9" s="5" t="inlineStr">
        <is>
          <t>Same pattern</t>
        </is>
      </c>
      <c r="F9" t="inlineStr">
        <is>
          <t>LOW</t>
        </is>
      </c>
      <c r="G9" s="5" t="inlineStr">
        <is>
          <t>Assign to /services/seo-maroc</t>
        </is>
      </c>
      <c r="H9" t="inlineStr">
        <is>
          <t>Open - not implemented</t>
        </is>
      </c>
    </row>
    <row r="10">
      <c r="A10" s="3" t="inlineStr">
        <is>
          <t>https://codesommet.com/services/healthcare-website-development</t>
        </is>
      </c>
      <c r="B10" s="3" t="inlineStr">
        <is>
          <t>https://codesommet.com/services/telemedicine-website-development</t>
        </is>
      </c>
      <c r="C10" s="5" t="inlineStr">
        <is>
          <t>site web médical / site web cabinet médical</t>
        </is>
      </c>
      <c r="D10" s="5" t="inlineStr">
        <is>
          <t>Website for a doctor/clinic</t>
        </is>
      </c>
      <c r="E10" s="5" t="inlineStr">
        <is>
          <t>Both pages pitch medical websites; titles "Sites Web Santé &amp; Télésanté" vs "Site Web Cabinet Médical &amp; Télémédecine"</t>
        </is>
      </c>
      <c r="F10" t="inlineStr">
        <is>
          <t>HIGH</t>
        </is>
      </c>
      <c r="G10" s="5" t="inlineStr">
        <is>
          <t>Differentiate: healthcare = clinics, hospitals, health organisations, patient portals ("agence web santé"); telemedicine-website = private practice + booking/téléconsultation ("site web cabinet médical")</t>
        </is>
      </c>
      <c r="H10" t="inlineStr">
        <is>
          <t>Open - not implemented</t>
        </is>
      </c>
    </row>
    <row r="11">
      <c r="A11" s="3" t="inlineStr">
        <is>
          <t>https://codesommet.com/services/telemedicine-platform-development</t>
        </is>
      </c>
      <c r="B11" s="3" t="inlineStr">
        <is>
          <t>https://codesommet.com/services/telemedicine-website-development</t>
        </is>
      </c>
      <c r="C11" s="5" t="inlineStr">
        <is>
          <t>télémédecine</t>
        </is>
      </c>
      <c r="D11" s="5" t="inlineStr">
        <is>
          <t>Telemedicine solution</t>
        </is>
      </c>
      <c r="E11" s="5" t="inlineStr">
        <is>
          <t>Platform (software) vs website (practice site) - both titled with "Télémédecine"</t>
        </is>
      </c>
      <c r="F11" t="inlineStr">
        <is>
          <t>MEDIUM</t>
        </is>
      </c>
      <c r="G11" s="5" t="inlineStr">
        <is>
          <t>Platform page = "logiciel téléconsultation"; website page = "site web cabinet médical"</t>
        </is>
      </c>
      <c r="H11" t="inlineStr">
        <is>
          <t>Open - not implemented</t>
        </is>
      </c>
    </row>
    <row r="12">
      <c r="A12" s="3" t="inlineStr">
        <is>
          <t>https://codesommet.com/services/telemedicine-website-development</t>
        </is>
      </c>
      <c r="B12" s="3" t="inlineStr">
        <is>
          <t>https://codesommet.com/blog/site-web-telemedecine-cabinet-clinique-que-doit-il-contenir</t>
        </is>
      </c>
      <c r="C12" s="5" t="inlineStr">
        <is>
          <t>site web cabinet médical / télémédecine</t>
        </is>
      </c>
      <c r="D12" s="5" t="inlineStr">
        <is>
          <t>Medical website content</t>
        </is>
      </c>
      <c r="E12" s="5" t="inlineStr">
        <is>
          <t>Blog answers "what should it contain"; service sells it</t>
        </is>
      </c>
      <c r="F12" t="inlineStr">
        <is>
          <t>LOW</t>
        </is>
      </c>
      <c r="G12" s="5" t="inlineStr">
        <is>
          <t>Blog links to service with commercial anchor; keep blog informational</t>
        </is>
      </c>
      <c r="H12" t="inlineStr">
        <is>
          <t>Open - not implemented</t>
        </is>
      </c>
    </row>
    <row r="13">
      <c r="A13" s="3" t="inlineStr">
        <is>
          <t>https://codesommet.com/services/elearning-platform-development</t>
        </is>
      </c>
      <c r="B13" s="3" t="inlineStr">
        <is>
          <t>https://codesommet.com/services/online-course-platform-development</t>
        </is>
      </c>
      <c r="C13" s="5" t="inlineStr">
        <is>
          <t>plateforme de formation en ligne</t>
        </is>
      </c>
      <c r="D13" s="5" t="inlineStr">
        <is>
          <t>Online training platform</t>
        </is>
      </c>
      <c r="E13" s="5" t="inlineStr">
        <is>
          <t>LMS for organisations vs course-selling sites for creators</t>
        </is>
      </c>
      <c r="F13" t="inlineStr">
        <is>
          <t>MEDIUM</t>
        </is>
      </c>
      <c r="G13" s="5" t="inlineStr">
        <is>
          <t>E-learning = LMS/organisations ("plateforme e-learning", "plateforme lms"); online-course = creators ("vendre des formations en ligne")</t>
        </is>
      </c>
      <c r="H13" t="inlineStr">
        <is>
          <t>Open - not implemented</t>
        </is>
      </c>
    </row>
    <row r="14">
      <c r="A14" s="3" t="inlineStr">
        <is>
          <t>https://codesommet.com/services/elearning-platform-development</t>
        </is>
      </c>
      <c r="B14" s="3" t="inlineStr">
        <is>
          <t>https://codesommet.com/services/edtech-platform-development</t>
        </is>
      </c>
      <c r="C14" s="5" t="inlineStr">
        <is>
          <t>plateforme edtech / e-learning</t>
        </is>
      </c>
      <c r="D14" s="5" t="inlineStr">
        <is>
          <t>Learning platform build</t>
        </is>
      </c>
      <c r="E14" s="5" t="inlineStr">
        <is>
          <t>EdTech B2B products vs LMS for schools</t>
        </is>
      </c>
      <c r="F14" t="inlineStr">
        <is>
          <t>MEDIUM</t>
        </is>
      </c>
      <c r="G14" s="5" t="inlineStr">
        <is>
          <t>EdTech = startups building a product; e-learning = institutions deploying an LMS (state it in intros)</t>
        </is>
      </c>
      <c r="H14" t="inlineStr">
        <is>
          <t>Open - not implemented</t>
        </is>
      </c>
    </row>
    <row r="15">
      <c r="A15" s="3" t="inlineStr">
        <is>
          <t>https://codesommet.com/services/elearning-platform-development</t>
        </is>
      </c>
      <c r="B15" s="3" t="inlineStr">
        <is>
          <t>https://codesommet.com/blog/lms-sur-mesure-ou-produit-edtech-quelle-plateforme-e-learning</t>
        </is>
      </c>
      <c r="C15" s="5" t="inlineStr">
        <is>
          <t>plateforme lms / lms</t>
        </is>
      </c>
      <c r="D15" s="5" t="inlineStr">
        <is>
          <t>LMS choice</t>
        </is>
      </c>
      <c r="E15" s="5" t="inlineStr">
        <is>
          <t>Blog comparison vs service</t>
        </is>
      </c>
      <c r="F15" t="inlineStr">
        <is>
          <t>LOW</t>
        </is>
      </c>
      <c r="G15" s="5" t="inlineStr">
        <is>
          <t>Blog = "lms sur mesure" (comparison); service = "plateforme lms" (commercial)</t>
        </is>
      </c>
      <c r="H15" t="inlineStr">
        <is>
          <t>Open - not implemented</t>
        </is>
      </c>
    </row>
    <row r="16">
      <c r="A16" s="3" t="inlineStr">
        <is>
          <t>https://codesommet.com/services/education-website-development</t>
        </is>
      </c>
      <c r="B16" s="3" t="inlineStr">
        <is>
          <t>https://codesommet.com/services/university-website-development</t>
        </is>
      </c>
      <c r="C16" s="5" t="inlineStr">
        <is>
          <t>site web école / université</t>
        </is>
      </c>
      <c r="D16" s="5" t="inlineStr">
        <is>
          <t>Education website</t>
        </is>
      </c>
      <c r="E16" s="5" t="inlineStr">
        <is>
          <t>Generic education page vs university-specific</t>
        </is>
      </c>
      <c r="F16" t="inlineStr">
        <is>
          <t>LOW</t>
        </is>
      </c>
      <c r="G16" s="5" t="inlineStr">
        <is>
          <t>Education = schools/training centres; university = higher education portals</t>
        </is>
      </c>
      <c r="H16" t="inlineStr">
        <is>
          <t>Open - not implemented</t>
        </is>
      </c>
    </row>
    <row r="17">
      <c r="A17" s="3" t="inlineStr">
        <is>
          <t>https://codesommet.com/services/education-website-development</t>
        </is>
      </c>
      <c r="B17" s="3" t="inlineStr">
        <is>
          <t>https://codesommet.com/services/elearning-platform-development</t>
        </is>
      </c>
      <c r="C17" s="5" t="inlineStr">
        <is>
          <t>e-learning</t>
        </is>
      </c>
      <c r="D17" s="5" t="inlineStr">
        <is>
          <t>Education platform</t>
        </is>
      </c>
      <c r="E17" s="5" t="inlineStr">
        <is>
          <t>Education title "Sites Web Éducatifs &amp; E-Learning" contains e-learning</t>
        </is>
      </c>
      <c r="F17" t="inlineStr">
        <is>
          <t>MEDIUM</t>
        </is>
      </c>
      <c r="G17" s="5" t="inlineStr">
        <is>
          <t>Drop e-learning focus from education page copy over time; link to e-learning page</t>
        </is>
      </c>
      <c r="H17" t="inlineStr">
        <is>
          <t>Open - not implemented</t>
        </is>
      </c>
    </row>
    <row r="18">
      <c r="A18" s="3" t="inlineStr">
        <is>
          <t>https://codesommet.com/services/study-abroad-website-development</t>
        </is>
      </c>
      <c r="B18" s="3" t="inlineStr">
        <is>
          <t>https://codesommet.com/services/immigration-consultancy-website-development</t>
        </is>
      </c>
      <c r="C18" s="5" t="inlineStr">
        <is>
          <t>portail de candidature</t>
        </is>
      </c>
      <c r="D18" s="5" t="inlineStr">
        <is>
          <t>Student/visa application portals</t>
        </is>
      </c>
      <c r="E18" s="5" t="inlineStr">
        <is>
          <t>Both pitch application portals</t>
        </is>
      </c>
      <c r="F18" t="inlineStr">
        <is>
          <t>LOW</t>
        </is>
      </c>
      <c r="G18" s="5" t="inlineStr">
        <is>
          <t>Study-abroad = agencies placing students; immigration = visa consultancies</t>
        </is>
      </c>
      <c r="H18" t="inlineStr">
        <is>
          <t>Open - not implemented</t>
        </is>
      </c>
    </row>
    <row r="19">
      <c r="A19" s="3" t="inlineStr">
        <is>
          <t>https://codesommet.com/services/fintech-platform-development</t>
        </is>
      </c>
      <c r="B19" s="3" t="inlineStr">
        <is>
          <t>https://codesommet.com/services/fintech-website-development</t>
        </is>
      </c>
      <c r="C19" s="5" t="inlineStr">
        <is>
          <t>fintech</t>
        </is>
      </c>
      <c r="D19" s="5" t="inlineStr">
        <is>
          <t>Fintech build</t>
        </is>
      </c>
      <c r="E19" s="5" t="inlineStr">
        <is>
          <t>Platform (payments software) vs marketing website</t>
        </is>
      </c>
      <c r="F19" t="inlineStr">
        <is>
          <t>MEDIUM</t>
        </is>
      </c>
      <c r="G19" s="5" t="inlineStr">
        <is>
          <t>Platform = "développement fintech/plateforme de paiement"; website = "site web fintech"</t>
        </is>
      </c>
      <c r="H19" t="inlineStr">
        <is>
          <t>Open - not implemented</t>
        </is>
      </c>
    </row>
    <row r="20">
      <c r="A20" s="3" t="inlineStr">
        <is>
          <t>https://codesommet.com/services/fintech-website-development</t>
        </is>
      </c>
      <c r="B20" s="3" t="inlineStr">
        <is>
          <t>https://codesommet.com/blog/site-web-fintech-7-elements-qui-rassurent-un-visiteur</t>
        </is>
      </c>
      <c r="C20" s="5" t="inlineStr">
        <is>
          <t>site web fintech</t>
        </is>
      </c>
      <c r="D20" s="5" t="inlineStr">
        <is>
          <t>Fintech website</t>
        </is>
      </c>
      <c r="E20" s="5" t="inlineStr">
        <is>
          <t>Blog title starts with "Site web fintech"</t>
        </is>
      </c>
      <c r="F20" t="inlineStr">
        <is>
          <t>MEDIUM</t>
        </is>
      </c>
      <c r="G20" s="5" t="inlineStr">
        <is>
          <t>Blog = "éléments de réassurance site web"; keep "site web fintech" commercial on the service page</t>
        </is>
      </c>
      <c r="H20" t="inlineStr">
        <is>
          <t>Open - not implemented</t>
        </is>
      </c>
    </row>
    <row r="21">
      <c r="A21" s="3" t="inlineStr">
        <is>
          <t>https://codesommet.com/services/saas-platform-development</t>
        </is>
      </c>
      <c r="B21" s="3" t="inlineStr">
        <is>
          <t>https://codesommet.com/blog/creer-une-plateforme-saas-mvp-multi-tenant-facturation-par-ou-commencer</t>
        </is>
      </c>
      <c r="C21" s="5" t="inlineStr">
        <is>
          <t>plateforme saas</t>
        </is>
      </c>
      <c r="D21" s="5" t="inlineStr">
        <is>
          <t>Build a SaaS</t>
        </is>
      </c>
      <c r="E21" s="5" t="inlineStr">
        <is>
          <t>Service "Développement de Plateformes SaaS" vs blog "Créer une plateforme SaaS"</t>
        </is>
      </c>
      <c r="F21" t="inlineStr">
        <is>
          <t>LOW</t>
        </is>
      </c>
      <c r="G21" s="5" t="inlineStr">
        <is>
          <t>Blog = how-to ("créer un saas", "mvp saas"); service = "développement saas"</t>
        </is>
      </c>
      <c r="H21" t="inlineStr">
        <is>
          <t>Open - not implemented</t>
        </is>
      </c>
    </row>
    <row r="22">
      <c r="A22" s="3" t="inlineStr">
        <is>
          <t>https://codesommet.com/services/saas-platform-development</t>
        </is>
      </c>
      <c r="B22" s="3" t="inlineStr">
        <is>
          <t>https://codesommet.com/our-work/hssabek</t>
        </is>
      </c>
      <c r="C22" s="5" t="inlineStr">
        <is>
          <t>saas facturation</t>
        </is>
      </c>
      <c r="D22" s="5" t="inlineStr">
        <is>
          <t>SaaS example</t>
        </is>
      </c>
      <c r="E22" s="5" t="inlineStr">
        <is>
          <t>Case study of a SaaS</t>
        </is>
      </c>
      <c r="F22" t="inlineStr">
        <is>
          <t>LOW</t>
        </is>
      </c>
      <c r="G22" s="5" t="inlineStr">
        <is>
          <t>Case study links to service</t>
        </is>
      </c>
      <c r="H22" t="inlineStr">
        <is>
          <t>Open - not implemented</t>
        </is>
      </c>
    </row>
    <row r="23">
      <c r="A23" s="3" t="inlineStr">
        <is>
          <t>https://codesommet.com/services/real-estate-website-development</t>
        </is>
      </c>
      <c r="B23" s="3" t="inlineStr">
        <is>
          <t>https://codesommet.com/blog/site-immobilier-structurer-les-annonces-pour-le-seo-et-la-conversion</t>
        </is>
      </c>
      <c r="C23" s="5" t="inlineStr">
        <is>
          <t>site immobilier</t>
        </is>
      </c>
      <c r="D23" s="5" t="inlineStr">
        <is>
          <t>Real-estate website</t>
        </is>
      </c>
      <c r="E23" s="5" t="inlineStr">
        <is>
          <t>Service vs blog</t>
        </is>
      </c>
      <c r="F23" t="inlineStr">
        <is>
          <t>LOW</t>
        </is>
      </c>
      <c r="G23" s="5" t="inlineStr">
        <is>
          <t>Blog = "seo immobilier"; service = "création site immobilier"</t>
        </is>
      </c>
      <c r="H23" t="inlineStr">
        <is>
          <t>Open - not implemented</t>
        </is>
      </c>
    </row>
    <row r="24">
      <c r="A24" s="3" t="inlineStr">
        <is>
          <t>https://codesommet.com/our-work/morocco-quest</t>
        </is>
      </c>
      <c r="B24" s="3" t="inlineStr">
        <is>
          <t>https://codesommet.com/our-work/authentic-morocco-adventures</t>
        </is>
      </c>
      <c r="C24" s="5" t="inlineStr">
        <is>
          <t>site agence de voyage</t>
        </is>
      </c>
      <c r="D24" s="5" t="inlineStr">
        <is>
          <t>Travel website example</t>
        </is>
      </c>
      <c r="E24" s="5" t="inlineStr">
        <is>
          <t>Two travel case studies</t>
        </is>
      </c>
      <c r="F24" t="inlineStr">
        <is>
          <t>LOW</t>
        </is>
      </c>
      <c r="G24" s="5" t="inlineStr">
        <is>
          <t>Different angles: luxury agency vs private tours; distinct titles already</t>
        </is>
      </c>
      <c r="H24" t="inlineStr">
        <is>
          <t>Open - not implemented</t>
        </is>
      </c>
    </row>
    <row r="25">
      <c r="A25" s="3" t="inlineStr">
        <is>
          <t>https://codesommet.com/tools/robots-txt-generator</t>
        </is>
      </c>
      <c r="B25" s="3" t="inlineStr">
        <is>
          <t>https://codesommet.com/tools/robots-txt-tester</t>
        </is>
      </c>
      <c r="C25" s="5" t="inlineStr">
        <is>
          <t>robots.txt</t>
        </is>
      </c>
      <c r="D25" s="5" t="inlineStr">
        <is>
          <t>Robots.txt tooling</t>
        </is>
      </c>
      <c r="E25" s="5" t="inlineStr">
        <is>
          <t>Three robots.txt tools</t>
        </is>
      </c>
      <c r="F25" t="inlineStr">
        <is>
          <t>MEDIUM</t>
        </is>
      </c>
      <c r="G25" s="5" t="inlineStr">
        <is>
          <t>Generator = "robots.txt / créer robots.txt"; tester = "test robots.txt"; see next row</t>
        </is>
      </c>
      <c r="H25" t="inlineStr">
        <is>
          <t>Open - not implemented</t>
        </is>
      </c>
    </row>
    <row r="26">
      <c r="A26" s="3" t="inlineStr">
        <is>
          <t>https://codesommet.com/tools/robots-txt-tester</t>
        </is>
      </c>
      <c r="B26" s="3" t="inlineStr">
        <is>
          <t>https://codesommet.com/tools/robots-validator</t>
        </is>
      </c>
      <c r="C26" s="5" t="inlineStr">
        <is>
          <t>test / valider robots.txt</t>
        </is>
      </c>
      <c r="D26" s="5" t="inlineStr">
        <is>
          <t>Check a robots.txt</t>
        </is>
      </c>
      <c r="E26" s="5" t="inlineStr">
        <is>
          <t>Tester and validator answer nearly the same query</t>
        </is>
      </c>
      <c r="F26" t="inlineStr">
        <is>
          <t>HIGH</t>
        </is>
      </c>
      <c r="G26" s="5" t="inlineStr">
        <is>
          <t>Owner decision: merge validator into tester (301) or differentiate validator as syntax linting; no measurable demand for "valider robots.txt"</t>
        </is>
      </c>
      <c r="H26" t="inlineStr">
        <is>
          <t>Open - not implemented</t>
        </is>
      </c>
    </row>
    <row r="27">
      <c r="A27" s="3" t="inlineStr">
        <is>
          <t>https://codesommet.com/tools/xml-sitemap-generator</t>
        </is>
      </c>
      <c r="B27" s="3" t="inlineStr">
        <is>
          <t>https://codesommet.com/tools/sitemap-validator</t>
        </is>
      </c>
      <c r="C27" s="5" t="inlineStr">
        <is>
          <t>sitemap xml</t>
        </is>
      </c>
      <c r="D27" s="5" t="inlineStr">
        <is>
          <t>Sitemap tooling</t>
        </is>
      </c>
      <c r="E27" s="5" t="inlineStr">
        <is>
          <t>Generator vs validator vs URL extractor</t>
        </is>
      </c>
      <c r="F27" t="inlineStr">
        <is>
          <t>LOW</t>
        </is>
      </c>
      <c r="G27" s="5" t="inlineStr">
        <is>
          <t>Distinct tasks - keep; cross-link</t>
        </is>
      </c>
      <c r="H27" t="inlineStr">
        <is>
          <t>Open - not implemented</t>
        </is>
      </c>
    </row>
    <row r="28">
      <c r="A28" s="3" t="inlineStr">
        <is>
          <t>https://codesommet.com/tools/schema-generator</t>
        </is>
      </c>
      <c r="B28" s="3" t="inlineStr">
        <is>
          <t>https://codesommet.com/tools/structured-data-extractor</t>
        </is>
      </c>
      <c r="C28" s="5" t="inlineStr">
        <is>
          <t>données structurées</t>
        </is>
      </c>
      <c r="D28" s="5" t="inlineStr">
        <is>
          <t>Structured data</t>
        </is>
      </c>
      <c r="E28" s="5" t="inlineStr">
        <is>
          <t>Generator vs tester</t>
        </is>
      </c>
      <c r="F28" t="inlineStr">
        <is>
          <t>LOW</t>
        </is>
      </c>
      <c r="G28" s="5" t="inlineStr">
        <is>
          <t>Generator = "schema markup / données structurées"; extractor = "test données structurées"</t>
        </is>
      </c>
      <c r="H28" t="inlineStr">
        <is>
          <t>Open - not implemented</t>
        </is>
      </c>
    </row>
    <row r="29">
      <c r="A29" s="3" t="inlineStr">
        <is>
          <t>https://codesommet.com/tools/schema-generator</t>
        </is>
      </c>
      <c r="B29" s="3" t="inlineStr">
        <is>
          <t>https://codesommet.com/tools/faq-schema-generator</t>
        </is>
      </c>
      <c r="C29" s="5" t="inlineStr">
        <is>
          <t>schema</t>
        </is>
      </c>
      <c r="D29" s="5" t="inlineStr">
        <is>
          <t>Schema generation</t>
        </is>
      </c>
      <c r="E29" s="5" t="inlineStr">
        <is>
          <t>Generic vs FAQ/LocalBusiness generators</t>
        </is>
      </c>
      <c r="F29" t="inlineStr">
        <is>
          <t>LOW</t>
        </is>
      </c>
      <c r="G29" s="5" t="inlineStr">
        <is>
          <t>Keep - specific variants</t>
        </is>
      </c>
      <c r="H29" t="inlineStr">
        <is>
          <t>Open - not implemented</t>
        </is>
      </c>
    </row>
    <row r="30">
      <c r="A30" s="3" t="inlineStr">
        <is>
          <t>https://codesommet.com/tools/page-speed-analyzer</t>
        </is>
      </c>
      <c r="B30" s="3" t="inlineStr">
        <is>
          <t>https://codesommet.com/tools/core-web-vitals-checker</t>
        </is>
      </c>
      <c r="C30" s="5" t="inlineStr">
        <is>
          <t>vitesse / core web vitals</t>
        </is>
      </c>
      <c r="D30" s="5" t="inlineStr">
        <is>
          <t>Page performance</t>
        </is>
      </c>
      <c r="E30" s="5" t="inlineStr">
        <is>
          <t>Both measure speed</t>
        </is>
      </c>
      <c r="F30" t="inlineStr">
        <is>
          <t>MEDIUM</t>
        </is>
      </c>
      <c r="G30" s="5" t="inlineStr">
        <is>
          <t>Speed analyzer = "test vitesse site web"; CWV = "test core web vitals"; cross-link</t>
        </is>
      </c>
      <c r="H30" t="inlineStr">
        <is>
          <t>Open - not implemented</t>
        </is>
      </c>
    </row>
    <row r="31">
      <c r="A31" s="3" t="inlineStr">
        <is>
          <t>https://codesommet.com/tools/image-compressor</t>
        </is>
      </c>
      <c r="B31" s="3" t="inlineStr">
        <is>
          <t>https://codesommet.com/tools/image-compression-analyzer</t>
        </is>
      </c>
      <c r="C31" s="5" t="inlineStr">
        <is>
          <t>compresser image</t>
        </is>
      </c>
      <c r="D31" s="5" t="inlineStr">
        <is>
          <t>Image optimisation</t>
        </is>
      </c>
      <c r="E31" s="5" t="inlineStr">
        <is>
          <t>Compressor vs analyzer</t>
        </is>
      </c>
      <c r="F31" t="inlineStr">
        <is>
          <t>LOW</t>
        </is>
      </c>
      <c r="G31" s="5" t="inlineStr">
        <is>
          <t>Compressor = "compresser image"; analyzer = "optimisation image seo"</t>
        </is>
      </c>
      <c r="H31" t="inlineStr">
        <is>
          <t>Open - not implemented</t>
        </is>
      </c>
    </row>
    <row r="32">
      <c r="A32" s="3" t="inlineStr">
        <is>
          <t>https://codesommet.com/tools/internal-link-analyzer</t>
        </is>
      </c>
      <c r="B32" s="3" t="inlineStr">
        <is>
          <t>https://codesommet.com/tools/crawl-visualizer</t>
        </is>
      </c>
      <c r="C32" s="5" t="inlineStr">
        <is>
          <t>maillage interne</t>
        </is>
      </c>
      <c r="D32" s="5" t="inlineStr">
        <is>
          <t>Internal linking</t>
        </is>
      </c>
      <c r="E32" s="5" t="inlineStr">
        <is>
          <t>Analyzer vs visualizer</t>
        </is>
      </c>
      <c r="F32" t="inlineStr">
        <is>
          <t>MEDIUM</t>
        </is>
      </c>
      <c r="G32" s="5" t="inlineStr">
        <is>
          <t>Analyzer owns "maillage interne"; visualizer uses "visualisation crawl / carte des liens"</t>
        </is>
      </c>
      <c r="H32" t="inlineStr">
        <is>
          <t>Open - not implemented</t>
        </is>
      </c>
    </row>
    <row r="33">
      <c r="A33" s="3" t="inlineStr">
        <is>
          <t>https://codesommet.com/tools/ssl-certificate-checker</t>
        </is>
      </c>
      <c r="B33" s="3" t="inlineStr">
        <is>
          <t>https://codesommet.com/tools/domain-health-checker</t>
        </is>
      </c>
      <c r="C33" s="5" t="inlineStr">
        <is>
          <t>test ssl</t>
        </is>
      </c>
      <c r="D33" s="5" t="inlineStr">
        <is>
          <t>SSL check</t>
        </is>
      </c>
      <c r="E33" s="5" t="inlineStr">
        <is>
          <t>Domain health includes SSL</t>
        </is>
      </c>
      <c r="F33" t="inlineStr">
        <is>
          <t>LOW</t>
        </is>
      </c>
      <c r="G33" s="5" t="inlineStr">
        <is>
          <t>SSL checker owns "test ssl"; domain health owns "test dns"</t>
        </is>
      </c>
      <c r="H33" t="inlineStr">
        <is>
          <t>Open - not implemented</t>
        </is>
      </c>
    </row>
    <row r="34">
      <c r="A34" s="3" t="inlineStr">
        <is>
          <t>https://codesommet.com/tools/website-analyzer</t>
        </is>
      </c>
      <c r="B34" s="3" t="inlineStr">
        <is>
          <t>https://codesommet.com/tools/website-readiness-checker</t>
        </is>
      </c>
      <c r="C34" s="5" t="inlineStr">
        <is>
          <t>analyse site web</t>
        </is>
      </c>
      <c r="D34" s="5" t="inlineStr">
        <is>
          <t>Site check</t>
        </is>
      </c>
      <c r="E34" s="5" t="inlineStr">
        <is>
          <t>Two "website" checkers</t>
        </is>
      </c>
      <c r="F34" t="inlineStr">
        <is>
          <t>LOW</t>
        </is>
      </c>
      <c r="G34" s="5" t="inlineStr">
        <is>
          <t>Readiness = pre-launch checklist; analyzer = SEO audit</t>
        </is>
      </c>
      <c r="H34" t="inlineStr">
        <is>
          <t>Open - not implemented</t>
        </is>
      </c>
    </row>
    <row r="35">
      <c r="A35" s="3" t="inlineStr">
        <is>
          <t>https://codesommet.com/tools/html-minifier</t>
        </is>
      </c>
      <c r="B35" s="3" t="inlineStr">
        <is>
          <t>https://codesommet.com/tools/css-minifier</t>
        </is>
      </c>
      <c r="C35" s="5" t="inlineStr">
        <is>
          <t>minifier</t>
        </is>
      </c>
      <c r="D35" s="5" t="inlineStr">
        <is>
          <t>Minification</t>
        </is>
      </c>
      <c r="E35" s="5" t="inlineStr">
        <is>
          <t>HTML/CSS/JS minifier also does CSS</t>
        </is>
      </c>
      <c r="F35" t="inlineStr">
        <is>
          <t>LOW</t>
        </is>
      </c>
      <c r="G35" s="5" t="inlineStr">
        <is>
          <t>CSS minifier owns "minify css"</t>
        </is>
      </c>
      <c r="H35" t="inlineStr">
        <is>
          <t>Open - not implemented</t>
        </is>
      </c>
    </row>
    <row r="36">
      <c r="A36" t="inlineStr">
        <is>
          <t>/web-development-company/{30 international cities}</t>
        </is>
      </c>
      <c r="B36" s="3" t="inlineStr">
        <is>
          <t>https://codesommet.com/web-development-company/worldwide</t>
        </is>
      </c>
      <c r="C36" s="5" t="inlineStr">
        <is>
          <t>développement web {ville}</t>
        </is>
      </c>
      <c r="D36" s="5" t="inlineStr">
        <is>
          <t>Hire a web developer abroad</t>
        </is>
      </c>
      <c r="E36" s="5" t="inlineStr">
        <is>
          <t>30 French-language city pages with the same template; Semrush shows ~0 French demand per city while local-language demand exists (sheet 08)</t>
        </is>
      </c>
      <c r="F36" t="inlineStr">
        <is>
          <t>HIGH (doorway/thin-content risk)</t>
        </is>
      </c>
      <c r="G36" s="5" t="inlineStr">
        <is>
          <t>Owner decision (already pending as F-02): keep the 5-6 pages with genuine francophone value (Paris, Brussels, Tunis, Montréal-equivalent) and differentiate them; consolidate the rest into /worldwide with 301s - do not change before approval</t>
        </is>
      </c>
      <c r="H36" t="inlineStr">
        <is>
          <t>Open - not implemented</t>
        </is>
      </c>
    </row>
  </sheetData>
  <autoFilter ref="A2:H36"/>
  <conditionalFormatting sqref="F3:F36">
    <cfRule type="expression" priority="1" dxfId="0">
      <formula>LEFT($F3,4)="HIGH"</formula>
    </cfRule>
    <cfRule type="expression" priority="2" dxfId="1">
      <formula>LEFT($F3,6)="MEDIUM"</formula>
    </cfRule>
    <cfRule type="expression" priority="3" dxfId="8">
      <formula>LEFT($F3,3)="LOW"</formula>
    </cfRule>
  </conditionalFormatting>
  <hyperlinks>
    <hyperlink xmlns:r="http://schemas.openxmlformats.org/officeDocument/2006/relationships" ref="A1" r:id="rId1"/>
    <hyperlink xmlns:r="http://schemas.openxmlformats.org/officeDocument/2006/relationships" ref="A3" r:id="rId2"/>
    <hyperlink xmlns:r="http://schemas.openxmlformats.org/officeDocument/2006/relationships" ref="B3" r:id="rId3"/>
    <hyperlink xmlns:r="http://schemas.openxmlformats.org/officeDocument/2006/relationships" ref="A4" r:id="rId4"/>
    <hyperlink xmlns:r="http://schemas.openxmlformats.org/officeDocument/2006/relationships" ref="B4" r:id="rId5"/>
    <hyperlink xmlns:r="http://schemas.openxmlformats.org/officeDocument/2006/relationships" ref="A5" r:id="rId6"/>
    <hyperlink xmlns:r="http://schemas.openxmlformats.org/officeDocument/2006/relationships" ref="B5" r:id="rId7"/>
    <hyperlink xmlns:r="http://schemas.openxmlformats.org/officeDocument/2006/relationships" ref="A6" r:id="rId8"/>
    <hyperlink xmlns:r="http://schemas.openxmlformats.org/officeDocument/2006/relationships" ref="B6" r:id="rId9"/>
    <hyperlink xmlns:r="http://schemas.openxmlformats.org/officeDocument/2006/relationships" ref="A7" r:id="rId10"/>
    <hyperlink xmlns:r="http://schemas.openxmlformats.org/officeDocument/2006/relationships" ref="B7" r:id="rId11"/>
    <hyperlink xmlns:r="http://schemas.openxmlformats.org/officeDocument/2006/relationships" ref="A8" r:id="rId12"/>
    <hyperlink xmlns:r="http://schemas.openxmlformats.org/officeDocument/2006/relationships" ref="B8" r:id="rId13"/>
    <hyperlink xmlns:r="http://schemas.openxmlformats.org/officeDocument/2006/relationships" ref="A9" r:id="rId14"/>
    <hyperlink xmlns:r="http://schemas.openxmlformats.org/officeDocument/2006/relationships" ref="B9" r:id="rId15"/>
    <hyperlink xmlns:r="http://schemas.openxmlformats.org/officeDocument/2006/relationships" ref="A10" r:id="rId16"/>
    <hyperlink xmlns:r="http://schemas.openxmlformats.org/officeDocument/2006/relationships" ref="B10" r:id="rId17"/>
    <hyperlink xmlns:r="http://schemas.openxmlformats.org/officeDocument/2006/relationships" ref="A11" r:id="rId18"/>
    <hyperlink xmlns:r="http://schemas.openxmlformats.org/officeDocument/2006/relationships" ref="B11" r:id="rId19"/>
    <hyperlink xmlns:r="http://schemas.openxmlformats.org/officeDocument/2006/relationships" ref="A12" r:id="rId20"/>
    <hyperlink xmlns:r="http://schemas.openxmlformats.org/officeDocument/2006/relationships" ref="B12" r:id="rId21"/>
    <hyperlink xmlns:r="http://schemas.openxmlformats.org/officeDocument/2006/relationships" ref="A13" r:id="rId22"/>
    <hyperlink xmlns:r="http://schemas.openxmlformats.org/officeDocument/2006/relationships" ref="B13" r:id="rId23"/>
    <hyperlink xmlns:r="http://schemas.openxmlformats.org/officeDocument/2006/relationships" ref="A14" r:id="rId24"/>
    <hyperlink xmlns:r="http://schemas.openxmlformats.org/officeDocument/2006/relationships" ref="B14" r:id="rId25"/>
    <hyperlink xmlns:r="http://schemas.openxmlformats.org/officeDocument/2006/relationships" ref="A15" r:id="rId26"/>
    <hyperlink xmlns:r="http://schemas.openxmlformats.org/officeDocument/2006/relationships" ref="B15" r:id="rId27"/>
    <hyperlink xmlns:r="http://schemas.openxmlformats.org/officeDocument/2006/relationships" ref="A16" r:id="rId28"/>
    <hyperlink xmlns:r="http://schemas.openxmlformats.org/officeDocument/2006/relationships" ref="B16" r:id="rId29"/>
    <hyperlink xmlns:r="http://schemas.openxmlformats.org/officeDocument/2006/relationships" ref="A17" r:id="rId30"/>
    <hyperlink xmlns:r="http://schemas.openxmlformats.org/officeDocument/2006/relationships" ref="B17" r:id="rId31"/>
    <hyperlink xmlns:r="http://schemas.openxmlformats.org/officeDocument/2006/relationships" ref="A18" r:id="rId32"/>
    <hyperlink xmlns:r="http://schemas.openxmlformats.org/officeDocument/2006/relationships" ref="B18" r:id="rId33"/>
    <hyperlink xmlns:r="http://schemas.openxmlformats.org/officeDocument/2006/relationships" ref="A19" r:id="rId34"/>
    <hyperlink xmlns:r="http://schemas.openxmlformats.org/officeDocument/2006/relationships" ref="B19" r:id="rId35"/>
    <hyperlink xmlns:r="http://schemas.openxmlformats.org/officeDocument/2006/relationships" ref="A20" r:id="rId36"/>
    <hyperlink xmlns:r="http://schemas.openxmlformats.org/officeDocument/2006/relationships" ref="B20" r:id="rId37"/>
    <hyperlink xmlns:r="http://schemas.openxmlformats.org/officeDocument/2006/relationships" ref="A21" r:id="rId38"/>
    <hyperlink xmlns:r="http://schemas.openxmlformats.org/officeDocument/2006/relationships" ref="B21" r:id="rId39"/>
    <hyperlink xmlns:r="http://schemas.openxmlformats.org/officeDocument/2006/relationships" ref="A22" r:id="rId40"/>
    <hyperlink xmlns:r="http://schemas.openxmlformats.org/officeDocument/2006/relationships" ref="B22" r:id="rId41"/>
    <hyperlink xmlns:r="http://schemas.openxmlformats.org/officeDocument/2006/relationships" ref="A23" r:id="rId42"/>
    <hyperlink xmlns:r="http://schemas.openxmlformats.org/officeDocument/2006/relationships" ref="B23" r:id="rId43"/>
    <hyperlink xmlns:r="http://schemas.openxmlformats.org/officeDocument/2006/relationships" ref="A24" r:id="rId44"/>
    <hyperlink xmlns:r="http://schemas.openxmlformats.org/officeDocument/2006/relationships" ref="B24" r:id="rId45"/>
    <hyperlink xmlns:r="http://schemas.openxmlformats.org/officeDocument/2006/relationships" ref="A25" r:id="rId46"/>
    <hyperlink xmlns:r="http://schemas.openxmlformats.org/officeDocument/2006/relationships" ref="B25" r:id="rId47"/>
    <hyperlink xmlns:r="http://schemas.openxmlformats.org/officeDocument/2006/relationships" ref="A26" r:id="rId48"/>
    <hyperlink xmlns:r="http://schemas.openxmlformats.org/officeDocument/2006/relationships" ref="B26" r:id="rId49"/>
    <hyperlink xmlns:r="http://schemas.openxmlformats.org/officeDocument/2006/relationships" ref="A27" r:id="rId50"/>
    <hyperlink xmlns:r="http://schemas.openxmlformats.org/officeDocument/2006/relationships" ref="B27" r:id="rId51"/>
    <hyperlink xmlns:r="http://schemas.openxmlformats.org/officeDocument/2006/relationships" ref="A28" r:id="rId52"/>
    <hyperlink xmlns:r="http://schemas.openxmlformats.org/officeDocument/2006/relationships" ref="B28" r:id="rId53"/>
    <hyperlink xmlns:r="http://schemas.openxmlformats.org/officeDocument/2006/relationships" ref="A29" r:id="rId54"/>
    <hyperlink xmlns:r="http://schemas.openxmlformats.org/officeDocument/2006/relationships" ref="B29" r:id="rId55"/>
    <hyperlink xmlns:r="http://schemas.openxmlformats.org/officeDocument/2006/relationships" ref="A30" r:id="rId56"/>
    <hyperlink xmlns:r="http://schemas.openxmlformats.org/officeDocument/2006/relationships" ref="B30" r:id="rId57"/>
    <hyperlink xmlns:r="http://schemas.openxmlformats.org/officeDocument/2006/relationships" ref="A31" r:id="rId58"/>
    <hyperlink xmlns:r="http://schemas.openxmlformats.org/officeDocument/2006/relationships" ref="B31" r:id="rId59"/>
    <hyperlink xmlns:r="http://schemas.openxmlformats.org/officeDocument/2006/relationships" ref="A32" r:id="rId60"/>
    <hyperlink xmlns:r="http://schemas.openxmlformats.org/officeDocument/2006/relationships" ref="B32" r:id="rId61"/>
    <hyperlink xmlns:r="http://schemas.openxmlformats.org/officeDocument/2006/relationships" ref="A33" r:id="rId62"/>
    <hyperlink xmlns:r="http://schemas.openxmlformats.org/officeDocument/2006/relationships" ref="B33" r:id="rId63"/>
    <hyperlink xmlns:r="http://schemas.openxmlformats.org/officeDocument/2006/relationships" ref="A34" r:id="rId64"/>
    <hyperlink xmlns:r="http://schemas.openxmlformats.org/officeDocument/2006/relationships" ref="B34" r:id="rId65"/>
    <hyperlink xmlns:r="http://schemas.openxmlformats.org/officeDocument/2006/relationships" ref="A35" r:id="rId66"/>
    <hyperlink xmlns:r="http://schemas.openxmlformats.org/officeDocument/2006/relationships" ref="B35" r:id="rId67"/>
    <hyperlink xmlns:r="http://schemas.openxmlformats.org/officeDocument/2006/relationships" ref="B36" r:id="rId6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6" customWidth="1" min="1" max="1"/>
    <col width="36" customWidth="1" min="2" max="2"/>
    <col width="32" customWidth="1" min="3" max="3"/>
    <col width="8" customWidth="1" min="4" max="4"/>
    <col width="10" customWidth="1" min="5" max="5"/>
    <col width="7" customWidth="1" min="6" max="6"/>
    <col width="12" customWidth="1" min="7" max="7"/>
    <col width="70" customWidth="1" min="8" max="8"/>
    <col width="26" customWidth="1" min="9" max="9"/>
    <col width="70" customWidth="1" min="10" max="10"/>
    <col width="8" customWidth="1" min="11" max="11"/>
  </cols>
  <sheetData>
    <row r="1">
      <c r="A1" s="10" t="inlineStr">
        <is>
          <t>← 01 Executive Summary</t>
        </is>
      </c>
      <c r="B1" s="11" t="inlineStr">
        <is>
          <t>Content gaps - topics competitors cover or measured demand without a matching CodeSommet section</t>
        </is>
      </c>
    </row>
    <row r="2" ht="32" customHeight="1">
      <c r="A2" s="12" t="inlineStr">
        <is>
          <t>Page URL</t>
        </is>
      </c>
      <c r="B2" s="12" t="inlineStr">
        <is>
          <t>Missing Topic</t>
        </is>
      </c>
      <c r="C2" s="12" t="inlineStr">
        <is>
          <t>Keyword Opportunity</t>
        </is>
      </c>
      <c r="D2" s="12" t="inlineStr">
        <is>
          <t>Database</t>
        </is>
      </c>
      <c r="E2" s="12" t="inlineStr">
        <is>
          <t>Search Volume</t>
        </is>
      </c>
      <c r="F2" s="12" t="inlineStr">
        <is>
          <t>KD%</t>
        </is>
      </c>
      <c r="G2" s="12" t="inlineStr">
        <is>
          <t>Data Status</t>
        </is>
      </c>
      <c r="H2" s="12" t="inlineStr">
        <is>
          <t>Competitor Evidence</t>
        </is>
      </c>
      <c r="I2" s="12" t="inlineStr">
        <is>
          <t>User Intent</t>
        </is>
      </c>
      <c r="J2" s="12" t="inlineStr">
        <is>
          <t>Recommended Action</t>
        </is>
      </c>
      <c r="K2" s="12" t="inlineStr">
        <is>
          <t>Priority</t>
        </is>
      </c>
    </row>
    <row r="3">
      <c r="A3" s="3" t="inlineStr">
        <is>
          <t>https://codesommet.com/</t>
        </is>
      </c>
      <c r="B3" s="5" t="inlineStr">
        <is>
          <t>Price guide for website creation in Morocco</t>
        </is>
      </c>
      <c r="C3" t="inlineStr">
        <is>
          <t>creation site web maroc</t>
        </is>
      </c>
      <c r="D3" t="inlineStr">
        <is>
          <t>ma</t>
        </is>
      </c>
      <c r="E3" t="n">
        <v>1000</v>
      </c>
      <c r="F3" t="n">
        <v>22</v>
      </c>
      <c r="G3" t="inlineStr">
        <is>
          <t>MEASURED</t>
        </is>
      </c>
      <c r="H3" s="5" t="inlineStr">
        <is>
          <t>SERP top-10 for "creation site web maroc": websuccess.ma/blog/cout-creation-site-web-maroc (#2), rhillane.com/blog/prix-creation-site-web-maroc (#3), itlabspro.com (#8), dotma.ma (#9)</t>
        </is>
      </c>
      <c r="I3" s="5" t="inlineStr">
        <is>
          <t>Informational/commercial price research</t>
        </is>
      </c>
      <c r="J3" s="5" t="inlineStr">
        <is>
          <t>Publish one in-depth blog guide "Prix d'un site web au Maroc" linking to /get-quote and home; keep homepage as the commercial target (no new landing page)</t>
        </is>
      </c>
      <c r="K3" t="inlineStr">
        <is>
          <t>P1</t>
        </is>
      </c>
    </row>
    <row r="4">
      <c r="A4" s="3" t="inlineStr">
        <is>
          <t>https://codesommet.com/services/ecommerce-website-development</t>
        </is>
      </c>
      <c r="B4" s="5" t="inlineStr">
        <is>
          <t>E-commerce in Morocco guide (payments, delivery, legal)</t>
        </is>
      </c>
      <c r="C4" t="inlineStr">
        <is>
          <t>e-commerce maroc</t>
        </is>
      </c>
      <c r="D4" t="inlineStr">
        <is>
          <t>ma</t>
        </is>
      </c>
      <c r="E4" t="n">
        <v>480</v>
      </c>
      <c r="F4" t="n">
        <v>11</v>
      </c>
      <c r="G4" t="inlineStr">
        <is>
          <t>MEASURED</t>
        </is>
      </c>
      <c r="H4" s="5" t="inlineStr">
        <is>
          <t>rhillane.com/blog/e-commerce-maroc (#2), websuccess.ma/blog/e-commerce-maroc-guide-complet (#3/#5), energiedin.com/blog/e-commerce-maroc (#9), vala.ma/blog (e commerce #13)</t>
        </is>
      </c>
      <c r="I4" s="5" t="inlineStr">
        <is>
          <t>Informational (480, KD 11 - lowest KD among MA terms &gt;100)</t>
        </is>
      </c>
      <c r="J4" s="5" t="inlineStr">
        <is>
          <t>Blog guide linking to the e-commerce service page; add a CMI/payment section to the service page</t>
        </is>
      </c>
      <c r="K4" t="inlineStr">
        <is>
          <t>P1</t>
        </is>
      </c>
    </row>
    <row r="5">
      <c r="A5" s="3" t="inlineStr">
        <is>
          <t>https://codesommet.com/services/ecommerce-website-development</t>
        </is>
      </c>
      <c r="B5" s="5" t="inlineStr">
        <is>
          <t>CMI / online payment integration content</t>
        </is>
      </c>
      <c r="C5" t="inlineStr">
        <is>
          <t>cmi paiement en ligne</t>
        </is>
      </c>
      <c r="D5" t="inlineStr">
        <is>
          <t>ma</t>
        </is>
      </c>
      <c r="E5" t="n">
        <v>170</v>
      </c>
      <c r="F5" t="inlineStr">
        <is>
          <t>NOT AVAILABLE</t>
        </is>
      </c>
      <c r="G5" t="inlineStr">
        <is>
          <t>MEASURED</t>
        </is>
      </c>
      <c r="H5" s="5" t="inlineStr">
        <is>
          <t>No competitor page found in pulled data (Semrush resource_organic top-25)</t>
        </is>
      </c>
      <c r="I5" s="5" t="inlineStr">
        <is>
          <t>Merchant how-to</t>
        </is>
      </c>
      <c r="J5" s="5" t="inlineStr">
        <is>
          <t>Add a short section + FAQ on the e-commerce page (no new page)</t>
        </is>
      </c>
      <c r="K5" t="inlineStr">
        <is>
          <t>P1</t>
        </is>
      </c>
    </row>
    <row r="6">
      <c r="A6" s="3" t="inlineStr">
        <is>
          <t>https://codesommet.com/web-development-company/worldwide</t>
        </is>
      </c>
      <c r="B6" s="5" t="inlineStr">
        <is>
          <t>FR-market "développement web sur mesure" positioning</t>
        </is>
      </c>
      <c r="C6" t="inlineStr">
        <is>
          <t>développement web sur mesure</t>
        </is>
      </c>
      <c r="D6" t="inlineStr">
        <is>
          <t>fr</t>
        </is>
      </c>
      <c r="E6" t="n">
        <v>1600</v>
      </c>
      <c r="F6" t="n">
        <v>10</v>
      </c>
      <c r="G6" t="inlineStr">
        <is>
          <t>MEASURED</t>
        </is>
      </c>
      <c r="H6" s="5" t="inlineStr">
        <is>
          <t>FR SERP: codyweb.fr, kapt.mobi, lafabriquedunet.fr, ozytis.fr, lonestone.io (French agencies) - no offshore player in top 10</t>
        </is>
      </c>
      <c r="I6" s="5" t="inlineStr">
        <is>
          <t>Commercial (FR 1600, KD 10)</t>
        </is>
      </c>
      <c r="J6" s="5" t="inlineStr">
        <is>
          <t>Add a "Développement web sur mesure depuis le Maroc" section on /worldwide (FR audience); evaluate a FR-facing landing page only after the section shows impressions</t>
        </is>
      </c>
      <c r="K6" t="inlineStr">
        <is>
          <t>P2</t>
        </is>
      </c>
    </row>
    <row r="7">
      <c r="A7" s="3" t="inlineStr">
        <is>
          <t>https://codesommet.com/services/saas-platform-development</t>
        </is>
      </c>
      <c r="B7" s="5" t="inlineStr">
        <is>
          <t>Custom web application development (non-SaaS)</t>
        </is>
      </c>
      <c r="C7" t="inlineStr">
        <is>
          <t>développement application web</t>
        </is>
      </c>
      <c r="D7" t="inlineStr">
        <is>
          <t>fr</t>
        </is>
      </c>
      <c r="E7" t="n">
        <v>1000</v>
      </c>
      <c r="F7" t="n">
        <v>16</v>
      </c>
      <c r="G7" t="inlineStr">
        <is>
          <t>MEASURED</t>
        </is>
      </c>
      <c r="H7" s="5" t="inlineStr">
        <is>
          <t>FR 1000, KD 16; no CodeSommet page targets it</t>
        </is>
      </c>
      <c r="I7" s="5" t="inlineStr">
        <is>
          <t>Commercial</t>
        </is>
      </c>
      <c r="J7" s="5" t="inlineStr">
        <is>
          <t>Strengthen SaaS &amp; B2B page copy + FAQ first; a dedicated "/services/developpement-application-web" page is a Priority-3 option</t>
        </is>
      </c>
      <c r="K7" t="inlineStr">
        <is>
          <t>P3</t>
        </is>
      </c>
    </row>
    <row r="8">
      <c r="A8" s="3" t="inlineStr">
        <is>
          <t>https://codesommet.com/</t>
        </is>
      </c>
      <c r="B8" s="5" t="inlineStr">
        <is>
          <t>Website redesign (refonte) offer</t>
        </is>
      </c>
      <c r="C8" t="inlineStr">
        <is>
          <t>refonte site web</t>
        </is>
      </c>
      <c r="D8" t="inlineStr">
        <is>
          <t>fr</t>
        </is>
      </c>
      <c r="E8" t="n">
        <v>1900</v>
      </c>
      <c r="F8" t="n">
        <v>24</v>
      </c>
      <c r="G8" t="inlineStr">
        <is>
          <t>MEASURED</t>
        </is>
      </c>
      <c r="H8" s="5" t="inlineStr">
        <is>
          <t>FR 1900, KD 24; CA 390, KD 6; MA 20 - no CodeSommet page/section</t>
        </is>
      </c>
      <c r="I8" s="5" t="inlineStr">
        <is>
          <t>Commercial</t>
        </is>
      </c>
      <c r="J8" s="5" t="inlineStr">
        <is>
          <t>Add a refonte paragraph to the homepage pricing/services sections; consider a service page only if FR/CA targeting is confirmed</t>
        </is>
      </c>
      <c r="K8" t="inlineStr">
        <is>
          <t>P3</t>
        </is>
      </c>
    </row>
    <row r="9">
      <c r="A9" s="3" t="inlineStr">
        <is>
          <t>https://codesommet.com/</t>
        </is>
      </c>
      <c r="B9" s="5" t="inlineStr">
        <is>
          <t>Site vitrine offer</t>
        </is>
      </c>
      <c r="C9" t="inlineStr">
        <is>
          <t>création site vitrine</t>
        </is>
      </c>
      <c r="D9" t="inlineStr">
        <is>
          <t>fr</t>
        </is>
      </c>
      <c r="E9" t="n">
        <v>1900</v>
      </c>
      <c r="F9" t="n">
        <v>23</v>
      </c>
      <c r="G9" t="inlineStr">
        <is>
          <t>MEASURED</t>
        </is>
      </c>
      <c r="H9" s="5" t="inlineStr">
        <is>
          <t>FR 1900, KD 23; MA 20</t>
        </is>
      </c>
      <c r="I9" s="5" t="inlineStr">
        <is>
          <t>Commercial</t>
        </is>
      </c>
      <c r="J9" s="5" t="inlineStr">
        <is>
          <t>Mention "site vitrine" explicitly in homepage pricing cards (currently "Développement de Site Web")</t>
        </is>
      </c>
      <c r="K9" t="inlineStr">
        <is>
          <t>P2</t>
        </is>
      </c>
    </row>
    <row r="10">
      <c r="A10" s="3" t="inlineStr">
        <is>
          <t>https://codesommet.com/services/seo-maroc</t>
        </is>
      </c>
      <c r="B10" s="5" t="inlineStr">
        <is>
          <t>Local SEO Marrakech section depth</t>
        </is>
      </c>
      <c r="C10" t="inlineStr">
        <is>
          <t>agence seo marrakech</t>
        </is>
      </c>
      <c r="D10" t="inlineStr">
        <is>
          <t>ma</t>
        </is>
      </c>
      <c r="E10" t="n">
        <v>320</v>
      </c>
      <c r="F10" t="n">
        <v>20</v>
      </c>
      <c r="G10" t="inlineStr">
        <is>
          <t>MEASURED</t>
        </is>
      </c>
      <c r="H10" s="5" t="inlineStr">
        <is>
          <t>energiedin.com/agence-seo-marrakech (#5, 320 vol) has a dedicated page; KD 20, CPC 6.43</t>
        </is>
      </c>
      <c r="I10" s="5" t="inlineStr">
        <is>
          <t>Commercial local</t>
        </is>
      </c>
      <c r="J10" s="5" t="inlineStr">
        <is>
          <t>Expand the existing "Référencement Local dans Tout le Maroc" section with a Marrakech paragraph; dedicated page only if the section ranks top-20</t>
        </is>
      </c>
      <c r="K10" t="inlineStr">
        <is>
          <t>P2</t>
        </is>
      </c>
    </row>
    <row r="11">
      <c r="A11" s="3" t="inlineStr">
        <is>
          <t>https://codesommet.com/tools/website-analyzer</t>
        </is>
      </c>
      <c r="B11" s="5" t="inlineStr">
        <is>
          <t>Free SEO audit positioning</t>
        </is>
      </c>
      <c r="C11" t="inlineStr">
        <is>
          <t>audit seo gratuit</t>
        </is>
      </c>
      <c r="D11" t="inlineStr">
        <is>
          <t>fr</t>
        </is>
      </c>
      <c r="E11" t="n">
        <v>1900</v>
      </c>
      <c r="F11" t="n">
        <v>31</v>
      </c>
      <c r="G11" t="inlineStr">
        <is>
          <t>MEASURED</t>
        </is>
      </c>
      <c r="H11" s="5" t="inlineStr">
        <is>
          <t>FR 1900, KD 31 - title currently "Analyseur de Site Web - Audit SEO Gratuit" (keyword present but second)</t>
        </is>
      </c>
      <c r="I11" s="5" t="inlineStr">
        <is>
          <t>Tool/commercial-adjacent</t>
        </is>
      </c>
      <c r="J11" s="5" t="inlineStr">
        <is>
          <t>Keep; optionally lead the title with "Audit SEO Gratuit" (see sheet 11)</t>
        </is>
      </c>
      <c r="K11" t="inlineStr">
        <is>
          <t>P2</t>
        </is>
      </c>
    </row>
    <row r="12">
      <c r="A12" s="3" t="inlineStr">
        <is>
          <t>https://codesommet.com/services/healthcare-website-development</t>
        </is>
      </c>
      <c r="B12" s="5" t="inlineStr">
        <is>
          <t>Agency positioning for health sector</t>
        </is>
      </c>
      <c r="C12" t="inlineStr">
        <is>
          <t>agence web santé</t>
        </is>
      </c>
      <c r="D12" t="inlineStr">
        <is>
          <t>fr</t>
        </is>
      </c>
      <c r="E12" t="n">
        <v>590</v>
      </c>
      <c r="F12" t="n">
        <v>28</v>
      </c>
      <c r="G12" t="inlineStr">
        <is>
          <t>MEASURED</t>
        </is>
      </c>
      <c r="H12" s="5" t="inlineStr">
        <is>
          <t>FR 590, KD 28</t>
        </is>
      </c>
      <c r="I12" s="5" t="inlineStr">
        <is>
          <t>Commercial</t>
        </is>
      </c>
      <c r="J12" s="5" t="inlineStr">
        <is>
          <t>Title/H1 use "Développement de Sites Web Santé" - add "agence web santé" naturally in intro copy</t>
        </is>
      </c>
      <c r="K12" t="inlineStr">
        <is>
          <t>P2</t>
        </is>
      </c>
    </row>
    <row r="13">
      <c r="A13" s="3" t="inlineStr">
        <is>
          <t>https://codesommet.com/</t>
        </is>
      </c>
      <c r="B13" s="5" t="inlineStr">
        <is>
          <t>Domain name (.ma) guidance</t>
        </is>
      </c>
      <c r="C13" t="inlineStr">
        <is>
          <t>nom de domaine maroc</t>
        </is>
      </c>
      <c r="D13" t="inlineStr">
        <is>
          <t>ma</t>
        </is>
      </c>
      <c r="E13" t="n">
        <v>880</v>
      </c>
      <c r="F13" t="n">
        <v>42</v>
      </c>
      <c r="G13" t="inlineStr">
        <is>
          <t>MEASURED</t>
        </is>
      </c>
      <c r="H13" s="5" t="inlineStr">
        <is>
          <t>hostino.ma (#8, 880 vol), vala.ma (nom de domaine au maroc #7)</t>
        </is>
      </c>
      <c r="I13" s="5" t="inlineStr">
        <is>
          <t>Registrar/hosting</t>
        </is>
      </c>
      <c r="J13" s="5" t="inlineStr">
        <is>
          <t>Not a CodeSommet product - at most a blog how-to linking to services; do not target on commercial pages</t>
        </is>
      </c>
      <c r="K13" t="inlineStr">
        <is>
          <t>P4</t>
        </is>
      </c>
    </row>
    <row r="14">
      <c r="A14" s="3" t="inlineStr">
        <is>
          <t>https://codesommet.com/web-development-company/marrakech</t>
        </is>
      </c>
      <c r="B14" s="5" t="inlineStr">
        <is>
          <t>Tourism / hospitality website angle</t>
        </is>
      </c>
      <c r="C14" t="inlineStr">
        <is>
          <t>création site web hôtel</t>
        </is>
      </c>
      <c r="D14" t="inlineStr">
        <is>
          <t>ma</t>
        </is>
      </c>
      <c r="E14" t="inlineStr">
        <is>
          <t>NOT AVAILABLE</t>
        </is>
      </c>
      <c r="F14" t="inlineStr">
        <is>
          <t>NOT AVAILABLE</t>
        </is>
      </c>
      <c r="G14" t="inlineStr">
        <is>
          <t>UNAVAILABLE</t>
        </is>
      </c>
      <c r="H14" s="5" t="inlineStr">
        <is>
          <t>Two travel case studies exist (Morocco Quest, Authentic Morocco Adventures)</t>
        </is>
      </c>
      <c r="I14" s="5" t="inlineStr">
        <is>
          <t>Commercial local</t>
        </is>
      </c>
      <c r="J14" s="5" t="inlineStr">
        <is>
          <t>Add a sector paragraph + FAQ on the Marrakech page linking both case studies</t>
        </is>
      </c>
      <c r="K14" t="inlineStr">
        <is>
          <t>P2</t>
        </is>
      </c>
    </row>
    <row r="15">
      <c r="A15" s="3" t="inlineStr">
        <is>
          <t>https://codesommet.com/blog</t>
        </is>
      </c>
      <c r="B15" s="5" t="inlineStr">
        <is>
          <t>How-to: créer un site internet (FR)</t>
        </is>
      </c>
      <c r="C15" t="inlineStr">
        <is>
          <t>comment créer un site internet</t>
        </is>
      </c>
      <c r="D15" t="inlineStr">
        <is>
          <t>fr</t>
        </is>
      </c>
      <c r="E15" t="n">
        <v>2400</v>
      </c>
      <c r="F15" t="n">
        <v>52</v>
      </c>
      <c r="G15" t="inlineStr">
        <is>
          <t>MEASURED</t>
        </is>
      </c>
      <c r="H15" s="5" t="inlineStr">
        <is>
          <t>Semrush phrase_questions FR: 2400, KD 52 (dominated by Wix/WordPress guides)</t>
        </is>
      </c>
      <c r="I15" s="5" t="inlineStr">
        <is>
          <t>Informational DIY</t>
        </is>
      </c>
      <c r="J15" s="5" t="inlineStr">
        <is>
          <t>Low lead quality; only as a long-form guide that compares DIY vs agency</t>
        </is>
      </c>
      <c r="K15" t="inlineStr">
        <is>
          <t>P4</t>
        </is>
      </c>
    </row>
  </sheetData>
  <autoFilter ref="A2:K15"/>
  <conditionalFormatting sqref="A3:K15">
    <cfRule type="expression" priority="1" dxfId="2">
      <formula>$G3="MEASURED"</formula>
    </cfRule>
    <cfRule type="expression" priority="2" dxfId="3">
      <formula>$G3="ESTIMATED"</formula>
    </cfRule>
    <cfRule type="expression" priority="3" dxfId="4">
      <formula>$G3="SUGGESTED"</formula>
    </cfRule>
    <cfRule type="expression" priority="4" dxfId="5">
      <formula>$G3="UNAVAILABLE"</formula>
    </cfRule>
  </conditionalFormatting>
  <dataValidations count="1">
    <dataValidation sqref="K3:K15" showDropDown="0" showInputMessage="0" showErrorMessage="0" allowBlank="1" type="list">
      <formula1>"P1,P2,P3,P4"</formula1>
    </dataValidation>
  </dataValidations>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56" customWidth="1" min="3" max="3"/>
    <col width="70" customWidth="1" min="4" max="4"/>
    <col width="56" customWidth="1" min="5" max="5"/>
    <col width="18" customWidth="1" min="6" max="6"/>
    <col width="22" customWidth="1" min="7" max="7"/>
    <col width="8" customWidth="1" min="8" max="8"/>
    <col width="18" customWidth="1" min="9" max="9"/>
  </cols>
  <sheetData>
    <row r="1">
      <c r="A1" s="10" t="inlineStr">
        <is>
          <t>← 01 Executive Summary</t>
        </is>
      </c>
      <c r="B1" s="11" t="inlineStr">
        <is>
          <t>On-page recommendations - proposals only; NOTHING was changed on the website</t>
        </is>
      </c>
    </row>
    <row r="2" ht="32" customHeight="1">
      <c r="A2" s="12" t="inlineStr">
        <is>
          <t>Page URL</t>
        </is>
      </c>
      <c r="B2" s="12" t="inlineStr">
        <is>
          <t>Current Element</t>
        </is>
      </c>
      <c r="C2" s="12" t="inlineStr">
        <is>
          <t>Current Value</t>
        </is>
      </c>
      <c r="D2" s="12" t="inlineStr">
        <is>
          <t>Recommended Value</t>
        </is>
      </c>
      <c r="E2" s="12" t="inlineStr">
        <is>
          <t>Reason</t>
        </is>
      </c>
      <c r="F2" s="12" t="inlineStr">
        <is>
          <t>SEO Impact</t>
        </is>
      </c>
      <c r="G2" s="12" t="inlineStr">
        <is>
          <t>Risk Level</t>
        </is>
      </c>
      <c r="H2" s="12" t="inlineStr">
        <is>
          <t>Priority</t>
        </is>
      </c>
      <c r="I2" s="12" t="inlineStr">
        <is>
          <t>Implementation Status</t>
        </is>
      </c>
    </row>
    <row r="3">
      <c r="A3" s="3" t="inlineStr">
        <is>
          <t>https://codesommet.com/</t>
        </is>
      </c>
      <c r="B3" t="inlineStr">
        <is>
          <t>Title</t>
        </is>
      </c>
      <c r="C3" s="5" t="inlineStr">
        <is>
          <t>Création Site Web Maroc — Agence Web &amp; SaaS | CodeSommet</t>
        </is>
      </c>
      <c r="D3" s="5" t="inlineStr">
        <is>
          <t>Création Site Web Maroc – Agence Web &amp; SaaS | CodeSommet (573 px) || Création Site Web Maroc : Agence Web &amp; SaaS | CodeSommet (568 px) || Création de Site Web au Maroc | Agence Web CodeSommet (539 px)</t>
        </is>
      </c>
      <c r="E3" s="5" t="inlineStr">
        <is>
          <t>Title is 582 px (&gt; 580 px, risk of truncation; Seobility warning on home)</t>
        </is>
      </c>
      <c r="F3" t="inlineStr">
        <is>
          <t>CTR / snippet completeness</t>
        </is>
      </c>
      <c r="G3" s="5" t="inlineStr">
        <is>
          <t>Low</t>
        </is>
      </c>
      <c r="H3" t="inlineStr">
        <is>
          <t>P1</t>
        </is>
      </c>
      <c r="I3" t="inlineStr">
        <is>
          <t>Not started</t>
        </is>
      </c>
    </row>
    <row r="4">
      <c r="A4" s="3" t="inlineStr">
        <is>
          <t>https://codesommet.com/</t>
        </is>
      </c>
      <c r="B4" t="inlineStr">
        <is>
          <t>FAQ</t>
        </is>
      </c>
      <c r="C4" s="5" t="inlineStr">
        <is>
          <t>0 existing FAQs</t>
        </is>
      </c>
      <c r="D4" s="5" t="inlineStr">
        <is>
          <t>Add: "Combien coûte la création d'un site web au Maroc ?"</t>
        </is>
      </c>
      <c r="E4" s="5" t="inlineStr">
        <is>
          <t>Price is the first filter before contacting an agency; 4 of the top-10 results for "creation site web maroc" are price guides (websuccess, rhillane, itlabspro, dotma).</t>
        </is>
      </c>
      <c r="F4" t="inlineStr">
        <is>
          <t>Long-tail coverage + conversion</t>
        </is>
      </c>
      <c r="G4" s="5" t="inlineStr">
        <is>
          <t>Low</t>
        </is>
      </c>
      <c r="H4" t="inlineStr">
        <is>
          <t>P1</t>
        </is>
      </c>
      <c r="I4" t="inlineStr">
        <is>
          <t>Not started</t>
        </is>
      </c>
    </row>
    <row r="5">
      <c r="A5" s="3" t="inlineStr">
        <is>
          <t>https://codesommet.com/</t>
        </is>
      </c>
      <c r="B5" t="inlineStr">
        <is>
          <t>FAQ</t>
        </is>
      </c>
      <c r="C5" s="5" t="inlineStr">
        <is>
          <t>0 existing FAQs</t>
        </is>
      </c>
      <c r="D5" s="5" t="inlineStr">
        <is>
          <t>Add: "Comment créer un site web professionnel pour mon entreprise ?"</t>
        </is>
      </c>
      <c r="E5" s="5" t="inlineStr">
        <is>
          <t>Business owners research the process before hiring (MA 170).</t>
        </is>
      </c>
      <c r="F5" t="inlineStr">
        <is>
          <t>Long-tail coverage + conversion</t>
        </is>
      </c>
      <c r="G5" s="5" t="inlineStr">
        <is>
          <t>Low</t>
        </is>
      </c>
      <c r="H5" t="inlineStr">
        <is>
          <t>P1</t>
        </is>
      </c>
      <c r="I5" t="inlineStr">
        <is>
          <t>Not started</t>
        </is>
      </c>
    </row>
    <row r="6">
      <c r="A6" s="3" t="inlineStr">
        <is>
          <t>https://codesommet.com/get-quote</t>
        </is>
      </c>
      <c r="B6" t="inlineStr">
        <is>
          <t>FAQ</t>
        </is>
      </c>
      <c r="C6" s="5" t="inlineStr">
        <is>
          <t>0 existing FAQs</t>
        </is>
      </c>
      <c r="D6" s="5" t="inlineStr">
        <is>
          <t>Add: "Que contient un devis de création de site internet ?"</t>
        </is>
      </c>
      <c r="E6" s="5" t="inlineStr">
        <is>
          <t>FR 880, KD 16 - highest quote-intent query found; MA 20-30.</t>
        </is>
      </c>
      <c r="F6" t="inlineStr">
        <is>
          <t>Long-tail coverage + conversion</t>
        </is>
      </c>
      <c r="G6" s="5" t="inlineStr">
        <is>
          <t>Low</t>
        </is>
      </c>
      <c r="H6" t="inlineStr">
        <is>
          <t>P1</t>
        </is>
      </c>
      <c r="I6" t="inlineStr">
        <is>
          <t>Not started</t>
        </is>
      </c>
    </row>
    <row r="7">
      <c r="A7" s="3" t="inlineStr">
        <is>
          <t>https://codesommet.com/services/ecommerce-website-development</t>
        </is>
      </c>
      <c r="B7" t="inlineStr">
        <is>
          <t>FAQ</t>
        </is>
      </c>
      <c r="C7" s="5" t="inlineStr">
        <is>
          <t>8 existing FAQs</t>
        </is>
      </c>
      <c r="D7" s="5" t="inlineStr">
        <is>
          <t>Add: "Combien coûte un site e-commerce au Maroc ?"</t>
        </is>
      </c>
      <c r="E7" s="5" t="inlineStr">
        <is>
          <t>Price comparison before choosing between Shopify/WooCommerce/sur-mesure (FR 170, KD 23; MA 10).</t>
        </is>
      </c>
      <c r="F7" t="inlineStr">
        <is>
          <t>Long-tail coverage + conversion</t>
        </is>
      </c>
      <c r="G7" s="5" t="inlineStr">
        <is>
          <t>Low</t>
        </is>
      </c>
      <c r="H7" t="inlineStr">
        <is>
          <t>P1</t>
        </is>
      </c>
      <c r="I7" t="inlineStr">
        <is>
          <t>Not started</t>
        </is>
      </c>
    </row>
    <row r="8">
      <c r="A8" s="3" t="inlineStr">
        <is>
          <t>https://codesommet.com/services/ecommerce-website-development</t>
        </is>
      </c>
      <c r="B8" t="inlineStr">
        <is>
          <t>FAQ</t>
        </is>
      </c>
      <c r="C8" s="5" t="inlineStr">
        <is>
          <t>8 existing FAQs</t>
        </is>
      </c>
      <c r="D8" s="5" t="inlineStr">
        <is>
          <t>Add: "Comment intégrer le paiement en ligne CMI sur un site e-commerce ?"</t>
        </is>
      </c>
      <c r="E8" s="5" t="inlineStr">
        <is>
          <t>Moroccan merchants need CMI/bank acquiring (MA 170) - strong local trust signal.</t>
        </is>
      </c>
      <c r="F8" t="inlineStr">
        <is>
          <t>Long-tail coverage + conversion</t>
        </is>
      </c>
      <c r="G8" s="5" t="inlineStr">
        <is>
          <t>Low</t>
        </is>
      </c>
      <c r="H8" t="inlineStr">
        <is>
          <t>P1</t>
        </is>
      </c>
      <c r="I8" t="inlineStr">
        <is>
          <t>Not started</t>
        </is>
      </c>
    </row>
    <row r="9">
      <c r="A9" s="3" t="inlineStr">
        <is>
          <t>https://codesommet.com/services/seo-maroc</t>
        </is>
      </c>
      <c r="B9" t="inlineStr">
        <is>
          <t>Title</t>
        </is>
      </c>
      <c r="C9" s="5" t="inlineStr">
        <is>
          <t>Agence SEO Maroc — Référencement Naturel Google | CodeSommet</t>
        </is>
      </c>
      <c r="D9" s="5" t="inlineStr">
        <is>
          <t>Agence SEO Maroc : Référencement Naturel | CodeSommet (541 px) || Agence SEO Maroc – Référencement Google | CodeSommet (546 px)</t>
        </is>
      </c>
      <c r="E9" s="5" t="inlineStr">
        <is>
          <t>Title is 625 px (&gt; 580 px, risk of truncation; Seobility warning on home)</t>
        </is>
      </c>
      <c r="F9" t="inlineStr">
        <is>
          <t>CTR / snippet completeness</t>
        </is>
      </c>
      <c r="G9" s="5" t="inlineStr">
        <is>
          <t>Low</t>
        </is>
      </c>
      <c r="H9" t="inlineStr">
        <is>
          <t>P1</t>
        </is>
      </c>
      <c r="I9" t="inlineStr">
        <is>
          <t>Not started</t>
        </is>
      </c>
    </row>
    <row r="10">
      <c r="A10" s="3" t="inlineStr">
        <is>
          <t>https://codesommet.com/services/seo-maroc</t>
        </is>
      </c>
      <c r="B10" t="inlineStr">
        <is>
          <t>FAQ</t>
        </is>
      </c>
      <c r="C10" s="5" t="inlineStr">
        <is>
          <t>8 existing FAQs</t>
        </is>
      </c>
      <c r="D10" s="5" t="inlineStr">
        <is>
          <t>Add: "Combien coûte une prestation SEO au Maroc ?"</t>
        </is>
      </c>
      <c r="E10" s="5" t="inlineStr">
        <is>
          <t>Price comparison between agencies (competitors publish packages).</t>
        </is>
      </c>
      <c r="F10" t="inlineStr">
        <is>
          <t>Long-tail coverage + conversion</t>
        </is>
      </c>
      <c r="G10" s="5" t="inlineStr">
        <is>
          <t>Low</t>
        </is>
      </c>
      <c r="H10" t="inlineStr">
        <is>
          <t>P1</t>
        </is>
      </c>
      <c r="I10" t="inlineStr">
        <is>
          <t>Not started</t>
        </is>
      </c>
    </row>
    <row r="11">
      <c r="A11" s="3" t="inlineStr">
        <is>
          <t>https://codesommet.com/services/seo-maroc</t>
        </is>
      </c>
      <c r="B11" t="inlineStr">
        <is>
          <t>FAQ</t>
        </is>
      </c>
      <c r="C11" s="5" t="inlineStr">
        <is>
          <t>8 existing FAQs</t>
        </is>
      </c>
      <c r="D11" s="5" t="inlineStr">
        <is>
          <t>Add: "Proposez-vous un audit SEO gratuit ?"</t>
        </is>
      </c>
      <c r="E11" s="5" t="inlineStr">
        <is>
          <t>FR 1900, KD 31; MA 20 - lead magnet query.</t>
        </is>
      </c>
      <c r="F11" t="inlineStr">
        <is>
          <t>Long-tail coverage + conversion</t>
        </is>
      </c>
      <c r="G11" s="5" t="inlineStr">
        <is>
          <t>Low</t>
        </is>
      </c>
      <c r="H11" t="inlineStr">
        <is>
          <t>P1</t>
        </is>
      </c>
      <c r="I11" t="inlineStr">
        <is>
          <t>Not started</t>
        </is>
      </c>
    </row>
    <row r="12">
      <c r="A12" s="3" t="inlineStr">
        <is>
          <t>https://codesommet.com/tools/website-analyzer</t>
        </is>
      </c>
      <c r="B12" t="inlineStr">
        <is>
          <t>FAQ</t>
        </is>
      </c>
      <c r="C12" s="5" t="inlineStr">
        <is>
          <t>8 existing FAQs</t>
        </is>
      </c>
      <c r="D12" s="5" t="inlineStr">
        <is>
          <t>Add: "L'audit SEO de ce site est-il vraiment gratuit et sans inscription ?"</t>
        </is>
      </c>
      <c r="E12" s="5" t="inlineStr">
        <is>
          <t>FR 1900 / 880 / 590.</t>
        </is>
      </c>
      <c r="F12" t="inlineStr">
        <is>
          <t>Long-tail coverage + conversion</t>
        </is>
      </c>
      <c r="G12" s="5" t="inlineStr">
        <is>
          <t>Low</t>
        </is>
      </c>
      <c r="H12" t="inlineStr">
        <is>
          <t>P1</t>
        </is>
      </c>
      <c r="I12" t="inlineStr">
        <is>
          <t>Not started</t>
        </is>
      </c>
    </row>
    <row r="13">
      <c r="A13" s="3" t="inlineStr">
        <is>
          <t>https://codesommet.com/web-development-company/casablanca</t>
        </is>
      </c>
      <c r="B13" t="inlineStr">
        <is>
          <t>FAQ</t>
        </is>
      </c>
      <c r="C13" s="5" t="inlineStr">
        <is>
          <t>6 existing FAQs</t>
        </is>
      </c>
      <c r="D13" s="5" t="inlineStr">
        <is>
          <t>Add: "Combien coûte la création d'un site web à Casablanca ?"</t>
        </is>
      </c>
      <c r="E13" s="5" t="inlineStr">
        <is>
          <t>Local price research.</t>
        </is>
      </c>
      <c r="F13" t="inlineStr">
        <is>
          <t>Long-tail coverage + conversion</t>
        </is>
      </c>
      <c r="G13" s="5" t="inlineStr">
        <is>
          <t>Low</t>
        </is>
      </c>
      <c r="H13" t="inlineStr">
        <is>
          <t>P1</t>
        </is>
      </c>
      <c r="I13" t="inlineStr">
        <is>
          <t>Not started</t>
        </is>
      </c>
    </row>
    <row r="14">
      <c r="A14" s="3" t="inlineStr">
        <is>
          <t>https://codesommet.com/web-development-company/marrakech</t>
        </is>
      </c>
      <c r="B14" t="inlineStr">
        <is>
          <t>FAQ</t>
        </is>
      </c>
      <c r="C14" s="5" t="inlineStr">
        <is>
          <t>6 existing FAQs</t>
        </is>
      </c>
      <c r="D14" s="5" t="inlineStr">
        <is>
          <t>Add: "Combien coûte la création d'un site web à Marrakech ?"</t>
        </is>
      </c>
      <c r="E14" s="5" t="inlineStr">
        <is>
          <t>Local price research.</t>
        </is>
      </c>
      <c r="F14" t="inlineStr">
        <is>
          <t>Long-tail coverage + conversion</t>
        </is>
      </c>
      <c r="G14" s="5" t="inlineStr">
        <is>
          <t>Low</t>
        </is>
      </c>
      <c r="H14" t="inlineStr">
        <is>
          <t>P1</t>
        </is>
      </c>
      <c r="I14" t="inlineStr">
        <is>
          <t>Not started</t>
        </is>
      </c>
    </row>
    <row r="15">
      <c r="A15" s="3" t="inlineStr">
        <is>
          <t>https://codesommet.com/web-development-company/worldwide</t>
        </is>
      </c>
      <c r="B15" t="inlineStr">
        <is>
          <t>FAQ</t>
        </is>
      </c>
      <c r="C15" s="5" t="inlineStr">
        <is>
          <t>6 existing FAQs</t>
        </is>
      </c>
      <c r="D15" s="5" t="inlineStr">
        <is>
          <t>Add: "Pourquoi externaliser le développement web au Maroc ?"</t>
        </is>
      </c>
      <c r="E15" s="5" t="inlineStr">
        <is>
          <t>Decision question for French/Belgian SMEs considering offshore.</t>
        </is>
      </c>
      <c r="F15" t="inlineStr">
        <is>
          <t>Long-tail coverage + conversion</t>
        </is>
      </c>
      <c r="G15" s="5" t="inlineStr">
        <is>
          <t>Low</t>
        </is>
      </c>
      <c r="H15" t="inlineStr">
        <is>
          <t>P1</t>
        </is>
      </c>
      <c r="I15" t="inlineStr">
        <is>
          <t>Not started</t>
        </is>
      </c>
    </row>
    <row r="16">
      <c r="A16" s="3" t="inlineStr">
        <is>
          <t>https://codesommet.com/</t>
        </is>
      </c>
      <c r="B16" t="inlineStr">
        <is>
          <t>Heading count</t>
        </is>
      </c>
      <c r="C16" s="5" t="inlineStr">
        <is>
          <t>30 headings / 2093 words</t>
        </is>
      </c>
      <c r="D16" s="5" t="inlineStr">
        <is>
          <t>Demote decorative headings (card labels, step titles) to styled &lt;div class="hd-3"&gt; per existing pattern; keep H2 skeleton</t>
        </is>
      </c>
      <c r="E16" s="5" t="inlineStr">
        <is>
          <t>Seobility flags disproportionate heading count (home: 30 headings)</t>
        </is>
      </c>
      <c r="F16" t="inlineStr">
        <is>
          <t>Page-structure score</t>
        </is>
      </c>
      <c r="G16" s="5" t="inlineStr">
        <is>
          <t>Low (visual check needed)</t>
        </is>
      </c>
      <c r="H16" t="inlineStr">
        <is>
          <t>P2</t>
        </is>
      </c>
      <c r="I16" t="inlineStr">
        <is>
          <t>Not started</t>
        </is>
      </c>
    </row>
    <row r="17">
      <c r="A17" s="3" t="inlineStr">
        <is>
          <t>https://codesommet.com/</t>
        </is>
      </c>
      <c r="B17" t="inlineStr">
        <is>
          <t>Internal link</t>
        </is>
      </c>
      <c r="C17" s="5" t="inlineStr">
        <is>
          <t>Body link to /web-development-company/marrakech absent in main content</t>
        </is>
      </c>
      <c r="D17" s="5" t="inlineStr">
        <is>
          <t>Contextual link to /web-development-company/marrakech with anchor "création de site web à Marrakech"</t>
        </is>
      </c>
      <c r="E17" s="5" t="inlineStr">
        <is>
          <t>Pass topical relevance to the page that owns the keyword; varied anchors</t>
        </is>
      </c>
      <c r="F17" t="inlineStr">
        <is>
          <t>Crawl + relevance</t>
        </is>
      </c>
      <c r="G17" s="5" t="inlineStr">
        <is>
          <t>Low</t>
        </is>
      </c>
      <c r="H17" t="inlineStr">
        <is>
          <t>P2</t>
        </is>
      </c>
      <c r="I17" t="inlineStr">
        <is>
          <t>Not started</t>
        </is>
      </c>
    </row>
    <row r="18">
      <c r="A18" s="3" t="inlineStr">
        <is>
          <t>https://codesommet.com/</t>
        </is>
      </c>
      <c r="B18" t="inlineStr">
        <is>
          <t>Internal link</t>
        </is>
      </c>
      <c r="C18" s="5" t="inlineStr">
        <is>
          <t>Body link to /services/seo-maroc absent in main content</t>
        </is>
      </c>
      <c r="D18" s="5" t="inlineStr">
        <is>
          <t>Contextual link to /services/seo-maroc with anchor "agence SEO au Maroc"</t>
        </is>
      </c>
      <c r="E18" s="5" t="inlineStr">
        <is>
          <t>Pass topical relevance to the page that owns the keyword; varied anchors</t>
        </is>
      </c>
      <c r="F18" t="inlineStr">
        <is>
          <t>Crawl + relevance</t>
        </is>
      </c>
      <c r="G18" s="5" t="inlineStr">
        <is>
          <t>Low</t>
        </is>
      </c>
      <c r="H18" t="inlineStr">
        <is>
          <t>P2</t>
        </is>
      </c>
      <c r="I18" t="inlineStr">
        <is>
          <t>Not started</t>
        </is>
      </c>
    </row>
    <row r="19">
      <c r="A19" s="3" t="inlineStr">
        <is>
          <t>https://codesommet.com/blog/site-web-fintech-7-elements-qui-rassurent-un-visiteur</t>
        </is>
      </c>
      <c r="B19" t="inlineStr">
        <is>
          <t>H1</t>
        </is>
      </c>
      <c r="C19" s="5" t="inlineStr">
        <is>
          <t>Site web fintech : les 7 éléments qui rassurent un visiteur avant qu'il ne vous contacte</t>
        </is>
      </c>
      <c r="D19" s="5" t="inlineStr">
        <is>
          <t>Consider including "éléments de réassurance site web" naturally (keep single H1)</t>
        </is>
      </c>
      <c r="E19" s="5" t="inlineStr">
        <is>
          <t>Primary keyword absent from H1</t>
        </is>
      </c>
      <c r="F19" t="inlineStr">
        <is>
          <t>Relevance</t>
        </is>
      </c>
      <c r="G19" s="5" t="inlineStr">
        <is>
          <t>Low</t>
        </is>
      </c>
      <c r="H19" t="inlineStr">
        <is>
          <t>P2</t>
        </is>
      </c>
      <c r="I19" t="inlineStr">
        <is>
          <t>Not started</t>
        </is>
      </c>
    </row>
    <row r="20">
      <c r="A20" s="3" t="inlineStr">
        <is>
          <t>https://codesommet.com/our-work/akoubri</t>
        </is>
      </c>
      <c r="B20" t="inlineStr">
        <is>
          <t>H1</t>
        </is>
      </c>
      <c r="C20" s="5" t="inlineStr">
        <is>
          <t>Akoubri Site d'Architecte à Marrakech</t>
        </is>
      </c>
      <c r="D20" s="5" t="inlineStr">
        <is>
          <t>Consider including "création site web architecte" naturally (keep single H1)</t>
        </is>
      </c>
      <c r="E20" s="5" t="inlineStr">
        <is>
          <t>Primary keyword absent from H1</t>
        </is>
      </c>
      <c r="F20" t="inlineStr">
        <is>
          <t>Relevance</t>
        </is>
      </c>
      <c r="G20" s="5" t="inlineStr">
        <is>
          <t>Low</t>
        </is>
      </c>
      <c r="H20" t="inlineStr">
        <is>
          <t>P2</t>
        </is>
      </c>
      <c r="I20" t="inlineStr">
        <is>
          <t>Not started</t>
        </is>
      </c>
    </row>
    <row r="21">
      <c r="A21" s="3" t="inlineStr">
        <is>
          <t>https://codesommet.com/our-work/authentic-morocco-adventures</t>
        </is>
      </c>
      <c r="B21" t="inlineStr">
        <is>
          <t>H1</t>
        </is>
      </c>
      <c r="C21" s="5" t="inlineStr">
        <is>
          <t>Authentic Morocco Adventures Circuits Privés</t>
        </is>
      </c>
      <c r="D21" s="5" t="inlineStr">
        <is>
          <t>Consider including "site web agence de voyage" naturally (keep single H1)</t>
        </is>
      </c>
      <c r="E21" s="5" t="inlineStr">
        <is>
          <t>Primary keyword absent from H1</t>
        </is>
      </c>
      <c r="F21" t="inlineStr">
        <is>
          <t>Relevance</t>
        </is>
      </c>
      <c r="G21" s="5" t="inlineStr">
        <is>
          <t>Low</t>
        </is>
      </c>
      <c r="H21" t="inlineStr">
        <is>
          <t>P2</t>
        </is>
      </c>
      <c r="I21" t="inlineStr">
        <is>
          <t>Not started</t>
        </is>
      </c>
    </row>
    <row r="22">
      <c r="A22" s="3" t="inlineStr">
        <is>
          <t>https://codesommet.com/our-work/glamworlds</t>
        </is>
      </c>
      <c r="B22" t="inlineStr">
        <is>
          <t>H1</t>
        </is>
      </c>
      <c r="C22" s="5" t="inlineStr">
        <is>
          <t>GlamWorlds Boutique Shopify de Lunettes</t>
        </is>
      </c>
      <c r="D22" s="5" t="inlineStr">
        <is>
          <t>Consider including "création boutique shopify" naturally (keep single H1)</t>
        </is>
      </c>
      <c r="E22" s="5" t="inlineStr">
        <is>
          <t>Primary keyword absent from H1</t>
        </is>
      </c>
      <c r="F22" t="inlineStr">
        <is>
          <t>Relevance</t>
        </is>
      </c>
      <c r="G22" s="5" t="inlineStr">
        <is>
          <t>Low</t>
        </is>
      </c>
      <c r="H22" t="inlineStr">
        <is>
          <t>P2</t>
        </is>
      </c>
      <c r="I22" t="inlineStr">
        <is>
          <t>Not started</t>
        </is>
      </c>
    </row>
    <row r="23">
      <c r="A23" s="3" t="inlineStr">
        <is>
          <t>https://codesommet.com/our-work/morocco-quest</t>
        </is>
      </c>
      <c r="B23" t="inlineStr">
        <is>
          <t>H1</t>
        </is>
      </c>
      <c r="C23" s="5" t="inlineStr">
        <is>
          <t>Morocco Quest Agence de Voyage de Luxe</t>
        </is>
      </c>
      <c r="D23" s="5" t="inlineStr">
        <is>
          <t>Consider including "création site agence de voyage" naturally (keep single H1)</t>
        </is>
      </c>
      <c r="E23" s="5" t="inlineStr">
        <is>
          <t>Primary keyword absent from H1</t>
        </is>
      </c>
      <c r="F23" t="inlineStr">
        <is>
          <t>Relevance</t>
        </is>
      </c>
      <c r="G23" s="5" t="inlineStr">
        <is>
          <t>Low</t>
        </is>
      </c>
      <c r="H23" t="inlineStr">
        <is>
          <t>P2</t>
        </is>
      </c>
      <c r="I23" t="inlineStr">
        <is>
          <t>Not started</t>
        </is>
      </c>
    </row>
    <row r="24">
      <c r="A24" s="3" t="inlineStr">
        <is>
          <t>https://codesommet.com/our-work/morocco-quest</t>
        </is>
      </c>
      <c r="B24" t="inlineStr">
        <is>
          <t>Internal link</t>
        </is>
      </c>
      <c r="C24" s="5" t="inlineStr">
        <is>
          <t>Body link to /web-development-company/marrakech absent in main content</t>
        </is>
      </c>
      <c r="D24" s="5" t="inlineStr">
        <is>
          <t>Contextual link to /web-development-company/marrakech with anchor "agence web à Marrakech"</t>
        </is>
      </c>
      <c r="E24" s="5" t="inlineStr">
        <is>
          <t>Pass topical relevance to the page that owns the keyword; varied anchors</t>
        </is>
      </c>
      <c r="F24" t="inlineStr">
        <is>
          <t>Crawl + relevance</t>
        </is>
      </c>
      <c r="G24" s="5" t="inlineStr">
        <is>
          <t>Low</t>
        </is>
      </c>
      <c r="H24" t="inlineStr">
        <is>
          <t>P2</t>
        </is>
      </c>
      <c r="I24" t="inlineStr">
        <is>
          <t>Not started</t>
        </is>
      </c>
    </row>
    <row r="25">
      <c r="A25" s="3" t="inlineStr">
        <is>
          <t>https://codesommet.com/services/ecommerce-website-development</t>
        </is>
      </c>
      <c r="B25" t="inlineStr">
        <is>
          <t>Heading count</t>
        </is>
      </c>
      <c r="C25" s="5" t="inlineStr">
        <is>
          <t>46 headings / 2599 words</t>
        </is>
      </c>
      <c r="D25" s="5" t="inlineStr">
        <is>
          <t>Demote decorative headings (card labels, step titles) to styled &lt;div class="hd-3"&gt; per existing pattern; keep H2 skeleton</t>
        </is>
      </c>
      <c r="E25" s="5" t="inlineStr">
        <is>
          <t>Seobility flags disproportionate heading count (home: 30 headings)</t>
        </is>
      </c>
      <c r="F25" t="inlineStr">
        <is>
          <t>Page-structure score</t>
        </is>
      </c>
      <c r="G25" s="5" t="inlineStr">
        <is>
          <t>Low (visual check needed)</t>
        </is>
      </c>
      <c r="H25" t="inlineStr">
        <is>
          <t>P2</t>
        </is>
      </c>
      <c r="I25" t="inlineStr">
        <is>
          <t>Not started</t>
        </is>
      </c>
    </row>
    <row r="26">
      <c r="A26" s="3" t="inlineStr">
        <is>
          <t>https://codesommet.com/services/fintech-website-development</t>
        </is>
      </c>
      <c r="B26" t="inlineStr">
        <is>
          <t>H1</t>
        </is>
      </c>
      <c r="C26" s="5" t="inlineStr">
        <is>
          <t>Création de Sites Web FinTech &amp; Finance qui génèrent des CROISSANCE FINANCIÈRE</t>
        </is>
      </c>
      <c r="D26" s="5" t="inlineStr">
        <is>
          <t>Fix grammar of the rotating-word construction (e.g. "qui génèrent de la croissance financière") - keep keyword prefix</t>
        </is>
      </c>
      <c r="E26" s="5" t="inlineStr">
        <is>
          <t>Grammatical error produced by the rotating-word template ("des CROISSANCE…", "des Écoles de Langues")</t>
        </is>
      </c>
      <c r="F26" t="inlineStr">
        <is>
          <t>Quality / trust</t>
        </is>
      </c>
      <c r="G26" s="5" t="inlineStr">
        <is>
          <t>Low</t>
        </is>
      </c>
      <c r="H26" t="inlineStr">
        <is>
          <t>P2</t>
        </is>
      </c>
      <c r="I26" t="inlineStr">
        <is>
          <t>Not started</t>
        </is>
      </c>
    </row>
    <row r="27">
      <c r="A27" s="3" t="inlineStr">
        <is>
          <t>https://codesommet.com/services/healthcare-website-development</t>
        </is>
      </c>
      <c r="B27" t="inlineStr">
        <is>
          <t>Title</t>
        </is>
      </c>
      <c r="C27" s="5" t="inlineStr">
        <is>
          <t>Développement de Sites Web Santé &amp; Télésanté | CodeSommet</t>
        </is>
      </c>
      <c r="D27" s="5" t="inlineStr">
        <is>
          <t>Agence Web Santé – Sites Médicaux | CodeSommet (469 px)</t>
        </is>
      </c>
      <c r="E27" s="5" t="inlineStr">
        <is>
          <t>Primary keyword "agence web santé" (590) not in title</t>
        </is>
      </c>
      <c r="F27" t="inlineStr">
        <is>
          <t>Relevance + CTR</t>
        </is>
      </c>
      <c r="G27" s="5" t="inlineStr">
        <is>
          <t>Low-Medium (title change resets CTR history; monitor GSC 4 weeks)</t>
        </is>
      </c>
      <c r="H27" t="inlineStr">
        <is>
          <t>P2</t>
        </is>
      </c>
      <c r="I27" t="inlineStr">
        <is>
          <t>Not started</t>
        </is>
      </c>
    </row>
    <row r="28">
      <c r="A28" s="3" t="inlineStr">
        <is>
          <t>https://codesommet.com/services/healthcare-website-development</t>
        </is>
      </c>
      <c r="B28" t="inlineStr">
        <is>
          <t>H1</t>
        </is>
      </c>
      <c r="C28" s="5" t="inlineStr">
        <is>
          <t>Développement de Sites Web Santé &amp; Télésanté qui génèrent des PORTAILS PATIENTS</t>
        </is>
      </c>
      <c r="D28" s="5" t="inlineStr">
        <is>
          <t>Consider including "agence web santé" naturally (keep single H1)</t>
        </is>
      </c>
      <c r="E28" s="5" t="inlineStr">
        <is>
          <t>Primary keyword absent from H1</t>
        </is>
      </c>
      <c r="F28" t="inlineStr">
        <is>
          <t>Relevance</t>
        </is>
      </c>
      <c r="G28" s="5" t="inlineStr">
        <is>
          <t>Low</t>
        </is>
      </c>
      <c r="H28" t="inlineStr">
        <is>
          <t>P2</t>
        </is>
      </c>
      <c r="I28" t="inlineStr">
        <is>
          <t>Not started</t>
        </is>
      </c>
    </row>
    <row r="29">
      <c r="A29" s="3" t="inlineStr">
        <is>
          <t>https://codesommet.com/services/language-school-website-development</t>
        </is>
      </c>
      <c r="B29" t="inlineStr">
        <is>
          <t>H1</t>
        </is>
      </c>
      <c r="C29" s="5" t="inlineStr">
        <is>
          <t>Création de Sites Web pour Écoles de Langues qui génèrent des Écoles de Langues</t>
        </is>
      </c>
      <c r="D29" s="5" t="inlineStr">
        <is>
          <t>Fix grammar of the rotating-word construction (e.g. "qui génèrent de la croissance financière") - keep keyword prefix</t>
        </is>
      </c>
      <c r="E29" s="5" t="inlineStr">
        <is>
          <t>Grammatical error produced by the rotating-word template ("des CROISSANCE…", "des Écoles de Langues")</t>
        </is>
      </c>
      <c r="F29" t="inlineStr">
        <is>
          <t>Quality / trust</t>
        </is>
      </c>
      <c r="G29" s="5" t="inlineStr">
        <is>
          <t>Low</t>
        </is>
      </c>
      <c r="H29" t="inlineStr">
        <is>
          <t>P2</t>
        </is>
      </c>
      <c r="I29" t="inlineStr">
        <is>
          <t>Not started</t>
        </is>
      </c>
    </row>
    <row r="30">
      <c r="A30" s="3" t="inlineStr">
        <is>
          <t>https://codesommet.com/services/online-course-platform-development</t>
        </is>
      </c>
      <c r="B30" t="inlineStr">
        <is>
          <t>H1</t>
        </is>
      </c>
      <c r="C30" s="5" t="inlineStr">
        <is>
          <t>Développement de Plateformes de Cours en Ligne qui génèrent des SITES WEB DE COURS PERSONNALISÉS</t>
        </is>
      </c>
      <c r="D30" s="5" t="inlineStr">
        <is>
          <t>Consider including "vendre des formations en ligne" naturally (keep single H1)</t>
        </is>
      </c>
      <c r="E30" s="5" t="inlineStr">
        <is>
          <t>Primary keyword absent from H1</t>
        </is>
      </c>
      <c r="F30" t="inlineStr">
        <is>
          <t>Relevance</t>
        </is>
      </c>
      <c r="G30" s="5" t="inlineStr">
        <is>
          <t>Low</t>
        </is>
      </c>
      <c r="H30" t="inlineStr">
        <is>
          <t>P2</t>
        </is>
      </c>
      <c r="I30" t="inlineStr">
        <is>
          <t>Not started</t>
        </is>
      </c>
    </row>
    <row r="31">
      <c r="A31" s="3" t="inlineStr">
        <is>
          <t>https://codesommet.com/services/real-estate-website-development</t>
        </is>
      </c>
      <c r="B31" t="inlineStr">
        <is>
          <t>Title</t>
        </is>
      </c>
      <c r="C31" s="5" t="inlineStr">
        <is>
          <t>Sites Web Immobiliers &amp; Portails Sur Mesure | CodeSommet</t>
        </is>
      </c>
      <c r="D31" s="5" t="inlineStr">
        <is>
          <t>Création Site Immobilier sur Mesure | CodeSommet (459 px)</t>
        </is>
      </c>
      <c r="E31" s="5" t="inlineStr">
        <is>
          <t>Primary keyword "création site immobilier" (390) not in title</t>
        </is>
      </c>
      <c r="F31" t="inlineStr">
        <is>
          <t>Relevance + CTR</t>
        </is>
      </c>
      <c r="G31" s="5" t="inlineStr">
        <is>
          <t>Low-Medium (title change resets CTR history; monitor GSC 4 weeks)</t>
        </is>
      </c>
      <c r="H31" t="inlineStr">
        <is>
          <t>P2</t>
        </is>
      </c>
      <c r="I31" t="inlineStr">
        <is>
          <t>Not started</t>
        </is>
      </c>
    </row>
    <row r="32">
      <c r="A32" s="3" t="inlineStr">
        <is>
          <t>https://codesommet.com/services/real-estate-website-development</t>
        </is>
      </c>
      <c r="B32" t="inlineStr">
        <is>
          <t>H1</t>
        </is>
      </c>
      <c r="C32" s="5" t="inlineStr">
        <is>
          <t>Sites Web Immobiliers &amp; Portails Sur Mesure qui génèrent des ANNONCES IMMOBILIÈRES</t>
        </is>
      </c>
      <c r="D32" s="5" t="inlineStr">
        <is>
          <t>Consider including "création site immobilier" naturally (keep single H1)</t>
        </is>
      </c>
      <c r="E32" s="5" t="inlineStr">
        <is>
          <t>Primary keyword absent from H1</t>
        </is>
      </c>
      <c r="F32" t="inlineStr">
        <is>
          <t>Relevance</t>
        </is>
      </c>
      <c r="G32" s="5" t="inlineStr">
        <is>
          <t>Low</t>
        </is>
      </c>
      <c r="H32" t="inlineStr">
        <is>
          <t>P2</t>
        </is>
      </c>
      <c r="I32" t="inlineStr">
        <is>
          <t>Not started</t>
        </is>
      </c>
    </row>
    <row r="33">
      <c r="A33" s="3" t="inlineStr">
        <is>
          <t>https://codesommet.com/services/saas-platform-development</t>
        </is>
      </c>
      <c r="B33" t="inlineStr">
        <is>
          <t>H1</t>
        </is>
      </c>
      <c r="C33" s="5" t="inlineStr">
        <is>
          <t>Développement de Plateformes SaaS &amp; B2B qui génèrent des TABLEAUX DE BORD UTILISATEURS</t>
        </is>
      </c>
      <c r="D33" s="5" t="inlineStr">
        <is>
          <t>Fix grammar of the rotating-word construction (e.g. "qui génèrent de la croissance financière") - keep keyword prefix</t>
        </is>
      </c>
      <c r="E33" s="5" t="inlineStr">
        <is>
          <t>Grammatical error produced by the rotating-word template ("des CROISSANCE…", "des Écoles de Langues")</t>
        </is>
      </c>
      <c r="F33" t="inlineStr">
        <is>
          <t>Quality / trust</t>
        </is>
      </c>
      <c r="G33" s="5" t="inlineStr">
        <is>
          <t>Low</t>
        </is>
      </c>
      <c r="H33" t="inlineStr">
        <is>
          <t>P2</t>
        </is>
      </c>
      <c r="I33" t="inlineStr">
        <is>
          <t>Not started</t>
        </is>
      </c>
    </row>
    <row r="34">
      <c r="A34" s="3" t="inlineStr">
        <is>
          <t>https://codesommet.com/services/seo-maroc</t>
        </is>
      </c>
      <c r="B34" t="inlineStr">
        <is>
          <t>Heading count</t>
        </is>
      </c>
      <c r="C34" s="5" t="inlineStr">
        <is>
          <t>45 headings / 2605 words</t>
        </is>
      </c>
      <c r="D34" s="5" t="inlineStr">
        <is>
          <t>Demote decorative headings (card labels, step titles) to styled &lt;div class="hd-3"&gt; per existing pattern; keep H2 skeleton</t>
        </is>
      </c>
      <c r="E34" s="5" t="inlineStr">
        <is>
          <t>Seobility flags disproportionate heading count (home: 30 headings)</t>
        </is>
      </c>
      <c r="F34" t="inlineStr">
        <is>
          <t>Page-structure score</t>
        </is>
      </c>
      <c r="G34" s="5" t="inlineStr">
        <is>
          <t>Low (visual check needed)</t>
        </is>
      </c>
      <c r="H34" t="inlineStr">
        <is>
          <t>P2</t>
        </is>
      </c>
      <c r="I34" t="inlineStr">
        <is>
          <t>Not started</t>
        </is>
      </c>
    </row>
    <row r="35">
      <c r="A35" s="3" t="inlineStr">
        <is>
          <t>https://codesommet.com/services/telemedicine-platform-development</t>
        </is>
      </c>
      <c r="B35" t="inlineStr">
        <is>
          <t>Title</t>
        </is>
      </c>
      <c r="C35" s="5" t="inlineStr">
        <is>
          <t>Développement de Plateformes de Télémédecine | CodeSommet</t>
        </is>
      </c>
      <c r="D35" s="5" t="inlineStr">
        <is>
          <t>Logiciel de Téléconsultation sur Mesure | CodeSommet (490 px)</t>
        </is>
      </c>
      <c r="E35" s="5" t="inlineStr">
        <is>
          <t>Primary keyword "logiciel téléconsultation" (210) not in title</t>
        </is>
      </c>
      <c r="F35" t="inlineStr">
        <is>
          <t>Relevance + CTR</t>
        </is>
      </c>
      <c r="G35" s="5" t="inlineStr">
        <is>
          <t>Low-Medium (title change resets CTR history; monitor GSC 4 weeks)</t>
        </is>
      </c>
      <c r="H35" t="inlineStr">
        <is>
          <t>P2</t>
        </is>
      </c>
      <c r="I35" t="inlineStr">
        <is>
          <t>Not started</t>
        </is>
      </c>
    </row>
    <row r="36">
      <c r="A36" s="3" t="inlineStr">
        <is>
          <t>https://codesommet.com/services/telemedicine-platform-development</t>
        </is>
      </c>
      <c r="B36" t="inlineStr">
        <is>
          <t>H1</t>
        </is>
      </c>
      <c r="C36" s="5" t="inlineStr">
        <is>
          <t>Développement de PLATEFORMES DE TÉLÉMÉDECINE</t>
        </is>
      </c>
      <c r="D36" s="5" t="inlineStr">
        <is>
          <t>Consider including "logiciel téléconsultation" naturally (keep single H1)</t>
        </is>
      </c>
      <c r="E36" s="5" t="inlineStr">
        <is>
          <t>Primary keyword absent from H1</t>
        </is>
      </c>
      <c r="F36" t="inlineStr">
        <is>
          <t>Relevance</t>
        </is>
      </c>
      <c r="G36" s="5" t="inlineStr">
        <is>
          <t>Low</t>
        </is>
      </c>
      <c r="H36" t="inlineStr">
        <is>
          <t>P2</t>
        </is>
      </c>
      <c r="I36" t="inlineStr">
        <is>
          <t>Not started</t>
        </is>
      </c>
    </row>
    <row r="37">
      <c r="A37" s="3" t="inlineStr">
        <is>
          <t>https://codesommet.com/tools/ai-readiness-checker</t>
        </is>
      </c>
      <c r="B37" t="inlineStr">
        <is>
          <t>Title</t>
        </is>
      </c>
      <c r="C37" s="5" t="inlineStr">
        <is>
          <t>Test de Préparation aux Moteurs IA (GEO) | CodeSommet</t>
        </is>
      </c>
      <c r="D37" s="5" t="inlineStr">
        <is>
          <t>Lead with "geo seo"</t>
        </is>
      </c>
      <c r="E37" s="5" t="inlineStr">
        <is>
          <t>High-demand tool query "geo seo" (FR 1900, KD 34.0) absent from title</t>
        </is>
      </c>
      <c r="F37" t="inlineStr">
        <is>
          <t>Relevance + CTR</t>
        </is>
      </c>
      <c r="G37" s="5" t="inlineStr">
        <is>
          <t>Low</t>
        </is>
      </c>
      <c r="H37" t="inlineStr">
        <is>
          <t>P2</t>
        </is>
      </c>
      <c r="I37" t="inlineStr">
        <is>
          <t>Not started</t>
        </is>
      </c>
    </row>
    <row r="38">
      <c r="A38" s="3" t="inlineStr">
        <is>
          <t>https://codesommet.com/tools/broken-link-checker</t>
        </is>
      </c>
      <c r="B38" t="inlineStr">
        <is>
          <t>Title</t>
        </is>
      </c>
      <c r="C38" s="5" t="inlineStr">
        <is>
          <t>Vérificateur de Liens Brisés Gratuit | CodeSommet</t>
        </is>
      </c>
      <c r="D38" s="5" t="inlineStr">
        <is>
          <t>Lead with "broken link checker"</t>
        </is>
      </c>
      <c r="E38" s="5" t="inlineStr">
        <is>
          <t>High-demand tool query "broken link checker" (FR 720, KD 78.0) absent from title</t>
        </is>
      </c>
      <c r="F38" t="inlineStr">
        <is>
          <t>Relevance + CTR</t>
        </is>
      </c>
      <c r="G38" s="5" t="inlineStr">
        <is>
          <t>Low</t>
        </is>
      </c>
      <c r="H38" t="inlineStr">
        <is>
          <t>P2</t>
        </is>
      </c>
      <c r="I38" t="inlineStr">
        <is>
          <t>Not started</t>
        </is>
      </c>
    </row>
    <row r="39">
      <c r="A39" s="3" t="inlineStr">
        <is>
          <t>https://codesommet.com/tools/duplicate-content-checker</t>
        </is>
      </c>
      <c r="B39" t="inlineStr">
        <is>
          <t>Title</t>
        </is>
      </c>
      <c r="C39" s="5" t="inlineStr">
        <is>
          <t>Vérificateur de Contenu Dupliqué Gratuit | CodeSommet</t>
        </is>
      </c>
      <c r="D39" s="5" t="inlineStr">
        <is>
          <t>Lead with "duplicate content"</t>
        </is>
      </c>
      <c r="E39" s="5" t="inlineStr">
        <is>
          <t>High-demand tool query "duplicate content" (FR 720, KD 32.0) absent from title</t>
        </is>
      </c>
      <c r="F39" t="inlineStr">
        <is>
          <t>Relevance + CTR</t>
        </is>
      </c>
      <c r="G39" s="5" t="inlineStr">
        <is>
          <t>Low</t>
        </is>
      </c>
      <c r="H39" t="inlineStr">
        <is>
          <t>P2</t>
        </is>
      </c>
      <c r="I39" t="inlineStr">
        <is>
          <t>Not started</t>
        </is>
      </c>
    </row>
    <row r="40">
      <c r="A40" s="3" t="inlineStr">
        <is>
          <t>https://codesommet.com/tools/image-compressor</t>
        </is>
      </c>
      <c r="B40" t="inlineStr">
        <is>
          <t>Title</t>
        </is>
      </c>
      <c r="C40" s="5" t="inlineStr">
        <is>
          <t>Compresseur d'Images Gratuit - WebP, JPEG | CodeSommet</t>
        </is>
      </c>
      <c r="D40" s="5" t="inlineStr">
        <is>
          <t>Compresser Image Gratuit – WebP, JPEG, PNG | CodeSommet (573 px)</t>
        </is>
      </c>
      <c r="E40" s="5" t="inlineStr">
        <is>
          <t>Primary keyword "compresser image" (22200) not in title</t>
        </is>
      </c>
      <c r="F40" t="inlineStr">
        <is>
          <t>Relevance + CTR</t>
        </is>
      </c>
      <c r="G40" s="5" t="inlineStr">
        <is>
          <t>Low-Medium (title change resets CTR history; monitor GSC 4 weeks)</t>
        </is>
      </c>
      <c r="H40" t="inlineStr">
        <is>
          <t>P2</t>
        </is>
      </c>
      <c r="I40" t="inlineStr">
        <is>
          <t>Not started</t>
        </is>
      </c>
    </row>
    <row r="41">
      <c r="A41" s="3" t="inlineStr">
        <is>
          <t>https://codesommet.com/tools/image-compressor</t>
        </is>
      </c>
      <c r="B41" t="inlineStr">
        <is>
          <t>Title</t>
        </is>
      </c>
      <c r="C41" s="5" t="inlineStr">
        <is>
          <t>Compresseur d'Images Gratuit - WebP, JPEG | CodeSommet</t>
        </is>
      </c>
      <c r="D41" s="5" t="inlineStr">
        <is>
          <t>Compresser Image Gratuit – WebP, JPEG, PNG | CodeSommet (573 px)</t>
        </is>
      </c>
      <c r="E41" s="5" t="inlineStr">
        <is>
          <t>High-demand tool query "compresser image" (FR 22200, KD 28.0) absent from title</t>
        </is>
      </c>
      <c r="F41" t="inlineStr">
        <is>
          <t>Relevance + CTR</t>
        </is>
      </c>
      <c r="G41" s="5" t="inlineStr">
        <is>
          <t>Low</t>
        </is>
      </c>
      <c r="H41" t="inlineStr">
        <is>
          <t>P2</t>
        </is>
      </c>
      <c r="I41" t="inlineStr">
        <is>
          <t>Not started</t>
        </is>
      </c>
    </row>
    <row r="42">
      <c r="A42" s="3" t="inlineStr">
        <is>
          <t>https://codesommet.com/tools/internal-link-analyzer</t>
        </is>
      </c>
      <c r="B42" t="inlineStr">
        <is>
          <t>Title</t>
        </is>
      </c>
      <c r="C42" s="5" t="inlineStr">
        <is>
          <t>Analyseur de Liens Internes Gratuit | CodeSommet</t>
        </is>
      </c>
      <c r="D42" s="5" t="inlineStr">
        <is>
          <t>Lead with "maillage interne"</t>
        </is>
      </c>
      <c r="E42" s="5" t="inlineStr">
        <is>
          <t>High-demand tool query "maillage interne" (FR 1900, KD 25.0) absent from title</t>
        </is>
      </c>
      <c r="F42" t="inlineStr">
        <is>
          <t>Relevance + CTR</t>
        </is>
      </c>
      <c r="G42" s="5" t="inlineStr">
        <is>
          <t>Low</t>
        </is>
      </c>
      <c r="H42" t="inlineStr">
        <is>
          <t>P2</t>
        </is>
      </c>
      <c r="I42" t="inlineStr">
        <is>
          <t>Not started</t>
        </is>
      </c>
    </row>
    <row r="43">
      <c r="A43" s="3" t="inlineStr">
        <is>
          <t>https://codesommet.com/tools/json-formatter</t>
        </is>
      </c>
      <c r="B43" t="inlineStr">
        <is>
          <t>Title</t>
        </is>
      </c>
      <c r="C43" s="5" t="inlineStr">
        <is>
          <t>Formateur et Validateur JSON Gratuit | CodeSommet</t>
        </is>
      </c>
      <c r="D43" s="5" t="inlineStr">
        <is>
          <t>Lead with "json formatter"</t>
        </is>
      </c>
      <c r="E43" s="5" t="inlineStr">
        <is>
          <t>High-demand tool query "json formatter" (FR 12100, KD 74.0) absent from title</t>
        </is>
      </c>
      <c r="F43" t="inlineStr">
        <is>
          <t>Relevance + CTR</t>
        </is>
      </c>
      <c r="G43" s="5" t="inlineStr">
        <is>
          <t>Low</t>
        </is>
      </c>
      <c r="H43" t="inlineStr">
        <is>
          <t>P2</t>
        </is>
      </c>
      <c r="I43" t="inlineStr">
        <is>
          <t>Not started</t>
        </is>
      </c>
    </row>
    <row r="44">
      <c r="A44" s="3" t="inlineStr">
        <is>
          <t>https://codesommet.com/tools/landing-page-generator</t>
        </is>
      </c>
      <c r="B44" t="inlineStr">
        <is>
          <t>Title</t>
        </is>
      </c>
      <c r="C44" s="5" t="inlineStr">
        <is>
          <t>Générateur de Landing Page IA Gratuit | CodeSommet</t>
        </is>
      </c>
      <c r="D44" s="5" t="inlineStr">
        <is>
          <t>Lead with "créer une landing page"</t>
        </is>
      </c>
      <c r="E44" s="5" t="inlineStr">
        <is>
          <t>High-demand tool query "créer une landing page" (FR 590, KD 31.0) absent from title</t>
        </is>
      </c>
      <c r="F44" t="inlineStr">
        <is>
          <t>Relevance + CTR</t>
        </is>
      </c>
      <c r="G44" s="5" t="inlineStr">
        <is>
          <t>Low</t>
        </is>
      </c>
      <c r="H44" t="inlineStr">
        <is>
          <t>P2</t>
        </is>
      </c>
      <c r="I44" t="inlineStr">
        <is>
          <t>Not started</t>
        </is>
      </c>
    </row>
    <row r="45">
      <c r="A45" s="3" t="inlineStr">
        <is>
          <t>https://codesommet.com/tools/structured-data-extractor</t>
        </is>
      </c>
      <c r="B45" t="inlineStr">
        <is>
          <t>Title</t>
        </is>
      </c>
      <c r="C45" s="5" t="inlineStr">
        <is>
          <t>Extracteur de Données Structurées JSON-LD | CodeSommet</t>
        </is>
      </c>
      <c r="D45" s="5" t="inlineStr">
        <is>
          <t>Lead with "test données structurées"</t>
        </is>
      </c>
      <c r="E45" s="5" t="inlineStr">
        <is>
          <t>High-demand tool query "test données structurées" (FR 720, KD 37.0) absent from title</t>
        </is>
      </c>
      <c r="F45" t="inlineStr">
        <is>
          <t>Relevance + CTR</t>
        </is>
      </c>
      <c r="G45" s="5" t="inlineStr">
        <is>
          <t>Low</t>
        </is>
      </c>
      <c r="H45" t="inlineStr">
        <is>
          <t>P2</t>
        </is>
      </c>
      <c r="I45" t="inlineStr">
        <is>
          <t>Not started</t>
        </is>
      </c>
    </row>
    <row r="46">
      <c r="A46" s="3" t="inlineStr">
        <is>
          <t>https://codesommet.com/tools/text-case-converter</t>
        </is>
      </c>
      <c r="B46" t="inlineStr">
        <is>
          <t>Title</t>
        </is>
      </c>
      <c r="C46" s="5" t="inlineStr">
        <is>
          <t>Convertisseur de Casse de Texte Gratuit | CodeSommet</t>
        </is>
      </c>
      <c r="D46" s="5" t="inlineStr">
        <is>
          <t>Majuscule en Minuscule : Convertisseur Gratuit | CodeSommet (559 px)</t>
        </is>
      </c>
      <c r="E46" s="5" t="inlineStr">
        <is>
          <t>Primary keyword "majuscule en minuscule" (3600) not in title</t>
        </is>
      </c>
      <c r="F46" t="inlineStr">
        <is>
          <t>Relevance + CTR</t>
        </is>
      </c>
      <c r="G46" s="5" t="inlineStr">
        <is>
          <t>Low-Medium (title change resets CTR history; monitor GSC 4 weeks)</t>
        </is>
      </c>
      <c r="H46" t="inlineStr">
        <is>
          <t>P2</t>
        </is>
      </c>
      <c r="I46" t="inlineStr">
        <is>
          <t>Not started</t>
        </is>
      </c>
    </row>
    <row r="47">
      <c r="A47" s="3" t="inlineStr">
        <is>
          <t>https://codesommet.com/tools/text-case-converter</t>
        </is>
      </c>
      <c r="B47" t="inlineStr">
        <is>
          <t>Title</t>
        </is>
      </c>
      <c r="C47" s="5" t="inlineStr">
        <is>
          <t>Convertisseur de Casse de Texte Gratuit | CodeSommet</t>
        </is>
      </c>
      <c r="D47" s="5" t="inlineStr">
        <is>
          <t>Majuscule en Minuscule : Convertisseur Gratuit | CodeSommet (559 px)</t>
        </is>
      </c>
      <c r="E47" s="5" t="inlineStr">
        <is>
          <t>High-demand tool query "majuscule en minuscule" (FR 3600, KD 25.0) absent from title</t>
        </is>
      </c>
      <c r="F47" t="inlineStr">
        <is>
          <t>Relevance + CTR</t>
        </is>
      </c>
      <c r="G47" s="5" t="inlineStr">
        <is>
          <t>Low</t>
        </is>
      </c>
      <c r="H47" t="inlineStr">
        <is>
          <t>P2</t>
        </is>
      </c>
      <c r="I47" t="inlineStr">
        <is>
          <t>Not started</t>
        </is>
      </c>
    </row>
    <row r="48">
      <c r="A48" s="3" t="inlineStr">
        <is>
          <t>https://codesommet.com/tools/utm-builder</t>
        </is>
      </c>
      <c r="B48" t="inlineStr">
        <is>
          <t>Title</t>
        </is>
      </c>
      <c r="C48" s="5" t="inlineStr">
        <is>
          <t>Générateur d'URL UTM Gratuit | CodeSommet</t>
        </is>
      </c>
      <c r="D48" s="5" t="inlineStr">
        <is>
          <t>Lead with "utm builder"</t>
        </is>
      </c>
      <c r="E48" s="5" t="inlineStr">
        <is>
          <t>High-demand tool query "utm builder" (FR 1600, KD 51.0) absent from title</t>
        </is>
      </c>
      <c r="F48" t="inlineStr">
        <is>
          <t>Relevance + CTR</t>
        </is>
      </c>
      <c r="G48" s="5" t="inlineStr">
        <is>
          <t>Low</t>
        </is>
      </c>
      <c r="H48" t="inlineStr">
        <is>
          <t>P2</t>
        </is>
      </c>
      <c r="I48" t="inlineStr">
        <is>
          <t>Not started</t>
        </is>
      </c>
    </row>
    <row r="49">
      <c r="A49" s="3" t="inlineStr">
        <is>
          <t>https://codesommet.com/tools/website-analyzer</t>
        </is>
      </c>
      <c r="B49" t="inlineStr">
        <is>
          <t>Heading count</t>
        </is>
      </c>
      <c r="C49" s="5" t="inlineStr">
        <is>
          <t>33 headings / 1607 words</t>
        </is>
      </c>
      <c r="D49" s="5" t="inlineStr">
        <is>
          <t>Demote decorative headings (card labels, step titles) to styled &lt;div class="hd-3"&gt; per existing pattern; keep H2 skeleton</t>
        </is>
      </c>
      <c r="E49" s="5" t="inlineStr">
        <is>
          <t>Seobility flags disproportionate heading count (home: 30 headings)</t>
        </is>
      </c>
      <c r="F49" t="inlineStr">
        <is>
          <t>Page-structure score</t>
        </is>
      </c>
      <c r="G49" s="5" t="inlineStr">
        <is>
          <t>Low (visual check needed)</t>
        </is>
      </c>
      <c r="H49" t="inlineStr">
        <is>
          <t>P2</t>
        </is>
      </c>
      <c r="I49" t="inlineStr">
        <is>
          <t>Not started</t>
        </is>
      </c>
    </row>
    <row r="50">
      <c r="A50" s="3" t="inlineStr">
        <is>
          <t>https://codesommet.com/tools/website-analyzer</t>
        </is>
      </c>
      <c r="B50" t="inlineStr">
        <is>
          <t>Internal link</t>
        </is>
      </c>
      <c r="C50" s="5" t="inlineStr">
        <is>
          <t>Body link to /services/seo-maroc absent in main content</t>
        </is>
      </c>
      <c r="D50" s="5" t="inlineStr">
        <is>
          <t>Contextual link to /services/seo-maroc with anchor "accompagnement SEO au Maroc"</t>
        </is>
      </c>
      <c r="E50" s="5" t="inlineStr">
        <is>
          <t>Pass topical relevance to the page that owns the keyword; varied anchors</t>
        </is>
      </c>
      <c r="F50" t="inlineStr">
        <is>
          <t>Crawl + relevance</t>
        </is>
      </c>
      <c r="G50" s="5" t="inlineStr">
        <is>
          <t>Low</t>
        </is>
      </c>
      <c r="H50" t="inlineStr">
        <is>
          <t>P2</t>
        </is>
      </c>
      <c r="I50" t="inlineStr">
        <is>
          <t>Not started</t>
        </is>
      </c>
    </row>
    <row r="51">
      <c r="A51" s="3" t="inlineStr">
        <is>
          <t>https://codesommet.com/web-development-company/agadir</t>
        </is>
      </c>
      <c r="B51" t="inlineStr">
        <is>
          <t>Heading count</t>
        </is>
      </c>
      <c r="C51" s="5" t="inlineStr">
        <is>
          <t>32 headings / 2199 words</t>
        </is>
      </c>
      <c r="D51" s="5" t="inlineStr">
        <is>
          <t>Demote decorative headings (card labels, step titles) to styled &lt;div class="hd-3"&gt; per existing pattern; keep H2 skeleton</t>
        </is>
      </c>
      <c r="E51" s="5" t="inlineStr">
        <is>
          <t>Seobility flags disproportionate heading count (home: 30 headings)</t>
        </is>
      </c>
      <c r="F51" t="inlineStr">
        <is>
          <t>Page-structure score</t>
        </is>
      </c>
      <c r="G51" s="5" t="inlineStr">
        <is>
          <t>Low (visual check needed)</t>
        </is>
      </c>
      <c r="H51" t="inlineStr">
        <is>
          <t>P2</t>
        </is>
      </c>
      <c r="I51" t="inlineStr">
        <is>
          <t>Not started</t>
        </is>
      </c>
    </row>
    <row r="52">
      <c r="A52" s="3" t="inlineStr">
        <is>
          <t>https://codesommet.com/web-development-company/brussels</t>
        </is>
      </c>
      <c r="B52" t="inlineStr">
        <is>
          <t>H1</t>
        </is>
      </c>
      <c r="C52" s="5" t="inlineStr">
        <is>
          <t>Développement Web à Bruxelles, Belgique : des sites web qui génèrent Plateformes FinTech</t>
        </is>
      </c>
      <c r="D52" s="5" t="inlineStr">
        <is>
          <t>Consider including "création site web bruxelles" naturally (keep single H1)</t>
        </is>
      </c>
      <c r="E52" s="5" t="inlineStr">
        <is>
          <t>Primary keyword absent from H1</t>
        </is>
      </c>
      <c r="F52" t="inlineStr">
        <is>
          <t>Relevance</t>
        </is>
      </c>
      <c r="G52" s="5" t="inlineStr">
        <is>
          <t>Low</t>
        </is>
      </c>
      <c r="H52" t="inlineStr">
        <is>
          <t>P2</t>
        </is>
      </c>
      <c r="I52" t="inlineStr">
        <is>
          <t>Not started</t>
        </is>
      </c>
    </row>
    <row r="53">
      <c r="A53" s="3" t="inlineStr">
        <is>
          <t>https://codesommet.com/web-development-company/casablanca</t>
        </is>
      </c>
      <c r="B53" t="inlineStr">
        <is>
          <t>Heading count</t>
        </is>
      </c>
      <c r="C53" s="5" t="inlineStr">
        <is>
          <t>32 headings / 2126 words</t>
        </is>
      </c>
      <c r="D53" s="5" t="inlineStr">
        <is>
          <t>Demote decorative headings (card labels, step titles) to styled &lt;div class="hd-3"&gt; per existing pattern; keep H2 skeleton</t>
        </is>
      </c>
      <c r="E53" s="5" t="inlineStr">
        <is>
          <t>Seobility flags disproportionate heading count (home: 30 headings)</t>
        </is>
      </c>
      <c r="F53" t="inlineStr">
        <is>
          <t>Page-structure score</t>
        </is>
      </c>
      <c r="G53" s="5" t="inlineStr">
        <is>
          <t>Low (visual check needed)</t>
        </is>
      </c>
      <c r="H53" t="inlineStr">
        <is>
          <t>P2</t>
        </is>
      </c>
      <c r="I53" t="inlineStr">
        <is>
          <t>Not started</t>
        </is>
      </c>
    </row>
    <row r="54">
      <c r="A54" s="3" t="inlineStr">
        <is>
          <t>https://codesommet.com/web-development-company/casablanca</t>
        </is>
      </c>
      <c r="B54" t="inlineStr">
        <is>
          <t>Internal link</t>
        </is>
      </c>
      <c r="C54" s="5" t="inlineStr">
        <is>
          <t>Body link to /services/seo-maroc absent in main content</t>
        </is>
      </c>
      <c r="D54" s="5" t="inlineStr">
        <is>
          <t>Contextual link to /services/seo-maroc with anchor "référencement naturel à Casablanca"</t>
        </is>
      </c>
      <c r="E54" s="5" t="inlineStr">
        <is>
          <t>Pass topical relevance to the page that owns the keyword; varied anchors</t>
        </is>
      </c>
      <c r="F54" t="inlineStr">
        <is>
          <t>Crawl + relevance</t>
        </is>
      </c>
      <c r="G54" s="5" t="inlineStr">
        <is>
          <t>Low</t>
        </is>
      </c>
      <c r="H54" t="inlineStr">
        <is>
          <t>P2</t>
        </is>
      </c>
      <c r="I54" t="inlineStr">
        <is>
          <t>Not started</t>
        </is>
      </c>
    </row>
    <row r="55">
      <c r="A55" s="3" t="inlineStr">
        <is>
          <t>https://codesommet.com/web-development-company/marrakech</t>
        </is>
      </c>
      <c r="B55" t="inlineStr">
        <is>
          <t>Heading count</t>
        </is>
      </c>
      <c r="C55" s="5" t="inlineStr">
        <is>
          <t>32 headings / 2141 words</t>
        </is>
      </c>
      <c r="D55" s="5" t="inlineStr">
        <is>
          <t>Demote decorative headings (card labels, step titles) to styled &lt;div class="hd-3"&gt; per existing pattern; keep H2 skeleton</t>
        </is>
      </c>
      <c r="E55" s="5" t="inlineStr">
        <is>
          <t>Seobility flags disproportionate heading count (home: 30 headings)</t>
        </is>
      </c>
      <c r="F55" t="inlineStr">
        <is>
          <t>Page-structure score</t>
        </is>
      </c>
      <c r="G55" s="5" t="inlineStr">
        <is>
          <t>Low (visual check needed)</t>
        </is>
      </c>
      <c r="H55" t="inlineStr">
        <is>
          <t>P2</t>
        </is>
      </c>
      <c r="I55" t="inlineStr">
        <is>
          <t>Not started</t>
        </is>
      </c>
    </row>
    <row r="56">
      <c r="A56" s="3" t="inlineStr">
        <is>
          <t>https://codesommet.com/web-development-company/marrakech</t>
        </is>
      </c>
      <c r="B56" t="inlineStr">
        <is>
          <t>Internal link</t>
        </is>
      </c>
      <c r="C56" s="5" t="inlineStr">
        <is>
          <t>Body link to /services/seo-maroc absent in main content</t>
        </is>
      </c>
      <c r="D56" s="5" t="inlineStr">
        <is>
          <t>Contextual link to /services/seo-maroc with anchor "agence SEO à Marrakech"</t>
        </is>
      </c>
      <c r="E56" s="5" t="inlineStr">
        <is>
          <t>Pass topical relevance to the page that owns the keyword; varied anchors</t>
        </is>
      </c>
      <c r="F56" t="inlineStr">
        <is>
          <t>Crawl + relevance</t>
        </is>
      </c>
      <c r="G56" s="5" t="inlineStr">
        <is>
          <t>Low</t>
        </is>
      </c>
      <c r="H56" t="inlineStr">
        <is>
          <t>P2</t>
        </is>
      </c>
      <c r="I56" t="inlineStr">
        <is>
          <t>Not started</t>
        </is>
      </c>
    </row>
    <row r="57">
      <c r="A57" s="3" t="inlineStr">
        <is>
          <t>https://codesommet.com/web-development-company/rabat</t>
        </is>
      </c>
      <c r="B57" t="inlineStr">
        <is>
          <t>Heading count</t>
        </is>
      </c>
      <c r="C57" s="5" t="inlineStr">
        <is>
          <t>32 headings / 2156 words</t>
        </is>
      </c>
      <c r="D57" s="5" t="inlineStr">
        <is>
          <t>Demote decorative headings (card labels, step titles) to styled &lt;div class="hd-3"&gt; per existing pattern; keep H2 skeleton</t>
        </is>
      </c>
      <c r="E57" s="5" t="inlineStr">
        <is>
          <t>Seobility flags disproportionate heading count (home: 30 headings)</t>
        </is>
      </c>
      <c r="F57" t="inlineStr">
        <is>
          <t>Page-structure score</t>
        </is>
      </c>
      <c r="G57" s="5" t="inlineStr">
        <is>
          <t>Low (visual check needed)</t>
        </is>
      </c>
      <c r="H57" t="inlineStr">
        <is>
          <t>P2</t>
        </is>
      </c>
      <c r="I57" t="inlineStr">
        <is>
          <t>Not started</t>
        </is>
      </c>
    </row>
    <row r="58">
      <c r="A58" s="3" t="inlineStr">
        <is>
          <t>https://codesommet.com/web-development-company/tangier</t>
        </is>
      </c>
      <c r="B58" t="inlineStr">
        <is>
          <t>Heading count</t>
        </is>
      </c>
      <c r="C58" s="5" t="inlineStr">
        <is>
          <t>32 headings / 2107 words</t>
        </is>
      </c>
      <c r="D58" s="5" t="inlineStr">
        <is>
          <t>Demote decorative headings (card labels, step titles) to styled &lt;div class="hd-3"&gt; per existing pattern; keep H2 skeleton</t>
        </is>
      </c>
      <c r="E58" s="5" t="inlineStr">
        <is>
          <t>Seobility flags disproportionate heading count (home: 30 headings)</t>
        </is>
      </c>
      <c r="F58" t="inlineStr">
        <is>
          <t>Page-structure score</t>
        </is>
      </c>
      <c r="G58" s="5" t="inlineStr">
        <is>
          <t>Low (visual check needed)</t>
        </is>
      </c>
      <c r="H58" t="inlineStr">
        <is>
          <t>P2</t>
        </is>
      </c>
      <c r="I58" t="inlineStr">
        <is>
          <t>Not started</t>
        </is>
      </c>
    </row>
    <row r="59">
      <c r="A59" s="3" t="inlineStr">
        <is>
          <t>https://codesommet.com/about</t>
        </is>
      </c>
      <c r="B59" t="inlineStr">
        <is>
          <t>Title</t>
        </is>
      </c>
      <c r="C59" s="5" t="inlineStr">
        <is>
          <t>À Propos - Agence Digitale au Maroc depuis 2018 | CodeSommet</t>
        </is>
      </c>
      <c r="D59" s="5" t="inlineStr">
        <is>
          <t>À Propos de CodeSommet – Agence Digitale depuis 2018 (513 px)</t>
        </is>
      </c>
      <c r="E59" s="5" t="inlineStr">
        <is>
          <t>Title is 582 px (&gt; 580 px, risk of truncation; Seobility warning on home)</t>
        </is>
      </c>
      <c r="F59" t="inlineStr">
        <is>
          <t>CTR / snippet completeness</t>
        </is>
      </c>
      <c r="G59" s="5" t="inlineStr">
        <is>
          <t>Low</t>
        </is>
      </c>
      <c r="H59" t="inlineStr">
        <is>
          <t>P3</t>
        </is>
      </c>
      <c r="I59" t="inlineStr">
        <is>
          <t>Not started</t>
        </is>
      </c>
    </row>
    <row r="60">
      <c r="A60" s="3" t="inlineStr">
        <is>
          <t>https://codesommet.com/contact</t>
        </is>
      </c>
      <c r="B60" t="inlineStr">
        <is>
          <t>Title</t>
        </is>
      </c>
      <c r="C60" s="5" t="inlineStr">
        <is>
          <t>Contact — Agence Web au Maroc, Réponse sous 24h | CodeSommet</t>
        </is>
      </c>
      <c r="D60" s="5" t="inlineStr">
        <is>
          <t>Contact – Agence Web au Maroc | CodeSommet (435 px) || Contactez CodeSommet – Réponse sous 24h (407 px)</t>
        </is>
      </c>
      <c r="E60" s="5" t="inlineStr">
        <is>
          <t>Title is 622 px (&gt; 580 px, risk of truncation; Seobility warning on home)</t>
        </is>
      </c>
      <c r="F60" t="inlineStr">
        <is>
          <t>CTR / snippet completeness</t>
        </is>
      </c>
      <c r="G60" s="5" t="inlineStr">
        <is>
          <t>Low</t>
        </is>
      </c>
      <c r="H60" t="inlineStr">
        <is>
          <t>P3</t>
        </is>
      </c>
      <c r="I60" t="inlineStr">
        <is>
          <t>Not started</t>
        </is>
      </c>
    </row>
    <row r="61">
      <c r="A61" s="3" t="inlineStr">
        <is>
          <t>https://codesommet.com/get-quote</t>
        </is>
      </c>
      <c r="B61" t="inlineStr">
        <is>
          <t>Title</t>
        </is>
      </c>
      <c r="C61" s="5" t="inlineStr">
        <is>
          <t>Obtenir un Devis Gratuit | CodeSommet</t>
        </is>
      </c>
      <c r="D61" s="5" t="inlineStr">
        <is>
          <t>Devis Site Web Gratuit – Prix Site Maroc | CodeSommet (501 px)</t>
        </is>
      </c>
      <c r="E61" s="5" t="inlineStr">
        <is>
          <t>Optional: lead with the higher-demand phrasing</t>
        </is>
      </c>
      <c r="F61" t="inlineStr">
        <is>
          <t>CTR</t>
        </is>
      </c>
      <c r="G61" s="5" t="inlineStr">
        <is>
          <t>Low-Medium</t>
        </is>
      </c>
      <c r="H61" t="inlineStr">
        <is>
          <t>P3</t>
        </is>
      </c>
      <c r="I61" t="inlineStr">
        <is>
          <t>Not started</t>
        </is>
      </c>
    </row>
    <row r="62">
      <c r="A62" s="3" t="inlineStr">
        <is>
          <t>https://codesommet.com/our-work/gls-sprachenzentrum</t>
        </is>
      </c>
      <c r="B62" t="inlineStr">
        <is>
          <t>Title</t>
        </is>
      </c>
      <c r="C62" s="5" t="inlineStr">
        <is>
          <t>GLS Sprachenzentrum - École de Langue Allemande | CodeSommet</t>
        </is>
      </c>
      <c r="D62" s="5" t="inlineStr">
        <is>
          <t>GLS Sprachenzentrum – École d'Allemand | CodeSommet (518 px)</t>
        </is>
      </c>
      <c r="E62" s="5" t="inlineStr">
        <is>
          <t>Title is 610 px (&gt; 580 px, risk of truncation; Seobility warning on home)</t>
        </is>
      </c>
      <c r="F62" t="inlineStr">
        <is>
          <t>CTR / snippet completeness</t>
        </is>
      </c>
      <c r="G62" s="5" t="inlineStr">
        <is>
          <t>Low</t>
        </is>
      </c>
      <c r="H62" t="inlineStr">
        <is>
          <t>P3</t>
        </is>
      </c>
      <c r="I62" t="inlineStr">
        <is>
          <t>Not started</t>
        </is>
      </c>
    </row>
    <row r="63">
      <c r="A63" s="3" t="inlineStr">
        <is>
          <t>https://codesommet.com/services/ecommerce-website-development</t>
        </is>
      </c>
      <c r="B63" t="inlineStr">
        <is>
          <t>Internal anchors</t>
        </is>
      </c>
      <c r="C63" s="5" t="inlineStr">
        <is>
          <t>"CodeSommet" x3</t>
        </is>
      </c>
      <c r="D63" s="5" t="inlineStr">
        <is>
          <t>Vary repeated anchor texts (header/body/footer) - descriptive, unique per target</t>
        </is>
      </c>
      <c r="E63" s="5" t="inlineStr">
        <is>
          <t>Seobility repeated-anchor warning</t>
        </is>
      </c>
      <c r="F63" t="inlineStr">
        <is>
          <t>Link relevance signals</t>
        </is>
      </c>
      <c r="G63" s="5" t="inlineStr">
        <is>
          <t>Low</t>
        </is>
      </c>
      <c r="H63" t="inlineStr">
        <is>
          <t>P3</t>
        </is>
      </c>
      <c r="I63" t="inlineStr">
        <is>
          <t>Not started</t>
        </is>
      </c>
    </row>
    <row r="64">
      <c r="A64" s="3" t="inlineStr">
        <is>
          <t>https://codesommet.com/services/elearning-platform-development</t>
        </is>
      </c>
      <c r="B64" t="inlineStr">
        <is>
          <t>Title</t>
        </is>
      </c>
      <c r="C64" s="5" t="inlineStr">
        <is>
          <t>Développement de Plateformes E-Learning (LMS) | CodeSommet</t>
        </is>
      </c>
      <c r="D64" s="5" t="inlineStr">
        <is>
          <t>Plateforme E-Learning &amp; LMS sur Mesure | CodeSommet (512 px)</t>
        </is>
      </c>
      <c r="E64" s="5" t="inlineStr">
        <is>
          <t>Title is 583 px (&gt; 580 px, risk of truncation; Seobility warning on home)</t>
        </is>
      </c>
      <c r="F64" t="inlineStr">
        <is>
          <t>CTR / snippet completeness</t>
        </is>
      </c>
      <c r="G64" s="5" t="inlineStr">
        <is>
          <t>Low</t>
        </is>
      </c>
      <c r="H64" t="inlineStr">
        <is>
          <t>P3</t>
        </is>
      </c>
      <c r="I64" t="inlineStr">
        <is>
          <t>Not started</t>
        </is>
      </c>
    </row>
    <row r="65">
      <c r="A65" s="3" t="inlineStr">
        <is>
          <t>https://codesommet.com/services/fintech-platform-development</t>
        </is>
      </c>
      <c r="B65" t="inlineStr">
        <is>
          <t>Title</t>
        </is>
      </c>
      <c r="C65" s="5" t="inlineStr">
        <is>
          <t>Développement de Plateformes FinTech &amp; Paiement | CodeSommet</t>
        </is>
      </c>
      <c r="D65" s="5" t="inlineStr">
        <is>
          <t>Plateformes FinTech &amp; Paiement sur Mesure | CodeSommet (539 px)</t>
        </is>
      </c>
      <c r="E65" s="5" t="inlineStr">
        <is>
          <t>Title is 605 px (&gt; 580 px, risk of truncation; Seobility warning on home)</t>
        </is>
      </c>
      <c r="F65" t="inlineStr">
        <is>
          <t>CTR / snippet completeness</t>
        </is>
      </c>
      <c r="G65" s="5" t="inlineStr">
        <is>
          <t>Low</t>
        </is>
      </c>
      <c r="H65" t="inlineStr">
        <is>
          <t>P3</t>
        </is>
      </c>
      <c r="I65" t="inlineStr">
        <is>
          <t>Not started</t>
        </is>
      </c>
    </row>
    <row r="66">
      <c r="A66" s="3" t="inlineStr">
        <is>
          <t>https://codesommet.com/services/online-course-platform-development</t>
        </is>
      </c>
      <c r="B66" t="inlineStr">
        <is>
          <t>Title</t>
        </is>
      </c>
      <c r="C66" s="5" t="inlineStr">
        <is>
          <t>Développement de Plateformes de Cours en Ligne | CodeSommet</t>
        </is>
      </c>
      <c r="D66" s="5" t="inlineStr">
        <is>
          <t>Plateforme pour Vendre des Formations en Ligne | CodeSommet (578 px)</t>
        </is>
      </c>
      <c r="E66" s="5" t="inlineStr">
        <is>
          <t>Title is 588 px (&gt; 580 px, risk of truncation; Seobility warning on home)</t>
        </is>
      </c>
      <c r="F66" t="inlineStr">
        <is>
          <t>CTR / snippet completeness</t>
        </is>
      </c>
      <c r="G66" s="5" t="inlineStr">
        <is>
          <t>Low</t>
        </is>
      </c>
      <c r="H66" t="inlineStr">
        <is>
          <t>P3</t>
        </is>
      </c>
      <c r="I66" t="inlineStr">
        <is>
          <t>Not started</t>
        </is>
      </c>
    </row>
    <row r="67">
      <c r="A67" s="3" t="inlineStr">
        <is>
          <t>https://codesommet.com/services/saas-platform-development</t>
        </is>
      </c>
      <c r="B67" t="inlineStr">
        <is>
          <t>Title</t>
        </is>
      </c>
      <c r="C67" s="5" t="inlineStr">
        <is>
          <t>Développement de Plateformes SaaS &amp; B2B | CodeSommet</t>
        </is>
      </c>
      <c r="D67" s="5" t="inlineStr">
        <is>
          <t>Développement SaaS &amp; Applications Web B2B | CodeSommet (553 px)</t>
        </is>
      </c>
      <c r="E67" s="5" t="inlineStr">
        <is>
          <t>Optional: lead with the higher-demand phrasing</t>
        </is>
      </c>
      <c r="F67" t="inlineStr">
        <is>
          <t>CTR</t>
        </is>
      </c>
      <c r="G67" s="5" t="inlineStr">
        <is>
          <t>Low-Medium</t>
        </is>
      </c>
      <c r="H67" t="inlineStr">
        <is>
          <t>P3</t>
        </is>
      </c>
      <c r="I67" t="inlineStr">
        <is>
          <t>Not started</t>
        </is>
      </c>
    </row>
    <row r="68">
      <c r="A68" s="3" t="inlineStr">
        <is>
          <t>https://codesommet.com/services/seo-maroc</t>
        </is>
      </c>
      <c r="B68" t="inlineStr">
        <is>
          <t>Internal anchors</t>
        </is>
      </c>
      <c r="C68" s="5" t="inlineStr">
        <is>
          <t>"CodeSommet" x3</t>
        </is>
      </c>
      <c r="D68" s="5" t="inlineStr">
        <is>
          <t>Vary repeated anchor texts (header/body/footer) - descriptive, unique per target</t>
        </is>
      </c>
      <c r="E68" s="5" t="inlineStr">
        <is>
          <t>Seobility repeated-anchor warning</t>
        </is>
      </c>
      <c r="F68" t="inlineStr">
        <is>
          <t>Link relevance signals</t>
        </is>
      </c>
      <c r="G68" s="5" t="inlineStr">
        <is>
          <t>Low</t>
        </is>
      </c>
      <c r="H68" t="inlineStr">
        <is>
          <t>P3</t>
        </is>
      </c>
      <c r="I68" t="inlineStr">
        <is>
          <t>Not started</t>
        </is>
      </c>
    </row>
    <row r="69">
      <c r="A69" s="3" t="inlineStr">
        <is>
          <t>https://codesommet.com/tools/css-minifier</t>
        </is>
      </c>
      <c r="B69" t="inlineStr">
        <is>
          <t>Title</t>
        </is>
      </c>
      <c r="C69" s="5" t="inlineStr">
        <is>
          <t>Minificateur CSS - Compression de Code Gratuite | CodeSommet</t>
        </is>
      </c>
      <c r="D69" s="5" t="inlineStr">
        <is>
          <t>Minify CSS : Minificateur CSS Gratuit | CodeSommet (470 px)</t>
        </is>
      </c>
      <c r="E69" s="5" t="inlineStr">
        <is>
          <t>Title is 582 px (&gt; 580 px, risk of truncation; Seobility warning on home)</t>
        </is>
      </c>
      <c r="F69" t="inlineStr">
        <is>
          <t>CTR / snippet completeness</t>
        </is>
      </c>
      <c r="G69" s="5" t="inlineStr">
        <is>
          <t>Low</t>
        </is>
      </c>
      <c r="H69" t="inlineStr">
        <is>
          <t>P3</t>
        </is>
      </c>
      <c r="I69" t="inlineStr">
        <is>
          <t>Not started</t>
        </is>
      </c>
    </row>
    <row r="70">
      <c r="A70" s="3" t="inlineStr">
        <is>
          <t>https://codesommet.com/tools/invisible-character-cleaner</t>
        </is>
      </c>
      <c r="B70" t="inlineStr">
        <is>
          <t>Title</t>
        </is>
      </c>
      <c r="C70" s="5" t="inlineStr">
        <is>
          <t>Nettoyeur de Caractères Invisibles Gratuit | CodeSommet</t>
        </is>
      </c>
      <c r="D70" s="5" t="inlineStr">
        <is>
          <t>Caractère Invisible : Détecter et Supprimer | CodeSommet (519 px)</t>
        </is>
      </c>
      <c r="E70" s="5" t="inlineStr">
        <is>
          <t>Optional: lead with the higher-demand phrasing</t>
        </is>
      </c>
      <c r="F70" t="inlineStr">
        <is>
          <t>CTR</t>
        </is>
      </c>
      <c r="G70" s="5" t="inlineStr">
        <is>
          <t>Low-Medium</t>
        </is>
      </c>
      <c r="H70" t="inlineStr">
        <is>
          <t>P3</t>
        </is>
      </c>
      <c r="I70" t="inlineStr">
        <is>
          <t>Not started</t>
        </is>
      </c>
    </row>
    <row r="71">
      <c r="A71" s="3" t="inlineStr">
        <is>
          <t>https://codesommet.com/tools/qr-code-generator</t>
        </is>
      </c>
      <c r="B71" t="inlineStr">
        <is>
          <t>Title</t>
        </is>
      </c>
      <c r="C71" s="5" t="inlineStr">
        <is>
          <t>Générateur de QR Code Gratuit | CodeSommet</t>
        </is>
      </c>
      <c r="D71" s="5" t="inlineStr">
        <is>
          <t>Générateur QR Code Gratuit et Sans Expiration | CodeSommet (565 px)</t>
        </is>
      </c>
      <c r="E71" s="5" t="inlineStr">
        <is>
          <t>Optional: lead with the higher-demand phrasing</t>
        </is>
      </c>
      <c r="F71" t="inlineStr">
        <is>
          <t>CTR</t>
        </is>
      </c>
      <c r="G71" s="5" t="inlineStr">
        <is>
          <t>Low-Medium</t>
        </is>
      </c>
      <c r="H71" t="inlineStr">
        <is>
          <t>P3</t>
        </is>
      </c>
      <c r="I71" t="inlineStr">
        <is>
          <t>Not started</t>
        </is>
      </c>
    </row>
    <row r="72">
      <c r="A72" s="3" t="inlineStr">
        <is>
          <t>https://codesommet.com/tools/website-analyzer</t>
        </is>
      </c>
      <c r="B72" t="inlineStr">
        <is>
          <t>Title</t>
        </is>
      </c>
      <c r="C72" s="5" t="inlineStr">
        <is>
          <t>Analyseur de Site Web - Audit SEO Gratuit | CodeSommet</t>
        </is>
      </c>
      <c r="D72" s="5" t="inlineStr">
        <is>
          <t>Audit SEO Gratuit – Analyseur de Site Web | CodeSommet (525 px)</t>
        </is>
      </c>
      <c r="E72" s="5" t="inlineStr">
        <is>
          <t>Optional: lead with the higher-demand phrasing</t>
        </is>
      </c>
      <c r="F72" t="inlineStr">
        <is>
          <t>CTR</t>
        </is>
      </c>
      <c r="G72" s="5" t="inlineStr">
        <is>
          <t>Low-Medium</t>
        </is>
      </c>
      <c r="H72" t="inlineStr">
        <is>
          <t>P3</t>
        </is>
      </c>
      <c r="I72" t="inlineStr">
        <is>
          <t>Not started</t>
        </is>
      </c>
    </row>
    <row r="73">
      <c r="A73" s="3" t="inlineStr">
        <is>
          <t>https://codesommet.com/tools/website-analyzer</t>
        </is>
      </c>
      <c r="B73" t="inlineStr">
        <is>
          <t>Internal anchors</t>
        </is>
      </c>
      <c r="C73" s="5" t="inlineStr">
        <is>
          <t>"CodeSommet" x3</t>
        </is>
      </c>
      <c r="D73" s="5" t="inlineStr">
        <is>
          <t>Vary repeated anchor texts (header/body/footer) - descriptive, unique per target</t>
        </is>
      </c>
      <c r="E73" s="5" t="inlineStr">
        <is>
          <t>Seobility repeated-anchor warning</t>
        </is>
      </c>
      <c r="F73" t="inlineStr">
        <is>
          <t>Link relevance signals</t>
        </is>
      </c>
      <c r="G73" s="5" t="inlineStr">
        <is>
          <t>Low</t>
        </is>
      </c>
      <c r="H73" t="inlineStr">
        <is>
          <t>P3</t>
        </is>
      </c>
      <c r="I73" t="inlineStr">
        <is>
          <t>Not started</t>
        </is>
      </c>
    </row>
    <row r="74">
      <c r="A74" s="3" t="inlineStr">
        <is>
          <t>https://codesommet.com/web-development-company/agadir</t>
        </is>
      </c>
      <c r="B74" t="inlineStr">
        <is>
          <t>Internal anchors</t>
        </is>
      </c>
      <c r="C74" s="5" t="inlineStr">
        <is>
          <t>"CodeSommet" x3</t>
        </is>
      </c>
      <c r="D74" s="5" t="inlineStr">
        <is>
          <t>Vary repeated anchor texts (header/body/footer) - descriptive, unique per target</t>
        </is>
      </c>
      <c r="E74" s="5" t="inlineStr">
        <is>
          <t>Seobility repeated-anchor warning</t>
        </is>
      </c>
      <c r="F74" t="inlineStr">
        <is>
          <t>Link relevance signals</t>
        </is>
      </c>
      <c r="G74" s="5" t="inlineStr">
        <is>
          <t>Low</t>
        </is>
      </c>
      <c r="H74" t="inlineStr">
        <is>
          <t>P3</t>
        </is>
      </c>
      <c r="I74" t="inlineStr">
        <is>
          <t>Not started</t>
        </is>
      </c>
    </row>
    <row r="75">
      <c r="A75" s="3" t="inlineStr">
        <is>
          <t>https://codesommet.com/web-development-company/casablanca</t>
        </is>
      </c>
      <c r="B75" t="inlineStr">
        <is>
          <t>Internal anchors</t>
        </is>
      </c>
      <c r="C75" s="5" t="inlineStr">
        <is>
          <t>"CodeSommet" x3</t>
        </is>
      </c>
      <c r="D75" s="5" t="inlineStr">
        <is>
          <t>Vary repeated anchor texts (header/body/footer) - descriptive, unique per target</t>
        </is>
      </c>
      <c r="E75" s="5" t="inlineStr">
        <is>
          <t>Seobility repeated-anchor warning</t>
        </is>
      </c>
      <c r="F75" t="inlineStr">
        <is>
          <t>Link relevance signals</t>
        </is>
      </c>
      <c r="G75" s="5" t="inlineStr">
        <is>
          <t>Low</t>
        </is>
      </c>
      <c r="H75" t="inlineStr">
        <is>
          <t>P3</t>
        </is>
      </c>
      <c r="I75" t="inlineStr">
        <is>
          <t>Not started</t>
        </is>
      </c>
    </row>
    <row r="76">
      <c r="A76" s="3" t="inlineStr">
        <is>
          <t>https://codesommet.com/web-development-company/marrakech</t>
        </is>
      </c>
      <c r="B76" t="inlineStr">
        <is>
          <t>Internal anchors</t>
        </is>
      </c>
      <c r="C76" s="5" t="inlineStr">
        <is>
          <t>"CodeSommet" x3</t>
        </is>
      </c>
      <c r="D76" s="5" t="inlineStr">
        <is>
          <t>Vary repeated anchor texts (header/body/footer) - descriptive, unique per target</t>
        </is>
      </c>
      <c r="E76" s="5" t="inlineStr">
        <is>
          <t>Seobility repeated-anchor warning</t>
        </is>
      </c>
      <c r="F76" t="inlineStr">
        <is>
          <t>Link relevance signals</t>
        </is>
      </c>
      <c r="G76" s="5" t="inlineStr">
        <is>
          <t>Low</t>
        </is>
      </c>
      <c r="H76" t="inlineStr">
        <is>
          <t>P3</t>
        </is>
      </c>
      <c r="I76" t="inlineStr">
        <is>
          <t>Not started</t>
        </is>
      </c>
    </row>
    <row r="77">
      <c r="A77" s="3" t="inlineStr">
        <is>
          <t>https://codesommet.com/web-development-company/rabat</t>
        </is>
      </c>
      <c r="B77" t="inlineStr">
        <is>
          <t>Internal anchors</t>
        </is>
      </c>
      <c r="C77" s="5" t="inlineStr">
        <is>
          <t>"CodeSommet" x3</t>
        </is>
      </c>
      <c r="D77" s="5" t="inlineStr">
        <is>
          <t>Vary repeated anchor texts (header/body/footer) - descriptive, unique per target</t>
        </is>
      </c>
      <c r="E77" s="5" t="inlineStr">
        <is>
          <t>Seobility repeated-anchor warning</t>
        </is>
      </c>
      <c r="F77" t="inlineStr">
        <is>
          <t>Link relevance signals</t>
        </is>
      </c>
      <c r="G77" s="5" t="inlineStr">
        <is>
          <t>Low</t>
        </is>
      </c>
      <c r="H77" t="inlineStr">
        <is>
          <t>P3</t>
        </is>
      </c>
      <c r="I77" t="inlineStr">
        <is>
          <t>Not started</t>
        </is>
      </c>
    </row>
    <row r="78">
      <c r="A78" s="3" t="inlineStr">
        <is>
          <t>https://codesommet.com/web-development-company/tangier</t>
        </is>
      </c>
      <c r="B78" t="inlineStr">
        <is>
          <t>Internal anchors</t>
        </is>
      </c>
      <c r="C78" s="5" t="inlineStr">
        <is>
          <t>"CodeSommet" x3</t>
        </is>
      </c>
      <c r="D78" s="5" t="inlineStr">
        <is>
          <t>Vary repeated anchor texts (header/body/footer) - descriptive, unique per target</t>
        </is>
      </c>
      <c r="E78" s="5" t="inlineStr">
        <is>
          <t>Seobility repeated-anchor warning</t>
        </is>
      </c>
      <c r="F78" t="inlineStr">
        <is>
          <t>Link relevance signals</t>
        </is>
      </c>
      <c r="G78" s="5" t="inlineStr">
        <is>
          <t>Low</t>
        </is>
      </c>
      <c r="H78" t="inlineStr">
        <is>
          <t>P3</t>
        </is>
      </c>
      <c r="I78" t="inlineStr">
        <is>
          <t>Not started</t>
        </is>
      </c>
    </row>
    <row r="79">
      <c r="A79" s="3" t="inlineStr">
        <is>
          <t>https://codesommet.com/web-development-company/worldwide</t>
        </is>
      </c>
      <c r="B79" t="inlineStr">
        <is>
          <t>Internal anchors</t>
        </is>
      </c>
      <c r="C79" s="5" t="inlineStr">
        <is>
          <t>"CodeSommet" x3</t>
        </is>
      </c>
      <c r="D79" s="5" t="inlineStr">
        <is>
          <t>Vary repeated anchor texts (header/body/footer) - descriptive, unique per target</t>
        </is>
      </c>
      <c r="E79" s="5" t="inlineStr">
        <is>
          <t>Seobility repeated-anchor warning</t>
        </is>
      </c>
      <c r="F79" t="inlineStr">
        <is>
          <t>Link relevance signals</t>
        </is>
      </c>
      <c r="G79" s="5" t="inlineStr">
        <is>
          <t>Low</t>
        </is>
      </c>
      <c r="H79" t="inlineStr">
        <is>
          <t>P3</t>
        </is>
      </c>
      <c r="I79" t="inlineStr">
        <is>
          <t>Not started</t>
        </is>
      </c>
    </row>
    <row r="80">
      <c r="A80" s="3" t="inlineStr">
        <is>
          <t>https://codesommet.com/blog/creer-une-plateforme-saas-mvp-multi-tenant-facturation-par-ou-commencer</t>
        </is>
      </c>
      <c r="B80" t="inlineStr">
        <is>
          <t>Internal link</t>
        </is>
      </c>
      <c r="C80" s="5" t="inlineStr">
        <is>
          <t>Body link to /services/saas-platform-development already exists</t>
        </is>
      </c>
      <c r="D80" s="5" t="inlineStr">
        <is>
          <t>Contextual link to /services/saas-platform-development with anchor "développement SaaS sur mesure"</t>
        </is>
      </c>
      <c r="E80" s="5" t="inlineStr">
        <is>
          <t>Pass topical relevance to the page that owns the keyword; varied anchors</t>
        </is>
      </c>
      <c r="F80" t="inlineStr">
        <is>
          <t>Crawl + relevance</t>
        </is>
      </c>
      <c r="G80" s="5" t="inlineStr">
        <is>
          <t>Low</t>
        </is>
      </c>
      <c r="H80" t="inlineStr">
        <is>
          <t>P4</t>
        </is>
      </c>
      <c r="I80" t="inlineStr">
        <is>
          <t>Not started</t>
        </is>
      </c>
    </row>
    <row r="81">
      <c r="A81" s="3" t="inlineStr">
        <is>
          <t>https://codesommet.com/blog/lms-sur-mesure-ou-produit-edtech-quelle-plateforme-e-learning</t>
        </is>
      </c>
      <c r="B81" t="inlineStr">
        <is>
          <t>Internal link</t>
        </is>
      </c>
      <c r="C81" s="5" t="inlineStr">
        <is>
          <t>Body link to /services/elearning-platform-development already exists</t>
        </is>
      </c>
      <c r="D81" s="5" t="inlineStr">
        <is>
          <t>Contextual link to /services/elearning-platform-development with anchor "plateforme e-learning sur mesure"</t>
        </is>
      </c>
      <c r="E81" s="5" t="inlineStr">
        <is>
          <t>Pass topical relevance to the page that owns the keyword; varied anchors</t>
        </is>
      </c>
      <c r="F81" t="inlineStr">
        <is>
          <t>Crawl + relevance</t>
        </is>
      </c>
      <c r="G81" s="5" t="inlineStr">
        <is>
          <t>Low</t>
        </is>
      </c>
      <c r="H81" t="inlineStr">
        <is>
          <t>P4</t>
        </is>
      </c>
      <c r="I81" t="inlineStr">
        <is>
          <t>Not started</t>
        </is>
      </c>
    </row>
    <row r="82">
      <c r="A82" s="3" t="inlineStr">
        <is>
          <t>https://codesommet.com/blog/site-immobilier-structurer-les-annonces-pour-le-seo-et-la-conversion</t>
        </is>
      </c>
      <c r="B82" t="inlineStr">
        <is>
          <t>Internal link</t>
        </is>
      </c>
      <c r="C82" s="5" t="inlineStr">
        <is>
          <t>Body link to /services/real-estate-website-development already exists</t>
        </is>
      </c>
      <c r="D82" s="5" t="inlineStr">
        <is>
          <t>Contextual link to /services/real-estate-website-development with anchor "création de site immobilier"</t>
        </is>
      </c>
      <c r="E82" s="5" t="inlineStr">
        <is>
          <t>Pass topical relevance to the page that owns the keyword; varied anchors</t>
        </is>
      </c>
      <c r="F82" t="inlineStr">
        <is>
          <t>Crawl + relevance</t>
        </is>
      </c>
      <c r="G82" s="5" t="inlineStr">
        <is>
          <t>Low</t>
        </is>
      </c>
      <c r="H82" t="inlineStr">
        <is>
          <t>P4</t>
        </is>
      </c>
      <c r="I82" t="inlineStr">
        <is>
          <t>Not started</t>
        </is>
      </c>
    </row>
    <row r="83">
      <c r="A83" s="3" t="inlineStr">
        <is>
          <t>https://codesommet.com/blog/site-web-fintech-7-elements-qui-rassurent-un-visiteur</t>
        </is>
      </c>
      <c r="B83" t="inlineStr">
        <is>
          <t>Internal link</t>
        </is>
      </c>
      <c r="C83" s="5" t="inlineStr">
        <is>
          <t>Body link to /services/fintech-website-development already exists</t>
        </is>
      </c>
      <c r="D83" s="5" t="inlineStr">
        <is>
          <t>Contextual link to /services/fintech-website-development with anchor "création de site fintech"</t>
        </is>
      </c>
      <c r="E83" s="5" t="inlineStr">
        <is>
          <t>Pass topical relevance to the page that owns the keyword; varied anchors</t>
        </is>
      </c>
      <c r="F83" t="inlineStr">
        <is>
          <t>Crawl + relevance</t>
        </is>
      </c>
      <c r="G83" s="5" t="inlineStr">
        <is>
          <t>Low</t>
        </is>
      </c>
      <c r="H83" t="inlineStr">
        <is>
          <t>P4</t>
        </is>
      </c>
      <c r="I83" t="inlineStr">
        <is>
          <t>Not started</t>
        </is>
      </c>
    </row>
    <row r="84">
      <c r="A84" s="3" t="inlineStr">
        <is>
          <t>https://codesommet.com/blog/site-web-telemedecine-cabinet-clinique-que-doit-il-contenir</t>
        </is>
      </c>
      <c r="B84" t="inlineStr">
        <is>
          <t>Internal link</t>
        </is>
      </c>
      <c r="C84" s="5" t="inlineStr">
        <is>
          <t>Body link to /services/telemedicine-website-development already exists</t>
        </is>
      </c>
      <c r="D84" s="5" t="inlineStr">
        <is>
          <t>Contextual link to /services/telemedicine-website-development with anchor "site web pour cabinet médical"</t>
        </is>
      </c>
      <c r="E84" s="5" t="inlineStr">
        <is>
          <t>Pass topical relevance to the page that owns the keyword; varied anchors</t>
        </is>
      </c>
      <c r="F84" t="inlineStr">
        <is>
          <t>Crawl + relevance</t>
        </is>
      </c>
      <c r="G84" s="5" t="inlineStr">
        <is>
          <t>Low</t>
        </is>
      </c>
      <c r="H84" t="inlineStr">
        <is>
          <t>P4</t>
        </is>
      </c>
      <c r="I84" t="inlineStr">
        <is>
          <t>Not started</t>
        </is>
      </c>
    </row>
    <row r="85">
      <c r="A85" s="3" t="inlineStr">
        <is>
          <t>https://codesommet.com/legal/refund-policy</t>
        </is>
      </c>
      <c r="B85" t="inlineStr">
        <is>
          <t>Heading count</t>
        </is>
      </c>
      <c r="C85" s="5" t="inlineStr">
        <is>
          <t>35 headings / 1935 words</t>
        </is>
      </c>
      <c r="D85" s="5" t="inlineStr">
        <is>
          <t>Demote decorative headings (card labels, step titles) to styled &lt;div class="hd-3"&gt; per existing pattern; keep H2 skeleton</t>
        </is>
      </c>
      <c r="E85" s="5" t="inlineStr">
        <is>
          <t>Seobility flags disproportionate heading count (home: 30 headings)</t>
        </is>
      </c>
      <c r="F85" t="inlineStr">
        <is>
          <t>Page-structure score</t>
        </is>
      </c>
      <c r="G85" s="5" t="inlineStr">
        <is>
          <t>Low (visual check needed)</t>
        </is>
      </c>
      <c r="H85" t="inlineStr">
        <is>
          <t>P4</t>
        </is>
      </c>
      <c r="I85" t="inlineStr">
        <is>
          <t>Not started</t>
        </is>
      </c>
    </row>
    <row r="86">
      <c r="A86" s="3" t="inlineStr">
        <is>
          <t>https://codesommet.com/legal/terms-of-service</t>
        </is>
      </c>
      <c r="B86" t="inlineStr">
        <is>
          <t>Heading count</t>
        </is>
      </c>
      <c r="C86" s="5" t="inlineStr">
        <is>
          <t>58 headings / 2903 words</t>
        </is>
      </c>
      <c r="D86" s="5" t="inlineStr">
        <is>
          <t>Demote decorative headings (card labels, step titles) to styled &lt;div class="hd-3"&gt; per existing pattern; keep H2 skeleton</t>
        </is>
      </c>
      <c r="E86" s="5" t="inlineStr">
        <is>
          <t>Seobility flags disproportionate heading count (home: 30 headings)</t>
        </is>
      </c>
      <c r="F86" t="inlineStr">
        <is>
          <t>Page-structure score</t>
        </is>
      </c>
      <c r="G86" s="5" t="inlineStr">
        <is>
          <t>Low (visual check needed)</t>
        </is>
      </c>
      <c r="H86" t="inlineStr">
        <is>
          <t>P4</t>
        </is>
      </c>
      <c r="I86" t="inlineStr">
        <is>
          <t>Not started</t>
        </is>
      </c>
    </row>
    <row r="87">
      <c r="A87" s="3" t="inlineStr">
        <is>
          <t>https://codesommet.com/our-work/akoubri</t>
        </is>
      </c>
      <c r="B87" t="inlineStr">
        <is>
          <t>Internal link</t>
        </is>
      </c>
      <c r="C87" s="5" t="inlineStr">
        <is>
          <t>Body link to /web-development-company/marrakech already exists</t>
        </is>
      </c>
      <c r="D87" s="5" t="inlineStr">
        <is>
          <t>Contextual link to /web-development-company/marrakech with anchor "création de site web à Marrakech"</t>
        </is>
      </c>
      <c r="E87" s="5" t="inlineStr">
        <is>
          <t>Pass topical relevance to the page that owns the keyword; varied anchors</t>
        </is>
      </c>
      <c r="F87" t="inlineStr">
        <is>
          <t>Crawl + relevance</t>
        </is>
      </c>
      <c r="G87" s="5" t="inlineStr">
        <is>
          <t>Low</t>
        </is>
      </c>
      <c r="H87" t="inlineStr">
        <is>
          <t>P4</t>
        </is>
      </c>
      <c r="I87" t="inlineStr">
        <is>
          <t>Not started</t>
        </is>
      </c>
    </row>
    <row r="88">
      <c r="A88" s="3" t="inlineStr">
        <is>
          <t>https://codesommet.com/our-work/gls-sprachenzentrum</t>
        </is>
      </c>
      <c r="B88" t="inlineStr">
        <is>
          <t>Internal link</t>
        </is>
      </c>
      <c r="C88" s="5" t="inlineStr">
        <is>
          <t>Body link to /services/language-school-website-development already exists</t>
        </is>
      </c>
      <c r="D88" s="5" t="inlineStr">
        <is>
          <t>Contextual link to /services/language-school-website-development with anchor "site web pour école de langues"</t>
        </is>
      </c>
      <c r="E88" s="5" t="inlineStr">
        <is>
          <t>Pass topical relevance to the page that owns the keyword; varied anchors</t>
        </is>
      </c>
      <c r="F88" t="inlineStr">
        <is>
          <t>Crawl + relevance</t>
        </is>
      </c>
      <c r="G88" s="5" t="inlineStr">
        <is>
          <t>Low</t>
        </is>
      </c>
      <c r="H88" t="inlineStr">
        <is>
          <t>P4</t>
        </is>
      </c>
      <c r="I88" t="inlineStr">
        <is>
          <t>Not started</t>
        </is>
      </c>
    </row>
    <row r="89">
      <c r="A89" s="3" t="inlineStr">
        <is>
          <t>https://codesommet.com/services/edtech-platform-development</t>
        </is>
      </c>
      <c r="B89" t="inlineStr">
        <is>
          <t>Heading count</t>
        </is>
      </c>
      <c r="C89" s="5" t="inlineStr">
        <is>
          <t>47 headings / 2643 words</t>
        </is>
      </c>
      <c r="D89" s="5" t="inlineStr">
        <is>
          <t>Demote decorative headings (card labels, step titles) to styled &lt;div class="hd-3"&gt; per existing pattern; keep H2 skeleton</t>
        </is>
      </c>
      <c r="E89" s="5" t="inlineStr">
        <is>
          <t>Seobility flags disproportionate heading count (home: 30 headings)</t>
        </is>
      </c>
      <c r="F89" t="inlineStr">
        <is>
          <t>Page-structure score</t>
        </is>
      </c>
      <c r="G89" s="5" t="inlineStr">
        <is>
          <t>Low (visual check needed)</t>
        </is>
      </c>
      <c r="H89" t="inlineStr">
        <is>
          <t>P4</t>
        </is>
      </c>
      <c r="I89" t="inlineStr">
        <is>
          <t>Not started</t>
        </is>
      </c>
    </row>
    <row r="90">
      <c r="A90" s="3" t="inlineStr">
        <is>
          <t>https://codesommet.com/services/education-website-development</t>
        </is>
      </c>
      <c r="B90" t="inlineStr">
        <is>
          <t>Heading count</t>
        </is>
      </c>
      <c r="C90" s="5" t="inlineStr">
        <is>
          <t>46 headings / 2631 words</t>
        </is>
      </c>
      <c r="D90" s="5" t="inlineStr">
        <is>
          <t>Demote decorative headings (card labels, step titles) to styled &lt;div class="hd-3"&gt; per existing pattern; keep H2 skeleton</t>
        </is>
      </c>
      <c r="E90" s="5" t="inlineStr">
        <is>
          <t>Seobility flags disproportionate heading count (home: 30 headings)</t>
        </is>
      </c>
      <c r="F90" t="inlineStr">
        <is>
          <t>Page-structure score</t>
        </is>
      </c>
      <c r="G90" s="5" t="inlineStr">
        <is>
          <t>Low (visual check needed)</t>
        </is>
      </c>
      <c r="H90" t="inlineStr">
        <is>
          <t>P4</t>
        </is>
      </c>
      <c r="I90" t="inlineStr">
        <is>
          <t>Not started</t>
        </is>
      </c>
    </row>
    <row r="91">
      <c r="A91" s="3" t="inlineStr">
        <is>
          <t>https://codesommet.com/services/elearning-platform-development</t>
        </is>
      </c>
      <c r="B91" t="inlineStr">
        <is>
          <t>Heading count</t>
        </is>
      </c>
      <c r="C91" s="5" t="inlineStr">
        <is>
          <t>47 headings / 2408 words</t>
        </is>
      </c>
      <c r="D91" s="5" t="inlineStr">
        <is>
          <t>Demote decorative headings (card labels, step titles) to styled &lt;div class="hd-3"&gt; per existing pattern; keep H2 skeleton</t>
        </is>
      </c>
      <c r="E91" s="5" t="inlineStr">
        <is>
          <t>Seobility flags disproportionate heading count (home: 30 headings)</t>
        </is>
      </c>
      <c r="F91" t="inlineStr">
        <is>
          <t>Page-structure score</t>
        </is>
      </c>
      <c r="G91" s="5" t="inlineStr">
        <is>
          <t>Low (visual check needed)</t>
        </is>
      </c>
      <c r="H91" t="inlineStr">
        <is>
          <t>P4</t>
        </is>
      </c>
      <c r="I91" t="inlineStr">
        <is>
          <t>Not started</t>
        </is>
      </c>
    </row>
    <row r="92">
      <c r="A92" s="3" t="inlineStr">
        <is>
          <t>https://codesommet.com/services/fintech-platform-development</t>
        </is>
      </c>
      <c r="B92" t="inlineStr">
        <is>
          <t>Heading count</t>
        </is>
      </c>
      <c r="C92" s="5" t="inlineStr">
        <is>
          <t>47 headings / 2780 words</t>
        </is>
      </c>
      <c r="D92" s="5" t="inlineStr">
        <is>
          <t>Demote decorative headings (card labels, step titles) to styled &lt;div class="hd-3"&gt; per existing pattern; keep H2 skeleton</t>
        </is>
      </c>
      <c r="E92" s="5" t="inlineStr">
        <is>
          <t>Seobility flags disproportionate heading count (home: 30 headings)</t>
        </is>
      </c>
      <c r="F92" t="inlineStr">
        <is>
          <t>Page-structure score</t>
        </is>
      </c>
      <c r="G92" s="5" t="inlineStr">
        <is>
          <t>Low (visual check needed)</t>
        </is>
      </c>
      <c r="H92" t="inlineStr">
        <is>
          <t>P4</t>
        </is>
      </c>
      <c r="I92" t="inlineStr">
        <is>
          <t>Not started</t>
        </is>
      </c>
    </row>
    <row r="93">
      <c r="A93" s="3" t="inlineStr">
        <is>
          <t>https://codesommet.com/services/fintech-website-development</t>
        </is>
      </c>
      <c r="B93" t="inlineStr">
        <is>
          <t>Heading count</t>
        </is>
      </c>
      <c r="C93" s="5" t="inlineStr">
        <is>
          <t>47 headings / 2812 words</t>
        </is>
      </c>
      <c r="D93" s="5" t="inlineStr">
        <is>
          <t>Demote decorative headings (card labels, step titles) to styled &lt;div class="hd-3"&gt; per existing pattern; keep H2 skeleton</t>
        </is>
      </c>
      <c r="E93" s="5" t="inlineStr">
        <is>
          <t>Seobility flags disproportionate heading count (home: 30 headings)</t>
        </is>
      </c>
      <c r="F93" t="inlineStr">
        <is>
          <t>Page-structure score</t>
        </is>
      </c>
      <c r="G93" s="5" t="inlineStr">
        <is>
          <t>Low (visual check needed)</t>
        </is>
      </c>
      <c r="H93" t="inlineStr">
        <is>
          <t>P4</t>
        </is>
      </c>
      <c r="I93" t="inlineStr">
        <is>
          <t>Not started</t>
        </is>
      </c>
    </row>
    <row r="94">
      <c r="A94" s="3" t="inlineStr">
        <is>
          <t>https://codesommet.com/services/healthcare-website-development</t>
        </is>
      </c>
      <c r="B94" t="inlineStr">
        <is>
          <t>Heading count</t>
        </is>
      </c>
      <c r="C94" s="5" t="inlineStr">
        <is>
          <t>47 headings / 2736 words</t>
        </is>
      </c>
      <c r="D94" s="5" t="inlineStr">
        <is>
          <t>Demote decorative headings (card labels, step titles) to styled &lt;div class="hd-3"&gt; per existing pattern; keep H2 skeleton</t>
        </is>
      </c>
      <c r="E94" s="5" t="inlineStr">
        <is>
          <t>Seobility flags disproportionate heading count (home: 30 headings)</t>
        </is>
      </c>
      <c r="F94" t="inlineStr">
        <is>
          <t>Page-structure score</t>
        </is>
      </c>
      <c r="G94" s="5" t="inlineStr">
        <is>
          <t>Low (visual check needed)</t>
        </is>
      </c>
      <c r="H94" t="inlineStr">
        <is>
          <t>P4</t>
        </is>
      </c>
      <c r="I94" t="inlineStr">
        <is>
          <t>Not started</t>
        </is>
      </c>
    </row>
    <row r="95">
      <c r="A95" s="3" t="inlineStr">
        <is>
          <t>https://codesommet.com/services/healthcare-website-development</t>
        </is>
      </c>
      <c r="B95" t="inlineStr">
        <is>
          <t>Internal link</t>
        </is>
      </c>
      <c r="C95" s="5" t="inlineStr">
        <is>
          <t>Body link to /services/telemedicine-website-development already exists</t>
        </is>
      </c>
      <c r="D95" s="5" t="inlineStr">
        <is>
          <t>Contextual link to /services/telemedicine-website-development with anchor "site pour cabinet médical"</t>
        </is>
      </c>
      <c r="E95" s="5" t="inlineStr">
        <is>
          <t>Pass topical relevance to the page that owns the keyword; varied anchors</t>
        </is>
      </c>
      <c r="F95" t="inlineStr">
        <is>
          <t>Crawl + relevance</t>
        </is>
      </c>
      <c r="G95" s="5" t="inlineStr">
        <is>
          <t>Low</t>
        </is>
      </c>
      <c r="H95" t="inlineStr">
        <is>
          <t>P4</t>
        </is>
      </c>
      <c r="I95" t="inlineStr">
        <is>
          <t>Not started</t>
        </is>
      </c>
    </row>
    <row r="96">
      <c r="A96" s="3" t="inlineStr">
        <is>
          <t>https://codesommet.com/services/immigration-consultancy-website-development</t>
        </is>
      </c>
      <c r="B96" t="inlineStr">
        <is>
          <t>Heading count</t>
        </is>
      </c>
      <c r="C96" s="5" t="inlineStr">
        <is>
          <t>46 headings / 2852 words</t>
        </is>
      </c>
      <c r="D96" s="5" t="inlineStr">
        <is>
          <t>Demote decorative headings (card labels, step titles) to styled &lt;div class="hd-3"&gt; per existing pattern; keep H2 skeleton</t>
        </is>
      </c>
      <c r="E96" s="5" t="inlineStr">
        <is>
          <t>Seobility flags disproportionate heading count (home: 30 headings)</t>
        </is>
      </c>
      <c r="F96" t="inlineStr">
        <is>
          <t>Page-structure score</t>
        </is>
      </c>
      <c r="G96" s="5" t="inlineStr">
        <is>
          <t>Low (visual check needed)</t>
        </is>
      </c>
      <c r="H96" t="inlineStr">
        <is>
          <t>P4</t>
        </is>
      </c>
      <c r="I96" t="inlineStr">
        <is>
          <t>Not started</t>
        </is>
      </c>
    </row>
    <row r="97">
      <c r="A97" s="3" t="inlineStr">
        <is>
          <t>https://codesommet.com/services/language-school-website-development</t>
        </is>
      </c>
      <c r="B97" t="inlineStr">
        <is>
          <t>Heading count</t>
        </is>
      </c>
      <c r="C97" s="5" t="inlineStr">
        <is>
          <t>46 headings / 2665 words</t>
        </is>
      </c>
      <c r="D97" s="5" t="inlineStr">
        <is>
          <t>Demote decorative headings (card labels, step titles) to styled &lt;div class="hd-3"&gt; per existing pattern; keep H2 skeleton</t>
        </is>
      </c>
      <c r="E97" s="5" t="inlineStr">
        <is>
          <t>Seobility flags disproportionate heading count (home: 30 headings)</t>
        </is>
      </c>
      <c r="F97" t="inlineStr">
        <is>
          <t>Page-structure score</t>
        </is>
      </c>
      <c r="G97" s="5" t="inlineStr">
        <is>
          <t>Low (visual check needed)</t>
        </is>
      </c>
      <c r="H97" t="inlineStr">
        <is>
          <t>P4</t>
        </is>
      </c>
      <c r="I97" t="inlineStr">
        <is>
          <t>Not started</t>
        </is>
      </c>
    </row>
    <row r="98">
      <c r="A98" s="3" t="inlineStr">
        <is>
          <t>https://codesommet.com/services/online-course-platform-development</t>
        </is>
      </c>
      <c r="B98" t="inlineStr">
        <is>
          <t>Heading count</t>
        </is>
      </c>
      <c r="C98" s="5" t="inlineStr">
        <is>
          <t>46 headings / 2546 words</t>
        </is>
      </c>
      <c r="D98" s="5" t="inlineStr">
        <is>
          <t>Demote decorative headings (card labels, step titles) to styled &lt;div class="hd-3"&gt; per existing pattern; keep H2 skeleton</t>
        </is>
      </c>
      <c r="E98" s="5" t="inlineStr">
        <is>
          <t>Seobility flags disproportionate heading count (home: 30 headings)</t>
        </is>
      </c>
      <c r="F98" t="inlineStr">
        <is>
          <t>Page-structure score</t>
        </is>
      </c>
      <c r="G98" s="5" t="inlineStr">
        <is>
          <t>Low (visual check needed)</t>
        </is>
      </c>
      <c r="H98" t="inlineStr">
        <is>
          <t>P4</t>
        </is>
      </c>
      <c r="I98" t="inlineStr">
        <is>
          <t>Not started</t>
        </is>
      </c>
    </row>
    <row r="99">
      <c r="A99" s="3" t="inlineStr">
        <is>
          <t>https://codesommet.com/services/real-estate-website-development</t>
        </is>
      </c>
      <c r="B99" t="inlineStr">
        <is>
          <t>Heading count</t>
        </is>
      </c>
      <c r="C99" s="5" t="inlineStr">
        <is>
          <t>47 headings / 2723 words</t>
        </is>
      </c>
      <c r="D99" s="5" t="inlineStr">
        <is>
          <t>Demote decorative headings (card labels, step titles) to styled &lt;div class="hd-3"&gt; per existing pattern; keep H2 skeleton</t>
        </is>
      </c>
      <c r="E99" s="5" t="inlineStr">
        <is>
          <t>Seobility flags disproportionate heading count (home: 30 headings)</t>
        </is>
      </c>
      <c r="F99" t="inlineStr">
        <is>
          <t>Page-structure score</t>
        </is>
      </c>
      <c r="G99" s="5" t="inlineStr">
        <is>
          <t>Low (visual check needed)</t>
        </is>
      </c>
      <c r="H99" t="inlineStr">
        <is>
          <t>P4</t>
        </is>
      </c>
      <c r="I99" t="inlineStr">
        <is>
          <t>Not started</t>
        </is>
      </c>
    </row>
    <row r="100">
      <c r="A100" s="3" t="inlineStr">
        <is>
          <t>https://codesommet.com/services/saas-platform-development</t>
        </is>
      </c>
      <c r="B100" t="inlineStr">
        <is>
          <t>Heading count</t>
        </is>
      </c>
      <c r="C100" s="5" t="inlineStr">
        <is>
          <t>47 headings / 2684 words</t>
        </is>
      </c>
      <c r="D100" s="5" t="inlineStr">
        <is>
          <t>Demote decorative headings (card labels, step titles) to styled &lt;div class="hd-3"&gt; per existing pattern; keep H2 skeleton</t>
        </is>
      </c>
      <c r="E100" s="5" t="inlineStr">
        <is>
          <t>Seobility flags disproportionate heading count (home: 30 headings)</t>
        </is>
      </c>
      <c r="F100" t="inlineStr">
        <is>
          <t>Page-structure score</t>
        </is>
      </c>
      <c r="G100" s="5" t="inlineStr">
        <is>
          <t>Low (visual check needed)</t>
        </is>
      </c>
      <c r="H100" t="inlineStr">
        <is>
          <t>P4</t>
        </is>
      </c>
      <c r="I100" t="inlineStr">
        <is>
          <t>Not started</t>
        </is>
      </c>
    </row>
    <row r="101">
      <c r="A101" s="3" t="inlineStr">
        <is>
          <t>https://codesommet.com/services/seo-maroc</t>
        </is>
      </c>
      <c r="B101" t="inlineStr">
        <is>
          <t>Internal link</t>
        </is>
      </c>
      <c r="C101" s="5" t="inlineStr">
        <is>
          <t>Body link to /tools/website-analyzer already exists</t>
        </is>
      </c>
      <c r="D101" s="5" t="inlineStr">
        <is>
          <t>Contextual link to /tools/website-analyzer with anchor "audit SEO gratuit"</t>
        </is>
      </c>
      <c r="E101" s="5" t="inlineStr">
        <is>
          <t>Pass topical relevance to the page that owns the keyword; varied anchors</t>
        </is>
      </c>
      <c r="F101" t="inlineStr">
        <is>
          <t>Crawl + relevance</t>
        </is>
      </c>
      <c r="G101" s="5" t="inlineStr">
        <is>
          <t>Low</t>
        </is>
      </c>
      <c r="H101" t="inlineStr">
        <is>
          <t>P4</t>
        </is>
      </c>
      <c r="I101" t="inlineStr">
        <is>
          <t>Not started</t>
        </is>
      </c>
    </row>
    <row r="102">
      <c r="A102" s="3" t="inlineStr">
        <is>
          <t>https://codesommet.com/services/study-abroad-website-development</t>
        </is>
      </c>
      <c r="B102" t="inlineStr">
        <is>
          <t>Heading count</t>
        </is>
      </c>
      <c r="C102" s="5" t="inlineStr">
        <is>
          <t>46 headings / 2719 words</t>
        </is>
      </c>
      <c r="D102" s="5" t="inlineStr">
        <is>
          <t>Demote decorative headings (card labels, step titles) to styled &lt;div class="hd-3"&gt; per existing pattern; keep H2 skeleton</t>
        </is>
      </c>
      <c r="E102" s="5" t="inlineStr">
        <is>
          <t>Seobility flags disproportionate heading count (home: 30 headings)</t>
        </is>
      </c>
      <c r="F102" t="inlineStr">
        <is>
          <t>Page-structure score</t>
        </is>
      </c>
      <c r="G102" s="5" t="inlineStr">
        <is>
          <t>Low (visual check needed)</t>
        </is>
      </c>
      <c r="H102" t="inlineStr">
        <is>
          <t>P4</t>
        </is>
      </c>
      <c r="I102" t="inlineStr">
        <is>
          <t>Not started</t>
        </is>
      </c>
    </row>
    <row r="103">
      <c r="A103" s="3" t="inlineStr">
        <is>
          <t>https://codesommet.com/services/telemedicine-platform-development</t>
        </is>
      </c>
      <c r="B103" t="inlineStr">
        <is>
          <t>Heading count</t>
        </is>
      </c>
      <c r="C103" s="5" t="inlineStr">
        <is>
          <t>47 headings / 2736 words</t>
        </is>
      </c>
      <c r="D103" s="5" t="inlineStr">
        <is>
          <t>Demote decorative headings (card labels, step titles) to styled &lt;div class="hd-3"&gt; per existing pattern; keep H2 skeleton</t>
        </is>
      </c>
      <c r="E103" s="5" t="inlineStr">
        <is>
          <t>Seobility flags disproportionate heading count (home: 30 headings)</t>
        </is>
      </c>
      <c r="F103" t="inlineStr">
        <is>
          <t>Page-structure score</t>
        </is>
      </c>
      <c r="G103" s="5" t="inlineStr">
        <is>
          <t>Low (visual check needed)</t>
        </is>
      </c>
      <c r="H103" t="inlineStr">
        <is>
          <t>P4</t>
        </is>
      </c>
      <c r="I103" t="inlineStr">
        <is>
          <t>Not started</t>
        </is>
      </c>
    </row>
    <row r="104">
      <c r="A104" s="3" t="inlineStr">
        <is>
          <t>https://codesommet.com/services/telemedicine-website-development</t>
        </is>
      </c>
      <c r="B104" t="inlineStr">
        <is>
          <t>Heading count</t>
        </is>
      </c>
      <c r="C104" s="5" t="inlineStr">
        <is>
          <t>47 headings / 2952 words</t>
        </is>
      </c>
      <c r="D104" s="5" t="inlineStr">
        <is>
          <t>Demote decorative headings (card labels, step titles) to styled &lt;div class="hd-3"&gt; per existing pattern; keep H2 skeleton</t>
        </is>
      </c>
      <c r="E104" s="5" t="inlineStr">
        <is>
          <t>Seobility flags disproportionate heading count (home: 30 headings)</t>
        </is>
      </c>
      <c r="F104" t="inlineStr">
        <is>
          <t>Page-structure score</t>
        </is>
      </c>
      <c r="G104" s="5" t="inlineStr">
        <is>
          <t>Low (visual check needed)</t>
        </is>
      </c>
      <c r="H104" t="inlineStr">
        <is>
          <t>P4</t>
        </is>
      </c>
      <c r="I104" t="inlineStr">
        <is>
          <t>Not started</t>
        </is>
      </c>
    </row>
    <row r="105">
      <c r="A105" s="3" t="inlineStr">
        <is>
          <t>https://codesommet.com/services/telemedicine-website-development</t>
        </is>
      </c>
      <c r="B105" t="inlineStr">
        <is>
          <t>Internal link</t>
        </is>
      </c>
      <c r="C105" s="5" t="inlineStr">
        <is>
          <t>Body link to /services/healthcare-website-development already exists</t>
        </is>
      </c>
      <c r="D105" s="5" t="inlineStr">
        <is>
          <t>Contextual link to /services/healthcare-website-development with anchor "agence web santé"</t>
        </is>
      </c>
      <c r="E105" s="5" t="inlineStr">
        <is>
          <t>Pass topical relevance to the page that owns the keyword; varied anchors</t>
        </is>
      </c>
      <c r="F105" t="inlineStr">
        <is>
          <t>Crawl + relevance</t>
        </is>
      </c>
      <c r="G105" s="5" t="inlineStr">
        <is>
          <t>Low</t>
        </is>
      </c>
      <c r="H105" t="inlineStr">
        <is>
          <t>P4</t>
        </is>
      </c>
      <c r="I105" t="inlineStr">
        <is>
          <t>Not started</t>
        </is>
      </c>
    </row>
    <row r="106">
      <c r="A106" s="3" t="inlineStr">
        <is>
          <t>https://codesommet.com/services/university-website-development</t>
        </is>
      </c>
      <c r="B106" t="inlineStr">
        <is>
          <t>Heading count</t>
        </is>
      </c>
      <c r="C106" s="5" t="inlineStr">
        <is>
          <t>46 headings / 2425 words</t>
        </is>
      </c>
      <c r="D106" s="5" t="inlineStr">
        <is>
          <t>Demote decorative headings (card labels, step titles) to styled &lt;div class="hd-3"&gt; per existing pattern; keep H2 skeleton</t>
        </is>
      </c>
      <c r="E106" s="5" t="inlineStr">
        <is>
          <t>Seobility flags disproportionate heading count (home: 30 headings)</t>
        </is>
      </c>
      <c r="F106" t="inlineStr">
        <is>
          <t>Page-structure score</t>
        </is>
      </c>
      <c r="G106" s="5" t="inlineStr">
        <is>
          <t>Low (visual check needed)</t>
        </is>
      </c>
      <c r="H106" t="inlineStr">
        <is>
          <t>P4</t>
        </is>
      </c>
      <c r="I106" t="inlineStr">
        <is>
          <t>Not started</t>
        </is>
      </c>
    </row>
    <row r="107">
      <c r="A107" s="3" t="inlineStr">
        <is>
          <t>https://codesommet.com/web-development-company/abudhabi</t>
        </is>
      </c>
      <c r="B107" t="inlineStr">
        <is>
          <t>Heading count</t>
        </is>
      </c>
      <c r="C107" s="5" t="inlineStr">
        <is>
          <t>32 headings / 2061 words</t>
        </is>
      </c>
      <c r="D107" s="5" t="inlineStr">
        <is>
          <t>Demote decorative headings (card labels, step titles) to styled &lt;div class="hd-3"&gt; per existing pattern; keep H2 skeleton</t>
        </is>
      </c>
      <c r="E107" s="5" t="inlineStr">
        <is>
          <t>Seobility flags disproportionate heading count (home: 30 headings)</t>
        </is>
      </c>
      <c r="F107" t="inlineStr">
        <is>
          <t>Page-structure score</t>
        </is>
      </c>
      <c r="G107" s="5" t="inlineStr">
        <is>
          <t>Low (visual check needed)</t>
        </is>
      </c>
      <c r="H107" t="inlineStr">
        <is>
          <t>P4</t>
        </is>
      </c>
      <c r="I107" t="inlineStr">
        <is>
          <t>Not started</t>
        </is>
      </c>
    </row>
    <row r="108">
      <c r="A108" s="3" t="inlineStr">
        <is>
          <t>https://codesommet.com/web-development-company/amsterdam</t>
        </is>
      </c>
      <c r="B108" t="inlineStr">
        <is>
          <t>Heading count</t>
        </is>
      </c>
      <c r="C108" s="5" t="inlineStr">
        <is>
          <t>32 headings / 2195 words</t>
        </is>
      </c>
      <c r="D108" s="5" t="inlineStr">
        <is>
          <t>Demote decorative headings (card labels, step titles) to styled &lt;div class="hd-3"&gt; per existing pattern; keep H2 skeleton</t>
        </is>
      </c>
      <c r="E108" s="5" t="inlineStr">
        <is>
          <t>Seobility flags disproportionate heading count (home: 30 headings)</t>
        </is>
      </c>
      <c r="F108" t="inlineStr">
        <is>
          <t>Page-structure score</t>
        </is>
      </c>
      <c r="G108" s="5" t="inlineStr">
        <is>
          <t>Low (visual check needed)</t>
        </is>
      </c>
      <c r="H108" t="inlineStr">
        <is>
          <t>P4</t>
        </is>
      </c>
      <c r="I108" t="inlineStr">
        <is>
          <t>Not started</t>
        </is>
      </c>
    </row>
    <row r="109">
      <c r="A109" s="3" t="inlineStr">
        <is>
          <t>https://codesommet.com/web-development-company/austin</t>
        </is>
      </c>
      <c r="B109" t="inlineStr">
        <is>
          <t>Heading count</t>
        </is>
      </c>
      <c r="C109" s="5" t="inlineStr">
        <is>
          <t>32 headings / 2172 words</t>
        </is>
      </c>
      <c r="D109" s="5" t="inlineStr">
        <is>
          <t>Demote decorative headings (card labels, step titles) to styled &lt;div class="hd-3"&gt; per existing pattern; keep H2 skeleton</t>
        </is>
      </c>
      <c r="E109" s="5" t="inlineStr">
        <is>
          <t>Seobility flags disproportionate heading count (home: 30 headings)</t>
        </is>
      </c>
      <c r="F109" t="inlineStr">
        <is>
          <t>Page-structure score</t>
        </is>
      </c>
      <c r="G109" s="5" t="inlineStr">
        <is>
          <t>Low (visual check needed)</t>
        </is>
      </c>
      <c r="H109" t="inlineStr">
        <is>
          <t>P4</t>
        </is>
      </c>
      <c r="I109" t="inlineStr">
        <is>
          <t>Not started</t>
        </is>
      </c>
    </row>
    <row r="110">
      <c r="A110" s="3" t="inlineStr">
        <is>
          <t>https://codesommet.com/web-development-company/barcelona</t>
        </is>
      </c>
      <c r="B110" t="inlineStr">
        <is>
          <t>Heading count</t>
        </is>
      </c>
      <c r="C110" s="5" t="inlineStr">
        <is>
          <t>32 headings / 2117 words</t>
        </is>
      </c>
      <c r="D110" s="5" t="inlineStr">
        <is>
          <t>Demote decorative headings (card labels, step titles) to styled &lt;div class="hd-3"&gt; per existing pattern; keep H2 skeleton</t>
        </is>
      </c>
      <c r="E110" s="5" t="inlineStr">
        <is>
          <t>Seobility flags disproportionate heading count (home: 30 headings)</t>
        </is>
      </c>
      <c r="F110" t="inlineStr">
        <is>
          <t>Page-structure score</t>
        </is>
      </c>
      <c r="G110" s="5" t="inlineStr">
        <is>
          <t>Low (visual check needed)</t>
        </is>
      </c>
      <c r="H110" t="inlineStr">
        <is>
          <t>P4</t>
        </is>
      </c>
      <c r="I110" t="inlineStr">
        <is>
          <t>Not started</t>
        </is>
      </c>
    </row>
    <row r="111">
      <c r="A111" s="3" t="inlineStr">
        <is>
          <t>https://codesommet.com/web-development-company/berlin</t>
        </is>
      </c>
      <c r="B111" t="inlineStr">
        <is>
          <t>Heading count</t>
        </is>
      </c>
      <c r="C111" s="5" t="inlineStr">
        <is>
          <t>32 headings / 2131 words</t>
        </is>
      </c>
      <c r="D111" s="5" t="inlineStr">
        <is>
          <t>Demote decorative headings (card labels, step titles) to styled &lt;div class="hd-3"&gt; per existing pattern; keep H2 skeleton</t>
        </is>
      </c>
      <c r="E111" s="5" t="inlineStr">
        <is>
          <t>Seobility flags disproportionate heading count (home: 30 headings)</t>
        </is>
      </c>
      <c r="F111" t="inlineStr">
        <is>
          <t>Page-structure score</t>
        </is>
      </c>
      <c r="G111" s="5" t="inlineStr">
        <is>
          <t>Low (visual check needed)</t>
        </is>
      </c>
      <c r="H111" t="inlineStr">
        <is>
          <t>P4</t>
        </is>
      </c>
      <c r="I111" t="inlineStr">
        <is>
          <t>Not started</t>
        </is>
      </c>
    </row>
    <row r="112">
      <c r="A112" s="3" t="inlineStr">
        <is>
          <t>https://codesommet.com/web-development-company/boston</t>
        </is>
      </c>
      <c r="B112" t="inlineStr">
        <is>
          <t>Heading count</t>
        </is>
      </c>
      <c r="C112" s="5" t="inlineStr">
        <is>
          <t>32 headings / 2165 words</t>
        </is>
      </c>
      <c r="D112" s="5" t="inlineStr">
        <is>
          <t>Demote decorative headings (card labels, step titles) to styled &lt;div class="hd-3"&gt; per existing pattern; keep H2 skeleton</t>
        </is>
      </c>
      <c r="E112" s="5" t="inlineStr">
        <is>
          <t>Seobility flags disproportionate heading count (home: 30 headings)</t>
        </is>
      </c>
      <c r="F112" t="inlineStr">
        <is>
          <t>Page-structure score</t>
        </is>
      </c>
      <c r="G112" s="5" t="inlineStr">
        <is>
          <t>Low (visual check needed)</t>
        </is>
      </c>
      <c r="H112" t="inlineStr">
        <is>
          <t>P4</t>
        </is>
      </c>
      <c r="I112" t="inlineStr">
        <is>
          <t>Not started</t>
        </is>
      </c>
    </row>
    <row r="113">
      <c r="A113" s="3" t="inlineStr">
        <is>
          <t>https://codesommet.com/web-development-company/brussels</t>
        </is>
      </c>
      <c r="B113" t="inlineStr">
        <is>
          <t>Heading count</t>
        </is>
      </c>
      <c r="C113" s="5" t="inlineStr">
        <is>
          <t>32 headings / 2207 words</t>
        </is>
      </c>
      <c r="D113" s="5" t="inlineStr">
        <is>
          <t>Demote decorative headings (card labels, step titles) to styled &lt;div class="hd-3"&gt; per existing pattern; keep H2 skeleton</t>
        </is>
      </c>
      <c r="E113" s="5" t="inlineStr">
        <is>
          <t>Seobility flags disproportionate heading count (home: 30 headings)</t>
        </is>
      </c>
      <c r="F113" t="inlineStr">
        <is>
          <t>Page-structure score</t>
        </is>
      </c>
      <c r="G113" s="5" t="inlineStr">
        <is>
          <t>Low (visual check needed)</t>
        </is>
      </c>
      <c r="H113" t="inlineStr">
        <is>
          <t>P4</t>
        </is>
      </c>
      <c r="I113" t="inlineStr">
        <is>
          <t>Not started</t>
        </is>
      </c>
    </row>
    <row r="114">
      <c r="A114" s="3" t="inlineStr">
        <is>
          <t>https://codesommet.com/web-development-company/cairo</t>
        </is>
      </c>
      <c r="B114" t="inlineStr">
        <is>
          <t>Heading count</t>
        </is>
      </c>
      <c r="C114" s="5" t="inlineStr">
        <is>
          <t>32 headings / 2170 words</t>
        </is>
      </c>
      <c r="D114" s="5" t="inlineStr">
        <is>
          <t>Demote decorative headings (card labels, step titles) to styled &lt;div class="hd-3"&gt; per existing pattern; keep H2 skeleton</t>
        </is>
      </c>
      <c r="E114" s="5" t="inlineStr">
        <is>
          <t>Seobility flags disproportionate heading count (home: 30 headings)</t>
        </is>
      </c>
      <c r="F114" t="inlineStr">
        <is>
          <t>Page-structure score</t>
        </is>
      </c>
      <c r="G114" s="5" t="inlineStr">
        <is>
          <t>Low (visual check needed)</t>
        </is>
      </c>
      <c r="H114" t="inlineStr">
        <is>
          <t>P4</t>
        </is>
      </c>
      <c r="I114" t="inlineStr">
        <is>
          <t>Not started</t>
        </is>
      </c>
    </row>
    <row r="115">
      <c r="A115" s="3" t="inlineStr">
        <is>
          <t>https://codesommet.com/web-development-company/chicago</t>
        </is>
      </c>
      <c r="B115" t="inlineStr">
        <is>
          <t>Heading count</t>
        </is>
      </c>
      <c r="C115" s="5" t="inlineStr">
        <is>
          <t>32 headings / 2165 words</t>
        </is>
      </c>
      <c r="D115" s="5" t="inlineStr">
        <is>
          <t>Demote decorative headings (card labels, step titles) to styled &lt;div class="hd-3"&gt; per existing pattern; keep H2 skeleton</t>
        </is>
      </c>
      <c r="E115" s="5" t="inlineStr">
        <is>
          <t>Seobility flags disproportionate heading count (home: 30 headings)</t>
        </is>
      </c>
      <c r="F115" t="inlineStr">
        <is>
          <t>Page-structure score</t>
        </is>
      </c>
      <c r="G115" s="5" t="inlineStr">
        <is>
          <t>Low (visual check needed)</t>
        </is>
      </c>
      <c r="H115" t="inlineStr">
        <is>
          <t>P4</t>
        </is>
      </c>
      <c r="I115" t="inlineStr">
        <is>
          <t>Not started</t>
        </is>
      </c>
    </row>
    <row r="116">
      <c r="A116" s="3" t="inlineStr">
        <is>
          <t>https://codesommet.com/web-development-company/copenhagen</t>
        </is>
      </c>
      <c r="B116" t="inlineStr">
        <is>
          <t>Heading count</t>
        </is>
      </c>
      <c r="C116" s="5" t="inlineStr">
        <is>
          <t>32 headings / 2163 words</t>
        </is>
      </c>
      <c r="D116" s="5" t="inlineStr">
        <is>
          <t>Demote decorative headings (card labels, step titles) to styled &lt;div class="hd-3"&gt; per existing pattern; keep H2 skeleton</t>
        </is>
      </c>
      <c r="E116" s="5" t="inlineStr">
        <is>
          <t>Seobility flags disproportionate heading count (home: 30 headings)</t>
        </is>
      </c>
      <c r="F116" t="inlineStr">
        <is>
          <t>Page-structure score</t>
        </is>
      </c>
      <c r="G116" s="5" t="inlineStr">
        <is>
          <t>Low (visual check needed)</t>
        </is>
      </c>
      <c r="H116" t="inlineStr">
        <is>
          <t>P4</t>
        </is>
      </c>
      <c r="I116" t="inlineStr">
        <is>
          <t>Not started</t>
        </is>
      </c>
    </row>
    <row r="117">
      <c r="A117" s="3" t="inlineStr">
        <is>
          <t>https://codesommet.com/web-development-company/denver</t>
        </is>
      </c>
      <c r="B117" t="inlineStr">
        <is>
          <t>Heading count</t>
        </is>
      </c>
      <c r="C117" s="5" t="inlineStr">
        <is>
          <t>32 headings / 2160 words</t>
        </is>
      </c>
      <c r="D117" s="5" t="inlineStr">
        <is>
          <t>Demote decorative headings (card labels, step titles) to styled &lt;div class="hd-3"&gt; per existing pattern; keep H2 skeleton</t>
        </is>
      </c>
      <c r="E117" s="5" t="inlineStr">
        <is>
          <t>Seobility flags disproportionate heading count (home: 30 headings)</t>
        </is>
      </c>
      <c r="F117" t="inlineStr">
        <is>
          <t>Page-structure score</t>
        </is>
      </c>
      <c r="G117" s="5" t="inlineStr">
        <is>
          <t>Low (visual check needed)</t>
        </is>
      </c>
      <c r="H117" t="inlineStr">
        <is>
          <t>P4</t>
        </is>
      </c>
      <c r="I117" t="inlineStr">
        <is>
          <t>Not started</t>
        </is>
      </c>
    </row>
    <row r="118">
      <c r="A118" s="3" t="inlineStr">
        <is>
          <t>https://codesommet.com/web-development-company/dubai</t>
        </is>
      </c>
      <c r="B118" t="inlineStr">
        <is>
          <t>Heading count</t>
        </is>
      </c>
      <c r="C118" s="5" t="inlineStr">
        <is>
          <t>32 headings / 2140 words</t>
        </is>
      </c>
      <c r="D118" s="5" t="inlineStr">
        <is>
          <t>Demote decorative headings (card labels, step titles) to styled &lt;div class="hd-3"&gt; per existing pattern; keep H2 skeleton</t>
        </is>
      </c>
      <c r="E118" s="5" t="inlineStr">
        <is>
          <t>Seobility flags disproportionate heading count (home: 30 headings)</t>
        </is>
      </c>
      <c r="F118" t="inlineStr">
        <is>
          <t>Page-structure score</t>
        </is>
      </c>
      <c r="G118" s="5" t="inlineStr">
        <is>
          <t>Low (visual check needed)</t>
        </is>
      </c>
      <c r="H118" t="inlineStr">
        <is>
          <t>P4</t>
        </is>
      </c>
      <c r="I118" t="inlineStr">
        <is>
          <t>Not started</t>
        </is>
      </c>
    </row>
    <row r="119">
      <c r="A119" s="3" t="inlineStr">
        <is>
          <t>https://codesommet.com/web-development-company/dublin</t>
        </is>
      </c>
      <c r="B119" t="inlineStr">
        <is>
          <t>Heading count</t>
        </is>
      </c>
      <c r="C119" s="5" t="inlineStr">
        <is>
          <t>32 headings / 2209 words</t>
        </is>
      </c>
      <c r="D119" s="5" t="inlineStr">
        <is>
          <t>Demote decorative headings (card labels, step titles) to styled &lt;div class="hd-3"&gt; per existing pattern; keep H2 skeleton</t>
        </is>
      </c>
      <c r="E119" s="5" t="inlineStr">
        <is>
          <t>Seobility flags disproportionate heading count (home: 30 headings)</t>
        </is>
      </c>
      <c r="F119" t="inlineStr">
        <is>
          <t>Page-structure score</t>
        </is>
      </c>
      <c r="G119" s="5" t="inlineStr">
        <is>
          <t>Low (visual check needed)</t>
        </is>
      </c>
      <c r="H119" t="inlineStr">
        <is>
          <t>P4</t>
        </is>
      </c>
      <c r="I119" t="inlineStr">
        <is>
          <t>Not started</t>
        </is>
      </c>
    </row>
    <row r="120">
      <c r="A120" s="3" t="inlineStr">
        <is>
          <t>https://codesommet.com/web-development-company/lagos</t>
        </is>
      </c>
      <c r="B120" t="inlineStr">
        <is>
          <t>Heading count</t>
        </is>
      </c>
      <c r="C120" s="5" t="inlineStr">
        <is>
          <t>32 headings / 2151 words</t>
        </is>
      </c>
      <c r="D120" s="5" t="inlineStr">
        <is>
          <t>Demote decorative headings (card labels, step titles) to styled &lt;div class="hd-3"&gt; per existing pattern; keep H2 skeleton</t>
        </is>
      </c>
      <c r="E120" s="5" t="inlineStr">
        <is>
          <t>Seobility flags disproportionate heading count (home: 30 headings)</t>
        </is>
      </c>
      <c r="F120" t="inlineStr">
        <is>
          <t>Page-structure score</t>
        </is>
      </c>
      <c r="G120" s="5" t="inlineStr">
        <is>
          <t>Low (visual check needed)</t>
        </is>
      </c>
      <c r="H120" t="inlineStr">
        <is>
          <t>P4</t>
        </is>
      </c>
      <c r="I120" t="inlineStr">
        <is>
          <t>Not started</t>
        </is>
      </c>
    </row>
    <row r="121">
      <c r="A121" s="3" t="inlineStr">
        <is>
          <t>https://codesommet.com/web-development-company/lisbon</t>
        </is>
      </c>
      <c r="B121" t="inlineStr">
        <is>
          <t>Heading count</t>
        </is>
      </c>
      <c r="C121" s="5" t="inlineStr">
        <is>
          <t>32 headings / 2167 words</t>
        </is>
      </c>
      <c r="D121" s="5" t="inlineStr">
        <is>
          <t>Demote decorative headings (card labels, step titles) to styled &lt;div class="hd-3"&gt; per existing pattern; keep H2 skeleton</t>
        </is>
      </c>
      <c r="E121" s="5" t="inlineStr">
        <is>
          <t>Seobility flags disproportionate heading count (home: 30 headings)</t>
        </is>
      </c>
      <c r="F121" t="inlineStr">
        <is>
          <t>Page-structure score</t>
        </is>
      </c>
      <c r="G121" s="5" t="inlineStr">
        <is>
          <t>Low (visual check needed)</t>
        </is>
      </c>
      <c r="H121" t="inlineStr">
        <is>
          <t>P4</t>
        </is>
      </c>
      <c r="I121" t="inlineStr">
        <is>
          <t>Not started</t>
        </is>
      </c>
    </row>
    <row r="122">
      <c r="A122" s="3" t="inlineStr">
        <is>
          <t>https://codesommet.com/web-development-company/london</t>
        </is>
      </c>
      <c r="B122" t="inlineStr">
        <is>
          <t>Heading count</t>
        </is>
      </c>
      <c r="C122" s="5" t="inlineStr">
        <is>
          <t>32 headings / 2195 words</t>
        </is>
      </c>
      <c r="D122" s="5" t="inlineStr">
        <is>
          <t>Demote decorative headings (card labels, step titles) to styled &lt;div class="hd-3"&gt; per existing pattern; keep H2 skeleton</t>
        </is>
      </c>
      <c r="E122" s="5" t="inlineStr">
        <is>
          <t>Seobility flags disproportionate heading count (home: 30 headings)</t>
        </is>
      </c>
      <c r="F122" t="inlineStr">
        <is>
          <t>Page-structure score</t>
        </is>
      </c>
      <c r="G122" s="5" t="inlineStr">
        <is>
          <t>Low (visual check needed)</t>
        </is>
      </c>
      <c r="H122" t="inlineStr">
        <is>
          <t>P4</t>
        </is>
      </c>
      <c r="I122" t="inlineStr">
        <is>
          <t>Not started</t>
        </is>
      </c>
    </row>
    <row r="123">
      <c r="A123" s="3" t="inlineStr">
        <is>
          <t>https://codesommet.com/web-development-company/los-angeles</t>
        </is>
      </c>
      <c r="B123" t="inlineStr">
        <is>
          <t>Heading count</t>
        </is>
      </c>
      <c r="C123" s="5" t="inlineStr">
        <is>
          <t>32 headings / 2243 words</t>
        </is>
      </c>
      <c r="D123" s="5" t="inlineStr">
        <is>
          <t>Demote decorative headings (card labels, step titles) to styled &lt;div class="hd-3"&gt; per existing pattern; keep H2 skeleton</t>
        </is>
      </c>
      <c r="E123" s="5" t="inlineStr">
        <is>
          <t>Seobility flags disproportionate heading count (home: 30 headings)</t>
        </is>
      </c>
      <c r="F123" t="inlineStr">
        <is>
          <t>Page-structure score</t>
        </is>
      </c>
      <c r="G123" s="5" t="inlineStr">
        <is>
          <t>Low (visual check needed)</t>
        </is>
      </c>
      <c r="H123" t="inlineStr">
        <is>
          <t>P4</t>
        </is>
      </c>
      <c r="I123" t="inlineStr">
        <is>
          <t>Not started</t>
        </is>
      </c>
    </row>
    <row r="124">
      <c r="A124" s="3" t="inlineStr">
        <is>
          <t>https://codesommet.com/web-development-company/madrid</t>
        </is>
      </c>
      <c r="B124" t="inlineStr">
        <is>
          <t>Heading count</t>
        </is>
      </c>
      <c r="C124" s="5" t="inlineStr">
        <is>
          <t>32 headings / 2141 words</t>
        </is>
      </c>
      <c r="D124" s="5" t="inlineStr">
        <is>
          <t>Demote decorative headings (card labels, step titles) to styled &lt;div class="hd-3"&gt; per existing pattern; keep H2 skeleton</t>
        </is>
      </c>
      <c r="E124" s="5" t="inlineStr">
        <is>
          <t>Seobility flags disproportionate heading count (home: 30 headings)</t>
        </is>
      </c>
      <c r="F124" t="inlineStr">
        <is>
          <t>Page-structure score</t>
        </is>
      </c>
      <c r="G124" s="5" t="inlineStr">
        <is>
          <t>Low (visual check needed)</t>
        </is>
      </c>
      <c r="H124" t="inlineStr">
        <is>
          <t>P4</t>
        </is>
      </c>
      <c r="I124" t="inlineStr">
        <is>
          <t>Not started</t>
        </is>
      </c>
    </row>
    <row r="125">
      <c r="A125" s="3" t="inlineStr">
        <is>
          <t>https://codesommet.com/web-development-company/milan</t>
        </is>
      </c>
      <c r="B125" t="inlineStr">
        <is>
          <t>Heading count</t>
        </is>
      </c>
      <c r="C125" s="5" t="inlineStr">
        <is>
          <t>32 headings / 2149 words</t>
        </is>
      </c>
      <c r="D125" s="5" t="inlineStr">
        <is>
          <t>Demote decorative headings (card labels, step titles) to styled &lt;div class="hd-3"&gt; per existing pattern; keep H2 skeleton</t>
        </is>
      </c>
      <c r="E125" s="5" t="inlineStr">
        <is>
          <t>Seobility flags disproportionate heading count (home: 30 headings)</t>
        </is>
      </c>
      <c r="F125" t="inlineStr">
        <is>
          <t>Page-structure score</t>
        </is>
      </c>
      <c r="G125" s="5" t="inlineStr">
        <is>
          <t>Low (visual check needed)</t>
        </is>
      </c>
      <c r="H125" t="inlineStr">
        <is>
          <t>P4</t>
        </is>
      </c>
      <c r="I125" t="inlineStr">
        <is>
          <t>Not started</t>
        </is>
      </c>
    </row>
    <row r="126">
      <c r="A126" s="3" t="inlineStr">
        <is>
          <t>https://codesommet.com/web-development-company/new-york</t>
        </is>
      </c>
      <c r="B126" t="inlineStr">
        <is>
          <t>Heading count</t>
        </is>
      </c>
      <c r="C126" s="5" t="inlineStr">
        <is>
          <t>32 headings / 2220 words</t>
        </is>
      </c>
      <c r="D126" s="5" t="inlineStr">
        <is>
          <t>Demote decorative headings (card labels, step titles) to styled &lt;div class="hd-3"&gt; per existing pattern; keep H2 skeleton</t>
        </is>
      </c>
      <c r="E126" s="5" t="inlineStr">
        <is>
          <t>Seobility flags disproportionate heading count (home: 30 headings)</t>
        </is>
      </c>
      <c r="F126" t="inlineStr">
        <is>
          <t>Page-structure score</t>
        </is>
      </c>
      <c r="G126" s="5" t="inlineStr">
        <is>
          <t>Low (visual check needed)</t>
        </is>
      </c>
      <c r="H126" t="inlineStr">
        <is>
          <t>P4</t>
        </is>
      </c>
      <c r="I126" t="inlineStr">
        <is>
          <t>Not started</t>
        </is>
      </c>
    </row>
    <row r="127">
      <c r="A127" s="3" t="inlineStr">
        <is>
          <t>https://codesommet.com/web-development-company/paris</t>
        </is>
      </c>
      <c r="B127" t="inlineStr">
        <is>
          <t>Heading count</t>
        </is>
      </c>
      <c r="C127" s="5" t="inlineStr">
        <is>
          <t>32 headings / 2194 words</t>
        </is>
      </c>
      <c r="D127" s="5" t="inlineStr">
        <is>
          <t>Demote decorative headings (card labels, step titles) to styled &lt;div class="hd-3"&gt; per existing pattern; keep H2 skeleton</t>
        </is>
      </c>
      <c r="E127" s="5" t="inlineStr">
        <is>
          <t>Seobility flags disproportionate heading count (home: 30 headings)</t>
        </is>
      </c>
      <c r="F127" t="inlineStr">
        <is>
          <t>Page-structure score</t>
        </is>
      </c>
      <c r="G127" s="5" t="inlineStr">
        <is>
          <t>Low (visual check needed)</t>
        </is>
      </c>
      <c r="H127" t="inlineStr">
        <is>
          <t>P4</t>
        </is>
      </c>
      <c r="I127" t="inlineStr">
        <is>
          <t>Not started</t>
        </is>
      </c>
    </row>
    <row r="128">
      <c r="A128" s="3" t="inlineStr">
        <is>
          <t>https://codesommet.com/web-development-company/riyadh</t>
        </is>
      </c>
      <c r="B128" t="inlineStr">
        <is>
          <t>Heading count</t>
        </is>
      </c>
      <c r="C128" s="5" t="inlineStr">
        <is>
          <t>32 headings / 2127 words</t>
        </is>
      </c>
      <c r="D128" s="5" t="inlineStr">
        <is>
          <t>Demote decorative headings (card labels, step titles) to styled &lt;div class="hd-3"&gt; per existing pattern; keep H2 skeleton</t>
        </is>
      </c>
      <c r="E128" s="5" t="inlineStr">
        <is>
          <t>Seobility flags disproportionate heading count (home: 30 headings)</t>
        </is>
      </c>
      <c r="F128" t="inlineStr">
        <is>
          <t>Page-structure score</t>
        </is>
      </c>
      <c r="G128" s="5" t="inlineStr">
        <is>
          <t>Low (visual check needed)</t>
        </is>
      </c>
      <c r="H128" t="inlineStr">
        <is>
          <t>P4</t>
        </is>
      </c>
      <c r="I128" t="inlineStr">
        <is>
          <t>Not started</t>
        </is>
      </c>
    </row>
    <row r="129">
      <c r="A129" s="3" t="inlineStr">
        <is>
          <t>https://codesommet.com/web-development-company/rome</t>
        </is>
      </c>
      <c r="B129" t="inlineStr">
        <is>
          <t>Heading count</t>
        </is>
      </c>
      <c r="C129" s="5" t="inlineStr">
        <is>
          <t>32 headings / 2118 words</t>
        </is>
      </c>
      <c r="D129" s="5" t="inlineStr">
        <is>
          <t>Demote decorative headings (card labels, step titles) to styled &lt;div class="hd-3"&gt; per existing pattern; keep H2 skeleton</t>
        </is>
      </c>
      <c r="E129" s="5" t="inlineStr">
        <is>
          <t>Seobility flags disproportionate heading count (home: 30 headings)</t>
        </is>
      </c>
      <c r="F129" t="inlineStr">
        <is>
          <t>Page-structure score</t>
        </is>
      </c>
      <c r="G129" s="5" t="inlineStr">
        <is>
          <t>Low (visual check needed)</t>
        </is>
      </c>
      <c r="H129" t="inlineStr">
        <is>
          <t>P4</t>
        </is>
      </c>
      <c r="I129" t="inlineStr">
        <is>
          <t>Not started</t>
        </is>
      </c>
    </row>
    <row r="130">
      <c r="A130" s="3" t="inlineStr">
        <is>
          <t>https://codesommet.com/web-development-company/san-francisco</t>
        </is>
      </c>
      <c r="B130" t="inlineStr">
        <is>
          <t>Heading count</t>
        </is>
      </c>
      <c r="C130" s="5" t="inlineStr">
        <is>
          <t>32 headings / 2169 words</t>
        </is>
      </c>
      <c r="D130" s="5" t="inlineStr">
        <is>
          <t>Demote decorative headings (card labels, step titles) to styled &lt;div class="hd-3"&gt; per existing pattern; keep H2 skeleton</t>
        </is>
      </c>
      <c r="E130" s="5" t="inlineStr">
        <is>
          <t>Seobility flags disproportionate heading count (home: 30 headings)</t>
        </is>
      </c>
      <c r="F130" t="inlineStr">
        <is>
          <t>Page-structure score</t>
        </is>
      </c>
      <c r="G130" s="5" t="inlineStr">
        <is>
          <t>Low (visual check needed)</t>
        </is>
      </c>
      <c r="H130" t="inlineStr">
        <is>
          <t>P4</t>
        </is>
      </c>
      <c r="I130" t="inlineStr">
        <is>
          <t>Not started</t>
        </is>
      </c>
    </row>
    <row r="131">
      <c r="A131" s="3" t="inlineStr">
        <is>
          <t>https://codesommet.com/web-development-company/seattle</t>
        </is>
      </c>
      <c r="B131" t="inlineStr">
        <is>
          <t>Heading count</t>
        </is>
      </c>
      <c r="C131" s="5" t="inlineStr">
        <is>
          <t>32 headings / 2112 words</t>
        </is>
      </c>
      <c r="D131" s="5" t="inlineStr">
        <is>
          <t>Demote decorative headings (card labels, step titles) to styled &lt;div class="hd-3"&gt; per existing pattern; keep H2 skeleton</t>
        </is>
      </c>
      <c r="E131" s="5" t="inlineStr">
        <is>
          <t>Seobility flags disproportionate heading count (home: 30 headings)</t>
        </is>
      </c>
      <c r="F131" t="inlineStr">
        <is>
          <t>Page-structure score</t>
        </is>
      </c>
      <c r="G131" s="5" t="inlineStr">
        <is>
          <t>Low (visual check needed)</t>
        </is>
      </c>
      <c r="H131" t="inlineStr">
        <is>
          <t>P4</t>
        </is>
      </c>
      <c r="I131" t="inlineStr">
        <is>
          <t>Not started</t>
        </is>
      </c>
    </row>
    <row r="132">
      <c r="A132" s="3" t="inlineStr">
        <is>
          <t>https://codesommet.com/web-development-company/stockholm</t>
        </is>
      </c>
      <c r="B132" t="inlineStr">
        <is>
          <t>Heading count</t>
        </is>
      </c>
      <c r="C132" s="5" t="inlineStr">
        <is>
          <t>32 headings / 2096 words</t>
        </is>
      </c>
      <c r="D132" s="5" t="inlineStr">
        <is>
          <t>Demote decorative headings (card labels, step titles) to styled &lt;div class="hd-3"&gt; per existing pattern; keep H2 skeleton</t>
        </is>
      </c>
      <c r="E132" s="5" t="inlineStr">
        <is>
          <t>Seobility flags disproportionate heading count (home: 30 headings)</t>
        </is>
      </c>
      <c r="F132" t="inlineStr">
        <is>
          <t>Page-structure score</t>
        </is>
      </c>
      <c r="G132" s="5" t="inlineStr">
        <is>
          <t>Low (visual check needed)</t>
        </is>
      </c>
      <c r="H132" t="inlineStr">
        <is>
          <t>P4</t>
        </is>
      </c>
      <c r="I132" t="inlineStr">
        <is>
          <t>Not started</t>
        </is>
      </c>
    </row>
    <row r="133">
      <c r="A133" s="3" t="inlineStr">
        <is>
          <t>https://codesommet.com/web-development-company/toronto</t>
        </is>
      </c>
      <c r="B133" t="inlineStr">
        <is>
          <t>Heading count</t>
        </is>
      </c>
      <c r="C133" s="5" t="inlineStr">
        <is>
          <t>32 headings / 2040 words</t>
        </is>
      </c>
      <c r="D133" s="5" t="inlineStr">
        <is>
          <t>Demote decorative headings (card labels, step titles) to styled &lt;div class="hd-3"&gt; per existing pattern; keep H2 skeleton</t>
        </is>
      </c>
      <c r="E133" s="5" t="inlineStr">
        <is>
          <t>Seobility flags disproportionate heading count (home: 30 headings)</t>
        </is>
      </c>
      <c r="F133" t="inlineStr">
        <is>
          <t>Page-structure score</t>
        </is>
      </c>
      <c r="G133" s="5" t="inlineStr">
        <is>
          <t>Low (visual check needed)</t>
        </is>
      </c>
      <c r="H133" t="inlineStr">
        <is>
          <t>P4</t>
        </is>
      </c>
      <c r="I133" t="inlineStr">
        <is>
          <t>Not started</t>
        </is>
      </c>
    </row>
    <row r="134">
      <c r="A134" s="3" t="inlineStr">
        <is>
          <t>https://codesommet.com/web-development-company/tunis</t>
        </is>
      </c>
      <c r="B134" t="inlineStr">
        <is>
          <t>Heading count</t>
        </is>
      </c>
      <c r="C134" s="5" t="inlineStr">
        <is>
          <t>32 headings / 2087 words</t>
        </is>
      </c>
      <c r="D134" s="5" t="inlineStr">
        <is>
          <t>Demote decorative headings (card labels, step titles) to styled &lt;div class="hd-3"&gt; per existing pattern; keep H2 skeleton</t>
        </is>
      </c>
      <c r="E134" s="5" t="inlineStr">
        <is>
          <t>Seobility flags disproportionate heading count (home: 30 headings)</t>
        </is>
      </c>
      <c r="F134" t="inlineStr">
        <is>
          <t>Page-structure score</t>
        </is>
      </c>
      <c r="G134" s="5" t="inlineStr">
        <is>
          <t>Low (visual check needed)</t>
        </is>
      </c>
      <c r="H134" t="inlineStr">
        <is>
          <t>P4</t>
        </is>
      </c>
      <c r="I134" t="inlineStr">
        <is>
          <t>Not started</t>
        </is>
      </c>
    </row>
    <row r="135">
      <c r="A135" s="3" t="inlineStr">
        <is>
          <t>https://codesommet.com/web-development-company/vancouver</t>
        </is>
      </c>
      <c r="B135" t="inlineStr">
        <is>
          <t>Heading count</t>
        </is>
      </c>
      <c r="C135" s="5" t="inlineStr">
        <is>
          <t>32 headings / 2056 words</t>
        </is>
      </c>
      <c r="D135" s="5" t="inlineStr">
        <is>
          <t>Demote decorative headings (card labels, step titles) to styled &lt;div class="hd-3"&gt; per existing pattern; keep H2 skeleton</t>
        </is>
      </c>
      <c r="E135" s="5" t="inlineStr">
        <is>
          <t>Seobility flags disproportionate heading count (home: 30 headings)</t>
        </is>
      </c>
      <c r="F135" t="inlineStr">
        <is>
          <t>Page-structure score</t>
        </is>
      </c>
      <c r="G135" s="5" t="inlineStr">
        <is>
          <t>Low (visual check needed)</t>
        </is>
      </c>
      <c r="H135" t="inlineStr">
        <is>
          <t>P4</t>
        </is>
      </c>
      <c r="I135" t="inlineStr">
        <is>
          <t>Not started</t>
        </is>
      </c>
    </row>
    <row r="136">
      <c r="A136" s="3" t="inlineStr">
        <is>
          <t>https://codesommet.com/web-development-company/zurich</t>
        </is>
      </c>
      <c r="B136" t="inlineStr">
        <is>
          <t>Heading count</t>
        </is>
      </c>
      <c r="C136" s="5" t="inlineStr">
        <is>
          <t>32 headings / 2182 words</t>
        </is>
      </c>
      <c r="D136" s="5" t="inlineStr">
        <is>
          <t>Demote decorative headings (card labels, step titles) to styled &lt;div class="hd-3"&gt; per existing pattern; keep H2 skeleton</t>
        </is>
      </c>
      <c r="E136" s="5" t="inlineStr">
        <is>
          <t>Seobility flags disproportionate heading count (home: 30 headings)</t>
        </is>
      </c>
      <c r="F136" t="inlineStr">
        <is>
          <t>Page-structure score</t>
        </is>
      </c>
      <c r="G136" s="5" t="inlineStr">
        <is>
          <t>Low (visual check needed)</t>
        </is>
      </c>
      <c r="H136" t="inlineStr">
        <is>
          <t>P4</t>
        </is>
      </c>
      <c r="I136" t="inlineStr">
        <is>
          <t>Not started</t>
        </is>
      </c>
    </row>
  </sheetData>
  <autoFilter ref="A2:I136"/>
  <dataValidations count="2">
    <dataValidation sqref="H3:H136" showDropDown="0" showInputMessage="0" showErrorMessage="0" allowBlank="1" type="list">
      <formula1>"P1,P2,P3,P4"</formula1>
    </dataValidation>
    <dataValidation sqref="I3:I136" showDropDown="0" showInputMessage="0" showErrorMessage="0" allowBlank="1" type="list">
      <formula1>"Not started,Approved,In progress,Done,Rejected"</formula1>
    </dataValidation>
  </dataValidations>
  <hyperlinks>
    <hyperlink xmlns:r="http://schemas.openxmlformats.org/officeDocument/2006/relationships" ref="A1"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0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8" customWidth="1" min="3" max="3"/>
    <col width="50" customWidth="1" min="4" max="4"/>
    <col width="22" customWidth="1" min="5" max="5"/>
    <col width="120" customWidth="1" min="6" max="6"/>
    <col width="14" customWidth="1" min="7" max="7"/>
  </cols>
  <sheetData>
    <row r="1">
      <c r="A1" s="10" t="inlineStr">
        <is>
          <t>← 01 Executive Summary</t>
        </is>
      </c>
      <c r="B1" s="11" t="inlineStr">
        <is>
          <t>Semrush raw data - rows as returned by the API (this session) + historical CSV rows (26-27 Oct 2026). No calculated values here.</t>
        </is>
      </c>
    </row>
    <row r="2" ht="32" customHeight="1">
      <c r="A2" s="12" t="inlineStr">
        <is>
          <t>Job ID</t>
        </is>
      </c>
      <c r="B2" s="12" t="inlineStr">
        <is>
          <t>Semrush Report</t>
        </is>
      </c>
      <c r="C2" s="12" t="inlineStr">
        <is>
          <t>Database</t>
        </is>
      </c>
      <c r="D2" s="12" t="inlineStr">
        <is>
          <t>Query (phrase / target)</t>
        </is>
      </c>
      <c r="E2" s="12" t="inlineStr">
        <is>
          <t>Retrieved At (UTC)</t>
        </is>
      </c>
      <c r="F2" s="12" t="inlineStr">
        <is>
          <t>Raw Fields (as returned, JSON)</t>
        </is>
      </c>
      <c r="G2" s="12" t="inlineStr">
        <is>
          <t>Metric Type</t>
        </is>
      </c>
    </row>
    <row r="3">
      <c r="A3" t="inlineStr">
        <is>
          <t>bl-compare</t>
        </is>
      </c>
      <c r="B3" t="inlineStr">
        <is>
          <t>backlinks_comparison</t>
        </is>
      </c>
      <c r="C3" t="inlineStr"/>
      <c r="D3" t="inlineStr">
        <is>
          <t>codesommet.com;void.ma;vala.ma;hostino.ma;rhillane.com;energiedin.com;urikacloud.com;digitalma.ma;elevenmedia.ma;website.ma;websuccess.ma;webeuz.com;rimasdigital.ma;adk-media.com;dotma.ma</t>
        </is>
      </c>
      <c r="E3" t="inlineStr">
        <is>
          <t>2026-10-30T14:56:25+00:00</t>
        </is>
      </c>
      <c r="F3" t="inlineStr">
        <is>
          <t>{"target": "codesommet.com", "target_type": "root_domain", "ascore": "7", "backlinks_num": "5367", "domains_num": "1080", "ips_num": "1217", "follows_num": "5292", "nofollows_num": "75", "texts_num": "5367", "images_num": "0", "forms_num": "0", "frames_num": "0"}</t>
        </is>
      </c>
      <c r="G3" t="inlineStr">
        <is>
          <t>Raw (Semrush)</t>
        </is>
      </c>
    </row>
    <row r="4">
      <c r="A4" t="inlineStr">
        <is>
          <t>bl-compare</t>
        </is>
      </c>
      <c r="B4" t="inlineStr">
        <is>
          <t>backlinks_comparison</t>
        </is>
      </c>
      <c r="C4" t="inlineStr"/>
      <c r="D4" t="inlineStr">
        <is>
          <t>codesommet.com;void.ma;vala.ma;hostino.ma;rhillane.com;energiedin.com;urikacloud.com;digitalma.ma;elevenmedia.ma;website.ma;websuccess.ma;webeuz.com;rimasdigital.ma;adk-media.com;dotma.ma</t>
        </is>
      </c>
      <c r="E4" t="inlineStr">
        <is>
          <t>2026-10-30T14:56:25+00:00</t>
        </is>
      </c>
      <c r="F4" t="inlineStr">
        <is>
          <t>{"target": "void.ma", "target_type": "root_domain", "ascore": "26", "backlinks_num": "1015", "domains_num": "434", "ips_num": "458", "follows_num": "573", "nofollows_num": "442", "texts_num": "1004", "images_num": "11", "forms_num": "0", "frames_num": "0"}</t>
        </is>
      </c>
      <c r="G4" t="inlineStr">
        <is>
          <t>Raw (Semrush)</t>
        </is>
      </c>
    </row>
    <row r="5">
      <c r="A5" t="inlineStr">
        <is>
          <t>bl-compare</t>
        </is>
      </c>
      <c r="B5" t="inlineStr">
        <is>
          <t>backlinks_comparison</t>
        </is>
      </c>
      <c r="C5" t="inlineStr"/>
      <c r="D5" t="inlineStr">
        <is>
          <t>codesommet.com;void.ma;vala.ma;hostino.ma;rhillane.com;energiedin.com;urikacloud.com;digitalma.ma;elevenmedia.ma;website.ma;websuccess.ma;webeuz.com;rimasdigital.ma;adk-media.com;dotma.ma</t>
        </is>
      </c>
      <c r="E5" t="inlineStr">
        <is>
          <t>2026-10-30T14:56:25+00:00</t>
        </is>
      </c>
      <c r="F5" t="inlineStr">
        <is>
          <t>{"target": "vala.ma", "target_type": "root_domain", "ascore": "25", "backlinks_num": "8393", "domains_num": "964", "ips_num": "866", "follows_num": "5712", "nofollows_num": "2679", "texts_num": "6468", "images_num": "1922", "forms_num": "0", "frames_num": "0"}</t>
        </is>
      </c>
      <c r="G5" t="inlineStr">
        <is>
          <t>Raw (Semrush)</t>
        </is>
      </c>
    </row>
    <row r="6">
      <c r="A6" t="inlineStr">
        <is>
          <t>bl-compare</t>
        </is>
      </c>
      <c r="B6" t="inlineStr">
        <is>
          <t>backlinks_comparison</t>
        </is>
      </c>
      <c r="C6" t="inlineStr"/>
      <c r="D6" t="inlineStr">
        <is>
          <t>codesommet.com;void.ma;vala.ma;hostino.ma;rhillane.com;energiedin.com;urikacloud.com;digitalma.ma;elevenmedia.ma;website.ma;websuccess.ma;webeuz.com;rimasdigital.ma;adk-media.com;dotma.ma</t>
        </is>
      </c>
      <c r="E6" t="inlineStr">
        <is>
          <t>2026-10-30T14:56:25+00:00</t>
        </is>
      </c>
      <c r="F6" t="inlineStr">
        <is>
          <t>{"target": "hostino.ma", "target_type": "root_domain", "ascore": "27", "backlinks_num": "196207", "domains_num": "6764", "ips_num": "8502", "follows_num": "186663", "nofollows_num": "9534", "texts_num": "194825", "images_num": "460", "forms_num": "0", "frames_num": "0"}</t>
        </is>
      </c>
      <c r="G6" t="inlineStr">
        <is>
          <t>Raw (Semrush)</t>
        </is>
      </c>
    </row>
    <row r="7">
      <c r="A7" t="inlineStr">
        <is>
          <t>bl-compare</t>
        </is>
      </c>
      <c r="B7" t="inlineStr">
        <is>
          <t>backlinks_comparison</t>
        </is>
      </c>
      <c r="C7" t="inlineStr"/>
      <c r="D7" t="inlineStr">
        <is>
          <t>codesommet.com;void.ma;vala.ma;hostino.ma;rhillane.com;energiedin.com;urikacloud.com;digitalma.ma;elevenmedia.ma;website.ma;websuccess.ma;webeuz.com;rimasdigital.ma;adk-media.com;dotma.ma</t>
        </is>
      </c>
      <c r="E7" t="inlineStr">
        <is>
          <t>2026-10-30T14:56:25+00:00</t>
        </is>
      </c>
      <c r="F7" t="inlineStr">
        <is>
          <t>{"target": "rhillane.com", "target_type": "root_domain", "ascore": "31", "backlinks_num": "11991", "domains_num": "2888", "ips_num": "2196", "follows_num": "9573", "nofollows_num": "2418", "texts_num": "11804", "images_num": "176", "forms_num": "0", "frames_num": "0"}</t>
        </is>
      </c>
      <c r="G7" t="inlineStr">
        <is>
          <t>Raw (Semrush)</t>
        </is>
      </c>
    </row>
    <row r="8">
      <c r="A8" t="inlineStr">
        <is>
          <t>bl-compare</t>
        </is>
      </c>
      <c r="B8" t="inlineStr">
        <is>
          <t>backlinks_comparison</t>
        </is>
      </c>
      <c r="C8" t="inlineStr"/>
      <c r="D8" t="inlineStr">
        <is>
          <t>codesommet.com;void.ma;vala.ma;hostino.ma;rhillane.com;energiedin.com;urikacloud.com;digitalma.ma;elevenmedia.ma;website.ma;websuccess.ma;webeuz.com;rimasdigital.ma;adk-media.com;dotma.ma</t>
        </is>
      </c>
      <c r="E8" t="inlineStr">
        <is>
          <t>2026-10-30T14:56:25+00:00</t>
        </is>
      </c>
      <c r="F8" t="inlineStr">
        <is>
          <t>{"target": "energiedin.com", "target_type": "root_domain", "ascore": "26", "backlinks_num": "81853", "domains_num": "2783", "ips_num": "2867", "follows_num": "80394", "nofollows_num": "1457", "texts_num": "81191", "images_num": "456", "forms_num": "0", "frames_num": "0"}</t>
        </is>
      </c>
      <c r="G8" t="inlineStr">
        <is>
          <t>Raw (Semrush)</t>
        </is>
      </c>
    </row>
    <row r="9">
      <c r="A9" t="inlineStr">
        <is>
          <t>bl-compare</t>
        </is>
      </c>
      <c r="B9" t="inlineStr">
        <is>
          <t>backlinks_comparison</t>
        </is>
      </c>
      <c r="C9" t="inlineStr"/>
      <c r="D9" t="inlineStr">
        <is>
          <t>codesommet.com;void.ma;vala.ma;hostino.ma;rhillane.com;energiedin.com;urikacloud.com;digitalma.ma;elevenmedia.ma;website.ma;websuccess.ma;webeuz.com;rimasdigital.ma;adk-media.com;dotma.ma</t>
        </is>
      </c>
      <c r="E9" t="inlineStr">
        <is>
          <t>2026-10-30T14:56:25+00:00</t>
        </is>
      </c>
      <c r="F9" t="inlineStr">
        <is>
          <t>{"target": "urikacloud.com", "target_type": "root_domain", "ascore": "14", "backlinks_num": "6090", "domains_num": "1776", "ips_num": "1759", "follows_num": "4892", "nofollows_num": "1198", "texts_num": "6042", "images_num": "19", "forms_num": "0", "frames_num": "0"}</t>
        </is>
      </c>
      <c r="G9" t="inlineStr">
        <is>
          <t>Raw (Semrush)</t>
        </is>
      </c>
    </row>
    <row r="10">
      <c r="A10" t="inlineStr">
        <is>
          <t>bl-compare</t>
        </is>
      </c>
      <c r="B10" t="inlineStr">
        <is>
          <t>backlinks_comparison</t>
        </is>
      </c>
      <c r="C10" t="inlineStr"/>
      <c r="D10" t="inlineStr">
        <is>
          <t>codesommet.com;void.ma;vala.ma;hostino.ma;rhillane.com;energiedin.com;urikacloud.com;digitalma.ma;elevenmedia.ma;website.ma;websuccess.ma;webeuz.com;rimasdigital.ma;adk-media.com;dotma.ma</t>
        </is>
      </c>
      <c r="E10" t="inlineStr">
        <is>
          <t>2026-10-30T14:56:25+00:00</t>
        </is>
      </c>
      <c r="F10" t="inlineStr">
        <is>
          <t>{"target": "digitalma.ma", "target_type": "root_domain", "ascore": "24", "backlinks_num": "8567", "domains_num": "455", "ips_num": "413", "follows_num": "8097", "nofollows_num": "470", "texts_num": "8534", "images_num": "33", "forms_num": "0", "frames_num": "0"}</t>
        </is>
      </c>
      <c r="G10" t="inlineStr">
        <is>
          <t>Raw (Semrush)</t>
        </is>
      </c>
    </row>
    <row r="11">
      <c r="A11" t="inlineStr">
        <is>
          <t>bl-compare</t>
        </is>
      </c>
      <c r="B11" t="inlineStr">
        <is>
          <t>backlinks_comparison</t>
        </is>
      </c>
      <c r="C11" t="inlineStr"/>
      <c r="D11" t="inlineStr">
        <is>
          <t>codesommet.com;void.ma;vala.ma;hostino.ma;rhillane.com;energiedin.com;urikacloud.com;digitalma.ma;elevenmedia.ma;website.ma;websuccess.ma;webeuz.com;rimasdigital.ma;adk-media.com;dotma.ma</t>
        </is>
      </c>
      <c r="E11" t="inlineStr">
        <is>
          <t>2026-10-30T14:56:25+00:00</t>
        </is>
      </c>
      <c r="F11" t="inlineStr">
        <is>
          <t>{"target": "elevenmedia.ma", "target_type": "root_domain", "ascore": "25", "backlinks_num": "2935", "domains_num": "346", "ips_num": "330", "follows_num": "2624", "nofollows_num": "310", "texts_num": "2741", "images_num": "194", "forms_num": "0", "frames_num": "0"}</t>
        </is>
      </c>
      <c r="G11" t="inlineStr">
        <is>
          <t>Raw (Semrush)</t>
        </is>
      </c>
    </row>
    <row r="12">
      <c r="A12" t="inlineStr">
        <is>
          <t>bl-compare</t>
        </is>
      </c>
      <c r="B12" t="inlineStr">
        <is>
          <t>backlinks_comparison</t>
        </is>
      </c>
      <c r="C12" t="inlineStr"/>
      <c r="D12" t="inlineStr">
        <is>
          <t>codesommet.com;void.ma;vala.ma;hostino.ma;rhillane.com;energiedin.com;urikacloud.com;digitalma.ma;elevenmedia.ma;website.ma;websuccess.ma;webeuz.com;rimasdigital.ma;adk-media.com;dotma.ma</t>
        </is>
      </c>
      <c r="E12" t="inlineStr">
        <is>
          <t>2026-10-30T14:56:25+00:00</t>
        </is>
      </c>
      <c r="F12" t="inlineStr">
        <is>
          <t>{"target": "website.ma", "target_type": "root_domain", "ascore": "9", "backlinks_num": "2558", "domains_num": "351", "ips_num": "472", "follows_num": "2257", "nofollows_num": "301", "texts_num": "2507", "images_num": "47", "forms_num": "0", "frames_num": "0"}</t>
        </is>
      </c>
      <c r="G12" t="inlineStr">
        <is>
          <t>Raw (Semrush)</t>
        </is>
      </c>
    </row>
    <row r="13">
      <c r="A13" t="inlineStr">
        <is>
          <t>bl-compare</t>
        </is>
      </c>
      <c r="B13" t="inlineStr">
        <is>
          <t>backlinks_comparison</t>
        </is>
      </c>
      <c r="C13" t="inlineStr"/>
      <c r="D13" t="inlineStr">
        <is>
          <t>codesommet.com;void.ma;vala.ma;hostino.ma;rhillane.com;energiedin.com;urikacloud.com;digitalma.ma;elevenmedia.ma;website.ma;websuccess.ma;webeuz.com;rimasdigital.ma;adk-media.com;dotma.ma</t>
        </is>
      </c>
      <c r="E13" t="inlineStr">
        <is>
          <t>2026-10-30T14:56:25+00:00</t>
        </is>
      </c>
      <c r="F13" t="inlineStr">
        <is>
          <t>{"target": "websuccess.ma", "target_type": "root_domain", "ascore": "18", "backlinks_num": "2812", "domains_num": "270", "ips_num": "308", "follows_num": "2634", "nofollows_num": "178", "texts_num": "2797", "images_num": "7", "forms_num": "0", "frames_num": "0"}</t>
        </is>
      </c>
      <c r="G13" t="inlineStr">
        <is>
          <t>Raw (Semrush)</t>
        </is>
      </c>
    </row>
    <row r="14">
      <c r="A14" t="inlineStr">
        <is>
          <t>bl-compare</t>
        </is>
      </c>
      <c r="B14" t="inlineStr">
        <is>
          <t>backlinks_comparison</t>
        </is>
      </c>
      <c r="C14" t="inlineStr"/>
      <c r="D14" t="inlineStr">
        <is>
          <t>codesommet.com;void.ma;vala.ma;hostino.ma;rhillane.com;energiedin.com;urikacloud.com;digitalma.ma;elevenmedia.ma;website.ma;websuccess.ma;webeuz.com;rimasdigital.ma;adk-media.com;dotma.ma</t>
        </is>
      </c>
      <c r="E14" t="inlineStr">
        <is>
          <t>2026-10-30T14:56:25+00:00</t>
        </is>
      </c>
      <c r="F14" t="inlineStr">
        <is>
          <t>{"target": "webeuz.com", "target_type": "root_domain", "ascore": "20", "backlinks_num": "6262", "domains_num": "1906", "ips_num": "1839", "follows_num": "5616", "nofollows_num": "646", "texts_num": "5997", "images_num": "260", "forms_num": "0", "frames_num": "0"}</t>
        </is>
      </c>
      <c r="G14" t="inlineStr">
        <is>
          <t>Raw (Semrush)</t>
        </is>
      </c>
    </row>
    <row r="15">
      <c r="A15" t="inlineStr">
        <is>
          <t>bl-compare</t>
        </is>
      </c>
      <c r="B15" t="inlineStr">
        <is>
          <t>backlinks_comparison</t>
        </is>
      </c>
      <c r="C15" t="inlineStr"/>
      <c r="D15" t="inlineStr">
        <is>
          <t>codesommet.com;void.ma;vala.ma;hostino.ma;rhillane.com;energiedin.com;urikacloud.com;digitalma.ma;elevenmedia.ma;website.ma;websuccess.ma;webeuz.com;rimasdigital.ma;adk-media.com;dotma.ma</t>
        </is>
      </c>
      <c r="E15" t="inlineStr">
        <is>
          <t>2026-10-30T14:56:25+00:00</t>
        </is>
      </c>
      <c r="F15" t="inlineStr">
        <is>
          <t>{"target": "rimasdigital.ma", "target_type": "root_domain", "ascore": "17", "backlinks_num": "953", "domains_num": "316", "ips_num": "289", "follows_num": "824", "nofollows_num": "129", "texts_num": "932", "images_num": "9", "forms_num": "0", "frames_num": "0"}</t>
        </is>
      </c>
      <c r="G15" t="inlineStr">
        <is>
          <t>Raw (Semrush)</t>
        </is>
      </c>
    </row>
    <row r="16">
      <c r="A16" t="inlineStr">
        <is>
          <t>bl-compare</t>
        </is>
      </c>
      <c r="B16" t="inlineStr">
        <is>
          <t>backlinks_comparison</t>
        </is>
      </c>
      <c r="C16" t="inlineStr"/>
      <c r="D16" t="inlineStr">
        <is>
          <t>codesommet.com;void.ma;vala.ma;hostino.ma;rhillane.com;energiedin.com;urikacloud.com;digitalma.ma;elevenmedia.ma;website.ma;websuccess.ma;webeuz.com;rimasdigital.ma;adk-media.com;dotma.ma</t>
        </is>
      </c>
      <c r="E16" t="inlineStr">
        <is>
          <t>2026-10-30T14:56:25+00:00</t>
        </is>
      </c>
      <c r="F16" t="inlineStr">
        <is>
          <t>{"target": "adk-media.com", "target_type": "root_domain", "ascore": "29", "backlinks_num": "91907", "domains_num": "4540", "ips_num": "3825", "follows_num": "87359", "nofollows_num": "4539", "texts_num": "61772", "images_num": "29966", "forms_num": "0", "frames_num": "127"}</t>
        </is>
      </c>
      <c r="G16" t="inlineStr">
        <is>
          <t>Raw (Semrush)</t>
        </is>
      </c>
    </row>
    <row r="17">
      <c r="A17" t="inlineStr">
        <is>
          <t>bl-compare</t>
        </is>
      </c>
      <c r="B17" t="inlineStr">
        <is>
          <t>backlinks_comparison</t>
        </is>
      </c>
      <c r="C17" t="inlineStr"/>
      <c r="D17" t="inlineStr">
        <is>
          <t>codesommet.com;void.ma;vala.ma;hostino.ma;rhillane.com;energiedin.com;urikacloud.com;digitalma.ma;elevenmedia.ma;website.ma;websuccess.ma;webeuz.com;rimasdigital.ma;adk-media.com;dotma.ma</t>
        </is>
      </c>
      <c r="E17" t="inlineStr">
        <is>
          <t>2026-10-30T14:56:25+00:00</t>
        </is>
      </c>
      <c r="F17" t="inlineStr">
        <is>
          <t>{"target": "dotma.ma", "target_type": "root_domain", "ascore": "9", "backlinks_num": "2261", "domains_num": "321", "ips_num": "318", "follows_num": "2143", "nofollows_num": "115", "texts_num": "2141", "images_num": "118", "forms_num": "0", "frames_num": "0"}</t>
        </is>
      </c>
      <c r="G17" t="inlineStr">
        <is>
          <t>Raw (Semrush)</t>
        </is>
      </c>
    </row>
    <row r="18">
      <c r="A18" t="inlineStr">
        <is>
          <t>org-ma-codesommet</t>
        </is>
      </c>
      <c r="B18" t="inlineStr">
        <is>
          <t>resource_organic</t>
        </is>
      </c>
      <c r="C18" t="inlineStr">
        <is>
          <t>ma</t>
        </is>
      </c>
      <c r="D18" t="inlineStr">
        <is>
          <t>codesommet.com</t>
        </is>
      </c>
      <c r="E18" t="inlineStr">
        <is>
          <t>2026-10-30T14:54:32+00:00</t>
        </is>
      </c>
      <c r="F18" t="inlineStr">
        <is>
          <t>NO_DATA (Semrush returned no rows; not billed)</t>
        </is>
      </c>
      <c r="G18" t="inlineStr">
        <is>
          <t>Raw (Semrush)</t>
        </is>
      </c>
    </row>
    <row r="19">
      <c r="A19" t="inlineStr">
        <is>
          <t>org-ma-digitalma.ma</t>
        </is>
      </c>
      <c r="B19" t="inlineStr">
        <is>
          <t>resource_organic</t>
        </is>
      </c>
      <c r="C19" t="inlineStr">
        <is>
          <t>ma</t>
        </is>
      </c>
      <c r="D19" t="inlineStr">
        <is>
          <t>digitalma.ma</t>
        </is>
      </c>
      <c r="E19" t="inlineStr">
        <is>
          <t>2026-10-30T14:56:19+00:00</t>
        </is>
      </c>
      <c r="F19" t="inlineStr">
        <is>
          <t>{"Keyword": "boite de communication casablanca", "Position": "3", "Search Volume": "6600", "CPC": "0.40", "Url": "https://digitalma.ma/", "Traffic": "330", "Competition": "0.58", "Keyword Difficulty": "38.00", "Intents": "0", "Trends": "1.00,0.11,0.01,0.01,0.16,0.01,0.01,0.67,0.02,0.01,0.01,0.01"}</t>
        </is>
      </c>
      <c r="G19" t="inlineStr">
        <is>
          <t>Raw (Semrush)</t>
        </is>
      </c>
    </row>
    <row r="20">
      <c r="A20" t="inlineStr">
        <is>
          <t>org-ma-digitalma.ma</t>
        </is>
      </c>
      <c r="B20" t="inlineStr">
        <is>
          <t>resource_organic</t>
        </is>
      </c>
      <c r="C20" t="inlineStr">
        <is>
          <t>ma</t>
        </is>
      </c>
      <c r="D20" t="inlineStr">
        <is>
          <t>digitalma.ma</t>
        </is>
      </c>
      <c r="E20" t="inlineStr">
        <is>
          <t>2026-10-30T14:56:19+00:00</t>
        </is>
      </c>
      <c r="F20" t="inlineStr">
        <is>
          <t>{"Keyword": "agence de communication", "Position": "1", "Search Volume": "1300", "CPC": "0.44", "Url": "https://digitalma.ma/", "Traffic": "91", "Competition": "0.13", "Keyword Difficulty": "53.00", "Intents": "3", "Trends": "0.68,0.53,1.00,0.84,0.53,0.53,0.53,1.00,0.53,0.84,0.53,0.53"}</t>
        </is>
      </c>
      <c r="G20" t="inlineStr">
        <is>
          <t>Raw (Semrush)</t>
        </is>
      </c>
    </row>
    <row r="21">
      <c r="A21" t="inlineStr">
        <is>
          <t>org-ma-digitalma.ma</t>
        </is>
      </c>
      <c r="B21" t="inlineStr">
        <is>
          <t>resource_organic</t>
        </is>
      </c>
      <c r="C21" t="inlineStr">
        <is>
          <t>ma</t>
        </is>
      </c>
      <c r="D21" t="inlineStr">
        <is>
          <t>digitalma.ma</t>
        </is>
      </c>
      <c r="E21" t="inlineStr">
        <is>
          <t>2026-10-30T14:56:19+00:00</t>
        </is>
      </c>
      <c r="F21" t="inlineStr">
        <is>
          <t>{"Keyword": "agence de marketing digital", "Position": "2", "Search Volume": "320", "CPC": "0.75", "Url": "https://digitalma.ma/", "Traffic": "41", "Competition": "0.18", "Keyword Difficulty": "27.00", "Intents": "0", "Trends": "1.00,0.54,1.00,0.54,0.44,0.36,0.44,0.54,0.66,0.44,0.36,0.54"}</t>
        </is>
      </c>
      <c r="G21" t="inlineStr">
        <is>
          <t>Raw (Semrush)</t>
        </is>
      </c>
    </row>
    <row r="22">
      <c r="A22" t="inlineStr">
        <is>
          <t>org-ma-digitalma.ma</t>
        </is>
      </c>
      <c r="B22" t="inlineStr">
        <is>
          <t>resource_organic</t>
        </is>
      </c>
      <c r="C22" t="inlineStr">
        <is>
          <t>ma</t>
        </is>
      </c>
      <c r="D22" t="inlineStr">
        <is>
          <t>digitalma.ma</t>
        </is>
      </c>
      <c r="E22" t="inlineStr">
        <is>
          <t>2026-10-30T14:56:19+00:00</t>
        </is>
      </c>
      <c r="F22" t="inlineStr">
        <is>
          <t>{"Keyword": "agence de communication casablanca", "Position": "3", "Search Volume": "590", "CPC": "0.44", "Url": "https://digitalma.ma/", "Traffic": "29", "Competition": "0.35", "Keyword Difficulty": "51.00", "Intents": "0", "Trends": "0.72,0.48,0.88,0.72,0.59,0.48,0.59,0.48,1.00,0.88,0.48,0.48"}</t>
        </is>
      </c>
      <c r="G22" t="inlineStr">
        <is>
          <t>Raw (Semrush)</t>
        </is>
      </c>
    </row>
    <row r="23">
      <c r="A23" t="inlineStr">
        <is>
          <t>org-ma-digitalma.ma</t>
        </is>
      </c>
      <c r="B23" t="inlineStr">
        <is>
          <t>resource_organic</t>
        </is>
      </c>
      <c r="C23" t="inlineStr">
        <is>
          <t>ma</t>
        </is>
      </c>
      <c r="D23" t="inlineStr">
        <is>
          <t>digitalma.ma</t>
        </is>
      </c>
      <c r="E23" t="inlineStr">
        <is>
          <t>2026-10-30T14:56:19+00:00</t>
        </is>
      </c>
      <c r="F23" t="inlineStr">
        <is>
          <t>{"Keyword": "digital marketing agency", "Position": "3", "Search Volume": "390", "CPC": "0.64", "Url": "https://digitalma.ma/", "Traffic": "19", "Competition": "0.16", "Keyword Difficulty": "56.00", "Intents": "1", "Trends": "0.66,0.54,0.36,0.66,0.66,0.66,1.00,0.81,0.66,0.81,0.66,0.66"}</t>
        </is>
      </c>
      <c r="G23" t="inlineStr">
        <is>
          <t>Raw (Semrush)</t>
        </is>
      </c>
    </row>
    <row r="24">
      <c r="A24" t="inlineStr">
        <is>
          <t>org-ma-digitalma.ma</t>
        </is>
      </c>
      <c r="B24" t="inlineStr">
        <is>
          <t>resource_organic</t>
        </is>
      </c>
      <c r="C24" t="inlineStr">
        <is>
          <t>ma</t>
        </is>
      </c>
      <c r="D24" t="inlineStr">
        <is>
          <t>digitalma.ma</t>
        </is>
      </c>
      <c r="E24" t="inlineStr">
        <is>
          <t>2026-10-30T14:56:19+00:00</t>
        </is>
      </c>
      <c r="F24" t="inlineStr">
        <is>
          <t>{"Keyword": "agence marketing digital", "Position": "4", "Search Volume": "590", "CPC": "0.72", "Url": "https://digitalma.ma/", "Traffic": "17", "Competition": "0.17", "Keyword Difficulty": "51.00", "Intents": "0", "Trends": "0.48,0.26,1.00,0.59,0.48,0.39,0.39,0.72,1.00,0.72,0.39,0.59"}</t>
        </is>
      </c>
      <c r="G24" t="inlineStr">
        <is>
          <t>Raw (Semrush)</t>
        </is>
      </c>
    </row>
    <row r="25">
      <c r="A25" t="inlineStr">
        <is>
          <t>org-ma-digitalma.ma</t>
        </is>
      </c>
      <c r="B25" t="inlineStr">
        <is>
          <t>resource_organic</t>
        </is>
      </c>
      <c r="C25" t="inlineStr">
        <is>
          <t>ma</t>
        </is>
      </c>
      <c r="D25" t="inlineStr">
        <is>
          <t>digitalma.ma</t>
        </is>
      </c>
      <c r="E25" t="inlineStr">
        <is>
          <t>2026-10-30T14:56:19+00:00</t>
        </is>
      </c>
      <c r="F25" t="inlineStr">
        <is>
          <t>{"Keyword": "agence de communication à casablanca", "Position": "7", "Search Volume": "480", "CPC": "0.38", "Url": "https://digitalma.ma/", "Traffic": "12", "Competition": "0.23", "Keyword Difficulty": "50.00", "Intents": "0", "Trends": "0.88,0.72,0.59,0.48,0.59,0.48,1.00,0.14,0.14,0.11,0.14,0.17"}</t>
        </is>
      </c>
      <c r="G25" t="inlineStr">
        <is>
          <t>Raw (Semrush)</t>
        </is>
      </c>
    </row>
    <row r="26">
      <c r="A26" t="inlineStr">
        <is>
          <t>org-ma-digitalma.ma</t>
        </is>
      </c>
      <c r="B26" t="inlineStr">
        <is>
          <t>resource_organic</t>
        </is>
      </c>
      <c r="C26" t="inlineStr">
        <is>
          <t>ma</t>
        </is>
      </c>
      <c r="D26" t="inlineStr">
        <is>
          <t>digitalma.ma</t>
        </is>
      </c>
      <c r="E26" t="inlineStr">
        <is>
          <t>2026-10-30T14:56:19+00:00</t>
        </is>
      </c>
      <c r="F26" t="inlineStr">
        <is>
          <t>{"Keyword": "agence digitale maroc", "Position": "6", "Search Volume": "390", "CPC": "0.78", "Url": "https://digitalma.ma/", "Traffic": "5", "Competition": "0.22", "Keyword Difficulty": "50.00", "Intents": "0", "Trends": "1.00,1.00,0.67,0.54,0.44,0.81,0.81,0.81,0.54,0.81,0.67,0.81"}</t>
        </is>
      </c>
      <c r="G26" t="inlineStr">
        <is>
          <t>Raw (Semrush)</t>
        </is>
      </c>
    </row>
    <row r="27">
      <c r="A27" t="inlineStr">
        <is>
          <t>org-ma-digitalma.ma</t>
        </is>
      </c>
      <c r="B27" t="inlineStr">
        <is>
          <t>resource_organic</t>
        </is>
      </c>
      <c r="C27" t="inlineStr">
        <is>
          <t>ma</t>
        </is>
      </c>
      <c r="D27" t="inlineStr">
        <is>
          <t>digitalma.ma</t>
        </is>
      </c>
      <c r="E27" t="inlineStr">
        <is>
          <t>2026-10-30T14:56:19+00:00</t>
        </is>
      </c>
      <c r="F27" t="inlineStr">
        <is>
          <t>{"Keyword": "digital", "Position": "21", "Search Volume": "3600", "CPC": "2.05", "Url": "https://digitalma.ma/", "Traffic": "5", "Competition": "0.02", "Keyword Difficulty": "32.00", "Intents": "1", "Trends": "0.82,0.82,1.00,0.82,0.66,0.82,0.82,0.82,0.82,0.82,0.82,0.82"}</t>
        </is>
      </c>
      <c r="G27" t="inlineStr">
        <is>
          <t>Raw (Semrush)</t>
        </is>
      </c>
    </row>
    <row r="28">
      <c r="A28" t="inlineStr">
        <is>
          <t>org-ma-digitalma.ma</t>
        </is>
      </c>
      <c r="B28" t="inlineStr">
        <is>
          <t>resource_organic</t>
        </is>
      </c>
      <c r="C28" t="inlineStr">
        <is>
          <t>ma</t>
        </is>
      </c>
      <c r="D28" t="inlineStr">
        <is>
          <t>digitalma.ma</t>
        </is>
      </c>
      <c r="E28" t="inlineStr">
        <is>
          <t>2026-10-30T14:56:19+00:00</t>
        </is>
      </c>
      <c r="F28" t="inlineStr">
        <is>
          <t>{"Keyword": "agence de communication à casablanca", "Position": "11", "Search Volume": "480", "CPC": "0.38", "Url": "https://digitalma.ma/", "Traffic": "2", "Competition": "0.23", "Keyword Difficulty": "50.00", "Intents": "0", "Trends": "0.88,0.72,0.59,0.48,0.59,0.48,1.00,0.14,0.14,0.11,0.14,0.17"}</t>
        </is>
      </c>
      <c r="G28" t="inlineStr">
        <is>
          <t>Raw (Semrush)</t>
        </is>
      </c>
    </row>
    <row r="29">
      <c r="A29" t="inlineStr">
        <is>
          <t>org-ma-digitalma.ma</t>
        </is>
      </c>
      <c r="B29" t="inlineStr">
        <is>
          <t>resource_organic</t>
        </is>
      </c>
      <c r="C29" t="inlineStr">
        <is>
          <t>ma</t>
        </is>
      </c>
      <c r="D29" t="inlineStr">
        <is>
          <t>digitalma.ma</t>
        </is>
      </c>
      <c r="E29" t="inlineStr">
        <is>
          <t>2026-10-30T14:56:19+00:00</t>
        </is>
      </c>
      <c r="F29" t="inlineStr">
        <is>
          <t>{"Keyword": "agence web maroc", "Position": "15", "Search Volume": "390", "CPC": "0.78", "Url": "https://digitalma.ma/", "Traffic": "1", "Competition": "0.21", "Keyword Difficulty": "44.00", "Intents": "0", "Trends": "0.54,0.54,0.54,0.44,0.67,0.67,1.00,0.44,0.67,0.44,0.54,0.54"}</t>
        </is>
      </c>
      <c r="G29" t="inlineStr">
        <is>
          <t>Raw (Semrush)</t>
        </is>
      </c>
    </row>
    <row r="30">
      <c r="A30" t="inlineStr">
        <is>
          <t>org-ma-digitalma.ma</t>
        </is>
      </c>
      <c r="B30" t="inlineStr">
        <is>
          <t>resource_organic</t>
        </is>
      </c>
      <c r="C30" t="inlineStr">
        <is>
          <t>ma</t>
        </is>
      </c>
      <c r="D30" t="inlineStr">
        <is>
          <t>digitalma.ma</t>
        </is>
      </c>
      <c r="E30" t="inlineStr">
        <is>
          <t>2026-10-30T14:56:19+00:00</t>
        </is>
      </c>
      <c r="F30" t="inlineStr">
        <is>
          <t>{"Keyword": "agence marketing", "Position": "11", "Search Volume": "480", "CPC": "0.47", "Url": "https://digitalma.ma/", "Traffic": "1", "Competition": "0.10", "Keyword Difficulty": "47.00", "Intents": "0", "Trends": "0.67,0.67,0.54,0.67,0.54,0.82,0.82,1.00,0.44,0.82,0.54,0.54"}</t>
        </is>
      </c>
      <c r="G30" t="inlineStr">
        <is>
          <t>Raw (Semrush)</t>
        </is>
      </c>
    </row>
    <row r="31">
      <c r="A31" t="inlineStr">
        <is>
          <t>org-ma-digitalma.ma</t>
        </is>
      </c>
      <c r="B31" t="inlineStr">
        <is>
          <t>resource_organic</t>
        </is>
      </c>
      <c r="C31" t="inlineStr">
        <is>
          <t>ma</t>
        </is>
      </c>
      <c r="D31" t="inlineStr">
        <is>
          <t>digitalma.ma</t>
        </is>
      </c>
      <c r="E31" t="inlineStr">
        <is>
          <t>2026-10-30T14:56:19+00:00</t>
        </is>
      </c>
      <c r="F31" t="inlineStr">
        <is>
          <t>{"Keyword": "agence marketing digital casablanca", "Position": "11", "Search Volume": "390", "CPC": "0.62", "Url": "https://digitalma.ma/", "Traffic": "1", "Competition": "0.16", "Keyword Difficulty": "39.00", "Intents": "0", "Trends": "0.44,0.29,0.81,0.54,0.81,0.36,0.44,0.81,0.81,0.81,1.00,0.81"}</t>
        </is>
      </c>
      <c r="G31" t="inlineStr">
        <is>
          <t>Raw (Semrush)</t>
        </is>
      </c>
    </row>
    <row r="32">
      <c r="A32" t="inlineStr">
        <is>
          <t>org-ma-digitalma.ma</t>
        </is>
      </c>
      <c r="B32" t="inlineStr">
        <is>
          <t>resource_organic</t>
        </is>
      </c>
      <c r="C32" t="inlineStr">
        <is>
          <t>ma</t>
        </is>
      </c>
      <c r="D32" t="inlineStr">
        <is>
          <t>digitalma.ma</t>
        </is>
      </c>
      <c r="E32" t="inlineStr">
        <is>
          <t>2026-10-30T14:56:19+00:00</t>
        </is>
      </c>
      <c r="F32" t="inlineStr">
        <is>
          <t>{"Keyword": "agence web casablanca", "Position": "28", "Search Volume": "880", "CPC": "0.97", "Url": "https://digitalma.ma/", "Traffic": "0", "Competition": "0.33", "Keyword Difficulty": "36.00", "Intents": "0", "Trends": "0.55,0.62,1.00,0.81,0.45,0.55,0.81,0.45,0.30,0.24,0.24,0.16"}</t>
        </is>
      </c>
      <c r="G32" t="inlineStr">
        <is>
          <t>Raw (Semrush)</t>
        </is>
      </c>
    </row>
    <row r="33">
      <c r="A33" t="inlineStr">
        <is>
          <t>org-ma-digitalma.ma</t>
        </is>
      </c>
      <c r="B33" t="inlineStr">
        <is>
          <t>resource_organic</t>
        </is>
      </c>
      <c r="C33" t="inlineStr">
        <is>
          <t>ma</t>
        </is>
      </c>
      <c r="D33" t="inlineStr">
        <is>
          <t>digitalma.ma</t>
        </is>
      </c>
      <c r="E33" t="inlineStr">
        <is>
          <t>2026-10-30T14:56:19+00:00</t>
        </is>
      </c>
      <c r="F33" t="inlineStr">
        <is>
          <t>{"Keyword": "stratégie marketing digital", "Position": "52", "Search Volume": "880", "CPC": "0.36", "Url": "https://digitalma.ma/articles/comment-reussir-votre-marketing-digital/", "Traffic": "0", "Competition": "0.26", "Keyword Difficulty": "34.00", "Intents": "1", "Trends": "0.09,0.03,0.81,0.67,1.00,0.03,0.03,0.03,0.03,0.03,0.06,0.03"}</t>
        </is>
      </c>
      <c r="G33" t="inlineStr">
        <is>
          <t>Raw (Semrush)</t>
        </is>
      </c>
    </row>
    <row r="34">
      <c r="A34" t="inlineStr">
        <is>
          <t>org-ma-digitalma.ma</t>
        </is>
      </c>
      <c r="B34" t="inlineStr">
        <is>
          <t>resource_organic</t>
        </is>
      </c>
      <c r="C34" t="inlineStr">
        <is>
          <t>ma</t>
        </is>
      </c>
      <c r="D34" t="inlineStr">
        <is>
          <t>digitalma.ma</t>
        </is>
      </c>
      <c r="E34" t="inlineStr">
        <is>
          <t>2026-10-30T14:56:19+00:00</t>
        </is>
      </c>
      <c r="F34" t="inlineStr">
        <is>
          <t>{"Keyword": "digit", "Position": "70", "Search Volume": "480", "CPC": "0.00", "Url": "https://digitalma.ma/", "Traffic": "0", "Competition": "0.00", "Keyword Difficulty": "14.00", "Intents": "1", "Trends": "0.25,0.30,0.25,0.30,0.30,0.30,0.30,0.30,0.30,0.30,0.30,1.00"}</t>
        </is>
      </c>
      <c r="G34" t="inlineStr">
        <is>
          <t>Raw (Semrush)</t>
        </is>
      </c>
    </row>
    <row r="35">
      <c r="A35" t="inlineStr">
        <is>
          <t>org-ma-digitalma.ma</t>
        </is>
      </c>
      <c r="B35" t="inlineStr">
        <is>
          <t>resource_organic</t>
        </is>
      </c>
      <c r="C35" t="inlineStr">
        <is>
          <t>ma</t>
        </is>
      </c>
      <c r="D35" t="inlineStr">
        <is>
          <t>digitalma.ma</t>
        </is>
      </c>
      <c r="E35" t="inlineStr">
        <is>
          <t>2026-10-30T14:56:19+00:00</t>
        </is>
      </c>
      <c r="F35" t="inlineStr">
        <is>
          <t>{"Keyword": "communication au maroc", "Position": "20", "Search Volume": "390", "CPC": "0.00", "Url": "https://digitalma.ma/", "Traffic": "0", "Competition": "0.05", "Keyword Difficulty": "9.00", "Intents": "1", "Trends": "0.04,1.00,0.01,0.00,0.01,0.00,0.00,0.00,0.00,0.00,0.00,0.00"}</t>
        </is>
      </c>
      <c r="G35" t="inlineStr">
        <is>
          <t>Raw (Semrush)</t>
        </is>
      </c>
    </row>
    <row r="36">
      <c r="A36" t="inlineStr">
        <is>
          <t>org-ma-digitalma.ma</t>
        </is>
      </c>
      <c r="B36" t="inlineStr">
        <is>
          <t>resource_organic</t>
        </is>
      </c>
      <c r="C36" t="inlineStr">
        <is>
          <t>ma</t>
        </is>
      </c>
      <c r="D36" t="inlineStr">
        <is>
          <t>digitalma.ma</t>
        </is>
      </c>
      <c r="E36" t="inlineStr">
        <is>
          <t>2026-10-30T14:56:19+00:00</t>
        </is>
      </c>
      <c r="F36" t="inlineStr">
        <is>
          <t>{"Keyword": "marketing agency", "Position": "28", "Search Volume": "720", "CPC": "0.69", "Url": "https://digitalma.ma/", "Traffic": "0", "Competition": "0.11", "Keyword Difficulty": "37.00", "Intents": "1", "Trends": "0.72,0.72,0.48,0.88,0.59,0.59,0.72,1.00,0.59,1.00,0.88,0.72"}</t>
        </is>
      </c>
      <c r="G36" t="inlineStr">
        <is>
          <t>Raw (Semrush)</t>
        </is>
      </c>
    </row>
    <row r="37">
      <c r="A37" t="inlineStr">
        <is>
          <t>org-ma-digitalma.ma</t>
        </is>
      </c>
      <c r="B37" t="inlineStr">
        <is>
          <t>resource_organic</t>
        </is>
      </c>
      <c r="C37" t="inlineStr">
        <is>
          <t>ma</t>
        </is>
      </c>
      <c r="D37" t="inlineStr">
        <is>
          <t>digitalma.ma</t>
        </is>
      </c>
      <c r="E37" t="inlineStr">
        <is>
          <t>2026-10-30T14:56:19+00:00</t>
        </is>
      </c>
      <c r="F37" t="inlineStr">
        <is>
          <t>{"Keyword": "marketing agency", "Position": "31", "Search Volume": "720", "CPC": "0.69", "Url": "https://digitalma.ma/", "Traffic": "0", "Competition": "0.11", "Keyword Difficulty": "37.00", "Intents": "1", "Trends": "0.72,0.72,0.48,0.88,0.59,0.59,0.72,1.00,0.59,1.00,0.88,0.72"}</t>
        </is>
      </c>
      <c r="G37" t="inlineStr">
        <is>
          <t>Raw (Semrush)</t>
        </is>
      </c>
    </row>
    <row r="38">
      <c r="A38" t="inlineStr">
        <is>
          <t>org-ma-digitalma.ma</t>
        </is>
      </c>
      <c r="B38" t="inlineStr">
        <is>
          <t>resource_organic</t>
        </is>
      </c>
      <c r="C38" t="inlineStr">
        <is>
          <t>ma</t>
        </is>
      </c>
      <c r="D38" t="inlineStr">
        <is>
          <t>digitalma.ma</t>
        </is>
      </c>
      <c r="E38" t="inlineStr">
        <is>
          <t>2026-10-30T14:56:19+00:00</t>
        </is>
      </c>
      <c r="F38" t="inlineStr">
        <is>
          <t>{"Keyword": "digital marketing agency", "Position": "95", "Search Volume": "390", "CPC": "0.64", "Url": "https://digitalma.ma/case-studies/", "Traffic": "0", "Competition": "0.16", "Keyword Difficulty": "56.00", "Intents": "1", "Trends": "0.66,0.54,0.36,0.66,0.66,0.66,1.00,0.81,0.66,0.81,0.66,0.66"}</t>
        </is>
      </c>
      <c r="G38" t="inlineStr">
        <is>
          <t>Raw (Semrush)</t>
        </is>
      </c>
    </row>
    <row r="39">
      <c r="A39" t="inlineStr">
        <is>
          <t>org-ma-digitalma.ma</t>
        </is>
      </c>
      <c r="B39" t="inlineStr">
        <is>
          <t>resource_organic</t>
        </is>
      </c>
      <c r="C39" t="inlineStr">
        <is>
          <t>ma</t>
        </is>
      </c>
      <c r="D39" t="inlineStr">
        <is>
          <t>digitalma.ma</t>
        </is>
      </c>
      <c r="E39" t="inlineStr">
        <is>
          <t>2026-10-30T14:56:19+00:00</t>
        </is>
      </c>
      <c r="F39" t="inlineStr">
        <is>
          <t>{"Keyword": "digital marketing", "Position": "42", "Search Volume": "5400", "CPC": "0.55", "Url": "https://digitalma.ma/", "Traffic": "0", "Competition": "0.15", "Keyword Difficulty": "51.00", "Intents": "0", "Trends": "0.11,0.11,0.11,0.11,0.11,0.09,0.30,1.00,1.00,0.67,0.55,0.20"}</t>
        </is>
      </c>
      <c r="G39" t="inlineStr">
        <is>
          <t>Raw (Semrush)</t>
        </is>
      </c>
    </row>
    <row r="40">
      <c r="A40" t="inlineStr">
        <is>
          <t>org-ma-digitalma.ma</t>
        </is>
      </c>
      <c r="B40" t="inlineStr">
        <is>
          <t>resource_organic</t>
        </is>
      </c>
      <c r="C40" t="inlineStr">
        <is>
          <t>ma</t>
        </is>
      </c>
      <c r="D40" t="inlineStr">
        <is>
          <t>digitalma.ma</t>
        </is>
      </c>
      <c r="E40" t="inlineStr">
        <is>
          <t>2026-10-30T14:56:19+00:00</t>
        </is>
      </c>
      <c r="F40" t="inlineStr">
        <is>
          <t>{"Keyword": "média marketing", "Position": "25", "Search Volume": "480", "CPC": "0.43", "Url": "https://digitalma.ma/", "Traffic": "0", "Competition": "0.16", "Keyword Difficulty": "60.00", "Intents": "2", "Trends": "0.14,0.11,0.17,0.17,0.17,0.21,0.26,0.59,0.88,1.00,1.00,0.72"}</t>
        </is>
      </c>
      <c r="G40" t="inlineStr">
        <is>
          <t>Raw (Semrush)</t>
        </is>
      </c>
    </row>
    <row r="41">
      <c r="A41" t="inlineStr">
        <is>
          <t>org-ma-digitalma.ma</t>
        </is>
      </c>
      <c r="B41" t="inlineStr">
        <is>
          <t>resource_organic</t>
        </is>
      </c>
      <c r="C41" t="inlineStr">
        <is>
          <t>ma</t>
        </is>
      </c>
      <c r="D41" t="inlineStr">
        <is>
          <t>digitalma.ma</t>
        </is>
      </c>
      <c r="E41" t="inlineStr">
        <is>
          <t>2026-10-30T14:56:19+00:00</t>
        </is>
      </c>
      <c r="F41" t="inlineStr">
        <is>
          <t>{"Keyword": "agence web", "Position": "27", "Search Volume": "480", "CPC": "0.65", "Url": "https://digitalma.ma/", "Traffic": "0", "Competition": "0.22", "Keyword Difficulty": "25.00", "Intents": "0", "Trends": "0.67,0.54,0.82,0.67,0.67,1.00,0.67,0.67,0.67,0.67,0.54,0.44"}</t>
        </is>
      </c>
      <c r="G41" t="inlineStr">
        <is>
          <t>Raw (Semrush)</t>
        </is>
      </c>
    </row>
    <row r="42">
      <c r="A42" t="inlineStr">
        <is>
          <t>org-ma-elevenmedia.ma</t>
        </is>
      </c>
      <c r="B42" t="inlineStr">
        <is>
          <t>resource_organic</t>
        </is>
      </c>
      <c r="C42" t="inlineStr">
        <is>
          <t>ma</t>
        </is>
      </c>
      <c r="D42" t="inlineStr">
        <is>
          <t>elevenmedia.ma</t>
        </is>
      </c>
      <c r="E42" t="inlineStr">
        <is>
          <t>2026-10-30T14:56:20+00:00</t>
        </is>
      </c>
      <c r="F42" t="inlineStr">
        <is>
          <t>{"Keyword": "boite de communication casablanca", "Position": "5", "Search Volume": "6600", "CPC": "0.40", "Url": "https://elevenmedia.ma/", "Traffic": "198", "Competition": "0.58", "Keyword Difficulty": "38.00", "Intents": "0", "Trends": "1.00,0.11,0.01,0.01,0.16,0.01,0.01,0.67,0.02,0.01,0.01,0.01"}</t>
        </is>
      </c>
      <c r="G42" t="inlineStr">
        <is>
          <t>Raw (Semrush)</t>
        </is>
      </c>
    </row>
    <row r="43">
      <c r="A43" t="inlineStr">
        <is>
          <t>org-ma-elevenmedia.ma</t>
        </is>
      </c>
      <c r="B43" t="inlineStr">
        <is>
          <t>resource_organic</t>
        </is>
      </c>
      <c r="C43" t="inlineStr">
        <is>
          <t>ma</t>
        </is>
      </c>
      <c r="D43" t="inlineStr">
        <is>
          <t>elevenmedia.ma</t>
        </is>
      </c>
      <c r="E43" t="inlineStr">
        <is>
          <t>2026-10-30T14:56:20+00:00</t>
        </is>
      </c>
      <c r="F43" t="inlineStr">
        <is>
          <t>{"Keyword": "lydec", "Position": "11", "Search Volume": "18100", "CPC": "0.00", "Url": "https://elevenmedia.ma/projets/lydec", "Traffic": "162", "Competition": "0.33", "Keyword Difficulty": "31.00", "Intents": "2", "Trends": "1.00,0.82,0.82,0.82,0.82,0.67,0.67,0.67,0.67,0.67,0.67,0.82"}</t>
        </is>
      </c>
      <c r="G43" t="inlineStr">
        <is>
          <t>Raw (Semrush)</t>
        </is>
      </c>
    </row>
    <row r="44">
      <c r="A44" t="inlineStr">
        <is>
          <t>org-ma-elevenmedia.ma</t>
        </is>
      </c>
      <c r="B44" t="inlineStr">
        <is>
          <t>resource_organic</t>
        </is>
      </c>
      <c r="C44" t="inlineStr">
        <is>
          <t>ma</t>
        </is>
      </c>
      <c r="D44" t="inlineStr">
        <is>
          <t>elevenmedia.ma</t>
        </is>
      </c>
      <c r="E44" t="inlineStr">
        <is>
          <t>2026-10-30T14:56:20+00:00</t>
        </is>
      </c>
      <c r="F44" t="inlineStr">
        <is>
          <t>{"Keyword": "agence marketing digital casablanca", "Position": "1", "Search Volume": "390", "CPC": "0.62", "Url": "https://elevenmedia.ma/", "Traffic": "27", "Competition": "0.16", "Keyword Difficulty": "39.00", "Intents": "0", "Trends": "0.44,0.29,0.81,0.54,0.81,0.36,0.44,0.81,0.81,0.81,1.00,0.81"}</t>
        </is>
      </c>
      <c r="G44" t="inlineStr">
        <is>
          <t>Raw (Semrush)</t>
        </is>
      </c>
    </row>
    <row r="45">
      <c r="A45" t="inlineStr">
        <is>
          <t>org-ma-elevenmedia.ma</t>
        </is>
      </c>
      <c r="B45" t="inlineStr">
        <is>
          <t>resource_organic</t>
        </is>
      </c>
      <c r="C45" t="inlineStr">
        <is>
          <t>ma</t>
        </is>
      </c>
      <c r="D45" t="inlineStr">
        <is>
          <t>elevenmedia.ma</t>
        </is>
      </c>
      <c r="E45" t="inlineStr">
        <is>
          <t>2026-10-30T14:56:20+00:00</t>
        </is>
      </c>
      <c r="F45" t="inlineStr">
        <is>
          <t>{"Keyword": "agence de communication casablanca", "Position": "5", "Search Volume": "590", "CPC": "0.44", "Url": "https://elevenmedia.ma/", "Traffic": "17", "Competition": "0.35", "Keyword Difficulty": "51.00", "Intents": "0", "Trends": "0.72,0.48,0.88,0.72,0.59,0.48,0.59,0.48,1.00,0.88,0.48,0.48"}</t>
        </is>
      </c>
      <c r="G45" t="inlineStr">
        <is>
          <t>Raw (Semrush)</t>
        </is>
      </c>
    </row>
    <row r="46">
      <c r="A46" t="inlineStr">
        <is>
          <t>org-ma-elevenmedia.ma</t>
        </is>
      </c>
      <c r="B46" t="inlineStr">
        <is>
          <t>resource_organic</t>
        </is>
      </c>
      <c r="C46" t="inlineStr">
        <is>
          <t>ma</t>
        </is>
      </c>
      <c r="D46" t="inlineStr">
        <is>
          <t>elevenmedia.ma</t>
        </is>
      </c>
      <c r="E46" t="inlineStr">
        <is>
          <t>2026-10-30T14:56:20+00:00</t>
        </is>
      </c>
      <c r="F46" t="inlineStr">
        <is>
          <t>{"Keyword": "lydec maroc", "Position": "10", "Search Volume": "590", "CPC": "0.00", "Url": "https://elevenmedia.ma/projets/lydec", "Traffic": "4", "Competition": "0.08", "Keyword Difficulty": "24.00", "Intents": "1", "Trends": "0.13,0.13,0.17,0.13,0.11,0.13,0.11,0.07,0.11,0.13,0.17,1.00"}</t>
        </is>
      </c>
      <c r="G46" t="inlineStr">
        <is>
          <t>Raw (Semrush)</t>
        </is>
      </c>
    </row>
    <row r="47">
      <c r="A47" t="inlineStr">
        <is>
          <t>org-ma-elevenmedia.ma</t>
        </is>
      </c>
      <c r="B47" t="inlineStr">
        <is>
          <t>resource_organic</t>
        </is>
      </c>
      <c r="C47" t="inlineStr">
        <is>
          <t>ma</t>
        </is>
      </c>
      <c r="D47" t="inlineStr">
        <is>
          <t>elevenmedia.ma</t>
        </is>
      </c>
      <c r="E47" t="inlineStr">
        <is>
          <t>2026-10-30T14:56:20+00:00</t>
        </is>
      </c>
      <c r="F47" t="inlineStr">
        <is>
          <t>{"Keyword": "casa aménagement", "Position": "8", "Search Volume": "590", "CPC": "0.00", "Url": "https://elevenmedia.ma/projets/casamenagement", "Traffic": "3", "Competition": "0.02", "Keyword Difficulty": "18.00", "Intents": "2", "Trends": "1.00,1.00,1.00,1.00,1.00,1.00,1.00,1.00,0.81,0.81,0.81,0.54"}</t>
        </is>
      </c>
      <c r="G47" t="inlineStr">
        <is>
          <t>Raw (Semrush)</t>
        </is>
      </c>
    </row>
    <row r="48">
      <c r="A48" t="inlineStr">
        <is>
          <t>org-ma-elevenmedia.ma</t>
        </is>
      </c>
      <c r="B48" t="inlineStr">
        <is>
          <t>resource_organic</t>
        </is>
      </c>
      <c r="C48" t="inlineStr">
        <is>
          <t>ma</t>
        </is>
      </c>
      <c r="D48" t="inlineStr">
        <is>
          <t>elevenmedia.ma</t>
        </is>
      </c>
      <c r="E48" t="inlineStr">
        <is>
          <t>2026-10-30T14:56:20+00:00</t>
        </is>
      </c>
      <c r="F48" t="inlineStr">
        <is>
          <t>{"Keyword": "byd maroc", "Position": "23", "Search Volume": "12100", "CPC": "0.05", "Url": "https://elevenmedia.ma/projets/BYD", "Traffic": "3", "Competition": "0.21", "Keyword Difficulty": "28.00", "Intents": "2", "Trends": "1.00,1.00,1.00,0.82,0.82,0.82,0.67,0.67,1.00,1.00,0.82,0.82"}</t>
        </is>
      </c>
      <c r="G48" t="inlineStr">
        <is>
          <t>Raw (Semrush)</t>
        </is>
      </c>
    </row>
    <row r="49">
      <c r="A49" t="inlineStr">
        <is>
          <t>org-ma-elevenmedia.ma</t>
        </is>
      </c>
      <c r="B49" t="inlineStr">
        <is>
          <t>resource_organic</t>
        </is>
      </c>
      <c r="C49" t="inlineStr">
        <is>
          <t>ma</t>
        </is>
      </c>
      <c r="D49" t="inlineStr">
        <is>
          <t>elevenmedia.ma</t>
        </is>
      </c>
      <c r="E49" t="inlineStr">
        <is>
          <t>2026-10-30T14:56:20+00:00</t>
        </is>
      </c>
      <c r="F49" t="inlineStr">
        <is>
          <t>{"Keyword": "agence web casablanca", "Position": "26", "Search Volume": "880", "CPC": "0.97", "Url": "https://elevenmedia.ma/services/sites-web", "Traffic": "1", "Competition": "0.33", "Keyword Difficulty": "36.00", "Intents": "0", "Trends": "0.55,0.62,1.00,0.81,0.45,0.55,0.81,0.45,0.30,0.24,0.24,0.16"}</t>
        </is>
      </c>
      <c r="G49" t="inlineStr">
        <is>
          <t>Raw (Semrush)</t>
        </is>
      </c>
    </row>
    <row r="50">
      <c r="A50" t="inlineStr">
        <is>
          <t>org-ma-elevenmedia.ma</t>
        </is>
      </c>
      <c r="B50" t="inlineStr">
        <is>
          <t>resource_organic</t>
        </is>
      </c>
      <c r="C50" t="inlineStr">
        <is>
          <t>ma</t>
        </is>
      </c>
      <c r="D50" t="inlineStr">
        <is>
          <t>elevenmedia.ma</t>
        </is>
      </c>
      <c r="E50" t="inlineStr">
        <is>
          <t>2026-10-30T14:56:20+00:00</t>
        </is>
      </c>
      <c r="F50" t="inlineStr">
        <is>
          <t>{"Keyword": "agence de communication", "Position": "20", "Search Volume": "1300", "CPC": "0.44", "Url": "https://elevenmedia.ma/", "Traffic": "1", "Competition": "0.13", "Keyword Difficulty": "53.00", "Intents": "3", "Trends": "0.68,0.53,1.00,0.84,0.53,0.53,0.53,1.00,0.53,0.84,0.53,0.53"}</t>
        </is>
      </c>
      <c r="G50" t="inlineStr">
        <is>
          <t>Raw (Semrush)</t>
        </is>
      </c>
    </row>
    <row r="51">
      <c r="A51" t="inlineStr">
        <is>
          <t>org-ma-elevenmedia.ma</t>
        </is>
      </c>
      <c r="B51" t="inlineStr">
        <is>
          <t>resource_organic</t>
        </is>
      </c>
      <c r="C51" t="inlineStr">
        <is>
          <t>ma</t>
        </is>
      </c>
      <c r="D51" t="inlineStr">
        <is>
          <t>elevenmedia.ma</t>
        </is>
      </c>
      <c r="E51" t="inlineStr">
        <is>
          <t>2026-10-30T14:56:20+00:00</t>
        </is>
      </c>
      <c r="F51" t="inlineStr">
        <is>
          <t>{"Keyword": "boite de communication casablanca", "Position": "42", "Search Volume": "6600", "CPC": "0.40", "Url": "https://elevenmedia.ma/agence", "Traffic": "1", "Competition": "0.58", "Keyword Difficulty": "38.00", "Intents": "0", "Trends": "1.00,0.11,0.01,0.01,0.16,0.01,0.01,0.67,0.02,0.01,0.01,0.01"}</t>
        </is>
      </c>
      <c r="G51" t="inlineStr">
        <is>
          <t>Raw (Semrush)</t>
        </is>
      </c>
    </row>
    <row r="52">
      <c r="A52" t="inlineStr">
        <is>
          <t>org-ma-elevenmedia.ma</t>
        </is>
      </c>
      <c r="B52" t="inlineStr">
        <is>
          <t>resource_organic</t>
        </is>
      </c>
      <c r="C52" t="inlineStr">
        <is>
          <t>ma</t>
        </is>
      </c>
      <c r="D52" t="inlineStr">
        <is>
          <t>elevenmedia.ma</t>
        </is>
      </c>
      <c r="E52" t="inlineStr">
        <is>
          <t>2026-10-30T14:56:20+00:00</t>
        </is>
      </c>
      <c r="F52" t="inlineStr">
        <is>
          <t>{"Keyword": "agence marketing", "Position": "13", "Search Volume": "480", "CPC": "0.47", "Url": "https://elevenmedia.ma/", "Traffic": "1", "Competition": "0.10", "Keyword Difficulty": "47.00", "Intents": "0", "Trends": "0.67,0.67,0.54,0.67,0.54,0.82,0.82,1.00,0.44,0.82,0.54,0.54"}</t>
        </is>
      </c>
      <c r="G52" t="inlineStr">
        <is>
          <t>Raw (Semrush)</t>
        </is>
      </c>
    </row>
    <row r="53">
      <c r="A53" t="inlineStr">
        <is>
          <t>org-ma-elevenmedia.ma</t>
        </is>
      </c>
      <c r="B53" t="inlineStr">
        <is>
          <t>resource_organic</t>
        </is>
      </c>
      <c r="C53" t="inlineStr">
        <is>
          <t>ma</t>
        </is>
      </c>
      <c r="D53" t="inlineStr">
        <is>
          <t>elevenmedia.ma</t>
        </is>
      </c>
      <c r="E53" t="inlineStr">
        <is>
          <t>2026-10-30T14:56:20+00:00</t>
        </is>
      </c>
      <c r="F53" t="inlineStr">
        <is>
          <t>{"Keyword": "agence web casablanca", "Position": "75", "Search Volume": "880", "CPC": "0.97", "Url": "https://elevenmedia.ma/services/e-commerce", "Traffic": "0", "Competition": "0.33", "Keyword Difficulty": "36.00", "Intents": "0", "Trends": "0.55,0.62,1.00,0.81,0.45,0.55,0.81,0.45,0.30,0.24,0.24,0.16"}</t>
        </is>
      </c>
      <c r="G53" t="inlineStr">
        <is>
          <t>Raw (Semrush)</t>
        </is>
      </c>
    </row>
    <row r="54">
      <c r="A54" t="inlineStr">
        <is>
          <t>org-ma-elevenmedia.ma</t>
        </is>
      </c>
      <c r="B54" t="inlineStr">
        <is>
          <t>resource_organic</t>
        </is>
      </c>
      <c r="C54" t="inlineStr">
        <is>
          <t>ma</t>
        </is>
      </c>
      <c r="D54" t="inlineStr">
        <is>
          <t>elevenmedia.ma</t>
        </is>
      </c>
      <c r="E54" t="inlineStr">
        <is>
          <t>2026-10-30T14:56:20+00:00</t>
        </is>
      </c>
      <c r="F54" t="inlineStr">
        <is>
          <t>{"Keyword": "agence de communication à casablanca", "Position": "28", "Search Volume": "480", "CPC": "0.38", "Url": "https://elevenmedia.ma/agence", "Traffic": "0", "Competition": "0.23", "Keyword Difficulty": "50.00", "Intents": "0", "Trends": "0.88,0.72,0.59,0.48,0.59,0.48,1.00,0.14,0.14,0.11,0.14,0.17"}</t>
        </is>
      </c>
      <c r="G54" t="inlineStr">
        <is>
          <t>Raw (Semrush)</t>
        </is>
      </c>
    </row>
    <row r="55">
      <c r="A55" t="inlineStr">
        <is>
          <t>org-ma-elevenmedia.ma</t>
        </is>
      </c>
      <c r="B55" t="inlineStr">
        <is>
          <t>resource_organic</t>
        </is>
      </c>
      <c r="C55" t="inlineStr">
        <is>
          <t>ma</t>
        </is>
      </c>
      <c r="D55" t="inlineStr">
        <is>
          <t>elevenmedia.ma</t>
        </is>
      </c>
      <c r="E55" t="inlineStr">
        <is>
          <t>2026-10-30T14:56:20+00:00</t>
        </is>
      </c>
      <c r="F55" t="inlineStr">
        <is>
          <t>{"Keyword": "agence de communication à casablanca", "Position": "55", "Search Volume": "480", "CPC": "0.38", "Url": "https://elevenmedia.ma/services/digital-marketing", "Traffic": "0", "Competition": "0.23", "Keyword Difficulty": "50.00", "Intents": "0", "Trends": "0.88,0.72,0.59,0.48,0.59,0.48,1.00,0.14,0.14,0.11,0.14,0.17"}</t>
        </is>
      </c>
      <c r="G55" t="inlineStr">
        <is>
          <t>Raw (Semrush)</t>
        </is>
      </c>
    </row>
    <row r="56">
      <c r="A56" t="inlineStr">
        <is>
          <t>org-ma-elevenmedia.ma</t>
        </is>
      </c>
      <c r="B56" t="inlineStr">
        <is>
          <t>resource_organic</t>
        </is>
      </c>
      <c r="C56" t="inlineStr">
        <is>
          <t>ma</t>
        </is>
      </c>
      <c r="D56" t="inlineStr">
        <is>
          <t>elevenmedia.ma</t>
        </is>
      </c>
      <c r="E56" t="inlineStr">
        <is>
          <t>2026-10-30T14:56:20+00:00</t>
        </is>
      </c>
      <c r="F56" t="inlineStr">
        <is>
          <t>{"Keyword": "agence de communication à casablanca", "Position": "72", "Search Volume": "480", "CPC": "0.38", "Url": "https://elevenmedia.ma/", "Traffic": "0", "Competition": "0.23", "Keyword Difficulty": "50.00", "Intents": "0", "Trends": "0.88,0.72,0.59,0.48,0.59,0.48,1.00,0.14,0.14,0.11,0.14,0.17"}</t>
        </is>
      </c>
      <c r="G56" t="inlineStr">
        <is>
          <t>Raw (Semrush)</t>
        </is>
      </c>
    </row>
    <row r="57">
      <c r="A57" t="inlineStr">
        <is>
          <t>org-ma-elevenmedia.ma</t>
        </is>
      </c>
      <c r="B57" t="inlineStr">
        <is>
          <t>resource_organic</t>
        </is>
      </c>
      <c r="C57" t="inlineStr">
        <is>
          <t>ma</t>
        </is>
      </c>
      <c r="D57" t="inlineStr">
        <is>
          <t>elevenmedia.ma</t>
        </is>
      </c>
      <c r="E57" t="inlineStr">
        <is>
          <t>2026-10-30T14:56:20+00:00</t>
        </is>
      </c>
      <c r="F57" t="inlineStr">
        <is>
          <t>{"Keyword": "agence de communication", "Position": "68", "Search Volume": "1300", "CPC": "0.44", "Url": "https://elevenmedia.ma/services/digital-marketing", "Traffic": "0", "Competition": "0.13", "Keyword Difficulty": "53.00", "Intents": "3", "Trends": "0.68,0.53,1.00,0.84,0.53,0.53,0.53,1.00,0.53,0.84,0.53,0.53"}</t>
        </is>
      </c>
      <c r="G57" t="inlineStr">
        <is>
          <t>Raw (Semrush)</t>
        </is>
      </c>
    </row>
    <row r="58">
      <c r="A58" t="inlineStr">
        <is>
          <t>org-ma-elevenmedia.ma</t>
        </is>
      </c>
      <c r="B58" t="inlineStr">
        <is>
          <t>resource_organic</t>
        </is>
      </c>
      <c r="C58" t="inlineStr">
        <is>
          <t>ma</t>
        </is>
      </c>
      <c r="D58" t="inlineStr">
        <is>
          <t>elevenmedia.ma</t>
        </is>
      </c>
      <c r="E58" t="inlineStr">
        <is>
          <t>2026-10-30T14:56:20+00:00</t>
        </is>
      </c>
      <c r="F58" t="inlineStr">
        <is>
          <t>{"Keyword": "ratp dev", "Position": "13", "Search Volume": "390", "CPC": "0.00", "Url": "https://elevenmedia.ma/projets/casatramway", "Traffic": "0", "Competition": "0.33", "Keyword Difficulty": "22.00", "Intents": "2", "Trends": "0.66,0.81,0.66,0.66,0.66,0.66,0.66,1.00,0.66,0.66,0.54,0.54"}</t>
        </is>
      </c>
      <c r="G58" t="inlineStr">
        <is>
          <t>Raw (Semrush)</t>
        </is>
      </c>
    </row>
    <row r="59">
      <c r="A59" t="inlineStr">
        <is>
          <t>org-ma-elevenmedia.ma</t>
        </is>
      </c>
      <c r="B59" t="inlineStr">
        <is>
          <t>resource_organic</t>
        </is>
      </c>
      <c r="C59" t="inlineStr">
        <is>
          <t>ma</t>
        </is>
      </c>
      <c r="D59" t="inlineStr">
        <is>
          <t>elevenmedia.ma</t>
        </is>
      </c>
      <c r="E59" t="inlineStr">
        <is>
          <t>2026-10-30T14:56:20+00:00</t>
        </is>
      </c>
      <c r="F59" t="inlineStr">
        <is>
          <t>{"Keyword": "agence digitale maroc", "Position": "29", "Search Volume": "390", "CPC": "0.78", "Url": "https://elevenmedia.ma/services/digital-marketing", "Traffic": "0", "Competition": "0.22", "Keyword Difficulty": "50.00", "Intents": "0", "Trends": "1.00,1.00,0.67,0.54,0.44,0.81,0.81,0.81,0.54,0.81,0.67,0.81"}</t>
        </is>
      </c>
      <c r="G59" t="inlineStr">
        <is>
          <t>Raw (Semrush)</t>
        </is>
      </c>
    </row>
    <row r="60">
      <c r="A60" t="inlineStr">
        <is>
          <t>org-ma-elevenmedia.ma</t>
        </is>
      </c>
      <c r="B60" t="inlineStr">
        <is>
          <t>resource_organic</t>
        </is>
      </c>
      <c r="C60" t="inlineStr">
        <is>
          <t>ma</t>
        </is>
      </c>
      <c r="D60" t="inlineStr">
        <is>
          <t>elevenmedia.ma</t>
        </is>
      </c>
      <c r="E60" t="inlineStr">
        <is>
          <t>2026-10-30T14:56:20+00:00</t>
        </is>
      </c>
      <c r="F60" t="inlineStr">
        <is>
          <t>{"Keyword": "agence digitale maroc", "Position": "89", "Search Volume": "390", "CPC": "0.78", "Url": "https://elevenmedia.ma/", "Traffic": "0", "Competition": "0.22", "Keyword Difficulty": "50.00", "Intents": "0", "Trends": "1.00,1.00,0.67,0.54,0.44,0.81,0.81,0.81,0.54,0.81,0.67,0.81"}</t>
        </is>
      </c>
      <c r="G60" t="inlineStr">
        <is>
          <t>Raw (Semrush)</t>
        </is>
      </c>
    </row>
    <row r="61">
      <c r="A61" t="inlineStr">
        <is>
          <t>org-ma-elevenmedia.ma</t>
        </is>
      </c>
      <c r="B61" t="inlineStr">
        <is>
          <t>resource_organic</t>
        </is>
      </c>
      <c r="C61" t="inlineStr">
        <is>
          <t>ma</t>
        </is>
      </c>
      <c r="D61" t="inlineStr">
        <is>
          <t>elevenmedia.ma</t>
        </is>
      </c>
      <c r="E61" t="inlineStr">
        <is>
          <t>2026-10-30T14:56:20+00:00</t>
        </is>
      </c>
      <c r="F61" t="inlineStr">
        <is>
          <t>{"Keyword": "communication au maroc", "Position": "28", "Search Volume": "390", "CPC": "0.00", "Url": "https://elevenmedia.ma/", "Traffic": "0", "Competition": "0.05", "Keyword Difficulty": "9.00", "Intents": "1", "Trends": "0.04,1.00,0.01,0.00,0.01,0.00,0.00,0.00,0.00,0.00,0.00,0.00"}</t>
        </is>
      </c>
      <c r="G61" t="inlineStr">
        <is>
          <t>Raw (Semrush)</t>
        </is>
      </c>
    </row>
    <row r="62">
      <c r="A62" t="inlineStr">
        <is>
          <t>org-ma-elevenmedia.ma</t>
        </is>
      </c>
      <c r="B62" t="inlineStr">
        <is>
          <t>resource_organic</t>
        </is>
      </c>
      <c r="C62" t="inlineStr">
        <is>
          <t>ma</t>
        </is>
      </c>
      <c r="D62" t="inlineStr">
        <is>
          <t>elevenmedia.ma</t>
        </is>
      </c>
      <c r="E62" t="inlineStr">
        <is>
          <t>2026-10-30T14:56:20+00:00</t>
        </is>
      </c>
      <c r="F62" t="inlineStr">
        <is>
          <t>{"Keyword": "communication au maroc", "Position": "30", "Search Volume": "390", "CPC": "0.00", "Url": "https://elevenmedia.ma/", "Traffic": "0", "Competition": "0.05", "Keyword Difficulty": "9.00", "Intents": "1", "Trends": "0.04,1.00,0.01,0.00,0.01,0.00,0.00,0.00,0.00,0.00,0.00,0.00"}</t>
        </is>
      </c>
      <c r="G62" t="inlineStr">
        <is>
          <t>Raw (Semrush)</t>
        </is>
      </c>
    </row>
    <row r="63">
      <c r="A63" t="inlineStr">
        <is>
          <t>org-ma-elevenmedia.ma</t>
        </is>
      </c>
      <c r="B63" t="inlineStr">
        <is>
          <t>resource_organic</t>
        </is>
      </c>
      <c r="C63" t="inlineStr">
        <is>
          <t>ma</t>
        </is>
      </c>
      <c r="D63" t="inlineStr">
        <is>
          <t>elevenmedia.ma</t>
        </is>
      </c>
      <c r="E63" t="inlineStr">
        <is>
          <t>2026-10-30T14:56:20+00:00</t>
        </is>
      </c>
      <c r="F63" t="inlineStr">
        <is>
          <t>{"Keyword": "marketing agency", "Position": "54", "Search Volume": "720", "CPC": "0.69", "Url": "https://elevenmedia.ma/services/digital-marketing", "Traffic": "0", "Competition": "0.11", "Keyword Difficulty": "37.00", "Intents": "1", "Trends": "0.72,0.72,0.48,0.88,0.59,0.59,0.72,1.00,0.59,1.00,0.88,0.72"}</t>
        </is>
      </c>
      <c r="G63" t="inlineStr">
        <is>
          <t>Raw (Semrush)</t>
        </is>
      </c>
    </row>
    <row r="64">
      <c r="A64" t="inlineStr">
        <is>
          <t>org-ma-elevenmedia.ma</t>
        </is>
      </c>
      <c r="B64" t="inlineStr">
        <is>
          <t>resource_organic</t>
        </is>
      </c>
      <c r="C64" t="inlineStr">
        <is>
          <t>ma</t>
        </is>
      </c>
      <c r="D64" t="inlineStr">
        <is>
          <t>elevenmedia.ma</t>
        </is>
      </c>
      <c r="E64" t="inlineStr">
        <is>
          <t>2026-10-30T14:56:20+00:00</t>
        </is>
      </c>
      <c r="F64" t="inlineStr">
        <is>
          <t>{"Keyword": "agence marketing digital", "Position": "19", "Search Volume": "590", "CPC": "0.72", "Url": "https://elevenmedia.ma/", "Traffic": "0", "Competition": "0.17", "Keyword Difficulty": "51.00", "Intents": "0", "Trends": "0.48,0.26,1.00,0.59,0.48,0.39,0.39,0.72,1.00,0.72,0.39,0.59"}</t>
        </is>
      </c>
      <c r="G64" t="inlineStr">
        <is>
          <t>Raw (Semrush)</t>
        </is>
      </c>
    </row>
    <row r="65">
      <c r="A65" t="inlineStr">
        <is>
          <t>org-ma-elevenmedia.ma</t>
        </is>
      </c>
      <c r="B65" t="inlineStr">
        <is>
          <t>resource_organic</t>
        </is>
      </c>
      <c r="C65" t="inlineStr">
        <is>
          <t>ma</t>
        </is>
      </c>
      <c r="D65" t="inlineStr">
        <is>
          <t>elevenmedia.ma</t>
        </is>
      </c>
      <c r="E65" t="inlineStr">
        <is>
          <t>2026-10-30T14:56:20+00:00</t>
        </is>
      </c>
      <c r="F65" t="inlineStr">
        <is>
          <t>{"Keyword": "agence marketing digital", "Position": "73", "Search Volume": "590", "CPC": "0.72", "Url": "https://elevenmedia.ma/services/digital-marketing", "Traffic": "0", "Competition": "0.17", "Keyword Difficulty": "51.00", "Intents": "0", "Trends": "0.48,0.26,1.00,0.59,0.48,0.39,0.39,0.72,1.00,0.72,0.39,0.59"}</t>
        </is>
      </c>
      <c r="G65" t="inlineStr">
        <is>
          <t>Raw (Semrush)</t>
        </is>
      </c>
    </row>
    <row r="66">
      <c r="A66" t="inlineStr">
        <is>
          <t>org-ma-elevenmedia.ma</t>
        </is>
      </c>
      <c r="B66" t="inlineStr">
        <is>
          <t>resource_organic</t>
        </is>
      </c>
      <c r="C66" t="inlineStr">
        <is>
          <t>ma</t>
        </is>
      </c>
      <c r="D66" t="inlineStr">
        <is>
          <t>elevenmedia.ma</t>
        </is>
      </c>
      <c r="E66" t="inlineStr">
        <is>
          <t>2026-10-30T14:56:20+00:00</t>
        </is>
      </c>
      <c r="F66" t="inlineStr">
        <is>
          <t>{"Keyword": "digital marketing agency", "Position": "25", "Search Volume": "390", "CPC": "0.64", "Url": "https://elevenmedia.ma/", "Traffic": "0", "Competition": "0.16", "Keyword Difficulty": "56.00", "Intents": "1", "Trends": "0.66,0.54,0.36,0.66,0.66,0.66,1.00,0.81,0.66,0.81,0.66,0.66"}</t>
        </is>
      </c>
      <c r="G66" t="inlineStr">
        <is>
          <t>Raw (Semrush)</t>
        </is>
      </c>
    </row>
    <row r="67">
      <c r="A67" t="inlineStr">
        <is>
          <t>org-ma-energiedin.com</t>
        </is>
      </c>
      <c r="B67" t="inlineStr">
        <is>
          <t>resource_organic</t>
        </is>
      </c>
      <c r="C67" t="inlineStr">
        <is>
          <t>ma</t>
        </is>
      </c>
      <c r="D67" t="inlineStr">
        <is>
          <t>energiedin.com</t>
        </is>
      </c>
      <c r="E67" t="inlineStr">
        <is>
          <t>2026-10-30T14:56:17+00:00</t>
        </is>
      </c>
      <c r="F67" t="inlineStr">
        <is>
          <t>{"Keyword": "agence web casablanca", "Position": "7", "Search Volume": "880", "CPC": "0.97", "Url": "https://www.energiedin.com/agence-digitale-casablanca/", "Traffic": "26", "Competition": "0.33", "Keyword Difficulty": "36.00", "Intents": "0", "Trends": "0.55,0.62,1.00,0.81,0.45,0.55,0.81,0.45,0.30,0.24,0.24,0.16"}</t>
        </is>
      </c>
      <c r="G67" t="inlineStr">
        <is>
          <t>Raw (Semrush)</t>
        </is>
      </c>
    </row>
    <row r="68">
      <c r="A68" t="inlineStr">
        <is>
          <t>org-ma-energiedin.com</t>
        </is>
      </c>
      <c r="B68" t="inlineStr">
        <is>
          <t>resource_organic</t>
        </is>
      </c>
      <c r="C68" t="inlineStr">
        <is>
          <t>ma</t>
        </is>
      </c>
      <c r="D68" t="inlineStr">
        <is>
          <t>energiedin.com</t>
        </is>
      </c>
      <c r="E68" t="inlineStr">
        <is>
          <t>2026-10-30T14:56:17+00:00</t>
        </is>
      </c>
      <c r="F68" t="inlineStr">
        <is>
          <t>{"Keyword": "agence marketing rabat", "Position": "5", "Search Volume": "880", "CPC": "0.35", "Url": "https://www.energiedin.com/agence-digitale-rabat/", "Traffic": "26", "Competition": "0.16", "Keyword Difficulty": "26.00", "Intents": "0", "Trends": "0.01,0.30,0.06,0.30,0.01,1.00,0.03,0.01,0.01,0.01,0.07,0.03"}</t>
        </is>
      </c>
      <c r="G68" t="inlineStr">
        <is>
          <t>Raw (Semrush)</t>
        </is>
      </c>
    </row>
    <row r="69">
      <c r="A69" t="inlineStr">
        <is>
          <t>org-ma-energiedin.com</t>
        </is>
      </c>
      <c r="B69" t="inlineStr">
        <is>
          <t>resource_organic</t>
        </is>
      </c>
      <c r="C69" t="inlineStr">
        <is>
          <t>ma</t>
        </is>
      </c>
      <c r="D69" t="inlineStr">
        <is>
          <t>energiedin.com</t>
        </is>
      </c>
      <c r="E69" t="inlineStr">
        <is>
          <t>2026-10-30T14:56:17+00:00</t>
        </is>
      </c>
      <c r="F69" t="inlineStr">
        <is>
          <t>{"Keyword": "agence seo maroc", "Position": "7", "Search Volume": "720", "CPC": "1.25", "Url": "https://www.energiedin.com/agence-referencement-naturel-seo/", "Traffic": "18", "Competition": "0.21", "Keyword Difficulty": "47.00", "Intents": "0", "Trends": "0.55,1.00,0.62,0.55,0.30,0.37,0.55,0.45,0.37,0.24,0.45,0.37"}</t>
        </is>
      </c>
      <c r="G69" t="inlineStr">
        <is>
          <t>Raw (Semrush)</t>
        </is>
      </c>
    </row>
    <row r="70">
      <c r="A70" t="inlineStr">
        <is>
          <t>org-ma-energiedin.com</t>
        </is>
      </c>
      <c r="B70" t="inlineStr">
        <is>
          <t>resource_organic</t>
        </is>
      </c>
      <c r="C70" t="inlineStr">
        <is>
          <t>ma</t>
        </is>
      </c>
      <c r="D70" t="inlineStr">
        <is>
          <t>energiedin.com</t>
        </is>
      </c>
      <c r="E70" t="inlineStr">
        <is>
          <t>2026-10-30T14:56:17+00:00</t>
        </is>
      </c>
      <c r="F70" t="inlineStr">
        <is>
          <t>{"Keyword": "marketing digital", "Position": "8", "Search Volume": "2400", "CPC": "0.46", "Url": "https://www.energiedin.com/marketing-digital/", "Traffic": "12", "Competition": "0.42", "Keyword Difficulty": "27.00", "Intents": "1", "Trends": "0.81,0.81,1.00,0.81,0.81,0.67,0.53,0.67,0.53,0.53,0.53,0.67"}</t>
        </is>
      </c>
      <c r="G70" t="inlineStr">
        <is>
          <t>Raw (Semrush)</t>
        </is>
      </c>
    </row>
    <row r="71">
      <c r="A71" t="inlineStr">
        <is>
          <t>org-ma-energiedin.com</t>
        </is>
      </c>
      <c r="B71" t="inlineStr">
        <is>
          <t>resource_organic</t>
        </is>
      </c>
      <c r="C71" t="inlineStr">
        <is>
          <t>ma</t>
        </is>
      </c>
      <c r="D71" t="inlineStr">
        <is>
          <t>energiedin.com</t>
        </is>
      </c>
      <c r="E71" t="inlineStr">
        <is>
          <t>2026-10-30T14:56:17+00:00</t>
        </is>
      </c>
      <c r="F71" t="inlineStr">
        <is>
          <t>{"Keyword": "agence web maroc", "Position": "5", "Search Volume": "390", "CPC": "0.78", "Url": "https://www.energiedin.com/", "Traffic": "11", "Competition": "0.21", "Keyword Difficulty": "44.00", "Intents": "0", "Trends": "0.54,0.54,0.54,0.44,0.67,0.67,1.00,0.44,0.67,0.44,0.54,0.54"}</t>
        </is>
      </c>
      <c r="G71" t="inlineStr">
        <is>
          <t>Raw (Semrush)</t>
        </is>
      </c>
    </row>
    <row r="72">
      <c r="A72" t="inlineStr">
        <is>
          <t>org-ma-energiedin.com</t>
        </is>
      </c>
      <c r="B72" t="inlineStr">
        <is>
          <t>resource_organic</t>
        </is>
      </c>
      <c r="C72" t="inlineStr">
        <is>
          <t>ma</t>
        </is>
      </c>
      <c r="D72" t="inlineStr">
        <is>
          <t>energiedin.com</t>
        </is>
      </c>
      <c r="E72" t="inlineStr">
        <is>
          <t>2026-10-30T14:56:17+00:00</t>
        </is>
      </c>
      <c r="F72" t="inlineStr">
        <is>
          <t>{"Keyword": "agence seo marrakech", "Position": "5", "Search Volume": "320", "CPC": "6.43", "Url": "https://www.energiedin.com/agence-seo-marrakech/", "Traffic": "9", "Competition": "0.08", "Keyword Difficulty": "20.00", "Intents": "0", "Trends": "0.54,0.81,0.81,0.81,0.44,0.35,0.35,0.54,0.44,1.00,1.00,0.35"}</t>
        </is>
      </c>
      <c r="G72" t="inlineStr">
        <is>
          <t>Raw (Semrush)</t>
        </is>
      </c>
    </row>
    <row r="73">
      <c r="A73" t="inlineStr">
        <is>
          <t>org-ma-energiedin.com</t>
        </is>
      </c>
      <c r="B73" t="inlineStr">
        <is>
          <t>resource_organic</t>
        </is>
      </c>
      <c r="C73" t="inlineStr">
        <is>
          <t>ma</t>
        </is>
      </c>
      <c r="D73" t="inlineStr">
        <is>
          <t>energiedin.com</t>
        </is>
      </c>
      <c r="E73" t="inlineStr">
        <is>
          <t>2026-10-30T14:56:17+00:00</t>
        </is>
      </c>
      <c r="F73" t="inlineStr">
        <is>
          <t>{"Keyword": "e commerce au maroc", "Position": "9", "Search Volume": "480", "CPC": "0.28", "Url": "https://www.energiedin.com/blog/e-commerce-maroc/", "Traffic": "2", "Competition": "0.33", "Keyword Difficulty": "11.00", "Intents": "1", "Trends": "0.82,1.00,0.82,0.67,0.82,0.67,0.67,0.67,0.54,0.54,0.54,0.54"}</t>
        </is>
      </c>
      <c r="G73" t="inlineStr">
        <is>
          <t>Raw (Semrush)</t>
        </is>
      </c>
    </row>
    <row r="74">
      <c r="A74" t="inlineStr">
        <is>
          <t>org-ma-energiedin.com</t>
        </is>
      </c>
      <c r="B74" t="inlineStr">
        <is>
          <t>resource_organic</t>
        </is>
      </c>
      <c r="C74" t="inlineStr">
        <is>
          <t>ma</t>
        </is>
      </c>
      <c r="D74" t="inlineStr">
        <is>
          <t>energiedin.com</t>
        </is>
      </c>
      <c r="E74" t="inlineStr">
        <is>
          <t>2026-10-30T14:56:17+00:00</t>
        </is>
      </c>
      <c r="F74" t="inlineStr">
        <is>
          <t>{"Keyword": "agence de marketing digital", "Position": "9", "Search Volume": "320", "CPC": "0.75", "Url": "https://www.energiedin.com/agence-digitale-marrakech/", "Traffic": "2", "Competition": "0.18", "Keyword Difficulty": "27.00", "Intents": "0", "Trends": "1.00,0.54,1.00,0.54,0.44,0.36,0.44,0.54,0.66,0.44,0.36,0.54"}</t>
        </is>
      </c>
      <c r="G74" t="inlineStr">
        <is>
          <t>Raw (Semrush)</t>
        </is>
      </c>
    </row>
    <row r="75">
      <c r="A75" t="inlineStr">
        <is>
          <t>org-ma-energiedin.com</t>
        </is>
      </c>
      <c r="B75" t="inlineStr">
        <is>
          <t>resource_organic</t>
        </is>
      </c>
      <c r="C75" t="inlineStr">
        <is>
          <t>ma</t>
        </is>
      </c>
      <c r="D75" t="inlineStr">
        <is>
          <t>energiedin.com</t>
        </is>
      </c>
      <c r="E75" t="inlineStr">
        <is>
          <t>2026-10-30T14:56:17+00:00</t>
        </is>
      </c>
      <c r="F75" t="inlineStr">
        <is>
          <t>{"Keyword": "agence web casablanca", "Position": "20", "Search Volume": "880", "CPC": "0.97", "Url": "https://www.energiedin.com/agence-web-casablanca/", "Traffic": "1", "Competition": "0.33", "Keyword Difficulty": "36.00", "Intents": "0", "Trends": "0.55,0.62,1.00,0.81,0.45,0.55,0.81,0.45,0.30,0.24,0.24,0.16"}</t>
        </is>
      </c>
      <c r="G75" t="inlineStr">
        <is>
          <t>Raw (Semrush)</t>
        </is>
      </c>
    </row>
    <row r="76">
      <c r="A76" t="inlineStr">
        <is>
          <t>org-ma-energiedin.com</t>
        </is>
      </c>
      <c r="B76" t="inlineStr">
        <is>
          <t>resource_organic</t>
        </is>
      </c>
      <c r="C76" t="inlineStr">
        <is>
          <t>ma</t>
        </is>
      </c>
      <c r="D76" t="inlineStr">
        <is>
          <t>energiedin.com</t>
        </is>
      </c>
      <c r="E76" t="inlineStr">
        <is>
          <t>2026-10-30T14:56:17+00:00</t>
        </is>
      </c>
      <c r="F76" t="inlineStr">
        <is>
          <t>{"Keyword": "agence de communication", "Position": "19", "Search Volume": "1300", "CPC": "0.44", "Url": "https://www.energiedin.com/agence-digitale-casablanca/", "Traffic": "1", "Competition": "0.13", "Keyword Difficulty": "53.00", "Intents": "3", "Trends": "0.68,0.53,1.00,0.84,0.53,0.53,0.53,1.00,0.53,0.84,0.53,0.53"}</t>
        </is>
      </c>
      <c r="G76" t="inlineStr">
        <is>
          <t>Raw (Semrush)</t>
        </is>
      </c>
    </row>
    <row r="77">
      <c r="A77" t="inlineStr">
        <is>
          <t>org-ma-energiedin.com</t>
        </is>
      </c>
      <c r="B77" t="inlineStr">
        <is>
          <t>resource_organic</t>
        </is>
      </c>
      <c r="C77" t="inlineStr">
        <is>
          <t>ma</t>
        </is>
      </c>
      <c r="D77" t="inlineStr">
        <is>
          <t>energiedin.com</t>
        </is>
      </c>
      <c r="E77" t="inlineStr">
        <is>
          <t>2026-10-30T14:56:17+00:00</t>
        </is>
      </c>
      <c r="F77" t="inlineStr">
        <is>
          <t>{"Keyword": "agence digitale maroc", "Position": "13", "Search Volume": "390", "CPC": "0.78", "Url": "https://www.energiedin.com/agence-digitale-rabat/", "Traffic": "1", "Competition": "0.22", "Keyword Difficulty": "50.00", "Intents": "0", "Trends": "1.00,1.00,0.67,0.54,0.44,0.81,0.81,0.81,0.54,0.81,0.67,0.81"}</t>
        </is>
      </c>
      <c r="G77" t="inlineStr">
        <is>
          <t>Raw (Semrush)</t>
        </is>
      </c>
    </row>
    <row r="78">
      <c r="A78" t="inlineStr">
        <is>
          <t>org-ma-energiedin.com</t>
        </is>
      </c>
      <c r="B78" t="inlineStr">
        <is>
          <t>resource_organic</t>
        </is>
      </c>
      <c r="C78" t="inlineStr">
        <is>
          <t>ma</t>
        </is>
      </c>
      <c r="D78" t="inlineStr">
        <is>
          <t>energiedin.com</t>
        </is>
      </c>
      <c r="E78" t="inlineStr">
        <is>
          <t>2026-10-30T14:56:17+00:00</t>
        </is>
      </c>
      <c r="F78" t="inlineStr">
        <is>
          <t>{"Keyword": "creation site web marrakech", "Position": "13", "Search Volume": "590", "CPC": "0.96", "Url": "https://www.energiedin.com/creation-site-web-marrakech/", "Traffic": "1", "Competition": "0.34", "Keyword Difficulty": "12.00", "Intents": "0", "Trends": "0.72,0.72,1.00,0.59,0.72,0.72,0.59,0.39,0.59,0.59,0.59,0.48"}</t>
        </is>
      </c>
      <c r="G78" t="inlineStr">
        <is>
          <t>Raw (Semrush)</t>
        </is>
      </c>
    </row>
    <row r="79">
      <c r="A79" t="inlineStr">
        <is>
          <t>org-ma-energiedin.com</t>
        </is>
      </c>
      <c r="B79" t="inlineStr">
        <is>
          <t>resource_organic</t>
        </is>
      </c>
      <c r="C79" t="inlineStr">
        <is>
          <t>ma</t>
        </is>
      </c>
      <c r="D79" t="inlineStr">
        <is>
          <t>energiedin.com</t>
        </is>
      </c>
      <c r="E79" t="inlineStr">
        <is>
          <t>2026-10-30T14:56:17+00:00</t>
        </is>
      </c>
      <c r="F79" t="inlineStr">
        <is>
          <t>{"Keyword": "seo maroc", "Position": "10", "Search Volume": "320", "CPC": "0.90", "Url": "https://www.energiedin.com/agence-referencement-naturel-seo/", "Traffic": "1", "Competition": "0.35", "Keyword Difficulty": "39.00", "Intents": "0", "Trends": "0.67,1.00,1.00,0.67,0.54,0.54,0.81,0.67,0.54,0.54,0.44,0.81"}</t>
        </is>
      </c>
      <c r="G79" t="inlineStr">
        <is>
          <t>Raw (Semrush)</t>
        </is>
      </c>
    </row>
    <row r="80">
      <c r="A80" t="inlineStr">
        <is>
          <t>org-ma-energiedin.com</t>
        </is>
      </c>
      <c r="B80" t="inlineStr">
        <is>
          <t>resource_organic</t>
        </is>
      </c>
      <c r="C80" t="inlineStr">
        <is>
          <t>ma</t>
        </is>
      </c>
      <c r="D80" t="inlineStr">
        <is>
          <t>energiedin.com</t>
        </is>
      </c>
      <c r="E80" t="inlineStr">
        <is>
          <t>2026-10-30T14:56:17+00:00</t>
        </is>
      </c>
      <c r="F80" t="inlineStr">
        <is>
          <t>{"Keyword": "seo maroc", "Position": "11", "Search Volume": "320", "CPC": "0.90", "Url": "https://www.energiedin.com/agence-referencement-naturel-seo/", "Traffic": "1", "Competition": "0.35", "Keyword Difficulty": "39.00", "Intents": "0", "Trends": "0.67,1.00,1.00,0.67,0.54,0.54,0.81,0.67,0.54,0.54,0.44,0.81"}</t>
        </is>
      </c>
      <c r="G80" t="inlineStr">
        <is>
          <t>Raw (Semrush)</t>
        </is>
      </c>
    </row>
    <row r="81">
      <c r="A81" t="inlineStr">
        <is>
          <t>org-ma-energiedin.com</t>
        </is>
      </c>
      <c r="B81" t="inlineStr">
        <is>
          <t>resource_organic</t>
        </is>
      </c>
      <c r="C81" t="inlineStr">
        <is>
          <t>ma</t>
        </is>
      </c>
      <c r="D81" t="inlineStr">
        <is>
          <t>energiedin.com</t>
        </is>
      </c>
      <c r="E81" t="inlineStr">
        <is>
          <t>2026-10-30T14:56:17+00:00</t>
        </is>
      </c>
      <c r="F81" t="inlineStr">
        <is>
          <t>{"Keyword": "agence de communication rabat", "Position": "11", "Search Volume": "390", "CPC": "0.47", "Url": "https://www.energiedin.com/agence-digitale-rabat/", "Traffic": "1", "Competition": "0.22", "Keyword Difficulty": "24.00", "Intents": "0", "Trends": "0.54,0.66,0.66,0.66,0.81,0.81,1.00,0.81,0.54,0.44,0.36,0.29"}</t>
        </is>
      </c>
      <c r="G81" t="inlineStr">
        <is>
          <t>Raw (Semrush)</t>
        </is>
      </c>
    </row>
    <row r="82">
      <c r="A82" t="inlineStr">
        <is>
          <t>org-ma-energiedin.com</t>
        </is>
      </c>
      <c r="B82" t="inlineStr">
        <is>
          <t>resource_organic</t>
        </is>
      </c>
      <c r="C82" t="inlineStr">
        <is>
          <t>ma</t>
        </is>
      </c>
      <c r="D82" t="inlineStr">
        <is>
          <t>energiedin.com</t>
        </is>
      </c>
      <c r="E82" t="inlineStr">
        <is>
          <t>2026-10-30T14:56:17+00:00</t>
        </is>
      </c>
      <c r="F82" t="inlineStr">
        <is>
          <t>{"Keyword": "agence de communication marrakech", "Position": "20", "Search Volume": "720", "CPC": "1.14", "Url": "https://www.energiedin.com/agence-digitale-marrakech/", "Traffic": "1", "Competition": "0.15", "Keyword Difficulty": "22.00", "Intents": "0", "Trends": "0.88,0.88,1.00,0.48,0.72,0.88,0.88,0.88,0.48,0.72,0.72,0.72"}</t>
        </is>
      </c>
      <c r="G82" t="inlineStr">
        <is>
          <t>Raw (Semrush)</t>
        </is>
      </c>
    </row>
    <row r="83">
      <c r="A83" t="inlineStr">
        <is>
          <t>org-ma-energiedin.com</t>
        </is>
      </c>
      <c r="B83" t="inlineStr">
        <is>
          <t>resource_organic</t>
        </is>
      </c>
      <c r="C83" t="inlineStr">
        <is>
          <t>ma</t>
        </is>
      </c>
      <c r="D83" t="inlineStr">
        <is>
          <t>energiedin.com</t>
        </is>
      </c>
      <c r="E83" t="inlineStr">
        <is>
          <t>2026-10-30T14:56:17+00:00</t>
        </is>
      </c>
      <c r="F83" t="inlineStr">
        <is>
          <t>{"Keyword": "agence de marketing digital", "Position": "11", "Search Volume": "320", "CPC": "0.75", "Url": "https://www.energiedin.com/agence-digitale-rabat/", "Traffic": "1", "Competition": "0.18", "Keyword Difficulty": "27.00", "Intents": "0", "Trends": "1.00,0.54,1.00,0.54,0.44,0.36,0.44,0.54,0.66,0.44,0.36,0.54"}</t>
        </is>
      </c>
      <c r="G83" t="inlineStr">
        <is>
          <t>Raw (Semrush)</t>
        </is>
      </c>
    </row>
    <row r="84">
      <c r="A84" t="inlineStr">
        <is>
          <t>org-ma-energiedin.com</t>
        </is>
      </c>
      <c r="B84" t="inlineStr">
        <is>
          <t>resource_organic</t>
        </is>
      </c>
      <c r="C84" t="inlineStr">
        <is>
          <t>ma</t>
        </is>
      </c>
      <c r="D84" t="inlineStr">
        <is>
          <t>energiedin.com</t>
        </is>
      </c>
      <c r="E84" t="inlineStr">
        <is>
          <t>2026-10-30T14:56:17+00:00</t>
        </is>
      </c>
      <c r="F84" t="inlineStr">
        <is>
          <t>{"Keyword": "creation site web tanger", "Position": "13", "Search Volume": "320", "CPC": "0.81", "Url": "https://www.energiedin.com/creation-site-web-tanger/", "Traffic": "0", "Competition": "0.18", "Keyword Difficulty": "10.00", "Intents": "0", "Trends": "0.15,0.29,0.36,0.81,1.00,0.81,1.00,1.00,0.54,0.36,0.44,0.19"}</t>
        </is>
      </c>
      <c r="G84" t="inlineStr">
        <is>
          <t>Raw (Semrush)</t>
        </is>
      </c>
    </row>
    <row r="85">
      <c r="A85" t="inlineStr">
        <is>
          <t>org-ma-energiedin.com</t>
        </is>
      </c>
      <c r="B85" t="inlineStr">
        <is>
          <t>resource_organic</t>
        </is>
      </c>
      <c r="C85" t="inlineStr">
        <is>
          <t>ma</t>
        </is>
      </c>
      <c r="D85" t="inlineStr">
        <is>
          <t>energiedin.com</t>
        </is>
      </c>
      <c r="E85" t="inlineStr">
        <is>
          <t>2026-10-30T14:56:17+00:00</t>
        </is>
      </c>
      <c r="F85" t="inlineStr">
        <is>
          <t>{"Keyword": "agence de communication à casablanca", "Position": "20", "Search Volume": "480", "CPC": "0.38", "Url": "https://www.energiedin.com/agence-digitale-casablanca/", "Traffic": "0", "Competition": "0.23", "Keyword Difficulty": "50.00", "Intents": "0", "Trends": "0.88,0.72,0.59,0.48,0.59,0.48,1.00,0.14,0.14,0.11,0.14,0.17"}</t>
        </is>
      </c>
      <c r="G85" t="inlineStr">
        <is>
          <t>Raw (Semrush)</t>
        </is>
      </c>
    </row>
    <row r="86">
      <c r="A86" t="inlineStr">
        <is>
          <t>org-ma-energiedin.com</t>
        </is>
      </c>
      <c r="B86" t="inlineStr">
        <is>
          <t>resource_organic</t>
        </is>
      </c>
      <c r="C86" t="inlineStr">
        <is>
          <t>ma</t>
        </is>
      </c>
      <c r="D86" t="inlineStr">
        <is>
          <t>energiedin.com</t>
        </is>
      </c>
      <c r="E86" t="inlineStr">
        <is>
          <t>2026-10-30T14:56:17+00:00</t>
        </is>
      </c>
      <c r="F86" t="inlineStr">
        <is>
          <t>{"Keyword": "agence digitale maroc", "Position": "58", "Search Volume": "390", "CPC": "0.78", "Url": "https://www.energiedin.com/agence-digitale-casablanca/", "Traffic": "0", "Competition": "0.22", "Keyword Difficulty": "50.00", "Intents": "0", "Trends": "1.00,1.00,0.67,0.54,0.44,0.81,0.81,0.81,0.54,0.81,0.67,0.81"}</t>
        </is>
      </c>
      <c r="G86" t="inlineStr">
        <is>
          <t>Raw (Semrush)</t>
        </is>
      </c>
    </row>
    <row r="87">
      <c r="A87" t="inlineStr">
        <is>
          <t>org-ma-energiedin.com</t>
        </is>
      </c>
      <c r="B87" t="inlineStr">
        <is>
          <t>resource_organic</t>
        </is>
      </c>
      <c r="C87" t="inlineStr">
        <is>
          <t>ma</t>
        </is>
      </c>
      <c r="D87" t="inlineStr">
        <is>
          <t>energiedin.com</t>
        </is>
      </c>
      <c r="E87" t="inlineStr">
        <is>
          <t>2026-10-30T14:56:17+00:00</t>
        </is>
      </c>
      <c r="F87" t="inlineStr">
        <is>
          <t>{"Keyword": "creation site web marrakech", "Position": "35", "Search Volume": "590", "CPC": "0.96", "Url": "https://www.energiedin.com/agence-web-marrakech/", "Traffic": "0", "Competition": "0.34", "Keyword Difficulty": "12.00", "Intents": "0", "Trends": "0.72,0.72,1.00,0.59,0.72,0.72,0.59,0.39,0.59,0.59,0.59,0.48"}</t>
        </is>
      </c>
      <c r="G87" t="inlineStr">
        <is>
          <t>Raw (Semrush)</t>
        </is>
      </c>
    </row>
    <row r="88">
      <c r="A88" t="inlineStr">
        <is>
          <t>org-ma-energiedin.com</t>
        </is>
      </c>
      <c r="B88" t="inlineStr">
        <is>
          <t>resource_organic</t>
        </is>
      </c>
      <c r="C88" t="inlineStr">
        <is>
          <t>ma</t>
        </is>
      </c>
      <c r="D88" t="inlineStr">
        <is>
          <t>energiedin.com</t>
        </is>
      </c>
      <c r="E88" t="inlineStr">
        <is>
          <t>2026-10-30T14:56:17+00:00</t>
        </is>
      </c>
      <c r="F88" t="inlineStr">
        <is>
          <t>{"Keyword": "digital marketing agency", "Position": "35", "Search Volume": "390", "CPC": "0.64", "Url": "https://www.energiedin.com/agence-digitale-casablanca/", "Traffic": "0", "Competition": "0.16", "Keyword Difficulty": "56.00", "Intents": "1", "Trends": "0.66,0.54,0.36,0.66,0.66,0.66,1.00,0.81,0.66,0.81,0.66,0.66"}</t>
        </is>
      </c>
      <c r="G88" t="inlineStr">
        <is>
          <t>Raw (Semrush)</t>
        </is>
      </c>
    </row>
    <row r="89">
      <c r="A89" t="inlineStr">
        <is>
          <t>org-ma-energiedin.com</t>
        </is>
      </c>
      <c r="B89" t="inlineStr">
        <is>
          <t>resource_organic</t>
        </is>
      </c>
      <c r="C89" t="inlineStr">
        <is>
          <t>ma</t>
        </is>
      </c>
      <c r="D89" t="inlineStr">
        <is>
          <t>energiedin.com</t>
        </is>
      </c>
      <c r="E89" t="inlineStr">
        <is>
          <t>2026-10-30T14:56:17+00:00</t>
        </is>
      </c>
      <c r="F89" t="inlineStr">
        <is>
          <t>{"Keyword": "agence de communication casablanca", "Position": "22", "Search Volume": "590", "CPC": "0.44", "Url": "https://www.energiedin.com/agence-digitale-casablanca/", "Traffic": "0", "Competition": "0.35", "Keyword Difficulty": "51.00", "Intents": "0", "Trends": "0.72,0.48,0.88,0.72,0.59,0.48,0.59,0.48,1.00,0.88,0.48,0.48"}</t>
        </is>
      </c>
      <c r="G89" t="inlineStr">
        <is>
          <t>Raw (Semrush)</t>
        </is>
      </c>
    </row>
    <row r="90">
      <c r="A90" t="inlineStr">
        <is>
          <t>org-ma-energiedin.com</t>
        </is>
      </c>
      <c r="B90" t="inlineStr">
        <is>
          <t>resource_organic</t>
        </is>
      </c>
      <c r="C90" t="inlineStr">
        <is>
          <t>ma</t>
        </is>
      </c>
      <c r="D90" t="inlineStr">
        <is>
          <t>energiedin.com</t>
        </is>
      </c>
      <c r="E90" t="inlineStr">
        <is>
          <t>2026-10-30T14:56:17+00:00</t>
        </is>
      </c>
      <c r="F90" t="inlineStr">
        <is>
          <t>{"Keyword": "e commerce maroc", "Position": "20", "Search Volume": "480", "CPC": "0.16", "Url": "https://www.energiedin.com/blog/e-commerce-maroc/", "Traffic": "0", "Competition": "0.21", "Keyword Difficulty": "11.00", "Intents": "1", "Trends": "0.67,0.67,0.82,1.00,0.82,0.67,0.82,0.67,0.67,0.67,0.54,0.54"}</t>
        </is>
      </c>
      <c r="G90" t="inlineStr">
        <is>
          <t>Raw (Semrush)</t>
        </is>
      </c>
    </row>
    <row r="91">
      <c r="A91" t="inlineStr">
        <is>
          <t>org-ma-energiedin.com</t>
        </is>
      </c>
      <c r="B91" t="inlineStr">
        <is>
          <t>resource_organic</t>
        </is>
      </c>
      <c r="C91" t="inlineStr">
        <is>
          <t>ma</t>
        </is>
      </c>
      <c r="D91" t="inlineStr">
        <is>
          <t>energiedin.com</t>
        </is>
      </c>
      <c r="E91" t="inlineStr">
        <is>
          <t>2026-10-30T14:56:17+00:00</t>
        </is>
      </c>
      <c r="F91" t="inlineStr">
        <is>
          <t>{"Keyword": "agence web marrakech", "Position": "36", "Search Volume": "390", "CPC": "1.01", "Url": "https://www.energiedin.com/agence-digitale-marrakech/", "Traffic": "0", "Competition": "0.26", "Keyword Difficulty": "39.00", "Intents": "0", "Trends": "0.54,0.44,0.36,0.44,0.44,0.66,0.66,0.66,1.00,0.81,0.66,0.54"}</t>
        </is>
      </c>
      <c r="G91" t="inlineStr">
        <is>
          <t>Raw (Semrush)</t>
        </is>
      </c>
    </row>
    <row r="92">
      <c r="A92" t="inlineStr">
        <is>
          <t>org-ma-hostino.ma</t>
        </is>
      </c>
      <c r="B92" t="inlineStr">
        <is>
          <t>resource_organic</t>
        </is>
      </c>
      <c r="C92" t="inlineStr">
        <is>
          <t>ma</t>
        </is>
      </c>
      <c r="D92" t="inlineStr">
        <is>
          <t>hostino.ma</t>
        </is>
      </c>
      <c r="E92" t="inlineStr">
        <is>
          <t>2026-10-30T14:56:15+00:00</t>
        </is>
      </c>
      <c r="F92" t="inlineStr">
        <is>
          <t>{"Keyword": "my business", "Position": "9", "Search Volume": "14800", "CPC": "1.78", "Url": "https://www.hostino.ma/google-my-business-maroc/", "Traffic": "370", "Competition": "0.02", "Keyword Difficulty": "38.00", "Intents": "1", "Trends": "1.00,1.00,0.82,0.82,1.00,1.00,1.00,1.00,1.00,0.82,0.82,0.82"}</t>
        </is>
      </c>
      <c r="G92" t="inlineStr">
        <is>
          <t>Raw (Semrush)</t>
        </is>
      </c>
    </row>
    <row r="93">
      <c r="A93" t="inlineStr">
        <is>
          <t>org-ma-hostino.ma</t>
        </is>
      </c>
      <c r="B93" t="inlineStr">
        <is>
          <t>resource_organic</t>
        </is>
      </c>
      <c r="C93" t="inlineStr">
        <is>
          <t>ma</t>
        </is>
      </c>
      <c r="D93" t="inlineStr">
        <is>
          <t>hostino.ma</t>
        </is>
      </c>
      <c r="E93" t="inlineStr">
        <is>
          <t>2026-10-30T14:56:15+00:00</t>
        </is>
      </c>
      <c r="F93" t="inlineStr">
        <is>
          <t>{"Keyword": "mon entreprise", "Position": "11", "Search Volume": "22200", "CPC": "1.01", "Url": "https://www.hostino.ma/google-my-business-maroc/", "Traffic": "88", "Competition": "0.01", "Keyword Difficulty": "53.00", "Intents": "1,3", "Trends": "1.00,1.00,1.00,1.00,1.00,1.00,1.00,1.00,0.82,0.82,0.82,0.67"}</t>
        </is>
      </c>
      <c r="G93" t="inlineStr">
        <is>
          <t>Raw (Semrush)</t>
        </is>
      </c>
    </row>
    <row r="94">
      <c r="A94" t="inlineStr">
        <is>
          <t>org-ma-hostino.ma</t>
        </is>
      </c>
      <c r="B94" t="inlineStr">
        <is>
          <t>resource_organic</t>
        </is>
      </c>
      <c r="C94" t="inlineStr">
        <is>
          <t>ma</t>
        </is>
      </c>
      <c r="D94" t="inlineStr">
        <is>
          <t>hostino.ma</t>
        </is>
      </c>
      <c r="E94" t="inlineStr">
        <is>
          <t>2026-10-30T14:56:15+00:00</t>
        </is>
      </c>
      <c r="F94" t="inlineStr">
        <is>
          <t>{"Keyword": "web hosting", "Position": "5", "Search Volume": "2400", "CPC": "0.79", "Url": "https://www.hostino.ma/", "Traffic": "72", "Competition": "0.40", "Keyword Difficulty": "65.00", "Intents": "1", "Trends": "0.03,0.04,0.03,0.04,0.03,0.03,0.36,1.00,0.82,0.19,0.19,0.06"}</t>
        </is>
      </c>
      <c r="G94" t="inlineStr">
        <is>
          <t>Raw (Semrush)</t>
        </is>
      </c>
    </row>
    <row r="95">
      <c r="A95" t="inlineStr">
        <is>
          <t>org-ma-hostino.ma</t>
        </is>
      </c>
      <c r="B95" t="inlineStr">
        <is>
          <t>resource_organic</t>
        </is>
      </c>
      <c r="C95" t="inlineStr">
        <is>
          <t>ma</t>
        </is>
      </c>
      <c r="D95" t="inlineStr">
        <is>
          <t>hostino.ma</t>
        </is>
      </c>
      <c r="E95" t="inlineStr">
        <is>
          <t>2026-10-30T14:56:15+00:00</t>
        </is>
      </c>
      <c r="F95" t="inlineStr">
        <is>
          <t>{"Keyword": "agence seo maroc", "Position": "2", "Search Volume": "720", "CPC": "1.25", "Url": "https://www.hostino.ma/agence-seo-maroc/", "Traffic": "36", "Competition": "0.21", "Keyword Difficulty": "47.00", "Intents": "0", "Trends": "0.55,1.00,0.62,0.55,0.30,0.37,0.55,0.45,0.37,0.24,0.45,0.37"}</t>
        </is>
      </c>
      <c r="G95" t="inlineStr">
        <is>
          <t>Raw (Semrush)</t>
        </is>
      </c>
    </row>
    <row r="96">
      <c r="A96" t="inlineStr">
        <is>
          <t>org-ma-hostino.ma</t>
        </is>
      </c>
      <c r="B96" t="inlineStr">
        <is>
          <t>resource_organic</t>
        </is>
      </c>
      <c r="C96" t="inlineStr">
        <is>
          <t>ma</t>
        </is>
      </c>
      <c r="D96" t="inlineStr">
        <is>
          <t>hostino.ma</t>
        </is>
      </c>
      <c r="E96" t="inlineStr">
        <is>
          <t>2026-10-30T14:56:15+00:00</t>
        </is>
      </c>
      <c r="F96" t="inlineStr">
        <is>
          <t>{"Keyword": "creation site web maroc", "Position": "5", "Search Volume": "1000", "CPC": "0.77", "Url": "https://www.hostino.ma/creation-site-web-maroc/", "Traffic": "30", "Competition": "0.22", "Keyword Difficulty": "22.00", "Intents": "1", "Trends": "0.77,0.77,1.00,1.00,0.77,0.68,0.77,1.00,0.77,0.77,0.55,0.68"}</t>
        </is>
      </c>
      <c r="G96" t="inlineStr">
        <is>
          <t>Raw (Semrush)</t>
        </is>
      </c>
    </row>
    <row r="97">
      <c r="A97" t="inlineStr">
        <is>
          <t>org-ma-hostino.ma</t>
        </is>
      </c>
      <c r="B97" t="inlineStr">
        <is>
          <t>resource_organic</t>
        </is>
      </c>
      <c r="C97" t="inlineStr">
        <is>
          <t>ma</t>
        </is>
      </c>
      <c r="D97" t="inlineStr">
        <is>
          <t>hostino.ma</t>
        </is>
      </c>
      <c r="E97" t="inlineStr">
        <is>
          <t>2026-10-30T14:56:15+00:00</t>
        </is>
      </c>
      <c r="F97" t="inlineStr">
        <is>
          <t>{"Keyword": "seo maroc", "Position": "2", "Search Volume": "320", "CPC": "0.90", "Url": "https://www.hostino.ma/agence-seo-maroc/", "Traffic": "28", "Competition": "0.35", "Keyword Difficulty": "39.00", "Intents": "0", "Trends": "0.67,1.00,1.00,0.67,0.54,0.54,0.81,0.67,0.54,0.54,0.44,0.81"}</t>
        </is>
      </c>
      <c r="G97" t="inlineStr">
        <is>
          <t>Raw (Semrush)</t>
        </is>
      </c>
    </row>
    <row r="98">
      <c r="A98" t="inlineStr">
        <is>
          <t>org-ma-hostino.ma</t>
        </is>
      </c>
      <c r="B98" t="inlineStr">
        <is>
          <t>resource_organic</t>
        </is>
      </c>
      <c r="C98" t="inlineStr">
        <is>
          <t>ma</t>
        </is>
      </c>
      <c r="D98" t="inlineStr">
        <is>
          <t>hostino.ma</t>
        </is>
      </c>
      <c r="E98" t="inlineStr">
        <is>
          <t>2026-10-30T14:56:15+00:00</t>
        </is>
      </c>
      <c r="F98" t="inlineStr">
        <is>
          <t>{"Keyword": "nom de domaine maroc", "Position": "8", "Search Volume": "880", "CPC": "0.57", "Url": "https://www.hostino.ma/nom-de-domaine-ma/", "Traffic": "26", "Competition": "0.41", "Keyword Difficulty": "42.00", "Intents": "1", "Trends": "1.00,1.00,1.00,1.00,1.00,1.00,1.00,1.00,1.00,1.00,0.82,0.82"}</t>
        </is>
      </c>
      <c r="G98" t="inlineStr">
        <is>
          <t>Raw (Semrush)</t>
        </is>
      </c>
    </row>
    <row r="99">
      <c r="A99" t="inlineStr">
        <is>
          <t>org-ma-hostino.ma</t>
        </is>
      </c>
      <c r="B99" t="inlineStr">
        <is>
          <t>resource_organic</t>
        </is>
      </c>
      <c r="C99" t="inlineStr">
        <is>
          <t>ma</t>
        </is>
      </c>
      <c r="D99" t="inlineStr">
        <is>
          <t>hostino.ma</t>
        </is>
      </c>
      <c r="E99" t="inlineStr">
        <is>
          <t>2026-10-30T14:56:15+00:00</t>
        </is>
      </c>
      <c r="F99" t="inlineStr">
        <is>
          <t>{"Keyword": "domaine ma", "Position": "9", "Search Volume": "720", "CPC": "0.38", "Url": "https://www.hostino.ma/nom-de-domaine-ma/", "Traffic": "18", "Competition": "0.67", "Keyword Difficulty": "42.00", "Intents": "0", "Trends": "0.82,0.82,0.82,0.82,0.82,0.82,0.82,0.82,1.00,1.00,1.00,0.82"}</t>
        </is>
      </c>
      <c r="G99" t="inlineStr">
        <is>
          <t>Raw (Semrush)</t>
        </is>
      </c>
    </row>
    <row r="100">
      <c r="A100" t="inlineStr">
        <is>
          <t>org-ma-hostino.ma</t>
        </is>
      </c>
      <c r="B100" t="inlineStr">
        <is>
          <t>resource_organic</t>
        </is>
      </c>
      <c r="C100" t="inlineStr">
        <is>
          <t>ma</t>
        </is>
      </c>
      <c r="D100" t="inlineStr">
        <is>
          <t>hostino.ma</t>
        </is>
      </c>
      <c r="E100" t="inlineStr">
        <is>
          <t>2026-10-30T14:56:15+00:00</t>
        </is>
      </c>
      <c r="F100" t="inlineStr">
        <is>
          <t>{"Keyword": "creation site web tanger", "Position": "3", "Search Volume": "320", "CPC": "0.81", "Url": "https://www.hostino.ma/creation-site-web-tanger/", "Traffic": "16", "Competition": "0.18", "Keyword Difficulty": "10.00", "Intents": "0", "Trends": "0.15,0.29,0.36,0.81,1.00,0.81,1.00,1.00,0.54,0.36,0.44,0.19"}</t>
        </is>
      </c>
      <c r="G100" t="inlineStr">
        <is>
          <t>Raw (Semrush)</t>
        </is>
      </c>
    </row>
    <row r="101">
      <c r="A101" t="inlineStr">
        <is>
          <t>org-ma-hostino.ma</t>
        </is>
      </c>
      <c r="B101" t="inlineStr">
        <is>
          <t>resource_organic</t>
        </is>
      </c>
      <c r="C101" t="inlineStr">
        <is>
          <t>ma</t>
        </is>
      </c>
      <c r="D101" t="inlineStr">
        <is>
          <t>hostino.ma</t>
        </is>
      </c>
      <c r="E101" t="inlineStr">
        <is>
          <t>2026-10-30T14:56:15+00:00</t>
        </is>
      </c>
      <c r="F101" t="inlineStr">
        <is>
          <t>{"Keyword": "mon entreprise", "Position": "29", "Search Volume": "22200", "CPC": "1.01", "Url": "https://www.hostino.ma/google-my-business-maroc/", "Traffic": "15", "Competition": "0.01", "Keyword Difficulty": "53.00", "Intents": "1,3", "Trends": "1.00,1.00,1.00,1.00,1.00,1.00,1.00,1.00,0.82,0.82,0.82,0.67"}</t>
        </is>
      </c>
      <c r="G101" t="inlineStr">
        <is>
          <t>Raw (Semrush)</t>
        </is>
      </c>
    </row>
    <row r="102">
      <c r="A102" t="inlineStr">
        <is>
          <t>org-ma-hostino.ma</t>
        </is>
      </c>
      <c r="B102" t="inlineStr">
        <is>
          <t>resource_organic</t>
        </is>
      </c>
      <c r="C102" t="inlineStr">
        <is>
          <t>ma</t>
        </is>
      </c>
      <c r="D102" t="inlineStr">
        <is>
          <t>hostino.ma</t>
        </is>
      </c>
      <c r="E102" t="inlineStr">
        <is>
          <t>2026-10-30T14:56:15+00:00</t>
        </is>
      </c>
      <c r="F102" t="inlineStr">
        <is>
          <t>{"Keyword": "hébergement web maroc", "Position": "5", "Search Volume": "480", "CPC": "0.75", "Url": "https://www.hostino.ma/", "Traffic": "14", "Competition": "0.31", "Keyword Difficulty": "55.00", "Intents": "", "Trends": "1.00,0.67,0.55,0.82,0.55,0.30,0.30,0.55,0.36,0.30,0.30,0.44"}</t>
        </is>
      </c>
      <c r="G102" t="inlineStr">
        <is>
          <t>Raw (Semrush)</t>
        </is>
      </c>
    </row>
    <row r="103">
      <c r="A103" t="inlineStr">
        <is>
          <t>org-ma-hostino.ma</t>
        </is>
      </c>
      <c r="B103" t="inlineStr">
        <is>
          <t>resource_organic</t>
        </is>
      </c>
      <c r="C103" t="inlineStr">
        <is>
          <t>ma</t>
        </is>
      </c>
      <c r="D103" t="inlineStr">
        <is>
          <t>hostino.ma</t>
        </is>
      </c>
      <c r="E103" t="inlineStr">
        <is>
          <t>2026-10-30T14:56:15+00:00</t>
        </is>
      </c>
      <c r="F103" t="inlineStr">
        <is>
          <t>{"Keyword": "hebergement web maroc", "Position": "5", "Search Volume": "480", "CPC": "0.75", "Url": "https://www.hostino.ma/", "Traffic": "14", "Competition": "0.31", "Keyword Difficulty": "62.00", "Intents": "", "Trends": "1.00,0.67,0.55,0.82,0.55,0.30,0.30,0.55,0.36,0.30,0.30,0.44"}</t>
        </is>
      </c>
      <c r="G103" t="inlineStr">
        <is>
          <t>Raw (Semrush)</t>
        </is>
      </c>
    </row>
    <row r="104">
      <c r="A104" t="inlineStr">
        <is>
          <t>org-ma-hostino.ma</t>
        </is>
      </c>
      <c r="B104" t="inlineStr">
        <is>
          <t>resource_organic</t>
        </is>
      </c>
      <c r="C104" t="inlineStr">
        <is>
          <t>ma</t>
        </is>
      </c>
      <c r="D104" t="inlineStr">
        <is>
          <t>hostino.ma</t>
        </is>
      </c>
      <c r="E104" t="inlineStr">
        <is>
          <t>2026-10-30T14:56:15+00:00</t>
        </is>
      </c>
      <c r="F104" t="inlineStr">
        <is>
          <t>{"Keyword": "nom de domaine au maroc", "Position": "9", "Search Volume": "1000", "CPC": "0.51", "Url": "https://www.hostino.ma/nom-de-domaine-ma/", "Traffic": "13", "Competition": "0.48", "Keyword Difficulty": "42.00", "Intents": "1", "Trends": "0.68,0.68,0.68,0.68,0.68,0.77,0.77,0.77,0.77,0.77,1.00,1.00"}</t>
        </is>
      </c>
      <c r="G104" t="inlineStr">
        <is>
          <t>Raw (Semrush)</t>
        </is>
      </c>
    </row>
    <row r="105">
      <c r="A105" t="inlineStr">
        <is>
          <t>org-ma-hostino.ma</t>
        </is>
      </c>
      <c r="B105" t="inlineStr">
        <is>
          <t>resource_organic</t>
        </is>
      </c>
      <c r="C105" t="inlineStr">
        <is>
          <t>ma</t>
        </is>
      </c>
      <c r="D105" t="inlineStr">
        <is>
          <t>hostino.ma</t>
        </is>
      </c>
      <c r="E105" t="inlineStr">
        <is>
          <t>2026-10-30T14:56:15+00:00</t>
        </is>
      </c>
      <c r="F105" t="inlineStr">
        <is>
          <t>{"Keyword": "nom de domaine ma", "Position": "10", "Search Volume": "1000", "CPC": "0.51", "Url": "https://www.hostino.ma/nom-de-domaine-ma/", "Traffic": "7", "Competition": "0.48", "Keyword Difficulty": "47.00", "Intents": "", "Trends": "0.68,0.68,0.68,0.68,0.68,0.77,0.77,0.77,0.77,0.77,1.00,1.00"}</t>
        </is>
      </c>
      <c r="G105" t="inlineStr">
        <is>
          <t>Raw (Semrush)</t>
        </is>
      </c>
    </row>
    <row r="106">
      <c r="A106" t="inlineStr">
        <is>
          <t>org-ma-hostino.ma</t>
        </is>
      </c>
      <c r="B106" t="inlineStr">
        <is>
          <t>resource_organic</t>
        </is>
      </c>
      <c r="C106" t="inlineStr">
        <is>
          <t>ma</t>
        </is>
      </c>
      <c r="D106" t="inlineStr">
        <is>
          <t>hostino.ma</t>
        </is>
      </c>
      <c r="E106" t="inlineStr">
        <is>
          <t>2026-10-30T14:56:15+00:00</t>
        </is>
      </c>
      <c r="F106" t="inlineStr">
        <is>
          <t>{"Keyword": "domaine maroc", "Position": "9", "Search Volume": "720", "CPC": "0.42", "Url": "https://www.hostino.ma/nom-de-domaine-ma/", "Traffic": "5", "Competition": "0.67", "Keyword Difficulty": "47.00", "Intents": "1", "Trends": "0.82,0.82,0.82,0.82,0.82,0.82,1.00,1.00,1.00,0.82,0.67,0.82"}</t>
        </is>
      </c>
      <c r="G106" t="inlineStr">
        <is>
          <t>Raw (Semrush)</t>
        </is>
      </c>
    </row>
    <row r="107">
      <c r="A107" t="inlineStr">
        <is>
          <t>org-ma-hostino.ma</t>
        </is>
      </c>
      <c r="B107" t="inlineStr">
        <is>
          <t>resource_organic</t>
        </is>
      </c>
      <c r="C107" t="inlineStr">
        <is>
          <t>ma</t>
        </is>
      </c>
      <c r="D107" t="inlineStr">
        <is>
          <t>hostino.ma</t>
        </is>
      </c>
      <c r="E107" t="inlineStr">
        <is>
          <t>2026-10-30T14:56:15+00:00</t>
        </is>
      </c>
      <c r="F107" t="inlineStr">
        <is>
          <t>{"Keyword": "ma domain", "Position": "13", "Search Volume": "1000", "CPC": "0.44", "Url": "https://www.hostino.ma/nom-de-domaine-ma/", "Traffic": "4", "Competition": "0.57", "Keyword Difficulty": "45.00", "Intents": "1", "Trends": "0.77,0.77,0.77,0.68,0.55,1.00,0.77,1.00,0.77,0.77,0.77,0.68"}</t>
        </is>
      </c>
      <c r="G107" t="inlineStr">
        <is>
          <t>Raw (Semrush)</t>
        </is>
      </c>
    </row>
    <row r="108">
      <c r="A108" t="inlineStr">
        <is>
          <t>org-ma-hostino.ma</t>
        </is>
      </c>
      <c r="B108" t="inlineStr">
        <is>
          <t>resource_organic</t>
        </is>
      </c>
      <c r="C108" t="inlineStr">
        <is>
          <t>ma</t>
        </is>
      </c>
      <c r="D108" t="inlineStr">
        <is>
          <t>hostino.ma</t>
        </is>
      </c>
      <c r="E108" t="inlineStr">
        <is>
          <t>2026-10-30T14:56:15+00:00</t>
        </is>
      </c>
      <c r="F108" t="inlineStr">
        <is>
          <t>{"Keyword": "agence seo marrakech", "Position": "8", "Search Volume": "320", "CPC": "6.43", "Url": "https://www.hostino.ma/agence-seo-marrakech/", "Traffic": "4", "Competition": "0.08", "Keyword Difficulty": "20.00", "Intents": "0", "Trends": "0.54,0.81,0.81,0.81,0.44,0.35,0.35,0.54,0.44,1.00,1.00,0.35"}</t>
        </is>
      </c>
      <c r="G108" t="inlineStr">
        <is>
          <t>Raw (Semrush)</t>
        </is>
      </c>
    </row>
    <row r="109">
      <c r="A109" t="inlineStr">
        <is>
          <t>org-ma-hostino.ma</t>
        </is>
      </c>
      <c r="B109" t="inlineStr">
        <is>
          <t>resource_organic</t>
        </is>
      </c>
      <c r="C109" t="inlineStr">
        <is>
          <t>ma</t>
        </is>
      </c>
      <c r="D109" t="inlineStr">
        <is>
          <t>hostino.ma</t>
        </is>
      </c>
      <c r="E109" t="inlineStr">
        <is>
          <t>2026-10-30T14:56:15+00:00</t>
        </is>
      </c>
      <c r="F109" t="inlineStr">
        <is>
          <t>{"Keyword": "domaine", "Position": "31", "Search Volume": "4400", "CPC": "0.53", "Url": "https://www.hostino.ma/nom-de-domaine-ma/", "Traffic": "3", "Competition": "0.43", "Keyword Difficulty": "52.00", "Intents": "1", "Trends": "0.82,0.82,1.00,1.00,1.00,1.00,0.82,1.00,1.00,1.00,1.00,0.82"}</t>
        </is>
      </c>
      <c r="G109" t="inlineStr">
        <is>
          <t>Raw (Semrush)</t>
        </is>
      </c>
    </row>
    <row r="110">
      <c r="A110" t="inlineStr">
        <is>
          <t>org-ma-hostino.ma</t>
        </is>
      </c>
      <c r="B110" t="inlineStr">
        <is>
          <t>resource_organic</t>
        </is>
      </c>
      <c r="C110" t="inlineStr">
        <is>
          <t>ma</t>
        </is>
      </c>
      <c r="D110" t="inlineStr">
        <is>
          <t>hostino.ma</t>
        </is>
      </c>
      <c r="E110" t="inlineStr">
        <is>
          <t>2026-10-30T14:56:15+00:00</t>
        </is>
      </c>
      <c r="F110" t="inlineStr">
        <is>
          <t>{"Keyword": "siteinfo", "Position": "19", "Search Volume": "6600", "CPC": "0.00", "Url": "https://www.hostino.ma/", "Traffic": "1", "Competition": "0.00", "Keyword Difficulty": "42.00", "Intents": "2", "Trends": "0.81,0.81,0.81,0.81,1.00,0.81,0.67,0.67,0.81,0.67,0.67,0.67"}</t>
        </is>
      </c>
      <c r="G110" t="inlineStr">
        <is>
          <t>Raw (Semrush)</t>
        </is>
      </c>
    </row>
    <row r="111">
      <c r="A111" t="inlineStr">
        <is>
          <t>org-ma-hostino.ma</t>
        </is>
      </c>
      <c r="B111" t="inlineStr">
        <is>
          <t>resource_organic</t>
        </is>
      </c>
      <c r="C111" t="inlineStr">
        <is>
          <t>ma</t>
        </is>
      </c>
      <c r="D111" t="inlineStr">
        <is>
          <t>hostino.ma</t>
        </is>
      </c>
      <c r="E111" t="inlineStr">
        <is>
          <t>2026-10-30T14:56:15+00:00</t>
        </is>
      </c>
      <c r="F111" t="inlineStr">
        <is>
          <t>{"Keyword": "hebergement web", "Position": "12", "Search Volume": "320", "CPC": "1.00", "Url": "https://www.hostino.ma/", "Traffic": "1", "Competition": "0.68", "Keyword Difficulty": "49.00", "Intents": "1", "Trends": "0.82,0.82,1.00,0.82,0.82,0.67,0.82,0.67,0.82,0.67,0.54,0.67"}</t>
        </is>
      </c>
      <c r="G111" t="inlineStr">
        <is>
          <t>Raw (Semrush)</t>
        </is>
      </c>
    </row>
    <row r="112">
      <c r="A112" t="inlineStr">
        <is>
          <t>org-ma-hostino.ma</t>
        </is>
      </c>
      <c r="B112" t="inlineStr">
        <is>
          <t>resource_organic</t>
        </is>
      </c>
      <c r="C112" t="inlineStr">
        <is>
          <t>ma</t>
        </is>
      </c>
      <c r="D112" t="inlineStr">
        <is>
          <t>hostino.ma</t>
        </is>
      </c>
      <c r="E112" t="inlineStr">
        <is>
          <t>2026-10-30T14:56:15+00:00</t>
        </is>
      </c>
      <c r="F112" t="inlineStr">
        <is>
          <t>{"Keyword": "buy domain", "Position": "33", "Search Volume": "590", "CPC": "0.86", "Url": "https://www.hostino.ma/en/ma-domain-name/", "Traffic": "0", "Competition": "0.75", "Keyword Difficulty": "67.00", "Intents": "1", "Trends": "1.00,1.00,1.00,0.81,0.66,1.00,1.00,1.00,0.81,1.00,0.81,1.00"}</t>
        </is>
      </c>
      <c r="G112" t="inlineStr">
        <is>
          <t>Raw (Semrush)</t>
        </is>
      </c>
    </row>
    <row r="113">
      <c r="A113" t="inlineStr">
        <is>
          <t>org-ma-hostino.ma</t>
        </is>
      </c>
      <c r="B113" t="inlineStr">
        <is>
          <t>resource_organic</t>
        </is>
      </c>
      <c r="C113" t="inlineStr">
        <is>
          <t>ma</t>
        </is>
      </c>
      <c r="D113" t="inlineStr">
        <is>
          <t>hostino.ma</t>
        </is>
      </c>
      <c r="E113" t="inlineStr">
        <is>
          <t>2026-10-30T14:56:15+00:00</t>
        </is>
      </c>
      <c r="F113" t="inlineStr">
        <is>
          <t>{"Keyword": "nom domaine", "Position": "32", "Search Volume": "320", "CPC": "0.59", "Url": "https://www.hostino.ma/nom-de-domaine-ma/", "Traffic": "0", "Competition": "0.75", "Keyword Difficulty": "45.00", "Intents": "1", "Trends": "0.82,1.00,0.82,0.82,0.82,1.00,1.00,1.00,1.00,0.82,0.82,0.82"}</t>
        </is>
      </c>
      <c r="G113" t="inlineStr">
        <is>
          <t>Raw (Semrush)</t>
        </is>
      </c>
    </row>
    <row r="114">
      <c r="A114" t="inlineStr">
        <is>
          <t>org-ma-hostino.ma</t>
        </is>
      </c>
      <c r="B114" t="inlineStr">
        <is>
          <t>resource_organic</t>
        </is>
      </c>
      <c r="C114" t="inlineStr">
        <is>
          <t>ma</t>
        </is>
      </c>
      <c r="D114" t="inlineStr">
        <is>
          <t>hostino.ma</t>
        </is>
      </c>
      <c r="E114" t="inlineStr">
        <is>
          <t>2026-10-30T14:56:15+00:00</t>
        </is>
      </c>
      <c r="F114" t="inlineStr">
        <is>
          <t>{"Keyword": "email professionnel", "Position": "18", "Search Volume": "320", "CPC": "1.07", "Url": "https://www.hostino.ma/email-professionnel/", "Traffic": "0", "Competition": "0.54", "Keyword Difficulty": "36.00", "Intents": "1", "Trends": "1.00,0.82,1.00,0.82,0.44,0.44,0.67,0.67,0.67,1.00,0.67,0.82"}</t>
        </is>
      </c>
      <c r="G114" t="inlineStr">
        <is>
          <t>Raw (Semrush)</t>
        </is>
      </c>
    </row>
    <row r="115">
      <c r="A115" t="inlineStr">
        <is>
          <t>org-ma-hostino.ma</t>
        </is>
      </c>
      <c r="B115" t="inlineStr">
        <is>
          <t>resource_organic</t>
        </is>
      </c>
      <c r="C115" t="inlineStr">
        <is>
          <t>ma</t>
        </is>
      </c>
      <c r="D115" t="inlineStr">
        <is>
          <t>hostino.ma</t>
        </is>
      </c>
      <c r="E115" t="inlineStr">
        <is>
          <t>2026-10-30T14:56:15+00:00</t>
        </is>
      </c>
      <c r="F115" t="inlineStr">
        <is>
          <t>{"Keyword": "email professionnel", "Position": "20", "Search Volume": "320", "CPC": "1.07", "Url": "https://www.hostino.ma/email-professionnel/", "Traffic": "0", "Competition": "0.54", "Keyword Difficulty": "36.00", "Intents": "1", "Trends": "1.00,0.82,1.00,0.82,0.44,0.44,0.67,0.67,0.67,1.00,0.67,0.82"}</t>
        </is>
      </c>
      <c r="G115" t="inlineStr">
        <is>
          <t>Raw (Semrush)</t>
        </is>
      </c>
    </row>
    <row r="116">
      <c r="A116" t="inlineStr">
        <is>
          <t>org-ma-hostino.ma</t>
        </is>
      </c>
      <c r="B116" t="inlineStr">
        <is>
          <t>resource_organic</t>
        </is>
      </c>
      <c r="C116" t="inlineStr">
        <is>
          <t>ma</t>
        </is>
      </c>
      <c r="D116" t="inlineStr">
        <is>
          <t>hostino.ma</t>
        </is>
      </c>
      <c r="E116" t="inlineStr">
        <is>
          <t>2026-10-30T14:56:15+00:00</t>
        </is>
      </c>
      <c r="F116" t="inlineStr">
        <is>
          <t>{"Keyword": "nom de domaine maroc", "Position": "80", "Search Volume": "880", "CPC": "0.57", "Url": "https://www.hostino.ma/en/ma-domain-name/", "Traffic": "0", "Competition": "0.41", "Keyword Difficulty": "42.00", "Intents": "1", "Trends": "1.00,1.00,1.00,1.00,1.00,1.00,1.00,1.00,1.00,1.00,0.82,0.82"}</t>
        </is>
      </c>
      <c r="G116" t="inlineStr">
        <is>
          <t>Raw (Semrush)</t>
        </is>
      </c>
    </row>
    <row r="117">
      <c r="A117" t="inlineStr">
        <is>
          <t>org-ma-rhillane.com</t>
        </is>
      </c>
      <c r="B117" t="inlineStr">
        <is>
          <t>resource_organic</t>
        </is>
      </c>
      <c r="C117" t="inlineStr">
        <is>
          <t>ma</t>
        </is>
      </c>
      <c r="D117" t="inlineStr">
        <is>
          <t>rhillane.com</t>
        </is>
      </c>
      <c r="E117" t="inlineStr">
        <is>
          <t>2026-10-30T14:56:16+00:00</t>
        </is>
      </c>
      <c r="F117" t="inlineStr">
        <is>
          <t>{"Keyword": "agence de marketing digital", "Position": "1", "Search Volume": "320", "CPC": "0.75", "Url": "https://rhillane.com/", "Traffic": "150", "Competition": "0.18", "Keyword Difficulty": "27.00", "Intents": "0", "Trends": "1.00,0.54,1.00,0.54,0.44,0.36,0.44,0.54,0.66,0.44,0.36,0.54"}</t>
        </is>
      </c>
      <c r="G117" t="inlineStr">
        <is>
          <t>Raw (Semrush)</t>
        </is>
      </c>
    </row>
    <row r="118">
      <c r="A118" t="inlineStr">
        <is>
          <t>org-ma-rhillane.com</t>
        </is>
      </c>
      <c r="B118" t="inlineStr">
        <is>
          <t>resource_organic</t>
        </is>
      </c>
      <c r="C118" t="inlineStr">
        <is>
          <t>ma</t>
        </is>
      </c>
      <c r="D118" t="inlineStr">
        <is>
          <t>rhillane.com</t>
        </is>
      </c>
      <c r="E118" t="inlineStr">
        <is>
          <t>2026-10-30T14:56:16+00:00</t>
        </is>
      </c>
      <c r="F118" t="inlineStr">
        <is>
          <t>{"Keyword": "marketing agency", "Position": "1", "Search Volume": "720", "CPC": "0.69", "Url": "https://rhillane.com/", "Traffic": "93", "Competition": "0.11", "Keyword Difficulty": "37.00", "Intents": "1", "Trends": "0.72,0.72,0.48,0.88,0.59,0.59,0.72,1.00,0.59,1.00,0.88,0.72"}</t>
        </is>
      </c>
      <c r="G118" t="inlineStr">
        <is>
          <t>Raw (Semrush)</t>
        </is>
      </c>
    </row>
    <row r="119">
      <c r="A119" t="inlineStr">
        <is>
          <t>org-ma-rhillane.com</t>
        </is>
      </c>
      <c r="B119" t="inlineStr">
        <is>
          <t>resource_organic</t>
        </is>
      </c>
      <c r="C119" t="inlineStr">
        <is>
          <t>ma</t>
        </is>
      </c>
      <c r="D119" t="inlineStr">
        <is>
          <t>rhillane.com</t>
        </is>
      </c>
      <c r="E119" t="inlineStr">
        <is>
          <t>2026-10-30T14:56:16+00:00</t>
        </is>
      </c>
      <c r="F119" t="inlineStr">
        <is>
          <t>{"Keyword": "agence web casablanca", "Position": "1", "Search Volume": "880", "CPC": "0.97", "Url": "https://rhillane.com/creation-site-web-casablanca/", "Traffic": "61", "Competition": "0.33", "Keyword Difficulty": "36.00", "Intents": "0", "Trends": "0.55,0.62,1.00,0.81,0.45,0.55,0.81,0.45,0.30,0.24,0.24,0.16"}</t>
        </is>
      </c>
      <c r="G119" t="inlineStr">
        <is>
          <t>Raw (Semrush)</t>
        </is>
      </c>
    </row>
    <row r="120">
      <c r="A120" t="inlineStr">
        <is>
          <t>org-ma-rhillane.com</t>
        </is>
      </c>
      <c r="B120" t="inlineStr">
        <is>
          <t>resource_organic</t>
        </is>
      </c>
      <c r="C120" t="inlineStr">
        <is>
          <t>ma</t>
        </is>
      </c>
      <c r="D120" t="inlineStr">
        <is>
          <t>rhillane.com</t>
        </is>
      </c>
      <c r="E120" t="inlineStr">
        <is>
          <t>2026-10-30T14:56:16+00:00</t>
        </is>
      </c>
      <c r="F120" t="inlineStr">
        <is>
          <t>{"Keyword": "agence marketing digital", "Position": "1", "Search Volume": "590", "CPC": "0.72", "Url": "https://rhillane.com/", "Traffic": "41", "Competition": "0.17", "Keyword Difficulty": "51.00", "Intents": "0", "Trends": "0.48,0.26,1.00,0.59,0.48,0.39,0.39,0.72,1.00,0.72,0.39,0.59"}</t>
        </is>
      </c>
      <c r="G120" t="inlineStr">
        <is>
          <t>Raw (Semrush)</t>
        </is>
      </c>
    </row>
    <row r="121">
      <c r="A121" t="inlineStr">
        <is>
          <t>org-ma-rhillane.com</t>
        </is>
      </c>
      <c r="B121" t="inlineStr">
        <is>
          <t>resource_organic</t>
        </is>
      </c>
      <c r="C121" t="inlineStr">
        <is>
          <t>ma</t>
        </is>
      </c>
      <c r="D121" t="inlineStr">
        <is>
          <t>rhillane.com</t>
        </is>
      </c>
      <c r="E121" t="inlineStr">
        <is>
          <t>2026-10-30T14:56:16+00:00</t>
        </is>
      </c>
      <c r="F121" t="inlineStr">
        <is>
          <t>{"Keyword": "digital marketing agency", "Position": "1", "Search Volume": "390", "CPC": "0.64", "Url": "https://rhillane.com/", "Traffic": "35", "Competition": "0.16", "Keyword Difficulty": "56.00", "Intents": "1", "Trends": "0.66,0.54,0.36,0.66,0.66,0.66,1.00,0.81,0.66,0.81,0.66,0.66"}</t>
        </is>
      </c>
      <c r="G121" t="inlineStr">
        <is>
          <t>Raw (Semrush)</t>
        </is>
      </c>
    </row>
    <row r="122">
      <c r="A122" t="inlineStr">
        <is>
          <t>org-ma-rhillane.com</t>
        </is>
      </c>
      <c r="B122" t="inlineStr">
        <is>
          <t>resource_organic</t>
        </is>
      </c>
      <c r="C122" t="inlineStr">
        <is>
          <t>ma</t>
        </is>
      </c>
      <c r="D122" t="inlineStr">
        <is>
          <t>rhillane.com</t>
        </is>
      </c>
      <c r="E122" t="inlineStr">
        <is>
          <t>2026-10-30T14:56:16+00:00</t>
        </is>
      </c>
      <c r="F122" t="inlineStr">
        <is>
          <t>{"Keyword": "agence web", "Position": "2", "Search Volume": "480", "CPC": "0.65", "Url": "https://rhillane.com/", "Traffic": "33", "Competition": "0.22", "Keyword Difficulty": "25.00", "Intents": "0", "Trends": "0.67,0.54,0.82,0.67,0.67,1.00,0.67,0.67,0.67,0.67,0.54,0.44"}</t>
        </is>
      </c>
      <c r="G122" t="inlineStr">
        <is>
          <t>Raw (Semrush)</t>
        </is>
      </c>
    </row>
    <row r="123">
      <c r="A123" t="inlineStr">
        <is>
          <t>org-ma-rhillane.com</t>
        </is>
      </c>
      <c r="B123" t="inlineStr">
        <is>
          <t>resource_organic</t>
        </is>
      </c>
      <c r="C123" t="inlineStr">
        <is>
          <t>ma</t>
        </is>
      </c>
      <c r="D123" t="inlineStr">
        <is>
          <t>rhillane.com</t>
        </is>
      </c>
      <c r="E123" t="inlineStr">
        <is>
          <t>2026-10-30T14:56:16+00:00</t>
        </is>
      </c>
      <c r="F123" t="inlineStr">
        <is>
          <t>{"Keyword": "creation site web maroc", "Position": "3", "Search Volume": "1000", "CPC": "0.77", "Url": "https://rhillane.com/blog/prix-creation-site-web-maroc/", "Traffic": "30", "Competition": "0.22", "Keyword Difficulty": "22.00", "Intents": "1", "Trends": "0.77,0.77,1.00,1.00,0.77,0.68,0.77,1.00,0.77,0.77,0.55,0.68"}</t>
        </is>
      </c>
      <c r="G123" t="inlineStr">
        <is>
          <t>Raw (Semrush)</t>
        </is>
      </c>
    </row>
    <row r="124">
      <c r="A124" t="inlineStr">
        <is>
          <t>org-ma-rhillane.com</t>
        </is>
      </c>
      <c r="B124" t="inlineStr">
        <is>
          <t>resource_organic</t>
        </is>
      </c>
      <c r="C124" t="inlineStr">
        <is>
          <t>ma</t>
        </is>
      </c>
      <c r="D124" t="inlineStr">
        <is>
          <t>rhillane.com</t>
        </is>
      </c>
      <c r="E124" t="inlineStr">
        <is>
          <t>2026-10-30T14:56:16+00:00</t>
        </is>
      </c>
      <c r="F124" t="inlineStr">
        <is>
          <t>{"Keyword": "agence web maroc", "Position": "1", "Search Volume": "390", "CPC": "0.78", "Url": "https://rhillane.com/", "Traffic": "27", "Competition": "0.21", "Keyword Difficulty": "44.00", "Intents": "0", "Trends": "0.54,0.54,0.54,0.44,0.67,0.67,1.00,0.44,0.67,0.44,0.54,0.54"}</t>
        </is>
      </c>
      <c r="G124" t="inlineStr">
        <is>
          <t>Raw (Semrush)</t>
        </is>
      </c>
    </row>
    <row r="125">
      <c r="A125" t="inlineStr">
        <is>
          <t>org-ma-rhillane.com</t>
        </is>
      </c>
      <c r="B125" t="inlineStr">
        <is>
          <t>resource_organic</t>
        </is>
      </c>
      <c r="C125" t="inlineStr">
        <is>
          <t>ma</t>
        </is>
      </c>
      <c r="D125" t="inlineStr">
        <is>
          <t>rhillane.com</t>
        </is>
      </c>
      <c r="E125" t="inlineStr">
        <is>
          <t>2026-10-30T14:56:16+00:00</t>
        </is>
      </c>
      <c r="F125" t="inlineStr">
        <is>
          <t>{"Keyword": "boite de communication casablanca", "Position": "12", "Search Volume": "6600", "CPC": "0.40", "Url": "https://rhillane.com/", "Traffic": "26", "Competition": "0.58", "Keyword Difficulty": "38.00", "Intents": "0", "Trends": "1.00,0.11,0.01,0.01,0.16,0.01,0.01,0.67,0.02,0.01,0.01,0.01"}</t>
        </is>
      </c>
      <c r="G125" t="inlineStr">
        <is>
          <t>Raw (Semrush)</t>
        </is>
      </c>
    </row>
    <row r="126">
      <c r="A126" t="inlineStr">
        <is>
          <t>org-ma-rhillane.com</t>
        </is>
      </c>
      <c r="B126" t="inlineStr">
        <is>
          <t>resource_organic</t>
        </is>
      </c>
      <c r="C126" t="inlineStr">
        <is>
          <t>ma</t>
        </is>
      </c>
      <c r="D126" t="inlineStr">
        <is>
          <t>rhillane.com</t>
        </is>
      </c>
      <c r="E126" t="inlineStr">
        <is>
          <t>2026-10-30T14:56:16+00:00</t>
        </is>
      </c>
      <c r="F126" t="inlineStr">
        <is>
          <t>{"Keyword": "ajanef", "Position": "4", "Search Volume": "880", "CPC": "0.00", "Url": "https://rhillane.com/portfolio/ajanef/", "Traffic": "26", "Competition": "0.01", "Keyword Difficulty": "33.00", "Intents": "3", "Trends": "0.11,0.07,0.05,0.06,0.06,0.04,0.06,0.07,0.09,0.09,0.30,1.00"}</t>
        </is>
      </c>
      <c r="G126" t="inlineStr">
        <is>
          <t>Raw (Semrush)</t>
        </is>
      </c>
    </row>
    <row r="127">
      <c r="A127" t="inlineStr">
        <is>
          <t>org-ma-rhillane.com</t>
        </is>
      </c>
      <c r="B127" t="inlineStr">
        <is>
          <t>resource_organic</t>
        </is>
      </c>
      <c r="C127" t="inlineStr">
        <is>
          <t>ma</t>
        </is>
      </c>
      <c r="D127" t="inlineStr">
        <is>
          <t>rhillane.com</t>
        </is>
      </c>
      <c r="E127" t="inlineStr">
        <is>
          <t>2026-10-30T14:56:16+00:00</t>
        </is>
      </c>
      <c r="F127" t="inlineStr">
        <is>
          <t>{"Keyword": "e commerce au maroc", "Position": "2", "Search Volume": "480", "CPC": "0.28", "Url": "https://rhillane.com/blog/e-commerce-maroc/", "Traffic": "24", "Competition": "0.33", "Keyword Difficulty": "11.00", "Intents": "1", "Trends": "0.82,1.00,0.82,0.67,0.82,0.67,0.67,0.67,0.54,0.54,0.54,0.54"}</t>
        </is>
      </c>
      <c r="G127" t="inlineStr">
        <is>
          <t>Raw (Semrush)</t>
        </is>
      </c>
    </row>
    <row r="128">
      <c r="A128" t="inlineStr">
        <is>
          <t>org-ma-rhillane.com</t>
        </is>
      </c>
      <c r="B128" t="inlineStr">
        <is>
          <t>resource_organic</t>
        </is>
      </c>
      <c r="C128" t="inlineStr">
        <is>
          <t>ma</t>
        </is>
      </c>
      <c r="D128" t="inlineStr">
        <is>
          <t>rhillane.com</t>
        </is>
      </c>
      <c r="E128" t="inlineStr">
        <is>
          <t>2026-10-30T14:56:16+00:00</t>
        </is>
      </c>
      <c r="F128" t="inlineStr">
        <is>
          <t>{"Keyword": "agence de marketing", "Position": "1", "Search Volume": "480", "CPC": "0.47", "Url": "https://rhillane.com/", "Traffic": "19", "Competition": "0.09", "Keyword Difficulty": "47.00", "Intents": "0", "Trends": "0.39,0.48,0.48,0.32,0.48,0.32,0.39,0.72,0.48,1.00,0.48,0.32"}</t>
        </is>
      </c>
      <c r="G128" t="inlineStr">
        <is>
          <t>Raw (Semrush)</t>
        </is>
      </c>
    </row>
    <row r="129">
      <c r="A129" t="inlineStr">
        <is>
          <t>org-ma-rhillane.com</t>
        </is>
      </c>
      <c r="B129" t="inlineStr">
        <is>
          <t>resource_organic</t>
        </is>
      </c>
      <c r="C129" t="inlineStr">
        <is>
          <t>ma</t>
        </is>
      </c>
      <c r="D129" t="inlineStr">
        <is>
          <t>rhillane.com</t>
        </is>
      </c>
      <c r="E129" t="inlineStr">
        <is>
          <t>2026-10-30T14:56:16+00:00</t>
        </is>
      </c>
      <c r="F129" t="inlineStr">
        <is>
          <t>{"Keyword": "agence marketing", "Position": "1", "Search Volume": "480", "CPC": "0.47", "Url": "https://rhillane.com/", "Traffic": "19", "Competition": "0.10", "Keyword Difficulty": "47.00", "Intents": "0", "Trends": "0.67,0.67,0.54,0.67,0.54,0.82,0.82,1.00,0.44,0.82,0.54,0.54"}</t>
        </is>
      </c>
      <c r="G129" t="inlineStr">
        <is>
          <t>Raw (Semrush)</t>
        </is>
      </c>
    </row>
    <row r="130">
      <c r="A130" t="inlineStr">
        <is>
          <t>org-ma-rhillane.com</t>
        </is>
      </c>
      <c r="B130" t="inlineStr">
        <is>
          <t>resource_organic</t>
        </is>
      </c>
      <c r="C130" t="inlineStr">
        <is>
          <t>ma</t>
        </is>
      </c>
      <c r="D130" t="inlineStr">
        <is>
          <t>rhillane.com</t>
        </is>
      </c>
      <c r="E130" t="inlineStr">
        <is>
          <t>2026-10-30T14:56:16+00:00</t>
        </is>
      </c>
      <c r="F130" t="inlineStr">
        <is>
          <t>{"Keyword": "creation site web tanger", "Position": "2", "Search Volume": "320", "CPC": "0.81", "Url": "https://rhillane.com/creation-siteweb-tanger/", "Traffic": "16", "Competition": "0.18", "Keyword Difficulty": "10.00", "Intents": "0", "Trends": "0.15,0.29,0.36,0.81,1.00,0.81,1.00,1.00,0.54,0.36,0.44,0.19"}</t>
        </is>
      </c>
      <c r="G130" t="inlineStr">
        <is>
          <t>Raw (Semrush)</t>
        </is>
      </c>
    </row>
    <row r="131">
      <c r="A131" t="inlineStr">
        <is>
          <t>org-ma-rhillane.com</t>
        </is>
      </c>
      <c r="B131" t="inlineStr">
        <is>
          <t>resource_organic</t>
        </is>
      </c>
      <c r="C131" t="inlineStr">
        <is>
          <t>ma</t>
        </is>
      </c>
      <c r="D131" t="inlineStr">
        <is>
          <t>rhillane.com</t>
        </is>
      </c>
      <c r="E131" t="inlineStr">
        <is>
          <t>2026-10-30T14:56:16+00:00</t>
        </is>
      </c>
      <c r="F131" t="inlineStr">
        <is>
          <t>{"Keyword": "agence de communication", "Position": "7", "Search Volume": "1300", "CPC": "0.44", "Url": "https://rhillane.com/", "Traffic": "16", "Competition": "0.13", "Keyword Difficulty": "53.00", "Intents": "3", "Trends": "0.68,0.53,1.00,0.84,0.53,0.53,0.53,1.00,0.53,0.84,0.53,0.53"}</t>
        </is>
      </c>
      <c r="G131" t="inlineStr">
        <is>
          <t>Raw (Semrush)</t>
        </is>
      </c>
    </row>
    <row r="132">
      <c r="A132" t="inlineStr">
        <is>
          <t>org-ma-rhillane.com</t>
        </is>
      </c>
      <c r="B132" t="inlineStr">
        <is>
          <t>resource_organic</t>
        </is>
      </c>
      <c r="C132" t="inlineStr">
        <is>
          <t>ma</t>
        </is>
      </c>
      <c r="D132" t="inlineStr">
        <is>
          <t>rhillane.com</t>
        </is>
      </c>
      <c r="E132" t="inlineStr">
        <is>
          <t>2026-10-30T14:56:16+00:00</t>
        </is>
      </c>
      <c r="F132" t="inlineStr">
        <is>
          <t>{"Keyword": "agence de communication rabat", "Position": "4", "Search Volume": "390", "CPC": "0.47", "Url": "https://rhillane.com/agence-de-communication-rabat/", "Traffic": "15", "Competition": "0.22", "Keyword Difficulty": "24.00", "Intents": "0", "Trends": "0.54,0.66,0.66,0.66,0.81,0.81,1.00,0.81,0.54,0.44,0.36,0.29"}</t>
        </is>
      </c>
      <c r="G132" t="inlineStr">
        <is>
          <t>Raw (Semrush)</t>
        </is>
      </c>
    </row>
    <row r="133">
      <c r="A133" t="inlineStr">
        <is>
          <t>org-ma-rhillane.com</t>
        </is>
      </c>
      <c r="B133" t="inlineStr">
        <is>
          <t>resource_organic</t>
        </is>
      </c>
      <c r="C133" t="inlineStr">
        <is>
          <t>ma</t>
        </is>
      </c>
      <c r="D133" t="inlineStr">
        <is>
          <t>rhillane.com</t>
        </is>
      </c>
      <c r="E133" t="inlineStr">
        <is>
          <t>2026-10-30T14:56:16+00:00</t>
        </is>
      </c>
      <c r="F133" t="inlineStr">
        <is>
          <t>{"Keyword": "agence de communication à casablanca", "Position": "5", "Search Volume": "480", "CPC": "0.38", "Url": "https://rhillane.com/", "Traffic": "14", "Competition": "0.23", "Keyword Difficulty": "50.00", "Intents": "0", "Trends": "0.88,0.72,0.59,0.48,0.59,0.48,1.00,0.14,0.14,0.11,0.14,0.17"}</t>
        </is>
      </c>
      <c r="G133" t="inlineStr">
        <is>
          <t>Raw (Semrush)</t>
        </is>
      </c>
    </row>
    <row r="134">
      <c r="A134" t="inlineStr">
        <is>
          <t>org-ma-rhillane.com</t>
        </is>
      </c>
      <c r="B134" t="inlineStr">
        <is>
          <t>resource_organic</t>
        </is>
      </c>
      <c r="C134" t="inlineStr">
        <is>
          <t>ma</t>
        </is>
      </c>
      <c r="D134" t="inlineStr">
        <is>
          <t>rhillane.com</t>
        </is>
      </c>
      <c r="E134" t="inlineStr">
        <is>
          <t>2026-10-30T14:56:16+00:00</t>
        </is>
      </c>
      <c r="F134" t="inlineStr">
        <is>
          <t>{"Keyword": "démarche marketing", "Position": "4", "Search Volume": "480", "CPC": "0.41", "Url": "https://rhillane.com/blog/demarche-marketing/", "Traffic": "14", "Competition": "0.11", "Keyword Difficulty": "20.00", "Intents": "1", "Trends": "0.67,1.00,0.82,0.82,0.67,0.67,0.67,0.82,0.54,0.44,0.29,0.19"}</t>
        </is>
      </c>
      <c r="G134" t="inlineStr">
        <is>
          <t>Raw (Semrush)</t>
        </is>
      </c>
    </row>
    <row r="135">
      <c r="A135" t="inlineStr">
        <is>
          <t>org-ma-rhillane.com</t>
        </is>
      </c>
      <c r="B135" t="inlineStr">
        <is>
          <t>resource_organic</t>
        </is>
      </c>
      <c r="C135" t="inlineStr">
        <is>
          <t>ma</t>
        </is>
      </c>
      <c r="D135" t="inlineStr">
        <is>
          <t>rhillane.com</t>
        </is>
      </c>
      <c r="E135" t="inlineStr">
        <is>
          <t>2026-10-30T14:56:16+00:00</t>
        </is>
      </c>
      <c r="F135" t="inlineStr">
        <is>
          <t>{"Keyword": "agence digitale maroc", "Position": "3", "Search Volume": "390", "CPC": "0.78", "Url": "https://rhillane.com/", "Traffic": "11", "Competition": "0.22", "Keyword Difficulty": "50.00", "Intents": "0", "Trends": "1.00,1.00,0.67,0.54,0.44,0.81,0.81,0.81,0.54,0.81,0.67,0.81"}</t>
        </is>
      </c>
      <c r="G135" t="inlineStr">
        <is>
          <t>Raw (Semrush)</t>
        </is>
      </c>
    </row>
    <row r="136">
      <c r="A136" t="inlineStr">
        <is>
          <t>org-ma-rhillane.com</t>
        </is>
      </c>
      <c r="B136" t="inlineStr">
        <is>
          <t>resource_organic</t>
        </is>
      </c>
      <c r="C136" t="inlineStr">
        <is>
          <t>ma</t>
        </is>
      </c>
      <c r="D136" t="inlineStr">
        <is>
          <t>rhillane.com</t>
        </is>
      </c>
      <c r="E136" t="inlineStr">
        <is>
          <t>2026-10-30T14:56:16+00:00</t>
        </is>
      </c>
      <c r="F136" t="inlineStr">
        <is>
          <t>{"Keyword": "communication au maroc", "Position": "5", "Search Volume": "390", "CPC": "0.00", "Url": "https://rhillane.com/", "Traffic": "11", "Competition": "0.05", "Keyword Difficulty": "9.00", "Intents": "1", "Trends": "0.04,1.00,0.01,0.00,0.01,0.00,0.00,0.00,0.00,0.00,0.00,0.00"}</t>
        </is>
      </c>
      <c r="G136" t="inlineStr">
        <is>
          <t>Raw (Semrush)</t>
        </is>
      </c>
    </row>
    <row r="137">
      <c r="A137" t="inlineStr">
        <is>
          <t>org-ma-rhillane.com</t>
        </is>
      </c>
      <c r="B137" t="inlineStr">
        <is>
          <t>resource_organic</t>
        </is>
      </c>
      <c r="C137" t="inlineStr">
        <is>
          <t>ma</t>
        </is>
      </c>
      <c r="D137" t="inlineStr">
        <is>
          <t>rhillane.com</t>
        </is>
      </c>
      <c r="E137" t="inlineStr">
        <is>
          <t>2026-10-30T14:56:16+00:00</t>
        </is>
      </c>
      <c r="F137" t="inlineStr">
        <is>
          <t>{"Keyword": "agence marketing digital casablanca", "Position": "5", "Search Volume": "390", "CPC": "0.62", "Url": "https://rhillane.com/", "Traffic": "11", "Competition": "0.16", "Keyword Difficulty": "39.00", "Intents": "0", "Trends": "0.44,0.29,0.81,0.54,0.81,0.36,0.44,0.81,0.81,0.81,1.00,0.81"}</t>
        </is>
      </c>
      <c r="G137" t="inlineStr">
        <is>
          <t>Raw (Semrush)</t>
        </is>
      </c>
    </row>
    <row r="138">
      <c r="A138" t="inlineStr">
        <is>
          <t>org-ma-rhillane.com</t>
        </is>
      </c>
      <c r="B138" t="inlineStr">
        <is>
          <t>resource_organic</t>
        </is>
      </c>
      <c r="C138" t="inlineStr">
        <is>
          <t>ma</t>
        </is>
      </c>
      <c r="D138" t="inlineStr">
        <is>
          <t>rhillane.com</t>
        </is>
      </c>
      <c r="E138" t="inlineStr">
        <is>
          <t>2026-10-30T14:56:16+00:00</t>
        </is>
      </c>
      <c r="F138" t="inlineStr">
        <is>
          <t>{"Keyword": "cpa marketing", "Position": "3", "Search Volume": "320", "CPC": "0.73", "Url": "https://rhillane.com/blog/cpa-marketing/", "Traffic": "9", "Competition": "0.23", "Keyword Difficulty": "16.00", "Intents": "1", "Trends": "0.67,1.00,0.81,0.67,0.67,0.81,0.54,0.44,0.54,0.44,0.44,0.35"}</t>
        </is>
      </c>
      <c r="G138" t="inlineStr">
        <is>
          <t>Raw (Semrush)</t>
        </is>
      </c>
    </row>
    <row r="139">
      <c r="A139" t="inlineStr">
        <is>
          <t>org-ma-rhillane.com</t>
        </is>
      </c>
      <c r="B139" t="inlineStr">
        <is>
          <t>resource_organic</t>
        </is>
      </c>
      <c r="C139" t="inlineStr">
        <is>
          <t>ma</t>
        </is>
      </c>
      <c r="D139" t="inlineStr">
        <is>
          <t>rhillane.com</t>
        </is>
      </c>
      <c r="E139" t="inlineStr">
        <is>
          <t>2026-10-30T14:56:16+00:00</t>
        </is>
      </c>
      <c r="F139" t="inlineStr">
        <is>
          <t>{"Keyword": "agence seo marrakech", "Position": "4", "Search Volume": "320", "CPC": "6.43", "Url": "https://rhillane.com/marrakech-seo-expert/", "Traffic": "9", "Competition": "0.08", "Keyword Difficulty": "20.00", "Intents": "0", "Trends": "0.54,0.81,0.81,0.81,0.44,0.35,0.35,0.54,0.44,1.00,1.00,0.35"}</t>
        </is>
      </c>
      <c r="G139" t="inlineStr">
        <is>
          <t>Raw (Semrush)</t>
        </is>
      </c>
    </row>
    <row r="140">
      <c r="A140" t="inlineStr">
        <is>
          <t>org-ma-rhillane.com</t>
        </is>
      </c>
      <c r="B140" t="inlineStr">
        <is>
          <t>resource_organic</t>
        </is>
      </c>
      <c r="C140" t="inlineStr">
        <is>
          <t>ma</t>
        </is>
      </c>
      <c r="D140" t="inlineStr">
        <is>
          <t>rhillane.com</t>
        </is>
      </c>
      <c r="E140" t="inlineStr">
        <is>
          <t>2026-10-30T14:56:16+00:00</t>
        </is>
      </c>
      <c r="F140" t="inlineStr">
        <is>
          <t>{"Keyword": "affiliate marketing", "Position": "19", "Search Volume": "5400", "CPC": "7.15", "Url": "https://rhillane.com/blog/marketing-affiliation/", "Traffic": "8", "Competition": "0.22", "Keyword Difficulty": "30.00", "Intents": "1", "Trends": "0.13,0.13,0.13,0.13,0.11,0.11,0.30,1.00,1.00,0.67,0.45,0.20"}</t>
        </is>
      </c>
      <c r="G140" t="inlineStr">
        <is>
          <t>Raw (Semrush)</t>
        </is>
      </c>
    </row>
    <row r="141">
      <c r="A141" t="inlineStr">
        <is>
          <t>org-ma-rhillane.com</t>
        </is>
      </c>
      <c r="B141" t="inlineStr">
        <is>
          <t>resource_organic</t>
        </is>
      </c>
      <c r="C141" t="inlineStr">
        <is>
          <t>ma</t>
        </is>
      </c>
      <c r="D141" t="inlineStr">
        <is>
          <t>rhillane.com</t>
        </is>
      </c>
      <c r="E141" t="inlineStr">
        <is>
          <t>2026-10-30T14:56:16+00:00</t>
        </is>
      </c>
      <c r="F141" t="inlineStr">
        <is>
          <t>{"Keyword": "seo", "Position": "22", "Search Volume": "4400", "CPC": "0.53", "Url": "https://rhillane.com/blog/seo-marketing/", "Traffic": "6", "Competition": "0.15", "Keyword Difficulty": "64.00", "Intents": "1", "Trends": "0.20,0.20,0.13,0.20,0.16,0.16,0.13,1.00,0.82,0.20,0.16,0.16"}</t>
        </is>
      </c>
      <c r="G141" t="inlineStr">
        <is>
          <t>Raw (Semrush)</t>
        </is>
      </c>
    </row>
    <row r="142">
      <c r="A142" t="inlineStr">
        <is>
          <t>org-ma-urikacloud.com</t>
        </is>
      </c>
      <c r="B142" t="inlineStr">
        <is>
          <t>resource_organic</t>
        </is>
      </c>
      <c r="C142" t="inlineStr">
        <is>
          <t>ma</t>
        </is>
      </c>
      <c r="D142" t="inlineStr">
        <is>
          <t>urikacloud.com</t>
        </is>
      </c>
      <c r="E142" t="inlineStr">
        <is>
          <t>2026-10-30T14:56:18+00:00</t>
        </is>
      </c>
      <c r="F142" t="inlineStr">
        <is>
          <t>{"Keyword": "seo maroc", "Position": "1", "Search Volume": "320", "CPC": "0.90", "Url": "https://urikacloud.com/seo-maroc.htm", "Traffic": "41", "Competition": "0.35", "Keyword Difficulty": "39.00", "Intents": "0", "Trends": "0.67,1.00,1.00,0.67,0.54,0.54,0.81,0.67,0.54,0.54,0.44,0.81"}</t>
        </is>
      </c>
      <c r="G142" t="inlineStr">
        <is>
          <t>Raw (Semrush)</t>
        </is>
      </c>
    </row>
    <row r="143">
      <c r="A143" t="inlineStr">
        <is>
          <t>org-ma-urikacloud.com</t>
        </is>
      </c>
      <c r="B143" t="inlineStr">
        <is>
          <t>resource_organic</t>
        </is>
      </c>
      <c r="C143" t="inlineStr">
        <is>
          <t>ma</t>
        </is>
      </c>
      <c r="D143" t="inlineStr">
        <is>
          <t>urikacloud.com</t>
        </is>
      </c>
      <c r="E143" t="inlineStr">
        <is>
          <t>2026-10-30T14:56:18+00:00</t>
        </is>
      </c>
      <c r="F143" t="inlineStr">
        <is>
          <t>{"Keyword": "comptable casablanca", "Position": "2", "Search Volume": "720", "CPC": "0.34", "Url": "https://urikacloud.com/comptable-casablanca-maroc.htm", "Traffic": "36", "Competition": "0.21", "Keyword Difficulty": "40.00", "Intents": "0", "Trends": "1.00,1.00,0.67,0.67,0.82,0.67,0.55,1.00,0.67,0.67,0.67,0.55"}</t>
        </is>
      </c>
      <c r="G143" t="inlineStr">
        <is>
          <t>Raw (Semrush)</t>
        </is>
      </c>
    </row>
    <row r="144">
      <c r="A144" t="inlineStr">
        <is>
          <t>org-ma-urikacloud.com</t>
        </is>
      </c>
      <c r="B144" t="inlineStr">
        <is>
          <t>resource_organic</t>
        </is>
      </c>
      <c r="C144" t="inlineStr">
        <is>
          <t>ma</t>
        </is>
      </c>
      <c r="D144" t="inlineStr">
        <is>
          <t>urikacloud.com</t>
        </is>
      </c>
      <c r="E144" t="inlineStr">
        <is>
          <t>2026-10-30T14:56:18+00:00</t>
        </is>
      </c>
      <c r="F144" t="inlineStr">
        <is>
          <t>{"Keyword": "agence web marrakech", "Position": "1", "Search Volume": "390", "CPC": "1.01", "Url": "https://urikacloud.com/agence-creation-site-web-marrakech.htm", "Traffic": "27", "Competition": "0.26", "Keyword Difficulty": "39.00", "Intents": "0", "Trends": "0.54,0.44,0.36,0.44,0.44,0.66,0.66,0.66,1.00,0.81,0.66,0.54"}</t>
        </is>
      </c>
      <c r="G144" t="inlineStr">
        <is>
          <t>Raw (Semrush)</t>
        </is>
      </c>
    </row>
    <row r="145">
      <c r="A145" t="inlineStr">
        <is>
          <t>org-ma-urikacloud.com</t>
        </is>
      </c>
      <c r="B145" t="inlineStr">
        <is>
          <t>resource_organic</t>
        </is>
      </c>
      <c r="C145" t="inlineStr">
        <is>
          <t>ma</t>
        </is>
      </c>
      <c r="D145" t="inlineStr">
        <is>
          <t>urikacloud.com</t>
        </is>
      </c>
      <c r="E145" t="inlineStr">
        <is>
          <t>2026-10-30T14:56:18+00:00</t>
        </is>
      </c>
      <c r="F145" t="inlineStr">
        <is>
          <t>{"Keyword": "creation site web marrakech", "Position": "5", "Search Volume": "590", "CPC": "0.96", "Url": "https://urikacloud.com/agence-creation-site-web-marrakech.htm", "Traffic": "17", "Competition": "0.34", "Keyword Difficulty": "12.00", "Intents": "0", "Trends": "0.72,0.72,1.00,0.59,0.72,0.72,0.59,0.39,0.59,0.59,0.59,0.48"}</t>
        </is>
      </c>
      <c r="G145" t="inlineStr">
        <is>
          <t>Raw (Semrush)</t>
        </is>
      </c>
    </row>
    <row r="146">
      <c r="A146" t="inlineStr">
        <is>
          <t>org-ma-urikacloud.com</t>
        </is>
      </c>
      <c r="B146" t="inlineStr">
        <is>
          <t>resource_organic</t>
        </is>
      </c>
      <c r="C146" t="inlineStr">
        <is>
          <t>ma</t>
        </is>
      </c>
      <c r="D146" t="inlineStr">
        <is>
          <t>urikacloud.com</t>
        </is>
      </c>
      <c r="E146" t="inlineStr">
        <is>
          <t>2026-10-30T14:56:18+00:00</t>
        </is>
      </c>
      <c r="F146" t="inlineStr">
        <is>
          <t>{"Keyword": "invest in morocco", "Position": "16", "Search Volume": "720", "CPC": "0.52", "Url": "https://urikacloud.com/invest-in-morocco.htm", "Traffic": "2", "Competition": "0.06", "Keyword Difficulty": "18.00", "Intents": "1", "Trends": "0.67,0.82,0.67,1.00,0.67,1.00,0.82,0.82,0.82,0.82,0.55,0.44"}</t>
        </is>
      </c>
      <c r="G146" t="inlineStr">
        <is>
          <t>Raw (Semrush)</t>
        </is>
      </c>
    </row>
    <row r="147">
      <c r="A147" t="inlineStr">
        <is>
          <t>org-ma-urikacloud.com</t>
        </is>
      </c>
      <c r="B147" t="inlineStr">
        <is>
          <t>resource_organic</t>
        </is>
      </c>
      <c r="C147" t="inlineStr">
        <is>
          <t>ma</t>
        </is>
      </c>
      <c r="D147" t="inlineStr">
        <is>
          <t>urikacloud.com</t>
        </is>
      </c>
      <c r="E147" t="inlineStr">
        <is>
          <t>2026-10-30T14:56:18+00:00</t>
        </is>
      </c>
      <c r="F147" t="inlineStr">
        <is>
          <t>{"Keyword": "creation site web tanger", "Position": "9", "Search Volume": "320", "CPC": "0.81", "Url": "https://urikacloud.com/agence-creation-site-web-tanger.htm", "Traffic": "2", "Competition": "0.18", "Keyword Difficulty": "10.00", "Intents": "0", "Trends": "0.15,0.29,0.36,0.81,1.00,0.81,1.00,1.00,0.54,0.36,0.44,0.19"}</t>
        </is>
      </c>
      <c r="G147" t="inlineStr">
        <is>
          <t>Raw (Semrush)</t>
        </is>
      </c>
    </row>
    <row r="148">
      <c r="A148" t="inlineStr">
        <is>
          <t>org-ma-urikacloud.com</t>
        </is>
      </c>
      <c r="B148" t="inlineStr">
        <is>
          <t>resource_organic</t>
        </is>
      </c>
      <c r="C148" t="inlineStr">
        <is>
          <t>ma</t>
        </is>
      </c>
      <c r="D148" t="inlineStr">
        <is>
          <t>urikacloud.com</t>
        </is>
      </c>
      <c r="E148" t="inlineStr">
        <is>
          <t>2026-10-30T14:56:18+00:00</t>
        </is>
      </c>
      <c r="F148" t="inlineStr">
        <is>
          <t>{"Keyword": "agence seo maroc", "Position": "13", "Search Volume": "720", "CPC": "1.25", "Url": "https://urikacloud.com/seo-maroc.htm", "Traffic": "2", "Competition": "0.21", "Keyword Difficulty": "47.00", "Intents": "0", "Trends": "0.55,1.00,0.62,0.55,0.30,0.37,0.55,0.45,0.37,0.24,0.45,0.37"}</t>
        </is>
      </c>
      <c r="G148" t="inlineStr">
        <is>
          <t>Raw (Semrush)</t>
        </is>
      </c>
    </row>
    <row r="149">
      <c r="A149" t="inlineStr">
        <is>
          <t>org-ma-urikacloud.com</t>
        </is>
      </c>
      <c r="B149" t="inlineStr">
        <is>
          <t>resource_organic</t>
        </is>
      </c>
      <c r="C149" t="inlineStr">
        <is>
          <t>ma</t>
        </is>
      </c>
      <c r="D149" t="inlineStr">
        <is>
          <t>urikacloud.com</t>
        </is>
      </c>
      <c r="E149" t="inlineStr">
        <is>
          <t>2026-10-30T14:56:18+00:00</t>
        </is>
      </c>
      <c r="F149" t="inlineStr">
        <is>
          <t>{"Keyword": "invest in morocco", "Position": "20", "Search Volume": "720", "CPC": "0.52", "Url": "https://urikacloud.com/invest-in-morocco.htm", "Traffic": "1", "Competition": "0.06", "Keyword Difficulty": "18.00", "Intents": "1", "Trends": "0.67,0.82,0.67,1.00,0.67,1.00,0.82,0.82,0.82,0.82,0.55,0.44"}</t>
        </is>
      </c>
      <c r="G149" t="inlineStr">
        <is>
          <t>Raw (Semrush)</t>
        </is>
      </c>
    </row>
    <row r="150">
      <c r="A150" t="inlineStr">
        <is>
          <t>org-ma-urikacloud.com</t>
        </is>
      </c>
      <c r="B150" t="inlineStr">
        <is>
          <t>resource_organic</t>
        </is>
      </c>
      <c r="C150" t="inlineStr">
        <is>
          <t>ma</t>
        </is>
      </c>
      <c r="D150" t="inlineStr">
        <is>
          <t>urikacloud.com</t>
        </is>
      </c>
      <c r="E150" t="inlineStr">
        <is>
          <t>2026-10-30T14:56:18+00:00</t>
        </is>
      </c>
      <c r="F150" t="inlineStr">
        <is>
          <t>{"Keyword": "agence web casablanca", "Position": "21", "Search Volume": "880", "CPC": "0.97", "Url": "https://creation-site-web-maroc.urikacloud.com/", "Traffic": "1", "Competition": "0.33", "Keyword Difficulty": "36.00", "Intents": "0", "Trends": "0.55,0.62,1.00,0.81,0.45,0.55,0.81,0.45,0.30,0.24,0.24,0.16"}</t>
        </is>
      </c>
      <c r="G150" t="inlineStr">
        <is>
          <t>Raw (Semrush)</t>
        </is>
      </c>
    </row>
    <row r="151">
      <c r="A151" t="inlineStr">
        <is>
          <t>org-ma-urikacloud.com</t>
        </is>
      </c>
      <c r="B151" t="inlineStr">
        <is>
          <t>resource_organic</t>
        </is>
      </c>
      <c r="C151" t="inlineStr">
        <is>
          <t>ma</t>
        </is>
      </c>
      <c r="D151" t="inlineStr">
        <is>
          <t>urikacloud.com</t>
        </is>
      </c>
      <c r="E151" t="inlineStr">
        <is>
          <t>2026-10-30T14:56:18+00:00</t>
        </is>
      </c>
      <c r="F151" t="inlineStr">
        <is>
          <t>{"Keyword": "comptable maroc", "Position": "38", "Search Volume": "390", "CPC": "0.31", "Url": "https://urikacloud.com/comptable-casablanca-maroc.htm", "Traffic": "0", "Competition": "0.05", "Keyword Difficulty": "20.00", "Intents": "0", "Trends": "0.66,0.44,0.54,0.66,0.44,0.66,0.66,0.81,1.00,0.66,0.66,0.54"}</t>
        </is>
      </c>
      <c r="G151" t="inlineStr">
        <is>
          <t>Raw (Semrush)</t>
        </is>
      </c>
    </row>
    <row r="152">
      <c r="A152" t="inlineStr">
        <is>
          <t>org-ma-urikacloud.com</t>
        </is>
      </c>
      <c r="B152" t="inlineStr">
        <is>
          <t>resource_organic</t>
        </is>
      </c>
      <c r="C152" t="inlineStr">
        <is>
          <t>ma</t>
        </is>
      </c>
      <c r="D152" t="inlineStr">
        <is>
          <t>urikacloud.com</t>
        </is>
      </c>
      <c r="E152" t="inlineStr">
        <is>
          <t>2026-10-30T14:56:18+00:00</t>
        </is>
      </c>
      <c r="F152" t="inlineStr">
        <is>
          <t>{"Keyword": "outsourcing", "Position": "16", "Search Volume": "390", "CPC": "1.25", "Url": "https://urikacloud.com/outsourcing-maroc.htm", "Traffic": "0", "Competition": "0.03", "Keyword Difficulty": "20.00", "Intents": "1", "Trends": "0.32,0.32,0.39,0.39,0.32,0.39,0.32,0.32,0.39,1.00,0.32,0.26"}</t>
        </is>
      </c>
      <c r="G152" t="inlineStr">
        <is>
          <t>Raw (Semrush)</t>
        </is>
      </c>
    </row>
    <row r="153">
      <c r="A153" t="inlineStr">
        <is>
          <t>org-ma-urikacloud.com</t>
        </is>
      </c>
      <c r="B153" t="inlineStr">
        <is>
          <t>resource_organic</t>
        </is>
      </c>
      <c r="C153" t="inlineStr">
        <is>
          <t>ma</t>
        </is>
      </c>
      <c r="D153" t="inlineStr">
        <is>
          <t>urikacloud.com</t>
        </is>
      </c>
      <c r="E153" t="inlineStr">
        <is>
          <t>2026-10-30T14:56:18+00:00</t>
        </is>
      </c>
      <c r="F153" t="inlineStr">
        <is>
          <t>{"Keyword": "ika", "Position": "49", "Search Volume": "320", "CPC": "1.05", "Url": "https://urikacloud.com/", "Traffic": "0", "Competition": "0.01", "Keyword Difficulty": "46.00", "Intents": "2", "Trends": "0.67,0.67,0.81,0.67,0.81,1.00,0.67,0.67,0.67,0.67,0.67,0.54"}</t>
        </is>
      </c>
      <c r="G153" t="inlineStr">
        <is>
          <t>Raw (Semrush)</t>
        </is>
      </c>
    </row>
    <row r="154">
      <c r="A154" t="inlineStr">
        <is>
          <t>org-ma-urikacloud.com</t>
        </is>
      </c>
      <c r="B154" t="inlineStr">
        <is>
          <t>resource_organic</t>
        </is>
      </c>
      <c r="C154" t="inlineStr">
        <is>
          <t>ma</t>
        </is>
      </c>
      <c r="D154" t="inlineStr">
        <is>
          <t>urikacloud.com</t>
        </is>
      </c>
      <c r="E154" t="inlineStr">
        <is>
          <t>2026-10-30T14:56:18+00:00</t>
        </is>
      </c>
      <c r="F154" t="inlineStr">
        <is>
          <t>{"Keyword": "photographe professionnel", "Position": "31", "Search Volume": "590", "CPC": "0.32", "Url": "https://urikacloud.com/photographe-casablanca.htm", "Traffic": "0", "Competition": "0.12", "Keyword Difficulty": "19.00", "Intents": "3", "Trends": "0.82,0.54,0.82,1.00,0.82,0.67,0.67,0.82,1.00,1.00,0.82,0.67"}</t>
        </is>
      </c>
      <c r="G154" t="inlineStr">
        <is>
          <t>Raw (Semrush)</t>
        </is>
      </c>
    </row>
    <row r="155">
      <c r="A155" t="inlineStr">
        <is>
          <t>org-ma-urikacloud.com</t>
        </is>
      </c>
      <c r="B155" t="inlineStr">
        <is>
          <t>resource_organic</t>
        </is>
      </c>
      <c r="C155" t="inlineStr">
        <is>
          <t>ma</t>
        </is>
      </c>
      <c r="D155" t="inlineStr">
        <is>
          <t>urikacloud.com</t>
        </is>
      </c>
      <c r="E155" t="inlineStr">
        <is>
          <t>2026-10-30T14:56:18+00:00</t>
        </is>
      </c>
      <c r="F155" t="inlineStr">
        <is>
          <t>{"Keyword": "cabinet comptable", "Position": "38", "Search Volume": "2900", "CPC": "0.71", "Url": "https://urikacloud.com/comptable-casablanca-maroc.htm", "Traffic": "0", "Competition": "0.05", "Keyword Difficulty": "28.00", "Intents": "0", "Trends": "0.81,1.00,0.67,0.67,0.67,0.53,0.67,0.67,0.67,1.00,1.00,0.81"}</t>
        </is>
      </c>
      <c r="G155" t="inlineStr">
        <is>
          <t>Raw (Semrush)</t>
        </is>
      </c>
    </row>
    <row r="156">
      <c r="A156" t="inlineStr">
        <is>
          <t>org-ma-urikacloud.com</t>
        </is>
      </c>
      <c r="B156" t="inlineStr">
        <is>
          <t>resource_organic</t>
        </is>
      </c>
      <c r="C156" t="inlineStr">
        <is>
          <t>ma</t>
        </is>
      </c>
      <c r="D156" t="inlineStr">
        <is>
          <t>urikacloud.com</t>
        </is>
      </c>
      <c r="E156" t="inlineStr">
        <is>
          <t>2026-10-30T14:56:18+00:00</t>
        </is>
      </c>
      <c r="F156" t="inlineStr">
        <is>
          <t>{"Keyword": "investissement au maroc", "Position": "88", "Search Volume": "390", "CPC": "0.42", "Url": "https://urikacloud.com/investir-maroc.htm", "Traffic": "0", "Competition": "0.09", "Keyword Difficulty": "20.00", "Intents": "1", "Trends": "1.00,0.81,0.81,0.66,0.66,0.54,0.44,0.44,0.36,0.54,0.66,0.54"}</t>
        </is>
      </c>
      <c r="G156" t="inlineStr">
        <is>
          <t>Raw (Semrush)</t>
        </is>
      </c>
    </row>
    <row r="157">
      <c r="A157" t="inlineStr">
        <is>
          <t>org-ma-urikacloud.com</t>
        </is>
      </c>
      <c r="B157" t="inlineStr">
        <is>
          <t>resource_organic</t>
        </is>
      </c>
      <c r="C157" t="inlineStr">
        <is>
          <t>ma</t>
        </is>
      </c>
      <c r="D157" t="inlineStr">
        <is>
          <t>urikacloud.com</t>
        </is>
      </c>
      <c r="E157" t="inlineStr">
        <is>
          <t>2026-10-30T14:56:18+00:00</t>
        </is>
      </c>
      <c r="F157" t="inlineStr">
        <is>
          <t>{"Keyword": "morocco invest", "Position": "35", "Search Volume": "720", "CPC": "0.52", "Url": "https://urikacloud.com/invest-in-morocco.htm", "Traffic": "0", "Competition": "0.06", "Keyword Difficulty": "19.00", "Intents": "0", "Trends": "0.67,0.82,0.67,1.00,0.67,1.00,0.82,0.82,0.82,0.82,0.55,0.44"}</t>
        </is>
      </c>
      <c r="G157" t="inlineStr">
        <is>
          <t>Raw (Semrush)</t>
        </is>
      </c>
    </row>
    <row r="158">
      <c r="A158" t="inlineStr">
        <is>
          <t>org-ma-urikacloud.com</t>
        </is>
      </c>
      <c r="B158" t="inlineStr">
        <is>
          <t>resource_organic</t>
        </is>
      </c>
      <c r="C158" t="inlineStr">
        <is>
          <t>ma</t>
        </is>
      </c>
      <c r="D158" t="inlineStr">
        <is>
          <t>urikacloud.com</t>
        </is>
      </c>
      <c r="E158" t="inlineStr">
        <is>
          <t>2026-10-30T14:56:18+00:00</t>
        </is>
      </c>
      <c r="F158" t="inlineStr">
        <is>
          <t>{"Keyword": "orika", "Position": "52", "Search Volume": "1000", "CPC": "0.44", "Url": "https://urikacloud.com/", "Traffic": "0", "Competition": "0.01", "Keyword Difficulty": "36.00", "Intents": "2", "Trends": "0.81,0.45,0.45,0.37,0.55,0.45,0.45,0.37,0.81,0.81,0.62,1.00"}</t>
        </is>
      </c>
      <c r="G158" t="inlineStr">
        <is>
          <t>Raw (Semrush)</t>
        </is>
      </c>
    </row>
    <row r="159">
      <c r="A159" t="inlineStr">
        <is>
          <t>org-ma-urikacloud.com</t>
        </is>
      </c>
      <c r="B159" t="inlineStr">
        <is>
          <t>resource_organic</t>
        </is>
      </c>
      <c r="C159" t="inlineStr">
        <is>
          <t>ma</t>
        </is>
      </c>
      <c r="D159" t="inlineStr">
        <is>
          <t>urikacloud.com</t>
        </is>
      </c>
      <c r="E159" t="inlineStr">
        <is>
          <t>2026-10-30T14:56:18+00:00</t>
        </is>
      </c>
      <c r="F159" t="inlineStr">
        <is>
          <t>{"Keyword": "photographe casablanca", "Position": "25", "Search Volume": "880", "CPC": "0.33", "Url": "https://urikacloud.com/photographe-casablanca.htm", "Traffic": "0", "Competition": "0.08", "Keyword Difficulty": "24.00", "Intents": "0", "Trends": "1.00,0.88,0.88,0.59,0.72,0.72,1.00,1.00,0.72,0.88,0.72,0.72"}</t>
        </is>
      </c>
      <c r="G159" t="inlineStr">
        <is>
          <t>Raw (Semrush)</t>
        </is>
      </c>
    </row>
    <row r="160">
      <c r="A160" t="inlineStr">
        <is>
          <t>org-ma-urikacloud.com</t>
        </is>
      </c>
      <c r="B160" t="inlineStr">
        <is>
          <t>resource_organic</t>
        </is>
      </c>
      <c r="C160" t="inlineStr">
        <is>
          <t>ma</t>
        </is>
      </c>
      <c r="D160" t="inlineStr">
        <is>
          <t>urikacloud.com</t>
        </is>
      </c>
      <c r="E160" t="inlineStr">
        <is>
          <t>2026-10-30T14:56:18+00:00</t>
        </is>
      </c>
      <c r="F160" t="inlineStr">
        <is>
          <t>{"Keyword": "agence web maroc", "Position": "18", "Search Volume": "390", "CPC": "0.78", "Url": "https://creation-site-web-maroc.urikacloud.com/", "Traffic": "0", "Competition": "0.21", "Keyword Difficulty": "44.00", "Intents": "0", "Trends": "0.54,0.54,0.54,0.44,0.67,0.67,1.00,0.44,0.67,0.44,0.54,0.54"}</t>
        </is>
      </c>
      <c r="G160" t="inlineStr">
        <is>
          <t>Raw (Semrush)</t>
        </is>
      </c>
    </row>
    <row r="161">
      <c r="A161" t="inlineStr">
        <is>
          <t>org-ma-urikacloud.com</t>
        </is>
      </c>
      <c r="B161" t="inlineStr">
        <is>
          <t>resource_organic</t>
        </is>
      </c>
      <c r="C161" t="inlineStr">
        <is>
          <t>ma</t>
        </is>
      </c>
      <c r="D161" t="inlineStr">
        <is>
          <t>urikacloud.com</t>
        </is>
      </c>
      <c r="E161" t="inlineStr">
        <is>
          <t>2026-10-30T14:56:18+00:00</t>
        </is>
      </c>
      <c r="F161" t="inlineStr">
        <is>
          <t>{"Keyword": "agence web maroc", "Position": "63", "Search Volume": "390", "CPC": "0.78", "Url": "https://urikacloud.com/agence-creation-site-web-rabat.htm", "Traffic": "0", "Competition": "0.21", "Keyword Difficulty": "44.00", "Intents": "0", "Trends": "0.54,0.54,0.54,0.44,0.67,0.67,1.00,0.44,0.67,0.44,0.54,0.54"}</t>
        </is>
      </c>
      <c r="G161" t="inlineStr">
        <is>
          <t>Raw (Semrush)</t>
        </is>
      </c>
    </row>
    <row r="162">
      <c r="A162" t="inlineStr">
        <is>
          <t>org-ma-urikacloud.com</t>
        </is>
      </c>
      <c r="B162" t="inlineStr">
        <is>
          <t>resource_organic</t>
        </is>
      </c>
      <c r="C162" t="inlineStr">
        <is>
          <t>ma</t>
        </is>
      </c>
      <c r="D162" t="inlineStr">
        <is>
          <t>urikacloud.com</t>
        </is>
      </c>
      <c r="E162" t="inlineStr">
        <is>
          <t>2026-10-30T14:56:18+00:00</t>
        </is>
      </c>
      <c r="F162" t="inlineStr">
        <is>
          <t>{"Keyword": "expert comptable casablanca", "Position": "36", "Search Volume": "480", "CPC": "0.34", "Url": "https://urikacloud.com/comptable-casablanca-maroc.htm", "Traffic": "0", "Competition": "0.29", "Keyword Difficulty": "37.00", "Intents": "0", "Trends": "0.82,0.54,0.67,0.67,0.67,0.67,0.54,0.44,0.67,1.00,0.82,0.54"}</t>
        </is>
      </c>
      <c r="G162" t="inlineStr">
        <is>
          <t>Raw (Semrush)</t>
        </is>
      </c>
    </row>
    <row r="163">
      <c r="A163" t="inlineStr">
        <is>
          <t>org-ma-vala.ma</t>
        </is>
      </c>
      <c r="B163" t="inlineStr">
        <is>
          <t>resource_organic</t>
        </is>
      </c>
      <c r="C163" t="inlineStr">
        <is>
          <t>ma</t>
        </is>
      </c>
      <c r="D163" t="inlineStr">
        <is>
          <t>vala.ma</t>
        </is>
      </c>
      <c r="E163" t="inlineStr">
        <is>
          <t>2026-10-30T14:56:13+00:00</t>
        </is>
      </c>
      <c r="F163" t="inlineStr">
        <is>
          <t>{"Keyword": "vala bleu", "Position": "1", "Search Volume": "480", "CPC": "0.00", "Url": "https://www.vala.ma/", "Traffic": "384", "Competition": "0.03", "Keyword Difficulty": "32.00", "Intents": "2", "Trends": "0.44,0.54,0.82,0.54,0.44,0.54,0.54,0.82,0.67,0.82,1.00,0.82"}</t>
        </is>
      </c>
      <c r="G163" t="inlineStr">
        <is>
          <t>Raw (Semrush)</t>
        </is>
      </c>
    </row>
    <row r="164">
      <c r="A164" t="inlineStr">
        <is>
          <t>org-ma-vala.ma</t>
        </is>
      </c>
      <c r="B164" t="inlineStr">
        <is>
          <t>resource_organic</t>
        </is>
      </c>
      <c r="C164" t="inlineStr">
        <is>
          <t>ma</t>
        </is>
      </c>
      <c r="D164" t="inlineStr">
        <is>
          <t>vala.ma</t>
        </is>
      </c>
      <c r="E164" t="inlineStr">
        <is>
          <t>2026-10-30T14:56:13+00:00</t>
        </is>
      </c>
      <c r="F164" t="inlineStr">
        <is>
          <t>{"Keyword": "vala", "Position": "1", "Search Volume": "320", "CPC": "0.74", "Url": "https://www.vala.ma/", "Traffic": "256", "Competition": "0.02", "Keyword Difficulty": "54.00", "Intents": "2", "Trends": "1.00,0.81,1.00,1.00,1.00,1.00,0.81,1.00,1.00,1.00,0.81,1.00"}</t>
        </is>
      </c>
      <c r="G164" t="inlineStr">
        <is>
          <t>Raw (Semrush)</t>
        </is>
      </c>
    </row>
    <row r="165">
      <c r="A165" t="inlineStr">
        <is>
          <t>org-ma-vala.ma</t>
        </is>
      </c>
      <c r="B165" t="inlineStr">
        <is>
          <t>resource_organic</t>
        </is>
      </c>
      <c r="C165" t="inlineStr">
        <is>
          <t>ma</t>
        </is>
      </c>
      <c r="D165" t="inlineStr">
        <is>
          <t>vala.ma</t>
        </is>
      </c>
      <c r="E165" t="inlineStr">
        <is>
          <t>2026-10-30T14:56:13+00:00</t>
        </is>
      </c>
      <c r="F165" t="inlineStr">
        <is>
          <t>{"Keyword": "vps", "Position": "4", "Search Volume": "1900", "CPC": "1.52", "Url": "https://www.vala.ma/serveurs/vps-pro", "Traffic": "95", "Competition": "0.62", "Keyword Difficulty": "69.00", "Intents": "1", "Trends": "0.67,0.67,0.67,0.67,0.67,0.67,0.67,1.00,1.00,1.00,0.79,0.79"}</t>
        </is>
      </c>
      <c r="G165" t="inlineStr">
        <is>
          <t>Raw (Semrush)</t>
        </is>
      </c>
    </row>
    <row r="166">
      <c r="A166" t="inlineStr">
        <is>
          <t>org-ma-vala.ma</t>
        </is>
      </c>
      <c r="B166" t="inlineStr">
        <is>
          <t>resource_organic</t>
        </is>
      </c>
      <c r="C166" t="inlineStr">
        <is>
          <t>ma</t>
        </is>
      </c>
      <c r="D166" t="inlineStr">
        <is>
          <t>vala.ma</t>
        </is>
      </c>
      <c r="E166" t="inlineStr">
        <is>
          <t>2026-10-30T14:56:13+00:00</t>
        </is>
      </c>
      <c r="F166" t="inlineStr">
        <is>
          <t>{"Keyword": "nom de domaine au maroc", "Position": "7", "Search Volume": "1000", "CPC": "0.51", "Url": "https://www.vala.ma/domaine", "Traffic": "30", "Competition": "0.48", "Keyword Difficulty": "42.00", "Intents": "1", "Trends": "0.68,0.68,0.68,0.68,0.68,0.77,0.77,0.77,0.77,0.77,1.00,1.00"}</t>
        </is>
      </c>
      <c r="G166" t="inlineStr">
        <is>
          <t>Raw (Semrush)</t>
        </is>
      </c>
    </row>
    <row r="167">
      <c r="A167" t="inlineStr">
        <is>
          <t>org-ma-vala.ma</t>
        </is>
      </c>
      <c r="B167" t="inlineStr">
        <is>
          <t>resource_organic</t>
        </is>
      </c>
      <c r="C167" t="inlineStr">
        <is>
          <t>ma</t>
        </is>
      </c>
      <c r="D167" t="inlineStr">
        <is>
          <t>vala.ma</t>
        </is>
      </c>
      <c r="E167" t="inlineStr">
        <is>
          <t>2026-10-30T14:56:13+00:00</t>
        </is>
      </c>
      <c r="F167" t="inlineStr">
        <is>
          <t>{"Keyword": "agence seo maroc", "Position": "3", "Search Volume": "720", "CPC": "1.25", "Url": "https://www.vala.ma/agence-referencement-seo-maroc", "Traffic": "28", "Competition": "0.21", "Keyword Difficulty": "47.00", "Intents": "0", "Trends": "0.55,1.00,0.62,0.55,0.30,0.37,0.55,0.45,0.37,0.24,0.45,0.37"}</t>
        </is>
      </c>
      <c r="G167" t="inlineStr">
        <is>
          <t>Raw (Semrush)</t>
        </is>
      </c>
    </row>
    <row r="168">
      <c r="A168" t="inlineStr">
        <is>
          <t>org-ma-vala.ma</t>
        </is>
      </c>
      <c r="B168" t="inlineStr">
        <is>
          <t>resource_organic</t>
        </is>
      </c>
      <c r="C168" t="inlineStr">
        <is>
          <t>ma</t>
        </is>
      </c>
      <c r="D168" t="inlineStr">
        <is>
          <t>vala.ma</t>
        </is>
      </c>
      <c r="E168" t="inlineStr">
        <is>
          <t>2026-10-30T14:56:13+00:00</t>
        </is>
      </c>
      <c r="F168" t="inlineStr">
        <is>
          <t>{"Keyword": "e commerce", "Position": "13", "Search Volume": "8100", "CPC": "0.43", "Url": "https://www.vala.ma/blog/post/e-commerce-maroc", "Traffic": "24", "Competition": "0.21", "Keyword Difficulty": "27.00", "Intents": "1", "Trends": "0.30,0.30,0.45,0.82,0.82,1.00,0.82,0.36,0.30,0.30,0.24,0.30"}</t>
        </is>
      </c>
      <c r="G168" t="inlineStr">
        <is>
          <t>Raw (Semrush)</t>
        </is>
      </c>
    </row>
    <row r="169">
      <c r="A169" t="inlineStr">
        <is>
          <t>org-ma-vala.ma</t>
        </is>
      </c>
      <c r="B169" t="inlineStr">
        <is>
          <t>resource_organic</t>
        </is>
      </c>
      <c r="C169" t="inlineStr">
        <is>
          <t>ma</t>
        </is>
      </c>
      <c r="D169" t="inlineStr">
        <is>
          <t>vala.ma</t>
        </is>
      </c>
      <c r="E169" t="inlineStr">
        <is>
          <t>2026-10-30T14:56:13+00:00</t>
        </is>
      </c>
      <c r="F169" t="inlineStr">
        <is>
          <t>{"Keyword": "domaine", "Position": "13", "Search Volume": "4400", "CPC": "0.53", "Url": "https://www.vala.ma/domaine", "Traffic": "13", "Competition": "0.43", "Keyword Difficulty": "52.00", "Intents": "1", "Trends": "0.82,0.82,1.00,1.00,1.00,1.00,0.82,1.00,1.00,1.00,1.00,0.82"}</t>
        </is>
      </c>
      <c r="G169" t="inlineStr">
        <is>
          <t>Raw (Semrush)</t>
        </is>
      </c>
    </row>
    <row r="170">
      <c r="A170" t="inlineStr">
        <is>
          <t>org-ma-vala.ma</t>
        </is>
      </c>
      <c r="B170" t="inlineStr">
        <is>
          <t>resource_organic</t>
        </is>
      </c>
      <c r="C170" t="inlineStr">
        <is>
          <t>ma</t>
        </is>
      </c>
      <c r="D170" t="inlineStr">
        <is>
          <t>vala.ma</t>
        </is>
      </c>
      <c r="E170" t="inlineStr">
        <is>
          <t>2026-10-30T14:56:13+00:00</t>
        </is>
      </c>
      <c r="F170" t="inlineStr">
        <is>
          <t>{"Keyword": "nom de domaine ma", "Position": "9", "Search Volume": "1000", "CPC": "0.51", "Url": "https://www.vala.ma/domaine", "Traffic": "13", "Competition": "0.48", "Keyword Difficulty": "47.00", "Intents": "", "Trends": "0.68,0.68,0.68,0.68,0.68,0.77,0.77,0.77,0.77,0.77,1.00,1.00"}</t>
        </is>
      </c>
      <c r="G170" t="inlineStr">
        <is>
          <t>Raw (Semrush)</t>
        </is>
      </c>
    </row>
    <row r="171">
      <c r="A171" t="inlineStr">
        <is>
          <t>org-ma-vala.ma</t>
        </is>
      </c>
      <c r="B171" t="inlineStr">
        <is>
          <t>resource_organic</t>
        </is>
      </c>
      <c r="C171" t="inlineStr">
        <is>
          <t>ma</t>
        </is>
      </c>
      <c r="D171" t="inlineStr">
        <is>
          <t>vala.ma</t>
        </is>
      </c>
      <c r="E171" t="inlineStr">
        <is>
          <t>2026-10-30T14:56:13+00:00</t>
        </is>
      </c>
      <c r="F171" t="inlineStr">
        <is>
          <t>{"Keyword": "hebergement web maroc", "Position": "6", "Search Volume": "480", "CPC": "0.75", "Url": "https://www.vala.ma/blog/post/pourquoi-choisir-un-hebergement-web-au-maroc-5-criteres-pour-bien-choisir", "Traffic": "12", "Competition": "0.31", "Keyword Difficulty": "62.00", "Intents": "", "Trends": "1.00,0.67,0.55,0.82,0.55,0.30,0.30,0.55,0.36,0.30,0.30,0.44"}</t>
        </is>
      </c>
      <c r="G171" t="inlineStr">
        <is>
          <t>Raw (Semrush)</t>
        </is>
      </c>
    </row>
    <row r="172">
      <c r="A172" t="inlineStr">
        <is>
          <t>org-ma-vala.ma</t>
        </is>
      </c>
      <c r="B172" t="inlineStr">
        <is>
          <t>resource_organic</t>
        </is>
      </c>
      <c r="C172" t="inlineStr">
        <is>
          <t>ma</t>
        </is>
      </c>
      <c r="D172" t="inlineStr">
        <is>
          <t>vala.ma</t>
        </is>
      </c>
      <c r="E172" t="inlineStr">
        <is>
          <t>2026-10-30T14:56:13+00:00</t>
        </is>
      </c>
      <c r="F172" t="inlineStr">
        <is>
          <t>{"Keyword": "seo maroc", "Position": "3", "Search Volume": "320", "CPC": "0.90", "Url": "https://www.vala.ma/agence-referencement-seo-maroc", "Traffic": "9", "Competition": "0.35", "Keyword Difficulty": "39.00", "Intents": "0", "Trends": "0.67,1.00,1.00,0.67,0.54,0.54,0.81,0.67,0.54,0.54,0.44,0.81"}</t>
        </is>
      </c>
      <c r="G172" t="inlineStr">
        <is>
          <t>Raw (Semrush)</t>
        </is>
      </c>
    </row>
    <row r="173">
      <c r="A173" t="inlineStr">
        <is>
          <t>org-ma-vala.ma</t>
        </is>
      </c>
      <c r="B173" t="inlineStr">
        <is>
          <t>resource_organic</t>
        </is>
      </c>
      <c r="C173" t="inlineStr">
        <is>
          <t>ma</t>
        </is>
      </c>
      <c r="D173" t="inlineStr">
        <is>
          <t>vala.ma</t>
        </is>
      </c>
      <c r="E173" t="inlineStr">
        <is>
          <t>2026-10-30T14:56:13+00:00</t>
        </is>
      </c>
      <c r="F173" t="inlineStr">
        <is>
          <t>{"Keyword": "vps hosting", "Position": "7", "Search Volume": "320", "CPC": "1.98", "Url": "https://www.vala.ma/serveurs/vps-pro", "Traffic": "9", "Competition": "0.72", "Keyword Difficulty": "66.00", "Intents": "1", "Trends": "0.67,0.67,0.67,0.67,0.82,1.00,1.00,0.82,1.00,0.82,0.82,0.82"}</t>
        </is>
      </c>
      <c r="G173" t="inlineStr">
        <is>
          <t>Raw (Semrush)</t>
        </is>
      </c>
    </row>
    <row r="174">
      <c r="A174" t="inlineStr">
        <is>
          <t>org-ma-vala.ma</t>
        </is>
      </c>
      <c r="B174" t="inlineStr">
        <is>
          <t>resource_organic</t>
        </is>
      </c>
      <c r="C174" t="inlineStr">
        <is>
          <t>ma</t>
        </is>
      </c>
      <c r="D174" t="inlineStr">
        <is>
          <t>vala.ma</t>
        </is>
      </c>
      <c r="E174" t="inlineStr">
        <is>
          <t>2026-10-30T14:56:13+00:00</t>
        </is>
      </c>
      <c r="F174" t="inlineStr">
        <is>
          <t>{"Keyword": "sea", "Position": "9", "Search Volume": "1600", "CPC": "0.00", "Url": "https://www.vala.ma/blog/post/difference-seo-sea", "Traffic": "8", "Competition": "0.33", "Keyword Difficulty": "30.00", "Intents": "1", "Trends": "0.79,0.67,0.54,0.67,0.54,0.67,0.67,0.67,0.67,0.79,1.00,0.79"}</t>
        </is>
      </c>
      <c r="G174" t="inlineStr">
        <is>
          <t>Raw (Semrush)</t>
        </is>
      </c>
    </row>
    <row r="175">
      <c r="A175" t="inlineStr">
        <is>
          <t>org-ma-vala.ma</t>
        </is>
      </c>
      <c r="B175" t="inlineStr">
        <is>
          <t>resource_organic</t>
        </is>
      </c>
      <c r="C175" t="inlineStr">
        <is>
          <t>ma</t>
        </is>
      </c>
      <c r="D175" t="inlineStr">
        <is>
          <t>vala.ma</t>
        </is>
      </c>
      <c r="E175" t="inlineStr">
        <is>
          <t>2026-10-30T14:56:13+00:00</t>
        </is>
      </c>
      <c r="F175" t="inlineStr">
        <is>
          <t>{"Keyword": "seo", "Position": "15", "Search Volume": "4400", "CPC": "0.53", "Url": "https://www.vala.ma/blog/post/quest-ce-que-le-seo-search-engine-optimization", "Traffic": "6", "Competition": "0.15", "Keyword Difficulty": "64.00", "Intents": "1", "Trends": "0.20,0.20,0.13,0.20,0.16,0.16,0.13,1.00,0.82,0.20,0.16,0.16"}</t>
        </is>
      </c>
      <c r="G175" t="inlineStr">
        <is>
          <t>Raw (Semrush)</t>
        </is>
      </c>
    </row>
    <row r="176">
      <c r="A176" t="inlineStr">
        <is>
          <t>org-ma-vala.ma</t>
        </is>
      </c>
      <c r="B176" t="inlineStr">
        <is>
          <t>resource_organic</t>
        </is>
      </c>
      <c r="C176" t="inlineStr">
        <is>
          <t>ma</t>
        </is>
      </c>
      <c r="D176" t="inlineStr">
        <is>
          <t>vala.ma</t>
        </is>
      </c>
      <c r="E176" t="inlineStr">
        <is>
          <t>2026-10-30T14:56:13+00:00</t>
        </is>
      </c>
      <c r="F176" t="inlineStr">
        <is>
          <t>{"Keyword": "hébergement web maroc", "Position": "7", "Search Volume": "480", "CPC": "0.75", "Url": "https://www.vala.ma/blog/post/pourquoi-choisir-un-hebergement-web-au-maroc-5-criteres-pour-bien-choisir", "Traffic": "6", "Competition": "0.31", "Keyword Difficulty": "55.00", "Intents": "", "Trends": "1.00,0.67,0.55,0.82,0.55,0.30,0.30,0.55,0.36,0.30,0.30,0.44"}</t>
        </is>
      </c>
      <c r="G176" t="inlineStr">
        <is>
          <t>Raw (Semrush)</t>
        </is>
      </c>
    </row>
    <row r="177">
      <c r="A177" t="inlineStr">
        <is>
          <t>org-ma-vala.ma</t>
        </is>
      </c>
      <c r="B177" t="inlineStr">
        <is>
          <t>resource_organic</t>
        </is>
      </c>
      <c r="C177" t="inlineStr">
        <is>
          <t>ma</t>
        </is>
      </c>
      <c r="D177" t="inlineStr">
        <is>
          <t>vala.ma</t>
        </is>
      </c>
      <c r="E177" t="inlineStr">
        <is>
          <t>2026-10-30T14:56:13+00:00</t>
        </is>
      </c>
      <c r="F177" t="inlineStr">
        <is>
          <t>{"Keyword": "domaine maroc", "Position": "11", "Search Volume": "720", "CPC": "0.42", "Url": "https://www.vala.ma/domaine", "Traffic": "3", "Competition": "0.67", "Keyword Difficulty": "47.00", "Intents": "1", "Trends": "0.82,0.82,0.82,0.82,0.82,0.82,1.00,1.00,1.00,0.82,0.67,0.82"}</t>
        </is>
      </c>
      <c r="G177" t="inlineStr">
        <is>
          <t>Raw (Semrush)</t>
        </is>
      </c>
    </row>
    <row r="178">
      <c r="A178" t="inlineStr">
        <is>
          <t>org-ma-vala.ma</t>
        </is>
      </c>
      <c r="B178" t="inlineStr">
        <is>
          <t>resource_organic</t>
        </is>
      </c>
      <c r="C178" t="inlineStr">
        <is>
          <t>ma</t>
        </is>
      </c>
      <c r="D178" t="inlineStr">
        <is>
          <t>vala.ma</t>
        </is>
      </c>
      <c r="E178" t="inlineStr">
        <is>
          <t>2026-10-30T14:56:13+00:00</t>
        </is>
      </c>
      <c r="F178" t="inlineStr">
        <is>
          <t>{"Keyword": "commerce", "Position": "22", "Search Volume": "1900", "CPC": "0.29", "Url": "https://www.vala.ma/blog/post/e-commerce-maroc", "Traffic": "2", "Competition": "0.02", "Keyword Difficulty": "32.00", "Intents": "1", "Trends": "0.66,0.45,0.55,0.66,0.66,0.66,0.83,0.66,0.83,0.83,0.55,1.00"}</t>
        </is>
      </c>
      <c r="G178" t="inlineStr">
        <is>
          <t>Raw (Semrush)</t>
        </is>
      </c>
    </row>
    <row r="179">
      <c r="A179" t="inlineStr">
        <is>
          <t>org-ma-vala.ma</t>
        </is>
      </c>
      <c r="B179" t="inlineStr">
        <is>
          <t>resource_organic</t>
        </is>
      </c>
      <c r="C179" t="inlineStr">
        <is>
          <t>ma</t>
        </is>
      </c>
      <c r="D179" t="inlineStr">
        <is>
          <t>vala.ma</t>
        </is>
      </c>
      <c r="E179" t="inlineStr">
        <is>
          <t>2026-10-30T14:56:13+00:00</t>
        </is>
      </c>
      <c r="F179" t="inlineStr">
        <is>
          <t>{"Keyword": "vps server", "Position": "10", "Search Volume": "320", "CPC": "2.86", "Url": "https://www.vala.ma/serveurs/vps-pro", "Traffic": "2", "Competition": "0.72", "Keyword Difficulty": "60.00", "Intents": "1", "Trends": "0.82,1.00,0.82,0.82,0.82,1.00,1.00,0.82,0.67,0.67,1.00,0.67"}</t>
        </is>
      </c>
      <c r="G179" t="inlineStr">
        <is>
          <t>Raw (Semrush)</t>
        </is>
      </c>
    </row>
    <row r="180">
      <c r="A180" t="inlineStr">
        <is>
          <t>org-ma-vala.ma</t>
        </is>
      </c>
      <c r="B180" t="inlineStr">
        <is>
          <t>resource_organic</t>
        </is>
      </c>
      <c r="C180" t="inlineStr">
        <is>
          <t>ma</t>
        </is>
      </c>
      <c r="D180" t="inlineStr">
        <is>
          <t>vala.ma</t>
        </is>
      </c>
      <c r="E180" t="inlineStr">
        <is>
          <t>2026-10-30T14:56:13+00:00</t>
        </is>
      </c>
      <c r="F180" t="inlineStr">
        <is>
          <t>{"Keyword": "domaine ma", "Position": "17", "Search Volume": "720", "CPC": "0.38", "Url": "https://www.vala.ma/domaine", "Traffic": "2", "Competition": "0.67", "Keyword Difficulty": "42.00", "Intents": "0", "Trends": "0.82,0.82,0.82,0.82,0.82,0.82,0.82,0.82,1.00,1.00,1.00,0.82"}</t>
        </is>
      </c>
      <c r="G180" t="inlineStr">
        <is>
          <t>Raw (Semrush)</t>
        </is>
      </c>
    </row>
    <row r="181">
      <c r="A181" t="inlineStr">
        <is>
          <t>org-ma-vala.ma</t>
        </is>
      </c>
      <c r="B181" t="inlineStr">
        <is>
          <t>resource_organic</t>
        </is>
      </c>
      <c r="C181" t="inlineStr">
        <is>
          <t>ma</t>
        </is>
      </c>
      <c r="D181" t="inlineStr">
        <is>
          <t>vala.ma</t>
        </is>
      </c>
      <c r="E181" t="inlineStr">
        <is>
          <t>2026-10-30T14:56:13+00:00</t>
        </is>
      </c>
      <c r="F181" t="inlineStr">
        <is>
          <t>{"Keyword": "vps", "Position": "32", "Search Volume": "1900", "CPC": "1.52", "Url": "https://www.vala.ma/serveurs/serveurs-vps-maroc", "Traffic": "1", "Competition": "0.62", "Keyword Difficulty": "69.00", "Intents": "1", "Trends": "0.67,0.67,0.67,0.67,0.67,0.67,0.67,1.00,1.00,1.00,0.79,0.79"}</t>
        </is>
      </c>
      <c r="G181" t="inlineStr">
        <is>
          <t>Raw (Semrush)</t>
        </is>
      </c>
    </row>
    <row r="182">
      <c r="A182" t="inlineStr">
        <is>
          <t>org-ma-vala.ma</t>
        </is>
      </c>
      <c r="B182" t="inlineStr">
        <is>
          <t>resource_organic</t>
        </is>
      </c>
      <c r="C182" t="inlineStr">
        <is>
          <t>ma</t>
        </is>
      </c>
      <c r="D182" t="inlineStr">
        <is>
          <t>vala.ma</t>
        </is>
      </c>
      <c r="E182" t="inlineStr">
        <is>
          <t>2026-10-30T14:56:13+00:00</t>
        </is>
      </c>
      <c r="F182" t="inlineStr">
        <is>
          <t>{"Keyword": "ma domain", "Position": "21", "Search Volume": "1000", "CPC": "0.44", "Url": "https://www.vala.ma/domaine", "Traffic": "1", "Competition": "0.57", "Keyword Difficulty": "45.00", "Intents": "1", "Trends": "0.77,0.77,0.77,0.68,0.55,1.00,0.77,1.00,0.77,0.77,0.77,0.68"}</t>
        </is>
      </c>
      <c r="G182" t="inlineStr">
        <is>
          <t>Raw (Semrush)</t>
        </is>
      </c>
    </row>
    <row r="183">
      <c r="A183" t="inlineStr">
        <is>
          <t>org-ma-vala.ma</t>
        </is>
      </c>
      <c r="B183" t="inlineStr">
        <is>
          <t>resource_organic</t>
        </is>
      </c>
      <c r="C183" t="inlineStr">
        <is>
          <t>ma</t>
        </is>
      </c>
      <c r="D183" t="inlineStr">
        <is>
          <t>vala.ma</t>
        </is>
      </c>
      <c r="E183" t="inlineStr">
        <is>
          <t>2026-10-30T14:56:13+00:00</t>
        </is>
      </c>
      <c r="F183" t="inlineStr">
        <is>
          <t>{"Keyword": "e commerce au maroc", "Position": "13", "Search Volume": "480", "CPC": "0.28", "Url": "https://www.vala.ma/blog/post/e-commerce-maroc", "Traffic": "1", "Competition": "0.33", "Keyword Difficulty": "11.00", "Intents": "1", "Trends": "0.82,1.00,0.82,0.67,0.82,0.67,0.67,0.67,0.54,0.54,0.54,0.54"}</t>
        </is>
      </c>
      <c r="G183" t="inlineStr">
        <is>
          <t>Raw (Semrush)</t>
        </is>
      </c>
    </row>
    <row r="184">
      <c r="A184" t="inlineStr">
        <is>
          <t>org-ma-vala.ma</t>
        </is>
      </c>
      <c r="B184" t="inlineStr">
        <is>
          <t>resource_organic</t>
        </is>
      </c>
      <c r="C184" t="inlineStr">
        <is>
          <t>ma</t>
        </is>
      </c>
      <c r="D184" t="inlineStr">
        <is>
          <t>vala.ma</t>
        </is>
      </c>
      <c r="E184" t="inlineStr">
        <is>
          <t>2026-10-30T14:56:13+00:00</t>
        </is>
      </c>
      <c r="F184" t="inlineStr">
        <is>
          <t>{"Keyword": "hebergement web", "Position": "11", "Search Volume": "320", "CPC": "1.00", "Url": "https://www.vala.ma/blog/post/pourquoi-choisir-un-hebergement-web-au-maroc-5-criteres-pour-bien-choisir", "Traffic": "1", "Competition": "0.68", "Keyword Difficulty": "49.00", "Intents": "1", "Trends": "0.82,0.82,1.00,0.82,0.82,0.67,0.82,0.67,0.82,0.67,0.54,0.67"}</t>
        </is>
      </c>
      <c r="G184" t="inlineStr">
        <is>
          <t>Raw (Semrush)</t>
        </is>
      </c>
    </row>
    <row r="185">
      <c r="A185" t="inlineStr">
        <is>
          <t>org-ma-vala.ma</t>
        </is>
      </c>
      <c r="B185" t="inlineStr">
        <is>
          <t>resource_organic</t>
        </is>
      </c>
      <c r="C185" t="inlineStr">
        <is>
          <t>ma</t>
        </is>
      </c>
      <c r="D185" t="inlineStr">
        <is>
          <t>vala.ma</t>
        </is>
      </c>
      <c r="E185" t="inlineStr">
        <is>
          <t>2026-10-30T14:56:13+00:00</t>
        </is>
      </c>
      <c r="F185" t="inlineStr">
        <is>
          <t>{"Keyword": "vps", "Position": "46", "Search Volume": "1900", "CPC": "1.52", "Url": "https://www.vala.ma/serveurs/serveurs-vps-maroc", "Traffic": "0", "Competition": "0.62", "Keyword Difficulty": "69.00", "Intents": "1", "Trends": "0.67,0.67,0.67,0.67,0.67,0.67,0.67,1.00,1.00,1.00,0.79,0.79"}</t>
        </is>
      </c>
      <c r="G185" t="inlineStr">
        <is>
          <t>Raw (Semrush)</t>
        </is>
      </c>
    </row>
    <row r="186">
      <c r="A186" t="inlineStr">
        <is>
          <t>org-ma-vala.ma</t>
        </is>
      </c>
      <c r="B186" t="inlineStr">
        <is>
          <t>resource_organic</t>
        </is>
      </c>
      <c r="C186" t="inlineStr">
        <is>
          <t>ma</t>
        </is>
      </c>
      <c r="D186" t="inlineStr">
        <is>
          <t>vala.ma</t>
        </is>
      </c>
      <c r="E186" t="inlineStr">
        <is>
          <t>2026-10-30T14:56:13+00:00</t>
        </is>
      </c>
      <c r="F186" t="inlineStr">
        <is>
          <t>{"Keyword": "buy domain", "Position": "46", "Search Volume": "590", "CPC": "0.86", "Url": "https://www.vala.ma/domaine", "Traffic": "0", "Competition": "0.75", "Keyword Difficulty": "67.00", "Intents": "1", "Trends": "1.00,1.00,1.00,0.81,0.66,1.00,1.00,1.00,0.81,1.00,0.81,1.00"}</t>
        </is>
      </c>
      <c r="G186" t="inlineStr">
        <is>
          <t>Raw (Semrush)</t>
        </is>
      </c>
    </row>
    <row r="187">
      <c r="A187" t="inlineStr">
        <is>
          <t>org-ma-vala.ma</t>
        </is>
      </c>
      <c r="B187" t="inlineStr">
        <is>
          <t>resource_organic</t>
        </is>
      </c>
      <c r="C187" t="inlineStr">
        <is>
          <t>ma</t>
        </is>
      </c>
      <c r="D187" t="inlineStr">
        <is>
          <t>vala.ma</t>
        </is>
      </c>
      <c r="E187" t="inlineStr">
        <is>
          <t>2026-10-30T14:56:13+00:00</t>
        </is>
      </c>
      <c r="F187" t="inlineStr">
        <is>
          <t>{"Keyword": "vvlog", "Position": "41", "Search Volume": "720", "CPC": "0.00", "Url": "https://www.vala.ma/", "Traffic": "0", "Competition": "0.02", "Keyword Difficulty": "26.00", "Intents": "1", "Trends": "0.32,0.59,0.72,1.00,0.72,0.59,0.72,0.88,0.72,0.88,0.72,0.59"}</t>
        </is>
      </c>
      <c r="G187" t="inlineStr">
        <is>
          <t>Raw (Semrush)</t>
        </is>
      </c>
    </row>
    <row r="188">
      <c r="A188" t="inlineStr">
        <is>
          <t>org-ma-void.ma</t>
        </is>
      </c>
      <c r="B188" t="inlineStr">
        <is>
          <t>resource_organic</t>
        </is>
      </c>
      <c r="C188" t="inlineStr">
        <is>
          <t>ma</t>
        </is>
      </c>
      <c r="D188" t="inlineStr">
        <is>
          <t>void.ma</t>
        </is>
      </c>
      <c r="E188" t="inlineStr">
        <is>
          <t>2026-10-30T14:56:11+00:00</t>
        </is>
      </c>
      <c r="F188" t="inlineStr">
        <is>
          <t>{"Keyword": "www void ma", "Position": "1", "Search Volume": "320", "CPC": "1.99", "Url": "https://void.ma/", "Traffic": "256", "Competition": "0.02", "Keyword Difficulty": "25.00", "Intents": "1,2", "Trends": "1.00,1.00,0.67,0.54,0.67,0.81,0.54,0.44,0.44,0.67,1.00,0.54"}</t>
        </is>
      </c>
      <c r="G188" t="inlineStr">
        <is>
          <t>Raw (Semrush)</t>
        </is>
      </c>
    </row>
    <row r="189">
      <c r="A189" t="inlineStr">
        <is>
          <t>org-ma-void.ma</t>
        </is>
      </c>
      <c r="B189" t="inlineStr">
        <is>
          <t>resource_organic</t>
        </is>
      </c>
      <c r="C189" t="inlineStr">
        <is>
          <t>ma</t>
        </is>
      </c>
      <c r="D189" t="inlineStr">
        <is>
          <t>void.ma</t>
        </is>
      </c>
      <c r="E189" t="inlineStr">
        <is>
          <t>2026-10-30T14:56:11+00:00</t>
        </is>
      </c>
      <c r="F189" t="inlineStr">
        <is>
          <t>{"Keyword": "boite de communication casablanca", "Position": "6", "Search Volume": "6600", "CPC": "0.40", "Url": "https://void.ma/services/agence-communication-casablanca/", "Traffic": "198", "Competition": "0.58", "Keyword Difficulty": "38.00", "Intents": "0", "Trends": "1.00,0.11,0.01,0.01,0.16,0.01,0.01,0.67,0.02,0.01,0.01,0.01"}</t>
        </is>
      </c>
      <c r="G189" t="inlineStr">
        <is>
          <t>Raw (Semrush)</t>
        </is>
      </c>
    </row>
    <row r="190">
      <c r="A190" t="inlineStr">
        <is>
          <t>org-ma-void.ma</t>
        </is>
      </c>
      <c r="B190" t="inlineStr">
        <is>
          <t>resource_organic</t>
        </is>
      </c>
      <c r="C190" t="inlineStr">
        <is>
          <t>ma</t>
        </is>
      </c>
      <c r="D190" t="inlineStr">
        <is>
          <t>void.ma</t>
        </is>
      </c>
      <c r="E190" t="inlineStr">
        <is>
          <t>2026-10-30T14:56:11+00:00</t>
        </is>
      </c>
      <c r="F190" t="inlineStr">
        <is>
          <t>{"Keyword": "cx", "Position": "3", "Search Volume": "3600", "CPC": "0.54", "Url": "https://void.ma/publications/customer-experience-cx-guide-complet-maroc/", "Traffic": "108", "Competition": "0.33", "Keyword Difficulty": "21.00", "Intents": "1", "Trends": "1.00,1.00,0.82,0.82,0.82,0.82,0.82,0.66,0.82,1.00,1.00,1.00"}</t>
        </is>
      </c>
      <c r="G190" t="inlineStr">
        <is>
          <t>Raw (Semrush)</t>
        </is>
      </c>
    </row>
    <row r="191">
      <c r="A191" t="inlineStr">
        <is>
          <t>org-ma-void.ma</t>
        </is>
      </c>
      <c r="B191" t="inlineStr">
        <is>
          <t>resource_organic</t>
        </is>
      </c>
      <c r="C191" t="inlineStr">
        <is>
          <t>ma</t>
        </is>
      </c>
      <c r="D191" t="inlineStr">
        <is>
          <t>void.ma</t>
        </is>
      </c>
      <c r="E191" t="inlineStr">
        <is>
          <t>2026-10-30T14:56:11+00:00</t>
        </is>
      </c>
      <c r="F191" t="inlineStr">
        <is>
          <t>{"Keyword": "portail santé", "Position": "7", "Search Volume": "2400", "CPC": "0.00", "Url": "https://void.ma/secteurs/portail-patient/", "Traffic": "96", "Competition": "0.33", "Keyword Difficulty": "28.00", "Intents": "1", "Trends": "1.00,0.20,0.20,0.20,0.13,0.11,0.11,0.11,0.13,0.16,0.08,0.08"}</t>
        </is>
      </c>
      <c r="G191" t="inlineStr">
        <is>
          <t>Raw (Semrush)</t>
        </is>
      </c>
    </row>
    <row r="192">
      <c r="A192" t="inlineStr">
        <is>
          <t>org-ma-void.ma</t>
        </is>
      </c>
      <c r="B192" t="inlineStr">
        <is>
          <t>resource_organic</t>
        </is>
      </c>
      <c r="C192" t="inlineStr">
        <is>
          <t>ma</t>
        </is>
      </c>
      <c r="D192" t="inlineStr">
        <is>
          <t>void.ma</t>
        </is>
      </c>
      <c r="E192" t="inlineStr">
        <is>
          <t>2026-10-30T14:56:11+00:00</t>
        </is>
      </c>
      <c r="F192" t="inlineStr">
        <is>
          <t>{"Keyword": "marketplace", "Position": "17", "Search Volume": "27100", "CPC": "0.17", "Url": "https://void.ma/secteurs/marketplace-maroc/", "Traffic": "81", "Competition": "0.02", "Keyword Difficulty": "38.00", "Intents": "2", "Trends": "0.67,0.67,0.67,0.67,0.82,0.67,0.67,0.82,0.82,0.82,1.00,1.00"}</t>
        </is>
      </c>
      <c r="G192" t="inlineStr">
        <is>
          <t>Raw (Semrush)</t>
        </is>
      </c>
    </row>
    <row r="193">
      <c r="A193" t="inlineStr">
        <is>
          <t>org-ma-void.ma</t>
        </is>
      </c>
      <c r="B193" t="inlineStr">
        <is>
          <t>resource_organic</t>
        </is>
      </c>
      <c r="C193" t="inlineStr">
        <is>
          <t>ma</t>
        </is>
      </c>
      <c r="D193" t="inlineStr">
        <is>
          <t>void.ma</t>
        </is>
      </c>
      <c r="E193" t="inlineStr">
        <is>
          <t>2026-10-30T14:56:11+00:00</t>
        </is>
      </c>
      <c r="F193" t="inlineStr">
        <is>
          <t>{"Keyword": "e banking", "Position": "8", "Search Volume": "2900", "CPC": "0.47", "Url": "https://void.ma/secteurs/digital-banking-maroc/", "Traffic": "72", "Competition": "0.02", "Keyword Difficulty": "32.00", "Intents": "", "Trends": "0.67,0.81,0.81,0.81,0.67,0.81,0.67,0.81,0.81,0.81,0.81,1.00"}</t>
        </is>
      </c>
      <c r="G193" t="inlineStr">
        <is>
          <t>Raw (Semrush)</t>
        </is>
      </c>
    </row>
    <row r="194">
      <c r="A194" t="inlineStr">
        <is>
          <t>org-ma-void.ma</t>
        </is>
      </c>
      <c r="B194" t="inlineStr">
        <is>
          <t>resource_organic</t>
        </is>
      </c>
      <c r="C194" t="inlineStr">
        <is>
          <t>ma</t>
        </is>
      </c>
      <c r="D194" t="inlineStr">
        <is>
          <t>void.ma</t>
        </is>
      </c>
      <c r="E194" t="inlineStr">
        <is>
          <t>2026-10-30T14:56:11+00:00</t>
        </is>
      </c>
      <c r="F194" t="inlineStr">
        <is>
          <t>{"Keyword": "système d'authentification", "Position": "7", "Search Volume": "2400", "CPC": "0.43", "Url": "https://void.ma/publications/mfa-authentification-double-facteur-maroc-guide-dsi/", "Traffic": "72", "Competition": "0.02", "Keyword Difficulty": "27.00", "Intents": "1", "Trends": "0.09,0.07,0.05,0.11,0.81,0.20,0.16,0.30,1.00,0.67,0.12,0.04"}</t>
        </is>
      </c>
      <c r="G194" t="inlineStr">
        <is>
          <t>Raw (Semrush)</t>
        </is>
      </c>
    </row>
    <row r="195">
      <c r="A195" t="inlineStr">
        <is>
          <t>org-ma-void.ma</t>
        </is>
      </c>
      <c r="B195" t="inlineStr">
        <is>
          <t>resource_organic</t>
        </is>
      </c>
      <c r="C195" t="inlineStr">
        <is>
          <t>ma</t>
        </is>
      </c>
      <c r="D195" t="inlineStr">
        <is>
          <t>void.ma</t>
        </is>
      </c>
      <c r="E195" t="inlineStr">
        <is>
          <t>2026-10-30T14:56:11+00:00</t>
        </is>
      </c>
      <c r="F195" t="inlineStr">
        <is>
          <t>{"Keyword": "void", "Position": "2", "Search Volume": "880", "CPC": "0.89", "Url": "https://void.ma/", "Traffic": "61", "Competition": "0.01", "Keyword Difficulty": "23.00", "Intents": "1,3", "Trends": "0.67,0.82,0.82,1.00,1.00,1.00,1.00,1.00,1.00,1.00,0.82,1.00"}</t>
        </is>
      </c>
      <c r="G195" t="inlineStr">
        <is>
          <t>Raw (Semrush)</t>
        </is>
      </c>
    </row>
    <row r="196">
      <c r="A196" t="inlineStr">
        <is>
          <t>org-ma-void.ma</t>
        </is>
      </c>
      <c r="B196" t="inlineStr">
        <is>
          <t>resource_organic</t>
        </is>
      </c>
      <c r="C196" t="inlineStr">
        <is>
          <t>ma</t>
        </is>
      </c>
      <c r="D196" t="inlineStr">
        <is>
          <t>void.ma</t>
        </is>
      </c>
      <c r="E196" t="inlineStr">
        <is>
          <t>2026-10-30T14:56:11+00:00</t>
        </is>
      </c>
      <c r="F196" t="inlineStr">
        <is>
          <t>{"Keyword": "agence de communication", "Position": "5", "Search Volume": "1300", "CPC": "0.44", "Url": "https://void.ma/publications/agence-communication-digitale-casablanca-maroc/", "Traffic": "39", "Competition": "0.13", "Keyword Difficulty": "53.00", "Intents": "3", "Trends": "0.68,0.53,1.00,0.84,0.53,0.53,0.53,1.00,0.53,0.84,0.53,0.53"}</t>
        </is>
      </c>
      <c r="G196" t="inlineStr">
        <is>
          <t>Raw (Semrush)</t>
        </is>
      </c>
    </row>
    <row r="197">
      <c r="A197" t="inlineStr">
        <is>
          <t>org-ma-void.ma</t>
        </is>
      </c>
      <c r="B197" t="inlineStr">
        <is>
          <t>resource_organic</t>
        </is>
      </c>
      <c r="C197" t="inlineStr">
        <is>
          <t>ma</t>
        </is>
      </c>
      <c r="D197" t="inlineStr">
        <is>
          <t>void.ma</t>
        </is>
      </c>
      <c r="E197" t="inlineStr">
        <is>
          <t>2026-10-30T14:56:11+00:00</t>
        </is>
      </c>
      <c r="F197" t="inlineStr">
        <is>
          <t>{"Keyword": "n8n", "Position": "6", "Search Volume": "18100", "CPC": "0.19", "Url": "https://void.ma/publications/n8n-automatisation-workflows-ia-entreprise-guide-strategique/", "Traffic": "32", "Competition": "0.18", "Keyword Difficulty": "61.00", "Intents": "2", "Trends": "0.82,0.82,0.82,0.82,0.82,1.00,1.00,0.82,0.67,0.55,0.45,0.45"}</t>
        </is>
      </c>
      <c r="G197" t="inlineStr">
        <is>
          <t>Raw (Semrush)</t>
        </is>
      </c>
    </row>
    <row r="198">
      <c r="A198" t="inlineStr">
        <is>
          <t>org-ma-void.ma</t>
        </is>
      </c>
      <c r="B198" t="inlineStr">
        <is>
          <t>resource_organic</t>
        </is>
      </c>
      <c r="C198" t="inlineStr">
        <is>
          <t>ma</t>
        </is>
      </c>
      <c r="D198" t="inlineStr">
        <is>
          <t>void.ma</t>
        </is>
      </c>
      <c r="E198" t="inlineStr">
        <is>
          <t>2026-10-30T14:56:11+00:00</t>
        </is>
      </c>
      <c r="F198" t="inlineStr">
        <is>
          <t>{"Keyword": "agence web casablanca", "Position": "6", "Search Volume": "880", "CPC": "0.97", "Url": "https://void.ma/guides/meilleures-agences-digitales-casablanca/", "Traffic": "26", "Competition": "0.33", "Keyword Difficulty": "36.00", "Intents": "0", "Trends": "0.55,0.62,1.00,0.81,0.45,0.55,0.81,0.45,0.30,0.24,0.24,0.16"}</t>
        </is>
      </c>
      <c r="G198" t="inlineStr">
        <is>
          <t>Raw (Semrush)</t>
        </is>
      </c>
    </row>
    <row r="199">
      <c r="A199" t="inlineStr">
        <is>
          <t>org-ma-void.ma</t>
        </is>
      </c>
      <c r="B199" t="inlineStr">
        <is>
          <t>resource_organic</t>
        </is>
      </c>
      <c r="C199" t="inlineStr">
        <is>
          <t>ma</t>
        </is>
      </c>
      <c r="D199" t="inlineStr">
        <is>
          <t>void.ma</t>
        </is>
      </c>
      <c r="E199" t="inlineStr">
        <is>
          <t>2026-10-30T14:56:11+00:00</t>
        </is>
      </c>
      <c r="F199" t="inlineStr">
        <is>
          <t>{"Keyword": "cndp", "Position": "7", "Search Volume": "4400", "CPC": "0.00", "Url": "https://void.ma/guides/conformite-cndp-donnees-personnelles/", "Traffic": "26", "Competition": "0.33", "Keyword Difficulty": "32.00", "Intents": "2", "Trends": "1.00,0.44,0.67,1.00,0.81,0.81,1.00,1.00,0.81,1.00,0.81,0.81"}</t>
        </is>
      </c>
      <c r="G199" t="inlineStr">
        <is>
          <t>Raw (Semrush)</t>
        </is>
      </c>
    </row>
    <row r="200">
      <c r="A200" t="inlineStr">
        <is>
          <t>org-ma-void.ma</t>
        </is>
      </c>
      <c r="B200" t="inlineStr">
        <is>
          <t>resource_organic</t>
        </is>
      </c>
      <c r="C200" t="inlineStr">
        <is>
          <t>ma</t>
        </is>
      </c>
      <c r="D200" t="inlineStr">
        <is>
          <t>void.ma</t>
        </is>
      </c>
      <c r="E200" t="inlineStr">
        <is>
          <t>2026-10-30T14:56:11+00:00</t>
        </is>
      </c>
      <c r="F200" t="inlineStr">
        <is>
          <t>{"Keyword": "marketing agency", "Position": "4", "Search Volume": "720", "CPC": "0.69", "Url": "https://void.ma/publications/choisir-marketing-agency-digitale-maroc/", "Traffic": "21", "Competition": "0.11", "Keyword Difficulty": "37.00", "Intents": "1", "Trends": "0.72,0.72,0.48,0.88,0.59,0.59,0.72,1.00,0.59,1.00,0.88,0.72"}</t>
        </is>
      </c>
      <c r="G200" t="inlineStr">
        <is>
          <t>Raw (Semrush)</t>
        </is>
      </c>
    </row>
    <row r="201">
      <c r="A201" t="inlineStr">
        <is>
          <t>org-ma-void.ma</t>
        </is>
      </c>
      <c r="B201" t="inlineStr">
        <is>
          <t>resource_organic</t>
        </is>
      </c>
      <c r="C201" t="inlineStr">
        <is>
          <t>ma</t>
        </is>
      </c>
      <c r="D201" t="inlineStr">
        <is>
          <t>void.ma</t>
        </is>
      </c>
      <c r="E201" t="inlineStr">
        <is>
          <t>2026-10-30T14:56:11+00:00</t>
        </is>
      </c>
      <c r="F201" t="inlineStr">
        <is>
          <t>{"Keyword": "anti gravity", "Position": "7", "Search Volume": "8100", "CPC": "0.58", "Url": "https://void.ma/publications/google-antigravity-ide-agentic-gemini-3/", "Traffic": "21", "Competition": "0.02", "Keyword Difficulty": "47.00", "Intents": "2", "Trends": "0.00,0.00,0.00,0.00,0.55,0.67,0.55,0.82,1.00,0.82,0.82,0.55"}</t>
        </is>
      </c>
      <c r="G201" t="inlineStr">
        <is>
          <t>Raw (Semrush)</t>
        </is>
      </c>
    </row>
    <row r="202">
      <c r="A202" t="inlineStr">
        <is>
          <t>org-ma-void.ma</t>
        </is>
      </c>
      <c r="B202" t="inlineStr">
        <is>
          <t>resource_organic</t>
        </is>
      </c>
      <c r="C202" t="inlineStr">
        <is>
          <t>ma</t>
        </is>
      </c>
      <c r="D202" t="inlineStr">
        <is>
          <t>void.ma</t>
        </is>
      </c>
      <c r="E202" t="inlineStr">
        <is>
          <t>2026-10-30T14:56:11+00:00</t>
        </is>
      </c>
      <c r="F202" t="inlineStr">
        <is>
          <t>{"Keyword": "agence seo maroc", "Position": "6", "Search Volume": "720", "CPC": "1.25", "Url": "https://void.ma/expertises/seo/", "Traffic": "21", "Competition": "0.21", "Keyword Difficulty": "47.00", "Intents": "0", "Trends": "0.55,1.00,0.62,0.55,0.30,0.37,0.55,0.45,0.37,0.24,0.45,0.37"}</t>
        </is>
      </c>
      <c r="G202" t="inlineStr">
        <is>
          <t>Raw (Semrush)</t>
        </is>
      </c>
    </row>
    <row r="203">
      <c r="A203" t="inlineStr">
        <is>
          <t>org-ma-void.ma</t>
        </is>
      </c>
      <c r="B203" t="inlineStr">
        <is>
          <t>resource_organic</t>
        </is>
      </c>
      <c r="C203" t="inlineStr">
        <is>
          <t>ma</t>
        </is>
      </c>
      <c r="D203" t="inlineStr">
        <is>
          <t>void.ma</t>
        </is>
      </c>
      <c r="E203" t="inlineStr">
        <is>
          <t>2026-10-30T14:56:11+00:00</t>
        </is>
      </c>
      <c r="F203" t="inlineStr">
        <is>
          <t>{"Keyword": "agence marketing digital", "Position": "5", "Search Volume": "590", "CPC": "0.72", "Url": "https://void.ma/publications/choisir-marketing-agency-digitale-maroc/", "Traffic": "17", "Competition": "0.17", "Keyword Difficulty": "51.00", "Intents": "0", "Trends": "0.48,0.26,1.00,0.59,0.48,0.39,0.39,0.72,1.00,0.72,0.39,0.59"}</t>
        </is>
      </c>
      <c r="G203" t="inlineStr">
        <is>
          <t>Raw (Semrush)</t>
        </is>
      </c>
    </row>
    <row r="204">
      <c r="A204" t="inlineStr">
        <is>
          <t>org-ma-void.ma</t>
        </is>
      </c>
      <c r="B204" t="inlineStr">
        <is>
          <t>resource_organic</t>
        </is>
      </c>
      <c r="C204" t="inlineStr">
        <is>
          <t>ma</t>
        </is>
      </c>
      <c r="D204" t="inlineStr">
        <is>
          <t>void.ma</t>
        </is>
      </c>
      <c r="E204" t="inlineStr">
        <is>
          <t>2026-10-30T14:56:11+00:00</t>
        </is>
      </c>
      <c r="F204" t="inlineStr">
        <is>
          <t>{"Keyword": "agence de communication casablanca", "Position": "6", "Search Volume": "590", "CPC": "0.44", "Url": "https://void.ma/publications/agence-communication-digitale-casablanca-maroc/", "Traffic": "17", "Competition": "0.35", "Keyword Difficulty": "51.00", "Intents": "0", "Trends": "0.72,0.48,0.88,0.72,0.59,0.48,0.59,0.48,1.00,0.88,0.48,0.48"}</t>
        </is>
      </c>
      <c r="G204" t="inlineStr">
        <is>
          <t>Raw (Semrush)</t>
        </is>
      </c>
    </row>
    <row r="205">
      <c r="A205" t="inlineStr">
        <is>
          <t>org-ma-void.ma</t>
        </is>
      </c>
      <c r="B205" t="inlineStr">
        <is>
          <t>resource_organic</t>
        </is>
      </c>
      <c r="C205" t="inlineStr">
        <is>
          <t>ma</t>
        </is>
      </c>
      <c r="D205" t="inlineStr">
        <is>
          <t>void.ma</t>
        </is>
      </c>
      <c r="E205" t="inlineStr">
        <is>
          <t>2026-10-30T14:56:11+00:00</t>
        </is>
      </c>
      <c r="F205" t="inlineStr">
        <is>
          <t>{"Keyword": "cndp maroc", "Position": "6", "Search Volume": "1900", "CPC": "0.00", "Url": "https://void.ma/guides/conformite-cndp-donnees-personnelles/", "Traffic": "15", "Competition": "0.33", "Keyword Difficulty": "28.00", "Intents": "2", "Trends": "1.00,0.42,0.54,0.79,0.67,0.67,1.00,1.00,0.67,1.00,0.67,0.79"}</t>
        </is>
      </c>
      <c r="G205" t="inlineStr">
        <is>
          <t>Raw (Semrush)</t>
        </is>
      </c>
    </row>
    <row r="206">
      <c r="A206" t="inlineStr">
        <is>
          <t>org-ma-void.ma</t>
        </is>
      </c>
      <c r="B206" t="inlineStr">
        <is>
          <t>resource_organic</t>
        </is>
      </c>
      <c r="C206" t="inlineStr">
        <is>
          <t>ma</t>
        </is>
      </c>
      <c r="D206" t="inlineStr">
        <is>
          <t>void.ma</t>
        </is>
      </c>
      <c r="E206" t="inlineStr">
        <is>
          <t>2026-10-30T14:56:11+00:00</t>
        </is>
      </c>
      <c r="F206" t="inlineStr">
        <is>
          <t>{"Keyword": "digital marketing agency", "Position": "4", "Search Volume": "390", "CPC": "0.64", "Url": "https://void.ma/publications/choisir-marketing-agency-digitale-maroc/", "Traffic": "15", "Competition": "0.16", "Keyword Difficulty": "56.00", "Intents": "1", "Trends": "0.66,0.54,0.36,0.66,0.66,0.66,1.00,0.81,0.66,0.81,0.66,0.66"}</t>
        </is>
      </c>
      <c r="G206" t="inlineStr">
        <is>
          <t>Raw (Semrush)</t>
        </is>
      </c>
    </row>
    <row r="207">
      <c r="A207" t="inlineStr">
        <is>
          <t>org-ma-void.ma</t>
        </is>
      </c>
      <c r="B207" t="inlineStr">
        <is>
          <t>resource_organic</t>
        </is>
      </c>
      <c r="C207" t="inlineStr">
        <is>
          <t>ma</t>
        </is>
      </c>
      <c r="D207" t="inlineStr">
        <is>
          <t>void.ma</t>
        </is>
      </c>
      <c r="E207" t="inlineStr">
        <is>
          <t>2026-10-30T14:56:11+00:00</t>
        </is>
      </c>
      <c r="F207" t="inlineStr">
        <is>
          <t>{"Keyword": "sih", "Position": "9", "Search Volume": "590", "CPC": "0.00", "Url": "https://void.ma/secteurs/systeme-information-hospitalier/", "Traffic": "14", "Competition": "0.10", "Keyword Difficulty": "14.00", "Intents": "1", "Trends": "0.25,0.21,0.21,0.21,0.25,0.25,0.25,0.21,0.25,0.17,0.21,1.00"}</t>
        </is>
      </c>
      <c r="G207" t="inlineStr">
        <is>
          <t>Raw (Semrush)</t>
        </is>
      </c>
    </row>
    <row r="208">
      <c r="A208" t="inlineStr">
        <is>
          <t>org-ma-void.ma</t>
        </is>
      </c>
      <c r="B208" t="inlineStr">
        <is>
          <t>resource_organic</t>
        </is>
      </c>
      <c r="C208" t="inlineStr">
        <is>
          <t>ma</t>
        </is>
      </c>
      <c r="D208" t="inlineStr">
        <is>
          <t>void.ma</t>
        </is>
      </c>
      <c r="E208" t="inlineStr">
        <is>
          <t>2026-10-30T14:56:11+00:00</t>
        </is>
      </c>
      <c r="F208" t="inlineStr">
        <is>
          <t>{"Keyword": "marketplace maroc", "Position": "10", "Search Volume": "2400", "CPC": "0.11", "Url": "https://void.ma/secteurs/marketplace-maroc/", "Traffic": "14", "Competition": "0.04", "Keyword Difficulty": "36.00", "Intents": "1", "Trends": "0.67,0.81,0.81,0.81,0.81,0.81,1.00,0.67,0.81,0.53,0.44,0.53"}</t>
        </is>
      </c>
      <c r="G208" t="inlineStr">
        <is>
          <t>Raw (Semrush)</t>
        </is>
      </c>
    </row>
    <row r="209">
      <c r="A209" t="inlineStr">
        <is>
          <t>org-ma-void.ma</t>
        </is>
      </c>
      <c r="B209" t="inlineStr">
        <is>
          <t>resource_organic</t>
        </is>
      </c>
      <c r="C209" t="inlineStr">
        <is>
          <t>ma</t>
        </is>
      </c>
      <c r="D209" t="inlineStr">
        <is>
          <t>void.ma</t>
        </is>
      </c>
      <c r="E209" t="inlineStr">
        <is>
          <t>2026-10-30T14:56:11+00:00</t>
        </is>
      </c>
      <c r="F209" t="inlineStr">
        <is>
          <t>{"Keyword": "open banking", "Position": "5", "Search Volume": "320", "CPC": "0.65", "Url": "https://void.ma/secteurs/open-banking-maroc/", "Traffic": "12", "Competition": "0.06", "Keyword Difficulty": "26.00", "Intents": "1", "Trends": "0.82,0.67,0.67,0.67,0.82,1.00,0.67,0.82,0.67,0.67,1.00,0.82"}</t>
        </is>
      </c>
      <c r="G209" t="inlineStr">
        <is>
          <t>Raw (Semrush)</t>
        </is>
      </c>
    </row>
    <row r="210">
      <c r="A210" t="inlineStr">
        <is>
          <t>org-ma-void.ma</t>
        </is>
      </c>
      <c r="B210" t="inlineStr">
        <is>
          <t>resource_organic</t>
        </is>
      </c>
      <c r="C210" t="inlineStr">
        <is>
          <t>ma</t>
        </is>
      </c>
      <c r="D210" t="inlineStr">
        <is>
          <t>void.ma</t>
        </is>
      </c>
      <c r="E210" t="inlineStr">
        <is>
          <t>2026-10-30T14:56:11+00:00</t>
        </is>
      </c>
      <c r="F210" t="inlineStr">
        <is>
          <t>{"Keyword": "agence marketing", "Position": "5", "Search Volume": "480", "CPC": "0.47", "Url": "https://void.ma/publications/choisir-marketing-agency-digitale-maroc/", "Traffic": "12", "Competition": "0.10", "Keyword Difficulty": "47.00", "Intents": "0", "Trends": "0.67,0.67,0.54,0.67,0.54,0.82,0.82,1.00,0.44,0.82,0.54,0.54"}</t>
        </is>
      </c>
      <c r="G210" t="inlineStr">
        <is>
          <t>Raw (Semrush)</t>
        </is>
      </c>
    </row>
    <row r="211">
      <c r="A211" t="inlineStr">
        <is>
          <t>org-ma-void.ma</t>
        </is>
      </c>
      <c r="B211" t="inlineStr">
        <is>
          <t>resource_organic</t>
        </is>
      </c>
      <c r="C211" t="inlineStr">
        <is>
          <t>ma</t>
        </is>
      </c>
      <c r="D211" t="inlineStr">
        <is>
          <t>void.ma</t>
        </is>
      </c>
      <c r="E211" t="inlineStr">
        <is>
          <t>2026-10-30T14:56:11+00:00</t>
        </is>
      </c>
      <c r="F211" t="inlineStr">
        <is>
          <t>{"Keyword": "agence web maroc", "Position": "6", "Search Volume": "390", "CPC": "0.78", "Url": "https://void.ma/services/agence-web-maroc/", "Traffic": "11", "Competition": "0.21", "Keyword Difficulty": "44.00", "Intents": "0", "Trends": "0.54,0.54,0.54,0.44,0.67,0.67,1.00,0.44,0.67,0.44,0.54,0.54"}</t>
        </is>
      </c>
      <c r="G211" t="inlineStr">
        <is>
          <t>Raw (Semrush)</t>
        </is>
      </c>
    </row>
    <row r="212">
      <c r="A212" t="inlineStr">
        <is>
          <t>org-ma-void.ma</t>
        </is>
      </c>
      <c r="B212" t="inlineStr">
        <is>
          <t>resource_organic</t>
        </is>
      </c>
      <c r="C212" t="inlineStr">
        <is>
          <t>ma</t>
        </is>
      </c>
      <c r="D212" t="inlineStr">
        <is>
          <t>void.ma</t>
        </is>
      </c>
      <c r="E212" t="inlineStr">
        <is>
          <t>2026-10-30T14:56:11+00:00</t>
        </is>
      </c>
      <c r="F212" t="inlineStr">
        <is>
          <t>{"Keyword": "agence marketing digital casablanca", "Position": "6", "Search Volume": "390", "CPC": "0.62", "Url": "https://void.ma/services/agence-marketing-digital-maroc/", "Traffic": "11", "Competition": "0.16", "Keyword Difficulty": "39.00", "Intents": "0", "Trends": "0.44,0.29,0.81,0.54,0.81,0.36,0.44,0.81,0.81,0.81,1.00,0.81"}</t>
        </is>
      </c>
      <c r="G212" t="inlineStr">
        <is>
          <t>Raw (Semrush)</t>
        </is>
      </c>
    </row>
    <row r="213">
      <c r="A213" t="inlineStr">
        <is>
          <t>org-ma-website.ma</t>
        </is>
      </c>
      <c r="B213" t="inlineStr">
        <is>
          <t>resource_organic</t>
        </is>
      </c>
      <c r="C213" t="inlineStr">
        <is>
          <t>ma</t>
        </is>
      </c>
      <c r="D213" t="inlineStr">
        <is>
          <t>website.ma</t>
        </is>
      </c>
      <c r="E213" t="inlineStr">
        <is>
          <t>2026-10-30T14:56:21+00:00</t>
        </is>
      </c>
      <c r="F213" t="inlineStr">
        <is>
          <t>{"Keyword": "creation des sites web", "Position": "3", "Search Volume": "880", "CPC": "0.46", "Url": "https://www.website.ma/", "Traffic": "61", "Competition": "0.39", "Keyword Difficulty": "58.00", "Intents": "1", "Trends": "1.00,0.77,0.68,0.68,0.55,0.68,0.55,0.68,0.77,0.77,0.68,0.77"}</t>
        </is>
      </c>
      <c r="G213" t="inlineStr">
        <is>
          <t>Raw (Semrush)</t>
        </is>
      </c>
    </row>
    <row r="214">
      <c r="A214" t="inlineStr">
        <is>
          <t>org-ma-website.ma</t>
        </is>
      </c>
      <c r="B214" t="inlineStr">
        <is>
          <t>resource_organic</t>
        </is>
      </c>
      <c r="C214" t="inlineStr">
        <is>
          <t>ma</t>
        </is>
      </c>
      <c r="D214" t="inlineStr">
        <is>
          <t>website.ma</t>
        </is>
      </c>
      <c r="E214" t="inlineStr">
        <is>
          <t>2026-10-30T14:56:21+00:00</t>
        </is>
      </c>
      <c r="F214" t="inlineStr">
        <is>
          <t>{"Keyword": "site web", "Position": "8", "Search Volume": "1900", "CPC": "0.40", "Url": "https://www.website.ma/", "Traffic": "57", "Competition": "0.39", "Keyword Difficulty": "62.00", "Intents": "1", "Trends": "0.79,0.54,0.67,0.79,0.79,1.00,0.79,0.79,0.79,0.79,0.67,0.79"}</t>
        </is>
      </c>
      <c r="G214" t="inlineStr">
        <is>
          <t>Raw (Semrush)</t>
        </is>
      </c>
    </row>
    <row r="215">
      <c r="A215" t="inlineStr">
        <is>
          <t>org-ma-website.ma</t>
        </is>
      </c>
      <c r="B215" t="inlineStr">
        <is>
          <t>resource_organic</t>
        </is>
      </c>
      <c r="C215" t="inlineStr">
        <is>
          <t>ma</t>
        </is>
      </c>
      <c r="D215" t="inlineStr">
        <is>
          <t>website.ma</t>
        </is>
      </c>
      <c r="E215" t="inlineStr">
        <is>
          <t>2026-10-30T14:56:21+00:00</t>
        </is>
      </c>
      <c r="F215" t="inlineStr">
        <is>
          <t>{"Keyword": "creation site web", "Position": "1", "Search Volume": "390", "CPC": "0.75", "Url": "https://www.website.ma/", "Traffic": "50", "Competition": "0.49", "Keyword Difficulty": "69.00", "Intents": "1", "Trends": "0.81,1.00,1.00,0.81,1.00,0.81,1.00,0.67,0.81,0.67,0.67,0.67"}</t>
        </is>
      </c>
      <c r="G215" t="inlineStr">
        <is>
          <t>Raw (Semrush)</t>
        </is>
      </c>
    </row>
    <row r="216">
      <c r="A216" t="inlineStr">
        <is>
          <t>org-ma-website.ma</t>
        </is>
      </c>
      <c r="B216" t="inlineStr">
        <is>
          <t>resource_organic</t>
        </is>
      </c>
      <c r="C216" t="inlineStr">
        <is>
          <t>ma</t>
        </is>
      </c>
      <c r="D216" t="inlineStr">
        <is>
          <t>website.ma</t>
        </is>
      </c>
      <c r="E216" t="inlineStr">
        <is>
          <t>2026-10-30T14:56:21+00:00</t>
        </is>
      </c>
      <c r="F216" t="inlineStr">
        <is>
          <t>{"Keyword": "creation site web maroc", "Position": "1", "Search Volume": "1000", "CPC": "0.77", "Url": "https://www.website.ma/", "Traffic": "50", "Competition": "0.22", "Keyword Difficulty": "22.00", "Intents": "1", "Trends": "0.77,0.77,1.00,1.00,0.77,0.68,0.77,1.00,0.77,0.77,0.55,0.68"}</t>
        </is>
      </c>
      <c r="G216" t="inlineStr">
        <is>
          <t>Raw (Semrush)</t>
        </is>
      </c>
    </row>
    <row r="217">
      <c r="A217" t="inlineStr">
        <is>
          <t>org-ma-website.ma</t>
        </is>
      </c>
      <c r="B217" t="inlineStr">
        <is>
          <t>resource_organic</t>
        </is>
      </c>
      <c r="C217" t="inlineStr">
        <is>
          <t>ma</t>
        </is>
      </c>
      <c r="D217" t="inlineStr">
        <is>
          <t>website.ma</t>
        </is>
      </c>
      <c r="E217" t="inlineStr">
        <is>
          <t>2026-10-30T14:56:21+00:00</t>
        </is>
      </c>
      <c r="F217" t="inlineStr">
        <is>
          <t>{"Keyword": "contacter nous", "Position": "24", "Search Volume": "590", "CPC": "0.00", "Url": "https://www.website.ma/contact/", "Traffic": "0", "Competition": "0.33", "Keyword Difficulty": "7.00", "Intents": "1", "Trends": "1.00,1.00,1.00,1.00,0.82,0.82,0.82,0.82,0.67,0.67,0.54,0.54"}</t>
        </is>
      </c>
      <c r="G217" t="inlineStr">
        <is>
          <t>Raw (Semrush)</t>
        </is>
      </c>
    </row>
    <row r="218">
      <c r="A218" t="inlineStr">
        <is>
          <t>org-ma-website.ma</t>
        </is>
      </c>
      <c r="B218" t="inlineStr">
        <is>
          <t>resource_organic</t>
        </is>
      </c>
      <c r="C218" t="inlineStr">
        <is>
          <t>ma</t>
        </is>
      </c>
      <c r="D218" t="inlineStr">
        <is>
          <t>website.ma</t>
        </is>
      </c>
      <c r="E218" t="inlineStr">
        <is>
          <t>2026-10-30T14:56:21+00:00</t>
        </is>
      </c>
      <c r="F218" t="inlineStr">
        <is>
          <t>{"Keyword": "website", "Position": "45", "Search Volume": "2400", "CPC": "0.15", "Url": "https://www.website.ma/", "Traffic": "0", "Competition": "0.19", "Keyword Difficulty": "58.00", "Intents": "1", "Trends": "0.83,1.00,1.00,0.83,0.83,0.83,1.00,0.83,0.83,0.83,0.66,0.66"}</t>
        </is>
      </c>
      <c r="G218" t="inlineStr">
        <is>
          <t>Raw (Semrush)</t>
        </is>
      </c>
    </row>
    <row r="219">
      <c r="A219" t="inlineStr">
        <is>
          <t>org-ma-websuccess.ma</t>
        </is>
      </c>
      <c r="B219" t="inlineStr">
        <is>
          <t>resource_organic</t>
        </is>
      </c>
      <c r="C219" t="inlineStr">
        <is>
          <t>ma</t>
        </is>
      </c>
      <c r="D219" t="inlineStr">
        <is>
          <t>websuccess.ma</t>
        </is>
      </c>
      <c r="E219" t="inlineStr">
        <is>
          <t>2026-10-30T14:56:22+00:00</t>
        </is>
      </c>
      <c r="F219" t="inlineStr">
        <is>
          <t>{"Keyword": "creation site web maroc", "Position": "2", "Search Volume": "1000", "CPC": "0.77", "Url": "https://websuccess.ma/blog/cout-creation-site-web-maroc", "Traffic": "40", "Competition": "0.22", "Keyword Difficulty": "22.00", "Intents": "1", "Trends": "0.77,0.77,1.00,1.00,0.77,0.68,0.77,1.00,0.77,0.77,0.55,0.68"}</t>
        </is>
      </c>
      <c r="G219" t="inlineStr">
        <is>
          <t>Raw (Semrush)</t>
        </is>
      </c>
    </row>
    <row r="220">
      <c r="A220" t="inlineStr">
        <is>
          <t>org-ma-websuccess.ma</t>
        </is>
      </c>
      <c r="B220" t="inlineStr">
        <is>
          <t>resource_organic</t>
        </is>
      </c>
      <c r="C220" t="inlineStr">
        <is>
          <t>ma</t>
        </is>
      </c>
      <c r="D220" t="inlineStr">
        <is>
          <t>websuccess.ma</t>
        </is>
      </c>
      <c r="E220" t="inlineStr">
        <is>
          <t>2026-10-30T14:56:22+00:00</t>
        </is>
      </c>
      <c r="F220" t="inlineStr">
        <is>
          <t>{"Keyword": "e commerce au maroc", "Position": "3", "Search Volume": "480", "CPC": "0.28", "Url": "https://websuccess.ma/blog/e-commerce-maroc-guide-complet", "Traffic": "24", "Competition": "0.33", "Keyword Difficulty": "11.00", "Intents": "1", "Trends": "0.82,1.00,0.82,0.67,0.82,0.67,0.67,0.67,0.54,0.54,0.54,0.54"}</t>
        </is>
      </c>
      <c r="G220" t="inlineStr">
        <is>
          <t>Raw (Semrush)</t>
        </is>
      </c>
    </row>
    <row r="221">
      <c r="A221" t="inlineStr">
        <is>
          <t>org-ma-websuccess.ma</t>
        </is>
      </c>
      <c r="B221" t="inlineStr">
        <is>
          <t>resource_organic</t>
        </is>
      </c>
      <c r="C221" t="inlineStr">
        <is>
          <t>ma</t>
        </is>
      </c>
      <c r="D221" t="inlineStr">
        <is>
          <t>websuccess.ma</t>
        </is>
      </c>
      <c r="E221" t="inlineStr">
        <is>
          <t>2026-10-30T14:56:22+00:00</t>
        </is>
      </c>
      <c r="F221" t="inlineStr">
        <is>
          <t>{"Keyword": "agence web maroc", "Position": "2", "Search Volume": "390", "CPC": "0.78", "Url": "https://websuccess.ma/", "Traffic": "19", "Competition": "0.21", "Keyword Difficulty": "44.00", "Intents": "0", "Trends": "0.54,0.54,0.54,0.44,0.67,0.67,1.00,0.44,0.67,0.44,0.54,0.54"}</t>
        </is>
      </c>
      <c r="G221" t="inlineStr">
        <is>
          <t>Raw (Semrush)</t>
        </is>
      </c>
    </row>
    <row r="222">
      <c r="A222" t="inlineStr">
        <is>
          <t>org-ma-websuccess.ma</t>
        </is>
      </c>
      <c r="B222" t="inlineStr">
        <is>
          <t>resource_organic</t>
        </is>
      </c>
      <c r="C222" t="inlineStr">
        <is>
          <t>ma</t>
        </is>
      </c>
      <c r="D222" t="inlineStr">
        <is>
          <t>websuccess.ma</t>
        </is>
      </c>
      <c r="E222" t="inlineStr">
        <is>
          <t>2026-10-30T14:56:22+00:00</t>
        </is>
      </c>
      <c r="F222" t="inlineStr">
        <is>
          <t>{"Keyword": "agence web marrakech", "Position": "4", "Search Volume": "390", "CPC": "1.01", "Url": "https://websuccess.ma/villes/agence-web-marrakech", "Traffic": "15", "Competition": "0.26", "Keyword Difficulty": "39.00", "Intents": "0", "Trends": "0.54,0.44,0.36,0.44,0.44,0.66,0.66,0.66,1.00,0.81,0.66,0.54"}</t>
        </is>
      </c>
      <c r="G222" t="inlineStr">
        <is>
          <t>Raw (Semrush)</t>
        </is>
      </c>
    </row>
    <row r="223">
      <c r="A223" t="inlineStr">
        <is>
          <t>org-ma-websuccess.ma</t>
        </is>
      </c>
      <c r="B223" t="inlineStr">
        <is>
          <t>resource_organic</t>
        </is>
      </c>
      <c r="C223" t="inlineStr">
        <is>
          <t>ma</t>
        </is>
      </c>
      <c r="D223" t="inlineStr">
        <is>
          <t>websuccess.ma</t>
        </is>
      </c>
      <c r="E223" t="inlineStr">
        <is>
          <t>2026-10-30T14:56:22+00:00</t>
        </is>
      </c>
      <c r="F223" t="inlineStr">
        <is>
          <t>{"Keyword": "creation site web marrakech", "Position": "7", "Search Volume": "590", "CPC": "0.96", "Url": "https://websuccess.ma/villes/agence-web-marrakech", "Traffic": "14", "Competition": "0.34", "Keyword Difficulty": "12.00", "Intents": "0", "Trends": "0.72,0.72,1.00,0.59,0.72,0.72,0.59,0.39,0.59,0.59,0.59,0.48"}</t>
        </is>
      </c>
      <c r="G223" t="inlineStr">
        <is>
          <t>Raw (Semrush)</t>
        </is>
      </c>
    </row>
    <row r="224">
      <c r="A224" t="inlineStr">
        <is>
          <t>org-ma-websuccess.ma</t>
        </is>
      </c>
      <c r="B224" t="inlineStr">
        <is>
          <t>resource_organic</t>
        </is>
      </c>
      <c r="C224" t="inlineStr">
        <is>
          <t>ma</t>
        </is>
      </c>
      <c r="D224" t="inlineStr">
        <is>
          <t>websuccess.ma</t>
        </is>
      </c>
      <c r="E224" t="inlineStr">
        <is>
          <t>2026-10-30T14:56:22+00:00</t>
        </is>
      </c>
      <c r="F224" t="inlineStr">
        <is>
          <t>{"Keyword": "e commerce maroc", "Position": "5", "Search Volume": "480", "CPC": "0.16", "Url": "https://websuccess.ma/blog/e-commerce-maroc-guide-complet", "Traffic": "14", "Competition": "0.21", "Keyword Difficulty": "11.00", "Intents": "1", "Trends": "0.67,0.67,0.82,1.00,0.82,0.67,0.82,0.67,0.67,0.67,0.54,0.54"}</t>
        </is>
      </c>
      <c r="G224" t="inlineStr">
        <is>
          <t>Raw (Semrush)</t>
        </is>
      </c>
    </row>
    <row r="225">
      <c r="A225" t="inlineStr">
        <is>
          <t>org-ma-websuccess.ma</t>
        </is>
      </c>
      <c r="B225" t="inlineStr">
        <is>
          <t>resource_organic</t>
        </is>
      </c>
      <c r="C225" t="inlineStr">
        <is>
          <t>ma</t>
        </is>
      </c>
      <c r="D225" t="inlineStr">
        <is>
          <t>websuccess.ma</t>
        </is>
      </c>
      <c r="E225" t="inlineStr">
        <is>
          <t>2026-10-30T14:56:22+00:00</t>
        </is>
      </c>
      <c r="F225" t="inlineStr">
        <is>
          <t>{"Keyword": "agence web", "Position": "5", "Search Volume": "480", "CPC": "0.65", "Url": "https://websuccess.ma/contact", "Traffic": "14", "Competition": "0.22", "Keyword Difficulty": "25.00", "Intents": "0", "Trends": "0.67,0.54,0.82,0.67,0.67,1.00,0.67,0.67,0.67,0.67,0.54,0.44"}</t>
        </is>
      </c>
      <c r="G225" t="inlineStr">
        <is>
          <t>Raw (Semrush)</t>
        </is>
      </c>
    </row>
    <row r="226">
      <c r="A226" t="inlineStr">
        <is>
          <t>org-ma-websuccess.ma</t>
        </is>
      </c>
      <c r="B226" t="inlineStr">
        <is>
          <t>resource_organic</t>
        </is>
      </c>
      <c r="C226" t="inlineStr">
        <is>
          <t>ma</t>
        </is>
      </c>
      <c r="D226" t="inlineStr">
        <is>
          <t>websuccess.ma</t>
        </is>
      </c>
      <c r="E226" t="inlineStr">
        <is>
          <t>2026-10-30T14:56:22+00:00</t>
        </is>
      </c>
      <c r="F226" t="inlineStr">
        <is>
          <t>{"Keyword": "snapchat maroc dossier", "Position": "5", "Search Volume": "880", "CPC": "0.00", "Url": "https://websuccess.ma/blog/statistiques-snapchat", "Traffic": "7", "Competition": "0.00", "Keyword Difficulty": "31.00", "Intents": "1", "Trends": "0.00,0.00,0.00,0.00,0.00,0.00,0.00,0.00,0.00,0.00,0.00,1.00"}</t>
        </is>
      </c>
      <c r="G226" t="inlineStr">
        <is>
          <t>Raw (Semrush)</t>
        </is>
      </c>
    </row>
    <row r="227">
      <c r="A227" t="inlineStr">
        <is>
          <t>org-ma-websuccess.ma</t>
        </is>
      </c>
      <c r="B227" t="inlineStr">
        <is>
          <t>resource_organic</t>
        </is>
      </c>
      <c r="C227" t="inlineStr">
        <is>
          <t>ma</t>
        </is>
      </c>
      <c r="D227" t="inlineStr">
        <is>
          <t>websuccess.ma</t>
        </is>
      </c>
      <c r="E227" t="inlineStr">
        <is>
          <t>2026-10-30T14:56:22+00:00</t>
        </is>
      </c>
      <c r="F227" t="inlineStr">
        <is>
          <t>{"Keyword": "agence web casablanca", "Position": "13", "Search Volume": "880", "CPC": "0.97", "Url": "https://websuccess.ma/", "Traffic": "3", "Competition": "0.33", "Keyword Difficulty": "36.00", "Intents": "0", "Trends": "0.55,0.62,1.00,0.81,0.45,0.55,0.81,0.45,0.30,0.24,0.24,0.16"}</t>
        </is>
      </c>
      <c r="G227" t="inlineStr">
        <is>
          <t>Raw (Semrush)</t>
        </is>
      </c>
    </row>
    <row r="228">
      <c r="A228" t="inlineStr">
        <is>
          <t>org-ma-websuccess.ma</t>
        </is>
      </c>
      <c r="B228" t="inlineStr">
        <is>
          <t>resource_organic</t>
        </is>
      </c>
      <c r="C228" t="inlineStr">
        <is>
          <t>ma</t>
        </is>
      </c>
      <c r="D228" t="inlineStr">
        <is>
          <t>websuccess.ma</t>
        </is>
      </c>
      <c r="E228" t="inlineStr">
        <is>
          <t>2026-10-30T14:56:22+00:00</t>
        </is>
      </c>
      <c r="F228" t="inlineStr">
        <is>
          <t>{"Keyword": "shopify maroc", "Position": "4", "Search Volume": "320", "CPC": "18.76", "Url": "https://websuccess.ma/services/creation-site-web-maroc/agence-shopify", "Traffic": "3", "Competition": "0.39", "Keyword Difficulty": "18.00", "Intents": "1,2", "Trends": "1.00,0.82,0.82,0.82,0.67,0.82,0.67,0.82,0.54,0.67,0.67,0.67"}</t>
        </is>
      </c>
      <c r="G228" t="inlineStr">
        <is>
          <t>Raw (Semrush)</t>
        </is>
      </c>
    </row>
    <row r="229">
      <c r="A229" t="inlineStr">
        <is>
          <t>org-ma-websuccess.ma</t>
        </is>
      </c>
      <c r="B229" t="inlineStr">
        <is>
          <t>resource_organic</t>
        </is>
      </c>
      <c r="C229" t="inlineStr">
        <is>
          <t>ma</t>
        </is>
      </c>
      <c r="D229" t="inlineStr">
        <is>
          <t>websuccess.ma</t>
        </is>
      </c>
      <c r="E229" t="inlineStr">
        <is>
          <t>2026-10-30T14:56:22+00:00</t>
        </is>
      </c>
      <c r="F229" t="inlineStr">
        <is>
          <t>{"Keyword": "agence seo maroc", "Position": "18", "Search Volume": "720", "CPC": "1.25", "Url": "https://websuccess.ma/services/agence-seo-maroc", "Traffic": "1", "Competition": "0.21", "Keyword Difficulty": "47.00", "Intents": "0", "Trends": "0.55,1.00,0.62,0.55,0.30,0.37,0.55,0.45,0.37,0.24,0.45,0.37"}</t>
        </is>
      </c>
      <c r="G229" t="inlineStr">
        <is>
          <t>Raw (Semrush)</t>
        </is>
      </c>
    </row>
    <row r="230">
      <c r="A230" t="inlineStr">
        <is>
          <t>org-ma-websuccess.ma</t>
        </is>
      </c>
      <c r="B230" t="inlineStr">
        <is>
          <t>resource_organic</t>
        </is>
      </c>
      <c r="C230" t="inlineStr">
        <is>
          <t>ma</t>
        </is>
      </c>
      <c r="D230" t="inlineStr">
        <is>
          <t>websuccess.ma</t>
        </is>
      </c>
      <c r="E230" t="inlineStr">
        <is>
          <t>2026-10-30T14:56:22+00:00</t>
        </is>
      </c>
      <c r="F230" t="inlineStr">
        <is>
          <t>{"Keyword": "agence web casablanca", "Position": "53", "Search Volume": "880", "CPC": "0.97", "Url": "https://websuccess.ma/villes/agence-web-casablanca", "Traffic": "0", "Competition": "0.33", "Keyword Difficulty": "36.00", "Intents": "0", "Trends": "0.55,0.62,1.00,0.81,0.45,0.55,0.81,0.45,0.30,0.24,0.24,0.16"}</t>
        </is>
      </c>
      <c r="G230" t="inlineStr">
        <is>
          <t>Raw (Semrush)</t>
        </is>
      </c>
    </row>
    <row r="231">
      <c r="A231" t="inlineStr">
        <is>
          <t>org-ma-websuccess.ma</t>
        </is>
      </c>
      <c r="B231" t="inlineStr">
        <is>
          <t>resource_organic</t>
        </is>
      </c>
      <c r="C231" t="inlineStr">
        <is>
          <t>ma</t>
        </is>
      </c>
      <c r="D231" t="inlineStr">
        <is>
          <t>websuccess.ma</t>
        </is>
      </c>
      <c r="E231" t="inlineStr">
        <is>
          <t>2026-10-30T14:56:22+00:00</t>
        </is>
      </c>
      <c r="F231" t="inlineStr">
        <is>
          <t>{"Keyword": "creation site web tanger", "Position": "16", "Search Volume": "320", "CPC": "0.81", "Url": "https://websuccess.ma/villes/agence-web-tanger", "Traffic": "0", "Competition": "0.18", "Keyword Difficulty": "10.00", "Intents": "0", "Trends": "0.15,0.29,0.36,0.81,1.00,0.81,1.00,1.00,0.54,0.36,0.44,0.19"}</t>
        </is>
      </c>
      <c r="G231" t="inlineStr">
        <is>
          <t>Raw (Semrush)</t>
        </is>
      </c>
    </row>
    <row r="232">
      <c r="A232" t="inlineStr">
        <is>
          <t>org-ma-websuccess.ma</t>
        </is>
      </c>
      <c r="B232" t="inlineStr">
        <is>
          <t>resource_organic</t>
        </is>
      </c>
      <c r="C232" t="inlineStr">
        <is>
          <t>ma</t>
        </is>
      </c>
      <c r="D232" t="inlineStr">
        <is>
          <t>websuccess.ma</t>
        </is>
      </c>
      <c r="E232" t="inlineStr">
        <is>
          <t>2026-10-30T14:56:22+00:00</t>
        </is>
      </c>
      <c r="F232" t="inlineStr">
        <is>
          <t>{"Keyword": "agence de communication", "Position": "28", "Search Volume": "1300", "CPC": "0.44", "Url": "https://websuccess.ma/services/agence-de-communication-maroc", "Traffic": "0", "Competition": "0.13", "Keyword Difficulty": "53.00", "Intents": "3", "Trends": "0.68,0.53,1.00,0.84,0.53,0.53,0.53,1.00,0.53,0.84,0.53,0.53"}</t>
        </is>
      </c>
      <c r="G232" t="inlineStr">
        <is>
          <t>Raw (Semrush)</t>
        </is>
      </c>
    </row>
    <row r="233">
      <c r="A233" t="inlineStr">
        <is>
          <t>org-ma-websuccess.ma</t>
        </is>
      </c>
      <c r="B233" t="inlineStr">
        <is>
          <t>resource_organic</t>
        </is>
      </c>
      <c r="C233" t="inlineStr">
        <is>
          <t>ma</t>
        </is>
      </c>
      <c r="D233" t="inlineStr">
        <is>
          <t>websuccess.ma</t>
        </is>
      </c>
      <c r="E233" t="inlineStr">
        <is>
          <t>2026-10-30T14:56:22+00:00</t>
        </is>
      </c>
      <c r="F233" t="inlineStr">
        <is>
          <t>{"Keyword": "agence de communication", "Position": "29", "Search Volume": "1300", "CPC": "0.44", "Url": "https://websuccess.ma/services/agence-de-communication-maroc", "Traffic": "0", "Competition": "0.13", "Keyword Difficulty": "53.00", "Intents": "3", "Trends": "0.68,0.53,1.00,0.84,0.53,0.53,0.53,1.00,0.53,0.84,0.53,0.53"}</t>
        </is>
      </c>
      <c r="G233" t="inlineStr">
        <is>
          <t>Raw (Semrush)</t>
        </is>
      </c>
    </row>
    <row r="234">
      <c r="A234" t="inlineStr">
        <is>
          <t>org-ma-websuccess.ma</t>
        </is>
      </c>
      <c r="B234" t="inlineStr">
        <is>
          <t>resource_organic</t>
        </is>
      </c>
      <c r="C234" t="inlineStr">
        <is>
          <t>ma</t>
        </is>
      </c>
      <c r="D234" t="inlineStr">
        <is>
          <t>websuccess.ma</t>
        </is>
      </c>
      <c r="E234" t="inlineStr">
        <is>
          <t>2026-10-30T14:56:22+00:00</t>
        </is>
      </c>
      <c r="F234" t="inlineStr">
        <is>
          <t>{"Keyword": "seo maroc", "Position": "25", "Search Volume": "320", "CPC": "0.90", "Url": "https://websuccess.ma/services/agence-seo-maroc", "Traffic": "0", "Competition": "0.35", "Keyword Difficulty": "39.00", "Intents": "0", "Trends": "0.67,1.00,1.00,0.67,0.54,0.54,0.81,0.67,0.54,0.54,0.44,0.81"}</t>
        </is>
      </c>
      <c r="G234" t="inlineStr">
        <is>
          <t>Raw (Semrush)</t>
        </is>
      </c>
    </row>
    <row r="235">
      <c r="A235" t="inlineStr">
        <is>
          <t>org-ma-websuccess.ma</t>
        </is>
      </c>
      <c r="B235" t="inlineStr">
        <is>
          <t>resource_organic</t>
        </is>
      </c>
      <c r="C235" t="inlineStr">
        <is>
          <t>ma</t>
        </is>
      </c>
      <c r="D235" t="inlineStr">
        <is>
          <t>websuccess.ma</t>
        </is>
      </c>
      <c r="E235" t="inlineStr">
        <is>
          <t>2026-10-30T14:56:22+00:00</t>
        </is>
      </c>
      <c r="F235" t="inlineStr">
        <is>
          <t>{"Keyword": "agence web marrakech", "Position": "35", "Search Volume": "390", "CPC": "1.01", "Url": "https://websuccess.ma/", "Traffic": "0", "Competition": "0.26", "Keyword Difficulty": "39.00", "Intents": "0", "Trends": "0.54,0.44,0.36,0.44,0.44,0.66,0.66,0.66,1.00,0.81,0.66,0.54"}</t>
        </is>
      </c>
      <c r="G235" t="inlineStr">
        <is>
          <t>Raw (Semrush)</t>
        </is>
      </c>
    </row>
    <row r="236">
      <c r="A236" t="inlineStr">
        <is>
          <t>org-ma-websuccess.ma</t>
        </is>
      </c>
      <c r="B236" t="inlineStr">
        <is>
          <t>resource_organic</t>
        </is>
      </c>
      <c r="C236" t="inlineStr">
        <is>
          <t>ma</t>
        </is>
      </c>
      <c r="D236" t="inlineStr">
        <is>
          <t>websuccess.ma</t>
        </is>
      </c>
      <c r="E236" t="inlineStr">
        <is>
          <t>2026-10-30T14:56:22+00:00</t>
        </is>
      </c>
      <c r="F236" t="inlineStr">
        <is>
          <t>{"Keyword": "agence web", "Position": "75", "Search Volume": "480", "CPC": "0.65", "Url": "https://websuccess.ma/villes/agence-web-casablanca", "Traffic": "0", "Competition": "0.22", "Keyword Difficulty": "25.00", "Intents": "0", "Trends": "0.67,0.54,0.82,0.67,0.67,1.00,0.67,0.67,0.67,0.67,0.54,0.44"}</t>
        </is>
      </c>
      <c r="G236" t="inlineStr">
        <is>
          <t>Raw (Semrush)</t>
        </is>
      </c>
    </row>
    <row r="237">
      <c r="A237" t="inlineStr">
        <is>
          <t>org-ma-websuccess.ma</t>
        </is>
      </c>
      <c r="B237" t="inlineStr">
        <is>
          <t>resource_organic</t>
        </is>
      </c>
      <c r="C237" t="inlineStr">
        <is>
          <t>ma</t>
        </is>
      </c>
      <c r="D237" t="inlineStr">
        <is>
          <t>websuccess.ma</t>
        </is>
      </c>
      <c r="E237" t="inlineStr">
        <is>
          <t>2026-10-30T14:56:22+00:00</t>
        </is>
      </c>
      <c r="F237" t="inlineStr">
        <is>
          <t>{"Keyword": "agence web", "Position": "96", "Search Volume": "480", "CPC": "0.65", "Url": "https://websuccess.ma/services", "Traffic": "0", "Competition": "0.22", "Keyword Difficulty": "25.00", "Intents": "0", "Trends": "0.67,0.54,0.82,0.67,0.67,1.00,0.67,0.67,0.67,0.67,0.54,0.44"}</t>
        </is>
      </c>
      <c r="G237" t="inlineStr">
        <is>
          <t>Raw (Semrush)</t>
        </is>
      </c>
    </row>
    <row r="238">
      <c r="A238" t="inlineStr">
        <is>
          <t>org-ma-websuccess.ma</t>
        </is>
      </c>
      <c r="B238" t="inlineStr">
        <is>
          <t>resource_organic</t>
        </is>
      </c>
      <c r="C238" t="inlineStr">
        <is>
          <t>ma</t>
        </is>
      </c>
      <c r="D238" t="inlineStr">
        <is>
          <t>websuccess.ma</t>
        </is>
      </c>
      <c r="E238" t="inlineStr">
        <is>
          <t>2026-10-30T14:56:22+00:00</t>
        </is>
      </c>
      <c r="F238" t="inlineStr">
        <is>
          <t>{"Keyword": "creation site web maroc", "Position": "27", "Search Volume": "1000", "CPC": "0.77", "Url": "https://websuccess.ma/services/creation-site-web-maroc", "Traffic": "0", "Competition": "0.22", "Keyword Difficulty": "22.00", "Intents": "1", "Trends": "0.77,0.77,1.00,1.00,0.77,0.68,0.77,1.00,0.77,0.77,0.55,0.68"}</t>
        </is>
      </c>
      <c r="G238" t="inlineStr">
        <is>
          <t>Raw (Semrush)</t>
        </is>
      </c>
    </row>
    <row r="239">
      <c r="A239" t="inlineStr">
        <is>
          <t>probe-these-kd</t>
        </is>
      </c>
      <c r="B239" t="inlineStr">
        <is>
          <t>phrase_these</t>
        </is>
      </c>
      <c r="C239" t="inlineStr">
        <is>
          <t>ma</t>
        </is>
      </c>
      <c r="D239" t="inlineStr">
        <is>
          <t>agence web maroc;création site web maroc;agence web casablanca</t>
        </is>
      </c>
      <c r="E239" t="inlineStr">
        <is>
          <t>2026-10-30T15:03:37+00:00</t>
        </is>
      </c>
      <c r="F239" t="inlineStr">
        <is>
          <t>{"Keyword": "agence web maroc", "Search Volume": "480", "CPC": "0.62", "Competition": "0.12", "Number of Results": "44", "Trends": "0.54,0.54,0.54,0.44,0.67,0.67,1.00,0.44,0.67,0.44,0.54,0.54", "Intent": "0", "Keyword Difficulty Index": "53"}</t>
        </is>
      </c>
      <c r="G239" t="inlineStr">
        <is>
          <t>Raw (Semrush)</t>
        </is>
      </c>
    </row>
    <row r="240">
      <c r="A240" t="inlineStr">
        <is>
          <t>probe-these-kd</t>
        </is>
      </c>
      <c r="B240" t="inlineStr">
        <is>
          <t>phrase_these</t>
        </is>
      </c>
      <c r="C240" t="inlineStr">
        <is>
          <t>ma</t>
        </is>
      </c>
      <c r="D240" t="inlineStr">
        <is>
          <t>agence web maroc;création site web maroc;agence web casablanca</t>
        </is>
      </c>
      <c r="E240" t="inlineStr">
        <is>
          <t>2026-10-30T15:03:37+00:00</t>
        </is>
      </c>
      <c r="F240" t="inlineStr">
        <is>
          <t>{"Keyword": "création site web maroc", "Search Volume": "1000", "CPC": "0.77", "Competition": "0.22", "Number of Results": "10", "Trends": "0.77,1.00,1.00,0.77,0.68,0.77,1.00,0.77,0.77,0.55,0.68,0.68", "Intent": "1", "Keyword Difficulty Index": "22"}</t>
        </is>
      </c>
      <c r="G240" t="inlineStr">
        <is>
          <t>Raw (Semrush)</t>
        </is>
      </c>
    </row>
    <row r="241">
      <c r="A241" t="inlineStr">
        <is>
          <t>probe-these-kd</t>
        </is>
      </c>
      <c r="B241" t="inlineStr">
        <is>
          <t>phrase_these</t>
        </is>
      </c>
      <c r="C241" t="inlineStr">
        <is>
          <t>ma</t>
        </is>
      </c>
      <c r="D241" t="inlineStr">
        <is>
          <t>agence web maroc;création site web maroc;agence web casablanca</t>
        </is>
      </c>
      <c r="E241" t="inlineStr">
        <is>
          <t>2026-10-30T15:03:37+00:00</t>
        </is>
      </c>
      <c r="F241" t="inlineStr">
        <is>
          <t>{"Keyword": "agence web casablanca", "Search Volume": "1000", "CPC": "0.73", "Competition": "0.16", "Number of Results": "113", "Trends": "0.55,0.62,1.00,0.81,0.45,0.55,0.81,0.45,0.30,0.24,0.24,0.16", "Intent": "0", "Keyword Difficulty Index": "52"}</t>
        </is>
      </c>
      <c r="G241" t="inlineStr">
        <is>
          <t>Raw (Semrush)</t>
        </is>
      </c>
    </row>
    <row r="242">
      <c r="A242" t="inlineStr">
        <is>
          <t>q-fr-site-internet</t>
        </is>
      </c>
      <c r="B242" t="inlineStr">
        <is>
          <t>phrase_questions</t>
        </is>
      </c>
      <c r="C242" t="inlineStr">
        <is>
          <t>fr</t>
        </is>
      </c>
      <c r="D242" t="inlineStr">
        <is>
          <t>site internet</t>
        </is>
      </c>
      <c r="E242" t="inlineStr">
        <is>
          <t>2026-10-30T15:07:33+00:00</t>
        </is>
      </c>
      <c r="F242" t="inlineStr">
        <is>
          <t>{"Keyword": "comment créer un site internet", "Search Volume": "2400", "CPC": "2.38", "Competition": "0.74", "Keyword Difficulty Index": "52", "Intent": "1"}</t>
        </is>
      </c>
      <c r="G242" t="inlineStr">
        <is>
          <t>Raw (Semrush)</t>
        </is>
      </c>
    </row>
    <row r="243">
      <c r="A243" t="inlineStr">
        <is>
          <t>q-fr-site-internet</t>
        </is>
      </c>
      <c r="B243" t="inlineStr">
        <is>
          <t>phrase_questions</t>
        </is>
      </c>
      <c r="C243" t="inlineStr">
        <is>
          <t>fr</t>
        </is>
      </c>
      <c r="D243" t="inlineStr">
        <is>
          <t>site internet</t>
        </is>
      </c>
      <c r="E243" t="inlineStr">
        <is>
          <t>2026-10-30T15:07:33+00:00</t>
        </is>
      </c>
      <c r="F243" t="inlineStr">
        <is>
          <t>{"Keyword": "comment creer site internet", "Search Volume": "1600", "CPC": "2.26", "Competition": "0.73", "Keyword Difficulty Index": "43", "Intent": "1"}</t>
        </is>
      </c>
      <c r="G243" t="inlineStr">
        <is>
          <t>Raw (Semrush)</t>
        </is>
      </c>
    </row>
    <row r="244">
      <c r="A244" t="inlineStr">
        <is>
          <t>q-fr-site-internet</t>
        </is>
      </c>
      <c r="B244" t="inlineStr">
        <is>
          <t>phrase_questions</t>
        </is>
      </c>
      <c r="C244" t="inlineStr">
        <is>
          <t>fr</t>
        </is>
      </c>
      <c r="D244" t="inlineStr">
        <is>
          <t>site internet</t>
        </is>
      </c>
      <c r="E244" t="inlineStr">
        <is>
          <t>2026-10-30T15:07:33+00:00</t>
        </is>
      </c>
      <c r="F244" t="inlineStr">
        <is>
          <t>{"Keyword": "how to make internet site", "Search Volume": "1300", "CPC": "1.41", "Competition": "0.72", "Keyword Difficulty Index": "89", "Intent": "1,0"}</t>
        </is>
      </c>
      <c r="G244" t="inlineStr">
        <is>
          <t>Raw (Semrush)</t>
        </is>
      </c>
    </row>
    <row r="245">
      <c r="A245" t="inlineStr">
        <is>
          <t>q-fr-site-internet</t>
        </is>
      </c>
      <c r="B245" t="inlineStr">
        <is>
          <t>phrase_questions</t>
        </is>
      </c>
      <c r="C245" t="inlineStr">
        <is>
          <t>fr</t>
        </is>
      </c>
      <c r="D245" t="inlineStr">
        <is>
          <t>site internet</t>
        </is>
      </c>
      <c r="E245" t="inlineStr">
        <is>
          <t>2026-10-30T15:07:33+00:00</t>
        </is>
      </c>
      <c r="F245" t="inlineStr">
        <is>
          <t>{"Keyword": "comment créer un site internet gratuit", "Search Volume": "1000", "CPC": "1.95", "Competition": "0.74", "Keyword Difficulty Index": "47", "Intent": "1"}</t>
        </is>
      </c>
      <c r="G245" t="inlineStr">
        <is>
          <t>Raw (Semrush)</t>
        </is>
      </c>
    </row>
    <row r="246">
      <c r="A246" t="inlineStr">
        <is>
          <t>q-fr-site-internet</t>
        </is>
      </c>
      <c r="B246" t="inlineStr">
        <is>
          <t>phrase_questions</t>
        </is>
      </c>
      <c r="C246" t="inlineStr">
        <is>
          <t>fr</t>
        </is>
      </c>
      <c r="D246" t="inlineStr">
        <is>
          <t>site internet</t>
        </is>
      </c>
      <c r="E246" t="inlineStr">
        <is>
          <t>2026-10-30T15:07:33+00:00</t>
        </is>
      </c>
      <c r="F246" t="inlineStr">
        <is>
          <t>{"Keyword": "combien coute un site internet", "Search Volume": "590", "CPC": "1.56", "Competition": "0.49", "Keyword Difficulty Index": "33", "Intent": "1"}</t>
        </is>
      </c>
      <c r="G246" t="inlineStr">
        <is>
          <t>Raw (Semrush)</t>
        </is>
      </c>
    </row>
    <row r="247">
      <c r="A247" t="inlineStr">
        <is>
          <t>q-fr-site-internet</t>
        </is>
      </c>
      <c r="B247" t="inlineStr">
        <is>
          <t>phrase_questions</t>
        </is>
      </c>
      <c r="C247" t="inlineStr">
        <is>
          <t>fr</t>
        </is>
      </c>
      <c r="D247" t="inlineStr">
        <is>
          <t>site internet</t>
        </is>
      </c>
      <c r="E247" t="inlineStr">
        <is>
          <t>2026-10-30T15:07:33+00:00</t>
        </is>
      </c>
      <c r="F247" t="inlineStr">
        <is>
          <t>{"Keyword": "comment bloquer un site internet", "Search Volume": "590", "CPC": "0.28", "Competition": "0.12", "Keyword Difficulty Index": "28", "Intent": "1"}</t>
        </is>
      </c>
      <c r="G247" t="inlineStr">
        <is>
          <t>Raw (Semrush)</t>
        </is>
      </c>
    </row>
    <row r="248">
      <c r="A248" t="inlineStr">
        <is>
          <t>q-fr-site-internet</t>
        </is>
      </c>
      <c r="B248" t="inlineStr">
        <is>
          <t>phrase_questions</t>
        </is>
      </c>
      <c r="C248" t="inlineStr">
        <is>
          <t>fr</t>
        </is>
      </c>
      <c r="D248" t="inlineStr">
        <is>
          <t>site internet</t>
        </is>
      </c>
      <c r="E248" t="inlineStr">
        <is>
          <t>2026-10-30T15:07:33+00:00</t>
        </is>
      </c>
      <c r="F248" t="inlineStr">
        <is>
          <t>{"Keyword": "comment creer un site internet", "Search Volume": "590", "CPC": "2.15", "Competition": "0.75", "Keyword Difficulty Index": "51", "Intent": "1"}</t>
        </is>
      </c>
      <c r="G248" t="inlineStr">
        <is>
          <t>Raw (Semrush)</t>
        </is>
      </c>
    </row>
    <row r="249">
      <c r="A249" t="inlineStr">
        <is>
          <t>q-fr-site-internet</t>
        </is>
      </c>
      <c r="B249" t="inlineStr">
        <is>
          <t>phrase_questions</t>
        </is>
      </c>
      <c r="C249" t="inlineStr">
        <is>
          <t>fr</t>
        </is>
      </c>
      <c r="D249" t="inlineStr">
        <is>
          <t>site internet</t>
        </is>
      </c>
      <c r="E249" t="inlineStr">
        <is>
          <t>2026-10-30T15:07:33+00:00</t>
        </is>
      </c>
      <c r="F249" t="inlineStr">
        <is>
          <t>{"Keyword": "comment créer un site sur internet gratuitement", "Search Volume": "590", "CPC": "1.95", "Competition": "0.74", "Keyword Difficulty Index": "38", "Intent": "1"}</t>
        </is>
      </c>
      <c r="G249" t="inlineStr">
        <is>
          <t>Raw (Semrush)</t>
        </is>
      </c>
    </row>
    <row r="250">
      <c r="A250" t="inlineStr">
        <is>
          <t>q-fr-site-internet</t>
        </is>
      </c>
      <c r="B250" t="inlineStr">
        <is>
          <t>phrase_questions</t>
        </is>
      </c>
      <c r="C250" t="inlineStr">
        <is>
          <t>fr</t>
        </is>
      </c>
      <c r="D250" t="inlineStr">
        <is>
          <t>site internet</t>
        </is>
      </c>
      <c r="E250" t="inlineStr">
        <is>
          <t>2026-10-30T15:07:33+00:00</t>
        </is>
      </c>
      <c r="F250" t="inlineStr">
        <is>
          <t>{"Keyword": "comment faire un site internet", "Search Volume": "590", "CPC": "1.92", "Competition": "0.68", "Keyword Difficulty Index": "51", "Intent": "1"}</t>
        </is>
      </c>
      <c r="G250" t="inlineStr">
        <is>
          <t>Raw (Semrush)</t>
        </is>
      </c>
    </row>
    <row r="251">
      <c r="A251" t="inlineStr">
        <is>
          <t>q-fr-site-internet</t>
        </is>
      </c>
      <c r="B251" t="inlineStr">
        <is>
          <t>phrase_questions</t>
        </is>
      </c>
      <c r="C251" t="inlineStr">
        <is>
          <t>fr</t>
        </is>
      </c>
      <c r="D251" t="inlineStr">
        <is>
          <t>site internet</t>
        </is>
      </c>
      <c r="E251" t="inlineStr">
        <is>
          <t>2026-10-30T15:07:33+00:00</t>
        </is>
      </c>
      <c r="F251" t="inlineStr">
        <is>
          <t>{"Keyword": "comment bloquer site internet", "Search Volume": "480", "CPC": "0.28", "Competition": "0.12", "Keyword Difficulty Index": "21", "Intent": "1"}</t>
        </is>
      </c>
      <c r="G251" t="inlineStr">
        <is>
          <t>Raw (Semrush)</t>
        </is>
      </c>
    </row>
    <row r="252">
      <c r="A252" t="inlineStr">
        <is>
          <t>q-fr-site-internet</t>
        </is>
      </c>
      <c r="B252" t="inlineStr">
        <is>
          <t>phrase_questions</t>
        </is>
      </c>
      <c r="C252" t="inlineStr">
        <is>
          <t>fr</t>
        </is>
      </c>
      <c r="D252" t="inlineStr">
        <is>
          <t>site internet</t>
        </is>
      </c>
      <c r="E252" t="inlineStr">
        <is>
          <t>2026-10-30T15:07:33+00:00</t>
        </is>
      </c>
      <c r="F252" t="inlineStr">
        <is>
          <t>{"Keyword": "comment créer un site sur internet", "Search Volume": "480", "CPC": "2.26", "Competition": "0.73", "Keyword Difficulty Index": "42", "Intent": "1"}</t>
        </is>
      </c>
      <c r="G252" t="inlineStr">
        <is>
          <t>Raw (Semrush)</t>
        </is>
      </c>
    </row>
    <row r="253">
      <c r="A253" t="inlineStr">
        <is>
          <t>q-fr-site-internet</t>
        </is>
      </c>
      <c r="B253" t="inlineStr">
        <is>
          <t>phrase_questions</t>
        </is>
      </c>
      <c r="C253" t="inlineStr">
        <is>
          <t>fr</t>
        </is>
      </c>
      <c r="D253" t="inlineStr">
        <is>
          <t>site internet</t>
        </is>
      </c>
      <c r="E253" t="inlineStr">
        <is>
          <t>2026-10-30T15:07:33+00:00</t>
        </is>
      </c>
      <c r="F253" t="inlineStr">
        <is>
          <t>{"Keyword": "comment verifier un site internet", "Search Volume": "390", "CPC": "0.88", "Competition": "0.06", "Keyword Difficulty Index": "24", "Intent": "1"}</t>
        </is>
      </c>
      <c r="G253" t="inlineStr">
        <is>
          <t>Raw (Semrush)</t>
        </is>
      </c>
    </row>
    <row r="254">
      <c r="A254" t="inlineStr">
        <is>
          <t>q-fr-site-internet</t>
        </is>
      </c>
      <c r="B254" t="inlineStr">
        <is>
          <t>phrase_questions</t>
        </is>
      </c>
      <c r="C254" t="inlineStr">
        <is>
          <t>fr</t>
        </is>
      </c>
      <c r="D254" t="inlineStr">
        <is>
          <t>site internet</t>
        </is>
      </c>
      <c r="E254" t="inlineStr">
        <is>
          <t>2026-10-30T15:07:33+00:00</t>
        </is>
      </c>
      <c r="F254" t="inlineStr">
        <is>
          <t>{"Keyword": "comment bloquer des sites sur internet", "Search Volume": "320", "CPC": "0.28", "Competition": "0.12", "Keyword Difficulty Index": "28", "Intent": "1"}</t>
        </is>
      </c>
      <c r="G254" t="inlineStr">
        <is>
          <t>Raw (Semrush)</t>
        </is>
      </c>
    </row>
    <row r="255">
      <c r="A255" t="inlineStr">
        <is>
          <t>q-fr-site-internet</t>
        </is>
      </c>
      <c r="B255" t="inlineStr">
        <is>
          <t>phrase_questions</t>
        </is>
      </c>
      <c r="C255" t="inlineStr">
        <is>
          <t>fr</t>
        </is>
      </c>
      <c r="D255" t="inlineStr">
        <is>
          <t>site internet</t>
        </is>
      </c>
      <c r="E255" t="inlineStr">
        <is>
          <t>2026-10-30T15:07:33+00:00</t>
        </is>
      </c>
      <c r="F255" t="inlineStr">
        <is>
          <t>{"Keyword": "comment créer gratuitement un site internet", "Search Volume": "320", "CPC": "2.13", "Competition": "0.74", "Keyword Difficulty Index": "42", "Intent": "1"}</t>
        </is>
      </c>
      <c r="G255" t="inlineStr">
        <is>
          <t>Raw (Semrush)</t>
        </is>
      </c>
    </row>
    <row r="256">
      <c r="A256" t="inlineStr">
        <is>
          <t>q-fr-site-internet</t>
        </is>
      </c>
      <c r="B256" t="inlineStr">
        <is>
          <t>phrase_questions</t>
        </is>
      </c>
      <c r="C256" t="inlineStr">
        <is>
          <t>fr</t>
        </is>
      </c>
      <c r="D256" t="inlineStr">
        <is>
          <t>site internet</t>
        </is>
      </c>
      <c r="E256" t="inlineStr">
        <is>
          <t>2026-10-30T15:07:33+00:00</t>
        </is>
      </c>
      <c r="F256" t="inlineStr">
        <is>
          <t>{"Keyword": "comment créer son site internet", "Search Volume": "320", "CPC": "2.34", "Competition": "0.73", "Keyword Difficulty Index": "40", "Intent": "1"}</t>
        </is>
      </c>
      <c r="G256" t="inlineStr">
        <is>
          <t>Raw (Semrush)</t>
        </is>
      </c>
    </row>
    <row r="257">
      <c r="A257" t="inlineStr">
        <is>
          <t>q-ma-site-web</t>
        </is>
      </c>
      <c r="B257" t="inlineStr">
        <is>
          <t>phrase_questions</t>
        </is>
      </c>
      <c r="C257" t="inlineStr">
        <is>
          <t>ma</t>
        </is>
      </c>
      <c r="D257" t="inlineStr">
        <is>
          <t>site web</t>
        </is>
      </c>
      <c r="E257" t="inlineStr">
        <is>
          <t>2026-10-30T15:07:31+00:00</t>
        </is>
      </c>
      <c r="F257" t="inlineStr">
        <is>
          <t>{"Keyword": "comment créer un site web", "Search Volume": "170", "CPC": "0.4", "Competition": "0.67", "Keyword Difficulty Index": "0", "Intent": ""}</t>
        </is>
      </c>
      <c r="G257" t="inlineStr">
        <is>
          <t>Raw (Semrush)</t>
        </is>
      </c>
    </row>
    <row r="258">
      <c r="A258" t="inlineStr">
        <is>
          <t>q-ma-site-web</t>
        </is>
      </c>
      <c r="B258" t="inlineStr">
        <is>
          <t>phrase_questions</t>
        </is>
      </c>
      <c r="C258" t="inlineStr">
        <is>
          <t>ma</t>
        </is>
      </c>
      <c r="D258" t="inlineStr">
        <is>
          <t>site web</t>
        </is>
      </c>
      <c r="E258" t="inlineStr">
        <is>
          <t>2026-10-30T15:07:31+00:00</t>
        </is>
      </c>
      <c r="F258" t="inlineStr">
        <is>
          <t>{"Keyword": "comment creer un site web de vente en ligne", "Search Volume": "40", "CPC": "0.54", "Competition": "0.73", "Keyword Difficulty Index": "0", "Intent": ""}</t>
        </is>
      </c>
      <c r="G258" t="inlineStr">
        <is>
          <t>Raw (Semrush)</t>
        </is>
      </c>
    </row>
    <row r="259">
      <c r="A259" t="inlineStr">
        <is>
          <t>q-ma-site-web</t>
        </is>
      </c>
      <c r="B259" t="inlineStr">
        <is>
          <t>phrase_questions</t>
        </is>
      </c>
      <c r="C259" t="inlineStr">
        <is>
          <t>ma</t>
        </is>
      </c>
      <c r="D259" t="inlineStr">
        <is>
          <t>site web</t>
        </is>
      </c>
      <c r="E259" t="inlineStr">
        <is>
          <t>2026-10-30T15:07:31+00:00</t>
        </is>
      </c>
      <c r="F259" t="inlineStr">
        <is>
          <t>{"Keyword": "comment creer mon site web", "Search Volume": "30", "CPC": "0", "Competition": "0.79", "Keyword Difficulty Index": "0", "Intent": ""}</t>
        </is>
      </c>
      <c r="G259" t="inlineStr">
        <is>
          <t>Raw (Semrush)</t>
        </is>
      </c>
    </row>
    <row r="260">
      <c r="A260" t="inlineStr">
        <is>
          <t>q-ma-site-web</t>
        </is>
      </c>
      <c r="B260" t="inlineStr">
        <is>
          <t>phrase_questions</t>
        </is>
      </c>
      <c r="C260" t="inlineStr">
        <is>
          <t>ma</t>
        </is>
      </c>
      <c r="D260" t="inlineStr">
        <is>
          <t>site web</t>
        </is>
      </c>
      <c r="E260" t="inlineStr">
        <is>
          <t>2026-10-30T15:07:31+00:00</t>
        </is>
      </c>
      <c r="F260" t="inlineStr">
        <is>
          <t>{"Keyword": "comment créer site web gratuit", "Search Volume": "30", "CPC": "0.25", "Competition": "0.71", "Keyword Difficulty Index": "0", "Intent": ""}</t>
        </is>
      </c>
      <c r="G260" t="inlineStr">
        <is>
          <t>Raw (Semrush)</t>
        </is>
      </c>
    </row>
    <row r="261">
      <c r="A261" t="inlineStr">
        <is>
          <t>q-ma-site-web</t>
        </is>
      </c>
      <c r="B261" t="inlineStr">
        <is>
          <t>phrase_questions</t>
        </is>
      </c>
      <c r="C261" t="inlineStr">
        <is>
          <t>ma</t>
        </is>
      </c>
      <c r="D261" t="inlineStr">
        <is>
          <t>site web</t>
        </is>
      </c>
      <c r="E261" t="inlineStr">
        <is>
          <t>2026-10-30T15:07:31+00:00</t>
        </is>
      </c>
      <c r="F261" t="inlineStr">
        <is>
          <t>{"Keyword": "comment créer un site web avec wordpress", "Search Volume": "30", "CPC": "0", "Competition": "1", "Keyword Difficulty Index": "0", "Intent": ""}</t>
        </is>
      </c>
      <c r="G261" t="inlineStr">
        <is>
          <t>Raw (Semrush)</t>
        </is>
      </c>
    </row>
    <row r="262">
      <c r="A262" t="inlineStr">
        <is>
          <t>q-ma-site-web</t>
        </is>
      </c>
      <c r="B262" t="inlineStr">
        <is>
          <t>phrase_questions</t>
        </is>
      </c>
      <c r="C262" t="inlineStr">
        <is>
          <t>ma</t>
        </is>
      </c>
      <c r="D262" t="inlineStr">
        <is>
          <t>site web</t>
        </is>
      </c>
      <c r="E262" t="inlineStr">
        <is>
          <t>2026-10-30T15:07:31+00:00</t>
        </is>
      </c>
      <c r="F262" t="inlineStr">
        <is>
          <t>{"Keyword": "comment créer un site web facilement", "Search Volume": "30", "CPC": "0", "Competition": "0.86", "Keyword Difficulty Index": "0", "Intent": ""}</t>
        </is>
      </c>
      <c r="G262" t="inlineStr">
        <is>
          <t>Raw (Semrush)</t>
        </is>
      </c>
    </row>
    <row r="263">
      <c r="A263" t="inlineStr">
        <is>
          <t>q-ma-site-web</t>
        </is>
      </c>
      <c r="B263" t="inlineStr">
        <is>
          <t>phrase_questions</t>
        </is>
      </c>
      <c r="C263" t="inlineStr">
        <is>
          <t>ma</t>
        </is>
      </c>
      <c r="D263" t="inlineStr">
        <is>
          <t>site web</t>
        </is>
      </c>
      <c r="E263" t="inlineStr">
        <is>
          <t>2026-10-30T15:07:31+00:00</t>
        </is>
      </c>
      <c r="F263" t="inlineStr">
        <is>
          <t>{"Keyword": "comment créer un site web gratuit", "Search Volume": "30", "CPC": "0.25", "Competition": "0.99", "Keyword Difficulty Index": "0", "Intent": ""}</t>
        </is>
      </c>
      <c r="G263" t="inlineStr">
        <is>
          <t>Raw (Semrush)</t>
        </is>
      </c>
    </row>
    <row r="264">
      <c r="A264" t="inlineStr">
        <is>
          <t>q-ma-site-web</t>
        </is>
      </c>
      <c r="B264" t="inlineStr">
        <is>
          <t>phrase_questions</t>
        </is>
      </c>
      <c r="C264" t="inlineStr">
        <is>
          <t>ma</t>
        </is>
      </c>
      <c r="D264" t="inlineStr">
        <is>
          <t>site web</t>
        </is>
      </c>
      <c r="E264" t="inlineStr">
        <is>
          <t>2026-10-30T15:07:31+00:00</t>
        </is>
      </c>
      <c r="F264" t="inlineStr">
        <is>
          <t>{"Keyword": "comment créer un site web html", "Search Volume": "30", "CPC": "0", "Competition": "0.21", "Keyword Difficulty Index": "0", "Intent": ""}</t>
        </is>
      </c>
      <c r="G264" t="inlineStr">
        <is>
          <t>Raw (Semrush)</t>
        </is>
      </c>
    </row>
    <row r="265">
      <c r="A265" t="inlineStr">
        <is>
          <t>q-ma-site-web</t>
        </is>
      </c>
      <c r="B265" t="inlineStr">
        <is>
          <t>phrase_questions</t>
        </is>
      </c>
      <c r="C265" t="inlineStr">
        <is>
          <t>ma</t>
        </is>
      </c>
      <c r="D265" t="inlineStr">
        <is>
          <t>site web</t>
        </is>
      </c>
      <c r="E265" t="inlineStr">
        <is>
          <t>2026-10-30T15:07:31+00:00</t>
        </is>
      </c>
      <c r="F265" t="inlineStr">
        <is>
          <t>{"Keyword": "comment créer un site web professionnel", "Search Volume": "30", "CPC": "0.26", "Competition": "0.79", "Keyword Difficulty Index": "0", "Intent": ""}</t>
        </is>
      </c>
      <c r="G265" t="inlineStr">
        <is>
          <t>Raw (Semrush)</t>
        </is>
      </c>
    </row>
    <row r="266">
      <c r="A266" t="inlineStr">
        <is>
          <t>q-ma-site-web</t>
        </is>
      </c>
      <c r="B266" t="inlineStr">
        <is>
          <t>phrase_questions</t>
        </is>
      </c>
      <c r="C266" t="inlineStr">
        <is>
          <t>ma</t>
        </is>
      </c>
      <c r="D266" t="inlineStr">
        <is>
          <t>site web</t>
        </is>
      </c>
      <c r="E266" t="inlineStr">
        <is>
          <t>2026-10-30T15:07:31+00:00</t>
        </is>
      </c>
      <c r="F266" t="inlineStr">
        <is>
          <t>{"Keyword": "comment développer un site web", "Search Volume": "30", "CPC": "0.1", "Competition": "0.43", "Keyword Difficulty Index": "0", "Intent": ""}</t>
        </is>
      </c>
      <c r="G266" t="inlineStr">
        <is>
          <t>Raw (Semrush)</t>
        </is>
      </c>
    </row>
    <row r="267">
      <c r="A267" t="inlineStr">
        <is>
          <t>rank-ma-adk-media.com</t>
        </is>
      </c>
      <c r="B267" t="inlineStr">
        <is>
          <t>domain_rank</t>
        </is>
      </c>
      <c r="C267" t="inlineStr">
        <is>
          <t>ma</t>
        </is>
      </c>
      <c r="D267" t="inlineStr">
        <is>
          <t>adk-media.com</t>
        </is>
      </c>
      <c r="E267" t="inlineStr">
        <is>
          <t>2026-10-30T14:56:27+00:00</t>
        </is>
      </c>
      <c r="F267" t="inlineStr">
        <is>
          <t>{"Domain": "adk-media.com", "Rank": "6549", "Organic Keywords": "63", "Organic Traffic": "3220", "Organic Cost": "1955", "X0": "8", "X1": "9"}</t>
        </is>
      </c>
      <c r="G267" t="inlineStr">
        <is>
          <t>Raw (Semrush)</t>
        </is>
      </c>
    </row>
    <row r="268">
      <c r="A268" t="inlineStr">
        <is>
          <t>rank-ma-baleez.net</t>
        </is>
      </c>
      <c r="B268" t="inlineStr">
        <is>
          <t>domain_rank</t>
        </is>
      </c>
      <c r="C268" t="inlineStr">
        <is>
          <t>ma</t>
        </is>
      </c>
      <c r="D268" t="inlineStr">
        <is>
          <t>baleez.net</t>
        </is>
      </c>
      <c r="E268" t="inlineStr">
        <is>
          <t>2026-10-30T14:56:28+00:00</t>
        </is>
      </c>
      <c r="F268" t="inlineStr">
        <is>
          <t>{"Domain": "baleez.net", "Rank": "87356", "Organic Keywords": "6", "Organic Traffic": "35", "Organic Cost": "24", "X0": "0", "X1": "1"}</t>
        </is>
      </c>
      <c r="G268" t="inlineStr">
        <is>
          <t>Raw (Semrush)</t>
        </is>
      </c>
    </row>
    <row r="269">
      <c r="A269" t="inlineStr">
        <is>
          <t>rank-ma-codesommet</t>
        </is>
      </c>
      <c r="B269" t="inlineStr">
        <is>
          <t>domain_rank</t>
        </is>
      </c>
      <c r="C269" t="inlineStr">
        <is>
          <t>ma</t>
        </is>
      </c>
      <c r="D269" t="inlineStr">
        <is>
          <t>codesommet.com</t>
        </is>
      </c>
      <c r="E269" t="inlineStr">
        <is>
          <t>2026-10-30T14:54:31+00:00</t>
        </is>
      </c>
      <c r="F269" t="inlineStr">
        <is>
          <t>NO_DATA (Semrush returned no rows; not billed)</t>
        </is>
      </c>
      <c r="G269" t="inlineStr">
        <is>
          <t>Raw (Semrush)</t>
        </is>
      </c>
    </row>
    <row r="270">
      <c r="A270" t="inlineStr">
        <is>
          <t>rank-ma-digiseo.ma</t>
        </is>
      </c>
      <c r="B270" t="inlineStr">
        <is>
          <t>domain_rank</t>
        </is>
      </c>
      <c r="C270" t="inlineStr">
        <is>
          <t>ma</t>
        </is>
      </c>
      <c r="D270" t="inlineStr">
        <is>
          <t>digiseo.ma</t>
        </is>
      </c>
      <c r="E270" t="inlineStr">
        <is>
          <t>2026-10-30T14:55:47+00:00</t>
        </is>
      </c>
      <c r="F270" t="inlineStr">
        <is>
          <t>{"Domain": "digiseo.ma", "Rank": "68695", "Organic Keywords": "15", "Organic Traffic": "59", "Organic Cost": "73", "X0": "0", "X1": "1"}</t>
        </is>
      </c>
      <c r="G270" t="inlineStr">
        <is>
          <t>Raw (Semrush)</t>
        </is>
      </c>
    </row>
    <row r="271">
      <c r="A271" t="inlineStr">
        <is>
          <t>rank-ma-digitalma.ma</t>
        </is>
      </c>
      <c r="B271" t="inlineStr">
        <is>
          <t>domain_rank</t>
        </is>
      </c>
      <c r="C271" t="inlineStr">
        <is>
          <t>ma</t>
        </is>
      </c>
      <c r="D271" t="inlineStr">
        <is>
          <t>digitalma.ma</t>
        </is>
      </c>
      <c r="E271" t="inlineStr">
        <is>
          <t>2026-10-30T14:55:44+00:00</t>
        </is>
      </c>
      <c r="F271" t="inlineStr">
        <is>
          <t>{"Domain": "digitalma.ma", "Rank": "21337", "Organic Keywords": "25", "Organic Traffic": "555", "Organic Cost": "255", "X0": "5", "X1": "3"}</t>
        </is>
      </c>
      <c r="G271" t="inlineStr">
        <is>
          <t>Raw (Semrush)</t>
        </is>
      </c>
    </row>
    <row r="272">
      <c r="A272" t="inlineStr">
        <is>
          <t>rank-ma-dotma.ma</t>
        </is>
      </c>
      <c r="B272" t="inlineStr">
        <is>
          <t>domain_rank</t>
        </is>
      </c>
      <c r="C272" t="inlineStr">
        <is>
          <t>ma</t>
        </is>
      </c>
      <c r="D272" t="inlineStr">
        <is>
          <t>dotma.ma</t>
        </is>
      </c>
      <c r="E272" t="inlineStr">
        <is>
          <t>2026-10-30T14:56:28+00:00</t>
        </is>
      </c>
      <c r="F272" t="inlineStr">
        <is>
          <t>{"Domain": "dotma.ma", "Rank": "40697", "Organic Keywords": "40", "Organic Traffic": "176", "Organic Cost": "177", "X0": "1", "X1": "1"}</t>
        </is>
      </c>
      <c r="G272" t="inlineStr">
        <is>
          <t>Raw (Semrush)</t>
        </is>
      </c>
    </row>
    <row r="273">
      <c r="A273" t="inlineStr">
        <is>
          <t>rank-ma-elevenmedia.ma</t>
        </is>
      </c>
      <c r="B273" t="inlineStr">
        <is>
          <t>domain_rank</t>
        </is>
      </c>
      <c r="C273" t="inlineStr">
        <is>
          <t>ma</t>
        </is>
      </c>
      <c r="D273" t="inlineStr">
        <is>
          <t>elevenmedia.ma</t>
        </is>
      </c>
      <c r="E273" t="inlineStr">
        <is>
          <t>2026-10-30T14:55:33+00:00</t>
        </is>
      </c>
      <c r="F273" t="inlineStr">
        <is>
          <t>{"Domain": "elevenmedia.ma", "Rank": "25277", "Organic Keywords": "36", "Organic Traffic": "418", "Organic Cost": "102", "X0": "1", "X1": "4"}</t>
        </is>
      </c>
      <c r="G273" t="inlineStr">
        <is>
          <t>Raw (Semrush)</t>
        </is>
      </c>
    </row>
    <row r="274">
      <c r="A274" t="inlineStr">
        <is>
          <t>rank-ma-energiedin.com</t>
        </is>
      </c>
      <c r="B274" t="inlineStr">
        <is>
          <t>domain_rank</t>
        </is>
      </c>
      <c r="C274" t="inlineStr">
        <is>
          <t>ma</t>
        </is>
      </c>
      <c r="D274" t="inlineStr">
        <is>
          <t>energiedin.com</t>
        </is>
      </c>
      <c r="E274" t="inlineStr">
        <is>
          <t>2026-10-30T14:55:29+00:00</t>
        </is>
      </c>
      <c r="F274" t="inlineStr">
        <is>
          <t>{"Domain": "energiedin.com", "Rank": "17254", "Organic Keywords": "37", "Organic Traffic": "775", "Organic Cost": "750", "X0": "0", "X1": "9"}</t>
        </is>
      </c>
      <c r="G274" t="inlineStr">
        <is>
          <t>Raw (Semrush)</t>
        </is>
      </c>
    </row>
    <row r="275">
      <c r="A275" t="inlineStr">
        <is>
          <t>rank-ma-hostino.ma</t>
        </is>
      </c>
      <c r="B275" t="inlineStr">
        <is>
          <t>domain_rank</t>
        </is>
      </c>
      <c r="C275" t="inlineStr">
        <is>
          <t>ma</t>
        </is>
      </c>
      <c r="D275" t="inlineStr">
        <is>
          <t>hostino.ma</t>
        </is>
      </c>
      <c r="E275" t="inlineStr">
        <is>
          <t>2026-10-30T14:55:35+00:00</t>
        </is>
      </c>
      <c r="F275" t="inlineStr">
        <is>
          <t>{"Domain": "hostino.ma", "Rank": "15700", "Organic Keywords": "39", "Organic Traffic": "893", "Organic Cost": "1094", "X0": "3", "X1": "11"}</t>
        </is>
      </c>
      <c r="G275" t="inlineStr">
        <is>
          <t>Raw (Semrush)</t>
        </is>
      </c>
    </row>
    <row r="276">
      <c r="A276" t="inlineStr">
        <is>
          <t>rank-ma-itlabspro.com</t>
        </is>
      </c>
      <c r="B276" t="inlineStr">
        <is>
          <t>domain_rank</t>
        </is>
      </c>
      <c r="C276" t="inlineStr">
        <is>
          <t>ma</t>
        </is>
      </c>
      <c r="D276" t="inlineStr">
        <is>
          <t>itlabspro.com</t>
        </is>
      </c>
      <c r="E276" t="inlineStr">
        <is>
          <t>2026-10-30T14:56:29+00:00</t>
        </is>
      </c>
      <c r="F276" t="inlineStr">
        <is>
          <t>{"Domain": "itlabspro.com", "Rank": "134090", "Organic Keywords": "8", "Organic Traffic": "11", "Organic Cost": "6", "X0": "0", "X1": "1"}</t>
        </is>
      </c>
      <c r="G276" t="inlineStr">
        <is>
          <t>Raw (Semrush)</t>
        </is>
      </c>
    </row>
    <row r="277">
      <c r="A277" t="inlineStr">
        <is>
          <t>rank-ma-monkeylab.ma</t>
        </is>
      </c>
      <c r="B277" t="inlineStr">
        <is>
          <t>domain_rank</t>
        </is>
      </c>
      <c r="C277" t="inlineStr">
        <is>
          <t>ma</t>
        </is>
      </c>
      <c r="D277" t="inlineStr">
        <is>
          <t>monkeylab.ma</t>
        </is>
      </c>
      <c r="E277" t="inlineStr">
        <is>
          <t>2026-10-30T14:55:45+00:00</t>
        </is>
      </c>
      <c r="F277" t="inlineStr">
        <is>
          <t>{"Domain": "monkeylab.ma", "Rank": "75125", "Organic Keywords": "8", "Organic Traffic": "49", "Organic Cost": "42", "X0": "1", "X1": "1"}</t>
        </is>
      </c>
      <c r="G277" t="inlineStr">
        <is>
          <t>Raw (Semrush)</t>
        </is>
      </c>
    </row>
    <row r="278">
      <c r="A278" t="inlineStr">
        <is>
          <t>rank-ma-ranket.ma</t>
        </is>
      </c>
      <c r="B278" t="inlineStr">
        <is>
          <t>domain_rank</t>
        </is>
      </c>
      <c r="C278" t="inlineStr">
        <is>
          <t>ma</t>
        </is>
      </c>
      <c r="D278" t="inlineStr">
        <is>
          <t>ranket.ma</t>
        </is>
      </c>
      <c r="E278" t="inlineStr">
        <is>
          <t>2026-10-30T14:55:47+00:00</t>
        </is>
      </c>
      <c r="F278" t="inlineStr">
        <is>
          <t>{"Domain": "ranket.ma", "Rank": "130170", "Organic Keywords": "18", "Organic Traffic": "12", "Organic Cost": "12", "X0": "0", "X1": "2"}</t>
        </is>
      </c>
      <c r="G278" t="inlineStr">
        <is>
          <t>Raw (Semrush)</t>
        </is>
      </c>
    </row>
    <row r="279">
      <c r="A279" t="inlineStr">
        <is>
          <t>rank-ma-rhillane.com</t>
        </is>
      </c>
      <c r="B279" t="inlineStr">
        <is>
          <t>domain_rank</t>
        </is>
      </c>
      <c r="C279" t="inlineStr">
        <is>
          <t>ma</t>
        </is>
      </c>
      <c r="D279" t="inlineStr">
        <is>
          <t>rhillane.com</t>
        </is>
      </c>
      <c r="E279" t="inlineStr">
        <is>
          <t>2026-10-30T14:55:29+00:00</t>
        </is>
      </c>
      <c r="F279" t="inlineStr">
        <is>
          <t>{"Domain": "rhillane.com", "Rank": "16206", "Organic Keywords": "119", "Organic Traffic": "849", "Organic Cost": "600", "X0": "14", "X1": "10"}</t>
        </is>
      </c>
      <c r="G279" t="inlineStr">
        <is>
          <t>Raw (Semrush)</t>
        </is>
      </c>
    </row>
    <row r="280">
      <c r="A280" t="inlineStr">
        <is>
          <t>rank-ma-rimasdigital.ma</t>
        </is>
      </c>
      <c r="B280" t="inlineStr">
        <is>
          <t>domain_rank</t>
        </is>
      </c>
      <c r="C280" t="inlineStr">
        <is>
          <t>ma</t>
        </is>
      </c>
      <c r="D280" t="inlineStr">
        <is>
          <t>rimasdigital.ma</t>
        </is>
      </c>
      <c r="E280" t="inlineStr">
        <is>
          <t>2026-10-30T14:55:43+00:00</t>
        </is>
      </c>
      <c r="F280" t="inlineStr">
        <is>
          <t>{"Domain": "rimasdigital.ma", "Rank": "25357", "Organic Keywords": "12", "Organic Traffic": "416", "Organic Cost": "463", "X0": "2", "X1": "2"}</t>
        </is>
      </c>
      <c r="G280" t="inlineStr">
        <is>
          <t>Raw (Semrush)</t>
        </is>
      </c>
    </row>
    <row r="281">
      <c r="A281" t="inlineStr">
        <is>
          <t>rank-ma-rythmedia.com</t>
        </is>
      </c>
      <c r="B281" t="inlineStr">
        <is>
          <t>domain_rank</t>
        </is>
      </c>
      <c r="C281" t="inlineStr">
        <is>
          <t>ma</t>
        </is>
      </c>
      <c r="D281" t="inlineStr">
        <is>
          <t>rythmedia.com</t>
        </is>
      </c>
      <c r="E281" t="inlineStr">
        <is>
          <t>2026-10-30T14:55:46+00:00</t>
        </is>
      </c>
      <c r="F281" t="inlineStr">
        <is>
          <t>{"Domain": "rythmedia.com", "Rank": "95658", "Organic Keywords": "13", "Organic Traffic": "28", "Organic Cost": "23", "X0": "0", "X1": "2"}</t>
        </is>
      </c>
      <c r="G281" t="inlineStr">
        <is>
          <t>Raw (Semrush)</t>
        </is>
      </c>
    </row>
    <row r="282">
      <c r="A282" t="inlineStr">
        <is>
          <t>rank-ma-siway.ma</t>
        </is>
      </c>
      <c r="B282" t="inlineStr">
        <is>
          <t>domain_rank</t>
        </is>
      </c>
      <c r="C282" t="inlineStr">
        <is>
          <t>ma</t>
        </is>
      </c>
      <c r="D282" t="inlineStr">
        <is>
          <t>siway.ma</t>
        </is>
      </c>
      <c r="E282" t="inlineStr">
        <is>
          <t>2026-10-30T14:55:43+00:00</t>
        </is>
      </c>
      <c r="F282" t="inlineStr">
        <is>
          <t>{"Domain": "siway.ma", "Rank": "71451", "Organic Keywords": "6", "Organic Traffic": "54", "Organic Cost": "7", "X0": "0", "X1": "2"}</t>
        </is>
      </c>
      <c r="G282" t="inlineStr">
        <is>
          <t>Raw (Semrush)</t>
        </is>
      </c>
    </row>
    <row r="283">
      <c r="A283" t="inlineStr">
        <is>
          <t>rank-ma-trtdigital.ma</t>
        </is>
      </c>
      <c r="B283" t="inlineStr">
        <is>
          <t>domain_rank</t>
        </is>
      </c>
      <c r="C283" t="inlineStr">
        <is>
          <t>ma</t>
        </is>
      </c>
      <c r="D283" t="inlineStr">
        <is>
          <t>trtdigital.ma</t>
        </is>
      </c>
      <c r="E283" t="inlineStr">
        <is>
          <t>2026-10-30T14:55:41+00:00</t>
        </is>
      </c>
      <c r="F283" t="inlineStr">
        <is>
          <t>{"Domain": "trtdigital.ma", "Rank": "105113", "Organic Keywords": "25", "Organic Traffic": "22", "Organic Cost": "26", "X0": "0", "X1": "1"}</t>
        </is>
      </c>
      <c r="G283" t="inlineStr">
        <is>
          <t>Raw (Semrush)</t>
        </is>
      </c>
    </row>
    <row r="284">
      <c r="A284" t="inlineStr">
        <is>
          <t>rank-ma-urikacloud.com</t>
        </is>
      </c>
      <c r="B284" t="inlineStr">
        <is>
          <t>domain_rank</t>
        </is>
      </c>
      <c r="C284" t="inlineStr">
        <is>
          <t>ma</t>
        </is>
      </c>
      <c r="D284" t="inlineStr">
        <is>
          <t>urikacloud.com</t>
        </is>
      </c>
      <c r="E284" t="inlineStr">
        <is>
          <t>2026-10-30T14:55:34+00:00</t>
        </is>
      </c>
      <c r="F284" t="inlineStr">
        <is>
          <t>{"Domain": "urikacloud.com", "Rank": "17753", "Organic Keywords": "26", "Organic Traffic": "744", "Organic Cost": "568", "X0": "3", "X1": "2"}</t>
        </is>
      </c>
      <c r="G284" t="inlineStr">
        <is>
          <t>Raw (Semrush)</t>
        </is>
      </c>
    </row>
    <row r="285">
      <c r="A285" t="inlineStr">
        <is>
          <t>rank-ma-vala.ma</t>
        </is>
      </c>
      <c r="B285" t="inlineStr">
        <is>
          <t>domain_rank</t>
        </is>
      </c>
      <c r="C285" t="inlineStr">
        <is>
          <t>ma</t>
        </is>
      </c>
      <c r="D285" t="inlineStr">
        <is>
          <t>vala.ma</t>
        </is>
      </c>
      <c r="E285" t="inlineStr">
        <is>
          <t>2026-10-30T14:55:42+00:00</t>
        </is>
      </c>
      <c r="F285" t="inlineStr">
        <is>
          <t>{"Domain": "vala.ma", "Rank": "15279", "Organic Keywords": "42", "Organic Traffic": "933", "Organic Cost": "463", "X0": "4", "X1": "8"}</t>
        </is>
      </c>
      <c r="G285" t="inlineStr">
        <is>
          <t>Raw (Semrush)</t>
        </is>
      </c>
    </row>
    <row r="286">
      <c r="A286" t="inlineStr">
        <is>
          <t>rank-ma-void.ma</t>
        </is>
      </c>
      <c r="B286" t="inlineStr">
        <is>
          <t>domain_rank</t>
        </is>
      </c>
      <c r="C286" t="inlineStr">
        <is>
          <t>ma</t>
        </is>
      </c>
      <c r="D286" t="inlineStr">
        <is>
          <t>void.ma</t>
        </is>
      </c>
      <c r="E286" t="inlineStr">
        <is>
          <t>2026-10-30T14:55:30+00:00</t>
        </is>
      </c>
      <c r="F286" t="inlineStr">
        <is>
          <t>{"Domain": "void.ma", "Rank": "11344", "Organic Keywords": "83", "Organic Traffic": "1457", "Organic Cost": "1087", "X0": "3", "X1": "24"}</t>
        </is>
      </c>
      <c r="G286" t="inlineStr">
        <is>
          <t>Raw (Semrush)</t>
        </is>
      </c>
    </row>
    <row r="287">
      <c r="A287" t="inlineStr">
        <is>
          <t>rank-ma-webeuz.com</t>
        </is>
      </c>
      <c r="B287" t="inlineStr">
        <is>
          <t>domain_rank</t>
        </is>
      </c>
      <c r="C287" t="inlineStr">
        <is>
          <t>ma</t>
        </is>
      </c>
      <c r="D287" t="inlineStr">
        <is>
          <t>webeuz.com</t>
        </is>
      </c>
      <c r="E287" t="inlineStr">
        <is>
          <t>2026-10-30T14:55:32+00:00</t>
        </is>
      </c>
      <c r="F287" t="inlineStr">
        <is>
          <t>{"Domain": "webeuz.com", "Rank": "25348", "Organic Keywords": "25", "Organic Traffic": "416", "Organic Cost": "206", "X0": "8", "X1": "4"}</t>
        </is>
      </c>
      <c r="G287" t="inlineStr">
        <is>
          <t>Raw (Semrush)</t>
        </is>
      </c>
    </row>
    <row r="288">
      <c r="A288" t="inlineStr">
        <is>
          <t>rank-ma-website.ma</t>
        </is>
      </c>
      <c r="B288" t="inlineStr">
        <is>
          <t>domain_rank</t>
        </is>
      </c>
      <c r="C288" t="inlineStr">
        <is>
          <t>ma</t>
        </is>
      </c>
      <c r="D288" t="inlineStr">
        <is>
          <t>website.ma</t>
        </is>
      </c>
      <c r="E288" t="inlineStr">
        <is>
          <t>2026-10-30T14:56:26+00:00</t>
        </is>
      </c>
      <c r="F288" t="inlineStr">
        <is>
          <t>{"Domain": "website.ma", "Rank": "35505", "Organic Keywords": "9", "Organic Traffic": "231", "Organic Cost": "134", "X0": "3", "X1": "1"}</t>
        </is>
      </c>
      <c r="G288" t="inlineStr">
        <is>
          <t>Raw (Semrush)</t>
        </is>
      </c>
    </row>
    <row r="289">
      <c r="A289" t="inlineStr">
        <is>
          <t>rank-ma-websuccess.ma</t>
        </is>
      </c>
      <c r="B289" t="inlineStr">
        <is>
          <t>domain_rank</t>
        </is>
      </c>
      <c r="C289" t="inlineStr">
        <is>
          <t>ma</t>
        </is>
      </c>
      <c r="D289" t="inlineStr">
        <is>
          <t>websuccess.ma</t>
        </is>
      </c>
      <c r="E289" t="inlineStr">
        <is>
          <t>2026-10-30T14:55:34+00:00</t>
        </is>
      </c>
      <c r="F289" t="inlineStr">
        <is>
          <t>{"Domain": "websuccess.ma", "Rank": "42776", "Organic Keywords": "24", "Organic Traffic": "158", "Organic Cost": "148", "X0": "3", "X1": "6"}</t>
        </is>
      </c>
      <c r="G289" t="inlineStr">
        <is>
          <t>Raw (Semrush)</t>
        </is>
      </c>
    </row>
    <row r="290">
      <c r="A290" t="inlineStr">
        <is>
          <t>rank-ma-wikidigital.net</t>
        </is>
      </c>
      <c r="B290" t="inlineStr">
        <is>
          <t>domain_rank</t>
        </is>
      </c>
      <c r="C290" t="inlineStr">
        <is>
          <t>ma</t>
        </is>
      </c>
      <c r="D290" t="inlineStr">
        <is>
          <t>wikidigital.net</t>
        </is>
      </c>
      <c r="E290" t="inlineStr">
        <is>
          <t>2026-10-30T14:55:31+00:00</t>
        </is>
      </c>
      <c r="F290" t="inlineStr">
        <is>
          <t>{"Domain": "wikidigital.net", "Rank": "38584", "Organic Keywords": "13", "Organic Traffic": "196", "Organic Cost": "88", "X0": "0", "X1": "6"}</t>
        </is>
      </c>
      <c r="G290" t="inlineStr">
        <is>
          <t>Raw (Semrush)</t>
        </is>
      </c>
    </row>
    <row r="291">
      <c r="A291" t="inlineStr">
        <is>
          <t>serp-be-agence-web-bruxelles</t>
        </is>
      </c>
      <c r="B291" t="inlineStr">
        <is>
          <t>phrase_organic</t>
        </is>
      </c>
      <c r="C291" t="inlineStr">
        <is>
          <t>be</t>
        </is>
      </c>
      <c r="D291" t="inlineStr">
        <is>
          <t>agence web bruxelles</t>
        </is>
      </c>
      <c r="E291" t="inlineStr">
        <is>
          <t>2026-10-30T15:07:46+00:00</t>
        </is>
      </c>
      <c r="F291" t="inlineStr">
        <is>
          <t>{"Position": "1", "Domain": "vragency.website", "Url": "https://vragency.website/"}</t>
        </is>
      </c>
      <c r="G291" t="inlineStr">
        <is>
          <t>Raw (Semrush)</t>
        </is>
      </c>
    </row>
    <row r="292">
      <c r="A292" t="inlineStr">
        <is>
          <t>serp-be-agence-web-bruxelles</t>
        </is>
      </c>
      <c r="B292" t="inlineStr">
        <is>
          <t>phrase_organic</t>
        </is>
      </c>
      <c r="C292" t="inlineStr">
        <is>
          <t>be</t>
        </is>
      </c>
      <c r="D292" t="inlineStr">
        <is>
          <t>agence web bruxelles</t>
        </is>
      </c>
      <c r="E292" t="inlineStr">
        <is>
          <t>2026-10-30T15:07:46+00:00</t>
        </is>
      </c>
      <c r="F292" t="inlineStr">
        <is>
          <t>{"Position": "2", "Domain": "www.sortlist.be", "Url": "https://www.sortlist.be/fr/web-marketing/bruxelles-be"}</t>
        </is>
      </c>
      <c r="G292" t="inlineStr">
        <is>
          <t>Raw (Semrush)</t>
        </is>
      </c>
    </row>
    <row r="293">
      <c r="A293" t="inlineStr">
        <is>
          <t>serp-be-agence-web-bruxelles</t>
        </is>
      </c>
      <c r="B293" t="inlineStr">
        <is>
          <t>phrase_organic</t>
        </is>
      </c>
      <c r="C293" t="inlineStr">
        <is>
          <t>be</t>
        </is>
      </c>
      <c r="D293" t="inlineStr">
        <is>
          <t>agence web bruxelles</t>
        </is>
      </c>
      <c r="E293" t="inlineStr">
        <is>
          <t>2026-10-30T15:07:46+00:00</t>
        </is>
      </c>
      <c r="F293" t="inlineStr">
        <is>
          <t>{"Position": "3", "Domain": "www.opengraphy.com", "Url": "https://www.opengraphy.com/"}</t>
        </is>
      </c>
      <c r="G293" t="inlineStr">
        <is>
          <t>Raw (Semrush)</t>
        </is>
      </c>
    </row>
    <row r="294">
      <c r="A294" t="inlineStr">
        <is>
          <t>serp-be-agence-web-bruxelles</t>
        </is>
      </c>
      <c r="B294" t="inlineStr">
        <is>
          <t>phrase_organic</t>
        </is>
      </c>
      <c r="C294" t="inlineStr">
        <is>
          <t>be</t>
        </is>
      </c>
      <c r="D294" t="inlineStr">
        <is>
          <t>agence web bruxelles</t>
        </is>
      </c>
      <c r="E294" t="inlineStr">
        <is>
          <t>2026-10-30T15:07:46+00:00</t>
        </is>
      </c>
      <c r="F294" t="inlineStr">
        <is>
          <t>{"Position": "4", "Domain": "emmanuelle-wiesemes.com", "Url": "https://emmanuelle-wiesemes.com/"}</t>
        </is>
      </c>
      <c r="G294" t="inlineStr">
        <is>
          <t>Raw (Semrush)</t>
        </is>
      </c>
    </row>
    <row r="295">
      <c r="A295" t="inlineStr">
        <is>
          <t>serp-be-agence-web-bruxelles</t>
        </is>
      </c>
      <c r="B295" t="inlineStr">
        <is>
          <t>phrase_organic</t>
        </is>
      </c>
      <c r="C295" t="inlineStr">
        <is>
          <t>be</t>
        </is>
      </c>
      <c r="D295" t="inlineStr">
        <is>
          <t>agence web bruxelles</t>
        </is>
      </c>
      <c r="E295" t="inlineStr">
        <is>
          <t>2026-10-30T15:07:46+00:00</t>
        </is>
      </c>
      <c r="F295" t="inlineStr">
        <is>
          <t>{"Position": "5", "Domain": "akis.studio", "Url": "https://akis.studio/fr/services/developpement-web"}</t>
        </is>
      </c>
      <c r="G295" t="inlineStr">
        <is>
          <t>Raw (Semrush)</t>
        </is>
      </c>
    </row>
    <row r="296">
      <c r="A296" t="inlineStr">
        <is>
          <t>serp-be-agence-web-bruxelles</t>
        </is>
      </c>
      <c r="B296" t="inlineStr">
        <is>
          <t>phrase_organic</t>
        </is>
      </c>
      <c r="C296" t="inlineStr">
        <is>
          <t>be</t>
        </is>
      </c>
      <c r="D296" t="inlineStr">
        <is>
          <t>agence web bruxelles</t>
        </is>
      </c>
      <c r="E296" t="inlineStr">
        <is>
          <t>2026-10-30T15:07:46+00:00</t>
        </is>
      </c>
      <c r="F296" t="inlineStr">
        <is>
          <t>{"Position": "6", "Domain": "votresitepro.be", "Url": "https://votresitepro.be/"}</t>
        </is>
      </c>
      <c r="G296" t="inlineStr">
        <is>
          <t>Raw (Semrush)</t>
        </is>
      </c>
    </row>
    <row r="297">
      <c r="A297" t="inlineStr">
        <is>
          <t>serp-be-agence-web-bruxelles</t>
        </is>
      </c>
      <c r="B297" t="inlineStr">
        <is>
          <t>phrase_organic</t>
        </is>
      </c>
      <c r="C297" t="inlineStr">
        <is>
          <t>be</t>
        </is>
      </c>
      <c r="D297" t="inlineStr">
        <is>
          <t>agence web bruxelles</t>
        </is>
      </c>
      <c r="E297" t="inlineStr">
        <is>
          <t>2026-10-30T15:07:46+00:00</t>
        </is>
      </c>
      <c r="F297" t="inlineStr">
        <is>
          <t>{"Position": "7", "Domain": "mojo-agency.org", "Url": "https://mojo-agency.org/fr/"}</t>
        </is>
      </c>
      <c r="G297" t="inlineStr">
        <is>
          <t>Raw (Semrush)</t>
        </is>
      </c>
    </row>
    <row r="298">
      <c r="A298" t="inlineStr">
        <is>
          <t>serp-be-agence-web-bruxelles</t>
        </is>
      </c>
      <c r="B298" t="inlineStr">
        <is>
          <t>phrase_organic</t>
        </is>
      </c>
      <c r="C298" t="inlineStr">
        <is>
          <t>be</t>
        </is>
      </c>
      <c r="D298" t="inlineStr">
        <is>
          <t>agence web bruxelles</t>
        </is>
      </c>
      <c r="E298" t="inlineStr">
        <is>
          <t>2026-10-30T15:07:46+00:00</t>
        </is>
      </c>
      <c r="F298" t="inlineStr">
        <is>
          <t>{"Position": "8", "Domain": "pushdigi.com", "Url": "https://pushdigi.com/"}</t>
        </is>
      </c>
      <c r="G298" t="inlineStr">
        <is>
          <t>Raw (Semrush)</t>
        </is>
      </c>
    </row>
    <row r="299">
      <c r="A299" t="inlineStr">
        <is>
          <t>serp-be-agence-web-bruxelles</t>
        </is>
      </c>
      <c r="B299" t="inlineStr">
        <is>
          <t>phrase_organic</t>
        </is>
      </c>
      <c r="C299" t="inlineStr">
        <is>
          <t>be</t>
        </is>
      </c>
      <c r="D299" t="inlineStr">
        <is>
          <t>agence web bruxelles</t>
        </is>
      </c>
      <c r="E299" t="inlineStr">
        <is>
          <t>2026-10-30T15:07:46+00:00</t>
        </is>
      </c>
      <c r="F299" t="inlineStr">
        <is>
          <t>{"Position": "9", "Domain": "www.facebook.com", "Url": "https://www.facebook.com/web.bruxelles.be/"}</t>
        </is>
      </c>
      <c r="G299" t="inlineStr">
        <is>
          <t>Raw (Semrush)</t>
        </is>
      </c>
    </row>
    <row r="300">
      <c r="A300" t="inlineStr">
        <is>
          <t>serp-be-agence-web-bruxelles</t>
        </is>
      </c>
      <c r="B300" t="inlineStr">
        <is>
          <t>phrase_organic</t>
        </is>
      </c>
      <c r="C300" t="inlineStr">
        <is>
          <t>be</t>
        </is>
      </c>
      <c r="D300" t="inlineStr">
        <is>
          <t>agence web bruxelles</t>
        </is>
      </c>
      <c r="E300" t="inlineStr">
        <is>
          <t>2026-10-30T15:07:46+00:00</t>
        </is>
      </c>
      <c r="F300" t="inlineStr">
        <is>
          <t>{"Position": "10", "Domain": "webiphi.be", "Url": "https://webiphi.be/web/developpement-web-bruxelles/"}</t>
        </is>
      </c>
      <c r="G300" t="inlineStr">
        <is>
          <t>Raw (Semrush)</t>
        </is>
      </c>
    </row>
    <row r="301">
      <c r="A301" t="inlineStr">
        <is>
          <t>serp-fr-agence-de-développement-web</t>
        </is>
      </c>
      <c r="B301" t="inlineStr">
        <is>
          <t>phrase_organic</t>
        </is>
      </c>
      <c r="C301" t="inlineStr">
        <is>
          <t>fr</t>
        </is>
      </c>
      <c r="D301" t="inlineStr">
        <is>
          <t>agence de développement web</t>
        </is>
      </c>
      <c r="E301" t="inlineStr">
        <is>
          <t>2026-10-30T15:07:42+00:00</t>
        </is>
      </c>
      <c r="F301" t="inlineStr">
        <is>
          <t>{"Position": "1", "Domain": "www.lafabriquedunet.fr", "Url": "https://www.lafabriquedunet.fr/agences/pages/agences-developpement-web-ile-de-france-paris"}</t>
        </is>
      </c>
      <c r="G301" t="inlineStr">
        <is>
          <t>Raw (Semrush)</t>
        </is>
      </c>
    </row>
    <row r="302">
      <c r="A302" t="inlineStr">
        <is>
          <t>serp-fr-agence-de-développement-web</t>
        </is>
      </c>
      <c r="B302" t="inlineStr">
        <is>
          <t>phrase_organic</t>
        </is>
      </c>
      <c r="C302" t="inlineStr">
        <is>
          <t>fr</t>
        </is>
      </c>
      <c r="D302" t="inlineStr">
        <is>
          <t>agence de développement web</t>
        </is>
      </c>
      <c r="E302" t="inlineStr">
        <is>
          <t>2026-10-30T15:07:42+00:00</t>
        </is>
      </c>
      <c r="F302" t="inlineStr">
        <is>
          <t>{"Position": "2", "Domain": "www.sortlist.fr", "Url": "https://www.sortlist.fr/developpement-web/france-fr"}</t>
        </is>
      </c>
      <c r="G302" t="inlineStr">
        <is>
          <t>Raw (Semrush)</t>
        </is>
      </c>
    </row>
    <row r="303">
      <c r="A303" t="inlineStr">
        <is>
          <t>serp-fr-agence-de-développement-web</t>
        </is>
      </c>
      <c r="B303" t="inlineStr">
        <is>
          <t>phrase_organic</t>
        </is>
      </c>
      <c r="C303" t="inlineStr">
        <is>
          <t>fr</t>
        </is>
      </c>
      <c r="D303" t="inlineStr">
        <is>
          <t>agence de développement web</t>
        </is>
      </c>
      <c r="E303" t="inlineStr">
        <is>
          <t>2026-10-30T15:07:42+00:00</t>
        </is>
      </c>
      <c r="F303" t="inlineStr">
        <is>
          <t>{"Position": "3", "Domain": "www.yieldstudio.fr", "Url": "https://www.yieldstudio.fr/agence-developpement-web"}</t>
        </is>
      </c>
      <c r="G303" t="inlineStr">
        <is>
          <t>Raw (Semrush)</t>
        </is>
      </c>
    </row>
    <row r="304">
      <c r="A304" t="inlineStr">
        <is>
          <t>serp-fr-agence-de-développement-web</t>
        </is>
      </c>
      <c r="B304" t="inlineStr">
        <is>
          <t>phrase_organic</t>
        </is>
      </c>
      <c r="C304" t="inlineStr">
        <is>
          <t>fr</t>
        </is>
      </c>
      <c r="D304" t="inlineStr">
        <is>
          <t>agence de développement web</t>
        </is>
      </c>
      <c r="E304" t="inlineStr">
        <is>
          <t>2026-10-30T15:07:42+00:00</t>
        </is>
      </c>
      <c r="F304" t="inlineStr">
        <is>
          <t>{"Position": "4", "Domain": "eleven-labs.com", "Url": "https://eleven-labs.com/paris/"}</t>
        </is>
      </c>
      <c r="G304" t="inlineStr">
        <is>
          <t>Raw (Semrush)</t>
        </is>
      </c>
    </row>
    <row r="305">
      <c r="A305" t="inlineStr">
        <is>
          <t>serp-fr-agence-de-développement-web</t>
        </is>
      </c>
      <c r="B305" t="inlineStr">
        <is>
          <t>phrase_organic</t>
        </is>
      </c>
      <c r="C305" t="inlineStr">
        <is>
          <t>fr</t>
        </is>
      </c>
      <c r="D305" t="inlineStr">
        <is>
          <t>agence de développement web</t>
        </is>
      </c>
      <c r="E305" t="inlineStr">
        <is>
          <t>2026-10-30T15:07:42+00:00</t>
        </is>
      </c>
      <c r="F305" t="inlineStr">
        <is>
          <t>{"Position": "5", "Domain": "bility.fr", "Url": "https://bility.fr/developpement-applications-web/"}</t>
        </is>
      </c>
      <c r="G305" t="inlineStr">
        <is>
          <t>Raw (Semrush)</t>
        </is>
      </c>
    </row>
    <row r="306">
      <c r="A306" t="inlineStr">
        <is>
          <t>serp-fr-agence-de-développement-web</t>
        </is>
      </c>
      <c r="B306" t="inlineStr">
        <is>
          <t>phrase_organic</t>
        </is>
      </c>
      <c r="C306" t="inlineStr">
        <is>
          <t>fr</t>
        </is>
      </c>
      <c r="D306" t="inlineStr">
        <is>
          <t>agence de développement web</t>
        </is>
      </c>
      <c r="E306" t="inlineStr">
        <is>
          <t>2026-10-30T15:07:42+00:00</t>
        </is>
      </c>
      <c r="F306" t="inlineStr">
        <is>
          <t>{"Position": "6", "Domain": "www.agence-web-paris.com", "Url": "https://www.agence-web-paris.com/"}</t>
        </is>
      </c>
      <c r="G306" t="inlineStr">
        <is>
          <t>Raw (Semrush)</t>
        </is>
      </c>
    </row>
    <row r="307">
      <c r="A307" t="inlineStr">
        <is>
          <t>serp-fr-agence-de-développement-web</t>
        </is>
      </c>
      <c r="B307" t="inlineStr">
        <is>
          <t>phrase_organic</t>
        </is>
      </c>
      <c r="C307" t="inlineStr">
        <is>
          <t>fr</t>
        </is>
      </c>
      <c r="D307" t="inlineStr">
        <is>
          <t>agence de développement web</t>
        </is>
      </c>
      <c r="E307" t="inlineStr">
        <is>
          <t>2026-10-30T15:07:42+00:00</t>
        </is>
      </c>
      <c r="F307" t="inlineStr">
        <is>
          <t>{"Position": "7", "Domain": "digitalunicorn.fr", "Url": "https://digitalunicorn.fr/agence-developpement-applications-web/"}</t>
        </is>
      </c>
      <c r="G307" t="inlineStr">
        <is>
          <t>Raw (Semrush)</t>
        </is>
      </c>
    </row>
    <row r="308">
      <c r="A308" t="inlineStr">
        <is>
          <t>serp-fr-agence-de-développement-web</t>
        </is>
      </c>
      <c r="B308" t="inlineStr">
        <is>
          <t>phrase_organic</t>
        </is>
      </c>
      <c r="C308" t="inlineStr">
        <is>
          <t>fr</t>
        </is>
      </c>
      <c r="D308" t="inlineStr">
        <is>
          <t>agence de développement web</t>
        </is>
      </c>
      <c r="E308" t="inlineStr">
        <is>
          <t>2026-10-30T15:07:42+00:00</t>
        </is>
      </c>
      <c r="F308" t="inlineStr">
        <is>
          <t>{"Position": "8", "Domain": "www.codyweb.fr", "Url": "https://www.codyweb.fr/"}</t>
        </is>
      </c>
      <c r="G308" t="inlineStr">
        <is>
          <t>Raw (Semrush)</t>
        </is>
      </c>
    </row>
    <row r="309">
      <c r="A309" t="inlineStr">
        <is>
          <t>serp-fr-agence-de-développement-web</t>
        </is>
      </c>
      <c r="B309" t="inlineStr">
        <is>
          <t>phrase_organic</t>
        </is>
      </c>
      <c r="C309" t="inlineStr">
        <is>
          <t>fr</t>
        </is>
      </c>
      <c r="D309" t="inlineStr">
        <is>
          <t>agence de développement web</t>
        </is>
      </c>
      <c r="E309" t="inlineStr">
        <is>
          <t>2026-10-30T15:07:42+00:00</t>
        </is>
      </c>
      <c r="F309" t="inlineStr">
        <is>
          <t>{"Position": "9", "Domain": "www.definima.com", "Url": "https://www.definima.com/article/definima-agence-developpement-web-bordeaux"}</t>
        </is>
      </c>
      <c r="G309" t="inlineStr">
        <is>
          <t>Raw (Semrush)</t>
        </is>
      </c>
    </row>
    <row r="310">
      <c r="A310" t="inlineStr">
        <is>
          <t>serp-fr-agence-de-développement-web</t>
        </is>
      </c>
      <c r="B310" t="inlineStr">
        <is>
          <t>phrase_organic</t>
        </is>
      </c>
      <c r="C310" t="inlineStr">
        <is>
          <t>fr</t>
        </is>
      </c>
      <c r="D310" t="inlineStr">
        <is>
          <t>agence de développement web</t>
        </is>
      </c>
      <c r="E310" t="inlineStr">
        <is>
          <t>2026-10-30T15:07:42+00:00</t>
        </is>
      </c>
      <c r="F310" t="inlineStr">
        <is>
          <t>{"Position": "10", "Domain": "www.feelandclic.com", "Url": "https://www.feelandclic.com/agence-developpement-web-paris"}</t>
        </is>
      </c>
      <c r="G310" t="inlineStr">
        <is>
          <t>Raw (Semrush)</t>
        </is>
      </c>
    </row>
    <row r="311">
      <c r="A311" t="inlineStr">
        <is>
          <t>serp-fr-agence-web-offshore</t>
        </is>
      </c>
      <c r="B311" t="inlineStr">
        <is>
          <t>phrase_organic</t>
        </is>
      </c>
      <c r="C311" t="inlineStr">
        <is>
          <t>fr</t>
        </is>
      </c>
      <c r="D311" t="inlineStr">
        <is>
          <t>agence web offshore</t>
        </is>
      </c>
      <c r="E311" t="inlineStr">
        <is>
          <t>2026-10-30T15:07:43+00:00</t>
        </is>
      </c>
      <c r="F311" t="inlineStr">
        <is>
          <t>{"Position": "1", "Domain": "viaprestige-agency.com", "Url": "https://viaprestige-agency.com/agence-web-offshore-externalisation-web/"}</t>
        </is>
      </c>
      <c r="G311" t="inlineStr">
        <is>
          <t>Raw (Semrush)</t>
        </is>
      </c>
    </row>
    <row r="312">
      <c r="A312" t="inlineStr">
        <is>
          <t>serp-fr-agence-web-offshore</t>
        </is>
      </c>
      <c r="B312" t="inlineStr">
        <is>
          <t>phrase_organic</t>
        </is>
      </c>
      <c r="C312" t="inlineStr">
        <is>
          <t>fr</t>
        </is>
      </c>
      <c r="D312" t="inlineStr">
        <is>
          <t>agence web offshore</t>
        </is>
      </c>
      <c r="E312" t="inlineStr">
        <is>
          <t>2026-10-30T15:07:43+00:00</t>
        </is>
      </c>
      <c r="F312" t="inlineStr">
        <is>
          <t>{"Position": "2", "Domain": "www.lafabriquedunet.fr", "Url": "https://www.lafabriquedunet.fr/agences/pages/agences-developpement-web-offshore"}</t>
        </is>
      </c>
      <c r="G312" t="inlineStr">
        <is>
          <t>Raw (Semrush)</t>
        </is>
      </c>
    </row>
    <row r="313">
      <c r="A313" t="inlineStr">
        <is>
          <t>serp-fr-agence-web-offshore</t>
        </is>
      </c>
      <c r="B313" t="inlineStr">
        <is>
          <t>phrase_organic</t>
        </is>
      </c>
      <c r="C313" t="inlineStr">
        <is>
          <t>fr</t>
        </is>
      </c>
      <c r="D313" t="inlineStr">
        <is>
          <t>agence web offshore</t>
        </is>
      </c>
      <c r="E313" t="inlineStr">
        <is>
          <t>2026-10-30T15:07:43+00:00</t>
        </is>
      </c>
      <c r="F313" t="inlineStr">
        <is>
          <t>{"Position": "3", "Domain": "esokia.com", "Url": "https://esokia.com/fr/a-propos"}</t>
        </is>
      </c>
      <c r="G313" t="inlineStr">
        <is>
          <t>Raw (Semrush)</t>
        </is>
      </c>
    </row>
    <row r="314">
      <c r="A314" t="inlineStr">
        <is>
          <t>serp-fr-agence-web-offshore</t>
        </is>
      </c>
      <c r="B314" t="inlineStr">
        <is>
          <t>phrase_organic</t>
        </is>
      </c>
      <c r="C314" t="inlineStr">
        <is>
          <t>fr</t>
        </is>
      </c>
      <c r="D314" t="inlineStr">
        <is>
          <t>agence web offshore</t>
        </is>
      </c>
      <c r="E314" t="inlineStr">
        <is>
          <t>2026-10-30T15:07:43+00:00</t>
        </is>
      </c>
      <c r="F314" t="inlineStr">
        <is>
          <t>{"Position": "4", "Domain": "nbca-studio.com", "Url": "https://nbca-studio.com/agence-web-offshore/"}</t>
        </is>
      </c>
      <c r="G314" t="inlineStr">
        <is>
          <t>Raw (Semrush)</t>
        </is>
      </c>
    </row>
    <row r="315">
      <c r="A315" t="inlineStr">
        <is>
          <t>serp-fr-agence-web-offshore</t>
        </is>
      </c>
      <c r="B315" t="inlineStr">
        <is>
          <t>phrase_organic</t>
        </is>
      </c>
      <c r="C315" t="inlineStr">
        <is>
          <t>fr</t>
        </is>
      </c>
      <c r="D315" t="inlineStr">
        <is>
          <t>agence web offshore</t>
        </is>
      </c>
      <c r="E315" t="inlineStr">
        <is>
          <t>2026-10-30T15:07:43+00:00</t>
        </is>
      </c>
      <c r="F315" t="inlineStr">
        <is>
          <t>{"Position": "5", "Domain": "www.waoo-digital.com", "Url": "https://www.waoo-digital.com/site-internet/agences-web-offshore-performances-visibilite-pays/"}</t>
        </is>
      </c>
      <c r="G315" t="inlineStr">
        <is>
          <t>Raw (Semrush)</t>
        </is>
      </c>
    </row>
    <row r="316">
      <c r="A316" t="inlineStr">
        <is>
          <t>serp-fr-agence-web-offshore</t>
        </is>
      </c>
      <c r="B316" t="inlineStr">
        <is>
          <t>phrase_organic</t>
        </is>
      </c>
      <c r="C316" t="inlineStr">
        <is>
          <t>fr</t>
        </is>
      </c>
      <c r="D316" t="inlineStr">
        <is>
          <t>agence web offshore</t>
        </is>
      </c>
      <c r="E316" t="inlineStr">
        <is>
          <t>2026-10-30T15:07:43+00:00</t>
        </is>
      </c>
      <c r="F316" t="inlineStr">
        <is>
          <t>{"Position": "6", "Domain": "www.offshore-value.com", "Url": "https://www.offshore-value.com/"}</t>
        </is>
      </c>
      <c r="G316" t="inlineStr">
        <is>
          <t>Raw (Semrush)</t>
        </is>
      </c>
    </row>
    <row r="317">
      <c r="A317" t="inlineStr">
        <is>
          <t>serp-fr-agence-web-offshore</t>
        </is>
      </c>
      <c r="B317" t="inlineStr">
        <is>
          <t>phrase_organic</t>
        </is>
      </c>
      <c r="C317" t="inlineStr">
        <is>
          <t>fr</t>
        </is>
      </c>
      <c r="D317" t="inlineStr">
        <is>
          <t>agence web offshore</t>
        </is>
      </c>
      <c r="E317" t="inlineStr">
        <is>
          <t>2026-10-30T15:07:43+00:00</t>
        </is>
      </c>
      <c r="F317" t="inlineStr">
        <is>
          <t>{"Position": "7", "Domain": "void.fr", "Url": "https://void.fr/fr/help-center/agence-web/quelles-sont-les-differences-entre-une-agence-web-onshore-et-offshore"}</t>
        </is>
      </c>
      <c r="G317" t="inlineStr">
        <is>
          <t>Raw (Semrush)</t>
        </is>
      </c>
    </row>
    <row r="318">
      <c r="A318" t="inlineStr">
        <is>
          <t>serp-fr-agence-web-offshore</t>
        </is>
      </c>
      <c r="B318" t="inlineStr">
        <is>
          <t>phrase_organic</t>
        </is>
      </c>
      <c r="C318" t="inlineStr">
        <is>
          <t>fr</t>
        </is>
      </c>
      <c r="D318" t="inlineStr">
        <is>
          <t>agence web offshore</t>
        </is>
      </c>
      <c r="E318" t="inlineStr">
        <is>
          <t>2026-10-30T15:07:43+00:00</t>
        </is>
      </c>
      <c r="F318" t="inlineStr">
        <is>
          <t>{"Position": "8", "Domain": "stantax.fr", "Url": "https://stantax.fr/blog/societe-offshore-agence-web/"}</t>
        </is>
      </c>
      <c r="G318" t="inlineStr">
        <is>
          <t>Raw (Semrush)</t>
        </is>
      </c>
    </row>
    <row r="319">
      <c r="A319" t="inlineStr">
        <is>
          <t>serp-fr-agence-web-offshore</t>
        </is>
      </c>
      <c r="B319" t="inlineStr">
        <is>
          <t>phrase_organic</t>
        </is>
      </c>
      <c r="C319" t="inlineStr">
        <is>
          <t>fr</t>
        </is>
      </c>
      <c r="D319" t="inlineStr">
        <is>
          <t>agence web offshore</t>
        </is>
      </c>
      <c r="E319" t="inlineStr">
        <is>
          <t>2026-10-30T15:07:43+00:00</t>
        </is>
      </c>
      <c r="F319" t="inlineStr">
        <is>
          <t>{"Position": "9", "Domain": "euroweb-digital.com", "Url": "https://euroweb-digital.com/"}</t>
        </is>
      </c>
      <c r="G319" t="inlineStr">
        <is>
          <t>Raw (Semrush)</t>
        </is>
      </c>
    </row>
    <row r="320">
      <c r="A320" t="inlineStr">
        <is>
          <t>serp-fr-agence-web-offshore</t>
        </is>
      </c>
      <c r="B320" t="inlineStr">
        <is>
          <t>phrase_organic</t>
        </is>
      </c>
      <c r="C320" t="inlineStr">
        <is>
          <t>fr</t>
        </is>
      </c>
      <c r="D320" t="inlineStr">
        <is>
          <t>agence web offshore</t>
        </is>
      </c>
      <c r="E320" t="inlineStr">
        <is>
          <t>2026-10-30T15:07:43+00:00</t>
        </is>
      </c>
      <c r="F320" t="inlineStr">
        <is>
          <t>{"Position": "10", "Domain": "chenocom.com", "Url": "https://chenocom.com/agence-web-a-rabat/agence-web-offshore/"}</t>
        </is>
      </c>
      <c r="G320" t="inlineStr">
        <is>
          <t>Raw (Semrush)</t>
        </is>
      </c>
    </row>
    <row r="321">
      <c r="A321" t="inlineStr">
        <is>
          <t>serp-fr-développement-web-sur-mesure</t>
        </is>
      </c>
      <c r="B321" t="inlineStr">
        <is>
          <t>phrase_organic</t>
        </is>
      </c>
      <c r="C321" t="inlineStr">
        <is>
          <t>fr</t>
        </is>
      </c>
      <c r="D321" t="inlineStr">
        <is>
          <t>développement web sur mesure</t>
        </is>
      </c>
      <c r="E321" t="inlineStr">
        <is>
          <t>2026-10-30T15:07:44+00:00</t>
        </is>
      </c>
      <c r="F321" t="inlineStr">
        <is>
          <t>{"Position": "1", "Domain": "www.codyweb.fr", "Url": "https://www.codyweb.fr/"}</t>
        </is>
      </c>
      <c r="G321" t="inlineStr">
        <is>
          <t>Raw (Semrush)</t>
        </is>
      </c>
    </row>
    <row r="322">
      <c r="A322" t="inlineStr">
        <is>
          <t>serp-fr-développement-web-sur-mesure</t>
        </is>
      </c>
      <c r="B322" t="inlineStr">
        <is>
          <t>phrase_organic</t>
        </is>
      </c>
      <c r="C322" t="inlineStr">
        <is>
          <t>fr</t>
        </is>
      </c>
      <c r="D322" t="inlineStr">
        <is>
          <t>développement web sur mesure</t>
        </is>
      </c>
      <c r="E322" t="inlineStr">
        <is>
          <t>2026-10-30T15:07:44+00:00</t>
        </is>
      </c>
      <c r="F322" t="inlineStr">
        <is>
          <t>{"Position": "2", "Domain": "www.kapt.mobi", "Url": "https://www.kapt.mobi/blog/developpement-web-sur-mesure/"}</t>
        </is>
      </c>
      <c r="G322" t="inlineStr">
        <is>
          <t>Raw (Semrush)</t>
        </is>
      </c>
    </row>
    <row r="323">
      <c r="A323" t="inlineStr">
        <is>
          <t>serp-fr-développement-web-sur-mesure</t>
        </is>
      </c>
      <c r="B323" t="inlineStr">
        <is>
          <t>phrase_organic</t>
        </is>
      </c>
      <c r="C323" t="inlineStr">
        <is>
          <t>fr</t>
        </is>
      </c>
      <c r="D323" t="inlineStr">
        <is>
          <t>développement web sur mesure</t>
        </is>
      </c>
      <c r="E323" t="inlineStr">
        <is>
          <t>2026-10-30T15:07:44+00:00</t>
        </is>
      </c>
      <c r="F323" t="inlineStr">
        <is>
          <t>{"Position": "3", "Domain": "www.lafabriquedunet.fr", "Url": "https://www.lafabriquedunet.fr/agences/tendances/a-qui-sadresser-pour-creer-un-site-web-sur-mesure"}</t>
        </is>
      </c>
      <c r="G323" t="inlineStr">
        <is>
          <t>Raw (Semrush)</t>
        </is>
      </c>
    </row>
    <row r="324">
      <c r="A324" t="inlineStr">
        <is>
          <t>serp-fr-développement-web-sur-mesure</t>
        </is>
      </c>
      <c r="B324" t="inlineStr">
        <is>
          <t>phrase_organic</t>
        </is>
      </c>
      <c r="C324" t="inlineStr">
        <is>
          <t>fr</t>
        </is>
      </c>
      <c r="D324" t="inlineStr">
        <is>
          <t>développement web sur mesure</t>
        </is>
      </c>
      <c r="E324" t="inlineStr">
        <is>
          <t>2026-10-30T15:07:44+00:00</t>
        </is>
      </c>
      <c r="F324" t="inlineStr">
        <is>
          <t>{"Position": "4", "Domain": "ozytis.fr", "Url": "https://ozytis.fr/developpement-web-sur-mesure/"}</t>
        </is>
      </c>
      <c r="G324" t="inlineStr">
        <is>
          <t>Raw (Semrush)</t>
        </is>
      </c>
    </row>
    <row r="325">
      <c r="A325" t="inlineStr">
        <is>
          <t>serp-fr-développement-web-sur-mesure</t>
        </is>
      </c>
      <c r="B325" t="inlineStr">
        <is>
          <t>phrase_organic</t>
        </is>
      </c>
      <c r="C325" t="inlineStr">
        <is>
          <t>fr</t>
        </is>
      </c>
      <c r="D325" t="inlineStr">
        <is>
          <t>développement web sur mesure</t>
        </is>
      </c>
      <c r="E325" t="inlineStr">
        <is>
          <t>2026-10-30T15:07:44+00:00</t>
        </is>
      </c>
      <c r="F325" t="inlineStr">
        <is>
          <t>{"Position": "5", "Domain": "lonestone.io", "Url": "https://lonestone.io/metiers/developpement-web"}</t>
        </is>
      </c>
      <c r="G325" t="inlineStr">
        <is>
          <t>Raw (Semrush)</t>
        </is>
      </c>
    </row>
    <row r="326">
      <c r="A326" t="inlineStr">
        <is>
          <t>serp-fr-développement-web-sur-mesure</t>
        </is>
      </c>
      <c r="B326" t="inlineStr">
        <is>
          <t>phrase_organic</t>
        </is>
      </c>
      <c r="C326" t="inlineStr">
        <is>
          <t>fr</t>
        </is>
      </c>
      <c r="D326" t="inlineStr">
        <is>
          <t>développement web sur mesure</t>
        </is>
      </c>
      <c r="E326" t="inlineStr">
        <is>
          <t>2026-10-30T15:07:44+00:00</t>
        </is>
      </c>
      <c r="F326" t="inlineStr">
        <is>
          <t>{"Position": "6", "Domain": "www.numeria-communication.com", "Url": "https://www.numeria-communication.com/lyon/developpement-web-sur-mesure/"}</t>
        </is>
      </c>
      <c r="G326" t="inlineStr">
        <is>
          <t>Raw (Semrush)</t>
        </is>
      </c>
    </row>
    <row r="327">
      <c r="A327" t="inlineStr">
        <is>
          <t>serp-fr-développement-web-sur-mesure</t>
        </is>
      </c>
      <c r="B327" t="inlineStr">
        <is>
          <t>phrase_organic</t>
        </is>
      </c>
      <c r="C327" t="inlineStr">
        <is>
          <t>fr</t>
        </is>
      </c>
      <c r="D327" t="inlineStr">
        <is>
          <t>développement web sur mesure</t>
        </is>
      </c>
      <c r="E327" t="inlineStr">
        <is>
          <t>2026-10-30T15:07:44+00:00</t>
        </is>
      </c>
      <c r="F327" t="inlineStr">
        <is>
          <t>{"Position": "7", "Domain": "pic.digital", "Url": "https://pic.digital/developpement-web/sur-mesure/"}</t>
        </is>
      </c>
      <c r="G327" t="inlineStr">
        <is>
          <t>Raw (Semrush)</t>
        </is>
      </c>
    </row>
    <row r="328">
      <c r="A328" t="inlineStr">
        <is>
          <t>serp-fr-développement-web-sur-mesure</t>
        </is>
      </c>
      <c r="B328" t="inlineStr">
        <is>
          <t>phrase_organic</t>
        </is>
      </c>
      <c r="C328" t="inlineStr">
        <is>
          <t>fr</t>
        </is>
      </c>
      <c r="D328" t="inlineStr">
        <is>
          <t>développement web sur mesure</t>
        </is>
      </c>
      <c r="E328" t="inlineStr">
        <is>
          <t>2026-10-30T15:07:44+00:00</t>
        </is>
      </c>
      <c r="F328" t="inlineStr">
        <is>
          <t>{"Position": "8", "Domain": "adeliom.com", "Url": "https://adeliom.com/expertises/developpement/"}</t>
        </is>
      </c>
      <c r="G328" t="inlineStr">
        <is>
          <t>Raw (Semrush)</t>
        </is>
      </c>
    </row>
    <row r="329">
      <c r="A329" t="inlineStr">
        <is>
          <t>serp-fr-développement-web-sur-mesure</t>
        </is>
      </c>
      <c r="B329" t="inlineStr">
        <is>
          <t>phrase_organic</t>
        </is>
      </c>
      <c r="C329" t="inlineStr">
        <is>
          <t>fr</t>
        </is>
      </c>
      <c r="D329" t="inlineStr">
        <is>
          <t>développement web sur mesure</t>
        </is>
      </c>
      <c r="E329" t="inlineStr">
        <is>
          <t>2026-10-30T15:07:44+00:00</t>
        </is>
      </c>
      <c r="F329" t="inlineStr">
        <is>
          <t>{"Position": "9", "Domain": "trustfolio.co", "Url": "https://trustfolio.co/membres/tech-et-produit/developpement"}</t>
        </is>
      </c>
      <c r="G329" t="inlineStr">
        <is>
          <t>Raw (Semrush)</t>
        </is>
      </c>
    </row>
    <row r="330">
      <c r="A330" t="inlineStr">
        <is>
          <t>serp-fr-développement-web-sur-mesure</t>
        </is>
      </c>
      <c r="B330" t="inlineStr">
        <is>
          <t>phrase_organic</t>
        </is>
      </c>
      <c r="C330" t="inlineStr">
        <is>
          <t>fr</t>
        </is>
      </c>
      <c r="D330" t="inlineStr">
        <is>
          <t>développement web sur mesure</t>
        </is>
      </c>
      <c r="E330" t="inlineStr">
        <is>
          <t>2026-10-30T15:07:44+00:00</t>
        </is>
      </c>
      <c r="F330" t="inlineStr">
        <is>
          <t>{"Position": "10", "Domain": "nicolas-martel.fr", "Url": "https://nicolas-martel.fr/service/developpement-web-sur-mesure/"}</t>
        </is>
      </c>
      <c r="G330" t="inlineStr">
        <is>
          <t>Raw (Semrush)</t>
        </is>
      </c>
    </row>
    <row r="331">
      <c r="A331" t="inlineStr">
        <is>
          <t>serp-ma-agence-communication-maroc</t>
        </is>
      </c>
      <c r="B331" t="inlineStr">
        <is>
          <t>phrase_organic</t>
        </is>
      </c>
      <c r="C331" t="inlineStr">
        <is>
          <t>ma</t>
        </is>
      </c>
      <c r="D331" t="inlineStr">
        <is>
          <t>agence communication maroc</t>
        </is>
      </c>
      <c r="E331" t="inlineStr">
        <is>
          <t>2026-10-30T14:55:23+00:00</t>
        </is>
      </c>
      <c r="F331" t="inlineStr">
        <is>
          <t>NO_DATA (Semrush returned no rows; not billed)</t>
        </is>
      </c>
      <c r="G331" t="inlineStr">
        <is>
          <t>Raw (Semrush)</t>
        </is>
      </c>
    </row>
    <row r="332">
      <c r="A332" t="inlineStr">
        <is>
          <t>serp-ma-agence-de-communication-maroc</t>
        </is>
      </c>
      <c r="B332" t="inlineStr">
        <is>
          <t>phrase_organic</t>
        </is>
      </c>
      <c r="C332" t="inlineStr">
        <is>
          <t>ma</t>
        </is>
      </c>
      <c r="D332" t="inlineStr">
        <is>
          <t>agence de communication maroc</t>
        </is>
      </c>
      <c r="E332" t="inlineStr">
        <is>
          <t>2026-10-30T14:54:39+00:00</t>
        </is>
      </c>
      <c r="F332" t="inlineStr">
        <is>
          <t>NO_DATA (Semrush returned no rows; not billed)</t>
        </is>
      </c>
      <c r="G332" t="inlineStr">
        <is>
          <t>Raw (Semrush)</t>
        </is>
      </c>
    </row>
    <row r="333">
      <c r="A333" t="inlineStr">
        <is>
          <t>serp-ma-agence-de-développement-web</t>
        </is>
      </c>
      <c r="B333" t="inlineStr">
        <is>
          <t>phrase_organic</t>
        </is>
      </c>
      <c r="C333" t="inlineStr">
        <is>
          <t>ma</t>
        </is>
      </c>
      <c r="D333" t="inlineStr">
        <is>
          <t>agence de développement web</t>
        </is>
      </c>
      <c r="E333" t="inlineStr">
        <is>
          <t>2026-10-30T14:54:57+00:00</t>
        </is>
      </c>
      <c r="F333" t="inlineStr">
        <is>
          <t>NO_DATA (Semrush returned no rows; not billed)</t>
        </is>
      </c>
      <c r="G333" t="inlineStr">
        <is>
          <t>Raw (Semrush)</t>
        </is>
      </c>
    </row>
    <row r="334">
      <c r="A334" t="inlineStr">
        <is>
          <t>serp-ma-agence-digitale-maroc</t>
        </is>
      </c>
      <c r="B334" t="inlineStr">
        <is>
          <t>phrase_organic</t>
        </is>
      </c>
      <c r="C334" t="inlineStr">
        <is>
          <t>ma</t>
        </is>
      </c>
      <c r="D334" t="inlineStr">
        <is>
          <t>agence digitale maroc</t>
        </is>
      </c>
      <c r="E334" t="inlineStr">
        <is>
          <t>2026-10-30T14:54:38+00:00</t>
        </is>
      </c>
      <c r="F334" t="inlineStr">
        <is>
          <t>{"Position": "1", "Domain": "webeuz.com", "Url": "https://webeuz.com/"}</t>
        </is>
      </c>
      <c r="G334" t="inlineStr">
        <is>
          <t>Raw (Semrush)</t>
        </is>
      </c>
    </row>
    <row r="335">
      <c r="A335" t="inlineStr">
        <is>
          <t>serp-ma-agence-digitale-maroc</t>
        </is>
      </c>
      <c r="B335" t="inlineStr">
        <is>
          <t>phrase_organic</t>
        </is>
      </c>
      <c r="C335" t="inlineStr">
        <is>
          <t>ma</t>
        </is>
      </c>
      <c r="D335" t="inlineStr">
        <is>
          <t>agence digitale maroc</t>
        </is>
      </c>
      <c r="E335" t="inlineStr">
        <is>
          <t>2026-10-30T14:54:38+00:00</t>
        </is>
      </c>
      <c r="F335" t="inlineStr">
        <is>
          <t>{"Position": "2", "Domain": "void.ma", "Url": "https://void.ma/publications/agence-communication-digitale-casablanca-maroc/"}</t>
        </is>
      </c>
      <c r="G335" t="inlineStr">
        <is>
          <t>Raw (Semrush)</t>
        </is>
      </c>
    </row>
    <row r="336">
      <c r="A336" t="inlineStr">
        <is>
          <t>serp-ma-agence-digitale-maroc</t>
        </is>
      </c>
      <c r="B336" t="inlineStr">
        <is>
          <t>phrase_organic</t>
        </is>
      </c>
      <c r="C336" t="inlineStr">
        <is>
          <t>ma</t>
        </is>
      </c>
      <c r="D336" t="inlineStr">
        <is>
          <t>agence digitale maroc</t>
        </is>
      </c>
      <c r="E336" t="inlineStr">
        <is>
          <t>2026-10-30T14:54:38+00:00</t>
        </is>
      </c>
      <c r="F336" t="inlineStr">
        <is>
          <t>{"Position": "3", "Domain": "rimasdigital.ma", "Url": "https://rimasdigital.ma/"}</t>
        </is>
      </c>
      <c r="G336" t="inlineStr">
        <is>
          <t>Raw (Semrush)</t>
        </is>
      </c>
    </row>
    <row r="337">
      <c r="A337" t="inlineStr">
        <is>
          <t>serp-ma-agence-digitale-maroc</t>
        </is>
      </c>
      <c r="B337" t="inlineStr">
        <is>
          <t>phrase_organic</t>
        </is>
      </c>
      <c r="C337" t="inlineStr">
        <is>
          <t>ma</t>
        </is>
      </c>
      <c r="D337" t="inlineStr">
        <is>
          <t>agence digitale maroc</t>
        </is>
      </c>
      <c r="E337" t="inlineStr">
        <is>
          <t>2026-10-30T14:54:38+00:00</t>
        </is>
      </c>
      <c r="F337" t="inlineStr">
        <is>
          <t>{"Position": "4", "Domain": "www.sortlist.com", "Url": "https://www.sortlist.com/fr/web-marketing/maroc-ma"}</t>
        </is>
      </c>
      <c r="G337" t="inlineStr">
        <is>
          <t>Raw (Semrush)</t>
        </is>
      </c>
    </row>
    <row r="338">
      <c r="A338" t="inlineStr">
        <is>
          <t>serp-ma-agence-digitale-maroc</t>
        </is>
      </c>
      <c r="B338" t="inlineStr">
        <is>
          <t>phrase_organic</t>
        </is>
      </c>
      <c r="C338" t="inlineStr">
        <is>
          <t>ma</t>
        </is>
      </c>
      <c r="D338" t="inlineStr">
        <is>
          <t>agence digitale maroc</t>
        </is>
      </c>
      <c r="E338" t="inlineStr">
        <is>
          <t>2026-10-30T14:54:38+00:00</t>
        </is>
      </c>
      <c r="F338" t="inlineStr">
        <is>
          <t>{"Position": "5", "Domain": "rhillane.com", "Url": "https://rhillane.com/"}</t>
        </is>
      </c>
      <c r="G338" t="inlineStr">
        <is>
          <t>Raw (Semrush)</t>
        </is>
      </c>
    </row>
    <row r="339">
      <c r="A339" t="inlineStr">
        <is>
          <t>serp-ma-agence-digitale-maroc</t>
        </is>
      </c>
      <c r="B339" t="inlineStr">
        <is>
          <t>phrase_organic</t>
        </is>
      </c>
      <c r="C339" t="inlineStr">
        <is>
          <t>ma</t>
        </is>
      </c>
      <c r="D339" t="inlineStr">
        <is>
          <t>agence digitale maroc</t>
        </is>
      </c>
      <c r="E339" t="inlineStr">
        <is>
          <t>2026-10-30T14:54:38+00:00</t>
        </is>
      </c>
      <c r="F339" t="inlineStr">
        <is>
          <t>{"Position": "6", "Domain": "digitalma.ma", "Url": "https://digitalma.ma/"}</t>
        </is>
      </c>
      <c r="G339" t="inlineStr">
        <is>
          <t>Raw (Semrush)</t>
        </is>
      </c>
    </row>
    <row r="340">
      <c r="A340" t="inlineStr">
        <is>
          <t>serp-ma-agence-digitale-maroc</t>
        </is>
      </c>
      <c r="B340" t="inlineStr">
        <is>
          <t>phrase_organic</t>
        </is>
      </c>
      <c r="C340" t="inlineStr">
        <is>
          <t>ma</t>
        </is>
      </c>
      <c r="D340" t="inlineStr">
        <is>
          <t>agence digitale maroc</t>
        </is>
      </c>
      <c r="E340" t="inlineStr">
        <is>
          <t>2026-10-30T14:54:38+00:00</t>
        </is>
      </c>
      <c r="F340" t="inlineStr">
        <is>
          <t>{"Position": "7", "Domain": "www.instagram.com", "Url": "https://www.instagram.com/seomaniak.ma/?hl=fr"}</t>
        </is>
      </c>
      <c r="G340" t="inlineStr">
        <is>
          <t>Raw (Semrush)</t>
        </is>
      </c>
    </row>
    <row r="341">
      <c r="A341" t="inlineStr">
        <is>
          <t>serp-ma-agence-digitale-maroc</t>
        </is>
      </c>
      <c r="B341" t="inlineStr">
        <is>
          <t>phrase_organic</t>
        </is>
      </c>
      <c r="C341" t="inlineStr">
        <is>
          <t>ma</t>
        </is>
      </c>
      <c r="D341" t="inlineStr">
        <is>
          <t>agence digitale maroc</t>
        </is>
      </c>
      <c r="E341" t="inlineStr">
        <is>
          <t>2026-10-30T14:54:38+00:00</t>
        </is>
      </c>
      <c r="F341" t="inlineStr">
        <is>
          <t>{"Position": "8", "Domain": "elevenmedia.ma", "Url": "https://elevenmedia.ma/"}</t>
        </is>
      </c>
      <c r="G341" t="inlineStr">
        <is>
          <t>Raw (Semrush)</t>
        </is>
      </c>
    </row>
    <row r="342">
      <c r="A342" t="inlineStr">
        <is>
          <t>serp-ma-agence-digitale-maroc</t>
        </is>
      </c>
      <c r="B342" t="inlineStr">
        <is>
          <t>phrase_organic</t>
        </is>
      </c>
      <c r="C342" t="inlineStr">
        <is>
          <t>ma</t>
        </is>
      </c>
      <c r="D342" t="inlineStr">
        <is>
          <t>agence digitale maroc</t>
        </is>
      </c>
      <c r="E342" t="inlineStr">
        <is>
          <t>2026-10-30T14:54:38+00:00</t>
        </is>
      </c>
      <c r="F342" t="inlineStr">
        <is>
          <t>{"Position": "9", "Domain": "wikidigital.net", "Url": "https://wikidigital.net/"}</t>
        </is>
      </c>
      <c r="G342" t="inlineStr">
        <is>
          <t>Raw (Semrush)</t>
        </is>
      </c>
    </row>
    <row r="343">
      <c r="A343" t="inlineStr">
        <is>
          <t>serp-ma-agence-digitale-maroc</t>
        </is>
      </c>
      <c r="B343" t="inlineStr">
        <is>
          <t>phrase_organic</t>
        </is>
      </c>
      <c r="C343" t="inlineStr">
        <is>
          <t>ma</t>
        </is>
      </c>
      <c r="D343" t="inlineStr">
        <is>
          <t>agence digitale maroc</t>
        </is>
      </c>
      <c r="E343" t="inlineStr">
        <is>
          <t>2026-10-30T14:54:38+00:00</t>
        </is>
      </c>
      <c r="F343" t="inlineStr">
        <is>
          <t>{"Position": "10", "Domain": "www.add.gov.ma", "Url": "https://www.add.gov.ma/"}</t>
        </is>
      </c>
      <c r="G343" t="inlineStr">
        <is>
          <t>Raw (Semrush)</t>
        </is>
      </c>
    </row>
    <row r="344">
      <c r="A344" t="inlineStr">
        <is>
          <t>serp-ma-agence-marketing-digital-maroc</t>
        </is>
      </c>
      <c r="B344" t="inlineStr">
        <is>
          <t>phrase_organic</t>
        </is>
      </c>
      <c r="C344" t="inlineStr">
        <is>
          <t>ma</t>
        </is>
      </c>
      <c r="D344" t="inlineStr">
        <is>
          <t>agence marketing digital maroc</t>
        </is>
      </c>
      <c r="E344" t="inlineStr">
        <is>
          <t>2026-10-30T14:54:56+00:00</t>
        </is>
      </c>
      <c r="F344" t="inlineStr">
        <is>
          <t>NO_DATA (Semrush returned no rows; not billed)</t>
        </is>
      </c>
      <c r="G344" t="inlineStr">
        <is>
          <t>Raw (Semrush)</t>
        </is>
      </c>
    </row>
    <row r="345">
      <c r="A345" t="inlineStr">
        <is>
          <t>serp-ma-agence-seo-maroc</t>
        </is>
      </c>
      <c r="B345" t="inlineStr">
        <is>
          <t>phrase_organic</t>
        </is>
      </c>
      <c r="C345" t="inlineStr">
        <is>
          <t>ma</t>
        </is>
      </c>
      <c r="D345" t="inlineStr">
        <is>
          <t>agence seo maroc</t>
        </is>
      </c>
      <c r="E345" t="inlineStr">
        <is>
          <t>2026-10-30T14:54:44+00:00</t>
        </is>
      </c>
      <c r="F345" t="inlineStr">
        <is>
          <t>{"Position": "1", "Domain": "urikacloud.com", "Url": "https://urikacloud.com/seo-maroc.htm"}</t>
        </is>
      </c>
      <c r="G345" t="inlineStr">
        <is>
          <t>Raw (Semrush)</t>
        </is>
      </c>
    </row>
    <row r="346">
      <c r="A346" t="inlineStr">
        <is>
          <t>serp-ma-agence-seo-maroc</t>
        </is>
      </c>
      <c r="B346" t="inlineStr">
        <is>
          <t>phrase_organic</t>
        </is>
      </c>
      <c r="C346" t="inlineStr">
        <is>
          <t>ma</t>
        </is>
      </c>
      <c r="D346" t="inlineStr">
        <is>
          <t>agence seo maroc</t>
        </is>
      </c>
      <c r="E346" t="inlineStr">
        <is>
          <t>2026-10-30T14:54:44+00:00</t>
        </is>
      </c>
      <c r="F346" t="inlineStr">
        <is>
          <t>{"Position": "2", "Domain": "www.hostino.ma", "Url": "https://www.hostino.ma/agence-seo-maroc/"}</t>
        </is>
      </c>
      <c r="G346" t="inlineStr">
        <is>
          <t>Raw (Semrush)</t>
        </is>
      </c>
    </row>
    <row r="347">
      <c r="A347" t="inlineStr">
        <is>
          <t>serp-ma-agence-seo-maroc</t>
        </is>
      </c>
      <c r="B347" t="inlineStr">
        <is>
          <t>phrase_organic</t>
        </is>
      </c>
      <c r="C347" t="inlineStr">
        <is>
          <t>ma</t>
        </is>
      </c>
      <c r="D347" t="inlineStr">
        <is>
          <t>agence seo maroc</t>
        </is>
      </c>
      <c r="E347" t="inlineStr">
        <is>
          <t>2026-10-30T14:54:44+00:00</t>
        </is>
      </c>
      <c r="F347" t="inlineStr">
        <is>
          <t>{"Position": "3", "Domain": "www.trtdigital.ma", "Url": "https://www.trtdigital.ma/"}</t>
        </is>
      </c>
      <c r="G347" t="inlineStr">
        <is>
          <t>Raw (Semrush)</t>
        </is>
      </c>
    </row>
    <row r="348">
      <c r="A348" t="inlineStr">
        <is>
          <t>serp-ma-agence-seo-maroc</t>
        </is>
      </c>
      <c r="B348" t="inlineStr">
        <is>
          <t>phrase_organic</t>
        </is>
      </c>
      <c r="C348" t="inlineStr">
        <is>
          <t>ma</t>
        </is>
      </c>
      <c r="D348" t="inlineStr">
        <is>
          <t>agence seo maroc</t>
        </is>
      </c>
      <c r="E348" t="inlineStr">
        <is>
          <t>2026-10-30T14:54:44+00:00</t>
        </is>
      </c>
      <c r="F348" t="inlineStr">
        <is>
          <t>{"Position": "4", "Domain": "rhillane.com", "Url": "https://rhillane.com/agence-seo-maroc-referencement-naturel/"}</t>
        </is>
      </c>
      <c r="G348" t="inlineStr">
        <is>
          <t>Raw (Semrush)</t>
        </is>
      </c>
    </row>
    <row r="349">
      <c r="A349" t="inlineStr">
        <is>
          <t>serp-ma-agence-seo-maroc</t>
        </is>
      </c>
      <c r="B349" t="inlineStr">
        <is>
          <t>phrase_organic</t>
        </is>
      </c>
      <c r="C349" t="inlineStr">
        <is>
          <t>ma</t>
        </is>
      </c>
      <c r="D349" t="inlineStr">
        <is>
          <t>agence seo maroc</t>
        </is>
      </c>
      <c r="E349" t="inlineStr">
        <is>
          <t>2026-10-30T14:54:44+00:00</t>
        </is>
      </c>
      <c r="F349" t="inlineStr">
        <is>
          <t>{"Position": "5", "Domain": "www.sortlist.com", "Url": "https://www.sortlist.com/fr/seo/maroc-ma"}</t>
        </is>
      </c>
      <c r="G349" t="inlineStr">
        <is>
          <t>Raw (Semrush)</t>
        </is>
      </c>
    </row>
    <row r="350">
      <c r="A350" t="inlineStr">
        <is>
          <t>serp-ma-agence-seo-maroc</t>
        </is>
      </c>
      <c r="B350" t="inlineStr">
        <is>
          <t>phrase_organic</t>
        </is>
      </c>
      <c r="C350" t="inlineStr">
        <is>
          <t>ma</t>
        </is>
      </c>
      <c r="D350" t="inlineStr">
        <is>
          <t>agence seo maroc</t>
        </is>
      </c>
      <c r="E350" t="inlineStr">
        <is>
          <t>2026-10-30T14:54:44+00:00</t>
        </is>
      </c>
      <c r="F350" t="inlineStr">
        <is>
          <t>{"Position": "6", "Domain": "www.digiseo.ma", "Url": "https://www.digiseo.ma/"}</t>
        </is>
      </c>
      <c r="G350" t="inlineStr">
        <is>
          <t>Raw (Semrush)</t>
        </is>
      </c>
    </row>
    <row r="351">
      <c r="A351" t="inlineStr">
        <is>
          <t>serp-ma-agence-seo-maroc</t>
        </is>
      </c>
      <c r="B351" t="inlineStr">
        <is>
          <t>phrase_organic</t>
        </is>
      </c>
      <c r="C351" t="inlineStr">
        <is>
          <t>ma</t>
        </is>
      </c>
      <c r="D351" t="inlineStr">
        <is>
          <t>agence seo maroc</t>
        </is>
      </c>
      <c r="E351" t="inlineStr">
        <is>
          <t>2026-10-30T14:54:44+00:00</t>
        </is>
      </c>
      <c r="F351" t="inlineStr">
        <is>
          <t>{"Position": "7", "Domain": "www.energiedin.com", "Url": "https://www.energiedin.com/agence-referencement-naturel-seo/"}</t>
        </is>
      </c>
      <c r="G351" t="inlineStr">
        <is>
          <t>Raw (Semrush)</t>
        </is>
      </c>
    </row>
    <row r="352">
      <c r="A352" t="inlineStr">
        <is>
          <t>serp-ma-agence-seo-maroc</t>
        </is>
      </c>
      <c r="B352" t="inlineStr">
        <is>
          <t>phrase_organic</t>
        </is>
      </c>
      <c r="C352" t="inlineStr">
        <is>
          <t>ma</t>
        </is>
      </c>
      <c r="D352" t="inlineStr">
        <is>
          <t>agence seo maroc</t>
        </is>
      </c>
      <c r="E352" t="inlineStr">
        <is>
          <t>2026-10-30T14:54:44+00:00</t>
        </is>
      </c>
      <c r="F352" t="inlineStr">
        <is>
          <t>{"Position": "8", "Domain": "ae.linkedin.com", "Url": "https://ae.linkedin.com/company/agence-seo-maroc"}</t>
        </is>
      </c>
      <c r="G352" t="inlineStr">
        <is>
          <t>Raw (Semrush)</t>
        </is>
      </c>
    </row>
    <row r="353">
      <c r="A353" t="inlineStr">
        <is>
          <t>serp-ma-agence-seo-maroc</t>
        </is>
      </c>
      <c r="B353" t="inlineStr">
        <is>
          <t>phrase_organic</t>
        </is>
      </c>
      <c r="C353" t="inlineStr">
        <is>
          <t>ma</t>
        </is>
      </c>
      <c r="D353" t="inlineStr">
        <is>
          <t>agence seo maroc</t>
        </is>
      </c>
      <c r="E353" t="inlineStr">
        <is>
          <t>2026-10-30T14:54:44+00:00</t>
        </is>
      </c>
      <c r="F353" t="inlineStr">
        <is>
          <t>{"Position": "9", "Domain": "ranket.ma", "Url": "https://ranket.ma/"}</t>
        </is>
      </c>
      <c r="G353" t="inlineStr">
        <is>
          <t>Raw (Semrush)</t>
        </is>
      </c>
    </row>
    <row r="354">
      <c r="A354" t="inlineStr">
        <is>
          <t>serp-ma-agence-seo-maroc</t>
        </is>
      </c>
      <c r="B354" t="inlineStr">
        <is>
          <t>phrase_organic</t>
        </is>
      </c>
      <c r="C354" t="inlineStr">
        <is>
          <t>ma</t>
        </is>
      </c>
      <c r="D354" t="inlineStr">
        <is>
          <t>agence seo maroc</t>
        </is>
      </c>
      <c r="E354" t="inlineStr">
        <is>
          <t>2026-10-30T14:54:44+00:00</t>
        </is>
      </c>
      <c r="F354" t="inlineStr">
        <is>
          <t>{"Position": "10", "Domain": "www.vala.ma", "Url": "https://www.vala.ma/agence-referencement-seo-maroc"}</t>
        </is>
      </c>
      <c r="G354" t="inlineStr">
        <is>
          <t>Raw (Semrush)</t>
        </is>
      </c>
    </row>
    <row r="355">
      <c r="A355" t="inlineStr">
        <is>
          <t>serp-ma-agence-web-agadir</t>
        </is>
      </c>
      <c r="B355" t="inlineStr">
        <is>
          <t>phrase_organic</t>
        </is>
      </c>
      <c r="C355" t="inlineStr">
        <is>
          <t>ma</t>
        </is>
      </c>
      <c r="D355" t="inlineStr">
        <is>
          <t>agence web agadir</t>
        </is>
      </c>
      <c r="E355" t="inlineStr">
        <is>
          <t>2026-10-30T14:55:28+00:00</t>
        </is>
      </c>
      <c r="F355" t="inlineStr">
        <is>
          <t>NO_DATA (Semrush returned no rows; not billed)</t>
        </is>
      </c>
      <c r="G355" t="inlineStr">
        <is>
          <t>Raw (Semrush)</t>
        </is>
      </c>
    </row>
    <row r="356">
      <c r="A356" t="inlineStr">
        <is>
          <t>serp-ma-agence-web-casablanca</t>
        </is>
      </c>
      <c r="B356" t="inlineStr">
        <is>
          <t>phrase_organic</t>
        </is>
      </c>
      <c r="C356" t="inlineStr">
        <is>
          <t>ma</t>
        </is>
      </c>
      <c r="D356" t="inlineStr">
        <is>
          <t>agence web casablanca</t>
        </is>
      </c>
      <c r="E356" t="inlineStr">
        <is>
          <t>2026-10-30T14:54:37+00:00</t>
        </is>
      </c>
      <c r="F356" t="inlineStr">
        <is>
          <t>{"Position": "1", "Domain": "elevenmedia.ma", "Url": "https://elevenmedia.ma/"}</t>
        </is>
      </c>
      <c r="G356" t="inlineStr">
        <is>
          <t>Raw (Semrush)</t>
        </is>
      </c>
    </row>
    <row r="357">
      <c r="A357" t="inlineStr">
        <is>
          <t>serp-ma-agence-web-casablanca</t>
        </is>
      </c>
      <c r="B357" t="inlineStr">
        <is>
          <t>phrase_organic</t>
        </is>
      </c>
      <c r="C357" t="inlineStr">
        <is>
          <t>ma</t>
        </is>
      </c>
      <c r="D357" t="inlineStr">
        <is>
          <t>agence web casablanca</t>
        </is>
      </c>
      <c r="E357" t="inlineStr">
        <is>
          <t>2026-10-30T14:54:37+00:00</t>
        </is>
      </c>
      <c r="F357" t="inlineStr">
        <is>
          <t>{"Position": "2", "Domain": "www.energiedin.com", "Url": "https://www.energiedin.com/agence-digitale-casablanca/"}</t>
        </is>
      </c>
      <c r="G357" t="inlineStr">
        <is>
          <t>Raw (Semrush)</t>
        </is>
      </c>
    </row>
    <row r="358">
      <c r="A358" t="inlineStr">
        <is>
          <t>serp-ma-agence-web-casablanca</t>
        </is>
      </c>
      <c r="B358" t="inlineStr">
        <is>
          <t>phrase_organic</t>
        </is>
      </c>
      <c r="C358" t="inlineStr">
        <is>
          <t>ma</t>
        </is>
      </c>
      <c r="D358" t="inlineStr">
        <is>
          <t>agence web casablanca</t>
        </is>
      </c>
      <c r="E358" t="inlineStr">
        <is>
          <t>2026-10-30T14:54:37+00:00</t>
        </is>
      </c>
      <c r="F358" t="inlineStr">
        <is>
          <t>{"Position": "3", "Domain": "www.rythmedia.com", "Url": "https://www.rythmedia.com/"}</t>
        </is>
      </c>
      <c r="G358" t="inlineStr">
        <is>
          <t>Raw (Semrush)</t>
        </is>
      </c>
    </row>
    <row r="359">
      <c r="A359" t="inlineStr">
        <is>
          <t>serp-ma-agence-web-casablanca</t>
        </is>
      </c>
      <c r="B359" t="inlineStr">
        <is>
          <t>phrase_organic</t>
        </is>
      </c>
      <c r="C359" t="inlineStr">
        <is>
          <t>ma</t>
        </is>
      </c>
      <c r="D359" t="inlineStr">
        <is>
          <t>agence web casablanca</t>
        </is>
      </c>
      <c r="E359" t="inlineStr">
        <is>
          <t>2026-10-30T14:54:37+00:00</t>
        </is>
      </c>
      <c r="F359" t="inlineStr">
        <is>
          <t>{"Position": "4", "Domain": "www.monkeylab.ma", "Url": "https://www.monkeylab.ma/"}</t>
        </is>
      </c>
      <c r="G359" t="inlineStr">
        <is>
          <t>Raw (Semrush)</t>
        </is>
      </c>
    </row>
    <row r="360">
      <c r="A360" t="inlineStr">
        <is>
          <t>serp-ma-agence-web-casablanca</t>
        </is>
      </c>
      <c r="B360" t="inlineStr">
        <is>
          <t>phrase_organic</t>
        </is>
      </c>
      <c r="C360" t="inlineStr">
        <is>
          <t>ma</t>
        </is>
      </c>
      <c r="D360" t="inlineStr">
        <is>
          <t>agence web casablanca</t>
        </is>
      </c>
      <c r="E360" t="inlineStr">
        <is>
          <t>2026-10-30T14:54:37+00:00</t>
        </is>
      </c>
      <c r="F360" t="inlineStr">
        <is>
          <t>{"Position": "5", "Domain": "www.msavoir.ma", "Url": "https://www.msavoir.ma/"}</t>
        </is>
      </c>
      <c r="G360" t="inlineStr">
        <is>
          <t>Raw (Semrush)</t>
        </is>
      </c>
    </row>
    <row r="361">
      <c r="A361" t="inlineStr">
        <is>
          <t>serp-ma-agence-web-casablanca</t>
        </is>
      </c>
      <c r="B361" t="inlineStr">
        <is>
          <t>phrase_organic</t>
        </is>
      </c>
      <c r="C361" t="inlineStr">
        <is>
          <t>ma</t>
        </is>
      </c>
      <c r="D361" t="inlineStr">
        <is>
          <t>agence web casablanca</t>
        </is>
      </c>
      <c r="E361" t="inlineStr">
        <is>
          <t>2026-10-30T14:54:37+00:00</t>
        </is>
      </c>
      <c r="F361" t="inlineStr">
        <is>
          <t>{"Position": "6", "Domain": "rhillane.com", "Url": "https://rhillane.com/"}</t>
        </is>
      </c>
      <c r="G361" t="inlineStr">
        <is>
          <t>Raw (Semrush)</t>
        </is>
      </c>
    </row>
    <row r="362">
      <c r="A362" t="inlineStr">
        <is>
          <t>serp-ma-agence-web-casablanca</t>
        </is>
      </c>
      <c r="B362" t="inlineStr">
        <is>
          <t>phrase_organic</t>
        </is>
      </c>
      <c r="C362" t="inlineStr">
        <is>
          <t>ma</t>
        </is>
      </c>
      <c r="D362" t="inlineStr">
        <is>
          <t>agence web casablanca</t>
        </is>
      </c>
      <c r="E362" t="inlineStr">
        <is>
          <t>2026-10-30T14:54:37+00:00</t>
        </is>
      </c>
      <c r="F362" t="inlineStr">
        <is>
          <t>{"Position": "7", "Domain": "ai2mag.com", "Url": "https://ai2mag.com/2mag-agence-web-a-casablanca/"}</t>
        </is>
      </c>
      <c r="G362" t="inlineStr">
        <is>
          <t>Raw (Semrush)</t>
        </is>
      </c>
    </row>
    <row r="363">
      <c r="A363" t="inlineStr">
        <is>
          <t>serp-ma-agence-web-casablanca</t>
        </is>
      </c>
      <c r="B363" t="inlineStr">
        <is>
          <t>phrase_organic</t>
        </is>
      </c>
      <c r="C363" t="inlineStr">
        <is>
          <t>ma</t>
        </is>
      </c>
      <c r="D363" t="inlineStr">
        <is>
          <t>agence web casablanca</t>
        </is>
      </c>
      <c r="E363" t="inlineStr">
        <is>
          <t>2026-10-30T14:54:37+00:00</t>
        </is>
      </c>
      <c r="F363" t="inlineStr">
        <is>
          <t>{"Position": "8", "Domain": "www.sortlist.com", "Url": "https://www.sortlist.com/fr/web-marketing/maroc-ma"}</t>
        </is>
      </c>
      <c r="G363" t="inlineStr">
        <is>
          <t>Raw (Semrush)</t>
        </is>
      </c>
    </row>
    <row r="364">
      <c r="A364" t="inlineStr">
        <is>
          <t>serp-ma-agence-web-casablanca</t>
        </is>
      </c>
      <c r="B364" t="inlineStr">
        <is>
          <t>phrase_organic</t>
        </is>
      </c>
      <c r="C364" t="inlineStr">
        <is>
          <t>ma</t>
        </is>
      </c>
      <c r="D364" t="inlineStr">
        <is>
          <t>agence web casablanca</t>
        </is>
      </c>
      <c r="E364" t="inlineStr">
        <is>
          <t>2026-10-30T14:54:37+00:00</t>
        </is>
      </c>
      <c r="F364" t="inlineStr">
        <is>
          <t>{"Position": "9", "Domain": "websuccess.ma", "Url": "https://websuccess.ma/"}</t>
        </is>
      </c>
      <c r="G364" t="inlineStr">
        <is>
          <t>Raw (Semrush)</t>
        </is>
      </c>
    </row>
    <row r="365">
      <c r="A365" t="inlineStr">
        <is>
          <t>serp-ma-agence-web-casablanca</t>
        </is>
      </c>
      <c r="B365" t="inlineStr">
        <is>
          <t>phrase_organic</t>
        </is>
      </c>
      <c r="C365" t="inlineStr">
        <is>
          <t>ma</t>
        </is>
      </c>
      <c r="D365" t="inlineStr">
        <is>
          <t>agence web casablanca</t>
        </is>
      </c>
      <c r="E365" t="inlineStr">
        <is>
          <t>2026-10-30T14:54:37+00:00</t>
        </is>
      </c>
      <c r="F365" t="inlineStr">
        <is>
          <t>{"Position": "10", "Domain": "wikidigital.net", "Url": "https://wikidigital.net/"}</t>
        </is>
      </c>
      <c r="G365" t="inlineStr">
        <is>
          <t>Raw (Semrush)</t>
        </is>
      </c>
    </row>
    <row r="366">
      <c r="A366" t="inlineStr">
        <is>
          <t>serp-ma-agence-web-maroc</t>
        </is>
      </c>
      <c r="B366" t="inlineStr">
        <is>
          <t>phrase_organic</t>
        </is>
      </c>
      <c r="C366" t="inlineStr">
        <is>
          <t>ma</t>
        </is>
      </c>
      <c r="D366" t="inlineStr">
        <is>
          <t>agence web maroc</t>
        </is>
      </c>
      <c r="E366" t="inlineStr">
        <is>
          <t>2026-10-30T14:54:34+00:00</t>
        </is>
      </c>
      <c r="F366" t="inlineStr">
        <is>
          <t>{"Position": "1", "Domain": "rhillane.com", "Url": "https://rhillane.com/"}</t>
        </is>
      </c>
      <c r="G366" t="inlineStr">
        <is>
          <t>Raw (Semrush)</t>
        </is>
      </c>
    </row>
    <row r="367">
      <c r="A367" t="inlineStr">
        <is>
          <t>serp-ma-agence-web-maroc</t>
        </is>
      </c>
      <c r="B367" t="inlineStr">
        <is>
          <t>phrase_organic</t>
        </is>
      </c>
      <c r="C367" t="inlineStr">
        <is>
          <t>ma</t>
        </is>
      </c>
      <c r="D367" t="inlineStr">
        <is>
          <t>agence web maroc</t>
        </is>
      </c>
      <c r="E367" t="inlineStr">
        <is>
          <t>2026-10-30T14:54:34+00:00</t>
        </is>
      </c>
      <c r="F367" t="inlineStr">
        <is>
          <t>{"Position": "2", "Domain": "websuccess.ma", "Url": "https://websuccess.ma/"}</t>
        </is>
      </c>
      <c r="G367" t="inlineStr">
        <is>
          <t>Raw (Semrush)</t>
        </is>
      </c>
    </row>
    <row r="368">
      <c r="A368" t="inlineStr">
        <is>
          <t>serp-ma-agence-web-maroc</t>
        </is>
      </c>
      <c r="B368" t="inlineStr">
        <is>
          <t>phrase_organic</t>
        </is>
      </c>
      <c r="C368" t="inlineStr">
        <is>
          <t>ma</t>
        </is>
      </c>
      <c r="D368" t="inlineStr">
        <is>
          <t>agence web maroc</t>
        </is>
      </c>
      <c r="E368" t="inlineStr">
        <is>
          <t>2026-10-30T14:54:34+00:00</t>
        </is>
      </c>
      <c r="F368" t="inlineStr">
        <is>
          <t>{"Position": "3", "Domain": "webeuz.com", "Url": "https://webeuz.com/"}</t>
        </is>
      </c>
      <c r="G368" t="inlineStr">
        <is>
          <t>Raw (Semrush)</t>
        </is>
      </c>
    </row>
    <row r="369">
      <c r="A369" t="inlineStr">
        <is>
          <t>serp-ma-agence-web-maroc</t>
        </is>
      </c>
      <c r="B369" t="inlineStr">
        <is>
          <t>phrase_organic</t>
        </is>
      </c>
      <c r="C369" t="inlineStr">
        <is>
          <t>ma</t>
        </is>
      </c>
      <c r="D369" t="inlineStr">
        <is>
          <t>agence web maroc</t>
        </is>
      </c>
      <c r="E369" t="inlineStr">
        <is>
          <t>2026-10-30T14:54:34+00:00</t>
        </is>
      </c>
      <c r="F369" t="inlineStr">
        <is>
          <t>{"Position": "4", "Domain": "www.sortlist.com", "Url": "https://www.sortlist.com/fr/web-marketing/maroc-ma"}</t>
        </is>
      </c>
      <c r="G369" t="inlineStr">
        <is>
          <t>Raw (Semrush)</t>
        </is>
      </c>
    </row>
    <row r="370">
      <c r="A370" t="inlineStr">
        <is>
          <t>serp-ma-agence-web-maroc</t>
        </is>
      </c>
      <c r="B370" t="inlineStr">
        <is>
          <t>phrase_organic</t>
        </is>
      </c>
      <c r="C370" t="inlineStr">
        <is>
          <t>ma</t>
        </is>
      </c>
      <c r="D370" t="inlineStr">
        <is>
          <t>agence web maroc</t>
        </is>
      </c>
      <c r="E370" t="inlineStr">
        <is>
          <t>2026-10-30T14:54:34+00:00</t>
        </is>
      </c>
      <c r="F370" t="inlineStr">
        <is>
          <t>{"Position": "5", "Domain": "www.energiedin.com", "Url": "https://www.energiedin.com/"}</t>
        </is>
      </c>
      <c r="G370" t="inlineStr">
        <is>
          <t>Raw (Semrush)</t>
        </is>
      </c>
    </row>
    <row r="371">
      <c r="A371" t="inlineStr">
        <is>
          <t>serp-ma-agence-web-maroc</t>
        </is>
      </c>
      <c r="B371" t="inlineStr">
        <is>
          <t>phrase_organic</t>
        </is>
      </c>
      <c r="C371" t="inlineStr">
        <is>
          <t>ma</t>
        </is>
      </c>
      <c r="D371" t="inlineStr">
        <is>
          <t>agence web maroc</t>
        </is>
      </c>
      <c r="E371" t="inlineStr">
        <is>
          <t>2026-10-30T14:54:34+00:00</t>
        </is>
      </c>
      <c r="F371" t="inlineStr">
        <is>
          <t>{"Position": "6", "Domain": "void.ma", "Url": "https://void.ma/services/agence-web-maroc/"}</t>
        </is>
      </c>
      <c r="G371" t="inlineStr">
        <is>
          <t>Raw (Semrush)</t>
        </is>
      </c>
    </row>
    <row r="372">
      <c r="A372" t="inlineStr">
        <is>
          <t>serp-ma-agence-web-maroc</t>
        </is>
      </c>
      <c r="B372" t="inlineStr">
        <is>
          <t>phrase_organic</t>
        </is>
      </c>
      <c r="C372" t="inlineStr">
        <is>
          <t>ma</t>
        </is>
      </c>
      <c r="D372" t="inlineStr">
        <is>
          <t>agence web maroc</t>
        </is>
      </c>
      <c r="E372" t="inlineStr">
        <is>
          <t>2026-10-30T14:54:34+00:00</t>
        </is>
      </c>
      <c r="F372" t="inlineStr">
        <is>
          <t>{"Position": "7", "Domain": "www.linkedin.com", "Url": "https://www.linkedin.com/company/web-maroc"}</t>
        </is>
      </c>
      <c r="G372" t="inlineStr">
        <is>
          <t>Raw (Semrush)</t>
        </is>
      </c>
    </row>
    <row r="373">
      <c r="A373" t="inlineStr">
        <is>
          <t>serp-ma-agence-web-maroc</t>
        </is>
      </c>
      <c r="B373" t="inlineStr">
        <is>
          <t>phrase_organic</t>
        </is>
      </c>
      <c r="C373" t="inlineStr">
        <is>
          <t>ma</t>
        </is>
      </c>
      <c r="D373" t="inlineStr">
        <is>
          <t>agence web maroc</t>
        </is>
      </c>
      <c r="E373" t="inlineStr">
        <is>
          <t>2026-10-30T14:54:34+00:00</t>
        </is>
      </c>
      <c r="F373" t="inlineStr">
        <is>
          <t>{"Position": "8", "Domain": "www.siway.ma", "Url": "https://www.siway.ma/agence-web"}</t>
        </is>
      </c>
      <c r="G373" t="inlineStr">
        <is>
          <t>Raw (Semrush)</t>
        </is>
      </c>
    </row>
    <row r="374">
      <c r="A374" t="inlineStr">
        <is>
          <t>serp-ma-agence-web-maroc</t>
        </is>
      </c>
      <c r="B374" t="inlineStr">
        <is>
          <t>phrase_organic</t>
        </is>
      </c>
      <c r="C374" t="inlineStr">
        <is>
          <t>ma</t>
        </is>
      </c>
      <c r="D374" t="inlineStr">
        <is>
          <t>agence web maroc</t>
        </is>
      </c>
      <c r="E374" t="inlineStr">
        <is>
          <t>2026-10-30T14:54:34+00:00</t>
        </is>
      </c>
      <c r="F374" t="inlineStr">
        <is>
          <t>{"Position": "9", "Domain": "www.kerix.net", "Url": "https://www.kerix.net/fr/annuaire-entreprise/agences-digitales.html"}</t>
        </is>
      </c>
      <c r="G374" t="inlineStr">
        <is>
          <t>Raw (Semrush)</t>
        </is>
      </c>
    </row>
    <row r="375">
      <c r="A375" t="inlineStr">
        <is>
          <t>serp-ma-agence-web-maroc</t>
        </is>
      </c>
      <c r="B375" t="inlineStr">
        <is>
          <t>phrase_organic</t>
        </is>
      </c>
      <c r="C375" t="inlineStr">
        <is>
          <t>ma</t>
        </is>
      </c>
      <c r="D375" t="inlineStr">
        <is>
          <t>agence web maroc</t>
        </is>
      </c>
      <c r="E375" t="inlineStr">
        <is>
          <t>2026-10-30T14:54:34+00:00</t>
        </is>
      </c>
      <c r="F375" t="inlineStr">
        <is>
          <t>{"Position": "10", "Domain": "wikidigital.net", "Url": "https://wikidigital.net/"}</t>
        </is>
      </c>
      <c r="G375" t="inlineStr">
        <is>
          <t>Raw (Semrush)</t>
        </is>
      </c>
    </row>
    <row r="376">
      <c r="A376" t="inlineStr">
        <is>
          <t>serp-ma-agence-web-marrakech</t>
        </is>
      </c>
      <c r="B376" t="inlineStr">
        <is>
          <t>phrase_organic</t>
        </is>
      </c>
      <c r="C376" t="inlineStr">
        <is>
          <t>ma</t>
        </is>
      </c>
      <c r="D376" t="inlineStr">
        <is>
          <t>agence web marrakech</t>
        </is>
      </c>
      <c r="E376" t="inlineStr">
        <is>
          <t>2026-10-30T14:54:53+00:00</t>
        </is>
      </c>
      <c r="F376" t="inlineStr">
        <is>
          <t>{"Position": "1", "Domain": "vsfagency.tech", "Url": "https://vsfagency.tech/"}</t>
        </is>
      </c>
      <c r="G376" t="inlineStr">
        <is>
          <t>Raw (Semrush)</t>
        </is>
      </c>
    </row>
    <row r="377">
      <c r="A377" t="inlineStr">
        <is>
          <t>serp-ma-agence-web-marrakech</t>
        </is>
      </c>
      <c r="B377" t="inlineStr">
        <is>
          <t>phrase_organic</t>
        </is>
      </c>
      <c r="C377" t="inlineStr">
        <is>
          <t>ma</t>
        </is>
      </c>
      <c r="D377" t="inlineStr">
        <is>
          <t>agence web marrakech</t>
        </is>
      </c>
      <c r="E377" t="inlineStr">
        <is>
          <t>2026-10-30T14:54:53+00:00</t>
        </is>
      </c>
      <c r="F377" t="inlineStr">
        <is>
          <t>{"Position": "2", "Domain": "seocom.ma", "Url": "https://seocom.ma/"}</t>
        </is>
      </c>
      <c r="G377" t="inlineStr">
        <is>
          <t>Raw (Semrush)</t>
        </is>
      </c>
    </row>
    <row r="378">
      <c r="A378" t="inlineStr">
        <is>
          <t>serp-ma-agence-web-marrakech</t>
        </is>
      </c>
      <c r="B378" t="inlineStr">
        <is>
          <t>phrase_organic</t>
        </is>
      </c>
      <c r="C378" t="inlineStr">
        <is>
          <t>ma</t>
        </is>
      </c>
      <c r="D378" t="inlineStr">
        <is>
          <t>agence web marrakech</t>
        </is>
      </c>
      <c r="E378" t="inlineStr">
        <is>
          <t>2026-10-30T14:54:53+00:00</t>
        </is>
      </c>
      <c r="F378" t="inlineStr">
        <is>
          <t>{"Position": "3", "Domain": "www.weshore.com", "Url": "https://www.weshore.com/"}</t>
        </is>
      </c>
      <c r="G378" t="inlineStr">
        <is>
          <t>Raw (Semrush)</t>
        </is>
      </c>
    </row>
    <row r="379">
      <c r="A379" t="inlineStr">
        <is>
          <t>serp-ma-agence-web-marrakech</t>
        </is>
      </c>
      <c r="B379" t="inlineStr">
        <is>
          <t>phrase_organic</t>
        </is>
      </c>
      <c r="C379" t="inlineStr">
        <is>
          <t>ma</t>
        </is>
      </c>
      <c r="D379" t="inlineStr">
        <is>
          <t>agence web marrakech</t>
        </is>
      </c>
      <c r="E379" t="inlineStr">
        <is>
          <t>2026-10-30T14:54:53+00:00</t>
        </is>
      </c>
      <c r="F379" t="inlineStr">
        <is>
          <t>{"Position": "4", "Domain": "smartinfluencer.ma", "Url": "https://smartinfluencer.ma/"}</t>
        </is>
      </c>
      <c r="G379" t="inlineStr">
        <is>
          <t>Raw (Semrush)</t>
        </is>
      </c>
    </row>
    <row r="380">
      <c r="A380" t="inlineStr">
        <is>
          <t>serp-ma-agence-web-marrakech</t>
        </is>
      </c>
      <c r="B380" t="inlineStr">
        <is>
          <t>phrase_organic</t>
        </is>
      </c>
      <c r="C380" t="inlineStr">
        <is>
          <t>ma</t>
        </is>
      </c>
      <c r="D380" t="inlineStr">
        <is>
          <t>agence web marrakech</t>
        </is>
      </c>
      <c r="E380" t="inlineStr">
        <is>
          <t>2026-10-30T14:54:53+00:00</t>
        </is>
      </c>
      <c r="F380" t="inlineStr">
        <is>
          <t>{"Position": "5", "Domain": "void.ma", "Url": "https://void.ma/guides/meilleures-agences-digitales-marrakech/"}</t>
        </is>
      </c>
      <c r="G380" t="inlineStr">
        <is>
          <t>Raw (Semrush)</t>
        </is>
      </c>
    </row>
    <row r="381">
      <c r="A381" t="inlineStr">
        <is>
          <t>serp-ma-agence-web-marrakech</t>
        </is>
      </c>
      <c r="B381" t="inlineStr">
        <is>
          <t>phrase_organic</t>
        </is>
      </c>
      <c r="C381" t="inlineStr">
        <is>
          <t>ma</t>
        </is>
      </c>
      <c r="D381" t="inlineStr">
        <is>
          <t>agence web marrakech</t>
        </is>
      </c>
      <c r="E381" t="inlineStr">
        <is>
          <t>2026-10-30T14:54:53+00:00</t>
        </is>
      </c>
      <c r="F381" t="inlineStr">
        <is>
          <t>{"Position": "6", "Domain": "www.energiedin.com", "Url": "https://www.energiedin.com/agence-web-marrakech/"}</t>
        </is>
      </c>
      <c r="G381" t="inlineStr">
        <is>
          <t>Raw (Semrush)</t>
        </is>
      </c>
    </row>
    <row r="382">
      <c r="A382" t="inlineStr">
        <is>
          <t>serp-ma-agence-web-marrakech</t>
        </is>
      </c>
      <c r="B382" t="inlineStr">
        <is>
          <t>phrase_organic</t>
        </is>
      </c>
      <c r="C382" t="inlineStr">
        <is>
          <t>ma</t>
        </is>
      </c>
      <c r="D382" t="inlineStr">
        <is>
          <t>agence web marrakech</t>
        </is>
      </c>
      <c r="E382" t="inlineStr">
        <is>
          <t>2026-10-30T14:54:53+00:00</t>
        </is>
      </c>
      <c r="F382" t="inlineStr">
        <is>
          <t>{"Position": "7", "Domain": "arfblue.com", "Url": "https://arfblue.com/la-meilleure-agence-marketing-digital-a-marrakech/"}</t>
        </is>
      </c>
      <c r="G382" t="inlineStr">
        <is>
          <t>Raw (Semrush)</t>
        </is>
      </c>
    </row>
    <row r="383">
      <c r="A383" t="inlineStr">
        <is>
          <t>serp-ma-agence-web-marrakech</t>
        </is>
      </c>
      <c r="B383" t="inlineStr">
        <is>
          <t>phrase_organic</t>
        </is>
      </c>
      <c r="C383" t="inlineStr">
        <is>
          <t>ma</t>
        </is>
      </c>
      <c r="D383" t="inlineStr">
        <is>
          <t>agence web marrakech</t>
        </is>
      </c>
      <c r="E383" t="inlineStr">
        <is>
          <t>2026-10-30T14:54:53+00:00</t>
        </is>
      </c>
      <c r="F383" t="inlineStr">
        <is>
          <t>{"Position": "8", "Domain": "www.tcagency.ma", "Url": "https://www.tcagency.ma/agence-web-marrakech/"}</t>
        </is>
      </c>
      <c r="G383" t="inlineStr">
        <is>
          <t>Raw (Semrush)</t>
        </is>
      </c>
    </row>
    <row r="384">
      <c r="A384" t="inlineStr">
        <is>
          <t>serp-ma-agence-web-marrakech</t>
        </is>
      </c>
      <c r="B384" t="inlineStr">
        <is>
          <t>phrase_organic</t>
        </is>
      </c>
      <c r="C384" t="inlineStr">
        <is>
          <t>ma</t>
        </is>
      </c>
      <c r="D384" t="inlineStr">
        <is>
          <t>agence web marrakech</t>
        </is>
      </c>
      <c r="E384" t="inlineStr">
        <is>
          <t>2026-10-30T14:54:53+00:00</t>
        </is>
      </c>
      <c r="F384" t="inlineStr">
        <is>
          <t>{"Position": "9", "Domain": "www.sortlist.com", "Url": "https://www.sortlist.com/fr/l/marrakech-ma"}</t>
        </is>
      </c>
      <c r="G384" t="inlineStr">
        <is>
          <t>Raw (Semrush)</t>
        </is>
      </c>
    </row>
    <row r="385">
      <c r="A385" t="inlineStr">
        <is>
          <t>serp-ma-agence-web-marrakech</t>
        </is>
      </c>
      <c r="B385" t="inlineStr">
        <is>
          <t>phrase_organic</t>
        </is>
      </c>
      <c r="C385" t="inlineStr">
        <is>
          <t>ma</t>
        </is>
      </c>
      <c r="D385" t="inlineStr">
        <is>
          <t>agence web marrakech</t>
        </is>
      </c>
      <c r="E385" t="inlineStr">
        <is>
          <t>2026-10-30T14:54:53+00:00</t>
        </is>
      </c>
      <c r="F385" t="inlineStr">
        <is>
          <t>{"Position": "10", "Domain": "www.redcityweb.com", "Url": "https://www.redcityweb.com/"}</t>
        </is>
      </c>
      <c r="G385" t="inlineStr">
        <is>
          <t>Raw (Semrush)</t>
        </is>
      </c>
    </row>
    <row r="386">
      <c r="A386" t="inlineStr">
        <is>
          <t>serp-ma-agence-web-rabat</t>
        </is>
      </c>
      <c r="B386" t="inlineStr">
        <is>
          <t>phrase_organic</t>
        </is>
      </c>
      <c r="C386" t="inlineStr">
        <is>
          <t>ma</t>
        </is>
      </c>
      <c r="D386" t="inlineStr">
        <is>
          <t>agence web rabat</t>
        </is>
      </c>
      <c r="E386" t="inlineStr">
        <is>
          <t>2026-10-30T14:54:52+00:00</t>
        </is>
      </c>
      <c r="F386" t="inlineStr">
        <is>
          <t>NO_DATA (Semrush returned no rows; not billed)</t>
        </is>
      </c>
      <c r="G386" t="inlineStr">
        <is>
          <t>Raw (Semrush)</t>
        </is>
      </c>
    </row>
    <row r="387">
      <c r="A387" t="inlineStr">
        <is>
          <t>serp-ma-agence-web-tanger</t>
        </is>
      </c>
      <c r="B387" t="inlineStr">
        <is>
          <t>phrase_organic</t>
        </is>
      </c>
      <c r="C387" t="inlineStr">
        <is>
          <t>ma</t>
        </is>
      </c>
      <c r="D387" t="inlineStr">
        <is>
          <t>agence web tanger</t>
        </is>
      </c>
      <c r="E387" t="inlineStr">
        <is>
          <t>2026-10-30T14:55:26+00:00</t>
        </is>
      </c>
      <c r="F387" t="inlineStr">
        <is>
          <t>NO_DATA (Semrush returned no rows; not billed)</t>
        </is>
      </c>
      <c r="G387" t="inlineStr">
        <is>
          <t>Raw (Semrush)</t>
        </is>
      </c>
    </row>
    <row r="388">
      <c r="A388" t="inlineStr">
        <is>
          <t>serp-ma-creation-site-internet-maroc</t>
        </is>
      </c>
      <c r="B388" t="inlineStr">
        <is>
          <t>phrase_organic</t>
        </is>
      </c>
      <c r="C388" t="inlineStr">
        <is>
          <t>ma</t>
        </is>
      </c>
      <c r="D388" t="inlineStr">
        <is>
          <t>creation site internet maroc</t>
        </is>
      </c>
      <c r="E388" t="inlineStr">
        <is>
          <t>2026-10-30T14:55:24+00:00</t>
        </is>
      </c>
      <c r="F388" t="inlineStr">
        <is>
          <t>NO_DATA (Semrush returned no rows; not billed)</t>
        </is>
      </c>
      <c r="G388" t="inlineStr">
        <is>
          <t>Raw (Semrush)</t>
        </is>
      </c>
    </row>
    <row r="389">
      <c r="A389" t="inlineStr">
        <is>
          <t>serp-ma-creation-site-web-casablanca</t>
        </is>
      </c>
      <c r="B389" t="inlineStr">
        <is>
          <t>phrase_organic</t>
        </is>
      </c>
      <c r="C389" t="inlineStr">
        <is>
          <t>ma</t>
        </is>
      </c>
      <c r="D389" t="inlineStr">
        <is>
          <t>creation site web casablanca</t>
        </is>
      </c>
      <c r="E389" t="inlineStr">
        <is>
          <t>2026-10-30T14:55:21+00:00</t>
        </is>
      </c>
      <c r="F389" t="inlineStr">
        <is>
          <t>NO_DATA (Semrush returned no rows; not billed)</t>
        </is>
      </c>
      <c r="G389" t="inlineStr">
        <is>
          <t>Raw (Semrush)</t>
        </is>
      </c>
    </row>
    <row r="390">
      <c r="A390" t="inlineStr">
        <is>
          <t>serp-ma-creation-site-web-maroc</t>
        </is>
      </c>
      <c r="B390" t="inlineStr">
        <is>
          <t>phrase_organic</t>
        </is>
      </c>
      <c r="C390" t="inlineStr">
        <is>
          <t>ma</t>
        </is>
      </c>
      <c r="D390" t="inlineStr">
        <is>
          <t>creation site web maroc</t>
        </is>
      </c>
      <c r="E390" t="inlineStr">
        <is>
          <t>2026-10-30T14:55:20+00:00</t>
        </is>
      </c>
      <c r="F390" t="inlineStr">
        <is>
          <t>{"Position": "1", "Domain": "www.website.ma", "Url": "https://www.website.ma/"}</t>
        </is>
      </c>
      <c r="G390" t="inlineStr">
        <is>
          <t>Raw (Semrush)</t>
        </is>
      </c>
    </row>
    <row r="391">
      <c r="A391" t="inlineStr">
        <is>
          <t>serp-ma-creation-site-web-maroc</t>
        </is>
      </c>
      <c r="B391" t="inlineStr">
        <is>
          <t>phrase_organic</t>
        </is>
      </c>
      <c r="C391" t="inlineStr">
        <is>
          <t>ma</t>
        </is>
      </c>
      <c r="D391" t="inlineStr">
        <is>
          <t>creation site web maroc</t>
        </is>
      </c>
      <c r="E391" t="inlineStr">
        <is>
          <t>2026-10-30T14:55:20+00:00</t>
        </is>
      </c>
      <c r="F391" t="inlineStr">
        <is>
          <t>{"Position": "2", "Domain": "websuccess.ma", "Url": "https://websuccess.ma/blog/cout-creation-site-web-maroc"}</t>
        </is>
      </c>
      <c r="G391" t="inlineStr">
        <is>
          <t>Raw (Semrush)</t>
        </is>
      </c>
    </row>
    <row r="392">
      <c r="A392" t="inlineStr">
        <is>
          <t>serp-ma-creation-site-web-maroc</t>
        </is>
      </c>
      <c r="B392" t="inlineStr">
        <is>
          <t>phrase_organic</t>
        </is>
      </c>
      <c r="C392" t="inlineStr">
        <is>
          <t>ma</t>
        </is>
      </c>
      <c r="D392" t="inlineStr">
        <is>
          <t>creation site web maroc</t>
        </is>
      </c>
      <c r="E392" t="inlineStr">
        <is>
          <t>2026-10-30T14:55:20+00:00</t>
        </is>
      </c>
      <c r="F392" t="inlineStr">
        <is>
          <t>{"Position": "3", "Domain": "rhillane.com", "Url": "https://rhillane.com/blog/prix-creation-site-web-maroc/"}</t>
        </is>
      </c>
      <c r="G392" t="inlineStr">
        <is>
          <t>Raw (Semrush)</t>
        </is>
      </c>
    </row>
    <row r="393">
      <c r="A393" t="inlineStr">
        <is>
          <t>serp-ma-creation-site-web-maroc</t>
        </is>
      </c>
      <c r="B393" t="inlineStr">
        <is>
          <t>phrase_organic</t>
        </is>
      </c>
      <c r="C393" t="inlineStr">
        <is>
          <t>ma</t>
        </is>
      </c>
      <c r="D393" t="inlineStr">
        <is>
          <t>creation site web maroc</t>
        </is>
      </c>
      <c r="E393" t="inlineStr">
        <is>
          <t>2026-10-30T14:55:20+00:00</t>
        </is>
      </c>
      <c r="F393" t="inlineStr">
        <is>
          <t>{"Position": "4", "Domain": "baleez.net", "Url": "https://baleez.net/"}</t>
        </is>
      </c>
      <c r="G393" t="inlineStr">
        <is>
          <t>Raw (Semrush)</t>
        </is>
      </c>
    </row>
    <row r="394">
      <c r="A394" t="inlineStr">
        <is>
          <t>serp-ma-creation-site-web-maroc</t>
        </is>
      </c>
      <c r="B394" t="inlineStr">
        <is>
          <t>phrase_organic</t>
        </is>
      </c>
      <c r="C394" t="inlineStr">
        <is>
          <t>ma</t>
        </is>
      </c>
      <c r="D394" t="inlineStr">
        <is>
          <t>creation site web maroc</t>
        </is>
      </c>
      <c r="E394" t="inlineStr">
        <is>
          <t>2026-10-30T14:55:20+00:00</t>
        </is>
      </c>
      <c r="F394" t="inlineStr">
        <is>
          <t>{"Position": "5", "Domain": "www.hostino.ma", "Url": "https://www.hostino.ma/creation-site-web-maroc/"}</t>
        </is>
      </c>
      <c r="G394" t="inlineStr">
        <is>
          <t>Raw (Semrush)</t>
        </is>
      </c>
    </row>
    <row r="395">
      <c r="A395" t="inlineStr">
        <is>
          <t>serp-ma-creation-site-web-maroc</t>
        </is>
      </c>
      <c r="B395" t="inlineStr">
        <is>
          <t>phrase_organic</t>
        </is>
      </c>
      <c r="C395" t="inlineStr">
        <is>
          <t>ma</t>
        </is>
      </c>
      <c r="D395" t="inlineStr">
        <is>
          <t>creation site web maroc</t>
        </is>
      </c>
      <c r="E395" t="inlineStr">
        <is>
          <t>2026-10-30T14:55:20+00:00</t>
        </is>
      </c>
      <c r="F395" t="inlineStr">
        <is>
          <t>{"Position": "6", "Domain": "nindohost.ma", "Url": "https://nindohost.ma/guides/creation-sites-web/"}</t>
        </is>
      </c>
      <c r="G395" t="inlineStr">
        <is>
          <t>Raw (Semrush)</t>
        </is>
      </c>
    </row>
    <row r="396">
      <c r="A396" t="inlineStr">
        <is>
          <t>serp-ma-creation-site-web-maroc</t>
        </is>
      </c>
      <c r="B396" t="inlineStr">
        <is>
          <t>phrase_organic</t>
        </is>
      </c>
      <c r="C396" t="inlineStr">
        <is>
          <t>ma</t>
        </is>
      </c>
      <c r="D396" t="inlineStr">
        <is>
          <t>creation site web maroc</t>
        </is>
      </c>
      <c r="E396" t="inlineStr">
        <is>
          <t>2026-10-30T14:55:20+00:00</t>
        </is>
      </c>
      <c r="F396" t="inlineStr">
        <is>
          <t>{"Position": "7", "Domain": "www.adk-media.com", "Url": "https://www.adk-media.com/fr/creation-site-web-maroc.php"}</t>
        </is>
      </c>
      <c r="G396" t="inlineStr">
        <is>
          <t>Raw (Semrush)</t>
        </is>
      </c>
    </row>
    <row r="397">
      <c r="A397" t="inlineStr">
        <is>
          <t>serp-ma-creation-site-web-maroc</t>
        </is>
      </c>
      <c r="B397" t="inlineStr">
        <is>
          <t>phrase_organic</t>
        </is>
      </c>
      <c r="C397" t="inlineStr">
        <is>
          <t>ma</t>
        </is>
      </c>
      <c r="D397" t="inlineStr">
        <is>
          <t>creation site web maroc</t>
        </is>
      </c>
      <c r="E397" t="inlineStr">
        <is>
          <t>2026-10-30T14:55:20+00:00</t>
        </is>
      </c>
      <c r="F397" t="inlineStr">
        <is>
          <t>{"Position": "8", "Domain": "www.itlabspro.com", "Url": "https://www.itlabspro.com/blog/cout-prix-creation-site-web-maroc"}</t>
        </is>
      </c>
      <c r="G397" t="inlineStr">
        <is>
          <t>Raw (Semrush)</t>
        </is>
      </c>
    </row>
    <row r="398">
      <c r="A398" t="inlineStr">
        <is>
          <t>serp-ma-creation-site-web-maroc</t>
        </is>
      </c>
      <c r="B398" t="inlineStr">
        <is>
          <t>phrase_organic</t>
        </is>
      </c>
      <c r="C398" t="inlineStr">
        <is>
          <t>ma</t>
        </is>
      </c>
      <c r="D398" t="inlineStr">
        <is>
          <t>creation site web maroc</t>
        </is>
      </c>
      <c r="E398" t="inlineStr">
        <is>
          <t>2026-10-30T14:55:20+00:00</t>
        </is>
      </c>
      <c r="F398" t="inlineStr">
        <is>
          <t>{"Position": "9", "Domain": "www.dotma.ma", "Url": "https://www.dotma.ma/prix-creation-site-web-maroc"}</t>
        </is>
      </c>
      <c r="G398" t="inlineStr">
        <is>
          <t>Raw (Semrush)</t>
        </is>
      </c>
    </row>
    <row r="399">
      <c r="A399" t="inlineStr">
        <is>
          <t>serp-ma-creation-site-web-maroc</t>
        </is>
      </c>
      <c r="B399" t="inlineStr">
        <is>
          <t>phrase_organic</t>
        </is>
      </c>
      <c r="C399" t="inlineStr">
        <is>
          <t>ma</t>
        </is>
      </c>
      <c r="D399" t="inlineStr">
        <is>
          <t>creation site web maroc</t>
        </is>
      </c>
      <c r="E399" t="inlineStr">
        <is>
          <t>2026-10-30T14:55:20+00:00</t>
        </is>
      </c>
      <c r="F399" t="inlineStr">
        <is>
          <t>{"Position": "10", "Domain": "nindohost.ma", "Url": "https://nindohost.ma/guides/creation-sites-web/"}</t>
        </is>
      </c>
      <c r="G399" t="inlineStr">
        <is>
          <t>Raw (Semrush)</t>
        </is>
      </c>
    </row>
    <row r="400">
      <c r="A400" t="inlineStr">
        <is>
          <t>serp-ma-création-site-e-commerce-maroc</t>
        </is>
      </c>
      <c r="B400" t="inlineStr">
        <is>
          <t>phrase_organic</t>
        </is>
      </c>
      <c r="C400" t="inlineStr">
        <is>
          <t>ma</t>
        </is>
      </c>
      <c r="D400" t="inlineStr">
        <is>
          <t>création site e-commerce maroc</t>
        </is>
      </c>
      <c r="E400" t="inlineStr">
        <is>
          <t>2026-10-30T14:54:46+00:00</t>
        </is>
      </c>
      <c r="F400" t="inlineStr">
        <is>
          <t>NO_DATA (Semrush returned no rows; not billed)</t>
        </is>
      </c>
      <c r="G400" t="inlineStr">
        <is>
          <t>Raw (Semrush)</t>
        </is>
      </c>
    </row>
    <row r="401">
      <c r="A401" t="inlineStr">
        <is>
          <t>serp-ma-création-site-internet-maroc</t>
        </is>
      </c>
      <c r="B401" t="inlineStr">
        <is>
          <t>phrase_organic</t>
        </is>
      </c>
      <c r="C401" t="inlineStr">
        <is>
          <t>ma</t>
        </is>
      </c>
      <c r="D401" t="inlineStr">
        <is>
          <t>création site internet maroc</t>
        </is>
      </c>
      <c r="E401" t="inlineStr">
        <is>
          <t>2026-10-30T14:54:41+00:00</t>
        </is>
      </c>
      <c r="F401" t="inlineStr">
        <is>
          <t>NO_DATA (Semrush returned no rows; not billed)</t>
        </is>
      </c>
      <c r="G401" t="inlineStr">
        <is>
          <t>Raw (Semrush)</t>
        </is>
      </c>
    </row>
    <row r="402">
      <c r="A402" t="inlineStr">
        <is>
          <t>serp-ma-création-site-web-casablanca</t>
        </is>
      </c>
      <c r="B402" t="inlineStr">
        <is>
          <t>phrase_organic</t>
        </is>
      </c>
      <c r="C402" t="inlineStr">
        <is>
          <t>ma</t>
        </is>
      </c>
      <c r="D402" t="inlineStr">
        <is>
          <t>création site web casablanca</t>
        </is>
      </c>
      <c r="E402" t="inlineStr">
        <is>
          <t>2026-10-30T14:54:54+00:00</t>
        </is>
      </c>
      <c r="F402" t="inlineStr">
        <is>
          <t>NO_DATA (Semrush returned no rows; not billed)</t>
        </is>
      </c>
      <c r="G402" t="inlineStr">
        <is>
          <t>Raw (Semrush)</t>
        </is>
      </c>
    </row>
    <row r="403">
      <c r="A403" t="inlineStr">
        <is>
          <t>serp-ma-création-site-web-maroc</t>
        </is>
      </c>
      <c r="B403" t="inlineStr">
        <is>
          <t>phrase_organic</t>
        </is>
      </c>
      <c r="C403" t="inlineStr">
        <is>
          <t>ma</t>
        </is>
      </c>
      <c r="D403" t="inlineStr">
        <is>
          <t>création site web maroc</t>
        </is>
      </c>
      <c r="E403" t="inlineStr">
        <is>
          <t>2026-10-30T14:54:35+00:00</t>
        </is>
      </c>
      <c r="F403" t="inlineStr">
        <is>
          <t>NO_DATA (Semrush returned no rows; not billed)</t>
        </is>
      </c>
      <c r="G403" t="inlineStr">
        <is>
          <t>Raw (Semrush)</t>
        </is>
      </c>
    </row>
    <row r="404">
      <c r="A404" t="inlineStr">
        <is>
          <t>serp-ma-développement-web-maroc</t>
        </is>
      </c>
      <c r="B404" t="inlineStr">
        <is>
          <t>phrase_organic</t>
        </is>
      </c>
      <c r="C404" t="inlineStr">
        <is>
          <t>ma</t>
        </is>
      </c>
      <c r="D404" t="inlineStr">
        <is>
          <t>développement web maroc</t>
        </is>
      </c>
      <c r="E404" t="inlineStr">
        <is>
          <t>2026-10-30T14:54:49+00:00</t>
        </is>
      </c>
      <c r="F404" t="inlineStr">
        <is>
          <t>NO_DATA (Semrush returned no rows; not billed)</t>
        </is>
      </c>
      <c r="G404" t="inlineStr">
        <is>
          <t>Raw (Semrush)</t>
        </is>
      </c>
    </row>
    <row r="405">
      <c r="A405" t="inlineStr">
        <is>
          <t>serp-ma-seo-maroc</t>
        </is>
      </c>
      <c r="B405" t="inlineStr">
        <is>
          <t>phrase_organic</t>
        </is>
      </c>
      <c r="C405" t="inlineStr">
        <is>
          <t>ma</t>
        </is>
      </c>
      <c r="D405" t="inlineStr">
        <is>
          <t>seo maroc</t>
        </is>
      </c>
      <c r="E405" t="inlineStr">
        <is>
          <t>2026-10-30T14:55:27+00:00</t>
        </is>
      </c>
      <c r="F405" t="inlineStr">
        <is>
          <t>{"Position": "1", "Domain": "urikacloud.com", "Url": "https://urikacloud.com/seo-maroc.htm"}</t>
        </is>
      </c>
      <c r="G405" t="inlineStr">
        <is>
          <t>Raw (Semrush)</t>
        </is>
      </c>
    </row>
    <row r="406">
      <c r="A406" t="inlineStr">
        <is>
          <t>serp-ma-seo-maroc</t>
        </is>
      </c>
      <c r="B406" t="inlineStr">
        <is>
          <t>phrase_organic</t>
        </is>
      </c>
      <c r="C406" t="inlineStr">
        <is>
          <t>ma</t>
        </is>
      </c>
      <c r="D406" t="inlineStr">
        <is>
          <t>seo maroc</t>
        </is>
      </c>
      <c r="E406" t="inlineStr">
        <is>
          <t>2026-10-30T14:55:27+00:00</t>
        </is>
      </c>
      <c r="F406" t="inlineStr">
        <is>
          <t>{"Position": "2", "Domain": "www.hostino.ma", "Url": "https://www.hostino.ma/agence-seo-maroc/"}</t>
        </is>
      </c>
      <c r="G406" t="inlineStr">
        <is>
          <t>Raw (Semrush)</t>
        </is>
      </c>
    </row>
    <row r="407">
      <c r="A407" t="inlineStr">
        <is>
          <t>serp-ma-seo-maroc</t>
        </is>
      </c>
      <c r="B407" t="inlineStr">
        <is>
          <t>phrase_organic</t>
        </is>
      </c>
      <c r="C407" t="inlineStr">
        <is>
          <t>ma</t>
        </is>
      </c>
      <c r="D407" t="inlineStr">
        <is>
          <t>seo maroc</t>
        </is>
      </c>
      <c r="E407" t="inlineStr">
        <is>
          <t>2026-10-30T14:55:27+00:00</t>
        </is>
      </c>
      <c r="F407" t="inlineStr">
        <is>
          <t>{"Position": "3", "Domain": "www.vala.ma", "Url": "https://www.vala.ma/agence-referencement-seo-maroc"}</t>
        </is>
      </c>
      <c r="G407" t="inlineStr">
        <is>
          <t>Raw (Semrush)</t>
        </is>
      </c>
    </row>
    <row r="408">
      <c r="A408" t="inlineStr">
        <is>
          <t>serp-ma-seo-maroc</t>
        </is>
      </c>
      <c r="B408" t="inlineStr">
        <is>
          <t>phrase_organic</t>
        </is>
      </c>
      <c r="C408" t="inlineStr">
        <is>
          <t>ma</t>
        </is>
      </c>
      <c r="D408" t="inlineStr">
        <is>
          <t>seo maroc</t>
        </is>
      </c>
      <c r="E408" t="inlineStr">
        <is>
          <t>2026-10-30T14:55:27+00:00</t>
        </is>
      </c>
      <c r="F408" t="inlineStr">
        <is>
          <t>{"Position": "4", "Domain": "www.trtdigital.ma", "Url": "https://www.trtdigital.ma/"}</t>
        </is>
      </c>
      <c r="G408" t="inlineStr">
        <is>
          <t>Raw (Semrush)</t>
        </is>
      </c>
    </row>
    <row r="409">
      <c r="A409" t="inlineStr">
        <is>
          <t>serp-ma-seo-maroc</t>
        </is>
      </c>
      <c r="B409" t="inlineStr">
        <is>
          <t>phrase_organic</t>
        </is>
      </c>
      <c r="C409" t="inlineStr">
        <is>
          <t>ma</t>
        </is>
      </c>
      <c r="D409" t="inlineStr">
        <is>
          <t>seo maroc</t>
        </is>
      </c>
      <c r="E409" t="inlineStr">
        <is>
          <t>2026-10-30T14:55:27+00:00</t>
        </is>
      </c>
      <c r="F409" t="inlineStr">
        <is>
          <t>{"Position": "5", "Domain": "www.energiedin.com", "Url": "https://www.energiedin.com/agence-referencement-naturel-seo/"}</t>
        </is>
      </c>
      <c r="G409" t="inlineStr">
        <is>
          <t>Raw (Semrush)</t>
        </is>
      </c>
    </row>
    <row r="410">
      <c r="A410" t="inlineStr">
        <is>
          <t>serp-ma-seo-maroc</t>
        </is>
      </c>
      <c r="B410" t="inlineStr">
        <is>
          <t>phrase_organic</t>
        </is>
      </c>
      <c r="C410" t="inlineStr">
        <is>
          <t>ma</t>
        </is>
      </c>
      <c r="D410" t="inlineStr">
        <is>
          <t>seo maroc</t>
        </is>
      </c>
      <c r="E410" t="inlineStr">
        <is>
          <t>2026-10-30T14:55:27+00:00</t>
        </is>
      </c>
      <c r="F410" t="inlineStr">
        <is>
          <t>{"Position": "6", "Domain": "www.sortlist.com", "Url": "https://www.sortlist.com/fr/seo/maroc-ma"}</t>
        </is>
      </c>
      <c r="G410" t="inlineStr">
        <is>
          <t>Raw (Semrush)</t>
        </is>
      </c>
    </row>
    <row r="411">
      <c r="A411" t="inlineStr">
        <is>
          <t>serp-ma-seo-maroc</t>
        </is>
      </c>
      <c r="B411" t="inlineStr">
        <is>
          <t>phrase_organic</t>
        </is>
      </c>
      <c r="C411" t="inlineStr">
        <is>
          <t>ma</t>
        </is>
      </c>
      <c r="D411" t="inlineStr">
        <is>
          <t>seo maroc</t>
        </is>
      </c>
      <c r="E411" t="inlineStr">
        <is>
          <t>2026-10-30T14:55:27+00:00</t>
        </is>
      </c>
      <c r="F411" t="inlineStr">
        <is>
          <t>{"Position": "7", "Domain": "sea.ma", "Url": "https://sea.ma/"}</t>
        </is>
      </c>
      <c r="G411" t="inlineStr">
        <is>
          <t>Raw (Semrush)</t>
        </is>
      </c>
    </row>
    <row r="412">
      <c r="A412" t="inlineStr">
        <is>
          <t>serp-ma-seo-maroc</t>
        </is>
      </c>
      <c r="B412" t="inlineStr">
        <is>
          <t>phrase_organic</t>
        </is>
      </c>
      <c r="C412" t="inlineStr">
        <is>
          <t>ma</t>
        </is>
      </c>
      <c r="D412" t="inlineStr">
        <is>
          <t>seo maroc</t>
        </is>
      </c>
      <c r="E412" t="inlineStr">
        <is>
          <t>2026-10-30T14:55:27+00:00</t>
        </is>
      </c>
      <c r="F412" t="inlineStr">
        <is>
          <t>{"Position": "8", "Domain": "void.ma", "Url": "https://void.ma/services/seo-maroc/"}</t>
        </is>
      </c>
      <c r="G412" t="inlineStr">
        <is>
          <t>Raw (Semrush)</t>
        </is>
      </c>
    </row>
    <row r="413">
      <c r="A413" t="inlineStr">
        <is>
          <t>serp-ma-seo-maroc</t>
        </is>
      </c>
      <c r="B413" t="inlineStr">
        <is>
          <t>phrase_organic</t>
        </is>
      </c>
      <c r="C413" t="inlineStr">
        <is>
          <t>ma</t>
        </is>
      </c>
      <c r="D413" t="inlineStr">
        <is>
          <t>seo maroc</t>
        </is>
      </c>
      <c r="E413" t="inlineStr">
        <is>
          <t>2026-10-30T14:55:27+00:00</t>
        </is>
      </c>
      <c r="F413" t="inlineStr">
        <is>
          <t>{"Position": "9", "Domain": "rhillane.com", "Url": "https://rhillane.com/agence-seo-maroc-referencement-naturel/"}</t>
        </is>
      </c>
      <c r="G413" t="inlineStr">
        <is>
          <t>Raw (Semrush)</t>
        </is>
      </c>
    </row>
    <row r="414">
      <c r="A414" t="inlineStr">
        <is>
          <t>serp-ma-seo-maroc</t>
        </is>
      </c>
      <c r="B414" t="inlineStr">
        <is>
          <t>phrase_organic</t>
        </is>
      </c>
      <c r="C414" t="inlineStr">
        <is>
          <t>ma</t>
        </is>
      </c>
      <c r="D414" t="inlineStr">
        <is>
          <t>seo maroc</t>
        </is>
      </c>
      <c r="E414" t="inlineStr">
        <is>
          <t>2026-10-30T14:55:27+00:00</t>
        </is>
      </c>
      <c r="F414" t="inlineStr">
        <is>
          <t>{"Position": "10", "Domain": "www.instagram.com", "Url": "https://www.instagram.com/marocseo/"}</t>
        </is>
      </c>
      <c r="G414" t="inlineStr">
        <is>
          <t>Raw (Semrush)</t>
        </is>
      </c>
    </row>
    <row r="415">
      <c r="A415" t="inlineStr">
        <is>
          <t>val-ae-0</t>
        </is>
      </c>
      <c r="B415" t="inlineStr">
        <is>
          <t>phrase_these</t>
        </is>
      </c>
      <c r="C415" t="inlineStr">
        <is>
          <t>ae</t>
        </is>
      </c>
      <c r="D415" t="inlineStr">
        <is>
          <t>agence web abu dhabi;agence web dubai;création site web abu dhabi;création site web dubai;développement web abu dhabi;développement web dubai;web development company abu dhabi;web development company dubai</t>
        </is>
      </c>
      <c r="E415" t="inlineStr">
        <is>
          <t>2026-10-30T15:06:20+00:00</t>
        </is>
      </c>
      <c r="F415" t="inlineStr">
        <is>
          <t>{"Keyword": "agence web dubai", "Search Volume": "10", "CPC": "0", "Competition": "0", "Number of Results": "0", "Trends": "0.00,1.00,1.00,0.00,1.00,1.00,1.00,0.00,0.00,1.00,1.00,0.00", "Intent": "", "Keyword Difficulty Index": "0"}</t>
        </is>
      </c>
      <c r="G415" t="inlineStr">
        <is>
          <t>Raw (Semrush)</t>
        </is>
      </c>
    </row>
    <row r="416">
      <c r="A416" t="inlineStr">
        <is>
          <t>val-ae-0</t>
        </is>
      </c>
      <c r="B416" t="inlineStr">
        <is>
          <t>phrase_these</t>
        </is>
      </c>
      <c r="C416" t="inlineStr">
        <is>
          <t>ae</t>
        </is>
      </c>
      <c r="D416" t="inlineStr">
        <is>
          <t>agence web abu dhabi;agence web dubai;création site web abu dhabi;création site web dubai;développement web abu dhabi;développement web dubai;web development company abu dhabi;web development company dubai</t>
        </is>
      </c>
      <c r="E416" t="inlineStr">
        <is>
          <t>2026-10-30T15:06:20+00:00</t>
        </is>
      </c>
      <c r="F416" t="inlineStr">
        <is>
          <t>{"Keyword": "web development company abu dhabi", "Search Volume": "390", "CPC": "8.81", "Competition": "0.12", "Number of Results": "100", "Trends": "0.11,1.00,0.17,0.11,0.06,0.11,0.14,0.17,0.11,0.21,0.11,0.14", "Intent": "0", "Keyword Difficulty Index": "18"}</t>
        </is>
      </c>
      <c r="G416" t="inlineStr">
        <is>
          <t>Raw (Semrush)</t>
        </is>
      </c>
    </row>
    <row r="417">
      <c r="A417" t="inlineStr">
        <is>
          <t>val-ae-0</t>
        </is>
      </c>
      <c r="B417" t="inlineStr">
        <is>
          <t>phrase_these</t>
        </is>
      </c>
      <c r="C417" t="inlineStr">
        <is>
          <t>ae</t>
        </is>
      </c>
      <c r="D417" t="inlineStr">
        <is>
          <t>agence web abu dhabi;agence web dubai;création site web abu dhabi;création site web dubai;développement web abu dhabi;développement web dubai;web development company abu dhabi;web development company dubai</t>
        </is>
      </c>
      <c r="E417" t="inlineStr">
        <is>
          <t>2026-10-30T15:06:20+00:00</t>
        </is>
      </c>
      <c r="F417" t="inlineStr">
        <is>
          <t>{"Keyword": "web development company dubai", "Search Volume": "1600", "CPC": "6.25", "Competition": "0.21", "Number of Results": "106", "Trends": "0.36,0.43,0.36,0.43,1.00,0.23,0.23,0.23,0.30,0.30,0.30,0.23", "Intent": "0", "Keyword Difficulty Index": "31"}</t>
        </is>
      </c>
      <c r="G417" t="inlineStr">
        <is>
          <t>Raw (Semrush)</t>
        </is>
      </c>
    </row>
    <row r="418">
      <c r="A418" t="inlineStr">
        <is>
          <t>val-be-0</t>
        </is>
      </c>
      <c r="B418" t="inlineStr">
        <is>
          <t>phrase_these</t>
        </is>
      </c>
      <c r="C418" t="inlineStr">
        <is>
          <t>be</t>
        </is>
      </c>
      <c r="D418"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18" t="inlineStr">
        <is>
          <t>2026-10-30T15:06:23+00:00</t>
        </is>
      </c>
      <c r="F418" t="inlineStr">
        <is>
          <t>{"Keyword": "agence de développement web", "Search Volume": "210", "CPC": "3.04", "Competition": "0.11", "Number of Results": "122", "Trends": "0.43,0.35,0.35,0.66,0.66,0.82,0.43,0.43,0.53,1.00,0.28,0.28", "Intent": "0", "Keyword Difficulty Index": "21"}</t>
        </is>
      </c>
      <c r="G418" t="inlineStr">
        <is>
          <t>Raw (Semrush)</t>
        </is>
      </c>
    </row>
    <row r="419">
      <c r="A419" t="inlineStr">
        <is>
          <t>val-be-0</t>
        </is>
      </c>
      <c r="B419" t="inlineStr">
        <is>
          <t>phrase_these</t>
        </is>
      </c>
      <c r="C419" t="inlineStr">
        <is>
          <t>be</t>
        </is>
      </c>
      <c r="D419"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19" t="inlineStr">
        <is>
          <t>2026-10-30T15:06:23+00:00</t>
        </is>
      </c>
      <c r="F419" t="inlineStr">
        <is>
          <t>{"Keyword": "agence digitale", "Search Volume": "1300", "CPC": "3.52", "Competition": "0.31", "Number of Results": "112", "Trends": "1.00,0.76,1.00,1.00,1.00,1.00,1.00,1.00,1.00,1.00,0.76,0.76", "Intent": "0", "Keyword Difficulty Index": "47"}</t>
        </is>
      </c>
      <c r="G419" t="inlineStr">
        <is>
          <t>Raw (Semrush)</t>
        </is>
      </c>
    </row>
    <row r="420">
      <c r="A420" t="inlineStr">
        <is>
          <t>val-be-0</t>
        </is>
      </c>
      <c r="B420" t="inlineStr">
        <is>
          <t>phrase_these</t>
        </is>
      </c>
      <c r="C420" t="inlineStr">
        <is>
          <t>be</t>
        </is>
      </c>
      <c r="D420"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0" t="inlineStr">
        <is>
          <t>2026-10-30T15:06:23+00:00</t>
        </is>
      </c>
      <c r="F420" t="inlineStr">
        <is>
          <t>{"Keyword": "agence seo", "Search Volume": "1900", "CPC": "6.28", "Competition": "0.28", "Number of Results": "126", "Trends": "0.79,0.66,0.66,0.79,0.79,1.00,0.79,1.00,1.00,1.00,0.41,0.05", "Intent": "0", "Keyword Difficulty Index": "29"}</t>
        </is>
      </c>
      <c r="G420" t="inlineStr">
        <is>
          <t>Raw (Semrush)</t>
        </is>
      </c>
    </row>
    <row r="421">
      <c r="A421" t="inlineStr">
        <is>
          <t>val-be-0</t>
        </is>
      </c>
      <c r="B421" t="inlineStr">
        <is>
          <t>phrase_these</t>
        </is>
      </c>
      <c r="C421" t="inlineStr">
        <is>
          <t>be</t>
        </is>
      </c>
      <c r="D421"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1" t="inlineStr">
        <is>
          <t>2026-10-30T15:06:23+00:00</t>
        </is>
      </c>
      <c r="F421" t="inlineStr">
        <is>
          <t>{"Keyword": "agence web", "Search Volume": "1900", "CPC": "2.46", "Competition": "0.27", "Number of Results": "122", "Trends": "0.79,0.79,0.79,1.00,1.00,1.00,1.00,1.00,0.79,1.00,0.41,0.79", "Intent": "0", "Keyword Difficulty Index": "39"}</t>
        </is>
      </c>
      <c r="G421" t="inlineStr">
        <is>
          <t>Raw (Semrush)</t>
        </is>
      </c>
    </row>
    <row r="422">
      <c r="A422" t="inlineStr">
        <is>
          <t>val-be-0</t>
        </is>
      </c>
      <c r="B422" t="inlineStr">
        <is>
          <t>phrase_these</t>
        </is>
      </c>
      <c r="C422" t="inlineStr">
        <is>
          <t>be</t>
        </is>
      </c>
      <c r="D422"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2" t="inlineStr">
        <is>
          <t>2026-10-30T15:06:23+00:00</t>
        </is>
      </c>
      <c r="F422" t="inlineStr">
        <is>
          <t>{"Keyword": "agence web belgique", "Search Volume": "1300", "CPC": "2.55", "Competition": "0.25", "Number of Results": "106", "Trends": "0.62,0.62,0.62,0.81,0.81,1.00,0.81,1.00,1.00,1.00,0.62,0.62", "Intent": "0", "Keyword Difficulty Index": "49"}</t>
        </is>
      </c>
      <c r="G422" t="inlineStr">
        <is>
          <t>Raw (Semrush)</t>
        </is>
      </c>
    </row>
    <row r="423">
      <c r="A423" t="inlineStr">
        <is>
          <t>val-be-0</t>
        </is>
      </c>
      <c r="B423" t="inlineStr">
        <is>
          <t>phrase_these</t>
        </is>
      </c>
      <c r="C423" t="inlineStr">
        <is>
          <t>be</t>
        </is>
      </c>
      <c r="D423"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3" t="inlineStr">
        <is>
          <t>2026-10-30T15:06:23+00:00</t>
        </is>
      </c>
      <c r="F423" t="inlineStr">
        <is>
          <t>{"Keyword": "agence web bruxelles", "Search Volume": "1300", "CPC": "2.97", "Competition": "0.26", "Number of Results": "102", "Trends": "0.81,0.62,0.62,0.81,0.81,1.00,0.81,1.00,0.81,1.00,0.62,0.62", "Intent": "0", "Keyword Difficulty Index": "53"}</t>
        </is>
      </c>
      <c r="G423" t="inlineStr">
        <is>
          <t>Raw (Semrush)</t>
        </is>
      </c>
    </row>
    <row r="424">
      <c r="A424" t="inlineStr">
        <is>
          <t>val-be-0</t>
        </is>
      </c>
      <c r="B424" t="inlineStr">
        <is>
          <t>phrase_these</t>
        </is>
      </c>
      <c r="C424" t="inlineStr">
        <is>
          <t>be</t>
        </is>
      </c>
      <c r="D424"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4" t="inlineStr">
        <is>
          <t>2026-10-30T15:06:23+00:00</t>
        </is>
      </c>
      <c r="F424" t="inlineStr">
        <is>
          <t>{"Keyword": "agence web liège", "Search Volume": "590", "CPC": "2.84", "Competition": "0.21", "Number of Results": "104", "Trends": "0.48,0.59,0.59,0.59,0.59,0.72,0.59,0.72,0.88,1.00,0.11,0.11", "Intent": "0", "Keyword Difficulty Index": "23"}</t>
        </is>
      </c>
      <c r="G424" t="inlineStr">
        <is>
          <t>Raw (Semrush)</t>
        </is>
      </c>
    </row>
    <row r="425">
      <c r="A425" t="inlineStr">
        <is>
          <t>val-be-0</t>
        </is>
      </c>
      <c r="B425" t="inlineStr">
        <is>
          <t>phrase_these</t>
        </is>
      </c>
      <c r="C425" t="inlineStr">
        <is>
          <t>be</t>
        </is>
      </c>
      <c r="D425"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5" t="inlineStr">
        <is>
          <t>2026-10-30T15:06:23+00:00</t>
        </is>
      </c>
      <c r="F425" t="inlineStr">
        <is>
          <t>{"Keyword": "agence web maroc", "Search Volume": "20", "CPC": "0", "Competition": "0", "Number of Results": "0", "Trends": "0.66,0.00,0.66,0.00,0.66,0.66,0.66,0.66,0.66,0.33,0.66,0.33", "Intent": "", "Keyword Difficulty Index": "0"}</t>
        </is>
      </c>
      <c r="G425" t="inlineStr">
        <is>
          <t>Raw (Semrush)</t>
        </is>
      </c>
    </row>
    <row r="426">
      <c r="A426" t="inlineStr">
        <is>
          <t>val-be-0</t>
        </is>
      </c>
      <c r="B426" t="inlineStr">
        <is>
          <t>phrase_these</t>
        </is>
      </c>
      <c r="C426" t="inlineStr">
        <is>
          <t>be</t>
        </is>
      </c>
      <c r="D426"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6" t="inlineStr">
        <is>
          <t>2026-10-30T15:06:23+00:00</t>
        </is>
      </c>
      <c r="F426" t="inlineStr">
        <is>
          <t>{"Keyword": "agence web offshore", "Search Volume": "30", "CPC": "0", "Competition": "0", "Number of Results": "0", "Trends": "0.50,0.35,0.07,0.14,0.07,0.07,0.14,0.14,0.21,0.21,0.21,0.21", "Intent": "", "Keyword Difficulty Index": "0"}</t>
        </is>
      </c>
      <c r="G426" t="inlineStr">
        <is>
          <t>Raw (Semrush)</t>
        </is>
      </c>
    </row>
    <row r="427">
      <c r="A427" t="inlineStr">
        <is>
          <t>val-be-0</t>
        </is>
      </c>
      <c r="B427" t="inlineStr">
        <is>
          <t>phrase_these</t>
        </is>
      </c>
      <c r="C427" t="inlineStr">
        <is>
          <t>be</t>
        </is>
      </c>
      <c r="D427"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7" t="inlineStr">
        <is>
          <t>2026-10-30T15:06:23+00:00</t>
        </is>
      </c>
      <c r="F427" t="inlineStr">
        <is>
          <t>{"Keyword": "agence web pas cher", "Search Volume": "20", "CPC": "0", "Competition": "0.33", "Number of Results": "0", "Trends": "1.00,0.50,0.00,1.00,1.00,1.00,1.00,1.00,1.00,1.00,1.00,1.00", "Intent": "", "Keyword Difficulty Index": "0"}</t>
        </is>
      </c>
      <c r="G427" t="inlineStr">
        <is>
          <t>Raw (Semrush)</t>
        </is>
      </c>
    </row>
    <row r="428">
      <c r="A428" t="inlineStr">
        <is>
          <t>val-be-0</t>
        </is>
      </c>
      <c r="B428" t="inlineStr">
        <is>
          <t>phrase_these</t>
        </is>
      </c>
      <c r="C428" t="inlineStr">
        <is>
          <t>be</t>
        </is>
      </c>
      <c r="D428"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8" t="inlineStr">
        <is>
          <t>2026-10-30T15:06:23+00:00</t>
        </is>
      </c>
      <c r="F428" t="inlineStr">
        <is>
          <t>{"Keyword": "conception site web", "Search Volume": "210", "CPC": "6.32", "Competition": "0.35", "Number of Results": "134", "Trends": "0.17,0.17,0.17,0.14,0.21,0.21,0.21,0.21,0.26,0.32,0.11,0.11", "Intent": "0", "Keyword Difficulty Index": "69"}</t>
        </is>
      </c>
      <c r="G428" t="inlineStr">
        <is>
          <t>Raw (Semrush)</t>
        </is>
      </c>
    </row>
    <row r="429">
      <c r="A429" t="inlineStr">
        <is>
          <t>val-be-0</t>
        </is>
      </c>
      <c r="B429" t="inlineStr">
        <is>
          <t>phrase_these</t>
        </is>
      </c>
      <c r="C429" t="inlineStr">
        <is>
          <t>be</t>
        </is>
      </c>
      <c r="D429"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29" t="inlineStr">
        <is>
          <t>2026-10-30T15:06:23+00:00</t>
        </is>
      </c>
      <c r="F429" t="inlineStr">
        <is>
          <t>{"Keyword": "création application web", "Search Volume": "10", "CPC": "0", "Competition": "0", "Number of Results": "0", "Trends": "0.00,0.00,0.00,1.00,0.50,1.00,0.50,1.00,0.50,1.00,1.00,1.00", "Intent": "", "Keyword Difficulty Index": "0"}</t>
        </is>
      </c>
      <c r="G429" t="inlineStr">
        <is>
          <t>Raw (Semrush)</t>
        </is>
      </c>
    </row>
    <row r="430">
      <c r="A430" t="inlineStr">
        <is>
          <t>val-be-0</t>
        </is>
      </c>
      <c r="B430" t="inlineStr">
        <is>
          <t>phrase_these</t>
        </is>
      </c>
      <c r="C430" t="inlineStr">
        <is>
          <t>be</t>
        </is>
      </c>
      <c r="D430"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0" t="inlineStr">
        <is>
          <t>2026-10-30T15:06:23+00:00</t>
        </is>
      </c>
      <c r="F430" t="inlineStr">
        <is>
          <t>{"Keyword": "création boutique en ligne", "Search Volume": "70", "CPC": "5.66", "Competition": "0.74", "Number of Results": "0", "Trends": "0.81,0.63,0.63,1.00,0.63,0.81,0.45,0.36,0.45,0.81,1.00,0.81", "Intent": "", "Keyword Difficulty Index": "0"}</t>
        </is>
      </c>
      <c r="G430" t="inlineStr">
        <is>
          <t>Raw (Semrush)</t>
        </is>
      </c>
    </row>
    <row r="431">
      <c r="A431" t="inlineStr">
        <is>
          <t>val-be-0</t>
        </is>
      </c>
      <c r="B431" t="inlineStr">
        <is>
          <t>phrase_these</t>
        </is>
      </c>
      <c r="C431" t="inlineStr">
        <is>
          <t>be</t>
        </is>
      </c>
      <c r="D431"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1" t="inlineStr">
        <is>
          <t>2026-10-30T15:06:23+00:00</t>
        </is>
      </c>
      <c r="F431" t="inlineStr">
        <is>
          <t>{"Keyword": "création site e-commerce", "Search Volume": "320", "CPC": "0", "Competition": "0.18", "Number of Results": "136", "Trends": "0.66,0.81,0.81,0.81,1.00,0.81,0.66,0.66,0.66,1.00,0.22,0.22", "Intent": "1", "Keyword Difficulty Index": "33"}</t>
        </is>
      </c>
      <c r="G431" t="inlineStr">
        <is>
          <t>Raw (Semrush)</t>
        </is>
      </c>
    </row>
    <row r="432">
      <c r="A432" t="inlineStr">
        <is>
          <t>val-be-0</t>
        </is>
      </c>
      <c r="B432" t="inlineStr">
        <is>
          <t>phrase_these</t>
        </is>
      </c>
      <c r="C432" t="inlineStr">
        <is>
          <t>be</t>
        </is>
      </c>
      <c r="D432"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2" t="inlineStr">
        <is>
          <t>2026-10-30T15:06:23+00:00</t>
        </is>
      </c>
      <c r="F432" t="inlineStr">
        <is>
          <t>{"Keyword": "création site internet", "Search Volume": "1000", "CPC": "5.91", "Competition": "0.56", "Number of Results": "134", "Trends": "0.62,0.62,0.62,0.62,0.81,0.81,0.62,0.55,0.81,1.00,0.62,0.62", "Intent": "0", "Keyword Difficulty Index": "78"}</t>
        </is>
      </c>
      <c r="G432" t="inlineStr">
        <is>
          <t>Raw (Semrush)</t>
        </is>
      </c>
    </row>
    <row r="433">
      <c r="A433" t="inlineStr">
        <is>
          <t>val-be-0</t>
        </is>
      </c>
      <c r="B433" t="inlineStr">
        <is>
          <t>phrase_these</t>
        </is>
      </c>
      <c r="C433" t="inlineStr">
        <is>
          <t>be</t>
        </is>
      </c>
      <c r="D433"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3" t="inlineStr">
        <is>
          <t>2026-10-30T15:06:23+00:00</t>
        </is>
      </c>
      <c r="F433" t="inlineStr">
        <is>
          <t>{"Keyword": "création site internet bruxelles", "Search Volume": "390", "CPC": "0", "Competition": "0.09", "Number of Results": "108", "Trends": "0.45,0.36,0.36,0.30,0.30,0.30,0.30,0.30,0.30,0.45,0.08,0.08", "Intent": "1", "Keyword Difficulty Index": "15"}</t>
        </is>
      </c>
      <c r="G433" t="inlineStr">
        <is>
          <t>Raw (Semrush)</t>
        </is>
      </c>
    </row>
    <row r="434">
      <c r="A434" t="inlineStr">
        <is>
          <t>val-be-0</t>
        </is>
      </c>
      <c r="B434" t="inlineStr">
        <is>
          <t>phrase_these</t>
        </is>
      </c>
      <c r="C434" t="inlineStr">
        <is>
          <t>be</t>
        </is>
      </c>
      <c r="D434"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4" t="inlineStr">
        <is>
          <t>2026-10-30T15:06:23+00:00</t>
        </is>
      </c>
      <c r="F434" t="inlineStr">
        <is>
          <t>{"Keyword": "création site vitrine", "Search Volume": "170", "CPC": "8.16", "Competition": "0.26", "Number of Results": "127", "Trends": "1.00,0.65,0.53,0.65,0.65,0.80,0.42,0.34,0.53,0.65,0.42,0.42", "Intent": "1", "Keyword Difficulty Index": "29"}</t>
        </is>
      </c>
      <c r="G434" t="inlineStr">
        <is>
          <t>Raw (Semrush)</t>
        </is>
      </c>
    </row>
    <row r="435">
      <c r="A435" t="inlineStr">
        <is>
          <t>val-be-0</t>
        </is>
      </c>
      <c r="B435" t="inlineStr">
        <is>
          <t>phrase_these</t>
        </is>
      </c>
      <c r="C435" t="inlineStr">
        <is>
          <t>be</t>
        </is>
      </c>
      <c r="D435"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5" t="inlineStr">
        <is>
          <t>2026-10-30T15:06:23+00:00</t>
        </is>
      </c>
      <c r="F435" t="inlineStr">
        <is>
          <t>{"Keyword": "création site web", "Search Volume": "880", "CPC": "5.54", "Competition": "0.4", "Number of Results": "137", "Trends": "0.55,0.55,0.67,0.67,0.67,1.00,0.76,0.67,0.76,1.00,0.76,0.01", "Intent": "1", "Keyword Difficulty Index": "78"}</t>
        </is>
      </c>
      <c r="G435" t="inlineStr">
        <is>
          <t>Raw (Semrush)</t>
        </is>
      </c>
    </row>
    <row r="436">
      <c r="A436" t="inlineStr">
        <is>
          <t>val-be-0</t>
        </is>
      </c>
      <c r="B436" t="inlineStr">
        <is>
          <t>phrase_these</t>
        </is>
      </c>
      <c r="C436" t="inlineStr">
        <is>
          <t>be</t>
        </is>
      </c>
      <c r="D436"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6" t="inlineStr">
        <is>
          <t>2026-10-30T15:06:23+00:00</t>
        </is>
      </c>
      <c r="F436" t="inlineStr">
        <is>
          <t>{"Keyword": "création site web belgique", "Search Volume": "260", "CPC": "3.59", "Competition": "0.47", "Number of Results": "123000", "Trends": "0.66,0.66,0.66,0.43,0.53,0.66,0.82,0.82,0.82,1.00,0.28,0.28", "Intent": "0", "Keyword Difficulty Index": "9"}</t>
        </is>
      </c>
      <c r="G436" t="inlineStr">
        <is>
          <t>Raw (Semrush)</t>
        </is>
      </c>
    </row>
    <row r="437">
      <c r="A437" t="inlineStr">
        <is>
          <t>val-be-0</t>
        </is>
      </c>
      <c r="B437" t="inlineStr">
        <is>
          <t>phrase_these</t>
        </is>
      </c>
      <c r="C437" t="inlineStr">
        <is>
          <t>be</t>
        </is>
      </c>
      <c r="D437"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7" t="inlineStr">
        <is>
          <t>2026-10-30T15:06:23+00:00</t>
        </is>
      </c>
      <c r="F437" t="inlineStr">
        <is>
          <t>{"Keyword": "création site web bruxelles", "Search Volume": "140", "CPC": "4.94", "Competition": "0.26", "Number of Results": "104", "Trends": "1.00,0.53,0.34,0.28,0.34,0.34,0.21,0.34,0.28,0.53,0.34,0.34", "Intent": "0", "Keyword Difficulty Index": "5"}</t>
        </is>
      </c>
      <c r="G437" t="inlineStr">
        <is>
          <t>Raw (Semrush)</t>
        </is>
      </c>
    </row>
    <row r="438">
      <c r="A438" t="inlineStr">
        <is>
          <t>val-be-0</t>
        </is>
      </c>
      <c r="B438" t="inlineStr">
        <is>
          <t>phrase_these</t>
        </is>
      </c>
      <c r="C438" t="inlineStr">
        <is>
          <t>be</t>
        </is>
      </c>
      <c r="D438"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8" t="inlineStr">
        <is>
          <t>2026-10-30T15:06:23+00:00</t>
        </is>
      </c>
      <c r="F438" t="inlineStr">
        <is>
          <t>{"Keyword": "développement application web", "Search Volume": "110", "CPC": "0", "Competition": "0.33", "Number of Results": "0", "Trends": "0.52,0.41,0.82,0.64,0.64,1.00,0.64,0.52,0.52,0.82,0.64,0.64", "Intent": "", "Keyword Difficulty Index": "0"}</t>
        </is>
      </c>
      <c r="G438" t="inlineStr">
        <is>
          <t>Raw (Semrush)</t>
        </is>
      </c>
    </row>
    <row r="439">
      <c r="A439" t="inlineStr">
        <is>
          <t>val-be-0</t>
        </is>
      </c>
      <c r="B439" t="inlineStr">
        <is>
          <t>phrase_these</t>
        </is>
      </c>
      <c r="C439" t="inlineStr">
        <is>
          <t>be</t>
        </is>
      </c>
      <c r="D439"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39" t="inlineStr">
        <is>
          <t>2026-10-30T15:06:23+00:00</t>
        </is>
      </c>
      <c r="F439" t="inlineStr">
        <is>
          <t>{"Keyword": "développement logiciel sur mesure", "Search Volume": "90", "CPC": "3.41", "Competition": "0.3", "Number of Results": "0", "Trends": "0.64,0.35,0.35,0.64,0.50,1.00,0.35,0.50,0.64,0.64,0.64,0.78", "Intent": "", "Keyword Difficulty Index": "0"}</t>
        </is>
      </c>
      <c r="G439" t="inlineStr">
        <is>
          <t>Raw (Semrush)</t>
        </is>
      </c>
    </row>
    <row r="440">
      <c r="A440" t="inlineStr">
        <is>
          <t>val-be-0</t>
        </is>
      </c>
      <c r="B440" t="inlineStr">
        <is>
          <t>phrase_these</t>
        </is>
      </c>
      <c r="C440" t="inlineStr">
        <is>
          <t>be</t>
        </is>
      </c>
      <c r="D440"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0" t="inlineStr">
        <is>
          <t>2026-10-30T15:06:23+00:00</t>
        </is>
      </c>
      <c r="F440" t="inlineStr">
        <is>
          <t>{"Keyword": "développement saas", "Search Volume": "20", "CPC": "0", "Competition": "0", "Number of Results": "0", "Trends": "1.00,0.50,0.00,0.50,1.00,1.00,1.00,1.00,1.00,1.00,1.00,1.00", "Intent": "", "Keyword Difficulty Index": "0"}</t>
        </is>
      </c>
      <c r="G440" t="inlineStr">
        <is>
          <t>Raw (Semrush)</t>
        </is>
      </c>
    </row>
    <row r="441">
      <c r="A441" t="inlineStr">
        <is>
          <t>val-be-0</t>
        </is>
      </c>
      <c r="B441" t="inlineStr">
        <is>
          <t>phrase_these</t>
        </is>
      </c>
      <c r="C441" t="inlineStr">
        <is>
          <t>be</t>
        </is>
      </c>
      <c r="D441"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1" t="inlineStr">
        <is>
          <t>2026-10-30T15:06:23+00:00</t>
        </is>
      </c>
      <c r="F441" t="inlineStr">
        <is>
          <t>{"Keyword": "développement web bruxelles", "Search Volume": "50", "CPC": "3.31", "Competition": "0.48", "Number of Results": "0", "Trends": "0.77,0.44,0.44,0.55,0.55,0.77,0.55,0.44,0.55,0.77,0.77,0.33", "Intent": "", "Keyword Difficulty Index": "0"}</t>
        </is>
      </c>
      <c r="G441" t="inlineStr">
        <is>
          <t>Raw (Semrush)</t>
        </is>
      </c>
    </row>
    <row r="442">
      <c r="A442" t="inlineStr">
        <is>
          <t>val-be-0</t>
        </is>
      </c>
      <c r="B442" t="inlineStr">
        <is>
          <t>phrase_these</t>
        </is>
      </c>
      <c r="C442" t="inlineStr">
        <is>
          <t>be</t>
        </is>
      </c>
      <c r="D442"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2" t="inlineStr">
        <is>
          <t>2026-10-30T15:06:23+00:00</t>
        </is>
      </c>
      <c r="F442" t="inlineStr">
        <is>
          <t>{"Keyword": "développement web offshore", "Search Volume": "10", "CPC": "0", "Competition": "0.33", "Number of Results": "0", "Trends": "0.00,0.00,0.00,0.50,0.00,0.50,0.50,1.00,0.50,0.50,0.50,1.00", "Intent": "", "Keyword Difficulty Index": "0"}</t>
        </is>
      </c>
      <c r="G442" t="inlineStr">
        <is>
          <t>Raw (Semrush)</t>
        </is>
      </c>
    </row>
    <row r="443">
      <c r="A443" t="inlineStr">
        <is>
          <t>val-be-0</t>
        </is>
      </c>
      <c r="B443" t="inlineStr">
        <is>
          <t>phrase_these</t>
        </is>
      </c>
      <c r="C443" t="inlineStr">
        <is>
          <t>be</t>
        </is>
      </c>
      <c r="D443"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3" t="inlineStr">
        <is>
          <t>2026-10-30T15:06:23+00:00</t>
        </is>
      </c>
      <c r="F443" t="inlineStr">
        <is>
          <t>{"Keyword": "développement web sur mesure", "Search Volume": "50", "CPC": "0", "Competition": "0.33", "Number of Results": "0", "Trends": "0.14,0.78,0.14,0.14,0.50,1.00,0.50,0.35,0.35,0.35,0.35,0.28", "Intent": "", "Keyword Difficulty Index": "0"}</t>
        </is>
      </c>
      <c r="G443" t="inlineStr">
        <is>
          <t>Raw (Semrush)</t>
        </is>
      </c>
    </row>
    <row r="444">
      <c r="A444" t="inlineStr">
        <is>
          <t>val-be-0</t>
        </is>
      </c>
      <c r="B444" t="inlineStr">
        <is>
          <t>phrase_these</t>
        </is>
      </c>
      <c r="C444" t="inlineStr">
        <is>
          <t>be</t>
        </is>
      </c>
      <c r="D444"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4" t="inlineStr">
        <is>
          <t>2026-10-30T15:06:23+00:00</t>
        </is>
      </c>
      <c r="F444" t="inlineStr">
        <is>
          <t>{"Keyword": "développeur maroc", "Search Volume": "10", "CPC": "0", "Competition": "0.99", "Number of Results": "0", "Trends": "0.00,0.00,0.00,0.00,0.00,1.00,1.00,1.00,1.00,1.00,1.00,1.00", "Intent": "", "Keyword Difficulty Index": "0"}</t>
        </is>
      </c>
      <c r="G444" t="inlineStr">
        <is>
          <t>Raw (Semrush)</t>
        </is>
      </c>
    </row>
    <row r="445">
      <c r="A445" t="inlineStr">
        <is>
          <t>val-be-0</t>
        </is>
      </c>
      <c r="B445" t="inlineStr">
        <is>
          <t>phrase_these</t>
        </is>
      </c>
      <c r="C445" t="inlineStr">
        <is>
          <t>be</t>
        </is>
      </c>
      <c r="D445"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5" t="inlineStr">
        <is>
          <t>2026-10-30T15:06:23+00:00</t>
        </is>
      </c>
      <c r="F445" t="inlineStr">
        <is>
          <t>{"Keyword": "développeur web freelance", "Search Volume": "20", "CPC": "3.21", "Competition": "0.7", "Number of Results": "0", "Trends": "1.00,1.00,1.00,1.00,1.00,1.00,1.00,1.00,1.00,1.00,1.00,1.00", "Intent": "", "Keyword Difficulty Index": "0"}</t>
        </is>
      </c>
      <c r="G445" t="inlineStr">
        <is>
          <t>Raw (Semrush)</t>
        </is>
      </c>
    </row>
    <row r="446">
      <c r="A446" t="inlineStr">
        <is>
          <t>val-be-0</t>
        </is>
      </c>
      <c r="B446" t="inlineStr">
        <is>
          <t>phrase_these</t>
        </is>
      </c>
      <c r="C446" t="inlineStr">
        <is>
          <t>be</t>
        </is>
      </c>
      <c r="D446"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6" t="inlineStr">
        <is>
          <t>2026-10-30T15:06:23+00:00</t>
        </is>
      </c>
      <c r="F446" t="inlineStr">
        <is>
          <t>{"Keyword": "externalisation développement web", "Search Volume": "10", "CPC": "0", "Competition": "0", "Number of Results": "0", "Trends": "1.00", "Intent": "", "Keyword Difficulty Index": "0"}</t>
        </is>
      </c>
      <c r="G446" t="inlineStr">
        <is>
          <t>Raw (Semrush)</t>
        </is>
      </c>
    </row>
    <row r="447">
      <c r="A447" t="inlineStr">
        <is>
          <t>val-be-0</t>
        </is>
      </c>
      <c r="B447" t="inlineStr">
        <is>
          <t>phrase_these</t>
        </is>
      </c>
      <c r="C447" t="inlineStr">
        <is>
          <t>be</t>
        </is>
      </c>
      <c r="D447"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7" t="inlineStr">
        <is>
          <t>2026-10-30T15:06:23+00:00</t>
        </is>
      </c>
      <c r="F447" t="inlineStr">
        <is>
          <t>{"Keyword": "prix création site internet", "Search Volume": "140", "CPC": "2.08", "Competition": "0.68", "Number of Results": "121", "Trends": "0.06,0.34,0.53,0.43,0.65,0.53,1.00,0.65,0.43,0.43,0.34,0.34", "Intent": "1", "Keyword Difficulty Index": "23"}</t>
        </is>
      </c>
      <c r="G447" t="inlineStr">
        <is>
          <t>Raw (Semrush)</t>
        </is>
      </c>
    </row>
    <row r="448">
      <c r="A448" t="inlineStr">
        <is>
          <t>val-be-0</t>
        </is>
      </c>
      <c r="B448" t="inlineStr">
        <is>
          <t>phrase_these</t>
        </is>
      </c>
      <c r="C448" t="inlineStr">
        <is>
          <t>be</t>
        </is>
      </c>
      <c r="D448"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8" t="inlineStr">
        <is>
          <t>2026-10-30T15:06:23+00:00</t>
        </is>
      </c>
      <c r="F448" t="inlineStr">
        <is>
          <t>{"Keyword": "prix site web", "Search Volume": "170", "CPC": "1.58", "Competition": "0.6", "Number of Results": "123", "Trends": "0.15,0.43,0.65,0.65,1.00,0.81,0.65,0.81,0.43,0.53,0.34,0.34", "Intent": "1", "Keyword Difficulty Index": "27"}</t>
        </is>
      </c>
      <c r="G448" t="inlineStr">
        <is>
          <t>Raw (Semrush)</t>
        </is>
      </c>
    </row>
    <row r="449">
      <c r="A449" t="inlineStr">
        <is>
          <t>val-be-0</t>
        </is>
      </c>
      <c r="B449" t="inlineStr">
        <is>
          <t>phrase_these</t>
        </is>
      </c>
      <c r="C449" t="inlineStr">
        <is>
          <t>be</t>
        </is>
      </c>
      <c r="D449"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49" t="inlineStr">
        <is>
          <t>2026-10-30T15:06:23+00:00</t>
        </is>
      </c>
      <c r="F449" t="inlineStr">
        <is>
          <t>{"Keyword": "refonte site web", "Search Volume": "170", "CPC": "2.35", "Competition": "0.2", "Number of Results": "110", "Trends": "0.66,0.80,1.00,1.00,1.00,1.00,1.00,0.80,0.80,0.80,0.52,0.52", "Intent": "1", "Keyword Difficulty Index": "17"}</t>
        </is>
      </c>
      <c r="G449" t="inlineStr">
        <is>
          <t>Raw (Semrush)</t>
        </is>
      </c>
    </row>
    <row r="450">
      <c r="A450" t="inlineStr">
        <is>
          <t>val-be-0</t>
        </is>
      </c>
      <c r="B450" t="inlineStr">
        <is>
          <t>phrase_these</t>
        </is>
      </c>
      <c r="C450" t="inlineStr">
        <is>
          <t>be</t>
        </is>
      </c>
      <c r="D450"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50" t="inlineStr">
        <is>
          <t>2026-10-30T15:06:23+00:00</t>
        </is>
      </c>
      <c r="F450" t="inlineStr">
        <is>
          <t>{"Keyword": "référencement naturel", "Search Volume": "720", "CPC": "0", "Competition": "0.03", "Number of Results": "125", "Trends": "0.67,0.81,0.81,1.00,0.81,0.81,0.81,0.81,0.67,0.81,0.12,0.12", "Intent": "1", "Keyword Difficulty Index": "46"}</t>
        </is>
      </c>
      <c r="G450" t="inlineStr">
        <is>
          <t>Raw (Semrush)</t>
        </is>
      </c>
    </row>
    <row r="451">
      <c r="A451" t="inlineStr">
        <is>
          <t>val-be-0</t>
        </is>
      </c>
      <c r="B451" t="inlineStr">
        <is>
          <t>phrase_these</t>
        </is>
      </c>
      <c r="C451" t="inlineStr">
        <is>
          <t>be</t>
        </is>
      </c>
      <c r="D451"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51" t="inlineStr">
        <is>
          <t>2026-10-30T15:06:23+00:00</t>
        </is>
      </c>
      <c r="F451" t="inlineStr">
        <is>
          <t>{"Keyword": "site internet professionnel", "Search Volume": "70", "CPC": "3.48", "Competition": "0.86", "Number of Results": "0", "Trends": "0.52,0.41,0.29,0.29,0.23,0.23,0.23,0.17,1.00,0.64,0.52,0.64", "Intent": "", "Keyword Difficulty Index": "0"}</t>
        </is>
      </c>
      <c r="G451" t="inlineStr">
        <is>
          <t>Raw (Semrush)</t>
        </is>
      </c>
    </row>
    <row r="452">
      <c r="A452" t="inlineStr">
        <is>
          <t>val-be-0</t>
        </is>
      </c>
      <c r="B452" t="inlineStr">
        <is>
          <t>phrase_these</t>
        </is>
      </c>
      <c r="C452" t="inlineStr">
        <is>
          <t>be</t>
        </is>
      </c>
      <c r="D452"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52" t="inlineStr">
        <is>
          <t>2026-10-30T15:06:23+00:00</t>
        </is>
      </c>
      <c r="F452" t="inlineStr">
        <is>
          <t>{"Keyword": "sous-traitance développement web", "Search Volume": "10", "CPC": "0", "Competition": "0", "Number of Results": "0", "Trends": "0.00,0.00,1.00,1.00", "Intent": "", "Keyword Difficulty Index": "0"}</t>
        </is>
      </c>
      <c r="G452" t="inlineStr">
        <is>
          <t>Raw (Semrush)</t>
        </is>
      </c>
    </row>
    <row r="453">
      <c r="A453" t="inlineStr">
        <is>
          <t>val-be-0</t>
        </is>
      </c>
      <c r="B453" t="inlineStr">
        <is>
          <t>phrase_these</t>
        </is>
      </c>
      <c r="C453" t="inlineStr">
        <is>
          <t>be</t>
        </is>
      </c>
      <c r="D453" t="inlineStr">
        <is>
          <t>agence de développement web;agence digitale;agence seo;agence web;agence web belgique;agence web bruxelles;agence web liège;agence web maroc;agence web nearshore;agence web offshore;agence web pas cher;conception site web;création application web;création boutique en ligne;création site e-commerce;création site internet;création site internet bruxelles;création site vitrine;création site web;création site web belgique;création site web bruxelles;développement application web;développement logiciel sur mesure;développement saas;développement web bruxelles;développement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453" t="inlineStr">
        <is>
          <t>2026-10-30T15:06:23+00:00</t>
        </is>
      </c>
      <c r="F453" t="inlineStr">
        <is>
          <t>{"Keyword": "webdesigner", "Search Volume": "880", "CPC": "3.63", "Competition": "0.4", "Number of Results": "129", "Trends": "0.22,0.20,0.16,0.16,0.20,0.22,0.20,0.20,0.20,0.20,0.20,0.20", "Intent": "0", "Keyword Difficulty Index": "27"}</t>
        </is>
      </c>
      <c r="G453" t="inlineStr">
        <is>
          <t>Raw (Semrush)</t>
        </is>
      </c>
    </row>
    <row r="454">
      <c r="A454" t="inlineStr">
        <is>
          <t>val-ca-0</t>
        </is>
      </c>
      <c r="B454" t="inlineStr">
        <is>
          <t>phrase_these</t>
        </is>
      </c>
      <c r="C454" t="inlineStr">
        <is>
          <t>ca</t>
        </is>
      </c>
      <c r="D454"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54" t="inlineStr">
        <is>
          <t>2026-10-30T15:06:25+00:00</t>
        </is>
      </c>
      <c r="F454" t="inlineStr">
        <is>
          <t>{"Keyword": "agence de développement web", "Search Volume": "170", "CPC": "6.51", "Competition": "0.24", "Number of Results": "133", "Trends": "0.43,0.43,0.43,0.53,0.53,1.00,1.00,1.00,1.00,0.34,0.34,0.34", "Intent": "0", "Keyword Difficulty Index": "15"}</t>
        </is>
      </c>
      <c r="G454" t="inlineStr">
        <is>
          <t>Raw (Semrush)</t>
        </is>
      </c>
    </row>
    <row r="455">
      <c r="A455" t="inlineStr">
        <is>
          <t>val-ca-0</t>
        </is>
      </c>
      <c r="B455" t="inlineStr">
        <is>
          <t>phrase_these</t>
        </is>
      </c>
      <c r="C455" t="inlineStr">
        <is>
          <t>ca</t>
        </is>
      </c>
      <c r="D455"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55" t="inlineStr">
        <is>
          <t>2026-10-30T15:06:25+00:00</t>
        </is>
      </c>
      <c r="F455" t="inlineStr">
        <is>
          <t>{"Keyword": "agence digitale", "Search Volume": "320", "CPC": "3.7", "Competition": "0.57", "Number of Results": "138", "Trends": "0.13,0.16,0.20,0.16,0.16,0.13,0.08,0.08,0.10,0.04,0.04,0.04", "Intent": "0", "Keyword Difficulty Index": "64"}</t>
        </is>
      </c>
      <c r="G455" t="inlineStr">
        <is>
          <t>Raw (Semrush)</t>
        </is>
      </c>
    </row>
    <row r="456">
      <c r="A456" t="inlineStr">
        <is>
          <t>val-ca-0</t>
        </is>
      </c>
      <c r="B456" t="inlineStr">
        <is>
          <t>phrase_these</t>
        </is>
      </c>
      <c r="C456" t="inlineStr">
        <is>
          <t>ca</t>
        </is>
      </c>
      <c r="D456"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56" t="inlineStr">
        <is>
          <t>2026-10-30T15:06:25+00:00</t>
        </is>
      </c>
      <c r="F456" t="inlineStr">
        <is>
          <t>{"Keyword": "agence seo", "Search Volume": "2900", "CPC": "6.6", "Competition": "0.28", "Number of Results": "2200000000", "Trends": "0.80,0.66,1.00,1.00,1.00,1.00,0.66,0.80,0.80,0.80,0.27,0.27", "Intent": "0", "Keyword Difficulty Index": "21"}</t>
        </is>
      </c>
      <c r="G456" t="inlineStr">
        <is>
          <t>Raw (Semrush)</t>
        </is>
      </c>
    </row>
    <row r="457">
      <c r="A457" t="inlineStr">
        <is>
          <t>val-ca-0</t>
        </is>
      </c>
      <c r="B457" t="inlineStr">
        <is>
          <t>phrase_these</t>
        </is>
      </c>
      <c r="C457" t="inlineStr">
        <is>
          <t>ca</t>
        </is>
      </c>
      <c r="D457"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57" t="inlineStr">
        <is>
          <t>2026-10-30T15:06:25+00:00</t>
        </is>
      </c>
      <c r="F457" t="inlineStr">
        <is>
          <t>{"Keyword": "agence web", "Search Volume": "2400", "CPC": "4.05", "Competition": "0.31", "Number of Results": "137", "Trends": "0.80,0.80,0.52,0.66,0.66,0.66,0.44,0.52,0.36,0.52,0.52,0.52", "Intent": "1", "Keyword Difficulty Index": "68"}</t>
        </is>
      </c>
      <c r="G457" t="inlineStr">
        <is>
          <t>Raw (Semrush)</t>
        </is>
      </c>
    </row>
    <row r="458">
      <c r="A458" t="inlineStr">
        <is>
          <t>val-ca-0</t>
        </is>
      </c>
      <c r="B458" t="inlineStr">
        <is>
          <t>phrase_these</t>
        </is>
      </c>
      <c r="C458" t="inlineStr">
        <is>
          <t>ca</t>
        </is>
      </c>
      <c r="D458"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58" t="inlineStr">
        <is>
          <t>2026-10-30T15:06:25+00:00</t>
        </is>
      </c>
      <c r="F458" t="inlineStr">
        <is>
          <t>{"Keyword": "agence web maroc", "Search Volume": "10", "CPC": "0", "Competition": "0.38", "Number of Results": "0", "Trends": "0.00,0.00,0.00,0.66,0.00,0.66,0.00,0.66,0.66,0.66,0.33,0.66", "Intent": "", "Keyword Difficulty Index": "0"}</t>
        </is>
      </c>
      <c r="G458" t="inlineStr">
        <is>
          <t>Raw (Semrush)</t>
        </is>
      </c>
    </row>
    <row r="459">
      <c r="A459" t="inlineStr">
        <is>
          <t>val-ca-0</t>
        </is>
      </c>
      <c r="B459" t="inlineStr">
        <is>
          <t>phrase_these</t>
        </is>
      </c>
      <c r="C459" t="inlineStr">
        <is>
          <t>ca</t>
        </is>
      </c>
      <c r="D459"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59" t="inlineStr">
        <is>
          <t>2026-10-30T15:06:25+00:00</t>
        </is>
      </c>
      <c r="F459" t="inlineStr">
        <is>
          <t>{"Keyword": "agence web montreal", "Search Volume": "1000", "CPC": "3.63", "Competition": "0.54", "Number of Results": "5140", "Trends": "0.76,0.76,1.00,0.76,0.76,1.00,0.55,0.76,0.67,0.76,0.76,0.76", "Intent": "0", "Keyword Difficulty Index": "52"}</t>
        </is>
      </c>
      <c r="G459" t="inlineStr">
        <is>
          <t>Raw (Semrush)</t>
        </is>
      </c>
    </row>
    <row r="460">
      <c r="A460" t="inlineStr">
        <is>
          <t>val-ca-0</t>
        </is>
      </c>
      <c r="B460" t="inlineStr">
        <is>
          <t>phrase_these</t>
        </is>
      </c>
      <c r="C460" t="inlineStr">
        <is>
          <t>ca</t>
        </is>
      </c>
      <c r="D460"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0" t="inlineStr">
        <is>
          <t>2026-10-30T15:06:25+00:00</t>
        </is>
      </c>
      <c r="F460" t="inlineStr">
        <is>
          <t>{"Keyword": "agence web montréal", "Search Volume": "590", "CPC": "4.4", "Competition": "0.34", "Number of Results": "113", "Trends": "1.00,0.81,0.81,0.81,0.81,1.00,0.66,0.66,0.66,0.81,1.00,0.15", "Intent": "0", "Keyword Difficulty Index": "51"}</t>
        </is>
      </c>
      <c r="G460" t="inlineStr">
        <is>
          <t>Raw (Semrush)</t>
        </is>
      </c>
    </row>
    <row r="461">
      <c r="A461" t="inlineStr">
        <is>
          <t>val-ca-0</t>
        </is>
      </c>
      <c r="B461" t="inlineStr">
        <is>
          <t>phrase_these</t>
        </is>
      </c>
      <c r="C461" t="inlineStr">
        <is>
          <t>ca</t>
        </is>
      </c>
      <c r="D461"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1" t="inlineStr">
        <is>
          <t>2026-10-30T15:06:25+00:00</t>
        </is>
      </c>
      <c r="F461" t="inlineStr">
        <is>
          <t>{"Keyword": "agence web offshore", "Search Volume": "10", "CPC": "0", "Competition": "0", "Number of Results": "0", "Trends": "0.33,0.23,0.04,0.04,0.04,0.04,0.04,0.00,0.04,0.00,0.00,0.04", "Intent": "", "Keyword Difficulty Index": "0"}</t>
        </is>
      </c>
      <c r="G461" t="inlineStr">
        <is>
          <t>Raw (Semrush)</t>
        </is>
      </c>
    </row>
    <row r="462">
      <c r="A462" t="inlineStr">
        <is>
          <t>val-ca-0</t>
        </is>
      </c>
      <c r="B462" t="inlineStr">
        <is>
          <t>phrase_these</t>
        </is>
      </c>
      <c r="C462" t="inlineStr">
        <is>
          <t>ca</t>
        </is>
      </c>
      <c r="D462"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2" t="inlineStr">
        <is>
          <t>2026-10-30T15:06:25+00:00</t>
        </is>
      </c>
      <c r="F462" t="inlineStr">
        <is>
          <t>{"Keyword": "agence web pas cher", "Search Volume": "10", "CPC": "0", "Competition": "0", "Number of Results": "0", "Trends": "1.00,0.00,0.00,0.00,0.00,0.00,0.00,1.00,0.00,1.00,1.00,0.00", "Intent": "", "Keyword Difficulty Index": "0"}</t>
        </is>
      </c>
      <c r="G462" t="inlineStr">
        <is>
          <t>Raw (Semrush)</t>
        </is>
      </c>
    </row>
    <row r="463">
      <c r="A463" t="inlineStr">
        <is>
          <t>val-ca-0</t>
        </is>
      </c>
      <c r="B463" t="inlineStr">
        <is>
          <t>phrase_these</t>
        </is>
      </c>
      <c r="C463" t="inlineStr">
        <is>
          <t>ca</t>
        </is>
      </c>
      <c r="D463"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3" t="inlineStr">
        <is>
          <t>2026-10-30T15:06:25+00:00</t>
        </is>
      </c>
      <c r="F463" t="inlineStr">
        <is>
          <t>{"Keyword": "agence web québec", "Search Volume": "260", "CPC": "3.57", "Competition": "0.47", "Number of Results": "110", "Trends": "1.00,0.66,0.54,0.44,0.35,0.44,0.35,0.44,0.44,0.18,0.18,0.18", "Intent": "0", "Keyword Difficulty Index": "16"}</t>
        </is>
      </c>
      <c r="G463" t="inlineStr">
        <is>
          <t>Raw (Semrush)</t>
        </is>
      </c>
    </row>
    <row r="464">
      <c r="A464" t="inlineStr">
        <is>
          <t>val-ca-0</t>
        </is>
      </c>
      <c r="B464" t="inlineStr">
        <is>
          <t>phrase_these</t>
        </is>
      </c>
      <c r="C464" t="inlineStr">
        <is>
          <t>ca</t>
        </is>
      </c>
      <c r="D464"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4" t="inlineStr">
        <is>
          <t>2026-10-30T15:06:25+00:00</t>
        </is>
      </c>
      <c r="F464" t="inlineStr">
        <is>
          <t>{"Keyword": "agence web toronto", "Search Volume": "50", "CPC": "1.89", "Competition": "0.51", "Number of Results": "117", "Trends": "1.00,0.42,0.71,0.71,1.00,1.00,0.71,1.00,1.00,0.71,0.71,0.71", "Intent": "0", "Keyword Difficulty Index": "27"}</t>
        </is>
      </c>
      <c r="G464" t="inlineStr">
        <is>
          <t>Raw (Semrush)</t>
        </is>
      </c>
    </row>
    <row r="465">
      <c r="A465" t="inlineStr">
        <is>
          <t>val-ca-0</t>
        </is>
      </c>
      <c r="B465" t="inlineStr">
        <is>
          <t>phrase_these</t>
        </is>
      </c>
      <c r="C465" t="inlineStr">
        <is>
          <t>ca</t>
        </is>
      </c>
      <c r="D465"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5" t="inlineStr">
        <is>
          <t>2026-10-30T15:06:25+00:00</t>
        </is>
      </c>
      <c r="F465" t="inlineStr">
        <is>
          <t>{"Keyword": "conception de site web", "Search Volume": "1300", "CPC": "0", "Competition": "0.18", "Number of Results": "0", "Trends": "0.84,0.68,0.68,0.84,0.68,0.84,0.68,0.68,0.68,0.05,0.05,0.07", "Intent": "1", "Keyword Difficulty Index": "59"}</t>
        </is>
      </c>
      <c r="G465" t="inlineStr">
        <is>
          <t>Raw (Semrush)</t>
        </is>
      </c>
    </row>
    <row r="466">
      <c r="A466" t="inlineStr">
        <is>
          <t>val-ca-0</t>
        </is>
      </c>
      <c r="B466" t="inlineStr">
        <is>
          <t>phrase_these</t>
        </is>
      </c>
      <c r="C466" t="inlineStr">
        <is>
          <t>ca</t>
        </is>
      </c>
      <c r="D466"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6" t="inlineStr">
        <is>
          <t>2026-10-30T15:06:25+00:00</t>
        </is>
      </c>
      <c r="F466" t="inlineStr">
        <is>
          <t>{"Keyword": "conception site web", "Search Volume": "1900", "CPC": "5.4", "Competition": "0.69", "Number of Results": "137", "Trends": "1.00,0.65,0.82,0.82,0.82,1.00,0.65,0.82,0.82,0.34,0.03,0.03", "Intent": "1", "Keyword Difficulty Index": "34"}</t>
        </is>
      </c>
      <c r="G466" t="inlineStr">
        <is>
          <t>Raw (Semrush)</t>
        </is>
      </c>
    </row>
    <row r="467">
      <c r="A467" t="inlineStr">
        <is>
          <t>val-ca-0</t>
        </is>
      </c>
      <c r="B467" t="inlineStr">
        <is>
          <t>phrase_these</t>
        </is>
      </c>
      <c r="C467" t="inlineStr">
        <is>
          <t>ca</t>
        </is>
      </c>
      <c r="D467"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7" t="inlineStr">
        <is>
          <t>2026-10-30T15:06:25+00:00</t>
        </is>
      </c>
      <c r="F467" t="inlineStr">
        <is>
          <t>{"Keyword": "conception site web montréal", "Search Volume": "480", "CPC": "0", "Competition": "0.14", "Number of Results": "139", "Trends": "0.67,0.67,0.81,0.81,0.67,0.81,0.54,0.54,0.44,0.12,0.12,0.12", "Intent": "0", "Keyword Difficulty Index": "42"}</t>
        </is>
      </c>
      <c r="G467" t="inlineStr">
        <is>
          <t>Raw (Semrush)</t>
        </is>
      </c>
    </row>
    <row r="468">
      <c r="A468" t="inlineStr">
        <is>
          <t>val-ca-0</t>
        </is>
      </c>
      <c r="B468" t="inlineStr">
        <is>
          <t>phrase_these</t>
        </is>
      </c>
      <c r="C468" t="inlineStr">
        <is>
          <t>ca</t>
        </is>
      </c>
      <c r="D468"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8" t="inlineStr">
        <is>
          <t>2026-10-30T15:06:25+00:00</t>
        </is>
      </c>
      <c r="F468" t="inlineStr">
        <is>
          <t>{"Keyword": "création application web", "Search Volume": "90", "CPC": "0", "Competition": "0.33", "Number of Results": "158", "Trends": "0.41,0.41,0.64,0.64,0.64,0.52,0.82,1.00,0.64,0.64,0.64,0.64", "Intent": "1", "Keyword Difficulty Index": "11"}</t>
        </is>
      </c>
      <c r="G468" t="inlineStr">
        <is>
          <t>Raw (Semrush)</t>
        </is>
      </c>
    </row>
    <row r="469">
      <c r="A469" t="inlineStr">
        <is>
          <t>val-ca-0</t>
        </is>
      </c>
      <c r="B469" t="inlineStr">
        <is>
          <t>phrase_these</t>
        </is>
      </c>
      <c r="C469" t="inlineStr">
        <is>
          <t>ca</t>
        </is>
      </c>
      <c r="D469"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69" t="inlineStr">
        <is>
          <t>2026-10-30T15:06:25+00:00</t>
        </is>
      </c>
      <c r="F469" t="inlineStr">
        <is>
          <t>{"Keyword": "création boutique en ligne", "Search Volume": "140", "CPC": "7.17", "Competition": "0.19", "Number of Results": "198", "Trends": "0.80,1.00,1.00,1.00,0.42,0.42,0.42,0.52,0.52,0.52,0.52,0.52", "Intent": "1", "Keyword Difficulty Index": "32"}</t>
        </is>
      </c>
      <c r="G469" t="inlineStr">
        <is>
          <t>Raw (Semrush)</t>
        </is>
      </c>
    </row>
    <row r="470">
      <c r="A470" t="inlineStr">
        <is>
          <t>val-ca-0</t>
        </is>
      </c>
      <c r="B470" t="inlineStr">
        <is>
          <t>phrase_these</t>
        </is>
      </c>
      <c r="C470" t="inlineStr">
        <is>
          <t>ca</t>
        </is>
      </c>
      <c r="D470"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0" t="inlineStr">
        <is>
          <t>2026-10-30T15:06:25+00:00</t>
        </is>
      </c>
      <c r="F470" t="inlineStr">
        <is>
          <t>{"Keyword": "création site e-commerce", "Search Volume": "140", "CPC": "0", "Competition": "0.33", "Number of Results": "136", "Trends": "1.00,0.81,0.43,0.34,0.28,0.28,0.21,0.21,0.21,0.09,0.15,0.15", "Intent": "1", "Keyword Difficulty Index": "32"}</t>
        </is>
      </c>
      <c r="G470" t="inlineStr">
        <is>
          <t>Raw (Semrush)</t>
        </is>
      </c>
    </row>
    <row r="471">
      <c r="A471" t="inlineStr">
        <is>
          <t>val-ca-0</t>
        </is>
      </c>
      <c r="B471" t="inlineStr">
        <is>
          <t>phrase_these</t>
        </is>
      </c>
      <c r="C471" t="inlineStr">
        <is>
          <t>ca</t>
        </is>
      </c>
      <c r="D471"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1" t="inlineStr">
        <is>
          <t>2026-10-30T15:06:25+00:00</t>
        </is>
      </c>
      <c r="F471" t="inlineStr">
        <is>
          <t>{"Keyword": "création site internet", "Search Volume": "390", "CPC": "10.41", "Competition": "0.66", "Number of Results": "137", "Trends": "1.00,0.81,0.66,0.66,0.66,1.00,0.44,0.44,0.54,0.18,0.18,0.66", "Intent": "1", "Keyword Difficulty Index": "75"}</t>
        </is>
      </c>
      <c r="G471" t="inlineStr">
        <is>
          <t>Raw (Semrush)</t>
        </is>
      </c>
    </row>
    <row r="472">
      <c r="A472" t="inlineStr">
        <is>
          <t>val-ca-0</t>
        </is>
      </c>
      <c r="B472" t="inlineStr">
        <is>
          <t>phrase_these</t>
        </is>
      </c>
      <c r="C472" t="inlineStr">
        <is>
          <t>ca</t>
        </is>
      </c>
      <c r="D472"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2" t="inlineStr">
        <is>
          <t>2026-10-30T15:06:25+00:00</t>
        </is>
      </c>
      <c r="F472" t="inlineStr">
        <is>
          <t>{"Keyword": "création site vitrine", "Search Volume": "110", "CPC": "0", "Competition": "0.12", "Number of Results": "123", "Trends": "1.00,0.80,0.33,0.42,0.52,0.52,0.42,0.42,0.33,0.52,0.52,0.52", "Intent": "1", "Keyword Difficulty Index": "25"}</t>
        </is>
      </c>
      <c r="G472" t="inlineStr">
        <is>
          <t>Raw (Semrush)</t>
        </is>
      </c>
    </row>
    <row r="473">
      <c r="A473" t="inlineStr">
        <is>
          <t>val-ca-0</t>
        </is>
      </c>
      <c r="B473" t="inlineStr">
        <is>
          <t>phrase_these</t>
        </is>
      </c>
      <c r="C473" t="inlineStr">
        <is>
          <t>ca</t>
        </is>
      </c>
      <c r="D473"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3" t="inlineStr">
        <is>
          <t>2026-10-30T15:06:25+00:00</t>
        </is>
      </c>
      <c r="F473" t="inlineStr">
        <is>
          <t>{"Keyword": "création site web", "Search Volume": "1000", "CPC": "7.87", "Competition": "0.19", "Number of Results": "138", "Trends": "1.00,1.00,1.00,0.76,0.76,0.76,0.67,1.00,0.76,0.76,0.76,0.76", "Intent": "1", "Keyword Difficulty Index": "52"}</t>
        </is>
      </c>
      <c r="G473" t="inlineStr">
        <is>
          <t>Raw (Semrush)</t>
        </is>
      </c>
    </row>
    <row r="474">
      <c r="A474" t="inlineStr">
        <is>
          <t>val-ca-0</t>
        </is>
      </c>
      <c r="B474" t="inlineStr">
        <is>
          <t>phrase_these</t>
        </is>
      </c>
      <c r="C474" t="inlineStr">
        <is>
          <t>ca</t>
        </is>
      </c>
      <c r="D474"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4" t="inlineStr">
        <is>
          <t>2026-10-30T15:06:25+00:00</t>
        </is>
      </c>
      <c r="F474" t="inlineStr">
        <is>
          <t>{"Keyword": "création site web québec", "Search Volume": "210", "CPC": "3.76", "Competition": "0.34", "Number of Results": "130", "Trends": "1.00,1.00,1.00,0.53,0.53,0.80,0.65,1.00,1.00,0.42,0.42,0.42", "Intent": "0", "Keyword Difficulty Index": "20"}</t>
        </is>
      </c>
      <c r="G474" t="inlineStr">
        <is>
          <t>Raw (Semrush)</t>
        </is>
      </c>
    </row>
    <row r="475">
      <c r="A475" t="inlineStr">
        <is>
          <t>val-ca-0</t>
        </is>
      </c>
      <c r="B475" t="inlineStr">
        <is>
          <t>phrase_these</t>
        </is>
      </c>
      <c r="C475" t="inlineStr">
        <is>
          <t>ca</t>
        </is>
      </c>
      <c r="D475"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5" t="inlineStr">
        <is>
          <t>2026-10-30T15:06:25+00:00</t>
        </is>
      </c>
      <c r="F475" t="inlineStr">
        <is>
          <t>{"Keyword": "création site web toronto", "Search Volume": "30", "CPC": "0", "Competition": "0", "Number of Results": "0", "Trends": "0.20,0.20,0.20,1.00,0.80,0.40,0.60,0.60,0.80,0.40,0.60", "Intent": "", "Keyword Difficulty Index": "0"}</t>
        </is>
      </c>
      <c r="G475" t="inlineStr">
        <is>
          <t>Raw (Semrush)</t>
        </is>
      </c>
    </row>
    <row r="476">
      <c r="A476" t="inlineStr">
        <is>
          <t>val-ca-0</t>
        </is>
      </c>
      <c r="B476" t="inlineStr">
        <is>
          <t>phrase_these</t>
        </is>
      </c>
      <c r="C476" t="inlineStr">
        <is>
          <t>ca</t>
        </is>
      </c>
      <c r="D476"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6" t="inlineStr">
        <is>
          <t>2026-10-30T15:06:25+00:00</t>
        </is>
      </c>
      <c r="F476" t="inlineStr">
        <is>
          <t>{"Keyword": "création site web vancouver", "Search Volume": "10", "CPC": "0", "Competition": "0", "Number of Results": "0", "Trends": "0.50,0.00,0.50,0.50,0.50,0.50,0.50,1.00,0.50,0.50,0.00", "Intent": "", "Keyword Difficulty Index": "0"}</t>
        </is>
      </c>
      <c r="G476" t="inlineStr">
        <is>
          <t>Raw (Semrush)</t>
        </is>
      </c>
    </row>
    <row r="477">
      <c r="A477" t="inlineStr">
        <is>
          <t>val-ca-0</t>
        </is>
      </c>
      <c r="B477" t="inlineStr">
        <is>
          <t>phrase_these</t>
        </is>
      </c>
      <c r="C477" t="inlineStr">
        <is>
          <t>ca</t>
        </is>
      </c>
      <c r="D477"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7" t="inlineStr">
        <is>
          <t>2026-10-30T15:06:25+00:00</t>
        </is>
      </c>
      <c r="F477" t="inlineStr">
        <is>
          <t>{"Keyword": "développement application web", "Search Volume": "140", "CPC": "3.39", "Competition": "0.42", "Number of Results": "155", "Trends": "0.53,0.53,0.65,0.53,0.53,0.42,0.65,0.80,0.65,0.42,0.42,0.42", "Intent": "1", "Keyword Difficulty Index": "6"}</t>
        </is>
      </c>
      <c r="G477" t="inlineStr">
        <is>
          <t>Raw (Semrush)</t>
        </is>
      </c>
    </row>
    <row r="478">
      <c r="A478" t="inlineStr">
        <is>
          <t>val-ca-0</t>
        </is>
      </c>
      <c r="B478" t="inlineStr">
        <is>
          <t>phrase_these</t>
        </is>
      </c>
      <c r="C478" t="inlineStr">
        <is>
          <t>ca</t>
        </is>
      </c>
      <c r="D478"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8" t="inlineStr">
        <is>
          <t>2026-10-30T15:06:25+00:00</t>
        </is>
      </c>
      <c r="F478" t="inlineStr">
        <is>
          <t>{"Keyword": "développement logiciel sur mesure", "Search Volume": "320", "CPC": "9.89", "Competition": "0.13", "Number of Results": "118", "Trends": "0.81,0.81,0.81,0.81,0.81,0.81,0.66,0.81,1.00,0.22,0.22,0.22", "Intent": "1", "Keyword Difficulty Index": "24"}</t>
        </is>
      </c>
      <c r="G478" t="inlineStr">
        <is>
          <t>Raw (Semrush)</t>
        </is>
      </c>
    </row>
    <row r="479">
      <c r="A479" t="inlineStr">
        <is>
          <t>val-ca-0</t>
        </is>
      </c>
      <c r="B479" t="inlineStr">
        <is>
          <t>phrase_these</t>
        </is>
      </c>
      <c r="C479" t="inlineStr">
        <is>
          <t>ca</t>
        </is>
      </c>
      <c r="D479"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79" t="inlineStr">
        <is>
          <t>2026-10-30T15:06:25+00:00</t>
        </is>
      </c>
      <c r="F479" t="inlineStr">
        <is>
          <t>{"Keyword": "développement saas", "Search Volume": "0", "CPC": "0", "Competition": "0.33", "Number of Results": "0", "Trends": "0.00,0.00,1.00,0.00,0.00,0.00,0.00,0.00,0.00,0.00,0.00,1.00", "Intent": "", "Keyword Difficulty Index": "0"}</t>
        </is>
      </c>
      <c r="G479" t="inlineStr">
        <is>
          <t>Raw (Semrush)</t>
        </is>
      </c>
    </row>
    <row r="480">
      <c r="A480" t="inlineStr">
        <is>
          <t>val-ca-0</t>
        </is>
      </c>
      <c r="B480" t="inlineStr">
        <is>
          <t>phrase_these</t>
        </is>
      </c>
      <c r="C480" t="inlineStr">
        <is>
          <t>ca</t>
        </is>
      </c>
      <c r="D480"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0" t="inlineStr">
        <is>
          <t>2026-10-30T15:06:25+00:00</t>
        </is>
      </c>
      <c r="F480" t="inlineStr">
        <is>
          <t>{"Keyword": "développement web offshore", "Search Volume": "10", "CPC": "0", "Competition": "0", "Number of Results": "0", "Trends": "1.00,0.00,0.00,0.50,0.00,0.00,0.50,1.00,0.50,0.50,0.50,0.00", "Intent": "", "Keyword Difficulty Index": "0"}</t>
        </is>
      </c>
      <c r="G480" t="inlineStr">
        <is>
          <t>Raw (Semrush)</t>
        </is>
      </c>
    </row>
    <row r="481">
      <c r="A481" t="inlineStr">
        <is>
          <t>val-ca-0</t>
        </is>
      </c>
      <c r="B481" t="inlineStr">
        <is>
          <t>phrase_these</t>
        </is>
      </c>
      <c r="C481" t="inlineStr">
        <is>
          <t>ca</t>
        </is>
      </c>
      <c r="D481"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1" t="inlineStr">
        <is>
          <t>2026-10-30T15:06:25+00:00</t>
        </is>
      </c>
      <c r="F481" t="inlineStr">
        <is>
          <t>{"Keyword": "développement web sur mesure", "Search Volume": "170", "CPC": "0", "Competition": "0.13", "Number of Results": "136", "Trends": "0.43,0.34,0.53,0.53,0.53,0.81,0.81,0.81,1.00,0.34,0.34,0.34", "Intent": "1", "Keyword Difficulty Index": "16"}</t>
        </is>
      </c>
      <c r="G481" t="inlineStr">
        <is>
          <t>Raw (Semrush)</t>
        </is>
      </c>
    </row>
    <row r="482">
      <c r="A482" t="inlineStr">
        <is>
          <t>val-ca-0</t>
        </is>
      </c>
      <c r="B482" t="inlineStr">
        <is>
          <t>phrase_these</t>
        </is>
      </c>
      <c r="C482" t="inlineStr">
        <is>
          <t>ca</t>
        </is>
      </c>
      <c r="D482"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2" t="inlineStr">
        <is>
          <t>2026-10-30T15:06:25+00:00</t>
        </is>
      </c>
      <c r="F482" t="inlineStr">
        <is>
          <t>{"Keyword": "développeur maroc", "Search Volume": "0", "CPC": "0", "Competition": "0", "Number of Results": "0", "Trends": "0.00,0.00,0.66,0.00,0.00,0.00,0.00,0.00,0.00,0.66,0.00,0.00", "Intent": "", "Keyword Difficulty Index": "0"}</t>
        </is>
      </c>
      <c r="G482" t="inlineStr">
        <is>
          <t>Raw (Semrush)</t>
        </is>
      </c>
    </row>
    <row r="483">
      <c r="A483" t="inlineStr">
        <is>
          <t>val-ca-0</t>
        </is>
      </c>
      <c r="B483" t="inlineStr">
        <is>
          <t>phrase_these</t>
        </is>
      </c>
      <c r="C483" t="inlineStr">
        <is>
          <t>ca</t>
        </is>
      </c>
      <c r="D483"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3" t="inlineStr">
        <is>
          <t>2026-10-30T15:06:25+00:00</t>
        </is>
      </c>
      <c r="F483" t="inlineStr">
        <is>
          <t>{"Keyword": "développeur web freelance", "Search Volume": "20", "CPC": "2.84", "Competition": "0.35", "Number of Results": "0", "Trends": "0.40,0.40,0.40,0.40,0.40,0.40,0.40,0.40,0.40,0.40,0.40,0.40", "Intent": "", "Keyword Difficulty Index": "0"}</t>
        </is>
      </c>
      <c r="G483" t="inlineStr">
        <is>
          <t>Raw (Semrush)</t>
        </is>
      </c>
    </row>
    <row r="484">
      <c r="A484" t="inlineStr">
        <is>
          <t>val-ca-0</t>
        </is>
      </c>
      <c r="B484" t="inlineStr">
        <is>
          <t>phrase_these</t>
        </is>
      </c>
      <c r="C484" t="inlineStr">
        <is>
          <t>ca</t>
        </is>
      </c>
      <c r="D484"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4" t="inlineStr">
        <is>
          <t>2026-10-30T15:06:25+00:00</t>
        </is>
      </c>
      <c r="F484" t="inlineStr">
        <is>
          <t>{"Keyword": "externalisation développement web", "Search Volume": "0", "CPC": "0", "Competition": "0", "Number of Results": "0", "Trends": "0.00,0.00,0.00,0.00,0.00", "Intent": "", "Keyword Difficulty Index": "0"}</t>
        </is>
      </c>
      <c r="G484" t="inlineStr">
        <is>
          <t>Raw (Semrush)</t>
        </is>
      </c>
    </row>
    <row r="485">
      <c r="A485" t="inlineStr">
        <is>
          <t>val-ca-0</t>
        </is>
      </c>
      <c r="B485" t="inlineStr">
        <is>
          <t>phrase_these</t>
        </is>
      </c>
      <c r="C485" t="inlineStr">
        <is>
          <t>ca</t>
        </is>
      </c>
      <c r="D485"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5" t="inlineStr">
        <is>
          <t>2026-10-30T15:06:25+00:00</t>
        </is>
      </c>
      <c r="F485" t="inlineStr">
        <is>
          <t>{"Keyword": "prix création site internet", "Search Volume": "20", "CPC": "0", "Competition": "0.57", "Number of Results": "0", "Trends": "0.22,0.22,0.22,0.22,0.22,0.22,0.22,0.22,0.22,0.22,0.22,0.22", "Intent": "", "Keyword Difficulty Index": "0"}</t>
        </is>
      </c>
      <c r="G485" t="inlineStr">
        <is>
          <t>Raw (Semrush)</t>
        </is>
      </c>
    </row>
    <row r="486">
      <c r="A486" t="inlineStr">
        <is>
          <t>val-ca-0</t>
        </is>
      </c>
      <c r="B486" t="inlineStr">
        <is>
          <t>phrase_these</t>
        </is>
      </c>
      <c r="C486" t="inlineStr">
        <is>
          <t>ca</t>
        </is>
      </c>
      <c r="D486"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6" t="inlineStr">
        <is>
          <t>2026-10-30T15:06:25+00:00</t>
        </is>
      </c>
      <c r="F486" t="inlineStr">
        <is>
          <t>{"Keyword": "prix site web", "Search Volume": "210", "CPC": "1.9", "Competition": "0.66", "Number of Results": "124", "Trends": "0.81,1.00,0.81,0.81,0.53,0.65,0.65,0.65,0.65,0.34,0.34,0.34", "Intent": "3", "Keyword Difficulty Index": "25"}</t>
        </is>
      </c>
      <c r="G486" t="inlineStr">
        <is>
          <t>Raw (Semrush)</t>
        </is>
      </c>
    </row>
    <row r="487">
      <c r="A487" t="inlineStr">
        <is>
          <t>val-ca-0</t>
        </is>
      </c>
      <c r="B487" t="inlineStr">
        <is>
          <t>phrase_these</t>
        </is>
      </c>
      <c r="C487" t="inlineStr">
        <is>
          <t>ca</t>
        </is>
      </c>
      <c r="D487"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7" t="inlineStr">
        <is>
          <t>2026-10-30T15:06:25+00:00</t>
        </is>
      </c>
      <c r="F487" t="inlineStr">
        <is>
          <t>{"Keyword": "refonte site web", "Search Volume": "390", "CPC": "7.59", "Competition": "0.26", "Number of Results": "119", "Trends": "0.13,0.08,0.08,0.07,0.08,0.08,0.07,0.10,0.10,0.02,0.02,0.02", "Intent": "1", "Keyword Difficulty Index": "6"}</t>
        </is>
      </c>
      <c r="G487" t="inlineStr">
        <is>
          <t>Raw (Semrush)</t>
        </is>
      </c>
    </row>
    <row r="488">
      <c r="A488" t="inlineStr">
        <is>
          <t>val-ca-0</t>
        </is>
      </c>
      <c r="B488" t="inlineStr">
        <is>
          <t>phrase_these</t>
        </is>
      </c>
      <c r="C488" t="inlineStr">
        <is>
          <t>ca</t>
        </is>
      </c>
      <c r="D488"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8" t="inlineStr">
        <is>
          <t>2026-10-30T15:06:25+00:00</t>
        </is>
      </c>
      <c r="F488" t="inlineStr">
        <is>
          <t>{"Keyword": "référencement naturel", "Search Volume": "1000", "CPC": "0", "Competition": "0.05", "Number of Results": "117", "Trends": "1.00,0.76,0.55,0.67,1.00,0.76,0.55,0.76,0.55,0.76,0.08,0.08", "Intent": "1", "Keyword Difficulty Index": "44"}</t>
        </is>
      </c>
      <c r="G488" t="inlineStr">
        <is>
          <t>Raw (Semrush)</t>
        </is>
      </c>
    </row>
    <row r="489">
      <c r="A489" t="inlineStr">
        <is>
          <t>val-ca-0</t>
        </is>
      </c>
      <c r="B489" t="inlineStr">
        <is>
          <t>phrase_these</t>
        </is>
      </c>
      <c r="C489" t="inlineStr">
        <is>
          <t>ca</t>
        </is>
      </c>
      <c r="D489"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89" t="inlineStr">
        <is>
          <t>2026-10-30T15:06:25+00:00</t>
        </is>
      </c>
      <c r="F489" t="inlineStr">
        <is>
          <t>{"Keyword": "site internet professionnel", "Search Volume": "30", "CPC": "0", "Competition": "0.02", "Number of Results": "0", "Trends": "0.63,0.45,0.18,0.09,0.27,0.18,0.18,0.18,0.18,0.18,0.18,0.18", "Intent": "", "Keyword Difficulty Index": "0"}</t>
        </is>
      </c>
      <c r="G489" t="inlineStr">
        <is>
          <t>Raw (Semrush)</t>
        </is>
      </c>
    </row>
    <row r="490">
      <c r="A490" t="inlineStr">
        <is>
          <t>val-ca-0</t>
        </is>
      </c>
      <c r="B490" t="inlineStr">
        <is>
          <t>phrase_these</t>
        </is>
      </c>
      <c r="C490" t="inlineStr">
        <is>
          <t>ca</t>
        </is>
      </c>
      <c r="D490"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90" t="inlineStr">
        <is>
          <t>2026-10-30T15:06:25+00:00</t>
        </is>
      </c>
      <c r="F490" t="inlineStr">
        <is>
          <t>{"Keyword": "sous-traitance développement web", "Search Volume": "0", "CPC": "0", "Competition": "0", "Number of Results": "0", "Trends": "0.00,0.00,0.00,0.00,0.00,0.00,0.00,0.00,0.00,0.00,0.00,0.00", "Intent": "", "Keyword Difficulty Index": "0"}</t>
        </is>
      </c>
      <c r="G490" t="inlineStr">
        <is>
          <t>Raw (Semrush)</t>
        </is>
      </c>
    </row>
    <row r="491">
      <c r="A491" t="inlineStr">
        <is>
          <t>val-ca-0</t>
        </is>
      </c>
      <c r="B491" t="inlineStr">
        <is>
          <t>phrase_these</t>
        </is>
      </c>
      <c r="C491" t="inlineStr">
        <is>
          <t>ca</t>
        </is>
      </c>
      <c r="D491"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91" t="inlineStr">
        <is>
          <t>2026-10-30T15:06:25+00:00</t>
        </is>
      </c>
      <c r="F491" t="inlineStr">
        <is>
          <t>{"Keyword": "web development company toronto", "Search Volume": "1000", "CPC": "6.18", "Competition": "0.18", "Number of Results": "105", "Trends": "0.76,0.76,0.76,0.76,0.76,0.76,0.67,1.00,0.76,0.76,0.67,0.67", "Intent": "0", "Keyword Difficulty Index": "33"}</t>
        </is>
      </c>
      <c r="G491" t="inlineStr">
        <is>
          <t>Raw (Semrush)</t>
        </is>
      </c>
    </row>
    <row r="492">
      <c r="A492" t="inlineStr">
        <is>
          <t>val-ca-0</t>
        </is>
      </c>
      <c r="B492" t="inlineStr">
        <is>
          <t>phrase_these</t>
        </is>
      </c>
      <c r="C492" t="inlineStr">
        <is>
          <t>ca</t>
        </is>
      </c>
      <c r="D492"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92" t="inlineStr">
        <is>
          <t>2026-10-30T15:06:25+00:00</t>
        </is>
      </c>
      <c r="F492" t="inlineStr">
        <is>
          <t>{"Keyword": "web development company vancouver", "Search Volume": "260", "CPC": "6.03", "Competition": "0.09", "Number of Results": "104", "Trends": "1.00,1.00,0.81,0.81,0.81,0.81,0.65,0.65,0.81,0.81,0.34,0.81", "Intent": "0", "Keyword Difficulty Index": "46"}</t>
        </is>
      </c>
      <c r="G492" t="inlineStr">
        <is>
          <t>Raw (Semrush)</t>
        </is>
      </c>
    </row>
    <row r="493">
      <c r="A493" t="inlineStr">
        <is>
          <t>val-ca-0</t>
        </is>
      </c>
      <c r="B493" t="inlineStr">
        <is>
          <t>phrase_these</t>
        </is>
      </c>
      <c r="C493" t="inlineStr">
        <is>
          <t>ca</t>
        </is>
      </c>
      <c r="D493" t="inlineStr">
        <is>
          <t>agence de développement web;agence digitale;agence seo;agence web;agence web maroc;agence web montreal;agence web montréal;agence web nearshore;agence web offshore;agence web pas cher;agence web québec;agence web toronto;agence web vancouver;conception de site web;conception site web;conception site web montréal;création application web;création boutique en ligne;création site e-commerce;création site internet;création site vitrine;création site web;création site web québec;création site web toronto;création site web vancouver;développement application web;développement logiciel sur mesure;développement saas;développement web offshore;développement web sur mesure;développement web toronto;développement web vancouver;développeur maroc;développeur web freelance;externalisation développement web;prix création site internet;prix site web;refonte site web;référencement naturel;site internet professionnel;sous-traitance développement web;web development company toronto;web development compan</t>
        </is>
      </c>
      <c r="E493" t="inlineStr">
        <is>
          <t>2026-10-30T15:06:25+00:00</t>
        </is>
      </c>
      <c r="F493" t="inlineStr">
        <is>
          <t>{"Keyword": "webdesigner", "Search Volume": "170", "CPC": "5.27", "Competition": "0.23", "Number of Results": "138", "Trends": "0.19,0.09,0.09,0.04,0.44,0.09,0.05,1.00,0.29,0.15,0.29,0.36", "Intent": "1", "Keyword Difficulty Index": "58"}</t>
        </is>
      </c>
      <c r="G493" t="inlineStr">
        <is>
          <t>Raw (Semrush)</t>
        </is>
      </c>
    </row>
    <row r="494">
      <c r="A494" t="inlineStr">
        <is>
          <t>val-ch-0</t>
        </is>
      </c>
      <c r="B494" t="inlineStr">
        <is>
          <t>phrase_these</t>
        </is>
      </c>
      <c r="C494" t="inlineStr">
        <is>
          <t>ch</t>
        </is>
      </c>
      <c r="D494"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494" t="inlineStr">
        <is>
          <t>2026-10-30T15:06:27+00:00</t>
        </is>
      </c>
      <c r="F494" t="inlineStr">
        <is>
          <t>{"Keyword": "agence de développement web", "Search Volume": "30", "CPC": "0", "Competition": "0.39", "Number of Results": "0", "Trends": "1.00,0.05,0.14,0.10,0.05,0.05,0.05,0.05,0.14,0.10,0.05,0.05", "Intent": "", "Keyword Difficulty Index": "0"}</t>
        </is>
      </c>
      <c r="G494" t="inlineStr">
        <is>
          <t>Raw (Semrush)</t>
        </is>
      </c>
    </row>
    <row r="495">
      <c r="A495" t="inlineStr">
        <is>
          <t>val-ch-0</t>
        </is>
      </c>
      <c r="B495" t="inlineStr">
        <is>
          <t>phrase_these</t>
        </is>
      </c>
      <c r="C495" t="inlineStr">
        <is>
          <t>ch</t>
        </is>
      </c>
      <c r="D495"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495" t="inlineStr">
        <is>
          <t>2026-10-30T15:06:27+00:00</t>
        </is>
      </c>
      <c r="F495" t="inlineStr">
        <is>
          <t>{"Keyword": "agence digitale", "Search Volume": "90", "CPC": "5.83", "Competition": "0.47", "Number of Results": "119", "Trends": "0.19,1.00,0.02,0.02,0.02,0.02,0.24,0.02,0.07,0.08,0.02,0.44", "Intent": "0", "Keyword Difficulty Index": "47"}</t>
        </is>
      </c>
      <c r="G495" t="inlineStr">
        <is>
          <t>Raw (Semrush)</t>
        </is>
      </c>
    </row>
    <row r="496">
      <c r="A496" t="inlineStr">
        <is>
          <t>val-ch-0</t>
        </is>
      </c>
      <c r="B496" t="inlineStr">
        <is>
          <t>phrase_these</t>
        </is>
      </c>
      <c r="C496" t="inlineStr">
        <is>
          <t>ch</t>
        </is>
      </c>
      <c r="D496"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496" t="inlineStr">
        <is>
          <t>2026-10-30T15:06:27+00:00</t>
        </is>
      </c>
      <c r="F496" t="inlineStr">
        <is>
          <t>{"Keyword": "agence seo", "Search Volume": "260", "CPC": "7.5", "Competition": "0.23", "Number of Results": "125", "Trends": "1.00,0.36,0.19,0.66,0.54,0.29,0.66,0.12,0.36,0.08,0.08,0.29", "Intent": "0", "Keyword Difficulty Index": "21"}</t>
        </is>
      </c>
      <c r="G496" t="inlineStr">
        <is>
          <t>Raw (Semrush)</t>
        </is>
      </c>
    </row>
    <row r="497">
      <c r="A497" t="inlineStr">
        <is>
          <t>val-ch-0</t>
        </is>
      </c>
      <c r="B497" t="inlineStr">
        <is>
          <t>phrase_these</t>
        </is>
      </c>
      <c r="C497" t="inlineStr">
        <is>
          <t>ch</t>
        </is>
      </c>
      <c r="D497"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497" t="inlineStr">
        <is>
          <t>2026-10-30T15:06:27+00:00</t>
        </is>
      </c>
      <c r="F497" t="inlineStr">
        <is>
          <t>{"Keyword": "agence web", "Search Volume": "480", "CPC": "3.91", "Competition": "0.51", "Number of Results": "120", "Trends": "1.00,0.20,0.24,0.24,0.30,0.20,0.24,0.20,0.24,0.20,0.16,0.20", "Intent": "0", "Keyword Difficulty Index": "51"}</t>
        </is>
      </c>
      <c r="G497" t="inlineStr">
        <is>
          <t>Raw (Semrush)</t>
        </is>
      </c>
    </row>
    <row r="498">
      <c r="A498" t="inlineStr">
        <is>
          <t>val-ch-0</t>
        </is>
      </c>
      <c r="B498" t="inlineStr">
        <is>
          <t>phrase_these</t>
        </is>
      </c>
      <c r="C498" t="inlineStr">
        <is>
          <t>ch</t>
        </is>
      </c>
      <c r="D498"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498" t="inlineStr">
        <is>
          <t>2026-10-30T15:06:27+00:00</t>
        </is>
      </c>
      <c r="F498" t="inlineStr">
        <is>
          <t>{"Keyword": "agence web genève", "Search Volume": "480", "CPC": "9.82", "Competition": "0.54", "Number of Results": "104", "Trends": "0.88,0.21,0.09,0.17,0.88,0.88,1.00,0.88,0.39,0.09,0.07,0.07", "Intent": "0", "Keyword Difficulty Index": "29"}</t>
        </is>
      </c>
      <c r="G498" t="inlineStr">
        <is>
          <t>Raw (Semrush)</t>
        </is>
      </c>
    </row>
    <row r="499">
      <c r="A499" t="inlineStr">
        <is>
          <t>val-ch-0</t>
        </is>
      </c>
      <c r="B499" t="inlineStr">
        <is>
          <t>phrase_these</t>
        </is>
      </c>
      <c r="C499" t="inlineStr">
        <is>
          <t>ch</t>
        </is>
      </c>
      <c r="D499"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499" t="inlineStr">
        <is>
          <t>2026-10-30T15:06:27+00:00</t>
        </is>
      </c>
      <c r="F499" t="inlineStr">
        <is>
          <t>{"Keyword": "agence web lausanne", "Search Volume": "720", "CPC": "5.56", "Competition": "0.69", "Number of Results": "110", "Trends": "0.37,0.13,0.25,0.13,0.42,0.79,1.00,0.37,0.20,0.07,0.06,0.11", "Intent": "0", "Keyword Difficulty Index": "51"}</t>
        </is>
      </c>
      <c r="G499" t="inlineStr">
        <is>
          <t>Raw (Semrush)</t>
        </is>
      </c>
    </row>
    <row r="500">
      <c r="A500" t="inlineStr">
        <is>
          <t>val-ch-0</t>
        </is>
      </c>
      <c r="B500" t="inlineStr">
        <is>
          <t>phrase_these</t>
        </is>
      </c>
      <c r="C500" t="inlineStr">
        <is>
          <t>ch</t>
        </is>
      </c>
      <c r="D500"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0" t="inlineStr">
        <is>
          <t>2026-10-30T15:06:27+00:00</t>
        </is>
      </c>
      <c r="F500" t="inlineStr">
        <is>
          <t>{"Keyword": "agence web maroc", "Search Volume": "10", "CPC": "0", "Competition": "0", "Number of Results": "0", "Trends": "0.00,0.00,0.20,0.40,0.00,0.20,0.20,0.00,1.00,0.00,0.20,0.00", "Intent": "", "Keyword Difficulty Index": "0"}</t>
        </is>
      </c>
      <c r="G500" t="inlineStr">
        <is>
          <t>Raw (Semrush)</t>
        </is>
      </c>
    </row>
    <row r="501">
      <c r="A501" t="inlineStr">
        <is>
          <t>val-ch-0</t>
        </is>
      </c>
      <c r="B501" t="inlineStr">
        <is>
          <t>phrase_these</t>
        </is>
      </c>
      <c r="C501" t="inlineStr">
        <is>
          <t>ch</t>
        </is>
      </c>
      <c r="D501"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1" t="inlineStr">
        <is>
          <t>2026-10-30T15:06:27+00:00</t>
        </is>
      </c>
      <c r="F501" t="inlineStr">
        <is>
          <t>{"Keyword": "agence web pas cher", "Search Volume": "0", "CPC": "0", "Competition": "0", "Number of Results": "0", "Trends": "0.00,0.00,0.00,0.00,0.00,0.00,0.00,0.00,0.00,0.00,0.00,0.00", "Intent": "", "Keyword Difficulty Index": "0"}</t>
        </is>
      </c>
      <c r="G501" t="inlineStr">
        <is>
          <t>Raw (Semrush)</t>
        </is>
      </c>
    </row>
    <row r="502">
      <c r="A502" t="inlineStr">
        <is>
          <t>val-ch-0</t>
        </is>
      </c>
      <c r="B502" t="inlineStr">
        <is>
          <t>phrase_these</t>
        </is>
      </c>
      <c r="C502" t="inlineStr">
        <is>
          <t>ch</t>
        </is>
      </c>
      <c r="D502"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2" t="inlineStr">
        <is>
          <t>2026-10-30T15:06:27+00:00</t>
        </is>
      </c>
      <c r="F502" t="inlineStr">
        <is>
          <t>{"Keyword": "agence web suisse", "Search Volume": "590", "CPC": "3.81", "Competition": "0.24", "Number of Results": "106", "Trends": "0.30,0.05,0.07,0.07,0.37,0.54,1.00,0.25,0.13,0.05,0.02,0.02", "Intent": "0", "Keyword Difficulty Index": "35"}</t>
        </is>
      </c>
      <c r="G502" t="inlineStr">
        <is>
          <t>Raw (Semrush)</t>
        </is>
      </c>
    </row>
    <row r="503">
      <c r="A503" t="inlineStr">
        <is>
          <t>val-ch-0</t>
        </is>
      </c>
      <c r="B503" t="inlineStr">
        <is>
          <t>phrase_these</t>
        </is>
      </c>
      <c r="C503" t="inlineStr">
        <is>
          <t>ch</t>
        </is>
      </c>
      <c r="D503"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3" t="inlineStr">
        <is>
          <t>2026-10-30T15:06:27+00:00</t>
        </is>
      </c>
      <c r="F503" t="inlineStr">
        <is>
          <t>{"Keyword": "conception site web", "Search Volume": "20", "CPC": "3.19", "Competition": "0.62", "Number of Results": "0", "Trends": "0.60,1.00,0.60,0.20,1.00,0.20,0.40,0.20,0.20,0.80,0.20,0.20", "Intent": "", "Keyword Difficulty Index": "0"}</t>
        </is>
      </c>
      <c r="G503" t="inlineStr">
        <is>
          <t>Raw (Semrush)</t>
        </is>
      </c>
    </row>
    <row r="504">
      <c r="A504" t="inlineStr">
        <is>
          <t>val-ch-0</t>
        </is>
      </c>
      <c r="B504" t="inlineStr">
        <is>
          <t>phrase_these</t>
        </is>
      </c>
      <c r="C504" t="inlineStr">
        <is>
          <t>ch</t>
        </is>
      </c>
      <c r="D504"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4" t="inlineStr">
        <is>
          <t>2026-10-30T15:06:27+00:00</t>
        </is>
      </c>
      <c r="F504" t="inlineStr">
        <is>
          <t>{"Keyword": "création application web", "Search Volume": "20", "CPC": "0", "Competition": "0.71", "Number of Results": "0", "Trends": "0.33,0.33,0.11,0.11,0.11,0.33,0.11,0.11,0.11,0.44,0.11,1.00", "Intent": "", "Keyword Difficulty Index": "0"}</t>
        </is>
      </c>
      <c r="G504" t="inlineStr">
        <is>
          <t>Raw (Semrush)</t>
        </is>
      </c>
    </row>
    <row r="505">
      <c r="A505" t="inlineStr">
        <is>
          <t>val-ch-0</t>
        </is>
      </c>
      <c r="B505" t="inlineStr">
        <is>
          <t>phrase_these</t>
        </is>
      </c>
      <c r="C505" t="inlineStr">
        <is>
          <t>ch</t>
        </is>
      </c>
      <c r="D505"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5" t="inlineStr">
        <is>
          <t>2026-10-30T15:06:27+00:00</t>
        </is>
      </c>
      <c r="F505" t="inlineStr">
        <is>
          <t>{"Keyword": "création boutique en ligne", "Search Volume": "40", "CPC": "7.81", "Competition": "0.86", "Number of Results": "0", "Trends": "1.00,0.05,0.05,0.14,0.05,0.05,0.14,0.05,0.05,0.24,0.05,0.43", "Intent": "", "Keyword Difficulty Index": "0"}</t>
        </is>
      </c>
      <c r="G505" t="inlineStr">
        <is>
          <t>Raw (Semrush)</t>
        </is>
      </c>
    </row>
    <row r="506">
      <c r="A506" t="inlineStr">
        <is>
          <t>val-ch-0</t>
        </is>
      </c>
      <c r="B506" t="inlineStr">
        <is>
          <t>phrase_these</t>
        </is>
      </c>
      <c r="C506" t="inlineStr">
        <is>
          <t>ch</t>
        </is>
      </c>
      <c r="D506"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6" t="inlineStr">
        <is>
          <t>2026-10-30T15:06:27+00:00</t>
        </is>
      </c>
      <c r="F506" t="inlineStr">
        <is>
          <t>{"Keyword": "création site e-commerce", "Search Volume": "40", "CPC": "0", "Competition": "0.07", "Number of Results": "0", "Trends": "1.00,0.06,0.06,0.06,0.06,0.06,0.18,0.41,0.41,0.12,0.06,0.06", "Intent": "", "Keyword Difficulty Index": "0"}</t>
        </is>
      </c>
      <c r="G506" t="inlineStr">
        <is>
          <t>Raw (Semrush)</t>
        </is>
      </c>
    </row>
    <row r="507">
      <c r="A507" t="inlineStr">
        <is>
          <t>val-ch-0</t>
        </is>
      </c>
      <c r="B507" t="inlineStr">
        <is>
          <t>phrase_these</t>
        </is>
      </c>
      <c r="C507" t="inlineStr">
        <is>
          <t>ch</t>
        </is>
      </c>
      <c r="D507"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7" t="inlineStr">
        <is>
          <t>2026-10-30T15:06:27+00:00</t>
        </is>
      </c>
      <c r="F507" t="inlineStr">
        <is>
          <t>{"Keyword": "création site internet", "Search Volume": "480", "CPC": "8.98", "Competition": "0.83", "Number of Results": "136", "Trends": "1.00,0.20,0.13,0.11,0.13,0.13,0.13,0.13,0.09,0.07,0.06,0.07", "Intent": "0", "Keyword Difficulty Index": "67"}</t>
        </is>
      </c>
      <c r="G507" t="inlineStr">
        <is>
          <t>Raw (Semrush)</t>
        </is>
      </c>
    </row>
    <row r="508">
      <c r="A508" t="inlineStr">
        <is>
          <t>val-ch-0</t>
        </is>
      </c>
      <c r="B508" t="inlineStr">
        <is>
          <t>phrase_these</t>
        </is>
      </c>
      <c r="C508" t="inlineStr">
        <is>
          <t>ch</t>
        </is>
      </c>
      <c r="D508"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8" t="inlineStr">
        <is>
          <t>2026-10-30T15:06:27+00:00</t>
        </is>
      </c>
      <c r="F508" t="inlineStr">
        <is>
          <t>{"Keyword": "création site internet genève", "Search Volume": "210", "CPC": "9.26", "Competition": "0.23", "Number of Results": "105", "Trends": "1.00,0.11,0.03,0.09,0.21,0.26,0.39,0.21,0.14,0.11,0.04,0.05", "Intent": "0", "Keyword Difficulty Index": "21"}</t>
        </is>
      </c>
      <c r="G508" t="inlineStr">
        <is>
          <t>Raw (Semrush)</t>
        </is>
      </c>
    </row>
    <row r="509">
      <c r="A509" t="inlineStr">
        <is>
          <t>val-ch-0</t>
        </is>
      </c>
      <c r="B509" t="inlineStr">
        <is>
          <t>phrase_these</t>
        </is>
      </c>
      <c r="C509" t="inlineStr">
        <is>
          <t>ch</t>
        </is>
      </c>
      <c r="D509"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09" t="inlineStr">
        <is>
          <t>2026-10-30T15:06:27+00:00</t>
        </is>
      </c>
      <c r="F509" t="inlineStr">
        <is>
          <t>{"Keyword": "création site vitrine", "Search Volume": "40", "CPC": "0", "Competition": "0", "Number of Results": "0", "Trends": "1.00,0.14,0.24,0.05,0.19,0.05,0.05,0.05,0.14,0.05,0.05,0.00", "Intent": "", "Keyword Difficulty Index": "0"}</t>
        </is>
      </c>
      <c r="G509" t="inlineStr">
        <is>
          <t>Raw (Semrush)</t>
        </is>
      </c>
    </row>
    <row r="510">
      <c r="A510" t="inlineStr">
        <is>
          <t>val-ch-0</t>
        </is>
      </c>
      <c r="B510" t="inlineStr">
        <is>
          <t>phrase_these</t>
        </is>
      </c>
      <c r="C510" t="inlineStr">
        <is>
          <t>ch</t>
        </is>
      </c>
      <c r="D510"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0" t="inlineStr">
        <is>
          <t>2026-10-30T15:06:27+00:00</t>
        </is>
      </c>
      <c r="F510" t="inlineStr">
        <is>
          <t>{"Keyword": "création site web", "Search Volume": "170", "CPC": "6.27", "Competition": "0.43", "Number of Results": "137", "Trends": "1.00,0.24,0.15,0.19,0.19,0.15,0.19,0.10,0.07,0.12,0.06,0.06", "Intent": "0", "Keyword Difficulty Index": "66"}</t>
        </is>
      </c>
      <c r="G510" t="inlineStr">
        <is>
          <t>Raw (Semrush)</t>
        </is>
      </c>
    </row>
    <row r="511">
      <c r="A511" t="inlineStr">
        <is>
          <t>val-ch-0</t>
        </is>
      </c>
      <c r="B511" t="inlineStr">
        <is>
          <t>phrase_these</t>
        </is>
      </c>
      <c r="C511" t="inlineStr">
        <is>
          <t>ch</t>
        </is>
      </c>
      <c r="D511"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1" t="inlineStr">
        <is>
          <t>2026-10-30T15:06:27+00:00</t>
        </is>
      </c>
      <c r="F511" t="inlineStr">
        <is>
          <t>{"Keyword": "création site web suisse", "Search Volume": "40", "CPC": "4.5", "Competition": "0.49", "Number of Results": "0", "Trends": "1.00,0.09,0.22,0.09,0.03,0.03,0.03,0.03,0.03,0.03,0.03,0.03", "Intent": "", "Keyword Difficulty Index": "0"}</t>
        </is>
      </c>
      <c r="G511" t="inlineStr">
        <is>
          <t>Raw (Semrush)</t>
        </is>
      </c>
    </row>
    <row r="512">
      <c r="A512" t="inlineStr">
        <is>
          <t>val-ch-0</t>
        </is>
      </c>
      <c r="B512" t="inlineStr">
        <is>
          <t>phrase_these</t>
        </is>
      </c>
      <c r="C512" t="inlineStr">
        <is>
          <t>ch</t>
        </is>
      </c>
      <c r="D512"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2" t="inlineStr">
        <is>
          <t>2026-10-30T15:06:27+00:00</t>
        </is>
      </c>
      <c r="F512" t="inlineStr">
        <is>
          <t>{"Keyword": "développement application web", "Search Volume": "320", "CPC": "0", "Competition": "0.33", "Number of Results": "154", "Trends": "0.03,1.00,0.38,0.03,0.09,0.09,0.09,0.00,0.03,0.03,0.06,0.04", "Intent": "1", "Keyword Difficulty Index": "8"}</t>
        </is>
      </c>
      <c r="G512" t="inlineStr">
        <is>
          <t>Raw (Semrush)</t>
        </is>
      </c>
    </row>
    <row r="513">
      <c r="A513" t="inlineStr">
        <is>
          <t>val-ch-0</t>
        </is>
      </c>
      <c r="B513" t="inlineStr">
        <is>
          <t>phrase_these</t>
        </is>
      </c>
      <c r="C513" t="inlineStr">
        <is>
          <t>ch</t>
        </is>
      </c>
      <c r="D513"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3" t="inlineStr">
        <is>
          <t>2026-10-30T15:06:27+00:00</t>
        </is>
      </c>
      <c r="F513" t="inlineStr">
        <is>
          <t>{"Keyword": "développement logiciel sur mesure", "Search Volume": "30", "CPC": "0", "Competition": "0.33", "Number of Results": "0", "Trends": "0.29,0.71,0.14,0.14,0.29,0.29,0.43,1.00,1.00,0.14,0.57,0.14", "Intent": "", "Keyword Difficulty Index": "0"}</t>
        </is>
      </c>
      <c r="G513" t="inlineStr">
        <is>
          <t>Raw (Semrush)</t>
        </is>
      </c>
    </row>
    <row r="514">
      <c r="A514" t="inlineStr">
        <is>
          <t>val-ch-0</t>
        </is>
      </c>
      <c r="B514" t="inlineStr">
        <is>
          <t>phrase_these</t>
        </is>
      </c>
      <c r="C514" t="inlineStr">
        <is>
          <t>ch</t>
        </is>
      </c>
      <c r="D514"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4" t="inlineStr">
        <is>
          <t>2026-10-30T15:06:27+00:00</t>
        </is>
      </c>
      <c r="F514" t="inlineStr">
        <is>
          <t>{"Keyword": "développement saas", "Search Volume": "0", "CPC": "0", "Competition": "0", "Number of Results": "0", "Trends": "0.00,0.00,0.00,0.00,0.00,0.00,0.00,0.00,0.00,0.00,0.00,0.00", "Intent": "", "Keyword Difficulty Index": "0"}</t>
        </is>
      </c>
      <c r="G514" t="inlineStr">
        <is>
          <t>Raw (Semrush)</t>
        </is>
      </c>
    </row>
    <row r="515">
      <c r="A515" t="inlineStr">
        <is>
          <t>val-ch-0</t>
        </is>
      </c>
      <c r="B515" t="inlineStr">
        <is>
          <t>phrase_these</t>
        </is>
      </c>
      <c r="C515" t="inlineStr">
        <is>
          <t>ch</t>
        </is>
      </c>
      <c r="D515"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5" t="inlineStr">
        <is>
          <t>2026-10-30T15:06:27+00:00</t>
        </is>
      </c>
      <c r="F515" t="inlineStr">
        <is>
          <t>{"Keyword": "développement web sur mesure", "Search Volume": "50", "CPC": "0", "Competition": "0.04", "Number of Results": "0", "Trends": "0.14,0.14,0.14,0.33,1.00,0.14,0.14,0.14,0.14,0.14,0.14,0.67", "Intent": "", "Keyword Difficulty Index": "0"}</t>
        </is>
      </c>
      <c r="G515" t="inlineStr">
        <is>
          <t>Raw (Semrush)</t>
        </is>
      </c>
    </row>
    <row r="516">
      <c r="A516" t="inlineStr">
        <is>
          <t>val-ch-0</t>
        </is>
      </c>
      <c r="B516" t="inlineStr">
        <is>
          <t>phrase_these</t>
        </is>
      </c>
      <c r="C516" t="inlineStr">
        <is>
          <t>ch</t>
        </is>
      </c>
      <c r="D516"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6" t="inlineStr">
        <is>
          <t>2026-10-30T15:06:27+00:00</t>
        </is>
      </c>
      <c r="F516" t="inlineStr">
        <is>
          <t>{"Keyword": "développeur web freelance", "Search Volume": "30", "CPC": "3.39", "Competition": "0.49", "Number of Results": "0", "Trends": "0.22,0.11,0.11,0.11,0.11,0.22,0.78,0.11,0.56,1.00,0.11,0.11", "Intent": "", "Keyword Difficulty Index": "0"}</t>
        </is>
      </c>
      <c r="G516" t="inlineStr">
        <is>
          <t>Raw (Semrush)</t>
        </is>
      </c>
    </row>
    <row r="517">
      <c r="A517" t="inlineStr">
        <is>
          <t>val-ch-0</t>
        </is>
      </c>
      <c r="B517" t="inlineStr">
        <is>
          <t>phrase_these</t>
        </is>
      </c>
      <c r="C517" t="inlineStr">
        <is>
          <t>ch</t>
        </is>
      </c>
      <c r="D517"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7" t="inlineStr">
        <is>
          <t>2026-10-30T15:06:27+00:00</t>
        </is>
      </c>
      <c r="F517" t="inlineStr">
        <is>
          <t>{"Keyword": "prix création site internet", "Search Volume": "90", "CPC": "3.15", "Competition": "0.66", "Number of Results": "122", "Trends": "1.00,0.02,0.03,0.03,0.02,0.15,0.02,0.05,0.07,0.02,0.02,0.02", "Intent": "1", "Keyword Difficulty Index": "10"}</t>
        </is>
      </c>
      <c r="G517" t="inlineStr">
        <is>
          <t>Raw (Semrush)</t>
        </is>
      </c>
    </row>
    <row r="518">
      <c r="A518" t="inlineStr">
        <is>
          <t>val-ch-0</t>
        </is>
      </c>
      <c r="B518" t="inlineStr">
        <is>
          <t>phrase_these</t>
        </is>
      </c>
      <c r="C518" t="inlineStr">
        <is>
          <t>ch</t>
        </is>
      </c>
      <c r="D518"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8" t="inlineStr">
        <is>
          <t>2026-10-30T15:06:27+00:00</t>
        </is>
      </c>
      <c r="F518" t="inlineStr">
        <is>
          <t>{"Keyword": "prix site web", "Search Volume": "30", "CPC": "3.93", "Competition": "0.78", "Number of Results": "0", "Trends": "1.00,0.64,0.09,0.36,0.09,0.09,0.09,0.09,0.09,0.09,0.09,0.09", "Intent": "", "Keyword Difficulty Index": "0"}</t>
        </is>
      </c>
      <c r="G518" t="inlineStr">
        <is>
          <t>Raw (Semrush)</t>
        </is>
      </c>
    </row>
    <row r="519">
      <c r="A519" t="inlineStr">
        <is>
          <t>val-ch-0</t>
        </is>
      </c>
      <c r="B519" t="inlineStr">
        <is>
          <t>phrase_these</t>
        </is>
      </c>
      <c r="C519" t="inlineStr">
        <is>
          <t>ch</t>
        </is>
      </c>
      <c r="D519"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19" t="inlineStr">
        <is>
          <t>2026-10-30T15:06:27+00:00</t>
        </is>
      </c>
      <c r="F519" t="inlineStr">
        <is>
          <t>{"Keyword": "refonte site web", "Search Volume": "20", "CPC": "4.33", "Competition": "0.57", "Number of Results": "0", "Trends": "0.29,0.14,0.29,0.43,0.14,0.57,0.43,1.00,0.14,0.14,0.14,0.14", "Intent": "", "Keyword Difficulty Index": "0"}</t>
        </is>
      </c>
      <c r="G519" t="inlineStr">
        <is>
          <t>Raw (Semrush)</t>
        </is>
      </c>
    </row>
    <row r="520">
      <c r="A520" t="inlineStr">
        <is>
          <t>val-ch-0</t>
        </is>
      </c>
      <c r="B520" t="inlineStr">
        <is>
          <t>phrase_these</t>
        </is>
      </c>
      <c r="C520" t="inlineStr">
        <is>
          <t>ch</t>
        </is>
      </c>
      <c r="D520"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20" t="inlineStr">
        <is>
          <t>2026-10-30T15:06:27+00:00</t>
        </is>
      </c>
      <c r="F520" t="inlineStr">
        <is>
          <t>{"Keyword": "référencement naturel", "Search Volume": "70", "CPC": "3.1", "Competition": "0.27", "Number of Results": "129", "Trends": "0.79,0.07,0.14,0.50,0.50,0.21,1.00,0.64,0.07,0.50,0.07,0.36", "Intent": "1", "Keyword Difficulty Index": "41"}</t>
        </is>
      </c>
      <c r="G520" t="inlineStr">
        <is>
          <t>Raw (Semrush)</t>
        </is>
      </c>
    </row>
    <row r="521">
      <c r="A521" t="inlineStr">
        <is>
          <t>val-ch-0</t>
        </is>
      </c>
      <c r="B521" t="inlineStr">
        <is>
          <t>phrase_these</t>
        </is>
      </c>
      <c r="C521" t="inlineStr">
        <is>
          <t>ch</t>
        </is>
      </c>
      <c r="D521"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21" t="inlineStr">
        <is>
          <t>2026-10-30T15:06:27+00:00</t>
        </is>
      </c>
      <c r="F521" t="inlineStr">
        <is>
          <t>{"Keyword": "site internet professionnel", "Search Volume": "20", "CPC": "0", "Competition": "1", "Number of Results": "0", "Trends": "0.33,1.00,0.22,0.11,0.11,0.11,0.11,0.11,0.11,0.11,0.11,0.44", "Intent": "", "Keyword Difficulty Index": "0"}</t>
        </is>
      </c>
      <c r="G521" t="inlineStr">
        <is>
          <t>Raw (Semrush)</t>
        </is>
      </c>
    </row>
    <row r="522">
      <c r="A522" t="inlineStr">
        <is>
          <t>val-ch-0</t>
        </is>
      </c>
      <c r="B522" t="inlineStr">
        <is>
          <t>phrase_these</t>
        </is>
      </c>
      <c r="C522" t="inlineStr">
        <is>
          <t>ch</t>
        </is>
      </c>
      <c r="D522"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22" t="inlineStr">
        <is>
          <t>2026-10-30T15:06:27+00:00</t>
        </is>
      </c>
      <c r="F522" t="inlineStr">
        <is>
          <t>{"Keyword": "webagentur zürich", "Search Volume": "1000", "CPC": "7.4", "Competition": "0.55", "Number of Results": "112", "Trends": "1.00,0.37,0.37,0.30,0.54,0.79,0.54,0.30,0.30,0.42,0.30,0.30", "Intent": "0", "Keyword Difficulty Index": "52"}</t>
        </is>
      </c>
      <c r="G522" t="inlineStr">
        <is>
          <t>Raw (Semrush)</t>
        </is>
      </c>
    </row>
    <row r="523">
      <c r="A523" t="inlineStr">
        <is>
          <t>val-ch-0</t>
        </is>
      </c>
      <c r="B523" t="inlineStr">
        <is>
          <t>phrase_these</t>
        </is>
      </c>
      <c r="C523" t="inlineStr">
        <is>
          <t>ch</t>
        </is>
      </c>
      <c r="D523" t="inlineStr">
        <is>
          <t>agence de développement web;agence digitale;agence seo;agence web;agence web genève;agence web lausanne;agence web maroc;agence web nearshore;agence web offshore;agence web pas cher;agence web suisse;agence web zurich;conception site web;création application web;création boutique en ligne;création site e-commerce;création site internet;création site internet genève;création site vitrine;création site web;création site web suisse;création site web zurich;développement application web;développement logiciel sur mesure;développement saas;développement web offshore;développement web sur mesure;développement web zurich;développeur maroc;développeur web freelance;externalisation développement web;prix création site internet;prix site web;refonte site web;référencement naturel;site internet professionnel;sous-traitance développement web;webagentur zürich;webdesigner</t>
        </is>
      </c>
      <c r="E523" t="inlineStr">
        <is>
          <t>2026-10-30T15:06:27+00:00</t>
        </is>
      </c>
      <c r="F523" t="inlineStr">
        <is>
          <t>{"Keyword": "webdesigner", "Search Volume": "390", "CPC": "5.34", "Competition": "0.53", "Number of Results": "129", "Trends": "1.00,0.39,0.39,0.32,0.48,0.39,0.39,0.32,0.26,0.39,0.26,0.26", "Intent": "0", "Keyword Difficulty Index": "14"}</t>
        </is>
      </c>
      <c r="G523" t="inlineStr">
        <is>
          <t>Raw (Semrush)</t>
        </is>
      </c>
    </row>
    <row r="524">
      <c r="A524" t="inlineStr">
        <is>
          <t>val-de-0</t>
        </is>
      </c>
      <c r="B524" t="inlineStr">
        <is>
          <t>phrase_these</t>
        </is>
      </c>
      <c r="C524" t="inlineStr">
        <is>
          <t>de</t>
        </is>
      </c>
      <c r="D524" t="inlineStr">
        <is>
          <t>agence web berlin;création site web berlin;développement web berlin;webentwicklung berlin</t>
        </is>
      </c>
      <c r="E524" t="inlineStr">
        <is>
          <t>2026-10-30T15:06:29+00:00</t>
        </is>
      </c>
      <c r="F524" t="inlineStr">
        <is>
          <t>{"Keyword": "webentwicklung berlin", "Search Volume": "480", "CPC": "2.77", "Competition": "0.31", "Number of Results": "10", "Trends": "0.81,0.66,0.81,0.81,0.66,0.66,0.54,0.36,0.66,0.81,0.15,0.81", "Intent": "0", "Keyword Difficulty Index": "29"}</t>
        </is>
      </c>
      <c r="G524" t="inlineStr">
        <is>
          <t>Raw (Semrush)</t>
        </is>
      </c>
    </row>
    <row r="525">
      <c r="A525" t="inlineStr">
        <is>
          <t>val-dk-0</t>
        </is>
      </c>
      <c r="B525" t="inlineStr">
        <is>
          <t>phrase_these</t>
        </is>
      </c>
      <c r="C525" t="inlineStr">
        <is>
          <t>dk</t>
        </is>
      </c>
      <c r="D525" t="inlineStr">
        <is>
          <t>agence web copenhague;création site web copenhague;développement web copenhague;web development copenhagen</t>
        </is>
      </c>
      <c r="E525" t="inlineStr">
        <is>
          <t>2026-10-30T15:06:31+00:00</t>
        </is>
      </c>
      <c r="F525" t="inlineStr">
        <is>
          <t>{"Keyword": "web development copenhagen", "Search Volume": "20", "CPC": "0", "Competition": "0", "Number of Results": "0", "Trends": "0.00,0.20,0.80,0.20,0.00,0.80,0.00,1.00,0.00,0.40,0.20,0.00", "Intent": "", "Keyword Difficulty Index": "0"}</t>
        </is>
      </c>
      <c r="G525" t="inlineStr">
        <is>
          <t>Raw (Semrush)</t>
        </is>
      </c>
    </row>
    <row r="526">
      <c r="A526" t="inlineStr">
        <is>
          <t>val-dz-0</t>
        </is>
      </c>
      <c r="B526" t="inlineStr">
        <is>
          <t>phrase_these</t>
        </is>
      </c>
      <c r="C526" t="inlineStr">
        <is>
          <t>dz</t>
        </is>
      </c>
      <c r="D526"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26" t="inlineStr">
        <is>
          <t>2026-10-30T15:06:33+00:00</t>
        </is>
      </c>
      <c r="F526" t="inlineStr">
        <is>
          <t>{"Keyword": "agence de développement web", "Search Volume": "20", "CPC": "0", "Competition": "0.18", "Number of Results": "0", "Trends": "0.33,0.33,1.00,0.67,0.33,0.33,0.33,0.33,1.00,0.67,0.33,0.33", "Intent": "", "Keyword Difficulty Index": "0"}</t>
        </is>
      </c>
      <c r="G526" t="inlineStr">
        <is>
          <t>Raw (Semrush)</t>
        </is>
      </c>
    </row>
    <row r="527">
      <c r="A527" t="inlineStr">
        <is>
          <t>val-dz-0</t>
        </is>
      </c>
      <c r="B527" t="inlineStr">
        <is>
          <t>phrase_these</t>
        </is>
      </c>
      <c r="C527" t="inlineStr">
        <is>
          <t>dz</t>
        </is>
      </c>
      <c r="D527"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27" t="inlineStr">
        <is>
          <t>2026-10-30T15:06:33+00:00</t>
        </is>
      </c>
      <c r="F527" t="inlineStr">
        <is>
          <t>{"Keyword": "agence digitale", "Search Volume": "20", "CPC": "0", "Competition": "0.07", "Number of Results": "0", "Trends": "0.20,0.80,0.20,0.20,0.20,0.20,0.20,0.20,0.80,1.00,0.20,0.20", "Intent": "", "Keyword Difficulty Index": "0"}</t>
        </is>
      </c>
      <c r="G527" t="inlineStr">
        <is>
          <t>Raw (Semrush)</t>
        </is>
      </c>
    </row>
    <row r="528">
      <c r="A528" t="inlineStr">
        <is>
          <t>val-dz-0</t>
        </is>
      </c>
      <c r="B528" t="inlineStr">
        <is>
          <t>phrase_these</t>
        </is>
      </c>
      <c r="C528" t="inlineStr">
        <is>
          <t>dz</t>
        </is>
      </c>
      <c r="D528"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28" t="inlineStr">
        <is>
          <t>2026-10-30T15:06:33+00:00</t>
        </is>
      </c>
      <c r="F528" t="inlineStr">
        <is>
          <t>{"Keyword": "agence seo", "Search Volume": "20", "CPC": "0", "Competition": "0.05", "Number of Results": "0", "Trends": "0.25,0.25,0.25,0.50,1.00,0.25,0.25,0.25,0.50,0.25,0.25,0.75", "Intent": "", "Keyword Difficulty Index": "0"}</t>
        </is>
      </c>
      <c r="G528" t="inlineStr">
        <is>
          <t>Raw (Semrush)</t>
        </is>
      </c>
    </row>
    <row r="529">
      <c r="A529" t="inlineStr">
        <is>
          <t>val-dz-0</t>
        </is>
      </c>
      <c r="B529" t="inlineStr">
        <is>
          <t>phrase_these</t>
        </is>
      </c>
      <c r="C529" t="inlineStr">
        <is>
          <t>dz</t>
        </is>
      </c>
      <c r="D529"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29" t="inlineStr">
        <is>
          <t>2026-10-30T15:06:33+00:00</t>
        </is>
      </c>
      <c r="F529" t="inlineStr">
        <is>
          <t>{"Keyword": "agence web", "Search Volume": "20", "CPC": "1.28", "Competition": "0.05", "Number of Results": "0", "Trends": "0.60,0.20,0.40,1.00,0.20,0.60,0.20,0.20,0.20,0.40,0.20,0.20", "Intent": "", "Keyword Difficulty Index": "0"}</t>
        </is>
      </c>
      <c r="G529" t="inlineStr">
        <is>
          <t>Raw (Semrush)</t>
        </is>
      </c>
    </row>
    <row r="530">
      <c r="A530" t="inlineStr">
        <is>
          <t>val-dz-0</t>
        </is>
      </c>
      <c r="B530" t="inlineStr">
        <is>
          <t>phrase_these</t>
        </is>
      </c>
      <c r="C530" t="inlineStr">
        <is>
          <t>dz</t>
        </is>
      </c>
      <c r="D530"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0" t="inlineStr">
        <is>
          <t>2026-10-30T15:06:33+00:00</t>
        </is>
      </c>
      <c r="F530" t="inlineStr">
        <is>
          <t>{"Keyword": "agence web alger", "Search Volume": "20", "CPC": "0", "Competition": "0.05", "Number of Results": "0", "Trends": "0.14,0.14,0.14,0.14,0.14,0.14,0.14,0.29,0.14,1.00,0.43,0.14", "Intent": "", "Keyword Difficulty Index": "0"}</t>
        </is>
      </c>
      <c r="G530" t="inlineStr">
        <is>
          <t>Raw (Semrush)</t>
        </is>
      </c>
    </row>
    <row r="531">
      <c r="A531" t="inlineStr">
        <is>
          <t>val-dz-0</t>
        </is>
      </c>
      <c r="B531" t="inlineStr">
        <is>
          <t>phrase_these</t>
        </is>
      </c>
      <c r="C531" t="inlineStr">
        <is>
          <t>dz</t>
        </is>
      </c>
      <c r="D531"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1" t="inlineStr">
        <is>
          <t>2026-10-30T15:06:33+00:00</t>
        </is>
      </c>
      <c r="F531" t="inlineStr">
        <is>
          <t>{"Keyword": "agence web algérie", "Search Volume": "20", "CPC": "0", "Competition": "0.33", "Number of Results": "0", "Trends": "0.20,1.00,0.20,0.20,0.20,1.00,0.20,0.20,0.20,0.20,0.40,0.20", "Intent": "", "Keyword Difficulty Index": "0"}</t>
        </is>
      </c>
      <c r="G531" t="inlineStr">
        <is>
          <t>Raw (Semrush)</t>
        </is>
      </c>
    </row>
    <row r="532">
      <c r="A532" t="inlineStr">
        <is>
          <t>val-dz-0</t>
        </is>
      </c>
      <c r="B532" t="inlineStr">
        <is>
          <t>phrase_these</t>
        </is>
      </c>
      <c r="C532" t="inlineStr">
        <is>
          <t>dz</t>
        </is>
      </c>
      <c r="D532"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2" t="inlineStr">
        <is>
          <t>2026-10-30T15:06:33+00:00</t>
        </is>
      </c>
      <c r="F532" t="inlineStr">
        <is>
          <t>{"Keyword": "agence web maroc", "Search Volume": "0", "CPC": "0", "Competition": "0", "Number of Results": "0", "Trends": "0.00,0.00,0.00,0.00,0.00,0.00,0.00,0.00,0.00,0.00,0.00,0.00", "Intent": "", "Keyword Difficulty Index": "0"}</t>
        </is>
      </c>
      <c r="G532" t="inlineStr">
        <is>
          <t>Raw (Semrush)</t>
        </is>
      </c>
    </row>
    <row r="533">
      <c r="A533" t="inlineStr">
        <is>
          <t>val-dz-0</t>
        </is>
      </c>
      <c r="B533" t="inlineStr">
        <is>
          <t>phrase_these</t>
        </is>
      </c>
      <c r="C533" t="inlineStr">
        <is>
          <t>dz</t>
        </is>
      </c>
      <c r="D533"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3" t="inlineStr">
        <is>
          <t>2026-10-30T15:06:33+00:00</t>
        </is>
      </c>
      <c r="F533" t="inlineStr">
        <is>
          <t>{"Keyword": "agence web offshore", "Search Volume": "0", "CPC": "0", "Competition": "0", "Number of Results": "0", "Trends": "0.00,0.00,0.00,0.00,0.00,0.00,0.00,0.00,0.00,0.00,0.00,0.00", "Intent": "", "Keyword Difficulty Index": "0"}</t>
        </is>
      </c>
      <c r="G533" t="inlineStr">
        <is>
          <t>Raw (Semrush)</t>
        </is>
      </c>
    </row>
    <row r="534">
      <c r="A534" t="inlineStr">
        <is>
          <t>val-dz-0</t>
        </is>
      </c>
      <c r="B534" t="inlineStr">
        <is>
          <t>phrase_these</t>
        </is>
      </c>
      <c r="C534" t="inlineStr">
        <is>
          <t>dz</t>
        </is>
      </c>
      <c r="D534"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4" t="inlineStr">
        <is>
          <t>2026-10-30T15:06:33+00:00</t>
        </is>
      </c>
      <c r="F534" t="inlineStr">
        <is>
          <t>{"Keyword": "conception site web", "Search Volume": "20", "CPC": "0.23", "Competition": "0.1", "Number of Results": "0", "Trends": "0.60,1.00,0.60,0.20,1.00,0.20,0.40,0.20,0.20,0.80,0.20,0.20", "Intent": "", "Keyword Difficulty Index": "0"}</t>
        </is>
      </c>
      <c r="G534" t="inlineStr">
        <is>
          <t>Raw (Semrush)</t>
        </is>
      </c>
    </row>
    <row r="535">
      <c r="A535" t="inlineStr">
        <is>
          <t>val-dz-0</t>
        </is>
      </c>
      <c r="B535" t="inlineStr">
        <is>
          <t>phrase_these</t>
        </is>
      </c>
      <c r="C535" t="inlineStr">
        <is>
          <t>dz</t>
        </is>
      </c>
      <c r="D535"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5" t="inlineStr">
        <is>
          <t>2026-10-30T15:06:33+00:00</t>
        </is>
      </c>
      <c r="F535" t="inlineStr">
        <is>
          <t>{"Keyword": "création application web", "Search Volume": "10", "CPC": "0", "Competition": "0.64", "Number of Results": "0", "Trends": "0.44,0.11,0.00,0.11,0.00,0.00,0.00,1.00,0.00,0.00,0.00,0.11", "Intent": "", "Keyword Difficulty Index": "0"}</t>
        </is>
      </c>
      <c r="G535" t="inlineStr">
        <is>
          <t>Raw (Semrush)</t>
        </is>
      </c>
    </row>
    <row r="536">
      <c r="A536" t="inlineStr">
        <is>
          <t>val-dz-0</t>
        </is>
      </c>
      <c r="B536" t="inlineStr">
        <is>
          <t>phrase_these</t>
        </is>
      </c>
      <c r="C536" t="inlineStr">
        <is>
          <t>dz</t>
        </is>
      </c>
      <c r="D536"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6" t="inlineStr">
        <is>
          <t>2026-10-30T15:06:33+00:00</t>
        </is>
      </c>
      <c r="F536" t="inlineStr">
        <is>
          <t>{"Keyword": "création boutique en ligne", "Search Volume": "20", "CPC": "0.36", "Competition": "0.54", "Number of Results": "0", "Trends": "0.11,0.11,0.11,0.33,0.11,0.11,0.33,0.11,0.11,0.56,0.11,1.00", "Intent": "", "Keyword Difficulty Index": "0"}</t>
        </is>
      </c>
      <c r="G536" t="inlineStr">
        <is>
          <t>Raw (Semrush)</t>
        </is>
      </c>
    </row>
    <row r="537">
      <c r="A537" t="inlineStr">
        <is>
          <t>val-dz-0</t>
        </is>
      </c>
      <c r="B537" t="inlineStr">
        <is>
          <t>phrase_these</t>
        </is>
      </c>
      <c r="C537" t="inlineStr">
        <is>
          <t>dz</t>
        </is>
      </c>
      <c r="D537"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7" t="inlineStr">
        <is>
          <t>2026-10-30T15:06:33+00:00</t>
        </is>
      </c>
      <c r="F537" t="inlineStr">
        <is>
          <t>{"Keyword": "création site e-commerce", "Search Volume": "20", "CPC": "0.23", "Competition": "0.35", "Number of Results": "0", "Trends": "0.14,0.14,0.14,0.14,0.14,0.14,0.43,1.00,1.00,0.29,0.14,0.14", "Intent": "", "Keyword Difficulty Index": "0"}</t>
        </is>
      </c>
      <c r="G537" t="inlineStr">
        <is>
          <t>Raw (Semrush)</t>
        </is>
      </c>
    </row>
    <row r="538">
      <c r="A538" t="inlineStr">
        <is>
          <t>val-dz-0</t>
        </is>
      </c>
      <c r="B538" t="inlineStr">
        <is>
          <t>phrase_these</t>
        </is>
      </c>
      <c r="C538" t="inlineStr">
        <is>
          <t>dz</t>
        </is>
      </c>
      <c r="D538"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8" t="inlineStr">
        <is>
          <t>2026-10-30T15:06:33+00:00</t>
        </is>
      </c>
      <c r="F538" t="inlineStr">
        <is>
          <t>{"Keyword": "création site internet", "Search Volume": "20", "CPC": "0.51", "Competition": "0.35", "Number of Results": "0", "Trends": "1.00,0.20,0.20,0.20,0.40,0.20,0.20,0.20,0.40,0.20,0.20,0.20", "Intent": "", "Keyword Difficulty Index": "0"}</t>
        </is>
      </c>
      <c r="G538" t="inlineStr">
        <is>
          <t>Raw (Semrush)</t>
        </is>
      </c>
    </row>
    <row r="539">
      <c r="A539" t="inlineStr">
        <is>
          <t>val-dz-0</t>
        </is>
      </c>
      <c r="B539" t="inlineStr">
        <is>
          <t>phrase_these</t>
        </is>
      </c>
      <c r="C539" t="inlineStr">
        <is>
          <t>dz</t>
        </is>
      </c>
      <c r="D539"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39" t="inlineStr">
        <is>
          <t>2026-10-30T15:06:33+00:00</t>
        </is>
      </c>
      <c r="F539" t="inlineStr">
        <is>
          <t>{"Keyword": "création site vitrine", "Search Volume": "20", "CPC": "0", "Competition": "0.5", "Number of Results": "0", "Trends": "0.20,0.60,1.00,0.20,0.80,0.20,0.20,0.20,0.60,0.20,0.20,0.80", "Intent": "", "Keyword Difficulty Index": "0"}</t>
        </is>
      </c>
      <c r="G539" t="inlineStr">
        <is>
          <t>Raw (Semrush)</t>
        </is>
      </c>
    </row>
    <row r="540">
      <c r="A540" t="inlineStr">
        <is>
          <t>val-dz-0</t>
        </is>
      </c>
      <c r="B540" t="inlineStr">
        <is>
          <t>phrase_these</t>
        </is>
      </c>
      <c r="C540" t="inlineStr">
        <is>
          <t>dz</t>
        </is>
      </c>
      <c r="D540"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0" t="inlineStr">
        <is>
          <t>2026-10-30T15:06:33+00:00</t>
        </is>
      </c>
      <c r="F540" t="inlineStr">
        <is>
          <t>{"Keyword": "création site web", "Search Volume": "110", "CPC": "0.37", "Competition": "0.43", "Number of Results": "0", "Trends": "1.00,0.65,0.53,0.53,0.65,0.65,0.82,0.53,0.29,0.53,0.53,0.41", "Intent": "", "Keyword Difficulty Index": "0"}</t>
        </is>
      </c>
      <c r="G540" t="inlineStr">
        <is>
          <t>Raw (Semrush)</t>
        </is>
      </c>
    </row>
    <row r="541">
      <c r="A541" t="inlineStr">
        <is>
          <t>val-dz-0</t>
        </is>
      </c>
      <c r="B541" t="inlineStr">
        <is>
          <t>phrase_these</t>
        </is>
      </c>
      <c r="C541" t="inlineStr">
        <is>
          <t>dz</t>
        </is>
      </c>
      <c r="D541"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1" t="inlineStr">
        <is>
          <t>2026-10-30T15:06:33+00:00</t>
        </is>
      </c>
      <c r="F541" t="inlineStr">
        <is>
          <t>{"Keyword": "création site web algérie", "Search Volume": "20", "CPC": "0.23", "Competition": "0.15", "Number of Results": "0", "Trends": "0.25,0.25,0.25,0.50,0.25,0.25,1.00,0.50,0.50,0.25,0.25,0.25", "Intent": "", "Keyword Difficulty Index": "0"}</t>
        </is>
      </c>
      <c r="G541" t="inlineStr">
        <is>
          <t>Raw (Semrush)</t>
        </is>
      </c>
    </row>
    <row r="542">
      <c r="A542" t="inlineStr">
        <is>
          <t>val-dz-0</t>
        </is>
      </c>
      <c r="B542" t="inlineStr">
        <is>
          <t>phrase_these</t>
        </is>
      </c>
      <c r="C542" t="inlineStr">
        <is>
          <t>dz</t>
        </is>
      </c>
      <c r="D542"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2" t="inlineStr">
        <is>
          <t>2026-10-30T15:06:33+00:00</t>
        </is>
      </c>
      <c r="F542" t="inlineStr">
        <is>
          <t>{"Keyword": "développement application web", "Search Volume": "30", "CPC": "0", "Competition": "0.17", "Number of Results": "0", "Trends": "0.11,0.11,0.22,0.11,0.11,0.78,0.11,0.33,0.44,0.11,0.11,1.00", "Intent": "", "Keyword Difficulty Index": "0"}</t>
        </is>
      </c>
      <c r="G542" t="inlineStr">
        <is>
          <t>Raw (Semrush)</t>
        </is>
      </c>
    </row>
    <row r="543">
      <c r="A543" t="inlineStr">
        <is>
          <t>val-dz-0</t>
        </is>
      </c>
      <c r="B543" t="inlineStr">
        <is>
          <t>phrase_these</t>
        </is>
      </c>
      <c r="C543" t="inlineStr">
        <is>
          <t>dz</t>
        </is>
      </c>
      <c r="D543"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3" t="inlineStr">
        <is>
          <t>2026-10-30T15:06:33+00:00</t>
        </is>
      </c>
      <c r="F543" t="inlineStr">
        <is>
          <t>{"Keyword": "développement logiciel sur mesure", "Search Volume": "0", "CPC": "0", "Competition": "0", "Number of Results": "0", "Trends": "0.00,0.00,0.00,0.00,0.00,0.00,0.00,0.00,0.00,0.00,0.00,0.00", "Intent": "", "Keyword Difficulty Index": "0"}</t>
        </is>
      </c>
      <c r="G543" t="inlineStr">
        <is>
          <t>Raw (Semrush)</t>
        </is>
      </c>
    </row>
    <row r="544">
      <c r="A544" t="inlineStr">
        <is>
          <t>val-dz-0</t>
        </is>
      </c>
      <c r="B544" t="inlineStr">
        <is>
          <t>phrase_these</t>
        </is>
      </c>
      <c r="C544" t="inlineStr">
        <is>
          <t>dz</t>
        </is>
      </c>
      <c r="D544"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4" t="inlineStr">
        <is>
          <t>2026-10-30T15:06:33+00:00</t>
        </is>
      </c>
      <c r="F544" t="inlineStr">
        <is>
          <t>{"Keyword": "développement web offshore", "Search Volume": "0", "CPC": "0", "Competition": "0", "Number of Results": "0", "Trends": "0.00,0.00,0.00,0.00,0.00,0.00,0.00,0.00,0.00,0.00,0.00,0.00", "Intent": "", "Keyword Difficulty Index": "0"}</t>
        </is>
      </c>
      <c r="G544" t="inlineStr">
        <is>
          <t>Raw (Semrush)</t>
        </is>
      </c>
    </row>
    <row r="545">
      <c r="A545" t="inlineStr">
        <is>
          <t>val-dz-0</t>
        </is>
      </c>
      <c r="B545" t="inlineStr">
        <is>
          <t>phrase_these</t>
        </is>
      </c>
      <c r="C545" t="inlineStr">
        <is>
          <t>dz</t>
        </is>
      </c>
      <c r="D545"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5" t="inlineStr">
        <is>
          <t>2026-10-30T15:06:33+00:00</t>
        </is>
      </c>
      <c r="F545" t="inlineStr">
        <is>
          <t>{"Keyword": "développement web sur mesure", "Search Volume": "0", "CPC": "0", "Competition": "0", "Number of Results": "0", "Trends": "0.00,0.00,0.00,0.00,0.00,0.00,0.00,0.00,0.00,0.00,0.00,0.00", "Intent": "", "Keyword Difficulty Index": "0"}</t>
        </is>
      </c>
      <c r="G545" t="inlineStr">
        <is>
          <t>Raw (Semrush)</t>
        </is>
      </c>
    </row>
    <row r="546">
      <c r="A546" t="inlineStr">
        <is>
          <t>val-dz-0</t>
        </is>
      </c>
      <c r="B546" t="inlineStr">
        <is>
          <t>phrase_these</t>
        </is>
      </c>
      <c r="C546" t="inlineStr">
        <is>
          <t>dz</t>
        </is>
      </c>
      <c r="D546"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6" t="inlineStr">
        <is>
          <t>2026-10-30T15:06:33+00:00</t>
        </is>
      </c>
      <c r="F546" t="inlineStr">
        <is>
          <t>{"Keyword": "développeur web freelance", "Search Volume": "30", "CPC": "0", "Competition": "0.02", "Number of Results": "0", "Trends": "0.22,0.11,0.11,0.11,0.11,0.22,0.78,0.11,0.56,1.00,0.11,0.11", "Intent": "", "Keyword Difficulty Index": "0"}</t>
        </is>
      </c>
      <c r="G546" t="inlineStr">
        <is>
          <t>Raw (Semrush)</t>
        </is>
      </c>
    </row>
    <row r="547">
      <c r="A547" t="inlineStr">
        <is>
          <t>val-dz-0</t>
        </is>
      </c>
      <c r="B547" t="inlineStr">
        <is>
          <t>phrase_these</t>
        </is>
      </c>
      <c r="C547" t="inlineStr">
        <is>
          <t>dz</t>
        </is>
      </c>
      <c r="D547"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7" t="inlineStr">
        <is>
          <t>2026-10-30T15:06:33+00:00</t>
        </is>
      </c>
      <c r="F547" t="inlineStr">
        <is>
          <t>{"Keyword": "prix création site internet", "Search Volume": "0", "CPC": "0", "Competition": "0", "Number of Results": "0", "Trends": "0.00,0.00,0.00,0.00,0.00,0.00,0.00,0.00,0.00,0.00,0.00,0.00", "Intent": "", "Keyword Difficulty Index": "0"}</t>
        </is>
      </c>
      <c r="G547" t="inlineStr">
        <is>
          <t>Raw (Semrush)</t>
        </is>
      </c>
    </row>
    <row r="548">
      <c r="A548" t="inlineStr">
        <is>
          <t>val-dz-0</t>
        </is>
      </c>
      <c r="B548" t="inlineStr">
        <is>
          <t>phrase_these</t>
        </is>
      </c>
      <c r="C548" t="inlineStr">
        <is>
          <t>dz</t>
        </is>
      </c>
      <c r="D548"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8" t="inlineStr">
        <is>
          <t>2026-10-30T15:06:33+00:00</t>
        </is>
      </c>
      <c r="F548" t="inlineStr">
        <is>
          <t>{"Keyword": "prix site web", "Search Volume": "20", "CPC": "0", "Competition": "0.24", "Number of Results": "0", "Trends": "0.14,1.00,0.14,0.57,0.14,0.14,0.14,0.14,0.14,0.14,0.14,0.14", "Intent": "", "Keyword Difficulty Index": "0"}</t>
        </is>
      </c>
      <c r="G548" t="inlineStr">
        <is>
          <t>Raw (Semrush)</t>
        </is>
      </c>
    </row>
    <row r="549">
      <c r="A549" t="inlineStr">
        <is>
          <t>val-dz-0</t>
        </is>
      </c>
      <c r="B549" t="inlineStr">
        <is>
          <t>phrase_these</t>
        </is>
      </c>
      <c r="C549" t="inlineStr">
        <is>
          <t>dz</t>
        </is>
      </c>
      <c r="D549"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49" t="inlineStr">
        <is>
          <t>2026-10-30T15:06:33+00:00</t>
        </is>
      </c>
      <c r="F549" t="inlineStr">
        <is>
          <t>{"Keyword": "refonte site web", "Search Volume": "20", "CPC": "0", "Competition": "0.33", "Number of Results": "0", "Trends": "0.29,0.14,0.29,0.43,0.14,0.57,0.43,1.00,0.14,0.14,0.14,0.14", "Intent": "", "Keyword Difficulty Index": "0"}</t>
        </is>
      </c>
      <c r="G549" t="inlineStr">
        <is>
          <t>Raw (Semrush)</t>
        </is>
      </c>
    </row>
    <row r="550">
      <c r="A550" t="inlineStr">
        <is>
          <t>val-dz-0</t>
        </is>
      </c>
      <c r="B550" t="inlineStr">
        <is>
          <t>phrase_these</t>
        </is>
      </c>
      <c r="C550" t="inlineStr">
        <is>
          <t>dz</t>
        </is>
      </c>
      <c r="D550"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50" t="inlineStr">
        <is>
          <t>2026-10-30T15:06:33+00:00</t>
        </is>
      </c>
      <c r="F550" t="inlineStr">
        <is>
          <t>{"Keyword": "référencement naturel", "Search Volume": "40", "CPC": "0", "Competition": "0.14", "Number of Results": "0", "Trends": "0.11,0.11,0.22,0.78,0.78,0.33,0.11,1.00,0.11,0.78,0.11,0.56", "Intent": "", "Keyword Difficulty Index": "0"}</t>
        </is>
      </c>
      <c r="G550" t="inlineStr">
        <is>
          <t>Raw (Semrush)</t>
        </is>
      </c>
    </row>
    <row r="551">
      <c r="A551" t="inlineStr">
        <is>
          <t>val-dz-0</t>
        </is>
      </c>
      <c r="B551" t="inlineStr">
        <is>
          <t>phrase_these</t>
        </is>
      </c>
      <c r="C551" t="inlineStr">
        <is>
          <t>dz</t>
        </is>
      </c>
      <c r="D551"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51" t="inlineStr">
        <is>
          <t>2026-10-30T15:06:33+00:00</t>
        </is>
      </c>
      <c r="F551" t="inlineStr">
        <is>
          <t>{"Keyword": "site internet professionnel", "Search Volume": "0", "CPC": "0", "Competition": "0", "Number of Results": "0", "Trends": "0.00,0.00,0.00,0.00,0.00,0.00,0.00,0.00,0.00,0.00,0.00,0.00", "Intent": "", "Keyword Difficulty Index": "0"}</t>
        </is>
      </c>
      <c r="G551" t="inlineStr">
        <is>
          <t>Raw (Semrush)</t>
        </is>
      </c>
    </row>
    <row r="552">
      <c r="A552" t="inlineStr">
        <is>
          <t>val-dz-0</t>
        </is>
      </c>
      <c r="B552" t="inlineStr">
        <is>
          <t>phrase_these</t>
        </is>
      </c>
      <c r="C552" t="inlineStr">
        <is>
          <t>dz</t>
        </is>
      </c>
      <c r="D552" t="inlineStr">
        <is>
          <t>agence de développement web;agence digitale;agence seo;agence web;agence web alger;agence web algérie;agence web maroc;agence web nearshore;agence web offshore;agence web pas cher;conception site web;création application web;création boutique en ligne;création site e-commerce;création site internet;création site vitrine;création site web;création site web algérie;développement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552" t="inlineStr">
        <is>
          <t>2026-10-30T15:06:33+00:00</t>
        </is>
      </c>
      <c r="F552" t="inlineStr">
        <is>
          <t>{"Keyword": "webdesigner", "Search Volume": "30", "CPC": "0", "Competition": "0.33", "Number of Results": "0", "Trends": "0.33,0.11,1.00,0.11,0.78,0.11,0.11,0.78,0.11,0.11,0.11,0.11", "Intent": "", "Keyword Difficulty Index": "0"}</t>
        </is>
      </c>
      <c r="G552" t="inlineStr">
        <is>
          <t>Raw (Semrush)</t>
        </is>
      </c>
    </row>
    <row r="553">
      <c r="A553" t="inlineStr">
        <is>
          <t>val-eg-0</t>
        </is>
      </c>
      <c r="B553" t="inlineStr">
        <is>
          <t>phrase_these</t>
        </is>
      </c>
      <c r="C553" t="inlineStr">
        <is>
          <t>eg</t>
        </is>
      </c>
      <c r="D553" t="inlineStr">
        <is>
          <t>agence web le caire;création site web le caire;développement web le caire;web development company cairo</t>
        </is>
      </c>
      <c r="E553" t="inlineStr">
        <is>
          <t>2026-10-30T15:06:34+00:00</t>
        </is>
      </c>
      <c r="F553" t="inlineStr">
        <is>
          <t>{"Keyword": "web development company cairo", "Search Volume": "0", "CPC": "0", "Competition": "0", "Number of Results": "0", "Trends": "0.00,0.00,0.00,0.00,0.00,0.00,0.00,0.00,0.00,0.00,0.00,0.00", "Intent": "", "Keyword Difficulty Index": "0"}</t>
        </is>
      </c>
      <c r="G553" t="inlineStr">
        <is>
          <t>Raw (Semrush)</t>
        </is>
      </c>
    </row>
    <row r="554">
      <c r="A554" t="inlineStr">
        <is>
          <t>val-es-0</t>
        </is>
      </c>
      <c r="B554" t="inlineStr">
        <is>
          <t>phrase_these</t>
        </is>
      </c>
      <c r="C554" t="inlineStr">
        <is>
          <t>es</t>
        </is>
      </c>
      <c r="D554" t="inlineStr">
        <is>
          <t>agence web barcelone;agence web madrid;création site web barcelone;création site web madrid;desarrollo web barcelona;desarrollo web madrid;développement web barcelone;développement web madrid</t>
        </is>
      </c>
      <c r="E554" t="inlineStr">
        <is>
          <t>2026-10-30T15:06:35+00:00</t>
        </is>
      </c>
      <c r="F554" t="inlineStr">
        <is>
          <t>{"Keyword": "agence web barcelone", "Search Volume": "0", "CPC": "0", "Competition": "0", "Number of Results": "0", "Trends": "0.00,1.00,1.00,0.00,0.00,0.00,0.00,0.00,0.00,0.00,0.00,0.00", "Intent": "", "Keyword Difficulty Index": "0"}</t>
        </is>
      </c>
      <c r="G554" t="inlineStr">
        <is>
          <t>Raw (Semrush)</t>
        </is>
      </c>
    </row>
    <row r="555">
      <c r="A555" t="inlineStr">
        <is>
          <t>val-es-0</t>
        </is>
      </c>
      <c r="B555" t="inlineStr">
        <is>
          <t>phrase_these</t>
        </is>
      </c>
      <c r="C555" t="inlineStr">
        <is>
          <t>es</t>
        </is>
      </c>
      <c r="D555" t="inlineStr">
        <is>
          <t>agence web barcelone;agence web madrid;création site web barcelone;création site web madrid;desarrollo web barcelona;desarrollo web madrid;développement web barcelone;développement web madrid</t>
        </is>
      </c>
      <c r="E555" t="inlineStr">
        <is>
          <t>2026-10-30T15:06:35+00:00</t>
        </is>
      </c>
      <c r="F555" t="inlineStr">
        <is>
          <t>{"Keyword": "desarrollo web barcelona", "Search Volume": "1300", "CPC": "4.19", "Competition": "0.45", "Number of Results": "102", "Trends": "0.68,0.68,0.68,0.84,0.84,1.00,0.84,1.00,0.68,0.68,0.52,0.05", "Intent": "0", "Keyword Difficulty Index": "14"}</t>
        </is>
      </c>
      <c r="G555" t="inlineStr">
        <is>
          <t>Raw (Semrush)</t>
        </is>
      </c>
    </row>
    <row r="556">
      <c r="A556" t="inlineStr">
        <is>
          <t>val-es-0</t>
        </is>
      </c>
      <c r="B556" t="inlineStr">
        <is>
          <t>phrase_these</t>
        </is>
      </c>
      <c r="C556" t="inlineStr">
        <is>
          <t>es</t>
        </is>
      </c>
      <c r="D556" t="inlineStr">
        <is>
          <t>agence web barcelone;agence web madrid;création site web barcelone;création site web madrid;desarrollo web barcelona;desarrollo web madrid;développement web barcelone;développement web madrid</t>
        </is>
      </c>
      <c r="E556" t="inlineStr">
        <is>
          <t>2026-10-30T15:06:35+00:00</t>
        </is>
      </c>
      <c r="F556" t="inlineStr">
        <is>
          <t>{"Keyword": "desarrollo web madrid", "Search Volume": "1300", "CPC": "4.41", "Competition": "0.42", "Number of Results": "108", "Trends": "0.62,0.55,0.81,0.81,1.00,1.00,1.00,1.00,1.00,1.00,0.62,0.08", "Intent": "3", "Keyword Difficulty Index": "23"}</t>
        </is>
      </c>
      <c r="G556" t="inlineStr">
        <is>
          <t>Raw (Semrush)</t>
        </is>
      </c>
    </row>
    <row r="557">
      <c r="A557" t="inlineStr">
        <is>
          <t>val-fr-0</t>
        </is>
      </c>
      <c r="B557" t="inlineStr">
        <is>
          <t>phrase_these</t>
        </is>
      </c>
      <c r="C557" t="inlineStr">
        <is>
          <t>fr</t>
        </is>
      </c>
      <c r="D557"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57" t="inlineStr">
        <is>
          <t>2026-10-30T15:06:37+00:00</t>
        </is>
      </c>
      <c r="F557" t="inlineStr">
        <is>
          <t>{"Keyword": "agence création site e-commerce", "Search Volume": "260", "CPC": "3.3", "Competition": "0.12", "Number of Results": "10", "Trends": "0.53,0.43,0.53,0.66,0.66,0.66,0.66,0.82,1.00,1.00,0.82,0.28", "Intent": "0", "Keyword Difficulty Index": "31"}</t>
        </is>
      </c>
      <c r="G557" t="inlineStr">
        <is>
          <t>Raw (Semrush)</t>
        </is>
      </c>
    </row>
    <row r="558">
      <c r="A558" t="inlineStr">
        <is>
          <t>val-fr-0</t>
        </is>
      </c>
      <c r="B558" t="inlineStr">
        <is>
          <t>phrase_these</t>
        </is>
      </c>
      <c r="C558" t="inlineStr">
        <is>
          <t>fr</t>
        </is>
      </c>
      <c r="D558"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58" t="inlineStr">
        <is>
          <t>2026-10-30T15:06:37+00:00</t>
        </is>
      </c>
      <c r="F558" t="inlineStr">
        <is>
          <t>{"Keyword": "agence de développement web", "Search Volume": "1300", "CPC": "4.62", "Competition": "0.18", "Number of Results": "138", "Trends": "0.81,0.62,0.62,0.81,0.81,0.81,0.62,0.62,0.81,1.00,0.62,0.62", "Intent": "0", "Keyword Difficulty Index": "32"}</t>
        </is>
      </c>
      <c r="G558" t="inlineStr">
        <is>
          <t>Raw (Semrush)</t>
        </is>
      </c>
    </row>
    <row r="559">
      <c r="A559" t="inlineStr">
        <is>
          <t>val-fr-0</t>
        </is>
      </c>
      <c r="B559" t="inlineStr">
        <is>
          <t>phrase_these</t>
        </is>
      </c>
      <c r="C559" t="inlineStr">
        <is>
          <t>fr</t>
        </is>
      </c>
      <c r="D559"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59" t="inlineStr">
        <is>
          <t>2026-10-30T15:06:37+00:00</t>
        </is>
      </c>
      <c r="F559" t="inlineStr">
        <is>
          <t>{"Keyword": "agence de développement web maroc", "Search Volume": "20", "CPC": "0", "Competition": "0", "Number of Results": "0", "Trends": "0.28,0.50,0.21,0.28,0.14,0.00,0.14,0.14,0.14,0.00,0.14,0.07", "Intent": "", "Keyword Difficulty Index": "0"}</t>
        </is>
      </c>
      <c r="G559" t="inlineStr">
        <is>
          <t>Raw (Semrush)</t>
        </is>
      </c>
    </row>
    <row r="560">
      <c r="A560" t="inlineStr">
        <is>
          <t>val-fr-0</t>
        </is>
      </c>
      <c r="B560" t="inlineStr">
        <is>
          <t>phrase_these</t>
        </is>
      </c>
      <c r="C560" t="inlineStr">
        <is>
          <t>fr</t>
        </is>
      </c>
      <c r="D560"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0" t="inlineStr">
        <is>
          <t>2026-10-30T15:06:37+00:00</t>
        </is>
      </c>
      <c r="F560" t="inlineStr">
        <is>
          <t>{"Keyword": "agence de voyage de luxe maroc", "Search Volume": "0", "CPC": "0", "Competition": "0", "Number of Results": "0", "Trends": "1.00,1.00,0.00,0.00,0.00,0.00,0.00,0.00,0.00,0.00,0.00,0.00", "Intent": "", "Keyword Difficulty Index": "0"}</t>
        </is>
      </c>
      <c r="G560" t="inlineStr">
        <is>
          <t>Raw (Semrush)</t>
        </is>
      </c>
    </row>
    <row r="561">
      <c r="A561" t="inlineStr">
        <is>
          <t>val-fr-0</t>
        </is>
      </c>
      <c r="B561" t="inlineStr">
        <is>
          <t>phrase_these</t>
        </is>
      </c>
      <c r="C561" t="inlineStr">
        <is>
          <t>fr</t>
        </is>
      </c>
      <c r="D561"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1" t="inlineStr">
        <is>
          <t>2026-10-30T15:06:37+00:00</t>
        </is>
      </c>
      <c r="F561" t="inlineStr">
        <is>
          <t>{"Keyword": "agence digitale", "Search Volume": "8100", "CPC": "3.47", "Competition": "0.28", "Number of Results": "10", "Trends": "1.00,0.81,0.81,1.00,0.81,1.00,0.81,0.81,0.81,0.81,1.00,0.81", "Intent": "0", "Keyword Difficulty Index": "29"}</t>
        </is>
      </c>
      <c r="G561" t="inlineStr">
        <is>
          <t>Raw (Semrush)</t>
        </is>
      </c>
    </row>
    <row r="562">
      <c r="A562" t="inlineStr">
        <is>
          <t>val-fr-0</t>
        </is>
      </c>
      <c r="B562" t="inlineStr">
        <is>
          <t>phrase_these</t>
        </is>
      </c>
      <c r="C562" t="inlineStr">
        <is>
          <t>fr</t>
        </is>
      </c>
      <c r="D562"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2" t="inlineStr">
        <is>
          <t>2026-10-30T15:06:37+00:00</t>
        </is>
      </c>
      <c r="F562" t="inlineStr">
        <is>
          <t>{"Keyword": "agence développement saas", "Search Volume": "70", "CPC": "15.03", "Competition": "0.33", "Number of Results": "133", "Trends": "0.26,0.07,0.03,0.11,0.15,0.26,0.15,0.34,1.00,0.42,0.42,0.42", "Intent": "0", "Keyword Difficulty Index": "12"}</t>
        </is>
      </c>
      <c r="G562" t="inlineStr">
        <is>
          <t>Raw (Semrush)</t>
        </is>
      </c>
    </row>
    <row r="563">
      <c r="A563" t="inlineStr">
        <is>
          <t>val-fr-0</t>
        </is>
      </c>
      <c r="B563" t="inlineStr">
        <is>
          <t>phrase_these</t>
        </is>
      </c>
      <c r="C563" t="inlineStr">
        <is>
          <t>fr</t>
        </is>
      </c>
      <c r="D563"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3" t="inlineStr">
        <is>
          <t>2026-10-30T15:06:37+00:00</t>
        </is>
      </c>
      <c r="F563" t="inlineStr">
        <is>
          <t>{"Keyword": "agence e-commerce", "Search Volume": "1900", "CPC": "4.46", "Competition": "0.16", "Number of Results": "10", "Trends": "0.79,1.00,0.79,1.00,0.79,1.00,1.00,0.79,0.79,0.79,0.41,0.41", "Intent": "0", "Keyword Difficulty Index": "36"}</t>
        </is>
      </c>
      <c r="G563" t="inlineStr">
        <is>
          <t>Raw (Semrush)</t>
        </is>
      </c>
    </row>
    <row r="564">
      <c r="A564" t="inlineStr">
        <is>
          <t>val-fr-0</t>
        </is>
      </c>
      <c r="B564" t="inlineStr">
        <is>
          <t>phrase_these</t>
        </is>
      </c>
      <c r="C564" t="inlineStr">
        <is>
          <t>fr</t>
        </is>
      </c>
      <c r="D564"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4" t="inlineStr">
        <is>
          <t>2026-10-30T15:06:37+00:00</t>
        </is>
      </c>
      <c r="F564" t="inlineStr">
        <is>
          <t>{"Keyword": "agence edtech", "Search Volume": "0", "CPC": "0", "Competition": "0", "Number of Results": "0", "Trends": "0.00,0.00,0.00,0.00,0.00,0.00,0.00,0.00,0.00,0.00,0.00,0.00", "Intent": "", "Keyword Difficulty Index": "0"}</t>
        </is>
      </c>
      <c r="G564" t="inlineStr">
        <is>
          <t>Raw (Semrush)</t>
        </is>
      </c>
    </row>
    <row r="565">
      <c r="A565" t="inlineStr">
        <is>
          <t>val-fr-0</t>
        </is>
      </c>
      <c r="B565" t="inlineStr">
        <is>
          <t>phrase_these</t>
        </is>
      </c>
      <c r="C565" t="inlineStr">
        <is>
          <t>fr</t>
        </is>
      </c>
      <c r="D565"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5" t="inlineStr">
        <is>
          <t>2026-10-30T15:06:37+00:00</t>
        </is>
      </c>
      <c r="F565" t="inlineStr">
        <is>
          <t>{"Keyword": "agence fintech", "Search Volume": "20", "CPC": "0", "Competition": "0", "Number of Results": "0", "Trends": "0.66,0.66,0.66,0.00,0.00,0.66,0.66,0.66,0.66,0.66,0.66,0.66", "Intent": "", "Keyword Difficulty Index": "0"}</t>
        </is>
      </c>
      <c r="G565" t="inlineStr">
        <is>
          <t>Raw (Semrush)</t>
        </is>
      </c>
    </row>
    <row r="566">
      <c r="A566" t="inlineStr">
        <is>
          <t>val-fr-0</t>
        </is>
      </c>
      <c r="B566" t="inlineStr">
        <is>
          <t>phrase_these</t>
        </is>
      </c>
      <c r="C566" t="inlineStr">
        <is>
          <t>fr</t>
        </is>
      </c>
      <c r="D566"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6" t="inlineStr">
        <is>
          <t>2026-10-30T15:06:37+00:00</t>
        </is>
      </c>
      <c r="F566" t="inlineStr">
        <is>
          <t>{"Keyword": "agence saas", "Search Volume": "320", "CPC": "7.18", "Competition": "0.16", "Number of Results": "132", "Trends": "0.66,0.66,0.82,0.43,0.82,1.00,1.00,1.00,1.00,1.00,0.28,0.28", "Intent": "1", "Keyword Difficulty Index": "16"}</t>
        </is>
      </c>
      <c r="G566" t="inlineStr">
        <is>
          <t>Raw (Semrush)</t>
        </is>
      </c>
    </row>
    <row r="567">
      <c r="A567" t="inlineStr">
        <is>
          <t>val-fr-0</t>
        </is>
      </c>
      <c r="B567" t="inlineStr">
        <is>
          <t>phrase_these</t>
        </is>
      </c>
      <c r="C567" t="inlineStr">
        <is>
          <t>fr</t>
        </is>
      </c>
      <c r="D567"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7" t="inlineStr">
        <is>
          <t>2026-10-30T15:06:37+00:00</t>
        </is>
      </c>
      <c r="F567" t="inlineStr">
        <is>
          <t>{"Keyword": "agence seo", "Search Volume": "60500", "CPC": "9.67", "Competition": "0.24", "Number of Results": "10", "Trends": "0.24,0.20,0.20,0.16,0.13,0.13,0.13,0.16,0.81,1.00,1.00,0.01", "Intent": "0", "Keyword Difficulty Index": "61"}</t>
        </is>
      </c>
      <c r="G567" t="inlineStr">
        <is>
          <t>Raw (Semrush)</t>
        </is>
      </c>
    </row>
    <row r="568">
      <c r="A568" t="inlineStr">
        <is>
          <t>val-fr-0</t>
        </is>
      </c>
      <c r="B568" t="inlineStr">
        <is>
          <t>phrase_these</t>
        </is>
      </c>
      <c r="C568" t="inlineStr">
        <is>
          <t>fr</t>
        </is>
      </c>
      <c r="D568"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8" t="inlineStr">
        <is>
          <t>2026-10-30T15:06:37+00:00</t>
        </is>
      </c>
      <c r="F568" t="inlineStr">
        <is>
          <t>{"Keyword": "agence seo maroc", "Search Volume": "90", "CPC": "0", "Competition": "0.33", "Number of Results": "51", "Trends": "0.23,0.12,0.17,0.17,0.17,0.23,0.23,0.43,0.10,0.10,0.12,0.17", "Intent": "0", "Keyword Difficulty Index": "25"}</t>
        </is>
      </c>
      <c r="G568" t="inlineStr">
        <is>
          <t>Raw (Semrush)</t>
        </is>
      </c>
    </row>
    <row r="569">
      <c r="A569" t="inlineStr">
        <is>
          <t>val-fr-0</t>
        </is>
      </c>
      <c r="B569" t="inlineStr">
        <is>
          <t>phrase_these</t>
        </is>
      </c>
      <c r="C569" t="inlineStr">
        <is>
          <t>fr</t>
        </is>
      </c>
      <c r="D569"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69" t="inlineStr">
        <is>
          <t>2026-10-30T15:06:37+00:00</t>
        </is>
      </c>
      <c r="F569" t="inlineStr">
        <is>
          <t>{"Keyword": "agence web", "Search Volume": "14800", "CPC": "2.79", "Competition": "0.28", "Number of Results": "10", "Trends": "0.81,0.81,0.54,0.66,0.66,0.66,0.54,0.54,0.66,0.54,0.54,0.54", "Intent": "0", "Keyword Difficulty Index": "63"}</t>
        </is>
      </c>
      <c r="G569" t="inlineStr">
        <is>
          <t>Raw (Semrush)</t>
        </is>
      </c>
    </row>
    <row r="570">
      <c r="A570" t="inlineStr">
        <is>
          <t>val-fr-0</t>
        </is>
      </c>
      <c r="B570" t="inlineStr">
        <is>
          <t>phrase_these</t>
        </is>
      </c>
      <c r="C570" t="inlineStr">
        <is>
          <t>fr</t>
        </is>
      </c>
      <c r="D570"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0" t="inlineStr">
        <is>
          <t>2026-10-30T15:06:37+00:00</t>
        </is>
      </c>
      <c r="F570" t="inlineStr">
        <is>
          <t>{"Keyword": "agence web amsterdam", "Search Volume": "0", "CPC": "0", "Competition": "0", "Number of Results": "0", "Trends": "0.00,0.00,0.00,0.00,0.00,0.00,0.00,0.00,0.00,0.00,0.00,0.00", "Intent": "", "Keyword Difficulty Index": "0"}</t>
        </is>
      </c>
      <c r="G570" t="inlineStr">
        <is>
          <t>Raw (Semrush)</t>
        </is>
      </c>
    </row>
    <row r="571">
      <c r="A571" t="inlineStr">
        <is>
          <t>val-fr-0</t>
        </is>
      </c>
      <c r="B571" t="inlineStr">
        <is>
          <t>phrase_these</t>
        </is>
      </c>
      <c r="C571" t="inlineStr">
        <is>
          <t>fr</t>
        </is>
      </c>
      <c r="D571"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1" t="inlineStr">
        <is>
          <t>2026-10-30T15:06:37+00:00</t>
        </is>
      </c>
      <c r="F571" t="inlineStr">
        <is>
          <t>{"Keyword": "agence web barcelone", "Search Volume": "50", "CPC": "0", "Competition": "0.71", "Number of Results": "0", "Trends": "0.44,0.33,0.77,0.77,1.00,1.00,0.77,0.77,0.55,0.44,0.33,0.33", "Intent": "", "Keyword Difficulty Index": "0"}</t>
        </is>
      </c>
      <c r="G571" t="inlineStr">
        <is>
          <t>Raw (Semrush)</t>
        </is>
      </c>
    </row>
    <row r="572">
      <c r="A572" t="inlineStr">
        <is>
          <t>val-fr-0</t>
        </is>
      </c>
      <c r="B572" t="inlineStr">
        <is>
          <t>phrase_these</t>
        </is>
      </c>
      <c r="C572" t="inlineStr">
        <is>
          <t>fr</t>
        </is>
      </c>
      <c r="D572"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2" t="inlineStr">
        <is>
          <t>2026-10-30T15:06:37+00:00</t>
        </is>
      </c>
      <c r="F572" t="inlineStr">
        <is>
          <t>{"Keyword": "agence web bruxelles", "Search Volume": "260", "CPC": "2.22", "Competition": "0.08", "Number of Results": "97", "Trends": "0.53,0.43,0.53,0.66,0.82,0.82,1.00,0.66,0.66,1.00,1.00,0.28", "Intent": "0", "Keyword Difficulty Index": "44"}</t>
        </is>
      </c>
      <c r="G572" t="inlineStr">
        <is>
          <t>Raw (Semrush)</t>
        </is>
      </c>
    </row>
    <row r="573">
      <c r="A573" t="inlineStr">
        <is>
          <t>val-fr-0</t>
        </is>
      </c>
      <c r="B573" t="inlineStr">
        <is>
          <t>phrase_these</t>
        </is>
      </c>
      <c r="C573" t="inlineStr">
        <is>
          <t>fr</t>
        </is>
      </c>
      <c r="D573"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3" t="inlineStr">
        <is>
          <t>2026-10-30T15:06:37+00:00</t>
        </is>
      </c>
      <c r="F573" t="inlineStr">
        <is>
          <t>{"Keyword": "agence web dubai", "Search Volume": "20", "CPC": "0", "Competition": "0.33", "Number of Results": "0", "Trends": "0.23,0.11,0.11,0.11,0.11,0.11,0.11,0.11,0.11,0.11,0.11,0.11", "Intent": "", "Keyword Difficulty Index": "0"}</t>
        </is>
      </c>
      <c r="G573" t="inlineStr">
        <is>
          <t>Raw (Semrush)</t>
        </is>
      </c>
    </row>
    <row r="574">
      <c r="A574" t="inlineStr">
        <is>
          <t>val-fr-0</t>
        </is>
      </c>
      <c r="B574" t="inlineStr">
        <is>
          <t>phrase_these</t>
        </is>
      </c>
      <c r="C574" t="inlineStr">
        <is>
          <t>fr</t>
        </is>
      </c>
      <c r="D574"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4" t="inlineStr">
        <is>
          <t>2026-10-30T15:06:37+00:00</t>
        </is>
      </c>
      <c r="F574" t="inlineStr">
        <is>
          <t>{"Keyword": "agence web dublin", "Search Volume": "0", "CPC": "0", "Competition": "0", "Number of Results": "0", "Trends": "0.00,0.00,0.00,0.00,0.00,0.00,0.00,0.00,0.00,0.00,0.00,0.00", "Intent": "", "Keyword Difficulty Index": "0"}</t>
        </is>
      </c>
      <c r="G574" t="inlineStr">
        <is>
          <t>Raw (Semrush)</t>
        </is>
      </c>
    </row>
    <row r="575">
      <c r="A575" t="inlineStr">
        <is>
          <t>val-fr-0</t>
        </is>
      </c>
      <c r="B575" t="inlineStr">
        <is>
          <t>phrase_these</t>
        </is>
      </c>
      <c r="C575" t="inlineStr">
        <is>
          <t>fr</t>
        </is>
      </c>
      <c r="D575"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5" t="inlineStr">
        <is>
          <t>2026-10-30T15:06:37+00:00</t>
        </is>
      </c>
      <c r="F575" t="inlineStr">
        <is>
          <t>{"Keyword": "agence web immobilier", "Search Volume": "260", "CPC": "0", "Competition": "0.33", "Number of Results": "139", "Trends": "0.43,0.53,0.66,0.66,0.66,0.82,1.00,1.00,0.82,0.82,0.28,0.28", "Intent": "0", "Keyword Difficulty Index": "29"}</t>
        </is>
      </c>
      <c r="G575" t="inlineStr">
        <is>
          <t>Raw (Semrush)</t>
        </is>
      </c>
    </row>
    <row r="576">
      <c r="A576" t="inlineStr">
        <is>
          <t>val-fr-0</t>
        </is>
      </c>
      <c r="B576" t="inlineStr">
        <is>
          <t>phrase_these</t>
        </is>
      </c>
      <c r="C576" t="inlineStr">
        <is>
          <t>fr</t>
        </is>
      </c>
      <c r="D576"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6" t="inlineStr">
        <is>
          <t>2026-10-30T15:06:37+00:00</t>
        </is>
      </c>
      <c r="F576" t="inlineStr">
        <is>
          <t>{"Keyword": "agence web lisbonne", "Search Volume": "20", "CPC": "0", "Competition": "0", "Number of Results": "0", "Trends": "1.00,0.77,0.11,0.11,0.11,0.11,0.11,0.11,0.11,0.11,0.11,0.11", "Intent": "", "Keyword Difficulty Index": "0"}</t>
        </is>
      </c>
      <c r="G576" t="inlineStr">
        <is>
          <t>Raw (Semrush)</t>
        </is>
      </c>
    </row>
    <row r="577">
      <c r="A577" t="inlineStr">
        <is>
          <t>val-fr-0</t>
        </is>
      </c>
      <c r="B577" t="inlineStr">
        <is>
          <t>phrase_these</t>
        </is>
      </c>
      <c r="C577" t="inlineStr">
        <is>
          <t>fr</t>
        </is>
      </c>
      <c r="D577"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7" t="inlineStr">
        <is>
          <t>2026-10-30T15:06:37+00:00</t>
        </is>
      </c>
      <c r="F577" t="inlineStr">
        <is>
          <t>{"Keyword": "agence web londres", "Search Volume": "20", "CPC": "0", "Competition": "0", "Number of Results": "0", "Trends": "0.57,0.57,0.28,0.28,0.00,0.28,0.28,0.28,0.28,0.28,0.28,0.28", "Intent": "", "Keyword Difficulty Index": "0"}</t>
        </is>
      </c>
      <c r="G577" t="inlineStr">
        <is>
          <t>Raw (Semrush)</t>
        </is>
      </c>
    </row>
    <row r="578">
      <c r="A578" t="inlineStr">
        <is>
          <t>val-fr-0</t>
        </is>
      </c>
      <c r="B578" t="inlineStr">
        <is>
          <t>phrase_these</t>
        </is>
      </c>
      <c r="C578" t="inlineStr">
        <is>
          <t>fr</t>
        </is>
      </c>
      <c r="D578"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8" t="inlineStr">
        <is>
          <t>2026-10-30T15:06:37+00:00</t>
        </is>
      </c>
      <c r="F578" t="inlineStr">
        <is>
          <t>{"Keyword": "agence web los angeles", "Search Volume": "0", "CPC": "0", "Competition": "0", "Number of Results": "0", "Trends": "0.00,0.00,0.00,0.00,0.00,0.00,0.00,0.00,0.00,0.00,0.00,0.00", "Intent": "", "Keyword Difficulty Index": "0"}</t>
        </is>
      </c>
      <c r="G578" t="inlineStr">
        <is>
          <t>Raw (Semrush)</t>
        </is>
      </c>
    </row>
    <row r="579">
      <c r="A579" t="inlineStr">
        <is>
          <t>val-fr-0</t>
        </is>
      </c>
      <c r="B579" t="inlineStr">
        <is>
          <t>phrase_these</t>
        </is>
      </c>
      <c r="C579" t="inlineStr">
        <is>
          <t>fr</t>
        </is>
      </c>
      <c r="D579"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79" t="inlineStr">
        <is>
          <t>2026-10-30T15:06:37+00:00</t>
        </is>
      </c>
      <c r="F579" t="inlineStr">
        <is>
          <t>{"Keyword": "agence web lyon", "Search Volume": "2900", "CPC": "2.87", "Competition": "0.35", "Number of Results": "10", "Trends": "0.81,0.65,0.54,0.65,0.65,0.65,0.65,0.65,0.81,0.65,0.81,0.81", "Intent": "0", "Keyword Difficulty Index": "27"}</t>
        </is>
      </c>
      <c r="G579" t="inlineStr">
        <is>
          <t>Raw (Semrush)</t>
        </is>
      </c>
    </row>
    <row r="580">
      <c r="A580" t="inlineStr">
        <is>
          <t>val-fr-0</t>
        </is>
      </c>
      <c r="B580" t="inlineStr">
        <is>
          <t>phrase_these</t>
        </is>
      </c>
      <c r="C580" t="inlineStr">
        <is>
          <t>fr</t>
        </is>
      </c>
      <c r="D580"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0" t="inlineStr">
        <is>
          <t>2026-10-30T15:06:37+00:00</t>
        </is>
      </c>
      <c r="F580" t="inlineStr">
        <is>
          <t>{"Keyword": "agence web maroc", "Search Volume": "110", "CPC": "2.35", "Competition": "0.13", "Number of Results": "93", "Trends": "1.00,0.52,0.33,0.33,0.33,0.33,0.52,1.00,0.80,0.52,0.42,0.23", "Intent": "0", "Keyword Difficulty Index": "59"}</t>
        </is>
      </c>
      <c r="G580" t="inlineStr">
        <is>
          <t>Raw (Semrush)</t>
        </is>
      </c>
    </row>
    <row r="581">
      <c r="A581" t="inlineStr">
        <is>
          <t>val-fr-0</t>
        </is>
      </c>
      <c r="B581" t="inlineStr">
        <is>
          <t>phrase_these</t>
        </is>
      </c>
      <c r="C581" t="inlineStr">
        <is>
          <t>fr</t>
        </is>
      </c>
      <c r="D581"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1" t="inlineStr">
        <is>
          <t>2026-10-30T15:06:37+00:00</t>
        </is>
      </c>
      <c r="F581" t="inlineStr">
        <is>
          <t>{"Keyword": "agence web marseille", "Search Volume": "2400", "CPC": "3.37", "Competition": "0.3", "Number of Results": "107", "Trends": "0.82,0.82,0.65,0.82,1.00,1.00,1.00,1.00,1.00,1.00,1.00,0.65", "Intent": "0", "Keyword Difficulty Index": "37"}</t>
        </is>
      </c>
      <c r="G581" t="inlineStr">
        <is>
          <t>Raw (Semrush)</t>
        </is>
      </c>
    </row>
    <row r="582">
      <c r="A582" t="inlineStr">
        <is>
          <t>val-fr-0</t>
        </is>
      </c>
      <c r="B582" t="inlineStr">
        <is>
          <t>phrase_these</t>
        </is>
      </c>
      <c r="C582" t="inlineStr">
        <is>
          <t>fr</t>
        </is>
      </c>
      <c r="D582"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2" t="inlineStr">
        <is>
          <t>2026-10-30T15:06:37+00:00</t>
        </is>
      </c>
      <c r="F582" t="inlineStr">
        <is>
          <t>{"Keyword": "agence web new york", "Search Volume": "20", "CPC": "0", "Competition": "0.29", "Number of Results": "0", "Trends": "0.23,0.29,0.11,0.11,0.11,0.11,0.11,0.11,0.11,0.11,0.11,0.11", "Intent": "", "Keyword Difficulty Index": "0"}</t>
        </is>
      </c>
      <c r="G582" t="inlineStr">
        <is>
          <t>Raw (Semrush)</t>
        </is>
      </c>
    </row>
    <row r="583">
      <c r="A583" t="inlineStr">
        <is>
          <t>val-fr-0</t>
        </is>
      </c>
      <c r="B583" t="inlineStr">
        <is>
          <t>phrase_these</t>
        </is>
      </c>
      <c r="C583" t="inlineStr">
        <is>
          <t>fr</t>
        </is>
      </c>
      <c r="D583"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3" t="inlineStr">
        <is>
          <t>2026-10-30T15:06:37+00:00</t>
        </is>
      </c>
      <c r="F583" t="inlineStr">
        <is>
          <t>{"Keyword": "agence web offshore", "Search Volume": "480", "CPC": "0", "Competition": "0.22", "Number of Results": "8", "Trends": "0.67,0.54,0.44,0.44,0.44,0.54,0.67,0.67,0.54,0.54,0.12,0.12", "Intent": "1", "Keyword Difficulty Index": "19"}</t>
        </is>
      </c>
      <c r="G583" t="inlineStr">
        <is>
          <t>Raw (Semrush)</t>
        </is>
      </c>
    </row>
    <row r="584">
      <c r="A584" t="inlineStr">
        <is>
          <t>val-fr-0</t>
        </is>
      </c>
      <c r="B584" t="inlineStr">
        <is>
          <t>phrase_these</t>
        </is>
      </c>
      <c r="C584" t="inlineStr">
        <is>
          <t>fr</t>
        </is>
      </c>
      <c r="D584"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4" t="inlineStr">
        <is>
          <t>2026-10-30T15:06:37+00:00</t>
        </is>
      </c>
      <c r="F584" t="inlineStr">
        <is>
          <t>{"Keyword": "agence web offshore maroc", "Search Volume": "20", "CPC": "0", "Competition": "0.33", "Number of Results": "0", "Trends": "0.18,0.09,0.09,0.18,0.18,0.18,0.18,0.27,0.18,0.18,0.18,0.18", "Intent": "", "Keyword Difficulty Index": "0"}</t>
        </is>
      </c>
      <c r="G584" t="inlineStr">
        <is>
          <t>Raw (Semrush)</t>
        </is>
      </c>
    </row>
    <row r="585">
      <c r="A585" t="inlineStr">
        <is>
          <t>val-fr-0</t>
        </is>
      </c>
      <c r="B585" t="inlineStr">
        <is>
          <t>phrase_these</t>
        </is>
      </c>
      <c r="C585" t="inlineStr">
        <is>
          <t>fr</t>
        </is>
      </c>
      <c r="D585"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5" t="inlineStr">
        <is>
          <t>2026-10-30T15:06:37+00:00</t>
        </is>
      </c>
      <c r="F585" t="inlineStr">
        <is>
          <t>{"Keyword": "agence web paris", "Search Volume": "3600", "CPC": "2.99", "Competition": "0.3", "Number of Results": "10", "Trends": "0.29,0.36,0.36,0.36,0.36,0.36,0.36,0.36,0.44,0.36,0.36,0.36", "Intent": "", "Keyword Difficulty Index": "36"}</t>
        </is>
      </c>
      <c r="G585" t="inlineStr">
        <is>
          <t>Raw (Semrush)</t>
        </is>
      </c>
    </row>
    <row r="586">
      <c r="A586" t="inlineStr">
        <is>
          <t>val-fr-0</t>
        </is>
      </c>
      <c r="B586" t="inlineStr">
        <is>
          <t>phrase_these</t>
        </is>
      </c>
      <c r="C586" t="inlineStr">
        <is>
          <t>fr</t>
        </is>
      </c>
      <c r="D586"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6" t="inlineStr">
        <is>
          <t>2026-10-30T15:06:37+00:00</t>
        </is>
      </c>
      <c r="F586" t="inlineStr">
        <is>
          <t>{"Keyword": "agence web pas cher", "Search Volume": "110", "CPC": "0", "Competition": "0.19", "Number of Results": "134", "Trends": "0.82,0.82,0.64,0.52,0.64,0.52,0.41,0.41,0.52,0.82,0.64,0.64", "Intent": "0", "Keyword Difficulty Index": "16"}</t>
        </is>
      </c>
      <c r="G586" t="inlineStr">
        <is>
          <t>Raw (Semrush)</t>
        </is>
      </c>
    </row>
    <row r="587">
      <c r="A587" t="inlineStr">
        <is>
          <t>val-fr-0</t>
        </is>
      </c>
      <c r="B587" t="inlineStr">
        <is>
          <t>phrase_these</t>
        </is>
      </c>
      <c r="C587" t="inlineStr">
        <is>
          <t>fr</t>
        </is>
      </c>
      <c r="D587"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7" t="inlineStr">
        <is>
          <t>2026-10-30T15:06:37+00:00</t>
        </is>
      </c>
      <c r="F587" t="inlineStr">
        <is>
          <t>{"Keyword": "agence web san francisco", "Search Volume": "0", "CPC": "0", "Competition": "0", "Number of Results": "0", "Trends": "0.00,0.00,0.00,0.00,0.00,0.00,0.00,0.00,0.00,0.00,0.00,0.00", "Intent": "", "Keyword Difficulty Index": "0"}</t>
        </is>
      </c>
      <c r="G587" t="inlineStr">
        <is>
          <t>Raw (Semrush)</t>
        </is>
      </c>
    </row>
    <row r="588">
      <c r="A588" t="inlineStr">
        <is>
          <t>val-fr-0</t>
        </is>
      </c>
      <c r="B588" t="inlineStr">
        <is>
          <t>phrase_these</t>
        </is>
      </c>
      <c r="C588" t="inlineStr">
        <is>
          <t>fr</t>
        </is>
      </c>
      <c r="D588"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8" t="inlineStr">
        <is>
          <t>2026-10-30T15:06:37+00:00</t>
        </is>
      </c>
      <c r="F588" t="inlineStr">
        <is>
          <t>{"Keyword": "agence web santé", "Search Volume": "590", "CPC": "2.76", "Competition": "0.05", "Number of Results": "131", "Trends": "0.54,0.54,0.54,0.81,0.67,0.81,0.81,1.00,1.00,1.00,1.00,0.12", "Intent": "1", "Keyword Difficulty Index": "28"}</t>
        </is>
      </c>
      <c r="G588" t="inlineStr">
        <is>
          <t>Raw (Semrush)</t>
        </is>
      </c>
    </row>
    <row r="589">
      <c r="A589" t="inlineStr">
        <is>
          <t>val-fr-0</t>
        </is>
      </c>
      <c r="B589" t="inlineStr">
        <is>
          <t>phrase_these</t>
        </is>
      </c>
      <c r="C589" t="inlineStr">
        <is>
          <t>fr</t>
        </is>
      </c>
      <c r="D589"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89" t="inlineStr">
        <is>
          <t>2026-10-30T15:06:37+00:00</t>
        </is>
      </c>
      <c r="F589" t="inlineStr">
        <is>
          <t>{"Keyword": "agence web toronto", "Search Volume": "0", "CPC": "2.36", "Competition": "0.39", "Number of Results": "0", "Trends": "0.00,0.00,0.00,0.00,0.00,0.00,1.00,0.00,0.00,0.00,0.00,0.00", "Intent": "", "Keyword Difficulty Index": "0"}</t>
        </is>
      </c>
      <c r="G589" t="inlineStr">
        <is>
          <t>Raw (Semrush)</t>
        </is>
      </c>
    </row>
    <row r="590">
      <c r="A590" t="inlineStr">
        <is>
          <t>val-fr-0</t>
        </is>
      </c>
      <c r="B590" t="inlineStr">
        <is>
          <t>phrase_these</t>
        </is>
      </c>
      <c r="C590" t="inlineStr">
        <is>
          <t>fr</t>
        </is>
      </c>
      <c r="D590"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0" t="inlineStr">
        <is>
          <t>2026-10-30T15:06:37+00:00</t>
        </is>
      </c>
      <c r="F590" t="inlineStr">
        <is>
          <t>{"Keyword": "agence web toulouse", "Search Volume": "1900", "CPC": "2.42", "Competition": "0.27", "Number of Results": "10", "Trends": "0.65,0.55,0.65,0.55,0.55,0.65,0.65,0.65,0.55,0.65,0.55,0.65", "Intent": "0", "Keyword Difficulty Index": "32"}</t>
        </is>
      </c>
      <c r="G590" t="inlineStr">
        <is>
          <t>Raw (Semrush)</t>
        </is>
      </c>
    </row>
    <row r="591">
      <c r="A591" t="inlineStr">
        <is>
          <t>val-fr-0</t>
        </is>
      </c>
      <c r="B591" t="inlineStr">
        <is>
          <t>phrase_these</t>
        </is>
      </c>
      <c r="C591" t="inlineStr">
        <is>
          <t>fr</t>
        </is>
      </c>
      <c r="D591"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1" t="inlineStr">
        <is>
          <t>2026-10-30T15:06:37+00:00</t>
        </is>
      </c>
      <c r="F591" t="inlineStr">
        <is>
          <t>{"Keyword": "agence web tunis", "Search Volume": "20", "CPC": "0", "Competition": "0.33", "Number of Results": "0", "Trends": "1.00,1.00,1.00,1.00,1.00,1.00,1.00,1.00,1.00,1.00,1.00,1.00", "Intent": "", "Keyword Difficulty Index": "0"}</t>
        </is>
      </c>
      <c r="G591" t="inlineStr">
        <is>
          <t>Raw (Semrush)</t>
        </is>
      </c>
    </row>
    <row r="592">
      <c r="A592" t="inlineStr">
        <is>
          <t>val-fr-0</t>
        </is>
      </c>
      <c r="B592" t="inlineStr">
        <is>
          <t>phrase_these</t>
        </is>
      </c>
      <c r="C592" t="inlineStr">
        <is>
          <t>fr</t>
        </is>
      </c>
      <c r="D592"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2" t="inlineStr">
        <is>
          <t>2026-10-30T15:06:37+00:00</t>
        </is>
      </c>
      <c r="F592" t="inlineStr">
        <is>
          <t>{"Keyword": "agence web zurich", "Search Volume": "50", "CPC": "0", "Competition": "0", "Number of Results": "0", "Trends": "0.00,0.00,0.00,0.45,0.81,0.27,0.36,0.36,1.00,0.81,0.63,0.63", "Intent": "", "Keyword Difficulty Index": "0"}</t>
        </is>
      </c>
      <c r="G592" t="inlineStr">
        <is>
          <t>Raw (Semrush)</t>
        </is>
      </c>
    </row>
    <row r="593">
      <c r="A593" t="inlineStr">
        <is>
          <t>val-fr-0</t>
        </is>
      </c>
      <c r="B593" t="inlineStr">
        <is>
          <t>phrase_these</t>
        </is>
      </c>
      <c r="C593" t="inlineStr">
        <is>
          <t>fr</t>
        </is>
      </c>
      <c r="D593"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3" t="inlineStr">
        <is>
          <t>2026-10-30T15:06:37+00:00</t>
        </is>
      </c>
      <c r="F593" t="inlineStr">
        <is>
          <t>{"Keyword": "alt image seo", "Search Volume": "20", "CPC": "0", "Competition": "0.33", "Number of Results": "0", "Trends": "0.07,0.07,0.07,0.07,0.07,0.07,0.07,0.07,0.07,0.07,0.07,0.07", "Intent": "", "Keyword Difficulty Index": "0"}</t>
        </is>
      </c>
      <c r="G593" t="inlineStr">
        <is>
          <t>Raw (Semrush)</t>
        </is>
      </c>
    </row>
    <row r="594">
      <c r="A594" t="inlineStr">
        <is>
          <t>val-fr-0</t>
        </is>
      </c>
      <c r="B594" t="inlineStr">
        <is>
          <t>phrase_these</t>
        </is>
      </c>
      <c r="C594" t="inlineStr">
        <is>
          <t>fr</t>
        </is>
      </c>
      <c r="D594"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4" t="inlineStr">
        <is>
          <t>2026-10-30T15:06:37+00:00</t>
        </is>
      </c>
      <c r="F594" t="inlineStr">
        <is>
          <t>{"Keyword": "analyse fréquence mots", "Search Volume": "0", "CPC": "0", "Competition": "0", "Number of Results": "0", "Trends": "0.00,0.00,0.00,0.00,0.00,0.00,0.00,0.00,0.00,0.00,0.00,0.00", "Intent": "", "Keyword Difficulty Index": "0"}</t>
        </is>
      </c>
      <c r="G594" t="inlineStr">
        <is>
          <t>Raw (Semrush)</t>
        </is>
      </c>
    </row>
    <row r="595">
      <c r="A595" t="inlineStr">
        <is>
          <t>val-fr-0</t>
        </is>
      </c>
      <c r="B595" t="inlineStr">
        <is>
          <t>phrase_these</t>
        </is>
      </c>
      <c r="C595" t="inlineStr">
        <is>
          <t>fr</t>
        </is>
      </c>
      <c r="D595"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5" t="inlineStr">
        <is>
          <t>2026-10-30T15:06:37+00:00</t>
        </is>
      </c>
      <c r="F595" t="inlineStr">
        <is>
          <t>{"Keyword": "analyse maillage interne", "Search Volume": "140", "CPC": "0", "Competition": "0.02", "Number of Results": "127", "Trends": "0.82,1.00,0.82,1.00,1.00,1.00,0.82,0.82,1.00,1.00,0.64,0.64", "Intent": "1", "Keyword Difficulty Index": "18"}</t>
        </is>
      </c>
      <c r="G595" t="inlineStr">
        <is>
          <t>Raw (Semrush)</t>
        </is>
      </c>
    </row>
    <row r="596">
      <c r="A596" t="inlineStr">
        <is>
          <t>val-fr-0</t>
        </is>
      </c>
      <c r="B596" t="inlineStr">
        <is>
          <t>phrase_these</t>
        </is>
      </c>
      <c r="C596" t="inlineStr">
        <is>
          <t>fr</t>
        </is>
      </c>
      <c r="D596"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6" t="inlineStr">
        <is>
          <t>2026-10-30T15:06:37+00:00</t>
        </is>
      </c>
      <c r="F596" t="inlineStr">
        <is>
          <t>{"Keyword": "analyse seo gratuit", "Search Volume": "590", "CPC": "2.22", "Competition": "0.67", "Number of Results": "129", "Trends": "0.81,0.81,1.00,0.81,0.81,0.81,0.66,0.66,0.81,1.00,0.66,0.54", "Intent": "0", "Keyword Difficulty Index": "32"}</t>
        </is>
      </c>
      <c r="G596" t="inlineStr">
        <is>
          <t>Raw (Semrush)</t>
        </is>
      </c>
    </row>
    <row r="597">
      <c r="A597" t="inlineStr">
        <is>
          <t>val-fr-0</t>
        </is>
      </c>
      <c r="B597" t="inlineStr">
        <is>
          <t>phrase_these</t>
        </is>
      </c>
      <c r="C597" t="inlineStr">
        <is>
          <t>fr</t>
        </is>
      </c>
      <c r="D597"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7" t="inlineStr">
        <is>
          <t>2026-10-30T15:06:37+00:00</t>
        </is>
      </c>
      <c r="F597" t="inlineStr">
        <is>
          <t>{"Keyword": "analyse site web gratuit", "Search Volume": "880", "CPC": "1.77", "Competition": "0.48", "Number of Results": "10", "Trends": "0.88,1.00,0.88,0.72,0.59,0.72,0.88,1.00,0.88,1.00,0.72,0.88", "Intent": "1", "Keyword Difficulty Index": "37"}</t>
        </is>
      </c>
      <c r="G597" t="inlineStr">
        <is>
          <t>Raw (Semrush)</t>
        </is>
      </c>
    </row>
    <row r="598">
      <c r="A598" t="inlineStr">
        <is>
          <t>val-fr-0</t>
        </is>
      </c>
      <c r="B598" t="inlineStr">
        <is>
          <t>phrase_these</t>
        </is>
      </c>
      <c r="C598" t="inlineStr">
        <is>
          <t>fr</t>
        </is>
      </c>
      <c r="D598"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8" t="inlineStr">
        <is>
          <t>2026-10-30T15:06:37+00:00</t>
        </is>
      </c>
      <c r="F598" t="inlineStr">
        <is>
          <t>{"Keyword": "analyser mon site web", "Search Volume": "260", "CPC": "1.66", "Competition": "0.37", "Number of Results": "130", "Trends": "1.00,0.65,0.81,0.81,0.81,0.81,0.81,0.65,0.53,1.00,0.34,0.34", "Intent": "1", "Keyword Difficulty Index": "43"}</t>
        </is>
      </c>
      <c r="G598" t="inlineStr">
        <is>
          <t>Raw (Semrush)</t>
        </is>
      </c>
    </row>
    <row r="599">
      <c r="A599" t="inlineStr">
        <is>
          <t>val-fr-0</t>
        </is>
      </c>
      <c r="B599" t="inlineStr">
        <is>
          <t>phrase_these</t>
        </is>
      </c>
      <c r="C599" t="inlineStr">
        <is>
          <t>fr</t>
        </is>
      </c>
      <c r="D599"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599" t="inlineStr">
        <is>
          <t>2026-10-30T15:06:37+00:00</t>
        </is>
      </c>
      <c r="F599" t="inlineStr">
        <is>
          <t>{"Keyword": "analyseur site web", "Search Volume": "260", "CPC": "2.15", "Competition": "0.58", "Number of Results": "138", "Trends": "1.00,0.81,0.81,0.65,1.00,0.65,0.81,0.65,0.65,1.00,1.00,0.81", "Intent": "1", "Keyword Difficulty Index": "43"}</t>
        </is>
      </c>
      <c r="G599" t="inlineStr">
        <is>
          <t>Raw (Semrush)</t>
        </is>
      </c>
    </row>
    <row r="600">
      <c r="A600" t="inlineStr">
        <is>
          <t>val-fr-0</t>
        </is>
      </c>
      <c r="B600" t="inlineStr">
        <is>
          <t>phrase_these</t>
        </is>
      </c>
      <c r="C600" t="inlineStr">
        <is>
          <t>fr</t>
        </is>
      </c>
      <c r="D600"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0" t="inlineStr">
        <is>
          <t>2026-10-30T15:06:37+00:00</t>
        </is>
      </c>
      <c r="F600" t="inlineStr">
        <is>
          <t>{"Keyword": "annonce immobilière seo", "Search Volume": "0", "CPC": "0", "Competition": "0", "Number of Results": "0", "Trends": "0.00,0.00,0.00,0.00,0.00,0.00,0.00,0.00,0.00,0.00,0.00,0.00", "Intent": "", "Keyword Difficulty Index": "0"}</t>
        </is>
      </c>
      <c r="G600" t="inlineStr">
        <is>
          <t>Raw (Semrush)</t>
        </is>
      </c>
    </row>
    <row r="601">
      <c r="A601" t="inlineStr">
        <is>
          <t>val-fr-0</t>
        </is>
      </c>
      <c r="B601" t="inlineStr">
        <is>
          <t>phrase_these</t>
        </is>
      </c>
      <c r="C601" t="inlineStr">
        <is>
          <t>fr</t>
        </is>
      </c>
      <c r="D601"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1" t="inlineStr">
        <is>
          <t>2026-10-30T15:06:37+00:00</t>
        </is>
      </c>
      <c r="F601" t="inlineStr">
        <is>
          <t>{"Keyword": "aperçu open graph", "Search Volume": "0", "CPC": "0", "Competition": "0", "Number of Results": "0", "Trends": "0.00,0.00,0.00,0.00,0.00,0.00,0.00,0.00,0.00,0.00,0.00,0.00", "Intent": "", "Keyword Difficulty Index": "0"}</t>
        </is>
      </c>
      <c r="G601" t="inlineStr">
        <is>
          <t>Raw (Semrush)</t>
        </is>
      </c>
    </row>
    <row r="602">
      <c r="A602" t="inlineStr">
        <is>
          <t>val-fr-0</t>
        </is>
      </c>
      <c r="B602" t="inlineStr">
        <is>
          <t>phrase_these</t>
        </is>
      </c>
      <c r="C602" t="inlineStr">
        <is>
          <t>fr</t>
        </is>
      </c>
      <c r="D602"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2" t="inlineStr">
        <is>
          <t>2026-10-30T15:06:37+00:00</t>
        </is>
      </c>
      <c r="F602" t="inlineStr">
        <is>
          <t>{"Keyword": "application edtech", "Search Volume": "0", "CPC": "0", "Competition": "0", "Number of Results": "0", "Trends": "0.00,0.00,0.00,0.00,0.00,0.00,0.00,0.00,0.00,0.00,0.00,0.00", "Intent": "", "Keyword Difficulty Index": "0"}</t>
        </is>
      </c>
      <c r="G602" t="inlineStr">
        <is>
          <t>Raw (Semrush)</t>
        </is>
      </c>
    </row>
    <row r="603">
      <c r="A603" t="inlineStr">
        <is>
          <t>val-fr-0</t>
        </is>
      </c>
      <c r="B603" t="inlineStr">
        <is>
          <t>phrase_these</t>
        </is>
      </c>
      <c r="C603" t="inlineStr">
        <is>
          <t>fr</t>
        </is>
      </c>
      <c r="D603"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3" t="inlineStr">
        <is>
          <t>2026-10-30T15:06:37+00:00</t>
        </is>
      </c>
      <c r="F603" t="inlineStr">
        <is>
          <t>{"Keyword": "application fintech", "Search Volume": "20", "CPC": "2.17", "Competition": "0.26", "Number of Results": "0", "Trends": "1.00,1.00,1.00,1.00,1.00,1.00,1.00,1.00,1.00,1.00,1.00,1.00", "Intent": "", "Keyword Difficulty Index": "0"}</t>
        </is>
      </c>
      <c r="G603" t="inlineStr">
        <is>
          <t>Raw (Semrush)</t>
        </is>
      </c>
    </row>
    <row r="604">
      <c r="A604" t="inlineStr">
        <is>
          <t>val-fr-0</t>
        </is>
      </c>
      <c r="B604" t="inlineStr">
        <is>
          <t>phrase_these</t>
        </is>
      </c>
      <c r="C604" t="inlineStr">
        <is>
          <t>fr</t>
        </is>
      </c>
      <c r="D604"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4" t="inlineStr">
        <is>
          <t>2026-10-30T15:06:37+00:00</t>
        </is>
      </c>
      <c r="F604" t="inlineStr">
        <is>
          <t>{"Keyword": "application télémédecine", "Search Volume": "20", "CPC": "0.9", "Competition": "0.6", "Number of Results": "0", "Trends": "0.18,0.18,0.18,0.18,0.18,0.18,0.36,0.00,0.18,0.18,0.18,0.18", "Intent": "", "Keyword Difficulty Index": "0"}</t>
        </is>
      </c>
      <c r="G604" t="inlineStr">
        <is>
          <t>Raw (Semrush)</t>
        </is>
      </c>
    </row>
    <row r="605">
      <c r="A605" t="inlineStr">
        <is>
          <t>val-fr-0</t>
        </is>
      </c>
      <c r="B605" t="inlineStr">
        <is>
          <t>phrase_these</t>
        </is>
      </c>
      <c r="C605" t="inlineStr">
        <is>
          <t>fr</t>
        </is>
      </c>
      <c r="D605"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5" t="inlineStr">
        <is>
          <t>2026-10-30T15:06:37+00:00</t>
        </is>
      </c>
      <c r="F605" t="inlineStr">
        <is>
          <t>{"Keyword": "application web sur mesure", "Search Volume": "480", "CPC": "7.38", "Competition": "0.12", "Number of Results": "10", "Trends": "1.00,0.81,0.81,0.81,0.54,0.81,0.66,0.81,0.66,1.00,0.18,0.18", "Intent": "1", "Keyword Difficulty Index": "14"}</t>
        </is>
      </c>
      <c r="G605" t="inlineStr">
        <is>
          <t>Raw (Semrush)</t>
        </is>
      </c>
    </row>
    <row r="606">
      <c r="A606" t="inlineStr">
        <is>
          <t>val-fr-0</t>
        </is>
      </c>
      <c r="B606" t="inlineStr">
        <is>
          <t>phrase_these</t>
        </is>
      </c>
      <c r="C606" t="inlineStr">
        <is>
          <t>fr</t>
        </is>
      </c>
      <c r="D606"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6" t="inlineStr">
        <is>
          <t>2026-10-30T15:06:37+00:00</t>
        </is>
      </c>
      <c r="F606" t="inlineStr">
        <is>
          <t>{"Keyword": "architecte marrakech", "Search Volume": "90", "CPC": "0", "Competition": "0.02", "Number of Results": "129", "Trends": "0.34,0.42,0.34,0.26,0.42,0.53,0.53,0.53,0.42,0.34,0.07,0.19", "Intent": "0", "Keyword Difficulty Index": "47"}</t>
        </is>
      </c>
      <c r="G606" t="inlineStr">
        <is>
          <t>Raw (Semrush)</t>
        </is>
      </c>
    </row>
    <row r="607">
      <c r="A607" t="inlineStr">
        <is>
          <t>val-fr-0</t>
        </is>
      </c>
      <c r="B607" t="inlineStr">
        <is>
          <t>phrase_these</t>
        </is>
      </c>
      <c r="C607" t="inlineStr">
        <is>
          <t>fr</t>
        </is>
      </c>
      <c r="D607"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7" t="inlineStr">
        <is>
          <t>2026-10-30T15:06:37+00:00</t>
        </is>
      </c>
      <c r="F607" t="inlineStr">
        <is>
          <t>{"Keyword": "architecture multi tenant", "Search Volume": "20", "CPC": "0", "Competition": "0.05", "Number of Results": "0", "Trends": "0.14,0.14,0.14,0.14,0.14,0.14,0.14,0.14,0.14,0.14,0.14,0.14", "Intent": "", "Keyword Difficulty Index": "0"}</t>
        </is>
      </c>
      <c r="G607" t="inlineStr">
        <is>
          <t>Raw (Semrush)</t>
        </is>
      </c>
    </row>
    <row r="608">
      <c r="A608" t="inlineStr">
        <is>
          <t>val-fr-0</t>
        </is>
      </c>
      <c r="B608" t="inlineStr">
        <is>
          <t>phrase_these</t>
        </is>
      </c>
      <c r="C608" t="inlineStr">
        <is>
          <t>fr</t>
        </is>
      </c>
      <c r="D608"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8" t="inlineStr">
        <is>
          <t>2026-10-30T15:06:37+00:00</t>
        </is>
      </c>
      <c r="F608" t="inlineStr">
        <is>
          <t>{"Keyword": "attribut alt", "Search Volume": "70", "CPC": "0", "Competition": "0.33", "Number of Results": "10", "Trends": "0.15,0.19,0.19,0.26,0.42,0.34,0.42,0.26,0.26,0.15,0.19,0.15", "Intent": "1", "Keyword Difficulty Index": "24"}</t>
        </is>
      </c>
      <c r="G608" t="inlineStr">
        <is>
          <t>Raw (Semrush)</t>
        </is>
      </c>
    </row>
    <row r="609">
      <c r="A609" t="inlineStr">
        <is>
          <t>val-fr-0</t>
        </is>
      </c>
      <c r="B609" t="inlineStr">
        <is>
          <t>phrase_these</t>
        </is>
      </c>
      <c r="C609" t="inlineStr">
        <is>
          <t>fr</t>
        </is>
      </c>
      <c r="D609"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09" t="inlineStr">
        <is>
          <t>2026-10-30T15:06:37+00:00</t>
        </is>
      </c>
      <c r="F609" t="inlineStr">
        <is>
          <t>{"Keyword": "audit seo", "Search Volume": "6600", "CPC": "3.08", "Competition": "0.41", "Number of Results": "10", "Trends": "0.66,0.66,0.81,0.66,0.81,0.66,0.66,0.66,0.54,0.54,0.66,0.81", "Intent": "1", "Keyword Difficulty Index": "44"}</t>
        </is>
      </c>
      <c r="G609" t="inlineStr">
        <is>
          <t>Raw (Semrush)</t>
        </is>
      </c>
    </row>
    <row r="610">
      <c r="A610" t="inlineStr">
        <is>
          <t>val-fr-0</t>
        </is>
      </c>
      <c r="B610" t="inlineStr">
        <is>
          <t>phrase_these</t>
        </is>
      </c>
      <c r="C610" t="inlineStr">
        <is>
          <t>fr</t>
        </is>
      </c>
      <c r="D610"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0" t="inlineStr">
        <is>
          <t>2026-10-30T15:06:37+00:00</t>
        </is>
      </c>
      <c r="F610" t="inlineStr">
        <is>
          <t>{"Keyword": "audit seo gratuit", "Search Volume": "1900", "CPC": "2.46", "Competition": "0.36", "Number of Results": "129", "Trends": "0.66,0.66,0.79,1.00,0.79,0.79,1.00,0.66,0.66,0.79,0.54,0.66", "Intent": "1", "Keyword Difficulty Index": "31"}</t>
        </is>
      </c>
      <c r="G610" t="inlineStr">
        <is>
          <t>Raw (Semrush)</t>
        </is>
      </c>
    </row>
    <row r="611">
      <c r="A611" t="inlineStr">
        <is>
          <t>val-fr-0</t>
        </is>
      </c>
      <c r="B611" t="inlineStr">
        <is>
          <t>phrase_these</t>
        </is>
      </c>
      <c r="C611" t="inlineStr">
        <is>
          <t>fr</t>
        </is>
      </c>
      <c r="D611"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1" t="inlineStr">
        <is>
          <t>2026-10-30T15:06:37+00:00</t>
        </is>
      </c>
      <c r="F611" t="inlineStr">
        <is>
          <t>{"Keyword": "audit site web", "Search Volume": "1600", "CPC": "3.31", "Competition": "0.33", "Number of Results": "10", "Trends": "1.00,0.84,1.00,1.00,0.84,1.00,0.68,0.52,0.52,0.68,0.52,0.52", "Intent": "1", "Keyword Difficulty Index": "34"}</t>
        </is>
      </c>
      <c r="G611" t="inlineStr">
        <is>
          <t>Raw (Semrush)</t>
        </is>
      </c>
    </row>
    <row r="612">
      <c r="A612" t="inlineStr">
        <is>
          <t>val-fr-0</t>
        </is>
      </c>
      <c r="B612" t="inlineStr">
        <is>
          <t>phrase_these</t>
        </is>
      </c>
      <c r="C612" t="inlineStr">
        <is>
          <t>fr</t>
        </is>
      </c>
      <c r="D612"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2" t="inlineStr">
        <is>
          <t>2026-10-30T15:06:37+00:00</t>
        </is>
      </c>
      <c r="F612" t="inlineStr">
        <is>
          <t>{"Keyword": "audit site web gratuit", "Search Volume": "480", "CPC": "2.12", "Competition": "0.43", "Number of Results": "130", "Trends": "0.66,1.00,0.81,0.54,0.54,0.66,0.81,0.44,0.66,0.81,0.66,0.66", "Intent": "0", "Keyword Difficulty Index": "38"}</t>
        </is>
      </c>
      <c r="G612" t="inlineStr">
        <is>
          <t>Raw (Semrush)</t>
        </is>
      </c>
    </row>
    <row r="613">
      <c r="A613" t="inlineStr">
        <is>
          <t>val-fr-0</t>
        </is>
      </c>
      <c r="B613" t="inlineStr">
        <is>
          <t>phrase_these</t>
        </is>
      </c>
      <c r="C613" t="inlineStr">
        <is>
          <t>fr</t>
        </is>
      </c>
      <c r="D613"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3" t="inlineStr">
        <is>
          <t>2026-10-30T15:06:37+00:00</t>
        </is>
      </c>
      <c r="F613" t="inlineStr">
        <is>
          <t>{"Keyword": "autorité de domaine", "Search Volume": "210", "CPC": "1.17", "Competition": "0.05", "Number of Results": "10", "Trends": "0.54,0.54,0.54,0.54,0.22,0.22,0.35,0.22,0.35,0.43,0.22,0.22", "Intent": "1", "Keyword Difficulty Index": "27"}</t>
        </is>
      </c>
      <c r="G613" t="inlineStr">
        <is>
          <t>Raw (Semrush)</t>
        </is>
      </c>
    </row>
    <row r="614">
      <c r="A614" t="inlineStr">
        <is>
          <t>val-fr-0</t>
        </is>
      </c>
      <c r="B614" t="inlineStr">
        <is>
          <t>phrase_these</t>
        </is>
      </c>
      <c r="C614" t="inlineStr">
        <is>
          <t>fr</t>
        </is>
      </c>
      <c r="D614"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4" t="inlineStr">
        <is>
          <t>2026-10-30T15:06:37+00:00</t>
        </is>
      </c>
      <c r="F614" t="inlineStr">
        <is>
          <t>{"Keyword": "balise alt", "Search Volume": "260", "CPC": "0", "Competition": "0.01", "Number of Results": "132", "Trends": "0.44,0.54,0.44,0.44,0.29,0.29,0.29,0.23,0.29,0.29,0.23,0.19", "Intent": "1", "Keyword Difficulty Index": "21"}</t>
        </is>
      </c>
      <c r="G614" t="inlineStr">
        <is>
          <t>Raw (Semrush)</t>
        </is>
      </c>
    </row>
    <row r="615">
      <c r="A615" t="inlineStr">
        <is>
          <t>val-fr-0</t>
        </is>
      </c>
      <c r="B615" t="inlineStr">
        <is>
          <t>phrase_these</t>
        </is>
      </c>
      <c r="C615" t="inlineStr">
        <is>
          <t>fr</t>
        </is>
      </c>
      <c r="D615"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5" t="inlineStr">
        <is>
          <t>2026-10-30T15:06:37+00:00</t>
        </is>
      </c>
      <c r="F615" t="inlineStr">
        <is>
          <t>{"Keyword": "balise canonical", "Search Volume": "90", "CPC": "0", "Competition": "0.06", "Number of Results": "97", "Trends": "0.29,0.29,0.29,0.18,0.14,0.14,0.10,0.14,0.10,0.14,0.10,0.10", "Intent": "1", "Keyword Difficulty Index": "15"}</t>
        </is>
      </c>
      <c r="G615" t="inlineStr">
        <is>
          <t>Raw (Semrush)</t>
        </is>
      </c>
    </row>
    <row r="616">
      <c r="A616" t="inlineStr">
        <is>
          <t>val-fr-0</t>
        </is>
      </c>
      <c r="B616" t="inlineStr">
        <is>
          <t>phrase_these</t>
        </is>
      </c>
      <c r="C616" t="inlineStr">
        <is>
          <t>fr</t>
        </is>
      </c>
      <c r="D616"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6" t="inlineStr">
        <is>
          <t>2026-10-30T15:06:37+00:00</t>
        </is>
      </c>
      <c r="F616" t="inlineStr">
        <is>
          <t>{"Keyword": "balise h1", "Search Volume": "390", "CPC": "0", "Competition": "0.03", "Number of Results": "193", "Trends": "0.44,0.54,0.54,0.66,0.44,0.29,0.54,0.54,0.54,0.66,0.19,0.66", "Intent": "1", "Keyword Difficulty Index": "18"}</t>
        </is>
      </c>
      <c r="G616" t="inlineStr">
        <is>
          <t>Raw (Semrush)</t>
        </is>
      </c>
    </row>
    <row r="617">
      <c r="A617" t="inlineStr">
        <is>
          <t>val-fr-0</t>
        </is>
      </c>
      <c r="B617" t="inlineStr">
        <is>
          <t>phrase_these</t>
        </is>
      </c>
      <c r="C617" t="inlineStr">
        <is>
          <t>fr</t>
        </is>
      </c>
      <c r="D617"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7" t="inlineStr">
        <is>
          <t>2026-10-30T15:06:37+00:00</t>
        </is>
      </c>
      <c r="F617" t="inlineStr">
        <is>
          <t>{"Keyword": "balise hreflang", "Search Volume": "140", "CPC": "0", "Competition": "0.33", "Number of Results": "110", "Trends": "0.66,0.53,1.00,0.35,0.28,0.17,0.35,0.35,0.12,0.17,0.12,0.12", "Intent": "1", "Keyword Difficulty Index": "22"}</t>
        </is>
      </c>
      <c r="G617" t="inlineStr">
        <is>
          <t>Raw (Semrush)</t>
        </is>
      </c>
    </row>
    <row r="618">
      <c r="A618" t="inlineStr">
        <is>
          <t>val-fr-0</t>
        </is>
      </c>
      <c r="B618" t="inlineStr">
        <is>
          <t>phrase_these</t>
        </is>
      </c>
      <c r="C618" t="inlineStr">
        <is>
          <t>fr</t>
        </is>
      </c>
      <c r="D618"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8" t="inlineStr">
        <is>
          <t>2026-10-30T15:06:37+00:00</t>
        </is>
      </c>
      <c r="F618" t="inlineStr">
        <is>
          <t>{"Keyword": "balise meta", "Search Volume": "320", "CPC": "1.22", "Competition": "0.04", "Number of Results": "10", "Trends": "0.44,0.44,0.44,0.44,0.36,0.29,0.23,0.29,0.29,0.29,0.23,0.15", "Intent": "1", "Keyword Difficulty Index": "37"}</t>
        </is>
      </c>
      <c r="G618" t="inlineStr">
        <is>
          <t>Raw (Semrush)</t>
        </is>
      </c>
    </row>
    <row r="619">
      <c r="A619" t="inlineStr">
        <is>
          <t>val-fr-0</t>
        </is>
      </c>
      <c r="B619" t="inlineStr">
        <is>
          <t>phrase_these</t>
        </is>
      </c>
      <c r="C619" t="inlineStr">
        <is>
          <t>fr</t>
        </is>
      </c>
      <c r="D619"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19" t="inlineStr">
        <is>
          <t>2026-10-30T15:06:37+00:00</t>
        </is>
      </c>
      <c r="F619" t="inlineStr">
        <is>
          <t>{"Keyword": "balise meta refresh", "Search Volume": "0", "CPC": "0", "Competition": "0", "Number of Results": "0", "Trends": "0.00,0.00,0.00,0.00,0.00,0.00,0.00,0.00,0.00,0.00,0.00,0.00", "Intent": "", "Keyword Difficulty Index": "0"}</t>
        </is>
      </c>
      <c r="G619" t="inlineStr">
        <is>
          <t>Raw (Semrush)</t>
        </is>
      </c>
    </row>
    <row r="620">
      <c r="A620" t="inlineStr">
        <is>
          <t>val-fr-0</t>
        </is>
      </c>
      <c r="B620" t="inlineStr">
        <is>
          <t>phrase_these</t>
        </is>
      </c>
      <c r="C620" t="inlineStr">
        <is>
          <t>fr</t>
        </is>
      </c>
      <c r="D620"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0" t="inlineStr">
        <is>
          <t>2026-10-30T15:06:37+00:00</t>
        </is>
      </c>
      <c r="F620" t="inlineStr">
        <is>
          <t>{"Keyword": "balises hn seo", "Search Volume": "50", "CPC": "0", "Competition": "0.33", "Number of Results": "0", "Trends": "1.00,1.00,0.78,0.50,0.21,0.14,0.07,0.07,0.07,0.07,0.14,0.14", "Intent": "", "Keyword Difficulty Index": "0"}</t>
        </is>
      </c>
      <c r="G620" t="inlineStr">
        <is>
          <t>Raw (Semrush)</t>
        </is>
      </c>
    </row>
    <row r="621">
      <c r="A621" t="inlineStr">
        <is>
          <t>val-fr-0</t>
        </is>
      </c>
      <c r="B621" t="inlineStr">
        <is>
          <t>phrase_these</t>
        </is>
      </c>
      <c r="C621" t="inlineStr">
        <is>
          <t>fr</t>
        </is>
      </c>
      <c r="D621"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1" t="inlineStr">
        <is>
          <t>2026-10-30T15:06:37+00:00</t>
        </is>
      </c>
      <c r="F621" t="inlineStr">
        <is>
          <t>{"Keyword": "base64 decode", "Search Volume": "9900", "CPC": "1.92", "Competition": "0.33", "Number of Results": "117", "Trends": "0.36,0.54,0.81,0.66,0.54,0.44,0.54,0.44,0.66,0.36,0.44,0.44", "Intent": "1", "Keyword Difficulty Index": "60"}</t>
        </is>
      </c>
      <c r="G621" t="inlineStr">
        <is>
          <t>Raw (Semrush)</t>
        </is>
      </c>
    </row>
    <row r="622">
      <c r="A622" t="inlineStr">
        <is>
          <t>val-fr-0</t>
        </is>
      </c>
      <c r="B622" t="inlineStr">
        <is>
          <t>phrase_these</t>
        </is>
      </c>
      <c r="C622" t="inlineStr">
        <is>
          <t>fr</t>
        </is>
      </c>
      <c r="D622"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2" t="inlineStr">
        <is>
          <t>2026-10-30T15:06:37+00:00</t>
        </is>
      </c>
      <c r="F622" t="inlineStr">
        <is>
          <t>{"Keyword": "base64 en ligne", "Search Volume": "0", "CPC": "0", "Competition": "0", "Number of Results": "0", "Trends": "0.00,0.00,0.00,0.00,0.00,0.00,0.00,0.00,0.00,0.00,0.00,0.00", "Intent": "", "Keyword Difficulty Index": "0"}</t>
        </is>
      </c>
      <c r="G622" t="inlineStr">
        <is>
          <t>Raw (Semrush)</t>
        </is>
      </c>
    </row>
    <row r="623">
      <c r="A623" t="inlineStr">
        <is>
          <t>val-fr-0</t>
        </is>
      </c>
      <c r="B623" t="inlineStr">
        <is>
          <t>phrase_these</t>
        </is>
      </c>
      <c r="C623" t="inlineStr">
        <is>
          <t>fr</t>
        </is>
      </c>
      <c r="D623"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3" t="inlineStr">
        <is>
          <t>2026-10-30T15:06:37+00:00</t>
        </is>
      </c>
      <c r="F623" t="inlineStr">
        <is>
          <t>{"Keyword": "base64 encode", "Search Volume": "1900", "CPC": "0", "Competition": "0.33", "Number of Results": "118", "Trends": "0.43,0.54,0.43,0.43,0.43,0.54,0.43,0.54,0.43,0.43,0.43,0.43", "Intent": "1", "Keyword Difficulty Index": "69"}</t>
        </is>
      </c>
      <c r="G623" t="inlineStr">
        <is>
          <t>Raw (Semrush)</t>
        </is>
      </c>
    </row>
    <row r="624">
      <c r="A624" t="inlineStr">
        <is>
          <t>val-fr-0</t>
        </is>
      </c>
      <c r="B624" t="inlineStr">
        <is>
          <t>phrase_these</t>
        </is>
      </c>
      <c r="C624" t="inlineStr">
        <is>
          <t>fr</t>
        </is>
      </c>
      <c r="D624"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4" t="inlineStr">
        <is>
          <t>2026-10-30T15:06:37+00:00</t>
        </is>
      </c>
      <c r="F624" t="inlineStr">
        <is>
          <t>{"Keyword": "blog développement web", "Search Volume": "10", "CPC": "0", "Competition": "0.33", "Number of Results": "0", "Trends": "0.22,0.22,0.22,0.22,0.22,0.22,0.22,0.22,0.00,0.11,0.00,0.00", "Intent": "", "Keyword Difficulty Index": "0"}</t>
        </is>
      </c>
      <c r="G624" t="inlineStr">
        <is>
          <t>Raw (Semrush)</t>
        </is>
      </c>
    </row>
    <row r="625">
      <c r="A625" t="inlineStr">
        <is>
          <t>val-fr-0</t>
        </is>
      </c>
      <c r="B625" t="inlineStr">
        <is>
          <t>phrase_these</t>
        </is>
      </c>
      <c r="C625" t="inlineStr">
        <is>
          <t>fr</t>
        </is>
      </c>
      <c r="D625"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5" t="inlineStr">
        <is>
          <t>2026-10-30T15:06:37+00:00</t>
        </is>
      </c>
      <c r="F625" t="inlineStr">
        <is>
          <t>{"Keyword": "blog seo", "Search Volume": "1300", "CPC": "1.73", "Competition": "0.12", "Number of Results": "10", "Trends": "0.68,0.68,0.52,0.52,0.52,0.68,0.68,0.52,0.84,0.68,0.52,0.52", "Intent": "1", "Keyword Difficulty Index": "41"}</t>
        </is>
      </c>
      <c r="G625" t="inlineStr">
        <is>
          <t>Raw (Semrush)</t>
        </is>
      </c>
    </row>
    <row r="626">
      <c r="A626" t="inlineStr">
        <is>
          <t>val-fr-0</t>
        </is>
      </c>
      <c r="B626" t="inlineStr">
        <is>
          <t>phrase_these</t>
        </is>
      </c>
      <c r="C626" t="inlineStr">
        <is>
          <t>fr</t>
        </is>
      </c>
      <c r="D626"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6" t="inlineStr">
        <is>
          <t>2026-10-30T15:06:37+00:00</t>
        </is>
      </c>
      <c r="F626" t="inlineStr">
        <is>
          <t>{"Keyword": "blog web design", "Search Volume": "20", "CPC": "0", "Competition": "0.06", "Number of Results": "0", "Trends": "0.18,0.09,0.18,0.18,0.18,0.18,0.09,0.18,0.18,0.09,0.09,0.18", "Intent": "", "Keyword Difficulty Index": "0"}</t>
        </is>
      </c>
      <c r="G626" t="inlineStr">
        <is>
          <t>Raw (Semrush)</t>
        </is>
      </c>
    </row>
    <row r="627">
      <c r="A627" t="inlineStr">
        <is>
          <t>val-fr-0</t>
        </is>
      </c>
      <c r="B627" t="inlineStr">
        <is>
          <t>phrase_these</t>
        </is>
      </c>
      <c r="C627" t="inlineStr">
        <is>
          <t>fr</t>
        </is>
      </c>
      <c r="D627"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7" t="inlineStr">
        <is>
          <t>2026-10-30T15:06:37+00:00</t>
        </is>
      </c>
      <c r="F627" t="inlineStr">
        <is>
          <t>{"Keyword": "boite à outils seo", "Search Volume": "50", "CPC": "0", "Competition": "0.71", "Number of Results": "0", "Trends": "0.36,0.36,0.45,0.27,0.36,0.45,0.81,0.45,0.27,0.45,0.36,0.36", "Intent": "", "Keyword Difficulty Index": "0"}</t>
        </is>
      </c>
      <c r="G627" t="inlineStr">
        <is>
          <t>Raw (Semrush)</t>
        </is>
      </c>
    </row>
    <row r="628">
      <c r="A628" t="inlineStr">
        <is>
          <t>val-fr-0</t>
        </is>
      </c>
      <c r="B628" t="inlineStr">
        <is>
          <t>phrase_these</t>
        </is>
      </c>
      <c r="C628" t="inlineStr">
        <is>
          <t>fr</t>
        </is>
      </c>
      <c r="D628"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8" t="inlineStr">
        <is>
          <t>2026-10-30T15:06:37+00:00</t>
        </is>
      </c>
      <c r="F628" t="inlineStr">
        <is>
          <t>{"Keyword": "boutique dentaire en ligne", "Search Volume": "0", "CPC": "0", "Competition": "0", "Number of Results": "0", "Trends": "0.00,0.00,0.00,0.00,0.00,0.00,0.00,0.00,0.00,0.00,0.00,0.00", "Intent": "", "Keyword Difficulty Index": "0"}</t>
        </is>
      </c>
      <c r="G628" t="inlineStr">
        <is>
          <t>Raw (Semrush)</t>
        </is>
      </c>
    </row>
    <row r="629">
      <c r="A629" t="inlineStr">
        <is>
          <t>val-fr-0</t>
        </is>
      </c>
      <c r="B629" t="inlineStr">
        <is>
          <t>phrase_these</t>
        </is>
      </c>
      <c r="C629" t="inlineStr">
        <is>
          <t>fr</t>
        </is>
      </c>
      <c r="D629"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29" t="inlineStr">
        <is>
          <t>2026-10-30T15:06:37+00:00</t>
        </is>
      </c>
      <c r="F629" t="inlineStr">
        <is>
          <t>{"Keyword": "boutique shopify", "Search Volume": "1600", "CPC": "2.02", "Competition": "0.79", "Number of Results": "104", "Trends": "1.00,1.00,0.84,1.00,0.68,1.00,0.52,0.52,0.31,0.68,0.68,0.68", "Intent": "1", "Keyword Difficulty Index": "24"}</t>
        </is>
      </c>
      <c r="G629" t="inlineStr">
        <is>
          <t>Raw (Semrush)</t>
        </is>
      </c>
    </row>
    <row r="630">
      <c r="A630" t="inlineStr">
        <is>
          <t>val-fr-0</t>
        </is>
      </c>
      <c r="B630" t="inlineStr">
        <is>
          <t>phrase_these</t>
        </is>
      </c>
      <c r="C630" t="inlineStr">
        <is>
          <t>fr</t>
        </is>
      </c>
      <c r="D630"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30" t="inlineStr">
        <is>
          <t>2026-10-30T15:06:37+00:00</t>
        </is>
      </c>
      <c r="F630" t="inlineStr">
        <is>
          <t>{"Keyword": "broken link checker", "Search Volume": "720", "CPC": "1.23", "Competition": "0.1", "Number of Results": "122", "Trends": "0.20,0.52,0.68,1.00,0.68,0.25,0.20,0.13,0.13,0.16,0.16,0.16", "Intent": "1,0", "Keyword Difficulty Index": "78"}</t>
        </is>
      </c>
      <c r="G630" t="inlineStr">
        <is>
          <t>Raw (Semrush)</t>
        </is>
      </c>
    </row>
    <row r="631">
      <c r="A631" t="inlineStr">
        <is>
          <t>val-fr-0</t>
        </is>
      </c>
      <c r="B631" t="inlineStr">
        <is>
          <t>phrase_these</t>
        </is>
      </c>
      <c r="C631" t="inlineStr">
        <is>
          <t>fr</t>
        </is>
      </c>
      <c r="D631"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31" t="inlineStr">
        <is>
          <t>2026-10-30T15:06:37+00:00</t>
        </is>
      </c>
      <c r="F631" t="inlineStr">
        <is>
          <t>{"Keyword": "budget de crawl", "Search Volume": "30", "CPC": "0", "Competition": "0.01", "Number of Results": "0", "Trends": "0.11,0.17,0.11,0.11,0.29,0.23,0.29,0.17,0.17,0.11,0.17,0.11", "Intent": "", "Keyword Difficulty Index": "0"}</t>
        </is>
      </c>
      <c r="G631" t="inlineStr">
        <is>
          <t>Raw (Semrush)</t>
        </is>
      </c>
    </row>
    <row r="632">
      <c r="A632" t="inlineStr">
        <is>
          <t>val-fr-0</t>
        </is>
      </c>
      <c r="B632" t="inlineStr">
        <is>
          <t>phrase_these</t>
        </is>
      </c>
      <c r="C632" t="inlineStr">
        <is>
          <t>fr</t>
        </is>
      </c>
      <c r="D632"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32" t="inlineStr">
        <is>
          <t>2026-10-30T15:06:37+00:00</t>
        </is>
      </c>
      <c r="F632" t="inlineStr">
        <is>
          <t>{"Keyword": "canonical seo", "Search Volume": "170", "CPC": "0.82", "Competition": "0.33", "Number of Results": "131", "Trends": "0.65,0.53,0.53,0.43,0.65,1.00,0.65,0.43,0.34,0.53,0.34,0.34", "Intent": "1", "Keyword Difficulty Index": "20"}</t>
        </is>
      </c>
      <c r="G632" t="inlineStr">
        <is>
          <t>Raw (Semrush)</t>
        </is>
      </c>
    </row>
    <row r="633">
      <c r="A633" t="inlineStr">
        <is>
          <t>val-fr-0</t>
        </is>
      </c>
      <c r="B633" t="inlineStr">
        <is>
          <t>phrase_these</t>
        </is>
      </c>
      <c r="C633" t="inlineStr">
        <is>
          <t>fr</t>
        </is>
      </c>
      <c r="D633" t="inlineStr">
        <is>
          <t>agence création site e-commerce;agence de développement web;agence de développement web maroc;agence de voyage de luxe maroc;agence digitale;agence développement saas;agence e-commerce;agence edtech;agence fintech;agence saas;agence seo;agence seo maroc;agence web;agence web abu dhabi;agence web amsterdam;agence web austin;agence web barcelone;agence web berlin;agence web boston;agence web bruxelles;agence web chicago;agence web copenhague;agence web denver;agence web dubai;agence web dublin;agence web immobilier;agence web lagos;agence web le caire;agence web lisbonne;agence web londres;agence web los angeles;agence web lyon;agence web madrid;agence web maroc;agence web marseille;agence web milan;agence web nearshore;agence web new york;agence web offshore;agence web offshore maroc;agence web paris;agence web pas cher;agence web riyad;agence web rome;agence web san francisco;agence web santé;agence web seattle;agence web stockholm;agence web toronto;agence web toulouse;agence web tuni</t>
        </is>
      </c>
      <c r="E633" t="inlineStr">
        <is>
          <t>2026-10-30T15:06:37+00:00</t>
        </is>
      </c>
      <c r="F633" t="inlineStr">
        <is>
          <t>{"Keyword": "caractère invisible", "Search Volume": "6600", "CPC": "0", "Competition": "0.33", "Number of Results": "102", "Trends": "0.54,0.54,0.54,0.36,0.29,0.36,0.29,0.54,0.54,0.81,0.54,0.54", "Intent": "1", "Keyword Difficulty Index": "16"}</t>
        </is>
      </c>
      <c r="G633" t="inlineStr">
        <is>
          <t>Raw (Semrush)</t>
        </is>
      </c>
    </row>
    <row r="634">
      <c r="A634" t="inlineStr">
        <is>
          <t>val-fr-1</t>
        </is>
      </c>
      <c r="B634" t="inlineStr">
        <is>
          <t>phrase_these</t>
        </is>
      </c>
      <c r="C634" t="inlineStr">
        <is>
          <t>fr</t>
        </is>
      </c>
      <c r="D634"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34" t="inlineStr">
        <is>
          <t>2026-10-30T15:06:38+00:00</t>
        </is>
      </c>
      <c r="F634" t="inlineStr">
        <is>
          <t>{"Keyword": "certificat ssl", "Search Volume": "2900", "CPC": "1.31", "Competition": "0.23", "Number of Results": "10", "Trends": "0.28,0.43,0.66,0.54,0.43,0.54,0.43,0.43,0.43,0.36,0.43,0.36", "Intent": "", "Keyword Difficulty Index": "63"}</t>
        </is>
      </c>
      <c r="G634" t="inlineStr">
        <is>
          <t>Raw (Semrush)</t>
        </is>
      </c>
    </row>
    <row r="635">
      <c r="A635" t="inlineStr">
        <is>
          <t>val-fr-1</t>
        </is>
      </c>
      <c r="B635" t="inlineStr">
        <is>
          <t>phrase_these</t>
        </is>
      </c>
      <c r="C635" t="inlineStr">
        <is>
          <t>fr</t>
        </is>
      </c>
      <c r="D635"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35" t="inlineStr">
        <is>
          <t>2026-10-30T15:06:38+00:00</t>
        </is>
      </c>
      <c r="F635" t="inlineStr">
        <is>
          <t>{"Keyword": "combien coute un site e-commerce", "Search Volume": "0", "CPC": "1.58", "Competition": "0.65", "Number of Results": "132", "Trends": "0.00,0.00,0.00,0.00,0.00,0.00,0.00,0.00,0.00,0.00,0.00,0.50", "Intent": "1", "Keyword Difficulty Index": "19"}</t>
        </is>
      </c>
      <c r="G635" t="inlineStr">
        <is>
          <t>Raw (Semrush)</t>
        </is>
      </c>
    </row>
    <row r="636">
      <c r="A636" t="inlineStr">
        <is>
          <t>val-fr-1</t>
        </is>
      </c>
      <c r="B636" t="inlineStr">
        <is>
          <t>phrase_these</t>
        </is>
      </c>
      <c r="C636" t="inlineStr">
        <is>
          <t>fr</t>
        </is>
      </c>
      <c r="D636"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36" t="inlineStr">
        <is>
          <t>2026-10-30T15:06:38+00:00</t>
        </is>
      </c>
      <c r="F636" t="inlineStr">
        <is>
          <t>{"Keyword": "combien coute un site internet", "Search Volume": "590", "CPC": "1.56", "Competition": "0.49", "Number of Results": "37", "Trends": "0.59,0.72,0.39,0.39,0.59,0.32,0.48,0.39,0.59,0.59,0.59,0.59", "Intent": "1", "Keyword Difficulty Index": "33"}</t>
        </is>
      </c>
      <c r="G636" t="inlineStr">
        <is>
          <t>Raw (Semrush)</t>
        </is>
      </c>
    </row>
    <row r="637">
      <c r="A637" t="inlineStr">
        <is>
          <t>val-fr-1</t>
        </is>
      </c>
      <c r="B637" t="inlineStr">
        <is>
          <t>phrase_these</t>
        </is>
      </c>
      <c r="C637" t="inlineStr">
        <is>
          <t>fr</t>
        </is>
      </c>
      <c r="D637"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37" t="inlineStr">
        <is>
          <t>2026-10-30T15:06:38+00:00</t>
        </is>
      </c>
      <c r="F637" t="inlineStr">
        <is>
          <t>{"Keyword": "combien coute un site vitrine", "Search Volume": "170", "CPC": "1.52", "Competition": "0.51", "Number of Results": "126", "Trends": "1.00,0.82,0.43,0.28,0.35,0.43,0.35,0.28,0.23,0.17,0.28,0.28", "Intent": "1", "Keyword Difficulty Index": "28"}</t>
        </is>
      </c>
      <c r="G637" t="inlineStr">
        <is>
          <t>Raw (Semrush)</t>
        </is>
      </c>
    </row>
    <row r="638">
      <c r="A638" t="inlineStr">
        <is>
          <t>val-fr-1</t>
        </is>
      </c>
      <c r="B638" t="inlineStr">
        <is>
          <t>phrase_these</t>
        </is>
      </c>
      <c r="C638" t="inlineStr">
        <is>
          <t>fr</t>
        </is>
      </c>
      <c r="D638"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38" t="inlineStr">
        <is>
          <t>2026-10-30T15:06:38+00:00</t>
        </is>
      </c>
      <c r="F638" t="inlineStr">
        <is>
          <t>{"Keyword": "combien coute une application web", "Search Volume": "20", "CPC": "0", "Competition": "0.86", "Number of Results": "0", "Trends": "0.11,0.11,0.11,0.11,0.11,0.11,0.11,0.11,0.11,0.11,0.11,0.11", "Intent": "", "Keyword Difficulty Index": "0"}</t>
        </is>
      </c>
      <c r="G638" t="inlineStr">
        <is>
          <t>Raw (Semrush)</t>
        </is>
      </c>
    </row>
    <row r="639">
      <c r="A639" t="inlineStr">
        <is>
          <t>val-fr-1</t>
        </is>
      </c>
      <c r="B639" t="inlineStr">
        <is>
          <t>phrase_these</t>
        </is>
      </c>
      <c r="C639" t="inlineStr">
        <is>
          <t>fr</t>
        </is>
      </c>
      <c r="D639"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39" t="inlineStr">
        <is>
          <t>2026-10-30T15:06:38+00:00</t>
        </is>
      </c>
      <c r="F639" t="inlineStr">
        <is>
          <t>{"Keyword": "combien coûte un site internet", "Search Volume": "260", "CPC": "1.42", "Competition": "0.54", "Number of Results": "195", "Trends": "0.81,0.81,0.54,0.35,0.35,0.66,0.54,0.66,0.54,0.66,0.66,0.66", "Intent": "1", "Keyword Difficulty Index": "35"}</t>
        </is>
      </c>
      <c r="G639" t="inlineStr">
        <is>
          <t>Raw (Semrush)</t>
        </is>
      </c>
    </row>
    <row r="640">
      <c r="A640" t="inlineStr">
        <is>
          <t>val-fr-1</t>
        </is>
      </c>
      <c r="B640" t="inlineStr">
        <is>
          <t>phrase_these</t>
        </is>
      </c>
      <c r="C640" t="inlineStr">
        <is>
          <t>fr</t>
        </is>
      </c>
      <c r="D640"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0" t="inlineStr">
        <is>
          <t>2026-10-30T15:06:38+00:00</t>
        </is>
      </c>
      <c r="F640" t="inlineStr">
        <is>
          <t>{"Keyword": "combien de temps pour créer un site internet", "Search Volume": "90", "CPC": "1.69", "Competition": "0.66", "Number of Results": "10", "Trends": "0.26,0.26,0.26,0.26,0.34,0.42,0.34,0.26,0.26,0.34,0.42,0.42", "Intent": "1", "Keyword Difficulty Index": "13"}</t>
        </is>
      </c>
      <c r="G640" t="inlineStr">
        <is>
          <t>Raw (Semrush)</t>
        </is>
      </c>
    </row>
    <row r="641">
      <c r="A641" t="inlineStr">
        <is>
          <t>val-fr-1</t>
        </is>
      </c>
      <c r="B641" t="inlineStr">
        <is>
          <t>phrase_these</t>
        </is>
      </c>
      <c r="C641" t="inlineStr">
        <is>
          <t>fr</t>
        </is>
      </c>
      <c r="D641"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1" t="inlineStr">
        <is>
          <t>2026-10-30T15:06:38+00:00</t>
        </is>
      </c>
      <c r="F641" t="inlineStr">
        <is>
          <t>{"Keyword": "comment choisir une agence web", "Search Volume": "140", "CPC": "0", "Competition": "0.33", "Number of Results": "10", "Trends": "1.00,0.80,0.52,0.80,1.00,0.66,0.66,0.42,0.52,1.00,0.52,0.52", "Intent": "1", "Keyword Difficulty Index": "16"}</t>
        </is>
      </c>
      <c r="G641" t="inlineStr">
        <is>
          <t>Raw (Semrush)</t>
        </is>
      </c>
    </row>
    <row r="642">
      <c r="A642" t="inlineStr">
        <is>
          <t>val-fr-1</t>
        </is>
      </c>
      <c r="B642" t="inlineStr">
        <is>
          <t>phrase_these</t>
        </is>
      </c>
      <c r="C642" t="inlineStr">
        <is>
          <t>fr</t>
        </is>
      </c>
      <c r="D642"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2" t="inlineStr">
        <is>
          <t>2026-10-30T15:06:38+00:00</t>
        </is>
      </c>
      <c r="F642" t="inlineStr">
        <is>
          <t>{"Keyword": "comment créer un saas", "Search Volume": "30", "CPC": "2.36", "Competition": "0.8", "Number of Results": "0", "Trends": "0.18,0.18,0.18,0.18,0.18,0.18,0.18,0.18,0.36,0.45,0.18,0.27", "Intent": "", "Keyword Difficulty Index": "0"}</t>
        </is>
      </c>
      <c r="G642" t="inlineStr">
        <is>
          <t>Raw (Semrush)</t>
        </is>
      </c>
    </row>
    <row r="643">
      <c r="A643" t="inlineStr">
        <is>
          <t>val-fr-1</t>
        </is>
      </c>
      <c r="B643" t="inlineStr">
        <is>
          <t>phrase_these</t>
        </is>
      </c>
      <c r="C643" t="inlineStr">
        <is>
          <t>fr</t>
        </is>
      </c>
      <c r="D643"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3" t="inlineStr">
        <is>
          <t>2026-10-30T15:06:38+00:00</t>
        </is>
      </c>
      <c r="F643" t="inlineStr">
        <is>
          <t>{"Keyword": "comment créer un site de formation en ligne", "Search Volume": "20", "CPC": "2.95", "Competition": "1", "Number of Results": "0", "Trends": "0.28,0.28,0.28,0.28,0.28,0.28,0.28,0.28,0.28,0.28,0.28,0.28", "Intent": "", "Keyword Difficulty Index": "0"}</t>
        </is>
      </c>
      <c r="G643" t="inlineStr">
        <is>
          <t>Raw (Semrush)</t>
        </is>
      </c>
    </row>
    <row r="644">
      <c r="A644" t="inlineStr">
        <is>
          <t>val-fr-1</t>
        </is>
      </c>
      <c r="B644" t="inlineStr">
        <is>
          <t>phrase_these</t>
        </is>
      </c>
      <c r="C644" t="inlineStr">
        <is>
          <t>fr</t>
        </is>
      </c>
      <c r="D644"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4" t="inlineStr">
        <is>
          <t>2026-10-30T15:06:38+00:00</t>
        </is>
      </c>
      <c r="F644" t="inlineStr">
        <is>
          <t>{"Keyword": "comment créer un site immobilier", "Search Volume": "0", "CPC": "0", "Competition": "0", "Number of Results": "0", "Trends": "0.00,0.00,0.00,0.00,0.00,0.00,0.00,0.00,0.00,0.00,0.00,0.00", "Intent": "", "Keyword Difficulty Index": "0"}</t>
        </is>
      </c>
      <c r="G644" t="inlineStr">
        <is>
          <t>Raw (Semrush)</t>
        </is>
      </c>
    </row>
    <row r="645">
      <c r="A645" t="inlineStr">
        <is>
          <t>val-fr-1</t>
        </is>
      </c>
      <c r="B645" t="inlineStr">
        <is>
          <t>phrase_these</t>
        </is>
      </c>
      <c r="C645" t="inlineStr">
        <is>
          <t>fr</t>
        </is>
      </c>
      <c r="D645"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5" t="inlineStr">
        <is>
          <t>2026-10-30T15:06:38+00:00</t>
        </is>
      </c>
      <c r="F645" t="inlineStr">
        <is>
          <t>{"Keyword": "comment créer une plateforme e-learning", "Search Volume": "20", "CPC": "0", "Competition": "1", "Number of Results": "0", "Trends": "0.00,1.00,1.00,0.00,1.00,1.00,1.00,1.00,1.00,1.00,1.00,1.00", "Intent": "", "Keyword Difficulty Index": "0"}</t>
        </is>
      </c>
      <c r="G645" t="inlineStr">
        <is>
          <t>Raw (Semrush)</t>
        </is>
      </c>
    </row>
    <row r="646">
      <c r="A646" t="inlineStr">
        <is>
          <t>val-fr-1</t>
        </is>
      </c>
      <c r="B646" t="inlineStr">
        <is>
          <t>phrase_these</t>
        </is>
      </c>
      <c r="C646" t="inlineStr">
        <is>
          <t>fr</t>
        </is>
      </c>
      <c r="D646"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6" t="inlineStr">
        <is>
          <t>2026-10-30T15:06:38+00:00</t>
        </is>
      </c>
      <c r="F646" t="inlineStr">
        <is>
          <t>{"Keyword": "compresser css", "Search Volume": "20", "CPC": "0", "Competition": "0.33", "Number of Results": "0", "Trends": "0.01,0.01,0.01,0.01,0.01,0.01,0.01,0.01,0.01,0.01,0.01,0.01", "Intent": "", "Keyword Difficulty Index": "0"}</t>
        </is>
      </c>
      <c r="G646" t="inlineStr">
        <is>
          <t>Raw (Semrush)</t>
        </is>
      </c>
    </row>
    <row r="647">
      <c r="A647" t="inlineStr">
        <is>
          <t>val-fr-1</t>
        </is>
      </c>
      <c r="B647" t="inlineStr">
        <is>
          <t>phrase_these</t>
        </is>
      </c>
      <c r="C647" t="inlineStr">
        <is>
          <t>fr</t>
        </is>
      </c>
      <c r="D647"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7" t="inlineStr">
        <is>
          <t>2026-10-30T15:06:38+00:00</t>
        </is>
      </c>
      <c r="F647" t="inlineStr">
        <is>
          <t>{"Keyword": "compresser html", "Search Volume": "20", "CPC": "0", "Competition": "0.33", "Number of Results": "0", "Trends": "0.18,0.18,0.18,0.18,0.27,0.18,0.18,0.18,0.18,0.18,0.18,0.18", "Intent": "", "Keyword Difficulty Index": "0"}</t>
        </is>
      </c>
      <c r="G647" t="inlineStr">
        <is>
          <t>Raw (Semrush)</t>
        </is>
      </c>
    </row>
    <row r="648">
      <c r="A648" t="inlineStr">
        <is>
          <t>val-fr-1</t>
        </is>
      </c>
      <c r="B648" t="inlineStr">
        <is>
          <t>phrase_these</t>
        </is>
      </c>
      <c r="C648" t="inlineStr">
        <is>
          <t>fr</t>
        </is>
      </c>
      <c r="D648"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8" t="inlineStr">
        <is>
          <t>2026-10-30T15:06:38+00:00</t>
        </is>
      </c>
      <c r="F648" t="inlineStr">
        <is>
          <t>{"Keyword": "compresser image", "Search Volume": "22200", "CPC": "0", "Competition": "0.02", "Number of Results": "129", "Trends": "0.66,0.81,1.00,1.00,0.81,0.66,0.81,0.66,0.81,0.81,0.36,0.36", "Intent": "1", "Keyword Difficulty Index": "28"}</t>
        </is>
      </c>
      <c r="G648" t="inlineStr">
        <is>
          <t>Raw (Semrush)</t>
        </is>
      </c>
    </row>
    <row r="649">
      <c r="A649" t="inlineStr">
        <is>
          <t>val-fr-1</t>
        </is>
      </c>
      <c r="B649" t="inlineStr">
        <is>
          <t>phrase_these</t>
        </is>
      </c>
      <c r="C649" t="inlineStr">
        <is>
          <t>fr</t>
        </is>
      </c>
      <c r="D649"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49" t="inlineStr">
        <is>
          <t>2026-10-30T15:06:38+00:00</t>
        </is>
      </c>
      <c r="F649" t="inlineStr">
        <is>
          <t>{"Keyword": "compresser image en ligne", "Search Volume": "590", "CPC": "0.25", "Competition": "0.14", "Number of Results": "123", "Trends": "0.54,0.81,0.67,0.44,0.54,0.81,0.81,0.81,0.54,0.54,0.36,0.54", "Intent": "1", "Keyword Difficulty Index": "37"}</t>
        </is>
      </c>
      <c r="G649" t="inlineStr">
        <is>
          <t>Raw (Semrush)</t>
        </is>
      </c>
    </row>
    <row r="650">
      <c r="A650" t="inlineStr">
        <is>
          <t>val-fr-1</t>
        </is>
      </c>
      <c r="B650" t="inlineStr">
        <is>
          <t>phrase_these</t>
        </is>
      </c>
      <c r="C650" t="inlineStr">
        <is>
          <t>fr</t>
        </is>
      </c>
      <c r="D650"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0" t="inlineStr">
        <is>
          <t>2026-10-30T15:06:38+00:00</t>
        </is>
      </c>
      <c r="F650" t="inlineStr">
        <is>
          <t>{"Keyword": "compresser photo", "Search Volume": "9900", "CPC": "0.26", "Competition": "0.21", "Number of Results": "122", "Trends": "0.44,0.66,0.66,0.66,0.54,0.81,0.66,1.00,0.66,0.81,0.44,0.66", "Intent": "1", "Keyword Difficulty Index": "31"}</t>
        </is>
      </c>
      <c r="G650" t="inlineStr">
        <is>
          <t>Raw (Semrush)</t>
        </is>
      </c>
    </row>
    <row r="651">
      <c r="A651" t="inlineStr">
        <is>
          <t>val-fr-1</t>
        </is>
      </c>
      <c r="B651" t="inlineStr">
        <is>
          <t>phrase_these</t>
        </is>
      </c>
      <c r="C651" t="inlineStr">
        <is>
          <t>fr</t>
        </is>
      </c>
      <c r="D651"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1" t="inlineStr">
        <is>
          <t>2026-10-30T15:06:38+00:00</t>
        </is>
      </c>
      <c r="F651" t="inlineStr">
        <is>
          <t>{"Keyword": "compression image", "Search Volume": "5400", "CPC": "0.32", "Competition": "0.08", "Number of Results": "129", "Trends": "0.35,1.00,0.04,0.66,0.66,1.00,0.66,0.04,0.66,1.00,0.54,1.00", "Intent": "1", "Keyword Difficulty Index": "49"}</t>
        </is>
      </c>
      <c r="G651" t="inlineStr">
        <is>
          <t>Raw (Semrush)</t>
        </is>
      </c>
    </row>
    <row r="652">
      <c r="A652" t="inlineStr">
        <is>
          <t>val-fr-1</t>
        </is>
      </c>
      <c r="B652" t="inlineStr">
        <is>
          <t>phrase_these</t>
        </is>
      </c>
      <c r="C652" t="inlineStr">
        <is>
          <t>fr</t>
        </is>
      </c>
      <c r="D652"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2" t="inlineStr">
        <is>
          <t>2026-10-30T15:06:38+00:00</t>
        </is>
      </c>
      <c r="F652" t="inlineStr">
        <is>
          <t>{"Keyword": "compter les mots", "Search Volume": "2900", "CPC": "0.03", "Competition": "0.12", "Number of Results": "122", "Trends": "0.35,0.53,0.81,0.66,0.66,0.81,0.53,0.81,0.44,0.66,0.53,0.29", "Intent": "1", "Keyword Difficulty Index": "35"}</t>
        </is>
      </c>
      <c r="G652" t="inlineStr">
        <is>
          <t>Raw (Semrush)</t>
        </is>
      </c>
    </row>
    <row r="653">
      <c r="A653" t="inlineStr">
        <is>
          <t>val-fr-1</t>
        </is>
      </c>
      <c r="B653" t="inlineStr">
        <is>
          <t>phrase_these</t>
        </is>
      </c>
      <c r="C653" t="inlineStr">
        <is>
          <t>fr</t>
        </is>
      </c>
      <c r="D653"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3" t="inlineStr">
        <is>
          <t>2026-10-30T15:06:38+00:00</t>
        </is>
      </c>
      <c r="F653" t="inlineStr">
        <is>
          <t>{"Keyword": "compteur de caractères", "Search Volume": "9900", "CPC": "0.02", "Competition": "0.08", "Number of Results": "10", "Trends": "0.10,0.20,0.24,0.24,0.20,0.24,0.29,0.81,0.24,0.20,0.20,0.13", "Intent": "0", "Keyword Difficulty Index": "29"}</t>
        </is>
      </c>
      <c r="G653" t="inlineStr">
        <is>
          <t>Raw (Semrush)</t>
        </is>
      </c>
    </row>
    <row r="654">
      <c r="A654" t="inlineStr">
        <is>
          <t>val-fr-1</t>
        </is>
      </c>
      <c r="B654" t="inlineStr">
        <is>
          <t>phrase_these</t>
        </is>
      </c>
      <c r="C654" t="inlineStr">
        <is>
          <t>fr</t>
        </is>
      </c>
      <c r="D654"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4" t="inlineStr">
        <is>
          <t>2026-10-30T15:06:38+00:00</t>
        </is>
      </c>
      <c r="F654" t="inlineStr">
        <is>
          <t>{"Keyword": "compteur de mot", "Search Volume": "2900", "CPC": "0.03", "Competition": "0.12", "Number of Results": "10", "Trends": "0.16,0.29,0.36,0.36,0.36,0.36,0.36,0.44,0.36,0.29,0.24,0.19", "Intent": "", "Keyword Difficulty Index": "30"}</t>
        </is>
      </c>
      <c r="G654" t="inlineStr">
        <is>
          <t>Raw (Semrush)</t>
        </is>
      </c>
    </row>
    <row r="655">
      <c r="A655" t="inlineStr">
        <is>
          <t>val-fr-1</t>
        </is>
      </c>
      <c r="B655" t="inlineStr">
        <is>
          <t>phrase_these</t>
        </is>
      </c>
      <c r="C655" t="inlineStr">
        <is>
          <t>fr</t>
        </is>
      </c>
      <c r="D655"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5" t="inlineStr">
        <is>
          <t>2026-10-30T15:06:38+00:00</t>
        </is>
      </c>
      <c r="F655" t="inlineStr">
        <is>
          <t>{"Keyword": "compteur de mots", "Search Volume": "18100", "CPC": "0.03", "Competition": "0.1", "Number of Results": "111", "Trends": "0.20,0.29,0.36,0.44,0.44,0.44,0.44,0.44,0.36,0.29,0.24,0.13", "Intent": "1", "Keyword Difficulty Index": "32"}</t>
        </is>
      </c>
      <c r="G655" t="inlineStr">
        <is>
          <t>Raw (Semrush)</t>
        </is>
      </c>
    </row>
    <row r="656">
      <c r="A656" t="inlineStr">
        <is>
          <t>val-fr-1</t>
        </is>
      </c>
      <c r="B656" t="inlineStr">
        <is>
          <t>phrase_these</t>
        </is>
      </c>
      <c r="C656" t="inlineStr">
        <is>
          <t>fr</t>
        </is>
      </c>
      <c r="D656"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6" t="inlineStr">
        <is>
          <t>2026-10-30T15:06:38+00:00</t>
        </is>
      </c>
      <c r="F656" t="inlineStr">
        <is>
          <t>{"Keyword": "conception site web", "Search Volume": "720", "CPC": "3.23", "Competition": "0.28", "Number of Results": "10", "Trends": "0.76,0.76,0.45,0.55,0.55,0.55,0.55,0.55,0.55,0.67,0.67,0.08", "Intent": "0", "Keyword Difficulty Index": "58"}</t>
        </is>
      </c>
      <c r="G656" t="inlineStr">
        <is>
          <t>Raw (Semrush)</t>
        </is>
      </c>
    </row>
    <row r="657">
      <c r="A657" t="inlineStr">
        <is>
          <t>val-fr-1</t>
        </is>
      </c>
      <c r="B657" t="inlineStr">
        <is>
          <t>phrase_these</t>
        </is>
      </c>
      <c r="C657" t="inlineStr">
        <is>
          <t>fr</t>
        </is>
      </c>
      <c r="D657"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7" t="inlineStr">
        <is>
          <t>2026-10-30T15:06:38+00:00</t>
        </is>
      </c>
      <c r="F657" t="inlineStr">
        <is>
          <t>{"Keyword": "confiance site web", "Search Volume": "20", "CPC": "0", "Competition": "0.07", "Number of Results": "0", "Trends": "0.11,0.11,0.11,0.11,0.11,0.11,0.11,0.11,0.11,0.11,0.11,0.11", "Intent": "", "Keyword Difficulty Index": "0"}</t>
        </is>
      </c>
      <c r="G657" t="inlineStr">
        <is>
          <t>Raw (Semrush)</t>
        </is>
      </c>
    </row>
    <row r="658">
      <c r="A658" t="inlineStr">
        <is>
          <t>val-fr-1</t>
        </is>
      </c>
      <c r="B658" t="inlineStr">
        <is>
          <t>phrase_these</t>
        </is>
      </c>
      <c r="C658" t="inlineStr">
        <is>
          <t>fr</t>
        </is>
      </c>
      <c r="D658"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8" t="inlineStr">
        <is>
          <t>2026-10-30T15:06:38+00:00</t>
        </is>
      </c>
      <c r="F658" t="inlineStr">
        <is>
          <t>{"Keyword": "contenu dupliqué", "Search Volume": "480", "CPC": "0", "Competition": "0.33", "Number of Results": "129", "Trends": "0.20,0.16,0.16,0.20,0.13,0.16,0.16,0.16,0.10,0.16,0.04,0.04", "Intent": "1", "Keyword Difficulty Index": "22"}</t>
        </is>
      </c>
      <c r="G658" t="inlineStr">
        <is>
          <t>Raw (Semrush)</t>
        </is>
      </c>
    </row>
    <row r="659">
      <c r="A659" t="inlineStr">
        <is>
          <t>val-fr-1</t>
        </is>
      </c>
      <c r="B659" t="inlineStr">
        <is>
          <t>phrase_these</t>
        </is>
      </c>
      <c r="C659" t="inlineStr">
        <is>
          <t>fr</t>
        </is>
      </c>
      <c r="D659"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59" t="inlineStr">
        <is>
          <t>2026-10-30T15:06:38+00:00</t>
        </is>
      </c>
      <c r="F659" t="inlineStr">
        <is>
          <t>{"Keyword": "convertir html en texte", "Search Volume": "30", "CPC": "0", "Competition": "0.05", "Number of Results": "0", "Trends": "0.28,0.28,0.28,0.28,0.28,0.28,0.28,0.28,1.00,0.28,0.71,1.00", "Intent": "", "Keyword Difficulty Index": "0"}</t>
        </is>
      </c>
      <c r="G659" t="inlineStr">
        <is>
          <t>Raw (Semrush)</t>
        </is>
      </c>
    </row>
    <row r="660">
      <c r="A660" t="inlineStr">
        <is>
          <t>val-fr-1</t>
        </is>
      </c>
      <c r="B660" t="inlineStr">
        <is>
          <t>phrase_these</t>
        </is>
      </c>
      <c r="C660" t="inlineStr">
        <is>
          <t>fr</t>
        </is>
      </c>
      <c r="D660"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0" t="inlineStr">
        <is>
          <t>2026-10-30T15:06:38+00:00</t>
        </is>
      </c>
      <c r="F660" t="inlineStr">
        <is>
          <t>{"Keyword": "convertir majuscule minuscule", "Search Volume": "0", "CPC": "0", "Competition": "0", "Number of Results": "0", "Trends": "0.00,0.00,0.00,0.00,0.00,0.00,0.00,0.00,0.00,0.00,0.00,0.00", "Intent": "", "Keyword Difficulty Index": "0"}</t>
        </is>
      </c>
      <c r="G660" t="inlineStr">
        <is>
          <t>Raw (Semrush)</t>
        </is>
      </c>
    </row>
    <row r="661">
      <c r="A661" t="inlineStr">
        <is>
          <t>val-fr-1</t>
        </is>
      </c>
      <c r="B661" t="inlineStr">
        <is>
          <t>phrase_these</t>
        </is>
      </c>
      <c r="C661" t="inlineStr">
        <is>
          <t>fr</t>
        </is>
      </c>
      <c r="D661"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1" t="inlineStr">
        <is>
          <t>2026-10-30T15:06:38+00:00</t>
        </is>
      </c>
      <c r="F661" t="inlineStr">
        <is>
          <t>{"Keyword": "convertisseur majuscule", "Search Volume": "90", "CPC": "0", "Competition": "0.33", "Number of Results": "106", "Trends": "0.41,0.64,0.64,0.82,0.41,0.41,0.52,0.64,0.52,0.41,0.41,0.29", "Intent": "1", "Keyword Difficulty Index": "9"}</t>
        </is>
      </c>
      <c r="G661" t="inlineStr">
        <is>
          <t>Raw (Semrush)</t>
        </is>
      </c>
    </row>
    <row r="662">
      <c r="A662" t="inlineStr">
        <is>
          <t>val-fr-1</t>
        </is>
      </c>
      <c r="B662" t="inlineStr">
        <is>
          <t>phrase_these</t>
        </is>
      </c>
      <c r="C662" t="inlineStr">
        <is>
          <t>fr</t>
        </is>
      </c>
      <c r="D662"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2" t="inlineStr">
        <is>
          <t>2026-10-30T15:06:38+00:00</t>
        </is>
      </c>
      <c r="F662" t="inlineStr">
        <is>
          <t>{"Keyword": "core web vitals", "Search Volume": "1900", "CPC": "1.52", "Competition": "0.27", "Number of Results": "10", "Trends": "0.34,0.55,0.55,0.55,0.55,0.65,0.82,0.82,1.00,1.00,0.82,0.82", "Intent": "1", "Keyword Difficulty Index": "36"}</t>
        </is>
      </c>
      <c r="G662" t="inlineStr">
        <is>
          <t>Raw (Semrush)</t>
        </is>
      </c>
    </row>
    <row r="663">
      <c r="A663" t="inlineStr">
        <is>
          <t>val-fr-1</t>
        </is>
      </c>
      <c r="B663" t="inlineStr">
        <is>
          <t>phrase_these</t>
        </is>
      </c>
      <c r="C663" t="inlineStr">
        <is>
          <t>fr</t>
        </is>
      </c>
      <c r="D663"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3" t="inlineStr">
        <is>
          <t>2026-10-30T15:06:38+00:00</t>
        </is>
      </c>
      <c r="F663" t="inlineStr">
        <is>
          <t>{"Keyword": "core web vitals test", "Search Volume": "140", "CPC": "1.83", "Competition": "0.42", "Number of Results": "123", "Trends": "0.03,0.06,0.03,0.03,0.03,0.05,0.05,0.06,0.05,0.03,0.03,0.45", "Intent": "1", "Keyword Difficulty Index": "37"}</t>
        </is>
      </c>
      <c r="G663" t="inlineStr">
        <is>
          <t>Raw (Semrush)</t>
        </is>
      </c>
    </row>
    <row r="664">
      <c r="A664" t="inlineStr">
        <is>
          <t>val-fr-1</t>
        </is>
      </c>
      <c r="B664" t="inlineStr">
        <is>
          <t>phrase_these</t>
        </is>
      </c>
      <c r="C664" t="inlineStr">
        <is>
          <t>fr</t>
        </is>
      </c>
      <c r="D664"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4" t="inlineStr">
        <is>
          <t>2026-10-30T15:06:38+00:00</t>
        </is>
      </c>
      <c r="F664" t="inlineStr">
        <is>
          <t>{"Keyword": "cours allemand casablanca", "Search Volume": "10", "CPC": "0", "Competition": "0.71", "Number of Results": "0", "Trends": "1.00,0.00,0.00,1.00,1.00,0.00,0.00,0.00,0.00,0.00,1.00,0.00", "Intent": "", "Keyword Difficulty Index": "0"}</t>
        </is>
      </c>
      <c r="G664" t="inlineStr">
        <is>
          <t>Raw (Semrush)</t>
        </is>
      </c>
    </row>
    <row r="665">
      <c r="A665" t="inlineStr">
        <is>
          <t>val-fr-1</t>
        </is>
      </c>
      <c r="B665" t="inlineStr">
        <is>
          <t>phrase_these</t>
        </is>
      </c>
      <c r="C665" t="inlineStr">
        <is>
          <t>fr</t>
        </is>
      </c>
      <c r="D665"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5" t="inlineStr">
        <is>
          <t>2026-10-30T15:06:38+00:00</t>
        </is>
      </c>
      <c r="F665" t="inlineStr">
        <is>
          <t>{"Keyword": "crawl budget", "Search Volume": "210", "CPC": "0", "Competition": "0.03", "Number of Results": "108000", "Trends": "0.03,0.03,0.04,0.03,0.03,0.13,0.05,0.07,0.05,0.05,0.02,0.02", "Intent": "1", "Keyword Difficulty Index": "25"}</t>
        </is>
      </c>
      <c r="G665" t="inlineStr">
        <is>
          <t>Raw (Semrush)</t>
        </is>
      </c>
    </row>
    <row r="666">
      <c r="A666" t="inlineStr">
        <is>
          <t>val-fr-1</t>
        </is>
      </c>
      <c r="B666" t="inlineStr">
        <is>
          <t>phrase_these</t>
        </is>
      </c>
      <c r="C666" t="inlineStr">
        <is>
          <t>fr</t>
        </is>
      </c>
      <c r="D666"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6" t="inlineStr">
        <is>
          <t>2026-10-30T15:06:38+00:00</t>
        </is>
      </c>
      <c r="F666" t="inlineStr">
        <is>
          <t>{"Keyword": "crawler ia", "Search Volume": "20", "CPC": "0", "Competition": "0.12", "Number of Results": "0", "Trends": "0.66,0.66,0.66,1.00,0.66,0.66,0.66,1.00,0.66,0.66,1.00,0.66", "Intent": "", "Keyword Difficulty Index": "0"}</t>
        </is>
      </c>
      <c r="G666" t="inlineStr">
        <is>
          <t>Raw (Semrush)</t>
        </is>
      </c>
    </row>
    <row r="667">
      <c r="A667" t="inlineStr">
        <is>
          <t>val-fr-1</t>
        </is>
      </c>
      <c r="B667" t="inlineStr">
        <is>
          <t>phrase_these</t>
        </is>
      </c>
      <c r="C667" t="inlineStr">
        <is>
          <t>fr</t>
        </is>
      </c>
      <c r="D667"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7" t="inlineStr">
        <is>
          <t>2026-10-30T15:06:38+00:00</t>
        </is>
      </c>
      <c r="F667" t="inlineStr">
        <is>
          <t>{"Keyword": "création application web", "Search Volume": "170", "CPC": "7.39", "Competition": "0.56", "Number of Results": "147", "Trends": "0.34,0.42,0.65,0.80,0.65,0.80,0.65,0.80,1.00,0.80,0.42,0.42", "Intent": "1", "Keyword Difficulty Index": "18"}</t>
        </is>
      </c>
      <c r="G667" t="inlineStr">
        <is>
          <t>Raw (Semrush)</t>
        </is>
      </c>
    </row>
    <row r="668">
      <c r="A668" t="inlineStr">
        <is>
          <t>val-fr-1</t>
        </is>
      </c>
      <c r="B668" t="inlineStr">
        <is>
          <t>phrase_these</t>
        </is>
      </c>
      <c r="C668" t="inlineStr">
        <is>
          <t>fr</t>
        </is>
      </c>
      <c r="D668"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8" t="inlineStr">
        <is>
          <t>2026-10-30T15:06:38+00:00</t>
        </is>
      </c>
      <c r="F668" t="inlineStr">
        <is>
          <t>{"Keyword": "création boutique en ligne", "Search Volume": "1000", "CPC": "3.7", "Competition": "0.51", "Number of Results": "10", "Trends": "0.76,0.76,0.76,0.67,0.76,0.76,0.76,0.76,1.00,0.76,0.76,0.76", "Intent": "1", "Keyword Difficulty Index": "51"}</t>
        </is>
      </c>
      <c r="G668" t="inlineStr">
        <is>
          <t>Raw (Semrush)</t>
        </is>
      </c>
    </row>
    <row r="669">
      <c r="A669" t="inlineStr">
        <is>
          <t>val-fr-1</t>
        </is>
      </c>
      <c r="B669" t="inlineStr">
        <is>
          <t>phrase_these</t>
        </is>
      </c>
      <c r="C669" t="inlineStr">
        <is>
          <t>fr</t>
        </is>
      </c>
      <c r="D669"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69" t="inlineStr">
        <is>
          <t>2026-10-30T15:06:38+00:00</t>
        </is>
      </c>
      <c r="F669" t="inlineStr">
        <is>
          <t>{"Keyword": "création boutique shopify", "Search Volume": "50", "CPC": "4.05", "Competition": "0.7", "Number of Results": "0", "Trends": "0.18,0.63,0.18,0.18,0.18,0.36,1.00,0.63,0.45,0.81,1.00,1.00", "Intent": "", "Keyword Difficulty Index": "0"}</t>
        </is>
      </c>
      <c r="G669" t="inlineStr">
        <is>
          <t>Raw (Semrush)</t>
        </is>
      </c>
    </row>
    <row r="670">
      <c r="A670" t="inlineStr">
        <is>
          <t>val-fr-1</t>
        </is>
      </c>
      <c r="B670" t="inlineStr">
        <is>
          <t>phrase_these</t>
        </is>
      </c>
      <c r="C670" t="inlineStr">
        <is>
          <t>fr</t>
        </is>
      </c>
      <c r="D670"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0" t="inlineStr">
        <is>
          <t>2026-10-30T15:06:38+00:00</t>
        </is>
      </c>
      <c r="F670" t="inlineStr">
        <is>
          <t>{"Keyword": "création plateforme e-learning", "Search Volume": "20", "CPC": "0", "Competition": "0.57", "Number of Results": "0", "Trends": "0.25,0.50,0.50,0.25,0.50,0.25,0.25,0.25,0.25,0.25,0.25,0.25", "Intent": "", "Keyword Difficulty Index": "0"}</t>
        </is>
      </c>
      <c r="G670" t="inlineStr">
        <is>
          <t>Raw (Semrush)</t>
        </is>
      </c>
    </row>
    <row r="671">
      <c r="A671" t="inlineStr">
        <is>
          <t>val-fr-1</t>
        </is>
      </c>
      <c r="B671" t="inlineStr">
        <is>
          <t>phrase_these</t>
        </is>
      </c>
      <c r="C671" t="inlineStr">
        <is>
          <t>fr</t>
        </is>
      </c>
      <c r="D671"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1" t="inlineStr">
        <is>
          <t>2026-10-30T15:06:38+00:00</t>
        </is>
      </c>
      <c r="F671" t="inlineStr">
        <is>
          <t>{"Keyword": "création plateforme saas", "Search Volume": "10", "CPC": "0", "Competition": "0", "Number of Results": "0", "Trends": "0.66,1.00,0.33,0.00,0.33,0.00,0.00", "Intent": "", "Keyword Difficulty Index": "0"}</t>
        </is>
      </c>
      <c r="G671" t="inlineStr">
        <is>
          <t>Raw (Semrush)</t>
        </is>
      </c>
    </row>
    <row r="672">
      <c r="A672" t="inlineStr">
        <is>
          <t>val-fr-1</t>
        </is>
      </c>
      <c r="B672" t="inlineStr">
        <is>
          <t>phrase_these</t>
        </is>
      </c>
      <c r="C672" t="inlineStr">
        <is>
          <t>fr</t>
        </is>
      </c>
      <c r="D672"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2" t="inlineStr">
        <is>
          <t>2026-10-30T15:06:38+00:00</t>
        </is>
      </c>
      <c r="F672" t="inlineStr">
        <is>
          <t>{"Keyword": "création site agence de voyage", "Search Volume": "70", "CPC": "0", "Competition": "0", "Number of Results": "0", "Trends": "0.17,0.11,0.29,0.23,0.29,0.29,0.41,0.52,0.64,0.64,0.64,1.00", "Intent": "", "Keyword Difficulty Index": "0"}</t>
        </is>
      </c>
      <c r="G672" t="inlineStr">
        <is>
          <t>Raw (Semrush)</t>
        </is>
      </c>
    </row>
    <row r="673">
      <c r="A673" t="inlineStr">
        <is>
          <t>val-fr-1</t>
        </is>
      </c>
      <c r="B673" t="inlineStr">
        <is>
          <t>phrase_these</t>
        </is>
      </c>
      <c r="C673" t="inlineStr">
        <is>
          <t>fr</t>
        </is>
      </c>
      <c r="D673"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3" t="inlineStr">
        <is>
          <t>2026-10-30T15:06:38+00:00</t>
        </is>
      </c>
      <c r="F673" t="inlineStr">
        <is>
          <t>{"Keyword": "création site e-commerce", "Search Volume": "1300", "CPC": "3.88", "Competition": "0.21", "Number of Results": "10", "Trends": "0.81,1.00,0.62,0.62,0.55,1.00,0.62,0.55,1.00,0.62,0.62,0.62", "Intent": "1", "Keyword Difficulty Index": "44"}</t>
        </is>
      </c>
      <c r="G673" t="inlineStr">
        <is>
          <t>Raw (Semrush)</t>
        </is>
      </c>
    </row>
    <row r="674">
      <c r="A674" t="inlineStr">
        <is>
          <t>val-fr-1</t>
        </is>
      </c>
      <c r="B674" t="inlineStr">
        <is>
          <t>phrase_these</t>
        </is>
      </c>
      <c r="C674" t="inlineStr">
        <is>
          <t>fr</t>
        </is>
      </c>
      <c r="D674"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4" t="inlineStr">
        <is>
          <t>2026-10-30T15:06:38+00:00</t>
        </is>
      </c>
      <c r="F674" t="inlineStr">
        <is>
          <t>{"Keyword": "création site e-commerce sur mesure", "Search Volume": "140", "CPC": "2.4", "Competition": "0.78", "Number of Results": "139", "Trends": "0.34,0.42,0.65,0.65,0.80,0.80,1.00,0.65,0.53,0.80,0.42,0.42", "Intent": "1", "Keyword Difficulty Index": "27"}</t>
        </is>
      </c>
      <c r="G674" t="inlineStr">
        <is>
          <t>Raw (Semrush)</t>
        </is>
      </c>
    </row>
    <row r="675">
      <c r="A675" t="inlineStr">
        <is>
          <t>val-fr-1</t>
        </is>
      </c>
      <c r="B675" t="inlineStr">
        <is>
          <t>phrase_these</t>
        </is>
      </c>
      <c r="C675" t="inlineStr">
        <is>
          <t>fr</t>
        </is>
      </c>
      <c r="D675"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5" t="inlineStr">
        <is>
          <t>2026-10-30T15:06:38+00:00</t>
        </is>
      </c>
      <c r="F675" t="inlineStr">
        <is>
          <t>{"Keyword": "création site immobilier", "Search Volume": "390", "CPC": "4.03", "Competition": "0.12", "Number of Results": "125", "Trends": "0.44,0.44,0.44,0.54,0.54,0.66,0.66,0.81,0.81,0.66,1.00,0.15", "Intent": "1", "Keyword Difficulty Index": "19"}</t>
        </is>
      </c>
      <c r="G675" t="inlineStr">
        <is>
          <t>Raw (Semrush)</t>
        </is>
      </c>
    </row>
    <row r="676">
      <c r="A676" t="inlineStr">
        <is>
          <t>val-fr-1</t>
        </is>
      </c>
      <c r="B676" t="inlineStr">
        <is>
          <t>phrase_these</t>
        </is>
      </c>
      <c r="C676" t="inlineStr">
        <is>
          <t>fr</t>
        </is>
      </c>
      <c r="D676"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6" t="inlineStr">
        <is>
          <t>2026-10-30T15:06:38+00:00</t>
        </is>
      </c>
      <c r="F676" t="inlineStr">
        <is>
          <t>{"Keyword": "création site internet", "Search Volume": "8100", "CPC": "4.96", "Competition": "0.67", "Number of Results": "10", "Trends": "0.81,0.81,0.66,0.66,0.54,0.66,0.54,0.54,0.66,0.66,0.66,0.54", "Intent": "1", "Keyword Difficulty Index": "98"}</t>
        </is>
      </c>
      <c r="G676" t="inlineStr">
        <is>
          <t>Raw (Semrush)</t>
        </is>
      </c>
    </row>
    <row r="677">
      <c r="A677" t="inlineStr">
        <is>
          <t>val-fr-1</t>
        </is>
      </c>
      <c r="B677" t="inlineStr">
        <is>
          <t>phrase_these</t>
        </is>
      </c>
      <c r="C677" t="inlineStr">
        <is>
          <t>fr</t>
        </is>
      </c>
      <c r="D677"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7" t="inlineStr">
        <is>
          <t>2026-10-30T15:06:38+00:00</t>
        </is>
      </c>
      <c r="F677" t="inlineStr">
        <is>
          <t>{"Keyword": "création site internet médecin", "Search Volume": "90", "CPC": "4.77", "Competition": "0.09", "Number of Results": "135", "Trends": "0.82,0.29,0.11,0.11,0.17,0.52,0.52,0.64,0.82,0.64,0.64,0.64", "Intent": "1", "Keyword Difficulty Index": "6"}</t>
        </is>
      </c>
      <c r="G677" t="inlineStr">
        <is>
          <t>Raw (Semrush)</t>
        </is>
      </c>
    </row>
    <row r="678">
      <c r="A678" t="inlineStr">
        <is>
          <t>val-fr-1</t>
        </is>
      </c>
      <c r="B678" t="inlineStr">
        <is>
          <t>phrase_these</t>
        </is>
      </c>
      <c r="C678" t="inlineStr">
        <is>
          <t>fr</t>
        </is>
      </c>
      <c r="D678"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8" t="inlineStr">
        <is>
          <t>2026-10-30T15:06:38+00:00</t>
        </is>
      </c>
      <c r="F678" t="inlineStr">
        <is>
          <t>{"Keyword": "création site internet paris", "Search Volume": "1300", "CPC": "2.38", "Competition": "0.13", "Number of Results": "140", "Trends": "0.52,0.46,0.46,0.52,0.52,0.68,0.68,0.68,0.68,1.00,0.52,0.52", "Intent": "0", "Keyword Difficulty Index": "19"}</t>
        </is>
      </c>
      <c r="G678" t="inlineStr">
        <is>
          <t>Raw (Semrush)</t>
        </is>
      </c>
    </row>
    <row r="679">
      <c r="A679" t="inlineStr">
        <is>
          <t>val-fr-1</t>
        </is>
      </c>
      <c r="B679" t="inlineStr">
        <is>
          <t>phrase_these</t>
        </is>
      </c>
      <c r="C679" t="inlineStr">
        <is>
          <t>fr</t>
        </is>
      </c>
      <c r="D679"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79" t="inlineStr">
        <is>
          <t>2026-10-30T15:06:38+00:00</t>
        </is>
      </c>
      <c r="F679" t="inlineStr">
        <is>
          <t>{"Keyword": "création site vitrine", "Search Volume": "1900", "CPC": "3.89", "Competition": "0.38", "Number of Results": "10", "Trends": "1.00,1.00,0.65,0.65,0.82,0.55,0.65,0.55,0.82,0.65,0.34,0.34", "Intent": "1", "Keyword Difficulty Index": "23"}</t>
        </is>
      </c>
      <c r="G679" t="inlineStr">
        <is>
          <t>Raw (Semrush)</t>
        </is>
      </c>
    </row>
    <row r="680">
      <c r="A680" t="inlineStr">
        <is>
          <t>val-fr-1</t>
        </is>
      </c>
      <c r="B680" t="inlineStr">
        <is>
          <t>phrase_these</t>
        </is>
      </c>
      <c r="C680" t="inlineStr">
        <is>
          <t>fr</t>
        </is>
      </c>
      <c r="D680"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0" t="inlineStr">
        <is>
          <t>2026-10-30T15:06:38+00:00</t>
        </is>
      </c>
      <c r="F680" t="inlineStr">
        <is>
          <t>{"Keyword": "création site web", "Search Volume": "4400", "CPC": "3.88", "Competition": "0.46", "Number of Results": "3", "Trends": "1.00,0.81,0.66,0.54,0.66,0.66,0.66,0.66,0.66,0.66,0.66,0.66", "Intent": "1", "Keyword Difficulty Index": "20"}</t>
        </is>
      </c>
      <c r="G680" t="inlineStr">
        <is>
          <t>Raw (Semrush)</t>
        </is>
      </c>
    </row>
    <row r="681">
      <c r="A681" t="inlineStr">
        <is>
          <t>val-fr-1</t>
        </is>
      </c>
      <c r="B681" t="inlineStr">
        <is>
          <t>phrase_these</t>
        </is>
      </c>
      <c r="C681" t="inlineStr">
        <is>
          <t>fr</t>
        </is>
      </c>
      <c r="D681"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1" t="inlineStr">
        <is>
          <t>2026-10-30T15:06:38+00:00</t>
        </is>
      </c>
      <c r="F681" t="inlineStr">
        <is>
          <t>{"Keyword": "création site web agence immobilière", "Search Volume": "90", "CPC": "0", "Competition": "0.71", "Number of Results": "127", "Trends": "1.00,0.64,0.64,0.64,0.52,0.52,0.41,0.41,0.52,0.41,0.29,0.41", "Intent": "1", "Keyword Difficulty Index": "19"}</t>
        </is>
      </c>
      <c r="G681" t="inlineStr">
        <is>
          <t>Raw (Semrush)</t>
        </is>
      </c>
    </row>
    <row r="682">
      <c r="A682" t="inlineStr">
        <is>
          <t>val-fr-1</t>
        </is>
      </c>
      <c r="B682" t="inlineStr">
        <is>
          <t>phrase_these</t>
        </is>
      </c>
      <c r="C682" t="inlineStr">
        <is>
          <t>fr</t>
        </is>
      </c>
      <c r="D682"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2" t="inlineStr">
        <is>
          <t>2026-10-30T15:06:38+00:00</t>
        </is>
      </c>
      <c r="F682" t="inlineStr">
        <is>
          <t>{"Keyword": "création site web architecte", "Search Volume": "70", "CPC": "0", "Competition": "0.43", "Number of Results": "149", "Trends": "0.81,0.81,0.63,0.81,1.00,0.81,0.45,0.45,0.63,0.63,0.45,0.63", "Intent": "1", "Keyword Difficulty Index": "6"}</t>
        </is>
      </c>
      <c r="G682" t="inlineStr">
        <is>
          <t>Raw (Semrush)</t>
        </is>
      </c>
    </row>
    <row r="683">
      <c r="A683" t="inlineStr">
        <is>
          <t>val-fr-1</t>
        </is>
      </c>
      <c r="B683" t="inlineStr">
        <is>
          <t>phrase_these</t>
        </is>
      </c>
      <c r="C683" t="inlineStr">
        <is>
          <t>fr</t>
        </is>
      </c>
      <c r="D683"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3" t="inlineStr">
        <is>
          <t>2026-10-30T15:06:38+00:00</t>
        </is>
      </c>
      <c r="F683" t="inlineStr">
        <is>
          <t>{"Keyword": "création site web bruxelles", "Search Volume": "50", "CPC": "0", "Competition": "0.05", "Number of Results": "0", "Trends": "0.29,1.00,0.41,0.52,0.29,0.11,0.11,0.11,0.17,0.11,0.11,0.11", "Intent": "", "Keyword Difficulty Index": "0"}</t>
        </is>
      </c>
      <c r="G683" t="inlineStr">
        <is>
          <t>Raw (Semrush)</t>
        </is>
      </c>
    </row>
    <row r="684">
      <c r="A684" t="inlineStr">
        <is>
          <t>val-fr-1</t>
        </is>
      </c>
      <c r="B684" t="inlineStr">
        <is>
          <t>phrase_these</t>
        </is>
      </c>
      <c r="C684" t="inlineStr">
        <is>
          <t>fr</t>
        </is>
      </c>
      <c r="D684"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4" t="inlineStr">
        <is>
          <t>2026-10-30T15:06:38+00:00</t>
        </is>
      </c>
      <c r="F684" t="inlineStr">
        <is>
          <t>{"Keyword": "création site web finance", "Search Volume": "20", "CPC": "0", "Competition": "0", "Number of Results": "0", "Trends": "1.00,1.00,1.00,1.00", "Intent": "", "Keyword Difficulty Index": "0"}</t>
        </is>
      </c>
      <c r="G684" t="inlineStr">
        <is>
          <t>Raw (Semrush)</t>
        </is>
      </c>
    </row>
    <row r="685">
      <c r="A685" t="inlineStr">
        <is>
          <t>val-fr-1</t>
        </is>
      </c>
      <c r="B685" t="inlineStr">
        <is>
          <t>phrase_these</t>
        </is>
      </c>
      <c r="C685" t="inlineStr">
        <is>
          <t>fr</t>
        </is>
      </c>
      <c r="D685"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5" t="inlineStr">
        <is>
          <t>2026-10-30T15:06:38+00:00</t>
        </is>
      </c>
      <c r="F685" t="inlineStr">
        <is>
          <t>{"Keyword": "création site web londres", "Search Volume": "0", "CPC": "0", "Competition": "0", "Number of Results": "0", "Trends": "0.00,0.00,0.00,0.00,0.00,0.00", "Intent": "", "Keyword Difficulty Index": "0"}</t>
        </is>
      </c>
      <c r="G685" t="inlineStr">
        <is>
          <t>Raw (Semrush)</t>
        </is>
      </c>
    </row>
    <row r="686">
      <c r="A686" t="inlineStr">
        <is>
          <t>val-fr-1</t>
        </is>
      </c>
      <c r="B686" t="inlineStr">
        <is>
          <t>phrase_these</t>
        </is>
      </c>
      <c r="C686" t="inlineStr">
        <is>
          <t>fr</t>
        </is>
      </c>
      <c r="D686"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6" t="inlineStr">
        <is>
          <t>2026-10-30T15:06:38+00:00</t>
        </is>
      </c>
      <c r="F686" t="inlineStr">
        <is>
          <t>{"Keyword": "création site web maroc", "Search Volume": "40", "CPC": "3.24", "Competition": "0.18", "Number of Results": "0", "Trends": "0.14,0.14,0.14,0.21,0.07,0.14,0.07,0.14,1.00,1.00,0.21,0.21", "Intent": "", "Keyword Difficulty Index": "0"}</t>
        </is>
      </c>
      <c r="G686" t="inlineStr">
        <is>
          <t>Raw (Semrush)</t>
        </is>
      </c>
    </row>
    <row r="687">
      <c r="A687" t="inlineStr">
        <is>
          <t>val-fr-1</t>
        </is>
      </c>
      <c r="B687" t="inlineStr">
        <is>
          <t>phrase_these</t>
        </is>
      </c>
      <c r="C687" t="inlineStr">
        <is>
          <t>fr</t>
        </is>
      </c>
      <c r="D687"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7" t="inlineStr">
        <is>
          <t>2026-10-30T15:06:38+00:00</t>
        </is>
      </c>
      <c r="F687" t="inlineStr">
        <is>
          <t>{"Keyword": "création site web médecin", "Search Volume": "30", "CPC": "0", "Competition": "0", "Number of Results": "0", "Trends": "0.14,0.14,0.28,0.14,0.28,0.42,0.57,0.57,0.71,0.71,0.71,1.00", "Intent": "", "Keyword Difficulty Index": "0"}</t>
        </is>
      </c>
      <c r="G687" t="inlineStr">
        <is>
          <t>Raw (Semrush)</t>
        </is>
      </c>
    </row>
    <row r="688">
      <c r="A688" t="inlineStr">
        <is>
          <t>val-fr-1</t>
        </is>
      </c>
      <c r="B688" t="inlineStr">
        <is>
          <t>phrase_these</t>
        </is>
      </c>
      <c r="C688" t="inlineStr">
        <is>
          <t>fr</t>
        </is>
      </c>
      <c r="D688"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8" t="inlineStr">
        <is>
          <t>2026-10-30T15:06:38+00:00</t>
        </is>
      </c>
      <c r="F688" t="inlineStr">
        <is>
          <t>{"Keyword": "création site web new york", "Search Volume": "0", "CPC": "0", "Competition": "0", "Number of Results": "0", "Trends": "0.00,0.00,0.00", "Intent": "", "Keyword Difficulty Index": "0"}</t>
        </is>
      </c>
      <c r="G688" t="inlineStr">
        <is>
          <t>Raw (Semrush)</t>
        </is>
      </c>
    </row>
    <row r="689">
      <c r="A689" t="inlineStr">
        <is>
          <t>val-fr-1</t>
        </is>
      </c>
      <c r="B689" t="inlineStr">
        <is>
          <t>phrase_these</t>
        </is>
      </c>
      <c r="C689" t="inlineStr">
        <is>
          <t>fr</t>
        </is>
      </c>
      <c r="D689"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89" t="inlineStr">
        <is>
          <t>2026-10-30T15:06:38+00:00</t>
        </is>
      </c>
      <c r="F689" t="inlineStr">
        <is>
          <t>{"Keyword": "création site web paris", "Search Volume": "320", "CPC": "1.68", "Competition": "0.2", "Number of Results": "134", "Trends": "0.82,0.66,0.82,0.82,0.82,0.82,0.66,0.66,0.82,0.82,1.00,1.00", "Intent": "0", "Keyword Difficulty Index": "28"}</t>
        </is>
      </c>
      <c r="G689" t="inlineStr">
        <is>
          <t>Raw (Semrush)</t>
        </is>
      </c>
    </row>
    <row r="690">
      <c r="A690" t="inlineStr">
        <is>
          <t>val-fr-1</t>
        </is>
      </c>
      <c r="B690" t="inlineStr">
        <is>
          <t>phrase_these</t>
        </is>
      </c>
      <c r="C690" t="inlineStr">
        <is>
          <t>fr</t>
        </is>
      </c>
      <c r="D690"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90" t="inlineStr">
        <is>
          <t>2026-10-30T15:06:38+00:00</t>
        </is>
      </c>
      <c r="F690" t="inlineStr">
        <is>
          <t>{"Keyword": "création site web sur mesure", "Search Volume": "320", "CPC": "3.23", "Competition": "0.22", "Number of Results": "10", "Trends": "0.66,0.66,0.54,0.54,0.35,0.54,0.44,0.44,0.44,0.54,0.18,0.18", "Intent": "1", "Keyword Difficulty Index": "45"}</t>
        </is>
      </c>
      <c r="G690" t="inlineStr">
        <is>
          <t>Raw (Semrush)</t>
        </is>
      </c>
    </row>
    <row r="691">
      <c r="A691" t="inlineStr">
        <is>
          <t>val-fr-1</t>
        </is>
      </c>
      <c r="B691" t="inlineStr">
        <is>
          <t>phrase_these</t>
        </is>
      </c>
      <c r="C691" t="inlineStr">
        <is>
          <t>fr</t>
        </is>
      </c>
      <c r="D691"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91" t="inlineStr">
        <is>
          <t>2026-10-30T15:06:38+00:00</t>
        </is>
      </c>
      <c r="F691" t="inlineStr">
        <is>
          <t>{"Keyword": "création site web toronto", "Search Volume": "0", "CPC": "0", "Competition": "0", "Number of Results": "0", "Trends": "0.00,0.00,0.00,0.00", "Intent": "", "Keyword Difficulty Index": "0"}</t>
        </is>
      </c>
      <c r="G691" t="inlineStr">
        <is>
          <t>Raw (Semrush)</t>
        </is>
      </c>
    </row>
    <row r="692">
      <c r="A692" t="inlineStr">
        <is>
          <t>val-fr-1</t>
        </is>
      </c>
      <c r="B692" t="inlineStr">
        <is>
          <t>phrase_these</t>
        </is>
      </c>
      <c r="C692" t="inlineStr">
        <is>
          <t>fr</t>
        </is>
      </c>
      <c r="D692" t="inlineStr">
        <is>
          <t>carte maillage interne;certificat ssl;checklist mise en ligne site;choisir une plateforme e-learning;combien coute un saas;combien coute un site e-commerce;combien coute un site immobilier;combien coute un site internet;combien coute un site internet pour un médecin;combien coute un site vitrine;combien coute une application fintech;combien coute une application web;combien coute une plateforme e-learning;combien coûte le développement d'un saas;combien coûte un site internet;combien de temps pour créer un site internet;comment choisir une agence web;comment créer un saas;comment créer un site de formation en ligne;comment créer un site immobilier;comment créer une plateforme de téléconsultation;comment créer une plateforme e-learning;comment créer une plateforme saas;compresser css;compresser html;compresser image;compresser image en ligne;compresser photo;compression image;compter les mots;compteur de caractères;compteur de mot;compteur de mots;conception site web;confiance site web;</t>
        </is>
      </c>
      <c r="E692" t="inlineStr">
        <is>
          <t>2026-10-30T15:06:38+00:00</t>
        </is>
      </c>
      <c r="F692" t="inlineStr">
        <is>
          <t>{"Keyword": "création site web tunis", "Search Volume": "0", "CPC": "0", "Competition": "0", "Number of Results": "0", "Trends": "0.00,0.00,0.00,0.00,0.00,0.00,0.00,0.00,0.00,0.00,0.00,0.00", "Intent": "", "Keyword Difficulty Index": "0"}</t>
        </is>
      </c>
      <c r="G692" t="inlineStr">
        <is>
          <t>Raw (Semrush)</t>
        </is>
      </c>
    </row>
    <row r="693">
      <c r="A693" t="inlineStr">
        <is>
          <t>val-fr-2</t>
        </is>
      </c>
      <c r="B693" t="inlineStr">
        <is>
          <t>phrase_these</t>
        </is>
      </c>
      <c r="C693" t="inlineStr">
        <is>
          <t>fr</t>
        </is>
      </c>
      <c r="D693"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693" t="inlineStr">
        <is>
          <t>2026-10-30T15:06:39+00:00</t>
        </is>
      </c>
      <c r="F693" t="inlineStr">
        <is>
          <t>{"Keyword": "créer lien utm", "Search Volume": "20", "CPC": "0", "Competition": "0.16", "Number of Results": "0", "Trends": "0.66,0.66,0.66,0.66,0.66,0.66,0.66,0.66,0.66,0.66,0.66,0.66", "Intent": "", "Keyword Difficulty Index": "0"}</t>
        </is>
      </c>
      <c r="G693" t="inlineStr">
        <is>
          <t>Raw (Semrush)</t>
        </is>
      </c>
    </row>
    <row r="694">
      <c r="A694" t="inlineStr">
        <is>
          <t>val-fr-2</t>
        </is>
      </c>
      <c r="B694" t="inlineStr">
        <is>
          <t>phrase_these</t>
        </is>
      </c>
      <c r="C694" t="inlineStr">
        <is>
          <t>fr</t>
        </is>
      </c>
      <c r="D694"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694" t="inlineStr">
        <is>
          <t>2026-10-30T15:06:39+00:00</t>
        </is>
      </c>
      <c r="F694" t="inlineStr">
        <is>
          <t>{"Keyword": "créer qr code", "Search Volume": "3600", "CPC": "0.46", "Competition": "0.71", "Number of Results": "123", "Trends": "0.35,0.54,0.54,0.54,0.44,0.66,0.44,0.54,0.44,0.54,0.35,0.35", "Intent": "1", "Keyword Difficulty Index": "37"}</t>
        </is>
      </c>
      <c r="G694" t="inlineStr">
        <is>
          <t>Raw (Semrush)</t>
        </is>
      </c>
    </row>
    <row r="695">
      <c r="A695" t="inlineStr">
        <is>
          <t>val-fr-2</t>
        </is>
      </c>
      <c r="B695" t="inlineStr">
        <is>
          <t>phrase_these</t>
        </is>
      </c>
      <c r="C695" t="inlineStr">
        <is>
          <t>fr</t>
        </is>
      </c>
      <c r="D695"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695" t="inlineStr">
        <is>
          <t>2026-10-30T15:06:39+00:00</t>
        </is>
      </c>
      <c r="F695" t="inlineStr">
        <is>
          <t>{"Keyword": "créer robots.txt", "Search Volume": "0", "CPC": "0", "Competition": "0", "Number of Results": "0", "Trends": "0.00,0.00,0.00,0.00,0.00,0.00,0.00,0.00,0.00,0.00,0.00,0.00", "Intent": "", "Keyword Difficulty Index": "0"}</t>
        </is>
      </c>
      <c r="G695" t="inlineStr">
        <is>
          <t>Raw (Semrush)</t>
        </is>
      </c>
    </row>
    <row r="696">
      <c r="A696" t="inlineStr">
        <is>
          <t>val-fr-2</t>
        </is>
      </c>
      <c r="B696" t="inlineStr">
        <is>
          <t>phrase_these</t>
        </is>
      </c>
      <c r="C696" t="inlineStr">
        <is>
          <t>fr</t>
        </is>
      </c>
      <c r="D696"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696" t="inlineStr">
        <is>
          <t>2026-10-30T15:06:39+00:00</t>
        </is>
      </c>
      <c r="F696" t="inlineStr">
        <is>
          <t>{"Keyword": "créer sa formation en ligne", "Search Volume": "30", "CPC": "5.46", "Competition": "0.82", "Number of Results": "0", "Trends": "0.12,0.12,0.06,0.06,0.06,0.15,0.06,0.06,0.09,0.15,0.09,0.15", "Intent": "", "Keyword Difficulty Index": "0"}</t>
        </is>
      </c>
      <c r="G696" t="inlineStr">
        <is>
          <t>Raw (Semrush)</t>
        </is>
      </c>
    </row>
    <row r="697">
      <c r="A697" t="inlineStr">
        <is>
          <t>val-fr-2</t>
        </is>
      </c>
      <c r="B697" t="inlineStr">
        <is>
          <t>phrase_these</t>
        </is>
      </c>
      <c r="C697" t="inlineStr">
        <is>
          <t>fr</t>
        </is>
      </c>
      <c r="D697"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697" t="inlineStr">
        <is>
          <t>2026-10-30T15:06:39+00:00</t>
        </is>
      </c>
      <c r="F697" t="inlineStr">
        <is>
          <t>{"Keyword": "créer sitemap xml", "Search Volume": "20", "CPC": "0", "Competition": "0.11", "Number of Results": "0", "Trends": "0.28,0.28,0.28,0.28,0.28,0.28,0.28,0.28,0.28,0.28,0.28,0.28", "Intent": "", "Keyword Difficulty Index": "0"}</t>
        </is>
      </c>
      <c r="G697" t="inlineStr">
        <is>
          <t>Raw (Semrush)</t>
        </is>
      </c>
    </row>
    <row r="698">
      <c r="A698" t="inlineStr">
        <is>
          <t>val-fr-2</t>
        </is>
      </c>
      <c r="B698" t="inlineStr">
        <is>
          <t>phrase_these</t>
        </is>
      </c>
      <c r="C698" t="inlineStr">
        <is>
          <t>fr</t>
        </is>
      </c>
      <c r="D698"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698" t="inlineStr">
        <is>
          <t>2026-10-30T15:06:39+00:00</t>
        </is>
      </c>
      <c r="F698" t="inlineStr">
        <is>
          <t>{"Keyword": "créer un chatbot", "Search Volume": "480", "CPC": "2.62", "Competition": "0.49", "Number of Results": "10", "Trends": "0.66,0.54,0.66,0.81,0.81,1.00,0.54,0.54,0.44,0.44,0.54,0.19", "Intent": "1", "Keyword Difficulty Index": "39"}</t>
        </is>
      </c>
      <c r="G698" t="inlineStr">
        <is>
          <t>Raw (Semrush)</t>
        </is>
      </c>
    </row>
    <row r="699">
      <c r="A699" t="inlineStr">
        <is>
          <t>val-fr-2</t>
        </is>
      </c>
      <c r="B699" t="inlineStr">
        <is>
          <t>phrase_these</t>
        </is>
      </c>
      <c r="C699" t="inlineStr">
        <is>
          <t>fr</t>
        </is>
      </c>
      <c r="D699"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699" t="inlineStr">
        <is>
          <t>2026-10-30T15:06:39+00:00</t>
        </is>
      </c>
      <c r="F699" t="inlineStr">
        <is>
          <t>{"Keyword": "créer un logiciel saas", "Search Volume": "70", "CPC": "0", "Competition": "0", "Number of Results": "0", "Trends": "1.00,0.64,0.23,0.23,0.23,0.23,0.17,0.17,0.29,0.17,0.11,0.11", "Intent": "1", "Keyword Difficulty Index": "7"}</t>
        </is>
      </c>
      <c r="G699" t="inlineStr">
        <is>
          <t>Raw (Semrush)</t>
        </is>
      </c>
    </row>
    <row r="700">
      <c r="A700" t="inlineStr">
        <is>
          <t>val-fr-2</t>
        </is>
      </c>
      <c r="B700" t="inlineStr">
        <is>
          <t>phrase_these</t>
        </is>
      </c>
      <c r="C700" t="inlineStr">
        <is>
          <t>fr</t>
        </is>
      </c>
      <c r="D700"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0" t="inlineStr">
        <is>
          <t>2026-10-30T15:06:39+00:00</t>
        </is>
      </c>
      <c r="F700" t="inlineStr">
        <is>
          <t>{"Keyword": "créer un saas", "Search Volume": "170", "CPC": "2.79", "Competition": "0.44", "Number of Results": "125", "Trends": "0.43,0.28,0.12,0.66,0.28,0.28,0.43,0.66,0.43,0.53,0.35,1.00", "Intent": "1", "Keyword Difficulty Index": "10"}</t>
        </is>
      </c>
      <c r="G700" t="inlineStr">
        <is>
          <t>Raw (Semrush)</t>
        </is>
      </c>
    </row>
    <row r="701">
      <c r="A701" t="inlineStr">
        <is>
          <t>val-fr-2</t>
        </is>
      </c>
      <c r="B701" t="inlineStr">
        <is>
          <t>phrase_these</t>
        </is>
      </c>
      <c r="C701" t="inlineStr">
        <is>
          <t>fr</t>
        </is>
      </c>
      <c r="D701"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1" t="inlineStr">
        <is>
          <t>2026-10-30T15:06:39+00:00</t>
        </is>
      </c>
      <c r="F701" t="inlineStr">
        <is>
          <t>{"Keyword": "créer un site de formation en ligne", "Search Volume": "70", "CPC": "3.48", "Competition": "0.66", "Number of Results": "131", "Trends": "0.12,0.10,0.12,0.17,0.23,0.17,0.17,0.17,0.17,0.28,0.28,0.23", "Intent": "1", "Keyword Difficulty Index": "23"}</t>
        </is>
      </c>
      <c r="G701" t="inlineStr">
        <is>
          <t>Raw (Semrush)</t>
        </is>
      </c>
    </row>
    <row r="702">
      <c r="A702" t="inlineStr">
        <is>
          <t>val-fr-2</t>
        </is>
      </c>
      <c r="B702" t="inlineStr">
        <is>
          <t>phrase_these</t>
        </is>
      </c>
      <c r="C702" t="inlineStr">
        <is>
          <t>fr</t>
        </is>
      </c>
      <c r="D702"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2" t="inlineStr">
        <is>
          <t>2026-10-30T15:06:39+00:00</t>
        </is>
      </c>
      <c r="F702" t="inlineStr">
        <is>
          <t>{"Keyword": "créer une landing page", "Search Volume": "590", "CPC": "4.58", "Competition": "0.47", "Number of Results": "10", "Trends": "0.88,0.72,0.59,1.00,0.59,0.59,0.59,0.59,0.48,0.59,0.14,0.14", "Intent": "0", "Keyword Difficulty Index": "31"}</t>
        </is>
      </c>
      <c r="G702" t="inlineStr">
        <is>
          <t>Raw (Semrush)</t>
        </is>
      </c>
    </row>
    <row r="703">
      <c r="A703" t="inlineStr">
        <is>
          <t>val-fr-2</t>
        </is>
      </c>
      <c r="B703" t="inlineStr">
        <is>
          <t>phrase_these</t>
        </is>
      </c>
      <c r="C703" t="inlineStr">
        <is>
          <t>fr</t>
        </is>
      </c>
      <c r="D703"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3" t="inlineStr">
        <is>
          <t>2026-10-30T15:06:39+00:00</t>
        </is>
      </c>
      <c r="F703" t="inlineStr">
        <is>
          <t>{"Keyword": "créer une plateforme de cours en ligne", "Search Volume": "0", "CPC": "1.95", "Competition": "1", "Number of Results": "0", "Trends": "0.00,0.00,0.00,0.00,0.00,0.00,0.00,0.00,0.00,0.00,0.00,0.00", "Intent": "", "Keyword Difficulty Index": "0"}</t>
        </is>
      </c>
      <c r="G703" t="inlineStr">
        <is>
          <t>Raw (Semrush)</t>
        </is>
      </c>
    </row>
    <row r="704">
      <c r="A704" t="inlineStr">
        <is>
          <t>val-fr-2</t>
        </is>
      </c>
      <c r="B704" t="inlineStr">
        <is>
          <t>phrase_these</t>
        </is>
      </c>
      <c r="C704" t="inlineStr">
        <is>
          <t>fr</t>
        </is>
      </c>
      <c r="D704"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4" t="inlineStr">
        <is>
          <t>2026-10-30T15:06:39+00:00</t>
        </is>
      </c>
      <c r="F704" t="inlineStr">
        <is>
          <t>{"Keyword": "créer une plateforme e-learning", "Search Volume": "20", "CPC": "0", "Competition": "0.69", "Number of Results": "0", "Trends": "0.33,0.33,0.66,0.66,0.66,0.66,0.66,0.33,0.66,0.66,0.66,0.66", "Intent": "", "Keyword Difficulty Index": "0"}</t>
        </is>
      </c>
      <c r="G704" t="inlineStr">
        <is>
          <t>Raw (Semrush)</t>
        </is>
      </c>
    </row>
    <row r="705">
      <c r="A705" t="inlineStr">
        <is>
          <t>val-fr-2</t>
        </is>
      </c>
      <c r="B705" t="inlineStr">
        <is>
          <t>phrase_these</t>
        </is>
      </c>
      <c r="C705" t="inlineStr">
        <is>
          <t>fr</t>
        </is>
      </c>
      <c r="D705"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5" t="inlineStr">
        <is>
          <t>2026-10-30T15:06:39+00:00</t>
        </is>
      </c>
      <c r="F705" t="inlineStr">
        <is>
          <t>{"Keyword": "créer une plateforme saas", "Search Volume": "0", "CPC": "0", "Competition": "0", "Number of Results": "0", "Trends": "0.00,0.00,0.00,0.00,0.00,0.00,0.00,0.00,0.00,0.00,0.00,0.00", "Intent": "", "Keyword Difficulty Index": "0"}</t>
        </is>
      </c>
      <c r="G705" t="inlineStr">
        <is>
          <t>Raw (Semrush)</t>
        </is>
      </c>
    </row>
    <row r="706">
      <c r="A706" t="inlineStr">
        <is>
          <t>val-fr-2</t>
        </is>
      </c>
      <c r="B706" t="inlineStr">
        <is>
          <t>phrase_these</t>
        </is>
      </c>
      <c r="C706" t="inlineStr">
        <is>
          <t>fr</t>
        </is>
      </c>
      <c r="D706"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6" t="inlineStr">
        <is>
          <t>2026-10-30T15:06:39+00:00</t>
        </is>
      </c>
      <c r="F706" t="inlineStr">
        <is>
          <t>{"Keyword": "css minifier", "Search Volume": "260", "CPC": "0", "Competition": "0.33", "Number of Results": "61", "Trends": "0.17,0.21,0.32,0.32,0.21,0.26,0.26,0.17,0.17,0.21,0.26,0.11", "Intent": "1", "Keyword Difficulty Index": "25"}</t>
        </is>
      </c>
      <c r="G706" t="inlineStr">
        <is>
          <t>Raw (Semrush)</t>
        </is>
      </c>
    </row>
    <row r="707">
      <c r="A707" t="inlineStr">
        <is>
          <t>val-fr-2</t>
        </is>
      </c>
      <c r="B707" t="inlineStr">
        <is>
          <t>phrase_these</t>
        </is>
      </c>
      <c r="C707" t="inlineStr">
        <is>
          <t>fr</t>
        </is>
      </c>
      <c r="D707"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7" t="inlineStr">
        <is>
          <t>2026-10-30T15:06:39+00:00</t>
        </is>
      </c>
      <c r="F707" t="inlineStr">
        <is>
          <t>{"Keyword": "densité de mots clés", "Search Volume": "70", "CPC": "0", "Competition": "0.33", "Number of Results": "125", "Trends": "0.41,0.41,0.41,0.52,0.41,0.52,0.41,0.29,0.29,0.29,0.41,0.41", "Intent": "1", "Keyword Difficulty Index": "20"}</t>
        </is>
      </c>
      <c r="G707" t="inlineStr">
        <is>
          <t>Raw (Semrush)</t>
        </is>
      </c>
    </row>
    <row r="708">
      <c r="A708" t="inlineStr">
        <is>
          <t>val-fr-2</t>
        </is>
      </c>
      <c r="B708" t="inlineStr">
        <is>
          <t>phrase_these</t>
        </is>
      </c>
      <c r="C708" t="inlineStr">
        <is>
          <t>fr</t>
        </is>
      </c>
      <c r="D708"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8" t="inlineStr">
        <is>
          <t>2026-10-30T15:06:39+00:00</t>
        </is>
      </c>
      <c r="F708" t="inlineStr">
        <is>
          <t>{"Keyword": "densité mot clé", "Search Volume": "170", "CPC": "0", "Competition": "0.33", "Number of Results": "93", "Trends": "0.80,0.80,0.80,1.00,1.00,1.00,0.80,1.00,1.00,1.00,0.52,0.52", "Intent": "1", "Keyword Difficulty Index": "21"}</t>
        </is>
      </c>
      <c r="G708" t="inlineStr">
        <is>
          <t>Raw (Semrush)</t>
        </is>
      </c>
    </row>
    <row r="709">
      <c r="A709" t="inlineStr">
        <is>
          <t>val-fr-2</t>
        </is>
      </c>
      <c r="B709" t="inlineStr">
        <is>
          <t>phrase_these</t>
        </is>
      </c>
      <c r="C709" t="inlineStr">
        <is>
          <t>fr</t>
        </is>
      </c>
      <c r="D709"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09" t="inlineStr">
        <is>
          <t>2026-10-30T15:06:39+00:00</t>
        </is>
      </c>
      <c r="F709" t="inlineStr">
        <is>
          <t>{"Keyword": "devis création site internet", "Search Volume": "880", "CPC": "9.14", "Competition": "0.2", "Number of Results": "135", "Trends": "1.00,0.88,0.72,0.72,0.72,0.88,0.88,0.88,0.88,1.00,0.14,0.11", "Intent": "1", "Keyword Difficulty Index": "16"}</t>
        </is>
      </c>
      <c r="G709" t="inlineStr">
        <is>
          <t>Raw (Semrush)</t>
        </is>
      </c>
    </row>
    <row r="710">
      <c r="A710" t="inlineStr">
        <is>
          <t>val-fr-2</t>
        </is>
      </c>
      <c r="B710" t="inlineStr">
        <is>
          <t>phrase_these</t>
        </is>
      </c>
      <c r="C710" t="inlineStr">
        <is>
          <t>fr</t>
        </is>
      </c>
      <c r="D710"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0" t="inlineStr">
        <is>
          <t>2026-10-30T15:06:39+00:00</t>
        </is>
      </c>
      <c r="F710" t="inlineStr">
        <is>
          <t>{"Keyword": "devis site web", "Search Volume": "590", "CPC": "5.18", "Competition": "0.45", "Number of Results": "135", "Trends": "1.00,0.81,0.67,0.81,0.54,0.67,0.67,0.67,0.54,0.67,0.54,0.12", "Intent": "1", "Keyword Difficulty Index": "24"}</t>
        </is>
      </c>
      <c r="G710" t="inlineStr">
        <is>
          <t>Raw (Semrush)</t>
        </is>
      </c>
    </row>
    <row r="711">
      <c r="A711" t="inlineStr">
        <is>
          <t>val-fr-2</t>
        </is>
      </c>
      <c r="B711" t="inlineStr">
        <is>
          <t>phrase_these</t>
        </is>
      </c>
      <c r="C711" t="inlineStr">
        <is>
          <t>fr</t>
        </is>
      </c>
      <c r="D711"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1" t="inlineStr">
        <is>
          <t>2026-10-30T15:06:39+00:00</t>
        </is>
      </c>
      <c r="F711" t="inlineStr">
        <is>
          <t>{"Keyword": "domain authority", "Search Volume": "720", "CPC": "2.07", "Competition": "0.04", "Number of Results": "124", "Trends": "0.20,0.30,0.41,0.79,0.20,0.13,0.10,0.30,0.08,0.36,0.36,0.41", "Intent": "1", "Keyword Difficulty Index": "83"}</t>
        </is>
      </c>
      <c r="G711" t="inlineStr">
        <is>
          <t>Raw (Semrush)</t>
        </is>
      </c>
    </row>
    <row r="712">
      <c r="A712" t="inlineStr">
        <is>
          <t>val-fr-2</t>
        </is>
      </c>
      <c r="B712" t="inlineStr">
        <is>
          <t>phrase_these</t>
        </is>
      </c>
      <c r="C712" t="inlineStr">
        <is>
          <t>fr</t>
        </is>
      </c>
      <c r="D712"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2" t="inlineStr">
        <is>
          <t>2026-10-30T15:06:39+00:00</t>
        </is>
      </c>
      <c r="F712" t="inlineStr">
        <is>
          <t>{"Keyword": "domaine expiré", "Search Volume": "90", "CPC": "1.22", "Competition": "0.26", "Number of Results": "111", "Trends": "0.53,0.34,0.42,0.42,0.34,0.26,0.26,0.34,0.26,0.53,0.19,0.19", "Intent": "1", "Keyword Difficulty Index": "19"}</t>
        </is>
      </c>
      <c r="G712" t="inlineStr">
        <is>
          <t>Raw (Semrush)</t>
        </is>
      </c>
    </row>
    <row r="713">
      <c r="A713" t="inlineStr">
        <is>
          <t>val-fr-2</t>
        </is>
      </c>
      <c r="B713" t="inlineStr">
        <is>
          <t>phrase_these</t>
        </is>
      </c>
      <c r="C713" t="inlineStr">
        <is>
          <t>fr</t>
        </is>
      </c>
      <c r="D713"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3" t="inlineStr">
        <is>
          <t>2026-10-30T15:06:39+00:00</t>
        </is>
      </c>
      <c r="F713" t="inlineStr">
        <is>
          <t>{"Keyword": "domaines expirés", "Search Volume": "40", "CPC": "1.21", "Competition": "0.25", "Number of Results": "0", "Trends": "0.11,0.15,0.15,0.11,0.15,0.15,0.19,0.15,0.11,0.19,0.07,0.07", "Intent": "", "Keyword Difficulty Index": "0"}</t>
        </is>
      </c>
      <c r="G713" t="inlineStr">
        <is>
          <t>Raw (Semrush)</t>
        </is>
      </c>
    </row>
    <row r="714">
      <c r="A714" t="inlineStr">
        <is>
          <t>val-fr-2</t>
        </is>
      </c>
      <c r="B714" t="inlineStr">
        <is>
          <t>phrase_these</t>
        </is>
      </c>
      <c r="C714" t="inlineStr">
        <is>
          <t>fr</t>
        </is>
      </c>
      <c r="D714"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4" t="inlineStr">
        <is>
          <t>2026-10-30T15:06:39+00:00</t>
        </is>
      </c>
      <c r="F714" t="inlineStr">
        <is>
          <t>{"Keyword": "données structurées", "Search Volume": "880", "CPC": "0", "Competition": "0.01", "Number of Results": "130", "Trends": "0.45,0.55,0.55,0.62,0.45,0.62,0.55,0.55,0.62,0.55,0.45,0.36", "Intent": "1", "Keyword Difficulty Index": "35"}</t>
        </is>
      </c>
      <c r="G714" t="inlineStr">
        <is>
          <t>Raw (Semrush)</t>
        </is>
      </c>
    </row>
    <row r="715">
      <c r="A715" t="inlineStr">
        <is>
          <t>val-fr-2</t>
        </is>
      </c>
      <c r="B715" t="inlineStr">
        <is>
          <t>phrase_these</t>
        </is>
      </c>
      <c r="C715" t="inlineStr">
        <is>
          <t>fr</t>
        </is>
      </c>
      <c r="D715"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5" t="inlineStr">
        <is>
          <t>2026-10-30T15:06:39+00:00</t>
        </is>
      </c>
      <c r="F715" t="inlineStr">
        <is>
          <t>{"Keyword": "duplicate content", "Search Volume": "720", "CPC": "0", "Competition": "0.02", "Number of Results": "130", "Trends": "0.88,0.88,1.00,0.88,0.72,0.72,0.88,0.72,1.00,0.88,0.14,0.14", "Intent": "1", "Keyword Difficulty Index": "32"}</t>
        </is>
      </c>
      <c r="G715" t="inlineStr">
        <is>
          <t>Raw (Semrush)</t>
        </is>
      </c>
    </row>
    <row r="716">
      <c r="A716" t="inlineStr">
        <is>
          <t>val-fr-2</t>
        </is>
      </c>
      <c r="B716" t="inlineStr">
        <is>
          <t>phrase_these</t>
        </is>
      </c>
      <c r="C716" t="inlineStr">
        <is>
          <t>fr</t>
        </is>
      </c>
      <c r="D716"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6" t="inlineStr">
        <is>
          <t>2026-10-30T15:06:39+00:00</t>
        </is>
      </c>
      <c r="F716" t="inlineStr">
        <is>
          <t>{"Keyword": "décoder base64", "Search Volume": "10", "CPC": "0", "Competition": "0.33", "Number of Results": "0", "Trends": "0.00,0.00,0.00,0.00,1.00,0.00,0.00,0.44,0.44,0.00,0.00,0.00", "Intent": "", "Keyword Difficulty Index": "0"}</t>
        </is>
      </c>
      <c r="G716" t="inlineStr">
        <is>
          <t>Raw (Semrush)</t>
        </is>
      </c>
    </row>
    <row r="717">
      <c r="A717" t="inlineStr">
        <is>
          <t>val-fr-2</t>
        </is>
      </c>
      <c r="B717" t="inlineStr">
        <is>
          <t>phrase_these</t>
        </is>
      </c>
      <c r="C717" t="inlineStr">
        <is>
          <t>fr</t>
        </is>
      </c>
      <c r="D717"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7" t="inlineStr">
        <is>
          <t>2026-10-30T15:06:39+00:00</t>
        </is>
      </c>
      <c r="F717" t="inlineStr">
        <is>
          <t>{"Keyword": "détecter liens morts", "Search Volume": "0", "CPC": "0", "Competition": "0", "Number of Results": "0", "Trends": "0.00,0.00,0.00,0.00,0.00,0.00,0.00,0.00,0.00,0.00,0.00,0.00", "Intent": "", "Keyword Difficulty Index": "0"}</t>
        </is>
      </c>
      <c r="G717" t="inlineStr">
        <is>
          <t>Raw (Semrush)</t>
        </is>
      </c>
    </row>
    <row r="718">
      <c r="A718" t="inlineStr">
        <is>
          <t>val-fr-2</t>
        </is>
      </c>
      <c r="B718" t="inlineStr">
        <is>
          <t>phrase_these</t>
        </is>
      </c>
      <c r="C718" t="inlineStr">
        <is>
          <t>fr</t>
        </is>
      </c>
      <c r="D718"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8" t="inlineStr">
        <is>
          <t>2026-10-30T15:06:39+00:00</t>
        </is>
      </c>
      <c r="F718" t="inlineStr">
        <is>
          <t>{"Keyword": "détecter texte ia", "Search Volume": "720", "CPC": "0.17", "Competition": "0.31", "Number of Results": "135", "Trends": "0.24,0.45,0.24,0.36,0.76,0.76,0.16,1.00,0.45,1.00,0.36,0.10", "Intent": "0", "Keyword Difficulty Index": "70"}</t>
        </is>
      </c>
      <c r="G718" t="inlineStr">
        <is>
          <t>Raw (Semrush)</t>
        </is>
      </c>
    </row>
    <row r="719">
      <c r="A719" t="inlineStr">
        <is>
          <t>val-fr-2</t>
        </is>
      </c>
      <c r="B719" t="inlineStr">
        <is>
          <t>phrase_these</t>
        </is>
      </c>
      <c r="C719" t="inlineStr">
        <is>
          <t>fr</t>
        </is>
      </c>
      <c r="D719"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19" t="inlineStr">
        <is>
          <t>2026-10-30T15:06:39+00:00</t>
        </is>
      </c>
      <c r="F719" t="inlineStr">
        <is>
          <t>{"Keyword": "détecteur de plagiat", "Search Volume": "1300", "CPC": "0.42", "Competition": "0.51", "Number of Results": "187", "Trends": "0.13,0.13,0.15,0.24,0.24,0.19,0.10,0.15,0.24,0.24,0.19,0.05", "Intent": "0", "Keyword Difficulty Index": "59"}</t>
        </is>
      </c>
      <c r="G719" t="inlineStr">
        <is>
          <t>Raw (Semrush)</t>
        </is>
      </c>
    </row>
    <row r="720">
      <c r="A720" t="inlineStr">
        <is>
          <t>val-fr-2</t>
        </is>
      </c>
      <c r="B720" t="inlineStr">
        <is>
          <t>phrase_these</t>
        </is>
      </c>
      <c r="C720" t="inlineStr">
        <is>
          <t>fr</t>
        </is>
      </c>
      <c r="D720"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0" t="inlineStr">
        <is>
          <t>2026-10-30T15:06:39+00:00</t>
        </is>
      </c>
      <c r="F720" t="inlineStr">
        <is>
          <t>{"Keyword": "développement application saas", "Search Volume": "110", "CPC": "0", "Competition": "0.04", "Number of Results": "149", "Trends": "0.64,0.52,0.41,0.64,0.82,0.82,0.64,0.82,1.00,1.00,0.64,0.64", "Intent": "1", "Keyword Difficulty Index": "13"}</t>
        </is>
      </c>
      <c r="G720" t="inlineStr">
        <is>
          <t>Raw (Semrush)</t>
        </is>
      </c>
    </row>
    <row r="721">
      <c r="A721" t="inlineStr">
        <is>
          <t>val-fr-2</t>
        </is>
      </c>
      <c r="B721" t="inlineStr">
        <is>
          <t>phrase_these</t>
        </is>
      </c>
      <c r="C721" t="inlineStr">
        <is>
          <t>fr</t>
        </is>
      </c>
      <c r="D721"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1" t="inlineStr">
        <is>
          <t>2026-10-30T15:06:39+00:00</t>
        </is>
      </c>
      <c r="F721" t="inlineStr">
        <is>
          <t>{"Keyword": "développement application web", "Search Volume": "1000", "CPC": "10.13", "Competition": "0.34", "Number of Results": "154", "Trends": "0.62,0.62,0.81,0.81,0.81,1.00,0.62,0.62,0.62,0.55,0.55,0.06", "Intent": "1", "Keyword Difficulty Index": "16"}</t>
        </is>
      </c>
      <c r="G721" t="inlineStr">
        <is>
          <t>Raw (Semrush)</t>
        </is>
      </c>
    </row>
    <row r="722">
      <c r="A722" t="inlineStr">
        <is>
          <t>val-fr-2</t>
        </is>
      </c>
      <c r="B722" t="inlineStr">
        <is>
          <t>phrase_these</t>
        </is>
      </c>
      <c r="C722" t="inlineStr">
        <is>
          <t>fr</t>
        </is>
      </c>
      <c r="D722"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2" t="inlineStr">
        <is>
          <t>2026-10-30T15:06:39+00:00</t>
        </is>
      </c>
      <c r="F722" t="inlineStr">
        <is>
          <t>{"Keyword": "développement fintech", "Search Volume": "0", "CPC": "0", "Competition": "0", "Number of Results": "0", "Trends": "0.00,0.00,0.00,0.00,0.00,0.00,0.00,0.00,0.00,0.00,0.00,0.00", "Intent": "", "Keyword Difficulty Index": "0"}</t>
        </is>
      </c>
      <c r="G722" t="inlineStr">
        <is>
          <t>Raw (Semrush)</t>
        </is>
      </c>
    </row>
    <row r="723">
      <c r="A723" t="inlineStr">
        <is>
          <t>val-fr-2</t>
        </is>
      </c>
      <c r="B723" t="inlineStr">
        <is>
          <t>phrase_these</t>
        </is>
      </c>
      <c r="C723" t="inlineStr">
        <is>
          <t>fr</t>
        </is>
      </c>
      <c r="D723"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3" t="inlineStr">
        <is>
          <t>2026-10-30T15:06:39+00:00</t>
        </is>
      </c>
      <c r="F723" t="inlineStr">
        <is>
          <t>{"Keyword": "développement logiciel sur mesure", "Search Volume": "1300", "CPC": "7.38", "Competition": "0.46", "Number of Results": "10", "Trends": "0.68,0.46,0.46,0.68,0.68,0.84,0.84,0.84,0.84,1.00,0.52,0.52", "Intent": "1", "Keyword Difficulty Index": "23"}</t>
        </is>
      </c>
      <c r="G723" t="inlineStr">
        <is>
          <t>Raw (Semrush)</t>
        </is>
      </c>
    </row>
    <row r="724">
      <c r="A724" t="inlineStr">
        <is>
          <t>val-fr-2</t>
        </is>
      </c>
      <c r="B724" t="inlineStr">
        <is>
          <t>phrase_these</t>
        </is>
      </c>
      <c r="C724" t="inlineStr">
        <is>
          <t>fr</t>
        </is>
      </c>
      <c r="D724"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4" t="inlineStr">
        <is>
          <t>2026-10-30T15:06:39+00:00</t>
        </is>
      </c>
      <c r="F724" t="inlineStr">
        <is>
          <t>{"Keyword": "développement offshore maroc", "Search Volume": "0", "CPC": "0", "Competition": "0", "Number of Results": "0", "Trends": "0.00,0.00,0.00,0.00,0.00,0.00,0.00,0.00,0.00,0.00,0.00,0.00", "Intent": "", "Keyword Difficulty Index": "0"}</t>
        </is>
      </c>
      <c r="G724" t="inlineStr">
        <is>
          <t>Raw (Semrush)</t>
        </is>
      </c>
    </row>
    <row r="725">
      <c r="A725" t="inlineStr">
        <is>
          <t>val-fr-2</t>
        </is>
      </c>
      <c r="B725" t="inlineStr">
        <is>
          <t>phrase_these</t>
        </is>
      </c>
      <c r="C725" t="inlineStr">
        <is>
          <t>fr</t>
        </is>
      </c>
      <c r="D725"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5" t="inlineStr">
        <is>
          <t>2026-10-30T15:06:39+00:00</t>
        </is>
      </c>
      <c r="F725" t="inlineStr">
        <is>
          <t>{"Keyword": "développement plateforme e-learning", "Search Volume": "0", "CPC": "0", "Competition": "0", "Number of Results": "0", "Trends": "0.00,0.00,0.00,0.00,0.00,0.00,0.00,0.00,0.00,0.00,0.00,0.00", "Intent": "", "Keyword Difficulty Index": "0"}</t>
        </is>
      </c>
      <c r="G725" t="inlineStr">
        <is>
          <t>Raw (Semrush)</t>
        </is>
      </c>
    </row>
    <row r="726">
      <c r="A726" t="inlineStr">
        <is>
          <t>val-fr-2</t>
        </is>
      </c>
      <c r="B726" t="inlineStr">
        <is>
          <t>phrase_these</t>
        </is>
      </c>
      <c r="C726" t="inlineStr">
        <is>
          <t>fr</t>
        </is>
      </c>
      <c r="D726"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6" t="inlineStr">
        <is>
          <t>2026-10-30T15:06:39+00:00</t>
        </is>
      </c>
      <c r="F726" t="inlineStr">
        <is>
          <t>{"Keyword": "développement plateforme saas", "Search Volume": "0", "CPC": "0", "Competition": "0", "Number of Results": "0", "Trends": "0.00,0.00,0.00,0.00,0.00,0.00,0.00,0.00,0.00,0.00,0.00,0.00", "Intent": "", "Keyword Difficulty Index": "0"}</t>
        </is>
      </c>
      <c r="G726" t="inlineStr">
        <is>
          <t>Raw (Semrush)</t>
        </is>
      </c>
    </row>
    <row r="727">
      <c r="A727" t="inlineStr">
        <is>
          <t>val-fr-2</t>
        </is>
      </c>
      <c r="B727" t="inlineStr">
        <is>
          <t>phrase_these</t>
        </is>
      </c>
      <c r="C727" t="inlineStr">
        <is>
          <t>fr</t>
        </is>
      </c>
      <c r="D727"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7" t="inlineStr">
        <is>
          <t>2026-10-30T15:06:39+00:00</t>
        </is>
      </c>
      <c r="F727" t="inlineStr">
        <is>
          <t>{"Keyword": "développement plateforme web", "Search Volume": "50", "CPC": "0", "Competition": "0", "Number of Results": "0", "Trends": "1.00,0.55,0.33,0.77,1.00,1.00,0.55,0.22,0.33,0.55,0.44,0.33", "Intent": "", "Keyword Difficulty Index": "0"}</t>
        </is>
      </c>
      <c r="G727" t="inlineStr">
        <is>
          <t>Raw (Semrush)</t>
        </is>
      </c>
    </row>
    <row r="728">
      <c r="A728" t="inlineStr">
        <is>
          <t>val-fr-2</t>
        </is>
      </c>
      <c r="B728" t="inlineStr">
        <is>
          <t>phrase_these</t>
        </is>
      </c>
      <c r="C728" t="inlineStr">
        <is>
          <t>fr</t>
        </is>
      </c>
      <c r="D728"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8" t="inlineStr">
        <is>
          <t>2026-10-30T15:06:39+00:00</t>
        </is>
      </c>
      <c r="F728" t="inlineStr">
        <is>
          <t>{"Keyword": "développement saas", "Search Volume": "170", "CPC": "6.46", "Competition": "0.13", "Number of Results": "10", "Trends": "0.65,0.65,0.34,0.42,0.65,0.65,0.53,0.53,0.80,1.00,0.42,0.42", "Intent": "1", "Keyword Difficulty Index": "11"}</t>
        </is>
      </c>
      <c r="G728" t="inlineStr">
        <is>
          <t>Raw (Semrush)</t>
        </is>
      </c>
    </row>
    <row r="729">
      <c r="A729" t="inlineStr">
        <is>
          <t>val-fr-2</t>
        </is>
      </c>
      <c r="B729" t="inlineStr">
        <is>
          <t>phrase_these</t>
        </is>
      </c>
      <c r="C729" t="inlineStr">
        <is>
          <t>fr</t>
        </is>
      </c>
      <c r="D729"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29" t="inlineStr">
        <is>
          <t>2026-10-30T15:06:39+00:00</t>
        </is>
      </c>
      <c r="F729" t="inlineStr">
        <is>
          <t>{"Keyword": "développement site e-commerce", "Search Volume": "70", "CPC": "16.95", "Competition": "0.4", "Number of Results": "10", "Trends": "1.00,0.45,0.09,0.45,0.63,1.00,0.63,0.36,0.63,0.81,0.81,0.63", "Intent": "1", "Keyword Difficulty Index": "28"}</t>
        </is>
      </c>
      <c r="G729" t="inlineStr">
        <is>
          <t>Raw (Semrush)</t>
        </is>
      </c>
    </row>
    <row r="730">
      <c r="A730" t="inlineStr">
        <is>
          <t>val-fr-2</t>
        </is>
      </c>
      <c r="B730" t="inlineStr">
        <is>
          <t>phrase_these</t>
        </is>
      </c>
      <c r="C730" t="inlineStr">
        <is>
          <t>fr</t>
        </is>
      </c>
      <c r="D730"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0" t="inlineStr">
        <is>
          <t>2026-10-30T15:06:39+00:00</t>
        </is>
      </c>
      <c r="F730" t="inlineStr">
        <is>
          <t>{"Keyword": "développement web amsterdam", "Search Volume": "0", "CPC": "0", "Competition": "0", "Number of Results": "0", "Trends": "0.00,0.00,0.00,0.00,0.00,0.00,0.00,0.00,0.00,0.00,0.00,0.00", "Intent": "", "Keyword Difficulty Index": "0"}</t>
        </is>
      </c>
      <c r="G730" t="inlineStr">
        <is>
          <t>Raw (Semrush)</t>
        </is>
      </c>
    </row>
    <row r="731">
      <c r="A731" t="inlineStr">
        <is>
          <t>val-fr-2</t>
        </is>
      </c>
      <c r="B731" t="inlineStr">
        <is>
          <t>phrase_these</t>
        </is>
      </c>
      <c r="C731" t="inlineStr">
        <is>
          <t>fr</t>
        </is>
      </c>
      <c r="D731"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1" t="inlineStr">
        <is>
          <t>2026-10-30T15:06:39+00:00</t>
        </is>
      </c>
      <c r="F731" t="inlineStr">
        <is>
          <t>{"Keyword": "développement web bruxelles", "Search Volume": "10", "CPC": "0", "Competition": "0.66", "Number of Results": "0", "Trends": "0.00,0.00,0.00,0.00,0.00,1.00,0.00,1.00,1.00,1.00,1.00,1.00", "Intent": "", "Keyword Difficulty Index": "0"}</t>
        </is>
      </c>
      <c r="G731" t="inlineStr">
        <is>
          <t>Raw (Semrush)</t>
        </is>
      </c>
    </row>
    <row r="732">
      <c r="A732" t="inlineStr">
        <is>
          <t>val-fr-2</t>
        </is>
      </c>
      <c r="B732" t="inlineStr">
        <is>
          <t>phrase_these</t>
        </is>
      </c>
      <c r="C732" t="inlineStr">
        <is>
          <t>fr</t>
        </is>
      </c>
      <c r="D732"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2" t="inlineStr">
        <is>
          <t>2026-10-30T15:06:39+00:00</t>
        </is>
      </c>
      <c r="F732" t="inlineStr">
        <is>
          <t>{"Keyword": "développement web offshore", "Search Volume": "210", "CPC": "0", "Competition": "0.33", "Number of Results": "96", "Trends": "0.80,0.80,0.80,0.80,1.00,0.80,0.53,0.80,0.80,0.80,0.42,0.42", "Intent": "1", "Keyword Difficulty Index": "12"}</t>
        </is>
      </c>
      <c r="G732" t="inlineStr">
        <is>
          <t>Raw (Semrush)</t>
        </is>
      </c>
    </row>
    <row r="733">
      <c r="A733" t="inlineStr">
        <is>
          <t>val-fr-2</t>
        </is>
      </c>
      <c r="B733" t="inlineStr">
        <is>
          <t>phrase_these</t>
        </is>
      </c>
      <c r="C733" t="inlineStr">
        <is>
          <t>fr</t>
        </is>
      </c>
      <c r="D733"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3" t="inlineStr">
        <is>
          <t>2026-10-30T15:06:39+00:00</t>
        </is>
      </c>
      <c r="F733" t="inlineStr">
        <is>
          <t>{"Keyword": "développement web paris", "Search Volume": "260", "CPC": "2.07", "Competition": "0.46", "Number of Results": "134", "Trends": "0.66,0.53,0.66,1.00,1.00,1.00,0.82,0.82,0.82,0.82,0.82,0.66", "Intent": "0", "Keyword Difficulty Index": "31"}</t>
        </is>
      </c>
      <c r="G733" t="inlineStr">
        <is>
          <t>Raw (Semrush)</t>
        </is>
      </c>
    </row>
    <row r="734">
      <c r="A734" t="inlineStr">
        <is>
          <t>val-fr-2</t>
        </is>
      </c>
      <c r="B734" t="inlineStr">
        <is>
          <t>phrase_these</t>
        </is>
      </c>
      <c r="C734" t="inlineStr">
        <is>
          <t>fr</t>
        </is>
      </c>
      <c r="D734"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4" t="inlineStr">
        <is>
          <t>2026-10-30T15:06:39+00:00</t>
        </is>
      </c>
      <c r="F734" t="inlineStr">
        <is>
          <t>{"Keyword": "développement web sur mesure", "Search Volume": "1600", "CPC": "6.28", "Competition": "0.06", "Number of Results": "138", "Trends": "0.68,0.68,0.68,0.84,0.84,1.00,0.84,1.00,1.00,0.84,0.52,0.05", "Intent": "1", "Keyword Difficulty Index": "10"}</t>
        </is>
      </c>
      <c r="G734" t="inlineStr">
        <is>
          <t>Raw (Semrush)</t>
        </is>
      </c>
    </row>
    <row r="735">
      <c r="A735" t="inlineStr">
        <is>
          <t>val-fr-2</t>
        </is>
      </c>
      <c r="B735" t="inlineStr">
        <is>
          <t>phrase_these</t>
        </is>
      </c>
      <c r="C735" t="inlineStr">
        <is>
          <t>fr</t>
        </is>
      </c>
      <c r="D735"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5" t="inlineStr">
        <is>
          <t>2026-10-30T15:06:39+00:00</t>
        </is>
      </c>
      <c r="F735" t="inlineStr">
        <is>
          <t>{"Keyword": "développement web toronto", "Search Volume": "0", "CPC": "0", "Competition": "0", "Number of Results": "0", "Trends": "0.00,0.00,0.00,0.00,0.00,0.00,0.00,0.00,0.00,0.00,0.00,0.00", "Intent": "", "Keyword Difficulty Index": "0"}</t>
        </is>
      </c>
      <c r="G735" t="inlineStr">
        <is>
          <t>Raw (Semrush)</t>
        </is>
      </c>
    </row>
    <row r="736">
      <c r="A736" t="inlineStr">
        <is>
          <t>val-fr-2</t>
        </is>
      </c>
      <c r="B736" t="inlineStr">
        <is>
          <t>phrase_these</t>
        </is>
      </c>
      <c r="C736" t="inlineStr">
        <is>
          <t>fr</t>
        </is>
      </c>
      <c r="D736"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6" t="inlineStr">
        <is>
          <t>2026-10-30T15:06:39+00:00</t>
        </is>
      </c>
      <c r="F736" t="inlineStr">
        <is>
          <t>{"Keyword": "développement web tunis", "Search Volume": "0", "CPC": "0", "Competition": "0", "Number of Results": "0", "Trends": "0.00,0.00,0.00,0.00,0.00,0.00,0.00,0.00,0.00,0.00,0.00,0.00", "Intent": "", "Keyword Difficulty Index": "0"}</t>
        </is>
      </c>
      <c r="G736" t="inlineStr">
        <is>
          <t>Raw (Semrush)</t>
        </is>
      </c>
    </row>
    <row r="737">
      <c r="A737" t="inlineStr">
        <is>
          <t>val-fr-2</t>
        </is>
      </c>
      <c r="B737" t="inlineStr">
        <is>
          <t>phrase_these</t>
        </is>
      </c>
      <c r="C737" t="inlineStr">
        <is>
          <t>fr</t>
        </is>
      </c>
      <c r="D737"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7" t="inlineStr">
        <is>
          <t>2026-10-30T15:06:39+00:00</t>
        </is>
      </c>
      <c r="F737" t="inlineStr">
        <is>
          <t>{"Keyword": "développeur maroc", "Search Volume": "10", "CPC": "2.14", "Competition": "0.66", "Number of Results": "0", "Trends": "0.50,0.00,0.00,0.00,1.00,0.00,1.00,1.00,1.00,1.00,0.00,1.00", "Intent": "", "Keyword Difficulty Index": "0"}</t>
        </is>
      </c>
      <c r="G737" t="inlineStr">
        <is>
          <t>Raw (Semrush)</t>
        </is>
      </c>
    </row>
    <row r="738">
      <c r="A738" t="inlineStr">
        <is>
          <t>val-fr-2</t>
        </is>
      </c>
      <c r="B738" t="inlineStr">
        <is>
          <t>phrase_these</t>
        </is>
      </c>
      <c r="C738" t="inlineStr">
        <is>
          <t>fr</t>
        </is>
      </c>
      <c r="D738"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8" t="inlineStr">
        <is>
          <t>2026-10-30T15:06:39+00:00</t>
        </is>
      </c>
      <c r="F738" t="inlineStr">
        <is>
          <t>{"Keyword": "développeur offshore", "Search Volume": "110", "CPC": "3.54", "Competition": "0.2", "Number of Results": "108", "Trends": "0.64,0.82,0.82,0.64,1.00,1.00,0.41,0.41,0.41,0.41,0.41,0.41", "Intent": "1", "Keyword Difficulty Index": "10"}</t>
        </is>
      </c>
      <c r="G738" t="inlineStr">
        <is>
          <t>Raw (Semrush)</t>
        </is>
      </c>
    </row>
    <row r="739">
      <c r="A739" t="inlineStr">
        <is>
          <t>val-fr-2</t>
        </is>
      </c>
      <c r="B739" t="inlineStr">
        <is>
          <t>phrase_these</t>
        </is>
      </c>
      <c r="C739" t="inlineStr">
        <is>
          <t>fr</t>
        </is>
      </c>
      <c r="D739"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39" t="inlineStr">
        <is>
          <t>2026-10-30T15:06:39+00:00</t>
        </is>
      </c>
      <c r="F739" t="inlineStr">
        <is>
          <t>{"Keyword": "développeur saas", "Search Volume": "30", "CPC": "4.77", "Competition": "0.65", "Number of Results": "0", "Trends": "0.17,0.11,0.11,0.17,0.23,0.23,0.23,0.17,0.11,0.29,0.29,0.23", "Intent": "", "Keyword Difficulty Index": "0"}</t>
        </is>
      </c>
      <c r="G739" t="inlineStr">
        <is>
          <t>Raw (Semrush)</t>
        </is>
      </c>
    </row>
    <row r="740">
      <c r="A740" t="inlineStr">
        <is>
          <t>val-fr-2</t>
        </is>
      </c>
      <c r="B740" t="inlineStr">
        <is>
          <t>phrase_these</t>
        </is>
      </c>
      <c r="C740" t="inlineStr">
        <is>
          <t>fr</t>
        </is>
      </c>
      <c r="D740"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40" t="inlineStr">
        <is>
          <t>2026-10-30T15:06:39+00:00</t>
        </is>
      </c>
      <c r="F740" t="inlineStr">
        <is>
          <t>{"Keyword": "développeur web freelance", "Search Volume": "1000", "CPC": "1.53", "Competition": "0.27", "Number of Results": "129", "Trends": "0.76,1.00,0.45,0.76,0.55,0.55,0.76,0.76,0.76,0.76,0.76,1.00", "Intent": "3", "Keyword Difficulty Index": "22"}</t>
        </is>
      </c>
      <c r="G740" t="inlineStr">
        <is>
          <t>Raw (Semrush)</t>
        </is>
      </c>
    </row>
    <row r="741">
      <c r="A741" t="inlineStr">
        <is>
          <t>val-fr-2</t>
        </is>
      </c>
      <c r="B741" t="inlineStr">
        <is>
          <t>phrase_these</t>
        </is>
      </c>
      <c r="C741" t="inlineStr">
        <is>
          <t>fr</t>
        </is>
      </c>
      <c r="D741"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41" t="inlineStr">
        <is>
          <t>2026-10-30T15:06:39+00:00</t>
        </is>
      </c>
      <c r="F741" t="inlineStr">
        <is>
          <t>{"Keyword": "développeur web maroc", "Search Volume": "20", "CPC": "2.58", "Competition": "0.23", "Number of Results": "0", "Trends": "0.14,0.14,0.14,0.14,0.14,0.14,0.14,0.14,0.14,0.14,0.14,0.14", "Intent": "", "Keyword Difficulty Index": "0"}</t>
        </is>
      </c>
      <c r="G741" t="inlineStr">
        <is>
          <t>Raw (Semrush)</t>
        </is>
      </c>
    </row>
    <row r="742">
      <c r="A742" t="inlineStr">
        <is>
          <t>val-fr-2</t>
        </is>
      </c>
      <c r="B742" t="inlineStr">
        <is>
          <t>phrase_these</t>
        </is>
      </c>
      <c r="C742" t="inlineStr">
        <is>
          <t>fr</t>
        </is>
      </c>
      <c r="D742"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42" t="inlineStr">
        <is>
          <t>2026-10-30T15:06:39+00:00</t>
        </is>
      </c>
      <c r="F742" t="inlineStr">
        <is>
          <t>{"Keyword": "e-e-a-t", "Search Volume": "2400", "CPC": "1.34", "Competition": "0.08", "Number of Results": "101", "Trends": "0.04,0.36,0.65,1.00,0.07,0.54,0.29,1.00,0.81,0.29,1.00,1.00", "Intent": "1", "Keyword Difficulty Index": "36"}</t>
        </is>
      </c>
      <c r="G742" t="inlineStr">
        <is>
          <t>Raw (Semrush)</t>
        </is>
      </c>
    </row>
    <row r="743">
      <c r="A743" t="inlineStr">
        <is>
          <t>val-fr-2</t>
        </is>
      </c>
      <c r="B743" t="inlineStr">
        <is>
          <t>phrase_these</t>
        </is>
      </c>
      <c r="C743" t="inlineStr">
        <is>
          <t>fr</t>
        </is>
      </c>
      <c r="D743"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43" t="inlineStr">
        <is>
          <t>2026-10-30T15:06:39+00:00</t>
        </is>
      </c>
      <c r="F743" t="inlineStr">
        <is>
          <t>{"Keyword": "eeat", "Search Volume": "1600", "CPC": "0", "Competition": "0.33", "Number of Results": "130", "Trends": "0.41,0.66,0.79,0.66,0.66,1.00,0.79,0.79,0.79,0.66,0.79,0.66", "Intent": "1", "Keyword Difficulty Index": "40"}</t>
        </is>
      </c>
      <c r="G743" t="inlineStr">
        <is>
          <t>Raw (Semrush)</t>
        </is>
      </c>
    </row>
    <row r="744">
      <c r="A744" t="inlineStr">
        <is>
          <t>val-fr-2</t>
        </is>
      </c>
      <c r="B744" t="inlineStr">
        <is>
          <t>phrase_these</t>
        </is>
      </c>
      <c r="C744" t="inlineStr">
        <is>
          <t>fr</t>
        </is>
      </c>
      <c r="D744"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44" t="inlineStr">
        <is>
          <t>2026-10-30T15:06:39+00:00</t>
        </is>
      </c>
      <c r="F744" t="inlineStr">
        <is>
          <t>{"Keyword": "eeat seo", "Search Volume": "260", "CPC": "0", "Competition": "0.05", "Number of Results": "128", "Trends": "0.19,0.23,0.29,1.00,0.29,0.29,0.15,0.29,0.29,0.29,0.29,0.54", "Intent": "1", "Keyword Difficulty Index": "30"}</t>
        </is>
      </c>
      <c r="G744" t="inlineStr">
        <is>
          <t>Raw (Semrush)</t>
        </is>
      </c>
    </row>
    <row r="745">
      <c r="A745" t="inlineStr">
        <is>
          <t>val-fr-2</t>
        </is>
      </c>
      <c r="B745" t="inlineStr">
        <is>
          <t>phrase_these</t>
        </is>
      </c>
      <c r="C745" t="inlineStr">
        <is>
          <t>fr</t>
        </is>
      </c>
      <c r="D745"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45" t="inlineStr">
        <is>
          <t>2026-10-30T15:06:39+00:00</t>
        </is>
      </c>
      <c r="F745" t="inlineStr">
        <is>
          <t>{"Keyword": "encodeur base64", "Search Volume": "0", "CPC": "0", "Competition": "0", "Number of Results": "0", "Trends": "0.00,0.00,0.00,0.00,0.00,0.00,0.00,0.00,0.00,1.00,0.00,0.00", "Intent": "", "Keyword Difficulty Index": "0"}</t>
        </is>
      </c>
      <c r="G745" t="inlineStr">
        <is>
          <t>Raw (Semrush)</t>
        </is>
      </c>
    </row>
    <row r="746">
      <c r="A746" t="inlineStr">
        <is>
          <t>val-fr-2</t>
        </is>
      </c>
      <c r="B746" t="inlineStr">
        <is>
          <t>phrase_these</t>
        </is>
      </c>
      <c r="C746" t="inlineStr">
        <is>
          <t>fr</t>
        </is>
      </c>
      <c r="D746"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46" t="inlineStr">
        <is>
          <t>2026-10-30T15:06:39+00:00</t>
        </is>
      </c>
      <c r="F746" t="inlineStr">
        <is>
          <t>{"Keyword": "externalisation développement web", "Search Volume": "20", "CPC": "0", "Competition": "0", "Number of Results": "0", "Trends": "0.50,0.50,0.25,0.25,0.25,0.25,0.25,1.00", "Intent": "", "Keyword Difficulty Index": "0"}</t>
        </is>
      </c>
      <c r="G746" t="inlineStr">
        <is>
          <t>Raw (Semrush)</t>
        </is>
      </c>
    </row>
    <row r="747">
      <c r="A747" t="inlineStr">
        <is>
          <t>val-fr-2</t>
        </is>
      </c>
      <c r="B747" t="inlineStr">
        <is>
          <t>phrase_these</t>
        </is>
      </c>
      <c r="C747" t="inlineStr">
        <is>
          <t>fr</t>
        </is>
      </c>
      <c r="D747" t="inlineStr">
        <is>
          <t>création site web vancouver;création site web zurich;création site web école;création site école de langues;créer lien utm;créer qr code;créer robots.txt;créer sa formation en ligne;créer sitemap xml;créer un chatbot;créer un logiciel saas;créer un saas;créer un site de formation en ligne;créer une landing page;créer une plateforme de cours en ligne;créer une plateforme de téléconsultation;créer une plateforme e-learning;créer une plateforme saas;css minifier;densité de mots clés;densité mot clé;devis création site internet;devis site web;domain authority;domaine expiré;domaines expirés;données structurées;données structurées entreprise locale;duplicate content;décoder base64;détecter liens morts;détecter texte ia;détecteur de plagiat;développement application fintech;développement application saas;développement application web;développement edtech;développement fintech;développement logiciel sur mesure;développement offshore avantages;développement offshore maroc;développement platefo</t>
        </is>
      </c>
      <c r="E747" t="inlineStr">
        <is>
          <t>2026-10-30T15:06:39+00:00</t>
        </is>
      </c>
      <c r="F747" t="inlineStr">
        <is>
          <t>{"Keyword": "facebook debugger", "Search Volume": "320", "CPC": "0", "Competition": "0.33", "Number of Results": "108", "Trends": "0.16,0.20,0.24,0.16,0.20,0.20,0.16,0.24,0.24,0.24,0.16,0.16", "Intent": "1", "Keyword Difficulty Index": "33"}</t>
        </is>
      </c>
      <c r="G747" t="inlineStr">
        <is>
          <t>Raw (Semrush)</t>
        </is>
      </c>
    </row>
    <row r="748">
      <c r="A748" t="inlineStr">
        <is>
          <t>val-fr-3</t>
        </is>
      </c>
      <c r="B748" t="inlineStr">
        <is>
          <t>phrase_these</t>
        </is>
      </c>
      <c r="C748" t="inlineStr">
        <is>
          <t>fr</t>
        </is>
      </c>
      <c r="D748"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48" t="inlineStr">
        <is>
          <t>2026-10-30T15:06:40+00:00</t>
        </is>
      </c>
      <c r="F748" t="inlineStr">
        <is>
          <t>{"Keyword": "faq schema", "Search Volume": "50", "CPC": "0", "Competition": "0.02", "Number of Results": "0", "Trends": "0.27,0.36,0.63,0.45,0.36,0.45,0.45,0.18,0.63,0.63,0.63,0.45", "Intent": "", "Keyword Difficulty Index": "0"}</t>
        </is>
      </c>
      <c r="G748" t="inlineStr">
        <is>
          <t>Raw (Semrush)</t>
        </is>
      </c>
    </row>
    <row r="749">
      <c r="A749" t="inlineStr">
        <is>
          <t>val-fr-3</t>
        </is>
      </c>
      <c r="B749" t="inlineStr">
        <is>
          <t>phrase_these</t>
        </is>
      </c>
      <c r="C749" t="inlineStr">
        <is>
          <t>fr</t>
        </is>
      </c>
      <c r="D749"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49" t="inlineStr">
        <is>
          <t>2026-10-30T15:06:40+00:00</t>
        </is>
      </c>
      <c r="F749" t="inlineStr">
        <is>
          <t>{"Keyword": "faqpage schema", "Search Volume": "20", "CPC": "0", "Competition": "0.04", "Number of Results": "0", "Trends": "0.66,0.66,0.66,0.66,0.66,0.66,0.66,0.66,0.66,0.66,0.66,1.00", "Intent": "", "Keyword Difficulty Index": "0"}</t>
        </is>
      </c>
      <c r="G749" t="inlineStr">
        <is>
          <t>Raw (Semrush)</t>
        </is>
      </c>
    </row>
    <row r="750">
      <c r="A750" t="inlineStr">
        <is>
          <t>val-fr-3</t>
        </is>
      </c>
      <c r="B750" t="inlineStr">
        <is>
          <t>phrase_these</t>
        </is>
      </c>
      <c r="C750" t="inlineStr">
        <is>
          <t>fr</t>
        </is>
      </c>
      <c r="D750"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0" t="inlineStr">
        <is>
          <t>2026-10-30T15:06:40+00:00</t>
        </is>
      </c>
      <c r="F750" t="inlineStr">
        <is>
          <t>{"Keyword": "faux texte", "Search Volume": "1600", "CPC": "0", "Competition": "0.01", "Number of Results": "9", "Trends": "0.27,0.52,0.52,0.80,0.52,0.44,0.44,0.44,0.36,0.36,0.44,0.27", "Intent": "1", "Keyword Difficulty Index": "32"}</t>
        </is>
      </c>
      <c r="G750" t="inlineStr">
        <is>
          <t>Raw (Semrush)</t>
        </is>
      </c>
    </row>
    <row r="751">
      <c r="A751" t="inlineStr">
        <is>
          <t>val-fr-3</t>
        </is>
      </c>
      <c r="B751" t="inlineStr">
        <is>
          <t>phrase_these</t>
        </is>
      </c>
      <c r="C751" t="inlineStr">
        <is>
          <t>fr</t>
        </is>
      </c>
      <c r="D751"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1" t="inlineStr">
        <is>
          <t>2026-10-30T15:06:40+00:00</t>
        </is>
      </c>
      <c r="F751" t="inlineStr">
        <is>
          <t>{"Keyword": "fichier llms.txt", "Search Volume": "320", "CPC": "0.13", "Competition": "0.13", "Number of Results": "98", "Trends": "0.04,0.20,0.08,0.04,0.05,0.04,0.04,0.04,0.04,0.04,0.05,0.04", "Intent": "1", "Keyword Difficulty Index": "25"}</t>
        </is>
      </c>
      <c r="G751" t="inlineStr">
        <is>
          <t>Raw (Semrush)</t>
        </is>
      </c>
    </row>
    <row r="752">
      <c r="A752" t="inlineStr">
        <is>
          <t>val-fr-3</t>
        </is>
      </c>
      <c r="B752" t="inlineStr">
        <is>
          <t>phrase_these</t>
        </is>
      </c>
      <c r="C752" t="inlineStr">
        <is>
          <t>fr</t>
        </is>
      </c>
      <c r="D752"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2" t="inlineStr">
        <is>
          <t>2026-10-30T15:06:40+00:00</t>
        </is>
      </c>
      <c r="F752" t="inlineStr">
        <is>
          <t>{"Keyword": "fichier robots.txt", "Search Volume": "90", "CPC": "0.17", "Competition": "0.06", "Number of Results": "131", "Trends": "0.52,0.66,0.66,0.80,0.42,0.23,0.33,0.14,0.33,0.23,0.33,0.09", "Intent": "1", "Keyword Difficulty Index": "37"}</t>
        </is>
      </c>
      <c r="G752" t="inlineStr">
        <is>
          <t>Raw (Semrush)</t>
        </is>
      </c>
    </row>
    <row r="753">
      <c r="A753" t="inlineStr">
        <is>
          <t>val-fr-3</t>
        </is>
      </c>
      <c r="B753" t="inlineStr">
        <is>
          <t>phrase_these</t>
        </is>
      </c>
      <c r="C753" t="inlineStr">
        <is>
          <t>fr</t>
        </is>
      </c>
      <c r="D753"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3" t="inlineStr">
        <is>
          <t>2026-10-30T15:06:40+00:00</t>
        </is>
      </c>
      <c r="F753" t="inlineStr">
        <is>
          <t>{"Keyword": "flesch", "Search Volume": "110", "CPC": "0", "Competition": "0.33", "Number of Results": "107", "Trends": "0.34,0.34,0.43,0.34,0.34,0.34,0.28,0.34,0.28,0.34,0.34,0.28", "Intent": "1", "Keyword Difficulty Index": "12"}</t>
        </is>
      </c>
      <c r="G753" t="inlineStr">
        <is>
          <t>Raw (Semrush)</t>
        </is>
      </c>
    </row>
    <row r="754">
      <c r="A754" t="inlineStr">
        <is>
          <t>val-fr-3</t>
        </is>
      </c>
      <c r="B754" t="inlineStr">
        <is>
          <t>phrase_these</t>
        </is>
      </c>
      <c r="C754" t="inlineStr">
        <is>
          <t>fr</t>
        </is>
      </c>
      <c r="D754"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4" t="inlineStr">
        <is>
          <t>2026-10-30T15:06:40+00:00</t>
        </is>
      </c>
      <c r="F754" t="inlineStr">
        <is>
          <t>{"Keyword": "formater json", "Search Volume": "110", "CPC": "0", "Competition": "0.02", "Number of Results": "101", "Trends": "0.52,1.00,1.00,0.64,0.52,0.82,0.82,0.82,0.64,0.52,0.52,0.00", "Intent": "1", "Keyword Difficulty Index": "63"}</t>
        </is>
      </c>
      <c r="G754" t="inlineStr">
        <is>
          <t>Raw (Semrush)</t>
        </is>
      </c>
    </row>
    <row r="755">
      <c r="A755" t="inlineStr">
        <is>
          <t>val-fr-3</t>
        </is>
      </c>
      <c r="B755" t="inlineStr">
        <is>
          <t>phrase_these</t>
        </is>
      </c>
      <c r="C755" t="inlineStr">
        <is>
          <t>fr</t>
        </is>
      </c>
      <c r="D755"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5" t="inlineStr">
        <is>
          <t>2026-10-30T15:06:40+00:00</t>
        </is>
      </c>
      <c r="F755" t="inlineStr">
        <is>
          <t>{"Keyword": "generative engine optimization", "Search Volume": "1300", "CPC": "2.9", "Competition": "0.44", "Number of Results": "10", "Trends": "0.30,0.54,0.54,0.54,0.54,0.54,0.54,0.66,0.66,0.79,0.41,1.00", "Intent": "1", "Keyword Difficulty Index": "64"}</t>
        </is>
      </c>
      <c r="G755" t="inlineStr">
        <is>
          <t>Raw (Semrush)</t>
        </is>
      </c>
    </row>
    <row r="756">
      <c r="A756" t="inlineStr">
        <is>
          <t>val-fr-3</t>
        </is>
      </c>
      <c r="B756" t="inlineStr">
        <is>
          <t>phrase_these</t>
        </is>
      </c>
      <c r="C756" t="inlineStr">
        <is>
          <t>fr</t>
        </is>
      </c>
      <c r="D756"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6" t="inlineStr">
        <is>
          <t>2026-10-30T15:06:40+00:00</t>
        </is>
      </c>
      <c r="F756" t="inlineStr">
        <is>
          <t>{"Keyword": "geo seo", "Search Volume": "1900", "CPC": "1.53", "Competition": "0.32", "Number of Results": "10", "Trends": "0.30,0.79,1.00,0.79,0.66,1.00,0.79,0.79,0.79,1.00,0.79,0.79", "Intent": "1", "Keyword Difficulty Index": "34"}</t>
        </is>
      </c>
      <c r="G756" t="inlineStr">
        <is>
          <t>Raw (Semrush)</t>
        </is>
      </c>
    </row>
    <row r="757">
      <c r="A757" t="inlineStr">
        <is>
          <t>val-fr-3</t>
        </is>
      </c>
      <c r="B757" t="inlineStr">
        <is>
          <t>phrase_these</t>
        </is>
      </c>
      <c r="C757" t="inlineStr">
        <is>
          <t>fr</t>
        </is>
      </c>
      <c r="D757"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7" t="inlineStr">
        <is>
          <t>2026-10-30T15:06:40+00:00</t>
        </is>
      </c>
      <c r="F757" t="inlineStr">
        <is>
          <t>{"Keyword": "gestion association", "Search Volume": "390", "CPC": "2.04", "Competition": "0.49", "Number of Results": "130", "Trends": "0.81,1.00,1.00,0.66,0.54,0.66,0.54,0.66,0.54,0.54,0.66,0.66", "Intent": "1", "Keyword Difficulty Index": "34"}</t>
        </is>
      </c>
      <c r="G757" t="inlineStr">
        <is>
          <t>Raw (Semrush)</t>
        </is>
      </c>
    </row>
    <row r="758">
      <c r="A758" t="inlineStr">
        <is>
          <t>val-fr-3</t>
        </is>
      </c>
      <c r="B758" t="inlineStr">
        <is>
          <t>phrase_these</t>
        </is>
      </c>
      <c r="C758" t="inlineStr">
        <is>
          <t>fr</t>
        </is>
      </c>
      <c r="D758"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8" t="inlineStr">
        <is>
          <t>2026-10-30T15:06:40+00:00</t>
        </is>
      </c>
      <c r="F758" t="inlineStr">
        <is>
          <t>{"Keyword": "googlebot", "Search Volume": "390", "CPC": "0", "Competition": "0.01", "Number of Results": "127", "Trends": "0.81,0.66,0.66,0.81,0.54,0.36,0.23,0.29,0.36,0.44,0.36,0.15", "Intent": "1", "Keyword Difficulty Index": "22"}</t>
        </is>
      </c>
      <c r="G758" t="inlineStr">
        <is>
          <t>Raw (Semrush)</t>
        </is>
      </c>
    </row>
    <row r="759">
      <c r="A759" t="inlineStr">
        <is>
          <t>val-fr-3</t>
        </is>
      </c>
      <c r="B759" t="inlineStr">
        <is>
          <t>phrase_these</t>
        </is>
      </c>
      <c r="C759" t="inlineStr">
        <is>
          <t>fr</t>
        </is>
      </c>
      <c r="D759"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59" t="inlineStr">
        <is>
          <t>2026-10-30T15:06:40+00:00</t>
        </is>
      </c>
      <c r="F759" t="inlineStr">
        <is>
          <t>{"Keyword": "gptbot", "Search Volume": "10", "CPC": "0", "Competition": "0.06", "Number of Results": "0", "Trends": "0.00,0.00,0.00,0.04,0.04,0.00,0.00,0.00,0.06,0.04,0.06,0.06", "Intent": "", "Keyword Difficulty Index": "0"}</t>
        </is>
      </c>
      <c r="G759" t="inlineStr">
        <is>
          <t>Raw (Semrush)</t>
        </is>
      </c>
    </row>
    <row r="760">
      <c r="A760" t="inlineStr">
        <is>
          <t>val-fr-3</t>
        </is>
      </c>
      <c r="B760" t="inlineStr">
        <is>
          <t>phrase_these</t>
        </is>
      </c>
      <c r="C760" t="inlineStr">
        <is>
          <t>fr</t>
        </is>
      </c>
      <c r="D760"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0" t="inlineStr">
        <is>
          <t>2026-10-30T15:06:40+00:00</t>
        </is>
      </c>
      <c r="F760" t="inlineStr">
        <is>
          <t>{"Keyword": "générateur couleur", "Search Volume": "110", "CPC": "0", "Competition": "0.02", "Number of Results": "181", "Trends": "0.23,0.12,0.35,0.35,0.35,0.17,0.23,0.07,0.28,0.43,0.28,0.12", "Intent": "1", "Keyword Difficulty Index": "19"}</t>
        </is>
      </c>
      <c r="G760" t="inlineStr">
        <is>
          <t>Raw (Semrush)</t>
        </is>
      </c>
    </row>
    <row r="761">
      <c r="A761" t="inlineStr">
        <is>
          <t>val-fr-3</t>
        </is>
      </c>
      <c r="B761" t="inlineStr">
        <is>
          <t>phrase_these</t>
        </is>
      </c>
      <c r="C761" t="inlineStr">
        <is>
          <t>fr</t>
        </is>
      </c>
      <c r="D761"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1" t="inlineStr">
        <is>
          <t>2026-10-30T15:06:40+00:00</t>
        </is>
      </c>
      <c r="F761" t="inlineStr">
        <is>
          <t>{"Keyword": "générateur de balises meta", "Search Volume": "0", "CPC": "0", "Competition": "0", "Number of Results": "0", "Trends": "0.00,0.00,0.00,0.00,0.00,0.00,0.00,0.00,0.00,0.00,0.00,0.00", "Intent": "", "Keyword Difficulty Index": "0"}</t>
        </is>
      </c>
      <c r="G761" t="inlineStr">
        <is>
          <t>Raw (Semrush)</t>
        </is>
      </c>
    </row>
    <row r="762">
      <c r="A762" t="inlineStr">
        <is>
          <t>val-fr-3</t>
        </is>
      </c>
      <c r="B762" t="inlineStr">
        <is>
          <t>phrase_these</t>
        </is>
      </c>
      <c r="C762" t="inlineStr">
        <is>
          <t>fr</t>
        </is>
      </c>
      <c r="D762"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2" t="inlineStr">
        <is>
          <t>2026-10-30T15:06:40+00:00</t>
        </is>
      </c>
      <c r="F762" t="inlineStr">
        <is>
          <t>{"Keyword": "générateur de mots clés", "Search Volume": "590", "CPC": "1.84", "Competition": "0.11", "Number of Results": "127", "Trends": "0.24,0.66,0.24,0.24,0.16,0.20,0.20,0.30,0.20,0.30,0.24,0.30", "Intent": "1", "Keyword Difficulty Index": "38"}</t>
        </is>
      </c>
      <c r="G762" t="inlineStr">
        <is>
          <t>Raw (Semrush)</t>
        </is>
      </c>
    </row>
    <row r="763">
      <c r="A763" t="inlineStr">
        <is>
          <t>val-fr-3</t>
        </is>
      </c>
      <c r="B763" t="inlineStr">
        <is>
          <t>phrase_these</t>
        </is>
      </c>
      <c r="C763" t="inlineStr">
        <is>
          <t>fr</t>
        </is>
      </c>
      <c r="D763"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3" t="inlineStr">
        <is>
          <t>2026-10-30T15:06:40+00:00</t>
        </is>
      </c>
      <c r="F763" t="inlineStr">
        <is>
          <t>{"Keyword": "générateur de palette de couleurs", "Search Volume": "20", "CPC": "0", "Competition": "0.21", "Number of Results": "0", "Trends": "0.50,0.14,0.14,0.14,0.14,0.14,0.14,0.14,0.14,0.14,0.14,0.14", "Intent": "", "Keyword Difficulty Index": "0"}</t>
        </is>
      </c>
      <c r="G763" t="inlineStr">
        <is>
          <t>Raw (Semrush)</t>
        </is>
      </c>
    </row>
    <row r="764">
      <c r="A764" t="inlineStr">
        <is>
          <t>val-fr-3</t>
        </is>
      </c>
      <c r="B764" t="inlineStr">
        <is>
          <t>phrase_these</t>
        </is>
      </c>
      <c r="C764" t="inlineStr">
        <is>
          <t>fr</t>
        </is>
      </c>
      <c r="D764"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4" t="inlineStr">
        <is>
          <t>2026-10-30T15:06:40+00:00</t>
        </is>
      </c>
      <c r="F764" t="inlineStr">
        <is>
          <t>{"Keyword": "générateur de titre", "Search Volume": "140", "CPC": "1.39", "Competition": "0.06", "Number of Results": "107", "Trends": "0.15,0.12,0.29,0.23,0.15,0.15,0.12,0.19,0.10,0.10,0.07,0.07", "Intent": "1", "Keyword Difficulty Index": "21"}</t>
        </is>
      </c>
      <c r="G764" t="inlineStr">
        <is>
          <t>Raw (Semrush)</t>
        </is>
      </c>
    </row>
    <row r="765">
      <c r="A765" t="inlineStr">
        <is>
          <t>val-fr-3</t>
        </is>
      </c>
      <c r="B765" t="inlineStr">
        <is>
          <t>phrase_these</t>
        </is>
      </c>
      <c r="C765" t="inlineStr">
        <is>
          <t>fr</t>
        </is>
      </c>
      <c r="D765"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5" t="inlineStr">
        <is>
          <t>2026-10-30T15:06:40+00:00</t>
        </is>
      </c>
      <c r="F765" t="inlineStr">
        <is>
          <t>{"Keyword": "générateur de titre de blog", "Search Volume": "0", "CPC": "0", "Competition": "0", "Number of Results": "0", "Trends": "0.00,0.00,0.00,0.00,0.00,0.00,0.00,0.00,0.00,0.00,0.00,0.00", "Intent": "", "Keyword Difficulty Index": "0"}</t>
        </is>
      </c>
      <c r="G765" t="inlineStr">
        <is>
          <t>Raw (Semrush)</t>
        </is>
      </c>
    </row>
    <row r="766">
      <c r="A766" t="inlineStr">
        <is>
          <t>val-fr-3</t>
        </is>
      </c>
      <c r="B766" t="inlineStr">
        <is>
          <t>phrase_these</t>
        </is>
      </c>
      <c r="C766" t="inlineStr">
        <is>
          <t>fr</t>
        </is>
      </c>
      <c r="D766"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6" t="inlineStr">
        <is>
          <t>2026-10-30T15:06:40+00:00</t>
        </is>
      </c>
      <c r="F766" t="inlineStr">
        <is>
          <t>{"Keyword": "générateur landing page", "Search Volume": "0", "CPC": "0", "Competition": "0", "Number of Results": "0", "Trends": "0.00,0.00,0.00,0.00,0.00,0.00,0.00,0.00,0.00,0.00,0.00,0.00", "Intent": "", "Keyword Difficulty Index": "0"}</t>
        </is>
      </c>
      <c r="G766" t="inlineStr">
        <is>
          <t>Raw (Semrush)</t>
        </is>
      </c>
    </row>
    <row r="767">
      <c r="A767" t="inlineStr">
        <is>
          <t>val-fr-3</t>
        </is>
      </c>
      <c r="B767" t="inlineStr">
        <is>
          <t>phrase_these</t>
        </is>
      </c>
      <c r="C767" t="inlineStr">
        <is>
          <t>fr</t>
        </is>
      </c>
      <c r="D767"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7" t="inlineStr">
        <is>
          <t>2026-10-30T15:06:40+00:00</t>
        </is>
      </c>
      <c r="F767" t="inlineStr">
        <is>
          <t>{"Keyword": "générateur lorem ipsum", "Search Volume": "260", "CPC": "0", "Competition": "0.33", "Number of Results": "114", "Trends": "0.43,0.43,0.66,0.66,0.43,0.54,0.43,0.54,0.43,0.35,0.35,0.29", "Intent": "1", "Keyword Difficulty Index": "37"}</t>
        </is>
      </c>
      <c r="G767" t="inlineStr">
        <is>
          <t>Raw (Semrush)</t>
        </is>
      </c>
    </row>
    <row r="768">
      <c r="A768" t="inlineStr">
        <is>
          <t>val-fr-3</t>
        </is>
      </c>
      <c r="B768" t="inlineStr">
        <is>
          <t>phrase_these</t>
        </is>
      </c>
      <c r="C768" t="inlineStr">
        <is>
          <t>fr</t>
        </is>
      </c>
      <c r="D768"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8" t="inlineStr">
        <is>
          <t>2026-10-30T15:06:40+00:00</t>
        </is>
      </c>
      <c r="F768" t="inlineStr">
        <is>
          <t>{"Keyword": "générateur meta description", "Search Volume": "10", "CPC": "0", "Competition": "0", "Number of Results": "0", "Trends": "0.00,0.00,0.75,1.00,0.50,0.00,0.00,0.00,0.00,0.00,0.00,0.00", "Intent": "", "Keyword Difficulty Index": "0"}</t>
        </is>
      </c>
      <c r="G768" t="inlineStr">
        <is>
          <t>Raw (Semrush)</t>
        </is>
      </c>
    </row>
    <row r="769">
      <c r="A769" t="inlineStr">
        <is>
          <t>val-fr-3</t>
        </is>
      </c>
      <c r="B769" t="inlineStr">
        <is>
          <t>phrase_these</t>
        </is>
      </c>
      <c r="C769" t="inlineStr">
        <is>
          <t>fr</t>
        </is>
      </c>
      <c r="D769"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69" t="inlineStr">
        <is>
          <t>2026-10-30T15:06:40+00:00</t>
        </is>
      </c>
      <c r="F769" t="inlineStr">
        <is>
          <t>{"Keyword": "générateur mots clés", "Search Volume": "170", "CPC": "1.73", "Competition": "0.45", "Number of Results": "131", "Trends": "0.06,1.00,0.13,0.10,0.06,0.05,0.05,0.03,0.03,0.06,0.03,0.03", "Intent": "0", "Keyword Difficulty Index": "44"}</t>
        </is>
      </c>
      <c r="G769" t="inlineStr">
        <is>
          <t>Raw (Semrush)</t>
        </is>
      </c>
    </row>
    <row r="770">
      <c r="A770" t="inlineStr">
        <is>
          <t>val-fr-3</t>
        </is>
      </c>
      <c r="B770" t="inlineStr">
        <is>
          <t>phrase_these</t>
        </is>
      </c>
      <c r="C770" t="inlineStr">
        <is>
          <t>fr</t>
        </is>
      </c>
      <c r="D770"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0" t="inlineStr">
        <is>
          <t>2026-10-30T15:06:40+00:00</t>
        </is>
      </c>
      <c r="F770" t="inlineStr">
        <is>
          <t>{"Keyword": "générateur qr code", "Search Volume": "4400", "CPC": "0.48", "Competition": "0.62", "Number of Results": "123", "Trends": "0.35,0.66,0.54,0.44,0.35,0.66,0.44,0.66,0.44,0.54,0.44,0.54", "Intent": "1", "Keyword Difficulty Index": "44"}</t>
        </is>
      </c>
      <c r="G770" t="inlineStr">
        <is>
          <t>Raw (Semrush)</t>
        </is>
      </c>
    </row>
    <row r="771">
      <c r="A771" t="inlineStr">
        <is>
          <t>val-fr-3</t>
        </is>
      </c>
      <c r="B771" t="inlineStr">
        <is>
          <t>phrase_these</t>
        </is>
      </c>
      <c r="C771" t="inlineStr">
        <is>
          <t>fr</t>
        </is>
      </c>
      <c r="D771"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1" t="inlineStr">
        <is>
          <t>2026-10-30T15:06:40+00:00</t>
        </is>
      </c>
      <c r="F771" t="inlineStr">
        <is>
          <t>{"Keyword": "générateur robots.txt", "Search Volume": "0", "CPC": "0", "Competition": "0", "Number of Results": "0", "Trends": "0.00,0.00,0.00,0.00,0.00,0.00,0.00,0.00,0.00,0.00,0.00,0.00", "Intent": "", "Keyword Difficulty Index": "0"}</t>
        </is>
      </c>
      <c r="G771" t="inlineStr">
        <is>
          <t>Raw (Semrush)</t>
        </is>
      </c>
    </row>
    <row r="772">
      <c r="A772" t="inlineStr">
        <is>
          <t>val-fr-3</t>
        </is>
      </c>
      <c r="B772" t="inlineStr">
        <is>
          <t>phrase_these</t>
        </is>
      </c>
      <c r="C772" t="inlineStr">
        <is>
          <t>fr</t>
        </is>
      </c>
      <c r="D772"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2" t="inlineStr">
        <is>
          <t>2026-10-30T15:06:40+00:00</t>
        </is>
      </c>
      <c r="F772" t="inlineStr">
        <is>
          <t>{"Keyword": "générateur schema", "Search Volume": "0", "CPC": "0", "Competition": "0", "Number of Results": "0", "Trends": "0.00,0.00,0.00,0.00,0.00,0.00,0.00,0.00,0.00,0.00,0.00,0.00", "Intent": "", "Keyword Difficulty Index": "0"}</t>
        </is>
      </c>
      <c r="G772" t="inlineStr">
        <is>
          <t>Raw (Semrush)</t>
        </is>
      </c>
    </row>
    <row r="773">
      <c r="A773" t="inlineStr">
        <is>
          <t>val-fr-3</t>
        </is>
      </c>
      <c r="B773" t="inlineStr">
        <is>
          <t>phrase_these</t>
        </is>
      </c>
      <c r="C773" t="inlineStr">
        <is>
          <t>fr</t>
        </is>
      </c>
      <c r="D773"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3" t="inlineStr">
        <is>
          <t>2026-10-30T15:06:40+00:00</t>
        </is>
      </c>
      <c r="F773" t="inlineStr">
        <is>
          <t>{"Keyword": "générateur sitemap", "Search Volume": "20", "CPC": "0", "Competition": "0.07", "Number of Results": "0", "Trends": "0.07,0.34,0.00,0.00,0.03,0.07,0.07,0.00,0.07,0.07,0.00,0.00", "Intent": "", "Keyword Difficulty Index": "0"}</t>
        </is>
      </c>
      <c r="G773" t="inlineStr">
        <is>
          <t>Raw (Semrush)</t>
        </is>
      </c>
    </row>
    <row r="774">
      <c r="A774" t="inlineStr">
        <is>
          <t>val-fr-3</t>
        </is>
      </c>
      <c r="B774" t="inlineStr">
        <is>
          <t>phrase_these</t>
        </is>
      </c>
      <c r="C774" t="inlineStr">
        <is>
          <t>fr</t>
        </is>
      </c>
      <c r="D774"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4" t="inlineStr">
        <is>
          <t>2026-10-30T15:06:40+00:00</t>
        </is>
      </c>
      <c r="F774" t="inlineStr">
        <is>
          <t>{"Keyword": "générateur utm", "Search Volume": "70", "CPC": "28.13", "Competition": "0.1", "Number of Results": "87", "Trends": "0.19,0.66,0.42,0.33,0.23,0.33,0.23,0.23,0.09,0.14,0.42,0.23", "Intent": "1", "Keyword Difficulty Index": "9"}</t>
        </is>
      </c>
      <c r="G774" t="inlineStr">
        <is>
          <t>Raw (Semrush)</t>
        </is>
      </c>
    </row>
    <row r="775">
      <c r="A775" t="inlineStr">
        <is>
          <t>val-fr-3</t>
        </is>
      </c>
      <c r="B775" t="inlineStr">
        <is>
          <t>phrase_these</t>
        </is>
      </c>
      <c r="C775" t="inlineStr">
        <is>
          <t>fr</t>
        </is>
      </c>
      <c r="D775"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5" t="inlineStr">
        <is>
          <t>2026-10-30T15:06:40+00:00</t>
        </is>
      </c>
      <c r="F775" t="inlineStr">
        <is>
          <t>{"Keyword": "générer qr code", "Search Volume": "5400", "CPC": "0.53", "Competition": "0.7", "Number of Results": "123", "Trends": "0.44,0.81,0.66,0.66,0.66,0.54,0.54,0.66,0.66,0.54,0.66,0.35", "Intent": "1", "Keyword Difficulty Index": "56"}</t>
        </is>
      </c>
      <c r="G775" t="inlineStr">
        <is>
          <t>Raw (Semrush)</t>
        </is>
      </c>
    </row>
    <row r="776">
      <c r="A776" t="inlineStr">
        <is>
          <t>val-fr-3</t>
        </is>
      </c>
      <c r="B776" t="inlineStr">
        <is>
          <t>phrase_these</t>
        </is>
      </c>
      <c r="C776" t="inlineStr">
        <is>
          <t>fr</t>
        </is>
      </c>
      <c r="D776"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6" t="inlineStr">
        <is>
          <t>2026-10-30T15:06:40+00:00</t>
        </is>
      </c>
      <c r="F776" t="inlineStr">
        <is>
          <t>{"Keyword": "hreflang", "Search Volume": "880", "CPC": "1", "Competition": "0.02", "Number of Results": "10", "Trends": "0.55,0.62,1.00,1.00,0.81,0.62,0.45,0.30,0.30,0.30,0.36,0.30", "Intent": "1", "Keyword Difficulty Index": "29"}</t>
        </is>
      </c>
      <c r="G776" t="inlineStr">
        <is>
          <t>Raw (Semrush)</t>
        </is>
      </c>
    </row>
    <row r="777">
      <c r="A777" t="inlineStr">
        <is>
          <t>val-fr-3</t>
        </is>
      </c>
      <c r="B777" t="inlineStr">
        <is>
          <t>phrase_these</t>
        </is>
      </c>
      <c r="C777" t="inlineStr">
        <is>
          <t>fr</t>
        </is>
      </c>
      <c r="D777"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7" t="inlineStr">
        <is>
          <t>2026-10-30T15:06:40+00:00</t>
        </is>
      </c>
      <c r="F777" t="inlineStr">
        <is>
          <t>{"Keyword": "html en texte", "Search Volume": "30", "CPC": "0", "Competition": "0.02", "Number of Results": "0", "Trends": "0.18,0.18,0.18,0.18,0.18,0.18,0.18,0.18,0.18,0.18,0.36,0.63", "Intent": "", "Keyword Difficulty Index": "0"}</t>
        </is>
      </c>
      <c r="G777" t="inlineStr">
        <is>
          <t>Raw (Semrush)</t>
        </is>
      </c>
    </row>
    <row r="778">
      <c r="A778" t="inlineStr">
        <is>
          <t>val-fr-3</t>
        </is>
      </c>
      <c r="B778" t="inlineStr">
        <is>
          <t>phrase_these</t>
        </is>
      </c>
      <c r="C778" t="inlineStr">
        <is>
          <t>fr</t>
        </is>
      </c>
      <c r="D778"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8" t="inlineStr">
        <is>
          <t>2026-10-30T15:06:40+00:00</t>
        </is>
      </c>
      <c r="F778" t="inlineStr">
        <is>
          <t>{"Keyword": "html minifier", "Search Volume": "260", "CPC": "0", "Competition": "0.01", "Number of Results": "68", "Trends": "0.54,0.35,0.44,0.54,0.54,0.44,0.44,0.54,0.35,0.35,0.35,0.35", "Intent": "0", "Keyword Difficulty Index": "29"}</t>
        </is>
      </c>
      <c r="G778" t="inlineStr">
        <is>
          <t>Raw (Semrush)</t>
        </is>
      </c>
    </row>
    <row r="779">
      <c r="A779" t="inlineStr">
        <is>
          <t>val-fr-3</t>
        </is>
      </c>
      <c r="B779" t="inlineStr">
        <is>
          <t>phrase_these</t>
        </is>
      </c>
      <c r="C779" t="inlineStr">
        <is>
          <t>fr</t>
        </is>
      </c>
      <c r="D779"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79" t="inlineStr">
        <is>
          <t>2026-10-30T15:06:40+00:00</t>
        </is>
      </c>
      <c r="F779" t="inlineStr">
        <is>
          <t>{"Keyword": "html to text", "Search Volume": "320", "CPC": "0", "Competition": "0.02", "Number of Results": "83", "Trends": "0.44,0.54,0.54,0.54,0.44,0.66,0.44,0.44,0.66,0.54,0.44,0.44", "Intent": "1", "Keyword Difficulty Index": "68"}</t>
        </is>
      </c>
      <c r="G779" t="inlineStr">
        <is>
          <t>Raw (Semrush)</t>
        </is>
      </c>
    </row>
    <row r="780">
      <c r="A780" t="inlineStr">
        <is>
          <t>val-fr-3</t>
        </is>
      </c>
      <c r="B780" t="inlineStr">
        <is>
          <t>phrase_these</t>
        </is>
      </c>
      <c r="C780" t="inlineStr">
        <is>
          <t>fr</t>
        </is>
      </c>
      <c r="D780"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0" t="inlineStr">
        <is>
          <t>2026-10-30T15:06:40+00:00</t>
        </is>
      </c>
      <c r="F780" t="inlineStr">
        <is>
          <t>{"Keyword": "idée mots clés", "Search Volume": "10", "CPC": "0", "Competition": "0", "Number of Results": "0", "Trends": "1.00,0.00,0.00,0.00,1.00,1.00,1.00,1.00,1.00,1.00,0.00,0.00", "Intent": "", "Keyword Difficulty Index": "0"}</t>
        </is>
      </c>
      <c r="G780" t="inlineStr">
        <is>
          <t>Raw (Semrush)</t>
        </is>
      </c>
    </row>
    <row r="781">
      <c r="A781" t="inlineStr">
        <is>
          <t>val-fr-3</t>
        </is>
      </c>
      <c r="B781" t="inlineStr">
        <is>
          <t>phrase_these</t>
        </is>
      </c>
      <c r="C781" t="inlineStr">
        <is>
          <t>fr</t>
        </is>
      </c>
      <c r="D781"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1" t="inlineStr">
        <is>
          <t>2026-10-30T15:06:40+00:00</t>
        </is>
      </c>
      <c r="F781" t="inlineStr">
        <is>
          <t>{"Keyword": "idée titre article", "Search Volume": "0", "CPC": "0", "Competition": "0", "Number of Results": "0", "Trends": "0.00,0.00,0.00,0.00,0.00,0.00,0.00,0.00,0.00,0.00,0.00,0.00", "Intent": "", "Keyword Difficulty Index": "0"}</t>
        </is>
      </c>
      <c r="G781" t="inlineStr">
        <is>
          <t>Raw (Semrush)</t>
        </is>
      </c>
    </row>
    <row r="782">
      <c r="A782" t="inlineStr">
        <is>
          <t>val-fr-3</t>
        </is>
      </c>
      <c r="B782" t="inlineStr">
        <is>
          <t>phrase_these</t>
        </is>
      </c>
      <c r="C782" t="inlineStr">
        <is>
          <t>fr</t>
        </is>
      </c>
      <c r="D782"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2" t="inlineStr">
        <is>
          <t>2026-10-30T15:06:40+00:00</t>
        </is>
      </c>
      <c r="F782" t="inlineStr">
        <is>
          <t>{"Keyword": "json en ligne", "Search Volume": "110", "CPC": "1.56", "Competition": "0.05", "Number of Results": "112", "Trends": "0.21,0.21,0.28,0.43,0.43,0.34,0.43,0.28,0.43,0.34,0.43,0.21", "Intent": "1", "Keyword Difficulty Index": "35"}</t>
        </is>
      </c>
      <c r="G782" t="inlineStr">
        <is>
          <t>Raw (Semrush)</t>
        </is>
      </c>
    </row>
    <row r="783">
      <c r="A783" t="inlineStr">
        <is>
          <t>val-fr-3</t>
        </is>
      </c>
      <c r="B783" t="inlineStr">
        <is>
          <t>phrase_these</t>
        </is>
      </c>
      <c r="C783" t="inlineStr">
        <is>
          <t>fr</t>
        </is>
      </c>
      <c r="D783"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3" t="inlineStr">
        <is>
          <t>2026-10-30T15:06:40+00:00</t>
        </is>
      </c>
      <c r="F783" t="inlineStr">
        <is>
          <t>{"Keyword": "json formatter", "Search Volume": "12100", "CPC": "3.91", "Competition": "0.01", "Number of Results": "110", "Trends": "0.44,0.66,0.66,0.54,0.44,0.44,0.44,0.44,0.54,0.44,0.54,0.54", "Intent": "0", "Keyword Difficulty Index": "74"}</t>
        </is>
      </c>
      <c r="G783" t="inlineStr">
        <is>
          <t>Raw (Semrush)</t>
        </is>
      </c>
    </row>
    <row r="784">
      <c r="A784" t="inlineStr">
        <is>
          <t>val-fr-3</t>
        </is>
      </c>
      <c r="B784" t="inlineStr">
        <is>
          <t>phrase_these</t>
        </is>
      </c>
      <c r="C784" t="inlineStr">
        <is>
          <t>fr</t>
        </is>
      </c>
      <c r="D784"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4" t="inlineStr">
        <is>
          <t>2026-10-30T15:06:40+00:00</t>
        </is>
      </c>
      <c r="F784" t="inlineStr">
        <is>
          <t>{"Keyword": "json validator", "Search Volume": "3600", "CPC": "1.6", "Competition": "0.02", "Number of Results": "60", "Trends": "0.35,0.44,0.66,0.54,0.44,0.44,0.35,0.44,0.35,0.29,0.44,0.29", "Intent": "0", "Keyword Difficulty Index": "75"}</t>
        </is>
      </c>
      <c r="G784" t="inlineStr">
        <is>
          <t>Raw (Semrush)</t>
        </is>
      </c>
    </row>
    <row r="785">
      <c r="A785" t="inlineStr">
        <is>
          <t>val-fr-3</t>
        </is>
      </c>
      <c r="B785" t="inlineStr">
        <is>
          <t>phrase_these</t>
        </is>
      </c>
      <c r="C785" t="inlineStr">
        <is>
          <t>fr</t>
        </is>
      </c>
      <c r="D785"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5" t="inlineStr">
        <is>
          <t>2026-10-30T15:06:40+00:00</t>
        </is>
      </c>
      <c r="F785" t="inlineStr">
        <is>
          <t>{"Keyword": "json viewer", "Search Volume": "3600", "CPC": "4.01", "Competition": "0.01", "Number of Results": "107", "Trends": "0.66,0.66,1.00,0.53,0.81,0.66,0.66,0.53,0.66,0.44,0.66,0.44", "Intent": "1", "Keyword Difficulty Index": "83"}</t>
        </is>
      </c>
      <c r="G785" t="inlineStr">
        <is>
          <t>Raw (Semrush)</t>
        </is>
      </c>
    </row>
    <row r="786">
      <c r="A786" t="inlineStr">
        <is>
          <t>val-fr-3</t>
        </is>
      </c>
      <c r="B786" t="inlineStr">
        <is>
          <t>phrase_these</t>
        </is>
      </c>
      <c r="C786" t="inlineStr">
        <is>
          <t>fr</t>
        </is>
      </c>
      <c r="D786"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6" t="inlineStr">
        <is>
          <t>2026-10-30T15:06:40+00:00</t>
        </is>
      </c>
      <c r="F786" t="inlineStr">
        <is>
          <t>{"Keyword": "json-ld", "Search Volume": "1000", "CPC": "5.03", "Competition": "0.01", "Number of Results": "93", "Trends": "0.80,0.13,0.13,0.52,0.10,1.00,0.10,0.20,0.13,0.10,0.10,0.08", "Intent": "1", "Keyword Difficulty Index": "61"}</t>
        </is>
      </c>
      <c r="G786" t="inlineStr">
        <is>
          <t>Raw (Semrush)</t>
        </is>
      </c>
    </row>
    <row r="787">
      <c r="A787" t="inlineStr">
        <is>
          <t>val-fr-3</t>
        </is>
      </c>
      <c r="B787" t="inlineStr">
        <is>
          <t>phrase_these</t>
        </is>
      </c>
      <c r="C787" t="inlineStr">
        <is>
          <t>fr</t>
        </is>
      </c>
      <c r="D787"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7" t="inlineStr">
        <is>
          <t>2026-10-30T15:06:40+00:00</t>
        </is>
      </c>
      <c r="F787" t="inlineStr">
        <is>
          <t>{"Keyword": "landing page", "Search Volume": "8100", "CPC": "2.55", "Competition": "0.34", "Number of Results": "10", "Trends": "0.36,0.66,0.81,0.81,0.66,0.81,0.66,0.66,0.44,0.44,0.44,0.36", "Intent": "1", "Keyword Difficulty Index": "35"}</t>
        </is>
      </c>
      <c r="G787" t="inlineStr">
        <is>
          <t>Raw (Semrush)</t>
        </is>
      </c>
    </row>
    <row r="788">
      <c r="A788" t="inlineStr">
        <is>
          <t>val-fr-3</t>
        </is>
      </c>
      <c r="B788" t="inlineStr">
        <is>
          <t>phrase_these</t>
        </is>
      </c>
      <c r="C788" t="inlineStr">
        <is>
          <t>fr</t>
        </is>
      </c>
      <c r="D788"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8" t="inlineStr">
        <is>
          <t>2026-10-30T15:06:40+00:00</t>
        </is>
      </c>
      <c r="F788" t="inlineStr">
        <is>
          <t>{"Keyword": "landing page gratuite", "Search Volume": "320", "CPC": "3.24", "Competition": "0.65", "Number of Results": "126", "Trends": "0.54,0.66,0.81,1.00,0.66,0.81,0.81,0.66,0.54,0.35,0.18,0.23", "Intent": "1", "Keyword Difficulty Index": "26"}</t>
        </is>
      </c>
      <c r="G788" t="inlineStr">
        <is>
          <t>Raw (Semrush)</t>
        </is>
      </c>
    </row>
    <row r="789">
      <c r="A789" t="inlineStr">
        <is>
          <t>val-fr-3</t>
        </is>
      </c>
      <c r="B789" t="inlineStr">
        <is>
          <t>phrase_these</t>
        </is>
      </c>
      <c r="C789" t="inlineStr">
        <is>
          <t>fr</t>
        </is>
      </c>
      <c r="D789"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89" t="inlineStr">
        <is>
          <t>2026-10-30T15:06:40+00:00</t>
        </is>
      </c>
      <c r="F789" t="inlineStr">
        <is>
          <t>{"Keyword": "lcp inp cls", "Search Volume": "20", "CPC": "0", "Competition": "0.34", "Number of Results": "0", "Trends": "1.00,1.00,1.00,1.00,1.00,1.00,1.00,1.00,1.00,1.00,1.00,1.00", "Intent": "", "Keyword Difficulty Index": "0"}</t>
        </is>
      </c>
      <c r="G789" t="inlineStr">
        <is>
          <t>Raw (Semrush)</t>
        </is>
      </c>
    </row>
    <row r="790">
      <c r="A790" t="inlineStr">
        <is>
          <t>val-fr-3</t>
        </is>
      </c>
      <c r="B790" t="inlineStr">
        <is>
          <t>phrase_these</t>
        </is>
      </c>
      <c r="C790" t="inlineStr">
        <is>
          <t>fr</t>
        </is>
      </c>
      <c r="D790"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0" t="inlineStr">
        <is>
          <t>2026-10-30T15:06:40+00:00</t>
        </is>
      </c>
      <c r="F790" t="inlineStr">
        <is>
          <t>{"Keyword": "lien nofollow", "Search Volume": "70", "CPC": "0", "Competition": "0.03", "Number of Results": "133", "Trends": "0.18,0.18,0.14,0.14,0.14,0.14,0.10,0.14,0.14,0.18,0.18,0.18", "Intent": "1,0", "Keyword Difficulty Index": "21"}</t>
        </is>
      </c>
      <c r="G790" t="inlineStr">
        <is>
          <t>Raw (Semrush)</t>
        </is>
      </c>
    </row>
    <row r="791">
      <c r="A791" t="inlineStr">
        <is>
          <t>val-fr-3</t>
        </is>
      </c>
      <c r="B791" t="inlineStr">
        <is>
          <t>phrase_these</t>
        </is>
      </c>
      <c r="C791" t="inlineStr">
        <is>
          <t>fr</t>
        </is>
      </c>
      <c r="D791"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1" t="inlineStr">
        <is>
          <t>2026-10-30T15:06:40+00:00</t>
        </is>
      </c>
      <c r="F791" t="inlineStr">
        <is>
          <t>{"Keyword": "lien utm", "Search Volume": "260", "CPC": "7.31", "Competition": "0.09", "Number of Results": "98", "Trends": "0.43,0.81,0.81,1.00,0.65,1.00,0.81,0.81,0.81,0.81,1.00,0.81", "Intent": "1", "Keyword Difficulty Index": "33"}</t>
        </is>
      </c>
      <c r="G791" t="inlineStr">
        <is>
          <t>Raw (Semrush)</t>
        </is>
      </c>
    </row>
    <row r="792">
      <c r="A792" t="inlineStr">
        <is>
          <t>val-fr-3</t>
        </is>
      </c>
      <c r="B792" t="inlineStr">
        <is>
          <t>phrase_these</t>
        </is>
      </c>
      <c r="C792" t="inlineStr">
        <is>
          <t>fr</t>
        </is>
      </c>
      <c r="D792"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2" t="inlineStr">
        <is>
          <t>2026-10-30T15:06:40+00:00</t>
        </is>
      </c>
      <c r="F792" t="inlineStr">
        <is>
          <t>{"Keyword": "liens cassés", "Search Volume": "20", "CPC": "0", "Competition": "0.05", "Number of Results": "0", "Trends": "0.22,0.22,0.22,0.22,0.22,0.22,0.22,0.22,0.22,0.22,0.22,0.22", "Intent": "", "Keyword Difficulty Index": "0"}</t>
        </is>
      </c>
      <c r="G792" t="inlineStr">
        <is>
          <t>Raw (Semrush)</t>
        </is>
      </c>
    </row>
    <row r="793">
      <c r="A793" t="inlineStr">
        <is>
          <t>val-fr-3</t>
        </is>
      </c>
      <c r="B793" t="inlineStr">
        <is>
          <t>phrase_these</t>
        </is>
      </c>
      <c r="C793" t="inlineStr">
        <is>
          <t>fr</t>
        </is>
      </c>
      <c r="D793"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3" t="inlineStr">
        <is>
          <t>2026-10-30T15:06:40+00:00</t>
        </is>
      </c>
      <c r="F793" t="inlineStr">
        <is>
          <t>{"Keyword": "liens internes", "Search Volume": "70", "CPC": "0", "Competition": "0.08", "Number of Results": "125", "Trends": "0.29,0.64,0.52,0.52,0.29,0.41,0.23,0.23,0.52,0.52,0.29,0.29", "Intent": "1", "Keyword Difficulty Index": "18"}</t>
        </is>
      </c>
      <c r="G793" t="inlineStr">
        <is>
          <t>Raw (Semrush)</t>
        </is>
      </c>
    </row>
    <row r="794">
      <c r="A794" t="inlineStr">
        <is>
          <t>val-fr-3</t>
        </is>
      </c>
      <c r="B794" t="inlineStr">
        <is>
          <t>phrase_these</t>
        </is>
      </c>
      <c r="C794" t="inlineStr">
        <is>
          <t>fr</t>
        </is>
      </c>
      <c r="D794"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4" t="inlineStr">
        <is>
          <t>2026-10-30T15:06:40+00:00</t>
        </is>
      </c>
      <c r="F794" t="inlineStr">
        <is>
          <t>{"Keyword": "llms txt", "Search Volume": "720", "CPC": "0.23", "Competition": "0.1", "Number of Results": "98", "Trends": "0.36,0.24,0.24,0.30,0.36,0.55,0.45,0.55,0.55,0.36,1.00,0.45", "Intent": "1", "Keyword Difficulty Index": "29"}</t>
        </is>
      </c>
      <c r="G794" t="inlineStr">
        <is>
          <t>Raw (Semrush)</t>
        </is>
      </c>
    </row>
    <row r="795">
      <c r="A795" t="inlineStr">
        <is>
          <t>val-fr-3</t>
        </is>
      </c>
      <c r="B795" t="inlineStr">
        <is>
          <t>phrase_these</t>
        </is>
      </c>
      <c r="C795" t="inlineStr">
        <is>
          <t>fr</t>
        </is>
      </c>
      <c r="D795"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5" t="inlineStr">
        <is>
          <t>2026-10-30T15:06:40+00:00</t>
        </is>
      </c>
      <c r="F795" t="inlineStr">
        <is>
          <t>{"Keyword": "llms.txt", "Search Volume": "1900", "CPC": "0.23", "Competition": "0.1", "Number of Results": "98", "Trends": "0.53,0.24,0.13,0.10,0.16,0.81,0.13,0.24,0.18,0.18,0.18,0.16", "Intent": "1", "Keyword Difficulty Index": "31"}</t>
        </is>
      </c>
      <c r="G795" t="inlineStr">
        <is>
          <t>Raw (Semrush)</t>
        </is>
      </c>
    </row>
    <row r="796">
      <c r="A796" t="inlineStr">
        <is>
          <t>val-fr-3</t>
        </is>
      </c>
      <c r="B796" t="inlineStr">
        <is>
          <t>phrase_these</t>
        </is>
      </c>
      <c r="C796" t="inlineStr">
        <is>
          <t>fr</t>
        </is>
      </c>
      <c r="D796"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6" t="inlineStr">
        <is>
          <t>2026-10-30T15:06:40+00:00</t>
        </is>
      </c>
      <c r="F796" t="inlineStr">
        <is>
          <t>{"Keyword": "lms", "Search Volume": "12100", "CPC": "6.66", "Competition": "0.35", "Number of Results": "10", "Trends": "0.36,0.81,0.81,0.81,0.66,0.66,0.81,0.66,0.81,0.66,0.66,0.44", "Intent": "1", "Keyword Difficulty Index": "31"}</t>
        </is>
      </c>
      <c r="G796" t="inlineStr">
        <is>
          <t>Raw (Semrush)</t>
        </is>
      </c>
    </row>
    <row r="797">
      <c r="A797" t="inlineStr">
        <is>
          <t>val-fr-3</t>
        </is>
      </c>
      <c r="B797" t="inlineStr">
        <is>
          <t>phrase_these</t>
        </is>
      </c>
      <c r="C797" t="inlineStr">
        <is>
          <t>fr</t>
        </is>
      </c>
      <c r="D797"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7" t="inlineStr">
        <is>
          <t>2026-10-30T15:06:40+00:00</t>
        </is>
      </c>
      <c r="F797" t="inlineStr">
        <is>
          <t>{"Keyword": "local business schema", "Search Volume": "20", "CPC": "0", "Competition": "0.01", "Number of Results": "0", "Trends": "0.14,0.07,0.14,0.14,0.14,0.14,0.14,0.14,0.14,0.14,0.07,0.14", "Intent": "", "Keyword Difficulty Index": "0"}</t>
        </is>
      </c>
      <c r="G797" t="inlineStr">
        <is>
          <t>Raw (Semrush)</t>
        </is>
      </c>
    </row>
    <row r="798">
      <c r="A798" t="inlineStr">
        <is>
          <t>val-fr-3</t>
        </is>
      </c>
      <c r="B798" t="inlineStr">
        <is>
          <t>phrase_these</t>
        </is>
      </c>
      <c r="C798" t="inlineStr">
        <is>
          <t>fr</t>
        </is>
      </c>
      <c r="D798"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8" t="inlineStr">
        <is>
          <t>2026-10-30T15:06:40+00:00</t>
        </is>
      </c>
      <c r="F798" t="inlineStr">
        <is>
          <t>{"Keyword": "logiciel association", "Search Volume": "480", "CPC": "2.99", "Competition": "0.69", "Number of Results": "124", "Trends": "0.45,0.67,0.67,0.24,0.24,0.20,0.20,0.24,0.36,0.45,0.30,0.20", "Intent": "1", "Keyword Difficulty Index": "35"}</t>
        </is>
      </c>
      <c r="G798" t="inlineStr">
        <is>
          <t>Raw (Semrush)</t>
        </is>
      </c>
    </row>
    <row r="799">
      <c r="A799" t="inlineStr">
        <is>
          <t>val-fr-3</t>
        </is>
      </c>
      <c r="B799" t="inlineStr">
        <is>
          <t>phrase_these</t>
        </is>
      </c>
      <c r="C799" t="inlineStr">
        <is>
          <t>fr</t>
        </is>
      </c>
      <c r="D799"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799" t="inlineStr">
        <is>
          <t>2026-10-30T15:06:40+00:00</t>
        </is>
      </c>
      <c r="F799" t="inlineStr">
        <is>
          <t>{"Keyword": "logiciel de facturation", "Search Volume": "4400", "CPC": "4.49", "Competition": "0.81", "Number of Results": "10", "Trends": "0.66,0.81,0.81,0.81,0.66,1.00,0.66,0.66,1.00,1.00,1.00,1.00", "Intent": "1", "Keyword Difficulty Index": "48"}</t>
        </is>
      </c>
      <c r="G799" t="inlineStr">
        <is>
          <t>Raw (Semrush)</t>
        </is>
      </c>
    </row>
    <row r="800">
      <c r="A800" t="inlineStr">
        <is>
          <t>val-fr-3</t>
        </is>
      </c>
      <c r="B800" t="inlineStr">
        <is>
          <t>phrase_these</t>
        </is>
      </c>
      <c r="C800" t="inlineStr">
        <is>
          <t>fr</t>
        </is>
      </c>
      <c r="D800"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0" t="inlineStr">
        <is>
          <t>2026-10-30T15:06:40+00:00</t>
        </is>
      </c>
      <c r="F800" t="inlineStr">
        <is>
          <t>{"Keyword": "logiciel facturation maroc", "Search Volume": "20", "CPC": "2.93", "Competition": "0.5", "Number of Results": "0", "Trends": "1.00,1.00,1.00,1.00,1.00,1.00,1.00,1.00,1.00,1.00,1.00,1.00", "Intent": "", "Keyword Difficulty Index": "0"}</t>
        </is>
      </c>
      <c r="G800" t="inlineStr">
        <is>
          <t>Raw (Semrush)</t>
        </is>
      </c>
    </row>
    <row r="801">
      <c r="A801" t="inlineStr">
        <is>
          <t>val-fr-3</t>
        </is>
      </c>
      <c r="B801" t="inlineStr">
        <is>
          <t>phrase_these</t>
        </is>
      </c>
      <c r="C801" t="inlineStr">
        <is>
          <t>fr</t>
        </is>
      </c>
      <c r="D801"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1" t="inlineStr">
        <is>
          <t>2026-10-30T15:06:40+00:00</t>
        </is>
      </c>
      <c r="F801" t="inlineStr">
        <is>
          <t>{"Keyword": "logiciel gestion association", "Search Volume": "590", "CPC": "2.77", "Competition": "0.56", "Number of Results": "120", "Trends": "0.81,1.00,1.00,0.81,0.66,1.00,0.81,0.81,0.66,0.44,0.81,0.66", "Intent": "1", "Keyword Difficulty Index": "34"}</t>
        </is>
      </c>
      <c r="G801" t="inlineStr">
        <is>
          <t>Raw (Semrush)</t>
        </is>
      </c>
    </row>
    <row r="802">
      <c r="A802" t="inlineStr">
        <is>
          <t>val-fr-3</t>
        </is>
      </c>
      <c r="B802" t="inlineStr">
        <is>
          <t>phrase_these</t>
        </is>
      </c>
      <c r="C802" t="inlineStr">
        <is>
          <t>fr</t>
        </is>
      </c>
      <c r="D802"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2" t="inlineStr">
        <is>
          <t>2026-10-30T15:06:40+00:00</t>
        </is>
      </c>
      <c r="F802" t="inlineStr">
        <is>
          <t>{"Keyword": "logiciel immobilier", "Search Volume": "1300", "CPC": "4.48", "Competition": "0.56", "Number of Results": "131", "Trends": "0.81,0.81,0.62,0.81,0.81,0.81,0.62,0.81,0.55,0.81,0.81,0.62", "Intent": "1,0", "Keyword Difficulty Index": "23"}</t>
        </is>
      </c>
      <c r="G802" t="inlineStr">
        <is>
          <t>Raw (Semrush)</t>
        </is>
      </c>
    </row>
    <row r="803">
      <c r="A803" t="inlineStr">
        <is>
          <t>val-fr-3</t>
        </is>
      </c>
      <c r="B803" t="inlineStr">
        <is>
          <t>phrase_these</t>
        </is>
      </c>
      <c r="C803" t="inlineStr">
        <is>
          <t>fr</t>
        </is>
      </c>
      <c r="D803"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3" t="inlineStr">
        <is>
          <t>2026-10-30T15:06:40+00:00</t>
        </is>
      </c>
      <c r="F803" t="inlineStr">
        <is>
          <t>{"Keyword": "logiciel lms", "Search Volume": "170", "CPC": "6.91", "Competition": "0.6", "Number of Results": "96", "Trends": "0.53,0.66,0.53,0.53,0.53,0.35,0.35,0.43,0.28,0.53,0.28,0.28", "Intent": "1", "Keyword Difficulty Index": "31"}</t>
        </is>
      </c>
      <c r="G803" t="inlineStr">
        <is>
          <t>Raw (Semrush)</t>
        </is>
      </c>
    </row>
    <row r="804">
      <c r="A804" t="inlineStr">
        <is>
          <t>val-fr-3</t>
        </is>
      </c>
      <c r="B804" t="inlineStr">
        <is>
          <t>phrase_these</t>
        </is>
      </c>
      <c r="C804" t="inlineStr">
        <is>
          <t>fr</t>
        </is>
      </c>
      <c r="D804"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4" t="inlineStr">
        <is>
          <t>2026-10-30T15:06:40+00:00</t>
        </is>
      </c>
      <c r="F804" t="inlineStr">
        <is>
          <t>{"Keyword": "logiciel saas sur mesure", "Search Volume": "170", "CPC": "0", "Competition": "0", "Number of Results": "125", "Trends": "0.16,0.13,0.20,0.08,0.06,0.20,0.05,0.10,0.10,0.13,0.13,0.10", "Intent": "1", "Keyword Difficulty Index": "13"}</t>
        </is>
      </c>
      <c r="G804" t="inlineStr">
        <is>
          <t>Raw (Semrush)</t>
        </is>
      </c>
    </row>
    <row r="805">
      <c r="A805" t="inlineStr">
        <is>
          <t>val-fr-3</t>
        </is>
      </c>
      <c r="B805" t="inlineStr">
        <is>
          <t>phrase_these</t>
        </is>
      </c>
      <c r="C805" t="inlineStr">
        <is>
          <t>fr</t>
        </is>
      </c>
      <c r="D805"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5" t="inlineStr">
        <is>
          <t>2026-10-30T15:06:40+00:00</t>
        </is>
      </c>
      <c r="F805" t="inlineStr">
        <is>
          <t>{"Keyword": "logiciel téléconsultation", "Search Volume": "210", "CPC": "4.75", "Competition": "0.66", "Number of Results": "10", "Trends": "0.81,1.00,0.81,0.65,0.65,0.65,0.81,0.53,0.53,0.43,0.34,0.34", "Intent": "1", "Keyword Difficulty Index": "29"}</t>
        </is>
      </c>
      <c r="G805" t="inlineStr">
        <is>
          <t>Raw (Semrush)</t>
        </is>
      </c>
    </row>
    <row r="806">
      <c r="A806" t="inlineStr">
        <is>
          <t>val-fr-3</t>
        </is>
      </c>
      <c r="B806" t="inlineStr">
        <is>
          <t>phrase_these</t>
        </is>
      </c>
      <c r="C806" t="inlineStr">
        <is>
          <t>fr</t>
        </is>
      </c>
      <c r="D806"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6" t="inlineStr">
        <is>
          <t>2026-10-30T15:06:40+00:00</t>
        </is>
      </c>
      <c r="F806" t="inlineStr">
        <is>
          <t>{"Keyword": "logiciel télémédecine", "Search Volume": "140", "CPC": "0", "Competition": "0.33", "Number of Results": "139", "Trends": "0.80,0.80,1.00,0.80,0.80,0.66,0.66,0.66,0.80,0.66,0.52,0.52", "Intent": "1", "Keyword Difficulty Index": "21"}</t>
        </is>
      </c>
      <c r="G806" t="inlineStr">
        <is>
          <t>Raw (Semrush)</t>
        </is>
      </c>
    </row>
    <row r="807">
      <c r="A807" t="inlineStr">
        <is>
          <t>val-fr-3</t>
        </is>
      </c>
      <c r="B807" t="inlineStr">
        <is>
          <t>phrase_these</t>
        </is>
      </c>
      <c r="C807" t="inlineStr">
        <is>
          <t>fr</t>
        </is>
      </c>
      <c r="D807"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7" t="inlineStr">
        <is>
          <t>2026-10-30T15:06:40+00:00</t>
        </is>
      </c>
      <c r="F807" t="inlineStr">
        <is>
          <t>{"Keyword": "lorem ipsum", "Search Volume": "40500", "CPC": "1.78", "Competition": "0.33", "Number of Results": "118", "Trends": "0.30,0.30,0.36,0.30,0.36,0.36,0.30,0.45,0.30,0.30,0.45,0.24", "Intent": "1", "Keyword Difficulty Index": "45"}</t>
        </is>
      </c>
      <c r="G807" t="inlineStr">
        <is>
          <t>Raw (Semrush)</t>
        </is>
      </c>
    </row>
    <row r="808">
      <c r="A808" t="inlineStr">
        <is>
          <t>val-fr-3</t>
        </is>
      </c>
      <c r="B808" t="inlineStr">
        <is>
          <t>phrase_these</t>
        </is>
      </c>
      <c r="C808" t="inlineStr">
        <is>
          <t>fr</t>
        </is>
      </c>
      <c r="D808"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8" t="inlineStr">
        <is>
          <t>2026-10-30T15:06:40+00:00</t>
        </is>
      </c>
      <c r="F808" t="inlineStr">
        <is>
          <t>{"Keyword": "maillage interne", "Search Volume": "1900", "CPC": "1.76", "Competition": "0.01", "Number of Results": "10", "Trends": "0.65,0.65,0.65,0.65,0.65,0.55,0.65,0.65,0.65,0.65,0.34,0.34", "Intent": "1", "Keyword Difficulty Index": "25"}</t>
        </is>
      </c>
      <c r="G808" t="inlineStr">
        <is>
          <t>Raw (Semrush)</t>
        </is>
      </c>
    </row>
    <row r="809">
      <c r="A809" t="inlineStr">
        <is>
          <t>val-fr-3</t>
        </is>
      </c>
      <c r="B809" t="inlineStr">
        <is>
          <t>phrase_these</t>
        </is>
      </c>
      <c r="C809" t="inlineStr">
        <is>
          <t>fr</t>
        </is>
      </c>
      <c r="D809"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09" t="inlineStr">
        <is>
          <t>2026-10-30T15:06:40+00:00</t>
        </is>
      </c>
      <c r="F809" t="inlineStr">
        <is>
          <t>{"Keyword": "majuscule en minuscule", "Search Volume": "3600", "CPC": "0", "Competition": "0", "Number of Results": "109", "Trends": "0.54,0.43,0.43,0.66,0.54,0.36,0.54,0.66,0.54,0.54,0.28,0.43", "Intent": "1", "Keyword Difficulty Index": "25"}</t>
        </is>
      </c>
      <c r="G809" t="inlineStr">
        <is>
          <t>Raw (Semrush)</t>
        </is>
      </c>
    </row>
    <row r="810">
      <c r="A810" t="inlineStr">
        <is>
          <t>val-fr-3</t>
        </is>
      </c>
      <c r="B810" t="inlineStr">
        <is>
          <t>phrase_these</t>
        </is>
      </c>
      <c r="C810" t="inlineStr">
        <is>
          <t>fr</t>
        </is>
      </c>
      <c r="D810"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0" t="inlineStr">
        <is>
          <t>2026-10-30T15:06:40+00:00</t>
        </is>
      </c>
      <c r="F810" t="inlineStr">
        <is>
          <t>{"Keyword": "meilleure plateforme e-learning", "Search Volume": "0", "CPC": "0", "Competition": "0.43", "Number of Results": "0", "Trends": "0.00,0.00,0.00,0.00,0.00,0.00,0.00,0.00,0.00,0.00,0.00,0.00", "Intent": "", "Keyword Difficulty Index": "0"}</t>
        </is>
      </c>
      <c r="G810" t="inlineStr">
        <is>
          <t>Raw (Semrush)</t>
        </is>
      </c>
    </row>
    <row r="811">
      <c r="A811" t="inlineStr">
        <is>
          <t>val-fr-3</t>
        </is>
      </c>
      <c r="B811" t="inlineStr">
        <is>
          <t>phrase_these</t>
        </is>
      </c>
      <c r="C811" t="inlineStr">
        <is>
          <t>fr</t>
        </is>
      </c>
      <c r="D811"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1" t="inlineStr">
        <is>
          <t>2026-10-30T15:06:40+00:00</t>
        </is>
      </c>
      <c r="F811" t="inlineStr">
        <is>
          <t>{"Keyword": "meta description", "Search Volume": "1000", "CPC": "0.89", "Competition": "0.06", "Number of Results": "10", "Trends": "0.30,0.36,0.54,0.41,0.41,0.36,0.41,0.54,0.54,0.41,0.41,0.41", "Intent": "", "Keyword Difficulty Index": "37"}</t>
        </is>
      </c>
      <c r="G811" t="inlineStr">
        <is>
          <t>Raw (Semrush)</t>
        </is>
      </c>
    </row>
    <row r="812">
      <c r="A812" t="inlineStr">
        <is>
          <t>val-fr-3</t>
        </is>
      </c>
      <c r="B812" t="inlineStr">
        <is>
          <t>phrase_these</t>
        </is>
      </c>
      <c r="C812" t="inlineStr">
        <is>
          <t>fr</t>
        </is>
      </c>
      <c r="D812"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2" t="inlineStr">
        <is>
          <t>2026-10-30T15:06:40+00:00</t>
        </is>
      </c>
      <c r="F812" t="inlineStr">
        <is>
          <t>{"Keyword": "meta refresh", "Search Volume": "30", "CPC": "0", "Competition": "0.33", "Number of Results": "0", "Trends": "0.11,0.08,0.08,0.06,0.06,0.03,0.05,0.00,0.03,0.05,0.03,0.03", "Intent": "", "Keyword Difficulty Index": "0"}</t>
        </is>
      </c>
      <c r="G812" t="inlineStr">
        <is>
          <t>Raw (Semrush)</t>
        </is>
      </c>
    </row>
    <row r="813">
      <c r="A813" t="inlineStr">
        <is>
          <t>val-fr-3</t>
        </is>
      </c>
      <c r="B813" t="inlineStr">
        <is>
          <t>phrase_these</t>
        </is>
      </c>
      <c r="C813" t="inlineStr">
        <is>
          <t>fr</t>
        </is>
      </c>
      <c r="D813"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3" t="inlineStr">
        <is>
          <t>2026-10-30T15:06:40+00:00</t>
        </is>
      </c>
      <c r="F813" t="inlineStr">
        <is>
          <t>{"Keyword": "meta tag generator", "Search Volume": "20", "CPC": "0", "Competition": "0.2", "Number of Results": "0", "Trends": "0.66,0.66,0.66,0.66,0.66,0.66,0.66,0.66,0.66,0.66,0.66,0.66", "Intent": "", "Keyword Difficulty Index": "0"}</t>
        </is>
      </c>
      <c r="G813" t="inlineStr">
        <is>
          <t>Raw (Semrush)</t>
        </is>
      </c>
    </row>
    <row r="814">
      <c r="A814" t="inlineStr">
        <is>
          <t>val-fr-3</t>
        </is>
      </c>
      <c r="B814" t="inlineStr">
        <is>
          <t>phrase_these</t>
        </is>
      </c>
      <c r="C814" t="inlineStr">
        <is>
          <t>fr</t>
        </is>
      </c>
      <c r="D814"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4" t="inlineStr">
        <is>
          <t>2026-10-30T15:06:40+00:00</t>
        </is>
      </c>
      <c r="F814" t="inlineStr">
        <is>
          <t>{"Keyword": "mettre en majuscule", "Search Volume": "390", "CPC": "0", "Competition": "0.33", "Number of Results": "93", "Trends": "0.66,0.81,0.81,0.81,0.81,0.81,0.81,0.81,0.81,0.66,0.81,0.54", "Intent": "1", "Keyword Difficulty Index": "28"}</t>
        </is>
      </c>
      <c r="G814" t="inlineStr">
        <is>
          <t>Raw (Semrush)</t>
        </is>
      </c>
    </row>
    <row r="815">
      <c r="A815" t="inlineStr">
        <is>
          <t>val-fr-3</t>
        </is>
      </c>
      <c r="B815" t="inlineStr">
        <is>
          <t>phrase_these</t>
        </is>
      </c>
      <c r="C815" t="inlineStr">
        <is>
          <t>fr</t>
        </is>
      </c>
      <c r="D815"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5" t="inlineStr">
        <is>
          <t>2026-10-30T15:06:40+00:00</t>
        </is>
      </c>
      <c r="F815" t="inlineStr">
        <is>
          <t>{"Keyword": "minifier css", "Search Volume": "260", "CPC": "0", "Competition": "0.33", "Number of Results": "59", "Trends": "0.54,0.54,0.54,0.36,0.07,0.19,0.36,0.07,0.19,0.12,0.02,0.23", "Intent": "1", "Keyword Difficulty Index": "46"}</t>
        </is>
      </c>
      <c r="G815" t="inlineStr">
        <is>
          <t>Raw (Semrush)</t>
        </is>
      </c>
    </row>
    <row r="816">
      <c r="A816" t="inlineStr">
        <is>
          <t>val-fr-3</t>
        </is>
      </c>
      <c r="B816" t="inlineStr">
        <is>
          <t>phrase_these</t>
        </is>
      </c>
      <c r="C816" t="inlineStr">
        <is>
          <t>fr</t>
        </is>
      </c>
      <c r="D816"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6" t="inlineStr">
        <is>
          <t>2026-10-30T15:06:40+00:00</t>
        </is>
      </c>
      <c r="F816" t="inlineStr">
        <is>
          <t>{"Keyword": "minifier html", "Search Volume": "260", "CPC": "0", "Competition": "0.01", "Number of Results": "70", "Trends": "0.29,0.29,0.36,0.36,0.36,0.29,0.29,0.36,0.23,0.23,0.02,0.03", "Intent": "1", "Keyword Difficulty Index": "65"}</t>
        </is>
      </c>
      <c r="G816" t="inlineStr">
        <is>
          <t>Raw (Semrush)</t>
        </is>
      </c>
    </row>
    <row r="817">
      <c r="A817" t="inlineStr">
        <is>
          <t>val-fr-3</t>
        </is>
      </c>
      <c r="B817" t="inlineStr">
        <is>
          <t>phrase_these</t>
        </is>
      </c>
      <c r="C817" t="inlineStr">
        <is>
          <t>fr</t>
        </is>
      </c>
      <c r="D817"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7" t="inlineStr">
        <is>
          <t>2026-10-30T15:06:40+00:00</t>
        </is>
      </c>
      <c r="F817" t="inlineStr">
        <is>
          <t>{"Keyword": "minify css", "Search Volume": "320", "CPC": "0", "Competition": "0.33", "Number of Results": "61", "Trends": "0.24,0.36,0.30,0.24,0.20,0.24,0.24,0.20,0.16,0.16,0.24,0.20", "Intent": "1", "Keyword Difficulty Index": "29"}</t>
        </is>
      </c>
      <c r="G817" t="inlineStr">
        <is>
          <t>Raw (Semrush)</t>
        </is>
      </c>
    </row>
    <row r="818">
      <c r="A818" t="inlineStr">
        <is>
          <t>val-fr-3</t>
        </is>
      </c>
      <c r="B818" t="inlineStr">
        <is>
          <t>phrase_these</t>
        </is>
      </c>
      <c r="C818" t="inlineStr">
        <is>
          <t>fr</t>
        </is>
      </c>
      <c r="D818"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8" t="inlineStr">
        <is>
          <t>2026-10-30T15:06:40+00:00</t>
        </is>
      </c>
      <c r="F818" t="inlineStr">
        <is>
          <t>{"Keyword": "minify html", "Search Volume": "260", "CPC": "0", "Competition": "0.01", "Number of Results": "72", "Trends": "0.54,0.44,0.54,0.54,0.35,0.44,0.35,0.66,0.44,0.44,0.03,0.18", "Intent": "1", "Keyword Difficulty Index": "42"}</t>
        </is>
      </c>
      <c r="G818" t="inlineStr">
        <is>
          <t>Raw (Semrush)</t>
        </is>
      </c>
    </row>
    <row r="819">
      <c r="A819" t="inlineStr">
        <is>
          <t>val-fr-3</t>
        </is>
      </c>
      <c r="B819" t="inlineStr">
        <is>
          <t>phrase_these</t>
        </is>
      </c>
      <c r="C819" t="inlineStr">
        <is>
          <t>fr</t>
        </is>
      </c>
      <c r="D819"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19" t="inlineStr">
        <is>
          <t>2026-10-30T15:06:40+00:00</t>
        </is>
      </c>
      <c r="F819" t="inlineStr">
        <is>
          <t>{"Keyword": "mobile friendly test", "Search Volume": "210", "CPC": "1.9", "Competition": "0.24", "Number of Results": "107", "Trends": "0.15,1.00,0.29,0.15,0.15,0.15,0.12,0.12,0.15,0.12,0.07,0.10", "Intent": "1", "Keyword Difficulty Index": "22"}</t>
        </is>
      </c>
      <c r="G819" t="inlineStr">
        <is>
          <t>Raw (Semrush)</t>
        </is>
      </c>
    </row>
    <row r="820">
      <c r="A820" t="inlineStr">
        <is>
          <t>val-fr-3</t>
        </is>
      </c>
      <c r="B820" t="inlineStr">
        <is>
          <t>phrase_these</t>
        </is>
      </c>
      <c r="C820" t="inlineStr">
        <is>
          <t>fr</t>
        </is>
      </c>
      <c r="D820"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0" t="inlineStr">
        <is>
          <t>2026-10-30T15:06:40+00:00</t>
        </is>
      </c>
      <c r="F820" t="inlineStr">
        <is>
          <t>{"Keyword": "mvp saas", "Search Volume": "110", "CPC": "1.98", "Competition": "0.29", "Number of Results": "128", "Trends": "0.21,0.09,0.06,0.28,0.34,0.28,0.28,0.21,0.53,0.43,0.28,0.28", "Intent": "1", "Keyword Difficulty Index": "13"}</t>
        </is>
      </c>
      <c r="G820" t="inlineStr">
        <is>
          <t>Raw (Semrush)</t>
        </is>
      </c>
    </row>
    <row r="821">
      <c r="A821" t="inlineStr">
        <is>
          <t>val-fr-3</t>
        </is>
      </c>
      <c r="B821" t="inlineStr">
        <is>
          <t>phrase_these</t>
        </is>
      </c>
      <c r="C821" t="inlineStr">
        <is>
          <t>fr</t>
        </is>
      </c>
      <c r="D821"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1" t="inlineStr">
        <is>
          <t>2026-10-30T15:06:40+00:00</t>
        </is>
      </c>
      <c r="F821" t="inlineStr">
        <is>
          <t>{"Keyword": "n-gram", "Search Volume": "90", "CPC": "0", "Competition": "0.33", "Number of Results": "130", "Trends": "0.01,0.06,0.00,0.00,0.10,0.05,0.36,0.06,0.00,0.00,0.00,0.01", "Intent": "1", "Keyword Difficulty Index": "19"}</t>
        </is>
      </c>
      <c r="G821" t="inlineStr">
        <is>
          <t>Raw (Semrush)</t>
        </is>
      </c>
    </row>
    <row r="822">
      <c r="A822" t="inlineStr">
        <is>
          <t>val-fr-3</t>
        </is>
      </c>
      <c r="B822" t="inlineStr">
        <is>
          <t>phrase_these</t>
        </is>
      </c>
      <c r="C822" t="inlineStr">
        <is>
          <t>fr</t>
        </is>
      </c>
      <c r="D822"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2" t="inlineStr">
        <is>
          <t>2026-10-30T15:06:40+00:00</t>
        </is>
      </c>
      <c r="F822" t="inlineStr">
        <is>
          <t>{"Keyword": "nearshore maroc", "Search Volume": "20", "CPC": "0", "Competition": "0.21", "Number of Results": "0", "Trends": "0.27,0.18,0.18,0.18,0.18,0.18,0.18,0.18,0.18,0.18,0.18,0.18", "Intent": "", "Keyword Difficulty Index": "0"}</t>
        </is>
      </c>
      <c r="G822" t="inlineStr">
        <is>
          <t>Raw (Semrush)</t>
        </is>
      </c>
    </row>
    <row r="823">
      <c r="A823" t="inlineStr">
        <is>
          <t>val-fr-3</t>
        </is>
      </c>
      <c r="B823" t="inlineStr">
        <is>
          <t>phrase_these</t>
        </is>
      </c>
      <c r="C823" t="inlineStr">
        <is>
          <t>fr</t>
        </is>
      </c>
      <c r="D823"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3" t="inlineStr">
        <is>
          <t>2026-10-30T15:06:40+00:00</t>
        </is>
      </c>
      <c r="F823" t="inlineStr">
        <is>
          <t>{"Keyword": "ngram", "Search Volume": "390", "CPC": "0", "Competition": "0.33", "Number of Results": "0", "Trends": "0.20,0.20,0.25,0.25,0.16,0.25,0.13,0.25,0.20,0.20,0.20,0.20", "Intent": "2", "Keyword Difficulty Index": "47"}</t>
        </is>
      </c>
      <c r="G823" t="inlineStr">
        <is>
          <t>Raw (Semrush)</t>
        </is>
      </c>
    </row>
    <row r="824">
      <c r="A824" t="inlineStr">
        <is>
          <t>val-fr-3</t>
        </is>
      </c>
      <c r="B824" t="inlineStr">
        <is>
          <t>phrase_these</t>
        </is>
      </c>
      <c r="C824" t="inlineStr">
        <is>
          <t>fr</t>
        </is>
      </c>
      <c r="D824"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4" t="inlineStr">
        <is>
          <t>2026-10-30T15:06:40+00:00</t>
        </is>
      </c>
      <c r="F824" t="inlineStr">
        <is>
          <t>{"Keyword": "nofollow", "Search Volume": "260", "CPC": "0", "Competition": "0.01", "Number of Results": "134", "Trends": "0.66,0.66,0.66,0.53,0.53,0.66,0.53,0.66,0.53,0.66,0.28,0.28", "Intent": "1", "Keyword Difficulty Index": "23"}</t>
        </is>
      </c>
      <c r="G824" t="inlineStr">
        <is>
          <t>Raw (Semrush)</t>
        </is>
      </c>
    </row>
    <row r="825">
      <c r="A825" t="inlineStr">
        <is>
          <t>val-fr-3</t>
        </is>
      </c>
      <c r="B825" t="inlineStr">
        <is>
          <t>phrase_these</t>
        </is>
      </c>
      <c r="C825" t="inlineStr">
        <is>
          <t>fr</t>
        </is>
      </c>
      <c r="D825"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5" t="inlineStr">
        <is>
          <t>2026-10-30T15:06:40+00:00</t>
        </is>
      </c>
      <c r="F825" t="inlineStr">
        <is>
          <t>{"Keyword": "nofollow dofollow", "Search Volume": "10", "CPC": "0", "Competition": "0.17", "Number of Results": "0", "Trends": "0.00,0.00,0.00,0.00,0.00,0.00,0.00,0.00,0.66,0.66,0.33,0.00", "Intent": "", "Keyword Difficulty Index": "0"}</t>
        </is>
      </c>
      <c r="G825" t="inlineStr">
        <is>
          <t>Raw (Semrush)</t>
        </is>
      </c>
    </row>
    <row r="826">
      <c r="A826" t="inlineStr">
        <is>
          <t>val-fr-3</t>
        </is>
      </c>
      <c r="B826" t="inlineStr">
        <is>
          <t>phrase_these</t>
        </is>
      </c>
      <c r="C826" t="inlineStr">
        <is>
          <t>fr</t>
        </is>
      </c>
      <c r="D826"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6" t="inlineStr">
        <is>
          <t>2026-10-30T15:06:40+00:00</t>
        </is>
      </c>
      <c r="F826" t="inlineStr">
        <is>
          <t>{"Keyword": "nom de domaine expiré", "Search Volume": "170", "CPC": "1.56", "Competition": "0.2", "Number of Results": "10", "Trends": "0.66,0.43,0.43,0.28,0.35,0.66,0.53,0.66,0.35,0.43,0.43,0.35", "Intent": "1", "Keyword Difficulty Index": "19"}</t>
        </is>
      </c>
      <c r="G826" t="inlineStr">
        <is>
          <t>Raw (Semrush)</t>
        </is>
      </c>
    </row>
    <row r="827">
      <c r="A827" t="inlineStr">
        <is>
          <t>val-fr-3</t>
        </is>
      </c>
      <c r="B827" t="inlineStr">
        <is>
          <t>phrase_these</t>
        </is>
      </c>
      <c r="C827" t="inlineStr">
        <is>
          <t>fr</t>
        </is>
      </c>
      <c r="D827"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7" t="inlineStr">
        <is>
          <t>2026-10-30T15:06:40+00:00</t>
        </is>
      </c>
      <c r="F827" t="inlineStr">
        <is>
          <t>{"Keyword": "nombre de mots", "Search Volume": "2900", "CPC": "0.03", "Competition": "0.17", "Number of Results": "128", "Trends": "0.28,0.43,0.54,0.66,0.43,0.54,0.43,0.66,0.54,0.43,0.36,0.24", "Intent": "1", "Keyword Difficulty Index": "38"}</t>
        </is>
      </c>
      <c r="G827" t="inlineStr">
        <is>
          <t>Raw (Semrush)</t>
        </is>
      </c>
    </row>
    <row r="828">
      <c r="A828" t="inlineStr">
        <is>
          <t>val-fr-3</t>
        </is>
      </c>
      <c r="B828" t="inlineStr">
        <is>
          <t>phrase_these</t>
        </is>
      </c>
      <c r="C828" t="inlineStr">
        <is>
          <t>fr</t>
        </is>
      </c>
      <c r="D828"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8" t="inlineStr">
        <is>
          <t>2026-10-30T15:06:40+00:00</t>
        </is>
      </c>
      <c r="F828" t="inlineStr">
        <is>
          <t>{"Keyword": "offshore maroc", "Search Volume": "20", "CPC": "0", "Competition": "0.05", "Number of Results": "0", "Trends": "0.28,0.28,0.28,0.28,0.28,0.28,0.28,0.28,0.28,0.28,0.28,0.28", "Intent": "", "Keyword Difficulty Index": "0"}</t>
        </is>
      </c>
      <c r="G828" t="inlineStr">
        <is>
          <t>Raw (Semrush)</t>
        </is>
      </c>
    </row>
    <row r="829">
      <c r="A829" t="inlineStr">
        <is>
          <t>val-fr-3</t>
        </is>
      </c>
      <c r="B829" t="inlineStr">
        <is>
          <t>phrase_these</t>
        </is>
      </c>
      <c r="C829" t="inlineStr">
        <is>
          <t>fr</t>
        </is>
      </c>
      <c r="D829"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29" t="inlineStr">
        <is>
          <t>2026-10-30T15:06:40+00:00</t>
        </is>
      </c>
      <c r="F829" t="inlineStr">
        <is>
          <t>{"Keyword": "og image", "Search Volume": "320", "CPC": "0", "Competition": "0.01", "Number of Results": "131", "Trends": "0.53,0.53,0.53,1.00,0.82,1.00,0.82,1.00,0.82,0.82,0.66,0.53", "Intent": "1", "Keyword Difficulty Index": "36"}</t>
        </is>
      </c>
      <c r="G829" t="inlineStr">
        <is>
          <t>Raw (Semrush)</t>
        </is>
      </c>
    </row>
    <row r="830">
      <c r="A830" t="inlineStr">
        <is>
          <t>val-fr-3</t>
        </is>
      </c>
      <c r="B830" t="inlineStr">
        <is>
          <t>phrase_these</t>
        </is>
      </c>
      <c r="C830" t="inlineStr">
        <is>
          <t>fr</t>
        </is>
      </c>
      <c r="D830"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30" t="inlineStr">
        <is>
          <t>2026-10-30T15:06:40+00:00</t>
        </is>
      </c>
      <c r="F830" t="inlineStr">
        <is>
          <t>{"Keyword": "open graph", "Search Volume": "480", "CPC": "0", "Competition": "0.33", "Number of Results": "101", "Trends": "0.36,0.44,0.54,0.67,0.67,0.44,1.00,0.54,0.54,0.67,0.67,0.44", "Intent": "1", "Keyword Difficulty Index": "41"}</t>
        </is>
      </c>
      <c r="G830" t="inlineStr">
        <is>
          <t>Raw (Semrush)</t>
        </is>
      </c>
    </row>
    <row r="831">
      <c r="A831" t="inlineStr">
        <is>
          <t>val-fr-3</t>
        </is>
      </c>
      <c r="B831" t="inlineStr">
        <is>
          <t>phrase_these</t>
        </is>
      </c>
      <c r="C831" t="inlineStr">
        <is>
          <t>fr</t>
        </is>
      </c>
      <c r="D831"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31" t="inlineStr">
        <is>
          <t>2026-10-30T15:06:40+00:00</t>
        </is>
      </c>
      <c r="F831" t="inlineStr">
        <is>
          <t>{"Keyword": "optimisation image seo", "Search Volume": "20", "CPC": "0", "Competition": "0.33", "Number of Results": "0", "Trends": "0.14,0.14,0.14,0.14,0.14,0.14,0.14,0.14,0.14,0.21,0.14,0.14", "Intent": "", "Keyword Difficulty Index": "0"}</t>
        </is>
      </c>
      <c r="G831" t="inlineStr">
        <is>
          <t>Raw (Semrush)</t>
        </is>
      </c>
    </row>
    <row r="832">
      <c r="A832" t="inlineStr">
        <is>
          <t>val-fr-3</t>
        </is>
      </c>
      <c r="B832" t="inlineStr">
        <is>
          <t>phrase_these</t>
        </is>
      </c>
      <c r="C832" t="inlineStr">
        <is>
          <t>fr</t>
        </is>
      </c>
      <c r="D832"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32" t="inlineStr">
        <is>
          <t>2026-10-30T15:06:40+00:00</t>
        </is>
      </c>
      <c r="F832" t="inlineStr">
        <is>
          <t>{"Keyword": "optimisation moteurs ia", "Search Volume": "30", "CPC": "0", "Competition": "0", "Number of Results": "0", "Trends": "0.25,0.75,0.75,1.00", "Intent": "", "Keyword Difficulty Index": "0"}</t>
        </is>
      </c>
      <c r="G832" t="inlineStr">
        <is>
          <t>Raw (Semrush)</t>
        </is>
      </c>
    </row>
    <row r="833">
      <c r="A833" t="inlineStr">
        <is>
          <t>val-fr-3</t>
        </is>
      </c>
      <c r="B833" t="inlineStr">
        <is>
          <t>phrase_these</t>
        </is>
      </c>
      <c r="C833" t="inlineStr">
        <is>
          <t>fr</t>
        </is>
      </c>
      <c r="D833" t="inlineStr">
        <is>
          <t>faq schema;faqpage schema;faux texte;fichier llms.txt;fichier robots.txt;flesch;formater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mots clés;générateur qr code;générateur robots.txt;générateur schema;générateur schema faq;générateur sitemap;générateur titre ia;générateur utm;générer qr code;hreflang;html en texte;html minifier;html to text;idée mots clés;idée titre article;json en ligne;json formatter;json validator;json viewer;json-ld;landing page;landing page gratuite;lcp inp cls;lien nofollow;lien utm;liens cassés;liens internes;lisibilité texte;llms txt;llms.txt;lms;lms sur mesure;local business schema;logiciel association</t>
        </is>
      </c>
      <c r="E833" t="inlineStr">
        <is>
          <t>2026-10-30T15:06:40+00:00</t>
        </is>
      </c>
      <c r="F833" t="inlineStr">
        <is>
          <t>{"Keyword": "optimiser images site web", "Search Volume": "0", "CPC": "0", "Competition": "0", "Number of Results": "0", "Trends": "1.00,0.33,0.00,0.00,0.00,0.00,0.00,0.00,0.00,0.00,0.00,0.00", "Intent": "", "Keyword Difficulty Index": "0"}</t>
        </is>
      </c>
      <c r="G833" t="inlineStr">
        <is>
          <t>Raw (Semrush)</t>
        </is>
      </c>
    </row>
    <row r="834">
      <c r="A834" t="inlineStr">
        <is>
          <t>val-fr-4</t>
        </is>
      </c>
      <c r="B834" t="inlineStr">
        <is>
          <t>phrase_these</t>
        </is>
      </c>
      <c r="C834" t="inlineStr">
        <is>
          <t>fr</t>
        </is>
      </c>
      <c r="D834"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34" t="inlineStr">
        <is>
          <t>2026-10-30T15:06:42+00:00</t>
        </is>
      </c>
      <c r="F834" t="inlineStr">
        <is>
          <t>{"Keyword": "outil maillage interne", "Search Volume": "70", "CPC": "2.44", "Competition": "0.33", "Number of Results": "192", "Trends": "0.34,0.42,0.26,0.42,0.34,0.34,0.19,0.19,0.26,0.34,0.19,0.11", "Intent": "1", "Keyword Difficulty Index": "17"}</t>
        </is>
      </c>
      <c r="G834" t="inlineStr">
        <is>
          <t>Raw (Semrush)</t>
        </is>
      </c>
    </row>
    <row r="835">
      <c r="A835" t="inlineStr">
        <is>
          <t>val-fr-4</t>
        </is>
      </c>
      <c r="B835" t="inlineStr">
        <is>
          <t>phrase_these</t>
        </is>
      </c>
      <c r="C835" t="inlineStr">
        <is>
          <t>fr</t>
        </is>
      </c>
      <c r="D835"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35" t="inlineStr">
        <is>
          <t>2026-10-30T15:06:42+00:00</t>
        </is>
      </c>
      <c r="F835" t="inlineStr">
        <is>
          <t>{"Keyword": "outil seo", "Search Volume": "1900", "CPC": "2.45", "Competition": "0.54", "Number of Results": "10", "Trends": "0.07,0.07,0.07,0.07,0.07,0.08,0.10,0.10,0.08,0.08,0.07,0.08", "Intent": "1", "Keyword Difficulty Index": "44"}</t>
        </is>
      </c>
      <c r="G835" t="inlineStr">
        <is>
          <t>Raw (Semrush)</t>
        </is>
      </c>
    </row>
    <row r="836">
      <c r="A836" t="inlineStr">
        <is>
          <t>val-fr-4</t>
        </is>
      </c>
      <c r="B836" t="inlineStr">
        <is>
          <t>phrase_these</t>
        </is>
      </c>
      <c r="C836" t="inlineStr">
        <is>
          <t>fr</t>
        </is>
      </c>
      <c r="D836"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36" t="inlineStr">
        <is>
          <t>2026-10-30T15:06:42+00:00</t>
        </is>
      </c>
      <c r="F836" t="inlineStr">
        <is>
          <t>{"Keyword": "outil seo gratuit", "Search Volume": "720", "CPC": "2.39", "Competition": "0.25", "Number of Results": "10", "Trends": "0.88,1.00,0.88,0.72,0.59,0.88,0.72,0.59,0.88,0.88,0.72,0.72", "Intent": "1", "Keyword Difficulty Index": "43"}</t>
        </is>
      </c>
      <c r="G836" t="inlineStr">
        <is>
          <t>Raw (Semrush)</t>
        </is>
      </c>
    </row>
    <row r="837">
      <c r="A837" t="inlineStr">
        <is>
          <t>val-fr-4</t>
        </is>
      </c>
      <c r="B837" t="inlineStr">
        <is>
          <t>phrase_these</t>
        </is>
      </c>
      <c r="C837" t="inlineStr">
        <is>
          <t>fr</t>
        </is>
      </c>
      <c r="D837"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37" t="inlineStr">
        <is>
          <t>2026-10-30T15:06:42+00:00</t>
        </is>
      </c>
      <c r="F837" t="inlineStr">
        <is>
          <t>{"Keyword": "outils ia gratuits", "Search Volume": "30", "CPC": "0.65", "Competition": "0.63", "Number of Results": "0", "Trends": "0.06,0.15,0.12,0.12,0.21,0.06,0.06,0.09,0.06,0.06,0.06,0.06", "Intent": "", "Keyword Difficulty Index": "0"}</t>
        </is>
      </c>
      <c r="G837" t="inlineStr">
        <is>
          <t>Raw (Semrush)</t>
        </is>
      </c>
    </row>
    <row r="838">
      <c r="A838" t="inlineStr">
        <is>
          <t>val-fr-4</t>
        </is>
      </c>
      <c r="B838" t="inlineStr">
        <is>
          <t>phrase_these</t>
        </is>
      </c>
      <c r="C838" t="inlineStr">
        <is>
          <t>fr</t>
        </is>
      </c>
      <c r="D838"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38" t="inlineStr">
        <is>
          <t>2026-10-30T15:06:42+00:00</t>
        </is>
      </c>
      <c r="F838" t="inlineStr">
        <is>
          <t>{"Keyword": "outils seo", "Search Volume": "1600", "CPC": "2.18", "Competition": "0.19", "Number of Results": "130", "Trends": "0.29,0.29,0.29,0.29,0.24,0.35,0.35,0.35,0.35,0.29,0.29,0.29", "Intent": "1,0", "Keyword Difficulty Index": "42"}</t>
        </is>
      </c>
      <c r="G838" t="inlineStr">
        <is>
          <t>Raw (Semrush)</t>
        </is>
      </c>
    </row>
    <row r="839">
      <c r="A839" t="inlineStr">
        <is>
          <t>val-fr-4</t>
        </is>
      </c>
      <c r="B839" t="inlineStr">
        <is>
          <t>phrase_these</t>
        </is>
      </c>
      <c r="C839" t="inlineStr">
        <is>
          <t>fr</t>
        </is>
      </c>
      <c r="D839"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39" t="inlineStr">
        <is>
          <t>2026-10-30T15:06:42+00:00</t>
        </is>
      </c>
      <c r="F839" t="inlineStr">
        <is>
          <t>{"Keyword": "outils seo en ligne", "Search Volume": "320", "CPC": "0", "Competition": "0.33", "Number of Results": "131", "Trends": "0.44,0.54,0.54,0.54,0.44,0.54,0.66,0.66,0.81,1.00,0.18,0.18", "Intent": "0", "Keyword Difficulty Index": "41"}</t>
        </is>
      </c>
      <c r="G839" t="inlineStr">
        <is>
          <t>Raw (Semrush)</t>
        </is>
      </c>
    </row>
    <row r="840">
      <c r="A840" t="inlineStr">
        <is>
          <t>val-fr-4</t>
        </is>
      </c>
      <c r="B840" t="inlineStr">
        <is>
          <t>phrase_these</t>
        </is>
      </c>
      <c r="C840" t="inlineStr">
        <is>
          <t>fr</t>
        </is>
      </c>
      <c r="D840"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0" t="inlineStr">
        <is>
          <t>2026-10-30T15:06:42+00:00</t>
        </is>
      </c>
      <c r="F840" t="inlineStr">
        <is>
          <t>{"Keyword": "outils seo gratuits", "Search Volume": "170", "CPC": "2.25", "Competition": "0.38", "Number of Results": "121", "Trends": "0.82,1.00,0.53,0.28,0.23,0.43,0.35,0.35,0.28,0.53,0.53,0.43", "Intent": "1", "Keyword Difficulty Index": "37"}</t>
        </is>
      </c>
      <c r="G840" t="inlineStr">
        <is>
          <t>Raw (Semrush)</t>
        </is>
      </c>
    </row>
    <row r="841">
      <c r="A841" t="inlineStr">
        <is>
          <t>val-fr-4</t>
        </is>
      </c>
      <c r="B841" t="inlineStr">
        <is>
          <t>phrase_these</t>
        </is>
      </c>
      <c r="C841" t="inlineStr">
        <is>
          <t>fr</t>
        </is>
      </c>
      <c r="D841"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1" t="inlineStr">
        <is>
          <t>2026-10-30T15:06:42+00:00</t>
        </is>
      </c>
      <c r="F841" t="inlineStr">
        <is>
          <t>{"Keyword": "pagespeed", "Search Volume": "5400", "CPC": "1.53", "Competition": "0.03", "Number of Results": "95", "Trends": "0.29,0.66,0.66,0.66,0.81,0.54,0.54,0.54,0.81,0.54,0.81,0.81", "Intent": "1", "Keyword Difficulty Index": "36"}</t>
        </is>
      </c>
      <c r="G841" t="inlineStr">
        <is>
          <t>Raw (Semrush)</t>
        </is>
      </c>
    </row>
    <row r="842">
      <c r="A842" t="inlineStr">
        <is>
          <t>val-fr-4</t>
        </is>
      </c>
      <c r="B842" t="inlineStr">
        <is>
          <t>phrase_these</t>
        </is>
      </c>
      <c r="C842" t="inlineStr">
        <is>
          <t>fr</t>
        </is>
      </c>
      <c r="D842"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2" t="inlineStr">
        <is>
          <t>2026-10-30T15:06:42+00:00</t>
        </is>
      </c>
      <c r="F842" t="inlineStr">
        <is>
          <t>{"Keyword": "palette couleur site web", "Search Volume": "140", "CPC": "1.1", "Competition": "0.08", "Number of Results": "129", "Trends": "0.34,0.65,0.43,0.43,0.28,0.34,0.34,0.34,0.43,0.43,0.43,0.34", "Intent": "0", "Keyword Difficulty Index": "31"}</t>
        </is>
      </c>
      <c r="G842" t="inlineStr">
        <is>
          <t>Raw (Semrush)</t>
        </is>
      </c>
    </row>
    <row r="843">
      <c r="A843" t="inlineStr">
        <is>
          <t>val-fr-4</t>
        </is>
      </c>
      <c r="B843" t="inlineStr">
        <is>
          <t>phrase_these</t>
        </is>
      </c>
      <c r="C843" t="inlineStr">
        <is>
          <t>fr</t>
        </is>
      </c>
      <c r="D843"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3" t="inlineStr">
        <is>
          <t>2026-10-30T15:06:42+00:00</t>
        </is>
      </c>
      <c r="F843" t="inlineStr">
        <is>
          <t>{"Keyword": "palette de couleurs", "Search Volume": "1600", "CPC": "1.26", "Competition": "0.35", "Number of Results": "195", "Trends": "0.41,1.00,0.66,0.54,0.54,0.66,0.54,0.66,0.54,0.54,0.41,0.66", "Intent": "1", "Keyword Difficulty Index": "48"}</t>
        </is>
      </c>
      <c r="G843" t="inlineStr">
        <is>
          <t>Raw (Semrush)</t>
        </is>
      </c>
    </row>
    <row r="844">
      <c r="A844" t="inlineStr">
        <is>
          <t>val-fr-4</t>
        </is>
      </c>
      <c r="B844" t="inlineStr">
        <is>
          <t>phrase_these</t>
        </is>
      </c>
      <c r="C844" t="inlineStr">
        <is>
          <t>fr</t>
        </is>
      </c>
      <c r="D844"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4" t="inlineStr">
        <is>
          <t>2026-10-30T15:06:42+00:00</t>
        </is>
      </c>
      <c r="F844" t="inlineStr">
        <is>
          <t>{"Keyword": "passerelle de paiement", "Search Volume": "390", "CPC": "7.87", "Competition": "0.28", "Number of Results": "10", "Trends": "0.54,0.44,0.54,0.81,0.81,0.66,1.00,0.66,0.44,0.36,0.19,0.19", "Intent": "1", "Keyword Difficulty Index": "16"}</t>
        </is>
      </c>
      <c r="G844" t="inlineStr">
        <is>
          <t>Raw (Semrush)</t>
        </is>
      </c>
    </row>
    <row r="845">
      <c r="A845" t="inlineStr">
        <is>
          <t>val-fr-4</t>
        </is>
      </c>
      <c r="B845" t="inlineStr">
        <is>
          <t>phrase_these</t>
        </is>
      </c>
      <c r="C845" t="inlineStr">
        <is>
          <t>fr</t>
        </is>
      </c>
      <c r="D845"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5" t="inlineStr">
        <is>
          <t>2026-10-30T15:06:42+00:00</t>
        </is>
      </c>
      <c r="F845" t="inlineStr">
        <is>
          <t>{"Keyword": "plateforme b2b", "Search Volume": "260", "CPC": "2.47", "Competition": "0.71", "Number of Results": "10", "Trends": "0.53,1.00,1.00,0.66,0.66,1.00,0.82,0.66,0.66,0.66,0.53,0.53", "Intent": "1", "Keyword Difficulty Index": "19"}</t>
        </is>
      </c>
      <c r="G845" t="inlineStr">
        <is>
          <t>Raw (Semrush)</t>
        </is>
      </c>
    </row>
    <row r="846">
      <c r="A846" t="inlineStr">
        <is>
          <t>val-fr-4</t>
        </is>
      </c>
      <c r="B846" t="inlineStr">
        <is>
          <t>phrase_these</t>
        </is>
      </c>
      <c r="C846" t="inlineStr">
        <is>
          <t>fr</t>
        </is>
      </c>
      <c r="D846"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6" t="inlineStr">
        <is>
          <t>2026-10-30T15:06:42+00:00</t>
        </is>
      </c>
      <c r="F846" t="inlineStr">
        <is>
          <t>{"Keyword": "plateforme de cours en ligne", "Search Volume": "480", "CPC": "2.96", "Competition": "0.44", "Number of Results": "127", "Trends": "0.08,0.11,0.13,0.16,0.07,0.07,0.07,0.05,0.05,0.05,0.03,0.03", "Intent": "1", "Keyword Difficulty Index": "61"}</t>
        </is>
      </c>
      <c r="G846" t="inlineStr">
        <is>
          <t>Raw (Semrush)</t>
        </is>
      </c>
    </row>
    <row r="847">
      <c r="A847" t="inlineStr">
        <is>
          <t>val-fr-4</t>
        </is>
      </c>
      <c r="B847" t="inlineStr">
        <is>
          <t>phrase_these</t>
        </is>
      </c>
      <c r="C847" t="inlineStr">
        <is>
          <t>fr</t>
        </is>
      </c>
      <c r="D847"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7" t="inlineStr">
        <is>
          <t>2026-10-30T15:06:42+00:00</t>
        </is>
      </c>
      <c r="F847" t="inlineStr">
        <is>
          <t>{"Keyword": "plateforme de formation en ligne", "Search Volume": "1000", "CPC": "4.36", "Competition": "0.42", "Number of Results": "122", "Trends": "0.30,0.36,0.54,0.66,0.54,0.54,0.41,0.41,0.41,0.41,0.41,0.36", "Intent": "1", "Keyword Difficulty Index": "51"}</t>
        </is>
      </c>
      <c r="G847" t="inlineStr">
        <is>
          <t>Raw (Semrush)</t>
        </is>
      </c>
    </row>
    <row r="848">
      <c r="A848" t="inlineStr">
        <is>
          <t>val-fr-4</t>
        </is>
      </c>
      <c r="B848" t="inlineStr">
        <is>
          <t>phrase_these</t>
        </is>
      </c>
      <c r="C848" t="inlineStr">
        <is>
          <t>fr</t>
        </is>
      </c>
      <c r="D848"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8" t="inlineStr">
        <is>
          <t>2026-10-30T15:06:42+00:00</t>
        </is>
      </c>
      <c r="F848" t="inlineStr">
        <is>
          <t>{"Keyword": "plateforme de paiement", "Search Volume": "260", "CPC": "5.82", "Competition": "0.52", "Number of Results": "10", "Trends": "0.66,0.35,0.43,0.81,0.66,0.81,0.66,0.43,0.18,0.81,1.00,0.29", "Intent": "1", "Keyword Difficulty Index": "35"}</t>
        </is>
      </c>
      <c r="G848" t="inlineStr">
        <is>
          <t>Raw (Semrush)</t>
        </is>
      </c>
    </row>
    <row r="849">
      <c r="A849" t="inlineStr">
        <is>
          <t>val-fr-4</t>
        </is>
      </c>
      <c r="B849" t="inlineStr">
        <is>
          <t>phrase_these</t>
        </is>
      </c>
      <c r="C849" t="inlineStr">
        <is>
          <t>fr</t>
        </is>
      </c>
      <c r="D849"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49" t="inlineStr">
        <is>
          <t>2026-10-30T15:06:42+00:00</t>
        </is>
      </c>
      <c r="F849" t="inlineStr">
        <is>
          <t>{"Keyword": "plateforme de télémédecine", "Search Volume": "20", "CPC": "3", "Competition": "0.71", "Number of Results": "0", "Trends": "0.18,0.18,0.18,0.18,0.18,0.18,0.18,0.18,0.18,0.18,0.18,0.18", "Intent": "", "Keyword Difficulty Index": "0"}</t>
        </is>
      </c>
      <c r="G849" t="inlineStr">
        <is>
          <t>Raw (Semrush)</t>
        </is>
      </c>
    </row>
    <row r="850">
      <c r="A850" t="inlineStr">
        <is>
          <t>val-fr-4</t>
        </is>
      </c>
      <c r="B850" t="inlineStr">
        <is>
          <t>phrase_these</t>
        </is>
      </c>
      <c r="C850" t="inlineStr">
        <is>
          <t>fr</t>
        </is>
      </c>
      <c r="D850"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0" t="inlineStr">
        <is>
          <t>2026-10-30T15:06:42+00:00</t>
        </is>
      </c>
      <c r="F850" t="inlineStr">
        <is>
          <t>{"Keyword": "plateforme e-learning", "Search Volume": "2400", "CPC": "8.03", "Competition": "0.56", "Number of Results": "95", "Trends": "0.20,0.81,1.00,1.00,0.65,0.81,0.81,0.65,0.22,0.29,0.16,0.13", "Intent": "1", "Keyword Difficulty Index": "31"}</t>
        </is>
      </c>
      <c r="G850" t="inlineStr">
        <is>
          <t>Raw (Semrush)</t>
        </is>
      </c>
    </row>
    <row r="851">
      <c r="A851" t="inlineStr">
        <is>
          <t>val-fr-4</t>
        </is>
      </c>
      <c r="B851" t="inlineStr">
        <is>
          <t>phrase_these</t>
        </is>
      </c>
      <c r="C851" t="inlineStr">
        <is>
          <t>fr</t>
        </is>
      </c>
      <c r="D851"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1" t="inlineStr">
        <is>
          <t>2026-10-30T15:06:42+00:00</t>
        </is>
      </c>
      <c r="F851" t="inlineStr">
        <is>
          <t>{"Keyword": "plateforme edtech", "Search Volume": "10", "CPC": "2.04", "Competition": "0.35", "Number of Results": "0", "Trends": "0.00,0.00,0.50,0.00,0.00,0.00,0.50,0.00,0.00,0.00,1.00,1.00", "Intent": "", "Keyword Difficulty Index": "0"}</t>
        </is>
      </c>
      <c r="G851" t="inlineStr">
        <is>
          <t>Raw (Semrush)</t>
        </is>
      </c>
    </row>
    <row r="852">
      <c r="A852" t="inlineStr">
        <is>
          <t>val-fr-4</t>
        </is>
      </c>
      <c r="B852" t="inlineStr">
        <is>
          <t>phrase_these</t>
        </is>
      </c>
      <c r="C852" t="inlineStr">
        <is>
          <t>fr</t>
        </is>
      </c>
      <c r="D852"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2" t="inlineStr">
        <is>
          <t>2026-10-30T15:06:42+00:00</t>
        </is>
      </c>
      <c r="F852" t="inlineStr">
        <is>
          <t>{"Keyword": "plateforme lms", "Search Volume": "1000", "CPC": "5.74", "Competition": "0.5", "Number of Results": "128", "Trends": "0.62,0.62,0.81,0.81,0.55,0.81,0.62,0.55,0.62,0.62,0.62,0.62", "Intent": "1", "Keyword Difficulty Index": "37"}</t>
        </is>
      </c>
      <c r="G852" t="inlineStr">
        <is>
          <t>Raw (Semrush)</t>
        </is>
      </c>
    </row>
    <row r="853">
      <c r="A853" t="inlineStr">
        <is>
          <t>val-fr-4</t>
        </is>
      </c>
      <c r="B853" t="inlineStr">
        <is>
          <t>phrase_these</t>
        </is>
      </c>
      <c r="C853" t="inlineStr">
        <is>
          <t>fr</t>
        </is>
      </c>
      <c r="D853"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3" t="inlineStr">
        <is>
          <t>2026-10-30T15:06:42+00:00</t>
        </is>
      </c>
      <c r="F853" t="inlineStr">
        <is>
          <t>{"Keyword": "plateforme pour vendre des formations", "Search Volume": "0", "CPC": "0", "Competition": "0", "Number of Results": "0", "Trends": "0.00,0.00,0.00,0.00,0.00,0.00,0.00,0.00,0.00,0.00,0.00,0.00", "Intent": "", "Keyword Difficulty Index": "0"}</t>
        </is>
      </c>
      <c r="G853" t="inlineStr">
        <is>
          <t>Raw (Semrush)</t>
        </is>
      </c>
    </row>
    <row r="854">
      <c r="A854" t="inlineStr">
        <is>
          <t>val-fr-4</t>
        </is>
      </c>
      <c r="B854" t="inlineStr">
        <is>
          <t>phrase_these</t>
        </is>
      </c>
      <c r="C854" t="inlineStr">
        <is>
          <t>fr</t>
        </is>
      </c>
      <c r="D854"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4" t="inlineStr">
        <is>
          <t>2026-10-30T15:06:42+00:00</t>
        </is>
      </c>
      <c r="F854" t="inlineStr">
        <is>
          <t>{"Keyword": "plateforme téléconsultation", "Search Volume": "70", "CPC": "2.15", "Competition": "0.75", "Number of Results": "202", "Trends": "0.21,0.21,0.21,0.21,0.43,0.28,0.15,0.34,0.28,0.09,0.15,0.09", "Intent": "0", "Keyword Difficulty Index": "74"}</t>
        </is>
      </c>
      <c r="G854" t="inlineStr">
        <is>
          <t>Raw (Semrush)</t>
        </is>
      </c>
    </row>
    <row r="855">
      <c r="A855" t="inlineStr">
        <is>
          <t>val-fr-4</t>
        </is>
      </c>
      <c r="B855" t="inlineStr">
        <is>
          <t>phrase_these</t>
        </is>
      </c>
      <c r="C855" t="inlineStr">
        <is>
          <t>fr</t>
        </is>
      </c>
      <c r="D855"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5" t="inlineStr">
        <is>
          <t>2026-10-30T15:06:42+00:00</t>
        </is>
      </c>
      <c r="F855" t="inlineStr">
        <is>
          <t>{"Keyword": "portail immobilier", "Search Volume": "320", "CPC": "0.79", "Competition": "0.07", "Number of Results": "110", "Trends": "0.54,0.66,0.66,0.66,0.66,0.54,0.66,0.35,0.54,0.54,0.44,0.44", "Intent": "3", "Keyword Difficulty Index": "31"}</t>
        </is>
      </c>
      <c r="G855" t="inlineStr">
        <is>
          <t>Raw (Semrush)</t>
        </is>
      </c>
    </row>
    <row r="856">
      <c r="A856" t="inlineStr">
        <is>
          <t>val-fr-4</t>
        </is>
      </c>
      <c r="B856" t="inlineStr">
        <is>
          <t>phrase_these</t>
        </is>
      </c>
      <c r="C856" t="inlineStr">
        <is>
          <t>fr</t>
        </is>
      </c>
      <c r="D856"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6" t="inlineStr">
        <is>
          <t>2026-10-30T15:06:42+00:00</t>
        </is>
      </c>
      <c r="F856" t="inlineStr">
        <is>
          <t>{"Keyword": "portail patient", "Search Volume": "390", "CPC": "1.19", "Competition": "0.02", "Number of Results": "122", "Trends": "0.36,0.54,0.54,0.44,0.44,0.54,0.44,0.54,0.54,0.44,0.12,0.12", "Intent": "1", "Keyword Difficulty Index": "23"}</t>
        </is>
      </c>
      <c r="G856" t="inlineStr">
        <is>
          <t>Raw (Semrush)</t>
        </is>
      </c>
    </row>
    <row r="857">
      <c r="A857" t="inlineStr">
        <is>
          <t>val-fr-4</t>
        </is>
      </c>
      <c r="B857" t="inlineStr">
        <is>
          <t>phrase_these</t>
        </is>
      </c>
      <c r="C857" t="inlineStr">
        <is>
          <t>fr</t>
        </is>
      </c>
      <c r="D857"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7" t="inlineStr">
        <is>
          <t>2026-10-30T15:06:42+00:00</t>
        </is>
      </c>
      <c r="F857" t="inlineStr">
        <is>
          <t>{"Keyword": "portail étudiant", "Search Volume": "260", "CPC": "0", "Competition": "0.33", "Number of Results": "137", "Trends": "0.12,0.15,0.29,0.23,0.23,0.29,0.36,0.36,0.19,0.23,0.29,0.44", "Intent": "1", "Keyword Difficulty Index": "33"}</t>
        </is>
      </c>
      <c r="G857" t="inlineStr">
        <is>
          <t>Raw (Semrush)</t>
        </is>
      </c>
    </row>
    <row r="858">
      <c r="A858" t="inlineStr">
        <is>
          <t>val-fr-4</t>
        </is>
      </c>
      <c r="B858" t="inlineStr">
        <is>
          <t>phrase_these</t>
        </is>
      </c>
      <c r="C858" t="inlineStr">
        <is>
          <t>fr</t>
        </is>
      </c>
      <c r="D858"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8" t="inlineStr">
        <is>
          <t>2026-10-30T15:06:42+00:00</t>
        </is>
      </c>
      <c r="F858" t="inlineStr">
        <is>
          <t>{"Keyword": "prix création site internet", "Search Volume": "320", "CPC": "2.03", "Competition": "0.63", "Number of Results": "10", "Trends": "0.39,0.48,0.26,0.32,0.26,0.26,0.39,0.32,0.32,0.26,0.26,0.39", "Intent": "3", "Keyword Difficulty Index": "35"}</t>
        </is>
      </c>
      <c r="G858" t="inlineStr">
        <is>
          <t>Raw (Semrush)</t>
        </is>
      </c>
    </row>
    <row r="859">
      <c r="A859" t="inlineStr">
        <is>
          <t>val-fr-4</t>
        </is>
      </c>
      <c r="B859" t="inlineStr">
        <is>
          <t>phrase_these</t>
        </is>
      </c>
      <c r="C859" t="inlineStr">
        <is>
          <t>fr</t>
        </is>
      </c>
      <c r="D859"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59" t="inlineStr">
        <is>
          <t>2026-10-30T15:06:42+00:00</t>
        </is>
      </c>
      <c r="F859" t="inlineStr">
        <is>
          <t>{"Keyword": "prix création site web", "Search Volume": "90", "CPC": "1.37", "Competition": "0.42", "Number of Results": "133", "Trends": "0.80,0.52,0.42,0.33,0.23,0.23,0.33,0.33,0.33,0.66,0.66,0.52", "Intent": "3", "Keyword Difficulty Index": "33"}</t>
        </is>
      </c>
      <c r="G859" t="inlineStr">
        <is>
          <t>Raw (Semrush)</t>
        </is>
      </c>
    </row>
    <row r="860">
      <c r="A860" t="inlineStr">
        <is>
          <t>val-fr-4</t>
        </is>
      </c>
      <c r="B860" t="inlineStr">
        <is>
          <t>phrase_these</t>
        </is>
      </c>
      <c r="C860" t="inlineStr">
        <is>
          <t>fr</t>
        </is>
      </c>
      <c r="D860"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0" t="inlineStr">
        <is>
          <t>2026-10-30T15:06:42+00:00</t>
        </is>
      </c>
      <c r="F860" t="inlineStr">
        <is>
          <t>{"Keyword": "prix d'un site internet", "Search Volume": "480", "CPC": "1.46", "Competition": "0.51", "Number of Results": "190", "Trends": "0.25,0.16,1.00,0.05,0.25,0.05,0.05,0.52,0.07,0.37,0.31,0.31", "Intent": "1", "Keyword Difficulty Index": "32"}</t>
        </is>
      </c>
      <c r="G860" t="inlineStr">
        <is>
          <t>Raw (Semrush)</t>
        </is>
      </c>
    </row>
    <row r="861">
      <c r="A861" t="inlineStr">
        <is>
          <t>val-fr-4</t>
        </is>
      </c>
      <c r="B861" t="inlineStr">
        <is>
          <t>phrase_these</t>
        </is>
      </c>
      <c r="C861" t="inlineStr">
        <is>
          <t>fr</t>
        </is>
      </c>
      <c r="D861"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1" t="inlineStr">
        <is>
          <t>2026-10-30T15:06:42+00:00</t>
        </is>
      </c>
      <c r="F861" t="inlineStr">
        <is>
          <t>{"Keyword": "prix développement application web", "Search Volume": "10", "CPC": "0", "Competition": "0", "Number of Results": "0", "Trends": "0.00,0.00,0.00,0.00,0.00,1.00,1.00,0.50,0.00,0.00,0.00,0.00", "Intent": "", "Keyword Difficulty Index": "0"}</t>
        </is>
      </c>
      <c r="G861" t="inlineStr">
        <is>
          <t>Raw (Semrush)</t>
        </is>
      </c>
    </row>
    <row r="862">
      <c r="A862" t="inlineStr">
        <is>
          <t>val-fr-4</t>
        </is>
      </c>
      <c r="B862" t="inlineStr">
        <is>
          <t>phrase_these</t>
        </is>
      </c>
      <c r="C862" t="inlineStr">
        <is>
          <t>fr</t>
        </is>
      </c>
      <c r="D862"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2" t="inlineStr">
        <is>
          <t>2026-10-30T15:06:42+00:00</t>
        </is>
      </c>
      <c r="F862" t="inlineStr">
        <is>
          <t>{"Keyword": "prix développeur web freelance", "Search Volume": "0", "CPC": "0", "Competition": "0", "Number of Results": "0", "Trends": "0.00,0.00,0.00,0.00,0.00,0.00,0.00,0.00,0.00,0.00,0.00,0.00", "Intent": "", "Keyword Difficulty Index": "0"}</t>
        </is>
      </c>
      <c r="G862" t="inlineStr">
        <is>
          <t>Raw (Semrush)</t>
        </is>
      </c>
    </row>
    <row r="863">
      <c r="A863" t="inlineStr">
        <is>
          <t>val-fr-4</t>
        </is>
      </c>
      <c r="B863" t="inlineStr">
        <is>
          <t>phrase_these</t>
        </is>
      </c>
      <c r="C863" t="inlineStr">
        <is>
          <t>fr</t>
        </is>
      </c>
      <c r="D863"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3" t="inlineStr">
        <is>
          <t>2026-10-30T15:06:42+00:00</t>
        </is>
      </c>
      <c r="F863" t="inlineStr">
        <is>
          <t>{"Keyword": "prix site e-commerce", "Search Volume": "170", "CPC": "1.21", "Competition": "0.35", "Number of Results": "129", "Trends": "0.34,1.00,0.43,0.43,0.53,0.65,0.65,1.00,0.65,0.81,1.00,0.34", "Intent": "3", "Keyword Difficulty Index": "23"}</t>
        </is>
      </c>
      <c r="G863" t="inlineStr">
        <is>
          <t>Raw (Semrush)</t>
        </is>
      </c>
    </row>
    <row r="864">
      <c r="A864" t="inlineStr">
        <is>
          <t>val-fr-4</t>
        </is>
      </c>
      <c r="B864" t="inlineStr">
        <is>
          <t>phrase_these</t>
        </is>
      </c>
      <c r="C864" t="inlineStr">
        <is>
          <t>fr</t>
        </is>
      </c>
      <c r="D864"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4" t="inlineStr">
        <is>
          <t>2026-10-30T15:06:42+00:00</t>
        </is>
      </c>
      <c r="F864" t="inlineStr">
        <is>
          <t>{"Keyword": "prix site web", "Search Volume": "320", "CPC": "1.43", "Competition": "0.55", "Number of Results": "134", "Trends": "1.00,0.81,0.81,0.81,0.66,0.54,0.66,0.54,0.54,0.66,0.66,0.66", "Intent": "1", "Keyword Difficulty Index": "26"}</t>
        </is>
      </c>
      <c r="G864" t="inlineStr">
        <is>
          <t>Raw (Semrush)</t>
        </is>
      </c>
    </row>
    <row r="865">
      <c r="A865" t="inlineStr">
        <is>
          <t>val-fr-4</t>
        </is>
      </c>
      <c r="B865" t="inlineStr">
        <is>
          <t>phrase_these</t>
        </is>
      </c>
      <c r="C865" t="inlineStr">
        <is>
          <t>fr</t>
        </is>
      </c>
      <c r="D865"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5" t="inlineStr">
        <is>
          <t>2026-10-30T15:06:42+00:00</t>
        </is>
      </c>
      <c r="F865" t="inlineStr">
        <is>
          <t>{"Keyword": "qr code", "Search Volume": "90500", "CPC": "0.39", "Competition": "0.36", "Number of Results": "127", "Trends": "0.30,0.44,0.36,0.36,0.36,0.36,0.36,0.36,0.36,0.36,0.24,0.24", "Intent": "1", "Keyword Difficulty Index": "60"}</t>
        </is>
      </c>
      <c r="G865" t="inlineStr">
        <is>
          <t>Raw (Semrush)</t>
        </is>
      </c>
    </row>
    <row r="866">
      <c r="A866" t="inlineStr">
        <is>
          <t>val-fr-4</t>
        </is>
      </c>
      <c r="B866" t="inlineStr">
        <is>
          <t>phrase_these</t>
        </is>
      </c>
      <c r="C866" t="inlineStr">
        <is>
          <t>fr</t>
        </is>
      </c>
      <c r="D866"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6" t="inlineStr">
        <is>
          <t>2026-10-30T15:06:42+00:00</t>
        </is>
      </c>
      <c r="F866" t="inlineStr">
        <is>
          <t>{"Keyword": "qr code gratuit", "Search Volume": "40500", "CPC": "0.39", "Competition": "0.58", "Number of Results": "10", "Trends": "0.66,0.81,0.81,0.81,0.81,0.81,0.66,0.81,0.66,0.66,0.66,0.66", "Intent": "1", "Keyword Difficulty Index": "55"}</t>
        </is>
      </c>
      <c r="G866" t="inlineStr">
        <is>
          <t>Raw (Semrush)</t>
        </is>
      </c>
    </row>
    <row r="867">
      <c r="A867" t="inlineStr">
        <is>
          <t>val-fr-4</t>
        </is>
      </c>
      <c r="B867" t="inlineStr">
        <is>
          <t>phrase_these</t>
        </is>
      </c>
      <c r="C867" t="inlineStr">
        <is>
          <t>fr</t>
        </is>
      </c>
      <c r="D867"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7" t="inlineStr">
        <is>
          <t>2026-10-30T15:06:42+00:00</t>
        </is>
      </c>
      <c r="F867" t="inlineStr">
        <is>
          <t>{"Keyword": "redirect checker", "Search Volume": "480", "CPC": "0.61", "Competition": "0.01", "Number of Results": "93", "Trends": "0.44,1.00,0.67,0.44,0.36,0.44,0.54,0.54,0.36,0.54,0.44,0.23", "Intent": "0", "Keyword Difficulty Index": "55"}</t>
        </is>
      </c>
      <c r="G867" t="inlineStr">
        <is>
          <t>Raw (Semrush)</t>
        </is>
      </c>
    </row>
    <row r="868">
      <c r="A868" t="inlineStr">
        <is>
          <t>val-fr-4</t>
        </is>
      </c>
      <c r="B868" t="inlineStr">
        <is>
          <t>phrase_these</t>
        </is>
      </c>
      <c r="C868" t="inlineStr">
        <is>
          <t>fr</t>
        </is>
      </c>
      <c r="D868"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8" t="inlineStr">
        <is>
          <t>2026-10-30T15:06:42+00:00</t>
        </is>
      </c>
      <c r="F868" t="inlineStr">
        <is>
          <t>{"Keyword": "redirection 301", "Search Volume": "1000", "CPC": "0.11", "Competition": "0.12", "Number of Results": "133", "Trends": "0.30,0.34,0.34,0.34,0.24,0.24,0.24,0.24,0.24,0.24,0.24,0.20", "Intent": "1", "Keyword Difficulty Index": "37"}</t>
        </is>
      </c>
      <c r="G868" t="inlineStr">
        <is>
          <t>Raw (Semrush)</t>
        </is>
      </c>
    </row>
    <row r="869">
      <c r="A869" t="inlineStr">
        <is>
          <t>val-fr-4</t>
        </is>
      </c>
      <c r="B869" t="inlineStr">
        <is>
          <t>phrase_these</t>
        </is>
      </c>
      <c r="C869" t="inlineStr">
        <is>
          <t>fr</t>
        </is>
      </c>
      <c r="D869"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69" t="inlineStr">
        <is>
          <t>2026-10-30T15:06:42+00:00</t>
        </is>
      </c>
      <c r="F869" t="inlineStr">
        <is>
          <t>{"Keyword": "redirection meta refresh", "Search Volume": "0", "CPC": "0", "Competition": "0", "Number of Results": "0", "Trends": "0.00,0.00,0.00,0.00,0.00,0.00,0.00,0.00,0.00,0.00,0.00,0.00", "Intent": "", "Keyword Difficulty Index": "0"}</t>
        </is>
      </c>
      <c r="G869" t="inlineStr">
        <is>
          <t>Raw (Semrush)</t>
        </is>
      </c>
    </row>
    <row r="870">
      <c r="A870" t="inlineStr">
        <is>
          <t>val-fr-4</t>
        </is>
      </c>
      <c r="B870" t="inlineStr">
        <is>
          <t>phrase_these</t>
        </is>
      </c>
      <c r="C870" t="inlineStr">
        <is>
          <t>fr</t>
        </is>
      </c>
      <c r="D870"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0" t="inlineStr">
        <is>
          <t>2026-10-30T15:06:42+00:00</t>
        </is>
      </c>
      <c r="F870" t="inlineStr">
        <is>
          <t>{"Keyword": "refonte site web", "Search Volume": "1900", "CPC": "4.34", "Competition": "0.14", "Number of Results": "10", "Trends": "1.00,0.79,0.79,0.79,0.79,0.79,0.79,0.79,1.00,1.00,0.41,0.41", "Intent": "1", "Keyword Difficulty Index": "24"}</t>
        </is>
      </c>
      <c r="G870" t="inlineStr">
        <is>
          <t>Raw (Semrush)</t>
        </is>
      </c>
    </row>
    <row r="871">
      <c r="A871" t="inlineStr">
        <is>
          <t>val-fr-4</t>
        </is>
      </c>
      <c r="B871" t="inlineStr">
        <is>
          <t>phrase_these</t>
        </is>
      </c>
      <c r="C871" t="inlineStr">
        <is>
          <t>fr</t>
        </is>
      </c>
      <c r="D871"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1" t="inlineStr">
        <is>
          <t>2026-10-30T15:06:42+00:00</t>
        </is>
      </c>
      <c r="F871" t="inlineStr">
        <is>
          <t>{"Keyword": "robots ia", "Search Volume": "320", "CPC": "0.79", "Competition": "0.48", "Number of Results": "97", "Trends": "0.20,0.06,0.24,0.20,0.06,0.06,1.00,0.05,0.05,0.30,0.45,0.04", "Intent": "1", "Keyword Difficulty Index": "33"}</t>
        </is>
      </c>
      <c r="G871" t="inlineStr">
        <is>
          <t>Raw (Semrush)</t>
        </is>
      </c>
    </row>
    <row r="872">
      <c r="A872" t="inlineStr">
        <is>
          <t>val-fr-4</t>
        </is>
      </c>
      <c r="B872" t="inlineStr">
        <is>
          <t>phrase_these</t>
        </is>
      </c>
      <c r="C872" t="inlineStr">
        <is>
          <t>fr</t>
        </is>
      </c>
      <c r="D872"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2" t="inlineStr">
        <is>
          <t>2026-10-30T15:06:42+00:00</t>
        </is>
      </c>
      <c r="F872" t="inlineStr">
        <is>
          <t>{"Keyword": "robots.txt", "Search Volume": "1900", "CPC": "0.88", "Competition": "0.03", "Number of Results": "10", "Trends": "0.81,0.16,0.16,0.12,0.10,0.23,0.12,0.16,0.16,0.12,0.12,0.08", "Intent": "1", "Keyword Difficulty Index": "36"}</t>
        </is>
      </c>
      <c r="G872" t="inlineStr">
        <is>
          <t>Raw (Semrush)</t>
        </is>
      </c>
    </row>
    <row r="873">
      <c r="A873" t="inlineStr">
        <is>
          <t>val-fr-4</t>
        </is>
      </c>
      <c r="B873" t="inlineStr">
        <is>
          <t>phrase_these</t>
        </is>
      </c>
      <c r="C873" t="inlineStr">
        <is>
          <t>fr</t>
        </is>
      </c>
      <c r="D873"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3" t="inlineStr">
        <is>
          <t>2026-10-30T15:06:42+00:00</t>
        </is>
      </c>
      <c r="F873" t="inlineStr">
        <is>
          <t>{"Keyword": "robots.txt tester", "Search Volume": "320", "CPC": "1.66", "Competition": "0.02", "Number of Results": "109", "Trends": "0.04,0.81,0.08,0.08,0.05,0.06,0.10,0.04,0.08,0.06,0.13,0.03", "Intent": "0", "Keyword Difficulty Index": "51"}</t>
        </is>
      </c>
      <c r="G873" t="inlineStr">
        <is>
          <t>Raw (Semrush)</t>
        </is>
      </c>
    </row>
    <row r="874">
      <c r="A874" t="inlineStr">
        <is>
          <t>val-fr-4</t>
        </is>
      </c>
      <c r="B874" t="inlineStr">
        <is>
          <t>phrase_these</t>
        </is>
      </c>
      <c r="C874" t="inlineStr">
        <is>
          <t>fr</t>
        </is>
      </c>
      <c r="D874"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4" t="inlineStr">
        <is>
          <t>2026-10-30T15:06:42+00:00</t>
        </is>
      </c>
      <c r="F874" t="inlineStr">
        <is>
          <t>{"Keyword": "réassurance site web", "Search Volume": "20", "CPC": "0", "Competition": "0.33", "Number of Results": "0", "Trends": "0.07,0.07,0.07,0.07,0.07,0.07,0.07,0.07,0.07,0.07,0.07,0.07", "Intent": "", "Keyword Difficulty Index": "0"}</t>
        </is>
      </c>
      <c r="G874" t="inlineStr">
        <is>
          <t>Raw (Semrush)</t>
        </is>
      </c>
    </row>
    <row r="875">
      <c r="A875" t="inlineStr">
        <is>
          <t>val-fr-4</t>
        </is>
      </c>
      <c r="B875" t="inlineStr">
        <is>
          <t>phrase_these</t>
        </is>
      </c>
      <c r="C875" t="inlineStr">
        <is>
          <t>fr</t>
        </is>
      </c>
      <c r="D875"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5" t="inlineStr">
        <is>
          <t>2026-10-30T15:06:42+00:00</t>
        </is>
      </c>
      <c r="F875" t="inlineStr">
        <is>
          <t>{"Keyword": "rédiger une annonce immobilière", "Search Volume": "70", "CPC": "0.39", "Competition": "0.28", "Number of Results": "128", "Trends": "0.22,0.18,0.18,0.18,0.18,0.14,0.10,0.14,0.08,0.18,0.14,0.10", "Intent": "1", "Keyword Difficulty Index": "18"}</t>
        </is>
      </c>
      <c r="G875" t="inlineStr">
        <is>
          <t>Raw (Semrush)</t>
        </is>
      </c>
    </row>
    <row r="876">
      <c r="A876" t="inlineStr">
        <is>
          <t>val-fr-4</t>
        </is>
      </c>
      <c r="B876" t="inlineStr">
        <is>
          <t>phrase_these</t>
        </is>
      </c>
      <c r="C876" t="inlineStr">
        <is>
          <t>fr</t>
        </is>
      </c>
      <c r="D876"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6" t="inlineStr">
        <is>
          <t>2026-10-30T15:06:42+00:00</t>
        </is>
      </c>
      <c r="F876" t="inlineStr">
        <is>
          <t>{"Keyword": "réduire taille image", "Search Volume": "8100", "CPC": "0.18", "Competition": "0.06", "Number of Results": "126", "Trends": "0.44,0.81,0.81,0.66,0.54,0.54,1.00,0.66,0.81,0.54,0.81,0.66", "Intent": "0", "Keyword Difficulty Index": "33"}</t>
        </is>
      </c>
      <c r="G876" t="inlineStr">
        <is>
          <t>Raw (Semrush)</t>
        </is>
      </c>
    </row>
    <row r="877">
      <c r="A877" t="inlineStr">
        <is>
          <t>val-fr-4</t>
        </is>
      </c>
      <c r="B877" t="inlineStr">
        <is>
          <t>phrase_these</t>
        </is>
      </c>
      <c r="C877" t="inlineStr">
        <is>
          <t>fr</t>
        </is>
      </c>
      <c r="D877"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7" t="inlineStr">
        <is>
          <t>2026-10-30T15:06:42+00:00</t>
        </is>
      </c>
      <c r="F877" t="inlineStr">
        <is>
          <t>{"Keyword": "référencement ia", "Search Volume": "480", "CPC": "2.84", "Competition": "0.37", "Number of Results": "10", "Trends": "0.21,0.32,0.26,0.48,0.39,0.59,0.72,0.72,0.72,1.00,1.00,1.00", "Intent": "1", "Keyword Difficulty Index": "24"}</t>
        </is>
      </c>
      <c r="G877" t="inlineStr">
        <is>
          <t>Raw (Semrush)</t>
        </is>
      </c>
    </row>
    <row r="878">
      <c r="A878" t="inlineStr">
        <is>
          <t>val-fr-4</t>
        </is>
      </c>
      <c r="B878" t="inlineStr">
        <is>
          <t>phrase_these</t>
        </is>
      </c>
      <c r="C878" t="inlineStr">
        <is>
          <t>fr</t>
        </is>
      </c>
      <c r="D878"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8" t="inlineStr">
        <is>
          <t>2026-10-30T15:06:42+00:00</t>
        </is>
      </c>
      <c r="F878" t="inlineStr">
        <is>
          <t>{"Keyword": "référencement naturel", "Search Volume": "5400", "CPC": "2.74", "Competition": "0.24", "Number of Results": "10", "Trends": "1.00,1.00,0.81,0.81,1.00,1.00,0.81,1.00,0.81,0.81,0.15,0.15", "Intent": "1", "Keyword Difficulty Index": "51"}</t>
        </is>
      </c>
      <c r="G878" t="inlineStr">
        <is>
          <t>Raw (Semrush)</t>
        </is>
      </c>
    </row>
    <row r="879">
      <c r="A879" t="inlineStr">
        <is>
          <t>val-fr-4</t>
        </is>
      </c>
      <c r="B879" t="inlineStr">
        <is>
          <t>phrase_these</t>
        </is>
      </c>
      <c r="C879" t="inlineStr">
        <is>
          <t>fr</t>
        </is>
      </c>
      <c r="D879"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79" t="inlineStr">
        <is>
          <t>2026-10-30T15:06:42+00:00</t>
        </is>
      </c>
      <c r="F879" t="inlineStr">
        <is>
          <t>{"Keyword": "référencement site immobilier", "Search Volume": "320", "CPC": "0", "Competition": "0.33", "Number of Results": "130", "Trends": "0.29,0.36,0.36,0.36,0.44,0.44,0.54,0.66,0.66,1.00,0.15,0.15", "Intent": "1", "Keyword Difficulty Index": "24"}</t>
        </is>
      </c>
      <c r="G879" t="inlineStr">
        <is>
          <t>Raw (Semrush)</t>
        </is>
      </c>
    </row>
    <row r="880">
      <c r="A880" t="inlineStr">
        <is>
          <t>val-fr-4</t>
        </is>
      </c>
      <c r="B880" t="inlineStr">
        <is>
          <t>phrase_these</t>
        </is>
      </c>
      <c r="C880" t="inlineStr">
        <is>
          <t>fr</t>
        </is>
      </c>
      <c r="D880"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0" t="inlineStr">
        <is>
          <t>2026-10-30T15:06:42+00:00</t>
        </is>
      </c>
      <c r="F880" t="inlineStr">
        <is>
          <t>{"Keyword": "saas facturation", "Search Volume": "20", "CPC": "3.45", "Competition": "0.65", "Number of Results": "0", "Trends": "0.50,0.50,1.00,0.50,0.50,0.50,0.50,0.50,0.50,0.50,0.50,0.50", "Intent": "", "Keyword Difficulty Index": "0"}</t>
        </is>
      </c>
      <c r="G880" t="inlineStr">
        <is>
          <t>Raw (Semrush)</t>
        </is>
      </c>
    </row>
    <row r="881">
      <c r="A881" t="inlineStr">
        <is>
          <t>val-fr-4</t>
        </is>
      </c>
      <c r="B881" t="inlineStr">
        <is>
          <t>phrase_these</t>
        </is>
      </c>
      <c r="C881" t="inlineStr">
        <is>
          <t>fr</t>
        </is>
      </c>
      <c r="D881"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1" t="inlineStr">
        <is>
          <t>2026-10-30T15:06:42+00:00</t>
        </is>
      </c>
      <c r="F881" t="inlineStr">
        <is>
          <t>{"Keyword": "saas multi tenant", "Search Volume": "20", "CPC": "0", "Competition": "0.16", "Number of Results": "0", "Trends": "0.50,0.50,0.50,0.50,1.00,1.00,1.00,0.50,1.00,1.00,1.00,0.50", "Intent": "", "Keyword Difficulty Index": "0"}</t>
        </is>
      </c>
      <c r="G881" t="inlineStr">
        <is>
          <t>Raw (Semrush)</t>
        </is>
      </c>
    </row>
    <row r="882">
      <c r="A882" t="inlineStr">
        <is>
          <t>val-fr-4</t>
        </is>
      </c>
      <c r="B882" t="inlineStr">
        <is>
          <t>phrase_these</t>
        </is>
      </c>
      <c r="C882" t="inlineStr">
        <is>
          <t>fr</t>
        </is>
      </c>
      <c r="D882"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2" t="inlineStr">
        <is>
          <t>2026-10-30T15:06:42+00:00</t>
        </is>
      </c>
      <c r="F882" t="inlineStr">
        <is>
          <t>{"Keyword": "schema faq", "Search Volume": "20", "CPC": "0", "Competition": "0.02", "Number of Results": "0", "Trends": "0.66,0.66,0.66,0.66,0.66,0.66,0.66,0.66,0.66,0.66,0.66,0.66", "Intent": "", "Keyword Difficulty Index": "0"}</t>
        </is>
      </c>
      <c r="G882" t="inlineStr">
        <is>
          <t>Raw (Semrush)</t>
        </is>
      </c>
    </row>
    <row r="883">
      <c r="A883" t="inlineStr">
        <is>
          <t>val-fr-4</t>
        </is>
      </c>
      <c r="B883" t="inlineStr">
        <is>
          <t>phrase_these</t>
        </is>
      </c>
      <c r="C883" t="inlineStr">
        <is>
          <t>fr</t>
        </is>
      </c>
      <c r="D883"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3" t="inlineStr">
        <is>
          <t>2026-10-30T15:06:42+00:00</t>
        </is>
      </c>
      <c r="F883" t="inlineStr">
        <is>
          <t>{"Keyword": "schema localbusiness", "Search Volume": "20", "CPC": "0", "Competition": "0.21", "Number of Results": "0", "Trends": "0.00,0.50,0.50,0.50,0.50,1.00,1.00,1.00,1.00,1.00,1.00,0.50", "Intent": "", "Keyword Difficulty Index": "0"}</t>
        </is>
      </c>
      <c r="G883" t="inlineStr">
        <is>
          <t>Raw (Semrush)</t>
        </is>
      </c>
    </row>
    <row r="884">
      <c r="A884" t="inlineStr">
        <is>
          <t>val-fr-4</t>
        </is>
      </c>
      <c r="B884" t="inlineStr">
        <is>
          <t>phrase_these</t>
        </is>
      </c>
      <c r="C884" t="inlineStr">
        <is>
          <t>fr</t>
        </is>
      </c>
      <c r="D884"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4" t="inlineStr">
        <is>
          <t>2026-10-30T15:06:42+00:00</t>
        </is>
      </c>
      <c r="F884" t="inlineStr">
        <is>
          <t>{"Keyword": "schema markup", "Search Volume": "210", "CPC": "1.2", "Competition": "0.04", "Number of Results": "56", "Trends": "0.43,0.53,0.66,0.53,0.35,1.00,0.43,0.35,0.53,0.66,0.43,0.35", "Intent": "1", "Keyword Difficulty Index": "12"}</t>
        </is>
      </c>
      <c r="G884" t="inlineStr">
        <is>
          <t>Raw (Semrush)</t>
        </is>
      </c>
    </row>
    <row r="885">
      <c r="A885" t="inlineStr">
        <is>
          <t>val-fr-4</t>
        </is>
      </c>
      <c r="B885" t="inlineStr">
        <is>
          <t>phrase_these</t>
        </is>
      </c>
      <c r="C885" t="inlineStr">
        <is>
          <t>fr</t>
        </is>
      </c>
      <c r="D885"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5" t="inlineStr">
        <is>
          <t>2026-10-30T15:06:42+00:00</t>
        </is>
      </c>
      <c r="F885" t="inlineStr">
        <is>
          <t>{"Keyword": "score de lisibilité", "Search Volume": "20", "CPC": "0", "Competition": "0.33", "Number of Results": "0", "Trends": "1.00,1.00,1.00,1.00,1.00,1.00,1.00,1.00,1.00,1.00,1.00,1.00", "Intent": "", "Keyword Difficulty Index": "0"}</t>
        </is>
      </c>
      <c r="G885" t="inlineStr">
        <is>
          <t>Raw (Semrush)</t>
        </is>
      </c>
    </row>
    <row r="886">
      <c r="A886" t="inlineStr">
        <is>
          <t>val-fr-4</t>
        </is>
      </c>
      <c r="B886" t="inlineStr">
        <is>
          <t>phrase_these</t>
        </is>
      </c>
      <c r="C886" t="inlineStr">
        <is>
          <t>fr</t>
        </is>
      </c>
      <c r="D886"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6" t="inlineStr">
        <is>
          <t>2026-10-30T15:06:42+00:00</t>
        </is>
      </c>
      <c r="F886" t="inlineStr">
        <is>
          <t>{"Keyword": "script chatbot", "Search Volume": "20", "CPC": "0", "Competition": "0.71", "Number of Results": "0", "Trends": "0.00,0.22,0.22,0.22,0.22,0.22,0.22,0.22,0.22,0.11,0.22,0.22", "Intent": "", "Keyword Difficulty Index": "0"}</t>
        </is>
      </c>
      <c r="G886" t="inlineStr">
        <is>
          <t>Raw (Semrush)</t>
        </is>
      </c>
    </row>
    <row r="887">
      <c r="A887" t="inlineStr">
        <is>
          <t>val-fr-4</t>
        </is>
      </c>
      <c r="B887" t="inlineStr">
        <is>
          <t>phrase_these</t>
        </is>
      </c>
      <c r="C887" t="inlineStr">
        <is>
          <t>fr</t>
        </is>
      </c>
      <c r="D887"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7" t="inlineStr">
        <is>
          <t>2026-10-30T15:06:42+00:00</t>
        </is>
      </c>
      <c r="F887" t="inlineStr">
        <is>
          <t>{"Keyword": "security headers", "Search Volume": "480", "CPC": "3.22", "Competition": "0.05", "Number of Results": "126", "Trends": "0.54,0.81,0.81,0.81,0.66,0.66,1.00,0.66,0.81,0.81,1.00,0.66", "Intent": "2", "Keyword Difficulty Index": "52"}</t>
        </is>
      </c>
      <c r="G887" t="inlineStr">
        <is>
          <t>Raw (Semrush)</t>
        </is>
      </c>
    </row>
    <row r="888">
      <c r="A888" t="inlineStr">
        <is>
          <t>val-fr-4</t>
        </is>
      </c>
      <c r="B888" t="inlineStr">
        <is>
          <t>phrase_these</t>
        </is>
      </c>
      <c r="C888" t="inlineStr">
        <is>
          <t>fr</t>
        </is>
      </c>
      <c r="D888"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8" t="inlineStr">
        <is>
          <t>2026-10-30T15:06:42+00:00</t>
        </is>
      </c>
      <c r="F888" t="inlineStr">
        <is>
          <t>{"Keyword": "seo immobilier", "Search Volume": "480", "CPC": "4.38", "Competition": "0.05", "Number of Results": "127", "Trends": "0.66,0.66,0.66,0.54,0.54,0.66,0.66,0.66,0.81,0.66,0.15,0.15", "Intent": "1", "Keyword Difficulty Index": "24"}</t>
        </is>
      </c>
      <c r="G888" t="inlineStr">
        <is>
          <t>Raw (Semrush)</t>
        </is>
      </c>
    </row>
    <row r="889">
      <c r="A889" t="inlineStr">
        <is>
          <t>val-fr-4</t>
        </is>
      </c>
      <c r="B889" t="inlineStr">
        <is>
          <t>phrase_these</t>
        </is>
      </c>
      <c r="C889" t="inlineStr">
        <is>
          <t>fr</t>
        </is>
      </c>
      <c r="D889"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89" t="inlineStr">
        <is>
          <t>2026-10-30T15:06:42+00:00</t>
        </is>
      </c>
      <c r="F889" t="inlineStr">
        <is>
          <t>{"Keyword": "serp preview", "Search Volume": "20", "CPC": "0", "Competition": "0.16", "Number of Results": "0", "Trends": "0.11,0.11,0.11,0.11,0.11,0.11,0.11,0.11,0.11,0.17,0.11,0.11", "Intent": "", "Keyword Difficulty Index": "0"}</t>
        </is>
      </c>
      <c r="G889" t="inlineStr">
        <is>
          <t>Raw (Semrush)</t>
        </is>
      </c>
    </row>
    <row r="890">
      <c r="A890" t="inlineStr">
        <is>
          <t>val-fr-4</t>
        </is>
      </c>
      <c r="B890" t="inlineStr">
        <is>
          <t>phrase_these</t>
        </is>
      </c>
      <c r="C890" t="inlineStr">
        <is>
          <t>fr</t>
        </is>
      </c>
      <c r="D890"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0" t="inlineStr">
        <is>
          <t>2026-10-30T15:06:42+00:00</t>
        </is>
      </c>
      <c r="F890" t="inlineStr">
        <is>
          <t>{"Keyword": "simulateur google", "Search Volume": "20", "CPC": "0", "Competition": "0.33", "Number of Results": "0", "Trends": "0.22,0.22,0.22,0.22,0.22,0.22,0.22,0.22,0.22,0.22,0.22,0.22", "Intent": "", "Keyword Difficulty Index": "0"}</t>
        </is>
      </c>
      <c r="G890" t="inlineStr">
        <is>
          <t>Raw (Semrush)</t>
        </is>
      </c>
    </row>
    <row r="891">
      <c r="A891" t="inlineStr">
        <is>
          <t>val-fr-4</t>
        </is>
      </c>
      <c r="B891" t="inlineStr">
        <is>
          <t>phrase_these</t>
        </is>
      </c>
      <c r="C891" t="inlineStr">
        <is>
          <t>fr</t>
        </is>
      </c>
      <c r="D891"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1" t="inlineStr">
        <is>
          <t>2026-10-30T15:06:42+00:00</t>
        </is>
      </c>
      <c r="F891" t="inlineStr">
        <is>
          <t>{"Keyword": "simulateur googlebot", "Search Volume": "0", "CPC": "0", "Competition": "0", "Number of Results": "0", "Trends": "0.00,0.00,0.00,0.00,0.00,0.00,0.00,0.00,0.00,0.00,0.00,0.00", "Intent": "", "Keyword Difficulty Index": "0"}</t>
        </is>
      </c>
      <c r="G891" t="inlineStr">
        <is>
          <t>Raw (Semrush)</t>
        </is>
      </c>
    </row>
    <row r="892">
      <c r="A892" t="inlineStr">
        <is>
          <t>val-fr-4</t>
        </is>
      </c>
      <c r="B892" t="inlineStr">
        <is>
          <t>phrase_these</t>
        </is>
      </c>
      <c r="C892" t="inlineStr">
        <is>
          <t>fr</t>
        </is>
      </c>
      <c r="D892"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2" t="inlineStr">
        <is>
          <t>2026-10-30T15:06:42+00:00</t>
        </is>
      </c>
      <c r="F892" t="inlineStr">
        <is>
          <t>{"Keyword": "simulateur serp", "Search Volume": "260", "CPC": "0", "Competition": "0.03", "Number of Results": "102", "Trends": "0.23,0.35,0.44,0.54,0.44,0.44,0.44,0.44,0.44,0.54,0.35,0.35", "Intent": "1,0", "Keyword Difficulty Index": "11"}</t>
        </is>
      </c>
      <c r="G892" t="inlineStr">
        <is>
          <t>Raw (Semrush)</t>
        </is>
      </c>
    </row>
    <row r="893">
      <c r="A893" t="inlineStr">
        <is>
          <t>val-fr-4</t>
        </is>
      </c>
      <c r="B893" t="inlineStr">
        <is>
          <t>phrase_these</t>
        </is>
      </c>
      <c r="C893" t="inlineStr">
        <is>
          <t>fr</t>
        </is>
      </c>
      <c r="D893"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3" t="inlineStr">
        <is>
          <t>2026-10-30T15:06:42+00:00</t>
        </is>
      </c>
      <c r="F893" t="inlineStr">
        <is>
          <t>{"Keyword": "site agence de voyage", "Search Volume": "110", "CPC": "0.77", "Competition": "0.55", "Number of Results": "124", "Trends": "0.33,0.33,0.33,0.52,0.33,0.42,1.00,1.00,0.42,0.80,0.52,0.42", "Intent": "0", "Keyword Difficulty Index": "81"}</t>
        </is>
      </c>
      <c r="G893" t="inlineStr">
        <is>
          <t>Raw (Semrush)</t>
        </is>
      </c>
    </row>
    <row r="894">
      <c r="A894" t="inlineStr">
        <is>
          <t>val-fr-4</t>
        </is>
      </c>
      <c r="B894" t="inlineStr">
        <is>
          <t>phrase_these</t>
        </is>
      </c>
      <c r="C894" t="inlineStr">
        <is>
          <t>fr</t>
        </is>
      </c>
      <c r="D894"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4" t="inlineStr">
        <is>
          <t>2026-10-30T15:06:42+00:00</t>
        </is>
      </c>
      <c r="F894" t="inlineStr">
        <is>
          <t>{"Keyword": "site agence de voyage maroc", "Search Volume": "0", "CPC": "0", "Competition": "0", "Number of Results": "0", "Trends": "0.00,0.00,0.00,0.00,0.00,0.00,0.00,0.00,0.00,0.00,0.00,0.00", "Intent": "", "Keyword Difficulty Index": "0"}</t>
        </is>
      </c>
      <c r="G894" t="inlineStr">
        <is>
          <t>Raw (Semrush)</t>
        </is>
      </c>
    </row>
    <row r="895">
      <c r="A895" t="inlineStr">
        <is>
          <t>val-fr-4</t>
        </is>
      </c>
      <c r="B895" t="inlineStr">
        <is>
          <t>phrase_these</t>
        </is>
      </c>
      <c r="C895" t="inlineStr">
        <is>
          <t>fr</t>
        </is>
      </c>
      <c r="D895"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5" t="inlineStr">
        <is>
          <t>2026-10-30T15:06:42+00:00</t>
        </is>
      </c>
      <c r="F895" t="inlineStr">
        <is>
          <t>{"Keyword": "site architecte", "Search Volume": "110", "CPC": "0.74", "Competition": "0.12", "Number of Results": "137", "Trends": "0.18,0.18,0.18,0.10,0.04,0.14,0.18,0.29,0.22,0.22,0.35,0.35", "Intent": "1", "Keyword Difficulty Index": "43"}</t>
        </is>
      </c>
      <c r="G895" t="inlineStr">
        <is>
          <t>Raw (Semrush)</t>
        </is>
      </c>
    </row>
    <row r="896">
      <c r="A896" t="inlineStr">
        <is>
          <t>val-fr-4</t>
        </is>
      </c>
      <c r="B896" t="inlineStr">
        <is>
          <t>phrase_these</t>
        </is>
      </c>
      <c r="C896" t="inlineStr">
        <is>
          <t>fr</t>
        </is>
      </c>
      <c r="D896"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6" t="inlineStr">
        <is>
          <t>2026-10-30T15:06:42+00:00</t>
        </is>
      </c>
      <c r="F896" t="inlineStr">
        <is>
          <t>{"Keyword": "site cabinet médical", "Search Volume": "0", "CPC": "0", "Competition": "0", "Number of Results": "0", "Trends": "0.00,0.00,0.00,0.00,0.00,0.00,0.00,0.00,0.00,0.00,0.00,0.00", "Intent": "", "Keyword Difficulty Index": "0"}</t>
        </is>
      </c>
      <c r="G896" t="inlineStr">
        <is>
          <t>Raw (Semrush)</t>
        </is>
      </c>
    </row>
    <row r="897">
      <c r="A897" t="inlineStr">
        <is>
          <t>val-fr-4</t>
        </is>
      </c>
      <c r="B897" t="inlineStr">
        <is>
          <t>phrase_these</t>
        </is>
      </c>
      <c r="C897" t="inlineStr">
        <is>
          <t>fr</t>
        </is>
      </c>
      <c r="D897"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7" t="inlineStr">
        <is>
          <t>2026-10-30T15:06:42+00:00</t>
        </is>
      </c>
      <c r="F897" t="inlineStr">
        <is>
          <t>{"Keyword": "site de télémédecine", "Search Volume": "20", "CPC": "0", "Competition": "0.86", "Number of Results": "0", "Trends": "1.00,1.00,1.00,1.00,1.00,0.00,0.00,1.00,1.00,1.00,1.00,1.00", "Intent": "", "Keyword Difficulty Index": "0"}</t>
        </is>
      </c>
      <c r="G897" t="inlineStr">
        <is>
          <t>Raw (Semrush)</t>
        </is>
      </c>
    </row>
    <row r="898">
      <c r="A898" t="inlineStr">
        <is>
          <t>val-fr-4</t>
        </is>
      </c>
      <c r="B898" t="inlineStr">
        <is>
          <t>phrase_these</t>
        </is>
      </c>
      <c r="C898" t="inlineStr">
        <is>
          <t>fr</t>
        </is>
      </c>
      <c r="D898"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8" t="inlineStr">
        <is>
          <t>2026-10-30T15:06:42+00:00</t>
        </is>
      </c>
      <c r="F898" t="inlineStr">
        <is>
          <t>{"Keyword": "site e-commerce sur mesure", "Search Volume": "90", "CPC": "0", "Competition": "0.01", "Number of Results": "136", "Trends": "0.33,0.23,0.23,0.42,0.42,0.66,0.66,0.66,0.66,1.00,0.52,0.52", "Intent": "1", "Keyword Difficulty Index": "9"}</t>
        </is>
      </c>
      <c r="G898" t="inlineStr">
        <is>
          <t>Raw (Semrush)</t>
        </is>
      </c>
    </row>
    <row r="899">
      <c r="A899" t="inlineStr">
        <is>
          <t>val-fr-4</t>
        </is>
      </c>
      <c r="B899" t="inlineStr">
        <is>
          <t>phrase_these</t>
        </is>
      </c>
      <c r="C899" t="inlineStr">
        <is>
          <t>fr</t>
        </is>
      </c>
      <c r="D899"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899" t="inlineStr">
        <is>
          <t>2026-10-30T15:06:42+00:00</t>
        </is>
      </c>
      <c r="F899" t="inlineStr">
        <is>
          <t>{"Keyword": "site fintech", "Search Volume": "20", "CPC": "0", "Competition": "0", "Number of Results": "0", "Trends": "0.00,0.50,1.00,0.50,0.00,0.50,0.50,0.50,0.50,0.50,0.50,0.50", "Intent": "", "Keyword Difficulty Index": "0"}</t>
        </is>
      </c>
      <c r="G899" t="inlineStr">
        <is>
          <t>Raw (Semrush)</t>
        </is>
      </c>
    </row>
    <row r="900">
      <c r="A900" t="inlineStr">
        <is>
          <t>val-fr-4</t>
        </is>
      </c>
      <c r="B900" t="inlineStr">
        <is>
          <t>phrase_these</t>
        </is>
      </c>
      <c r="C900" t="inlineStr">
        <is>
          <t>fr</t>
        </is>
      </c>
      <c r="D900"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0" t="inlineStr">
        <is>
          <t>2026-10-30T15:06:42+00:00</t>
        </is>
      </c>
      <c r="F900" t="inlineStr">
        <is>
          <t>{"Keyword": "site immobilier", "Search Volume": "2400", "CPC": "0.33", "Competition": "0.58", "Number of Results": "128000", "Trends": "0.65,0.65,0.65,0.54,0.43,0.65,0.54,0.65,0.54,0.54,0.54,0.54", "Intent": "1", "Keyword Difficulty Index": "12"}</t>
        </is>
      </c>
      <c r="G900" t="inlineStr">
        <is>
          <t>Raw (Semrush)</t>
        </is>
      </c>
    </row>
    <row r="901">
      <c r="A901" t="inlineStr">
        <is>
          <t>val-fr-4</t>
        </is>
      </c>
      <c r="B901" t="inlineStr">
        <is>
          <t>phrase_these</t>
        </is>
      </c>
      <c r="C901" t="inlineStr">
        <is>
          <t>fr</t>
        </is>
      </c>
      <c r="D901"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1" t="inlineStr">
        <is>
          <t>2026-10-30T15:06:42+00:00</t>
        </is>
      </c>
      <c r="F901" t="inlineStr">
        <is>
          <t>{"Keyword": "site internet agence immobilière", "Search Volume": "110", "CPC": "2.8", "Competition": "0.3", "Number of Results": "66", "Trends": "1.00,0.82,0.64,0.64,0.82,0.52,0.41,0.41,0.41,0.52,0.64,0.64", "Intent": "0", "Keyword Difficulty Index": "28"}</t>
        </is>
      </c>
      <c r="G901" t="inlineStr">
        <is>
          <t>Raw (Semrush)</t>
        </is>
      </c>
    </row>
    <row r="902">
      <c r="A902" t="inlineStr">
        <is>
          <t>val-fr-4</t>
        </is>
      </c>
      <c r="B902" t="inlineStr">
        <is>
          <t>phrase_these</t>
        </is>
      </c>
      <c r="C902" t="inlineStr">
        <is>
          <t>fr</t>
        </is>
      </c>
      <c r="D902"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2" t="inlineStr">
        <is>
          <t>2026-10-30T15:06:42+00:00</t>
        </is>
      </c>
      <c r="F902" t="inlineStr">
        <is>
          <t>{"Keyword": "site internet cabinet médical", "Search Volume": "0", "CPC": "0", "Competition": "0", "Number of Results": "0", "Trends": "0.00,0.00,0.00,0.00,0.00,0.00,0.00,0.00,1.00,0.00,0.00,0.00", "Intent": "", "Keyword Difficulty Index": "0"}</t>
        </is>
      </c>
      <c r="G902" t="inlineStr">
        <is>
          <t>Raw (Semrush)</t>
        </is>
      </c>
    </row>
    <row r="903">
      <c r="A903" t="inlineStr">
        <is>
          <t>val-fr-4</t>
        </is>
      </c>
      <c r="B903" t="inlineStr">
        <is>
          <t>phrase_these</t>
        </is>
      </c>
      <c r="C903" t="inlineStr">
        <is>
          <t>fr</t>
        </is>
      </c>
      <c r="D903"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3" t="inlineStr">
        <is>
          <t>2026-10-30T15:06:42+00:00</t>
        </is>
      </c>
      <c r="F903" t="inlineStr">
        <is>
          <t>{"Keyword": "site internet clinique", "Search Volume": "50", "CPC": "0", "Competition": "0", "Number of Results": "0", "Trends": "0.00,0.28,0.71,1.00,1.00,1.00,0.71,0.57,1.00,0.71,0.42,0.57", "Intent": "", "Keyword Difficulty Index": "0"}</t>
        </is>
      </c>
      <c r="G903" t="inlineStr">
        <is>
          <t>Raw (Semrush)</t>
        </is>
      </c>
    </row>
    <row r="904">
      <c r="A904" t="inlineStr">
        <is>
          <t>val-fr-4</t>
        </is>
      </c>
      <c r="B904" t="inlineStr">
        <is>
          <t>phrase_these</t>
        </is>
      </c>
      <c r="C904" t="inlineStr">
        <is>
          <t>fr</t>
        </is>
      </c>
      <c r="D904"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4" t="inlineStr">
        <is>
          <t>2026-10-30T15:06:42+00:00</t>
        </is>
      </c>
      <c r="F904" t="inlineStr">
        <is>
          <t>{"Keyword": "site internet expert comptable", "Search Volume": "170", "CPC": "1.18", "Competition": "0.05", "Number of Results": "107", "Trends": "0.21,0.53,0.65,0.81,0.81,0.65,0.65,0.65,0.65,1.00,0.34,0.34", "Intent": "1,0", "Keyword Difficulty Index": "48"}</t>
        </is>
      </c>
      <c r="G904" t="inlineStr">
        <is>
          <t>Raw (Semrush)</t>
        </is>
      </c>
    </row>
    <row r="905">
      <c r="A905" t="inlineStr">
        <is>
          <t>val-fr-4</t>
        </is>
      </c>
      <c r="B905" t="inlineStr">
        <is>
          <t>phrase_these</t>
        </is>
      </c>
      <c r="C905" t="inlineStr">
        <is>
          <t>fr</t>
        </is>
      </c>
      <c r="D905"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5" t="inlineStr">
        <is>
          <t>2026-10-30T15:06:42+00:00</t>
        </is>
      </c>
      <c r="F905" t="inlineStr">
        <is>
          <t>{"Keyword": "site internet médecin généraliste", "Search Volume": "0", "CPC": "0", "Competition": "0", "Number of Results": "0", "Trends": "0.00,0.00,0.00,0.00,0.00,0.00,0.00,0.00,0.50,0.00,1.00,0.00", "Intent": "", "Keyword Difficulty Index": "0"}</t>
        </is>
      </c>
      <c r="G905" t="inlineStr">
        <is>
          <t>Raw (Semrush)</t>
        </is>
      </c>
    </row>
    <row r="906">
      <c r="A906" t="inlineStr">
        <is>
          <t>val-fr-4</t>
        </is>
      </c>
      <c r="B906" t="inlineStr">
        <is>
          <t>phrase_these</t>
        </is>
      </c>
      <c r="C906" t="inlineStr">
        <is>
          <t>fr</t>
        </is>
      </c>
      <c r="D906"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6" t="inlineStr">
        <is>
          <t>2026-10-30T15:06:42+00:00</t>
        </is>
      </c>
      <c r="F906" t="inlineStr">
        <is>
          <t>{"Keyword": "site internet professionnel", "Search Volume": "590", "CPC": "4.21", "Competition": "0.53", "Number of Results": "135", "Trends": "0.59,0.48,0.59,0.59,0.39,0.48,1.00,1.00,0.72,0.88,0.59,0.72", "Intent": "1", "Keyword Difficulty Index": "62"}</t>
        </is>
      </c>
      <c r="G906" t="inlineStr">
        <is>
          <t>Raw (Semrush)</t>
        </is>
      </c>
    </row>
    <row r="907">
      <c r="A907" t="inlineStr">
        <is>
          <t>val-fr-4</t>
        </is>
      </c>
      <c r="B907" t="inlineStr">
        <is>
          <t>phrase_these</t>
        </is>
      </c>
      <c r="C907" t="inlineStr">
        <is>
          <t>fr</t>
        </is>
      </c>
      <c r="D907"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7" t="inlineStr">
        <is>
          <t>2026-10-30T15:06:42+00:00</t>
        </is>
      </c>
      <c r="F907" t="inlineStr">
        <is>
          <t>{"Keyword": "site internet école", "Search Volume": "10", "CPC": "0", "Competition": "0", "Number of Results": "0", "Trends": "0.33,0.00,0.33,0.00,0.33,1.00,0.66,0.33,0.33,0.33,0.66,0.00", "Intent": "", "Keyword Difficulty Index": "0"}</t>
        </is>
      </c>
      <c r="G907" t="inlineStr">
        <is>
          <t>Raw (Semrush)</t>
        </is>
      </c>
    </row>
    <row r="908">
      <c r="A908" t="inlineStr">
        <is>
          <t>val-fr-4</t>
        </is>
      </c>
      <c r="B908" t="inlineStr">
        <is>
          <t>phrase_these</t>
        </is>
      </c>
      <c r="C908" t="inlineStr">
        <is>
          <t>fr</t>
        </is>
      </c>
      <c r="D908"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8" t="inlineStr">
        <is>
          <t>2026-10-30T15:06:42+00:00</t>
        </is>
      </c>
      <c r="F908" t="inlineStr">
        <is>
          <t>{"Keyword": "site médecin", "Search Volume": "10", "CPC": "1.73", "Competition": "0.45", "Number of Results": "0", "Trends": "1.00,0.14,0.00,0.00,0.00,0.00,0.00,0.00,0.14,0.00,0.00,0.00", "Intent": "", "Keyword Difficulty Index": "0"}</t>
        </is>
      </c>
      <c r="G908" t="inlineStr">
        <is>
          <t>Raw (Semrush)</t>
        </is>
      </c>
    </row>
    <row r="909">
      <c r="A909" t="inlineStr">
        <is>
          <t>val-fr-4</t>
        </is>
      </c>
      <c r="B909" t="inlineStr">
        <is>
          <t>phrase_these</t>
        </is>
      </c>
      <c r="C909" t="inlineStr">
        <is>
          <t>fr</t>
        </is>
      </c>
      <c r="D909"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09" t="inlineStr">
        <is>
          <t>2026-10-30T15:06:42+00:00</t>
        </is>
      </c>
      <c r="F909" t="inlineStr">
        <is>
          <t>{"Keyword": "site responsive test", "Search Volume": "90", "CPC": "1.79", "Competition": "0.25", "Number of Results": "124", "Trends": "0.09,0.26,0.07,0.04,0.04,0.07,0.05,0.11,0.05,0.05,0.07,0.05", "Intent": "1", "Keyword Difficulty Index": "24"}</t>
        </is>
      </c>
      <c r="G909" t="inlineStr">
        <is>
          <t>Raw (Semrush)</t>
        </is>
      </c>
    </row>
    <row r="910">
      <c r="A910" t="inlineStr">
        <is>
          <t>val-fr-4</t>
        </is>
      </c>
      <c r="B910" t="inlineStr">
        <is>
          <t>phrase_these</t>
        </is>
      </c>
      <c r="C910" t="inlineStr">
        <is>
          <t>fr</t>
        </is>
      </c>
      <c r="D910"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10" t="inlineStr">
        <is>
          <t>2026-10-30T15:06:42+00:00</t>
        </is>
      </c>
      <c r="F910" t="inlineStr">
        <is>
          <t>{"Keyword": "site universitaire", "Search Volume": "90", "CPC": "1.29", "Competition": "0.08", "Number of Results": "141", "Trends": "0.14,0.18,0.14,0.22,0.18,0.22,0.18,0.22,0.14,0.22,0.22,0.18", "Intent": "3", "Keyword Difficulty Index": "98"}</t>
        </is>
      </c>
      <c r="G910" t="inlineStr">
        <is>
          <t>Raw (Semrush)</t>
        </is>
      </c>
    </row>
    <row r="911">
      <c r="A911" t="inlineStr">
        <is>
          <t>val-fr-4</t>
        </is>
      </c>
      <c r="B911" t="inlineStr">
        <is>
          <t>phrase_these</t>
        </is>
      </c>
      <c r="C911" t="inlineStr">
        <is>
          <t>fr</t>
        </is>
      </c>
      <c r="D911"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11" t="inlineStr">
        <is>
          <t>2026-10-30T15:06:42+00:00</t>
        </is>
      </c>
      <c r="F911" t="inlineStr">
        <is>
          <t>{"Keyword": "site vitrine ou e-commerce", "Search Volume": "0", "CPC": "0", "Competition": "0.33", "Number of Results": "0", "Trends": "0.00,0.00,0.00,0.00,0.00,0.00,0.00,0.00,1.00,0.00,0.00,1.00", "Intent": "", "Keyword Difficulty Index": "0"}</t>
        </is>
      </c>
      <c r="G911" t="inlineStr">
        <is>
          <t>Raw (Semrush)</t>
        </is>
      </c>
    </row>
    <row r="912">
      <c r="A912" t="inlineStr">
        <is>
          <t>val-fr-4</t>
        </is>
      </c>
      <c r="B912" t="inlineStr">
        <is>
          <t>phrase_these</t>
        </is>
      </c>
      <c r="C912" t="inlineStr">
        <is>
          <t>fr</t>
        </is>
      </c>
      <c r="D912"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12" t="inlineStr">
        <is>
          <t>2026-10-30T15:06:42+00:00</t>
        </is>
      </c>
      <c r="F912" t="inlineStr">
        <is>
          <t>{"Keyword": "site web agence de voyage", "Search Volume": "70", "CPC": "0.79", "Competition": "0.43", "Number of Results": "131", "Trends": "0.23,0.23,0.23,0.23,0.23,0.29,0.82,1.00,0.41,0.52,0.52,0.64", "Intent": "1", "Keyword Difficulty Index": "10"}</t>
        </is>
      </c>
      <c r="G912" t="inlineStr">
        <is>
          <t>Raw (Semrush)</t>
        </is>
      </c>
    </row>
    <row r="913">
      <c r="A913" t="inlineStr">
        <is>
          <t>val-fr-4</t>
        </is>
      </c>
      <c r="B913" t="inlineStr">
        <is>
          <t>phrase_these</t>
        </is>
      </c>
      <c r="C913" t="inlineStr">
        <is>
          <t>fr</t>
        </is>
      </c>
      <c r="D913"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13" t="inlineStr">
        <is>
          <t>2026-10-30T15:06:42+00:00</t>
        </is>
      </c>
      <c r="F913" t="inlineStr">
        <is>
          <t>{"Keyword": "site web architecte", "Search Volume": "70", "CPC": "0.9", "Competition": "0.21", "Number of Results": "164", "Trends": "0.28,0.21,0.28,0.21,0.35,0.50,0.50,0.50,1.00,0.78,0.78,0.78", "Intent": "0", "Keyword Difficulty Index": "5"}</t>
        </is>
      </c>
      <c r="G913" t="inlineStr">
        <is>
          <t>Raw (Semrush)</t>
        </is>
      </c>
    </row>
    <row r="914">
      <c r="A914" t="inlineStr">
        <is>
          <t>val-fr-4</t>
        </is>
      </c>
      <c r="B914" t="inlineStr">
        <is>
          <t>phrase_these</t>
        </is>
      </c>
      <c r="C914" t="inlineStr">
        <is>
          <t>fr</t>
        </is>
      </c>
      <c r="D914"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14" t="inlineStr">
        <is>
          <t>2026-10-30T15:06:42+00:00</t>
        </is>
      </c>
      <c r="F914" t="inlineStr">
        <is>
          <t>{"Keyword": "site web banque", "Search Volume": "20", "CPC": "0", "Competition": "0.57", "Number of Results": "0", "Trends": "0.11,0.00,0.00,0.11,0.11,0.11,0.11,0.11,0.11,0.11,0.11,0.11", "Intent": "", "Keyword Difficulty Index": "0"}</t>
        </is>
      </c>
      <c r="G914" t="inlineStr">
        <is>
          <t>Raw (Semrush)</t>
        </is>
      </c>
    </row>
    <row r="915">
      <c r="A915" t="inlineStr">
        <is>
          <t>val-fr-4</t>
        </is>
      </c>
      <c r="B915" t="inlineStr">
        <is>
          <t>phrase_these</t>
        </is>
      </c>
      <c r="C915" t="inlineStr">
        <is>
          <t>fr</t>
        </is>
      </c>
      <c r="D915"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15" t="inlineStr">
        <is>
          <t>2026-10-30T15:06:42+00:00</t>
        </is>
      </c>
      <c r="F915" t="inlineStr">
        <is>
          <t>{"Keyword": "site web cabinet médical", "Search Volume": "20", "CPC": "0", "Competition": "0.71", "Number of Results": "0", "Trends": "1.00,1.00,1.00,1.00,1.00,1.00,1.00,1.00,1.00,1.00,1.00,1.00", "Intent": "", "Keyword Difficulty Index": "0"}</t>
        </is>
      </c>
      <c r="G915" t="inlineStr">
        <is>
          <t>Raw (Semrush)</t>
        </is>
      </c>
    </row>
    <row r="916">
      <c r="A916" t="inlineStr">
        <is>
          <t>val-fr-4</t>
        </is>
      </c>
      <c r="B916" t="inlineStr">
        <is>
          <t>phrase_these</t>
        </is>
      </c>
      <c r="C916" t="inlineStr">
        <is>
          <t>fr</t>
        </is>
      </c>
      <c r="D916"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16" t="inlineStr">
        <is>
          <t>2026-10-30T15:06:42+00:00</t>
        </is>
      </c>
      <c r="F916" t="inlineStr">
        <is>
          <t>{"Keyword": "site web centre de formation", "Search Volume": "20", "CPC": "0", "Competition": "0.62", "Number of Results": "0", "Trends": "0.11,0.00,0.00,0.00,0.11,0.11,0.11,0.11,0.11,0.11,0.11,0.11", "Intent": "", "Keyword Difficulty Index": "0"}</t>
        </is>
      </c>
      <c r="G916" t="inlineStr">
        <is>
          <t>Raw (Semrush)</t>
        </is>
      </c>
    </row>
    <row r="917">
      <c r="A917" t="inlineStr">
        <is>
          <t>val-fr-4</t>
        </is>
      </c>
      <c r="B917" t="inlineStr">
        <is>
          <t>phrase_these</t>
        </is>
      </c>
      <c r="C917" t="inlineStr">
        <is>
          <t>fr</t>
        </is>
      </c>
      <c r="D917"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17" t="inlineStr">
        <is>
          <t>2026-10-30T15:06:42+00:00</t>
        </is>
      </c>
      <c r="F917" t="inlineStr">
        <is>
          <t>{"Keyword": "site web clinique", "Search Volume": "20", "CPC": "0", "Competition": "0.52", "Number of Results": "0", "Trends": "0.50,0.50,0.50,0.50,0.50,0.50,0.50,0.50,0.50,0.50,0.50,0.50", "Intent": "", "Keyword Difficulty Index": "0"}</t>
        </is>
      </c>
      <c r="G917" t="inlineStr">
        <is>
          <t>Raw (Semrush)</t>
        </is>
      </c>
    </row>
    <row r="918">
      <c r="A918" t="inlineStr">
        <is>
          <t>val-fr-4</t>
        </is>
      </c>
      <c r="B918" t="inlineStr">
        <is>
          <t>phrase_these</t>
        </is>
      </c>
      <c r="C918" t="inlineStr">
        <is>
          <t>fr</t>
        </is>
      </c>
      <c r="D918" t="inlineStr">
        <is>
          <t>outil maillage interne;outil seo;outil seo gratuit;outils ia gratuits;outils seo;outils seo en ligne;outils seo gratuits;outils webmaster gratuits;pagespeed;palette couleur site web;palette de couleurs;passerelle de paiement;plateforme b2b;plateforme de cours en ligne;plateforme de formation en ligne;plateforme de paiement;plateforme de télémédecine;plateforme e-learning;plateforme e-learning sur mesure;plateforme edtech;plateforme lms;plateforme pour vendre des formations;plateforme téléconsultation;portail immobilier;portail patient;portail étudiant;pourquoi externaliser le développement web;prix création site internet;prix création site web;prix d'un site internet;prix développement application web;prix développeur web freelance;prix site e-commerce;prix site web;qr code;qr code gratuit;redirect checker;redirection 301;redirection meta refresh;refonte site web;robots ia;robots.txt;robots.txt tester;réassurance site web;rédiger une annonce immobilière;réduire taille image;référenceme</t>
        </is>
      </c>
      <c r="E918" t="inlineStr">
        <is>
          <t>2026-10-30T15:06:42+00:00</t>
        </is>
      </c>
      <c r="F918" t="inlineStr">
        <is>
          <t>{"Keyword": "site web dentiste", "Search Volume": "50", "CPC": "0", "Competition": "0", "Number of Results": "0", "Trends": "0.81,0.63,0.36,0.27,0.27,0.45,0.45,0.63,1.00,0.81,0.09,0.63", "Intent": "", "Keyword Difficulty Index": "0"}</t>
        </is>
      </c>
      <c r="G918" t="inlineStr">
        <is>
          <t>Raw (Semrush)</t>
        </is>
      </c>
    </row>
    <row r="919">
      <c r="A919" t="inlineStr">
        <is>
          <t>val-fr-5</t>
        </is>
      </c>
      <c r="B919" t="inlineStr">
        <is>
          <t>phrase_these</t>
        </is>
      </c>
      <c r="C919" t="inlineStr">
        <is>
          <t>fr</t>
        </is>
      </c>
      <c r="D919"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19" t="inlineStr">
        <is>
          <t>2026-10-30T15:06:43+00:00</t>
        </is>
      </c>
      <c r="F919" t="inlineStr">
        <is>
          <t>{"Keyword": "site web fintech", "Search Volume": "30", "CPC": "0", "Competition": "0", "Number of Results": "0", "Trends": "0.25,0.75,0.75,0.75,0.50,0.75,0.75,1.00,0.75", "Intent": "", "Keyword Difficulty Index": "0"}</t>
        </is>
      </c>
      <c r="G919" t="inlineStr">
        <is>
          <t>Raw (Semrush)</t>
        </is>
      </c>
    </row>
    <row r="920">
      <c r="A920" t="inlineStr">
        <is>
          <t>val-fr-5</t>
        </is>
      </c>
      <c r="B920" t="inlineStr">
        <is>
          <t>phrase_these</t>
        </is>
      </c>
      <c r="C920" t="inlineStr">
        <is>
          <t>fr</t>
        </is>
      </c>
      <c r="D920"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0" t="inlineStr">
        <is>
          <t>2026-10-30T15:06:43+00:00</t>
        </is>
      </c>
      <c r="F920" t="inlineStr">
        <is>
          <t>{"Keyword": "site web immobilier", "Search Volume": "70", "CPC": "1.09", "Competition": "0.49", "Number of Results": "116", "Trends": "0.42,0.23,0.14,0.14,0.14,0.19,0.33,0.33,0.33,0.42,0.42,0.33", "Intent": "1", "Keyword Difficulty Index": "78"}</t>
        </is>
      </c>
      <c r="G920" t="inlineStr">
        <is>
          <t>Raw (Semrush)</t>
        </is>
      </c>
    </row>
    <row r="921">
      <c r="A921" t="inlineStr">
        <is>
          <t>val-fr-5</t>
        </is>
      </c>
      <c r="B921" t="inlineStr">
        <is>
          <t>phrase_these</t>
        </is>
      </c>
      <c r="C921" t="inlineStr">
        <is>
          <t>fr</t>
        </is>
      </c>
      <c r="D921"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1" t="inlineStr">
        <is>
          <t>2026-10-30T15:06:43+00:00</t>
        </is>
      </c>
      <c r="F921" t="inlineStr">
        <is>
          <t>{"Keyword": "site web kiné", "Search Volume": "0", "CPC": "0", "Competition": "0", "Number of Results": "0", "Trends": "0.00,0.00,0.00,0.00,0.00,0.00,0.00,0.00,0.00,0.00,0.00,0.00", "Intent": "", "Keyword Difficulty Index": "0"}</t>
        </is>
      </c>
      <c r="G921" t="inlineStr">
        <is>
          <t>Raw (Semrush)</t>
        </is>
      </c>
    </row>
    <row r="922">
      <c r="A922" t="inlineStr">
        <is>
          <t>val-fr-5</t>
        </is>
      </c>
      <c r="B922" t="inlineStr">
        <is>
          <t>phrase_these</t>
        </is>
      </c>
      <c r="C922" t="inlineStr">
        <is>
          <t>fr</t>
        </is>
      </c>
      <c r="D922"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2" t="inlineStr">
        <is>
          <t>2026-10-30T15:06:43+00:00</t>
        </is>
      </c>
      <c r="F922" t="inlineStr">
        <is>
          <t>{"Keyword": "site web médical", "Search Volume": "30", "CPC": "0", "Competition": "0.64", "Number of Results": "0", "Trends": "0.17,0.11,0.11,0.11,0.11,0.11,0.11,0.11,0.17,0.17,0.17,0.23", "Intent": "", "Keyword Difficulty Index": "0"}</t>
        </is>
      </c>
      <c r="G922" t="inlineStr">
        <is>
          <t>Raw (Semrush)</t>
        </is>
      </c>
    </row>
    <row r="923">
      <c r="A923" t="inlineStr">
        <is>
          <t>val-fr-5</t>
        </is>
      </c>
      <c r="B923" t="inlineStr">
        <is>
          <t>phrase_these</t>
        </is>
      </c>
      <c r="C923" t="inlineStr">
        <is>
          <t>fr</t>
        </is>
      </c>
      <c r="D923"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3" t="inlineStr">
        <is>
          <t>2026-10-30T15:06:43+00:00</t>
        </is>
      </c>
      <c r="F923" t="inlineStr">
        <is>
          <t>{"Keyword": "site web santé", "Search Volume": "30", "CPC": "0", "Competition": "0.33", "Number of Results": "0", "Trends": "0.81,0.18,0.18,0.18,0.18,0.18,0.18,0.18,0.18,0.18,0.18,0.18", "Intent": "", "Keyword Difficulty Index": "0"}</t>
        </is>
      </c>
      <c r="G923" t="inlineStr">
        <is>
          <t>Raw (Semrush)</t>
        </is>
      </c>
    </row>
    <row r="924">
      <c r="A924" t="inlineStr">
        <is>
          <t>val-fr-5</t>
        </is>
      </c>
      <c r="B924" t="inlineStr">
        <is>
          <t>phrase_these</t>
        </is>
      </c>
      <c r="C924" t="inlineStr">
        <is>
          <t>fr</t>
        </is>
      </c>
      <c r="D924"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4" t="inlineStr">
        <is>
          <t>2026-10-30T15:06:43+00:00</t>
        </is>
      </c>
      <c r="F924" t="inlineStr">
        <is>
          <t>{"Keyword": "site web université", "Search Volume": "20", "CPC": "0", "Competition": "0.04", "Number of Results": "0", "Trends": "0.66,0.66,0.66,0.66,0.66,0.66,0.66,0.66,0.66,0.66,0.66,0.66", "Intent": "", "Keyword Difficulty Index": "0"}</t>
        </is>
      </c>
      <c r="G924" t="inlineStr">
        <is>
          <t>Raw (Semrush)</t>
        </is>
      </c>
    </row>
    <row r="925">
      <c r="A925" t="inlineStr">
        <is>
          <t>val-fr-5</t>
        </is>
      </c>
      <c r="B925" t="inlineStr">
        <is>
          <t>phrase_these</t>
        </is>
      </c>
      <c r="C925" t="inlineStr">
        <is>
          <t>fr</t>
        </is>
      </c>
      <c r="D925"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5" t="inlineStr">
        <is>
          <t>2026-10-30T15:06:43+00:00</t>
        </is>
      </c>
      <c r="F925" t="inlineStr">
        <is>
          <t>{"Keyword": "site web école", "Search Volume": "0", "CPC": "0", "Competition": "0", "Number of Results": "0", "Trends": "0.00,0.00,0.00,0.00,0.00,0.00,0.00,0.00,0.00,0.00,0.00,0.00", "Intent": "", "Keyword Difficulty Index": "0"}</t>
        </is>
      </c>
      <c r="G925" t="inlineStr">
        <is>
          <t>Raw (Semrush)</t>
        </is>
      </c>
    </row>
    <row r="926">
      <c r="A926" t="inlineStr">
        <is>
          <t>val-fr-5</t>
        </is>
      </c>
      <c r="B926" t="inlineStr">
        <is>
          <t>phrase_these</t>
        </is>
      </c>
      <c r="C926" t="inlineStr">
        <is>
          <t>fr</t>
        </is>
      </c>
      <c r="D926"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6" t="inlineStr">
        <is>
          <t>2026-10-30T15:06:43+00:00</t>
        </is>
      </c>
      <c r="F926" t="inlineStr">
        <is>
          <t>{"Keyword": "site web école privée", "Search Volume": "0", "CPC": "0", "Competition": "0", "Number of Results": "0", "Trends": "0.00,0.00,0.00,0.00,0.00,0.00,0.00,0.00,0.00,0.00,0.00,0.00", "Intent": "", "Keyword Difficulty Index": "0"}</t>
        </is>
      </c>
      <c r="G926" t="inlineStr">
        <is>
          <t>Raw (Semrush)</t>
        </is>
      </c>
    </row>
    <row r="927">
      <c r="A927" t="inlineStr">
        <is>
          <t>val-fr-5</t>
        </is>
      </c>
      <c r="B927" t="inlineStr">
        <is>
          <t>phrase_these</t>
        </is>
      </c>
      <c r="C927" t="inlineStr">
        <is>
          <t>fr</t>
        </is>
      </c>
      <c r="D927"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7" t="inlineStr">
        <is>
          <t>2026-10-30T15:06:43+00:00</t>
        </is>
      </c>
      <c r="F927" t="inlineStr">
        <is>
          <t>{"Keyword": "sitemap generator", "Search Volume": "480", "CPC": "1.69", "Competition": "0.18", "Number of Results": "126", "Trends": "0.24,0.30,0.36,0.24,0.24,0.30,0.30,0.30,0.36,0.30,0.24,0.30", "Intent": "0", "Keyword Difficulty Index": "51"}</t>
        </is>
      </c>
      <c r="G927" t="inlineStr">
        <is>
          <t>Raw (Semrush)</t>
        </is>
      </c>
    </row>
    <row r="928">
      <c r="A928" t="inlineStr">
        <is>
          <t>val-fr-5</t>
        </is>
      </c>
      <c r="B928" t="inlineStr">
        <is>
          <t>phrase_these</t>
        </is>
      </c>
      <c r="C928" t="inlineStr">
        <is>
          <t>fr</t>
        </is>
      </c>
      <c r="D928"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8" t="inlineStr">
        <is>
          <t>2026-10-30T15:06:43+00:00</t>
        </is>
      </c>
      <c r="F928" t="inlineStr">
        <is>
          <t>{"Keyword": "sitemap url extractor", "Search Volume": "10", "CPC": "0", "Competition": "0.1", "Number of Results": "0", "Trends": "0.50,0.00,1.00,1.00,0.00,0.00,0.00,0.00,1.00,1.00,0.50,0.50", "Intent": "", "Keyword Difficulty Index": "0"}</t>
        </is>
      </c>
      <c r="G928" t="inlineStr">
        <is>
          <t>Raw (Semrush)</t>
        </is>
      </c>
    </row>
    <row r="929">
      <c r="A929" t="inlineStr">
        <is>
          <t>val-fr-5</t>
        </is>
      </c>
      <c r="B929" t="inlineStr">
        <is>
          <t>phrase_these</t>
        </is>
      </c>
      <c r="C929" t="inlineStr">
        <is>
          <t>fr</t>
        </is>
      </c>
      <c r="D929"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29" t="inlineStr">
        <is>
          <t>2026-10-30T15:06:43+00:00</t>
        </is>
      </c>
      <c r="F929" t="inlineStr">
        <is>
          <t>{"Keyword": "sitemap validator", "Search Volume": "70", "CPC": "2.2", "Competition": "0.1", "Number of Results": "75", "Trends": "0.35,0.35,0.50,0.50,0.50,0.14,0.50,0.64,0.21,0.50,0.50,0.50", "Intent": "0", "Keyword Difficulty Index": "31"}</t>
        </is>
      </c>
      <c r="G929" t="inlineStr">
        <is>
          <t>Raw (Semrush)</t>
        </is>
      </c>
    </row>
    <row r="930">
      <c r="A930" t="inlineStr">
        <is>
          <t>val-fr-5</t>
        </is>
      </c>
      <c r="B930" t="inlineStr">
        <is>
          <t>phrase_these</t>
        </is>
      </c>
      <c r="C930" t="inlineStr">
        <is>
          <t>fr</t>
        </is>
      </c>
      <c r="D930"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0" t="inlineStr">
        <is>
          <t>2026-10-30T15:06:43+00:00</t>
        </is>
      </c>
      <c r="F930" t="inlineStr">
        <is>
          <t>{"Keyword": "sitemap xml", "Search Volume": "720", "CPC": "1.45", "Competition": "0.09", "Number of Results": "133", "Trends": "0.30,0.62,0.30,0.36,0.55,0.45,0.81,1.00,0.55,0.36,0.36,0.24", "Intent": "1", "Keyword Difficulty Index": "39"}</t>
        </is>
      </c>
      <c r="G930" t="inlineStr">
        <is>
          <t>Raw (Semrush)</t>
        </is>
      </c>
    </row>
    <row r="931">
      <c r="A931" t="inlineStr">
        <is>
          <t>val-fr-5</t>
        </is>
      </c>
      <c r="B931" t="inlineStr">
        <is>
          <t>phrase_these</t>
        </is>
      </c>
      <c r="C931" t="inlineStr">
        <is>
          <t>fr</t>
        </is>
      </c>
      <c r="D931"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1" t="inlineStr">
        <is>
          <t>2026-10-30T15:06:43+00:00</t>
        </is>
      </c>
      <c r="F931" t="inlineStr">
        <is>
          <t>{"Keyword": "slug seo", "Search Volume": "170", "CPC": "0", "Competition": "0.08", "Number of Results": "10", "Trends": "0.53,0.53,0.53,0.15,1.00,0.34,0.53,0.65,0.34,0.65,0.34,0.34", "Intent": "1", "Keyword Difficulty Index": "13"}</t>
        </is>
      </c>
      <c r="G931" t="inlineStr">
        <is>
          <t>Raw (Semrush)</t>
        </is>
      </c>
    </row>
    <row r="932">
      <c r="A932" t="inlineStr">
        <is>
          <t>val-fr-5</t>
        </is>
      </c>
      <c r="B932" t="inlineStr">
        <is>
          <t>phrase_these</t>
        </is>
      </c>
      <c r="C932" t="inlineStr">
        <is>
          <t>fr</t>
        </is>
      </c>
      <c r="D932"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2" t="inlineStr">
        <is>
          <t>2026-10-30T15:06:43+00:00</t>
        </is>
      </c>
      <c r="F932" t="inlineStr">
        <is>
          <t>{"Keyword": "slug url", "Search Volume": "70", "CPC": "0", "Competition": "0.02", "Number of Results": "120", "Trends": "0.52,0.52,0.64,0.52,0.29,0.41,0.17,0.82,0.17,0.64,0.29,0.52", "Intent": "1", "Keyword Difficulty Index": "15"}</t>
        </is>
      </c>
      <c r="G932" t="inlineStr">
        <is>
          <t>Raw (Semrush)</t>
        </is>
      </c>
    </row>
    <row r="933">
      <c r="A933" t="inlineStr">
        <is>
          <t>val-fr-5</t>
        </is>
      </c>
      <c r="B933" t="inlineStr">
        <is>
          <t>phrase_these</t>
        </is>
      </c>
      <c r="C933" t="inlineStr">
        <is>
          <t>fr</t>
        </is>
      </c>
      <c r="D933"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3" t="inlineStr">
        <is>
          <t>2026-10-30T15:06:43+00:00</t>
        </is>
      </c>
      <c r="F933" t="inlineStr">
        <is>
          <t>{"Keyword": "solution edtech", "Search Volume": "0", "CPC": "0", "Competition": "0", "Number of Results": "0", "Trends": "0.00,0.00", "Intent": "", "Keyword Difficulty Index": "0"}</t>
        </is>
      </c>
      <c r="G933" t="inlineStr">
        <is>
          <t>Raw (Semrush)</t>
        </is>
      </c>
    </row>
    <row r="934">
      <c r="A934" t="inlineStr">
        <is>
          <t>val-fr-5</t>
        </is>
      </c>
      <c r="B934" t="inlineStr">
        <is>
          <t>phrase_these</t>
        </is>
      </c>
      <c r="C934" t="inlineStr">
        <is>
          <t>fr</t>
        </is>
      </c>
      <c r="D934"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4" t="inlineStr">
        <is>
          <t>2026-10-30T15:06:43+00:00</t>
        </is>
      </c>
      <c r="F934" t="inlineStr">
        <is>
          <t>{"Keyword": "sous traitance web maroc", "Search Volume": "0", "CPC": "0", "Competition": "0", "Number of Results": "0", "Trends": "1.00,1.00,0.00,0.00,0.00,0.00,0.00,0.00,0.00,0.00,0.00,0.00", "Intent": "", "Keyword Difficulty Index": "0"}</t>
        </is>
      </c>
      <c r="G934" t="inlineStr">
        <is>
          <t>Raw (Semrush)</t>
        </is>
      </c>
    </row>
    <row r="935">
      <c r="A935" t="inlineStr">
        <is>
          <t>val-fr-5</t>
        </is>
      </c>
      <c r="B935" t="inlineStr">
        <is>
          <t>phrase_these</t>
        </is>
      </c>
      <c r="C935" t="inlineStr">
        <is>
          <t>fr</t>
        </is>
      </c>
      <c r="D935"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5" t="inlineStr">
        <is>
          <t>2026-10-30T15:06:43+00:00</t>
        </is>
      </c>
      <c r="F935" t="inlineStr">
        <is>
          <t>{"Keyword": "sous-traitance développement web", "Search Volume": "40", "CPC": "0", "Competition": "0.57", "Number of Results": "0", "Trends": "0.57,0.57,1.00,0.57,0.00,0.57,0.57,0.57,0.57,0.57,0.42,0.57", "Intent": "", "Keyword Difficulty Index": "0"}</t>
        </is>
      </c>
      <c r="G935" t="inlineStr">
        <is>
          <t>Raw (Semrush)</t>
        </is>
      </c>
    </row>
    <row r="936">
      <c r="A936" t="inlineStr">
        <is>
          <t>val-fr-5</t>
        </is>
      </c>
      <c r="B936" t="inlineStr">
        <is>
          <t>phrase_these</t>
        </is>
      </c>
      <c r="C936" t="inlineStr">
        <is>
          <t>fr</t>
        </is>
      </c>
      <c r="D936"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6" t="inlineStr">
        <is>
          <t>2026-10-30T15:06:43+00:00</t>
        </is>
      </c>
      <c r="F936" t="inlineStr">
        <is>
          <t>{"Keyword": "ssl checker", "Search Volume": "1900", "CPC": "0", "Competition": "0", "Number of Results": "341000000", "Trends": "0.12,0.16,0.16,0.16,0.16,0.16,0.23,0.12,0.16,0.10,1.00,0.10", "Intent": "0", "Keyword Difficulty Index": "67"}</t>
        </is>
      </c>
      <c r="G936" t="inlineStr">
        <is>
          <t>Raw (Semrush)</t>
        </is>
      </c>
    </row>
    <row r="937">
      <c r="A937" t="inlineStr">
        <is>
          <t>val-fr-5</t>
        </is>
      </c>
      <c r="B937" t="inlineStr">
        <is>
          <t>phrase_these</t>
        </is>
      </c>
      <c r="C937" t="inlineStr">
        <is>
          <t>fr</t>
        </is>
      </c>
      <c r="D937"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7" t="inlineStr">
        <is>
          <t>2026-10-30T15:06:43+00:00</t>
        </is>
      </c>
      <c r="F937" t="inlineStr">
        <is>
          <t>{"Keyword": "startup edtech", "Search Volume": "30", "CPC": "0", "Competition": "0.13", "Number of Results": "0", "Trends": "0.04,0.04,0.02,0.02,0.04,0.06,0.04,0.05,0.04,0.06,0.04,0.02", "Intent": "", "Keyword Difficulty Index": "0"}</t>
        </is>
      </c>
      <c r="G937" t="inlineStr">
        <is>
          <t>Raw (Semrush)</t>
        </is>
      </c>
    </row>
    <row r="938">
      <c r="A938" t="inlineStr">
        <is>
          <t>val-fr-5</t>
        </is>
      </c>
      <c r="B938" t="inlineStr">
        <is>
          <t>phrase_these</t>
        </is>
      </c>
      <c r="C938" t="inlineStr">
        <is>
          <t>fr</t>
        </is>
      </c>
      <c r="D938"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8" t="inlineStr">
        <is>
          <t>2026-10-30T15:06:43+00:00</t>
        </is>
      </c>
      <c r="F938" t="inlineStr">
        <is>
          <t>{"Keyword": "structure hn", "Search Volume": "70", "CPC": "0", "Competition": "0.02", "Number of Results": "148", "Trends": "0.33,0.52,0.52,0.52,0.42,0.23,0.23,0.23,0.23,0.23,0.19,0.14", "Intent": "1", "Keyword Difficulty Index": "8"}</t>
        </is>
      </c>
      <c r="G938" t="inlineStr">
        <is>
          <t>Raw (Semrush)</t>
        </is>
      </c>
    </row>
    <row r="939">
      <c r="A939" t="inlineStr">
        <is>
          <t>val-fr-5</t>
        </is>
      </c>
      <c r="B939" t="inlineStr">
        <is>
          <t>phrase_these</t>
        </is>
      </c>
      <c r="C939" t="inlineStr">
        <is>
          <t>fr</t>
        </is>
      </c>
      <c r="D939"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39" t="inlineStr">
        <is>
          <t>2026-10-30T15:06:43+00:00</t>
        </is>
      </c>
      <c r="F939" t="inlineStr">
        <is>
          <t>{"Keyword": "test compatibilité mobile", "Search Volume": "20", "CPC": "0", "Competition": "0.33", "Number of Results": "0", "Trends": "0.33,0.22,0.33,0.44,0.22,0.22,0.22,0.22,0.22,0.22,0.33,0.22", "Intent": "", "Keyword Difficulty Index": "0"}</t>
        </is>
      </c>
      <c r="G939" t="inlineStr">
        <is>
          <t>Raw (Semrush)</t>
        </is>
      </c>
    </row>
    <row r="940">
      <c r="A940" t="inlineStr">
        <is>
          <t>val-fr-5</t>
        </is>
      </c>
      <c r="B940" t="inlineStr">
        <is>
          <t>phrase_these</t>
        </is>
      </c>
      <c r="C940" t="inlineStr">
        <is>
          <t>fr</t>
        </is>
      </c>
      <c r="D940"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0" t="inlineStr">
        <is>
          <t>2026-10-30T15:06:43+00:00</t>
        </is>
      </c>
      <c r="F940" t="inlineStr">
        <is>
          <t>{"Keyword": "test core web vitals", "Search Volume": "110", "CPC": "1.83", "Competition": "0.33", "Number of Results": "129", "Trends": "0.07,0.19,0.26,0.26,0.19,0.26,0.80,1.00,0.80,0.65,0.34,0.42", "Intent": "1", "Keyword Difficulty Index": "27"}</t>
        </is>
      </c>
      <c r="G940" t="inlineStr">
        <is>
          <t>Raw (Semrush)</t>
        </is>
      </c>
    </row>
    <row r="941">
      <c r="A941" t="inlineStr">
        <is>
          <t>val-fr-5</t>
        </is>
      </c>
      <c r="B941" t="inlineStr">
        <is>
          <t>phrase_these</t>
        </is>
      </c>
      <c r="C941" t="inlineStr">
        <is>
          <t>fr</t>
        </is>
      </c>
      <c r="D941"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1" t="inlineStr">
        <is>
          <t>2026-10-30T15:06:43+00:00</t>
        </is>
      </c>
      <c r="F941" t="inlineStr">
        <is>
          <t>{"Keyword": "test dns", "Search Volume": "1000", "CPC": "0", "Competition": "0.02", "Number of Results": "122", "Trends": "0.55,0.67,0.76,0.76,0.76,0.76,0.76,1.00,0.76,0.76,0.67,0.36", "Intent": "1", "Keyword Difficulty Index": "56"}</t>
        </is>
      </c>
      <c r="G941" t="inlineStr">
        <is>
          <t>Raw (Semrush)</t>
        </is>
      </c>
    </row>
    <row r="942">
      <c r="A942" t="inlineStr">
        <is>
          <t>val-fr-5</t>
        </is>
      </c>
      <c r="B942" t="inlineStr">
        <is>
          <t>phrase_these</t>
        </is>
      </c>
      <c r="C942" t="inlineStr">
        <is>
          <t>fr</t>
        </is>
      </c>
      <c r="D942"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2" t="inlineStr">
        <is>
          <t>2026-10-30T15:06:43+00:00</t>
        </is>
      </c>
      <c r="F942" t="inlineStr">
        <is>
          <t>{"Keyword": "test données structurées", "Search Volume": "720", "CPC": "0", "Competition": "0.33", "Number of Results": "125", "Trends": "0.48,0.88,0.72,0.88,0.72,0.88,0.88,1.00,0.88,0.72,0.88,1.00", "Intent": "2", "Keyword Difficulty Index": "37"}</t>
        </is>
      </c>
      <c r="G942" t="inlineStr">
        <is>
          <t>Raw (Semrush)</t>
        </is>
      </c>
    </row>
    <row r="943">
      <c r="A943" t="inlineStr">
        <is>
          <t>val-fr-5</t>
        </is>
      </c>
      <c r="B943" t="inlineStr">
        <is>
          <t>phrase_these</t>
        </is>
      </c>
      <c r="C943" t="inlineStr">
        <is>
          <t>fr</t>
        </is>
      </c>
      <c r="D943"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3" t="inlineStr">
        <is>
          <t>2026-10-30T15:06:43+00:00</t>
        </is>
      </c>
      <c r="F943" t="inlineStr">
        <is>
          <t>{"Keyword": "test lisibilité", "Search Volume": "20", "CPC": "0", "Competition": "0.33", "Number of Results": "0", "Trends": "0.14,0.14,0.14,0.14,0.14,0.14,0.14,0.14,0.14,0.14,0.14,0.14", "Intent": "", "Keyword Difficulty Index": "0"}</t>
        </is>
      </c>
      <c r="G943" t="inlineStr">
        <is>
          <t>Raw (Semrush)</t>
        </is>
      </c>
    </row>
    <row r="944">
      <c r="A944" t="inlineStr">
        <is>
          <t>val-fr-5</t>
        </is>
      </c>
      <c r="B944" t="inlineStr">
        <is>
          <t>phrase_these</t>
        </is>
      </c>
      <c r="C944" t="inlineStr">
        <is>
          <t>fr</t>
        </is>
      </c>
      <c r="D944"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4" t="inlineStr">
        <is>
          <t>2026-10-30T15:06:43+00:00</t>
        </is>
      </c>
      <c r="F944" t="inlineStr">
        <is>
          <t>{"Keyword": "test mobile friendly", "Search Volume": "140", "CPC": "1.9", "Competition": "0.24", "Number of Results": "101", "Trends": "0.12,1.00,0.19,0.15,0.19,0.15,0.09,0.19,0.09,0.09,0.06,0.09", "Intent": "1", "Keyword Difficulty Index": "20"}</t>
        </is>
      </c>
      <c r="G944" t="inlineStr">
        <is>
          <t>Raw (Semrush)</t>
        </is>
      </c>
    </row>
    <row r="945">
      <c r="A945" t="inlineStr">
        <is>
          <t>val-fr-5</t>
        </is>
      </c>
      <c r="B945" t="inlineStr">
        <is>
          <t>phrase_these</t>
        </is>
      </c>
      <c r="C945" t="inlineStr">
        <is>
          <t>fr</t>
        </is>
      </c>
      <c r="D945"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5" t="inlineStr">
        <is>
          <t>2026-10-30T15:06:43+00:00</t>
        </is>
      </c>
      <c r="F945" t="inlineStr">
        <is>
          <t>{"Keyword": "test redirection", "Search Volume": "260", "CPC": "0", "Competition": "0.01", "Number of Results": "101", "Trends": "0.43,0.66,0.66,0.66,0.43,0.66,0.54,0.54,0.43,0.43,0.54,0.54", "Intent": "0", "Keyword Difficulty Index": "33"}</t>
        </is>
      </c>
      <c r="G945" t="inlineStr">
        <is>
          <t>Raw (Semrush)</t>
        </is>
      </c>
    </row>
    <row r="946">
      <c r="A946" t="inlineStr">
        <is>
          <t>val-fr-5</t>
        </is>
      </c>
      <c r="B946" t="inlineStr">
        <is>
          <t>phrase_these</t>
        </is>
      </c>
      <c r="C946" t="inlineStr">
        <is>
          <t>fr</t>
        </is>
      </c>
      <c r="D946"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6" t="inlineStr">
        <is>
          <t>2026-10-30T15:06:43+00:00</t>
        </is>
      </c>
      <c r="F946" t="inlineStr">
        <is>
          <t>{"Keyword": "test robots.txt", "Search Volume": "260", "CPC": "1.66", "Competition": "0.02", "Number of Results": "113", "Trends": "0.03,0.44,0.13,0.08,0.08,0.02,0.05,0.08,0.03,0.02,0.07,0.07", "Intent": "1", "Keyword Difficulty Index": "20"}</t>
        </is>
      </c>
      <c r="G946" t="inlineStr">
        <is>
          <t>Raw (Semrush)</t>
        </is>
      </c>
    </row>
    <row r="947">
      <c r="A947" t="inlineStr">
        <is>
          <t>val-fr-5</t>
        </is>
      </c>
      <c r="B947" t="inlineStr">
        <is>
          <t>phrase_these</t>
        </is>
      </c>
      <c r="C947" t="inlineStr">
        <is>
          <t>fr</t>
        </is>
      </c>
      <c r="D947"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7" t="inlineStr">
        <is>
          <t>2026-10-30T15:06:43+00:00</t>
        </is>
      </c>
      <c r="F947" t="inlineStr">
        <is>
          <t>{"Keyword": "test site web gratuit", "Search Volume": "170", "CPC": "1.58", "Competition": "0.66", "Number of Results": "137", "Trends": "0.80,0.80,0.66,0.80,0.66,1.00,0.80,1.00,0.80,0.66,0.52,0.52", "Intent": "0", "Keyword Difficulty Index": "41"}</t>
        </is>
      </c>
      <c r="G947" t="inlineStr">
        <is>
          <t>Raw (Semrush)</t>
        </is>
      </c>
    </row>
    <row r="948">
      <c r="A948" t="inlineStr">
        <is>
          <t>val-fr-5</t>
        </is>
      </c>
      <c r="B948" t="inlineStr">
        <is>
          <t>phrase_these</t>
        </is>
      </c>
      <c r="C948" t="inlineStr">
        <is>
          <t>fr</t>
        </is>
      </c>
      <c r="D948"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8" t="inlineStr">
        <is>
          <t>2026-10-30T15:06:43+00:00</t>
        </is>
      </c>
      <c r="F948" t="inlineStr">
        <is>
          <t>{"Keyword": "test ssl", "Search Volume": "320", "CPC": "0.89", "Competition": "0.03", "Number of Results": "121", "Trends": "0.20,0.24,0.24,0.45,0.24,0.24,0.20,0.20,0.20,0.24,0.24,0.20", "Intent": "0", "Keyword Difficulty Index": "37"}</t>
        </is>
      </c>
      <c r="G948" t="inlineStr">
        <is>
          <t>Raw (Semrush)</t>
        </is>
      </c>
    </row>
    <row r="949">
      <c r="A949" t="inlineStr">
        <is>
          <t>val-fr-5</t>
        </is>
      </c>
      <c r="B949" t="inlineStr">
        <is>
          <t>phrase_these</t>
        </is>
      </c>
      <c r="C949" t="inlineStr">
        <is>
          <t>fr</t>
        </is>
      </c>
      <c r="D949"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49" t="inlineStr">
        <is>
          <t>2026-10-30T15:06:43+00:00</t>
        </is>
      </c>
      <c r="F949" t="inlineStr">
        <is>
          <t>{"Keyword": "test vitesse site", "Search Volume": "260", "CPC": "1.02", "Competition": "0.22", "Number of Results": "105", "Trends": "0.54,1.00,0.66,0.43,0.54,0.66,0.54,0.35,0.66,0.81,0.66,0.66", "Intent": "1", "Keyword Difficulty Index": "43"}</t>
        </is>
      </c>
      <c r="G949" t="inlineStr">
        <is>
          <t>Raw (Semrush)</t>
        </is>
      </c>
    </row>
    <row r="950">
      <c r="A950" t="inlineStr">
        <is>
          <t>val-fr-5</t>
        </is>
      </c>
      <c r="B950" t="inlineStr">
        <is>
          <t>phrase_these</t>
        </is>
      </c>
      <c r="C950" t="inlineStr">
        <is>
          <t>fr</t>
        </is>
      </c>
      <c r="D950"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0" t="inlineStr">
        <is>
          <t>2026-10-30T15:06:43+00:00</t>
        </is>
      </c>
      <c r="F950" t="inlineStr">
        <is>
          <t>{"Keyword": "test vitesse site web", "Search Volume": "260", "CPC": "1.31", "Competition": "0.23", "Number of Results": "132", "Trends": "0.65,1.00,0.53,0.53,0.53,0.65,0.65,0.53,1.00,1.00,0.81,0.81", "Intent": "0", "Keyword Difficulty Index": "36"}</t>
        </is>
      </c>
      <c r="G950" t="inlineStr">
        <is>
          <t>Raw (Semrush)</t>
        </is>
      </c>
    </row>
    <row r="951">
      <c r="A951" t="inlineStr">
        <is>
          <t>val-fr-5</t>
        </is>
      </c>
      <c r="B951" t="inlineStr">
        <is>
          <t>phrase_these</t>
        </is>
      </c>
      <c r="C951" t="inlineStr">
        <is>
          <t>fr</t>
        </is>
      </c>
      <c r="D951"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1" t="inlineStr">
        <is>
          <t>2026-10-30T15:06:43+00:00</t>
        </is>
      </c>
      <c r="F951" t="inlineStr">
        <is>
          <t>{"Keyword": "tester données structurées", "Search Volume": "480", "CPC": "0", "Competition": "0.33", "Number of Results": "0", "Trends": "0.54,1.00,0.81,0.66,0.81,0.66,0.81,1.00,0.81,0.66,0.81,0.81", "Intent": "1,2", "Keyword Difficulty Index": "35"}</t>
        </is>
      </c>
      <c r="G951" t="inlineStr">
        <is>
          <t>Raw (Semrush)</t>
        </is>
      </c>
    </row>
    <row r="952">
      <c r="A952" t="inlineStr">
        <is>
          <t>val-fr-5</t>
        </is>
      </c>
      <c r="B952" t="inlineStr">
        <is>
          <t>phrase_these</t>
        </is>
      </c>
      <c r="C952" t="inlineStr">
        <is>
          <t>fr</t>
        </is>
      </c>
      <c r="D952"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2" t="inlineStr">
        <is>
          <t>2026-10-30T15:06:43+00:00</t>
        </is>
      </c>
      <c r="F952" t="inlineStr">
        <is>
          <t>{"Keyword": "tester robots.txt", "Search Volume": "30", "CPC": "0.81", "Competition": "0.03", "Number of Results": "102", "Trends": "0.04,0.04,0.00,1.00,0.09,0.00,0.00,0.00,0.04,0.04,0.04,0.04", "Intent": "1", "Keyword Difficulty Index": "19"}</t>
        </is>
      </c>
      <c r="G952" t="inlineStr">
        <is>
          <t>Raw (Semrush)</t>
        </is>
      </c>
    </row>
    <row r="953">
      <c r="A953" t="inlineStr">
        <is>
          <t>val-fr-5</t>
        </is>
      </c>
      <c r="B953" t="inlineStr">
        <is>
          <t>phrase_these</t>
        </is>
      </c>
      <c r="C953" t="inlineStr">
        <is>
          <t>fr</t>
        </is>
      </c>
      <c r="D953"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3" t="inlineStr">
        <is>
          <t>2026-10-30T15:06:43+00:00</t>
        </is>
      </c>
      <c r="F953" t="inlineStr">
        <is>
          <t>{"Keyword": "tester vitesse site web", "Search Volume": "170", "CPC": "1.07", "Competition": "0.25", "Number of Results": "39700000", "Trends": "0.43,0.53,0.43,0.43,0.43,0.43,0.53,0.34,1.00,0.81,0.65,0.65", "Intent": "0", "Keyword Difficulty Index": "35"}</t>
        </is>
      </c>
      <c r="G953" t="inlineStr">
        <is>
          <t>Raw (Semrush)</t>
        </is>
      </c>
    </row>
    <row r="954">
      <c r="A954" t="inlineStr">
        <is>
          <t>val-fr-5</t>
        </is>
      </c>
      <c r="B954" t="inlineStr">
        <is>
          <t>phrase_these</t>
        </is>
      </c>
      <c r="C954" t="inlineStr">
        <is>
          <t>fr</t>
        </is>
      </c>
      <c r="D954"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4" t="inlineStr">
        <is>
          <t>2026-10-30T15:06:43+00:00</t>
        </is>
      </c>
      <c r="F954" t="inlineStr">
        <is>
          <t>{"Keyword": "texte alternatif image", "Search Volume": "40", "CPC": "0", "Competition": "0.33", "Number of Results": "0", "Trends": "0.11,0.15,0.19,0.19,0.15,0.19,0.19,0.11,0.11,0.11,0.07,0.07", "Intent": "", "Keyword Difficulty Index": "0"}</t>
        </is>
      </c>
      <c r="G954" t="inlineStr">
        <is>
          <t>Raw (Semrush)</t>
        </is>
      </c>
    </row>
    <row r="955">
      <c r="A955" t="inlineStr">
        <is>
          <t>val-fr-5</t>
        </is>
      </c>
      <c r="B955" t="inlineStr">
        <is>
          <t>phrase_these</t>
        </is>
      </c>
      <c r="C955" t="inlineStr">
        <is>
          <t>fr</t>
        </is>
      </c>
      <c r="D955"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5" t="inlineStr">
        <is>
          <t>2026-10-30T15:06:43+00:00</t>
        </is>
      </c>
      <c r="F955" t="inlineStr">
        <is>
          <t>{"Keyword": "texte lorem ipsum", "Search Volume": "1000", "CPC": "1.42", "Competition": "0.01", "Number of Results": "117", "Trends": "0.55,0.76,1.00,1.00,0.76,0.76,0.67,0.76,0.67,0.55,0.55,0.55", "Intent": "1", "Keyword Difficulty Index": "48"}</t>
        </is>
      </c>
      <c r="G955" t="inlineStr">
        <is>
          <t>Raw (Semrush)</t>
        </is>
      </c>
    </row>
    <row r="956">
      <c r="A956" t="inlineStr">
        <is>
          <t>val-fr-5</t>
        </is>
      </c>
      <c r="B956" t="inlineStr">
        <is>
          <t>phrase_these</t>
        </is>
      </c>
      <c r="C956" t="inlineStr">
        <is>
          <t>fr</t>
        </is>
      </c>
      <c r="D956"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6" t="inlineStr">
        <is>
          <t>2026-10-30T15:06:43+00:00</t>
        </is>
      </c>
      <c r="F956" t="inlineStr">
        <is>
          <t>{"Keyword": "tjm développeur web", "Search Volume": "20", "CPC": "0", "Competition": "0.17", "Number of Results": "0", "Trends": "0.22,0.22,0.22,0.22,0.22,0.22,0.22,0.44,0.33,0.22,0.22,0.22", "Intent": "", "Keyword Difficulty Index": "0"}</t>
        </is>
      </c>
      <c r="G956" t="inlineStr">
        <is>
          <t>Raw (Semrush)</t>
        </is>
      </c>
    </row>
    <row r="957">
      <c r="A957" t="inlineStr">
        <is>
          <t>val-fr-5</t>
        </is>
      </c>
      <c r="B957" t="inlineStr">
        <is>
          <t>phrase_these</t>
        </is>
      </c>
      <c r="C957" t="inlineStr">
        <is>
          <t>fr</t>
        </is>
      </c>
      <c r="D957"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7" t="inlineStr">
        <is>
          <t>2026-10-30T15:06:43+00:00</t>
        </is>
      </c>
      <c r="F957" t="inlineStr">
        <is>
          <t>{"Keyword": "trouver mots clés", "Search Volume": "260", "CPC": "2.19", "Competition": "0.34", "Number of Results": "128", "Trends": "0.21,1.00,0.32,0.39,0.21,0.21,0.21,0.21,0.17,0.21,0.21,0.21", "Intent": "1", "Keyword Difficulty Index": "49"}</t>
        </is>
      </c>
      <c r="G957" t="inlineStr">
        <is>
          <t>Raw (Semrush)</t>
        </is>
      </c>
    </row>
    <row r="958">
      <c r="A958" t="inlineStr">
        <is>
          <t>val-fr-5</t>
        </is>
      </c>
      <c r="B958" t="inlineStr">
        <is>
          <t>phrase_these</t>
        </is>
      </c>
      <c r="C958" t="inlineStr">
        <is>
          <t>fr</t>
        </is>
      </c>
      <c r="D958"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8" t="inlineStr">
        <is>
          <t>2026-10-30T15:06:43+00:00</t>
        </is>
      </c>
      <c r="F958" t="inlineStr">
        <is>
          <t>{"Keyword": "téléconsultation site", "Search Volume": "20", "CPC": "0", "Competition": "0.79", "Number of Results": "0", "Trends": "0.14,0.14,0.14,0.14,0.14,0.14,0.14,0.14,0.14,0.14,0.14,0.14", "Intent": "", "Keyword Difficulty Index": "0"}</t>
        </is>
      </c>
      <c r="G958" t="inlineStr">
        <is>
          <t>Raw (Semrush)</t>
        </is>
      </c>
    </row>
    <row r="959">
      <c r="A959" t="inlineStr">
        <is>
          <t>val-fr-5</t>
        </is>
      </c>
      <c r="B959" t="inlineStr">
        <is>
          <t>phrase_these</t>
        </is>
      </c>
      <c r="C959" t="inlineStr">
        <is>
          <t>fr</t>
        </is>
      </c>
      <c r="D959"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59" t="inlineStr">
        <is>
          <t>2026-10-30T15:06:43+00:00</t>
        </is>
      </c>
      <c r="F959" t="inlineStr">
        <is>
          <t>{"Keyword": "url canonique", "Search Volume": "390", "CPC": "0.1", "Competition": "0.06", "Number of Results": "126", "Trends": "0.44,0.44,0.44,0.44,0.23,0.29,0.36,0.29,0.44,0.44,0.36,0.36", "Intent": "1", "Keyword Difficulty Index": "30"}</t>
        </is>
      </c>
      <c r="G959" t="inlineStr">
        <is>
          <t>Raw (Semrush)</t>
        </is>
      </c>
    </row>
    <row r="960">
      <c r="A960" t="inlineStr">
        <is>
          <t>val-fr-5</t>
        </is>
      </c>
      <c r="B960" t="inlineStr">
        <is>
          <t>phrase_these</t>
        </is>
      </c>
      <c r="C960" t="inlineStr">
        <is>
          <t>fr</t>
        </is>
      </c>
      <c r="D960"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0" t="inlineStr">
        <is>
          <t>2026-10-30T15:06:43+00:00</t>
        </is>
      </c>
      <c r="F960" t="inlineStr">
        <is>
          <t>{"Keyword": "utm", "Search Volume": "5400", "CPC": "3.31", "Competition": "0.01", "Number of Results": "107", "Trends": "0.81,0.66,0.66,0.66,0.44,0.66,0.66,0.66,0.54,0.54,0.66,0.66", "Intent": "1,2", "Keyword Difficulty Index": "36"}</t>
        </is>
      </c>
      <c r="G960" t="inlineStr">
        <is>
          <t>Raw (Semrush)</t>
        </is>
      </c>
    </row>
    <row r="961">
      <c r="A961" t="inlineStr">
        <is>
          <t>val-fr-5</t>
        </is>
      </c>
      <c r="B961" t="inlineStr">
        <is>
          <t>phrase_these</t>
        </is>
      </c>
      <c r="C961" t="inlineStr">
        <is>
          <t>fr</t>
        </is>
      </c>
      <c r="D961"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1" t="inlineStr">
        <is>
          <t>2026-10-30T15:06:43+00:00</t>
        </is>
      </c>
      <c r="F961" t="inlineStr">
        <is>
          <t>{"Keyword": "utm builder", "Search Volume": "1600", "CPC": "48.33", "Competition": "0.04", "Number of Results": "77", "Trends": "0.30,0.65,0.82,0.65,0.44,0.55,0.55,0.65,0.55,0.55,0.55,0.44", "Intent": "1", "Keyword Difficulty Index": "51"}</t>
        </is>
      </c>
      <c r="G961" t="inlineStr">
        <is>
          <t>Raw (Semrush)</t>
        </is>
      </c>
    </row>
    <row r="962">
      <c r="A962" t="inlineStr">
        <is>
          <t>val-fr-5</t>
        </is>
      </c>
      <c r="B962" t="inlineStr">
        <is>
          <t>phrase_these</t>
        </is>
      </c>
      <c r="C962" t="inlineStr">
        <is>
          <t>fr</t>
        </is>
      </c>
      <c r="D962"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2" t="inlineStr">
        <is>
          <t>2026-10-30T15:06:43+00:00</t>
        </is>
      </c>
      <c r="F962" t="inlineStr">
        <is>
          <t>{"Keyword": "validateur robots.txt", "Search Volume": "0", "CPC": "0", "Competition": "0", "Number of Results": "0", "Trends": "0.00,0.00,0.00,0.00,0.00,0.00,0.00,0.00,0.00,0.00,0.00,0.00", "Intent": "", "Keyword Difficulty Index": "0"}</t>
        </is>
      </c>
      <c r="G962" t="inlineStr">
        <is>
          <t>Raw (Semrush)</t>
        </is>
      </c>
    </row>
    <row r="963">
      <c r="A963" t="inlineStr">
        <is>
          <t>val-fr-5</t>
        </is>
      </c>
      <c r="B963" t="inlineStr">
        <is>
          <t>phrase_these</t>
        </is>
      </c>
      <c r="C963" t="inlineStr">
        <is>
          <t>fr</t>
        </is>
      </c>
      <c r="D963"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3" t="inlineStr">
        <is>
          <t>2026-10-30T15:06:43+00:00</t>
        </is>
      </c>
      <c r="F963" t="inlineStr">
        <is>
          <t>{"Keyword": "vendre des formations en ligne", "Search Volume": "260", "CPC": "1.83", "Competition": "0.58", "Number of Results": "127", "Trends": "0.82,0.82,1.00,1.00,0.82,0.66,0.53,0.35,1.00,0.82,0.53,0.28", "Intent": "1", "Keyword Difficulty Index": "10"}</t>
        </is>
      </c>
      <c r="G963" t="inlineStr">
        <is>
          <t>Raw (Semrush)</t>
        </is>
      </c>
    </row>
    <row r="964">
      <c r="A964" t="inlineStr">
        <is>
          <t>val-fr-5</t>
        </is>
      </c>
      <c r="B964" t="inlineStr">
        <is>
          <t>phrase_these</t>
        </is>
      </c>
      <c r="C964" t="inlineStr">
        <is>
          <t>fr</t>
        </is>
      </c>
      <c r="D964"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4" t="inlineStr">
        <is>
          <t>2026-10-30T15:06:43+00:00</t>
        </is>
      </c>
      <c r="F964" t="inlineStr">
        <is>
          <t>{"Keyword": "vitesse site web", "Search Volume": "210", "CPC": "1.16", "Competition": "0.23", "Number of Results": "0", "Trends": "0.43,0.66,0.53,0.53,0.43,0.43,0.35,0.43,1.00,1.00,0.82,0.82", "Intent": "1", "Keyword Difficulty Index": "31"}</t>
        </is>
      </c>
      <c r="G964" t="inlineStr">
        <is>
          <t>Raw (Semrush)</t>
        </is>
      </c>
    </row>
    <row r="965">
      <c r="A965" t="inlineStr">
        <is>
          <t>val-fr-5</t>
        </is>
      </c>
      <c r="B965" t="inlineStr">
        <is>
          <t>phrase_these</t>
        </is>
      </c>
      <c r="C965" t="inlineStr">
        <is>
          <t>fr</t>
        </is>
      </c>
      <c r="D965"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5" t="inlineStr">
        <is>
          <t>2026-10-30T15:06:43+00:00</t>
        </is>
      </c>
      <c r="F965" t="inlineStr">
        <is>
          <t>{"Keyword": "vérifier autorité domaine", "Search Volume": "0", "CPC": "0", "Competition": "0", "Number of Results": "0", "Trends": "0.00,0.00,0.00,0.00,0.00,0.00,0.00,0.00,0.00,0.00,0.00,0.00", "Intent": "", "Keyword Difficulty Index": "0"}</t>
        </is>
      </c>
      <c r="G965" t="inlineStr">
        <is>
          <t>Raw (Semrush)</t>
        </is>
      </c>
    </row>
    <row r="966">
      <c r="A966" t="inlineStr">
        <is>
          <t>val-fr-5</t>
        </is>
      </c>
      <c r="B966" t="inlineStr">
        <is>
          <t>phrase_these</t>
        </is>
      </c>
      <c r="C966" t="inlineStr">
        <is>
          <t>fr</t>
        </is>
      </c>
      <c r="D966"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6" t="inlineStr">
        <is>
          <t>2026-10-30T15:06:43+00:00</t>
        </is>
      </c>
      <c r="F966" t="inlineStr">
        <is>
          <t>{"Keyword": "vérifier certificat ssl", "Search Volume": "30", "CPC": "0.91", "Competition": "0.25", "Number of Results": "0", "Trends": "0.03,0.03,0.04,0.03,0.03,0.02,0.02,0.02,0.02,0.02,0.03,0.02", "Intent": "", "Keyword Difficulty Index": "0"}</t>
        </is>
      </c>
      <c r="G966" t="inlineStr">
        <is>
          <t>Raw (Semrush)</t>
        </is>
      </c>
    </row>
    <row r="967">
      <c r="A967" t="inlineStr">
        <is>
          <t>val-fr-5</t>
        </is>
      </c>
      <c r="B967" t="inlineStr">
        <is>
          <t>phrase_these</t>
        </is>
      </c>
      <c r="C967" t="inlineStr">
        <is>
          <t>fr</t>
        </is>
      </c>
      <c r="D967"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7" t="inlineStr">
        <is>
          <t>2026-10-30T15:06:43+00:00</t>
        </is>
      </c>
      <c r="F967" t="inlineStr">
        <is>
          <t>{"Keyword": "vérifier contenu dupliqué", "Search Volume": "20", "CPC": "0", "Competition": "0.33", "Number of Results": "0", "Trends": "0.40,0.40,0.40,0.40,0.40,0.40,0.40,0.40,0.40,0.40,0.40,0.40", "Intent": "", "Keyword Difficulty Index": "0"}</t>
        </is>
      </c>
      <c r="G967" t="inlineStr">
        <is>
          <t>Raw (Semrush)</t>
        </is>
      </c>
    </row>
    <row r="968">
      <c r="A968" t="inlineStr">
        <is>
          <t>val-fr-5</t>
        </is>
      </c>
      <c r="B968" t="inlineStr">
        <is>
          <t>phrase_these</t>
        </is>
      </c>
      <c r="C968" t="inlineStr">
        <is>
          <t>fr</t>
        </is>
      </c>
      <c r="D968"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8" t="inlineStr">
        <is>
          <t>2026-10-30T15:06:43+00:00</t>
        </is>
      </c>
      <c r="F968" t="inlineStr">
        <is>
          <t>{"Keyword": "vérifier dns", "Search Volume": "20", "CPC": "0", "Competition": "0.07", "Number of Results": "0", "Trends": "0.42,0.28,0.28,0.57,0.42,0.42,0.28,0.28,0.28,0.28,0.28,0.28", "Intent": "", "Keyword Difficulty Index": "0"}</t>
        </is>
      </c>
      <c r="G968" t="inlineStr">
        <is>
          <t>Raw (Semrush)</t>
        </is>
      </c>
    </row>
    <row r="969">
      <c r="A969" t="inlineStr">
        <is>
          <t>val-fr-5</t>
        </is>
      </c>
      <c r="B969" t="inlineStr">
        <is>
          <t>phrase_these</t>
        </is>
      </c>
      <c r="C969" t="inlineStr">
        <is>
          <t>fr</t>
        </is>
      </c>
      <c r="D969"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69" t="inlineStr">
        <is>
          <t>2026-10-30T15:06:43+00:00</t>
        </is>
      </c>
      <c r="F969" t="inlineStr">
        <is>
          <t>{"Keyword": "vérifier domaine", "Search Volume": "40", "CPC": "0.92", "Competition": "0.71", "Number of Results": "0", "Trends": "0.06,0.05,0.05,0.05,0.04,0.05,0.12,0.04,0.05,0.04,0.05,0.05", "Intent": "", "Keyword Difficulty Index": "0"}</t>
        </is>
      </c>
      <c r="G969" t="inlineStr">
        <is>
          <t>Raw (Semrush)</t>
        </is>
      </c>
    </row>
    <row r="970">
      <c r="A970" t="inlineStr">
        <is>
          <t>val-fr-5</t>
        </is>
      </c>
      <c r="B970" t="inlineStr">
        <is>
          <t>phrase_these</t>
        </is>
      </c>
      <c r="C970" t="inlineStr">
        <is>
          <t>fr</t>
        </is>
      </c>
      <c r="D970"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70" t="inlineStr">
        <is>
          <t>2026-10-30T15:06:43+00:00</t>
        </is>
      </c>
      <c r="F970" t="inlineStr">
        <is>
          <t>{"Keyword": "vérifier lien nofollow", "Search Volume": "0", "CPC": "0", "Competition": "0", "Number of Results": "0", "Trends": "0.00,0.00,0.00,0.00,0.00,0.00,0.00,0.00,0.00,0.00,0.00,0.00", "Intent": "", "Keyword Difficulty Index": "0"}</t>
        </is>
      </c>
      <c r="G970" t="inlineStr">
        <is>
          <t>Raw (Semrush)</t>
        </is>
      </c>
    </row>
    <row r="971">
      <c r="A971" t="inlineStr">
        <is>
          <t>val-fr-5</t>
        </is>
      </c>
      <c r="B971" t="inlineStr">
        <is>
          <t>phrase_these</t>
        </is>
      </c>
      <c r="C971" t="inlineStr">
        <is>
          <t>fr</t>
        </is>
      </c>
      <c r="D971"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71" t="inlineStr">
        <is>
          <t>2026-10-30T15:06:43+00:00</t>
        </is>
      </c>
      <c r="F971" t="inlineStr">
        <is>
          <t>{"Keyword": "vérifier liens cassés", "Search Volume": "0", "CPC": "0", "Competition": "0", "Number of Results": "0", "Trends": "0.00,0.00,0.00,0.00,0.00,0.00,0.00,0.00,0.00,0.00,0.00,0.00", "Intent": "", "Keyword Difficulty Index": "0"}</t>
        </is>
      </c>
      <c r="G971" t="inlineStr">
        <is>
          <t>Raw (Semrush)</t>
        </is>
      </c>
    </row>
    <row r="972">
      <c r="A972" t="inlineStr">
        <is>
          <t>val-fr-5</t>
        </is>
      </c>
      <c r="B972" t="inlineStr">
        <is>
          <t>phrase_these</t>
        </is>
      </c>
      <c r="C972" t="inlineStr">
        <is>
          <t>fr</t>
        </is>
      </c>
      <c r="D972"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72" t="inlineStr">
        <is>
          <t>2026-10-30T15:06:43+00:00</t>
        </is>
      </c>
      <c r="F972" t="inlineStr">
        <is>
          <t>{"Keyword": "vérifier redirection", "Search Volume": "0", "CPC": "0", "Competition": "0", "Number of Results": "0", "Trends": "0.00,0.00,0.00,0.00,0.00,0.00,0.00,0.00,0.00,0.00,0.00,0.00", "Intent": "", "Keyword Difficulty Index": "0"}</t>
        </is>
      </c>
      <c r="G972" t="inlineStr">
        <is>
          <t>Raw (Semrush)</t>
        </is>
      </c>
    </row>
    <row r="973">
      <c r="A973" t="inlineStr">
        <is>
          <t>val-fr-5</t>
        </is>
      </c>
      <c r="B973" t="inlineStr">
        <is>
          <t>phrase_these</t>
        </is>
      </c>
      <c r="C973" t="inlineStr">
        <is>
          <t>fr</t>
        </is>
      </c>
      <c r="D973"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73" t="inlineStr">
        <is>
          <t>2026-10-30T15:06:43+00:00</t>
        </is>
      </c>
      <c r="F973" t="inlineStr">
        <is>
          <t>{"Keyword": "vérifier robots.txt", "Search Volume": "0", "CPC": "0", "Competition": "0", "Number of Results": "0", "Trends": "0.00,0.00,0.00,0.00,0.00,0.00,0.00,0.00,0.00,0.00,0.00,0.00", "Intent": "", "Keyword Difficulty Index": "0"}</t>
        </is>
      </c>
      <c r="G973" t="inlineStr">
        <is>
          <t>Raw (Semrush)</t>
        </is>
      </c>
    </row>
    <row r="974">
      <c r="A974" t="inlineStr">
        <is>
          <t>val-fr-5</t>
        </is>
      </c>
      <c r="B974" t="inlineStr">
        <is>
          <t>phrase_these</t>
        </is>
      </c>
      <c r="C974" t="inlineStr">
        <is>
          <t>fr</t>
        </is>
      </c>
      <c r="D974"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74" t="inlineStr">
        <is>
          <t>2026-10-30T15:06:43+00:00</t>
        </is>
      </c>
      <c r="F974" t="inlineStr">
        <is>
          <t>{"Keyword": "vérifier sitemap", "Search Volume": "20", "CPC": "0", "Competition": "0.33", "Number of Results": "0", "Trends": "0.22,0.22,0.22,0.22,0.22,0.22,0.22,0.22,0.22,0.22,0.22,0.22", "Intent": "", "Keyword Difficulty Index": "0"}</t>
        </is>
      </c>
      <c r="G974" t="inlineStr">
        <is>
          <t>Raw (Semrush)</t>
        </is>
      </c>
    </row>
    <row r="975">
      <c r="A975" t="inlineStr">
        <is>
          <t>val-fr-5</t>
        </is>
      </c>
      <c r="B975" t="inlineStr">
        <is>
          <t>phrase_these</t>
        </is>
      </c>
      <c r="C975" t="inlineStr">
        <is>
          <t>fr</t>
        </is>
      </c>
      <c r="D975"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75" t="inlineStr">
        <is>
          <t>2026-10-30T15:06:43+00:00</t>
        </is>
      </c>
      <c r="F975" t="inlineStr">
        <is>
          <t>{"Keyword": "webdesigner", "Search Volume": "2400", "CPC": "1.87", "Competition": "0.38", "Number of Results": "134", "Trends": "0.29,0.35,0.35,0.35,0.29,0.35,0.35,0.35,0.29,0.29,0.23,0.23", "Intent": "0", "Keyword Difficulty Index": "25"}</t>
        </is>
      </c>
      <c r="G975" t="inlineStr">
        <is>
          <t>Raw (Semrush)</t>
        </is>
      </c>
    </row>
    <row r="976">
      <c r="A976" t="inlineStr">
        <is>
          <t>val-fr-5</t>
        </is>
      </c>
      <c r="B976" t="inlineStr">
        <is>
          <t>phrase_these</t>
        </is>
      </c>
      <c r="C976" t="inlineStr">
        <is>
          <t>fr</t>
        </is>
      </c>
      <c r="D976"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76" t="inlineStr">
        <is>
          <t>2026-10-30T15:06:43+00:00</t>
        </is>
      </c>
      <c r="F976" t="inlineStr">
        <is>
          <t>{"Keyword": "école de langue allemande", "Search Volume": "0", "CPC": "0", "Competition": "0", "Number of Results": "0", "Trends": "0.00,0.00,0.00,0.00,0.00,0.00,0.00,0.00,0.00,0.00,0.00,0.00", "Intent": "", "Keyword Difficulty Index": "0"}</t>
        </is>
      </c>
      <c r="G976" t="inlineStr">
        <is>
          <t>Raw (Semrush)</t>
        </is>
      </c>
    </row>
    <row r="977">
      <c r="A977" t="inlineStr">
        <is>
          <t>val-fr-5</t>
        </is>
      </c>
      <c r="B977" t="inlineStr">
        <is>
          <t>phrase_these</t>
        </is>
      </c>
      <c r="C977" t="inlineStr">
        <is>
          <t>fr</t>
        </is>
      </c>
      <c r="D977"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77" t="inlineStr">
        <is>
          <t>2026-10-30T15:06:43+00:00</t>
        </is>
      </c>
      <c r="F977" t="inlineStr">
        <is>
          <t>{"Keyword": "éditeur de texte en ligne", "Search Volume": "260", "CPC": "0.54", "Competition": "0.11", "Number of Results": "151", "Trends": "0.29,0.66,0.36,0.36,0.44,0.29,0.54,0.36,0.29,0.54,0.29,0.29", "Intent": "0", "Keyword Difficulty Index": "57"}</t>
        </is>
      </c>
      <c r="G977" t="inlineStr">
        <is>
          <t>Raw (Semrush)</t>
        </is>
      </c>
    </row>
    <row r="978">
      <c r="A978" t="inlineStr">
        <is>
          <t>val-fr-5</t>
        </is>
      </c>
      <c r="B978" t="inlineStr">
        <is>
          <t>phrase_these</t>
        </is>
      </c>
      <c r="C978" t="inlineStr">
        <is>
          <t>fr</t>
        </is>
      </c>
      <c r="D978" t="inlineStr">
        <is>
          <t>site web fintech;site web immobilier;site web kiné;site web médical;site web santé;site web université;site web école;site web école de langues;site web école privée;site web école supérieure;site web établissement scolaire;sitemap generator;sitemap url extractor;sitemap validator;sitemap xml;slug seo;slug url;solution edtech;sous traitance web maroc;sous-traitance développement web;sous-traitance développement web maroc;ssl checker;startup edtech;structure hn;supprimer caractères invisibles;supprimer lignes en double;supprimer paramètres url;sur mesure ou wordpress;test compatibilité mobile;test core web vitals;test dns;test données structurées;test en-têtes http;test lisibilité;test mobile friendly;test redirection;test robots.txt;test site web gratuit;test ssl;test vitesse site;test vitesse site web;tester données structurées;tester robots.txt;tester vitesse site web;texte alternatif image;texte lorem ipsum;tjm développeur web;trier lignes;trouver mots clés;téléconsultation site;url</t>
        </is>
      </c>
      <c r="E978" t="inlineStr">
        <is>
          <t>2026-10-30T15:06:43+00:00</t>
        </is>
      </c>
      <c r="F978" t="inlineStr">
        <is>
          <t>{"Keyword": "éléments de réassurance site web", "Search Volume": "70", "CPC": "0", "Competition": "0", "Number of Results": "111", "Trends": "1.00,0.29,0.00,0.00,0.00", "Intent": "1", "Keyword Difficulty Index": "17"}</t>
        </is>
      </c>
      <c r="G978" t="inlineStr">
        <is>
          <t>Raw (Semrush)</t>
        </is>
      </c>
    </row>
    <row r="979">
      <c r="A979" t="inlineStr">
        <is>
          <t>val-ie-0</t>
        </is>
      </c>
      <c r="B979" t="inlineStr">
        <is>
          <t>phrase_these</t>
        </is>
      </c>
      <c r="C979" t="inlineStr">
        <is>
          <t>ie</t>
        </is>
      </c>
      <c r="D979" t="inlineStr">
        <is>
          <t>agence web dublin;création site web dublin;développement web dublin;web development company dublin</t>
        </is>
      </c>
      <c r="E979" t="inlineStr">
        <is>
          <t>2026-10-30T15:06:44+00:00</t>
        </is>
      </c>
      <c r="F979" t="inlineStr">
        <is>
          <t>{"Keyword": "web development company dublin", "Search Volume": "260", "CPC": "3.61", "Competition": "0.14", "Number of Results": "115", "Trends": "0.82,0.82,0.44,0.36,0.12,0.10,1.00,0.29,0.24,0.06,0.19,0.12", "Intent": "0", "Keyword Difficulty Index": "58"}</t>
        </is>
      </c>
      <c r="G979" t="inlineStr">
        <is>
          <t>Raw (Semrush)</t>
        </is>
      </c>
    </row>
    <row r="980">
      <c r="A980" t="inlineStr">
        <is>
          <t>val-it-0</t>
        </is>
      </c>
      <c r="B980" t="inlineStr">
        <is>
          <t>phrase_these</t>
        </is>
      </c>
      <c r="C980" t="inlineStr">
        <is>
          <t>it</t>
        </is>
      </c>
      <c r="D980" t="inlineStr">
        <is>
          <t>agence web milan;agence web rome;création site web milan;création site web rome;développement web milan;développement web rome;sviluppo siti web milano;sviluppo siti web roma</t>
        </is>
      </c>
      <c r="E980" t="inlineStr">
        <is>
          <t>2026-10-30T15:06:45+00:00</t>
        </is>
      </c>
      <c r="F980" t="inlineStr">
        <is>
          <t>{"Keyword": "sviluppo siti web milano", "Search Volume": "210", "CPC": "2.85", "Competition": "0.66", "Number of Results": "137", "Trends": "0.80,0.80,0.80,0.80,0.80,1.00,1.00,1.00,0.80,0.65,0.42,0.42", "Intent": "0", "Keyword Difficulty Index": "23"}</t>
        </is>
      </c>
      <c r="G980" t="inlineStr">
        <is>
          <t>Raw (Semrush)</t>
        </is>
      </c>
    </row>
    <row r="981">
      <c r="A981" t="inlineStr">
        <is>
          <t>val-it-0</t>
        </is>
      </c>
      <c r="B981" t="inlineStr">
        <is>
          <t>phrase_these</t>
        </is>
      </c>
      <c r="C981" t="inlineStr">
        <is>
          <t>it</t>
        </is>
      </c>
      <c r="D981" t="inlineStr">
        <is>
          <t>agence web milan;agence web rome;création site web milan;création site web rome;développement web milan;développement web rome;sviluppo siti web milano;sviluppo siti web roma</t>
        </is>
      </c>
      <c r="E981" t="inlineStr">
        <is>
          <t>2026-10-30T15:06:45+00:00</t>
        </is>
      </c>
      <c r="F981" t="inlineStr">
        <is>
          <t>{"Keyword": "sviluppo siti web roma", "Search Volume": "110", "CPC": "4.22", "Competition": "0.33", "Number of Results": "141", "Trends": "0.80,0.42,0.26,0.26,0.26,0.34,0.26,0.34,0.26,0.53,0.65,0.42", "Intent": "0", "Keyword Difficulty Index": "16"}</t>
        </is>
      </c>
      <c r="G981" t="inlineStr">
        <is>
          <t>Raw (Semrush)</t>
        </is>
      </c>
    </row>
    <row r="982">
      <c r="A982" t="inlineStr">
        <is>
          <t>val-lu-0</t>
        </is>
      </c>
      <c r="B982" t="inlineStr">
        <is>
          <t>phrase_these</t>
        </is>
      </c>
      <c r="C982" t="inlineStr">
        <is>
          <t>lu</t>
        </is>
      </c>
      <c r="D982"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82" t="inlineStr">
        <is>
          <t>2026-10-30T15:06:47+00:00</t>
        </is>
      </c>
      <c r="F982" t="inlineStr">
        <is>
          <t>{"Keyword": "agence digitale", "Search Volume": "20", "CPC": "0", "Competition": "0.69", "Number of Results": "0", "Trends": "0.20,0.80,0.20,0.20,0.20,0.20,0.20,0.20,0.80,1.00,0.20,0.20", "Intent": "", "Keyword Difficulty Index": "0"}</t>
        </is>
      </c>
      <c r="G982" t="inlineStr">
        <is>
          <t>Raw (Semrush)</t>
        </is>
      </c>
    </row>
    <row r="983">
      <c r="A983" t="inlineStr">
        <is>
          <t>val-lu-0</t>
        </is>
      </c>
      <c r="B983" t="inlineStr">
        <is>
          <t>phrase_these</t>
        </is>
      </c>
      <c r="C983" t="inlineStr">
        <is>
          <t>lu</t>
        </is>
      </c>
      <c r="D983"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83" t="inlineStr">
        <is>
          <t>2026-10-30T15:06:47+00:00</t>
        </is>
      </c>
      <c r="F983" t="inlineStr">
        <is>
          <t>{"Keyword": "agence seo", "Search Volume": "20", "CPC": "6.03", "Competition": "0.64", "Number of Results": "0", "Trends": "0.25,0.25,0.25,0.50,1.00,0.25,0.25,0.25,0.50,0.25,0.25,0.75", "Intent": "", "Keyword Difficulty Index": "0"}</t>
        </is>
      </c>
      <c r="G983" t="inlineStr">
        <is>
          <t>Raw (Semrush)</t>
        </is>
      </c>
    </row>
    <row r="984">
      <c r="A984" t="inlineStr">
        <is>
          <t>val-lu-0</t>
        </is>
      </c>
      <c r="B984" t="inlineStr">
        <is>
          <t>phrase_these</t>
        </is>
      </c>
      <c r="C984" t="inlineStr">
        <is>
          <t>lu</t>
        </is>
      </c>
      <c r="D984"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84" t="inlineStr">
        <is>
          <t>2026-10-30T15:06:47+00:00</t>
        </is>
      </c>
      <c r="F984" t="inlineStr">
        <is>
          <t>{"Keyword": "agence web", "Search Volume": "30", "CPC": "2.83", "Competition": "0.36", "Number of Results": "133", "Trends": "0.33,0.78,0.11,0.11,0.78,0.11,0.22,0.11,0.11,1.00,0.11,1.00", "Intent": "1", "Keyword Difficulty Index": "44"}</t>
        </is>
      </c>
      <c r="G984" t="inlineStr">
        <is>
          <t>Raw (Semrush)</t>
        </is>
      </c>
    </row>
    <row r="985">
      <c r="A985" t="inlineStr">
        <is>
          <t>val-lu-0</t>
        </is>
      </c>
      <c r="B985" t="inlineStr">
        <is>
          <t>phrase_these</t>
        </is>
      </c>
      <c r="C985" t="inlineStr">
        <is>
          <t>lu</t>
        </is>
      </c>
      <c r="D985"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85" t="inlineStr">
        <is>
          <t>2026-10-30T15:06:47+00:00</t>
        </is>
      </c>
      <c r="F985" t="inlineStr">
        <is>
          <t>{"Keyword": "agence web luxembourg", "Search Volume": "20", "CPC": "2.66", "Competition": "0.11", "Number of Results": "0", "Trends": "1.00,0.25,0.50,0.25,0.25,0.25,0.25,0.25,0.50,0.75,0.25,0.50", "Intent": "", "Keyword Difficulty Index": "0"}</t>
        </is>
      </c>
      <c r="G985" t="inlineStr">
        <is>
          <t>Raw (Semrush)</t>
        </is>
      </c>
    </row>
    <row r="986">
      <c r="A986" t="inlineStr">
        <is>
          <t>val-lu-0</t>
        </is>
      </c>
      <c r="B986" t="inlineStr">
        <is>
          <t>phrase_these</t>
        </is>
      </c>
      <c r="C986" t="inlineStr">
        <is>
          <t>lu</t>
        </is>
      </c>
      <c r="D986"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86" t="inlineStr">
        <is>
          <t>2026-10-30T15:06:47+00:00</t>
        </is>
      </c>
      <c r="F986" t="inlineStr">
        <is>
          <t>{"Keyword": "conception site web", "Search Volume": "0", "CPC": "0", "Competition": "0", "Number of Results": "0", "Trends": "0.00,0.00,0.00,0.00,0.00,0.00,0.00,0.00,0.00,0.00,0.00,0.00", "Intent": "", "Keyword Difficulty Index": "0"}</t>
        </is>
      </c>
      <c r="G986" t="inlineStr">
        <is>
          <t>Raw (Semrush)</t>
        </is>
      </c>
    </row>
    <row r="987">
      <c r="A987" t="inlineStr">
        <is>
          <t>val-lu-0</t>
        </is>
      </c>
      <c r="B987" t="inlineStr">
        <is>
          <t>phrase_these</t>
        </is>
      </c>
      <c r="C987" t="inlineStr">
        <is>
          <t>lu</t>
        </is>
      </c>
      <c r="D987"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87" t="inlineStr">
        <is>
          <t>2026-10-30T15:06:47+00:00</t>
        </is>
      </c>
      <c r="F987" t="inlineStr">
        <is>
          <t>{"Keyword": "création application web", "Search Volume": "0", "CPC": "0", "Competition": "0", "Number of Results": "0", "Trends": "0.00,0.00,0.00,0.00,0.00,0.00,0.00,0.00,0.00,0.00,0.00,0.00", "Intent": "", "Keyword Difficulty Index": "0"}</t>
        </is>
      </c>
      <c r="G987" t="inlineStr">
        <is>
          <t>Raw (Semrush)</t>
        </is>
      </c>
    </row>
    <row r="988">
      <c r="A988" t="inlineStr">
        <is>
          <t>val-lu-0</t>
        </is>
      </c>
      <c r="B988" t="inlineStr">
        <is>
          <t>phrase_these</t>
        </is>
      </c>
      <c r="C988" t="inlineStr">
        <is>
          <t>lu</t>
        </is>
      </c>
      <c r="D988"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88" t="inlineStr">
        <is>
          <t>2026-10-30T15:06:47+00:00</t>
        </is>
      </c>
      <c r="F988" t="inlineStr">
        <is>
          <t>{"Keyword": "création site e-commerce", "Search Volume": "0", "CPC": "0", "Competition": "0", "Number of Results": "0", "Trends": "0.00,0.00,0.00,0.00,0.00,0.00,0.00,0.00,0.00,0.00,0.00,0.00", "Intent": "", "Keyword Difficulty Index": "0"}</t>
        </is>
      </c>
      <c r="G988" t="inlineStr">
        <is>
          <t>Raw (Semrush)</t>
        </is>
      </c>
    </row>
    <row r="989">
      <c r="A989" t="inlineStr">
        <is>
          <t>val-lu-0</t>
        </is>
      </c>
      <c r="B989" t="inlineStr">
        <is>
          <t>phrase_these</t>
        </is>
      </c>
      <c r="C989" t="inlineStr">
        <is>
          <t>lu</t>
        </is>
      </c>
      <c r="D989"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89" t="inlineStr">
        <is>
          <t>2026-10-30T15:06:47+00:00</t>
        </is>
      </c>
      <c r="F989" t="inlineStr">
        <is>
          <t>{"Keyword": "création site internet", "Search Volume": "20", "CPC": "4.08", "Competition": "0.53", "Number of Results": "0", "Trends": "1.00,0.20,0.20,0.20,0.40,0.20,0.20,0.20,0.40,0.20,0.20,0.20", "Intent": "", "Keyword Difficulty Index": "0"}</t>
        </is>
      </c>
      <c r="G989" t="inlineStr">
        <is>
          <t>Raw (Semrush)</t>
        </is>
      </c>
    </row>
    <row r="990">
      <c r="A990" t="inlineStr">
        <is>
          <t>val-lu-0</t>
        </is>
      </c>
      <c r="B990" t="inlineStr">
        <is>
          <t>phrase_these</t>
        </is>
      </c>
      <c r="C990" t="inlineStr">
        <is>
          <t>lu</t>
        </is>
      </c>
      <c r="D990"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0" t="inlineStr">
        <is>
          <t>2026-10-30T15:06:47+00:00</t>
        </is>
      </c>
      <c r="F990" t="inlineStr">
        <is>
          <t>{"Keyword": "création site internet luxembourg", "Search Volume": "40", "CPC": "2.87", "Competition": "0.15", "Number of Results": "115", "Trends": "0.14,0.14,1.00,1.00,0.14,0.43,1.00,0.14,1.00,0.14,0.14,0.29", "Intent": "0", "Keyword Difficulty Index": "7"}</t>
        </is>
      </c>
      <c r="G990" t="inlineStr">
        <is>
          <t>Raw (Semrush)</t>
        </is>
      </c>
    </row>
    <row r="991">
      <c r="A991" t="inlineStr">
        <is>
          <t>val-lu-0</t>
        </is>
      </c>
      <c r="B991" t="inlineStr">
        <is>
          <t>phrase_these</t>
        </is>
      </c>
      <c r="C991" t="inlineStr">
        <is>
          <t>lu</t>
        </is>
      </c>
      <c r="D991"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1" t="inlineStr">
        <is>
          <t>2026-10-30T15:06:47+00:00</t>
        </is>
      </c>
      <c r="F991" t="inlineStr">
        <is>
          <t>{"Keyword": "création site vitrine", "Search Volume": "10", "CPC": "0", "Competition": "1", "Number of Results": "0", "Trends": "0.00,0.00,0.20,0.20,0.00,0.00,0.00,0.00,0.00,0.20,0.00,1.00", "Intent": "", "Keyword Difficulty Index": "0"}</t>
        </is>
      </c>
      <c r="G991" t="inlineStr">
        <is>
          <t>Raw (Semrush)</t>
        </is>
      </c>
    </row>
    <row r="992">
      <c r="A992" t="inlineStr">
        <is>
          <t>val-lu-0</t>
        </is>
      </c>
      <c r="B992" t="inlineStr">
        <is>
          <t>phrase_these</t>
        </is>
      </c>
      <c r="C992" t="inlineStr">
        <is>
          <t>lu</t>
        </is>
      </c>
      <c r="D992"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2" t="inlineStr">
        <is>
          <t>2026-10-30T15:06:47+00:00</t>
        </is>
      </c>
      <c r="F992" t="inlineStr">
        <is>
          <t>{"Keyword": "création site web", "Search Volume": "20", "CPC": "4.15", "Competition": "0.9", "Number of Results": "0", "Trends": "0.14,0.14,1.00,0.14,0.14,0.14,0.43,0.14,0.14,0.14,0.57,0.14", "Intent": "", "Keyword Difficulty Index": "0"}</t>
        </is>
      </c>
      <c r="G992" t="inlineStr">
        <is>
          <t>Raw (Semrush)</t>
        </is>
      </c>
    </row>
    <row r="993">
      <c r="A993" t="inlineStr">
        <is>
          <t>val-lu-0</t>
        </is>
      </c>
      <c r="B993" t="inlineStr">
        <is>
          <t>phrase_these</t>
        </is>
      </c>
      <c r="C993" t="inlineStr">
        <is>
          <t>lu</t>
        </is>
      </c>
      <c r="D993"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3" t="inlineStr">
        <is>
          <t>2026-10-30T15:06:47+00:00</t>
        </is>
      </c>
      <c r="F993" t="inlineStr">
        <is>
          <t>{"Keyword": "création site web luxembourg", "Search Volume": "20", "CPC": "2.54", "Competition": "0.9", "Number of Results": "0", "Trends": "0.67,0.33,0.33,1.00,1.00,0.67,1.00,0.33,0.33,0.33,0.33,0.67", "Intent": "", "Keyword Difficulty Index": "0"}</t>
        </is>
      </c>
      <c r="G993" t="inlineStr">
        <is>
          <t>Raw (Semrush)</t>
        </is>
      </c>
    </row>
    <row r="994">
      <c r="A994" t="inlineStr">
        <is>
          <t>val-lu-0</t>
        </is>
      </c>
      <c r="B994" t="inlineStr">
        <is>
          <t>phrase_these</t>
        </is>
      </c>
      <c r="C994" t="inlineStr">
        <is>
          <t>lu</t>
        </is>
      </c>
      <c r="D994"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4" t="inlineStr">
        <is>
          <t>2026-10-30T15:06:47+00:00</t>
        </is>
      </c>
      <c r="F994" t="inlineStr">
        <is>
          <t>{"Keyword": "développement application web", "Search Volume": "0", "CPC": "0", "Competition": "0", "Number of Results": "0", "Trends": "0.00,0.00,0.00,0.00,0.00,0.00,0.00,0.00,0.00,0.00,0.00,0.00", "Intent": "", "Keyword Difficulty Index": "0"}</t>
        </is>
      </c>
      <c r="G994" t="inlineStr">
        <is>
          <t>Raw (Semrush)</t>
        </is>
      </c>
    </row>
    <row r="995">
      <c r="A995" t="inlineStr">
        <is>
          <t>val-lu-0</t>
        </is>
      </c>
      <c r="B995" t="inlineStr">
        <is>
          <t>phrase_these</t>
        </is>
      </c>
      <c r="C995" t="inlineStr">
        <is>
          <t>lu</t>
        </is>
      </c>
      <c r="D995"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5" t="inlineStr">
        <is>
          <t>2026-10-30T15:06:47+00:00</t>
        </is>
      </c>
      <c r="F995" t="inlineStr">
        <is>
          <t>{"Keyword": "développement logiciel sur mesure", "Search Volume": "10", "CPC": "0", "Competition": "0", "Number of Results": "0", "Trends": "0.20,0.20,1.00,0.20,0.20,0.20,0.20,0.00,0.20,0.00,0.00,0.00", "Intent": "", "Keyword Difficulty Index": "0"}</t>
        </is>
      </c>
      <c r="G995" t="inlineStr">
        <is>
          <t>Raw (Semrush)</t>
        </is>
      </c>
    </row>
    <row r="996">
      <c r="A996" t="inlineStr">
        <is>
          <t>val-lu-0</t>
        </is>
      </c>
      <c r="B996" t="inlineStr">
        <is>
          <t>phrase_these</t>
        </is>
      </c>
      <c r="C996" t="inlineStr">
        <is>
          <t>lu</t>
        </is>
      </c>
      <c r="D996"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6" t="inlineStr">
        <is>
          <t>2026-10-30T15:06:47+00:00</t>
        </is>
      </c>
      <c r="F996" t="inlineStr">
        <is>
          <t>{"Keyword": "développeur web freelance", "Search Volume": "10", "CPC": "0", "Competition": "1", "Number of Results": "0", "Trends": "0.00,0.00,0.00,0.00,0.14,1.00,0.00,0.00,0.00,0.00,0.00,0.14", "Intent": "", "Keyword Difficulty Index": "0"}</t>
        </is>
      </c>
      <c r="G996" t="inlineStr">
        <is>
          <t>Raw (Semrush)</t>
        </is>
      </c>
    </row>
    <row r="997">
      <c r="A997" t="inlineStr">
        <is>
          <t>val-lu-0</t>
        </is>
      </c>
      <c r="B997" t="inlineStr">
        <is>
          <t>phrase_these</t>
        </is>
      </c>
      <c r="C997" t="inlineStr">
        <is>
          <t>lu</t>
        </is>
      </c>
      <c r="D997"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7" t="inlineStr">
        <is>
          <t>2026-10-30T15:06:47+00:00</t>
        </is>
      </c>
      <c r="F997" t="inlineStr">
        <is>
          <t>{"Keyword": "prix création site internet", "Search Volume": "30", "CPC": "0", "Competition": "0.33", "Number of Results": "0", "Trends": "0.56,0.11,0.22,0.22,0.11,1.00,0.11,0.33,0.44,0.11,0.11,0.11", "Intent": "", "Keyword Difficulty Index": "0"}</t>
        </is>
      </c>
      <c r="G997" t="inlineStr">
        <is>
          <t>Raw (Semrush)</t>
        </is>
      </c>
    </row>
    <row r="998">
      <c r="A998" t="inlineStr">
        <is>
          <t>val-lu-0</t>
        </is>
      </c>
      <c r="B998" t="inlineStr">
        <is>
          <t>phrase_these</t>
        </is>
      </c>
      <c r="C998" t="inlineStr">
        <is>
          <t>lu</t>
        </is>
      </c>
      <c r="D998"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8" t="inlineStr">
        <is>
          <t>2026-10-30T15:06:47+00:00</t>
        </is>
      </c>
      <c r="F998" t="inlineStr">
        <is>
          <t>{"Keyword": "refonte site web", "Search Volume": "20", "CPC": "0", "Competition": "0.86", "Number of Results": "0", "Trends": "0.29,0.14,0.29,0.43,0.14,0.57,0.43,1.00,0.14,0.14,0.14,0.14", "Intent": "", "Keyword Difficulty Index": "0"}</t>
        </is>
      </c>
      <c r="G998" t="inlineStr">
        <is>
          <t>Raw (Semrush)</t>
        </is>
      </c>
    </row>
    <row r="999">
      <c r="A999" t="inlineStr">
        <is>
          <t>val-lu-0</t>
        </is>
      </c>
      <c r="B999" t="inlineStr">
        <is>
          <t>phrase_these</t>
        </is>
      </c>
      <c r="C999" t="inlineStr">
        <is>
          <t>lu</t>
        </is>
      </c>
      <c r="D999"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999" t="inlineStr">
        <is>
          <t>2026-10-30T15:06:47+00:00</t>
        </is>
      </c>
      <c r="F999" t="inlineStr">
        <is>
          <t>{"Keyword": "référencement naturel", "Search Volume": "20", "CPC": "0", "Competition": "0", "Number of Results": "0", "Trends": "0.44,0.56,0.33,0.11,0.00,0.11,1.00,0.11,0.33,0.11,0.11,0.00", "Intent": "", "Keyword Difficulty Index": "0"}</t>
        </is>
      </c>
      <c r="G999" t="inlineStr">
        <is>
          <t>Raw (Semrush)</t>
        </is>
      </c>
    </row>
    <row r="1000">
      <c r="A1000" t="inlineStr">
        <is>
          <t>val-lu-0</t>
        </is>
      </c>
      <c r="B1000" t="inlineStr">
        <is>
          <t>phrase_these</t>
        </is>
      </c>
      <c r="C1000" t="inlineStr">
        <is>
          <t>lu</t>
        </is>
      </c>
      <c r="D1000"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000" t="inlineStr">
        <is>
          <t>2026-10-30T15:06:47+00:00</t>
        </is>
      </c>
      <c r="F1000" t="inlineStr">
        <is>
          <t>{"Keyword": "site internet professionnel", "Search Volume": "20", "CPC": "0", "Competition": "0.86", "Number of Results": "0", "Trends": "0.33,1.00,0.22,0.11,0.11,0.11,0.11,0.11,0.11,0.11,0.11,0.44", "Intent": "", "Keyword Difficulty Index": "0"}</t>
        </is>
      </c>
      <c r="G1000" t="inlineStr">
        <is>
          <t>Raw (Semrush)</t>
        </is>
      </c>
    </row>
    <row r="1001">
      <c r="A1001" t="inlineStr">
        <is>
          <t>val-lu-0</t>
        </is>
      </c>
      <c r="B1001" t="inlineStr">
        <is>
          <t>phrase_these</t>
        </is>
      </c>
      <c r="C1001" t="inlineStr">
        <is>
          <t>lu</t>
        </is>
      </c>
      <c r="D1001" t="inlineStr">
        <is>
          <t>agence de développement web;agence digitale;agence seo;agence web;agence web luxembourg;agence web maroc;agence web nearshore;agence web offshore;agence web pas cher;conception site web;création application web;création boutique en ligne;création site e-commerce;création site internet;création site internet luxembourg;création site vitrine;création site web;création site web luxembourg;développement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001" t="inlineStr">
        <is>
          <t>2026-10-30T15:06:47+00:00</t>
        </is>
      </c>
      <c r="F1001" t="inlineStr">
        <is>
          <t>{"Keyword": "webdesigner", "Search Volume": "30", "CPC": "3.21", "Competition": "0.65", "Number of Results": "134", "Trends": "0.33,0.11,1.00,0.11,0.78,0.11,0.11,0.78,0.11,0.11,0.11,0.11", "Intent": "0", "Keyword Difficulty Index": "30"}</t>
        </is>
      </c>
      <c r="G1001" t="inlineStr">
        <is>
          <t>Raw (Semrush)</t>
        </is>
      </c>
    </row>
    <row r="1002">
      <c r="A1002" t="inlineStr">
        <is>
          <t>val-ma-0</t>
        </is>
      </c>
      <c r="B1002" t="inlineStr">
        <is>
          <t>phrase_these</t>
        </is>
      </c>
      <c r="C1002" t="inlineStr">
        <is>
          <t>ma</t>
        </is>
      </c>
      <c r="D1002"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02" t="inlineStr">
        <is>
          <t>2026-10-30T15:06:48+00:00</t>
        </is>
      </c>
      <c r="F1002" t="inlineStr">
        <is>
          <t>{"Keyword": "agence création site web casablanca", "Search Volume": "30", "CPC": "0.63", "Competition": "0.07", "Number of Results": "0", "Trends": "0.11,0.11,0.11,0.11,0.11,0.56,0.22,0.22,0.78,0.11,0.11,1.00", "Intent": "", "Keyword Difficulty Index": "0"}</t>
        </is>
      </c>
      <c r="G1002" t="inlineStr">
        <is>
          <t>Raw (Semrush)</t>
        </is>
      </c>
    </row>
    <row r="1003">
      <c r="A1003" t="inlineStr">
        <is>
          <t>val-ma-0</t>
        </is>
      </c>
      <c r="B1003" t="inlineStr">
        <is>
          <t>phrase_these</t>
        </is>
      </c>
      <c r="C1003" t="inlineStr">
        <is>
          <t>ma</t>
        </is>
      </c>
      <c r="D1003"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03" t="inlineStr">
        <is>
          <t>2026-10-30T15:06:48+00:00</t>
        </is>
      </c>
      <c r="F1003" t="inlineStr">
        <is>
          <t>{"Keyword": "agence création site web maroc", "Search Volume": "10", "CPC": "0.5", "Competition": "0.26", "Number of Results": "0", "Trends": "0.33,0.67,0.33,0.33,0.33,0.33,0.33,0.33,0.33,0.33,0.33,1.00", "Intent": "", "Keyword Difficulty Index": "0"}</t>
        </is>
      </c>
      <c r="G1003" t="inlineStr">
        <is>
          <t>Raw (Semrush)</t>
        </is>
      </c>
    </row>
    <row r="1004">
      <c r="A1004" t="inlineStr">
        <is>
          <t>val-ma-0</t>
        </is>
      </c>
      <c r="B1004" t="inlineStr">
        <is>
          <t>phrase_these</t>
        </is>
      </c>
      <c r="C1004" t="inlineStr">
        <is>
          <t>ma</t>
        </is>
      </c>
      <c r="D1004"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04" t="inlineStr">
        <is>
          <t>2026-10-30T15:06:48+00:00</t>
        </is>
      </c>
      <c r="F1004" t="inlineStr">
        <is>
          <t>{"Keyword": "agence de communication agadir", "Search Volume": "140", "CPC": "0.31", "Competition": "0.04", "Number of Results": "0", "Trends": "0.67,0.81,1.00,0.81,0.43,0.52,0.67,1.00,0.43,0.81,0.52,0.43", "Intent": "", "Keyword Difficulty Index": "0"}</t>
        </is>
      </c>
      <c r="G1004" t="inlineStr">
        <is>
          <t>Raw (Semrush)</t>
        </is>
      </c>
    </row>
    <row r="1005">
      <c r="A1005" t="inlineStr">
        <is>
          <t>val-ma-0</t>
        </is>
      </c>
      <c r="B1005" t="inlineStr">
        <is>
          <t>phrase_these</t>
        </is>
      </c>
      <c r="C1005" t="inlineStr">
        <is>
          <t>ma</t>
        </is>
      </c>
      <c r="D1005"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05" t="inlineStr">
        <is>
          <t>2026-10-30T15:06:48+00:00</t>
        </is>
      </c>
      <c r="F1005" t="inlineStr">
        <is>
          <t>{"Keyword": "agence de communication casablanca", "Search Volume": "590", "CPC": "0.44", "Competition": "0.35", "Number of Results": "120", "Trends": "0.88,0.72,0.59,0.48,0.59,0.48,1.00,0.88,0.48,0.48,0.88,0.59", "Intent": "0", "Keyword Difficulty Index": "51"}</t>
        </is>
      </c>
      <c r="G1005" t="inlineStr">
        <is>
          <t>Raw (Semrush)</t>
        </is>
      </c>
    </row>
    <row r="1006">
      <c r="A1006" t="inlineStr">
        <is>
          <t>val-ma-0</t>
        </is>
      </c>
      <c r="B1006" t="inlineStr">
        <is>
          <t>phrase_these</t>
        </is>
      </c>
      <c r="C1006" t="inlineStr">
        <is>
          <t>ma</t>
        </is>
      </c>
      <c r="D1006"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06" t="inlineStr">
        <is>
          <t>2026-10-30T15:06:48+00:00</t>
        </is>
      </c>
      <c r="F1006" t="inlineStr">
        <is>
          <t>{"Keyword": "agence de communication maroc", "Search Volume": "110", "CPC": "0.35", "Competition": "0.19", "Number of Results": "0", "Trends": "1.00,0.82,0.65,0.53,0.65,0.82,0.82,0.65,0.41,0.41,0.53,0.65", "Intent": "", "Keyword Difficulty Index": "0"}</t>
        </is>
      </c>
      <c r="G1006" t="inlineStr">
        <is>
          <t>Raw (Semrush)</t>
        </is>
      </c>
    </row>
    <row r="1007">
      <c r="A1007" t="inlineStr">
        <is>
          <t>val-ma-0</t>
        </is>
      </c>
      <c r="B1007" t="inlineStr">
        <is>
          <t>phrase_these</t>
        </is>
      </c>
      <c r="C1007" t="inlineStr">
        <is>
          <t>ma</t>
        </is>
      </c>
      <c r="D1007"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07" t="inlineStr">
        <is>
          <t>2026-10-30T15:06:48+00:00</t>
        </is>
      </c>
      <c r="F1007" t="inlineStr">
        <is>
          <t>{"Keyword": "agence de communication marrakech", "Search Volume": "1000", "CPC": "0.47", "Competition": "0.09", "Number of Results": "112", "Trends": "0.88,0.88,1.00,0.48,0.72,0.88,0.88,0.88,0.48,0.72,0.72,0.72", "Intent": "0", "Keyword Difficulty Index": "36"}</t>
        </is>
      </c>
      <c r="G1007" t="inlineStr">
        <is>
          <t>Raw (Semrush)</t>
        </is>
      </c>
    </row>
    <row r="1008">
      <c r="A1008" t="inlineStr">
        <is>
          <t>val-ma-0</t>
        </is>
      </c>
      <c r="B1008" t="inlineStr">
        <is>
          <t>phrase_these</t>
        </is>
      </c>
      <c r="C1008" t="inlineStr">
        <is>
          <t>ma</t>
        </is>
      </c>
      <c r="D1008"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08" t="inlineStr">
        <is>
          <t>2026-10-30T15:06:48+00:00</t>
        </is>
      </c>
      <c r="F1008" t="inlineStr">
        <is>
          <t>{"Keyword": "agence de communication rabat", "Search Volume": "390", "CPC": "0.92", "Competition": "0.15", "Number of Results": "113", "Trends": "0.54,0.66,0.66,0.66,0.81,0.81,1.00,0.81,0.54,0.44,0.36,0.29", "Intent": "0", "Keyword Difficulty Index": "26"}</t>
        </is>
      </c>
      <c r="G1008" t="inlineStr">
        <is>
          <t>Raw (Semrush)</t>
        </is>
      </c>
    </row>
    <row r="1009">
      <c r="A1009" t="inlineStr">
        <is>
          <t>val-ma-0</t>
        </is>
      </c>
      <c r="B1009" t="inlineStr">
        <is>
          <t>phrase_these</t>
        </is>
      </c>
      <c r="C1009" t="inlineStr">
        <is>
          <t>ma</t>
        </is>
      </c>
      <c r="D1009"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09" t="inlineStr">
        <is>
          <t>2026-10-30T15:06:48+00:00</t>
        </is>
      </c>
      <c r="F1009" t="inlineStr">
        <is>
          <t>{"Keyword": "agence de communication tanger", "Search Volume": "110", "CPC": "0.61", "Competition": "0.21", "Number of Results": "0", "Trends": "1.00,1.00,1.00,0.65,1.00,0.53,0.41,0.82,0.53,0.18,0.41,0.41", "Intent": "", "Keyword Difficulty Index": "0"}</t>
        </is>
      </c>
      <c r="G1009" t="inlineStr">
        <is>
          <t>Raw (Semrush)</t>
        </is>
      </c>
    </row>
    <row r="1010">
      <c r="A1010" t="inlineStr">
        <is>
          <t>val-ma-0</t>
        </is>
      </c>
      <c r="B1010" t="inlineStr">
        <is>
          <t>phrase_these</t>
        </is>
      </c>
      <c r="C1010" t="inlineStr">
        <is>
          <t>ma</t>
        </is>
      </c>
      <c r="D1010"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0" t="inlineStr">
        <is>
          <t>2026-10-30T15:06:48+00:00</t>
        </is>
      </c>
      <c r="F1010" t="inlineStr">
        <is>
          <t>{"Keyword": "agence de création de site web", "Search Volume": "90", "CPC": "0.74", "Competition": "0.5", "Number of Results": "0", "Trends": "0.19,0.29,0.03,1.00,0.24,0.08,0.02,0.02,0.02,0.02,0.02,0.03", "Intent": "", "Keyword Difficulty Index": "0"}</t>
        </is>
      </c>
      <c r="G1010" t="inlineStr">
        <is>
          <t>Raw (Semrush)</t>
        </is>
      </c>
    </row>
    <row r="1011">
      <c r="A1011" t="inlineStr">
        <is>
          <t>val-ma-0</t>
        </is>
      </c>
      <c r="B1011" t="inlineStr">
        <is>
          <t>phrase_these</t>
        </is>
      </c>
      <c r="C1011" t="inlineStr">
        <is>
          <t>ma</t>
        </is>
      </c>
      <c r="D1011"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1" t="inlineStr">
        <is>
          <t>2026-10-30T15:06:48+00:00</t>
        </is>
      </c>
      <c r="F1011" t="inlineStr">
        <is>
          <t>{"Keyword": "agence de développement web maroc", "Search Volume": "30", "CPC": "0.15", "Competition": "0.79", "Number of Results": "0", "Trends": "0.57,0.14,0.14,0.14,0.14,1.00,0.14,0.14,0.71,0.14,0.29,1.00", "Intent": "", "Keyword Difficulty Index": "0"}</t>
        </is>
      </c>
      <c r="G1011" t="inlineStr">
        <is>
          <t>Raw (Semrush)</t>
        </is>
      </c>
    </row>
    <row r="1012">
      <c r="A1012" t="inlineStr">
        <is>
          <t>val-ma-0</t>
        </is>
      </c>
      <c r="B1012" t="inlineStr">
        <is>
          <t>phrase_these</t>
        </is>
      </c>
      <c r="C1012" t="inlineStr">
        <is>
          <t>ma</t>
        </is>
      </c>
      <c r="D1012"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2" t="inlineStr">
        <is>
          <t>2026-10-30T15:06:48+00:00</t>
        </is>
      </c>
      <c r="F1012" t="inlineStr">
        <is>
          <t>{"Keyword": "agence de référencement naturel", "Search Volume": "10", "CPC": "0", "Competition": "0.33", "Number of Results": "0", "Trends": "0.20,0.20,0.20,1.00,0.20,0.20,0.20,0.20,0.20,0.20,0.20,0.20", "Intent": "", "Keyword Difficulty Index": "0"}</t>
        </is>
      </c>
      <c r="G1012" t="inlineStr">
        <is>
          <t>Raw (Semrush)</t>
        </is>
      </c>
    </row>
    <row r="1013">
      <c r="A1013" t="inlineStr">
        <is>
          <t>val-ma-0</t>
        </is>
      </c>
      <c r="B1013" t="inlineStr">
        <is>
          <t>phrase_these</t>
        </is>
      </c>
      <c r="C1013" t="inlineStr">
        <is>
          <t>ma</t>
        </is>
      </c>
      <c r="D1013"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3" t="inlineStr">
        <is>
          <t>2026-10-30T15:06:48+00:00</t>
        </is>
      </c>
      <c r="F1013" t="inlineStr">
        <is>
          <t>{"Keyword": "agence digitale", "Search Volume": "210", "CPC": "0.43", "Competition": "0.41", "Number of Results": "0", "Trends": "1.00,0.54,0.44,0.44,0.82,0.36,0.67,0.54,0.28,0.44,0.54,0.23", "Intent": "", "Keyword Difficulty Index": "0"}</t>
        </is>
      </c>
      <c r="G1013" t="inlineStr">
        <is>
          <t>Raw (Semrush)</t>
        </is>
      </c>
    </row>
    <row r="1014">
      <c r="A1014" t="inlineStr">
        <is>
          <t>val-ma-0</t>
        </is>
      </c>
      <c r="B1014" t="inlineStr">
        <is>
          <t>phrase_these</t>
        </is>
      </c>
      <c r="C1014" t="inlineStr">
        <is>
          <t>ma</t>
        </is>
      </c>
      <c r="D1014"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4" t="inlineStr">
        <is>
          <t>2026-10-30T15:06:48+00:00</t>
        </is>
      </c>
      <c r="F1014" t="inlineStr">
        <is>
          <t>{"Keyword": "agence digitale agadir", "Search Volume": "20", "CPC": "0.37", "Competition": "0.39", "Number of Results": "0", "Trends": "0.20,0.80,0.20,0.20,0.20,0.40,0.40,1.00,0.20,0.20,0.20,0.80", "Intent": "", "Keyword Difficulty Index": "0"}</t>
        </is>
      </c>
      <c r="G1014" t="inlineStr">
        <is>
          <t>Raw (Semrush)</t>
        </is>
      </c>
    </row>
    <row r="1015">
      <c r="A1015" t="inlineStr">
        <is>
          <t>val-ma-0</t>
        </is>
      </c>
      <c r="B1015" t="inlineStr">
        <is>
          <t>phrase_these</t>
        </is>
      </c>
      <c r="C1015" t="inlineStr">
        <is>
          <t>ma</t>
        </is>
      </c>
      <c r="D1015"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5" t="inlineStr">
        <is>
          <t>2026-10-30T15:06:48+00:00</t>
        </is>
      </c>
      <c r="F1015" t="inlineStr">
        <is>
          <t>{"Keyword": "agence digitale casablanca", "Search Volume": "260", "CPC": "0.78", "Competition": "0.3", "Number of Results": "0", "Trends": "1.00,1.00,1.00,0.81,0.53,1.00,1.00,1.00,0.81,0.66,0.44,0.53", "Intent": "", "Keyword Difficulty Index": "0"}</t>
        </is>
      </c>
      <c r="G1015" t="inlineStr">
        <is>
          <t>Raw (Semrush)</t>
        </is>
      </c>
    </row>
    <row r="1016">
      <c r="A1016" t="inlineStr">
        <is>
          <t>val-ma-0</t>
        </is>
      </c>
      <c r="B1016" t="inlineStr">
        <is>
          <t>phrase_these</t>
        </is>
      </c>
      <c r="C1016" t="inlineStr">
        <is>
          <t>ma</t>
        </is>
      </c>
      <c r="D1016"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6" t="inlineStr">
        <is>
          <t>2026-10-30T15:06:48+00:00</t>
        </is>
      </c>
      <c r="F1016" t="inlineStr">
        <is>
          <t>{"Keyword": "agence digitale maroc", "Search Volume": "320", "CPC": "0.79", "Competition": "0.13", "Number of Results": "120", "Trends": "1.00,1.00,0.67,0.54,0.44,0.81,0.81,0.81,0.54,0.81,0.67,0.81", "Intent": "0", "Keyword Difficulty Index": "57"}</t>
        </is>
      </c>
      <c r="G1016" t="inlineStr">
        <is>
          <t>Raw (Semrush)</t>
        </is>
      </c>
    </row>
    <row r="1017">
      <c r="A1017" t="inlineStr">
        <is>
          <t>val-ma-0</t>
        </is>
      </c>
      <c r="B1017" t="inlineStr">
        <is>
          <t>phrase_these</t>
        </is>
      </c>
      <c r="C1017" t="inlineStr">
        <is>
          <t>ma</t>
        </is>
      </c>
      <c r="D1017"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7" t="inlineStr">
        <is>
          <t>2026-10-30T15:06:48+00:00</t>
        </is>
      </c>
      <c r="F1017" t="inlineStr">
        <is>
          <t>{"Keyword": "agence digitale marrakech", "Search Volume": "140", "CPC": "0.82", "Competition": "0.17", "Number of Results": "0", "Trends": "0.54,0.18,0.13,0.13,0.13,0.23,0.23,0.36,0.67,1.00,0.13,0.44", "Intent": "", "Keyword Difficulty Index": "0"}</t>
        </is>
      </c>
      <c r="G1017" t="inlineStr">
        <is>
          <t>Raw (Semrush)</t>
        </is>
      </c>
    </row>
    <row r="1018">
      <c r="A1018" t="inlineStr">
        <is>
          <t>val-ma-0</t>
        </is>
      </c>
      <c r="B1018" t="inlineStr">
        <is>
          <t>phrase_these</t>
        </is>
      </c>
      <c r="C1018" t="inlineStr">
        <is>
          <t>ma</t>
        </is>
      </c>
      <c r="D1018"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8" t="inlineStr">
        <is>
          <t>2026-10-30T15:06:48+00:00</t>
        </is>
      </c>
      <c r="F1018" t="inlineStr">
        <is>
          <t>{"Keyword": "agence digitale rabat", "Search Volume": "170", "CPC": "0.54", "Competition": "0.16", "Number of Results": "0", "Trends": "0.16,0.44,0.34,0.53,0.53,0.44,0.81,0.81,1.00,0.12,0.53,0.44", "Intent": "", "Keyword Difficulty Index": "0"}</t>
        </is>
      </c>
      <c r="G1018" t="inlineStr">
        <is>
          <t>Raw (Semrush)</t>
        </is>
      </c>
    </row>
    <row r="1019">
      <c r="A1019" t="inlineStr">
        <is>
          <t>val-ma-0</t>
        </is>
      </c>
      <c r="B1019" t="inlineStr">
        <is>
          <t>phrase_these</t>
        </is>
      </c>
      <c r="C1019" t="inlineStr">
        <is>
          <t>ma</t>
        </is>
      </c>
      <c r="D1019"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19" t="inlineStr">
        <is>
          <t>2026-10-30T15:06:48+00:00</t>
        </is>
      </c>
      <c r="F1019" t="inlineStr">
        <is>
          <t>{"Keyword": "agence digitale tanger", "Search Volume": "30", "CPC": "0.92", "Competition": "0.25", "Number of Results": "0", "Trends": "0.09,0.09,1.00,1.00,0.09,0.09,0.27,0.18,0.09,0.09,0.09,0.09", "Intent": "", "Keyword Difficulty Index": "0"}</t>
        </is>
      </c>
      <c r="G1019" t="inlineStr">
        <is>
          <t>Raw (Semrush)</t>
        </is>
      </c>
    </row>
    <row r="1020">
      <c r="A1020" t="inlineStr">
        <is>
          <t>val-ma-0</t>
        </is>
      </c>
      <c r="B1020" t="inlineStr">
        <is>
          <t>phrase_these</t>
        </is>
      </c>
      <c r="C1020" t="inlineStr">
        <is>
          <t>ma</t>
        </is>
      </c>
      <c r="D1020"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0" t="inlineStr">
        <is>
          <t>2026-10-30T15:06:48+00:00</t>
        </is>
      </c>
      <c r="F1020" t="inlineStr">
        <is>
          <t>{"Keyword": "agence développement web", "Search Volume": "30", "CPC": "0", "Competition": "0.14", "Number of Results": "0", "Trends": "0.56,0.22,0.11,0.11,0.56,0.22,0.11,0.11,0.11,0.11,1.00,0.11", "Intent": "", "Keyword Difficulty Index": "0"}</t>
        </is>
      </c>
      <c r="G1020" t="inlineStr">
        <is>
          <t>Raw (Semrush)</t>
        </is>
      </c>
    </row>
    <row r="1021">
      <c r="A1021" t="inlineStr">
        <is>
          <t>val-ma-0</t>
        </is>
      </c>
      <c r="B1021" t="inlineStr">
        <is>
          <t>phrase_these</t>
        </is>
      </c>
      <c r="C1021" t="inlineStr">
        <is>
          <t>ma</t>
        </is>
      </c>
      <c r="D1021"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1" t="inlineStr">
        <is>
          <t>2026-10-30T15:06:48+00:00</t>
        </is>
      </c>
      <c r="F1021" t="inlineStr">
        <is>
          <t>{"Keyword": "agence e-commerce maroc", "Search Volume": "20", "CPC": "0.35", "Competition": "0.33", "Number of Results": "0", "Trends": "0.20,0.60,0.20,0.60,1.00,0.20,0.20,0.40,0.60,0.20,1.00,0.20", "Intent": "", "Keyword Difficulty Index": "0"}</t>
        </is>
      </c>
      <c r="G1021" t="inlineStr">
        <is>
          <t>Raw (Semrush)</t>
        </is>
      </c>
    </row>
    <row r="1022">
      <c r="A1022" t="inlineStr">
        <is>
          <t>val-ma-0</t>
        </is>
      </c>
      <c r="B1022" t="inlineStr">
        <is>
          <t>phrase_these</t>
        </is>
      </c>
      <c r="C1022" t="inlineStr">
        <is>
          <t>ma</t>
        </is>
      </c>
      <c r="D1022"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2" t="inlineStr">
        <is>
          <t>2026-10-30T15:06:48+00:00</t>
        </is>
      </c>
      <c r="F1022" t="inlineStr">
        <is>
          <t>{"Keyword": "agence ecommerce maroc", "Search Volume": "20", "CPC": "0.35", "Competition": "0.33", "Number of Results": "0", "Trends": "0.29,0.71,0.14,0.14,0.29,1.00,0.14,0.14,0.14,0.14,0.14,0.14", "Intent": "", "Keyword Difficulty Index": "0"}</t>
        </is>
      </c>
      <c r="G1022" t="inlineStr">
        <is>
          <t>Raw (Semrush)</t>
        </is>
      </c>
    </row>
    <row r="1023">
      <c r="A1023" t="inlineStr">
        <is>
          <t>val-ma-0</t>
        </is>
      </c>
      <c r="B1023" t="inlineStr">
        <is>
          <t>phrase_these</t>
        </is>
      </c>
      <c r="C1023" t="inlineStr">
        <is>
          <t>ma</t>
        </is>
      </c>
      <c r="D1023"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3" t="inlineStr">
        <is>
          <t>2026-10-30T15:06:48+00:00</t>
        </is>
      </c>
      <c r="F1023" t="inlineStr">
        <is>
          <t>{"Keyword": "agence marketing digital agadir", "Search Volume": "50", "CPC": "0.91", "Competition": "0.06", "Number of Results": "0", "Trends": "0.36,0.03,0.03,0.13,0.03,0.05,1.00,0.05,0.03,0.03,0.03,0.03", "Intent": "", "Keyword Difficulty Index": "0"}</t>
        </is>
      </c>
      <c r="G1023" t="inlineStr">
        <is>
          <t>Raw (Semrush)</t>
        </is>
      </c>
    </row>
    <row r="1024">
      <c r="A1024" t="inlineStr">
        <is>
          <t>val-ma-0</t>
        </is>
      </c>
      <c r="B1024" t="inlineStr">
        <is>
          <t>phrase_these</t>
        </is>
      </c>
      <c r="C1024" t="inlineStr">
        <is>
          <t>ma</t>
        </is>
      </c>
      <c r="D1024"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4" t="inlineStr">
        <is>
          <t>2026-10-30T15:06:48+00:00</t>
        </is>
      </c>
      <c r="F1024" t="inlineStr">
        <is>
          <t>{"Keyword": "agence marketing digital casablanca", "Search Volume": "390", "CPC": "0.62", "Competition": "0.16", "Number of Results": "115", "Trends": "0.81,0.54,0.81,0.36,0.44,0.81,0.81,0.81,1.00,0.81,0.81,0.54", "Intent": "0", "Keyword Difficulty Index": "39"}</t>
        </is>
      </c>
      <c r="G1024" t="inlineStr">
        <is>
          <t>Raw (Semrush)</t>
        </is>
      </c>
    </row>
    <row r="1025">
      <c r="A1025" t="inlineStr">
        <is>
          <t>val-ma-0</t>
        </is>
      </c>
      <c r="B1025" t="inlineStr">
        <is>
          <t>phrase_these</t>
        </is>
      </c>
      <c r="C1025" t="inlineStr">
        <is>
          <t>ma</t>
        </is>
      </c>
      <c r="D1025"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5" t="inlineStr">
        <is>
          <t>2026-10-30T15:06:48+00:00</t>
        </is>
      </c>
      <c r="F1025" t="inlineStr">
        <is>
          <t>{"Keyword": "agence marketing digital maroc", "Search Volume": "210", "CPC": "0.61", "Competition": "0.22", "Number of Results": "0", "Trends": "0.54,0.67,0.67,0.54,0.67,0.54,0.44,0.44,0.44,1.00,0.54,0.54", "Intent": "", "Keyword Difficulty Index": "0"}</t>
        </is>
      </c>
      <c r="G1025" t="inlineStr">
        <is>
          <t>Raw (Semrush)</t>
        </is>
      </c>
    </row>
    <row r="1026">
      <c r="A1026" t="inlineStr">
        <is>
          <t>val-ma-0</t>
        </is>
      </c>
      <c r="B1026" t="inlineStr">
        <is>
          <t>phrase_these</t>
        </is>
      </c>
      <c r="C1026" t="inlineStr">
        <is>
          <t>ma</t>
        </is>
      </c>
      <c r="D1026"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6" t="inlineStr">
        <is>
          <t>2026-10-30T15:06:48+00:00</t>
        </is>
      </c>
      <c r="F1026" t="inlineStr">
        <is>
          <t>{"Keyword": "agence marketing digital marrakech", "Search Volume": "210", "CPC": "1.11", "Competition": "0.12", "Number of Results": "0", "Trends": "0.29,0.15,0.15,0.54,0.54,0.35,0.35,0.44,0.67,1.00,0.54,0.29", "Intent": "", "Keyword Difficulty Index": "0"}</t>
        </is>
      </c>
      <c r="G1026" t="inlineStr">
        <is>
          <t>Raw (Semrush)</t>
        </is>
      </c>
    </row>
    <row r="1027">
      <c r="A1027" t="inlineStr">
        <is>
          <t>val-ma-0</t>
        </is>
      </c>
      <c r="B1027" t="inlineStr">
        <is>
          <t>phrase_these</t>
        </is>
      </c>
      <c r="C1027" t="inlineStr">
        <is>
          <t>ma</t>
        </is>
      </c>
      <c r="D1027"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7" t="inlineStr">
        <is>
          <t>2026-10-30T15:06:48+00:00</t>
        </is>
      </c>
      <c r="F1027" t="inlineStr">
        <is>
          <t>{"Keyword": "agence marketing digital rabat", "Search Volume": "170", "CPC": "0.75", "Competition": "0.21", "Number of Results": "0", "Trends": "0.35,0.42,0.65,0.35,0.35,0.81,0.65,0.81,0.65,0.81,1.00,0.35", "Intent": "", "Keyword Difficulty Index": "0"}</t>
        </is>
      </c>
      <c r="G1027" t="inlineStr">
        <is>
          <t>Raw (Semrush)</t>
        </is>
      </c>
    </row>
    <row r="1028">
      <c r="A1028" t="inlineStr">
        <is>
          <t>val-ma-0</t>
        </is>
      </c>
      <c r="B1028" t="inlineStr">
        <is>
          <t>phrase_these</t>
        </is>
      </c>
      <c r="C1028" t="inlineStr">
        <is>
          <t>ma</t>
        </is>
      </c>
      <c r="D1028"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8" t="inlineStr">
        <is>
          <t>2026-10-30T15:06:48+00:00</t>
        </is>
      </c>
      <c r="F1028" t="inlineStr">
        <is>
          <t>{"Keyword": "agence marketing digital tanger", "Search Volume": "170", "CPC": "1.02", "Competition": "0.2", "Number of Results": "0", "Trends": "0.18,0.28,0.23,0.23,0.67,0.67,1.00,0.67,0.54,0.54,0.28,0.18", "Intent": "", "Keyword Difficulty Index": "0"}</t>
        </is>
      </c>
      <c r="G1028" t="inlineStr">
        <is>
          <t>Raw (Semrush)</t>
        </is>
      </c>
    </row>
    <row r="1029">
      <c r="A1029" t="inlineStr">
        <is>
          <t>val-ma-0</t>
        </is>
      </c>
      <c r="B1029" t="inlineStr">
        <is>
          <t>phrase_these</t>
        </is>
      </c>
      <c r="C1029" t="inlineStr">
        <is>
          <t>ma</t>
        </is>
      </c>
      <c r="D1029"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29" t="inlineStr">
        <is>
          <t>2026-10-30T15:06:48+00:00</t>
        </is>
      </c>
      <c r="F1029" t="inlineStr">
        <is>
          <t>{"Keyword": "agence offshore maroc", "Search Volume": "10", "CPC": "0", "Competition": "0", "Number of Results": "0", "Trends": "0.00,0.50,0.50,0.50,0.50,0.50,1.00,0.50,0.50,0.50,0.50,0.00", "Intent": "", "Keyword Difficulty Index": "0"}</t>
        </is>
      </c>
      <c r="G1029" t="inlineStr">
        <is>
          <t>Raw (Semrush)</t>
        </is>
      </c>
    </row>
    <row r="1030">
      <c r="A1030" t="inlineStr">
        <is>
          <t>val-ma-0</t>
        </is>
      </c>
      <c r="B1030" t="inlineStr">
        <is>
          <t>phrase_these</t>
        </is>
      </c>
      <c r="C1030" t="inlineStr">
        <is>
          <t>ma</t>
        </is>
      </c>
      <c r="D1030"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0" t="inlineStr">
        <is>
          <t>2026-10-30T15:06:48+00:00</t>
        </is>
      </c>
      <c r="F1030" t="inlineStr">
        <is>
          <t>{"Keyword": "agence référencement casablanca", "Search Volume": "10", "CPC": "0", "Competition": "0.33", "Number of Results": "0", "Trends": "0.00,0.00,1.00,0.25,0.25,0.25,0.25,0.25,0.00,0.00,0.00,0.25", "Intent": "", "Keyword Difficulty Index": "0"}</t>
        </is>
      </c>
      <c r="G1030" t="inlineStr">
        <is>
          <t>Raw (Semrush)</t>
        </is>
      </c>
    </row>
    <row r="1031">
      <c r="A1031" t="inlineStr">
        <is>
          <t>val-ma-0</t>
        </is>
      </c>
      <c r="B1031" t="inlineStr">
        <is>
          <t>phrase_these</t>
        </is>
      </c>
      <c r="C1031" t="inlineStr">
        <is>
          <t>ma</t>
        </is>
      </c>
      <c r="D1031"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1" t="inlineStr">
        <is>
          <t>2026-10-30T15:06:48+00:00</t>
        </is>
      </c>
      <c r="F1031" t="inlineStr">
        <is>
          <t>{"Keyword": "agence référencement maroc", "Search Volume": "20", "CPC": "0", "Competition": "0.33", "Number of Results": "0", "Trends": "1.00,0.33,0.33,0.33,0.33,0.33,1.00,0.33,1.00,0.33,0.33,0.33", "Intent": "", "Keyword Difficulty Index": "0"}</t>
        </is>
      </c>
      <c r="G1031" t="inlineStr">
        <is>
          <t>Raw (Semrush)</t>
        </is>
      </c>
    </row>
    <row r="1032">
      <c r="A1032" t="inlineStr">
        <is>
          <t>val-ma-0</t>
        </is>
      </c>
      <c r="B1032" t="inlineStr">
        <is>
          <t>phrase_these</t>
        </is>
      </c>
      <c r="C1032" t="inlineStr">
        <is>
          <t>ma</t>
        </is>
      </c>
      <c r="D1032"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2" t="inlineStr">
        <is>
          <t>2026-10-30T15:06:48+00:00</t>
        </is>
      </c>
      <c r="F1032" t="inlineStr">
        <is>
          <t>{"Keyword": "agence seo", "Search Volume": "140", "CPC": "0.99", "Competition": "0.24", "Number of Results": "0", "Trends": "0.65,0.82,0.53,0.82,0.65,0.82,1.00,0.82,0.82,0.82,1.00,0.53", "Intent": "", "Keyword Difficulty Index": "0"}</t>
        </is>
      </c>
      <c r="G1032" t="inlineStr">
        <is>
          <t>Raw (Semrush)</t>
        </is>
      </c>
    </row>
    <row r="1033">
      <c r="A1033" t="inlineStr">
        <is>
          <t>val-ma-0</t>
        </is>
      </c>
      <c r="B1033" t="inlineStr">
        <is>
          <t>phrase_these</t>
        </is>
      </c>
      <c r="C1033" t="inlineStr">
        <is>
          <t>ma</t>
        </is>
      </c>
      <c r="D1033"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3" t="inlineStr">
        <is>
          <t>2026-10-30T15:06:48+00:00</t>
        </is>
      </c>
      <c r="F1033" t="inlineStr">
        <is>
          <t>{"Keyword": "agence seo agadir", "Search Volume": "20", "CPC": "0", "Competition": "0.02", "Number of Results": "0", "Trends": "0.40,0.20,0.60,0.60,0.80,0.20,0.20,0.20,0.40,1.00,0.20,0.20", "Intent": "", "Keyword Difficulty Index": "0"}</t>
        </is>
      </c>
      <c r="G1033" t="inlineStr">
        <is>
          <t>Raw (Semrush)</t>
        </is>
      </c>
    </row>
    <row r="1034">
      <c r="A1034" t="inlineStr">
        <is>
          <t>val-ma-0</t>
        </is>
      </c>
      <c r="B1034" t="inlineStr">
        <is>
          <t>phrase_these</t>
        </is>
      </c>
      <c r="C1034" t="inlineStr">
        <is>
          <t>ma</t>
        </is>
      </c>
      <c r="D1034"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4" t="inlineStr">
        <is>
          <t>2026-10-30T15:06:48+00:00</t>
        </is>
      </c>
      <c r="F1034" t="inlineStr">
        <is>
          <t>{"Keyword": "agence seo casablanca", "Search Volume": "170", "CPC": "1.18", "Competition": "0.17", "Number of Results": "0", "Trends": "0.65,1.00,0.35,0.35,0.27,0.65,1.00,0.81,0.54,0.65,0.54,0.54", "Intent": "", "Keyword Difficulty Index": "0"}</t>
        </is>
      </c>
      <c r="G1034" t="inlineStr">
        <is>
          <t>Raw (Semrush)</t>
        </is>
      </c>
    </row>
    <row r="1035">
      <c r="A1035" t="inlineStr">
        <is>
          <t>val-ma-0</t>
        </is>
      </c>
      <c r="B1035" t="inlineStr">
        <is>
          <t>phrase_these</t>
        </is>
      </c>
      <c r="C1035" t="inlineStr">
        <is>
          <t>ma</t>
        </is>
      </c>
      <c r="D1035"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5" t="inlineStr">
        <is>
          <t>2026-10-30T15:06:48+00:00</t>
        </is>
      </c>
      <c r="F1035" t="inlineStr">
        <is>
          <t>{"Keyword": "agence seo maroc", "Search Volume": "880", "CPC": "2.48", "Competition": "0.06", "Number of Results": "103", "Trends": "0.55,1.00,0.62,0.55,0.30,0.37,0.55,0.45,0.37,0.24,0.45,0.37", "Intent": "0", "Keyword Difficulty Index": "44"}</t>
        </is>
      </c>
      <c r="G1035" t="inlineStr">
        <is>
          <t>Raw (Semrush)</t>
        </is>
      </c>
    </row>
    <row r="1036">
      <c r="A1036" t="inlineStr">
        <is>
          <t>val-ma-0</t>
        </is>
      </c>
      <c r="B1036" t="inlineStr">
        <is>
          <t>phrase_these</t>
        </is>
      </c>
      <c r="C1036" t="inlineStr">
        <is>
          <t>ma</t>
        </is>
      </c>
      <c r="D1036"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6" t="inlineStr">
        <is>
          <t>2026-10-30T15:06:48+00:00</t>
        </is>
      </c>
      <c r="F1036" t="inlineStr">
        <is>
          <t>{"Keyword": "agence seo marrakech", "Search Volume": "320", "CPC": "6.43", "Competition": "0.08", "Number of Results": "10", "Trends": "0.81,0.81,0.81,0.44,0.35,0.35,0.54,0.44,1.00,1.00,0.35,0.81", "Intent": "0", "Keyword Difficulty Index": "20"}</t>
        </is>
      </c>
      <c r="G1036" t="inlineStr">
        <is>
          <t>Raw (Semrush)</t>
        </is>
      </c>
    </row>
    <row r="1037">
      <c r="A1037" t="inlineStr">
        <is>
          <t>val-ma-0</t>
        </is>
      </c>
      <c r="B1037" t="inlineStr">
        <is>
          <t>phrase_these</t>
        </is>
      </c>
      <c r="C1037" t="inlineStr">
        <is>
          <t>ma</t>
        </is>
      </c>
      <c r="D1037"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7" t="inlineStr">
        <is>
          <t>2026-10-30T15:06:48+00:00</t>
        </is>
      </c>
      <c r="F1037" t="inlineStr">
        <is>
          <t>{"Keyword": "agence seo rabat", "Search Volume": "10", "CPC": "0", "Competition": "0.02", "Number of Results": "0", "Trends": "0.33,0.67,0.67,1.00,0.33,0.33,0.33,0.33,0.33,0.67,0.33,0.33", "Intent": "", "Keyword Difficulty Index": "0"}</t>
        </is>
      </c>
      <c r="G1037" t="inlineStr">
        <is>
          <t>Raw (Semrush)</t>
        </is>
      </c>
    </row>
    <row r="1038">
      <c r="A1038" t="inlineStr">
        <is>
          <t>val-ma-0</t>
        </is>
      </c>
      <c r="B1038" t="inlineStr">
        <is>
          <t>phrase_these</t>
        </is>
      </c>
      <c r="C1038" t="inlineStr">
        <is>
          <t>ma</t>
        </is>
      </c>
      <c r="D1038"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8" t="inlineStr">
        <is>
          <t>2026-10-30T15:06:48+00:00</t>
        </is>
      </c>
      <c r="F1038" t="inlineStr">
        <is>
          <t>{"Keyword": "agence web", "Search Volume": "480", "CPC": "0.63", "Competition": "0.12", "Number of Results": "137", "Trends": "0.67,0.54,0.82,0.67,0.67,1.00,0.67,0.67,0.67,0.67,0.54,0.44", "Intent": "0", "Keyword Difficulty Index": "51"}</t>
        </is>
      </c>
      <c r="G1038" t="inlineStr">
        <is>
          <t>Raw (Semrush)</t>
        </is>
      </c>
    </row>
    <row r="1039">
      <c r="A1039" t="inlineStr">
        <is>
          <t>val-ma-0</t>
        </is>
      </c>
      <c r="B1039" t="inlineStr">
        <is>
          <t>phrase_these</t>
        </is>
      </c>
      <c r="C1039" t="inlineStr">
        <is>
          <t>ma</t>
        </is>
      </c>
      <c r="D1039"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39" t="inlineStr">
        <is>
          <t>2026-10-30T15:06:48+00:00</t>
        </is>
      </c>
      <c r="F1039" t="inlineStr">
        <is>
          <t>{"Keyword": "agence web agadir", "Search Volume": "140", "CPC": "0.57", "Competition": "0.19", "Number of Results": "0", "Trends": "0.67,0.67,0.33,0.43,0.81,0.81,1.00,0.52,0.81,0.67,0.33,0.19", "Intent": "", "Keyword Difficulty Index": "0"}</t>
        </is>
      </c>
      <c r="G1039" t="inlineStr">
        <is>
          <t>Raw (Semrush)</t>
        </is>
      </c>
    </row>
    <row r="1040">
      <c r="A1040" t="inlineStr">
        <is>
          <t>val-ma-0</t>
        </is>
      </c>
      <c r="B1040" t="inlineStr">
        <is>
          <t>phrase_these</t>
        </is>
      </c>
      <c r="C1040" t="inlineStr">
        <is>
          <t>ma</t>
        </is>
      </c>
      <c r="D1040"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0" t="inlineStr">
        <is>
          <t>2026-10-30T15:06:48+00:00</t>
        </is>
      </c>
      <c r="F1040" t="inlineStr">
        <is>
          <t>{"Keyword": "agence web au maroc", "Search Volume": "30", "CPC": "0.55", "Competition": "0.15", "Number of Results": "0", "Trends": "0.78,0.33,0.11,0.11,1.00,0.56,0.22,0.11,0.11,0.22,0.22,0.33", "Intent": "", "Keyword Difficulty Index": "0"}</t>
        </is>
      </c>
      <c r="G1040" t="inlineStr">
        <is>
          <t>Raw (Semrush)</t>
        </is>
      </c>
    </row>
    <row r="1041">
      <c r="A1041" t="inlineStr">
        <is>
          <t>val-ma-0</t>
        </is>
      </c>
      <c r="B1041" t="inlineStr">
        <is>
          <t>phrase_these</t>
        </is>
      </c>
      <c r="C1041" t="inlineStr">
        <is>
          <t>ma</t>
        </is>
      </c>
      <c r="D1041"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1" t="inlineStr">
        <is>
          <t>2026-10-30T15:06:48+00:00</t>
        </is>
      </c>
      <c r="F1041" t="inlineStr">
        <is>
          <t>{"Keyword": "agence web casablanca", "Search Volume": "1000", "CPC": "0.73", "Competition": "0.16", "Number of Results": "113", "Trends": "0.55,0.62,1.00,0.81,0.45,0.55,0.81,0.45,0.30,0.24,0.24,0.16", "Intent": "0", "Keyword Difficulty Index": "52"}</t>
        </is>
      </c>
      <c r="G1041" t="inlineStr">
        <is>
          <t>Raw (Semrush)</t>
        </is>
      </c>
    </row>
    <row r="1042">
      <c r="A1042" t="inlineStr">
        <is>
          <t>val-ma-0</t>
        </is>
      </c>
      <c r="B1042" t="inlineStr">
        <is>
          <t>phrase_these</t>
        </is>
      </c>
      <c r="C1042" t="inlineStr">
        <is>
          <t>ma</t>
        </is>
      </c>
      <c r="D1042"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2" t="inlineStr">
        <is>
          <t>2026-10-30T15:06:48+00:00</t>
        </is>
      </c>
      <c r="F1042" t="inlineStr">
        <is>
          <t>{"Keyword": "agence web maroc", "Search Volume": "480", "CPC": "0.62", "Competition": "0.12", "Number of Results": "44", "Trends": "0.54,0.54,0.54,0.44,0.67,0.67,1.00,0.44,0.67,0.44,0.54,0.54", "Intent": "0", "Keyword Difficulty Index": "53"}</t>
        </is>
      </c>
      <c r="G1042" t="inlineStr">
        <is>
          <t>Raw (Semrush)</t>
        </is>
      </c>
    </row>
    <row r="1043">
      <c r="A1043" t="inlineStr">
        <is>
          <t>val-ma-0</t>
        </is>
      </c>
      <c r="B1043" t="inlineStr">
        <is>
          <t>phrase_these</t>
        </is>
      </c>
      <c r="C1043" t="inlineStr">
        <is>
          <t>ma</t>
        </is>
      </c>
      <c r="D1043"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3" t="inlineStr">
        <is>
          <t>2026-10-30T15:06:48+00:00</t>
        </is>
      </c>
      <c r="F1043" t="inlineStr">
        <is>
          <t>{"Keyword": "agence web marrakech", "Search Volume": "320", "CPC": "0.75", "Competition": "0.1", "Number of Results": "109", "Trends": "0.54,0.44,0.36,0.44,0.44,0.66,0.66,0.66,1.00,0.81,0.66,0.54", "Intent": "0", "Keyword Difficulty Index": "33"}</t>
        </is>
      </c>
      <c r="G1043" t="inlineStr">
        <is>
          <t>Raw (Semrush)</t>
        </is>
      </c>
    </row>
    <row r="1044">
      <c r="A1044" t="inlineStr">
        <is>
          <t>val-ma-0</t>
        </is>
      </c>
      <c r="B1044" t="inlineStr">
        <is>
          <t>phrase_these</t>
        </is>
      </c>
      <c r="C1044" t="inlineStr">
        <is>
          <t>ma</t>
        </is>
      </c>
      <c r="D1044"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4" t="inlineStr">
        <is>
          <t>2026-10-30T15:06:48+00:00</t>
        </is>
      </c>
      <c r="F1044" t="inlineStr">
        <is>
          <t>{"Keyword": "agence web offshore", "Search Volume": "30", "CPC": "0", "Competition": "0.33", "Number of Results": "0", "Trends": "1.00,0.14,0.14,0.14,0.14,0.14,0.29,0.71,0.43,0.43,0.57,0.14", "Intent": "", "Keyword Difficulty Index": "0"}</t>
        </is>
      </c>
      <c r="G1044" t="inlineStr">
        <is>
          <t>Raw (Semrush)</t>
        </is>
      </c>
    </row>
    <row r="1045">
      <c r="A1045" t="inlineStr">
        <is>
          <t>val-ma-0</t>
        </is>
      </c>
      <c r="B1045" t="inlineStr">
        <is>
          <t>phrase_these</t>
        </is>
      </c>
      <c r="C1045" t="inlineStr">
        <is>
          <t>ma</t>
        </is>
      </c>
      <c r="D1045"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5" t="inlineStr">
        <is>
          <t>2026-10-30T15:06:48+00:00</t>
        </is>
      </c>
      <c r="F1045" t="inlineStr">
        <is>
          <t>{"Keyword": "agence web offshore maroc", "Search Volume": "140", "CPC": "0", "Competition": "0.05", "Number of Results": "0", "Trends": "0.22,0.34,0.22,0.81,0.22,0.22,1.00,1.00,0.22,0.53,0.22,0.34", "Intent": "", "Keyword Difficulty Index": "0"}</t>
        </is>
      </c>
      <c r="G1045" t="inlineStr">
        <is>
          <t>Raw (Semrush)</t>
        </is>
      </c>
    </row>
    <row r="1046">
      <c r="A1046" t="inlineStr">
        <is>
          <t>val-ma-0</t>
        </is>
      </c>
      <c r="B1046" t="inlineStr">
        <is>
          <t>phrase_these</t>
        </is>
      </c>
      <c r="C1046" t="inlineStr">
        <is>
          <t>ma</t>
        </is>
      </c>
      <c r="D1046"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6" t="inlineStr">
        <is>
          <t>2026-10-30T15:06:48+00:00</t>
        </is>
      </c>
      <c r="F1046" t="inlineStr">
        <is>
          <t>{"Keyword": "agence web rabat", "Search Volume": "260", "CPC": "0.8", "Competition": "0.16", "Number of Results": "0", "Trends": "0.29,0.29,0.23,0.35,0.67,0.54,1.00,0.81,0.54,0.44,1.00,0.54", "Intent": "", "Keyword Difficulty Index": "0"}</t>
        </is>
      </c>
      <c r="G1046" t="inlineStr">
        <is>
          <t>Raw (Semrush)</t>
        </is>
      </c>
    </row>
    <row r="1047">
      <c r="A1047" t="inlineStr">
        <is>
          <t>val-ma-0</t>
        </is>
      </c>
      <c r="B1047" t="inlineStr">
        <is>
          <t>phrase_these</t>
        </is>
      </c>
      <c r="C1047" t="inlineStr">
        <is>
          <t>ma</t>
        </is>
      </c>
      <c r="D1047"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7" t="inlineStr">
        <is>
          <t>2026-10-30T15:06:48+00:00</t>
        </is>
      </c>
      <c r="F1047" t="inlineStr">
        <is>
          <t>{"Keyword": "agence web tanger", "Search Volume": "40", "CPC": "0.84", "Competition": "0.26", "Number of Results": "0", "Trends": "0.12,0.04,1.00,0.15,0.04,0.08,0.12,0.08,0.04,0.04,0.04,0.04", "Intent": "", "Keyword Difficulty Index": "0"}</t>
        </is>
      </c>
      <c r="G1047" t="inlineStr">
        <is>
          <t>Raw (Semrush)</t>
        </is>
      </c>
    </row>
    <row r="1048">
      <c r="A1048" t="inlineStr">
        <is>
          <t>val-ma-0</t>
        </is>
      </c>
      <c r="B1048" t="inlineStr">
        <is>
          <t>phrase_these</t>
        </is>
      </c>
      <c r="C1048" t="inlineStr">
        <is>
          <t>ma</t>
        </is>
      </c>
      <c r="D1048"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8" t="inlineStr">
        <is>
          <t>2026-10-30T15:06:48+00:00</t>
        </is>
      </c>
      <c r="F1048" t="inlineStr">
        <is>
          <t>{"Keyword": "agence web à casablanca", "Search Volume": "10", "CPC": "0", "Competition": "0.01", "Number of Results": "0", "Trends": "1.00,0.25,0.25,0.25,0.25,0.25,0.25,0.25,0.25,0.75,0.25,0.25", "Intent": "", "Keyword Difficulty Index": "0"}</t>
        </is>
      </c>
      <c r="G1048" t="inlineStr">
        <is>
          <t>Raw (Semrush)</t>
        </is>
      </c>
    </row>
    <row r="1049">
      <c r="A1049" t="inlineStr">
        <is>
          <t>val-ma-0</t>
        </is>
      </c>
      <c r="B1049" t="inlineStr">
        <is>
          <t>phrase_these</t>
        </is>
      </c>
      <c r="C1049" t="inlineStr">
        <is>
          <t>ma</t>
        </is>
      </c>
      <c r="D1049"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49" t="inlineStr">
        <is>
          <t>2026-10-30T15:06:48+00:00</t>
        </is>
      </c>
      <c r="F1049" t="inlineStr">
        <is>
          <t>{"Keyword": "agence web à marrakech", "Search Volume": "20", "CPC": "0", "Competition": "0.12", "Number of Results": "0", "Trends": "0.22,1.00,0.11,0.11,0.33,0.22,0.22,0.11,0.11,0.11,0.11,0.11", "Intent": "", "Keyword Difficulty Index": "0"}</t>
        </is>
      </c>
      <c r="G1049" t="inlineStr">
        <is>
          <t>Raw (Semrush)</t>
        </is>
      </c>
    </row>
    <row r="1050">
      <c r="A1050" t="inlineStr">
        <is>
          <t>val-ma-0</t>
        </is>
      </c>
      <c r="B1050" t="inlineStr">
        <is>
          <t>phrase_these</t>
        </is>
      </c>
      <c r="C1050" t="inlineStr">
        <is>
          <t>ma</t>
        </is>
      </c>
      <c r="D1050"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0" t="inlineStr">
        <is>
          <t>2026-10-30T15:06:48+00:00</t>
        </is>
      </c>
      <c r="F1050" t="inlineStr">
        <is>
          <t>{"Keyword": "alt image seo", "Search Volume": "10", "CPC": "0", "Competition": "0.33", "Number of Results": "0", "Trends": "0.40,0.00,0.20,0.00,0.00,0.00,0.20,0.00,0.00,1.00,0.00,0.20", "Intent": "", "Keyword Difficulty Index": "0"}</t>
        </is>
      </c>
      <c r="G1050" t="inlineStr">
        <is>
          <t>Raw (Semrush)</t>
        </is>
      </c>
    </row>
    <row r="1051">
      <c r="A1051" t="inlineStr">
        <is>
          <t>val-ma-0</t>
        </is>
      </c>
      <c r="B1051" t="inlineStr">
        <is>
          <t>phrase_these</t>
        </is>
      </c>
      <c r="C1051" t="inlineStr">
        <is>
          <t>ma</t>
        </is>
      </c>
      <c r="D1051"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1" t="inlineStr">
        <is>
          <t>2026-10-30T15:06:48+00:00</t>
        </is>
      </c>
      <c r="F1051" t="inlineStr">
        <is>
          <t>{"Keyword": "analyse seo gratuit", "Search Volume": "20", "CPC": "0", "Competition": "0.6", "Number of Results": "0", "Trends": "0.14,0.14,0.14,1.00,0.14,0.29,0.14,0.71,0.14,0.14,0.14,0.14", "Intent": "", "Keyword Difficulty Index": "0"}</t>
        </is>
      </c>
      <c r="G1051" t="inlineStr">
        <is>
          <t>Raw (Semrush)</t>
        </is>
      </c>
    </row>
    <row r="1052">
      <c r="A1052" t="inlineStr">
        <is>
          <t>val-ma-0</t>
        </is>
      </c>
      <c r="B1052" t="inlineStr">
        <is>
          <t>phrase_these</t>
        </is>
      </c>
      <c r="C1052" t="inlineStr">
        <is>
          <t>ma</t>
        </is>
      </c>
      <c r="D1052"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2" t="inlineStr">
        <is>
          <t>2026-10-30T15:06:48+00:00</t>
        </is>
      </c>
      <c r="F1052" t="inlineStr">
        <is>
          <t>{"Keyword": "analyse site web gratuit", "Search Volume": "20", "CPC": "0.3", "Competition": "0.21", "Number of Results": "0", "Trends": "0.14,0.14,0.14,0.14,0.14,0.14,0.14,1.00,0.14,0.29,0.14,0.14", "Intent": "", "Keyword Difficulty Index": "0"}</t>
        </is>
      </c>
      <c r="G1052" t="inlineStr">
        <is>
          <t>Raw (Semrush)</t>
        </is>
      </c>
    </row>
    <row r="1053">
      <c r="A1053" t="inlineStr">
        <is>
          <t>val-ma-0</t>
        </is>
      </c>
      <c r="B1053" t="inlineStr">
        <is>
          <t>phrase_these</t>
        </is>
      </c>
      <c r="C1053" t="inlineStr">
        <is>
          <t>ma</t>
        </is>
      </c>
      <c r="D1053"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3" t="inlineStr">
        <is>
          <t>2026-10-30T15:06:48+00:00</t>
        </is>
      </c>
      <c r="F1053" t="inlineStr">
        <is>
          <t>{"Keyword": "analyser mon site web", "Search Volume": "10", "CPC": "0", "Competition": "0", "Number of Results": "0", "Trends": "0.33,0.33,0.67,0.33,0.33,0.33,1.00,1.00,0.33,0.33,0.33,0.00", "Intent": "", "Keyword Difficulty Index": "0"}</t>
        </is>
      </c>
      <c r="G1053" t="inlineStr">
        <is>
          <t>Raw (Semrush)</t>
        </is>
      </c>
    </row>
    <row r="1054">
      <c r="A1054" t="inlineStr">
        <is>
          <t>val-ma-0</t>
        </is>
      </c>
      <c r="B1054" t="inlineStr">
        <is>
          <t>phrase_these</t>
        </is>
      </c>
      <c r="C1054" t="inlineStr">
        <is>
          <t>ma</t>
        </is>
      </c>
      <c r="D1054"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4" t="inlineStr">
        <is>
          <t>2026-10-30T15:06:48+00:00</t>
        </is>
      </c>
      <c r="F1054" t="inlineStr">
        <is>
          <t>{"Keyword": "analyseur site web", "Search Volume": "20", "CPC": "0.26", "Competition": "0.13", "Number of Results": "0", "Trends": "1.00,1.00,0.14,0.14,0.14,0.14,0.14,0.14,0.14,0.14,0.29,0.14", "Intent": "", "Keyword Difficulty Index": "0"}</t>
        </is>
      </c>
      <c r="G1054" t="inlineStr">
        <is>
          <t>Raw (Semrush)</t>
        </is>
      </c>
    </row>
    <row r="1055">
      <c r="A1055" t="inlineStr">
        <is>
          <t>val-ma-0</t>
        </is>
      </c>
      <c r="B1055" t="inlineStr">
        <is>
          <t>phrase_these</t>
        </is>
      </c>
      <c r="C1055" t="inlineStr">
        <is>
          <t>ma</t>
        </is>
      </c>
      <c r="D1055"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5" t="inlineStr">
        <is>
          <t>2026-10-30T15:06:48+00:00</t>
        </is>
      </c>
      <c r="F1055" t="inlineStr">
        <is>
          <t>{"Keyword": "architecte marrakech", "Search Volume": "1000", "CPC": "0.46", "Competition": "0.23", "Number of Results": "10", "Trends": "0.62,0.81,1.00,0.81,0.62,0.62,0.62,0.81,0.81,0.62,0.62,0.45", "Intent": "0", "Keyword Difficulty Index": "31"}</t>
        </is>
      </c>
      <c r="G1055" t="inlineStr">
        <is>
          <t>Raw (Semrush)</t>
        </is>
      </c>
    </row>
    <row r="1056">
      <c r="A1056" t="inlineStr">
        <is>
          <t>val-ma-0</t>
        </is>
      </c>
      <c r="B1056" t="inlineStr">
        <is>
          <t>phrase_these</t>
        </is>
      </c>
      <c r="C1056" t="inlineStr">
        <is>
          <t>ma</t>
        </is>
      </c>
      <c r="D1056"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6" t="inlineStr">
        <is>
          <t>2026-10-30T15:06:48+00:00</t>
        </is>
      </c>
      <c r="F1056" t="inlineStr">
        <is>
          <t>{"Keyword": "attribut alt", "Search Volume": "20", "CPC": "0", "Competition": "0.33", "Number of Results": "0", "Trends": "1.00,0.60,0.20,0.20,0.20,0.20,0.20,0.20,0.40,0.20,0.20,0.20", "Intent": "", "Keyword Difficulty Index": "0"}</t>
        </is>
      </c>
      <c r="G1056" t="inlineStr">
        <is>
          <t>Raw (Semrush)</t>
        </is>
      </c>
    </row>
    <row r="1057">
      <c r="A1057" t="inlineStr">
        <is>
          <t>val-ma-0</t>
        </is>
      </c>
      <c r="B1057" t="inlineStr">
        <is>
          <t>phrase_these</t>
        </is>
      </c>
      <c r="C1057" t="inlineStr">
        <is>
          <t>ma</t>
        </is>
      </c>
      <c r="D1057"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7" t="inlineStr">
        <is>
          <t>2026-10-30T15:06:48+00:00</t>
        </is>
      </c>
      <c r="F1057" t="inlineStr">
        <is>
          <t>{"Keyword": "audit seo", "Search Volume": "90", "CPC": "0.97", "Competition": "0.18", "Number of Results": "0", "Trends": "0.53,0.65,0.29,0.29,0.41,0.53,1.00,0.65,0.65,0.65,0.53,0.82", "Intent": "", "Keyword Difficulty Index": "0"}</t>
        </is>
      </c>
      <c r="G1057" t="inlineStr">
        <is>
          <t>Raw (Semrush)</t>
        </is>
      </c>
    </row>
    <row r="1058">
      <c r="A1058" t="inlineStr">
        <is>
          <t>val-ma-0</t>
        </is>
      </c>
      <c r="B1058" t="inlineStr">
        <is>
          <t>phrase_these</t>
        </is>
      </c>
      <c r="C1058" t="inlineStr">
        <is>
          <t>ma</t>
        </is>
      </c>
      <c r="D1058"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8" t="inlineStr">
        <is>
          <t>2026-10-30T15:06:48+00:00</t>
        </is>
      </c>
      <c r="F1058" t="inlineStr">
        <is>
          <t>{"Keyword": "audit seo gratuit", "Search Volume": "20", "CPC": "0.11", "Competition": "0.33", "Number of Results": "0", "Trends": "0.14,1.00,0.14,0.29,0.14,0.14,0.14,0.14,0.14,0.14,0.14,0.14", "Intent": "", "Keyword Difficulty Index": "0"}</t>
        </is>
      </c>
      <c r="G1058" t="inlineStr">
        <is>
          <t>Raw (Semrush)</t>
        </is>
      </c>
    </row>
    <row r="1059">
      <c r="A1059" t="inlineStr">
        <is>
          <t>val-ma-0</t>
        </is>
      </c>
      <c r="B1059" t="inlineStr">
        <is>
          <t>phrase_these</t>
        </is>
      </c>
      <c r="C1059" t="inlineStr">
        <is>
          <t>ma</t>
        </is>
      </c>
      <c r="D1059"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59" t="inlineStr">
        <is>
          <t>2026-10-30T15:06:48+00:00</t>
        </is>
      </c>
      <c r="F1059" t="inlineStr">
        <is>
          <t>{"Keyword": "audit site web", "Search Volume": "10", "CPC": "0.32", "Competition": "0.14", "Number of Results": "0", "Trends": "0.50,0.50,0.50,0.50,1.00,0.50,0.50,1.00,0.50,0.50,0.50,0.50", "Intent": "", "Keyword Difficulty Index": "0"}</t>
        </is>
      </c>
      <c r="G1059" t="inlineStr">
        <is>
          <t>Raw (Semrush)</t>
        </is>
      </c>
    </row>
    <row r="1060">
      <c r="A1060" t="inlineStr">
        <is>
          <t>val-ma-0</t>
        </is>
      </c>
      <c r="B1060" t="inlineStr">
        <is>
          <t>phrase_these</t>
        </is>
      </c>
      <c r="C1060" t="inlineStr">
        <is>
          <t>ma</t>
        </is>
      </c>
      <c r="D1060"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60" t="inlineStr">
        <is>
          <t>2026-10-30T15:06:48+00:00</t>
        </is>
      </c>
      <c r="F1060" t="inlineStr">
        <is>
          <t>{"Keyword": "audit site web gratuit", "Search Volume": "30", "CPC": "0", "Competition": "0.71", "Number of Results": "0", "Trends": "1.00,0.11,0.33,0.56,0.11,0.11,0.11,0.44,0.22,0.11,0.11,0.56", "Intent": "", "Keyword Difficulty Index": "0"}</t>
        </is>
      </c>
      <c r="G1060" t="inlineStr">
        <is>
          <t>Raw (Semrush)</t>
        </is>
      </c>
    </row>
    <row r="1061">
      <c r="A1061" t="inlineStr">
        <is>
          <t>val-ma-0</t>
        </is>
      </c>
      <c r="B1061" t="inlineStr">
        <is>
          <t>phrase_these</t>
        </is>
      </c>
      <c r="C1061" t="inlineStr">
        <is>
          <t>ma</t>
        </is>
      </c>
      <c r="D1061"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61" t="inlineStr">
        <is>
          <t>2026-10-30T15:06:48+00:00</t>
        </is>
      </c>
      <c r="F1061" t="inlineStr">
        <is>
          <t>{"Keyword": "balise alt", "Search Volume": "10", "CPC": "0", "Competition": "0.33", "Number of Results": "0", "Trends": "0.33,0.33,0.33,0.33,0.33,0.67,0.33,0.33,0.33,1.00,0.33,0.67", "Intent": "", "Keyword Difficulty Index": "0"}</t>
        </is>
      </c>
      <c r="G1061" t="inlineStr">
        <is>
          <t>Raw (Semrush)</t>
        </is>
      </c>
    </row>
    <row r="1062">
      <c r="A1062" t="inlineStr">
        <is>
          <t>val-ma-0</t>
        </is>
      </c>
      <c r="B1062" t="inlineStr">
        <is>
          <t>phrase_these</t>
        </is>
      </c>
      <c r="C1062" t="inlineStr">
        <is>
          <t>ma</t>
        </is>
      </c>
      <c r="D1062"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62" t="inlineStr">
        <is>
          <t>2026-10-30T15:06:48+00:00</t>
        </is>
      </c>
      <c r="F1062" t="inlineStr">
        <is>
          <t>{"Keyword": "balise h1", "Search Volume": "20", "CPC": "0", "Competition": "0", "Number of Results": "0", "Trends": "0.29,0.14,0.14,0.43,0.14,0.14,1.00,0.29,0.00,0.14,0.14,0.00", "Intent": "", "Keyword Difficulty Index": "0"}</t>
        </is>
      </c>
      <c r="G1062" t="inlineStr">
        <is>
          <t>Raw (Semrush)</t>
        </is>
      </c>
    </row>
    <row r="1063">
      <c r="A1063" t="inlineStr">
        <is>
          <t>val-ma-0</t>
        </is>
      </c>
      <c r="B1063" t="inlineStr">
        <is>
          <t>phrase_these</t>
        </is>
      </c>
      <c r="C1063" t="inlineStr">
        <is>
          <t>ma</t>
        </is>
      </c>
      <c r="D1063"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63" t="inlineStr">
        <is>
          <t>2026-10-30T15:06:48+00:00</t>
        </is>
      </c>
      <c r="F1063" t="inlineStr">
        <is>
          <t>{"Keyword": "balise hreflang", "Search Volume": "20", "CPC": "0", "Competition": "0.33", "Number of Results": "0", "Trends": "0.44,0.11,0.11,1.00,0.11,0.11,0.11,0.11,0.11,0.11,0.11,0.11", "Intent": "", "Keyword Difficulty Index": "0"}</t>
        </is>
      </c>
      <c r="G1063" t="inlineStr">
        <is>
          <t>Raw (Semrush)</t>
        </is>
      </c>
    </row>
    <row r="1064">
      <c r="A1064" t="inlineStr">
        <is>
          <t>val-ma-0</t>
        </is>
      </c>
      <c r="B1064" t="inlineStr">
        <is>
          <t>phrase_these</t>
        </is>
      </c>
      <c r="C1064" t="inlineStr">
        <is>
          <t>ma</t>
        </is>
      </c>
      <c r="D1064"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64" t="inlineStr">
        <is>
          <t>2026-10-30T15:06:48+00:00</t>
        </is>
      </c>
      <c r="F1064" t="inlineStr">
        <is>
          <t>{"Keyword": "balise meta", "Search Volume": "20", "CPC": "0", "Competition": "0.33", "Number of Results": "0", "Trends": "0.20,0.20,0.40,0.20,0.20,1.00,0.20,0.20,1.00,0.60,0.20,0.60", "Intent": "", "Keyword Difficulty Index": "0"}</t>
        </is>
      </c>
      <c r="G1064" t="inlineStr">
        <is>
          <t>Raw (Semrush)</t>
        </is>
      </c>
    </row>
    <row r="1065">
      <c r="A1065" t="inlineStr">
        <is>
          <t>val-ma-0</t>
        </is>
      </c>
      <c r="B1065" t="inlineStr">
        <is>
          <t>phrase_these</t>
        </is>
      </c>
      <c r="C1065" t="inlineStr">
        <is>
          <t>ma</t>
        </is>
      </c>
      <c r="D1065" t="inlineStr">
        <is>
          <t>agence création site internet maroc;agence création site web agadir;agence création site web casablanca;agence création site web maroc;agence création site web marrakech;agence création site web rabat;agence création site web tanger;agence de communication agadir;agence de communication casablanca;agence de communication maroc;agence de communication marrakech;agence de communication rabat;agence de communication tanger;agence de création de site web;agence de développement web maroc;agence de référencement naturel;agence de voyage de luxe maroc;agence digitale;agence digitale agadir;agence digitale casablanca;agence digitale maroc;agence digitale marrakech;agence digitale rabat;agence digitale tanger;agence développement web;agence e-commerce maroc;agence ecommerce maroc;agence etude a l'etranger maroc;agence marketing digital agadir;agence marketing digital casablanca;agence marketing digital maroc;agence marketing digital marrakech;agence marketing digital rabat;agence marketing dig</t>
        </is>
      </c>
      <c r="E1065" t="inlineStr">
        <is>
          <t>2026-10-30T15:06:48+00:00</t>
        </is>
      </c>
      <c r="F1065" t="inlineStr">
        <is>
          <t>{"Keyword": "base64 decode", "Search Volume": "1300", "CPC": "0", "Competition": "0.33", "Number of Results": "107", "Trends": "0.81,1.00,1.00,1.00,0.81,0.81,0.81,0.81,0.62,0.62,0.55,0.55", "Intent": "1", "Keyword Difficulty Index": "63"}</t>
        </is>
      </c>
      <c r="G1065" t="inlineStr">
        <is>
          <t>Raw (Semrush)</t>
        </is>
      </c>
    </row>
    <row r="1066">
      <c r="A1066" t="inlineStr">
        <is>
          <t>val-ma-1</t>
        </is>
      </c>
      <c r="B1066" t="inlineStr">
        <is>
          <t>phrase_these</t>
        </is>
      </c>
      <c r="C1066" t="inlineStr">
        <is>
          <t>ma</t>
        </is>
      </c>
      <c r="D1066"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66" t="inlineStr">
        <is>
          <t>2026-10-30T15:06:51+00:00</t>
        </is>
      </c>
      <c r="F1066" t="inlineStr">
        <is>
          <t>{"Keyword": "base64 encode", "Search Volume": "210", "CPC": "0", "Competition": "0.33", "Number of Results": "0", "Trends": "0.81,1.00,0.81,0.81,0.66,0.66,0.66,0.81,0.66,0.66,0.53,0.44", "Intent": "", "Keyword Difficulty Index": "0"}</t>
        </is>
      </c>
      <c r="G1066" t="inlineStr">
        <is>
          <t>Raw (Semrush)</t>
        </is>
      </c>
    </row>
    <row r="1067">
      <c r="A1067" t="inlineStr">
        <is>
          <t>val-ma-1</t>
        </is>
      </c>
      <c r="B1067" t="inlineStr">
        <is>
          <t>phrase_these</t>
        </is>
      </c>
      <c r="C1067" t="inlineStr">
        <is>
          <t>ma</t>
        </is>
      </c>
      <c r="D1067"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67" t="inlineStr">
        <is>
          <t>2026-10-30T15:06:51+00:00</t>
        </is>
      </c>
      <c r="F1067" t="inlineStr">
        <is>
          <t>{"Keyword": "blog agence web", "Search Volume": "0", "CPC": "0", "Competition": "0", "Number of Results": "0", "Trends": "0.00,0.00,0.00,0.00,0.00,0.00,0.00,0.00,0.00,0.00,0.00,0.00", "Intent": "", "Keyword Difficulty Index": "0"}</t>
        </is>
      </c>
      <c r="G1067" t="inlineStr">
        <is>
          <t>Raw (Semrush)</t>
        </is>
      </c>
    </row>
    <row r="1068">
      <c r="A1068" t="inlineStr">
        <is>
          <t>val-ma-1</t>
        </is>
      </c>
      <c r="B1068" t="inlineStr">
        <is>
          <t>phrase_these</t>
        </is>
      </c>
      <c r="C1068" t="inlineStr">
        <is>
          <t>ma</t>
        </is>
      </c>
      <c r="D1068"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68" t="inlineStr">
        <is>
          <t>2026-10-30T15:06:51+00:00</t>
        </is>
      </c>
      <c r="F1068" t="inlineStr">
        <is>
          <t>{"Keyword": "blog seo", "Search Volume": "10", "CPC": "0.32", "Competition": "0.33", "Number of Results": "0", "Trends": "0.50,0.50,0.50,0.50,0.50,0.50,0.50,0.50,0.50,0.50,0.50,1.00", "Intent": "", "Keyword Difficulty Index": "0"}</t>
        </is>
      </c>
      <c r="G1068" t="inlineStr">
        <is>
          <t>Raw (Semrush)</t>
        </is>
      </c>
    </row>
    <row r="1069">
      <c r="A1069" t="inlineStr">
        <is>
          <t>val-ma-1</t>
        </is>
      </c>
      <c r="B1069" t="inlineStr">
        <is>
          <t>phrase_these</t>
        </is>
      </c>
      <c r="C1069" t="inlineStr">
        <is>
          <t>ma</t>
        </is>
      </c>
      <c r="D1069"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69" t="inlineStr">
        <is>
          <t>2026-10-30T15:06:51+00:00</t>
        </is>
      </c>
      <c r="F1069" t="inlineStr">
        <is>
          <t>{"Keyword": "boutique en ligne maroc", "Search Volume": "140", "CPC": "0.15", "Competition": "0.3", "Number of Results": "0", "Trends": "0.34,0.34,0.53,0.44,0.28,0.44,1.00,1.00,0.28,0.28,0.28,0.44", "Intent": "", "Keyword Difficulty Index": "0"}</t>
        </is>
      </c>
      <c r="G1069" t="inlineStr">
        <is>
          <t>Raw (Semrush)</t>
        </is>
      </c>
    </row>
    <row r="1070">
      <c r="A1070" t="inlineStr">
        <is>
          <t>val-ma-1</t>
        </is>
      </c>
      <c r="B1070" t="inlineStr">
        <is>
          <t>phrase_these</t>
        </is>
      </c>
      <c r="C1070" t="inlineStr">
        <is>
          <t>ma</t>
        </is>
      </c>
      <c r="D1070"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0" t="inlineStr">
        <is>
          <t>2026-10-30T15:06:51+00:00</t>
        </is>
      </c>
      <c r="F1070" t="inlineStr">
        <is>
          <t>{"Keyword": "boutique shopify", "Search Volume": "10", "CPC": "1.23", "Competition": "0.24", "Number of Results": "0", "Trends": "0.50,0.50,0.50,0.50,0.50,0.50,0.50,1.00,1.00,0.50,1.00,0.50", "Intent": "", "Keyword Difficulty Index": "0"}</t>
        </is>
      </c>
      <c r="G1070" t="inlineStr">
        <is>
          <t>Raw (Semrush)</t>
        </is>
      </c>
    </row>
    <row r="1071">
      <c r="A1071" t="inlineStr">
        <is>
          <t>val-ma-1</t>
        </is>
      </c>
      <c r="B1071" t="inlineStr">
        <is>
          <t>phrase_these</t>
        </is>
      </c>
      <c r="C1071" t="inlineStr">
        <is>
          <t>ma</t>
        </is>
      </c>
      <c r="D1071"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1" t="inlineStr">
        <is>
          <t>2026-10-30T15:06:51+00:00</t>
        </is>
      </c>
      <c r="F1071" t="inlineStr">
        <is>
          <t>{"Keyword": "broken link checker", "Search Volume": "110", "CPC": "0.52", "Competition": "0.09", "Number of Results": "0", "Trends": "1.00,1.00,1.00,0.64,0.79,0.79,0.64,0.79,0.64,0.50,0.50,0.50", "Intent": "", "Keyword Difficulty Index": "0"}</t>
        </is>
      </c>
      <c r="G1071" t="inlineStr">
        <is>
          <t>Raw (Semrush)</t>
        </is>
      </c>
    </row>
    <row r="1072">
      <c r="A1072" t="inlineStr">
        <is>
          <t>val-ma-1</t>
        </is>
      </c>
      <c r="B1072" t="inlineStr">
        <is>
          <t>phrase_these</t>
        </is>
      </c>
      <c r="C1072" t="inlineStr">
        <is>
          <t>ma</t>
        </is>
      </c>
      <c r="D1072"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2" t="inlineStr">
        <is>
          <t>2026-10-30T15:06:51+00:00</t>
        </is>
      </c>
      <c r="F1072" t="inlineStr">
        <is>
          <t>{"Keyword": "c'est quoi le seo", "Search Volume": "20", "CPC": "0", "Competition": "0.09", "Number of Results": "0", "Trends": "0.80,0.20,0.60,0.20,0.80,0.20,0.20,0.40,0.20,1.00,0.20,0.20", "Intent": "", "Keyword Difficulty Index": "0"}</t>
        </is>
      </c>
      <c r="G1072" t="inlineStr">
        <is>
          <t>Raw (Semrush)</t>
        </is>
      </c>
    </row>
    <row r="1073">
      <c r="A1073" t="inlineStr">
        <is>
          <t>val-ma-1</t>
        </is>
      </c>
      <c r="B1073" t="inlineStr">
        <is>
          <t>phrase_these</t>
        </is>
      </c>
      <c r="C1073" t="inlineStr">
        <is>
          <t>ma</t>
        </is>
      </c>
      <c r="D1073"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3" t="inlineStr">
        <is>
          <t>2026-10-30T15:06:51+00:00</t>
        </is>
      </c>
      <c r="F1073" t="inlineStr">
        <is>
          <t>{"Keyword": "cabinet immigration canada maroc", "Search Volume": "20", "CPC": "0", "Competition": "0.33", "Number of Results": "0", "Trends": "0.20,0.20,0.20,0.20,1.00,0.20,0.20,0.80,0.20,0.20,0.20,0.40", "Intent": "", "Keyword Difficulty Index": "0"}</t>
        </is>
      </c>
      <c r="G1073" t="inlineStr">
        <is>
          <t>Raw (Semrush)</t>
        </is>
      </c>
    </row>
    <row r="1074">
      <c r="A1074" t="inlineStr">
        <is>
          <t>val-ma-1</t>
        </is>
      </c>
      <c r="B1074" t="inlineStr">
        <is>
          <t>phrase_these</t>
        </is>
      </c>
      <c r="C1074" t="inlineStr">
        <is>
          <t>ma</t>
        </is>
      </c>
      <c r="D1074"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4" t="inlineStr">
        <is>
          <t>2026-10-30T15:06:51+00:00</t>
        </is>
      </c>
      <c r="F1074" t="inlineStr">
        <is>
          <t>{"Keyword": "caractère invisible", "Search Volume": "260", "CPC": "0", "Competition": "0.33", "Number of Results": "0", "Trends": "0.54,0.67,0.54,0.54,0.54,0.44,0.54,0.67,0.54,0.44,1.00,1.00", "Intent": "", "Keyword Difficulty Index": "0"}</t>
        </is>
      </c>
      <c r="G1074" t="inlineStr">
        <is>
          <t>Raw (Semrush)</t>
        </is>
      </c>
    </row>
    <row r="1075">
      <c r="A1075" t="inlineStr">
        <is>
          <t>val-ma-1</t>
        </is>
      </c>
      <c r="B1075" t="inlineStr">
        <is>
          <t>phrase_these</t>
        </is>
      </c>
      <c r="C1075" t="inlineStr">
        <is>
          <t>ma</t>
        </is>
      </c>
      <c r="D1075"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5" t="inlineStr">
        <is>
          <t>2026-10-30T15:06:51+00:00</t>
        </is>
      </c>
      <c r="F1075" t="inlineStr">
        <is>
          <t>{"Keyword": "certificat ssl", "Search Volume": "90", "CPC": "0.8", "Competition": "0.3", "Number of Results": "0", "Trends": "0.79,0.79,0.79,0.64,1.00,0.64,0.79,0.79,0.64,0.64,0.64,0.29", "Intent": "", "Keyword Difficulty Index": "0"}</t>
        </is>
      </c>
      <c r="G1075" t="inlineStr">
        <is>
          <t>Raw (Semrush)</t>
        </is>
      </c>
    </row>
    <row r="1076">
      <c r="A1076" t="inlineStr">
        <is>
          <t>val-ma-1</t>
        </is>
      </c>
      <c r="B1076" t="inlineStr">
        <is>
          <t>phrase_these</t>
        </is>
      </c>
      <c r="C1076" t="inlineStr">
        <is>
          <t>ma</t>
        </is>
      </c>
      <c r="D1076"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6" t="inlineStr">
        <is>
          <t>2026-10-30T15:06:51+00:00</t>
        </is>
      </c>
      <c r="F1076" t="inlineStr">
        <is>
          <t>{"Keyword": "cmi paiement en ligne", "Search Volume": "170", "CPC": "0", "Competition": "0.33", "Number of Results": "0", "Trends": "0.81,0.81,0.67,0.81,0.67,0.52,0.81,0.81,1.00,0.67,0.67,0.81", "Intent": "", "Keyword Difficulty Index": "0"}</t>
        </is>
      </c>
      <c r="G1076" t="inlineStr">
        <is>
          <t>Raw (Semrush)</t>
        </is>
      </c>
    </row>
    <row r="1077">
      <c r="A1077" t="inlineStr">
        <is>
          <t>val-ma-1</t>
        </is>
      </c>
      <c r="B1077" t="inlineStr">
        <is>
          <t>phrase_these</t>
        </is>
      </c>
      <c r="C1077" t="inlineStr">
        <is>
          <t>ma</t>
        </is>
      </c>
      <c r="D1077"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7" t="inlineStr">
        <is>
          <t>2026-10-30T15:06:51+00:00</t>
        </is>
      </c>
      <c r="F1077" t="inlineStr">
        <is>
          <t>{"Keyword": "combien coute un site internet", "Search Volume": "20", "CPC": "0", "Competition": "0.86", "Number of Results": "0", "Trends": "0.75,0.25,0.25,0.50,0.25,0.75,0.75,0.25,0.25,0.25,0.25,1.00", "Intent": "", "Keyword Difficulty Index": "0"}</t>
        </is>
      </c>
      <c r="G1077" t="inlineStr">
        <is>
          <t>Raw (Semrush)</t>
        </is>
      </c>
    </row>
    <row r="1078">
      <c r="A1078" t="inlineStr">
        <is>
          <t>val-ma-1</t>
        </is>
      </c>
      <c r="B1078" t="inlineStr">
        <is>
          <t>phrase_these</t>
        </is>
      </c>
      <c r="C1078" t="inlineStr">
        <is>
          <t>ma</t>
        </is>
      </c>
      <c r="D1078"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8" t="inlineStr">
        <is>
          <t>2026-10-30T15:06:51+00:00</t>
        </is>
      </c>
      <c r="F1078" t="inlineStr">
        <is>
          <t>{"Keyword": "combien coûte un site web au maroc", "Search Volume": "0", "CPC": "0", "Competition": "0", "Number of Results": "0", "Trends": "0.00,0.00,0.00,0.00,0.00,0.00,0.00,0.00,0.00,0.00,0.00,0.00", "Intent": "", "Keyword Difficulty Index": "0"}</t>
        </is>
      </c>
      <c r="G1078" t="inlineStr">
        <is>
          <t>Raw (Semrush)</t>
        </is>
      </c>
    </row>
    <row r="1079">
      <c r="A1079" t="inlineStr">
        <is>
          <t>val-ma-1</t>
        </is>
      </c>
      <c r="B1079" t="inlineStr">
        <is>
          <t>phrase_these</t>
        </is>
      </c>
      <c r="C1079" t="inlineStr">
        <is>
          <t>ma</t>
        </is>
      </c>
      <c r="D1079"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79" t="inlineStr">
        <is>
          <t>2026-10-30T15:06:51+00:00</t>
        </is>
      </c>
      <c r="F1079" t="inlineStr">
        <is>
          <t>{"Keyword": "comment choisir une agence web", "Search Volume": "0", "CPC": "0", "Competition": "0", "Number of Results": "0", "Trends": "0.00,0.00,0.00,0.00,0.00,0.00,0.00,0.00,0.00,0.00,0.00,0.00", "Intent": "", "Keyword Difficulty Index": "0"}</t>
        </is>
      </c>
      <c r="G1079" t="inlineStr">
        <is>
          <t>Raw (Semrush)</t>
        </is>
      </c>
    </row>
    <row r="1080">
      <c r="A1080" t="inlineStr">
        <is>
          <t>val-ma-1</t>
        </is>
      </c>
      <c r="B1080" t="inlineStr">
        <is>
          <t>phrase_these</t>
        </is>
      </c>
      <c r="C1080" t="inlineStr">
        <is>
          <t>ma</t>
        </is>
      </c>
      <c r="D1080"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0" t="inlineStr">
        <is>
          <t>2026-10-30T15:06:51+00:00</t>
        </is>
      </c>
      <c r="F1080" t="inlineStr">
        <is>
          <t>{"Keyword": "comment créer un site e-commerce", "Search Volume": "20", "CPC": "0.25", "Competition": "0.3", "Number of Results": "0", "Trends": "0.25,1.00,0.75,0.25,0.75,0.25,0.25,0.25,0.50,0.25,0.75,0.25", "Intent": "", "Keyword Difficulty Index": "0"}</t>
        </is>
      </c>
      <c r="G1080" t="inlineStr">
        <is>
          <t>Raw (Semrush)</t>
        </is>
      </c>
    </row>
    <row r="1081">
      <c r="A1081" t="inlineStr">
        <is>
          <t>val-ma-1</t>
        </is>
      </c>
      <c r="B1081" t="inlineStr">
        <is>
          <t>phrase_these</t>
        </is>
      </c>
      <c r="C1081" t="inlineStr">
        <is>
          <t>ma</t>
        </is>
      </c>
      <c r="D1081"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1" t="inlineStr">
        <is>
          <t>2026-10-30T15:06:51+00:00</t>
        </is>
      </c>
      <c r="F1081" t="inlineStr">
        <is>
          <t>{"Keyword": "comment créer un site e-commerce au maroc", "Search Volume": "0", "CPC": "0", "Competition": "0", "Number of Results": "0", "Trends": "0.00,0.00,0.00,0.00,0.00,0.00,0.00,0.00,0.00,0.00,0.00,0.00", "Intent": "", "Keyword Difficulty Index": "0"}</t>
        </is>
      </c>
      <c r="G1081" t="inlineStr">
        <is>
          <t>Raw (Semrush)</t>
        </is>
      </c>
    </row>
    <row r="1082">
      <c r="A1082" t="inlineStr">
        <is>
          <t>val-ma-1</t>
        </is>
      </c>
      <c r="B1082" t="inlineStr">
        <is>
          <t>phrase_these</t>
        </is>
      </c>
      <c r="C1082" t="inlineStr">
        <is>
          <t>ma</t>
        </is>
      </c>
      <c r="D1082"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2" t="inlineStr">
        <is>
          <t>2026-10-30T15:06:51+00:00</t>
        </is>
      </c>
      <c r="F1082" t="inlineStr">
        <is>
          <t>{"Keyword": "comment créer un site internet", "Search Volume": "20", "CPC": "0.35", "Competition": "0.56", "Number of Results": "0", "Trends": "0.14,0.14,0.14,0.14,0.29,0.14,0.57,0.14,1.00,0.14,0.14,0.29", "Intent": "", "Keyword Difficulty Index": "0"}</t>
        </is>
      </c>
      <c r="G1082" t="inlineStr">
        <is>
          <t>Raw (Semrush)</t>
        </is>
      </c>
    </row>
    <row r="1083">
      <c r="A1083" t="inlineStr">
        <is>
          <t>val-ma-1</t>
        </is>
      </c>
      <c r="B1083" t="inlineStr">
        <is>
          <t>phrase_these</t>
        </is>
      </c>
      <c r="C1083" t="inlineStr">
        <is>
          <t>ma</t>
        </is>
      </c>
      <c r="D1083"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3" t="inlineStr">
        <is>
          <t>2026-10-30T15:06:51+00:00</t>
        </is>
      </c>
      <c r="F1083" t="inlineStr">
        <is>
          <t>{"Keyword": "comment créer un site web", "Search Volume": "170", "CPC": "0.4", "Competition": "0.67", "Number of Results": "0", "Trends": "0.81,1.00,1.00,0.81,0.81,0.65,0.65,0.81,0.54,0.54,0.54,0.35", "Intent": "", "Keyword Difficulty Index": "0"}</t>
        </is>
      </c>
      <c r="G1083" t="inlineStr">
        <is>
          <t>Raw (Semrush)</t>
        </is>
      </c>
    </row>
    <row r="1084">
      <c r="A1084" t="inlineStr">
        <is>
          <t>val-ma-1</t>
        </is>
      </c>
      <c r="B1084" t="inlineStr">
        <is>
          <t>phrase_these</t>
        </is>
      </c>
      <c r="C1084" t="inlineStr">
        <is>
          <t>ma</t>
        </is>
      </c>
      <c r="D1084"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4" t="inlineStr">
        <is>
          <t>2026-10-30T15:06:51+00:00</t>
        </is>
      </c>
      <c r="F1084" t="inlineStr">
        <is>
          <t>{"Keyword": "comment créer une application web", "Search Volume": "20", "CPC": "0", "Competition": "0.61", "Number of Results": "0", "Trends": "0.11,0.11,0.11,0.11,1.00,0.11,0.22,0.11,0.11,0.11,0.11,0.22", "Intent": "", "Keyword Difficulty Index": "0"}</t>
        </is>
      </c>
      <c r="G1084" t="inlineStr">
        <is>
          <t>Raw (Semrush)</t>
        </is>
      </c>
    </row>
    <row r="1085">
      <c r="A1085" t="inlineStr">
        <is>
          <t>val-ma-1</t>
        </is>
      </c>
      <c r="B1085" t="inlineStr">
        <is>
          <t>phrase_these</t>
        </is>
      </c>
      <c r="C1085" t="inlineStr">
        <is>
          <t>ma</t>
        </is>
      </c>
      <c r="D1085"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5" t="inlineStr">
        <is>
          <t>2026-10-30T15:06:51+00:00</t>
        </is>
      </c>
      <c r="F1085" t="inlineStr">
        <is>
          <t>{"Keyword": "comment faire du seo", "Search Volume": "20", "CPC": "0", "Competition": "0.33", "Number of Results": "0", "Trends": "1.00,0.14,0.14,0.14,0.29,0.14,0.14,0.14,0.14,0.14,0.29,0.29", "Intent": "", "Keyword Difficulty Index": "0"}</t>
        </is>
      </c>
      <c r="G1085" t="inlineStr">
        <is>
          <t>Raw (Semrush)</t>
        </is>
      </c>
    </row>
    <row r="1086">
      <c r="A1086" t="inlineStr">
        <is>
          <t>val-ma-1</t>
        </is>
      </c>
      <c r="B1086" t="inlineStr">
        <is>
          <t>phrase_these</t>
        </is>
      </c>
      <c r="C1086" t="inlineStr">
        <is>
          <t>ma</t>
        </is>
      </c>
      <c r="D1086"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6" t="inlineStr">
        <is>
          <t>2026-10-30T15:06:51+00:00</t>
        </is>
      </c>
      <c r="F1086" t="inlineStr">
        <is>
          <t>{"Keyword": "comment référencer son site sur google", "Search Volume": "0", "CPC": "0", "Competition": "0", "Number of Results": "0", "Trends": "0.00,0.00,0.00,0.00,0.00,0.00,0.00,0.00,0.00,0.00,0.00,0.00", "Intent": "", "Keyword Difficulty Index": "0"}</t>
        </is>
      </c>
      <c r="G1086" t="inlineStr">
        <is>
          <t>Raw (Semrush)</t>
        </is>
      </c>
    </row>
    <row r="1087">
      <c r="A1087" t="inlineStr">
        <is>
          <t>val-ma-1</t>
        </is>
      </c>
      <c r="B1087" t="inlineStr">
        <is>
          <t>phrase_these</t>
        </is>
      </c>
      <c r="C1087" t="inlineStr">
        <is>
          <t>ma</t>
        </is>
      </c>
      <c r="D1087"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7" t="inlineStr">
        <is>
          <t>2026-10-30T15:06:51+00:00</t>
        </is>
      </c>
      <c r="F1087" t="inlineStr">
        <is>
          <t>{"Keyword": "comment vendre en ligne au maroc", "Search Volume": "0", "CPC": "0", "Competition": "0", "Number of Results": "0", "Trends": "0.00,0.00,0.00,0.00,0.00,0.00,0.00,0.00,0.00,0.00,0.00,0.00", "Intent": "", "Keyword Difficulty Index": "0"}</t>
        </is>
      </c>
      <c r="G1087" t="inlineStr">
        <is>
          <t>Raw (Semrush)</t>
        </is>
      </c>
    </row>
    <row r="1088">
      <c r="A1088" t="inlineStr">
        <is>
          <t>val-ma-1</t>
        </is>
      </c>
      <c r="B1088" t="inlineStr">
        <is>
          <t>phrase_these</t>
        </is>
      </c>
      <c r="C1088" t="inlineStr">
        <is>
          <t>ma</t>
        </is>
      </c>
      <c r="D1088"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8" t="inlineStr">
        <is>
          <t>2026-10-30T15:06:51+00:00</t>
        </is>
      </c>
      <c r="F1088" t="inlineStr">
        <is>
          <t>{"Keyword": "comment être premier sur google", "Search Volume": "0", "CPC": "0", "Competition": "0", "Number of Results": "0", "Trends": "0.00,0.00,0.00,0.00,0.00,0.00,0.00,0.00,0.00,0.00,0.00,0.00", "Intent": "", "Keyword Difficulty Index": "0"}</t>
        </is>
      </c>
      <c r="G1088" t="inlineStr">
        <is>
          <t>Raw (Semrush)</t>
        </is>
      </c>
    </row>
    <row r="1089">
      <c r="A1089" t="inlineStr">
        <is>
          <t>val-ma-1</t>
        </is>
      </c>
      <c r="B1089" t="inlineStr">
        <is>
          <t>phrase_these</t>
        </is>
      </c>
      <c r="C1089" t="inlineStr">
        <is>
          <t>ma</t>
        </is>
      </c>
      <c r="D1089"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89" t="inlineStr">
        <is>
          <t>2026-10-30T15:06:51+00:00</t>
        </is>
      </c>
      <c r="F1089" t="inlineStr">
        <is>
          <t>{"Keyword": "compresser css", "Search Volume": "20", "CPC": "0", "Competition": "0", "Number of Results": "0", "Trends": "0.11,0.11,0.11,0.11,0.11,0.11,0.00,0.11,0.00,0.78,1.00,0.00", "Intent": "", "Keyword Difficulty Index": "0"}</t>
        </is>
      </c>
      <c r="G1089" t="inlineStr">
        <is>
          <t>Raw (Semrush)</t>
        </is>
      </c>
    </row>
    <row r="1090">
      <c r="A1090" t="inlineStr">
        <is>
          <t>val-ma-1</t>
        </is>
      </c>
      <c r="B1090" t="inlineStr">
        <is>
          <t>phrase_these</t>
        </is>
      </c>
      <c r="C1090" t="inlineStr">
        <is>
          <t>ma</t>
        </is>
      </c>
      <c r="D1090"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0" t="inlineStr">
        <is>
          <t>2026-10-30T15:06:51+00:00</t>
        </is>
      </c>
      <c r="F1090" t="inlineStr">
        <is>
          <t>{"Keyword": "compresser html", "Search Volume": "10", "CPC": "0", "Competition": "0.33", "Number of Results": "0", "Trends": "0.33,0.33,1.00,0.33,0.33,0.33,0.33,0.33,1.00,0.33,0.67,0.33", "Intent": "", "Keyword Difficulty Index": "0"}</t>
        </is>
      </c>
      <c r="G1090" t="inlineStr">
        <is>
          <t>Raw (Semrush)</t>
        </is>
      </c>
    </row>
    <row r="1091">
      <c r="A1091" t="inlineStr">
        <is>
          <t>val-ma-1</t>
        </is>
      </c>
      <c r="B1091" t="inlineStr">
        <is>
          <t>phrase_these</t>
        </is>
      </c>
      <c r="C1091" t="inlineStr">
        <is>
          <t>ma</t>
        </is>
      </c>
      <c r="D1091"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1" t="inlineStr">
        <is>
          <t>2026-10-30T15:06:51+00:00</t>
        </is>
      </c>
      <c r="F1091" t="inlineStr">
        <is>
          <t>{"Keyword": "compresser image", "Search Volume": "5400", "CPC": "0", "Competition": "0.1", "Number of Results": "113", "Trends": "1.00,0.55,0.44,0.55,0.36,0.24,0.29,0.55,0.29,0.44,0.55,0.82", "Intent": "1,0", "Keyword Difficulty Index": "42"}</t>
        </is>
      </c>
      <c r="G1091" t="inlineStr">
        <is>
          <t>Raw (Semrush)</t>
        </is>
      </c>
    </row>
    <row r="1092">
      <c r="A1092" t="inlineStr">
        <is>
          <t>val-ma-1</t>
        </is>
      </c>
      <c r="B1092" t="inlineStr">
        <is>
          <t>phrase_these</t>
        </is>
      </c>
      <c r="C1092" t="inlineStr">
        <is>
          <t>ma</t>
        </is>
      </c>
      <c r="D1092"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2" t="inlineStr">
        <is>
          <t>2026-10-30T15:06:51+00:00</t>
        </is>
      </c>
      <c r="F1092" t="inlineStr">
        <is>
          <t>{"Keyword": "compresser image en ligne", "Search Volume": "90", "CPC": "0", "Competition": "0.01", "Number of Results": "0", "Trends": "1.00,0.79,0.64,0.64,0.64,0.79,0.50,0.64,0.50,0.79,0.50,0.79", "Intent": "", "Keyword Difficulty Index": "0"}</t>
        </is>
      </c>
      <c r="G1092" t="inlineStr">
        <is>
          <t>Raw (Semrush)</t>
        </is>
      </c>
    </row>
    <row r="1093">
      <c r="A1093" t="inlineStr">
        <is>
          <t>val-ma-1</t>
        </is>
      </c>
      <c r="B1093" t="inlineStr">
        <is>
          <t>phrase_these</t>
        </is>
      </c>
      <c r="C1093" t="inlineStr">
        <is>
          <t>ma</t>
        </is>
      </c>
      <c r="D1093"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3" t="inlineStr">
        <is>
          <t>2026-10-30T15:06:51+00:00</t>
        </is>
      </c>
      <c r="F1093" t="inlineStr">
        <is>
          <t>{"Keyword": "compresser photo", "Search Volume": "720", "CPC": "0.03", "Competition": "0.1", "Number of Results": "120", "Trends": "0.68,0.45,0.37,0.68,0.37,0.55,0.55,0.45,0.68,0.68,0.77,1.00", "Intent": "1,0", "Keyword Difficulty Index": "43"}</t>
        </is>
      </c>
      <c r="G1093" t="inlineStr">
        <is>
          <t>Raw (Semrush)</t>
        </is>
      </c>
    </row>
    <row r="1094">
      <c r="A1094" t="inlineStr">
        <is>
          <t>val-ma-1</t>
        </is>
      </c>
      <c r="B1094" t="inlineStr">
        <is>
          <t>phrase_these</t>
        </is>
      </c>
      <c r="C1094" t="inlineStr">
        <is>
          <t>ma</t>
        </is>
      </c>
      <c r="D1094"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4" t="inlineStr">
        <is>
          <t>2026-10-30T15:06:51+00:00</t>
        </is>
      </c>
      <c r="F1094" t="inlineStr">
        <is>
          <t>{"Keyword": "compression image", "Search Volume": "5400", "CPC": "0", "Competition": "0.1", "Number of Results": "113", "Trends": "1.00,0.55,0.44,0.55,0.36,0.24,0.29,0.55,0.29,0.44,0.55,0.82", "Intent": "1,0", "Keyword Difficulty Index": "42"}</t>
        </is>
      </c>
      <c r="G1094" t="inlineStr">
        <is>
          <t>Raw (Semrush)</t>
        </is>
      </c>
    </row>
    <row r="1095">
      <c r="A1095" t="inlineStr">
        <is>
          <t>val-ma-1</t>
        </is>
      </c>
      <c r="B1095" t="inlineStr">
        <is>
          <t>phrase_these</t>
        </is>
      </c>
      <c r="C1095" t="inlineStr">
        <is>
          <t>ma</t>
        </is>
      </c>
      <c r="D1095"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5" t="inlineStr">
        <is>
          <t>2026-10-30T15:06:51+00:00</t>
        </is>
      </c>
      <c r="F1095" t="inlineStr">
        <is>
          <t>{"Keyword": "compter les mots", "Search Volume": "110", "CPC": "0.02", "Competition": "0.23", "Number of Results": "0", "Trends": "0.65,0.65,0.82,0.82,0.82,0.82,1.00,0.82,0.65,0.53,0.53,0.24", "Intent": "", "Keyword Difficulty Index": "0"}</t>
        </is>
      </c>
      <c r="G1095" t="inlineStr">
        <is>
          <t>Raw (Semrush)</t>
        </is>
      </c>
    </row>
    <row r="1096">
      <c r="A1096" t="inlineStr">
        <is>
          <t>val-ma-1</t>
        </is>
      </c>
      <c r="B1096" t="inlineStr">
        <is>
          <t>phrase_these</t>
        </is>
      </c>
      <c r="C1096" t="inlineStr">
        <is>
          <t>ma</t>
        </is>
      </c>
      <c r="D1096"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6" t="inlineStr">
        <is>
          <t>2026-10-30T15:06:51+00:00</t>
        </is>
      </c>
      <c r="F1096" t="inlineStr">
        <is>
          <t>{"Keyword": "compteur de caractères", "Search Volume": "170", "CPC": "0.01", "Competition": "0.24", "Number of Results": "0", "Trends": "0.44,0.54,0.44,0.44,0.36,0.44,1.00,0.44,0.23,0.28,0.13,0.13", "Intent": "", "Keyword Difficulty Index": "0"}</t>
        </is>
      </c>
      <c r="G1096" t="inlineStr">
        <is>
          <t>Raw (Semrush)</t>
        </is>
      </c>
    </row>
    <row r="1097">
      <c r="A1097" t="inlineStr">
        <is>
          <t>val-ma-1</t>
        </is>
      </c>
      <c r="B1097" t="inlineStr">
        <is>
          <t>phrase_these</t>
        </is>
      </c>
      <c r="C1097" t="inlineStr">
        <is>
          <t>ma</t>
        </is>
      </c>
      <c r="D1097"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7" t="inlineStr">
        <is>
          <t>2026-10-30T15:06:51+00:00</t>
        </is>
      </c>
      <c r="F1097" t="inlineStr">
        <is>
          <t>{"Keyword": "compteur de mot", "Search Volume": "90", "CPC": "0.03", "Competition": "0.17", "Number of Results": "0", "Trends": "1.00,0.67,0.44,0.02,0.04,0.15,0.04,0.02,0.04,0.02,0.02,0.02", "Intent": "", "Keyword Difficulty Index": "0"}</t>
        </is>
      </c>
      <c r="G1097" t="inlineStr">
        <is>
          <t>Raw (Semrush)</t>
        </is>
      </c>
    </row>
    <row r="1098">
      <c r="A1098" t="inlineStr">
        <is>
          <t>val-ma-1</t>
        </is>
      </c>
      <c r="B1098" t="inlineStr">
        <is>
          <t>phrase_these</t>
        </is>
      </c>
      <c r="C1098" t="inlineStr">
        <is>
          <t>ma</t>
        </is>
      </c>
      <c r="D1098"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8" t="inlineStr">
        <is>
          <t>2026-10-30T15:06:51+00:00</t>
        </is>
      </c>
      <c r="F1098" t="inlineStr">
        <is>
          <t>{"Keyword": "compteur de mots", "Search Volume": "480", "CPC": "0.02", "Competition": "0.19", "Number of Results": "87", "Trends": "0.81,0.81,1.00,0.81,1.00,0.81,1.00,0.81,1.00,0.81,0.54,0.36", "Intent": "1", "Keyword Difficulty Index": "32"}</t>
        </is>
      </c>
      <c r="G1098" t="inlineStr">
        <is>
          <t>Raw (Semrush)</t>
        </is>
      </c>
    </row>
    <row r="1099">
      <c r="A1099" t="inlineStr">
        <is>
          <t>val-ma-1</t>
        </is>
      </c>
      <c r="B1099" t="inlineStr">
        <is>
          <t>phrase_these</t>
        </is>
      </c>
      <c r="C1099" t="inlineStr">
        <is>
          <t>ma</t>
        </is>
      </c>
      <c r="D1099"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099" t="inlineStr">
        <is>
          <t>2026-10-30T15:06:51+00:00</t>
        </is>
      </c>
      <c r="F1099" t="inlineStr">
        <is>
          <t>{"Keyword": "conception site web casablanca", "Search Volume": "20", "CPC": "0", "Competition": "0.5", "Number of Results": "0", "Trends": "0.33,0.33,0.33,0.67,1.00,0.33,0.33,1.00,0.33,0.33,1.00,0.33", "Intent": "", "Keyword Difficulty Index": "0"}</t>
        </is>
      </c>
      <c r="G1099" t="inlineStr">
        <is>
          <t>Raw (Semrush)</t>
        </is>
      </c>
    </row>
    <row r="1100">
      <c r="A1100" t="inlineStr">
        <is>
          <t>val-ma-1</t>
        </is>
      </c>
      <c r="B1100" t="inlineStr">
        <is>
          <t>phrase_these</t>
        </is>
      </c>
      <c r="C1100" t="inlineStr">
        <is>
          <t>ma</t>
        </is>
      </c>
      <c r="D1100"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0" t="inlineStr">
        <is>
          <t>2026-10-30T15:06:51+00:00</t>
        </is>
      </c>
      <c r="F1100" t="inlineStr">
        <is>
          <t>{"Keyword": "conception site web maroc", "Search Volume": "20", "CPC": "0", "Competition": "0", "Number of Results": "0", "Trends": "0.20,0.20,0.80,0.20,1.00,0.20,0.20,0.40,0.20,0.20,0.20,0.00", "Intent": "", "Keyword Difficulty Index": "0"}</t>
        </is>
      </c>
      <c r="G1100" t="inlineStr">
        <is>
          <t>Raw (Semrush)</t>
        </is>
      </c>
    </row>
    <row r="1101">
      <c r="A1101" t="inlineStr">
        <is>
          <t>val-ma-1</t>
        </is>
      </c>
      <c r="B1101" t="inlineStr">
        <is>
          <t>phrase_these</t>
        </is>
      </c>
      <c r="C1101" t="inlineStr">
        <is>
          <t>ma</t>
        </is>
      </c>
      <c r="D1101"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1" t="inlineStr">
        <is>
          <t>2026-10-30T15:06:51+00:00</t>
        </is>
      </c>
      <c r="F1101" t="inlineStr">
        <is>
          <t>{"Keyword": "confiance site web", "Search Volume": "0", "CPC": "0", "Competition": "0", "Number of Results": "0", "Trends": "0.00,0.00,0.00,0.00,0.00,0.00,0.00,0.00,0.00,0.00,0.00,0.00", "Intent": "", "Keyword Difficulty Index": "0"}</t>
        </is>
      </c>
      <c r="G1101" t="inlineStr">
        <is>
          <t>Raw (Semrush)</t>
        </is>
      </c>
    </row>
    <row r="1102">
      <c r="A1102" t="inlineStr">
        <is>
          <t>val-ma-1</t>
        </is>
      </c>
      <c r="B1102" t="inlineStr">
        <is>
          <t>phrase_these</t>
        </is>
      </c>
      <c r="C1102" t="inlineStr">
        <is>
          <t>ma</t>
        </is>
      </c>
      <c r="D1102"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2" t="inlineStr">
        <is>
          <t>2026-10-30T15:06:51+00:00</t>
        </is>
      </c>
      <c r="F1102" t="inlineStr">
        <is>
          <t>{"Keyword": "consultant seo", "Search Volume": "10", "CPC": "0", "Competition": "0.06", "Number of Results": "0", "Trends": "1.00,0.50,0.50,0.50,0.50,0.50,1.00,0.50,0.50,0.50,0.50,0.50", "Intent": "", "Keyword Difficulty Index": "0"}</t>
        </is>
      </c>
      <c r="G1102" t="inlineStr">
        <is>
          <t>Raw (Semrush)</t>
        </is>
      </c>
    </row>
    <row r="1103">
      <c r="A1103" t="inlineStr">
        <is>
          <t>val-ma-1</t>
        </is>
      </c>
      <c r="B1103" t="inlineStr">
        <is>
          <t>phrase_these</t>
        </is>
      </c>
      <c r="C1103" t="inlineStr">
        <is>
          <t>ma</t>
        </is>
      </c>
      <c r="D1103"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3" t="inlineStr">
        <is>
          <t>2026-10-30T15:06:51+00:00</t>
        </is>
      </c>
      <c r="F1103" t="inlineStr">
        <is>
          <t>{"Keyword": "consultant seo maroc", "Search Volume": "70", "CPC": "0", "Competition": "0.09", "Number of Results": "0", "Trends": "1.00,0.06,0.82,0.06,0.29,0.06,0.82,0.06,0.06,0.06,1.00,0.06", "Intent": "", "Keyword Difficulty Index": "0"}</t>
        </is>
      </c>
      <c r="G1103" t="inlineStr">
        <is>
          <t>Raw (Semrush)</t>
        </is>
      </c>
    </row>
    <row r="1104">
      <c r="A1104" t="inlineStr">
        <is>
          <t>val-ma-1</t>
        </is>
      </c>
      <c r="B1104" t="inlineStr">
        <is>
          <t>phrase_these</t>
        </is>
      </c>
      <c r="C1104" t="inlineStr">
        <is>
          <t>ma</t>
        </is>
      </c>
      <c r="D1104"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4" t="inlineStr">
        <is>
          <t>2026-10-30T15:06:51+00:00</t>
        </is>
      </c>
      <c r="F1104" t="inlineStr">
        <is>
          <t>{"Keyword": "contenu dupliqué", "Search Volume": "40", "CPC": "0", "Competition": "0.33", "Number of Results": "0", "Trends": "0.11,0.78,0.11,0.78,0.11,0.22,0.11,1.00,1.00,0.11,0.44,0.11", "Intent": "", "Keyword Difficulty Index": "0"}</t>
        </is>
      </c>
      <c r="G1104" t="inlineStr">
        <is>
          <t>Raw (Semrush)</t>
        </is>
      </c>
    </row>
    <row r="1105">
      <c r="A1105" t="inlineStr">
        <is>
          <t>val-ma-1</t>
        </is>
      </c>
      <c r="B1105" t="inlineStr">
        <is>
          <t>phrase_these</t>
        </is>
      </c>
      <c r="C1105" t="inlineStr">
        <is>
          <t>ma</t>
        </is>
      </c>
      <c r="D1105"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5" t="inlineStr">
        <is>
          <t>2026-10-30T15:06:51+00:00</t>
        </is>
      </c>
      <c r="F1105" t="inlineStr">
        <is>
          <t>{"Keyword": "convertir html en texte", "Search Volume": "20", "CPC": "0", "Competition": "0.33", "Number of Results": "0", "Trends": "0.20,0.60,0.40,0.20,0.20,1.00,0.40,0.20,0.20,0.20,0.20,0.20", "Intent": "", "Keyword Difficulty Index": "0"}</t>
        </is>
      </c>
      <c r="G1105" t="inlineStr">
        <is>
          <t>Raw (Semrush)</t>
        </is>
      </c>
    </row>
    <row r="1106">
      <c r="A1106" t="inlineStr">
        <is>
          <t>val-ma-1</t>
        </is>
      </c>
      <c r="B1106" t="inlineStr">
        <is>
          <t>phrase_these</t>
        </is>
      </c>
      <c r="C1106" t="inlineStr">
        <is>
          <t>ma</t>
        </is>
      </c>
      <c r="D1106"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6" t="inlineStr">
        <is>
          <t>2026-10-30T15:06:51+00:00</t>
        </is>
      </c>
      <c r="F1106" t="inlineStr">
        <is>
          <t>{"Keyword": "convertisseur majuscule", "Search Volume": "0", "CPC": "0", "Competition": "0", "Number of Results": "0", "Trends": "0.00,0.00,0.00,0.00,0.00,0.00,0.00,0.00,0.00,0.00,0.00,0.00", "Intent": "", "Keyword Difficulty Index": "0"}</t>
        </is>
      </c>
      <c r="G1106" t="inlineStr">
        <is>
          <t>Raw (Semrush)</t>
        </is>
      </c>
    </row>
    <row r="1107">
      <c r="A1107" t="inlineStr">
        <is>
          <t>val-ma-1</t>
        </is>
      </c>
      <c r="B1107" t="inlineStr">
        <is>
          <t>phrase_these</t>
        </is>
      </c>
      <c r="C1107" t="inlineStr">
        <is>
          <t>ma</t>
        </is>
      </c>
      <c r="D1107"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7" t="inlineStr">
        <is>
          <t>2026-10-30T15:06:51+00:00</t>
        </is>
      </c>
      <c r="F1107" t="inlineStr">
        <is>
          <t>{"Keyword": "cours allemand casablanca", "Search Volume": "20", "CPC": "0.32", "Competition": "0.66", "Number of Results": "0", "Trends": "1.00,0.11,0.11,0.56,0.11,0.11,0.11,0.11,0.11,0.22,0.11,0.11", "Intent": "", "Keyword Difficulty Index": "0"}</t>
        </is>
      </c>
      <c r="G1107" t="inlineStr">
        <is>
          <t>Raw (Semrush)</t>
        </is>
      </c>
    </row>
    <row r="1108">
      <c r="A1108" t="inlineStr">
        <is>
          <t>val-ma-1</t>
        </is>
      </c>
      <c r="B1108" t="inlineStr">
        <is>
          <t>phrase_these</t>
        </is>
      </c>
      <c r="C1108" t="inlineStr">
        <is>
          <t>ma</t>
        </is>
      </c>
      <c r="D1108"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8" t="inlineStr">
        <is>
          <t>2026-10-30T15:06:51+00:00</t>
        </is>
      </c>
      <c r="F1108" t="inlineStr">
        <is>
          <t>{"Keyword": "creation site web", "Search Volume": "390", "CPC": "0.75", "Competition": "0.49", "Number of Results": "10", "Trends": "1.00,1.00,0.81,1.00,0.81,1.00,0.67,0.81,0.67,0.67,0.67,0.67", "Intent": "1", "Keyword Difficulty Index": "69"}</t>
        </is>
      </c>
      <c r="G1108" t="inlineStr">
        <is>
          <t>Raw (Semrush)</t>
        </is>
      </c>
    </row>
    <row r="1109">
      <c r="A1109" t="inlineStr">
        <is>
          <t>val-ma-1</t>
        </is>
      </c>
      <c r="B1109" t="inlineStr">
        <is>
          <t>phrase_these</t>
        </is>
      </c>
      <c r="C1109" t="inlineStr">
        <is>
          <t>ma</t>
        </is>
      </c>
      <c r="D1109"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09" t="inlineStr">
        <is>
          <t>2026-10-30T15:06:51+00:00</t>
        </is>
      </c>
      <c r="F1109" t="inlineStr">
        <is>
          <t>{"Keyword": "creation site web agadir", "Search Volume": "90", "CPC": "0", "Competition": "0.05", "Number of Results": "0", "Trends": "0.03,0.23,0.18,0.03,1.00,0.28,0.03,0.67,0.23,0.13,0.10,0.03", "Intent": "", "Keyword Difficulty Index": "0"}</t>
        </is>
      </c>
      <c r="G1109" t="inlineStr">
        <is>
          <t>Raw (Semrush)</t>
        </is>
      </c>
    </row>
    <row r="1110">
      <c r="A1110" t="inlineStr">
        <is>
          <t>val-ma-1</t>
        </is>
      </c>
      <c r="B1110" t="inlineStr">
        <is>
          <t>phrase_these</t>
        </is>
      </c>
      <c r="C1110" t="inlineStr">
        <is>
          <t>ma</t>
        </is>
      </c>
      <c r="D1110"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0" t="inlineStr">
        <is>
          <t>2026-10-30T15:06:51+00:00</t>
        </is>
      </c>
      <c r="F1110" t="inlineStr">
        <is>
          <t>{"Keyword": "creation site web casablanca", "Search Volume": "210", "CPC": "0.91", "Competition": "0.22", "Number of Results": "0", "Trends": "1.00,0.81,0.53,0.66,1.00,0.81,0.81,0.53,0.81,0.34,0.28,0.34", "Intent": "", "Keyword Difficulty Index": "0"}</t>
        </is>
      </c>
      <c r="G1110" t="inlineStr">
        <is>
          <t>Raw (Semrush)</t>
        </is>
      </c>
    </row>
    <row r="1111">
      <c r="A1111" t="inlineStr">
        <is>
          <t>val-ma-1</t>
        </is>
      </c>
      <c r="B1111" t="inlineStr">
        <is>
          <t>phrase_these</t>
        </is>
      </c>
      <c r="C1111" t="inlineStr">
        <is>
          <t>ma</t>
        </is>
      </c>
      <c r="D1111"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1" t="inlineStr">
        <is>
          <t>2026-10-30T15:06:51+00:00</t>
        </is>
      </c>
      <c r="F1111" t="inlineStr">
        <is>
          <t>{"Keyword": "creation site web maroc", "Search Volume": "1000", "CPC": "0.77", "Competition": "0.22", "Number of Results": "10", "Trends": "0.77,1.00,1.00,0.77,0.68,0.77,1.00,0.77,0.77,0.55,0.68,0.68", "Intent": "1", "Keyword Difficulty Index": "22"}</t>
        </is>
      </c>
      <c r="G1111" t="inlineStr">
        <is>
          <t>Raw (Semrush)</t>
        </is>
      </c>
    </row>
    <row r="1112">
      <c r="A1112" t="inlineStr">
        <is>
          <t>val-ma-1</t>
        </is>
      </c>
      <c r="B1112" t="inlineStr">
        <is>
          <t>phrase_these</t>
        </is>
      </c>
      <c r="C1112" t="inlineStr">
        <is>
          <t>ma</t>
        </is>
      </c>
      <c r="D1112"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2" t="inlineStr">
        <is>
          <t>2026-10-30T15:06:51+00:00</t>
        </is>
      </c>
      <c r="F1112" t="inlineStr">
        <is>
          <t>{"Keyword": "creation site web marrakech", "Search Volume": "590", "CPC": "0.58", "Competition": "0.1", "Number of Results": "114", "Trends": "0.72,0.72,1.00,0.59,0.72,0.72,0.59,0.39,0.59,0.59,0.59,0.48", "Intent": "0", "Keyword Difficulty Index": "19"}</t>
        </is>
      </c>
      <c r="G1112" t="inlineStr">
        <is>
          <t>Raw (Semrush)</t>
        </is>
      </c>
    </row>
    <row r="1113">
      <c r="A1113" t="inlineStr">
        <is>
          <t>val-ma-1</t>
        </is>
      </c>
      <c r="B1113" t="inlineStr">
        <is>
          <t>phrase_these</t>
        </is>
      </c>
      <c r="C1113" t="inlineStr">
        <is>
          <t>ma</t>
        </is>
      </c>
      <c r="D1113"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3" t="inlineStr">
        <is>
          <t>2026-10-30T15:06:51+00:00</t>
        </is>
      </c>
      <c r="F1113" t="inlineStr">
        <is>
          <t>{"Keyword": "creation site web rabat", "Search Volume": "140", "CPC": "0.67", "Competition": "0.21", "Number of Results": "0", "Trends": "0.53,0.65,0.82,0.82,0.82,0.82,1.00,0.82,0.82,0.53,0.65,0.82", "Intent": "", "Keyword Difficulty Index": "0"}</t>
        </is>
      </c>
      <c r="G1113" t="inlineStr">
        <is>
          <t>Raw (Semrush)</t>
        </is>
      </c>
    </row>
    <row r="1114">
      <c r="A1114" t="inlineStr">
        <is>
          <t>val-ma-1</t>
        </is>
      </c>
      <c r="B1114" t="inlineStr">
        <is>
          <t>phrase_these</t>
        </is>
      </c>
      <c r="C1114" t="inlineStr">
        <is>
          <t>ma</t>
        </is>
      </c>
      <c r="D1114"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4" t="inlineStr">
        <is>
          <t>2026-10-30T15:06:51+00:00</t>
        </is>
      </c>
      <c r="F1114" t="inlineStr">
        <is>
          <t>{"Keyword": "creation site web tanger", "Search Volume": "320", "CPC": "0.76", "Competition": "0.04", "Number of Results": "105", "Trends": "0.15,0.29,0.36,0.81,1.00,0.81,1.00,1.00,0.54,0.36,0.44,0.19", "Intent": "0", "Keyword Difficulty Index": "11"}</t>
        </is>
      </c>
      <c r="G1114" t="inlineStr">
        <is>
          <t>Raw (Semrush)</t>
        </is>
      </c>
    </row>
    <row r="1115">
      <c r="A1115" t="inlineStr">
        <is>
          <t>val-ma-1</t>
        </is>
      </c>
      <c r="B1115" t="inlineStr">
        <is>
          <t>phrase_these</t>
        </is>
      </c>
      <c r="C1115" t="inlineStr">
        <is>
          <t>ma</t>
        </is>
      </c>
      <c r="D1115"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5" t="inlineStr">
        <is>
          <t>2026-10-30T15:06:51+00:00</t>
        </is>
      </c>
      <c r="F1115" t="inlineStr">
        <is>
          <t>{"Keyword": "création application web", "Search Volume": "20", "CPC": "0", "Competition": "0.33", "Number of Results": "0", "Trends": "0.33,0.33,0.11,0.11,0.11,0.33,0.11,0.11,0.11,0.44,0.11,1.00", "Intent": "", "Keyword Difficulty Index": "0"}</t>
        </is>
      </c>
      <c r="G1115" t="inlineStr">
        <is>
          <t>Raw (Semrush)</t>
        </is>
      </c>
    </row>
    <row r="1116">
      <c r="A1116" t="inlineStr">
        <is>
          <t>val-ma-1</t>
        </is>
      </c>
      <c r="B1116" t="inlineStr">
        <is>
          <t>phrase_these</t>
        </is>
      </c>
      <c r="C1116" t="inlineStr">
        <is>
          <t>ma</t>
        </is>
      </c>
      <c r="D1116"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6" t="inlineStr">
        <is>
          <t>2026-10-30T15:06:51+00:00</t>
        </is>
      </c>
      <c r="F1116" t="inlineStr">
        <is>
          <t>{"Keyword": "création boutique en ligne", "Search Volume": "20", "CPC": "0.56", "Competition": "0.62", "Number of Results": "0", "Trends": "0.11,0.11,0.11,0.33,0.11,0.11,0.33,0.11,0.11,0.56,0.11,1.00", "Intent": "", "Keyword Difficulty Index": "0"}</t>
        </is>
      </c>
      <c r="G1116" t="inlineStr">
        <is>
          <t>Raw (Semrush)</t>
        </is>
      </c>
    </row>
    <row r="1117">
      <c r="A1117" t="inlineStr">
        <is>
          <t>val-ma-1</t>
        </is>
      </c>
      <c r="B1117" t="inlineStr">
        <is>
          <t>phrase_these</t>
        </is>
      </c>
      <c r="C1117" t="inlineStr">
        <is>
          <t>ma</t>
        </is>
      </c>
      <c r="D1117"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7" t="inlineStr">
        <is>
          <t>2026-10-30T15:06:51+00:00</t>
        </is>
      </c>
      <c r="F1117" t="inlineStr">
        <is>
          <t>{"Keyword": "création de site web", "Search Volume": "260", "CPC": "1.03", "Competition": "0.59", "Number of Results": "0", "Trends": "1.00,0.44,0.67,0.67,0.44,0.44,0.54,0.44,0.54,0.54,0.44,0.35", "Intent": "", "Keyword Difficulty Index": "0"}</t>
        </is>
      </c>
      <c r="G1117" t="inlineStr">
        <is>
          <t>Raw (Semrush)</t>
        </is>
      </c>
    </row>
    <row r="1118">
      <c r="A1118" t="inlineStr">
        <is>
          <t>val-ma-1</t>
        </is>
      </c>
      <c r="B1118" t="inlineStr">
        <is>
          <t>phrase_these</t>
        </is>
      </c>
      <c r="C1118" t="inlineStr">
        <is>
          <t>ma</t>
        </is>
      </c>
      <c r="D1118"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8" t="inlineStr">
        <is>
          <t>2026-10-30T15:06:51+00:00</t>
        </is>
      </c>
      <c r="F1118" t="inlineStr">
        <is>
          <t>{"Keyword": "création de site web casablanca", "Search Volume": "10", "CPC": "0", "Competition": "0.07", "Number of Results": "0", "Trends": "0.33,0.33,0.33,0.33,0.33,0.33,1.00,0.33,0.33,0.33,0.33,0.33", "Intent": "", "Keyword Difficulty Index": "0"}</t>
        </is>
      </c>
      <c r="G1118" t="inlineStr">
        <is>
          <t>Raw (Semrush)</t>
        </is>
      </c>
    </row>
    <row r="1119">
      <c r="A1119" t="inlineStr">
        <is>
          <t>val-ma-1</t>
        </is>
      </c>
      <c r="B1119" t="inlineStr">
        <is>
          <t>phrase_these</t>
        </is>
      </c>
      <c r="C1119" t="inlineStr">
        <is>
          <t>ma</t>
        </is>
      </c>
      <c r="D1119"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19" t="inlineStr">
        <is>
          <t>2026-10-30T15:06:51+00:00</t>
        </is>
      </c>
      <c r="F1119" t="inlineStr">
        <is>
          <t>{"Keyword": "création de site web marrakech", "Search Volume": "30", "CPC": "0.81", "Competition": "0.38", "Number of Results": "0", "Trends": "0.71,0.14,0.14,0.71,0.29,1.00,0.14,1.00,0.29,0.14,0.14,0.43", "Intent": "", "Keyword Difficulty Index": "0"}</t>
        </is>
      </c>
      <c r="G1119" t="inlineStr">
        <is>
          <t>Raw (Semrush)</t>
        </is>
      </c>
    </row>
    <row r="1120">
      <c r="A1120" t="inlineStr">
        <is>
          <t>val-ma-1</t>
        </is>
      </c>
      <c r="B1120" t="inlineStr">
        <is>
          <t>phrase_these</t>
        </is>
      </c>
      <c r="C1120" t="inlineStr">
        <is>
          <t>ma</t>
        </is>
      </c>
      <c r="D1120" t="inlineStr">
        <is>
          <t>base64 en ligne;base64 encode;blog agence web;blog développement web;blog seo;bloquer gptbot;boutique dentaire en ligne;boutique en ligne maroc;boutique lunettes en ligne;boutique shopify;broken link checker;budget de crawl;bureau d'orientation études à l'étranger;c'est quoi le seo;cabinet d'immigration maroc;cabinet immigration canada maroc;calcul densité mot clé;canonical seo;caractère invisible;carte maillage interne;certificat ssl;checklist mise en ligne site;choisir une plateforme e-learning;cmi paiement en ligne;codesommet;combien coute le seo;combien coute un nom de domaine au maroc;combien coute un site e-commerce au maroc;combien coute un site internet;combien coute un site web au maroc;combien coute un site web maroc;combien coute un site wordpress;combien coute une application mobile au maroc;combien coute une application web;combien coûte un site web au maroc;combien de temps pour créer un site web;combien de temps pour être référencé sur google;combien gagne un développeur</t>
        </is>
      </c>
      <c r="E1120" t="inlineStr">
        <is>
          <t>2026-10-30T15:06:51+00:00</t>
        </is>
      </c>
      <c r="F1120" t="inlineStr">
        <is>
          <t>{"Keyword": "création de site web rabat", "Search Volume": "20", "CPC": "0.55", "Competition": "1", "Number of Results": "0", "Trends": "0.14,0.14,0.14,0.29,0.14,0.29,0.29,0.14,0.14,0.14,1.00,1.00", "Intent": "", "Keyword Difficulty Index": "0"}</t>
        </is>
      </c>
      <c r="G1120" t="inlineStr">
        <is>
          <t>Raw (Semrush)</t>
        </is>
      </c>
    </row>
    <row r="1121">
      <c r="A1121" t="inlineStr">
        <is>
          <t>val-ma-2</t>
        </is>
      </c>
      <c r="B1121" t="inlineStr">
        <is>
          <t>phrase_these</t>
        </is>
      </c>
      <c r="C1121" t="inlineStr">
        <is>
          <t>ma</t>
        </is>
      </c>
      <c r="D1121"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21" t="inlineStr">
        <is>
          <t>2026-10-30T15:06:52+00:00</t>
        </is>
      </c>
      <c r="F1121" t="inlineStr">
        <is>
          <t>{"Keyword": "création site e-commerce", "Search Volume": "20", "CPC": "0.6", "Competition": "0.68", "Number of Results": "0", "Trends": "0.14,0.14,0.14,0.14,0.14,0.14,0.43,1.00,1.00,0.29,0.14,0.14", "Intent": "", "Keyword Difficulty Index": "0"}</t>
        </is>
      </c>
      <c r="G1121" t="inlineStr">
        <is>
          <t>Raw (Semrush)</t>
        </is>
      </c>
    </row>
    <row r="1122">
      <c r="A1122" t="inlineStr">
        <is>
          <t>val-ma-2</t>
        </is>
      </c>
      <c r="B1122" t="inlineStr">
        <is>
          <t>phrase_these</t>
        </is>
      </c>
      <c r="C1122" t="inlineStr">
        <is>
          <t>ma</t>
        </is>
      </c>
      <c r="D1122"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22" t="inlineStr">
        <is>
          <t>2026-10-30T15:06:52+00:00</t>
        </is>
      </c>
      <c r="F1122" t="inlineStr">
        <is>
          <t>{"Keyword": "création site e-commerce maroc", "Search Volume": "20", "CPC": "0.61", "Competition": "0.45", "Number of Results": "0", "Trends": "0.75,0.25,0.50,0.25,0.25,1.00,0.25,0.25,0.75,0.25,0.25,0.25", "Intent": "", "Keyword Difficulty Index": "0"}</t>
        </is>
      </c>
      <c r="G1122" t="inlineStr">
        <is>
          <t>Raw (Semrush)</t>
        </is>
      </c>
    </row>
    <row r="1123">
      <c r="A1123" t="inlineStr">
        <is>
          <t>val-ma-2</t>
        </is>
      </c>
      <c r="B1123" t="inlineStr">
        <is>
          <t>phrase_these</t>
        </is>
      </c>
      <c r="C1123" t="inlineStr">
        <is>
          <t>ma</t>
        </is>
      </c>
      <c r="D1123"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23" t="inlineStr">
        <is>
          <t>2026-10-30T15:06:52+00:00</t>
        </is>
      </c>
      <c r="F1123" t="inlineStr">
        <is>
          <t>{"Keyword": "création site immobilier", "Search Volume": "0", "CPC": "0", "Competition": "0", "Number of Results": "0", "Trends": "0.00,0.00,0.00,0.00,0.00,0.00,0.00,0.00,0.00,0.00,0.00,0.00", "Intent": "", "Keyword Difficulty Index": "0"}</t>
        </is>
      </c>
      <c r="G1123" t="inlineStr">
        <is>
          <t>Raw (Semrush)</t>
        </is>
      </c>
    </row>
    <row r="1124">
      <c r="A1124" t="inlineStr">
        <is>
          <t>val-ma-2</t>
        </is>
      </c>
      <c r="B1124" t="inlineStr">
        <is>
          <t>phrase_these</t>
        </is>
      </c>
      <c r="C1124" t="inlineStr">
        <is>
          <t>ma</t>
        </is>
      </c>
      <c r="D1124"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24" t="inlineStr">
        <is>
          <t>2026-10-30T15:06:52+00:00</t>
        </is>
      </c>
      <c r="F1124" t="inlineStr">
        <is>
          <t>{"Keyword": "création site internet casablanca", "Search Volume": "20", "CPC": "0", "Competition": "0.32", "Number of Results": "0", "Trends": "0.14,0.14,0.57,0.71,0.14,0.14,1.00,0.29,0.14,0.14,0.43,0.29", "Intent": "", "Keyword Difficulty Index": "0"}</t>
        </is>
      </c>
      <c r="G1124" t="inlineStr">
        <is>
          <t>Raw (Semrush)</t>
        </is>
      </c>
    </row>
    <row r="1125">
      <c r="A1125" t="inlineStr">
        <is>
          <t>val-ma-2</t>
        </is>
      </c>
      <c r="B1125" t="inlineStr">
        <is>
          <t>phrase_these</t>
        </is>
      </c>
      <c r="C1125" t="inlineStr">
        <is>
          <t>ma</t>
        </is>
      </c>
      <c r="D1125"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25" t="inlineStr">
        <is>
          <t>2026-10-30T15:06:52+00:00</t>
        </is>
      </c>
      <c r="F1125" t="inlineStr">
        <is>
          <t>{"Keyword": "création site internet maroc", "Search Volume": "30", "CPC": "0", "Competition": "0.05", "Number of Results": "0", "Trends": "1.00,0.12,0.06,0.18,0.18,0.06,0.06,0.06,0.06,0.18,0.06,0.12", "Intent": "", "Keyword Difficulty Index": "0"}</t>
        </is>
      </c>
      <c r="G1125" t="inlineStr">
        <is>
          <t>Raw (Semrush)</t>
        </is>
      </c>
    </row>
    <row r="1126">
      <c r="A1126" t="inlineStr">
        <is>
          <t>val-ma-2</t>
        </is>
      </c>
      <c r="B1126" t="inlineStr">
        <is>
          <t>phrase_these</t>
        </is>
      </c>
      <c r="C1126" t="inlineStr">
        <is>
          <t>ma</t>
        </is>
      </c>
      <c r="D1126"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26" t="inlineStr">
        <is>
          <t>2026-10-30T15:06:52+00:00</t>
        </is>
      </c>
      <c r="F1126" t="inlineStr">
        <is>
          <t>{"Keyword": "création site internet marrakech", "Search Volume": "170", "CPC": "1.24", "Competition": "0.14", "Number of Results": "0", "Trends": "0.36,0.24,1.00,0.54,0.44,0.24,0.29,0.19,0.05,0.12,0.07,0.12", "Intent": "", "Keyword Difficulty Index": "0"}</t>
        </is>
      </c>
      <c r="G1126" t="inlineStr">
        <is>
          <t>Raw (Semrush)</t>
        </is>
      </c>
    </row>
    <row r="1127">
      <c r="A1127" t="inlineStr">
        <is>
          <t>val-ma-2</t>
        </is>
      </c>
      <c r="B1127" t="inlineStr">
        <is>
          <t>phrase_these</t>
        </is>
      </c>
      <c r="C1127" t="inlineStr">
        <is>
          <t>ma</t>
        </is>
      </c>
      <c r="D1127"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27" t="inlineStr">
        <is>
          <t>2026-10-30T15:06:52+00:00</t>
        </is>
      </c>
      <c r="F1127" t="inlineStr">
        <is>
          <t>{"Keyword": "création site internet rabat", "Search Volume": "20", "CPC": "0", "Competition": "0.86", "Number of Results": "0", "Trends": "0.14,0.14,0.14,0.57,1.00,1.00,0.14,0.14,0.14,0.14,0.29,0.29", "Intent": "", "Keyword Difficulty Index": "0"}</t>
        </is>
      </c>
      <c r="G1127" t="inlineStr">
        <is>
          <t>Raw (Semrush)</t>
        </is>
      </c>
    </row>
    <row r="1128">
      <c r="A1128" t="inlineStr">
        <is>
          <t>val-ma-2</t>
        </is>
      </c>
      <c r="B1128" t="inlineStr">
        <is>
          <t>phrase_these</t>
        </is>
      </c>
      <c r="C1128" t="inlineStr">
        <is>
          <t>ma</t>
        </is>
      </c>
      <c r="D1128"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28" t="inlineStr">
        <is>
          <t>2026-10-30T15:06:52+00:00</t>
        </is>
      </c>
      <c r="F1128" t="inlineStr">
        <is>
          <t>{"Keyword": "création site vitrine", "Search Volume": "20", "CPC": "0", "Competition": "0.23", "Number of Results": "0", "Trends": "0.20,0.60,1.00,0.20,0.80,0.20,0.20,0.20,0.60,0.20,0.20,0.80", "Intent": "", "Keyword Difficulty Index": "0"}</t>
        </is>
      </c>
      <c r="G1128" t="inlineStr">
        <is>
          <t>Raw (Semrush)</t>
        </is>
      </c>
    </row>
    <row r="1129">
      <c r="A1129" t="inlineStr">
        <is>
          <t>val-ma-2</t>
        </is>
      </c>
      <c r="B1129" t="inlineStr">
        <is>
          <t>phrase_these</t>
        </is>
      </c>
      <c r="C1129" t="inlineStr">
        <is>
          <t>ma</t>
        </is>
      </c>
      <c r="D1129"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29" t="inlineStr">
        <is>
          <t>2026-10-30T15:06:52+00:00</t>
        </is>
      </c>
      <c r="F1129" t="inlineStr">
        <is>
          <t>{"Keyword": "création site web", "Search Volume": "390", "CPC": "0.75", "Competition": "0.49", "Number of Results": "10", "Trends": "1.00,1.00,0.81,1.00,0.81,1.00,0.67,0.81,0.67,0.67,0.67,0.67", "Intent": "1", "Keyword Difficulty Index": "69"}</t>
        </is>
      </c>
      <c r="G1129" t="inlineStr">
        <is>
          <t>Raw (Semrush)</t>
        </is>
      </c>
    </row>
    <row r="1130">
      <c r="A1130" t="inlineStr">
        <is>
          <t>val-ma-2</t>
        </is>
      </c>
      <c r="B1130" t="inlineStr">
        <is>
          <t>phrase_these</t>
        </is>
      </c>
      <c r="C1130" t="inlineStr">
        <is>
          <t>ma</t>
        </is>
      </c>
      <c r="D1130"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0" t="inlineStr">
        <is>
          <t>2026-10-30T15:06:52+00:00</t>
        </is>
      </c>
      <c r="F1130" t="inlineStr">
        <is>
          <t>{"Keyword": "création site web agadir", "Search Volume": "90", "CPC": "0", "Competition": "0.05", "Number of Results": "0", "Trends": "0.03,0.23,0.18,0.03,1.00,0.28,0.03,0.67,0.23,0.13,0.10,0.03", "Intent": "", "Keyword Difficulty Index": "0"}</t>
        </is>
      </c>
      <c r="G1130" t="inlineStr">
        <is>
          <t>Raw (Semrush)</t>
        </is>
      </c>
    </row>
    <row r="1131">
      <c r="A1131" t="inlineStr">
        <is>
          <t>val-ma-2</t>
        </is>
      </c>
      <c r="B1131" t="inlineStr">
        <is>
          <t>phrase_these</t>
        </is>
      </c>
      <c r="C1131" t="inlineStr">
        <is>
          <t>ma</t>
        </is>
      </c>
      <c r="D1131"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1" t="inlineStr">
        <is>
          <t>2026-10-30T15:06:52+00:00</t>
        </is>
      </c>
      <c r="F1131" t="inlineStr">
        <is>
          <t>{"Keyword": "création site web casablanca", "Search Volume": "210", "CPC": "0.91", "Competition": "0.22", "Number of Results": "0", "Trends": "1.00,0.81,0.53,0.66,1.00,0.81,0.81,0.53,0.81,0.34,0.28,0.34", "Intent": "", "Keyword Difficulty Index": "0"}</t>
        </is>
      </c>
      <c r="G1131" t="inlineStr">
        <is>
          <t>Raw (Semrush)</t>
        </is>
      </c>
    </row>
    <row r="1132">
      <c r="A1132" t="inlineStr">
        <is>
          <t>val-ma-2</t>
        </is>
      </c>
      <c r="B1132" t="inlineStr">
        <is>
          <t>phrase_these</t>
        </is>
      </c>
      <c r="C1132" t="inlineStr">
        <is>
          <t>ma</t>
        </is>
      </c>
      <c r="D1132"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2" t="inlineStr">
        <is>
          <t>2026-10-30T15:06:52+00:00</t>
        </is>
      </c>
      <c r="F1132" t="inlineStr">
        <is>
          <t>{"Keyword": "création site web maroc", "Search Volume": "1000", "CPC": "0.77", "Competition": "0.22", "Number of Results": "10", "Trends": "0.77,1.00,1.00,0.77,0.68,0.77,1.00,0.77,0.77,0.55,0.68,0.68", "Intent": "1", "Keyword Difficulty Index": "22"}</t>
        </is>
      </c>
      <c r="G1132" t="inlineStr">
        <is>
          <t>Raw (Semrush)</t>
        </is>
      </c>
    </row>
    <row r="1133">
      <c r="A1133" t="inlineStr">
        <is>
          <t>val-ma-2</t>
        </is>
      </c>
      <c r="B1133" t="inlineStr">
        <is>
          <t>phrase_these</t>
        </is>
      </c>
      <c r="C1133" t="inlineStr">
        <is>
          <t>ma</t>
        </is>
      </c>
      <c r="D1133"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3" t="inlineStr">
        <is>
          <t>2026-10-30T15:06:52+00:00</t>
        </is>
      </c>
      <c r="F1133" t="inlineStr">
        <is>
          <t>{"Keyword": "création site web marrakech", "Search Volume": "590", "CPC": "0.58", "Competition": "0.1", "Number of Results": "114", "Trends": "0.72,0.72,1.00,0.59,0.72,0.72,0.59,0.39,0.59,0.59,0.59,0.48", "Intent": "0", "Keyword Difficulty Index": "19"}</t>
        </is>
      </c>
      <c r="G1133" t="inlineStr">
        <is>
          <t>Raw (Semrush)</t>
        </is>
      </c>
    </row>
    <row r="1134">
      <c r="A1134" t="inlineStr">
        <is>
          <t>val-ma-2</t>
        </is>
      </c>
      <c r="B1134" t="inlineStr">
        <is>
          <t>phrase_these</t>
        </is>
      </c>
      <c r="C1134" t="inlineStr">
        <is>
          <t>ma</t>
        </is>
      </c>
      <c r="D1134"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4" t="inlineStr">
        <is>
          <t>2026-10-30T15:06:52+00:00</t>
        </is>
      </c>
      <c r="F1134" t="inlineStr">
        <is>
          <t>{"Keyword": "création site web prix", "Search Volume": "10", "CPC": "0.3", "Competition": "0.73", "Number of Results": "0", "Trends": "0.25,0.25,0.25,0.25,0.25,0.25,1.00,0.50,0.25,0.50,0.25,0.25", "Intent": "", "Keyword Difficulty Index": "0"}</t>
        </is>
      </c>
      <c r="G1134" t="inlineStr">
        <is>
          <t>Raw (Semrush)</t>
        </is>
      </c>
    </row>
    <row r="1135">
      <c r="A1135" t="inlineStr">
        <is>
          <t>val-ma-2</t>
        </is>
      </c>
      <c r="B1135" t="inlineStr">
        <is>
          <t>phrase_these</t>
        </is>
      </c>
      <c r="C1135" t="inlineStr">
        <is>
          <t>ma</t>
        </is>
      </c>
      <c r="D1135"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5" t="inlineStr">
        <is>
          <t>2026-10-30T15:06:52+00:00</t>
        </is>
      </c>
      <c r="F1135" t="inlineStr">
        <is>
          <t>{"Keyword": "création site web prix maroc", "Search Volume": "30", "CPC": "0.28", "Competition": "0.96", "Number of Results": "0", "Trends": "0.14,0.29,0.71,0.14,0.43,0.29,1.00,0.29,0.71,0.14,0.14,0.14", "Intent": "", "Keyword Difficulty Index": "0"}</t>
        </is>
      </c>
      <c r="G1135" t="inlineStr">
        <is>
          <t>Raw (Semrush)</t>
        </is>
      </c>
    </row>
    <row r="1136">
      <c r="A1136" t="inlineStr">
        <is>
          <t>val-ma-2</t>
        </is>
      </c>
      <c r="B1136" t="inlineStr">
        <is>
          <t>phrase_these</t>
        </is>
      </c>
      <c r="C1136" t="inlineStr">
        <is>
          <t>ma</t>
        </is>
      </c>
      <c r="D1136"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6" t="inlineStr">
        <is>
          <t>2026-10-30T15:06:52+00:00</t>
        </is>
      </c>
      <c r="F1136" t="inlineStr">
        <is>
          <t>{"Keyword": "création site web rabat", "Search Volume": "140", "CPC": "0.67", "Competition": "0.21", "Number of Results": "0", "Trends": "0.53,0.65,0.82,0.82,0.82,0.82,1.00,0.82,0.82,0.53,0.65,0.82", "Intent": "", "Keyword Difficulty Index": "0"}</t>
        </is>
      </c>
      <c r="G1136" t="inlineStr">
        <is>
          <t>Raw (Semrush)</t>
        </is>
      </c>
    </row>
    <row r="1137">
      <c r="A1137" t="inlineStr">
        <is>
          <t>val-ma-2</t>
        </is>
      </c>
      <c r="B1137" t="inlineStr">
        <is>
          <t>phrase_these</t>
        </is>
      </c>
      <c r="C1137" t="inlineStr">
        <is>
          <t>ma</t>
        </is>
      </c>
      <c r="D1137"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7" t="inlineStr">
        <is>
          <t>2026-10-30T15:06:52+00:00</t>
        </is>
      </c>
      <c r="F1137" t="inlineStr">
        <is>
          <t>{"Keyword": "création site web sur mesure", "Search Volume": "40", "CPC": "0", "Competition": "0.12", "Number of Results": "0", "Trends": "0.22,0.11,0.22,0.78,0.11,0.11,0.22,0.44,0.78,0.56,1.00,0.11", "Intent": "", "Keyword Difficulty Index": "0"}</t>
        </is>
      </c>
      <c r="G1137" t="inlineStr">
        <is>
          <t>Raw (Semrush)</t>
        </is>
      </c>
    </row>
    <row r="1138">
      <c r="A1138" t="inlineStr">
        <is>
          <t>val-ma-2</t>
        </is>
      </c>
      <c r="B1138" t="inlineStr">
        <is>
          <t>phrase_these</t>
        </is>
      </c>
      <c r="C1138" t="inlineStr">
        <is>
          <t>ma</t>
        </is>
      </c>
      <c r="D1138"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8" t="inlineStr">
        <is>
          <t>2026-10-30T15:06:52+00:00</t>
        </is>
      </c>
      <c r="F1138" t="inlineStr">
        <is>
          <t>{"Keyword": "création site web tanger", "Search Volume": "260", "CPC": "0.66", "Competition": "0.02", "Number of Results": "0", "Trends": "0.16,0.01,0.01,0.30,0.12,0.12,1.00,0.24,0.55,0.24,0.24,0.44", "Intent": "", "Keyword Difficulty Index": "0"}</t>
        </is>
      </c>
      <c r="G1138" t="inlineStr">
        <is>
          <t>Raw (Semrush)</t>
        </is>
      </c>
    </row>
    <row r="1139">
      <c r="A1139" t="inlineStr">
        <is>
          <t>val-ma-2</t>
        </is>
      </c>
      <c r="B1139" t="inlineStr">
        <is>
          <t>phrase_these</t>
        </is>
      </c>
      <c r="C1139" t="inlineStr">
        <is>
          <t>ma</t>
        </is>
      </c>
      <c r="D1139"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39" t="inlineStr">
        <is>
          <t>2026-10-30T15:06:52+00:00</t>
        </is>
      </c>
      <c r="F1139" t="inlineStr">
        <is>
          <t>{"Keyword": "créer qr code", "Search Volume": "260", "CPC": "0.14", "Competition": "0.62", "Number of Results": "0", "Trends": "0.81,1.00,1.00,1.00,0.66,0.66,0.66,1.00,0.66,0.81,0.66,0.44", "Intent": "", "Keyword Difficulty Index": "0"}</t>
        </is>
      </c>
      <c r="G1139" t="inlineStr">
        <is>
          <t>Raw (Semrush)</t>
        </is>
      </c>
    </row>
    <row r="1140">
      <c r="A1140" t="inlineStr">
        <is>
          <t>val-ma-2</t>
        </is>
      </c>
      <c r="B1140" t="inlineStr">
        <is>
          <t>phrase_these</t>
        </is>
      </c>
      <c r="C1140" t="inlineStr">
        <is>
          <t>ma</t>
        </is>
      </c>
      <c r="D1140"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0" t="inlineStr">
        <is>
          <t>2026-10-30T15:06:52+00:00</t>
        </is>
      </c>
      <c r="F1140" t="inlineStr">
        <is>
          <t>{"Keyword": "créer robots.txt", "Search Volume": "0", "CPC": "0", "Competition": "0", "Number of Results": "0", "Trends": "0.00,0.00,0.00,0.00,0.00,0.00,0.00,0.00,0.00,0.00,0.00,0.00", "Intent": "", "Keyword Difficulty Index": "0"}</t>
        </is>
      </c>
      <c r="G1140" t="inlineStr">
        <is>
          <t>Raw (Semrush)</t>
        </is>
      </c>
    </row>
    <row r="1141">
      <c r="A1141" t="inlineStr">
        <is>
          <t>val-ma-2</t>
        </is>
      </c>
      <c r="B1141" t="inlineStr">
        <is>
          <t>phrase_these</t>
        </is>
      </c>
      <c r="C1141" t="inlineStr">
        <is>
          <t>ma</t>
        </is>
      </c>
      <c r="D1141"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1" t="inlineStr">
        <is>
          <t>2026-10-30T15:06:52+00:00</t>
        </is>
      </c>
      <c r="F1141" t="inlineStr">
        <is>
          <t>{"Keyword": "créer un chatbot", "Search Volume": "20", "CPC": "0.13", "Competition": "0.29", "Number of Results": "0", "Trends": "1.00,0.14,0.14,0.14,0.14,0.14,0.14,1.00,0.14,0.29,0.29,0.14", "Intent": "", "Keyword Difficulty Index": "0"}</t>
        </is>
      </c>
      <c r="G1141" t="inlineStr">
        <is>
          <t>Raw (Semrush)</t>
        </is>
      </c>
    </row>
    <row r="1142">
      <c r="A1142" t="inlineStr">
        <is>
          <t>val-ma-2</t>
        </is>
      </c>
      <c r="B1142" t="inlineStr">
        <is>
          <t>phrase_these</t>
        </is>
      </c>
      <c r="C1142" t="inlineStr">
        <is>
          <t>ma</t>
        </is>
      </c>
      <c r="D1142"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2" t="inlineStr">
        <is>
          <t>2026-10-30T15:06:52+00:00</t>
        </is>
      </c>
      <c r="F1142" t="inlineStr">
        <is>
          <t>{"Keyword": "créer un site de formation en ligne", "Search Volume": "10", "CPC": "0", "Competition": "0.93", "Number of Results": "0", "Trends": "1.00,0.20,0.20,0.20,0.20,0.20,0.20,0.20,0.20,0.20,0.40,0.20", "Intent": "", "Keyword Difficulty Index": "0"}</t>
        </is>
      </c>
      <c r="G1142" t="inlineStr">
        <is>
          <t>Raw (Semrush)</t>
        </is>
      </c>
    </row>
    <row r="1143">
      <c r="A1143" t="inlineStr">
        <is>
          <t>val-ma-2</t>
        </is>
      </c>
      <c r="B1143" t="inlineStr">
        <is>
          <t>phrase_these</t>
        </is>
      </c>
      <c r="C1143" t="inlineStr">
        <is>
          <t>ma</t>
        </is>
      </c>
      <c r="D1143"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3" t="inlineStr">
        <is>
          <t>2026-10-30T15:06:52+00:00</t>
        </is>
      </c>
      <c r="F1143" t="inlineStr">
        <is>
          <t>{"Keyword": "créer un site web gratuit", "Search Volume": "320", "CPC": "0.67", "Competition": "0.7", "Number of Results": "130", "Trends": "0.67,0.81,0.81,1.00,0.67,0.67,0.81,0.81,0.67,0.54,0.67,0.54", "Intent": "1", "Keyword Difficulty Index": "54"}</t>
        </is>
      </c>
      <c r="G1143" t="inlineStr">
        <is>
          <t>Raw (Semrush)</t>
        </is>
      </c>
    </row>
    <row r="1144">
      <c r="A1144" t="inlineStr">
        <is>
          <t>val-ma-2</t>
        </is>
      </c>
      <c r="B1144" t="inlineStr">
        <is>
          <t>phrase_these</t>
        </is>
      </c>
      <c r="C1144" t="inlineStr">
        <is>
          <t>ma</t>
        </is>
      </c>
      <c r="D1144"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4" t="inlineStr">
        <is>
          <t>2026-10-30T15:06:52+00:00</t>
        </is>
      </c>
      <c r="F1144" t="inlineStr">
        <is>
          <t>{"Keyword": "créer une boutique en ligne au maroc", "Search Volume": "0", "CPC": "0", "Competition": "0", "Number of Results": "0", "Trends": "0.00,0.00,0.00,0.00,0.00,0.00,0.00,0.00,0.00,0.00,0.00,0.00", "Intent": "", "Keyword Difficulty Index": "0"}</t>
        </is>
      </c>
      <c r="G1144" t="inlineStr">
        <is>
          <t>Raw (Semrush)</t>
        </is>
      </c>
    </row>
    <row r="1145">
      <c r="A1145" t="inlineStr">
        <is>
          <t>val-ma-2</t>
        </is>
      </c>
      <c r="B1145" t="inlineStr">
        <is>
          <t>phrase_these</t>
        </is>
      </c>
      <c r="C1145" t="inlineStr">
        <is>
          <t>ma</t>
        </is>
      </c>
      <c r="D1145"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5" t="inlineStr">
        <is>
          <t>2026-10-30T15:06:52+00:00</t>
        </is>
      </c>
      <c r="F1145" t="inlineStr">
        <is>
          <t>{"Keyword": "créer une landing page", "Search Volume": "20", "CPC": "0.37", "Competition": "0.79", "Number of Results": "0", "Trends": "0.11,0.22,1.00,0.11,0.22,0.11,0.11,0.11,0.11,0.22,0.11,0.11", "Intent": "", "Keyword Difficulty Index": "0"}</t>
        </is>
      </c>
      <c r="G1145" t="inlineStr">
        <is>
          <t>Raw (Semrush)</t>
        </is>
      </c>
    </row>
    <row r="1146">
      <c r="A1146" t="inlineStr">
        <is>
          <t>val-ma-2</t>
        </is>
      </c>
      <c r="B1146" t="inlineStr">
        <is>
          <t>phrase_these</t>
        </is>
      </c>
      <c r="C1146" t="inlineStr">
        <is>
          <t>ma</t>
        </is>
      </c>
      <c r="D1146"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6" t="inlineStr">
        <is>
          <t>2026-10-30T15:06:52+00:00</t>
        </is>
      </c>
      <c r="F1146" t="inlineStr">
        <is>
          <t>{"Keyword": "css minifier", "Search Volume": "170", "CPC": "0", "Competition": "0", "Number of Results": "0", "Trends": "0.65,0.81,0.81,0.81,0.54,0.65,0.54,0.65,1.00,0.81,0.54,0.65", "Intent": "", "Keyword Difficulty Index": "0"}</t>
        </is>
      </c>
      <c r="G1146" t="inlineStr">
        <is>
          <t>Raw (Semrush)</t>
        </is>
      </c>
    </row>
    <row r="1147">
      <c r="A1147" t="inlineStr">
        <is>
          <t>val-ma-2</t>
        </is>
      </c>
      <c r="B1147" t="inlineStr">
        <is>
          <t>phrase_these</t>
        </is>
      </c>
      <c r="C1147" t="inlineStr">
        <is>
          <t>ma</t>
        </is>
      </c>
      <c r="D1147"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7" t="inlineStr">
        <is>
          <t>2026-10-30T15:06:52+00:00</t>
        </is>
      </c>
      <c r="F1147" t="inlineStr">
        <is>
          <t>{"Keyword": "devis création site web", "Search Volume": "20", "CPC": "0.33", "Competition": "0.38", "Number of Results": "0", "Trends": "0.40,1.00,0.20,0.20,0.60,0.40,0.40,0.60,0.20,0.20,0.60,0.20", "Intent": "", "Keyword Difficulty Index": "0"}</t>
        </is>
      </c>
      <c r="G1147" t="inlineStr">
        <is>
          <t>Raw (Semrush)</t>
        </is>
      </c>
    </row>
    <row r="1148">
      <c r="A1148" t="inlineStr">
        <is>
          <t>val-ma-2</t>
        </is>
      </c>
      <c r="B1148" t="inlineStr">
        <is>
          <t>phrase_these</t>
        </is>
      </c>
      <c r="C1148" t="inlineStr">
        <is>
          <t>ma</t>
        </is>
      </c>
      <c r="D1148"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8" t="inlineStr">
        <is>
          <t>2026-10-30T15:06:52+00:00</t>
        </is>
      </c>
      <c r="F1148" t="inlineStr">
        <is>
          <t>{"Keyword": "devis site internet", "Search Volume": "20", "CPC": "0", "Competition": "0", "Number of Results": "0", "Trends": "0.00,0.29,1.00,0.43,0.14,0.00,0.29,0.14,0.14,0.14,0.43,0.00", "Intent": "", "Keyword Difficulty Index": "0"}</t>
        </is>
      </c>
      <c r="G1148" t="inlineStr">
        <is>
          <t>Raw (Semrush)</t>
        </is>
      </c>
    </row>
    <row r="1149">
      <c r="A1149" t="inlineStr">
        <is>
          <t>val-ma-2</t>
        </is>
      </c>
      <c r="B1149" t="inlineStr">
        <is>
          <t>phrase_these</t>
        </is>
      </c>
      <c r="C1149" t="inlineStr">
        <is>
          <t>ma</t>
        </is>
      </c>
      <c r="D1149"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49" t="inlineStr">
        <is>
          <t>2026-10-30T15:06:52+00:00</t>
        </is>
      </c>
      <c r="F1149" t="inlineStr">
        <is>
          <t>{"Keyword": "devis site web", "Search Volume": "30", "CPC": "0.37", "Competition": "0.35", "Number of Results": "0", "Trends": "1.00,0.57,0.57,0.14,0.14,0.43,0.14,0.14,0.14,1.00,0.14,0.14", "Intent": "", "Keyword Difficulty Index": "0"}</t>
        </is>
      </c>
      <c r="G1149" t="inlineStr">
        <is>
          <t>Raw (Semrush)</t>
        </is>
      </c>
    </row>
    <row r="1150">
      <c r="A1150" t="inlineStr">
        <is>
          <t>val-ma-2</t>
        </is>
      </c>
      <c r="B1150" t="inlineStr">
        <is>
          <t>phrase_these</t>
        </is>
      </c>
      <c r="C1150" t="inlineStr">
        <is>
          <t>ma</t>
        </is>
      </c>
      <c r="D1150"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0" t="inlineStr">
        <is>
          <t>2026-10-30T15:06:52+00:00</t>
        </is>
      </c>
      <c r="F1150" t="inlineStr">
        <is>
          <t>{"Keyword": "domain authority", "Search Volume": "140", "CPC": "0", "Competition": "0.03", "Number of Results": "0", "Trends": "1.00,0.65,0.82,1.00,0.82,0.53,0.82,0.82,1.00,0.82,0.82,0.29", "Intent": "", "Keyword Difficulty Index": "0"}</t>
        </is>
      </c>
      <c r="G1150" t="inlineStr">
        <is>
          <t>Raw (Semrush)</t>
        </is>
      </c>
    </row>
    <row r="1151">
      <c r="A1151" t="inlineStr">
        <is>
          <t>val-ma-2</t>
        </is>
      </c>
      <c r="B1151" t="inlineStr">
        <is>
          <t>phrase_these</t>
        </is>
      </c>
      <c r="C1151" t="inlineStr">
        <is>
          <t>ma</t>
        </is>
      </c>
      <c r="D1151"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1" t="inlineStr">
        <is>
          <t>2026-10-30T15:06:52+00:00</t>
        </is>
      </c>
      <c r="F1151" t="inlineStr">
        <is>
          <t>{"Keyword": "domaine expiré", "Search Volume": "20", "CPC": "0", "Competition": "0.43", "Number of Results": "0", "Trends": "0.29,0.71,0.14,0.14,0.29,0.14,1.00,0.14,0.14,0.14,0.29,0.14", "Intent": "", "Keyword Difficulty Index": "0"}</t>
        </is>
      </c>
      <c r="G1151" t="inlineStr">
        <is>
          <t>Raw (Semrush)</t>
        </is>
      </c>
    </row>
    <row r="1152">
      <c r="A1152" t="inlineStr">
        <is>
          <t>val-ma-2</t>
        </is>
      </c>
      <c r="B1152" t="inlineStr">
        <is>
          <t>phrase_these</t>
        </is>
      </c>
      <c r="C1152" t="inlineStr">
        <is>
          <t>ma</t>
        </is>
      </c>
      <c r="D1152"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2" t="inlineStr">
        <is>
          <t>2026-10-30T15:06:52+00:00</t>
        </is>
      </c>
      <c r="F1152" t="inlineStr">
        <is>
          <t>{"Keyword": "domaines expirés", "Search Volume": "20", "CPC": "0", "Competition": "0.69", "Number of Results": "0", "Trends": "0.14,0.14,0.57,0.14,0.14,0.14,1.00,0.14,1.00,0.14,0.14,0.14", "Intent": "", "Keyword Difficulty Index": "0"}</t>
        </is>
      </c>
      <c r="G1152" t="inlineStr">
        <is>
          <t>Raw (Semrush)</t>
        </is>
      </c>
    </row>
    <row r="1153">
      <c r="A1153" t="inlineStr">
        <is>
          <t>val-ma-2</t>
        </is>
      </c>
      <c r="B1153" t="inlineStr">
        <is>
          <t>phrase_these</t>
        </is>
      </c>
      <c r="C1153" t="inlineStr">
        <is>
          <t>ma</t>
        </is>
      </c>
      <c r="D1153"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3" t="inlineStr">
        <is>
          <t>2026-10-30T15:06:52+00:00</t>
        </is>
      </c>
      <c r="F1153" t="inlineStr">
        <is>
          <t>{"Keyword": "données structurées", "Search Volume": "30", "CPC": "0", "Competition": "0.33", "Number of Results": "0", "Trends": "0.14,0.14,0.29,0.43,1.00,0.71,0.14,0.14,0.71,0.14,0.14,0.29", "Intent": "", "Keyword Difficulty Index": "0"}</t>
        </is>
      </c>
      <c r="G1153" t="inlineStr">
        <is>
          <t>Raw (Semrush)</t>
        </is>
      </c>
    </row>
    <row r="1154">
      <c r="A1154" t="inlineStr">
        <is>
          <t>val-ma-2</t>
        </is>
      </c>
      <c r="B1154" t="inlineStr">
        <is>
          <t>phrase_these</t>
        </is>
      </c>
      <c r="C1154" t="inlineStr">
        <is>
          <t>ma</t>
        </is>
      </c>
      <c r="D1154"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4" t="inlineStr">
        <is>
          <t>2026-10-30T15:06:52+00:00</t>
        </is>
      </c>
      <c r="F1154" t="inlineStr">
        <is>
          <t>{"Keyword": "duplicate content", "Search Volume": "30", "CPC": "0", "Competition": "0.33", "Number of Results": "0", "Trends": "1.00,0.14,0.14,0.57,0.29,1.00,0.29,0.71,0.14,0.14,0.14,0.14", "Intent": "", "Keyword Difficulty Index": "0"}</t>
        </is>
      </c>
      <c r="G1154" t="inlineStr">
        <is>
          <t>Raw (Semrush)</t>
        </is>
      </c>
    </row>
    <row r="1155">
      <c r="A1155" t="inlineStr">
        <is>
          <t>val-ma-2</t>
        </is>
      </c>
      <c r="B1155" t="inlineStr">
        <is>
          <t>phrase_these</t>
        </is>
      </c>
      <c r="C1155" t="inlineStr">
        <is>
          <t>ma</t>
        </is>
      </c>
      <c r="D1155"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5" t="inlineStr">
        <is>
          <t>2026-10-30T15:06:52+00:00</t>
        </is>
      </c>
      <c r="F1155" t="inlineStr">
        <is>
          <t>{"Keyword": "détecteur de plagiat", "Search Volume": "50", "CPC": "0.17", "Competition": "0.05", "Number of Results": "0", "Trends": "0.08,0.08,0.08,0.08,0.08,0.08,0.08,0.08,1.00,0.08,0.19,0.19", "Intent": "", "Keyword Difficulty Index": "0"}</t>
        </is>
      </c>
      <c r="G1155" t="inlineStr">
        <is>
          <t>Raw (Semrush)</t>
        </is>
      </c>
    </row>
    <row r="1156">
      <c r="A1156" t="inlineStr">
        <is>
          <t>val-ma-2</t>
        </is>
      </c>
      <c r="B1156" t="inlineStr">
        <is>
          <t>phrase_these</t>
        </is>
      </c>
      <c r="C1156" t="inlineStr">
        <is>
          <t>ma</t>
        </is>
      </c>
      <c r="D1156"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6" t="inlineStr">
        <is>
          <t>2026-10-30T15:06:52+00:00</t>
        </is>
      </c>
      <c r="F1156" t="inlineStr">
        <is>
          <t>{"Keyword": "développement application web", "Search Volume": "30", "CPC": "0", "Competition": "0.33", "Number of Results": "0", "Trends": "0.11,0.11,0.22,0.11,0.11,0.78,0.11,0.33,0.44,0.11,0.11,1.00", "Intent": "", "Keyword Difficulty Index": "0"}</t>
        </is>
      </c>
      <c r="G1156" t="inlineStr">
        <is>
          <t>Raw (Semrush)</t>
        </is>
      </c>
    </row>
    <row r="1157">
      <c r="A1157" t="inlineStr">
        <is>
          <t>val-ma-2</t>
        </is>
      </c>
      <c r="B1157" t="inlineStr">
        <is>
          <t>phrase_these</t>
        </is>
      </c>
      <c r="C1157" t="inlineStr">
        <is>
          <t>ma</t>
        </is>
      </c>
      <c r="D1157"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7" t="inlineStr">
        <is>
          <t>2026-10-30T15:06:52+00:00</t>
        </is>
      </c>
      <c r="F1157" t="inlineStr">
        <is>
          <t>{"Keyword": "développement application web maroc", "Search Volume": "0", "CPC": "0", "Competition": "0", "Number of Results": "0", "Trends": "0.00,0.00,0.00,0.00,0.00,0.00,0.00,0.00,0.00,0.00,0.00,0.00", "Intent": "", "Keyword Difficulty Index": "0"}</t>
        </is>
      </c>
      <c r="G1157" t="inlineStr">
        <is>
          <t>Raw (Semrush)</t>
        </is>
      </c>
    </row>
    <row r="1158">
      <c r="A1158" t="inlineStr">
        <is>
          <t>val-ma-2</t>
        </is>
      </c>
      <c r="B1158" t="inlineStr">
        <is>
          <t>phrase_these</t>
        </is>
      </c>
      <c r="C1158" t="inlineStr">
        <is>
          <t>ma</t>
        </is>
      </c>
      <c r="D1158"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8" t="inlineStr">
        <is>
          <t>2026-10-30T15:06:52+00:00</t>
        </is>
      </c>
      <c r="F1158" t="inlineStr">
        <is>
          <t>{"Keyword": "développement fintech", "Search Volume": "0", "CPC": "0", "Competition": "0", "Number of Results": "0", "Trends": "0.00,0.00,0.00,0.00,0.00,0.00,0.00,0.00,0.00,0.00,0.00,0.00", "Intent": "", "Keyword Difficulty Index": "0"}</t>
        </is>
      </c>
      <c r="G1158" t="inlineStr">
        <is>
          <t>Raw (Semrush)</t>
        </is>
      </c>
    </row>
    <row r="1159">
      <c r="A1159" t="inlineStr">
        <is>
          <t>val-ma-2</t>
        </is>
      </c>
      <c r="B1159" t="inlineStr">
        <is>
          <t>phrase_these</t>
        </is>
      </c>
      <c r="C1159" t="inlineStr">
        <is>
          <t>ma</t>
        </is>
      </c>
      <c r="D1159"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59" t="inlineStr">
        <is>
          <t>2026-10-30T15:06:52+00:00</t>
        </is>
      </c>
      <c r="F1159" t="inlineStr">
        <is>
          <t>{"Keyword": "développement logiciel maroc", "Search Volume": "20", "CPC": "0", "Competition": "0.03", "Number of Results": "0", "Trends": "0.25,1.00,0.25,0.75,0.25,0.25,0.25,0.25,0.25,0.25,0.25,0.50", "Intent": "", "Keyword Difficulty Index": "0"}</t>
        </is>
      </c>
      <c r="G1159" t="inlineStr">
        <is>
          <t>Raw (Semrush)</t>
        </is>
      </c>
    </row>
    <row r="1160">
      <c r="A1160" t="inlineStr">
        <is>
          <t>val-ma-2</t>
        </is>
      </c>
      <c r="B1160" t="inlineStr">
        <is>
          <t>phrase_these</t>
        </is>
      </c>
      <c r="C1160" t="inlineStr">
        <is>
          <t>ma</t>
        </is>
      </c>
      <c r="D1160"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0" t="inlineStr">
        <is>
          <t>2026-10-30T15:06:52+00:00</t>
        </is>
      </c>
      <c r="F1160" t="inlineStr">
        <is>
          <t>{"Keyword": "développement logiciel sur mesure", "Search Volume": "0", "CPC": "0", "Competition": "0", "Number of Results": "0", "Trends": "0.00,0.00,0.00,0.00,0.00,0.00,0.00,0.00,0.00,0.00,0.00,0.00", "Intent": "", "Keyword Difficulty Index": "0"}</t>
        </is>
      </c>
      <c r="G1160" t="inlineStr">
        <is>
          <t>Raw (Semrush)</t>
        </is>
      </c>
    </row>
    <row r="1161">
      <c r="A1161" t="inlineStr">
        <is>
          <t>val-ma-2</t>
        </is>
      </c>
      <c r="B1161" t="inlineStr">
        <is>
          <t>phrase_these</t>
        </is>
      </c>
      <c r="C1161" t="inlineStr">
        <is>
          <t>ma</t>
        </is>
      </c>
      <c r="D1161"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1" t="inlineStr">
        <is>
          <t>2026-10-30T15:06:52+00:00</t>
        </is>
      </c>
      <c r="F1161" t="inlineStr">
        <is>
          <t>{"Keyword": "développement site e-commerce", "Search Volume": "30", "CPC": "0", "Competition": "0.29", "Number of Results": "0", "Trends": "0.43,0.43,0.14,0.14,0.14,0.71,0.29,0.14,1.00,1.00,0.14,0.29", "Intent": "", "Keyword Difficulty Index": "0"}</t>
        </is>
      </c>
      <c r="G1161" t="inlineStr">
        <is>
          <t>Raw (Semrush)</t>
        </is>
      </c>
    </row>
    <row r="1162">
      <c r="A1162" t="inlineStr">
        <is>
          <t>val-ma-2</t>
        </is>
      </c>
      <c r="B1162" t="inlineStr">
        <is>
          <t>phrase_these</t>
        </is>
      </c>
      <c r="C1162" t="inlineStr">
        <is>
          <t>ma</t>
        </is>
      </c>
      <c r="D1162"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2" t="inlineStr">
        <is>
          <t>2026-10-30T15:06:52+00:00</t>
        </is>
      </c>
      <c r="F1162" t="inlineStr">
        <is>
          <t>{"Keyword": "développement site web maroc", "Search Volume": "20", "CPC": "0", "Competition": "0.86", "Number of Results": "0", "Trends": "0.14,0.14,1.00,0.43,0.14,0.71,0.14,0.14,0.14,0.14,0.14,0.14", "Intent": "", "Keyword Difficulty Index": "0"}</t>
        </is>
      </c>
      <c r="G1162" t="inlineStr">
        <is>
          <t>Raw (Semrush)</t>
        </is>
      </c>
    </row>
    <row r="1163">
      <c r="A1163" t="inlineStr">
        <is>
          <t>val-ma-2</t>
        </is>
      </c>
      <c r="B1163" t="inlineStr">
        <is>
          <t>phrase_these</t>
        </is>
      </c>
      <c r="C1163" t="inlineStr">
        <is>
          <t>ma</t>
        </is>
      </c>
      <c r="D1163"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3" t="inlineStr">
        <is>
          <t>2026-10-30T15:06:52+00:00</t>
        </is>
      </c>
      <c r="F1163" t="inlineStr">
        <is>
          <t>{"Keyword": "développement web agadir", "Search Volume": "0", "CPC": "0", "Competition": "0", "Number of Results": "0", "Trends": "0.00,0.00,0.00,0.00,0.00,0.00,0.00,0.00,0.00,0.00,0.00,0.00", "Intent": "", "Keyword Difficulty Index": "0"}</t>
        </is>
      </c>
      <c r="G1163" t="inlineStr">
        <is>
          <t>Raw (Semrush)</t>
        </is>
      </c>
    </row>
    <row r="1164">
      <c r="A1164" t="inlineStr">
        <is>
          <t>val-ma-2</t>
        </is>
      </c>
      <c r="B1164" t="inlineStr">
        <is>
          <t>phrase_these</t>
        </is>
      </c>
      <c r="C1164" t="inlineStr">
        <is>
          <t>ma</t>
        </is>
      </c>
      <c r="D1164"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4" t="inlineStr">
        <is>
          <t>2026-10-30T15:06:52+00:00</t>
        </is>
      </c>
      <c r="F1164" t="inlineStr">
        <is>
          <t>{"Keyword": "développement web offshore", "Search Volume": "0", "CPC": "0", "Competition": "0", "Number of Results": "0", "Trends": "0.00,0.00,0.00,0.00,0.00,0.00,0.00,0.00,0.00,0.00,0.00,0.00", "Intent": "", "Keyword Difficulty Index": "0"}</t>
        </is>
      </c>
      <c r="G1164" t="inlineStr">
        <is>
          <t>Raw (Semrush)</t>
        </is>
      </c>
    </row>
    <row r="1165">
      <c r="A1165" t="inlineStr">
        <is>
          <t>val-ma-2</t>
        </is>
      </c>
      <c r="B1165" t="inlineStr">
        <is>
          <t>phrase_these</t>
        </is>
      </c>
      <c r="C1165" t="inlineStr">
        <is>
          <t>ma</t>
        </is>
      </c>
      <c r="D1165"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5" t="inlineStr">
        <is>
          <t>2026-10-30T15:06:52+00:00</t>
        </is>
      </c>
      <c r="F1165" t="inlineStr">
        <is>
          <t>{"Keyword": "développement web rabat", "Search Volume": "0", "CPC": "0", "Competition": "0", "Number of Results": "0", "Trends": "0.00,0.00,0.00,0.00,0.00,0.00,0.00,0.00,0.00,0.00,0.00,0.00", "Intent": "", "Keyword Difficulty Index": "0"}</t>
        </is>
      </c>
      <c r="G1165" t="inlineStr">
        <is>
          <t>Raw (Semrush)</t>
        </is>
      </c>
    </row>
    <row r="1166">
      <c r="A1166" t="inlineStr">
        <is>
          <t>val-ma-2</t>
        </is>
      </c>
      <c r="B1166" t="inlineStr">
        <is>
          <t>phrase_these</t>
        </is>
      </c>
      <c r="C1166" t="inlineStr">
        <is>
          <t>ma</t>
        </is>
      </c>
      <c r="D1166"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6" t="inlineStr">
        <is>
          <t>2026-10-30T15:06:52+00:00</t>
        </is>
      </c>
      <c r="F1166" t="inlineStr">
        <is>
          <t>{"Keyword": "développeur web agadir", "Search Volume": "20", "CPC": "0", "Competition": "0.07", "Number of Results": "0", "Trends": "0.20,0.20,0.20,0.20,0.20,0.20,0.20,1.00,0.20,0.60,0.20,0.20", "Intent": "", "Keyword Difficulty Index": "0"}</t>
        </is>
      </c>
      <c r="G1166" t="inlineStr">
        <is>
          <t>Raw (Semrush)</t>
        </is>
      </c>
    </row>
    <row r="1167">
      <c r="A1167" t="inlineStr">
        <is>
          <t>val-ma-2</t>
        </is>
      </c>
      <c r="B1167" t="inlineStr">
        <is>
          <t>phrase_these</t>
        </is>
      </c>
      <c r="C1167" t="inlineStr">
        <is>
          <t>ma</t>
        </is>
      </c>
      <c r="D1167"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7" t="inlineStr">
        <is>
          <t>2026-10-30T15:06:52+00:00</t>
        </is>
      </c>
      <c r="F1167" t="inlineStr">
        <is>
          <t>{"Keyword": "développeur web casablanca", "Search Volume": "20", "CPC": "0.28", "Competition": "0.15", "Number of Results": "0", "Trends": "1.00,0.20,0.40,0.20,0.20,0.60,0.40,0.20,0.20,0.20,0.20,0.80", "Intent": "", "Keyword Difficulty Index": "0"}</t>
        </is>
      </c>
      <c r="G1167" t="inlineStr">
        <is>
          <t>Raw (Semrush)</t>
        </is>
      </c>
    </row>
    <row r="1168">
      <c r="A1168" t="inlineStr">
        <is>
          <t>val-ma-2</t>
        </is>
      </c>
      <c r="B1168" t="inlineStr">
        <is>
          <t>phrase_these</t>
        </is>
      </c>
      <c r="C1168" t="inlineStr">
        <is>
          <t>ma</t>
        </is>
      </c>
      <c r="D1168"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8" t="inlineStr">
        <is>
          <t>2026-10-30T15:06:52+00:00</t>
        </is>
      </c>
      <c r="F1168" t="inlineStr">
        <is>
          <t>{"Keyword": "développeur web maroc", "Search Volume": "70", "CPC": "0.6", "Competition": "0.22", "Number of Results": "0", "Trends": "0.54,0.03,0.03,0.05,0.03,0.03,0.10,0.03,0.10,0.03,1.00,0.03", "Intent": "", "Keyword Difficulty Index": "0"}</t>
        </is>
      </c>
      <c r="G1168" t="inlineStr">
        <is>
          <t>Raw (Semrush)</t>
        </is>
      </c>
    </row>
    <row r="1169">
      <c r="A1169" t="inlineStr">
        <is>
          <t>val-ma-2</t>
        </is>
      </c>
      <c r="B1169" t="inlineStr">
        <is>
          <t>phrase_these</t>
        </is>
      </c>
      <c r="C1169" t="inlineStr">
        <is>
          <t>ma</t>
        </is>
      </c>
      <c r="D1169"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69" t="inlineStr">
        <is>
          <t>2026-10-30T15:06:52+00:00</t>
        </is>
      </c>
      <c r="F1169" t="inlineStr">
        <is>
          <t>{"Keyword": "développeur web marrakech", "Search Volume": "30", "CPC": "0.75", "Competition": "0.25", "Number of Results": "0", "Trends": "0.06,0.06,0.06,0.12,0.06,0.06,0.06,0.12,0.41,1.00,0.06,0.06", "Intent": "", "Keyword Difficulty Index": "0"}</t>
        </is>
      </c>
      <c r="G1169" t="inlineStr">
        <is>
          <t>Raw (Semrush)</t>
        </is>
      </c>
    </row>
    <row r="1170">
      <c r="A1170" t="inlineStr">
        <is>
          <t>val-ma-2</t>
        </is>
      </c>
      <c r="B1170" t="inlineStr">
        <is>
          <t>phrase_these</t>
        </is>
      </c>
      <c r="C1170" t="inlineStr">
        <is>
          <t>ma</t>
        </is>
      </c>
      <c r="D1170" t="inlineStr">
        <is>
          <t>création de site web tanger;création plateforme e-learning;création plateforme saas;création site agence de voyage;création site de vente en ligne;création site e-commerce;création site e-commerce agadir;création site e-commerce casablanca;création site e-commerce maroc;création site e-commerce marrakech;création site e-commerce rabat;création site e-commerce tanger;création site ecommerce maroc;création site immobilier;création site immobilier maroc;création site internet agadir;création site internet casablanca;création site internet maroc;création site internet marrakech;création site internet rabat;création site internet tanger;création site vitrine;création site vitrine maroc;création site web;création site web agadir;création site web agence immobilière;création site web architecte;création site web banque;création site web cabinet médical;création site web casablanca;création site web clinique;création site web hôtel;création site web maroc;création site web marrakech;création s</t>
        </is>
      </c>
      <c r="E1170" t="inlineStr">
        <is>
          <t>2026-10-30T15:06:52+00:00</t>
        </is>
      </c>
      <c r="F1170" t="inlineStr">
        <is>
          <t>{"Keyword": "développeur web rabat", "Search Volume": "20", "CPC": "0", "Competition": "0.14", "Number of Results": "0", "Trends": "0.44,0.11,0.33,0.11,0.11,0.11,0.11,0.11,0.11,0.11,0.33,1.00", "Intent": "", "Keyword Difficulty Index": "0"}</t>
        </is>
      </c>
      <c r="G1170" t="inlineStr">
        <is>
          <t>Raw (Semrush)</t>
        </is>
      </c>
    </row>
    <row r="1171">
      <c r="A1171" t="inlineStr">
        <is>
          <t>val-ma-3</t>
        </is>
      </c>
      <c r="B1171" t="inlineStr">
        <is>
          <t>phrase_these</t>
        </is>
      </c>
      <c r="C1171" t="inlineStr">
        <is>
          <t>ma</t>
        </is>
      </c>
      <c r="D1171"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71" t="inlineStr">
        <is>
          <t>2026-10-30T15:06:54+00:00</t>
        </is>
      </c>
      <c r="F1171" t="inlineStr">
        <is>
          <t>{"Keyword": "développeur web tanger", "Search Volume": "0", "CPC": "0", "Competition": "0", "Number of Results": "0", "Trends": "0.00,0.00,0.00,0.00,0.00,0.00,0.00,0.00,0.00,0.00,0.00,0.00", "Intent": "", "Keyword Difficulty Index": "0"}</t>
        </is>
      </c>
      <c r="G1171" t="inlineStr">
        <is>
          <t>Raw (Semrush)</t>
        </is>
      </c>
    </row>
    <row r="1172">
      <c r="A1172" t="inlineStr">
        <is>
          <t>val-ma-3</t>
        </is>
      </c>
      <c r="B1172" t="inlineStr">
        <is>
          <t>phrase_these</t>
        </is>
      </c>
      <c r="C1172" t="inlineStr">
        <is>
          <t>ma</t>
        </is>
      </c>
      <c r="D1172"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72" t="inlineStr">
        <is>
          <t>2026-10-30T15:06:54+00:00</t>
        </is>
      </c>
      <c r="F1172" t="inlineStr">
        <is>
          <t>{"Keyword": "e-commerce maroc", "Search Volume": "480", "CPC": "0.16", "Competition": "0.21", "Number of Results": "125", "Trends": "0.82,1.00,0.82,0.67,0.82,0.67,0.67,0.67,0.54,0.54,0.54,0.54", "Intent": "1", "Keyword Difficulty Index": "11"}</t>
        </is>
      </c>
      <c r="G1172" t="inlineStr">
        <is>
          <t>Raw (Semrush)</t>
        </is>
      </c>
    </row>
    <row r="1173">
      <c r="A1173" t="inlineStr">
        <is>
          <t>val-ma-3</t>
        </is>
      </c>
      <c r="B1173" t="inlineStr">
        <is>
          <t>phrase_these</t>
        </is>
      </c>
      <c r="C1173" t="inlineStr">
        <is>
          <t>ma</t>
        </is>
      </c>
      <c r="D1173"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73" t="inlineStr">
        <is>
          <t>2026-10-30T15:06:54+00:00</t>
        </is>
      </c>
      <c r="F1173" t="inlineStr">
        <is>
          <t>{"Keyword": "e-learning maroc", "Search Volume": "20", "CPC": "0.18", "Competition": "0.33", "Number of Results": "0", "Trends": "1.00,0.20,0.20,0.20,0.20,0.40,0.40,0.20,0.20,0.20,0.20,0.20", "Intent": "", "Keyword Difficulty Index": "0"}</t>
        </is>
      </c>
      <c r="G1173" t="inlineStr">
        <is>
          <t>Raw (Semrush)</t>
        </is>
      </c>
    </row>
    <row r="1174">
      <c r="A1174" t="inlineStr">
        <is>
          <t>val-ma-3</t>
        </is>
      </c>
      <c r="B1174" t="inlineStr">
        <is>
          <t>phrase_these</t>
        </is>
      </c>
      <c r="C1174" t="inlineStr">
        <is>
          <t>ma</t>
        </is>
      </c>
      <c r="D1174"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74" t="inlineStr">
        <is>
          <t>2026-10-30T15:06:54+00:00</t>
        </is>
      </c>
      <c r="F1174" t="inlineStr">
        <is>
          <t>{"Keyword": "ecommerce maroc", "Search Volume": "260", "CPC": "0.28", "Competition": "0.33", "Number of Results": "0", "Trends": "0.36,0.19,0.44,0.29,0.24,0.67,0.24,0.44,0.36,0.24,1.00,0.15", "Intent": "", "Keyword Difficulty Index": "0"}</t>
        </is>
      </c>
      <c r="G1174" t="inlineStr">
        <is>
          <t>Raw (Semrush)</t>
        </is>
      </c>
    </row>
    <row r="1175">
      <c r="A1175" t="inlineStr">
        <is>
          <t>val-ma-3</t>
        </is>
      </c>
      <c r="B1175" t="inlineStr">
        <is>
          <t>phrase_these</t>
        </is>
      </c>
      <c r="C1175" t="inlineStr">
        <is>
          <t>ma</t>
        </is>
      </c>
      <c r="D1175"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75" t="inlineStr">
        <is>
          <t>2026-10-30T15:06:54+00:00</t>
        </is>
      </c>
      <c r="F1175" t="inlineStr">
        <is>
          <t>{"Keyword": "edtech maroc", "Search Volume": "20", "CPC": "0", "Competition": "0.33", "Number of Results": "0", "Trends": "0.75,0.25,0.25,0.50,0.25,0.25,0.25,0.25,0.25,1.00,0.75,0.25", "Intent": "", "Keyword Difficulty Index": "0"}</t>
        </is>
      </c>
      <c r="G1175" t="inlineStr">
        <is>
          <t>Raw (Semrush)</t>
        </is>
      </c>
    </row>
    <row r="1176">
      <c r="A1176" t="inlineStr">
        <is>
          <t>val-ma-3</t>
        </is>
      </c>
      <c r="B1176" t="inlineStr">
        <is>
          <t>phrase_these</t>
        </is>
      </c>
      <c r="C1176" t="inlineStr">
        <is>
          <t>ma</t>
        </is>
      </c>
      <c r="D1176"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76" t="inlineStr">
        <is>
          <t>2026-10-30T15:06:54+00:00</t>
        </is>
      </c>
      <c r="F1176" t="inlineStr">
        <is>
          <t>{"Keyword": "eeat", "Search Volume": "20", "CPC": "0", "Competition": "0.33", "Number of Results": "0", "Trends": "0.14,0.14,0.29,1.00,0.29,0.71,0.14,0.14,0.14,0.14,0.14,0.14", "Intent": "", "Keyword Difficulty Index": "0"}</t>
        </is>
      </c>
      <c r="G1176" t="inlineStr">
        <is>
          <t>Raw (Semrush)</t>
        </is>
      </c>
    </row>
    <row r="1177">
      <c r="A1177" t="inlineStr">
        <is>
          <t>val-ma-3</t>
        </is>
      </c>
      <c r="B1177" t="inlineStr">
        <is>
          <t>phrase_these</t>
        </is>
      </c>
      <c r="C1177" t="inlineStr">
        <is>
          <t>ma</t>
        </is>
      </c>
      <c r="D1177"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77" t="inlineStr">
        <is>
          <t>2026-10-30T15:06:54+00:00</t>
        </is>
      </c>
      <c r="F1177" t="inlineStr">
        <is>
          <t>{"Keyword": "exemple de site web", "Search Volume": "20", "CPC": "0.14", "Competition": "0.17", "Number of Results": "0", "Trends": "0.20,0.40,0.80,1.00,0.20,0.20,0.20,0.40,0.60,0.40,0.20,0.20", "Intent": "", "Keyword Difficulty Index": "0"}</t>
        </is>
      </c>
      <c r="G1177" t="inlineStr">
        <is>
          <t>Raw (Semrush)</t>
        </is>
      </c>
    </row>
    <row r="1178">
      <c r="A1178" t="inlineStr">
        <is>
          <t>val-ma-3</t>
        </is>
      </c>
      <c r="B1178" t="inlineStr">
        <is>
          <t>phrase_these</t>
        </is>
      </c>
      <c r="C1178" t="inlineStr">
        <is>
          <t>ma</t>
        </is>
      </c>
      <c r="D1178"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78" t="inlineStr">
        <is>
          <t>2026-10-30T15:06:54+00:00</t>
        </is>
      </c>
      <c r="F1178" t="inlineStr">
        <is>
          <t>{"Keyword": "exemple site web", "Search Volume": "20", "CPC": "0.11", "Competition": "0.47", "Number of Results": "0", "Trends": "1.00,0.25,0.50,0.25,0.50,0.25,0.25,0.25,0.75,0.25,0.25,0.25", "Intent": "", "Keyword Difficulty Index": "0"}</t>
        </is>
      </c>
      <c r="G1178" t="inlineStr">
        <is>
          <t>Raw (Semrush)</t>
        </is>
      </c>
    </row>
    <row r="1179">
      <c r="A1179" t="inlineStr">
        <is>
          <t>val-ma-3</t>
        </is>
      </c>
      <c r="B1179" t="inlineStr">
        <is>
          <t>phrase_these</t>
        </is>
      </c>
      <c r="C1179" t="inlineStr">
        <is>
          <t>ma</t>
        </is>
      </c>
      <c r="D1179"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79" t="inlineStr">
        <is>
          <t>2026-10-30T15:06:54+00:00</t>
        </is>
      </c>
      <c r="F1179" t="inlineStr">
        <is>
          <t>{"Keyword": "exemple site web professionnel", "Search Volume": "0", "CPC": "0", "Competition": "0", "Number of Results": "0", "Trends": "0.00,0.00,0.00,0.00,0.00,0.00,0.00,0.00,0.00,0.00,0.00,0.00", "Intent": "", "Keyword Difficulty Index": "0"}</t>
        </is>
      </c>
      <c r="G1179" t="inlineStr">
        <is>
          <t>Raw (Semrush)</t>
        </is>
      </c>
    </row>
    <row r="1180">
      <c r="A1180" t="inlineStr">
        <is>
          <t>val-ma-3</t>
        </is>
      </c>
      <c r="B1180" t="inlineStr">
        <is>
          <t>phrase_these</t>
        </is>
      </c>
      <c r="C1180" t="inlineStr">
        <is>
          <t>ma</t>
        </is>
      </c>
      <c r="D1180"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0" t="inlineStr">
        <is>
          <t>2026-10-30T15:06:54+00:00</t>
        </is>
      </c>
      <c r="F1180" t="inlineStr">
        <is>
          <t>{"Keyword": "expert seo maroc", "Search Volume": "20", "CPC": "0", "Competition": "0.07", "Number of Results": "0", "Trends": "0.25,1.00,0.25,0.25,0.25,0.25,1.00,0.50,0.50,0.25,0.50,0.25", "Intent": "", "Keyword Difficulty Index": "0"}</t>
        </is>
      </c>
      <c r="G1180" t="inlineStr">
        <is>
          <t>Raw (Semrush)</t>
        </is>
      </c>
    </row>
    <row r="1181">
      <c r="A1181" t="inlineStr">
        <is>
          <t>val-ma-3</t>
        </is>
      </c>
      <c r="B1181" t="inlineStr">
        <is>
          <t>phrase_these</t>
        </is>
      </c>
      <c r="C1181" t="inlineStr">
        <is>
          <t>ma</t>
        </is>
      </c>
      <c r="D1181"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1" t="inlineStr">
        <is>
          <t>2026-10-30T15:06:54+00:00</t>
        </is>
      </c>
      <c r="F1181" t="inlineStr">
        <is>
          <t>{"Keyword": "facebook debugger", "Search Volume": "110", "CPC": "0", "Competition": "0.33", "Number of Results": "0", "Trends": "0.65,1.00,0.41,0.82,0.65,0.65,0.82,0.53,0.65,0.82,0.41,0.29", "Intent": "", "Keyword Difficulty Index": "0"}</t>
        </is>
      </c>
      <c r="G1181" t="inlineStr">
        <is>
          <t>Raw (Semrush)</t>
        </is>
      </c>
    </row>
    <row r="1182">
      <c r="A1182" t="inlineStr">
        <is>
          <t>val-ma-3</t>
        </is>
      </c>
      <c r="B1182" t="inlineStr">
        <is>
          <t>phrase_these</t>
        </is>
      </c>
      <c r="C1182" t="inlineStr">
        <is>
          <t>ma</t>
        </is>
      </c>
      <c r="D1182"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2" t="inlineStr">
        <is>
          <t>2026-10-30T15:06:54+00:00</t>
        </is>
      </c>
      <c r="F1182" t="inlineStr">
        <is>
          <t>{"Keyword": "faq schema", "Search Volume": "20", "CPC": "0", "Competition": "0.33", "Number of Results": "0", "Trends": "0.29,0.14,0.14,0.14,0.14,0.29,0.57,0.14,0.14,0.14,1.00,0.14", "Intent": "", "Keyword Difficulty Index": "0"}</t>
        </is>
      </c>
      <c r="G1182" t="inlineStr">
        <is>
          <t>Raw (Semrush)</t>
        </is>
      </c>
    </row>
    <row r="1183">
      <c r="A1183" t="inlineStr">
        <is>
          <t>val-ma-3</t>
        </is>
      </c>
      <c r="B1183" t="inlineStr">
        <is>
          <t>phrase_these</t>
        </is>
      </c>
      <c r="C1183" t="inlineStr">
        <is>
          <t>ma</t>
        </is>
      </c>
      <c r="D1183"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3" t="inlineStr">
        <is>
          <t>2026-10-30T15:06:54+00:00</t>
        </is>
      </c>
      <c r="F1183" t="inlineStr">
        <is>
          <t>{"Keyword": "faux texte", "Search Volume": "90", "CPC": "0", "Competition": "0.33", "Number of Results": "0", "Trends": "0.53,0.65,0.53,0.65,0.41,1.00,1.00,0.65,0.24,0.53,0.29,0.18", "Intent": "", "Keyword Difficulty Index": "0"}</t>
        </is>
      </c>
      <c r="G1183" t="inlineStr">
        <is>
          <t>Raw (Semrush)</t>
        </is>
      </c>
    </row>
    <row r="1184">
      <c r="A1184" t="inlineStr">
        <is>
          <t>val-ma-3</t>
        </is>
      </c>
      <c r="B1184" t="inlineStr">
        <is>
          <t>phrase_these</t>
        </is>
      </c>
      <c r="C1184" t="inlineStr">
        <is>
          <t>ma</t>
        </is>
      </c>
      <c r="D1184"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4" t="inlineStr">
        <is>
          <t>2026-10-30T15:06:54+00:00</t>
        </is>
      </c>
      <c r="F1184" t="inlineStr">
        <is>
          <t>{"Keyword": "fichier robots.txt", "Search Volume": "30", "CPC": "0", "Competition": "0.04", "Number of Results": "0", "Trends": "0.11,0.33,0.22,0.44,0.56,0.11,0.22,0.44,1.00,0.56,0.11,0.11", "Intent": "", "Keyword Difficulty Index": "0"}</t>
        </is>
      </c>
      <c r="G1184" t="inlineStr">
        <is>
          <t>Raw (Semrush)</t>
        </is>
      </c>
    </row>
    <row r="1185">
      <c r="A1185" t="inlineStr">
        <is>
          <t>val-ma-3</t>
        </is>
      </c>
      <c r="B1185" t="inlineStr">
        <is>
          <t>phrase_these</t>
        </is>
      </c>
      <c r="C1185" t="inlineStr">
        <is>
          <t>ma</t>
        </is>
      </c>
      <c r="D1185"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5" t="inlineStr">
        <is>
          <t>2026-10-30T15:06:54+00:00</t>
        </is>
      </c>
      <c r="F1185" t="inlineStr">
        <is>
          <t>{"Keyword": "fintech maroc", "Search Volume": "210", "CPC": "2.33", "Competition": "0.03", "Number of Results": "0", "Trends": "0.65,1.00,1.00,0.81,0.81,0.81,1.00,1.00,0.65,0.81,0.65,0.42", "Intent": "", "Keyword Difficulty Index": "0"}</t>
        </is>
      </c>
      <c r="G1185" t="inlineStr">
        <is>
          <t>Raw (Semrush)</t>
        </is>
      </c>
    </row>
    <row r="1186">
      <c r="A1186" t="inlineStr">
        <is>
          <t>val-ma-3</t>
        </is>
      </c>
      <c r="B1186" t="inlineStr">
        <is>
          <t>phrase_these</t>
        </is>
      </c>
      <c r="C1186" t="inlineStr">
        <is>
          <t>ma</t>
        </is>
      </c>
      <c r="D1186"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6" t="inlineStr">
        <is>
          <t>2026-10-30T15:06:54+00:00</t>
        </is>
      </c>
      <c r="F1186" t="inlineStr">
        <is>
          <t>{"Keyword": "formater json", "Search Volume": "30", "CPC": "0", "Competition": "0.33", "Number of Results": "0", "Trends": "0.71,0.14,0.29,0.14,0.71,0.43,1.00,0.29,0.57,0.14,0.29,0.14", "Intent": "", "Keyword Difficulty Index": "0"}</t>
        </is>
      </c>
      <c r="G1186" t="inlineStr">
        <is>
          <t>Raw (Semrush)</t>
        </is>
      </c>
    </row>
    <row r="1187">
      <c r="A1187" t="inlineStr">
        <is>
          <t>val-ma-3</t>
        </is>
      </c>
      <c r="B1187" t="inlineStr">
        <is>
          <t>phrase_these</t>
        </is>
      </c>
      <c r="C1187" t="inlineStr">
        <is>
          <t>ma</t>
        </is>
      </c>
      <c r="D1187"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7" t="inlineStr">
        <is>
          <t>2026-10-30T15:06:54+00:00</t>
        </is>
      </c>
      <c r="F1187" t="inlineStr">
        <is>
          <t>{"Keyword": "gestion association", "Search Volume": "20", "CPC": "0", "Competition": "0.33", "Number of Results": "0", "Trends": "0.11,0.11,0.11,0.11,1.00,0.11,0.11,0.11,0.11,0.44,0.22,0.22", "Intent": "", "Keyword Difficulty Index": "0"}</t>
        </is>
      </c>
      <c r="G1187" t="inlineStr">
        <is>
          <t>Raw (Semrush)</t>
        </is>
      </c>
    </row>
    <row r="1188">
      <c r="A1188" t="inlineStr">
        <is>
          <t>val-ma-3</t>
        </is>
      </c>
      <c r="B1188" t="inlineStr">
        <is>
          <t>phrase_these</t>
        </is>
      </c>
      <c r="C1188" t="inlineStr">
        <is>
          <t>ma</t>
        </is>
      </c>
      <c r="D1188"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8" t="inlineStr">
        <is>
          <t>2026-10-30T15:06:54+00:00</t>
        </is>
      </c>
      <c r="F1188" t="inlineStr">
        <is>
          <t>{"Keyword": "googlebot", "Search Volume": "20", "CPC": "0", "Competition": "0.33", "Number of Results": "0", "Trends": "0.11,0.11,0.11,1.00,0.22,0.11,0.11,0.11,0.33,0.11,0.11,0.33", "Intent": "", "Keyword Difficulty Index": "0"}</t>
        </is>
      </c>
      <c r="G1188" t="inlineStr">
        <is>
          <t>Raw (Semrush)</t>
        </is>
      </c>
    </row>
    <row r="1189">
      <c r="A1189" t="inlineStr">
        <is>
          <t>val-ma-3</t>
        </is>
      </c>
      <c r="B1189" t="inlineStr">
        <is>
          <t>phrase_these</t>
        </is>
      </c>
      <c r="C1189" t="inlineStr">
        <is>
          <t>ma</t>
        </is>
      </c>
      <c r="D1189"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89" t="inlineStr">
        <is>
          <t>2026-10-30T15:06:54+00:00</t>
        </is>
      </c>
      <c r="F1189" t="inlineStr">
        <is>
          <t>{"Keyword": "générateur couleur", "Search Volume": "40", "CPC": "0", "Competition": "0.33", "Number of Results": "0", "Trends": "1.00,0.11,0.11,0.44,1.00,0.33,0.11,1.00,0.11,0.11,0.11,0.22", "Intent": "", "Keyword Difficulty Index": "0"}</t>
        </is>
      </c>
      <c r="G1189" t="inlineStr">
        <is>
          <t>Raw (Semrush)</t>
        </is>
      </c>
    </row>
    <row r="1190">
      <c r="A1190" t="inlineStr">
        <is>
          <t>val-ma-3</t>
        </is>
      </c>
      <c r="B1190" t="inlineStr">
        <is>
          <t>phrase_these</t>
        </is>
      </c>
      <c r="C1190" t="inlineStr">
        <is>
          <t>ma</t>
        </is>
      </c>
      <c r="D1190"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0" t="inlineStr">
        <is>
          <t>2026-10-30T15:06:54+00:00</t>
        </is>
      </c>
      <c r="F1190" t="inlineStr">
        <is>
          <t>{"Keyword": "générateur de mots clés", "Search Volume": "10", "CPC": "0", "Competition": "0", "Number of Results": "0", "Trends": "0.14,0.14,0.14,0.14,0.14,0.14,0.00,0.14,0.14,1.00,0.14,0.00", "Intent": "", "Keyword Difficulty Index": "0"}</t>
        </is>
      </c>
      <c r="G1190" t="inlineStr">
        <is>
          <t>Raw (Semrush)</t>
        </is>
      </c>
    </row>
    <row r="1191">
      <c r="A1191" t="inlineStr">
        <is>
          <t>val-ma-3</t>
        </is>
      </c>
      <c r="B1191" t="inlineStr">
        <is>
          <t>phrase_these</t>
        </is>
      </c>
      <c r="C1191" t="inlineStr">
        <is>
          <t>ma</t>
        </is>
      </c>
      <c r="D1191"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1" t="inlineStr">
        <is>
          <t>2026-10-30T15:06:54+00:00</t>
        </is>
      </c>
      <c r="F1191" t="inlineStr">
        <is>
          <t>{"Keyword": "générateur lorem ipsum", "Search Volume": "10", "CPC": "0", "Competition": "0.33", "Number of Results": "0", "Trends": "0.33,0.33,0.33,0.33,1.00,0.33,0.33,0.33,0.33,1.00,0.33,0.67", "Intent": "", "Keyword Difficulty Index": "0"}</t>
        </is>
      </c>
      <c r="G1191" t="inlineStr">
        <is>
          <t>Raw (Semrush)</t>
        </is>
      </c>
    </row>
    <row r="1192">
      <c r="A1192" t="inlineStr">
        <is>
          <t>val-ma-3</t>
        </is>
      </c>
      <c r="B1192" t="inlineStr">
        <is>
          <t>phrase_these</t>
        </is>
      </c>
      <c r="C1192" t="inlineStr">
        <is>
          <t>ma</t>
        </is>
      </c>
      <c r="D1192"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2" t="inlineStr">
        <is>
          <t>2026-10-30T15:06:54+00:00</t>
        </is>
      </c>
      <c r="F1192" t="inlineStr">
        <is>
          <t>{"Keyword": "générateur mots clés", "Search Volume": "20", "CPC": "0", "Competition": "0.07", "Number of Results": "0", "Trends": "1.00,0.20,0.40,0.40,0.20,0.80,0.40,0.20,0.20,0.40,0.20,0.40", "Intent": "", "Keyword Difficulty Index": "0"}</t>
        </is>
      </c>
      <c r="G1192" t="inlineStr">
        <is>
          <t>Raw (Semrush)</t>
        </is>
      </c>
    </row>
    <row r="1193">
      <c r="A1193" t="inlineStr">
        <is>
          <t>val-ma-3</t>
        </is>
      </c>
      <c r="B1193" t="inlineStr">
        <is>
          <t>phrase_these</t>
        </is>
      </c>
      <c r="C1193" t="inlineStr">
        <is>
          <t>ma</t>
        </is>
      </c>
      <c r="D1193"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3" t="inlineStr">
        <is>
          <t>2026-10-30T15:06:54+00:00</t>
        </is>
      </c>
      <c r="F1193" t="inlineStr">
        <is>
          <t>{"Keyword": "générateur qr code", "Search Volume": "210", "CPC": "0.32", "Competition": "0.66", "Number of Results": "0", "Trends": "0.81,1.00,1.00,1.00,0.66,0.53,0.53,0.81,0.53,0.66,0.53,0.34", "Intent": "", "Keyword Difficulty Index": "0"}</t>
        </is>
      </c>
      <c r="G1193" t="inlineStr">
        <is>
          <t>Raw (Semrush)</t>
        </is>
      </c>
    </row>
    <row r="1194">
      <c r="A1194" t="inlineStr">
        <is>
          <t>val-ma-3</t>
        </is>
      </c>
      <c r="B1194" t="inlineStr">
        <is>
          <t>phrase_these</t>
        </is>
      </c>
      <c r="C1194" t="inlineStr">
        <is>
          <t>ma</t>
        </is>
      </c>
      <c r="D1194"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4" t="inlineStr">
        <is>
          <t>2026-10-30T15:06:54+00:00</t>
        </is>
      </c>
      <c r="F1194" t="inlineStr">
        <is>
          <t>{"Keyword": "générateur sitemap", "Search Volume": "20", "CPC": "0", "Competition": "0.33", "Number of Results": "0", "Trends": "0.20,1.00,0.20,0.20,0.40,1.00,0.40,0.20,0.20,0.60,0.20,0.20", "Intent": "", "Keyword Difficulty Index": "0"}</t>
        </is>
      </c>
      <c r="G1194" t="inlineStr">
        <is>
          <t>Raw (Semrush)</t>
        </is>
      </c>
    </row>
    <row r="1195">
      <c r="A1195" t="inlineStr">
        <is>
          <t>val-ma-3</t>
        </is>
      </c>
      <c r="B1195" t="inlineStr">
        <is>
          <t>phrase_these</t>
        </is>
      </c>
      <c r="C1195" t="inlineStr">
        <is>
          <t>ma</t>
        </is>
      </c>
      <c r="D1195"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5" t="inlineStr">
        <is>
          <t>2026-10-30T15:06:54+00:00</t>
        </is>
      </c>
      <c r="F1195" t="inlineStr">
        <is>
          <t>{"Keyword": "générer qr code", "Search Volume": "110", "CPC": "0.31", "Competition": "0.68", "Number of Results": "0", "Trends": "0.82,1.00,0.82,0.65,0.82,0.82,0.82,1.00,0.53,0.53,0.53,0.29", "Intent": "", "Keyword Difficulty Index": "0"}</t>
        </is>
      </c>
      <c r="G1195" t="inlineStr">
        <is>
          <t>Raw (Semrush)</t>
        </is>
      </c>
    </row>
    <row r="1196">
      <c r="A1196" t="inlineStr">
        <is>
          <t>val-ma-3</t>
        </is>
      </c>
      <c r="B1196" t="inlineStr">
        <is>
          <t>phrase_these</t>
        </is>
      </c>
      <c r="C1196" t="inlineStr">
        <is>
          <t>ma</t>
        </is>
      </c>
      <c r="D1196"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6" t="inlineStr">
        <is>
          <t>2026-10-30T15:06:54+00:00</t>
        </is>
      </c>
      <c r="F1196" t="inlineStr">
        <is>
          <t>{"Keyword": "hreflang", "Search Volume": "20", "CPC": "0", "Competition": "0.33", "Number of Results": "0", "Trends": "0.25,0.25,0.25,0.25,0.25,0.50,0.50,0.50,1.00,0.25,0.25,0.25", "Intent": "", "Keyword Difficulty Index": "0"}</t>
        </is>
      </c>
      <c r="G1196" t="inlineStr">
        <is>
          <t>Raw (Semrush)</t>
        </is>
      </c>
    </row>
    <row r="1197">
      <c r="A1197" t="inlineStr">
        <is>
          <t>val-ma-3</t>
        </is>
      </c>
      <c r="B1197" t="inlineStr">
        <is>
          <t>phrase_these</t>
        </is>
      </c>
      <c r="C1197" t="inlineStr">
        <is>
          <t>ma</t>
        </is>
      </c>
      <c r="D1197"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7" t="inlineStr">
        <is>
          <t>2026-10-30T15:06:54+00:00</t>
        </is>
      </c>
      <c r="F1197" t="inlineStr">
        <is>
          <t>{"Keyword": "html minifier", "Search Volume": "70", "CPC": "0", "Competition": "0", "Number of Results": "0", "Trends": "0.03,0.03,0.03,0.03,0.03,0.36,0.28,0.03,0.36,1.00,0.03,0.03", "Intent": "", "Keyword Difficulty Index": "0"}</t>
        </is>
      </c>
      <c r="G1197" t="inlineStr">
        <is>
          <t>Raw (Semrush)</t>
        </is>
      </c>
    </row>
    <row r="1198">
      <c r="A1198" t="inlineStr">
        <is>
          <t>val-ma-3</t>
        </is>
      </c>
      <c r="B1198" t="inlineStr">
        <is>
          <t>phrase_these</t>
        </is>
      </c>
      <c r="C1198" t="inlineStr">
        <is>
          <t>ma</t>
        </is>
      </c>
      <c r="D1198"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8" t="inlineStr">
        <is>
          <t>2026-10-30T15:06:54+00:00</t>
        </is>
      </c>
      <c r="F1198" t="inlineStr">
        <is>
          <t>{"Keyword": "html to text", "Search Volume": "140", "CPC": "0", "Competition": "0.33", "Number of Results": "0", "Trends": "1.00,1.00,1.00,0.65,0.65,0.53,0.82,0.65,0.82,0.82,0.53,0.65", "Intent": "", "Keyword Difficulty Index": "0"}</t>
        </is>
      </c>
      <c r="G1198" t="inlineStr">
        <is>
          <t>Raw (Semrush)</t>
        </is>
      </c>
    </row>
    <row r="1199">
      <c r="A1199" t="inlineStr">
        <is>
          <t>val-ma-3</t>
        </is>
      </c>
      <c r="B1199" t="inlineStr">
        <is>
          <t>phrase_these</t>
        </is>
      </c>
      <c r="C1199" t="inlineStr">
        <is>
          <t>ma</t>
        </is>
      </c>
      <c r="D1199"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199" t="inlineStr">
        <is>
          <t>2026-10-30T15:06:54+00:00</t>
        </is>
      </c>
      <c r="F1199" t="inlineStr">
        <is>
          <t>{"Keyword": "hébergement site web maroc", "Search Volume": "20", "CPC": "0.7", "Competition": "0.53", "Number of Results": "0", "Trends": "0.14,0.14,0.14,0.14,1.00,0.14,0.14,0.71,0.14,0.14,0.29,0.43", "Intent": "", "Keyword Difficulty Index": "0"}</t>
        </is>
      </c>
      <c r="G1199" t="inlineStr">
        <is>
          <t>Raw (Semrush)</t>
        </is>
      </c>
    </row>
    <row r="1200">
      <c r="A1200" t="inlineStr">
        <is>
          <t>val-ma-3</t>
        </is>
      </c>
      <c r="B1200" t="inlineStr">
        <is>
          <t>phrase_these</t>
        </is>
      </c>
      <c r="C1200" t="inlineStr">
        <is>
          <t>ma</t>
        </is>
      </c>
      <c r="D1200"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0" t="inlineStr">
        <is>
          <t>2026-10-30T15:06:54+00:00</t>
        </is>
      </c>
      <c r="F1200" t="inlineStr">
        <is>
          <t>{"Keyword": "json en ligne", "Search Volume": "20", "CPC": "0", "Competition": "0.33", "Number of Results": "0", "Trends": "1.00,0.14,0.14,0.14,0.43,0.29,0.14,0.14,0.43,0.29,0.14,0.14", "Intent": "", "Keyword Difficulty Index": "0"}</t>
        </is>
      </c>
      <c r="G1200" t="inlineStr">
        <is>
          <t>Raw (Semrush)</t>
        </is>
      </c>
    </row>
    <row r="1201">
      <c r="A1201" t="inlineStr">
        <is>
          <t>val-ma-3</t>
        </is>
      </c>
      <c r="B1201" t="inlineStr">
        <is>
          <t>phrase_these</t>
        </is>
      </c>
      <c r="C1201" t="inlineStr">
        <is>
          <t>ma</t>
        </is>
      </c>
      <c r="D1201"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1" t="inlineStr">
        <is>
          <t>2026-10-30T15:06:54+00:00</t>
        </is>
      </c>
      <c r="F1201" t="inlineStr">
        <is>
          <t>{"Keyword": "json formatter", "Search Volume": "1600", "CPC": "0.01", "Competition": "0.02", "Number of Results": "106", "Trends": "0.84,1.00,0.84,0.84,0.84,0.84,0.84,0.84,0.68,0.68,0.53,0.53", "Intent": "0", "Keyword Difficulty Index": "68"}</t>
        </is>
      </c>
      <c r="G1201" t="inlineStr">
        <is>
          <t>Raw (Semrush)</t>
        </is>
      </c>
    </row>
    <row r="1202">
      <c r="A1202" t="inlineStr">
        <is>
          <t>val-ma-3</t>
        </is>
      </c>
      <c r="B1202" t="inlineStr">
        <is>
          <t>phrase_these</t>
        </is>
      </c>
      <c r="C1202" t="inlineStr">
        <is>
          <t>ma</t>
        </is>
      </c>
      <c r="D1202"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2" t="inlineStr">
        <is>
          <t>2026-10-30T15:06:54+00:00</t>
        </is>
      </c>
      <c r="F1202" t="inlineStr">
        <is>
          <t>{"Keyword": "json validator", "Search Volume": "170", "CPC": "0", "Competition": "0.33", "Number of Results": "0", "Trends": "0.81,1.00,0.81,0.81,0.65,0.65,0.65,0.54,0.42,0.35,0.35,0.42", "Intent": "", "Keyword Difficulty Index": "0"}</t>
        </is>
      </c>
      <c r="G1202" t="inlineStr">
        <is>
          <t>Raw (Semrush)</t>
        </is>
      </c>
    </row>
    <row r="1203">
      <c r="A1203" t="inlineStr">
        <is>
          <t>val-ma-3</t>
        </is>
      </c>
      <c r="B1203" t="inlineStr">
        <is>
          <t>phrase_these</t>
        </is>
      </c>
      <c r="C1203" t="inlineStr">
        <is>
          <t>ma</t>
        </is>
      </c>
      <c r="D1203"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3" t="inlineStr">
        <is>
          <t>2026-10-30T15:06:54+00:00</t>
        </is>
      </c>
      <c r="F1203" t="inlineStr">
        <is>
          <t>{"Keyword": "json viewer", "Search Volume": "590", "CPC": "0", "Competition": "0.33", "Number of Results": "110", "Trends": "1.00,1.00,1.00,1.00,0.81,1.00,1.00,1.00,0.81,0.81,0.66,0.66", "Intent": "1", "Keyword Difficulty Index": "75"}</t>
        </is>
      </c>
      <c r="G1203" t="inlineStr">
        <is>
          <t>Raw (Semrush)</t>
        </is>
      </c>
    </row>
    <row r="1204">
      <c r="A1204" t="inlineStr">
        <is>
          <t>val-ma-3</t>
        </is>
      </c>
      <c r="B1204" t="inlineStr">
        <is>
          <t>phrase_these</t>
        </is>
      </c>
      <c r="C1204" t="inlineStr">
        <is>
          <t>ma</t>
        </is>
      </c>
      <c r="D1204"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4" t="inlineStr">
        <is>
          <t>2026-10-30T15:06:54+00:00</t>
        </is>
      </c>
      <c r="F1204" t="inlineStr">
        <is>
          <t>{"Keyword": "json-ld", "Search Volume": "10", "CPC": "0", "Competition": "0.33", "Number of Results": "0", "Trends": "1.00,0.33,0.33,0.67,0.33,0.33,0.67,0.33,0.33,0.33,0.33,0.33", "Intent": "", "Keyword Difficulty Index": "0"}</t>
        </is>
      </c>
      <c r="G1204" t="inlineStr">
        <is>
          <t>Raw (Semrush)</t>
        </is>
      </c>
    </row>
    <row r="1205">
      <c r="A1205" t="inlineStr">
        <is>
          <t>val-ma-3</t>
        </is>
      </c>
      <c r="B1205" t="inlineStr">
        <is>
          <t>phrase_these</t>
        </is>
      </c>
      <c r="C1205" t="inlineStr">
        <is>
          <t>ma</t>
        </is>
      </c>
      <c r="D1205"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5" t="inlineStr">
        <is>
          <t>2026-10-30T15:06:54+00:00</t>
        </is>
      </c>
      <c r="F1205" t="inlineStr">
        <is>
          <t>{"Keyword": "landing page", "Search Volume": "1900", "CPC": "0.37", "Competition": "0.31", "Number of Results": "132", "Trends": "0.67,0.67,0.67,0.79,0.79,0.79,0.79,1.00,0.67,0.79,0.54,0.54", "Intent": "1,0", "Keyword Difficulty Index": "35"}</t>
        </is>
      </c>
      <c r="G1205" t="inlineStr">
        <is>
          <t>Raw (Semrush)</t>
        </is>
      </c>
    </row>
    <row r="1206">
      <c r="A1206" t="inlineStr">
        <is>
          <t>val-ma-3</t>
        </is>
      </c>
      <c r="B1206" t="inlineStr">
        <is>
          <t>phrase_these</t>
        </is>
      </c>
      <c r="C1206" t="inlineStr">
        <is>
          <t>ma</t>
        </is>
      </c>
      <c r="D1206"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6" t="inlineStr">
        <is>
          <t>2026-10-30T15:06:54+00:00</t>
        </is>
      </c>
      <c r="F1206" t="inlineStr">
        <is>
          <t>{"Keyword": "landing page gratuite", "Search Volume": "20", "CPC": "0.25", "Competition": "0.83", "Number of Results": "0", "Trends": "0.14,0.14,0.14,0.14,1.00,0.14,0.43,0.14,0.14,0.14,0.14,0.29", "Intent": "", "Keyword Difficulty Index": "0"}</t>
        </is>
      </c>
      <c r="G1206" t="inlineStr">
        <is>
          <t>Raw (Semrush)</t>
        </is>
      </c>
    </row>
    <row r="1207">
      <c r="A1207" t="inlineStr">
        <is>
          <t>val-ma-3</t>
        </is>
      </c>
      <c r="B1207" t="inlineStr">
        <is>
          <t>phrase_these</t>
        </is>
      </c>
      <c r="C1207" t="inlineStr">
        <is>
          <t>ma</t>
        </is>
      </c>
      <c r="D1207"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7" t="inlineStr">
        <is>
          <t>2026-10-30T15:06:54+00:00</t>
        </is>
      </c>
      <c r="F1207" t="inlineStr">
        <is>
          <t>{"Keyword": "lien utm", "Search Volume": "10", "CPC": "0", "Competition": "0.04", "Number of Results": "0", "Trends": "1.00,0.50,0.50,0.50,0.50,0.50,1.00,0.50,0.50,0.50,0.50,1.00", "Intent": "", "Keyword Difficulty Index": "0"}</t>
        </is>
      </c>
      <c r="G1207" t="inlineStr">
        <is>
          <t>Raw (Semrush)</t>
        </is>
      </c>
    </row>
    <row r="1208">
      <c r="A1208" t="inlineStr">
        <is>
          <t>val-ma-3</t>
        </is>
      </c>
      <c r="B1208" t="inlineStr">
        <is>
          <t>phrase_these</t>
        </is>
      </c>
      <c r="C1208" t="inlineStr">
        <is>
          <t>ma</t>
        </is>
      </c>
      <c r="D1208"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8" t="inlineStr">
        <is>
          <t>2026-10-30T15:06:54+00:00</t>
        </is>
      </c>
      <c r="F1208" t="inlineStr">
        <is>
          <t>{"Keyword": "lisibilité texte", "Search Volume": "0", "CPC": "0", "Competition": "0", "Number of Results": "0", "Trends": "0.00,0.00,0.00,0.00,0.00,0.00,0.00,0.00,0.00,0.00,0.00,0.00", "Intent": "", "Keyword Difficulty Index": "0"}</t>
        </is>
      </c>
      <c r="G1208" t="inlineStr">
        <is>
          <t>Raw (Semrush)</t>
        </is>
      </c>
    </row>
    <row r="1209">
      <c r="A1209" t="inlineStr">
        <is>
          <t>val-ma-3</t>
        </is>
      </c>
      <c r="B1209" t="inlineStr">
        <is>
          <t>phrase_these</t>
        </is>
      </c>
      <c r="C1209" t="inlineStr">
        <is>
          <t>ma</t>
        </is>
      </c>
      <c r="D1209"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09" t="inlineStr">
        <is>
          <t>2026-10-30T15:06:54+00:00</t>
        </is>
      </c>
      <c r="F1209" t="inlineStr">
        <is>
          <t>{"Keyword": "lms", "Search Volume": "1000", "CPC": "0.48", "Competition": "0.08", "Number of Results": "127", "Trends": "1.00,1.00,1.00,1.00,0.88,1.00,1.00,1.00,0.88,0.88,0.88,0.72", "Intent": "1", "Keyword Difficulty Index": "32"}</t>
        </is>
      </c>
      <c r="G1209" t="inlineStr">
        <is>
          <t>Raw (Semrush)</t>
        </is>
      </c>
    </row>
    <row r="1210">
      <c r="A1210" t="inlineStr">
        <is>
          <t>val-ma-3</t>
        </is>
      </c>
      <c r="B1210" t="inlineStr">
        <is>
          <t>phrase_these</t>
        </is>
      </c>
      <c r="C1210" t="inlineStr">
        <is>
          <t>ma</t>
        </is>
      </c>
      <c r="D1210"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0" t="inlineStr">
        <is>
          <t>2026-10-30T15:06:54+00:00</t>
        </is>
      </c>
      <c r="F1210" t="inlineStr">
        <is>
          <t>{"Keyword": "lms maroc", "Search Volume": "20", "CPC": "0", "Competition": "0.05", "Number of Results": "0", "Trends": "0.25,0.50,0.25,0.25,0.50,0.75,0.25,1.00,0.25,0.25,0.50,0.50", "Intent": "", "Keyword Difficulty Index": "0"}</t>
        </is>
      </c>
      <c r="G1210" t="inlineStr">
        <is>
          <t>Raw (Semrush)</t>
        </is>
      </c>
    </row>
    <row r="1211">
      <c r="A1211" t="inlineStr">
        <is>
          <t>val-ma-3</t>
        </is>
      </c>
      <c r="B1211" t="inlineStr">
        <is>
          <t>phrase_these</t>
        </is>
      </c>
      <c r="C1211" t="inlineStr">
        <is>
          <t>ma</t>
        </is>
      </c>
      <c r="D1211"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1" t="inlineStr">
        <is>
          <t>2026-10-30T15:06:54+00:00</t>
        </is>
      </c>
      <c r="F1211" t="inlineStr">
        <is>
          <t>{"Keyword": "logiciel association", "Search Volume": "20", "CPC": "0", "Competition": "0.29", "Number of Results": "0", "Trends": "0.40,0.20,0.20,0.20,0.20,0.20,0.40,1.00,0.20,0.20,0.20,0.20", "Intent": "", "Keyword Difficulty Index": "0"}</t>
        </is>
      </c>
      <c r="G1211" t="inlineStr">
        <is>
          <t>Raw (Semrush)</t>
        </is>
      </c>
    </row>
    <row r="1212">
      <c r="A1212" t="inlineStr">
        <is>
          <t>val-ma-3</t>
        </is>
      </c>
      <c r="B1212" t="inlineStr">
        <is>
          <t>phrase_these</t>
        </is>
      </c>
      <c r="C1212" t="inlineStr">
        <is>
          <t>ma</t>
        </is>
      </c>
      <c r="D1212"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2" t="inlineStr">
        <is>
          <t>2026-10-30T15:06:54+00:00</t>
        </is>
      </c>
      <c r="F1212" t="inlineStr">
        <is>
          <t>{"Keyword": "logiciel de facturation", "Search Volume": "50", "CPC": "0.72", "Competition": "0.54", "Number of Results": "0", "Trends": "0.04,1.00,0.54,0.04,0.04,0.04,0.04,0.12,0.04,0.04,0.42,0.27", "Intent": "", "Keyword Difficulty Index": "0"}</t>
        </is>
      </c>
      <c r="G1212" t="inlineStr">
        <is>
          <t>Raw (Semrush)</t>
        </is>
      </c>
    </row>
    <row r="1213">
      <c r="A1213" t="inlineStr">
        <is>
          <t>val-ma-3</t>
        </is>
      </c>
      <c r="B1213" t="inlineStr">
        <is>
          <t>phrase_these</t>
        </is>
      </c>
      <c r="C1213" t="inlineStr">
        <is>
          <t>ma</t>
        </is>
      </c>
      <c r="D1213"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3" t="inlineStr">
        <is>
          <t>2026-10-30T15:06:54+00:00</t>
        </is>
      </c>
      <c r="F1213" t="inlineStr">
        <is>
          <t>{"Keyword": "logiciel facturation maroc", "Search Volume": "20", "CPC": "0.4", "Competition": "0.44", "Number of Results": "0", "Trends": "0.33,0.33,0.67,0.33,0.33,0.33,0.33,1.00,0.33,0.67,1.00,0.33", "Intent": "", "Keyword Difficulty Index": "0"}</t>
        </is>
      </c>
      <c r="G1213" t="inlineStr">
        <is>
          <t>Raw (Semrush)</t>
        </is>
      </c>
    </row>
    <row r="1214">
      <c r="A1214" t="inlineStr">
        <is>
          <t>val-ma-3</t>
        </is>
      </c>
      <c r="B1214" t="inlineStr">
        <is>
          <t>phrase_these</t>
        </is>
      </c>
      <c r="C1214" t="inlineStr">
        <is>
          <t>ma</t>
        </is>
      </c>
      <c r="D1214"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4" t="inlineStr">
        <is>
          <t>2026-10-30T15:06:54+00:00</t>
        </is>
      </c>
      <c r="F1214" t="inlineStr">
        <is>
          <t>{"Keyword": "logiciel gestion association", "Search Volume": "20", "CPC": "0", "Competition": "0", "Number of Results": "0", "Trends": "0.20,0.00,0.80,0.20,0.00,0.20,1.00,0.00,0.20,0.80,0.40,0.00", "Intent": "", "Keyword Difficulty Index": "0"}</t>
        </is>
      </c>
      <c r="G1214" t="inlineStr">
        <is>
          <t>Raw (Semrush)</t>
        </is>
      </c>
    </row>
    <row r="1215">
      <c r="A1215" t="inlineStr">
        <is>
          <t>val-ma-3</t>
        </is>
      </c>
      <c r="B1215" t="inlineStr">
        <is>
          <t>phrase_these</t>
        </is>
      </c>
      <c r="C1215" t="inlineStr">
        <is>
          <t>ma</t>
        </is>
      </c>
      <c r="D1215"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5" t="inlineStr">
        <is>
          <t>2026-10-30T15:06:54+00:00</t>
        </is>
      </c>
      <c r="F1215" t="inlineStr">
        <is>
          <t>{"Keyword": "logiciel immobilier maroc", "Search Volume": "20", "CPC": "0", "Competition": "0.02", "Number of Results": "0", "Trends": "0.22,0.11,0.11,0.11,0.11,0.11,0.22,0.78,0.11,1.00,0.11,0.11", "Intent": "", "Keyword Difficulty Index": "0"}</t>
        </is>
      </c>
      <c r="G1215" t="inlineStr">
        <is>
          <t>Raw (Semrush)</t>
        </is>
      </c>
    </row>
    <row r="1216">
      <c r="A1216" t="inlineStr">
        <is>
          <t>val-ma-3</t>
        </is>
      </c>
      <c r="B1216" t="inlineStr">
        <is>
          <t>phrase_these</t>
        </is>
      </c>
      <c r="C1216" t="inlineStr">
        <is>
          <t>ma</t>
        </is>
      </c>
      <c r="D1216"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6" t="inlineStr">
        <is>
          <t>2026-10-30T15:06:54+00:00</t>
        </is>
      </c>
      <c r="F1216" t="inlineStr">
        <is>
          <t>{"Keyword": "logiciel sur mesure", "Search Volume": "30", "CPC": "0", "Competition": "0.33", "Number of Results": "0", "Trends": "1.00,0.14,0.14,0.57,0.14,0.29,0.57,0.14,0.14,0.43,0.57,0.57", "Intent": "", "Keyword Difficulty Index": "0"}</t>
        </is>
      </c>
      <c r="G1216" t="inlineStr">
        <is>
          <t>Raw (Semrush)</t>
        </is>
      </c>
    </row>
    <row r="1217">
      <c r="A1217" t="inlineStr">
        <is>
          <t>val-ma-3</t>
        </is>
      </c>
      <c r="B1217" t="inlineStr">
        <is>
          <t>phrase_these</t>
        </is>
      </c>
      <c r="C1217" t="inlineStr">
        <is>
          <t>ma</t>
        </is>
      </c>
      <c r="D1217"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7" t="inlineStr">
        <is>
          <t>2026-10-30T15:06:54+00:00</t>
        </is>
      </c>
      <c r="F1217" t="inlineStr">
        <is>
          <t>{"Keyword": "logiciel sur mesure maroc", "Search Volume": "0", "CPC": "0", "Competition": "0", "Number of Results": "0", "Trends": "0.00,0.00,0.00,0.00,0.00,0.00,0.00,0.00,0.00,0.00,0.00,0.00", "Intent": "", "Keyword Difficulty Index": "0"}</t>
        </is>
      </c>
      <c r="G1217" t="inlineStr">
        <is>
          <t>Raw (Semrush)</t>
        </is>
      </c>
    </row>
    <row r="1218">
      <c r="A1218" t="inlineStr">
        <is>
          <t>val-ma-3</t>
        </is>
      </c>
      <c r="B1218" t="inlineStr">
        <is>
          <t>phrase_these</t>
        </is>
      </c>
      <c r="C1218" t="inlineStr">
        <is>
          <t>ma</t>
        </is>
      </c>
      <c r="D1218"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8" t="inlineStr">
        <is>
          <t>2026-10-30T15:06:54+00:00</t>
        </is>
      </c>
      <c r="F1218" t="inlineStr">
        <is>
          <t>{"Keyword": "lorem ipsum", "Search Volume": "1900", "CPC": "0", "Competition": "0.33", "Number of Results": "111", "Trends": "0.79,1.00,0.79,0.79,0.67,0.79,0.67,0.79,0.54,0.67,0.54,0.42", "Intent": "2", "Keyword Difficulty Index": "49"}</t>
        </is>
      </c>
      <c r="G1218" t="inlineStr">
        <is>
          <t>Raw (Semrush)</t>
        </is>
      </c>
    </row>
    <row r="1219">
      <c r="A1219" t="inlineStr">
        <is>
          <t>val-ma-3</t>
        </is>
      </c>
      <c r="B1219" t="inlineStr">
        <is>
          <t>phrase_these</t>
        </is>
      </c>
      <c r="C1219" t="inlineStr">
        <is>
          <t>ma</t>
        </is>
      </c>
      <c r="D1219"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19" t="inlineStr">
        <is>
          <t>2026-10-30T15:06:54+00:00</t>
        </is>
      </c>
      <c r="F1219" t="inlineStr">
        <is>
          <t>{"Keyword": "magento maroc", "Search Volume": "20", "CPC": "0", "Competition": "0.33", "Number of Results": "0", "Trends": "0.29,0.43,0.14,0.14,0.29,1.00,0.14,0.14,0.43,0.14,0.43,0.14", "Intent": "", "Keyword Difficulty Index": "0"}</t>
        </is>
      </c>
      <c r="G1219" t="inlineStr">
        <is>
          <t>Raw (Semrush)</t>
        </is>
      </c>
    </row>
    <row r="1220">
      <c r="A1220" t="inlineStr">
        <is>
          <t>val-ma-3</t>
        </is>
      </c>
      <c r="B1220" t="inlineStr">
        <is>
          <t>phrase_these</t>
        </is>
      </c>
      <c r="C1220" t="inlineStr">
        <is>
          <t>ma</t>
        </is>
      </c>
      <c r="D1220"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20" t="inlineStr">
        <is>
          <t>2026-10-30T15:06:54+00:00</t>
        </is>
      </c>
      <c r="F1220" t="inlineStr">
        <is>
          <t>{"Keyword": "maillage interne", "Search Volume": "20", "CPC": "0", "Competition": "0.33", "Number of Results": "0", "Trends": "0.14,0.14,1.00,0.14,0.14,0.29,0.14,0.14,0.14,0.14,0.14,0.14", "Intent": "", "Keyword Difficulty Index": "0"}</t>
        </is>
      </c>
      <c r="G1220" t="inlineStr">
        <is>
          <t>Raw (Semrush)</t>
        </is>
      </c>
    </row>
    <row r="1221">
      <c r="A1221" t="inlineStr">
        <is>
          <t>val-ma-3</t>
        </is>
      </c>
      <c r="B1221" t="inlineStr">
        <is>
          <t>phrase_these</t>
        </is>
      </c>
      <c r="C1221" t="inlineStr">
        <is>
          <t>ma</t>
        </is>
      </c>
      <c r="D1221" t="inlineStr">
        <is>
          <t>développeur web tanger;e-commerce maroc;e-e-a-t;e-learning maroc;ecommerce maroc;edtech maroc;eeat;eeat seo;en-têtes de sécurité;encodeur base64;entreprise création site web maroc;exemple de site web;exemple site web;exemple site web professionnel;expert seo maroc;externalisation développement web maroc;extracteur de domaine;extracteur meta;extraire balises title;extraire domaine url;extraire json-ld;extraire meta title;extraire mots fréquents;extraire url sitemap;facebook debugger;faq schema;faqpage schema;faux texte;fichier llms.txt;fichier robots.txt;fintech maroc;flesch;formater json;generative engine optimization;geo seo;gestion association;googlebot;gptbot;générateur chatbot;générateur couleur;générateur de balises meta;générateur de mots clés;générateur de palette de couleurs;générateur de slug;générateur de titre;générateur de titre de blog;générateur données structurées;générateur hreflang;générateur landing page;générateur lorem ipsum;générateur meta description;générateur mo</t>
        </is>
      </c>
      <c r="E1221" t="inlineStr">
        <is>
          <t>2026-10-30T15:06:54+00:00</t>
        </is>
      </c>
      <c r="F1221" t="inlineStr">
        <is>
          <t>{"Keyword": "maintenance site web", "Search Volume": "30", "CPC": "0", "Competition": "0.19", "Number of Results": "0", "Trends": "0.11,0.11,0.11,0.11,0.11,1.00,0.44,0.44,0.11,0.78,0.11,0.22", "Intent": "", "Keyword Difficulty Index": "0"}</t>
        </is>
      </c>
      <c r="G1221" t="inlineStr">
        <is>
          <t>Raw (Semrush)</t>
        </is>
      </c>
    </row>
    <row r="1222">
      <c r="A1222" t="inlineStr">
        <is>
          <t>val-ma-4</t>
        </is>
      </c>
      <c r="B1222" t="inlineStr">
        <is>
          <t>phrase_these</t>
        </is>
      </c>
      <c r="C1222" t="inlineStr">
        <is>
          <t>ma</t>
        </is>
      </c>
      <c r="D1222"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22" t="inlineStr">
        <is>
          <t>2026-10-30T15:06:55+00:00</t>
        </is>
      </c>
      <c r="F1222" t="inlineStr">
        <is>
          <t>{"Keyword": "majuscule en minuscule", "Search Volume": "20", "CPC": "0", "Competition": "0", "Number of Results": "0", "Trends": "0.20,0.60,0.20,0.40,0.20,0.80,0.40,1.00,0.20,0.20,0.20,0.20", "Intent": "", "Keyword Difficulty Index": "0"}</t>
        </is>
      </c>
      <c r="G1222" t="inlineStr">
        <is>
          <t>Raw (Semrush)</t>
        </is>
      </c>
    </row>
    <row r="1223">
      <c r="A1223" t="inlineStr">
        <is>
          <t>val-ma-4</t>
        </is>
      </c>
      <c r="B1223" t="inlineStr">
        <is>
          <t>phrase_these</t>
        </is>
      </c>
      <c r="C1223" t="inlineStr">
        <is>
          <t>ma</t>
        </is>
      </c>
      <c r="D1223"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23" t="inlineStr">
        <is>
          <t>2026-10-30T15:06:55+00:00</t>
        </is>
      </c>
      <c r="F1223" t="inlineStr">
        <is>
          <t>{"Keyword": "meilleure plateforme e-learning", "Search Volume": "0", "CPC": "0", "Competition": "0", "Number of Results": "0", "Trends": "0.00,0.00,0.00,0.00,0.00,0.00,0.00,0.00,0.00,0.00,0.00,0.00", "Intent": "", "Keyword Difficulty Index": "0"}</t>
        </is>
      </c>
      <c r="G1223" t="inlineStr">
        <is>
          <t>Raw (Semrush)</t>
        </is>
      </c>
    </row>
    <row r="1224">
      <c r="A1224" t="inlineStr">
        <is>
          <t>val-ma-4</t>
        </is>
      </c>
      <c r="B1224" t="inlineStr">
        <is>
          <t>phrase_these</t>
        </is>
      </c>
      <c r="C1224" t="inlineStr">
        <is>
          <t>ma</t>
        </is>
      </c>
      <c r="D1224"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24" t="inlineStr">
        <is>
          <t>2026-10-30T15:06:55+00:00</t>
        </is>
      </c>
      <c r="F1224" t="inlineStr">
        <is>
          <t>{"Keyword": "meta description", "Search Volume": "20", "CPC": "0", "Competition": "0.33", "Number of Results": "0", "Trends": "0.25,0.25,0.25,0.50,0.25,0.25,0.75,1.00,0.25,0.25,0.25,0.25", "Intent": "", "Keyword Difficulty Index": "0"}</t>
        </is>
      </c>
      <c r="G1224" t="inlineStr">
        <is>
          <t>Raw (Semrush)</t>
        </is>
      </c>
    </row>
    <row r="1225">
      <c r="A1225" t="inlineStr">
        <is>
          <t>val-ma-4</t>
        </is>
      </c>
      <c r="B1225" t="inlineStr">
        <is>
          <t>phrase_these</t>
        </is>
      </c>
      <c r="C1225" t="inlineStr">
        <is>
          <t>ma</t>
        </is>
      </c>
      <c r="D1225"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25" t="inlineStr">
        <is>
          <t>2026-10-30T15:06:55+00:00</t>
        </is>
      </c>
      <c r="F1225" t="inlineStr">
        <is>
          <t>{"Keyword": "meta refresh", "Search Volume": "20", "CPC": "0", "Competition": "0.33", "Number of Results": "0", "Trends": "0.14,0.71,0.14,0.14,0.14,0.14,0.57,1.00,0.14,0.29,0.14,0.57", "Intent": "", "Keyword Difficulty Index": "0"}</t>
        </is>
      </c>
      <c r="G1225" t="inlineStr">
        <is>
          <t>Raw (Semrush)</t>
        </is>
      </c>
    </row>
    <row r="1226">
      <c r="A1226" t="inlineStr">
        <is>
          <t>val-ma-4</t>
        </is>
      </c>
      <c r="B1226" t="inlineStr">
        <is>
          <t>phrase_these</t>
        </is>
      </c>
      <c r="C1226" t="inlineStr">
        <is>
          <t>ma</t>
        </is>
      </c>
      <c r="D1226"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26" t="inlineStr">
        <is>
          <t>2026-10-30T15:06:55+00:00</t>
        </is>
      </c>
      <c r="F1226" t="inlineStr">
        <is>
          <t>{"Keyword": "meta tag generator", "Search Volume": "20", "CPC": "0", "Competition": "0.33", "Number of Results": "0", "Trends": "0.29,1.00,0.14,0.71,0.14,0.29,0.57,0.14,0.14,0.14,0.14,0.14", "Intent": "", "Keyword Difficulty Index": "0"}</t>
        </is>
      </c>
      <c r="G1226" t="inlineStr">
        <is>
          <t>Raw (Semrush)</t>
        </is>
      </c>
    </row>
    <row r="1227">
      <c r="A1227" t="inlineStr">
        <is>
          <t>val-ma-4</t>
        </is>
      </c>
      <c r="B1227" t="inlineStr">
        <is>
          <t>phrase_these</t>
        </is>
      </c>
      <c r="C1227" t="inlineStr">
        <is>
          <t>ma</t>
        </is>
      </c>
      <c r="D1227"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27" t="inlineStr">
        <is>
          <t>2026-10-30T15:06:55+00:00</t>
        </is>
      </c>
      <c r="F1227" t="inlineStr">
        <is>
          <t>{"Keyword": "mettre en majuscule", "Search Volume": "20", "CPC": "0", "Competition": "0.33", "Number of Results": "0", "Trends": "0.14,0.29,0.14,0.14,0.14,0.14,0.29,1.00,0.14,0.14,0.14,0.14", "Intent": "", "Keyword Difficulty Index": "0"}</t>
        </is>
      </c>
      <c r="G1227" t="inlineStr">
        <is>
          <t>Raw (Semrush)</t>
        </is>
      </c>
    </row>
    <row r="1228">
      <c r="A1228" t="inlineStr">
        <is>
          <t>val-ma-4</t>
        </is>
      </c>
      <c r="B1228" t="inlineStr">
        <is>
          <t>phrase_these</t>
        </is>
      </c>
      <c r="C1228" t="inlineStr">
        <is>
          <t>ma</t>
        </is>
      </c>
      <c r="D1228"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28" t="inlineStr">
        <is>
          <t>2026-10-30T15:06:55+00:00</t>
        </is>
      </c>
      <c r="F1228" t="inlineStr">
        <is>
          <t>{"Keyword": "minifier css", "Search Volume": "210", "CPC": "0", "Competition": "0", "Number of Results": "0", "Trends": "1.00,0.81,0.65,0.65,0.81,0.81,0.81,0.54,0.65,0.65,0.81,1.00", "Intent": "", "Keyword Difficulty Index": "0"}</t>
        </is>
      </c>
      <c r="G1228" t="inlineStr">
        <is>
          <t>Raw (Semrush)</t>
        </is>
      </c>
    </row>
    <row r="1229">
      <c r="A1229" t="inlineStr">
        <is>
          <t>val-ma-4</t>
        </is>
      </c>
      <c r="B1229" t="inlineStr">
        <is>
          <t>phrase_these</t>
        </is>
      </c>
      <c r="C1229" t="inlineStr">
        <is>
          <t>ma</t>
        </is>
      </c>
      <c r="D1229"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29" t="inlineStr">
        <is>
          <t>2026-10-30T15:06:55+00:00</t>
        </is>
      </c>
      <c r="F1229" t="inlineStr">
        <is>
          <t>{"Keyword": "minifier html", "Search Volume": "30", "CPC": "0", "Competition": "0.33", "Number of Results": "0", "Trends": "0.33,1.00,0.11,0.11,0.11,1.00,0.56,0.11,0.22,0.33,0.11,0.11", "Intent": "", "Keyword Difficulty Index": "0"}</t>
        </is>
      </c>
      <c r="G1229" t="inlineStr">
        <is>
          <t>Raw (Semrush)</t>
        </is>
      </c>
    </row>
    <row r="1230">
      <c r="A1230" t="inlineStr">
        <is>
          <t>val-ma-4</t>
        </is>
      </c>
      <c r="B1230" t="inlineStr">
        <is>
          <t>phrase_these</t>
        </is>
      </c>
      <c r="C1230" t="inlineStr">
        <is>
          <t>ma</t>
        </is>
      </c>
      <c r="D1230"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0" t="inlineStr">
        <is>
          <t>2026-10-30T15:06:55+00:00</t>
        </is>
      </c>
      <c r="F1230" t="inlineStr">
        <is>
          <t>{"Keyword": "minify css", "Search Volume": "170", "CPC": "0", "Competition": "0", "Number of Results": "0", "Trends": "0.65,0.81,0.81,0.81,0.54,0.65,0.54,0.65,1.00,0.81,0.54,0.65", "Intent": "", "Keyword Difficulty Index": "0"}</t>
        </is>
      </c>
      <c r="G1230" t="inlineStr">
        <is>
          <t>Raw (Semrush)</t>
        </is>
      </c>
    </row>
    <row r="1231">
      <c r="A1231" t="inlineStr">
        <is>
          <t>val-ma-4</t>
        </is>
      </c>
      <c r="B1231" t="inlineStr">
        <is>
          <t>phrase_these</t>
        </is>
      </c>
      <c r="C1231" t="inlineStr">
        <is>
          <t>ma</t>
        </is>
      </c>
      <c r="D1231"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1" t="inlineStr">
        <is>
          <t>2026-10-30T15:06:55+00:00</t>
        </is>
      </c>
      <c r="F1231" t="inlineStr">
        <is>
          <t>{"Keyword": "minify html", "Search Volume": "70", "CPC": "0", "Competition": "0", "Number of Results": "0", "Trends": "0.03,0.03,0.03,0.03,0.03,0.36,0.28,0.03,0.36,1.00,0.03,0.03", "Intent": "", "Keyword Difficulty Index": "0"}</t>
        </is>
      </c>
      <c r="G1231" t="inlineStr">
        <is>
          <t>Raw (Semrush)</t>
        </is>
      </c>
    </row>
    <row r="1232">
      <c r="A1232" t="inlineStr">
        <is>
          <t>val-ma-4</t>
        </is>
      </c>
      <c r="B1232" t="inlineStr">
        <is>
          <t>phrase_these</t>
        </is>
      </c>
      <c r="C1232" t="inlineStr">
        <is>
          <t>ma</t>
        </is>
      </c>
      <c r="D1232"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2" t="inlineStr">
        <is>
          <t>2026-10-30T15:06:55+00:00</t>
        </is>
      </c>
      <c r="F1232" t="inlineStr">
        <is>
          <t>{"Keyword": "mobile friendly test", "Search Volume": "10", "CPC": "0", "Competition": "0.33", "Number of Results": "0", "Trends": "0.25,0.25,0.25,0.25,0.25,0.25,0.25,0.75,0.25,0.25,0.25,1.00", "Intent": "", "Keyword Difficulty Index": "0"}</t>
        </is>
      </c>
      <c r="G1232" t="inlineStr">
        <is>
          <t>Raw (Semrush)</t>
        </is>
      </c>
    </row>
    <row r="1233">
      <c r="A1233" t="inlineStr">
        <is>
          <t>val-ma-4</t>
        </is>
      </c>
      <c r="B1233" t="inlineStr">
        <is>
          <t>phrase_these</t>
        </is>
      </c>
      <c r="C1233" t="inlineStr">
        <is>
          <t>ma</t>
        </is>
      </c>
      <c r="D1233"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3" t="inlineStr">
        <is>
          <t>2026-10-30T15:06:55+00:00</t>
        </is>
      </c>
      <c r="F1233" t="inlineStr">
        <is>
          <t>{"Keyword": "n-gram", "Search Volume": "20", "CPC": "0", "Competition": "0.33", "Number of Results": "0", "Trends": "0.14,0.14,0.14,0.71,0.14,0.14,1.00,0.14,0.14,0.14,0.14,0.29", "Intent": "", "Keyword Difficulty Index": "0"}</t>
        </is>
      </c>
      <c r="G1233" t="inlineStr">
        <is>
          <t>Raw (Semrush)</t>
        </is>
      </c>
    </row>
    <row r="1234">
      <c r="A1234" t="inlineStr">
        <is>
          <t>val-ma-4</t>
        </is>
      </c>
      <c r="B1234" t="inlineStr">
        <is>
          <t>phrase_these</t>
        </is>
      </c>
      <c r="C1234" t="inlineStr">
        <is>
          <t>ma</t>
        </is>
      </c>
      <c r="D1234"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4" t="inlineStr">
        <is>
          <t>2026-10-30T15:06:55+00:00</t>
        </is>
      </c>
      <c r="F1234" t="inlineStr">
        <is>
          <t>{"Keyword": "nearshore maroc", "Search Volume": "20", "CPC": "0", "Competition": "0.33", "Number of Results": "0", "Trends": "0.43,0.29,0.43,0.14,0.14,0.14,0.14,0.14,0.14,0.71,1.00,0.14", "Intent": "", "Keyword Difficulty Index": "0"}</t>
        </is>
      </c>
      <c r="G1234" t="inlineStr">
        <is>
          <t>Raw (Semrush)</t>
        </is>
      </c>
    </row>
    <row r="1235">
      <c r="A1235" t="inlineStr">
        <is>
          <t>val-ma-4</t>
        </is>
      </c>
      <c r="B1235" t="inlineStr">
        <is>
          <t>phrase_these</t>
        </is>
      </c>
      <c r="C1235" t="inlineStr">
        <is>
          <t>ma</t>
        </is>
      </c>
      <c r="D1235"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5" t="inlineStr">
        <is>
          <t>2026-10-30T15:06:55+00:00</t>
        </is>
      </c>
      <c r="F1235" t="inlineStr">
        <is>
          <t>{"Keyword": "ngram", "Search Volume": "20", "CPC": "0", "Competition": "0.33", "Number of Results": "0", "Trends": "0.14,0.14,0.14,0.71,0.14,0.14,1.00,0.14,0.14,0.14,0.14,0.29", "Intent": "", "Keyword Difficulty Index": "0"}</t>
        </is>
      </c>
      <c r="G1235" t="inlineStr">
        <is>
          <t>Raw (Semrush)</t>
        </is>
      </c>
    </row>
    <row r="1236">
      <c r="A1236" t="inlineStr">
        <is>
          <t>val-ma-4</t>
        </is>
      </c>
      <c r="B1236" t="inlineStr">
        <is>
          <t>phrase_these</t>
        </is>
      </c>
      <c r="C1236" t="inlineStr">
        <is>
          <t>ma</t>
        </is>
      </c>
      <c r="D1236"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6" t="inlineStr">
        <is>
          <t>2026-10-30T15:06:55+00:00</t>
        </is>
      </c>
      <c r="F1236" t="inlineStr">
        <is>
          <t>{"Keyword": "nofollow", "Search Volume": "20", "CPC": "0", "Competition": "0.05", "Number of Results": "0", "Trends": "0.44,0.11,0.33,0.11,0.22,1.00,0.33,0.11,0.11,0.11,0.11,0.11", "Intent": "", "Keyword Difficulty Index": "0"}</t>
        </is>
      </c>
      <c r="G1236" t="inlineStr">
        <is>
          <t>Raw (Semrush)</t>
        </is>
      </c>
    </row>
    <row r="1237">
      <c r="A1237" t="inlineStr">
        <is>
          <t>val-ma-4</t>
        </is>
      </c>
      <c r="B1237" t="inlineStr">
        <is>
          <t>phrase_these</t>
        </is>
      </c>
      <c r="C1237" t="inlineStr">
        <is>
          <t>ma</t>
        </is>
      </c>
      <c r="D1237"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7" t="inlineStr">
        <is>
          <t>2026-10-30T15:06:55+00:00</t>
        </is>
      </c>
      <c r="F1237" t="inlineStr">
        <is>
          <t>{"Keyword": "nofollow dofollow", "Search Volume": "10", "CPC": "0", "Competition": "0", "Number of Results": "0", "Trends": "1.00,0.50,1.00,0.50,0.50,0.50,0.50,0.50,0.50,0.50,0.50,0.00", "Intent": "", "Keyword Difficulty Index": "0"}</t>
        </is>
      </c>
      <c r="G1237" t="inlineStr">
        <is>
          <t>Raw (Semrush)</t>
        </is>
      </c>
    </row>
    <row r="1238">
      <c r="A1238" t="inlineStr">
        <is>
          <t>val-ma-4</t>
        </is>
      </c>
      <c r="B1238" t="inlineStr">
        <is>
          <t>phrase_these</t>
        </is>
      </c>
      <c r="C1238" t="inlineStr">
        <is>
          <t>ma</t>
        </is>
      </c>
      <c r="D1238"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8" t="inlineStr">
        <is>
          <t>2026-10-30T15:06:55+00:00</t>
        </is>
      </c>
      <c r="F1238" t="inlineStr">
        <is>
          <t>{"Keyword": "nom de domaine .ma", "Search Volume": "1000", "CPC": "0.53", "Competition": "0.44", "Number of Results": "105", "Trends": "0.68,0.68,0.68,0.68,0.68,0.77,0.77,0.77,0.77,0.77,1.00,1.00", "Intent": "0", "Keyword Difficulty Index": "42"}</t>
        </is>
      </c>
      <c r="G1238" t="inlineStr">
        <is>
          <t>Raw (Semrush)</t>
        </is>
      </c>
    </row>
    <row r="1239">
      <c r="A1239" t="inlineStr">
        <is>
          <t>val-ma-4</t>
        </is>
      </c>
      <c r="B1239" t="inlineStr">
        <is>
          <t>phrase_these</t>
        </is>
      </c>
      <c r="C1239" t="inlineStr">
        <is>
          <t>ma</t>
        </is>
      </c>
      <c r="D1239"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39" t="inlineStr">
        <is>
          <t>2026-10-30T15:06:55+00:00</t>
        </is>
      </c>
      <c r="F1239" t="inlineStr">
        <is>
          <t>{"Keyword": "nom de domaine expiré", "Search Volume": "20", "CPC": "0", "Competition": "0.79", "Number of Results": "0", "Trends": "0.29,1.00,0.14,0.14,0.29,0.14,0.14,0.29,0.14,0.29,0.14,0.14", "Intent": "", "Keyword Difficulty Index": "0"}</t>
        </is>
      </c>
      <c r="G1239" t="inlineStr">
        <is>
          <t>Raw (Semrush)</t>
        </is>
      </c>
    </row>
    <row r="1240">
      <c r="A1240" t="inlineStr">
        <is>
          <t>val-ma-4</t>
        </is>
      </c>
      <c r="B1240" t="inlineStr">
        <is>
          <t>phrase_these</t>
        </is>
      </c>
      <c r="C1240" t="inlineStr">
        <is>
          <t>ma</t>
        </is>
      </c>
      <c r="D1240"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0" t="inlineStr">
        <is>
          <t>2026-10-30T15:06:55+00:00</t>
        </is>
      </c>
      <c r="F1240" t="inlineStr">
        <is>
          <t>{"Keyword": "nom de domaine maroc", "Search Volume": "880", "CPC": "0.57", "Competition": "0.41", "Number of Results": "9", "Trends": "0.88,0.88,0.88,0.88,0.88,0.88,0.88,0.88,0.88,0.72,0.72,1.00", "Intent": "1", "Keyword Difficulty Index": "42"}</t>
        </is>
      </c>
      <c r="G1240" t="inlineStr">
        <is>
          <t>Raw (Semrush)</t>
        </is>
      </c>
    </row>
    <row r="1241">
      <c r="A1241" t="inlineStr">
        <is>
          <t>val-ma-4</t>
        </is>
      </c>
      <c r="B1241" t="inlineStr">
        <is>
          <t>phrase_these</t>
        </is>
      </c>
      <c r="C1241" t="inlineStr">
        <is>
          <t>ma</t>
        </is>
      </c>
      <c r="D1241"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1" t="inlineStr">
        <is>
          <t>2026-10-30T15:06:55+00:00</t>
        </is>
      </c>
      <c r="F1241" t="inlineStr">
        <is>
          <t>{"Keyword": "nombre de mots", "Search Volume": "40", "CPC": "0.02", "Competition": "0.23", "Number of Results": "0", "Trends": "0.05,0.10,0.67,0.05,1.00,0.05,0.05,0.05,0.05,0.05,0.10,0.05", "Intent": "", "Keyword Difficulty Index": "0"}</t>
        </is>
      </c>
      <c r="G1241" t="inlineStr">
        <is>
          <t>Raw (Semrush)</t>
        </is>
      </c>
    </row>
    <row r="1242">
      <c r="A1242" t="inlineStr">
        <is>
          <t>val-ma-4</t>
        </is>
      </c>
      <c r="B1242" t="inlineStr">
        <is>
          <t>phrase_these</t>
        </is>
      </c>
      <c r="C1242" t="inlineStr">
        <is>
          <t>ma</t>
        </is>
      </c>
      <c r="D1242"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2" t="inlineStr">
        <is>
          <t>2026-10-30T15:06:55+00:00</t>
        </is>
      </c>
      <c r="F1242" t="inlineStr">
        <is>
          <t>{"Keyword": "offshore maroc", "Search Volume": "20", "CPC": "0", "Competition": "0.01", "Number of Results": "0", "Trends": "1.00,0.50,0.25,0.25,0.25,0.50,0.25,0.75,0.50,0.50,1.00,0.50", "Intent": "", "Keyword Difficulty Index": "0"}</t>
        </is>
      </c>
      <c r="G1242" t="inlineStr">
        <is>
          <t>Raw (Semrush)</t>
        </is>
      </c>
    </row>
    <row r="1243">
      <c r="A1243" t="inlineStr">
        <is>
          <t>val-ma-4</t>
        </is>
      </c>
      <c r="B1243" t="inlineStr">
        <is>
          <t>phrase_these</t>
        </is>
      </c>
      <c r="C1243" t="inlineStr">
        <is>
          <t>ma</t>
        </is>
      </c>
      <c r="D1243"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3" t="inlineStr">
        <is>
          <t>2026-10-30T15:06:55+00:00</t>
        </is>
      </c>
      <c r="F1243" t="inlineStr">
        <is>
          <t>{"Keyword": "og image", "Search Volume": "30", "CPC": "0", "Competition": "0.33", "Number of Results": "0", "Trends": "0.11,0.22,0.33,0.11,0.11,0.11,0.22,1.00,1.00,0.56,0.11,0.11", "Intent": "", "Keyword Difficulty Index": "0"}</t>
        </is>
      </c>
      <c r="G1243" t="inlineStr">
        <is>
          <t>Raw (Semrush)</t>
        </is>
      </c>
    </row>
    <row r="1244">
      <c r="A1244" t="inlineStr">
        <is>
          <t>val-ma-4</t>
        </is>
      </c>
      <c r="B1244" t="inlineStr">
        <is>
          <t>phrase_these</t>
        </is>
      </c>
      <c r="C1244" t="inlineStr">
        <is>
          <t>ma</t>
        </is>
      </c>
      <c r="D1244"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4" t="inlineStr">
        <is>
          <t>2026-10-30T15:06:55+00:00</t>
        </is>
      </c>
      <c r="F1244" t="inlineStr">
        <is>
          <t>{"Keyword": "open graph", "Search Volume": "20", "CPC": "0", "Competition": "0.33", "Number of Results": "0", "Trends": "0.14,0.14,0.14,0.14,0.14,0.14,0.14,1.00,0.14,0.14,0.14,0.57", "Intent": "", "Keyword Difficulty Index": "0"}</t>
        </is>
      </c>
      <c r="G1244" t="inlineStr">
        <is>
          <t>Raw (Semrush)</t>
        </is>
      </c>
    </row>
    <row r="1245">
      <c r="A1245" t="inlineStr">
        <is>
          <t>val-ma-4</t>
        </is>
      </c>
      <c r="B1245" t="inlineStr">
        <is>
          <t>phrase_these</t>
        </is>
      </c>
      <c r="C1245" t="inlineStr">
        <is>
          <t>ma</t>
        </is>
      </c>
      <c r="D1245"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5" t="inlineStr">
        <is>
          <t>2026-10-30T15:06:55+00:00</t>
        </is>
      </c>
      <c r="F1245" t="inlineStr">
        <is>
          <t>{"Keyword": "outil maillage interne", "Search Volume": "0", "CPC": "0", "Competition": "0", "Number of Results": "0", "Trends": "0.00,0.00,0.00,0.00,0.00,0.00,0.00,0.00,0.00,0.00,0.00,0.00", "Intent": "", "Keyword Difficulty Index": "0"}</t>
        </is>
      </c>
      <c r="G1245" t="inlineStr">
        <is>
          <t>Raw (Semrush)</t>
        </is>
      </c>
    </row>
    <row r="1246">
      <c r="A1246" t="inlineStr">
        <is>
          <t>val-ma-4</t>
        </is>
      </c>
      <c r="B1246" t="inlineStr">
        <is>
          <t>phrase_these</t>
        </is>
      </c>
      <c r="C1246" t="inlineStr">
        <is>
          <t>ma</t>
        </is>
      </c>
      <c r="D1246"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6" t="inlineStr">
        <is>
          <t>2026-10-30T15:06:55+00:00</t>
        </is>
      </c>
      <c r="F1246" t="inlineStr">
        <is>
          <t>{"Keyword": "outil seo", "Search Volume": "20", "CPC": "0.22", "Competition": "0.18", "Number of Results": "0", "Trends": "0.57,0.29,0.14,0.14,0.14,0.14,0.14,1.00,0.57,0.14,0.14,0.43", "Intent": "", "Keyword Difficulty Index": "0"}</t>
        </is>
      </c>
      <c r="G1246" t="inlineStr">
        <is>
          <t>Raw (Semrush)</t>
        </is>
      </c>
    </row>
    <row r="1247">
      <c r="A1247" t="inlineStr">
        <is>
          <t>val-ma-4</t>
        </is>
      </c>
      <c r="B1247" t="inlineStr">
        <is>
          <t>phrase_these</t>
        </is>
      </c>
      <c r="C1247" t="inlineStr">
        <is>
          <t>ma</t>
        </is>
      </c>
      <c r="D1247"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7" t="inlineStr">
        <is>
          <t>2026-10-30T15:06:55+00:00</t>
        </is>
      </c>
      <c r="F1247" t="inlineStr">
        <is>
          <t>{"Keyword": "outil seo gratuit", "Search Volume": "20", "CPC": "0", "Competition": "0.36", "Number of Results": "0", "Trends": "0.25,1.00,0.50,0.25,0.50,0.25,0.25,0.25,0.50,0.50,0.25,0.50", "Intent": "", "Keyword Difficulty Index": "0"}</t>
        </is>
      </c>
      <c r="G1247" t="inlineStr">
        <is>
          <t>Raw (Semrush)</t>
        </is>
      </c>
    </row>
    <row r="1248">
      <c r="A1248" t="inlineStr">
        <is>
          <t>val-ma-4</t>
        </is>
      </c>
      <c r="B1248" t="inlineStr">
        <is>
          <t>phrase_these</t>
        </is>
      </c>
      <c r="C1248" t="inlineStr">
        <is>
          <t>ma</t>
        </is>
      </c>
      <c r="D1248"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8" t="inlineStr">
        <is>
          <t>2026-10-30T15:06:55+00:00</t>
        </is>
      </c>
      <c r="F1248" t="inlineStr">
        <is>
          <t>{"Keyword": "outils seo", "Search Volume": "20", "CPC": "0.22", "Competition": "0.18", "Number of Results": "0", "Trends": "0.57,0.29,0.14,0.14,0.14,0.14,0.14,1.00,0.57,0.14,0.14,0.43", "Intent": "", "Keyword Difficulty Index": "0"}</t>
        </is>
      </c>
      <c r="G1248" t="inlineStr">
        <is>
          <t>Raw (Semrush)</t>
        </is>
      </c>
    </row>
    <row r="1249">
      <c r="A1249" t="inlineStr">
        <is>
          <t>val-ma-4</t>
        </is>
      </c>
      <c r="B1249" t="inlineStr">
        <is>
          <t>phrase_these</t>
        </is>
      </c>
      <c r="C1249" t="inlineStr">
        <is>
          <t>ma</t>
        </is>
      </c>
      <c r="D1249"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49" t="inlineStr">
        <is>
          <t>2026-10-30T15:06:55+00:00</t>
        </is>
      </c>
      <c r="F1249" t="inlineStr">
        <is>
          <t>{"Keyword": "outils seo gratuits", "Search Volume": "20", "CPC": "0", "Competition": "0.36", "Number of Results": "0", "Trends": "0.25,1.00,0.50,0.25,0.50,0.25,0.25,0.25,0.50,0.50,0.25,0.50", "Intent": "", "Keyword Difficulty Index": "0"}</t>
        </is>
      </c>
      <c r="G1249" t="inlineStr">
        <is>
          <t>Raw (Semrush)</t>
        </is>
      </c>
    </row>
    <row r="1250">
      <c r="A1250" t="inlineStr">
        <is>
          <t>val-ma-4</t>
        </is>
      </c>
      <c r="B1250" t="inlineStr">
        <is>
          <t>phrase_these</t>
        </is>
      </c>
      <c r="C1250" t="inlineStr">
        <is>
          <t>ma</t>
        </is>
      </c>
      <c r="D1250"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0" t="inlineStr">
        <is>
          <t>2026-10-30T15:06:55+00:00</t>
        </is>
      </c>
      <c r="F1250" t="inlineStr">
        <is>
          <t>{"Keyword": "pagespeed", "Search Volume": "1600", "CPC": "1.03", "Competition": "0.01", "Number of Results": "0", "Trends": "1.00,0.68,0.84,0.68,0.68,0.68,0.84,0.84,0.84,1.00,0.68,0.84", "Intent": "2", "Keyword Difficulty Index": "36"}</t>
        </is>
      </c>
      <c r="G1250" t="inlineStr">
        <is>
          <t>Raw (Semrush)</t>
        </is>
      </c>
    </row>
    <row r="1251">
      <c r="A1251" t="inlineStr">
        <is>
          <t>val-ma-4</t>
        </is>
      </c>
      <c r="B1251" t="inlineStr">
        <is>
          <t>phrase_these</t>
        </is>
      </c>
      <c r="C1251" t="inlineStr">
        <is>
          <t>ma</t>
        </is>
      </c>
      <c r="D1251"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1" t="inlineStr">
        <is>
          <t>2026-10-30T15:06:55+00:00</t>
        </is>
      </c>
      <c r="F1251" t="inlineStr">
        <is>
          <t>{"Keyword": "paiement en ligne maroc", "Search Volume": "20", "CPC": "0.7", "Competition": "0.33", "Number of Results": "0", "Trends": "0.20,0.60,1.00,0.40,0.20,0.40,0.20,0.20,0.20,0.20,0.20,0.40", "Intent": "", "Keyword Difficulty Index": "0"}</t>
        </is>
      </c>
      <c r="G1251" t="inlineStr">
        <is>
          <t>Raw (Semrush)</t>
        </is>
      </c>
    </row>
    <row r="1252">
      <c r="A1252" t="inlineStr">
        <is>
          <t>val-ma-4</t>
        </is>
      </c>
      <c r="B1252" t="inlineStr">
        <is>
          <t>phrase_these</t>
        </is>
      </c>
      <c r="C1252" t="inlineStr">
        <is>
          <t>ma</t>
        </is>
      </c>
      <c r="D1252"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2" t="inlineStr">
        <is>
          <t>2026-10-30T15:06:55+00:00</t>
        </is>
      </c>
      <c r="F1252" t="inlineStr">
        <is>
          <t>{"Keyword": "palette couleur site web", "Search Volume": "20", "CPC": "0", "Competition": "0.03", "Number of Results": "0", "Trends": "0.20,0.40,0.20,0.40,0.20,0.20,0.20,1.00,0.20,0.40,0.20,0.20", "Intent": "", "Keyword Difficulty Index": "0"}</t>
        </is>
      </c>
      <c r="G1252" t="inlineStr">
        <is>
          <t>Raw (Semrush)</t>
        </is>
      </c>
    </row>
    <row r="1253">
      <c r="A1253" t="inlineStr">
        <is>
          <t>val-ma-4</t>
        </is>
      </c>
      <c r="B1253" t="inlineStr">
        <is>
          <t>phrase_these</t>
        </is>
      </c>
      <c r="C1253" t="inlineStr">
        <is>
          <t>ma</t>
        </is>
      </c>
      <c r="D1253"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3" t="inlineStr">
        <is>
          <t>2026-10-30T15:06:55+00:00</t>
        </is>
      </c>
      <c r="F1253" t="inlineStr">
        <is>
          <t>{"Keyword": "palette de couleurs", "Search Volume": "1300", "CPC": "0.49", "Competition": "0.33", "Number of Results": "202", "Trends": "0.81,0.81,1.00,1.00,0.81,0.81,1.00,1.00,0.81,0.81,0.62,0.55", "Intent": "1", "Keyword Difficulty Index": "53"}</t>
        </is>
      </c>
      <c r="G1253" t="inlineStr">
        <is>
          <t>Raw (Semrush)</t>
        </is>
      </c>
    </row>
    <row r="1254">
      <c r="A1254" t="inlineStr">
        <is>
          <t>val-ma-4</t>
        </is>
      </c>
      <c r="B1254" t="inlineStr">
        <is>
          <t>phrase_these</t>
        </is>
      </c>
      <c r="C1254" t="inlineStr">
        <is>
          <t>ma</t>
        </is>
      </c>
      <c r="D1254"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4" t="inlineStr">
        <is>
          <t>2026-10-30T15:06:55+00:00</t>
        </is>
      </c>
      <c r="F1254" t="inlineStr">
        <is>
          <t>{"Keyword": "passerelle de paiement maroc", "Search Volume": "0", "CPC": "0", "Competition": "0", "Number of Results": "0", "Trends": "0.00,0.00,0.00,0.00,0.00,0.00,0.00,0.00,0.00,0.00,0.00,0.00", "Intent": "", "Keyword Difficulty Index": "0"}</t>
        </is>
      </c>
      <c r="G1254" t="inlineStr">
        <is>
          <t>Raw (Semrush)</t>
        </is>
      </c>
    </row>
    <row r="1255">
      <c r="A1255" t="inlineStr">
        <is>
          <t>val-ma-4</t>
        </is>
      </c>
      <c r="B1255" t="inlineStr">
        <is>
          <t>phrase_these</t>
        </is>
      </c>
      <c r="C1255" t="inlineStr">
        <is>
          <t>ma</t>
        </is>
      </c>
      <c r="D1255"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5" t="inlineStr">
        <is>
          <t>2026-10-30T15:06:55+00:00</t>
        </is>
      </c>
      <c r="F1255" t="inlineStr">
        <is>
          <t>{"Keyword": "plateforme b2b", "Search Volume": "20", "CPC": "0.32", "Competition": "0.63", "Number of Results": "0", "Trends": "1.00,1.00,0.20,0.20,0.20,0.40,0.20,0.20,0.20,0.20,0.20,0.20", "Intent": "", "Keyword Difficulty Index": "0"}</t>
        </is>
      </c>
      <c r="G1255" t="inlineStr">
        <is>
          <t>Raw (Semrush)</t>
        </is>
      </c>
    </row>
    <row r="1256">
      <c r="A1256" t="inlineStr">
        <is>
          <t>val-ma-4</t>
        </is>
      </c>
      <c r="B1256" t="inlineStr">
        <is>
          <t>phrase_these</t>
        </is>
      </c>
      <c r="C1256" t="inlineStr">
        <is>
          <t>ma</t>
        </is>
      </c>
      <c r="D1256"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6" t="inlineStr">
        <is>
          <t>2026-10-30T15:06:55+00:00</t>
        </is>
      </c>
      <c r="F1256" t="inlineStr">
        <is>
          <t>{"Keyword": "plateforme de cours en ligne", "Search Volume": "10", "CPC": "0.22", "Competition": "0.46", "Number of Results": "0", "Trends": "0.50,0.50,1.00,0.50,0.50,0.50,1.00,0.50,0.50,0.50,0.50,0.50", "Intent": "", "Keyword Difficulty Index": "0"}</t>
        </is>
      </c>
      <c r="G1256" t="inlineStr">
        <is>
          <t>Raw (Semrush)</t>
        </is>
      </c>
    </row>
    <row r="1257">
      <c r="A1257" t="inlineStr">
        <is>
          <t>val-ma-4</t>
        </is>
      </c>
      <c r="B1257" t="inlineStr">
        <is>
          <t>phrase_these</t>
        </is>
      </c>
      <c r="C1257" t="inlineStr">
        <is>
          <t>ma</t>
        </is>
      </c>
      <c r="D1257"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7" t="inlineStr">
        <is>
          <t>2026-10-30T15:06:55+00:00</t>
        </is>
      </c>
      <c r="F1257" t="inlineStr">
        <is>
          <t>{"Keyword": "plateforme de paiement", "Search Volume": "30", "CPC": "0", "Competition": "0.32", "Number of Results": "0", "Trends": "0.14,0.14,1.00,0.29,0.43,0.14,0.14,0.43,0.29,0.71,0.57,0.71", "Intent": "", "Keyword Difficulty Index": "0"}</t>
        </is>
      </c>
      <c r="G1257" t="inlineStr">
        <is>
          <t>Raw (Semrush)</t>
        </is>
      </c>
    </row>
    <row r="1258">
      <c r="A1258" t="inlineStr">
        <is>
          <t>val-ma-4</t>
        </is>
      </c>
      <c r="B1258" t="inlineStr">
        <is>
          <t>phrase_these</t>
        </is>
      </c>
      <c r="C1258" t="inlineStr">
        <is>
          <t>ma</t>
        </is>
      </c>
      <c r="D1258"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8" t="inlineStr">
        <is>
          <t>2026-10-30T15:06:55+00:00</t>
        </is>
      </c>
      <c r="F1258" t="inlineStr">
        <is>
          <t>{"Keyword": "plateforme de télémédecine", "Search Volume": "20", "CPC": "0", "Competition": "0.29", "Number of Results": "0", "Trends": "0.40,0.20,0.20,0.80,1.00,0.20,0.80,0.20,0.20,0.20,0.40,0.20", "Intent": "", "Keyword Difficulty Index": "0"}</t>
        </is>
      </c>
      <c r="G1258" t="inlineStr">
        <is>
          <t>Raw (Semrush)</t>
        </is>
      </c>
    </row>
    <row r="1259">
      <c r="A1259" t="inlineStr">
        <is>
          <t>val-ma-4</t>
        </is>
      </c>
      <c r="B1259" t="inlineStr">
        <is>
          <t>phrase_these</t>
        </is>
      </c>
      <c r="C1259" t="inlineStr">
        <is>
          <t>ma</t>
        </is>
      </c>
      <c r="D1259"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59" t="inlineStr">
        <is>
          <t>2026-10-30T15:06:55+00:00</t>
        </is>
      </c>
      <c r="F1259" t="inlineStr">
        <is>
          <t>{"Keyword": "plateforme e-learning", "Search Volume": "20", "CPC": "0.25", "Competition": "0.31", "Number of Results": "0", "Trends": "0.20,0.20,0.40,0.20,0.40,0.20,0.20,0.40,0.20,1.00,0.20,0.20", "Intent": "", "Keyword Difficulty Index": "0"}</t>
        </is>
      </c>
      <c r="G1259" t="inlineStr">
        <is>
          <t>Raw (Semrush)</t>
        </is>
      </c>
    </row>
    <row r="1260">
      <c r="A1260" t="inlineStr">
        <is>
          <t>val-ma-4</t>
        </is>
      </c>
      <c r="B1260" t="inlineStr">
        <is>
          <t>phrase_these</t>
        </is>
      </c>
      <c r="C1260" t="inlineStr">
        <is>
          <t>ma</t>
        </is>
      </c>
      <c r="D1260"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0" t="inlineStr">
        <is>
          <t>2026-10-30T15:06:55+00:00</t>
        </is>
      </c>
      <c r="F1260" t="inlineStr">
        <is>
          <t>{"Keyword": "plateforme e-learning maroc", "Search Volume": "0", "CPC": "0", "Competition": "0", "Number of Results": "0", "Trends": "0.00,0.00,0.00,0.00,0.00,0.00,0.00,0.00,0.00,0.00,0.00,0.00", "Intent": "", "Keyword Difficulty Index": "0"}</t>
        </is>
      </c>
      <c r="G1260" t="inlineStr">
        <is>
          <t>Raw (Semrush)</t>
        </is>
      </c>
    </row>
    <row r="1261">
      <c r="A1261" t="inlineStr">
        <is>
          <t>val-ma-4</t>
        </is>
      </c>
      <c r="B1261" t="inlineStr">
        <is>
          <t>phrase_these</t>
        </is>
      </c>
      <c r="C1261" t="inlineStr">
        <is>
          <t>ma</t>
        </is>
      </c>
      <c r="D1261"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1" t="inlineStr">
        <is>
          <t>2026-10-30T15:06:55+00:00</t>
        </is>
      </c>
      <c r="F1261" t="inlineStr">
        <is>
          <t>{"Keyword": "plateforme lms", "Search Volume": "10", "CPC": "0.3", "Competition": "0.16", "Number of Results": "0", "Trends": "0.50,0.50,0.50,0.50,0.50,0.50,0.50,1.00,0.50,0.50,0.50,0.50", "Intent": "", "Keyword Difficulty Index": "0"}</t>
        </is>
      </c>
      <c r="G1261" t="inlineStr">
        <is>
          <t>Raw (Semrush)</t>
        </is>
      </c>
    </row>
    <row r="1262">
      <c r="A1262" t="inlineStr">
        <is>
          <t>val-ma-4</t>
        </is>
      </c>
      <c r="B1262" t="inlineStr">
        <is>
          <t>phrase_these</t>
        </is>
      </c>
      <c r="C1262" t="inlineStr">
        <is>
          <t>ma</t>
        </is>
      </c>
      <c r="D1262"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2" t="inlineStr">
        <is>
          <t>2026-10-30T15:06:55+00:00</t>
        </is>
      </c>
      <c r="F1262" t="inlineStr">
        <is>
          <t>{"Keyword": "portail immobilier maroc", "Search Volume": "10", "CPC": "0.16", "Competition": "0.49", "Number of Results": "0", "Trends": "0.50,0.50,0.50,0.50,0.50,1.00,0.50,1.00,1.00,0.50,0.50,0.50", "Intent": "", "Keyword Difficulty Index": "0"}</t>
        </is>
      </c>
      <c r="G1262" t="inlineStr">
        <is>
          <t>Raw (Semrush)</t>
        </is>
      </c>
    </row>
    <row r="1263">
      <c r="A1263" t="inlineStr">
        <is>
          <t>val-ma-4</t>
        </is>
      </c>
      <c r="B1263" t="inlineStr">
        <is>
          <t>phrase_these</t>
        </is>
      </c>
      <c r="C1263" t="inlineStr">
        <is>
          <t>ma</t>
        </is>
      </c>
      <c r="D1263"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3" t="inlineStr">
        <is>
          <t>2026-10-30T15:06:55+00:00</t>
        </is>
      </c>
      <c r="F1263" t="inlineStr">
        <is>
          <t>{"Keyword": "portail étudiant", "Search Volume": "210", "CPC": "0", "Competition": "0.33", "Number of Results": "0", "Trends": "0.54,0.44,0.23,0.36,0.54,0.82,0.44,0.54,0.23,0.36,1.00,0.36", "Intent": "", "Keyword Difficulty Index": "0"}</t>
        </is>
      </c>
      <c r="G1263" t="inlineStr">
        <is>
          <t>Raw (Semrush)</t>
        </is>
      </c>
    </row>
    <row r="1264">
      <c r="A1264" t="inlineStr">
        <is>
          <t>val-ma-4</t>
        </is>
      </c>
      <c r="B1264" t="inlineStr">
        <is>
          <t>phrase_these</t>
        </is>
      </c>
      <c r="C1264" t="inlineStr">
        <is>
          <t>ma</t>
        </is>
      </c>
      <c r="D1264"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4" t="inlineStr">
        <is>
          <t>2026-10-30T15:06:55+00:00</t>
        </is>
      </c>
      <c r="F1264" t="inlineStr">
        <is>
          <t>{"Keyword": "portfolio site web", "Search Volume": "10", "CPC": "0.1", "Competition": "0.27", "Number of Results": "0", "Trends": "0.25,0.25,1.00,0.25,0.50,0.00,0.25,0.25,0.25,0.25,0.75,0.25", "Intent": "", "Keyword Difficulty Index": "0"}</t>
        </is>
      </c>
      <c r="G1264" t="inlineStr">
        <is>
          <t>Raw (Semrush)</t>
        </is>
      </c>
    </row>
    <row r="1265">
      <c r="A1265" t="inlineStr">
        <is>
          <t>val-ma-4</t>
        </is>
      </c>
      <c r="B1265" t="inlineStr">
        <is>
          <t>phrase_these</t>
        </is>
      </c>
      <c r="C1265" t="inlineStr">
        <is>
          <t>ma</t>
        </is>
      </c>
      <c r="D1265"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5" t="inlineStr">
        <is>
          <t>2026-10-30T15:06:55+00:00</t>
        </is>
      </c>
      <c r="F1265" t="inlineStr">
        <is>
          <t>{"Keyword": "pourquoi créer un site web", "Search Volume": "10", "CPC": "0", "Competition": "0", "Number of Results": "0", "Trends": "1.00,0.00,1.00,0.00,0.00,0.00,1.00,0.00,1.00,1.00,1.00,0.00", "Intent": "", "Keyword Difficulty Index": "0"}</t>
        </is>
      </c>
      <c r="G1265" t="inlineStr">
        <is>
          <t>Raw (Semrush)</t>
        </is>
      </c>
    </row>
    <row r="1266">
      <c r="A1266" t="inlineStr">
        <is>
          <t>val-ma-4</t>
        </is>
      </c>
      <c r="B1266" t="inlineStr">
        <is>
          <t>phrase_these</t>
        </is>
      </c>
      <c r="C1266" t="inlineStr">
        <is>
          <t>ma</t>
        </is>
      </c>
      <c r="D1266"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6" t="inlineStr">
        <is>
          <t>2026-10-30T15:06:55+00:00</t>
        </is>
      </c>
      <c r="F1266" t="inlineStr">
        <is>
          <t>{"Keyword": "prestashop maroc", "Search Volume": "10", "CPC": "0", "Competition": "0.83", "Number of Results": "0", "Trends": "0.25,0.25,0.25,1.00,0.50,0.25,0.50,0.25,0.25,0.25,0.25,0.25", "Intent": "", "Keyword Difficulty Index": "0"}</t>
        </is>
      </c>
      <c r="G1266" t="inlineStr">
        <is>
          <t>Raw (Semrush)</t>
        </is>
      </c>
    </row>
    <row r="1267">
      <c r="A1267" t="inlineStr">
        <is>
          <t>val-ma-4</t>
        </is>
      </c>
      <c r="B1267" t="inlineStr">
        <is>
          <t>phrase_these</t>
        </is>
      </c>
      <c r="C1267" t="inlineStr">
        <is>
          <t>ma</t>
        </is>
      </c>
      <c r="D1267"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7" t="inlineStr">
        <is>
          <t>2026-10-30T15:06:55+00:00</t>
        </is>
      </c>
      <c r="F1267" t="inlineStr">
        <is>
          <t>{"Keyword": "prix application mobile maroc", "Search Volume": "20", "CPC": "0", "Competition": "0", "Number of Results": "0", "Trends": "1.00,0.14,0.14,0.14,0.71,0.14,0.14,0.00,0.29,0.71,0.43,0.00", "Intent": "", "Keyword Difficulty Index": "0"}</t>
        </is>
      </c>
      <c r="G1267" t="inlineStr">
        <is>
          <t>Raw (Semrush)</t>
        </is>
      </c>
    </row>
    <row r="1268">
      <c r="A1268" t="inlineStr">
        <is>
          <t>val-ma-4</t>
        </is>
      </c>
      <c r="B1268" t="inlineStr">
        <is>
          <t>phrase_these</t>
        </is>
      </c>
      <c r="C1268" t="inlineStr">
        <is>
          <t>ma</t>
        </is>
      </c>
      <c r="D1268"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8" t="inlineStr">
        <is>
          <t>2026-10-30T15:06:55+00:00</t>
        </is>
      </c>
      <c r="F1268" t="inlineStr">
        <is>
          <t>{"Keyword": "prix creation site web maroc", "Search Volume": "20", "CPC": "0.28", "Competition": "0.76", "Number of Results": "0", "Trends": "0.20,0.20,1.00,0.60,0.40,0.20,0.20,0.20,0.40,0.20,0.20,0.20", "Intent": "", "Keyword Difficulty Index": "0"}</t>
        </is>
      </c>
      <c r="G1268" t="inlineStr">
        <is>
          <t>Raw (Semrush)</t>
        </is>
      </c>
    </row>
    <row r="1269">
      <c r="A1269" t="inlineStr">
        <is>
          <t>val-ma-4</t>
        </is>
      </c>
      <c r="B1269" t="inlineStr">
        <is>
          <t>phrase_these</t>
        </is>
      </c>
      <c r="C1269" t="inlineStr">
        <is>
          <t>ma</t>
        </is>
      </c>
      <c r="D1269"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69" t="inlineStr">
        <is>
          <t>2026-10-30T15:06:55+00:00</t>
        </is>
      </c>
      <c r="F1269" t="inlineStr">
        <is>
          <t>{"Keyword": "prix création site web", "Search Volume": "30", "CPC": "0.3", "Competition": "0.73", "Number of Results": "0", "Trends": "0.11,0.11,0.11,0.11,0.44,0.11,0.11,0.11,0.11,0.78,1.00,0.44", "Intent": "", "Keyword Difficulty Index": "0"}</t>
        </is>
      </c>
      <c r="G1269" t="inlineStr">
        <is>
          <t>Raw (Semrush)</t>
        </is>
      </c>
    </row>
    <row r="1270">
      <c r="A1270" t="inlineStr">
        <is>
          <t>val-ma-4</t>
        </is>
      </c>
      <c r="B1270" t="inlineStr">
        <is>
          <t>phrase_these</t>
        </is>
      </c>
      <c r="C1270" t="inlineStr">
        <is>
          <t>ma</t>
        </is>
      </c>
      <c r="D1270"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0" t="inlineStr">
        <is>
          <t>2026-10-30T15:06:55+00:00</t>
        </is>
      </c>
      <c r="F1270" t="inlineStr">
        <is>
          <t>{"Keyword": "prix création site web maroc", "Search Volume": "0", "CPC": "0", "Competition": "0", "Number of Results": "0", "Trends": "0.00,0.00,0.00,0.00,0.00,0.00,0.00,0.00,0.00,0.00,0.00,0.00", "Intent": "", "Keyword Difficulty Index": "0"}</t>
        </is>
      </c>
      <c r="G1270" t="inlineStr">
        <is>
          <t>Raw (Semrush)</t>
        </is>
      </c>
    </row>
    <row r="1271">
      <c r="A1271" t="inlineStr">
        <is>
          <t>val-ma-4</t>
        </is>
      </c>
      <c r="B1271" t="inlineStr">
        <is>
          <t>phrase_these</t>
        </is>
      </c>
      <c r="C1271" t="inlineStr">
        <is>
          <t>ma</t>
        </is>
      </c>
      <c r="D1271"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1" t="inlineStr">
        <is>
          <t>2026-10-30T15:06:55+00:00</t>
        </is>
      </c>
      <c r="F1271" t="inlineStr">
        <is>
          <t>{"Keyword": "prix d'un site web", "Search Volume": "20", "CPC": "0.28", "Competition": "0.54", "Number of Results": "0", "Trends": "0.14,0.14,0.14,0.29,0.14,0.14,0.14,1.00,0.43,0.14,0.14,0.14", "Intent": "", "Keyword Difficulty Index": "0"}</t>
        </is>
      </c>
      <c r="G1271" t="inlineStr">
        <is>
          <t>Raw (Semrush)</t>
        </is>
      </c>
    </row>
    <row r="1272">
      <c r="A1272" t="inlineStr">
        <is>
          <t>val-ma-4</t>
        </is>
      </c>
      <c r="B1272" t="inlineStr">
        <is>
          <t>phrase_these</t>
        </is>
      </c>
      <c r="C1272" t="inlineStr">
        <is>
          <t>ma</t>
        </is>
      </c>
      <c r="D1272"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2" t="inlineStr">
        <is>
          <t>2026-10-30T15:06:55+00:00</t>
        </is>
      </c>
      <c r="F1272" t="inlineStr">
        <is>
          <t>{"Keyword": "prix maintenance site web", "Search Volume": "0", "CPC": "0", "Competition": "0", "Number of Results": "0", "Trends": "0.00,0.00,0.00,0.00,0.00,0.00,0.00,0.00,0.00,0.00,0.00,0.00", "Intent": "", "Keyword Difficulty Index": "0"}</t>
        </is>
      </c>
      <c r="G1272" t="inlineStr">
        <is>
          <t>Raw (Semrush)</t>
        </is>
      </c>
    </row>
    <row r="1273">
      <c r="A1273" t="inlineStr">
        <is>
          <t>val-ma-4</t>
        </is>
      </c>
      <c r="B1273" t="inlineStr">
        <is>
          <t>phrase_these</t>
        </is>
      </c>
      <c r="C1273" t="inlineStr">
        <is>
          <t>ma</t>
        </is>
      </c>
      <c r="D1273"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3" t="inlineStr">
        <is>
          <t>2026-10-30T15:06:55+00:00</t>
        </is>
      </c>
      <c r="F1273" t="inlineStr">
        <is>
          <t>{"Keyword": "prix référencement naturel", "Search Volume": "0", "CPC": "0", "Competition": "0", "Number of Results": "0", "Trends": "0.00,0.00,0.00,0.00,0.00,0.00,0.00,0.00,0.00,0.00,0.00,0.00", "Intent": "", "Keyword Difficulty Index": "0"}</t>
        </is>
      </c>
      <c r="G1273" t="inlineStr">
        <is>
          <t>Raw (Semrush)</t>
        </is>
      </c>
    </row>
    <row r="1274">
      <c r="A1274" t="inlineStr">
        <is>
          <t>val-ma-4</t>
        </is>
      </c>
      <c r="B1274" t="inlineStr">
        <is>
          <t>phrase_these</t>
        </is>
      </c>
      <c r="C1274" t="inlineStr">
        <is>
          <t>ma</t>
        </is>
      </c>
      <c r="D1274"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4" t="inlineStr">
        <is>
          <t>2026-10-30T15:06:55+00:00</t>
        </is>
      </c>
      <c r="F1274" t="inlineStr">
        <is>
          <t>{"Keyword": "prix site e-commerce maroc", "Search Volume": "10", "CPC": "0", "Competition": "0.37", "Number of Results": "0", "Trends": "0.33,0.33,0.33,0.67,0.33,1.00,0.33,0.33,0.33,0.33,0.33,0.33", "Intent": "", "Keyword Difficulty Index": "0"}</t>
        </is>
      </c>
      <c r="G1274" t="inlineStr">
        <is>
          <t>Raw (Semrush)</t>
        </is>
      </c>
    </row>
    <row r="1275">
      <c r="A1275" t="inlineStr">
        <is>
          <t>val-ma-4</t>
        </is>
      </c>
      <c r="B1275" t="inlineStr">
        <is>
          <t>phrase_these</t>
        </is>
      </c>
      <c r="C1275" t="inlineStr">
        <is>
          <t>ma</t>
        </is>
      </c>
      <c r="D1275"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5" t="inlineStr">
        <is>
          <t>2026-10-30T15:06:55+00:00</t>
        </is>
      </c>
      <c r="F1275" t="inlineStr">
        <is>
          <t>{"Keyword": "prix site web maroc", "Search Volume": "20", "CPC": "0.29", "Competition": "0.54", "Number of Results": "0", "Trends": "0.25,0.50,0.25,0.25,0.25,0.25,1.00,1.00,0.25,0.25,0.25,0.50", "Intent": "", "Keyword Difficulty Index": "0"}</t>
        </is>
      </c>
      <c r="G1275" t="inlineStr">
        <is>
          <t>Raw (Semrush)</t>
        </is>
      </c>
    </row>
    <row r="1276">
      <c r="A1276" t="inlineStr">
        <is>
          <t>val-ma-4</t>
        </is>
      </c>
      <c r="B1276" t="inlineStr">
        <is>
          <t>phrase_these</t>
        </is>
      </c>
      <c r="C1276" t="inlineStr">
        <is>
          <t>ma</t>
        </is>
      </c>
      <c r="D1276"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6" t="inlineStr">
        <is>
          <t>2026-10-30T15:06:55+00:00</t>
        </is>
      </c>
      <c r="F1276" t="inlineStr">
        <is>
          <t>{"Keyword": "qr code", "Search Volume": "14800", "CPC": "0.07", "Competition": "0.33", "Number of Results": "125", "Trends": "1.00,0.67,0.20,0.24,0.24,0.24,0.30,0.24,0.24,1.00,0.11,0.09", "Intent": "1", "Keyword Difficulty Index": "56"}</t>
        </is>
      </c>
      <c r="G1276" t="inlineStr">
        <is>
          <t>Raw (Semrush)</t>
        </is>
      </c>
    </row>
    <row r="1277">
      <c r="A1277" t="inlineStr">
        <is>
          <t>val-ma-4</t>
        </is>
      </c>
      <c r="B1277" t="inlineStr">
        <is>
          <t>phrase_these</t>
        </is>
      </c>
      <c r="C1277" t="inlineStr">
        <is>
          <t>ma</t>
        </is>
      </c>
      <c r="D1277"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7" t="inlineStr">
        <is>
          <t>2026-10-30T15:06:55+00:00</t>
        </is>
      </c>
      <c r="F1277" t="inlineStr">
        <is>
          <t>{"Keyword": "qr code gratuit", "Search Volume": "590", "CPC": "0.1", "Competition": "0.58", "Number of Results": "76", "Trends": "0.81,0.81,1.00,0.81,0.81,0.66,0.81,1.00,0.66,0.81,0.81,0.66", "Intent": "0", "Keyword Difficulty Index": "47"}</t>
        </is>
      </c>
      <c r="G1277" t="inlineStr">
        <is>
          <t>Raw (Semrush)</t>
        </is>
      </c>
    </row>
    <row r="1278">
      <c r="A1278" t="inlineStr">
        <is>
          <t>val-ma-4</t>
        </is>
      </c>
      <c r="B1278" t="inlineStr">
        <is>
          <t>phrase_these</t>
        </is>
      </c>
      <c r="C1278" t="inlineStr">
        <is>
          <t>ma</t>
        </is>
      </c>
      <c r="D1278"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8" t="inlineStr">
        <is>
          <t>2026-10-30T15:06:55+00:00</t>
        </is>
      </c>
      <c r="F1278" t="inlineStr">
        <is>
          <t>{"Keyword": "qu'est ce qu'un site vitrine", "Search Volume": "10", "CPC": "0", "Competition": "0", "Number of Results": "0", "Trends": "0.40,0.60,0.20,0.20,0.20,0.20,0.20,0.00,0.00,0.00,1.00,0.00", "Intent": "", "Keyword Difficulty Index": "0"}</t>
        </is>
      </c>
      <c r="G1278" t="inlineStr">
        <is>
          <t>Raw (Semrush)</t>
        </is>
      </c>
    </row>
    <row r="1279">
      <c r="A1279" t="inlineStr">
        <is>
          <t>val-ma-4</t>
        </is>
      </c>
      <c r="B1279" t="inlineStr">
        <is>
          <t>phrase_these</t>
        </is>
      </c>
      <c r="C1279" t="inlineStr">
        <is>
          <t>ma</t>
        </is>
      </c>
      <c r="D1279"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79" t="inlineStr">
        <is>
          <t>2026-10-30T15:06:55+00:00</t>
        </is>
      </c>
      <c r="F1279" t="inlineStr">
        <is>
          <t>{"Keyword": "qu'est ce que le seo", "Search Volume": "20", "CPC": "0", "Competition": "0.03", "Number of Results": "0", "Trends": "0.14,0.14,1.00,0.14,0.14,0.29,0.14,0.57,0.29,0.14,0.14,0.14", "Intent": "", "Keyword Difficulty Index": "0"}</t>
        </is>
      </c>
      <c r="G1279" t="inlineStr">
        <is>
          <t>Raw (Semrush)</t>
        </is>
      </c>
    </row>
    <row r="1280">
      <c r="A1280" t="inlineStr">
        <is>
          <t>val-ma-4</t>
        </is>
      </c>
      <c r="B1280" t="inlineStr">
        <is>
          <t>phrase_these</t>
        </is>
      </c>
      <c r="C1280" t="inlineStr">
        <is>
          <t>ma</t>
        </is>
      </c>
      <c r="D1280"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0" t="inlineStr">
        <is>
          <t>2026-10-30T15:06:55+00:00</t>
        </is>
      </c>
      <c r="F1280" t="inlineStr">
        <is>
          <t>{"Keyword": "redirect checker", "Search Volume": "170", "CPC": "0", "Competition": "0.01", "Number of Results": "0", "Trends": "1.00,0.81,0.81,0.81,0.81,0.67,1.00,0.81,0.81,0.67,0.67,0.67", "Intent": "", "Keyword Difficulty Index": "0"}</t>
        </is>
      </c>
      <c r="G1280" t="inlineStr">
        <is>
          <t>Raw (Semrush)</t>
        </is>
      </c>
    </row>
    <row r="1281">
      <c r="A1281" t="inlineStr">
        <is>
          <t>val-ma-4</t>
        </is>
      </c>
      <c r="B1281" t="inlineStr">
        <is>
          <t>phrase_these</t>
        </is>
      </c>
      <c r="C1281" t="inlineStr">
        <is>
          <t>ma</t>
        </is>
      </c>
      <c r="D1281"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1" t="inlineStr">
        <is>
          <t>2026-10-30T15:06:55+00:00</t>
        </is>
      </c>
      <c r="F1281" t="inlineStr">
        <is>
          <t>{"Keyword": "redirection 301", "Search Volume": "20", "CPC": "0", "Competition": "0.33", "Number of Results": "0", "Trends": "0.29,0.14,0.29,0.14,0.14,0.43,0.57,0.29,1.00,0.14,0.29,0.14", "Intent": "", "Keyword Difficulty Index": "0"}</t>
        </is>
      </c>
      <c r="G1281" t="inlineStr">
        <is>
          <t>Raw (Semrush)</t>
        </is>
      </c>
    </row>
    <row r="1282">
      <c r="A1282" t="inlineStr">
        <is>
          <t>val-ma-4</t>
        </is>
      </c>
      <c r="B1282" t="inlineStr">
        <is>
          <t>phrase_these</t>
        </is>
      </c>
      <c r="C1282" t="inlineStr">
        <is>
          <t>ma</t>
        </is>
      </c>
      <c r="D1282"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2" t="inlineStr">
        <is>
          <t>2026-10-30T15:06:55+00:00</t>
        </is>
      </c>
      <c r="F1282" t="inlineStr">
        <is>
          <t>{"Keyword": "refonte site web", "Search Volume": "20", "CPC": "0", "Competition": "0.11", "Number of Results": "0", "Trends": "0.29,0.14,0.29,0.43,0.14,0.57,0.43,1.00,0.14,0.14,0.14,0.14", "Intent": "", "Keyword Difficulty Index": "0"}</t>
        </is>
      </c>
      <c r="G1282" t="inlineStr">
        <is>
          <t>Raw (Semrush)</t>
        </is>
      </c>
    </row>
    <row r="1283">
      <c r="A1283" t="inlineStr">
        <is>
          <t>val-ma-4</t>
        </is>
      </c>
      <c r="B1283" t="inlineStr">
        <is>
          <t>phrase_these</t>
        </is>
      </c>
      <c r="C1283" t="inlineStr">
        <is>
          <t>ma</t>
        </is>
      </c>
      <c r="D1283"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3" t="inlineStr">
        <is>
          <t>2026-10-30T15:06:55+00:00</t>
        </is>
      </c>
      <c r="F1283" t="inlineStr">
        <is>
          <t>{"Keyword": "robots ia", "Search Volume": "20", "CPC": "0", "Competition": "0.07", "Number of Results": "0", "Trends": "0.11,0.22,0.56,0.22,1.00,0.11,0.11,0.11,0.11,0.11,0.22,0.11", "Intent": "", "Keyword Difficulty Index": "0"}</t>
        </is>
      </c>
      <c r="G1283" t="inlineStr">
        <is>
          <t>Raw (Semrush)</t>
        </is>
      </c>
    </row>
    <row r="1284">
      <c r="A1284" t="inlineStr">
        <is>
          <t>val-ma-4</t>
        </is>
      </c>
      <c r="B1284" t="inlineStr">
        <is>
          <t>phrase_these</t>
        </is>
      </c>
      <c r="C1284" t="inlineStr">
        <is>
          <t>ma</t>
        </is>
      </c>
      <c r="D1284"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4" t="inlineStr">
        <is>
          <t>2026-10-30T15:06:55+00:00</t>
        </is>
      </c>
      <c r="F1284" t="inlineStr">
        <is>
          <t>{"Keyword": "robots.txt", "Search Volume": "260", "CPC": "0.34", "Competition": "0.02", "Number of Results": "0", "Trends": "0.67,0.67,0.67,0.54,0.67,0.54,0.54,0.82,0.54,0.44,0.67,1.00", "Intent": "", "Keyword Difficulty Index": "0"}</t>
        </is>
      </c>
      <c r="G1284" t="inlineStr">
        <is>
          <t>Raw (Semrush)</t>
        </is>
      </c>
    </row>
    <row r="1285">
      <c r="A1285" t="inlineStr">
        <is>
          <t>val-ma-4</t>
        </is>
      </c>
      <c r="B1285" t="inlineStr">
        <is>
          <t>phrase_these</t>
        </is>
      </c>
      <c r="C1285" t="inlineStr">
        <is>
          <t>ma</t>
        </is>
      </c>
      <c r="D1285"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5" t="inlineStr">
        <is>
          <t>2026-10-30T15:06:55+00:00</t>
        </is>
      </c>
      <c r="F1285" t="inlineStr">
        <is>
          <t>{"Keyword": "robots.txt tester", "Search Volume": "20", "CPC": "0", "Competition": "0.04", "Number of Results": "0", "Trends": "0.20,0.20,0.20,1.00,0.20,0.20,0.20,0.20,0.20,0.60,0.40,0.20", "Intent": "", "Keyword Difficulty Index": "0"}</t>
        </is>
      </c>
      <c r="G1285" t="inlineStr">
        <is>
          <t>Raw (Semrush)</t>
        </is>
      </c>
    </row>
    <row r="1286">
      <c r="A1286" t="inlineStr">
        <is>
          <t>val-ma-4</t>
        </is>
      </c>
      <c r="B1286" t="inlineStr">
        <is>
          <t>phrase_these</t>
        </is>
      </c>
      <c r="C1286" t="inlineStr">
        <is>
          <t>ma</t>
        </is>
      </c>
      <c r="D1286"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6" t="inlineStr">
        <is>
          <t>2026-10-30T15:06:55+00:00</t>
        </is>
      </c>
      <c r="F1286" t="inlineStr">
        <is>
          <t>{"Keyword": "réduire taille image", "Search Volume": "1000", "CPC": "0.03", "Competition": "0.08", "Number of Results": "122", "Trends": "1.00,0.53,0.53,0.53,0.46,0.46,0.46,0.46,0.38,0.46,0.53,0.53", "Intent": "1", "Keyword Difficulty Index": "39"}</t>
        </is>
      </c>
      <c r="G1286" t="inlineStr">
        <is>
          <t>Raw (Semrush)</t>
        </is>
      </c>
    </row>
    <row r="1287">
      <c r="A1287" t="inlineStr">
        <is>
          <t>val-ma-4</t>
        </is>
      </c>
      <c r="B1287" t="inlineStr">
        <is>
          <t>phrase_these</t>
        </is>
      </c>
      <c r="C1287" t="inlineStr">
        <is>
          <t>ma</t>
        </is>
      </c>
      <c r="D1287"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7" t="inlineStr">
        <is>
          <t>2026-10-30T15:06:55+00:00</t>
        </is>
      </c>
      <c r="F1287" t="inlineStr">
        <is>
          <t>{"Keyword": "référencement maroc", "Search Volume": "20", "CPC": "0.64", "Competition": "0.34", "Number of Results": "0", "Trends": "0.50,1.00,0.50,1.00,1.00,1.00,0.50,0.50,0.50,1.00,0.50,1.00", "Intent": "", "Keyword Difficulty Index": "0"}</t>
        </is>
      </c>
      <c r="G1287" t="inlineStr">
        <is>
          <t>Raw (Semrush)</t>
        </is>
      </c>
    </row>
    <row r="1288">
      <c r="A1288" t="inlineStr">
        <is>
          <t>val-ma-4</t>
        </is>
      </c>
      <c r="B1288" t="inlineStr">
        <is>
          <t>phrase_these</t>
        </is>
      </c>
      <c r="C1288" t="inlineStr">
        <is>
          <t>ma</t>
        </is>
      </c>
      <c r="D1288"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8" t="inlineStr">
        <is>
          <t>2026-10-30T15:06:55+00:00</t>
        </is>
      </c>
      <c r="F1288" t="inlineStr">
        <is>
          <t>{"Keyword": "référencement naturel", "Search Volume": "40", "CPC": "0.17", "Competition": "0.09", "Number of Results": "0", "Trends": "0.11,0.11,0.22,0.78,0.78,0.33,0.11,1.00,0.11,0.78,0.11,0.56", "Intent": "", "Keyword Difficulty Index": "0"}</t>
        </is>
      </c>
      <c r="G1288" t="inlineStr">
        <is>
          <t>Raw (Semrush)</t>
        </is>
      </c>
    </row>
    <row r="1289">
      <c r="A1289" t="inlineStr">
        <is>
          <t>val-ma-4</t>
        </is>
      </c>
      <c r="B1289" t="inlineStr">
        <is>
          <t>phrase_these</t>
        </is>
      </c>
      <c r="C1289" t="inlineStr">
        <is>
          <t>ma</t>
        </is>
      </c>
      <c r="D1289"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89" t="inlineStr">
        <is>
          <t>2026-10-30T15:06:55+00:00</t>
        </is>
      </c>
      <c r="F1289" t="inlineStr">
        <is>
          <t>{"Keyword": "référencement naturel maroc", "Search Volume": "30", "CPC": "0", "Competition": "0.04", "Number of Results": "0", "Trends": "0.33,0.11,0.11,0.11,0.44,0.11,1.00,0.44,0.22,0.11,1.00,0.11", "Intent": "", "Keyword Difficulty Index": "0"}</t>
        </is>
      </c>
      <c r="G1289" t="inlineStr">
        <is>
          <t>Raw (Semrush)</t>
        </is>
      </c>
    </row>
    <row r="1290">
      <c r="A1290" t="inlineStr">
        <is>
          <t>val-ma-4</t>
        </is>
      </c>
      <c r="B1290" t="inlineStr">
        <is>
          <t>phrase_these</t>
        </is>
      </c>
      <c r="C1290" t="inlineStr">
        <is>
          <t>ma</t>
        </is>
      </c>
      <c r="D1290"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90" t="inlineStr">
        <is>
          <t>2026-10-30T15:06:55+00:00</t>
        </is>
      </c>
      <c r="F1290" t="inlineStr">
        <is>
          <t>{"Keyword": "référencement site web maroc", "Search Volume": "20", "CPC": "0", "Competition": "0.27", "Number of Results": "0", "Trends": "0.11,0.11,0.11,0.22,0.22,0.44,1.00,0.11,0.11,0.11,0.11,0.11", "Intent": "", "Keyword Difficulty Index": "0"}</t>
        </is>
      </c>
      <c r="G1290" t="inlineStr">
        <is>
          <t>Raw (Semrush)</t>
        </is>
      </c>
    </row>
    <row r="1291">
      <c r="A1291" t="inlineStr">
        <is>
          <t>val-ma-4</t>
        </is>
      </c>
      <c r="B1291" t="inlineStr">
        <is>
          <t>phrase_these</t>
        </is>
      </c>
      <c r="C1291" t="inlineStr">
        <is>
          <t>ma</t>
        </is>
      </c>
      <c r="D1291"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91" t="inlineStr">
        <is>
          <t>2026-10-30T15:06:55+00:00</t>
        </is>
      </c>
      <c r="F1291" t="inlineStr">
        <is>
          <t>{"Keyword": "saas maroc", "Search Volume": "10", "CPC": "0.14", "Competition": "0.15", "Number of Results": "0", "Trends": "1.00,0.50,0.50,0.50,0.50,0.50,0.50,0.50,0.50,0.50,0.50,0.50", "Intent": "", "Keyword Difficulty Index": "0"}</t>
        </is>
      </c>
      <c r="G1291" t="inlineStr">
        <is>
          <t>Raw (Semrush)</t>
        </is>
      </c>
    </row>
    <row r="1292">
      <c r="A1292" t="inlineStr">
        <is>
          <t>val-ma-4</t>
        </is>
      </c>
      <c r="B1292" t="inlineStr">
        <is>
          <t>phrase_these</t>
        </is>
      </c>
      <c r="C1292" t="inlineStr">
        <is>
          <t>ma</t>
        </is>
      </c>
      <c r="D1292" t="inlineStr">
        <is>
          <t>majuscule en minuscule;matériel dentaire maroc;meilleure agence web maroc;meilleure plateforme e-learning;meta description;meta refresh;meta tag generator;mettre en majuscule;minifier css;minifier html;minify css;minify html;mobile friendly test;mvp saas;n-gram;nearshore maroc;nettoyer url;ngram;nofollow;nofollow dofollow;nom de domaine .ma;nom de domaine expiré;nom de domaine maroc;nombre de mots;offshore maroc;og image;open graph;optimisation budget crawl;optimisation image seo;optimisation moteurs ia;optimiser images site web;outil maillage interne;outil seo;outil seo gratuit;outils ia gratuits;outils seo;outils seo en ligne;outils seo gratuits;pagespeed;paiement en ligne maroc;paiement en ligne maroc site web;palette couleur site web;palette de couleurs;passerelle de paiement maroc;plateforme b2b;plateforme de cours en ligne;plateforme de paiement;plateforme de télémédecine;plateforme e-learning;plateforme e-learning maroc;plateforme edtech;plateforme lms;portail immobilier maroc;p</t>
        </is>
      </c>
      <c r="E1292" t="inlineStr">
        <is>
          <t>2026-10-30T15:06:55+00:00</t>
        </is>
      </c>
      <c r="F1292" t="inlineStr">
        <is>
          <t>{"Keyword": "saas multi tenant", "Search Volume": "10", "CPC": "0", "Competition": "0", "Number of Results": "0", "Trends": "0.33,0.33,0.33,0.33,0.33,0.33,0.67,1.00,1.00,0.33,0.33,0.00", "Intent": "", "Keyword Difficulty Index": "0"}</t>
        </is>
      </c>
      <c r="G1292" t="inlineStr">
        <is>
          <t>Raw (Semrush)</t>
        </is>
      </c>
    </row>
    <row r="1293">
      <c r="A1293" t="inlineStr">
        <is>
          <t>val-ma-5</t>
        </is>
      </c>
      <c r="B1293" t="inlineStr">
        <is>
          <t>phrase_these</t>
        </is>
      </c>
      <c r="C1293" t="inlineStr">
        <is>
          <t>ma</t>
        </is>
      </c>
      <c r="D1293"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293" t="inlineStr">
        <is>
          <t>2026-10-30T15:06:57+00:00</t>
        </is>
      </c>
      <c r="F1293" t="inlineStr">
        <is>
          <t>{"Keyword": "schema faq", "Search Volume": "20", "CPC": "0", "Competition": "0.33", "Number of Results": "0", "Trends": "0.25,0.25,0.25,0.25,0.25,0.50,0.50,1.00,1.00,0.25,0.25,0.75", "Intent": "", "Keyword Difficulty Index": "0"}</t>
        </is>
      </c>
      <c r="G1293" t="inlineStr">
        <is>
          <t>Raw (Semrush)</t>
        </is>
      </c>
    </row>
    <row r="1294">
      <c r="A1294" t="inlineStr">
        <is>
          <t>val-ma-5</t>
        </is>
      </c>
      <c r="B1294" t="inlineStr">
        <is>
          <t>phrase_these</t>
        </is>
      </c>
      <c r="C1294" t="inlineStr">
        <is>
          <t>ma</t>
        </is>
      </c>
      <c r="D1294"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294" t="inlineStr">
        <is>
          <t>2026-10-30T15:06:57+00:00</t>
        </is>
      </c>
      <c r="F1294" t="inlineStr">
        <is>
          <t>{"Keyword": "schema markup", "Search Volume": "50", "CPC": "0", "Competition": "0.01", "Number of Results": "0", "Trends": "0.04,0.08,0.08,0.35,0.08,0.35,0.04,0.04,0.04,1.00,0.42,0.08", "Intent": "", "Keyword Difficulty Index": "0"}</t>
        </is>
      </c>
      <c r="G1294" t="inlineStr">
        <is>
          <t>Raw (Semrush)</t>
        </is>
      </c>
    </row>
    <row r="1295">
      <c r="A1295" t="inlineStr">
        <is>
          <t>val-ma-5</t>
        </is>
      </c>
      <c r="B1295" t="inlineStr">
        <is>
          <t>phrase_these</t>
        </is>
      </c>
      <c r="C1295" t="inlineStr">
        <is>
          <t>ma</t>
        </is>
      </c>
      <c r="D1295"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295" t="inlineStr">
        <is>
          <t>2026-10-30T15:06:57+00:00</t>
        </is>
      </c>
      <c r="F1295" t="inlineStr">
        <is>
          <t>{"Keyword": "score de lisibilité", "Search Volume": "0", "CPC": "0", "Competition": "0.33", "Number of Results": "0", "Trends": "0.00,0.00,0.00,0.00,0.33,1.00,0.00,0.00,0.00,0.00,0.00,0.33", "Intent": "", "Keyword Difficulty Index": "0"}</t>
        </is>
      </c>
      <c r="G1295" t="inlineStr">
        <is>
          <t>Raw (Semrush)</t>
        </is>
      </c>
    </row>
    <row r="1296">
      <c r="A1296" t="inlineStr">
        <is>
          <t>val-ma-5</t>
        </is>
      </c>
      <c r="B1296" t="inlineStr">
        <is>
          <t>phrase_these</t>
        </is>
      </c>
      <c r="C1296" t="inlineStr">
        <is>
          <t>ma</t>
        </is>
      </c>
      <c r="D1296"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296" t="inlineStr">
        <is>
          <t>2026-10-30T15:06:57+00:00</t>
        </is>
      </c>
      <c r="F1296" t="inlineStr">
        <is>
          <t>{"Keyword": "security headers", "Search Volume": "50", "CPC": "0", "Competition": "0.02", "Number of Results": "0", "Trends": "1.00,0.03,0.03,0.06,0.03,0.03,0.16,0.12,0.03,0.03,0.22,0.03", "Intent": "", "Keyword Difficulty Index": "0"}</t>
        </is>
      </c>
      <c r="G1296" t="inlineStr">
        <is>
          <t>Raw (Semrush)</t>
        </is>
      </c>
    </row>
    <row r="1297">
      <c r="A1297" t="inlineStr">
        <is>
          <t>val-ma-5</t>
        </is>
      </c>
      <c r="B1297" t="inlineStr">
        <is>
          <t>phrase_these</t>
        </is>
      </c>
      <c r="C1297" t="inlineStr">
        <is>
          <t>ma</t>
        </is>
      </c>
      <c r="D1297"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297" t="inlineStr">
        <is>
          <t>2026-10-30T15:06:57+00:00</t>
        </is>
      </c>
      <c r="F1297" t="inlineStr">
        <is>
          <t>{"Keyword": "seo casablanca", "Search Volume": "20", "CPC": "0.63", "Competition": "0.24", "Number of Results": "0", "Trends": "0.57,1.00,0.29,0.14,0.57,0.14,0.14,0.14,0.14,0.14,0.43,0.14", "Intent": "", "Keyword Difficulty Index": "0"}</t>
        </is>
      </c>
      <c r="G1297" t="inlineStr">
        <is>
          <t>Raw (Semrush)</t>
        </is>
      </c>
    </row>
    <row r="1298">
      <c r="A1298" t="inlineStr">
        <is>
          <t>val-ma-5</t>
        </is>
      </c>
      <c r="B1298" t="inlineStr">
        <is>
          <t>phrase_these</t>
        </is>
      </c>
      <c r="C1298" t="inlineStr">
        <is>
          <t>ma</t>
        </is>
      </c>
      <c r="D1298"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298" t="inlineStr">
        <is>
          <t>2026-10-30T15:06:57+00:00</t>
        </is>
      </c>
      <c r="F1298" t="inlineStr">
        <is>
          <t>{"Keyword": "seo maroc", "Search Volume": "320", "CPC": "0.83", "Competition": "0.08", "Number of Results": "121", "Trends": "0.67,1.00,1.00,0.67,0.54,0.54,0.81,0.67,0.54,0.54,0.44,0.81", "Intent": "0", "Keyword Difficulty Index": "41"}</t>
        </is>
      </c>
      <c r="G1298" t="inlineStr">
        <is>
          <t>Raw (Semrush)</t>
        </is>
      </c>
    </row>
    <row r="1299">
      <c r="A1299" t="inlineStr">
        <is>
          <t>val-ma-5</t>
        </is>
      </c>
      <c r="B1299" t="inlineStr">
        <is>
          <t>phrase_these</t>
        </is>
      </c>
      <c r="C1299" t="inlineStr">
        <is>
          <t>ma</t>
        </is>
      </c>
      <c r="D1299"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299" t="inlineStr">
        <is>
          <t>2026-10-30T15:06:57+00:00</t>
        </is>
      </c>
      <c r="F1299" t="inlineStr">
        <is>
          <t>{"Keyword": "seo marrakech", "Search Volume": "90", "CPC": "1.35", "Competition": "0.13", "Number of Results": "0", "Trends": "0.52,0.43,0.52,0.33,0.43,0.67,0.81,1.00,0.24,0.24,0.14,0.24", "Intent": "", "Keyword Difficulty Index": "0"}</t>
        </is>
      </c>
      <c r="G1299" t="inlineStr">
        <is>
          <t>Raw (Semrush)</t>
        </is>
      </c>
    </row>
    <row r="1300">
      <c r="A1300" t="inlineStr">
        <is>
          <t>val-ma-5</t>
        </is>
      </c>
      <c r="B1300" t="inlineStr">
        <is>
          <t>phrase_these</t>
        </is>
      </c>
      <c r="C1300" t="inlineStr">
        <is>
          <t>ma</t>
        </is>
      </c>
      <c r="D1300"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0" t="inlineStr">
        <is>
          <t>2026-10-30T15:06:57+00:00</t>
        </is>
      </c>
      <c r="F1300" t="inlineStr">
        <is>
          <t>{"Keyword": "serp preview", "Search Volume": "20", "CPC": "0", "Competition": "0.33", "Number of Results": "0", "Trends": "0.29,0.14,0.14,0.14,0.14,0.14,0.14,1.00,0.14,0.43,0.14,0.14", "Intent": "", "Keyword Difficulty Index": "0"}</t>
        </is>
      </c>
      <c r="G1300" t="inlineStr">
        <is>
          <t>Raw (Semrush)</t>
        </is>
      </c>
    </row>
    <row r="1301">
      <c r="A1301" t="inlineStr">
        <is>
          <t>val-ma-5</t>
        </is>
      </c>
      <c r="B1301" t="inlineStr">
        <is>
          <t>phrase_these</t>
        </is>
      </c>
      <c r="C1301" t="inlineStr">
        <is>
          <t>ma</t>
        </is>
      </c>
      <c r="D1301"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1" t="inlineStr">
        <is>
          <t>2026-10-30T15:06:57+00:00</t>
        </is>
      </c>
      <c r="F1301" t="inlineStr">
        <is>
          <t>{"Keyword": "simulateur google", "Search Volume": "0", "CPC": "0", "Competition": "0", "Number of Results": "0", "Trends": "0.00,0.00,0.00,0.00,0.00,0.00,0.00,0.00,0.00,0.00,0.00,0.00", "Intent": "", "Keyword Difficulty Index": "0"}</t>
        </is>
      </c>
      <c r="G1301" t="inlineStr">
        <is>
          <t>Raw (Semrush)</t>
        </is>
      </c>
    </row>
    <row r="1302">
      <c r="A1302" t="inlineStr">
        <is>
          <t>val-ma-5</t>
        </is>
      </c>
      <c r="B1302" t="inlineStr">
        <is>
          <t>phrase_these</t>
        </is>
      </c>
      <c r="C1302" t="inlineStr">
        <is>
          <t>ma</t>
        </is>
      </c>
      <c r="D1302"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2" t="inlineStr">
        <is>
          <t>2026-10-30T15:06:57+00:00</t>
        </is>
      </c>
      <c r="F1302" t="inlineStr">
        <is>
          <t>{"Keyword": "site agence de voyage", "Search Volume": "30", "CPC": "0.14", "Competition": "0.54", "Number of Results": "0", "Trends": "0.71,0.29,0.14,0.14,0.29,1.00,1.00,0.14,0.14,0.14,0.57,0.14", "Intent": "", "Keyword Difficulty Index": "0"}</t>
        </is>
      </c>
      <c r="G1302" t="inlineStr">
        <is>
          <t>Raw (Semrush)</t>
        </is>
      </c>
    </row>
    <row r="1303">
      <c r="A1303" t="inlineStr">
        <is>
          <t>val-ma-5</t>
        </is>
      </c>
      <c r="B1303" t="inlineStr">
        <is>
          <t>phrase_these</t>
        </is>
      </c>
      <c r="C1303" t="inlineStr">
        <is>
          <t>ma</t>
        </is>
      </c>
      <c r="D1303"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3" t="inlineStr">
        <is>
          <t>2026-10-30T15:06:57+00:00</t>
        </is>
      </c>
      <c r="F1303" t="inlineStr">
        <is>
          <t>{"Keyword": "site architecte", "Search Volume": "20", "CPC": "0", "Competition": "0.33", "Number of Results": "0", "Trends": "0.14,0.14,0.14,0.14,0.14,0.14,0.14,0.14,0.57,0.14,1.00,0.57", "Intent": "", "Keyword Difficulty Index": "0"}</t>
        </is>
      </c>
      <c r="G1303" t="inlineStr">
        <is>
          <t>Raw (Semrush)</t>
        </is>
      </c>
    </row>
    <row r="1304">
      <c r="A1304" t="inlineStr">
        <is>
          <t>val-ma-5</t>
        </is>
      </c>
      <c r="B1304" t="inlineStr">
        <is>
          <t>phrase_these</t>
        </is>
      </c>
      <c r="C1304" t="inlineStr">
        <is>
          <t>ma</t>
        </is>
      </c>
      <c r="D1304"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4" t="inlineStr">
        <is>
          <t>2026-10-30T15:06:57+00:00</t>
        </is>
      </c>
      <c r="F1304" t="inlineStr">
        <is>
          <t>{"Keyword": "site de vente en ligne maroc", "Search Volume": "140", "CPC": "0.12", "Competition": "0.51", "Number of Results": "0", "Trends": "1.00,0.81,1.00,0.67,0.67,0.52,0.81,0.81,0.81,0.52,0.43,0.43", "Intent": "", "Keyword Difficulty Index": "0"}</t>
        </is>
      </c>
      <c r="G1304" t="inlineStr">
        <is>
          <t>Raw (Semrush)</t>
        </is>
      </c>
    </row>
    <row r="1305">
      <c r="A1305" t="inlineStr">
        <is>
          <t>val-ma-5</t>
        </is>
      </c>
      <c r="B1305" t="inlineStr">
        <is>
          <t>phrase_these</t>
        </is>
      </c>
      <c r="C1305" t="inlineStr">
        <is>
          <t>ma</t>
        </is>
      </c>
      <c r="D1305"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5" t="inlineStr">
        <is>
          <t>2026-10-30T15:06:57+00:00</t>
        </is>
      </c>
      <c r="F1305" t="inlineStr">
        <is>
          <t>{"Keyword": "site e commerce", "Search Volume": "140", "CPC": "0.38", "Competition": "0.44", "Number of Results": "0", "Trends": "0.65,1.00,1.00,1.00,1.00,1.00,0.82,1.00,0.82,0.65,0.53,0.53", "Intent": "", "Keyword Difficulty Index": "0"}</t>
        </is>
      </c>
      <c r="G1305" t="inlineStr">
        <is>
          <t>Raw (Semrush)</t>
        </is>
      </c>
    </row>
    <row r="1306">
      <c r="A1306" t="inlineStr">
        <is>
          <t>val-ma-5</t>
        </is>
      </c>
      <c r="B1306" t="inlineStr">
        <is>
          <t>phrase_these</t>
        </is>
      </c>
      <c r="C1306" t="inlineStr">
        <is>
          <t>ma</t>
        </is>
      </c>
      <c r="D1306"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6" t="inlineStr">
        <is>
          <t>2026-10-30T15:06:57+00:00</t>
        </is>
      </c>
      <c r="F1306" t="inlineStr">
        <is>
          <t>{"Keyword": "site e-commerce maroc", "Search Volume": "30", "CPC": "0.28", "Competition": "0.24", "Number of Results": "0", "Trends": "0.11,0.78,0.22,0.78,0.33,0.11,1.00,0.11,0.11,0.22,0.11,0.11", "Intent": "", "Keyword Difficulty Index": "0"}</t>
        </is>
      </c>
      <c r="G1306" t="inlineStr">
        <is>
          <t>Raw (Semrush)</t>
        </is>
      </c>
    </row>
    <row r="1307">
      <c r="A1307" t="inlineStr">
        <is>
          <t>val-ma-5</t>
        </is>
      </c>
      <c r="B1307" t="inlineStr">
        <is>
          <t>phrase_these</t>
        </is>
      </c>
      <c r="C1307" t="inlineStr">
        <is>
          <t>ma</t>
        </is>
      </c>
      <c r="D1307"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7" t="inlineStr">
        <is>
          <t>2026-10-30T15:06:57+00:00</t>
        </is>
      </c>
      <c r="F1307" t="inlineStr">
        <is>
          <t>{"Keyword": "site ecommerce maroc", "Search Volume": "20", "CPC": "0.42", "Competition": "0.16", "Number of Results": "0", "Trends": "1.00,0.29,0.14,0.14,0.14,0.29,0.14,0.14,0.14,0.14,0.14,0.14", "Intent": "", "Keyword Difficulty Index": "0"}</t>
        </is>
      </c>
      <c r="G1307" t="inlineStr">
        <is>
          <t>Raw (Semrush)</t>
        </is>
      </c>
    </row>
    <row r="1308">
      <c r="A1308" t="inlineStr">
        <is>
          <t>val-ma-5</t>
        </is>
      </c>
      <c r="B1308" t="inlineStr">
        <is>
          <t>phrase_these</t>
        </is>
      </c>
      <c r="C1308" t="inlineStr">
        <is>
          <t>ma</t>
        </is>
      </c>
      <c r="D1308"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8" t="inlineStr">
        <is>
          <t>2026-10-30T15:06:57+00:00</t>
        </is>
      </c>
      <c r="F1308" t="inlineStr">
        <is>
          <t>{"Keyword": "site immobilier", "Search Volume": "10", "CPC": "0.21", "Competition": "0.49", "Number of Results": "0", "Trends": "0.25,0.25,0.25,1.00,0.25,0.25,0.50,0.25,0.25,0.25,0.25,0.25", "Intent": "", "Keyword Difficulty Index": "0"}</t>
        </is>
      </c>
      <c r="G1308" t="inlineStr">
        <is>
          <t>Raw (Semrush)</t>
        </is>
      </c>
    </row>
    <row r="1309">
      <c r="A1309" t="inlineStr">
        <is>
          <t>val-ma-5</t>
        </is>
      </c>
      <c r="B1309" t="inlineStr">
        <is>
          <t>phrase_these</t>
        </is>
      </c>
      <c r="C1309" t="inlineStr">
        <is>
          <t>ma</t>
        </is>
      </c>
      <c r="D1309"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09" t="inlineStr">
        <is>
          <t>2026-10-30T15:06:57+00:00</t>
        </is>
      </c>
      <c r="F1309" t="inlineStr">
        <is>
          <t>{"Keyword": "site immobilier maroc", "Search Volume": "170", "CPC": "0.14", "Competition": "0.51", "Number of Results": "0", "Trends": "1.00,0.81,0.67,0.67,0.81,0.67,0.67,0.81,0.81,0.67,0.81,0.67", "Intent": "", "Keyword Difficulty Index": "0"}</t>
        </is>
      </c>
      <c r="G1309" t="inlineStr">
        <is>
          <t>Raw (Semrush)</t>
        </is>
      </c>
    </row>
    <row r="1310">
      <c r="A1310" t="inlineStr">
        <is>
          <t>val-ma-5</t>
        </is>
      </c>
      <c r="B1310" t="inlineStr">
        <is>
          <t>phrase_these</t>
        </is>
      </c>
      <c r="C1310" t="inlineStr">
        <is>
          <t>ma</t>
        </is>
      </c>
      <c r="D1310"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0" t="inlineStr">
        <is>
          <t>2026-10-30T15:06:57+00:00</t>
        </is>
      </c>
      <c r="F1310" t="inlineStr">
        <is>
          <t>{"Keyword": "site internet maroc", "Search Volume": "20", "CPC": "0.43", "Competition": "0.57", "Number of Results": "0", "Trends": "0.20,0.20,0.20,0.20,0.40,0.80,0.20,0.40,0.40,0.60,0.60,1.00", "Intent": "", "Keyword Difficulty Index": "0"}</t>
        </is>
      </c>
      <c r="G1310" t="inlineStr">
        <is>
          <t>Raw (Semrush)</t>
        </is>
      </c>
    </row>
    <row r="1311">
      <c r="A1311" t="inlineStr">
        <is>
          <t>val-ma-5</t>
        </is>
      </c>
      <c r="B1311" t="inlineStr">
        <is>
          <t>phrase_these</t>
        </is>
      </c>
      <c r="C1311" t="inlineStr">
        <is>
          <t>ma</t>
        </is>
      </c>
      <c r="D1311"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1" t="inlineStr">
        <is>
          <t>2026-10-30T15:06:57+00:00</t>
        </is>
      </c>
      <c r="F1311" t="inlineStr">
        <is>
          <t>{"Keyword": "site médecin", "Search Volume": "20", "CPC": "0", "Competition": "0.29", "Number of Results": "0", "Trends": "0.14,0.14,0.14,0.14,1.00,0.14,0.14,0.14,1.00,0.14,0.14,0.14", "Intent": "", "Keyword Difficulty Index": "0"}</t>
        </is>
      </c>
      <c r="G1311" t="inlineStr">
        <is>
          <t>Raw (Semrush)</t>
        </is>
      </c>
    </row>
    <row r="1312">
      <c r="A1312" t="inlineStr">
        <is>
          <t>val-ma-5</t>
        </is>
      </c>
      <c r="B1312" t="inlineStr">
        <is>
          <t>phrase_these</t>
        </is>
      </c>
      <c r="C1312" t="inlineStr">
        <is>
          <t>ma</t>
        </is>
      </c>
      <c r="D1312"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2" t="inlineStr">
        <is>
          <t>2026-10-30T15:06:57+00:00</t>
        </is>
      </c>
      <c r="F1312" t="inlineStr">
        <is>
          <t>{"Keyword": "site responsive test", "Search Volume": "20", "CPC": "0", "Competition": "0.14", "Number of Results": "0", "Trends": "0.43,0.14,0.14,0.14,0.57,1.00,0.14,0.57,0.43,0.14,0.14,0.14", "Intent": "", "Keyword Difficulty Index": "0"}</t>
        </is>
      </c>
      <c r="G1312" t="inlineStr">
        <is>
          <t>Raw (Semrush)</t>
        </is>
      </c>
    </row>
    <row r="1313">
      <c r="A1313" t="inlineStr">
        <is>
          <t>val-ma-5</t>
        </is>
      </c>
      <c r="B1313" t="inlineStr">
        <is>
          <t>phrase_these</t>
        </is>
      </c>
      <c r="C1313" t="inlineStr">
        <is>
          <t>ma</t>
        </is>
      </c>
      <c r="D1313"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3" t="inlineStr">
        <is>
          <t>2026-10-30T15:06:57+00:00</t>
        </is>
      </c>
      <c r="F1313" t="inlineStr">
        <is>
          <t>{"Keyword": "site universitaire", "Search Volume": "20", "CPC": "0", "Competition": "0.2", "Number of Results": "0", "Trends": "0.14,1.00,0.14,0.14,1.00,0.14,0.29,0.29,0.14,0.29,0.29,0.14", "Intent": "", "Keyword Difficulty Index": "0"}</t>
        </is>
      </c>
      <c r="G1313" t="inlineStr">
        <is>
          <t>Raw (Semrush)</t>
        </is>
      </c>
    </row>
    <row r="1314">
      <c r="A1314" t="inlineStr">
        <is>
          <t>val-ma-5</t>
        </is>
      </c>
      <c r="B1314" t="inlineStr">
        <is>
          <t>phrase_these</t>
        </is>
      </c>
      <c r="C1314" t="inlineStr">
        <is>
          <t>ma</t>
        </is>
      </c>
      <c r="D1314"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4" t="inlineStr">
        <is>
          <t>2026-10-30T15:06:57+00:00</t>
        </is>
      </c>
      <c r="F1314" t="inlineStr">
        <is>
          <t>{"Keyword": "site vitrine maroc", "Search Volume": "20", "CPC": "0.3", "Competition": "0.23", "Number of Results": "0", "Trends": "0.20,0.20,0.60,1.00,1.00,0.80,0.20,0.20,0.20,0.20,0.40,0.20", "Intent": "", "Keyword Difficulty Index": "0"}</t>
        </is>
      </c>
      <c r="G1314" t="inlineStr">
        <is>
          <t>Raw (Semrush)</t>
        </is>
      </c>
    </row>
    <row r="1315">
      <c r="A1315" t="inlineStr">
        <is>
          <t>val-ma-5</t>
        </is>
      </c>
      <c r="B1315" t="inlineStr">
        <is>
          <t>phrase_these</t>
        </is>
      </c>
      <c r="C1315" t="inlineStr">
        <is>
          <t>ma</t>
        </is>
      </c>
      <c r="D1315"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5" t="inlineStr">
        <is>
          <t>2026-10-30T15:06:57+00:00</t>
        </is>
      </c>
      <c r="F1315" t="inlineStr">
        <is>
          <t>{"Keyword": "site web agadir", "Search Volume": "30", "CPC": "0", "Competition": "0.27", "Number of Results": "0", "Trends": "0.11,0.11,0.33,0.22,0.11,0.11,0.22,0.11,0.33,1.00,0.78,0.33", "Intent": "", "Keyword Difficulty Index": "0"}</t>
        </is>
      </c>
      <c r="G1315" t="inlineStr">
        <is>
          <t>Raw (Semrush)</t>
        </is>
      </c>
    </row>
    <row r="1316">
      <c r="A1316" t="inlineStr">
        <is>
          <t>val-ma-5</t>
        </is>
      </c>
      <c r="B1316" t="inlineStr">
        <is>
          <t>phrase_these</t>
        </is>
      </c>
      <c r="C1316" t="inlineStr">
        <is>
          <t>ma</t>
        </is>
      </c>
      <c r="D1316"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6" t="inlineStr">
        <is>
          <t>2026-10-30T15:06:57+00:00</t>
        </is>
      </c>
      <c r="F1316" t="inlineStr">
        <is>
          <t>{"Keyword": "site web agence de voyage", "Search Volume": "20", "CPC": "0.12", "Competition": "0.86", "Number of Results": "0", "Trends": "0.40,0.20,0.20,0.20,0.40,1.00,0.20,0.20,1.00,0.20,0.20,0.20", "Intent": "", "Keyword Difficulty Index": "0"}</t>
        </is>
      </c>
      <c r="G1316" t="inlineStr">
        <is>
          <t>Raw (Semrush)</t>
        </is>
      </c>
    </row>
    <row r="1317">
      <c r="A1317" t="inlineStr">
        <is>
          <t>val-ma-5</t>
        </is>
      </c>
      <c r="B1317" t="inlineStr">
        <is>
          <t>phrase_these</t>
        </is>
      </c>
      <c r="C1317" t="inlineStr">
        <is>
          <t>ma</t>
        </is>
      </c>
      <c r="D1317"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7" t="inlineStr">
        <is>
          <t>2026-10-30T15:06:57+00:00</t>
        </is>
      </c>
      <c r="F1317" t="inlineStr">
        <is>
          <t>{"Keyword": "site web architecte", "Search Volume": "20", "CPC": "0", "Competition": "0.33", "Number of Results": "0", "Trends": "0.14,0.29,0.57,0.43,1.00,0.14,0.14,0.14,0.14,0.14,0.71,0.14", "Intent": "", "Keyword Difficulty Index": "0"}</t>
        </is>
      </c>
      <c r="G1317" t="inlineStr">
        <is>
          <t>Raw (Semrush)</t>
        </is>
      </c>
    </row>
    <row r="1318">
      <c r="A1318" t="inlineStr">
        <is>
          <t>val-ma-5</t>
        </is>
      </c>
      <c r="B1318" t="inlineStr">
        <is>
          <t>phrase_these</t>
        </is>
      </c>
      <c r="C1318" t="inlineStr">
        <is>
          <t>ma</t>
        </is>
      </c>
      <c r="D1318"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8" t="inlineStr">
        <is>
          <t>2026-10-30T15:06:57+00:00</t>
        </is>
      </c>
      <c r="F1318" t="inlineStr">
        <is>
          <t>{"Keyword": "site web casablanca", "Search Volume": "20", "CPC": "0.61", "Competition": "0.47", "Number of Results": "0", "Trends": "0.11,0.11,0.11,0.33,0.33,0.11,1.00,0.11,0.11,0.11,0.11,0.11", "Intent": "", "Keyword Difficulty Index": "0"}</t>
        </is>
      </c>
      <c r="G1318" t="inlineStr">
        <is>
          <t>Raw (Semrush)</t>
        </is>
      </c>
    </row>
    <row r="1319">
      <c r="A1319" t="inlineStr">
        <is>
          <t>val-ma-5</t>
        </is>
      </c>
      <c r="B1319" t="inlineStr">
        <is>
          <t>phrase_these</t>
        </is>
      </c>
      <c r="C1319" t="inlineStr">
        <is>
          <t>ma</t>
        </is>
      </c>
      <c r="D1319"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19" t="inlineStr">
        <is>
          <t>2026-10-30T15:06:57+00:00</t>
        </is>
      </c>
      <c r="F1319" t="inlineStr">
        <is>
          <t>{"Keyword": "site web dentiste", "Search Volume": "20", "CPC": "0.15", "Competition": "0.24", "Number of Results": "0", "Trends": "0.29,0.43,0.29,0.14,0.43,1.00,0.14,0.57,0.43,0.14,0.14,0.14", "Intent": "", "Keyword Difficulty Index": "0"}</t>
        </is>
      </c>
      <c r="G1319" t="inlineStr">
        <is>
          <t>Raw (Semrush)</t>
        </is>
      </c>
    </row>
    <row r="1320">
      <c r="A1320" t="inlineStr">
        <is>
          <t>val-ma-5</t>
        </is>
      </c>
      <c r="B1320" t="inlineStr">
        <is>
          <t>phrase_these</t>
        </is>
      </c>
      <c r="C1320" t="inlineStr">
        <is>
          <t>ma</t>
        </is>
      </c>
      <c r="D1320"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0" t="inlineStr">
        <is>
          <t>2026-10-30T15:06:57+00:00</t>
        </is>
      </c>
      <c r="F1320" t="inlineStr">
        <is>
          <t>{"Keyword": "site web gratuit maroc", "Search Volume": "30", "CPC": "0", "Competition": "0.74", "Number of Results": "0", "Trends": "0.11,0.11,0.11,0.11,0.22,0.11,0.78,0.11,1.00,0.78,0.11,0.11", "Intent": "", "Keyword Difficulty Index": "0"}</t>
        </is>
      </c>
      <c r="G1320" t="inlineStr">
        <is>
          <t>Raw (Semrush)</t>
        </is>
      </c>
    </row>
    <row r="1321">
      <c r="A1321" t="inlineStr">
        <is>
          <t>val-ma-5</t>
        </is>
      </c>
      <c r="B1321" t="inlineStr">
        <is>
          <t>phrase_these</t>
        </is>
      </c>
      <c r="C1321" t="inlineStr">
        <is>
          <t>ma</t>
        </is>
      </c>
      <c r="D1321"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1" t="inlineStr">
        <is>
          <t>2026-10-30T15:06:57+00:00</t>
        </is>
      </c>
      <c r="F1321" t="inlineStr">
        <is>
          <t>{"Keyword": "site web immobilier", "Search Volume": "10", "CPC": "0", "Competition": "0.86", "Number of Results": "0", "Trends": "0.25,1.00,0.25,0.25,0.25,0.25,0.25,0.25,0.25,0.25,0.50,0.25", "Intent": "", "Keyword Difficulty Index": "0"}</t>
        </is>
      </c>
      <c r="G1321" t="inlineStr">
        <is>
          <t>Raw (Semrush)</t>
        </is>
      </c>
    </row>
    <row r="1322">
      <c r="A1322" t="inlineStr">
        <is>
          <t>val-ma-5</t>
        </is>
      </c>
      <c r="B1322" t="inlineStr">
        <is>
          <t>phrase_these</t>
        </is>
      </c>
      <c r="C1322" t="inlineStr">
        <is>
          <t>ma</t>
        </is>
      </c>
      <c r="D1322"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2" t="inlineStr">
        <is>
          <t>2026-10-30T15:06:57+00:00</t>
        </is>
      </c>
      <c r="F1322" t="inlineStr">
        <is>
          <t>{"Keyword": "site web immobilier maroc", "Search Volume": "0", "CPC": "0", "Competition": "0", "Number of Results": "0", "Trends": "0.00,0.00,0.00,0.00,0.00,0.00,0.00,0.00,0.00,0.00,0.00,0.00", "Intent": "", "Keyword Difficulty Index": "0"}</t>
        </is>
      </c>
      <c r="G1322" t="inlineStr">
        <is>
          <t>Raw (Semrush)</t>
        </is>
      </c>
    </row>
    <row r="1323">
      <c r="A1323" t="inlineStr">
        <is>
          <t>val-ma-5</t>
        </is>
      </c>
      <c r="B1323" t="inlineStr">
        <is>
          <t>phrase_these</t>
        </is>
      </c>
      <c r="C1323" t="inlineStr">
        <is>
          <t>ma</t>
        </is>
      </c>
      <c r="D1323"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3" t="inlineStr">
        <is>
          <t>2026-10-30T15:06:57+00:00</t>
        </is>
      </c>
      <c r="F1323" t="inlineStr">
        <is>
          <t>{"Keyword": "site web maroc", "Search Volume": "70", "CPC": "0.69", "Competition": "0.57", "Number of Results": "0", "Trends": "0.08,1.00,0.19,0.04,0.04,0.04,0.04,0.65,0.12,0.04,0.81,0.12", "Intent": "", "Keyword Difficulty Index": "0"}</t>
        </is>
      </c>
      <c r="G1323" t="inlineStr">
        <is>
          <t>Raw (Semrush)</t>
        </is>
      </c>
    </row>
    <row r="1324">
      <c r="A1324" t="inlineStr">
        <is>
          <t>val-ma-5</t>
        </is>
      </c>
      <c r="B1324" t="inlineStr">
        <is>
          <t>phrase_these</t>
        </is>
      </c>
      <c r="C1324" t="inlineStr">
        <is>
          <t>ma</t>
        </is>
      </c>
      <c r="D1324"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4" t="inlineStr">
        <is>
          <t>2026-10-30T15:06:57+00:00</t>
        </is>
      </c>
      <c r="F1324" t="inlineStr">
        <is>
          <t>{"Keyword": "site web marrakech", "Search Volume": "90", "CPC": "0.76", "Competition": "0.18", "Number of Results": "0", "Trends": "0.64,0.50,0.79,0.64,0.64,0.50,1.00,1.00,0.36,1.00,0.50,0.36", "Intent": "", "Keyword Difficulty Index": "0"}</t>
        </is>
      </c>
      <c r="G1324" t="inlineStr">
        <is>
          <t>Raw (Semrush)</t>
        </is>
      </c>
    </row>
    <row r="1325">
      <c r="A1325" t="inlineStr">
        <is>
          <t>val-ma-5</t>
        </is>
      </c>
      <c r="B1325" t="inlineStr">
        <is>
          <t>phrase_these</t>
        </is>
      </c>
      <c r="C1325" t="inlineStr">
        <is>
          <t>ma</t>
        </is>
      </c>
      <c r="D1325"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5" t="inlineStr">
        <is>
          <t>2026-10-30T15:06:57+00:00</t>
        </is>
      </c>
      <c r="F1325" t="inlineStr">
        <is>
          <t>{"Keyword": "site web pharmacie", "Search Volume": "10", "CPC": "0", "Competition": "0.08", "Number of Results": "0", "Trends": "0.33,0.33,0.33,1.00,0.33,0.33,0.33,0.33,0.33,0.33,0.33,0.33", "Intent": "", "Keyword Difficulty Index": "0"}</t>
        </is>
      </c>
      <c r="G1325" t="inlineStr">
        <is>
          <t>Raw (Semrush)</t>
        </is>
      </c>
    </row>
    <row r="1326">
      <c r="A1326" t="inlineStr">
        <is>
          <t>val-ma-5</t>
        </is>
      </c>
      <c r="B1326" t="inlineStr">
        <is>
          <t>phrase_these</t>
        </is>
      </c>
      <c r="C1326" t="inlineStr">
        <is>
          <t>ma</t>
        </is>
      </c>
      <c r="D1326"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6" t="inlineStr">
        <is>
          <t>2026-10-30T15:06:57+00:00</t>
        </is>
      </c>
      <c r="F1326" t="inlineStr">
        <is>
          <t>{"Keyword": "site web professionnel", "Search Volume": "20", "CPC": "0.41", "Competition": "0.74", "Number of Results": "0", "Trends": "0.20,1.00,0.60,0.20,0.20,0.60,0.20,0.20,0.20,0.20,0.20,0.20", "Intent": "", "Keyword Difficulty Index": "0"}</t>
        </is>
      </c>
      <c r="G1326" t="inlineStr">
        <is>
          <t>Raw (Semrush)</t>
        </is>
      </c>
    </row>
    <row r="1327">
      <c r="A1327" t="inlineStr">
        <is>
          <t>val-ma-5</t>
        </is>
      </c>
      <c r="B1327" t="inlineStr">
        <is>
          <t>phrase_these</t>
        </is>
      </c>
      <c r="C1327" t="inlineStr">
        <is>
          <t>ma</t>
        </is>
      </c>
      <c r="D1327"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7" t="inlineStr">
        <is>
          <t>2026-10-30T15:06:57+00:00</t>
        </is>
      </c>
      <c r="F1327" t="inlineStr">
        <is>
          <t>{"Keyword": "site web rabat", "Search Volume": "20", "CPC": "0", "Competition": "0.41", "Number of Results": "0", "Trends": "0.25,0.25,1.00,0.25,0.25,0.25,0.75,0.25,0.25,0.75,0.25,0.25", "Intent": "", "Keyword Difficulty Index": "0"}</t>
        </is>
      </c>
      <c r="G1327" t="inlineStr">
        <is>
          <t>Raw (Semrush)</t>
        </is>
      </c>
    </row>
    <row r="1328">
      <c r="A1328" t="inlineStr">
        <is>
          <t>val-ma-5</t>
        </is>
      </c>
      <c r="B1328" t="inlineStr">
        <is>
          <t>phrase_these</t>
        </is>
      </c>
      <c r="C1328" t="inlineStr">
        <is>
          <t>ma</t>
        </is>
      </c>
      <c r="D1328"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8" t="inlineStr">
        <is>
          <t>2026-10-30T15:06:57+00:00</t>
        </is>
      </c>
      <c r="F1328" t="inlineStr">
        <is>
          <t>{"Keyword": "site web santé", "Search Volume": "0", "CPC": "0", "Competition": "0", "Number of Results": "0", "Trends": "0.00,0.00,0.00,0.00,0.00,0.00,0.00,0.00,0.00,0.00,0.00,0.00", "Intent": "", "Keyword Difficulty Index": "0"}</t>
        </is>
      </c>
      <c r="G1328" t="inlineStr">
        <is>
          <t>Raw (Semrush)</t>
        </is>
      </c>
    </row>
    <row r="1329">
      <c r="A1329" t="inlineStr">
        <is>
          <t>val-ma-5</t>
        </is>
      </c>
      <c r="B1329" t="inlineStr">
        <is>
          <t>phrase_these</t>
        </is>
      </c>
      <c r="C1329" t="inlineStr">
        <is>
          <t>ma</t>
        </is>
      </c>
      <c r="D1329"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29" t="inlineStr">
        <is>
          <t>2026-10-30T15:06:57+00:00</t>
        </is>
      </c>
      <c r="F1329" t="inlineStr">
        <is>
          <t>{"Keyword": "site web tanger", "Search Volume": "30", "CPC": "0.68", "Competition": "0.52", "Number of Results": "0", "Trends": "1.00,0.11,0.11,0.11,0.11,0.11,0.22,0.11,0.56,0.56,1.00,0.11", "Intent": "", "Keyword Difficulty Index": "0"}</t>
        </is>
      </c>
      <c r="G1329" t="inlineStr">
        <is>
          <t>Raw (Semrush)</t>
        </is>
      </c>
    </row>
    <row r="1330">
      <c r="A1330" t="inlineStr">
        <is>
          <t>val-ma-5</t>
        </is>
      </c>
      <c r="B1330" t="inlineStr">
        <is>
          <t>phrase_these</t>
        </is>
      </c>
      <c r="C1330" t="inlineStr">
        <is>
          <t>ma</t>
        </is>
      </c>
      <c r="D1330"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0" t="inlineStr">
        <is>
          <t>2026-10-30T15:06:57+00:00</t>
        </is>
      </c>
      <c r="F1330" t="inlineStr">
        <is>
          <t>{"Keyword": "site web université", "Search Volume": "10", "CPC": "0", "Competition": "0.33", "Number of Results": "0", "Trends": "1.00,1.00,0.33,0.33,0.67,0.33,0.33,0.33,0.33,0.33,0.33,0.33", "Intent": "", "Keyword Difficulty Index": "0"}</t>
        </is>
      </c>
      <c r="G1330" t="inlineStr">
        <is>
          <t>Raw (Semrush)</t>
        </is>
      </c>
    </row>
    <row r="1331">
      <c r="A1331" t="inlineStr">
        <is>
          <t>val-ma-5</t>
        </is>
      </c>
      <c r="B1331" t="inlineStr">
        <is>
          <t>phrase_these</t>
        </is>
      </c>
      <c r="C1331" t="inlineStr">
        <is>
          <t>ma</t>
        </is>
      </c>
      <c r="D1331"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1" t="inlineStr">
        <is>
          <t>2026-10-30T15:06:57+00:00</t>
        </is>
      </c>
      <c r="F1331" t="inlineStr">
        <is>
          <t>{"Keyword": "sitemap generator", "Search Volume": "210", "CPC": "2.08", "Competition": "0.05", "Number of Results": "0", "Trends": "0.81,1.00,0.81,0.81,0.66,0.66,0.66,0.66,0.53,0.66,0.53,0.66", "Intent": "", "Keyword Difficulty Index": "0"}</t>
        </is>
      </c>
      <c r="G1331" t="inlineStr">
        <is>
          <t>Raw (Semrush)</t>
        </is>
      </c>
    </row>
    <row r="1332">
      <c r="A1332" t="inlineStr">
        <is>
          <t>val-ma-5</t>
        </is>
      </c>
      <c r="B1332" t="inlineStr">
        <is>
          <t>phrase_these</t>
        </is>
      </c>
      <c r="C1332" t="inlineStr">
        <is>
          <t>ma</t>
        </is>
      </c>
      <c r="D1332"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2" t="inlineStr">
        <is>
          <t>2026-10-30T15:06:57+00:00</t>
        </is>
      </c>
      <c r="F1332" t="inlineStr">
        <is>
          <t>{"Keyword": "sitemap validator", "Search Volume": "10", "CPC": "0", "Competition": "0.03", "Number of Results": "0", "Trends": "0.33,0.33,0.33,0.33,0.33,0.33,0.33,0.33,1.00,0.33,0.33,0.67", "Intent": "", "Keyword Difficulty Index": "0"}</t>
        </is>
      </c>
      <c r="G1332" t="inlineStr">
        <is>
          <t>Raw (Semrush)</t>
        </is>
      </c>
    </row>
    <row r="1333">
      <c r="A1333" t="inlineStr">
        <is>
          <t>val-ma-5</t>
        </is>
      </c>
      <c r="B1333" t="inlineStr">
        <is>
          <t>phrase_these</t>
        </is>
      </c>
      <c r="C1333" t="inlineStr">
        <is>
          <t>ma</t>
        </is>
      </c>
      <c r="D1333"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3" t="inlineStr">
        <is>
          <t>2026-10-30T15:06:57+00:00</t>
        </is>
      </c>
      <c r="F1333" t="inlineStr">
        <is>
          <t>{"Keyword": "sitemap xml", "Search Volume": "210", "CPC": "1.54", "Competition": "0.04", "Number of Results": "0", "Trends": "0.54,0.65,0.65,1.00,0.81,0.81,1.00,1.00,0.81,0.81,0.65,0.81", "Intent": "", "Keyword Difficulty Index": "0"}</t>
        </is>
      </c>
      <c r="G1333" t="inlineStr">
        <is>
          <t>Raw (Semrush)</t>
        </is>
      </c>
    </row>
    <row r="1334">
      <c r="A1334" t="inlineStr">
        <is>
          <t>val-ma-5</t>
        </is>
      </c>
      <c r="B1334" t="inlineStr">
        <is>
          <t>phrase_these</t>
        </is>
      </c>
      <c r="C1334" t="inlineStr">
        <is>
          <t>ma</t>
        </is>
      </c>
      <c r="D1334"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4" t="inlineStr">
        <is>
          <t>2026-10-30T15:06:57+00:00</t>
        </is>
      </c>
      <c r="F1334" t="inlineStr">
        <is>
          <t>{"Keyword": "slug seo", "Search Volume": "10", "CPC": "0", "Competition": "0", "Number of Results": "0", "Trends": "0.50,1.00,0.00,0.50,0.25,0.25,0.50,0.00,0.25,0.25,0.25,0.00", "Intent": "", "Keyword Difficulty Index": "0"}</t>
        </is>
      </c>
      <c r="G1334" t="inlineStr">
        <is>
          <t>Raw (Semrush)</t>
        </is>
      </c>
    </row>
    <row r="1335">
      <c r="A1335" t="inlineStr">
        <is>
          <t>val-ma-5</t>
        </is>
      </c>
      <c r="B1335" t="inlineStr">
        <is>
          <t>phrase_these</t>
        </is>
      </c>
      <c r="C1335" t="inlineStr">
        <is>
          <t>ma</t>
        </is>
      </c>
      <c r="D1335"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5" t="inlineStr">
        <is>
          <t>2026-10-30T15:06:57+00:00</t>
        </is>
      </c>
      <c r="F1335" t="inlineStr">
        <is>
          <t>{"Keyword": "slug url", "Search Volume": "20", "CPC": "0", "Competition": "0.33", "Number of Results": "0", "Trends": "0.20,1.00,0.20,0.60,0.20,0.20,0.20,0.20,0.60,0.20,0.40,0.20", "Intent": "", "Keyword Difficulty Index": "0"}</t>
        </is>
      </c>
      <c r="G1335" t="inlineStr">
        <is>
          <t>Raw (Semrush)</t>
        </is>
      </c>
    </row>
    <row r="1336">
      <c r="A1336" t="inlineStr">
        <is>
          <t>val-ma-5</t>
        </is>
      </c>
      <c r="B1336" t="inlineStr">
        <is>
          <t>phrase_these</t>
        </is>
      </c>
      <c r="C1336" t="inlineStr">
        <is>
          <t>ma</t>
        </is>
      </c>
      <c r="D1336"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6" t="inlineStr">
        <is>
          <t>2026-10-30T15:06:57+00:00</t>
        </is>
      </c>
      <c r="F1336" t="inlineStr">
        <is>
          <t>{"Keyword": "société création site web marrakech", "Search Volume": "0", "CPC": "0", "Competition": "0", "Number of Results": "0", "Trends": "0.00,0.00,0.00,0.00,0.00,0.00,0.00,0.00,0.00,0.00,0.00,0.00", "Intent": "", "Keyword Difficulty Index": "0"}</t>
        </is>
      </c>
      <c r="G1336" t="inlineStr">
        <is>
          <t>Raw (Semrush)</t>
        </is>
      </c>
    </row>
    <row r="1337">
      <c r="A1337" t="inlineStr">
        <is>
          <t>val-ma-5</t>
        </is>
      </c>
      <c r="B1337" t="inlineStr">
        <is>
          <t>phrase_these</t>
        </is>
      </c>
      <c r="C1337" t="inlineStr">
        <is>
          <t>ma</t>
        </is>
      </c>
      <c r="D1337"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7" t="inlineStr">
        <is>
          <t>2026-10-30T15:06:57+00:00</t>
        </is>
      </c>
      <c r="F1337" t="inlineStr">
        <is>
          <t>{"Keyword": "ssl checker", "Search Volume": "260", "CPC": "0.69", "Competition": "0.05", "Number of Results": "0", "Trends": "1.00,1.00,0.82,0.82,0.67,0.67,0.67,0.67,0.67,0.54,0.67,0.54", "Intent": "", "Keyword Difficulty Index": "0"}</t>
        </is>
      </c>
      <c r="G1337" t="inlineStr">
        <is>
          <t>Raw (Semrush)</t>
        </is>
      </c>
    </row>
    <row r="1338">
      <c r="A1338" t="inlineStr">
        <is>
          <t>val-ma-5</t>
        </is>
      </c>
      <c r="B1338" t="inlineStr">
        <is>
          <t>phrase_these</t>
        </is>
      </c>
      <c r="C1338" t="inlineStr">
        <is>
          <t>ma</t>
        </is>
      </c>
      <c r="D1338"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8" t="inlineStr">
        <is>
          <t>2026-10-30T15:06:57+00:00</t>
        </is>
      </c>
      <c r="F1338" t="inlineStr">
        <is>
          <t>{"Keyword": "tarif site web", "Search Volume": "10", "CPC": "0", "Competition": "0", "Number of Results": "0", "Trends": "1.00,1.00,0.00,1.00,1.00,0.00,1.00,1.00,0.00,1.00,0.00,0.00", "Intent": "", "Keyword Difficulty Index": "0"}</t>
        </is>
      </c>
      <c r="G1338" t="inlineStr">
        <is>
          <t>Raw (Semrush)</t>
        </is>
      </c>
    </row>
    <row r="1339">
      <c r="A1339" t="inlineStr">
        <is>
          <t>val-ma-5</t>
        </is>
      </c>
      <c r="B1339" t="inlineStr">
        <is>
          <t>phrase_these</t>
        </is>
      </c>
      <c r="C1339" t="inlineStr">
        <is>
          <t>ma</t>
        </is>
      </c>
      <c r="D1339"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39" t="inlineStr">
        <is>
          <t>2026-10-30T15:06:57+00:00</t>
        </is>
      </c>
      <c r="F1339" t="inlineStr">
        <is>
          <t>{"Keyword": "test dns", "Search Volume": "110", "CPC": "0", "Competition": "0.01", "Number of Results": "0", "Trends": "0.79,0.79,0.64,1.00,0.79,0.64,1.00,0.64,1.00,1.00,0.79,0.79", "Intent": "", "Keyword Difficulty Index": "0"}</t>
        </is>
      </c>
      <c r="G1339" t="inlineStr">
        <is>
          <t>Raw (Semrush)</t>
        </is>
      </c>
    </row>
    <row r="1340">
      <c r="A1340" t="inlineStr">
        <is>
          <t>val-ma-5</t>
        </is>
      </c>
      <c r="B1340" t="inlineStr">
        <is>
          <t>phrase_these</t>
        </is>
      </c>
      <c r="C1340" t="inlineStr">
        <is>
          <t>ma</t>
        </is>
      </c>
      <c r="D1340"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40" t="inlineStr">
        <is>
          <t>2026-10-30T15:06:57+00:00</t>
        </is>
      </c>
      <c r="F1340" t="inlineStr">
        <is>
          <t>{"Keyword": "test mobile friendly", "Search Volume": "10", "CPC": "0", "Competition": "0.33", "Number of Results": "0", "Trends": "0.25,0.25,0.25,0.25,0.25,0.25,0.25,0.75,0.25,0.25,0.25,1.00", "Intent": "", "Keyword Difficulty Index": "0"}</t>
        </is>
      </c>
      <c r="G1340" t="inlineStr">
        <is>
          <t>Raw (Semrush)</t>
        </is>
      </c>
    </row>
    <row r="1341">
      <c r="A1341" t="inlineStr">
        <is>
          <t>val-ma-5</t>
        </is>
      </c>
      <c r="B1341" t="inlineStr">
        <is>
          <t>phrase_these</t>
        </is>
      </c>
      <c r="C1341" t="inlineStr">
        <is>
          <t>ma</t>
        </is>
      </c>
      <c r="D1341"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41" t="inlineStr">
        <is>
          <t>2026-10-30T15:06:57+00:00</t>
        </is>
      </c>
      <c r="F1341" t="inlineStr">
        <is>
          <t>{"Keyword": "test redirection", "Search Volume": "10", "CPC": "0", "Competition": "0.33", "Number of Results": "0", "Trends": "0.33,0.33,0.33,0.33,0.33,0.33,0.33,0.67,0.33,1.00,0.33,0.33", "Intent": "", "Keyword Difficulty Index": "0"}</t>
        </is>
      </c>
      <c r="G1341" t="inlineStr">
        <is>
          <t>Raw (Semrush)</t>
        </is>
      </c>
    </row>
    <row r="1342">
      <c r="A1342" t="inlineStr">
        <is>
          <t>val-ma-5</t>
        </is>
      </c>
      <c r="B1342" t="inlineStr">
        <is>
          <t>phrase_these</t>
        </is>
      </c>
      <c r="C1342" t="inlineStr">
        <is>
          <t>ma</t>
        </is>
      </c>
      <c r="D1342" t="inlineStr">
        <is>
          <t>schema faq;schema localbusiness;schema markup;score autorité domaine;score de lisibilité;script chatbot;security headers;seo casablanca;seo immobilier;seo local maroc;seo maroc;seo marrakech;serp preview;simulateur google;simulateur googlebot;simulateur serp;site agence de voyage;site agence de voyage maroc;site architecte;site cabinet médical;site de télémédecine;site de vente en ligne maroc;site e commerce;site e-commerce dentaire;site e-commerce maroc;site ecommerce maroc;site fintech;site immobilier;site immobilier maroc;site internet cabinet médical;site internet maroc;site internet médecin;site internet école;site médecin;site prêt à lancer;site responsive test;site universitaire;site vitrine c'est quoi;site vitrine maroc;site web agadir;site web agence de voyage;site web agence immobilière;site web agence études à l'étranger;site web architecte;site web cabinet immigration;site web cabinet médical;site web casablanca;site web clinique;site web clinique maroc;site web dentiste;si</t>
        </is>
      </c>
      <c r="E1342" t="inlineStr">
        <is>
          <t>2026-10-30T15:06:57+00:00</t>
        </is>
      </c>
      <c r="F1342" t="inlineStr">
        <is>
          <t>{"Keyword": "test robots.txt", "Search Volume": "20", "CPC": "0", "Competition": "0.04", "Number of Results": "0", "Trends": "0.20,0.20,0.20,1.00,0.20,0.20,0.20,0.20,0.20,0.60,0.40,0.20", "Intent": "", "Keyword Difficulty Index": "0"}</t>
        </is>
      </c>
      <c r="G1342" t="inlineStr">
        <is>
          <t>Raw (Semrush)</t>
        </is>
      </c>
    </row>
    <row r="1343">
      <c r="A1343" t="inlineStr">
        <is>
          <t>val-ma-6</t>
        </is>
      </c>
      <c r="B1343" t="inlineStr">
        <is>
          <t>phrase_these</t>
        </is>
      </c>
      <c r="C1343" t="inlineStr">
        <is>
          <t>ma</t>
        </is>
      </c>
      <c r="D1343"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43" t="inlineStr">
        <is>
          <t>2026-10-30T15:06:58+00:00</t>
        </is>
      </c>
      <c r="F1343" t="inlineStr">
        <is>
          <t>{"Keyword": "test site web gratuit", "Search Volume": "20", "CPC": "0", "Competition": "0.39", "Number of Results": "0", "Trends": "0.29,0.29,1.00,0.14,0.14,0.14,0.14,0.43,0.29,0.14,0.14,0.14", "Intent": "", "Keyword Difficulty Index": "0"}</t>
        </is>
      </c>
      <c r="G1343" t="inlineStr">
        <is>
          <t>Raw (Semrush)</t>
        </is>
      </c>
    </row>
    <row r="1344">
      <c r="A1344" t="inlineStr">
        <is>
          <t>val-ma-6</t>
        </is>
      </c>
      <c r="B1344" t="inlineStr">
        <is>
          <t>phrase_these</t>
        </is>
      </c>
      <c r="C1344" t="inlineStr">
        <is>
          <t>ma</t>
        </is>
      </c>
      <c r="D1344"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44" t="inlineStr">
        <is>
          <t>2026-10-30T15:06:58+00:00</t>
        </is>
      </c>
      <c r="F1344" t="inlineStr">
        <is>
          <t>{"Keyword": "test ssl", "Search Volume": "20", "CPC": "0", "Competition": "0.02", "Number of Results": "0", "Trends": "0.43,0.14,0.14,0.14,1.00,0.14,0.29,0.57,0.14,0.14,0.14,0.14", "Intent": "", "Keyword Difficulty Index": "0"}</t>
        </is>
      </c>
      <c r="G1344" t="inlineStr">
        <is>
          <t>Raw (Semrush)</t>
        </is>
      </c>
    </row>
    <row r="1345">
      <c r="A1345" t="inlineStr">
        <is>
          <t>val-ma-6</t>
        </is>
      </c>
      <c r="B1345" t="inlineStr">
        <is>
          <t>phrase_these</t>
        </is>
      </c>
      <c r="C1345" t="inlineStr">
        <is>
          <t>ma</t>
        </is>
      </c>
      <c r="D1345"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45" t="inlineStr">
        <is>
          <t>2026-10-30T15:06:58+00:00</t>
        </is>
      </c>
      <c r="F1345" t="inlineStr">
        <is>
          <t>{"Keyword": "test vitesse site", "Search Volume": "10", "CPC": "0", "Competition": "0.33", "Number of Results": "0", "Trends": "0.50,1.00,0.50,0.50,0.50,0.50,0.50,0.50,0.50,0.50,0.50,0.50", "Intent": "", "Keyword Difficulty Index": "0"}</t>
        </is>
      </c>
      <c r="G1345" t="inlineStr">
        <is>
          <t>Raw (Semrush)</t>
        </is>
      </c>
    </row>
    <row r="1346">
      <c r="A1346" t="inlineStr">
        <is>
          <t>val-ma-6</t>
        </is>
      </c>
      <c r="B1346" t="inlineStr">
        <is>
          <t>phrase_these</t>
        </is>
      </c>
      <c r="C1346" t="inlineStr">
        <is>
          <t>ma</t>
        </is>
      </c>
      <c r="D1346"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46" t="inlineStr">
        <is>
          <t>2026-10-30T15:06:58+00:00</t>
        </is>
      </c>
      <c r="F1346" t="inlineStr">
        <is>
          <t>{"Keyword": "test vitesse site web", "Search Volume": "20", "CPC": "0", "Competition": "0.08", "Number of Results": "0", "Trends": "1.00,0.14,0.14,0.14,0.14,0.14,0.14,0.14,0.14,0.43,0.14,0.14", "Intent": "", "Keyword Difficulty Index": "0"}</t>
        </is>
      </c>
      <c r="G1346" t="inlineStr">
        <is>
          <t>Raw (Semrush)</t>
        </is>
      </c>
    </row>
    <row r="1347">
      <c r="A1347" t="inlineStr">
        <is>
          <t>val-ma-6</t>
        </is>
      </c>
      <c r="B1347" t="inlineStr">
        <is>
          <t>phrase_these</t>
        </is>
      </c>
      <c r="C1347" t="inlineStr">
        <is>
          <t>ma</t>
        </is>
      </c>
      <c r="D1347"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47" t="inlineStr">
        <is>
          <t>2026-10-30T15:06:58+00:00</t>
        </is>
      </c>
      <c r="F1347" t="inlineStr">
        <is>
          <t>{"Keyword": "tester vitesse site web", "Search Volume": "20", "CPC": "0", "Competition": "0.08", "Number of Results": "0", "Trends": "1.00,0.14,0.14,0.14,0.14,0.14,0.14,0.14,0.14,0.43,0.14,0.14", "Intent": "", "Keyword Difficulty Index": "0"}</t>
        </is>
      </c>
      <c r="G1347" t="inlineStr">
        <is>
          <t>Raw (Semrush)</t>
        </is>
      </c>
    </row>
    <row r="1348">
      <c r="A1348" t="inlineStr">
        <is>
          <t>val-ma-6</t>
        </is>
      </c>
      <c r="B1348" t="inlineStr">
        <is>
          <t>phrase_these</t>
        </is>
      </c>
      <c r="C1348" t="inlineStr">
        <is>
          <t>ma</t>
        </is>
      </c>
      <c r="D1348"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48" t="inlineStr">
        <is>
          <t>2026-10-30T15:06:58+00:00</t>
        </is>
      </c>
      <c r="F1348" t="inlineStr">
        <is>
          <t>{"Keyword": "texte lorem ipsum", "Search Volume": "90", "CPC": "0", "Competition": "0", "Number of Results": "0", "Trends": "0.79,0.64,0.64,0.50,0.64,0.79,0.50,0.50,0.79,0.50,1.00,1.00", "Intent": "", "Keyword Difficulty Index": "0"}</t>
        </is>
      </c>
      <c r="G1348" t="inlineStr">
        <is>
          <t>Raw (Semrush)</t>
        </is>
      </c>
    </row>
    <row r="1349">
      <c r="A1349" t="inlineStr">
        <is>
          <t>val-ma-6</t>
        </is>
      </c>
      <c r="B1349" t="inlineStr">
        <is>
          <t>phrase_these</t>
        </is>
      </c>
      <c r="C1349" t="inlineStr">
        <is>
          <t>ma</t>
        </is>
      </c>
      <c r="D1349"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49" t="inlineStr">
        <is>
          <t>2026-10-30T15:06:58+00:00</t>
        </is>
      </c>
      <c r="F1349" t="inlineStr">
        <is>
          <t>{"Keyword": "télémédecine maroc", "Search Volume": "10", "CPC": "0.47", "Competition": "0.17", "Number of Results": "0", "Trends": "0.25,0.25,1.00,0.50,0.25,0.25,0.25,0.25,0.25,0.25,0.25,0.25", "Intent": "", "Keyword Difficulty Index": "0"}</t>
        </is>
      </c>
      <c r="G1349" t="inlineStr">
        <is>
          <t>Raw (Semrush)</t>
        </is>
      </c>
    </row>
    <row r="1350">
      <c r="A1350" t="inlineStr">
        <is>
          <t>val-ma-6</t>
        </is>
      </c>
      <c r="B1350" t="inlineStr">
        <is>
          <t>phrase_these</t>
        </is>
      </c>
      <c r="C1350" t="inlineStr">
        <is>
          <t>ma</t>
        </is>
      </c>
      <c r="D1350"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0" t="inlineStr">
        <is>
          <t>2026-10-30T15:06:58+00:00</t>
        </is>
      </c>
      <c r="F1350" t="inlineStr">
        <is>
          <t>{"Keyword": "url canonique", "Search Volume": "30", "CPC": "0", "Competition": "0.33", "Number of Results": "0", "Trends": "0.14,0.57,0.14,0.14,0.14,1.00,0.43,0.14,0.29,0.14,1.00,0.14", "Intent": "", "Keyword Difficulty Index": "0"}</t>
        </is>
      </c>
      <c r="G1350" t="inlineStr">
        <is>
          <t>Raw (Semrush)</t>
        </is>
      </c>
    </row>
    <row r="1351">
      <c r="A1351" t="inlineStr">
        <is>
          <t>val-ma-6</t>
        </is>
      </c>
      <c r="B1351" t="inlineStr">
        <is>
          <t>phrase_these</t>
        </is>
      </c>
      <c r="C1351" t="inlineStr">
        <is>
          <t>ma</t>
        </is>
      </c>
      <c r="D1351"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1" t="inlineStr">
        <is>
          <t>2026-10-30T15:06:58+00:00</t>
        </is>
      </c>
      <c r="F1351" t="inlineStr">
        <is>
          <t>{"Keyword": "utm", "Search Volume": "590", "CPC": "0", "Competition": "0.33", "Number of Results": "109", "Trends": "0.67,1.00,0.82,0.82,0.67,0.67,0.67,0.67,0.55,0.55,0.55,0.55", "Intent": "2", "Keyword Difficulty Index": "62"}</t>
        </is>
      </c>
      <c r="G1351" t="inlineStr">
        <is>
          <t>Raw (Semrush)</t>
        </is>
      </c>
    </row>
    <row r="1352">
      <c r="A1352" t="inlineStr">
        <is>
          <t>val-ma-6</t>
        </is>
      </c>
      <c r="B1352" t="inlineStr">
        <is>
          <t>phrase_these</t>
        </is>
      </c>
      <c r="C1352" t="inlineStr">
        <is>
          <t>ma</t>
        </is>
      </c>
      <c r="D1352"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2" t="inlineStr">
        <is>
          <t>2026-10-30T15:06:58+00:00</t>
        </is>
      </c>
      <c r="F1352" t="inlineStr">
        <is>
          <t>{"Keyword": "utm builder", "Search Volume": "210", "CPC": "0", "Competition": "0.33", "Number of Results": "0", "Trends": "0.66,1.00,0.66,0.81,0.53,0.53,0.66,0.66,0.53,0.66,0.66,0.34", "Intent": "", "Keyword Difficulty Index": "0"}</t>
        </is>
      </c>
      <c r="G1352" t="inlineStr">
        <is>
          <t>Raw (Semrush)</t>
        </is>
      </c>
    </row>
    <row r="1353">
      <c r="A1353" t="inlineStr">
        <is>
          <t>val-ma-6</t>
        </is>
      </c>
      <c r="B1353" t="inlineStr">
        <is>
          <t>phrase_these</t>
        </is>
      </c>
      <c r="C1353" t="inlineStr">
        <is>
          <t>ma</t>
        </is>
      </c>
      <c r="D1353"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3" t="inlineStr">
        <is>
          <t>2026-10-30T15:06:58+00:00</t>
        </is>
      </c>
      <c r="F1353" t="inlineStr">
        <is>
          <t>{"Keyword": "vendre des formations en ligne", "Search Volume": "20", "CPC": "0", "Competition": "0.23", "Number of Results": "0", "Trends": "0.33,0.67,0.33,0.33,1.00,0.67,0.33,0.33,0.33,0.33,0.33,1.00", "Intent": "", "Keyword Difficulty Index": "0"}</t>
        </is>
      </c>
      <c r="G1353" t="inlineStr">
        <is>
          <t>Raw (Semrush)</t>
        </is>
      </c>
    </row>
    <row r="1354">
      <c r="A1354" t="inlineStr">
        <is>
          <t>val-ma-6</t>
        </is>
      </c>
      <c r="B1354" t="inlineStr">
        <is>
          <t>phrase_these</t>
        </is>
      </c>
      <c r="C1354" t="inlineStr">
        <is>
          <t>ma</t>
        </is>
      </c>
      <c r="D1354"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4" t="inlineStr">
        <is>
          <t>2026-10-30T15:06:58+00:00</t>
        </is>
      </c>
      <c r="F1354" t="inlineStr">
        <is>
          <t>{"Keyword": "vitesse site web", "Search Volume": "30", "CPC": "0", "Competition": "0.01", "Number of Results": "0", "Trends": "0.56,0.11,0.78,0.33,0.22,0.78,0.11,0.33,0.11,0.11,1.00,0.11", "Intent": "", "Keyword Difficulty Index": "0"}</t>
        </is>
      </c>
      <c r="G1354" t="inlineStr">
        <is>
          <t>Raw (Semrush)</t>
        </is>
      </c>
    </row>
    <row r="1355">
      <c r="A1355" t="inlineStr">
        <is>
          <t>val-ma-6</t>
        </is>
      </c>
      <c r="B1355" t="inlineStr">
        <is>
          <t>phrase_these</t>
        </is>
      </c>
      <c r="C1355" t="inlineStr">
        <is>
          <t>ma</t>
        </is>
      </c>
      <c r="D1355"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5" t="inlineStr">
        <is>
          <t>2026-10-30T15:06:58+00:00</t>
        </is>
      </c>
      <c r="F1355" t="inlineStr">
        <is>
          <t>{"Keyword": "vérifier certificat ssl", "Search Volume": "20", "CPC": "0", "Competition": "0.33", "Number of Results": "0", "Trends": "0.14,0.71,0.14,0.14,0.14,0.14,1.00,0.29,0.14,0.14,0.43,0.71", "Intent": "", "Keyword Difficulty Index": "0"}</t>
        </is>
      </c>
      <c r="G1355" t="inlineStr">
        <is>
          <t>Raw (Semrush)</t>
        </is>
      </c>
    </row>
    <row r="1356">
      <c r="A1356" t="inlineStr">
        <is>
          <t>val-ma-6</t>
        </is>
      </c>
      <c r="B1356" t="inlineStr">
        <is>
          <t>phrase_these</t>
        </is>
      </c>
      <c r="C1356" t="inlineStr">
        <is>
          <t>ma</t>
        </is>
      </c>
      <c r="D1356"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6" t="inlineStr">
        <is>
          <t>2026-10-30T15:06:58+00:00</t>
        </is>
      </c>
      <c r="F1356" t="inlineStr">
        <is>
          <t>{"Keyword": "vérifier domaine", "Search Volume": "20", "CPC": "0.43", "Competition": "0.91", "Number of Results": "0", "Trends": "0.11,0.11,0.22,0.11,1.00,0.44,0.11,0.11,0.11,0.22,0.56,0.11", "Intent": "", "Keyword Difficulty Index": "0"}</t>
        </is>
      </c>
      <c r="G1356" t="inlineStr">
        <is>
          <t>Raw (Semrush)</t>
        </is>
      </c>
    </row>
    <row r="1357">
      <c r="A1357" t="inlineStr">
        <is>
          <t>val-ma-6</t>
        </is>
      </c>
      <c r="B1357" t="inlineStr">
        <is>
          <t>phrase_these</t>
        </is>
      </c>
      <c r="C1357" t="inlineStr">
        <is>
          <t>ma</t>
        </is>
      </c>
      <c r="D1357"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7" t="inlineStr">
        <is>
          <t>2026-10-30T15:06:58+00:00</t>
        </is>
      </c>
      <c r="F1357" t="inlineStr">
        <is>
          <t>{"Keyword": "web agency agadir", "Search Volume": "0", "CPC": "0", "Competition": "0", "Number of Results": "0", "Trends": "0.00,0.00,0.00,0.00,0.00,0.00,0.00,0.00,0.00,0.00,0.00,0.00", "Intent": "", "Keyword Difficulty Index": "0"}</t>
        </is>
      </c>
      <c r="G1357" t="inlineStr">
        <is>
          <t>Raw (Semrush)</t>
        </is>
      </c>
    </row>
    <row r="1358">
      <c r="A1358" t="inlineStr">
        <is>
          <t>val-ma-6</t>
        </is>
      </c>
      <c r="B1358" t="inlineStr">
        <is>
          <t>phrase_these</t>
        </is>
      </c>
      <c r="C1358" t="inlineStr">
        <is>
          <t>ma</t>
        </is>
      </c>
      <c r="D1358"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8" t="inlineStr">
        <is>
          <t>2026-10-30T15:06:58+00:00</t>
        </is>
      </c>
      <c r="F1358" t="inlineStr">
        <is>
          <t>{"Keyword": "web agency casablanca", "Search Volume": "10", "CPC": "0.43", "Competition": "0.44", "Number of Results": "0", "Trends": "0.25,0.25,0.25,0.25,0.25,0.50,0.25,0.25,0.25,1.00,0.25,0.25", "Intent": "", "Keyword Difficulty Index": "0"}</t>
        </is>
      </c>
      <c r="G1358" t="inlineStr">
        <is>
          <t>Raw (Semrush)</t>
        </is>
      </c>
    </row>
    <row r="1359">
      <c r="A1359" t="inlineStr">
        <is>
          <t>val-ma-6</t>
        </is>
      </c>
      <c r="B1359" t="inlineStr">
        <is>
          <t>phrase_these</t>
        </is>
      </c>
      <c r="C1359" t="inlineStr">
        <is>
          <t>ma</t>
        </is>
      </c>
      <c r="D1359"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59" t="inlineStr">
        <is>
          <t>2026-10-30T15:06:58+00:00</t>
        </is>
      </c>
      <c r="F1359" t="inlineStr">
        <is>
          <t>{"Keyword": "web agency marrakech", "Search Volume": "20", "CPC": "0", "Competition": "0.18", "Number of Results": "0", "Trends": "0.43,0.14,0.14,0.29,0.14,1.00,0.14,0.14,0.29,0.14,0.29,0.14", "Intent": "", "Keyword Difficulty Index": "0"}</t>
        </is>
      </c>
      <c r="G1359" t="inlineStr">
        <is>
          <t>Raw (Semrush)</t>
        </is>
      </c>
    </row>
    <row r="1360">
      <c r="A1360" t="inlineStr">
        <is>
          <t>val-ma-6</t>
        </is>
      </c>
      <c r="B1360" t="inlineStr">
        <is>
          <t>phrase_these</t>
        </is>
      </c>
      <c r="C1360" t="inlineStr">
        <is>
          <t>ma</t>
        </is>
      </c>
      <c r="D1360"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60" t="inlineStr">
        <is>
          <t>2026-10-30T15:06:58+00:00</t>
        </is>
      </c>
      <c r="F1360" t="inlineStr">
        <is>
          <t>{"Keyword": "woocommerce maroc", "Search Volume": "20", "CPC": "0.27", "Competition": "0.71", "Number of Results": "0", "Trends": "0.29,0.14,0.14,0.14,0.14,0.14,0.14,1.00,0.29,0.14,0.14,0.57", "Intent": "", "Keyword Difficulty Index": "0"}</t>
        </is>
      </c>
      <c r="G1360" t="inlineStr">
        <is>
          <t>Raw (Semrush)</t>
        </is>
      </c>
    </row>
    <row r="1361">
      <c r="A1361" t="inlineStr">
        <is>
          <t>val-ma-6</t>
        </is>
      </c>
      <c r="B1361" t="inlineStr">
        <is>
          <t>phrase_these</t>
        </is>
      </c>
      <c r="C1361" t="inlineStr">
        <is>
          <t>ma</t>
        </is>
      </c>
      <c r="D1361" t="inlineStr">
        <is>
          <t>test site web gratuit;test ssl;test vitesse site;test vitesse site web;tester données structurées;tester robots.txt;tester vitesse site web;texte alternatif image;texte lorem ipsum;trier lignes;trouver mots clés;téléconsultation maroc;téléconsultation site;télémédecine maroc;url canonique;utm;utm builder;validateur robots.txt;valider robots.txt;valider sitemap;vendre des formations en ligne;visualisation crawl;visualiser maillage interne;vitesse site web;voir page comme googlebot;vérifier autorité domaine;vérifier balises h1;vérifier canonical;vérifier certificat ssl;vérifier contenu dupliqué;vérifier dns;vérifier domaine;vérifier lien nofollow;vérifier liens cassés;vérifier redirection;vérifier robots.txt;vérifier site avant mise en ligne;vérifier sitemap;web agency agadir;web agency casablanca;web agency marrakech;web agency rabat;web agency tanger;woocommerce maroc;wordpress ou site sur mesure;école de langue allemande;école de langues maroc;éditer url en masse;éditeur de texte en l</t>
        </is>
      </c>
      <c r="E1361" t="inlineStr">
        <is>
          <t>2026-10-30T15:06:58+00:00</t>
        </is>
      </c>
      <c r="F1361" t="inlineStr">
        <is>
          <t>{"Keyword": "éditeur de texte en ligne", "Search Volume": "10", "CPC": "0", "Competition": "0.05", "Number of Results": "0", "Trends": "0.25,1.00,0.25,0.25,0.25,0.25,0.25,0.50,0.25,0.25,0.25,0.25", "Intent": "", "Keyword Difficulty Index": "0"}</t>
        </is>
      </c>
      <c r="G1361" t="inlineStr">
        <is>
          <t>Raw (Semrush)</t>
        </is>
      </c>
    </row>
    <row r="1362">
      <c r="A1362" t="inlineStr">
        <is>
          <t>val-ng-0</t>
        </is>
      </c>
      <c r="B1362" t="inlineStr">
        <is>
          <t>phrase_these</t>
        </is>
      </c>
      <c r="C1362" t="inlineStr">
        <is>
          <t>ng</t>
        </is>
      </c>
      <c r="D1362" t="inlineStr">
        <is>
          <t>agence web lagos;création site web lagos;développement web lagos;web development company lagos</t>
        </is>
      </c>
      <c r="E1362" t="inlineStr">
        <is>
          <t>2026-10-30T15:06:59+00:00</t>
        </is>
      </c>
      <c r="F1362" t="inlineStr">
        <is>
          <t>NO_DATA (Semrush returned no rows; not billed)</t>
        </is>
      </c>
      <c r="G1362" t="inlineStr">
        <is>
          <t>Raw (Semrush)</t>
        </is>
      </c>
    </row>
    <row r="1363">
      <c r="A1363" t="inlineStr">
        <is>
          <t>val-nl-0</t>
        </is>
      </c>
      <c r="B1363" t="inlineStr">
        <is>
          <t>phrase_these</t>
        </is>
      </c>
      <c r="C1363" t="inlineStr">
        <is>
          <t>nl</t>
        </is>
      </c>
      <c r="D1363" t="inlineStr">
        <is>
          <t>agence web amsterdam;création site web amsterdam;développement web amsterdam;web development amsterdam</t>
        </is>
      </c>
      <c r="E1363" t="inlineStr">
        <is>
          <t>2026-10-30T15:07:00+00:00</t>
        </is>
      </c>
      <c r="F1363" t="inlineStr">
        <is>
          <t>{"Keyword": "web development amsterdam", "Search Volume": "260", "CPC": "4.56", "Competition": "0.39", "Number of Results": "97", "Trends": "0.54,1.00,0.81,0.54,0.54,0.54,0.44,0.35,0.54,0.35,0.18,0.18", "Intent": "0", "Keyword Difficulty Index": "14"}</t>
        </is>
      </c>
      <c r="G1363" t="inlineStr">
        <is>
          <t>Raw (Semrush)</t>
        </is>
      </c>
    </row>
    <row r="1364">
      <c r="A1364" t="inlineStr">
        <is>
          <t>val-pt-0</t>
        </is>
      </c>
      <c r="B1364" t="inlineStr">
        <is>
          <t>phrase_these</t>
        </is>
      </c>
      <c r="C1364" t="inlineStr">
        <is>
          <t>pt</t>
        </is>
      </c>
      <c r="D1364" t="inlineStr">
        <is>
          <t>agence web lisbonne;création site web lisbonne;desenvolvimento web lisboa;développement web lisbonne</t>
        </is>
      </c>
      <c r="E1364" t="inlineStr">
        <is>
          <t>2026-10-30T15:07:01+00:00</t>
        </is>
      </c>
      <c r="F1364" t="inlineStr">
        <is>
          <t>{"Keyword": "agence web lisbonne", "Search Volume": "0", "CPC": "0", "Competition": "0", "Number of Results": "0", "Trends": "0.00,0.00,0.00,0.00,0.00,0.00,0.00,0.00,0.00,0.00,0.00,0.00", "Intent": "", "Keyword Difficulty Index": "0"}</t>
        </is>
      </c>
      <c r="G1364" t="inlineStr">
        <is>
          <t>Raw (Semrush)</t>
        </is>
      </c>
    </row>
    <row r="1365">
      <c r="A1365" t="inlineStr">
        <is>
          <t>val-sa-0</t>
        </is>
      </c>
      <c r="B1365" t="inlineStr">
        <is>
          <t>phrase_these</t>
        </is>
      </c>
      <c r="C1365" t="inlineStr">
        <is>
          <t>sa</t>
        </is>
      </c>
      <c r="D1365" t="inlineStr">
        <is>
          <t>agence web riyad;création site web riyad;développement web riyad;web development company riyadh</t>
        </is>
      </c>
      <c r="E1365" t="inlineStr">
        <is>
          <t>2026-10-30T15:07:03+00:00</t>
        </is>
      </c>
      <c r="F1365" t="inlineStr">
        <is>
          <t>{"Keyword": "web development company riyadh", "Search Volume": "0", "CPC": "0", "Competition": "0", "Number of Results": "0", "Trends": "0.00,0.00,0.00,0.00,0.00,0.00,0.00,0.00,0.00,0.00,0.00,0.00", "Intent": "", "Keyword Difficulty Index": "0"}</t>
        </is>
      </c>
      <c r="G1365" t="inlineStr">
        <is>
          <t>Raw (Semrush)</t>
        </is>
      </c>
    </row>
    <row r="1366">
      <c r="A1366" t="inlineStr">
        <is>
          <t>val-se-0</t>
        </is>
      </c>
      <c r="B1366" t="inlineStr">
        <is>
          <t>phrase_these</t>
        </is>
      </c>
      <c r="C1366" t="inlineStr">
        <is>
          <t>se</t>
        </is>
      </c>
      <c r="D1366" t="inlineStr">
        <is>
          <t>agence web stockholm;création site web stockholm;développement web stockholm;webbyrå stockholm</t>
        </is>
      </c>
      <c r="E1366" t="inlineStr">
        <is>
          <t>2026-10-30T15:07:04+00:00</t>
        </is>
      </c>
      <c r="F1366" t="inlineStr">
        <is>
          <t>{"Keyword": "agence web stockholm", "Search Volume": "0", "CPC": "0", "Competition": "0", "Number of Results": "0", "Trends": "0.00,0.00,0.00,0.00,0.00,0.00,0.00,0.00,0.00,0.00,0.00,0.00", "Intent": "", "Keyword Difficulty Index": "0"}</t>
        </is>
      </c>
      <c r="G1366" t="inlineStr">
        <is>
          <t>Raw (Semrush)</t>
        </is>
      </c>
    </row>
    <row r="1367">
      <c r="A1367" t="inlineStr">
        <is>
          <t>val-se-0</t>
        </is>
      </c>
      <c r="B1367" t="inlineStr">
        <is>
          <t>phrase_these</t>
        </is>
      </c>
      <c r="C1367" t="inlineStr">
        <is>
          <t>se</t>
        </is>
      </c>
      <c r="D1367" t="inlineStr">
        <is>
          <t>agence web stockholm;création site web stockholm;développement web stockholm;webbyrå stockholm</t>
        </is>
      </c>
      <c r="E1367" t="inlineStr">
        <is>
          <t>2026-10-30T15:07:04+00:00</t>
        </is>
      </c>
      <c r="F1367" t="inlineStr">
        <is>
          <t>{"Keyword": "webbyrå stockholm", "Search Volume": "1300", "CPC": "8.58", "Competition": "0.51", "Number of Results": "111", "Trends": "0.20,0.37,1.00,0.37,0.30,0.25,0.30,0.37,0.42,1.00,1.00,1.00", "Intent": "0", "Keyword Difficulty Index": "53"}</t>
        </is>
      </c>
      <c r="G1367" t="inlineStr">
        <is>
          <t>Raw (Semrush)</t>
        </is>
      </c>
    </row>
    <row r="1368">
      <c r="A1368" t="inlineStr">
        <is>
          <t>val-sn-0</t>
        </is>
      </c>
      <c r="B1368" t="inlineStr">
        <is>
          <t>phrase_these</t>
        </is>
      </c>
      <c r="C1368" t="inlineStr">
        <is>
          <t>sn</t>
        </is>
      </c>
      <c r="D1368"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68" t="inlineStr">
        <is>
          <t>2026-10-30T15:07:06+00:00</t>
        </is>
      </c>
      <c r="F1368" t="inlineStr">
        <is>
          <t>{"Keyword": "agence de développement web", "Search Volume": "20", "CPC": "0", "Competition": "0", "Number of Results": "0", "Trends": "0.80,0.00,0.60,0.60,1.00,0.20,0.20,0.20,1.00,0.00,0.20,0.00", "Intent": "", "Keyword Difficulty Index": "0"}</t>
        </is>
      </c>
      <c r="G1368" t="inlineStr">
        <is>
          <t>Raw (Semrush)</t>
        </is>
      </c>
    </row>
    <row r="1369">
      <c r="A1369" t="inlineStr">
        <is>
          <t>val-sn-0</t>
        </is>
      </c>
      <c r="B1369" t="inlineStr">
        <is>
          <t>phrase_these</t>
        </is>
      </c>
      <c r="C1369" t="inlineStr">
        <is>
          <t>sn</t>
        </is>
      </c>
      <c r="D1369"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69" t="inlineStr">
        <is>
          <t>2026-10-30T15:07:06+00:00</t>
        </is>
      </c>
      <c r="F1369" t="inlineStr">
        <is>
          <t>{"Keyword": "agence digitale", "Search Volume": "20", "CPC": "0", "Competition": "0.14", "Number of Results": "0", "Trends": "0.20,0.80,0.20,0.20,0.20,0.20,0.20,0.20,0.80,1.00,0.20,0.20", "Intent": "", "Keyword Difficulty Index": "0"}</t>
        </is>
      </c>
      <c r="G1369" t="inlineStr">
        <is>
          <t>Raw (Semrush)</t>
        </is>
      </c>
    </row>
    <row r="1370">
      <c r="A1370" t="inlineStr">
        <is>
          <t>val-sn-0</t>
        </is>
      </c>
      <c r="B1370" t="inlineStr">
        <is>
          <t>phrase_these</t>
        </is>
      </c>
      <c r="C1370" t="inlineStr">
        <is>
          <t>sn</t>
        </is>
      </c>
      <c r="D1370"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0" t="inlineStr">
        <is>
          <t>2026-10-30T15:07:06+00:00</t>
        </is>
      </c>
      <c r="F1370" t="inlineStr">
        <is>
          <t>{"Keyword": "agence seo", "Search Volume": "20", "CPC": "0", "Competition": "0.29", "Number of Results": "0", "Trends": "0.25,0.25,0.25,0.50,1.00,0.25,0.25,0.25,0.50,0.25,0.25,0.75", "Intent": "", "Keyword Difficulty Index": "0"}</t>
        </is>
      </c>
      <c r="G1370" t="inlineStr">
        <is>
          <t>Raw (Semrush)</t>
        </is>
      </c>
    </row>
    <row r="1371">
      <c r="A1371" t="inlineStr">
        <is>
          <t>val-sn-0</t>
        </is>
      </c>
      <c r="B1371" t="inlineStr">
        <is>
          <t>phrase_these</t>
        </is>
      </c>
      <c r="C1371" t="inlineStr">
        <is>
          <t>sn</t>
        </is>
      </c>
      <c r="D1371"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1" t="inlineStr">
        <is>
          <t>2026-10-30T15:07:06+00:00</t>
        </is>
      </c>
      <c r="F1371" t="inlineStr">
        <is>
          <t>{"Keyword": "agence web", "Search Volume": "30", "CPC": "0", "Competition": "0.09", "Number of Results": "243000000", "Trends": "0.33,0.78,0.11,0.11,0.78,0.11,0.22,0.11,0.11,1.00,0.11,1.00", "Intent": "0", "Keyword Difficulty Index": "17"}</t>
        </is>
      </c>
      <c r="G1371" t="inlineStr">
        <is>
          <t>Raw (Semrush)</t>
        </is>
      </c>
    </row>
    <row r="1372">
      <c r="A1372" t="inlineStr">
        <is>
          <t>val-sn-0</t>
        </is>
      </c>
      <c r="B1372" t="inlineStr">
        <is>
          <t>phrase_these</t>
        </is>
      </c>
      <c r="C1372" t="inlineStr">
        <is>
          <t>sn</t>
        </is>
      </c>
      <c r="D1372"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2" t="inlineStr">
        <is>
          <t>2026-10-30T15:07:06+00:00</t>
        </is>
      </c>
      <c r="F1372" t="inlineStr">
        <is>
          <t>{"Keyword": "agence web dakar", "Search Volume": "20", "CPC": "0", "Competition": "0.33", "Number of Results": "0", "Trends": "0.57,0.14,0.14,0.14,1.00,0.14,0.14,0.14,0.43,0.14,0.14,0.14", "Intent": "", "Keyword Difficulty Index": "0"}</t>
        </is>
      </c>
      <c r="G1372" t="inlineStr">
        <is>
          <t>Raw (Semrush)</t>
        </is>
      </c>
    </row>
    <row r="1373">
      <c r="A1373" t="inlineStr">
        <is>
          <t>val-sn-0</t>
        </is>
      </c>
      <c r="B1373" t="inlineStr">
        <is>
          <t>phrase_these</t>
        </is>
      </c>
      <c r="C1373" t="inlineStr">
        <is>
          <t>sn</t>
        </is>
      </c>
      <c r="D1373"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3" t="inlineStr">
        <is>
          <t>2026-10-30T15:07:06+00:00</t>
        </is>
      </c>
      <c r="F1373" t="inlineStr">
        <is>
          <t>{"Keyword": "agence web maroc", "Search Volume": "0", "CPC": "0", "Competition": "0", "Number of Results": "0", "Trends": "0.00,0.00,0.00,0.00,0.00,0.00,0.00,0.00,0.00,0.00,0.00,0.00", "Intent": "", "Keyword Difficulty Index": "0"}</t>
        </is>
      </c>
      <c r="G1373" t="inlineStr">
        <is>
          <t>Raw (Semrush)</t>
        </is>
      </c>
    </row>
    <row r="1374">
      <c r="A1374" t="inlineStr">
        <is>
          <t>val-sn-0</t>
        </is>
      </c>
      <c r="B1374" t="inlineStr">
        <is>
          <t>phrase_these</t>
        </is>
      </c>
      <c r="C1374" t="inlineStr">
        <is>
          <t>sn</t>
        </is>
      </c>
      <c r="D1374"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4" t="inlineStr">
        <is>
          <t>2026-10-30T15:07:06+00:00</t>
        </is>
      </c>
      <c r="F1374" t="inlineStr">
        <is>
          <t>{"Keyword": "agence web offshore", "Search Volume": "0", "CPC": "0", "Competition": "0", "Number of Results": "0", "Trends": "0.00,0.00,0.00,0.00,0.00,0.00,0.00,0.00,0.00,0.00,0.00,0.00", "Intent": "", "Keyword Difficulty Index": "0"}</t>
        </is>
      </c>
      <c r="G1374" t="inlineStr">
        <is>
          <t>Raw (Semrush)</t>
        </is>
      </c>
    </row>
    <row r="1375">
      <c r="A1375" t="inlineStr">
        <is>
          <t>val-sn-0</t>
        </is>
      </c>
      <c r="B1375" t="inlineStr">
        <is>
          <t>phrase_these</t>
        </is>
      </c>
      <c r="C1375" t="inlineStr">
        <is>
          <t>sn</t>
        </is>
      </c>
      <c r="D1375"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5" t="inlineStr">
        <is>
          <t>2026-10-30T15:07:06+00:00</t>
        </is>
      </c>
      <c r="F1375" t="inlineStr">
        <is>
          <t>{"Keyword": "agence web pas cher", "Search Volume": "0", "CPC": "0", "Competition": "0", "Number of Results": "0", "Trends": "0.00,0.00,0.00,0.00,0.00,0.00,0.00,0.00,0.00,0.00,0.00,0.00", "Intent": "", "Keyword Difficulty Index": "0"}</t>
        </is>
      </c>
      <c r="G1375" t="inlineStr">
        <is>
          <t>Raw (Semrush)</t>
        </is>
      </c>
    </row>
    <row r="1376">
      <c r="A1376" t="inlineStr">
        <is>
          <t>val-sn-0</t>
        </is>
      </c>
      <c r="B1376" t="inlineStr">
        <is>
          <t>phrase_these</t>
        </is>
      </c>
      <c r="C1376" t="inlineStr">
        <is>
          <t>sn</t>
        </is>
      </c>
      <c r="D1376"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6" t="inlineStr">
        <is>
          <t>2026-10-30T15:07:06+00:00</t>
        </is>
      </c>
      <c r="F1376" t="inlineStr">
        <is>
          <t>{"Keyword": "conception site web", "Search Volume": "20", "CPC": "0", "Competition": "0.86", "Number of Results": "0", "Trends": "0.60,1.00,0.60,0.20,1.00,0.20,0.40,0.20,0.20,0.80,0.20,0.20", "Intent": "", "Keyword Difficulty Index": "0"}</t>
        </is>
      </c>
      <c r="G1376" t="inlineStr">
        <is>
          <t>Raw (Semrush)</t>
        </is>
      </c>
    </row>
    <row r="1377">
      <c r="A1377" t="inlineStr">
        <is>
          <t>val-sn-0</t>
        </is>
      </c>
      <c r="B1377" t="inlineStr">
        <is>
          <t>phrase_these</t>
        </is>
      </c>
      <c r="C1377" t="inlineStr">
        <is>
          <t>sn</t>
        </is>
      </c>
      <c r="D1377"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7" t="inlineStr">
        <is>
          <t>2026-10-30T15:07:06+00:00</t>
        </is>
      </c>
      <c r="F1377" t="inlineStr">
        <is>
          <t>{"Keyword": "création application web", "Search Volume": "0", "CPC": "0", "Competition": "0", "Number of Results": "0", "Trends": "0.00,0.00,0.00,0.00,0.00,0.00,0.00,0.00,0.00,0.00,0.00,0.00", "Intent": "", "Keyword Difficulty Index": "0"}</t>
        </is>
      </c>
      <c r="G1377" t="inlineStr">
        <is>
          <t>Raw (Semrush)</t>
        </is>
      </c>
    </row>
    <row r="1378">
      <c r="A1378" t="inlineStr">
        <is>
          <t>val-sn-0</t>
        </is>
      </c>
      <c r="B1378" t="inlineStr">
        <is>
          <t>phrase_these</t>
        </is>
      </c>
      <c r="C1378" t="inlineStr">
        <is>
          <t>sn</t>
        </is>
      </c>
      <c r="D1378"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8" t="inlineStr">
        <is>
          <t>2026-10-30T15:07:06+00:00</t>
        </is>
      </c>
      <c r="F1378" t="inlineStr">
        <is>
          <t>{"Keyword": "création boutique en ligne", "Search Volume": "20", "CPC": "0.37", "Competition": "0.76", "Number of Results": "0", "Trends": "0.11,0.11,0.11,0.33,0.11,0.11,0.33,0.11,0.11,0.56,0.11,1.00", "Intent": "", "Keyword Difficulty Index": "0"}</t>
        </is>
      </c>
      <c r="G1378" t="inlineStr">
        <is>
          <t>Raw (Semrush)</t>
        </is>
      </c>
    </row>
    <row r="1379">
      <c r="A1379" t="inlineStr">
        <is>
          <t>val-sn-0</t>
        </is>
      </c>
      <c r="B1379" t="inlineStr">
        <is>
          <t>phrase_these</t>
        </is>
      </c>
      <c r="C1379" t="inlineStr">
        <is>
          <t>sn</t>
        </is>
      </c>
      <c r="D1379"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79" t="inlineStr">
        <is>
          <t>2026-10-30T15:07:06+00:00</t>
        </is>
      </c>
      <c r="F1379" t="inlineStr">
        <is>
          <t>{"Keyword": "création site e-commerce", "Search Volume": "20", "CPC": "0", "Competition": "0.86", "Number of Results": "0", "Trends": "0.14,0.14,0.14,0.14,0.14,0.14,0.43,1.00,1.00,0.29,0.14,0.14", "Intent": "", "Keyword Difficulty Index": "0"}</t>
        </is>
      </c>
      <c r="G1379" t="inlineStr">
        <is>
          <t>Raw (Semrush)</t>
        </is>
      </c>
    </row>
    <row r="1380">
      <c r="A1380" t="inlineStr">
        <is>
          <t>val-sn-0</t>
        </is>
      </c>
      <c r="B1380" t="inlineStr">
        <is>
          <t>phrase_these</t>
        </is>
      </c>
      <c r="C1380" t="inlineStr">
        <is>
          <t>sn</t>
        </is>
      </c>
      <c r="D1380"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0" t="inlineStr">
        <is>
          <t>2026-10-30T15:07:06+00:00</t>
        </is>
      </c>
      <c r="F1380" t="inlineStr">
        <is>
          <t>{"Keyword": "création site internet", "Search Volume": "20", "CPC": "0.44", "Competition": "0.57", "Number of Results": "0", "Trends": "1.00,0.20,0.20,0.20,0.40,0.20,0.20,0.20,0.40,0.20,0.20,0.20", "Intent": "", "Keyword Difficulty Index": "0"}</t>
        </is>
      </c>
      <c r="G1380" t="inlineStr">
        <is>
          <t>Raw (Semrush)</t>
        </is>
      </c>
    </row>
    <row r="1381">
      <c r="A1381" t="inlineStr">
        <is>
          <t>val-sn-0</t>
        </is>
      </c>
      <c r="B1381" t="inlineStr">
        <is>
          <t>phrase_these</t>
        </is>
      </c>
      <c r="C1381" t="inlineStr">
        <is>
          <t>sn</t>
        </is>
      </c>
      <c r="D1381"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1" t="inlineStr">
        <is>
          <t>2026-10-30T15:07:06+00:00</t>
        </is>
      </c>
      <c r="F1381" t="inlineStr">
        <is>
          <t>{"Keyword": "création site vitrine", "Search Volume": "10", "CPC": "0", "Competition": "0.86", "Number of Results": "0", "Trends": "0.00,0.20,0.00,0.20,0.00,0.00,1.00,0.00,0.00,0.00,0.60,1.00", "Intent": "", "Keyword Difficulty Index": "0"}</t>
        </is>
      </c>
      <c r="G1381" t="inlineStr">
        <is>
          <t>Raw (Semrush)</t>
        </is>
      </c>
    </row>
    <row r="1382">
      <c r="A1382" t="inlineStr">
        <is>
          <t>val-sn-0</t>
        </is>
      </c>
      <c r="B1382" t="inlineStr">
        <is>
          <t>phrase_these</t>
        </is>
      </c>
      <c r="C1382" t="inlineStr">
        <is>
          <t>sn</t>
        </is>
      </c>
      <c r="D1382"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2" t="inlineStr">
        <is>
          <t>2026-10-30T15:07:06+00:00</t>
        </is>
      </c>
      <c r="F1382" t="inlineStr">
        <is>
          <t>{"Keyword": "création site web", "Search Volume": "20", "CPC": "0.56", "Competition": "0.67", "Number of Results": "0", "Trends": "0.14,0.14,1.00,0.14,0.14,0.14,0.43,0.14,0.14,0.14,0.57,0.14", "Intent": "", "Keyword Difficulty Index": "0"}</t>
        </is>
      </c>
      <c r="G1382" t="inlineStr">
        <is>
          <t>Raw (Semrush)</t>
        </is>
      </c>
    </row>
    <row r="1383">
      <c r="A1383" t="inlineStr">
        <is>
          <t>val-sn-0</t>
        </is>
      </c>
      <c r="B1383" t="inlineStr">
        <is>
          <t>phrase_these</t>
        </is>
      </c>
      <c r="C1383" t="inlineStr">
        <is>
          <t>sn</t>
        </is>
      </c>
      <c r="D1383"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3" t="inlineStr">
        <is>
          <t>2026-10-30T15:07:06+00:00</t>
        </is>
      </c>
      <c r="F1383" t="inlineStr">
        <is>
          <t>{"Keyword": "création site web sénégal", "Search Volume": "10", "CPC": "0", "Competition": "0.17", "Number of Results": "0", "Trends": "0.33,1.00,0.33,0.33,0.33,0.33,0.33,0.33,0.33,0.33,0.33,0.33", "Intent": "", "Keyword Difficulty Index": "0"}</t>
        </is>
      </c>
      <c r="G1383" t="inlineStr">
        <is>
          <t>Raw (Semrush)</t>
        </is>
      </c>
    </row>
    <row r="1384">
      <c r="A1384" t="inlineStr">
        <is>
          <t>val-sn-0</t>
        </is>
      </c>
      <c r="B1384" t="inlineStr">
        <is>
          <t>phrase_these</t>
        </is>
      </c>
      <c r="C1384" t="inlineStr">
        <is>
          <t>sn</t>
        </is>
      </c>
      <c r="D1384"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4" t="inlineStr">
        <is>
          <t>2026-10-30T15:07:06+00:00</t>
        </is>
      </c>
      <c r="F1384" t="inlineStr">
        <is>
          <t>{"Keyword": "développement application web", "Search Volume": "10", "CPC": "0", "Competition": "0", "Number of Results": "0", "Trends": "0.67,0.33,0.67,0.33,0.33,1.00,0.00,0.00,0.33,0.00,0.33,0.00", "Intent": "", "Keyword Difficulty Index": "0"}</t>
        </is>
      </c>
      <c r="G1384" t="inlineStr">
        <is>
          <t>Raw (Semrush)</t>
        </is>
      </c>
    </row>
    <row r="1385">
      <c r="A1385" t="inlineStr">
        <is>
          <t>val-sn-0</t>
        </is>
      </c>
      <c r="B1385" t="inlineStr">
        <is>
          <t>phrase_these</t>
        </is>
      </c>
      <c r="C1385" t="inlineStr">
        <is>
          <t>sn</t>
        </is>
      </c>
      <c r="D1385"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5" t="inlineStr">
        <is>
          <t>2026-10-30T15:07:06+00:00</t>
        </is>
      </c>
      <c r="F1385" t="inlineStr">
        <is>
          <t>{"Keyword": "développement logiciel sur mesure", "Search Volume": "0", "CPC": "0", "Competition": "0", "Number of Results": "0", "Trends": "0.00,0.00,0.00,0.00,0.00,0.00,0.00,0.00,0.00,0.00,0.00,0.00", "Intent": "", "Keyword Difficulty Index": "0"}</t>
        </is>
      </c>
      <c r="G1385" t="inlineStr">
        <is>
          <t>Raw (Semrush)</t>
        </is>
      </c>
    </row>
    <row r="1386">
      <c r="A1386" t="inlineStr">
        <is>
          <t>val-sn-0</t>
        </is>
      </c>
      <c r="B1386" t="inlineStr">
        <is>
          <t>phrase_these</t>
        </is>
      </c>
      <c r="C1386" t="inlineStr">
        <is>
          <t>sn</t>
        </is>
      </c>
      <c r="D1386"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6" t="inlineStr">
        <is>
          <t>2026-10-30T15:07:06+00:00</t>
        </is>
      </c>
      <c r="F1386" t="inlineStr">
        <is>
          <t>{"Keyword": "développeur web freelance", "Search Volume": "30", "CPC": "0", "Competition": "0.86", "Number of Results": "0", "Trends": "0.22,0.11,0.11,0.11,0.11,0.22,0.78,0.11,0.56,1.00,0.11,0.11", "Intent": "", "Keyword Difficulty Index": "0"}</t>
        </is>
      </c>
      <c r="G1386" t="inlineStr">
        <is>
          <t>Raw (Semrush)</t>
        </is>
      </c>
    </row>
    <row r="1387">
      <c r="A1387" t="inlineStr">
        <is>
          <t>val-sn-0</t>
        </is>
      </c>
      <c r="B1387" t="inlineStr">
        <is>
          <t>phrase_these</t>
        </is>
      </c>
      <c r="C1387" t="inlineStr">
        <is>
          <t>sn</t>
        </is>
      </c>
      <c r="D1387"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7" t="inlineStr">
        <is>
          <t>2026-10-30T15:07:06+00:00</t>
        </is>
      </c>
      <c r="F1387" t="inlineStr">
        <is>
          <t>{"Keyword": "prix site web", "Search Volume": "20", "CPC": "0", "Competition": "0.37", "Number of Results": "0", "Trends": "0.14,1.00,0.14,0.57,0.14,0.14,0.14,0.14,0.14,0.14,0.14,0.14", "Intent": "", "Keyword Difficulty Index": "0"}</t>
        </is>
      </c>
      <c r="G1387" t="inlineStr">
        <is>
          <t>Raw (Semrush)</t>
        </is>
      </c>
    </row>
    <row r="1388">
      <c r="A1388" t="inlineStr">
        <is>
          <t>val-sn-0</t>
        </is>
      </c>
      <c r="B1388" t="inlineStr">
        <is>
          <t>phrase_these</t>
        </is>
      </c>
      <c r="C1388" t="inlineStr">
        <is>
          <t>sn</t>
        </is>
      </c>
      <c r="D1388"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8" t="inlineStr">
        <is>
          <t>2026-10-30T15:07:06+00:00</t>
        </is>
      </c>
      <c r="F1388" t="inlineStr">
        <is>
          <t>{"Keyword": "refonte site web", "Search Volume": "20", "CPC": "0", "Competition": "0.33", "Number of Results": "0", "Trends": "0.29,0.14,0.29,0.43,0.14,0.57,0.43,1.00,0.14,0.14,0.14,0.14", "Intent": "", "Keyword Difficulty Index": "0"}</t>
        </is>
      </c>
      <c r="G1388" t="inlineStr">
        <is>
          <t>Raw (Semrush)</t>
        </is>
      </c>
    </row>
    <row r="1389">
      <c r="A1389" t="inlineStr">
        <is>
          <t>val-sn-0</t>
        </is>
      </c>
      <c r="B1389" t="inlineStr">
        <is>
          <t>phrase_these</t>
        </is>
      </c>
      <c r="C1389" t="inlineStr">
        <is>
          <t>sn</t>
        </is>
      </c>
      <c r="D1389"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89" t="inlineStr">
        <is>
          <t>2026-10-30T15:07:06+00:00</t>
        </is>
      </c>
      <c r="F1389" t="inlineStr">
        <is>
          <t>{"Keyword": "référencement naturel", "Search Volume": "40", "CPC": "0", "Competition": "0.33", "Number of Results": "120", "Trends": "0.11,0.11,0.22,0.78,0.78,0.33,0.11,1.00,0.11,0.78,0.11,0.56", "Intent": "1", "Keyword Difficulty Index": "47"}</t>
        </is>
      </c>
      <c r="G1389" t="inlineStr">
        <is>
          <t>Raw (Semrush)</t>
        </is>
      </c>
    </row>
    <row r="1390">
      <c r="A1390" t="inlineStr">
        <is>
          <t>val-sn-0</t>
        </is>
      </c>
      <c r="B1390" t="inlineStr">
        <is>
          <t>phrase_these</t>
        </is>
      </c>
      <c r="C1390" t="inlineStr">
        <is>
          <t>sn</t>
        </is>
      </c>
      <c r="D1390" t="inlineStr">
        <is>
          <t>agence de développement web;agence digitale;agence seo;agence web;agence web dakar;agence web maroc;agence web nearshore;agence web offshore;agence web pas cher;agence web sénégal;conception site web;création application web;création boutique en ligne;création site e-commerce;création site internet;création site vitrine;création site web;création site web sénégal;développement application web;développement logiciel sur mesure;développement saas;développement web offshore;développement web sur mesure;développeur maroc;développeur web freelance;externalisation développement web;prix création site internet;prix site web;refonte site web;référencement naturel;site internet professionnel;sous-traitance développement web;webdesigner</t>
        </is>
      </c>
      <c r="E1390" t="inlineStr">
        <is>
          <t>2026-10-30T15:07:06+00:00</t>
        </is>
      </c>
      <c r="F1390" t="inlineStr">
        <is>
          <t>{"Keyword": "webdesigner", "Search Volume": "140", "CPC": "0.62", "Competition": "0.06", "Number of Results": "138", "Trends": "0.82,0.53,0.82,0.65,0.65,0.82,1.00,0.82,0.82,0.82,0.53,0.65", "Intent": "1", "Keyword Difficulty Index": "26"}</t>
        </is>
      </c>
      <c r="G1390" t="inlineStr">
        <is>
          <t>Raw (Semrush)</t>
        </is>
      </c>
    </row>
    <row r="1391">
      <c r="A1391" t="inlineStr">
        <is>
          <t>val-tn-0</t>
        </is>
      </c>
      <c r="B1391" t="inlineStr">
        <is>
          <t>phrase_these</t>
        </is>
      </c>
      <c r="C1391" t="inlineStr">
        <is>
          <t>tn</t>
        </is>
      </c>
      <c r="D1391"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391" t="inlineStr">
        <is>
          <t>2026-10-30T15:07:28+00:00</t>
        </is>
      </c>
      <c r="F1391" t="inlineStr">
        <is>
          <t>{"Keyword": "agence de développement web", "Search Volume": "20", "CPC": "0", "Competition": "0.03", "Number of Results": "0", "Trends": "0.33,0.33,1.00,0.67,0.33,0.33,0.33,0.33,1.00,0.67,0.33,0.33", "Intent": "", "Keyword Difficulty Index": "0"}</t>
        </is>
      </c>
      <c r="G1391" t="inlineStr">
        <is>
          <t>Raw (Semrush)</t>
        </is>
      </c>
    </row>
    <row r="1392">
      <c r="A1392" t="inlineStr">
        <is>
          <t>val-tn-0</t>
        </is>
      </c>
      <c r="B1392" t="inlineStr">
        <is>
          <t>phrase_these</t>
        </is>
      </c>
      <c r="C1392" t="inlineStr">
        <is>
          <t>tn</t>
        </is>
      </c>
      <c r="D1392"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392" t="inlineStr">
        <is>
          <t>2026-10-30T15:07:28+00:00</t>
        </is>
      </c>
      <c r="F1392" t="inlineStr">
        <is>
          <t>{"Keyword": "agence digitale", "Search Volume": "90", "CPC": "0", "Competition": "0.03", "Number of Results": "0", "Trends": "0.13,0.03,0.05,0.03,0.03,1.00,0.03,0.03,0.28,0.03,0.36,0.54", "Intent": "", "Keyword Difficulty Index": "0"}</t>
        </is>
      </c>
      <c r="G1392" t="inlineStr">
        <is>
          <t>Raw (Semrush)</t>
        </is>
      </c>
    </row>
    <row r="1393">
      <c r="A1393" t="inlineStr">
        <is>
          <t>val-tn-0</t>
        </is>
      </c>
      <c r="B1393" t="inlineStr">
        <is>
          <t>phrase_these</t>
        </is>
      </c>
      <c r="C1393" t="inlineStr">
        <is>
          <t>tn</t>
        </is>
      </c>
      <c r="D1393"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393" t="inlineStr">
        <is>
          <t>2026-10-30T15:07:28+00:00</t>
        </is>
      </c>
      <c r="F1393" t="inlineStr">
        <is>
          <t>{"Keyword": "agence seo", "Search Volume": "40", "CPC": "0", "Competition": "0.05", "Number of Results": "0", "Trends": "0.79,0.07,0.07,0.14,0.29,0.07,0.07,0.07,0.14,0.07,1.00,0.21", "Intent": "", "Keyword Difficulty Index": "0"}</t>
        </is>
      </c>
      <c r="G1393" t="inlineStr">
        <is>
          <t>Raw (Semrush)</t>
        </is>
      </c>
    </row>
    <row r="1394">
      <c r="A1394" t="inlineStr">
        <is>
          <t>val-tn-0</t>
        </is>
      </c>
      <c r="B1394" t="inlineStr">
        <is>
          <t>phrase_these</t>
        </is>
      </c>
      <c r="C1394" t="inlineStr">
        <is>
          <t>tn</t>
        </is>
      </c>
      <c r="D1394"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394" t="inlineStr">
        <is>
          <t>2026-10-30T15:07:28+00:00</t>
        </is>
      </c>
      <c r="F1394" t="inlineStr">
        <is>
          <t>{"Keyword": "agence web", "Search Volume": "140", "CPC": "1.08", "Competition": "0.04", "Number of Results": "122", "Trends": "1.00,0.81,0.65,0.54,0.35,0.54,0.27,0.35,0.27,0.54,0.42,0.35", "Intent": "0", "Keyword Difficulty Index": "42"}</t>
        </is>
      </c>
      <c r="G1394" t="inlineStr">
        <is>
          <t>Raw (Semrush)</t>
        </is>
      </c>
    </row>
    <row r="1395">
      <c r="A1395" t="inlineStr">
        <is>
          <t>val-tn-0</t>
        </is>
      </c>
      <c r="B1395" t="inlineStr">
        <is>
          <t>phrase_these</t>
        </is>
      </c>
      <c r="C1395" t="inlineStr">
        <is>
          <t>tn</t>
        </is>
      </c>
      <c r="D1395"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395" t="inlineStr">
        <is>
          <t>2026-10-30T15:07:28+00:00</t>
        </is>
      </c>
      <c r="F1395" t="inlineStr">
        <is>
          <t>{"Keyword": "agence web maroc", "Search Volume": "0", "CPC": "0", "Competition": "0.86", "Number of Results": "0", "Trends": "0.00,0.00,0.00,0.00,0.00,0.00,0.00,0.00,0.00,0.00,0.00,1.00", "Intent": "", "Keyword Difficulty Index": "0"}</t>
        </is>
      </c>
      <c r="G1395" t="inlineStr">
        <is>
          <t>Raw (Semrush)</t>
        </is>
      </c>
    </row>
    <row r="1396">
      <c r="A1396" t="inlineStr">
        <is>
          <t>val-tn-0</t>
        </is>
      </c>
      <c r="B1396" t="inlineStr">
        <is>
          <t>phrase_these</t>
        </is>
      </c>
      <c r="C1396" t="inlineStr">
        <is>
          <t>tn</t>
        </is>
      </c>
      <c r="D1396"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396" t="inlineStr">
        <is>
          <t>2026-10-30T15:07:28+00:00</t>
        </is>
      </c>
      <c r="F1396" t="inlineStr">
        <is>
          <t>{"Keyword": "agence web offshore", "Search Volume": "30", "CPC": "0", "Competition": "0.33", "Number of Results": "0", "Trends": "1.00,0.14,0.14,0.14,0.14,0.14,0.29,0.71,0.43,0.43,0.57,0.14", "Intent": "", "Keyword Difficulty Index": "0"}</t>
        </is>
      </c>
      <c r="G1396" t="inlineStr">
        <is>
          <t>Raw (Semrush)</t>
        </is>
      </c>
    </row>
    <row r="1397">
      <c r="A1397" t="inlineStr">
        <is>
          <t>val-tn-0</t>
        </is>
      </c>
      <c r="B1397" t="inlineStr">
        <is>
          <t>phrase_these</t>
        </is>
      </c>
      <c r="C1397" t="inlineStr">
        <is>
          <t>tn</t>
        </is>
      </c>
      <c r="D1397"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397" t="inlineStr">
        <is>
          <t>2026-10-30T15:07:28+00:00</t>
        </is>
      </c>
      <c r="F1397" t="inlineStr">
        <is>
          <t>{"Keyword": "agence web pas cher", "Search Volume": "0", "CPC": "0", "Competition": "0", "Number of Results": "0", "Trends": "0.00,0.00,0.00,0.00,0.00,0.00,0.00,0.00,0.00,0.00,0.00,0.00", "Intent": "", "Keyword Difficulty Index": "0"}</t>
        </is>
      </c>
      <c r="G1397" t="inlineStr">
        <is>
          <t>Raw (Semrush)</t>
        </is>
      </c>
    </row>
    <row r="1398">
      <c r="A1398" t="inlineStr">
        <is>
          <t>val-tn-0</t>
        </is>
      </c>
      <c r="B1398" t="inlineStr">
        <is>
          <t>phrase_these</t>
        </is>
      </c>
      <c r="C1398" t="inlineStr">
        <is>
          <t>tn</t>
        </is>
      </c>
      <c r="D1398"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398" t="inlineStr">
        <is>
          <t>2026-10-30T15:07:28+00:00</t>
        </is>
      </c>
      <c r="F1398" t="inlineStr">
        <is>
          <t>{"Keyword": "agence web tunis", "Search Volume": "20", "CPC": "0", "Competition": "0.33", "Number of Results": "0", "Trends": "0.20,0.40,0.20,0.20,0.20,0.20,0.40,0.20,0.20,0.20,1.00,0.20", "Intent": "", "Keyword Difficulty Index": "0"}</t>
        </is>
      </c>
      <c r="G1398" t="inlineStr">
        <is>
          <t>Raw (Semrush)</t>
        </is>
      </c>
    </row>
    <row r="1399">
      <c r="A1399" t="inlineStr">
        <is>
          <t>val-tn-0</t>
        </is>
      </c>
      <c r="B1399" t="inlineStr">
        <is>
          <t>phrase_these</t>
        </is>
      </c>
      <c r="C1399" t="inlineStr">
        <is>
          <t>tn</t>
        </is>
      </c>
      <c r="D1399"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399" t="inlineStr">
        <is>
          <t>2026-10-30T15:07:28+00:00</t>
        </is>
      </c>
      <c r="F1399" t="inlineStr">
        <is>
          <t>{"Keyword": "agence web tunisie", "Search Volume": "880", "CPC": "0.48", "Competition": "0.01", "Number of Results": "104000", "Trends": "0.62,0.62,0.55,0.45,0.24,0.62,1.00,0.55,0.62,0.55,0.55,0.45", "Intent": "0", "Keyword Difficulty Index": "9"}</t>
        </is>
      </c>
      <c r="G1399" t="inlineStr">
        <is>
          <t>Raw (Semrush)</t>
        </is>
      </c>
    </row>
    <row r="1400">
      <c r="A1400" t="inlineStr">
        <is>
          <t>val-tn-0</t>
        </is>
      </c>
      <c r="B1400" t="inlineStr">
        <is>
          <t>phrase_these</t>
        </is>
      </c>
      <c r="C1400" t="inlineStr">
        <is>
          <t>tn</t>
        </is>
      </c>
      <c r="D1400"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0" t="inlineStr">
        <is>
          <t>2026-10-30T15:07:28+00:00</t>
        </is>
      </c>
      <c r="F1400" t="inlineStr">
        <is>
          <t>{"Keyword": "conception site web", "Search Volume": "20", "CPC": "0", "Competition": "0.52", "Number of Results": "0", "Trends": "0.60,1.00,0.60,0.20,1.00,0.20,0.40,0.20,0.20,0.80,0.20,0.20", "Intent": "", "Keyword Difficulty Index": "0"}</t>
        </is>
      </c>
      <c r="G1400" t="inlineStr">
        <is>
          <t>Raw (Semrush)</t>
        </is>
      </c>
    </row>
    <row r="1401">
      <c r="A1401" t="inlineStr">
        <is>
          <t>val-tn-0</t>
        </is>
      </c>
      <c r="B1401" t="inlineStr">
        <is>
          <t>phrase_these</t>
        </is>
      </c>
      <c r="C1401" t="inlineStr">
        <is>
          <t>tn</t>
        </is>
      </c>
      <c r="D1401"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1" t="inlineStr">
        <is>
          <t>2026-10-30T15:07:28+00:00</t>
        </is>
      </c>
      <c r="F1401" t="inlineStr">
        <is>
          <t>{"Keyword": "création application web", "Search Volume": "0", "CPC": "0", "Competition": "0", "Number of Results": "0", "Trends": "0.00,0.00,0.00,0.00,0.00,0.00,0.00,0.00,0.00,0.00,0.00,0.00", "Intent": "", "Keyword Difficulty Index": "0"}</t>
        </is>
      </c>
      <c r="G1401" t="inlineStr">
        <is>
          <t>Raw (Semrush)</t>
        </is>
      </c>
    </row>
    <row r="1402">
      <c r="A1402" t="inlineStr">
        <is>
          <t>val-tn-0</t>
        </is>
      </c>
      <c r="B1402" t="inlineStr">
        <is>
          <t>phrase_these</t>
        </is>
      </c>
      <c r="C1402" t="inlineStr">
        <is>
          <t>tn</t>
        </is>
      </c>
      <c r="D1402"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2" t="inlineStr">
        <is>
          <t>2026-10-30T15:07:28+00:00</t>
        </is>
      </c>
      <c r="F1402" t="inlineStr">
        <is>
          <t>{"Keyword": "création site e-commerce", "Search Volume": "20", "CPC": "0.3", "Competition": "0.25", "Number of Results": "0", "Trends": "0.14,0.14,0.14,0.14,0.14,0.14,0.43,1.00,1.00,0.29,0.14,0.14", "Intent": "", "Keyword Difficulty Index": "0"}</t>
        </is>
      </c>
      <c r="G1402" t="inlineStr">
        <is>
          <t>Raw (Semrush)</t>
        </is>
      </c>
    </row>
    <row r="1403">
      <c r="A1403" t="inlineStr">
        <is>
          <t>val-tn-0</t>
        </is>
      </c>
      <c r="B1403" t="inlineStr">
        <is>
          <t>phrase_these</t>
        </is>
      </c>
      <c r="C1403" t="inlineStr">
        <is>
          <t>tn</t>
        </is>
      </c>
      <c r="D1403"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3" t="inlineStr">
        <is>
          <t>2026-10-30T15:07:28+00:00</t>
        </is>
      </c>
      <c r="F1403" t="inlineStr">
        <is>
          <t>{"Keyword": "création site internet", "Search Volume": "20", "CPC": "0.41", "Competition": "0.37", "Number of Results": "0", "Trends": "1.00,0.20,0.20,0.20,0.40,0.20,0.20,0.20,0.40,0.20,0.20,0.20", "Intent": "", "Keyword Difficulty Index": "0"}</t>
        </is>
      </c>
      <c r="G1403" t="inlineStr">
        <is>
          <t>Raw (Semrush)</t>
        </is>
      </c>
    </row>
    <row r="1404">
      <c r="A1404" t="inlineStr">
        <is>
          <t>val-tn-0</t>
        </is>
      </c>
      <c r="B1404" t="inlineStr">
        <is>
          <t>phrase_these</t>
        </is>
      </c>
      <c r="C1404" t="inlineStr">
        <is>
          <t>tn</t>
        </is>
      </c>
      <c r="D1404"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4" t="inlineStr">
        <is>
          <t>2026-10-30T15:07:28+00:00</t>
        </is>
      </c>
      <c r="F1404" t="inlineStr">
        <is>
          <t>{"Keyword": "création site vitrine", "Search Volume": "20", "CPC": "0", "Competition": "0.79", "Number of Results": "0", "Trends": "0.20,0.60,1.00,0.20,0.80,0.20,0.20,0.20,0.60,0.20,0.20,0.80", "Intent": "", "Keyword Difficulty Index": "0"}</t>
        </is>
      </c>
      <c r="G1404" t="inlineStr">
        <is>
          <t>Raw (Semrush)</t>
        </is>
      </c>
    </row>
    <row r="1405">
      <c r="A1405" t="inlineStr">
        <is>
          <t>val-tn-0</t>
        </is>
      </c>
      <c r="B1405" t="inlineStr">
        <is>
          <t>phrase_these</t>
        </is>
      </c>
      <c r="C1405" t="inlineStr">
        <is>
          <t>tn</t>
        </is>
      </c>
      <c r="D1405"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5" t="inlineStr">
        <is>
          <t>2026-10-30T15:07:28+00:00</t>
        </is>
      </c>
      <c r="F1405" t="inlineStr">
        <is>
          <t>{"Keyword": "création site web", "Search Volume": "110", "CPC": "0.33", "Competition": "0.56", "Number of Results": "0", "Trends": "0.65,1.00,0.82,0.82,0.65,0.53,0.41,0.82,0.65,0.41,0.41,0.29", "Intent": "", "Keyword Difficulty Index": "0"}</t>
        </is>
      </c>
      <c r="G1405" t="inlineStr">
        <is>
          <t>Raw (Semrush)</t>
        </is>
      </c>
    </row>
    <row r="1406">
      <c r="A1406" t="inlineStr">
        <is>
          <t>val-tn-0</t>
        </is>
      </c>
      <c r="B1406" t="inlineStr">
        <is>
          <t>phrase_these</t>
        </is>
      </c>
      <c r="C1406" t="inlineStr">
        <is>
          <t>tn</t>
        </is>
      </c>
      <c r="D1406"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6" t="inlineStr">
        <is>
          <t>2026-10-30T15:07:28+00:00</t>
        </is>
      </c>
      <c r="F1406" t="inlineStr">
        <is>
          <t>{"Keyword": "création site web tunis", "Search Volume": "20", "CPC": "0", "Competition": "0.33", "Number of Results": "0", "Trends": "0.75,0.25,0.25,0.25,0.25,0.25,0.25,0.25,1.00,0.25,0.25,0.50", "Intent": "", "Keyword Difficulty Index": "0"}</t>
        </is>
      </c>
      <c r="G1406" t="inlineStr">
        <is>
          <t>Raw (Semrush)</t>
        </is>
      </c>
    </row>
    <row r="1407">
      <c r="A1407" t="inlineStr">
        <is>
          <t>val-tn-0</t>
        </is>
      </c>
      <c r="B1407" t="inlineStr">
        <is>
          <t>phrase_these</t>
        </is>
      </c>
      <c r="C1407" t="inlineStr">
        <is>
          <t>tn</t>
        </is>
      </c>
      <c r="D1407"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7" t="inlineStr">
        <is>
          <t>2026-10-30T15:07:28+00:00</t>
        </is>
      </c>
      <c r="F1407" t="inlineStr">
        <is>
          <t>{"Keyword": "création site web tunisie", "Search Volume": "170", "CPC": "0.93", "Competition": "0.06", "Number of Results": "136", "Trends": "0.65,0.81,0.65,0.81,0.65,0.81,1.00,0.65,0.65,0.54,0.27,0.27", "Intent": "1", "Keyword Difficulty Index": "29"}</t>
        </is>
      </c>
      <c r="G1407" t="inlineStr">
        <is>
          <t>Raw (Semrush)</t>
        </is>
      </c>
    </row>
    <row r="1408">
      <c r="A1408" t="inlineStr">
        <is>
          <t>val-tn-0</t>
        </is>
      </c>
      <c r="B1408" t="inlineStr">
        <is>
          <t>phrase_these</t>
        </is>
      </c>
      <c r="C1408" t="inlineStr">
        <is>
          <t>tn</t>
        </is>
      </c>
      <c r="D1408"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8" t="inlineStr">
        <is>
          <t>2026-10-30T15:07:28+00:00</t>
        </is>
      </c>
      <c r="F1408" t="inlineStr">
        <is>
          <t>{"Keyword": "développement application web", "Search Volume": "30", "CPC": "0", "Competition": "0.14", "Number of Results": "0", "Trends": "0.11,0.11,0.22,0.11,0.11,0.78,0.11,0.33,0.44,0.11,0.11,1.00", "Intent": "", "Keyword Difficulty Index": "0"}</t>
        </is>
      </c>
      <c r="G1408" t="inlineStr">
        <is>
          <t>Raw (Semrush)</t>
        </is>
      </c>
    </row>
    <row r="1409">
      <c r="A1409" t="inlineStr">
        <is>
          <t>val-tn-0</t>
        </is>
      </c>
      <c r="B1409" t="inlineStr">
        <is>
          <t>phrase_these</t>
        </is>
      </c>
      <c r="C1409" t="inlineStr">
        <is>
          <t>tn</t>
        </is>
      </c>
      <c r="D1409"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09" t="inlineStr">
        <is>
          <t>2026-10-30T15:07:28+00:00</t>
        </is>
      </c>
      <c r="F1409" t="inlineStr">
        <is>
          <t>{"Keyword": "développement logiciel sur mesure", "Search Volume": "30", "CPC": "0", "Competition": "0.26", "Number of Results": "0", "Trends": "0.29,0.71,0.14,0.14,0.29,0.29,0.43,1.00,1.00,0.14,0.57,0.14", "Intent": "", "Keyword Difficulty Index": "0"}</t>
        </is>
      </c>
      <c r="G1409" t="inlineStr">
        <is>
          <t>Raw (Semrush)</t>
        </is>
      </c>
    </row>
    <row r="1410">
      <c r="A1410" t="inlineStr">
        <is>
          <t>val-tn-0</t>
        </is>
      </c>
      <c r="B1410" t="inlineStr">
        <is>
          <t>phrase_these</t>
        </is>
      </c>
      <c r="C1410" t="inlineStr">
        <is>
          <t>tn</t>
        </is>
      </c>
      <c r="D1410"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10" t="inlineStr">
        <is>
          <t>2026-10-30T15:07:28+00:00</t>
        </is>
      </c>
      <c r="F1410" t="inlineStr">
        <is>
          <t>{"Keyword": "développement web offshore", "Search Volume": "10", "CPC": "0", "Competition": "0.33", "Number of Results": "0", "Trends": "0.33,0.00,0.00,0.00,0.33,0.00,0.00,0.00,0.00,1.00,0.33,0.33", "Intent": "", "Keyword Difficulty Index": "0"}</t>
        </is>
      </c>
      <c r="G1410" t="inlineStr">
        <is>
          <t>Raw (Semrush)</t>
        </is>
      </c>
    </row>
    <row r="1411">
      <c r="A1411" t="inlineStr">
        <is>
          <t>val-tn-0</t>
        </is>
      </c>
      <c r="B1411" t="inlineStr">
        <is>
          <t>phrase_these</t>
        </is>
      </c>
      <c r="C1411" t="inlineStr">
        <is>
          <t>tn</t>
        </is>
      </c>
      <c r="D1411"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11" t="inlineStr">
        <is>
          <t>2026-10-30T15:07:28+00:00</t>
        </is>
      </c>
      <c r="F1411" t="inlineStr">
        <is>
          <t>{"Keyword": "développement web sur mesure", "Search Volume": "20", "CPC": "0", "Competition": "0.33", "Number of Results": "0", "Trends": "0.14,0.14,0.57,0.14,0.14,0.29,0.14,0.43,1.00,0.14,0.14,0.57", "Intent": "", "Keyword Difficulty Index": "0"}</t>
        </is>
      </c>
      <c r="G1411" t="inlineStr">
        <is>
          <t>Raw (Semrush)</t>
        </is>
      </c>
    </row>
    <row r="1412">
      <c r="A1412" t="inlineStr">
        <is>
          <t>val-tn-0</t>
        </is>
      </c>
      <c r="B1412" t="inlineStr">
        <is>
          <t>phrase_these</t>
        </is>
      </c>
      <c r="C1412" t="inlineStr">
        <is>
          <t>tn</t>
        </is>
      </c>
      <c r="D1412"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12" t="inlineStr">
        <is>
          <t>2026-10-30T15:07:28+00:00</t>
        </is>
      </c>
      <c r="F1412" t="inlineStr">
        <is>
          <t>{"Keyword": "développement web tunis", "Search Volume": "20", "CPC": "0", "Competition": "0.33", "Number of Results": "0", "Trends": "0.14,0.14,1.00,0.14,0.14,0.43,0.57,0.14,0.14,0.14,0.29,0.14", "Intent": "", "Keyword Difficulty Index": "0"}</t>
        </is>
      </c>
      <c r="G1412" t="inlineStr">
        <is>
          <t>Raw (Semrush)</t>
        </is>
      </c>
    </row>
    <row r="1413">
      <c r="A1413" t="inlineStr">
        <is>
          <t>val-tn-0</t>
        </is>
      </c>
      <c r="B1413" t="inlineStr">
        <is>
          <t>phrase_these</t>
        </is>
      </c>
      <c r="C1413" t="inlineStr">
        <is>
          <t>tn</t>
        </is>
      </c>
      <c r="D1413"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13" t="inlineStr">
        <is>
          <t>2026-10-30T15:07:28+00:00</t>
        </is>
      </c>
      <c r="F1413" t="inlineStr">
        <is>
          <t>{"Keyword": "développement web tunisie", "Search Volume": "260", "CPC": "0", "Competition": "0.01", "Number of Results": "111", "Trends": "0.82,0.67,0.44,0.54,0.67,1.00,1.00,0.54,0.67,0.36,0.28,0.23", "Intent": "0", "Keyword Difficulty Index": "18"}</t>
        </is>
      </c>
      <c r="G1413" t="inlineStr">
        <is>
          <t>Raw (Semrush)</t>
        </is>
      </c>
    </row>
    <row r="1414">
      <c r="A1414" t="inlineStr">
        <is>
          <t>val-tn-0</t>
        </is>
      </c>
      <c r="B1414" t="inlineStr">
        <is>
          <t>phrase_these</t>
        </is>
      </c>
      <c r="C1414" t="inlineStr">
        <is>
          <t>tn</t>
        </is>
      </c>
      <c r="D1414"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14" t="inlineStr">
        <is>
          <t>2026-10-30T15:07:28+00:00</t>
        </is>
      </c>
      <c r="F1414" t="inlineStr">
        <is>
          <t>{"Keyword": "développeur web freelance", "Search Volume": "30", "CPC": "0", "Competition": "0.01", "Number of Results": "0", "Trends": "0.22,0.11,0.11,0.11,0.11,0.22,0.78,0.11,0.56,1.00,0.11,0.11", "Intent": "", "Keyword Difficulty Index": "0"}</t>
        </is>
      </c>
      <c r="G1414" t="inlineStr">
        <is>
          <t>Raw (Semrush)</t>
        </is>
      </c>
    </row>
    <row r="1415">
      <c r="A1415" t="inlineStr">
        <is>
          <t>val-tn-0</t>
        </is>
      </c>
      <c r="B1415" t="inlineStr">
        <is>
          <t>phrase_these</t>
        </is>
      </c>
      <c r="C1415" t="inlineStr">
        <is>
          <t>tn</t>
        </is>
      </c>
      <c r="D1415"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15" t="inlineStr">
        <is>
          <t>2026-10-30T15:07:28+00:00</t>
        </is>
      </c>
      <c r="F1415" t="inlineStr">
        <is>
          <t>{"Keyword": "prix site web", "Search Volume": "20", "CPC": "0", "Competition": "0.33", "Number of Results": "0", "Trends": "0.14,1.00,0.14,0.57,0.14,0.14,0.14,0.14,0.14,0.14,0.14,0.14", "Intent": "", "Keyword Difficulty Index": "0"}</t>
        </is>
      </c>
      <c r="G1415" t="inlineStr">
        <is>
          <t>Raw (Semrush)</t>
        </is>
      </c>
    </row>
    <row r="1416">
      <c r="A1416" t="inlineStr">
        <is>
          <t>val-tn-0</t>
        </is>
      </c>
      <c r="B1416" t="inlineStr">
        <is>
          <t>phrase_these</t>
        </is>
      </c>
      <c r="C1416" t="inlineStr">
        <is>
          <t>tn</t>
        </is>
      </c>
      <c r="D1416"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16" t="inlineStr">
        <is>
          <t>2026-10-30T15:07:28+00:00</t>
        </is>
      </c>
      <c r="F1416" t="inlineStr">
        <is>
          <t>{"Keyword": "refonte site web", "Search Volume": "20", "CPC": "0", "Competition": "0.33", "Number of Results": "0", "Trends": "0.29,0.14,0.29,0.43,0.14,0.57,0.43,1.00,0.14,0.14,0.14,0.14", "Intent": "", "Keyword Difficulty Index": "0"}</t>
        </is>
      </c>
      <c r="G1416" t="inlineStr">
        <is>
          <t>Raw (Semrush)</t>
        </is>
      </c>
    </row>
    <row r="1417">
      <c r="A1417" t="inlineStr">
        <is>
          <t>val-tn-0</t>
        </is>
      </c>
      <c r="B1417" t="inlineStr">
        <is>
          <t>phrase_these</t>
        </is>
      </c>
      <c r="C1417" t="inlineStr">
        <is>
          <t>tn</t>
        </is>
      </c>
      <c r="D1417"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17" t="inlineStr">
        <is>
          <t>2026-10-30T15:07:28+00:00</t>
        </is>
      </c>
      <c r="F1417" t="inlineStr">
        <is>
          <t>{"Keyword": "référencement naturel", "Search Volume": "40", "CPC": "0", "Competition": "0.13", "Number of Results": "0", "Trends": "0.11,0.11,0.22,0.78,0.78,0.33,0.11,1.00,0.11,0.78,0.11,0.56", "Intent": "", "Keyword Difficulty Index": "0"}</t>
        </is>
      </c>
      <c r="G1417" t="inlineStr">
        <is>
          <t>Raw (Semrush)</t>
        </is>
      </c>
    </row>
    <row r="1418">
      <c r="A1418" t="inlineStr">
        <is>
          <t>val-tn-0</t>
        </is>
      </c>
      <c r="B1418" t="inlineStr">
        <is>
          <t>phrase_these</t>
        </is>
      </c>
      <c r="C1418" t="inlineStr">
        <is>
          <t>tn</t>
        </is>
      </c>
      <c r="D1418" t="inlineStr">
        <is>
          <t>agence de développement web;agence digitale;agence seo;agence web;agence web maroc;agence web nearshore;agence web offshore;agence web pas cher;agence web tunis;agence web tunisie;conception site web;création application web;création boutique en ligne;création site e-commerce;création site internet;création site vitrine;création site web;création site web tunis;création site web tunisie;développement application web;développement logiciel sur mesure;développement saas;développement web offshore;développement web sur mesure;développement web tunis;développement web tunisie;développeur maroc;développeur web freelance;externalisation développement web;prix création site internet;prix site web;refonte site web;référencement naturel;site internet professionnel;sous-traitance développement web;webdesigner</t>
        </is>
      </c>
      <c r="E1418" t="inlineStr">
        <is>
          <t>2026-10-30T15:07:28+00:00</t>
        </is>
      </c>
      <c r="F1418" t="inlineStr">
        <is>
          <t>{"Keyword": "webdesigner", "Search Volume": "30", "CPC": "0", "Competition": "0.33", "Number of Results": "0", "Trends": "0.33,0.11,1.00,0.11,0.78,0.11,0.11,0.78,0.11,0.11,0.11,0.11", "Intent": "", "Keyword Difficulty Index": "0"}</t>
        </is>
      </c>
      <c r="G1418" t="inlineStr">
        <is>
          <t>Raw (Semrush)</t>
        </is>
      </c>
    </row>
    <row r="1419">
      <c r="A1419" t="inlineStr">
        <is>
          <t>val-uk-0</t>
        </is>
      </c>
      <c r="B1419" t="inlineStr">
        <is>
          <t>phrase_these</t>
        </is>
      </c>
      <c r="C1419" t="inlineStr">
        <is>
          <t>uk</t>
        </is>
      </c>
      <c r="D1419" t="inlineStr">
        <is>
          <t>agence web londres;création site web londres;développement web londres;web development company london</t>
        </is>
      </c>
      <c r="E1419" t="inlineStr">
        <is>
          <t>2026-10-30T15:07:29+00:00</t>
        </is>
      </c>
      <c r="F1419" t="inlineStr">
        <is>
          <t>{"Keyword": "agence web londres", "Search Volume": "20", "CPC": "0", "Competition": "0", "Number of Results": "0", "Trends": "0.00,1.00,1.00,1.00,0.00,1.00,1.00,1.00,1.00,1.00,1.00,1.00", "Intent": "", "Keyword Difficulty Index": "0"}</t>
        </is>
      </c>
      <c r="G1419" t="inlineStr">
        <is>
          <t>Raw (Semrush)</t>
        </is>
      </c>
    </row>
    <row r="1420">
      <c r="A1420" t="inlineStr">
        <is>
          <t>val-uk-0</t>
        </is>
      </c>
      <c r="B1420" t="inlineStr">
        <is>
          <t>phrase_these</t>
        </is>
      </c>
      <c r="C1420" t="inlineStr">
        <is>
          <t>uk</t>
        </is>
      </c>
      <c r="D1420" t="inlineStr">
        <is>
          <t>agence web londres;création site web londres;développement web londres;web development company london</t>
        </is>
      </c>
      <c r="E1420" t="inlineStr">
        <is>
          <t>2026-10-30T15:07:29+00:00</t>
        </is>
      </c>
      <c r="F1420" t="inlineStr">
        <is>
          <t>{"Keyword": "création site web londres", "Search Volume": "10", "CPC": "0", "Competition": "0", "Number of Results": "0", "Trends": "1.00,0.00,1.00,1.00,1.00,1.00,1.00,1.00,1.00,1.00,0.00", "Intent": "", "Keyword Difficulty Index": "0"}</t>
        </is>
      </c>
      <c r="G1420" t="inlineStr">
        <is>
          <t>Raw (Semrush)</t>
        </is>
      </c>
    </row>
    <row r="1421">
      <c r="A1421" t="inlineStr">
        <is>
          <t>val-uk-0</t>
        </is>
      </c>
      <c r="B1421" t="inlineStr">
        <is>
          <t>phrase_these</t>
        </is>
      </c>
      <c r="C1421" t="inlineStr">
        <is>
          <t>uk</t>
        </is>
      </c>
      <c r="D1421" t="inlineStr">
        <is>
          <t>agence web londres;création site web londres;développement web londres;web development company london</t>
        </is>
      </c>
      <c r="E1421" t="inlineStr">
        <is>
          <t>2026-10-30T15:07:29+00:00</t>
        </is>
      </c>
      <c r="F1421" t="inlineStr">
        <is>
          <t>{"Keyword": "web development company london", "Search Volume": "880", "CPC": "9.6", "Competition": "0.07", "Number of Results": "110", "Trends": "0.76,0.76,0.67,0.76,0.67,0.67,0.55,0.55,0.67,0.67,0.67,0.76", "Intent": "0", "Keyword Difficulty Index": "37"}</t>
        </is>
      </c>
      <c r="G1421" t="inlineStr">
        <is>
          <t>Raw (Semrush)</t>
        </is>
      </c>
    </row>
    <row r="1422">
      <c r="A1422" t="inlineStr">
        <is>
          <t>val-us-0</t>
        </is>
      </c>
      <c r="B1422" t="inlineStr">
        <is>
          <t>phrase_these</t>
        </is>
      </c>
      <c r="C1422" t="inlineStr">
        <is>
          <t>us</t>
        </is>
      </c>
      <c r="D1422"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22" t="inlineStr">
        <is>
          <t>2026-10-30T15:07:30+00:00</t>
        </is>
      </c>
      <c r="F1422" t="inlineStr">
        <is>
          <t>{"Keyword": "agence web los angeles", "Search Volume": "0", "CPC": "0", "Competition": "0", "Number of Results": "0", "Trends": "0.00,0.00,0.00,0.00,0.00,0.00,0.00,0.00,0.00,0.00,0.00,0.00", "Intent": "", "Keyword Difficulty Index": "0"}</t>
        </is>
      </c>
      <c r="G1422" t="inlineStr">
        <is>
          <t>Raw (Semrush)</t>
        </is>
      </c>
    </row>
    <row r="1423">
      <c r="A1423" t="inlineStr">
        <is>
          <t>val-us-0</t>
        </is>
      </c>
      <c r="B1423" t="inlineStr">
        <is>
          <t>phrase_these</t>
        </is>
      </c>
      <c r="C1423" t="inlineStr">
        <is>
          <t>us</t>
        </is>
      </c>
      <c r="D1423"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23" t="inlineStr">
        <is>
          <t>2026-10-30T15:07:30+00:00</t>
        </is>
      </c>
      <c r="F1423" t="inlineStr">
        <is>
          <t>{"Keyword": "agence web new york", "Search Volume": "0", "CPC": "0", "Competition": "0", "Number of Results": "0", "Trends": "0.00,1.00,0.00,0.00,0.00,0.00,0.00,0.00,0.00,0.00,0.00,0.00", "Intent": "", "Keyword Difficulty Index": "0"}</t>
        </is>
      </c>
      <c r="G1423" t="inlineStr">
        <is>
          <t>Raw (Semrush)</t>
        </is>
      </c>
    </row>
    <row r="1424">
      <c r="A1424" t="inlineStr">
        <is>
          <t>val-us-0</t>
        </is>
      </c>
      <c r="B1424" t="inlineStr">
        <is>
          <t>phrase_these</t>
        </is>
      </c>
      <c r="C1424" t="inlineStr">
        <is>
          <t>us</t>
        </is>
      </c>
      <c r="D1424"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24" t="inlineStr">
        <is>
          <t>2026-10-30T15:07:30+00:00</t>
        </is>
      </c>
      <c r="F1424" t="inlineStr">
        <is>
          <t>{"Keyword": "création site web new york", "Search Volume": "10", "CPC": "0", "Competition": "0", "Number of Results": "0", "Trends": "1.00,1.00,0.00,1.00,1.00,1.00,1.00,1.00,1.00,1.00,0.00", "Intent": "", "Keyword Difficulty Index": "0"}</t>
        </is>
      </c>
      <c r="G1424" t="inlineStr">
        <is>
          <t>Raw (Semrush)</t>
        </is>
      </c>
    </row>
    <row r="1425">
      <c r="A1425" t="inlineStr">
        <is>
          <t>val-us-0</t>
        </is>
      </c>
      <c r="B1425" t="inlineStr">
        <is>
          <t>phrase_these</t>
        </is>
      </c>
      <c r="C1425" t="inlineStr">
        <is>
          <t>us</t>
        </is>
      </c>
      <c r="D1425"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25" t="inlineStr">
        <is>
          <t>2026-10-30T15:07:30+00:00</t>
        </is>
      </c>
      <c r="F1425" t="inlineStr">
        <is>
          <t>{"Keyword": "création site web san francisco", "Search Volume": "10", "CPC": "0", "Competition": "0", "Number of Results": "0", "Trends": "0.50,0.50,0.00,0.50,0.50,0.50,0.50,0.50,1.00,0.50,0.00", "Intent": "", "Keyword Difficulty Index": "0"}</t>
        </is>
      </c>
      <c r="G1425" t="inlineStr">
        <is>
          <t>Raw (Semrush)</t>
        </is>
      </c>
    </row>
    <row r="1426">
      <c r="A1426" t="inlineStr">
        <is>
          <t>val-us-0</t>
        </is>
      </c>
      <c r="B1426" t="inlineStr">
        <is>
          <t>phrase_these</t>
        </is>
      </c>
      <c r="C1426" t="inlineStr">
        <is>
          <t>us</t>
        </is>
      </c>
      <c r="D1426"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26" t="inlineStr">
        <is>
          <t>2026-10-30T15:07:30+00:00</t>
        </is>
      </c>
      <c r="F1426" t="inlineStr">
        <is>
          <t>{"Keyword": "web development company austin", "Search Volume": "260", "CPC": "11.05", "Competition": "0.1", "Number of Results": "101", "Trends": "0.29,0.23,0.44,0.36,0.29,0.29,0.29,0.29,1.00,0.36,0.15,0.15", "Intent": "0", "Keyword Difficulty Index": "70"}</t>
        </is>
      </c>
      <c r="G1426" t="inlineStr">
        <is>
          <t>Raw (Semrush)</t>
        </is>
      </c>
    </row>
    <row r="1427">
      <c r="A1427" t="inlineStr">
        <is>
          <t>val-us-0</t>
        </is>
      </c>
      <c r="B1427" t="inlineStr">
        <is>
          <t>phrase_these</t>
        </is>
      </c>
      <c r="C1427" t="inlineStr">
        <is>
          <t>us</t>
        </is>
      </c>
      <c r="D1427"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27" t="inlineStr">
        <is>
          <t>2026-10-30T15:07:30+00:00</t>
        </is>
      </c>
      <c r="F1427" t="inlineStr">
        <is>
          <t>{"Keyword": "web development company boston", "Search Volume": "140", "CPC": "0", "Competition": "0.33", "Number of Results": "106", "Trends": "1.00,0.82,0.64,1.00,0.82,1.00,1.00,1.00,0.64,1.00,1.00,0.82", "Intent": "0", "Keyword Difficulty Index": "55"}</t>
        </is>
      </c>
      <c r="G1427" t="inlineStr">
        <is>
          <t>Raw (Semrush)</t>
        </is>
      </c>
    </row>
    <row r="1428">
      <c r="A1428" t="inlineStr">
        <is>
          <t>val-us-0</t>
        </is>
      </c>
      <c r="B1428" t="inlineStr">
        <is>
          <t>phrase_these</t>
        </is>
      </c>
      <c r="C1428" t="inlineStr">
        <is>
          <t>us</t>
        </is>
      </c>
      <c r="D1428"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28" t="inlineStr">
        <is>
          <t>2026-10-30T15:07:30+00:00</t>
        </is>
      </c>
      <c r="F1428" t="inlineStr">
        <is>
          <t>{"Keyword": "web development company chicago", "Search Volume": "590", "CPC": "16.28", "Competition": "0.1", "Number of Results": "106", "Trends": "0.67,0.67,0.55,0.55,0.24,0.30,0.30,0.36,0.36,0.36,0.36,0.36", "Intent": "0", "Keyword Difficulty Index": "32"}</t>
        </is>
      </c>
      <c r="G1428" t="inlineStr">
        <is>
          <t>Raw (Semrush)</t>
        </is>
      </c>
    </row>
    <row r="1429">
      <c r="A1429" t="inlineStr">
        <is>
          <t>val-us-0</t>
        </is>
      </c>
      <c r="B1429" t="inlineStr">
        <is>
          <t>phrase_these</t>
        </is>
      </c>
      <c r="C1429" t="inlineStr">
        <is>
          <t>us</t>
        </is>
      </c>
      <c r="D1429"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29" t="inlineStr">
        <is>
          <t>2026-10-30T15:07:30+00:00</t>
        </is>
      </c>
      <c r="F1429" t="inlineStr">
        <is>
          <t>{"Keyword": "web development company denver", "Search Volume": "320", "CPC": "15.59", "Competition": "0.1", "Number of Results": "114", "Trends": "1.00,0.81,0.66,0.66,0.66,0.54,0.43,0.43,0.43,0.43,0.43,0.43", "Intent": "0", "Keyword Difficulty Index": "31"}</t>
        </is>
      </c>
      <c r="G1429" t="inlineStr">
        <is>
          <t>Raw (Semrush)</t>
        </is>
      </c>
    </row>
    <row r="1430">
      <c r="A1430" t="inlineStr">
        <is>
          <t>val-us-0</t>
        </is>
      </c>
      <c r="B1430" t="inlineStr">
        <is>
          <t>phrase_these</t>
        </is>
      </c>
      <c r="C1430" t="inlineStr">
        <is>
          <t>us</t>
        </is>
      </c>
      <c r="D1430"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30" t="inlineStr">
        <is>
          <t>2026-10-30T15:07:30+00:00</t>
        </is>
      </c>
      <c r="F1430" t="inlineStr">
        <is>
          <t>{"Keyword": "web development company los angeles", "Search Volume": "480", "CPC": "0", "Competition": "0.13", "Number of Results": "107", "Trends": "1.00,0.44,0.54,0.54,0.67,0.54,0.67,0.54,0.54,0.44,0.12,0.12", "Intent": "0", "Keyword Difficulty Index": "33"}</t>
        </is>
      </c>
      <c r="G1430" t="inlineStr">
        <is>
          <t>Raw (Semrush)</t>
        </is>
      </c>
    </row>
    <row r="1431">
      <c r="A1431" t="inlineStr">
        <is>
          <t>val-us-0</t>
        </is>
      </c>
      <c r="B1431" t="inlineStr">
        <is>
          <t>phrase_these</t>
        </is>
      </c>
      <c r="C1431" t="inlineStr">
        <is>
          <t>us</t>
        </is>
      </c>
      <c r="D1431"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31" t="inlineStr">
        <is>
          <t>2026-10-30T15:07:30+00:00</t>
        </is>
      </c>
      <c r="F1431" t="inlineStr">
        <is>
          <t>{"Keyword": "web development company new york", "Search Volume": "720", "CPC": "0", "Competition": "0.07", "Number of Results": "115", "Trends": "1.00,0.88,0.72,0.88,0.72,0.32,0.48,0.72,0.48,0.59,0.59,0.72", "Intent": "0", "Keyword Difficulty Index": "35"}</t>
        </is>
      </c>
      <c r="G1431" t="inlineStr">
        <is>
          <t>Raw (Semrush)</t>
        </is>
      </c>
    </row>
    <row r="1432">
      <c r="A1432" t="inlineStr">
        <is>
          <t>val-us-0</t>
        </is>
      </c>
      <c r="B1432" t="inlineStr">
        <is>
          <t>phrase_these</t>
        </is>
      </c>
      <c r="C1432" t="inlineStr">
        <is>
          <t>us</t>
        </is>
      </c>
      <c r="D1432"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32" t="inlineStr">
        <is>
          <t>2026-10-30T15:07:30+00:00</t>
        </is>
      </c>
      <c r="F1432" t="inlineStr">
        <is>
          <t>{"Keyword": "web development company san francisco", "Search Volume": "90", "CPC": "0", "Competition": "0.33", "Number of Results": "110", "Trends": "0.66,0.52,0.42,0.42,0.52,0.33,0.23,0.33,0.23,0.23,0.23,0.23", "Intent": "0", "Keyword Difficulty Index": "27"}</t>
        </is>
      </c>
      <c r="G1432" t="inlineStr">
        <is>
          <t>Raw (Semrush)</t>
        </is>
      </c>
    </row>
    <row r="1433">
      <c r="A1433" t="inlineStr">
        <is>
          <t>val-us-0</t>
        </is>
      </c>
      <c r="B1433" t="inlineStr">
        <is>
          <t>phrase_these</t>
        </is>
      </c>
      <c r="C1433" t="inlineStr">
        <is>
          <t>us</t>
        </is>
      </c>
      <c r="D1433" t="inlineStr">
        <is>
          <t>agence web austin;agence web boston;agence web chicago;agence web denver;agence web los angeles;agence web new york;agence web san francisco;agence web seattle;création site web austin;création site web boston;création site web chicago;création site web denver;création site web los angeles;création site web new york;création site web san francisco;création site web seattle;développement web austin;développement web boston;développement web chicago;développement web denver;développement web los angeles;développement web new york;développement web san francisco;développement web seattle;web development company austin;web development company boston;web development company chicago;web development company denver;web development company los angeles;web development company new york;web development company san francisco;web development company seattle</t>
        </is>
      </c>
      <c r="E1433" t="inlineStr">
        <is>
          <t>2026-10-30T15:07:30+00:00</t>
        </is>
      </c>
      <c r="F1433" t="inlineStr">
        <is>
          <t>{"Keyword": "web development company seattle", "Search Volume": "140", "CPC": "0", "Competition": "0.04", "Number of Results": "113", "Trends": "0.66,0.43,0.28,0.43,0.35,0.35,0.35,0.28,0.28,0.35,0.28,0.28", "Intent": "0", "Keyword Difficulty Index": "34"}</t>
        </is>
      </c>
      <c r="G1433" t="inlineStr">
        <is>
          <t>Raw (Semrush)</t>
        </is>
      </c>
    </row>
    <row r="1434">
      <c r="A1434" t="inlineStr">
        <is>
          <t>historical:broad-agence-web-ma.csv</t>
        </is>
      </c>
      <c r="B1434" t="inlineStr">
        <is>
          <t>phrase_fullsearch</t>
        </is>
      </c>
      <c r="C1434" t="inlineStr">
        <is>
          <t>ma</t>
        </is>
      </c>
      <c r="D1434" t="inlineStr">
        <is>
          <t>agence web casablanca</t>
        </is>
      </c>
      <c r="E1434" t="inlineStr">
        <is>
          <t>2026-10-26T14:32:05+00:00</t>
        </is>
      </c>
      <c r="F1434" t="inlineStr">
        <is>
          <t>{"keyword": "agence web casablanca", "database": "ma", "language": "", "search_volume": "1000", "cpc": "0.73", "competition": "0.16", "keyword_difficulty": "", "trend_data": "0.55,0.62,1.00,0.81,0.45,0.55,0.81,0.45,0.30,0.24,0.24,0.16", "intent": "transactional/local (heuristic)", "source_report": "phrase_fullsearch", "retrieved_at": "2026-10-26T14:32:05+00:00", "data_freshness": "fresh_api_retrieval", "notes": "competition = Semrush paid-competition index (0-1), not organic"}</t>
        </is>
      </c>
      <c r="G1434" t="inlineStr">
        <is>
          <t>Raw (Semrush)</t>
        </is>
      </c>
    </row>
    <row r="1435">
      <c r="A1435" t="inlineStr">
        <is>
          <t>historical:broad-agence-web-ma.csv</t>
        </is>
      </c>
      <c r="B1435" t="inlineStr">
        <is>
          <t>phrase_fullsearch</t>
        </is>
      </c>
      <c r="C1435" t="inlineStr">
        <is>
          <t>ma</t>
        </is>
      </c>
      <c r="D1435" t="inlineStr">
        <is>
          <t>agence web</t>
        </is>
      </c>
      <c r="E1435" t="inlineStr">
        <is>
          <t>2026-10-26T14:32:05+00:00</t>
        </is>
      </c>
      <c r="F1435" t="inlineStr">
        <is>
          <t>{"keyword": "agence web", "database": "ma", "language": "", "search_volume": "480", "cpc": "0.63", "competition": "0.12", "keyword_difficulty": "", "trend_data": "0.67,0.54,0.82,0.67,0.67,1.00,0.67,0.67,0.67,0.67,0.54,0.44", "intent": "unclassified", "source_report": "phrase_fullsearch", "retrieved_at": "2026-10-26T14:32:05+00:00", "data_freshness": "fresh_api_retrieval", "notes": "competition = Semrush paid-competition index (0-1), not organic"}</t>
        </is>
      </c>
      <c r="G1435" t="inlineStr">
        <is>
          <t>Raw (Semrush)</t>
        </is>
      </c>
    </row>
    <row r="1436">
      <c r="A1436" t="inlineStr">
        <is>
          <t>historical:broad-agence-web-ma.csv</t>
        </is>
      </c>
      <c r="B1436" t="inlineStr">
        <is>
          <t>phrase_fullsearch</t>
        </is>
      </c>
      <c r="C1436" t="inlineStr">
        <is>
          <t>ma</t>
        </is>
      </c>
      <c r="D1436" t="inlineStr">
        <is>
          <t>agence web maroc</t>
        </is>
      </c>
      <c r="E1436" t="inlineStr">
        <is>
          <t>2026-10-26T14:32:05+00:00</t>
        </is>
      </c>
      <c r="F1436" t="inlineStr">
        <is>
          <t>{"keyword": "agence web maroc", "database": "ma", "language": "", "search_volume": "480", "cpc": "0.62", "competition": "0.12", "keyword_difficulty": "", "trend_data": "0.54,0.54,0.54,0.44,0.67,0.67,1.00,0.44,0.67,0.44,0.54,0.54", "intent": "transactional/local (heuristic)", "source_report": "phrase_fullsearch", "retrieved_at": "2026-10-26T14:32:05+00:00", "data_freshness": "fresh_api_retrieval", "notes": "competition = Semrush paid-competition index (0-1), not organic"}</t>
        </is>
      </c>
      <c r="G1436" t="inlineStr">
        <is>
          <t>Raw (Semrush)</t>
        </is>
      </c>
    </row>
    <row r="1437">
      <c r="A1437" t="inlineStr">
        <is>
          <t>historical:broad-agence-web-ma.csv</t>
        </is>
      </c>
      <c r="B1437" t="inlineStr">
        <is>
          <t>phrase_fullsearch</t>
        </is>
      </c>
      <c r="C1437" t="inlineStr">
        <is>
          <t>ma</t>
        </is>
      </c>
      <c r="D1437" t="inlineStr">
        <is>
          <t>agence web marrakech</t>
        </is>
      </c>
      <c r="E1437" t="inlineStr">
        <is>
          <t>2026-10-26T14:32:05+00:00</t>
        </is>
      </c>
      <c r="F1437" t="inlineStr">
        <is>
          <t>{"keyword": "agence web marrakech", "database": "ma", "language": "", "search_volume": "320", "cpc": "0.75", "competition": "0.1", "keyword_difficulty": "", "trend_data": "0.54,0.44,0.36,0.44,0.44,0.66,0.66,0.66,1.00,0.81,0.66,0.54", "intent": "transactional/local (heuristic)", "source_report": "phrase_fullsearch", "retrieved_at": "2026-10-26T14:32:05+00:00", "data_freshness": "fresh_api_retrieval", "notes": "competition = Semrush paid-competition index (0-1), not organic"}</t>
        </is>
      </c>
      <c r="G1437" t="inlineStr">
        <is>
          <t>Raw (Semrush)</t>
        </is>
      </c>
    </row>
    <row r="1438">
      <c r="A1438" t="inlineStr">
        <is>
          <t>historical:broad-agence-web-ma.csv</t>
        </is>
      </c>
      <c r="B1438" t="inlineStr">
        <is>
          <t>phrase_fullsearch</t>
        </is>
      </c>
      <c r="C1438" t="inlineStr">
        <is>
          <t>ma</t>
        </is>
      </c>
      <c r="D1438" t="inlineStr">
        <is>
          <t>agence web rabat</t>
        </is>
      </c>
      <c r="E1438" t="inlineStr">
        <is>
          <t>2026-10-26T14:32:05+00:00</t>
        </is>
      </c>
      <c r="F1438" t="inlineStr">
        <is>
          <t>{"keyword": "agence web rabat", "database": "ma", "language": "", "search_volume": "260", "cpc": "0.8", "competition": "0.16", "keyword_difficulty": "", "trend_data": "0.29,0.29,0.23,0.35,0.67,0.54,1.00,0.81,0.54,0.44,1.00,0.54", "intent": "transactional/local (heuristic)", "source_report": "phrase_fullsearch", "retrieved_at": "2026-10-26T14:32:05+00:00", "data_freshness": "fresh_api_retrieval", "notes": "competition = Semrush paid-competition index (0-1), not organic"}</t>
        </is>
      </c>
      <c r="G1438" t="inlineStr">
        <is>
          <t>Raw (Semrush)</t>
        </is>
      </c>
    </row>
    <row r="1439">
      <c r="A1439" t="inlineStr">
        <is>
          <t>historical:broad-agence-web-ma.csv</t>
        </is>
      </c>
      <c r="B1439" t="inlineStr">
        <is>
          <t>phrase_fullsearch</t>
        </is>
      </c>
      <c r="C1439" t="inlineStr">
        <is>
          <t>ma</t>
        </is>
      </c>
      <c r="D1439" t="inlineStr">
        <is>
          <t>agence web agadir</t>
        </is>
      </c>
      <c r="E1439" t="inlineStr">
        <is>
          <t>2026-10-26T14:32:05+00:00</t>
        </is>
      </c>
      <c r="F1439" t="inlineStr">
        <is>
          <t>{"keyword": "agence web agadir", "database": "ma", "language": "", "search_volume": "140", "cpc": "0.57", "competition": "0.19", "keyword_difficulty": "", "trend_data": "0.67,0.67,0.33,0.43,0.81,0.81,1.00,0.52,0.81,0.67,0.33,0.19", "intent": "transactional/local (heuristic)", "source_report": "phrase_fullsearch", "retrieved_at": "2026-10-26T14:32:05+00:00", "data_freshness": "fresh_api_retrieval", "notes": "competition = Semrush paid-competition index (0-1), not organic"}</t>
        </is>
      </c>
      <c r="G1439" t="inlineStr">
        <is>
          <t>Raw (Semrush)</t>
        </is>
      </c>
    </row>
    <row r="1440">
      <c r="A1440" t="inlineStr">
        <is>
          <t>historical:broad-agence-web-ma.csv</t>
        </is>
      </c>
      <c r="B1440" t="inlineStr">
        <is>
          <t>phrase_fullsearch</t>
        </is>
      </c>
      <c r="C1440" t="inlineStr">
        <is>
          <t>ma</t>
        </is>
      </c>
      <c r="D1440" t="inlineStr">
        <is>
          <t>agence web offshore maroc</t>
        </is>
      </c>
      <c r="E1440" t="inlineStr">
        <is>
          <t>2026-10-26T14:32:05+00:00</t>
        </is>
      </c>
      <c r="F1440" t="inlineStr">
        <is>
          <t>{"keyword": "agence web offshore maroc", "database": "ma", "language": "", "search_volume": "140", "cpc": "0", "competition": "0.05", "keyword_difficulty": "", "trend_data": "0.22,0.34,0.22,0.81,0.22,0.22,1.00,1.00,0.22,0.53,0.22,0.34", "intent": "transactional/local (heuristic)", "source_report": "phrase_fullsearch", "retrieved_at": "2026-10-26T14:32:05+00:00", "data_freshness": "fresh_api_retrieval", "notes": "competition = Semrush paid-competition index (0-1), not organic"}</t>
        </is>
      </c>
      <c r="G1440" t="inlineStr">
        <is>
          <t>Raw (Semrush)</t>
        </is>
      </c>
    </row>
    <row r="1441">
      <c r="A1441" t="inlineStr">
        <is>
          <t>historical:broad-agence-web-ma.csv</t>
        </is>
      </c>
      <c r="B1441" t="inlineStr">
        <is>
          <t>phrase_fullsearch</t>
        </is>
      </c>
      <c r="C1441" t="inlineStr">
        <is>
          <t>ma</t>
        </is>
      </c>
      <c r="D1441" t="inlineStr">
        <is>
          <t>agence de creation site web</t>
        </is>
      </c>
      <c r="E1441" t="inlineStr">
        <is>
          <t>2026-10-26T14:32:05+00:00</t>
        </is>
      </c>
      <c r="F1441" t="inlineStr">
        <is>
          <t>{"keyword": "agence de creation site web", "database": "ma", "language": "", "search_volume": "110", "cpc": "0.74", "competition": "0.5", "keyword_difficulty": "", "trend_data": "0.24,0.19,0.01,1.00,0.12,0.01,0.01,0.02,0.01,0.01,0.01,0.01", "intent": "unclassified", "source_report": "phrase_fullsearch", "retrieved_at": "2026-10-26T14:32:05+00:00", "data_freshness": "fresh_api_retrieval", "notes": "competition = Semrush paid-competition index (0-1), not organic"}</t>
        </is>
      </c>
      <c r="G1441" t="inlineStr">
        <is>
          <t>Raw (Semrush)</t>
        </is>
      </c>
    </row>
    <row r="1442">
      <c r="A1442" t="inlineStr">
        <is>
          <t>historical:broad-agence-web-ma.csv</t>
        </is>
      </c>
      <c r="B1442" t="inlineStr">
        <is>
          <t>phrase_fullsearch</t>
        </is>
      </c>
      <c r="C1442" t="inlineStr">
        <is>
          <t>ma</t>
        </is>
      </c>
      <c r="D1442" t="inlineStr">
        <is>
          <t>agence de création de site web</t>
        </is>
      </c>
      <c r="E1442" t="inlineStr">
        <is>
          <t>2026-10-26T14:32:05+00:00</t>
        </is>
      </c>
      <c r="F1442" t="inlineStr">
        <is>
          <t>{"keyword": "agence de création de site web", "database": "ma", "language": "", "search_volume": "90", "cpc": "0.74", "competition": "0.5", "keyword_difficulty": "", "trend_data": "0.19,0.29,0.03,1.00,0.24,0.08,0.02,0.02,0.02,0.02,0.02,0.03", "intent": "unclassified", "source_report": "phrase_fullsearch", "retrieved_at": "2026-10-26T14:32:05+00:00", "data_freshness": "fresh_api_retrieval", "notes": "competition = Semrush paid-competition index (0-1), not organic"}</t>
        </is>
      </c>
      <c r="G1442" t="inlineStr">
        <is>
          <t>Raw (Semrush)</t>
        </is>
      </c>
    </row>
    <row r="1443">
      <c r="A1443" t="inlineStr">
        <is>
          <t>historical:broad-agence-web-ma.csv</t>
        </is>
      </c>
      <c r="B1443" t="inlineStr">
        <is>
          <t>phrase_fullsearch</t>
        </is>
      </c>
      <c r="C1443" t="inlineStr">
        <is>
          <t>ma</t>
        </is>
      </c>
      <c r="D1443" t="inlineStr">
        <is>
          <t>agence web fes</t>
        </is>
      </c>
      <c r="E1443" t="inlineStr">
        <is>
          <t>2026-10-26T14:32:05+00:00</t>
        </is>
      </c>
      <c r="F1443" t="inlineStr">
        <is>
          <t>{"keyword": "agence web fes", "database": "ma", "language": "", "search_volume": "90", "cpc": "0.52", "competition": "0.07", "keyword_difficulty": "", "trend_data": "1.00,0.65,0.82,0.12,0.24,0.29,1.00,0.41,0.53,0.18,0.12,0.82", "intent": "transactional/local (heuristic)", "source_report": "phrase_fullsearch", "retrieved_at": "2026-10-26T14:32:05+00:00", "data_freshness": "fresh_api_retrieval", "notes": "competition = Semrush paid-competition index (0-1), not organic"}</t>
        </is>
      </c>
      <c r="G1443" t="inlineStr">
        <is>
          <t>Raw (Semrush)</t>
        </is>
      </c>
    </row>
    <row r="1444">
      <c r="A1444" t="inlineStr">
        <is>
          <t>historical:broad-agence-web-ma.csv</t>
        </is>
      </c>
      <c r="B1444" t="inlineStr">
        <is>
          <t>phrase_fullsearch</t>
        </is>
      </c>
      <c r="C1444" t="inlineStr">
        <is>
          <t>ma</t>
        </is>
      </c>
      <c r="D1444" t="inlineStr">
        <is>
          <t>web agence</t>
        </is>
      </c>
      <c r="E1444" t="inlineStr">
        <is>
          <t>2026-10-26T14:32:05+00:00</t>
        </is>
      </c>
      <c r="F1444" t="inlineStr">
        <is>
          <t>{"keyword": "web agence", "database": "ma", "language": "", "search_volume": "90", "cpc": "0", "competition": "0.09", "keyword_difficulty": "", "trend_data": "0.06,0.01,0.01,0.01,0.01,0.01,0.01,1.00,0.01,0.01,0.01,0.03", "intent": "unclassified", "source_report": "phrase_fullsearch", "retrieved_at": "2026-10-26T14:32:05+00:00", "data_freshness": "fresh_api_retrieval", "notes": "competition = Semrush paid-competition index (0-1), not organic"}</t>
        </is>
      </c>
      <c r="G1444" t="inlineStr">
        <is>
          <t>Raw (Semrush)</t>
        </is>
      </c>
    </row>
    <row r="1445">
      <c r="A1445" t="inlineStr">
        <is>
          <t>historical:broad-agence-web-ma.csv</t>
        </is>
      </c>
      <c r="B1445" t="inlineStr">
        <is>
          <t>phrase_fullsearch</t>
        </is>
      </c>
      <c r="C1445" t="inlineStr">
        <is>
          <t>ma</t>
        </is>
      </c>
      <c r="D1445" t="inlineStr">
        <is>
          <t>agence création de site web</t>
        </is>
      </c>
      <c r="E1445" t="inlineStr">
        <is>
          <t>2026-10-26T14:32:05+00:00</t>
        </is>
      </c>
      <c r="F1445" t="inlineStr">
        <is>
          <t>{"keyword": "agence création de site web", "database": "ma", "language": "", "search_volume": "70", "cpc": "0.74", "competition": "0.5", "keyword_difficulty": "", "trend_data": "0.53,0.66,0.03,0.44,1.00,0.03,0.03,0.03,0.03,0.06,0.03,0.03", "intent": "unclassified", "source_report": "phrase_fullsearch", "retrieved_at": "2026-10-26T14:32:05+00:00", "data_freshness": "fresh_api_retrieval", "notes": "competition = Semrush paid-competition index (0-1), not organic"}</t>
        </is>
      </c>
      <c r="G1445" t="inlineStr">
        <is>
          <t>Raw (Semrush)</t>
        </is>
      </c>
    </row>
    <row r="1446">
      <c r="A1446" t="inlineStr">
        <is>
          <t>historical:broad-agence-web-ma.csv</t>
        </is>
      </c>
      <c r="B1446" t="inlineStr">
        <is>
          <t>phrase_fullsearch</t>
        </is>
      </c>
      <c r="C1446" t="inlineStr">
        <is>
          <t>ma</t>
        </is>
      </c>
      <c r="D1446" t="inlineStr">
        <is>
          <t>web agency</t>
        </is>
      </c>
      <c r="E1446" t="inlineStr">
        <is>
          <t>2026-10-26T14:32:05+00:00</t>
        </is>
      </c>
      <c r="F1446" t="inlineStr">
        <is>
          <t>{"keyword": "web agency", "database": "ma", "language": "", "search_volume": "70", "cpc": "0.5", "competition": "0.39", "keyword_difficulty": "", "trend_data": "0.05,0.52,0.05,0.33,0.05,1.00,0.05,0.67,0.05,0.67,0.05,0.05", "intent": "unclassified", "source_report": "phrase_fullsearch", "retrieved_at": "2026-10-26T14:32:05+00:00", "data_freshness": "fresh_api_retrieval", "notes": "competition = Semrush paid-competition index (0-1), not organic"}</t>
        </is>
      </c>
      <c r="G1446" t="inlineStr">
        <is>
          <t>Raw (Semrush)</t>
        </is>
      </c>
    </row>
    <row r="1447">
      <c r="A1447" t="inlineStr">
        <is>
          <t>historical:broad-agence-web-ma.csv</t>
        </is>
      </c>
      <c r="B1447" t="inlineStr">
        <is>
          <t>phrase_fullsearch</t>
        </is>
      </c>
      <c r="C1447" t="inlineStr">
        <is>
          <t>ma</t>
        </is>
      </c>
      <c r="D1447" t="inlineStr">
        <is>
          <t>agence web en france</t>
        </is>
      </c>
      <c r="E1447" t="inlineStr">
        <is>
          <t>2026-10-26T14:32:05+00:00</t>
        </is>
      </c>
      <c r="F1447" t="inlineStr">
        <is>
          <t>{"keyword": "agence web en france", "database": "ma", "language": "", "search_volume": "50", "cpc": "1.83", "competition": "0.47", "keyword_difficulty": "", "trend_data": "0.03,0.03,1.00,0.03,0.05,0.03,0.05,0.08,0.10,0.18,0.03,0.03", "intent": "unclassified", "source_report": "phrase_fullsearch", "retrieved_at": "2026-10-26T14:32:05+00:00", "data_freshness": "fresh_api_retrieval", "notes": "competition = Semrush paid-competition index (0-1), not organic"}</t>
        </is>
      </c>
      <c r="G1447" t="inlineStr">
        <is>
          <t>Raw (Semrush)</t>
        </is>
      </c>
    </row>
    <row r="1448">
      <c r="A1448" t="inlineStr">
        <is>
          <t>historical:broad-agence-web-ma.csv</t>
        </is>
      </c>
      <c r="B1448" t="inlineStr">
        <is>
          <t>phrase_fullsearch</t>
        </is>
      </c>
      <c r="C1448" t="inlineStr">
        <is>
          <t>ma</t>
        </is>
      </c>
      <c r="D1448" t="inlineStr">
        <is>
          <t>web design agency</t>
        </is>
      </c>
      <c r="E1448" t="inlineStr">
        <is>
          <t>2026-10-26T14:32:05+00:00</t>
        </is>
      </c>
      <c r="F1448" t="inlineStr">
        <is>
          <t>{"keyword": "web design agency", "database": "ma", "language": "", "search_volume": "50", "cpc": "0.52", "competition": "0.4", "keyword_difficulty": "", "trend_data": "0.03,0.03,0.18,0.03,0.03,0.03,0.03,0.18,0.18,1.00,0.03,0.03", "intent": "unclassified", "source_report": "phrase_fullsearch", "retrieved_at": "2026-10-26T14:32:05+00:00", "data_freshness": "fresh_api_retrieval", "notes": "competition = Semrush paid-competition index (0-1), not organic"}</t>
        </is>
      </c>
      <c r="G1448" t="inlineStr">
        <is>
          <t>Raw (Semrush)</t>
        </is>
      </c>
    </row>
    <row r="1449">
      <c r="A1449" t="inlineStr">
        <is>
          <t>historical:broad-creation-site-web-ma.csv</t>
        </is>
      </c>
      <c r="B1449" t="inlineStr">
        <is>
          <t>phrase_fullsearch</t>
        </is>
      </c>
      <c r="C1449" t="inlineStr">
        <is>
          <t>ma</t>
        </is>
      </c>
      <c r="D1449" t="inlineStr">
        <is>
          <t>création site web tanger</t>
        </is>
      </c>
      <c r="E1449" t="inlineStr">
        <is>
          <t>2026-10-26T14:31:45+00:00</t>
        </is>
      </c>
      <c r="F1449" t="inlineStr">
        <is>
          <t>{"keyword": "création site web tanger", "database": "ma", "language": "", "search_volume": "260", "cpc": "0.66", "competition": "0.02", "keyword_difficulty": "", "trend_data": "0.16,0.01,0.01,0.30,0.12,0.12,1.00,0.24,0.55,0.24,0.24,0.44", "intent": "transactional/local (heuristic)", "source_report": "phrase_fullsearch", "retrieved_at": "2026-10-26T14:31:45+00:00", "data_freshness": "fresh_api_retrieval", "notes": "competition = Semrush paid-competition index (0-1), not organic"}</t>
        </is>
      </c>
      <c r="G1449" t="inlineStr">
        <is>
          <t>Raw (Semrush)</t>
        </is>
      </c>
    </row>
    <row r="1450">
      <c r="A1450" t="inlineStr">
        <is>
          <t>historical:broad-creation-site-web-ma.csv</t>
        </is>
      </c>
      <c r="B1450" t="inlineStr">
        <is>
          <t>phrase_fullsearch</t>
        </is>
      </c>
      <c r="C1450" t="inlineStr">
        <is>
          <t>ma</t>
        </is>
      </c>
      <c r="D1450" t="inlineStr">
        <is>
          <t>création site web casablanca</t>
        </is>
      </c>
      <c r="E1450" t="inlineStr">
        <is>
          <t>2026-10-26T14:31:45+00:00</t>
        </is>
      </c>
      <c r="F1450" t="inlineStr">
        <is>
          <t>{"keyword": "création site web casablanca", "database": "ma", "language": "", "search_volume": "210", "cpc": "0.91", "competition": "0.22", "keyword_difficulty": "", "trend_data": "1.00,0.81,0.53,0.66,1.00,0.81,0.81,0.53,0.81,0.34,0.28,0.34", "intent": "transactional/local (heuristic)", "source_report": "phrase_fullsearch", "retrieved_at": "2026-10-26T14:31:45+00:00", "data_freshness": "fresh_api_retrieval", "notes": "competition = Semrush paid-competition index (0-1), not organic"}</t>
        </is>
      </c>
      <c r="G1450" t="inlineStr">
        <is>
          <t>Raw (Semrush)</t>
        </is>
      </c>
    </row>
    <row r="1451">
      <c r="A1451" t="inlineStr">
        <is>
          <t>historical:broad-creation-site-web-ma.csv</t>
        </is>
      </c>
      <c r="B1451" t="inlineStr">
        <is>
          <t>phrase_fullsearch</t>
        </is>
      </c>
      <c r="C1451" t="inlineStr">
        <is>
          <t>ma</t>
        </is>
      </c>
      <c r="D1451" t="inlineStr">
        <is>
          <t>agence de création de site web</t>
        </is>
      </c>
      <c r="E1451" t="inlineStr">
        <is>
          <t>2026-10-26T14:31:45+00:00</t>
        </is>
      </c>
      <c r="F1451" t="inlineStr">
        <is>
          <t>{"keyword": "agence de création de site web", "database": "ma", "language": "", "search_volume": "90", "cpc": "0.74", "competition": "0.5", "keyword_difficulty": "", "trend_data": "0.19,0.29,0.03,1.00,0.24,0.08,0.02,0.02,0.02,0.02,0.02,0.03", "intent": "unclassified", "source_report": "phrase_fullsearch", "retrieved_at": "2026-10-26T14:31:45+00:00", "data_freshness": "fresh_api_retrieval", "notes": "competition = Semrush paid-competition index (0-1), not organic"}</t>
        </is>
      </c>
      <c r="G1451" t="inlineStr">
        <is>
          <t>Raw (Semrush)</t>
        </is>
      </c>
    </row>
    <row r="1452">
      <c r="A1452" t="inlineStr">
        <is>
          <t>historical:broad-creation-site-web-ma.csv</t>
        </is>
      </c>
      <c r="B1452" t="inlineStr">
        <is>
          <t>phrase_fullsearch</t>
        </is>
      </c>
      <c r="C1452" t="inlineStr">
        <is>
          <t>ma</t>
        </is>
      </c>
      <c r="D1452" t="inlineStr">
        <is>
          <t>agence création de site web</t>
        </is>
      </c>
      <c r="E1452" t="inlineStr">
        <is>
          <t>2026-10-26T14:31:45+00:00</t>
        </is>
      </c>
      <c r="F1452" t="inlineStr">
        <is>
          <t>{"keyword": "agence création de site web", "database": "ma", "language": "", "search_volume": "70", "cpc": "0.74", "competition": "0.5", "keyword_difficulty": "", "trend_data": "0.53,0.66,0.03,0.44,1.00,0.03,0.03,0.03,0.03,0.06,0.03,0.03", "intent": "unclassified", "source_report": "phrase_fullsearch", "retrieved_at": "2026-10-26T14:31:45+00:00", "data_freshness": "fresh_api_retrieval", "notes": "competition = Semrush paid-competition index (0-1), not organic"}</t>
        </is>
      </c>
      <c r="G1452" t="inlineStr">
        <is>
          <t>Raw (Semrush)</t>
        </is>
      </c>
    </row>
    <row r="1453">
      <c r="A1453" t="inlineStr">
        <is>
          <t>historical:broad-creation-site-web-ma.csv</t>
        </is>
      </c>
      <c r="B1453" t="inlineStr">
        <is>
          <t>phrase_fullsearch</t>
        </is>
      </c>
      <c r="C1453" t="inlineStr">
        <is>
          <t>ma</t>
        </is>
      </c>
      <c r="D1453" t="inlineStr">
        <is>
          <t>création site web freelance</t>
        </is>
      </c>
      <c r="E1453" t="inlineStr">
        <is>
          <t>2026-10-26T14:31:45+00:00</t>
        </is>
      </c>
      <c r="F1453" t="inlineStr">
        <is>
          <t>{"keyword": "création site web freelance", "database": "ma", "language": "", "search_volume": "40", "cpc": "0", "competition": "0.43", "keyword_difficulty": "", "trend_data": "0.11,0.22,0.11,0.11,1.00,0.78,0.11,1.00,0.11,0.33,0.11,1.00", "intent": "unclassified", "source_report": "phrase_fullsearch", "retrieved_at": "2026-10-26T14:31:45+00:00", "data_freshness": "fresh_api_retrieval", "notes": "competition = Semrush paid-competition index (0-1), not organic"}</t>
        </is>
      </c>
      <c r="G1453" t="inlineStr">
        <is>
          <t>Raw (Semrush)</t>
        </is>
      </c>
    </row>
    <row r="1454">
      <c r="A1454" t="inlineStr">
        <is>
          <t>historical:broad-creation-site-web-ma.csv</t>
        </is>
      </c>
      <c r="B1454" t="inlineStr">
        <is>
          <t>phrase_fullsearch</t>
        </is>
      </c>
      <c r="C1454" t="inlineStr">
        <is>
          <t>ma</t>
        </is>
      </c>
      <c r="D1454" t="inlineStr">
        <is>
          <t>création site web sur mesure</t>
        </is>
      </c>
      <c r="E1454" t="inlineStr">
        <is>
          <t>2026-10-26T14:31:45+00:00</t>
        </is>
      </c>
      <c r="F1454" t="inlineStr">
        <is>
          <t>{"keyword": "création site web sur mesure", "database": "ma", "language": "", "search_volume": "40", "cpc": "0", "competition": "0.12", "keyword_difficulty": "", "trend_data": "0.22,0.11,0.22,0.78,0.11,0.11,0.22,0.44,0.78,0.56,1.00,0.11", "intent": "unclassified", "source_report": "phrase_fullsearch", "retrieved_at": "2026-10-26T14:31:45+00:00", "data_freshness": "fresh_api_retrieval", "notes": "competition = Semrush paid-competition index (0-1), not organic"}</t>
        </is>
      </c>
      <c r="G1454" t="inlineStr">
        <is>
          <t>Raw (Semrush)</t>
        </is>
      </c>
    </row>
    <row r="1455">
      <c r="A1455" t="inlineStr">
        <is>
          <t>historical:broad-creation-site-web-ma.csv</t>
        </is>
      </c>
      <c r="B1455" t="inlineStr">
        <is>
          <t>phrase_fullsearch</t>
        </is>
      </c>
      <c r="C1455" t="inlineStr">
        <is>
          <t>ma</t>
        </is>
      </c>
      <c r="D1455" t="inlineStr">
        <is>
          <t>agence création site web</t>
        </is>
      </c>
      <c r="E1455" t="inlineStr">
        <is>
          <t>2026-10-26T14:31:45+00:00</t>
        </is>
      </c>
      <c r="F1455" t="inlineStr">
        <is>
          <t>{"keyword": "agence création site web", "database": "ma", "language": "", "search_volume": "30", "cpc": "0.36", "competition": "0.36", "keyword_difficulty": "", "trend_data": "0.14,0.14,0.14,1.00,0.14,0.29,0.14,0.14,0.57,1.00,0.57,0.14", "intent": "unclassified", "source_report": "phrase_fullsearch", "retrieved_at": "2026-10-26T14:31:45+00:00", "data_freshness": "fresh_api_retrieval", "notes": "competition = Semrush paid-competition index (0-1), not organic"}</t>
        </is>
      </c>
      <c r="G1455" t="inlineStr">
        <is>
          <t>Raw (Semrush)</t>
        </is>
      </c>
    </row>
    <row r="1456">
      <c r="A1456" t="inlineStr">
        <is>
          <t>historical:broad-creation-site-web-ma.csv</t>
        </is>
      </c>
      <c r="B1456" t="inlineStr">
        <is>
          <t>phrase_fullsearch</t>
        </is>
      </c>
      <c r="C1456" t="inlineStr">
        <is>
          <t>ma</t>
        </is>
      </c>
      <c r="D1456" t="inlineStr">
        <is>
          <t>agence création site web casablanca</t>
        </is>
      </c>
      <c r="E1456" t="inlineStr">
        <is>
          <t>2026-10-26T14:31:45+00:00</t>
        </is>
      </c>
      <c r="F1456" t="inlineStr">
        <is>
          <t>{"keyword": "agence création site web casablanca", "database": "ma", "language": "", "search_volume": "30", "cpc": "0.63", "competition": "0.07", "keyword_difficulty": "", "trend_data": "0.11,0.11,0.11,0.11,0.11,0.56,0.22,0.22,0.78,0.11,0.11,1.00", "intent": "transactional/local (heuristic)", "source_report": "phrase_fullsearch", "retrieved_at": "2026-10-26T14:31:45+00:00", "data_freshness": "fresh_api_retrieval", "notes": "competition = Semrush paid-competition index (0-1), not organic"}</t>
        </is>
      </c>
      <c r="G1456" t="inlineStr">
        <is>
          <t>Raw (Semrush)</t>
        </is>
      </c>
    </row>
    <row r="1457">
      <c r="A1457" t="inlineStr">
        <is>
          <t>historical:broad-creation-site-web-ma.csv</t>
        </is>
      </c>
      <c r="B1457" t="inlineStr">
        <is>
          <t>phrase_fullsearch</t>
        </is>
      </c>
      <c r="C1457" t="inlineStr">
        <is>
          <t>ma</t>
        </is>
      </c>
      <c r="D1457" t="inlineStr">
        <is>
          <t>création de site web marrakech</t>
        </is>
      </c>
      <c r="E1457" t="inlineStr">
        <is>
          <t>2026-10-26T14:31:45+00:00</t>
        </is>
      </c>
      <c r="F1457" t="inlineStr">
        <is>
          <t>{"keyword": "création de site web marrakech", "database": "ma", "language": "", "search_volume": "30", "cpc": "0.81", "competition": "0.38", "keyword_difficulty": "", "trend_data": "0.71,0.14,0.14,0.71,0.29,1.00,0.14,1.00,0.29,0.14,0.14,0.43", "intent": "transactional/local (heuristic)", "source_report": "phrase_fullsearch", "retrieved_at": "2026-10-26T14:31:45+00:00", "data_freshness": "fresh_api_retrieval", "notes": "competition = Semrush paid-competition index (0-1), not organic"}</t>
        </is>
      </c>
      <c r="G1457" t="inlineStr">
        <is>
          <t>Raw (Semrush)</t>
        </is>
      </c>
    </row>
    <row r="1458">
      <c r="A1458" t="inlineStr">
        <is>
          <t>historical:broad-creation-site-web-ma.csv</t>
        </is>
      </c>
      <c r="B1458" t="inlineStr">
        <is>
          <t>phrase_fullsearch</t>
        </is>
      </c>
      <c r="C1458" t="inlineStr">
        <is>
          <t>ma</t>
        </is>
      </c>
      <c r="D1458" t="inlineStr">
        <is>
          <t>création des sites web pdf</t>
        </is>
      </c>
      <c r="E1458" t="inlineStr">
        <is>
          <t>2026-10-26T14:31:45+00:00</t>
        </is>
      </c>
      <c r="F1458" t="inlineStr">
        <is>
          <t>{"keyword": "création des sites web pdf", "database": "ma", "language": "", "search_volume": "30", "cpc": "0", "competition": "0.14", "keyword_difficulty": "", "trend_data": "0.40,0.20,0.40,0.40,0.60,0.60,0.20,0.20,1.00,0.60,1.00,0.60", "intent": "informational (heuristic)", "source_report": "phrase_fullsearch", "retrieved_at": "2026-10-26T14:31:45+00:00", "data_freshness": "fresh_api_retrieval", "notes": "competition = Semrush paid-competition index (0-1), not organic"}</t>
        </is>
      </c>
      <c r="G1458" t="inlineStr">
        <is>
          <t>Raw (Semrush)</t>
        </is>
      </c>
    </row>
    <row r="1459">
      <c r="A1459" t="inlineStr">
        <is>
          <t>historical:broad-creation-site-web-ma.csv</t>
        </is>
      </c>
      <c r="B1459" t="inlineStr">
        <is>
          <t>phrase_fullsearch</t>
        </is>
      </c>
      <c r="C1459" t="inlineStr">
        <is>
          <t>ma</t>
        </is>
      </c>
      <c r="D1459" t="inlineStr">
        <is>
          <t>création site web prix maroc</t>
        </is>
      </c>
      <c r="E1459" t="inlineStr">
        <is>
          <t>2026-10-26T14:31:45+00:00</t>
        </is>
      </c>
      <c r="F1459" t="inlineStr">
        <is>
          <t>{"keyword": "création site web prix maroc", "database": "ma", "language": "", "search_volume": "30", "cpc": "0.28", "competition": "0.96", "keyword_difficulty": "", "trend_data": "0.14,0.29,0.71,0.14,0.43,0.29,1.00,0.29,0.71,0.14,0.14,0.14", "intent": "transactional/local (heuristic)", "source_report": "phrase_fullsearch", "retrieved_at": "2026-10-26T14:31:45+00:00", "data_freshness": "fresh_api_retrieval", "notes": "competition = Semrush paid-competition index (0-1), not organic"}</t>
        </is>
      </c>
      <c r="G1459" t="inlineStr">
        <is>
          <t>Raw (Semrush)</t>
        </is>
      </c>
    </row>
    <row r="1460">
      <c r="A1460" t="inlineStr">
        <is>
          <t>historical:broad-creation-site-web-ma.csv</t>
        </is>
      </c>
      <c r="B1460" t="inlineStr">
        <is>
          <t>phrase_fullsearch</t>
        </is>
      </c>
      <c r="C1460" t="inlineStr">
        <is>
          <t>ma</t>
        </is>
      </c>
      <c r="D1460" t="inlineStr">
        <is>
          <t>création site web wordpress</t>
        </is>
      </c>
      <c r="E1460" t="inlineStr">
        <is>
          <t>2026-10-26T14:31:45+00:00</t>
        </is>
      </c>
      <c r="F1460" t="inlineStr">
        <is>
          <t>{"keyword": "création site web wordpress", "database": "ma", "language": "", "search_volume": "30", "cpc": "0.36", "competition": "0.61", "keyword_difficulty": "", "trend_data": "0.11,0.11,0.11,0.11,0.78,0.22,0.11,0.33,1.00,0.33,0.11,0.78", "intent": "unclassified", "source_report": "phrase_fullsearch", "retrieved_at": "2026-10-26T14:31:45+00:00", "data_freshness": "fresh_api_retrieval", "notes": "competition = Semrush paid-competition index (0-1), not organic"}</t>
        </is>
      </c>
      <c r="G1460" t="inlineStr">
        <is>
          <t>Raw (Semrush)</t>
        </is>
      </c>
    </row>
    <row r="1461">
      <c r="A1461" t="inlineStr">
        <is>
          <t>historical:broad-creation-site-web-ma.csv</t>
        </is>
      </c>
      <c r="B1461" t="inlineStr">
        <is>
          <t>phrase_fullsearch</t>
        </is>
      </c>
      <c r="C1461" t="inlineStr">
        <is>
          <t>ma</t>
        </is>
      </c>
      <c r="D1461" t="inlineStr">
        <is>
          <t>logiciel de création de site web</t>
        </is>
      </c>
      <c r="E1461" t="inlineStr">
        <is>
          <t>2026-10-26T14:31:45+00:00</t>
        </is>
      </c>
      <c r="F1461" t="inlineStr">
        <is>
          <t>{"keyword": "logiciel de création de site web", "database": "ma", "language": "", "search_volume": "30", "cpc": "0", "competition": "0.86", "keyword_difficulty": "", "trend_data": "0.11,0.22,0.11,0.22,0.33,0.11,0.11,0.44,0.11,1.00,0.11,0.78", "intent": "unclassified", "source_report": "phrase_fullsearch", "retrieved_at": "2026-10-26T14:31:45+00:00", "data_freshness": "fresh_api_retrieval", "notes": "competition = Semrush paid-competition index (0-1), not organic"}</t>
        </is>
      </c>
      <c r="G1461" t="inlineStr">
        <is>
          <t>Raw (Semrush)</t>
        </is>
      </c>
    </row>
    <row r="1462">
      <c r="A1462" t="inlineStr">
        <is>
          <t>historical:broad-creation-site-web-ma.csv</t>
        </is>
      </c>
      <c r="B1462" t="inlineStr">
        <is>
          <t>phrase_fullsearch</t>
        </is>
      </c>
      <c r="C1462" t="inlineStr">
        <is>
          <t>ma</t>
        </is>
      </c>
      <c r="D1462" t="inlineStr">
        <is>
          <t>société création de site web</t>
        </is>
      </c>
      <c r="E1462" t="inlineStr">
        <is>
          <t>2026-10-26T14:31:45+00:00</t>
        </is>
      </c>
      <c r="F1462" t="inlineStr">
        <is>
          <t>{"keyword": "société création de site web", "database": "ma", "language": "", "search_volume": "30", "cpc": "0", "competition": "0.14", "keyword_difficulty": "", "trend_data": "0.11,0.44,0.11,1.00,0.11,0.11,0.11,0.11,0.11,0.78,0.44,0.78", "intent": "unclassified", "source_report": "phrase_fullsearch", "retrieved_at": "2026-10-26T14:31:45+00:00", "data_freshness": "fresh_api_retrieval", "notes": "competition = Semrush paid-competition index (0-1), not organic"}</t>
        </is>
      </c>
      <c r="G1462" t="inlineStr">
        <is>
          <t>Raw (Semrush)</t>
        </is>
      </c>
    </row>
    <row r="1463">
      <c r="A1463" t="inlineStr">
        <is>
          <t>historical:broad-creation-site-web-ma.csv</t>
        </is>
      </c>
      <c r="B1463" t="inlineStr">
        <is>
          <t>phrase_fullsearch</t>
        </is>
      </c>
      <c r="C1463" t="inlineStr">
        <is>
          <t>ma</t>
        </is>
      </c>
      <c r="D1463" t="inlineStr">
        <is>
          <t>société de création de site web</t>
        </is>
      </c>
      <c r="E1463" t="inlineStr">
        <is>
          <t>2026-10-26T14:31:45+00:00</t>
        </is>
      </c>
      <c r="F1463" t="inlineStr">
        <is>
          <t>{"keyword": "société de création de site web", "database": "ma", "language": "", "search_volume": "30", "cpc": "0", "competition": "0.14", "keyword_difficulty": "", "trend_data": "1.00,1.00,0.56,0.11,0.33,0.11,0.11,0.11,0.11,0.56,0.11,0.11", "intent": "unclassified", "source_report": "phrase_fullsearch", "retrieved_at": "2026-10-26T14:31:45+00:00", "data_freshness": "fresh_api_retrieval", "notes": "competition = Semrush paid-competition index (0-1), not organic"}</t>
        </is>
      </c>
      <c r="G1463" t="inlineStr">
        <is>
          <t>Raw (Semrush)</t>
        </is>
      </c>
    </row>
    <row r="1464">
      <c r="A1464" t="inlineStr">
        <is>
          <t>historical:validate-fr-services.csv</t>
        </is>
      </c>
      <c r="B1464" t="inlineStr">
        <is>
          <t>phrase_these</t>
        </is>
      </c>
      <c r="C1464" t="inlineStr">
        <is>
          <t>fr</t>
        </is>
      </c>
      <c r="D1464" t="inlineStr">
        <is>
          <t>agence de développement web</t>
        </is>
      </c>
      <c r="E1464" t="inlineStr">
        <is>
          <t>2026-10-26T14:32:24+00:00</t>
        </is>
      </c>
      <c r="F1464" t="inlineStr">
        <is>
          <t>{"keyword": "agence de développement web", "database": "fr", "language": "", "search_volume": "1300", "cpc": "4.62", "competition": "0.18", "keyword_difficulty": "", "trend_data": "0.81,0.62,0.62,0.81,0.81,0.81,0.62,0.62,0.81,1.00,0.62,0.62", "intent": "unclassified", "source_report": "phrase_these", "retrieved_at": "2026-10-26T14:32:24+00:00", "data_freshness": "fresh_api_retrieval", "notes": "competition = Semrush paid-competition index (0-1), not organic"}</t>
        </is>
      </c>
      <c r="G1464" t="inlineStr">
        <is>
          <t>Raw (Semrush)</t>
        </is>
      </c>
    </row>
    <row r="1465">
      <c r="A1465" t="inlineStr">
        <is>
          <t>historical:validate-fr-services.csv</t>
        </is>
      </c>
      <c r="B1465" t="inlineStr">
        <is>
          <t>phrase_these</t>
        </is>
      </c>
      <c r="C1465" t="inlineStr">
        <is>
          <t>fr</t>
        </is>
      </c>
      <c r="D1465" t="inlineStr">
        <is>
          <t>agence web offshore maroc</t>
        </is>
      </c>
      <c r="E1465" t="inlineStr">
        <is>
          <t>2026-10-26T14:32:24+00:00</t>
        </is>
      </c>
      <c r="F1465" t="inlineStr">
        <is>
          <t>{"keyword": "agence web offshore maroc", "database": "fr", "language": "", "search_volume": "20", "cpc": "0", "competition": "0.33", "keyword_difficulty": "", "trend_data": "0.18,0.09,0.09,0.18,0.18,0.18,0.18,0.27,0.18,0.18,0.18,0.18", "intent": "transactional/local (heuristic)", "source_report": "phrase_these", "retrieved_at": "2026-10-26T14:32:24+00:00", "data_freshness": "fresh_api_retrieval", "notes": "competition = Semrush paid-competition index (0-1), not organic"}</t>
        </is>
      </c>
      <c r="G1465" t="inlineStr">
        <is>
          <t>Raw (Semrush)</t>
        </is>
      </c>
    </row>
    <row r="1466">
      <c r="A1466" t="inlineStr">
        <is>
          <t>historical:validate-fr-services.csv</t>
        </is>
      </c>
      <c r="B1466" t="inlineStr">
        <is>
          <t>phrase_these</t>
        </is>
      </c>
      <c r="C1466" t="inlineStr">
        <is>
          <t>fr</t>
        </is>
      </c>
      <c r="D1466" t="inlineStr">
        <is>
          <t>développement application web</t>
        </is>
      </c>
      <c r="E1466" t="inlineStr">
        <is>
          <t>2026-10-26T14:32:24+00:00</t>
        </is>
      </c>
      <c r="F1466" t="inlineStr">
        <is>
          <t>{"keyword": "développement application web", "database": "fr", "language": "", "search_volume": "1000", "cpc": "10.13", "competition": "0.34", "keyword_difficulty": "", "trend_data": "0.62,0.62,0.81,0.81,0.81,1.00,0.62,0.62,0.62,0.55,0.55,0.06", "intent": "unclassified", "source_report": "phrase_these", "retrieved_at": "2026-10-26T14:32:24+00:00", "data_freshness": "fresh_api_retrieval", "notes": "competition = Semrush paid-competition index (0-1), not organic"}</t>
        </is>
      </c>
      <c r="G1466" t="inlineStr">
        <is>
          <t>Raw (Semrush)</t>
        </is>
      </c>
    </row>
    <row r="1467">
      <c r="A1467" t="inlineStr">
        <is>
          <t>historical:validate-fr-services.csv</t>
        </is>
      </c>
      <c r="B1467" t="inlineStr">
        <is>
          <t>phrase_these</t>
        </is>
      </c>
      <c r="C1467" t="inlineStr">
        <is>
          <t>fr</t>
        </is>
      </c>
      <c r="D1467" t="inlineStr">
        <is>
          <t>développement plateforme saas</t>
        </is>
      </c>
      <c r="E1467" t="inlineStr">
        <is>
          <t>2026-10-26T14:32:24+00:00</t>
        </is>
      </c>
      <c r="F1467" t="inlineStr">
        <is>
          <t>{"keyword": "développement plateforme saas", "database": "fr", "language": "", "search_volume": "0", "cpc": "0", "competition": "0", "keyword_difficulty": "", "trend_data": "0.00,0.00,0.00,0.00,0.00,0.00,0.00,0.00,0.00,0.00,0.00,0.00", "intent": "unclassified", "source_report": "phrase_these", "retrieved_at": "2026-10-26T14:32:24+00:00", "data_freshness": "fresh_api_retrieval", "notes": "competition = Semrush paid-competition index (0-1), not organic"}</t>
        </is>
      </c>
      <c r="G1467" t="inlineStr">
        <is>
          <t>Raw (Semrush)</t>
        </is>
      </c>
    </row>
    <row r="1468">
      <c r="A1468" t="inlineStr">
        <is>
          <t>historical:validate-fr-services.csv</t>
        </is>
      </c>
      <c r="B1468" t="inlineStr">
        <is>
          <t>phrase_these</t>
        </is>
      </c>
      <c r="C1468" t="inlineStr">
        <is>
          <t>fr</t>
        </is>
      </c>
      <c r="D1468" t="inlineStr">
        <is>
          <t>développement site e-commerce</t>
        </is>
      </c>
      <c r="E1468" t="inlineStr">
        <is>
          <t>2026-10-26T14:32:24+00:00</t>
        </is>
      </c>
      <c r="F1468" t="inlineStr">
        <is>
          <t>{"keyword": "développement site e-commerce", "database": "fr", "language": "", "search_volume": "70", "cpc": "16.95", "competition": "0.4", "keyword_difficulty": "", "trend_data": "1.00,0.45,0.09,0.45,0.63,1.00,0.63,0.36,0.63,0.81,0.81,0.63", "intent": "unclassified", "source_report": "phrase_these", "retrieved_at": "2026-10-26T14:32:24+00:00", "data_freshness": "fresh_api_retrieval", "notes": "competition = Semrush paid-competition index (0-1), not organic"}</t>
        </is>
      </c>
      <c r="G1468" t="inlineStr">
        <is>
          <t>Raw (Semrush)</t>
        </is>
      </c>
    </row>
    <row r="1469">
      <c r="A1469" t="inlineStr">
        <is>
          <t>historical:validate-fr-services.csv</t>
        </is>
      </c>
      <c r="B1469" t="inlineStr">
        <is>
          <t>phrase_these</t>
        </is>
      </c>
      <c r="C1469" t="inlineStr">
        <is>
          <t>fr</t>
        </is>
      </c>
      <c r="D1469" t="inlineStr">
        <is>
          <t>développement web sur mesure</t>
        </is>
      </c>
      <c r="E1469" t="inlineStr">
        <is>
          <t>2026-10-26T14:32:24+00:00</t>
        </is>
      </c>
      <c r="F1469" t="inlineStr">
        <is>
          <t>{"keyword": "développement web sur mesure", "database": "fr", "language": "", "search_volume": "1600", "cpc": "6.28", "competition": "0.06", "keyword_difficulty": "", "trend_data": "0.68,0.68,0.68,0.84,0.84,1.00,0.84,1.00,1.00,0.84,0.52,0.05", "intent": "unclassified", "source_report": "phrase_these", "retrieved_at": "2026-10-26T14:32:24+00:00", "data_freshness": "fresh_api_retrieval", "notes": "competition = Semrush paid-competition index (0-1), not organic"}</t>
        </is>
      </c>
      <c r="G1469" t="inlineStr">
        <is>
          <t>Raw (Semrush)</t>
        </is>
      </c>
    </row>
    <row r="1470">
      <c r="A1470" t="inlineStr">
        <is>
          <t>historical:validate-ma-core.csv</t>
        </is>
      </c>
      <c r="B1470" t="inlineStr">
        <is>
          <t>phrase_these</t>
        </is>
      </c>
      <c r="C1470" t="inlineStr">
        <is>
          <t>ma</t>
        </is>
      </c>
      <c r="D1470" t="inlineStr">
        <is>
          <t>agence de développement web</t>
        </is>
      </c>
      <c r="E1470" t="inlineStr">
        <is>
          <t>2026-10-26T14:31:10+00:00</t>
        </is>
      </c>
      <c r="F1470" t="inlineStr">
        <is>
          <t>{"keyword": "agence de développement web", "database": "ma", "language": "", "search_volume": "20", "cpc": "0.44", "competition": "0.33", "keyword_difficulty": "", "trend_data": "0.25,0.25,0.75,0.50,0.25,0.25,0.25,0.25,0.75,0.50,0.25,1.00", "intent": "unclassified", "source_report": "phrase_these", "retrieved_at": "2026-10-26T14:31:10+00:00", "data_freshness": "cached", "notes": "competition = Semrush paid-competition index (0-1), not organic"}</t>
        </is>
      </c>
      <c r="G1470" t="inlineStr">
        <is>
          <t>Raw (Semrush)</t>
        </is>
      </c>
    </row>
    <row r="1471">
      <c r="A1471" t="inlineStr">
        <is>
          <t>historical:validate-ma-core.csv</t>
        </is>
      </c>
      <c r="B1471" t="inlineStr">
        <is>
          <t>phrase_these</t>
        </is>
      </c>
      <c r="C1471" t="inlineStr">
        <is>
          <t>ma</t>
        </is>
      </c>
      <c r="D1471" t="inlineStr">
        <is>
          <t>agence digitale casablanca</t>
        </is>
      </c>
      <c r="E1471" t="inlineStr">
        <is>
          <t>2026-10-26T14:31:10+00:00</t>
        </is>
      </c>
      <c r="F1471" t="inlineStr">
        <is>
          <t>{"keyword": "agence digitale casablanca", "database": "ma", "language": "", "search_volume": "260", "cpc": "0.78", "competition": "0.3", "keyword_difficulty": "", "trend_data": "1.00,1.00,1.00,0.81,0.53,1.00,1.00,1.00,0.81,0.66,0.44,0.53", "intent": "transactional/local (heuristic)", "source_report": "phrase_these", "retrieved_at": "2026-10-26T14:31:10+00:00", "data_freshness": "cached", "notes": "competition = Semrush paid-competition index (0-1), not organic"}</t>
        </is>
      </c>
      <c r="G1471" t="inlineStr">
        <is>
          <t>Raw (Semrush)</t>
        </is>
      </c>
    </row>
    <row r="1472">
      <c r="A1472" t="inlineStr">
        <is>
          <t>historical:validate-ma-core.csv</t>
        </is>
      </c>
      <c r="B1472" t="inlineStr">
        <is>
          <t>phrase_these</t>
        </is>
      </c>
      <c r="C1472" t="inlineStr">
        <is>
          <t>ma</t>
        </is>
      </c>
      <c r="D1472" t="inlineStr">
        <is>
          <t>agence digitale maroc</t>
        </is>
      </c>
      <c r="E1472" t="inlineStr">
        <is>
          <t>2026-10-26T14:31:10+00:00</t>
        </is>
      </c>
      <c r="F1472" t="inlineStr">
        <is>
          <t>{"keyword": "agence digitale maroc", "database": "ma", "language": "", "search_volume": "320", "cpc": "0.79", "competition": "0.13", "keyword_difficulty": "", "trend_data": "1.00,1.00,0.67,0.54,0.44,0.81,0.81,0.81,0.54,0.81,0.67,0.81", "intent": "transactional/local (heuristic)", "source_report": "phrase_these", "retrieved_at": "2026-10-26T14:31:10+00:00", "data_freshness": "cached", "notes": "competition = Semrush paid-competition index (0-1), not organic"}</t>
        </is>
      </c>
      <c r="G1472" t="inlineStr">
        <is>
          <t>Raw (Semrush)</t>
        </is>
      </c>
    </row>
    <row r="1473">
      <c r="A1473" t="inlineStr">
        <is>
          <t>historical:validate-ma-core.csv</t>
        </is>
      </c>
      <c r="B1473" t="inlineStr">
        <is>
          <t>phrase_these</t>
        </is>
      </c>
      <c r="C1473" t="inlineStr">
        <is>
          <t>ma</t>
        </is>
      </c>
      <c r="D1473" t="inlineStr">
        <is>
          <t>agence seo maroc</t>
        </is>
      </c>
      <c r="E1473" t="inlineStr">
        <is>
          <t>2026-10-26T14:31:10+00:00</t>
        </is>
      </c>
      <c r="F1473" t="inlineStr">
        <is>
          <t>{"keyword": "agence seo maroc", "database": "ma", "language": "", "search_volume": "880", "cpc": "2.48", "competition": "0.06", "keyword_difficulty": "", "trend_data": "0.55,1.00,0.62,0.55,0.30,0.37,0.55,0.45,0.37,0.24,0.45,0.37", "intent": "transactional/local (heuristic)", "source_report": "phrase_these", "retrieved_at": "2026-10-26T14:31:10+00:00", "data_freshness": "cached", "notes": "competition = Semrush paid-competition index (0-1), not organic"}</t>
        </is>
      </c>
      <c r="G1473" t="inlineStr">
        <is>
          <t>Raw (Semrush)</t>
        </is>
      </c>
    </row>
    <row r="1474">
      <c r="A1474" t="inlineStr">
        <is>
          <t>historical:validate-ma-core.csv</t>
        </is>
      </c>
      <c r="B1474" t="inlineStr">
        <is>
          <t>phrase_these</t>
        </is>
      </c>
      <c r="C1474" t="inlineStr">
        <is>
          <t>ma</t>
        </is>
      </c>
      <c r="D1474" t="inlineStr">
        <is>
          <t>agence web</t>
        </is>
      </c>
      <c r="E1474" t="inlineStr">
        <is>
          <t>2026-10-26T14:31:10+00:00</t>
        </is>
      </c>
      <c r="F1474" t="inlineStr">
        <is>
          <t>{"keyword": "agence web", "database": "ma", "language": "", "search_volume": "480", "cpc": "0.63", "competition": "0.12", "keyword_difficulty": "", "trend_data": "0.67,0.54,0.82,0.67,0.67,1.00,0.67,0.67,0.67,0.67,0.54,0.44", "intent": "unclassified", "source_report": "phrase_these", "retrieved_at": "2026-10-26T14:31:10+00:00", "data_freshness": "cached", "notes": "competition = Semrush paid-competition index (0-1), not organic"}</t>
        </is>
      </c>
      <c r="G1474" t="inlineStr">
        <is>
          <t>Raw (Semrush)</t>
        </is>
      </c>
    </row>
    <row r="1475">
      <c r="A1475" t="inlineStr">
        <is>
          <t>historical:validate-ma-core.csv</t>
        </is>
      </c>
      <c r="B1475" t="inlineStr">
        <is>
          <t>phrase_these</t>
        </is>
      </c>
      <c r="C1475" t="inlineStr">
        <is>
          <t>ma</t>
        </is>
      </c>
      <c r="D1475" t="inlineStr">
        <is>
          <t>agence web casablanca</t>
        </is>
      </c>
      <c r="E1475" t="inlineStr">
        <is>
          <t>2026-10-26T14:31:10+00:00</t>
        </is>
      </c>
      <c r="F1475" t="inlineStr">
        <is>
          <t>{"keyword": "agence web casablanca", "database": "ma", "language": "", "search_volume": "1000", "cpc": "0.73", "competition": "0.16", "keyword_difficulty": "", "trend_data": "0.55,0.62,1.00,0.81,0.45,0.55,0.81,0.45,0.30,0.24,0.24,0.16", "intent": "transactional/local (heuristic)", "source_report": "phrase_these", "retrieved_at": "2026-10-26T14:31:10+00:00", "data_freshness": "cached", "notes": "competition = Semrush paid-competition index (0-1), not organic"}</t>
        </is>
      </c>
      <c r="G1475" t="inlineStr">
        <is>
          <t>Raw (Semrush)</t>
        </is>
      </c>
    </row>
    <row r="1476">
      <c r="A1476" t="inlineStr">
        <is>
          <t>historical:validate-ma-core.csv</t>
        </is>
      </c>
      <c r="B1476" t="inlineStr">
        <is>
          <t>phrase_these</t>
        </is>
      </c>
      <c r="C1476" t="inlineStr">
        <is>
          <t>ma</t>
        </is>
      </c>
      <c r="D1476" t="inlineStr">
        <is>
          <t>agence web maroc</t>
        </is>
      </c>
      <c r="E1476" t="inlineStr">
        <is>
          <t>2026-10-26T14:31:10+00:00</t>
        </is>
      </c>
      <c r="F1476" t="inlineStr">
        <is>
          <t>{"keyword": "agence web maroc", "database": "ma", "language": "", "search_volume": "480", "cpc": "0.62", "competition": "0.12", "keyword_difficulty": "", "trend_data": "0.54,0.54,0.54,0.44,0.67,0.67,1.00,0.44,0.67,0.44,0.54,0.54", "intent": "transactional/local (heuristic)", "source_report": "phrase_these", "retrieved_at": "2026-10-26T14:31:10+00:00", "data_freshness": "cached", "notes": "competition = Semrush paid-competition index (0-1), not organic"}</t>
        </is>
      </c>
      <c r="G1476" t="inlineStr">
        <is>
          <t>Raw (Semrush)</t>
        </is>
      </c>
    </row>
    <row r="1477">
      <c r="A1477" t="inlineStr">
        <is>
          <t>historical:validate-ma-core.csv</t>
        </is>
      </c>
      <c r="B1477" t="inlineStr">
        <is>
          <t>phrase_these</t>
        </is>
      </c>
      <c r="C1477" t="inlineStr">
        <is>
          <t>ma</t>
        </is>
      </c>
      <c r="D1477" t="inlineStr">
        <is>
          <t>agence web marrakech</t>
        </is>
      </c>
      <c r="E1477" t="inlineStr">
        <is>
          <t>2026-10-26T14:31:10+00:00</t>
        </is>
      </c>
      <c r="F1477" t="inlineStr">
        <is>
          <t>{"keyword": "agence web marrakech", "database": "ma", "language": "", "search_volume": "320", "cpc": "0.75", "competition": "0.1", "keyword_difficulty": "", "trend_data": "0.54,0.44,0.36,0.44,0.44,0.66,0.66,0.66,1.00,0.81,0.66,0.54", "intent": "transactional/local (heuristic)", "source_report": "phrase_these", "retrieved_at": "2026-10-26T14:31:10+00:00", "data_freshness": "cached", "notes": "competition = Semrush paid-competition index (0-1), not organic"}</t>
        </is>
      </c>
      <c r="G1477" t="inlineStr">
        <is>
          <t>Raw (Semrush)</t>
        </is>
      </c>
    </row>
    <row r="1478">
      <c r="A1478" t="inlineStr">
        <is>
          <t>historical:validate-ma-core.csv</t>
        </is>
      </c>
      <c r="B1478" t="inlineStr">
        <is>
          <t>phrase_these</t>
        </is>
      </c>
      <c r="C1478" t="inlineStr">
        <is>
          <t>ma</t>
        </is>
      </c>
      <c r="D1478" t="inlineStr">
        <is>
          <t>agence web rabat</t>
        </is>
      </c>
      <c r="E1478" t="inlineStr">
        <is>
          <t>2026-10-26T14:31:10+00:00</t>
        </is>
      </c>
      <c r="F1478" t="inlineStr">
        <is>
          <t>{"keyword": "agence web rabat", "database": "ma", "language": "", "search_volume": "260", "cpc": "0.8", "competition": "0.16", "keyword_difficulty": "", "trend_data": "0.29,0.29,0.23,0.35,0.67,0.54,1.00,0.81,0.54,0.44,1.00,0.54", "intent": "transactional/local (heuristic)", "source_report": "phrase_these", "retrieved_at": "2026-10-26T14:31:10+00:00", "data_freshness": "cached", "notes": "competition = Semrush paid-competition index (0-1), not organic"}</t>
        </is>
      </c>
      <c r="G1478" t="inlineStr">
        <is>
          <t>Raw (Semrush)</t>
        </is>
      </c>
    </row>
    <row r="1479">
      <c r="A1479" t="inlineStr">
        <is>
          <t>historical:validate-ma-core.csv</t>
        </is>
      </c>
      <c r="B1479" t="inlineStr">
        <is>
          <t>phrase_these</t>
        </is>
      </c>
      <c r="C1479" t="inlineStr">
        <is>
          <t>ma</t>
        </is>
      </c>
      <c r="D1479" t="inlineStr">
        <is>
          <t>agence web tanger</t>
        </is>
      </c>
      <c r="E1479" t="inlineStr">
        <is>
          <t>2026-10-26T14:31:10+00:00</t>
        </is>
      </c>
      <c r="F1479" t="inlineStr">
        <is>
          <t>{"keyword": "agence web tanger", "database": "ma", "language": "", "search_volume": "40", "cpc": "0.84", "competition": "0.26", "keyword_difficulty": "", "trend_data": "0.12,0.04,1.00,0.15,0.04,0.08,0.12,0.08,0.04,0.04,0.04,0.04", "intent": "transactional/local (heuristic)", "source_report": "phrase_these", "retrieved_at": "2026-10-26T14:31:10+00:00", "data_freshness": "cached", "notes": "competition = Semrush paid-competition index (0-1), not organic"}</t>
        </is>
      </c>
      <c r="G1479" t="inlineStr">
        <is>
          <t>Raw (Semrush)</t>
        </is>
      </c>
    </row>
    <row r="1480">
      <c r="A1480" t="inlineStr">
        <is>
          <t>historical:validate-ma-core.csv</t>
        </is>
      </c>
      <c r="B1480" t="inlineStr">
        <is>
          <t>phrase_these</t>
        </is>
      </c>
      <c r="C1480" t="inlineStr">
        <is>
          <t>ma</t>
        </is>
      </c>
      <c r="D1480" t="inlineStr">
        <is>
          <t>création site e-commerce maroc</t>
        </is>
      </c>
      <c r="E1480" t="inlineStr">
        <is>
          <t>2026-10-26T14:31:10+00:00</t>
        </is>
      </c>
      <c r="F1480" t="inlineStr">
        <is>
          <t>{"keyword": "création site e-commerce maroc", "database": "ma", "language": "", "search_volume": "20", "cpc": "0.61", "competition": "0.45", "keyword_difficulty": "", "trend_data": "0.75,0.25,0.50,0.25,0.25,1.00,0.25,0.25,0.75,0.25,0.25,0.25", "intent": "transactional/local (heuristic)", "source_report": "phrase_these", "retrieved_at": "2026-10-26T14:31:10+00:00", "data_freshness": "cached", "notes": "competition = Semrush paid-competition index (0-1), not organic"}</t>
        </is>
      </c>
      <c r="G1480" t="inlineStr">
        <is>
          <t>Raw (Semrush)</t>
        </is>
      </c>
    </row>
    <row r="1481">
      <c r="A1481" t="inlineStr">
        <is>
          <t>historical:validate-ma-core.csv</t>
        </is>
      </c>
      <c r="B1481" t="inlineStr">
        <is>
          <t>phrase_these</t>
        </is>
      </c>
      <c r="C1481" t="inlineStr">
        <is>
          <t>ma</t>
        </is>
      </c>
      <c r="D1481" t="inlineStr">
        <is>
          <t>création site internet maroc</t>
        </is>
      </c>
      <c r="E1481" t="inlineStr">
        <is>
          <t>2026-10-26T14:31:10+00:00</t>
        </is>
      </c>
      <c r="F1481" t="inlineStr">
        <is>
          <t>{"keyword": "création site internet maroc", "database": "ma", "language": "", "search_volume": "30", "cpc": "0", "competition": "0.05", "keyword_difficulty": "", "trend_data": "1.00,0.12,0.06,0.18,0.18,0.06,0.06,0.06,0.06,0.18,0.06,0.12", "intent": "transactional/local (heuristic)", "source_report": "phrase_these", "retrieved_at": "2026-10-26T14:31:10+00:00", "data_freshness": "cached", "notes": "competition = Semrush paid-competition index (0-1), not organic"}</t>
        </is>
      </c>
      <c r="G1481" t="inlineStr">
        <is>
          <t>Raw (Semrush)</t>
        </is>
      </c>
    </row>
    <row r="1482">
      <c r="A1482" t="inlineStr">
        <is>
          <t>historical:validate-ma-core.csv</t>
        </is>
      </c>
      <c r="B1482" t="inlineStr">
        <is>
          <t>phrase_these</t>
        </is>
      </c>
      <c r="C1482" t="inlineStr">
        <is>
          <t>ma</t>
        </is>
      </c>
      <c r="D1482" t="inlineStr">
        <is>
          <t>création site web casablanca</t>
        </is>
      </c>
      <c r="E1482" t="inlineStr">
        <is>
          <t>2026-10-26T14:31:10+00:00</t>
        </is>
      </c>
      <c r="F1482" t="inlineStr">
        <is>
          <t>{"keyword": "création site web casablanca", "database": "ma", "language": "", "search_volume": "210", "cpc": "0.91", "competition": "0.22", "keyword_difficulty": "", "trend_data": "1.00,0.81,0.53,0.66,1.00,0.81,0.81,0.53,0.81,0.34,0.28,0.34", "intent": "transactional/local (heuristic)", "source_report": "phrase_these", "retrieved_at": "2026-10-26T14:31:10+00:00", "data_freshness": "cached", "notes": "competition = Semrush paid-competition index (0-1), not organic"}</t>
        </is>
      </c>
      <c r="G1482" t="inlineStr">
        <is>
          <t>Raw (Semrush)</t>
        </is>
      </c>
    </row>
    <row r="1483">
      <c r="A1483" t="inlineStr">
        <is>
          <t>historical:validate-ma-core.csv</t>
        </is>
      </c>
      <c r="B1483" t="inlineStr">
        <is>
          <t>phrase_these</t>
        </is>
      </c>
      <c r="C1483" t="inlineStr">
        <is>
          <t>ma</t>
        </is>
      </c>
      <c r="D1483" t="inlineStr">
        <is>
          <t>création site web immobilier</t>
        </is>
      </c>
      <c r="E1483" t="inlineStr">
        <is>
          <t>2026-10-26T14:31:10+00:00</t>
        </is>
      </c>
      <c r="F1483" t="inlineStr">
        <is>
          <t>{"keyword": "création site web immobilier", "database": "ma", "language": "", "search_volume": "0", "cpc": "0", "competition": "0.17", "keyword_difficulty": "", "trend_data": "0.00,0.00,1.00,0.00,0.00,0.00,0.00,0.33,0.00,0.00,0.00,0.33", "intent": "unclassified", "source_report": "phrase_these", "retrieved_at": "2026-10-26T14:31:10+00:00", "data_freshness": "cached", "notes": "competition = Semrush paid-competition index (0-1), not organic"}</t>
        </is>
      </c>
      <c r="G1483" t="inlineStr">
        <is>
          <t>Raw (Semrush)</t>
        </is>
      </c>
    </row>
    <row r="1484">
      <c r="A1484" t="inlineStr">
        <is>
          <t>historical:validate-ma-core.csv</t>
        </is>
      </c>
      <c r="B1484" t="inlineStr">
        <is>
          <t>phrase_these</t>
        </is>
      </c>
      <c r="C1484" t="inlineStr">
        <is>
          <t>ma</t>
        </is>
      </c>
      <c r="D1484" t="inlineStr">
        <is>
          <t>création site web maroc</t>
        </is>
      </c>
      <c r="E1484" t="inlineStr">
        <is>
          <t>2026-10-26T14:31:10+00:00</t>
        </is>
      </c>
      <c r="F1484" t="inlineStr">
        <is>
          <t>{"keyword": "création site web maroc", "database": "ma", "language": "", "search_volume": "1000", "cpc": "0.77", "competition": "0.22", "keyword_difficulty": "", "trend_data": "0.77,1.00,1.00,0.77,0.68,0.77,1.00,0.77,0.77,0.55,0.68,0.68", "intent": "transactional/local (heuristic)", "source_report": "phrase_these", "retrieved_at": "2026-10-26T14:31:10+00:00", "data_freshness": "cached", "notes": "competition = Semrush paid-competition index (0-1), not organic"}</t>
        </is>
      </c>
      <c r="G1484" t="inlineStr">
        <is>
          <t>Raw (Semrush)</t>
        </is>
      </c>
    </row>
    <row r="1485">
      <c r="A1485" t="inlineStr">
        <is>
          <t>historical:validate-ma-core.csv</t>
        </is>
      </c>
      <c r="B1485" t="inlineStr">
        <is>
          <t>phrase_these</t>
        </is>
      </c>
      <c r="C1485" t="inlineStr">
        <is>
          <t>ma</t>
        </is>
      </c>
      <c r="D1485" t="inlineStr">
        <is>
          <t>devis site web</t>
        </is>
      </c>
      <c r="E1485" t="inlineStr">
        <is>
          <t>2026-10-26T14:31:10+00:00</t>
        </is>
      </c>
      <c r="F1485" t="inlineStr">
        <is>
          <t>{"keyword": "devis site web", "database": "ma", "language": "", "search_volume": "30", "cpc": "0.37", "competition": "0.35", "keyword_difficulty": "", "trend_data": "1.00,0.57,0.57,0.14,0.14,0.43,0.14,0.14,0.14,1.00,0.14,0.14", "intent": "unclassified", "source_report": "phrase_these", "retrieved_at": "2026-10-26T14:31:10+00:00", "data_freshness": "cached", "notes": "competition = Semrush paid-competition index (0-1), not organic"}</t>
        </is>
      </c>
      <c r="G1485" t="inlineStr">
        <is>
          <t>Raw (Semrush)</t>
        </is>
      </c>
    </row>
    <row r="1486">
      <c r="A1486" t="inlineStr">
        <is>
          <t>historical:validate-ma-core.csv</t>
        </is>
      </c>
      <c r="B1486" t="inlineStr">
        <is>
          <t>phrase_these</t>
        </is>
      </c>
      <c r="C1486" t="inlineStr">
        <is>
          <t>ma</t>
        </is>
      </c>
      <c r="D1486" t="inlineStr">
        <is>
          <t>développement application web maroc</t>
        </is>
      </c>
      <c r="E1486" t="inlineStr">
        <is>
          <t>2026-10-26T14:31:10+00:00</t>
        </is>
      </c>
      <c r="F1486" t="inlineStr">
        <is>
          <t>{"keyword": "développement application web maroc", "database": "ma", "language": "", "search_volume": "0", "cpc": "0", "competition": "0", "keyword_difficulty": "", "trend_data": "0.00,0.00,0.00,0.00,0.00,0.00,0.00,0.00,0.00,0.00,0.00,0.00", "intent": "transactional/local (heuristic)", "source_report": "phrase_these", "retrieved_at": "2026-10-26T14:31:10+00:00", "data_freshness": "cached", "notes": "competition = Semrush paid-competition index (0-1), not organic"}</t>
        </is>
      </c>
      <c r="G1486" t="inlineStr">
        <is>
          <t>Raw (Semrush)</t>
        </is>
      </c>
    </row>
    <row r="1487">
      <c r="A1487" t="inlineStr">
        <is>
          <t>historical:validate-ma-core.csv</t>
        </is>
      </c>
      <c r="B1487" t="inlineStr">
        <is>
          <t>phrase_these</t>
        </is>
      </c>
      <c r="C1487" t="inlineStr">
        <is>
          <t>ma</t>
        </is>
      </c>
      <c r="D1487" t="inlineStr">
        <is>
          <t>développement site e-commerce</t>
        </is>
      </c>
      <c r="E1487" t="inlineStr">
        <is>
          <t>2026-10-26T14:31:10+00:00</t>
        </is>
      </c>
      <c r="F1487" t="inlineStr">
        <is>
          <t>{"keyword": "développement site e-commerce", "database": "ma", "language": "", "search_volume": "30", "cpc": "0", "competition": "0.29", "keyword_difficulty": "", "trend_data": "0.43,0.43,0.14,0.14,0.14,0.71,0.29,0.14,1.00,1.00,0.14,0.29", "intent": "unclassified", "source_report": "phrase_these", "retrieved_at": "2026-10-26T14:31:10+00:00", "data_freshness": "cached", "notes": "competition = Semrush paid-competition index (0-1), not organic"}</t>
        </is>
      </c>
      <c r="G1487" t="inlineStr">
        <is>
          <t>Raw (Semrush)</t>
        </is>
      </c>
    </row>
    <row r="1488">
      <c r="A1488" t="inlineStr">
        <is>
          <t>historical:validate-ma-core.csv</t>
        </is>
      </c>
      <c r="B1488" t="inlineStr">
        <is>
          <t>phrase_these</t>
        </is>
      </c>
      <c r="C1488" t="inlineStr">
        <is>
          <t>ma</t>
        </is>
      </c>
      <c r="D1488" t="inlineStr">
        <is>
          <t>développement web sur mesure</t>
        </is>
      </c>
      <c r="E1488" t="inlineStr">
        <is>
          <t>2026-10-26T14:31:10+00:00</t>
        </is>
      </c>
      <c r="F1488" t="inlineStr">
        <is>
          <t>{"keyword": "développement web sur mesure", "database": "ma", "language": "", "search_volume": "10", "cpc": "0", "competition": "0.33", "keyword_difficulty": "", "trend_data": "0.00,0.00,0.25,0.25,0.00,0.25,0.00,0.25,1.00,0.00,0.25,1.00", "intent": "unclassified", "source_report": "phrase_these", "retrieved_at": "2026-10-26T14:31:10+00:00", "data_freshness": "cached", "notes": "competition = Semrush paid-competition index (0-1), not organic"}</t>
        </is>
      </c>
      <c r="G1488" t="inlineStr">
        <is>
          <t>Raw (Semrush)</t>
        </is>
      </c>
    </row>
    <row r="1489">
      <c r="A1489" t="inlineStr">
        <is>
          <t>historical:validate-ma-core.csv</t>
        </is>
      </c>
      <c r="B1489" t="inlineStr">
        <is>
          <t>phrase_these</t>
        </is>
      </c>
      <c r="C1489" t="inlineStr">
        <is>
          <t>ma</t>
        </is>
      </c>
      <c r="D1489" t="inlineStr">
        <is>
          <t>prix site web maroc</t>
        </is>
      </c>
      <c r="E1489" t="inlineStr">
        <is>
          <t>2026-10-26T14:31:10+00:00</t>
        </is>
      </c>
      <c r="F1489" t="inlineStr">
        <is>
          <t>{"keyword": "prix site web maroc", "database": "ma", "language": "", "search_volume": "20", "cpc": "0.29", "competition": "0.54", "keyword_difficulty": "", "trend_data": "0.25,0.50,0.25,0.25,0.25,0.25,1.00,1.00,0.25,0.25,0.25,0.50", "intent": "transactional/local (heuristic)", "source_report": "phrase_these", "retrieved_at": "2026-10-26T14:31:10+00:00", "data_freshness": "cached", "notes": "competition = Semrush paid-competition index (0-1), not organic"}</t>
        </is>
      </c>
      <c r="G1489" t="inlineStr">
        <is>
          <t>Raw (Semrush)</t>
        </is>
      </c>
    </row>
    <row r="1490">
      <c r="A1490" t="inlineStr">
        <is>
          <t>historical:validate-ma-core.csv</t>
        </is>
      </c>
      <c r="B1490" t="inlineStr">
        <is>
          <t>phrase_these</t>
        </is>
      </c>
      <c r="C1490" t="inlineStr">
        <is>
          <t>ma</t>
        </is>
      </c>
      <c r="D1490" t="inlineStr">
        <is>
          <t>refonte site web</t>
        </is>
      </c>
      <c r="E1490" t="inlineStr">
        <is>
          <t>2026-10-26T14:31:10+00:00</t>
        </is>
      </c>
      <c r="F1490" t="inlineStr">
        <is>
          <t>{"keyword": "refonte site web", "database": "ma", "language": "", "search_volume": "20", "cpc": "0", "competition": "0.11", "keyword_difficulty": "", "trend_data": "0.29,0.14,0.29,0.43,0.14,0.57,0.43,1.00,0.14,0.14,0.14,0.14", "intent": "unclassified", "source_report": "phrase_these", "retrieved_at": "2026-10-26T14:31:10+00:00", "data_freshness": "cached", "notes": "competition = Semrush paid-competition index (0-1), not organic"}</t>
        </is>
      </c>
      <c r="G1490" t="inlineStr">
        <is>
          <t>Raw (Semrush)</t>
        </is>
      </c>
    </row>
    <row r="1491">
      <c r="A1491" t="inlineStr">
        <is>
          <t>historical:validate-ma-wave2.csv</t>
        </is>
      </c>
      <c r="B1491" t="inlineStr">
        <is>
          <t>phrase_these</t>
        </is>
      </c>
      <c r="C1491" t="inlineStr">
        <is>
          <t>ma</t>
        </is>
      </c>
      <c r="D1491" t="inlineStr">
        <is>
          <t>agence création site web maroc</t>
        </is>
      </c>
      <c r="E1491" t="inlineStr">
        <is>
          <t>2026-10-26T14:39:49+00:00</t>
        </is>
      </c>
      <c r="F1491" t="inlineStr">
        <is>
          <t>{"keyword": "agence création site web maroc", "database": "ma", "language": "", "search_volume": "10", "cpc": "0.5", "competition": "0.26", "keyword_difficulty": "", "trend_data": "0.33,0.67,0.33,0.33,0.33,0.33,0.33,0.33,0.33,0.33,0.33,1.00", "intent": "transactional/local (heuristic)", "source_report": "phrase_these", "retrieved_at": "2026-10-26T14:39:49+00:00", "data_freshness": "fresh_api_retrieval", "notes": "competition = Semrush paid-competition index (0-1), not organic"}</t>
        </is>
      </c>
      <c r="G1491" t="inlineStr">
        <is>
          <t>Raw (Semrush)</t>
        </is>
      </c>
    </row>
    <row r="1492">
      <c r="A1492" t="inlineStr">
        <is>
          <t>historical:validate-ma-wave2.csv</t>
        </is>
      </c>
      <c r="B1492" t="inlineStr">
        <is>
          <t>phrase_these</t>
        </is>
      </c>
      <c r="C1492" t="inlineStr">
        <is>
          <t>ma</t>
        </is>
      </c>
      <c r="D1492" t="inlineStr">
        <is>
          <t>agence digitale agadir</t>
        </is>
      </c>
      <c r="E1492" t="inlineStr">
        <is>
          <t>2026-10-26T14:39:49+00:00</t>
        </is>
      </c>
      <c r="F1492" t="inlineStr">
        <is>
          <t>{"keyword": "agence digitale agadir", "database": "ma", "language": "", "search_volume": "20", "cpc": "0.37", "competition": "0.39", "keyword_difficulty": "", "trend_data": "0.20,0.80,0.20,0.20,0.20,0.40,0.40,1.00,0.20,0.20,0.20,0.80", "intent": "transactional/local (heuristic)", "source_report": "phrase_these", "retrieved_at": "2026-10-26T14:39:49+00:00", "data_freshness": "fresh_api_retrieval", "notes": "competition = Semrush paid-competition index (0-1), not organic"}</t>
        </is>
      </c>
      <c r="G1492" t="inlineStr">
        <is>
          <t>Raw (Semrush)</t>
        </is>
      </c>
    </row>
    <row r="1493">
      <c r="A1493" t="inlineStr">
        <is>
          <t>historical:validate-ma-wave2.csv</t>
        </is>
      </c>
      <c r="B1493" t="inlineStr">
        <is>
          <t>phrase_these</t>
        </is>
      </c>
      <c r="C1493" t="inlineStr">
        <is>
          <t>ma</t>
        </is>
      </c>
      <c r="D1493" t="inlineStr">
        <is>
          <t>agence digitale marrakech</t>
        </is>
      </c>
      <c r="E1493" t="inlineStr">
        <is>
          <t>2026-10-26T14:39:49+00:00</t>
        </is>
      </c>
      <c r="F1493" t="inlineStr">
        <is>
          <t>{"keyword": "agence digitale marrakech", "database": "ma", "language": "", "search_volume": "140", "cpc": "0.82", "competition": "0.17", "keyword_difficulty": "", "trend_data": "0.54,0.18,0.13,0.13,0.13,0.23,0.23,0.36,0.67,1.00,0.13,0.44", "intent": "transactional/local (heuristic)", "source_report": "phrase_these", "retrieved_at": "2026-10-26T14:39:49+00:00", "data_freshness": "fresh_api_retrieval", "notes": "competition = Semrush paid-competition index (0-1), not organic"}</t>
        </is>
      </c>
      <c r="G1493" t="inlineStr">
        <is>
          <t>Raw (Semrush)</t>
        </is>
      </c>
    </row>
    <row r="1494">
      <c r="A1494" t="inlineStr">
        <is>
          <t>historical:validate-ma-wave2.csv</t>
        </is>
      </c>
      <c r="B1494" t="inlineStr">
        <is>
          <t>phrase_these</t>
        </is>
      </c>
      <c r="C1494" t="inlineStr">
        <is>
          <t>ma</t>
        </is>
      </c>
      <c r="D1494" t="inlineStr">
        <is>
          <t>agence digitale rabat</t>
        </is>
      </c>
      <c r="E1494" t="inlineStr">
        <is>
          <t>2026-10-26T14:39:49+00:00</t>
        </is>
      </c>
      <c r="F1494" t="inlineStr">
        <is>
          <t>{"keyword": "agence digitale rabat", "database": "ma", "language": "", "search_volume": "170", "cpc": "0.54", "competition": "0.16", "keyword_difficulty": "", "trend_data": "0.16,0.44,0.34,0.53,0.53,0.44,0.81,0.81,1.00,0.12,0.53,0.44", "intent": "transactional/local (heuristic)", "source_report": "phrase_these", "retrieved_at": "2026-10-26T14:39:49+00:00", "data_freshness": "fresh_api_retrieval", "notes": "competition = Semrush paid-competition index (0-1), not organic"}</t>
        </is>
      </c>
      <c r="G1494" t="inlineStr">
        <is>
          <t>Raw (Semrush)</t>
        </is>
      </c>
    </row>
    <row r="1495">
      <c r="A1495" t="inlineStr">
        <is>
          <t>historical:validate-ma-wave2.csv</t>
        </is>
      </c>
      <c r="B1495" t="inlineStr">
        <is>
          <t>phrase_these</t>
        </is>
      </c>
      <c r="C1495" t="inlineStr">
        <is>
          <t>ma</t>
        </is>
      </c>
      <c r="D1495" t="inlineStr">
        <is>
          <t>agence digitale tanger</t>
        </is>
      </c>
      <c r="E1495" t="inlineStr">
        <is>
          <t>2026-10-26T14:39:49+00:00</t>
        </is>
      </c>
      <c r="F1495" t="inlineStr">
        <is>
          <t>{"keyword": "agence digitale tanger", "database": "ma", "language": "", "search_volume": "30", "cpc": "0.92", "competition": "0.25", "keyword_difficulty": "", "trend_data": "0.09,0.09,1.00,1.00,0.09,0.09,0.27,0.18,0.09,0.09,0.09,0.09", "intent": "transactional/local (heuristic)", "source_report": "phrase_these", "retrieved_at": "2026-10-26T14:39:49+00:00", "data_freshness": "fresh_api_retrieval", "notes": "competition = Semrush paid-competition index (0-1), not organic"}</t>
        </is>
      </c>
      <c r="G1495" t="inlineStr">
        <is>
          <t>Raw (Semrush)</t>
        </is>
      </c>
    </row>
    <row r="1496">
      <c r="A1496" t="inlineStr">
        <is>
          <t>historical:validate-ma-wave2.csv</t>
        </is>
      </c>
      <c r="B1496" t="inlineStr">
        <is>
          <t>phrase_these</t>
        </is>
      </c>
      <c r="C1496" t="inlineStr">
        <is>
          <t>ma</t>
        </is>
      </c>
      <c r="D1496" t="inlineStr">
        <is>
          <t>agence seo casablanca</t>
        </is>
      </c>
      <c r="E1496" t="inlineStr">
        <is>
          <t>2026-10-26T14:39:49+00:00</t>
        </is>
      </c>
      <c r="F1496" t="inlineStr">
        <is>
          <t>{"keyword": "agence seo casablanca", "database": "ma", "language": "", "search_volume": "170", "cpc": "1.18", "competition": "0.17", "keyword_difficulty": "", "trend_data": "0.65,1.00,0.35,0.35,0.27,0.65,1.00,0.81,0.54,0.65,0.54,0.54", "intent": "transactional/local (heuristic)", "source_report": "phrase_these", "retrieved_at": "2026-10-26T14:39:49+00:00", "data_freshness": "fresh_api_retrieval", "notes": "competition = Semrush paid-competition index (0-1), not organic"}</t>
        </is>
      </c>
      <c r="G1496" t="inlineStr">
        <is>
          <t>Raw (Semrush)</t>
        </is>
      </c>
    </row>
    <row r="1497">
      <c r="A1497" t="inlineStr">
        <is>
          <t>historical:validate-ma-wave2.csv</t>
        </is>
      </c>
      <c r="B1497" t="inlineStr">
        <is>
          <t>phrase_these</t>
        </is>
      </c>
      <c r="C1497" t="inlineStr">
        <is>
          <t>ma</t>
        </is>
      </c>
      <c r="D1497" t="inlineStr">
        <is>
          <t>agence web agadir</t>
        </is>
      </c>
      <c r="E1497" t="inlineStr">
        <is>
          <t>2026-10-26T14:39:49+00:00</t>
        </is>
      </c>
      <c r="F1497" t="inlineStr">
        <is>
          <t>{"keyword": "agence web agadir", "database": "ma", "language": "", "search_volume": "140", "cpc": "0.57", "competition": "0.19", "keyword_difficulty": "", "trend_data": "0.67,0.67,0.33,0.43,0.81,0.81,1.00,0.52,0.81,0.67,0.33,0.19", "intent": "transactional/local (heuristic)", "source_report": "phrase_these", "retrieved_at": "2026-10-26T14:39:49+00:00", "data_freshness": "fresh_api_retrieval", "notes": "competition = Semrush paid-competition index (0-1), not organic"}</t>
        </is>
      </c>
      <c r="G1497" t="inlineStr">
        <is>
          <t>Raw (Semrush)</t>
        </is>
      </c>
    </row>
    <row r="1498">
      <c r="A1498" t="inlineStr">
        <is>
          <t>historical:validate-ma-wave2.csv</t>
        </is>
      </c>
      <c r="B1498" t="inlineStr">
        <is>
          <t>phrase_these</t>
        </is>
      </c>
      <c r="C1498" t="inlineStr">
        <is>
          <t>ma</t>
        </is>
      </c>
      <c r="D1498" t="inlineStr">
        <is>
          <t>agence web fes</t>
        </is>
      </c>
      <c r="E1498" t="inlineStr">
        <is>
          <t>2026-10-26T14:39:49+00:00</t>
        </is>
      </c>
      <c r="F1498" t="inlineStr">
        <is>
          <t>{"keyword": "agence web fes", "database": "ma", "language": "", "search_volume": "90", "cpc": "0.52", "competition": "0.07", "keyword_difficulty": "", "trend_data": "1.00,0.65,0.82,0.12,0.24,0.29,1.00,0.41,0.53,0.18,0.12,0.82", "intent": "transactional/local (heuristic)", "source_report": "phrase_these", "retrieved_at": "2026-10-26T14:39:49+00:00", "data_freshness": "fresh_api_retrieval", "notes": "competition = Semrush paid-competition index (0-1), not organic"}</t>
        </is>
      </c>
      <c r="G1498" t="inlineStr">
        <is>
          <t>Raw (Semrush)</t>
        </is>
      </c>
    </row>
    <row r="1499">
      <c r="A1499" t="inlineStr">
        <is>
          <t>historical:validate-ma-wave2.csv</t>
        </is>
      </c>
      <c r="B1499" t="inlineStr">
        <is>
          <t>phrase_these</t>
        </is>
      </c>
      <c r="C1499" t="inlineStr">
        <is>
          <t>ma</t>
        </is>
      </c>
      <c r="D1499" t="inlineStr">
        <is>
          <t>analyse seo gratuite</t>
        </is>
      </c>
      <c r="E1499" t="inlineStr">
        <is>
          <t>2026-10-26T14:39:49+00:00</t>
        </is>
      </c>
      <c r="F1499" t="inlineStr">
        <is>
          <t>{"keyword": "analyse seo gratuite", "database": "ma", "language": "", "search_volume": "20", "cpc": "0", "competition": "0.6", "keyword_difficulty": "", "trend_data": "0.14,0.14,0.14,1.00,0.14,0.29,0.14,0.71,0.14,0.14,0.14,0.14", "intent": "unclassified", "source_report": "phrase_these", "retrieved_at": "2026-10-26T14:39:49+00:00", "data_freshness": "fresh_api_retrieval", "notes": "competition = Semrush paid-competition index (0-1), not organic"}</t>
        </is>
      </c>
      <c r="G1499" t="inlineStr">
        <is>
          <t>Raw (Semrush)</t>
        </is>
      </c>
    </row>
    <row r="1500">
      <c r="A1500" t="inlineStr">
        <is>
          <t>historical:validate-ma-wave2.csv</t>
        </is>
      </c>
      <c r="B1500" t="inlineStr">
        <is>
          <t>phrase_these</t>
        </is>
      </c>
      <c r="C1500" t="inlineStr">
        <is>
          <t>ma</t>
        </is>
      </c>
      <c r="D1500" t="inlineStr">
        <is>
          <t>audit seo gratuit</t>
        </is>
      </c>
      <c r="E1500" t="inlineStr">
        <is>
          <t>2026-10-26T14:39:49+00:00</t>
        </is>
      </c>
      <c r="F1500" t="inlineStr">
        <is>
          <t>{"keyword": "audit seo gratuit", "database": "ma", "language": "", "search_volume": "20", "cpc": "0.11", "competition": "0.33", "keyword_difficulty": "", "trend_data": "0.14,1.00,0.14,0.29,0.14,0.14,0.14,0.14,0.14,0.14,0.14,0.14", "intent": "informational (heuristic)", "source_report": "phrase_these", "retrieved_at": "2026-10-26T14:39:49+00:00", "data_freshness": "fresh_api_retrieval", "notes": "competition = Semrush paid-competition index (0-1), not organic"}</t>
        </is>
      </c>
      <c r="G1500" t="inlineStr">
        <is>
          <t>Raw (Semrush)</t>
        </is>
      </c>
    </row>
    <row r="1501">
      <c r="A1501" t="inlineStr">
        <is>
          <t>historical:validate-ma-wave2.csv</t>
        </is>
      </c>
      <c r="B1501" t="inlineStr">
        <is>
          <t>phrase_these</t>
        </is>
      </c>
      <c r="C1501" t="inlineStr">
        <is>
          <t>ma</t>
        </is>
      </c>
      <c r="D1501" t="inlineStr">
        <is>
          <t>boutique en ligne maroc</t>
        </is>
      </c>
      <c r="E1501" t="inlineStr">
        <is>
          <t>2026-10-26T14:39:49+00:00</t>
        </is>
      </c>
      <c r="F1501" t="inlineStr">
        <is>
          <t>{"keyword": "boutique en ligne maroc", "database": "ma", "language": "", "search_volume": "140", "cpc": "0.15", "competition": "0.3", "keyword_difficulty": "", "trend_data": "0.34,0.34,0.53,0.44,0.28,0.44,1.00,1.00,0.28,0.28,0.28,0.44", "intent": "transactional/local (heuristic)", "source_report": "phrase_these", "retrieved_at": "2026-10-26T14:39:49+00:00", "data_freshness": "fresh_api_retrieval", "notes": "competition = Semrush paid-competition index (0-1), not organic"}</t>
        </is>
      </c>
      <c r="G1501" t="inlineStr">
        <is>
          <t>Raw (Semrush)</t>
        </is>
      </c>
    </row>
    <row r="1502">
      <c r="A1502" t="inlineStr">
        <is>
          <t>historical:validate-ma-wave2.csv</t>
        </is>
      </c>
      <c r="B1502" t="inlineStr">
        <is>
          <t>phrase_these</t>
        </is>
      </c>
      <c r="C1502" t="inlineStr">
        <is>
          <t>ma</t>
        </is>
      </c>
      <c r="D1502" t="inlineStr">
        <is>
          <t>conception site web maroc</t>
        </is>
      </c>
      <c r="E1502" t="inlineStr">
        <is>
          <t>2026-10-26T14:39:49+00:00</t>
        </is>
      </c>
      <c r="F1502" t="inlineStr">
        <is>
          <t>{"keyword": "conception site web maroc", "database": "ma", "language": "", "search_volume": "20", "cpc": "0", "competition": "0", "keyword_difficulty": "", "trend_data": "0.20,0.20,0.80,0.20,1.00,0.20,0.20,0.40,0.20,0.20,0.20,0.00", "intent": "transactional/local (heuristic)", "source_report": "phrase_these", "retrieved_at": "2026-10-26T14:39:49+00:00", "data_freshness": "fresh_api_retrieval", "notes": "competition = Semrush paid-competition index (0-1), not organic"}</t>
        </is>
      </c>
      <c r="G1502" t="inlineStr">
        <is>
          <t>Raw (Semrush)</t>
        </is>
      </c>
    </row>
    <row r="1503">
      <c r="A1503" t="inlineStr">
        <is>
          <t>historical:validate-ma-wave2.csv</t>
        </is>
      </c>
      <c r="B1503" t="inlineStr">
        <is>
          <t>phrase_these</t>
        </is>
      </c>
      <c r="C1503" t="inlineStr">
        <is>
          <t>ma</t>
        </is>
      </c>
      <c r="D1503" t="inlineStr">
        <is>
          <t>consultant seo maroc</t>
        </is>
      </c>
      <c r="E1503" t="inlineStr">
        <is>
          <t>2026-10-26T14:39:49+00:00</t>
        </is>
      </c>
      <c r="F1503" t="inlineStr">
        <is>
          <t>{"keyword": "consultant seo maroc", "database": "ma", "language": "", "search_volume": "70", "cpc": "0", "competition": "0.09", "keyword_difficulty": "", "trend_data": "1.00,0.06,0.82,0.06,0.29,0.06,0.82,0.06,0.06,0.06,1.00,0.06", "intent": "transactional/local (heuristic)", "source_report": "phrase_these", "retrieved_at": "2026-10-26T14:39:49+00:00", "data_freshness": "fresh_api_retrieval", "notes": "competition = Semrush paid-competition index (0-1), not organic"}</t>
        </is>
      </c>
      <c r="G1503" t="inlineStr">
        <is>
          <t>Raw (Semrush)</t>
        </is>
      </c>
    </row>
    <row r="1504">
      <c r="A1504" t="inlineStr">
        <is>
          <t>historical:validate-ma-wave2.csv</t>
        </is>
      </c>
      <c r="B1504" t="inlineStr">
        <is>
          <t>phrase_these</t>
        </is>
      </c>
      <c r="C1504" t="inlineStr">
        <is>
          <t>ma</t>
        </is>
      </c>
      <c r="D1504" t="inlineStr">
        <is>
          <t>création site web agadir</t>
        </is>
      </c>
      <c r="E1504" t="inlineStr">
        <is>
          <t>2026-10-26T14:39:49+00:00</t>
        </is>
      </c>
      <c r="F1504" t="inlineStr">
        <is>
          <t>{"keyword": "création site web agadir", "database": "ma", "language": "", "search_volume": "90", "cpc": "0", "competition": "0.05", "keyword_difficulty": "", "trend_data": "0.03,0.23,0.18,0.03,1.00,0.28,0.03,0.67,0.23,0.13,0.10,0.03", "intent": "transactional/local (heuristic)", "source_report": "phrase_these", "retrieved_at": "2026-10-26T14:39:49+00:00", "data_freshness": "fresh_api_retrieval", "notes": "competition = Semrush paid-competition index (0-1), not organic"}</t>
        </is>
      </c>
      <c r="G1504" t="inlineStr">
        <is>
          <t>Raw (Semrush)</t>
        </is>
      </c>
    </row>
    <row r="1505">
      <c r="A1505" t="inlineStr">
        <is>
          <t>historical:validate-ma-wave2.csv</t>
        </is>
      </c>
      <c r="B1505" t="inlineStr">
        <is>
          <t>phrase_these</t>
        </is>
      </c>
      <c r="C1505" t="inlineStr">
        <is>
          <t>ma</t>
        </is>
      </c>
      <c r="D1505" t="inlineStr">
        <is>
          <t>création site web fes</t>
        </is>
      </c>
      <c r="E1505" t="inlineStr">
        <is>
          <t>2026-10-26T14:39:49+00:00</t>
        </is>
      </c>
      <c r="F1505" t="inlineStr">
        <is>
          <t>{"keyword": "création site web fes", "database": "ma", "language": "", "search_volume": "70", "cpc": "0", "competition": "0.06", "keyword_difficulty": "", "trend_data": "1.00,0.03,0.03,0.03,0.53,0.03,0.03,0.16,0.03,0.09,0.12,0.22", "intent": "transactional/local (heuristic)", "source_report": "phrase_these", "retrieved_at": "2026-10-26T14:39:49+00:00", "data_freshness": "fresh_api_retrieval", "notes": "competition = Semrush paid-competition index (0-1), not organic"}</t>
        </is>
      </c>
      <c r="G1505" t="inlineStr">
        <is>
          <t>Raw (Semrush)</t>
        </is>
      </c>
    </row>
    <row r="1506">
      <c r="A1506" t="inlineStr">
        <is>
          <t>historical:validate-ma-wave2.csv</t>
        </is>
      </c>
      <c r="B1506" t="inlineStr">
        <is>
          <t>phrase_these</t>
        </is>
      </c>
      <c r="C1506" t="inlineStr">
        <is>
          <t>ma</t>
        </is>
      </c>
      <c r="D1506" t="inlineStr">
        <is>
          <t>création site web marrakech</t>
        </is>
      </c>
      <c r="E1506" t="inlineStr">
        <is>
          <t>2026-10-26T14:39:49+00:00</t>
        </is>
      </c>
      <c r="F1506" t="inlineStr">
        <is>
          <t>{"keyword": "création site web marrakech", "database": "ma", "language": "", "search_volume": "590", "cpc": "0.58", "competition": "0.1", "keyword_difficulty": "", "trend_data": "0.72,0.72,1.00,0.59,0.72,0.72,0.59,0.39,0.59,0.59,0.59,0.48", "intent": "transactional/local (heuristic)", "source_report": "phrase_these", "retrieved_at": "2026-10-26T14:39:49+00:00", "data_freshness": "fresh_api_retrieval", "notes": "competition = Semrush paid-competition index (0-1), not organic"}</t>
        </is>
      </c>
      <c r="G1506" t="inlineStr">
        <is>
          <t>Raw (Semrush)</t>
        </is>
      </c>
    </row>
    <row r="1507">
      <c r="A1507" t="inlineStr">
        <is>
          <t>historical:validate-ma-wave2.csv</t>
        </is>
      </c>
      <c r="B1507" t="inlineStr">
        <is>
          <t>phrase_these</t>
        </is>
      </c>
      <c r="C1507" t="inlineStr">
        <is>
          <t>ma</t>
        </is>
      </c>
      <c r="D1507" t="inlineStr">
        <is>
          <t>création site web rabat</t>
        </is>
      </c>
      <c r="E1507" t="inlineStr">
        <is>
          <t>2026-10-26T14:39:49+00:00</t>
        </is>
      </c>
      <c r="F1507" t="inlineStr">
        <is>
          <t>{"keyword": "création site web rabat", "database": "ma", "language": "", "search_volume": "140", "cpc": "0.67", "competition": "0.21", "keyword_difficulty": "", "trend_data": "0.53,0.65,0.82,0.82,0.82,0.82,1.00,0.82,0.82,0.53,0.65,0.82", "intent": "transactional/local (heuristic)", "source_report": "phrase_these", "retrieved_at": "2026-10-26T14:39:49+00:00", "data_freshness": "fresh_api_retrieval", "notes": "competition = Semrush paid-competition index (0-1), not organic"}</t>
        </is>
      </c>
      <c r="G1507" t="inlineStr">
        <is>
          <t>Raw (Semrush)</t>
        </is>
      </c>
    </row>
    <row r="1508">
      <c r="A1508" t="inlineStr">
        <is>
          <t>historical:validate-ma-wave2.csv</t>
        </is>
      </c>
      <c r="B1508" t="inlineStr">
        <is>
          <t>phrase_these</t>
        </is>
      </c>
      <c r="C1508" t="inlineStr">
        <is>
          <t>ma</t>
        </is>
      </c>
      <c r="D1508" t="inlineStr">
        <is>
          <t>développement application mobile maroc</t>
        </is>
      </c>
      <c r="E1508" t="inlineStr">
        <is>
          <t>2026-10-26T14:39:49+00:00</t>
        </is>
      </c>
      <c r="F1508" t="inlineStr">
        <is>
          <t>{"keyword": "développement application mobile maroc", "database": "ma", "language": "", "search_volume": "20", "cpc": "0.45", "competition": "0.43", "keyword_difficulty": "", "trend_data": "0.50,0.25,0.50,0.25,0.25,0.25,0.25,0.25,0.75,0.25,1.00,0.25", "intent": "transactional/local (heuristic)", "source_report": "phrase_these", "retrieved_at": "2026-10-26T14:39:49+00:00", "data_freshness": "fresh_api_retrieval", "notes": "competition = Semrush paid-competition index (0-1), not organic"}</t>
        </is>
      </c>
      <c r="G1508" t="inlineStr">
        <is>
          <t>Raw (Semrush)</t>
        </is>
      </c>
    </row>
    <row r="1509">
      <c r="A1509" t="inlineStr">
        <is>
          <t>historical:validate-ma-wave2.csv</t>
        </is>
      </c>
      <c r="B1509" t="inlineStr">
        <is>
          <t>phrase_these</t>
        </is>
      </c>
      <c r="C1509" t="inlineStr">
        <is>
          <t>ma</t>
        </is>
      </c>
      <c r="D1509" t="inlineStr">
        <is>
          <t>développement logiciel maroc</t>
        </is>
      </c>
      <c r="E1509" t="inlineStr">
        <is>
          <t>2026-10-26T14:39:49+00:00</t>
        </is>
      </c>
      <c r="F1509" t="inlineStr">
        <is>
          <t>{"keyword": "développement logiciel maroc", "database": "ma", "language": "", "search_volume": "20", "cpc": "0", "competition": "0.03", "keyword_difficulty": "", "trend_data": "0.25,1.00,0.25,0.75,0.25,0.25,0.25,0.25,0.25,0.25,0.25,0.50", "intent": "transactional/local (heuristic)", "source_report": "phrase_these", "retrieved_at": "2026-10-26T14:39:49+00:00", "data_freshness": "fresh_api_retrieval", "notes": "competition = Semrush paid-competition index (0-1), not organic"}</t>
        </is>
      </c>
      <c r="G1509" t="inlineStr">
        <is>
          <t>Raw (Semrush)</t>
        </is>
      </c>
    </row>
    <row r="1510">
      <c r="A1510" t="inlineStr">
        <is>
          <t>historical:validate-ma-wave2.csv</t>
        </is>
      </c>
      <c r="B1510" t="inlineStr">
        <is>
          <t>phrase_these</t>
        </is>
      </c>
      <c r="C1510" t="inlineStr">
        <is>
          <t>ma</t>
        </is>
      </c>
      <c r="D1510" t="inlineStr">
        <is>
          <t>logiciel sur mesure maroc</t>
        </is>
      </c>
      <c r="E1510" t="inlineStr">
        <is>
          <t>2026-10-26T14:39:49+00:00</t>
        </is>
      </c>
      <c r="F1510" t="inlineStr">
        <is>
          <t>{"keyword": "logiciel sur mesure maroc", "database": "ma", "language": "", "search_volume": "0", "cpc": "0", "competition": "0", "keyword_difficulty": "", "trend_data": "0.00,0.00,0.00,0.00,0.00,0.00,0.00,0.00,0.00,0.00,0.00,0.00", "intent": "transactional/local (heuristic)", "source_report": "phrase_these", "retrieved_at": "2026-10-26T14:39:49+00:00", "data_freshness": "fresh_api_retrieval", "notes": "competition = Semrush paid-competition index (0-1), not organic"}</t>
        </is>
      </c>
      <c r="G1510" t="inlineStr">
        <is>
          <t>Raw (Semrush)</t>
        </is>
      </c>
    </row>
    <row r="1511">
      <c r="A1511" t="inlineStr">
        <is>
          <t>historical:validate-ma-wave2.csv</t>
        </is>
      </c>
      <c r="B1511" t="inlineStr">
        <is>
          <t>phrase_these</t>
        </is>
      </c>
      <c r="C1511" t="inlineStr">
        <is>
          <t>ma</t>
        </is>
      </c>
      <c r="D1511" t="inlineStr">
        <is>
          <t>outils seo gratuits</t>
        </is>
      </c>
      <c r="E1511" t="inlineStr">
        <is>
          <t>2026-10-26T14:39:49+00:00</t>
        </is>
      </c>
      <c r="F1511" t="inlineStr">
        <is>
          <t>{"keyword": "outils seo gratuits", "database": "ma", "language": "", "search_volume": "20", "cpc": "0", "competition": "0.36", "keyword_difficulty": "", "trend_data": "0.25,1.00,0.50,0.25,0.50,0.25,0.25,0.25,0.50,0.50,0.25,0.50", "intent": "unclassified", "source_report": "phrase_these", "retrieved_at": "2026-10-26T14:39:49+00:00", "data_freshness": "fresh_api_retrieval", "notes": "competition = Semrush paid-competition index (0-1), not organic"}</t>
        </is>
      </c>
      <c r="G1511" t="inlineStr">
        <is>
          <t>Raw (Semrush)</t>
        </is>
      </c>
    </row>
    <row r="1512">
      <c r="A1512" t="inlineStr">
        <is>
          <t>historical:validate-ma-wave2.csv</t>
        </is>
      </c>
      <c r="B1512" t="inlineStr">
        <is>
          <t>phrase_these</t>
        </is>
      </c>
      <c r="C1512" t="inlineStr">
        <is>
          <t>ma</t>
        </is>
      </c>
      <c r="D1512" t="inlineStr">
        <is>
          <t>référencement naturel maroc</t>
        </is>
      </c>
      <c r="E1512" t="inlineStr">
        <is>
          <t>2026-10-26T14:39:49+00:00</t>
        </is>
      </c>
      <c r="F1512" t="inlineStr">
        <is>
          <t>{"keyword": "référencement naturel maroc", "database": "ma", "language": "", "search_volume": "30", "cpc": "0", "competition": "0.04", "keyword_difficulty": "", "trend_data": "0.33,0.11,0.11,0.11,0.44,0.11,1.00,0.44,0.22,0.11,1.00,0.11", "intent": "transactional/local (heuristic)", "source_report": "phrase_these", "retrieved_at": "2026-10-26T14:39:49+00:00", "data_freshness": "fresh_api_retrieval", "notes": "competition = Semrush paid-competition index (0-1), not organic"}</t>
        </is>
      </c>
      <c r="G1512" t="inlineStr">
        <is>
          <t>Raw (Semrush)</t>
        </is>
      </c>
    </row>
    <row r="1513">
      <c r="A1513" t="inlineStr">
        <is>
          <t>historical:validate-ma-wave2.csv</t>
        </is>
      </c>
      <c r="B1513" t="inlineStr">
        <is>
          <t>phrase_these</t>
        </is>
      </c>
      <c r="C1513" t="inlineStr">
        <is>
          <t>ma</t>
        </is>
      </c>
      <c r="D1513" t="inlineStr">
        <is>
          <t>référencement seo maroc</t>
        </is>
      </c>
      <c r="E1513" t="inlineStr">
        <is>
          <t>2026-10-26T14:39:49+00:00</t>
        </is>
      </c>
      <c r="F1513" t="inlineStr">
        <is>
          <t>{"keyword": "référencement seo maroc", "database": "ma", "language": "", "search_volume": "20", "cpc": "0", "competition": "0.31", "keyword_difficulty": "", "trend_data": "0.25,0.25,0.25,0.25,0.25,0.25,0.75,0.25,0.25,0.50,0.25,1.00", "intent": "transactional/local (heuristic)", "source_report": "phrase_these", "retrieved_at": "2026-10-26T14:39:49+00:00", "data_freshness": "fresh_api_retrieval", "notes": "competition = Semrush paid-competition index (0-1), not organic"}</t>
        </is>
      </c>
      <c r="G1513" t="inlineStr">
        <is>
          <t>Raw (Semrush)</t>
        </is>
      </c>
    </row>
    <row r="1514">
      <c r="A1514" t="inlineStr">
        <is>
          <t>historical:validate-ma-wave2.csv</t>
        </is>
      </c>
      <c r="B1514" t="inlineStr">
        <is>
          <t>phrase_these</t>
        </is>
      </c>
      <c r="C1514" t="inlineStr">
        <is>
          <t>ma</t>
        </is>
      </c>
      <c r="D1514" t="inlineStr">
        <is>
          <t>site e-commerce maroc</t>
        </is>
      </c>
      <c r="E1514" t="inlineStr">
        <is>
          <t>2026-10-26T14:39:49+00:00</t>
        </is>
      </c>
      <c r="F1514" t="inlineStr">
        <is>
          <t>{"keyword": "site e-commerce maroc", "database": "ma", "language": "", "search_volume": "30", "cpc": "0.28", "competition": "0.24", "keyword_difficulty": "", "trend_data": "0.11,0.78,0.22,0.78,0.33,0.11,1.00,0.11,0.11,0.22,0.11,0.11", "intent": "transactional/local (heuristic)", "source_report": "phrase_these", "retrieved_at": "2026-10-26T14:39:49+00:00", "data_freshness": "fresh_api_retrieval", "notes": "competition = Semrush paid-competition index (0-1), not organic"}</t>
        </is>
      </c>
      <c r="G1514" t="inlineStr">
        <is>
          <t>Raw (Semrush)</t>
        </is>
      </c>
    </row>
    <row r="1515">
      <c r="A1515" t="inlineStr">
        <is>
          <t>historical:validate-ma-wave2.csv</t>
        </is>
      </c>
      <c r="B1515" t="inlineStr">
        <is>
          <t>phrase_these</t>
        </is>
      </c>
      <c r="C1515" t="inlineStr">
        <is>
          <t>ma</t>
        </is>
      </c>
      <c r="D1515" t="inlineStr">
        <is>
          <t>site vitrine maroc</t>
        </is>
      </c>
      <c r="E1515" t="inlineStr">
        <is>
          <t>2026-10-26T14:39:49+00:00</t>
        </is>
      </c>
      <c r="F1515" t="inlineStr">
        <is>
          <t>{"keyword": "site vitrine maroc", "database": "ma", "language": "", "search_volume": "20", "cpc": "0.3", "competition": "0.23", "keyword_difficulty": "", "trend_data": "0.20,0.20,0.60,1.00,1.00,0.80,0.20,0.20,0.20,0.20,0.40,0.20", "intent": "transactional/local (heuristic)", "source_report": "phrase_these", "retrieved_at": "2026-10-26T14:39:49+00:00", "data_freshness": "fresh_api_retrieval", "notes": "competition = Semrush paid-competition index (0-1), not organic"}</t>
        </is>
      </c>
      <c r="G1515" t="inlineStr">
        <is>
          <t>Raw (Semrush)</t>
        </is>
      </c>
    </row>
    <row r="1516">
      <c r="A1516" t="inlineStr">
        <is>
          <t>historical:validate-ma-wave2.csv</t>
        </is>
      </c>
      <c r="B1516" t="inlineStr">
        <is>
          <t>phrase_these</t>
        </is>
      </c>
      <c r="C1516" t="inlineStr">
        <is>
          <t>ma</t>
        </is>
      </c>
      <c r="D1516" t="inlineStr">
        <is>
          <t>test vitesse site web</t>
        </is>
      </c>
      <c r="E1516" t="inlineStr">
        <is>
          <t>2026-10-26T14:39:49+00:00</t>
        </is>
      </c>
      <c r="F1516" t="inlineStr">
        <is>
          <t>{"keyword": "test vitesse site web", "database": "ma", "language": "", "search_volume": "20", "cpc": "0", "competition": "0.08", "keyword_difficulty": "", "trend_data": "1.00,0.14,0.14,0.14,0.14,0.14,0.14,0.14,0.14,0.43,0.14,0.14", "intent": "unclassified", "source_report": "phrase_these", "retrieved_at": "2026-10-26T14:39:49+00:00", "data_freshness": "fresh_api_retrieval", "notes": "competition = Semrush paid-competition index (0-1), not organic"}</t>
        </is>
      </c>
      <c r="G1516" t="inlineStr">
        <is>
          <t>Raw (Semrush)</t>
        </is>
      </c>
    </row>
    <row r="1517">
      <c r="A1517" t="inlineStr">
        <is>
          <t>historical:w3-validate-A-creation.csv</t>
        </is>
      </c>
      <c r="B1517" t="inlineStr">
        <is>
          <t>phrase_these</t>
        </is>
      </c>
      <c r="C1517" t="inlineStr">
        <is>
          <t>ma</t>
        </is>
      </c>
      <c r="D1517" t="inlineStr">
        <is>
          <t>agence de création de site internet</t>
        </is>
      </c>
      <c r="E1517" t="inlineStr">
        <is>
          <t>2026-10-27T14:02:55+00:00</t>
        </is>
      </c>
      <c r="F1517" t="inlineStr">
        <is>
          <t>{"keyword": "agence de création de site internet", "database": "ma", "language": "", "search_volume": "20", "cpc": "0", "competition": "0.52", "keyword_difficulty": "", "trend_data": "0.14,0.14,0.14,0.57,0.14,0.14,0.14,0.29,0.29,0.14,1.00,0.14", "intent": "unclassified", "source_report": "phrase_these", "retrieved_at": "2026-10-27T14:02:55+00:00", "data_freshness": "fresh_api_retrieval", "notes": "competition = Semrush paid-competition index (0-1), not organic"}</t>
        </is>
      </c>
      <c r="G1517" t="inlineStr">
        <is>
          <t>Raw (Semrush)</t>
        </is>
      </c>
    </row>
    <row r="1518">
      <c r="A1518" t="inlineStr">
        <is>
          <t>historical:w3-validate-A-creation.csv</t>
        </is>
      </c>
      <c r="B1518" t="inlineStr">
        <is>
          <t>phrase_these</t>
        </is>
      </c>
      <c r="C1518" t="inlineStr">
        <is>
          <t>ma</t>
        </is>
      </c>
      <c r="D1518" t="inlineStr">
        <is>
          <t>conception site web</t>
        </is>
      </c>
      <c r="E1518" t="inlineStr">
        <is>
          <t>2026-10-27T14:02:55+00:00</t>
        </is>
      </c>
      <c r="F1518" t="inlineStr">
        <is>
          <t>{"keyword": "conception site web", "database": "ma", "language": "", "search_volume": "20", "cpc": "0.52", "competition": "0.62", "keyword_difficulty": "", "trend_data": "0.60,1.00,0.60,0.20,1.00,0.20,0.40,0.20,0.20,0.80,0.20,0.20", "intent": "unclassified", "source_report": "phrase_these", "retrieved_at": "2026-10-27T14:02:55+00:00", "data_freshness": "fresh_api_retrieval", "notes": "competition = Semrush paid-competition index (0-1), not organic"}</t>
        </is>
      </c>
      <c r="G1518" t="inlineStr">
        <is>
          <t>Raw (Semrush)</t>
        </is>
      </c>
    </row>
    <row r="1519">
      <c r="A1519" t="inlineStr">
        <is>
          <t>historical:w3-validate-A-creation.csv</t>
        </is>
      </c>
      <c r="B1519" t="inlineStr">
        <is>
          <t>phrase_these</t>
        </is>
      </c>
      <c r="C1519" t="inlineStr">
        <is>
          <t>ma</t>
        </is>
      </c>
      <c r="D1519" t="inlineStr">
        <is>
          <t>creation site web casablanca</t>
        </is>
      </c>
      <c r="E1519" t="inlineStr">
        <is>
          <t>2026-10-27T14:02:55+00:00</t>
        </is>
      </c>
      <c r="F1519" t="inlineStr">
        <is>
          <t>{"keyword": "creation site web casablanca", "database": "ma", "language": "", "search_volume": "210", "cpc": "0.91", "competition": "0.22", "keyword_difficulty": "", "trend_data": "1.00,0.81,0.53,0.66,1.00,0.81,0.81,0.53,0.81,0.34,0.28,0.34", "intent": "transactional/local (heuristic)", "source_report": "phrase_these", "retrieved_at": "2026-10-27T14:02:55+00:00", "data_freshness": "fresh_api_retrieval", "notes": "competition = Semrush paid-competition index (0-1), not organic"}</t>
        </is>
      </c>
      <c r="G1519" t="inlineStr">
        <is>
          <t>Raw (Semrush)</t>
        </is>
      </c>
    </row>
    <row r="1520">
      <c r="A1520" t="inlineStr">
        <is>
          <t>historical:w3-validate-A-creation.csv</t>
        </is>
      </c>
      <c r="B1520" t="inlineStr">
        <is>
          <t>phrase_these</t>
        </is>
      </c>
      <c r="C1520" t="inlineStr">
        <is>
          <t>ma</t>
        </is>
      </c>
      <c r="D1520" t="inlineStr">
        <is>
          <t>creation site web maroc</t>
        </is>
      </c>
      <c r="E1520" t="inlineStr">
        <is>
          <t>2026-10-27T14:02:55+00:00</t>
        </is>
      </c>
      <c r="F1520" t="inlineStr">
        <is>
          <t>{"keyword": "creation site web maroc", "database": "ma", "language": "", "search_volume": "1000", "cpc": "0.77", "competition": "0.22", "keyword_difficulty": "", "trend_data": "0.77,1.00,1.00,0.77,0.68,0.77,1.00,0.77,0.77,0.55,0.68,0.68", "intent": "transactional/local (heuristic)", "source_report": "phrase_these", "retrieved_at": "2026-10-27T14:02:55+00:00", "data_freshness": "fresh_api_retrieval", "notes": "competition = Semrush paid-competition index (0-1), not organic"}</t>
        </is>
      </c>
      <c r="G1520" t="inlineStr">
        <is>
          <t>Raw (Semrush)</t>
        </is>
      </c>
    </row>
    <row r="1521">
      <c r="A1521" t="inlineStr">
        <is>
          <t>historical:w3-validate-A-creation.csv</t>
        </is>
      </c>
      <c r="B1521" t="inlineStr">
        <is>
          <t>phrase_these</t>
        </is>
      </c>
      <c r="C1521" t="inlineStr">
        <is>
          <t>ma</t>
        </is>
      </c>
      <c r="D1521" t="inlineStr">
        <is>
          <t>création de site internet</t>
        </is>
      </c>
      <c r="E1521" t="inlineStr">
        <is>
          <t>2026-10-27T14:02:55+00:00</t>
        </is>
      </c>
      <c r="F1521" t="inlineStr">
        <is>
          <t>{"keyword": "création de site internet", "database": "ma", "language": "", "search_volume": "20", "cpc": "0.83", "competition": "0.62", "keyword_difficulty": "", "trend_data": "0.11,0.11,0.33,0.11,0.22,1.00,0.11,0.11,0.44,0.11,0.11,0.11", "intent": "unclassified", "source_report": "phrase_these", "retrieved_at": "2026-10-27T14:02:55+00:00", "data_freshness": "fresh_api_retrieval", "notes": "competition = Semrush paid-competition index (0-1), not organic"}</t>
        </is>
      </c>
      <c r="G1521" t="inlineStr">
        <is>
          <t>Raw (Semrush)</t>
        </is>
      </c>
    </row>
    <row r="1522">
      <c r="A1522" t="inlineStr">
        <is>
          <t>historical:w3-validate-A-creation.csv</t>
        </is>
      </c>
      <c r="B1522" t="inlineStr">
        <is>
          <t>phrase_these</t>
        </is>
      </c>
      <c r="C1522" t="inlineStr">
        <is>
          <t>ma</t>
        </is>
      </c>
      <c r="D1522" t="inlineStr">
        <is>
          <t>création site internet casablanca</t>
        </is>
      </c>
      <c r="E1522" t="inlineStr">
        <is>
          <t>2026-10-27T14:02:55+00:00</t>
        </is>
      </c>
      <c r="F1522" t="inlineStr">
        <is>
          <t>{"keyword": "création site internet casablanca", "database": "ma", "language": "", "search_volume": "20", "cpc": "0", "competition": "0.32", "keyword_difficulty": "", "trend_data": "0.14,0.14,0.57,0.71,0.14,0.14,1.00,0.29,0.14,0.14,0.43,0.29", "intent": "transactional/local (heuristic)", "source_report": "phrase_these", "retrieved_at": "2026-10-27T14:02:55+00:00", "data_freshness": "fresh_api_retrieval", "notes": "competition = Semrush paid-competition index (0-1), not organic"}</t>
        </is>
      </c>
      <c r="G1522" t="inlineStr">
        <is>
          <t>Raw (Semrush)</t>
        </is>
      </c>
    </row>
    <row r="1523">
      <c r="A1523" t="inlineStr">
        <is>
          <t>historical:w3-validate-A-creation.csv</t>
        </is>
      </c>
      <c r="B1523" t="inlineStr">
        <is>
          <t>phrase_these</t>
        </is>
      </c>
      <c r="C1523" t="inlineStr">
        <is>
          <t>ma</t>
        </is>
      </c>
      <c r="D1523" t="inlineStr">
        <is>
          <t>création site professionnel</t>
        </is>
      </c>
      <c r="E1523" t="inlineStr">
        <is>
          <t>2026-10-27T14:02:55+00:00</t>
        </is>
      </c>
      <c r="F1523" t="inlineStr">
        <is>
          <t>{"keyword": "création site professionnel", "database": "ma", "language": "", "search_volume": "20", "cpc": "0", "competition": "1", "keyword_difficulty": "", "trend_data": "0.11,0.11,0.11,0.11,0.11,0.22,0.11,0.56,0.11,1.00,0.33,0.11", "intent": "unclassified", "source_report": "phrase_these", "retrieved_at": "2026-10-27T14:02:55+00:00", "data_freshness": "fresh_api_retrieval", "notes": "competition = Semrush paid-competition index (0-1), not organic"}</t>
        </is>
      </c>
      <c r="G1523" t="inlineStr">
        <is>
          <t>Raw (Semrush)</t>
        </is>
      </c>
    </row>
    <row r="1524">
      <c r="A1524" t="inlineStr">
        <is>
          <t>historical:w3-validate-A-creation.csv</t>
        </is>
      </c>
      <c r="B1524" t="inlineStr">
        <is>
          <t>phrase_these</t>
        </is>
      </c>
      <c r="C1524" t="inlineStr">
        <is>
          <t>ma</t>
        </is>
      </c>
      <c r="D1524" t="inlineStr">
        <is>
          <t>création site vitrine</t>
        </is>
      </c>
      <c r="E1524" t="inlineStr">
        <is>
          <t>2026-10-27T14:02:55+00:00</t>
        </is>
      </c>
      <c r="F1524" t="inlineStr">
        <is>
          <t>{"keyword": "création site vitrine", "database": "ma", "language": "", "search_volume": "20", "cpc": "0", "competition": "0.23", "keyword_difficulty": "", "trend_data": "0.20,0.60,1.00,0.20,0.80,0.20,0.20,0.20,0.60,0.20,0.20,0.80", "intent": "unclassified", "source_report": "phrase_these", "retrieved_at": "2026-10-27T14:02:55+00:00", "data_freshness": "fresh_api_retrieval", "notes": "competition = Semrush paid-competition index (0-1), not organic"}</t>
        </is>
      </c>
      <c r="G1524" t="inlineStr">
        <is>
          <t>Raw (Semrush)</t>
        </is>
      </c>
    </row>
    <row r="1525">
      <c r="A1525" t="inlineStr">
        <is>
          <t>historical:w3-validate-A-creation.csv</t>
        </is>
      </c>
      <c r="B1525" t="inlineStr">
        <is>
          <t>phrase_these</t>
        </is>
      </c>
      <c r="C1525" t="inlineStr">
        <is>
          <t>ma</t>
        </is>
      </c>
      <c r="D1525" t="inlineStr">
        <is>
          <t>devis création site web</t>
        </is>
      </c>
      <c r="E1525" t="inlineStr">
        <is>
          <t>2026-10-27T14:02:55+00:00</t>
        </is>
      </c>
      <c r="F1525" t="inlineStr">
        <is>
          <t>{"keyword": "devis création site web", "database": "ma", "language": "", "search_volume": "20", "cpc": "0.33", "competition": "0.38", "keyword_difficulty": "", "trend_data": "0.40,1.00,0.20,0.20,0.60,0.40,0.40,0.60,0.20,0.20,0.60,0.20", "intent": "unclassified", "source_report": "phrase_these", "retrieved_at": "2026-10-27T14:02:55+00:00", "data_freshness": "fresh_api_retrieval", "notes": "competition = Semrush paid-competition index (0-1), not organic"}</t>
        </is>
      </c>
      <c r="G1525" t="inlineStr">
        <is>
          <t>Raw (Semrush)</t>
        </is>
      </c>
    </row>
    <row r="1526">
      <c r="A1526" t="inlineStr">
        <is>
          <t>historical:w3-validate-A-creation.csv</t>
        </is>
      </c>
      <c r="B1526" t="inlineStr">
        <is>
          <t>phrase_these</t>
        </is>
      </c>
      <c r="C1526" t="inlineStr">
        <is>
          <t>ma</t>
        </is>
      </c>
      <c r="D1526" t="inlineStr">
        <is>
          <t>développement web entreprise</t>
        </is>
      </c>
      <c r="E1526" t="inlineStr">
        <is>
          <t>2026-10-27T14:02:55+00:00</t>
        </is>
      </c>
      <c r="F1526" t="inlineStr">
        <is>
          <t>{"keyword": "développement web entreprise", "database": "ma", "language": "", "search_volume": "20", "cpc": "0.55", "competition": "0.33", "keyword_difficulty": "", "trend_data": "0.11,0.11,0.22,0.44,0.22,0.11,0.22,0.11,0.22,0.11,1.00,0.11", "intent": "unclassified", "source_report": "phrase_these", "retrieved_at": "2026-10-27T14:02:55+00:00", "data_freshness": "fresh_api_retrieval", "notes": "competition = Semrush paid-competition index (0-1), not organic"}</t>
        </is>
      </c>
      <c r="G1526" t="inlineStr">
        <is>
          <t>Raw (Semrush)</t>
        </is>
      </c>
    </row>
    <row r="1527">
      <c r="A1527" t="inlineStr">
        <is>
          <t>historical:w3-validate-A-creation.csv</t>
        </is>
      </c>
      <c r="B1527" t="inlineStr">
        <is>
          <t>phrase_these</t>
        </is>
      </c>
      <c r="C1527" t="inlineStr">
        <is>
          <t>ma</t>
        </is>
      </c>
      <c r="D1527" t="inlineStr">
        <is>
          <t>développeur web freelance maroc</t>
        </is>
      </c>
      <c r="E1527" t="inlineStr">
        <is>
          <t>2026-10-27T14:02:55+00:00</t>
        </is>
      </c>
      <c r="F1527" t="inlineStr">
        <is>
          <t>{"keyword": "développeur web freelance maroc", "database": "ma", "language": "", "search_volume": "210", "cpc": "0", "competition": "0.02", "keyword_difficulty": "", "trend_data": "0.53,1.00,0.53,1.00,0.53,0.53,0.53,1.00,0.53,0.53,1.00,0.53", "intent": "transactional/local (heuristic)", "source_report": "phrase_these", "retrieved_at": "2026-10-27T14:02:55+00:00", "data_freshness": "fresh_api_retrieval", "notes": "competition = Semrush paid-competition index (0-1), not organic"}</t>
        </is>
      </c>
      <c r="G1527" t="inlineStr">
        <is>
          <t>Raw (Semrush)</t>
        </is>
      </c>
    </row>
    <row r="1528">
      <c r="A1528" t="inlineStr">
        <is>
          <t>historical:w3-validate-A-creation.csv</t>
        </is>
      </c>
      <c r="B1528" t="inlineStr">
        <is>
          <t>phrase_these</t>
        </is>
      </c>
      <c r="C1528" t="inlineStr">
        <is>
          <t>ma</t>
        </is>
      </c>
      <c r="D1528" t="inlineStr">
        <is>
          <t>freelance création site web maroc</t>
        </is>
      </c>
      <c r="E1528" t="inlineStr">
        <is>
          <t>2026-10-27T14:02:55+00:00</t>
        </is>
      </c>
      <c r="F1528" t="inlineStr">
        <is>
          <t>{"keyword": "freelance création site web maroc", "database": "ma", "language": "", "search_volume": "0", "cpc": "0", "competition": "0", "keyword_difficulty": "", "trend_data": "0.00,0.00,0.00,0.00,0.00,0.00,0.00,0.00,0.00,0.00,0.00,0.00", "intent": "transactional/local (heuristic)", "source_report": "phrase_these", "retrieved_at": "2026-10-27T14:02:55+00:00", "data_freshness": "fresh_api_retrieval", "notes": "competition = Semrush paid-competition index (0-1), not organic"}</t>
        </is>
      </c>
      <c r="G1528" t="inlineStr">
        <is>
          <t>Raw (Semrush)</t>
        </is>
      </c>
    </row>
    <row r="1529">
      <c r="A1529" t="inlineStr">
        <is>
          <t>historical:w3-validate-A-creation.csv</t>
        </is>
      </c>
      <c r="B1529" t="inlineStr">
        <is>
          <t>phrase_these</t>
        </is>
      </c>
      <c r="C1529" t="inlineStr">
        <is>
          <t>ma</t>
        </is>
      </c>
      <c r="D1529" t="inlineStr">
        <is>
          <t>hébergement site web maroc</t>
        </is>
      </c>
      <c r="E1529" t="inlineStr">
        <is>
          <t>2026-10-27T14:02:55+00:00</t>
        </is>
      </c>
      <c r="F1529" t="inlineStr">
        <is>
          <t>{"keyword": "hébergement site web maroc", "database": "ma", "language": "", "search_volume": "20", "cpc": "0.7", "competition": "0.53", "keyword_difficulty": "", "trend_data": "0.14,0.14,0.14,0.14,1.00,0.14,0.14,0.71,0.14,0.14,0.29,0.43", "intent": "transactional/local (heuristic)", "source_report": "phrase_these", "retrieved_at": "2026-10-27T14:02:55+00:00", "data_freshness": "fresh_api_retrieval", "notes": "competition = Semrush paid-competition index (0-1), not organic"}</t>
        </is>
      </c>
      <c r="G1529" t="inlineStr">
        <is>
          <t>Raw (Semrush)</t>
        </is>
      </c>
    </row>
    <row r="1530">
      <c r="A1530" t="inlineStr">
        <is>
          <t>historical:w3-validate-A-creation.csv</t>
        </is>
      </c>
      <c r="B1530" t="inlineStr">
        <is>
          <t>phrase_these</t>
        </is>
      </c>
      <c r="C1530" t="inlineStr">
        <is>
          <t>ma</t>
        </is>
      </c>
      <c r="D1530" t="inlineStr">
        <is>
          <t>maintenance site web</t>
        </is>
      </c>
      <c r="E1530" t="inlineStr">
        <is>
          <t>2026-10-27T14:02:55+00:00</t>
        </is>
      </c>
      <c r="F1530" t="inlineStr">
        <is>
          <t>{"keyword": "maintenance site web", "database": "ma", "language": "", "search_volume": "30", "cpc": "0", "competition": "0.19", "keyword_difficulty": "", "trend_data": "0.11,0.11,0.11,0.11,0.11,1.00,0.44,0.44,0.11,0.78,0.11,0.22", "intent": "unclassified", "source_report": "phrase_these", "retrieved_at": "2026-10-27T14:02:55+00:00", "data_freshness": "fresh_api_retrieval", "notes": "competition = Semrush paid-competition index (0-1), not organic"}</t>
        </is>
      </c>
      <c r="G1530" t="inlineStr">
        <is>
          <t>Raw (Semrush)</t>
        </is>
      </c>
    </row>
    <row r="1531">
      <c r="A1531" t="inlineStr">
        <is>
          <t>historical:w3-validate-A-creation.csv</t>
        </is>
      </c>
      <c r="B1531" t="inlineStr">
        <is>
          <t>phrase_these</t>
        </is>
      </c>
      <c r="C1531" t="inlineStr">
        <is>
          <t>ma</t>
        </is>
      </c>
      <c r="D1531" t="inlineStr">
        <is>
          <t>maintenance site web maroc</t>
        </is>
      </c>
      <c r="E1531" t="inlineStr">
        <is>
          <t>2026-10-27T14:02:55+00:00</t>
        </is>
      </c>
      <c r="F1531" t="inlineStr">
        <is>
          <t>{"keyword": "maintenance site web maroc", "database": "ma", "language": "", "search_volume": "0", "cpc": "0", "competition": "0", "keyword_difficulty": "", "trend_data": "0.00,0.00,0.00,0.00,0.00,0.00,0.00,0.00,0.00,0.00,0.00,0.00", "intent": "transactional/local (heuristic)", "source_report": "phrase_these", "retrieved_at": "2026-10-27T14:02:55+00:00", "data_freshness": "fresh_api_retrieval", "notes": "competition = Semrush paid-competition index (0-1), not organic"}</t>
        </is>
      </c>
      <c r="G1531" t="inlineStr">
        <is>
          <t>Raw (Semrush)</t>
        </is>
      </c>
    </row>
    <row r="1532">
      <c r="A1532" t="inlineStr">
        <is>
          <t>historical:w3-validate-A-creation.csv</t>
        </is>
      </c>
      <c r="B1532" t="inlineStr">
        <is>
          <t>phrase_these</t>
        </is>
      </c>
      <c r="C1532" t="inlineStr">
        <is>
          <t>ma</t>
        </is>
      </c>
      <c r="D1532" t="inlineStr">
        <is>
          <t>prix création site web</t>
        </is>
      </c>
      <c r="E1532" t="inlineStr">
        <is>
          <t>2026-10-27T14:02:55+00:00</t>
        </is>
      </c>
      <c r="F1532" t="inlineStr">
        <is>
          <t>{"keyword": "prix création site web", "database": "ma", "language": "", "search_volume": "30", "cpc": "0.3", "competition": "0.73", "keyword_difficulty": "", "trend_data": "0.11,0.11,0.11,0.11,0.44,0.11,0.11,0.11,0.11,0.78,1.00,0.44", "intent": "transactional/local (heuristic)", "source_report": "phrase_these", "retrieved_at": "2026-10-27T14:02:55+00:00", "data_freshness": "fresh_api_retrieval", "notes": "competition = Semrush paid-competition index (0-1), not organic"}</t>
        </is>
      </c>
      <c r="G1532" t="inlineStr">
        <is>
          <t>Raw (Semrush)</t>
        </is>
      </c>
    </row>
    <row r="1533">
      <c r="A1533" t="inlineStr">
        <is>
          <t>historical:w3-validate-A-creation.csv</t>
        </is>
      </c>
      <c r="B1533" t="inlineStr">
        <is>
          <t>phrase_these</t>
        </is>
      </c>
      <c r="C1533" t="inlineStr">
        <is>
          <t>ma</t>
        </is>
      </c>
      <c r="D1533" t="inlineStr">
        <is>
          <t>prix création site web maroc</t>
        </is>
      </c>
      <c r="E1533" t="inlineStr">
        <is>
          <t>2026-10-27T14:02:55+00:00</t>
        </is>
      </c>
      <c r="F1533" t="inlineStr">
        <is>
          <t>{"keyword": "prix création site web maroc", "database": "ma", "language": "", "search_volume": "0", "cpc": "0", "competition": "0", "keyword_difficulty": "", "trend_data": "0.00,0.00,0.00,0.00,0.00,0.00,0.00,0.00,0.00,0.00,0.00,0.00", "intent": "transactional/local (heuristic)", "source_report": "phrase_these", "retrieved_at": "2026-10-27T14:02:55+00:00", "data_freshness": "fresh_api_retrieval", "notes": "competition = Semrush paid-competition index (0-1), not organic"}</t>
        </is>
      </c>
      <c r="G1533" t="inlineStr">
        <is>
          <t>Raw (Semrush)</t>
        </is>
      </c>
    </row>
    <row r="1534">
      <c r="A1534" t="inlineStr">
        <is>
          <t>historical:w3-validate-A-creation.csv</t>
        </is>
      </c>
      <c r="B1534" t="inlineStr">
        <is>
          <t>phrase_these</t>
        </is>
      </c>
      <c r="C1534" t="inlineStr">
        <is>
          <t>ma</t>
        </is>
      </c>
      <c r="D1534" t="inlineStr">
        <is>
          <t>refonte site internet</t>
        </is>
      </c>
      <c r="E1534" t="inlineStr">
        <is>
          <t>2026-10-27T14:02:55+00:00</t>
        </is>
      </c>
      <c r="F1534" t="inlineStr">
        <is>
          <t>{"keyword": "refonte site internet", "database": "ma", "language": "", "search_volume": "10", "cpc": "0", "competition": "0", "keyword_difficulty": "", "trend_data": "0.33,0.00,0.33,0.67,0.33,0.67,0.33,0.00,0.00,1.00,0.33,0.00", "intent": "unclassified", "source_report": "phrase_these", "retrieved_at": "2026-10-27T14:02:55+00:00", "data_freshness": "fresh_api_retrieval", "notes": "competition = Semrush paid-competition index (0-1), not organic"}</t>
        </is>
      </c>
      <c r="G1534" t="inlineStr">
        <is>
          <t>Raw (Semrush)</t>
        </is>
      </c>
    </row>
    <row r="1535">
      <c r="A1535" t="inlineStr">
        <is>
          <t>historical:w3-validate-A-creation.csv</t>
        </is>
      </c>
      <c r="B1535" t="inlineStr">
        <is>
          <t>phrase_these</t>
        </is>
      </c>
      <c r="C1535" t="inlineStr">
        <is>
          <t>ma</t>
        </is>
      </c>
      <c r="D1535" t="inlineStr">
        <is>
          <t>site internet maroc</t>
        </is>
      </c>
      <c r="E1535" t="inlineStr">
        <is>
          <t>2026-10-27T14:02:55+00:00</t>
        </is>
      </c>
      <c r="F1535" t="inlineStr">
        <is>
          <t>{"keyword": "site internet maroc", "database": "ma", "language": "", "search_volume": "20", "cpc": "0.43", "competition": "0.57", "keyword_difficulty": "", "trend_data": "0.20,0.20,0.20,0.20,0.40,0.80,0.20,0.40,0.40,0.60,0.60,1.00", "intent": "transactional/local (heuristic)", "source_report": "phrase_these", "retrieved_at": "2026-10-27T14:02:55+00:00", "data_freshness": "fresh_api_retrieval", "notes": "competition = Semrush paid-competition index (0-1), not organic"}</t>
        </is>
      </c>
      <c r="G1535" t="inlineStr">
        <is>
          <t>Raw (Semrush)</t>
        </is>
      </c>
    </row>
    <row r="1536">
      <c r="A1536" t="inlineStr">
        <is>
          <t>historical:w3-validate-A-creation.csv</t>
        </is>
      </c>
      <c r="B1536" t="inlineStr">
        <is>
          <t>phrase_these</t>
        </is>
      </c>
      <c r="C1536" t="inlineStr">
        <is>
          <t>ma</t>
        </is>
      </c>
      <c r="D1536" t="inlineStr">
        <is>
          <t>tarif site internet</t>
        </is>
      </c>
      <c r="E1536" t="inlineStr">
        <is>
          <t>2026-10-27T14:02:55+00:00</t>
        </is>
      </c>
      <c r="F1536" t="inlineStr">
        <is>
          <t>{"keyword": "tarif site internet", "database": "ma", "language": "", "search_volume": "10", "cpc": "0", "competition": "0", "keyword_difficulty": "", "trend_data": "0.50,1.00,0.50,0.00,0.00,0.50,0.50,1.00,1.00,0.50,0.50,0.00", "intent": "transactional/local (heuristic)", "source_report": "phrase_these", "retrieved_at": "2026-10-27T14:02:55+00:00", "data_freshness": "fresh_api_retrieval", "notes": "competition = Semrush paid-competition index (0-1), not organic"}</t>
        </is>
      </c>
      <c r="G1536" t="inlineStr">
        <is>
          <t>Raw (Semrush)</t>
        </is>
      </c>
    </row>
    <row r="1537">
      <c r="A1537" t="inlineStr">
        <is>
          <t>historical:w3-validate-B-ecommerce.csv</t>
        </is>
      </c>
      <c r="B1537" t="inlineStr">
        <is>
          <t>phrase_these</t>
        </is>
      </c>
      <c r="C1537" t="inlineStr">
        <is>
          <t>ma</t>
        </is>
      </c>
      <c r="D1537" t="inlineStr">
        <is>
          <t>agence e-commerce maroc</t>
        </is>
      </c>
      <c r="E1537" t="inlineStr">
        <is>
          <t>2026-10-27T14:03:09+00:00</t>
        </is>
      </c>
      <c r="F1537" t="inlineStr">
        <is>
          <t>{"keyword": "agence e-commerce maroc", "database": "ma", "language": "", "search_volume": "20", "cpc": "0.35", "competition": "0.33", "keyword_difficulty": "", "trend_data": "0.20,0.60,0.20,0.60,1.00,0.20,0.20,0.40,0.60,0.20,1.00,0.20", "intent": "transactional/local (heuristic)", "source_report": "phrase_these", "retrieved_at": "2026-10-27T14:03:09+00:00", "data_freshness": "fresh_api_retrieval", "notes": "competition = Semrush paid-competition index (0-1), not organic"}</t>
        </is>
      </c>
      <c r="G1537" t="inlineStr">
        <is>
          <t>Raw (Semrush)</t>
        </is>
      </c>
    </row>
    <row r="1538">
      <c r="A1538" t="inlineStr">
        <is>
          <t>historical:w3-validate-B-ecommerce.csv</t>
        </is>
      </c>
      <c r="B1538" t="inlineStr">
        <is>
          <t>phrase_these</t>
        </is>
      </c>
      <c r="C1538" t="inlineStr">
        <is>
          <t>ma</t>
        </is>
      </c>
      <c r="D1538" t="inlineStr">
        <is>
          <t>création boutique en ligne</t>
        </is>
      </c>
      <c r="E1538" t="inlineStr">
        <is>
          <t>2026-10-27T14:03:09+00:00</t>
        </is>
      </c>
      <c r="F1538" t="inlineStr">
        <is>
          <t>{"keyword": "création boutique en ligne", "database": "ma", "language": "", "search_volume": "20", "cpc": "0.56", "competition": "0.62", "keyword_difficulty": "", "trend_data": "0.11,0.11,0.11,0.33,0.11,0.11,0.33,0.11,0.11,0.56,0.11,1.00", "intent": "unclassified", "source_report": "phrase_these", "retrieved_at": "2026-10-27T14:03:09+00:00", "data_freshness": "fresh_api_retrieval", "notes": "competition = Semrush paid-competition index (0-1), not organic"}</t>
        </is>
      </c>
      <c r="G1538" t="inlineStr">
        <is>
          <t>Raw (Semrush)</t>
        </is>
      </c>
    </row>
    <row r="1539">
      <c r="A1539" t="inlineStr">
        <is>
          <t>historical:w3-validate-B-ecommerce.csv</t>
        </is>
      </c>
      <c r="B1539" t="inlineStr">
        <is>
          <t>phrase_these</t>
        </is>
      </c>
      <c r="C1539" t="inlineStr">
        <is>
          <t>ma</t>
        </is>
      </c>
      <c r="D1539" t="inlineStr">
        <is>
          <t>création site e-commerce</t>
        </is>
      </c>
      <c r="E1539" t="inlineStr">
        <is>
          <t>2026-10-27T14:03:09+00:00</t>
        </is>
      </c>
      <c r="F1539" t="inlineStr">
        <is>
          <t>{"keyword": "création site e-commerce", "database": "ma", "language": "", "search_volume": "20", "cpc": "0.6", "competition": "0.68", "keyword_difficulty": "", "trend_data": "0.14,0.14,0.14,0.14,0.14,0.14,0.43,1.00,1.00,0.29,0.14,0.14", "intent": "unclassified", "source_report": "phrase_these", "retrieved_at": "2026-10-27T14:03:09+00:00", "data_freshness": "fresh_api_retrieval", "notes": "competition = Semrush paid-competition index (0-1), not organic"}</t>
        </is>
      </c>
      <c r="G1539" t="inlineStr">
        <is>
          <t>Raw (Semrush)</t>
        </is>
      </c>
    </row>
    <row r="1540">
      <c r="A1540" t="inlineStr">
        <is>
          <t>historical:w3-validate-B-ecommerce.csv</t>
        </is>
      </c>
      <c r="B1540" t="inlineStr">
        <is>
          <t>phrase_these</t>
        </is>
      </c>
      <c r="C1540" t="inlineStr">
        <is>
          <t>ma</t>
        </is>
      </c>
      <c r="D1540" t="inlineStr">
        <is>
          <t>création site e-commerce prix</t>
        </is>
      </c>
      <c r="E1540" t="inlineStr">
        <is>
          <t>2026-10-27T14:03:09+00:00</t>
        </is>
      </c>
      <c r="F1540" t="inlineStr">
        <is>
          <t>{"keyword": "création site e-commerce prix", "database": "ma", "language": "", "search_volume": "0", "cpc": "0", "competition": "0", "keyword_difficulty": "", "trend_data": "0.00,0.00,0.00,0.00,0.00,0.00,0.00,0.00,0.00,0.00,0.00,0.00", "intent": "transactional/local (heuristic)", "source_report": "phrase_these", "retrieved_at": "2026-10-27T14:03:09+00:00", "data_freshness": "fresh_api_retrieval", "notes": "competition = Semrush paid-competition index (0-1), not organic"}</t>
        </is>
      </c>
      <c r="G1540" t="inlineStr">
        <is>
          <t>Raw (Semrush)</t>
        </is>
      </c>
    </row>
    <row r="1541">
      <c r="A1541" t="inlineStr">
        <is>
          <t>historical:w3-validate-B-ecommerce.csv</t>
        </is>
      </c>
      <c r="B1541" t="inlineStr">
        <is>
          <t>phrase_these</t>
        </is>
      </c>
      <c r="C1541" t="inlineStr">
        <is>
          <t>ma</t>
        </is>
      </c>
      <c r="D1541" t="inlineStr">
        <is>
          <t>créer une boutique en ligne au maroc</t>
        </is>
      </c>
      <c r="E1541" t="inlineStr">
        <is>
          <t>2026-10-27T14:03:09+00:00</t>
        </is>
      </c>
      <c r="F1541" t="inlineStr">
        <is>
          <t>{"keyword": "créer une boutique en ligne au maroc", "database": "ma", "language": "", "search_volume": "0", "cpc": "0", "competition": "0", "keyword_difficulty": "", "trend_data": "0.00,0.00,0.00,0.00,0.00,0.00,0.00,0.00,0.00,0.00,0.00,0.00", "intent": "transactional/local (heuristic)", "source_report": "phrase_these", "retrieved_at": "2026-10-27T14:03:09+00:00", "data_freshness": "fresh_api_retrieval", "notes": "competition = Semrush paid-competition index (0-1), not organic"}</t>
        </is>
      </c>
      <c r="G1541" t="inlineStr">
        <is>
          <t>Raw (Semrush)</t>
        </is>
      </c>
    </row>
    <row r="1542">
      <c r="A1542" t="inlineStr">
        <is>
          <t>historical:w3-validate-B-ecommerce.csv</t>
        </is>
      </c>
      <c r="B1542" t="inlineStr">
        <is>
          <t>phrase_these</t>
        </is>
      </c>
      <c r="C1542" t="inlineStr">
        <is>
          <t>ma</t>
        </is>
      </c>
      <c r="D1542" t="inlineStr">
        <is>
          <t>refonte site e-commerce</t>
        </is>
      </c>
      <c r="E1542" t="inlineStr">
        <is>
          <t>2026-10-27T14:03:09+00:00</t>
        </is>
      </c>
      <c r="F1542" t="inlineStr">
        <is>
          <t>{"keyword": "refonte site e-commerce", "database": "ma", "language": "", "search_volume": "0", "cpc": "0", "competition": "0", "keyword_difficulty": "", "trend_data": "0.00,0.00,0.00,0.00,0.00,0.00,0.00,0.00,0.00,0.00,0.00,0.00", "intent": "unclassified", "source_report": "phrase_these", "retrieved_at": "2026-10-27T14:03:09+00:00", "data_freshness": "fresh_api_retrieval", "notes": "competition = Semrush paid-competition index (0-1), not organic"}</t>
        </is>
      </c>
      <c r="G1542" t="inlineStr">
        <is>
          <t>Raw (Semrush)</t>
        </is>
      </c>
    </row>
    <row r="1543">
      <c r="A1543" t="inlineStr">
        <is>
          <t>historical:w3-validate-B-ecommerce.csv</t>
        </is>
      </c>
      <c r="B1543" t="inlineStr">
        <is>
          <t>phrase_these</t>
        </is>
      </c>
      <c r="C1543" t="inlineStr">
        <is>
          <t>ma</t>
        </is>
      </c>
      <c r="D1543" t="inlineStr">
        <is>
          <t>shopify maroc</t>
        </is>
      </c>
      <c r="E1543" t="inlineStr">
        <is>
          <t>2026-10-27T14:03:09+00:00</t>
        </is>
      </c>
      <c r="F1543" t="inlineStr">
        <is>
          <t>{"keyword": "shopify maroc", "database": "ma", "language": "", "search_volume": "320", "cpc": "10.18", "competition": "0.38", "keyword_difficulty": "", "trend_data": "1.00,0.82,0.82,0.82,0.67,0.82,0.67,0.82,0.54,0.67,0.67,0.67", "intent": "transactional/local (heuristic)", "source_report": "phrase_these", "retrieved_at": "2026-10-27T14:03:09+00:00", "data_freshness": "fresh_api_retrieval", "notes": "competition = Semrush paid-competition index (0-1), not organic"}</t>
        </is>
      </c>
      <c r="G1543" t="inlineStr">
        <is>
          <t>Raw (Semrush)</t>
        </is>
      </c>
    </row>
    <row r="1544">
      <c r="A1544" t="inlineStr">
        <is>
          <t>historical:w3-validate-B-ecommerce.csv</t>
        </is>
      </c>
      <c r="B1544" t="inlineStr">
        <is>
          <t>phrase_these</t>
        </is>
      </c>
      <c r="C1544" t="inlineStr">
        <is>
          <t>ma</t>
        </is>
      </c>
      <c r="D1544" t="inlineStr">
        <is>
          <t>site de vente en ligne maroc</t>
        </is>
      </c>
      <c r="E1544" t="inlineStr">
        <is>
          <t>2026-10-27T14:03:09+00:00</t>
        </is>
      </c>
      <c r="F1544" t="inlineStr">
        <is>
          <t>{"keyword": "site de vente en ligne maroc", "database": "ma", "language": "", "search_volume": "140", "cpc": "0.12", "competition": "0.51", "keyword_difficulty": "", "trend_data": "1.00,0.81,1.00,0.67,0.67,0.52,0.81,0.81,0.81,0.52,0.43,0.43", "intent": "transactional/local (heuristic)", "source_report": "phrase_these", "retrieved_at": "2026-10-27T14:03:09+00:00", "data_freshness": "fresh_api_retrieval", "notes": "competition = Semrush paid-competition index (0-1), not organic"}</t>
        </is>
      </c>
      <c r="G1544" t="inlineStr">
        <is>
          <t>Raw (Semrush)</t>
        </is>
      </c>
    </row>
    <row r="1545">
      <c r="A1545" t="inlineStr">
        <is>
          <t>historical:w3-validate-B-ecommerce.csv</t>
        </is>
      </c>
      <c r="B1545" t="inlineStr">
        <is>
          <t>phrase_these</t>
        </is>
      </c>
      <c r="C1545" t="inlineStr">
        <is>
          <t>ma</t>
        </is>
      </c>
      <c r="D1545" t="inlineStr">
        <is>
          <t>site e-commerce casablanca</t>
        </is>
      </c>
      <c r="E1545" t="inlineStr">
        <is>
          <t>2026-10-27T14:03:09+00:00</t>
        </is>
      </c>
      <c r="F1545" t="inlineStr">
        <is>
          <t>{"keyword": "site e-commerce casablanca", "database": "ma", "language": "", "search_volume": "10", "cpc": "0", "competition": "0", "keyword_difficulty": "", "trend_data": "0.50,0.50,1.00,0.50,1.00,0.50,0.50,0.50,0.00,0.00,1.00,0.00", "intent": "transactional/local (heuristic)", "source_report": "phrase_these", "retrieved_at": "2026-10-27T14:03:09+00:00", "data_freshness": "fresh_api_retrieval", "notes": "competition = Semrush paid-competition index (0-1), not organic"}</t>
        </is>
      </c>
      <c r="G1545" t="inlineStr">
        <is>
          <t>Raw (Semrush)</t>
        </is>
      </c>
    </row>
    <row r="1546">
      <c r="A1546" t="inlineStr">
        <is>
          <t>historical:w3-validate-B-ecommerce.csv</t>
        </is>
      </c>
      <c r="B1546" t="inlineStr">
        <is>
          <t>phrase_these</t>
        </is>
      </c>
      <c r="C1546" t="inlineStr">
        <is>
          <t>ma</t>
        </is>
      </c>
      <c r="D1546" t="inlineStr">
        <is>
          <t>vendre en ligne maroc</t>
        </is>
      </c>
      <c r="E1546" t="inlineStr">
        <is>
          <t>2026-10-27T14:03:09+00:00</t>
        </is>
      </c>
      <c r="F1546" t="inlineStr">
        <is>
          <t>{"keyword": "vendre en ligne maroc", "database": "ma", "language": "", "search_volume": "20", "cpc": "0.3", "competition": "0.33", "keyword_difficulty": "", "trend_data": "0.20,0.20,0.60,1.00,0.40,0.20,0.20,0.20,0.20,0.20,0.20,0.20", "intent": "transactional/local (heuristic)", "source_report": "phrase_these", "retrieved_at": "2026-10-27T14:03:09+00:00", "data_freshness": "fresh_api_retrieval", "notes": "competition = Semrush paid-competition index (0-1), not organic"}</t>
        </is>
      </c>
      <c r="G1546" t="inlineStr">
        <is>
          <t>Raw (Semrush)</t>
        </is>
      </c>
    </row>
    <row r="1547">
      <c r="A1547" t="inlineStr">
        <is>
          <t>historical:w3-validate-B-ecommerce.csv</t>
        </is>
      </c>
      <c r="B1547" t="inlineStr">
        <is>
          <t>phrase_these</t>
        </is>
      </c>
      <c r="C1547" t="inlineStr">
        <is>
          <t>ma</t>
        </is>
      </c>
      <c r="D1547" t="inlineStr">
        <is>
          <t>woocommerce maroc</t>
        </is>
      </c>
      <c r="E1547" t="inlineStr">
        <is>
          <t>2026-10-27T14:03:09+00:00</t>
        </is>
      </c>
      <c r="F1547" t="inlineStr">
        <is>
          <t>{"keyword": "woocommerce maroc", "database": "ma", "language": "", "search_volume": "20", "cpc": "0.27", "competition": "0.71", "keyword_difficulty": "", "trend_data": "0.29,0.14,0.14,0.14,0.14,0.14,0.14,1.00,0.29,0.14,0.14,0.57", "intent": "transactional/local (heuristic)", "source_report": "phrase_these", "retrieved_at": "2026-10-27T14:03:09+00:00", "data_freshness": "fresh_api_retrieval", "notes": "competition = Semrush paid-competition index (0-1), not organic"}</t>
        </is>
      </c>
      <c r="G1547" t="inlineStr">
        <is>
          <t>Raw (Semrush)</t>
        </is>
      </c>
    </row>
    <row r="1548">
      <c r="A1548" t="inlineStr">
        <is>
          <t>historical:w3-validate-C-seo.csv</t>
        </is>
      </c>
      <c r="B1548" t="inlineStr">
        <is>
          <t>phrase_these</t>
        </is>
      </c>
      <c r="C1548" t="inlineStr">
        <is>
          <t>ma</t>
        </is>
      </c>
      <c r="D1548" t="inlineStr">
        <is>
          <t>agence de référencement casablanca</t>
        </is>
      </c>
      <c r="E1548" t="inlineStr">
        <is>
          <t>2026-10-27T14:03:23+00:00</t>
        </is>
      </c>
      <c r="F1548" t="inlineStr">
        <is>
          <t>{"keyword": "agence de référencement casablanca", "database": "ma", "language": "", "search_volume": "10", "cpc": "0", "competition": "0.33", "keyword_difficulty": "", "trend_data": "0.20,0.20,0.20,0.20,0.20,0.20,0.20,0.20,1.00,0.40,0.20,0.20", "intent": "transactional/local (heuristic)", "source_report": "phrase_these", "retrieved_at": "2026-10-27T14:03:23+00:00", "data_freshness": "fresh_api_retrieval", "notes": "competition = Semrush paid-competition index (0-1), not organic"}</t>
        </is>
      </c>
      <c r="G1548" t="inlineStr">
        <is>
          <t>Raw (Semrush)</t>
        </is>
      </c>
    </row>
    <row r="1549">
      <c r="A1549" t="inlineStr">
        <is>
          <t>historical:w3-validate-C-seo.csv</t>
        </is>
      </c>
      <c r="B1549" t="inlineStr">
        <is>
          <t>phrase_these</t>
        </is>
      </c>
      <c r="C1549" t="inlineStr">
        <is>
          <t>ma</t>
        </is>
      </c>
      <c r="D1549" t="inlineStr">
        <is>
          <t>agence de référencement naturel</t>
        </is>
      </c>
      <c r="E1549" t="inlineStr">
        <is>
          <t>2026-10-27T14:03:23+00:00</t>
        </is>
      </c>
      <c r="F1549" t="inlineStr">
        <is>
          <t>{"keyword": "agence de référencement naturel", "database": "ma", "language": "", "search_volume": "10", "cpc": "0", "competition": "0.33", "keyword_difficulty": "", "trend_data": "0.20,0.20,0.20,1.00,0.20,0.20,0.20,0.20,0.20,0.20,0.20,0.20", "intent": "unclassified", "source_report": "phrase_these", "retrieved_at": "2026-10-27T14:03:23+00:00", "data_freshness": "fresh_api_retrieval", "notes": "competition = Semrush paid-competition index (0-1), not organic"}</t>
        </is>
      </c>
      <c r="G1549" t="inlineStr">
        <is>
          <t>Raw (Semrush)</t>
        </is>
      </c>
    </row>
    <row r="1550">
      <c r="A1550" t="inlineStr">
        <is>
          <t>historical:w3-validate-C-seo.csv</t>
        </is>
      </c>
      <c r="B1550" t="inlineStr">
        <is>
          <t>phrase_these</t>
        </is>
      </c>
      <c r="C1550" t="inlineStr">
        <is>
          <t>ma</t>
        </is>
      </c>
      <c r="D1550" t="inlineStr">
        <is>
          <t>agence marketing digital casablanca</t>
        </is>
      </c>
      <c r="E1550" t="inlineStr">
        <is>
          <t>2026-10-27T14:03:23+00:00</t>
        </is>
      </c>
      <c r="F1550" t="inlineStr">
        <is>
          <t>{"keyword": "agence marketing digital casablanca", "database": "ma", "language": "", "search_volume": "390", "cpc": "0.62", "competition": "0.16", "keyword_difficulty": "", "trend_data": "0.81,0.54,0.81,0.36,0.44,0.81,0.81,0.81,1.00,0.81,0.81,0.54", "intent": "transactional/local (heuristic)", "source_report": "phrase_these", "retrieved_at": "2026-10-27T14:03:23+00:00", "data_freshness": "fresh_api_retrieval", "notes": "competition = Semrush paid-competition index (0-1), not organic"}</t>
        </is>
      </c>
      <c r="G1550" t="inlineStr">
        <is>
          <t>Raw (Semrush)</t>
        </is>
      </c>
    </row>
    <row r="1551">
      <c r="A1551" t="inlineStr">
        <is>
          <t>historical:w3-validate-C-seo.csv</t>
        </is>
      </c>
      <c r="B1551" t="inlineStr">
        <is>
          <t>phrase_these</t>
        </is>
      </c>
      <c r="C1551" t="inlineStr">
        <is>
          <t>ma</t>
        </is>
      </c>
      <c r="D1551" t="inlineStr">
        <is>
          <t>agence marketing digital maroc</t>
        </is>
      </c>
      <c r="E1551" t="inlineStr">
        <is>
          <t>2026-10-27T14:03:23+00:00</t>
        </is>
      </c>
      <c r="F1551" t="inlineStr">
        <is>
          <t>{"keyword": "agence marketing digital maroc", "database": "ma", "language": "", "search_volume": "210", "cpc": "0.61", "competition": "0.22", "keyword_difficulty": "", "trend_data": "0.54,0.67,0.67,0.54,0.67,0.54,0.44,0.44,0.44,1.00,0.54,0.54", "intent": "transactional/local (heuristic)", "source_report": "phrase_these", "retrieved_at": "2026-10-27T14:03:23+00:00", "data_freshness": "fresh_api_retrieval", "notes": "competition = Semrush paid-competition index (0-1), not organic"}</t>
        </is>
      </c>
      <c r="G1551" t="inlineStr">
        <is>
          <t>Raw (Semrush)</t>
        </is>
      </c>
    </row>
    <row r="1552">
      <c r="A1552" t="inlineStr">
        <is>
          <t>historical:w3-validate-C-seo.csv</t>
        </is>
      </c>
      <c r="B1552" t="inlineStr">
        <is>
          <t>phrase_these</t>
        </is>
      </c>
      <c r="C1552" t="inlineStr">
        <is>
          <t>ma</t>
        </is>
      </c>
      <c r="D1552" t="inlineStr">
        <is>
          <t>agence référencement maroc</t>
        </is>
      </c>
      <c r="E1552" t="inlineStr">
        <is>
          <t>2026-10-27T14:03:23+00:00</t>
        </is>
      </c>
      <c r="F1552" t="inlineStr">
        <is>
          <t>{"keyword": "agence référencement maroc", "database": "ma", "language": "", "search_volume": "20", "cpc": "0", "competition": "0.33", "keyword_difficulty": "", "trend_data": "1.00,0.33,0.33,0.33,0.33,0.33,1.00,0.33,1.00,0.33,0.33,0.33", "intent": "transactional/local (heuristic)", "source_report": "phrase_these", "retrieved_at": "2026-10-27T14:03:23+00:00", "data_freshness": "fresh_api_retrieval", "notes": "competition = Semrush paid-competition index (0-1), not organic"}</t>
        </is>
      </c>
      <c r="G1552" t="inlineStr">
        <is>
          <t>Raw (Semrush)</t>
        </is>
      </c>
    </row>
    <row r="1553">
      <c r="A1553" t="inlineStr">
        <is>
          <t>historical:w3-validate-C-seo.csv</t>
        </is>
      </c>
      <c r="B1553" t="inlineStr">
        <is>
          <t>phrase_these</t>
        </is>
      </c>
      <c r="C1553" t="inlineStr">
        <is>
          <t>ma</t>
        </is>
      </c>
      <c r="D1553" t="inlineStr">
        <is>
          <t>agence seo</t>
        </is>
      </c>
      <c r="E1553" t="inlineStr">
        <is>
          <t>2026-10-27T14:03:23+00:00</t>
        </is>
      </c>
      <c r="F1553" t="inlineStr">
        <is>
          <t>{"keyword": "agence seo", "database": "ma", "language": "", "search_volume": "140", "cpc": "0.99", "competition": "0.24", "keyword_difficulty": "", "trend_data": "0.65,0.82,0.53,0.82,0.65,0.82,1.00,0.82,0.82,0.82,1.00,0.53", "intent": "unclassified", "source_report": "phrase_these", "retrieved_at": "2026-10-27T14:03:23+00:00", "data_freshness": "fresh_api_retrieval", "notes": "competition = Semrush paid-competition index (0-1), not organic"}</t>
        </is>
      </c>
      <c r="G1553" t="inlineStr">
        <is>
          <t>Raw (Semrush)</t>
        </is>
      </c>
    </row>
    <row r="1554">
      <c r="A1554" t="inlineStr">
        <is>
          <t>historical:w3-validate-C-seo.csv</t>
        </is>
      </c>
      <c r="B1554" t="inlineStr">
        <is>
          <t>phrase_these</t>
        </is>
      </c>
      <c r="C1554" t="inlineStr">
        <is>
          <t>ma</t>
        </is>
      </c>
      <c r="D1554" t="inlineStr">
        <is>
          <t>agence seo agadir</t>
        </is>
      </c>
      <c r="E1554" t="inlineStr">
        <is>
          <t>2026-10-27T14:03:23+00:00</t>
        </is>
      </c>
      <c r="F1554" t="inlineStr">
        <is>
          <t>{"keyword": "agence seo agadir", "database": "ma", "language": "", "search_volume": "20", "cpc": "0", "competition": "0.02", "keyword_difficulty": "", "trend_data": "0.40,0.20,0.60,0.60,0.80,0.20,0.20,0.20,0.40,1.00,0.20,0.20", "intent": "transactional/local (heuristic)", "source_report": "phrase_these", "retrieved_at": "2026-10-27T14:03:23+00:00", "data_freshness": "fresh_api_retrieval", "notes": "competition = Semrush paid-competition index (0-1), not organic"}</t>
        </is>
      </c>
      <c r="G1554" t="inlineStr">
        <is>
          <t>Raw (Semrush)</t>
        </is>
      </c>
    </row>
    <row r="1555">
      <c r="A1555" t="inlineStr">
        <is>
          <t>historical:w3-validate-C-seo.csv</t>
        </is>
      </c>
      <c r="B1555" t="inlineStr">
        <is>
          <t>phrase_these</t>
        </is>
      </c>
      <c r="C1555" t="inlineStr">
        <is>
          <t>ma</t>
        </is>
      </c>
      <c r="D1555" t="inlineStr">
        <is>
          <t>agence seo marrakech</t>
        </is>
      </c>
      <c r="E1555" t="inlineStr">
        <is>
          <t>2026-10-27T14:03:23+00:00</t>
        </is>
      </c>
      <c r="F1555" t="inlineStr">
        <is>
          <t>{"keyword": "agence seo marrakech", "database": "ma", "language": "", "search_volume": "320", "cpc": "6.43", "competition": "0.08", "keyword_difficulty": "", "trend_data": "0.81,0.81,0.81,0.44,0.35,0.35,0.54,0.44,1.00,1.00,0.35,0.81", "intent": "transactional/local (heuristic)", "source_report": "phrase_these", "retrieved_at": "2026-10-27T14:03:23+00:00", "data_freshness": "fresh_api_retrieval", "notes": "competition = Semrush paid-competition index (0-1), not organic"}</t>
        </is>
      </c>
      <c r="G1555" t="inlineStr">
        <is>
          <t>Raw (Semrush)</t>
        </is>
      </c>
    </row>
    <row r="1556">
      <c r="A1556" t="inlineStr">
        <is>
          <t>historical:w3-validate-C-seo.csv</t>
        </is>
      </c>
      <c r="B1556" t="inlineStr">
        <is>
          <t>phrase_these</t>
        </is>
      </c>
      <c r="C1556" t="inlineStr">
        <is>
          <t>ma</t>
        </is>
      </c>
      <c r="D1556" t="inlineStr">
        <is>
          <t>agence seo rabat</t>
        </is>
      </c>
      <c r="E1556" t="inlineStr">
        <is>
          <t>2026-10-27T14:03:23+00:00</t>
        </is>
      </c>
      <c r="F1556" t="inlineStr">
        <is>
          <t>{"keyword": "agence seo rabat", "database": "ma", "language": "", "search_volume": "10", "cpc": "0", "competition": "0.02", "keyword_difficulty": "", "trend_data": "0.33,0.67,0.67,1.00,0.33,0.33,0.33,0.33,0.33,0.67,0.33,0.33", "intent": "transactional/local (heuristic)", "source_report": "phrase_these", "retrieved_at": "2026-10-27T14:03:23+00:00", "data_freshness": "fresh_api_retrieval", "notes": "competition = Semrush paid-competition index (0-1), not organic"}</t>
        </is>
      </c>
      <c r="G1556" t="inlineStr">
        <is>
          <t>Raw (Semrush)</t>
        </is>
      </c>
    </row>
    <row r="1557">
      <c r="A1557" t="inlineStr">
        <is>
          <t>historical:w3-validate-C-seo.csv</t>
        </is>
      </c>
      <c r="B1557" t="inlineStr">
        <is>
          <t>phrase_these</t>
        </is>
      </c>
      <c r="C1557" t="inlineStr">
        <is>
          <t>ma</t>
        </is>
      </c>
      <c r="D1557" t="inlineStr">
        <is>
          <t>consultant référencement naturel</t>
        </is>
      </c>
      <c r="E1557" t="inlineStr">
        <is>
          <t>2026-10-27T14:03:23+00:00</t>
        </is>
      </c>
      <c r="F1557" t="inlineStr">
        <is>
          <t>{"keyword": "consultant référencement naturel", "database": "ma", "language": "", "search_volume": "0", "cpc": "0", "competition": "0", "keyword_difficulty": "", "trend_data": "0.00,0.00,0.00,0.00,0.00,0.00,0.00,0.00,0.00,0.00,0.00,0.00", "intent": "unclassified", "source_report": "phrase_these", "retrieved_at": "2026-10-27T14:03:23+00:00", "data_freshness": "fresh_api_retrieval", "notes": "competition = Semrush paid-competition index (0-1), not organic"}</t>
        </is>
      </c>
      <c r="G1557" t="inlineStr">
        <is>
          <t>Raw (Semrush)</t>
        </is>
      </c>
    </row>
    <row r="1558">
      <c r="A1558" t="inlineStr">
        <is>
          <t>historical:w3-validate-C-seo.csv</t>
        </is>
      </c>
      <c r="B1558" t="inlineStr">
        <is>
          <t>phrase_these</t>
        </is>
      </c>
      <c r="C1558" t="inlineStr">
        <is>
          <t>ma</t>
        </is>
      </c>
      <c r="D1558" t="inlineStr">
        <is>
          <t>expert seo maroc</t>
        </is>
      </c>
      <c r="E1558" t="inlineStr">
        <is>
          <t>2026-10-27T14:03:23+00:00</t>
        </is>
      </c>
      <c r="F1558" t="inlineStr">
        <is>
          <t>{"keyword": "expert seo maroc", "database": "ma", "language": "", "search_volume": "20", "cpc": "0", "competition": "0.07", "keyword_difficulty": "", "trend_data": "0.25,1.00,0.25,0.25,0.25,0.25,1.00,0.50,0.50,0.25,0.50,0.25", "intent": "transactional/local (heuristic)", "source_report": "phrase_these", "retrieved_at": "2026-10-27T14:03:23+00:00", "data_freshness": "fresh_api_retrieval", "notes": "competition = Semrush paid-competition index (0-1), not organic"}</t>
        </is>
      </c>
      <c r="G1558" t="inlineStr">
        <is>
          <t>Raw (Semrush)</t>
        </is>
      </c>
    </row>
    <row r="1559">
      <c r="A1559" t="inlineStr">
        <is>
          <t>historical:w3-validate-C-seo.csv</t>
        </is>
      </c>
      <c r="B1559" t="inlineStr">
        <is>
          <t>phrase_these</t>
        </is>
      </c>
      <c r="C1559" t="inlineStr">
        <is>
          <t>ma</t>
        </is>
      </c>
      <c r="D1559" t="inlineStr">
        <is>
          <t>optimisation seo site web</t>
        </is>
      </c>
      <c r="E1559" t="inlineStr">
        <is>
          <t>2026-10-27T14:03:23+00:00</t>
        </is>
      </c>
      <c r="F1559" t="inlineStr">
        <is>
          <t>{"keyword": "optimisation seo site web", "database": "ma", "language": "", "search_volume": "0", "cpc": "0", "competition": "0", "keyword_difficulty": "", "trend_data": "0.00,0.00,0.00,0.00,0.00,0.00,0.00,0.00,0.00,0.00,0.00,0.00", "intent": "unclassified", "source_report": "phrase_these", "retrieved_at": "2026-10-27T14:03:23+00:00", "data_freshness": "fresh_api_retrieval", "notes": "competition = Semrush paid-competition index (0-1), not organic"}</t>
        </is>
      </c>
      <c r="G1559" t="inlineStr">
        <is>
          <t>Raw (Semrush)</t>
        </is>
      </c>
    </row>
    <row r="1560">
      <c r="A1560" t="inlineStr">
        <is>
          <t>historical:w3-validate-C-seo.csv</t>
        </is>
      </c>
      <c r="B1560" t="inlineStr">
        <is>
          <t>phrase_these</t>
        </is>
      </c>
      <c r="C1560" t="inlineStr">
        <is>
          <t>ma</t>
        </is>
      </c>
      <c r="D1560" t="inlineStr">
        <is>
          <t>prix référencement naturel</t>
        </is>
      </c>
      <c r="E1560" t="inlineStr">
        <is>
          <t>2026-10-27T14:03:23+00:00</t>
        </is>
      </c>
      <c r="F1560" t="inlineStr">
        <is>
          <t>{"keyword": "prix référencement naturel", "database": "ma", "language": "", "search_volume": "0", "cpc": "0", "competition": "0", "keyword_difficulty": "", "trend_data": "0.00,0.00,0.00,0.00,0.00,0.00,0.00,0.00,0.00,0.00,0.00,0.00", "intent": "transactional/local (heuristic)", "source_report": "phrase_these", "retrieved_at": "2026-10-27T14:03:23+00:00", "data_freshness": "fresh_api_retrieval", "notes": "competition = Semrush paid-competition index (0-1), not organic"}</t>
        </is>
      </c>
      <c r="G1560" t="inlineStr">
        <is>
          <t>Raw (Semrush)</t>
        </is>
      </c>
    </row>
    <row r="1561">
      <c r="A1561" t="inlineStr">
        <is>
          <t>historical:w3-validate-C-seo.csv</t>
        </is>
      </c>
      <c r="B1561" t="inlineStr">
        <is>
          <t>phrase_these</t>
        </is>
      </c>
      <c r="C1561" t="inlineStr">
        <is>
          <t>ma</t>
        </is>
      </c>
      <c r="D1561" t="inlineStr">
        <is>
          <t>référencement maroc</t>
        </is>
      </c>
      <c r="E1561" t="inlineStr">
        <is>
          <t>2026-10-27T14:03:23+00:00</t>
        </is>
      </c>
      <c r="F1561" t="inlineStr">
        <is>
          <t>{"keyword": "référencement maroc", "database": "ma", "language": "", "search_volume": "20", "cpc": "0.64", "competition": "0.34", "keyword_difficulty": "", "trend_data": "0.50,1.00,0.50,1.00,1.00,1.00,0.50,0.50,0.50,1.00,0.50,1.00", "intent": "transactional/local (heuristic)", "source_report": "phrase_these", "retrieved_at": "2026-10-27T14:03:23+00:00", "data_freshness": "fresh_api_retrieval", "notes": "competition = Semrush paid-competition index (0-1), not organic"}</t>
        </is>
      </c>
      <c r="G1561" t="inlineStr">
        <is>
          <t>Raw (Semrush)</t>
        </is>
      </c>
    </row>
    <row r="1562">
      <c r="A1562" t="inlineStr">
        <is>
          <t>historical:w3-validate-C-seo.csv</t>
        </is>
      </c>
      <c r="B1562" t="inlineStr">
        <is>
          <t>phrase_these</t>
        </is>
      </c>
      <c r="C1562" t="inlineStr">
        <is>
          <t>ma</t>
        </is>
      </c>
      <c r="D1562" t="inlineStr">
        <is>
          <t>référencement naturel casablanca</t>
        </is>
      </c>
      <c r="E1562" t="inlineStr">
        <is>
          <t>2026-10-27T14:03:23+00:00</t>
        </is>
      </c>
      <c r="F1562" t="inlineStr">
        <is>
          <t>{"keyword": "référencement naturel casablanca", "database": "ma", "language": "", "search_volume": "20", "cpc": "0", "competition": "0.04", "keyword_difficulty": "", "trend_data": "0.14,1.00,0.14,0.14,0.14,0.71,0.14,0.14,0.14,0.29,0.14,0.14", "intent": "transactional/local (heuristic)", "source_report": "phrase_these", "retrieved_at": "2026-10-27T14:03:23+00:00", "data_freshness": "fresh_api_retrieval", "notes": "competition = Semrush paid-competition index (0-1), not organic"}</t>
        </is>
      </c>
      <c r="G1562" t="inlineStr">
        <is>
          <t>Raw (Semrush)</t>
        </is>
      </c>
    </row>
    <row r="1563">
      <c r="A1563" t="inlineStr">
        <is>
          <t>historical:w3-validate-C-seo.csv</t>
        </is>
      </c>
      <c r="B1563" t="inlineStr">
        <is>
          <t>phrase_these</t>
        </is>
      </c>
      <c r="C1563" t="inlineStr">
        <is>
          <t>ma</t>
        </is>
      </c>
      <c r="D1563" t="inlineStr">
        <is>
          <t>référencement site e-commerce</t>
        </is>
      </c>
      <c r="E1563" t="inlineStr">
        <is>
          <t>2026-10-27T14:03:23+00:00</t>
        </is>
      </c>
      <c r="F1563" t="inlineStr">
        <is>
          <t>{"keyword": "référencement site e-commerce", "database": "ma", "language": "", "search_volume": "0", "cpc": "0", "competition": "0", "keyword_difficulty": "", "trend_data": "0.00,0.00,0.00,0.00,0.00,0.00,0.00,0.00,0.00,0.00,0.00,0.00", "intent": "unclassified", "source_report": "phrase_these", "retrieved_at": "2026-10-27T14:03:23+00:00", "data_freshness": "fresh_api_retrieval", "notes": "competition = Semrush paid-competition index (0-1), not organic"}</t>
        </is>
      </c>
      <c r="G1563" t="inlineStr">
        <is>
          <t>Raw (Semrush)</t>
        </is>
      </c>
    </row>
    <row r="1564">
      <c r="A1564" t="inlineStr">
        <is>
          <t>historical:w3-validate-C-seo.csv</t>
        </is>
      </c>
      <c r="B1564" t="inlineStr">
        <is>
          <t>phrase_these</t>
        </is>
      </c>
      <c r="C1564" t="inlineStr">
        <is>
          <t>ma</t>
        </is>
      </c>
      <c r="D1564" t="inlineStr">
        <is>
          <t>référencement site web maroc</t>
        </is>
      </c>
      <c r="E1564" t="inlineStr">
        <is>
          <t>2026-10-27T14:03:23+00:00</t>
        </is>
      </c>
      <c r="F1564" t="inlineStr">
        <is>
          <t>{"keyword": "référencement site web maroc", "database": "ma", "language": "", "search_volume": "20", "cpc": "0", "competition": "0.27", "keyword_difficulty": "", "trend_data": "0.11,0.11,0.11,0.22,0.22,0.44,1.00,0.11,0.11,0.11,0.11,0.11", "intent": "transactional/local (heuristic)", "source_report": "phrase_these", "retrieved_at": "2026-10-27T14:03:23+00:00", "data_freshness": "fresh_api_retrieval", "notes": "competition = Semrush paid-competition index (0-1), not organic"}</t>
        </is>
      </c>
      <c r="G1564" t="inlineStr">
        <is>
          <t>Raw (Semrush)</t>
        </is>
      </c>
    </row>
    <row r="1565">
      <c r="A1565" t="inlineStr">
        <is>
          <t>historical:w3-validate-C-seo.csv</t>
        </is>
      </c>
      <c r="B1565" t="inlineStr">
        <is>
          <t>phrase_these</t>
        </is>
      </c>
      <c r="C1565" t="inlineStr">
        <is>
          <t>ma</t>
        </is>
      </c>
      <c r="D1565" t="inlineStr">
        <is>
          <t>seo casablanca</t>
        </is>
      </c>
      <c r="E1565" t="inlineStr">
        <is>
          <t>2026-10-27T14:03:23+00:00</t>
        </is>
      </c>
      <c r="F1565" t="inlineStr">
        <is>
          <t>{"keyword": "seo casablanca", "database": "ma", "language": "", "search_volume": "20", "cpc": "0.63", "competition": "0.24", "keyword_difficulty": "", "trend_data": "0.57,1.00,0.29,0.14,0.57,0.14,0.14,0.14,0.14,0.14,0.43,0.14", "intent": "transactional/local (heuristic)", "source_report": "phrase_these", "retrieved_at": "2026-10-27T14:03:23+00:00", "data_freshness": "fresh_api_retrieval", "notes": "competition = Semrush paid-competition index (0-1), not organic"}</t>
        </is>
      </c>
      <c r="G1565" t="inlineStr">
        <is>
          <t>Raw (Semrush)</t>
        </is>
      </c>
    </row>
    <row r="1566">
      <c r="A1566" t="inlineStr">
        <is>
          <t>historical:w3-validate-C-seo.csv</t>
        </is>
      </c>
      <c r="B1566" t="inlineStr">
        <is>
          <t>phrase_these</t>
        </is>
      </c>
      <c r="C1566" t="inlineStr">
        <is>
          <t>ma</t>
        </is>
      </c>
      <c r="D1566" t="inlineStr">
        <is>
          <t>seo maroc</t>
        </is>
      </c>
      <c r="E1566" t="inlineStr">
        <is>
          <t>2026-10-27T14:03:23+00:00</t>
        </is>
      </c>
      <c r="F1566" t="inlineStr">
        <is>
          <t>{"keyword": "seo maroc", "database": "ma", "language": "", "search_volume": "320", "cpc": "0.83", "competition": "0.08", "keyword_difficulty": "", "trend_data": "0.67,1.00,1.00,0.67,0.54,0.54,0.81,0.67,0.54,0.54,0.44,0.81", "intent": "transactional/local (heuristic)", "source_report": "phrase_these", "retrieved_at": "2026-10-27T14:03:23+00:00", "data_freshness": "fresh_api_retrieval", "notes": "competition = Semrush paid-competition index (0-1), not organic"}</t>
        </is>
      </c>
      <c r="G1566" t="inlineStr">
        <is>
          <t>Raw (Semrush)</t>
        </is>
      </c>
    </row>
    <row r="1567">
      <c r="A1567" t="inlineStr">
        <is>
          <t>historical:w3-validate-D-software.csv</t>
        </is>
      </c>
      <c r="B1567" t="inlineStr">
        <is>
          <t>phrase_these</t>
        </is>
      </c>
      <c r="C1567" t="inlineStr">
        <is>
          <t>ma</t>
        </is>
      </c>
      <c r="D1567" t="inlineStr">
        <is>
          <t>application métier</t>
        </is>
      </c>
      <c r="E1567" t="inlineStr">
        <is>
          <t>2026-10-27T14:03:32+00:00</t>
        </is>
      </c>
      <c r="F1567" t="inlineStr">
        <is>
          <t>{"keyword": "application métier", "database": "ma", "language": "", "search_volume": "10", "cpc": "0", "competition": "0.33", "keyword_difficulty": "", "trend_data": "1.00,0.50,0.50,0.50,1.00,1.00,1.00,0.50,0.50,0.50,0.50,0.50", "intent": "unclassified", "source_report": "phrase_these", "retrieved_at": "2026-10-27T14:03:32+00:00", "data_freshness": "fresh_api_retrieval", "notes": "competition = Semrush paid-competition index (0-1), not organic"}</t>
        </is>
      </c>
      <c r="G1567" t="inlineStr">
        <is>
          <t>Raw (Semrush)</t>
        </is>
      </c>
    </row>
    <row r="1568">
      <c r="A1568" t="inlineStr">
        <is>
          <t>historical:w3-validate-D-software.csv</t>
        </is>
      </c>
      <c r="B1568" t="inlineStr">
        <is>
          <t>phrase_these</t>
        </is>
      </c>
      <c r="C1568" t="inlineStr">
        <is>
          <t>ma</t>
        </is>
      </c>
      <c r="D1568" t="inlineStr">
        <is>
          <t>automatisation processus métier</t>
        </is>
      </c>
      <c r="E1568" t="inlineStr">
        <is>
          <t>2026-10-27T14:03:32+00:00</t>
        </is>
      </c>
      <c r="F1568" t="inlineStr">
        <is>
          <t>{"keyword": "automatisation processus métier", "database": "ma", "language": "", "search_volume": "20", "cpc": "0", "competition": "0", "keyword_difficulty": "", "trend_data": "0.78,0.11,0.00,0.22,0.11,1.00,0.00,0.00,0.00,0.00,0.22,0.00", "intent": "unclassified", "source_report": "phrase_these", "retrieved_at": "2026-10-27T14:03:32+00:00", "data_freshness": "fresh_api_retrieval", "notes": "competition = Semrush paid-competition index (0-1), not organic"}</t>
        </is>
      </c>
      <c r="G1568" t="inlineStr">
        <is>
          <t>Raw (Semrush)</t>
        </is>
      </c>
    </row>
    <row r="1569">
      <c r="A1569" t="inlineStr">
        <is>
          <t>historical:w3-validate-D-software.csv</t>
        </is>
      </c>
      <c r="B1569" t="inlineStr">
        <is>
          <t>phrase_these</t>
        </is>
      </c>
      <c r="C1569" t="inlineStr">
        <is>
          <t>ma</t>
        </is>
      </c>
      <c r="D1569" t="inlineStr">
        <is>
          <t>crm maroc</t>
        </is>
      </c>
      <c r="E1569" t="inlineStr">
        <is>
          <t>2026-10-27T14:03:32+00:00</t>
        </is>
      </c>
      <c r="F1569" t="inlineStr">
        <is>
          <t>{"keyword": "crm maroc", "database": "ma", "language": "", "search_volume": "260", "cpc": "0.49", "competition": "0.15", "keyword_difficulty": "", "trend_data": "0.67,0.54,0.54,0.82,0.67,0.67,0.67,0.82,1.00,0.82,0.82,0.67", "intent": "transactional/local (heuristic)", "source_report": "phrase_these", "retrieved_at": "2026-10-27T14:03:32+00:00", "data_freshness": "fresh_api_retrieval", "notes": "competition = Semrush paid-competition index (0-1), not organic"}</t>
        </is>
      </c>
      <c r="G1569" t="inlineStr">
        <is>
          <t>Raw (Semrush)</t>
        </is>
      </c>
    </row>
    <row r="1570">
      <c r="A1570" t="inlineStr">
        <is>
          <t>historical:w3-validate-D-software.csv</t>
        </is>
      </c>
      <c r="B1570" t="inlineStr">
        <is>
          <t>phrase_these</t>
        </is>
      </c>
      <c r="C1570" t="inlineStr">
        <is>
          <t>ma</t>
        </is>
      </c>
      <c r="D1570" t="inlineStr">
        <is>
          <t>création application mobile maroc</t>
        </is>
      </c>
      <c r="E1570" t="inlineStr">
        <is>
          <t>2026-10-27T14:03:32+00:00</t>
        </is>
      </c>
      <c r="F1570" t="inlineStr">
        <is>
          <t>{"keyword": "création application mobile maroc", "database": "ma", "language": "", "search_volume": "10", "cpc": "0", "competition": "0.45", "keyword_difficulty": "", "trend_data": "0.33,0.33,0.33,0.33,0.33,0.33,1.00,0.67,0.33,0.33,0.33,0.67", "intent": "transactional/local (heuristic)", "source_report": "phrase_these", "retrieved_at": "2026-10-27T14:03:32+00:00", "data_freshness": "fresh_api_retrieval", "notes": "competition = Semrush paid-competition index (0-1), not organic"}</t>
        </is>
      </c>
      <c r="G1570" t="inlineStr">
        <is>
          <t>Raw (Semrush)</t>
        </is>
      </c>
    </row>
    <row r="1571">
      <c r="A1571" t="inlineStr">
        <is>
          <t>historical:w3-validate-D-software.csv</t>
        </is>
      </c>
      <c r="B1571" t="inlineStr">
        <is>
          <t>phrase_these</t>
        </is>
      </c>
      <c r="C1571" t="inlineStr">
        <is>
          <t>ma</t>
        </is>
      </c>
      <c r="D1571" t="inlineStr">
        <is>
          <t>création application web</t>
        </is>
      </c>
      <c r="E1571" t="inlineStr">
        <is>
          <t>2026-10-27T14:03:32+00:00</t>
        </is>
      </c>
      <c r="F1571" t="inlineStr">
        <is>
          <t>{"keyword": "création application web", "database": "ma", "language": "", "search_volume": "20", "cpc": "0", "competition": "0.33", "keyword_difficulty": "", "trend_data": "0.33,0.33,0.11,0.11,0.11,0.33,0.11,0.11,0.11,0.44,0.11,1.00", "intent": "unclassified", "source_report": "phrase_these", "retrieved_at": "2026-10-27T14:03:32+00:00", "data_freshness": "fresh_api_retrieval", "notes": "competition = Semrush paid-competition index (0-1), not organic"}</t>
        </is>
      </c>
      <c r="G1571" t="inlineStr">
        <is>
          <t>Raw (Semrush)</t>
        </is>
      </c>
    </row>
    <row r="1572">
      <c r="A1572" t="inlineStr">
        <is>
          <t>historical:w3-validate-D-software.csv</t>
        </is>
      </c>
      <c r="B1572" t="inlineStr">
        <is>
          <t>phrase_these</t>
        </is>
      </c>
      <c r="C1572" t="inlineStr">
        <is>
          <t>ma</t>
        </is>
      </c>
      <c r="D1572" t="inlineStr">
        <is>
          <t>développement application maroc</t>
        </is>
      </c>
      <c r="E1572" t="inlineStr">
        <is>
          <t>2026-10-27T14:03:32+00:00</t>
        </is>
      </c>
      <c r="F1572" t="inlineStr">
        <is>
          <t>{"keyword": "développement application maroc", "database": "ma", "language": "", "search_volume": "0", "cpc": "0", "competition": "0", "keyword_difficulty": "", "trend_data": "0.00,0.00,0.00,0.00,0.00,0.00,0.00,0.00,0.00,0.00,0.00,0.00", "intent": "transactional/local (heuristic)", "source_report": "phrase_these", "retrieved_at": "2026-10-27T14:03:32+00:00", "data_freshness": "fresh_api_retrieval", "notes": "competition = Semrush paid-competition index (0-1), not organic"}</t>
        </is>
      </c>
      <c r="G1572" t="inlineStr">
        <is>
          <t>Raw (Semrush)</t>
        </is>
      </c>
    </row>
    <row r="1573">
      <c r="A1573" t="inlineStr">
        <is>
          <t>historical:w3-validate-D-software.csv</t>
        </is>
      </c>
      <c r="B1573" t="inlineStr">
        <is>
          <t>phrase_these</t>
        </is>
      </c>
      <c r="C1573" t="inlineStr">
        <is>
          <t>ma</t>
        </is>
      </c>
      <c r="D1573" t="inlineStr">
        <is>
          <t>développeur application mobile maroc</t>
        </is>
      </c>
      <c r="E1573" t="inlineStr">
        <is>
          <t>2026-10-27T14:03:32+00:00</t>
        </is>
      </c>
      <c r="F1573" t="inlineStr">
        <is>
          <t>{"keyword": "développeur application mobile maroc", "database": "ma", "language": "", "search_volume": "20", "cpc": "0.45", "competition": "0.43", "keyword_difficulty": "", "trend_data": "0.50,0.25,0.50,0.25,0.25,0.25,0.25,0.25,0.75,0.25,1.00,0.25", "intent": "transactional/local (heuristic)", "source_report": "phrase_these", "retrieved_at": "2026-10-27T14:03:32+00:00", "data_freshness": "fresh_api_retrieval", "notes": "competition = Semrush paid-competition index (0-1), not organic"}</t>
        </is>
      </c>
      <c r="G1573" t="inlineStr">
        <is>
          <t>Raw (Semrush)</t>
        </is>
      </c>
    </row>
    <row r="1574">
      <c r="A1574" t="inlineStr">
        <is>
          <t>historical:w3-validate-D-software.csv</t>
        </is>
      </c>
      <c r="B1574" t="inlineStr">
        <is>
          <t>phrase_these</t>
        </is>
      </c>
      <c r="C1574" t="inlineStr">
        <is>
          <t>ma</t>
        </is>
      </c>
      <c r="D1574" t="inlineStr">
        <is>
          <t>erp maroc</t>
        </is>
      </c>
      <c r="E1574" t="inlineStr">
        <is>
          <t>2026-10-27T14:03:32+00:00</t>
        </is>
      </c>
      <c r="F1574" t="inlineStr">
        <is>
          <t>{"keyword": "erp maroc", "database": "ma", "language": "", "search_volume": "140", "cpc": "0.5", "competition": "0.29", "keyword_difficulty": "", "trend_data": "0.35,0.42,0.54,0.54,0.42,0.42,0.42,0.81,0.65,0.54,1.00,0.65", "intent": "transactional/local (heuristic)", "source_report": "phrase_these", "retrieved_at": "2026-10-27T14:03:32+00:00", "data_freshness": "fresh_api_retrieval", "notes": "competition = Semrush paid-competition index (0-1), not organic"}</t>
        </is>
      </c>
      <c r="G1574" t="inlineStr">
        <is>
          <t>Raw (Semrush)</t>
        </is>
      </c>
    </row>
    <row r="1575">
      <c r="A1575" t="inlineStr">
        <is>
          <t>historical:w3-validate-D-software.csv</t>
        </is>
      </c>
      <c r="B1575" t="inlineStr">
        <is>
          <t>phrase_these</t>
        </is>
      </c>
      <c r="C1575" t="inlineStr">
        <is>
          <t>ma</t>
        </is>
      </c>
      <c r="D1575" t="inlineStr">
        <is>
          <t>logiciel de gestion maroc</t>
        </is>
      </c>
      <c r="E1575" t="inlineStr">
        <is>
          <t>2026-10-27T14:03:32+00:00</t>
        </is>
      </c>
      <c r="F1575" t="inlineStr">
        <is>
          <t>{"keyword": "logiciel de gestion maroc", "database": "ma", "language": "", "search_volume": "10", "cpc": "0.34", "competition": "0.57", "keyword_difficulty": "", "trend_data": "0.25,1.00,0.25,0.25,0.25,0.25,0.25,0.25,0.25,0.25,0.25,0.25", "intent": "transactional/local (heuristic)", "source_report": "phrase_these", "retrieved_at": "2026-10-27T14:03:32+00:00", "data_freshness": "fresh_api_retrieval", "notes": "competition = Semrush paid-competition index (0-1), not organic"}</t>
        </is>
      </c>
      <c r="G1575" t="inlineStr">
        <is>
          <t>Raw (Semrush)</t>
        </is>
      </c>
    </row>
    <row r="1576">
      <c r="A1576" t="inlineStr">
        <is>
          <t>historical:w3-validate-D-software.csv</t>
        </is>
      </c>
      <c r="B1576" t="inlineStr">
        <is>
          <t>phrase_these</t>
        </is>
      </c>
      <c r="C1576" t="inlineStr">
        <is>
          <t>ma</t>
        </is>
      </c>
      <c r="D1576" t="inlineStr">
        <is>
          <t>logiciel facturation maroc</t>
        </is>
      </c>
      <c r="E1576" t="inlineStr">
        <is>
          <t>2026-10-27T14:03:32+00:00</t>
        </is>
      </c>
      <c r="F1576" t="inlineStr">
        <is>
          <t>{"keyword": "logiciel facturation maroc", "database": "ma", "language": "", "search_volume": "20", "cpc": "0.4", "competition": "0.44", "keyword_difficulty": "", "trend_data": "0.33,0.33,0.67,0.33,0.33,0.33,0.33,1.00,0.33,0.67,1.00,0.33", "intent": "transactional/local (heuristic)", "source_report": "phrase_these", "retrieved_at": "2026-10-27T14:03:32+00:00", "data_freshness": "fresh_api_retrieval", "notes": "competition = Semrush paid-competition index (0-1), not organic"}</t>
        </is>
      </c>
      <c r="G1576" t="inlineStr">
        <is>
          <t>Raw (Semrush)</t>
        </is>
      </c>
    </row>
    <row r="1577">
      <c r="A1577" t="inlineStr">
        <is>
          <t>historical:w3-validate-D-software.csv</t>
        </is>
      </c>
      <c r="B1577" t="inlineStr">
        <is>
          <t>phrase_these</t>
        </is>
      </c>
      <c r="C1577" t="inlineStr">
        <is>
          <t>ma</t>
        </is>
      </c>
      <c r="D1577" t="inlineStr">
        <is>
          <t>logiciel gestion commerciale maroc</t>
        </is>
      </c>
      <c r="E1577" t="inlineStr">
        <is>
          <t>2026-10-27T14:03:32+00:00</t>
        </is>
      </c>
      <c r="F1577" t="inlineStr">
        <is>
          <t>{"keyword": "logiciel gestion commerciale maroc", "database": "ma", "language": "", "search_volume": "20", "cpc": "0.43", "competition": "0.66", "keyword_difficulty": "", "trend_data": "1.00,0.20,0.20,0.20,0.20,0.20,0.80,0.40,0.20,0.20,0.60,0.20", "intent": "transactional/local (heuristic)", "source_report": "phrase_these", "retrieved_at": "2026-10-27T14:03:32+00:00", "data_freshness": "fresh_api_retrieval", "notes": "competition = Semrush paid-competition index (0-1), not organic"}</t>
        </is>
      </c>
      <c r="G1577" t="inlineStr">
        <is>
          <t>Raw (Semrush)</t>
        </is>
      </c>
    </row>
    <row r="1578">
      <c r="A1578" t="inlineStr">
        <is>
          <t>historical:w3-validate-D-software.csv</t>
        </is>
      </c>
      <c r="B1578" t="inlineStr">
        <is>
          <t>phrase_these</t>
        </is>
      </c>
      <c r="C1578" t="inlineStr">
        <is>
          <t>ma</t>
        </is>
      </c>
      <c r="D1578" t="inlineStr">
        <is>
          <t>logiciel sur mesure</t>
        </is>
      </c>
      <c r="E1578" t="inlineStr">
        <is>
          <t>2026-10-27T14:03:32+00:00</t>
        </is>
      </c>
      <c r="F1578" t="inlineStr">
        <is>
          <t>{"keyword": "logiciel sur mesure", "database": "ma", "language": "", "search_volume": "30", "cpc": "0", "competition": "0.33", "keyword_difficulty": "", "trend_data": "1.00,0.14,0.14,0.57,0.14,0.29,0.57,0.14,0.14,0.43,0.57,0.57", "intent": "unclassified", "source_report": "phrase_these", "retrieved_at": "2026-10-27T14:03:32+00:00", "data_freshness": "fresh_api_retrieval", "notes": "competition = Semrush paid-competition index (0-1), not organic"}</t>
        </is>
      </c>
      <c r="G1578" t="inlineStr">
        <is>
          <t>Raw (Semrush)</t>
        </is>
      </c>
    </row>
    <row r="1579">
      <c r="A1579" t="inlineStr">
        <is>
          <t>historical:w3-validate-D-software.csv</t>
        </is>
      </c>
      <c r="B1579" t="inlineStr">
        <is>
          <t>phrase_these</t>
        </is>
      </c>
      <c r="C1579" t="inlineStr">
        <is>
          <t>ma</t>
        </is>
      </c>
      <c r="D1579" t="inlineStr">
        <is>
          <t>plateforme de réservation en ligne</t>
        </is>
      </c>
      <c r="E1579" t="inlineStr">
        <is>
          <t>2026-10-27T14:03:32+00:00</t>
        </is>
      </c>
      <c r="F1579" t="inlineStr">
        <is>
          <t>{"keyword": "plateforme de réservation en ligne", "database": "ma", "language": "", "search_volume": "20", "cpc": "0.93", "competition": "0.49", "keyword_difficulty": "", "trend_data": "0.14,0.14,0.14,0.14,0.14,0.14,0.43,1.00,0.14,0.14,0.14,0.14", "intent": "unclassified", "source_report": "phrase_these", "retrieved_at": "2026-10-27T14:03:32+00:00", "data_freshness": "fresh_api_retrieval", "notes": "competition = Semrush paid-competition index (0-1), not organic"}</t>
        </is>
      </c>
      <c r="G1579" t="inlineStr">
        <is>
          <t>Raw (Semrush)</t>
        </is>
      </c>
    </row>
    <row r="1580">
      <c r="A1580" t="inlineStr">
        <is>
          <t>historical:w3-validate-D-software.csv</t>
        </is>
      </c>
      <c r="B1580" t="inlineStr">
        <is>
          <t>phrase_these</t>
        </is>
      </c>
      <c r="C1580" t="inlineStr">
        <is>
          <t>ma</t>
        </is>
      </c>
      <c r="D1580" t="inlineStr">
        <is>
          <t>transformation digitale maroc</t>
        </is>
      </c>
      <c r="E1580" t="inlineStr">
        <is>
          <t>2026-10-27T14:03:32+00:00</t>
        </is>
      </c>
      <c r="F1580" t="inlineStr">
        <is>
          <t>{"keyword": "transformation digitale maroc", "database": "ma", "language": "", "search_volume": "30", "cpc": "0", "competition": "0.33", "keyword_difficulty": "", "trend_data": "0.11,0.33,0.11,0.56,0.33,0.11,0.11,0.11,1.00,0.11,0.11,0.33", "intent": "transactional/local (heuristic)", "source_report": "phrase_these", "retrieved_at": "2026-10-27T14:03:32+00:00", "data_freshness": "fresh_api_retrieval", "notes": "competition = Semrush paid-competition index (0-1), not organic"}</t>
        </is>
      </c>
      <c r="G1580" t="inlineStr">
        <is>
          <t>Raw (Semrush)</t>
        </is>
      </c>
    </row>
    <row r="1581">
      <c r="A1581" t="inlineStr">
        <is>
          <t>historical:w3-validate-E-industries.csv</t>
        </is>
      </c>
      <c r="B1581" t="inlineStr">
        <is>
          <t>phrase_these</t>
        </is>
      </c>
      <c r="C1581" t="inlineStr">
        <is>
          <t>ma</t>
        </is>
      </c>
      <c r="D1581" t="inlineStr">
        <is>
          <t>création site web restaurant</t>
        </is>
      </c>
      <c r="E1581" t="inlineStr">
        <is>
          <t>2026-10-27T14:03:37+00:00</t>
        </is>
      </c>
      <c r="F1581" t="inlineStr">
        <is>
          <t>{"keyword": "création site web restaurant", "database": "ma", "language": "", "search_volume": "0", "cpc": "0", "competition": "0.33", "keyword_difficulty": "", "trend_data": "0.00,0.00,0.00,0.00,0.00,0.00,0.00,0.00,0.00,0.00,1.00,1.00", "intent": "unclassified", "source_report": "phrase_these", "retrieved_at": "2026-10-27T14:03:37+00:00", "data_freshness": "fresh_api_retrieval", "notes": "competition = Semrush paid-competition index (0-1), not organic"}</t>
        </is>
      </c>
      <c r="G1581" t="inlineStr">
        <is>
          <t>Raw (Semrush)</t>
        </is>
      </c>
    </row>
    <row r="1582">
      <c r="A1582" t="inlineStr">
        <is>
          <t>historical:w3-validate-E-industries.csv</t>
        </is>
      </c>
      <c r="B1582" t="inlineStr">
        <is>
          <t>phrase_these</t>
        </is>
      </c>
      <c r="C1582" t="inlineStr">
        <is>
          <t>ma</t>
        </is>
      </c>
      <c r="D1582" t="inlineStr">
        <is>
          <t>site web agence de voyage maroc</t>
        </is>
      </c>
      <c r="E1582" t="inlineStr">
        <is>
          <t>2026-10-27T14:03:37+00:00</t>
        </is>
      </c>
      <c r="F1582" t="inlineStr">
        <is>
          <t>{"keyword": "site web agence de voyage maroc", "database": "ma", "language": "", "search_volume": "0", "cpc": "0", "competition": "0", "keyword_difficulty": "", "trend_data": "0.00,0.00,0.00,0.00,0.00,0.00,0.00,0.00,0.00,0.00,0.00,0.00", "intent": "transactional/local (heuristic)", "source_report": "phrase_these", "retrieved_at": "2026-10-27T14:03:37+00:00", "data_freshness": "fresh_api_retrieval", "notes": "competition = Semrush paid-competition index (0-1), not organic"}</t>
        </is>
      </c>
      <c r="G1582" t="inlineStr">
        <is>
          <t>Raw (Semrush)</t>
        </is>
      </c>
    </row>
    <row r="1583">
      <c r="A1583" t="inlineStr">
        <is>
          <t>historical:w3-validate-E-industries.csv</t>
        </is>
      </c>
      <c r="B1583" t="inlineStr">
        <is>
          <t>phrase_these</t>
        </is>
      </c>
      <c r="C1583" t="inlineStr">
        <is>
          <t>ma</t>
        </is>
      </c>
      <c r="D1583" t="inlineStr">
        <is>
          <t>site web auto-entrepreneur maroc</t>
        </is>
      </c>
      <c r="E1583" t="inlineStr">
        <is>
          <t>2026-10-27T14:03:37+00:00</t>
        </is>
      </c>
      <c r="F1583" t="inlineStr">
        <is>
          <t>{"keyword": "site web auto-entrepreneur maroc", "database": "ma", "language": "", "search_volume": "0", "cpc": "0", "competition": "0", "keyword_difficulty": "", "trend_data": "0.00,0.00,0.00,0.00,0.00,0.00,0.00,0.00,0.00,0.00,0.00,0.00", "intent": "transactional/local (heuristic)", "source_report": "phrase_these", "retrieved_at": "2026-10-27T14:03:37+00:00", "data_freshness": "fresh_api_retrieval", "notes": "competition = Semrush paid-competition index (0-1), not organic"}</t>
        </is>
      </c>
      <c r="G1583" t="inlineStr">
        <is>
          <t>Raw (Semrush)</t>
        </is>
      </c>
    </row>
    <row r="1584">
      <c r="A1584" t="inlineStr">
        <is>
          <t>historical:w3-validate-E-industries.csv</t>
        </is>
      </c>
      <c r="B1584" t="inlineStr">
        <is>
          <t>phrase_these</t>
        </is>
      </c>
      <c r="C1584" t="inlineStr">
        <is>
          <t>ma</t>
        </is>
      </c>
      <c r="D1584" t="inlineStr">
        <is>
          <t>site web immobilier maroc</t>
        </is>
      </c>
      <c r="E1584" t="inlineStr">
        <is>
          <t>2026-10-27T14:03:37+00:00</t>
        </is>
      </c>
      <c r="F1584" t="inlineStr">
        <is>
          <t>{"keyword": "site web immobilier maroc", "database": "ma", "language": "", "search_volume": "0", "cpc": "0", "competition": "0", "keyword_difficulty": "", "trend_data": "0.00,0.00,0.00,0.00,0.00,0.00,0.00,0.00,0.00,0.00,0.00,0.00", "intent": "transactional/local (heuristic)", "source_report": "phrase_these", "retrieved_at": "2026-10-27T14:03:37+00:00", "data_freshness": "fresh_api_retrieval", "notes": "competition = Semrush paid-competition index (0-1), not organic"}</t>
        </is>
      </c>
      <c r="G1584" t="inlineStr">
        <is>
          <t>Raw (Semrush)</t>
        </is>
      </c>
    </row>
    <row r="1585">
      <c r="A1585" t="inlineStr">
        <is>
          <t>historical:w3-validate-F-cities.csv</t>
        </is>
      </c>
      <c r="B1585" t="inlineStr">
        <is>
          <t>phrase_these</t>
        </is>
      </c>
      <c r="C1585" t="inlineStr">
        <is>
          <t>ma</t>
        </is>
      </c>
      <c r="D1585" t="inlineStr">
        <is>
          <t>agence de communication agadir</t>
        </is>
      </c>
      <c r="E1585" t="inlineStr">
        <is>
          <t>2026-10-27T14:03:41+00:00</t>
        </is>
      </c>
      <c r="F1585" t="inlineStr">
        <is>
          <t>{"keyword": "agence de communication agadir", "database": "ma", "language": "", "search_volume": "140", "cpc": "0.31", "competition": "0.04", "keyword_difficulty": "", "trend_data": "0.67,0.81,1.00,0.81,0.43,0.52,0.67,1.00,0.43,0.81,0.52,0.43", "intent": "transactional/local (heuristic)", "source_report": "phrase_these", "retrieved_at": "2026-10-27T14:03:41+00:00", "data_freshness": "fresh_api_retrieval", "notes": "competition = Semrush paid-competition index (0-1), not organic"}</t>
        </is>
      </c>
      <c r="G1585" t="inlineStr">
        <is>
          <t>Raw (Semrush)</t>
        </is>
      </c>
    </row>
    <row r="1586">
      <c r="A1586" t="inlineStr">
        <is>
          <t>historical:w3-validate-F-cities.csv</t>
        </is>
      </c>
      <c r="B1586" t="inlineStr">
        <is>
          <t>phrase_these</t>
        </is>
      </c>
      <c r="C1586" t="inlineStr">
        <is>
          <t>ma</t>
        </is>
      </c>
      <c r="D1586" t="inlineStr">
        <is>
          <t>agence de communication fes</t>
        </is>
      </c>
      <c r="E1586" t="inlineStr">
        <is>
          <t>2026-10-27T14:03:41+00:00</t>
        </is>
      </c>
      <c r="F1586" t="inlineStr">
        <is>
          <t>{"keyword": "agence de communication fes", "database": "ma", "language": "", "search_volume": "10", "cpc": "0.27", "competition": "0.12", "keyword_difficulty": "", "trend_data": "0.25,1.00,0.25,0.25,0.25,0.25,0.25,0.25,0.25,0.50,0.25,0.25", "intent": "transactional/local (heuristic)", "source_report": "phrase_these", "retrieved_at": "2026-10-27T14:03:41+00:00", "data_freshness": "fresh_api_retrieval", "notes": "competition = Semrush paid-competition index (0-1), not organic"}</t>
        </is>
      </c>
      <c r="G1586" t="inlineStr">
        <is>
          <t>Raw (Semrush)</t>
        </is>
      </c>
    </row>
    <row r="1587">
      <c r="A1587" t="inlineStr">
        <is>
          <t>historical:w3-validate-F-cities.csv</t>
        </is>
      </c>
      <c r="B1587" t="inlineStr">
        <is>
          <t>phrase_these</t>
        </is>
      </c>
      <c r="C1587" t="inlineStr">
        <is>
          <t>ma</t>
        </is>
      </c>
      <c r="D1587" t="inlineStr">
        <is>
          <t>agence digitale agadir</t>
        </is>
      </c>
      <c r="E1587" t="inlineStr">
        <is>
          <t>2026-10-27T14:03:41+00:00</t>
        </is>
      </c>
      <c r="F1587" t="inlineStr">
        <is>
          <t>{"keyword": "agence digitale agadir", "database": "ma", "language": "", "search_volume": "20", "cpc": "0.37", "competition": "0.39", "keyword_difficulty": "", "trend_data": "0.20,0.80,0.20,0.20,0.20,0.40,0.40,1.00,0.20,0.20,0.20,0.80", "intent": "transactional/local (heuristic)", "source_report": "phrase_these", "retrieved_at": "2026-10-27T14:03:41+00:00", "data_freshness": "fresh_api_retrieval", "notes": "competition = Semrush paid-competition index (0-1), not organic"}</t>
        </is>
      </c>
      <c r="G1587" t="inlineStr">
        <is>
          <t>Raw (Semrush)</t>
        </is>
      </c>
    </row>
    <row r="1588">
      <c r="A1588" t="inlineStr">
        <is>
          <t>historical:w3-validate-F-cities.csv</t>
        </is>
      </c>
      <c r="B1588" t="inlineStr">
        <is>
          <t>phrase_these</t>
        </is>
      </c>
      <c r="C1588" t="inlineStr">
        <is>
          <t>ma</t>
        </is>
      </c>
      <c r="D1588" t="inlineStr">
        <is>
          <t>agence digitale fes</t>
        </is>
      </c>
      <c r="E1588" t="inlineStr">
        <is>
          <t>2026-10-27T14:03:41+00:00</t>
        </is>
      </c>
      <c r="F1588" t="inlineStr">
        <is>
          <t>{"keyword": "agence digitale fes", "database": "ma", "language": "", "search_volume": "0", "cpc": "0", "competition": "0", "keyword_difficulty": "", "trend_data": "0.00,0.00,0.00,0.00,0.00,0.00,0.00,0.00,0.00,0.00,0.00,0.00", "intent": "transactional/local (heuristic)", "source_report": "phrase_these", "retrieved_at": "2026-10-27T14:03:41+00:00", "data_freshness": "fresh_api_retrieval", "notes": "competition = Semrush paid-competition index (0-1), not organic"}</t>
        </is>
      </c>
      <c r="G1588" t="inlineStr">
        <is>
          <t>Raw (Semrush)</t>
        </is>
      </c>
    </row>
    <row r="1589">
      <c r="A1589" t="inlineStr">
        <is>
          <t>historical:w3-validate-F-cities.csv</t>
        </is>
      </c>
      <c r="B1589" t="inlineStr">
        <is>
          <t>phrase_these</t>
        </is>
      </c>
      <c r="C1589" t="inlineStr">
        <is>
          <t>ma</t>
        </is>
      </c>
      <c r="D1589" t="inlineStr">
        <is>
          <t>agence digitale tanger</t>
        </is>
      </c>
      <c r="E1589" t="inlineStr">
        <is>
          <t>2026-10-27T14:03:41+00:00</t>
        </is>
      </c>
      <c r="F1589" t="inlineStr">
        <is>
          <t>{"keyword": "agence digitale tanger", "database": "ma", "language": "", "search_volume": "30", "cpc": "0.92", "competition": "0.25", "keyword_difficulty": "", "trend_data": "0.09,0.09,1.00,1.00,0.09,0.09,0.27,0.18,0.09,0.09,0.09,0.09", "intent": "transactional/local (heuristic)", "source_report": "phrase_these", "retrieved_at": "2026-10-27T14:03:41+00:00", "data_freshness": "fresh_api_retrieval", "notes": "competition = Semrush paid-competition index (0-1), not organic"}</t>
        </is>
      </c>
      <c r="G1589" t="inlineStr">
        <is>
          <t>Raw (Semrush)</t>
        </is>
      </c>
    </row>
    <row r="1590">
      <c r="A1590" t="inlineStr">
        <is>
          <t>historical:w3-validate-F-cities.csv</t>
        </is>
      </c>
      <c r="B1590" t="inlineStr">
        <is>
          <t>phrase_these</t>
        </is>
      </c>
      <c r="C1590" t="inlineStr">
        <is>
          <t>ma</t>
        </is>
      </c>
      <c r="D1590" t="inlineStr">
        <is>
          <t>agence web kenitra</t>
        </is>
      </c>
      <c r="E1590" t="inlineStr">
        <is>
          <t>2026-10-27T14:03:41+00:00</t>
        </is>
      </c>
      <c r="F1590" t="inlineStr">
        <is>
          <t>{"keyword": "agence web kenitra", "database": "ma", "language": "", "search_volume": "20", "cpc": "0", "competition": "0.43", "keyword_difficulty": "", "trend_data": "0.11,0.11,0.11,0.11,0.11,0.11,1.00,0.56,0.11,0.11,0.11,0.11", "intent": "unclassified", "source_report": "phrase_these", "retrieved_at": "2026-10-27T14:03:41+00:00", "data_freshness": "fresh_api_retrieval", "notes": "competition = Semrush paid-competition index (0-1), not organic"}</t>
        </is>
      </c>
      <c r="G1590" t="inlineStr">
        <is>
          <t>Raw (Semrush)</t>
        </is>
      </c>
    </row>
    <row r="1591">
      <c r="A1591" t="inlineStr">
        <is>
          <t>historical:w3-validate-F-cities.csv</t>
        </is>
      </c>
      <c r="B1591" t="inlineStr">
        <is>
          <t>phrase_these</t>
        </is>
      </c>
      <c r="C1591" t="inlineStr">
        <is>
          <t>ma</t>
        </is>
      </c>
      <c r="D1591" t="inlineStr">
        <is>
          <t>agence web meknes</t>
        </is>
      </c>
      <c r="E1591" t="inlineStr">
        <is>
          <t>2026-10-27T14:03:41+00:00</t>
        </is>
      </c>
      <c r="F1591" t="inlineStr">
        <is>
          <t>{"keyword": "agence web meknes", "database": "ma", "language": "", "search_volume": "20", "cpc": "0", "competition": "0.14", "keyword_difficulty": "", "trend_data": "0.11,0.11,0.11,0.11,0.22,0.11,0.11,1.00,0.22,0.22,0.11,0.11", "intent": "unclassified", "source_report": "phrase_these", "retrieved_at": "2026-10-27T14:03:41+00:00", "data_freshness": "fresh_api_retrieval", "notes": "competition = Semrush paid-competition index (0-1), not organic"}</t>
        </is>
      </c>
      <c r="G1591" t="inlineStr">
        <is>
          <t>Raw (Semrush)</t>
        </is>
      </c>
    </row>
    <row r="1592">
      <c r="A1592" t="inlineStr">
        <is>
          <t>historical:w3-validate-F-cities.csv</t>
        </is>
      </c>
      <c r="B1592" t="inlineStr">
        <is>
          <t>phrase_these</t>
        </is>
      </c>
      <c r="C1592" t="inlineStr">
        <is>
          <t>ma</t>
        </is>
      </c>
      <c r="D1592" t="inlineStr">
        <is>
          <t>agence web mohammedia</t>
        </is>
      </c>
      <c r="E1592" t="inlineStr">
        <is>
          <t>2026-10-27T14:03:41+00:00</t>
        </is>
      </c>
      <c r="F1592" t="inlineStr">
        <is>
          <t>{"keyword": "agence web mohammedia", "database": "ma", "language": "", "search_volume": "20", "cpc": "0", "competition": "0.1", "keyword_difficulty": "", "trend_data": "0.14,0.14,0.14,0.29,1.00,0.14,0.14,0.29,0.29,0.14,0.43,0.14", "intent": "unclassified", "source_report": "phrase_these", "retrieved_at": "2026-10-27T14:03:41+00:00", "data_freshness": "fresh_api_retrieval", "notes": "competition = Semrush paid-competition index (0-1), not organic"}</t>
        </is>
      </c>
      <c r="G1592" t="inlineStr">
        <is>
          <t>Raw (Semrush)</t>
        </is>
      </c>
    </row>
    <row r="1593">
      <c r="A1593" t="inlineStr">
        <is>
          <t>historical:w3-validate-F-cities.csv</t>
        </is>
      </c>
      <c r="B1593" t="inlineStr">
        <is>
          <t>phrase_these</t>
        </is>
      </c>
      <c r="C1593" t="inlineStr">
        <is>
          <t>ma</t>
        </is>
      </c>
      <c r="D1593" t="inlineStr">
        <is>
          <t>agence web nador</t>
        </is>
      </c>
      <c r="E1593" t="inlineStr">
        <is>
          <t>2026-10-27T14:03:41+00:00</t>
        </is>
      </c>
      <c r="F1593" t="inlineStr">
        <is>
          <t>{"keyword": "agence web nador", "database": "ma", "language": "", "search_volume": "0", "cpc": "0", "competition": "0", "keyword_difficulty": "", "trend_data": "0.00,0.00,0.00,0.00,0.00,0.00,0.00,0.00,0.00,0.00,0.00,0.00", "intent": "unclassified", "source_report": "phrase_these", "retrieved_at": "2026-10-27T14:03:41+00:00", "data_freshness": "fresh_api_retrieval", "notes": "competition = Semrush paid-competition index (0-1), not organic"}</t>
        </is>
      </c>
      <c r="G1593" t="inlineStr">
        <is>
          <t>Raw (Semrush)</t>
        </is>
      </c>
    </row>
    <row r="1594">
      <c r="A1594" t="inlineStr">
        <is>
          <t>historical:w3-validate-F-cities.csv</t>
        </is>
      </c>
      <c r="B1594" t="inlineStr">
        <is>
          <t>phrase_these</t>
        </is>
      </c>
      <c r="C1594" t="inlineStr">
        <is>
          <t>ma</t>
        </is>
      </c>
      <c r="D1594" t="inlineStr">
        <is>
          <t>agence web oujda</t>
        </is>
      </c>
      <c r="E1594" t="inlineStr">
        <is>
          <t>2026-10-27T14:03:41+00:00</t>
        </is>
      </c>
      <c r="F1594" t="inlineStr">
        <is>
          <t>{"keyword": "agence web oujda", "database": "ma", "language": "", "search_volume": "20", "cpc": "0", "competition": "0.06", "keyword_difficulty": "", "trend_data": "0.20,0.20,0.20,0.80,0.20,0.40,0.20,1.00,0.20,0.20,0.20,0.20", "intent": "unclassified", "source_report": "phrase_these", "retrieved_at": "2026-10-27T14:03:41+00:00", "data_freshness": "fresh_api_retrieval", "notes": "competition = Semrush paid-competition index (0-1), not organic"}</t>
        </is>
      </c>
      <c r="G1594" t="inlineStr">
        <is>
          <t>Raw (Semrush)</t>
        </is>
      </c>
    </row>
    <row r="1595">
      <c r="A1595" t="inlineStr">
        <is>
          <t>historical:w3-validate-F-cities.csv</t>
        </is>
      </c>
      <c r="B1595" t="inlineStr">
        <is>
          <t>phrase_these</t>
        </is>
      </c>
      <c r="C1595" t="inlineStr">
        <is>
          <t>ma</t>
        </is>
      </c>
      <c r="D1595" t="inlineStr">
        <is>
          <t>agence web tetouan</t>
        </is>
      </c>
      <c r="E1595" t="inlineStr">
        <is>
          <t>2026-10-27T14:03:41+00:00</t>
        </is>
      </c>
      <c r="F1595" t="inlineStr">
        <is>
          <t>{"keyword": "agence web tetouan", "database": "ma", "language": "", "search_volume": "0", "cpc": "0", "competition": "0", "keyword_difficulty": "", "trend_data": "0.00,0.00,0.00,0.00,0.00,0.00,0.00,0.00,0.00,0.00,0.00,0.00", "intent": "unclassified", "source_report": "phrase_these", "retrieved_at": "2026-10-27T14:03:41+00:00", "data_freshness": "fresh_api_retrieval", "notes": "competition = Semrush paid-competition index (0-1), not organic"}</t>
        </is>
      </c>
      <c r="G1595" t="inlineStr">
        <is>
          <t>Raw (Semrush)</t>
        </is>
      </c>
    </row>
    <row r="1596">
      <c r="A1596" t="inlineStr">
        <is>
          <t>historical:w3-validate-F-cities.csv</t>
        </is>
      </c>
      <c r="B1596" t="inlineStr">
        <is>
          <t>phrase_these</t>
        </is>
      </c>
      <c r="C1596" t="inlineStr">
        <is>
          <t>ma</t>
        </is>
      </c>
      <c r="D1596" t="inlineStr">
        <is>
          <t>création site internet marrakech</t>
        </is>
      </c>
      <c r="E1596" t="inlineStr">
        <is>
          <t>2026-10-27T14:03:41+00:00</t>
        </is>
      </c>
      <c r="F1596" t="inlineStr">
        <is>
          <t>{"keyword": "création site internet marrakech", "database": "ma", "language": "", "search_volume": "170", "cpc": "1.24", "competition": "0.14", "keyword_difficulty": "", "trend_data": "0.36,0.24,1.00,0.54,0.44,0.24,0.29,0.19,0.05,0.12,0.07,0.12", "intent": "transactional/local (heuristic)", "source_report": "phrase_these", "retrieved_at": "2026-10-27T14:03:41+00:00", "data_freshness": "fresh_api_retrieval", "notes": "competition = Semrush paid-competition index (0-1), not organic"}</t>
        </is>
      </c>
      <c r="G1596" t="inlineStr">
        <is>
          <t>Raw (Semrush)</t>
        </is>
      </c>
    </row>
    <row r="1597">
      <c r="A1597" t="inlineStr">
        <is>
          <t>historical:w3-validate-F-cities.csv</t>
        </is>
      </c>
      <c r="B1597" t="inlineStr">
        <is>
          <t>phrase_these</t>
        </is>
      </c>
      <c r="C1597" t="inlineStr">
        <is>
          <t>ma</t>
        </is>
      </c>
      <c r="D1597" t="inlineStr">
        <is>
          <t>création site internet rabat</t>
        </is>
      </c>
      <c r="E1597" t="inlineStr">
        <is>
          <t>2026-10-27T14:03:41+00:00</t>
        </is>
      </c>
      <c r="F1597" t="inlineStr">
        <is>
          <t>{"keyword": "création site internet rabat", "database": "ma", "language": "", "search_volume": "20", "cpc": "0", "competition": "0.86", "keyword_difficulty": "", "trend_data": "0.14,0.14,0.14,0.57,1.00,1.00,0.14,0.14,0.14,0.14,0.29,0.29", "intent": "transactional/local (heuristic)", "source_report": "phrase_these", "retrieved_at": "2026-10-27T14:03:41+00:00", "data_freshness": "fresh_api_retrieval", "notes": "competition = Semrush paid-competition index (0-1), not organic"}</t>
        </is>
      </c>
      <c r="G1597" t="inlineStr">
        <is>
          <t>Raw (Semrush)</t>
        </is>
      </c>
    </row>
    <row r="1598">
      <c r="A1598" t="inlineStr">
        <is>
          <t>historical:w3-validate-G-tools.csv</t>
        </is>
      </c>
      <c r="B1598" t="inlineStr">
        <is>
          <t>phrase_these</t>
        </is>
      </c>
      <c r="C1598" t="inlineStr">
        <is>
          <t>ma</t>
        </is>
      </c>
      <c r="D1598" t="inlineStr">
        <is>
          <t>analyse seo en ligne gratuit</t>
        </is>
      </c>
      <c r="E1598" t="inlineStr">
        <is>
          <t>2026-10-27T14:03:45+00:00</t>
        </is>
      </c>
      <c r="F1598" t="inlineStr">
        <is>
          <t>{"keyword": "analyse seo en ligne gratuit", "database": "ma", "language": "", "search_volume": "0", "cpc": "0", "competition": "0", "keyword_difficulty": "", "trend_data": "0.00,0.00,0.00,0.00,0.00,0.00,0.00,0.00,0.00,0.00,0.00,0.00", "intent": "informational (heuristic)", "source_report": "phrase_these", "retrieved_at": "2026-10-27T14:03:45+00:00", "data_freshness": "fresh_api_retrieval", "notes": "competition = Semrush paid-competition index (0-1), not organic"}</t>
        </is>
      </c>
      <c r="G1598" t="inlineStr">
        <is>
          <t>Raw (Semrush)</t>
        </is>
      </c>
    </row>
    <row r="1599">
      <c r="A1599" t="inlineStr">
        <is>
          <t>historical:w3-validate-G-tools.csv</t>
        </is>
      </c>
      <c r="B1599" t="inlineStr">
        <is>
          <t>phrase_these</t>
        </is>
      </c>
      <c r="C1599" t="inlineStr">
        <is>
          <t>ma</t>
        </is>
      </c>
      <c r="D1599" t="inlineStr">
        <is>
          <t>analyse site web gratuit</t>
        </is>
      </c>
      <c r="E1599" t="inlineStr">
        <is>
          <t>2026-10-27T14:03:45+00:00</t>
        </is>
      </c>
      <c r="F1599" t="inlineStr">
        <is>
          <t>{"keyword": "analyse site web gratuit", "database": "ma", "language": "", "search_volume": "20", "cpc": "0.3", "competition": "0.21", "keyword_difficulty": "", "trend_data": "0.14,0.14,0.14,0.14,0.14,0.14,0.14,1.00,0.14,0.29,0.14,0.14", "intent": "informational (heuristic)", "source_report": "phrase_these", "retrieved_at": "2026-10-27T14:03:45+00:00", "data_freshness": "fresh_api_retrieval", "notes": "competition = Semrush paid-competition index (0-1), not organic"}</t>
        </is>
      </c>
      <c r="G1599" t="inlineStr">
        <is>
          <t>Raw (Semrush)</t>
        </is>
      </c>
    </row>
    <row r="1600">
      <c r="A1600" t="inlineStr">
        <is>
          <t>historical:w3-validate-G-tools.csv</t>
        </is>
      </c>
      <c r="B1600" t="inlineStr">
        <is>
          <t>phrase_these</t>
        </is>
      </c>
      <c r="C1600" t="inlineStr">
        <is>
          <t>ma</t>
        </is>
      </c>
      <c r="D1600" t="inlineStr">
        <is>
          <t>analyser mon site web</t>
        </is>
      </c>
      <c r="E1600" t="inlineStr">
        <is>
          <t>2026-10-27T14:03:45+00:00</t>
        </is>
      </c>
      <c r="F1600" t="inlineStr">
        <is>
          <t>{"keyword": "analyser mon site web", "database": "ma", "language": "", "search_volume": "10", "cpc": "0", "competition": "0", "keyword_difficulty": "", "trend_data": "0.33,0.33,0.67,0.33,0.33,0.33,1.00,1.00,0.33,0.33,0.33,0.00", "intent": "unclassified", "source_report": "phrase_these", "retrieved_at": "2026-10-27T14:03:45+00:00", "data_freshness": "fresh_api_retrieval", "notes": "competition = Semrush paid-competition index (0-1), not organic"}</t>
        </is>
      </c>
      <c r="G1600" t="inlineStr">
        <is>
          <t>Raw (Semrush)</t>
        </is>
      </c>
    </row>
    <row r="1601">
      <c r="A1601" t="inlineStr">
        <is>
          <t>historical:w3-validate-G-tools.csv</t>
        </is>
      </c>
      <c r="B1601" t="inlineStr">
        <is>
          <t>phrase_these</t>
        </is>
      </c>
      <c r="C1601" t="inlineStr">
        <is>
          <t>ma</t>
        </is>
      </c>
      <c r="D1601" t="inlineStr">
        <is>
          <t>analyseur site web</t>
        </is>
      </c>
      <c r="E1601" t="inlineStr">
        <is>
          <t>2026-10-27T14:03:45+00:00</t>
        </is>
      </c>
      <c r="F1601" t="inlineStr">
        <is>
          <t>{"keyword": "analyseur site web", "database": "ma", "language": "", "search_volume": "20", "cpc": "0.26", "competition": "0.13", "keyword_difficulty": "", "trend_data": "1.00,1.00,0.14,0.14,0.14,0.14,0.14,0.14,0.14,0.14,0.29,0.14", "intent": "unclassified", "source_report": "phrase_these", "retrieved_at": "2026-10-27T14:03:45+00:00", "data_freshness": "fresh_api_retrieval", "notes": "competition = Semrush paid-competition index (0-1), not organic"}</t>
        </is>
      </c>
      <c r="G1601" t="inlineStr">
        <is>
          <t>Raw (Semrush)</t>
        </is>
      </c>
    </row>
    <row r="1602">
      <c r="A1602" t="inlineStr">
        <is>
          <t>historical:w3-validate-G-tools.csv</t>
        </is>
      </c>
      <c r="B1602" t="inlineStr">
        <is>
          <t>phrase_these</t>
        </is>
      </c>
      <c r="C1602" t="inlineStr">
        <is>
          <t>ma</t>
        </is>
      </c>
      <c r="D1602" t="inlineStr">
        <is>
          <t>audit site web gratuit</t>
        </is>
      </c>
      <c r="E1602" t="inlineStr">
        <is>
          <t>2026-10-27T14:03:45+00:00</t>
        </is>
      </c>
      <c r="F1602" t="inlineStr">
        <is>
          <t>{"keyword": "audit site web gratuit", "database": "ma", "language": "", "search_volume": "30", "cpc": "0", "competition": "0.71", "keyword_difficulty": "", "trend_data": "1.00,0.11,0.33,0.56,0.11,0.11,0.11,0.44,0.22,0.11,0.11,0.56", "intent": "informational (heuristic)", "source_report": "phrase_these", "retrieved_at": "2026-10-27T14:03:45+00:00", "data_freshness": "fresh_api_retrieval", "notes": "competition = Semrush paid-competition index (0-1), not organic"}</t>
        </is>
      </c>
      <c r="G1602" t="inlineStr">
        <is>
          <t>Raw (Semrush)</t>
        </is>
      </c>
    </row>
    <row r="1603">
      <c r="A1603" t="inlineStr">
        <is>
          <t>historical:w3-validate-G-tools.csv</t>
        </is>
      </c>
      <c r="B1603" t="inlineStr">
        <is>
          <t>phrase_these</t>
        </is>
      </c>
      <c r="C1603" t="inlineStr">
        <is>
          <t>ma</t>
        </is>
      </c>
      <c r="D1603" t="inlineStr">
        <is>
          <t>générateur de mots clés</t>
        </is>
      </c>
      <c r="E1603" t="inlineStr">
        <is>
          <t>2026-10-27T14:03:45+00:00</t>
        </is>
      </c>
      <c r="F1603" t="inlineStr">
        <is>
          <t>{"keyword": "générateur de mots clés", "database": "ma", "language": "", "search_volume": "10", "cpc": "0", "competition": "0", "keyword_difficulty": "", "trend_data": "0.14,0.14,0.14,0.14,0.14,0.14,0.00,0.14,0.14,1.00,0.14,0.00", "intent": "unclassified", "source_report": "phrase_these", "retrieved_at": "2026-10-27T14:03:45+00:00", "data_freshness": "fresh_api_retrieval", "notes": "competition = Semrush paid-competition index (0-1), not organic"}</t>
        </is>
      </c>
      <c r="G1603" t="inlineStr">
        <is>
          <t>Raw (Semrush)</t>
        </is>
      </c>
    </row>
    <row r="1604">
      <c r="A1604" t="inlineStr">
        <is>
          <t>historical:w3-validate-G-tools.csv</t>
        </is>
      </c>
      <c r="B1604" t="inlineStr">
        <is>
          <t>phrase_these</t>
        </is>
      </c>
      <c r="C1604" t="inlineStr">
        <is>
          <t>ma</t>
        </is>
      </c>
      <c r="D1604" t="inlineStr">
        <is>
          <t>outil analyse seo</t>
        </is>
      </c>
      <c r="E1604" t="inlineStr">
        <is>
          <t>2026-10-27T14:03:45+00:00</t>
        </is>
      </c>
      <c r="F1604" t="inlineStr">
        <is>
          <t>{"keyword": "outil analyse seo", "database": "ma", "language": "", "search_volume": "0", "cpc": "0", "competition": "0", "keyword_difficulty": "", "trend_data": "0.00,0.00,0.00,0.00,0.00,0.00,0.00,0.00,0.00,0.00,0.00,0.00", "intent": "unclassified", "source_report": "phrase_these", "retrieved_at": "2026-10-27T14:03:45+00:00", "data_freshness": "fresh_api_retrieval", "notes": "competition = Semrush paid-competition index (0-1), not organic"}</t>
        </is>
      </c>
      <c r="G1604" t="inlineStr">
        <is>
          <t>Raw (Semrush)</t>
        </is>
      </c>
    </row>
    <row r="1605">
      <c r="A1605" t="inlineStr">
        <is>
          <t>historical:w3-validate-G-tools.csv</t>
        </is>
      </c>
      <c r="B1605" t="inlineStr">
        <is>
          <t>phrase_these</t>
        </is>
      </c>
      <c r="C1605" t="inlineStr">
        <is>
          <t>ma</t>
        </is>
      </c>
      <c r="D1605" t="inlineStr">
        <is>
          <t>outil audit seo</t>
        </is>
      </c>
      <c r="E1605" t="inlineStr">
        <is>
          <t>2026-10-27T14:03:45+00:00</t>
        </is>
      </c>
      <c r="F1605" t="inlineStr">
        <is>
          <t>{"keyword": "outil audit seo", "database": "ma", "language": "", "search_volume": "10", "cpc": "0", "competition": "0.33", "keyword_difficulty": "", "trend_data": "0.00,0.00,0.20,0.00,0.00,0.00,0.00,0.00,1.00,0.00,0.60,0.20", "intent": "unclassified", "source_report": "phrase_these", "retrieved_at": "2026-10-27T14:03:45+00:00", "data_freshness": "fresh_api_retrieval", "notes": "competition = Semrush paid-competition index (0-1), not organic"}</t>
        </is>
      </c>
      <c r="G1605" t="inlineStr">
        <is>
          <t>Raw (Semrush)</t>
        </is>
      </c>
    </row>
    <row r="1606">
      <c r="A1606" t="inlineStr">
        <is>
          <t>historical:w3-validate-G-tools.csv</t>
        </is>
      </c>
      <c r="B1606" t="inlineStr">
        <is>
          <t>phrase_these</t>
        </is>
      </c>
      <c r="C1606" t="inlineStr">
        <is>
          <t>ma</t>
        </is>
      </c>
      <c r="D1606" t="inlineStr">
        <is>
          <t>outil seo gratuit</t>
        </is>
      </c>
      <c r="E1606" t="inlineStr">
        <is>
          <t>2026-10-27T14:03:45+00:00</t>
        </is>
      </c>
      <c r="F1606" t="inlineStr">
        <is>
          <t>{"keyword": "outil seo gratuit", "database": "ma", "language": "", "search_volume": "20", "cpc": "0", "competition": "0.36", "keyword_difficulty": "", "trend_data": "0.25,1.00,0.50,0.25,0.50,0.25,0.25,0.25,0.50,0.50,0.25,0.50", "intent": "informational (heuristic)", "source_report": "phrase_these", "retrieved_at": "2026-10-27T14:03:45+00:00", "data_freshness": "fresh_api_retrieval", "notes": "competition = Semrush paid-competition index (0-1), not organic"}</t>
        </is>
      </c>
      <c r="G1606" t="inlineStr">
        <is>
          <t>Raw (Semrush)</t>
        </is>
      </c>
    </row>
    <row r="1607">
      <c r="A1607" t="inlineStr">
        <is>
          <t>historical:w3-validate-G-tools.csv</t>
        </is>
      </c>
      <c r="B1607" t="inlineStr">
        <is>
          <t>phrase_these</t>
        </is>
      </c>
      <c r="C1607" t="inlineStr">
        <is>
          <t>ma</t>
        </is>
      </c>
      <c r="D1607" t="inlineStr">
        <is>
          <t>test site web gratuit</t>
        </is>
      </c>
      <c r="E1607" t="inlineStr">
        <is>
          <t>2026-10-27T14:03:45+00:00</t>
        </is>
      </c>
      <c r="F1607" t="inlineStr">
        <is>
          <t>{"keyword": "test site web gratuit", "database": "ma", "language": "", "search_volume": "20", "cpc": "0", "competition": "0.39", "keyword_difficulty": "", "trend_data": "0.29,0.29,1.00,0.14,0.14,0.14,0.14,0.43,0.29,0.14,0.14,0.14", "intent": "informational (heuristic)", "source_report": "phrase_these", "retrieved_at": "2026-10-27T14:03:45+00:00", "data_freshness": "fresh_api_retrieval", "notes": "competition = Semrush paid-competition index (0-1), not organic"}</t>
        </is>
      </c>
      <c r="G1607" t="inlineStr">
        <is>
          <t>Raw (Semrush)</t>
        </is>
      </c>
    </row>
    <row r="1608">
      <c r="A1608" t="inlineStr">
        <is>
          <t>historical:w3-validate-G-tools.csv</t>
        </is>
      </c>
      <c r="B1608" t="inlineStr">
        <is>
          <t>phrase_these</t>
        </is>
      </c>
      <c r="C1608" t="inlineStr">
        <is>
          <t>ma</t>
        </is>
      </c>
      <c r="D1608" t="inlineStr">
        <is>
          <t>test vitesse site</t>
        </is>
      </c>
      <c r="E1608" t="inlineStr">
        <is>
          <t>2026-10-27T14:03:45+00:00</t>
        </is>
      </c>
      <c r="F1608" t="inlineStr">
        <is>
          <t>{"keyword": "test vitesse site", "database": "ma", "language": "", "search_volume": "10", "cpc": "0", "competition": "0.33", "keyword_difficulty": "", "trend_data": "0.50,1.00,0.50,0.50,0.50,0.50,0.50,0.50,0.50,0.50,0.50,0.50", "intent": "unclassified", "source_report": "phrase_these", "retrieved_at": "2026-10-27T14:03:45+00:00", "data_freshness": "fresh_api_retrieval", "notes": "competition = Semrush paid-competition index (0-1), not organic"}</t>
        </is>
      </c>
      <c r="G1608" t="inlineStr">
        <is>
          <t>Raw (Semrush)</t>
        </is>
      </c>
    </row>
    <row r="1609">
      <c r="A1609" t="inlineStr">
        <is>
          <t>historical:w3-validate-G-tools.csv</t>
        </is>
      </c>
      <c r="B1609" t="inlineStr">
        <is>
          <t>phrase_these</t>
        </is>
      </c>
      <c r="C1609" t="inlineStr">
        <is>
          <t>ma</t>
        </is>
      </c>
      <c r="D1609" t="inlineStr">
        <is>
          <t>tester son site web</t>
        </is>
      </c>
      <c r="E1609" t="inlineStr">
        <is>
          <t>2026-10-27T14:03:45+00:00</t>
        </is>
      </c>
      <c r="F1609" t="inlineStr">
        <is>
          <t>{"keyword": "tester son site web", "database": "ma", "language": "", "search_volume": "0", "cpc": "0", "competition": "0", "keyword_difficulty": "", "trend_data": "0.00,0.00,0.00,0.00,0.00,0.00,0.00,0.00,0.00,0.00,0.00,0.00", "intent": "unclassified", "source_report": "phrase_these", "retrieved_at": "2026-10-27T14:03:45+00:00", "data_freshness": "fresh_api_retrieval", "notes": "competition = Semrush paid-competition index (0-1), not organic"}</t>
        </is>
      </c>
      <c r="G1609" t="inlineStr">
        <is>
          <t>Raw (Semrush)</t>
        </is>
      </c>
    </row>
  </sheetData>
  <autoFilter ref="A2:G1609"/>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50" customWidth="1" min="2" max="2"/>
  </cols>
  <sheetData>
    <row r="1">
      <c r="A1" s="10" t="inlineStr">
        <is>
          <t>← 01 Executive Summary</t>
        </is>
      </c>
      <c r="B1" s="11" t="inlineStr">
        <is>
          <t>Research methodology, data limitations and API usage</t>
        </is>
      </c>
    </row>
    <row r="2" ht="32" customHeight="1">
      <c r="A2" s="12" t="inlineStr">
        <is>
          <t>Topic</t>
        </is>
      </c>
      <c r="B2" s="12" t="inlineStr">
        <is>
          <t>Detail</t>
        </is>
      </c>
    </row>
    <row r="3">
      <c r="A3" s="2" t="inlineStr">
        <is>
          <t>Scope</t>
        </is>
      </c>
      <c r="B3" s="5" t="inlineStr">
        <is>
          <t>146 indexable URLs from https://codesommet.com/sitemap.xml (robots.txt allows all; no noindex found). Pages fetched with a polite crawler (0.6 s delay) on 2026-10-30; the site is server-rendered Laravel/Blade, so the HTML response is the rendered DOM (no client-side content for headings/FAQs). FAQ answers are present in the HTML (collapsed via CSS).</t>
        </is>
      </c>
    </row>
    <row r="4">
      <c r="A4" s="2" t="inlineStr">
        <is>
          <t>Framework / routing</t>
        </is>
      </c>
      <c r="B4" s="5" t="inlineStr">
        <is>
          <t>Laravel 11 + Blade. Public routes: /, /about, /contact, /get-quote, /our-work(/{slug}), /industries, /locations, /tools(/{slug}), /blog(/{slug}), /legal/*, /services/{slug} (17), /web-development-company/{city} (36). Single language: fr (html lang="fr"); no hreflang.</t>
        </is>
      </c>
    </row>
    <row r="5">
      <c r="A5" s="2" t="inlineStr">
        <is>
          <t>Section model</t>
        </is>
      </c>
      <c r="B5" s="5" t="inlineStr">
        <is>
          <t>A section = an H1 or H2 plus all content until the next H1/H2 (works for templates with and without &lt;section&gt; wrappers). H3/H4 inside are sub-headings; decorative "hd-N" divs listed separately.</t>
        </is>
      </c>
    </row>
    <row r="6">
      <c r="A6" s="2" t="inlineStr">
        <is>
          <t>FAQ extraction</t>
        </is>
      </c>
      <c r="B6" s="5" t="inlineStr">
        <is>
          <t>Accordion buttons controlling .faq-answer panels (services, cities, tools). Cross-checked with FAQPage JSON-LD (services + cities only: 352 schema questions = visible questions on those pages).</t>
        </is>
      </c>
    </row>
    <row r="7">
      <c r="A7" s="2" t="inlineStr">
        <is>
          <t>Semrush access</t>
        </is>
      </c>
      <c r="B7" s="5" t="inlineStr">
        <is>
          <t>Project SemrushService (MCP endpoint mcp.semrush.com, key from .env SEMRUSH_API_KEY, never printed) through a scratch batch runner that reuses its cache, unit budget and usage log (storage/app/seo/semrush-usage.jsonl). Discovery calls via the semrush-api MCP tools (schemas only).</t>
        </is>
      </c>
    </row>
    <row r="8">
      <c r="A8" s="2" t="inlineStr">
        <is>
          <t>Endpoints used</t>
        </is>
      </c>
      <c r="B8" s="5" t="inlineStr">
        <is>
          <t>phrase_these (volume, CPC, competition, results, 12-month trend, intent, KD - 10 units per returned keyword), phrase_organic (SERP top 10, 10 units/row), domain_rank (10 units), resource_organic (competitor keywords, 10 units/row), backlinks_comparison (40 units/target), phrase_questions (40 units/row). phrase_kdi (50 units/kw) was NOT needed: phrase_these returns KD.</t>
        </is>
      </c>
    </row>
    <row r="9">
      <c r="A9" s="2" t="inlineStr">
        <is>
          <t>Databases</t>
        </is>
      </c>
      <c r="B9" s="5" t="inlineStr">
        <is>
          <t>ma (Morocco, primary), fr, be, ch, ca, lu, tn, sn, dz (francophone markets) and ae, sa, uk, nl, de, dk, ie, se, es, pt, it, us, eg, ng (only to size local-language demand behind the international city pages). Each keyword row belongs to exactly one database; values are never summed across databases.</t>
        </is>
      </c>
    </row>
    <row r="10">
      <c r="A10" s="2" t="inlineStr">
        <is>
          <t>API usage this session</t>
        </is>
      </c>
      <c r="B10" s="5" t="inlineStr">
        <is>
          <t>98 API calls, 15,340 units (Semrush-reported). Previous waves (26-27 Oct 2026): 3,010 units. Remaining account balance is not exposed by this API - check Semrush → Subscription info.</t>
        </is>
      </c>
    </row>
    <row r="11">
      <c r="A11" s="2" t="inlineStr">
        <is>
          <t>Historical data reused</t>
        </is>
      </c>
      <c r="B11" s="5" t="inlineStr">
        <is>
          <t>docs/seo/raw/*.csv (Semrush, 26-27 Oct 2026) - included only for keywords not re-measured this session, labelled with their file and date.</t>
        </is>
      </c>
    </row>
    <row r="12">
      <c r="A12" s="2" t="inlineStr">
        <is>
          <t>Data status</t>
        </is>
      </c>
      <c r="B12" s="5" t="inlineStr">
        <is>
          <t>MEASURED = returned by Semrush. ESTIMATED = Semrush model estimates (competitor traffic, rank). UNAVAILABLE = queried, Semrush returned no row (thin database - NOT a zero). SUGGESTED = analyst idea not queried. KD returned as 0 is treated as NOT AVAILABLE (Semrush returns 0 when it has no KD).</t>
        </is>
      </c>
    </row>
    <row r="13">
      <c r="A13" s="2" t="inlineStr">
        <is>
          <t>Intent</t>
        </is>
      </c>
      <c r="B13" s="5" t="inlineStr">
        <is>
          <t>Semrush intent codes 0=Commercial, 1=Informational, 2=Navigational, 3=Transactional (multi-intent kept as list). Section/FAQ intents are analyst classifications.</t>
        </is>
      </c>
    </row>
    <row r="14">
      <c r="A14" s="2" t="inlineStr">
        <is>
          <t>Trend</t>
        </is>
      </c>
      <c r="B14" s="5" t="inlineStr">
        <is>
          <t>Calculated from Semrush 12-month normalised trend: mean of last 3 vs first 3 months (&gt;+20 % rising, &lt;-20 % declining). Calculated, not a Semrush metric.</t>
        </is>
      </c>
    </row>
    <row r="15">
      <c r="A15" s="2" t="inlineStr">
        <is>
          <t>Opportunity score (NOT a Semrush metric)</t>
        </is>
      </c>
      <c r="B15" s="5" t="inlineStr">
        <is>
          <t>Base 0-100 = Intent pts (Commercial/Transactional 25, Informational 10, Navigational 0, unknown 12) + Volume pts (30 × log10(volume+1)/4, max 30) + Feasibility pts (25 × (100-KD)/100; 12.5 when KD unknown) + Country pts (ma 20, fr 14, be/ch/ca/lu 10, tn/sn/dz 6, other 3). Page Opportunity = Base × Page Relevance/100 (PRIMARY 100, SECONDARY 85, FAQ 70, SUPPORTING 65, OPTIONAL 45, NOT RECOMMENDED 0). Live Excel formulas in sheets 04/05/08.</t>
        </is>
      </c>
    </row>
    <row r="16">
      <c r="A16" s="2" t="inlineStr">
        <is>
          <t>FAQ opportunity score</t>
        </is>
      </c>
      <c r="B16" s="5" t="inlineStr">
        <is>
          <t>Volume pts (50 × log10(volume+1)/4, max 50; 5 when unknown) + Feasibility (30 × (100-KD)/100; 15 unknown) + 20 for new / 10 for existing questions.</t>
        </is>
      </c>
    </row>
    <row r="17">
      <c r="A17" s="2" t="inlineStr">
        <is>
          <t>Keyword selection criteria</t>
        </is>
      </c>
      <c r="B17" s="5" t="inlineStr">
        <is>
          <t>Relevance to an existing CodeSommet service and page first, then commercial intent, then feasibility (KD), then volume. Rejected: services not offered (communication / marketing agency, hosting, Shopify), wrong audience (property seekers, students seeking portals, clients' own product terms).</t>
        </is>
      </c>
    </row>
    <row r="18">
      <c r="A18" s="2" t="inlineStr">
        <is>
          <t>Competitor selection</t>
        </is>
      </c>
      <c r="B18" s="5" t="inlineStr">
        <is>
          <t>Domains appearing in the Semrush ma top-10 for the 7 of 21 commercial seeds that returned data (agence web maroc, creation site web maroc, agence web casablanca, agence digitale maroc, agence seo maroc, seo maroc, agence web marrakech); 4 FR/BE SERPs for international competitors. Directories/social (sortlist, linkedin, instagram, kerix, add.gov.ma) excluded from the benchmark table.</t>
        </is>
      </c>
    </row>
    <row r="19">
      <c r="A19" s="2" t="inlineStr">
        <is>
          <t>Limitations</t>
        </is>
      </c>
      <c r="B19" s="5" t="inlineStr">
        <is>
          <t>Semrush ma is thin: many SERPs returned no data (création site internet maroc, agence web rabat/tanger/agadir, création site e-commerce maroc, développement web maroc, agence de communication maroc). SERP features not pulled (phrase_organic export limited to position/domain/url). Search-volume data date is not exposed by the API. Competitor traffic = Semrush estimates. Backlink counts (Semrush) differ from Seobility (10 referring domains) - different indexes. No Google Search Console data was available in this mission.</t>
        </is>
      </c>
    </row>
    <row r="20">
      <c r="A20" s="2" t="inlineStr">
        <is>
          <t>No-modification statement</t>
        </is>
      </c>
      <c r="B20" s="5" t="inlineStr">
        <is>
          <t>Research only: no Blade view, lang file, CSS/JS, route, metadata, robots, sitemap or schema was changed. Outputs written to docs/seo/2026/ only; Semrush cache/usage log under storage/app/ updated by the API client.</t>
        </is>
      </c>
    </row>
    <row r="21">
      <c r="A21" s="2" t="n"/>
      <c r="B21" s="5" t="n"/>
    </row>
    <row r="22">
      <c r="A22" s="2" t="inlineStr">
        <is>
          <t>API CALL LOG (this session)</t>
        </is>
      </c>
      <c r="B22" s="5" t="inlineStr">
        <is>
          <t>Job ID | report | db | query | rows | units | no_data | retrieved_at</t>
        </is>
      </c>
    </row>
    <row r="23">
      <c r="A23" s="2" t="inlineStr">
        <is>
          <t>bl-compare</t>
        </is>
      </c>
      <c r="B23" s="5" t="inlineStr">
        <is>
          <t>backlinks_comparison |  | codesommet.com;void.ma;vala.ma;hostino.ma;rhillane.com;energiedin.com;urikacloud.com;digitalma.ma;elevenmedia.ma;website.ma;websuccess.ma;webeuz.com;rimasdigita | rows 15 | units 600 | no_data False | 2026-10-30T14:56:25+00:00</t>
        </is>
      </c>
    </row>
    <row r="24">
      <c r="A24" s="2" t="inlineStr">
        <is>
          <t>org-ma-codesommet</t>
        </is>
      </c>
      <c r="B24" s="5" t="inlineStr">
        <is>
          <t>resource_organic | ma | codesommet.com | rows 0 | units 0 | no_data True | 2026-10-30T14:54:32+00:00</t>
        </is>
      </c>
    </row>
    <row r="25">
      <c r="A25" s="2" t="inlineStr">
        <is>
          <t>org-ma-digitalma.ma</t>
        </is>
      </c>
      <c r="B25" s="5" t="inlineStr">
        <is>
          <t>resource_organic | ma | digitalma.ma | rows 23 | units 230 | no_data False | 2026-10-30T14:56:19+00:00</t>
        </is>
      </c>
    </row>
    <row r="26">
      <c r="A26" s="2" t="inlineStr">
        <is>
          <t>org-ma-elevenmedia.ma</t>
        </is>
      </c>
      <c r="B26" s="5" t="inlineStr">
        <is>
          <t>resource_organic | ma | elevenmedia.ma | rows 25 | units 250 | no_data False | 2026-10-30T14:56:20+00:00</t>
        </is>
      </c>
    </row>
    <row r="27">
      <c r="A27" s="2" t="inlineStr">
        <is>
          <t>org-ma-energiedin.com</t>
        </is>
      </c>
      <c r="B27" s="5" t="inlineStr">
        <is>
          <t>resource_organic | ma | energiedin.com | rows 25 | units 250 | no_data False | 2026-10-30T14:56:17+00:00</t>
        </is>
      </c>
    </row>
    <row r="28">
      <c r="A28" s="2" t="inlineStr">
        <is>
          <t>org-ma-hostino.ma</t>
        </is>
      </c>
      <c r="B28" s="5" t="inlineStr">
        <is>
          <t>resource_organic | ma | hostino.ma | rows 25 | units 250 | no_data False | 2026-10-30T14:56:15+00:00</t>
        </is>
      </c>
    </row>
    <row r="29">
      <c r="A29" s="2" t="inlineStr">
        <is>
          <t>org-ma-rhillane.com</t>
        </is>
      </c>
      <c r="B29" s="5" t="inlineStr">
        <is>
          <t>resource_organic | ma | rhillane.com | rows 25 | units 250 | no_data False | 2026-10-30T14:56:16+00:00</t>
        </is>
      </c>
    </row>
    <row r="30">
      <c r="A30" s="2" t="inlineStr">
        <is>
          <t>org-ma-urikacloud.com</t>
        </is>
      </c>
      <c r="B30" s="5" t="inlineStr">
        <is>
          <t>resource_organic | ma | urikacloud.com | rows 21 | units 210 | no_data False | 2026-10-30T14:56:18+00:00</t>
        </is>
      </c>
    </row>
    <row r="31">
      <c r="A31" s="2" t="inlineStr">
        <is>
          <t>org-ma-vala.ma</t>
        </is>
      </c>
      <c r="B31" s="5" t="inlineStr">
        <is>
          <t>resource_organic | ma | vala.ma | rows 25 | units 250 | no_data False | 2026-10-30T14:56:13+00:00</t>
        </is>
      </c>
    </row>
    <row r="32">
      <c r="A32" s="2" t="inlineStr">
        <is>
          <t>org-ma-void.ma</t>
        </is>
      </c>
      <c r="B32" s="5" t="inlineStr">
        <is>
          <t>resource_organic | ma | void.ma | rows 25 | units 250 | no_data False | 2026-10-30T14:56:11+00:00</t>
        </is>
      </c>
    </row>
    <row r="33">
      <c r="A33" s="2" t="inlineStr">
        <is>
          <t>org-ma-website.ma</t>
        </is>
      </c>
      <c r="B33" s="5" t="inlineStr">
        <is>
          <t>resource_organic | ma | website.ma | rows 6 | units 60 | no_data False | 2026-10-30T14:56:21+00:00</t>
        </is>
      </c>
    </row>
    <row r="34">
      <c r="A34" s="2" t="inlineStr">
        <is>
          <t>org-ma-websuccess.ma</t>
        </is>
      </c>
      <c r="B34" s="5" t="inlineStr">
        <is>
          <t>resource_organic | ma | websuccess.ma | rows 20 | units 200 | no_data False | 2026-10-30T14:56:22+00:00</t>
        </is>
      </c>
    </row>
    <row r="35">
      <c r="A35" s="2" t="inlineStr">
        <is>
          <t>probe-these-kd</t>
        </is>
      </c>
      <c r="B35" s="5" t="inlineStr">
        <is>
          <t>phrase_these | ma | agence web maroc;création site web maroc;agence web casablanca | rows 3 | units 30 | no_data False | 2026-10-30T15:03:37+00:00</t>
        </is>
      </c>
    </row>
    <row r="36">
      <c r="A36" s="2" t="inlineStr">
        <is>
          <t>q-fr-site-internet</t>
        </is>
      </c>
      <c r="B36" s="5" t="inlineStr">
        <is>
          <t>phrase_questions | fr | site internet | rows 15 | units 600 | no_data False | 2026-10-30T15:07:33+00:00</t>
        </is>
      </c>
    </row>
    <row r="37">
      <c r="A37" s="2" t="inlineStr">
        <is>
          <t>q-ma-site-web</t>
        </is>
      </c>
      <c r="B37" s="5" t="inlineStr">
        <is>
          <t>phrase_questions | ma | site web | rows 10 | units 400 | no_data False | 2026-10-30T15:07:31+00:00</t>
        </is>
      </c>
    </row>
    <row r="38">
      <c r="A38" s="2" t="inlineStr">
        <is>
          <t>rank-ma-adk-media.com</t>
        </is>
      </c>
      <c r="B38" s="5" t="inlineStr">
        <is>
          <t>domain_rank | ma | adk-media.com | rows 1 | units 10 | no_data False | 2026-10-30T14:56:27+00:00</t>
        </is>
      </c>
    </row>
    <row r="39">
      <c r="A39" s="2" t="inlineStr">
        <is>
          <t>rank-ma-baleez.net</t>
        </is>
      </c>
      <c r="B39" s="5" t="inlineStr">
        <is>
          <t>domain_rank | ma | baleez.net | rows 1 | units 10 | no_data False | 2026-10-30T14:56:28+00:00</t>
        </is>
      </c>
    </row>
    <row r="40">
      <c r="A40" s="2" t="inlineStr">
        <is>
          <t>rank-ma-codesommet</t>
        </is>
      </c>
      <c r="B40" s="5" t="inlineStr">
        <is>
          <t>domain_rank | ma | codesommet.com | rows 0 | units 0 | no_data True | 2026-10-30T14:54:31+00:00</t>
        </is>
      </c>
    </row>
    <row r="41">
      <c r="A41" s="2" t="inlineStr">
        <is>
          <t>rank-ma-digiseo.ma</t>
        </is>
      </c>
      <c r="B41" s="5" t="inlineStr">
        <is>
          <t>domain_rank | ma | digiseo.ma | rows 1 | units 10 | no_data False | 2026-10-30T14:55:47+00:00</t>
        </is>
      </c>
    </row>
    <row r="42">
      <c r="A42" s="2" t="inlineStr">
        <is>
          <t>rank-ma-digitalma.ma</t>
        </is>
      </c>
      <c r="B42" s="5" t="inlineStr">
        <is>
          <t>domain_rank | ma | digitalma.ma | rows 1 | units 10 | no_data False | 2026-10-30T14:55:44+00:00</t>
        </is>
      </c>
    </row>
    <row r="43">
      <c r="A43" s="2" t="inlineStr">
        <is>
          <t>rank-ma-dotma.ma</t>
        </is>
      </c>
      <c r="B43" s="5" t="inlineStr">
        <is>
          <t>domain_rank | ma | dotma.ma | rows 1 | units 10 | no_data False | 2026-10-30T14:56:28+00:00</t>
        </is>
      </c>
    </row>
    <row r="44">
      <c r="A44" s="2" t="inlineStr">
        <is>
          <t>rank-ma-elevenmedia.ma</t>
        </is>
      </c>
      <c r="B44" s="5" t="inlineStr">
        <is>
          <t>domain_rank | ma | elevenmedia.ma | rows 1 | units 10 | no_data False | 2026-10-30T14:55:33+00:00</t>
        </is>
      </c>
    </row>
    <row r="45">
      <c r="A45" s="2" t="inlineStr">
        <is>
          <t>rank-ma-energiedin.com</t>
        </is>
      </c>
      <c r="B45" s="5" t="inlineStr">
        <is>
          <t>domain_rank | ma | energiedin.com | rows 1 | units 10 | no_data False | 2026-10-30T14:55:29+00:00</t>
        </is>
      </c>
    </row>
    <row r="46">
      <c r="A46" s="2" t="inlineStr">
        <is>
          <t>rank-ma-hostino.ma</t>
        </is>
      </c>
      <c r="B46" s="5" t="inlineStr">
        <is>
          <t>domain_rank | ma | hostino.ma | rows 1 | units 10 | no_data False | 2026-10-30T14:55:35+00:00</t>
        </is>
      </c>
    </row>
    <row r="47">
      <c r="A47" s="2" t="inlineStr">
        <is>
          <t>rank-ma-itlabspro.com</t>
        </is>
      </c>
      <c r="B47" s="5" t="inlineStr">
        <is>
          <t>domain_rank | ma | itlabspro.com | rows 1 | units 10 | no_data False | 2026-10-30T14:56:29+00:00</t>
        </is>
      </c>
    </row>
    <row r="48">
      <c r="A48" s="2" t="inlineStr">
        <is>
          <t>rank-ma-monkeylab.ma</t>
        </is>
      </c>
      <c r="B48" s="5" t="inlineStr">
        <is>
          <t>domain_rank | ma | monkeylab.ma | rows 1 | units 10 | no_data False | 2026-10-30T14:55:45+00:00</t>
        </is>
      </c>
    </row>
    <row r="49">
      <c r="A49" s="2" t="inlineStr">
        <is>
          <t>rank-ma-ranket.ma</t>
        </is>
      </c>
      <c r="B49" s="5" t="inlineStr">
        <is>
          <t>domain_rank | ma | ranket.ma | rows 1 | units 10 | no_data False | 2026-10-30T14:55:47+00:00</t>
        </is>
      </c>
    </row>
    <row r="50">
      <c r="A50" s="2" t="inlineStr">
        <is>
          <t>rank-ma-rhillane.com</t>
        </is>
      </c>
      <c r="B50" s="5" t="inlineStr">
        <is>
          <t>domain_rank | ma | rhillane.com | rows 1 | units 10 | no_data False | 2026-10-30T14:55:29+00:00</t>
        </is>
      </c>
    </row>
    <row r="51">
      <c r="A51" s="2" t="inlineStr">
        <is>
          <t>rank-ma-rimasdigital.ma</t>
        </is>
      </c>
      <c r="B51" s="5" t="inlineStr">
        <is>
          <t>domain_rank | ma | rimasdigital.ma | rows 1 | units 10 | no_data False | 2026-10-30T14:55:43+00:00</t>
        </is>
      </c>
    </row>
    <row r="52">
      <c r="A52" s="2" t="inlineStr">
        <is>
          <t>rank-ma-rythmedia.com</t>
        </is>
      </c>
      <c r="B52" s="5" t="inlineStr">
        <is>
          <t>domain_rank | ma | rythmedia.com | rows 1 | units 10 | no_data False | 2026-10-30T14:55:46+00:00</t>
        </is>
      </c>
    </row>
    <row r="53">
      <c r="A53" s="2" t="inlineStr">
        <is>
          <t>rank-ma-siway.ma</t>
        </is>
      </c>
      <c r="B53" s="5" t="inlineStr">
        <is>
          <t>domain_rank | ma | siway.ma | rows 1 | units 10 | no_data False | 2026-10-30T14:55:43+00:00</t>
        </is>
      </c>
    </row>
    <row r="54">
      <c r="A54" s="2" t="inlineStr">
        <is>
          <t>rank-ma-trtdigital.ma</t>
        </is>
      </c>
      <c r="B54" s="5" t="inlineStr">
        <is>
          <t>domain_rank | ma | trtdigital.ma | rows 1 | units 10 | no_data False | 2026-10-30T14:55:41+00:00</t>
        </is>
      </c>
    </row>
    <row r="55">
      <c r="A55" s="2" t="inlineStr">
        <is>
          <t>rank-ma-urikacloud.com</t>
        </is>
      </c>
      <c r="B55" s="5" t="inlineStr">
        <is>
          <t>domain_rank | ma | urikacloud.com | rows 1 | units 10 | no_data False | 2026-10-30T14:55:34+00:00</t>
        </is>
      </c>
    </row>
    <row r="56">
      <c r="A56" s="2" t="inlineStr">
        <is>
          <t>rank-ma-vala.ma</t>
        </is>
      </c>
      <c r="B56" s="5" t="inlineStr">
        <is>
          <t>domain_rank | ma | vala.ma | rows 1 | units 10 | no_data False | 2026-10-30T14:55:42+00:00</t>
        </is>
      </c>
    </row>
    <row r="57">
      <c r="A57" s="2" t="inlineStr">
        <is>
          <t>rank-ma-void.ma</t>
        </is>
      </c>
      <c r="B57" s="5" t="inlineStr">
        <is>
          <t>domain_rank | ma | void.ma | rows 1 | units 10 | no_data False | 2026-10-30T14:55:30+00:00</t>
        </is>
      </c>
    </row>
    <row r="58">
      <c r="A58" s="2" t="inlineStr">
        <is>
          <t>rank-ma-webeuz.com</t>
        </is>
      </c>
      <c r="B58" s="5" t="inlineStr">
        <is>
          <t>domain_rank | ma | webeuz.com | rows 1 | units 10 | no_data False | 2026-10-30T14:55:32+00:00</t>
        </is>
      </c>
    </row>
    <row r="59">
      <c r="A59" s="2" t="inlineStr">
        <is>
          <t>rank-ma-website.ma</t>
        </is>
      </c>
      <c r="B59" s="5" t="inlineStr">
        <is>
          <t>domain_rank | ma | website.ma | rows 1 | units 10 | no_data False | 2026-10-30T14:56:26+00:00</t>
        </is>
      </c>
    </row>
    <row r="60">
      <c r="A60" s="2" t="inlineStr">
        <is>
          <t>rank-ma-websuccess.ma</t>
        </is>
      </c>
      <c r="B60" s="5" t="inlineStr">
        <is>
          <t>domain_rank | ma | websuccess.ma | rows 1 | units 10 | no_data False | 2026-10-30T14:55:34+00:00</t>
        </is>
      </c>
    </row>
    <row r="61">
      <c r="A61" s="2" t="inlineStr">
        <is>
          <t>rank-ma-wikidigital.net</t>
        </is>
      </c>
      <c r="B61" s="5" t="inlineStr">
        <is>
          <t>domain_rank | ma | wikidigital.net | rows 1 | units 10 | no_data False | 2026-10-30T14:55:31+00:00</t>
        </is>
      </c>
    </row>
    <row r="62">
      <c r="A62" s="2" t="inlineStr">
        <is>
          <t>serp-be-agence-web-bruxelles</t>
        </is>
      </c>
      <c r="B62" s="5" t="inlineStr">
        <is>
          <t>phrase_organic | be | agence web bruxelles | rows 10 | units 100 | no_data False | 2026-10-30T15:07:46+00:00</t>
        </is>
      </c>
    </row>
    <row r="63">
      <c r="A63" s="2" t="inlineStr">
        <is>
          <t>serp-fr-agence-de-développement-web</t>
        </is>
      </c>
      <c r="B63" s="5" t="inlineStr">
        <is>
          <t>phrase_organic | fr | agence de développement web | rows 10 | units 100 | no_data False | 2026-10-30T15:07:42+00:00</t>
        </is>
      </c>
    </row>
    <row r="64">
      <c r="A64" s="2" t="inlineStr">
        <is>
          <t>serp-fr-agence-web-offshore</t>
        </is>
      </c>
      <c r="B64" s="5" t="inlineStr">
        <is>
          <t>phrase_organic | fr | agence web offshore | rows 10 | units 100 | no_data False | 2026-10-30T15:07:43+00:00</t>
        </is>
      </c>
    </row>
    <row r="65">
      <c r="A65" s="2" t="inlineStr">
        <is>
          <t>serp-fr-développement-web-sur-mesure</t>
        </is>
      </c>
      <c r="B65" s="5" t="inlineStr">
        <is>
          <t>phrase_organic | fr | développement web sur mesure | rows 10 | units 100 | no_data False | 2026-10-30T15:07:44+00:00</t>
        </is>
      </c>
    </row>
    <row r="66">
      <c r="A66" s="2" t="inlineStr">
        <is>
          <t>serp-ma-agence-communication-maroc</t>
        </is>
      </c>
      <c r="B66" s="5" t="inlineStr">
        <is>
          <t>phrase_organic | ma | agence communication maroc | rows 0 | units 0 | no_data True | 2026-10-30T14:55:23+00:00</t>
        </is>
      </c>
    </row>
    <row r="67">
      <c r="A67" s="2" t="inlineStr">
        <is>
          <t>serp-ma-agence-de-communication-maroc</t>
        </is>
      </c>
      <c r="B67" s="5" t="inlineStr">
        <is>
          <t>phrase_organic | ma | agence de communication maroc | rows 0 | units 0 | no_data True | 2026-10-30T14:54:39+00:00</t>
        </is>
      </c>
    </row>
    <row r="68">
      <c r="A68" s="2" t="inlineStr">
        <is>
          <t>serp-ma-agence-de-développement-web</t>
        </is>
      </c>
      <c r="B68" s="5" t="inlineStr">
        <is>
          <t>phrase_organic | ma | agence de développement web | rows 0 | units 0 | no_data True | 2026-10-30T14:54:57+00:00</t>
        </is>
      </c>
    </row>
    <row r="69">
      <c r="A69" s="2" t="inlineStr">
        <is>
          <t>serp-ma-agence-digitale-maroc</t>
        </is>
      </c>
      <c r="B69" s="5" t="inlineStr">
        <is>
          <t>phrase_organic | ma | agence digitale maroc | rows 10 | units 100 | no_data False | 2026-10-30T14:54:38+00:00</t>
        </is>
      </c>
    </row>
    <row r="70">
      <c r="A70" s="2" t="inlineStr">
        <is>
          <t>serp-ma-agence-marketing-digital-maroc</t>
        </is>
      </c>
      <c r="B70" s="5" t="inlineStr">
        <is>
          <t>phrase_organic | ma | agence marketing digital maroc | rows 0 | units 0 | no_data True | 2026-10-30T14:54:56+00:00</t>
        </is>
      </c>
    </row>
    <row r="71">
      <c r="A71" s="2" t="inlineStr">
        <is>
          <t>serp-ma-agence-seo-maroc</t>
        </is>
      </c>
      <c r="B71" s="5" t="inlineStr">
        <is>
          <t>phrase_organic | ma | agence seo maroc | rows 10 | units 100 | no_data False | 2026-10-30T14:54:44+00:00</t>
        </is>
      </c>
    </row>
    <row r="72">
      <c r="A72" s="2" t="inlineStr">
        <is>
          <t>serp-ma-agence-web-agadir</t>
        </is>
      </c>
      <c r="B72" s="5" t="inlineStr">
        <is>
          <t>phrase_organic | ma | agence web agadir | rows 0 | units 0 | no_data True | 2026-10-30T14:55:28+00:00</t>
        </is>
      </c>
    </row>
    <row r="73">
      <c r="A73" s="2" t="inlineStr">
        <is>
          <t>serp-ma-agence-web-casablanca</t>
        </is>
      </c>
      <c r="B73" s="5" t="inlineStr">
        <is>
          <t>phrase_organic | ma | agence web casablanca | rows 10 | units 100 | no_data False | 2026-10-30T14:54:37+00:00</t>
        </is>
      </c>
    </row>
    <row r="74">
      <c r="A74" s="2" t="inlineStr">
        <is>
          <t>serp-ma-agence-web-maroc</t>
        </is>
      </c>
      <c r="B74" s="5" t="inlineStr">
        <is>
          <t>phrase_organic | ma | agence web maroc | rows 10 | units 100 | no_data False | 2026-10-30T14:54:34+00:00</t>
        </is>
      </c>
    </row>
    <row r="75">
      <c r="A75" s="2" t="inlineStr">
        <is>
          <t>serp-ma-agence-web-marrakech</t>
        </is>
      </c>
      <c r="B75" s="5" t="inlineStr">
        <is>
          <t>phrase_organic | ma | agence web marrakech | rows 10 | units 100 | no_data False | 2026-10-30T14:54:53+00:00</t>
        </is>
      </c>
    </row>
    <row r="76">
      <c r="A76" s="2" t="inlineStr">
        <is>
          <t>serp-ma-agence-web-rabat</t>
        </is>
      </c>
      <c r="B76" s="5" t="inlineStr">
        <is>
          <t>phrase_organic | ma | agence web rabat | rows 0 | units 0 | no_data True | 2026-10-30T14:54:52+00:00</t>
        </is>
      </c>
    </row>
    <row r="77">
      <c r="A77" s="2" t="inlineStr">
        <is>
          <t>serp-ma-agence-web-tanger</t>
        </is>
      </c>
      <c r="B77" s="5" t="inlineStr">
        <is>
          <t>phrase_organic | ma | agence web tanger | rows 0 | units 0 | no_data True | 2026-10-30T14:55:26+00:00</t>
        </is>
      </c>
    </row>
    <row r="78">
      <c r="A78" s="2" t="inlineStr">
        <is>
          <t>serp-ma-creation-site-internet-maroc</t>
        </is>
      </c>
      <c r="B78" s="5" t="inlineStr">
        <is>
          <t>phrase_organic | ma | creation site internet maroc | rows 0 | units 0 | no_data True | 2026-10-30T14:55:24+00:00</t>
        </is>
      </c>
    </row>
    <row r="79">
      <c r="A79" s="2" t="inlineStr">
        <is>
          <t>serp-ma-creation-site-web-casablanca</t>
        </is>
      </c>
      <c r="B79" s="5" t="inlineStr">
        <is>
          <t>phrase_organic | ma | creation site web casablanca | rows 0 | units 0 | no_data True | 2026-10-30T14:55:21+00:00</t>
        </is>
      </c>
    </row>
    <row r="80">
      <c r="A80" s="2" t="inlineStr">
        <is>
          <t>serp-ma-creation-site-web-maroc</t>
        </is>
      </c>
      <c r="B80" s="5" t="inlineStr">
        <is>
          <t>phrase_organic | ma | creation site web maroc | rows 10 | units 100 | no_data False | 2026-10-30T14:55:20+00:00</t>
        </is>
      </c>
    </row>
    <row r="81">
      <c r="A81" s="2" t="inlineStr">
        <is>
          <t>serp-ma-création-site-e-commerce-maroc</t>
        </is>
      </c>
      <c r="B81" s="5" t="inlineStr">
        <is>
          <t>phrase_organic | ma | création site e-commerce maroc | rows 0 | units 0 | no_data True | 2026-10-30T14:54:46+00:00</t>
        </is>
      </c>
    </row>
    <row r="82">
      <c r="A82" s="2" t="inlineStr">
        <is>
          <t>serp-ma-création-site-internet-maroc</t>
        </is>
      </c>
      <c r="B82" s="5" t="inlineStr">
        <is>
          <t>phrase_organic | ma | création site internet maroc | rows 0 | units 0 | no_data True | 2026-10-30T14:54:41+00:00</t>
        </is>
      </c>
    </row>
    <row r="83">
      <c r="A83" s="2" t="inlineStr">
        <is>
          <t>serp-ma-création-site-web-casablanca</t>
        </is>
      </c>
      <c r="B83" s="5" t="inlineStr">
        <is>
          <t>phrase_organic | ma | création site web casablanca | rows 0 | units 0 | no_data True | 2026-10-30T14:54:54+00:00</t>
        </is>
      </c>
    </row>
    <row r="84">
      <c r="A84" s="2" t="inlineStr">
        <is>
          <t>serp-ma-création-site-web-maroc</t>
        </is>
      </c>
      <c r="B84" s="5" t="inlineStr">
        <is>
          <t>phrase_organic | ma | création site web maroc | rows 0 | units 0 | no_data True | 2026-10-30T14:54:35+00:00</t>
        </is>
      </c>
    </row>
    <row r="85">
      <c r="A85" s="2" t="inlineStr">
        <is>
          <t>serp-ma-développement-web-maroc</t>
        </is>
      </c>
      <c r="B85" s="5" t="inlineStr">
        <is>
          <t>phrase_organic | ma | développement web maroc | rows 0 | units 0 | no_data True | 2026-10-30T14:54:49+00:00</t>
        </is>
      </c>
    </row>
    <row r="86">
      <c r="A86" s="2" t="inlineStr">
        <is>
          <t>serp-ma-seo-maroc</t>
        </is>
      </c>
      <c r="B86" s="5" t="inlineStr">
        <is>
          <t>phrase_organic | ma | seo maroc | rows 10 | units 100 | no_data False | 2026-10-30T14:55:27+00:00</t>
        </is>
      </c>
    </row>
    <row r="87">
      <c r="A87" s="2" t="inlineStr">
        <is>
          <t>val-ae-0</t>
        </is>
      </c>
      <c r="B87" s="5" t="inlineStr">
        <is>
          <t>phrase_these | ae | agence web abu dhabi;agence web dubai;création site web abu dhabi;création site web dubai;développement web abu dhabi;développement web dubai;web development co | rows 3 | units 30 | no_data False | 2026-10-30T15:06:20+00:00</t>
        </is>
      </c>
    </row>
    <row r="88">
      <c r="A88" s="2" t="inlineStr">
        <is>
          <t>val-be-0</t>
        </is>
      </c>
      <c r="B88" s="5" t="inlineStr">
        <is>
          <t>phrase_these | be | agence de développement web;agence digitale;agence seo;agence web;agence web belgique;agence web bruxelles;agence web liège;agence web maroc;agence web nearshor | rows 36 | units 360 | no_data False | 2026-10-30T15:06:23+00:00</t>
        </is>
      </c>
    </row>
    <row r="89">
      <c r="A89" s="2" t="inlineStr">
        <is>
          <t>val-ca-0</t>
        </is>
      </c>
      <c r="B89" s="5" t="inlineStr">
        <is>
          <t>phrase_these | ca | agence de développement web;agence digitale;agence seo;agence web;agence web maroc;agence web montreal;agence web montréal;agence web nearshore;agence web offsh | rows 40 | units 400 | no_data False | 2026-10-30T15:06:25+00:00</t>
        </is>
      </c>
    </row>
    <row r="90">
      <c r="A90" s="2" t="inlineStr">
        <is>
          <t>val-ch-0</t>
        </is>
      </c>
      <c r="B90" s="5" t="inlineStr">
        <is>
          <t>phrase_these | ch | agence de développement web;agence digitale;agence seo;agence web;agence web genève;agence web lausanne;agence web maroc;agence web nearshore;agence web offshor | rows 30 | units 300 | no_data False | 2026-10-30T15:06:27+00:00</t>
        </is>
      </c>
    </row>
    <row r="91">
      <c r="A91" s="2" t="inlineStr">
        <is>
          <t>val-de-0</t>
        </is>
      </c>
      <c r="B91" s="5" t="inlineStr">
        <is>
          <t>phrase_these | de | agence web berlin;création site web berlin;développement web berlin;webentwicklung berlin | rows 1 | units 10 | no_data False | 2026-10-30T15:06:29+00:00</t>
        </is>
      </c>
    </row>
    <row r="92">
      <c r="A92" s="2" t="inlineStr">
        <is>
          <t>val-dk-0</t>
        </is>
      </c>
      <c r="B92" s="5" t="inlineStr">
        <is>
          <t>phrase_these | dk | agence web copenhague;création site web copenhague;développement web copenhague;web development copenhagen | rows 1 | units 10 | no_data False | 2026-10-30T15:06:31+00:00</t>
        </is>
      </c>
    </row>
    <row r="93">
      <c r="A93" s="2" t="inlineStr">
        <is>
          <t>val-dz-0</t>
        </is>
      </c>
      <c r="B93" s="5" t="inlineStr">
        <is>
          <t>phrase_these | dz | agence de développement web;agence digitale;agence seo;agence web;agence web alger;agence web algérie;agence web maroc;agence web nearshore;agence web offshore; | rows 27 | units 270 | no_data False | 2026-10-30T15:06:33+00:00</t>
        </is>
      </c>
    </row>
    <row r="94">
      <c r="A94" s="2" t="inlineStr">
        <is>
          <t>val-eg-0</t>
        </is>
      </c>
      <c r="B94" s="5" t="inlineStr">
        <is>
          <t>phrase_these | eg | agence web le caire;création site web le caire;développement web le caire;web development company cairo | rows 1 | units 10 | no_data False | 2026-10-30T15:06:34+00:00</t>
        </is>
      </c>
    </row>
    <row r="95">
      <c r="A95" s="2" t="inlineStr">
        <is>
          <t>val-es-0</t>
        </is>
      </c>
      <c r="B95" s="5" t="inlineStr">
        <is>
          <t>phrase_these | es | agence web barcelone;agence web madrid;création site web barcelone;création site web madrid;desarrollo web barcelona;desarrollo web madrid;développement web bar | rows 3 | units 30 | no_data False | 2026-10-30T15:06:35+00:00</t>
        </is>
      </c>
    </row>
    <row r="96">
      <c r="A96" s="2" t="inlineStr">
        <is>
          <t>val-fr-0</t>
        </is>
      </c>
      <c r="B96" s="5" t="inlineStr">
        <is>
          <t>phrase_these | fr | agence création site e-commerce;agence de développement web;agence de développement web maroc;agence de voyage de luxe maroc;agence digitale;agence développemen | rows 77 | units 770 | no_data False | 2026-10-30T15:06:37+00:00</t>
        </is>
      </c>
    </row>
    <row r="97">
      <c r="A97" s="2" t="inlineStr">
        <is>
          <t>val-fr-1</t>
        </is>
      </c>
      <c r="B97" s="5" t="inlineStr">
        <is>
          <t>phrase_these | fr | carte maillage interne;certificat ssl;checklist mise en ligne site;choisir une plateforme e-learning;combien coute un saas;combien coute un site e-commerce;comb | rows 59 | units 590 | no_data False | 2026-10-30T15:06:38+00:00</t>
        </is>
      </c>
    </row>
    <row r="98">
      <c r="A98" s="2" t="inlineStr">
        <is>
          <t>val-fr-2</t>
        </is>
      </c>
      <c r="B98" s="5" t="inlineStr">
        <is>
          <t>phrase_these | fr | création site web vancouver;création site web zurich;création site web école;création site école de langues;créer lien utm;créer qr code;créer robots.txt;créer  | rows 55 | units 550 | no_data False | 2026-10-30T15:06:39+00:00</t>
        </is>
      </c>
    </row>
    <row r="99">
      <c r="A99" s="2" t="inlineStr">
        <is>
          <t>val-fr-3</t>
        </is>
      </c>
      <c r="B99" s="5" t="inlineStr">
        <is>
          <t>phrase_these | fr | faq schema;faqpage schema;faux texte;fichier llms.txt;fichier robots.txt;flesch;formater json;generative engine optimization;geo seo;gestion association;googleb | rows 86 | units 860 | no_data False | 2026-10-30T15:06:40+00:00</t>
        </is>
      </c>
    </row>
    <row r="100">
      <c r="A100" s="2" t="inlineStr">
        <is>
          <t>val-fr-4</t>
        </is>
      </c>
      <c r="B100" s="5" t="inlineStr">
        <is>
          <t>phrase_these | fr | outil maillage interne;outil seo;outil seo gratuit;outils ia gratuits;outils seo;outils seo en ligne;outils seo gratuits;outils webmaster gratuits;pagespeed;pal | rows 85 | units 850 | no_data False | 2026-10-30T15:06:42+00:00</t>
        </is>
      </c>
    </row>
    <row r="101">
      <c r="A101" s="2" t="inlineStr">
        <is>
          <t>val-fr-5</t>
        </is>
      </c>
      <c r="B101" s="5" t="inlineStr">
        <is>
          <t>phrase_these | fr | site web fintech;site web immobilier;site web kiné;site web médical;site web santé;site web université;site web école;site web école de langues;site web école p | rows 60 | units 600 | no_data False | 2026-10-30T15:06:43+00:00</t>
        </is>
      </c>
    </row>
    <row r="102">
      <c r="A102" s="2" t="inlineStr">
        <is>
          <t>val-ie-0</t>
        </is>
      </c>
      <c r="B102" s="5" t="inlineStr">
        <is>
          <t>phrase_these | ie | agence web dublin;création site web dublin;développement web dublin;web development company dublin | rows 1 | units 10 | no_data False | 2026-10-30T15:06:44+00:00</t>
        </is>
      </c>
    </row>
    <row r="103">
      <c r="A103" s="2" t="inlineStr">
        <is>
          <t>val-it-0</t>
        </is>
      </c>
      <c r="B103" s="5" t="inlineStr">
        <is>
          <t>phrase_these | it | agence web milan;agence web rome;création site web milan;création site web rome;développement web milan;développement web rome;sviluppo siti web milano;sviluppo | rows 2 | units 20 | no_data False | 2026-10-30T15:06:45+00:00</t>
        </is>
      </c>
    </row>
    <row r="104">
      <c r="A104" s="2" t="inlineStr">
        <is>
          <t>val-lu-0</t>
        </is>
      </c>
      <c r="B104" s="5" t="inlineStr">
        <is>
          <t>phrase_these | lu | agence de développement web;agence digitale;agence seo;agence web;agence web luxembourg;agence web maroc;agence web nearshore;agence web offshore;agence web pas | rows 20 | units 200 | no_data False | 2026-10-30T15:06:47+00:00</t>
        </is>
      </c>
    </row>
    <row r="105">
      <c r="A105" s="2" t="inlineStr">
        <is>
          <t>val-ma-0</t>
        </is>
      </c>
      <c r="B105" s="5" t="inlineStr">
        <is>
          <t>phrase_these | ma | agence création site internet maroc;agence création site web agadir;agence création site web casablanca;agence création site web maroc;agence création site web  | rows 64 | units 640 | no_data False | 2026-10-30T15:06:48+00:00</t>
        </is>
      </c>
    </row>
    <row r="106">
      <c r="A106" s="2" t="inlineStr">
        <is>
          <t>val-ma-1</t>
        </is>
      </c>
      <c r="B106" s="5" t="inlineStr">
        <is>
          <t>phrase_these | ma | base64 en ligne;base64 encode;blog agence web;blog développement web;blog seo;bloquer gptbot;boutique dentaire en ligne;boutique en ligne maroc;boutique lunette | rows 55 | units 550 | no_data False | 2026-10-30T15:06:51+00:00</t>
        </is>
      </c>
    </row>
    <row r="107">
      <c r="A107" s="2" t="inlineStr">
        <is>
          <t>val-ma-2</t>
        </is>
      </c>
      <c r="B107" s="5" t="inlineStr">
        <is>
          <t>phrase_these | ma | création de site web tanger;création plateforme e-learning;création plateforme saas;création site agence de voyage;création site de vente en ligne;création site | rows 50 | units 500 | no_data False | 2026-10-30T15:06:52+00:00</t>
        </is>
      </c>
    </row>
    <row r="108">
      <c r="A108" s="2" t="inlineStr">
        <is>
          <t>val-ma-3</t>
        </is>
      </c>
      <c r="B108" s="5" t="inlineStr">
        <is>
          <t>phrase_these | ma | développeur web tanger;e-commerce maroc;e-e-a-t;e-learning maroc;ecommerce maroc;edtech maroc;eeat;eeat seo;en-têtes de sécurité;encodeur base64;entreprise créa | rows 51 | units 510 | no_data False | 2026-10-30T15:06:54+00:00</t>
        </is>
      </c>
    </row>
    <row r="109">
      <c r="A109" s="2" t="inlineStr">
        <is>
          <t>val-ma-4</t>
        </is>
      </c>
      <c r="B109" s="5" t="inlineStr">
        <is>
          <t>phrase_these | ma | majuscule en minuscule;matériel dentaire maroc;meilleure agence web maroc;meilleure plateforme e-learning;meta description;meta refresh;meta tag generator;mettr | rows 71 | units 710 | no_data False | 2026-10-30T15:06:55+00:00</t>
        </is>
      </c>
    </row>
    <row r="110">
      <c r="A110" s="2" t="inlineStr">
        <is>
          <t>val-ma-5</t>
        </is>
      </c>
      <c r="B110" s="5" t="inlineStr">
        <is>
          <t>phrase_these | ma | schema faq;schema localbusiness;schema markup;score autorité domaine;score de lisibilité;script chatbot;security headers;seo casablanca;seo immobilier;seo local | rows 50 | units 500 | no_data False | 2026-10-30T15:06:57+00:00</t>
        </is>
      </c>
    </row>
    <row r="111">
      <c r="A111" s="2" t="inlineStr">
        <is>
          <t>val-ma-6</t>
        </is>
      </c>
      <c r="B111" s="5" t="inlineStr">
        <is>
          <t>phrase_these | ma | test site web gratuit;test ssl;test vitesse site;test vitesse site web;tester données structurées;tester robots.txt;tester vitesse site web;texte alternatif ima | rows 19 | units 190 | no_data False | 2026-10-30T15:06:58+00:00</t>
        </is>
      </c>
    </row>
    <row r="112">
      <c r="A112" s="2" t="inlineStr">
        <is>
          <t>val-ng-0</t>
        </is>
      </c>
      <c r="B112" s="5" t="inlineStr">
        <is>
          <t>phrase_these | ng | agence web lagos;création site web lagos;développement web lagos;web development company lagos | rows 0 | units 0 | no_data True | 2026-10-30T15:06:59+00:00</t>
        </is>
      </c>
    </row>
    <row r="113">
      <c r="A113" s="2" t="inlineStr">
        <is>
          <t>val-nl-0</t>
        </is>
      </c>
      <c r="B113" s="5" t="inlineStr">
        <is>
          <t>phrase_these | nl | agence web amsterdam;création site web amsterdam;développement web amsterdam;web development amsterdam | rows 1 | units 10 | no_data False | 2026-10-30T15:07:00+00:00</t>
        </is>
      </c>
    </row>
    <row r="114">
      <c r="A114" s="2" t="inlineStr">
        <is>
          <t>val-pt-0</t>
        </is>
      </c>
      <c r="B114" s="5" t="inlineStr">
        <is>
          <t>phrase_these | pt | agence web lisbonne;création site web lisbonne;desenvolvimento web lisboa;développement web lisbonne | rows 1 | units 10 | no_data False | 2026-10-30T15:07:01+00:00</t>
        </is>
      </c>
    </row>
    <row r="115">
      <c r="A115" s="2" t="inlineStr">
        <is>
          <t>val-sa-0</t>
        </is>
      </c>
      <c r="B115" s="5" t="inlineStr">
        <is>
          <t>phrase_these | sa | agence web riyad;création site web riyad;développement web riyad;web development company riyadh | rows 1 | units 10 | no_data False | 2026-10-30T15:07:03+00:00</t>
        </is>
      </c>
    </row>
    <row r="116">
      <c r="A116" s="2" t="inlineStr">
        <is>
          <t>val-se-0</t>
        </is>
      </c>
      <c r="B116" s="5" t="inlineStr">
        <is>
          <t>phrase_these | se | agence web stockholm;création site web stockholm;développement web stockholm;webbyrå stockholm | rows 2 | units 20 | no_data False | 2026-10-30T15:07:04+00:00</t>
        </is>
      </c>
    </row>
    <row r="117">
      <c r="A117" s="2" t="inlineStr">
        <is>
          <t>val-sn-0</t>
        </is>
      </c>
      <c r="B117" s="5" t="inlineStr">
        <is>
          <t>phrase_these | sn | agence de développement web;agence digitale;agence seo;agence web;agence web dakar;agence web maroc;agence web nearshore;agence web offshore;agence web pas cher | rows 23 | units 230 | no_data False | 2026-10-30T15:07:06+00:00</t>
        </is>
      </c>
    </row>
    <row r="118">
      <c r="A118" s="2" t="inlineStr">
        <is>
          <t>val-tn-0</t>
        </is>
      </c>
      <c r="B118" s="5" t="inlineStr">
        <is>
          <t>phrase_these | tn | agence de développement web;agence digitale;agence seo;agence web;agence web maroc;agence web nearshore;agence web offshore;agence web pas cher;agence web tunis | rows 28 | units 280 | no_data False | 2026-10-30T15:07:28+00:00</t>
        </is>
      </c>
    </row>
    <row r="119">
      <c r="A119" s="2" t="inlineStr">
        <is>
          <t>val-uk-0</t>
        </is>
      </c>
      <c r="B119" s="5" t="inlineStr">
        <is>
          <t>phrase_these | uk | agence web londres;création site web londres;développement web londres;web development company london | rows 3 | units 30 | no_data False | 2026-10-30T15:07:29+00:00</t>
        </is>
      </c>
    </row>
    <row r="120">
      <c r="A120" s="2" t="inlineStr">
        <is>
          <t>val-us-0</t>
        </is>
      </c>
      <c r="B120" s="5" t="inlineStr">
        <is>
          <t>phrase_these | us | agence web austin;agence web boston;agence web chicago;agence web denver;agence web los angeles;agence web new york;agence web san francisco;agence web seattle; | rows 12 | units 120 | no_data False | 2026-10-30T15:07:30+00:00</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2026-10-30T15:30:11Z</dcterms:created>
  <dcterms:modified xmlns:dcterms="http://purl.org/dc/terms/" xmlns:xsi="http://www.w3.org/2001/XMLSchema-instance" xsi:type="dcterms:W3CDTF">2026-10-30T15:30:30Z</dcterms:modified>
</cp:coreProperties>
</file>